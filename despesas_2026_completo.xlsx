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ME" sheetId="1" state="visible" r:id="rId1"/>
    <sheet name="Resumo geral" sheetId="2" state="visible" r:id="rId2"/>
    <sheet name="Insumos e papel" sheetId="3" state="visible" r:id="rId3"/>
    <sheet name="Uso e consumo" sheetId="4" state="visible" r:id="rId4"/>
    <sheet name="Frete de compra" sheetId="5" state="visible" r:id="rId5"/>
    <sheet name="Frete de venda" sheetId="6" state="visible" r:id="rId6"/>
    <sheet name="Outras despesas pagas" sheetId="7" state="visible" r:id="rId7"/>
    <sheet name="Lançamentos" sheetId="8" state="visible" r:id="rId8"/>
    <sheet name="Excluídos" sheetId="9" state="visible" r:id="rId9"/>
    <sheet name="Premissas" sheetId="10" state="visible" r:id="rId10"/>
  </sheets>
  <definedNames>
    <definedName name="_xlnm._FilterDatabase" localSheetId="7" hidden="1">'Lançamentos'!$A$1:$U$5010</definedName>
    <definedName name="_xlnm._FilterDatabase" localSheetId="8" hidden="1">'Excluídos'!$A$1:$N$794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mmm/yy"/>
    <numFmt numFmtId="167" formatCode="#,##0.00;[Red]-#,##0.00"/>
    <numFmt numFmtId="168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  <font/>
    <font>
      <b val="1"/>
      <sz val="12"/>
    </font>
    <font>
      <b val="1"/>
      <sz val="16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7" fontId="0" fillId="0" borderId="0" applyAlignment="1" pivotButton="0" quotePrefix="0" xfId="0">
      <alignment vertical="top"/>
    </xf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7" fontId="4" fillId="3" borderId="0" pivotButton="0" quotePrefix="0" xfId="0"/>
    <xf numFmtId="168" fontId="4" fillId="3" borderId="0" pivotButton="0" quotePrefix="0" xfId="0"/>
    <xf numFmtId="167" fontId="3" fillId="0" borderId="0" pivotButton="0" quotePrefix="0" xfId="0"/>
    <xf numFmtId="3" fontId="3" fillId="0" borderId="0" pivotButton="0" quotePrefix="0" xfId="0"/>
    <xf numFmtId="0" fontId="1" fillId="0" borderId="0" pivotButton="0" quotePrefix="0" xfId="0"/>
    <xf numFmtId="166" fontId="2" fillId="2" borderId="0" applyAlignment="1" pivotButton="0" quotePrefix="0" xfId="0">
      <alignment horizontal="center" vertical="center" wrapText="1"/>
    </xf>
    <xf numFmtId="0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0" fontId="0" fillId="0" borderId="0" applyAlignment="1" pivotButton="0" quotePrefix="0" xfId="0">
      <alignment indent="2"/>
    </xf>
    <xf numFmtId="0" fontId="6" fillId="0" borderId="0" pivotButton="0" quotePrefix="0" xfId="0"/>
    <xf numFmtId="167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indent="1"/>
    </xf>
    <xf numFmtId="1" fontId="0" fillId="0" borderId="0" pivotButton="0" quotePrefix="0" xfId="0"/>
    <xf numFmtId="1" fontId="4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22" customWidth="1" min="7" max="7"/>
    <col width="20" customWidth="1" min="8" max="8"/>
  </cols>
  <sheetData>
    <row r="1">
      <c r="A1" s="1" t="inlineStr">
        <is>
          <t>Despesas pagas 2026 – VINCO (planilha completa)</t>
        </is>
      </c>
    </row>
    <row r="2" ht="32" customHeight="1">
      <c r="A2" s="2" t="inlineStr">
        <is>
          <t>Fonte: aba Notas de entradas_conferidas_2026_ajustado_v3.xlsx (Omie). R$; competência = mês de emissão; "Antes de 2026" = documentos emitidos antes de 2026 e conferidos em 2026 (memo, fora do total 2026).</t>
        </is>
      </c>
    </row>
    <row r="4">
      <c r="A4" s="3" t="inlineStr">
        <is>
          <t>1) Abas</t>
        </is>
      </c>
    </row>
    <row r="5">
      <c r="A5" s="4" t="inlineStr">
        <is>
          <t>Aba</t>
        </is>
      </c>
      <c r="B5" s="5" t="inlineStr">
        <is>
          <t>Conteúdo</t>
        </is>
      </c>
    </row>
    <row r="6" ht="30" customHeight="1">
      <c r="A6" s="6" t="inlineStr">
        <is>
          <t>Resumo geral</t>
        </is>
      </c>
      <c r="B6" s="2" t="inlineStr">
        <is>
          <t>Categoria e subcategoria × mês (Jan–Set/2026), total, % do total, memo antes de 2026, total por categoria de nível 1 e conferências (zero).</t>
        </is>
      </c>
    </row>
    <row r="7">
      <c r="A7" s="6" t="inlineStr">
        <is>
          <t>Insumos e papel</t>
        </is>
      </c>
      <c r="B7" s="2" t="inlineStr">
        <is>
          <t>Subcategoria × mês e fornecedores com total e %.</t>
        </is>
      </c>
    </row>
    <row r="8">
      <c r="A8" s="6" t="inlineStr">
        <is>
          <t>Uso e consumo</t>
        </is>
      </c>
      <c r="B8" s="2" t="inlineStr">
        <is>
          <t>Idem (material de consumo, peças, fardamento, EPI, limpeza, escritório).</t>
        </is>
      </c>
    </row>
    <row r="9">
      <c r="A9" s="6" t="inlineStr">
        <is>
          <t>Frete de compra</t>
        </is>
      </c>
      <c r="B9" s="2" t="inlineStr">
        <is>
          <t>Idem (Aliança, Stancanelli, Gol, Planeta Azul).</t>
        </is>
      </c>
    </row>
    <row r="10">
      <c r="A10" s="6" t="inlineStr">
        <is>
          <t>Frete de venda</t>
        </is>
      </c>
      <c r="B10" s="2" t="inlineStr">
        <is>
          <t>Idem (demais transportadoras).</t>
        </is>
      </c>
    </row>
    <row r="11">
      <c r="A11" s="6" t="inlineStr">
        <is>
          <t>Outras despesas pagas</t>
        </is>
      </c>
      <c r="B11" s="2" t="inlineStr">
        <is>
          <t>Imobilizado, manutenção, sede, brindes, combustível e aluguel de contêiner (cada um uma subcategoria).</t>
        </is>
      </c>
    </row>
    <row r="12" ht="30" customHeight="1">
      <c r="A12" s="6" t="inlineStr">
        <is>
          <t>Lançamentos</t>
        </is>
      </c>
      <c r="B12" s="2" t="inlineStr">
        <is>
          <t>Base: uma linha por documento pago (categoria, subcategoria, mês, data, tipo, número, fornecedor, CNPJ, bruto, crédito, líquido, CFOP, observação, impostos, chave). Todas as abas de resumo são SUMIFS sobre ela.</t>
        </is>
      </c>
    </row>
    <row r="13" ht="30" customHeight="1">
      <c r="A13" s="6" t="inlineStr">
        <is>
          <t>Excluídos</t>
        </is>
      </c>
      <c r="B13" s="2" t="inlineStr">
        <is>
          <t>Documentos que não são pagamento ou são duplicidade (remessa, devolução, transferência, x.949, x.922, NF-e sem título), com o motivo.</t>
        </is>
      </c>
    </row>
    <row r="14">
      <c r="A14" s="6" t="inlineStr">
        <is>
          <t>Premissas</t>
        </is>
      </c>
      <c r="B14" s="2" t="inlineStr">
        <is>
          <t>Tabela editável de créditos (IPI/ICMS/PIS/COFINS) por categoria e subcategoria, com a justificativa fiscal.</t>
        </is>
      </c>
    </row>
    <row r="16">
      <c r="A16" s="3" t="inlineStr">
        <is>
          <t>2) Regras aplicadas</t>
        </is>
      </c>
    </row>
    <row r="17" ht="18" customHeight="1">
      <c r="A17" s="2" t="inlineStr">
        <is>
          <t>• Só o efetivamente pago: NF-e entra se "Gerou título a pagar" = Sim; CT-e (frete) entram todos.</t>
        </is>
      </c>
    </row>
    <row r="18" ht="32" customHeight="1">
      <c r="A18" s="2" t="inlineStr">
        <is>
          <t>• Fora (aba Excluídos): remessa (categoria 2.01.84, exceto frete 2.01.84 "por conta do remetente", que entra como frete); devoluções (2.09); remessa sem venda x.949; transferências 0.01; simples faturamento x.922 (duplica x.116/x.117); NF-e sem título.</t>
        </is>
      </c>
    </row>
    <row r="19" ht="18" customHeight="1">
      <c r="A19" s="2" t="inlineStr">
        <is>
          <t>• Aluguel de contêiner (UNIAO MULTIMODAL OTM LTDA) não é frete: fica em Outras despesas pagas.</t>
        </is>
      </c>
    </row>
    <row r="20" ht="32" customHeight="1">
      <c r="A20" s="2" t="inlineStr">
        <is>
          <t>• Insumos e papel: 2.01.03, 79, 83, 89, 91, 92, 93, 94, 95, 96, 97, 99. Uso e consumo: 2.01.85, 2.01.87 (peças de máquinas), 2.03.88 fardamento, 2.03.90 EPI, 2.04.91, 2.04.06, 2.04.95, 2.04.96.</t>
        </is>
      </c>
    </row>
    <row r="21" ht="32" customHeight="1">
      <c r="A21" s="2" t="inlineStr">
        <is>
          <t>• Frete de compra = somente ALIANCA NAVEGACAO E LOGISTICA (com/sem ponto final, unificadas), STANCANELLI, GOL LINHAS AEREAS e TRANSPORTES DE MAQUINAS PLANETA AZUL. Frete de venda = todas as demais transportadoras (inclui Cazan e RF BRA).</t>
        </is>
      </c>
    </row>
    <row r="22" ht="32" customHeight="1">
      <c r="A22" s="2" t="inlineStr">
        <is>
          <t>• Créditos (Lucro Real): insumos = IPI+ICMS+PIS+COFINS; uso e consumo = só PIS/COFINS; frete de compra = só ICMS; frete de venda = nenhum; sem crédito de ICMS/IPI em CFOP x.556; ICMS-ST nunca é abatido. Detalhe por categoria na aba Premissas (editável).</t>
        </is>
      </c>
    </row>
    <row r="23" ht="32" customHeight="1">
      <c r="A23" s="2" t="inlineStr">
        <is>
          <t>• Todas as demais categorias pagas (imobilizado 2.07 e 2.01.78, manutenção, sede 2.16, brindes/premiações/marketing, combustível) ficam em Outras despesas pagas, sem crédito modelado.</t>
        </is>
      </c>
    </row>
    <row r="25">
      <c r="A25" s="3" t="inlineStr">
        <is>
          <t>3) Correções fiscais desta revisão (comparação com a versão anterior despesas_2026.xlsx)</t>
        </is>
      </c>
    </row>
    <row r="26">
      <c r="A26" s="4" t="inlineStr">
        <is>
          <t>Ajuste</t>
        </is>
      </c>
      <c r="B26" s="5" t="inlineStr">
        <is>
          <t>Motivo fiscal / o que mudou</t>
        </is>
      </c>
      <c r="C26" s="5" t="inlineStr"/>
      <c r="D26" s="5" t="inlineStr"/>
      <c r="E26" s="5" t="inlineStr"/>
      <c r="F26" s="5" t="inlineStr"/>
      <c r="G26" s="5" t="inlineStr">
        <is>
          <t>Efeito no líquido 2026 (R$)</t>
        </is>
      </c>
    </row>
    <row r="27" ht="64" customHeight="1">
      <c r="A27" s="2" t="inlineStr">
        <is>
          <t>Impostos de documentos rateados (14 NF-e, 28 linhas)</t>
        </is>
      </c>
      <c r="B27" s="2" t="inlineStr">
        <is>
          <t>IPI/ICMS/PIS/COFINS constavam só na 1ª linha do rateio e eram creditados integralmente na categoria dessa linha (em 5 documentos o ICMS destacado chegava a superar o valor da categoria). Agora são redistribuídos proporcionalmente ao valor de cada categoria, pois o imposto do trecho de imobilizado/outra categoria não pertence ao insumo. Insumos: R$ 1.121,90; Uso e consumo: R$ 17,75.</t>
        </is>
      </c>
      <c r="G27" s="7" t="n">
        <v>1139.64999999851</v>
      </c>
    </row>
    <row r="28" ht="64" customHeight="1">
      <c r="A28" s="2" t="inlineStr">
        <is>
          <t>PIS/COFINS de fardamento, material de escritório, copa e cozinha e bens de pequeno valor zerados</t>
        </is>
      </c>
      <c r="B28" s="2" t="inlineStr">
        <is>
          <t>Não são insumo da produção: o crédito de fardamento (Lei 10.833, art. 3º, X) é restrito a prestadoras de limpeza/conservação e material administrativo não gera crédito (PN Cosit 5/2018). EPI (2.03.90), peças (2.01.87), limpeza (2.04.91) e uso e consumo (2.01.85) mantêm PIS/COFINS. Editável na aba Premissas.</t>
        </is>
      </c>
      <c r="G28" s="7" t="n">
        <v>290.4600000000792</v>
      </c>
    </row>
    <row r="29" ht="48" customHeight="1">
      <c r="A29" s="2" t="inlineStr">
        <is>
          <t>Frete de compra classificado pelo nome da transportadora e Aliança unificada</t>
        </is>
      </c>
      <c r="B29" s="2" t="inlineStr">
        <is>
          <t>As grafias "ALIANCA ... LTDA" e "ALIANCA ... LTDA." viram um só fornecedor; o enquadramento em frete de compra/venda passa a seguir a lista de transportadoras da regra, não o grupo do Omie. Sem efeito nos totais.</t>
        </is>
      </c>
      <c r="G29" s="7" t="n">
        <v>0</v>
      </c>
    </row>
    <row r="30" ht="48" customHeight="1">
      <c r="A30" s="2" t="inlineStr">
        <is>
          <t>Aluguel de contêiner (UNIAO MULTIMODAL) em Outras despesas pagas</t>
        </is>
      </c>
      <c r="B30" s="2" t="inlineStr">
        <is>
          <t>CT-e da UNIAO MULTIMODAL OTM (R$ 293.060,00 bruto, sem ICMS) é locação/estadia de contêiner, não transporte; já estava fora do frete e agora aparece como subcategoria própria.</t>
        </is>
      </c>
      <c r="G30" s="7" t="n">
        <v>0</v>
      </c>
    </row>
    <row r="31" ht="48" customHeight="1">
      <c r="A31" s="2" t="inlineStr">
        <is>
          <t>Créditos calculados por fórmula em Lançamentos, por categoria</t>
        </is>
      </c>
      <c r="B31" s="2" t="inlineStr">
        <is>
          <t>A versão anterior definia créditos por destino; agora cada categoria tem seus flags (aba Premissas) e a coluna Crédito é fórmula, então qualquer ajuste recalcula tudo.</t>
        </is>
      </c>
      <c r="G31" s="7" t="n">
        <v>0</v>
      </c>
    </row>
    <row r="32" ht="64" customHeight="1">
      <c r="A32" s="2" t="inlineStr">
        <is>
          <t>Revisados e mantidos sem alteração</t>
        </is>
      </c>
      <c r="B32" s="2" t="inlineStr">
        <is>
          <t>ICMS-ST: nenhum valor relevante no escopo (R$ 250 em CT-e), nunca abatido, permanece no custo. PIS/COFINS de CT-e: não destacados nos CT-e (zero). CFOP x.556 sem ICMS/IPI: regra mantida. Frete de venda sem crédito: regra do usuário mantida (ver pendências). EPI: crédito de PIS/COFINS mantido (PN Cosit 5/2018). Estadia/cabotagem da Aliança (2.01.82): mantida com o ICMS destacado.</t>
        </is>
      </c>
      <c r="G32" s="7" t="n">
        <v>0</v>
      </c>
    </row>
    <row r="34">
      <c r="A34" s="3" t="inlineStr">
        <is>
          <t>4) Totais por categoria (2026, fórmulas sobre Lançamentos)</t>
        </is>
      </c>
    </row>
    <row r="35">
      <c r="A35" s="4" t="inlineStr">
        <is>
          <t>Categoria</t>
        </is>
      </c>
      <c r="B35" s="5" t="inlineStr">
        <is>
          <t>Nº docs 2026</t>
        </is>
      </c>
      <c r="C35" s="5" t="inlineStr">
        <is>
          <t>Valor bruto 2026</t>
        </is>
      </c>
      <c r="D35" s="5" t="inlineStr">
        <is>
          <t>Créditos 2026</t>
        </is>
      </c>
      <c r="E35" s="5" t="inlineStr">
        <is>
          <t>Líquido 2026</t>
        </is>
      </c>
      <c r="F35" s="5" t="inlineStr">
        <is>
          <t>% do líquido</t>
        </is>
      </c>
      <c r="G35" s="5" t="inlineStr">
        <is>
          <t>Bruto antes de 2026</t>
        </is>
      </c>
      <c r="H35" s="5" t="inlineStr">
        <is>
          <t>Líquido antes de 2026</t>
        </is>
      </c>
    </row>
    <row r="36">
      <c r="A36" t="inlineStr">
        <is>
          <t>Insumos e papel</t>
        </is>
      </c>
      <c r="B36" s="8">
        <f>COUNTIFS('Lançamentos'!$A$2:$A$5010,$A36,'Lançamentos'!$D$2:$D$5010,"Em 2026")</f>
        <v/>
      </c>
      <c r="C36" s="9">
        <f>SUMIFS('Lançamentos'!$J$2:$J$5010,'Lançamentos'!$A$2:$A$5010,$A36,'Lançamentos'!$D$2:$D$5010,"Em 2026")</f>
        <v/>
      </c>
      <c r="D36" s="9">
        <f>SUMIFS('Lançamentos'!$K$2:$K$5010,'Lançamentos'!$A$2:$A$5010,$A36,'Lançamentos'!$D$2:$D$5010,"Em 2026")</f>
        <v/>
      </c>
      <c r="E36" s="9">
        <f>C36-D36</f>
        <v/>
      </c>
      <c r="F36" s="10">
        <f>E36/E$41</f>
        <v/>
      </c>
      <c r="G36" s="9">
        <f>SUMIFS('Lançamentos'!$J$2:$J$5010,'Lançamentos'!$A$2:$A$5010,$A36,'Lançamentos'!$D$2:$D$5010,"Antes de 2026")</f>
        <v/>
      </c>
      <c r="H36" s="9">
        <f>G36-SUMIFS('Lançamentos'!$K$2:$K$5010,'Lançamentos'!$A$2:$A$5010,$A36,'Lançamentos'!$D$2:$D$5010,"Antes de 2026")</f>
        <v/>
      </c>
    </row>
    <row r="37">
      <c r="A37" t="inlineStr">
        <is>
          <t>Uso e consumo</t>
        </is>
      </c>
      <c r="B37" s="8">
        <f>COUNTIFS('Lançamentos'!$A$2:$A$5010,$A37,'Lançamentos'!$D$2:$D$5010,"Em 2026")</f>
        <v/>
      </c>
      <c r="C37" s="9">
        <f>SUMIFS('Lançamentos'!$J$2:$J$5010,'Lançamentos'!$A$2:$A$5010,$A37,'Lançamentos'!$D$2:$D$5010,"Em 2026")</f>
        <v/>
      </c>
      <c r="D37" s="9">
        <f>SUMIFS('Lançamentos'!$K$2:$K$5010,'Lançamentos'!$A$2:$A$5010,$A37,'Lançamentos'!$D$2:$D$5010,"Em 2026")</f>
        <v/>
      </c>
      <c r="E37" s="9">
        <f>C37-D37</f>
        <v/>
      </c>
      <c r="F37" s="10">
        <f>E37/E$41</f>
        <v/>
      </c>
      <c r="G37" s="9">
        <f>SUMIFS('Lançamentos'!$J$2:$J$5010,'Lançamentos'!$A$2:$A$5010,$A37,'Lançamentos'!$D$2:$D$5010,"Antes de 2026")</f>
        <v/>
      </c>
      <c r="H37" s="9">
        <f>G37-SUMIFS('Lançamentos'!$K$2:$K$5010,'Lançamentos'!$A$2:$A$5010,$A37,'Lançamentos'!$D$2:$D$5010,"Antes de 2026")</f>
        <v/>
      </c>
    </row>
    <row r="38">
      <c r="A38" t="inlineStr">
        <is>
          <t>Frete de compra</t>
        </is>
      </c>
      <c r="B38" s="8">
        <f>COUNTIFS('Lançamentos'!$A$2:$A$5010,$A38,'Lançamentos'!$D$2:$D$5010,"Em 2026")</f>
        <v/>
      </c>
      <c r="C38" s="9">
        <f>SUMIFS('Lançamentos'!$J$2:$J$5010,'Lançamentos'!$A$2:$A$5010,$A38,'Lançamentos'!$D$2:$D$5010,"Em 2026")</f>
        <v/>
      </c>
      <c r="D38" s="9">
        <f>SUMIFS('Lançamentos'!$K$2:$K$5010,'Lançamentos'!$A$2:$A$5010,$A38,'Lançamentos'!$D$2:$D$5010,"Em 2026")</f>
        <v/>
      </c>
      <c r="E38" s="9">
        <f>C38-D38</f>
        <v/>
      </c>
      <c r="F38" s="10">
        <f>E38/E$41</f>
        <v/>
      </c>
      <c r="G38" s="9">
        <f>SUMIFS('Lançamentos'!$J$2:$J$5010,'Lançamentos'!$A$2:$A$5010,$A38,'Lançamentos'!$D$2:$D$5010,"Antes de 2026")</f>
        <v/>
      </c>
      <c r="H38" s="9">
        <f>G38-SUMIFS('Lançamentos'!$K$2:$K$5010,'Lançamentos'!$A$2:$A$5010,$A38,'Lançamentos'!$D$2:$D$5010,"Antes de 2026")</f>
        <v/>
      </c>
    </row>
    <row r="39">
      <c r="A39" t="inlineStr">
        <is>
          <t>Frete de venda</t>
        </is>
      </c>
      <c r="B39" s="8">
        <f>COUNTIFS('Lançamentos'!$A$2:$A$5010,$A39,'Lançamentos'!$D$2:$D$5010,"Em 2026")</f>
        <v/>
      </c>
      <c r="C39" s="9">
        <f>SUMIFS('Lançamentos'!$J$2:$J$5010,'Lançamentos'!$A$2:$A$5010,$A39,'Lançamentos'!$D$2:$D$5010,"Em 2026")</f>
        <v/>
      </c>
      <c r="D39" s="9">
        <f>SUMIFS('Lançamentos'!$K$2:$K$5010,'Lançamentos'!$A$2:$A$5010,$A39,'Lançamentos'!$D$2:$D$5010,"Em 2026")</f>
        <v/>
      </c>
      <c r="E39" s="9">
        <f>C39-D39</f>
        <v/>
      </c>
      <c r="F39" s="10">
        <f>E39/E$41</f>
        <v/>
      </c>
      <c r="G39" s="9">
        <f>SUMIFS('Lançamentos'!$J$2:$J$5010,'Lançamentos'!$A$2:$A$5010,$A39,'Lançamentos'!$D$2:$D$5010,"Antes de 2026")</f>
        <v/>
      </c>
      <c r="H39" s="9">
        <f>G39-SUMIFS('Lançamentos'!$K$2:$K$5010,'Lançamentos'!$A$2:$A$5010,$A39,'Lançamentos'!$D$2:$D$5010,"Antes de 2026")</f>
        <v/>
      </c>
    </row>
    <row r="40">
      <c r="A40" t="inlineStr">
        <is>
          <t>Outras despesas pagas</t>
        </is>
      </c>
      <c r="B40" s="8">
        <f>COUNTIFS('Lançamentos'!$A$2:$A$5010,$A40,'Lançamentos'!$D$2:$D$5010,"Em 2026")</f>
        <v/>
      </c>
      <c r="C40" s="9">
        <f>SUMIFS('Lançamentos'!$J$2:$J$5010,'Lançamentos'!$A$2:$A$5010,$A40,'Lançamentos'!$D$2:$D$5010,"Em 2026")</f>
        <v/>
      </c>
      <c r="D40" s="9">
        <f>SUMIFS('Lançamentos'!$K$2:$K$5010,'Lançamentos'!$A$2:$A$5010,$A40,'Lançamentos'!$D$2:$D$5010,"Em 2026")</f>
        <v/>
      </c>
      <c r="E40" s="9">
        <f>C40-D40</f>
        <v/>
      </c>
      <c r="F40" s="10">
        <f>E40/E$41</f>
        <v/>
      </c>
      <c r="G40" s="9">
        <f>SUMIFS('Lançamentos'!$J$2:$J$5010,'Lançamentos'!$A$2:$A$5010,$A40,'Lançamentos'!$D$2:$D$5010,"Antes de 2026")</f>
        <v/>
      </c>
      <c r="H40" s="9">
        <f>G40-SUMIFS('Lançamentos'!$K$2:$K$5010,'Lançamentos'!$A$2:$A$5010,$A40,'Lançamentos'!$D$2:$D$5010,"Antes de 2026")</f>
        <v/>
      </c>
    </row>
    <row r="41">
      <c r="A41" s="11" t="inlineStr">
        <is>
          <t>TOTAL</t>
        </is>
      </c>
      <c r="B41" s="12">
        <f>SUM(B36:B40)</f>
        <v/>
      </c>
      <c r="C41" s="13">
        <f>SUM(C36:C40)</f>
        <v/>
      </c>
      <c r="D41" s="13">
        <f>SUM(D36:D40)</f>
        <v/>
      </c>
      <c r="E41" s="13">
        <f>SUM(E36:E40)</f>
        <v/>
      </c>
      <c r="F41" s="14">
        <f>E41/E41</f>
        <v/>
      </c>
      <c r="G41" s="13">
        <f>SUM(G36:G40)</f>
        <v/>
      </c>
      <c r="H41" s="13">
        <f>SUM(H36:H40)</f>
        <v/>
      </c>
    </row>
    <row r="43">
      <c r="A43" s="3" t="inlineStr">
        <is>
          <t>5) Reconciliação com a aba Notas (valor bruto, todas as linhas)</t>
        </is>
      </c>
    </row>
    <row r="44">
      <c r="A44" s="4" t="inlineStr">
        <is>
          <t>Item</t>
        </is>
      </c>
      <c r="B44" s="5" t="inlineStr">
        <is>
          <t>Em 2026</t>
        </is>
      </c>
      <c r="C44" s="5" t="inlineStr">
        <is>
          <t>Antes de 2026</t>
        </is>
      </c>
      <c r="D44" s="5" t="inlineStr">
        <is>
          <t>Total</t>
        </is>
      </c>
      <c r="E44" s="5" t="inlineStr">
        <is>
          <t>Nº linhas</t>
        </is>
      </c>
    </row>
    <row r="45">
      <c r="A45" t="inlineStr">
        <is>
          <t>Pago – Insumos e papel</t>
        </is>
      </c>
      <c r="B45" s="9">
        <f>SUMIFS('Lançamentos'!$J$2:$J$5010,'Lançamentos'!$A$2:$A$5010,"Insumos e papel",'Lançamentos'!$D$2:$D$5010,"Em 2026")</f>
        <v/>
      </c>
      <c r="C45" s="9">
        <f>SUMIFS('Lançamentos'!$J$2:$J$5010,'Lançamentos'!$A$2:$A$5010,"Insumos e papel",'Lançamentos'!$D$2:$D$5010,"Antes de 2026")</f>
        <v/>
      </c>
      <c r="D45" s="9">
        <f>B45+C45</f>
        <v/>
      </c>
      <c r="E45" s="8">
        <f>COUNTIFS('Lançamentos'!$A$2:$A$5010,"Insumos e papel")</f>
        <v/>
      </c>
    </row>
    <row r="46">
      <c r="A46" t="inlineStr">
        <is>
          <t>Pago – Uso e consumo</t>
        </is>
      </c>
      <c r="B46" s="9">
        <f>SUMIFS('Lançamentos'!$J$2:$J$5010,'Lançamentos'!$A$2:$A$5010,"Uso e consumo",'Lançamentos'!$D$2:$D$5010,"Em 2026")</f>
        <v/>
      </c>
      <c r="C46" s="9">
        <f>SUMIFS('Lançamentos'!$J$2:$J$5010,'Lançamentos'!$A$2:$A$5010,"Uso e consumo",'Lançamentos'!$D$2:$D$5010,"Antes de 2026")</f>
        <v/>
      </c>
      <c r="D46" s="9">
        <f>B46+C46</f>
        <v/>
      </c>
      <c r="E46" s="8">
        <f>COUNTIFS('Lançamentos'!$A$2:$A$5010,"Uso e consumo")</f>
        <v/>
      </c>
    </row>
    <row r="47">
      <c r="A47" t="inlineStr">
        <is>
          <t>Pago – Frete de compra</t>
        </is>
      </c>
      <c r="B47" s="9">
        <f>SUMIFS('Lançamentos'!$J$2:$J$5010,'Lançamentos'!$A$2:$A$5010,"Frete de compra",'Lançamentos'!$D$2:$D$5010,"Em 2026")</f>
        <v/>
      </c>
      <c r="C47" s="9">
        <f>SUMIFS('Lançamentos'!$J$2:$J$5010,'Lançamentos'!$A$2:$A$5010,"Frete de compra",'Lançamentos'!$D$2:$D$5010,"Antes de 2026")</f>
        <v/>
      </c>
      <c r="D47" s="9">
        <f>B47+C47</f>
        <v/>
      </c>
      <c r="E47" s="8">
        <f>COUNTIFS('Lançamentos'!$A$2:$A$5010,"Frete de compra")</f>
        <v/>
      </c>
    </row>
    <row r="48">
      <c r="A48" t="inlineStr">
        <is>
          <t>Pago – Frete de venda</t>
        </is>
      </c>
      <c r="B48" s="9">
        <f>SUMIFS('Lançamentos'!$J$2:$J$5010,'Lançamentos'!$A$2:$A$5010,"Frete de venda",'Lançamentos'!$D$2:$D$5010,"Em 2026")</f>
        <v/>
      </c>
      <c r="C48" s="9">
        <f>SUMIFS('Lançamentos'!$J$2:$J$5010,'Lançamentos'!$A$2:$A$5010,"Frete de venda",'Lançamentos'!$D$2:$D$5010,"Antes de 2026")</f>
        <v/>
      </c>
      <c r="D48" s="9">
        <f>B48+C48</f>
        <v/>
      </c>
      <c r="E48" s="8">
        <f>COUNTIFS('Lançamentos'!$A$2:$A$5010,"Frete de venda")</f>
        <v/>
      </c>
    </row>
    <row r="49">
      <c r="A49" t="inlineStr">
        <is>
          <t>Pago – Outras despesas pagas</t>
        </is>
      </c>
      <c r="B49" s="9">
        <f>SUMIFS('Lançamentos'!$J$2:$J$5010,'Lançamentos'!$A$2:$A$5010,"Outras despesas pagas",'Lançamentos'!$D$2:$D$5010,"Em 2026")</f>
        <v/>
      </c>
      <c r="C49" s="9">
        <f>SUMIFS('Lançamentos'!$J$2:$J$5010,'Lançamentos'!$A$2:$A$5010,"Outras despesas pagas",'Lançamentos'!$D$2:$D$5010,"Antes de 2026")</f>
        <v/>
      </c>
      <c r="D49" s="9">
        <f>B49+C49</f>
        <v/>
      </c>
      <c r="E49" s="8">
        <f>COUNTIFS('Lançamentos'!$A$2:$A$5010,"Outras despesas pagas")</f>
        <v/>
      </c>
    </row>
    <row r="50">
      <c r="A50" t="inlineStr">
        <is>
          <t>Excluído – NF-e sem título a pagar gerado no recebimento</t>
        </is>
      </c>
      <c r="B50" s="9">
        <f>SUMIFS(Excluídos!$J$2:$J$794,Excluídos!$A$2:$A$794,"NF-e sem título a pagar gerado no recebimento",Excluídos!$D$2:$D$794,"Em 2026")</f>
        <v/>
      </c>
      <c r="C50" s="9">
        <f>SUMIFS(Excluídos!$J$2:$J$794,Excluídos!$A$2:$A$794,"NF-e sem título a pagar gerado no recebimento",Excluídos!$D$2:$D$794,"Antes de 2026")</f>
        <v/>
      </c>
      <c r="D50" s="9">
        <f>B50+C50</f>
        <v/>
      </c>
      <c r="E50" s="8">
        <f>COUNTIFS(Excluídos!$A$2:$A$794,"NF-e sem título a pagar gerado no recebimento")</f>
        <v/>
      </c>
    </row>
    <row r="51">
      <c r="A51" t="inlineStr">
        <is>
          <t>Excluído – Remessa de mercadoria (categoria 2.01.84)</t>
        </is>
      </c>
      <c r="B51" s="9">
        <f>SUMIFS(Excluídos!$J$2:$J$794,Excluídos!$A$2:$A$794,"Remessa de mercadoria (categoria 2.01.84)",Excluídos!$D$2:$D$794,"Em 2026")</f>
        <v/>
      </c>
      <c r="C51" s="9">
        <f>SUMIFS(Excluídos!$J$2:$J$794,Excluídos!$A$2:$A$794,"Remessa de mercadoria (categoria 2.01.84)",Excluídos!$D$2:$D$794,"Antes de 2026")</f>
        <v/>
      </c>
      <c r="D51" s="9">
        <f>B51+C51</f>
        <v/>
      </c>
      <c r="E51" s="8">
        <f>COUNTIFS(Excluídos!$A$2:$A$794,"Remessa de mercadoria (categoria 2.01.84)")</f>
        <v/>
      </c>
    </row>
    <row r="52">
      <c r="A52" t="inlineStr">
        <is>
          <t>Excluído – Simples faturamento (x.922) – duplica x.116/x.117</t>
        </is>
      </c>
      <c r="B52" s="9">
        <f>SUMIFS(Excluídos!$J$2:$J$794,Excluídos!$A$2:$A$794,"Simples faturamento (x.922) – duplica x.116/x.117",Excluídos!$D$2:$D$794,"Em 2026")</f>
        <v/>
      </c>
      <c r="C52" s="9">
        <f>SUMIFS(Excluídos!$J$2:$J$794,Excluídos!$A$2:$A$794,"Simples faturamento (x.922) – duplica x.116/x.117",Excluídos!$D$2:$D$794,"Antes de 2026")</f>
        <v/>
      </c>
      <c r="D52" s="9">
        <f>B52+C52</f>
        <v/>
      </c>
      <c r="E52" s="8">
        <f>COUNTIFS(Excluídos!$A$2:$A$794,"Simples faturamento (x.922) – duplica x.116/x.117")</f>
        <v/>
      </c>
    </row>
    <row r="53">
      <c r="A53" t="inlineStr">
        <is>
          <t>Excluído – Transferência (0.01)</t>
        </is>
      </c>
      <c r="B53" s="9">
        <f>SUMIFS(Excluídos!$J$2:$J$794,Excluídos!$A$2:$A$794,"Transferência (0.01)",Excluídos!$D$2:$D$794,"Em 2026")</f>
        <v/>
      </c>
      <c r="C53" s="9">
        <f>SUMIFS(Excluídos!$J$2:$J$794,Excluídos!$A$2:$A$794,"Transferência (0.01)",Excluídos!$D$2:$D$794,"Antes de 2026")</f>
        <v/>
      </c>
      <c r="D53" s="9">
        <f>B53+C53</f>
        <v/>
      </c>
      <c r="E53" s="8">
        <f>COUNTIFS(Excluídos!$A$2:$A$794,"Transferência (0.01)")</f>
        <v/>
      </c>
    </row>
    <row r="54">
      <c r="A54" s="11" t="inlineStr">
        <is>
          <t>SOMA (pagos + excluídos)</t>
        </is>
      </c>
      <c r="B54" s="13">
        <f>SUM(B45:B53)</f>
        <v/>
      </c>
      <c r="C54" s="13">
        <f>SUM(C45:C53)</f>
        <v/>
      </c>
      <c r="D54" s="13">
        <f>SUM(D45:D53)</f>
        <v/>
      </c>
      <c r="E54" s="12">
        <f>SUM(E45:E53)</f>
        <v/>
      </c>
    </row>
    <row r="55">
      <c r="A55" s="6" t="inlineStr">
        <is>
          <t>Total da aba Notas (soma da coluna "Valor na categoria")</t>
        </is>
      </c>
      <c r="B55" s="15" t="n">
        <v>36108608.18</v>
      </c>
      <c r="C55" s="15" t="n">
        <v>11802907.79</v>
      </c>
      <c r="D55" s="9">
        <f>B55+C55</f>
        <v/>
      </c>
      <c r="E55" s="16" t="n">
        <v>5802</v>
      </c>
    </row>
    <row r="56">
      <c r="A56" s="11" t="inlineStr">
        <is>
          <t>Diferença (deve ser zero)</t>
        </is>
      </c>
      <c r="B56" s="13">
        <f>ROUND(B54-B55,2)</f>
        <v/>
      </c>
      <c r="C56" s="13">
        <f>ROUND(C54-C55,2)</f>
        <v/>
      </c>
      <c r="D56" s="13">
        <f>ROUND(D54-D55,2)</f>
        <v/>
      </c>
      <c r="E56" s="12">
        <f>ROUND(E54-E55,2)</f>
        <v/>
      </c>
    </row>
    <row r="58">
      <c r="A58" s="3" t="inlineStr">
        <is>
          <t>6) Pendências para o usuário / contador</t>
        </is>
      </c>
    </row>
    <row r="59" ht="48" customHeight="1">
      <c r="A59" s="2" t="inlineStr">
        <is>
          <t>1. Papel/insumos com CFOP de entrada x.556 (uso e consumo): 142 documentos, R$ 6.592.265,94 bruto em 2026, com R$ 408.407,94 de IPI e R$ 607.372,93 de ICMS destacados sem crédito (regra x.556). Se o CFOP estiver errado no Omie (papel é insumo, x.101/x.102), o custo líquido de Insumos cai em até ~R$ 1.015.780,87. Validar com o contador; maior ponto de atenção.</t>
        </is>
      </c>
    </row>
    <row r="60" ht="32" customHeight="1">
      <c r="A60" s="2" t="inlineStr">
        <is>
          <t>2. 10 documentos de insumos com CFOP misto (x.556 junto com x.102): R$ 382.154,86 bruto, ICMS+IPI de R$ 43.447,66 tratados integralmente sem crédito (a base não traz o item).</t>
        </is>
      </c>
    </row>
    <row r="61" ht="48" customHeight="1">
      <c r="A61" s="2" t="inlineStr">
        <is>
          <t>3. PIS/COFINS de frete de compra: o CT-e não destaca, mas em Lucro Real o frete na aquisição de insumos gera crédito (Lei 10.833, art. 3º, II). Potencial ~R$ 230.019,21 em 2026 (9,25% sobre bruto menos ICMS). Não modelado (regra do usuário: só ICMS).</t>
        </is>
      </c>
    </row>
    <row r="62" ht="48" customHeight="1">
      <c r="A62" s="2" t="inlineStr">
        <is>
          <t>4. Frete de venda: sem crédito por regra do usuário. Em Lucro Real, o frete na operação de venda por conta do vendedor gera PIS/COFINS (art. 3º, IX): potencial ~R$ 104.328,58, além de R$ 88.725,22 de ICMS destacado nos CT-e. Confirmar tratamento com o contador.</t>
        </is>
      </c>
    </row>
    <row r="63" ht="48" customHeight="1">
      <c r="A63" s="2" t="inlineStr">
        <is>
          <t>5. Pagamentos de frete de venda sem CT-e no Omie (4 lançamentos em ago/2026, R$ 67.250,00): destaque para a FATURA de ADIL CARLOS DA SILVA de R$ 34.500,00, que pode duplicar os 51 CT-e da mesma transportadora (R$ 36.930,00 no total). Confirmar se a fatura já está coberta pelos CT-e.</t>
        </is>
      </c>
    </row>
    <row r="64" ht="32" customHeight="1">
      <c r="A64" s="2" t="inlineStr">
        <is>
          <t>6. Gol Linhas Aéreas: 31 CT-e em 2026 (R$ 8.940,73) entram como frete de compra pela regra, mas no Omie estão categorizados como venda/amostras/descarregamento. Confirmar se são mesmo frete de compra de papel.</t>
        </is>
      </c>
    </row>
    <row r="65" ht="32" customHeight="1">
      <c r="A65" s="2" t="inlineStr">
        <is>
          <t>7. Fretes 2.01.84 (remessa) de Aliança e Planeta Azul excluídos pela regra (14 CT-e, R$ 258.995,12); se forem frete de compra de bobina/papel, deveriam entrar.</t>
        </is>
      </c>
    </row>
    <row r="66" ht="48" customHeight="1">
      <c r="A66" s="2" t="inlineStr">
        <is>
          <t>8. CFOPs de entrada incompatíveis no Omie: CT-e da Aliança com 3.250 (8 documentos) e 2.305 (1), e NF-e da CMPC Iguaçu (papel, R$ 121.242,55) com 1.553 (devolução de ativo). Os créditos foram mantidos, mas o cadastro deve ser corrigido.</t>
        </is>
      </c>
    </row>
    <row r="67" ht="32" customHeight="1">
      <c r="A67" s="2" t="inlineStr">
        <is>
          <t>9. NF-e da B. B. A. Indústria (R$ 6.521,26, CFOP 2.556) está categorizada como 2.04.87 Frete sobre Compra; ficou em Outras (a classificar). Provavelmente uso e consumo/peças; recategorizar no Omie.</t>
        </is>
      </c>
    </row>
    <row r="68" ht="32" customHeight="1">
      <c r="A68" s="2" t="inlineStr">
        <is>
          <t>10. PIS/COFINS usam os valores destacados na NF do fornecedor; o crédito legal é a alíquota do adquirente sobre o custo sem ICMS recuperável. A diferença tende a ser pequena, mas não foi recalculada.</t>
        </is>
      </c>
    </row>
    <row r="69" ht="32" customHeight="1">
      <c r="A69" s="2" t="inlineStr">
        <is>
          <t>11. CNPJ das transportadoras não existe na base do Omie: em CT-e a coluna CNPJ/CPF fica em branco e a observação traz a outra parte do frete (cliente/fornecedor) e seu CNPJ.</t>
        </is>
      </c>
    </row>
    <row r="70" ht="32" customHeight="1">
      <c r="A70" s="2" t="inlineStr">
        <is>
          <t>12. Fardamento, material de escritório, copa e bens de pequeno valor estão sem crédito de PIS/COFINS (ajuste conservador); se o contador entender que geram crédito, marque 1 na aba Premissas.</t>
        </is>
      </c>
    </row>
  </sheetData>
  <mergeCells count="35">
    <mergeCell ref="A67:H67"/>
    <mergeCell ref="B9:H9"/>
    <mergeCell ref="A59:H59"/>
    <mergeCell ref="A64:H64"/>
    <mergeCell ref="B6:H6"/>
    <mergeCell ref="A60:H60"/>
    <mergeCell ref="B31:F31"/>
    <mergeCell ref="B27:F27"/>
    <mergeCell ref="A61:H61"/>
    <mergeCell ref="A70:H70"/>
    <mergeCell ref="A69:H69"/>
    <mergeCell ref="A65:H65"/>
    <mergeCell ref="A66:H66"/>
    <mergeCell ref="B7:H7"/>
    <mergeCell ref="A18:H18"/>
    <mergeCell ref="B29:F29"/>
    <mergeCell ref="A21:H21"/>
    <mergeCell ref="A2:H2"/>
    <mergeCell ref="B28:F28"/>
    <mergeCell ref="B12:H12"/>
    <mergeCell ref="B11:H11"/>
    <mergeCell ref="A23:H23"/>
    <mergeCell ref="A22:H22"/>
    <mergeCell ref="A17:H17"/>
    <mergeCell ref="B30:F30"/>
    <mergeCell ref="B8:H8"/>
    <mergeCell ref="B14:H14"/>
    <mergeCell ref="A62:H62"/>
    <mergeCell ref="B13:H13"/>
    <mergeCell ref="A20:H20"/>
    <mergeCell ref="A63:H63"/>
    <mergeCell ref="A19:H19"/>
    <mergeCell ref="A68:H68"/>
    <mergeCell ref="B10:H10"/>
    <mergeCell ref="B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7" t="inlineStr">
        <is>
          <t>Despesas pagas 2026 – resumo geral (VINCO)</t>
        </is>
      </c>
    </row>
    <row r="2">
      <c r="A2" t="inlineStr">
        <is>
          <t>R$ por mês de emissão, custo líquido de créditos (aba Premissas). Só o efetivamente pago (NF-e com título a pagar + CT-e); sem remessa, devolução, transferência, x.949, x.922 e NF-e sem título (aba Excluídos). Todos os valores são SUMIFS sobre a aba Lançamentos.</t>
        </is>
      </c>
    </row>
    <row r="4">
      <c r="A4" s="4" t="inlineStr">
        <is>
          <t>Categoria / Subcategoria</t>
        </is>
      </c>
      <c r="B4" s="18" t="n">
        <v>46023</v>
      </c>
      <c r="C4" s="18" t="n">
        <v>46054</v>
      </c>
      <c r="D4" s="18" t="n">
        <v>46082</v>
      </c>
      <c r="E4" s="18" t="n">
        <v>46113</v>
      </c>
      <c r="F4" s="18" t="n">
        <v>46143</v>
      </c>
      <c r="G4" s="18" t="n">
        <v>46174</v>
      </c>
      <c r="H4" s="18" t="n">
        <v>46204</v>
      </c>
      <c r="I4" s="18" t="n">
        <v>46235</v>
      </c>
      <c r="J4" s="18" t="n">
        <v>46266</v>
      </c>
      <c r="K4" s="5" t="inlineStr">
        <is>
          <t>Total 2026</t>
        </is>
      </c>
      <c r="L4" s="5" t="inlineStr">
        <is>
          <t>% do total</t>
        </is>
      </c>
      <c r="M4" s="5" t="inlineStr">
        <is>
          <t>Memo: antes de 2026</t>
        </is>
      </c>
    </row>
    <row r="5">
      <c r="A5" s="19" t="inlineStr">
        <is>
          <t>Insumos e papel</t>
        </is>
      </c>
      <c r="B5" s="20">
        <f>SUM(B6:B17)</f>
        <v/>
      </c>
      <c r="C5" s="20">
        <f>SUM(C6:C17)</f>
        <v/>
      </c>
      <c r="D5" s="20">
        <f>SUM(D6:D17)</f>
        <v/>
      </c>
      <c r="E5" s="20">
        <f>SUM(E6:E17)</f>
        <v/>
      </c>
      <c r="F5" s="20">
        <f>SUM(F6:F17)</f>
        <v/>
      </c>
      <c r="G5" s="20">
        <f>SUM(G6:G17)</f>
        <v/>
      </c>
      <c r="H5" s="20">
        <f>SUM(H6:H17)</f>
        <v/>
      </c>
      <c r="I5" s="20">
        <f>SUM(I6:I17)</f>
        <v/>
      </c>
      <c r="J5" s="20">
        <f>SUM(J6:J17)</f>
        <v/>
      </c>
      <c r="K5" s="20">
        <f>SUM(K6:K17)</f>
        <v/>
      </c>
      <c r="L5" s="21">
        <f>K5/K$51</f>
        <v/>
      </c>
      <c r="M5" s="20">
        <f>SUM(M6:M17)</f>
        <v/>
      </c>
    </row>
    <row r="6">
      <c r="A6" s="22" t="inlineStr">
        <is>
          <t>2.01.03 Compra de Matéria Prima (Papel)</t>
        </is>
      </c>
      <c r="B6" s="9">
        <f>SUMIFS('Lançamentos'!$L$2:$L$5010,'Lançamentos'!$A$2:$A$5010,"Insumos e papel",'Lançamentos'!$B$2:$B$5010,$A6,'Lançamentos'!$C$2:$C$5010,B$4)</f>
        <v/>
      </c>
      <c r="C6" s="9">
        <f>SUMIFS('Lançamentos'!$L$2:$L$5010,'Lançamentos'!$A$2:$A$5010,"Insumos e papel",'Lançamentos'!$B$2:$B$5010,$A6,'Lançamentos'!$C$2:$C$5010,C$4)</f>
        <v/>
      </c>
      <c r="D6" s="9">
        <f>SUMIFS('Lançamentos'!$L$2:$L$5010,'Lançamentos'!$A$2:$A$5010,"Insumos e papel",'Lançamentos'!$B$2:$B$5010,$A6,'Lançamentos'!$C$2:$C$5010,D$4)</f>
        <v/>
      </c>
      <c r="E6" s="9">
        <f>SUMIFS('Lançamentos'!$L$2:$L$5010,'Lançamentos'!$A$2:$A$5010,"Insumos e papel",'Lançamentos'!$B$2:$B$5010,$A6,'Lançamentos'!$C$2:$C$5010,E$4)</f>
        <v/>
      </c>
      <c r="F6" s="9">
        <f>SUMIFS('Lançamentos'!$L$2:$L$5010,'Lançamentos'!$A$2:$A$5010,"Insumos e papel",'Lançamentos'!$B$2:$B$5010,$A6,'Lançamentos'!$C$2:$C$5010,F$4)</f>
        <v/>
      </c>
      <c r="G6" s="9">
        <f>SUMIFS('Lançamentos'!$L$2:$L$5010,'Lançamentos'!$A$2:$A$5010,"Insumos e papel",'Lançamentos'!$B$2:$B$5010,$A6,'Lançamentos'!$C$2:$C$5010,G$4)</f>
        <v/>
      </c>
      <c r="H6" s="9">
        <f>SUMIFS('Lançamentos'!$L$2:$L$5010,'Lançamentos'!$A$2:$A$5010,"Insumos e papel",'Lançamentos'!$B$2:$B$5010,$A6,'Lançamentos'!$C$2:$C$5010,H$4)</f>
        <v/>
      </c>
      <c r="I6" s="9">
        <f>SUMIFS('Lançamentos'!$L$2:$L$5010,'Lançamentos'!$A$2:$A$5010,"Insumos e papel",'Lançamentos'!$B$2:$B$5010,$A6,'Lançamentos'!$C$2:$C$5010,I$4)</f>
        <v/>
      </c>
      <c r="J6" s="9">
        <f>SUMIFS('Lançamentos'!$L$2:$L$5010,'Lançamentos'!$A$2:$A$5010,"Insumos e papel",'Lançamentos'!$B$2:$B$5010,$A6,'Lançamentos'!$C$2:$C$5010,J$4)</f>
        <v/>
      </c>
      <c r="K6" s="9">
        <f>SUM(B6:J6)</f>
        <v/>
      </c>
      <c r="L6" s="10">
        <f>K6/K$51</f>
        <v/>
      </c>
      <c r="M6" s="9">
        <f>SUMIFS('Lançamentos'!$L$2:$L$5010,'Lançamentos'!$A$2:$A$5010,"Insumos e papel",'Lançamentos'!$B$2:$B$5010,$A6,'Lançamentos'!$C$2:$C$5010,"Antes de 2026")</f>
        <v/>
      </c>
    </row>
    <row r="7">
      <c r="A7" s="22" t="inlineStr">
        <is>
          <t>2.01.79 Compra de Gás</t>
        </is>
      </c>
      <c r="B7" s="9">
        <f>SUMIFS('Lançamentos'!$L$2:$L$5010,'Lançamentos'!$A$2:$A$5010,"Insumos e papel",'Lançamentos'!$B$2:$B$5010,$A7,'Lançamentos'!$C$2:$C$5010,B$4)</f>
        <v/>
      </c>
      <c r="C7" s="9">
        <f>SUMIFS('Lançamentos'!$L$2:$L$5010,'Lançamentos'!$A$2:$A$5010,"Insumos e papel",'Lançamentos'!$B$2:$B$5010,$A7,'Lançamentos'!$C$2:$C$5010,C$4)</f>
        <v/>
      </c>
      <c r="D7" s="9">
        <f>SUMIFS('Lançamentos'!$L$2:$L$5010,'Lançamentos'!$A$2:$A$5010,"Insumos e papel",'Lançamentos'!$B$2:$B$5010,$A7,'Lançamentos'!$C$2:$C$5010,D$4)</f>
        <v/>
      </c>
      <c r="E7" s="9">
        <f>SUMIFS('Lançamentos'!$L$2:$L$5010,'Lançamentos'!$A$2:$A$5010,"Insumos e papel",'Lançamentos'!$B$2:$B$5010,$A7,'Lançamentos'!$C$2:$C$5010,E$4)</f>
        <v/>
      </c>
      <c r="F7" s="9">
        <f>SUMIFS('Lançamentos'!$L$2:$L$5010,'Lançamentos'!$A$2:$A$5010,"Insumos e papel",'Lançamentos'!$B$2:$B$5010,$A7,'Lançamentos'!$C$2:$C$5010,F$4)</f>
        <v/>
      </c>
      <c r="G7" s="9">
        <f>SUMIFS('Lançamentos'!$L$2:$L$5010,'Lançamentos'!$A$2:$A$5010,"Insumos e papel",'Lançamentos'!$B$2:$B$5010,$A7,'Lançamentos'!$C$2:$C$5010,G$4)</f>
        <v/>
      </c>
      <c r="H7" s="9">
        <f>SUMIFS('Lançamentos'!$L$2:$L$5010,'Lançamentos'!$A$2:$A$5010,"Insumos e papel",'Lançamentos'!$B$2:$B$5010,$A7,'Lançamentos'!$C$2:$C$5010,H$4)</f>
        <v/>
      </c>
      <c r="I7" s="9">
        <f>SUMIFS('Lançamentos'!$L$2:$L$5010,'Lançamentos'!$A$2:$A$5010,"Insumos e papel",'Lançamentos'!$B$2:$B$5010,$A7,'Lançamentos'!$C$2:$C$5010,I$4)</f>
        <v/>
      </c>
      <c r="J7" s="9">
        <f>SUMIFS('Lançamentos'!$L$2:$L$5010,'Lançamentos'!$A$2:$A$5010,"Insumos e papel",'Lançamentos'!$B$2:$B$5010,$A7,'Lançamentos'!$C$2:$C$5010,J$4)</f>
        <v/>
      </c>
      <c r="K7" s="9">
        <f>SUM(B7:J7)</f>
        <v/>
      </c>
      <c r="L7" s="10">
        <f>K7/K$51</f>
        <v/>
      </c>
      <c r="M7" s="9">
        <f>SUMIFS('Lançamentos'!$L$2:$L$5010,'Lançamentos'!$A$2:$A$5010,"Insumos e papel",'Lançamentos'!$B$2:$B$5010,$A7,'Lançamentos'!$C$2:$C$5010,"Antes de 2026")</f>
        <v/>
      </c>
    </row>
    <row r="8">
      <c r="A8" s="22" t="inlineStr">
        <is>
          <t>2.01.83 Compra de Etiqueta Personalizada</t>
        </is>
      </c>
      <c r="B8" s="9">
        <f>SUMIFS('Lançamentos'!$L$2:$L$5010,'Lançamentos'!$A$2:$A$5010,"Insumos e papel",'Lançamentos'!$B$2:$B$5010,$A8,'Lançamentos'!$C$2:$C$5010,B$4)</f>
        <v/>
      </c>
      <c r="C8" s="9">
        <f>SUMIFS('Lançamentos'!$L$2:$L$5010,'Lançamentos'!$A$2:$A$5010,"Insumos e papel",'Lançamentos'!$B$2:$B$5010,$A8,'Lançamentos'!$C$2:$C$5010,C$4)</f>
        <v/>
      </c>
      <c r="D8" s="9">
        <f>SUMIFS('Lançamentos'!$L$2:$L$5010,'Lançamentos'!$A$2:$A$5010,"Insumos e papel",'Lançamentos'!$B$2:$B$5010,$A8,'Lançamentos'!$C$2:$C$5010,D$4)</f>
        <v/>
      </c>
      <c r="E8" s="9">
        <f>SUMIFS('Lançamentos'!$L$2:$L$5010,'Lançamentos'!$A$2:$A$5010,"Insumos e papel",'Lançamentos'!$B$2:$B$5010,$A8,'Lançamentos'!$C$2:$C$5010,E$4)</f>
        <v/>
      </c>
      <c r="F8" s="9">
        <f>SUMIFS('Lançamentos'!$L$2:$L$5010,'Lançamentos'!$A$2:$A$5010,"Insumos e papel",'Lançamentos'!$B$2:$B$5010,$A8,'Lançamentos'!$C$2:$C$5010,F$4)</f>
        <v/>
      </c>
      <c r="G8" s="9">
        <f>SUMIFS('Lançamentos'!$L$2:$L$5010,'Lançamentos'!$A$2:$A$5010,"Insumos e papel",'Lançamentos'!$B$2:$B$5010,$A8,'Lançamentos'!$C$2:$C$5010,G$4)</f>
        <v/>
      </c>
      <c r="H8" s="9">
        <f>SUMIFS('Lançamentos'!$L$2:$L$5010,'Lançamentos'!$A$2:$A$5010,"Insumos e papel",'Lançamentos'!$B$2:$B$5010,$A8,'Lançamentos'!$C$2:$C$5010,H$4)</f>
        <v/>
      </c>
      <c r="I8" s="9">
        <f>SUMIFS('Lançamentos'!$L$2:$L$5010,'Lançamentos'!$A$2:$A$5010,"Insumos e papel",'Lançamentos'!$B$2:$B$5010,$A8,'Lançamentos'!$C$2:$C$5010,I$4)</f>
        <v/>
      </c>
      <c r="J8" s="9">
        <f>SUMIFS('Lançamentos'!$L$2:$L$5010,'Lançamentos'!$A$2:$A$5010,"Insumos e papel",'Lançamentos'!$B$2:$B$5010,$A8,'Lançamentos'!$C$2:$C$5010,J$4)</f>
        <v/>
      </c>
      <c r="K8" s="9">
        <f>SUM(B8:J8)</f>
        <v/>
      </c>
      <c r="L8" s="10">
        <f>K8/K$51</f>
        <v/>
      </c>
      <c r="M8" s="9">
        <f>SUMIFS('Lançamentos'!$L$2:$L$5010,'Lançamentos'!$A$2:$A$5010,"Insumos e papel",'Lançamentos'!$B$2:$B$5010,$A8,'Lançamentos'!$C$2:$C$5010,"Antes de 2026")</f>
        <v/>
      </c>
    </row>
    <row r="9">
      <c r="A9" s="22" t="inlineStr">
        <is>
          <t>2.01.89 Compra de Pallet</t>
        </is>
      </c>
      <c r="B9" s="9">
        <f>SUMIFS('Lançamentos'!$L$2:$L$5010,'Lançamentos'!$A$2:$A$5010,"Insumos e papel",'Lançamentos'!$B$2:$B$5010,$A9,'Lançamentos'!$C$2:$C$5010,B$4)</f>
        <v/>
      </c>
      <c r="C9" s="9">
        <f>SUMIFS('Lançamentos'!$L$2:$L$5010,'Lançamentos'!$A$2:$A$5010,"Insumos e papel",'Lançamentos'!$B$2:$B$5010,$A9,'Lançamentos'!$C$2:$C$5010,C$4)</f>
        <v/>
      </c>
      <c r="D9" s="9">
        <f>SUMIFS('Lançamentos'!$L$2:$L$5010,'Lançamentos'!$A$2:$A$5010,"Insumos e papel",'Lançamentos'!$B$2:$B$5010,$A9,'Lançamentos'!$C$2:$C$5010,D$4)</f>
        <v/>
      </c>
      <c r="E9" s="9">
        <f>SUMIFS('Lançamentos'!$L$2:$L$5010,'Lançamentos'!$A$2:$A$5010,"Insumos e papel",'Lançamentos'!$B$2:$B$5010,$A9,'Lançamentos'!$C$2:$C$5010,E$4)</f>
        <v/>
      </c>
      <c r="F9" s="9">
        <f>SUMIFS('Lançamentos'!$L$2:$L$5010,'Lançamentos'!$A$2:$A$5010,"Insumos e papel",'Lançamentos'!$B$2:$B$5010,$A9,'Lançamentos'!$C$2:$C$5010,F$4)</f>
        <v/>
      </c>
      <c r="G9" s="9">
        <f>SUMIFS('Lançamentos'!$L$2:$L$5010,'Lançamentos'!$A$2:$A$5010,"Insumos e papel",'Lançamentos'!$B$2:$B$5010,$A9,'Lançamentos'!$C$2:$C$5010,G$4)</f>
        <v/>
      </c>
      <c r="H9" s="9">
        <f>SUMIFS('Lançamentos'!$L$2:$L$5010,'Lançamentos'!$A$2:$A$5010,"Insumos e papel",'Lançamentos'!$B$2:$B$5010,$A9,'Lançamentos'!$C$2:$C$5010,H$4)</f>
        <v/>
      </c>
      <c r="I9" s="9">
        <f>SUMIFS('Lançamentos'!$L$2:$L$5010,'Lançamentos'!$A$2:$A$5010,"Insumos e papel",'Lançamentos'!$B$2:$B$5010,$A9,'Lançamentos'!$C$2:$C$5010,I$4)</f>
        <v/>
      </c>
      <c r="J9" s="9">
        <f>SUMIFS('Lançamentos'!$L$2:$L$5010,'Lançamentos'!$A$2:$A$5010,"Insumos e papel",'Lançamentos'!$B$2:$B$5010,$A9,'Lançamentos'!$C$2:$C$5010,J$4)</f>
        <v/>
      </c>
      <c r="K9" s="9">
        <f>SUM(B9:J9)</f>
        <v/>
      </c>
      <c r="L9" s="10">
        <f>K9/K$51</f>
        <v/>
      </c>
      <c r="M9" s="9">
        <f>SUMIFS('Lançamentos'!$L$2:$L$5010,'Lançamentos'!$A$2:$A$5010,"Insumos e papel",'Lançamentos'!$B$2:$B$5010,$A9,'Lançamentos'!$C$2:$C$5010,"Antes de 2026")</f>
        <v/>
      </c>
    </row>
    <row r="10">
      <c r="A10" s="22" t="inlineStr">
        <is>
          <t>2.01.91 Compra de Filme Strech</t>
        </is>
      </c>
      <c r="B10" s="9">
        <f>SUMIFS('Lançamentos'!$L$2:$L$5010,'Lançamentos'!$A$2:$A$5010,"Insumos e papel",'Lançamentos'!$B$2:$B$5010,$A10,'Lançamentos'!$C$2:$C$5010,B$4)</f>
        <v/>
      </c>
      <c r="C10" s="9">
        <f>SUMIFS('Lançamentos'!$L$2:$L$5010,'Lançamentos'!$A$2:$A$5010,"Insumos e papel",'Lançamentos'!$B$2:$B$5010,$A10,'Lançamentos'!$C$2:$C$5010,C$4)</f>
        <v/>
      </c>
      <c r="D10" s="9">
        <f>SUMIFS('Lançamentos'!$L$2:$L$5010,'Lançamentos'!$A$2:$A$5010,"Insumos e papel",'Lançamentos'!$B$2:$B$5010,$A10,'Lançamentos'!$C$2:$C$5010,D$4)</f>
        <v/>
      </c>
      <c r="E10" s="9">
        <f>SUMIFS('Lançamentos'!$L$2:$L$5010,'Lançamentos'!$A$2:$A$5010,"Insumos e papel",'Lançamentos'!$B$2:$B$5010,$A10,'Lançamentos'!$C$2:$C$5010,E$4)</f>
        <v/>
      </c>
      <c r="F10" s="9">
        <f>SUMIFS('Lançamentos'!$L$2:$L$5010,'Lançamentos'!$A$2:$A$5010,"Insumos e papel",'Lançamentos'!$B$2:$B$5010,$A10,'Lançamentos'!$C$2:$C$5010,F$4)</f>
        <v/>
      </c>
      <c r="G10" s="9">
        <f>SUMIFS('Lançamentos'!$L$2:$L$5010,'Lançamentos'!$A$2:$A$5010,"Insumos e papel",'Lançamentos'!$B$2:$B$5010,$A10,'Lançamentos'!$C$2:$C$5010,G$4)</f>
        <v/>
      </c>
      <c r="H10" s="9">
        <f>SUMIFS('Lançamentos'!$L$2:$L$5010,'Lançamentos'!$A$2:$A$5010,"Insumos e papel",'Lançamentos'!$B$2:$B$5010,$A10,'Lançamentos'!$C$2:$C$5010,H$4)</f>
        <v/>
      </c>
      <c r="I10" s="9">
        <f>SUMIFS('Lançamentos'!$L$2:$L$5010,'Lançamentos'!$A$2:$A$5010,"Insumos e papel",'Lançamentos'!$B$2:$B$5010,$A10,'Lançamentos'!$C$2:$C$5010,I$4)</f>
        <v/>
      </c>
      <c r="J10" s="9">
        <f>SUMIFS('Lançamentos'!$L$2:$L$5010,'Lançamentos'!$A$2:$A$5010,"Insumos e papel",'Lançamentos'!$B$2:$B$5010,$A10,'Lançamentos'!$C$2:$C$5010,J$4)</f>
        <v/>
      </c>
      <c r="K10" s="9">
        <f>SUM(B10:J10)</f>
        <v/>
      </c>
      <c r="L10" s="10">
        <f>K10/K$51</f>
        <v/>
      </c>
      <c r="M10" s="9">
        <f>SUMIFS('Lançamentos'!$L$2:$L$5010,'Lançamentos'!$A$2:$A$5010,"Insumos e papel",'Lançamentos'!$B$2:$B$5010,$A10,'Lançamentos'!$C$2:$C$5010,"Antes de 2026")</f>
        <v/>
      </c>
    </row>
    <row r="11">
      <c r="A11" s="22" t="inlineStr">
        <is>
          <t>2.01.92 Compra de Tinta</t>
        </is>
      </c>
      <c r="B11" s="9">
        <f>SUMIFS('Lançamentos'!$L$2:$L$5010,'Lançamentos'!$A$2:$A$5010,"Insumos e papel",'Lançamentos'!$B$2:$B$5010,$A11,'Lançamentos'!$C$2:$C$5010,B$4)</f>
        <v/>
      </c>
      <c r="C11" s="9">
        <f>SUMIFS('Lançamentos'!$L$2:$L$5010,'Lançamentos'!$A$2:$A$5010,"Insumos e papel",'Lançamentos'!$B$2:$B$5010,$A11,'Lançamentos'!$C$2:$C$5010,C$4)</f>
        <v/>
      </c>
      <c r="D11" s="9">
        <f>SUMIFS('Lançamentos'!$L$2:$L$5010,'Lançamentos'!$A$2:$A$5010,"Insumos e papel",'Lançamentos'!$B$2:$B$5010,$A11,'Lançamentos'!$C$2:$C$5010,D$4)</f>
        <v/>
      </c>
      <c r="E11" s="9">
        <f>SUMIFS('Lançamentos'!$L$2:$L$5010,'Lançamentos'!$A$2:$A$5010,"Insumos e papel",'Lançamentos'!$B$2:$B$5010,$A11,'Lançamentos'!$C$2:$C$5010,E$4)</f>
        <v/>
      </c>
      <c r="F11" s="9">
        <f>SUMIFS('Lançamentos'!$L$2:$L$5010,'Lançamentos'!$A$2:$A$5010,"Insumos e papel",'Lançamentos'!$B$2:$B$5010,$A11,'Lançamentos'!$C$2:$C$5010,F$4)</f>
        <v/>
      </c>
      <c r="G11" s="9">
        <f>SUMIFS('Lançamentos'!$L$2:$L$5010,'Lançamentos'!$A$2:$A$5010,"Insumos e papel",'Lançamentos'!$B$2:$B$5010,$A11,'Lançamentos'!$C$2:$C$5010,G$4)</f>
        <v/>
      </c>
      <c r="H11" s="9">
        <f>SUMIFS('Lançamentos'!$L$2:$L$5010,'Lançamentos'!$A$2:$A$5010,"Insumos e papel",'Lançamentos'!$B$2:$B$5010,$A11,'Lançamentos'!$C$2:$C$5010,H$4)</f>
        <v/>
      </c>
      <c r="I11" s="9">
        <f>SUMIFS('Lançamentos'!$L$2:$L$5010,'Lançamentos'!$A$2:$A$5010,"Insumos e papel",'Lançamentos'!$B$2:$B$5010,$A11,'Lançamentos'!$C$2:$C$5010,I$4)</f>
        <v/>
      </c>
      <c r="J11" s="9">
        <f>SUMIFS('Lançamentos'!$L$2:$L$5010,'Lançamentos'!$A$2:$A$5010,"Insumos e papel",'Lançamentos'!$B$2:$B$5010,$A11,'Lançamentos'!$C$2:$C$5010,J$4)</f>
        <v/>
      </c>
      <c r="K11" s="9">
        <f>SUM(B11:J11)</f>
        <v/>
      </c>
      <c r="L11" s="10">
        <f>K11/K$51</f>
        <v/>
      </c>
      <c r="M11" s="9">
        <f>SUMIFS('Lançamentos'!$L$2:$L$5010,'Lançamentos'!$A$2:$A$5010,"Insumos e papel",'Lançamentos'!$B$2:$B$5010,$A11,'Lançamentos'!$C$2:$C$5010,"Antes de 2026")</f>
        <v/>
      </c>
    </row>
    <row r="12">
      <c r="A12" s="22" t="inlineStr">
        <is>
          <t>2.01.93 Compra de Plástico Poliolefínico</t>
        </is>
      </c>
      <c r="B12" s="9">
        <f>SUMIFS('Lançamentos'!$L$2:$L$5010,'Lançamentos'!$A$2:$A$5010,"Insumos e papel",'Lançamentos'!$B$2:$B$5010,$A12,'Lançamentos'!$C$2:$C$5010,B$4)</f>
        <v/>
      </c>
      <c r="C12" s="9">
        <f>SUMIFS('Lançamentos'!$L$2:$L$5010,'Lançamentos'!$A$2:$A$5010,"Insumos e papel",'Lançamentos'!$B$2:$B$5010,$A12,'Lançamentos'!$C$2:$C$5010,C$4)</f>
        <v/>
      </c>
      <c r="D12" s="9">
        <f>SUMIFS('Lançamentos'!$L$2:$L$5010,'Lançamentos'!$A$2:$A$5010,"Insumos e papel",'Lançamentos'!$B$2:$B$5010,$A12,'Lançamentos'!$C$2:$C$5010,D$4)</f>
        <v/>
      </c>
      <c r="E12" s="9">
        <f>SUMIFS('Lançamentos'!$L$2:$L$5010,'Lançamentos'!$A$2:$A$5010,"Insumos e papel",'Lançamentos'!$B$2:$B$5010,$A12,'Lançamentos'!$C$2:$C$5010,E$4)</f>
        <v/>
      </c>
      <c r="F12" s="9">
        <f>SUMIFS('Lançamentos'!$L$2:$L$5010,'Lançamentos'!$A$2:$A$5010,"Insumos e papel",'Lançamentos'!$B$2:$B$5010,$A12,'Lançamentos'!$C$2:$C$5010,F$4)</f>
        <v/>
      </c>
      <c r="G12" s="9">
        <f>SUMIFS('Lançamentos'!$L$2:$L$5010,'Lançamentos'!$A$2:$A$5010,"Insumos e papel",'Lançamentos'!$B$2:$B$5010,$A12,'Lançamentos'!$C$2:$C$5010,G$4)</f>
        <v/>
      </c>
      <c r="H12" s="9">
        <f>SUMIFS('Lançamentos'!$L$2:$L$5010,'Lançamentos'!$A$2:$A$5010,"Insumos e papel",'Lançamentos'!$B$2:$B$5010,$A12,'Lançamentos'!$C$2:$C$5010,H$4)</f>
        <v/>
      </c>
      <c r="I12" s="9">
        <f>SUMIFS('Lançamentos'!$L$2:$L$5010,'Lançamentos'!$A$2:$A$5010,"Insumos e papel",'Lançamentos'!$B$2:$B$5010,$A12,'Lançamentos'!$C$2:$C$5010,I$4)</f>
        <v/>
      </c>
      <c r="J12" s="9">
        <f>SUMIFS('Lançamentos'!$L$2:$L$5010,'Lançamentos'!$A$2:$A$5010,"Insumos e papel",'Lançamentos'!$B$2:$B$5010,$A12,'Lançamentos'!$C$2:$C$5010,J$4)</f>
        <v/>
      </c>
      <c r="K12" s="9">
        <f>SUM(B12:J12)</f>
        <v/>
      </c>
      <c r="L12" s="10">
        <f>K12/K$51</f>
        <v/>
      </c>
      <c r="M12" s="9">
        <f>SUMIFS('Lançamentos'!$L$2:$L$5010,'Lançamentos'!$A$2:$A$5010,"Insumos e papel",'Lançamentos'!$B$2:$B$5010,$A12,'Lançamentos'!$C$2:$C$5010,"Antes de 2026")</f>
        <v/>
      </c>
    </row>
    <row r="13">
      <c r="A13" s="22" t="inlineStr">
        <is>
          <t>2.01.94 Compra de Fita Adesiva</t>
        </is>
      </c>
      <c r="B13" s="9">
        <f>SUMIFS('Lançamentos'!$L$2:$L$5010,'Lançamentos'!$A$2:$A$5010,"Insumos e papel",'Lançamentos'!$B$2:$B$5010,$A13,'Lançamentos'!$C$2:$C$5010,B$4)</f>
        <v/>
      </c>
      <c r="C13" s="9">
        <f>SUMIFS('Lançamentos'!$L$2:$L$5010,'Lançamentos'!$A$2:$A$5010,"Insumos e papel",'Lançamentos'!$B$2:$B$5010,$A13,'Lançamentos'!$C$2:$C$5010,C$4)</f>
        <v/>
      </c>
      <c r="D13" s="9">
        <f>SUMIFS('Lançamentos'!$L$2:$L$5010,'Lançamentos'!$A$2:$A$5010,"Insumos e papel",'Lançamentos'!$B$2:$B$5010,$A13,'Lançamentos'!$C$2:$C$5010,D$4)</f>
        <v/>
      </c>
      <c r="E13" s="9">
        <f>SUMIFS('Lançamentos'!$L$2:$L$5010,'Lançamentos'!$A$2:$A$5010,"Insumos e papel",'Lançamentos'!$B$2:$B$5010,$A13,'Lançamentos'!$C$2:$C$5010,E$4)</f>
        <v/>
      </c>
      <c r="F13" s="9">
        <f>SUMIFS('Lançamentos'!$L$2:$L$5010,'Lançamentos'!$A$2:$A$5010,"Insumos e papel",'Lançamentos'!$B$2:$B$5010,$A13,'Lançamentos'!$C$2:$C$5010,F$4)</f>
        <v/>
      </c>
      <c r="G13" s="9">
        <f>SUMIFS('Lançamentos'!$L$2:$L$5010,'Lançamentos'!$A$2:$A$5010,"Insumos e papel",'Lançamentos'!$B$2:$B$5010,$A13,'Lançamentos'!$C$2:$C$5010,G$4)</f>
        <v/>
      </c>
      <c r="H13" s="9">
        <f>SUMIFS('Lançamentos'!$L$2:$L$5010,'Lançamentos'!$A$2:$A$5010,"Insumos e papel",'Lançamentos'!$B$2:$B$5010,$A13,'Lançamentos'!$C$2:$C$5010,H$4)</f>
        <v/>
      </c>
      <c r="I13" s="9">
        <f>SUMIFS('Lançamentos'!$L$2:$L$5010,'Lançamentos'!$A$2:$A$5010,"Insumos e papel",'Lançamentos'!$B$2:$B$5010,$A13,'Lançamentos'!$C$2:$C$5010,I$4)</f>
        <v/>
      </c>
      <c r="J13" s="9">
        <f>SUMIFS('Lançamentos'!$L$2:$L$5010,'Lançamentos'!$A$2:$A$5010,"Insumos e papel",'Lançamentos'!$B$2:$B$5010,$A13,'Lançamentos'!$C$2:$C$5010,J$4)</f>
        <v/>
      </c>
      <c r="K13" s="9">
        <f>SUM(B13:J13)</f>
        <v/>
      </c>
      <c r="L13" s="10">
        <f>K13/K$51</f>
        <v/>
      </c>
      <c r="M13" s="9">
        <f>SUMIFS('Lançamentos'!$L$2:$L$5010,'Lançamentos'!$A$2:$A$5010,"Insumos e papel",'Lançamentos'!$B$2:$B$5010,$A13,'Lançamentos'!$C$2:$C$5010,"Antes de 2026")</f>
        <v/>
      </c>
    </row>
    <row r="14">
      <c r="A14" s="22" t="inlineStr">
        <is>
          <t>2.01.95 Compra de Etiqueta</t>
        </is>
      </c>
      <c r="B14" s="9">
        <f>SUMIFS('Lançamentos'!$L$2:$L$5010,'Lançamentos'!$A$2:$A$5010,"Insumos e papel",'Lançamentos'!$B$2:$B$5010,$A14,'Lançamentos'!$C$2:$C$5010,B$4)</f>
        <v/>
      </c>
      <c r="C14" s="9">
        <f>SUMIFS('Lançamentos'!$L$2:$L$5010,'Lançamentos'!$A$2:$A$5010,"Insumos e papel",'Lançamentos'!$B$2:$B$5010,$A14,'Lançamentos'!$C$2:$C$5010,C$4)</f>
        <v/>
      </c>
      <c r="D14" s="9">
        <f>SUMIFS('Lançamentos'!$L$2:$L$5010,'Lançamentos'!$A$2:$A$5010,"Insumos e papel",'Lançamentos'!$B$2:$B$5010,$A14,'Lançamentos'!$C$2:$C$5010,D$4)</f>
        <v/>
      </c>
      <c r="E14" s="9">
        <f>SUMIFS('Lançamentos'!$L$2:$L$5010,'Lançamentos'!$A$2:$A$5010,"Insumos e papel",'Lançamentos'!$B$2:$B$5010,$A14,'Lançamentos'!$C$2:$C$5010,E$4)</f>
        <v/>
      </c>
      <c r="F14" s="9">
        <f>SUMIFS('Lançamentos'!$L$2:$L$5010,'Lançamentos'!$A$2:$A$5010,"Insumos e papel",'Lançamentos'!$B$2:$B$5010,$A14,'Lançamentos'!$C$2:$C$5010,F$4)</f>
        <v/>
      </c>
      <c r="G14" s="9">
        <f>SUMIFS('Lançamentos'!$L$2:$L$5010,'Lançamentos'!$A$2:$A$5010,"Insumos e papel",'Lançamentos'!$B$2:$B$5010,$A14,'Lançamentos'!$C$2:$C$5010,G$4)</f>
        <v/>
      </c>
      <c r="H14" s="9">
        <f>SUMIFS('Lançamentos'!$L$2:$L$5010,'Lançamentos'!$A$2:$A$5010,"Insumos e papel",'Lançamentos'!$B$2:$B$5010,$A14,'Lançamentos'!$C$2:$C$5010,H$4)</f>
        <v/>
      </c>
      <c r="I14" s="9">
        <f>SUMIFS('Lançamentos'!$L$2:$L$5010,'Lançamentos'!$A$2:$A$5010,"Insumos e papel",'Lançamentos'!$B$2:$B$5010,$A14,'Lançamentos'!$C$2:$C$5010,I$4)</f>
        <v/>
      </c>
      <c r="J14" s="9">
        <f>SUMIFS('Lançamentos'!$L$2:$L$5010,'Lançamentos'!$A$2:$A$5010,"Insumos e papel",'Lançamentos'!$B$2:$B$5010,$A14,'Lançamentos'!$C$2:$C$5010,J$4)</f>
        <v/>
      </c>
      <c r="K14" s="9">
        <f>SUM(B14:J14)</f>
        <v/>
      </c>
      <c r="L14" s="10">
        <f>K14/K$51</f>
        <v/>
      </c>
      <c r="M14" s="9">
        <f>SUMIFS('Lançamentos'!$L$2:$L$5010,'Lançamentos'!$A$2:$A$5010,"Insumos e papel",'Lançamentos'!$B$2:$B$5010,$A14,'Lançamentos'!$C$2:$C$5010,"Antes de 2026")</f>
        <v/>
      </c>
    </row>
    <row r="15">
      <c r="A15" s="22" t="inlineStr">
        <is>
          <t>2.01.96 Compra de Cola</t>
        </is>
      </c>
      <c r="B15" s="9">
        <f>SUMIFS('Lançamentos'!$L$2:$L$5010,'Lançamentos'!$A$2:$A$5010,"Insumos e papel",'Lançamentos'!$B$2:$B$5010,$A15,'Lançamentos'!$C$2:$C$5010,B$4)</f>
        <v/>
      </c>
      <c r="C15" s="9">
        <f>SUMIFS('Lançamentos'!$L$2:$L$5010,'Lançamentos'!$A$2:$A$5010,"Insumos e papel",'Lançamentos'!$B$2:$B$5010,$A15,'Lançamentos'!$C$2:$C$5010,C$4)</f>
        <v/>
      </c>
      <c r="D15" s="9">
        <f>SUMIFS('Lançamentos'!$L$2:$L$5010,'Lançamentos'!$A$2:$A$5010,"Insumos e papel",'Lançamentos'!$B$2:$B$5010,$A15,'Lançamentos'!$C$2:$C$5010,D$4)</f>
        <v/>
      </c>
      <c r="E15" s="9">
        <f>SUMIFS('Lançamentos'!$L$2:$L$5010,'Lançamentos'!$A$2:$A$5010,"Insumos e papel",'Lançamentos'!$B$2:$B$5010,$A15,'Lançamentos'!$C$2:$C$5010,E$4)</f>
        <v/>
      </c>
      <c r="F15" s="9">
        <f>SUMIFS('Lançamentos'!$L$2:$L$5010,'Lançamentos'!$A$2:$A$5010,"Insumos e papel",'Lançamentos'!$B$2:$B$5010,$A15,'Lançamentos'!$C$2:$C$5010,F$4)</f>
        <v/>
      </c>
      <c r="G15" s="9">
        <f>SUMIFS('Lançamentos'!$L$2:$L$5010,'Lançamentos'!$A$2:$A$5010,"Insumos e papel",'Lançamentos'!$B$2:$B$5010,$A15,'Lançamentos'!$C$2:$C$5010,G$4)</f>
        <v/>
      </c>
      <c r="H15" s="9">
        <f>SUMIFS('Lançamentos'!$L$2:$L$5010,'Lançamentos'!$A$2:$A$5010,"Insumos e papel",'Lançamentos'!$B$2:$B$5010,$A15,'Lançamentos'!$C$2:$C$5010,H$4)</f>
        <v/>
      </c>
      <c r="I15" s="9">
        <f>SUMIFS('Lançamentos'!$L$2:$L$5010,'Lançamentos'!$A$2:$A$5010,"Insumos e papel",'Lançamentos'!$B$2:$B$5010,$A15,'Lançamentos'!$C$2:$C$5010,I$4)</f>
        <v/>
      </c>
      <c r="J15" s="9">
        <f>SUMIFS('Lançamentos'!$L$2:$L$5010,'Lançamentos'!$A$2:$A$5010,"Insumos e papel",'Lançamentos'!$B$2:$B$5010,$A15,'Lançamentos'!$C$2:$C$5010,J$4)</f>
        <v/>
      </c>
      <c r="K15" s="9">
        <f>SUM(B15:J15)</f>
        <v/>
      </c>
      <c r="L15" s="10">
        <f>K15/K$51</f>
        <v/>
      </c>
      <c r="M15" s="9">
        <f>SUMIFS('Lançamentos'!$L$2:$L$5010,'Lançamentos'!$A$2:$A$5010,"Insumos e papel",'Lançamentos'!$B$2:$B$5010,$A15,'Lançamentos'!$C$2:$C$5010,"Antes de 2026")</f>
        <v/>
      </c>
    </row>
    <row r="16">
      <c r="A16" s="22" t="inlineStr">
        <is>
          <t>2.01.97 Compra de Clichê</t>
        </is>
      </c>
      <c r="B16" s="9">
        <f>SUMIFS('Lançamentos'!$L$2:$L$5010,'Lançamentos'!$A$2:$A$5010,"Insumos e papel",'Lançamentos'!$B$2:$B$5010,$A16,'Lançamentos'!$C$2:$C$5010,B$4)</f>
        <v/>
      </c>
      <c r="C16" s="9">
        <f>SUMIFS('Lançamentos'!$L$2:$L$5010,'Lançamentos'!$A$2:$A$5010,"Insumos e papel",'Lançamentos'!$B$2:$B$5010,$A16,'Lançamentos'!$C$2:$C$5010,C$4)</f>
        <v/>
      </c>
      <c r="D16" s="9">
        <f>SUMIFS('Lançamentos'!$L$2:$L$5010,'Lançamentos'!$A$2:$A$5010,"Insumos e papel",'Lançamentos'!$B$2:$B$5010,$A16,'Lançamentos'!$C$2:$C$5010,D$4)</f>
        <v/>
      </c>
      <c r="E16" s="9">
        <f>SUMIFS('Lançamentos'!$L$2:$L$5010,'Lançamentos'!$A$2:$A$5010,"Insumos e papel",'Lançamentos'!$B$2:$B$5010,$A16,'Lançamentos'!$C$2:$C$5010,E$4)</f>
        <v/>
      </c>
      <c r="F16" s="9">
        <f>SUMIFS('Lançamentos'!$L$2:$L$5010,'Lançamentos'!$A$2:$A$5010,"Insumos e papel",'Lançamentos'!$B$2:$B$5010,$A16,'Lançamentos'!$C$2:$C$5010,F$4)</f>
        <v/>
      </c>
      <c r="G16" s="9">
        <f>SUMIFS('Lançamentos'!$L$2:$L$5010,'Lançamentos'!$A$2:$A$5010,"Insumos e papel",'Lançamentos'!$B$2:$B$5010,$A16,'Lançamentos'!$C$2:$C$5010,G$4)</f>
        <v/>
      </c>
      <c r="H16" s="9">
        <f>SUMIFS('Lançamentos'!$L$2:$L$5010,'Lançamentos'!$A$2:$A$5010,"Insumos e papel",'Lançamentos'!$B$2:$B$5010,$A16,'Lançamentos'!$C$2:$C$5010,H$4)</f>
        <v/>
      </c>
      <c r="I16" s="9">
        <f>SUMIFS('Lançamentos'!$L$2:$L$5010,'Lançamentos'!$A$2:$A$5010,"Insumos e papel",'Lançamentos'!$B$2:$B$5010,$A16,'Lançamentos'!$C$2:$C$5010,I$4)</f>
        <v/>
      </c>
      <c r="J16" s="9">
        <f>SUMIFS('Lançamentos'!$L$2:$L$5010,'Lançamentos'!$A$2:$A$5010,"Insumos e papel",'Lançamentos'!$B$2:$B$5010,$A16,'Lançamentos'!$C$2:$C$5010,J$4)</f>
        <v/>
      </c>
      <c r="K16" s="9">
        <f>SUM(B16:J16)</f>
        <v/>
      </c>
      <c r="L16" s="10">
        <f>K16/K$51</f>
        <v/>
      </c>
      <c r="M16" s="9">
        <f>SUMIFS('Lançamentos'!$L$2:$L$5010,'Lançamentos'!$A$2:$A$5010,"Insumos e papel",'Lançamentos'!$B$2:$B$5010,$A16,'Lançamentos'!$C$2:$C$5010,"Antes de 2026")</f>
        <v/>
      </c>
    </row>
    <row r="17">
      <c r="A17" s="22" t="inlineStr">
        <is>
          <t>2.01.99 Compra de Caixas</t>
        </is>
      </c>
      <c r="B17" s="9">
        <f>SUMIFS('Lançamentos'!$L$2:$L$5010,'Lançamentos'!$A$2:$A$5010,"Insumos e papel",'Lançamentos'!$B$2:$B$5010,$A17,'Lançamentos'!$C$2:$C$5010,B$4)</f>
        <v/>
      </c>
      <c r="C17" s="9">
        <f>SUMIFS('Lançamentos'!$L$2:$L$5010,'Lançamentos'!$A$2:$A$5010,"Insumos e papel",'Lançamentos'!$B$2:$B$5010,$A17,'Lançamentos'!$C$2:$C$5010,C$4)</f>
        <v/>
      </c>
      <c r="D17" s="9">
        <f>SUMIFS('Lançamentos'!$L$2:$L$5010,'Lançamentos'!$A$2:$A$5010,"Insumos e papel",'Lançamentos'!$B$2:$B$5010,$A17,'Lançamentos'!$C$2:$C$5010,D$4)</f>
        <v/>
      </c>
      <c r="E17" s="9">
        <f>SUMIFS('Lançamentos'!$L$2:$L$5010,'Lançamentos'!$A$2:$A$5010,"Insumos e papel",'Lançamentos'!$B$2:$B$5010,$A17,'Lançamentos'!$C$2:$C$5010,E$4)</f>
        <v/>
      </c>
      <c r="F17" s="9">
        <f>SUMIFS('Lançamentos'!$L$2:$L$5010,'Lançamentos'!$A$2:$A$5010,"Insumos e papel",'Lançamentos'!$B$2:$B$5010,$A17,'Lançamentos'!$C$2:$C$5010,F$4)</f>
        <v/>
      </c>
      <c r="G17" s="9">
        <f>SUMIFS('Lançamentos'!$L$2:$L$5010,'Lançamentos'!$A$2:$A$5010,"Insumos e papel",'Lançamentos'!$B$2:$B$5010,$A17,'Lançamentos'!$C$2:$C$5010,G$4)</f>
        <v/>
      </c>
      <c r="H17" s="9">
        <f>SUMIFS('Lançamentos'!$L$2:$L$5010,'Lançamentos'!$A$2:$A$5010,"Insumos e papel",'Lançamentos'!$B$2:$B$5010,$A17,'Lançamentos'!$C$2:$C$5010,H$4)</f>
        <v/>
      </c>
      <c r="I17" s="9">
        <f>SUMIFS('Lançamentos'!$L$2:$L$5010,'Lançamentos'!$A$2:$A$5010,"Insumos e papel",'Lançamentos'!$B$2:$B$5010,$A17,'Lançamentos'!$C$2:$C$5010,I$4)</f>
        <v/>
      </c>
      <c r="J17" s="9">
        <f>SUMIFS('Lançamentos'!$L$2:$L$5010,'Lançamentos'!$A$2:$A$5010,"Insumos e papel",'Lançamentos'!$B$2:$B$5010,$A17,'Lançamentos'!$C$2:$C$5010,J$4)</f>
        <v/>
      </c>
      <c r="K17" s="9">
        <f>SUM(B17:J17)</f>
        <v/>
      </c>
      <c r="L17" s="10">
        <f>K17/K$51</f>
        <v/>
      </c>
      <c r="M17" s="9">
        <f>SUMIFS('Lançamentos'!$L$2:$L$5010,'Lançamentos'!$A$2:$A$5010,"Insumos e papel",'Lançamentos'!$B$2:$B$5010,$A17,'Lançamentos'!$C$2:$C$5010,"Antes de 2026")</f>
        <v/>
      </c>
    </row>
    <row r="18">
      <c r="A18" s="19" t="inlineStr">
        <is>
          <t>Uso e consumo</t>
        </is>
      </c>
      <c r="B18" s="20">
        <f>SUM(B19:B26)</f>
        <v/>
      </c>
      <c r="C18" s="20">
        <f>SUM(C19:C26)</f>
        <v/>
      </c>
      <c r="D18" s="20">
        <f>SUM(D19:D26)</f>
        <v/>
      </c>
      <c r="E18" s="20">
        <f>SUM(E19:E26)</f>
        <v/>
      </c>
      <c r="F18" s="20">
        <f>SUM(F19:F26)</f>
        <v/>
      </c>
      <c r="G18" s="20">
        <f>SUM(G19:G26)</f>
        <v/>
      </c>
      <c r="H18" s="20">
        <f>SUM(H19:H26)</f>
        <v/>
      </c>
      <c r="I18" s="20">
        <f>SUM(I19:I26)</f>
        <v/>
      </c>
      <c r="J18" s="20">
        <f>SUM(J19:J26)</f>
        <v/>
      </c>
      <c r="K18" s="20">
        <f>SUM(K19:K26)</f>
        <v/>
      </c>
      <c r="L18" s="21">
        <f>K18/K$51</f>
        <v/>
      </c>
      <c r="M18" s="20">
        <f>SUM(M19:M26)</f>
        <v/>
      </c>
    </row>
    <row r="19">
      <c r="A19" s="22" t="inlineStr">
        <is>
          <t>2.01.85 Compra de Uso e Consumo</t>
        </is>
      </c>
      <c r="B19" s="9">
        <f>SUMIFS('Lançamentos'!$L$2:$L$5010,'Lançamentos'!$A$2:$A$5010,"Uso e consumo",'Lançamentos'!$B$2:$B$5010,$A19,'Lançamentos'!$C$2:$C$5010,B$4)</f>
        <v/>
      </c>
      <c r="C19" s="9">
        <f>SUMIFS('Lançamentos'!$L$2:$L$5010,'Lançamentos'!$A$2:$A$5010,"Uso e consumo",'Lançamentos'!$B$2:$B$5010,$A19,'Lançamentos'!$C$2:$C$5010,C$4)</f>
        <v/>
      </c>
      <c r="D19" s="9">
        <f>SUMIFS('Lançamentos'!$L$2:$L$5010,'Lançamentos'!$A$2:$A$5010,"Uso e consumo",'Lançamentos'!$B$2:$B$5010,$A19,'Lançamentos'!$C$2:$C$5010,D$4)</f>
        <v/>
      </c>
      <c r="E19" s="9">
        <f>SUMIFS('Lançamentos'!$L$2:$L$5010,'Lançamentos'!$A$2:$A$5010,"Uso e consumo",'Lançamentos'!$B$2:$B$5010,$A19,'Lançamentos'!$C$2:$C$5010,E$4)</f>
        <v/>
      </c>
      <c r="F19" s="9">
        <f>SUMIFS('Lançamentos'!$L$2:$L$5010,'Lançamentos'!$A$2:$A$5010,"Uso e consumo",'Lançamentos'!$B$2:$B$5010,$A19,'Lançamentos'!$C$2:$C$5010,F$4)</f>
        <v/>
      </c>
      <c r="G19" s="9">
        <f>SUMIFS('Lançamentos'!$L$2:$L$5010,'Lançamentos'!$A$2:$A$5010,"Uso e consumo",'Lançamentos'!$B$2:$B$5010,$A19,'Lançamentos'!$C$2:$C$5010,G$4)</f>
        <v/>
      </c>
      <c r="H19" s="9">
        <f>SUMIFS('Lançamentos'!$L$2:$L$5010,'Lançamentos'!$A$2:$A$5010,"Uso e consumo",'Lançamentos'!$B$2:$B$5010,$A19,'Lançamentos'!$C$2:$C$5010,H$4)</f>
        <v/>
      </c>
      <c r="I19" s="9">
        <f>SUMIFS('Lançamentos'!$L$2:$L$5010,'Lançamentos'!$A$2:$A$5010,"Uso e consumo",'Lançamentos'!$B$2:$B$5010,$A19,'Lançamentos'!$C$2:$C$5010,I$4)</f>
        <v/>
      </c>
      <c r="J19" s="9">
        <f>SUMIFS('Lançamentos'!$L$2:$L$5010,'Lançamentos'!$A$2:$A$5010,"Uso e consumo",'Lançamentos'!$B$2:$B$5010,$A19,'Lançamentos'!$C$2:$C$5010,J$4)</f>
        <v/>
      </c>
      <c r="K19" s="9">
        <f>SUM(B19:J19)</f>
        <v/>
      </c>
      <c r="L19" s="10">
        <f>K19/K$51</f>
        <v/>
      </c>
      <c r="M19" s="9">
        <f>SUMIFS('Lançamentos'!$L$2:$L$5010,'Lançamentos'!$A$2:$A$5010,"Uso e consumo",'Lançamentos'!$B$2:$B$5010,$A19,'Lançamentos'!$C$2:$C$5010,"Antes de 2026")</f>
        <v/>
      </c>
    </row>
    <row r="20">
      <c r="A20" s="22" t="inlineStr">
        <is>
          <t>2.01.87 Compra de Peças de Máquinas</t>
        </is>
      </c>
      <c r="B20" s="9">
        <f>SUMIFS('Lançamentos'!$L$2:$L$5010,'Lançamentos'!$A$2:$A$5010,"Uso e consumo",'Lançamentos'!$B$2:$B$5010,$A20,'Lançamentos'!$C$2:$C$5010,B$4)</f>
        <v/>
      </c>
      <c r="C20" s="9">
        <f>SUMIFS('Lançamentos'!$L$2:$L$5010,'Lançamentos'!$A$2:$A$5010,"Uso e consumo",'Lançamentos'!$B$2:$B$5010,$A20,'Lançamentos'!$C$2:$C$5010,C$4)</f>
        <v/>
      </c>
      <c r="D20" s="9">
        <f>SUMIFS('Lançamentos'!$L$2:$L$5010,'Lançamentos'!$A$2:$A$5010,"Uso e consumo",'Lançamentos'!$B$2:$B$5010,$A20,'Lançamentos'!$C$2:$C$5010,D$4)</f>
        <v/>
      </c>
      <c r="E20" s="9">
        <f>SUMIFS('Lançamentos'!$L$2:$L$5010,'Lançamentos'!$A$2:$A$5010,"Uso e consumo",'Lançamentos'!$B$2:$B$5010,$A20,'Lançamentos'!$C$2:$C$5010,E$4)</f>
        <v/>
      </c>
      <c r="F20" s="9">
        <f>SUMIFS('Lançamentos'!$L$2:$L$5010,'Lançamentos'!$A$2:$A$5010,"Uso e consumo",'Lançamentos'!$B$2:$B$5010,$A20,'Lançamentos'!$C$2:$C$5010,F$4)</f>
        <v/>
      </c>
      <c r="G20" s="9">
        <f>SUMIFS('Lançamentos'!$L$2:$L$5010,'Lançamentos'!$A$2:$A$5010,"Uso e consumo",'Lançamentos'!$B$2:$B$5010,$A20,'Lançamentos'!$C$2:$C$5010,G$4)</f>
        <v/>
      </c>
      <c r="H20" s="9">
        <f>SUMIFS('Lançamentos'!$L$2:$L$5010,'Lançamentos'!$A$2:$A$5010,"Uso e consumo",'Lançamentos'!$B$2:$B$5010,$A20,'Lançamentos'!$C$2:$C$5010,H$4)</f>
        <v/>
      </c>
      <c r="I20" s="9">
        <f>SUMIFS('Lançamentos'!$L$2:$L$5010,'Lançamentos'!$A$2:$A$5010,"Uso e consumo",'Lançamentos'!$B$2:$B$5010,$A20,'Lançamentos'!$C$2:$C$5010,I$4)</f>
        <v/>
      </c>
      <c r="J20" s="9">
        <f>SUMIFS('Lançamentos'!$L$2:$L$5010,'Lançamentos'!$A$2:$A$5010,"Uso e consumo",'Lançamentos'!$B$2:$B$5010,$A20,'Lançamentos'!$C$2:$C$5010,J$4)</f>
        <v/>
      </c>
      <c r="K20" s="9">
        <f>SUM(B20:J20)</f>
        <v/>
      </c>
      <c r="L20" s="10">
        <f>K20/K$51</f>
        <v/>
      </c>
      <c r="M20" s="9">
        <f>SUMIFS('Lançamentos'!$L$2:$L$5010,'Lançamentos'!$A$2:$A$5010,"Uso e consumo",'Lançamentos'!$B$2:$B$5010,$A20,'Lançamentos'!$C$2:$C$5010,"Antes de 2026")</f>
        <v/>
      </c>
    </row>
    <row r="21">
      <c r="A21" s="22" t="inlineStr">
        <is>
          <t>2.03.88 Compra de Fardamento</t>
        </is>
      </c>
      <c r="B21" s="9">
        <f>SUMIFS('Lançamentos'!$L$2:$L$5010,'Lançamentos'!$A$2:$A$5010,"Uso e consumo",'Lançamentos'!$B$2:$B$5010,$A21,'Lançamentos'!$C$2:$C$5010,B$4)</f>
        <v/>
      </c>
      <c r="C21" s="9">
        <f>SUMIFS('Lançamentos'!$L$2:$L$5010,'Lançamentos'!$A$2:$A$5010,"Uso e consumo",'Lançamentos'!$B$2:$B$5010,$A21,'Lançamentos'!$C$2:$C$5010,C$4)</f>
        <v/>
      </c>
      <c r="D21" s="9">
        <f>SUMIFS('Lançamentos'!$L$2:$L$5010,'Lançamentos'!$A$2:$A$5010,"Uso e consumo",'Lançamentos'!$B$2:$B$5010,$A21,'Lançamentos'!$C$2:$C$5010,D$4)</f>
        <v/>
      </c>
      <c r="E21" s="9">
        <f>SUMIFS('Lançamentos'!$L$2:$L$5010,'Lançamentos'!$A$2:$A$5010,"Uso e consumo",'Lançamentos'!$B$2:$B$5010,$A21,'Lançamentos'!$C$2:$C$5010,E$4)</f>
        <v/>
      </c>
      <c r="F21" s="9">
        <f>SUMIFS('Lançamentos'!$L$2:$L$5010,'Lançamentos'!$A$2:$A$5010,"Uso e consumo",'Lançamentos'!$B$2:$B$5010,$A21,'Lançamentos'!$C$2:$C$5010,F$4)</f>
        <v/>
      </c>
      <c r="G21" s="9">
        <f>SUMIFS('Lançamentos'!$L$2:$L$5010,'Lançamentos'!$A$2:$A$5010,"Uso e consumo",'Lançamentos'!$B$2:$B$5010,$A21,'Lançamentos'!$C$2:$C$5010,G$4)</f>
        <v/>
      </c>
      <c r="H21" s="9">
        <f>SUMIFS('Lançamentos'!$L$2:$L$5010,'Lançamentos'!$A$2:$A$5010,"Uso e consumo",'Lançamentos'!$B$2:$B$5010,$A21,'Lançamentos'!$C$2:$C$5010,H$4)</f>
        <v/>
      </c>
      <c r="I21" s="9">
        <f>SUMIFS('Lançamentos'!$L$2:$L$5010,'Lançamentos'!$A$2:$A$5010,"Uso e consumo",'Lançamentos'!$B$2:$B$5010,$A21,'Lançamentos'!$C$2:$C$5010,I$4)</f>
        <v/>
      </c>
      <c r="J21" s="9">
        <f>SUMIFS('Lançamentos'!$L$2:$L$5010,'Lançamentos'!$A$2:$A$5010,"Uso e consumo",'Lançamentos'!$B$2:$B$5010,$A21,'Lançamentos'!$C$2:$C$5010,J$4)</f>
        <v/>
      </c>
      <c r="K21" s="9">
        <f>SUM(B21:J21)</f>
        <v/>
      </c>
      <c r="L21" s="10">
        <f>K21/K$51</f>
        <v/>
      </c>
      <c r="M21" s="9">
        <f>SUMIFS('Lançamentos'!$L$2:$L$5010,'Lançamentos'!$A$2:$A$5010,"Uso e consumo",'Lançamentos'!$B$2:$B$5010,$A21,'Lançamentos'!$C$2:$C$5010,"Antes de 2026")</f>
        <v/>
      </c>
    </row>
    <row r="22">
      <c r="A22" s="22" t="inlineStr">
        <is>
          <t>2.03.90 Compra de EPI</t>
        </is>
      </c>
      <c r="B22" s="9">
        <f>SUMIFS('Lançamentos'!$L$2:$L$5010,'Lançamentos'!$A$2:$A$5010,"Uso e consumo",'Lançamentos'!$B$2:$B$5010,$A22,'Lançamentos'!$C$2:$C$5010,B$4)</f>
        <v/>
      </c>
      <c r="C22" s="9">
        <f>SUMIFS('Lançamentos'!$L$2:$L$5010,'Lançamentos'!$A$2:$A$5010,"Uso e consumo",'Lançamentos'!$B$2:$B$5010,$A22,'Lançamentos'!$C$2:$C$5010,C$4)</f>
        <v/>
      </c>
      <c r="D22" s="9">
        <f>SUMIFS('Lançamentos'!$L$2:$L$5010,'Lançamentos'!$A$2:$A$5010,"Uso e consumo",'Lançamentos'!$B$2:$B$5010,$A22,'Lançamentos'!$C$2:$C$5010,D$4)</f>
        <v/>
      </c>
      <c r="E22" s="9">
        <f>SUMIFS('Lançamentos'!$L$2:$L$5010,'Lançamentos'!$A$2:$A$5010,"Uso e consumo",'Lançamentos'!$B$2:$B$5010,$A22,'Lançamentos'!$C$2:$C$5010,E$4)</f>
        <v/>
      </c>
      <c r="F22" s="9">
        <f>SUMIFS('Lançamentos'!$L$2:$L$5010,'Lançamentos'!$A$2:$A$5010,"Uso e consumo",'Lançamentos'!$B$2:$B$5010,$A22,'Lançamentos'!$C$2:$C$5010,F$4)</f>
        <v/>
      </c>
      <c r="G22" s="9">
        <f>SUMIFS('Lançamentos'!$L$2:$L$5010,'Lançamentos'!$A$2:$A$5010,"Uso e consumo",'Lançamentos'!$B$2:$B$5010,$A22,'Lançamentos'!$C$2:$C$5010,G$4)</f>
        <v/>
      </c>
      <c r="H22" s="9">
        <f>SUMIFS('Lançamentos'!$L$2:$L$5010,'Lançamentos'!$A$2:$A$5010,"Uso e consumo",'Lançamentos'!$B$2:$B$5010,$A22,'Lançamentos'!$C$2:$C$5010,H$4)</f>
        <v/>
      </c>
      <c r="I22" s="9">
        <f>SUMIFS('Lançamentos'!$L$2:$L$5010,'Lançamentos'!$A$2:$A$5010,"Uso e consumo",'Lançamentos'!$B$2:$B$5010,$A22,'Lançamentos'!$C$2:$C$5010,I$4)</f>
        <v/>
      </c>
      <c r="J22" s="9">
        <f>SUMIFS('Lançamentos'!$L$2:$L$5010,'Lançamentos'!$A$2:$A$5010,"Uso e consumo",'Lançamentos'!$B$2:$B$5010,$A22,'Lançamentos'!$C$2:$C$5010,J$4)</f>
        <v/>
      </c>
      <c r="K22" s="9">
        <f>SUM(B22:J22)</f>
        <v/>
      </c>
      <c r="L22" s="10">
        <f>K22/K$51</f>
        <v/>
      </c>
      <c r="M22" s="9">
        <f>SUMIFS('Lançamentos'!$L$2:$L$5010,'Lançamentos'!$A$2:$A$5010,"Uso e consumo",'Lançamentos'!$B$2:$B$5010,$A22,'Lançamentos'!$C$2:$C$5010,"Antes de 2026")</f>
        <v/>
      </c>
    </row>
    <row r="23">
      <c r="A23" s="22" t="inlineStr">
        <is>
          <t>2.04.06 Material de Escritório</t>
        </is>
      </c>
      <c r="B23" s="9">
        <f>SUMIFS('Lançamentos'!$L$2:$L$5010,'Lançamentos'!$A$2:$A$5010,"Uso e consumo",'Lançamentos'!$B$2:$B$5010,$A23,'Lançamentos'!$C$2:$C$5010,B$4)</f>
        <v/>
      </c>
      <c r="C23" s="9">
        <f>SUMIFS('Lançamentos'!$L$2:$L$5010,'Lançamentos'!$A$2:$A$5010,"Uso e consumo",'Lançamentos'!$B$2:$B$5010,$A23,'Lançamentos'!$C$2:$C$5010,C$4)</f>
        <v/>
      </c>
      <c r="D23" s="9">
        <f>SUMIFS('Lançamentos'!$L$2:$L$5010,'Lançamentos'!$A$2:$A$5010,"Uso e consumo",'Lançamentos'!$B$2:$B$5010,$A23,'Lançamentos'!$C$2:$C$5010,D$4)</f>
        <v/>
      </c>
      <c r="E23" s="9">
        <f>SUMIFS('Lançamentos'!$L$2:$L$5010,'Lançamentos'!$A$2:$A$5010,"Uso e consumo",'Lançamentos'!$B$2:$B$5010,$A23,'Lançamentos'!$C$2:$C$5010,E$4)</f>
        <v/>
      </c>
      <c r="F23" s="9">
        <f>SUMIFS('Lançamentos'!$L$2:$L$5010,'Lançamentos'!$A$2:$A$5010,"Uso e consumo",'Lançamentos'!$B$2:$B$5010,$A23,'Lançamentos'!$C$2:$C$5010,F$4)</f>
        <v/>
      </c>
      <c r="G23" s="9">
        <f>SUMIFS('Lançamentos'!$L$2:$L$5010,'Lançamentos'!$A$2:$A$5010,"Uso e consumo",'Lançamentos'!$B$2:$B$5010,$A23,'Lançamentos'!$C$2:$C$5010,G$4)</f>
        <v/>
      </c>
      <c r="H23" s="9">
        <f>SUMIFS('Lançamentos'!$L$2:$L$5010,'Lançamentos'!$A$2:$A$5010,"Uso e consumo",'Lançamentos'!$B$2:$B$5010,$A23,'Lançamentos'!$C$2:$C$5010,H$4)</f>
        <v/>
      </c>
      <c r="I23" s="9">
        <f>SUMIFS('Lançamentos'!$L$2:$L$5010,'Lançamentos'!$A$2:$A$5010,"Uso e consumo",'Lançamentos'!$B$2:$B$5010,$A23,'Lançamentos'!$C$2:$C$5010,I$4)</f>
        <v/>
      </c>
      <c r="J23" s="9">
        <f>SUMIFS('Lançamentos'!$L$2:$L$5010,'Lançamentos'!$A$2:$A$5010,"Uso e consumo",'Lançamentos'!$B$2:$B$5010,$A23,'Lançamentos'!$C$2:$C$5010,J$4)</f>
        <v/>
      </c>
      <c r="K23" s="9">
        <f>SUM(B23:J23)</f>
        <v/>
      </c>
      <c r="L23" s="10">
        <f>K23/K$51</f>
        <v/>
      </c>
      <c r="M23" s="9">
        <f>SUMIFS('Lançamentos'!$L$2:$L$5010,'Lançamentos'!$A$2:$A$5010,"Uso e consumo",'Lançamentos'!$B$2:$B$5010,$A23,'Lançamentos'!$C$2:$C$5010,"Antes de 2026")</f>
        <v/>
      </c>
    </row>
    <row r="24">
      <c r="A24" s="22" t="inlineStr">
        <is>
          <t>2.04.91 Compra de Material de Limpeza</t>
        </is>
      </c>
      <c r="B24" s="9">
        <f>SUMIFS('Lançamentos'!$L$2:$L$5010,'Lançamentos'!$A$2:$A$5010,"Uso e consumo",'Lançamentos'!$B$2:$B$5010,$A24,'Lançamentos'!$C$2:$C$5010,B$4)</f>
        <v/>
      </c>
      <c r="C24" s="9">
        <f>SUMIFS('Lançamentos'!$L$2:$L$5010,'Lançamentos'!$A$2:$A$5010,"Uso e consumo",'Lançamentos'!$B$2:$B$5010,$A24,'Lançamentos'!$C$2:$C$5010,C$4)</f>
        <v/>
      </c>
      <c r="D24" s="9">
        <f>SUMIFS('Lançamentos'!$L$2:$L$5010,'Lançamentos'!$A$2:$A$5010,"Uso e consumo",'Lançamentos'!$B$2:$B$5010,$A24,'Lançamentos'!$C$2:$C$5010,D$4)</f>
        <v/>
      </c>
      <c r="E24" s="9">
        <f>SUMIFS('Lançamentos'!$L$2:$L$5010,'Lançamentos'!$A$2:$A$5010,"Uso e consumo",'Lançamentos'!$B$2:$B$5010,$A24,'Lançamentos'!$C$2:$C$5010,E$4)</f>
        <v/>
      </c>
      <c r="F24" s="9">
        <f>SUMIFS('Lançamentos'!$L$2:$L$5010,'Lançamentos'!$A$2:$A$5010,"Uso e consumo",'Lançamentos'!$B$2:$B$5010,$A24,'Lançamentos'!$C$2:$C$5010,F$4)</f>
        <v/>
      </c>
      <c r="G24" s="9">
        <f>SUMIFS('Lançamentos'!$L$2:$L$5010,'Lançamentos'!$A$2:$A$5010,"Uso e consumo",'Lançamentos'!$B$2:$B$5010,$A24,'Lançamentos'!$C$2:$C$5010,G$4)</f>
        <v/>
      </c>
      <c r="H24" s="9">
        <f>SUMIFS('Lançamentos'!$L$2:$L$5010,'Lançamentos'!$A$2:$A$5010,"Uso e consumo",'Lançamentos'!$B$2:$B$5010,$A24,'Lançamentos'!$C$2:$C$5010,H$4)</f>
        <v/>
      </c>
      <c r="I24" s="9">
        <f>SUMIFS('Lançamentos'!$L$2:$L$5010,'Lançamentos'!$A$2:$A$5010,"Uso e consumo",'Lançamentos'!$B$2:$B$5010,$A24,'Lançamentos'!$C$2:$C$5010,I$4)</f>
        <v/>
      </c>
      <c r="J24" s="9">
        <f>SUMIFS('Lançamentos'!$L$2:$L$5010,'Lançamentos'!$A$2:$A$5010,"Uso e consumo",'Lançamentos'!$B$2:$B$5010,$A24,'Lançamentos'!$C$2:$C$5010,J$4)</f>
        <v/>
      </c>
      <c r="K24" s="9">
        <f>SUM(B24:J24)</f>
        <v/>
      </c>
      <c r="L24" s="10">
        <f>K24/K$51</f>
        <v/>
      </c>
      <c r="M24" s="9">
        <f>SUMIFS('Lançamentos'!$L$2:$L$5010,'Lançamentos'!$A$2:$A$5010,"Uso e consumo",'Lançamentos'!$B$2:$B$5010,$A24,'Lançamentos'!$C$2:$C$5010,"Antes de 2026")</f>
        <v/>
      </c>
    </row>
    <row r="25">
      <c r="A25" s="22" t="inlineStr">
        <is>
          <t>2.04.95 Copa e Cozinha</t>
        </is>
      </c>
      <c r="B25" s="9">
        <f>SUMIFS('Lançamentos'!$L$2:$L$5010,'Lançamentos'!$A$2:$A$5010,"Uso e consumo",'Lançamentos'!$B$2:$B$5010,$A25,'Lançamentos'!$C$2:$C$5010,B$4)</f>
        <v/>
      </c>
      <c r="C25" s="9">
        <f>SUMIFS('Lançamentos'!$L$2:$L$5010,'Lançamentos'!$A$2:$A$5010,"Uso e consumo",'Lançamentos'!$B$2:$B$5010,$A25,'Lançamentos'!$C$2:$C$5010,C$4)</f>
        <v/>
      </c>
      <c r="D25" s="9">
        <f>SUMIFS('Lançamentos'!$L$2:$L$5010,'Lançamentos'!$A$2:$A$5010,"Uso e consumo",'Lançamentos'!$B$2:$B$5010,$A25,'Lançamentos'!$C$2:$C$5010,D$4)</f>
        <v/>
      </c>
      <c r="E25" s="9">
        <f>SUMIFS('Lançamentos'!$L$2:$L$5010,'Lançamentos'!$A$2:$A$5010,"Uso e consumo",'Lançamentos'!$B$2:$B$5010,$A25,'Lançamentos'!$C$2:$C$5010,E$4)</f>
        <v/>
      </c>
      <c r="F25" s="9">
        <f>SUMIFS('Lançamentos'!$L$2:$L$5010,'Lançamentos'!$A$2:$A$5010,"Uso e consumo",'Lançamentos'!$B$2:$B$5010,$A25,'Lançamentos'!$C$2:$C$5010,F$4)</f>
        <v/>
      </c>
      <c r="G25" s="9">
        <f>SUMIFS('Lançamentos'!$L$2:$L$5010,'Lançamentos'!$A$2:$A$5010,"Uso e consumo",'Lançamentos'!$B$2:$B$5010,$A25,'Lançamentos'!$C$2:$C$5010,G$4)</f>
        <v/>
      </c>
      <c r="H25" s="9">
        <f>SUMIFS('Lançamentos'!$L$2:$L$5010,'Lançamentos'!$A$2:$A$5010,"Uso e consumo",'Lançamentos'!$B$2:$B$5010,$A25,'Lançamentos'!$C$2:$C$5010,H$4)</f>
        <v/>
      </c>
      <c r="I25" s="9">
        <f>SUMIFS('Lançamentos'!$L$2:$L$5010,'Lançamentos'!$A$2:$A$5010,"Uso e consumo",'Lançamentos'!$B$2:$B$5010,$A25,'Lançamentos'!$C$2:$C$5010,I$4)</f>
        <v/>
      </c>
      <c r="J25" s="9">
        <f>SUMIFS('Lançamentos'!$L$2:$L$5010,'Lançamentos'!$A$2:$A$5010,"Uso e consumo",'Lançamentos'!$B$2:$B$5010,$A25,'Lançamentos'!$C$2:$C$5010,J$4)</f>
        <v/>
      </c>
      <c r="K25" s="9">
        <f>SUM(B25:J25)</f>
        <v/>
      </c>
      <c r="L25" s="10">
        <f>K25/K$51</f>
        <v/>
      </c>
      <c r="M25" s="9">
        <f>SUMIFS('Lançamentos'!$L$2:$L$5010,'Lançamentos'!$A$2:$A$5010,"Uso e consumo",'Lançamentos'!$B$2:$B$5010,$A25,'Lançamentos'!$C$2:$C$5010,"Antes de 2026")</f>
        <v/>
      </c>
    </row>
    <row r="26">
      <c r="A26" s="22" t="inlineStr">
        <is>
          <t>2.04.96 Bens de Pequeno Valor</t>
        </is>
      </c>
      <c r="B26" s="9">
        <f>SUMIFS('Lançamentos'!$L$2:$L$5010,'Lançamentos'!$A$2:$A$5010,"Uso e consumo",'Lançamentos'!$B$2:$B$5010,$A26,'Lançamentos'!$C$2:$C$5010,B$4)</f>
        <v/>
      </c>
      <c r="C26" s="9">
        <f>SUMIFS('Lançamentos'!$L$2:$L$5010,'Lançamentos'!$A$2:$A$5010,"Uso e consumo",'Lançamentos'!$B$2:$B$5010,$A26,'Lançamentos'!$C$2:$C$5010,C$4)</f>
        <v/>
      </c>
      <c r="D26" s="9">
        <f>SUMIFS('Lançamentos'!$L$2:$L$5010,'Lançamentos'!$A$2:$A$5010,"Uso e consumo",'Lançamentos'!$B$2:$B$5010,$A26,'Lançamentos'!$C$2:$C$5010,D$4)</f>
        <v/>
      </c>
      <c r="E26" s="9">
        <f>SUMIFS('Lançamentos'!$L$2:$L$5010,'Lançamentos'!$A$2:$A$5010,"Uso e consumo",'Lançamentos'!$B$2:$B$5010,$A26,'Lançamentos'!$C$2:$C$5010,E$4)</f>
        <v/>
      </c>
      <c r="F26" s="9">
        <f>SUMIFS('Lançamentos'!$L$2:$L$5010,'Lançamentos'!$A$2:$A$5010,"Uso e consumo",'Lançamentos'!$B$2:$B$5010,$A26,'Lançamentos'!$C$2:$C$5010,F$4)</f>
        <v/>
      </c>
      <c r="G26" s="9">
        <f>SUMIFS('Lançamentos'!$L$2:$L$5010,'Lançamentos'!$A$2:$A$5010,"Uso e consumo",'Lançamentos'!$B$2:$B$5010,$A26,'Lançamentos'!$C$2:$C$5010,G$4)</f>
        <v/>
      </c>
      <c r="H26" s="9">
        <f>SUMIFS('Lançamentos'!$L$2:$L$5010,'Lançamentos'!$A$2:$A$5010,"Uso e consumo",'Lançamentos'!$B$2:$B$5010,$A26,'Lançamentos'!$C$2:$C$5010,H$4)</f>
        <v/>
      </c>
      <c r="I26" s="9">
        <f>SUMIFS('Lançamentos'!$L$2:$L$5010,'Lançamentos'!$A$2:$A$5010,"Uso e consumo",'Lançamentos'!$B$2:$B$5010,$A26,'Lançamentos'!$C$2:$C$5010,I$4)</f>
        <v/>
      </c>
      <c r="J26" s="9">
        <f>SUMIFS('Lançamentos'!$L$2:$L$5010,'Lançamentos'!$A$2:$A$5010,"Uso e consumo",'Lançamentos'!$B$2:$B$5010,$A26,'Lançamentos'!$C$2:$C$5010,J$4)</f>
        <v/>
      </c>
      <c r="K26" s="9">
        <f>SUM(B26:J26)</f>
        <v/>
      </c>
      <c r="L26" s="10">
        <f>K26/K$51</f>
        <v/>
      </c>
      <c r="M26" s="9">
        <f>SUMIFS('Lançamentos'!$L$2:$L$5010,'Lançamentos'!$A$2:$A$5010,"Uso e consumo",'Lançamentos'!$B$2:$B$5010,$A26,'Lançamentos'!$C$2:$C$5010,"Antes de 2026")</f>
        <v/>
      </c>
    </row>
    <row r="27">
      <c r="A27" s="19" t="inlineStr">
        <is>
          <t>Frete de compra</t>
        </is>
      </c>
      <c r="B27" s="20">
        <f>SUM(B28:B34)</f>
        <v/>
      </c>
      <c r="C27" s="20">
        <f>SUM(C28:C34)</f>
        <v/>
      </c>
      <c r="D27" s="20">
        <f>SUM(D28:D34)</f>
        <v/>
      </c>
      <c r="E27" s="20">
        <f>SUM(E28:E34)</f>
        <v/>
      </c>
      <c r="F27" s="20">
        <f>SUM(F28:F34)</f>
        <v/>
      </c>
      <c r="G27" s="20">
        <f>SUM(G28:G34)</f>
        <v/>
      </c>
      <c r="H27" s="20">
        <f>SUM(H28:H34)</f>
        <v/>
      </c>
      <c r="I27" s="20">
        <f>SUM(I28:I34)</f>
        <v/>
      </c>
      <c r="J27" s="20">
        <f>SUM(J28:J34)</f>
        <v/>
      </c>
      <c r="K27" s="20">
        <f>SUM(K28:K34)</f>
        <v/>
      </c>
      <c r="L27" s="21">
        <f>K27/K$51</f>
        <v/>
      </c>
      <c r="M27" s="20">
        <f>SUM(M28:M34)</f>
        <v/>
      </c>
    </row>
    <row r="28">
      <c r="A28" s="22" t="inlineStr">
        <is>
          <t>1.01.01 Venda de Mercadoria Fabricadas</t>
        </is>
      </c>
      <c r="B28" s="9">
        <f>SUMIFS('Lançamentos'!$L$2:$L$5010,'Lançamentos'!$A$2:$A$5010,"Frete de compra",'Lançamentos'!$B$2:$B$5010,$A28,'Lançamentos'!$C$2:$C$5010,B$4)</f>
        <v/>
      </c>
      <c r="C28" s="9">
        <f>SUMIFS('Lançamentos'!$L$2:$L$5010,'Lançamentos'!$A$2:$A$5010,"Frete de compra",'Lançamentos'!$B$2:$B$5010,$A28,'Lançamentos'!$C$2:$C$5010,C$4)</f>
        <v/>
      </c>
      <c r="D28" s="9">
        <f>SUMIFS('Lançamentos'!$L$2:$L$5010,'Lançamentos'!$A$2:$A$5010,"Frete de compra",'Lançamentos'!$B$2:$B$5010,$A28,'Lançamentos'!$C$2:$C$5010,D$4)</f>
        <v/>
      </c>
      <c r="E28" s="9">
        <f>SUMIFS('Lançamentos'!$L$2:$L$5010,'Lançamentos'!$A$2:$A$5010,"Frete de compra",'Lançamentos'!$B$2:$B$5010,$A28,'Lançamentos'!$C$2:$C$5010,E$4)</f>
        <v/>
      </c>
      <c r="F28" s="9">
        <f>SUMIFS('Lançamentos'!$L$2:$L$5010,'Lançamentos'!$A$2:$A$5010,"Frete de compra",'Lançamentos'!$B$2:$B$5010,$A28,'Lançamentos'!$C$2:$C$5010,F$4)</f>
        <v/>
      </c>
      <c r="G28" s="9">
        <f>SUMIFS('Lançamentos'!$L$2:$L$5010,'Lançamentos'!$A$2:$A$5010,"Frete de compra",'Lançamentos'!$B$2:$B$5010,$A28,'Lançamentos'!$C$2:$C$5010,G$4)</f>
        <v/>
      </c>
      <c r="H28" s="9">
        <f>SUMIFS('Lançamentos'!$L$2:$L$5010,'Lançamentos'!$A$2:$A$5010,"Frete de compra",'Lançamentos'!$B$2:$B$5010,$A28,'Lançamentos'!$C$2:$C$5010,H$4)</f>
        <v/>
      </c>
      <c r="I28" s="9">
        <f>SUMIFS('Lançamentos'!$L$2:$L$5010,'Lançamentos'!$A$2:$A$5010,"Frete de compra",'Lançamentos'!$B$2:$B$5010,$A28,'Lançamentos'!$C$2:$C$5010,I$4)</f>
        <v/>
      </c>
      <c r="J28" s="9">
        <f>SUMIFS('Lançamentos'!$L$2:$L$5010,'Lançamentos'!$A$2:$A$5010,"Frete de compra",'Lançamentos'!$B$2:$B$5010,$A28,'Lançamentos'!$C$2:$C$5010,J$4)</f>
        <v/>
      </c>
      <c r="K28" s="9">
        <f>SUM(B28:J28)</f>
        <v/>
      </c>
      <c r="L28" s="10">
        <f>K28/K$51</f>
        <v/>
      </c>
      <c r="M28" s="9">
        <f>SUMIFS('Lançamentos'!$L$2:$L$5010,'Lançamentos'!$A$2:$A$5010,"Frete de compra",'Lançamentos'!$B$2:$B$5010,$A28,'Lançamentos'!$C$2:$C$5010,"Antes de 2026")</f>
        <v/>
      </c>
    </row>
    <row r="29">
      <c r="A29" s="22" t="inlineStr">
        <is>
          <t>2.01.01 Frete Galpão Produto Acabado</t>
        </is>
      </c>
      <c r="B29" s="9">
        <f>SUMIFS('Lançamentos'!$L$2:$L$5010,'Lançamentos'!$A$2:$A$5010,"Frete de compra",'Lançamentos'!$B$2:$B$5010,$A29,'Lançamentos'!$C$2:$C$5010,B$4)</f>
        <v/>
      </c>
      <c r="C29" s="9">
        <f>SUMIFS('Lançamentos'!$L$2:$L$5010,'Lançamentos'!$A$2:$A$5010,"Frete de compra",'Lançamentos'!$B$2:$B$5010,$A29,'Lançamentos'!$C$2:$C$5010,C$4)</f>
        <v/>
      </c>
      <c r="D29" s="9">
        <f>SUMIFS('Lançamentos'!$L$2:$L$5010,'Lançamentos'!$A$2:$A$5010,"Frete de compra",'Lançamentos'!$B$2:$B$5010,$A29,'Lançamentos'!$C$2:$C$5010,D$4)</f>
        <v/>
      </c>
      <c r="E29" s="9">
        <f>SUMIFS('Lançamentos'!$L$2:$L$5010,'Lançamentos'!$A$2:$A$5010,"Frete de compra",'Lançamentos'!$B$2:$B$5010,$A29,'Lançamentos'!$C$2:$C$5010,E$4)</f>
        <v/>
      </c>
      <c r="F29" s="9">
        <f>SUMIFS('Lançamentos'!$L$2:$L$5010,'Lançamentos'!$A$2:$A$5010,"Frete de compra",'Lançamentos'!$B$2:$B$5010,$A29,'Lançamentos'!$C$2:$C$5010,F$4)</f>
        <v/>
      </c>
      <c r="G29" s="9">
        <f>SUMIFS('Lançamentos'!$L$2:$L$5010,'Lançamentos'!$A$2:$A$5010,"Frete de compra",'Lançamentos'!$B$2:$B$5010,$A29,'Lançamentos'!$C$2:$C$5010,G$4)</f>
        <v/>
      </c>
      <c r="H29" s="9">
        <f>SUMIFS('Lançamentos'!$L$2:$L$5010,'Lançamentos'!$A$2:$A$5010,"Frete de compra",'Lançamentos'!$B$2:$B$5010,$A29,'Lançamentos'!$C$2:$C$5010,H$4)</f>
        <v/>
      </c>
      <c r="I29" s="9">
        <f>SUMIFS('Lançamentos'!$L$2:$L$5010,'Lançamentos'!$A$2:$A$5010,"Frete de compra",'Lançamentos'!$B$2:$B$5010,$A29,'Lançamentos'!$C$2:$C$5010,I$4)</f>
        <v/>
      </c>
      <c r="J29" s="9">
        <f>SUMIFS('Lançamentos'!$L$2:$L$5010,'Lançamentos'!$A$2:$A$5010,"Frete de compra",'Lançamentos'!$B$2:$B$5010,$A29,'Lançamentos'!$C$2:$C$5010,J$4)</f>
        <v/>
      </c>
      <c r="K29" s="9">
        <f>SUM(B29:J29)</f>
        <v/>
      </c>
      <c r="L29" s="10">
        <f>K29/K$51</f>
        <v/>
      </c>
      <c r="M29" s="9">
        <f>SUMIFS('Lançamentos'!$L$2:$L$5010,'Lançamentos'!$A$2:$A$5010,"Frete de compra",'Lançamentos'!$B$2:$B$5010,$A29,'Lançamentos'!$C$2:$C$5010,"Antes de 2026")</f>
        <v/>
      </c>
    </row>
    <row r="30">
      <c r="A30" s="22" t="inlineStr">
        <is>
          <t>2.01.02 Frete sobre Vendas</t>
        </is>
      </c>
      <c r="B30" s="9">
        <f>SUMIFS('Lançamentos'!$L$2:$L$5010,'Lançamentos'!$A$2:$A$5010,"Frete de compra",'Lançamentos'!$B$2:$B$5010,$A30,'Lançamentos'!$C$2:$C$5010,B$4)</f>
        <v/>
      </c>
      <c r="C30" s="9">
        <f>SUMIFS('Lançamentos'!$L$2:$L$5010,'Lançamentos'!$A$2:$A$5010,"Frete de compra",'Lançamentos'!$B$2:$B$5010,$A30,'Lançamentos'!$C$2:$C$5010,C$4)</f>
        <v/>
      </c>
      <c r="D30" s="9">
        <f>SUMIFS('Lançamentos'!$L$2:$L$5010,'Lançamentos'!$A$2:$A$5010,"Frete de compra",'Lançamentos'!$B$2:$B$5010,$A30,'Lançamentos'!$C$2:$C$5010,D$4)</f>
        <v/>
      </c>
      <c r="E30" s="9">
        <f>SUMIFS('Lançamentos'!$L$2:$L$5010,'Lançamentos'!$A$2:$A$5010,"Frete de compra",'Lançamentos'!$B$2:$B$5010,$A30,'Lançamentos'!$C$2:$C$5010,E$4)</f>
        <v/>
      </c>
      <c r="F30" s="9">
        <f>SUMIFS('Lançamentos'!$L$2:$L$5010,'Lançamentos'!$A$2:$A$5010,"Frete de compra",'Lançamentos'!$B$2:$B$5010,$A30,'Lançamentos'!$C$2:$C$5010,F$4)</f>
        <v/>
      </c>
      <c r="G30" s="9">
        <f>SUMIFS('Lançamentos'!$L$2:$L$5010,'Lançamentos'!$A$2:$A$5010,"Frete de compra",'Lançamentos'!$B$2:$B$5010,$A30,'Lançamentos'!$C$2:$C$5010,G$4)</f>
        <v/>
      </c>
      <c r="H30" s="9">
        <f>SUMIFS('Lançamentos'!$L$2:$L$5010,'Lançamentos'!$A$2:$A$5010,"Frete de compra",'Lançamentos'!$B$2:$B$5010,$A30,'Lançamentos'!$C$2:$C$5010,H$4)</f>
        <v/>
      </c>
      <c r="I30" s="9">
        <f>SUMIFS('Lançamentos'!$L$2:$L$5010,'Lançamentos'!$A$2:$A$5010,"Frete de compra",'Lançamentos'!$B$2:$B$5010,$A30,'Lançamentos'!$C$2:$C$5010,I$4)</f>
        <v/>
      </c>
      <c r="J30" s="9">
        <f>SUMIFS('Lançamentos'!$L$2:$L$5010,'Lançamentos'!$A$2:$A$5010,"Frete de compra",'Lançamentos'!$B$2:$B$5010,$A30,'Lançamentos'!$C$2:$C$5010,J$4)</f>
        <v/>
      </c>
      <c r="K30" s="9">
        <f>SUM(B30:J30)</f>
        <v/>
      </c>
      <c r="L30" s="10">
        <f>K30/K$51</f>
        <v/>
      </c>
      <c r="M30" s="9">
        <f>SUMIFS('Lançamentos'!$L$2:$L$5010,'Lançamentos'!$A$2:$A$5010,"Frete de compra",'Lançamentos'!$B$2:$B$5010,$A30,'Lançamentos'!$C$2:$C$5010,"Antes de 2026")</f>
        <v/>
      </c>
    </row>
    <row r="31">
      <c r="A31" s="22" t="inlineStr">
        <is>
          <t>2.01.82 Estadia - Cabotagem</t>
        </is>
      </c>
      <c r="B31" s="9">
        <f>SUMIFS('Lançamentos'!$L$2:$L$5010,'Lançamentos'!$A$2:$A$5010,"Frete de compra",'Lançamentos'!$B$2:$B$5010,$A31,'Lançamentos'!$C$2:$C$5010,B$4)</f>
        <v/>
      </c>
      <c r="C31" s="9">
        <f>SUMIFS('Lançamentos'!$L$2:$L$5010,'Lançamentos'!$A$2:$A$5010,"Frete de compra",'Lançamentos'!$B$2:$B$5010,$A31,'Lançamentos'!$C$2:$C$5010,C$4)</f>
        <v/>
      </c>
      <c r="D31" s="9">
        <f>SUMIFS('Lançamentos'!$L$2:$L$5010,'Lançamentos'!$A$2:$A$5010,"Frete de compra",'Lançamentos'!$B$2:$B$5010,$A31,'Lançamentos'!$C$2:$C$5010,D$4)</f>
        <v/>
      </c>
      <c r="E31" s="9">
        <f>SUMIFS('Lançamentos'!$L$2:$L$5010,'Lançamentos'!$A$2:$A$5010,"Frete de compra",'Lançamentos'!$B$2:$B$5010,$A31,'Lançamentos'!$C$2:$C$5010,E$4)</f>
        <v/>
      </c>
      <c r="F31" s="9">
        <f>SUMIFS('Lançamentos'!$L$2:$L$5010,'Lançamentos'!$A$2:$A$5010,"Frete de compra",'Lançamentos'!$B$2:$B$5010,$A31,'Lançamentos'!$C$2:$C$5010,F$4)</f>
        <v/>
      </c>
      <c r="G31" s="9">
        <f>SUMIFS('Lançamentos'!$L$2:$L$5010,'Lançamentos'!$A$2:$A$5010,"Frete de compra",'Lançamentos'!$B$2:$B$5010,$A31,'Lançamentos'!$C$2:$C$5010,G$4)</f>
        <v/>
      </c>
      <c r="H31" s="9">
        <f>SUMIFS('Lançamentos'!$L$2:$L$5010,'Lançamentos'!$A$2:$A$5010,"Frete de compra",'Lançamentos'!$B$2:$B$5010,$A31,'Lançamentos'!$C$2:$C$5010,H$4)</f>
        <v/>
      </c>
      <c r="I31" s="9">
        <f>SUMIFS('Lançamentos'!$L$2:$L$5010,'Lançamentos'!$A$2:$A$5010,"Frete de compra",'Lançamentos'!$B$2:$B$5010,$A31,'Lançamentos'!$C$2:$C$5010,I$4)</f>
        <v/>
      </c>
      <c r="J31" s="9">
        <f>SUMIFS('Lançamentos'!$L$2:$L$5010,'Lançamentos'!$A$2:$A$5010,"Frete de compra",'Lançamentos'!$B$2:$B$5010,$A31,'Lançamentos'!$C$2:$C$5010,J$4)</f>
        <v/>
      </c>
      <c r="K31" s="9">
        <f>SUM(B31:J31)</f>
        <v/>
      </c>
      <c r="L31" s="10">
        <f>K31/K$51</f>
        <v/>
      </c>
      <c r="M31" s="9">
        <f>SUMIFS('Lançamentos'!$L$2:$L$5010,'Lançamentos'!$A$2:$A$5010,"Frete de compra",'Lançamentos'!$B$2:$B$5010,$A31,'Lançamentos'!$C$2:$C$5010,"Antes de 2026")</f>
        <v/>
      </c>
    </row>
    <row r="32">
      <c r="A32" s="22" t="inlineStr">
        <is>
          <t>2.01.98 Frete Descarregamento</t>
        </is>
      </c>
      <c r="B32" s="9">
        <f>SUMIFS('Lançamentos'!$L$2:$L$5010,'Lançamentos'!$A$2:$A$5010,"Frete de compra",'Lançamentos'!$B$2:$B$5010,$A32,'Lançamentos'!$C$2:$C$5010,B$4)</f>
        <v/>
      </c>
      <c r="C32" s="9">
        <f>SUMIFS('Lançamentos'!$L$2:$L$5010,'Lançamentos'!$A$2:$A$5010,"Frete de compra",'Lançamentos'!$B$2:$B$5010,$A32,'Lançamentos'!$C$2:$C$5010,C$4)</f>
        <v/>
      </c>
      <c r="D32" s="9">
        <f>SUMIFS('Lançamentos'!$L$2:$L$5010,'Lançamentos'!$A$2:$A$5010,"Frete de compra",'Lançamentos'!$B$2:$B$5010,$A32,'Lançamentos'!$C$2:$C$5010,D$4)</f>
        <v/>
      </c>
      <c r="E32" s="9">
        <f>SUMIFS('Lançamentos'!$L$2:$L$5010,'Lançamentos'!$A$2:$A$5010,"Frete de compra",'Lançamentos'!$B$2:$B$5010,$A32,'Lançamentos'!$C$2:$C$5010,E$4)</f>
        <v/>
      </c>
      <c r="F32" s="9">
        <f>SUMIFS('Lançamentos'!$L$2:$L$5010,'Lançamentos'!$A$2:$A$5010,"Frete de compra",'Lançamentos'!$B$2:$B$5010,$A32,'Lançamentos'!$C$2:$C$5010,F$4)</f>
        <v/>
      </c>
      <c r="G32" s="9">
        <f>SUMIFS('Lançamentos'!$L$2:$L$5010,'Lançamentos'!$A$2:$A$5010,"Frete de compra",'Lançamentos'!$B$2:$B$5010,$A32,'Lançamentos'!$C$2:$C$5010,G$4)</f>
        <v/>
      </c>
      <c r="H32" s="9">
        <f>SUMIFS('Lançamentos'!$L$2:$L$5010,'Lançamentos'!$A$2:$A$5010,"Frete de compra",'Lançamentos'!$B$2:$B$5010,$A32,'Lançamentos'!$C$2:$C$5010,H$4)</f>
        <v/>
      </c>
      <c r="I32" s="9">
        <f>SUMIFS('Lançamentos'!$L$2:$L$5010,'Lançamentos'!$A$2:$A$5010,"Frete de compra",'Lançamentos'!$B$2:$B$5010,$A32,'Lançamentos'!$C$2:$C$5010,I$4)</f>
        <v/>
      </c>
      <c r="J32" s="9">
        <f>SUMIFS('Lançamentos'!$L$2:$L$5010,'Lançamentos'!$A$2:$A$5010,"Frete de compra",'Lançamentos'!$B$2:$B$5010,$A32,'Lançamentos'!$C$2:$C$5010,J$4)</f>
        <v/>
      </c>
      <c r="K32" s="9">
        <f>SUM(B32:J32)</f>
        <v/>
      </c>
      <c r="L32" s="10">
        <f>K32/K$51</f>
        <v/>
      </c>
      <c r="M32" s="9">
        <f>SUMIFS('Lançamentos'!$L$2:$L$5010,'Lançamentos'!$A$2:$A$5010,"Frete de compra",'Lançamentos'!$B$2:$B$5010,$A32,'Lançamentos'!$C$2:$C$5010,"Antes de 2026")</f>
        <v/>
      </c>
    </row>
    <row r="33">
      <c r="A33" s="22" t="inlineStr">
        <is>
          <t>2.02.93 Frete Amostras/Brindes</t>
        </is>
      </c>
      <c r="B33" s="9">
        <f>SUMIFS('Lançamentos'!$L$2:$L$5010,'Lançamentos'!$A$2:$A$5010,"Frete de compra",'Lançamentos'!$B$2:$B$5010,$A33,'Lançamentos'!$C$2:$C$5010,B$4)</f>
        <v/>
      </c>
      <c r="C33" s="9">
        <f>SUMIFS('Lançamentos'!$L$2:$L$5010,'Lançamentos'!$A$2:$A$5010,"Frete de compra",'Lançamentos'!$B$2:$B$5010,$A33,'Lançamentos'!$C$2:$C$5010,C$4)</f>
        <v/>
      </c>
      <c r="D33" s="9">
        <f>SUMIFS('Lançamentos'!$L$2:$L$5010,'Lançamentos'!$A$2:$A$5010,"Frete de compra",'Lançamentos'!$B$2:$B$5010,$A33,'Lançamentos'!$C$2:$C$5010,D$4)</f>
        <v/>
      </c>
      <c r="E33" s="9">
        <f>SUMIFS('Lançamentos'!$L$2:$L$5010,'Lançamentos'!$A$2:$A$5010,"Frete de compra",'Lançamentos'!$B$2:$B$5010,$A33,'Lançamentos'!$C$2:$C$5010,E$4)</f>
        <v/>
      </c>
      <c r="F33" s="9">
        <f>SUMIFS('Lançamentos'!$L$2:$L$5010,'Lançamentos'!$A$2:$A$5010,"Frete de compra",'Lançamentos'!$B$2:$B$5010,$A33,'Lançamentos'!$C$2:$C$5010,F$4)</f>
        <v/>
      </c>
      <c r="G33" s="9">
        <f>SUMIFS('Lançamentos'!$L$2:$L$5010,'Lançamentos'!$A$2:$A$5010,"Frete de compra",'Lançamentos'!$B$2:$B$5010,$A33,'Lançamentos'!$C$2:$C$5010,G$4)</f>
        <v/>
      </c>
      <c r="H33" s="9">
        <f>SUMIFS('Lançamentos'!$L$2:$L$5010,'Lançamentos'!$A$2:$A$5010,"Frete de compra",'Lançamentos'!$B$2:$B$5010,$A33,'Lançamentos'!$C$2:$C$5010,H$4)</f>
        <v/>
      </c>
      <c r="I33" s="9">
        <f>SUMIFS('Lançamentos'!$L$2:$L$5010,'Lançamentos'!$A$2:$A$5010,"Frete de compra",'Lançamentos'!$B$2:$B$5010,$A33,'Lançamentos'!$C$2:$C$5010,I$4)</f>
        <v/>
      </c>
      <c r="J33" s="9">
        <f>SUMIFS('Lançamentos'!$L$2:$L$5010,'Lançamentos'!$A$2:$A$5010,"Frete de compra",'Lançamentos'!$B$2:$B$5010,$A33,'Lançamentos'!$C$2:$C$5010,J$4)</f>
        <v/>
      </c>
      <c r="K33" s="9">
        <f>SUM(B33:J33)</f>
        <v/>
      </c>
      <c r="L33" s="10">
        <f>K33/K$51</f>
        <v/>
      </c>
      <c r="M33" s="9">
        <f>SUMIFS('Lançamentos'!$L$2:$L$5010,'Lançamentos'!$A$2:$A$5010,"Frete de compra",'Lançamentos'!$B$2:$B$5010,$A33,'Lançamentos'!$C$2:$C$5010,"Antes de 2026")</f>
        <v/>
      </c>
    </row>
    <row r="34">
      <c r="A34" s="22" t="inlineStr">
        <is>
          <t>2.04.87 Frete sobre Compra</t>
        </is>
      </c>
      <c r="B34" s="9">
        <f>SUMIFS('Lançamentos'!$L$2:$L$5010,'Lançamentos'!$A$2:$A$5010,"Frete de compra",'Lançamentos'!$B$2:$B$5010,$A34,'Lançamentos'!$C$2:$C$5010,B$4)</f>
        <v/>
      </c>
      <c r="C34" s="9">
        <f>SUMIFS('Lançamentos'!$L$2:$L$5010,'Lançamentos'!$A$2:$A$5010,"Frete de compra",'Lançamentos'!$B$2:$B$5010,$A34,'Lançamentos'!$C$2:$C$5010,C$4)</f>
        <v/>
      </c>
      <c r="D34" s="9">
        <f>SUMIFS('Lançamentos'!$L$2:$L$5010,'Lançamentos'!$A$2:$A$5010,"Frete de compra",'Lançamentos'!$B$2:$B$5010,$A34,'Lançamentos'!$C$2:$C$5010,D$4)</f>
        <v/>
      </c>
      <c r="E34" s="9">
        <f>SUMIFS('Lançamentos'!$L$2:$L$5010,'Lançamentos'!$A$2:$A$5010,"Frete de compra",'Lançamentos'!$B$2:$B$5010,$A34,'Lançamentos'!$C$2:$C$5010,E$4)</f>
        <v/>
      </c>
      <c r="F34" s="9">
        <f>SUMIFS('Lançamentos'!$L$2:$L$5010,'Lançamentos'!$A$2:$A$5010,"Frete de compra",'Lançamentos'!$B$2:$B$5010,$A34,'Lançamentos'!$C$2:$C$5010,F$4)</f>
        <v/>
      </c>
      <c r="G34" s="9">
        <f>SUMIFS('Lançamentos'!$L$2:$L$5010,'Lançamentos'!$A$2:$A$5010,"Frete de compra",'Lançamentos'!$B$2:$B$5010,$A34,'Lançamentos'!$C$2:$C$5010,G$4)</f>
        <v/>
      </c>
      <c r="H34" s="9">
        <f>SUMIFS('Lançamentos'!$L$2:$L$5010,'Lançamentos'!$A$2:$A$5010,"Frete de compra",'Lançamentos'!$B$2:$B$5010,$A34,'Lançamentos'!$C$2:$C$5010,H$4)</f>
        <v/>
      </c>
      <c r="I34" s="9">
        <f>SUMIFS('Lançamentos'!$L$2:$L$5010,'Lançamentos'!$A$2:$A$5010,"Frete de compra",'Lançamentos'!$B$2:$B$5010,$A34,'Lançamentos'!$C$2:$C$5010,I$4)</f>
        <v/>
      </c>
      <c r="J34" s="9">
        <f>SUMIFS('Lançamentos'!$L$2:$L$5010,'Lançamentos'!$A$2:$A$5010,"Frete de compra",'Lançamentos'!$B$2:$B$5010,$A34,'Lançamentos'!$C$2:$C$5010,J$4)</f>
        <v/>
      </c>
      <c r="K34" s="9">
        <f>SUM(B34:J34)</f>
        <v/>
      </c>
      <c r="L34" s="10">
        <f>K34/K$51</f>
        <v/>
      </c>
      <c r="M34" s="9">
        <f>SUMIFS('Lançamentos'!$L$2:$L$5010,'Lançamentos'!$A$2:$A$5010,"Frete de compra",'Lançamentos'!$B$2:$B$5010,$A34,'Lançamentos'!$C$2:$C$5010,"Antes de 2026")</f>
        <v/>
      </c>
    </row>
    <row r="35">
      <c r="A35" s="19" t="inlineStr">
        <is>
          <t>Frete de venda</t>
        </is>
      </c>
      <c r="B35" s="20">
        <f>SUM(B36:B41)</f>
        <v/>
      </c>
      <c r="C35" s="20">
        <f>SUM(C36:C41)</f>
        <v/>
      </c>
      <c r="D35" s="20">
        <f>SUM(D36:D41)</f>
        <v/>
      </c>
      <c r="E35" s="20">
        <f>SUM(E36:E41)</f>
        <v/>
      </c>
      <c r="F35" s="20">
        <f>SUM(F36:F41)</f>
        <v/>
      </c>
      <c r="G35" s="20">
        <f>SUM(G36:G41)</f>
        <v/>
      </c>
      <c r="H35" s="20">
        <f>SUM(H36:H41)</f>
        <v/>
      </c>
      <c r="I35" s="20">
        <f>SUM(I36:I41)</f>
        <v/>
      </c>
      <c r="J35" s="20">
        <f>SUM(J36:J41)</f>
        <v/>
      </c>
      <c r="K35" s="20">
        <f>SUM(K36:K41)</f>
        <v/>
      </c>
      <c r="L35" s="21">
        <f>K35/K$51</f>
        <v/>
      </c>
      <c r="M35" s="20">
        <f>SUM(M36:M41)</f>
        <v/>
      </c>
    </row>
    <row r="36">
      <c r="A36" s="22" t="inlineStr">
        <is>
          <t>1.01.01 Venda de Mercadoria Fabricadas</t>
        </is>
      </c>
      <c r="B36" s="9">
        <f>SUMIFS('Lançamentos'!$L$2:$L$5010,'Lançamentos'!$A$2:$A$5010,"Frete de venda",'Lançamentos'!$B$2:$B$5010,$A36,'Lançamentos'!$C$2:$C$5010,B$4)</f>
        <v/>
      </c>
      <c r="C36" s="9">
        <f>SUMIFS('Lançamentos'!$L$2:$L$5010,'Lançamentos'!$A$2:$A$5010,"Frete de venda",'Lançamentos'!$B$2:$B$5010,$A36,'Lançamentos'!$C$2:$C$5010,C$4)</f>
        <v/>
      </c>
      <c r="D36" s="9">
        <f>SUMIFS('Lançamentos'!$L$2:$L$5010,'Lançamentos'!$A$2:$A$5010,"Frete de venda",'Lançamentos'!$B$2:$B$5010,$A36,'Lançamentos'!$C$2:$C$5010,D$4)</f>
        <v/>
      </c>
      <c r="E36" s="9">
        <f>SUMIFS('Lançamentos'!$L$2:$L$5010,'Lançamentos'!$A$2:$A$5010,"Frete de venda",'Lançamentos'!$B$2:$B$5010,$A36,'Lançamentos'!$C$2:$C$5010,E$4)</f>
        <v/>
      </c>
      <c r="F36" s="9">
        <f>SUMIFS('Lançamentos'!$L$2:$L$5010,'Lançamentos'!$A$2:$A$5010,"Frete de venda",'Lançamentos'!$B$2:$B$5010,$A36,'Lançamentos'!$C$2:$C$5010,F$4)</f>
        <v/>
      </c>
      <c r="G36" s="9">
        <f>SUMIFS('Lançamentos'!$L$2:$L$5010,'Lançamentos'!$A$2:$A$5010,"Frete de venda",'Lançamentos'!$B$2:$B$5010,$A36,'Lançamentos'!$C$2:$C$5010,G$4)</f>
        <v/>
      </c>
      <c r="H36" s="9">
        <f>SUMIFS('Lançamentos'!$L$2:$L$5010,'Lançamentos'!$A$2:$A$5010,"Frete de venda",'Lançamentos'!$B$2:$B$5010,$A36,'Lançamentos'!$C$2:$C$5010,H$4)</f>
        <v/>
      </c>
      <c r="I36" s="9">
        <f>SUMIFS('Lançamentos'!$L$2:$L$5010,'Lançamentos'!$A$2:$A$5010,"Frete de venda",'Lançamentos'!$B$2:$B$5010,$A36,'Lançamentos'!$C$2:$C$5010,I$4)</f>
        <v/>
      </c>
      <c r="J36" s="9">
        <f>SUMIFS('Lançamentos'!$L$2:$L$5010,'Lançamentos'!$A$2:$A$5010,"Frete de venda",'Lançamentos'!$B$2:$B$5010,$A36,'Lançamentos'!$C$2:$C$5010,J$4)</f>
        <v/>
      </c>
      <c r="K36" s="9">
        <f>SUM(B36:J36)</f>
        <v/>
      </c>
      <c r="L36" s="10">
        <f>K36/K$51</f>
        <v/>
      </c>
      <c r="M36" s="9">
        <f>SUMIFS('Lançamentos'!$L$2:$L$5010,'Lançamentos'!$A$2:$A$5010,"Frete de venda",'Lançamentos'!$B$2:$B$5010,$A36,'Lançamentos'!$C$2:$C$5010,"Antes de 2026")</f>
        <v/>
      </c>
    </row>
    <row r="37">
      <c r="A37" s="22" t="inlineStr">
        <is>
          <t>2.01.01 Frete Galpão Produto Acabado</t>
        </is>
      </c>
      <c r="B37" s="9">
        <f>SUMIFS('Lançamentos'!$L$2:$L$5010,'Lançamentos'!$A$2:$A$5010,"Frete de venda",'Lançamentos'!$B$2:$B$5010,$A37,'Lançamentos'!$C$2:$C$5010,B$4)</f>
        <v/>
      </c>
      <c r="C37" s="9">
        <f>SUMIFS('Lançamentos'!$L$2:$L$5010,'Lançamentos'!$A$2:$A$5010,"Frete de venda",'Lançamentos'!$B$2:$B$5010,$A37,'Lançamentos'!$C$2:$C$5010,C$4)</f>
        <v/>
      </c>
      <c r="D37" s="9">
        <f>SUMIFS('Lançamentos'!$L$2:$L$5010,'Lançamentos'!$A$2:$A$5010,"Frete de venda",'Lançamentos'!$B$2:$B$5010,$A37,'Lançamentos'!$C$2:$C$5010,D$4)</f>
        <v/>
      </c>
      <c r="E37" s="9">
        <f>SUMIFS('Lançamentos'!$L$2:$L$5010,'Lançamentos'!$A$2:$A$5010,"Frete de venda",'Lançamentos'!$B$2:$B$5010,$A37,'Lançamentos'!$C$2:$C$5010,E$4)</f>
        <v/>
      </c>
      <c r="F37" s="9">
        <f>SUMIFS('Lançamentos'!$L$2:$L$5010,'Lançamentos'!$A$2:$A$5010,"Frete de venda",'Lançamentos'!$B$2:$B$5010,$A37,'Lançamentos'!$C$2:$C$5010,F$4)</f>
        <v/>
      </c>
      <c r="G37" s="9">
        <f>SUMIFS('Lançamentos'!$L$2:$L$5010,'Lançamentos'!$A$2:$A$5010,"Frete de venda",'Lançamentos'!$B$2:$B$5010,$A37,'Lançamentos'!$C$2:$C$5010,G$4)</f>
        <v/>
      </c>
      <c r="H37" s="9">
        <f>SUMIFS('Lançamentos'!$L$2:$L$5010,'Lançamentos'!$A$2:$A$5010,"Frete de venda",'Lançamentos'!$B$2:$B$5010,$A37,'Lançamentos'!$C$2:$C$5010,H$4)</f>
        <v/>
      </c>
      <c r="I37" s="9">
        <f>SUMIFS('Lançamentos'!$L$2:$L$5010,'Lançamentos'!$A$2:$A$5010,"Frete de venda",'Lançamentos'!$B$2:$B$5010,$A37,'Lançamentos'!$C$2:$C$5010,I$4)</f>
        <v/>
      </c>
      <c r="J37" s="9">
        <f>SUMIFS('Lançamentos'!$L$2:$L$5010,'Lançamentos'!$A$2:$A$5010,"Frete de venda",'Lançamentos'!$B$2:$B$5010,$A37,'Lançamentos'!$C$2:$C$5010,J$4)</f>
        <v/>
      </c>
      <c r="K37" s="9">
        <f>SUM(B37:J37)</f>
        <v/>
      </c>
      <c r="L37" s="10">
        <f>K37/K$51</f>
        <v/>
      </c>
      <c r="M37" s="9">
        <f>SUMIFS('Lançamentos'!$L$2:$L$5010,'Lançamentos'!$A$2:$A$5010,"Frete de venda",'Lançamentos'!$B$2:$B$5010,$A37,'Lançamentos'!$C$2:$C$5010,"Antes de 2026")</f>
        <v/>
      </c>
    </row>
    <row r="38">
      <c r="A38" s="22" t="inlineStr">
        <is>
          <t>2.01.02 Frete sobre Vendas</t>
        </is>
      </c>
      <c r="B38" s="9">
        <f>SUMIFS('Lançamentos'!$L$2:$L$5010,'Lançamentos'!$A$2:$A$5010,"Frete de venda",'Lançamentos'!$B$2:$B$5010,$A38,'Lançamentos'!$C$2:$C$5010,B$4)</f>
        <v/>
      </c>
      <c r="C38" s="9">
        <f>SUMIFS('Lançamentos'!$L$2:$L$5010,'Lançamentos'!$A$2:$A$5010,"Frete de venda",'Lançamentos'!$B$2:$B$5010,$A38,'Lançamentos'!$C$2:$C$5010,C$4)</f>
        <v/>
      </c>
      <c r="D38" s="9">
        <f>SUMIFS('Lançamentos'!$L$2:$L$5010,'Lançamentos'!$A$2:$A$5010,"Frete de venda",'Lançamentos'!$B$2:$B$5010,$A38,'Lançamentos'!$C$2:$C$5010,D$4)</f>
        <v/>
      </c>
      <c r="E38" s="9">
        <f>SUMIFS('Lançamentos'!$L$2:$L$5010,'Lançamentos'!$A$2:$A$5010,"Frete de venda",'Lançamentos'!$B$2:$B$5010,$A38,'Lançamentos'!$C$2:$C$5010,E$4)</f>
        <v/>
      </c>
      <c r="F38" s="9">
        <f>SUMIFS('Lançamentos'!$L$2:$L$5010,'Lançamentos'!$A$2:$A$5010,"Frete de venda",'Lançamentos'!$B$2:$B$5010,$A38,'Lançamentos'!$C$2:$C$5010,F$4)</f>
        <v/>
      </c>
      <c r="G38" s="9">
        <f>SUMIFS('Lançamentos'!$L$2:$L$5010,'Lançamentos'!$A$2:$A$5010,"Frete de venda",'Lançamentos'!$B$2:$B$5010,$A38,'Lançamentos'!$C$2:$C$5010,G$4)</f>
        <v/>
      </c>
      <c r="H38" s="9">
        <f>SUMIFS('Lançamentos'!$L$2:$L$5010,'Lançamentos'!$A$2:$A$5010,"Frete de venda",'Lançamentos'!$B$2:$B$5010,$A38,'Lançamentos'!$C$2:$C$5010,H$4)</f>
        <v/>
      </c>
      <c r="I38" s="9">
        <f>SUMIFS('Lançamentos'!$L$2:$L$5010,'Lançamentos'!$A$2:$A$5010,"Frete de venda",'Lançamentos'!$B$2:$B$5010,$A38,'Lançamentos'!$C$2:$C$5010,I$4)</f>
        <v/>
      </c>
      <c r="J38" s="9">
        <f>SUMIFS('Lançamentos'!$L$2:$L$5010,'Lançamentos'!$A$2:$A$5010,"Frete de venda",'Lançamentos'!$B$2:$B$5010,$A38,'Lançamentos'!$C$2:$C$5010,J$4)</f>
        <v/>
      </c>
      <c r="K38" s="9">
        <f>SUM(B38:J38)</f>
        <v/>
      </c>
      <c r="L38" s="10">
        <f>K38/K$51</f>
        <v/>
      </c>
      <c r="M38" s="9">
        <f>SUMIFS('Lançamentos'!$L$2:$L$5010,'Lançamentos'!$A$2:$A$5010,"Frete de venda",'Lançamentos'!$B$2:$B$5010,$A38,'Lançamentos'!$C$2:$C$5010,"Antes de 2026")</f>
        <v/>
      </c>
    </row>
    <row r="39">
      <c r="A39" s="22" t="inlineStr">
        <is>
          <t>2.01.84 Remessa de Mercadoria</t>
        </is>
      </c>
      <c r="B39" s="9">
        <f>SUMIFS('Lançamentos'!$L$2:$L$5010,'Lançamentos'!$A$2:$A$5010,"Frete de venda",'Lançamentos'!$B$2:$B$5010,$A39,'Lançamentos'!$C$2:$C$5010,B$4)</f>
        <v/>
      </c>
      <c r="C39" s="9">
        <f>SUMIFS('Lançamentos'!$L$2:$L$5010,'Lançamentos'!$A$2:$A$5010,"Frete de venda",'Lançamentos'!$B$2:$B$5010,$A39,'Lançamentos'!$C$2:$C$5010,C$4)</f>
        <v/>
      </c>
      <c r="D39" s="9">
        <f>SUMIFS('Lançamentos'!$L$2:$L$5010,'Lançamentos'!$A$2:$A$5010,"Frete de venda",'Lançamentos'!$B$2:$B$5010,$A39,'Lançamentos'!$C$2:$C$5010,D$4)</f>
        <v/>
      </c>
      <c r="E39" s="9">
        <f>SUMIFS('Lançamentos'!$L$2:$L$5010,'Lançamentos'!$A$2:$A$5010,"Frete de venda",'Lançamentos'!$B$2:$B$5010,$A39,'Lançamentos'!$C$2:$C$5010,E$4)</f>
        <v/>
      </c>
      <c r="F39" s="9">
        <f>SUMIFS('Lançamentos'!$L$2:$L$5010,'Lançamentos'!$A$2:$A$5010,"Frete de venda",'Lançamentos'!$B$2:$B$5010,$A39,'Lançamentos'!$C$2:$C$5010,F$4)</f>
        <v/>
      </c>
      <c r="G39" s="9">
        <f>SUMIFS('Lançamentos'!$L$2:$L$5010,'Lançamentos'!$A$2:$A$5010,"Frete de venda",'Lançamentos'!$B$2:$B$5010,$A39,'Lançamentos'!$C$2:$C$5010,G$4)</f>
        <v/>
      </c>
      <c r="H39" s="9">
        <f>SUMIFS('Lançamentos'!$L$2:$L$5010,'Lançamentos'!$A$2:$A$5010,"Frete de venda",'Lançamentos'!$B$2:$B$5010,$A39,'Lançamentos'!$C$2:$C$5010,H$4)</f>
        <v/>
      </c>
      <c r="I39" s="9">
        <f>SUMIFS('Lançamentos'!$L$2:$L$5010,'Lançamentos'!$A$2:$A$5010,"Frete de venda",'Lançamentos'!$B$2:$B$5010,$A39,'Lançamentos'!$C$2:$C$5010,I$4)</f>
        <v/>
      </c>
      <c r="J39" s="9">
        <f>SUMIFS('Lançamentos'!$L$2:$L$5010,'Lançamentos'!$A$2:$A$5010,"Frete de venda",'Lançamentos'!$B$2:$B$5010,$A39,'Lançamentos'!$C$2:$C$5010,J$4)</f>
        <v/>
      </c>
      <c r="K39" s="9">
        <f>SUM(B39:J39)</f>
        <v/>
      </c>
      <c r="L39" s="10">
        <f>K39/K$51</f>
        <v/>
      </c>
      <c r="M39" s="9">
        <f>SUMIFS('Lançamentos'!$L$2:$L$5010,'Lançamentos'!$A$2:$A$5010,"Frete de venda",'Lançamentos'!$B$2:$B$5010,$A39,'Lançamentos'!$C$2:$C$5010,"Antes de 2026")</f>
        <v/>
      </c>
    </row>
    <row r="40">
      <c r="A40" s="22" t="inlineStr">
        <is>
          <t>2.01.98 Frete Descarregamento</t>
        </is>
      </c>
      <c r="B40" s="9">
        <f>SUMIFS('Lançamentos'!$L$2:$L$5010,'Lançamentos'!$A$2:$A$5010,"Frete de venda",'Lançamentos'!$B$2:$B$5010,$A40,'Lançamentos'!$C$2:$C$5010,B$4)</f>
        <v/>
      </c>
      <c r="C40" s="9">
        <f>SUMIFS('Lançamentos'!$L$2:$L$5010,'Lançamentos'!$A$2:$A$5010,"Frete de venda",'Lançamentos'!$B$2:$B$5010,$A40,'Lançamentos'!$C$2:$C$5010,C$4)</f>
        <v/>
      </c>
      <c r="D40" s="9">
        <f>SUMIFS('Lançamentos'!$L$2:$L$5010,'Lançamentos'!$A$2:$A$5010,"Frete de venda",'Lançamentos'!$B$2:$B$5010,$A40,'Lançamentos'!$C$2:$C$5010,D$4)</f>
        <v/>
      </c>
      <c r="E40" s="9">
        <f>SUMIFS('Lançamentos'!$L$2:$L$5010,'Lançamentos'!$A$2:$A$5010,"Frete de venda",'Lançamentos'!$B$2:$B$5010,$A40,'Lançamentos'!$C$2:$C$5010,E$4)</f>
        <v/>
      </c>
      <c r="F40" s="9">
        <f>SUMIFS('Lançamentos'!$L$2:$L$5010,'Lançamentos'!$A$2:$A$5010,"Frete de venda",'Lançamentos'!$B$2:$B$5010,$A40,'Lançamentos'!$C$2:$C$5010,F$4)</f>
        <v/>
      </c>
      <c r="G40" s="9">
        <f>SUMIFS('Lançamentos'!$L$2:$L$5010,'Lançamentos'!$A$2:$A$5010,"Frete de venda",'Lançamentos'!$B$2:$B$5010,$A40,'Lançamentos'!$C$2:$C$5010,G$4)</f>
        <v/>
      </c>
      <c r="H40" s="9">
        <f>SUMIFS('Lançamentos'!$L$2:$L$5010,'Lançamentos'!$A$2:$A$5010,"Frete de venda",'Lançamentos'!$B$2:$B$5010,$A40,'Lançamentos'!$C$2:$C$5010,H$4)</f>
        <v/>
      </c>
      <c r="I40" s="9">
        <f>SUMIFS('Lançamentos'!$L$2:$L$5010,'Lançamentos'!$A$2:$A$5010,"Frete de venda",'Lançamentos'!$B$2:$B$5010,$A40,'Lançamentos'!$C$2:$C$5010,I$4)</f>
        <v/>
      </c>
      <c r="J40" s="9">
        <f>SUMIFS('Lançamentos'!$L$2:$L$5010,'Lançamentos'!$A$2:$A$5010,"Frete de venda",'Lançamentos'!$B$2:$B$5010,$A40,'Lançamentos'!$C$2:$C$5010,J$4)</f>
        <v/>
      </c>
      <c r="K40" s="9">
        <f>SUM(B40:J40)</f>
        <v/>
      </c>
      <c r="L40" s="10">
        <f>K40/K$51</f>
        <v/>
      </c>
      <c r="M40" s="9">
        <f>SUMIFS('Lançamentos'!$L$2:$L$5010,'Lançamentos'!$A$2:$A$5010,"Frete de venda",'Lançamentos'!$B$2:$B$5010,$A40,'Lançamentos'!$C$2:$C$5010,"Antes de 2026")</f>
        <v/>
      </c>
    </row>
    <row r="41">
      <c r="A41" s="22" t="inlineStr">
        <is>
          <t>2.04.87 Frete sobre Compra</t>
        </is>
      </c>
      <c r="B41" s="9">
        <f>SUMIFS('Lançamentos'!$L$2:$L$5010,'Lançamentos'!$A$2:$A$5010,"Frete de venda",'Lançamentos'!$B$2:$B$5010,$A41,'Lançamentos'!$C$2:$C$5010,B$4)</f>
        <v/>
      </c>
      <c r="C41" s="9">
        <f>SUMIFS('Lançamentos'!$L$2:$L$5010,'Lançamentos'!$A$2:$A$5010,"Frete de venda",'Lançamentos'!$B$2:$B$5010,$A41,'Lançamentos'!$C$2:$C$5010,C$4)</f>
        <v/>
      </c>
      <c r="D41" s="9">
        <f>SUMIFS('Lançamentos'!$L$2:$L$5010,'Lançamentos'!$A$2:$A$5010,"Frete de venda",'Lançamentos'!$B$2:$B$5010,$A41,'Lançamentos'!$C$2:$C$5010,D$4)</f>
        <v/>
      </c>
      <c r="E41" s="9">
        <f>SUMIFS('Lançamentos'!$L$2:$L$5010,'Lançamentos'!$A$2:$A$5010,"Frete de venda",'Lançamentos'!$B$2:$B$5010,$A41,'Lançamentos'!$C$2:$C$5010,E$4)</f>
        <v/>
      </c>
      <c r="F41" s="9">
        <f>SUMIFS('Lançamentos'!$L$2:$L$5010,'Lançamentos'!$A$2:$A$5010,"Frete de venda",'Lançamentos'!$B$2:$B$5010,$A41,'Lançamentos'!$C$2:$C$5010,F$4)</f>
        <v/>
      </c>
      <c r="G41" s="9">
        <f>SUMIFS('Lançamentos'!$L$2:$L$5010,'Lançamentos'!$A$2:$A$5010,"Frete de venda",'Lançamentos'!$B$2:$B$5010,$A41,'Lançamentos'!$C$2:$C$5010,G$4)</f>
        <v/>
      </c>
      <c r="H41" s="9">
        <f>SUMIFS('Lançamentos'!$L$2:$L$5010,'Lançamentos'!$A$2:$A$5010,"Frete de venda",'Lançamentos'!$B$2:$B$5010,$A41,'Lançamentos'!$C$2:$C$5010,H$4)</f>
        <v/>
      </c>
      <c r="I41" s="9">
        <f>SUMIFS('Lançamentos'!$L$2:$L$5010,'Lançamentos'!$A$2:$A$5010,"Frete de venda",'Lançamentos'!$B$2:$B$5010,$A41,'Lançamentos'!$C$2:$C$5010,I$4)</f>
        <v/>
      </c>
      <c r="J41" s="9">
        <f>SUMIFS('Lançamentos'!$L$2:$L$5010,'Lançamentos'!$A$2:$A$5010,"Frete de venda",'Lançamentos'!$B$2:$B$5010,$A41,'Lançamentos'!$C$2:$C$5010,J$4)</f>
        <v/>
      </c>
      <c r="K41" s="9">
        <f>SUM(B41:J41)</f>
        <v/>
      </c>
      <c r="L41" s="10">
        <f>K41/K$51</f>
        <v/>
      </c>
      <c r="M41" s="9">
        <f>SUMIFS('Lançamentos'!$L$2:$L$5010,'Lançamentos'!$A$2:$A$5010,"Frete de venda",'Lançamentos'!$B$2:$B$5010,$A41,'Lançamentos'!$C$2:$C$5010,"Antes de 2026")</f>
        <v/>
      </c>
    </row>
    <row r="42">
      <c r="A42" s="19" t="inlineStr">
        <is>
          <t>Outras despesas pagas</t>
        </is>
      </c>
      <c r="B42" s="20">
        <f>SUM(B43:B49)</f>
        <v/>
      </c>
      <c r="C42" s="20">
        <f>SUM(C43:C49)</f>
        <v/>
      </c>
      <c r="D42" s="20">
        <f>SUM(D43:D49)</f>
        <v/>
      </c>
      <c r="E42" s="20">
        <f>SUM(E43:E49)</f>
        <v/>
      </c>
      <c r="F42" s="20">
        <f>SUM(F43:F49)</f>
        <v/>
      </c>
      <c r="G42" s="20">
        <f>SUM(G43:G49)</f>
        <v/>
      </c>
      <c r="H42" s="20">
        <f>SUM(H43:H49)</f>
        <v/>
      </c>
      <c r="I42" s="20">
        <f>SUM(I43:I49)</f>
        <v/>
      </c>
      <c r="J42" s="20">
        <f>SUM(J43:J49)</f>
        <v/>
      </c>
      <c r="K42" s="20">
        <f>SUM(K43:K49)</f>
        <v/>
      </c>
      <c r="L42" s="21">
        <f>K42/K$51</f>
        <v/>
      </c>
      <c r="M42" s="20">
        <f>SUM(M43:M49)</f>
        <v/>
      </c>
    </row>
    <row r="43">
      <c r="A43" s="22" t="inlineStr">
        <is>
          <t>Aluguel de contêiner</t>
        </is>
      </c>
      <c r="B43" s="9">
        <f>SUMIFS('Lançamentos'!$L$2:$L$5010,'Lançamentos'!$A$2:$A$5010,"Outras despesas pagas",'Lançamentos'!$B$2:$B$5010,$A43,'Lançamentos'!$C$2:$C$5010,B$4)</f>
        <v/>
      </c>
      <c r="C43" s="9">
        <f>SUMIFS('Lançamentos'!$L$2:$L$5010,'Lançamentos'!$A$2:$A$5010,"Outras despesas pagas",'Lançamentos'!$B$2:$B$5010,$A43,'Lançamentos'!$C$2:$C$5010,C$4)</f>
        <v/>
      </c>
      <c r="D43" s="9">
        <f>SUMIFS('Lançamentos'!$L$2:$L$5010,'Lançamentos'!$A$2:$A$5010,"Outras despesas pagas",'Lançamentos'!$B$2:$B$5010,$A43,'Lançamentos'!$C$2:$C$5010,D$4)</f>
        <v/>
      </c>
      <c r="E43" s="9">
        <f>SUMIFS('Lançamentos'!$L$2:$L$5010,'Lançamentos'!$A$2:$A$5010,"Outras despesas pagas",'Lançamentos'!$B$2:$B$5010,$A43,'Lançamentos'!$C$2:$C$5010,E$4)</f>
        <v/>
      </c>
      <c r="F43" s="9">
        <f>SUMIFS('Lançamentos'!$L$2:$L$5010,'Lançamentos'!$A$2:$A$5010,"Outras despesas pagas",'Lançamentos'!$B$2:$B$5010,$A43,'Lançamentos'!$C$2:$C$5010,F$4)</f>
        <v/>
      </c>
      <c r="G43" s="9">
        <f>SUMIFS('Lançamentos'!$L$2:$L$5010,'Lançamentos'!$A$2:$A$5010,"Outras despesas pagas",'Lançamentos'!$B$2:$B$5010,$A43,'Lançamentos'!$C$2:$C$5010,G$4)</f>
        <v/>
      </c>
      <c r="H43" s="9">
        <f>SUMIFS('Lançamentos'!$L$2:$L$5010,'Lançamentos'!$A$2:$A$5010,"Outras despesas pagas",'Lançamentos'!$B$2:$B$5010,$A43,'Lançamentos'!$C$2:$C$5010,H$4)</f>
        <v/>
      </c>
      <c r="I43" s="9">
        <f>SUMIFS('Lançamentos'!$L$2:$L$5010,'Lançamentos'!$A$2:$A$5010,"Outras despesas pagas",'Lançamentos'!$B$2:$B$5010,$A43,'Lançamentos'!$C$2:$C$5010,I$4)</f>
        <v/>
      </c>
      <c r="J43" s="9">
        <f>SUMIFS('Lançamentos'!$L$2:$L$5010,'Lançamentos'!$A$2:$A$5010,"Outras despesas pagas",'Lançamentos'!$B$2:$B$5010,$A43,'Lançamentos'!$C$2:$C$5010,J$4)</f>
        <v/>
      </c>
      <c r="K43" s="9">
        <f>SUM(B43:J43)</f>
        <v/>
      </c>
      <c r="L43" s="10">
        <f>K43/K$51</f>
        <v/>
      </c>
      <c r="M43" s="9">
        <f>SUMIFS('Lançamentos'!$L$2:$L$5010,'Lançamentos'!$A$2:$A$5010,"Outras despesas pagas",'Lançamentos'!$B$2:$B$5010,$A43,'Lançamentos'!$C$2:$C$5010,"Antes de 2026")</f>
        <v/>
      </c>
    </row>
    <row r="44">
      <c r="A44" s="22" t="inlineStr">
        <is>
          <t>Brindes, premiações e marketing</t>
        </is>
      </c>
      <c r="B44" s="9">
        <f>SUMIFS('Lançamentos'!$L$2:$L$5010,'Lançamentos'!$A$2:$A$5010,"Outras despesas pagas",'Lançamentos'!$B$2:$B$5010,$A44,'Lançamentos'!$C$2:$C$5010,B$4)</f>
        <v/>
      </c>
      <c r="C44" s="9">
        <f>SUMIFS('Lançamentos'!$L$2:$L$5010,'Lançamentos'!$A$2:$A$5010,"Outras despesas pagas",'Lançamentos'!$B$2:$B$5010,$A44,'Lançamentos'!$C$2:$C$5010,C$4)</f>
        <v/>
      </c>
      <c r="D44" s="9">
        <f>SUMIFS('Lançamentos'!$L$2:$L$5010,'Lançamentos'!$A$2:$A$5010,"Outras despesas pagas",'Lançamentos'!$B$2:$B$5010,$A44,'Lançamentos'!$C$2:$C$5010,D$4)</f>
        <v/>
      </c>
      <c r="E44" s="9">
        <f>SUMIFS('Lançamentos'!$L$2:$L$5010,'Lançamentos'!$A$2:$A$5010,"Outras despesas pagas",'Lançamentos'!$B$2:$B$5010,$A44,'Lançamentos'!$C$2:$C$5010,E$4)</f>
        <v/>
      </c>
      <c r="F44" s="9">
        <f>SUMIFS('Lançamentos'!$L$2:$L$5010,'Lançamentos'!$A$2:$A$5010,"Outras despesas pagas",'Lançamentos'!$B$2:$B$5010,$A44,'Lançamentos'!$C$2:$C$5010,F$4)</f>
        <v/>
      </c>
      <c r="G44" s="9">
        <f>SUMIFS('Lançamentos'!$L$2:$L$5010,'Lançamentos'!$A$2:$A$5010,"Outras despesas pagas",'Lançamentos'!$B$2:$B$5010,$A44,'Lançamentos'!$C$2:$C$5010,G$4)</f>
        <v/>
      </c>
      <c r="H44" s="9">
        <f>SUMIFS('Lançamentos'!$L$2:$L$5010,'Lançamentos'!$A$2:$A$5010,"Outras despesas pagas",'Lançamentos'!$B$2:$B$5010,$A44,'Lançamentos'!$C$2:$C$5010,H$4)</f>
        <v/>
      </c>
      <c r="I44" s="9">
        <f>SUMIFS('Lançamentos'!$L$2:$L$5010,'Lançamentos'!$A$2:$A$5010,"Outras despesas pagas",'Lançamentos'!$B$2:$B$5010,$A44,'Lançamentos'!$C$2:$C$5010,I$4)</f>
        <v/>
      </c>
      <c r="J44" s="9">
        <f>SUMIFS('Lançamentos'!$L$2:$L$5010,'Lançamentos'!$A$2:$A$5010,"Outras despesas pagas",'Lançamentos'!$B$2:$B$5010,$A44,'Lançamentos'!$C$2:$C$5010,J$4)</f>
        <v/>
      </c>
      <c r="K44" s="9">
        <f>SUM(B44:J44)</f>
        <v/>
      </c>
      <c r="L44" s="10">
        <f>K44/K$51</f>
        <v/>
      </c>
      <c r="M44" s="9">
        <f>SUMIFS('Lançamentos'!$L$2:$L$5010,'Lançamentos'!$A$2:$A$5010,"Outras despesas pagas",'Lançamentos'!$B$2:$B$5010,$A44,'Lançamentos'!$C$2:$C$5010,"Antes de 2026")</f>
        <v/>
      </c>
    </row>
    <row r="45">
      <c r="A45" s="22" t="inlineStr">
        <is>
          <t>Combustível</t>
        </is>
      </c>
      <c r="B45" s="9">
        <f>SUMIFS('Lançamentos'!$L$2:$L$5010,'Lançamentos'!$A$2:$A$5010,"Outras despesas pagas",'Lançamentos'!$B$2:$B$5010,$A45,'Lançamentos'!$C$2:$C$5010,B$4)</f>
        <v/>
      </c>
      <c r="C45" s="9">
        <f>SUMIFS('Lançamentos'!$L$2:$L$5010,'Lançamentos'!$A$2:$A$5010,"Outras despesas pagas",'Lançamentos'!$B$2:$B$5010,$A45,'Lançamentos'!$C$2:$C$5010,C$4)</f>
        <v/>
      </c>
      <c r="D45" s="9">
        <f>SUMIFS('Lançamentos'!$L$2:$L$5010,'Lançamentos'!$A$2:$A$5010,"Outras despesas pagas",'Lançamentos'!$B$2:$B$5010,$A45,'Lançamentos'!$C$2:$C$5010,D$4)</f>
        <v/>
      </c>
      <c r="E45" s="9">
        <f>SUMIFS('Lançamentos'!$L$2:$L$5010,'Lançamentos'!$A$2:$A$5010,"Outras despesas pagas",'Lançamentos'!$B$2:$B$5010,$A45,'Lançamentos'!$C$2:$C$5010,E$4)</f>
        <v/>
      </c>
      <c r="F45" s="9">
        <f>SUMIFS('Lançamentos'!$L$2:$L$5010,'Lançamentos'!$A$2:$A$5010,"Outras despesas pagas",'Lançamentos'!$B$2:$B$5010,$A45,'Lançamentos'!$C$2:$C$5010,F$4)</f>
        <v/>
      </c>
      <c r="G45" s="9">
        <f>SUMIFS('Lançamentos'!$L$2:$L$5010,'Lançamentos'!$A$2:$A$5010,"Outras despesas pagas",'Lançamentos'!$B$2:$B$5010,$A45,'Lançamentos'!$C$2:$C$5010,G$4)</f>
        <v/>
      </c>
      <c r="H45" s="9">
        <f>SUMIFS('Lançamentos'!$L$2:$L$5010,'Lançamentos'!$A$2:$A$5010,"Outras despesas pagas",'Lançamentos'!$B$2:$B$5010,$A45,'Lançamentos'!$C$2:$C$5010,H$4)</f>
        <v/>
      </c>
      <c r="I45" s="9">
        <f>SUMIFS('Lançamentos'!$L$2:$L$5010,'Lançamentos'!$A$2:$A$5010,"Outras despesas pagas",'Lançamentos'!$B$2:$B$5010,$A45,'Lançamentos'!$C$2:$C$5010,I$4)</f>
        <v/>
      </c>
      <c r="J45" s="9">
        <f>SUMIFS('Lançamentos'!$L$2:$L$5010,'Lançamentos'!$A$2:$A$5010,"Outras despesas pagas",'Lançamentos'!$B$2:$B$5010,$A45,'Lançamentos'!$C$2:$C$5010,J$4)</f>
        <v/>
      </c>
      <c r="K45" s="9">
        <f>SUM(B45:J45)</f>
        <v/>
      </c>
      <c r="L45" s="10">
        <f>K45/K$51</f>
        <v/>
      </c>
      <c r="M45" s="9">
        <f>SUMIFS('Lançamentos'!$L$2:$L$5010,'Lançamentos'!$A$2:$A$5010,"Outras despesas pagas",'Lançamentos'!$B$2:$B$5010,$A45,'Lançamentos'!$C$2:$C$5010,"Antes de 2026")</f>
        <v/>
      </c>
    </row>
    <row r="46">
      <c r="A46" s="22" t="inlineStr">
        <is>
          <t>Imobilizado</t>
        </is>
      </c>
      <c r="B46" s="9">
        <f>SUMIFS('Lançamentos'!$L$2:$L$5010,'Lançamentos'!$A$2:$A$5010,"Outras despesas pagas",'Lançamentos'!$B$2:$B$5010,$A46,'Lançamentos'!$C$2:$C$5010,B$4)</f>
        <v/>
      </c>
      <c r="C46" s="9">
        <f>SUMIFS('Lançamentos'!$L$2:$L$5010,'Lançamentos'!$A$2:$A$5010,"Outras despesas pagas",'Lançamentos'!$B$2:$B$5010,$A46,'Lançamentos'!$C$2:$C$5010,C$4)</f>
        <v/>
      </c>
      <c r="D46" s="9">
        <f>SUMIFS('Lançamentos'!$L$2:$L$5010,'Lançamentos'!$A$2:$A$5010,"Outras despesas pagas",'Lançamentos'!$B$2:$B$5010,$A46,'Lançamentos'!$C$2:$C$5010,D$4)</f>
        <v/>
      </c>
      <c r="E46" s="9">
        <f>SUMIFS('Lançamentos'!$L$2:$L$5010,'Lançamentos'!$A$2:$A$5010,"Outras despesas pagas",'Lançamentos'!$B$2:$B$5010,$A46,'Lançamentos'!$C$2:$C$5010,E$4)</f>
        <v/>
      </c>
      <c r="F46" s="9">
        <f>SUMIFS('Lançamentos'!$L$2:$L$5010,'Lançamentos'!$A$2:$A$5010,"Outras despesas pagas",'Lançamentos'!$B$2:$B$5010,$A46,'Lançamentos'!$C$2:$C$5010,F$4)</f>
        <v/>
      </c>
      <c r="G46" s="9">
        <f>SUMIFS('Lançamentos'!$L$2:$L$5010,'Lançamentos'!$A$2:$A$5010,"Outras despesas pagas",'Lançamentos'!$B$2:$B$5010,$A46,'Lançamentos'!$C$2:$C$5010,G$4)</f>
        <v/>
      </c>
      <c r="H46" s="9">
        <f>SUMIFS('Lançamentos'!$L$2:$L$5010,'Lançamentos'!$A$2:$A$5010,"Outras despesas pagas",'Lançamentos'!$B$2:$B$5010,$A46,'Lançamentos'!$C$2:$C$5010,H$4)</f>
        <v/>
      </c>
      <c r="I46" s="9">
        <f>SUMIFS('Lançamentos'!$L$2:$L$5010,'Lançamentos'!$A$2:$A$5010,"Outras despesas pagas",'Lançamentos'!$B$2:$B$5010,$A46,'Lançamentos'!$C$2:$C$5010,I$4)</f>
        <v/>
      </c>
      <c r="J46" s="9">
        <f>SUMIFS('Lançamentos'!$L$2:$L$5010,'Lançamentos'!$A$2:$A$5010,"Outras despesas pagas",'Lançamentos'!$B$2:$B$5010,$A46,'Lançamentos'!$C$2:$C$5010,J$4)</f>
        <v/>
      </c>
      <c r="K46" s="9">
        <f>SUM(B46:J46)</f>
        <v/>
      </c>
      <c r="L46" s="10">
        <f>K46/K$51</f>
        <v/>
      </c>
      <c r="M46" s="9">
        <f>SUMIFS('Lançamentos'!$L$2:$L$5010,'Lançamentos'!$A$2:$A$5010,"Outras despesas pagas",'Lançamentos'!$B$2:$B$5010,$A46,'Lançamentos'!$C$2:$C$5010,"Antes de 2026")</f>
        <v/>
      </c>
    </row>
    <row r="47">
      <c r="A47" s="22" t="inlineStr">
        <is>
          <t>Manutenção e serviços</t>
        </is>
      </c>
      <c r="B47" s="9">
        <f>SUMIFS('Lançamentos'!$L$2:$L$5010,'Lançamentos'!$A$2:$A$5010,"Outras despesas pagas",'Lançamentos'!$B$2:$B$5010,$A47,'Lançamentos'!$C$2:$C$5010,B$4)</f>
        <v/>
      </c>
      <c r="C47" s="9">
        <f>SUMIFS('Lançamentos'!$L$2:$L$5010,'Lançamentos'!$A$2:$A$5010,"Outras despesas pagas",'Lançamentos'!$B$2:$B$5010,$A47,'Lançamentos'!$C$2:$C$5010,C$4)</f>
        <v/>
      </c>
      <c r="D47" s="9">
        <f>SUMIFS('Lançamentos'!$L$2:$L$5010,'Lançamentos'!$A$2:$A$5010,"Outras despesas pagas",'Lançamentos'!$B$2:$B$5010,$A47,'Lançamentos'!$C$2:$C$5010,D$4)</f>
        <v/>
      </c>
      <c r="E47" s="9">
        <f>SUMIFS('Lançamentos'!$L$2:$L$5010,'Lançamentos'!$A$2:$A$5010,"Outras despesas pagas",'Lançamentos'!$B$2:$B$5010,$A47,'Lançamentos'!$C$2:$C$5010,E$4)</f>
        <v/>
      </c>
      <c r="F47" s="9">
        <f>SUMIFS('Lançamentos'!$L$2:$L$5010,'Lançamentos'!$A$2:$A$5010,"Outras despesas pagas",'Lançamentos'!$B$2:$B$5010,$A47,'Lançamentos'!$C$2:$C$5010,F$4)</f>
        <v/>
      </c>
      <c r="G47" s="9">
        <f>SUMIFS('Lançamentos'!$L$2:$L$5010,'Lançamentos'!$A$2:$A$5010,"Outras despesas pagas",'Lançamentos'!$B$2:$B$5010,$A47,'Lançamentos'!$C$2:$C$5010,G$4)</f>
        <v/>
      </c>
      <c r="H47" s="9">
        <f>SUMIFS('Lançamentos'!$L$2:$L$5010,'Lançamentos'!$A$2:$A$5010,"Outras despesas pagas",'Lançamentos'!$B$2:$B$5010,$A47,'Lançamentos'!$C$2:$C$5010,H$4)</f>
        <v/>
      </c>
      <c r="I47" s="9">
        <f>SUMIFS('Lançamentos'!$L$2:$L$5010,'Lançamentos'!$A$2:$A$5010,"Outras despesas pagas",'Lançamentos'!$B$2:$B$5010,$A47,'Lançamentos'!$C$2:$C$5010,I$4)</f>
        <v/>
      </c>
      <c r="J47" s="9">
        <f>SUMIFS('Lançamentos'!$L$2:$L$5010,'Lançamentos'!$A$2:$A$5010,"Outras despesas pagas",'Lançamentos'!$B$2:$B$5010,$A47,'Lançamentos'!$C$2:$C$5010,J$4)</f>
        <v/>
      </c>
      <c r="K47" s="9">
        <f>SUM(B47:J47)</f>
        <v/>
      </c>
      <c r="L47" s="10">
        <f>K47/K$51</f>
        <v/>
      </c>
      <c r="M47" s="9">
        <f>SUMIFS('Lançamentos'!$L$2:$L$5010,'Lançamentos'!$A$2:$A$5010,"Outras despesas pagas",'Lançamentos'!$B$2:$B$5010,$A47,'Lançamentos'!$C$2:$C$5010,"Antes de 2026")</f>
        <v/>
      </c>
    </row>
    <row r="48">
      <c r="A48" s="22" t="inlineStr">
        <is>
          <t>Outras (a classificar)</t>
        </is>
      </c>
      <c r="B48" s="9">
        <f>SUMIFS('Lançamentos'!$L$2:$L$5010,'Lançamentos'!$A$2:$A$5010,"Outras despesas pagas",'Lançamentos'!$B$2:$B$5010,$A48,'Lançamentos'!$C$2:$C$5010,B$4)</f>
        <v/>
      </c>
      <c r="C48" s="9">
        <f>SUMIFS('Lançamentos'!$L$2:$L$5010,'Lançamentos'!$A$2:$A$5010,"Outras despesas pagas",'Lançamentos'!$B$2:$B$5010,$A48,'Lançamentos'!$C$2:$C$5010,C$4)</f>
        <v/>
      </c>
      <c r="D48" s="9">
        <f>SUMIFS('Lançamentos'!$L$2:$L$5010,'Lançamentos'!$A$2:$A$5010,"Outras despesas pagas",'Lançamentos'!$B$2:$B$5010,$A48,'Lançamentos'!$C$2:$C$5010,D$4)</f>
        <v/>
      </c>
      <c r="E48" s="9">
        <f>SUMIFS('Lançamentos'!$L$2:$L$5010,'Lançamentos'!$A$2:$A$5010,"Outras despesas pagas",'Lançamentos'!$B$2:$B$5010,$A48,'Lançamentos'!$C$2:$C$5010,E$4)</f>
        <v/>
      </c>
      <c r="F48" s="9">
        <f>SUMIFS('Lançamentos'!$L$2:$L$5010,'Lançamentos'!$A$2:$A$5010,"Outras despesas pagas",'Lançamentos'!$B$2:$B$5010,$A48,'Lançamentos'!$C$2:$C$5010,F$4)</f>
        <v/>
      </c>
      <c r="G48" s="9">
        <f>SUMIFS('Lançamentos'!$L$2:$L$5010,'Lançamentos'!$A$2:$A$5010,"Outras despesas pagas",'Lançamentos'!$B$2:$B$5010,$A48,'Lançamentos'!$C$2:$C$5010,G$4)</f>
        <v/>
      </c>
      <c r="H48" s="9">
        <f>SUMIFS('Lançamentos'!$L$2:$L$5010,'Lançamentos'!$A$2:$A$5010,"Outras despesas pagas",'Lançamentos'!$B$2:$B$5010,$A48,'Lançamentos'!$C$2:$C$5010,H$4)</f>
        <v/>
      </c>
      <c r="I48" s="9">
        <f>SUMIFS('Lançamentos'!$L$2:$L$5010,'Lançamentos'!$A$2:$A$5010,"Outras despesas pagas",'Lançamentos'!$B$2:$B$5010,$A48,'Lançamentos'!$C$2:$C$5010,I$4)</f>
        <v/>
      </c>
      <c r="J48" s="9">
        <f>SUMIFS('Lançamentos'!$L$2:$L$5010,'Lançamentos'!$A$2:$A$5010,"Outras despesas pagas",'Lançamentos'!$B$2:$B$5010,$A48,'Lançamentos'!$C$2:$C$5010,J$4)</f>
        <v/>
      </c>
      <c r="K48" s="9">
        <f>SUM(B48:J48)</f>
        <v/>
      </c>
      <c r="L48" s="10">
        <f>K48/K$51</f>
        <v/>
      </c>
      <c r="M48" s="9">
        <f>SUMIFS('Lançamentos'!$L$2:$L$5010,'Lançamentos'!$A$2:$A$5010,"Outras despesas pagas",'Lançamentos'!$B$2:$B$5010,$A48,'Lançamentos'!$C$2:$C$5010,"Antes de 2026")</f>
        <v/>
      </c>
    </row>
    <row r="49">
      <c r="A49" s="22" t="inlineStr">
        <is>
          <t>Sede</t>
        </is>
      </c>
      <c r="B49" s="9">
        <f>SUMIFS('Lançamentos'!$L$2:$L$5010,'Lançamentos'!$A$2:$A$5010,"Outras despesas pagas",'Lançamentos'!$B$2:$B$5010,$A49,'Lançamentos'!$C$2:$C$5010,B$4)</f>
        <v/>
      </c>
      <c r="C49" s="9">
        <f>SUMIFS('Lançamentos'!$L$2:$L$5010,'Lançamentos'!$A$2:$A$5010,"Outras despesas pagas",'Lançamentos'!$B$2:$B$5010,$A49,'Lançamentos'!$C$2:$C$5010,C$4)</f>
        <v/>
      </c>
      <c r="D49" s="9">
        <f>SUMIFS('Lançamentos'!$L$2:$L$5010,'Lançamentos'!$A$2:$A$5010,"Outras despesas pagas",'Lançamentos'!$B$2:$B$5010,$A49,'Lançamentos'!$C$2:$C$5010,D$4)</f>
        <v/>
      </c>
      <c r="E49" s="9">
        <f>SUMIFS('Lançamentos'!$L$2:$L$5010,'Lançamentos'!$A$2:$A$5010,"Outras despesas pagas",'Lançamentos'!$B$2:$B$5010,$A49,'Lançamentos'!$C$2:$C$5010,E$4)</f>
        <v/>
      </c>
      <c r="F49" s="9">
        <f>SUMIFS('Lançamentos'!$L$2:$L$5010,'Lançamentos'!$A$2:$A$5010,"Outras despesas pagas",'Lançamentos'!$B$2:$B$5010,$A49,'Lançamentos'!$C$2:$C$5010,F$4)</f>
        <v/>
      </c>
      <c r="G49" s="9">
        <f>SUMIFS('Lançamentos'!$L$2:$L$5010,'Lançamentos'!$A$2:$A$5010,"Outras despesas pagas",'Lançamentos'!$B$2:$B$5010,$A49,'Lançamentos'!$C$2:$C$5010,G$4)</f>
        <v/>
      </c>
      <c r="H49" s="9">
        <f>SUMIFS('Lançamentos'!$L$2:$L$5010,'Lançamentos'!$A$2:$A$5010,"Outras despesas pagas",'Lançamentos'!$B$2:$B$5010,$A49,'Lançamentos'!$C$2:$C$5010,H$4)</f>
        <v/>
      </c>
      <c r="I49" s="9">
        <f>SUMIFS('Lançamentos'!$L$2:$L$5010,'Lançamentos'!$A$2:$A$5010,"Outras despesas pagas",'Lançamentos'!$B$2:$B$5010,$A49,'Lançamentos'!$C$2:$C$5010,I$4)</f>
        <v/>
      </c>
      <c r="J49" s="9">
        <f>SUMIFS('Lançamentos'!$L$2:$L$5010,'Lançamentos'!$A$2:$A$5010,"Outras despesas pagas",'Lançamentos'!$B$2:$B$5010,$A49,'Lançamentos'!$C$2:$C$5010,J$4)</f>
        <v/>
      </c>
      <c r="K49" s="9">
        <f>SUM(B49:J49)</f>
        <v/>
      </c>
      <c r="L49" s="10">
        <f>K49/K$51</f>
        <v/>
      </c>
      <c r="M49" s="9">
        <f>SUMIFS('Lançamentos'!$L$2:$L$5010,'Lançamentos'!$A$2:$A$5010,"Outras despesas pagas",'Lançamentos'!$B$2:$B$5010,$A49,'Lançamentos'!$C$2:$C$5010,"Antes de 2026")</f>
        <v/>
      </c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10" t="n"/>
      <c r="M50" s="9" t="n"/>
    </row>
    <row r="51">
      <c r="A51" s="11" t="inlineStr">
        <is>
          <t>TOTAL GERAL DAS DESPESAS PAGAS (líquido de créditos)</t>
        </is>
      </c>
      <c r="B51" s="13">
        <f>B5+B18+B27+B35+B42</f>
        <v/>
      </c>
      <c r="C51" s="13">
        <f>C5+C18+C27+C35+C42</f>
        <v/>
      </c>
      <c r="D51" s="13">
        <f>D5+D18+D27+D35+D42</f>
        <v/>
      </c>
      <c r="E51" s="13">
        <f>E5+E18+E27+E35+E42</f>
        <v/>
      </c>
      <c r="F51" s="13">
        <f>F5+F18+F27+F35+F42</f>
        <v/>
      </c>
      <c r="G51" s="13">
        <f>G5+G18+G27+G35+G42</f>
        <v/>
      </c>
      <c r="H51" s="13">
        <f>H5+H18+H27+H35+H42</f>
        <v/>
      </c>
      <c r="I51" s="13">
        <f>I5+I18+I27+I35+I42</f>
        <v/>
      </c>
      <c r="J51" s="13">
        <f>J5+J18+J27+J35+J42</f>
        <v/>
      </c>
      <c r="K51" s="13">
        <f>K5+K18+K27+K35+K42</f>
        <v/>
      </c>
      <c r="L51" s="14">
        <f>K51/K51</f>
        <v/>
      </c>
      <c r="M51" s="13">
        <f>M5+M18+M27+M35+M42</f>
        <v/>
      </c>
    </row>
    <row r="52">
      <c r="A52" t="inlineStr">
        <is>
          <t>Subtotal – 4 categorias principais (sem Outras despesas pagas)</t>
        </is>
      </c>
      <c r="B52" s="9">
        <f>B5+B18+B27+B35</f>
        <v/>
      </c>
      <c r="C52" s="9">
        <f>C5+C18+C27+C35</f>
        <v/>
      </c>
      <c r="D52" s="9">
        <f>D5+D18+D27+D35</f>
        <v/>
      </c>
      <c r="E52" s="9">
        <f>E5+E18+E27+E35</f>
        <v/>
      </c>
      <c r="F52" s="9">
        <f>F5+F18+F27+F35</f>
        <v/>
      </c>
      <c r="G52" s="9">
        <f>G5+G18+G27+G35</f>
        <v/>
      </c>
      <c r="H52" s="9">
        <f>H5+H18+H27+H35</f>
        <v/>
      </c>
      <c r="I52" s="9">
        <f>I5+I18+I27+I35</f>
        <v/>
      </c>
      <c r="J52" s="9">
        <f>J5+J18+J27+J35</f>
        <v/>
      </c>
      <c r="K52" s="9">
        <f>K5+K18+K27+K35</f>
        <v/>
      </c>
      <c r="L52" s="10">
        <f>K52/K51</f>
        <v/>
      </c>
      <c r="M52" s="9">
        <f>M5+M18+M27+M35</f>
        <v/>
      </c>
    </row>
    <row r="53"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t="inlineStr">
        <is>
          <t>Memo: valor bruto (com impostos)</t>
        </is>
      </c>
      <c r="B54" s="9">
        <f>SUMIFS('Lançamentos'!$J$2:$J$5010,'Lançamentos'!$C$2:$C$5010,B$4)</f>
        <v/>
      </c>
      <c r="C54" s="9">
        <f>SUMIFS('Lançamentos'!$J$2:$J$5010,'Lançamentos'!$C$2:$C$5010,C$4)</f>
        <v/>
      </c>
      <c r="D54" s="9">
        <f>SUMIFS('Lançamentos'!$J$2:$J$5010,'Lançamentos'!$C$2:$C$5010,D$4)</f>
        <v/>
      </c>
      <c r="E54" s="9">
        <f>SUMIFS('Lançamentos'!$J$2:$J$5010,'Lançamentos'!$C$2:$C$5010,E$4)</f>
        <v/>
      </c>
      <c r="F54" s="9">
        <f>SUMIFS('Lançamentos'!$J$2:$J$5010,'Lançamentos'!$C$2:$C$5010,F$4)</f>
        <v/>
      </c>
      <c r="G54" s="9">
        <f>SUMIFS('Lançamentos'!$J$2:$J$5010,'Lançamentos'!$C$2:$C$5010,G$4)</f>
        <v/>
      </c>
      <c r="H54" s="9">
        <f>SUMIFS('Lançamentos'!$J$2:$J$5010,'Lançamentos'!$C$2:$C$5010,H$4)</f>
        <v/>
      </c>
      <c r="I54" s="9">
        <f>SUMIFS('Lançamentos'!$J$2:$J$5010,'Lançamentos'!$C$2:$C$5010,I$4)</f>
        <v/>
      </c>
      <c r="J54" s="9">
        <f>SUMIFS('Lançamentos'!$J$2:$J$5010,'Lançamentos'!$C$2:$C$5010,J$4)</f>
        <v/>
      </c>
      <c r="K54" s="9">
        <f>SUM(B54:J54)</f>
        <v/>
      </c>
      <c r="L54" s="9" t="n"/>
      <c r="M54" s="9">
        <f>SUMIFS('Lançamentos'!$J$2:$J$5010,'Lançamentos'!$C$2:$C$5010,"Antes de 2026")</f>
        <v/>
      </c>
    </row>
    <row r="55">
      <c r="A55" t="inlineStr">
        <is>
          <t>Memo: créditos abatidos</t>
        </is>
      </c>
      <c r="B55" s="9">
        <f>SUMIFS('Lançamentos'!$K$2:$K$5010,'Lançamentos'!$C$2:$C$5010,B$4)</f>
        <v/>
      </c>
      <c r="C55" s="9">
        <f>SUMIFS('Lançamentos'!$K$2:$K$5010,'Lançamentos'!$C$2:$C$5010,C$4)</f>
        <v/>
      </c>
      <c r="D55" s="9">
        <f>SUMIFS('Lançamentos'!$K$2:$K$5010,'Lançamentos'!$C$2:$C$5010,D$4)</f>
        <v/>
      </c>
      <c r="E55" s="9">
        <f>SUMIFS('Lançamentos'!$K$2:$K$5010,'Lançamentos'!$C$2:$C$5010,E$4)</f>
        <v/>
      </c>
      <c r="F55" s="9">
        <f>SUMIFS('Lançamentos'!$K$2:$K$5010,'Lançamentos'!$C$2:$C$5010,F$4)</f>
        <v/>
      </c>
      <c r="G55" s="9">
        <f>SUMIFS('Lançamentos'!$K$2:$K$5010,'Lançamentos'!$C$2:$C$5010,G$4)</f>
        <v/>
      </c>
      <c r="H55" s="9">
        <f>SUMIFS('Lançamentos'!$K$2:$K$5010,'Lançamentos'!$C$2:$C$5010,H$4)</f>
        <v/>
      </c>
      <c r="I55" s="9">
        <f>SUMIFS('Lançamentos'!$K$2:$K$5010,'Lançamentos'!$C$2:$C$5010,I$4)</f>
        <v/>
      </c>
      <c r="J55" s="9">
        <f>SUMIFS('Lançamentos'!$K$2:$K$5010,'Lançamentos'!$C$2:$C$5010,J$4)</f>
        <v/>
      </c>
      <c r="K55" s="9">
        <f>SUM(B55:J55)</f>
        <v/>
      </c>
      <c r="L55" s="9" t="n"/>
      <c r="M55" s="9">
        <f>SUMIFS('Lançamentos'!$K$2:$K$5010,'Lançamentos'!$C$2:$C$5010,"Antes de 2026")</f>
        <v/>
      </c>
    </row>
    <row r="56">
      <c r="A56" t="inlineStr">
        <is>
          <t>Conferência: bruto − créditos − total geral (deve ser zero)</t>
        </is>
      </c>
      <c r="B56" s="9">
        <f>ROUND(B54-B55-B51,2)</f>
        <v/>
      </c>
      <c r="C56" s="9">
        <f>ROUND(C54-C55-C51,2)</f>
        <v/>
      </c>
      <c r="D56" s="9">
        <f>ROUND(D54-D55-D51,2)</f>
        <v/>
      </c>
      <c r="E56" s="9">
        <f>ROUND(E54-E55-E51,2)</f>
        <v/>
      </c>
      <c r="F56" s="9">
        <f>ROUND(F54-F55-F51,2)</f>
        <v/>
      </c>
      <c r="G56" s="9">
        <f>ROUND(G54-G55-G51,2)</f>
        <v/>
      </c>
      <c r="H56" s="9">
        <f>ROUND(H54-H55-H51,2)</f>
        <v/>
      </c>
      <c r="I56" s="9">
        <f>ROUND(I54-I55-I51,2)</f>
        <v/>
      </c>
      <c r="J56" s="9">
        <f>ROUND(J54-J55-J51,2)</f>
        <v/>
      </c>
      <c r="K56" s="9">
        <f>ROUND(K54-K55-K51,2)</f>
        <v/>
      </c>
      <c r="L56" s="9" t="n"/>
      <c r="M56" s="9">
        <f>ROUND(M54-M55-M51,2)</f>
        <v/>
      </c>
    </row>
    <row r="57">
      <c r="A57" t="inlineStr">
        <is>
          <t>Conferência: total geral − soma direta de Lançamentos (deve ser zero)</t>
        </is>
      </c>
      <c r="B57" s="9">
        <f>ROUND(B51-SUMIFS('Lançamentos'!$L$2:$L$5010,'Lançamentos'!$C$2:$C$5010,B$4),2)</f>
        <v/>
      </c>
      <c r="C57" s="9">
        <f>ROUND(C51-SUMIFS('Lançamentos'!$L$2:$L$5010,'Lançamentos'!$C$2:$C$5010,C$4),2)</f>
        <v/>
      </c>
      <c r="D57" s="9">
        <f>ROUND(D51-SUMIFS('Lançamentos'!$L$2:$L$5010,'Lançamentos'!$C$2:$C$5010,D$4),2)</f>
        <v/>
      </c>
      <c r="E57" s="9">
        <f>ROUND(E51-SUMIFS('Lançamentos'!$L$2:$L$5010,'Lançamentos'!$C$2:$C$5010,E$4),2)</f>
        <v/>
      </c>
      <c r="F57" s="9">
        <f>ROUND(F51-SUMIFS('Lançamentos'!$L$2:$L$5010,'Lançamentos'!$C$2:$C$5010,F$4),2)</f>
        <v/>
      </c>
      <c r="G57" s="9">
        <f>ROUND(G51-SUMIFS('Lançamentos'!$L$2:$L$5010,'Lançamentos'!$C$2:$C$5010,G$4),2)</f>
        <v/>
      </c>
      <c r="H57" s="9">
        <f>ROUND(H51-SUMIFS('Lançamentos'!$L$2:$L$5010,'Lançamentos'!$C$2:$C$5010,H$4),2)</f>
        <v/>
      </c>
      <c r="I57" s="9">
        <f>ROUND(I51-SUMIFS('Lançamentos'!$L$2:$L$5010,'Lançamentos'!$C$2:$C$5010,I$4),2)</f>
        <v/>
      </c>
      <c r="J57" s="9">
        <f>ROUND(J51-SUMIFS('Lançamentos'!$L$2:$L$5010,'Lançamentos'!$C$2:$C$5010,J$4),2)</f>
        <v/>
      </c>
      <c r="K57" s="9">
        <f>ROUND(K51-SUMIFS('Lançamentos'!$L$2:$L$5010,'Lançamentos'!$D$2:$D$5010,"Em 2026"),2)</f>
        <v/>
      </c>
      <c r="L57" s="9" t="n"/>
      <c r="M57" s="9">
        <f>ROUND(M51-SUMIFS('Lançamentos'!$L$2:$L$5010,'Lançamentos'!$C$2:$C$5010,"Antes de 2026"),2)</f>
        <v/>
      </c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>
      <c r="A59" s="23" t="inlineStr">
        <is>
          <t>Total por categoria (nível 1)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</row>
    <row r="60">
      <c r="A60" s="4" t="inlineStr">
        <is>
          <t>Categoria</t>
        </is>
      </c>
      <c r="B60" s="24" t="inlineStr">
        <is>
          <t>Valor bruto 2026</t>
        </is>
      </c>
      <c r="C60" s="24" t="inlineStr">
        <is>
          <t>Créditos 2026</t>
        </is>
      </c>
      <c r="D60" s="24" t="inlineStr">
        <is>
          <t>Líquido 2026</t>
        </is>
      </c>
      <c r="E60" s="24" t="inlineStr">
        <is>
          <t>% do líquido</t>
        </is>
      </c>
      <c r="F60" s="24" t="inlineStr">
        <is>
          <t>Memo: líquido antes de 2026</t>
        </is>
      </c>
      <c r="G60" s="9" t="n"/>
      <c r="H60" s="9" t="n"/>
      <c r="I60" s="9" t="n"/>
      <c r="J60" s="9" t="n"/>
      <c r="K60" s="9" t="n"/>
      <c r="L60" s="9" t="n"/>
      <c r="M60" s="9" t="n"/>
    </row>
    <row r="61">
      <c r="A61" t="inlineStr">
        <is>
          <t>Insumos e papel</t>
        </is>
      </c>
      <c r="B61" s="9">
        <f>SUMIFS('Lançamentos'!$J$2:$J$5010,'Lançamentos'!$A$2:$A$5010,$A61,'Lançamentos'!$D$2:$D$5010,"Em 2026")</f>
        <v/>
      </c>
      <c r="C61" s="9">
        <f>SUMIFS('Lançamentos'!$K$2:$K$5010,'Lançamentos'!$A$2:$A$5010,$A61,'Lançamentos'!$D$2:$D$5010,"Em 2026")</f>
        <v/>
      </c>
      <c r="D61" s="9">
        <f>B61-C61</f>
        <v/>
      </c>
      <c r="E61" s="10">
        <f>D61/D$66</f>
        <v/>
      </c>
      <c r="F61" s="9">
        <f>M5</f>
        <v/>
      </c>
      <c r="G61" s="9" t="n"/>
      <c r="H61" s="9" t="n"/>
      <c r="I61" s="9" t="n"/>
      <c r="J61" s="9" t="n"/>
      <c r="K61" s="9" t="n"/>
      <c r="L61" s="9" t="n"/>
      <c r="M61" s="9" t="n"/>
    </row>
    <row r="62">
      <c r="A62" t="inlineStr">
        <is>
          <t>Uso e consumo</t>
        </is>
      </c>
      <c r="B62" s="9">
        <f>SUMIFS('Lançamentos'!$J$2:$J$5010,'Lançamentos'!$A$2:$A$5010,$A62,'Lançamentos'!$D$2:$D$5010,"Em 2026")</f>
        <v/>
      </c>
      <c r="C62" s="9">
        <f>SUMIFS('Lançamentos'!$K$2:$K$5010,'Lançamentos'!$A$2:$A$5010,$A62,'Lançamentos'!$D$2:$D$5010,"Em 2026")</f>
        <v/>
      </c>
      <c r="D62" s="9">
        <f>B62-C62</f>
        <v/>
      </c>
      <c r="E62" s="10">
        <f>D62/D$66</f>
        <v/>
      </c>
      <c r="F62" s="9">
        <f>M18</f>
        <v/>
      </c>
      <c r="G62" s="9" t="n"/>
      <c r="H62" s="9" t="n"/>
      <c r="I62" s="9" t="n"/>
      <c r="J62" s="9" t="n"/>
      <c r="K62" s="9" t="n"/>
      <c r="L62" s="9" t="n"/>
      <c r="M62" s="9" t="n"/>
    </row>
    <row r="63">
      <c r="A63" t="inlineStr">
        <is>
          <t>Frete de compra</t>
        </is>
      </c>
      <c r="B63" s="9">
        <f>SUMIFS('Lançamentos'!$J$2:$J$5010,'Lançamentos'!$A$2:$A$5010,$A63,'Lançamentos'!$D$2:$D$5010,"Em 2026")</f>
        <v/>
      </c>
      <c r="C63" s="9">
        <f>SUMIFS('Lançamentos'!$K$2:$K$5010,'Lançamentos'!$A$2:$A$5010,$A63,'Lançamentos'!$D$2:$D$5010,"Em 2026")</f>
        <v/>
      </c>
      <c r="D63" s="9">
        <f>B63-C63</f>
        <v/>
      </c>
      <c r="E63" s="10">
        <f>D63/D$66</f>
        <v/>
      </c>
      <c r="F63" s="9">
        <f>M27</f>
        <v/>
      </c>
      <c r="G63" s="9" t="n"/>
      <c r="H63" s="9" t="n"/>
      <c r="I63" s="9" t="n"/>
      <c r="J63" s="9" t="n"/>
      <c r="K63" s="9" t="n"/>
      <c r="L63" s="9" t="n"/>
      <c r="M63" s="9" t="n"/>
    </row>
    <row r="64">
      <c r="A64" t="inlineStr">
        <is>
          <t>Frete de venda</t>
        </is>
      </c>
      <c r="B64" s="9">
        <f>SUMIFS('Lançamentos'!$J$2:$J$5010,'Lançamentos'!$A$2:$A$5010,$A64,'Lançamentos'!$D$2:$D$5010,"Em 2026")</f>
        <v/>
      </c>
      <c r="C64" s="9">
        <f>SUMIFS('Lançamentos'!$K$2:$K$5010,'Lançamentos'!$A$2:$A$5010,$A64,'Lançamentos'!$D$2:$D$5010,"Em 2026")</f>
        <v/>
      </c>
      <c r="D64" s="9">
        <f>B64-C64</f>
        <v/>
      </c>
      <c r="E64" s="10">
        <f>D64/D$66</f>
        <v/>
      </c>
      <c r="F64" s="9">
        <f>M35</f>
        <v/>
      </c>
      <c r="G64" s="9" t="n"/>
      <c r="H64" s="9" t="n"/>
      <c r="I64" s="9" t="n"/>
      <c r="J64" s="9" t="n"/>
      <c r="K64" s="9" t="n"/>
      <c r="L64" s="9" t="n"/>
      <c r="M64" s="9" t="n"/>
    </row>
    <row r="65">
      <c r="A65" t="inlineStr">
        <is>
          <t>Outras despesas pagas</t>
        </is>
      </c>
      <c r="B65" s="9">
        <f>SUMIFS('Lançamentos'!$J$2:$J$5010,'Lançamentos'!$A$2:$A$5010,$A65,'Lançamentos'!$D$2:$D$5010,"Em 2026")</f>
        <v/>
      </c>
      <c r="C65" s="9">
        <f>SUMIFS('Lançamentos'!$K$2:$K$5010,'Lançamentos'!$A$2:$A$5010,$A65,'Lançamentos'!$D$2:$D$5010,"Em 2026")</f>
        <v/>
      </c>
      <c r="D65" s="9">
        <f>B65-C65</f>
        <v/>
      </c>
      <c r="E65" s="10">
        <f>D65/D$66</f>
        <v/>
      </c>
      <c r="F65" s="9">
        <f>M42</f>
        <v/>
      </c>
      <c r="G65" s="9" t="n"/>
      <c r="H65" s="9" t="n"/>
      <c r="I65" s="9" t="n"/>
      <c r="J65" s="9" t="n"/>
      <c r="K65" s="9" t="n"/>
      <c r="L65" s="9" t="n"/>
      <c r="M65" s="9" t="n"/>
    </row>
    <row r="66">
      <c r="A66" s="11" t="inlineStr">
        <is>
          <t>TOTAL</t>
        </is>
      </c>
      <c r="B66" s="13">
        <f>SUM(B61:B65)</f>
        <v/>
      </c>
      <c r="C66" s="13">
        <f>SUM(C61:C65)</f>
        <v/>
      </c>
      <c r="D66" s="13">
        <f>SUM(D61:D65)</f>
        <v/>
      </c>
      <c r="E66" s="14">
        <f>D66/D66</f>
        <v/>
      </c>
      <c r="F66" s="13">
        <f>SUM(F61:F65)</f>
        <v/>
      </c>
      <c r="G66" s="9" t="n"/>
      <c r="H66" s="9" t="n"/>
      <c r="I66" s="9" t="n"/>
      <c r="J66" s="9" t="n"/>
      <c r="K66" s="9" t="n"/>
      <c r="L66" s="9" t="n"/>
      <c r="M66" s="9" t="n"/>
    </row>
    <row r="67">
      <c r="A67" t="inlineStr">
        <is>
          <t>Conferência: total nível 1 − total geral (deve ser zero)</t>
        </is>
      </c>
      <c r="B67" s="9" t="n"/>
      <c r="C67" s="9" t="n"/>
      <c r="D67" s="9">
        <f>ROUND(D66-K51,2)</f>
        <v/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7" t="inlineStr">
        <is>
          <t>Insumos e papel – 2026 (VINCO)</t>
        </is>
      </c>
    </row>
    <row r="2">
      <c r="A2" t="inlineStr">
        <is>
          <t>Compras de matéria-prima e insumos de produção (papel, tinta, cola, caixas, filme, etiquetas etc.). R$, mês de emissão. Custo líquido = bruto − créditos de impostos (aba Premissas).</t>
        </is>
      </c>
    </row>
    <row r="4">
      <c r="A4" s="4" t="inlineStr">
        <is>
          <t>Subcategoria (categoria do Omie)</t>
        </is>
      </c>
      <c r="B4" s="18" t="n">
        <v>46023</v>
      </c>
      <c r="C4" s="18" t="n">
        <v>46054</v>
      </c>
      <c r="D4" s="18" t="n">
        <v>46082</v>
      </c>
      <c r="E4" s="18" t="n">
        <v>46113</v>
      </c>
      <c r="F4" s="18" t="n">
        <v>46143</v>
      </c>
      <c r="G4" s="18" t="n">
        <v>46174</v>
      </c>
      <c r="H4" s="18" t="n">
        <v>46204</v>
      </c>
      <c r="I4" s="18" t="n">
        <v>46235</v>
      </c>
      <c r="J4" s="18" t="n">
        <v>46266</v>
      </c>
      <c r="K4" s="5" t="inlineStr">
        <is>
          <t>Total 2026</t>
        </is>
      </c>
      <c r="L4" s="5" t="inlineStr">
        <is>
          <t>% do total</t>
        </is>
      </c>
      <c r="M4" s="5" t="inlineStr">
        <is>
          <t>Memo: antes de 2026</t>
        </is>
      </c>
    </row>
    <row r="5">
      <c r="A5" s="25" t="inlineStr">
        <is>
          <t>2.01.03 Compra de Matéria Prima (Papel)</t>
        </is>
      </c>
      <c r="B5" s="9">
        <f>SUMIFS('Lançamentos'!$L$2:$L$5010,'Lançamentos'!$A$2:$A$5010,"Insumos e papel",'Lançamentos'!$B$2:$B$5010,$A5,'Lançamentos'!$C$2:$C$5010,B$4)</f>
        <v/>
      </c>
      <c r="C5" s="9">
        <f>SUMIFS('Lançamentos'!$L$2:$L$5010,'Lançamentos'!$A$2:$A$5010,"Insumos e papel",'Lançamentos'!$B$2:$B$5010,$A5,'Lançamentos'!$C$2:$C$5010,C$4)</f>
        <v/>
      </c>
      <c r="D5" s="9">
        <f>SUMIFS('Lançamentos'!$L$2:$L$5010,'Lançamentos'!$A$2:$A$5010,"Insumos e papel",'Lançamentos'!$B$2:$B$5010,$A5,'Lançamentos'!$C$2:$C$5010,D$4)</f>
        <v/>
      </c>
      <c r="E5" s="9">
        <f>SUMIFS('Lançamentos'!$L$2:$L$5010,'Lançamentos'!$A$2:$A$5010,"Insumos e papel",'Lançamentos'!$B$2:$B$5010,$A5,'Lançamentos'!$C$2:$C$5010,E$4)</f>
        <v/>
      </c>
      <c r="F5" s="9">
        <f>SUMIFS('Lançamentos'!$L$2:$L$5010,'Lançamentos'!$A$2:$A$5010,"Insumos e papel",'Lançamentos'!$B$2:$B$5010,$A5,'Lançamentos'!$C$2:$C$5010,F$4)</f>
        <v/>
      </c>
      <c r="G5" s="9">
        <f>SUMIFS('Lançamentos'!$L$2:$L$5010,'Lançamentos'!$A$2:$A$5010,"Insumos e papel",'Lançamentos'!$B$2:$B$5010,$A5,'Lançamentos'!$C$2:$C$5010,G$4)</f>
        <v/>
      </c>
      <c r="H5" s="9">
        <f>SUMIFS('Lançamentos'!$L$2:$L$5010,'Lançamentos'!$A$2:$A$5010,"Insumos e papel",'Lançamentos'!$B$2:$B$5010,$A5,'Lançamentos'!$C$2:$C$5010,H$4)</f>
        <v/>
      </c>
      <c r="I5" s="9">
        <f>SUMIFS('Lançamentos'!$L$2:$L$5010,'Lançamentos'!$A$2:$A$5010,"Insumos e papel",'Lançamentos'!$B$2:$B$5010,$A5,'Lançamentos'!$C$2:$C$5010,I$4)</f>
        <v/>
      </c>
      <c r="J5" s="9">
        <f>SUMIFS('Lançamentos'!$L$2:$L$5010,'Lançamentos'!$A$2:$A$5010,"Insumos e papel",'Lançamentos'!$B$2:$B$5010,$A5,'Lançamentos'!$C$2:$C$5010,J$4)</f>
        <v/>
      </c>
      <c r="K5" s="9">
        <f>SUM(B5:J5)</f>
        <v/>
      </c>
      <c r="L5" s="10">
        <f>K5/K$17</f>
        <v/>
      </c>
      <c r="M5" s="9">
        <f>SUMIFS('Lançamentos'!$L$2:$L$5010,'Lançamentos'!$A$2:$A$5010,"Insumos e papel",'Lançamentos'!$B$2:$B$5010,$A5,'Lançamentos'!$C$2:$C$5010,"Antes de 2026")</f>
        <v/>
      </c>
      <c r="N5" s="9" t="n"/>
      <c r="O5" s="9" t="n"/>
      <c r="P5" s="26" t="n"/>
    </row>
    <row r="6">
      <c r="A6" s="25" t="inlineStr">
        <is>
          <t>2.01.79 Compra de Gás</t>
        </is>
      </c>
      <c r="B6" s="9">
        <f>SUMIFS('Lançamentos'!$L$2:$L$5010,'Lançamentos'!$A$2:$A$5010,"Insumos e papel",'Lançamentos'!$B$2:$B$5010,$A6,'Lançamentos'!$C$2:$C$5010,B$4)</f>
        <v/>
      </c>
      <c r="C6" s="9">
        <f>SUMIFS('Lançamentos'!$L$2:$L$5010,'Lançamentos'!$A$2:$A$5010,"Insumos e papel",'Lançamentos'!$B$2:$B$5010,$A6,'Lançamentos'!$C$2:$C$5010,C$4)</f>
        <v/>
      </c>
      <c r="D6" s="9">
        <f>SUMIFS('Lançamentos'!$L$2:$L$5010,'Lançamentos'!$A$2:$A$5010,"Insumos e papel",'Lançamentos'!$B$2:$B$5010,$A6,'Lançamentos'!$C$2:$C$5010,D$4)</f>
        <v/>
      </c>
      <c r="E6" s="9">
        <f>SUMIFS('Lançamentos'!$L$2:$L$5010,'Lançamentos'!$A$2:$A$5010,"Insumos e papel",'Lançamentos'!$B$2:$B$5010,$A6,'Lançamentos'!$C$2:$C$5010,E$4)</f>
        <v/>
      </c>
      <c r="F6" s="9">
        <f>SUMIFS('Lançamentos'!$L$2:$L$5010,'Lançamentos'!$A$2:$A$5010,"Insumos e papel",'Lançamentos'!$B$2:$B$5010,$A6,'Lançamentos'!$C$2:$C$5010,F$4)</f>
        <v/>
      </c>
      <c r="G6" s="9">
        <f>SUMIFS('Lançamentos'!$L$2:$L$5010,'Lançamentos'!$A$2:$A$5010,"Insumos e papel",'Lançamentos'!$B$2:$B$5010,$A6,'Lançamentos'!$C$2:$C$5010,G$4)</f>
        <v/>
      </c>
      <c r="H6" s="9">
        <f>SUMIFS('Lançamentos'!$L$2:$L$5010,'Lançamentos'!$A$2:$A$5010,"Insumos e papel",'Lançamentos'!$B$2:$B$5010,$A6,'Lançamentos'!$C$2:$C$5010,H$4)</f>
        <v/>
      </c>
      <c r="I6" s="9">
        <f>SUMIFS('Lançamentos'!$L$2:$L$5010,'Lançamentos'!$A$2:$A$5010,"Insumos e papel",'Lançamentos'!$B$2:$B$5010,$A6,'Lançamentos'!$C$2:$C$5010,I$4)</f>
        <v/>
      </c>
      <c r="J6" s="9">
        <f>SUMIFS('Lançamentos'!$L$2:$L$5010,'Lançamentos'!$A$2:$A$5010,"Insumos e papel",'Lançamentos'!$B$2:$B$5010,$A6,'Lançamentos'!$C$2:$C$5010,J$4)</f>
        <v/>
      </c>
      <c r="K6" s="9">
        <f>SUM(B6:J6)</f>
        <v/>
      </c>
      <c r="L6" s="10">
        <f>K6/K$17</f>
        <v/>
      </c>
      <c r="M6" s="9">
        <f>SUMIFS('Lançamentos'!$L$2:$L$5010,'Lançamentos'!$A$2:$A$5010,"Insumos e papel",'Lançamentos'!$B$2:$B$5010,$A6,'Lançamentos'!$C$2:$C$5010,"Antes de 2026")</f>
        <v/>
      </c>
      <c r="N6" s="9" t="n"/>
      <c r="O6" s="9" t="n"/>
      <c r="P6" s="26" t="n"/>
    </row>
    <row r="7">
      <c r="A7" s="25" t="inlineStr">
        <is>
          <t>2.01.83 Compra de Etiqueta Personalizada</t>
        </is>
      </c>
      <c r="B7" s="9">
        <f>SUMIFS('Lançamentos'!$L$2:$L$5010,'Lançamentos'!$A$2:$A$5010,"Insumos e papel",'Lançamentos'!$B$2:$B$5010,$A7,'Lançamentos'!$C$2:$C$5010,B$4)</f>
        <v/>
      </c>
      <c r="C7" s="9">
        <f>SUMIFS('Lançamentos'!$L$2:$L$5010,'Lançamentos'!$A$2:$A$5010,"Insumos e papel",'Lançamentos'!$B$2:$B$5010,$A7,'Lançamentos'!$C$2:$C$5010,C$4)</f>
        <v/>
      </c>
      <c r="D7" s="9">
        <f>SUMIFS('Lançamentos'!$L$2:$L$5010,'Lançamentos'!$A$2:$A$5010,"Insumos e papel",'Lançamentos'!$B$2:$B$5010,$A7,'Lançamentos'!$C$2:$C$5010,D$4)</f>
        <v/>
      </c>
      <c r="E7" s="9">
        <f>SUMIFS('Lançamentos'!$L$2:$L$5010,'Lançamentos'!$A$2:$A$5010,"Insumos e papel",'Lançamentos'!$B$2:$B$5010,$A7,'Lançamentos'!$C$2:$C$5010,E$4)</f>
        <v/>
      </c>
      <c r="F7" s="9">
        <f>SUMIFS('Lançamentos'!$L$2:$L$5010,'Lançamentos'!$A$2:$A$5010,"Insumos e papel",'Lançamentos'!$B$2:$B$5010,$A7,'Lançamentos'!$C$2:$C$5010,F$4)</f>
        <v/>
      </c>
      <c r="G7" s="9">
        <f>SUMIFS('Lançamentos'!$L$2:$L$5010,'Lançamentos'!$A$2:$A$5010,"Insumos e papel",'Lançamentos'!$B$2:$B$5010,$A7,'Lançamentos'!$C$2:$C$5010,G$4)</f>
        <v/>
      </c>
      <c r="H7" s="9">
        <f>SUMIFS('Lançamentos'!$L$2:$L$5010,'Lançamentos'!$A$2:$A$5010,"Insumos e papel",'Lançamentos'!$B$2:$B$5010,$A7,'Lançamentos'!$C$2:$C$5010,H$4)</f>
        <v/>
      </c>
      <c r="I7" s="9">
        <f>SUMIFS('Lançamentos'!$L$2:$L$5010,'Lançamentos'!$A$2:$A$5010,"Insumos e papel",'Lançamentos'!$B$2:$B$5010,$A7,'Lançamentos'!$C$2:$C$5010,I$4)</f>
        <v/>
      </c>
      <c r="J7" s="9">
        <f>SUMIFS('Lançamentos'!$L$2:$L$5010,'Lançamentos'!$A$2:$A$5010,"Insumos e papel",'Lançamentos'!$B$2:$B$5010,$A7,'Lançamentos'!$C$2:$C$5010,J$4)</f>
        <v/>
      </c>
      <c r="K7" s="9">
        <f>SUM(B7:J7)</f>
        <v/>
      </c>
      <c r="L7" s="10">
        <f>K7/K$17</f>
        <v/>
      </c>
      <c r="M7" s="9">
        <f>SUMIFS('Lançamentos'!$L$2:$L$5010,'Lançamentos'!$A$2:$A$5010,"Insumos e papel",'Lançamentos'!$B$2:$B$5010,$A7,'Lançamentos'!$C$2:$C$5010,"Antes de 2026")</f>
        <v/>
      </c>
      <c r="N7" s="9" t="n"/>
      <c r="O7" s="9" t="n"/>
      <c r="P7" s="26" t="n"/>
    </row>
    <row r="8">
      <c r="A8" s="25" t="inlineStr">
        <is>
          <t>2.01.89 Compra de Pallet</t>
        </is>
      </c>
      <c r="B8" s="9">
        <f>SUMIFS('Lançamentos'!$L$2:$L$5010,'Lançamentos'!$A$2:$A$5010,"Insumos e papel",'Lançamentos'!$B$2:$B$5010,$A8,'Lançamentos'!$C$2:$C$5010,B$4)</f>
        <v/>
      </c>
      <c r="C8" s="9">
        <f>SUMIFS('Lançamentos'!$L$2:$L$5010,'Lançamentos'!$A$2:$A$5010,"Insumos e papel",'Lançamentos'!$B$2:$B$5010,$A8,'Lançamentos'!$C$2:$C$5010,C$4)</f>
        <v/>
      </c>
      <c r="D8" s="9">
        <f>SUMIFS('Lançamentos'!$L$2:$L$5010,'Lançamentos'!$A$2:$A$5010,"Insumos e papel",'Lançamentos'!$B$2:$B$5010,$A8,'Lançamentos'!$C$2:$C$5010,D$4)</f>
        <v/>
      </c>
      <c r="E8" s="9">
        <f>SUMIFS('Lançamentos'!$L$2:$L$5010,'Lançamentos'!$A$2:$A$5010,"Insumos e papel",'Lançamentos'!$B$2:$B$5010,$A8,'Lançamentos'!$C$2:$C$5010,E$4)</f>
        <v/>
      </c>
      <c r="F8" s="9">
        <f>SUMIFS('Lançamentos'!$L$2:$L$5010,'Lançamentos'!$A$2:$A$5010,"Insumos e papel",'Lançamentos'!$B$2:$B$5010,$A8,'Lançamentos'!$C$2:$C$5010,F$4)</f>
        <v/>
      </c>
      <c r="G8" s="9">
        <f>SUMIFS('Lançamentos'!$L$2:$L$5010,'Lançamentos'!$A$2:$A$5010,"Insumos e papel",'Lançamentos'!$B$2:$B$5010,$A8,'Lançamentos'!$C$2:$C$5010,G$4)</f>
        <v/>
      </c>
      <c r="H8" s="9">
        <f>SUMIFS('Lançamentos'!$L$2:$L$5010,'Lançamentos'!$A$2:$A$5010,"Insumos e papel",'Lançamentos'!$B$2:$B$5010,$A8,'Lançamentos'!$C$2:$C$5010,H$4)</f>
        <v/>
      </c>
      <c r="I8" s="9">
        <f>SUMIFS('Lançamentos'!$L$2:$L$5010,'Lançamentos'!$A$2:$A$5010,"Insumos e papel",'Lançamentos'!$B$2:$B$5010,$A8,'Lançamentos'!$C$2:$C$5010,I$4)</f>
        <v/>
      </c>
      <c r="J8" s="9">
        <f>SUMIFS('Lançamentos'!$L$2:$L$5010,'Lançamentos'!$A$2:$A$5010,"Insumos e papel",'Lançamentos'!$B$2:$B$5010,$A8,'Lançamentos'!$C$2:$C$5010,J$4)</f>
        <v/>
      </c>
      <c r="K8" s="9">
        <f>SUM(B8:J8)</f>
        <v/>
      </c>
      <c r="L8" s="10">
        <f>K8/K$17</f>
        <v/>
      </c>
      <c r="M8" s="9">
        <f>SUMIFS('Lançamentos'!$L$2:$L$5010,'Lançamentos'!$A$2:$A$5010,"Insumos e papel",'Lançamentos'!$B$2:$B$5010,$A8,'Lançamentos'!$C$2:$C$5010,"Antes de 2026")</f>
        <v/>
      </c>
      <c r="N8" s="9" t="n"/>
      <c r="O8" s="9" t="n"/>
      <c r="P8" s="26" t="n"/>
    </row>
    <row r="9">
      <c r="A9" s="25" t="inlineStr">
        <is>
          <t>2.01.91 Compra de Filme Strech</t>
        </is>
      </c>
      <c r="B9" s="9">
        <f>SUMIFS('Lançamentos'!$L$2:$L$5010,'Lançamentos'!$A$2:$A$5010,"Insumos e papel",'Lançamentos'!$B$2:$B$5010,$A9,'Lançamentos'!$C$2:$C$5010,B$4)</f>
        <v/>
      </c>
      <c r="C9" s="9">
        <f>SUMIFS('Lançamentos'!$L$2:$L$5010,'Lançamentos'!$A$2:$A$5010,"Insumos e papel",'Lançamentos'!$B$2:$B$5010,$A9,'Lançamentos'!$C$2:$C$5010,C$4)</f>
        <v/>
      </c>
      <c r="D9" s="9">
        <f>SUMIFS('Lançamentos'!$L$2:$L$5010,'Lançamentos'!$A$2:$A$5010,"Insumos e papel",'Lançamentos'!$B$2:$B$5010,$A9,'Lançamentos'!$C$2:$C$5010,D$4)</f>
        <v/>
      </c>
      <c r="E9" s="9">
        <f>SUMIFS('Lançamentos'!$L$2:$L$5010,'Lançamentos'!$A$2:$A$5010,"Insumos e papel",'Lançamentos'!$B$2:$B$5010,$A9,'Lançamentos'!$C$2:$C$5010,E$4)</f>
        <v/>
      </c>
      <c r="F9" s="9">
        <f>SUMIFS('Lançamentos'!$L$2:$L$5010,'Lançamentos'!$A$2:$A$5010,"Insumos e papel",'Lançamentos'!$B$2:$B$5010,$A9,'Lançamentos'!$C$2:$C$5010,F$4)</f>
        <v/>
      </c>
      <c r="G9" s="9">
        <f>SUMIFS('Lançamentos'!$L$2:$L$5010,'Lançamentos'!$A$2:$A$5010,"Insumos e papel",'Lançamentos'!$B$2:$B$5010,$A9,'Lançamentos'!$C$2:$C$5010,G$4)</f>
        <v/>
      </c>
      <c r="H9" s="9">
        <f>SUMIFS('Lançamentos'!$L$2:$L$5010,'Lançamentos'!$A$2:$A$5010,"Insumos e papel",'Lançamentos'!$B$2:$B$5010,$A9,'Lançamentos'!$C$2:$C$5010,H$4)</f>
        <v/>
      </c>
      <c r="I9" s="9">
        <f>SUMIFS('Lançamentos'!$L$2:$L$5010,'Lançamentos'!$A$2:$A$5010,"Insumos e papel",'Lançamentos'!$B$2:$B$5010,$A9,'Lançamentos'!$C$2:$C$5010,I$4)</f>
        <v/>
      </c>
      <c r="J9" s="9">
        <f>SUMIFS('Lançamentos'!$L$2:$L$5010,'Lançamentos'!$A$2:$A$5010,"Insumos e papel",'Lançamentos'!$B$2:$B$5010,$A9,'Lançamentos'!$C$2:$C$5010,J$4)</f>
        <v/>
      </c>
      <c r="K9" s="9">
        <f>SUM(B9:J9)</f>
        <v/>
      </c>
      <c r="L9" s="10">
        <f>K9/K$17</f>
        <v/>
      </c>
      <c r="M9" s="9">
        <f>SUMIFS('Lançamentos'!$L$2:$L$5010,'Lançamentos'!$A$2:$A$5010,"Insumos e papel",'Lançamentos'!$B$2:$B$5010,$A9,'Lançamentos'!$C$2:$C$5010,"Antes de 2026")</f>
        <v/>
      </c>
      <c r="N9" s="9" t="n"/>
      <c r="O9" s="9" t="n"/>
      <c r="P9" s="26" t="n"/>
    </row>
    <row r="10">
      <c r="A10" s="25" t="inlineStr">
        <is>
          <t>2.01.92 Compra de Tinta</t>
        </is>
      </c>
      <c r="B10" s="9">
        <f>SUMIFS('Lançamentos'!$L$2:$L$5010,'Lançamentos'!$A$2:$A$5010,"Insumos e papel",'Lançamentos'!$B$2:$B$5010,$A10,'Lançamentos'!$C$2:$C$5010,B$4)</f>
        <v/>
      </c>
      <c r="C10" s="9">
        <f>SUMIFS('Lançamentos'!$L$2:$L$5010,'Lançamentos'!$A$2:$A$5010,"Insumos e papel",'Lançamentos'!$B$2:$B$5010,$A10,'Lançamentos'!$C$2:$C$5010,C$4)</f>
        <v/>
      </c>
      <c r="D10" s="9">
        <f>SUMIFS('Lançamentos'!$L$2:$L$5010,'Lançamentos'!$A$2:$A$5010,"Insumos e papel",'Lançamentos'!$B$2:$B$5010,$A10,'Lançamentos'!$C$2:$C$5010,D$4)</f>
        <v/>
      </c>
      <c r="E10" s="9">
        <f>SUMIFS('Lançamentos'!$L$2:$L$5010,'Lançamentos'!$A$2:$A$5010,"Insumos e papel",'Lançamentos'!$B$2:$B$5010,$A10,'Lançamentos'!$C$2:$C$5010,E$4)</f>
        <v/>
      </c>
      <c r="F10" s="9">
        <f>SUMIFS('Lançamentos'!$L$2:$L$5010,'Lançamentos'!$A$2:$A$5010,"Insumos e papel",'Lançamentos'!$B$2:$B$5010,$A10,'Lançamentos'!$C$2:$C$5010,F$4)</f>
        <v/>
      </c>
      <c r="G10" s="9">
        <f>SUMIFS('Lançamentos'!$L$2:$L$5010,'Lançamentos'!$A$2:$A$5010,"Insumos e papel",'Lançamentos'!$B$2:$B$5010,$A10,'Lançamentos'!$C$2:$C$5010,G$4)</f>
        <v/>
      </c>
      <c r="H10" s="9">
        <f>SUMIFS('Lançamentos'!$L$2:$L$5010,'Lançamentos'!$A$2:$A$5010,"Insumos e papel",'Lançamentos'!$B$2:$B$5010,$A10,'Lançamentos'!$C$2:$C$5010,H$4)</f>
        <v/>
      </c>
      <c r="I10" s="9">
        <f>SUMIFS('Lançamentos'!$L$2:$L$5010,'Lançamentos'!$A$2:$A$5010,"Insumos e papel",'Lançamentos'!$B$2:$B$5010,$A10,'Lançamentos'!$C$2:$C$5010,I$4)</f>
        <v/>
      </c>
      <c r="J10" s="9">
        <f>SUMIFS('Lançamentos'!$L$2:$L$5010,'Lançamentos'!$A$2:$A$5010,"Insumos e papel",'Lançamentos'!$B$2:$B$5010,$A10,'Lançamentos'!$C$2:$C$5010,J$4)</f>
        <v/>
      </c>
      <c r="K10" s="9">
        <f>SUM(B10:J10)</f>
        <v/>
      </c>
      <c r="L10" s="10">
        <f>K10/K$17</f>
        <v/>
      </c>
      <c r="M10" s="9">
        <f>SUMIFS('Lançamentos'!$L$2:$L$5010,'Lançamentos'!$A$2:$A$5010,"Insumos e papel",'Lançamentos'!$B$2:$B$5010,$A10,'Lançamentos'!$C$2:$C$5010,"Antes de 2026")</f>
        <v/>
      </c>
      <c r="N10" s="9" t="n"/>
      <c r="O10" s="9" t="n"/>
      <c r="P10" s="26" t="n"/>
    </row>
    <row r="11">
      <c r="A11" s="25" t="inlineStr">
        <is>
          <t>2.01.93 Compra de Plástico Poliolefínico</t>
        </is>
      </c>
      <c r="B11" s="9">
        <f>SUMIFS('Lançamentos'!$L$2:$L$5010,'Lançamentos'!$A$2:$A$5010,"Insumos e papel",'Lançamentos'!$B$2:$B$5010,$A11,'Lançamentos'!$C$2:$C$5010,B$4)</f>
        <v/>
      </c>
      <c r="C11" s="9">
        <f>SUMIFS('Lançamentos'!$L$2:$L$5010,'Lançamentos'!$A$2:$A$5010,"Insumos e papel",'Lançamentos'!$B$2:$B$5010,$A11,'Lançamentos'!$C$2:$C$5010,C$4)</f>
        <v/>
      </c>
      <c r="D11" s="9">
        <f>SUMIFS('Lançamentos'!$L$2:$L$5010,'Lançamentos'!$A$2:$A$5010,"Insumos e papel",'Lançamentos'!$B$2:$B$5010,$A11,'Lançamentos'!$C$2:$C$5010,D$4)</f>
        <v/>
      </c>
      <c r="E11" s="9">
        <f>SUMIFS('Lançamentos'!$L$2:$L$5010,'Lançamentos'!$A$2:$A$5010,"Insumos e papel",'Lançamentos'!$B$2:$B$5010,$A11,'Lançamentos'!$C$2:$C$5010,E$4)</f>
        <v/>
      </c>
      <c r="F11" s="9">
        <f>SUMIFS('Lançamentos'!$L$2:$L$5010,'Lançamentos'!$A$2:$A$5010,"Insumos e papel",'Lançamentos'!$B$2:$B$5010,$A11,'Lançamentos'!$C$2:$C$5010,F$4)</f>
        <v/>
      </c>
      <c r="G11" s="9">
        <f>SUMIFS('Lançamentos'!$L$2:$L$5010,'Lançamentos'!$A$2:$A$5010,"Insumos e papel",'Lançamentos'!$B$2:$B$5010,$A11,'Lançamentos'!$C$2:$C$5010,G$4)</f>
        <v/>
      </c>
      <c r="H11" s="9">
        <f>SUMIFS('Lançamentos'!$L$2:$L$5010,'Lançamentos'!$A$2:$A$5010,"Insumos e papel",'Lançamentos'!$B$2:$B$5010,$A11,'Lançamentos'!$C$2:$C$5010,H$4)</f>
        <v/>
      </c>
      <c r="I11" s="9">
        <f>SUMIFS('Lançamentos'!$L$2:$L$5010,'Lançamentos'!$A$2:$A$5010,"Insumos e papel",'Lançamentos'!$B$2:$B$5010,$A11,'Lançamentos'!$C$2:$C$5010,I$4)</f>
        <v/>
      </c>
      <c r="J11" s="9">
        <f>SUMIFS('Lançamentos'!$L$2:$L$5010,'Lançamentos'!$A$2:$A$5010,"Insumos e papel",'Lançamentos'!$B$2:$B$5010,$A11,'Lançamentos'!$C$2:$C$5010,J$4)</f>
        <v/>
      </c>
      <c r="K11" s="9">
        <f>SUM(B11:J11)</f>
        <v/>
      </c>
      <c r="L11" s="10">
        <f>K11/K$17</f>
        <v/>
      </c>
      <c r="M11" s="9">
        <f>SUMIFS('Lançamentos'!$L$2:$L$5010,'Lançamentos'!$A$2:$A$5010,"Insumos e papel",'Lançamentos'!$B$2:$B$5010,$A11,'Lançamentos'!$C$2:$C$5010,"Antes de 2026")</f>
        <v/>
      </c>
      <c r="N11" s="9" t="n"/>
      <c r="O11" s="9" t="n"/>
      <c r="P11" s="26" t="n"/>
    </row>
    <row r="12">
      <c r="A12" s="25" t="inlineStr">
        <is>
          <t>2.01.94 Compra de Fita Adesiva</t>
        </is>
      </c>
      <c r="B12" s="9">
        <f>SUMIFS('Lançamentos'!$L$2:$L$5010,'Lançamentos'!$A$2:$A$5010,"Insumos e papel",'Lançamentos'!$B$2:$B$5010,$A12,'Lançamentos'!$C$2:$C$5010,B$4)</f>
        <v/>
      </c>
      <c r="C12" s="9">
        <f>SUMIFS('Lançamentos'!$L$2:$L$5010,'Lançamentos'!$A$2:$A$5010,"Insumos e papel",'Lançamentos'!$B$2:$B$5010,$A12,'Lançamentos'!$C$2:$C$5010,C$4)</f>
        <v/>
      </c>
      <c r="D12" s="9">
        <f>SUMIFS('Lançamentos'!$L$2:$L$5010,'Lançamentos'!$A$2:$A$5010,"Insumos e papel",'Lançamentos'!$B$2:$B$5010,$A12,'Lançamentos'!$C$2:$C$5010,D$4)</f>
        <v/>
      </c>
      <c r="E12" s="9">
        <f>SUMIFS('Lançamentos'!$L$2:$L$5010,'Lançamentos'!$A$2:$A$5010,"Insumos e papel",'Lançamentos'!$B$2:$B$5010,$A12,'Lançamentos'!$C$2:$C$5010,E$4)</f>
        <v/>
      </c>
      <c r="F12" s="9">
        <f>SUMIFS('Lançamentos'!$L$2:$L$5010,'Lançamentos'!$A$2:$A$5010,"Insumos e papel",'Lançamentos'!$B$2:$B$5010,$A12,'Lançamentos'!$C$2:$C$5010,F$4)</f>
        <v/>
      </c>
      <c r="G12" s="9">
        <f>SUMIFS('Lançamentos'!$L$2:$L$5010,'Lançamentos'!$A$2:$A$5010,"Insumos e papel",'Lançamentos'!$B$2:$B$5010,$A12,'Lançamentos'!$C$2:$C$5010,G$4)</f>
        <v/>
      </c>
      <c r="H12" s="9">
        <f>SUMIFS('Lançamentos'!$L$2:$L$5010,'Lançamentos'!$A$2:$A$5010,"Insumos e papel",'Lançamentos'!$B$2:$B$5010,$A12,'Lançamentos'!$C$2:$C$5010,H$4)</f>
        <v/>
      </c>
      <c r="I12" s="9">
        <f>SUMIFS('Lançamentos'!$L$2:$L$5010,'Lançamentos'!$A$2:$A$5010,"Insumos e papel",'Lançamentos'!$B$2:$B$5010,$A12,'Lançamentos'!$C$2:$C$5010,I$4)</f>
        <v/>
      </c>
      <c r="J12" s="9">
        <f>SUMIFS('Lançamentos'!$L$2:$L$5010,'Lançamentos'!$A$2:$A$5010,"Insumos e papel",'Lançamentos'!$B$2:$B$5010,$A12,'Lançamentos'!$C$2:$C$5010,J$4)</f>
        <v/>
      </c>
      <c r="K12" s="9">
        <f>SUM(B12:J12)</f>
        <v/>
      </c>
      <c r="L12" s="10">
        <f>K12/K$17</f>
        <v/>
      </c>
      <c r="M12" s="9">
        <f>SUMIFS('Lançamentos'!$L$2:$L$5010,'Lançamentos'!$A$2:$A$5010,"Insumos e papel",'Lançamentos'!$B$2:$B$5010,$A12,'Lançamentos'!$C$2:$C$5010,"Antes de 2026")</f>
        <v/>
      </c>
      <c r="N12" s="9" t="n"/>
      <c r="O12" s="9" t="n"/>
      <c r="P12" s="26" t="n"/>
    </row>
    <row r="13">
      <c r="A13" s="25" t="inlineStr">
        <is>
          <t>2.01.95 Compra de Etiqueta</t>
        </is>
      </c>
      <c r="B13" s="9">
        <f>SUMIFS('Lançamentos'!$L$2:$L$5010,'Lançamentos'!$A$2:$A$5010,"Insumos e papel",'Lançamentos'!$B$2:$B$5010,$A13,'Lançamentos'!$C$2:$C$5010,B$4)</f>
        <v/>
      </c>
      <c r="C13" s="9">
        <f>SUMIFS('Lançamentos'!$L$2:$L$5010,'Lançamentos'!$A$2:$A$5010,"Insumos e papel",'Lançamentos'!$B$2:$B$5010,$A13,'Lançamentos'!$C$2:$C$5010,C$4)</f>
        <v/>
      </c>
      <c r="D13" s="9">
        <f>SUMIFS('Lançamentos'!$L$2:$L$5010,'Lançamentos'!$A$2:$A$5010,"Insumos e papel",'Lançamentos'!$B$2:$B$5010,$A13,'Lançamentos'!$C$2:$C$5010,D$4)</f>
        <v/>
      </c>
      <c r="E13" s="9">
        <f>SUMIFS('Lançamentos'!$L$2:$L$5010,'Lançamentos'!$A$2:$A$5010,"Insumos e papel",'Lançamentos'!$B$2:$B$5010,$A13,'Lançamentos'!$C$2:$C$5010,E$4)</f>
        <v/>
      </c>
      <c r="F13" s="9">
        <f>SUMIFS('Lançamentos'!$L$2:$L$5010,'Lançamentos'!$A$2:$A$5010,"Insumos e papel",'Lançamentos'!$B$2:$B$5010,$A13,'Lançamentos'!$C$2:$C$5010,F$4)</f>
        <v/>
      </c>
      <c r="G13" s="9">
        <f>SUMIFS('Lançamentos'!$L$2:$L$5010,'Lançamentos'!$A$2:$A$5010,"Insumos e papel",'Lançamentos'!$B$2:$B$5010,$A13,'Lançamentos'!$C$2:$C$5010,G$4)</f>
        <v/>
      </c>
      <c r="H13" s="9">
        <f>SUMIFS('Lançamentos'!$L$2:$L$5010,'Lançamentos'!$A$2:$A$5010,"Insumos e papel",'Lançamentos'!$B$2:$B$5010,$A13,'Lançamentos'!$C$2:$C$5010,H$4)</f>
        <v/>
      </c>
      <c r="I13" s="9">
        <f>SUMIFS('Lançamentos'!$L$2:$L$5010,'Lançamentos'!$A$2:$A$5010,"Insumos e papel",'Lançamentos'!$B$2:$B$5010,$A13,'Lançamentos'!$C$2:$C$5010,I$4)</f>
        <v/>
      </c>
      <c r="J13" s="9">
        <f>SUMIFS('Lançamentos'!$L$2:$L$5010,'Lançamentos'!$A$2:$A$5010,"Insumos e papel",'Lançamentos'!$B$2:$B$5010,$A13,'Lançamentos'!$C$2:$C$5010,J$4)</f>
        <v/>
      </c>
      <c r="K13" s="9">
        <f>SUM(B13:J13)</f>
        <v/>
      </c>
      <c r="L13" s="10">
        <f>K13/K$17</f>
        <v/>
      </c>
      <c r="M13" s="9">
        <f>SUMIFS('Lançamentos'!$L$2:$L$5010,'Lançamentos'!$A$2:$A$5010,"Insumos e papel",'Lançamentos'!$B$2:$B$5010,$A13,'Lançamentos'!$C$2:$C$5010,"Antes de 2026")</f>
        <v/>
      </c>
      <c r="N13" s="9" t="n"/>
      <c r="O13" s="9" t="n"/>
      <c r="P13" s="26" t="n"/>
    </row>
    <row r="14">
      <c r="A14" s="25" t="inlineStr">
        <is>
          <t>2.01.96 Compra de Cola</t>
        </is>
      </c>
      <c r="B14" s="9">
        <f>SUMIFS('Lançamentos'!$L$2:$L$5010,'Lançamentos'!$A$2:$A$5010,"Insumos e papel",'Lançamentos'!$B$2:$B$5010,$A14,'Lançamentos'!$C$2:$C$5010,B$4)</f>
        <v/>
      </c>
      <c r="C14" s="9">
        <f>SUMIFS('Lançamentos'!$L$2:$L$5010,'Lançamentos'!$A$2:$A$5010,"Insumos e papel",'Lançamentos'!$B$2:$B$5010,$A14,'Lançamentos'!$C$2:$C$5010,C$4)</f>
        <v/>
      </c>
      <c r="D14" s="9">
        <f>SUMIFS('Lançamentos'!$L$2:$L$5010,'Lançamentos'!$A$2:$A$5010,"Insumos e papel",'Lançamentos'!$B$2:$B$5010,$A14,'Lançamentos'!$C$2:$C$5010,D$4)</f>
        <v/>
      </c>
      <c r="E14" s="9">
        <f>SUMIFS('Lançamentos'!$L$2:$L$5010,'Lançamentos'!$A$2:$A$5010,"Insumos e papel",'Lançamentos'!$B$2:$B$5010,$A14,'Lançamentos'!$C$2:$C$5010,E$4)</f>
        <v/>
      </c>
      <c r="F14" s="9">
        <f>SUMIFS('Lançamentos'!$L$2:$L$5010,'Lançamentos'!$A$2:$A$5010,"Insumos e papel",'Lançamentos'!$B$2:$B$5010,$A14,'Lançamentos'!$C$2:$C$5010,F$4)</f>
        <v/>
      </c>
      <c r="G14" s="9">
        <f>SUMIFS('Lançamentos'!$L$2:$L$5010,'Lançamentos'!$A$2:$A$5010,"Insumos e papel",'Lançamentos'!$B$2:$B$5010,$A14,'Lançamentos'!$C$2:$C$5010,G$4)</f>
        <v/>
      </c>
      <c r="H14" s="9">
        <f>SUMIFS('Lançamentos'!$L$2:$L$5010,'Lançamentos'!$A$2:$A$5010,"Insumos e papel",'Lançamentos'!$B$2:$B$5010,$A14,'Lançamentos'!$C$2:$C$5010,H$4)</f>
        <v/>
      </c>
      <c r="I14" s="9">
        <f>SUMIFS('Lançamentos'!$L$2:$L$5010,'Lançamentos'!$A$2:$A$5010,"Insumos e papel",'Lançamentos'!$B$2:$B$5010,$A14,'Lançamentos'!$C$2:$C$5010,I$4)</f>
        <v/>
      </c>
      <c r="J14" s="9">
        <f>SUMIFS('Lançamentos'!$L$2:$L$5010,'Lançamentos'!$A$2:$A$5010,"Insumos e papel",'Lançamentos'!$B$2:$B$5010,$A14,'Lançamentos'!$C$2:$C$5010,J$4)</f>
        <v/>
      </c>
      <c r="K14" s="9">
        <f>SUM(B14:J14)</f>
        <v/>
      </c>
      <c r="L14" s="10">
        <f>K14/K$17</f>
        <v/>
      </c>
      <c r="M14" s="9">
        <f>SUMIFS('Lançamentos'!$L$2:$L$5010,'Lançamentos'!$A$2:$A$5010,"Insumos e papel",'Lançamentos'!$B$2:$B$5010,$A14,'Lançamentos'!$C$2:$C$5010,"Antes de 2026")</f>
        <v/>
      </c>
      <c r="N14" s="9" t="n"/>
      <c r="O14" s="9" t="n"/>
      <c r="P14" s="26" t="n"/>
    </row>
    <row r="15">
      <c r="A15" s="25" t="inlineStr">
        <is>
          <t>2.01.97 Compra de Clichê</t>
        </is>
      </c>
      <c r="B15" s="9">
        <f>SUMIFS('Lançamentos'!$L$2:$L$5010,'Lançamentos'!$A$2:$A$5010,"Insumos e papel",'Lançamentos'!$B$2:$B$5010,$A15,'Lançamentos'!$C$2:$C$5010,B$4)</f>
        <v/>
      </c>
      <c r="C15" s="9">
        <f>SUMIFS('Lançamentos'!$L$2:$L$5010,'Lançamentos'!$A$2:$A$5010,"Insumos e papel",'Lançamentos'!$B$2:$B$5010,$A15,'Lançamentos'!$C$2:$C$5010,C$4)</f>
        <v/>
      </c>
      <c r="D15" s="9">
        <f>SUMIFS('Lançamentos'!$L$2:$L$5010,'Lançamentos'!$A$2:$A$5010,"Insumos e papel",'Lançamentos'!$B$2:$B$5010,$A15,'Lançamentos'!$C$2:$C$5010,D$4)</f>
        <v/>
      </c>
      <c r="E15" s="9">
        <f>SUMIFS('Lançamentos'!$L$2:$L$5010,'Lançamentos'!$A$2:$A$5010,"Insumos e papel",'Lançamentos'!$B$2:$B$5010,$A15,'Lançamentos'!$C$2:$C$5010,E$4)</f>
        <v/>
      </c>
      <c r="F15" s="9">
        <f>SUMIFS('Lançamentos'!$L$2:$L$5010,'Lançamentos'!$A$2:$A$5010,"Insumos e papel",'Lançamentos'!$B$2:$B$5010,$A15,'Lançamentos'!$C$2:$C$5010,F$4)</f>
        <v/>
      </c>
      <c r="G15" s="9">
        <f>SUMIFS('Lançamentos'!$L$2:$L$5010,'Lançamentos'!$A$2:$A$5010,"Insumos e papel",'Lançamentos'!$B$2:$B$5010,$A15,'Lançamentos'!$C$2:$C$5010,G$4)</f>
        <v/>
      </c>
      <c r="H15" s="9">
        <f>SUMIFS('Lançamentos'!$L$2:$L$5010,'Lançamentos'!$A$2:$A$5010,"Insumos e papel",'Lançamentos'!$B$2:$B$5010,$A15,'Lançamentos'!$C$2:$C$5010,H$4)</f>
        <v/>
      </c>
      <c r="I15" s="9">
        <f>SUMIFS('Lançamentos'!$L$2:$L$5010,'Lançamentos'!$A$2:$A$5010,"Insumos e papel",'Lançamentos'!$B$2:$B$5010,$A15,'Lançamentos'!$C$2:$C$5010,I$4)</f>
        <v/>
      </c>
      <c r="J15" s="9">
        <f>SUMIFS('Lançamentos'!$L$2:$L$5010,'Lançamentos'!$A$2:$A$5010,"Insumos e papel",'Lançamentos'!$B$2:$B$5010,$A15,'Lançamentos'!$C$2:$C$5010,J$4)</f>
        <v/>
      </c>
      <c r="K15" s="9">
        <f>SUM(B15:J15)</f>
        <v/>
      </c>
      <c r="L15" s="10">
        <f>K15/K$17</f>
        <v/>
      </c>
      <c r="M15" s="9">
        <f>SUMIFS('Lançamentos'!$L$2:$L$5010,'Lançamentos'!$A$2:$A$5010,"Insumos e papel",'Lançamentos'!$B$2:$B$5010,$A15,'Lançamentos'!$C$2:$C$5010,"Antes de 2026")</f>
        <v/>
      </c>
      <c r="N15" s="9" t="n"/>
      <c r="O15" s="9" t="n"/>
      <c r="P15" s="26" t="n"/>
    </row>
    <row r="16">
      <c r="A16" s="25" t="inlineStr">
        <is>
          <t>2.01.99 Compra de Caixas</t>
        </is>
      </c>
      <c r="B16" s="9">
        <f>SUMIFS('Lançamentos'!$L$2:$L$5010,'Lançamentos'!$A$2:$A$5010,"Insumos e papel",'Lançamentos'!$B$2:$B$5010,$A16,'Lançamentos'!$C$2:$C$5010,B$4)</f>
        <v/>
      </c>
      <c r="C16" s="9">
        <f>SUMIFS('Lançamentos'!$L$2:$L$5010,'Lançamentos'!$A$2:$A$5010,"Insumos e papel",'Lançamentos'!$B$2:$B$5010,$A16,'Lançamentos'!$C$2:$C$5010,C$4)</f>
        <v/>
      </c>
      <c r="D16" s="9">
        <f>SUMIFS('Lançamentos'!$L$2:$L$5010,'Lançamentos'!$A$2:$A$5010,"Insumos e papel",'Lançamentos'!$B$2:$B$5010,$A16,'Lançamentos'!$C$2:$C$5010,D$4)</f>
        <v/>
      </c>
      <c r="E16" s="9">
        <f>SUMIFS('Lançamentos'!$L$2:$L$5010,'Lançamentos'!$A$2:$A$5010,"Insumos e papel",'Lançamentos'!$B$2:$B$5010,$A16,'Lançamentos'!$C$2:$C$5010,E$4)</f>
        <v/>
      </c>
      <c r="F16" s="9">
        <f>SUMIFS('Lançamentos'!$L$2:$L$5010,'Lançamentos'!$A$2:$A$5010,"Insumos e papel",'Lançamentos'!$B$2:$B$5010,$A16,'Lançamentos'!$C$2:$C$5010,F$4)</f>
        <v/>
      </c>
      <c r="G16" s="9">
        <f>SUMIFS('Lançamentos'!$L$2:$L$5010,'Lançamentos'!$A$2:$A$5010,"Insumos e papel",'Lançamentos'!$B$2:$B$5010,$A16,'Lançamentos'!$C$2:$C$5010,G$4)</f>
        <v/>
      </c>
      <c r="H16" s="9">
        <f>SUMIFS('Lançamentos'!$L$2:$L$5010,'Lançamentos'!$A$2:$A$5010,"Insumos e papel",'Lançamentos'!$B$2:$B$5010,$A16,'Lançamentos'!$C$2:$C$5010,H$4)</f>
        <v/>
      </c>
      <c r="I16" s="9">
        <f>SUMIFS('Lançamentos'!$L$2:$L$5010,'Lançamentos'!$A$2:$A$5010,"Insumos e papel",'Lançamentos'!$B$2:$B$5010,$A16,'Lançamentos'!$C$2:$C$5010,I$4)</f>
        <v/>
      </c>
      <c r="J16" s="9">
        <f>SUMIFS('Lançamentos'!$L$2:$L$5010,'Lançamentos'!$A$2:$A$5010,"Insumos e papel",'Lançamentos'!$B$2:$B$5010,$A16,'Lançamentos'!$C$2:$C$5010,J$4)</f>
        <v/>
      </c>
      <c r="K16" s="9">
        <f>SUM(B16:J16)</f>
        <v/>
      </c>
      <c r="L16" s="10">
        <f>K16/K$17</f>
        <v/>
      </c>
      <c r="M16" s="9">
        <f>SUMIFS('Lançamentos'!$L$2:$L$5010,'Lançamentos'!$A$2:$A$5010,"Insumos e papel",'Lançamentos'!$B$2:$B$5010,$A16,'Lançamentos'!$C$2:$C$5010,"Antes de 2026")</f>
        <v/>
      </c>
      <c r="N16" s="9" t="n"/>
      <c r="O16" s="9" t="n"/>
      <c r="P16" s="26" t="n"/>
    </row>
    <row r="17">
      <c r="A17" s="11" t="inlineStr">
        <is>
          <t>TOTAL INSUMOS E PAPEL</t>
        </is>
      </c>
      <c r="B17" s="13">
        <f>SUM(B5:B16)</f>
        <v/>
      </c>
      <c r="C17" s="13">
        <f>SUM(C5:C16)</f>
        <v/>
      </c>
      <c r="D17" s="13">
        <f>SUM(D5:D16)</f>
        <v/>
      </c>
      <c r="E17" s="13">
        <f>SUM(E5:E16)</f>
        <v/>
      </c>
      <c r="F17" s="13">
        <f>SUM(F5:F16)</f>
        <v/>
      </c>
      <c r="G17" s="13">
        <f>SUM(G5:G16)</f>
        <v/>
      </c>
      <c r="H17" s="13">
        <f>SUM(H5:H16)</f>
        <v/>
      </c>
      <c r="I17" s="13">
        <f>SUM(I5:I16)</f>
        <v/>
      </c>
      <c r="J17" s="13">
        <f>SUM(J5:J16)</f>
        <v/>
      </c>
      <c r="K17" s="13">
        <f>SUM(K5:K16)</f>
        <v/>
      </c>
      <c r="L17" s="14">
        <f>K17/K$17</f>
        <v/>
      </c>
      <c r="M17" s="13">
        <f>SUM(M5:M16)</f>
        <v/>
      </c>
      <c r="N17" s="9" t="n"/>
      <c r="O17" s="9" t="n"/>
      <c r="P17" s="26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  <c r="M18" s="9" t="n"/>
      <c r="N18" s="9" t="n"/>
      <c r="O18" s="9" t="n"/>
      <c r="P18" s="26" t="n"/>
    </row>
    <row r="19">
      <c r="A19" t="inlineStr">
        <is>
          <t>Memo: valor bruto (com impostos)</t>
        </is>
      </c>
      <c r="B19" s="9">
        <f>SUMIFS('Lançamentos'!$J$2:$J$5010,'Lançamentos'!$A$2:$A$5010,"Insumos e papel",'Lançamentos'!$C$2:$C$5010,B$4)</f>
        <v/>
      </c>
      <c r="C19" s="9">
        <f>SUMIFS('Lançamentos'!$J$2:$J$5010,'Lançamentos'!$A$2:$A$5010,"Insumos e papel",'Lançamentos'!$C$2:$C$5010,C$4)</f>
        <v/>
      </c>
      <c r="D19" s="9">
        <f>SUMIFS('Lançamentos'!$J$2:$J$5010,'Lançamentos'!$A$2:$A$5010,"Insumos e papel",'Lançamentos'!$C$2:$C$5010,D$4)</f>
        <v/>
      </c>
      <c r="E19" s="9">
        <f>SUMIFS('Lançamentos'!$J$2:$J$5010,'Lançamentos'!$A$2:$A$5010,"Insumos e papel",'Lançamentos'!$C$2:$C$5010,E$4)</f>
        <v/>
      </c>
      <c r="F19" s="9">
        <f>SUMIFS('Lançamentos'!$J$2:$J$5010,'Lançamentos'!$A$2:$A$5010,"Insumos e papel",'Lançamentos'!$C$2:$C$5010,F$4)</f>
        <v/>
      </c>
      <c r="G19" s="9">
        <f>SUMIFS('Lançamentos'!$J$2:$J$5010,'Lançamentos'!$A$2:$A$5010,"Insumos e papel",'Lançamentos'!$C$2:$C$5010,G$4)</f>
        <v/>
      </c>
      <c r="H19" s="9">
        <f>SUMIFS('Lançamentos'!$J$2:$J$5010,'Lançamentos'!$A$2:$A$5010,"Insumos e papel",'Lançamentos'!$C$2:$C$5010,H$4)</f>
        <v/>
      </c>
      <c r="I19" s="9">
        <f>SUMIFS('Lançamentos'!$J$2:$J$5010,'Lançamentos'!$A$2:$A$5010,"Insumos e papel",'Lançamentos'!$C$2:$C$5010,I$4)</f>
        <v/>
      </c>
      <c r="J19" s="9">
        <f>SUMIFS('Lançamentos'!$J$2:$J$5010,'Lançamentos'!$A$2:$A$5010,"Insumos e papel",'Lançamentos'!$C$2:$C$5010,J$4)</f>
        <v/>
      </c>
      <c r="K19" s="9">
        <f>SUM(B19:J19)</f>
        <v/>
      </c>
      <c r="L19" s="10" t="n"/>
      <c r="M19" s="9">
        <f>SUMIFS('Lançamentos'!$J$2:$J$5010,'Lançamentos'!$A$2:$A$5010,"Insumos e papel",'Lançamentos'!$C$2:$C$5010,"Antes de 2026")</f>
        <v/>
      </c>
      <c r="N19" s="9" t="n"/>
      <c r="O19" s="9" t="n"/>
      <c r="P19" s="26" t="n"/>
    </row>
    <row r="20">
      <c r="A20" t="inlineStr">
        <is>
          <t>Memo: créditos abatidos</t>
        </is>
      </c>
      <c r="B20" s="9">
        <f>SUMIFS('Lançamentos'!$K$2:$K$5010,'Lançamentos'!$A$2:$A$5010,"Insumos e papel",'Lançamentos'!$C$2:$C$5010,B$4)</f>
        <v/>
      </c>
      <c r="C20" s="9">
        <f>SUMIFS('Lançamentos'!$K$2:$K$5010,'Lançamentos'!$A$2:$A$5010,"Insumos e papel",'Lançamentos'!$C$2:$C$5010,C$4)</f>
        <v/>
      </c>
      <c r="D20" s="9">
        <f>SUMIFS('Lançamentos'!$K$2:$K$5010,'Lançamentos'!$A$2:$A$5010,"Insumos e papel",'Lançamentos'!$C$2:$C$5010,D$4)</f>
        <v/>
      </c>
      <c r="E20" s="9">
        <f>SUMIFS('Lançamentos'!$K$2:$K$5010,'Lançamentos'!$A$2:$A$5010,"Insumos e papel",'Lançamentos'!$C$2:$C$5010,E$4)</f>
        <v/>
      </c>
      <c r="F20" s="9">
        <f>SUMIFS('Lançamentos'!$K$2:$K$5010,'Lançamentos'!$A$2:$A$5010,"Insumos e papel",'Lançamentos'!$C$2:$C$5010,F$4)</f>
        <v/>
      </c>
      <c r="G20" s="9">
        <f>SUMIFS('Lançamentos'!$K$2:$K$5010,'Lançamentos'!$A$2:$A$5010,"Insumos e papel",'Lançamentos'!$C$2:$C$5010,G$4)</f>
        <v/>
      </c>
      <c r="H20" s="9">
        <f>SUMIFS('Lançamentos'!$K$2:$K$5010,'Lançamentos'!$A$2:$A$5010,"Insumos e papel",'Lançamentos'!$C$2:$C$5010,H$4)</f>
        <v/>
      </c>
      <c r="I20" s="9">
        <f>SUMIFS('Lançamentos'!$K$2:$K$5010,'Lançamentos'!$A$2:$A$5010,"Insumos e papel",'Lançamentos'!$C$2:$C$5010,I$4)</f>
        <v/>
      </c>
      <c r="J20" s="9">
        <f>SUMIFS('Lançamentos'!$K$2:$K$5010,'Lançamentos'!$A$2:$A$5010,"Insumos e papel",'Lançamentos'!$C$2:$C$5010,J$4)</f>
        <v/>
      </c>
      <c r="K20" s="9">
        <f>SUM(B20:J20)</f>
        <v/>
      </c>
      <c r="L20" s="10" t="n"/>
      <c r="M20" s="9">
        <f>SUMIFS('Lançamentos'!$K$2:$K$5010,'Lançamentos'!$A$2:$A$5010,"Insumos e papel",'Lançamentos'!$C$2:$C$5010,"Antes de 2026")</f>
        <v/>
      </c>
      <c r="N20" s="9" t="n"/>
      <c r="O20" s="9" t="n"/>
      <c r="P20" s="26" t="n"/>
    </row>
    <row r="21">
      <c r="A21" t="inlineStr">
        <is>
          <t>Conferência: bruto − créditos − total (deve ser zero)</t>
        </is>
      </c>
      <c r="B21" s="9">
        <f>ROUND(B19-B20-B17,2)</f>
        <v/>
      </c>
      <c r="C21" s="9">
        <f>ROUND(C19-C20-C17,2)</f>
        <v/>
      </c>
      <c r="D21" s="9">
        <f>ROUND(D19-D20-D17,2)</f>
        <v/>
      </c>
      <c r="E21" s="9">
        <f>ROUND(E19-E20-E17,2)</f>
        <v/>
      </c>
      <c r="F21" s="9">
        <f>ROUND(F19-F20-F17,2)</f>
        <v/>
      </c>
      <c r="G21" s="9">
        <f>ROUND(G19-G20-G17,2)</f>
        <v/>
      </c>
      <c r="H21" s="9">
        <f>ROUND(H19-H20-H17,2)</f>
        <v/>
      </c>
      <c r="I21" s="9">
        <f>ROUND(I19-I20-I17,2)</f>
        <v/>
      </c>
      <c r="J21" s="9">
        <f>ROUND(J19-J20-J17,2)</f>
        <v/>
      </c>
      <c r="K21" s="9">
        <f>ROUND(K19-K20-K17,2)</f>
        <v/>
      </c>
      <c r="L21" s="10" t="n"/>
      <c r="M21" s="9">
        <f>ROUND(M19-M20-M17,2)</f>
        <v/>
      </c>
      <c r="N21" s="9" t="n"/>
      <c r="O21" s="9" t="n"/>
      <c r="P21" s="26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  <c r="M22" s="9" t="n"/>
      <c r="N22" s="9" t="n"/>
      <c r="O22" s="9" t="n"/>
      <c r="P22" s="26" t="n"/>
    </row>
    <row r="23">
      <c r="A23" s="23" t="inlineStr">
        <is>
          <t>Por fornecedor / transportadora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10" t="n"/>
      <c r="M23" s="9" t="n"/>
      <c r="N23" s="9" t="n"/>
      <c r="O23" s="9" t="n"/>
      <c r="P23" s="26" t="n"/>
    </row>
    <row r="24">
      <c r="A24" s="4" t="inlineStr">
        <is>
          <t>Fornecedor / Transportadora</t>
        </is>
      </c>
      <c r="B24" s="18" t="n">
        <v>46023</v>
      </c>
      <c r="C24" s="18" t="n">
        <v>46054</v>
      </c>
      <c r="D24" s="18" t="n">
        <v>46082</v>
      </c>
      <c r="E24" s="18" t="n">
        <v>46113</v>
      </c>
      <c r="F24" s="18" t="n">
        <v>46143</v>
      </c>
      <c r="G24" s="18" t="n">
        <v>46174</v>
      </c>
      <c r="H24" s="18" t="n">
        <v>46204</v>
      </c>
      <c r="I24" s="18" t="n">
        <v>46235</v>
      </c>
      <c r="J24" s="18" t="n">
        <v>46266</v>
      </c>
      <c r="K24" s="5" t="inlineStr">
        <is>
          <t>Total 2026</t>
        </is>
      </c>
      <c r="L24" s="5" t="inlineStr">
        <is>
          <t>% do total</t>
        </is>
      </c>
      <c r="M24" s="5" t="inlineStr">
        <is>
          <t>Memo: antes de 2026</t>
        </is>
      </c>
      <c r="N24" s="5" t="inlineStr">
        <is>
          <t>Valor bruto 2026</t>
        </is>
      </c>
      <c r="O24" s="5" t="inlineStr">
        <is>
          <t>Créditos 2026</t>
        </is>
      </c>
      <c r="P24" s="5" t="inlineStr">
        <is>
          <t>Nº docs 2026</t>
        </is>
      </c>
    </row>
    <row r="25">
      <c r="A25" t="inlineStr">
        <is>
          <t>CMPC Iguacu Embalagens Ltda</t>
        </is>
      </c>
      <c r="B25" s="9">
        <f>SUMIFS('Lançamentos'!$L$2:$L$5010,'Lançamentos'!$A$2:$A$5010,"Insumos e papel",'Lançamentos'!$H$2:$H$5010,$A25,'Lançamentos'!$C$2:$C$5010,B$24)</f>
        <v/>
      </c>
      <c r="C25" s="9">
        <f>SUMIFS('Lançamentos'!$L$2:$L$5010,'Lançamentos'!$A$2:$A$5010,"Insumos e papel",'Lançamentos'!$H$2:$H$5010,$A25,'Lançamentos'!$C$2:$C$5010,C$24)</f>
        <v/>
      </c>
      <c r="D25" s="9">
        <f>SUMIFS('Lançamentos'!$L$2:$L$5010,'Lançamentos'!$A$2:$A$5010,"Insumos e papel",'Lançamentos'!$H$2:$H$5010,$A25,'Lançamentos'!$C$2:$C$5010,D$24)</f>
        <v/>
      </c>
      <c r="E25" s="9">
        <f>SUMIFS('Lançamentos'!$L$2:$L$5010,'Lançamentos'!$A$2:$A$5010,"Insumos e papel",'Lançamentos'!$H$2:$H$5010,$A25,'Lançamentos'!$C$2:$C$5010,E$24)</f>
        <v/>
      </c>
      <c r="F25" s="9">
        <f>SUMIFS('Lançamentos'!$L$2:$L$5010,'Lançamentos'!$A$2:$A$5010,"Insumos e papel",'Lançamentos'!$H$2:$H$5010,$A25,'Lançamentos'!$C$2:$C$5010,F$24)</f>
        <v/>
      </c>
      <c r="G25" s="9">
        <f>SUMIFS('Lançamentos'!$L$2:$L$5010,'Lançamentos'!$A$2:$A$5010,"Insumos e papel",'Lançamentos'!$H$2:$H$5010,$A25,'Lançamentos'!$C$2:$C$5010,G$24)</f>
        <v/>
      </c>
      <c r="H25" s="9">
        <f>SUMIFS('Lançamentos'!$L$2:$L$5010,'Lançamentos'!$A$2:$A$5010,"Insumos e papel",'Lançamentos'!$H$2:$H$5010,$A25,'Lançamentos'!$C$2:$C$5010,H$24)</f>
        <v/>
      </c>
      <c r="I25" s="9">
        <f>SUMIFS('Lançamentos'!$L$2:$L$5010,'Lançamentos'!$A$2:$A$5010,"Insumos e papel",'Lançamentos'!$H$2:$H$5010,$A25,'Lançamentos'!$C$2:$C$5010,I$24)</f>
        <v/>
      </c>
      <c r="J25" s="9">
        <f>SUMIFS('Lançamentos'!$L$2:$L$5010,'Lançamentos'!$A$2:$A$5010,"Insumos e papel",'Lançamentos'!$H$2:$H$5010,$A25,'Lançamentos'!$C$2:$C$5010,J$24)</f>
        <v/>
      </c>
      <c r="K25" s="9">
        <f>SUM(B25:J25)</f>
        <v/>
      </c>
      <c r="L25" s="10">
        <f>K25/K$61</f>
        <v/>
      </c>
      <c r="M25" s="9">
        <f>SUMIFS('Lançamentos'!$L$2:$L$5010,'Lançamentos'!$A$2:$A$5010,"Insumos e papel",'Lançamentos'!$H$2:$H$5010,$A25,'Lançamentos'!$C$2:$C$5010,"Antes de 2026")</f>
        <v/>
      </c>
      <c r="N25" s="9">
        <f>SUMIFS('Lançamentos'!$J$2:$J$5010,'Lançamentos'!$A$2:$A$5010,"Insumos e papel",'Lançamentos'!$H$2:$H$5010,$A25,'Lançamentos'!$D$2:$D$5010,"Em 2026")</f>
        <v/>
      </c>
      <c r="O25" s="9">
        <f>SUMIFS('Lançamentos'!$K$2:$K$5010,'Lançamentos'!$A$2:$A$5010,"Insumos e papel",'Lançamentos'!$H$2:$H$5010,$A25,'Lançamentos'!$D$2:$D$5010,"Em 2026")</f>
        <v/>
      </c>
      <c r="P25" s="26">
        <f>COUNTIFS('Lançamentos'!$A$2:$A$5010,"Insumos e papel",'Lançamentos'!$H$2:$H$5010,$A25,'Lançamentos'!$D$2:$D$5010,"Em 2026")</f>
        <v/>
      </c>
    </row>
    <row r="26">
      <c r="A26" t="inlineStr">
        <is>
          <t>NOVA CONPEL COMPANHIA NORDESTINA DE PAPEL LTDA</t>
        </is>
      </c>
      <c r="B26" s="9">
        <f>SUMIFS('Lançamentos'!$L$2:$L$5010,'Lançamentos'!$A$2:$A$5010,"Insumos e papel",'Lançamentos'!$H$2:$H$5010,$A26,'Lançamentos'!$C$2:$C$5010,B$24)</f>
        <v/>
      </c>
      <c r="C26" s="9">
        <f>SUMIFS('Lançamentos'!$L$2:$L$5010,'Lançamentos'!$A$2:$A$5010,"Insumos e papel",'Lançamentos'!$H$2:$H$5010,$A26,'Lançamentos'!$C$2:$C$5010,C$24)</f>
        <v/>
      </c>
      <c r="D26" s="9">
        <f>SUMIFS('Lançamentos'!$L$2:$L$5010,'Lançamentos'!$A$2:$A$5010,"Insumos e papel",'Lançamentos'!$H$2:$H$5010,$A26,'Lançamentos'!$C$2:$C$5010,D$24)</f>
        <v/>
      </c>
      <c r="E26" s="9">
        <f>SUMIFS('Lançamentos'!$L$2:$L$5010,'Lançamentos'!$A$2:$A$5010,"Insumos e papel",'Lançamentos'!$H$2:$H$5010,$A26,'Lançamentos'!$C$2:$C$5010,E$24)</f>
        <v/>
      </c>
      <c r="F26" s="9">
        <f>SUMIFS('Lançamentos'!$L$2:$L$5010,'Lançamentos'!$A$2:$A$5010,"Insumos e papel",'Lançamentos'!$H$2:$H$5010,$A26,'Lançamentos'!$C$2:$C$5010,F$24)</f>
        <v/>
      </c>
      <c r="G26" s="9">
        <f>SUMIFS('Lançamentos'!$L$2:$L$5010,'Lançamentos'!$A$2:$A$5010,"Insumos e papel",'Lançamentos'!$H$2:$H$5010,$A26,'Lançamentos'!$C$2:$C$5010,G$24)</f>
        <v/>
      </c>
      <c r="H26" s="9">
        <f>SUMIFS('Lançamentos'!$L$2:$L$5010,'Lançamentos'!$A$2:$A$5010,"Insumos e papel",'Lançamentos'!$H$2:$H$5010,$A26,'Lançamentos'!$C$2:$C$5010,H$24)</f>
        <v/>
      </c>
      <c r="I26" s="9">
        <f>SUMIFS('Lançamentos'!$L$2:$L$5010,'Lançamentos'!$A$2:$A$5010,"Insumos e papel",'Lançamentos'!$H$2:$H$5010,$A26,'Lançamentos'!$C$2:$C$5010,I$24)</f>
        <v/>
      </c>
      <c r="J26" s="9">
        <f>SUMIFS('Lançamentos'!$L$2:$L$5010,'Lançamentos'!$A$2:$A$5010,"Insumos e papel",'Lançamentos'!$H$2:$H$5010,$A26,'Lançamentos'!$C$2:$C$5010,J$24)</f>
        <v/>
      </c>
      <c r="K26" s="9">
        <f>SUM(B26:J26)</f>
        <v/>
      </c>
      <c r="L26" s="10">
        <f>K26/K$61</f>
        <v/>
      </c>
      <c r="M26" s="9">
        <f>SUMIFS('Lançamentos'!$L$2:$L$5010,'Lançamentos'!$A$2:$A$5010,"Insumos e papel",'Lançamentos'!$H$2:$H$5010,$A26,'Lançamentos'!$C$2:$C$5010,"Antes de 2026")</f>
        <v/>
      </c>
      <c r="N26" s="9">
        <f>SUMIFS('Lançamentos'!$J$2:$J$5010,'Lançamentos'!$A$2:$A$5010,"Insumos e papel",'Lançamentos'!$H$2:$H$5010,$A26,'Lançamentos'!$D$2:$D$5010,"Em 2026")</f>
        <v/>
      </c>
      <c r="O26" s="9">
        <f>SUMIFS('Lançamentos'!$K$2:$K$5010,'Lançamentos'!$A$2:$A$5010,"Insumos e papel",'Lançamentos'!$H$2:$H$5010,$A26,'Lançamentos'!$D$2:$D$5010,"Em 2026")</f>
        <v/>
      </c>
      <c r="P26" s="26">
        <f>COUNTIFS('Lançamentos'!$A$2:$A$5010,"Insumos e papel",'Lançamentos'!$H$2:$H$5010,$A26,'Lançamentos'!$D$2:$D$5010,"Em 2026")</f>
        <v/>
      </c>
    </row>
    <row r="27">
      <c r="A27" t="inlineStr">
        <is>
          <t>COCELPA CIA DE CEL. E PAPEL DO PARANA SA</t>
        </is>
      </c>
      <c r="B27" s="9">
        <f>SUMIFS('Lançamentos'!$L$2:$L$5010,'Lançamentos'!$A$2:$A$5010,"Insumos e papel",'Lançamentos'!$H$2:$H$5010,$A27,'Lançamentos'!$C$2:$C$5010,B$24)</f>
        <v/>
      </c>
      <c r="C27" s="9">
        <f>SUMIFS('Lançamentos'!$L$2:$L$5010,'Lançamentos'!$A$2:$A$5010,"Insumos e papel",'Lançamentos'!$H$2:$H$5010,$A27,'Lançamentos'!$C$2:$C$5010,C$24)</f>
        <v/>
      </c>
      <c r="D27" s="9">
        <f>SUMIFS('Lançamentos'!$L$2:$L$5010,'Lançamentos'!$A$2:$A$5010,"Insumos e papel",'Lançamentos'!$H$2:$H$5010,$A27,'Lançamentos'!$C$2:$C$5010,D$24)</f>
        <v/>
      </c>
      <c r="E27" s="9">
        <f>SUMIFS('Lançamentos'!$L$2:$L$5010,'Lançamentos'!$A$2:$A$5010,"Insumos e papel",'Lançamentos'!$H$2:$H$5010,$A27,'Lançamentos'!$C$2:$C$5010,E$24)</f>
        <v/>
      </c>
      <c r="F27" s="9">
        <f>SUMIFS('Lançamentos'!$L$2:$L$5010,'Lançamentos'!$A$2:$A$5010,"Insumos e papel",'Lançamentos'!$H$2:$H$5010,$A27,'Lançamentos'!$C$2:$C$5010,F$24)</f>
        <v/>
      </c>
      <c r="G27" s="9">
        <f>SUMIFS('Lançamentos'!$L$2:$L$5010,'Lançamentos'!$A$2:$A$5010,"Insumos e papel",'Lançamentos'!$H$2:$H$5010,$A27,'Lançamentos'!$C$2:$C$5010,G$24)</f>
        <v/>
      </c>
      <c r="H27" s="9">
        <f>SUMIFS('Lançamentos'!$L$2:$L$5010,'Lançamentos'!$A$2:$A$5010,"Insumos e papel",'Lançamentos'!$H$2:$H$5010,$A27,'Lançamentos'!$C$2:$C$5010,H$24)</f>
        <v/>
      </c>
      <c r="I27" s="9">
        <f>SUMIFS('Lançamentos'!$L$2:$L$5010,'Lançamentos'!$A$2:$A$5010,"Insumos e papel",'Lançamentos'!$H$2:$H$5010,$A27,'Lançamentos'!$C$2:$C$5010,I$24)</f>
        <v/>
      </c>
      <c r="J27" s="9">
        <f>SUMIFS('Lançamentos'!$L$2:$L$5010,'Lançamentos'!$A$2:$A$5010,"Insumos e papel",'Lançamentos'!$H$2:$H$5010,$A27,'Lançamentos'!$C$2:$C$5010,J$24)</f>
        <v/>
      </c>
      <c r="K27" s="9">
        <f>SUM(B27:J27)</f>
        <v/>
      </c>
      <c r="L27" s="10">
        <f>K27/K$61</f>
        <v/>
      </c>
      <c r="M27" s="9">
        <f>SUMIFS('Lançamentos'!$L$2:$L$5010,'Lançamentos'!$A$2:$A$5010,"Insumos e papel",'Lançamentos'!$H$2:$H$5010,$A27,'Lançamentos'!$C$2:$C$5010,"Antes de 2026")</f>
        <v/>
      </c>
      <c r="N27" s="9">
        <f>SUMIFS('Lançamentos'!$J$2:$J$5010,'Lançamentos'!$A$2:$A$5010,"Insumos e papel",'Lançamentos'!$H$2:$H$5010,$A27,'Lançamentos'!$D$2:$D$5010,"Em 2026")</f>
        <v/>
      </c>
      <c r="O27" s="9">
        <f>SUMIFS('Lançamentos'!$K$2:$K$5010,'Lançamentos'!$A$2:$A$5010,"Insumos e papel",'Lançamentos'!$H$2:$H$5010,$A27,'Lançamentos'!$D$2:$D$5010,"Em 2026")</f>
        <v/>
      </c>
      <c r="P27" s="26">
        <f>COUNTIFS('Lançamentos'!$A$2:$A$5010,"Insumos e papel",'Lançamentos'!$H$2:$H$5010,$A27,'Lançamentos'!$D$2:$D$5010,"Em 2026")</f>
        <v/>
      </c>
    </row>
    <row r="28">
      <c r="A28" t="inlineStr">
        <is>
          <t>COLAMID</t>
        </is>
      </c>
      <c r="B28" s="9">
        <f>SUMIFS('Lançamentos'!$L$2:$L$5010,'Lançamentos'!$A$2:$A$5010,"Insumos e papel",'Lançamentos'!$H$2:$H$5010,$A28,'Lançamentos'!$C$2:$C$5010,B$24)</f>
        <v/>
      </c>
      <c r="C28" s="9">
        <f>SUMIFS('Lançamentos'!$L$2:$L$5010,'Lançamentos'!$A$2:$A$5010,"Insumos e papel",'Lançamentos'!$H$2:$H$5010,$A28,'Lançamentos'!$C$2:$C$5010,C$24)</f>
        <v/>
      </c>
      <c r="D28" s="9">
        <f>SUMIFS('Lançamentos'!$L$2:$L$5010,'Lançamentos'!$A$2:$A$5010,"Insumos e papel",'Lançamentos'!$H$2:$H$5010,$A28,'Lançamentos'!$C$2:$C$5010,D$24)</f>
        <v/>
      </c>
      <c r="E28" s="9">
        <f>SUMIFS('Lançamentos'!$L$2:$L$5010,'Lançamentos'!$A$2:$A$5010,"Insumos e papel",'Lançamentos'!$H$2:$H$5010,$A28,'Lançamentos'!$C$2:$C$5010,E$24)</f>
        <v/>
      </c>
      <c r="F28" s="9">
        <f>SUMIFS('Lançamentos'!$L$2:$L$5010,'Lançamentos'!$A$2:$A$5010,"Insumos e papel",'Lançamentos'!$H$2:$H$5010,$A28,'Lançamentos'!$C$2:$C$5010,F$24)</f>
        <v/>
      </c>
      <c r="G28" s="9">
        <f>SUMIFS('Lançamentos'!$L$2:$L$5010,'Lançamentos'!$A$2:$A$5010,"Insumos e papel",'Lançamentos'!$H$2:$H$5010,$A28,'Lançamentos'!$C$2:$C$5010,G$24)</f>
        <v/>
      </c>
      <c r="H28" s="9">
        <f>SUMIFS('Lançamentos'!$L$2:$L$5010,'Lançamentos'!$A$2:$A$5010,"Insumos e papel",'Lançamentos'!$H$2:$H$5010,$A28,'Lançamentos'!$C$2:$C$5010,H$24)</f>
        <v/>
      </c>
      <c r="I28" s="9">
        <f>SUMIFS('Lançamentos'!$L$2:$L$5010,'Lançamentos'!$A$2:$A$5010,"Insumos e papel",'Lançamentos'!$H$2:$H$5010,$A28,'Lançamentos'!$C$2:$C$5010,I$24)</f>
        <v/>
      </c>
      <c r="J28" s="9">
        <f>SUMIFS('Lançamentos'!$L$2:$L$5010,'Lançamentos'!$A$2:$A$5010,"Insumos e papel",'Lançamentos'!$H$2:$H$5010,$A28,'Lançamentos'!$C$2:$C$5010,J$24)</f>
        <v/>
      </c>
      <c r="K28" s="9">
        <f>SUM(B28:J28)</f>
        <v/>
      </c>
      <c r="L28" s="10">
        <f>K28/K$61</f>
        <v/>
      </c>
      <c r="M28" s="9">
        <f>SUMIFS('Lançamentos'!$L$2:$L$5010,'Lançamentos'!$A$2:$A$5010,"Insumos e papel",'Lançamentos'!$H$2:$H$5010,$A28,'Lançamentos'!$C$2:$C$5010,"Antes de 2026")</f>
        <v/>
      </c>
      <c r="N28" s="9">
        <f>SUMIFS('Lançamentos'!$J$2:$J$5010,'Lançamentos'!$A$2:$A$5010,"Insumos e papel",'Lançamentos'!$H$2:$H$5010,$A28,'Lançamentos'!$D$2:$D$5010,"Em 2026")</f>
        <v/>
      </c>
      <c r="O28" s="9">
        <f>SUMIFS('Lançamentos'!$K$2:$K$5010,'Lançamentos'!$A$2:$A$5010,"Insumos e papel",'Lançamentos'!$H$2:$H$5010,$A28,'Lançamentos'!$D$2:$D$5010,"Em 2026")</f>
        <v/>
      </c>
      <c r="P28" s="26">
        <f>COUNTIFS('Lançamentos'!$A$2:$A$5010,"Insumos e papel",'Lançamentos'!$H$2:$H$5010,$A28,'Lançamentos'!$D$2:$D$5010,"Em 2026")</f>
        <v/>
      </c>
    </row>
    <row r="29">
      <c r="A29" t="inlineStr">
        <is>
          <t>SANTA MARIA CIA DE PAPEL E CELULOSE</t>
        </is>
      </c>
      <c r="B29" s="9">
        <f>SUMIFS('Lançamentos'!$L$2:$L$5010,'Lançamentos'!$A$2:$A$5010,"Insumos e papel",'Lançamentos'!$H$2:$H$5010,$A29,'Lançamentos'!$C$2:$C$5010,B$24)</f>
        <v/>
      </c>
      <c r="C29" s="9">
        <f>SUMIFS('Lançamentos'!$L$2:$L$5010,'Lançamentos'!$A$2:$A$5010,"Insumos e papel",'Lançamentos'!$H$2:$H$5010,$A29,'Lançamentos'!$C$2:$C$5010,C$24)</f>
        <v/>
      </c>
      <c r="D29" s="9">
        <f>SUMIFS('Lançamentos'!$L$2:$L$5010,'Lançamentos'!$A$2:$A$5010,"Insumos e papel",'Lançamentos'!$H$2:$H$5010,$A29,'Lançamentos'!$C$2:$C$5010,D$24)</f>
        <v/>
      </c>
      <c r="E29" s="9">
        <f>SUMIFS('Lançamentos'!$L$2:$L$5010,'Lançamentos'!$A$2:$A$5010,"Insumos e papel",'Lançamentos'!$H$2:$H$5010,$A29,'Lançamentos'!$C$2:$C$5010,E$24)</f>
        <v/>
      </c>
      <c r="F29" s="9">
        <f>SUMIFS('Lançamentos'!$L$2:$L$5010,'Lançamentos'!$A$2:$A$5010,"Insumos e papel",'Lançamentos'!$H$2:$H$5010,$A29,'Lançamentos'!$C$2:$C$5010,F$24)</f>
        <v/>
      </c>
      <c r="G29" s="9">
        <f>SUMIFS('Lançamentos'!$L$2:$L$5010,'Lançamentos'!$A$2:$A$5010,"Insumos e papel",'Lançamentos'!$H$2:$H$5010,$A29,'Lançamentos'!$C$2:$C$5010,G$24)</f>
        <v/>
      </c>
      <c r="H29" s="9">
        <f>SUMIFS('Lançamentos'!$L$2:$L$5010,'Lançamentos'!$A$2:$A$5010,"Insumos e papel",'Lançamentos'!$H$2:$H$5010,$A29,'Lançamentos'!$C$2:$C$5010,H$24)</f>
        <v/>
      </c>
      <c r="I29" s="9">
        <f>SUMIFS('Lançamentos'!$L$2:$L$5010,'Lançamentos'!$A$2:$A$5010,"Insumos e papel",'Lançamentos'!$H$2:$H$5010,$A29,'Lançamentos'!$C$2:$C$5010,I$24)</f>
        <v/>
      </c>
      <c r="J29" s="9">
        <f>SUMIFS('Lançamentos'!$L$2:$L$5010,'Lançamentos'!$A$2:$A$5010,"Insumos e papel",'Lançamentos'!$H$2:$H$5010,$A29,'Lançamentos'!$C$2:$C$5010,J$24)</f>
        <v/>
      </c>
      <c r="K29" s="9">
        <f>SUM(B29:J29)</f>
        <v/>
      </c>
      <c r="L29" s="10">
        <f>K29/K$61</f>
        <v/>
      </c>
      <c r="M29" s="9">
        <f>SUMIFS('Lançamentos'!$L$2:$L$5010,'Lançamentos'!$A$2:$A$5010,"Insumos e papel",'Lançamentos'!$H$2:$H$5010,$A29,'Lançamentos'!$C$2:$C$5010,"Antes de 2026")</f>
        <v/>
      </c>
      <c r="N29" s="9">
        <f>SUMIFS('Lançamentos'!$J$2:$J$5010,'Lançamentos'!$A$2:$A$5010,"Insumos e papel",'Lançamentos'!$H$2:$H$5010,$A29,'Lançamentos'!$D$2:$D$5010,"Em 2026")</f>
        <v/>
      </c>
      <c r="O29" s="9">
        <f>SUMIFS('Lançamentos'!$K$2:$K$5010,'Lançamentos'!$A$2:$A$5010,"Insumos e papel",'Lançamentos'!$H$2:$H$5010,$A29,'Lançamentos'!$D$2:$D$5010,"Em 2026")</f>
        <v/>
      </c>
      <c r="P29" s="26">
        <f>COUNTIFS('Lançamentos'!$A$2:$A$5010,"Insumos e papel",'Lançamentos'!$H$2:$H$5010,$A29,'Lançamentos'!$D$2:$D$5010,"Em 2026")</f>
        <v/>
      </c>
    </row>
    <row r="30">
      <c r="A30" t="inlineStr">
        <is>
          <t>ALSTEK SOLUCOES EM EMBALAGENS LTDA</t>
        </is>
      </c>
      <c r="B30" s="9">
        <f>SUMIFS('Lançamentos'!$L$2:$L$5010,'Lançamentos'!$A$2:$A$5010,"Insumos e papel",'Lançamentos'!$H$2:$H$5010,$A30,'Lançamentos'!$C$2:$C$5010,B$24)</f>
        <v/>
      </c>
      <c r="C30" s="9">
        <f>SUMIFS('Lançamentos'!$L$2:$L$5010,'Lançamentos'!$A$2:$A$5010,"Insumos e papel",'Lançamentos'!$H$2:$H$5010,$A30,'Lançamentos'!$C$2:$C$5010,C$24)</f>
        <v/>
      </c>
      <c r="D30" s="9">
        <f>SUMIFS('Lançamentos'!$L$2:$L$5010,'Lançamentos'!$A$2:$A$5010,"Insumos e papel",'Lançamentos'!$H$2:$H$5010,$A30,'Lançamentos'!$C$2:$C$5010,D$24)</f>
        <v/>
      </c>
      <c r="E30" s="9">
        <f>SUMIFS('Lançamentos'!$L$2:$L$5010,'Lançamentos'!$A$2:$A$5010,"Insumos e papel",'Lançamentos'!$H$2:$H$5010,$A30,'Lançamentos'!$C$2:$C$5010,E$24)</f>
        <v/>
      </c>
      <c r="F30" s="9">
        <f>SUMIFS('Lançamentos'!$L$2:$L$5010,'Lançamentos'!$A$2:$A$5010,"Insumos e papel",'Lançamentos'!$H$2:$H$5010,$A30,'Lançamentos'!$C$2:$C$5010,F$24)</f>
        <v/>
      </c>
      <c r="G30" s="9">
        <f>SUMIFS('Lançamentos'!$L$2:$L$5010,'Lançamentos'!$A$2:$A$5010,"Insumos e papel",'Lançamentos'!$H$2:$H$5010,$A30,'Lançamentos'!$C$2:$C$5010,G$24)</f>
        <v/>
      </c>
      <c r="H30" s="9">
        <f>SUMIFS('Lançamentos'!$L$2:$L$5010,'Lançamentos'!$A$2:$A$5010,"Insumos e papel",'Lançamentos'!$H$2:$H$5010,$A30,'Lançamentos'!$C$2:$C$5010,H$24)</f>
        <v/>
      </c>
      <c r="I30" s="9">
        <f>SUMIFS('Lançamentos'!$L$2:$L$5010,'Lançamentos'!$A$2:$A$5010,"Insumos e papel",'Lançamentos'!$H$2:$H$5010,$A30,'Lançamentos'!$C$2:$C$5010,I$24)</f>
        <v/>
      </c>
      <c r="J30" s="9">
        <f>SUMIFS('Lançamentos'!$L$2:$L$5010,'Lançamentos'!$A$2:$A$5010,"Insumos e papel",'Lançamentos'!$H$2:$H$5010,$A30,'Lançamentos'!$C$2:$C$5010,J$24)</f>
        <v/>
      </c>
      <c r="K30" s="9">
        <f>SUM(B30:J30)</f>
        <v/>
      </c>
      <c r="L30" s="10">
        <f>K30/K$61</f>
        <v/>
      </c>
      <c r="M30" s="9">
        <f>SUMIFS('Lançamentos'!$L$2:$L$5010,'Lançamentos'!$A$2:$A$5010,"Insumos e papel",'Lançamentos'!$H$2:$H$5010,$A30,'Lançamentos'!$C$2:$C$5010,"Antes de 2026")</f>
        <v/>
      </c>
      <c r="N30" s="9">
        <f>SUMIFS('Lançamentos'!$J$2:$J$5010,'Lançamentos'!$A$2:$A$5010,"Insumos e papel",'Lançamentos'!$H$2:$H$5010,$A30,'Lançamentos'!$D$2:$D$5010,"Em 2026")</f>
        <v/>
      </c>
      <c r="O30" s="9">
        <f>SUMIFS('Lançamentos'!$K$2:$K$5010,'Lançamentos'!$A$2:$A$5010,"Insumos e papel",'Lançamentos'!$H$2:$H$5010,$A30,'Lançamentos'!$D$2:$D$5010,"Em 2026")</f>
        <v/>
      </c>
      <c r="P30" s="26">
        <f>COUNTIFS('Lançamentos'!$A$2:$A$5010,"Insumos e papel",'Lançamentos'!$H$2:$H$5010,$A30,'Lançamentos'!$D$2:$D$5010,"Em 2026")</f>
        <v/>
      </c>
    </row>
    <row r="31">
      <c r="A31" t="inlineStr">
        <is>
          <t>REQUIM PRODUTOS QUIMICOS LTDA</t>
        </is>
      </c>
      <c r="B31" s="9">
        <f>SUMIFS('Lançamentos'!$L$2:$L$5010,'Lançamentos'!$A$2:$A$5010,"Insumos e papel",'Lançamentos'!$H$2:$H$5010,$A31,'Lançamentos'!$C$2:$C$5010,B$24)</f>
        <v/>
      </c>
      <c r="C31" s="9">
        <f>SUMIFS('Lançamentos'!$L$2:$L$5010,'Lançamentos'!$A$2:$A$5010,"Insumos e papel",'Lançamentos'!$H$2:$H$5010,$A31,'Lançamentos'!$C$2:$C$5010,C$24)</f>
        <v/>
      </c>
      <c r="D31" s="9">
        <f>SUMIFS('Lançamentos'!$L$2:$L$5010,'Lançamentos'!$A$2:$A$5010,"Insumos e papel",'Lançamentos'!$H$2:$H$5010,$A31,'Lançamentos'!$C$2:$C$5010,D$24)</f>
        <v/>
      </c>
      <c r="E31" s="9">
        <f>SUMIFS('Lançamentos'!$L$2:$L$5010,'Lançamentos'!$A$2:$A$5010,"Insumos e papel",'Lançamentos'!$H$2:$H$5010,$A31,'Lançamentos'!$C$2:$C$5010,E$24)</f>
        <v/>
      </c>
      <c r="F31" s="9">
        <f>SUMIFS('Lançamentos'!$L$2:$L$5010,'Lançamentos'!$A$2:$A$5010,"Insumos e papel",'Lançamentos'!$H$2:$H$5010,$A31,'Lançamentos'!$C$2:$C$5010,F$24)</f>
        <v/>
      </c>
      <c r="G31" s="9">
        <f>SUMIFS('Lançamentos'!$L$2:$L$5010,'Lançamentos'!$A$2:$A$5010,"Insumos e papel",'Lançamentos'!$H$2:$H$5010,$A31,'Lançamentos'!$C$2:$C$5010,G$24)</f>
        <v/>
      </c>
      <c r="H31" s="9">
        <f>SUMIFS('Lançamentos'!$L$2:$L$5010,'Lançamentos'!$A$2:$A$5010,"Insumos e papel",'Lançamentos'!$H$2:$H$5010,$A31,'Lançamentos'!$C$2:$C$5010,H$24)</f>
        <v/>
      </c>
      <c r="I31" s="9">
        <f>SUMIFS('Lançamentos'!$L$2:$L$5010,'Lançamentos'!$A$2:$A$5010,"Insumos e papel",'Lançamentos'!$H$2:$H$5010,$A31,'Lançamentos'!$C$2:$C$5010,I$24)</f>
        <v/>
      </c>
      <c r="J31" s="9">
        <f>SUMIFS('Lançamentos'!$L$2:$L$5010,'Lançamentos'!$A$2:$A$5010,"Insumos e papel",'Lançamentos'!$H$2:$H$5010,$A31,'Lançamentos'!$C$2:$C$5010,J$24)</f>
        <v/>
      </c>
      <c r="K31" s="9">
        <f>SUM(B31:J31)</f>
        <v/>
      </c>
      <c r="L31" s="10">
        <f>K31/K$61</f>
        <v/>
      </c>
      <c r="M31" s="9">
        <f>SUMIFS('Lançamentos'!$L$2:$L$5010,'Lançamentos'!$A$2:$A$5010,"Insumos e papel",'Lançamentos'!$H$2:$H$5010,$A31,'Lançamentos'!$C$2:$C$5010,"Antes de 2026")</f>
        <v/>
      </c>
      <c r="N31" s="9">
        <f>SUMIFS('Lançamentos'!$J$2:$J$5010,'Lançamentos'!$A$2:$A$5010,"Insumos e papel",'Lançamentos'!$H$2:$H$5010,$A31,'Lançamentos'!$D$2:$D$5010,"Em 2026")</f>
        <v/>
      </c>
      <c r="O31" s="9">
        <f>SUMIFS('Lançamentos'!$K$2:$K$5010,'Lançamentos'!$A$2:$A$5010,"Insumos e papel",'Lançamentos'!$H$2:$H$5010,$A31,'Lançamentos'!$D$2:$D$5010,"Em 2026")</f>
        <v/>
      </c>
      <c r="P31" s="26">
        <f>COUNTIFS('Lançamentos'!$A$2:$A$5010,"Insumos e papel",'Lançamentos'!$H$2:$H$5010,$A31,'Lançamentos'!$D$2:$D$5010,"Em 2026")</f>
        <v/>
      </c>
    </row>
    <row r="32">
      <c r="A32" t="inlineStr">
        <is>
          <t>IRANI PAPEL E EMBALAGEM S.A.</t>
        </is>
      </c>
      <c r="B32" s="9">
        <f>SUMIFS('Lançamentos'!$L$2:$L$5010,'Lançamentos'!$A$2:$A$5010,"Insumos e papel",'Lançamentos'!$H$2:$H$5010,$A32,'Lançamentos'!$C$2:$C$5010,B$24)</f>
        <v/>
      </c>
      <c r="C32" s="9">
        <f>SUMIFS('Lançamentos'!$L$2:$L$5010,'Lançamentos'!$A$2:$A$5010,"Insumos e papel",'Lançamentos'!$H$2:$H$5010,$A32,'Lançamentos'!$C$2:$C$5010,C$24)</f>
        <v/>
      </c>
      <c r="D32" s="9">
        <f>SUMIFS('Lançamentos'!$L$2:$L$5010,'Lançamentos'!$A$2:$A$5010,"Insumos e papel",'Lançamentos'!$H$2:$H$5010,$A32,'Lançamentos'!$C$2:$C$5010,D$24)</f>
        <v/>
      </c>
      <c r="E32" s="9">
        <f>SUMIFS('Lançamentos'!$L$2:$L$5010,'Lançamentos'!$A$2:$A$5010,"Insumos e papel",'Lançamentos'!$H$2:$H$5010,$A32,'Lançamentos'!$C$2:$C$5010,E$24)</f>
        <v/>
      </c>
      <c r="F32" s="9">
        <f>SUMIFS('Lançamentos'!$L$2:$L$5010,'Lançamentos'!$A$2:$A$5010,"Insumos e papel",'Lançamentos'!$H$2:$H$5010,$A32,'Lançamentos'!$C$2:$C$5010,F$24)</f>
        <v/>
      </c>
      <c r="G32" s="9">
        <f>SUMIFS('Lançamentos'!$L$2:$L$5010,'Lançamentos'!$A$2:$A$5010,"Insumos e papel",'Lançamentos'!$H$2:$H$5010,$A32,'Lançamentos'!$C$2:$C$5010,G$24)</f>
        <v/>
      </c>
      <c r="H32" s="9">
        <f>SUMIFS('Lançamentos'!$L$2:$L$5010,'Lançamentos'!$A$2:$A$5010,"Insumos e papel",'Lançamentos'!$H$2:$H$5010,$A32,'Lançamentos'!$C$2:$C$5010,H$24)</f>
        <v/>
      </c>
      <c r="I32" s="9">
        <f>SUMIFS('Lançamentos'!$L$2:$L$5010,'Lançamentos'!$A$2:$A$5010,"Insumos e papel",'Lançamentos'!$H$2:$H$5010,$A32,'Lançamentos'!$C$2:$C$5010,I$24)</f>
        <v/>
      </c>
      <c r="J32" s="9">
        <f>SUMIFS('Lançamentos'!$L$2:$L$5010,'Lançamentos'!$A$2:$A$5010,"Insumos e papel",'Lançamentos'!$H$2:$H$5010,$A32,'Lançamentos'!$C$2:$C$5010,J$24)</f>
        <v/>
      </c>
      <c r="K32" s="9">
        <f>SUM(B32:J32)</f>
        <v/>
      </c>
      <c r="L32" s="10">
        <f>K32/K$61</f>
        <v/>
      </c>
      <c r="M32" s="9">
        <f>SUMIFS('Lançamentos'!$L$2:$L$5010,'Lançamentos'!$A$2:$A$5010,"Insumos e papel",'Lançamentos'!$H$2:$H$5010,$A32,'Lançamentos'!$C$2:$C$5010,"Antes de 2026")</f>
        <v/>
      </c>
      <c r="N32" s="9">
        <f>SUMIFS('Lançamentos'!$J$2:$J$5010,'Lançamentos'!$A$2:$A$5010,"Insumos e papel",'Lançamentos'!$H$2:$H$5010,$A32,'Lançamentos'!$D$2:$D$5010,"Em 2026")</f>
        <v/>
      </c>
      <c r="O32" s="9">
        <f>SUMIFS('Lançamentos'!$K$2:$K$5010,'Lançamentos'!$A$2:$A$5010,"Insumos e papel",'Lançamentos'!$H$2:$H$5010,$A32,'Lançamentos'!$D$2:$D$5010,"Em 2026")</f>
        <v/>
      </c>
      <c r="P32" s="26">
        <f>COUNTIFS('Lançamentos'!$A$2:$A$5010,"Insumos e papel",'Lançamentos'!$H$2:$H$5010,$A32,'Lançamentos'!$D$2:$D$5010,"Em 2026")</f>
        <v/>
      </c>
    </row>
    <row r="33">
      <c r="A33" t="inlineStr">
        <is>
          <t>FITTYCOR - INDUSTRIA E COMERCIO DE TINTAS ESPECIAIS LTDA</t>
        </is>
      </c>
      <c r="B33" s="9">
        <f>SUMIFS('Lançamentos'!$L$2:$L$5010,'Lançamentos'!$A$2:$A$5010,"Insumos e papel",'Lançamentos'!$H$2:$H$5010,$A33,'Lançamentos'!$C$2:$C$5010,B$24)</f>
        <v/>
      </c>
      <c r="C33" s="9">
        <f>SUMIFS('Lançamentos'!$L$2:$L$5010,'Lançamentos'!$A$2:$A$5010,"Insumos e papel",'Lançamentos'!$H$2:$H$5010,$A33,'Lançamentos'!$C$2:$C$5010,C$24)</f>
        <v/>
      </c>
      <c r="D33" s="9">
        <f>SUMIFS('Lançamentos'!$L$2:$L$5010,'Lançamentos'!$A$2:$A$5010,"Insumos e papel",'Lançamentos'!$H$2:$H$5010,$A33,'Lançamentos'!$C$2:$C$5010,D$24)</f>
        <v/>
      </c>
      <c r="E33" s="9">
        <f>SUMIFS('Lançamentos'!$L$2:$L$5010,'Lançamentos'!$A$2:$A$5010,"Insumos e papel",'Lançamentos'!$H$2:$H$5010,$A33,'Lançamentos'!$C$2:$C$5010,E$24)</f>
        <v/>
      </c>
      <c r="F33" s="9">
        <f>SUMIFS('Lançamentos'!$L$2:$L$5010,'Lançamentos'!$A$2:$A$5010,"Insumos e papel",'Lançamentos'!$H$2:$H$5010,$A33,'Lançamentos'!$C$2:$C$5010,F$24)</f>
        <v/>
      </c>
      <c r="G33" s="9">
        <f>SUMIFS('Lançamentos'!$L$2:$L$5010,'Lançamentos'!$A$2:$A$5010,"Insumos e papel",'Lançamentos'!$H$2:$H$5010,$A33,'Lançamentos'!$C$2:$C$5010,G$24)</f>
        <v/>
      </c>
      <c r="H33" s="9">
        <f>SUMIFS('Lançamentos'!$L$2:$L$5010,'Lançamentos'!$A$2:$A$5010,"Insumos e papel",'Lançamentos'!$H$2:$H$5010,$A33,'Lançamentos'!$C$2:$C$5010,H$24)</f>
        <v/>
      </c>
      <c r="I33" s="9">
        <f>SUMIFS('Lançamentos'!$L$2:$L$5010,'Lançamentos'!$A$2:$A$5010,"Insumos e papel",'Lançamentos'!$H$2:$H$5010,$A33,'Lançamentos'!$C$2:$C$5010,I$24)</f>
        <v/>
      </c>
      <c r="J33" s="9">
        <f>SUMIFS('Lançamentos'!$L$2:$L$5010,'Lançamentos'!$A$2:$A$5010,"Insumos e papel",'Lançamentos'!$H$2:$H$5010,$A33,'Lançamentos'!$C$2:$C$5010,J$24)</f>
        <v/>
      </c>
      <c r="K33" s="9">
        <f>SUM(B33:J33)</f>
        <v/>
      </c>
      <c r="L33" s="10">
        <f>K33/K$61</f>
        <v/>
      </c>
      <c r="M33" s="9">
        <f>SUMIFS('Lançamentos'!$L$2:$L$5010,'Lançamentos'!$A$2:$A$5010,"Insumos e papel",'Lançamentos'!$H$2:$H$5010,$A33,'Lançamentos'!$C$2:$C$5010,"Antes de 2026")</f>
        <v/>
      </c>
      <c r="N33" s="9">
        <f>SUMIFS('Lançamentos'!$J$2:$J$5010,'Lançamentos'!$A$2:$A$5010,"Insumos e papel",'Lançamentos'!$H$2:$H$5010,$A33,'Lançamentos'!$D$2:$D$5010,"Em 2026")</f>
        <v/>
      </c>
      <c r="O33" s="9">
        <f>SUMIFS('Lançamentos'!$K$2:$K$5010,'Lançamentos'!$A$2:$A$5010,"Insumos e papel",'Lançamentos'!$H$2:$H$5010,$A33,'Lançamentos'!$D$2:$D$5010,"Em 2026")</f>
        <v/>
      </c>
      <c r="P33" s="26">
        <f>COUNTIFS('Lançamentos'!$A$2:$A$5010,"Insumos e papel",'Lançamentos'!$H$2:$H$5010,$A33,'Lançamentos'!$D$2:$D$5010,"Em 2026")</f>
        <v/>
      </c>
    </row>
    <row r="34">
      <c r="A34" t="inlineStr">
        <is>
          <t>BR EMBALAGENS INDUSTRIA E COMERCIO LTDA</t>
        </is>
      </c>
      <c r="B34" s="9">
        <f>SUMIFS('Lançamentos'!$L$2:$L$5010,'Lançamentos'!$A$2:$A$5010,"Insumos e papel",'Lançamentos'!$H$2:$H$5010,$A34,'Lançamentos'!$C$2:$C$5010,B$24)</f>
        <v/>
      </c>
      <c r="C34" s="9">
        <f>SUMIFS('Lançamentos'!$L$2:$L$5010,'Lançamentos'!$A$2:$A$5010,"Insumos e papel",'Lançamentos'!$H$2:$H$5010,$A34,'Lançamentos'!$C$2:$C$5010,C$24)</f>
        <v/>
      </c>
      <c r="D34" s="9">
        <f>SUMIFS('Lançamentos'!$L$2:$L$5010,'Lançamentos'!$A$2:$A$5010,"Insumos e papel",'Lançamentos'!$H$2:$H$5010,$A34,'Lançamentos'!$C$2:$C$5010,D$24)</f>
        <v/>
      </c>
      <c r="E34" s="9">
        <f>SUMIFS('Lançamentos'!$L$2:$L$5010,'Lançamentos'!$A$2:$A$5010,"Insumos e papel",'Lançamentos'!$H$2:$H$5010,$A34,'Lançamentos'!$C$2:$C$5010,E$24)</f>
        <v/>
      </c>
      <c r="F34" s="9">
        <f>SUMIFS('Lançamentos'!$L$2:$L$5010,'Lançamentos'!$A$2:$A$5010,"Insumos e papel",'Lançamentos'!$H$2:$H$5010,$A34,'Lançamentos'!$C$2:$C$5010,F$24)</f>
        <v/>
      </c>
      <c r="G34" s="9">
        <f>SUMIFS('Lançamentos'!$L$2:$L$5010,'Lançamentos'!$A$2:$A$5010,"Insumos e papel",'Lançamentos'!$H$2:$H$5010,$A34,'Lançamentos'!$C$2:$C$5010,G$24)</f>
        <v/>
      </c>
      <c r="H34" s="9">
        <f>SUMIFS('Lançamentos'!$L$2:$L$5010,'Lançamentos'!$A$2:$A$5010,"Insumos e papel",'Lançamentos'!$H$2:$H$5010,$A34,'Lançamentos'!$C$2:$C$5010,H$24)</f>
        <v/>
      </c>
      <c r="I34" s="9">
        <f>SUMIFS('Lançamentos'!$L$2:$L$5010,'Lançamentos'!$A$2:$A$5010,"Insumos e papel",'Lançamentos'!$H$2:$H$5010,$A34,'Lançamentos'!$C$2:$C$5010,I$24)</f>
        <v/>
      </c>
      <c r="J34" s="9">
        <f>SUMIFS('Lançamentos'!$L$2:$L$5010,'Lançamentos'!$A$2:$A$5010,"Insumos e papel",'Lançamentos'!$H$2:$H$5010,$A34,'Lançamentos'!$C$2:$C$5010,J$24)</f>
        <v/>
      </c>
      <c r="K34" s="9">
        <f>SUM(B34:J34)</f>
        <v/>
      </c>
      <c r="L34" s="10">
        <f>K34/K$61</f>
        <v/>
      </c>
      <c r="M34" s="9">
        <f>SUMIFS('Lançamentos'!$L$2:$L$5010,'Lançamentos'!$A$2:$A$5010,"Insumos e papel",'Lançamentos'!$H$2:$H$5010,$A34,'Lançamentos'!$C$2:$C$5010,"Antes de 2026")</f>
        <v/>
      </c>
      <c r="N34" s="9">
        <f>SUMIFS('Lançamentos'!$J$2:$J$5010,'Lançamentos'!$A$2:$A$5010,"Insumos e papel",'Lançamentos'!$H$2:$H$5010,$A34,'Lançamentos'!$D$2:$D$5010,"Em 2026")</f>
        <v/>
      </c>
      <c r="O34" s="9">
        <f>SUMIFS('Lançamentos'!$K$2:$K$5010,'Lançamentos'!$A$2:$A$5010,"Insumos e papel",'Lançamentos'!$H$2:$H$5010,$A34,'Lançamentos'!$D$2:$D$5010,"Em 2026")</f>
        <v/>
      </c>
      <c r="P34" s="26">
        <f>COUNTIFS('Lançamentos'!$A$2:$A$5010,"Insumos e papel",'Lançamentos'!$H$2:$H$5010,$A34,'Lançamentos'!$D$2:$D$5010,"Em 2026")</f>
        <v/>
      </c>
    </row>
    <row r="35">
      <c r="A35" t="inlineStr">
        <is>
          <t>GDM INDUSTRIA E COMERCIO DE PLASTICOS LTDA.</t>
        </is>
      </c>
      <c r="B35" s="9">
        <f>SUMIFS('Lançamentos'!$L$2:$L$5010,'Lançamentos'!$A$2:$A$5010,"Insumos e papel",'Lançamentos'!$H$2:$H$5010,$A35,'Lançamentos'!$C$2:$C$5010,B$24)</f>
        <v/>
      </c>
      <c r="C35" s="9">
        <f>SUMIFS('Lançamentos'!$L$2:$L$5010,'Lançamentos'!$A$2:$A$5010,"Insumos e papel",'Lançamentos'!$H$2:$H$5010,$A35,'Lançamentos'!$C$2:$C$5010,C$24)</f>
        <v/>
      </c>
      <c r="D35" s="9">
        <f>SUMIFS('Lançamentos'!$L$2:$L$5010,'Lançamentos'!$A$2:$A$5010,"Insumos e papel",'Lançamentos'!$H$2:$H$5010,$A35,'Lançamentos'!$C$2:$C$5010,D$24)</f>
        <v/>
      </c>
      <c r="E35" s="9">
        <f>SUMIFS('Lançamentos'!$L$2:$L$5010,'Lançamentos'!$A$2:$A$5010,"Insumos e papel",'Lançamentos'!$H$2:$H$5010,$A35,'Lançamentos'!$C$2:$C$5010,E$24)</f>
        <v/>
      </c>
      <c r="F35" s="9">
        <f>SUMIFS('Lançamentos'!$L$2:$L$5010,'Lançamentos'!$A$2:$A$5010,"Insumos e papel",'Lançamentos'!$H$2:$H$5010,$A35,'Lançamentos'!$C$2:$C$5010,F$24)</f>
        <v/>
      </c>
      <c r="G35" s="9">
        <f>SUMIFS('Lançamentos'!$L$2:$L$5010,'Lançamentos'!$A$2:$A$5010,"Insumos e papel",'Lançamentos'!$H$2:$H$5010,$A35,'Lançamentos'!$C$2:$C$5010,G$24)</f>
        <v/>
      </c>
      <c r="H35" s="9">
        <f>SUMIFS('Lançamentos'!$L$2:$L$5010,'Lançamentos'!$A$2:$A$5010,"Insumos e papel",'Lançamentos'!$H$2:$H$5010,$A35,'Lançamentos'!$C$2:$C$5010,H$24)</f>
        <v/>
      </c>
      <c r="I35" s="9">
        <f>SUMIFS('Lançamentos'!$L$2:$L$5010,'Lançamentos'!$A$2:$A$5010,"Insumos e papel",'Lançamentos'!$H$2:$H$5010,$A35,'Lançamentos'!$C$2:$C$5010,I$24)</f>
        <v/>
      </c>
      <c r="J35" s="9">
        <f>SUMIFS('Lançamentos'!$L$2:$L$5010,'Lançamentos'!$A$2:$A$5010,"Insumos e papel",'Lançamentos'!$H$2:$H$5010,$A35,'Lançamentos'!$C$2:$C$5010,J$24)</f>
        <v/>
      </c>
      <c r="K35" s="9">
        <f>SUM(B35:J35)</f>
        <v/>
      </c>
      <c r="L35" s="10">
        <f>K35/K$61</f>
        <v/>
      </c>
      <c r="M35" s="9">
        <f>SUMIFS('Lançamentos'!$L$2:$L$5010,'Lançamentos'!$A$2:$A$5010,"Insumos e papel",'Lançamentos'!$H$2:$H$5010,$A35,'Lançamentos'!$C$2:$C$5010,"Antes de 2026")</f>
        <v/>
      </c>
      <c r="N35" s="9">
        <f>SUMIFS('Lançamentos'!$J$2:$J$5010,'Lançamentos'!$A$2:$A$5010,"Insumos e papel",'Lançamentos'!$H$2:$H$5010,$A35,'Lançamentos'!$D$2:$D$5010,"Em 2026")</f>
        <v/>
      </c>
      <c r="O35" s="9">
        <f>SUMIFS('Lançamentos'!$K$2:$K$5010,'Lançamentos'!$A$2:$A$5010,"Insumos e papel",'Lançamentos'!$H$2:$H$5010,$A35,'Lançamentos'!$D$2:$D$5010,"Em 2026")</f>
        <v/>
      </c>
      <c r="P35" s="26">
        <f>COUNTIFS('Lançamentos'!$A$2:$A$5010,"Insumos e papel",'Lançamentos'!$H$2:$H$5010,$A35,'Lançamentos'!$D$2:$D$5010,"Em 2026")</f>
        <v/>
      </c>
    </row>
    <row r="36">
      <c r="A36" t="inlineStr">
        <is>
          <t>ANIN INDUSTRIA E COMERCIO DE PAPEL LTDA</t>
        </is>
      </c>
      <c r="B36" s="9">
        <f>SUMIFS('Lançamentos'!$L$2:$L$5010,'Lançamentos'!$A$2:$A$5010,"Insumos e papel",'Lançamentos'!$H$2:$H$5010,$A36,'Lançamentos'!$C$2:$C$5010,B$24)</f>
        <v/>
      </c>
      <c r="C36" s="9">
        <f>SUMIFS('Lançamentos'!$L$2:$L$5010,'Lançamentos'!$A$2:$A$5010,"Insumos e papel",'Lançamentos'!$H$2:$H$5010,$A36,'Lançamentos'!$C$2:$C$5010,C$24)</f>
        <v/>
      </c>
      <c r="D36" s="9">
        <f>SUMIFS('Lançamentos'!$L$2:$L$5010,'Lançamentos'!$A$2:$A$5010,"Insumos e papel",'Lançamentos'!$H$2:$H$5010,$A36,'Lançamentos'!$C$2:$C$5010,D$24)</f>
        <v/>
      </c>
      <c r="E36" s="9">
        <f>SUMIFS('Lançamentos'!$L$2:$L$5010,'Lançamentos'!$A$2:$A$5010,"Insumos e papel",'Lançamentos'!$H$2:$H$5010,$A36,'Lançamentos'!$C$2:$C$5010,E$24)</f>
        <v/>
      </c>
      <c r="F36" s="9">
        <f>SUMIFS('Lançamentos'!$L$2:$L$5010,'Lançamentos'!$A$2:$A$5010,"Insumos e papel",'Lançamentos'!$H$2:$H$5010,$A36,'Lançamentos'!$C$2:$C$5010,F$24)</f>
        <v/>
      </c>
      <c r="G36" s="9">
        <f>SUMIFS('Lançamentos'!$L$2:$L$5010,'Lançamentos'!$A$2:$A$5010,"Insumos e papel",'Lançamentos'!$H$2:$H$5010,$A36,'Lançamentos'!$C$2:$C$5010,G$24)</f>
        <v/>
      </c>
      <c r="H36" s="9">
        <f>SUMIFS('Lançamentos'!$L$2:$L$5010,'Lançamentos'!$A$2:$A$5010,"Insumos e papel",'Lançamentos'!$H$2:$H$5010,$A36,'Lançamentos'!$C$2:$C$5010,H$24)</f>
        <v/>
      </c>
      <c r="I36" s="9">
        <f>SUMIFS('Lançamentos'!$L$2:$L$5010,'Lançamentos'!$A$2:$A$5010,"Insumos e papel",'Lançamentos'!$H$2:$H$5010,$A36,'Lançamentos'!$C$2:$C$5010,I$24)</f>
        <v/>
      </c>
      <c r="J36" s="9">
        <f>SUMIFS('Lançamentos'!$L$2:$L$5010,'Lançamentos'!$A$2:$A$5010,"Insumos e papel",'Lançamentos'!$H$2:$H$5010,$A36,'Lançamentos'!$C$2:$C$5010,J$24)</f>
        <v/>
      </c>
      <c r="K36" s="9">
        <f>SUM(B36:J36)</f>
        <v/>
      </c>
      <c r="L36" s="10">
        <f>K36/K$61</f>
        <v/>
      </c>
      <c r="M36" s="9">
        <f>SUMIFS('Lançamentos'!$L$2:$L$5010,'Lançamentos'!$A$2:$A$5010,"Insumos e papel",'Lançamentos'!$H$2:$H$5010,$A36,'Lançamentos'!$C$2:$C$5010,"Antes de 2026")</f>
        <v/>
      </c>
      <c r="N36" s="9">
        <f>SUMIFS('Lançamentos'!$J$2:$J$5010,'Lançamentos'!$A$2:$A$5010,"Insumos e papel",'Lançamentos'!$H$2:$H$5010,$A36,'Lançamentos'!$D$2:$D$5010,"Em 2026")</f>
        <v/>
      </c>
      <c r="O36" s="9">
        <f>SUMIFS('Lançamentos'!$K$2:$K$5010,'Lançamentos'!$A$2:$A$5010,"Insumos e papel",'Lançamentos'!$H$2:$H$5010,$A36,'Lançamentos'!$D$2:$D$5010,"Em 2026")</f>
        <v/>
      </c>
      <c r="P36" s="26">
        <f>COUNTIFS('Lançamentos'!$A$2:$A$5010,"Insumos e papel",'Lançamentos'!$H$2:$H$5010,$A36,'Lançamentos'!$D$2:$D$5010,"Em 2026")</f>
        <v/>
      </c>
    </row>
    <row r="37">
      <c r="A37" t="inlineStr">
        <is>
          <t>FLEXOPEL LTDA</t>
        </is>
      </c>
      <c r="B37" s="9">
        <f>SUMIFS('Lançamentos'!$L$2:$L$5010,'Lançamentos'!$A$2:$A$5010,"Insumos e papel",'Lançamentos'!$H$2:$H$5010,$A37,'Lançamentos'!$C$2:$C$5010,B$24)</f>
        <v/>
      </c>
      <c r="C37" s="9">
        <f>SUMIFS('Lançamentos'!$L$2:$L$5010,'Lançamentos'!$A$2:$A$5010,"Insumos e papel",'Lançamentos'!$H$2:$H$5010,$A37,'Lançamentos'!$C$2:$C$5010,C$24)</f>
        <v/>
      </c>
      <c r="D37" s="9">
        <f>SUMIFS('Lançamentos'!$L$2:$L$5010,'Lançamentos'!$A$2:$A$5010,"Insumos e papel",'Lançamentos'!$H$2:$H$5010,$A37,'Lançamentos'!$C$2:$C$5010,D$24)</f>
        <v/>
      </c>
      <c r="E37" s="9">
        <f>SUMIFS('Lançamentos'!$L$2:$L$5010,'Lançamentos'!$A$2:$A$5010,"Insumos e papel",'Lançamentos'!$H$2:$H$5010,$A37,'Lançamentos'!$C$2:$C$5010,E$24)</f>
        <v/>
      </c>
      <c r="F37" s="9">
        <f>SUMIFS('Lançamentos'!$L$2:$L$5010,'Lançamentos'!$A$2:$A$5010,"Insumos e papel",'Lançamentos'!$H$2:$H$5010,$A37,'Lançamentos'!$C$2:$C$5010,F$24)</f>
        <v/>
      </c>
      <c r="G37" s="9">
        <f>SUMIFS('Lançamentos'!$L$2:$L$5010,'Lançamentos'!$A$2:$A$5010,"Insumos e papel",'Lançamentos'!$H$2:$H$5010,$A37,'Lançamentos'!$C$2:$C$5010,G$24)</f>
        <v/>
      </c>
      <c r="H37" s="9">
        <f>SUMIFS('Lançamentos'!$L$2:$L$5010,'Lançamentos'!$A$2:$A$5010,"Insumos e papel",'Lançamentos'!$H$2:$H$5010,$A37,'Lançamentos'!$C$2:$C$5010,H$24)</f>
        <v/>
      </c>
      <c r="I37" s="9">
        <f>SUMIFS('Lançamentos'!$L$2:$L$5010,'Lançamentos'!$A$2:$A$5010,"Insumos e papel",'Lançamentos'!$H$2:$H$5010,$A37,'Lançamentos'!$C$2:$C$5010,I$24)</f>
        <v/>
      </c>
      <c r="J37" s="9">
        <f>SUMIFS('Lançamentos'!$L$2:$L$5010,'Lançamentos'!$A$2:$A$5010,"Insumos e papel",'Lançamentos'!$H$2:$H$5010,$A37,'Lançamentos'!$C$2:$C$5010,J$24)</f>
        <v/>
      </c>
      <c r="K37" s="9">
        <f>SUM(B37:J37)</f>
        <v/>
      </c>
      <c r="L37" s="10">
        <f>K37/K$61</f>
        <v/>
      </c>
      <c r="M37" s="9">
        <f>SUMIFS('Lançamentos'!$L$2:$L$5010,'Lançamentos'!$A$2:$A$5010,"Insumos e papel",'Lançamentos'!$H$2:$H$5010,$A37,'Lançamentos'!$C$2:$C$5010,"Antes de 2026")</f>
        <v/>
      </c>
      <c r="N37" s="9">
        <f>SUMIFS('Lançamentos'!$J$2:$J$5010,'Lançamentos'!$A$2:$A$5010,"Insumos e papel",'Lançamentos'!$H$2:$H$5010,$A37,'Lançamentos'!$D$2:$D$5010,"Em 2026")</f>
        <v/>
      </c>
      <c r="O37" s="9">
        <f>SUMIFS('Lançamentos'!$K$2:$K$5010,'Lançamentos'!$A$2:$A$5010,"Insumos e papel",'Lançamentos'!$H$2:$H$5010,$A37,'Lançamentos'!$D$2:$D$5010,"Em 2026")</f>
        <v/>
      </c>
      <c r="P37" s="26">
        <f>COUNTIFS('Lançamentos'!$A$2:$A$5010,"Insumos e papel",'Lançamentos'!$H$2:$H$5010,$A37,'Lançamentos'!$D$2:$D$5010,"Em 2026")</f>
        <v/>
      </c>
    </row>
    <row r="38">
      <c r="A38" t="inlineStr">
        <is>
          <t>BAHIA CLICHERIA LTDA</t>
        </is>
      </c>
      <c r="B38" s="9">
        <f>SUMIFS('Lançamentos'!$L$2:$L$5010,'Lançamentos'!$A$2:$A$5010,"Insumos e papel",'Lançamentos'!$H$2:$H$5010,$A38,'Lançamentos'!$C$2:$C$5010,B$24)</f>
        <v/>
      </c>
      <c r="C38" s="9">
        <f>SUMIFS('Lançamentos'!$L$2:$L$5010,'Lançamentos'!$A$2:$A$5010,"Insumos e papel",'Lançamentos'!$H$2:$H$5010,$A38,'Lançamentos'!$C$2:$C$5010,C$24)</f>
        <v/>
      </c>
      <c r="D38" s="9">
        <f>SUMIFS('Lançamentos'!$L$2:$L$5010,'Lançamentos'!$A$2:$A$5010,"Insumos e papel",'Lançamentos'!$H$2:$H$5010,$A38,'Lançamentos'!$C$2:$C$5010,D$24)</f>
        <v/>
      </c>
      <c r="E38" s="9">
        <f>SUMIFS('Lançamentos'!$L$2:$L$5010,'Lançamentos'!$A$2:$A$5010,"Insumos e papel",'Lançamentos'!$H$2:$H$5010,$A38,'Lançamentos'!$C$2:$C$5010,E$24)</f>
        <v/>
      </c>
      <c r="F38" s="9">
        <f>SUMIFS('Lançamentos'!$L$2:$L$5010,'Lançamentos'!$A$2:$A$5010,"Insumos e papel",'Lançamentos'!$H$2:$H$5010,$A38,'Lançamentos'!$C$2:$C$5010,F$24)</f>
        <v/>
      </c>
      <c r="G38" s="9">
        <f>SUMIFS('Lançamentos'!$L$2:$L$5010,'Lançamentos'!$A$2:$A$5010,"Insumos e papel",'Lançamentos'!$H$2:$H$5010,$A38,'Lançamentos'!$C$2:$C$5010,G$24)</f>
        <v/>
      </c>
      <c r="H38" s="9">
        <f>SUMIFS('Lançamentos'!$L$2:$L$5010,'Lançamentos'!$A$2:$A$5010,"Insumos e papel",'Lançamentos'!$H$2:$H$5010,$A38,'Lançamentos'!$C$2:$C$5010,H$24)</f>
        <v/>
      </c>
      <c r="I38" s="9">
        <f>SUMIFS('Lançamentos'!$L$2:$L$5010,'Lançamentos'!$A$2:$A$5010,"Insumos e papel",'Lançamentos'!$H$2:$H$5010,$A38,'Lançamentos'!$C$2:$C$5010,I$24)</f>
        <v/>
      </c>
      <c r="J38" s="9">
        <f>SUMIFS('Lançamentos'!$L$2:$L$5010,'Lançamentos'!$A$2:$A$5010,"Insumos e papel",'Lançamentos'!$H$2:$H$5010,$A38,'Lançamentos'!$C$2:$C$5010,J$24)</f>
        <v/>
      </c>
      <c r="K38" s="9">
        <f>SUM(B38:J38)</f>
        <v/>
      </c>
      <c r="L38" s="10">
        <f>K38/K$61</f>
        <v/>
      </c>
      <c r="M38" s="9">
        <f>SUMIFS('Lançamentos'!$L$2:$L$5010,'Lançamentos'!$A$2:$A$5010,"Insumos e papel",'Lançamentos'!$H$2:$H$5010,$A38,'Lançamentos'!$C$2:$C$5010,"Antes de 2026")</f>
        <v/>
      </c>
      <c r="N38" s="9">
        <f>SUMIFS('Lançamentos'!$J$2:$J$5010,'Lançamentos'!$A$2:$A$5010,"Insumos e papel",'Lançamentos'!$H$2:$H$5010,$A38,'Lançamentos'!$D$2:$D$5010,"Em 2026")</f>
        <v/>
      </c>
      <c r="O38" s="9">
        <f>SUMIFS('Lançamentos'!$K$2:$K$5010,'Lançamentos'!$A$2:$A$5010,"Insumos e papel",'Lançamentos'!$H$2:$H$5010,$A38,'Lançamentos'!$D$2:$D$5010,"Em 2026")</f>
        <v/>
      </c>
      <c r="P38" s="26">
        <f>COUNTIFS('Lançamentos'!$A$2:$A$5010,"Insumos e papel",'Lançamentos'!$H$2:$H$5010,$A38,'Lançamentos'!$D$2:$D$5010,"Em 2026")</f>
        <v/>
      </c>
    </row>
    <row r="39">
      <c r="A39" t="inlineStr">
        <is>
          <t>PRODUTOS, SERVICOS E TINTAS LATINOAMERICANOS PROYSA LTDA</t>
        </is>
      </c>
      <c r="B39" s="9">
        <f>SUMIFS('Lançamentos'!$L$2:$L$5010,'Lançamentos'!$A$2:$A$5010,"Insumos e papel",'Lançamentos'!$H$2:$H$5010,$A39,'Lançamentos'!$C$2:$C$5010,B$24)</f>
        <v/>
      </c>
      <c r="C39" s="9">
        <f>SUMIFS('Lançamentos'!$L$2:$L$5010,'Lançamentos'!$A$2:$A$5010,"Insumos e papel",'Lançamentos'!$H$2:$H$5010,$A39,'Lançamentos'!$C$2:$C$5010,C$24)</f>
        <v/>
      </c>
      <c r="D39" s="9">
        <f>SUMIFS('Lançamentos'!$L$2:$L$5010,'Lançamentos'!$A$2:$A$5010,"Insumos e papel",'Lançamentos'!$H$2:$H$5010,$A39,'Lançamentos'!$C$2:$C$5010,D$24)</f>
        <v/>
      </c>
      <c r="E39" s="9">
        <f>SUMIFS('Lançamentos'!$L$2:$L$5010,'Lançamentos'!$A$2:$A$5010,"Insumos e papel",'Lançamentos'!$H$2:$H$5010,$A39,'Lançamentos'!$C$2:$C$5010,E$24)</f>
        <v/>
      </c>
      <c r="F39" s="9">
        <f>SUMIFS('Lançamentos'!$L$2:$L$5010,'Lançamentos'!$A$2:$A$5010,"Insumos e papel",'Lançamentos'!$H$2:$H$5010,$A39,'Lançamentos'!$C$2:$C$5010,F$24)</f>
        <v/>
      </c>
      <c r="G39" s="9">
        <f>SUMIFS('Lançamentos'!$L$2:$L$5010,'Lançamentos'!$A$2:$A$5010,"Insumos e papel",'Lançamentos'!$H$2:$H$5010,$A39,'Lançamentos'!$C$2:$C$5010,G$24)</f>
        <v/>
      </c>
      <c r="H39" s="9">
        <f>SUMIFS('Lançamentos'!$L$2:$L$5010,'Lançamentos'!$A$2:$A$5010,"Insumos e papel",'Lançamentos'!$H$2:$H$5010,$A39,'Lançamentos'!$C$2:$C$5010,H$24)</f>
        <v/>
      </c>
      <c r="I39" s="9">
        <f>SUMIFS('Lançamentos'!$L$2:$L$5010,'Lançamentos'!$A$2:$A$5010,"Insumos e papel",'Lançamentos'!$H$2:$H$5010,$A39,'Lançamentos'!$C$2:$C$5010,I$24)</f>
        <v/>
      </c>
      <c r="J39" s="9">
        <f>SUMIFS('Lançamentos'!$L$2:$L$5010,'Lançamentos'!$A$2:$A$5010,"Insumos e papel",'Lançamentos'!$H$2:$H$5010,$A39,'Lançamentos'!$C$2:$C$5010,J$24)</f>
        <v/>
      </c>
      <c r="K39" s="9">
        <f>SUM(B39:J39)</f>
        <v/>
      </c>
      <c r="L39" s="10">
        <f>K39/K$61</f>
        <v/>
      </c>
      <c r="M39" s="9">
        <f>SUMIFS('Lançamentos'!$L$2:$L$5010,'Lançamentos'!$A$2:$A$5010,"Insumos e papel",'Lançamentos'!$H$2:$H$5010,$A39,'Lançamentos'!$C$2:$C$5010,"Antes de 2026")</f>
        <v/>
      </c>
      <c r="N39" s="9">
        <f>SUMIFS('Lançamentos'!$J$2:$J$5010,'Lançamentos'!$A$2:$A$5010,"Insumos e papel",'Lançamentos'!$H$2:$H$5010,$A39,'Lançamentos'!$D$2:$D$5010,"Em 2026")</f>
        <v/>
      </c>
      <c r="O39" s="9">
        <f>SUMIFS('Lançamentos'!$K$2:$K$5010,'Lançamentos'!$A$2:$A$5010,"Insumos e papel",'Lançamentos'!$H$2:$H$5010,$A39,'Lançamentos'!$D$2:$D$5010,"Em 2026")</f>
        <v/>
      </c>
      <c r="P39" s="26">
        <f>COUNTIFS('Lançamentos'!$A$2:$A$5010,"Insumos e papel",'Lançamentos'!$H$2:$H$5010,$A39,'Lançamentos'!$D$2:$D$5010,"Em 2026")</f>
        <v/>
      </c>
    </row>
    <row r="40">
      <c r="A40" t="inlineStr">
        <is>
          <t>DELINEAR BAHIA CLICHERIA LTDA</t>
        </is>
      </c>
      <c r="B40" s="9">
        <f>SUMIFS('Lançamentos'!$L$2:$L$5010,'Lançamentos'!$A$2:$A$5010,"Insumos e papel",'Lançamentos'!$H$2:$H$5010,$A40,'Lançamentos'!$C$2:$C$5010,B$24)</f>
        <v/>
      </c>
      <c r="C40" s="9">
        <f>SUMIFS('Lançamentos'!$L$2:$L$5010,'Lançamentos'!$A$2:$A$5010,"Insumos e papel",'Lançamentos'!$H$2:$H$5010,$A40,'Lançamentos'!$C$2:$C$5010,C$24)</f>
        <v/>
      </c>
      <c r="D40" s="9">
        <f>SUMIFS('Lançamentos'!$L$2:$L$5010,'Lançamentos'!$A$2:$A$5010,"Insumos e papel",'Lançamentos'!$H$2:$H$5010,$A40,'Lançamentos'!$C$2:$C$5010,D$24)</f>
        <v/>
      </c>
      <c r="E40" s="9">
        <f>SUMIFS('Lançamentos'!$L$2:$L$5010,'Lançamentos'!$A$2:$A$5010,"Insumos e papel",'Lançamentos'!$H$2:$H$5010,$A40,'Lançamentos'!$C$2:$C$5010,E$24)</f>
        <v/>
      </c>
      <c r="F40" s="9">
        <f>SUMIFS('Lançamentos'!$L$2:$L$5010,'Lançamentos'!$A$2:$A$5010,"Insumos e papel",'Lançamentos'!$H$2:$H$5010,$A40,'Lançamentos'!$C$2:$C$5010,F$24)</f>
        <v/>
      </c>
      <c r="G40" s="9">
        <f>SUMIFS('Lançamentos'!$L$2:$L$5010,'Lançamentos'!$A$2:$A$5010,"Insumos e papel",'Lançamentos'!$H$2:$H$5010,$A40,'Lançamentos'!$C$2:$C$5010,G$24)</f>
        <v/>
      </c>
      <c r="H40" s="9">
        <f>SUMIFS('Lançamentos'!$L$2:$L$5010,'Lançamentos'!$A$2:$A$5010,"Insumos e papel",'Lançamentos'!$H$2:$H$5010,$A40,'Lançamentos'!$C$2:$C$5010,H$24)</f>
        <v/>
      </c>
      <c r="I40" s="9">
        <f>SUMIFS('Lançamentos'!$L$2:$L$5010,'Lançamentos'!$A$2:$A$5010,"Insumos e papel",'Lançamentos'!$H$2:$H$5010,$A40,'Lançamentos'!$C$2:$C$5010,I$24)</f>
        <v/>
      </c>
      <c r="J40" s="9">
        <f>SUMIFS('Lançamentos'!$L$2:$L$5010,'Lançamentos'!$A$2:$A$5010,"Insumos e papel",'Lançamentos'!$H$2:$H$5010,$A40,'Lançamentos'!$C$2:$C$5010,J$24)</f>
        <v/>
      </c>
      <c r="K40" s="9">
        <f>SUM(B40:J40)</f>
        <v/>
      </c>
      <c r="L40" s="10">
        <f>K40/K$61</f>
        <v/>
      </c>
      <c r="M40" s="9">
        <f>SUMIFS('Lançamentos'!$L$2:$L$5010,'Lançamentos'!$A$2:$A$5010,"Insumos e papel",'Lançamentos'!$H$2:$H$5010,$A40,'Lançamentos'!$C$2:$C$5010,"Antes de 2026")</f>
        <v/>
      </c>
      <c r="N40" s="9">
        <f>SUMIFS('Lançamentos'!$J$2:$J$5010,'Lançamentos'!$A$2:$A$5010,"Insumos e papel",'Lançamentos'!$H$2:$H$5010,$A40,'Lançamentos'!$D$2:$D$5010,"Em 2026")</f>
        <v/>
      </c>
      <c r="O40" s="9">
        <f>SUMIFS('Lançamentos'!$K$2:$K$5010,'Lançamentos'!$A$2:$A$5010,"Insumos e papel",'Lançamentos'!$H$2:$H$5010,$A40,'Lançamentos'!$D$2:$D$5010,"Em 2026")</f>
        <v/>
      </c>
      <c r="P40" s="26">
        <f>COUNTIFS('Lançamentos'!$A$2:$A$5010,"Insumos e papel",'Lançamentos'!$H$2:$H$5010,$A40,'Lançamentos'!$D$2:$D$5010,"Em 2026")</f>
        <v/>
      </c>
    </row>
    <row r="41">
      <c r="A41" t="inlineStr">
        <is>
          <t>PERNAMBUCO DISTRIBUIDORA ATAC EPIS, INS IND e MRO LTDA</t>
        </is>
      </c>
      <c r="B41" s="9">
        <f>SUMIFS('Lançamentos'!$L$2:$L$5010,'Lançamentos'!$A$2:$A$5010,"Insumos e papel",'Lançamentos'!$H$2:$H$5010,$A41,'Lançamentos'!$C$2:$C$5010,B$24)</f>
        <v/>
      </c>
      <c r="C41" s="9">
        <f>SUMIFS('Lançamentos'!$L$2:$L$5010,'Lançamentos'!$A$2:$A$5010,"Insumos e papel",'Lançamentos'!$H$2:$H$5010,$A41,'Lançamentos'!$C$2:$C$5010,C$24)</f>
        <v/>
      </c>
      <c r="D41" s="9">
        <f>SUMIFS('Lançamentos'!$L$2:$L$5010,'Lançamentos'!$A$2:$A$5010,"Insumos e papel",'Lançamentos'!$H$2:$H$5010,$A41,'Lançamentos'!$C$2:$C$5010,D$24)</f>
        <v/>
      </c>
      <c r="E41" s="9">
        <f>SUMIFS('Lançamentos'!$L$2:$L$5010,'Lançamentos'!$A$2:$A$5010,"Insumos e papel",'Lançamentos'!$H$2:$H$5010,$A41,'Lançamentos'!$C$2:$C$5010,E$24)</f>
        <v/>
      </c>
      <c r="F41" s="9">
        <f>SUMIFS('Lançamentos'!$L$2:$L$5010,'Lançamentos'!$A$2:$A$5010,"Insumos e papel",'Lançamentos'!$H$2:$H$5010,$A41,'Lançamentos'!$C$2:$C$5010,F$24)</f>
        <v/>
      </c>
      <c r="G41" s="9">
        <f>SUMIFS('Lançamentos'!$L$2:$L$5010,'Lançamentos'!$A$2:$A$5010,"Insumos e papel",'Lançamentos'!$H$2:$H$5010,$A41,'Lançamentos'!$C$2:$C$5010,G$24)</f>
        <v/>
      </c>
      <c r="H41" s="9">
        <f>SUMIFS('Lançamentos'!$L$2:$L$5010,'Lançamentos'!$A$2:$A$5010,"Insumos e papel",'Lançamentos'!$H$2:$H$5010,$A41,'Lançamentos'!$C$2:$C$5010,H$24)</f>
        <v/>
      </c>
      <c r="I41" s="9">
        <f>SUMIFS('Lançamentos'!$L$2:$L$5010,'Lançamentos'!$A$2:$A$5010,"Insumos e papel",'Lançamentos'!$H$2:$H$5010,$A41,'Lançamentos'!$C$2:$C$5010,I$24)</f>
        <v/>
      </c>
      <c r="J41" s="9">
        <f>SUMIFS('Lançamentos'!$L$2:$L$5010,'Lançamentos'!$A$2:$A$5010,"Insumos e papel",'Lançamentos'!$H$2:$H$5010,$A41,'Lançamentos'!$C$2:$C$5010,J$24)</f>
        <v/>
      </c>
      <c r="K41" s="9">
        <f>SUM(B41:J41)</f>
        <v/>
      </c>
      <c r="L41" s="10">
        <f>K41/K$61</f>
        <v/>
      </c>
      <c r="M41" s="9">
        <f>SUMIFS('Lançamentos'!$L$2:$L$5010,'Lançamentos'!$A$2:$A$5010,"Insumos e papel",'Lançamentos'!$H$2:$H$5010,$A41,'Lançamentos'!$C$2:$C$5010,"Antes de 2026")</f>
        <v/>
      </c>
      <c r="N41" s="9">
        <f>SUMIFS('Lançamentos'!$J$2:$J$5010,'Lançamentos'!$A$2:$A$5010,"Insumos e papel",'Lançamentos'!$H$2:$H$5010,$A41,'Lançamentos'!$D$2:$D$5010,"Em 2026")</f>
        <v/>
      </c>
      <c r="O41" s="9">
        <f>SUMIFS('Lançamentos'!$K$2:$K$5010,'Lançamentos'!$A$2:$A$5010,"Insumos e papel",'Lançamentos'!$H$2:$H$5010,$A41,'Lançamentos'!$D$2:$D$5010,"Em 2026")</f>
        <v/>
      </c>
      <c r="P41" s="26">
        <f>COUNTIFS('Lançamentos'!$A$2:$A$5010,"Insumos e papel",'Lançamentos'!$H$2:$H$5010,$A41,'Lançamentos'!$D$2:$D$5010,"Em 2026")</f>
        <v/>
      </c>
    </row>
    <row r="42">
      <c r="A42" t="inlineStr">
        <is>
          <t>GS BOBINAS E ETIQUETAS</t>
        </is>
      </c>
      <c r="B42" s="9">
        <f>SUMIFS('Lançamentos'!$L$2:$L$5010,'Lançamentos'!$A$2:$A$5010,"Insumos e papel",'Lançamentos'!$H$2:$H$5010,$A42,'Lançamentos'!$C$2:$C$5010,B$24)</f>
        <v/>
      </c>
      <c r="C42" s="9">
        <f>SUMIFS('Lançamentos'!$L$2:$L$5010,'Lançamentos'!$A$2:$A$5010,"Insumos e papel",'Lançamentos'!$H$2:$H$5010,$A42,'Lançamentos'!$C$2:$C$5010,C$24)</f>
        <v/>
      </c>
      <c r="D42" s="9">
        <f>SUMIFS('Lançamentos'!$L$2:$L$5010,'Lançamentos'!$A$2:$A$5010,"Insumos e papel",'Lançamentos'!$H$2:$H$5010,$A42,'Lançamentos'!$C$2:$C$5010,D$24)</f>
        <v/>
      </c>
      <c r="E42" s="9">
        <f>SUMIFS('Lançamentos'!$L$2:$L$5010,'Lançamentos'!$A$2:$A$5010,"Insumos e papel",'Lançamentos'!$H$2:$H$5010,$A42,'Lançamentos'!$C$2:$C$5010,E$24)</f>
        <v/>
      </c>
      <c r="F42" s="9">
        <f>SUMIFS('Lançamentos'!$L$2:$L$5010,'Lançamentos'!$A$2:$A$5010,"Insumos e papel",'Lançamentos'!$H$2:$H$5010,$A42,'Lançamentos'!$C$2:$C$5010,F$24)</f>
        <v/>
      </c>
      <c r="G42" s="9">
        <f>SUMIFS('Lançamentos'!$L$2:$L$5010,'Lançamentos'!$A$2:$A$5010,"Insumos e papel",'Lançamentos'!$H$2:$H$5010,$A42,'Lançamentos'!$C$2:$C$5010,G$24)</f>
        <v/>
      </c>
      <c r="H42" s="9">
        <f>SUMIFS('Lançamentos'!$L$2:$L$5010,'Lançamentos'!$A$2:$A$5010,"Insumos e papel",'Lançamentos'!$H$2:$H$5010,$A42,'Lançamentos'!$C$2:$C$5010,H$24)</f>
        <v/>
      </c>
      <c r="I42" s="9">
        <f>SUMIFS('Lançamentos'!$L$2:$L$5010,'Lançamentos'!$A$2:$A$5010,"Insumos e papel",'Lançamentos'!$H$2:$H$5010,$A42,'Lançamentos'!$C$2:$C$5010,I$24)</f>
        <v/>
      </c>
      <c r="J42" s="9">
        <f>SUMIFS('Lançamentos'!$L$2:$L$5010,'Lançamentos'!$A$2:$A$5010,"Insumos e papel",'Lançamentos'!$H$2:$H$5010,$A42,'Lançamentos'!$C$2:$C$5010,J$24)</f>
        <v/>
      </c>
      <c r="K42" s="9">
        <f>SUM(B42:J42)</f>
        <v/>
      </c>
      <c r="L42" s="10">
        <f>K42/K$61</f>
        <v/>
      </c>
      <c r="M42" s="9">
        <f>SUMIFS('Lançamentos'!$L$2:$L$5010,'Lançamentos'!$A$2:$A$5010,"Insumos e papel",'Lançamentos'!$H$2:$H$5010,$A42,'Lançamentos'!$C$2:$C$5010,"Antes de 2026")</f>
        <v/>
      </c>
      <c r="N42" s="9">
        <f>SUMIFS('Lançamentos'!$J$2:$J$5010,'Lançamentos'!$A$2:$A$5010,"Insumos e papel",'Lançamentos'!$H$2:$H$5010,$A42,'Lançamentos'!$D$2:$D$5010,"Em 2026")</f>
        <v/>
      </c>
      <c r="O42" s="9">
        <f>SUMIFS('Lançamentos'!$K$2:$K$5010,'Lançamentos'!$A$2:$A$5010,"Insumos e papel",'Lançamentos'!$H$2:$H$5010,$A42,'Lançamentos'!$D$2:$D$5010,"Em 2026")</f>
        <v/>
      </c>
      <c r="P42" s="26">
        <f>COUNTIFS('Lançamentos'!$A$2:$A$5010,"Insumos e papel",'Lançamentos'!$H$2:$H$5010,$A42,'Lançamentos'!$D$2:$D$5010,"Em 2026")</f>
        <v/>
      </c>
    </row>
    <row r="43">
      <c r="A43" t="inlineStr">
        <is>
          <t>INOVE EMBALAGENS PLASTICAS LTDA</t>
        </is>
      </c>
      <c r="B43" s="9">
        <f>SUMIFS('Lançamentos'!$L$2:$L$5010,'Lançamentos'!$A$2:$A$5010,"Insumos e papel",'Lançamentos'!$H$2:$H$5010,$A43,'Lançamentos'!$C$2:$C$5010,B$24)</f>
        <v/>
      </c>
      <c r="C43" s="9">
        <f>SUMIFS('Lançamentos'!$L$2:$L$5010,'Lançamentos'!$A$2:$A$5010,"Insumos e papel",'Lançamentos'!$H$2:$H$5010,$A43,'Lançamentos'!$C$2:$C$5010,C$24)</f>
        <v/>
      </c>
      <c r="D43" s="9">
        <f>SUMIFS('Lançamentos'!$L$2:$L$5010,'Lançamentos'!$A$2:$A$5010,"Insumos e papel",'Lançamentos'!$H$2:$H$5010,$A43,'Lançamentos'!$C$2:$C$5010,D$24)</f>
        <v/>
      </c>
      <c r="E43" s="9">
        <f>SUMIFS('Lançamentos'!$L$2:$L$5010,'Lançamentos'!$A$2:$A$5010,"Insumos e papel",'Lançamentos'!$H$2:$H$5010,$A43,'Lançamentos'!$C$2:$C$5010,E$24)</f>
        <v/>
      </c>
      <c r="F43" s="9">
        <f>SUMIFS('Lançamentos'!$L$2:$L$5010,'Lançamentos'!$A$2:$A$5010,"Insumos e papel",'Lançamentos'!$H$2:$H$5010,$A43,'Lançamentos'!$C$2:$C$5010,F$24)</f>
        <v/>
      </c>
      <c r="G43" s="9">
        <f>SUMIFS('Lançamentos'!$L$2:$L$5010,'Lançamentos'!$A$2:$A$5010,"Insumos e papel",'Lançamentos'!$H$2:$H$5010,$A43,'Lançamentos'!$C$2:$C$5010,G$24)</f>
        <v/>
      </c>
      <c r="H43" s="9">
        <f>SUMIFS('Lançamentos'!$L$2:$L$5010,'Lançamentos'!$A$2:$A$5010,"Insumos e papel",'Lançamentos'!$H$2:$H$5010,$A43,'Lançamentos'!$C$2:$C$5010,H$24)</f>
        <v/>
      </c>
      <c r="I43" s="9">
        <f>SUMIFS('Lançamentos'!$L$2:$L$5010,'Lançamentos'!$A$2:$A$5010,"Insumos e papel",'Lançamentos'!$H$2:$H$5010,$A43,'Lançamentos'!$C$2:$C$5010,I$24)</f>
        <v/>
      </c>
      <c r="J43" s="9">
        <f>SUMIFS('Lançamentos'!$L$2:$L$5010,'Lançamentos'!$A$2:$A$5010,"Insumos e papel",'Lançamentos'!$H$2:$H$5010,$A43,'Lançamentos'!$C$2:$C$5010,J$24)</f>
        <v/>
      </c>
      <c r="K43" s="9">
        <f>SUM(B43:J43)</f>
        <v/>
      </c>
      <c r="L43" s="10">
        <f>K43/K$61</f>
        <v/>
      </c>
      <c r="M43" s="9">
        <f>SUMIFS('Lançamentos'!$L$2:$L$5010,'Lançamentos'!$A$2:$A$5010,"Insumos e papel",'Lançamentos'!$H$2:$H$5010,$A43,'Lançamentos'!$C$2:$C$5010,"Antes de 2026")</f>
        <v/>
      </c>
      <c r="N43" s="9">
        <f>SUMIFS('Lançamentos'!$J$2:$J$5010,'Lançamentos'!$A$2:$A$5010,"Insumos e papel",'Lançamentos'!$H$2:$H$5010,$A43,'Lançamentos'!$D$2:$D$5010,"Em 2026")</f>
        <v/>
      </c>
      <c r="O43" s="9">
        <f>SUMIFS('Lançamentos'!$K$2:$K$5010,'Lançamentos'!$A$2:$A$5010,"Insumos e papel",'Lançamentos'!$H$2:$H$5010,$A43,'Lançamentos'!$D$2:$D$5010,"Em 2026")</f>
        <v/>
      </c>
      <c r="P43" s="26">
        <f>COUNTIFS('Lançamentos'!$A$2:$A$5010,"Insumos e papel",'Lançamentos'!$H$2:$H$5010,$A43,'Lançamentos'!$D$2:$D$5010,"Em 2026")</f>
        <v/>
      </c>
    </row>
    <row r="44">
      <c r="A44" t="inlineStr">
        <is>
          <t>ODAFLEXO COMERCIO DE PRODUTOS FLEXOGRAFICOS LTDA</t>
        </is>
      </c>
      <c r="B44" s="9">
        <f>SUMIFS('Lançamentos'!$L$2:$L$5010,'Lançamentos'!$A$2:$A$5010,"Insumos e papel",'Lançamentos'!$H$2:$H$5010,$A44,'Lançamentos'!$C$2:$C$5010,B$24)</f>
        <v/>
      </c>
      <c r="C44" s="9">
        <f>SUMIFS('Lançamentos'!$L$2:$L$5010,'Lançamentos'!$A$2:$A$5010,"Insumos e papel",'Lançamentos'!$H$2:$H$5010,$A44,'Lançamentos'!$C$2:$C$5010,C$24)</f>
        <v/>
      </c>
      <c r="D44" s="9">
        <f>SUMIFS('Lançamentos'!$L$2:$L$5010,'Lançamentos'!$A$2:$A$5010,"Insumos e papel",'Lançamentos'!$H$2:$H$5010,$A44,'Lançamentos'!$C$2:$C$5010,D$24)</f>
        <v/>
      </c>
      <c r="E44" s="9">
        <f>SUMIFS('Lançamentos'!$L$2:$L$5010,'Lançamentos'!$A$2:$A$5010,"Insumos e papel",'Lançamentos'!$H$2:$H$5010,$A44,'Lançamentos'!$C$2:$C$5010,E$24)</f>
        <v/>
      </c>
      <c r="F44" s="9">
        <f>SUMIFS('Lançamentos'!$L$2:$L$5010,'Lançamentos'!$A$2:$A$5010,"Insumos e papel",'Lançamentos'!$H$2:$H$5010,$A44,'Lançamentos'!$C$2:$C$5010,F$24)</f>
        <v/>
      </c>
      <c r="G44" s="9">
        <f>SUMIFS('Lançamentos'!$L$2:$L$5010,'Lançamentos'!$A$2:$A$5010,"Insumos e papel",'Lançamentos'!$H$2:$H$5010,$A44,'Lançamentos'!$C$2:$C$5010,G$24)</f>
        <v/>
      </c>
      <c r="H44" s="9">
        <f>SUMIFS('Lançamentos'!$L$2:$L$5010,'Lançamentos'!$A$2:$A$5010,"Insumos e papel",'Lançamentos'!$H$2:$H$5010,$A44,'Lançamentos'!$C$2:$C$5010,H$24)</f>
        <v/>
      </c>
      <c r="I44" s="9">
        <f>SUMIFS('Lançamentos'!$L$2:$L$5010,'Lançamentos'!$A$2:$A$5010,"Insumos e papel",'Lançamentos'!$H$2:$H$5010,$A44,'Lançamentos'!$C$2:$C$5010,I$24)</f>
        <v/>
      </c>
      <c r="J44" s="9">
        <f>SUMIFS('Lançamentos'!$L$2:$L$5010,'Lançamentos'!$A$2:$A$5010,"Insumos e papel",'Lançamentos'!$H$2:$H$5010,$A44,'Lançamentos'!$C$2:$C$5010,J$24)</f>
        <v/>
      </c>
      <c r="K44" s="9">
        <f>SUM(B44:J44)</f>
        <v/>
      </c>
      <c r="L44" s="10">
        <f>K44/K$61</f>
        <v/>
      </c>
      <c r="M44" s="9">
        <f>SUMIFS('Lançamentos'!$L$2:$L$5010,'Lançamentos'!$A$2:$A$5010,"Insumos e papel",'Lançamentos'!$H$2:$H$5010,$A44,'Lançamentos'!$C$2:$C$5010,"Antes de 2026")</f>
        <v/>
      </c>
      <c r="N44" s="9">
        <f>SUMIFS('Lançamentos'!$J$2:$J$5010,'Lançamentos'!$A$2:$A$5010,"Insumos e papel",'Lançamentos'!$H$2:$H$5010,$A44,'Lançamentos'!$D$2:$D$5010,"Em 2026")</f>
        <v/>
      </c>
      <c r="O44" s="9">
        <f>SUMIFS('Lançamentos'!$K$2:$K$5010,'Lançamentos'!$A$2:$A$5010,"Insumos e papel",'Lançamentos'!$H$2:$H$5010,$A44,'Lançamentos'!$D$2:$D$5010,"Em 2026")</f>
        <v/>
      </c>
      <c r="P44" s="26">
        <f>COUNTIFS('Lançamentos'!$A$2:$A$5010,"Insumos e papel",'Lançamentos'!$H$2:$H$5010,$A44,'Lançamentos'!$D$2:$D$5010,"Em 2026")</f>
        <v/>
      </c>
    </row>
    <row r="45">
      <c r="A45" t="inlineStr">
        <is>
          <t>ADERE PRODUTOS AUTO ADESIVOS LTDA</t>
        </is>
      </c>
      <c r="B45" s="9">
        <f>SUMIFS('Lançamentos'!$L$2:$L$5010,'Lançamentos'!$A$2:$A$5010,"Insumos e papel",'Lançamentos'!$H$2:$H$5010,$A45,'Lançamentos'!$C$2:$C$5010,B$24)</f>
        <v/>
      </c>
      <c r="C45" s="9">
        <f>SUMIFS('Lançamentos'!$L$2:$L$5010,'Lançamentos'!$A$2:$A$5010,"Insumos e papel",'Lançamentos'!$H$2:$H$5010,$A45,'Lançamentos'!$C$2:$C$5010,C$24)</f>
        <v/>
      </c>
      <c r="D45" s="9">
        <f>SUMIFS('Lançamentos'!$L$2:$L$5010,'Lançamentos'!$A$2:$A$5010,"Insumos e papel",'Lançamentos'!$H$2:$H$5010,$A45,'Lançamentos'!$C$2:$C$5010,D$24)</f>
        <v/>
      </c>
      <c r="E45" s="9">
        <f>SUMIFS('Lançamentos'!$L$2:$L$5010,'Lançamentos'!$A$2:$A$5010,"Insumos e papel",'Lançamentos'!$H$2:$H$5010,$A45,'Lançamentos'!$C$2:$C$5010,E$24)</f>
        <v/>
      </c>
      <c r="F45" s="9">
        <f>SUMIFS('Lançamentos'!$L$2:$L$5010,'Lançamentos'!$A$2:$A$5010,"Insumos e papel",'Lançamentos'!$H$2:$H$5010,$A45,'Lançamentos'!$C$2:$C$5010,F$24)</f>
        <v/>
      </c>
      <c r="G45" s="9">
        <f>SUMIFS('Lançamentos'!$L$2:$L$5010,'Lançamentos'!$A$2:$A$5010,"Insumos e papel",'Lançamentos'!$H$2:$H$5010,$A45,'Lançamentos'!$C$2:$C$5010,G$24)</f>
        <v/>
      </c>
      <c r="H45" s="9">
        <f>SUMIFS('Lançamentos'!$L$2:$L$5010,'Lançamentos'!$A$2:$A$5010,"Insumos e papel",'Lançamentos'!$H$2:$H$5010,$A45,'Lançamentos'!$C$2:$C$5010,H$24)</f>
        <v/>
      </c>
      <c r="I45" s="9">
        <f>SUMIFS('Lançamentos'!$L$2:$L$5010,'Lançamentos'!$A$2:$A$5010,"Insumos e papel",'Lançamentos'!$H$2:$H$5010,$A45,'Lançamentos'!$C$2:$C$5010,I$24)</f>
        <v/>
      </c>
      <c r="J45" s="9">
        <f>SUMIFS('Lançamentos'!$L$2:$L$5010,'Lançamentos'!$A$2:$A$5010,"Insumos e papel",'Lançamentos'!$H$2:$H$5010,$A45,'Lançamentos'!$C$2:$C$5010,J$24)</f>
        <v/>
      </c>
      <c r="K45" s="9">
        <f>SUM(B45:J45)</f>
        <v/>
      </c>
      <c r="L45" s="10">
        <f>K45/K$61</f>
        <v/>
      </c>
      <c r="M45" s="9">
        <f>SUMIFS('Lançamentos'!$L$2:$L$5010,'Lançamentos'!$A$2:$A$5010,"Insumos e papel",'Lançamentos'!$H$2:$H$5010,$A45,'Lançamentos'!$C$2:$C$5010,"Antes de 2026")</f>
        <v/>
      </c>
      <c r="N45" s="9">
        <f>SUMIFS('Lançamentos'!$J$2:$J$5010,'Lançamentos'!$A$2:$A$5010,"Insumos e papel",'Lançamentos'!$H$2:$H$5010,$A45,'Lançamentos'!$D$2:$D$5010,"Em 2026")</f>
        <v/>
      </c>
      <c r="O45" s="9">
        <f>SUMIFS('Lançamentos'!$K$2:$K$5010,'Lançamentos'!$A$2:$A$5010,"Insumos e papel",'Lançamentos'!$H$2:$H$5010,$A45,'Lançamentos'!$D$2:$D$5010,"Em 2026")</f>
        <v/>
      </c>
      <c r="P45" s="26">
        <f>COUNTIFS('Lançamentos'!$A$2:$A$5010,"Insumos e papel",'Lançamentos'!$H$2:$H$5010,$A45,'Lançamentos'!$D$2:$D$5010,"Em 2026")</f>
        <v/>
      </c>
    </row>
    <row r="46">
      <c r="A46" t="inlineStr">
        <is>
          <t>RECICLAGEM LIBERDADE LTDA</t>
        </is>
      </c>
      <c r="B46" s="9">
        <f>SUMIFS('Lançamentos'!$L$2:$L$5010,'Lançamentos'!$A$2:$A$5010,"Insumos e papel",'Lançamentos'!$H$2:$H$5010,$A46,'Lançamentos'!$C$2:$C$5010,B$24)</f>
        <v/>
      </c>
      <c r="C46" s="9">
        <f>SUMIFS('Lançamentos'!$L$2:$L$5010,'Lançamentos'!$A$2:$A$5010,"Insumos e papel",'Lançamentos'!$H$2:$H$5010,$A46,'Lançamentos'!$C$2:$C$5010,C$24)</f>
        <v/>
      </c>
      <c r="D46" s="9">
        <f>SUMIFS('Lançamentos'!$L$2:$L$5010,'Lançamentos'!$A$2:$A$5010,"Insumos e papel",'Lançamentos'!$H$2:$H$5010,$A46,'Lançamentos'!$C$2:$C$5010,D$24)</f>
        <v/>
      </c>
      <c r="E46" s="9">
        <f>SUMIFS('Lançamentos'!$L$2:$L$5010,'Lançamentos'!$A$2:$A$5010,"Insumos e papel",'Lançamentos'!$H$2:$H$5010,$A46,'Lançamentos'!$C$2:$C$5010,E$24)</f>
        <v/>
      </c>
      <c r="F46" s="9">
        <f>SUMIFS('Lançamentos'!$L$2:$L$5010,'Lançamentos'!$A$2:$A$5010,"Insumos e papel",'Lançamentos'!$H$2:$H$5010,$A46,'Lançamentos'!$C$2:$C$5010,F$24)</f>
        <v/>
      </c>
      <c r="G46" s="9">
        <f>SUMIFS('Lançamentos'!$L$2:$L$5010,'Lançamentos'!$A$2:$A$5010,"Insumos e papel",'Lançamentos'!$H$2:$H$5010,$A46,'Lançamentos'!$C$2:$C$5010,G$24)</f>
        <v/>
      </c>
      <c r="H46" s="9">
        <f>SUMIFS('Lançamentos'!$L$2:$L$5010,'Lançamentos'!$A$2:$A$5010,"Insumos e papel",'Lançamentos'!$H$2:$H$5010,$A46,'Lançamentos'!$C$2:$C$5010,H$24)</f>
        <v/>
      </c>
      <c r="I46" s="9">
        <f>SUMIFS('Lançamentos'!$L$2:$L$5010,'Lançamentos'!$A$2:$A$5010,"Insumos e papel",'Lançamentos'!$H$2:$H$5010,$A46,'Lançamentos'!$C$2:$C$5010,I$24)</f>
        <v/>
      </c>
      <c r="J46" s="9">
        <f>SUMIFS('Lançamentos'!$L$2:$L$5010,'Lançamentos'!$A$2:$A$5010,"Insumos e papel",'Lançamentos'!$H$2:$H$5010,$A46,'Lançamentos'!$C$2:$C$5010,J$24)</f>
        <v/>
      </c>
      <c r="K46" s="9">
        <f>SUM(B46:J46)</f>
        <v/>
      </c>
      <c r="L46" s="10">
        <f>K46/K$61</f>
        <v/>
      </c>
      <c r="M46" s="9">
        <f>SUMIFS('Lançamentos'!$L$2:$L$5010,'Lançamentos'!$A$2:$A$5010,"Insumos e papel",'Lançamentos'!$H$2:$H$5010,$A46,'Lançamentos'!$C$2:$C$5010,"Antes de 2026")</f>
        <v/>
      </c>
      <c r="N46" s="9">
        <f>SUMIFS('Lançamentos'!$J$2:$J$5010,'Lançamentos'!$A$2:$A$5010,"Insumos e papel",'Lançamentos'!$H$2:$H$5010,$A46,'Lançamentos'!$D$2:$D$5010,"Em 2026")</f>
        <v/>
      </c>
      <c r="O46" s="9">
        <f>SUMIFS('Lançamentos'!$K$2:$K$5010,'Lançamentos'!$A$2:$A$5010,"Insumos e papel",'Lançamentos'!$H$2:$H$5010,$A46,'Lançamentos'!$D$2:$D$5010,"Em 2026")</f>
        <v/>
      </c>
      <c r="P46" s="26">
        <f>COUNTIFS('Lançamentos'!$A$2:$A$5010,"Insumos e papel",'Lançamentos'!$H$2:$H$5010,$A46,'Lançamentos'!$D$2:$D$5010,"Em 2026")</f>
        <v/>
      </c>
    </row>
    <row r="47">
      <c r="A47" t="inlineStr">
        <is>
          <t>SUPERGASBRAS ENERGIA LTDA</t>
        </is>
      </c>
      <c r="B47" s="9">
        <f>SUMIFS('Lançamentos'!$L$2:$L$5010,'Lançamentos'!$A$2:$A$5010,"Insumos e papel",'Lançamentos'!$H$2:$H$5010,$A47,'Lançamentos'!$C$2:$C$5010,B$24)</f>
        <v/>
      </c>
      <c r="C47" s="9">
        <f>SUMIFS('Lançamentos'!$L$2:$L$5010,'Lançamentos'!$A$2:$A$5010,"Insumos e papel",'Lançamentos'!$H$2:$H$5010,$A47,'Lançamentos'!$C$2:$C$5010,C$24)</f>
        <v/>
      </c>
      <c r="D47" s="9">
        <f>SUMIFS('Lançamentos'!$L$2:$L$5010,'Lançamentos'!$A$2:$A$5010,"Insumos e papel",'Lançamentos'!$H$2:$H$5010,$A47,'Lançamentos'!$C$2:$C$5010,D$24)</f>
        <v/>
      </c>
      <c r="E47" s="9">
        <f>SUMIFS('Lançamentos'!$L$2:$L$5010,'Lançamentos'!$A$2:$A$5010,"Insumos e papel",'Lançamentos'!$H$2:$H$5010,$A47,'Lançamentos'!$C$2:$C$5010,E$24)</f>
        <v/>
      </c>
      <c r="F47" s="9">
        <f>SUMIFS('Lançamentos'!$L$2:$L$5010,'Lançamentos'!$A$2:$A$5010,"Insumos e papel",'Lançamentos'!$H$2:$H$5010,$A47,'Lançamentos'!$C$2:$C$5010,F$24)</f>
        <v/>
      </c>
      <c r="G47" s="9">
        <f>SUMIFS('Lançamentos'!$L$2:$L$5010,'Lançamentos'!$A$2:$A$5010,"Insumos e papel",'Lançamentos'!$H$2:$H$5010,$A47,'Lançamentos'!$C$2:$C$5010,G$24)</f>
        <v/>
      </c>
      <c r="H47" s="9">
        <f>SUMIFS('Lançamentos'!$L$2:$L$5010,'Lançamentos'!$A$2:$A$5010,"Insumos e papel",'Lançamentos'!$H$2:$H$5010,$A47,'Lançamentos'!$C$2:$C$5010,H$24)</f>
        <v/>
      </c>
      <c r="I47" s="9">
        <f>SUMIFS('Lançamentos'!$L$2:$L$5010,'Lançamentos'!$A$2:$A$5010,"Insumos e papel",'Lançamentos'!$H$2:$H$5010,$A47,'Lançamentos'!$C$2:$C$5010,I$24)</f>
        <v/>
      </c>
      <c r="J47" s="9">
        <f>SUMIFS('Lançamentos'!$L$2:$L$5010,'Lançamentos'!$A$2:$A$5010,"Insumos e papel",'Lançamentos'!$H$2:$H$5010,$A47,'Lançamentos'!$C$2:$C$5010,J$24)</f>
        <v/>
      </c>
      <c r="K47" s="9">
        <f>SUM(B47:J47)</f>
        <v/>
      </c>
      <c r="L47" s="10">
        <f>K47/K$61</f>
        <v/>
      </c>
      <c r="M47" s="9">
        <f>SUMIFS('Lançamentos'!$L$2:$L$5010,'Lançamentos'!$A$2:$A$5010,"Insumos e papel",'Lançamentos'!$H$2:$H$5010,$A47,'Lançamentos'!$C$2:$C$5010,"Antes de 2026")</f>
        <v/>
      </c>
      <c r="N47" s="9">
        <f>SUMIFS('Lançamentos'!$J$2:$J$5010,'Lançamentos'!$A$2:$A$5010,"Insumos e papel",'Lançamentos'!$H$2:$H$5010,$A47,'Lançamentos'!$D$2:$D$5010,"Em 2026")</f>
        <v/>
      </c>
      <c r="O47" s="9">
        <f>SUMIFS('Lançamentos'!$K$2:$K$5010,'Lançamentos'!$A$2:$A$5010,"Insumos e papel",'Lançamentos'!$H$2:$H$5010,$A47,'Lançamentos'!$D$2:$D$5010,"Em 2026")</f>
        <v/>
      </c>
      <c r="P47" s="26">
        <f>COUNTIFS('Lançamentos'!$A$2:$A$5010,"Insumos e papel",'Lançamentos'!$H$2:$H$5010,$A47,'Lançamentos'!$D$2:$D$5010,"Em 2026")</f>
        <v/>
      </c>
    </row>
    <row r="48">
      <c r="A48" t="inlineStr">
        <is>
          <t>VIVACOR INDUSTRIA DE TINTAS E VERNIZES LTDA</t>
        </is>
      </c>
      <c r="B48" s="9">
        <f>SUMIFS('Lançamentos'!$L$2:$L$5010,'Lançamentos'!$A$2:$A$5010,"Insumos e papel",'Lançamentos'!$H$2:$H$5010,$A48,'Lançamentos'!$C$2:$C$5010,B$24)</f>
        <v/>
      </c>
      <c r="C48" s="9">
        <f>SUMIFS('Lançamentos'!$L$2:$L$5010,'Lançamentos'!$A$2:$A$5010,"Insumos e papel",'Lançamentos'!$H$2:$H$5010,$A48,'Lançamentos'!$C$2:$C$5010,C$24)</f>
        <v/>
      </c>
      <c r="D48" s="9">
        <f>SUMIFS('Lançamentos'!$L$2:$L$5010,'Lançamentos'!$A$2:$A$5010,"Insumos e papel",'Lançamentos'!$H$2:$H$5010,$A48,'Lançamentos'!$C$2:$C$5010,D$24)</f>
        <v/>
      </c>
      <c r="E48" s="9">
        <f>SUMIFS('Lançamentos'!$L$2:$L$5010,'Lançamentos'!$A$2:$A$5010,"Insumos e papel",'Lançamentos'!$H$2:$H$5010,$A48,'Lançamentos'!$C$2:$C$5010,E$24)</f>
        <v/>
      </c>
      <c r="F48" s="9">
        <f>SUMIFS('Lançamentos'!$L$2:$L$5010,'Lançamentos'!$A$2:$A$5010,"Insumos e papel",'Lançamentos'!$H$2:$H$5010,$A48,'Lançamentos'!$C$2:$C$5010,F$24)</f>
        <v/>
      </c>
      <c r="G48" s="9">
        <f>SUMIFS('Lançamentos'!$L$2:$L$5010,'Lançamentos'!$A$2:$A$5010,"Insumos e papel",'Lançamentos'!$H$2:$H$5010,$A48,'Lançamentos'!$C$2:$C$5010,G$24)</f>
        <v/>
      </c>
      <c r="H48" s="9">
        <f>SUMIFS('Lançamentos'!$L$2:$L$5010,'Lançamentos'!$A$2:$A$5010,"Insumos e papel",'Lançamentos'!$H$2:$H$5010,$A48,'Lançamentos'!$C$2:$C$5010,H$24)</f>
        <v/>
      </c>
      <c r="I48" s="9">
        <f>SUMIFS('Lançamentos'!$L$2:$L$5010,'Lançamentos'!$A$2:$A$5010,"Insumos e papel",'Lançamentos'!$H$2:$H$5010,$A48,'Lançamentos'!$C$2:$C$5010,I$24)</f>
        <v/>
      </c>
      <c r="J48" s="9">
        <f>SUMIFS('Lançamentos'!$L$2:$L$5010,'Lançamentos'!$A$2:$A$5010,"Insumos e papel",'Lançamentos'!$H$2:$H$5010,$A48,'Lançamentos'!$C$2:$C$5010,J$24)</f>
        <v/>
      </c>
      <c r="K48" s="9">
        <f>SUM(B48:J48)</f>
        <v/>
      </c>
      <c r="L48" s="10">
        <f>K48/K$61</f>
        <v/>
      </c>
      <c r="M48" s="9">
        <f>SUMIFS('Lançamentos'!$L$2:$L$5010,'Lançamentos'!$A$2:$A$5010,"Insumos e papel",'Lançamentos'!$H$2:$H$5010,$A48,'Lançamentos'!$C$2:$C$5010,"Antes de 2026")</f>
        <v/>
      </c>
      <c r="N48" s="9">
        <f>SUMIFS('Lançamentos'!$J$2:$J$5010,'Lançamentos'!$A$2:$A$5010,"Insumos e papel",'Lançamentos'!$H$2:$H$5010,$A48,'Lançamentos'!$D$2:$D$5010,"Em 2026")</f>
        <v/>
      </c>
      <c r="O48" s="9">
        <f>SUMIFS('Lançamentos'!$K$2:$K$5010,'Lançamentos'!$A$2:$A$5010,"Insumos e papel",'Lançamentos'!$H$2:$H$5010,$A48,'Lançamentos'!$D$2:$D$5010,"Em 2026")</f>
        <v/>
      </c>
      <c r="P48" s="26">
        <f>COUNTIFS('Lançamentos'!$A$2:$A$5010,"Insumos e papel",'Lançamentos'!$H$2:$H$5010,$A48,'Lançamentos'!$D$2:$D$5010,"Em 2026")</f>
        <v/>
      </c>
    </row>
    <row r="49">
      <c r="A49" t="inlineStr">
        <is>
          <t>José Adriano da silva</t>
        </is>
      </c>
      <c r="B49" s="9">
        <f>SUMIFS('Lançamentos'!$L$2:$L$5010,'Lançamentos'!$A$2:$A$5010,"Insumos e papel",'Lançamentos'!$H$2:$H$5010,$A49,'Lançamentos'!$C$2:$C$5010,B$24)</f>
        <v/>
      </c>
      <c r="C49" s="9">
        <f>SUMIFS('Lançamentos'!$L$2:$L$5010,'Lançamentos'!$A$2:$A$5010,"Insumos e papel",'Lançamentos'!$H$2:$H$5010,$A49,'Lançamentos'!$C$2:$C$5010,C$24)</f>
        <v/>
      </c>
      <c r="D49" s="9">
        <f>SUMIFS('Lançamentos'!$L$2:$L$5010,'Lançamentos'!$A$2:$A$5010,"Insumos e papel",'Lançamentos'!$H$2:$H$5010,$A49,'Lançamentos'!$C$2:$C$5010,D$24)</f>
        <v/>
      </c>
      <c r="E49" s="9">
        <f>SUMIFS('Lançamentos'!$L$2:$L$5010,'Lançamentos'!$A$2:$A$5010,"Insumos e papel",'Lançamentos'!$H$2:$H$5010,$A49,'Lançamentos'!$C$2:$C$5010,E$24)</f>
        <v/>
      </c>
      <c r="F49" s="9">
        <f>SUMIFS('Lançamentos'!$L$2:$L$5010,'Lançamentos'!$A$2:$A$5010,"Insumos e papel",'Lançamentos'!$H$2:$H$5010,$A49,'Lançamentos'!$C$2:$C$5010,F$24)</f>
        <v/>
      </c>
      <c r="G49" s="9">
        <f>SUMIFS('Lançamentos'!$L$2:$L$5010,'Lançamentos'!$A$2:$A$5010,"Insumos e papel",'Lançamentos'!$H$2:$H$5010,$A49,'Lançamentos'!$C$2:$C$5010,G$24)</f>
        <v/>
      </c>
      <c r="H49" s="9">
        <f>SUMIFS('Lançamentos'!$L$2:$L$5010,'Lançamentos'!$A$2:$A$5010,"Insumos e papel",'Lançamentos'!$H$2:$H$5010,$A49,'Lançamentos'!$C$2:$C$5010,H$24)</f>
        <v/>
      </c>
      <c r="I49" s="9">
        <f>SUMIFS('Lançamentos'!$L$2:$L$5010,'Lançamentos'!$A$2:$A$5010,"Insumos e papel",'Lançamentos'!$H$2:$H$5010,$A49,'Lançamentos'!$C$2:$C$5010,I$24)</f>
        <v/>
      </c>
      <c r="J49" s="9">
        <f>SUMIFS('Lançamentos'!$L$2:$L$5010,'Lançamentos'!$A$2:$A$5010,"Insumos e papel",'Lançamentos'!$H$2:$H$5010,$A49,'Lançamentos'!$C$2:$C$5010,J$24)</f>
        <v/>
      </c>
      <c r="K49" s="9">
        <f>SUM(B49:J49)</f>
        <v/>
      </c>
      <c r="L49" s="10">
        <f>K49/K$61</f>
        <v/>
      </c>
      <c r="M49" s="9">
        <f>SUMIFS('Lançamentos'!$L$2:$L$5010,'Lançamentos'!$A$2:$A$5010,"Insumos e papel",'Lançamentos'!$H$2:$H$5010,$A49,'Lançamentos'!$C$2:$C$5010,"Antes de 2026")</f>
        <v/>
      </c>
      <c r="N49" s="9">
        <f>SUMIFS('Lançamentos'!$J$2:$J$5010,'Lançamentos'!$A$2:$A$5010,"Insumos e papel",'Lançamentos'!$H$2:$H$5010,$A49,'Lançamentos'!$D$2:$D$5010,"Em 2026")</f>
        <v/>
      </c>
      <c r="O49" s="9">
        <f>SUMIFS('Lançamentos'!$K$2:$K$5010,'Lançamentos'!$A$2:$A$5010,"Insumos e papel",'Lançamentos'!$H$2:$H$5010,$A49,'Lançamentos'!$D$2:$D$5010,"Em 2026")</f>
        <v/>
      </c>
      <c r="P49" s="26">
        <f>COUNTIFS('Lançamentos'!$A$2:$A$5010,"Insumos e papel",'Lançamentos'!$H$2:$H$5010,$A49,'Lançamentos'!$D$2:$D$5010,"Em 2026")</f>
        <v/>
      </c>
    </row>
    <row r="50">
      <c r="A50" t="inlineStr">
        <is>
          <t>COMERCIAL CASA NOVA MATERIAL DE CONSTRUCAO PB LTDA</t>
        </is>
      </c>
      <c r="B50" s="9">
        <f>SUMIFS('Lançamentos'!$L$2:$L$5010,'Lançamentos'!$A$2:$A$5010,"Insumos e papel",'Lançamentos'!$H$2:$H$5010,$A50,'Lançamentos'!$C$2:$C$5010,B$24)</f>
        <v/>
      </c>
      <c r="C50" s="9">
        <f>SUMIFS('Lançamentos'!$L$2:$L$5010,'Lançamentos'!$A$2:$A$5010,"Insumos e papel",'Lançamentos'!$H$2:$H$5010,$A50,'Lançamentos'!$C$2:$C$5010,C$24)</f>
        <v/>
      </c>
      <c r="D50" s="9">
        <f>SUMIFS('Lançamentos'!$L$2:$L$5010,'Lançamentos'!$A$2:$A$5010,"Insumos e papel",'Lançamentos'!$H$2:$H$5010,$A50,'Lançamentos'!$C$2:$C$5010,D$24)</f>
        <v/>
      </c>
      <c r="E50" s="9">
        <f>SUMIFS('Lançamentos'!$L$2:$L$5010,'Lançamentos'!$A$2:$A$5010,"Insumos e papel",'Lançamentos'!$H$2:$H$5010,$A50,'Lançamentos'!$C$2:$C$5010,E$24)</f>
        <v/>
      </c>
      <c r="F50" s="9">
        <f>SUMIFS('Lançamentos'!$L$2:$L$5010,'Lançamentos'!$A$2:$A$5010,"Insumos e papel",'Lançamentos'!$H$2:$H$5010,$A50,'Lançamentos'!$C$2:$C$5010,F$24)</f>
        <v/>
      </c>
      <c r="G50" s="9">
        <f>SUMIFS('Lançamentos'!$L$2:$L$5010,'Lançamentos'!$A$2:$A$5010,"Insumos e papel",'Lançamentos'!$H$2:$H$5010,$A50,'Lançamentos'!$C$2:$C$5010,G$24)</f>
        <v/>
      </c>
      <c r="H50" s="9">
        <f>SUMIFS('Lançamentos'!$L$2:$L$5010,'Lançamentos'!$A$2:$A$5010,"Insumos e papel",'Lançamentos'!$H$2:$H$5010,$A50,'Lançamentos'!$C$2:$C$5010,H$24)</f>
        <v/>
      </c>
      <c r="I50" s="9">
        <f>SUMIFS('Lançamentos'!$L$2:$L$5010,'Lançamentos'!$A$2:$A$5010,"Insumos e papel",'Lançamentos'!$H$2:$H$5010,$A50,'Lançamentos'!$C$2:$C$5010,I$24)</f>
        <v/>
      </c>
      <c r="J50" s="9">
        <f>SUMIFS('Lançamentos'!$L$2:$L$5010,'Lançamentos'!$A$2:$A$5010,"Insumos e papel",'Lançamentos'!$H$2:$H$5010,$A50,'Lançamentos'!$C$2:$C$5010,J$24)</f>
        <v/>
      </c>
      <c r="K50" s="9">
        <f>SUM(B50:J50)</f>
        <v/>
      </c>
      <c r="L50" s="10">
        <f>K50/K$61</f>
        <v/>
      </c>
      <c r="M50" s="9">
        <f>SUMIFS('Lançamentos'!$L$2:$L$5010,'Lançamentos'!$A$2:$A$5010,"Insumos e papel",'Lançamentos'!$H$2:$H$5010,$A50,'Lançamentos'!$C$2:$C$5010,"Antes de 2026")</f>
        <v/>
      </c>
      <c r="N50" s="9">
        <f>SUMIFS('Lançamentos'!$J$2:$J$5010,'Lançamentos'!$A$2:$A$5010,"Insumos e papel",'Lançamentos'!$H$2:$H$5010,$A50,'Lançamentos'!$D$2:$D$5010,"Em 2026")</f>
        <v/>
      </c>
      <c r="O50" s="9">
        <f>SUMIFS('Lançamentos'!$K$2:$K$5010,'Lançamentos'!$A$2:$A$5010,"Insumos e papel",'Lançamentos'!$H$2:$H$5010,$A50,'Lançamentos'!$D$2:$D$5010,"Em 2026")</f>
        <v/>
      </c>
      <c r="P50" s="26">
        <f>COUNTIFS('Lançamentos'!$A$2:$A$5010,"Insumos e papel",'Lançamentos'!$H$2:$H$5010,$A50,'Lançamentos'!$D$2:$D$5010,"Em 2026")</f>
        <v/>
      </c>
    </row>
    <row r="51">
      <c r="A51" t="inlineStr">
        <is>
          <t>ALSTEK SOLUCOES EM EMBALAGENS - LTDA</t>
        </is>
      </c>
      <c r="B51" s="9">
        <f>SUMIFS('Lançamentos'!$L$2:$L$5010,'Lançamentos'!$A$2:$A$5010,"Insumos e papel",'Lançamentos'!$H$2:$H$5010,$A51,'Lançamentos'!$C$2:$C$5010,B$24)</f>
        <v/>
      </c>
      <c r="C51" s="9">
        <f>SUMIFS('Lançamentos'!$L$2:$L$5010,'Lançamentos'!$A$2:$A$5010,"Insumos e papel",'Lançamentos'!$H$2:$H$5010,$A51,'Lançamentos'!$C$2:$C$5010,C$24)</f>
        <v/>
      </c>
      <c r="D51" s="9">
        <f>SUMIFS('Lançamentos'!$L$2:$L$5010,'Lançamentos'!$A$2:$A$5010,"Insumos e papel",'Lançamentos'!$H$2:$H$5010,$A51,'Lançamentos'!$C$2:$C$5010,D$24)</f>
        <v/>
      </c>
      <c r="E51" s="9">
        <f>SUMIFS('Lançamentos'!$L$2:$L$5010,'Lançamentos'!$A$2:$A$5010,"Insumos e papel",'Lançamentos'!$H$2:$H$5010,$A51,'Lançamentos'!$C$2:$C$5010,E$24)</f>
        <v/>
      </c>
      <c r="F51" s="9">
        <f>SUMIFS('Lançamentos'!$L$2:$L$5010,'Lançamentos'!$A$2:$A$5010,"Insumos e papel",'Lançamentos'!$H$2:$H$5010,$A51,'Lançamentos'!$C$2:$C$5010,F$24)</f>
        <v/>
      </c>
      <c r="G51" s="9">
        <f>SUMIFS('Lançamentos'!$L$2:$L$5010,'Lançamentos'!$A$2:$A$5010,"Insumos e papel",'Lançamentos'!$H$2:$H$5010,$A51,'Lançamentos'!$C$2:$C$5010,G$24)</f>
        <v/>
      </c>
      <c r="H51" s="9">
        <f>SUMIFS('Lançamentos'!$L$2:$L$5010,'Lançamentos'!$A$2:$A$5010,"Insumos e papel",'Lançamentos'!$H$2:$H$5010,$A51,'Lançamentos'!$C$2:$C$5010,H$24)</f>
        <v/>
      </c>
      <c r="I51" s="9">
        <f>SUMIFS('Lançamentos'!$L$2:$L$5010,'Lançamentos'!$A$2:$A$5010,"Insumos e papel",'Lançamentos'!$H$2:$H$5010,$A51,'Lançamentos'!$C$2:$C$5010,I$24)</f>
        <v/>
      </c>
      <c r="J51" s="9">
        <f>SUMIFS('Lançamentos'!$L$2:$L$5010,'Lançamentos'!$A$2:$A$5010,"Insumos e papel",'Lançamentos'!$H$2:$H$5010,$A51,'Lançamentos'!$C$2:$C$5010,J$24)</f>
        <v/>
      </c>
      <c r="K51" s="9">
        <f>SUM(B51:J51)</f>
        <v/>
      </c>
      <c r="L51" s="10">
        <f>K51/K$61</f>
        <v/>
      </c>
      <c r="M51" s="9">
        <f>SUMIFS('Lançamentos'!$L$2:$L$5010,'Lançamentos'!$A$2:$A$5010,"Insumos e papel",'Lançamentos'!$H$2:$H$5010,$A51,'Lançamentos'!$C$2:$C$5010,"Antes de 2026")</f>
        <v/>
      </c>
      <c r="N51" s="9">
        <f>SUMIFS('Lançamentos'!$J$2:$J$5010,'Lançamentos'!$A$2:$A$5010,"Insumos e papel",'Lançamentos'!$H$2:$H$5010,$A51,'Lançamentos'!$D$2:$D$5010,"Em 2026")</f>
        <v/>
      </c>
      <c r="O51" s="9">
        <f>SUMIFS('Lançamentos'!$K$2:$K$5010,'Lançamentos'!$A$2:$A$5010,"Insumos e papel",'Lançamentos'!$H$2:$H$5010,$A51,'Lançamentos'!$D$2:$D$5010,"Em 2026")</f>
        <v/>
      </c>
      <c r="P51" s="26">
        <f>COUNTIFS('Lançamentos'!$A$2:$A$5010,"Insumos e papel",'Lançamentos'!$H$2:$H$5010,$A51,'Lançamentos'!$D$2:$D$5010,"Em 2026")</f>
        <v/>
      </c>
    </row>
    <row r="52">
      <c r="A52" t="inlineStr">
        <is>
          <t>ANA MARIA BRITO DE SOUZA LTDA</t>
        </is>
      </c>
      <c r="B52" s="9">
        <f>SUMIFS('Lançamentos'!$L$2:$L$5010,'Lançamentos'!$A$2:$A$5010,"Insumos e papel",'Lançamentos'!$H$2:$H$5010,$A52,'Lançamentos'!$C$2:$C$5010,B$24)</f>
        <v/>
      </c>
      <c r="C52" s="9">
        <f>SUMIFS('Lançamentos'!$L$2:$L$5010,'Lançamentos'!$A$2:$A$5010,"Insumos e papel",'Lançamentos'!$H$2:$H$5010,$A52,'Lançamentos'!$C$2:$C$5010,C$24)</f>
        <v/>
      </c>
      <c r="D52" s="9">
        <f>SUMIFS('Lançamentos'!$L$2:$L$5010,'Lançamentos'!$A$2:$A$5010,"Insumos e papel",'Lançamentos'!$H$2:$H$5010,$A52,'Lançamentos'!$C$2:$C$5010,D$24)</f>
        <v/>
      </c>
      <c r="E52" s="9">
        <f>SUMIFS('Lançamentos'!$L$2:$L$5010,'Lançamentos'!$A$2:$A$5010,"Insumos e papel",'Lançamentos'!$H$2:$H$5010,$A52,'Lançamentos'!$C$2:$C$5010,E$24)</f>
        <v/>
      </c>
      <c r="F52" s="9">
        <f>SUMIFS('Lançamentos'!$L$2:$L$5010,'Lançamentos'!$A$2:$A$5010,"Insumos e papel",'Lançamentos'!$H$2:$H$5010,$A52,'Lançamentos'!$C$2:$C$5010,F$24)</f>
        <v/>
      </c>
      <c r="G52" s="9">
        <f>SUMIFS('Lançamentos'!$L$2:$L$5010,'Lançamentos'!$A$2:$A$5010,"Insumos e papel",'Lançamentos'!$H$2:$H$5010,$A52,'Lançamentos'!$C$2:$C$5010,G$24)</f>
        <v/>
      </c>
      <c r="H52" s="9">
        <f>SUMIFS('Lançamentos'!$L$2:$L$5010,'Lançamentos'!$A$2:$A$5010,"Insumos e papel",'Lançamentos'!$H$2:$H$5010,$A52,'Lançamentos'!$C$2:$C$5010,H$24)</f>
        <v/>
      </c>
      <c r="I52" s="9">
        <f>SUMIFS('Lançamentos'!$L$2:$L$5010,'Lançamentos'!$A$2:$A$5010,"Insumos e papel",'Lançamentos'!$H$2:$H$5010,$A52,'Lançamentos'!$C$2:$C$5010,I$24)</f>
        <v/>
      </c>
      <c r="J52" s="9">
        <f>SUMIFS('Lançamentos'!$L$2:$L$5010,'Lançamentos'!$A$2:$A$5010,"Insumos e papel",'Lançamentos'!$H$2:$H$5010,$A52,'Lançamentos'!$C$2:$C$5010,J$24)</f>
        <v/>
      </c>
      <c r="K52" s="9">
        <f>SUM(B52:J52)</f>
        <v/>
      </c>
      <c r="L52" s="10">
        <f>K52/K$61</f>
        <v/>
      </c>
      <c r="M52" s="9">
        <f>SUMIFS('Lançamentos'!$L$2:$L$5010,'Lançamentos'!$A$2:$A$5010,"Insumos e papel",'Lançamentos'!$H$2:$H$5010,$A52,'Lançamentos'!$C$2:$C$5010,"Antes de 2026")</f>
        <v/>
      </c>
      <c r="N52" s="9">
        <f>SUMIFS('Lançamentos'!$J$2:$J$5010,'Lançamentos'!$A$2:$A$5010,"Insumos e papel",'Lançamentos'!$H$2:$H$5010,$A52,'Lançamentos'!$D$2:$D$5010,"Em 2026")</f>
        <v/>
      </c>
      <c r="O52" s="9">
        <f>SUMIFS('Lançamentos'!$K$2:$K$5010,'Lançamentos'!$A$2:$A$5010,"Insumos e papel",'Lançamentos'!$H$2:$H$5010,$A52,'Lançamentos'!$D$2:$D$5010,"Em 2026")</f>
        <v/>
      </c>
      <c r="P52" s="26">
        <f>COUNTIFS('Lançamentos'!$A$2:$A$5010,"Insumos e papel",'Lançamentos'!$H$2:$H$5010,$A52,'Lançamentos'!$D$2:$D$5010,"Em 2026")</f>
        <v/>
      </c>
    </row>
    <row r="53">
      <c r="A53" t="inlineStr">
        <is>
          <t>B. B. A. INDUSTRIA E COMERCIO IMPORTACAO E EXPORTACAO LTDA</t>
        </is>
      </c>
      <c r="B53" s="9">
        <f>SUMIFS('Lançamentos'!$L$2:$L$5010,'Lançamentos'!$A$2:$A$5010,"Insumos e papel",'Lançamentos'!$H$2:$H$5010,$A53,'Lançamentos'!$C$2:$C$5010,B$24)</f>
        <v/>
      </c>
      <c r="C53" s="9">
        <f>SUMIFS('Lançamentos'!$L$2:$L$5010,'Lançamentos'!$A$2:$A$5010,"Insumos e papel",'Lançamentos'!$H$2:$H$5010,$A53,'Lançamentos'!$C$2:$C$5010,C$24)</f>
        <v/>
      </c>
      <c r="D53" s="9">
        <f>SUMIFS('Lançamentos'!$L$2:$L$5010,'Lançamentos'!$A$2:$A$5010,"Insumos e papel",'Lançamentos'!$H$2:$H$5010,$A53,'Lançamentos'!$C$2:$C$5010,D$24)</f>
        <v/>
      </c>
      <c r="E53" s="9">
        <f>SUMIFS('Lançamentos'!$L$2:$L$5010,'Lançamentos'!$A$2:$A$5010,"Insumos e papel",'Lançamentos'!$H$2:$H$5010,$A53,'Lançamentos'!$C$2:$C$5010,E$24)</f>
        <v/>
      </c>
      <c r="F53" s="9">
        <f>SUMIFS('Lançamentos'!$L$2:$L$5010,'Lançamentos'!$A$2:$A$5010,"Insumos e papel",'Lançamentos'!$H$2:$H$5010,$A53,'Lançamentos'!$C$2:$C$5010,F$24)</f>
        <v/>
      </c>
      <c r="G53" s="9">
        <f>SUMIFS('Lançamentos'!$L$2:$L$5010,'Lançamentos'!$A$2:$A$5010,"Insumos e papel",'Lançamentos'!$H$2:$H$5010,$A53,'Lançamentos'!$C$2:$C$5010,G$24)</f>
        <v/>
      </c>
      <c r="H53" s="9">
        <f>SUMIFS('Lançamentos'!$L$2:$L$5010,'Lançamentos'!$A$2:$A$5010,"Insumos e papel",'Lançamentos'!$H$2:$H$5010,$A53,'Lançamentos'!$C$2:$C$5010,H$24)</f>
        <v/>
      </c>
      <c r="I53" s="9">
        <f>SUMIFS('Lançamentos'!$L$2:$L$5010,'Lançamentos'!$A$2:$A$5010,"Insumos e papel",'Lançamentos'!$H$2:$H$5010,$A53,'Lançamentos'!$C$2:$C$5010,I$24)</f>
        <v/>
      </c>
      <c r="J53" s="9">
        <f>SUMIFS('Lançamentos'!$L$2:$L$5010,'Lançamentos'!$A$2:$A$5010,"Insumos e papel",'Lançamentos'!$H$2:$H$5010,$A53,'Lançamentos'!$C$2:$C$5010,J$24)</f>
        <v/>
      </c>
      <c r="K53" s="9">
        <f>SUM(B53:J53)</f>
        <v/>
      </c>
      <c r="L53" s="10">
        <f>K53/K$61</f>
        <v/>
      </c>
      <c r="M53" s="9">
        <f>SUMIFS('Lançamentos'!$L$2:$L$5010,'Lançamentos'!$A$2:$A$5010,"Insumos e papel",'Lançamentos'!$H$2:$H$5010,$A53,'Lançamentos'!$C$2:$C$5010,"Antes de 2026")</f>
        <v/>
      </c>
      <c r="N53" s="9">
        <f>SUMIFS('Lançamentos'!$J$2:$J$5010,'Lançamentos'!$A$2:$A$5010,"Insumos e papel",'Lançamentos'!$H$2:$H$5010,$A53,'Lançamentos'!$D$2:$D$5010,"Em 2026")</f>
        <v/>
      </c>
      <c r="O53" s="9">
        <f>SUMIFS('Lançamentos'!$K$2:$K$5010,'Lançamentos'!$A$2:$A$5010,"Insumos e papel",'Lançamentos'!$H$2:$H$5010,$A53,'Lançamentos'!$D$2:$D$5010,"Em 2026")</f>
        <v/>
      </c>
      <c r="P53" s="26">
        <f>COUNTIFS('Lançamentos'!$A$2:$A$5010,"Insumos e papel",'Lançamentos'!$H$2:$H$5010,$A53,'Lançamentos'!$D$2:$D$5010,"Em 2026")</f>
        <v/>
      </c>
    </row>
    <row r="54">
      <c r="A54" t="inlineStr">
        <is>
          <t>FURNAX COMERCIAL E IMPORTADORA EIRELI</t>
        </is>
      </c>
      <c r="B54" s="9">
        <f>SUMIFS('Lançamentos'!$L$2:$L$5010,'Lançamentos'!$A$2:$A$5010,"Insumos e papel",'Lançamentos'!$H$2:$H$5010,$A54,'Lançamentos'!$C$2:$C$5010,B$24)</f>
        <v/>
      </c>
      <c r="C54" s="9">
        <f>SUMIFS('Lançamentos'!$L$2:$L$5010,'Lançamentos'!$A$2:$A$5010,"Insumos e papel",'Lançamentos'!$H$2:$H$5010,$A54,'Lançamentos'!$C$2:$C$5010,C$24)</f>
        <v/>
      </c>
      <c r="D54" s="9">
        <f>SUMIFS('Lançamentos'!$L$2:$L$5010,'Lançamentos'!$A$2:$A$5010,"Insumos e papel",'Lançamentos'!$H$2:$H$5010,$A54,'Lançamentos'!$C$2:$C$5010,D$24)</f>
        <v/>
      </c>
      <c r="E54" s="9">
        <f>SUMIFS('Lançamentos'!$L$2:$L$5010,'Lançamentos'!$A$2:$A$5010,"Insumos e papel",'Lançamentos'!$H$2:$H$5010,$A54,'Lançamentos'!$C$2:$C$5010,E$24)</f>
        <v/>
      </c>
      <c r="F54" s="9">
        <f>SUMIFS('Lançamentos'!$L$2:$L$5010,'Lançamentos'!$A$2:$A$5010,"Insumos e papel",'Lançamentos'!$H$2:$H$5010,$A54,'Lançamentos'!$C$2:$C$5010,F$24)</f>
        <v/>
      </c>
      <c r="G54" s="9">
        <f>SUMIFS('Lançamentos'!$L$2:$L$5010,'Lançamentos'!$A$2:$A$5010,"Insumos e papel",'Lançamentos'!$H$2:$H$5010,$A54,'Lançamentos'!$C$2:$C$5010,G$24)</f>
        <v/>
      </c>
      <c r="H54" s="9">
        <f>SUMIFS('Lançamentos'!$L$2:$L$5010,'Lançamentos'!$A$2:$A$5010,"Insumos e papel",'Lançamentos'!$H$2:$H$5010,$A54,'Lançamentos'!$C$2:$C$5010,H$24)</f>
        <v/>
      </c>
      <c r="I54" s="9">
        <f>SUMIFS('Lançamentos'!$L$2:$L$5010,'Lançamentos'!$A$2:$A$5010,"Insumos e papel",'Lançamentos'!$H$2:$H$5010,$A54,'Lançamentos'!$C$2:$C$5010,I$24)</f>
        <v/>
      </c>
      <c r="J54" s="9">
        <f>SUMIFS('Lançamentos'!$L$2:$L$5010,'Lançamentos'!$A$2:$A$5010,"Insumos e papel",'Lançamentos'!$H$2:$H$5010,$A54,'Lançamentos'!$C$2:$C$5010,J$24)</f>
        <v/>
      </c>
      <c r="K54" s="9">
        <f>SUM(B54:J54)</f>
        <v/>
      </c>
      <c r="L54" s="10">
        <f>K54/K$61</f>
        <v/>
      </c>
      <c r="M54" s="9">
        <f>SUMIFS('Lançamentos'!$L$2:$L$5010,'Lançamentos'!$A$2:$A$5010,"Insumos e papel",'Lançamentos'!$H$2:$H$5010,$A54,'Lançamentos'!$C$2:$C$5010,"Antes de 2026")</f>
        <v/>
      </c>
      <c r="N54" s="9">
        <f>SUMIFS('Lançamentos'!$J$2:$J$5010,'Lançamentos'!$A$2:$A$5010,"Insumos e papel",'Lançamentos'!$H$2:$H$5010,$A54,'Lançamentos'!$D$2:$D$5010,"Em 2026")</f>
        <v/>
      </c>
      <c r="O54" s="9">
        <f>SUMIFS('Lançamentos'!$K$2:$K$5010,'Lançamentos'!$A$2:$A$5010,"Insumos e papel",'Lançamentos'!$H$2:$H$5010,$A54,'Lançamentos'!$D$2:$D$5010,"Em 2026")</f>
        <v/>
      </c>
      <c r="P54" s="26">
        <f>COUNTIFS('Lançamentos'!$A$2:$A$5010,"Insumos e papel",'Lançamentos'!$H$2:$H$5010,$A54,'Lançamentos'!$D$2:$D$5010,"Em 2026")</f>
        <v/>
      </c>
    </row>
    <row r="55">
      <c r="A55" t="inlineStr">
        <is>
          <t>Limptech Paper Comercio Ltda</t>
        </is>
      </c>
      <c r="B55" s="9">
        <f>SUMIFS('Lançamentos'!$L$2:$L$5010,'Lançamentos'!$A$2:$A$5010,"Insumos e papel",'Lançamentos'!$H$2:$H$5010,$A55,'Lançamentos'!$C$2:$C$5010,B$24)</f>
        <v/>
      </c>
      <c r="C55" s="9">
        <f>SUMIFS('Lançamentos'!$L$2:$L$5010,'Lançamentos'!$A$2:$A$5010,"Insumos e papel",'Lançamentos'!$H$2:$H$5010,$A55,'Lançamentos'!$C$2:$C$5010,C$24)</f>
        <v/>
      </c>
      <c r="D55" s="9">
        <f>SUMIFS('Lançamentos'!$L$2:$L$5010,'Lançamentos'!$A$2:$A$5010,"Insumos e papel",'Lançamentos'!$H$2:$H$5010,$A55,'Lançamentos'!$C$2:$C$5010,D$24)</f>
        <v/>
      </c>
      <c r="E55" s="9">
        <f>SUMIFS('Lançamentos'!$L$2:$L$5010,'Lançamentos'!$A$2:$A$5010,"Insumos e papel",'Lançamentos'!$H$2:$H$5010,$A55,'Lançamentos'!$C$2:$C$5010,E$24)</f>
        <v/>
      </c>
      <c r="F55" s="9">
        <f>SUMIFS('Lançamentos'!$L$2:$L$5010,'Lançamentos'!$A$2:$A$5010,"Insumos e papel",'Lançamentos'!$H$2:$H$5010,$A55,'Lançamentos'!$C$2:$C$5010,F$24)</f>
        <v/>
      </c>
      <c r="G55" s="9">
        <f>SUMIFS('Lançamentos'!$L$2:$L$5010,'Lançamentos'!$A$2:$A$5010,"Insumos e papel",'Lançamentos'!$H$2:$H$5010,$A55,'Lançamentos'!$C$2:$C$5010,G$24)</f>
        <v/>
      </c>
      <c r="H55" s="9">
        <f>SUMIFS('Lançamentos'!$L$2:$L$5010,'Lançamentos'!$A$2:$A$5010,"Insumos e papel",'Lançamentos'!$H$2:$H$5010,$A55,'Lançamentos'!$C$2:$C$5010,H$24)</f>
        <v/>
      </c>
      <c r="I55" s="9">
        <f>SUMIFS('Lançamentos'!$L$2:$L$5010,'Lançamentos'!$A$2:$A$5010,"Insumos e papel",'Lançamentos'!$H$2:$H$5010,$A55,'Lançamentos'!$C$2:$C$5010,I$24)</f>
        <v/>
      </c>
      <c r="J55" s="9">
        <f>SUMIFS('Lançamentos'!$L$2:$L$5010,'Lançamentos'!$A$2:$A$5010,"Insumos e papel",'Lançamentos'!$H$2:$H$5010,$A55,'Lançamentos'!$C$2:$C$5010,J$24)</f>
        <v/>
      </c>
      <c r="K55" s="9">
        <f>SUM(B55:J55)</f>
        <v/>
      </c>
      <c r="L55" s="10">
        <f>K55/K$61</f>
        <v/>
      </c>
      <c r="M55" s="9">
        <f>SUMIFS('Lançamentos'!$L$2:$L$5010,'Lançamentos'!$A$2:$A$5010,"Insumos e papel",'Lançamentos'!$H$2:$H$5010,$A55,'Lançamentos'!$C$2:$C$5010,"Antes de 2026")</f>
        <v/>
      </c>
      <c r="N55" s="9">
        <f>SUMIFS('Lançamentos'!$J$2:$J$5010,'Lançamentos'!$A$2:$A$5010,"Insumos e papel",'Lançamentos'!$H$2:$H$5010,$A55,'Lançamentos'!$D$2:$D$5010,"Em 2026")</f>
        <v/>
      </c>
      <c r="O55" s="9">
        <f>SUMIFS('Lançamentos'!$K$2:$K$5010,'Lançamentos'!$A$2:$A$5010,"Insumos e papel",'Lançamentos'!$H$2:$H$5010,$A55,'Lançamentos'!$D$2:$D$5010,"Em 2026")</f>
        <v/>
      </c>
      <c r="P55" s="26">
        <f>COUNTIFS('Lançamentos'!$A$2:$A$5010,"Insumos e papel",'Lançamentos'!$H$2:$H$5010,$A55,'Lançamentos'!$D$2:$D$5010,"Em 2026")</f>
        <v/>
      </c>
    </row>
    <row r="56">
      <c r="A56" t="inlineStr">
        <is>
          <t>ASSISTENPACK COMERCIAL E INDUSTRIAL LTDA</t>
        </is>
      </c>
      <c r="B56" s="9">
        <f>SUMIFS('Lançamentos'!$L$2:$L$5010,'Lançamentos'!$A$2:$A$5010,"Insumos e papel",'Lançamentos'!$H$2:$H$5010,$A56,'Lançamentos'!$C$2:$C$5010,B$24)</f>
        <v/>
      </c>
      <c r="C56" s="9">
        <f>SUMIFS('Lançamentos'!$L$2:$L$5010,'Lançamentos'!$A$2:$A$5010,"Insumos e papel",'Lançamentos'!$H$2:$H$5010,$A56,'Lançamentos'!$C$2:$C$5010,C$24)</f>
        <v/>
      </c>
      <c r="D56" s="9">
        <f>SUMIFS('Lançamentos'!$L$2:$L$5010,'Lançamentos'!$A$2:$A$5010,"Insumos e papel",'Lançamentos'!$H$2:$H$5010,$A56,'Lançamentos'!$C$2:$C$5010,D$24)</f>
        <v/>
      </c>
      <c r="E56" s="9">
        <f>SUMIFS('Lançamentos'!$L$2:$L$5010,'Lançamentos'!$A$2:$A$5010,"Insumos e papel",'Lançamentos'!$H$2:$H$5010,$A56,'Lançamentos'!$C$2:$C$5010,E$24)</f>
        <v/>
      </c>
      <c r="F56" s="9">
        <f>SUMIFS('Lançamentos'!$L$2:$L$5010,'Lançamentos'!$A$2:$A$5010,"Insumos e papel",'Lançamentos'!$H$2:$H$5010,$A56,'Lançamentos'!$C$2:$C$5010,F$24)</f>
        <v/>
      </c>
      <c r="G56" s="9">
        <f>SUMIFS('Lançamentos'!$L$2:$L$5010,'Lançamentos'!$A$2:$A$5010,"Insumos e papel",'Lançamentos'!$H$2:$H$5010,$A56,'Lançamentos'!$C$2:$C$5010,G$24)</f>
        <v/>
      </c>
      <c r="H56" s="9">
        <f>SUMIFS('Lançamentos'!$L$2:$L$5010,'Lançamentos'!$A$2:$A$5010,"Insumos e papel",'Lançamentos'!$H$2:$H$5010,$A56,'Lançamentos'!$C$2:$C$5010,H$24)</f>
        <v/>
      </c>
      <c r="I56" s="9">
        <f>SUMIFS('Lançamentos'!$L$2:$L$5010,'Lançamentos'!$A$2:$A$5010,"Insumos e papel",'Lançamentos'!$H$2:$H$5010,$A56,'Lançamentos'!$C$2:$C$5010,I$24)</f>
        <v/>
      </c>
      <c r="J56" s="9">
        <f>SUMIFS('Lançamentos'!$L$2:$L$5010,'Lançamentos'!$A$2:$A$5010,"Insumos e papel",'Lançamentos'!$H$2:$H$5010,$A56,'Lançamentos'!$C$2:$C$5010,J$24)</f>
        <v/>
      </c>
      <c r="K56" s="9">
        <f>SUM(B56:J56)</f>
        <v/>
      </c>
      <c r="L56" s="10">
        <f>K56/K$61</f>
        <v/>
      </c>
      <c r="M56" s="9">
        <f>SUMIFS('Lançamentos'!$L$2:$L$5010,'Lançamentos'!$A$2:$A$5010,"Insumos e papel",'Lançamentos'!$H$2:$H$5010,$A56,'Lançamentos'!$C$2:$C$5010,"Antes de 2026")</f>
        <v/>
      </c>
      <c r="N56" s="9">
        <f>SUMIFS('Lançamentos'!$J$2:$J$5010,'Lançamentos'!$A$2:$A$5010,"Insumos e papel",'Lançamentos'!$H$2:$H$5010,$A56,'Lançamentos'!$D$2:$D$5010,"Em 2026")</f>
        <v/>
      </c>
      <c r="O56" s="9">
        <f>SUMIFS('Lançamentos'!$K$2:$K$5010,'Lançamentos'!$A$2:$A$5010,"Insumos e papel",'Lançamentos'!$H$2:$H$5010,$A56,'Lançamentos'!$D$2:$D$5010,"Em 2026")</f>
        <v/>
      </c>
      <c r="P56" s="26">
        <f>COUNTIFS('Lançamentos'!$A$2:$A$5010,"Insumos e papel",'Lançamentos'!$H$2:$H$5010,$A56,'Lançamentos'!$D$2:$D$5010,"Em 2026")</f>
        <v/>
      </c>
    </row>
    <row r="57">
      <c r="A57" t="inlineStr">
        <is>
          <t>MULTIPEL COMERCIO LTDA</t>
        </is>
      </c>
      <c r="B57" s="9">
        <f>SUMIFS('Lançamentos'!$L$2:$L$5010,'Lançamentos'!$A$2:$A$5010,"Insumos e papel",'Lançamentos'!$H$2:$H$5010,$A57,'Lançamentos'!$C$2:$C$5010,B$24)</f>
        <v/>
      </c>
      <c r="C57" s="9">
        <f>SUMIFS('Lançamentos'!$L$2:$L$5010,'Lançamentos'!$A$2:$A$5010,"Insumos e papel",'Lançamentos'!$H$2:$H$5010,$A57,'Lançamentos'!$C$2:$C$5010,C$24)</f>
        <v/>
      </c>
      <c r="D57" s="9">
        <f>SUMIFS('Lançamentos'!$L$2:$L$5010,'Lançamentos'!$A$2:$A$5010,"Insumos e papel",'Lançamentos'!$H$2:$H$5010,$A57,'Lançamentos'!$C$2:$C$5010,D$24)</f>
        <v/>
      </c>
      <c r="E57" s="9">
        <f>SUMIFS('Lançamentos'!$L$2:$L$5010,'Lançamentos'!$A$2:$A$5010,"Insumos e papel",'Lançamentos'!$H$2:$H$5010,$A57,'Lançamentos'!$C$2:$C$5010,E$24)</f>
        <v/>
      </c>
      <c r="F57" s="9">
        <f>SUMIFS('Lançamentos'!$L$2:$L$5010,'Lançamentos'!$A$2:$A$5010,"Insumos e papel",'Lançamentos'!$H$2:$H$5010,$A57,'Lançamentos'!$C$2:$C$5010,F$24)</f>
        <v/>
      </c>
      <c r="G57" s="9">
        <f>SUMIFS('Lançamentos'!$L$2:$L$5010,'Lançamentos'!$A$2:$A$5010,"Insumos e papel",'Lançamentos'!$H$2:$H$5010,$A57,'Lançamentos'!$C$2:$C$5010,G$24)</f>
        <v/>
      </c>
      <c r="H57" s="9">
        <f>SUMIFS('Lançamentos'!$L$2:$L$5010,'Lançamentos'!$A$2:$A$5010,"Insumos e papel",'Lançamentos'!$H$2:$H$5010,$A57,'Lançamentos'!$C$2:$C$5010,H$24)</f>
        <v/>
      </c>
      <c r="I57" s="9">
        <f>SUMIFS('Lançamentos'!$L$2:$L$5010,'Lançamentos'!$A$2:$A$5010,"Insumos e papel",'Lançamentos'!$H$2:$H$5010,$A57,'Lançamentos'!$C$2:$C$5010,I$24)</f>
        <v/>
      </c>
      <c r="J57" s="9">
        <f>SUMIFS('Lançamentos'!$L$2:$L$5010,'Lançamentos'!$A$2:$A$5010,"Insumos e papel",'Lançamentos'!$H$2:$H$5010,$A57,'Lançamentos'!$C$2:$C$5010,J$24)</f>
        <v/>
      </c>
      <c r="K57" s="9">
        <f>SUM(B57:J57)</f>
        <v/>
      </c>
      <c r="L57" s="10">
        <f>K57/K$61</f>
        <v/>
      </c>
      <c r="M57" s="9">
        <f>SUMIFS('Lançamentos'!$L$2:$L$5010,'Lançamentos'!$A$2:$A$5010,"Insumos e papel",'Lançamentos'!$H$2:$H$5010,$A57,'Lançamentos'!$C$2:$C$5010,"Antes de 2026")</f>
        <v/>
      </c>
      <c r="N57" s="9">
        <f>SUMIFS('Lançamentos'!$J$2:$J$5010,'Lançamentos'!$A$2:$A$5010,"Insumos e papel",'Lançamentos'!$H$2:$H$5010,$A57,'Lançamentos'!$D$2:$D$5010,"Em 2026")</f>
        <v/>
      </c>
      <c r="O57" s="9">
        <f>SUMIFS('Lançamentos'!$K$2:$K$5010,'Lançamentos'!$A$2:$A$5010,"Insumos e papel",'Lançamentos'!$H$2:$H$5010,$A57,'Lançamentos'!$D$2:$D$5010,"Em 2026")</f>
        <v/>
      </c>
      <c r="P57" s="26">
        <f>COUNTIFS('Lançamentos'!$A$2:$A$5010,"Insumos e papel",'Lançamentos'!$H$2:$H$5010,$A57,'Lançamentos'!$D$2:$D$5010,"Em 2026")</f>
        <v/>
      </c>
    </row>
    <row r="58">
      <c r="A58" t="inlineStr">
        <is>
          <t>PARAIBA PLAST COMERCIAL EIRELI</t>
        </is>
      </c>
      <c r="B58" s="9">
        <f>SUMIFS('Lançamentos'!$L$2:$L$5010,'Lançamentos'!$A$2:$A$5010,"Insumos e papel",'Lançamentos'!$H$2:$H$5010,$A58,'Lançamentos'!$C$2:$C$5010,B$24)</f>
        <v/>
      </c>
      <c r="C58" s="9">
        <f>SUMIFS('Lançamentos'!$L$2:$L$5010,'Lançamentos'!$A$2:$A$5010,"Insumos e papel",'Lançamentos'!$H$2:$H$5010,$A58,'Lançamentos'!$C$2:$C$5010,C$24)</f>
        <v/>
      </c>
      <c r="D58" s="9">
        <f>SUMIFS('Lançamentos'!$L$2:$L$5010,'Lançamentos'!$A$2:$A$5010,"Insumos e papel",'Lançamentos'!$H$2:$H$5010,$A58,'Lançamentos'!$C$2:$C$5010,D$24)</f>
        <v/>
      </c>
      <c r="E58" s="9">
        <f>SUMIFS('Lançamentos'!$L$2:$L$5010,'Lançamentos'!$A$2:$A$5010,"Insumos e papel",'Lançamentos'!$H$2:$H$5010,$A58,'Lançamentos'!$C$2:$C$5010,E$24)</f>
        <v/>
      </c>
      <c r="F58" s="9">
        <f>SUMIFS('Lançamentos'!$L$2:$L$5010,'Lançamentos'!$A$2:$A$5010,"Insumos e papel",'Lançamentos'!$H$2:$H$5010,$A58,'Lançamentos'!$C$2:$C$5010,F$24)</f>
        <v/>
      </c>
      <c r="G58" s="9">
        <f>SUMIFS('Lançamentos'!$L$2:$L$5010,'Lançamentos'!$A$2:$A$5010,"Insumos e papel",'Lançamentos'!$H$2:$H$5010,$A58,'Lançamentos'!$C$2:$C$5010,G$24)</f>
        <v/>
      </c>
      <c r="H58" s="9">
        <f>SUMIFS('Lançamentos'!$L$2:$L$5010,'Lançamentos'!$A$2:$A$5010,"Insumos e papel",'Lançamentos'!$H$2:$H$5010,$A58,'Lançamentos'!$C$2:$C$5010,H$24)</f>
        <v/>
      </c>
      <c r="I58" s="9">
        <f>SUMIFS('Lançamentos'!$L$2:$L$5010,'Lançamentos'!$A$2:$A$5010,"Insumos e papel",'Lançamentos'!$H$2:$H$5010,$A58,'Lançamentos'!$C$2:$C$5010,I$24)</f>
        <v/>
      </c>
      <c r="J58" s="9">
        <f>SUMIFS('Lançamentos'!$L$2:$L$5010,'Lançamentos'!$A$2:$A$5010,"Insumos e papel",'Lançamentos'!$H$2:$H$5010,$A58,'Lançamentos'!$C$2:$C$5010,J$24)</f>
        <v/>
      </c>
      <c r="K58" s="9">
        <f>SUM(B58:J58)</f>
        <v/>
      </c>
      <c r="L58" s="10">
        <f>K58/K$61</f>
        <v/>
      </c>
      <c r="M58" s="9">
        <f>SUMIFS('Lançamentos'!$L$2:$L$5010,'Lançamentos'!$A$2:$A$5010,"Insumos e papel",'Lançamentos'!$H$2:$H$5010,$A58,'Lançamentos'!$C$2:$C$5010,"Antes de 2026")</f>
        <v/>
      </c>
      <c r="N58" s="9">
        <f>SUMIFS('Lançamentos'!$J$2:$J$5010,'Lançamentos'!$A$2:$A$5010,"Insumos e papel",'Lançamentos'!$H$2:$H$5010,$A58,'Lançamentos'!$D$2:$D$5010,"Em 2026")</f>
        <v/>
      </c>
      <c r="O58" s="9">
        <f>SUMIFS('Lançamentos'!$K$2:$K$5010,'Lançamentos'!$A$2:$A$5010,"Insumos e papel",'Lançamentos'!$H$2:$H$5010,$A58,'Lançamentos'!$D$2:$D$5010,"Em 2026")</f>
        <v/>
      </c>
      <c r="P58" s="26">
        <f>COUNTIFS('Lançamentos'!$A$2:$A$5010,"Insumos e papel",'Lançamentos'!$H$2:$H$5010,$A58,'Lançamentos'!$D$2:$D$5010,"Em 2026")</f>
        <v/>
      </c>
    </row>
    <row r="59">
      <c r="A59" t="inlineStr">
        <is>
          <t>EDNA DE ARAUJO PACHECO LTDA</t>
        </is>
      </c>
      <c r="B59" s="9">
        <f>SUMIFS('Lançamentos'!$L$2:$L$5010,'Lançamentos'!$A$2:$A$5010,"Insumos e papel",'Lançamentos'!$H$2:$H$5010,$A59,'Lançamentos'!$C$2:$C$5010,B$24)</f>
        <v/>
      </c>
      <c r="C59" s="9">
        <f>SUMIFS('Lançamentos'!$L$2:$L$5010,'Lançamentos'!$A$2:$A$5010,"Insumos e papel",'Lançamentos'!$H$2:$H$5010,$A59,'Lançamentos'!$C$2:$C$5010,C$24)</f>
        <v/>
      </c>
      <c r="D59" s="9">
        <f>SUMIFS('Lançamentos'!$L$2:$L$5010,'Lançamentos'!$A$2:$A$5010,"Insumos e papel",'Lançamentos'!$H$2:$H$5010,$A59,'Lançamentos'!$C$2:$C$5010,D$24)</f>
        <v/>
      </c>
      <c r="E59" s="9">
        <f>SUMIFS('Lançamentos'!$L$2:$L$5010,'Lançamentos'!$A$2:$A$5010,"Insumos e papel",'Lançamentos'!$H$2:$H$5010,$A59,'Lançamentos'!$C$2:$C$5010,E$24)</f>
        <v/>
      </c>
      <c r="F59" s="9">
        <f>SUMIFS('Lançamentos'!$L$2:$L$5010,'Lançamentos'!$A$2:$A$5010,"Insumos e papel",'Lançamentos'!$H$2:$H$5010,$A59,'Lançamentos'!$C$2:$C$5010,F$24)</f>
        <v/>
      </c>
      <c r="G59" s="9">
        <f>SUMIFS('Lançamentos'!$L$2:$L$5010,'Lançamentos'!$A$2:$A$5010,"Insumos e papel",'Lançamentos'!$H$2:$H$5010,$A59,'Lançamentos'!$C$2:$C$5010,G$24)</f>
        <v/>
      </c>
      <c r="H59" s="9">
        <f>SUMIFS('Lançamentos'!$L$2:$L$5010,'Lançamentos'!$A$2:$A$5010,"Insumos e papel",'Lançamentos'!$H$2:$H$5010,$A59,'Lançamentos'!$C$2:$C$5010,H$24)</f>
        <v/>
      </c>
      <c r="I59" s="9">
        <f>SUMIFS('Lançamentos'!$L$2:$L$5010,'Lançamentos'!$A$2:$A$5010,"Insumos e papel",'Lançamentos'!$H$2:$H$5010,$A59,'Lançamentos'!$C$2:$C$5010,I$24)</f>
        <v/>
      </c>
      <c r="J59" s="9">
        <f>SUMIFS('Lançamentos'!$L$2:$L$5010,'Lançamentos'!$A$2:$A$5010,"Insumos e papel",'Lançamentos'!$H$2:$H$5010,$A59,'Lançamentos'!$C$2:$C$5010,J$24)</f>
        <v/>
      </c>
      <c r="K59" s="9">
        <f>SUM(B59:J59)</f>
        <v/>
      </c>
      <c r="L59" s="10">
        <f>K59/K$61</f>
        <v/>
      </c>
      <c r="M59" s="9">
        <f>SUMIFS('Lançamentos'!$L$2:$L$5010,'Lançamentos'!$A$2:$A$5010,"Insumos e papel",'Lançamentos'!$H$2:$H$5010,$A59,'Lançamentos'!$C$2:$C$5010,"Antes de 2026")</f>
        <v/>
      </c>
      <c r="N59" s="9">
        <f>SUMIFS('Lançamentos'!$J$2:$J$5010,'Lançamentos'!$A$2:$A$5010,"Insumos e papel",'Lançamentos'!$H$2:$H$5010,$A59,'Lançamentos'!$D$2:$D$5010,"Em 2026")</f>
        <v/>
      </c>
      <c r="O59" s="9">
        <f>SUMIFS('Lançamentos'!$K$2:$K$5010,'Lançamentos'!$A$2:$A$5010,"Insumos e papel",'Lançamentos'!$H$2:$H$5010,$A59,'Lançamentos'!$D$2:$D$5010,"Em 2026")</f>
        <v/>
      </c>
      <c r="P59" s="26">
        <f>COUNTIFS('Lançamentos'!$A$2:$A$5010,"Insumos e papel",'Lançamentos'!$H$2:$H$5010,$A59,'Lançamentos'!$D$2:$D$5010,"Em 2026")</f>
        <v/>
      </c>
    </row>
    <row r="60">
      <c r="A60" t="inlineStr">
        <is>
          <t>INFORPOINT SERVICOS E COMERCIO EM TECNOLOGIA LTDA</t>
        </is>
      </c>
      <c r="B60" s="9">
        <f>SUMIFS('Lançamentos'!$L$2:$L$5010,'Lançamentos'!$A$2:$A$5010,"Insumos e papel",'Lançamentos'!$H$2:$H$5010,$A60,'Lançamentos'!$C$2:$C$5010,B$24)</f>
        <v/>
      </c>
      <c r="C60" s="9">
        <f>SUMIFS('Lançamentos'!$L$2:$L$5010,'Lançamentos'!$A$2:$A$5010,"Insumos e papel",'Lançamentos'!$H$2:$H$5010,$A60,'Lançamentos'!$C$2:$C$5010,C$24)</f>
        <v/>
      </c>
      <c r="D60" s="9">
        <f>SUMIFS('Lançamentos'!$L$2:$L$5010,'Lançamentos'!$A$2:$A$5010,"Insumos e papel",'Lançamentos'!$H$2:$H$5010,$A60,'Lançamentos'!$C$2:$C$5010,D$24)</f>
        <v/>
      </c>
      <c r="E60" s="9">
        <f>SUMIFS('Lançamentos'!$L$2:$L$5010,'Lançamentos'!$A$2:$A$5010,"Insumos e papel",'Lançamentos'!$H$2:$H$5010,$A60,'Lançamentos'!$C$2:$C$5010,E$24)</f>
        <v/>
      </c>
      <c r="F60" s="9">
        <f>SUMIFS('Lançamentos'!$L$2:$L$5010,'Lançamentos'!$A$2:$A$5010,"Insumos e papel",'Lançamentos'!$H$2:$H$5010,$A60,'Lançamentos'!$C$2:$C$5010,F$24)</f>
        <v/>
      </c>
      <c r="G60" s="9">
        <f>SUMIFS('Lançamentos'!$L$2:$L$5010,'Lançamentos'!$A$2:$A$5010,"Insumos e papel",'Lançamentos'!$H$2:$H$5010,$A60,'Lançamentos'!$C$2:$C$5010,G$24)</f>
        <v/>
      </c>
      <c r="H60" s="9">
        <f>SUMIFS('Lançamentos'!$L$2:$L$5010,'Lançamentos'!$A$2:$A$5010,"Insumos e papel",'Lançamentos'!$H$2:$H$5010,$A60,'Lançamentos'!$C$2:$C$5010,H$24)</f>
        <v/>
      </c>
      <c r="I60" s="9">
        <f>SUMIFS('Lançamentos'!$L$2:$L$5010,'Lançamentos'!$A$2:$A$5010,"Insumos e papel",'Lançamentos'!$H$2:$H$5010,$A60,'Lançamentos'!$C$2:$C$5010,I$24)</f>
        <v/>
      </c>
      <c r="J60" s="9">
        <f>SUMIFS('Lançamentos'!$L$2:$L$5010,'Lançamentos'!$A$2:$A$5010,"Insumos e papel",'Lançamentos'!$H$2:$H$5010,$A60,'Lançamentos'!$C$2:$C$5010,J$24)</f>
        <v/>
      </c>
      <c r="K60" s="9">
        <f>SUM(B60:J60)</f>
        <v/>
      </c>
      <c r="L60" s="10">
        <f>K60/K$61</f>
        <v/>
      </c>
      <c r="M60" s="9">
        <f>SUMIFS('Lançamentos'!$L$2:$L$5010,'Lançamentos'!$A$2:$A$5010,"Insumos e papel",'Lançamentos'!$H$2:$H$5010,$A60,'Lançamentos'!$C$2:$C$5010,"Antes de 2026")</f>
        <v/>
      </c>
      <c r="N60" s="9">
        <f>SUMIFS('Lançamentos'!$J$2:$J$5010,'Lançamentos'!$A$2:$A$5010,"Insumos e papel",'Lançamentos'!$H$2:$H$5010,$A60,'Lançamentos'!$D$2:$D$5010,"Em 2026")</f>
        <v/>
      </c>
      <c r="O60" s="9">
        <f>SUMIFS('Lançamentos'!$K$2:$K$5010,'Lançamentos'!$A$2:$A$5010,"Insumos e papel",'Lançamentos'!$H$2:$H$5010,$A60,'Lançamentos'!$D$2:$D$5010,"Em 2026")</f>
        <v/>
      </c>
      <c r="P60" s="26">
        <f>COUNTIFS('Lançamentos'!$A$2:$A$5010,"Insumos e papel",'Lançamentos'!$H$2:$H$5010,$A60,'Lançamentos'!$D$2:$D$5010,"Em 2026")</f>
        <v/>
      </c>
    </row>
    <row r="61">
      <c r="A61" s="11" t="inlineStr">
        <is>
          <t>TOTAL INSUMOS E PAPEL</t>
        </is>
      </c>
      <c r="B61" s="13">
        <f>SUM(B25:B60)</f>
        <v/>
      </c>
      <c r="C61" s="13">
        <f>SUM(C25:C60)</f>
        <v/>
      </c>
      <c r="D61" s="13">
        <f>SUM(D25:D60)</f>
        <v/>
      </c>
      <c r="E61" s="13">
        <f>SUM(E25:E60)</f>
        <v/>
      </c>
      <c r="F61" s="13">
        <f>SUM(F25:F60)</f>
        <v/>
      </c>
      <c r="G61" s="13">
        <f>SUM(G25:G60)</f>
        <v/>
      </c>
      <c r="H61" s="13">
        <f>SUM(H25:H60)</f>
        <v/>
      </c>
      <c r="I61" s="13">
        <f>SUM(I25:I60)</f>
        <v/>
      </c>
      <c r="J61" s="13">
        <f>SUM(J25:J60)</f>
        <v/>
      </c>
      <c r="K61" s="13">
        <f>SUM(K25:K60)</f>
        <v/>
      </c>
      <c r="L61" s="14">
        <f>K61/K$61</f>
        <v/>
      </c>
      <c r="M61" s="13">
        <f>SUM(M25:M60)</f>
        <v/>
      </c>
      <c r="N61" s="13">
        <f>SUM(N25:N60)</f>
        <v/>
      </c>
      <c r="O61" s="13">
        <f>SUM(O25:O60)</f>
        <v/>
      </c>
      <c r="P61" s="27">
        <f>SUM(P25:P60)</f>
        <v/>
      </c>
    </row>
    <row r="62">
      <c r="A62" t="inlineStr">
        <is>
          <t>Conferência: total por fornecedor − total por subcategoria (deve ser zero)</t>
        </is>
      </c>
      <c r="B62" s="9">
        <f>ROUND(B61-B17,2)</f>
        <v/>
      </c>
      <c r="C62" s="9">
        <f>ROUND(C61-C17,2)</f>
        <v/>
      </c>
      <c r="D62" s="9">
        <f>ROUND(D61-D17,2)</f>
        <v/>
      </c>
      <c r="E62" s="9">
        <f>ROUND(E61-E17,2)</f>
        <v/>
      </c>
      <c r="F62" s="9">
        <f>ROUND(F61-F17,2)</f>
        <v/>
      </c>
      <c r="G62" s="9">
        <f>ROUND(G61-G17,2)</f>
        <v/>
      </c>
      <c r="H62" s="9">
        <f>ROUND(H61-H17,2)</f>
        <v/>
      </c>
      <c r="I62" s="9">
        <f>ROUND(I61-I17,2)</f>
        <v/>
      </c>
      <c r="J62" s="9">
        <f>ROUND(J61-J17,2)</f>
        <v/>
      </c>
      <c r="K62" s="9">
        <f>ROUND(K61-K17,2)</f>
        <v/>
      </c>
      <c r="L62" s="10" t="n"/>
      <c r="M62" s="9">
        <f>ROUND(M61-M17,2)</f>
        <v/>
      </c>
      <c r="N62" s="9" t="n"/>
      <c r="O62" s="9" t="n"/>
      <c r="P62" s="2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7" t="inlineStr">
        <is>
          <t>Uso e consumo – 2026 (VINCO)</t>
        </is>
      </c>
    </row>
    <row r="2">
      <c r="A2" t="inlineStr">
        <is>
          <t>Material de uso e consumo, peças de máquinas, fardamento, EPI, limpeza e materiais administrativos. R$, mês de emissão, líquido de créditos (aba Premissas).</t>
        </is>
      </c>
    </row>
    <row r="4">
      <c r="A4" s="4" t="inlineStr">
        <is>
          <t>Subcategoria (categoria do Omie)</t>
        </is>
      </c>
      <c r="B4" s="18" t="n">
        <v>46023</v>
      </c>
      <c r="C4" s="18" t="n">
        <v>46054</v>
      </c>
      <c r="D4" s="18" t="n">
        <v>46082</v>
      </c>
      <c r="E4" s="18" t="n">
        <v>46113</v>
      </c>
      <c r="F4" s="18" t="n">
        <v>46143</v>
      </c>
      <c r="G4" s="18" t="n">
        <v>46174</v>
      </c>
      <c r="H4" s="18" t="n">
        <v>46204</v>
      </c>
      <c r="I4" s="18" t="n">
        <v>46235</v>
      </c>
      <c r="J4" s="18" t="n">
        <v>46266</v>
      </c>
      <c r="K4" s="5" t="inlineStr">
        <is>
          <t>Total 2026</t>
        </is>
      </c>
      <c r="L4" s="5" t="inlineStr">
        <is>
          <t>% do total</t>
        </is>
      </c>
      <c r="M4" s="5" t="inlineStr">
        <is>
          <t>Memo: antes de 2026</t>
        </is>
      </c>
    </row>
    <row r="5">
      <c r="A5" s="25" t="inlineStr">
        <is>
          <t>2.01.85 Compra de Uso e Consumo</t>
        </is>
      </c>
      <c r="B5" s="9">
        <f>SUMIFS('Lançamentos'!$L$2:$L$5010,'Lançamentos'!$A$2:$A$5010,"Uso e consumo",'Lançamentos'!$B$2:$B$5010,$A5,'Lançamentos'!$C$2:$C$5010,B$4)</f>
        <v/>
      </c>
      <c r="C5" s="9">
        <f>SUMIFS('Lançamentos'!$L$2:$L$5010,'Lançamentos'!$A$2:$A$5010,"Uso e consumo",'Lançamentos'!$B$2:$B$5010,$A5,'Lançamentos'!$C$2:$C$5010,C$4)</f>
        <v/>
      </c>
      <c r="D5" s="9">
        <f>SUMIFS('Lançamentos'!$L$2:$L$5010,'Lançamentos'!$A$2:$A$5010,"Uso e consumo",'Lançamentos'!$B$2:$B$5010,$A5,'Lançamentos'!$C$2:$C$5010,D$4)</f>
        <v/>
      </c>
      <c r="E5" s="9">
        <f>SUMIFS('Lançamentos'!$L$2:$L$5010,'Lançamentos'!$A$2:$A$5010,"Uso e consumo",'Lançamentos'!$B$2:$B$5010,$A5,'Lançamentos'!$C$2:$C$5010,E$4)</f>
        <v/>
      </c>
      <c r="F5" s="9">
        <f>SUMIFS('Lançamentos'!$L$2:$L$5010,'Lançamentos'!$A$2:$A$5010,"Uso e consumo",'Lançamentos'!$B$2:$B$5010,$A5,'Lançamentos'!$C$2:$C$5010,F$4)</f>
        <v/>
      </c>
      <c r="G5" s="9">
        <f>SUMIFS('Lançamentos'!$L$2:$L$5010,'Lançamentos'!$A$2:$A$5010,"Uso e consumo",'Lançamentos'!$B$2:$B$5010,$A5,'Lançamentos'!$C$2:$C$5010,G$4)</f>
        <v/>
      </c>
      <c r="H5" s="9">
        <f>SUMIFS('Lançamentos'!$L$2:$L$5010,'Lançamentos'!$A$2:$A$5010,"Uso e consumo",'Lançamentos'!$B$2:$B$5010,$A5,'Lançamentos'!$C$2:$C$5010,H$4)</f>
        <v/>
      </c>
      <c r="I5" s="9">
        <f>SUMIFS('Lançamentos'!$L$2:$L$5010,'Lançamentos'!$A$2:$A$5010,"Uso e consumo",'Lançamentos'!$B$2:$B$5010,$A5,'Lançamentos'!$C$2:$C$5010,I$4)</f>
        <v/>
      </c>
      <c r="J5" s="9">
        <f>SUMIFS('Lançamentos'!$L$2:$L$5010,'Lançamentos'!$A$2:$A$5010,"Uso e consumo",'Lançamentos'!$B$2:$B$5010,$A5,'Lançamentos'!$C$2:$C$5010,J$4)</f>
        <v/>
      </c>
      <c r="K5" s="9">
        <f>SUM(B5:J5)</f>
        <v/>
      </c>
      <c r="L5" s="10">
        <f>K5/K$13</f>
        <v/>
      </c>
      <c r="M5" s="9">
        <f>SUMIFS('Lançamentos'!$L$2:$L$5010,'Lançamentos'!$A$2:$A$5010,"Uso e consumo",'Lançamentos'!$B$2:$B$5010,$A5,'Lançamentos'!$C$2:$C$5010,"Antes de 2026")</f>
        <v/>
      </c>
      <c r="N5" s="9" t="n"/>
      <c r="O5" s="9" t="n"/>
      <c r="P5" s="26" t="n"/>
    </row>
    <row r="6">
      <c r="A6" s="25" t="inlineStr">
        <is>
          <t>2.01.87 Compra de Peças de Máquinas</t>
        </is>
      </c>
      <c r="B6" s="9">
        <f>SUMIFS('Lançamentos'!$L$2:$L$5010,'Lançamentos'!$A$2:$A$5010,"Uso e consumo",'Lançamentos'!$B$2:$B$5010,$A6,'Lançamentos'!$C$2:$C$5010,B$4)</f>
        <v/>
      </c>
      <c r="C6" s="9">
        <f>SUMIFS('Lançamentos'!$L$2:$L$5010,'Lançamentos'!$A$2:$A$5010,"Uso e consumo",'Lançamentos'!$B$2:$B$5010,$A6,'Lançamentos'!$C$2:$C$5010,C$4)</f>
        <v/>
      </c>
      <c r="D6" s="9">
        <f>SUMIFS('Lançamentos'!$L$2:$L$5010,'Lançamentos'!$A$2:$A$5010,"Uso e consumo",'Lançamentos'!$B$2:$B$5010,$A6,'Lançamentos'!$C$2:$C$5010,D$4)</f>
        <v/>
      </c>
      <c r="E6" s="9">
        <f>SUMIFS('Lançamentos'!$L$2:$L$5010,'Lançamentos'!$A$2:$A$5010,"Uso e consumo",'Lançamentos'!$B$2:$B$5010,$A6,'Lançamentos'!$C$2:$C$5010,E$4)</f>
        <v/>
      </c>
      <c r="F6" s="9">
        <f>SUMIFS('Lançamentos'!$L$2:$L$5010,'Lançamentos'!$A$2:$A$5010,"Uso e consumo",'Lançamentos'!$B$2:$B$5010,$A6,'Lançamentos'!$C$2:$C$5010,F$4)</f>
        <v/>
      </c>
      <c r="G6" s="9">
        <f>SUMIFS('Lançamentos'!$L$2:$L$5010,'Lançamentos'!$A$2:$A$5010,"Uso e consumo",'Lançamentos'!$B$2:$B$5010,$A6,'Lançamentos'!$C$2:$C$5010,G$4)</f>
        <v/>
      </c>
      <c r="H6" s="9">
        <f>SUMIFS('Lançamentos'!$L$2:$L$5010,'Lançamentos'!$A$2:$A$5010,"Uso e consumo",'Lançamentos'!$B$2:$B$5010,$A6,'Lançamentos'!$C$2:$C$5010,H$4)</f>
        <v/>
      </c>
      <c r="I6" s="9">
        <f>SUMIFS('Lançamentos'!$L$2:$L$5010,'Lançamentos'!$A$2:$A$5010,"Uso e consumo",'Lançamentos'!$B$2:$B$5010,$A6,'Lançamentos'!$C$2:$C$5010,I$4)</f>
        <v/>
      </c>
      <c r="J6" s="9">
        <f>SUMIFS('Lançamentos'!$L$2:$L$5010,'Lançamentos'!$A$2:$A$5010,"Uso e consumo",'Lançamentos'!$B$2:$B$5010,$A6,'Lançamentos'!$C$2:$C$5010,J$4)</f>
        <v/>
      </c>
      <c r="K6" s="9">
        <f>SUM(B6:J6)</f>
        <v/>
      </c>
      <c r="L6" s="10">
        <f>K6/K$13</f>
        <v/>
      </c>
      <c r="M6" s="9">
        <f>SUMIFS('Lançamentos'!$L$2:$L$5010,'Lançamentos'!$A$2:$A$5010,"Uso e consumo",'Lançamentos'!$B$2:$B$5010,$A6,'Lançamentos'!$C$2:$C$5010,"Antes de 2026")</f>
        <v/>
      </c>
      <c r="N6" s="9" t="n"/>
      <c r="O6" s="9" t="n"/>
      <c r="P6" s="26" t="n"/>
    </row>
    <row r="7">
      <c r="A7" s="25" t="inlineStr">
        <is>
          <t>2.03.88 Compra de Fardamento</t>
        </is>
      </c>
      <c r="B7" s="9">
        <f>SUMIFS('Lançamentos'!$L$2:$L$5010,'Lançamentos'!$A$2:$A$5010,"Uso e consumo",'Lançamentos'!$B$2:$B$5010,$A7,'Lançamentos'!$C$2:$C$5010,B$4)</f>
        <v/>
      </c>
      <c r="C7" s="9">
        <f>SUMIFS('Lançamentos'!$L$2:$L$5010,'Lançamentos'!$A$2:$A$5010,"Uso e consumo",'Lançamentos'!$B$2:$B$5010,$A7,'Lançamentos'!$C$2:$C$5010,C$4)</f>
        <v/>
      </c>
      <c r="D7" s="9">
        <f>SUMIFS('Lançamentos'!$L$2:$L$5010,'Lançamentos'!$A$2:$A$5010,"Uso e consumo",'Lançamentos'!$B$2:$B$5010,$A7,'Lançamentos'!$C$2:$C$5010,D$4)</f>
        <v/>
      </c>
      <c r="E7" s="9">
        <f>SUMIFS('Lançamentos'!$L$2:$L$5010,'Lançamentos'!$A$2:$A$5010,"Uso e consumo",'Lançamentos'!$B$2:$B$5010,$A7,'Lançamentos'!$C$2:$C$5010,E$4)</f>
        <v/>
      </c>
      <c r="F7" s="9">
        <f>SUMIFS('Lançamentos'!$L$2:$L$5010,'Lançamentos'!$A$2:$A$5010,"Uso e consumo",'Lançamentos'!$B$2:$B$5010,$A7,'Lançamentos'!$C$2:$C$5010,F$4)</f>
        <v/>
      </c>
      <c r="G7" s="9">
        <f>SUMIFS('Lançamentos'!$L$2:$L$5010,'Lançamentos'!$A$2:$A$5010,"Uso e consumo",'Lançamentos'!$B$2:$B$5010,$A7,'Lançamentos'!$C$2:$C$5010,G$4)</f>
        <v/>
      </c>
      <c r="H7" s="9">
        <f>SUMIFS('Lançamentos'!$L$2:$L$5010,'Lançamentos'!$A$2:$A$5010,"Uso e consumo",'Lançamentos'!$B$2:$B$5010,$A7,'Lançamentos'!$C$2:$C$5010,H$4)</f>
        <v/>
      </c>
      <c r="I7" s="9">
        <f>SUMIFS('Lançamentos'!$L$2:$L$5010,'Lançamentos'!$A$2:$A$5010,"Uso e consumo",'Lançamentos'!$B$2:$B$5010,$A7,'Lançamentos'!$C$2:$C$5010,I$4)</f>
        <v/>
      </c>
      <c r="J7" s="9">
        <f>SUMIFS('Lançamentos'!$L$2:$L$5010,'Lançamentos'!$A$2:$A$5010,"Uso e consumo",'Lançamentos'!$B$2:$B$5010,$A7,'Lançamentos'!$C$2:$C$5010,J$4)</f>
        <v/>
      </c>
      <c r="K7" s="9">
        <f>SUM(B7:J7)</f>
        <v/>
      </c>
      <c r="L7" s="10">
        <f>K7/K$13</f>
        <v/>
      </c>
      <c r="M7" s="9">
        <f>SUMIFS('Lançamentos'!$L$2:$L$5010,'Lançamentos'!$A$2:$A$5010,"Uso e consumo",'Lançamentos'!$B$2:$B$5010,$A7,'Lançamentos'!$C$2:$C$5010,"Antes de 2026")</f>
        <v/>
      </c>
      <c r="N7" s="9" t="n"/>
      <c r="O7" s="9" t="n"/>
      <c r="P7" s="26" t="n"/>
    </row>
    <row r="8">
      <c r="A8" s="25" t="inlineStr">
        <is>
          <t>2.03.90 Compra de EPI</t>
        </is>
      </c>
      <c r="B8" s="9">
        <f>SUMIFS('Lançamentos'!$L$2:$L$5010,'Lançamentos'!$A$2:$A$5010,"Uso e consumo",'Lançamentos'!$B$2:$B$5010,$A8,'Lançamentos'!$C$2:$C$5010,B$4)</f>
        <v/>
      </c>
      <c r="C8" s="9">
        <f>SUMIFS('Lançamentos'!$L$2:$L$5010,'Lançamentos'!$A$2:$A$5010,"Uso e consumo",'Lançamentos'!$B$2:$B$5010,$A8,'Lançamentos'!$C$2:$C$5010,C$4)</f>
        <v/>
      </c>
      <c r="D8" s="9">
        <f>SUMIFS('Lançamentos'!$L$2:$L$5010,'Lançamentos'!$A$2:$A$5010,"Uso e consumo",'Lançamentos'!$B$2:$B$5010,$A8,'Lançamentos'!$C$2:$C$5010,D$4)</f>
        <v/>
      </c>
      <c r="E8" s="9">
        <f>SUMIFS('Lançamentos'!$L$2:$L$5010,'Lançamentos'!$A$2:$A$5010,"Uso e consumo",'Lançamentos'!$B$2:$B$5010,$A8,'Lançamentos'!$C$2:$C$5010,E$4)</f>
        <v/>
      </c>
      <c r="F8" s="9">
        <f>SUMIFS('Lançamentos'!$L$2:$L$5010,'Lançamentos'!$A$2:$A$5010,"Uso e consumo",'Lançamentos'!$B$2:$B$5010,$A8,'Lançamentos'!$C$2:$C$5010,F$4)</f>
        <v/>
      </c>
      <c r="G8" s="9">
        <f>SUMIFS('Lançamentos'!$L$2:$L$5010,'Lançamentos'!$A$2:$A$5010,"Uso e consumo",'Lançamentos'!$B$2:$B$5010,$A8,'Lançamentos'!$C$2:$C$5010,G$4)</f>
        <v/>
      </c>
      <c r="H8" s="9">
        <f>SUMIFS('Lançamentos'!$L$2:$L$5010,'Lançamentos'!$A$2:$A$5010,"Uso e consumo",'Lançamentos'!$B$2:$B$5010,$A8,'Lançamentos'!$C$2:$C$5010,H$4)</f>
        <v/>
      </c>
      <c r="I8" s="9">
        <f>SUMIFS('Lançamentos'!$L$2:$L$5010,'Lançamentos'!$A$2:$A$5010,"Uso e consumo",'Lançamentos'!$B$2:$B$5010,$A8,'Lançamentos'!$C$2:$C$5010,I$4)</f>
        <v/>
      </c>
      <c r="J8" s="9">
        <f>SUMIFS('Lançamentos'!$L$2:$L$5010,'Lançamentos'!$A$2:$A$5010,"Uso e consumo",'Lançamentos'!$B$2:$B$5010,$A8,'Lançamentos'!$C$2:$C$5010,J$4)</f>
        <v/>
      </c>
      <c r="K8" s="9">
        <f>SUM(B8:J8)</f>
        <v/>
      </c>
      <c r="L8" s="10">
        <f>K8/K$13</f>
        <v/>
      </c>
      <c r="M8" s="9">
        <f>SUMIFS('Lançamentos'!$L$2:$L$5010,'Lançamentos'!$A$2:$A$5010,"Uso e consumo",'Lançamentos'!$B$2:$B$5010,$A8,'Lançamentos'!$C$2:$C$5010,"Antes de 2026")</f>
        <v/>
      </c>
      <c r="N8" s="9" t="n"/>
      <c r="O8" s="9" t="n"/>
      <c r="P8" s="26" t="n"/>
    </row>
    <row r="9">
      <c r="A9" s="25" t="inlineStr">
        <is>
          <t>2.04.06 Material de Escritório</t>
        </is>
      </c>
      <c r="B9" s="9">
        <f>SUMIFS('Lançamentos'!$L$2:$L$5010,'Lançamentos'!$A$2:$A$5010,"Uso e consumo",'Lançamentos'!$B$2:$B$5010,$A9,'Lançamentos'!$C$2:$C$5010,B$4)</f>
        <v/>
      </c>
      <c r="C9" s="9">
        <f>SUMIFS('Lançamentos'!$L$2:$L$5010,'Lançamentos'!$A$2:$A$5010,"Uso e consumo",'Lançamentos'!$B$2:$B$5010,$A9,'Lançamentos'!$C$2:$C$5010,C$4)</f>
        <v/>
      </c>
      <c r="D9" s="9">
        <f>SUMIFS('Lançamentos'!$L$2:$L$5010,'Lançamentos'!$A$2:$A$5010,"Uso e consumo",'Lançamentos'!$B$2:$B$5010,$A9,'Lançamentos'!$C$2:$C$5010,D$4)</f>
        <v/>
      </c>
      <c r="E9" s="9">
        <f>SUMIFS('Lançamentos'!$L$2:$L$5010,'Lançamentos'!$A$2:$A$5010,"Uso e consumo",'Lançamentos'!$B$2:$B$5010,$A9,'Lançamentos'!$C$2:$C$5010,E$4)</f>
        <v/>
      </c>
      <c r="F9" s="9">
        <f>SUMIFS('Lançamentos'!$L$2:$L$5010,'Lançamentos'!$A$2:$A$5010,"Uso e consumo",'Lançamentos'!$B$2:$B$5010,$A9,'Lançamentos'!$C$2:$C$5010,F$4)</f>
        <v/>
      </c>
      <c r="G9" s="9">
        <f>SUMIFS('Lançamentos'!$L$2:$L$5010,'Lançamentos'!$A$2:$A$5010,"Uso e consumo",'Lançamentos'!$B$2:$B$5010,$A9,'Lançamentos'!$C$2:$C$5010,G$4)</f>
        <v/>
      </c>
      <c r="H9" s="9">
        <f>SUMIFS('Lançamentos'!$L$2:$L$5010,'Lançamentos'!$A$2:$A$5010,"Uso e consumo",'Lançamentos'!$B$2:$B$5010,$A9,'Lançamentos'!$C$2:$C$5010,H$4)</f>
        <v/>
      </c>
      <c r="I9" s="9">
        <f>SUMIFS('Lançamentos'!$L$2:$L$5010,'Lançamentos'!$A$2:$A$5010,"Uso e consumo",'Lançamentos'!$B$2:$B$5010,$A9,'Lançamentos'!$C$2:$C$5010,I$4)</f>
        <v/>
      </c>
      <c r="J9" s="9">
        <f>SUMIFS('Lançamentos'!$L$2:$L$5010,'Lançamentos'!$A$2:$A$5010,"Uso e consumo",'Lançamentos'!$B$2:$B$5010,$A9,'Lançamentos'!$C$2:$C$5010,J$4)</f>
        <v/>
      </c>
      <c r="K9" s="9">
        <f>SUM(B9:J9)</f>
        <v/>
      </c>
      <c r="L9" s="10">
        <f>K9/K$13</f>
        <v/>
      </c>
      <c r="M9" s="9">
        <f>SUMIFS('Lançamentos'!$L$2:$L$5010,'Lançamentos'!$A$2:$A$5010,"Uso e consumo",'Lançamentos'!$B$2:$B$5010,$A9,'Lançamentos'!$C$2:$C$5010,"Antes de 2026")</f>
        <v/>
      </c>
      <c r="N9" s="9" t="n"/>
      <c r="O9" s="9" t="n"/>
      <c r="P9" s="26" t="n"/>
    </row>
    <row r="10">
      <c r="A10" s="25" t="inlineStr">
        <is>
          <t>2.04.91 Compra de Material de Limpeza</t>
        </is>
      </c>
      <c r="B10" s="9">
        <f>SUMIFS('Lançamentos'!$L$2:$L$5010,'Lançamentos'!$A$2:$A$5010,"Uso e consumo",'Lançamentos'!$B$2:$B$5010,$A10,'Lançamentos'!$C$2:$C$5010,B$4)</f>
        <v/>
      </c>
      <c r="C10" s="9">
        <f>SUMIFS('Lançamentos'!$L$2:$L$5010,'Lançamentos'!$A$2:$A$5010,"Uso e consumo",'Lançamentos'!$B$2:$B$5010,$A10,'Lançamentos'!$C$2:$C$5010,C$4)</f>
        <v/>
      </c>
      <c r="D10" s="9">
        <f>SUMIFS('Lançamentos'!$L$2:$L$5010,'Lançamentos'!$A$2:$A$5010,"Uso e consumo",'Lançamentos'!$B$2:$B$5010,$A10,'Lançamentos'!$C$2:$C$5010,D$4)</f>
        <v/>
      </c>
      <c r="E10" s="9">
        <f>SUMIFS('Lançamentos'!$L$2:$L$5010,'Lançamentos'!$A$2:$A$5010,"Uso e consumo",'Lançamentos'!$B$2:$B$5010,$A10,'Lançamentos'!$C$2:$C$5010,E$4)</f>
        <v/>
      </c>
      <c r="F10" s="9">
        <f>SUMIFS('Lançamentos'!$L$2:$L$5010,'Lançamentos'!$A$2:$A$5010,"Uso e consumo",'Lançamentos'!$B$2:$B$5010,$A10,'Lançamentos'!$C$2:$C$5010,F$4)</f>
        <v/>
      </c>
      <c r="G10" s="9">
        <f>SUMIFS('Lançamentos'!$L$2:$L$5010,'Lançamentos'!$A$2:$A$5010,"Uso e consumo",'Lançamentos'!$B$2:$B$5010,$A10,'Lançamentos'!$C$2:$C$5010,G$4)</f>
        <v/>
      </c>
      <c r="H10" s="9">
        <f>SUMIFS('Lançamentos'!$L$2:$L$5010,'Lançamentos'!$A$2:$A$5010,"Uso e consumo",'Lançamentos'!$B$2:$B$5010,$A10,'Lançamentos'!$C$2:$C$5010,H$4)</f>
        <v/>
      </c>
      <c r="I10" s="9">
        <f>SUMIFS('Lançamentos'!$L$2:$L$5010,'Lançamentos'!$A$2:$A$5010,"Uso e consumo",'Lançamentos'!$B$2:$B$5010,$A10,'Lançamentos'!$C$2:$C$5010,I$4)</f>
        <v/>
      </c>
      <c r="J10" s="9">
        <f>SUMIFS('Lançamentos'!$L$2:$L$5010,'Lançamentos'!$A$2:$A$5010,"Uso e consumo",'Lançamentos'!$B$2:$B$5010,$A10,'Lançamentos'!$C$2:$C$5010,J$4)</f>
        <v/>
      </c>
      <c r="K10" s="9">
        <f>SUM(B10:J10)</f>
        <v/>
      </c>
      <c r="L10" s="10">
        <f>K10/K$13</f>
        <v/>
      </c>
      <c r="M10" s="9">
        <f>SUMIFS('Lançamentos'!$L$2:$L$5010,'Lançamentos'!$A$2:$A$5010,"Uso e consumo",'Lançamentos'!$B$2:$B$5010,$A10,'Lançamentos'!$C$2:$C$5010,"Antes de 2026")</f>
        <v/>
      </c>
      <c r="N10" s="9" t="n"/>
      <c r="O10" s="9" t="n"/>
      <c r="P10" s="26" t="n"/>
    </row>
    <row r="11">
      <c r="A11" s="25" t="inlineStr">
        <is>
          <t>2.04.95 Copa e Cozinha</t>
        </is>
      </c>
      <c r="B11" s="9">
        <f>SUMIFS('Lançamentos'!$L$2:$L$5010,'Lançamentos'!$A$2:$A$5010,"Uso e consumo",'Lançamentos'!$B$2:$B$5010,$A11,'Lançamentos'!$C$2:$C$5010,B$4)</f>
        <v/>
      </c>
      <c r="C11" s="9">
        <f>SUMIFS('Lançamentos'!$L$2:$L$5010,'Lançamentos'!$A$2:$A$5010,"Uso e consumo",'Lançamentos'!$B$2:$B$5010,$A11,'Lançamentos'!$C$2:$C$5010,C$4)</f>
        <v/>
      </c>
      <c r="D11" s="9">
        <f>SUMIFS('Lançamentos'!$L$2:$L$5010,'Lançamentos'!$A$2:$A$5010,"Uso e consumo",'Lançamentos'!$B$2:$B$5010,$A11,'Lançamentos'!$C$2:$C$5010,D$4)</f>
        <v/>
      </c>
      <c r="E11" s="9">
        <f>SUMIFS('Lançamentos'!$L$2:$L$5010,'Lançamentos'!$A$2:$A$5010,"Uso e consumo",'Lançamentos'!$B$2:$B$5010,$A11,'Lançamentos'!$C$2:$C$5010,E$4)</f>
        <v/>
      </c>
      <c r="F11" s="9">
        <f>SUMIFS('Lançamentos'!$L$2:$L$5010,'Lançamentos'!$A$2:$A$5010,"Uso e consumo",'Lançamentos'!$B$2:$B$5010,$A11,'Lançamentos'!$C$2:$C$5010,F$4)</f>
        <v/>
      </c>
      <c r="G11" s="9">
        <f>SUMIFS('Lançamentos'!$L$2:$L$5010,'Lançamentos'!$A$2:$A$5010,"Uso e consumo",'Lançamentos'!$B$2:$B$5010,$A11,'Lançamentos'!$C$2:$C$5010,G$4)</f>
        <v/>
      </c>
      <c r="H11" s="9">
        <f>SUMIFS('Lançamentos'!$L$2:$L$5010,'Lançamentos'!$A$2:$A$5010,"Uso e consumo",'Lançamentos'!$B$2:$B$5010,$A11,'Lançamentos'!$C$2:$C$5010,H$4)</f>
        <v/>
      </c>
      <c r="I11" s="9">
        <f>SUMIFS('Lançamentos'!$L$2:$L$5010,'Lançamentos'!$A$2:$A$5010,"Uso e consumo",'Lançamentos'!$B$2:$B$5010,$A11,'Lançamentos'!$C$2:$C$5010,I$4)</f>
        <v/>
      </c>
      <c r="J11" s="9">
        <f>SUMIFS('Lançamentos'!$L$2:$L$5010,'Lançamentos'!$A$2:$A$5010,"Uso e consumo",'Lançamentos'!$B$2:$B$5010,$A11,'Lançamentos'!$C$2:$C$5010,J$4)</f>
        <v/>
      </c>
      <c r="K11" s="9">
        <f>SUM(B11:J11)</f>
        <v/>
      </c>
      <c r="L11" s="10">
        <f>K11/K$13</f>
        <v/>
      </c>
      <c r="M11" s="9">
        <f>SUMIFS('Lançamentos'!$L$2:$L$5010,'Lançamentos'!$A$2:$A$5010,"Uso e consumo",'Lançamentos'!$B$2:$B$5010,$A11,'Lançamentos'!$C$2:$C$5010,"Antes de 2026")</f>
        <v/>
      </c>
      <c r="N11" s="9" t="n"/>
      <c r="O11" s="9" t="n"/>
      <c r="P11" s="26" t="n"/>
    </row>
    <row r="12">
      <c r="A12" s="25" t="inlineStr">
        <is>
          <t>2.04.96 Bens de Pequeno Valor</t>
        </is>
      </c>
      <c r="B12" s="9">
        <f>SUMIFS('Lançamentos'!$L$2:$L$5010,'Lançamentos'!$A$2:$A$5010,"Uso e consumo",'Lançamentos'!$B$2:$B$5010,$A12,'Lançamentos'!$C$2:$C$5010,B$4)</f>
        <v/>
      </c>
      <c r="C12" s="9">
        <f>SUMIFS('Lançamentos'!$L$2:$L$5010,'Lançamentos'!$A$2:$A$5010,"Uso e consumo",'Lançamentos'!$B$2:$B$5010,$A12,'Lançamentos'!$C$2:$C$5010,C$4)</f>
        <v/>
      </c>
      <c r="D12" s="9">
        <f>SUMIFS('Lançamentos'!$L$2:$L$5010,'Lançamentos'!$A$2:$A$5010,"Uso e consumo",'Lançamentos'!$B$2:$B$5010,$A12,'Lançamentos'!$C$2:$C$5010,D$4)</f>
        <v/>
      </c>
      <c r="E12" s="9">
        <f>SUMIFS('Lançamentos'!$L$2:$L$5010,'Lançamentos'!$A$2:$A$5010,"Uso e consumo",'Lançamentos'!$B$2:$B$5010,$A12,'Lançamentos'!$C$2:$C$5010,E$4)</f>
        <v/>
      </c>
      <c r="F12" s="9">
        <f>SUMIFS('Lançamentos'!$L$2:$L$5010,'Lançamentos'!$A$2:$A$5010,"Uso e consumo",'Lançamentos'!$B$2:$B$5010,$A12,'Lançamentos'!$C$2:$C$5010,F$4)</f>
        <v/>
      </c>
      <c r="G12" s="9">
        <f>SUMIFS('Lançamentos'!$L$2:$L$5010,'Lançamentos'!$A$2:$A$5010,"Uso e consumo",'Lançamentos'!$B$2:$B$5010,$A12,'Lançamentos'!$C$2:$C$5010,G$4)</f>
        <v/>
      </c>
      <c r="H12" s="9">
        <f>SUMIFS('Lançamentos'!$L$2:$L$5010,'Lançamentos'!$A$2:$A$5010,"Uso e consumo",'Lançamentos'!$B$2:$B$5010,$A12,'Lançamentos'!$C$2:$C$5010,H$4)</f>
        <v/>
      </c>
      <c r="I12" s="9">
        <f>SUMIFS('Lançamentos'!$L$2:$L$5010,'Lançamentos'!$A$2:$A$5010,"Uso e consumo",'Lançamentos'!$B$2:$B$5010,$A12,'Lançamentos'!$C$2:$C$5010,I$4)</f>
        <v/>
      </c>
      <c r="J12" s="9">
        <f>SUMIFS('Lançamentos'!$L$2:$L$5010,'Lançamentos'!$A$2:$A$5010,"Uso e consumo",'Lançamentos'!$B$2:$B$5010,$A12,'Lançamentos'!$C$2:$C$5010,J$4)</f>
        <v/>
      </c>
      <c r="K12" s="9">
        <f>SUM(B12:J12)</f>
        <v/>
      </c>
      <c r="L12" s="10">
        <f>K12/K$13</f>
        <v/>
      </c>
      <c r="M12" s="9">
        <f>SUMIFS('Lançamentos'!$L$2:$L$5010,'Lançamentos'!$A$2:$A$5010,"Uso e consumo",'Lançamentos'!$B$2:$B$5010,$A12,'Lançamentos'!$C$2:$C$5010,"Antes de 2026")</f>
        <v/>
      </c>
      <c r="N12" s="9" t="n"/>
      <c r="O12" s="9" t="n"/>
      <c r="P12" s="26" t="n"/>
    </row>
    <row r="13">
      <c r="A13" s="11" t="inlineStr">
        <is>
          <t>TOTAL USO E CONSUMO</t>
        </is>
      </c>
      <c r="B13" s="13">
        <f>SUM(B5:B12)</f>
        <v/>
      </c>
      <c r="C13" s="13">
        <f>SUM(C5:C12)</f>
        <v/>
      </c>
      <c r="D13" s="13">
        <f>SUM(D5:D12)</f>
        <v/>
      </c>
      <c r="E13" s="13">
        <f>SUM(E5:E12)</f>
        <v/>
      </c>
      <c r="F13" s="13">
        <f>SUM(F5:F12)</f>
        <v/>
      </c>
      <c r="G13" s="13">
        <f>SUM(G5:G12)</f>
        <v/>
      </c>
      <c r="H13" s="13">
        <f>SUM(H5:H12)</f>
        <v/>
      </c>
      <c r="I13" s="13">
        <f>SUM(I5:I12)</f>
        <v/>
      </c>
      <c r="J13" s="13">
        <f>SUM(J5:J12)</f>
        <v/>
      </c>
      <c r="K13" s="13">
        <f>SUM(K5:K12)</f>
        <v/>
      </c>
      <c r="L13" s="14">
        <f>K13/K$13</f>
        <v/>
      </c>
      <c r="M13" s="13">
        <f>SUM(M5:M12)</f>
        <v/>
      </c>
      <c r="N13" s="9" t="n"/>
      <c r="O13" s="9" t="n"/>
      <c r="P13" s="26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 t="n"/>
      <c r="M14" s="9" t="n"/>
      <c r="N14" s="9" t="n"/>
      <c r="O14" s="9" t="n"/>
      <c r="P14" s="26" t="n"/>
    </row>
    <row r="15">
      <c r="A15" t="inlineStr">
        <is>
          <t>Memo: valor bruto (com impostos)</t>
        </is>
      </c>
      <c r="B15" s="9">
        <f>SUMIFS('Lançamentos'!$J$2:$J$5010,'Lançamentos'!$A$2:$A$5010,"Uso e consumo",'Lançamentos'!$C$2:$C$5010,B$4)</f>
        <v/>
      </c>
      <c r="C15" s="9">
        <f>SUMIFS('Lançamentos'!$J$2:$J$5010,'Lançamentos'!$A$2:$A$5010,"Uso e consumo",'Lançamentos'!$C$2:$C$5010,C$4)</f>
        <v/>
      </c>
      <c r="D15" s="9">
        <f>SUMIFS('Lançamentos'!$J$2:$J$5010,'Lançamentos'!$A$2:$A$5010,"Uso e consumo",'Lançamentos'!$C$2:$C$5010,D$4)</f>
        <v/>
      </c>
      <c r="E15" s="9">
        <f>SUMIFS('Lançamentos'!$J$2:$J$5010,'Lançamentos'!$A$2:$A$5010,"Uso e consumo",'Lançamentos'!$C$2:$C$5010,E$4)</f>
        <v/>
      </c>
      <c r="F15" s="9">
        <f>SUMIFS('Lançamentos'!$J$2:$J$5010,'Lançamentos'!$A$2:$A$5010,"Uso e consumo",'Lançamentos'!$C$2:$C$5010,F$4)</f>
        <v/>
      </c>
      <c r="G15" s="9">
        <f>SUMIFS('Lançamentos'!$J$2:$J$5010,'Lançamentos'!$A$2:$A$5010,"Uso e consumo",'Lançamentos'!$C$2:$C$5010,G$4)</f>
        <v/>
      </c>
      <c r="H15" s="9">
        <f>SUMIFS('Lançamentos'!$J$2:$J$5010,'Lançamentos'!$A$2:$A$5010,"Uso e consumo",'Lançamentos'!$C$2:$C$5010,H$4)</f>
        <v/>
      </c>
      <c r="I15" s="9">
        <f>SUMIFS('Lançamentos'!$J$2:$J$5010,'Lançamentos'!$A$2:$A$5010,"Uso e consumo",'Lançamentos'!$C$2:$C$5010,I$4)</f>
        <v/>
      </c>
      <c r="J15" s="9">
        <f>SUMIFS('Lançamentos'!$J$2:$J$5010,'Lançamentos'!$A$2:$A$5010,"Uso e consumo",'Lançamentos'!$C$2:$C$5010,J$4)</f>
        <v/>
      </c>
      <c r="K15" s="9">
        <f>SUM(B15:J15)</f>
        <v/>
      </c>
      <c r="L15" s="10" t="n"/>
      <c r="M15" s="9">
        <f>SUMIFS('Lançamentos'!$J$2:$J$5010,'Lançamentos'!$A$2:$A$5010,"Uso e consumo",'Lançamentos'!$C$2:$C$5010,"Antes de 2026")</f>
        <v/>
      </c>
      <c r="N15" s="9" t="n"/>
      <c r="O15" s="9" t="n"/>
      <c r="P15" s="26" t="n"/>
    </row>
    <row r="16">
      <c r="A16" t="inlineStr">
        <is>
          <t>Memo: créditos abatidos</t>
        </is>
      </c>
      <c r="B16" s="9">
        <f>SUMIFS('Lançamentos'!$K$2:$K$5010,'Lançamentos'!$A$2:$A$5010,"Uso e consumo",'Lançamentos'!$C$2:$C$5010,B$4)</f>
        <v/>
      </c>
      <c r="C16" s="9">
        <f>SUMIFS('Lançamentos'!$K$2:$K$5010,'Lançamentos'!$A$2:$A$5010,"Uso e consumo",'Lançamentos'!$C$2:$C$5010,C$4)</f>
        <v/>
      </c>
      <c r="D16" s="9">
        <f>SUMIFS('Lançamentos'!$K$2:$K$5010,'Lançamentos'!$A$2:$A$5010,"Uso e consumo",'Lançamentos'!$C$2:$C$5010,D$4)</f>
        <v/>
      </c>
      <c r="E16" s="9">
        <f>SUMIFS('Lançamentos'!$K$2:$K$5010,'Lançamentos'!$A$2:$A$5010,"Uso e consumo",'Lançamentos'!$C$2:$C$5010,E$4)</f>
        <v/>
      </c>
      <c r="F16" s="9">
        <f>SUMIFS('Lançamentos'!$K$2:$K$5010,'Lançamentos'!$A$2:$A$5010,"Uso e consumo",'Lançamentos'!$C$2:$C$5010,F$4)</f>
        <v/>
      </c>
      <c r="G16" s="9">
        <f>SUMIFS('Lançamentos'!$K$2:$K$5010,'Lançamentos'!$A$2:$A$5010,"Uso e consumo",'Lançamentos'!$C$2:$C$5010,G$4)</f>
        <v/>
      </c>
      <c r="H16" s="9">
        <f>SUMIFS('Lançamentos'!$K$2:$K$5010,'Lançamentos'!$A$2:$A$5010,"Uso e consumo",'Lançamentos'!$C$2:$C$5010,H$4)</f>
        <v/>
      </c>
      <c r="I16" s="9">
        <f>SUMIFS('Lançamentos'!$K$2:$K$5010,'Lançamentos'!$A$2:$A$5010,"Uso e consumo",'Lançamentos'!$C$2:$C$5010,I$4)</f>
        <v/>
      </c>
      <c r="J16" s="9">
        <f>SUMIFS('Lançamentos'!$K$2:$K$5010,'Lançamentos'!$A$2:$A$5010,"Uso e consumo",'Lançamentos'!$C$2:$C$5010,J$4)</f>
        <v/>
      </c>
      <c r="K16" s="9">
        <f>SUM(B16:J16)</f>
        <v/>
      </c>
      <c r="L16" s="10" t="n"/>
      <c r="M16" s="9">
        <f>SUMIFS('Lançamentos'!$K$2:$K$5010,'Lançamentos'!$A$2:$A$5010,"Uso e consumo",'Lançamentos'!$C$2:$C$5010,"Antes de 2026")</f>
        <v/>
      </c>
      <c r="N16" s="9" t="n"/>
      <c r="O16" s="9" t="n"/>
      <c r="P16" s="26" t="n"/>
    </row>
    <row r="17">
      <c r="A17" t="inlineStr">
        <is>
          <t>Conferência: bruto − créditos − total (deve ser zero)</t>
        </is>
      </c>
      <c r="B17" s="9">
        <f>ROUND(B15-B16-B13,2)</f>
        <v/>
      </c>
      <c r="C17" s="9">
        <f>ROUND(C15-C16-C13,2)</f>
        <v/>
      </c>
      <c r="D17" s="9">
        <f>ROUND(D15-D16-D13,2)</f>
        <v/>
      </c>
      <c r="E17" s="9">
        <f>ROUND(E15-E16-E13,2)</f>
        <v/>
      </c>
      <c r="F17" s="9">
        <f>ROUND(F15-F16-F13,2)</f>
        <v/>
      </c>
      <c r="G17" s="9">
        <f>ROUND(G15-G16-G13,2)</f>
        <v/>
      </c>
      <c r="H17" s="9">
        <f>ROUND(H15-H16-H13,2)</f>
        <v/>
      </c>
      <c r="I17" s="9">
        <f>ROUND(I15-I16-I13,2)</f>
        <v/>
      </c>
      <c r="J17" s="9">
        <f>ROUND(J15-J16-J13,2)</f>
        <v/>
      </c>
      <c r="K17" s="9">
        <f>ROUND(K15-K16-K13,2)</f>
        <v/>
      </c>
      <c r="L17" s="10" t="n"/>
      <c r="M17" s="9">
        <f>ROUND(M15-M16-M13,2)</f>
        <v/>
      </c>
      <c r="N17" s="9" t="n"/>
      <c r="O17" s="9" t="n"/>
      <c r="P17" s="26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  <c r="M18" s="9" t="n"/>
      <c r="N18" s="9" t="n"/>
      <c r="O18" s="9" t="n"/>
      <c r="P18" s="26" t="n"/>
    </row>
    <row r="19">
      <c r="A19" s="23" t="inlineStr">
        <is>
          <t>Por fornecedor / transportadora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10" t="n"/>
      <c r="M19" s="9" t="n"/>
      <c r="N19" s="9" t="n"/>
      <c r="O19" s="9" t="n"/>
      <c r="P19" s="26" t="n"/>
    </row>
    <row r="20">
      <c r="A20" s="4" t="inlineStr">
        <is>
          <t>Fornecedor / Transportadora</t>
        </is>
      </c>
      <c r="B20" s="18" t="n">
        <v>46023</v>
      </c>
      <c r="C20" s="18" t="n">
        <v>46054</v>
      </c>
      <c r="D20" s="18" t="n">
        <v>46082</v>
      </c>
      <c r="E20" s="18" t="n">
        <v>46113</v>
      </c>
      <c r="F20" s="18" t="n">
        <v>46143</v>
      </c>
      <c r="G20" s="18" t="n">
        <v>46174</v>
      </c>
      <c r="H20" s="18" t="n">
        <v>46204</v>
      </c>
      <c r="I20" s="18" t="n">
        <v>46235</v>
      </c>
      <c r="J20" s="18" t="n">
        <v>46266</v>
      </c>
      <c r="K20" s="5" t="inlineStr">
        <is>
          <t>Total 2026</t>
        </is>
      </c>
      <c r="L20" s="5" t="inlineStr">
        <is>
          <t>% do total</t>
        </is>
      </c>
      <c r="M20" s="5" t="inlineStr">
        <is>
          <t>Memo: antes de 2026</t>
        </is>
      </c>
      <c r="N20" s="5" t="inlineStr">
        <is>
          <t>Valor bruto 2026</t>
        </is>
      </c>
      <c r="O20" s="5" t="inlineStr">
        <is>
          <t>Créditos 2026</t>
        </is>
      </c>
      <c r="P20" s="5" t="inlineStr">
        <is>
          <t>Nº docs 2026</t>
        </is>
      </c>
    </row>
    <row r="21">
      <c r="A21" t="inlineStr">
        <is>
          <t>FURNAX COMERCIAL E IMPORTADORA EIRELI</t>
        </is>
      </c>
      <c r="B21" s="9">
        <f>SUMIFS('Lançamentos'!$L$2:$L$5010,'Lançamentos'!$A$2:$A$5010,"Uso e consumo",'Lançamentos'!$H$2:$H$5010,$A21,'Lançamentos'!$C$2:$C$5010,B$20)</f>
        <v/>
      </c>
      <c r="C21" s="9">
        <f>SUMIFS('Lançamentos'!$L$2:$L$5010,'Lançamentos'!$A$2:$A$5010,"Uso e consumo",'Lançamentos'!$H$2:$H$5010,$A21,'Lançamentos'!$C$2:$C$5010,C$20)</f>
        <v/>
      </c>
      <c r="D21" s="9">
        <f>SUMIFS('Lançamentos'!$L$2:$L$5010,'Lançamentos'!$A$2:$A$5010,"Uso e consumo",'Lançamentos'!$H$2:$H$5010,$A21,'Lançamentos'!$C$2:$C$5010,D$20)</f>
        <v/>
      </c>
      <c r="E21" s="9">
        <f>SUMIFS('Lançamentos'!$L$2:$L$5010,'Lançamentos'!$A$2:$A$5010,"Uso e consumo",'Lançamentos'!$H$2:$H$5010,$A21,'Lançamentos'!$C$2:$C$5010,E$20)</f>
        <v/>
      </c>
      <c r="F21" s="9">
        <f>SUMIFS('Lançamentos'!$L$2:$L$5010,'Lançamentos'!$A$2:$A$5010,"Uso e consumo",'Lançamentos'!$H$2:$H$5010,$A21,'Lançamentos'!$C$2:$C$5010,F$20)</f>
        <v/>
      </c>
      <c r="G21" s="9">
        <f>SUMIFS('Lançamentos'!$L$2:$L$5010,'Lançamentos'!$A$2:$A$5010,"Uso e consumo",'Lançamentos'!$H$2:$H$5010,$A21,'Lançamentos'!$C$2:$C$5010,G$20)</f>
        <v/>
      </c>
      <c r="H21" s="9">
        <f>SUMIFS('Lançamentos'!$L$2:$L$5010,'Lançamentos'!$A$2:$A$5010,"Uso e consumo",'Lançamentos'!$H$2:$H$5010,$A21,'Lançamentos'!$C$2:$C$5010,H$20)</f>
        <v/>
      </c>
      <c r="I21" s="9">
        <f>SUMIFS('Lançamentos'!$L$2:$L$5010,'Lançamentos'!$A$2:$A$5010,"Uso e consumo",'Lançamentos'!$H$2:$H$5010,$A21,'Lançamentos'!$C$2:$C$5010,I$20)</f>
        <v/>
      </c>
      <c r="J21" s="9">
        <f>SUMIFS('Lançamentos'!$L$2:$L$5010,'Lançamentos'!$A$2:$A$5010,"Uso e consumo",'Lançamentos'!$H$2:$H$5010,$A21,'Lançamentos'!$C$2:$C$5010,J$20)</f>
        <v/>
      </c>
      <c r="K21" s="9">
        <f>SUM(B21:J21)</f>
        <v/>
      </c>
      <c r="L21" s="10">
        <f>K21/K$101</f>
        <v/>
      </c>
      <c r="M21" s="9">
        <f>SUMIFS('Lançamentos'!$L$2:$L$5010,'Lançamentos'!$A$2:$A$5010,"Uso e consumo",'Lançamentos'!$H$2:$H$5010,$A21,'Lançamentos'!$C$2:$C$5010,"Antes de 2026")</f>
        <v/>
      </c>
      <c r="N21" s="9">
        <f>SUMIFS('Lançamentos'!$J$2:$J$5010,'Lançamentos'!$A$2:$A$5010,"Uso e consumo",'Lançamentos'!$H$2:$H$5010,$A21,'Lançamentos'!$D$2:$D$5010,"Em 2026")</f>
        <v/>
      </c>
      <c r="O21" s="9">
        <f>SUMIFS('Lançamentos'!$K$2:$K$5010,'Lançamentos'!$A$2:$A$5010,"Uso e consumo",'Lançamentos'!$H$2:$H$5010,$A21,'Lançamentos'!$D$2:$D$5010,"Em 2026")</f>
        <v/>
      </c>
      <c r="P21" s="26">
        <f>COUNTIFS('Lançamentos'!$A$2:$A$5010,"Uso e consumo",'Lançamentos'!$H$2:$H$5010,$A21,'Lançamentos'!$D$2:$D$5010,"Em 2026")</f>
        <v/>
      </c>
    </row>
    <row r="22">
      <c r="A22" t="inlineStr">
        <is>
          <t>Limptech Paper Comercio Ltda</t>
        </is>
      </c>
      <c r="B22" s="9">
        <f>SUMIFS('Lançamentos'!$L$2:$L$5010,'Lançamentos'!$A$2:$A$5010,"Uso e consumo",'Lançamentos'!$H$2:$H$5010,$A22,'Lançamentos'!$C$2:$C$5010,B$20)</f>
        <v/>
      </c>
      <c r="C22" s="9">
        <f>SUMIFS('Lançamentos'!$L$2:$L$5010,'Lançamentos'!$A$2:$A$5010,"Uso e consumo",'Lançamentos'!$H$2:$H$5010,$A22,'Lançamentos'!$C$2:$C$5010,C$20)</f>
        <v/>
      </c>
      <c r="D22" s="9">
        <f>SUMIFS('Lançamentos'!$L$2:$L$5010,'Lançamentos'!$A$2:$A$5010,"Uso e consumo",'Lançamentos'!$H$2:$H$5010,$A22,'Lançamentos'!$C$2:$C$5010,D$20)</f>
        <v/>
      </c>
      <c r="E22" s="9">
        <f>SUMIFS('Lançamentos'!$L$2:$L$5010,'Lançamentos'!$A$2:$A$5010,"Uso e consumo",'Lançamentos'!$H$2:$H$5010,$A22,'Lançamentos'!$C$2:$C$5010,E$20)</f>
        <v/>
      </c>
      <c r="F22" s="9">
        <f>SUMIFS('Lançamentos'!$L$2:$L$5010,'Lançamentos'!$A$2:$A$5010,"Uso e consumo",'Lançamentos'!$H$2:$H$5010,$A22,'Lançamentos'!$C$2:$C$5010,F$20)</f>
        <v/>
      </c>
      <c r="G22" s="9">
        <f>SUMIFS('Lançamentos'!$L$2:$L$5010,'Lançamentos'!$A$2:$A$5010,"Uso e consumo",'Lançamentos'!$H$2:$H$5010,$A22,'Lançamentos'!$C$2:$C$5010,G$20)</f>
        <v/>
      </c>
      <c r="H22" s="9">
        <f>SUMIFS('Lançamentos'!$L$2:$L$5010,'Lançamentos'!$A$2:$A$5010,"Uso e consumo",'Lançamentos'!$H$2:$H$5010,$A22,'Lançamentos'!$C$2:$C$5010,H$20)</f>
        <v/>
      </c>
      <c r="I22" s="9">
        <f>SUMIFS('Lançamentos'!$L$2:$L$5010,'Lançamentos'!$A$2:$A$5010,"Uso e consumo",'Lançamentos'!$H$2:$H$5010,$A22,'Lançamentos'!$C$2:$C$5010,I$20)</f>
        <v/>
      </c>
      <c r="J22" s="9">
        <f>SUMIFS('Lançamentos'!$L$2:$L$5010,'Lançamentos'!$A$2:$A$5010,"Uso e consumo",'Lançamentos'!$H$2:$H$5010,$A22,'Lançamentos'!$C$2:$C$5010,J$20)</f>
        <v/>
      </c>
      <c r="K22" s="9">
        <f>SUM(B22:J22)</f>
        <v/>
      </c>
      <c r="L22" s="10">
        <f>K22/K$101</f>
        <v/>
      </c>
      <c r="M22" s="9">
        <f>SUMIFS('Lançamentos'!$L$2:$L$5010,'Lançamentos'!$A$2:$A$5010,"Uso e consumo",'Lançamentos'!$H$2:$H$5010,$A22,'Lançamentos'!$C$2:$C$5010,"Antes de 2026")</f>
        <v/>
      </c>
      <c r="N22" s="9">
        <f>SUMIFS('Lançamentos'!$J$2:$J$5010,'Lançamentos'!$A$2:$A$5010,"Uso e consumo",'Lançamentos'!$H$2:$H$5010,$A22,'Lançamentos'!$D$2:$D$5010,"Em 2026")</f>
        <v/>
      </c>
      <c r="O22" s="9">
        <f>SUMIFS('Lançamentos'!$K$2:$K$5010,'Lançamentos'!$A$2:$A$5010,"Uso e consumo",'Lançamentos'!$H$2:$H$5010,$A22,'Lançamentos'!$D$2:$D$5010,"Em 2026")</f>
        <v/>
      </c>
      <c r="P22" s="26">
        <f>COUNTIFS('Lançamentos'!$A$2:$A$5010,"Uso e consumo",'Lançamentos'!$H$2:$H$5010,$A22,'Lançamentos'!$D$2:$D$5010,"Em 2026")</f>
        <v/>
      </c>
    </row>
    <row r="23">
      <c r="A23" t="inlineStr">
        <is>
          <t>R M FARDAMENTOS LTDA</t>
        </is>
      </c>
      <c r="B23" s="9">
        <f>SUMIFS('Lançamentos'!$L$2:$L$5010,'Lançamentos'!$A$2:$A$5010,"Uso e consumo",'Lançamentos'!$H$2:$H$5010,$A23,'Lançamentos'!$C$2:$C$5010,B$20)</f>
        <v/>
      </c>
      <c r="C23" s="9">
        <f>SUMIFS('Lançamentos'!$L$2:$L$5010,'Lançamentos'!$A$2:$A$5010,"Uso e consumo",'Lançamentos'!$H$2:$H$5010,$A23,'Lançamentos'!$C$2:$C$5010,C$20)</f>
        <v/>
      </c>
      <c r="D23" s="9">
        <f>SUMIFS('Lançamentos'!$L$2:$L$5010,'Lançamentos'!$A$2:$A$5010,"Uso e consumo",'Lançamentos'!$H$2:$H$5010,$A23,'Lançamentos'!$C$2:$C$5010,D$20)</f>
        <v/>
      </c>
      <c r="E23" s="9">
        <f>SUMIFS('Lançamentos'!$L$2:$L$5010,'Lançamentos'!$A$2:$A$5010,"Uso e consumo",'Lançamentos'!$H$2:$H$5010,$A23,'Lançamentos'!$C$2:$C$5010,E$20)</f>
        <v/>
      </c>
      <c r="F23" s="9">
        <f>SUMIFS('Lançamentos'!$L$2:$L$5010,'Lançamentos'!$A$2:$A$5010,"Uso e consumo",'Lançamentos'!$H$2:$H$5010,$A23,'Lançamentos'!$C$2:$C$5010,F$20)</f>
        <v/>
      </c>
      <c r="G23" s="9">
        <f>SUMIFS('Lançamentos'!$L$2:$L$5010,'Lançamentos'!$A$2:$A$5010,"Uso e consumo",'Lançamentos'!$H$2:$H$5010,$A23,'Lançamentos'!$C$2:$C$5010,G$20)</f>
        <v/>
      </c>
      <c r="H23" s="9">
        <f>SUMIFS('Lançamentos'!$L$2:$L$5010,'Lançamentos'!$A$2:$A$5010,"Uso e consumo",'Lançamentos'!$H$2:$H$5010,$A23,'Lançamentos'!$C$2:$C$5010,H$20)</f>
        <v/>
      </c>
      <c r="I23" s="9">
        <f>SUMIFS('Lançamentos'!$L$2:$L$5010,'Lançamentos'!$A$2:$A$5010,"Uso e consumo",'Lançamentos'!$H$2:$H$5010,$A23,'Lançamentos'!$C$2:$C$5010,I$20)</f>
        <v/>
      </c>
      <c r="J23" s="9">
        <f>SUMIFS('Lançamentos'!$L$2:$L$5010,'Lançamentos'!$A$2:$A$5010,"Uso e consumo",'Lançamentos'!$H$2:$H$5010,$A23,'Lançamentos'!$C$2:$C$5010,J$20)</f>
        <v/>
      </c>
      <c r="K23" s="9">
        <f>SUM(B23:J23)</f>
        <v/>
      </c>
      <c r="L23" s="10">
        <f>K23/K$101</f>
        <v/>
      </c>
      <c r="M23" s="9">
        <f>SUMIFS('Lançamentos'!$L$2:$L$5010,'Lançamentos'!$A$2:$A$5010,"Uso e consumo",'Lançamentos'!$H$2:$H$5010,$A23,'Lançamentos'!$C$2:$C$5010,"Antes de 2026")</f>
        <v/>
      </c>
      <c r="N23" s="9">
        <f>SUMIFS('Lançamentos'!$J$2:$J$5010,'Lançamentos'!$A$2:$A$5010,"Uso e consumo",'Lançamentos'!$H$2:$H$5010,$A23,'Lançamentos'!$D$2:$D$5010,"Em 2026")</f>
        <v/>
      </c>
      <c r="O23" s="9">
        <f>SUMIFS('Lançamentos'!$K$2:$K$5010,'Lançamentos'!$A$2:$A$5010,"Uso e consumo",'Lançamentos'!$H$2:$H$5010,$A23,'Lançamentos'!$D$2:$D$5010,"Em 2026")</f>
        <v/>
      </c>
      <c r="P23" s="26">
        <f>COUNTIFS('Lançamentos'!$A$2:$A$5010,"Uso e consumo",'Lançamentos'!$H$2:$H$5010,$A23,'Lançamentos'!$D$2:$D$5010,"Em 2026")</f>
        <v/>
      </c>
    </row>
    <row r="24">
      <c r="A24" t="inlineStr">
        <is>
          <t>PERNAMBUCO DISTRIBUIDORA ATAC EPIS, INS IND e MRO LTDA</t>
        </is>
      </c>
      <c r="B24" s="9">
        <f>SUMIFS('Lançamentos'!$L$2:$L$5010,'Lançamentos'!$A$2:$A$5010,"Uso e consumo",'Lançamentos'!$H$2:$H$5010,$A24,'Lançamentos'!$C$2:$C$5010,B$20)</f>
        <v/>
      </c>
      <c r="C24" s="9">
        <f>SUMIFS('Lançamentos'!$L$2:$L$5010,'Lançamentos'!$A$2:$A$5010,"Uso e consumo",'Lançamentos'!$H$2:$H$5010,$A24,'Lançamentos'!$C$2:$C$5010,C$20)</f>
        <v/>
      </c>
      <c r="D24" s="9">
        <f>SUMIFS('Lançamentos'!$L$2:$L$5010,'Lançamentos'!$A$2:$A$5010,"Uso e consumo",'Lançamentos'!$H$2:$H$5010,$A24,'Lançamentos'!$C$2:$C$5010,D$20)</f>
        <v/>
      </c>
      <c r="E24" s="9">
        <f>SUMIFS('Lançamentos'!$L$2:$L$5010,'Lançamentos'!$A$2:$A$5010,"Uso e consumo",'Lançamentos'!$H$2:$H$5010,$A24,'Lançamentos'!$C$2:$C$5010,E$20)</f>
        <v/>
      </c>
      <c r="F24" s="9">
        <f>SUMIFS('Lançamentos'!$L$2:$L$5010,'Lançamentos'!$A$2:$A$5010,"Uso e consumo",'Lançamentos'!$H$2:$H$5010,$A24,'Lançamentos'!$C$2:$C$5010,F$20)</f>
        <v/>
      </c>
      <c r="G24" s="9">
        <f>SUMIFS('Lançamentos'!$L$2:$L$5010,'Lançamentos'!$A$2:$A$5010,"Uso e consumo",'Lançamentos'!$H$2:$H$5010,$A24,'Lançamentos'!$C$2:$C$5010,G$20)</f>
        <v/>
      </c>
      <c r="H24" s="9">
        <f>SUMIFS('Lançamentos'!$L$2:$L$5010,'Lançamentos'!$A$2:$A$5010,"Uso e consumo",'Lançamentos'!$H$2:$H$5010,$A24,'Lançamentos'!$C$2:$C$5010,H$20)</f>
        <v/>
      </c>
      <c r="I24" s="9">
        <f>SUMIFS('Lançamentos'!$L$2:$L$5010,'Lançamentos'!$A$2:$A$5010,"Uso e consumo",'Lançamentos'!$H$2:$H$5010,$A24,'Lançamentos'!$C$2:$C$5010,I$20)</f>
        <v/>
      </c>
      <c r="J24" s="9">
        <f>SUMIFS('Lançamentos'!$L$2:$L$5010,'Lançamentos'!$A$2:$A$5010,"Uso e consumo",'Lançamentos'!$H$2:$H$5010,$A24,'Lançamentos'!$C$2:$C$5010,J$20)</f>
        <v/>
      </c>
      <c r="K24" s="9">
        <f>SUM(B24:J24)</f>
        <v/>
      </c>
      <c r="L24" s="10">
        <f>K24/K$101</f>
        <v/>
      </c>
      <c r="M24" s="9">
        <f>SUMIFS('Lançamentos'!$L$2:$L$5010,'Lançamentos'!$A$2:$A$5010,"Uso e consumo",'Lançamentos'!$H$2:$H$5010,$A24,'Lançamentos'!$C$2:$C$5010,"Antes de 2026")</f>
        <v/>
      </c>
      <c r="N24" s="9">
        <f>SUMIFS('Lançamentos'!$J$2:$J$5010,'Lançamentos'!$A$2:$A$5010,"Uso e consumo",'Lançamentos'!$H$2:$H$5010,$A24,'Lançamentos'!$D$2:$D$5010,"Em 2026")</f>
        <v/>
      </c>
      <c r="O24" s="9">
        <f>SUMIFS('Lançamentos'!$K$2:$K$5010,'Lançamentos'!$A$2:$A$5010,"Uso e consumo",'Lançamentos'!$H$2:$H$5010,$A24,'Lançamentos'!$D$2:$D$5010,"Em 2026")</f>
        <v/>
      </c>
      <c r="P24" s="26">
        <f>COUNTIFS('Lançamentos'!$A$2:$A$5010,"Uso e consumo",'Lançamentos'!$H$2:$H$5010,$A24,'Lançamentos'!$D$2:$D$5010,"Em 2026")</f>
        <v/>
      </c>
    </row>
    <row r="25">
      <c r="A25" t="inlineStr">
        <is>
          <t>ELETROPOLO ELETRICIDADE LTDA</t>
        </is>
      </c>
      <c r="B25" s="9">
        <f>SUMIFS('Lançamentos'!$L$2:$L$5010,'Lançamentos'!$A$2:$A$5010,"Uso e consumo",'Lançamentos'!$H$2:$H$5010,$A25,'Lançamentos'!$C$2:$C$5010,B$20)</f>
        <v/>
      </c>
      <c r="C25" s="9">
        <f>SUMIFS('Lançamentos'!$L$2:$L$5010,'Lançamentos'!$A$2:$A$5010,"Uso e consumo",'Lançamentos'!$H$2:$H$5010,$A25,'Lançamentos'!$C$2:$C$5010,C$20)</f>
        <v/>
      </c>
      <c r="D25" s="9">
        <f>SUMIFS('Lançamentos'!$L$2:$L$5010,'Lançamentos'!$A$2:$A$5010,"Uso e consumo",'Lançamentos'!$H$2:$H$5010,$A25,'Lançamentos'!$C$2:$C$5010,D$20)</f>
        <v/>
      </c>
      <c r="E25" s="9">
        <f>SUMIFS('Lançamentos'!$L$2:$L$5010,'Lançamentos'!$A$2:$A$5010,"Uso e consumo",'Lançamentos'!$H$2:$H$5010,$A25,'Lançamentos'!$C$2:$C$5010,E$20)</f>
        <v/>
      </c>
      <c r="F25" s="9">
        <f>SUMIFS('Lançamentos'!$L$2:$L$5010,'Lançamentos'!$A$2:$A$5010,"Uso e consumo",'Lançamentos'!$H$2:$H$5010,$A25,'Lançamentos'!$C$2:$C$5010,F$20)</f>
        <v/>
      </c>
      <c r="G25" s="9">
        <f>SUMIFS('Lançamentos'!$L$2:$L$5010,'Lançamentos'!$A$2:$A$5010,"Uso e consumo",'Lançamentos'!$H$2:$H$5010,$A25,'Lançamentos'!$C$2:$C$5010,G$20)</f>
        <v/>
      </c>
      <c r="H25" s="9">
        <f>SUMIFS('Lançamentos'!$L$2:$L$5010,'Lançamentos'!$A$2:$A$5010,"Uso e consumo",'Lançamentos'!$H$2:$H$5010,$A25,'Lançamentos'!$C$2:$C$5010,H$20)</f>
        <v/>
      </c>
      <c r="I25" s="9">
        <f>SUMIFS('Lançamentos'!$L$2:$L$5010,'Lançamentos'!$A$2:$A$5010,"Uso e consumo",'Lançamentos'!$H$2:$H$5010,$A25,'Lançamentos'!$C$2:$C$5010,I$20)</f>
        <v/>
      </c>
      <c r="J25" s="9">
        <f>SUMIFS('Lançamentos'!$L$2:$L$5010,'Lançamentos'!$A$2:$A$5010,"Uso e consumo",'Lançamentos'!$H$2:$H$5010,$A25,'Lançamentos'!$C$2:$C$5010,J$20)</f>
        <v/>
      </c>
      <c r="K25" s="9">
        <f>SUM(B25:J25)</f>
        <v/>
      </c>
      <c r="L25" s="10">
        <f>K25/K$101</f>
        <v/>
      </c>
      <c r="M25" s="9">
        <f>SUMIFS('Lançamentos'!$L$2:$L$5010,'Lançamentos'!$A$2:$A$5010,"Uso e consumo",'Lançamentos'!$H$2:$H$5010,$A25,'Lançamentos'!$C$2:$C$5010,"Antes de 2026")</f>
        <v/>
      </c>
      <c r="N25" s="9">
        <f>SUMIFS('Lançamentos'!$J$2:$J$5010,'Lançamentos'!$A$2:$A$5010,"Uso e consumo",'Lançamentos'!$H$2:$H$5010,$A25,'Lançamentos'!$D$2:$D$5010,"Em 2026")</f>
        <v/>
      </c>
      <c r="O25" s="9">
        <f>SUMIFS('Lançamentos'!$K$2:$K$5010,'Lançamentos'!$A$2:$A$5010,"Uso e consumo",'Lançamentos'!$H$2:$H$5010,$A25,'Lançamentos'!$D$2:$D$5010,"Em 2026")</f>
        <v/>
      </c>
      <c r="P25" s="26">
        <f>COUNTIFS('Lançamentos'!$A$2:$A$5010,"Uso e consumo",'Lançamentos'!$H$2:$H$5010,$A25,'Lançamentos'!$D$2:$D$5010,"Em 2026")</f>
        <v/>
      </c>
    </row>
    <row r="26">
      <c r="A26" t="inlineStr">
        <is>
          <t>FERGE COMERCIO DE PRODUTOS INDUSTRIAIS LTDA</t>
        </is>
      </c>
      <c r="B26" s="9">
        <f>SUMIFS('Lançamentos'!$L$2:$L$5010,'Lançamentos'!$A$2:$A$5010,"Uso e consumo",'Lançamentos'!$H$2:$H$5010,$A26,'Lançamentos'!$C$2:$C$5010,B$20)</f>
        <v/>
      </c>
      <c r="C26" s="9">
        <f>SUMIFS('Lançamentos'!$L$2:$L$5010,'Lançamentos'!$A$2:$A$5010,"Uso e consumo",'Lançamentos'!$H$2:$H$5010,$A26,'Lançamentos'!$C$2:$C$5010,C$20)</f>
        <v/>
      </c>
      <c r="D26" s="9">
        <f>SUMIFS('Lançamentos'!$L$2:$L$5010,'Lançamentos'!$A$2:$A$5010,"Uso e consumo",'Lançamentos'!$H$2:$H$5010,$A26,'Lançamentos'!$C$2:$C$5010,D$20)</f>
        <v/>
      </c>
      <c r="E26" s="9">
        <f>SUMIFS('Lançamentos'!$L$2:$L$5010,'Lançamentos'!$A$2:$A$5010,"Uso e consumo",'Lançamentos'!$H$2:$H$5010,$A26,'Lançamentos'!$C$2:$C$5010,E$20)</f>
        <v/>
      </c>
      <c r="F26" s="9">
        <f>SUMIFS('Lançamentos'!$L$2:$L$5010,'Lançamentos'!$A$2:$A$5010,"Uso e consumo",'Lançamentos'!$H$2:$H$5010,$A26,'Lançamentos'!$C$2:$C$5010,F$20)</f>
        <v/>
      </c>
      <c r="G26" s="9">
        <f>SUMIFS('Lançamentos'!$L$2:$L$5010,'Lançamentos'!$A$2:$A$5010,"Uso e consumo",'Lançamentos'!$H$2:$H$5010,$A26,'Lançamentos'!$C$2:$C$5010,G$20)</f>
        <v/>
      </c>
      <c r="H26" s="9">
        <f>SUMIFS('Lançamentos'!$L$2:$L$5010,'Lançamentos'!$A$2:$A$5010,"Uso e consumo",'Lançamentos'!$H$2:$H$5010,$A26,'Lançamentos'!$C$2:$C$5010,H$20)</f>
        <v/>
      </c>
      <c r="I26" s="9">
        <f>SUMIFS('Lançamentos'!$L$2:$L$5010,'Lançamentos'!$A$2:$A$5010,"Uso e consumo",'Lançamentos'!$H$2:$H$5010,$A26,'Lançamentos'!$C$2:$C$5010,I$20)</f>
        <v/>
      </c>
      <c r="J26" s="9">
        <f>SUMIFS('Lançamentos'!$L$2:$L$5010,'Lançamentos'!$A$2:$A$5010,"Uso e consumo",'Lançamentos'!$H$2:$H$5010,$A26,'Lançamentos'!$C$2:$C$5010,J$20)</f>
        <v/>
      </c>
      <c r="K26" s="9">
        <f>SUM(B26:J26)</f>
        <v/>
      </c>
      <c r="L26" s="10">
        <f>K26/K$101</f>
        <v/>
      </c>
      <c r="M26" s="9">
        <f>SUMIFS('Lançamentos'!$L$2:$L$5010,'Lançamentos'!$A$2:$A$5010,"Uso e consumo",'Lançamentos'!$H$2:$H$5010,$A26,'Lançamentos'!$C$2:$C$5010,"Antes de 2026")</f>
        <v/>
      </c>
      <c r="N26" s="9">
        <f>SUMIFS('Lançamentos'!$J$2:$J$5010,'Lançamentos'!$A$2:$A$5010,"Uso e consumo",'Lançamentos'!$H$2:$H$5010,$A26,'Lançamentos'!$D$2:$D$5010,"Em 2026")</f>
        <v/>
      </c>
      <c r="O26" s="9">
        <f>SUMIFS('Lançamentos'!$K$2:$K$5010,'Lançamentos'!$A$2:$A$5010,"Uso e consumo",'Lançamentos'!$H$2:$H$5010,$A26,'Lançamentos'!$D$2:$D$5010,"Em 2026")</f>
        <v/>
      </c>
      <c r="P26" s="26">
        <f>COUNTIFS('Lançamentos'!$A$2:$A$5010,"Uso e consumo",'Lançamentos'!$H$2:$H$5010,$A26,'Lançamentos'!$D$2:$D$5010,"Em 2026")</f>
        <v/>
      </c>
    </row>
    <row r="27">
      <c r="A27" t="inlineStr">
        <is>
          <t>GF COMERCIO DE PRODUTOS INDUSTRIAIS LTDA</t>
        </is>
      </c>
      <c r="B27" s="9">
        <f>SUMIFS('Lançamentos'!$L$2:$L$5010,'Lançamentos'!$A$2:$A$5010,"Uso e consumo",'Lançamentos'!$H$2:$H$5010,$A27,'Lançamentos'!$C$2:$C$5010,B$20)</f>
        <v/>
      </c>
      <c r="C27" s="9">
        <f>SUMIFS('Lançamentos'!$L$2:$L$5010,'Lançamentos'!$A$2:$A$5010,"Uso e consumo",'Lançamentos'!$H$2:$H$5010,$A27,'Lançamentos'!$C$2:$C$5010,C$20)</f>
        <v/>
      </c>
      <c r="D27" s="9">
        <f>SUMIFS('Lançamentos'!$L$2:$L$5010,'Lançamentos'!$A$2:$A$5010,"Uso e consumo",'Lançamentos'!$H$2:$H$5010,$A27,'Lançamentos'!$C$2:$C$5010,D$20)</f>
        <v/>
      </c>
      <c r="E27" s="9">
        <f>SUMIFS('Lançamentos'!$L$2:$L$5010,'Lançamentos'!$A$2:$A$5010,"Uso e consumo",'Lançamentos'!$H$2:$H$5010,$A27,'Lançamentos'!$C$2:$C$5010,E$20)</f>
        <v/>
      </c>
      <c r="F27" s="9">
        <f>SUMIFS('Lançamentos'!$L$2:$L$5010,'Lançamentos'!$A$2:$A$5010,"Uso e consumo",'Lançamentos'!$H$2:$H$5010,$A27,'Lançamentos'!$C$2:$C$5010,F$20)</f>
        <v/>
      </c>
      <c r="G27" s="9">
        <f>SUMIFS('Lançamentos'!$L$2:$L$5010,'Lançamentos'!$A$2:$A$5010,"Uso e consumo",'Lançamentos'!$H$2:$H$5010,$A27,'Lançamentos'!$C$2:$C$5010,G$20)</f>
        <v/>
      </c>
      <c r="H27" s="9">
        <f>SUMIFS('Lançamentos'!$L$2:$L$5010,'Lançamentos'!$A$2:$A$5010,"Uso e consumo",'Lançamentos'!$H$2:$H$5010,$A27,'Lançamentos'!$C$2:$C$5010,H$20)</f>
        <v/>
      </c>
      <c r="I27" s="9">
        <f>SUMIFS('Lançamentos'!$L$2:$L$5010,'Lançamentos'!$A$2:$A$5010,"Uso e consumo",'Lançamentos'!$H$2:$H$5010,$A27,'Lançamentos'!$C$2:$C$5010,I$20)</f>
        <v/>
      </c>
      <c r="J27" s="9">
        <f>SUMIFS('Lançamentos'!$L$2:$L$5010,'Lançamentos'!$A$2:$A$5010,"Uso e consumo",'Lançamentos'!$H$2:$H$5010,$A27,'Lançamentos'!$C$2:$C$5010,J$20)</f>
        <v/>
      </c>
      <c r="K27" s="9">
        <f>SUM(B27:J27)</f>
        <v/>
      </c>
      <c r="L27" s="10">
        <f>K27/K$101</f>
        <v/>
      </c>
      <c r="M27" s="9">
        <f>SUMIFS('Lançamentos'!$L$2:$L$5010,'Lançamentos'!$A$2:$A$5010,"Uso e consumo",'Lançamentos'!$H$2:$H$5010,$A27,'Lançamentos'!$C$2:$C$5010,"Antes de 2026")</f>
        <v/>
      </c>
      <c r="N27" s="9">
        <f>SUMIFS('Lançamentos'!$J$2:$J$5010,'Lançamentos'!$A$2:$A$5010,"Uso e consumo",'Lançamentos'!$H$2:$H$5010,$A27,'Lançamentos'!$D$2:$D$5010,"Em 2026")</f>
        <v/>
      </c>
      <c r="O27" s="9">
        <f>SUMIFS('Lançamentos'!$K$2:$K$5010,'Lançamentos'!$A$2:$A$5010,"Uso e consumo",'Lançamentos'!$H$2:$H$5010,$A27,'Lançamentos'!$D$2:$D$5010,"Em 2026")</f>
        <v/>
      </c>
      <c r="P27" s="26">
        <f>COUNTIFS('Lançamentos'!$A$2:$A$5010,"Uso e consumo",'Lançamentos'!$H$2:$H$5010,$A27,'Lançamentos'!$D$2:$D$5010,"Em 2026")</f>
        <v/>
      </c>
    </row>
    <row r="28">
      <c r="A28" t="inlineStr">
        <is>
          <t>ATACADAO ECONOMICO - COMERCIO DE MATERIAL DE CONSTRUCAO LTDA</t>
        </is>
      </c>
      <c r="B28" s="9">
        <f>SUMIFS('Lançamentos'!$L$2:$L$5010,'Lançamentos'!$A$2:$A$5010,"Uso e consumo",'Lançamentos'!$H$2:$H$5010,$A28,'Lançamentos'!$C$2:$C$5010,B$20)</f>
        <v/>
      </c>
      <c r="C28" s="9">
        <f>SUMIFS('Lançamentos'!$L$2:$L$5010,'Lançamentos'!$A$2:$A$5010,"Uso e consumo",'Lançamentos'!$H$2:$H$5010,$A28,'Lançamentos'!$C$2:$C$5010,C$20)</f>
        <v/>
      </c>
      <c r="D28" s="9">
        <f>SUMIFS('Lançamentos'!$L$2:$L$5010,'Lançamentos'!$A$2:$A$5010,"Uso e consumo",'Lançamentos'!$H$2:$H$5010,$A28,'Lançamentos'!$C$2:$C$5010,D$20)</f>
        <v/>
      </c>
      <c r="E28" s="9">
        <f>SUMIFS('Lançamentos'!$L$2:$L$5010,'Lançamentos'!$A$2:$A$5010,"Uso e consumo",'Lançamentos'!$H$2:$H$5010,$A28,'Lançamentos'!$C$2:$C$5010,E$20)</f>
        <v/>
      </c>
      <c r="F28" s="9">
        <f>SUMIFS('Lançamentos'!$L$2:$L$5010,'Lançamentos'!$A$2:$A$5010,"Uso e consumo",'Lançamentos'!$H$2:$H$5010,$A28,'Lançamentos'!$C$2:$C$5010,F$20)</f>
        <v/>
      </c>
      <c r="G28" s="9">
        <f>SUMIFS('Lançamentos'!$L$2:$L$5010,'Lançamentos'!$A$2:$A$5010,"Uso e consumo",'Lançamentos'!$H$2:$H$5010,$A28,'Lançamentos'!$C$2:$C$5010,G$20)</f>
        <v/>
      </c>
      <c r="H28" s="9">
        <f>SUMIFS('Lançamentos'!$L$2:$L$5010,'Lançamentos'!$A$2:$A$5010,"Uso e consumo",'Lançamentos'!$H$2:$H$5010,$A28,'Lançamentos'!$C$2:$C$5010,H$20)</f>
        <v/>
      </c>
      <c r="I28" s="9">
        <f>SUMIFS('Lançamentos'!$L$2:$L$5010,'Lançamentos'!$A$2:$A$5010,"Uso e consumo",'Lançamentos'!$H$2:$H$5010,$A28,'Lançamentos'!$C$2:$C$5010,I$20)</f>
        <v/>
      </c>
      <c r="J28" s="9">
        <f>SUMIFS('Lançamentos'!$L$2:$L$5010,'Lançamentos'!$A$2:$A$5010,"Uso e consumo",'Lançamentos'!$H$2:$H$5010,$A28,'Lançamentos'!$C$2:$C$5010,J$20)</f>
        <v/>
      </c>
      <c r="K28" s="9">
        <f>SUM(B28:J28)</f>
        <v/>
      </c>
      <c r="L28" s="10">
        <f>K28/K$101</f>
        <v/>
      </c>
      <c r="M28" s="9">
        <f>SUMIFS('Lançamentos'!$L$2:$L$5010,'Lançamentos'!$A$2:$A$5010,"Uso e consumo",'Lançamentos'!$H$2:$H$5010,$A28,'Lançamentos'!$C$2:$C$5010,"Antes de 2026")</f>
        <v/>
      </c>
      <c r="N28" s="9">
        <f>SUMIFS('Lançamentos'!$J$2:$J$5010,'Lançamentos'!$A$2:$A$5010,"Uso e consumo",'Lançamentos'!$H$2:$H$5010,$A28,'Lançamentos'!$D$2:$D$5010,"Em 2026")</f>
        <v/>
      </c>
      <c r="O28" s="9">
        <f>SUMIFS('Lançamentos'!$K$2:$K$5010,'Lançamentos'!$A$2:$A$5010,"Uso e consumo",'Lançamentos'!$H$2:$H$5010,$A28,'Lançamentos'!$D$2:$D$5010,"Em 2026")</f>
        <v/>
      </c>
      <c r="P28" s="26">
        <f>COUNTIFS('Lançamentos'!$A$2:$A$5010,"Uso e consumo",'Lançamentos'!$H$2:$H$5010,$A28,'Lançamentos'!$D$2:$D$5010,"Em 2026")</f>
        <v/>
      </c>
    </row>
    <row r="29">
      <c r="A29" t="inlineStr">
        <is>
          <t>TECHPRINT FACAS INDUSTRIAIS</t>
        </is>
      </c>
      <c r="B29" s="9">
        <f>SUMIFS('Lançamentos'!$L$2:$L$5010,'Lançamentos'!$A$2:$A$5010,"Uso e consumo",'Lançamentos'!$H$2:$H$5010,$A29,'Lançamentos'!$C$2:$C$5010,B$20)</f>
        <v/>
      </c>
      <c r="C29" s="9">
        <f>SUMIFS('Lançamentos'!$L$2:$L$5010,'Lançamentos'!$A$2:$A$5010,"Uso e consumo",'Lançamentos'!$H$2:$H$5010,$A29,'Lançamentos'!$C$2:$C$5010,C$20)</f>
        <v/>
      </c>
      <c r="D29" s="9">
        <f>SUMIFS('Lançamentos'!$L$2:$L$5010,'Lançamentos'!$A$2:$A$5010,"Uso e consumo",'Lançamentos'!$H$2:$H$5010,$A29,'Lançamentos'!$C$2:$C$5010,D$20)</f>
        <v/>
      </c>
      <c r="E29" s="9">
        <f>SUMIFS('Lançamentos'!$L$2:$L$5010,'Lançamentos'!$A$2:$A$5010,"Uso e consumo",'Lançamentos'!$H$2:$H$5010,$A29,'Lançamentos'!$C$2:$C$5010,E$20)</f>
        <v/>
      </c>
      <c r="F29" s="9">
        <f>SUMIFS('Lançamentos'!$L$2:$L$5010,'Lançamentos'!$A$2:$A$5010,"Uso e consumo",'Lançamentos'!$H$2:$H$5010,$A29,'Lançamentos'!$C$2:$C$5010,F$20)</f>
        <v/>
      </c>
      <c r="G29" s="9">
        <f>SUMIFS('Lançamentos'!$L$2:$L$5010,'Lançamentos'!$A$2:$A$5010,"Uso e consumo",'Lançamentos'!$H$2:$H$5010,$A29,'Lançamentos'!$C$2:$C$5010,G$20)</f>
        <v/>
      </c>
      <c r="H29" s="9">
        <f>SUMIFS('Lançamentos'!$L$2:$L$5010,'Lançamentos'!$A$2:$A$5010,"Uso e consumo",'Lançamentos'!$H$2:$H$5010,$A29,'Lançamentos'!$C$2:$C$5010,H$20)</f>
        <v/>
      </c>
      <c r="I29" s="9">
        <f>SUMIFS('Lançamentos'!$L$2:$L$5010,'Lançamentos'!$A$2:$A$5010,"Uso e consumo",'Lançamentos'!$H$2:$H$5010,$A29,'Lançamentos'!$C$2:$C$5010,I$20)</f>
        <v/>
      </c>
      <c r="J29" s="9">
        <f>SUMIFS('Lançamentos'!$L$2:$L$5010,'Lançamentos'!$A$2:$A$5010,"Uso e consumo",'Lançamentos'!$H$2:$H$5010,$A29,'Lançamentos'!$C$2:$C$5010,J$20)</f>
        <v/>
      </c>
      <c r="K29" s="9">
        <f>SUM(B29:J29)</f>
        <v/>
      </c>
      <c r="L29" s="10">
        <f>K29/K$101</f>
        <v/>
      </c>
      <c r="M29" s="9">
        <f>SUMIFS('Lançamentos'!$L$2:$L$5010,'Lançamentos'!$A$2:$A$5010,"Uso e consumo",'Lançamentos'!$H$2:$H$5010,$A29,'Lançamentos'!$C$2:$C$5010,"Antes de 2026")</f>
        <v/>
      </c>
      <c r="N29" s="9">
        <f>SUMIFS('Lançamentos'!$J$2:$J$5010,'Lançamentos'!$A$2:$A$5010,"Uso e consumo",'Lançamentos'!$H$2:$H$5010,$A29,'Lançamentos'!$D$2:$D$5010,"Em 2026")</f>
        <v/>
      </c>
      <c r="O29" s="9">
        <f>SUMIFS('Lançamentos'!$K$2:$K$5010,'Lançamentos'!$A$2:$A$5010,"Uso e consumo",'Lançamentos'!$H$2:$H$5010,$A29,'Lançamentos'!$D$2:$D$5010,"Em 2026")</f>
        <v/>
      </c>
      <c r="P29" s="26">
        <f>COUNTIFS('Lançamentos'!$A$2:$A$5010,"Uso e consumo",'Lançamentos'!$H$2:$H$5010,$A29,'Lançamentos'!$D$2:$D$5010,"Em 2026")</f>
        <v/>
      </c>
    </row>
    <row r="30">
      <c r="A30" t="inlineStr">
        <is>
          <t>MARILENE CARVALHO LUCENA DE BRITO - ME</t>
        </is>
      </c>
      <c r="B30" s="9">
        <f>SUMIFS('Lançamentos'!$L$2:$L$5010,'Lançamentos'!$A$2:$A$5010,"Uso e consumo",'Lançamentos'!$H$2:$H$5010,$A30,'Lançamentos'!$C$2:$C$5010,B$20)</f>
        <v/>
      </c>
      <c r="C30" s="9">
        <f>SUMIFS('Lançamentos'!$L$2:$L$5010,'Lançamentos'!$A$2:$A$5010,"Uso e consumo",'Lançamentos'!$H$2:$H$5010,$A30,'Lançamentos'!$C$2:$C$5010,C$20)</f>
        <v/>
      </c>
      <c r="D30" s="9">
        <f>SUMIFS('Lançamentos'!$L$2:$L$5010,'Lançamentos'!$A$2:$A$5010,"Uso e consumo",'Lançamentos'!$H$2:$H$5010,$A30,'Lançamentos'!$C$2:$C$5010,D$20)</f>
        <v/>
      </c>
      <c r="E30" s="9">
        <f>SUMIFS('Lançamentos'!$L$2:$L$5010,'Lançamentos'!$A$2:$A$5010,"Uso e consumo",'Lançamentos'!$H$2:$H$5010,$A30,'Lançamentos'!$C$2:$C$5010,E$20)</f>
        <v/>
      </c>
      <c r="F30" s="9">
        <f>SUMIFS('Lançamentos'!$L$2:$L$5010,'Lançamentos'!$A$2:$A$5010,"Uso e consumo",'Lançamentos'!$H$2:$H$5010,$A30,'Lançamentos'!$C$2:$C$5010,F$20)</f>
        <v/>
      </c>
      <c r="G30" s="9">
        <f>SUMIFS('Lançamentos'!$L$2:$L$5010,'Lançamentos'!$A$2:$A$5010,"Uso e consumo",'Lançamentos'!$H$2:$H$5010,$A30,'Lançamentos'!$C$2:$C$5010,G$20)</f>
        <v/>
      </c>
      <c r="H30" s="9">
        <f>SUMIFS('Lançamentos'!$L$2:$L$5010,'Lançamentos'!$A$2:$A$5010,"Uso e consumo",'Lançamentos'!$H$2:$H$5010,$A30,'Lançamentos'!$C$2:$C$5010,H$20)</f>
        <v/>
      </c>
      <c r="I30" s="9">
        <f>SUMIFS('Lançamentos'!$L$2:$L$5010,'Lançamentos'!$A$2:$A$5010,"Uso e consumo",'Lançamentos'!$H$2:$H$5010,$A30,'Lançamentos'!$C$2:$C$5010,I$20)</f>
        <v/>
      </c>
      <c r="J30" s="9">
        <f>SUMIFS('Lançamentos'!$L$2:$L$5010,'Lançamentos'!$A$2:$A$5010,"Uso e consumo",'Lançamentos'!$H$2:$H$5010,$A30,'Lançamentos'!$C$2:$C$5010,J$20)</f>
        <v/>
      </c>
      <c r="K30" s="9">
        <f>SUM(B30:J30)</f>
        <v/>
      </c>
      <c r="L30" s="10">
        <f>K30/K$101</f>
        <v/>
      </c>
      <c r="M30" s="9">
        <f>SUMIFS('Lançamentos'!$L$2:$L$5010,'Lançamentos'!$A$2:$A$5010,"Uso e consumo",'Lançamentos'!$H$2:$H$5010,$A30,'Lançamentos'!$C$2:$C$5010,"Antes de 2026")</f>
        <v/>
      </c>
      <c r="N30" s="9">
        <f>SUMIFS('Lançamentos'!$J$2:$J$5010,'Lançamentos'!$A$2:$A$5010,"Uso e consumo",'Lançamentos'!$H$2:$H$5010,$A30,'Lançamentos'!$D$2:$D$5010,"Em 2026")</f>
        <v/>
      </c>
      <c r="O30" s="9">
        <f>SUMIFS('Lançamentos'!$K$2:$K$5010,'Lançamentos'!$A$2:$A$5010,"Uso e consumo",'Lançamentos'!$H$2:$H$5010,$A30,'Lançamentos'!$D$2:$D$5010,"Em 2026")</f>
        <v/>
      </c>
      <c r="P30" s="26">
        <f>COUNTIFS('Lançamentos'!$A$2:$A$5010,"Uso e consumo",'Lançamentos'!$H$2:$H$5010,$A30,'Lançamentos'!$D$2:$D$5010,"Em 2026")</f>
        <v/>
      </c>
    </row>
    <row r="31">
      <c r="A31" t="inlineStr">
        <is>
          <t>EDNA DE ARAUJO PACHECO LTDA</t>
        </is>
      </c>
      <c r="B31" s="9">
        <f>SUMIFS('Lançamentos'!$L$2:$L$5010,'Lançamentos'!$A$2:$A$5010,"Uso e consumo",'Lançamentos'!$H$2:$H$5010,$A31,'Lançamentos'!$C$2:$C$5010,B$20)</f>
        <v/>
      </c>
      <c r="C31" s="9">
        <f>SUMIFS('Lançamentos'!$L$2:$L$5010,'Lançamentos'!$A$2:$A$5010,"Uso e consumo",'Lançamentos'!$H$2:$H$5010,$A31,'Lançamentos'!$C$2:$C$5010,C$20)</f>
        <v/>
      </c>
      <c r="D31" s="9">
        <f>SUMIFS('Lançamentos'!$L$2:$L$5010,'Lançamentos'!$A$2:$A$5010,"Uso e consumo",'Lançamentos'!$H$2:$H$5010,$A31,'Lançamentos'!$C$2:$C$5010,D$20)</f>
        <v/>
      </c>
      <c r="E31" s="9">
        <f>SUMIFS('Lançamentos'!$L$2:$L$5010,'Lançamentos'!$A$2:$A$5010,"Uso e consumo",'Lançamentos'!$H$2:$H$5010,$A31,'Lançamentos'!$C$2:$C$5010,E$20)</f>
        <v/>
      </c>
      <c r="F31" s="9">
        <f>SUMIFS('Lançamentos'!$L$2:$L$5010,'Lançamentos'!$A$2:$A$5010,"Uso e consumo",'Lançamentos'!$H$2:$H$5010,$A31,'Lançamentos'!$C$2:$C$5010,F$20)</f>
        <v/>
      </c>
      <c r="G31" s="9">
        <f>SUMIFS('Lançamentos'!$L$2:$L$5010,'Lançamentos'!$A$2:$A$5010,"Uso e consumo",'Lançamentos'!$H$2:$H$5010,$A31,'Lançamentos'!$C$2:$C$5010,G$20)</f>
        <v/>
      </c>
      <c r="H31" s="9">
        <f>SUMIFS('Lançamentos'!$L$2:$L$5010,'Lançamentos'!$A$2:$A$5010,"Uso e consumo",'Lançamentos'!$H$2:$H$5010,$A31,'Lançamentos'!$C$2:$C$5010,H$20)</f>
        <v/>
      </c>
      <c r="I31" s="9">
        <f>SUMIFS('Lançamentos'!$L$2:$L$5010,'Lançamentos'!$A$2:$A$5010,"Uso e consumo",'Lançamentos'!$H$2:$H$5010,$A31,'Lançamentos'!$C$2:$C$5010,I$20)</f>
        <v/>
      </c>
      <c r="J31" s="9">
        <f>SUMIFS('Lançamentos'!$L$2:$L$5010,'Lançamentos'!$A$2:$A$5010,"Uso e consumo",'Lançamentos'!$H$2:$H$5010,$A31,'Lançamentos'!$C$2:$C$5010,J$20)</f>
        <v/>
      </c>
      <c r="K31" s="9">
        <f>SUM(B31:J31)</f>
        <v/>
      </c>
      <c r="L31" s="10">
        <f>K31/K$101</f>
        <v/>
      </c>
      <c r="M31" s="9">
        <f>SUMIFS('Lançamentos'!$L$2:$L$5010,'Lançamentos'!$A$2:$A$5010,"Uso e consumo",'Lançamentos'!$H$2:$H$5010,$A31,'Lançamentos'!$C$2:$C$5010,"Antes de 2026")</f>
        <v/>
      </c>
      <c r="N31" s="9">
        <f>SUMIFS('Lançamentos'!$J$2:$J$5010,'Lançamentos'!$A$2:$A$5010,"Uso e consumo",'Lançamentos'!$H$2:$H$5010,$A31,'Lançamentos'!$D$2:$D$5010,"Em 2026")</f>
        <v/>
      </c>
      <c r="O31" s="9">
        <f>SUMIFS('Lançamentos'!$K$2:$K$5010,'Lançamentos'!$A$2:$A$5010,"Uso e consumo",'Lançamentos'!$H$2:$H$5010,$A31,'Lançamentos'!$D$2:$D$5010,"Em 2026")</f>
        <v/>
      </c>
      <c r="P31" s="26">
        <f>COUNTIFS('Lançamentos'!$A$2:$A$5010,"Uso e consumo",'Lançamentos'!$H$2:$H$5010,$A31,'Lançamentos'!$D$2:$D$5010,"Em 2026")</f>
        <v/>
      </c>
    </row>
    <row r="32">
      <c r="A32" t="inlineStr">
        <is>
          <t>GDM INDUSTRIA E COMERCIO DE PLASTICOS LTDA.</t>
        </is>
      </c>
      <c r="B32" s="9">
        <f>SUMIFS('Lançamentos'!$L$2:$L$5010,'Lançamentos'!$A$2:$A$5010,"Uso e consumo",'Lançamentos'!$H$2:$H$5010,$A32,'Lançamentos'!$C$2:$C$5010,B$20)</f>
        <v/>
      </c>
      <c r="C32" s="9">
        <f>SUMIFS('Lançamentos'!$L$2:$L$5010,'Lançamentos'!$A$2:$A$5010,"Uso e consumo",'Lançamentos'!$H$2:$H$5010,$A32,'Lançamentos'!$C$2:$C$5010,C$20)</f>
        <v/>
      </c>
      <c r="D32" s="9">
        <f>SUMIFS('Lançamentos'!$L$2:$L$5010,'Lançamentos'!$A$2:$A$5010,"Uso e consumo",'Lançamentos'!$H$2:$H$5010,$A32,'Lançamentos'!$C$2:$C$5010,D$20)</f>
        <v/>
      </c>
      <c r="E32" s="9">
        <f>SUMIFS('Lançamentos'!$L$2:$L$5010,'Lançamentos'!$A$2:$A$5010,"Uso e consumo",'Lançamentos'!$H$2:$H$5010,$A32,'Lançamentos'!$C$2:$C$5010,E$20)</f>
        <v/>
      </c>
      <c r="F32" s="9">
        <f>SUMIFS('Lançamentos'!$L$2:$L$5010,'Lançamentos'!$A$2:$A$5010,"Uso e consumo",'Lançamentos'!$H$2:$H$5010,$A32,'Lançamentos'!$C$2:$C$5010,F$20)</f>
        <v/>
      </c>
      <c r="G32" s="9">
        <f>SUMIFS('Lançamentos'!$L$2:$L$5010,'Lançamentos'!$A$2:$A$5010,"Uso e consumo",'Lançamentos'!$H$2:$H$5010,$A32,'Lançamentos'!$C$2:$C$5010,G$20)</f>
        <v/>
      </c>
      <c r="H32" s="9">
        <f>SUMIFS('Lançamentos'!$L$2:$L$5010,'Lançamentos'!$A$2:$A$5010,"Uso e consumo",'Lançamentos'!$H$2:$H$5010,$A32,'Lançamentos'!$C$2:$C$5010,H$20)</f>
        <v/>
      </c>
      <c r="I32" s="9">
        <f>SUMIFS('Lançamentos'!$L$2:$L$5010,'Lançamentos'!$A$2:$A$5010,"Uso e consumo",'Lançamentos'!$H$2:$H$5010,$A32,'Lançamentos'!$C$2:$C$5010,I$20)</f>
        <v/>
      </c>
      <c r="J32" s="9">
        <f>SUMIFS('Lançamentos'!$L$2:$L$5010,'Lançamentos'!$A$2:$A$5010,"Uso e consumo",'Lançamentos'!$H$2:$H$5010,$A32,'Lançamentos'!$C$2:$C$5010,J$20)</f>
        <v/>
      </c>
      <c r="K32" s="9">
        <f>SUM(B32:J32)</f>
        <v/>
      </c>
      <c r="L32" s="10">
        <f>K32/K$101</f>
        <v/>
      </c>
      <c r="M32" s="9">
        <f>SUMIFS('Lançamentos'!$L$2:$L$5010,'Lançamentos'!$A$2:$A$5010,"Uso e consumo",'Lançamentos'!$H$2:$H$5010,$A32,'Lançamentos'!$C$2:$C$5010,"Antes de 2026")</f>
        <v/>
      </c>
      <c r="N32" s="9">
        <f>SUMIFS('Lançamentos'!$J$2:$J$5010,'Lançamentos'!$A$2:$A$5010,"Uso e consumo",'Lançamentos'!$H$2:$H$5010,$A32,'Lançamentos'!$D$2:$D$5010,"Em 2026")</f>
        <v/>
      </c>
      <c r="O32" s="9">
        <f>SUMIFS('Lançamentos'!$K$2:$K$5010,'Lançamentos'!$A$2:$A$5010,"Uso e consumo",'Lançamentos'!$H$2:$H$5010,$A32,'Lançamentos'!$D$2:$D$5010,"Em 2026")</f>
        <v/>
      </c>
      <c r="P32" s="26">
        <f>COUNTIFS('Lançamentos'!$A$2:$A$5010,"Uso e consumo",'Lançamentos'!$H$2:$H$5010,$A32,'Lançamentos'!$D$2:$D$5010,"Em 2026")</f>
        <v/>
      </c>
    </row>
    <row r="33">
      <c r="A33" t="inlineStr">
        <is>
          <t>NH SHOP ECOMERCE LTDA</t>
        </is>
      </c>
      <c r="B33" s="9">
        <f>SUMIFS('Lançamentos'!$L$2:$L$5010,'Lançamentos'!$A$2:$A$5010,"Uso e consumo",'Lançamentos'!$H$2:$H$5010,$A33,'Lançamentos'!$C$2:$C$5010,B$20)</f>
        <v/>
      </c>
      <c r="C33" s="9">
        <f>SUMIFS('Lançamentos'!$L$2:$L$5010,'Lançamentos'!$A$2:$A$5010,"Uso e consumo",'Lançamentos'!$H$2:$H$5010,$A33,'Lançamentos'!$C$2:$C$5010,C$20)</f>
        <v/>
      </c>
      <c r="D33" s="9">
        <f>SUMIFS('Lançamentos'!$L$2:$L$5010,'Lançamentos'!$A$2:$A$5010,"Uso e consumo",'Lançamentos'!$H$2:$H$5010,$A33,'Lançamentos'!$C$2:$C$5010,D$20)</f>
        <v/>
      </c>
      <c r="E33" s="9">
        <f>SUMIFS('Lançamentos'!$L$2:$L$5010,'Lançamentos'!$A$2:$A$5010,"Uso e consumo",'Lançamentos'!$H$2:$H$5010,$A33,'Lançamentos'!$C$2:$C$5010,E$20)</f>
        <v/>
      </c>
      <c r="F33" s="9">
        <f>SUMIFS('Lançamentos'!$L$2:$L$5010,'Lançamentos'!$A$2:$A$5010,"Uso e consumo",'Lançamentos'!$H$2:$H$5010,$A33,'Lançamentos'!$C$2:$C$5010,F$20)</f>
        <v/>
      </c>
      <c r="G33" s="9">
        <f>SUMIFS('Lançamentos'!$L$2:$L$5010,'Lançamentos'!$A$2:$A$5010,"Uso e consumo",'Lançamentos'!$H$2:$H$5010,$A33,'Lançamentos'!$C$2:$C$5010,G$20)</f>
        <v/>
      </c>
      <c r="H33" s="9">
        <f>SUMIFS('Lançamentos'!$L$2:$L$5010,'Lançamentos'!$A$2:$A$5010,"Uso e consumo",'Lançamentos'!$H$2:$H$5010,$A33,'Lançamentos'!$C$2:$C$5010,H$20)</f>
        <v/>
      </c>
      <c r="I33" s="9">
        <f>SUMIFS('Lançamentos'!$L$2:$L$5010,'Lançamentos'!$A$2:$A$5010,"Uso e consumo",'Lançamentos'!$H$2:$H$5010,$A33,'Lançamentos'!$C$2:$C$5010,I$20)</f>
        <v/>
      </c>
      <c r="J33" s="9">
        <f>SUMIFS('Lançamentos'!$L$2:$L$5010,'Lançamentos'!$A$2:$A$5010,"Uso e consumo",'Lançamentos'!$H$2:$H$5010,$A33,'Lançamentos'!$C$2:$C$5010,J$20)</f>
        <v/>
      </c>
      <c r="K33" s="9">
        <f>SUM(B33:J33)</f>
        <v/>
      </c>
      <c r="L33" s="10">
        <f>K33/K$101</f>
        <v/>
      </c>
      <c r="M33" s="9">
        <f>SUMIFS('Lançamentos'!$L$2:$L$5010,'Lançamentos'!$A$2:$A$5010,"Uso e consumo",'Lançamentos'!$H$2:$H$5010,$A33,'Lançamentos'!$C$2:$C$5010,"Antes de 2026")</f>
        <v/>
      </c>
      <c r="N33" s="9">
        <f>SUMIFS('Lançamentos'!$J$2:$J$5010,'Lançamentos'!$A$2:$A$5010,"Uso e consumo",'Lançamentos'!$H$2:$H$5010,$A33,'Lançamentos'!$D$2:$D$5010,"Em 2026")</f>
        <v/>
      </c>
      <c r="O33" s="9">
        <f>SUMIFS('Lançamentos'!$K$2:$K$5010,'Lançamentos'!$A$2:$A$5010,"Uso e consumo",'Lançamentos'!$H$2:$H$5010,$A33,'Lançamentos'!$D$2:$D$5010,"Em 2026")</f>
        <v/>
      </c>
      <c r="P33" s="26">
        <f>COUNTIFS('Lançamentos'!$A$2:$A$5010,"Uso e consumo",'Lançamentos'!$H$2:$H$5010,$A33,'Lançamentos'!$D$2:$D$5010,"Em 2026")</f>
        <v/>
      </c>
    </row>
    <row r="34">
      <c r="A34" t="inlineStr">
        <is>
          <t>SUPERGASBRAS ENERGIA LTDA</t>
        </is>
      </c>
      <c r="B34" s="9">
        <f>SUMIFS('Lançamentos'!$L$2:$L$5010,'Lançamentos'!$A$2:$A$5010,"Uso e consumo",'Lançamentos'!$H$2:$H$5010,$A34,'Lançamentos'!$C$2:$C$5010,B$20)</f>
        <v/>
      </c>
      <c r="C34" s="9">
        <f>SUMIFS('Lançamentos'!$L$2:$L$5010,'Lançamentos'!$A$2:$A$5010,"Uso e consumo",'Lançamentos'!$H$2:$H$5010,$A34,'Lançamentos'!$C$2:$C$5010,C$20)</f>
        <v/>
      </c>
      <c r="D34" s="9">
        <f>SUMIFS('Lançamentos'!$L$2:$L$5010,'Lançamentos'!$A$2:$A$5010,"Uso e consumo",'Lançamentos'!$H$2:$H$5010,$A34,'Lançamentos'!$C$2:$C$5010,D$20)</f>
        <v/>
      </c>
      <c r="E34" s="9">
        <f>SUMIFS('Lançamentos'!$L$2:$L$5010,'Lançamentos'!$A$2:$A$5010,"Uso e consumo",'Lançamentos'!$H$2:$H$5010,$A34,'Lançamentos'!$C$2:$C$5010,E$20)</f>
        <v/>
      </c>
      <c r="F34" s="9">
        <f>SUMIFS('Lançamentos'!$L$2:$L$5010,'Lançamentos'!$A$2:$A$5010,"Uso e consumo",'Lançamentos'!$H$2:$H$5010,$A34,'Lançamentos'!$C$2:$C$5010,F$20)</f>
        <v/>
      </c>
      <c r="G34" s="9">
        <f>SUMIFS('Lançamentos'!$L$2:$L$5010,'Lançamentos'!$A$2:$A$5010,"Uso e consumo",'Lançamentos'!$H$2:$H$5010,$A34,'Lançamentos'!$C$2:$C$5010,G$20)</f>
        <v/>
      </c>
      <c r="H34" s="9">
        <f>SUMIFS('Lançamentos'!$L$2:$L$5010,'Lançamentos'!$A$2:$A$5010,"Uso e consumo",'Lançamentos'!$H$2:$H$5010,$A34,'Lançamentos'!$C$2:$C$5010,H$20)</f>
        <v/>
      </c>
      <c r="I34" s="9">
        <f>SUMIFS('Lançamentos'!$L$2:$L$5010,'Lançamentos'!$A$2:$A$5010,"Uso e consumo",'Lançamentos'!$H$2:$H$5010,$A34,'Lançamentos'!$C$2:$C$5010,I$20)</f>
        <v/>
      </c>
      <c r="J34" s="9">
        <f>SUMIFS('Lançamentos'!$L$2:$L$5010,'Lançamentos'!$A$2:$A$5010,"Uso e consumo",'Lançamentos'!$H$2:$H$5010,$A34,'Lançamentos'!$C$2:$C$5010,J$20)</f>
        <v/>
      </c>
      <c r="K34" s="9">
        <f>SUM(B34:J34)</f>
        <v/>
      </c>
      <c r="L34" s="10">
        <f>K34/K$101</f>
        <v/>
      </c>
      <c r="M34" s="9">
        <f>SUMIFS('Lançamentos'!$L$2:$L$5010,'Lançamentos'!$A$2:$A$5010,"Uso e consumo",'Lançamentos'!$H$2:$H$5010,$A34,'Lançamentos'!$C$2:$C$5010,"Antes de 2026")</f>
        <v/>
      </c>
      <c r="N34" s="9">
        <f>SUMIFS('Lançamentos'!$J$2:$J$5010,'Lançamentos'!$A$2:$A$5010,"Uso e consumo",'Lançamentos'!$H$2:$H$5010,$A34,'Lançamentos'!$D$2:$D$5010,"Em 2026")</f>
        <v/>
      </c>
      <c r="O34" s="9">
        <f>SUMIFS('Lançamentos'!$K$2:$K$5010,'Lançamentos'!$A$2:$A$5010,"Uso e consumo",'Lançamentos'!$H$2:$H$5010,$A34,'Lançamentos'!$D$2:$D$5010,"Em 2026")</f>
        <v/>
      </c>
      <c r="P34" s="26">
        <f>COUNTIFS('Lançamentos'!$A$2:$A$5010,"Uso e consumo",'Lançamentos'!$H$2:$H$5010,$A34,'Lançamentos'!$D$2:$D$5010,"Em 2026")</f>
        <v/>
      </c>
    </row>
    <row r="35">
      <c r="A35" t="inlineStr">
        <is>
          <t>MIRANTE IND. E COM. EIRELI - ME</t>
        </is>
      </c>
      <c r="B35" s="9">
        <f>SUMIFS('Lançamentos'!$L$2:$L$5010,'Lançamentos'!$A$2:$A$5010,"Uso e consumo",'Lançamentos'!$H$2:$H$5010,$A35,'Lançamentos'!$C$2:$C$5010,B$20)</f>
        <v/>
      </c>
      <c r="C35" s="9">
        <f>SUMIFS('Lançamentos'!$L$2:$L$5010,'Lançamentos'!$A$2:$A$5010,"Uso e consumo",'Lançamentos'!$H$2:$H$5010,$A35,'Lançamentos'!$C$2:$C$5010,C$20)</f>
        <v/>
      </c>
      <c r="D35" s="9">
        <f>SUMIFS('Lançamentos'!$L$2:$L$5010,'Lançamentos'!$A$2:$A$5010,"Uso e consumo",'Lançamentos'!$H$2:$H$5010,$A35,'Lançamentos'!$C$2:$C$5010,D$20)</f>
        <v/>
      </c>
      <c r="E35" s="9">
        <f>SUMIFS('Lançamentos'!$L$2:$L$5010,'Lançamentos'!$A$2:$A$5010,"Uso e consumo",'Lançamentos'!$H$2:$H$5010,$A35,'Lançamentos'!$C$2:$C$5010,E$20)</f>
        <v/>
      </c>
      <c r="F35" s="9">
        <f>SUMIFS('Lançamentos'!$L$2:$L$5010,'Lançamentos'!$A$2:$A$5010,"Uso e consumo",'Lançamentos'!$H$2:$H$5010,$A35,'Lançamentos'!$C$2:$C$5010,F$20)</f>
        <v/>
      </c>
      <c r="G35" s="9">
        <f>SUMIFS('Lançamentos'!$L$2:$L$5010,'Lançamentos'!$A$2:$A$5010,"Uso e consumo",'Lançamentos'!$H$2:$H$5010,$A35,'Lançamentos'!$C$2:$C$5010,G$20)</f>
        <v/>
      </c>
      <c r="H35" s="9">
        <f>SUMIFS('Lançamentos'!$L$2:$L$5010,'Lançamentos'!$A$2:$A$5010,"Uso e consumo",'Lançamentos'!$H$2:$H$5010,$A35,'Lançamentos'!$C$2:$C$5010,H$20)</f>
        <v/>
      </c>
      <c r="I35" s="9">
        <f>SUMIFS('Lançamentos'!$L$2:$L$5010,'Lançamentos'!$A$2:$A$5010,"Uso e consumo",'Lançamentos'!$H$2:$H$5010,$A35,'Lançamentos'!$C$2:$C$5010,I$20)</f>
        <v/>
      </c>
      <c r="J35" s="9">
        <f>SUMIFS('Lançamentos'!$L$2:$L$5010,'Lançamentos'!$A$2:$A$5010,"Uso e consumo",'Lançamentos'!$H$2:$H$5010,$A35,'Lançamentos'!$C$2:$C$5010,J$20)</f>
        <v/>
      </c>
      <c r="K35" s="9">
        <f>SUM(B35:J35)</f>
        <v/>
      </c>
      <c r="L35" s="10">
        <f>K35/K$101</f>
        <v/>
      </c>
      <c r="M35" s="9">
        <f>SUMIFS('Lançamentos'!$L$2:$L$5010,'Lançamentos'!$A$2:$A$5010,"Uso e consumo",'Lançamentos'!$H$2:$H$5010,$A35,'Lançamentos'!$C$2:$C$5010,"Antes de 2026")</f>
        <v/>
      </c>
      <c r="N35" s="9">
        <f>SUMIFS('Lançamentos'!$J$2:$J$5010,'Lançamentos'!$A$2:$A$5010,"Uso e consumo",'Lançamentos'!$H$2:$H$5010,$A35,'Lançamentos'!$D$2:$D$5010,"Em 2026")</f>
        <v/>
      </c>
      <c r="O35" s="9">
        <f>SUMIFS('Lançamentos'!$K$2:$K$5010,'Lançamentos'!$A$2:$A$5010,"Uso e consumo",'Lançamentos'!$H$2:$H$5010,$A35,'Lançamentos'!$D$2:$D$5010,"Em 2026")</f>
        <v/>
      </c>
      <c r="P35" s="26">
        <f>COUNTIFS('Lançamentos'!$A$2:$A$5010,"Uso e consumo",'Lançamentos'!$H$2:$H$5010,$A35,'Lançamentos'!$D$2:$D$5010,"Em 2026")</f>
        <v/>
      </c>
    </row>
    <row r="36">
      <c r="A36" t="inlineStr">
        <is>
          <t>EKO BLOCOS FABRICACAO E COMERCIO DE ARTEFATOS DE CIMENTO LTD</t>
        </is>
      </c>
      <c r="B36" s="9">
        <f>SUMIFS('Lançamentos'!$L$2:$L$5010,'Lançamentos'!$A$2:$A$5010,"Uso e consumo",'Lançamentos'!$H$2:$H$5010,$A36,'Lançamentos'!$C$2:$C$5010,B$20)</f>
        <v/>
      </c>
      <c r="C36" s="9">
        <f>SUMIFS('Lançamentos'!$L$2:$L$5010,'Lançamentos'!$A$2:$A$5010,"Uso e consumo",'Lançamentos'!$H$2:$H$5010,$A36,'Lançamentos'!$C$2:$C$5010,C$20)</f>
        <v/>
      </c>
      <c r="D36" s="9">
        <f>SUMIFS('Lançamentos'!$L$2:$L$5010,'Lançamentos'!$A$2:$A$5010,"Uso e consumo",'Lançamentos'!$H$2:$H$5010,$A36,'Lançamentos'!$C$2:$C$5010,D$20)</f>
        <v/>
      </c>
      <c r="E36" s="9">
        <f>SUMIFS('Lançamentos'!$L$2:$L$5010,'Lançamentos'!$A$2:$A$5010,"Uso e consumo",'Lançamentos'!$H$2:$H$5010,$A36,'Lançamentos'!$C$2:$C$5010,E$20)</f>
        <v/>
      </c>
      <c r="F36" s="9">
        <f>SUMIFS('Lançamentos'!$L$2:$L$5010,'Lançamentos'!$A$2:$A$5010,"Uso e consumo",'Lançamentos'!$H$2:$H$5010,$A36,'Lançamentos'!$C$2:$C$5010,F$20)</f>
        <v/>
      </c>
      <c r="G36" s="9">
        <f>SUMIFS('Lançamentos'!$L$2:$L$5010,'Lançamentos'!$A$2:$A$5010,"Uso e consumo",'Lançamentos'!$H$2:$H$5010,$A36,'Lançamentos'!$C$2:$C$5010,G$20)</f>
        <v/>
      </c>
      <c r="H36" s="9">
        <f>SUMIFS('Lançamentos'!$L$2:$L$5010,'Lançamentos'!$A$2:$A$5010,"Uso e consumo",'Lançamentos'!$H$2:$H$5010,$A36,'Lançamentos'!$C$2:$C$5010,H$20)</f>
        <v/>
      </c>
      <c r="I36" s="9">
        <f>SUMIFS('Lançamentos'!$L$2:$L$5010,'Lançamentos'!$A$2:$A$5010,"Uso e consumo",'Lançamentos'!$H$2:$H$5010,$A36,'Lançamentos'!$C$2:$C$5010,I$20)</f>
        <v/>
      </c>
      <c r="J36" s="9">
        <f>SUMIFS('Lançamentos'!$L$2:$L$5010,'Lançamentos'!$A$2:$A$5010,"Uso e consumo",'Lançamentos'!$H$2:$H$5010,$A36,'Lançamentos'!$C$2:$C$5010,J$20)</f>
        <v/>
      </c>
      <c r="K36" s="9">
        <f>SUM(B36:J36)</f>
        <v/>
      </c>
      <c r="L36" s="10">
        <f>K36/K$101</f>
        <v/>
      </c>
      <c r="M36" s="9">
        <f>SUMIFS('Lançamentos'!$L$2:$L$5010,'Lançamentos'!$A$2:$A$5010,"Uso e consumo",'Lançamentos'!$H$2:$H$5010,$A36,'Lançamentos'!$C$2:$C$5010,"Antes de 2026")</f>
        <v/>
      </c>
      <c r="N36" s="9">
        <f>SUMIFS('Lançamentos'!$J$2:$J$5010,'Lançamentos'!$A$2:$A$5010,"Uso e consumo",'Lançamentos'!$H$2:$H$5010,$A36,'Lançamentos'!$D$2:$D$5010,"Em 2026")</f>
        <v/>
      </c>
      <c r="O36" s="9">
        <f>SUMIFS('Lançamentos'!$K$2:$K$5010,'Lançamentos'!$A$2:$A$5010,"Uso e consumo",'Lançamentos'!$H$2:$H$5010,$A36,'Lançamentos'!$D$2:$D$5010,"Em 2026")</f>
        <v/>
      </c>
      <c r="P36" s="26">
        <f>COUNTIFS('Lançamentos'!$A$2:$A$5010,"Uso e consumo",'Lançamentos'!$H$2:$H$5010,$A36,'Lançamentos'!$D$2:$D$5010,"Em 2026")</f>
        <v/>
      </c>
    </row>
    <row r="37">
      <c r="A37" t="inlineStr">
        <is>
          <t>FUSIONX INDUSTRIA E COMERCIO DE SISTEMAS DE AUTOMACAO LTDA</t>
        </is>
      </c>
      <c r="B37" s="9">
        <f>SUMIFS('Lançamentos'!$L$2:$L$5010,'Lançamentos'!$A$2:$A$5010,"Uso e consumo",'Lançamentos'!$H$2:$H$5010,$A37,'Lançamentos'!$C$2:$C$5010,B$20)</f>
        <v/>
      </c>
      <c r="C37" s="9">
        <f>SUMIFS('Lançamentos'!$L$2:$L$5010,'Lançamentos'!$A$2:$A$5010,"Uso e consumo",'Lançamentos'!$H$2:$H$5010,$A37,'Lançamentos'!$C$2:$C$5010,C$20)</f>
        <v/>
      </c>
      <c r="D37" s="9">
        <f>SUMIFS('Lançamentos'!$L$2:$L$5010,'Lançamentos'!$A$2:$A$5010,"Uso e consumo",'Lançamentos'!$H$2:$H$5010,$A37,'Lançamentos'!$C$2:$C$5010,D$20)</f>
        <v/>
      </c>
      <c r="E37" s="9">
        <f>SUMIFS('Lançamentos'!$L$2:$L$5010,'Lançamentos'!$A$2:$A$5010,"Uso e consumo",'Lançamentos'!$H$2:$H$5010,$A37,'Lançamentos'!$C$2:$C$5010,E$20)</f>
        <v/>
      </c>
      <c r="F37" s="9">
        <f>SUMIFS('Lançamentos'!$L$2:$L$5010,'Lançamentos'!$A$2:$A$5010,"Uso e consumo",'Lançamentos'!$H$2:$H$5010,$A37,'Lançamentos'!$C$2:$C$5010,F$20)</f>
        <v/>
      </c>
      <c r="G37" s="9">
        <f>SUMIFS('Lançamentos'!$L$2:$L$5010,'Lançamentos'!$A$2:$A$5010,"Uso e consumo",'Lançamentos'!$H$2:$H$5010,$A37,'Lançamentos'!$C$2:$C$5010,G$20)</f>
        <v/>
      </c>
      <c r="H37" s="9">
        <f>SUMIFS('Lançamentos'!$L$2:$L$5010,'Lançamentos'!$A$2:$A$5010,"Uso e consumo",'Lançamentos'!$H$2:$H$5010,$A37,'Lançamentos'!$C$2:$C$5010,H$20)</f>
        <v/>
      </c>
      <c r="I37" s="9">
        <f>SUMIFS('Lançamentos'!$L$2:$L$5010,'Lançamentos'!$A$2:$A$5010,"Uso e consumo",'Lançamentos'!$H$2:$H$5010,$A37,'Lançamentos'!$C$2:$C$5010,I$20)</f>
        <v/>
      </c>
      <c r="J37" s="9">
        <f>SUMIFS('Lançamentos'!$L$2:$L$5010,'Lançamentos'!$A$2:$A$5010,"Uso e consumo",'Lançamentos'!$H$2:$H$5010,$A37,'Lançamentos'!$C$2:$C$5010,J$20)</f>
        <v/>
      </c>
      <c r="K37" s="9">
        <f>SUM(B37:J37)</f>
        <v/>
      </c>
      <c r="L37" s="10">
        <f>K37/K$101</f>
        <v/>
      </c>
      <c r="M37" s="9">
        <f>SUMIFS('Lançamentos'!$L$2:$L$5010,'Lançamentos'!$A$2:$A$5010,"Uso e consumo",'Lançamentos'!$H$2:$H$5010,$A37,'Lançamentos'!$C$2:$C$5010,"Antes de 2026")</f>
        <v/>
      </c>
      <c r="N37" s="9">
        <f>SUMIFS('Lançamentos'!$J$2:$J$5010,'Lançamentos'!$A$2:$A$5010,"Uso e consumo",'Lançamentos'!$H$2:$H$5010,$A37,'Lançamentos'!$D$2:$D$5010,"Em 2026")</f>
        <v/>
      </c>
      <c r="O37" s="9">
        <f>SUMIFS('Lançamentos'!$K$2:$K$5010,'Lançamentos'!$A$2:$A$5010,"Uso e consumo",'Lançamentos'!$H$2:$H$5010,$A37,'Lançamentos'!$D$2:$D$5010,"Em 2026")</f>
        <v/>
      </c>
      <c r="P37" s="26">
        <f>COUNTIFS('Lançamentos'!$A$2:$A$5010,"Uso e consumo",'Lançamentos'!$H$2:$H$5010,$A37,'Lançamentos'!$D$2:$D$5010,"Em 2026")</f>
        <v/>
      </c>
    </row>
    <row r="38">
      <c r="A38" t="inlineStr">
        <is>
          <t>TRANSBELT - COMERCIO, IMPORTACAO E EXPORTACAO DE CORREIAS IN</t>
        </is>
      </c>
      <c r="B38" s="9">
        <f>SUMIFS('Lançamentos'!$L$2:$L$5010,'Lançamentos'!$A$2:$A$5010,"Uso e consumo",'Lançamentos'!$H$2:$H$5010,$A38,'Lançamentos'!$C$2:$C$5010,B$20)</f>
        <v/>
      </c>
      <c r="C38" s="9">
        <f>SUMIFS('Lançamentos'!$L$2:$L$5010,'Lançamentos'!$A$2:$A$5010,"Uso e consumo",'Lançamentos'!$H$2:$H$5010,$A38,'Lançamentos'!$C$2:$C$5010,C$20)</f>
        <v/>
      </c>
      <c r="D38" s="9">
        <f>SUMIFS('Lançamentos'!$L$2:$L$5010,'Lançamentos'!$A$2:$A$5010,"Uso e consumo",'Lançamentos'!$H$2:$H$5010,$A38,'Lançamentos'!$C$2:$C$5010,D$20)</f>
        <v/>
      </c>
      <c r="E38" s="9">
        <f>SUMIFS('Lançamentos'!$L$2:$L$5010,'Lançamentos'!$A$2:$A$5010,"Uso e consumo",'Lançamentos'!$H$2:$H$5010,$A38,'Lançamentos'!$C$2:$C$5010,E$20)</f>
        <v/>
      </c>
      <c r="F38" s="9">
        <f>SUMIFS('Lançamentos'!$L$2:$L$5010,'Lançamentos'!$A$2:$A$5010,"Uso e consumo",'Lançamentos'!$H$2:$H$5010,$A38,'Lançamentos'!$C$2:$C$5010,F$20)</f>
        <v/>
      </c>
      <c r="G38" s="9">
        <f>SUMIFS('Lançamentos'!$L$2:$L$5010,'Lançamentos'!$A$2:$A$5010,"Uso e consumo",'Lançamentos'!$H$2:$H$5010,$A38,'Lançamentos'!$C$2:$C$5010,G$20)</f>
        <v/>
      </c>
      <c r="H38" s="9">
        <f>SUMIFS('Lançamentos'!$L$2:$L$5010,'Lançamentos'!$A$2:$A$5010,"Uso e consumo",'Lançamentos'!$H$2:$H$5010,$A38,'Lançamentos'!$C$2:$C$5010,H$20)</f>
        <v/>
      </c>
      <c r="I38" s="9">
        <f>SUMIFS('Lançamentos'!$L$2:$L$5010,'Lançamentos'!$A$2:$A$5010,"Uso e consumo",'Lançamentos'!$H$2:$H$5010,$A38,'Lançamentos'!$C$2:$C$5010,I$20)</f>
        <v/>
      </c>
      <c r="J38" s="9">
        <f>SUMIFS('Lançamentos'!$L$2:$L$5010,'Lançamentos'!$A$2:$A$5010,"Uso e consumo",'Lançamentos'!$H$2:$H$5010,$A38,'Lançamentos'!$C$2:$C$5010,J$20)</f>
        <v/>
      </c>
      <c r="K38" s="9">
        <f>SUM(B38:J38)</f>
        <v/>
      </c>
      <c r="L38" s="10">
        <f>K38/K$101</f>
        <v/>
      </c>
      <c r="M38" s="9">
        <f>SUMIFS('Lançamentos'!$L$2:$L$5010,'Lançamentos'!$A$2:$A$5010,"Uso e consumo",'Lançamentos'!$H$2:$H$5010,$A38,'Lançamentos'!$C$2:$C$5010,"Antes de 2026")</f>
        <v/>
      </c>
      <c r="N38" s="9">
        <f>SUMIFS('Lançamentos'!$J$2:$J$5010,'Lançamentos'!$A$2:$A$5010,"Uso e consumo",'Lançamentos'!$H$2:$H$5010,$A38,'Lançamentos'!$D$2:$D$5010,"Em 2026")</f>
        <v/>
      </c>
      <c r="O38" s="9">
        <f>SUMIFS('Lançamentos'!$K$2:$K$5010,'Lançamentos'!$A$2:$A$5010,"Uso e consumo",'Lançamentos'!$H$2:$H$5010,$A38,'Lançamentos'!$D$2:$D$5010,"Em 2026")</f>
        <v/>
      </c>
      <c r="P38" s="26">
        <f>COUNTIFS('Lançamentos'!$A$2:$A$5010,"Uso e consumo",'Lançamentos'!$H$2:$H$5010,$A38,'Lançamentos'!$D$2:$D$5010,"Em 2026")</f>
        <v/>
      </c>
    </row>
    <row r="39">
      <c r="A39" t="inlineStr">
        <is>
          <t>POLIMASSA ARGAMASSAS LTDA</t>
        </is>
      </c>
      <c r="B39" s="9">
        <f>SUMIFS('Lançamentos'!$L$2:$L$5010,'Lançamentos'!$A$2:$A$5010,"Uso e consumo",'Lançamentos'!$H$2:$H$5010,$A39,'Lançamentos'!$C$2:$C$5010,B$20)</f>
        <v/>
      </c>
      <c r="C39" s="9">
        <f>SUMIFS('Lançamentos'!$L$2:$L$5010,'Lançamentos'!$A$2:$A$5010,"Uso e consumo",'Lançamentos'!$H$2:$H$5010,$A39,'Lançamentos'!$C$2:$C$5010,C$20)</f>
        <v/>
      </c>
      <c r="D39" s="9">
        <f>SUMIFS('Lançamentos'!$L$2:$L$5010,'Lançamentos'!$A$2:$A$5010,"Uso e consumo",'Lançamentos'!$H$2:$H$5010,$A39,'Lançamentos'!$C$2:$C$5010,D$20)</f>
        <v/>
      </c>
      <c r="E39" s="9">
        <f>SUMIFS('Lançamentos'!$L$2:$L$5010,'Lançamentos'!$A$2:$A$5010,"Uso e consumo",'Lançamentos'!$H$2:$H$5010,$A39,'Lançamentos'!$C$2:$C$5010,E$20)</f>
        <v/>
      </c>
      <c r="F39" s="9">
        <f>SUMIFS('Lançamentos'!$L$2:$L$5010,'Lançamentos'!$A$2:$A$5010,"Uso e consumo",'Lançamentos'!$H$2:$H$5010,$A39,'Lançamentos'!$C$2:$C$5010,F$20)</f>
        <v/>
      </c>
      <c r="G39" s="9">
        <f>SUMIFS('Lançamentos'!$L$2:$L$5010,'Lançamentos'!$A$2:$A$5010,"Uso e consumo",'Lançamentos'!$H$2:$H$5010,$A39,'Lançamentos'!$C$2:$C$5010,G$20)</f>
        <v/>
      </c>
      <c r="H39" s="9">
        <f>SUMIFS('Lançamentos'!$L$2:$L$5010,'Lançamentos'!$A$2:$A$5010,"Uso e consumo",'Lançamentos'!$H$2:$H$5010,$A39,'Lançamentos'!$C$2:$C$5010,H$20)</f>
        <v/>
      </c>
      <c r="I39" s="9">
        <f>SUMIFS('Lançamentos'!$L$2:$L$5010,'Lançamentos'!$A$2:$A$5010,"Uso e consumo",'Lançamentos'!$H$2:$H$5010,$A39,'Lançamentos'!$C$2:$C$5010,I$20)</f>
        <v/>
      </c>
      <c r="J39" s="9">
        <f>SUMIFS('Lançamentos'!$L$2:$L$5010,'Lançamentos'!$A$2:$A$5010,"Uso e consumo",'Lançamentos'!$H$2:$H$5010,$A39,'Lançamentos'!$C$2:$C$5010,J$20)</f>
        <v/>
      </c>
      <c r="K39" s="9">
        <f>SUM(B39:J39)</f>
        <v/>
      </c>
      <c r="L39" s="10">
        <f>K39/K$101</f>
        <v/>
      </c>
      <c r="M39" s="9">
        <f>SUMIFS('Lançamentos'!$L$2:$L$5010,'Lançamentos'!$A$2:$A$5010,"Uso e consumo",'Lançamentos'!$H$2:$H$5010,$A39,'Lançamentos'!$C$2:$C$5010,"Antes de 2026")</f>
        <v/>
      </c>
      <c r="N39" s="9">
        <f>SUMIFS('Lançamentos'!$J$2:$J$5010,'Lançamentos'!$A$2:$A$5010,"Uso e consumo",'Lançamentos'!$H$2:$H$5010,$A39,'Lançamentos'!$D$2:$D$5010,"Em 2026")</f>
        <v/>
      </c>
      <c r="O39" s="9">
        <f>SUMIFS('Lançamentos'!$K$2:$K$5010,'Lançamentos'!$A$2:$A$5010,"Uso e consumo",'Lançamentos'!$H$2:$H$5010,$A39,'Lançamentos'!$D$2:$D$5010,"Em 2026")</f>
        <v/>
      </c>
      <c r="P39" s="26">
        <f>COUNTIFS('Lançamentos'!$A$2:$A$5010,"Uso e consumo",'Lançamentos'!$H$2:$H$5010,$A39,'Lançamentos'!$D$2:$D$5010,"Em 2026")</f>
        <v/>
      </c>
    </row>
    <row r="40">
      <c r="A40" t="inlineStr">
        <is>
          <t>SEGURA COM DE EQUP. DE PROTECAO LTDA</t>
        </is>
      </c>
      <c r="B40" s="9">
        <f>SUMIFS('Lançamentos'!$L$2:$L$5010,'Lançamentos'!$A$2:$A$5010,"Uso e consumo",'Lançamentos'!$H$2:$H$5010,$A40,'Lançamentos'!$C$2:$C$5010,B$20)</f>
        <v/>
      </c>
      <c r="C40" s="9">
        <f>SUMIFS('Lançamentos'!$L$2:$L$5010,'Lançamentos'!$A$2:$A$5010,"Uso e consumo",'Lançamentos'!$H$2:$H$5010,$A40,'Lançamentos'!$C$2:$C$5010,C$20)</f>
        <v/>
      </c>
      <c r="D40" s="9">
        <f>SUMIFS('Lançamentos'!$L$2:$L$5010,'Lançamentos'!$A$2:$A$5010,"Uso e consumo",'Lançamentos'!$H$2:$H$5010,$A40,'Lançamentos'!$C$2:$C$5010,D$20)</f>
        <v/>
      </c>
      <c r="E40" s="9">
        <f>SUMIFS('Lançamentos'!$L$2:$L$5010,'Lançamentos'!$A$2:$A$5010,"Uso e consumo",'Lançamentos'!$H$2:$H$5010,$A40,'Lançamentos'!$C$2:$C$5010,E$20)</f>
        <v/>
      </c>
      <c r="F40" s="9">
        <f>SUMIFS('Lançamentos'!$L$2:$L$5010,'Lançamentos'!$A$2:$A$5010,"Uso e consumo",'Lançamentos'!$H$2:$H$5010,$A40,'Lançamentos'!$C$2:$C$5010,F$20)</f>
        <v/>
      </c>
      <c r="G40" s="9">
        <f>SUMIFS('Lançamentos'!$L$2:$L$5010,'Lançamentos'!$A$2:$A$5010,"Uso e consumo",'Lançamentos'!$H$2:$H$5010,$A40,'Lançamentos'!$C$2:$C$5010,G$20)</f>
        <v/>
      </c>
      <c r="H40" s="9">
        <f>SUMIFS('Lançamentos'!$L$2:$L$5010,'Lançamentos'!$A$2:$A$5010,"Uso e consumo",'Lançamentos'!$H$2:$H$5010,$A40,'Lançamentos'!$C$2:$C$5010,H$20)</f>
        <v/>
      </c>
      <c r="I40" s="9">
        <f>SUMIFS('Lançamentos'!$L$2:$L$5010,'Lançamentos'!$A$2:$A$5010,"Uso e consumo",'Lançamentos'!$H$2:$H$5010,$A40,'Lançamentos'!$C$2:$C$5010,I$20)</f>
        <v/>
      </c>
      <c r="J40" s="9">
        <f>SUMIFS('Lançamentos'!$L$2:$L$5010,'Lançamentos'!$A$2:$A$5010,"Uso e consumo",'Lançamentos'!$H$2:$H$5010,$A40,'Lançamentos'!$C$2:$C$5010,J$20)</f>
        <v/>
      </c>
      <c r="K40" s="9">
        <f>SUM(B40:J40)</f>
        <v/>
      </c>
      <c r="L40" s="10">
        <f>K40/K$101</f>
        <v/>
      </c>
      <c r="M40" s="9">
        <f>SUMIFS('Lançamentos'!$L$2:$L$5010,'Lançamentos'!$A$2:$A$5010,"Uso e consumo",'Lançamentos'!$H$2:$H$5010,$A40,'Lançamentos'!$C$2:$C$5010,"Antes de 2026")</f>
        <v/>
      </c>
      <c r="N40" s="9">
        <f>SUMIFS('Lançamentos'!$J$2:$J$5010,'Lançamentos'!$A$2:$A$5010,"Uso e consumo",'Lançamentos'!$H$2:$H$5010,$A40,'Lançamentos'!$D$2:$D$5010,"Em 2026")</f>
        <v/>
      </c>
      <c r="O40" s="9">
        <f>SUMIFS('Lançamentos'!$K$2:$K$5010,'Lançamentos'!$A$2:$A$5010,"Uso e consumo",'Lançamentos'!$H$2:$H$5010,$A40,'Lançamentos'!$D$2:$D$5010,"Em 2026")</f>
        <v/>
      </c>
      <c r="P40" s="26">
        <f>COUNTIFS('Lançamentos'!$A$2:$A$5010,"Uso e consumo",'Lançamentos'!$H$2:$H$5010,$A40,'Lançamentos'!$D$2:$D$5010,"Em 2026")</f>
        <v/>
      </c>
    </row>
    <row r="41">
      <c r="A41" t="inlineStr">
        <is>
          <t>GEISONCLEY MONTEIRO RAMOS DA SILVA</t>
        </is>
      </c>
      <c r="B41" s="9">
        <f>SUMIFS('Lançamentos'!$L$2:$L$5010,'Lançamentos'!$A$2:$A$5010,"Uso e consumo",'Lançamentos'!$H$2:$H$5010,$A41,'Lançamentos'!$C$2:$C$5010,B$20)</f>
        <v/>
      </c>
      <c r="C41" s="9">
        <f>SUMIFS('Lançamentos'!$L$2:$L$5010,'Lançamentos'!$A$2:$A$5010,"Uso e consumo",'Lançamentos'!$H$2:$H$5010,$A41,'Lançamentos'!$C$2:$C$5010,C$20)</f>
        <v/>
      </c>
      <c r="D41" s="9">
        <f>SUMIFS('Lançamentos'!$L$2:$L$5010,'Lançamentos'!$A$2:$A$5010,"Uso e consumo",'Lançamentos'!$H$2:$H$5010,$A41,'Lançamentos'!$C$2:$C$5010,D$20)</f>
        <v/>
      </c>
      <c r="E41" s="9">
        <f>SUMIFS('Lançamentos'!$L$2:$L$5010,'Lançamentos'!$A$2:$A$5010,"Uso e consumo",'Lançamentos'!$H$2:$H$5010,$A41,'Lançamentos'!$C$2:$C$5010,E$20)</f>
        <v/>
      </c>
      <c r="F41" s="9">
        <f>SUMIFS('Lançamentos'!$L$2:$L$5010,'Lançamentos'!$A$2:$A$5010,"Uso e consumo",'Lançamentos'!$H$2:$H$5010,$A41,'Lançamentos'!$C$2:$C$5010,F$20)</f>
        <v/>
      </c>
      <c r="G41" s="9">
        <f>SUMIFS('Lançamentos'!$L$2:$L$5010,'Lançamentos'!$A$2:$A$5010,"Uso e consumo",'Lançamentos'!$H$2:$H$5010,$A41,'Lançamentos'!$C$2:$C$5010,G$20)</f>
        <v/>
      </c>
      <c r="H41" s="9">
        <f>SUMIFS('Lançamentos'!$L$2:$L$5010,'Lançamentos'!$A$2:$A$5010,"Uso e consumo",'Lançamentos'!$H$2:$H$5010,$A41,'Lançamentos'!$C$2:$C$5010,H$20)</f>
        <v/>
      </c>
      <c r="I41" s="9">
        <f>SUMIFS('Lançamentos'!$L$2:$L$5010,'Lançamentos'!$A$2:$A$5010,"Uso e consumo",'Lançamentos'!$H$2:$H$5010,$A41,'Lançamentos'!$C$2:$C$5010,I$20)</f>
        <v/>
      </c>
      <c r="J41" s="9">
        <f>SUMIFS('Lançamentos'!$L$2:$L$5010,'Lançamentos'!$A$2:$A$5010,"Uso e consumo",'Lançamentos'!$H$2:$H$5010,$A41,'Lançamentos'!$C$2:$C$5010,J$20)</f>
        <v/>
      </c>
      <c r="K41" s="9">
        <f>SUM(B41:J41)</f>
        <v/>
      </c>
      <c r="L41" s="10">
        <f>K41/K$101</f>
        <v/>
      </c>
      <c r="M41" s="9">
        <f>SUMIFS('Lançamentos'!$L$2:$L$5010,'Lançamentos'!$A$2:$A$5010,"Uso e consumo",'Lançamentos'!$H$2:$H$5010,$A41,'Lançamentos'!$C$2:$C$5010,"Antes de 2026")</f>
        <v/>
      </c>
      <c r="N41" s="9">
        <f>SUMIFS('Lançamentos'!$J$2:$J$5010,'Lançamentos'!$A$2:$A$5010,"Uso e consumo",'Lançamentos'!$H$2:$H$5010,$A41,'Lançamentos'!$D$2:$D$5010,"Em 2026")</f>
        <v/>
      </c>
      <c r="O41" s="9">
        <f>SUMIFS('Lançamentos'!$K$2:$K$5010,'Lançamentos'!$A$2:$A$5010,"Uso e consumo",'Lançamentos'!$H$2:$H$5010,$A41,'Lançamentos'!$D$2:$D$5010,"Em 2026")</f>
        <v/>
      </c>
      <c r="P41" s="26">
        <f>COUNTIFS('Lançamentos'!$A$2:$A$5010,"Uso e consumo",'Lançamentos'!$H$2:$H$5010,$A41,'Lançamentos'!$D$2:$D$5010,"Em 2026")</f>
        <v/>
      </c>
    </row>
    <row r="42">
      <c r="A42" t="inlineStr">
        <is>
          <t>BA - LOJAO DA ECONOMICA MATERIAIS DE CONSTRUCAO LTDA - EPP</t>
        </is>
      </c>
      <c r="B42" s="9">
        <f>SUMIFS('Lançamentos'!$L$2:$L$5010,'Lançamentos'!$A$2:$A$5010,"Uso e consumo",'Lançamentos'!$H$2:$H$5010,$A42,'Lançamentos'!$C$2:$C$5010,B$20)</f>
        <v/>
      </c>
      <c r="C42" s="9">
        <f>SUMIFS('Lançamentos'!$L$2:$L$5010,'Lançamentos'!$A$2:$A$5010,"Uso e consumo",'Lançamentos'!$H$2:$H$5010,$A42,'Lançamentos'!$C$2:$C$5010,C$20)</f>
        <v/>
      </c>
      <c r="D42" s="9">
        <f>SUMIFS('Lançamentos'!$L$2:$L$5010,'Lançamentos'!$A$2:$A$5010,"Uso e consumo",'Lançamentos'!$H$2:$H$5010,$A42,'Lançamentos'!$C$2:$C$5010,D$20)</f>
        <v/>
      </c>
      <c r="E42" s="9">
        <f>SUMIFS('Lançamentos'!$L$2:$L$5010,'Lançamentos'!$A$2:$A$5010,"Uso e consumo",'Lançamentos'!$H$2:$H$5010,$A42,'Lançamentos'!$C$2:$C$5010,E$20)</f>
        <v/>
      </c>
      <c r="F42" s="9">
        <f>SUMIFS('Lançamentos'!$L$2:$L$5010,'Lançamentos'!$A$2:$A$5010,"Uso e consumo",'Lançamentos'!$H$2:$H$5010,$A42,'Lançamentos'!$C$2:$C$5010,F$20)</f>
        <v/>
      </c>
      <c r="G42" s="9">
        <f>SUMIFS('Lançamentos'!$L$2:$L$5010,'Lançamentos'!$A$2:$A$5010,"Uso e consumo",'Lançamentos'!$H$2:$H$5010,$A42,'Lançamentos'!$C$2:$C$5010,G$20)</f>
        <v/>
      </c>
      <c r="H42" s="9">
        <f>SUMIFS('Lançamentos'!$L$2:$L$5010,'Lançamentos'!$A$2:$A$5010,"Uso e consumo",'Lançamentos'!$H$2:$H$5010,$A42,'Lançamentos'!$C$2:$C$5010,H$20)</f>
        <v/>
      </c>
      <c r="I42" s="9">
        <f>SUMIFS('Lançamentos'!$L$2:$L$5010,'Lançamentos'!$A$2:$A$5010,"Uso e consumo",'Lançamentos'!$H$2:$H$5010,$A42,'Lançamentos'!$C$2:$C$5010,I$20)</f>
        <v/>
      </c>
      <c r="J42" s="9">
        <f>SUMIFS('Lançamentos'!$L$2:$L$5010,'Lançamentos'!$A$2:$A$5010,"Uso e consumo",'Lançamentos'!$H$2:$H$5010,$A42,'Lançamentos'!$C$2:$C$5010,J$20)</f>
        <v/>
      </c>
      <c r="K42" s="9">
        <f>SUM(B42:J42)</f>
        <v/>
      </c>
      <c r="L42" s="10">
        <f>K42/K$101</f>
        <v/>
      </c>
      <c r="M42" s="9">
        <f>SUMIFS('Lançamentos'!$L$2:$L$5010,'Lançamentos'!$A$2:$A$5010,"Uso e consumo",'Lançamentos'!$H$2:$H$5010,$A42,'Lançamentos'!$C$2:$C$5010,"Antes de 2026")</f>
        <v/>
      </c>
      <c r="N42" s="9">
        <f>SUMIFS('Lançamentos'!$J$2:$J$5010,'Lançamentos'!$A$2:$A$5010,"Uso e consumo",'Lançamentos'!$H$2:$H$5010,$A42,'Lançamentos'!$D$2:$D$5010,"Em 2026")</f>
        <v/>
      </c>
      <c r="O42" s="9">
        <f>SUMIFS('Lançamentos'!$K$2:$K$5010,'Lançamentos'!$A$2:$A$5010,"Uso e consumo",'Lançamentos'!$H$2:$H$5010,$A42,'Lançamentos'!$D$2:$D$5010,"Em 2026")</f>
        <v/>
      </c>
      <c r="P42" s="26">
        <f>COUNTIFS('Lançamentos'!$A$2:$A$5010,"Uso e consumo",'Lançamentos'!$H$2:$H$5010,$A42,'Lançamentos'!$D$2:$D$5010,"Em 2026")</f>
        <v/>
      </c>
    </row>
    <row r="43">
      <c r="A43" t="inlineStr">
        <is>
          <t>INDUSTRIA E COMERCIO DE BOLAS E CHUTEIRAS CARREIRO LTDA</t>
        </is>
      </c>
      <c r="B43" s="9">
        <f>SUMIFS('Lançamentos'!$L$2:$L$5010,'Lançamentos'!$A$2:$A$5010,"Uso e consumo",'Lançamentos'!$H$2:$H$5010,$A43,'Lançamentos'!$C$2:$C$5010,B$20)</f>
        <v/>
      </c>
      <c r="C43" s="9">
        <f>SUMIFS('Lançamentos'!$L$2:$L$5010,'Lançamentos'!$A$2:$A$5010,"Uso e consumo",'Lançamentos'!$H$2:$H$5010,$A43,'Lançamentos'!$C$2:$C$5010,C$20)</f>
        <v/>
      </c>
      <c r="D43" s="9">
        <f>SUMIFS('Lançamentos'!$L$2:$L$5010,'Lançamentos'!$A$2:$A$5010,"Uso e consumo",'Lançamentos'!$H$2:$H$5010,$A43,'Lançamentos'!$C$2:$C$5010,D$20)</f>
        <v/>
      </c>
      <c r="E43" s="9">
        <f>SUMIFS('Lançamentos'!$L$2:$L$5010,'Lançamentos'!$A$2:$A$5010,"Uso e consumo",'Lançamentos'!$H$2:$H$5010,$A43,'Lançamentos'!$C$2:$C$5010,E$20)</f>
        <v/>
      </c>
      <c r="F43" s="9">
        <f>SUMIFS('Lançamentos'!$L$2:$L$5010,'Lançamentos'!$A$2:$A$5010,"Uso e consumo",'Lançamentos'!$H$2:$H$5010,$A43,'Lançamentos'!$C$2:$C$5010,F$20)</f>
        <v/>
      </c>
      <c r="G43" s="9">
        <f>SUMIFS('Lançamentos'!$L$2:$L$5010,'Lançamentos'!$A$2:$A$5010,"Uso e consumo",'Lançamentos'!$H$2:$H$5010,$A43,'Lançamentos'!$C$2:$C$5010,G$20)</f>
        <v/>
      </c>
      <c r="H43" s="9">
        <f>SUMIFS('Lançamentos'!$L$2:$L$5010,'Lançamentos'!$A$2:$A$5010,"Uso e consumo",'Lançamentos'!$H$2:$H$5010,$A43,'Lançamentos'!$C$2:$C$5010,H$20)</f>
        <v/>
      </c>
      <c r="I43" s="9">
        <f>SUMIFS('Lançamentos'!$L$2:$L$5010,'Lançamentos'!$A$2:$A$5010,"Uso e consumo",'Lançamentos'!$H$2:$H$5010,$A43,'Lançamentos'!$C$2:$C$5010,I$20)</f>
        <v/>
      </c>
      <c r="J43" s="9">
        <f>SUMIFS('Lançamentos'!$L$2:$L$5010,'Lançamentos'!$A$2:$A$5010,"Uso e consumo",'Lançamentos'!$H$2:$H$5010,$A43,'Lançamentos'!$C$2:$C$5010,J$20)</f>
        <v/>
      </c>
      <c r="K43" s="9">
        <f>SUM(B43:J43)</f>
        <v/>
      </c>
      <c r="L43" s="10">
        <f>K43/K$101</f>
        <v/>
      </c>
      <c r="M43" s="9">
        <f>SUMIFS('Lançamentos'!$L$2:$L$5010,'Lançamentos'!$A$2:$A$5010,"Uso e consumo",'Lançamentos'!$H$2:$H$5010,$A43,'Lançamentos'!$C$2:$C$5010,"Antes de 2026")</f>
        <v/>
      </c>
      <c r="N43" s="9">
        <f>SUMIFS('Lançamentos'!$J$2:$J$5010,'Lançamentos'!$A$2:$A$5010,"Uso e consumo",'Lançamentos'!$H$2:$H$5010,$A43,'Lançamentos'!$D$2:$D$5010,"Em 2026")</f>
        <v/>
      </c>
      <c r="O43" s="9">
        <f>SUMIFS('Lançamentos'!$K$2:$K$5010,'Lançamentos'!$A$2:$A$5010,"Uso e consumo",'Lançamentos'!$H$2:$H$5010,$A43,'Lançamentos'!$D$2:$D$5010,"Em 2026")</f>
        <v/>
      </c>
      <c r="P43" s="26">
        <f>COUNTIFS('Lançamentos'!$A$2:$A$5010,"Uso e consumo",'Lançamentos'!$H$2:$H$5010,$A43,'Lançamentos'!$D$2:$D$5010,"Em 2026")</f>
        <v/>
      </c>
    </row>
    <row r="44">
      <c r="A44" t="inlineStr">
        <is>
          <t>INDUTECH EQUIPAMENTOS E SERVICOS LTDA</t>
        </is>
      </c>
      <c r="B44" s="9">
        <f>SUMIFS('Lançamentos'!$L$2:$L$5010,'Lançamentos'!$A$2:$A$5010,"Uso e consumo",'Lançamentos'!$H$2:$H$5010,$A44,'Lançamentos'!$C$2:$C$5010,B$20)</f>
        <v/>
      </c>
      <c r="C44" s="9">
        <f>SUMIFS('Lançamentos'!$L$2:$L$5010,'Lançamentos'!$A$2:$A$5010,"Uso e consumo",'Lançamentos'!$H$2:$H$5010,$A44,'Lançamentos'!$C$2:$C$5010,C$20)</f>
        <v/>
      </c>
      <c r="D44" s="9">
        <f>SUMIFS('Lançamentos'!$L$2:$L$5010,'Lançamentos'!$A$2:$A$5010,"Uso e consumo",'Lançamentos'!$H$2:$H$5010,$A44,'Lançamentos'!$C$2:$C$5010,D$20)</f>
        <v/>
      </c>
      <c r="E44" s="9">
        <f>SUMIFS('Lançamentos'!$L$2:$L$5010,'Lançamentos'!$A$2:$A$5010,"Uso e consumo",'Lançamentos'!$H$2:$H$5010,$A44,'Lançamentos'!$C$2:$C$5010,E$20)</f>
        <v/>
      </c>
      <c r="F44" s="9">
        <f>SUMIFS('Lançamentos'!$L$2:$L$5010,'Lançamentos'!$A$2:$A$5010,"Uso e consumo",'Lançamentos'!$H$2:$H$5010,$A44,'Lançamentos'!$C$2:$C$5010,F$20)</f>
        <v/>
      </c>
      <c r="G44" s="9">
        <f>SUMIFS('Lançamentos'!$L$2:$L$5010,'Lançamentos'!$A$2:$A$5010,"Uso e consumo",'Lançamentos'!$H$2:$H$5010,$A44,'Lançamentos'!$C$2:$C$5010,G$20)</f>
        <v/>
      </c>
      <c r="H44" s="9">
        <f>SUMIFS('Lançamentos'!$L$2:$L$5010,'Lançamentos'!$A$2:$A$5010,"Uso e consumo",'Lançamentos'!$H$2:$H$5010,$A44,'Lançamentos'!$C$2:$C$5010,H$20)</f>
        <v/>
      </c>
      <c r="I44" s="9">
        <f>SUMIFS('Lançamentos'!$L$2:$L$5010,'Lançamentos'!$A$2:$A$5010,"Uso e consumo",'Lançamentos'!$H$2:$H$5010,$A44,'Lançamentos'!$C$2:$C$5010,I$20)</f>
        <v/>
      </c>
      <c r="J44" s="9">
        <f>SUMIFS('Lançamentos'!$L$2:$L$5010,'Lançamentos'!$A$2:$A$5010,"Uso e consumo",'Lançamentos'!$H$2:$H$5010,$A44,'Lançamentos'!$C$2:$C$5010,J$20)</f>
        <v/>
      </c>
      <c r="K44" s="9">
        <f>SUM(B44:J44)</f>
        <v/>
      </c>
      <c r="L44" s="10">
        <f>K44/K$101</f>
        <v/>
      </c>
      <c r="M44" s="9">
        <f>SUMIFS('Lançamentos'!$L$2:$L$5010,'Lançamentos'!$A$2:$A$5010,"Uso e consumo",'Lançamentos'!$H$2:$H$5010,$A44,'Lançamentos'!$C$2:$C$5010,"Antes de 2026")</f>
        <v/>
      </c>
      <c r="N44" s="9">
        <f>SUMIFS('Lançamentos'!$J$2:$J$5010,'Lançamentos'!$A$2:$A$5010,"Uso e consumo",'Lançamentos'!$H$2:$H$5010,$A44,'Lançamentos'!$D$2:$D$5010,"Em 2026")</f>
        <v/>
      </c>
      <c r="O44" s="9">
        <f>SUMIFS('Lançamentos'!$K$2:$K$5010,'Lançamentos'!$A$2:$A$5010,"Uso e consumo",'Lançamentos'!$H$2:$H$5010,$A44,'Lançamentos'!$D$2:$D$5010,"Em 2026")</f>
        <v/>
      </c>
      <c r="P44" s="26">
        <f>COUNTIFS('Lançamentos'!$A$2:$A$5010,"Uso e consumo",'Lançamentos'!$H$2:$H$5010,$A44,'Lançamentos'!$D$2:$D$5010,"Em 2026")</f>
        <v/>
      </c>
    </row>
    <row r="45">
      <c r="A45" t="inlineStr">
        <is>
          <t>ODAFLEXO COMERCIO DE PRODUTOS FLEXOGRAFICOS LTDA</t>
        </is>
      </c>
      <c r="B45" s="9">
        <f>SUMIFS('Lançamentos'!$L$2:$L$5010,'Lançamentos'!$A$2:$A$5010,"Uso e consumo",'Lançamentos'!$H$2:$H$5010,$A45,'Lançamentos'!$C$2:$C$5010,B$20)</f>
        <v/>
      </c>
      <c r="C45" s="9">
        <f>SUMIFS('Lançamentos'!$L$2:$L$5010,'Lançamentos'!$A$2:$A$5010,"Uso e consumo",'Lançamentos'!$H$2:$H$5010,$A45,'Lançamentos'!$C$2:$C$5010,C$20)</f>
        <v/>
      </c>
      <c r="D45" s="9">
        <f>SUMIFS('Lançamentos'!$L$2:$L$5010,'Lançamentos'!$A$2:$A$5010,"Uso e consumo",'Lançamentos'!$H$2:$H$5010,$A45,'Lançamentos'!$C$2:$C$5010,D$20)</f>
        <v/>
      </c>
      <c r="E45" s="9">
        <f>SUMIFS('Lançamentos'!$L$2:$L$5010,'Lançamentos'!$A$2:$A$5010,"Uso e consumo",'Lançamentos'!$H$2:$H$5010,$A45,'Lançamentos'!$C$2:$C$5010,E$20)</f>
        <v/>
      </c>
      <c r="F45" s="9">
        <f>SUMIFS('Lançamentos'!$L$2:$L$5010,'Lançamentos'!$A$2:$A$5010,"Uso e consumo",'Lançamentos'!$H$2:$H$5010,$A45,'Lançamentos'!$C$2:$C$5010,F$20)</f>
        <v/>
      </c>
      <c r="G45" s="9">
        <f>SUMIFS('Lançamentos'!$L$2:$L$5010,'Lançamentos'!$A$2:$A$5010,"Uso e consumo",'Lançamentos'!$H$2:$H$5010,$A45,'Lançamentos'!$C$2:$C$5010,G$20)</f>
        <v/>
      </c>
      <c r="H45" s="9">
        <f>SUMIFS('Lançamentos'!$L$2:$L$5010,'Lançamentos'!$A$2:$A$5010,"Uso e consumo",'Lançamentos'!$H$2:$H$5010,$A45,'Lançamentos'!$C$2:$C$5010,H$20)</f>
        <v/>
      </c>
      <c r="I45" s="9">
        <f>SUMIFS('Lançamentos'!$L$2:$L$5010,'Lançamentos'!$A$2:$A$5010,"Uso e consumo",'Lançamentos'!$H$2:$H$5010,$A45,'Lançamentos'!$C$2:$C$5010,I$20)</f>
        <v/>
      </c>
      <c r="J45" s="9">
        <f>SUMIFS('Lançamentos'!$L$2:$L$5010,'Lançamentos'!$A$2:$A$5010,"Uso e consumo",'Lançamentos'!$H$2:$H$5010,$A45,'Lançamentos'!$C$2:$C$5010,J$20)</f>
        <v/>
      </c>
      <c r="K45" s="9">
        <f>SUM(B45:J45)</f>
        <v/>
      </c>
      <c r="L45" s="10">
        <f>K45/K$101</f>
        <v/>
      </c>
      <c r="M45" s="9">
        <f>SUMIFS('Lançamentos'!$L$2:$L$5010,'Lançamentos'!$A$2:$A$5010,"Uso e consumo",'Lançamentos'!$H$2:$H$5010,$A45,'Lançamentos'!$C$2:$C$5010,"Antes de 2026")</f>
        <v/>
      </c>
      <c r="N45" s="9">
        <f>SUMIFS('Lançamentos'!$J$2:$J$5010,'Lançamentos'!$A$2:$A$5010,"Uso e consumo",'Lançamentos'!$H$2:$H$5010,$A45,'Lançamentos'!$D$2:$D$5010,"Em 2026")</f>
        <v/>
      </c>
      <c r="O45" s="9">
        <f>SUMIFS('Lançamentos'!$K$2:$K$5010,'Lançamentos'!$A$2:$A$5010,"Uso e consumo",'Lançamentos'!$H$2:$H$5010,$A45,'Lançamentos'!$D$2:$D$5010,"Em 2026")</f>
        <v/>
      </c>
      <c r="P45" s="26">
        <f>COUNTIFS('Lançamentos'!$A$2:$A$5010,"Uso e consumo",'Lançamentos'!$H$2:$H$5010,$A45,'Lançamentos'!$D$2:$D$5010,"Em 2026")</f>
        <v/>
      </c>
    </row>
    <row r="46">
      <c r="A46" t="inlineStr">
        <is>
          <t>PRESENTES ESPECIAIS LTDA</t>
        </is>
      </c>
      <c r="B46" s="9">
        <f>SUMIFS('Lançamentos'!$L$2:$L$5010,'Lançamentos'!$A$2:$A$5010,"Uso e consumo",'Lançamentos'!$H$2:$H$5010,$A46,'Lançamentos'!$C$2:$C$5010,B$20)</f>
        <v/>
      </c>
      <c r="C46" s="9">
        <f>SUMIFS('Lançamentos'!$L$2:$L$5010,'Lançamentos'!$A$2:$A$5010,"Uso e consumo",'Lançamentos'!$H$2:$H$5010,$A46,'Lançamentos'!$C$2:$C$5010,C$20)</f>
        <v/>
      </c>
      <c r="D46" s="9">
        <f>SUMIFS('Lançamentos'!$L$2:$L$5010,'Lançamentos'!$A$2:$A$5010,"Uso e consumo",'Lançamentos'!$H$2:$H$5010,$A46,'Lançamentos'!$C$2:$C$5010,D$20)</f>
        <v/>
      </c>
      <c r="E46" s="9">
        <f>SUMIFS('Lançamentos'!$L$2:$L$5010,'Lançamentos'!$A$2:$A$5010,"Uso e consumo",'Lançamentos'!$H$2:$H$5010,$A46,'Lançamentos'!$C$2:$C$5010,E$20)</f>
        <v/>
      </c>
      <c r="F46" s="9">
        <f>SUMIFS('Lançamentos'!$L$2:$L$5010,'Lançamentos'!$A$2:$A$5010,"Uso e consumo",'Lançamentos'!$H$2:$H$5010,$A46,'Lançamentos'!$C$2:$C$5010,F$20)</f>
        <v/>
      </c>
      <c r="G46" s="9">
        <f>SUMIFS('Lançamentos'!$L$2:$L$5010,'Lançamentos'!$A$2:$A$5010,"Uso e consumo",'Lançamentos'!$H$2:$H$5010,$A46,'Lançamentos'!$C$2:$C$5010,G$20)</f>
        <v/>
      </c>
      <c r="H46" s="9">
        <f>SUMIFS('Lançamentos'!$L$2:$L$5010,'Lançamentos'!$A$2:$A$5010,"Uso e consumo",'Lançamentos'!$H$2:$H$5010,$A46,'Lançamentos'!$C$2:$C$5010,H$20)</f>
        <v/>
      </c>
      <c r="I46" s="9">
        <f>SUMIFS('Lançamentos'!$L$2:$L$5010,'Lançamentos'!$A$2:$A$5010,"Uso e consumo",'Lançamentos'!$H$2:$H$5010,$A46,'Lançamentos'!$C$2:$C$5010,I$20)</f>
        <v/>
      </c>
      <c r="J46" s="9">
        <f>SUMIFS('Lançamentos'!$L$2:$L$5010,'Lançamentos'!$A$2:$A$5010,"Uso e consumo",'Lançamentos'!$H$2:$H$5010,$A46,'Lançamentos'!$C$2:$C$5010,J$20)</f>
        <v/>
      </c>
      <c r="K46" s="9">
        <f>SUM(B46:J46)</f>
        <v/>
      </c>
      <c r="L46" s="10">
        <f>K46/K$101</f>
        <v/>
      </c>
      <c r="M46" s="9">
        <f>SUMIFS('Lançamentos'!$L$2:$L$5010,'Lançamentos'!$A$2:$A$5010,"Uso e consumo",'Lançamentos'!$H$2:$H$5010,$A46,'Lançamentos'!$C$2:$C$5010,"Antes de 2026")</f>
        <v/>
      </c>
      <c r="N46" s="9">
        <f>SUMIFS('Lançamentos'!$J$2:$J$5010,'Lançamentos'!$A$2:$A$5010,"Uso e consumo",'Lançamentos'!$H$2:$H$5010,$A46,'Lançamentos'!$D$2:$D$5010,"Em 2026")</f>
        <v/>
      </c>
      <c r="O46" s="9">
        <f>SUMIFS('Lançamentos'!$K$2:$K$5010,'Lançamentos'!$A$2:$A$5010,"Uso e consumo",'Lançamentos'!$H$2:$H$5010,$A46,'Lançamentos'!$D$2:$D$5010,"Em 2026")</f>
        <v/>
      </c>
      <c r="P46" s="26">
        <f>COUNTIFS('Lançamentos'!$A$2:$A$5010,"Uso e consumo",'Lançamentos'!$H$2:$H$5010,$A46,'Lançamentos'!$D$2:$D$5010,"Em 2026")</f>
        <v/>
      </c>
    </row>
    <row r="47">
      <c r="A47" t="inlineStr">
        <is>
          <t>Beltex Ind. e Com. de Correias Ltda.</t>
        </is>
      </c>
      <c r="B47" s="9">
        <f>SUMIFS('Lançamentos'!$L$2:$L$5010,'Lançamentos'!$A$2:$A$5010,"Uso e consumo",'Lançamentos'!$H$2:$H$5010,$A47,'Lançamentos'!$C$2:$C$5010,B$20)</f>
        <v/>
      </c>
      <c r="C47" s="9">
        <f>SUMIFS('Lançamentos'!$L$2:$L$5010,'Lançamentos'!$A$2:$A$5010,"Uso e consumo",'Lançamentos'!$H$2:$H$5010,$A47,'Lançamentos'!$C$2:$C$5010,C$20)</f>
        <v/>
      </c>
      <c r="D47" s="9">
        <f>SUMIFS('Lançamentos'!$L$2:$L$5010,'Lançamentos'!$A$2:$A$5010,"Uso e consumo",'Lançamentos'!$H$2:$H$5010,$A47,'Lançamentos'!$C$2:$C$5010,D$20)</f>
        <v/>
      </c>
      <c r="E47" s="9">
        <f>SUMIFS('Lançamentos'!$L$2:$L$5010,'Lançamentos'!$A$2:$A$5010,"Uso e consumo",'Lançamentos'!$H$2:$H$5010,$A47,'Lançamentos'!$C$2:$C$5010,E$20)</f>
        <v/>
      </c>
      <c r="F47" s="9">
        <f>SUMIFS('Lançamentos'!$L$2:$L$5010,'Lançamentos'!$A$2:$A$5010,"Uso e consumo",'Lançamentos'!$H$2:$H$5010,$A47,'Lançamentos'!$C$2:$C$5010,F$20)</f>
        <v/>
      </c>
      <c r="G47" s="9">
        <f>SUMIFS('Lançamentos'!$L$2:$L$5010,'Lançamentos'!$A$2:$A$5010,"Uso e consumo",'Lançamentos'!$H$2:$H$5010,$A47,'Lançamentos'!$C$2:$C$5010,G$20)</f>
        <v/>
      </c>
      <c r="H47" s="9">
        <f>SUMIFS('Lançamentos'!$L$2:$L$5010,'Lançamentos'!$A$2:$A$5010,"Uso e consumo",'Lançamentos'!$H$2:$H$5010,$A47,'Lançamentos'!$C$2:$C$5010,H$20)</f>
        <v/>
      </c>
      <c r="I47" s="9">
        <f>SUMIFS('Lançamentos'!$L$2:$L$5010,'Lançamentos'!$A$2:$A$5010,"Uso e consumo",'Lançamentos'!$H$2:$H$5010,$A47,'Lançamentos'!$C$2:$C$5010,I$20)</f>
        <v/>
      </c>
      <c r="J47" s="9">
        <f>SUMIFS('Lançamentos'!$L$2:$L$5010,'Lançamentos'!$A$2:$A$5010,"Uso e consumo",'Lançamentos'!$H$2:$H$5010,$A47,'Lançamentos'!$C$2:$C$5010,J$20)</f>
        <v/>
      </c>
      <c r="K47" s="9">
        <f>SUM(B47:J47)</f>
        <v/>
      </c>
      <c r="L47" s="10">
        <f>K47/K$101</f>
        <v/>
      </c>
      <c r="M47" s="9">
        <f>SUMIFS('Lançamentos'!$L$2:$L$5010,'Lançamentos'!$A$2:$A$5010,"Uso e consumo",'Lançamentos'!$H$2:$H$5010,$A47,'Lançamentos'!$C$2:$C$5010,"Antes de 2026")</f>
        <v/>
      </c>
      <c r="N47" s="9">
        <f>SUMIFS('Lançamentos'!$J$2:$J$5010,'Lançamentos'!$A$2:$A$5010,"Uso e consumo",'Lançamentos'!$H$2:$H$5010,$A47,'Lançamentos'!$D$2:$D$5010,"Em 2026")</f>
        <v/>
      </c>
      <c r="O47" s="9">
        <f>SUMIFS('Lançamentos'!$K$2:$K$5010,'Lançamentos'!$A$2:$A$5010,"Uso e consumo",'Lançamentos'!$H$2:$H$5010,$A47,'Lançamentos'!$D$2:$D$5010,"Em 2026")</f>
        <v/>
      </c>
      <c r="P47" s="26">
        <f>COUNTIFS('Lançamentos'!$A$2:$A$5010,"Uso e consumo",'Lançamentos'!$H$2:$H$5010,$A47,'Lançamentos'!$D$2:$D$5010,"Em 2026")</f>
        <v/>
      </c>
    </row>
    <row r="48">
      <c r="A48" t="inlineStr">
        <is>
          <t>GUIATEC COMERCIO E SERVICOS LTDA</t>
        </is>
      </c>
      <c r="B48" s="9">
        <f>SUMIFS('Lançamentos'!$L$2:$L$5010,'Lançamentos'!$A$2:$A$5010,"Uso e consumo",'Lançamentos'!$H$2:$H$5010,$A48,'Lançamentos'!$C$2:$C$5010,B$20)</f>
        <v/>
      </c>
      <c r="C48" s="9">
        <f>SUMIFS('Lançamentos'!$L$2:$L$5010,'Lançamentos'!$A$2:$A$5010,"Uso e consumo",'Lançamentos'!$H$2:$H$5010,$A48,'Lançamentos'!$C$2:$C$5010,C$20)</f>
        <v/>
      </c>
      <c r="D48" s="9">
        <f>SUMIFS('Lançamentos'!$L$2:$L$5010,'Lançamentos'!$A$2:$A$5010,"Uso e consumo",'Lançamentos'!$H$2:$H$5010,$A48,'Lançamentos'!$C$2:$C$5010,D$20)</f>
        <v/>
      </c>
      <c r="E48" s="9">
        <f>SUMIFS('Lançamentos'!$L$2:$L$5010,'Lançamentos'!$A$2:$A$5010,"Uso e consumo",'Lançamentos'!$H$2:$H$5010,$A48,'Lançamentos'!$C$2:$C$5010,E$20)</f>
        <v/>
      </c>
      <c r="F48" s="9">
        <f>SUMIFS('Lançamentos'!$L$2:$L$5010,'Lançamentos'!$A$2:$A$5010,"Uso e consumo",'Lançamentos'!$H$2:$H$5010,$A48,'Lançamentos'!$C$2:$C$5010,F$20)</f>
        <v/>
      </c>
      <c r="G48" s="9">
        <f>SUMIFS('Lançamentos'!$L$2:$L$5010,'Lançamentos'!$A$2:$A$5010,"Uso e consumo",'Lançamentos'!$H$2:$H$5010,$A48,'Lançamentos'!$C$2:$C$5010,G$20)</f>
        <v/>
      </c>
      <c r="H48" s="9">
        <f>SUMIFS('Lançamentos'!$L$2:$L$5010,'Lançamentos'!$A$2:$A$5010,"Uso e consumo",'Lançamentos'!$H$2:$H$5010,$A48,'Lançamentos'!$C$2:$C$5010,H$20)</f>
        <v/>
      </c>
      <c r="I48" s="9">
        <f>SUMIFS('Lançamentos'!$L$2:$L$5010,'Lançamentos'!$A$2:$A$5010,"Uso e consumo",'Lançamentos'!$H$2:$H$5010,$A48,'Lançamentos'!$C$2:$C$5010,I$20)</f>
        <v/>
      </c>
      <c r="J48" s="9">
        <f>SUMIFS('Lançamentos'!$L$2:$L$5010,'Lançamentos'!$A$2:$A$5010,"Uso e consumo",'Lançamentos'!$H$2:$H$5010,$A48,'Lançamentos'!$C$2:$C$5010,J$20)</f>
        <v/>
      </c>
      <c r="K48" s="9">
        <f>SUM(B48:J48)</f>
        <v/>
      </c>
      <c r="L48" s="10">
        <f>K48/K$101</f>
        <v/>
      </c>
      <c r="M48" s="9">
        <f>SUMIFS('Lançamentos'!$L$2:$L$5010,'Lançamentos'!$A$2:$A$5010,"Uso e consumo",'Lançamentos'!$H$2:$H$5010,$A48,'Lançamentos'!$C$2:$C$5010,"Antes de 2026")</f>
        <v/>
      </c>
      <c r="N48" s="9">
        <f>SUMIFS('Lançamentos'!$J$2:$J$5010,'Lançamentos'!$A$2:$A$5010,"Uso e consumo",'Lançamentos'!$H$2:$H$5010,$A48,'Lançamentos'!$D$2:$D$5010,"Em 2026")</f>
        <v/>
      </c>
      <c r="O48" s="9">
        <f>SUMIFS('Lançamentos'!$K$2:$K$5010,'Lançamentos'!$A$2:$A$5010,"Uso e consumo",'Lançamentos'!$H$2:$H$5010,$A48,'Lançamentos'!$D$2:$D$5010,"Em 2026")</f>
        <v/>
      </c>
      <c r="P48" s="26">
        <f>COUNTIFS('Lançamentos'!$A$2:$A$5010,"Uso e consumo",'Lançamentos'!$H$2:$H$5010,$A48,'Lançamentos'!$D$2:$D$5010,"Em 2026")</f>
        <v/>
      </c>
    </row>
    <row r="49">
      <c r="A49" t="inlineStr">
        <is>
          <t>ALUMIFER ALUMINIO E FERRO LTDA.</t>
        </is>
      </c>
      <c r="B49" s="9">
        <f>SUMIFS('Lançamentos'!$L$2:$L$5010,'Lançamentos'!$A$2:$A$5010,"Uso e consumo",'Lançamentos'!$H$2:$H$5010,$A49,'Lançamentos'!$C$2:$C$5010,B$20)</f>
        <v/>
      </c>
      <c r="C49" s="9">
        <f>SUMIFS('Lançamentos'!$L$2:$L$5010,'Lançamentos'!$A$2:$A$5010,"Uso e consumo",'Lançamentos'!$H$2:$H$5010,$A49,'Lançamentos'!$C$2:$C$5010,C$20)</f>
        <v/>
      </c>
      <c r="D49" s="9">
        <f>SUMIFS('Lançamentos'!$L$2:$L$5010,'Lançamentos'!$A$2:$A$5010,"Uso e consumo",'Lançamentos'!$H$2:$H$5010,$A49,'Lançamentos'!$C$2:$C$5010,D$20)</f>
        <v/>
      </c>
      <c r="E49" s="9">
        <f>SUMIFS('Lançamentos'!$L$2:$L$5010,'Lançamentos'!$A$2:$A$5010,"Uso e consumo",'Lançamentos'!$H$2:$H$5010,$A49,'Lançamentos'!$C$2:$C$5010,E$20)</f>
        <v/>
      </c>
      <c r="F49" s="9">
        <f>SUMIFS('Lançamentos'!$L$2:$L$5010,'Lançamentos'!$A$2:$A$5010,"Uso e consumo",'Lançamentos'!$H$2:$H$5010,$A49,'Lançamentos'!$C$2:$C$5010,F$20)</f>
        <v/>
      </c>
      <c r="G49" s="9">
        <f>SUMIFS('Lançamentos'!$L$2:$L$5010,'Lançamentos'!$A$2:$A$5010,"Uso e consumo",'Lançamentos'!$H$2:$H$5010,$A49,'Lançamentos'!$C$2:$C$5010,G$20)</f>
        <v/>
      </c>
      <c r="H49" s="9">
        <f>SUMIFS('Lançamentos'!$L$2:$L$5010,'Lançamentos'!$A$2:$A$5010,"Uso e consumo",'Lançamentos'!$H$2:$H$5010,$A49,'Lançamentos'!$C$2:$C$5010,H$20)</f>
        <v/>
      </c>
      <c r="I49" s="9">
        <f>SUMIFS('Lançamentos'!$L$2:$L$5010,'Lançamentos'!$A$2:$A$5010,"Uso e consumo",'Lançamentos'!$H$2:$H$5010,$A49,'Lançamentos'!$C$2:$C$5010,I$20)</f>
        <v/>
      </c>
      <c r="J49" s="9">
        <f>SUMIFS('Lançamentos'!$L$2:$L$5010,'Lançamentos'!$A$2:$A$5010,"Uso e consumo",'Lançamentos'!$H$2:$H$5010,$A49,'Lançamentos'!$C$2:$C$5010,J$20)</f>
        <v/>
      </c>
      <c r="K49" s="9">
        <f>SUM(B49:J49)</f>
        <v/>
      </c>
      <c r="L49" s="10">
        <f>K49/K$101</f>
        <v/>
      </c>
      <c r="M49" s="9">
        <f>SUMIFS('Lançamentos'!$L$2:$L$5010,'Lançamentos'!$A$2:$A$5010,"Uso e consumo",'Lançamentos'!$H$2:$H$5010,$A49,'Lançamentos'!$C$2:$C$5010,"Antes de 2026")</f>
        <v/>
      </c>
      <c r="N49" s="9">
        <f>SUMIFS('Lançamentos'!$J$2:$J$5010,'Lançamentos'!$A$2:$A$5010,"Uso e consumo",'Lançamentos'!$H$2:$H$5010,$A49,'Lançamentos'!$D$2:$D$5010,"Em 2026")</f>
        <v/>
      </c>
      <c r="O49" s="9">
        <f>SUMIFS('Lançamentos'!$K$2:$K$5010,'Lançamentos'!$A$2:$A$5010,"Uso e consumo",'Lançamentos'!$H$2:$H$5010,$A49,'Lançamentos'!$D$2:$D$5010,"Em 2026")</f>
        <v/>
      </c>
      <c r="P49" s="26">
        <f>COUNTIFS('Lançamentos'!$A$2:$A$5010,"Uso e consumo",'Lançamentos'!$H$2:$H$5010,$A49,'Lançamentos'!$D$2:$D$5010,"Em 2026")</f>
        <v/>
      </c>
    </row>
    <row r="50">
      <c r="A50" t="inlineStr">
        <is>
          <t>FERMEC FERRAGENS E MECANICA INDUSTRIAL LTDA</t>
        </is>
      </c>
      <c r="B50" s="9">
        <f>SUMIFS('Lançamentos'!$L$2:$L$5010,'Lançamentos'!$A$2:$A$5010,"Uso e consumo",'Lançamentos'!$H$2:$H$5010,$A50,'Lançamentos'!$C$2:$C$5010,B$20)</f>
        <v/>
      </c>
      <c r="C50" s="9">
        <f>SUMIFS('Lançamentos'!$L$2:$L$5010,'Lançamentos'!$A$2:$A$5010,"Uso e consumo",'Lançamentos'!$H$2:$H$5010,$A50,'Lançamentos'!$C$2:$C$5010,C$20)</f>
        <v/>
      </c>
      <c r="D50" s="9">
        <f>SUMIFS('Lançamentos'!$L$2:$L$5010,'Lançamentos'!$A$2:$A$5010,"Uso e consumo",'Lançamentos'!$H$2:$H$5010,$A50,'Lançamentos'!$C$2:$C$5010,D$20)</f>
        <v/>
      </c>
      <c r="E50" s="9">
        <f>SUMIFS('Lançamentos'!$L$2:$L$5010,'Lançamentos'!$A$2:$A$5010,"Uso e consumo",'Lançamentos'!$H$2:$H$5010,$A50,'Lançamentos'!$C$2:$C$5010,E$20)</f>
        <v/>
      </c>
      <c r="F50" s="9">
        <f>SUMIFS('Lançamentos'!$L$2:$L$5010,'Lançamentos'!$A$2:$A$5010,"Uso e consumo",'Lançamentos'!$H$2:$H$5010,$A50,'Lançamentos'!$C$2:$C$5010,F$20)</f>
        <v/>
      </c>
      <c r="G50" s="9">
        <f>SUMIFS('Lançamentos'!$L$2:$L$5010,'Lançamentos'!$A$2:$A$5010,"Uso e consumo",'Lançamentos'!$H$2:$H$5010,$A50,'Lançamentos'!$C$2:$C$5010,G$20)</f>
        <v/>
      </c>
      <c r="H50" s="9">
        <f>SUMIFS('Lançamentos'!$L$2:$L$5010,'Lançamentos'!$A$2:$A$5010,"Uso e consumo",'Lançamentos'!$H$2:$H$5010,$A50,'Lançamentos'!$C$2:$C$5010,H$20)</f>
        <v/>
      </c>
      <c r="I50" s="9">
        <f>SUMIFS('Lançamentos'!$L$2:$L$5010,'Lançamentos'!$A$2:$A$5010,"Uso e consumo",'Lançamentos'!$H$2:$H$5010,$A50,'Lançamentos'!$C$2:$C$5010,I$20)</f>
        <v/>
      </c>
      <c r="J50" s="9">
        <f>SUMIFS('Lançamentos'!$L$2:$L$5010,'Lançamentos'!$A$2:$A$5010,"Uso e consumo",'Lançamentos'!$H$2:$H$5010,$A50,'Lançamentos'!$C$2:$C$5010,J$20)</f>
        <v/>
      </c>
      <c r="K50" s="9">
        <f>SUM(B50:J50)</f>
        <v/>
      </c>
      <c r="L50" s="10">
        <f>K50/K$101</f>
        <v/>
      </c>
      <c r="M50" s="9">
        <f>SUMIFS('Lançamentos'!$L$2:$L$5010,'Lançamentos'!$A$2:$A$5010,"Uso e consumo",'Lançamentos'!$H$2:$H$5010,$A50,'Lançamentos'!$C$2:$C$5010,"Antes de 2026")</f>
        <v/>
      </c>
      <c r="N50" s="9">
        <f>SUMIFS('Lançamentos'!$J$2:$J$5010,'Lançamentos'!$A$2:$A$5010,"Uso e consumo",'Lançamentos'!$H$2:$H$5010,$A50,'Lançamentos'!$D$2:$D$5010,"Em 2026")</f>
        <v/>
      </c>
      <c r="O50" s="9">
        <f>SUMIFS('Lançamentos'!$K$2:$K$5010,'Lançamentos'!$A$2:$A$5010,"Uso e consumo",'Lançamentos'!$H$2:$H$5010,$A50,'Lançamentos'!$D$2:$D$5010,"Em 2026")</f>
        <v/>
      </c>
      <c r="P50" s="26">
        <f>COUNTIFS('Lançamentos'!$A$2:$A$5010,"Uso e consumo",'Lançamentos'!$H$2:$H$5010,$A50,'Lançamentos'!$D$2:$D$5010,"Em 2026")</f>
        <v/>
      </c>
    </row>
    <row r="51">
      <c r="A51" t="inlineStr">
        <is>
          <t>KLK INDUSTRIA E COMERCIO DE CONFECCOES LTDA</t>
        </is>
      </c>
      <c r="B51" s="9">
        <f>SUMIFS('Lançamentos'!$L$2:$L$5010,'Lançamentos'!$A$2:$A$5010,"Uso e consumo",'Lançamentos'!$H$2:$H$5010,$A51,'Lançamentos'!$C$2:$C$5010,B$20)</f>
        <v/>
      </c>
      <c r="C51" s="9">
        <f>SUMIFS('Lançamentos'!$L$2:$L$5010,'Lançamentos'!$A$2:$A$5010,"Uso e consumo",'Lançamentos'!$H$2:$H$5010,$A51,'Lançamentos'!$C$2:$C$5010,C$20)</f>
        <v/>
      </c>
      <c r="D51" s="9">
        <f>SUMIFS('Lançamentos'!$L$2:$L$5010,'Lançamentos'!$A$2:$A$5010,"Uso e consumo",'Lançamentos'!$H$2:$H$5010,$A51,'Lançamentos'!$C$2:$C$5010,D$20)</f>
        <v/>
      </c>
      <c r="E51" s="9">
        <f>SUMIFS('Lançamentos'!$L$2:$L$5010,'Lançamentos'!$A$2:$A$5010,"Uso e consumo",'Lançamentos'!$H$2:$H$5010,$A51,'Lançamentos'!$C$2:$C$5010,E$20)</f>
        <v/>
      </c>
      <c r="F51" s="9">
        <f>SUMIFS('Lançamentos'!$L$2:$L$5010,'Lançamentos'!$A$2:$A$5010,"Uso e consumo",'Lançamentos'!$H$2:$H$5010,$A51,'Lançamentos'!$C$2:$C$5010,F$20)</f>
        <v/>
      </c>
      <c r="G51" s="9">
        <f>SUMIFS('Lançamentos'!$L$2:$L$5010,'Lançamentos'!$A$2:$A$5010,"Uso e consumo",'Lançamentos'!$H$2:$H$5010,$A51,'Lançamentos'!$C$2:$C$5010,G$20)</f>
        <v/>
      </c>
      <c r="H51" s="9">
        <f>SUMIFS('Lançamentos'!$L$2:$L$5010,'Lançamentos'!$A$2:$A$5010,"Uso e consumo",'Lançamentos'!$H$2:$H$5010,$A51,'Lançamentos'!$C$2:$C$5010,H$20)</f>
        <v/>
      </c>
      <c r="I51" s="9">
        <f>SUMIFS('Lançamentos'!$L$2:$L$5010,'Lançamentos'!$A$2:$A$5010,"Uso e consumo",'Lançamentos'!$H$2:$H$5010,$A51,'Lançamentos'!$C$2:$C$5010,I$20)</f>
        <v/>
      </c>
      <c r="J51" s="9">
        <f>SUMIFS('Lançamentos'!$L$2:$L$5010,'Lançamentos'!$A$2:$A$5010,"Uso e consumo",'Lançamentos'!$H$2:$H$5010,$A51,'Lançamentos'!$C$2:$C$5010,J$20)</f>
        <v/>
      </c>
      <c r="K51" s="9">
        <f>SUM(B51:J51)</f>
        <v/>
      </c>
      <c r="L51" s="10">
        <f>K51/K$101</f>
        <v/>
      </c>
      <c r="M51" s="9">
        <f>SUMIFS('Lançamentos'!$L$2:$L$5010,'Lançamentos'!$A$2:$A$5010,"Uso e consumo",'Lançamentos'!$H$2:$H$5010,$A51,'Lançamentos'!$C$2:$C$5010,"Antes de 2026")</f>
        <v/>
      </c>
      <c r="N51" s="9">
        <f>SUMIFS('Lançamentos'!$J$2:$J$5010,'Lançamentos'!$A$2:$A$5010,"Uso e consumo",'Lançamentos'!$H$2:$H$5010,$A51,'Lançamentos'!$D$2:$D$5010,"Em 2026")</f>
        <v/>
      </c>
      <c r="O51" s="9">
        <f>SUMIFS('Lançamentos'!$K$2:$K$5010,'Lançamentos'!$A$2:$A$5010,"Uso e consumo",'Lançamentos'!$H$2:$H$5010,$A51,'Lançamentos'!$D$2:$D$5010,"Em 2026")</f>
        <v/>
      </c>
      <c r="P51" s="26">
        <f>COUNTIFS('Lançamentos'!$A$2:$A$5010,"Uso e consumo",'Lançamentos'!$H$2:$H$5010,$A51,'Lançamentos'!$D$2:$D$5010,"Em 2026")</f>
        <v/>
      </c>
    </row>
    <row r="52">
      <c r="A52" t="inlineStr">
        <is>
          <t>COSTA GONDIM e CIA LTDA</t>
        </is>
      </c>
      <c r="B52" s="9">
        <f>SUMIFS('Lançamentos'!$L$2:$L$5010,'Lançamentos'!$A$2:$A$5010,"Uso e consumo",'Lançamentos'!$H$2:$H$5010,$A52,'Lançamentos'!$C$2:$C$5010,B$20)</f>
        <v/>
      </c>
      <c r="C52" s="9">
        <f>SUMIFS('Lançamentos'!$L$2:$L$5010,'Lançamentos'!$A$2:$A$5010,"Uso e consumo",'Lançamentos'!$H$2:$H$5010,$A52,'Lançamentos'!$C$2:$C$5010,C$20)</f>
        <v/>
      </c>
      <c r="D52" s="9">
        <f>SUMIFS('Lançamentos'!$L$2:$L$5010,'Lançamentos'!$A$2:$A$5010,"Uso e consumo",'Lançamentos'!$H$2:$H$5010,$A52,'Lançamentos'!$C$2:$C$5010,D$20)</f>
        <v/>
      </c>
      <c r="E52" s="9">
        <f>SUMIFS('Lançamentos'!$L$2:$L$5010,'Lançamentos'!$A$2:$A$5010,"Uso e consumo",'Lançamentos'!$H$2:$H$5010,$A52,'Lançamentos'!$C$2:$C$5010,E$20)</f>
        <v/>
      </c>
      <c r="F52" s="9">
        <f>SUMIFS('Lançamentos'!$L$2:$L$5010,'Lançamentos'!$A$2:$A$5010,"Uso e consumo",'Lançamentos'!$H$2:$H$5010,$A52,'Lançamentos'!$C$2:$C$5010,F$20)</f>
        <v/>
      </c>
      <c r="G52" s="9">
        <f>SUMIFS('Lançamentos'!$L$2:$L$5010,'Lançamentos'!$A$2:$A$5010,"Uso e consumo",'Lançamentos'!$H$2:$H$5010,$A52,'Lançamentos'!$C$2:$C$5010,G$20)</f>
        <v/>
      </c>
      <c r="H52" s="9">
        <f>SUMIFS('Lançamentos'!$L$2:$L$5010,'Lançamentos'!$A$2:$A$5010,"Uso e consumo",'Lançamentos'!$H$2:$H$5010,$A52,'Lançamentos'!$C$2:$C$5010,H$20)</f>
        <v/>
      </c>
      <c r="I52" s="9">
        <f>SUMIFS('Lançamentos'!$L$2:$L$5010,'Lançamentos'!$A$2:$A$5010,"Uso e consumo",'Lançamentos'!$H$2:$H$5010,$A52,'Lançamentos'!$C$2:$C$5010,I$20)</f>
        <v/>
      </c>
      <c r="J52" s="9">
        <f>SUMIFS('Lançamentos'!$L$2:$L$5010,'Lançamentos'!$A$2:$A$5010,"Uso e consumo",'Lançamentos'!$H$2:$H$5010,$A52,'Lançamentos'!$C$2:$C$5010,J$20)</f>
        <v/>
      </c>
      <c r="K52" s="9">
        <f>SUM(B52:J52)</f>
        <v/>
      </c>
      <c r="L52" s="10">
        <f>K52/K$101</f>
        <v/>
      </c>
      <c r="M52" s="9">
        <f>SUMIFS('Lançamentos'!$L$2:$L$5010,'Lançamentos'!$A$2:$A$5010,"Uso e consumo",'Lançamentos'!$H$2:$H$5010,$A52,'Lançamentos'!$C$2:$C$5010,"Antes de 2026")</f>
        <v/>
      </c>
      <c r="N52" s="9">
        <f>SUMIFS('Lançamentos'!$J$2:$J$5010,'Lançamentos'!$A$2:$A$5010,"Uso e consumo",'Lançamentos'!$H$2:$H$5010,$A52,'Lançamentos'!$D$2:$D$5010,"Em 2026")</f>
        <v/>
      </c>
      <c r="O52" s="9">
        <f>SUMIFS('Lançamentos'!$K$2:$K$5010,'Lançamentos'!$A$2:$A$5010,"Uso e consumo",'Lançamentos'!$H$2:$H$5010,$A52,'Lançamentos'!$D$2:$D$5010,"Em 2026")</f>
        <v/>
      </c>
      <c r="P52" s="26">
        <f>COUNTIFS('Lançamentos'!$A$2:$A$5010,"Uso e consumo",'Lançamentos'!$H$2:$H$5010,$A52,'Lançamentos'!$D$2:$D$5010,"Em 2026")</f>
        <v/>
      </c>
    </row>
    <row r="53">
      <c r="A53" t="inlineStr">
        <is>
          <t>L M ARAUJO</t>
        </is>
      </c>
      <c r="B53" s="9">
        <f>SUMIFS('Lançamentos'!$L$2:$L$5010,'Lançamentos'!$A$2:$A$5010,"Uso e consumo",'Lançamentos'!$H$2:$H$5010,$A53,'Lançamentos'!$C$2:$C$5010,B$20)</f>
        <v/>
      </c>
      <c r="C53" s="9">
        <f>SUMIFS('Lançamentos'!$L$2:$L$5010,'Lançamentos'!$A$2:$A$5010,"Uso e consumo",'Lançamentos'!$H$2:$H$5010,$A53,'Lançamentos'!$C$2:$C$5010,C$20)</f>
        <v/>
      </c>
      <c r="D53" s="9">
        <f>SUMIFS('Lançamentos'!$L$2:$L$5010,'Lançamentos'!$A$2:$A$5010,"Uso e consumo",'Lançamentos'!$H$2:$H$5010,$A53,'Lançamentos'!$C$2:$C$5010,D$20)</f>
        <v/>
      </c>
      <c r="E53" s="9">
        <f>SUMIFS('Lançamentos'!$L$2:$L$5010,'Lançamentos'!$A$2:$A$5010,"Uso e consumo",'Lançamentos'!$H$2:$H$5010,$A53,'Lançamentos'!$C$2:$C$5010,E$20)</f>
        <v/>
      </c>
      <c r="F53" s="9">
        <f>SUMIFS('Lançamentos'!$L$2:$L$5010,'Lançamentos'!$A$2:$A$5010,"Uso e consumo",'Lançamentos'!$H$2:$H$5010,$A53,'Lançamentos'!$C$2:$C$5010,F$20)</f>
        <v/>
      </c>
      <c r="G53" s="9">
        <f>SUMIFS('Lançamentos'!$L$2:$L$5010,'Lançamentos'!$A$2:$A$5010,"Uso e consumo",'Lançamentos'!$H$2:$H$5010,$A53,'Lançamentos'!$C$2:$C$5010,G$20)</f>
        <v/>
      </c>
      <c r="H53" s="9">
        <f>SUMIFS('Lançamentos'!$L$2:$L$5010,'Lançamentos'!$A$2:$A$5010,"Uso e consumo",'Lançamentos'!$H$2:$H$5010,$A53,'Lançamentos'!$C$2:$C$5010,H$20)</f>
        <v/>
      </c>
      <c r="I53" s="9">
        <f>SUMIFS('Lançamentos'!$L$2:$L$5010,'Lançamentos'!$A$2:$A$5010,"Uso e consumo",'Lançamentos'!$H$2:$H$5010,$A53,'Lançamentos'!$C$2:$C$5010,I$20)</f>
        <v/>
      </c>
      <c r="J53" s="9">
        <f>SUMIFS('Lançamentos'!$L$2:$L$5010,'Lançamentos'!$A$2:$A$5010,"Uso e consumo",'Lançamentos'!$H$2:$H$5010,$A53,'Lançamentos'!$C$2:$C$5010,J$20)</f>
        <v/>
      </c>
      <c r="K53" s="9">
        <f>SUM(B53:J53)</f>
        <v/>
      </c>
      <c r="L53" s="10">
        <f>K53/K$101</f>
        <v/>
      </c>
      <c r="M53" s="9">
        <f>SUMIFS('Lançamentos'!$L$2:$L$5010,'Lançamentos'!$A$2:$A$5010,"Uso e consumo",'Lançamentos'!$H$2:$H$5010,$A53,'Lançamentos'!$C$2:$C$5010,"Antes de 2026")</f>
        <v/>
      </c>
      <c r="N53" s="9">
        <f>SUMIFS('Lançamentos'!$J$2:$J$5010,'Lançamentos'!$A$2:$A$5010,"Uso e consumo",'Lançamentos'!$H$2:$H$5010,$A53,'Lançamentos'!$D$2:$D$5010,"Em 2026")</f>
        <v/>
      </c>
      <c r="O53" s="9">
        <f>SUMIFS('Lançamentos'!$K$2:$K$5010,'Lançamentos'!$A$2:$A$5010,"Uso e consumo",'Lançamentos'!$H$2:$H$5010,$A53,'Lançamentos'!$D$2:$D$5010,"Em 2026")</f>
        <v/>
      </c>
      <c r="P53" s="26">
        <f>COUNTIFS('Lançamentos'!$A$2:$A$5010,"Uso e consumo",'Lançamentos'!$H$2:$H$5010,$A53,'Lançamentos'!$D$2:$D$5010,"Em 2026")</f>
        <v/>
      </c>
    </row>
    <row r="54">
      <c r="A54" t="inlineStr">
        <is>
          <t>BLEED S IND. E COM. DE PRODUTOS QUIMICOS E LUBRIF. LTDA</t>
        </is>
      </c>
      <c r="B54" s="9">
        <f>SUMIFS('Lançamentos'!$L$2:$L$5010,'Lançamentos'!$A$2:$A$5010,"Uso e consumo",'Lançamentos'!$H$2:$H$5010,$A54,'Lançamentos'!$C$2:$C$5010,B$20)</f>
        <v/>
      </c>
      <c r="C54" s="9">
        <f>SUMIFS('Lançamentos'!$L$2:$L$5010,'Lançamentos'!$A$2:$A$5010,"Uso e consumo",'Lançamentos'!$H$2:$H$5010,$A54,'Lançamentos'!$C$2:$C$5010,C$20)</f>
        <v/>
      </c>
      <c r="D54" s="9">
        <f>SUMIFS('Lançamentos'!$L$2:$L$5010,'Lançamentos'!$A$2:$A$5010,"Uso e consumo",'Lançamentos'!$H$2:$H$5010,$A54,'Lançamentos'!$C$2:$C$5010,D$20)</f>
        <v/>
      </c>
      <c r="E54" s="9">
        <f>SUMIFS('Lançamentos'!$L$2:$L$5010,'Lançamentos'!$A$2:$A$5010,"Uso e consumo",'Lançamentos'!$H$2:$H$5010,$A54,'Lançamentos'!$C$2:$C$5010,E$20)</f>
        <v/>
      </c>
      <c r="F54" s="9">
        <f>SUMIFS('Lançamentos'!$L$2:$L$5010,'Lançamentos'!$A$2:$A$5010,"Uso e consumo",'Lançamentos'!$H$2:$H$5010,$A54,'Lançamentos'!$C$2:$C$5010,F$20)</f>
        <v/>
      </c>
      <c r="G54" s="9">
        <f>SUMIFS('Lançamentos'!$L$2:$L$5010,'Lançamentos'!$A$2:$A$5010,"Uso e consumo",'Lançamentos'!$H$2:$H$5010,$A54,'Lançamentos'!$C$2:$C$5010,G$20)</f>
        <v/>
      </c>
      <c r="H54" s="9">
        <f>SUMIFS('Lançamentos'!$L$2:$L$5010,'Lançamentos'!$A$2:$A$5010,"Uso e consumo",'Lançamentos'!$H$2:$H$5010,$A54,'Lançamentos'!$C$2:$C$5010,H$20)</f>
        <v/>
      </c>
      <c r="I54" s="9">
        <f>SUMIFS('Lançamentos'!$L$2:$L$5010,'Lançamentos'!$A$2:$A$5010,"Uso e consumo",'Lançamentos'!$H$2:$H$5010,$A54,'Lançamentos'!$C$2:$C$5010,I$20)</f>
        <v/>
      </c>
      <c r="J54" s="9">
        <f>SUMIFS('Lançamentos'!$L$2:$L$5010,'Lançamentos'!$A$2:$A$5010,"Uso e consumo",'Lançamentos'!$H$2:$H$5010,$A54,'Lançamentos'!$C$2:$C$5010,J$20)</f>
        <v/>
      </c>
      <c r="K54" s="9">
        <f>SUM(B54:J54)</f>
        <v/>
      </c>
      <c r="L54" s="10">
        <f>K54/K$101</f>
        <v/>
      </c>
      <c r="M54" s="9">
        <f>SUMIFS('Lançamentos'!$L$2:$L$5010,'Lançamentos'!$A$2:$A$5010,"Uso e consumo",'Lançamentos'!$H$2:$H$5010,$A54,'Lançamentos'!$C$2:$C$5010,"Antes de 2026")</f>
        <v/>
      </c>
      <c r="N54" s="9">
        <f>SUMIFS('Lançamentos'!$J$2:$J$5010,'Lançamentos'!$A$2:$A$5010,"Uso e consumo",'Lançamentos'!$H$2:$H$5010,$A54,'Lançamentos'!$D$2:$D$5010,"Em 2026")</f>
        <v/>
      </c>
      <c r="O54" s="9">
        <f>SUMIFS('Lançamentos'!$K$2:$K$5010,'Lançamentos'!$A$2:$A$5010,"Uso e consumo",'Lançamentos'!$H$2:$H$5010,$A54,'Lançamentos'!$D$2:$D$5010,"Em 2026")</f>
        <v/>
      </c>
      <c r="P54" s="26">
        <f>COUNTIFS('Lançamentos'!$A$2:$A$5010,"Uso e consumo",'Lançamentos'!$H$2:$H$5010,$A54,'Lançamentos'!$D$2:$D$5010,"Em 2026")</f>
        <v/>
      </c>
    </row>
    <row r="55">
      <c r="A55" t="inlineStr">
        <is>
          <t>DANIELLE CRISTINA GOMES ANTONACCI - TOKA BRASIL</t>
        </is>
      </c>
      <c r="B55" s="9">
        <f>SUMIFS('Lançamentos'!$L$2:$L$5010,'Lançamentos'!$A$2:$A$5010,"Uso e consumo",'Lançamentos'!$H$2:$H$5010,$A55,'Lançamentos'!$C$2:$C$5010,B$20)</f>
        <v/>
      </c>
      <c r="C55" s="9">
        <f>SUMIFS('Lançamentos'!$L$2:$L$5010,'Lançamentos'!$A$2:$A$5010,"Uso e consumo",'Lançamentos'!$H$2:$H$5010,$A55,'Lançamentos'!$C$2:$C$5010,C$20)</f>
        <v/>
      </c>
      <c r="D55" s="9">
        <f>SUMIFS('Lançamentos'!$L$2:$L$5010,'Lançamentos'!$A$2:$A$5010,"Uso e consumo",'Lançamentos'!$H$2:$H$5010,$A55,'Lançamentos'!$C$2:$C$5010,D$20)</f>
        <v/>
      </c>
      <c r="E55" s="9">
        <f>SUMIFS('Lançamentos'!$L$2:$L$5010,'Lançamentos'!$A$2:$A$5010,"Uso e consumo",'Lançamentos'!$H$2:$H$5010,$A55,'Lançamentos'!$C$2:$C$5010,E$20)</f>
        <v/>
      </c>
      <c r="F55" s="9">
        <f>SUMIFS('Lançamentos'!$L$2:$L$5010,'Lançamentos'!$A$2:$A$5010,"Uso e consumo",'Lançamentos'!$H$2:$H$5010,$A55,'Lançamentos'!$C$2:$C$5010,F$20)</f>
        <v/>
      </c>
      <c r="G55" s="9">
        <f>SUMIFS('Lançamentos'!$L$2:$L$5010,'Lançamentos'!$A$2:$A$5010,"Uso e consumo",'Lançamentos'!$H$2:$H$5010,$A55,'Lançamentos'!$C$2:$C$5010,G$20)</f>
        <v/>
      </c>
      <c r="H55" s="9">
        <f>SUMIFS('Lançamentos'!$L$2:$L$5010,'Lançamentos'!$A$2:$A$5010,"Uso e consumo",'Lançamentos'!$H$2:$H$5010,$A55,'Lançamentos'!$C$2:$C$5010,H$20)</f>
        <v/>
      </c>
      <c r="I55" s="9">
        <f>SUMIFS('Lançamentos'!$L$2:$L$5010,'Lançamentos'!$A$2:$A$5010,"Uso e consumo",'Lançamentos'!$H$2:$H$5010,$A55,'Lançamentos'!$C$2:$C$5010,I$20)</f>
        <v/>
      </c>
      <c r="J55" s="9">
        <f>SUMIFS('Lançamentos'!$L$2:$L$5010,'Lançamentos'!$A$2:$A$5010,"Uso e consumo",'Lançamentos'!$H$2:$H$5010,$A55,'Lançamentos'!$C$2:$C$5010,J$20)</f>
        <v/>
      </c>
      <c r="K55" s="9">
        <f>SUM(B55:J55)</f>
        <v/>
      </c>
      <c r="L55" s="10">
        <f>K55/K$101</f>
        <v/>
      </c>
      <c r="M55" s="9">
        <f>SUMIFS('Lançamentos'!$L$2:$L$5010,'Lançamentos'!$A$2:$A$5010,"Uso e consumo",'Lançamentos'!$H$2:$H$5010,$A55,'Lançamentos'!$C$2:$C$5010,"Antes de 2026")</f>
        <v/>
      </c>
      <c r="N55" s="9">
        <f>SUMIFS('Lançamentos'!$J$2:$J$5010,'Lançamentos'!$A$2:$A$5010,"Uso e consumo",'Lançamentos'!$H$2:$H$5010,$A55,'Lançamentos'!$D$2:$D$5010,"Em 2026")</f>
        <v/>
      </c>
      <c r="O55" s="9">
        <f>SUMIFS('Lançamentos'!$K$2:$K$5010,'Lançamentos'!$A$2:$A$5010,"Uso e consumo",'Lançamentos'!$H$2:$H$5010,$A55,'Lançamentos'!$D$2:$D$5010,"Em 2026")</f>
        <v/>
      </c>
      <c r="P55" s="26">
        <f>COUNTIFS('Lançamentos'!$A$2:$A$5010,"Uso e consumo",'Lançamentos'!$H$2:$H$5010,$A55,'Lançamentos'!$D$2:$D$5010,"Em 2026")</f>
        <v/>
      </c>
    </row>
    <row r="56">
      <c r="A56" t="inlineStr">
        <is>
          <t>SHARING COMERCIO E SERVICOS LTDA</t>
        </is>
      </c>
      <c r="B56" s="9">
        <f>SUMIFS('Lançamentos'!$L$2:$L$5010,'Lançamentos'!$A$2:$A$5010,"Uso e consumo",'Lançamentos'!$H$2:$H$5010,$A56,'Lançamentos'!$C$2:$C$5010,B$20)</f>
        <v/>
      </c>
      <c r="C56" s="9">
        <f>SUMIFS('Lançamentos'!$L$2:$L$5010,'Lançamentos'!$A$2:$A$5010,"Uso e consumo",'Lançamentos'!$H$2:$H$5010,$A56,'Lançamentos'!$C$2:$C$5010,C$20)</f>
        <v/>
      </c>
      <c r="D56" s="9">
        <f>SUMIFS('Lançamentos'!$L$2:$L$5010,'Lançamentos'!$A$2:$A$5010,"Uso e consumo",'Lançamentos'!$H$2:$H$5010,$A56,'Lançamentos'!$C$2:$C$5010,D$20)</f>
        <v/>
      </c>
      <c r="E56" s="9">
        <f>SUMIFS('Lançamentos'!$L$2:$L$5010,'Lançamentos'!$A$2:$A$5010,"Uso e consumo",'Lançamentos'!$H$2:$H$5010,$A56,'Lançamentos'!$C$2:$C$5010,E$20)</f>
        <v/>
      </c>
      <c r="F56" s="9">
        <f>SUMIFS('Lançamentos'!$L$2:$L$5010,'Lançamentos'!$A$2:$A$5010,"Uso e consumo",'Lançamentos'!$H$2:$H$5010,$A56,'Lançamentos'!$C$2:$C$5010,F$20)</f>
        <v/>
      </c>
      <c r="G56" s="9">
        <f>SUMIFS('Lançamentos'!$L$2:$L$5010,'Lançamentos'!$A$2:$A$5010,"Uso e consumo",'Lançamentos'!$H$2:$H$5010,$A56,'Lançamentos'!$C$2:$C$5010,G$20)</f>
        <v/>
      </c>
      <c r="H56" s="9">
        <f>SUMIFS('Lançamentos'!$L$2:$L$5010,'Lançamentos'!$A$2:$A$5010,"Uso e consumo",'Lançamentos'!$H$2:$H$5010,$A56,'Lançamentos'!$C$2:$C$5010,H$20)</f>
        <v/>
      </c>
      <c r="I56" s="9">
        <f>SUMIFS('Lançamentos'!$L$2:$L$5010,'Lançamentos'!$A$2:$A$5010,"Uso e consumo",'Lançamentos'!$H$2:$H$5010,$A56,'Lançamentos'!$C$2:$C$5010,I$20)</f>
        <v/>
      </c>
      <c r="J56" s="9">
        <f>SUMIFS('Lançamentos'!$L$2:$L$5010,'Lançamentos'!$A$2:$A$5010,"Uso e consumo",'Lançamentos'!$H$2:$H$5010,$A56,'Lançamentos'!$C$2:$C$5010,J$20)</f>
        <v/>
      </c>
      <c r="K56" s="9">
        <f>SUM(B56:J56)</f>
        <v/>
      </c>
      <c r="L56" s="10">
        <f>K56/K$101</f>
        <v/>
      </c>
      <c r="M56" s="9">
        <f>SUMIFS('Lançamentos'!$L$2:$L$5010,'Lançamentos'!$A$2:$A$5010,"Uso e consumo",'Lançamentos'!$H$2:$H$5010,$A56,'Lançamentos'!$C$2:$C$5010,"Antes de 2026")</f>
        <v/>
      </c>
      <c r="N56" s="9">
        <f>SUMIFS('Lançamentos'!$J$2:$J$5010,'Lançamentos'!$A$2:$A$5010,"Uso e consumo",'Lançamentos'!$H$2:$H$5010,$A56,'Lançamentos'!$D$2:$D$5010,"Em 2026")</f>
        <v/>
      </c>
      <c r="O56" s="9">
        <f>SUMIFS('Lançamentos'!$K$2:$K$5010,'Lançamentos'!$A$2:$A$5010,"Uso e consumo",'Lançamentos'!$H$2:$H$5010,$A56,'Lançamentos'!$D$2:$D$5010,"Em 2026")</f>
        <v/>
      </c>
      <c r="P56" s="26">
        <f>COUNTIFS('Lançamentos'!$A$2:$A$5010,"Uso e consumo",'Lançamentos'!$H$2:$H$5010,$A56,'Lançamentos'!$D$2:$D$5010,"Em 2026")</f>
        <v/>
      </c>
    </row>
    <row r="57">
      <c r="A57" t="inlineStr">
        <is>
          <t>MUNDO DAS TINTAS LTDA</t>
        </is>
      </c>
      <c r="B57" s="9">
        <f>SUMIFS('Lançamentos'!$L$2:$L$5010,'Lançamentos'!$A$2:$A$5010,"Uso e consumo",'Lançamentos'!$H$2:$H$5010,$A57,'Lançamentos'!$C$2:$C$5010,B$20)</f>
        <v/>
      </c>
      <c r="C57" s="9">
        <f>SUMIFS('Lançamentos'!$L$2:$L$5010,'Lançamentos'!$A$2:$A$5010,"Uso e consumo",'Lançamentos'!$H$2:$H$5010,$A57,'Lançamentos'!$C$2:$C$5010,C$20)</f>
        <v/>
      </c>
      <c r="D57" s="9">
        <f>SUMIFS('Lançamentos'!$L$2:$L$5010,'Lançamentos'!$A$2:$A$5010,"Uso e consumo",'Lançamentos'!$H$2:$H$5010,$A57,'Lançamentos'!$C$2:$C$5010,D$20)</f>
        <v/>
      </c>
      <c r="E57" s="9">
        <f>SUMIFS('Lançamentos'!$L$2:$L$5010,'Lançamentos'!$A$2:$A$5010,"Uso e consumo",'Lançamentos'!$H$2:$H$5010,$A57,'Lançamentos'!$C$2:$C$5010,E$20)</f>
        <v/>
      </c>
      <c r="F57" s="9">
        <f>SUMIFS('Lançamentos'!$L$2:$L$5010,'Lançamentos'!$A$2:$A$5010,"Uso e consumo",'Lançamentos'!$H$2:$H$5010,$A57,'Lançamentos'!$C$2:$C$5010,F$20)</f>
        <v/>
      </c>
      <c r="G57" s="9">
        <f>SUMIFS('Lançamentos'!$L$2:$L$5010,'Lançamentos'!$A$2:$A$5010,"Uso e consumo",'Lançamentos'!$H$2:$H$5010,$A57,'Lançamentos'!$C$2:$C$5010,G$20)</f>
        <v/>
      </c>
      <c r="H57" s="9">
        <f>SUMIFS('Lançamentos'!$L$2:$L$5010,'Lançamentos'!$A$2:$A$5010,"Uso e consumo",'Lançamentos'!$H$2:$H$5010,$A57,'Lançamentos'!$C$2:$C$5010,H$20)</f>
        <v/>
      </c>
      <c r="I57" s="9">
        <f>SUMIFS('Lançamentos'!$L$2:$L$5010,'Lançamentos'!$A$2:$A$5010,"Uso e consumo",'Lançamentos'!$H$2:$H$5010,$A57,'Lançamentos'!$C$2:$C$5010,I$20)</f>
        <v/>
      </c>
      <c r="J57" s="9">
        <f>SUMIFS('Lançamentos'!$L$2:$L$5010,'Lançamentos'!$A$2:$A$5010,"Uso e consumo",'Lançamentos'!$H$2:$H$5010,$A57,'Lançamentos'!$C$2:$C$5010,J$20)</f>
        <v/>
      </c>
      <c r="K57" s="9">
        <f>SUM(B57:J57)</f>
        <v/>
      </c>
      <c r="L57" s="10">
        <f>K57/K$101</f>
        <v/>
      </c>
      <c r="M57" s="9">
        <f>SUMIFS('Lançamentos'!$L$2:$L$5010,'Lançamentos'!$A$2:$A$5010,"Uso e consumo",'Lançamentos'!$H$2:$H$5010,$A57,'Lançamentos'!$C$2:$C$5010,"Antes de 2026")</f>
        <v/>
      </c>
      <c r="N57" s="9">
        <f>SUMIFS('Lançamentos'!$J$2:$J$5010,'Lançamentos'!$A$2:$A$5010,"Uso e consumo",'Lançamentos'!$H$2:$H$5010,$A57,'Lançamentos'!$D$2:$D$5010,"Em 2026")</f>
        <v/>
      </c>
      <c r="O57" s="9">
        <f>SUMIFS('Lançamentos'!$K$2:$K$5010,'Lançamentos'!$A$2:$A$5010,"Uso e consumo",'Lançamentos'!$H$2:$H$5010,$A57,'Lançamentos'!$D$2:$D$5010,"Em 2026")</f>
        <v/>
      </c>
      <c r="P57" s="26">
        <f>COUNTIFS('Lançamentos'!$A$2:$A$5010,"Uso e consumo",'Lançamentos'!$H$2:$H$5010,$A57,'Lançamentos'!$D$2:$D$5010,"Em 2026")</f>
        <v/>
      </c>
    </row>
    <row r="58">
      <c r="A58" t="inlineStr">
        <is>
          <t>KADISA INDUSTRIA E COMERCIO LTDA - ME (FILIAL PB)</t>
        </is>
      </c>
      <c r="B58" s="9">
        <f>SUMIFS('Lançamentos'!$L$2:$L$5010,'Lançamentos'!$A$2:$A$5010,"Uso e consumo",'Lançamentos'!$H$2:$H$5010,$A58,'Lançamentos'!$C$2:$C$5010,B$20)</f>
        <v/>
      </c>
      <c r="C58" s="9">
        <f>SUMIFS('Lançamentos'!$L$2:$L$5010,'Lançamentos'!$A$2:$A$5010,"Uso e consumo",'Lançamentos'!$H$2:$H$5010,$A58,'Lançamentos'!$C$2:$C$5010,C$20)</f>
        <v/>
      </c>
      <c r="D58" s="9">
        <f>SUMIFS('Lançamentos'!$L$2:$L$5010,'Lançamentos'!$A$2:$A$5010,"Uso e consumo",'Lançamentos'!$H$2:$H$5010,$A58,'Lançamentos'!$C$2:$C$5010,D$20)</f>
        <v/>
      </c>
      <c r="E58" s="9">
        <f>SUMIFS('Lançamentos'!$L$2:$L$5010,'Lançamentos'!$A$2:$A$5010,"Uso e consumo",'Lançamentos'!$H$2:$H$5010,$A58,'Lançamentos'!$C$2:$C$5010,E$20)</f>
        <v/>
      </c>
      <c r="F58" s="9">
        <f>SUMIFS('Lançamentos'!$L$2:$L$5010,'Lançamentos'!$A$2:$A$5010,"Uso e consumo",'Lançamentos'!$H$2:$H$5010,$A58,'Lançamentos'!$C$2:$C$5010,F$20)</f>
        <v/>
      </c>
      <c r="G58" s="9">
        <f>SUMIFS('Lançamentos'!$L$2:$L$5010,'Lançamentos'!$A$2:$A$5010,"Uso e consumo",'Lançamentos'!$H$2:$H$5010,$A58,'Lançamentos'!$C$2:$C$5010,G$20)</f>
        <v/>
      </c>
      <c r="H58" s="9">
        <f>SUMIFS('Lançamentos'!$L$2:$L$5010,'Lançamentos'!$A$2:$A$5010,"Uso e consumo",'Lançamentos'!$H$2:$H$5010,$A58,'Lançamentos'!$C$2:$C$5010,H$20)</f>
        <v/>
      </c>
      <c r="I58" s="9">
        <f>SUMIFS('Lançamentos'!$L$2:$L$5010,'Lançamentos'!$A$2:$A$5010,"Uso e consumo",'Lançamentos'!$H$2:$H$5010,$A58,'Lançamentos'!$C$2:$C$5010,I$20)</f>
        <v/>
      </c>
      <c r="J58" s="9">
        <f>SUMIFS('Lançamentos'!$L$2:$L$5010,'Lançamentos'!$A$2:$A$5010,"Uso e consumo",'Lançamentos'!$H$2:$H$5010,$A58,'Lançamentos'!$C$2:$C$5010,J$20)</f>
        <v/>
      </c>
      <c r="K58" s="9">
        <f>SUM(B58:J58)</f>
        <v/>
      </c>
      <c r="L58" s="10">
        <f>K58/K$101</f>
        <v/>
      </c>
      <c r="M58" s="9">
        <f>SUMIFS('Lançamentos'!$L$2:$L$5010,'Lançamentos'!$A$2:$A$5010,"Uso e consumo",'Lançamentos'!$H$2:$H$5010,$A58,'Lançamentos'!$C$2:$C$5010,"Antes de 2026")</f>
        <v/>
      </c>
      <c r="N58" s="9">
        <f>SUMIFS('Lançamentos'!$J$2:$J$5010,'Lançamentos'!$A$2:$A$5010,"Uso e consumo",'Lançamentos'!$H$2:$H$5010,$A58,'Lançamentos'!$D$2:$D$5010,"Em 2026")</f>
        <v/>
      </c>
      <c r="O58" s="9">
        <f>SUMIFS('Lançamentos'!$K$2:$K$5010,'Lançamentos'!$A$2:$A$5010,"Uso e consumo",'Lançamentos'!$H$2:$H$5010,$A58,'Lançamentos'!$D$2:$D$5010,"Em 2026")</f>
        <v/>
      </c>
      <c r="P58" s="26">
        <f>COUNTIFS('Lançamentos'!$A$2:$A$5010,"Uso e consumo",'Lançamentos'!$H$2:$H$5010,$A58,'Lançamentos'!$D$2:$D$5010,"Em 2026")</f>
        <v/>
      </c>
    </row>
    <row r="59">
      <c r="A59" t="inlineStr">
        <is>
          <t>SHOP DA ELETRICA COMERCIO ELETRONICO LTDA</t>
        </is>
      </c>
      <c r="B59" s="9">
        <f>SUMIFS('Lançamentos'!$L$2:$L$5010,'Lançamentos'!$A$2:$A$5010,"Uso e consumo",'Lançamentos'!$H$2:$H$5010,$A59,'Lançamentos'!$C$2:$C$5010,B$20)</f>
        <v/>
      </c>
      <c r="C59" s="9">
        <f>SUMIFS('Lançamentos'!$L$2:$L$5010,'Lançamentos'!$A$2:$A$5010,"Uso e consumo",'Lançamentos'!$H$2:$H$5010,$A59,'Lançamentos'!$C$2:$C$5010,C$20)</f>
        <v/>
      </c>
      <c r="D59" s="9">
        <f>SUMIFS('Lançamentos'!$L$2:$L$5010,'Lançamentos'!$A$2:$A$5010,"Uso e consumo",'Lançamentos'!$H$2:$H$5010,$A59,'Lançamentos'!$C$2:$C$5010,D$20)</f>
        <v/>
      </c>
      <c r="E59" s="9">
        <f>SUMIFS('Lançamentos'!$L$2:$L$5010,'Lançamentos'!$A$2:$A$5010,"Uso e consumo",'Lançamentos'!$H$2:$H$5010,$A59,'Lançamentos'!$C$2:$C$5010,E$20)</f>
        <v/>
      </c>
      <c r="F59" s="9">
        <f>SUMIFS('Lançamentos'!$L$2:$L$5010,'Lançamentos'!$A$2:$A$5010,"Uso e consumo",'Lançamentos'!$H$2:$H$5010,$A59,'Lançamentos'!$C$2:$C$5010,F$20)</f>
        <v/>
      </c>
      <c r="G59" s="9">
        <f>SUMIFS('Lançamentos'!$L$2:$L$5010,'Lançamentos'!$A$2:$A$5010,"Uso e consumo",'Lançamentos'!$H$2:$H$5010,$A59,'Lançamentos'!$C$2:$C$5010,G$20)</f>
        <v/>
      </c>
      <c r="H59" s="9">
        <f>SUMIFS('Lançamentos'!$L$2:$L$5010,'Lançamentos'!$A$2:$A$5010,"Uso e consumo",'Lançamentos'!$H$2:$H$5010,$A59,'Lançamentos'!$C$2:$C$5010,H$20)</f>
        <v/>
      </c>
      <c r="I59" s="9">
        <f>SUMIFS('Lançamentos'!$L$2:$L$5010,'Lançamentos'!$A$2:$A$5010,"Uso e consumo",'Lançamentos'!$H$2:$H$5010,$A59,'Lançamentos'!$C$2:$C$5010,I$20)</f>
        <v/>
      </c>
      <c r="J59" s="9">
        <f>SUMIFS('Lançamentos'!$L$2:$L$5010,'Lançamentos'!$A$2:$A$5010,"Uso e consumo",'Lançamentos'!$H$2:$H$5010,$A59,'Lançamentos'!$C$2:$C$5010,J$20)</f>
        <v/>
      </c>
      <c r="K59" s="9">
        <f>SUM(B59:J59)</f>
        <v/>
      </c>
      <c r="L59" s="10">
        <f>K59/K$101</f>
        <v/>
      </c>
      <c r="M59" s="9">
        <f>SUMIFS('Lançamentos'!$L$2:$L$5010,'Lançamentos'!$A$2:$A$5010,"Uso e consumo",'Lançamentos'!$H$2:$H$5010,$A59,'Lançamentos'!$C$2:$C$5010,"Antes de 2026")</f>
        <v/>
      </c>
      <c r="N59" s="9">
        <f>SUMIFS('Lançamentos'!$J$2:$J$5010,'Lançamentos'!$A$2:$A$5010,"Uso e consumo",'Lançamentos'!$H$2:$H$5010,$A59,'Lançamentos'!$D$2:$D$5010,"Em 2026")</f>
        <v/>
      </c>
      <c r="O59" s="9">
        <f>SUMIFS('Lançamentos'!$K$2:$K$5010,'Lançamentos'!$A$2:$A$5010,"Uso e consumo",'Lançamentos'!$H$2:$H$5010,$A59,'Lançamentos'!$D$2:$D$5010,"Em 2026")</f>
        <v/>
      </c>
      <c r="P59" s="26">
        <f>COUNTIFS('Lançamentos'!$A$2:$A$5010,"Uso e consumo",'Lançamentos'!$H$2:$H$5010,$A59,'Lançamentos'!$D$2:$D$5010,"Em 2026")</f>
        <v/>
      </c>
    </row>
    <row r="60">
      <c r="A60" t="inlineStr">
        <is>
          <t>G5 Comercio de Madeiras Ltda ME</t>
        </is>
      </c>
      <c r="B60" s="9">
        <f>SUMIFS('Lançamentos'!$L$2:$L$5010,'Lançamentos'!$A$2:$A$5010,"Uso e consumo",'Lançamentos'!$H$2:$H$5010,$A60,'Lançamentos'!$C$2:$C$5010,B$20)</f>
        <v/>
      </c>
      <c r="C60" s="9">
        <f>SUMIFS('Lançamentos'!$L$2:$L$5010,'Lançamentos'!$A$2:$A$5010,"Uso e consumo",'Lançamentos'!$H$2:$H$5010,$A60,'Lançamentos'!$C$2:$C$5010,C$20)</f>
        <v/>
      </c>
      <c r="D60" s="9">
        <f>SUMIFS('Lançamentos'!$L$2:$L$5010,'Lançamentos'!$A$2:$A$5010,"Uso e consumo",'Lançamentos'!$H$2:$H$5010,$A60,'Lançamentos'!$C$2:$C$5010,D$20)</f>
        <v/>
      </c>
      <c r="E60" s="9">
        <f>SUMIFS('Lançamentos'!$L$2:$L$5010,'Lançamentos'!$A$2:$A$5010,"Uso e consumo",'Lançamentos'!$H$2:$H$5010,$A60,'Lançamentos'!$C$2:$C$5010,E$20)</f>
        <v/>
      </c>
      <c r="F60" s="9">
        <f>SUMIFS('Lançamentos'!$L$2:$L$5010,'Lançamentos'!$A$2:$A$5010,"Uso e consumo",'Lançamentos'!$H$2:$H$5010,$A60,'Lançamentos'!$C$2:$C$5010,F$20)</f>
        <v/>
      </c>
      <c r="G60" s="9">
        <f>SUMIFS('Lançamentos'!$L$2:$L$5010,'Lançamentos'!$A$2:$A$5010,"Uso e consumo",'Lançamentos'!$H$2:$H$5010,$A60,'Lançamentos'!$C$2:$C$5010,G$20)</f>
        <v/>
      </c>
      <c r="H60" s="9">
        <f>SUMIFS('Lançamentos'!$L$2:$L$5010,'Lançamentos'!$A$2:$A$5010,"Uso e consumo",'Lançamentos'!$H$2:$H$5010,$A60,'Lançamentos'!$C$2:$C$5010,H$20)</f>
        <v/>
      </c>
      <c r="I60" s="9">
        <f>SUMIFS('Lançamentos'!$L$2:$L$5010,'Lançamentos'!$A$2:$A$5010,"Uso e consumo",'Lançamentos'!$H$2:$H$5010,$A60,'Lançamentos'!$C$2:$C$5010,I$20)</f>
        <v/>
      </c>
      <c r="J60" s="9">
        <f>SUMIFS('Lançamentos'!$L$2:$L$5010,'Lançamentos'!$A$2:$A$5010,"Uso e consumo",'Lançamentos'!$H$2:$H$5010,$A60,'Lançamentos'!$C$2:$C$5010,J$20)</f>
        <v/>
      </c>
      <c r="K60" s="9">
        <f>SUM(B60:J60)</f>
        <v/>
      </c>
      <c r="L60" s="10">
        <f>K60/K$101</f>
        <v/>
      </c>
      <c r="M60" s="9">
        <f>SUMIFS('Lançamentos'!$L$2:$L$5010,'Lançamentos'!$A$2:$A$5010,"Uso e consumo",'Lançamentos'!$H$2:$H$5010,$A60,'Lançamentos'!$C$2:$C$5010,"Antes de 2026")</f>
        <v/>
      </c>
      <c r="N60" s="9">
        <f>SUMIFS('Lançamentos'!$J$2:$J$5010,'Lançamentos'!$A$2:$A$5010,"Uso e consumo",'Lançamentos'!$H$2:$H$5010,$A60,'Lançamentos'!$D$2:$D$5010,"Em 2026")</f>
        <v/>
      </c>
      <c r="O60" s="9">
        <f>SUMIFS('Lançamentos'!$K$2:$K$5010,'Lançamentos'!$A$2:$A$5010,"Uso e consumo",'Lançamentos'!$H$2:$H$5010,$A60,'Lançamentos'!$D$2:$D$5010,"Em 2026")</f>
        <v/>
      </c>
      <c r="P60" s="26">
        <f>COUNTIFS('Lançamentos'!$A$2:$A$5010,"Uso e consumo",'Lançamentos'!$H$2:$H$5010,$A60,'Lançamentos'!$D$2:$D$5010,"Em 2026")</f>
        <v/>
      </c>
    </row>
    <row r="61">
      <c r="A61" t="inlineStr">
        <is>
          <t>MARCUS VINICIUS CORDEIRO DE MEDEIROS 19449826803</t>
        </is>
      </c>
      <c r="B61" s="9">
        <f>SUMIFS('Lançamentos'!$L$2:$L$5010,'Lançamentos'!$A$2:$A$5010,"Uso e consumo",'Lançamentos'!$H$2:$H$5010,$A61,'Lançamentos'!$C$2:$C$5010,B$20)</f>
        <v/>
      </c>
      <c r="C61" s="9">
        <f>SUMIFS('Lançamentos'!$L$2:$L$5010,'Lançamentos'!$A$2:$A$5010,"Uso e consumo",'Lançamentos'!$H$2:$H$5010,$A61,'Lançamentos'!$C$2:$C$5010,C$20)</f>
        <v/>
      </c>
      <c r="D61" s="9">
        <f>SUMIFS('Lançamentos'!$L$2:$L$5010,'Lançamentos'!$A$2:$A$5010,"Uso e consumo",'Lançamentos'!$H$2:$H$5010,$A61,'Lançamentos'!$C$2:$C$5010,D$20)</f>
        <v/>
      </c>
      <c r="E61" s="9">
        <f>SUMIFS('Lançamentos'!$L$2:$L$5010,'Lançamentos'!$A$2:$A$5010,"Uso e consumo",'Lançamentos'!$H$2:$H$5010,$A61,'Lançamentos'!$C$2:$C$5010,E$20)</f>
        <v/>
      </c>
      <c r="F61" s="9">
        <f>SUMIFS('Lançamentos'!$L$2:$L$5010,'Lançamentos'!$A$2:$A$5010,"Uso e consumo",'Lançamentos'!$H$2:$H$5010,$A61,'Lançamentos'!$C$2:$C$5010,F$20)</f>
        <v/>
      </c>
      <c r="G61" s="9">
        <f>SUMIFS('Lançamentos'!$L$2:$L$5010,'Lançamentos'!$A$2:$A$5010,"Uso e consumo",'Lançamentos'!$H$2:$H$5010,$A61,'Lançamentos'!$C$2:$C$5010,G$20)</f>
        <v/>
      </c>
      <c r="H61" s="9">
        <f>SUMIFS('Lançamentos'!$L$2:$L$5010,'Lançamentos'!$A$2:$A$5010,"Uso e consumo",'Lançamentos'!$H$2:$H$5010,$A61,'Lançamentos'!$C$2:$C$5010,H$20)</f>
        <v/>
      </c>
      <c r="I61" s="9">
        <f>SUMIFS('Lançamentos'!$L$2:$L$5010,'Lançamentos'!$A$2:$A$5010,"Uso e consumo",'Lançamentos'!$H$2:$H$5010,$A61,'Lançamentos'!$C$2:$C$5010,I$20)</f>
        <v/>
      </c>
      <c r="J61" s="9">
        <f>SUMIFS('Lançamentos'!$L$2:$L$5010,'Lançamentos'!$A$2:$A$5010,"Uso e consumo",'Lançamentos'!$H$2:$H$5010,$A61,'Lançamentos'!$C$2:$C$5010,J$20)</f>
        <v/>
      </c>
      <c r="K61" s="9">
        <f>SUM(B61:J61)</f>
        <v/>
      </c>
      <c r="L61" s="10">
        <f>K61/K$101</f>
        <v/>
      </c>
      <c r="M61" s="9">
        <f>SUMIFS('Lançamentos'!$L$2:$L$5010,'Lançamentos'!$A$2:$A$5010,"Uso e consumo",'Lançamentos'!$H$2:$H$5010,$A61,'Lançamentos'!$C$2:$C$5010,"Antes de 2026")</f>
        <v/>
      </c>
      <c r="N61" s="9">
        <f>SUMIFS('Lançamentos'!$J$2:$J$5010,'Lançamentos'!$A$2:$A$5010,"Uso e consumo",'Lançamentos'!$H$2:$H$5010,$A61,'Lançamentos'!$D$2:$D$5010,"Em 2026")</f>
        <v/>
      </c>
      <c r="O61" s="9">
        <f>SUMIFS('Lançamentos'!$K$2:$K$5010,'Lançamentos'!$A$2:$A$5010,"Uso e consumo",'Lançamentos'!$H$2:$H$5010,$A61,'Lançamentos'!$D$2:$D$5010,"Em 2026")</f>
        <v/>
      </c>
      <c r="P61" s="26">
        <f>COUNTIFS('Lançamentos'!$A$2:$A$5010,"Uso e consumo",'Lançamentos'!$H$2:$H$5010,$A61,'Lançamentos'!$D$2:$D$5010,"Em 2026")</f>
        <v/>
      </c>
    </row>
    <row r="62">
      <c r="A62" t="inlineStr">
        <is>
          <t>ABSHOP COMERCIO LTDA</t>
        </is>
      </c>
      <c r="B62" s="9">
        <f>SUMIFS('Lançamentos'!$L$2:$L$5010,'Lançamentos'!$A$2:$A$5010,"Uso e consumo",'Lançamentos'!$H$2:$H$5010,$A62,'Lançamentos'!$C$2:$C$5010,B$20)</f>
        <v/>
      </c>
      <c r="C62" s="9">
        <f>SUMIFS('Lançamentos'!$L$2:$L$5010,'Lançamentos'!$A$2:$A$5010,"Uso e consumo",'Lançamentos'!$H$2:$H$5010,$A62,'Lançamentos'!$C$2:$C$5010,C$20)</f>
        <v/>
      </c>
      <c r="D62" s="9">
        <f>SUMIFS('Lançamentos'!$L$2:$L$5010,'Lançamentos'!$A$2:$A$5010,"Uso e consumo",'Lançamentos'!$H$2:$H$5010,$A62,'Lançamentos'!$C$2:$C$5010,D$20)</f>
        <v/>
      </c>
      <c r="E62" s="9">
        <f>SUMIFS('Lançamentos'!$L$2:$L$5010,'Lançamentos'!$A$2:$A$5010,"Uso e consumo",'Lançamentos'!$H$2:$H$5010,$A62,'Lançamentos'!$C$2:$C$5010,E$20)</f>
        <v/>
      </c>
      <c r="F62" s="9">
        <f>SUMIFS('Lançamentos'!$L$2:$L$5010,'Lançamentos'!$A$2:$A$5010,"Uso e consumo",'Lançamentos'!$H$2:$H$5010,$A62,'Lançamentos'!$C$2:$C$5010,F$20)</f>
        <v/>
      </c>
      <c r="G62" s="9">
        <f>SUMIFS('Lançamentos'!$L$2:$L$5010,'Lançamentos'!$A$2:$A$5010,"Uso e consumo",'Lançamentos'!$H$2:$H$5010,$A62,'Lançamentos'!$C$2:$C$5010,G$20)</f>
        <v/>
      </c>
      <c r="H62" s="9">
        <f>SUMIFS('Lançamentos'!$L$2:$L$5010,'Lançamentos'!$A$2:$A$5010,"Uso e consumo",'Lançamentos'!$H$2:$H$5010,$A62,'Lançamentos'!$C$2:$C$5010,H$20)</f>
        <v/>
      </c>
      <c r="I62" s="9">
        <f>SUMIFS('Lançamentos'!$L$2:$L$5010,'Lançamentos'!$A$2:$A$5010,"Uso e consumo",'Lançamentos'!$H$2:$H$5010,$A62,'Lançamentos'!$C$2:$C$5010,I$20)</f>
        <v/>
      </c>
      <c r="J62" s="9">
        <f>SUMIFS('Lançamentos'!$L$2:$L$5010,'Lançamentos'!$A$2:$A$5010,"Uso e consumo",'Lançamentos'!$H$2:$H$5010,$A62,'Lançamentos'!$C$2:$C$5010,J$20)</f>
        <v/>
      </c>
      <c r="K62" s="9">
        <f>SUM(B62:J62)</f>
        <v/>
      </c>
      <c r="L62" s="10">
        <f>K62/K$101</f>
        <v/>
      </c>
      <c r="M62" s="9">
        <f>SUMIFS('Lançamentos'!$L$2:$L$5010,'Lançamentos'!$A$2:$A$5010,"Uso e consumo",'Lançamentos'!$H$2:$H$5010,$A62,'Lançamentos'!$C$2:$C$5010,"Antes de 2026")</f>
        <v/>
      </c>
      <c r="N62" s="9">
        <f>SUMIFS('Lançamentos'!$J$2:$J$5010,'Lançamentos'!$A$2:$A$5010,"Uso e consumo",'Lançamentos'!$H$2:$H$5010,$A62,'Lançamentos'!$D$2:$D$5010,"Em 2026")</f>
        <v/>
      </c>
      <c r="O62" s="9">
        <f>SUMIFS('Lançamentos'!$K$2:$K$5010,'Lançamentos'!$A$2:$A$5010,"Uso e consumo",'Lançamentos'!$H$2:$H$5010,$A62,'Lançamentos'!$D$2:$D$5010,"Em 2026")</f>
        <v/>
      </c>
      <c r="P62" s="26">
        <f>COUNTIFS('Lançamentos'!$A$2:$A$5010,"Uso e consumo",'Lançamentos'!$H$2:$H$5010,$A62,'Lançamentos'!$D$2:$D$5010,"Em 2026")</f>
        <v/>
      </c>
    </row>
    <row r="63">
      <c r="A63" t="inlineStr">
        <is>
          <t>INFORPOINT SERVICOS E COMERCIO EM TECNOLOGIA LTDA</t>
        </is>
      </c>
      <c r="B63" s="9">
        <f>SUMIFS('Lançamentos'!$L$2:$L$5010,'Lançamentos'!$A$2:$A$5010,"Uso e consumo",'Lançamentos'!$H$2:$H$5010,$A63,'Lançamentos'!$C$2:$C$5010,B$20)</f>
        <v/>
      </c>
      <c r="C63" s="9">
        <f>SUMIFS('Lançamentos'!$L$2:$L$5010,'Lançamentos'!$A$2:$A$5010,"Uso e consumo",'Lançamentos'!$H$2:$H$5010,$A63,'Lançamentos'!$C$2:$C$5010,C$20)</f>
        <v/>
      </c>
      <c r="D63" s="9">
        <f>SUMIFS('Lançamentos'!$L$2:$L$5010,'Lançamentos'!$A$2:$A$5010,"Uso e consumo",'Lançamentos'!$H$2:$H$5010,$A63,'Lançamentos'!$C$2:$C$5010,D$20)</f>
        <v/>
      </c>
      <c r="E63" s="9">
        <f>SUMIFS('Lançamentos'!$L$2:$L$5010,'Lançamentos'!$A$2:$A$5010,"Uso e consumo",'Lançamentos'!$H$2:$H$5010,$A63,'Lançamentos'!$C$2:$C$5010,E$20)</f>
        <v/>
      </c>
      <c r="F63" s="9">
        <f>SUMIFS('Lançamentos'!$L$2:$L$5010,'Lançamentos'!$A$2:$A$5010,"Uso e consumo",'Lançamentos'!$H$2:$H$5010,$A63,'Lançamentos'!$C$2:$C$5010,F$20)</f>
        <v/>
      </c>
      <c r="G63" s="9">
        <f>SUMIFS('Lançamentos'!$L$2:$L$5010,'Lançamentos'!$A$2:$A$5010,"Uso e consumo",'Lançamentos'!$H$2:$H$5010,$A63,'Lançamentos'!$C$2:$C$5010,G$20)</f>
        <v/>
      </c>
      <c r="H63" s="9">
        <f>SUMIFS('Lançamentos'!$L$2:$L$5010,'Lançamentos'!$A$2:$A$5010,"Uso e consumo",'Lançamentos'!$H$2:$H$5010,$A63,'Lançamentos'!$C$2:$C$5010,H$20)</f>
        <v/>
      </c>
      <c r="I63" s="9">
        <f>SUMIFS('Lançamentos'!$L$2:$L$5010,'Lançamentos'!$A$2:$A$5010,"Uso e consumo",'Lançamentos'!$H$2:$H$5010,$A63,'Lançamentos'!$C$2:$C$5010,I$20)</f>
        <v/>
      </c>
      <c r="J63" s="9">
        <f>SUMIFS('Lançamentos'!$L$2:$L$5010,'Lançamentos'!$A$2:$A$5010,"Uso e consumo",'Lançamentos'!$H$2:$H$5010,$A63,'Lançamentos'!$C$2:$C$5010,J$20)</f>
        <v/>
      </c>
      <c r="K63" s="9">
        <f>SUM(B63:J63)</f>
        <v/>
      </c>
      <c r="L63" s="10">
        <f>K63/K$101</f>
        <v/>
      </c>
      <c r="M63" s="9">
        <f>SUMIFS('Lançamentos'!$L$2:$L$5010,'Lançamentos'!$A$2:$A$5010,"Uso e consumo",'Lançamentos'!$H$2:$H$5010,$A63,'Lançamentos'!$C$2:$C$5010,"Antes de 2026")</f>
        <v/>
      </c>
      <c r="N63" s="9">
        <f>SUMIFS('Lançamentos'!$J$2:$J$5010,'Lançamentos'!$A$2:$A$5010,"Uso e consumo",'Lançamentos'!$H$2:$H$5010,$A63,'Lançamentos'!$D$2:$D$5010,"Em 2026")</f>
        <v/>
      </c>
      <c r="O63" s="9">
        <f>SUMIFS('Lançamentos'!$K$2:$K$5010,'Lançamentos'!$A$2:$A$5010,"Uso e consumo",'Lançamentos'!$H$2:$H$5010,$A63,'Lançamentos'!$D$2:$D$5010,"Em 2026")</f>
        <v/>
      </c>
      <c r="P63" s="26">
        <f>COUNTIFS('Lançamentos'!$A$2:$A$5010,"Uso e consumo",'Lançamentos'!$H$2:$H$5010,$A63,'Lançamentos'!$D$2:$D$5010,"Em 2026")</f>
        <v/>
      </c>
    </row>
    <row r="64">
      <c r="A64" t="inlineStr">
        <is>
          <t>NORDIFE MATERIAIS ELETRICOS LTDA</t>
        </is>
      </c>
      <c r="B64" s="9">
        <f>SUMIFS('Lançamentos'!$L$2:$L$5010,'Lançamentos'!$A$2:$A$5010,"Uso e consumo",'Lançamentos'!$H$2:$H$5010,$A64,'Lançamentos'!$C$2:$C$5010,B$20)</f>
        <v/>
      </c>
      <c r="C64" s="9">
        <f>SUMIFS('Lançamentos'!$L$2:$L$5010,'Lançamentos'!$A$2:$A$5010,"Uso e consumo",'Lançamentos'!$H$2:$H$5010,$A64,'Lançamentos'!$C$2:$C$5010,C$20)</f>
        <v/>
      </c>
      <c r="D64" s="9">
        <f>SUMIFS('Lançamentos'!$L$2:$L$5010,'Lançamentos'!$A$2:$A$5010,"Uso e consumo",'Lançamentos'!$H$2:$H$5010,$A64,'Lançamentos'!$C$2:$C$5010,D$20)</f>
        <v/>
      </c>
      <c r="E64" s="9">
        <f>SUMIFS('Lançamentos'!$L$2:$L$5010,'Lançamentos'!$A$2:$A$5010,"Uso e consumo",'Lançamentos'!$H$2:$H$5010,$A64,'Lançamentos'!$C$2:$C$5010,E$20)</f>
        <v/>
      </c>
      <c r="F64" s="9">
        <f>SUMIFS('Lançamentos'!$L$2:$L$5010,'Lançamentos'!$A$2:$A$5010,"Uso e consumo",'Lançamentos'!$H$2:$H$5010,$A64,'Lançamentos'!$C$2:$C$5010,F$20)</f>
        <v/>
      </c>
      <c r="G64" s="9">
        <f>SUMIFS('Lançamentos'!$L$2:$L$5010,'Lançamentos'!$A$2:$A$5010,"Uso e consumo",'Lançamentos'!$H$2:$H$5010,$A64,'Lançamentos'!$C$2:$C$5010,G$20)</f>
        <v/>
      </c>
      <c r="H64" s="9">
        <f>SUMIFS('Lançamentos'!$L$2:$L$5010,'Lançamentos'!$A$2:$A$5010,"Uso e consumo",'Lançamentos'!$H$2:$H$5010,$A64,'Lançamentos'!$C$2:$C$5010,H$20)</f>
        <v/>
      </c>
      <c r="I64" s="9">
        <f>SUMIFS('Lançamentos'!$L$2:$L$5010,'Lançamentos'!$A$2:$A$5010,"Uso e consumo",'Lançamentos'!$H$2:$H$5010,$A64,'Lançamentos'!$C$2:$C$5010,I$20)</f>
        <v/>
      </c>
      <c r="J64" s="9">
        <f>SUMIFS('Lançamentos'!$L$2:$L$5010,'Lançamentos'!$A$2:$A$5010,"Uso e consumo",'Lançamentos'!$H$2:$H$5010,$A64,'Lançamentos'!$C$2:$C$5010,J$20)</f>
        <v/>
      </c>
      <c r="K64" s="9">
        <f>SUM(B64:J64)</f>
        <v/>
      </c>
      <c r="L64" s="10">
        <f>K64/K$101</f>
        <v/>
      </c>
      <c r="M64" s="9">
        <f>SUMIFS('Lançamentos'!$L$2:$L$5010,'Lançamentos'!$A$2:$A$5010,"Uso e consumo",'Lançamentos'!$H$2:$H$5010,$A64,'Lançamentos'!$C$2:$C$5010,"Antes de 2026")</f>
        <v/>
      </c>
      <c r="N64" s="9">
        <f>SUMIFS('Lançamentos'!$J$2:$J$5010,'Lançamentos'!$A$2:$A$5010,"Uso e consumo",'Lançamentos'!$H$2:$H$5010,$A64,'Lançamentos'!$D$2:$D$5010,"Em 2026")</f>
        <v/>
      </c>
      <c r="O64" s="9">
        <f>SUMIFS('Lançamentos'!$K$2:$K$5010,'Lançamentos'!$A$2:$A$5010,"Uso e consumo",'Lançamentos'!$H$2:$H$5010,$A64,'Lançamentos'!$D$2:$D$5010,"Em 2026")</f>
        <v/>
      </c>
      <c r="P64" s="26">
        <f>COUNTIFS('Lançamentos'!$A$2:$A$5010,"Uso e consumo",'Lançamentos'!$H$2:$H$5010,$A64,'Lançamentos'!$D$2:$D$5010,"Em 2026")</f>
        <v/>
      </c>
    </row>
    <row r="65">
      <c r="A65" t="inlineStr">
        <is>
          <t>Ebazar.com.br. ltda</t>
        </is>
      </c>
      <c r="B65" s="9">
        <f>SUMIFS('Lançamentos'!$L$2:$L$5010,'Lançamentos'!$A$2:$A$5010,"Uso e consumo",'Lançamentos'!$H$2:$H$5010,$A65,'Lançamentos'!$C$2:$C$5010,B$20)</f>
        <v/>
      </c>
      <c r="C65" s="9">
        <f>SUMIFS('Lançamentos'!$L$2:$L$5010,'Lançamentos'!$A$2:$A$5010,"Uso e consumo",'Lançamentos'!$H$2:$H$5010,$A65,'Lançamentos'!$C$2:$C$5010,C$20)</f>
        <v/>
      </c>
      <c r="D65" s="9">
        <f>SUMIFS('Lançamentos'!$L$2:$L$5010,'Lançamentos'!$A$2:$A$5010,"Uso e consumo",'Lançamentos'!$H$2:$H$5010,$A65,'Lançamentos'!$C$2:$C$5010,D$20)</f>
        <v/>
      </c>
      <c r="E65" s="9">
        <f>SUMIFS('Lançamentos'!$L$2:$L$5010,'Lançamentos'!$A$2:$A$5010,"Uso e consumo",'Lançamentos'!$H$2:$H$5010,$A65,'Lançamentos'!$C$2:$C$5010,E$20)</f>
        <v/>
      </c>
      <c r="F65" s="9">
        <f>SUMIFS('Lançamentos'!$L$2:$L$5010,'Lançamentos'!$A$2:$A$5010,"Uso e consumo",'Lançamentos'!$H$2:$H$5010,$A65,'Lançamentos'!$C$2:$C$5010,F$20)</f>
        <v/>
      </c>
      <c r="G65" s="9">
        <f>SUMIFS('Lançamentos'!$L$2:$L$5010,'Lançamentos'!$A$2:$A$5010,"Uso e consumo",'Lançamentos'!$H$2:$H$5010,$A65,'Lançamentos'!$C$2:$C$5010,G$20)</f>
        <v/>
      </c>
      <c r="H65" s="9">
        <f>SUMIFS('Lançamentos'!$L$2:$L$5010,'Lançamentos'!$A$2:$A$5010,"Uso e consumo",'Lançamentos'!$H$2:$H$5010,$A65,'Lançamentos'!$C$2:$C$5010,H$20)</f>
        <v/>
      </c>
      <c r="I65" s="9">
        <f>SUMIFS('Lançamentos'!$L$2:$L$5010,'Lançamentos'!$A$2:$A$5010,"Uso e consumo",'Lançamentos'!$H$2:$H$5010,$A65,'Lançamentos'!$C$2:$C$5010,I$20)</f>
        <v/>
      </c>
      <c r="J65" s="9">
        <f>SUMIFS('Lançamentos'!$L$2:$L$5010,'Lançamentos'!$A$2:$A$5010,"Uso e consumo",'Lançamentos'!$H$2:$H$5010,$A65,'Lançamentos'!$C$2:$C$5010,J$20)</f>
        <v/>
      </c>
      <c r="K65" s="9">
        <f>SUM(B65:J65)</f>
        <v/>
      </c>
      <c r="L65" s="10">
        <f>K65/K$101</f>
        <v/>
      </c>
      <c r="M65" s="9">
        <f>SUMIFS('Lançamentos'!$L$2:$L$5010,'Lançamentos'!$A$2:$A$5010,"Uso e consumo",'Lançamentos'!$H$2:$H$5010,$A65,'Lançamentos'!$C$2:$C$5010,"Antes de 2026")</f>
        <v/>
      </c>
      <c r="N65" s="9">
        <f>SUMIFS('Lançamentos'!$J$2:$J$5010,'Lançamentos'!$A$2:$A$5010,"Uso e consumo",'Lançamentos'!$H$2:$H$5010,$A65,'Lançamentos'!$D$2:$D$5010,"Em 2026")</f>
        <v/>
      </c>
      <c r="O65" s="9">
        <f>SUMIFS('Lançamentos'!$K$2:$K$5010,'Lançamentos'!$A$2:$A$5010,"Uso e consumo",'Lançamentos'!$H$2:$H$5010,$A65,'Lançamentos'!$D$2:$D$5010,"Em 2026")</f>
        <v/>
      </c>
      <c r="P65" s="26">
        <f>COUNTIFS('Lançamentos'!$A$2:$A$5010,"Uso e consumo",'Lançamentos'!$H$2:$H$5010,$A65,'Lançamentos'!$D$2:$D$5010,"Em 2026")</f>
        <v/>
      </c>
    </row>
    <row r="66">
      <c r="A66" t="inlineStr">
        <is>
          <t>REI DOS RELES DISTRIBUIDORA LTDA</t>
        </is>
      </c>
      <c r="B66" s="9">
        <f>SUMIFS('Lançamentos'!$L$2:$L$5010,'Lançamentos'!$A$2:$A$5010,"Uso e consumo",'Lançamentos'!$H$2:$H$5010,$A66,'Lançamentos'!$C$2:$C$5010,B$20)</f>
        <v/>
      </c>
      <c r="C66" s="9">
        <f>SUMIFS('Lançamentos'!$L$2:$L$5010,'Lançamentos'!$A$2:$A$5010,"Uso e consumo",'Lançamentos'!$H$2:$H$5010,$A66,'Lançamentos'!$C$2:$C$5010,C$20)</f>
        <v/>
      </c>
      <c r="D66" s="9">
        <f>SUMIFS('Lançamentos'!$L$2:$L$5010,'Lançamentos'!$A$2:$A$5010,"Uso e consumo",'Lançamentos'!$H$2:$H$5010,$A66,'Lançamentos'!$C$2:$C$5010,D$20)</f>
        <v/>
      </c>
      <c r="E66" s="9">
        <f>SUMIFS('Lançamentos'!$L$2:$L$5010,'Lançamentos'!$A$2:$A$5010,"Uso e consumo",'Lançamentos'!$H$2:$H$5010,$A66,'Lançamentos'!$C$2:$C$5010,E$20)</f>
        <v/>
      </c>
      <c r="F66" s="9">
        <f>SUMIFS('Lançamentos'!$L$2:$L$5010,'Lançamentos'!$A$2:$A$5010,"Uso e consumo",'Lançamentos'!$H$2:$H$5010,$A66,'Lançamentos'!$C$2:$C$5010,F$20)</f>
        <v/>
      </c>
      <c r="G66" s="9">
        <f>SUMIFS('Lançamentos'!$L$2:$L$5010,'Lançamentos'!$A$2:$A$5010,"Uso e consumo",'Lançamentos'!$H$2:$H$5010,$A66,'Lançamentos'!$C$2:$C$5010,G$20)</f>
        <v/>
      </c>
      <c r="H66" s="9">
        <f>SUMIFS('Lançamentos'!$L$2:$L$5010,'Lançamentos'!$A$2:$A$5010,"Uso e consumo",'Lançamentos'!$H$2:$H$5010,$A66,'Lançamentos'!$C$2:$C$5010,H$20)</f>
        <v/>
      </c>
      <c r="I66" s="9">
        <f>SUMIFS('Lançamentos'!$L$2:$L$5010,'Lançamentos'!$A$2:$A$5010,"Uso e consumo",'Lançamentos'!$H$2:$H$5010,$A66,'Lançamentos'!$C$2:$C$5010,I$20)</f>
        <v/>
      </c>
      <c r="J66" s="9">
        <f>SUMIFS('Lançamentos'!$L$2:$L$5010,'Lançamentos'!$A$2:$A$5010,"Uso e consumo",'Lançamentos'!$H$2:$H$5010,$A66,'Lançamentos'!$C$2:$C$5010,J$20)</f>
        <v/>
      </c>
      <c r="K66" s="9">
        <f>SUM(B66:J66)</f>
        <v/>
      </c>
      <c r="L66" s="10">
        <f>K66/K$101</f>
        <v/>
      </c>
      <c r="M66" s="9">
        <f>SUMIFS('Lançamentos'!$L$2:$L$5010,'Lançamentos'!$A$2:$A$5010,"Uso e consumo",'Lançamentos'!$H$2:$H$5010,$A66,'Lançamentos'!$C$2:$C$5010,"Antes de 2026")</f>
        <v/>
      </c>
      <c r="N66" s="9">
        <f>SUMIFS('Lançamentos'!$J$2:$J$5010,'Lançamentos'!$A$2:$A$5010,"Uso e consumo",'Lançamentos'!$H$2:$H$5010,$A66,'Lançamentos'!$D$2:$D$5010,"Em 2026")</f>
        <v/>
      </c>
      <c r="O66" s="9">
        <f>SUMIFS('Lançamentos'!$K$2:$K$5010,'Lançamentos'!$A$2:$A$5010,"Uso e consumo",'Lançamentos'!$H$2:$H$5010,$A66,'Lançamentos'!$D$2:$D$5010,"Em 2026")</f>
        <v/>
      </c>
      <c r="P66" s="26">
        <f>COUNTIFS('Lançamentos'!$A$2:$A$5010,"Uso e consumo",'Lançamentos'!$H$2:$H$5010,$A66,'Lançamentos'!$D$2:$D$5010,"Em 2026")</f>
        <v/>
      </c>
    </row>
    <row r="67">
      <c r="A67" t="inlineStr">
        <is>
          <t>GOLDEN FIX PECAS E SERVICOS LTDA</t>
        </is>
      </c>
      <c r="B67" s="9">
        <f>SUMIFS('Lançamentos'!$L$2:$L$5010,'Lançamentos'!$A$2:$A$5010,"Uso e consumo",'Lançamentos'!$H$2:$H$5010,$A67,'Lançamentos'!$C$2:$C$5010,B$20)</f>
        <v/>
      </c>
      <c r="C67" s="9">
        <f>SUMIFS('Lançamentos'!$L$2:$L$5010,'Lançamentos'!$A$2:$A$5010,"Uso e consumo",'Lançamentos'!$H$2:$H$5010,$A67,'Lançamentos'!$C$2:$C$5010,C$20)</f>
        <v/>
      </c>
      <c r="D67" s="9">
        <f>SUMIFS('Lançamentos'!$L$2:$L$5010,'Lançamentos'!$A$2:$A$5010,"Uso e consumo",'Lançamentos'!$H$2:$H$5010,$A67,'Lançamentos'!$C$2:$C$5010,D$20)</f>
        <v/>
      </c>
      <c r="E67" s="9">
        <f>SUMIFS('Lançamentos'!$L$2:$L$5010,'Lançamentos'!$A$2:$A$5010,"Uso e consumo",'Lançamentos'!$H$2:$H$5010,$A67,'Lançamentos'!$C$2:$C$5010,E$20)</f>
        <v/>
      </c>
      <c r="F67" s="9">
        <f>SUMIFS('Lançamentos'!$L$2:$L$5010,'Lançamentos'!$A$2:$A$5010,"Uso e consumo",'Lançamentos'!$H$2:$H$5010,$A67,'Lançamentos'!$C$2:$C$5010,F$20)</f>
        <v/>
      </c>
      <c r="G67" s="9">
        <f>SUMIFS('Lançamentos'!$L$2:$L$5010,'Lançamentos'!$A$2:$A$5010,"Uso e consumo",'Lançamentos'!$H$2:$H$5010,$A67,'Lançamentos'!$C$2:$C$5010,G$20)</f>
        <v/>
      </c>
      <c r="H67" s="9">
        <f>SUMIFS('Lançamentos'!$L$2:$L$5010,'Lançamentos'!$A$2:$A$5010,"Uso e consumo",'Lançamentos'!$H$2:$H$5010,$A67,'Lançamentos'!$C$2:$C$5010,H$20)</f>
        <v/>
      </c>
      <c r="I67" s="9">
        <f>SUMIFS('Lançamentos'!$L$2:$L$5010,'Lançamentos'!$A$2:$A$5010,"Uso e consumo",'Lançamentos'!$H$2:$H$5010,$A67,'Lançamentos'!$C$2:$C$5010,I$20)</f>
        <v/>
      </c>
      <c r="J67" s="9">
        <f>SUMIFS('Lançamentos'!$L$2:$L$5010,'Lançamentos'!$A$2:$A$5010,"Uso e consumo",'Lançamentos'!$H$2:$H$5010,$A67,'Lançamentos'!$C$2:$C$5010,J$20)</f>
        <v/>
      </c>
      <c r="K67" s="9">
        <f>SUM(B67:J67)</f>
        <v/>
      </c>
      <c r="L67" s="10">
        <f>K67/K$101</f>
        <v/>
      </c>
      <c r="M67" s="9">
        <f>SUMIFS('Lançamentos'!$L$2:$L$5010,'Lançamentos'!$A$2:$A$5010,"Uso e consumo",'Lançamentos'!$H$2:$H$5010,$A67,'Lançamentos'!$C$2:$C$5010,"Antes de 2026")</f>
        <v/>
      </c>
      <c r="N67" s="9">
        <f>SUMIFS('Lançamentos'!$J$2:$J$5010,'Lançamentos'!$A$2:$A$5010,"Uso e consumo",'Lançamentos'!$H$2:$H$5010,$A67,'Lançamentos'!$D$2:$D$5010,"Em 2026")</f>
        <v/>
      </c>
      <c r="O67" s="9">
        <f>SUMIFS('Lançamentos'!$K$2:$K$5010,'Lançamentos'!$A$2:$A$5010,"Uso e consumo",'Lançamentos'!$H$2:$H$5010,$A67,'Lançamentos'!$D$2:$D$5010,"Em 2026")</f>
        <v/>
      </c>
      <c r="P67" s="26">
        <f>COUNTIFS('Lançamentos'!$A$2:$A$5010,"Uso e consumo",'Lançamentos'!$H$2:$H$5010,$A67,'Lançamentos'!$D$2:$D$5010,"Em 2026")</f>
        <v/>
      </c>
    </row>
    <row r="68">
      <c r="A68" t="inlineStr">
        <is>
          <t>WILLAMS SALES DOS SANTOS</t>
        </is>
      </c>
      <c r="B68" s="9">
        <f>SUMIFS('Lançamentos'!$L$2:$L$5010,'Lançamentos'!$A$2:$A$5010,"Uso e consumo",'Lançamentos'!$H$2:$H$5010,$A68,'Lançamentos'!$C$2:$C$5010,B$20)</f>
        <v/>
      </c>
      <c r="C68" s="9">
        <f>SUMIFS('Lançamentos'!$L$2:$L$5010,'Lançamentos'!$A$2:$A$5010,"Uso e consumo",'Lançamentos'!$H$2:$H$5010,$A68,'Lançamentos'!$C$2:$C$5010,C$20)</f>
        <v/>
      </c>
      <c r="D68" s="9">
        <f>SUMIFS('Lançamentos'!$L$2:$L$5010,'Lançamentos'!$A$2:$A$5010,"Uso e consumo",'Lançamentos'!$H$2:$H$5010,$A68,'Lançamentos'!$C$2:$C$5010,D$20)</f>
        <v/>
      </c>
      <c r="E68" s="9">
        <f>SUMIFS('Lançamentos'!$L$2:$L$5010,'Lançamentos'!$A$2:$A$5010,"Uso e consumo",'Lançamentos'!$H$2:$H$5010,$A68,'Lançamentos'!$C$2:$C$5010,E$20)</f>
        <v/>
      </c>
      <c r="F68" s="9">
        <f>SUMIFS('Lançamentos'!$L$2:$L$5010,'Lançamentos'!$A$2:$A$5010,"Uso e consumo",'Lançamentos'!$H$2:$H$5010,$A68,'Lançamentos'!$C$2:$C$5010,F$20)</f>
        <v/>
      </c>
      <c r="G68" s="9">
        <f>SUMIFS('Lançamentos'!$L$2:$L$5010,'Lançamentos'!$A$2:$A$5010,"Uso e consumo",'Lançamentos'!$H$2:$H$5010,$A68,'Lançamentos'!$C$2:$C$5010,G$20)</f>
        <v/>
      </c>
      <c r="H68" s="9">
        <f>SUMIFS('Lançamentos'!$L$2:$L$5010,'Lançamentos'!$A$2:$A$5010,"Uso e consumo",'Lançamentos'!$H$2:$H$5010,$A68,'Lançamentos'!$C$2:$C$5010,H$20)</f>
        <v/>
      </c>
      <c r="I68" s="9">
        <f>SUMIFS('Lançamentos'!$L$2:$L$5010,'Lançamentos'!$A$2:$A$5010,"Uso e consumo",'Lançamentos'!$H$2:$H$5010,$A68,'Lançamentos'!$C$2:$C$5010,I$20)</f>
        <v/>
      </c>
      <c r="J68" s="9">
        <f>SUMIFS('Lançamentos'!$L$2:$L$5010,'Lançamentos'!$A$2:$A$5010,"Uso e consumo",'Lançamentos'!$H$2:$H$5010,$A68,'Lançamentos'!$C$2:$C$5010,J$20)</f>
        <v/>
      </c>
      <c r="K68" s="9">
        <f>SUM(B68:J68)</f>
        <v/>
      </c>
      <c r="L68" s="10">
        <f>K68/K$101</f>
        <v/>
      </c>
      <c r="M68" s="9">
        <f>SUMIFS('Lançamentos'!$L$2:$L$5010,'Lançamentos'!$A$2:$A$5010,"Uso e consumo",'Lançamentos'!$H$2:$H$5010,$A68,'Lançamentos'!$C$2:$C$5010,"Antes de 2026")</f>
        <v/>
      </c>
      <c r="N68" s="9">
        <f>SUMIFS('Lançamentos'!$J$2:$J$5010,'Lançamentos'!$A$2:$A$5010,"Uso e consumo",'Lançamentos'!$H$2:$H$5010,$A68,'Lançamentos'!$D$2:$D$5010,"Em 2026")</f>
        <v/>
      </c>
      <c r="O68" s="9">
        <f>SUMIFS('Lançamentos'!$K$2:$K$5010,'Lançamentos'!$A$2:$A$5010,"Uso e consumo",'Lançamentos'!$H$2:$H$5010,$A68,'Lançamentos'!$D$2:$D$5010,"Em 2026")</f>
        <v/>
      </c>
      <c r="P68" s="26">
        <f>COUNTIFS('Lançamentos'!$A$2:$A$5010,"Uso e consumo",'Lançamentos'!$H$2:$H$5010,$A68,'Lançamentos'!$D$2:$D$5010,"Em 2026")</f>
        <v/>
      </c>
    </row>
    <row r="69">
      <c r="A69" t="inlineStr">
        <is>
          <t>COSMETICOS ALLIM LTDA</t>
        </is>
      </c>
      <c r="B69" s="9">
        <f>SUMIFS('Lançamentos'!$L$2:$L$5010,'Lançamentos'!$A$2:$A$5010,"Uso e consumo",'Lançamentos'!$H$2:$H$5010,$A69,'Lançamentos'!$C$2:$C$5010,B$20)</f>
        <v/>
      </c>
      <c r="C69" s="9">
        <f>SUMIFS('Lançamentos'!$L$2:$L$5010,'Lançamentos'!$A$2:$A$5010,"Uso e consumo",'Lançamentos'!$H$2:$H$5010,$A69,'Lançamentos'!$C$2:$C$5010,C$20)</f>
        <v/>
      </c>
      <c r="D69" s="9">
        <f>SUMIFS('Lançamentos'!$L$2:$L$5010,'Lançamentos'!$A$2:$A$5010,"Uso e consumo",'Lançamentos'!$H$2:$H$5010,$A69,'Lançamentos'!$C$2:$C$5010,D$20)</f>
        <v/>
      </c>
      <c r="E69" s="9">
        <f>SUMIFS('Lançamentos'!$L$2:$L$5010,'Lançamentos'!$A$2:$A$5010,"Uso e consumo",'Lançamentos'!$H$2:$H$5010,$A69,'Lançamentos'!$C$2:$C$5010,E$20)</f>
        <v/>
      </c>
      <c r="F69" s="9">
        <f>SUMIFS('Lançamentos'!$L$2:$L$5010,'Lançamentos'!$A$2:$A$5010,"Uso e consumo",'Lançamentos'!$H$2:$H$5010,$A69,'Lançamentos'!$C$2:$C$5010,F$20)</f>
        <v/>
      </c>
      <c r="G69" s="9">
        <f>SUMIFS('Lançamentos'!$L$2:$L$5010,'Lançamentos'!$A$2:$A$5010,"Uso e consumo",'Lançamentos'!$H$2:$H$5010,$A69,'Lançamentos'!$C$2:$C$5010,G$20)</f>
        <v/>
      </c>
      <c r="H69" s="9">
        <f>SUMIFS('Lançamentos'!$L$2:$L$5010,'Lançamentos'!$A$2:$A$5010,"Uso e consumo",'Lançamentos'!$H$2:$H$5010,$A69,'Lançamentos'!$C$2:$C$5010,H$20)</f>
        <v/>
      </c>
      <c r="I69" s="9">
        <f>SUMIFS('Lançamentos'!$L$2:$L$5010,'Lançamentos'!$A$2:$A$5010,"Uso e consumo",'Lançamentos'!$H$2:$H$5010,$A69,'Lançamentos'!$C$2:$C$5010,I$20)</f>
        <v/>
      </c>
      <c r="J69" s="9">
        <f>SUMIFS('Lançamentos'!$L$2:$L$5010,'Lançamentos'!$A$2:$A$5010,"Uso e consumo",'Lançamentos'!$H$2:$H$5010,$A69,'Lançamentos'!$C$2:$C$5010,J$20)</f>
        <v/>
      </c>
      <c r="K69" s="9">
        <f>SUM(B69:J69)</f>
        <v/>
      </c>
      <c r="L69" s="10">
        <f>K69/K$101</f>
        <v/>
      </c>
      <c r="M69" s="9">
        <f>SUMIFS('Lançamentos'!$L$2:$L$5010,'Lançamentos'!$A$2:$A$5010,"Uso e consumo",'Lançamentos'!$H$2:$H$5010,$A69,'Lançamentos'!$C$2:$C$5010,"Antes de 2026")</f>
        <v/>
      </c>
      <c r="N69" s="9">
        <f>SUMIFS('Lançamentos'!$J$2:$J$5010,'Lançamentos'!$A$2:$A$5010,"Uso e consumo",'Lançamentos'!$H$2:$H$5010,$A69,'Lançamentos'!$D$2:$D$5010,"Em 2026")</f>
        <v/>
      </c>
      <c r="O69" s="9">
        <f>SUMIFS('Lançamentos'!$K$2:$K$5010,'Lançamentos'!$A$2:$A$5010,"Uso e consumo",'Lançamentos'!$H$2:$H$5010,$A69,'Lançamentos'!$D$2:$D$5010,"Em 2026")</f>
        <v/>
      </c>
      <c r="P69" s="26">
        <f>COUNTIFS('Lançamentos'!$A$2:$A$5010,"Uso e consumo",'Lançamentos'!$H$2:$H$5010,$A69,'Lançamentos'!$D$2:$D$5010,"Em 2026")</f>
        <v/>
      </c>
    </row>
    <row r="70">
      <c r="A70" t="inlineStr">
        <is>
          <t>KALUNGA SA</t>
        </is>
      </c>
      <c r="B70" s="9">
        <f>SUMIFS('Lançamentos'!$L$2:$L$5010,'Lançamentos'!$A$2:$A$5010,"Uso e consumo",'Lançamentos'!$H$2:$H$5010,$A70,'Lançamentos'!$C$2:$C$5010,B$20)</f>
        <v/>
      </c>
      <c r="C70" s="9">
        <f>SUMIFS('Lançamentos'!$L$2:$L$5010,'Lançamentos'!$A$2:$A$5010,"Uso e consumo",'Lançamentos'!$H$2:$H$5010,$A70,'Lançamentos'!$C$2:$C$5010,C$20)</f>
        <v/>
      </c>
      <c r="D70" s="9">
        <f>SUMIFS('Lançamentos'!$L$2:$L$5010,'Lançamentos'!$A$2:$A$5010,"Uso e consumo",'Lançamentos'!$H$2:$H$5010,$A70,'Lançamentos'!$C$2:$C$5010,D$20)</f>
        <v/>
      </c>
      <c r="E70" s="9">
        <f>SUMIFS('Lançamentos'!$L$2:$L$5010,'Lançamentos'!$A$2:$A$5010,"Uso e consumo",'Lançamentos'!$H$2:$H$5010,$A70,'Lançamentos'!$C$2:$C$5010,E$20)</f>
        <v/>
      </c>
      <c r="F70" s="9">
        <f>SUMIFS('Lançamentos'!$L$2:$L$5010,'Lançamentos'!$A$2:$A$5010,"Uso e consumo",'Lançamentos'!$H$2:$H$5010,$A70,'Lançamentos'!$C$2:$C$5010,F$20)</f>
        <v/>
      </c>
      <c r="G70" s="9">
        <f>SUMIFS('Lançamentos'!$L$2:$L$5010,'Lançamentos'!$A$2:$A$5010,"Uso e consumo",'Lançamentos'!$H$2:$H$5010,$A70,'Lançamentos'!$C$2:$C$5010,G$20)</f>
        <v/>
      </c>
      <c r="H70" s="9">
        <f>SUMIFS('Lançamentos'!$L$2:$L$5010,'Lançamentos'!$A$2:$A$5010,"Uso e consumo",'Lançamentos'!$H$2:$H$5010,$A70,'Lançamentos'!$C$2:$C$5010,H$20)</f>
        <v/>
      </c>
      <c r="I70" s="9">
        <f>SUMIFS('Lançamentos'!$L$2:$L$5010,'Lançamentos'!$A$2:$A$5010,"Uso e consumo",'Lançamentos'!$H$2:$H$5010,$A70,'Lançamentos'!$C$2:$C$5010,I$20)</f>
        <v/>
      </c>
      <c r="J70" s="9">
        <f>SUMIFS('Lançamentos'!$L$2:$L$5010,'Lançamentos'!$A$2:$A$5010,"Uso e consumo",'Lançamentos'!$H$2:$H$5010,$A70,'Lançamentos'!$C$2:$C$5010,J$20)</f>
        <v/>
      </c>
      <c r="K70" s="9">
        <f>SUM(B70:J70)</f>
        <v/>
      </c>
      <c r="L70" s="10">
        <f>K70/K$101</f>
        <v/>
      </c>
      <c r="M70" s="9">
        <f>SUMIFS('Lançamentos'!$L$2:$L$5010,'Lançamentos'!$A$2:$A$5010,"Uso e consumo",'Lançamentos'!$H$2:$H$5010,$A70,'Lançamentos'!$C$2:$C$5010,"Antes de 2026")</f>
        <v/>
      </c>
      <c r="N70" s="9">
        <f>SUMIFS('Lançamentos'!$J$2:$J$5010,'Lançamentos'!$A$2:$A$5010,"Uso e consumo",'Lançamentos'!$H$2:$H$5010,$A70,'Lançamentos'!$D$2:$D$5010,"Em 2026")</f>
        <v/>
      </c>
      <c r="O70" s="9">
        <f>SUMIFS('Lançamentos'!$K$2:$K$5010,'Lançamentos'!$A$2:$A$5010,"Uso e consumo",'Lançamentos'!$H$2:$H$5010,$A70,'Lançamentos'!$D$2:$D$5010,"Em 2026")</f>
        <v/>
      </c>
      <c r="P70" s="26">
        <f>COUNTIFS('Lançamentos'!$A$2:$A$5010,"Uso e consumo",'Lançamentos'!$H$2:$H$5010,$A70,'Lançamentos'!$D$2:$D$5010,"Em 2026")</f>
        <v/>
      </c>
    </row>
    <row r="71">
      <c r="A71" t="inlineStr">
        <is>
          <t>SUZANNY SILVINO LEMOS</t>
        </is>
      </c>
      <c r="B71" s="9">
        <f>SUMIFS('Lançamentos'!$L$2:$L$5010,'Lançamentos'!$A$2:$A$5010,"Uso e consumo",'Lançamentos'!$H$2:$H$5010,$A71,'Lançamentos'!$C$2:$C$5010,B$20)</f>
        <v/>
      </c>
      <c r="C71" s="9">
        <f>SUMIFS('Lançamentos'!$L$2:$L$5010,'Lançamentos'!$A$2:$A$5010,"Uso e consumo",'Lançamentos'!$H$2:$H$5010,$A71,'Lançamentos'!$C$2:$C$5010,C$20)</f>
        <v/>
      </c>
      <c r="D71" s="9">
        <f>SUMIFS('Lançamentos'!$L$2:$L$5010,'Lançamentos'!$A$2:$A$5010,"Uso e consumo",'Lançamentos'!$H$2:$H$5010,$A71,'Lançamentos'!$C$2:$C$5010,D$20)</f>
        <v/>
      </c>
      <c r="E71" s="9">
        <f>SUMIFS('Lançamentos'!$L$2:$L$5010,'Lançamentos'!$A$2:$A$5010,"Uso e consumo",'Lançamentos'!$H$2:$H$5010,$A71,'Lançamentos'!$C$2:$C$5010,E$20)</f>
        <v/>
      </c>
      <c r="F71" s="9">
        <f>SUMIFS('Lançamentos'!$L$2:$L$5010,'Lançamentos'!$A$2:$A$5010,"Uso e consumo",'Lançamentos'!$H$2:$H$5010,$A71,'Lançamentos'!$C$2:$C$5010,F$20)</f>
        <v/>
      </c>
      <c r="G71" s="9">
        <f>SUMIFS('Lançamentos'!$L$2:$L$5010,'Lançamentos'!$A$2:$A$5010,"Uso e consumo",'Lançamentos'!$H$2:$H$5010,$A71,'Lançamentos'!$C$2:$C$5010,G$20)</f>
        <v/>
      </c>
      <c r="H71" s="9">
        <f>SUMIFS('Lançamentos'!$L$2:$L$5010,'Lançamentos'!$A$2:$A$5010,"Uso e consumo",'Lançamentos'!$H$2:$H$5010,$A71,'Lançamentos'!$C$2:$C$5010,H$20)</f>
        <v/>
      </c>
      <c r="I71" s="9">
        <f>SUMIFS('Lançamentos'!$L$2:$L$5010,'Lançamentos'!$A$2:$A$5010,"Uso e consumo",'Lançamentos'!$H$2:$H$5010,$A71,'Lançamentos'!$C$2:$C$5010,I$20)</f>
        <v/>
      </c>
      <c r="J71" s="9">
        <f>SUMIFS('Lançamentos'!$L$2:$L$5010,'Lançamentos'!$A$2:$A$5010,"Uso e consumo",'Lançamentos'!$H$2:$H$5010,$A71,'Lançamentos'!$C$2:$C$5010,J$20)</f>
        <v/>
      </c>
      <c r="K71" s="9">
        <f>SUM(B71:J71)</f>
        <v/>
      </c>
      <c r="L71" s="10">
        <f>K71/K$101</f>
        <v/>
      </c>
      <c r="M71" s="9">
        <f>SUMIFS('Lançamentos'!$L$2:$L$5010,'Lançamentos'!$A$2:$A$5010,"Uso e consumo",'Lançamentos'!$H$2:$H$5010,$A71,'Lançamentos'!$C$2:$C$5010,"Antes de 2026")</f>
        <v/>
      </c>
      <c r="N71" s="9">
        <f>SUMIFS('Lançamentos'!$J$2:$J$5010,'Lançamentos'!$A$2:$A$5010,"Uso e consumo",'Lançamentos'!$H$2:$H$5010,$A71,'Lançamentos'!$D$2:$D$5010,"Em 2026")</f>
        <v/>
      </c>
      <c r="O71" s="9">
        <f>SUMIFS('Lançamentos'!$K$2:$K$5010,'Lançamentos'!$A$2:$A$5010,"Uso e consumo",'Lançamentos'!$H$2:$H$5010,$A71,'Lançamentos'!$D$2:$D$5010,"Em 2026")</f>
        <v/>
      </c>
      <c r="P71" s="26">
        <f>COUNTIFS('Lançamentos'!$A$2:$A$5010,"Uso e consumo",'Lançamentos'!$H$2:$H$5010,$A71,'Lançamentos'!$D$2:$D$5010,"Em 2026")</f>
        <v/>
      </c>
    </row>
    <row r="72">
      <c r="A72" t="inlineStr">
        <is>
          <t>GLOBAL DISTRIBUICAO DE BENS DE CONS LTDA.</t>
        </is>
      </c>
      <c r="B72" s="9">
        <f>SUMIFS('Lançamentos'!$L$2:$L$5010,'Lançamentos'!$A$2:$A$5010,"Uso e consumo",'Lançamentos'!$H$2:$H$5010,$A72,'Lançamentos'!$C$2:$C$5010,B$20)</f>
        <v/>
      </c>
      <c r="C72" s="9">
        <f>SUMIFS('Lançamentos'!$L$2:$L$5010,'Lançamentos'!$A$2:$A$5010,"Uso e consumo",'Lançamentos'!$H$2:$H$5010,$A72,'Lançamentos'!$C$2:$C$5010,C$20)</f>
        <v/>
      </c>
      <c r="D72" s="9">
        <f>SUMIFS('Lançamentos'!$L$2:$L$5010,'Lançamentos'!$A$2:$A$5010,"Uso e consumo",'Lançamentos'!$H$2:$H$5010,$A72,'Lançamentos'!$C$2:$C$5010,D$20)</f>
        <v/>
      </c>
      <c r="E72" s="9">
        <f>SUMIFS('Lançamentos'!$L$2:$L$5010,'Lançamentos'!$A$2:$A$5010,"Uso e consumo",'Lançamentos'!$H$2:$H$5010,$A72,'Lançamentos'!$C$2:$C$5010,E$20)</f>
        <v/>
      </c>
      <c r="F72" s="9">
        <f>SUMIFS('Lançamentos'!$L$2:$L$5010,'Lançamentos'!$A$2:$A$5010,"Uso e consumo",'Lançamentos'!$H$2:$H$5010,$A72,'Lançamentos'!$C$2:$C$5010,F$20)</f>
        <v/>
      </c>
      <c r="G72" s="9">
        <f>SUMIFS('Lançamentos'!$L$2:$L$5010,'Lançamentos'!$A$2:$A$5010,"Uso e consumo",'Lançamentos'!$H$2:$H$5010,$A72,'Lançamentos'!$C$2:$C$5010,G$20)</f>
        <v/>
      </c>
      <c r="H72" s="9">
        <f>SUMIFS('Lançamentos'!$L$2:$L$5010,'Lançamentos'!$A$2:$A$5010,"Uso e consumo",'Lançamentos'!$H$2:$H$5010,$A72,'Lançamentos'!$C$2:$C$5010,H$20)</f>
        <v/>
      </c>
      <c r="I72" s="9">
        <f>SUMIFS('Lançamentos'!$L$2:$L$5010,'Lançamentos'!$A$2:$A$5010,"Uso e consumo",'Lançamentos'!$H$2:$H$5010,$A72,'Lançamentos'!$C$2:$C$5010,I$20)</f>
        <v/>
      </c>
      <c r="J72" s="9">
        <f>SUMIFS('Lançamentos'!$L$2:$L$5010,'Lançamentos'!$A$2:$A$5010,"Uso e consumo",'Lançamentos'!$H$2:$H$5010,$A72,'Lançamentos'!$C$2:$C$5010,J$20)</f>
        <v/>
      </c>
      <c r="K72" s="9">
        <f>SUM(B72:J72)</f>
        <v/>
      </c>
      <c r="L72" s="10">
        <f>K72/K$101</f>
        <v/>
      </c>
      <c r="M72" s="9">
        <f>SUMIFS('Lançamentos'!$L$2:$L$5010,'Lançamentos'!$A$2:$A$5010,"Uso e consumo",'Lançamentos'!$H$2:$H$5010,$A72,'Lançamentos'!$C$2:$C$5010,"Antes de 2026")</f>
        <v/>
      </c>
      <c r="N72" s="9">
        <f>SUMIFS('Lançamentos'!$J$2:$J$5010,'Lançamentos'!$A$2:$A$5010,"Uso e consumo",'Lançamentos'!$H$2:$H$5010,$A72,'Lançamentos'!$D$2:$D$5010,"Em 2026")</f>
        <v/>
      </c>
      <c r="O72" s="9">
        <f>SUMIFS('Lançamentos'!$K$2:$K$5010,'Lançamentos'!$A$2:$A$5010,"Uso e consumo",'Lançamentos'!$H$2:$H$5010,$A72,'Lançamentos'!$D$2:$D$5010,"Em 2026")</f>
        <v/>
      </c>
      <c r="P72" s="26">
        <f>COUNTIFS('Lançamentos'!$A$2:$A$5010,"Uso e consumo",'Lançamentos'!$H$2:$H$5010,$A72,'Lançamentos'!$D$2:$D$5010,"Em 2026")</f>
        <v/>
      </c>
    </row>
    <row r="73">
      <c r="A73" t="inlineStr">
        <is>
          <t>DISTRIBUIDORA DE ALIMENTOS GALDINO</t>
        </is>
      </c>
      <c r="B73" s="9">
        <f>SUMIFS('Lançamentos'!$L$2:$L$5010,'Lançamentos'!$A$2:$A$5010,"Uso e consumo",'Lançamentos'!$H$2:$H$5010,$A73,'Lançamentos'!$C$2:$C$5010,B$20)</f>
        <v/>
      </c>
      <c r="C73" s="9">
        <f>SUMIFS('Lançamentos'!$L$2:$L$5010,'Lançamentos'!$A$2:$A$5010,"Uso e consumo",'Lançamentos'!$H$2:$H$5010,$A73,'Lançamentos'!$C$2:$C$5010,C$20)</f>
        <v/>
      </c>
      <c r="D73" s="9">
        <f>SUMIFS('Lançamentos'!$L$2:$L$5010,'Lançamentos'!$A$2:$A$5010,"Uso e consumo",'Lançamentos'!$H$2:$H$5010,$A73,'Lançamentos'!$C$2:$C$5010,D$20)</f>
        <v/>
      </c>
      <c r="E73" s="9">
        <f>SUMIFS('Lançamentos'!$L$2:$L$5010,'Lançamentos'!$A$2:$A$5010,"Uso e consumo",'Lançamentos'!$H$2:$H$5010,$A73,'Lançamentos'!$C$2:$C$5010,E$20)</f>
        <v/>
      </c>
      <c r="F73" s="9">
        <f>SUMIFS('Lançamentos'!$L$2:$L$5010,'Lançamentos'!$A$2:$A$5010,"Uso e consumo",'Lançamentos'!$H$2:$H$5010,$A73,'Lançamentos'!$C$2:$C$5010,F$20)</f>
        <v/>
      </c>
      <c r="G73" s="9">
        <f>SUMIFS('Lançamentos'!$L$2:$L$5010,'Lançamentos'!$A$2:$A$5010,"Uso e consumo",'Lançamentos'!$H$2:$H$5010,$A73,'Lançamentos'!$C$2:$C$5010,G$20)</f>
        <v/>
      </c>
      <c r="H73" s="9">
        <f>SUMIFS('Lançamentos'!$L$2:$L$5010,'Lançamentos'!$A$2:$A$5010,"Uso e consumo",'Lançamentos'!$H$2:$H$5010,$A73,'Lançamentos'!$C$2:$C$5010,H$20)</f>
        <v/>
      </c>
      <c r="I73" s="9">
        <f>SUMIFS('Lançamentos'!$L$2:$L$5010,'Lançamentos'!$A$2:$A$5010,"Uso e consumo",'Lançamentos'!$H$2:$H$5010,$A73,'Lançamentos'!$C$2:$C$5010,I$20)</f>
        <v/>
      </c>
      <c r="J73" s="9">
        <f>SUMIFS('Lançamentos'!$L$2:$L$5010,'Lançamentos'!$A$2:$A$5010,"Uso e consumo",'Lançamentos'!$H$2:$H$5010,$A73,'Lançamentos'!$C$2:$C$5010,J$20)</f>
        <v/>
      </c>
      <c r="K73" s="9">
        <f>SUM(B73:J73)</f>
        <v/>
      </c>
      <c r="L73" s="10">
        <f>K73/K$101</f>
        <v/>
      </c>
      <c r="M73" s="9">
        <f>SUMIFS('Lançamentos'!$L$2:$L$5010,'Lançamentos'!$A$2:$A$5010,"Uso e consumo",'Lançamentos'!$H$2:$H$5010,$A73,'Lançamentos'!$C$2:$C$5010,"Antes de 2026")</f>
        <v/>
      </c>
      <c r="N73" s="9">
        <f>SUMIFS('Lançamentos'!$J$2:$J$5010,'Lançamentos'!$A$2:$A$5010,"Uso e consumo",'Lançamentos'!$H$2:$H$5010,$A73,'Lançamentos'!$D$2:$D$5010,"Em 2026")</f>
        <v/>
      </c>
      <c r="O73" s="9">
        <f>SUMIFS('Lançamentos'!$K$2:$K$5010,'Lançamentos'!$A$2:$A$5010,"Uso e consumo",'Lançamentos'!$H$2:$H$5010,$A73,'Lançamentos'!$D$2:$D$5010,"Em 2026")</f>
        <v/>
      </c>
      <c r="P73" s="26">
        <f>COUNTIFS('Lançamentos'!$A$2:$A$5010,"Uso e consumo",'Lançamentos'!$H$2:$H$5010,$A73,'Lançamentos'!$D$2:$D$5010,"Em 2026")</f>
        <v/>
      </c>
    </row>
    <row r="74">
      <c r="A74" t="inlineStr">
        <is>
          <t>COMPANHIA BRASILEIRA DE DISTRIBUICAO</t>
        </is>
      </c>
      <c r="B74" s="9">
        <f>SUMIFS('Lançamentos'!$L$2:$L$5010,'Lançamentos'!$A$2:$A$5010,"Uso e consumo",'Lançamentos'!$H$2:$H$5010,$A74,'Lançamentos'!$C$2:$C$5010,B$20)</f>
        <v/>
      </c>
      <c r="C74" s="9">
        <f>SUMIFS('Lançamentos'!$L$2:$L$5010,'Lançamentos'!$A$2:$A$5010,"Uso e consumo",'Lançamentos'!$H$2:$H$5010,$A74,'Lançamentos'!$C$2:$C$5010,C$20)</f>
        <v/>
      </c>
      <c r="D74" s="9">
        <f>SUMIFS('Lançamentos'!$L$2:$L$5010,'Lançamentos'!$A$2:$A$5010,"Uso e consumo",'Lançamentos'!$H$2:$H$5010,$A74,'Lançamentos'!$C$2:$C$5010,D$20)</f>
        <v/>
      </c>
      <c r="E74" s="9">
        <f>SUMIFS('Lançamentos'!$L$2:$L$5010,'Lançamentos'!$A$2:$A$5010,"Uso e consumo",'Lançamentos'!$H$2:$H$5010,$A74,'Lançamentos'!$C$2:$C$5010,E$20)</f>
        <v/>
      </c>
      <c r="F74" s="9">
        <f>SUMIFS('Lançamentos'!$L$2:$L$5010,'Lançamentos'!$A$2:$A$5010,"Uso e consumo",'Lançamentos'!$H$2:$H$5010,$A74,'Lançamentos'!$C$2:$C$5010,F$20)</f>
        <v/>
      </c>
      <c r="G74" s="9">
        <f>SUMIFS('Lançamentos'!$L$2:$L$5010,'Lançamentos'!$A$2:$A$5010,"Uso e consumo",'Lançamentos'!$H$2:$H$5010,$A74,'Lançamentos'!$C$2:$C$5010,G$20)</f>
        <v/>
      </c>
      <c r="H74" s="9">
        <f>SUMIFS('Lançamentos'!$L$2:$L$5010,'Lançamentos'!$A$2:$A$5010,"Uso e consumo",'Lançamentos'!$H$2:$H$5010,$A74,'Lançamentos'!$C$2:$C$5010,H$20)</f>
        <v/>
      </c>
      <c r="I74" s="9">
        <f>SUMIFS('Lançamentos'!$L$2:$L$5010,'Lançamentos'!$A$2:$A$5010,"Uso e consumo",'Lançamentos'!$H$2:$H$5010,$A74,'Lançamentos'!$C$2:$C$5010,I$20)</f>
        <v/>
      </c>
      <c r="J74" s="9">
        <f>SUMIFS('Lançamentos'!$L$2:$L$5010,'Lançamentos'!$A$2:$A$5010,"Uso e consumo",'Lançamentos'!$H$2:$H$5010,$A74,'Lançamentos'!$C$2:$C$5010,J$20)</f>
        <v/>
      </c>
      <c r="K74" s="9">
        <f>SUM(B74:J74)</f>
        <v/>
      </c>
      <c r="L74" s="10">
        <f>K74/K$101</f>
        <v/>
      </c>
      <c r="M74" s="9">
        <f>SUMIFS('Lançamentos'!$L$2:$L$5010,'Lançamentos'!$A$2:$A$5010,"Uso e consumo",'Lançamentos'!$H$2:$H$5010,$A74,'Lançamentos'!$C$2:$C$5010,"Antes de 2026")</f>
        <v/>
      </c>
      <c r="N74" s="9">
        <f>SUMIFS('Lançamentos'!$J$2:$J$5010,'Lançamentos'!$A$2:$A$5010,"Uso e consumo",'Lançamentos'!$H$2:$H$5010,$A74,'Lançamentos'!$D$2:$D$5010,"Em 2026")</f>
        <v/>
      </c>
      <c r="O74" s="9">
        <f>SUMIFS('Lançamentos'!$K$2:$K$5010,'Lançamentos'!$A$2:$A$5010,"Uso e consumo",'Lançamentos'!$H$2:$H$5010,$A74,'Lançamentos'!$D$2:$D$5010,"Em 2026")</f>
        <v/>
      </c>
      <c r="P74" s="26">
        <f>COUNTIFS('Lançamentos'!$A$2:$A$5010,"Uso e consumo",'Lançamentos'!$H$2:$H$5010,$A74,'Lançamentos'!$D$2:$D$5010,"Em 2026")</f>
        <v/>
      </c>
    </row>
    <row r="75">
      <c r="A75" t="inlineStr">
        <is>
          <t>L ANTONIO DA SILVA</t>
        </is>
      </c>
      <c r="B75" s="9">
        <f>SUMIFS('Lançamentos'!$L$2:$L$5010,'Lançamentos'!$A$2:$A$5010,"Uso e consumo",'Lançamentos'!$H$2:$H$5010,$A75,'Lançamentos'!$C$2:$C$5010,B$20)</f>
        <v/>
      </c>
      <c r="C75" s="9">
        <f>SUMIFS('Lançamentos'!$L$2:$L$5010,'Lançamentos'!$A$2:$A$5010,"Uso e consumo",'Lançamentos'!$H$2:$H$5010,$A75,'Lançamentos'!$C$2:$C$5010,C$20)</f>
        <v/>
      </c>
      <c r="D75" s="9">
        <f>SUMIFS('Lançamentos'!$L$2:$L$5010,'Lançamentos'!$A$2:$A$5010,"Uso e consumo",'Lançamentos'!$H$2:$H$5010,$A75,'Lançamentos'!$C$2:$C$5010,D$20)</f>
        <v/>
      </c>
      <c r="E75" s="9">
        <f>SUMIFS('Lançamentos'!$L$2:$L$5010,'Lançamentos'!$A$2:$A$5010,"Uso e consumo",'Lançamentos'!$H$2:$H$5010,$A75,'Lançamentos'!$C$2:$C$5010,E$20)</f>
        <v/>
      </c>
      <c r="F75" s="9">
        <f>SUMIFS('Lançamentos'!$L$2:$L$5010,'Lançamentos'!$A$2:$A$5010,"Uso e consumo",'Lançamentos'!$H$2:$H$5010,$A75,'Lançamentos'!$C$2:$C$5010,F$20)</f>
        <v/>
      </c>
      <c r="G75" s="9">
        <f>SUMIFS('Lançamentos'!$L$2:$L$5010,'Lançamentos'!$A$2:$A$5010,"Uso e consumo",'Lançamentos'!$H$2:$H$5010,$A75,'Lançamentos'!$C$2:$C$5010,G$20)</f>
        <v/>
      </c>
      <c r="H75" s="9">
        <f>SUMIFS('Lançamentos'!$L$2:$L$5010,'Lançamentos'!$A$2:$A$5010,"Uso e consumo",'Lançamentos'!$H$2:$H$5010,$A75,'Lançamentos'!$C$2:$C$5010,H$20)</f>
        <v/>
      </c>
      <c r="I75" s="9">
        <f>SUMIFS('Lançamentos'!$L$2:$L$5010,'Lançamentos'!$A$2:$A$5010,"Uso e consumo",'Lançamentos'!$H$2:$H$5010,$A75,'Lançamentos'!$C$2:$C$5010,I$20)</f>
        <v/>
      </c>
      <c r="J75" s="9">
        <f>SUMIFS('Lançamentos'!$L$2:$L$5010,'Lançamentos'!$A$2:$A$5010,"Uso e consumo",'Lançamentos'!$H$2:$H$5010,$A75,'Lançamentos'!$C$2:$C$5010,J$20)</f>
        <v/>
      </c>
      <c r="K75" s="9">
        <f>SUM(B75:J75)</f>
        <v/>
      </c>
      <c r="L75" s="10">
        <f>K75/K$101</f>
        <v/>
      </c>
      <c r="M75" s="9">
        <f>SUMIFS('Lançamentos'!$L$2:$L$5010,'Lançamentos'!$A$2:$A$5010,"Uso e consumo",'Lançamentos'!$H$2:$H$5010,$A75,'Lançamentos'!$C$2:$C$5010,"Antes de 2026")</f>
        <v/>
      </c>
      <c r="N75" s="9">
        <f>SUMIFS('Lançamentos'!$J$2:$J$5010,'Lançamentos'!$A$2:$A$5010,"Uso e consumo",'Lançamentos'!$H$2:$H$5010,$A75,'Lançamentos'!$D$2:$D$5010,"Em 2026")</f>
        <v/>
      </c>
      <c r="O75" s="9">
        <f>SUMIFS('Lançamentos'!$K$2:$K$5010,'Lançamentos'!$A$2:$A$5010,"Uso e consumo",'Lançamentos'!$H$2:$H$5010,$A75,'Lançamentos'!$D$2:$D$5010,"Em 2026")</f>
        <v/>
      </c>
      <c r="P75" s="26">
        <f>COUNTIFS('Lançamentos'!$A$2:$A$5010,"Uso e consumo",'Lançamentos'!$H$2:$H$5010,$A75,'Lançamentos'!$D$2:$D$5010,"Em 2026")</f>
        <v/>
      </c>
    </row>
    <row r="76">
      <c r="A76" t="inlineStr">
        <is>
          <t>PRIME STORE - ECOMMERCE LTDA</t>
        </is>
      </c>
      <c r="B76" s="9">
        <f>SUMIFS('Lançamentos'!$L$2:$L$5010,'Lançamentos'!$A$2:$A$5010,"Uso e consumo",'Lançamentos'!$H$2:$H$5010,$A76,'Lançamentos'!$C$2:$C$5010,B$20)</f>
        <v/>
      </c>
      <c r="C76" s="9">
        <f>SUMIFS('Lançamentos'!$L$2:$L$5010,'Lançamentos'!$A$2:$A$5010,"Uso e consumo",'Lançamentos'!$H$2:$H$5010,$A76,'Lançamentos'!$C$2:$C$5010,C$20)</f>
        <v/>
      </c>
      <c r="D76" s="9">
        <f>SUMIFS('Lançamentos'!$L$2:$L$5010,'Lançamentos'!$A$2:$A$5010,"Uso e consumo",'Lançamentos'!$H$2:$H$5010,$A76,'Lançamentos'!$C$2:$C$5010,D$20)</f>
        <v/>
      </c>
      <c r="E76" s="9">
        <f>SUMIFS('Lançamentos'!$L$2:$L$5010,'Lançamentos'!$A$2:$A$5010,"Uso e consumo",'Lançamentos'!$H$2:$H$5010,$A76,'Lançamentos'!$C$2:$C$5010,E$20)</f>
        <v/>
      </c>
      <c r="F76" s="9">
        <f>SUMIFS('Lançamentos'!$L$2:$L$5010,'Lançamentos'!$A$2:$A$5010,"Uso e consumo",'Lançamentos'!$H$2:$H$5010,$A76,'Lançamentos'!$C$2:$C$5010,F$20)</f>
        <v/>
      </c>
      <c r="G76" s="9">
        <f>SUMIFS('Lançamentos'!$L$2:$L$5010,'Lançamentos'!$A$2:$A$5010,"Uso e consumo",'Lançamentos'!$H$2:$H$5010,$A76,'Lançamentos'!$C$2:$C$5010,G$20)</f>
        <v/>
      </c>
      <c r="H76" s="9">
        <f>SUMIFS('Lançamentos'!$L$2:$L$5010,'Lançamentos'!$A$2:$A$5010,"Uso e consumo",'Lançamentos'!$H$2:$H$5010,$A76,'Lançamentos'!$C$2:$C$5010,H$20)</f>
        <v/>
      </c>
      <c r="I76" s="9">
        <f>SUMIFS('Lançamentos'!$L$2:$L$5010,'Lançamentos'!$A$2:$A$5010,"Uso e consumo",'Lançamentos'!$H$2:$H$5010,$A76,'Lançamentos'!$C$2:$C$5010,I$20)</f>
        <v/>
      </c>
      <c r="J76" s="9">
        <f>SUMIFS('Lançamentos'!$L$2:$L$5010,'Lançamentos'!$A$2:$A$5010,"Uso e consumo",'Lançamentos'!$H$2:$H$5010,$A76,'Lançamentos'!$C$2:$C$5010,J$20)</f>
        <v/>
      </c>
      <c r="K76" s="9">
        <f>SUM(B76:J76)</f>
        <v/>
      </c>
      <c r="L76" s="10">
        <f>K76/K$101</f>
        <v/>
      </c>
      <c r="M76" s="9">
        <f>SUMIFS('Lançamentos'!$L$2:$L$5010,'Lançamentos'!$A$2:$A$5010,"Uso e consumo",'Lançamentos'!$H$2:$H$5010,$A76,'Lançamentos'!$C$2:$C$5010,"Antes de 2026")</f>
        <v/>
      </c>
      <c r="N76" s="9">
        <f>SUMIFS('Lançamentos'!$J$2:$J$5010,'Lançamentos'!$A$2:$A$5010,"Uso e consumo",'Lançamentos'!$H$2:$H$5010,$A76,'Lançamentos'!$D$2:$D$5010,"Em 2026")</f>
        <v/>
      </c>
      <c r="O76" s="9">
        <f>SUMIFS('Lançamentos'!$K$2:$K$5010,'Lançamentos'!$A$2:$A$5010,"Uso e consumo",'Lançamentos'!$H$2:$H$5010,$A76,'Lançamentos'!$D$2:$D$5010,"Em 2026")</f>
        <v/>
      </c>
      <c r="P76" s="26">
        <f>COUNTIFS('Lançamentos'!$A$2:$A$5010,"Uso e consumo",'Lançamentos'!$H$2:$H$5010,$A76,'Lançamentos'!$D$2:$D$5010,"Em 2026")</f>
        <v/>
      </c>
    </row>
    <row r="77">
      <c r="A77" t="inlineStr">
        <is>
          <t>MAIN COMERCIO DE DESCARTAVEIS EIRELI</t>
        </is>
      </c>
      <c r="B77" s="9">
        <f>SUMIFS('Lançamentos'!$L$2:$L$5010,'Lançamentos'!$A$2:$A$5010,"Uso e consumo",'Lançamentos'!$H$2:$H$5010,$A77,'Lançamentos'!$C$2:$C$5010,B$20)</f>
        <v/>
      </c>
      <c r="C77" s="9">
        <f>SUMIFS('Lançamentos'!$L$2:$L$5010,'Lançamentos'!$A$2:$A$5010,"Uso e consumo",'Lançamentos'!$H$2:$H$5010,$A77,'Lançamentos'!$C$2:$C$5010,C$20)</f>
        <v/>
      </c>
      <c r="D77" s="9">
        <f>SUMIFS('Lançamentos'!$L$2:$L$5010,'Lançamentos'!$A$2:$A$5010,"Uso e consumo",'Lançamentos'!$H$2:$H$5010,$A77,'Lançamentos'!$C$2:$C$5010,D$20)</f>
        <v/>
      </c>
      <c r="E77" s="9">
        <f>SUMIFS('Lançamentos'!$L$2:$L$5010,'Lançamentos'!$A$2:$A$5010,"Uso e consumo",'Lançamentos'!$H$2:$H$5010,$A77,'Lançamentos'!$C$2:$C$5010,E$20)</f>
        <v/>
      </c>
      <c r="F77" s="9">
        <f>SUMIFS('Lançamentos'!$L$2:$L$5010,'Lançamentos'!$A$2:$A$5010,"Uso e consumo",'Lançamentos'!$H$2:$H$5010,$A77,'Lançamentos'!$C$2:$C$5010,F$20)</f>
        <v/>
      </c>
      <c r="G77" s="9">
        <f>SUMIFS('Lançamentos'!$L$2:$L$5010,'Lançamentos'!$A$2:$A$5010,"Uso e consumo",'Lançamentos'!$H$2:$H$5010,$A77,'Lançamentos'!$C$2:$C$5010,G$20)</f>
        <v/>
      </c>
      <c r="H77" s="9">
        <f>SUMIFS('Lançamentos'!$L$2:$L$5010,'Lançamentos'!$A$2:$A$5010,"Uso e consumo",'Lançamentos'!$H$2:$H$5010,$A77,'Lançamentos'!$C$2:$C$5010,H$20)</f>
        <v/>
      </c>
      <c r="I77" s="9">
        <f>SUMIFS('Lançamentos'!$L$2:$L$5010,'Lançamentos'!$A$2:$A$5010,"Uso e consumo",'Lançamentos'!$H$2:$H$5010,$A77,'Lançamentos'!$C$2:$C$5010,I$20)</f>
        <v/>
      </c>
      <c r="J77" s="9">
        <f>SUMIFS('Lançamentos'!$L$2:$L$5010,'Lançamentos'!$A$2:$A$5010,"Uso e consumo",'Lançamentos'!$H$2:$H$5010,$A77,'Lançamentos'!$C$2:$C$5010,J$20)</f>
        <v/>
      </c>
      <c r="K77" s="9">
        <f>SUM(B77:J77)</f>
        <v/>
      </c>
      <c r="L77" s="10">
        <f>K77/K$101</f>
        <v/>
      </c>
      <c r="M77" s="9">
        <f>SUMIFS('Lançamentos'!$L$2:$L$5010,'Lançamentos'!$A$2:$A$5010,"Uso e consumo",'Lançamentos'!$H$2:$H$5010,$A77,'Lançamentos'!$C$2:$C$5010,"Antes de 2026")</f>
        <v/>
      </c>
      <c r="N77" s="9">
        <f>SUMIFS('Lançamentos'!$J$2:$J$5010,'Lançamentos'!$A$2:$A$5010,"Uso e consumo",'Lançamentos'!$H$2:$H$5010,$A77,'Lançamentos'!$D$2:$D$5010,"Em 2026")</f>
        <v/>
      </c>
      <c r="O77" s="9">
        <f>SUMIFS('Lançamentos'!$K$2:$K$5010,'Lançamentos'!$A$2:$A$5010,"Uso e consumo",'Lançamentos'!$H$2:$H$5010,$A77,'Lançamentos'!$D$2:$D$5010,"Em 2026")</f>
        <v/>
      </c>
      <c r="P77" s="26">
        <f>COUNTIFS('Lançamentos'!$A$2:$A$5010,"Uso e consumo",'Lançamentos'!$H$2:$H$5010,$A77,'Lançamentos'!$D$2:$D$5010,"Em 2026")</f>
        <v/>
      </c>
    </row>
    <row r="78">
      <c r="A78" t="inlineStr">
        <is>
          <t>OCUBO PAPEIS DESCARTAVEIS E SOLUCOES DE HIGIENE E LIMPEZA LT</t>
        </is>
      </c>
      <c r="B78" s="9">
        <f>SUMIFS('Lançamentos'!$L$2:$L$5010,'Lançamentos'!$A$2:$A$5010,"Uso e consumo",'Lançamentos'!$H$2:$H$5010,$A78,'Lançamentos'!$C$2:$C$5010,B$20)</f>
        <v/>
      </c>
      <c r="C78" s="9">
        <f>SUMIFS('Lançamentos'!$L$2:$L$5010,'Lançamentos'!$A$2:$A$5010,"Uso e consumo",'Lançamentos'!$H$2:$H$5010,$A78,'Lançamentos'!$C$2:$C$5010,C$20)</f>
        <v/>
      </c>
      <c r="D78" s="9">
        <f>SUMIFS('Lançamentos'!$L$2:$L$5010,'Lançamentos'!$A$2:$A$5010,"Uso e consumo",'Lançamentos'!$H$2:$H$5010,$A78,'Lançamentos'!$C$2:$C$5010,D$20)</f>
        <v/>
      </c>
      <c r="E78" s="9">
        <f>SUMIFS('Lançamentos'!$L$2:$L$5010,'Lançamentos'!$A$2:$A$5010,"Uso e consumo",'Lançamentos'!$H$2:$H$5010,$A78,'Lançamentos'!$C$2:$C$5010,E$20)</f>
        <v/>
      </c>
      <c r="F78" s="9">
        <f>SUMIFS('Lançamentos'!$L$2:$L$5010,'Lançamentos'!$A$2:$A$5010,"Uso e consumo",'Lançamentos'!$H$2:$H$5010,$A78,'Lançamentos'!$C$2:$C$5010,F$20)</f>
        <v/>
      </c>
      <c r="G78" s="9">
        <f>SUMIFS('Lançamentos'!$L$2:$L$5010,'Lançamentos'!$A$2:$A$5010,"Uso e consumo",'Lançamentos'!$H$2:$H$5010,$A78,'Lançamentos'!$C$2:$C$5010,G$20)</f>
        <v/>
      </c>
      <c r="H78" s="9">
        <f>SUMIFS('Lançamentos'!$L$2:$L$5010,'Lançamentos'!$A$2:$A$5010,"Uso e consumo",'Lançamentos'!$H$2:$H$5010,$A78,'Lançamentos'!$C$2:$C$5010,H$20)</f>
        <v/>
      </c>
      <c r="I78" s="9">
        <f>SUMIFS('Lançamentos'!$L$2:$L$5010,'Lançamentos'!$A$2:$A$5010,"Uso e consumo",'Lançamentos'!$H$2:$H$5010,$A78,'Lançamentos'!$C$2:$C$5010,I$20)</f>
        <v/>
      </c>
      <c r="J78" s="9">
        <f>SUMIFS('Lançamentos'!$L$2:$L$5010,'Lançamentos'!$A$2:$A$5010,"Uso e consumo",'Lançamentos'!$H$2:$H$5010,$A78,'Lançamentos'!$C$2:$C$5010,J$20)</f>
        <v/>
      </c>
      <c r="K78" s="9">
        <f>SUM(B78:J78)</f>
        <v/>
      </c>
      <c r="L78" s="10">
        <f>K78/K$101</f>
        <v/>
      </c>
      <c r="M78" s="9">
        <f>SUMIFS('Lançamentos'!$L$2:$L$5010,'Lançamentos'!$A$2:$A$5010,"Uso e consumo",'Lançamentos'!$H$2:$H$5010,$A78,'Lançamentos'!$C$2:$C$5010,"Antes de 2026")</f>
        <v/>
      </c>
      <c r="N78" s="9">
        <f>SUMIFS('Lançamentos'!$J$2:$J$5010,'Lançamentos'!$A$2:$A$5010,"Uso e consumo",'Lançamentos'!$H$2:$H$5010,$A78,'Lançamentos'!$D$2:$D$5010,"Em 2026")</f>
        <v/>
      </c>
      <c r="O78" s="9">
        <f>SUMIFS('Lançamentos'!$K$2:$K$5010,'Lançamentos'!$A$2:$A$5010,"Uso e consumo",'Lançamentos'!$H$2:$H$5010,$A78,'Lançamentos'!$D$2:$D$5010,"Em 2026")</f>
        <v/>
      </c>
      <c r="P78" s="26">
        <f>COUNTIFS('Lançamentos'!$A$2:$A$5010,"Uso e consumo",'Lançamentos'!$H$2:$H$5010,$A78,'Lançamentos'!$D$2:$D$5010,"Em 2026")</f>
        <v/>
      </c>
    </row>
    <row r="79">
      <c r="A79" t="inlineStr">
        <is>
          <t>RAMAO RENATO SZORTYKA</t>
        </is>
      </c>
      <c r="B79" s="9">
        <f>SUMIFS('Lançamentos'!$L$2:$L$5010,'Lançamentos'!$A$2:$A$5010,"Uso e consumo",'Lançamentos'!$H$2:$H$5010,$A79,'Lançamentos'!$C$2:$C$5010,B$20)</f>
        <v/>
      </c>
      <c r="C79" s="9">
        <f>SUMIFS('Lançamentos'!$L$2:$L$5010,'Lançamentos'!$A$2:$A$5010,"Uso e consumo",'Lançamentos'!$H$2:$H$5010,$A79,'Lançamentos'!$C$2:$C$5010,C$20)</f>
        <v/>
      </c>
      <c r="D79" s="9">
        <f>SUMIFS('Lançamentos'!$L$2:$L$5010,'Lançamentos'!$A$2:$A$5010,"Uso e consumo",'Lançamentos'!$H$2:$H$5010,$A79,'Lançamentos'!$C$2:$C$5010,D$20)</f>
        <v/>
      </c>
      <c r="E79" s="9">
        <f>SUMIFS('Lançamentos'!$L$2:$L$5010,'Lançamentos'!$A$2:$A$5010,"Uso e consumo",'Lançamentos'!$H$2:$H$5010,$A79,'Lançamentos'!$C$2:$C$5010,E$20)</f>
        <v/>
      </c>
      <c r="F79" s="9">
        <f>SUMIFS('Lançamentos'!$L$2:$L$5010,'Lançamentos'!$A$2:$A$5010,"Uso e consumo",'Lançamentos'!$H$2:$H$5010,$A79,'Lançamentos'!$C$2:$C$5010,F$20)</f>
        <v/>
      </c>
      <c r="G79" s="9">
        <f>SUMIFS('Lançamentos'!$L$2:$L$5010,'Lançamentos'!$A$2:$A$5010,"Uso e consumo",'Lançamentos'!$H$2:$H$5010,$A79,'Lançamentos'!$C$2:$C$5010,G$20)</f>
        <v/>
      </c>
      <c r="H79" s="9">
        <f>SUMIFS('Lançamentos'!$L$2:$L$5010,'Lançamentos'!$A$2:$A$5010,"Uso e consumo",'Lançamentos'!$H$2:$H$5010,$A79,'Lançamentos'!$C$2:$C$5010,H$20)</f>
        <v/>
      </c>
      <c r="I79" s="9">
        <f>SUMIFS('Lançamentos'!$L$2:$L$5010,'Lançamentos'!$A$2:$A$5010,"Uso e consumo",'Lançamentos'!$H$2:$H$5010,$A79,'Lançamentos'!$C$2:$C$5010,I$20)</f>
        <v/>
      </c>
      <c r="J79" s="9">
        <f>SUMIFS('Lançamentos'!$L$2:$L$5010,'Lançamentos'!$A$2:$A$5010,"Uso e consumo",'Lançamentos'!$H$2:$H$5010,$A79,'Lançamentos'!$C$2:$C$5010,J$20)</f>
        <v/>
      </c>
      <c r="K79" s="9">
        <f>SUM(B79:J79)</f>
        <v/>
      </c>
      <c r="L79" s="10">
        <f>K79/K$101</f>
        <v/>
      </c>
      <c r="M79" s="9">
        <f>SUMIFS('Lançamentos'!$L$2:$L$5010,'Lançamentos'!$A$2:$A$5010,"Uso e consumo",'Lançamentos'!$H$2:$H$5010,$A79,'Lançamentos'!$C$2:$C$5010,"Antes de 2026")</f>
        <v/>
      </c>
      <c r="N79" s="9">
        <f>SUMIFS('Lançamentos'!$J$2:$J$5010,'Lançamentos'!$A$2:$A$5010,"Uso e consumo",'Lançamentos'!$H$2:$H$5010,$A79,'Lançamentos'!$D$2:$D$5010,"Em 2026")</f>
        <v/>
      </c>
      <c r="O79" s="9">
        <f>SUMIFS('Lançamentos'!$K$2:$K$5010,'Lançamentos'!$A$2:$A$5010,"Uso e consumo",'Lançamentos'!$H$2:$H$5010,$A79,'Lançamentos'!$D$2:$D$5010,"Em 2026")</f>
        <v/>
      </c>
      <c r="P79" s="26">
        <f>COUNTIFS('Lançamentos'!$A$2:$A$5010,"Uso e consumo",'Lançamentos'!$H$2:$H$5010,$A79,'Lançamentos'!$D$2:$D$5010,"Em 2026")</f>
        <v/>
      </c>
    </row>
    <row r="80">
      <c r="A80" t="inlineStr">
        <is>
          <t>COMERCIAL CASA NOVA MATERIAL DE CONSTRUCAO PB LTDA</t>
        </is>
      </c>
      <c r="B80" s="9">
        <f>SUMIFS('Lançamentos'!$L$2:$L$5010,'Lançamentos'!$A$2:$A$5010,"Uso e consumo",'Lançamentos'!$H$2:$H$5010,$A80,'Lançamentos'!$C$2:$C$5010,B$20)</f>
        <v/>
      </c>
      <c r="C80" s="9">
        <f>SUMIFS('Lançamentos'!$L$2:$L$5010,'Lançamentos'!$A$2:$A$5010,"Uso e consumo",'Lançamentos'!$H$2:$H$5010,$A80,'Lançamentos'!$C$2:$C$5010,C$20)</f>
        <v/>
      </c>
      <c r="D80" s="9">
        <f>SUMIFS('Lançamentos'!$L$2:$L$5010,'Lançamentos'!$A$2:$A$5010,"Uso e consumo",'Lançamentos'!$H$2:$H$5010,$A80,'Lançamentos'!$C$2:$C$5010,D$20)</f>
        <v/>
      </c>
      <c r="E80" s="9">
        <f>SUMIFS('Lançamentos'!$L$2:$L$5010,'Lançamentos'!$A$2:$A$5010,"Uso e consumo",'Lançamentos'!$H$2:$H$5010,$A80,'Lançamentos'!$C$2:$C$5010,E$20)</f>
        <v/>
      </c>
      <c r="F80" s="9">
        <f>SUMIFS('Lançamentos'!$L$2:$L$5010,'Lançamentos'!$A$2:$A$5010,"Uso e consumo",'Lançamentos'!$H$2:$H$5010,$A80,'Lançamentos'!$C$2:$C$5010,F$20)</f>
        <v/>
      </c>
      <c r="G80" s="9">
        <f>SUMIFS('Lançamentos'!$L$2:$L$5010,'Lançamentos'!$A$2:$A$5010,"Uso e consumo",'Lançamentos'!$H$2:$H$5010,$A80,'Lançamentos'!$C$2:$C$5010,G$20)</f>
        <v/>
      </c>
      <c r="H80" s="9">
        <f>SUMIFS('Lançamentos'!$L$2:$L$5010,'Lançamentos'!$A$2:$A$5010,"Uso e consumo",'Lançamentos'!$H$2:$H$5010,$A80,'Lançamentos'!$C$2:$C$5010,H$20)</f>
        <v/>
      </c>
      <c r="I80" s="9">
        <f>SUMIFS('Lançamentos'!$L$2:$L$5010,'Lançamentos'!$A$2:$A$5010,"Uso e consumo",'Lançamentos'!$H$2:$H$5010,$A80,'Lançamentos'!$C$2:$C$5010,I$20)</f>
        <v/>
      </c>
      <c r="J80" s="9">
        <f>SUMIFS('Lançamentos'!$L$2:$L$5010,'Lançamentos'!$A$2:$A$5010,"Uso e consumo",'Lançamentos'!$H$2:$H$5010,$A80,'Lançamentos'!$C$2:$C$5010,J$20)</f>
        <v/>
      </c>
      <c r="K80" s="9">
        <f>SUM(B80:J80)</f>
        <v/>
      </c>
      <c r="L80" s="10">
        <f>K80/K$101</f>
        <v/>
      </c>
      <c r="M80" s="9">
        <f>SUMIFS('Lançamentos'!$L$2:$L$5010,'Lançamentos'!$A$2:$A$5010,"Uso e consumo",'Lançamentos'!$H$2:$H$5010,$A80,'Lançamentos'!$C$2:$C$5010,"Antes de 2026")</f>
        <v/>
      </c>
      <c r="N80" s="9">
        <f>SUMIFS('Lançamentos'!$J$2:$J$5010,'Lançamentos'!$A$2:$A$5010,"Uso e consumo",'Lançamentos'!$H$2:$H$5010,$A80,'Lançamentos'!$D$2:$D$5010,"Em 2026")</f>
        <v/>
      </c>
      <c r="O80" s="9">
        <f>SUMIFS('Lançamentos'!$K$2:$K$5010,'Lançamentos'!$A$2:$A$5010,"Uso e consumo",'Lançamentos'!$H$2:$H$5010,$A80,'Lançamentos'!$D$2:$D$5010,"Em 2026")</f>
        <v/>
      </c>
      <c r="P80" s="26">
        <f>COUNTIFS('Lançamentos'!$A$2:$A$5010,"Uso e consumo",'Lançamentos'!$H$2:$H$5010,$A80,'Lançamentos'!$D$2:$D$5010,"Em 2026")</f>
        <v/>
      </c>
    </row>
    <row r="81">
      <c r="A81" t="inlineStr">
        <is>
          <t>MEGA FORCE COMERCIO DE ELETRO ELETRONICOS LTDA ME</t>
        </is>
      </c>
      <c r="B81" s="9">
        <f>SUMIFS('Lançamentos'!$L$2:$L$5010,'Lançamentos'!$A$2:$A$5010,"Uso e consumo",'Lançamentos'!$H$2:$H$5010,$A81,'Lançamentos'!$C$2:$C$5010,B$20)</f>
        <v/>
      </c>
      <c r="C81" s="9">
        <f>SUMIFS('Lançamentos'!$L$2:$L$5010,'Lançamentos'!$A$2:$A$5010,"Uso e consumo",'Lançamentos'!$H$2:$H$5010,$A81,'Lançamentos'!$C$2:$C$5010,C$20)</f>
        <v/>
      </c>
      <c r="D81" s="9">
        <f>SUMIFS('Lançamentos'!$L$2:$L$5010,'Lançamentos'!$A$2:$A$5010,"Uso e consumo",'Lançamentos'!$H$2:$H$5010,$A81,'Lançamentos'!$C$2:$C$5010,D$20)</f>
        <v/>
      </c>
      <c r="E81" s="9">
        <f>SUMIFS('Lançamentos'!$L$2:$L$5010,'Lançamentos'!$A$2:$A$5010,"Uso e consumo",'Lançamentos'!$H$2:$H$5010,$A81,'Lançamentos'!$C$2:$C$5010,E$20)</f>
        <v/>
      </c>
      <c r="F81" s="9">
        <f>SUMIFS('Lançamentos'!$L$2:$L$5010,'Lançamentos'!$A$2:$A$5010,"Uso e consumo",'Lançamentos'!$H$2:$H$5010,$A81,'Lançamentos'!$C$2:$C$5010,F$20)</f>
        <v/>
      </c>
      <c r="G81" s="9">
        <f>SUMIFS('Lançamentos'!$L$2:$L$5010,'Lançamentos'!$A$2:$A$5010,"Uso e consumo",'Lançamentos'!$H$2:$H$5010,$A81,'Lançamentos'!$C$2:$C$5010,G$20)</f>
        <v/>
      </c>
      <c r="H81" s="9">
        <f>SUMIFS('Lançamentos'!$L$2:$L$5010,'Lançamentos'!$A$2:$A$5010,"Uso e consumo",'Lançamentos'!$H$2:$H$5010,$A81,'Lançamentos'!$C$2:$C$5010,H$20)</f>
        <v/>
      </c>
      <c r="I81" s="9">
        <f>SUMIFS('Lançamentos'!$L$2:$L$5010,'Lançamentos'!$A$2:$A$5010,"Uso e consumo",'Lançamentos'!$H$2:$H$5010,$A81,'Lançamentos'!$C$2:$C$5010,I$20)</f>
        <v/>
      </c>
      <c r="J81" s="9">
        <f>SUMIFS('Lançamentos'!$L$2:$L$5010,'Lançamentos'!$A$2:$A$5010,"Uso e consumo",'Lançamentos'!$H$2:$H$5010,$A81,'Lançamentos'!$C$2:$C$5010,J$20)</f>
        <v/>
      </c>
      <c r="K81" s="9">
        <f>SUM(B81:J81)</f>
        <v/>
      </c>
      <c r="L81" s="10">
        <f>K81/K$101</f>
        <v/>
      </c>
      <c r="M81" s="9">
        <f>SUMIFS('Lançamentos'!$L$2:$L$5010,'Lançamentos'!$A$2:$A$5010,"Uso e consumo",'Lançamentos'!$H$2:$H$5010,$A81,'Lançamentos'!$C$2:$C$5010,"Antes de 2026")</f>
        <v/>
      </c>
      <c r="N81" s="9">
        <f>SUMIFS('Lançamentos'!$J$2:$J$5010,'Lançamentos'!$A$2:$A$5010,"Uso e consumo",'Lançamentos'!$H$2:$H$5010,$A81,'Lançamentos'!$D$2:$D$5010,"Em 2026")</f>
        <v/>
      </c>
      <c r="O81" s="9">
        <f>SUMIFS('Lançamentos'!$K$2:$K$5010,'Lançamentos'!$A$2:$A$5010,"Uso e consumo",'Lançamentos'!$H$2:$H$5010,$A81,'Lançamentos'!$D$2:$D$5010,"Em 2026")</f>
        <v/>
      </c>
      <c r="P81" s="26">
        <f>COUNTIFS('Lançamentos'!$A$2:$A$5010,"Uso e consumo",'Lançamentos'!$H$2:$H$5010,$A81,'Lançamentos'!$D$2:$D$5010,"Em 2026")</f>
        <v/>
      </c>
    </row>
    <row r="82">
      <c r="A82" t="inlineStr">
        <is>
          <t>1000 MARCAS SAFETY BRASIL LTDA</t>
        </is>
      </c>
      <c r="B82" s="9">
        <f>SUMIFS('Lançamentos'!$L$2:$L$5010,'Lançamentos'!$A$2:$A$5010,"Uso e consumo",'Lançamentos'!$H$2:$H$5010,$A82,'Lançamentos'!$C$2:$C$5010,B$20)</f>
        <v/>
      </c>
      <c r="C82" s="9">
        <f>SUMIFS('Lançamentos'!$L$2:$L$5010,'Lançamentos'!$A$2:$A$5010,"Uso e consumo",'Lançamentos'!$H$2:$H$5010,$A82,'Lançamentos'!$C$2:$C$5010,C$20)</f>
        <v/>
      </c>
      <c r="D82" s="9">
        <f>SUMIFS('Lançamentos'!$L$2:$L$5010,'Lançamentos'!$A$2:$A$5010,"Uso e consumo",'Lançamentos'!$H$2:$H$5010,$A82,'Lançamentos'!$C$2:$C$5010,D$20)</f>
        <v/>
      </c>
      <c r="E82" s="9">
        <f>SUMIFS('Lançamentos'!$L$2:$L$5010,'Lançamentos'!$A$2:$A$5010,"Uso e consumo",'Lançamentos'!$H$2:$H$5010,$A82,'Lançamentos'!$C$2:$C$5010,E$20)</f>
        <v/>
      </c>
      <c r="F82" s="9">
        <f>SUMIFS('Lançamentos'!$L$2:$L$5010,'Lançamentos'!$A$2:$A$5010,"Uso e consumo",'Lançamentos'!$H$2:$H$5010,$A82,'Lançamentos'!$C$2:$C$5010,F$20)</f>
        <v/>
      </c>
      <c r="G82" s="9">
        <f>SUMIFS('Lançamentos'!$L$2:$L$5010,'Lançamentos'!$A$2:$A$5010,"Uso e consumo",'Lançamentos'!$H$2:$H$5010,$A82,'Lançamentos'!$C$2:$C$5010,G$20)</f>
        <v/>
      </c>
      <c r="H82" s="9">
        <f>SUMIFS('Lançamentos'!$L$2:$L$5010,'Lançamentos'!$A$2:$A$5010,"Uso e consumo",'Lançamentos'!$H$2:$H$5010,$A82,'Lançamentos'!$C$2:$C$5010,H$20)</f>
        <v/>
      </c>
      <c r="I82" s="9">
        <f>SUMIFS('Lançamentos'!$L$2:$L$5010,'Lançamentos'!$A$2:$A$5010,"Uso e consumo",'Lançamentos'!$H$2:$H$5010,$A82,'Lançamentos'!$C$2:$C$5010,I$20)</f>
        <v/>
      </c>
      <c r="J82" s="9">
        <f>SUMIFS('Lançamentos'!$L$2:$L$5010,'Lançamentos'!$A$2:$A$5010,"Uso e consumo",'Lançamentos'!$H$2:$H$5010,$A82,'Lançamentos'!$C$2:$C$5010,J$20)</f>
        <v/>
      </c>
      <c r="K82" s="9">
        <f>SUM(B82:J82)</f>
        <v/>
      </c>
      <c r="L82" s="10">
        <f>K82/K$101</f>
        <v/>
      </c>
      <c r="M82" s="9">
        <f>SUMIFS('Lançamentos'!$L$2:$L$5010,'Lançamentos'!$A$2:$A$5010,"Uso e consumo",'Lançamentos'!$H$2:$H$5010,$A82,'Lançamentos'!$C$2:$C$5010,"Antes de 2026")</f>
        <v/>
      </c>
      <c r="N82" s="9">
        <f>SUMIFS('Lançamentos'!$J$2:$J$5010,'Lançamentos'!$A$2:$A$5010,"Uso e consumo",'Lançamentos'!$H$2:$H$5010,$A82,'Lançamentos'!$D$2:$D$5010,"Em 2026")</f>
        <v/>
      </c>
      <c r="O82" s="9">
        <f>SUMIFS('Lançamentos'!$K$2:$K$5010,'Lançamentos'!$A$2:$A$5010,"Uso e consumo",'Lançamentos'!$H$2:$H$5010,$A82,'Lançamentos'!$D$2:$D$5010,"Em 2026")</f>
        <v/>
      </c>
      <c r="P82" s="26">
        <f>COUNTIFS('Lançamentos'!$A$2:$A$5010,"Uso e consumo",'Lançamentos'!$H$2:$H$5010,$A82,'Lançamentos'!$D$2:$D$5010,"Em 2026")</f>
        <v/>
      </c>
    </row>
    <row r="83">
      <c r="A83" t="inlineStr">
        <is>
          <t>GMC COMPONENTES ELETRICOS E AUTOMACAO LTDA</t>
        </is>
      </c>
      <c r="B83" s="9">
        <f>SUMIFS('Lançamentos'!$L$2:$L$5010,'Lançamentos'!$A$2:$A$5010,"Uso e consumo",'Lançamentos'!$H$2:$H$5010,$A83,'Lançamentos'!$C$2:$C$5010,B$20)</f>
        <v/>
      </c>
      <c r="C83" s="9">
        <f>SUMIFS('Lançamentos'!$L$2:$L$5010,'Lançamentos'!$A$2:$A$5010,"Uso e consumo",'Lançamentos'!$H$2:$H$5010,$A83,'Lançamentos'!$C$2:$C$5010,C$20)</f>
        <v/>
      </c>
      <c r="D83" s="9">
        <f>SUMIFS('Lançamentos'!$L$2:$L$5010,'Lançamentos'!$A$2:$A$5010,"Uso e consumo",'Lançamentos'!$H$2:$H$5010,$A83,'Lançamentos'!$C$2:$C$5010,D$20)</f>
        <v/>
      </c>
      <c r="E83" s="9">
        <f>SUMIFS('Lançamentos'!$L$2:$L$5010,'Lançamentos'!$A$2:$A$5010,"Uso e consumo",'Lançamentos'!$H$2:$H$5010,$A83,'Lançamentos'!$C$2:$C$5010,E$20)</f>
        <v/>
      </c>
      <c r="F83" s="9">
        <f>SUMIFS('Lançamentos'!$L$2:$L$5010,'Lançamentos'!$A$2:$A$5010,"Uso e consumo",'Lançamentos'!$H$2:$H$5010,$A83,'Lançamentos'!$C$2:$C$5010,F$20)</f>
        <v/>
      </c>
      <c r="G83" s="9">
        <f>SUMIFS('Lançamentos'!$L$2:$L$5010,'Lançamentos'!$A$2:$A$5010,"Uso e consumo",'Lançamentos'!$H$2:$H$5010,$A83,'Lançamentos'!$C$2:$C$5010,G$20)</f>
        <v/>
      </c>
      <c r="H83" s="9">
        <f>SUMIFS('Lançamentos'!$L$2:$L$5010,'Lançamentos'!$A$2:$A$5010,"Uso e consumo",'Lançamentos'!$H$2:$H$5010,$A83,'Lançamentos'!$C$2:$C$5010,H$20)</f>
        <v/>
      </c>
      <c r="I83" s="9">
        <f>SUMIFS('Lançamentos'!$L$2:$L$5010,'Lançamentos'!$A$2:$A$5010,"Uso e consumo",'Lançamentos'!$H$2:$H$5010,$A83,'Lançamentos'!$C$2:$C$5010,I$20)</f>
        <v/>
      </c>
      <c r="J83" s="9">
        <f>SUMIFS('Lançamentos'!$L$2:$L$5010,'Lançamentos'!$A$2:$A$5010,"Uso e consumo",'Lançamentos'!$H$2:$H$5010,$A83,'Lançamentos'!$C$2:$C$5010,J$20)</f>
        <v/>
      </c>
      <c r="K83" s="9">
        <f>SUM(B83:J83)</f>
        <v/>
      </c>
      <c r="L83" s="10">
        <f>K83/K$101</f>
        <v/>
      </c>
      <c r="M83" s="9">
        <f>SUMIFS('Lançamentos'!$L$2:$L$5010,'Lançamentos'!$A$2:$A$5010,"Uso e consumo",'Lançamentos'!$H$2:$H$5010,$A83,'Lançamentos'!$C$2:$C$5010,"Antes de 2026")</f>
        <v/>
      </c>
      <c r="N83" s="9">
        <f>SUMIFS('Lançamentos'!$J$2:$J$5010,'Lançamentos'!$A$2:$A$5010,"Uso e consumo",'Lançamentos'!$H$2:$H$5010,$A83,'Lançamentos'!$D$2:$D$5010,"Em 2026")</f>
        <v/>
      </c>
      <c r="O83" s="9">
        <f>SUMIFS('Lançamentos'!$K$2:$K$5010,'Lançamentos'!$A$2:$A$5010,"Uso e consumo",'Lançamentos'!$H$2:$H$5010,$A83,'Lançamentos'!$D$2:$D$5010,"Em 2026")</f>
        <v/>
      </c>
      <c r="P83" s="26">
        <f>COUNTIFS('Lançamentos'!$A$2:$A$5010,"Uso e consumo",'Lançamentos'!$H$2:$H$5010,$A83,'Lançamentos'!$D$2:$D$5010,"Em 2026")</f>
        <v/>
      </c>
    </row>
    <row r="84">
      <c r="A84" t="inlineStr">
        <is>
          <t>PARAIBA PLAST COMERCIAL EIRELI</t>
        </is>
      </c>
      <c r="B84" s="9">
        <f>SUMIFS('Lançamentos'!$L$2:$L$5010,'Lançamentos'!$A$2:$A$5010,"Uso e consumo",'Lançamentos'!$H$2:$H$5010,$A84,'Lançamentos'!$C$2:$C$5010,B$20)</f>
        <v/>
      </c>
      <c r="C84" s="9">
        <f>SUMIFS('Lançamentos'!$L$2:$L$5010,'Lançamentos'!$A$2:$A$5010,"Uso e consumo",'Lançamentos'!$H$2:$H$5010,$A84,'Lançamentos'!$C$2:$C$5010,C$20)</f>
        <v/>
      </c>
      <c r="D84" s="9">
        <f>SUMIFS('Lançamentos'!$L$2:$L$5010,'Lançamentos'!$A$2:$A$5010,"Uso e consumo",'Lançamentos'!$H$2:$H$5010,$A84,'Lançamentos'!$C$2:$C$5010,D$20)</f>
        <v/>
      </c>
      <c r="E84" s="9">
        <f>SUMIFS('Lançamentos'!$L$2:$L$5010,'Lançamentos'!$A$2:$A$5010,"Uso e consumo",'Lançamentos'!$H$2:$H$5010,$A84,'Lançamentos'!$C$2:$C$5010,E$20)</f>
        <v/>
      </c>
      <c r="F84" s="9">
        <f>SUMIFS('Lançamentos'!$L$2:$L$5010,'Lançamentos'!$A$2:$A$5010,"Uso e consumo",'Lançamentos'!$H$2:$H$5010,$A84,'Lançamentos'!$C$2:$C$5010,F$20)</f>
        <v/>
      </c>
      <c r="G84" s="9">
        <f>SUMIFS('Lançamentos'!$L$2:$L$5010,'Lançamentos'!$A$2:$A$5010,"Uso e consumo",'Lançamentos'!$H$2:$H$5010,$A84,'Lançamentos'!$C$2:$C$5010,G$20)</f>
        <v/>
      </c>
      <c r="H84" s="9">
        <f>SUMIFS('Lançamentos'!$L$2:$L$5010,'Lançamentos'!$A$2:$A$5010,"Uso e consumo",'Lançamentos'!$H$2:$H$5010,$A84,'Lançamentos'!$C$2:$C$5010,H$20)</f>
        <v/>
      </c>
      <c r="I84" s="9">
        <f>SUMIFS('Lançamentos'!$L$2:$L$5010,'Lançamentos'!$A$2:$A$5010,"Uso e consumo",'Lançamentos'!$H$2:$H$5010,$A84,'Lançamentos'!$C$2:$C$5010,I$20)</f>
        <v/>
      </c>
      <c r="J84" s="9">
        <f>SUMIFS('Lançamentos'!$L$2:$L$5010,'Lançamentos'!$A$2:$A$5010,"Uso e consumo",'Lançamentos'!$H$2:$H$5010,$A84,'Lançamentos'!$C$2:$C$5010,J$20)</f>
        <v/>
      </c>
      <c r="K84" s="9">
        <f>SUM(B84:J84)</f>
        <v/>
      </c>
      <c r="L84" s="10">
        <f>K84/K$101</f>
        <v/>
      </c>
      <c r="M84" s="9">
        <f>SUMIFS('Lançamentos'!$L$2:$L$5010,'Lançamentos'!$A$2:$A$5010,"Uso e consumo",'Lançamentos'!$H$2:$H$5010,$A84,'Lançamentos'!$C$2:$C$5010,"Antes de 2026")</f>
        <v/>
      </c>
      <c r="N84" s="9">
        <f>SUMIFS('Lançamentos'!$J$2:$J$5010,'Lançamentos'!$A$2:$A$5010,"Uso e consumo",'Lançamentos'!$H$2:$H$5010,$A84,'Lançamentos'!$D$2:$D$5010,"Em 2026")</f>
        <v/>
      </c>
      <c r="O84" s="9">
        <f>SUMIFS('Lançamentos'!$K$2:$K$5010,'Lançamentos'!$A$2:$A$5010,"Uso e consumo",'Lançamentos'!$H$2:$H$5010,$A84,'Lançamentos'!$D$2:$D$5010,"Em 2026")</f>
        <v/>
      </c>
      <c r="P84" s="26">
        <f>COUNTIFS('Lançamentos'!$A$2:$A$5010,"Uso e consumo",'Lançamentos'!$H$2:$H$5010,$A84,'Lançamentos'!$D$2:$D$5010,"Em 2026")</f>
        <v/>
      </c>
    </row>
    <row r="85">
      <c r="A85" t="inlineStr">
        <is>
          <t>PAULO V. M. DO NASCIMENTO</t>
        </is>
      </c>
      <c r="B85" s="9">
        <f>SUMIFS('Lançamentos'!$L$2:$L$5010,'Lançamentos'!$A$2:$A$5010,"Uso e consumo",'Lançamentos'!$H$2:$H$5010,$A85,'Lançamentos'!$C$2:$C$5010,B$20)</f>
        <v/>
      </c>
      <c r="C85" s="9">
        <f>SUMIFS('Lançamentos'!$L$2:$L$5010,'Lançamentos'!$A$2:$A$5010,"Uso e consumo",'Lançamentos'!$H$2:$H$5010,$A85,'Lançamentos'!$C$2:$C$5010,C$20)</f>
        <v/>
      </c>
      <c r="D85" s="9">
        <f>SUMIFS('Lançamentos'!$L$2:$L$5010,'Lançamentos'!$A$2:$A$5010,"Uso e consumo",'Lançamentos'!$H$2:$H$5010,$A85,'Lançamentos'!$C$2:$C$5010,D$20)</f>
        <v/>
      </c>
      <c r="E85" s="9">
        <f>SUMIFS('Lançamentos'!$L$2:$L$5010,'Lançamentos'!$A$2:$A$5010,"Uso e consumo",'Lançamentos'!$H$2:$H$5010,$A85,'Lançamentos'!$C$2:$C$5010,E$20)</f>
        <v/>
      </c>
      <c r="F85" s="9">
        <f>SUMIFS('Lançamentos'!$L$2:$L$5010,'Lançamentos'!$A$2:$A$5010,"Uso e consumo",'Lançamentos'!$H$2:$H$5010,$A85,'Lançamentos'!$C$2:$C$5010,F$20)</f>
        <v/>
      </c>
      <c r="G85" s="9">
        <f>SUMIFS('Lançamentos'!$L$2:$L$5010,'Lançamentos'!$A$2:$A$5010,"Uso e consumo",'Lançamentos'!$H$2:$H$5010,$A85,'Lançamentos'!$C$2:$C$5010,G$20)</f>
        <v/>
      </c>
      <c r="H85" s="9">
        <f>SUMIFS('Lançamentos'!$L$2:$L$5010,'Lançamentos'!$A$2:$A$5010,"Uso e consumo",'Lançamentos'!$H$2:$H$5010,$A85,'Lançamentos'!$C$2:$C$5010,H$20)</f>
        <v/>
      </c>
      <c r="I85" s="9">
        <f>SUMIFS('Lançamentos'!$L$2:$L$5010,'Lançamentos'!$A$2:$A$5010,"Uso e consumo",'Lançamentos'!$H$2:$H$5010,$A85,'Lançamentos'!$C$2:$C$5010,I$20)</f>
        <v/>
      </c>
      <c r="J85" s="9">
        <f>SUMIFS('Lançamentos'!$L$2:$L$5010,'Lançamentos'!$A$2:$A$5010,"Uso e consumo",'Lançamentos'!$H$2:$H$5010,$A85,'Lançamentos'!$C$2:$C$5010,J$20)</f>
        <v/>
      </c>
      <c r="K85" s="9">
        <f>SUM(B85:J85)</f>
        <v/>
      </c>
      <c r="L85" s="10">
        <f>K85/K$101</f>
        <v/>
      </c>
      <c r="M85" s="9">
        <f>SUMIFS('Lançamentos'!$L$2:$L$5010,'Lançamentos'!$A$2:$A$5010,"Uso e consumo",'Lançamentos'!$H$2:$H$5010,$A85,'Lançamentos'!$C$2:$C$5010,"Antes de 2026")</f>
        <v/>
      </c>
      <c r="N85" s="9">
        <f>SUMIFS('Lançamentos'!$J$2:$J$5010,'Lançamentos'!$A$2:$A$5010,"Uso e consumo",'Lançamentos'!$H$2:$H$5010,$A85,'Lançamentos'!$D$2:$D$5010,"Em 2026")</f>
        <v/>
      </c>
      <c r="O85" s="9">
        <f>SUMIFS('Lançamentos'!$K$2:$K$5010,'Lançamentos'!$A$2:$A$5010,"Uso e consumo",'Lançamentos'!$H$2:$H$5010,$A85,'Lançamentos'!$D$2:$D$5010,"Em 2026")</f>
        <v/>
      </c>
      <c r="P85" s="26">
        <f>COUNTIFS('Lançamentos'!$A$2:$A$5010,"Uso e consumo",'Lançamentos'!$H$2:$H$5010,$A85,'Lançamentos'!$D$2:$D$5010,"Em 2026")</f>
        <v/>
      </c>
    </row>
    <row r="86">
      <c r="A86" t="inlineStr">
        <is>
          <t>CASA DOS PARAFUSOS COMERCIO DE FERRAGENS E FERRAMENTAS LTDA</t>
        </is>
      </c>
      <c r="B86" s="9">
        <f>SUMIFS('Lançamentos'!$L$2:$L$5010,'Lançamentos'!$A$2:$A$5010,"Uso e consumo",'Lançamentos'!$H$2:$H$5010,$A86,'Lançamentos'!$C$2:$C$5010,B$20)</f>
        <v/>
      </c>
      <c r="C86" s="9">
        <f>SUMIFS('Lançamentos'!$L$2:$L$5010,'Lançamentos'!$A$2:$A$5010,"Uso e consumo",'Lançamentos'!$H$2:$H$5010,$A86,'Lançamentos'!$C$2:$C$5010,C$20)</f>
        <v/>
      </c>
      <c r="D86" s="9">
        <f>SUMIFS('Lançamentos'!$L$2:$L$5010,'Lançamentos'!$A$2:$A$5010,"Uso e consumo",'Lançamentos'!$H$2:$H$5010,$A86,'Lançamentos'!$C$2:$C$5010,D$20)</f>
        <v/>
      </c>
      <c r="E86" s="9">
        <f>SUMIFS('Lançamentos'!$L$2:$L$5010,'Lançamentos'!$A$2:$A$5010,"Uso e consumo",'Lançamentos'!$H$2:$H$5010,$A86,'Lançamentos'!$C$2:$C$5010,E$20)</f>
        <v/>
      </c>
      <c r="F86" s="9">
        <f>SUMIFS('Lançamentos'!$L$2:$L$5010,'Lançamentos'!$A$2:$A$5010,"Uso e consumo",'Lançamentos'!$H$2:$H$5010,$A86,'Lançamentos'!$C$2:$C$5010,F$20)</f>
        <v/>
      </c>
      <c r="G86" s="9">
        <f>SUMIFS('Lançamentos'!$L$2:$L$5010,'Lançamentos'!$A$2:$A$5010,"Uso e consumo",'Lançamentos'!$H$2:$H$5010,$A86,'Lançamentos'!$C$2:$C$5010,G$20)</f>
        <v/>
      </c>
      <c r="H86" s="9">
        <f>SUMIFS('Lançamentos'!$L$2:$L$5010,'Lançamentos'!$A$2:$A$5010,"Uso e consumo",'Lançamentos'!$H$2:$H$5010,$A86,'Lançamentos'!$C$2:$C$5010,H$20)</f>
        <v/>
      </c>
      <c r="I86" s="9">
        <f>SUMIFS('Lançamentos'!$L$2:$L$5010,'Lançamentos'!$A$2:$A$5010,"Uso e consumo",'Lançamentos'!$H$2:$H$5010,$A86,'Lançamentos'!$C$2:$C$5010,I$20)</f>
        <v/>
      </c>
      <c r="J86" s="9">
        <f>SUMIFS('Lançamentos'!$L$2:$L$5010,'Lançamentos'!$A$2:$A$5010,"Uso e consumo",'Lançamentos'!$H$2:$H$5010,$A86,'Lançamentos'!$C$2:$C$5010,J$20)</f>
        <v/>
      </c>
      <c r="K86" s="9">
        <f>SUM(B86:J86)</f>
        <v/>
      </c>
      <c r="L86" s="10">
        <f>K86/K$101</f>
        <v/>
      </c>
      <c r="M86" s="9">
        <f>SUMIFS('Lançamentos'!$L$2:$L$5010,'Lançamentos'!$A$2:$A$5010,"Uso e consumo",'Lançamentos'!$H$2:$H$5010,$A86,'Lançamentos'!$C$2:$C$5010,"Antes de 2026")</f>
        <v/>
      </c>
      <c r="N86" s="9">
        <f>SUMIFS('Lançamentos'!$J$2:$J$5010,'Lançamentos'!$A$2:$A$5010,"Uso e consumo",'Lançamentos'!$H$2:$H$5010,$A86,'Lançamentos'!$D$2:$D$5010,"Em 2026")</f>
        <v/>
      </c>
      <c r="O86" s="9">
        <f>SUMIFS('Lançamentos'!$K$2:$K$5010,'Lançamentos'!$A$2:$A$5010,"Uso e consumo",'Lançamentos'!$H$2:$H$5010,$A86,'Lançamentos'!$D$2:$D$5010,"Em 2026")</f>
        <v/>
      </c>
      <c r="P86" s="26">
        <f>COUNTIFS('Lançamentos'!$A$2:$A$5010,"Uso e consumo",'Lançamentos'!$H$2:$H$5010,$A86,'Lançamentos'!$D$2:$D$5010,"Em 2026")</f>
        <v/>
      </c>
    </row>
    <row r="87">
      <c r="A87" t="inlineStr">
        <is>
          <t>B. B. A. INDUSTRIA E COMERCIO IMPORTACAO E EXPORTACAO LTDA</t>
        </is>
      </c>
      <c r="B87" s="9">
        <f>SUMIFS('Lançamentos'!$L$2:$L$5010,'Lançamentos'!$A$2:$A$5010,"Uso e consumo",'Lançamentos'!$H$2:$H$5010,$A87,'Lançamentos'!$C$2:$C$5010,B$20)</f>
        <v/>
      </c>
      <c r="C87" s="9">
        <f>SUMIFS('Lançamentos'!$L$2:$L$5010,'Lançamentos'!$A$2:$A$5010,"Uso e consumo",'Lançamentos'!$H$2:$H$5010,$A87,'Lançamentos'!$C$2:$C$5010,C$20)</f>
        <v/>
      </c>
      <c r="D87" s="9">
        <f>SUMIFS('Lançamentos'!$L$2:$L$5010,'Lançamentos'!$A$2:$A$5010,"Uso e consumo",'Lançamentos'!$H$2:$H$5010,$A87,'Lançamentos'!$C$2:$C$5010,D$20)</f>
        <v/>
      </c>
      <c r="E87" s="9">
        <f>SUMIFS('Lançamentos'!$L$2:$L$5010,'Lançamentos'!$A$2:$A$5010,"Uso e consumo",'Lançamentos'!$H$2:$H$5010,$A87,'Lançamentos'!$C$2:$C$5010,E$20)</f>
        <v/>
      </c>
      <c r="F87" s="9">
        <f>SUMIFS('Lançamentos'!$L$2:$L$5010,'Lançamentos'!$A$2:$A$5010,"Uso e consumo",'Lançamentos'!$H$2:$H$5010,$A87,'Lançamentos'!$C$2:$C$5010,F$20)</f>
        <v/>
      </c>
      <c r="G87" s="9">
        <f>SUMIFS('Lançamentos'!$L$2:$L$5010,'Lançamentos'!$A$2:$A$5010,"Uso e consumo",'Lançamentos'!$H$2:$H$5010,$A87,'Lançamentos'!$C$2:$C$5010,G$20)</f>
        <v/>
      </c>
      <c r="H87" s="9">
        <f>SUMIFS('Lançamentos'!$L$2:$L$5010,'Lançamentos'!$A$2:$A$5010,"Uso e consumo",'Lançamentos'!$H$2:$H$5010,$A87,'Lançamentos'!$C$2:$C$5010,H$20)</f>
        <v/>
      </c>
      <c r="I87" s="9">
        <f>SUMIFS('Lançamentos'!$L$2:$L$5010,'Lançamentos'!$A$2:$A$5010,"Uso e consumo",'Lançamentos'!$H$2:$H$5010,$A87,'Lançamentos'!$C$2:$C$5010,I$20)</f>
        <v/>
      </c>
      <c r="J87" s="9">
        <f>SUMIFS('Lançamentos'!$L$2:$L$5010,'Lançamentos'!$A$2:$A$5010,"Uso e consumo",'Lançamentos'!$H$2:$H$5010,$A87,'Lançamentos'!$C$2:$C$5010,J$20)</f>
        <v/>
      </c>
      <c r="K87" s="9">
        <f>SUM(B87:J87)</f>
        <v/>
      </c>
      <c r="L87" s="10">
        <f>K87/K$101</f>
        <v/>
      </c>
      <c r="M87" s="9">
        <f>SUMIFS('Lançamentos'!$L$2:$L$5010,'Lançamentos'!$A$2:$A$5010,"Uso e consumo",'Lançamentos'!$H$2:$H$5010,$A87,'Lançamentos'!$C$2:$C$5010,"Antes de 2026")</f>
        <v/>
      </c>
      <c r="N87" s="9">
        <f>SUMIFS('Lançamentos'!$J$2:$J$5010,'Lançamentos'!$A$2:$A$5010,"Uso e consumo",'Lançamentos'!$H$2:$H$5010,$A87,'Lançamentos'!$D$2:$D$5010,"Em 2026")</f>
        <v/>
      </c>
      <c r="O87" s="9">
        <f>SUMIFS('Lançamentos'!$K$2:$K$5010,'Lançamentos'!$A$2:$A$5010,"Uso e consumo",'Lançamentos'!$H$2:$H$5010,$A87,'Lançamentos'!$D$2:$D$5010,"Em 2026")</f>
        <v/>
      </c>
      <c r="P87" s="26">
        <f>COUNTIFS('Lançamentos'!$A$2:$A$5010,"Uso e consumo",'Lançamentos'!$H$2:$H$5010,$A87,'Lançamentos'!$D$2:$D$5010,"Em 2026")</f>
        <v/>
      </c>
    </row>
    <row r="88">
      <c r="A88" t="inlineStr">
        <is>
          <t>PQVIRK IND E COM DE PROD QUIMICOS LTDA</t>
        </is>
      </c>
      <c r="B88" s="9">
        <f>SUMIFS('Lançamentos'!$L$2:$L$5010,'Lançamentos'!$A$2:$A$5010,"Uso e consumo",'Lançamentos'!$H$2:$H$5010,$A88,'Lançamentos'!$C$2:$C$5010,B$20)</f>
        <v/>
      </c>
      <c r="C88" s="9">
        <f>SUMIFS('Lançamentos'!$L$2:$L$5010,'Lançamentos'!$A$2:$A$5010,"Uso e consumo",'Lançamentos'!$H$2:$H$5010,$A88,'Lançamentos'!$C$2:$C$5010,C$20)</f>
        <v/>
      </c>
      <c r="D88" s="9">
        <f>SUMIFS('Lançamentos'!$L$2:$L$5010,'Lançamentos'!$A$2:$A$5010,"Uso e consumo",'Lançamentos'!$H$2:$H$5010,$A88,'Lançamentos'!$C$2:$C$5010,D$20)</f>
        <v/>
      </c>
      <c r="E88" s="9">
        <f>SUMIFS('Lançamentos'!$L$2:$L$5010,'Lançamentos'!$A$2:$A$5010,"Uso e consumo",'Lançamentos'!$H$2:$H$5010,$A88,'Lançamentos'!$C$2:$C$5010,E$20)</f>
        <v/>
      </c>
      <c r="F88" s="9">
        <f>SUMIFS('Lançamentos'!$L$2:$L$5010,'Lançamentos'!$A$2:$A$5010,"Uso e consumo",'Lançamentos'!$H$2:$H$5010,$A88,'Lançamentos'!$C$2:$C$5010,F$20)</f>
        <v/>
      </c>
      <c r="G88" s="9">
        <f>SUMIFS('Lançamentos'!$L$2:$L$5010,'Lançamentos'!$A$2:$A$5010,"Uso e consumo",'Lançamentos'!$H$2:$H$5010,$A88,'Lançamentos'!$C$2:$C$5010,G$20)</f>
        <v/>
      </c>
      <c r="H88" s="9">
        <f>SUMIFS('Lançamentos'!$L$2:$L$5010,'Lançamentos'!$A$2:$A$5010,"Uso e consumo",'Lançamentos'!$H$2:$H$5010,$A88,'Lançamentos'!$C$2:$C$5010,H$20)</f>
        <v/>
      </c>
      <c r="I88" s="9">
        <f>SUMIFS('Lançamentos'!$L$2:$L$5010,'Lançamentos'!$A$2:$A$5010,"Uso e consumo",'Lançamentos'!$H$2:$H$5010,$A88,'Lançamentos'!$C$2:$C$5010,I$20)</f>
        <v/>
      </c>
      <c r="J88" s="9">
        <f>SUMIFS('Lançamentos'!$L$2:$L$5010,'Lançamentos'!$A$2:$A$5010,"Uso e consumo",'Lançamentos'!$H$2:$H$5010,$A88,'Lançamentos'!$C$2:$C$5010,J$20)</f>
        <v/>
      </c>
      <c r="K88" s="9">
        <f>SUM(B88:J88)</f>
        <v/>
      </c>
      <c r="L88" s="10">
        <f>K88/K$101</f>
        <v/>
      </c>
      <c r="M88" s="9">
        <f>SUMIFS('Lançamentos'!$L$2:$L$5010,'Lançamentos'!$A$2:$A$5010,"Uso e consumo",'Lançamentos'!$H$2:$H$5010,$A88,'Lançamentos'!$C$2:$C$5010,"Antes de 2026")</f>
        <v/>
      </c>
      <c r="N88" s="9">
        <f>SUMIFS('Lançamentos'!$J$2:$J$5010,'Lançamentos'!$A$2:$A$5010,"Uso e consumo",'Lançamentos'!$H$2:$H$5010,$A88,'Lançamentos'!$D$2:$D$5010,"Em 2026")</f>
        <v/>
      </c>
      <c r="O88" s="9">
        <f>SUMIFS('Lançamentos'!$K$2:$K$5010,'Lançamentos'!$A$2:$A$5010,"Uso e consumo",'Lançamentos'!$H$2:$H$5010,$A88,'Lançamentos'!$D$2:$D$5010,"Em 2026")</f>
        <v/>
      </c>
      <c r="P88" s="26">
        <f>COUNTIFS('Lançamentos'!$A$2:$A$5010,"Uso e consumo",'Lançamentos'!$H$2:$H$5010,$A88,'Lançamentos'!$D$2:$D$5010,"Em 2026")</f>
        <v/>
      </c>
    </row>
    <row r="89">
      <c r="A89" t="inlineStr">
        <is>
          <t>MISTER TEM COMERCIO DE ACOS E METAIS LTDA</t>
        </is>
      </c>
      <c r="B89" s="9">
        <f>SUMIFS('Lançamentos'!$L$2:$L$5010,'Lançamentos'!$A$2:$A$5010,"Uso e consumo",'Lançamentos'!$H$2:$H$5010,$A89,'Lançamentos'!$C$2:$C$5010,B$20)</f>
        <v/>
      </c>
      <c r="C89" s="9">
        <f>SUMIFS('Lançamentos'!$L$2:$L$5010,'Lançamentos'!$A$2:$A$5010,"Uso e consumo",'Lançamentos'!$H$2:$H$5010,$A89,'Lançamentos'!$C$2:$C$5010,C$20)</f>
        <v/>
      </c>
      <c r="D89" s="9">
        <f>SUMIFS('Lançamentos'!$L$2:$L$5010,'Lançamentos'!$A$2:$A$5010,"Uso e consumo",'Lançamentos'!$H$2:$H$5010,$A89,'Lançamentos'!$C$2:$C$5010,D$20)</f>
        <v/>
      </c>
      <c r="E89" s="9">
        <f>SUMIFS('Lançamentos'!$L$2:$L$5010,'Lançamentos'!$A$2:$A$5010,"Uso e consumo",'Lançamentos'!$H$2:$H$5010,$A89,'Lançamentos'!$C$2:$C$5010,E$20)</f>
        <v/>
      </c>
      <c r="F89" s="9">
        <f>SUMIFS('Lançamentos'!$L$2:$L$5010,'Lançamentos'!$A$2:$A$5010,"Uso e consumo",'Lançamentos'!$H$2:$H$5010,$A89,'Lançamentos'!$C$2:$C$5010,F$20)</f>
        <v/>
      </c>
      <c r="G89" s="9">
        <f>SUMIFS('Lançamentos'!$L$2:$L$5010,'Lançamentos'!$A$2:$A$5010,"Uso e consumo",'Lançamentos'!$H$2:$H$5010,$A89,'Lançamentos'!$C$2:$C$5010,G$20)</f>
        <v/>
      </c>
      <c r="H89" s="9">
        <f>SUMIFS('Lançamentos'!$L$2:$L$5010,'Lançamentos'!$A$2:$A$5010,"Uso e consumo",'Lançamentos'!$H$2:$H$5010,$A89,'Lançamentos'!$C$2:$C$5010,H$20)</f>
        <v/>
      </c>
      <c r="I89" s="9">
        <f>SUMIFS('Lançamentos'!$L$2:$L$5010,'Lançamentos'!$A$2:$A$5010,"Uso e consumo",'Lançamentos'!$H$2:$H$5010,$A89,'Lançamentos'!$C$2:$C$5010,I$20)</f>
        <v/>
      </c>
      <c r="J89" s="9">
        <f>SUMIFS('Lançamentos'!$L$2:$L$5010,'Lançamentos'!$A$2:$A$5010,"Uso e consumo",'Lançamentos'!$H$2:$H$5010,$A89,'Lançamentos'!$C$2:$C$5010,J$20)</f>
        <v/>
      </c>
      <c r="K89" s="9">
        <f>SUM(B89:J89)</f>
        <v/>
      </c>
      <c r="L89" s="10">
        <f>K89/K$101</f>
        <v/>
      </c>
      <c r="M89" s="9">
        <f>SUMIFS('Lançamentos'!$L$2:$L$5010,'Lançamentos'!$A$2:$A$5010,"Uso e consumo",'Lançamentos'!$H$2:$H$5010,$A89,'Lançamentos'!$C$2:$C$5010,"Antes de 2026")</f>
        <v/>
      </c>
      <c r="N89" s="9">
        <f>SUMIFS('Lançamentos'!$J$2:$J$5010,'Lançamentos'!$A$2:$A$5010,"Uso e consumo",'Lançamentos'!$H$2:$H$5010,$A89,'Lançamentos'!$D$2:$D$5010,"Em 2026")</f>
        <v/>
      </c>
      <c r="O89" s="9">
        <f>SUMIFS('Lançamentos'!$K$2:$K$5010,'Lançamentos'!$A$2:$A$5010,"Uso e consumo",'Lançamentos'!$H$2:$H$5010,$A89,'Lançamentos'!$D$2:$D$5010,"Em 2026")</f>
        <v/>
      </c>
      <c r="P89" s="26">
        <f>COUNTIFS('Lançamentos'!$A$2:$A$5010,"Uso e consumo",'Lançamentos'!$H$2:$H$5010,$A89,'Lançamentos'!$D$2:$D$5010,"Em 2026")</f>
        <v/>
      </c>
    </row>
    <row r="90">
      <c r="A90" t="inlineStr">
        <is>
          <t>SOTECA SOCIEDADE TECNICO CIENTIFICA LTDA</t>
        </is>
      </c>
      <c r="B90" s="9">
        <f>SUMIFS('Lançamentos'!$L$2:$L$5010,'Lançamentos'!$A$2:$A$5010,"Uso e consumo",'Lançamentos'!$H$2:$H$5010,$A90,'Lançamentos'!$C$2:$C$5010,B$20)</f>
        <v/>
      </c>
      <c r="C90" s="9">
        <f>SUMIFS('Lançamentos'!$L$2:$L$5010,'Lançamentos'!$A$2:$A$5010,"Uso e consumo",'Lançamentos'!$H$2:$H$5010,$A90,'Lançamentos'!$C$2:$C$5010,C$20)</f>
        <v/>
      </c>
      <c r="D90" s="9">
        <f>SUMIFS('Lançamentos'!$L$2:$L$5010,'Lançamentos'!$A$2:$A$5010,"Uso e consumo",'Lançamentos'!$H$2:$H$5010,$A90,'Lançamentos'!$C$2:$C$5010,D$20)</f>
        <v/>
      </c>
      <c r="E90" s="9">
        <f>SUMIFS('Lançamentos'!$L$2:$L$5010,'Lançamentos'!$A$2:$A$5010,"Uso e consumo",'Lançamentos'!$H$2:$H$5010,$A90,'Lançamentos'!$C$2:$C$5010,E$20)</f>
        <v/>
      </c>
      <c r="F90" s="9">
        <f>SUMIFS('Lançamentos'!$L$2:$L$5010,'Lançamentos'!$A$2:$A$5010,"Uso e consumo",'Lançamentos'!$H$2:$H$5010,$A90,'Lançamentos'!$C$2:$C$5010,F$20)</f>
        <v/>
      </c>
      <c r="G90" s="9">
        <f>SUMIFS('Lançamentos'!$L$2:$L$5010,'Lançamentos'!$A$2:$A$5010,"Uso e consumo",'Lançamentos'!$H$2:$H$5010,$A90,'Lançamentos'!$C$2:$C$5010,G$20)</f>
        <v/>
      </c>
      <c r="H90" s="9">
        <f>SUMIFS('Lançamentos'!$L$2:$L$5010,'Lançamentos'!$A$2:$A$5010,"Uso e consumo",'Lançamentos'!$H$2:$H$5010,$A90,'Lançamentos'!$C$2:$C$5010,H$20)</f>
        <v/>
      </c>
      <c r="I90" s="9">
        <f>SUMIFS('Lançamentos'!$L$2:$L$5010,'Lançamentos'!$A$2:$A$5010,"Uso e consumo",'Lançamentos'!$H$2:$H$5010,$A90,'Lançamentos'!$C$2:$C$5010,I$20)</f>
        <v/>
      </c>
      <c r="J90" s="9">
        <f>SUMIFS('Lançamentos'!$L$2:$L$5010,'Lançamentos'!$A$2:$A$5010,"Uso e consumo",'Lançamentos'!$H$2:$H$5010,$A90,'Lançamentos'!$C$2:$C$5010,J$20)</f>
        <v/>
      </c>
      <c r="K90" s="9">
        <f>SUM(B90:J90)</f>
        <v/>
      </c>
      <c r="L90" s="10">
        <f>K90/K$101</f>
        <v/>
      </c>
      <c r="M90" s="9">
        <f>SUMIFS('Lançamentos'!$L$2:$L$5010,'Lançamentos'!$A$2:$A$5010,"Uso e consumo",'Lançamentos'!$H$2:$H$5010,$A90,'Lançamentos'!$C$2:$C$5010,"Antes de 2026")</f>
        <v/>
      </c>
      <c r="N90" s="9">
        <f>SUMIFS('Lançamentos'!$J$2:$J$5010,'Lançamentos'!$A$2:$A$5010,"Uso e consumo",'Lançamentos'!$H$2:$H$5010,$A90,'Lançamentos'!$D$2:$D$5010,"Em 2026")</f>
        <v/>
      </c>
      <c r="O90" s="9">
        <f>SUMIFS('Lançamentos'!$K$2:$K$5010,'Lançamentos'!$A$2:$A$5010,"Uso e consumo",'Lançamentos'!$H$2:$H$5010,$A90,'Lançamentos'!$D$2:$D$5010,"Em 2026")</f>
        <v/>
      </c>
      <c r="P90" s="26">
        <f>COUNTIFS('Lançamentos'!$A$2:$A$5010,"Uso e consumo",'Lançamentos'!$H$2:$H$5010,$A90,'Lançamentos'!$D$2:$D$5010,"Em 2026")</f>
        <v/>
      </c>
    </row>
    <row r="91">
      <c r="A91" t="inlineStr">
        <is>
          <t>ELETRICA UNIAO MATERIAIS ELETRICOS E HIDRAULICOS LTDA</t>
        </is>
      </c>
      <c r="B91" s="9">
        <f>SUMIFS('Lançamentos'!$L$2:$L$5010,'Lançamentos'!$A$2:$A$5010,"Uso e consumo",'Lançamentos'!$H$2:$H$5010,$A91,'Lançamentos'!$C$2:$C$5010,B$20)</f>
        <v/>
      </c>
      <c r="C91" s="9">
        <f>SUMIFS('Lançamentos'!$L$2:$L$5010,'Lançamentos'!$A$2:$A$5010,"Uso e consumo",'Lançamentos'!$H$2:$H$5010,$A91,'Lançamentos'!$C$2:$C$5010,C$20)</f>
        <v/>
      </c>
      <c r="D91" s="9">
        <f>SUMIFS('Lançamentos'!$L$2:$L$5010,'Lançamentos'!$A$2:$A$5010,"Uso e consumo",'Lançamentos'!$H$2:$H$5010,$A91,'Lançamentos'!$C$2:$C$5010,D$20)</f>
        <v/>
      </c>
      <c r="E91" s="9">
        <f>SUMIFS('Lançamentos'!$L$2:$L$5010,'Lançamentos'!$A$2:$A$5010,"Uso e consumo",'Lançamentos'!$H$2:$H$5010,$A91,'Lançamentos'!$C$2:$C$5010,E$20)</f>
        <v/>
      </c>
      <c r="F91" s="9">
        <f>SUMIFS('Lançamentos'!$L$2:$L$5010,'Lançamentos'!$A$2:$A$5010,"Uso e consumo",'Lançamentos'!$H$2:$H$5010,$A91,'Lançamentos'!$C$2:$C$5010,F$20)</f>
        <v/>
      </c>
      <c r="G91" s="9">
        <f>SUMIFS('Lançamentos'!$L$2:$L$5010,'Lançamentos'!$A$2:$A$5010,"Uso e consumo",'Lançamentos'!$H$2:$H$5010,$A91,'Lançamentos'!$C$2:$C$5010,G$20)</f>
        <v/>
      </c>
      <c r="H91" s="9">
        <f>SUMIFS('Lançamentos'!$L$2:$L$5010,'Lançamentos'!$A$2:$A$5010,"Uso e consumo",'Lançamentos'!$H$2:$H$5010,$A91,'Lançamentos'!$C$2:$C$5010,H$20)</f>
        <v/>
      </c>
      <c r="I91" s="9">
        <f>SUMIFS('Lançamentos'!$L$2:$L$5010,'Lançamentos'!$A$2:$A$5010,"Uso e consumo",'Lançamentos'!$H$2:$H$5010,$A91,'Lançamentos'!$C$2:$C$5010,I$20)</f>
        <v/>
      </c>
      <c r="J91" s="9">
        <f>SUMIFS('Lançamentos'!$L$2:$L$5010,'Lançamentos'!$A$2:$A$5010,"Uso e consumo",'Lançamentos'!$H$2:$H$5010,$A91,'Lançamentos'!$C$2:$C$5010,J$20)</f>
        <v/>
      </c>
      <c r="K91" s="9">
        <f>SUM(B91:J91)</f>
        <v/>
      </c>
      <c r="L91" s="10">
        <f>K91/K$101</f>
        <v/>
      </c>
      <c r="M91" s="9">
        <f>SUMIFS('Lançamentos'!$L$2:$L$5010,'Lançamentos'!$A$2:$A$5010,"Uso e consumo",'Lançamentos'!$H$2:$H$5010,$A91,'Lançamentos'!$C$2:$C$5010,"Antes de 2026")</f>
        <v/>
      </c>
      <c r="N91" s="9">
        <f>SUMIFS('Lançamentos'!$J$2:$J$5010,'Lançamentos'!$A$2:$A$5010,"Uso e consumo",'Lançamentos'!$H$2:$H$5010,$A91,'Lançamentos'!$D$2:$D$5010,"Em 2026")</f>
        <v/>
      </c>
      <c r="O91" s="9">
        <f>SUMIFS('Lançamentos'!$K$2:$K$5010,'Lançamentos'!$A$2:$A$5010,"Uso e consumo",'Lançamentos'!$H$2:$H$5010,$A91,'Lançamentos'!$D$2:$D$5010,"Em 2026")</f>
        <v/>
      </c>
      <c r="P91" s="26">
        <f>COUNTIFS('Lançamentos'!$A$2:$A$5010,"Uso e consumo",'Lançamentos'!$H$2:$H$5010,$A91,'Lançamentos'!$D$2:$D$5010,"Em 2026")</f>
        <v/>
      </c>
    </row>
    <row r="92">
      <c r="A92" t="inlineStr">
        <is>
          <t>CRISTAL COMERCIO DE PRODUTOS QUIMICOS LTDA</t>
        </is>
      </c>
      <c r="B92" s="9">
        <f>SUMIFS('Lançamentos'!$L$2:$L$5010,'Lançamentos'!$A$2:$A$5010,"Uso e consumo",'Lançamentos'!$H$2:$H$5010,$A92,'Lançamentos'!$C$2:$C$5010,B$20)</f>
        <v/>
      </c>
      <c r="C92" s="9">
        <f>SUMIFS('Lançamentos'!$L$2:$L$5010,'Lançamentos'!$A$2:$A$5010,"Uso e consumo",'Lançamentos'!$H$2:$H$5010,$A92,'Lançamentos'!$C$2:$C$5010,C$20)</f>
        <v/>
      </c>
      <c r="D92" s="9">
        <f>SUMIFS('Lançamentos'!$L$2:$L$5010,'Lançamentos'!$A$2:$A$5010,"Uso e consumo",'Lançamentos'!$H$2:$H$5010,$A92,'Lançamentos'!$C$2:$C$5010,D$20)</f>
        <v/>
      </c>
      <c r="E92" s="9">
        <f>SUMIFS('Lançamentos'!$L$2:$L$5010,'Lançamentos'!$A$2:$A$5010,"Uso e consumo",'Lançamentos'!$H$2:$H$5010,$A92,'Lançamentos'!$C$2:$C$5010,E$20)</f>
        <v/>
      </c>
      <c r="F92" s="9">
        <f>SUMIFS('Lançamentos'!$L$2:$L$5010,'Lançamentos'!$A$2:$A$5010,"Uso e consumo",'Lançamentos'!$H$2:$H$5010,$A92,'Lançamentos'!$C$2:$C$5010,F$20)</f>
        <v/>
      </c>
      <c r="G92" s="9">
        <f>SUMIFS('Lançamentos'!$L$2:$L$5010,'Lançamentos'!$A$2:$A$5010,"Uso e consumo",'Lançamentos'!$H$2:$H$5010,$A92,'Lançamentos'!$C$2:$C$5010,G$20)</f>
        <v/>
      </c>
      <c r="H92" s="9">
        <f>SUMIFS('Lançamentos'!$L$2:$L$5010,'Lançamentos'!$A$2:$A$5010,"Uso e consumo",'Lançamentos'!$H$2:$H$5010,$A92,'Lançamentos'!$C$2:$C$5010,H$20)</f>
        <v/>
      </c>
      <c r="I92" s="9">
        <f>SUMIFS('Lançamentos'!$L$2:$L$5010,'Lançamentos'!$A$2:$A$5010,"Uso e consumo",'Lançamentos'!$H$2:$H$5010,$A92,'Lançamentos'!$C$2:$C$5010,I$20)</f>
        <v/>
      </c>
      <c r="J92" s="9">
        <f>SUMIFS('Lançamentos'!$L$2:$L$5010,'Lançamentos'!$A$2:$A$5010,"Uso e consumo",'Lançamentos'!$H$2:$H$5010,$A92,'Lançamentos'!$C$2:$C$5010,J$20)</f>
        <v/>
      </c>
      <c r="K92" s="9">
        <f>SUM(B92:J92)</f>
        <v/>
      </c>
      <c r="L92" s="10">
        <f>K92/K$101</f>
        <v/>
      </c>
      <c r="M92" s="9">
        <f>SUMIFS('Lançamentos'!$L$2:$L$5010,'Lançamentos'!$A$2:$A$5010,"Uso e consumo",'Lançamentos'!$H$2:$H$5010,$A92,'Lançamentos'!$C$2:$C$5010,"Antes de 2026")</f>
        <v/>
      </c>
      <c r="N92" s="9">
        <f>SUMIFS('Lançamentos'!$J$2:$J$5010,'Lançamentos'!$A$2:$A$5010,"Uso e consumo",'Lançamentos'!$H$2:$H$5010,$A92,'Lançamentos'!$D$2:$D$5010,"Em 2026")</f>
        <v/>
      </c>
      <c r="O92" s="9">
        <f>SUMIFS('Lançamentos'!$K$2:$K$5010,'Lançamentos'!$A$2:$A$5010,"Uso e consumo",'Lançamentos'!$H$2:$H$5010,$A92,'Lançamentos'!$D$2:$D$5010,"Em 2026")</f>
        <v/>
      </c>
      <c r="P92" s="26">
        <f>COUNTIFS('Lançamentos'!$A$2:$A$5010,"Uso e consumo",'Lançamentos'!$H$2:$H$5010,$A92,'Lançamentos'!$D$2:$D$5010,"Em 2026")</f>
        <v/>
      </c>
    </row>
    <row r="93">
      <c r="A93" t="inlineStr">
        <is>
          <t>CLAUDIA FERREIRA GODOI</t>
        </is>
      </c>
      <c r="B93" s="9">
        <f>SUMIFS('Lançamentos'!$L$2:$L$5010,'Lançamentos'!$A$2:$A$5010,"Uso e consumo",'Lançamentos'!$H$2:$H$5010,$A93,'Lançamentos'!$C$2:$C$5010,B$20)</f>
        <v/>
      </c>
      <c r="C93" s="9">
        <f>SUMIFS('Lançamentos'!$L$2:$L$5010,'Lançamentos'!$A$2:$A$5010,"Uso e consumo",'Lançamentos'!$H$2:$H$5010,$A93,'Lançamentos'!$C$2:$C$5010,C$20)</f>
        <v/>
      </c>
      <c r="D93" s="9">
        <f>SUMIFS('Lançamentos'!$L$2:$L$5010,'Lançamentos'!$A$2:$A$5010,"Uso e consumo",'Lançamentos'!$H$2:$H$5010,$A93,'Lançamentos'!$C$2:$C$5010,D$20)</f>
        <v/>
      </c>
      <c r="E93" s="9">
        <f>SUMIFS('Lançamentos'!$L$2:$L$5010,'Lançamentos'!$A$2:$A$5010,"Uso e consumo",'Lançamentos'!$H$2:$H$5010,$A93,'Lançamentos'!$C$2:$C$5010,E$20)</f>
        <v/>
      </c>
      <c r="F93" s="9">
        <f>SUMIFS('Lançamentos'!$L$2:$L$5010,'Lançamentos'!$A$2:$A$5010,"Uso e consumo",'Lançamentos'!$H$2:$H$5010,$A93,'Lançamentos'!$C$2:$C$5010,F$20)</f>
        <v/>
      </c>
      <c r="G93" s="9">
        <f>SUMIFS('Lançamentos'!$L$2:$L$5010,'Lançamentos'!$A$2:$A$5010,"Uso e consumo",'Lançamentos'!$H$2:$H$5010,$A93,'Lançamentos'!$C$2:$C$5010,G$20)</f>
        <v/>
      </c>
      <c r="H93" s="9">
        <f>SUMIFS('Lançamentos'!$L$2:$L$5010,'Lançamentos'!$A$2:$A$5010,"Uso e consumo",'Lançamentos'!$H$2:$H$5010,$A93,'Lançamentos'!$C$2:$C$5010,H$20)</f>
        <v/>
      </c>
      <c r="I93" s="9">
        <f>SUMIFS('Lançamentos'!$L$2:$L$5010,'Lançamentos'!$A$2:$A$5010,"Uso e consumo",'Lançamentos'!$H$2:$H$5010,$A93,'Lançamentos'!$C$2:$C$5010,I$20)</f>
        <v/>
      </c>
      <c r="J93" s="9">
        <f>SUMIFS('Lançamentos'!$L$2:$L$5010,'Lançamentos'!$A$2:$A$5010,"Uso e consumo",'Lançamentos'!$H$2:$H$5010,$A93,'Lançamentos'!$C$2:$C$5010,J$20)</f>
        <v/>
      </c>
      <c r="K93" s="9">
        <f>SUM(B93:J93)</f>
        <v/>
      </c>
      <c r="L93" s="10">
        <f>K93/K$101</f>
        <v/>
      </c>
      <c r="M93" s="9">
        <f>SUMIFS('Lançamentos'!$L$2:$L$5010,'Lançamentos'!$A$2:$A$5010,"Uso e consumo",'Lançamentos'!$H$2:$H$5010,$A93,'Lançamentos'!$C$2:$C$5010,"Antes de 2026")</f>
        <v/>
      </c>
      <c r="N93" s="9">
        <f>SUMIFS('Lançamentos'!$J$2:$J$5010,'Lançamentos'!$A$2:$A$5010,"Uso e consumo",'Lançamentos'!$H$2:$H$5010,$A93,'Lançamentos'!$D$2:$D$5010,"Em 2026")</f>
        <v/>
      </c>
      <c r="O93" s="9">
        <f>SUMIFS('Lançamentos'!$K$2:$K$5010,'Lançamentos'!$A$2:$A$5010,"Uso e consumo",'Lançamentos'!$H$2:$H$5010,$A93,'Lançamentos'!$D$2:$D$5010,"Em 2026")</f>
        <v/>
      </c>
      <c r="P93" s="26">
        <f>COUNTIFS('Lançamentos'!$A$2:$A$5010,"Uso e consumo",'Lançamentos'!$H$2:$H$5010,$A93,'Lançamentos'!$D$2:$D$5010,"Em 2026")</f>
        <v/>
      </c>
    </row>
    <row r="94">
      <c r="A94" t="inlineStr">
        <is>
          <t>VEMDECLICK ECOMMERCE LTDA</t>
        </is>
      </c>
      <c r="B94" s="9">
        <f>SUMIFS('Lançamentos'!$L$2:$L$5010,'Lançamentos'!$A$2:$A$5010,"Uso e consumo",'Lançamentos'!$H$2:$H$5010,$A94,'Lançamentos'!$C$2:$C$5010,B$20)</f>
        <v/>
      </c>
      <c r="C94" s="9">
        <f>SUMIFS('Lançamentos'!$L$2:$L$5010,'Lançamentos'!$A$2:$A$5010,"Uso e consumo",'Lançamentos'!$H$2:$H$5010,$A94,'Lançamentos'!$C$2:$C$5010,C$20)</f>
        <v/>
      </c>
      <c r="D94" s="9">
        <f>SUMIFS('Lançamentos'!$L$2:$L$5010,'Lançamentos'!$A$2:$A$5010,"Uso e consumo",'Lançamentos'!$H$2:$H$5010,$A94,'Lançamentos'!$C$2:$C$5010,D$20)</f>
        <v/>
      </c>
      <c r="E94" s="9">
        <f>SUMIFS('Lançamentos'!$L$2:$L$5010,'Lançamentos'!$A$2:$A$5010,"Uso e consumo",'Lançamentos'!$H$2:$H$5010,$A94,'Lançamentos'!$C$2:$C$5010,E$20)</f>
        <v/>
      </c>
      <c r="F94" s="9">
        <f>SUMIFS('Lançamentos'!$L$2:$L$5010,'Lançamentos'!$A$2:$A$5010,"Uso e consumo",'Lançamentos'!$H$2:$H$5010,$A94,'Lançamentos'!$C$2:$C$5010,F$20)</f>
        <v/>
      </c>
      <c r="G94" s="9">
        <f>SUMIFS('Lançamentos'!$L$2:$L$5010,'Lançamentos'!$A$2:$A$5010,"Uso e consumo",'Lançamentos'!$H$2:$H$5010,$A94,'Lançamentos'!$C$2:$C$5010,G$20)</f>
        <v/>
      </c>
      <c r="H94" s="9">
        <f>SUMIFS('Lançamentos'!$L$2:$L$5010,'Lançamentos'!$A$2:$A$5010,"Uso e consumo",'Lançamentos'!$H$2:$H$5010,$A94,'Lançamentos'!$C$2:$C$5010,H$20)</f>
        <v/>
      </c>
      <c r="I94" s="9">
        <f>SUMIFS('Lançamentos'!$L$2:$L$5010,'Lançamentos'!$A$2:$A$5010,"Uso e consumo",'Lançamentos'!$H$2:$H$5010,$A94,'Lançamentos'!$C$2:$C$5010,I$20)</f>
        <v/>
      </c>
      <c r="J94" s="9">
        <f>SUMIFS('Lançamentos'!$L$2:$L$5010,'Lançamentos'!$A$2:$A$5010,"Uso e consumo",'Lançamentos'!$H$2:$H$5010,$A94,'Lançamentos'!$C$2:$C$5010,J$20)</f>
        <v/>
      </c>
      <c r="K94" s="9">
        <f>SUM(B94:J94)</f>
        <v/>
      </c>
      <c r="L94" s="10">
        <f>K94/K$101</f>
        <v/>
      </c>
      <c r="M94" s="9">
        <f>SUMIFS('Lançamentos'!$L$2:$L$5010,'Lançamentos'!$A$2:$A$5010,"Uso e consumo",'Lançamentos'!$H$2:$H$5010,$A94,'Lançamentos'!$C$2:$C$5010,"Antes de 2026")</f>
        <v/>
      </c>
      <c r="N94" s="9">
        <f>SUMIFS('Lançamentos'!$J$2:$J$5010,'Lançamentos'!$A$2:$A$5010,"Uso e consumo",'Lançamentos'!$H$2:$H$5010,$A94,'Lançamentos'!$D$2:$D$5010,"Em 2026")</f>
        <v/>
      </c>
      <c r="O94" s="9">
        <f>SUMIFS('Lançamentos'!$K$2:$K$5010,'Lançamentos'!$A$2:$A$5010,"Uso e consumo",'Lançamentos'!$H$2:$H$5010,$A94,'Lançamentos'!$D$2:$D$5010,"Em 2026")</f>
        <v/>
      </c>
      <c r="P94" s="26">
        <f>COUNTIFS('Lançamentos'!$A$2:$A$5010,"Uso e consumo",'Lançamentos'!$H$2:$H$5010,$A94,'Lançamentos'!$D$2:$D$5010,"Em 2026")</f>
        <v/>
      </c>
    </row>
    <row r="95">
      <c r="A95" t="inlineStr">
        <is>
          <t>ELETROCELO COMERCIO DE MATERIAIS ELETRICOS LTDA</t>
        </is>
      </c>
      <c r="B95" s="9">
        <f>SUMIFS('Lançamentos'!$L$2:$L$5010,'Lançamentos'!$A$2:$A$5010,"Uso e consumo",'Lançamentos'!$H$2:$H$5010,$A95,'Lançamentos'!$C$2:$C$5010,B$20)</f>
        <v/>
      </c>
      <c r="C95" s="9">
        <f>SUMIFS('Lançamentos'!$L$2:$L$5010,'Lançamentos'!$A$2:$A$5010,"Uso e consumo",'Lançamentos'!$H$2:$H$5010,$A95,'Lançamentos'!$C$2:$C$5010,C$20)</f>
        <v/>
      </c>
      <c r="D95" s="9">
        <f>SUMIFS('Lançamentos'!$L$2:$L$5010,'Lançamentos'!$A$2:$A$5010,"Uso e consumo",'Lançamentos'!$H$2:$H$5010,$A95,'Lançamentos'!$C$2:$C$5010,D$20)</f>
        <v/>
      </c>
      <c r="E95" s="9">
        <f>SUMIFS('Lançamentos'!$L$2:$L$5010,'Lançamentos'!$A$2:$A$5010,"Uso e consumo",'Lançamentos'!$H$2:$H$5010,$A95,'Lançamentos'!$C$2:$C$5010,E$20)</f>
        <v/>
      </c>
      <c r="F95" s="9">
        <f>SUMIFS('Lançamentos'!$L$2:$L$5010,'Lançamentos'!$A$2:$A$5010,"Uso e consumo",'Lançamentos'!$H$2:$H$5010,$A95,'Lançamentos'!$C$2:$C$5010,F$20)</f>
        <v/>
      </c>
      <c r="G95" s="9">
        <f>SUMIFS('Lançamentos'!$L$2:$L$5010,'Lançamentos'!$A$2:$A$5010,"Uso e consumo",'Lançamentos'!$H$2:$H$5010,$A95,'Lançamentos'!$C$2:$C$5010,G$20)</f>
        <v/>
      </c>
      <c r="H95" s="9">
        <f>SUMIFS('Lançamentos'!$L$2:$L$5010,'Lançamentos'!$A$2:$A$5010,"Uso e consumo",'Lançamentos'!$H$2:$H$5010,$A95,'Lançamentos'!$C$2:$C$5010,H$20)</f>
        <v/>
      </c>
      <c r="I95" s="9">
        <f>SUMIFS('Lançamentos'!$L$2:$L$5010,'Lançamentos'!$A$2:$A$5010,"Uso e consumo",'Lançamentos'!$H$2:$H$5010,$A95,'Lançamentos'!$C$2:$C$5010,I$20)</f>
        <v/>
      </c>
      <c r="J95" s="9">
        <f>SUMIFS('Lançamentos'!$L$2:$L$5010,'Lançamentos'!$A$2:$A$5010,"Uso e consumo",'Lançamentos'!$H$2:$H$5010,$A95,'Lançamentos'!$C$2:$C$5010,J$20)</f>
        <v/>
      </c>
      <c r="K95" s="9">
        <f>SUM(B95:J95)</f>
        <v/>
      </c>
      <c r="L95" s="10">
        <f>K95/K$101</f>
        <v/>
      </c>
      <c r="M95" s="9">
        <f>SUMIFS('Lançamentos'!$L$2:$L$5010,'Lançamentos'!$A$2:$A$5010,"Uso e consumo",'Lançamentos'!$H$2:$H$5010,$A95,'Lançamentos'!$C$2:$C$5010,"Antes de 2026")</f>
        <v/>
      </c>
      <c r="N95" s="9">
        <f>SUMIFS('Lançamentos'!$J$2:$J$5010,'Lançamentos'!$A$2:$A$5010,"Uso e consumo",'Lançamentos'!$H$2:$H$5010,$A95,'Lançamentos'!$D$2:$D$5010,"Em 2026")</f>
        <v/>
      </c>
      <c r="O95" s="9">
        <f>SUMIFS('Lançamentos'!$K$2:$K$5010,'Lançamentos'!$A$2:$A$5010,"Uso e consumo",'Lançamentos'!$H$2:$H$5010,$A95,'Lançamentos'!$D$2:$D$5010,"Em 2026")</f>
        <v/>
      </c>
      <c r="P95" s="26">
        <f>COUNTIFS('Lançamentos'!$A$2:$A$5010,"Uso e consumo",'Lançamentos'!$H$2:$H$5010,$A95,'Lançamentos'!$D$2:$D$5010,"Em 2026")</f>
        <v/>
      </c>
    </row>
    <row r="96">
      <c r="A96" t="inlineStr">
        <is>
          <t>AI TEM - COMERCIO VAREJISTA DE PRODUTOS EM ACO INOX LTDA.</t>
        </is>
      </c>
      <c r="B96" s="9">
        <f>SUMIFS('Lançamentos'!$L$2:$L$5010,'Lançamentos'!$A$2:$A$5010,"Uso e consumo",'Lançamentos'!$H$2:$H$5010,$A96,'Lançamentos'!$C$2:$C$5010,B$20)</f>
        <v/>
      </c>
      <c r="C96" s="9">
        <f>SUMIFS('Lançamentos'!$L$2:$L$5010,'Lançamentos'!$A$2:$A$5010,"Uso e consumo",'Lançamentos'!$H$2:$H$5010,$A96,'Lançamentos'!$C$2:$C$5010,C$20)</f>
        <v/>
      </c>
      <c r="D96" s="9">
        <f>SUMIFS('Lançamentos'!$L$2:$L$5010,'Lançamentos'!$A$2:$A$5010,"Uso e consumo",'Lançamentos'!$H$2:$H$5010,$A96,'Lançamentos'!$C$2:$C$5010,D$20)</f>
        <v/>
      </c>
      <c r="E96" s="9">
        <f>SUMIFS('Lançamentos'!$L$2:$L$5010,'Lançamentos'!$A$2:$A$5010,"Uso e consumo",'Lançamentos'!$H$2:$H$5010,$A96,'Lançamentos'!$C$2:$C$5010,E$20)</f>
        <v/>
      </c>
      <c r="F96" s="9">
        <f>SUMIFS('Lançamentos'!$L$2:$L$5010,'Lançamentos'!$A$2:$A$5010,"Uso e consumo",'Lançamentos'!$H$2:$H$5010,$A96,'Lançamentos'!$C$2:$C$5010,F$20)</f>
        <v/>
      </c>
      <c r="G96" s="9">
        <f>SUMIFS('Lançamentos'!$L$2:$L$5010,'Lançamentos'!$A$2:$A$5010,"Uso e consumo",'Lançamentos'!$H$2:$H$5010,$A96,'Lançamentos'!$C$2:$C$5010,G$20)</f>
        <v/>
      </c>
      <c r="H96" s="9">
        <f>SUMIFS('Lançamentos'!$L$2:$L$5010,'Lançamentos'!$A$2:$A$5010,"Uso e consumo",'Lançamentos'!$H$2:$H$5010,$A96,'Lançamentos'!$C$2:$C$5010,H$20)</f>
        <v/>
      </c>
      <c r="I96" s="9">
        <f>SUMIFS('Lançamentos'!$L$2:$L$5010,'Lançamentos'!$A$2:$A$5010,"Uso e consumo",'Lançamentos'!$H$2:$H$5010,$A96,'Lançamentos'!$C$2:$C$5010,I$20)</f>
        <v/>
      </c>
      <c r="J96" s="9">
        <f>SUMIFS('Lançamentos'!$L$2:$L$5010,'Lançamentos'!$A$2:$A$5010,"Uso e consumo",'Lançamentos'!$H$2:$H$5010,$A96,'Lançamentos'!$C$2:$C$5010,J$20)</f>
        <v/>
      </c>
      <c r="K96" s="9">
        <f>SUM(B96:J96)</f>
        <v/>
      </c>
      <c r="L96" s="10">
        <f>K96/K$101</f>
        <v/>
      </c>
      <c r="M96" s="9">
        <f>SUMIFS('Lançamentos'!$L$2:$L$5010,'Lançamentos'!$A$2:$A$5010,"Uso e consumo",'Lançamentos'!$H$2:$H$5010,$A96,'Lançamentos'!$C$2:$C$5010,"Antes de 2026")</f>
        <v/>
      </c>
      <c r="N96" s="9">
        <f>SUMIFS('Lançamentos'!$J$2:$J$5010,'Lançamentos'!$A$2:$A$5010,"Uso e consumo",'Lançamentos'!$H$2:$H$5010,$A96,'Lançamentos'!$D$2:$D$5010,"Em 2026")</f>
        <v/>
      </c>
      <c r="O96" s="9">
        <f>SUMIFS('Lançamentos'!$K$2:$K$5010,'Lançamentos'!$A$2:$A$5010,"Uso e consumo",'Lançamentos'!$H$2:$H$5010,$A96,'Lançamentos'!$D$2:$D$5010,"Em 2026")</f>
        <v/>
      </c>
      <c r="P96" s="26">
        <f>COUNTIFS('Lançamentos'!$A$2:$A$5010,"Uso e consumo",'Lançamentos'!$H$2:$H$5010,$A96,'Lançamentos'!$D$2:$D$5010,"Em 2026")</f>
        <v/>
      </c>
    </row>
    <row r="97">
      <c r="A97" t="inlineStr">
        <is>
          <t>EMPORIO DE FATIMA INDUSTRIA E COMERCIO DE PANIFICACAO LTDA</t>
        </is>
      </c>
      <c r="B97" s="9">
        <f>SUMIFS('Lançamentos'!$L$2:$L$5010,'Lançamentos'!$A$2:$A$5010,"Uso e consumo",'Lançamentos'!$H$2:$H$5010,$A97,'Lançamentos'!$C$2:$C$5010,B$20)</f>
        <v/>
      </c>
      <c r="C97" s="9">
        <f>SUMIFS('Lançamentos'!$L$2:$L$5010,'Lançamentos'!$A$2:$A$5010,"Uso e consumo",'Lançamentos'!$H$2:$H$5010,$A97,'Lançamentos'!$C$2:$C$5010,C$20)</f>
        <v/>
      </c>
      <c r="D97" s="9">
        <f>SUMIFS('Lançamentos'!$L$2:$L$5010,'Lançamentos'!$A$2:$A$5010,"Uso e consumo",'Lançamentos'!$H$2:$H$5010,$A97,'Lançamentos'!$C$2:$C$5010,D$20)</f>
        <v/>
      </c>
      <c r="E97" s="9">
        <f>SUMIFS('Lançamentos'!$L$2:$L$5010,'Lançamentos'!$A$2:$A$5010,"Uso e consumo",'Lançamentos'!$H$2:$H$5010,$A97,'Lançamentos'!$C$2:$C$5010,E$20)</f>
        <v/>
      </c>
      <c r="F97" s="9">
        <f>SUMIFS('Lançamentos'!$L$2:$L$5010,'Lançamentos'!$A$2:$A$5010,"Uso e consumo",'Lançamentos'!$H$2:$H$5010,$A97,'Lançamentos'!$C$2:$C$5010,F$20)</f>
        <v/>
      </c>
      <c r="G97" s="9">
        <f>SUMIFS('Lançamentos'!$L$2:$L$5010,'Lançamentos'!$A$2:$A$5010,"Uso e consumo",'Lançamentos'!$H$2:$H$5010,$A97,'Lançamentos'!$C$2:$C$5010,G$20)</f>
        <v/>
      </c>
      <c r="H97" s="9">
        <f>SUMIFS('Lançamentos'!$L$2:$L$5010,'Lançamentos'!$A$2:$A$5010,"Uso e consumo",'Lançamentos'!$H$2:$H$5010,$A97,'Lançamentos'!$C$2:$C$5010,H$20)</f>
        <v/>
      </c>
      <c r="I97" s="9">
        <f>SUMIFS('Lançamentos'!$L$2:$L$5010,'Lançamentos'!$A$2:$A$5010,"Uso e consumo",'Lançamentos'!$H$2:$H$5010,$A97,'Lançamentos'!$C$2:$C$5010,I$20)</f>
        <v/>
      </c>
      <c r="J97" s="9">
        <f>SUMIFS('Lançamentos'!$L$2:$L$5010,'Lançamentos'!$A$2:$A$5010,"Uso e consumo",'Lançamentos'!$H$2:$H$5010,$A97,'Lançamentos'!$C$2:$C$5010,J$20)</f>
        <v/>
      </c>
      <c r="K97" s="9">
        <f>SUM(B97:J97)</f>
        <v/>
      </c>
      <c r="L97" s="10">
        <f>K97/K$101</f>
        <v/>
      </c>
      <c r="M97" s="9">
        <f>SUMIFS('Lançamentos'!$L$2:$L$5010,'Lançamentos'!$A$2:$A$5010,"Uso e consumo",'Lançamentos'!$H$2:$H$5010,$A97,'Lançamentos'!$C$2:$C$5010,"Antes de 2026")</f>
        <v/>
      </c>
      <c r="N97" s="9">
        <f>SUMIFS('Lançamentos'!$J$2:$J$5010,'Lançamentos'!$A$2:$A$5010,"Uso e consumo",'Lançamentos'!$H$2:$H$5010,$A97,'Lançamentos'!$D$2:$D$5010,"Em 2026")</f>
        <v/>
      </c>
      <c r="O97" s="9">
        <f>SUMIFS('Lançamentos'!$K$2:$K$5010,'Lançamentos'!$A$2:$A$5010,"Uso e consumo",'Lançamentos'!$H$2:$H$5010,$A97,'Lançamentos'!$D$2:$D$5010,"Em 2026")</f>
        <v/>
      </c>
      <c r="P97" s="26">
        <f>COUNTIFS('Lançamentos'!$A$2:$A$5010,"Uso e consumo",'Lançamentos'!$H$2:$H$5010,$A97,'Lançamentos'!$D$2:$D$5010,"Em 2026")</f>
        <v/>
      </c>
    </row>
    <row r="98">
      <c r="A98" t="inlineStr">
        <is>
          <t>BRICOZE CELL ELETRONICOS LTDA</t>
        </is>
      </c>
      <c r="B98" s="9">
        <f>SUMIFS('Lançamentos'!$L$2:$L$5010,'Lançamentos'!$A$2:$A$5010,"Uso e consumo",'Lançamentos'!$H$2:$H$5010,$A98,'Lançamentos'!$C$2:$C$5010,B$20)</f>
        <v/>
      </c>
      <c r="C98" s="9">
        <f>SUMIFS('Lançamentos'!$L$2:$L$5010,'Lançamentos'!$A$2:$A$5010,"Uso e consumo",'Lançamentos'!$H$2:$H$5010,$A98,'Lançamentos'!$C$2:$C$5010,C$20)</f>
        <v/>
      </c>
      <c r="D98" s="9">
        <f>SUMIFS('Lançamentos'!$L$2:$L$5010,'Lançamentos'!$A$2:$A$5010,"Uso e consumo",'Lançamentos'!$H$2:$H$5010,$A98,'Lançamentos'!$C$2:$C$5010,D$20)</f>
        <v/>
      </c>
      <c r="E98" s="9">
        <f>SUMIFS('Lançamentos'!$L$2:$L$5010,'Lançamentos'!$A$2:$A$5010,"Uso e consumo",'Lançamentos'!$H$2:$H$5010,$A98,'Lançamentos'!$C$2:$C$5010,E$20)</f>
        <v/>
      </c>
      <c r="F98" s="9">
        <f>SUMIFS('Lançamentos'!$L$2:$L$5010,'Lançamentos'!$A$2:$A$5010,"Uso e consumo",'Lançamentos'!$H$2:$H$5010,$A98,'Lançamentos'!$C$2:$C$5010,F$20)</f>
        <v/>
      </c>
      <c r="G98" s="9">
        <f>SUMIFS('Lançamentos'!$L$2:$L$5010,'Lançamentos'!$A$2:$A$5010,"Uso e consumo",'Lançamentos'!$H$2:$H$5010,$A98,'Lançamentos'!$C$2:$C$5010,G$20)</f>
        <v/>
      </c>
      <c r="H98" s="9">
        <f>SUMIFS('Lançamentos'!$L$2:$L$5010,'Lançamentos'!$A$2:$A$5010,"Uso e consumo",'Lançamentos'!$H$2:$H$5010,$A98,'Lançamentos'!$C$2:$C$5010,H$20)</f>
        <v/>
      </c>
      <c r="I98" s="9">
        <f>SUMIFS('Lançamentos'!$L$2:$L$5010,'Lançamentos'!$A$2:$A$5010,"Uso e consumo",'Lançamentos'!$H$2:$H$5010,$A98,'Lançamentos'!$C$2:$C$5010,I$20)</f>
        <v/>
      </c>
      <c r="J98" s="9">
        <f>SUMIFS('Lançamentos'!$L$2:$L$5010,'Lançamentos'!$A$2:$A$5010,"Uso e consumo",'Lançamentos'!$H$2:$H$5010,$A98,'Lançamentos'!$C$2:$C$5010,J$20)</f>
        <v/>
      </c>
      <c r="K98" s="9">
        <f>SUM(B98:J98)</f>
        <v/>
      </c>
      <c r="L98" s="10">
        <f>K98/K$101</f>
        <v/>
      </c>
      <c r="M98" s="9">
        <f>SUMIFS('Lançamentos'!$L$2:$L$5010,'Lançamentos'!$A$2:$A$5010,"Uso e consumo",'Lançamentos'!$H$2:$H$5010,$A98,'Lançamentos'!$C$2:$C$5010,"Antes de 2026")</f>
        <v/>
      </c>
      <c r="N98" s="9">
        <f>SUMIFS('Lançamentos'!$J$2:$J$5010,'Lançamentos'!$A$2:$A$5010,"Uso e consumo",'Lançamentos'!$H$2:$H$5010,$A98,'Lançamentos'!$D$2:$D$5010,"Em 2026")</f>
        <v/>
      </c>
      <c r="O98" s="9">
        <f>SUMIFS('Lançamentos'!$K$2:$K$5010,'Lançamentos'!$A$2:$A$5010,"Uso e consumo",'Lançamentos'!$H$2:$H$5010,$A98,'Lançamentos'!$D$2:$D$5010,"Em 2026")</f>
        <v/>
      </c>
      <c r="P98" s="26">
        <f>COUNTIFS('Lançamentos'!$A$2:$A$5010,"Uso e consumo",'Lançamentos'!$H$2:$H$5010,$A98,'Lançamentos'!$D$2:$D$5010,"Em 2026")</f>
        <v/>
      </c>
    </row>
    <row r="99">
      <c r="A99" t="inlineStr">
        <is>
          <t>TROPICAL IMPORT IND COM IMP AQUARIO LTDA</t>
        </is>
      </c>
      <c r="B99" s="9">
        <f>SUMIFS('Lançamentos'!$L$2:$L$5010,'Lançamentos'!$A$2:$A$5010,"Uso e consumo",'Lançamentos'!$H$2:$H$5010,$A99,'Lançamentos'!$C$2:$C$5010,B$20)</f>
        <v/>
      </c>
      <c r="C99" s="9">
        <f>SUMIFS('Lançamentos'!$L$2:$L$5010,'Lançamentos'!$A$2:$A$5010,"Uso e consumo",'Lançamentos'!$H$2:$H$5010,$A99,'Lançamentos'!$C$2:$C$5010,C$20)</f>
        <v/>
      </c>
      <c r="D99" s="9">
        <f>SUMIFS('Lançamentos'!$L$2:$L$5010,'Lançamentos'!$A$2:$A$5010,"Uso e consumo",'Lançamentos'!$H$2:$H$5010,$A99,'Lançamentos'!$C$2:$C$5010,D$20)</f>
        <v/>
      </c>
      <c r="E99" s="9">
        <f>SUMIFS('Lançamentos'!$L$2:$L$5010,'Lançamentos'!$A$2:$A$5010,"Uso e consumo",'Lançamentos'!$H$2:$H$5010,$A99,'Lançamentos'!$C$2:$C$5010,E$20)</f>
        <v/>
      </c>
      <c r="F99" s="9">
        <f>SUMIFS('Lançamentos'!$L$2:$L$5010,'Lançamentos'!$A$2:$A$5010,"Uso e consumo",'Lançamentos'!$H$2:$H$5010,$A99,'Lançamentos'!$C$2:$C$5010,F$20)</f>
        <v/>
      </c>
      <c r="G99" s="9">
        <f>SUMIFS('Lançamentos'!$L$2:$L$5010,'Lançamentos'!$A$2:$A$5010,"Uso e consumo",'Lançamentos'!$H$2:$H$5010,$A99,'Lançamentos'!$C$2:$C$5010,G$20)</f>
        <v/>
      </c>
      <c r="H99" s="9">
        <f>SUMIFS('Lançamentos'!$L$2:$L$5010,'Lançamentos'!$A$2:$A$5010,"Uso e consumo",'Lançamentos'!$H$2:$H$5010,$A99,'Lançamentos'!$C$2:$C$5010,H$20)</f>
        <v/>
      </c>
      <c r="I99" s="9">
        <f>SUMIFS('Lançamentos'!$L$2:$L$5010,'Lançamentos'!$A$2:$A$5010,"Uso e consumo",'Lançamentos'!$H$2:$H$5010,$A99,'Lançamentos'!$C$2:$C$5010,I$20)</f>
        <v/>
      </c>
      <c r="J99" s="9">
        <f>SUMIFS('Lançamentos'!$L$2:$L$5010,'Lançamentos'!$A$2:$A$5010,"Uso e consumo",'Lançamentos'!$H$2:$H$5010,$A99,'Lançamentos'!$C$2:$C$5010,J$20)</f>
        <v/>
      </c>
      <c r="K99" s="9">
        <f>SUM(B99:J99)</f>
        <v/>
      </c>
      <c r="L99" s="10">
        <f>K99/K$101</f>
        <v/>
      </c>
      <c r="M99" s="9">
        <f>SUMIFS('Lançamentos'!$L$2:$L$5010,'Lançamentos'!$A$2:$A$5010,"Uso e consumo",'Lançamentos'!$H$2:$H$5010,$A99,'Lançamentos'!$C$2:$C$5010,"Antes de 2026")</f>
        <v/>
      </c>
      <c r="N99" s="9">
        <f>SUMIFS('Lançamentos'!$J$2:$J$5010,'Lançamentos'!$A$2:$A$5010,"Uso e consumo",'Lançamentos'!$H$2:$H$5010,$A99,'Lançamentos'!$D$2:$D$5010,"Em 2026")</f>
        <v/>
      </c>
      <c r="O99" s="9">
        <f>SUMIFS('Lançamentos'!$K$2:$K$5010,'Lançamentos'!$A$2:$A$5010,"Uso e consumo",'Lançamentos'!$H$2:$H$5010,$A99,'Lançamentos'!$D$2:$D$5010,"Em 2026")</f>
        <v/>
      </c>
      <c r="P99" s="26">
        <f>COUNTIFS('Lançamentos'!$A$2:$A$5010,"Uso e consumo",'Lançamentos'!$H$2:$H$5010,$A99,'Lançamentos'!$D$2:$D$5010,"Em 2026")</f>
        <v/>
      </c>
    </row>
    <row r="100">
      <c r="A100" t="inlineStr">
        <is>
          <t>TECFAG COMERCIO E IMPORTACAO DE MAQUINAS LTDA</t>
        </is>
      </c>
      <c r="B100" s="9">
        <f>SUMIFS('Lançamentos'!$L$2:$L$5010,'Lançamentos'!$A$2:$A$5010,"Uso e consumo",'Lançamentos'!$H$2:$H$5010,$A100,'Lançamentos'!$C$2:$C$5010,B$20)</f>
        <v/>
      </c>
      <c r="C100" s="9">
        <f>SUMIFS('Lançamentos'!$L$2:$L$5010,'Lançamentos'!$A$2:$A$5010,"Uso e consumo",'Lançamentos'!$H$2:$H$5010,$A100,'Lançamentos'!$C$2:$C$5010,C$20)</f>
        <v/>
      </c>
      <c r="D100" s="9">
        <f>SUMIFS('Lançamentos'!$L$2:$L$5010,'Lançamentos'!$A$2:$A$5010,"Uso e consumo",'Lançamentos'!$H$2:$H$5010,$A100,'Lançamentos'!$C$2:$C$5010,D$20)</f>
        <v/>
      </c>
      <c r="E100" s="9">
        <f>SUMIFS('Lançamentos'!$L$2:$L$5010,'Lançamentos'!$A$2:$A$5010,"Uso e consumo",'Lançamentos'!$H$2:$H$5010,$A100,'Lançamentos'!$C$2:$C$5010,E$20)</f>
        <v/>
      </c>
      <c r="F100" s="9">
        <f>SUMIFS('Lançamentos'!$L$2:$L$5010,'Lançamentos'!$A$2:$A$5010,"Uso e consumo",'Lançamentos'!$H$2:$H$5010,$A100,'Lançamentos'!$C$2:$C$5010,F$20)</f>
        <v/>
      </c>
      <c r="G100" s="9">
        <f>SUMIFS('Lançamentos'!$L$2:$L$5010,'Lançamentos'!$A$2:$A$5010,"Uso e consumo",'Lançamentos'!$H$2:$H$5010,$A100,'Lançamentos'!$C$2:$C$5010,G$20)</f>
        <v/>
      </c>
      <c r="H100" s="9">
        <f>SUMIFS('Lançamentos'!$L$2:$L$5010,'Lançamentos'!$A$2:$A$5010,"Uso e consumo",'Lançamentos'!$H$2:$H$5010,$A100,'Lançamentos'!$C$2:$C$5010,H$20)</f>
        <v/>
      </c>
      <c r="I100" s="9">
        <f>SUMIFS('Lançamentos'!$L$2:$L$5010,'Lançamentos'!$A$2:$A$5010,"Uso e consumo",'Lançamentos'!$H$2:$H$5010,$A100,'Lançamentos'!$C$2:$C$5010,I$20)</f>
        <v/>
      </c>
      <c r="J100" s="9">
        <f>SUMIFS('Lançamentos'!$L$2:$L$5010,'Lançamentos'!$A$2:$A$5010,"Uso e consumo",'Lançamentos'!$H$2:$H$5010,$A100,'Lançamentos'!$C$2:$C$5010,J$20)</f>
        <v/>
      </c>
      <c r="K100" s="9">
        <f>SUM(B100:J100)</f>
        <v/>
      </c>
      <c r="L100" s="10">
        <f>K100/K$101</f>
        <v/>
      </c>
      <c r="M100" s="9">
        <f>SUMIFS('Lançamentos'!$L$2:$L$5010,'Lançamentos'!$A$2:$A$5010,"Uso e consumo",'Lançamentos'!$H$2:$H$5010,$A100,'Lançamentos'!$C$2:$C$5010,"Antes de 2026")</f>
        <v/>
      </c>
      <c r="N100" s="9">
        <f>SUMIFS('Lançamentos'!$J$2:$J$5010,'Lançamentos'!$A$2:$A$5010,"Uso e consumo",'Lançamentos'!$H$2:$H$5010,$A100,'Lançamentos'!$D$2:$D$5010,"Em 2026")</f>
        <v/>
      </c>
      <c r="O100" s="9">
        <f>SUMIFS('Lançamentos'!$K$2:$K$5010,'Lançamentos'!$A$2:$A$5010,"Uso e consumo",'Lançamentos'!$H$2:$H$5010,$A100,'Lançamentos'!$D$2:$D$5010,"Em 2026")</f>
        <v/>
      </c>
      <c r="P100" s="26">
        <f>COUNTIFS('Lançamentos'!$A$2:$A$5010,"Uso e consumo",'Lançamentos'!$H$2:$H$5010,$A100,'Lançamentos'!$D$2:$D$5010,"Em 2026")</f>
        <v/>
      </c>
    </row>
    <row r="101">
      <c r="A101" s="11" t="inlineStr">
        <is>
          <t>TOTAL USO E CONSUMO</t>
        </is>
      </c>
      <c r="B101" s="13">
        <f>SUM(B21:B100)</f>
        <v/>
      </c>
      <c r="C101" s="13">
        <f>SUM(C21:C100)</f>
        <v/>
      </c>
      <c r="D101" s="13">
        <f>SUM(D21:D100)</f>
        <v/>
      </c>
      <c r="E101" s="13">
        <f>SUM(E21:E100)</f>
        <v/>
      </c>
      <c r="F101" s="13">
        <f>SUM(F21:F100)</f>
        <v/>
      </c>
      <c r="G101" s="13">
        <f>SUM(G21:G100)</f>
        <v/>
      </c>
      <c r="H101" s="13">
        <f>SUM(H21:H100)</f>
        <v/>
      </c>
      <c r="I101" s="13">
        <f>SUM(I21:I100)</f>
        <v/>
      </c>
      <c r="J101" s="13">
        <f>SUM(J21:J100)</f>
        <v/>
      </c>
      <c r="K101" s="13">
        <f>SUM(K21:K100)</f>
        <v/>
      </c>
      <c r="L101" s="14">
        <f>K101/K$101</f>
        <v/>
      </c>
      <c r="M101" s="13">
        <f>SUM(M21:M100)</f>
        <v/>
      </c>
      <c r="N101" s="13">
        <f>SUM(N21:N100)</f>
        <v/>
      </c>
      <c r="O101" s="13">
        <f>SUM(O21:O100)</f>
        <v/>
      </c>
      <c r="P101" s="27">
        <f>SUM(P21:P100)</f>
        <v/>
      </c>
    </row>
    <row r="102">
      <c r="A102" t="inlineStr">
        <is>
          <t>Conferência: total por fornecedor − total por subcategoria (deve ser zero)</t>
        </is>
      </c>
      <c r="B102" s="9">
        <f>ROUND(B101-B13,2)</f>
        <v/>
      </c>
      <c r="C102" s="9">
        <f>ROUND(C101-C13,2)</f>
        <v/>
      </c>
      <c r="D102" s="9">
        <f>ROUND(D101-D13,2)</f>
        <v/>
      </c>
      <c r="E102" s="9">
        <f>ROUND(E101-E13,2)</f>
        <v/>
      </c>
      <c r="F102" s="9">
        <f>ROUND(F101-F13,2)</f>
        <v/>
      </c>
      <c r="G102" s="9">
        <f>ROUND(G101-G13,2)</f>
        <v/>
      </c>
      <c r="H102" s="9">
        <f>ROUND(H101-H13,2)</f>
        <v/>
      </c>
      <c r="I102" s="9">
        <f>ROUND(I101-I13,2)</f>
        <v/>
      </c>
      <c r="J102" s="9">
        <f>ROUND(J101-J13,2)</f>
        <v/>
      </c>
      <c r="K102" s="9">
        <f>ROUND(K101-K13,2)</f>
        <v/>
      </c>
      <c r="L102" s="10" t="n"/>
      <c r="M102" s="9">
        <f>ROUND(M101-M13,2)</f>
        <v/>
      </c>
      <c r="N102" s="9" t="n"/>
      <c r="O102" s="9" t="n"/>
      <c r="P102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7" t="inlineStr">
        <is>
          <t>Frete de compra – 2026 (VINCO)</t>
        </is>
      </c>
    </row>
    <row r="2">
      <c r="A2" t="inlineStr">
        <is>
          <t>Fretes de compra de papel/bobina: Aliança Navegação, Stancanelli, Gol Linhas Aéreas e Planeta Azul. Todos os CT-e emitidos; líquido do ICMS creditável.</t>
        </is>
      </c>
    </row>
    <row r="4">
      <c r="A4" s="4" t="inlineStr">
        <is>
          <t>Subcategoria (categoria do Omie)</t>
        </is>
      </c>
      <c r="B4" s="18" t="n">
        <v>46023</v>
      </c>
      <c r="C4" s="18" t="n">
        <v>46054</v>
      </c>
      <c r="D4" s="18" t="n">
        <v>46082</v>
      </c>
      <c r="E4" s="18" t="n">
        <v>46113</v>
      </c>
      <c r="F4" s="18" t="n">
        <v>46143</v>
      </c>
      <c r="G4" s="18" t="n">
        <v>46174</v>
      </c>
      <c r="H4" s="18" t="n">
        <v>46204</v>
      </c>
      <c r="I4" s="18" t="n">
        <v>46235</v>
      </c>
      <c r="J4" s="18" t="n">
        <v>46266</v>
      </c>
      <c r="K4" s="5" t="inlineStr">
        <is>
          <t>Total 2026</t>
        </is>
      </c>
      <c r="L4" s="5" t="inlineStr">
        <is>
          <t>% do total</t>
        </is>
      </c>
      <c r="M4" s="5" t="inlineStr">
        <is>
          <t>Memo: antes de 2026</t>
        </is>
      </c>
    </row>
    <row r="5">
      <c r="A5" s="25" t="inlineStr">
        <is>
          <t>1.01.01 Venda de Mercadoria Fabricadas</t>
        </is>
      </c>
      <c r="B5" s="9">
        <f>SUMIFS('Lançamentos'!$L$2:$L$5010,'Lançamentos'!$A$2:$A$5010,"Frete de compra",'Lançamentos'!$B$2:$B$5010,$A5,'Lançamentos'!$C$2:$C$5010,B$4)</f>
        <v/>
      </c>
      <c r="C5" s="9">
        <f>SUMIFS('Lançamentos'!$L$2:$L$5010,'Lançamentos'!$A$2:$A$5010,"Frete de compra",'Lançamentos'!$B$2:$B$5010,$A5,'Lançamentos'!$C$2:$C$5010,C$4)</f>
        <v/>
      </c>
      <c r="D5" s="9">
        <f>SUMIFS('Lançamentos'!$L$2:$L$5010,'Lançamentos'!$A$2:$A$5010,"Frete de compra",'Lançamentos'!$B$2:$B$5010,$A5,'Lançamentos'!$C$2:$C$5010,D$4)</f>
        <v/>
      </c>
      <c r="E5" s="9">
        <f>SUMIFS('Lançamentos'!$L$2:$L$5010,'Lançamentos'!$A$2:$A$5010,"Frete de compra",'Lançamentos'!$B$2:$B$5010,$A5,'Lançamentos'!$C$2:$C$5010,E$4)</f>
        <v/>
      </c>
      <c r="F5" s="9">
        <f>SUMIFS('Lançamentos'!$L$2:$L$5010,'Lançamentos'!$A$2:$A$5010,"Frete de compra",'Lançamentos'!$B$2:$B$5010,$A5,'Lançamentos'!$C$2:$C$5010,F$4)</f>
        <v/>
      </c>
      <c r="G5" s="9">
        <f>SUMIFS('Lançamentos'!$L$2:$L$5010,'Lançamentos'!$A$2:$A$5010,"Frete de compra",'Lançamentos'!$B$2:$B$5010,$A5,'Lançamentos'!$C$2:$C$5010,G$4)</f>
        <v/>
      </c>
      <c r="H5" s="9">
        <f>SUMIFS('Lançamentos'!$L$2:$L$5010,'Lançamentos'!$A$2:$A$5010,"Frete de compra",'Lançamentos'!$B$2:$B$5010,$A5,'Lançamentos'!$C$2:$C$5010,H$4)</f>
        <v/>
      </c>
      <c r="I5" s="9">
        <f>SUMIFS('Lançamentos'!$L$2:$L$5010,'Lançamentos'!$A$2:$A$5010,"Frete de compra",'Lançamentos'!$B$2:$B$5010,$A5,'Lançamentos'!$C$2:$C$5010,I$4)</f>
        <v/>
      </c>
      <c r="J5" s="9">
        <f>SUMIFS('Lançamentos'!$L$2:$L$5010,'Lançamentos'!$A$2:$A$5010,"Frete de compra",'Lançamentos'!$B$2:$B$5010,$A5,'Lançamentos'!$C$2:$C$5010,J$4)</f>
        <v/>
      </c>
      <c r="K5" s="9">
        <f>SUM(B5:J5)</f>
        <v/>
      </c>
      <c r="L5" s="10">
        <f>K5/K$12</f>
        <v/>
      </c>
      <c r="M5" s="9">
        <f>SUMIFS('Lançamentos'!$L$2:$L$5010,'Lançamentos'!$A$2:$A$5010,"Frete de compra",'Lançamentos'!$B$2:$B$5010,$A5,'Lançamentos'!$C$2:$C$5010,"Antes de 2026")</f>
        <v/>
      </c>
      <c r="N5" s="9" t="n"/>
      <c r="O5" s="9" t="n"/>
      <c r="P5" s="26" t="n"/>
    </row>
    <row r="6">
      <c r="A6" s="25" t="inlineStr">
        <is>
          <t>2.01.01 Frete Galpão Produto Acabado</t>
        </is>
      </c>
      <c r="B6" s="9">
        <f>SUMIFS('Lançamentos'!$L$2:$L$5010,'Lançamentos'!$A$2:$A$5010,"Frete de compra",'Lançamentos'!$B$2:$B$5010,$A6,'Lançamentos'!$C$2:$C$5010,B$4)</f>
        <v/>
      </c>
      <c r="C6" s="9">
        <f>SUMIFS('Lançamentos'!$L$2:$L$5010,'Lançamentos'!$A$2:$A$5010,"Frete de compra",'Lançamentos'!$B$2:$B$5010,$A6,'Lançamentos'!$C$2:$C$5010,C$4)</f>
        <v/>
      </c>
      <c r="D6" s="9">
        <f>SUMIFS('Lançamentos'!$L$2:$L$5010,'Lançamentos'!$A$2:$A$5010,"Frete de compra",'Lançamentos'!$B$2:$B$5010,$A6,'Lançamentos'!$C$2:$C$5010,D$4)</f>
        <v/>
      </c>
      <c r="E6" s="9">
        <f>SUMIFS('Lançamentos'!$L$2:$L$5010,'Lançamentos'!$A$2:$A$5010,"Frete de compra",'Lançamentos'!$B$2:$B$5010,$A6,'Lançamentos'!$C$2:$C$5010,E$4)</f>
        <v/>
      </c>
      <c r="F6" s="9">
        <f>SUMIFS('Lançamentos'!$L$2:$L$5010,'Lançamentos'!$A$2:$A$5010,"Frete de compra",'Lançamentos'!$B$2:$B$5010,$A6,'Lançamentos'!$C$2:$C$5010,F$4)</f>
        <v/>
      </c>
      <c r="G6" s="9">
        <f>SUMIFS('Lançamentos'!$L$2:$L$5010,'Lançamentos'!$A$2:$A$5010,"Frete de compra",'Lançamentos'!$B$2:$B$5010,$A6,'Lançamentos'!$C$2:$C$5010,G$4)</f>
        <v/>
      </c>
      <c r="H6" s="9">
        <f>SUMIFS('Lançamentos'!$L$2:$L$5010,'Lançamentos'!$A$2:$A$5010,"Frete de compra",'Lançamentos'!$B$2:$B$5010,$A6,'Lançamentos'!$C$2:$C$5010,H$4)</f>
        <v/>
      </c>
      <c r="I6" s="9">
        <f>SUMIFS('Lançamentos'!$L$2:$L$5010,'Lançamentos'!$A$2:$A$5010,"Frete de compra",'Lançamentos'!$B$2:$B$5010,$A6,'Lançamentos'!$C$2:$C$5010,I$4)</f>
        <v/>
      </c>
      <c r="J6" s="9">
        <f>SUMIFS('Lançamentos'!$L$2:$L$5010,'Lançamentos'!$A$2:$A$5010,"Frete de compra",'Lançamentos'!$B$2:$B$5010,$A6,'Lançamentos'!$C$2:$C$5010,J$4)</f>
        <v/>
      </c>
      <c r="K6" s="9">
        <f>SUM(B6:J6)</f>
        <v/>
      </c>
      <c r="L6" s="10">
        <f>K6/K$12</f>
        <v/>
      </c>
      <c r="M6" s="9">
        <f>SUMIFS('Lançamentos'!$L$2:$L$5010,'Lançamentos'!$A$2:$A$5010,"Frete de compra",'Lançamentos'!$B$2:$B$5010,$A6,'Lançamentos'!$C$2:$C$5010,"Antes de 2026")</f>
        <v/>
      </c>
      <c r="N6" s="9" t="n"/>
      <c r="O6" s="9" t="n"/>
      <c r="P6" s="26" t="n"/>
    </row>
    <row r="7">
      <c r="A7" s="25" t="inlineStr">
        <is>
          <t>2.01.02 Frete sobre Vendas</t>
        </is>
      </c>
      <c r="B7" s="9">
        <f>SUMIFS('Lançamentos'!$L$2:$L$5010,'Lançamentos'!$A$2:$A$5010,"Frete de compra",'Lançamentos'!$B$2:$B$5010,$A7,'Lançamentos'!$C$2:$C$5010,B$4)</f>
        <v/>
      </c>
      <c r="C7" s="9">
        <f>SUMIFS('Lançamentos'!$L$2:$L$5010,'Lançamentos'!$A$2:$A$5010,"Frete de compra",'Lançamentos'!$B$2:$B$5010,$A7,'Lançamentos'!$C$2:$C$5010,C$4)</f>
        <v/>
      </c>
      <c r="D7" s="9">
        <f>SUMIFS('Lançamentos'!$L$2:$L$5010,'Lançamentos'!$A$2:$A$5010,"Frete de compra",'Lançamentos'!$B$2:$B$5010,$A7,'Lançamentos'!$C$2:$C$5010,D$4)</f>
        <v/>
      </c>
      <c r="E7" s="9">
        <f>SUMIFS('Lançamentos'!$L$2:$L$5010,'Lançamentos'!$A$2:$A$5010,"Frete de compra",'Lançamentos'!$B$2:$B$5010,$A7,'Lançamentos'!$C$2:$C$5010,E$4)</f>
        <v/>
      </c>
      <c r="F7" s="9">
        <f>SUMIFS('Lançamentos'!$L$2:$L$5010,'Lançamentos'!$A$2:$A$5010,"Frete de compra",'Lançamentos'!$B$2:$B$5010,$A7,'Lançamentos'!$C$2:$C$5010,F$4)</f>
        <v/>
      </c>
      <c r="G7" s="9">
        <f>SUMIFS('Lançamentos'!$L$2:$L$5010,'Lançamentos'!$A$2:$A$5010,"Frete de compra",'Lançamentos'!$B$2:$B$5010,$A7,'Lançamentos'!$C$2:$C$5010,G$4)</f>
        <v/>
      </c>
      <c r="H7" s="9">
        <f>SUMIFS('Lançamentos'!$L$2:$L$5010,'Lançamentos'!$A$2:$A$5010,"Frete de compra",'Lançamentos'!$B$2:$B$5010,$A7,'Lançamentos'!$C$2:$C$5010,H$4)</f>
        <v/>
      </c>
      <c r="I7" s="9">
        <f>SUMIFS('Lançamentos'!$L$2:$L$5010,'Lançamentos'!$A$2:$A$5010,"Frete de compra",'Lançamentos'!$B$2:$B$5010,$A7,'Lançamentos'!$C$2:$C$5010,I$4)</f>
        <v/>
      </c>
      <c r="J7" s="9">
        <f>SUMIFS('Lançamentos'!$L$2:$L$5010,'Lançamentos'!$A$2:$A$5010,"Frete de compra",'Lançamentos'!$B$2:$B$5010,$A7,'Lançamentos'!$C$2:$C$5010,J$4)</f>
        <v/>
      </c>
      <c r="K7" s="9">
        <f>SUM(B7:J7)</f>
        <v/>
      </c>
      <c r="L7" s="10">
        <f>K7/K$12</f>
        <v/>
      </c>
      <c r="M7" s="9">
        <f>SUMIFS('Lançamentos'!$L$2:$L$5010,'Lançamentos'!$A$2:$A$5010,"Frete de compra",'Lançamentos'!$B$2:$B$5010,$A7,'Lançamentos'!$C$2:$C$5010,"Antes de 2026")</f>
        <v/>
      </c>
      <c r="N7" s="9" t="n"/>
      <c r="O7" s="9" t="n"/>
      <c r="P7" s="26" t="n"/>
    </row>
    <row r="8">
      <c r="A8" s="25" t="inlineStr">
        <is>
          <t>2.01.82 Estadia - Cabotagem</t>
        </is>
      </c>
      <c r="B8" s="9">
        <f>SUMIFS('Lançamentos'!$L$2:$L$5010,'Lançamentos'!$A$2:$A$5010,"Frete de compra",'Lançamentos'!$B$2:$B$5010,$A8,'Lançamentos'!$C$2:$C$5010,B$4)</f>
        <v/>
      </c>
      <c r="C8" s="9">
        <f>SUMIFS('Lançamentos'!$L$2:$L$5010,'Lançamentos'!$A$2:$A$5010,"Frete de compra",'Lançamentos'!$B$2:$B$5010,$A8,'Lançamentos'!$C$2:$C$5010,C$4)</f>
        <v/>
      </c>
      <c r="D8" s="9">
        <f>SUMIFS('Lançamentos'!$L$2:$L$5010,'Lançamentos'!$A$2:$A$5010,"Frete de compra",'Lançamentos'!$B$2:$B$5010,$A8,'Lançamentos'!$C$2:$C$5010,D$4)</f>
        <v/>
      </c>
      <c r="E8" s="9">
        <f>SUMIFS('Lançamentos'!$L$2:$L$5010,'Lançamentos'!$A$2:$A$5010,"Frete de compra",'Lançamentos'!$B$2:$B$5010,$A8,'Lançamentos'!$C$2:$C$5010,E$4)</f>
        <v/>
      </c>
      <c r="F8" s="9">
        <f>SUMIFS('Lançamentos'!$L$2:$L$5010,'Lançamentos'!$A$2:$A$5010,"Frete de compra",'Lançamentos'!$B$2:$B$5010,$A8,'Lançamentos'!$C$2:$C$5010,F$4)</f>
        <v/>
      </c>
      <c r="G8" s="9">
        <f>SUMIFS('Lançamentos'!$L$2:$L$5010,'Lançamentos'!$A$2:$A$5010,"Frete de compra",'Lançamentos'!$B$2:$B$5010,$A8,'Lançamentos'!$C$2:$C$5010,G$4)</f>
        <v/>
      </c>
      <c r="H8" s="9">
        <f>SUMIFS('Lançamentos'!$L$2:$L$5010,'Lançamentos'!$A$2:$A$5010,"Frete de compra",'Lançamentos'!$B$2:$B$5010,$A8,'Lançamentos'!$C$2:$C$5010,H$4)</f>
        <v/>
      </c>
      <c r="I8" s="9">
        <f>SUMIFS('Lançamentos'!$L$2:$L$5010,'Lançamentos'!$A$2:$A$5010,"Frete de compra",'Lançamentos'!$B$2:$B$5010,$A8,'Lançamentos'!$C$2:$C$5010,I$4)</f>
        <v/>
      </c>
      <c r="J8" s="9">
        <f>SUMIFS('Lançamentos'!$L$2:$L$5010,'Lançamentos'!$A$2:$A$5010,"Frete de compra",'Lançamentos'!$B$2:$B$5010,$A8,'Lançamentos'!$C$2:$C$5010,J$4)</f>
        <v/>
      </c>
      <c r="K8" s="9">
        <f>SUM(B8:J8)</f>
        <v/>
      </c>
      <c r="L8" s="10">
        <f>K8/K$12</f>
        <v/>
      </c>
      <c r="M8" s="9">
        <f>SUMIFS('Lançamentos'!$L$2:$L$5010,'Lançamentos'!$A$2:$A$5010,"Frete de compra",'Lançamentos'!$B$2:$B$5010,$A8,'Lançamentos'!$C$2:$C$5010,"Antes de 2026")</f>
        <v/>
      </c>
      <c r="N8" s="9" t="n"/>
      <c r="O8" s="9" t="n"/>
      <c r="P8" s="26" t="n"/>
    </row>
    <row r="9">
      <c r="A9" s="25" t="inlineStr">
        <is>
          <t>2.01.98 Frete Descarregamento</t>
        </is>
      </c>
      <c r="B9" s="9">
        <f>SUMIFS('Lançamentos'!$L$2:$L$5010,'Lançamentos'!$A$2:$A$5010,"Frete de compra",'Lançamentos'!$B$2:$B$5010,$A9,'Lançamentos'!$C$2:$C$5010,B$4)</f>
        <v/>
      </c>
      <c r="C9" s="9">
        <f>SUMIFS('Lançamentos'!$L$2:$L$5010,'Lançamentos'!$A$2:$A$5010,"Frete de compra",'Lançamentos'!$B$2:$B$5010,$A9,'Lançamentos'!$C$2:$C$5010,C$4)</f>
        <v/>
      </c>
      <c r="D9" s="9">
        <f>SUMIFS('Lançamentos'!$L$2:$L$5010,'Lançamentos'!$A$2:$A$5010,"Frete de compra",'Lançamentos'!$B$2:$B$5010,$A9,'Lançamentos'!$C$2:$C$5010,D$4)</f>
        <v/>
      </c>
      <c r="E9" s="9">
        <f>SUMIFS('Lançamentos'!$L$2:$L$5010,'Lançamentos'!$A$2:$A$5010,"Frete de compra",'Lançamentos'!$B$2:$B$5010,$A9,'Lançamentos'!$C$2:$C$5010,E$4)</f>
        <v/>
      </c>
      <c r="F9" s="9">
        <f>SUMIFS('Lançamentos'!$L$2:$L$5010,'Lançamentos'!$A$2:$A$5010,"Frete de compra",'Lançamentos'!$B$2:$B$5010,$A9,'Lançamentos'!$C$2:$C$5010,F$4)</f>
        <v/>
      </c>
      <c r="G9" s="9">
        <f>SUMIFS('Lançamentos'!$L$2:$L$5010,'Lançamentos'!$A$2:$A$5010,"Frete de compra",'Lançamentos'!$B$2:$B$5010,$A9,'Lançamentos'!$C$2:$C$5010,G$4)</f>
        <v/>
      </c>
      <c r="H9" s="9">
        <f>SUMIFS('Lançamentos'!$L$2:$L$5010,'Lançamentos'!$A$2:$A$5010,"Frete de compra",'Lançamentos'!$B$2:$B$5010,$A9,'Lançamentos'!$C$2:$C$5010,H$4)</f>
        <v/>
      </c>
      <c r="I9" s="9">
        <f>SUMIFS('Lançamentos'!$L$2:$L$5010,'Lançamentos'!$A$2:$A$5010,"Frete de compra",'Lançamentos'!$B$2:$B$5010,$A9,'Lançamentos'!$C$2:$C$5010,I$4)</f>
        <v/>
      </c>
      <c r="J9" s="9">
        <f>SUMIFS('Lançamentos'!$L$2:$L$5010,'Lançamentos'!$A$2:$A$5010,"Frete de compra",'Lançamentos'!$B$2:$B$5010,$A9,'Lançamentos'!$C$2:$C$5010,J$4)</f>
        <v/>
      </c>
      <c r="K9" s="9">
        <f>SUM(B9:J9)</f>
        <v/>
      </c>
      <c r="L9" s="10">
        <f>K9/K$12</f>
        <v/>
      </c>
      <c r="M9" s="9">
        <f>SUMIFS('Lançamentos'!$L$2:$L$5010,'Lançamentos'!$A$2:$A$5010,"Frete de compra",'Lançamentos'!$B$2:$B$5010,$A9,'Lançamentos'!$C$2:$C$5010,"Antes de 2026")</f>
        <v/>
      </c>
      <c r="N9" s="9" t="n"/>
      <c r="O9" s="9" t="n"/>
      <c r="P9" s="26" t="n"/>
    </row>
    <row r="10">
      <c r="A10" s="25" t="inlineStr">
        <is>
          <t>2.02.93 Frete Amostras/Brindes</t>
        </is>
      </c>
      <c r="B10" s="9">
        <f>SUMIFS('Lançamentos'!$L$2:$L$5010,'Lançamentos'!$A$2:$A$5010,"Frete de compra",'Lançamentos'!$B$2:$B$5010,$A10,'Lançamentos'!$C$2:$C$5010,B$4)</f>
        <v/>
      </c>
      <c r="C10" s="9">
        <f>SUMIFS('Lançamentos'!$L$2:$L$5010,'Lançamentos'!$A$2:$A$5010,"Frete de compra",'Lançamentos'!$B$2:$B$5010,$A10,'Lançamentos'!$C$2:$C$5010,C$4)</f>
        <v/>
      </c>
      <c r="D10" s="9">
        <f>SUMIFS('Lançamentos'!$L$2:$L$5010,'Lançamentos'!$A$2:$A$5010,"Frete de compra",'Lançamentos'!$B$2:$B$5010,$A10,'Lançamentos'!$C$2:$C$5010,D$4)</f>
        <v/>
      </c>
      <c r="E10" s="9">
        <f>SUMIFS('Lançamentos'!$L$2:$L$5010,'Lançamentos'!$A$2:$A$5010,"Frete de compra",'Lançamentos'!$B$2:$B$5010,$A10,'Lançamentos'!$C$2:$C$5010,E$4)</f>
        <v/>
      </c>
      <c r="F10" s="9">
        <f>SUMIFS('Lançamentos'!$L$2:$L$5010,'Lançamentos'!$A$2:$A$5010,"Frete de compra",'Lançamentos'!$B$2:$B$5010,$A10,'Lançamentos'!$C$2:$C$5010,F$4)</f>
        <v/>
      </c>
      <c r="G10" s="9">
        <f>SUMIFS('Lançamentos'!$L$2:$L$5010,'Lançamentos'!$A$2:$A$5010,"Frete de compra",'Lançamentos'!$B$2:$B$5010,$A10,'Lançamentos'!$C$2:$C$5010,G$4)</f>
        <v/>
      </c>
      <c r="H10" s="9">
        <f>SUMIFS('Lançamentos'!$L$2:$L$5010,'Lançamentos'!$A$2:$A$5010,"Frete de compra",'Lançamentos'!$B$2:$B$5010,$A10,'Lançamentos'!$C$2:$C$5010,H$4)</f>
        <v/>
      </c>
      <c r="I10" s="9">
        <f>SUMIFS('Lançamentos'!$L$2:$L$5010,'Lançamentos'!$A$2:$A$5010,"Frete de compra",'Lançamentos'!$B$2:$B$5010,$A10,'Lançamentos'!$C$2:$C$5010,I$4)</f>
        <v/>
      </c>
      <c r="J10" s="9">
        <f>SUMIFS('Lançamentos'!$L$2:$L$5010,'Lançamentos'!$A$2:$A$5010,"Frete de compra",'Lançamentos'!$B$2:$B$5010,$A10,'Lançamentos'!$C$2:$C$5010,J$4)</f>
        <v/>
      </c>
      <c r="K10" s="9">
        <f>SUM(B10:J10)</f>
        <v/>
      </c>
      <c r="L10" s="10">
        <f>K10/K$12</f>
        <v/>
      </c>
      <c r="M10" s="9">
        <f>SUMIFS('Lançamentos'!$L$2:$L$5010,'Lançamentos'!$A$2:$A$5010,"Frete de compra",'Lançamentos'!$B$2:$B$5010,$A10,'Lançamentos'!$C$2:$C$5010,"Antes de 2026")</f>
        <v/>
      </c>
      <c r="N10" s="9" t="n"/>
      <c r="O10" s="9" t="n"/>
      <c r="P10" s="26" t="n"/>
    </row>
    <row r="11">
      <c r="A11" s="25" t="inlineStr">
        <is>
          <t>2.04.87 Frete sobre Compra</t>
        </is>
      </c>
      <c r="B11" s="9">
        <f>SUMIFS('Lançamentos'!$L$2:$L$5010,'Lançamentos'!$A$2:$A$5010,"Frete de compra",'Lançamentos'!$B$2:$B$5010,$A11,'Lançamentos'!$C$2:$C$5010,B$4)</f>
        <v/>
      </c>
      <c r="C11" s="9">
        <f>SUMIFS('Lançamentos'!$L$2:$L$5010,'Lançamentos'!$A$2:$A$5010,"Frete de compra",'Lançamentos'!$B$2:$B$5010,$A11,'Lançamentos'!$C$2:$C$5010,C$4)</f>
        <v/>
      </c>
      <c r="D11" s="9">
        <f>SUMIFS('Lançamentos'!$L$2:$L$5010,'Lançamentos'!$A$2:$A$5010,"Frete de compra",'Lançamentos'!$B$2:$B$5010,$A11,'Lançamentos'!$C$2:$C$5010,D$4)</f>
        <v/>
      </c>
      <c r="E11" s="9">
        <f>SUMIFS('Lançamentos'!$L$2:$L$5010,'Lançamentos'!$A$2:$A$5010,"Frete de compra",'Lançamentos'!$B$2:$B$5010,$A11,'Lançamentos'!$C$2:$C$5010,E$4)</f>
        <v/>
      </c>
      <c r="F11" s="9">
        <f>SUMIFS('Lançamentos'!$L$2:$L$5010,'Lançamentos'!$A$2:$A$5010,"Frete de compra",'Lançamentos'!$B$2:$B$5010,$A11,'Lançamentos'!$C$2:$C$5010,F$4)</f>
        <v/>
      </c>
      <c r="G11" s="9">
        <f>SUMIFS('Lançamentos'!$L$2:$L$5010,'Lançamentos'!$A$2:$A$5010,"Frete de compra",'Lançamentos'!$B$2:$B$5010,$A11,'Lançamentos'!$C$2:$C$5010,G$4)</f>
        <v/>
      </c>
      <c r="H11" s="9">
        <f>SUMIFS('Lançamentos'!$L$2:$L$5010,'Lançamentos'!$A$2:$A$5010,"Frete de compra",'Lançamentos'!$B$2:$B$5010,$A11,'Lançamentos'!$C$2:$C$5010,H$4)</f>
        <v/>
      </c>
      <c r="I11" s="9">
        <f>SUMIFS('Lançamentos'!$L$2:$L$5010,'Lançamentos'!$A$2:$A$5010,"Frete de compra",'Lançamentos'!$B$2:$B$5010,$A11,'Lançamentos'!$C$2:$C$5010,I$4)</f>
        <v/>
      </c>
      <c r="J11" s="9">
        <f>SUMIFS('Lançamentos'!$L$2:$L$5010,'Lançamentos'!$A$2:$A$5010,"Frete de compra",'Lançamentos'!$B$2:$B$5010,$A11,'Lançamentos'!$C$2:$C$5010,J$4)</f>
        <v/>
      </c>
      <c r="K11" s="9">
        <f>SUM(B11:J11)</f>
        <v/>
      </c>
      <c r="L11" s="10">
        <f>K11/K$12</f>
        <v/>
      </c>
      <c r="M11" s="9">
        <f>SUMIFS('Lançamentos'!$L$2:$L$5010,'Lançamentos'!$A$2:$A$5010,"Frete de compra",'Lançamentos'!$B$2:$B$5010,$A11,'Lançamentos'!$C$2:$C$5010,"Antes de 2026")</f>
        <v/>
      </c>
      <c r="N11" s="9" t="n"/>
      <c r="O11" s="9" t="n"/>
      <c r="P11" s="26" t="n"/>
    </row>
    <row r="12">
      <c r="A12" s="11" t="inlineStr">
        <is>
          <t>TOTAL FRETE DE COMPRA</t>
        </is>
      </c>
      <c r="B12" s="13">
        <f>SUM(B5:B11)</f>
        <v/>
      </c>
      <c r="C12" s="13">
        <f>SUM(C5:C11)</f>
        <v/>
      </c>
      <c r="D12" s="13">
        <f>SUM(D5:D11)</f>
        <v/>
      </c>
      <c r="E12" s="13">
        <f>SUM(E5:E11)</f>
        <v/>
      </c>
      <c r="F12" s="13">
        <f>SUM(F5:F11)</f>
        <v/>
      </c>
      <c r="G12" s="13">
        <f>SUM(G5:G11)</f>
        <v/>
      </c>
      <c r="H12" s="13">
        <f>SUM(H5:H11)</f>
        <v/>
      </c>
      <c r="I12" s="13">
        <f>SUM(I5:I11)</f>
        <v/>
      </c>
      <c r="J12" s="13">
        <f>SUM(J5:J11)</f>
        <v/>
      </c>
      <c r="K12" s="13">
        <f>SUM(K5:K11)</f>
        <v/>
      </c>
      <c r="L12" s="14">
        <f>K12/K$12</f>
        <v/>
      </c>
      <c r="M12" s="13">
        <f>SUM(M5:M11)</f>
        <v/>
      </c>
      <c r="N12" s="9" t="n"/>
      <c r="O12" s="9" t="n"/>
      <c r="P12" s="26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10" t="n"/>
      <c r="M13" s="9" t="n"/>
      <c r="N13" s="9" t="n"/>
      <c r="O13" s="9" t="n"/>
      <c r="P13" s="26" t="n"/>
    </row>
    <row r="14">
      <c r="A14" t="inlineStr">
        <is>
          <t>Memo: valor bruto (com impostos)</t>
        </is>
      </c>
      <c r="B14" s="9">
        <f>SUMIFS('Lançamentos'!$J$2:$J$5010,'Lançamentos'!$A$2:$A$5010,"Frete de compra",'Lançamentos'!$C$2:$C$5010,B$4)</f>
        <v/>
      </c>
      <c r="C14" s="9">
        <f>SUMIFS('Lançamentos'!$J$2:$J$5010,'Lançamentos'!$A$2:$A$5010,"Frete de compra",'Lançamentos'!$C$2:$C$5010,C$4)</f>
        <v/>
      </c>
      <c r="D14" s="9">
        <f>SUMIFS('Lançamentos'!$J$2:$J$5010,'Lançamentos'!$A$2:$A$5010,"Frete de compra",'Lançamentos'!$C$2:$C$5010,D$4)</f>
        <v/>
      </c>
      <c r="E14" s="9">
        <f>SUMIFS('Lançamentos'!$J$2:$J$5010,'Lançamentos'!$A$2:$A$5010,"Frete de compra",'Lançamentos'!$C$2:$C$5010,E$4)</f>
        <v/>
      </c>
      <c r="F14" s="9">
        <f>SUMIFS('Lançamentos'!$J$2:$J$5010,'Lançamentos'!$A$2:$A$5010,"Frete de compra",'Lançamentos'!$C$2:$C$5010,F$4)</f>
        <v/>
      </c>
      <c r="G14" s="9">
        <f>SUMIFS('Lançamentos'!$J$2:$J$5010,'Lançamentos'!$A$2:$A$5010,"Frete de compra",'Lançamentos'!$C$2:$C$5010,G$4)</f>
        <v/>
      </c>
      <c r="H14" s="9">
        <f>SUMIFS('Lançamentos'!$J$2:$J$5010,'Lançamentos'!$A$2:$A$5010,"Frete de compra",'Lançamentos'!$C$2:$C$5010,H$4)</f>
        <v/>
      </c>
      <c r="I14" s="9">
        <f>SUMIFS('Lançamentos'!$J$2:$J$5010,'Lançamentos'!$A$2:$A$5010,"Frete de compra",'Lançamentos'!$C$2:$C$5010,I$4)</f>
        <v/>
      </c>
      <c r="J14" s="9">
        <f>SUMIFS('Lançamentos'!$J$2:$J$5010,'Lançamentos'!$A$2:$A$5010,"Frete de compra",'Lançamentos'!$C$2:$C$5010,J$4)</f>
        <v/>
      </c>
      <c r="K14" s="9">
        <f>SUM(B14:J14)</f>
        <v/>
      </c>
      <c r="L14" s="10" t="n"/>
      <c r="M14" s="9">
        <f>SUMIFS('Lançamentos'!$J$2:$J$5010,'Lançamentos'!$A$2:$A$5010,"Frete de compra",'Lançamentos'!$C$2:$C$5010,"Antes de 2026")</f>
        <v/>
      </c>
      <c r="N14" s="9" t="n"/>
      <c r="O14" s="9" t="n"/>
      <c r="P14" s="26" t="n"/>
    </row>
    <row r="15">
      <c r="A15" t="inlineStr">
        <is>
          <t>Memo: créditos abatidos</t>
        </is>
      </c>
      <c r="B15" s="9">
        <f>SUMIFS('Lançamentos'!$K$2:$K$5010,'Lançamentos'!$A$2:$A$5010,"Frete de compra",'Lançamentos'!$C$2:$C$5010,B$4)</f>
        <v/>
      </c>
      <c r="C15" s="9">
        <f>SUMIFS('Lançamentos'!$K$2:$K$5010,'Lançamentos'!$A$2:$A$5010,"Frete de compra",'Lançamentos'!$C$2:$C$5010,C$4)</f>
        <v/>
      </c>
      <c r="D15" s="9">
        <f>SUMIFS('Lançamentos'!$K$2:$K$5010,'Lançamentos'!$A$2:$A$5010,"Frete de compra",'Lançamentos'!$C$2:$C$5010,D$4)</f>
        <v/>
      </c>
      <c r="E15" s="9">
        <f>SUMIFS('Lançamentos'!$K$2:$K$5010,'Lançamentos'!$A$2:$A$5010,"Frete de compra",'Lançamentos'!$C$2:$C$5010,E$4)</f>
        <v/>
      </c>
      <c r="F15" s="9">
        <f>SUMIFS('Lançamentos'!$K$2:$K$5010,'Lançamentos'!$A$2:$A$5010,"Frete de compra",'Lançamentos'!$C$2:$C$5010,F$4)</f>
        <v/>
      </c>
      <c r="G15" s="9">
        <f>SUMIFS('Lançamentos'!$K$2:$K$5010,'Lançamentos'!$A$2:$A$5010,"Frete de compra",'Lançamentos'!$C$2:$C$5010,G$4)</f>
        <v/>
      </c>
      <c r="H15" s="9">
        <f>SUMIFS('Lançamentos'!$K$2:$K$5010,'Lançamentos'!$A$2:$A$5010,"Frete de compra",'Lançamentos'!$C$2:$C$5010,H$4)</f>
        <v/>
      </c>
      <c r="I15" s="9">
        <f>SUMIFS('Lançamentos'!$K$2:$K$5010,'Lançamentos'!$A$2:$A$5010,"Frete de compra",'Lançamentos'!$C$2:$C$5010,I$4)</f>
        <v/>
      </c>
      <c r="J15" s="9">
        <f>SUMIFS('Lançamentos'!$K$2:$K$5010,'Lançamentos'!$A$2:$A$5010,"Frete de compra",'Lançamentos'!$C$2:$C$5010,J$4)</f>
        <v/>
      </c>
      <c r="K15" s="9">
        <f>SUM(B15:J15)</f>
        <v/>
      </c>
      <c r="L15" s="10" t="n"/>
      <c r="M15" s="9">
        <f>SUMIFS('Lançamentos'!$K$2:$K$5010,'Lançamentos'!$A$2:$A$5010,"Frete de compra",'Lançamentos'!$C$2:$C$5010,"Antes de 2026")</f>
        <v/>
      </c>
      <c r="N15" s="9" t="n"/>
      <c r="O15" s="9" t="n"/>
      <c r="P15" s="26" t="n"/>
    </row>
    <row r="16">
      <c r="A16" t="inlineStr">
        <is>
          <t>Conferência: bruto − créditos − total (deve ser zero)</t>
        </is>
      </c>
      <c r="B16" s="9">
        <f>ROUND(B14-B15-B12,2)</f>
        <v/>
      </c>
      <c r="C16" s="9">
        <f>ROUND(C14-C15-C12,2)</f>
        <v/>
      </c>
      <c r="D16" s="9">
        <f>ROUND(D14-D15-D12,2)</f>
        <v/>
      </c>
      <c r="E16" s="9">
        <f>ROUND(E14-E15-E12,2)</f>
        <v/>
      </c>
      <c r="F16" s="9">
        <f>ROUND(F14-F15-F12,2)</f>
        <v/>
      </c>
      <c r="G16" s="9">
        <f>ROUND(G14-G15-G12,2)</f>
        <v/>
      </c>
      <c r="H16" s="9">
        <f>ROUND(H14-H15-H12,2)</f>
        <v/>
      </c>
      <c r="I16" s="9">
        <f>ROUND(I14-I15-I12,2)</f>
        <v/>
      </c>
      <c r="J16" s="9">
        <f>ROUND(J14-J15-J12,2)</f>
        <v/>
      </c>
      <c r="K16" s="9">
        <f>ROUND(K14-K15-K12,2)</f>
        <v/>
      </c>
      <c r="L16" s="10" t="n"/>
      <c r="M16" s="9">
        <f>ROUND(M14-M15-M12,2)</f>
        <v/>
      </c>
      <c r="N16" s="9" t="n"/>
      <c r="O16" s="9" t="n"/>
      <c r="P16" s="26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 t="n"/>
      <c r="M17" s="9" t="n"/>
      <c r="N17" s="9" t="n"/>
      <c r="O17" s="9" t="n"/>
      <c r="P17" s="26" t="n"/>
    </row>
    <row r="18">
      <c r="A18" s="23" t="inlineStr">
        <is>
          <t>Por fornecedor / transportadora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  <c r="M18" s="9" t="n"/>
      <c r="N18" s="9" t="n"/>
      <c r="O18" s="9" t="n"/>
      <c r="P18" s="26" t="n"/>
    </row>
    <row r="19">
      <c r="A19" s="4" t="inlineStr">
        <is>
          <t>Fornecedor / Transportadora</t>
        </is>
      </c>
      <c r="B19" s="18" t="n">
        <v>46023</v>
      </c>
      <c r="C19" s="18" t="n">
        <v>46054</v>
      </c>
      <c r="D19" s="18" t="n">
        <v>46082</v>
      </c>
      <c r="E19" s="18" t="n">
        <v>46113</v>
      </c>
      <c r="F19" s="18" t="n">
        <v>46143</v>
      </c>
      <c r="G19" s="18" t="n">
        <v>46174</v>
      </c>
      <c r="H19" s="18" t="n">
        <v>46204</v>
      </c>
      <c r="I19" s="18" t="n">
        <v>46235</v>
      </c>
      <c r="J19" s="18" t="n">
        <v>46266</v>
      </c>
      <c r="K19" s="5" t="inlineStr">
        <is>
          <t>Total 2026</t>
        </is>
      </c>
      <c r="L19" s="5" t="inlineStr">
        <is>
          <t>% do total</t>
        </is>
      </c>
      <c r="M19" s="5" t="inlineStr">
        <is>
          <t>Memo: antes de 2026</t>
        </is>
      </c>
      <c r="N19" s="5" t="inlineStr">
        <is>
          <t>Valor bruto 2026</t>
        </is>
      </c>
      <c r="O19" s="5" t="inlineStr">
        <is>
          <t>Créditos 2026</t>
        </is>
      </c>
      <c r="P19" s="5" t="inlineStr">
        <is>
          <t>Nº docs 2026</t>
        </is>
      </c>
    </row>
    <row r="20">
      <c r="A20" t="inlineStr">
        <is>
          <t>ALIANCA NAVEGACAO E LOGISTICA LTDA</t>
        </is>
      </c>
      <c r="B20" s="9">
        <f>SUMIFS('Lançamentos'!$L$2:$L$5010,'Lançamentos'!$A$2:$A$5010,"Frete de compra",'Lançamentos'!$H$2:$H$5010,$A20,'Lançamentos'!$C$2:$C$5010,B$19)</f>
        <v/>
      </c>
      <c r="C20" s="9">
        <f>SUMIFS('Lançamentos'!$L$2:$L$5010,'Lançamentos'!$A$2:$A$5010,"Frete de compra",'Lançamentos'!$H$2:$H$5010,$A20,'Lançamentos'!$C$2:$C$5010,C$19)</f>
        <v/>
      </c>
      <c r="D20" s="9">
        <f>SUMIFS('Lançamentos'!$L$2:$L$5010,'Lançamentos'!$A$2:$A$5010,"Frete de compra",'Lançamentos'!$H$2:$H$5010,$A20,'Lançamentos'!$C$2:$C$5010,D$19)</f>
        <v/>
      </c>
      <c r="E20" s="9">
        <f>SUMIFS('Lançamentos'!$L$2:$L$5010,'Lançamentos'!$A$2:$A$5010,"Frete de compra",'Lançamentos'!$H$2:$H$5010,$A20,'Lançamentos'!$C$2:$C$5010,E$19)</f>
        <v/>
      </c>
      <c r="F20" s="9">
        <f>SUMIFS('Lançamentos'!$L$2:$L$5010,'Lançamentos'!$A$2:$A$5010,"Frete de compra",'Lançamentos'!$H$2:$H$5010,$A20,'Lançamentos'!$C$2:$C$5010,F$19)</f>
        <v/>
      </c>
      <c r="G20" s="9">
        <f>SUMIFS('Lançamentos'!$L$2:$L$5010,'Lançamentos'!$A$2:$A$5010,"Frete de compra",'Lançamentos'!$H$2:$H$5010,$A20,'Lançamentos'!$C$2:$C$5010,G$19)</f>
        <v/>
      </c>
      <c r="H20" s="9">
        <f>SUMIFS('Lançamentos'!$L$2:$L$5010,'Lançamentos'!$A$2:$A$5010,"Frete de compra",'Lançamentos'!$H$2:$H$5010,$A20,'Lançamentos'!$C$2:$C$5010,H$19)</f>
        <v/>
      </c>
      <c r="I20" s="9">
        <f>SUMIFS('Lançamentos'!$L$2:$L$5010,'Lançamentos'!$A$2:$A$5010,"Frete de compra",'Lançamentos'!$H$2:$H$5010,$A20,'Lançamentos'!$C$2:$C$5010,I$19)</f>
        <v/>
      </c>
      <c r="J20" s="9">
        <f>SUMIFS('Lançamentos'!$L$2:$L$5010,'Lançamentos'!$A$2:$A$5010,"Frete de compra",'Lançamentos'!$H$2:$H$5010,$A20,'Lançamentos'!$C$2:$C$5010,J$19)</f>
        <v/>
      </c>
      <c r="K20" s="9">
        <f>SUM(B20:J20)</f>
        <v/>
      </c>
      <c r="L20" s="10">
        <f>K20/K$24</f>
        <v/>
      </c>
      <c r="M20" s="9">
        <f>SUMIFS('Lançamentos'!$L$2:$L$5010,'Lançamentos'!$A$2:$A$5010,"Frete de compra",'Lançamentos'!$H$2:$H$5010,$A20,'Lançamentos'!$C$2:$C$5010,"Antes de 2026")</f>
        <v/>
      </c>
      <c r="N20" s="9">
        <f>SUMIFS('Lançamentos'!$J$2:$J$5010,'Lançamentos'!$A$2:$A$5010,"Frete de compra",'Lançamentos'!$H$2:$H$5010,$A20,'Lançamentos'!$D$2:$D$5010,"Em 2026")</f>
        <v/>
      </c>
      <c r="O20" s="9">
        <f>SUMIFS('Lançamentos'!$K$2:$K$5010,'Lançamentos'!$A$2:$A$5010,"Frete de compra",'Lançamentos'!$H$2:$H$5010,$A20,'Lançamentos'!$D$2:$D$5010,"Em 2026")</f>
        <v/>
      </c>
      <c r="P20" s="26">
        <f>COUNTIFS('Lançamentos'!$A$2:$A$5010,"Frete de compra",'Lançamentos'!$H$2:$H$5010,$A20,'Lançamentos'!$D$2:$D$5010,"Em 2026")</f>
        <v/>
      </c>
    </row>
    <row r="21">
      <c r="A21" t="inlineStr">
        <is>
          <t>TRANSPORTES DE MAQUINAS PLANETA AZUL LTDA</t>
        </is>
      </c>
      <c r="B21" s="9">
        <f>SUMIFS('Lançamentos'!$L$2:$L$5010,'Lançamentos'!$A$2:$A$5010,"Frete de compra",'Lançamentos'!$H$2:$H$5010,$A21,'Lançamentos'!$C$2:$C$5010,B$19)</f>
        <v/>
      </c>
      <c r="C21" s="9">
        <f>SUMIFS('Lançamentos'!$L$2:$L$5010,'Lançamentos'!$A$2:$A$5010,"Frete de compra",'Lançamentos'!$H$2:$H$5010,$A21,'Lançamentos'!$C$2:$C$5010,C$19)</f>
        <v/>
      </c>
      <c r="D21" s="9">
        <f>SUMIFS('Lançamentos'!$L$2:$L$5010,'Lançamentos'!$A$2:$A$5010,"Frete de compra",'Lançamentos'!$H$2:$H$5010,$A21,'Lançamentos'!$C$2:$C$5010,D$19)</f>
        <v/>
      </c>
      <c r="E21" s="9">
        <f>SUMIFS('Lançamentos'!$L$2:$L$5010,'Lançamentos'!$A$2:$A$5010,"Frete de compra",'Lançamentos'!$H$2:$H$5010,$A21,'Lançamentos'!$C$2:$C$5010,E$19)</f>
        <v/>
      </c>
      <c r="F21" s="9">
        <f>SUMIFS('Lançamentos'!$L$2:$L$5010,'Lançamentos'!$A$2:$A$5010,"Frete de compra",'Lançamentos'!$H$2:$H$5010,$A21,'Lançamentos'!$C$2:$C$5010,F$19)</f>
        <v/>
      </c>
      <c r="G21" s="9">
        <f>SUMIFS('Lançamentos'!$L$2:$L$5010,'Lançamentos'!$A$2:$A$5010,"Frete de compra",'Lançamentos'!$H$2:$H$5010,$A21,'Lançamentos'!$C$2:$C$5010,G$19)</f>
        <v/>
      </c>
      <c r="H21" s="9">
        <f>SUMIFS('Lançamentos'!$L$2:$L$5010,'Lançamentos'!$A$2:$A$5010,"Frete de compra",'Lançamentos'!$H$2:$H$5010,$A21,'Lançamentos'!$C$2:$C$5010,H$19)</f>
        <v/>
      </c>
      <c r="I21" s="9">
        <f>SUMIFS('Lançamentos'!$L$2:$L$5010,'Lançamentos'!$A$2:$A$5010,"Frete de compra",'Lançamentos'!$H$2:$H$5010,$A21,'Lançamentos'!$C$2:$C$5010,I$19)</f>
        <v/>
      </c>
      <c r="J21" s="9">
        <f>SUMIFS('Lançamentos'!$L$2:$L$5010,'Lançamentos'!$A$2:$A$5010,"Frete de compra",'Lançamentos'!$H$2:$H$5010,$A21,'Lançamentos'!$C$2:$C$5010,J$19)</f>
        <v/>
      </c>
      <c r="K21" s="9">
        <f>SUM(B21:J21)</f>
        <v/>
      </c>
      <c r="L21" s="10">
        <f>K21/K$24</f>
        <v/>
      </c>
      <c r="M21" s="9">
        <f>SUMIFS('Lançamentos'!$L$2:$L$5010,'Lançamentos'!$A$2:$A$5010,"Frete de compra",'Lançamentos'!$H$2:$H$5010,$A21,'Lançamentos'!$C$2:$C$5010,"Antes de 2026")</f>
        <v/>
      </c>
      <c r="N21" s="9">
        <f>SUMIFS('Lançamentos'!$J$2:$J$5010,'Lançamentos'!$A$2:$A$5010,"Frete de compra",'Lançamentos'!$H$2:$H$5010,$A21,'Lançamentos'!$D$2:$D$5010,"Em 2026")</f>
        <v/>
      </c>
      <c r="O21" s="9">
        <f>SUMIFS('Lançamentos'!$K$2:$K$5010,'Lançamentos'!$A$2:$A$5010,"Frete de compra",'Lançamentos'!$H$2:$H$5010,$A21,'Lançamentos'!$D$2:$D$5010,"Em 2026")</f>
        <v/>
      </c>
      <c r="P21" s="26">
        <f>COUNTIFS('Lançamentos'!$A$2:$A$5010,"Frete de compra",'Lançamentos'!$H$2:$H$5010,$A21,'Lançamentos'!$D$2:$D$5010,"Em 2026")</f>
        <v/>
      </c>
    </row>
    <row r="22">
      <c r="A22" t="inlineStr">
        <is>
          <t>GOL LINHAS AEREAS S.A.</t>
        </is>
      </c>
      <c r="B22" s="9">
        <f>SUMIFS('Lançamentos'!$L$2:$L$5010,'Lançamentos'!$A$2:$A$5010,"Frete de compra",'Lançamentos'!$H$2:$H$5010,$A22,'Lançamentos'!$C$2:$C$5010,B$19)</f>
        <v/>
      </c>
      <c r="C22" s="9">
        <f>SUMIFS('Lançamentos'!$L$2:$L$5010,'Lançamentos'!$A$2:$A$5010,"Frete de compra",'Lançamentos'!$H$2:$H$5010,$A22,'Lançamentos'!$C$2:$C$5010,C$19)</f>
        <v/>
      </c>
      <c r="D22" s="9">
        <f>SUMIFS('Lançamentos'!$L$2:$L$5010,'Lançamentos'!$A$2:$A$5010,"Frete de compra",'Lançamentos'!$H$2:$H$5010,$A22,'Lançamentos'!$C$2:$C$5010,D$19)</f>
        <v/>
      </c>
      <c r="E22" s="9">
        <f>SUMIFS('Lançamentos'!$L$2:$L$5010,'Lançamentos'!$A$2:$A$5010,"Frete de compra",'Lançamentos'!$H$2:$H$5010,$A22,'Lançamentos'!$C$2:$C$5010,E$19)</f>
        <v/>
      </c>
      <c r="F22" s="9">
        <f>SUMIFS('Lançamentos'!$L$2:$L$5010,'Lançamentos'!$A$2:$A$5010,"Frete de compra",'Lançamentos'!$H$2:$H$5010,$A22,'Lançamentos'!$C$2:$C$5010,F$19)</f>
        <v/>
      </c>
      <c r="G22" s="9">
        <f>SUMIFS('Lançamentos'!$L$2:$L$5010,'Lançamentos'!$A$2:$A$5010,"Frete de compra",'Lançamentos'!$H$2:$H$5010,$A22,'Lançamentos'!$C$2:$C$5010,G$19)</f>
        <v/>
      </c>
      <c r="H22" s="9">
        <f>SUMIFS('Lançamentos'!$L$2:$L$5010,'Lançamentos'!$A$2:$A$5010,"Frete de compra",'Lançamentos'!$H$2:$H$5010,$A22,'Lançamentos'!$C$2:$C$5010,H$19)</f>
        <v/>
      </c>
      <c r="I22" s="9">
        <f>SUMIFS('Lançamentos'!$L$2:$L$5010,'Lançamentos'!$A$2:$A$5010,"Frete de compra",'Lançamentos'!$H$2:$H$5010,$A22,'Lançamentos'!$C$2:$C$5010,I$19)</f>
        <v/>
      </c>
      <c r="J22" s="9">
        <f>SUMIFS('Lançamentos'!$L$2:$L$5010,'Lançamentos'!$A$2:$A$5010,"Frete de compra",'Lançamentos'!$H$2:$H$5010,$A22,'Lançamentos'!$C$2:$C$5010,J$19)</f>
        <v/>
      </c>
      <c r="K22" s="9">
        <f>SUM(B22:J22)</f>
        <v/>
      </c>
      <c r="L22" s="10">
        <f>K22/K$24</f>
        <v/>
      </c>
      <c r="M22" s="9">
        <f>SUMIFS('Lançamentos'!$L$2:$L$5010,'Lançamentos'!$A$2:$A$5010,"Frete de compra",'Lançamentos'!$H$2:$H$5010,$A22,'Lançamentos'!$C$2:$C$5010,"Antes de 2026")</f>
        <v/>
      </c>
      <c r="N22" s="9">
        <f>SUMIFS('Lançamentos'!$J$2:$J$5010,'Lançamentos'!$A$2:$A$5010,"Frete de compra",'Lançamentos'!$H$2:$H$5010,$A22,'Lançamentos'!$D$2:$D$5010,"Em 2026")</f>
        <v/>
      </c>
      <c r="O22" s="9">
        <f>SUMIFS('Lançamentos'!$K$2:$K$5010,'Lançamentos'!$A$2:$A$5010,"Frete de compra",'Lançamentos'!$H$2:$H$5010,$A22,'Lançamentos'!$D$2:$D$5010,"Em 2026")</f>
        <v/>
      </c>
      <c r="P22" s="26">
        <f>COUNTIFS('Lançamentos'!$A$2:$A$5010,"Frete de compra",'Lançamentos'!$H$2:$H$5010,$A22,'Lançamentos'!$D$2:$D$5010,"Em 2026")</f>
        <v/>
      </c>
    </row>
    <row r="23">
      <c r="A23" t="inlineStr">
        <is>
          <t>STANCANELLI TRANSPORTES E LOGISTICA LTDA</t>
        </is>
      </c>
      <c r="B23" s="9">
        <f>SUMIFS('Lançamentos'!$L$2:$L$5010,'Lançamentos'!$A$2:$A$5010,"Frete de compra",'Lançamentos'!$H$2:$H$5010,$A23,'Lançamentos'!$C$2:$C$5010,B$19)</f>
        <v/>
      </c>
      <c r="C23" s="9">
        <f>SUMIFS('Lançamentos'!$L$2:$L$5010,'Lançamentos'!$A$2:$A$5010,"Frete de compra",'Lançamentos'!$H$2:$H$5010,$A23,'Lançamentos'!$C$2:$C$5010,C$19)</f>
        <v/>
      </c>
      <c r="D23" s="9">
        <f>SUMIFS('Lançamentos'!$L$2:$L$5010,'Lançamentos'!$A$2:$A$5010,"Frete de compra",'Lançamentos'!$H$2:$H$5010,$A23,'Lançamentos'!$C$2:$C$5010,D$19)</f>
        <v/>
      </c>
      <c r="E23" s="9">
        <f>SUMIFS('Lançamentos'!$L$2:$L$5010,'Lançamentos'!$A$2:$A$5010,"Frete de compra",'Lançamentos'!$H$2:$H$5010,$A23,'Lançamentos'!$C$2:$C$5010,E$19)</f>
        <v/>
      </c>
      <c r="F23" s="9">
        <f>SUMIFS('Lançamentos'!$L$2:$L$5010,'Lançamentos'!$A$2:$A$5010,"Frete de compra",'Lançamentos'!$H$2:$H$5010,$A23,'Lançamentos'!$C$2:$C$5010,F$19)</f>
        <v/>
      </c>
      <c r="G23" s="9">
        <f>SUMIFS('Lançamentos'!$L$2:$L$5010,'Lançamentos'!$A$2:$A$5010,"Frete de compra",'Lançamentos'!$H$2:$H$5010,$A23,'Lançamentos'!$C$2:$C$5010,G$19)</f>
        <v/>
      </c>
      <c r="H23" s="9">
        <f>SUMIFS('Lançamentos'!$L$2:$L$5010,'Lançamentos'!$A$2:$A$5010,"Frete de compra",'Lançamentos'!$H$2:$H$5010,$A23,'Lançamentos'!$C$2:$C$5010,H$19)</f>
        <v/>
      </c>
      <c r="I23" s="9">
        <f>SUMIFS('Lançamentos'!$L$2:$L$5010,'Lançamentos'!$A$2:$A$5010,"Frete de compra",'Lançamentos'!$H$2:$H$5010,$A23,'Lançamentos'!$C$2:$C$5010,I$19)</f>
        <v/>
      </c>
      <c r="J23" s="9">
        <f>SUMIFS('Lançamentos'!$L$2:$L$5010,'Lançamentos'!$A$2:$A$5010,"Frete de compra",'Lançamentos'!$H$2:$H$5010,$A23,'Lançamentos'!$C$2:$C$5010,J$19)</f>
        <v/>
      </c>
      <c r="K23" s="9">
        <f>SUM(B23:J23)</f>
        <v/>
      </c>
      <c r="L23" s="10">
        <f>K23/K$24</f>
        <v/>
      </c>
      <c r="M23" s="9">
        <f>SUMIFS('Lançamentos'!$L$2:$L$5010,'Lançamentos'!$A$2:$A$5010,"Frete de compra",'Lançamentos'!$H$2:$H$5010,$A23,'Lançamentos'!$C$2:$C$5010,"Antes de 2026")</f>
        <v/>
      </c>
      <c r="N23" s="9">
        <f>SUMIFS('Lançamentos'!$J$2:$J$5010,'Lançamentos'!$A$2:$A$5010,"Frete de compra",'Lançamentos'!$H$2:$H$5010,$A23,'Lançamentos'!$D$2:$D$5010,"Em 2026")</f>
        <v/>
      </c>
      <c r="O23" s="9">
        <f>SUMIFS('Lançamentos'!$K$2:$K$5010,'Lançamentos'!$A$2:$A$5010,"Frete de compra",'Lançamentos'!$H$2:$H$5010,$A23,'Lançamentos'!$D$2:$D$5010,"Em 2026")</f>
        <v/>
      </c>
      <c r="P23" s="26">
        <f>COUNTIFS('Lançamentos'!$A$2:$A$5010,"Frete de compra",'Lançamentos'!$H$2:$H$5010,$A23,'Lançamentos'!$D$2:$D$5010,"Em 2026")</f>
        <v/>
      </c>
    </row>
    <row r="24">
      <c r="A24" s="11" t="inlineStr">
        <is>
          <t>TOTAL FRETE DE COMPRA</t>
        </is>
      </c>
      <c r="B24" s="13">
        <f>SUM(B20:B23)</f>
        <v/>
      </c>
      <c r="C24" s="13">
        <f>SUM(C20:C23)</f>
        <v/>
      </c>
      <c r="D24" s="13">
        <f>SUM(D20:D23)</f>
        <v/>
      </c>
      <c r="E24" s="13">
        <f>SUM(E20:E23)</f>
        <v/>
      </c>
      <c r="F24" s="13">
        <f>SUM(F20:F23)</f>
        <v/>
      </c>
      <c r="G24" s="13">
        <f>SUM(G20:G23)</f>
        <v/>
      </c>
      <c r="H24" s="13">
        <f>SUM(H20:H23)</f>
        <v/>
      </c>
      <c r="I24" s="13">
        <f>SUM(I20:I23)</f>
        <v/>
      </c>
      <c r="J24" s="13">
        <f>SUM(J20:J23)</f>
        <v/>
      </c>
      <c r="K24" s="13">
        <f>SUM(K20:K23)</f>
        <v/>
      </c>
      <c r="L24" s="14">
        <f>K24/K$24</f>
        <v/>
      </c>
      <c r="M24" s="13">
        <f>SUM(M20:M23)</f>
        <v/>
      </c>
      <c r="N24" s="13">
        <f>SUM(N20:N23)</f>
        <v/>
      </c>
      <c r="O24" s="13">
        <f>SUM(O20:O23)</f>
        <v/>
      </c>
      <c r="P24" s="27">
        <f>SUM(P20:P23)</f>
        <v/>
      </c>
    </row>
    <row r="25">
      <c r="A25" t="inlineStr">
        <is>
          <t>Conferência: total por fornecedor − total por subcategoria (deve ser zero)</t>
        </is>
      </c>
      <c r="B25" s="9">
        <f>ROUND(B24-B12,2)</f>
        <v/>
      </c>
      <c r="C25" s="9">
        <f>ROUND(C24-C12,2)</f>
        <v/>
      </c>
      <c r="D25" s="9">
        <f>ROUND(D24-D12,2)</f>
        <v/>
      </c>
      <c r="E25" s="9">
        <f>ROUND(E24-E12,2)</f>
        <v/>
      </c>
      <c r="F25" s="9">
        <f>ROUND(F24-F12,2)</f>
        <v/>
      </c>
      <c r="G25" s="9">
        <f>ROUND(G24-G12,2)</f>
        <v/>
      </c>
      <c r="H25" s="9">
        <f>ROUND(H24-H12,2)</f>
        <v/>
      </c>
      <c r="I25" s="9">
        <f>ROUND(I24-I12,2)</f>
        <v/>
      </c>
      <c r="J25" s="9">
        <f>ROUND(J24-J12,2)</f>
        <v/>
      </c>
      <c r="K25" s="9">
        <f>ROUND(K24-K12,2)</f>
        <v/>
      </c>
      <c r="L25" s="10" t="n"/>
      <c r="M25" s="9">
        <f>ROUND(M24-M12,2)</f>
        <v/>
      </c>
      <c r="N25" s="9" t="n"/>
      <c r="O25" s="9" t="n"/>
      <c r="P25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7" t="inlineStr">
        <is>
          <t>Frete de venda – 2026 (VINCO)</t>
        </is>
      </c>
    </row>
    <row r="2">
      <c r="A2" t="inlineStr">
        <is>
          <t>Fretes de venda (todas as demais transportadoras, inclui Cazan e RF BRA). Despesa comercial, sem crédito de impostos.</t>
        </is>
      </c>
    </row>
    <row r="4">
      <c r="A4" s="4" t="inlineStr">
        <is>
          <t>Subcategoria (categoria do Omie)</t>
        </is>
      </c>
      <c r="B4" s="18" t="n">
        <v>46023</v>
      </c>
      <c r="C4" s="18" t="n">
        <v>46054</v>
      </c>
      <c r="D4" s="18" t="n">
        <v>46082</v>
      </c>
      <c r="E4" s="18" t="n">
        <v>46113</v>
      </c>
      <c r="F4" s="18" t="n">
        <v>46143</v>
      </c>
      <c r="G4" s="18" t="n">
        <v>46174</v>
      </c>
      <c r="H4" s="18" t="n">
        <v>46204</v>
      </c>
      <c r="I4" s="18" t="n">
        <v>46235</v>
      </c>
      <c r="J4" s="18" t="n">
        <v>46266</v>
      </c>
      <c r="K4" s="5" t="inlineStr">
        <is>
          <t>Total 2026</t>
        </is>
      </c>
      <c r="L4" s="5" t="inlineStr">
        <is>
          <t>% do total</t>
        </is>
      </c>
      <c r="M4" s="5" t="inlineStr">
        <is>
          <t>Memo: antes de 2026</t>
        </is>
      </c>
    </row>
    <row r="5">
      <c r="A5" s="25" t="inlineStr">
        <is>
          <t>1.01.01 Venda de Mercadoria Fabricadas</t>
        </is>
      </c>
      <c r="B5" s="9">
        <f>SUMIFS('Lançamentos'!$L$2:$L$5010,'Lançamentos'!$A$2:$A$5010,"Frete de venda",'Lançamentos'!$B$2:$B$5010,$A5,'Lançamentos'!$C$2:$C$5010,B$4)</f>
        <v/>
      </c>
      <c r="C5" s="9">
        <f>SUMIFS('Lançamentos'!$L$2:$L$5010,'Lançamentos'!$A$2:$A$5010,"Frete de venda",'Lançamentos'!$B$2:$B$5010,$A5,'Lançamentos'!$C$2:$C$5010,C$4)</f>
        <v/>
      </c>
      <c r="D5" s="9">
        <f>SUMIFS('Lançamentos'!$L$2:$L$5010,'Lançamentos'!$A$2:$A$5010,"Frete de venda",'Lançamentos'!$B$2:$B$5010,$A5,'Lançamentos'!$C$2:$C$5010,D$4)</f>
        <v/>
      </c>
      <c r="E5" s="9">
        <f>SUMIFS('Lançamentos'!$L$2:$L$5010,'Lançamentos'!$A$2:$A$5010,"Frete de venda",'Lançamentos'!$B$2:$B$5010,$A5,'Lançamentos'!$C$2:$C$5010,E$4)</f>
        <v/>
      </c>
      <c r="F5" s="9">
        <f>SUMIFS('Lançamentos'!$L$2:$L$5010,'Lançamentos'!$A$2:$A$5010,"Frete de venda",'Lançamentos'!$B$2:$B$5010,$A5,'Lançamentos'!$C$2:$C$5010,F$4)</f>
        <v/>
      </c>
      <c r="G5" s="9">
        <f>SUMIFS('Lançamentos'!$L$2:$L$5010,'Lançamentos'!$A$2:$A$5010,"Frete de venda",'Lançamentos'!$B$2:$B$5010,$A5,'Lançamentos'!$C$2:$C$5010,G$4)</f>
        <v/>
      </c>
      <c r="H5" s="9">
        <f>SUMIFS('Lançamentos'!$L$2:$L$5010,'Lançamentos'!$A$2:$A$5010,"Frete de venda",'Lançamentos'!$B$2:$B$5010,$A5,'Lançamentos'!$C$2:$C$5010,H$4)</f>
        <v/>
      </c>
      <c r="I5" s="9">
        <f>SUMIFS('Lançamentos'!$L$2:$L$5010,'Lançamentos'!$A$2:$A$5010,"Frete de venda",'Lançamentos'!$B$2:$B$5010,$A5,'Lançamentos'!$C$2:$C$5010,I$4)</f>
        <v/>
      </c>
      <c r="J5" s="9">
        <f>SUMIFS('Lançamentos'!$L$2:$L$5010,'Lançamentos'!$A$2:$A$5010,"Frete de venda",'Lançamentos'!$B$2:$B$5010,$A5,'Lançamentos'!$C$2:$C$5010,J$4)</f>
        <v/>
      </c>
      <c r="K5" s="9">
        <f>SUM(B5:J5)</f>
        <v/>
      </c>
      <c r="L5" s="10">
        <f>K5/K$11</f>
        <v/>
      </c>
      <c r="M5" s="9">
        <f>SUMIFS('Lançamentos'!$L$2:$L$5010,'Lançamentos'!$A$2:$A$5010,"Frete de venda",'Lançamentos'!$B$2:$B$5010,$A5,'Lançamentos'!$C$2:$C$5010,"Antes de 2026")</f>
        <v/>
      </c>
      <c r="N5" s="9" t="n"/>
      <c r="O5" s="9" t="n"/>
      <c r="P5" s="26" t="n"/>
    </row>
    <row r="6">
      <c r="A6" s="25" t="inlineStr">
        <is>
          <t>2.01.01 Frete Galpão Produto Acabado</t>
        </is>
      </c>
      <c r="B6" s="9">
        <f>SUMIFS('Lançamentos'!$L$2:$L$5010,'Lançamentos'!$A$2:$A$5010,"Frete de venda",'Lançamentos'!$B$2:$B$5010,$A6,'Lançamentos'!$C$2:$C$5010,B$4)</f>
        <v/>
      </c>
      <c r="C6" s="9">
        <f>SUMIFS('Lançamentos'!$L$2:$L$5010,'Lançamentos'!$A$2:$A$5010,"Frete de venda",'Lançamentos'!$B$2:$B$5010,$A6,'Lançamentos'!$C$2:$C$5010,C$4)</f>
        <v/>
      </c>
      <c r="D6" s="9">
        <f>SUMIFS('Lançamentos'!$L$2:$L$5010,'Lançamentos'!$A$2:$A$5010,"Frete de venda",'Lançamentos'!$B$2:$B$5010,$A6,'Lançamentos'!$C$2:$C$5010,D$4)</f>
        <v/>
      </c>
      <c r="E6" s="9">
        <f>SUMIFS('Lançamentos'!$L$2:$L$5010,'Lançamentos'!$A$2:$A$5010,"Frete de venda",'Lançamentos'!$B$2:$B$5010,$A6,'Lançamentos'!$C$2:$C$5010,E$4)</f>
        <v/>
      </c>
      <c r="F6" s="9">
        <f>SUMIFS('Lançamentos'!$L$2:$L$5010,'Lançamentos'!$A$2:$A$5010,"Frete de venda",'Lançamentos'!$B$2:$B$5010,$A6,'Lançamentos'!$C$2:$C$5010,F$4)</f>
        <v/>
      </c>
      <c r="G6" s="9">
        <f>SUMIFS('Lançamentos'!$L$2:$L$5010,'Lançamentos'!$A$2:$A$5010,"Frete de venda",'Lançamentos'!$B$2:$B$5010,$A6,'Lançamentos'!$C$2:$C$5010,G$4)</f>
        <v/>
      </c>
      <c r="H6" s="9">
        <f>SUMIFS('Lançamentos'!$L$2:$L$5010,'Lançamentos'!$A$2:$A$5010,"Frete de venda",'Lançamentos'!$B$2:$B$5010,$A6,'Lançamentos'!$C$2:$C$5010,H$4)</f>
        <v/>
      </c>
      <c r="I6" s="9">
        <f>SUMIFS('Lançamentos'!$L$2:$L$5010,'Lançamentos'!$A$2:$A$5010,"Frete de venda",'Lançamentos'!$B$2:$B$5010,$A6,'Lançamentos'!$C$2:$C$5010,I$4)</f>
        <v/>
      </c>
      <c r="J6" s="9">
        <f>SUMIFS('Lançamentos'!$L$2:$L$5010,'Lançamentos'!$A$2:$A$5010,"Frete de venda",'Lançamentos'!$B$2:$B$5010,$A6,'Lançamentos'!$C$2:$C$5010,J$4)</f>
        <v/>
      </c>
      <c r="K6" s="9">
        <f>SUM(B6:J6)</f>
        <v/>
      </c>
      <c r="L6" s="10">
        <f>K6/K$11</f>
        <v/>
      </c>
      <c r="M6" s="9">
        <f>SUMIFS('Lançamentos'!$L$2:$L$5010,'Lançamentos'!$A$2:$A$5010,"Frete de venda",'Lançamentos'!$B$2:$B$5010,$A6,'Lançamentos'!$C$2:$C$5010,"Antes de 2026")</f>
        <v/>
      </c>
      <c r="N6" s="9" t="n"/>
      <c r="O6" s="9" t="n"/>
      <c r="P6" s="26" t="n"/>
    </row>
    <row r="7">
      <c r="A7" s="25" t="inlineStr">
        <is>
          <t>2.01.02 Frete sobre Vendas</t>
        </is>
      </c>
      <c r="B7" s="9">
        <f>SUMIFS('Lançamentos'!$L$2:$L$5010,'Lançamentos'!$A$2:$A$5010,"Frete de venda",'Lançamentos'!$B$2:$B$5010,$A7,'Lançamentos'!$C$2:$C$5010,B$4)</f>
        <v/>
      </c>
      <c r="C7" s="9">
        <f>SUMIFS('Lançamentos'!$L$2:$L$5010,'Lançamentos'!$A$2:$A$5010,"Frete de venda",'Lançamentos'!$B$2:$B$5010,$A7,'Lançamentos'!$C$2:$C$5010,C$4)</f>
        <v/>
      </c>
      <c r="D7" s="9">
        <f>SUMIFS('Lançamentos'!$L$2:$L$5010,'Lançamentos'!$A$2:$A$5010,"Frete de venda",'Lançamentos'!$B$2:$B$5010,$A7,'Lançamentos'!$C$2:$C$5010,D$4)</f>
        <v/>
      </c>
      <c r="E7" s="9">
        <f>SUMIFS('Lançamentos'!$L$2:$L$5010,'Lançamentos'!$A$2:$A$5010,"Frete de venda",'Lançamentos'!$B$2:$B$5010,$A7,'Lançamentos'!$C$2:$C$5010,E$4)</f>
        <v/>
      </c>
      <c r="F7" s="9">
        <f>SUMIFS('Lançamentos'!$L$2:$L$5010,'Lançamentos'!$A$2:$A$5010,"Frete de venda",'Lançamentos'!$B$2:$B$5010,$A7,'Lançamentos'!$C$2:$C$5010,F$4)</f>
        <v/>
      </c>
      <c r="G7" s="9">
        <f>SUMIFS('Lançamentos'!$L$2:$L$5010,'Lançamentos'!$A$2:$A$5010,"Frete de venda",'Lançamentos'!$B$2:$B$5010,$A7,'Lançamentos'!$C$2:$C$5010,G$4)</f>
        <v/>
      </c>
      <c r="H7" s="9">
        <f>SUMIFS('Lançamentos'!$L$2:$L$5010,'Lançamentos'!$A$2:$A$5010,"Frete de venda",'Lançamentos'!$B$2:$B$5010,$A7,'Lançamentos'!$C$2:$C$5010,H$4)</f>
        <v/>
      </c>
      <c r="I7" s="9">
        <f>SUMIFS('Lançamentos'!$L$2:$L$5010,'Lançamentos'!$A$2:$A$5010,"Frete de venda",'Lançamentos'!$B$2:$B$5010,$A7,'Lançamentos'!$C$2:$C$5010,I$4)</f>
        <v/>
      </c>
      <c r="J7" s="9">
        <f>SUMIFS('Lançamentos'!$L$2:$L$5010,'Lançamentos'!$A$2:$A$5010,"Frete de venda",'Lançamentos'!$B$2:$B$5010,$A7,'Lançamentos'!$C$2:$C$5010,J$4)</f>
        <v/>
      </c>
      <c r="K7" s="9">
        <f>SUM(B7:J7)</f>
        <v/>
      </c>
      <c r="L7" s="10">
        <f>K7/K$11</f>
        <v/>
      </c>
      <c r="M7" s="9">
        <f>SUMIFS('Lançamentos'!$L$2:$L$5010,'Lançamentos'!$A$2:$A$5010,"Frete de venda",'Lançamentos'!$B$2:$B$5010,$A7,'Lançamentos'!$C$2:$C$5010,"Antes de 2026")</f>
        <v/>
      </c>
      <c r="N7" s="9" t="n"/>
      <c r="O7" s="9" t="n"/>
      <c r="P7" s="26" t="n"/>
    </row>
    <row r="8">
      <c r="A8" s="25" t="inlineStr">
        <is>
          <t>2.01.84 Remessa de Mercadoria</t>
        </is>
      </c>
      <c r="B8" s="9">
        <f>SUMIFS('Lançamentos'!$L$2:$L$5010,'Lançamentos'!$A$2:$A$5010,"Frete de venda",'Lançamentos'!$B$2:$B$5010,$A8,'Lançamentos'!$C$2:$C$5010,B$4)</f>
        <v/>
      </c>
      <c r="C8" s="9">
        <f>SUMIFS('Lançamentos'!$L$2:$L$5010,'Lançamentos'!$A$2:$A$5010,"Frete de venda",'Lançamentos'!$B$2:$B$5010,$A8,'Lançamentos'!$C$2:$C$5010,C$4)</f>
        <v/>
      </c>
      <c r="D8" s="9">
        <f>SUMIFS('Lançamentos'!$L$2:$L$5010,'Lançamentos'!$A$2:$A$5010,"Frete de venda",'Lançamentos'!$B$2:$B$5010,$A8,'Lançamentos'!$C$2:$C$5010,D$4)</f>
        <v/>
      </c>
      <c r="E8" s="9">
        <f>SUMIFS('Lançamentos'!$L$2:$L$5010,'Lançamentos'!$A$2:$A$5010,"Frete de venda",'Lançamentos'!$B$2:$B$5010,$A8,'Lançamentos'!$C$2:$C$5010,E$4)</f>
        <v/>
      </c>
      <c r="F8" s="9">
        <f>SUMIFS('Lançamentos'!$L$2:$L$5010,'Lançamentos'!$A$2:$A$5010,"Frete de venda",'Lançamentos'!$B$2:$B$5010,$A8,'Lançamentos'!$C$2:$C$5010,F$4)</f>
        <v/>
      </c>
      <c r="G8" s="9">
        <f>SUMIFS('Lançamentos'!$L$2:$L$5010,'Lançamentos'!$A$2:$A$5010,"Frete de venda",'Lançamentos'!$B$2:$B$5010,$A8,'Lançamentos'!$C$2:$C$5010,G$4)</f>
        <v/>
      </c>
      <c r="H8" s="9">
        <f>SUMIFS('Lançamentos'!$L$2:$L$5010,'Lançamentos'!$A$2:$A$5010,"Frete de venda",'Lançamentos'!$B$2:$B$5010,$A8,'Lançamentos'!$C$2:$C$5010,H$4)</f>
        <v/>
      </c>
      <c r="I8" s="9">
        <f>SUMIFS('Lançamentos'!$L$2:$L$5010,'Lançamentos'!$A$2:$A$5010,"Frete de venda",'Lançamentos'!$B$2:$B$5010,$A8,'Lançamentos'!$C$2:$C$5010,I$4)</f>
        <v/>
      </c>
      <c r="J8" s="9">
        <f>SUMIFS('Lançamentos'!$L$2:$L$5010,'Lançamentos'!$A$2:$A$5010,"Frete de venda",'Lançamentos'!$B$2:$B$5010,$A8,'Lançamentos'!$C$2:$C$5010,J$4)</f>
        <v/>
      </c>
      <c r="K8" s="9">
        <f>SUM(B8:J8)</f>
        <v/>
      </c>
      <c r="L8" s="10">
        <f>K8/K$11</f>
        <v/>
      </c>
      <c r="M8" s="9">
        <f>SUMIFS('Lançamentos'!$L$2:$L$5010,'Lançamentos'!$A$2:$A$5010,"Frete de venda",'Lançamentos'!$B$2:$B$5010,$A8,'Lançamentos'!$C$2:$C$5010,"Antes de 2026")</f>
        <v/>
      </c>
      <c r="N8" s="9" t="n"/>
      <c r="O8" s="9" t="n"/>
      <c r="P8" s="26" t="n"/>
    </row>
    <row r="9">
      <c r="A9" s="25" t="inlineStr">
        <is>
          <t>2.01.98 Frete Descarregamento</t>
        </is>
      </c>
      <c r="B9" s="9">
        <f>SUMIFS('Lançamentos'!$L$2:$L$5010,'Lançamentos'!$A$2:$A$5010,"Frete de venda",'Lançamentos'!$B$2:$B$5010,$A9,'Lançamentos'!$C$2:$C$5010,B$4)</f>
        <v/>
      </c>
      <c r="C9" s="9">
        <f>SUMIFS('Lançamentos'!$L$2:$L$5010,'Lançamentos'!$A$2:$A$5010,"Frete de venda",'Lançamentos'!$B$2:$B$5010,$A9,'Lançamentos'!$C$2:$C$5010,C$4)</f>
        <v/>
      </c>
      <c r="D9" s="9">
        <f>SUMIFS('Lançamentos'!$L$2:$L$5010,'Lançamentos'!$A$2:$A$5010,"Frete de venda",'Lançamentos'!$B$2:$B$5010,$A9,'Lançamentos'!$C$2:$C$5010,D$4)</f>
        <v/>
      </c>
      <c r="E9" s="9">
        <f>SUMIFS('Lançamentos'!$L$2:$L$5010,'Lançamentos'!$A$2:$A$5010,"Frete de venda",'Lançamentos'!$B$2:$B$5010,$A9,'Lançamentos'!$C$2:$C$5010,E$4)</f>
        <v/>
      </c>
      <c r="F9" s="9">
        <f>SUMIFS('Lançamentos'!$L$2:$L$5010,'Lançamentos'!$A$2:$A$5010,"Frete de venda",'Lançamentos'!$B$2:$B$5010,$A9,'Lançamentos'!$C$2:$C$5010,F$4)</f>
        <v/>
      </c>
      <c r="G9" s="9">
        <f>SUMIFS('Lançamentos'!$L$2:$L$5010,'Lançamentos'!$A$2:$A$5010,"Frete de venda",'Lançamentos'!$B$2:$B$5010,$A9,'Lançamentos'!$C$2:$C$5010,G$4)</f>
        <v/>
      </c>
      <c r="H9" s="9">
        <f>SUMIFS('Lançamentos'!$L$2:$L$5010,'Lançamentos'!$A$2:$A$5010,"Frete de venda",'Lançamentos'!$B$2:$B$5010,$A9,'Lançamentos'!$C$2:$C$5010,H$4)</f>
        <v/>
      </c>
      <c r="I9" s="9">
        <f>SUMIFS('Lançamentos'!$L$2:$L$5010,'Lançamentos'!$A$2:$A$5010,"Frete de venda",'Lançamentos'!$B$2:$B$5010,$A9,'Lançamentos'!$C$2:$C$5010,I$4)</f>
        <v/>
      </c>
      <c r="J9" s="9">
        <f>SUMIFS('Lançamentos'!$L$2:$L$5010,'Lançamentos'!$A$2:$A$5010,"Frete de venda",'Lançamentos'!$B$2:$B$5010,$A9,'Lançamentos'!$C$2:$C$5010,J$4)</f>
        <v/>
      </c>
      <c r="K9" s="9">
        <f>SUM(B9:J9)</f>
        <v/>
      </c>
      <c r="L9" s="10">
        <f>K9/K$11</f>
        <v/>
      </c>
      <c r="M9" s="9">
        <f>SUMIFS('Lançamentos'!$L$2:$L$5010,'Lançamentos'!$A$2:$A$5010,"Frete de venda",'Lançamentos'!$B$2:$B$5010,$A9,'Lançamentos'!$C$2:$C$5010,"Antes de 2026")</f>
        <v/>
      </c>
      <c r="N9" s="9" t="n"/>
      <c r="O9" s="9" t="n"/>
      <c r="P9" s="26" t="n"/>
    </row>
    <row r="10">
      <c r="A10" s="25" t="inlineStr">
        <is>
          <t>2.04.87 Frete sobre Compra</t>
        </is>
      </c>
      <c r="B10" s="9">
        <f>SUMIFS('Lançamentos'!$L$2:$L$5010,'Lançamentos'!$A$2:$A$5010,"Frete de venda",'Lançamentos'!$B$2:$B$5010,$A10,'Lançamentos'!$C$2:$C$5010,B$4)</f>
        <v/>
      </c>
      <c r="C10" s="9">
        <f>SUMIFS('Lançamentos'!$L$2:$L$5010,'Lançamentos'!$A$2:$A$5010,"Frete de venda",'Lançamentos'!$B$2:$B$5010,$A10,'Lançamentos'!$C$2:$C$5010,C$4)</f>
        <v/>
      </c>
      <c r="D10" s="9">
        <f>SUMIFS('Lançamentos'!$L$2:$L$5010,'Lançamentos'!$A$2:$A$5010,"Frete de venda",'Lançamentos'!$B$2:$B$5010,$A10,'Lançamentos'!$C$2:$C$5010,D$4)</f>
        <v/>
      </c>
      <c r="E10" s="9">
        <f>SUMIFS('Lançamentos'!$L$2:$L$5010,'Lançamentos'!$A$2:$A$5010,"Frete de venda",'Lançamentos'!$B$2:$B$5010,$A10,'Lançamentos'!$C$2:$C$5010,E$4)</f>
        <v/>
      </c>
      <c r="F10" s="9">
        <f>SUMIFS('Lançamentos'!$L$2:$L$5010,'Lançamentos'!$A$2:$A$5010,"Frete de venda",'Lançamentos'!$B$2:$B$5010,$A10,'Lançamentos'!$C$2:$C$5010,F$4)</f>
        <v/>
      </c>
      <c r="G10" s="9">
        <f>SUMIFS('Lançamentos'!$L$2:$L$5010,'Lançamentos'!$A$2:$A$5010,"Frete de venda",'Lançamentos'!$B$2:$B$5010,$A10,'Lançamentos'!$C$2:$C$5010,G$4)</f>
        <v/>
      </c>
      <c r="H10" s="9">
        <f>SUMIFS('Lançamentos'!$L$2:$L$5010,'Lançamentos'!$A$2:$A$5010,"Frete de venda",'Lançamentos'!$B$2:$B$5010,$A10,'Lançamentos'!$C$2:$C$5010,H$4)</f>
        <v/>
      </c>
      <c r="I10" s="9">
        <f>SUMIFS('Lançamentos'!$L$2:$L$5010,'Lançamentos'!$A$2:$A$5010,"Frete de venda",'Lançamentos'!$B$2:$B$5010,$A10,'Lançamentos'!$C$2:$C$5010,I$4)</f>
        <v/>
      </c>
      <c r="J10" s="9">
        <f>SUMIFS('Lançamentos'!$L$2:$L$5010,'Lançamentos'!$A$2:$A$5010,"Frete de venda",'Lançamentos'!$B$2:$B$5010,$A10,'Lançamentos'!$C$2:$C$5010,J$4)</f>
        <v/>
      </c>
      <c r="K10" s="9">
        <f>SUM(B10:J10)</f>
        <v/>
      </c>
      <c r="L10" s="10">
        <f>K10/K$11</f>
        <v/>
      </c>
      <c r="M10" s="9">
        <f>SUMIFS('Lançamentos'!$L$2:$L$5010,'Lançamentos'!$A$2:$A$5010,"Frete de venda",'Lançamentos'!$B$2:$B$5010,$A10,'Lançamentos'!$C$2:$C$5010,"Antes de 2026")</f>
        <v/>
      </c>
      <c r="N10" s="9" t="n"/>
      <c r="O10" s="9" t="n"/>
      <c r="P10" s="26" t="n"/>
    </row>
    <row r="11">
      <c r="A11" s="11" t="inlineStr">
        <is>
          <t>TOTAL FRETE DE VENDA</t>
        </is>
      </c>
      <c r="B11" s="13">
        <f>SUM(B5:B10)</f>
        <v/>
      </c>
      <c r="C11" s="13">
        <f>SUM(C5:C10)</f>
        <v/>
      </c>
      <c r="D11" s="13">
        <f>SUM(D5:D10)</f>
        <v/>
      </c>
      <c r="E11" s="13">
        <f>SUM(E5:E10)</f>
        <v/>
      </c>
      <c r="F11" s="13">
        <f>SUM(F5:F10)</f>
        <v/>
      </c>
      <c r="G11" s="13">
        <f>SUM(G5:G10)</f>
        <v/>
      </c>
      <c r="H11" s="13">
        <f>SUM(H5:H10)</f>
        <v/>
      </c>
      <c r="I11" s="13">
        <f>SUM(I5:I10)</f>
        <v/>
      </c>
      <c r="J11" s="13">
        <f>SUM(J5:J10)</f>
        <v/>
      </c>
      <c r="K11" s="13">
        <f>SUM(K5:K10)</f>
        <v/>
      </c>
      <c r="L11" s="14">
        <f>K11/K$11</f>
        <v/>
      </c>
      <c r="M11" s="13">
        <f>SUM(M5:M10)</f>
        <v/>
      </c>
      <c r="N11" s="9" t="n"/>
      <c r="O11" s="9" t="n"/>
      <c r="P11" s="26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0" t="n"/>
      <c r="M12" s="9" t="n"/>
      <c r="N12" s="9" t="n"/>
      <c r="O12" s="9" t="n"/>
      <c r="P12" s="26" t="n"/>
    </row>
    <row r="13">
      <c r="A13" t="inlineStr">
        <is>
          <t>Memo: valor bruto (com impostos)</t>
        </is>
      </c>
      <c r="B13" s="9">
        <f>SUMIFS('Lançamentos'!$J$2:$J$5010,'Lançamentos'!$A$2:$A$5010,"Frete de venda",'Lançamentos'!$C$2:$C$5010,B$4)</f>
        <v/>
      </c>
      <c r="C13" s="9">
        <f>SUMIFS('Lançamentos'!$J$2:$J$5010,'Lançamentos'!$A$2:$A$5010,"Frete de venda",'Lançamentos'!$C$2:$C$5010,C$4)</f>
        <v/>
      </c>
      <c r="D13" s="9">
        <f>SUMIFS('Lançamentos'!$J$2:$J$5010,'Lançamentos'!$A$2:$A$5010,"Frete de venda",'Lançamentos'!$C$2:$C$5010,D$4)</f>
        <v/>
      </c>
      <c r="E13" s="9">
        <f>SUMIFS('Lançamentos'!$J$2:$J$5010,'Lançamentos'!$A$2:$A$5010,"Frete de venda",'Lançamentos'!$C$2:$C$5010,E$4)</f>
        <v/>
      </c>
      <c r="F13" s="9">
        <f>SUMIFS('Lançamentos'!$J$2:$J$5010,'Lançamentos'!$A$2:$A$5010,"Frete de venda",'Lançamentos'!$C$2:$C$5010,F$4)</f>
        <v/>
      </c>
      <c r="G13" s="9">
        <f>SUMIFS('Lançamentos'!$J$2:$J$5010,'Lançamentos'!$A$2:$A$5010,"Frete de venda",'Lançamentos'!$C$2:$C$5010,G$4)</f>
        <v/>
      </c>
      <c r="H13" s="9">
        <f>SUMIFS('Lançamentos'!$J$2:$J$5010,'Lançamentos'!$A$2:$A$5010,"Frete de venda",'Lançamentos'!$C$2:$C$5010,H$4)</f>
        <v/>
      </c>
      <c r="I13" s="9">
        <f>SUMIFS('Lançamentos'!$J$2:$J$5010,'Lançamentos'!$A$2:$A$5010,"Frete de venda",'Lançamentos'!$C$2:$C$5010,I$4)</f>
        <v/>
      </c>
      <c r="J13" s="9">
        <f>SUMIFS('Lançamentos'!$J$2:$J$5010,'Lançamentos'!$A$2:$A$5010,"Frete de venda",'Lançamentos'!$C$2:$C$5010,J$4)</f>
        <v/>
      </c>
      <c r="K13" s="9">
        <f>SUM(B13:J13)</f>
        <v/>
      </c>
      <c r="L13" s="10" t="n"/>
      <c r="M13" s="9">
        <f>SUMIFS('Lançamentos'!$J$2:$J$5010,'Lançamentos'!$A$2:$A$5010,"Frete de venda",'Lançamentos'!$C$2:$C$5010,"Antes de 2026")</f>
        <v/>
      </c>
      <c r="N13" s="9" t="n"/>
      <c r="O13" s="9" t="n"/>
      <c r="P13" s="26" t="n"/>
    </row>
    <row r="14">
      <c r="A14" t="inlineStr">
        <is>
          <t>Memo: créditos abatidos</t>
        </is>
      </c>
      <c r="B14" s="9">
        <f>SUMIFS('Lançamentos'!$K$2:$K$5010,'Lançamentos'!$A$2:$A$5010,"Frete de venda",'Lançamentos'!$C$2:$C$5010,B$4)</f>
        <v/>
      </c>
      <c r="C14" s="9">
        <f>SUMIFS('Lançamentos'!$K$2:$K$5010,'Lançamentos'!$A$2:$A$5010,"Frete de venda",'Lançamentos'!$C$2:$C$5010,C$4)</f>
        <v/>
      </c>
      <c r="D14" s="9">
        <f>SUMIFS('Lançamentos'!$K$2:$K$5010,'Lançamentos'!$A$2:$A$5010,"Frete de venda",'Lançamentos'!$C$2:$C$5010,D$4)</f>
        <v/>
      </c>
      <c r="E14" s="9">
        <f>SUMIFS('Lançamentos'!$K$2:$K$5010,'Lançamentos'!$A$2:$A$5010,"Frete de venda",'Lançamentos'!$C$2:$C$5010,E$4)</f>
        <v/>
      </c>
      <c r="F14" s="9">
        <f>SUMIFS('Lançamentos'!$K$2:$K$5010,'Lançamentos'!$A$2:$A$5010,"Frete de venda",'Lançamentos'!$C$2:$C$5010,F$4)</f>
        <v/>
      </c>
      <c r="G14" s="9">
        <f>SUMIFS('Lançamentos'!$K$2:$K$5010,'Lançamentos'!$A$2:$A$5010,"Frete de venda",'Lançamentos'!$C$2:$C$5010,G$4)</f>
        <v/>
      </c>
      <c r="H14" s="9">
        <f>SUMIFS('Lançamentos'!$K$2:$K$5010,'Lançamentos'!$A$2:$A$5010,"Frete de venda",'Lançamentos'!$C$2:$C$5010,H$4)</f>
        <v/>
      </c>
      <c r="I14" s="9">
        <f>SUMIFS('Lançamentos'!$K$2:$K$5010,'Lançamentos'!$A$2:$A$5010,"Frete de venda",'Lançamentos'!$C$2:$C$5010,I$4)</f>
        <v/>
      </c>
      <c r="J14" s="9">
        <f>SUMIFS('Lançamentos'!$K$2:$K$5010,'Lançamentos'!$A$2:$A$5010,"Frete de venda",'Lançamentos'!$C$2:$C$5010,J$4)</f>
        <v/>
      </c>
      <c r="K14" s="9">
        <f>SUM(B14:J14)</f>
        <v/>
      </c>
      <c r="L14" s="10" t="n"/>
      <c r="M14" s="9">
        <f>SUMIFS('Lançamentos'!$K$2:$K$5010,'Lançamentos'!$A$2:$A$5010,"Frete de venda",'Lançamentos'!$C$2:$C$5010,"Antes de 2026")</f>
        <v/>
      </c>
      <c r="N14" s="9" t="n"/>
      <c r="O14" s="9" t="n"/>
      <c r="P14" s="26" t="n"/>
    </row>
    <row r="15">
      <c r="A15" t="inlineStr">
        <is>
          <t>Conferência: bruto − créditos − total (deve ser zero)</t>
        </is>
      </c>
      <c r="B15" s="9">
        <f>ROUND(B13-B14-B11,2)</f>
        <v/>
      </c>
      <c r="C15" s="9">
        <f>ROUND(C13-C14-C11,2)</f>
        <v/>
      </c>
      <c r="D15" s="9">
        <f>ROUND(D13-D14-D11,2)</f>
        <v/>
      </c>
      <c r="E15" s="9">
        <f>ROUND(E13-E14-E11,2)</f>
        <v/>
      </c>
      <c r="F15" s="9">
        <f>ROUND(F13-F14-F11,2)</f>
        <v/>
      </c>
      <c r="G15" s="9">
        <f>ROUND(G13-G14-G11,2)</f>
        <v/>
      </c>
      <c r="H15" s="9">
        <f>ROUND(H13-H14-H11,2)</f>
        <v/>
      </c>
      <c r="I15" s="9">
        <f>ROUND(I13-I14-I11,2)</f>
        <v/>
      </c>
      <c r="J15" s="9">
        <f>ROUND(J13-J14-J11,2)</f>
        <v/>
      </c>
      <c r="K15" s="9">
        <f>ROUND(K13-K14-K11,2)</f>
        <v/>
      </c>
      <c r="L15" s="10" t="n"/>
      <c r="M15" s="9">
        <f>ROUND(M13-M14-M11,2)</f>
        <v/>
      </c>
      <c r="N15" s="9" t="n"/>
      <c r="O15" s="9" t="n"/>
      <c r="P15" s="26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10" t="n"/>
      <c r="M16" s="9" t="n"/>
      <c r="N16" s="9" t="n"/>
      <c r="O16" s="9" t="n"/>
      <c r="P16" s="26" t="n"/>
    </row>
    <row r="17">
      <c r="A17" s="23" t="inlineStr">
        <is>
          <t>Por fornecedor / transportadora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 t="n"/>
      <c r="M17" s="9" t="n"/>
      <c r="N17" s="9" t="n"/>
      <c r="O17" s="9" t="n"/>
      <c r="P17" s="26" t="n"/>
    </row>
    <row r="18">
      <c r="A18" s="4" t="inlineStr">
        <is>
          <t>Fornecedor / Transportadora</t>
        </is>
      </c>
      <c r="B18" s="18" t="n">
        <v>46023</v>
      </c>
      <c r="C18" s="18" t="n">
        <v>46054</v>
      </c>
      <c r="D18" s="18" t="n">
        <v>46082</v>
      </c>
      <c r="E18" s="18" t="n">
        <v>46113</v>
      </c>
      <c r="F18" s="18" t="n">
        <v>46143</v>
      </c>
      <c r="G18" s="18" t="n">
        <v>46174</v>
      </c>
      <c r="H18" s="18" t="n">
        <v>46204</v>
      </c>
      <c r="I18" s="18" t="n">
        <v>46235</v>
      </c>
      <c r="J18" s="18" t="n">
        <v>46266</v>
      </c>
      <c r="K18" s="5" t="inlineStr">
        <is>
          <t>Total 2026</t>
        </is>
      </c>
      <c r="L18" s="5" t="inlineStr">
        <is>
          <t>% do total</t>
        </is>
      </c>
      <c r="M18" s="5" t="inlineStr">
        <is>
          <t>Memo: antes de 2026</t>
        </is>
      </c>
      <c r="N18" s="5" t="inlineStr">
        <is>
          <t>Valor bruto 2026</t>
        </is>
      </c>
      <c r="O18" s="5" t="inlineStr">
        <is>
          <t>Créditos 2026</t>
        </is>
      </c>
      <c r="P18" s="5" t="inlineStr">
        <is>
          <t>Nº docs 2026</t>
        </is>
      </c>
    </row>
    <row r="19">
      <c r="A19" t="inlineStr">
        <is>
          <t>DURA MAIS TRANSPORTES LTDA</t>
        </is>
      </c>
      <c r="B19" s="9">
        <f>SUMIFS('Lançamentos'!$L$2:$L$5010,'Lançamentos'!$A$2:$A$5010,"Frete de venda",'Lançamentos'!$H$2:$H$5010,$A19,'Lançamentos'!$C$2:$C$5010,B$18)</f>
        <v/>
      </c>
      <c r="C19" s="9">
        <f>SUMIFS('Lançamentos'!$L$2:$L$5010,'Lançamentos'!$A$2:$A$5010,"Frete de venda",'Lançamentos'!$H$2:$H$5010,$A19,'Lançamentos'!$C$2:$C$5010,C$18)</f>
        <v/>
      </c>
      <c r="D19" s="9">
        <f>SUMIFS('Lançamentos'!$L$2:$L$5010,'Lançamentos'!$A$2:$A$5010,"Frete de venda",'Lançamentos'!$H$2:$H$5010,$A19,'Lançamentos'!$C$2:$C$5010,D$18)</f>
        <v/>
      </c>
      <c r="E19" s="9">
        <f>SUMIFS('Lançamentos'!$L$2:$L$5010,'Lançamentos'!$A$2:$A$5010,"Frete de venda",'Lançamentos'!$H$2:$H$5010,$A19,'Lançamentos'!$C$2:$C$5010,E$18)</f>
        <v/>
      </c>
      <c r="F19" s="9">
        <f>SUMIFS('Lançamentos'!$L$2:$L$5010,'Lançamentos'!$A$2:$A$5010,"Frete de venda",'Lançamentos'!$H$2:$H$5010,$A19,'Lançamentos'!$C$2:$C$5010,F$18)</f>
        <v/>
      </c>
      <c r="G19" s="9">
        <f>SUMIFS('Lançamentos'!$L$2:$L$5010,'Lançamentos'!$A$2:$A$5010,"Frete de venda",'Lançamentos'!$H$2:$H$5010,$A19,'Lançamentos'!$C$2:$C$5010,G$18)</f>
        <v/>
      </c>
      <c r="H19" s="9">
        <f>SUMIFS('Lançamentos'!$L$2:$L$5010,'Lançamentos'!$A$2:$A$5010,"Frete de venda",'Lançamentos'!$H$2:$H$5010,$A19,'Lançamentos'!$C$2:$C$5010,H$18)</f>
        <v/>
      </c>
      <c r="I19" s="9">
        <f>SUMIFS('Lançamentos'!$L$2:$L$5010,'Lançamentos'!$A$2:$A$5010,"Frete de venda",'Lançamentos'!$H$2:$H$5010,$A19,'Lançamentos'!$C$2:$C$5010,I$18)</f>
        <v/>
      </c>
      <c r="J19" s="9">
        <f>SUMIFS('Lançamentos'!$L$2:$L$5010,'Lançamentos'!$A$2:$A$5010,"Frete de venda",'Lançamentos'!$H$2:$H$5010,$A19,'Lançamentos'!$C$2:$C$5010,J$18)</f>
        <v/>
      </c>
      <c r="K19" s="9">
        <f>SUM(B19:J19)</f>
        <v/>
      </c>
      <c r="L19" s="10">
        <f>K19/K$55</f>
        <v/>
      </c>
      <c r="M19" s="9">
        <f>SUMIFS('Lançamentos'!$L$2:$L$5010,'Lançamentos'!$A$2:$A$5010,"Frete de venda",'Lançamentos'!$H$2:$H$5010,$A19,'Lançamentos'!$C$2:$C$5010,"Antes de 2026")</f>
        <v/>
      </c>
      <c r="N19" s="9">
        <f>SUMIFS('Lançamentos'!$J$2:$J$5010,'Lançamentos'!$A$2:$A$5010,"Frete de venda",'Lançamentos'!$H$2:$H$5010,$A19,'Lançamentos'!$D$2:$D$5010,"Em 2026")</f>
        <v/>
      </c>
      <c r="O19" s="9">
        <f>SUMIFS('Lançamentos'!$K$2:$K$5010,'Lançamentos'!$A$2:$A$5010,"Frete de venda",'Lançamentos'!$H$2:$H$5010,$A19,'Lançamentos'!$D$2:$D$5010,"Em 2026")</f>
        <v/>
      </c>
      <c r="P19" s="26">
        <f>COUNTIFS('Lançamentos'!$A$2:$A$5010,"Frete de venda",'Lançamentos'!$H$2:$H$5010,$A19,'Lançamentos'!$D$2:$D$5010,"Em 2026")</f>
        <v/>
      </c>
    </row>
    <row r="20">
      <c r="A20" t="inlineStr">
        <is>
          <t>R&amp;R TRANSPORTE E LOGISTICA</t>
        </is>
      </c>
      <c r="B20" s="9">
        <f>SUMIFS('Lançamentos'!$L$2:$L$5010,'Lançamentos'!$A$2:$A$5010,"Frete de venda",'Lançamentos'!$H$2:$H$5010,$A20,'Lançamentos'!$C$2:$C$5010,B$18)</f>
        <v/>
      </c>
      <c r="C20" s="9">
        <f>SUMIFS('Lançamentos'!$L$2:$L$5010,'Lançamentos'!$A$2:$A$5010,"Frete de venda",'Lançamentos'!$H$2:$H$5010,$A20,'Lançamentos'!$C$2:$C$5010,C$18)</f>
        <v/>
      </c>
      <c r="D20" s="9">
        <f>SUMIFS('Lançamentos'!$L$2:$L$5010,'Lançamentos'!$A$2:$A$5010,"Frete de venda",'Lançamentos'!$H$2:$H$5010,$A20,'Lançamentos'!$C$2:$C$5010,D$18)</f>
        <v/>
      </c>
      <c r="E20" s="9">
        <f>SUMIFS('Lançamentos'!$L$2:$L$5010,'Lançamentos'!$A$2:$A$5010,"Frete de venda",'Lançamentos'!$H$2:$H$5010,$A20,'Lançamentos'!$C$2:$C$5010,E$18)</f>
        <v/>
      </c>
      <c r="F20" s="9">
        <f>SUMIFS('Lançamentos'!$L$2:$L$5010,'Lançamentos'!$A$2:$A$5010,"Frete de venda",'Lançamentos'!$H$2:$H$5010,$A20,'Lançamentos'!$C$2:$C$5010,F$18)</f>
        <v/>
      </c>
      <c r="G20" s="9">
        <f>SUMIFS('Lançamentos'!$L$2:$L$5010,'Lançamentos'!$A$2:$A$5010,"Frete de venda",'Lançamentos'!$H$2:$H$5010,$A20,'Lançamentos'!$C$2:$C$5010,G$18)</f>
        <v/>
      </c>
      <c r="H20" s="9">
        <f>SUMIFS('Lançamentos'!$L$2:$L$5010,'Lançamentos'!$A$2:$A$5010,"Frete de venda",'Lançamentos'!$H$2:$H$5010,$A20,'Lançamentos'!$C$2:$C$5010,H$18)</f>
        <v/>
      </c>
      <c r="I20" s="9">
        <f>SUMIFS('Lançamentos'!$L$2:$L$5010,'Lançamentos'!$A$2:$A$5010,"Frete de venda",'Lançamentos'!$H$2:$H$5010,$A20,'Lançamentos'!$C$2:$C$5010,I$18)</f>
        <v/>
      </c>
      <c r="J20" s="9">
        <f>SUMIFS('Lançamentos'!$L$2:$L$5010,'Lançamentos'!$A$2:$A$5010,"Frete de venda",'Lançamentos'!$H$2:$H$5010,$A20,'Lançamentos'!$C$2:$C$5010,J$18)</f>
        <v/>
      </c>
      <c r="K20" s="9">
        <f>SUM(B20:J20)</f>
        <v/>
      </c>
      <c r="L20" s="10">
        <f>K20/K$55</f>
        <v/>
      </c>
      <c r="M20" s="9">
        <f>SUMIFS('Lançamentos'!$L$2:$L$5010,'Lançamentos'!$A$2:$A$5010,"Frete de venda",'Lançamentos'!$H$2:$H$5010,$A20,'Lançamentos'!$C$2:$C$5010,"Antes de 2026")</f>
        <v/>
      </c>
      <c r="N20" s="9">
        <f>SUMIFS('Lançamentos'!$J$2:$J$5010,'Lançamentos'!$A$2:$A$5010,"Frete de venda",'Lançamentos'!$H$2:$H$5010,$A20,'Lançamentos'!$D$2:$D$5010,"Em 2026")</f>
        <v/>
      </c>
      <c r="O20" s="9">
        <f>SUMIFS('Lançamentos'!$K$2:$K$5010,'Lançamentos'!$A$2:$A$5010,"Frete de venda",'Lançamentos'!$H$2:$H$5010,$A20,'Lançamentos'!$D$2:$D$5010,"Em 2026")</f>
        <v/>
      </c>
      <c r="P20" s="26">
        <f>COUNTIFS('Lançamentos'!$A$2:$A$5010,"Frete de venda",'Lançamentos'!$H$2:$H$5010,$A20,'Lançamentos'!$D$2:$D$5010,"Em 2026")</f>
        <v/>
      </c>
    </row>
    <row r="21">
      <c r="A21" t="inlineStr">
        <is>
          <t>RAPIDO XAPURI TRANSPORTES E LOGISTICA LTDA</t>
        </is>
      </c>
      <c r="B21" s="9">
        <f>SUMIFS('Lançamentos'!$L$2:$L$5010,'Lançamentos'!$A$2:$A$5010,"Frete de venda",'Lançamentos'!$H$2:$H$5010,$A21,'Lançamentos'!$C$2:$C$5010,B$18)</f>
        <v/>
      </c>
      <c r="C21" s="9">
        <f>SUMIFS('Lançamentos'!$L$2:$L$5010,'Lançamentos'!$A$2:$A$5010,"Frete de venda",'Lançamentos'!$H$2:$H$5010,$A21,'Lançamentos'!$C$2:$C$5010,C$18)</f>
        <v/>
      </c>
      <c r="D21" s="9">
        <f>SUMIFS('Lançamentos'!$L$2:$L$5010,'Lançamentos'!$A$2:$A$5010,"Frete de venda",'Lançamentos'!$H$2:$H$5010,$A21,'Lançamentos'!$C$2:$C$5010,D$18)</f>
        <v/>
      </c>
      <c r="E21" s="9">
        <f>SUMIFS('Lançamentos'!$L$2:$L$5010,'Lançamentos'!$A$2:$A$5010,"Frete de venda",'Lançamentos'!$H$2:$H$5010,$A21,'Lançamentos'!$C$2:$C$5010,E$18)</f>
        <v/>
      </c>
      <c r="F21" s="9">
        <f>SUMIFS('Lançamentos'!$L$2:$L$5010,'Lançamentos'!$A$2:$A$5010,"Frete de venda",'Lançamentos'!$H$2:$H$5010,$A21,'Lançamentos'!$C$2:$C$5010,F$18)</f>
        <v/>
      </c>
      <c r="G21" s="9">
        <f>SUMIFS('Lançamentos'!$L$2:$L$5010,'Lançamentos'!$A$2:$A$5010,"Frete de venda",'Lançamentos'!$H$2:$H$5010,$A21,'Lançamentos'!$C$2:$C$5010,G$18)</f>
        <v/>
      </c>
      <c r="H21" s="9">
        <f>SUMIFS('Lançamentos'!$L$2:$L$5010,'Lançamentos'!$A$2:$A$5010,"Frete de venda",'Lançamentos'!$H$2:$H$5010,$A21,'Lançamentos'!$C$2:$C$5010,H$18)</f>
        <v/>
      </c>
      <c r="I21" s="9">
        <f>SUMIFS('Lançamentos'!$L$2:$L$5010,'Lançamentos'!$A$2:$A$5010,"Frete de venda",'Lançamentos'!$H$2:$H$5010,$A21,'Lançamentos'!$C$2:$C$5010,I$18)</f>
        <v/>
      </c>
      <c r="J21" s="9">
        <f>SUMIFS('Lançamentos'!$L$2:$L$5010,'Lançamentos'!$A$2:$A$5010,"Frete de venda",'Lançamentos'!$H$2:$H$5010,$A21,'Lançamentos'!$C$2:$C$5010,J$18)</f>
        <v/>
      </c>
      <c r="K21" s="9">
        <f>SUM(B21:J21)</f>
        <v/>
      </c>
      <c r="L21" s="10">
        <f>K21/K$55</f>
        <v/>
      </c>
      <c r="M21" s="9">
        <f>SUMIFS('Lançamentos'!$L$2:$L$5010,'Lançamentos'!$A$2:$A$5010,"Frete de venda",'Lançamentos'!$H$2:$H$5010,$A21,'Lançamentos'!$C$2:$C$5010,"Antes de 2026")</f>
        <v/>
      </c>
      <c r="N21" s="9">
        <f>SUMIFS('Lançamentos'!$J$2:$J$5010,'Lançamentos'!$A$2:$A$5010,"Frete de venda",'Lançamentos'!$H$2:$H$5010,$A21,'Lançamentos'!$D$2:$D$5010,"Em 2026")</f>
        <v/>
      </c>
      <c r="O21" s="9">
        <f>SUMIFS('Lançamentos'!$K$2:$K$5010,'Lançamentos'!$A$2:$A$5010,"Frete de venda",'Lançamentos'!$H$2:$H$5010,$A21,'Lançamentos'!$D$2:$D$5010,"Em 2026")</f>
        <v/>
      </c>
      <c r="P21" s="26">
        <f>COUNTIFS('Lançamentos'!$A$2:$A$5010,"Frete de venda",'Lançamentos'!$H$2:$H$5010,$A21,'Lançamentos'!$D$2:$D$5010,"Em 2026")</f>
        <v/>
      </c>
    </row>
    <row r="22">
      <c r="A22" t="inlineStr">
        <is>
          <t>TRANSPORTE OLIVEIRA E MELLOI - IDEALIZA TRANSPORTES</t>
        </is>
      </c>
      <c r="B22" s="9">
        <f>SUMIFS('Lançamentos'!$L$2:$L$5010,'Lançamentos'!$A$2:$A$5010,"Frete de venda",'Lançamentos'!$H$2:$H$5010,$A22,'Lançamentos'!$C$2:$C$5010,B$18)</f>
        <v/>
      </c>
      <c r="C22" s="9">
        <f>SUMIFS('Lançamentos'!$L$2:$L$5010,'Lançamentos'!$A$2:$A$5010,"Frete de venda",'Lançamentos'!$H$2:$H$5010,$A22,'Lançamentos'!$C$2:$C$5010,C$18)</f>
        <v/>
      </c>
      <c r="D22" s="9">
        <f>SUMIFS('Lançamentos'!$L$2:$L$5010,'Lançamentos'!$A$2:$A$5010,"Frete de venda",'Lançamentos'!$H$2:$H$5010,$A22,'Lançamentos'!$C$2:$C$5010,D$18)</f>
        <v/>
      </c>
      <c r="E22" s="9">
        <f>SUMIFS('Lançamentos'!$L$2:$L$5010,'Lançamentos'!$A$2:$A$5010,"Frete de venda",'Lançamentos'!$H$2:$H$5010,$A22,'Lançamentos'!$C$2:$C$5010,E$18)</f>
        <v/>
      </c>
      <c r="F22" s="9">
        <f>SUMIFS('Lançamentos'!$L$2:$L$5010,'Lançamentos'!$A$2:$A$5010,"Frete de venda",'Lançamentos'!$H$2:$H$5010,$A22,'Lançamentos'!$C$2:$C$5010,F$18)</f>
        <v/>
      </c>
      <c r="G22" s="9">
        <f>SUMIFS('Lançamentos'!$L$2:$L$5010,'Lançamentos'!$A$2:$A$5010,"Frete de venda",'Lançamentos'!$H$2:$H$5010,$A22,'Lançamentos'!$C$2:$C$5010,G$18)</f>
        <v/>
      </c>
      <c r="H22" s="9">
        <f>SUMIFS('Lançamentos'!$L$2:$L$5010,'Lançamentos'!$A$2:$A$5010,"Frete de venda",'Lançamentos'!$H$2:$H$5010,$A22,'Lançamentos'!$C$2:$C$5010,H$18)</f>
        <v/>
      </c>
      <c r="I22" s="9">
        <f>SUMIFS('Lançamentos'!$L$2:$L$5010,'Lançamentos'!$A$2:$A$5010,"Frete de venda",'Lançamentos'!$H$2:$H$5010,$A22,'Lançamentos'!$C$2:$C$5010,I$18)</f>
        <v/>
      </c>
      <c r="J22" s="9">
        <f>SUMIFS('Lançamentos'!$L$2:$L$5010,'Lançamentos'!$A$2:$A$5010,"Frete de venda",'Lançamentos'!$H$2:$H$5010,$A22,'Lançamentos'!$C$2:$C$5010,J$18)</f>
        <v/>
      </c>
      <c r="K22" s="9">
        <f>SUM(B22:J22)</f>
        <v/>
      </c>
      <c r="L22" s="10">
        <f>K22/K$55</f>
        <v/>
      </c>
      <c r="M22" s="9">
        <f>SUMIFS('Lançamentos'!$L$2:$L$5010,'Lançamentos'!$A$2:$A$5010,"Frete de venda",'Lançamentos'!$H$2:$H$5010,$A22,'Lançamentos'!$C$2:$C$5010,"Antes de 2026")</f>
        <v/>
      </c>
      <c r="N22" s="9">
        <f>SUMIFS('Lançamentos'!$J$2:$J$5010,'Lançamentos'!$A$2:$A$5010,"Frete de venda",'Lançamentos'!$H$2:$H$5010,$A22,'Lançamentos'!$D$2:$D$5010,"Em 2026")</f>
        <v/>
      </c>
      <c r="O22" s="9">
        <f>SUMIFS('Lançamentos'!$K$2:$K$5010,'Lançamentos'!$A$2:$A$5010,"Frete de venda",'Lançamentos'!$H$2:$H$5010,$A22,'Lançamentos'!$D$2:$D$5010,"Em 2026")</f>
        <v/>
      </c>
      <c r="P22" s="26">
        <f>COUNTIFS('Lançamentos'!$A$2:$A$5010,"Frete de venda",'Lançamentos'!$H$2:$H$5010,$A22,'Lançamentos'!$D$2:$D$5010,"Em 2026")</f>
        <v/>
      </c>
    </row>
    <row r="23">
      <c r="A23" t="inlineStr">
        <is>
          <t>PICCOLI TRANSPORTES LTDA</t>
        </is>
      </c>
      <c r="B23" s="9">
        <f>SUMIFS('Lançamentos'!$L$2:$L$5010,'Lançamentos'!$A$2:$A$5010,"Frete de venda",'Lançamentos'!$H$2:$H$5010,$A23,'Lançamentos'!$C$2:$C$5010,B$18)</f>
        <v/>
      </c>
      <c r="C23" s="9">
        <f>SUMIFS('Lançamentos'!$L$2:$L$5010,'Lançamentos'!$A$2:$A$5010,"Frete de venda",'Lançamentos'!$H$2:$H$5010,$A23,'Lançamentos'!$C$2:$C$5010,C$18)</f>
        <v/>
      </c>
      <c r="D23" s="9">
        <f>SUMIFS('Lançamentos'!$L$2:$L$5010,'Lançamentos'!$A$2:$A$5010,"Frete de venda",'Lançamentos'!$H$2:$H$5010,$A23,'Lançamentos'!$C$2:$C$5010,D$18)</f>
        <v/>
      </c>
      <c r="E23" s="9">
        <f>SUMIFS('Lançamentos'!$L$2:$L$5010,'Lançamentos'!$A$2:$A$5010,"Frete de venda",'Lançamentos'!$H$2:$H$5010,$A23,'Lançamentos'!$C$2:$C$5010,E$18)</f>
        <v/>
      </c>
      <c r="F23" s="9">
        <f>SUMIFS('Lançamentos'!$L$2:$L$5010,'Lançamentos'!$A$2:$A$5010,"Frete de venda",'Lançamentos'!$H$2:$H$5010,$A23,'Lançamentos'!$C$2:$C$5010,F$18)</f>
        <v/>
      </c>
      <c r="G23" s="9">
        <f>SUMIFS('Lançamentos'!$L$2:$L$5010,'Lançamentos'!$A$2:$A$5010,"Frete de venda",'Lançamentos'!$H$2:$H$5010,$A23,'Lançamentos'!$C$2:$C$5010,G$18)</f>
        <v/>
      </c>
      <c r="H23" s="9">
        <f>SUMIFS('Lançamentos'!$L$2:$L$5010,'Lançamentos'!$A$2:$A$5010,"Frete de venda",'Lançamentos'!$H$2:$H$5010,$A23,'Lançamentos'!$C$2:$C$5010,H$18)</f>
        <v/>
      </c>
      <c r="I23" s="9">
        <f>SUMIFS('Lançamentos'!$L$2:$L$5010,'Lançamentos'!$A$2:$A$5010,"Frete de venda",'Lançamentos'!$H$2:$H$5010,$A23,'Lançamentos'!$C$2:$C$5010,I$18)</f>
        <v/>
      </c>
      <c r="J23" s="9">
        <f>SUMIFS('Lançamentos'!$L$2:$L$5010,'Lançamentos'!$A$2:$A$5010,"Frete de venda",'Lançamentos'!$H$2:$H$5010,$A23,'Lançamentos'!$C$2:$C$5010,J$18)</f>
        <v/>
      </c>
      <c r="K23" s="9">
        <f>SUM(B23:J23)</f>
        <v/>
      </c>
      <c r="L23" s="10">
        <f>K23/K$55</f>
        <v/>
      </c>
      <c r="M23" s="9">
        <f>SUMIFS('Lançamentos'!$L$2:$L$5010,'Lançamentos'!$A$2:$A$5010,"Frete de venda",'Lançamentos'!$H$2:$H$5010,$A23,'Lançamentos'!$C$2:$C$5010,"Antes de 2026")</f>
        <v/>
      </c>
      <c r="N23" s="9">
        <f>SUMIFS('Lançamentos'!$J$2:$J$5010,'Lançamentos'!$A$2:$A$5010,"Frete de venda",'Lançamentos'!$H$2:$H$5010,$A23,'Lançamentos'!$D$2:$D$5010,"Em 2026")</f>
        <v/>
      </c>
      <c r="O23" s="9">
        <f>SUMIFS('Lançamentos'!$K$2:$K$5010,'Lançamentos'!$A$2:$A$5010,"Frete de venda",'Lançamentos'!$H$2:$H$5010,$A23,'Lançamentos'!$D$2:$D$5010,"Em 2026")</f>
        <v/>
      </c>
      <c r="P23" s="26">
        <f>COUNTIFS('Lançamentos'!$A$2:$A$5010,"Frete de venda",'Lançamentos'!$H$2:$H$5010,$A23,'Lançamentos'!$D$2:$D$5010,"Em 2026")</f>
        <v/>
      </c>
    </row>
    <row r="24">
      <c r="A24" t="inlineStr">
        <is>
          <t>ADIL CARLOS DA SILVA</t>
        </is>
      </c>
      <c r="B24" s="9">
        <f>SUMIFS('Lançamentos'!$L$2:$L$5010,'Lançamentos'!$A$2:$A$5010,"Frete de venda",'Lançamentos'!$H$2:$H$5010,$A24,'Lançamentos'!$C$2:$C$5010,B$18)</f>
        <v/>
      </c>
      <c r="C24" s="9">
        <f>SUMIFS('Lançamentos'!$L$2:$L$5010,'Lançamentos'!$A$2:$A$5010,"Frete de venda",'Lançamentos'!$H$2:$H$5010,$A24,'Lançamentos'!$C$2:$C$5010,C$18)</f>
        <v/>
      </c>
      <c r="D24" s="9">
        <f>SUMIFS('Lançamentos'!$L$2:$L$5010,'Lançamentos'!$A$2:$A$5010,"Frete de venda",'Lançamentos'!$H$2:$H$5010,$A24,'Lançamentos'!$C$2:$C$5010,D$18)</f>
        <v/>
      </c>
      <c r="E24" s="9">
        <f>SUMIFS('Lançamentos'!$L$2:$L$5010,'Lançamentos'!$A$2:$A$5010,"Frete de venda",'Lançamentos'!$H$2:$H$5010,$A24,'Lançamentos'!$C$2:$C$5010,E$18)</f>
        <v/>
      </c>
      <c r="F24" s="9">
        <f>SUMIFS('Lançamentos'!$L$2:$L$5010,'Lançamentos'!$A$2:$A$5010,"Frete de venda",'Lançamentos'!$H$2:$H$5010,$A24,'Lançamentos'!$C$2:$C$5010,F$18)</f>
        <v/>
      </c>
      <c r="G24" s="9">
        <f>SUMIFS('Lançamentos'!$L$2:$L$5010,'Lançamentos'!$A$2:$A$5010,"Frete de venda",'Lançamentos'!$H$2:$H$5010,$A24,'Lançamentos'!$C$2:$C$5010,G$18)</f>
        <v/>
      </c>
      <c r="H24" s="9">
        <f>SUMIFS('Lançamentos'!$L$2:$L$5010,'Lançamentos'!$A$2:$A$5010,"Frete de venda",'Lançamentos'!$H$2:$H$5010,$A24,'Lançamentos'!$C$2:$C$5010,H$18)</f>
        <v/>
      </c>
      <c r="I24" s="9">
        <f>SUMIFS('Lançamentos'!$L$2:$L$5010,'Lançamentos'!$A$2:$A$5010,"Frete de venda",'Lançamentos'!$H$2:$H$5010,$A24,'Lançamentos'!$C$2:$C$5010,I$18)</f>
        <v/>
      </c>
      <c r="J24" s="9">
        <f>SUMIFS('Lançamentos'!$L$2:$L$5010,'Lançamentos'!$A$2:$A$5010,"Frete de venda",'Lançamentos'!$H$2:$H$5010,$A24,'Lançamentos'!$C$2:$C$5010,J$18)</f>
        <v/>
      </c>
      <c r="K24" s="9">
        <f>SUM(B24:J24)</f>
        <v/>
      </c>
      <c r="L24" s="10">
        <f>K24/K$55</f>
        <v/>
      </c>
      <c r="M24" s="9">
        <f>SUMIFS('Lançamentos'!$L$2:$L$5010,'Lançamentos'!$A$2:$A$5010,"Frete de venda",'Lançamentos'!$H$2:$H$5010,$A24,'Lançamentos'!$C$2:$C$5010,"Antes de 2026")</f>
        <v/>
      </c>
      <c r="N24" s="9">
        <f>SUMIFS('Lançamentos'!$J$2:$J$5010,'Lançamentos'!$A$2:$A$5010,"Frete de venda",'Lançamentos'!$H$2:$H$5010,$A24,'Lançamentos'!$D$2:$D$5010,"Em 2026")</f>
        <v/>
      </c>
      <c r="O24" s="9">
        <f>SUMIFS('Lançamentos'!$K$2:$K$5010,'Lançamentos'!$A$2:$A$5010,"Frete de venda",'Lançamentos'!$H$2:$H$5010,$A24,'Lançamentos'!$D$2:$D$5010,"Em 2026")</f>
        <v/>
      </c>
      <c r="P24" s="26">
        <f>COUNTIFS('Lançamentos'!$A$2:$A$5010,"Frete de venda",'Lançamentos'!$H$2:$H$5010,$A24,'Lançamentos'!$D$2:$D$5010,"Em 2026")</f>
        <v/>
      </c>
    </row>
    <row r="25">
      <c r="A25" t="inlineStr">
        <is>
          <t>TRANSFORRECHI TRANSPORTES LTDA</t>
        </is>
      </c>
      <c r="B25" s="9">
        <f>SUMIFS('Lançamentos'!$L$2:$L$5010,'Lançamentos'!$A$2:$A$5010,"Frete de venda",'Lançamentos'!$H$2:$H$5010,$A25,'Lançamentos'!$C$2:$C$5010,B$18)</f>
        <v/>
      </c>
      <c r="C25" s="9">
        <f>SUMIFS('Lançamentos'!$L$2:$L$5010,'Lançamentos'!$A$2:$A$5010,"Frete de venda",'Lançamentos'!$H$2:$H$5010,$A25,'Lançamentos'!$C$2:$C$5010,C$18)</f>
        <v/>
      </c>
      <c r="D25" s="9">
        <f>SUMIFS('Lançamentos'!$L$2:$L$5010,'Lançamentos'!$A$2:$A$5010,"Frete de venda",'Lançamentos'!$H$2:$H$5010,$A25,'Lançamentos'!$C$2:$C$5010,D$18)</f>
        <v/>
      </c>
      <c r="E25" s="9">
        <f>SUMIFS('Lançamentos'!$L$2:$L$5010,'Lançamentos'!$A$2:$A$5010,"Frete de venda",'Lançamentos'!$H$2:$H$5010,$A25,'Lançamentos'!$C$2:$C$5010,E$18)</f>
        <v/>
      </c>
      <c r="F25" s="9">
        <f>SUMIFS('Lançamentos'!$L$2:$L$5010,'Lançamentos'!$A$2:$A$5010,"Frete de venda",'Lançamentos'!$H$2:$H$5010,$A25,'Lançamentos'!$C$2:$C$5010,F$18)</f>
        <v/>
      </c>
      <c r="G25" s="9">
        <f>SUMIFS('Lançamentos'!$L$2:$L$5010,'Lançamentos'!$A$2:$A$5010,"Frete de venda",'Lançamentos'!$H$2:$H$5010,$A25,'Lançamentos'!$C$2:$C$5010,G$18)</f>
        <v/>
      </c>
      <c r="H25" s="9">
        <f>SUMIFS('Lançamentos'!$L$2:$L$5010,'Lançamentos'!$A$2:$A$5010,"Frete de venda",'Lançamentos'!$H$2:$H$5010,$A25,'Lançamentos'!$C$2:$C$5010,H$18)</f>
        <v/>
      </c>
      <c r="I25" s="9">
        <f>SUMIFS('Lançamentos'!$L$2:$L$5010,'Lançamentos'!$A$2:$A$5010,"Frete de venda",'Lançamentos'!$H$2:$H$5010,$A25,'Lançamentos'!$C$2:$C$5010,I$18)</f>
        <v/>
      </c>
      <c r="J25" s="9">
        <f>SUMIFS('Lançamentos'!$L$2:$L$5010,'Lançamentos'!$A$2:$A$5010,"Frete de venda",'Lançamentos'!$H$2:$H$5010,$A25,'Lançamentos'!$C$2:$C$5010,J$18)</f>
        <v/>
      </c>
      <c r="K25" s="9">
        <f>SUM(B25:J25)</f>
        <v/>
      </c>
      <c r="L25" s="10">
        <f>K25/K$55</f>
        <v/>
      </c>
      <c r="M25" s="9">
        <f>SUMIFS('Lançamentos'!$L$2:$L$5010,'Lançamentos'!$A$2:$A$5010,"Frete de venda",'Lançamentos'!$H$2:$H$5010,$A25,'Lançamentos'!$C$2:$C$5010,"Antes de 2026")</f>
        <v/>
      </c>
      <c r="N25" s="9">
        <f>SUMIFS('Lançamentos'!$J$2:$J$5010,'Lançamentos'!$A$2:$A$5010,"Frete de venda",'Lançamentos'!$H$2:$H$5010,$A25,'Lançamentos'!$D$2:$D$5010,"Em 2026")</f>
        <v/>
      </c>
      <c r="O25" s="9">
        <f>SUMIFS('Lançamentos'!$K$2:$K$5010,'Lançamentos'!$A$2:$A$5010,"Frete de venda",'Lançamentos'!$H$2:$H$5010,$A25,'Lançamentos'!$D$2:$D$5010,"Em 2026")</f>
        <v/>
      </c>
      <c r="P25" s="26">
        <f>COUNTIFS('Lançamentos'!$A$2:$A$5010,"Frete de venda",'Lançamentos'!$H$2:$H$5010,$A25,'Lançamentos'!$D$2:$D$5010,"Em 2026")</f>
        <v/>
      </c>
    </row>
    <row r="26">
      <c r="A26" t="inlineStr">
        <is>
          <t>BEM TRANSPORTES E LOGISTICA</t>
        </is>
      </c>
      <c r="B26" s="9">
        <f>SUMIFS('Lançamentos'!$L$2:$L$5010,'Lançamentos'!$A$2:$A$5010,"Frete de venda",'Lançamentos'!$H$2:$H$5010,$A26,'Lançamentos'!$C$2:$C$5010,B$18)</f>
        <v/>
      </c>
      <c r="C26" s="9">
        <f>SUMIFS('Lançamentos'!$L$2:$L$5010,'Lançamentos'!$A$2:$A$5010,"Frete de venda",'Lançamentos'!$H$2:$H$5010,$A26,'Lançamentos'!$C$2:$C$5010,C$18)</f>
        <v/>
      </c>
      <c r="D26" s="9">
        <f>SUMIFS('Lançamentos'!$L$2:$L$5010,'Lançamentos'!$A$2:$A$5010,"Frete de venda",'Lançamentos'!$H$2:$H$5010,$A26,'Lançamentos'!$C$2:$C$5010,D$18)</f>
        <v/>
      </c>
      <c r="E26" s="9">
        <f>SUMIFS('Lançamentos'!$L$2:$L$5010,'Lançamentos'!$A$2:$A$5010,"Frete de venda",'Lançamentos'!$H$2:$H$5010,$A26,'Lançamentos'!$C$2:$C$5010,E$18)</f>
        <v/>
      </c>
      <c r="F26" s="9">
        <f>SUMIFS('Lançamentos'!$L$2:$L$5010,'Lançamentos'!$A$2:$A$5010,"Frete de venda",'Lançamentos'!$H$2:$H$5010,$A26,'Lançamentos'!$C$2:$C$5010,F$18)</f>
        <v/>
      </c>
      <c r="G26" s="9">
        <f>SUMIFS('Lançamentos'!$L$2:$L$5010,'Lançamentos'!$A$2:$A$5010,"Frete de venda",'Lançamentos'!$H$2:$H$5010,$A26,'Lançamentos'!$C$2:$C$5010,G$18)</f>
        <v/>
      </c>
      <c r="H26" s="9">
        <f>SUMIFS('Lançamentos'!$L$2:$L$5010,'Lançamentos'!$A$2:$A$5010,"Frete de venda",'Lançamentos'!$H$2:$H$5010,$A26,'Lançamentos'!$C$2:$C$5010,H$18)</f>
        <v/>
      </c>
      <c r="I26" s="9">
        <f>SUMIFS('Lançamentos'!$L$2:$L$5010,'Lançamentos'!$A$2:$A$5010,"Frete de venda",'Lançamentos'!$H$2:$H$5010,$A26,'Lançamentos'!$C$2:$C$5010,I$18)</f>
        <v/>
      </c>
      <c r="J26" s="9">
        <f>SUMIFS('Lançamentos'!$L$2:$L$5010,'Lançamentos'!$A$2:$A$5010,"Frete de venda",'Lançamentos'!$H$2:$H$5010,$A26,'Lançamentos'!$C$2:$C$5010,J$18)</f>
        <v/>
      </c>
      <c r="K26" s="9">
        <f>SUM(B26:J26)</f>
        <v/>
      </c>
      <c r="L26" s="10">
        <f>K26/K$55</f>
        <v/>
      </c>
      <c r="M26" s="9">
        <f>SUMIFS('Lançamentos'!$L$2:$L$5010,'Lançamentos'!$A$2:$A$5010,"Frete de venda",'Lançamentos'!$H$2:$H$5010,$A26,'Lançamentos'!$C$2:$C$5010,"Antes de 2026")</f>
        <v/>
      </c>
      <c r="N26" s="9">
        <f>SUMIFS('Lançamentos'!$J$2:$J$5010,'Lançamentos'!$A$2:$A$5010,"Frete de venda",'Lançamentos'!$H$2:$H$5010,$A26,'Lançamentos'!$D$2:$D$5010,"Em 2026")</f>
        <v/>
      </c>
      <c r="O26" s="9">
        <f>SUMIFS('Lançamentos'!$K$2:$K$5010,'Lançamentos'!$A$2:$A$5010,"Frete de venda",'Lançamentos'!$H$2:$H$5010,$A26,'Lançamentos'!$D$2:$D$5010,"Em 2026")</f>
        <v/>
      </c>
      <c r="P26" s="26">
        <f>COUNTIFS('Lançamentos'!$A$2:$A$5010,"Frete de venda",'Lançamentos'!$H$2:$H$5010,$A26,'Lançamentos'!$D$2:$D$5010,"Em 2026")</f>
        <v/>
      </c>
    </row>
    <row r="27">
      <c r="A27" t="inlineStr">
        <is>
          <t>REIMAG - REINALDO DOMINGUES BARROS DA SILVA</t>
        </is>
      </c>
      <c r="B27" s="9">
        <f>SUMIFS('Lançamentos'!$L$2:$L$5010,'Lançamentos'!$A$2:$A$5010,"Frete de venda",'Lançamentos'!$H$2:$H$5010,$A27,'Lançamentos'!$C$2:$C$5010,B$18)</f>
        <v/>
      </c>
      <c r="C27" s="9">
        <f>SUMIFS('Lançamentos'!$L$2:$L$5010,'Lançamentos'!$A$2:$A$5010,"Frete de venda",'Lançamentos'!$H$2:$H$5010,$A27,'Lançamentos'!$C$2:$C$5010,C$18)</f>
        <v/>
      </c>
      <c r="D27" s="9">
        <f>SUMIFS('Lançamentos'!$L$2:$L$5010,'Lançamentos'!$A$2:$A$5010,"Frete de venda",'Lançamentos'!$H$2:$H$5010,$A27,'Lançamentos'!$C$2:$C$5010,D$18)</f>
        <v/>
      </c>
      <c r="E27" s="9">
        <f>SUMIFS('Lançamentos'!$L$2:$L$5010,'Lançamentos'!$A$2:$A$5010,"Frete de venda",'Lançamentos'!$H$2:$H$5010,$A27,'Lançamentos'!$C$2:$C$5010,E$18)</f>
        <v/>
      </c>
      <c r="F27" s="9">
        <f>SUMIFS('Lançamentos'!$L$2:$L$5010,'Lançamentos'!$A$2:$A$5010,"Frete de venda",'Lançamentos'!$H$2:$H$5010,$A27,'Lançamentos'!$C$2:$C$5010,F$18)</f>
        <v/>
      </c>
      <c r="G27" s="9">
        <f>SUMIFS('Lançamentos'!$L$2:$L$5010,'Lançamentos'!$A$2:$A$5010,"Frete de venda",'Lançamentos'!$H$2:$H$5010,$A27,'Lançamentos'!$C$2:$C$5010,G$18)</f>
        <v/>
      </c>
      <c r="H27" s="9">
        <f>SUMIFS('Lançamentos'!$L$2:$L$5010,'Lançamentos'!$A$2:$A$5010,"Frete de venda",'Lançamentos'!$H$2:$H$5010,$A27,'Lançamentos'!$C$2:$C$5010,H$18)</f>
        <v/>
      </c>
      <c r="I27" s="9">
        <f>SUMIFS('Lançamentos'!$L$2:$L$5010,'Lançamentos'!$A$2:$A$5010,"Frete de venda",'Lançamentos'!$H$2:$H$5010,$A27,'Lançamentos'!$C$2:$C$5010,I$18)</f>
        <v/>
      </c>
      <c r="J27" s="9">
        <f>SUMIFS('Lançamentos'!$L$2:$L$5010,'Lançamentos'!$A$2:$A$5010,"Frete de venda",'Lançamentos'!$H$2:$H$5010,$A27,'Lançamentos'!$C$2:$C$5010,J$18)</f>
        <v/>
      </c>
      <c r="K27" s="9">
        <f>SUM(B27:J27)</f>
        <v/>
      </c>
      <c r="L27" s="10">
        <f>K27/K$55</f>
        <v/>
      </c>
      <c r="M27" s="9">
        <f>SUMIFS('Lançamentos'!$L$2:$L$5010,'Lançamentos'!$A$2:$A$5010,"Frete de venda",'Lançamentos'!$H$2:$H$5010,$A27,'Lançamentos'!$C$2:$C$5010,"Antes de 2026")</f>
        <v/>
      </c>
      <c r="N27" s="9">
        <f>SUMIFS('Lançamentos'!$J$2:$J$5010,'Lançamentos'!$A$2:$A$5010,"Frete de venda",'Lançamentos'!$H$2:$H$5010,$A27,'Lançamentos'!$D$2:$D$5010,"Em 2026")</f>
        <v/>
      </c>
      <c r="O27" s="9">
        <f>SUMIFS('Lançamentos'!$K$2:$K$5010,'Lançamentos'!$A$2:$A$5010,"Frete de venda",'Lançamentos'!$H$2:$H$5010,$A27,'Lançamentos'!$D$2:$D$5010,"Em 2026")</f>
        <v/>
      </c>
      <c r="P27" s="26">
        <f>COUNTIFS('Lançamentos'!$A$2:$A$5010,"Frete de venda",'Lançamentos'!$H$2:$H$5010,$A27,'Lançamentos'!$D$2:$D$5010,"Em 2026")</f>
        <v/>
      </c>
    </row>
    <row r="28">
      <c r="A28" t="inlineStr">
        <is>
          <t>CAZAN TRANSPORTES LTDA</t>
        </is>
      </c>
      <c r="B28" s="9">
        <f>SUMIFS('Lançamentos'!$L$2:$L$5010,'Lançamentos'!$A$2:$A$5010,"Frete de venda",'Lançamentos'!$H$2:$H$5010,$A28,'Lançamentos'!$C$2:$C$5010,B$18)</f>
        <v/>
      </c>
      <c r="C28" s="9">
        <f>SUMIFS('Lançamentos'!$L$2:$L$5010,'Lançamentos'!$A$2:$A$5010,"Frete de venda",'Lançamentos'!$H$2:$H$5010,$A28,'Lançamentos'!$C$2:$C$5010,C$18)</f>
        <v/>
      </c>
      <c r="D28" s="9">
        <f>SUMIFS('Lançamentos'!$L$2:$L$5010,'Lançamentos'!$A$2:$A$5010,"Frete de venda",'Lançamentos'!$H$2:$H$5010,$A28,'Lançamentos'!$C$2:$C$5010,D$18)</f>
        <v/>
      </c>
      <c r="E28" s="9">
        <f>SUMIFS('Lançamentos'!$L$2:$L$5010,'Lançamentos'!$A$2:$A$5010,"Frete de venda",'Lançamentos'!$H$2:$H$5010,$A28,'Lançamentos'!$C$2:$C$5010,E$18)</f>
        <v/>
      </c>
      <c r="F28" s="9">
        <f>SUMIFS('Lançamentos'!$L$2:$L$5010,'Lançamentos'!$A$2:$A$5010,"Frete de venda",'Lançamentos'!$H$2:$H$5010,$A28,'Lançamentos'!$C$2:$C$5010,F$18)</f>
        <v/>
      </c>
      <c r="G28" s="9">
        <f>SUMIFS('Lançamentos'!$L$2:$L$5010,'Lançamentos'!$A$2:$A$5010,"Frete de venda",'Lançamentos'!$H$2:$H$5010,$A28,'Lançamentos'!$C$2:$C$5010,G$18)</f>
        <v/>
      </c>
      <c r="H28" s="9">
        <f>SUMIFS('Lançamentos'!$L$2:$L$5010,'Lançamentos'!$A$2:$A$5010,"Frete de venda",'Lançamentos'!$H$2:$H$5010,$A28,'Lançamentos'!$C$2:$C$5010,H$18)</f>
        <v/>
      </c>
      <c r="I28" s="9">
        <f>SUMIFS('Lançamentos'!$L$2:$L$5010,'Lançamentos'!$A$2:$A$5010,"Frete de venda",'Lançamentos'!$H$2:$H$5010,$A28,'Lançamentos'!$C$2:$C$5010,I$18)</f>
        <v/>
      </c>
      <c r="J28" s="9">
        <f>SUMIFS('Lançamentos'!$L$2:$L$5010,'Lançamentos'!$A$2:$A$5010,"Frete de venda",'Lançamentos'!$H$2:$H$5010,$A28,'Lançamentos'!$C$2:$C$5010,J$18)</f>
        <v/>
      </c>
      <c r="K28" s="9">
        <f>SUM(B28:J28)</f>
        <v/>
      </c>
      <c r="L28" s="10">
        <f>K28/K$55</f>
        <v/>
      </c>
      <c r="M28" s="9">
        <f>SUMIFS('Lançamentos'!$L$2:$L$5010,'Lançamentos'!$A$2:$A$5010,"Frete de venda",'Lançamentos'!$H$2:$H$5010,$A28,'Lançamentos'!$C$2:$C$5010,"Antes de 2026")</f>
        <v/>
      </c>
      <c r="N28" s="9">
        <f>SUMIFS('Lançamentos'!$J$2:$J$5010,'Lançamentos'!$A$2:$A$5010,"Frete de venda",'Lançamentos'!$H$2:$H$5010,$A28,'Lançamentos'!$D$2:$D$5010,"Em 2026")</f>
        <v/>
      </c>
      <c r="O28" s="9">
        <f>SUMIFS('Lançamentos'!$K$2:$K$5010,'Lançamentos'!$A$2:$A$5010,"Frete de venda",'Lançamentos'!$H$2:$H$5010,$A28,'Lançamentos'!$D$2:$D$5010,"Em 2026")</f>
        <v/>
      </c>
      <c r="P28" s="26">
        <f>COUNTIFS('Lançamentos'!$A$2:$A$5010,"Frete de venda",'Lançamentos'!$H$2:$H$5010,$A28,'Lançamentos'!$D$2:$D$5010,"Em 2026")</f>
        <v/>
      </c>
    </row>
    <row r="29">
      <c r="A29" t="inlineStr">
        <is>
          <t>26.221.654 ROGERIO DA CUNHA FERREIRA</t>
        </is>
      </c>
      <c r="B29" s="9">
        <f>SUMIFS('Lançamentos'!$L$2:$L$5010,'Lançamentos'!$A$2:$A$5010,"Frete de venda",'Lançamentos'!$H$2:$H$5010,$A29,'Lançamentos'!$C$2:$C$5010,B$18)</f>
        <v/>
      </c>
      <c r="C29" s="9">
        <f>SUMIFS('Lançamentos'!$L$2:$L$5010,'Lançamentos'!$A$2:$A$5010,"Frete de venda",'Lançamentos'!$H$2:$H$5010,$A29,'Lançamentos'!$C$2:$C$5010,C$18)</f>
        <v/>
      </c>
      <c r="D29" s="9">
        <f>SUMIFS('Lançamentos'!$L$2:$L$5010,'Lançamentos'!$A$2:$A$5010,"Frete de venda",'Lançamentos'!$H$2:$H$5010,$A29,'Lançamentos'!$C$2:$C$5010,D$18)</f>
        <v/>
      </c>
      <c r="E29" s="9">
        <f>SUMIFS('Lançamentos'!$L$2:$L$5010,'Lançamentos'!$A$2:$A$5010,"Frete de venda",'Lançamentos'!$H$2:$H$5010,$A29,'Lançamentos'!$C$2:$C$5010,E$18)</f>
        <v/>
      </c>
      <c r="F29" s="9">
        <f>SUMIFS('Lançamentos'!$L$2:$L$5010,'Lançamentos'!$A$2:$A$5010,"Frete de venda",'Lançamentos'!$H$2:$H$5010,$A29,'Lançamentos'!$C$2:$C$5010,F$18)</f>
        <v/>
      </c>
      <c r="G29" s="9">
        <f>SUMIFS('Lançamentos'!$L$2:$L$5010,'Lançamentos'!$A$2:$A$5010,"Frete de venda",'Lançamentos'!$H$2:$H$5010,$A29,'Lançamentos'!$C$2:$C$5010,G$18)</f>
        <v/>
      </c>
      <c r="H29" s="9">
        <f>SUMIFS('Lançamentos'!$L$2:$L$5010,'Lançamentos'!$A$2:$A$5010,"Frete de venda",'Lançamentos'!$H$2:$H$5010,$A29,'Lançamentos'!$C$2:$C$5010,H$18)</f>
        <v/>
      </c>
      <c r="I29" s="9">
        <f>SUMIFS('Lançamentos'!$L$2:$L$5010,'Lançamentos'!$A$2:$A$5010,"Frete de venda",'Lançamentos'!$H$2:$H$5010,$A29,'Lançamentos'!$C$2:$C$5010,I$18)</f>
        <v/>
      </c>
      <c r="J29" s="9">
        <f>SUMIFS('Lançamentos'!$L$2:$L$5010,'Lançamentos'!$A$2:$A$5010,"Frete de venda",'Lançamentos'!$H$2:$H$5010,$A29,'Lançamentos'!$C$2:$C$5010,J$18)</f>
        <v/>
      </c>
      <c r="K29" s="9">
        <f>SUM(B29:J29)</f>
        <v/>
      </c>
      <c r="L29" s="10">
        <f>K29/K$55</f>
        <v/>
      </c>
      <c r="M29" s="9">
        <f>SUMIFS('Lançamentos'!$L$2:$L$5010,'Lançamentos'!$A$2:$A$5010,"Frete de venda",'Lançamentos'!$H$2:$H$5010,$A29,'Lançamentos'!$C$2:$C$5010,"Antes de 2026")</f>
        <v/>
      </c>
      <c r="N29" s="9">
        <f>SUMIFS('Lançamentos'!$J$2:$J$5010,'Lançamentos'!$A$2:$A$5010,"Frete de venda",'Lançamentos'!$H$2:$H$5010,$A29,'Lançamentos'!$D$2:$D$5010,"Em 2026")</f>
        <v/>
      </c>
      <c r="O29" s="9">
        <f>SUMIFS('Lançamentos'!$K$2:$K$5010,'Lançamentos'!$A$2:$A$5010,"Frete de venda",'Lançamentos'!$H$2:$H$5010,$A29,'Lançamentos'!$D$2:$D$5010,"Em 2026")</f>
        <v/>
      </c>
      <c r="P29" s="26">
        <f>COUNTIFS('Lançamentos'!$A$2:$A$5010,"Frete de venda",'Lançamentos'!$H$2:$H$5010,$A29,'Lançamentos'!$D$2:$D$5010,"Em 2026")</f>
        <v/>
      </c>
    </row>
    <row r="30">
      <c r="A30" t="inlineStr">
        <is>
          <t>DR CARGO TRANSPORTE DE CARGAS LTDA</t>
        </is>
      </c>
      <c r="B30" s="9">
        <f>SUMIFS('Lançamentos'!$L$2:$L$5010,'Lançamentos'!$A$2:$A$5010,"Frete de venda",'Lançamentos'!$H$2:$H$5010,$A30,'Lançamentos'!$C$2:$C$5010,B$18)</f>
        <v/>
      </c>
      <c r="C30" s="9">
        <f>SUMIFS('Lançamentos'!$L$2:$L$5010,'Lançamentos'!$A$2:$A$5010,"Frete de venda",'Lançamentos'!$H$2:$H$5010,$A30,'Lançamentos'!$C$2:$C$5010,C$18)</f>
        <v/>
      </c>
      <c r="D30" s="9">
        <f>SUMIFS('Lançamentos'!$L$2:$L$5010,'Lançamentos'!$A$2:$A$5010,"Frete de venda",'Lançamentos'!$H$2:$H$5010,$A30,'Lançamentos'!$C$2:$C$5010,D$18)</f>
        <v/>
      </c>
      <c r="E30" s="9">
        <f>SUMIFS('Lançamentos'!$L$2:$L$5010,'Lançamentos'!$A$2:$A$5010,"Frete de venda",'Lançamentos'!$H$2:$H$5010,$A30,'Lançamentos'!$C$2:$C$5010,E$18)</f>
        <v/>
      </c>
      <c r="F30" s="9">
        <f>SUMIFS('Lançamentos'!$L$2:$L$5010,'Lançamentos'!$A$2:$A$5010,"Frete de venda",'Lançamentos'!$H$2:$H$5010,$A30,'Lançamentos'!$C$2:$C$5010,F$18)</f>
        <v/>
      </c>
      <c r="G30" s="9">
        <f>SUMIFS('Lançamentos'!$L$2:$L$5010,'Lançamentos'!$A$2:$A$5010,"Frete de venda",'Lançamentos'!$H$2:$H$5010,$A30,'Lançamentos'!$C$2:$C$5010,G$18)</f>
        <v/>
      </c>
      <c r="H30" s="9">
        <f>SUMIFS('Lançamentos'!$L$2:$L$5010,'Lançamentos'!$A$2:$A$5010,"Frete de venda",'Lançamentos'!$H$2:$H$5010,$A30,'Lançamentos'!$C$2:$C$5010,H$18)</f>
        <v/>
      </c>
      <c r="I30" s="9">
        <f>SUMIFS('Lançamentos'!$L$2:$L$5010,'Lançamentos'!$A$2:$A$5010,"Frete de venda",'Lançamentos'!$H$2:$H$5010,$A30,'Lançamentos'!$C$2:$C$5010,I$18)</f>
        <v/>
      </c>
      <c r="J30" s="9">
        <f>SUMIFS('Lançamentos'!$L$2:$L$5010,'Lançamentos'!$A$2:$A$5010,"Frete de venda",'Lançamentos'!$H$2:$H$5010,$A30,'Lançamentos'!$C$2:$C$5010,J$18)</f>
        <v/>
      </c>
      <c r="K30" s="9">
        <f>SUM(B30:J30)</f>
        <v/>
      </c>
      <c r="L30" s="10">
        <f>K30/K$55</f>
        <v/>
      </c>
      <c r="M30" s="9">
        <f>SUMIFS('Lançamentos'!$L$2:$L$5010,'Lançamentos'!$A$2:$A$5010,"Frete de venda",'Lançamentos'!$H$2:$H$5010,$A30,'Lançamentos'!$C$2:$C$5010,"Antes de 2026")</f>
        <v/>
      </c>
      <c r="N30" s="9">
        <f>SUMIFS('Lançamentos'!$J$2:$J$5010,'Lançamentos'!$A$2:$A$5010,"Frete de venda",'Lançamentos'!$H$2:$H$5010,$A30,'Lançamentos'!$D$2:$D$5010,"Em 2026")</f>
        <v/>
      </c>
      <c r="O30" s="9">
        <f>SUMIFS('Lançamentos'!$K$2:$K$5010,'Lançamentos'!$A$2:$A$5010,"Frete de venda",'Lançamentos'!$H$2:$H$5010,$A30,'Lançamentos'!$D$2:$D$5010,"Em 2026")</f>
        <v/>
      </c>
      <c r="P30" s="26">
        <f>COUNTIFS('Lançamentos'!$A$2:$A$5010,"Frete de venda",'Lançamentos'!$H$2:$H$5010,$A30,'Lançamentos'!$D$2:$D$5010,"Em 2026")</f>
        <v/>
      </c>
    </row>
    <row r="31">
      <c r="A31" t="inlineStr">
        <is>
          <t>MARCOS RIBEIRO DE MELO</t>
        </is>
      </c>
      <c r="B31" s="9">
        <f>SUMIFS('Lançamentos'!$L$2:$L$5010,'Lançamentos'!$A$2:$A$5010,"Frete de venda",'Lançamentos'!$H$2:$H$5010,$A31,'Lançamentos'!$C$2:$C$5010,B$18)</f>
        <v/>
      </c>
      <c r="C31" s="9">
        <f>SUMIFS('Lançamentos'!$L$2:$L$5010,'Lançamentos'!$A$2:$A$5010,"Frete de venda",'Lançamentos'!$H$2:$H$5010,$A31,'Lançamentos'!$C$2:$C$5010,C$18)</f>
        <v/>
      </c>
      <c r="D31" s="9">
        <f>SUMIFS('Lançamentos'!$L$2:$L$5010,'Lançamentos'!$A$2:$A$5010,"Frete de venda",'Lançamentos'!$H$2:$H$5010,$A31,'Lançamentos'!$C$2:$C$5010,D$18)</f>
        <v/>
      </c>
      <c r="E31" s="9">
        <f>SUMIFS('Lançamentos'!$L$2:$L$5010,'Lançamentos'!$A$2:$A$5010,"Frete de venda",'Lançamentos'!$H$2:$H$5010,$A31,'Lançamentos'!$C$2:$C$5010,E$18)</f>
        <v/>
      </c>
      <c r="F31" s="9">
        <f>SUMIFS('Lançamentos'!$L$2:$L$5010,'Lançamentos'!$A$2:$A$5010,"Frete de venda",'Lançamentos'!$H$2:$H$5010,$A31,'Lançamentos'!$C$2:$C$5010,F$18)</f>
        <v/>
      </c>
      <c r="G31" s="9">
        <f>SUMIFS('Lançamentos'!$L$2:$L$5010,'Lançamentos'!$A$2:$A$5010,"Frete de venda",'Lançamentos'!$H$2:$H$5010,$A31,'Lançamentos'!$C$2:$C$5010,G$18)</f>
        <v/>
      </c>
      <c r="H31" s="9">
        <f>SUMIFS('Lançamentos'!$L$2:$L$5010,'Lançamentos'!$A$2:$A$5010,"Frete de venda",'Lançamentos'!$H$2:$H$5010,$A31,'Lançamentos'!$C$2:$C$5010,H$18)</f>
        <v/>
      </c>
      <c r="I31" s="9">
        <f>SUMIFS('Lançamentos'!$L$2:$L$5010,'Lançamentos'!$A$2:$A$5010,"Frete de venda",'Lançamentos'!$H$2:$H$5010,$A31,'Lançamentos'!$C$2:$C$5010,I$18)</f>
        <v/>
      </c>
      <c r="J31" s="9">
        <f>SUMIFS('Lançamentos'!$L$2:$L$5010,'Lançamentos'!$A$2:$A$5010,"Frete de venda",'Lançamentos'!$H$2:$H$5010,$A31,'Lançamentos'!$C$2:$C$5010,J$18)</f>
        <v/>
      </c>
      <c r="K31" s="9">
        <f>SUM(B31:J31)</f>
        <v/>
      </c>
      <c r="L31" s="10">
        <f>K31/K$55</f>
        <v/>
      </c>
      <c r="M31" s="9">
        <f>SUMIFS('Lançamentos'!$L$2:$L$5010,'Lançamentos'!$A$2:$A$5010,"Frete de venda",'Lançamentos'!$H$2:$H$5010,$A31,'Lançamentos'!$C$2:$C$5010,"Antes de 2026")</f>
        <v/>
      </c>
      <c r="N31" s="9">
        <f>SUMIFS('Lançamentos'!$J$2:$J$5010,'Lançamentos'!$A$2:$A$5010,"Frete de venda",'Lançamentos'!$H$2:$H$5010,$A31,'Lançamentos'!$D$2:$D$5010,"Em 2026")</f>
        <v/>
      </c>
      <c r="O31" s="9">
        <f>SUMIFS('Lançamentos'!$K$2:$K$5010,'Lançamentos'!$A$2:$A$5010,"Frete de venda",'Lançamentos'!$H$2:$H$5010,$A31,'Lançamentos'!$D$2:$D$5010,"Em 2026")</f>
        <v/>
      </c>
      <c r="P31" s="26">
        <f>COUNTIFS('Lançamentos'!$A$2:$A$5010,"Frete de venda",'Lançamentos'!$H$2:$H$5010,$A31,'Lançamentos'!$D$2:$D$5010,"Em 2026")</f>
        <v/>
      </c>
    </row>
    <row r="32">
      <c r="A32" t="inlineStr">
        <is>
          <t>RF BRA TRANSPORTES LTDA</t>
        </is>
      </c>
      <c r="B32" s="9">
        <f>SUMIFS('Lançamentos'!$L$2:$L$5010,'Lançamentos'!$A$2:$A$5010,"Frete de venda",'Lançamentos'!$H$2:$H$5010,$A32,'Lançamentos'!$C$2:$C$5010,B$18)</f>
        <v/>
      </c>
      <c r="C32" s="9">
        <f>SUMIFS('Lançamentos'!$L$2:$L$5010,'Lançamentos'!$A$2:$A$5010,"Frete de venda",'Lançamentos'!$H$2:$H$5010,$A32,'Lançamentos'!$C$2:$C$5010,C$18)</f>
        <v/>
      </c>
      <c r="D32" s="9">
        <f>SUMIFS('Lançamentos'!$L$2:$L$5010,'Lançamentos'!$A$2:$A$5010,"Frete de venda",'Lançamentos'!$H$2:$H$5010,$A32,'Lançamentos'!$C$2:$C$5010,D$18)</f>
        <v/>
      </c>
      <c r="E32" s="9">
        <f>SUMIFS('Lançamentos'!$L$2:$L$5010,'Lançamentos'!$A$2:$A$5010,"Frete de venda",'Lançamentos'!$H$2:$H$5010,$A32,'Lançamentos'!$C$2:$C$5010,E$18)</f>
        <v/>
      </c>
      <c r="F32" s="9">
        <f>SUMIFS('Lançamentos'!$L$2:$L$5010,'Lançamentos'!$A$2:$A$5010,"Frete de venda",'Lançamentos'!$H$2:$H$5010,$A32,'Lançamentos'!$C$2:$C$5010,F$18)</f>
        <v/>
      </c>
      <c r="G32" s="9">
        <f>SUMIFS('Lançamentos'!$L$2:$L$5010,'Lançamentos'!$A$2:$A$5010,"Frete de venda",'Lançamentos'!$H$2:$H$5010,$A32,'Lançamentos'!$C$2:$C$5010,G$18)</f>
        <v/>
      </c>
      <c r="H32" s="9">
        <f>SUMIFS('Lançamentos'!$L$2:$L$5010,'Lançamentos'!$A$2:$A$5010,"Frete de venda",'Lançamentos'!$H$2:$H$5010,$A32,'Lançamentos'!$C$2:$C$5010,H$18)</f>
        <v/>
      </c>
      <c r="I32" s="9">
        <f>SUMIFS('Lançamentos'!$L$2:$L$5010,'Lançamentos'!$A$2:$A$5010,"Frete de venda",'Lançamentos'!$H$2:$H$5010,$A32,'Lançamentos'!$C$2:$C$5010,I$18)</f>
        <v/>
      </c>
      <c r="J32" s="9">
        <f>SUMIFS('Lançamentos'!$L$2:$L$5010,'Lançamentos'!$A$2:$A$5010,"Frete de venda",'Lançamentos'!$H$2:$H$5010,$A32,'Lançamentos'!$C$2:$C$5010,J$18)</f>
        <v/>
      </c>
      <c r="K32" s="9">
        <f>SUM(B32:J32)</f>
        <v/>
      </c>
      <c r="L32" s="10">
        <f>K32/K$55</f>
        <v/>
      </c>
      <c r="M32" s="9">
        <f>SUMIFS('Lançamentos'!$L$2:$L$5010,'Lançamentos'!$A$2:$A$5010,"Frete de venda",'Lançamentos'!$H$2:$H$5010,$A32,'Lançamentos'!$C$2:$C$5010,"Antes de 2026")</f>
        <v/>
      </c>
      <c r="N32" s="9">
        <f>SUMIFS('Lançamentos'!$J$2:$J$5010,'Lançamentos'!$A$2:$A$5010,"Frete de venda",'Lançamentos'!$H$2:$H$5010,$A32,'Lançamentos'!$D$2:$D$5010,"Em 2026")</f>
        <v/>
      </c>
      <c r="O32" s="9">
        <f>SUMIFS('Lançamentos'!$K$2:$K$5010,'Lançamentos'!$A$2:$A$5010,"Frete de venda",'Lançamentos'!$H$2:$H$5010,$A32,'Lançamentos'!$D$2:$D$5010,"Em 2026")</f>
        <v/>
      </c>
      <c r="P32" s="26">
        <f>COUNTIFS('Lançamentos'!$A$2:$A$5010,"Frete de venda",'Lançamentos'!$H$2:$H$5010,$A32,'Lançamentos'!$D$2:$D$5010,"Em 2026")</f>
        <v/>
      </c>
    </row>
    <row r="33">
      <c r="A33" t="inlineStr">
        <is>
          <t>UNIVERSAL CARGAS EXPRESS</t>
        </is>
      </c>
      <c r="B33" s="9">
        <f>SUMIFS('Lançamentos'!$L$2:$L$5010,'Lançamentos'!$A$2:$A$5010,"Frete de venda",'Lançamentos'!$H$2:$H$5010,$A33,'Lançamentos'!$C$2:$C$5010,B$18)</f>
        <v/>
      </c>
      <c r="C33" s="9">
        <f>SUMIFS('Lançamentos'!$L$2:$L$5010,'Lançamentos'!$A$2:$A$5010,"Frete de venda",'Lançamentos'!$H$2:$H$5010,$A33,'Lançamentos'!$C$2:$C$5010,C$18)</f>
        <v/>
      </c>
      <c r="D33" s="9">
        <f>SUMIFS('Lançamentos'!$L$2:$L$5010,'Lançamentos'!$A$2:$A$5010,"Frete de venda",'Lançamentos'!$H$2:$H$5010,$A33,'Lançamentos'!$C$2:$C$5010,D$18)</f>
        <v/>
      </c>
      <c r="E33" s="9">
        <f>SUMIFS('Lançamentos'!$L$2:$L$5010,'Lançamentos'!$A$2:$A$5010,"Frete de venda",'Lançamentos'!$H$2:$H$5010,$A33,'Lançamentos'!$C$2:$C$5010,E$18)</f>
        <v/>
      </c>
      <c r="F33" s="9">
        <f>SUMIFS('Lançamentos'!$L$2:$L$5010,'Lançamentos'!$A$2:$A$5010,"Frete de venda",'Lançamentos'!$H$2:$H$5010,$A33,'Lançamentos'!$C$2:$C$5010,F$18)</f>
        <v/>
      </c>
      <c r="G33" s="9">
        <f>SUMIFS('Lançamentos'!$L$2:$L$5010,'Lançamentos'!$A$2:$A$5010,"Frete de venda",'Lançamentos'!$H$2:$H$5010,$A33,'Lançamentos'!$C$2:$C$5010,G$18)</f>
        <v/>
      </c>
      <c r="H33" s="9">
        <f>SUMIFS('Lançamentos'!$L$2:$L$5010,'Lançamentos'!$A$2:$A$5010,"Frete de venda",'Lançamentos'!$H$2:$H$5010,$A33,'Lançamentos'!$C$2:$C$5010,H$18)</f>
        <v/>
      </c>
      <c r="I33" s="9">
        <f>SUMIFS('Lançamentos'!$L$2:$L$5010,'Lançamentos'!$A$2:$A$5010,"Frete de venda",'Lançamentos'!$H$2:$H$5010,$A33,'Lançamentos'!$C$2:$C$5010,I$18)</f>
        <v/>
      </c>
      <c r="J33" s="9">
        <f>SUMIFS('Lançamentos'!$L$2:$L$5010,'Lançamentos'!$A$2:$A$5010,"Frete de venda",'Lançamentos'!$H$2:$H$5010,$A33,'Lançamentos'!$C$2:$C$5010,J$18)</f>
        <v/>
      </c>
      <c r="K33" s="9">
        <f>SUM(B33:J33)</f>
        <v/>
      </c>
      <c r="L33" s="10">
        <f>K33/K$55</f>
        <v/>
      </c>
      <c r="M33" s="9">
        <f>SUMIFS('Lançamentos'!$L$2:$L$5010,'Lançamentos'!$A$2:$A$5010,"Frete de venda",'Lançamentos'!$H$2:$H$5010,$A33,'Lançamentos'!$C$2:$C$5010,"Antes de 2026")</f>
        <v/>
      </c>
      <c r="N33" s="9">
        <f>SUMIFS('Lançamentos'!$J$2:$J$5010,'Lançamentos'!$A$2:$A$5010,"Frete de venda",'Lançamentos'!$H$2:$H$5010,$A33,'Lançamentos'!$D$2:$D$5010,"Em 2026")</f>
        <v/>
      </c>
      <c r="O33" s="9">
        <f>SUMIFS('Lançamentos'!$K$2:$K$5010,'Lançamentos'!$A$2:$A$5010,"Frete de venda",'Lançamentos'!$H$2:$H$5010,$A33,'Lançamentos'!$D$2:$D$5010,"Em 2026")</f>
        <v/>
      </c>
      <c r="P33" s="26">
        <f>COUNTIFS('Lançamentos'!$A$2:$A$5010,"Frete de venda",'Lançamentos'!$H$2:$H$5010,$A33,'Lançamentos'!$D$2:$D$5010,"Em 2026")</f>
        <v/>
      </c>
    </row>
    <row r="34">
      <c r="A34" t="inlineStr">
        <is>
          <t>PICCOLI LOGISTICA E TRANSPORTES LTDA</t>
        </is>
      </c>
      <c r="B34" s="9">
        <f>SUMIFS('Lançamentos'!$L$2:$L$5010,'Lançamentos'!$A$2:$A$5010,"Frete de venda",'Lançamentos'!$H$2:$H$5010,$A34,'Lançamentos'!$C$2:$C$5010,B$18)</f>
        <v/>
      </c>
      <c r="C34" s="9">
        <f>SUMIFS('Lançamentos'!$L$2:$L$5010,'Lançamentos'!$A$2:$A$5010,"Frete de venda",'Lançamentos'!$H$2:$H$5010,$A34,'Lançamentos'!$C$2:$C$5010,C$18)</f>
        <v/>
      </c>
      <c r="D34" s="9">
        <f>SUMIFS('Lançamentos'!$L$2:$L$5010,'Lançamentos'!$A$2:$A$5010,"Frete de venda",'Lançamentos'!$H$2:$H$5010,$A34,'Lançamentos'!$C$2:$C$5010,D$18)</f>
        <v/>
      </c>
      <c r="E34" s="9">
        <f>SUMIFS('Lançamentos'!$L$2:$L$5010,'Lançamentos'!$A$2:$A$5010,"Frete de venda",'Lançamentos'!$H$2:$H$5010,$A34,'Lançamentos'!$C$2:$C$5010,E$18)</f>
        <v/>
      </c>
      <c r="F34" s="9">
        <f>SUMIFS('Lançamentos'!$L$2:$L$5010,'Lançamentos'!$A$2:$A$5010,"Frete de venda",'Lançamentos'!$H$2:$H$5010,$A34,'Lançamentos'!$C$2:$C$5010,F$18)</f>
        <v/>
      </c>
      <c r="G34" s="9">
        <f>SUMIFS('Lançamentos'!$L$2:$L$5010,'Lançamentos'!$A$2:$A$5010,"Frete de venda",'Lançamentos'!$H$2:$H$5010,$A34,'Lançamentos'!$C$2:$C$5010,G$18)</f>
        <v/>
      </c>
      <c r="H34" s="9">
        <f>SUMIFS('Lançamentos'!$L$2:$L$5010,'Lançamentos'!$A$2:$A$5010,"Frete de venda",'Lançamentos'!$H$2:$H$5010,$A34,'Lançamentos'!$C$2:$C$5010,H$18)</f>
        <v/>
      </c>
      <c r="I34" s="9">
        <f>SUMIFS('Lançamentos'!$L$2:$L$5010,'Lançamentos'!$A$2:$A$5010,"Frete de venda",'Lançamentos'!$H$2:$H$5010,$A34,'Lançamentos'!$C$2:$C$5010,I$18)</f>
        <v/>
      </c>
      <c r="J34" s="9">
        <f>SUMIFS('Lançamentos'!$L$2:$L$5010,'Lançamentos'!$A$2:$A$5010,"Frete de venda",'Lançamentos'!$H$2:$H$5010,$A34,'Lançamentos'!$C$2:$C$5010,J$18)</f>
        <v/>
      </c>
      <c r="K34" s="9">
        <f>SUM(B34:J34)</f>
        <v/>
      </c>
      <c r="L34" s="10">
        <f>K34/K$55</f>
        <v/>
      </c>
      <c r="M34" s="9">
        <f>SUMIFS('Lançamentos'!$L$2:$L$5010,'Lançamentos'!$A$2:$A$5010,"Frete de venda",'Lançamentos'!$H$2:$H$5010,$A34,'Lançamentos'!$C$2:$C$5010,"Antes de 2026")</f>
        <v/>
      </c>
      <c r="N34" s="9">
        <f>SUMIFS('Lançamentos'!$J$2:$J$5010,'Lançamentos'!$A$2:$A$5010,"Frete de venda",'Lançamentos'!$H$2:$H$5010,$A34,'Lançamentos'!$D$2:$D$5010,"Em 2026")</f>
        <v/>
      </c>
      <c r="O34" s="9">
        <f>SUMIFS('Lançamentos'!$K$2:$K$5010,'Lançamentos'!$A$2:$A$5010,"Frete de venda",'Lançamentos'!$H$2:$H$5010,$A34,'Lançamentos'!$D$2:$D$5010,"Em 2026")</f>
        <v/>
      </c>
      <c r="P34" s="26">
        <f>COUNTIFS('Lançamentos'!$A$2:$A$5010,"Frete de venda",'Lançamentos'!$H$2:$H$5010,$A34,'Lançamentos'!$D$2:$D$5010,"Em 2026")</f>
        <v/>
      </c>
    </row>
    <row r="35">
      <c r="A35" t="inlineStr">
        <is>
          <t>ANGELA PAULA MASSARUT ME</t>
        </is>
      </c>
      <c r="B35" s="9">
        <f>SUMIFS('Lançamentos'!$L$2:$L$5010,'Lançamentos'!$A$2:$A$5010,"Frete de venda",'Lançamentos'!$H$2:$H$5010,$A35,'Lançamentos'!$C$2:$C$5010,B$18)</f>
        <v/>
      </c>
      <c r="C35" s="9">
        <f>SUMIFS('Lançamentos'!$L$2:$L$5010,'Lançamentos'!$A$2:$A$5010,"Frete de venda",'Lançamentos'!$H$2:$H$5010,$A35,'Lançamentos'!$C$2:$C$5010,C$18)</f>
        <v/>
      </c>
      <c r="D35" s="9">
        <f>SUMIFS('Lançamentos'!$L$2:$L$5010,'Lançamentos'!$A$2:$A$5010,"Frete de venda",'Lançamentos'!$H$2:$H$5010,$A35,'Lançamentos'!$C$2:$C$5010,D$18)</f>
        <v/>
      </c>
      <c r="E35" s="9">
        <f>SUMIFS('Lançamentos'!$L$2:$L$5010,'Lançamentos'!$A$2:$A$5010,"Frete de venda",'Lançamentos'!$H$2:$H$5010,$A35,'Lançamentos'!$C$2:$C$5010,E$18)</f>
        <v/>
      </c>
      <c r="F35" s="9">
        <f>SUMIFS('Lançamentos'!$L$2:$L$5010,'Lançamentos'!$A$2:$A$5010,"Frete de venda",'Lançamentos'!$H$2:$H$5010,$A35,'Lançamentos'!$C$2:$C$5010,F$18)</f>
        <v/>
      </c>
      <c r="G35" s="9">
        <f>SUMIFS('Lançamentos'!$L$2:$L$5010,'Lançamentos'!$A$2:$A$5010,"Frete de venda",'Lançamentos'!$H$2:$H$5010,$A35,'Lançamentos'!$C$2:$C$5010,G$18)</f>
        <v/>
      </c>
      <c r="H35" s="9">
        <f>SUMIFS('Lançamentos'!$L$2:$L$5010,'Lançamentos'!$A$2:$A$5010,"Frete de venda",'Lançamentos'!$H$2:$H$5010,$A35,'Lançamentos'!$C$2:$C$5010,H$18)</f>
        <v/>
      </c>
      <c r="I35" s="9">
        <f>SUMIFS('Lançamentos'!$L$2:$L$5010,'Lançamentos'!$A$2:$A$5010,"Frete de venda",'Lançamentos'!$H$2:$H$5010,$A35,'Lançamentos'!$C$2:$C$5010,I$18)</f>
        <v/>
      </c>
      <c r="J35" s="9">
        <f>SUMIFS('Lançamentos'!$L$2:$L$5010,'Lançamentos'!$A$2:$A$5010,"Frete de venda",'Lançamentos'!$H$2:$H$5010,$A35,'Lançamentos'!$C$2:$C$5010,J$18)</f>
        <v/>
      </c>
      <c r="K35" s="9">
        <f>SUM(B35:J35)</f>
        <v/>
      </c>
      <c r="L35" s="10">
        <f>K35/K$55</f>
        <v/>
      </c>
      <c r="M35" s="9">
        <f>SUMIFS('Lançamentos'!$L$2:$L$5010,'Lançamentos'!$A$2:$A$5010,"Frete de venda",'Lançamentos'!$H$2:$H$5010,$A35,'Lançamentos'!$C$2:$C$5010,"Antes de 2026")</f>
        <v/>
      </c>
      <c r="N35" s="9">
        <f>SUMIFS('Lançamentos'!$J$2:$J$5010,'Lançamentos'!$A$2:$A$5010,"Frete de venda",'Lançamentos'!$H$2:$H$5010,$A35,'Lançamentos'!$D$2:$D$5010,"Em 2026")</f>
        <v/>
      </c>
      <c r="O35" s="9">
        <f>SUMIFS('Lançamentos'!$K$2:$K$5010,'Lançamentos'!$A$2:$A$5010,"Frete de venda",'Lançamentos'!$H$2:$H$5010,$A35,'Lançamentos'!$D$2:$D$5010,"Em 2026")</f>
        <v/>
      </c>
      <c r="P35" s="26">
        <f>COUNTIFS('Lançamentos'!$A$2:$A$5010,"Frete de venda",'Lançamentos'!$H$2:$H$5010,$A35,'Lançamentos'!$D$2:$D$5010,"Em 2026")</f>
        <v/>
      </c>
    </row>
    <row r="36">
      <c r="A36" t="inlineStr">
        <is>
          <t>GLOBAL AIR CARGO LTDA</t>
        </is>
      </c>
      <c r="B36" s="9">
        <f>SUMIFS('Lançamentos'!$L$2:$L$5010,'Lançamentos'!$A$2:$A$5010,"Frete de venda",'Lançamentos'!$H$2:$H$5010,$A36,'Lançamentos'!$C$2:$C$5010,B$18)</f>
        <v/>
      </c>
      <c r="C36" s="9">
        <f>SUMIFS('Lançamentos'!$L$2:$L$5010,'Lançamentos'!$A$2:$A$5010,"Frete de venda",'Lançamentos'!$H$2:$H$5010,$A36,'Lançamentos'!$C$2:$C$5010,C$18)</f>
        <v/>
      </c>
      <c r="D36" s="9">
        <f>SUMIFS('Lançamentos'!$L$2:$L$5010,'Lançamentos'!$A$2:$A$5010,"Frete de venda",'Lançamentos'!$H$2:$H$5010,$A36,'Lançamentos'!$C$2:$C$5010,D$18)</f>
        <v/>
      </c>
      <c r="E36" s="9">
        <f>SUMIFS('Lançamentos'!$L$2:$L$5010,'Lançamentos'!$A$2:$A$5010,"Frete de venda",'Lançamentos'!$H$2:$H$5010,$A36,'Lançamentos'!$C$2:$C$5010,E$18)</f>
        <v/>
      </c>
      <c r="F36" s="9">
        <f>SUMIFS('Lançamentos'!$L$2:$L$5010,'Lançamentos'!$A$2:$A$5010,"Frete de venda",'Lançamentos'!$H$2:$H$5010,$A36,'Lançamentos'!$C$2:$C$5010,F$18)</f>
        <v/>
      </c>
      <c r="G36" s="9">
        <f>SUMIFS('Lançamentos'!$L$2:$L$5010,'Lançamentos'!$A$2:$A$5010,"Frete de venda",'Lançamentos'!$H$2:$H$5010,$A36,'Lançamentos'!$C$2:$C$5010,G$18)</f>
        <v/>
      </c>
      <c r="H36" s="9">
        <f>SUMIFS('Lançamentos'!$L$2:$L$5010,'Lançamentos'!$A$2:$A$5010,"Frete de venda",'Lançamentos'!$H$2:$H$5010,$A36,'Lançamentos'!$C$2:$C$5010,H$18)</f>
        <v/>
      </c>
      <c r="I36" s="9">
        <f>SUMIFS('Lançamentos'!$L$2:$L$5010,'Lançamentos'!$A$2:$A$5010,"Frete de venda",'Lançamentos'!$H$2:$H$5010,$A36,'Lançamentos'!$C$2:$C$5010,I$18)</f>
        <v/>
      </c>
      <c r="J36" s="9">
        <f>SUMIFS('Lançamentos'!$L$2:$L$5010,'Lançamentos'!$A$2:$A$5010,"Frete de venda",'Lançamentos'!$H$2:$H$5010,$A36,'Lançamentos'!$C$2:$C$5010,J$18)</f>
        <v/>
      </c>
      <c r="K36" s="9">
        <f>SUM(B36:J36)</f>
        <v/>
      </c>
      <c r="L36" s="10">
        <f>K36/K$55</f>
        <v/>
      </c>
      <c r="M36" s="9">
        <f>SUMIFS('Lançamentos'!$L$2:$L$5010,'Lançamentos'!$A$2:$A$5010,"Frete de venda",'Lançamentos'!$H$2:$H$5010,$A36,'Lançamentos'!$C$2:$C$5010,"Antes de 2026")</f>
        <v/>
      </c>
      <c r="N36" s="9">
        <f>SUMIFS('Lançamentos'!$J$2:$J$5010,'Lançamentos'!$A$2:$A$5010,"Frete de venda",'Lançamentos'!$H$2:$H$5010,$A36,'Lançamentos'!$D$2:$D$5010,"Em 2026")</f>
        <v/>
      </c>
      <c r="O36" s="9">
        <f>SUMIFS('Lançamentos'!$K$2:$K$5010,'Lançamentos'!$A$2:$A$5010,"Frete de venda",'Lançamentos'!$H$2:$H$5010,$A36,'Lançamentos'!$D$2:$D$5010,"Em 2026")</f>
        <v/>
      </c>
      <c r="P36" s="26">
        <f>COUNTIFS('Lançamentos'!$A$2:$A$5010,"Frete de venda",'Lançamentos'!$H$2:$H$5010,$A36,'Lançamentos'!$D$2:$D$5010,"Em 2026")</f>
        <v/>
      </c>
    </row>
    <row r="37">
      <c r="A37" t="inlineStr">
        <is>
          <t>ADEMIR DA SILVA LTDA</t>
        </is>
      </c>
      <c r="B37" s="9">
        <f>SUMIFS('Lançamentos'!$L$2:$L$5010,'Lançamentos'!$A$2:$A$5010,"Frete de venda",'Lançamentos'!$H$2:$H$5010,$A37,'Lançamentos'!$C$2:$C$5010,B$18)</f>
        <v/>
      </c>
      <c r="C37" s="9">
        <f>SUMIFS('Lançamentos'!$L$2:$L$5010,'Lançamentos'!$A$2:$A$5010,"Frete de venda",'Lançamentos'!$H$2:$H$5010,$A37,'Lançamentos'!$C$2:$C$5010,C$18)</f>
        <v/>
      </c>
      <c r="D37" s="9">
        <f>SUMIFS('Lançamentos'!$L$2:$L$5010,'Lançamentos'!$A$2:$A$5010,"Frete de venda",'Lançamentos'!$H$2:$H$5010,$A37,'Lançamentos'!$C$2:$C$5010,D$18)</f>
        <v/>
      </c>
      <c r="E37" s="9">
        <f>SUMIFS('Lançamentos'!$L$2:$L$5010,'Lançamentos'!$A$2:$A$5010,"Frete de venda",'Lançamentos'!$H$2:$H$5010,$A37,'Lançamentos'!$C$2:$C$5010,E$18)</f>
        <v/>
      </c>
      <c r="F37" s="9">
        <f>SUMIFS('Lançamentos'!$L$2:$L$5010,'Lançamentos'!$A$2:$A$5010,"Frete de venda",'Lançamentos'!$H$2:$H$5010,$A37,'Lançamentos'!$C$2:$C$5010,F$18)</f>
        <v/>
      </c>
      <c r="G37" s="9">
        <f>SUMIFS('Lançamentos'!$L$2:$L$5010,'Lançamentos'!$A$2:$A$5010,"Frete de venda",'Lançamentos'!$H$2:$H$5010,$A37,'Lançamentos'!$C$2:$C$5010,G$18)</f>
        <v/>
      </c>
      <c r="H37" s="9">
        <f>SUMIFS('Lançamentos'!$L$2:$L$5010,'Lançamentos'!$A$2:$A$5010,"Frete de venda",'Lançamentos'!$H$2:$H$5010,$A37,'Lançamentos'!$C$2:$C$5010,H$18)</f>
        <v/>
      </c>
      <c r="I37" s="9">
        <f>SUMIFS('Lançamentos'!$L$2:$L$5010,'Lançamentos'!$A$2:$A$5010,"Frete de venda",'Lançamentos'!$H$2:$H$5010,$A37,'Lançamentos'!$C$2:$C$5010,I$18)</f>
        <v/>
      </c>
      <c r="J37" s="9">
        <f>SUMIFS('Lançamentos'!$L$2:$L$5010,'Lançamentos'!$A$2:$A$5010,"Frete de venda",'Lançamentos'!$H$2:$H$5010,$A37,'Lançamentos'!$C$2:$C$5010,J$18)</f>
        <v/>
      </c>
      <c r="K37" s="9">
        <f>SUM(B37:J37)</f>
        <v/>
      </c>
      <c r="L37" s="10">
        <f>K37/K$55</f>
        <v/>
      </c>
      <c r="M37" s="9">
        <f>SUMIFS('Lançamentos'!$L$2:$L$5010,'Lançamentos'!$A$2:$A$5010,"Frete de venda",'Lançamentos'!$H$2:$H$5010,$A37,'Lançamentos'!$C$2:$C$5010,"Antes de 2026")</f>
        <v/>
      </c>
      <c r="N37" s="9">
        <f>SUMIFS('Lançamentos'!$J$2:$J$5010,'Lançamentos'!$A$2:$A$5010,"Frete de venda",'Lançamentos'!$H$2:$H$5010,$A37,'Lançamentos'!$D$2:$D$5010,"Em 2026")</f>
        <v/>
      </c>
      <c r="O37" s="9">
        <f>SUMIFS('Lançamentos'!$K$2:$K$5010,'Lançamentos'!$A$2:$A$5010,"Frete de venda",'Lançamentos'!$H$2:$H$5010,$A37,'Lançamentos'!$D$2:$D$5010,"Em 2026")</f>
        <v/>
      </c>
      <c r="P37" s="26">
        <f>COUNTIFS('Lançamentos'!$A$2:$A$5010,"Frete de venda",'Lançamentos'!$H$2:$H$5010,$A37,'Lançamentos'!$D$2:$D$5010,"Em 2026")</f>
        <v/>
      </c>
    </row>
    <row r="38">
      <c r="A38" t="inlineStr">
        <is>
          <t>JSP TRANSPORTE E LOGISTICA LTDA</t>
        </is>
      </c>
      <c r="B38" s="9">
        <f>SUMIFS('Lançamentos'!$L$2:$L$5010,'Lançamentos'!$A$2:$A$5010,"Frete de venda",'Lançamentos'!$H$2:$H$5010,$A38,'Lançamentos'!$C$2:$C$5010,B$18)</f>
        <v/>
      </c>
      <c r="C38" s="9">
        <f>SUMIFS('Lançamentos'!$L$2:$L$5010,'Lançamentos'!$A$2:$A$5010,"Frete de venda",'Lançamentos'!$H$2:$H$5010,$A38,'Lançamentos'!$C$2:$C$5010,C$18)</f>
        <v/>
      </c>
      <c r="D38" s="9">
        <f>SUMIFS('Lançamentos'!$L$2:$L$5010,'Lançamentos'!$A$2:$A$5010,"Frete de venda",'Lançamentos'!$H$2:$H$5010,$A38,'Lançamentos'!$C$2:$C$5010,D$18)</f>
        <v/>
      </c>
      <c r="E38" s="9">
        <f>SUMIFS('Lançamentos'!$L$2:$L$5010,'Lançamentos'!$A$2:$A$5010,"Frete de venda",'Lançamentos'!$H$2:$H$5010,$A38,'Lançamentos'!$C$2:$C$5010,E$18)</f>
        <v/>
      </c>
      <c r="F38" s="9">
        <f>SUMIFS('Lançamentos'!$L$2:$L$5010,'Lançamentos'!$A$2:$A$5010,"Frete de venda",'Lançamentos'!$H$2:$H$5010,$A38,'Lançamentos'!$C$2:$C$5010,F$18)</f>
        <v/>
      </c>
      <c r="G38" s="9">
        <f>SUMIFS('Lançamentos'!$L$2:$L$5010,'Lançamentos'!$A$2:$A$5010,"Frete de venda",'Lançamentos'!$H$2:$H$5010,$A38,'Lançamentos'!$C$2:$C$5010,G$18)</f>
        <v/>
      </c>
      <c r="H38" s="9">
        <f>SUMIFS('Lançamentos'!$L$2:$L$5010,'Lançamentos'!$A$2:$A$5010,"Frete de venda",'Lançamentos'!$H$2:$H$5010,$A38,'Lançamentos'!$C$2:$C$5010,H$18)</f>
        <v/>
      </c>
      <c r="I38" s="9">
        <f>SUMIFS('Lançamentos'!$L$2:$L$5010,'Lançamentos'!$A$2:$A$5010,"Frete de venda",'Lançamentos'!$H$2:$H$5010,$A38,'Lançamentos'!$C$2:$C$5010,I$18)</f>
        <v/>
      </c>
      <c r="J38" s="9">
        <f>SUMIFS('Lançamentos'!$L$2:$L$5010,'Lançamentos'!$A$2:$A$5010,"Frete de venda",'Lançamentos'!$H$2:$H$5010,$A38,'Lançamentos'!$C$2:$C$5010,J$18)</f>
        <v/>
      </c>
      <c r="K38" s="9">
        <f>SUM(B38:J38)</f>
        <v/>
      </c>
      <c r="L38" s="10">
        <f>K38/K$55</f>
        <v/>
      </c>
      <c r="M38" s="9">
        <f>SUMIFS('Lançamentos'!$L$2:$L$5010,'Lançamentos'!$A$2:$A$5010,"Frete de venda",'Lançamentos'!$H$2:$H$5010,$A38,'Lançamentos'!$C$2:$C$5010,"Antes de 2026")</f>
        <v/>
      </c>
      <c r="N38" s="9">
        <f>SUMIFS('Lançamentos'!$J$2:$J$5010,'Lançamentos'!$A$2:$A$5010,"Frete de venda",'Lançamentos'!$H$2:$H$5010,$A38,'Lançamentos'!$D$2:$D$5010,"Em 2026")</f>
        <v/>
      </c>
      <c r="O38" s="9">
        <f>SUMIFS('Lançamentos'!$K$2:$K$5010,'Lançamentos'!$A$2:$A$5010,"Frete de venda",'Lançamentos'!$H$2:$H$5010,$A38,'Lançamentos'!$D$2:$D$5010,"Em 2026")</f>
        <v/>
      </c>
      <c r="P38" s="26">
        <f>COUNTIFS('Lançamentos'!$A$2:$A$5010,"Frete de venda",'Lançamentos'!$H$2:$H$5010,$A38,'Lançamentos'!$D$2:$D$5010,"Em 2026")</f>
        <v/>
      </c>
    </row>
    <row r="39">
      <c r="A39" t="inlineStr">
        <is>
          <t>CRUZ DE MALTA TRANSPORTES LTDA</t>
        </is>
      </c>
      <c r="B39" s="9">
        <f>SUMIFS('Lançamentos'!$L$2:$L$5010,'Lançamentos'!$A$2:$A$5010,"Frete de venda",'Lançamentos'!$H$2:$H$5010,$A39,'Lançamentos'!$C$2:$C$5010,B$18)</f>
        <v/>
      </c>
      <c r="C39" s="9">
        <f>SUMIFS('Lançamentos'!$L$2:$L$5010,'Lançamentos'!$A$2:$A$5010,"Frete de venda",'Lançamentos'!$H$2:$H$5010,$A39,'Lançamentos'!$C$2:$C$5010,C$18)</f>
        <v/>
      </c>
      <c r="D39" s="9">
        <f>SUMIFS('Lançamentos'!$L$2:$L$5010,'Lançamentos'!$A$2:$A$5010,"Frete de venda",'Lançamentos'!$H$2:$H$5010,$A39,'Lançamentos'!$C$2:$C$5010,D$18)</f>
        <v/>
      </c>
      <c r="E39" s="9">
        <f>SUMIFS('Lançamentos'!$L$2:$L$5010,'Lançamentos'!$A$2:$A$5010,"Frete de venda",'Lançamentos'!$H$2:$H$5010,$A39,'Lançamentos'!$C$2:$C$5010,E$18)</f>
        <v/>
      </c>
      <c r="F39" s="9">
        <f>SUMIFS('Lançamentos'!$L$2:$L$5010,'Lançamentos'!$A$2:$A$5010,"Frete de venda",'Lançamentos'!$H$2:$H$5010,$A39,'Lançamentos'!$C$2:$C$5010,F$18)</f>
        <v/>
      </c>
      <c r="G39" s="9">
        <f>SUMIFS('Lançamentos'!$L$2:$L$5010,'Lançamentos'!$A$2:$A$5010,"Frete de venda",'Lançamentos'!$H$2:$H$5010,$A39,'Lançamentos'!$C$2:$C$5010,G$18)</f>
        <v/>
      </c>
      <c r="H39" s="9">
        <f>SUMIFS('Lançamentos'!$L$2:$L$5010,'Lançamentos'!$A$2:$A$5010,"Frete de venda",'Lançamentos'!$H$2:$H$5010,$A39,'Lançamentos'!$C$2:$C$5010,H$18)</f>
        <v/>
      </c>
      <c r="I39" s="9">
        <f>SUMIFS('Lançamentos'!$L$2:$L$5010,'Lançamentos'!$A$2:$A$5010,"Frete de venda",'Lançamentos'!$H$2:$H$5010,$A39,'Lançamentos'!$C$2:$C$5010,I$18)</f>
        <v/>
      </c>
      <c r="J39" s="9">
        <f>SUMIFS('Lançamentos'!$L$2:$L$5010,'Lançamentos'!$A$2:$A$5010,"Frete de venda",'Lançamentos'!$H$2:$H$5010,$A39,'Lançamentos'!$C$2:$C$5010,J$18)</f>
        <v/>
      </c>
      <c r="K39" s="9">
        <f>SUM(B39:J39)</f>
        <v/>
      </c>
      <c r="L39" s="10">
        <f>K39/K$55</f>
        <v/>
      </c>
      <c r="M39" s="9">
        <f>SUMIFS('Lançamentos'!$L$2:$L$5010,'Lançamentos'!$A$2:$A$5010,"Frete de venda",'Lançamentos'!$H$2:$H$5010,$A39,'Lançamentos'!$C$2:$C$5010,"Antes de 2026")</f>
        <v/>
      </c>
      <c r="N39" s="9">
        <f>SUMIFS('Lançamentos'!$J$2:$J$5010,'Lançamentos'!$A$2:$A$5010,"Frete de venda",'Lançamentos'!$H$2:$H$5010,$A39,'Lançamentos'!$D$2:$D$5010,"Em 2026")</f>
        <v/>
      </c>
      <c r="O39" s="9">
        <f>SUMIFS('Lançamentos'!$K$2:$K$5010,'Lançamentos'!$A$2:$A$5010,"Frete de venda",'Lançamentos'!$H$2:$H$5010,$A39,'Lançamentos'!$D$2:$D$5010,"Em 2026")</f>
        <v/>
      </c>
      <c r="P39" s="26">
        <f>COUNTIFS('Lançamentos'!$A$2:$A$5010,"Frete de venda",'Lançamentos'!$H$2:$H$5010,$A39,'Lançamentos'!$D$2:$D$5010,"Em 2026")</f>
        <v/>
      </c>
    </row>
    <row r="40">
      <c r="A40" t="inlineStr">
        <is>
          <t>CAMPINENSE TRANSPORTE DE CARGAS E LOCACOES LT</t>
        </is>
      </c>
      <c r="B40" s="9">
        <f>SUMIFS('Lançamentos'!$L$2:$L$5010,'Lançamentos'!$A$2:$A$5010,"Frete de venda",'Lançamentos'!$H$2:$H$5010,$A40,'Lançamentos'!$C$2:$C$5010,B$18)</f>
        <v/>
      </c>
      <c r="C40" s="9">
        <f>SUMIFS('Lançamentos'!$L$2:$L$5010,'Lançamentos'!$A$2:$A$5010,"Frete de venda",'Lançamentos'!$H$2:$H$5010,$A40,'Lançamentos'!$C$2:$C$5010,C$18)</f>
        <v/>
      </c>
      <c r="D40" s="9">
        <f>SUMIFS('Lançamentos'!$L$2:$L$5010,'Lançamentos'!$A$2:$A$5010,"Frete de venda",'Lançamentos'!$H$2:$H$5010,$A40,'Lançamentos'!$C$2:$C$5010,D$18)</f>
        <v/>
      </c>
      <c r="E40" s="9">
        <f>SUMIFS('Lançamentos'!$L$2:$L$5010,'Lançamentos'!$A$2:$A$5010,"Frete de venda",'Lançamentos'!$H$2:$H$5010,$A40,'Lançamentos'!$C$2:$C$5010,E$18)</f>
        <v/>
      </c>
      <c r="F40" s="9">
        <f>SUMIFS('Lançamentos'!$L$2:$L$5010,'Lançamentos'!$A$2:$A$5010,"Frete de venda",'Lançamentos'!$H$2:$H$5010,$A40,'Lançamentos'!$C$2:$C$5010,F$18)</f>
        <v/>
      </c>
      <c r="G40" s="9">
        <f>SUMIFS('Lançamentos'!$L$2:$L$5010,'Lançamentos'!$A$2:$A$5010,"Frete de venda",'Lançamentos'!$H$2:$H$5010,$A40,'Lançamentos'!$C$2:$C$5010,G$18)</f>
        <v/>
      </c>
      <c r="H40" s="9">
        <f>SUMIFS('Lançamentos'!$L$2:$L$5010,'Lançamentos'!$A$2:$A$5010,"Frete de venda",'Lançamentos'!$H$2:$H$5010,$A40,'Lançamentos'!$C$2:$C$5010,H$18)</f>
        <v/>
      </c>
      <c r="I40" s="9">
        <f>SUMIFS('Lançamentos'!$L$2:$L$5010,'Lançamentos'!$A$2:$A$5010,"Frete de venda",'Lançamentos'!$H$2:$H$5010,$A40,'Lançamentos'!$C$2:$C$5010,I$18)</f>
        <v/>
      </c>
      <c r="J40" s="9">
        <f>SUMIFS('Lançamentos'!$L$2:$L$5010,'Lançamentos'!$A$2:$A$5010,"Frete de venda",'Lançamentos'!$H$2:$H$5010,$A40,'Lançamentos'!$C$2:$C$5010,J$18)</f>
        <v/>
      </c>
      <c r="K40" s="9">
        <f>SUM(B40:J40)</f>
        <v/>
      </c>
      <c r="L40" s="10">
        <f>K40/K$55</f>
        <v/>
      </c>
      <c r="M40" s="9">
        <f>SUMIFS('Lançamentos'!$L$2:$L$5010,'Lançamentos'!$A$2:$A$5010,"Frete de venda",'Lançamentos'!$H$2:$H$5010,$A40,'Lançamentos'!$C$2:$C$5010,"Antes de 2026")</f>
        <v/>
      </c>
      <c r="N40" s="9">
        <f>SUMIFS('Lançamentos'!$J$2:$J$5010,'Lançamentos'!$A$2:$A$5010,"Frete de venda",'Lançamentos'!$H$2:$H$5010,$A40,'Lançamentos'!$D$2:$D$5010,"Em 2026")</f>
        <v/>
      </c>
      <c r="O40" s="9">
        <f>SUMIFS('Lançamentos'!$K$2:$K$5010,'Lançamentos'!$A$2:$A$5010,"Frete de venda",'Lançamentos'!$H$2:$H$5010,$A40,'Lançamentos'!$D$2:$D$5010,"Em 2026")</f>
        <v/>
      </c>
      <c r="P40" s="26">
        <f>COUNTIFS('Lançamentos'!$A$2:$A$5010,"Frete de venda",'Lançamentos'!$H$2:$H$5010,$A40,'Lançamentos'!$D$2:$D$5010,"Em 2026")</f>
        <v/>
      </c>
    </row>
    <row r="41">
      <c r="A41" t="inlineStr">
        <is>
          <t>PEDRO HENRIQUE MODESTO DE QUEIROZ SILVEIRA</t>
        </is>
      </c>
      <c r="B41" s="9">
        <f>SUMIFS('Lançamentos'!$L$2:$L$5010,'Lançamentos'!$A$2:$A$5010,"Frete de venda",'Lançamentos'!$H$2:$H$5010,$A41,'Lançamentos'!$C$2:$C$5010,B$18)</f>
        <v/>
      </c>
      <c r="C41" s="9">
        <f>SUMIFS('Lançamentos'!$L$2:$L$5010,'Lançamentos'!$A$2:$A$5010,"Frete de venda",'Lançamentos'!$H$2:$H$5010,$A41,'Lançamentos'!$C$2:$C$5010,C$18)</f>
        <v/>
      </c>
      <c r="D41" s="9">
        <f>SUMIFS('Lançamentos'!$L$2:$L$5010,'Lançamentos'!$A$2:$A$5010,"Frete de venda",'Lançamentos'!$H$2:$H$5010,$A41,'Lançamentos'!$C$2:$C$5010,D$18)</f>
        <v/>
      </c>
      <c r="E41" s="9">
        <f>SUMIFS('Lançamentos'!$L$2:$L$5010,'Lançamentos'!$A$2:$A$5010,"Frete de venda",'Lançamentos'!$H$2:$H$5010,$A41,'Lançamentos'!$C$2:$C$5010,E$18)</f>
        <v/>
      </c>
      <c r="F41" s="9">
        <f>SUMIFS('Lançamentos'!$L$2:$L$5010,'Lançamentos'!$A$2:$A$5010,"Frete de venda",'Lançamentos'!$H$2:$H$5010,$A41,'Lançamentos'!$C$2:$C$5010,F$18)</f>
        <v/>
      </c>
      <c r="G41" s="9">
        <f>SUMIFS('Lançamentos'!$L$2:$L$5010,'Lançamentos'!$A$2:$A$5010,"Frete de venda",'Lançamentos'!$H$2:$H$5010,$A41,'Lançamentos'!$C$2:$C$5010,G$18)</f>
        <v/>
      </c>
      <c r="H41" s="9">
        <f>SUMIFS('Lançamentos'!$L$2:$L$5010,'Lançamentos'!$A$2:$A$5010,"Frete de venda",'Lançamentos'!$H$2:$H$5010,$A41,'Lançamentos'!$C$2:$C$5010,H$18)</f>
        <v/>
      </c>
      <c r="I41" s="9">
        <f>SUMIFS('Lançamentos'!$L$2:$L$5010,'Lançamentos'!$A$2:$A$5010,"Frete de venda",'Lançamentos'!$H$2:$H$5010,$A41,'Lançamentos'!$C$2:$C$5010,I$18)</f>
        <v/>
      </c>
      <c r="J41" s="9">
        <f>SUMIFS('Lançamentos'!$L$2:$L$5010,'Lançamentos'!$A$2:$A$5010,"Frete de venda",'Lançamentos'!$H$2:$H$5010,$A41,'Lançamentos'!$C$2:$C$5010,J$18)</f>
        <v/>
      </c>
      <c r="K41" s="9">
        <f>SUM(B41:J41)</f>
        <v/>
      </c>
      <c r="L41" s="10">
        <f>K41/K$55</f>
        <v/>
      </c>
      <c r="M41" s="9">
        <f>SUMIFS('Lançamentos'!$L$2:$L$5010,'Lançamentos'!$A$2:$A$5010,"Frete de venda",'Lançamentos'!$H$2:$H$5010,$A41,'Lançamentos'!$C$2:$C$5010,"Antes de 2026")</f>
        <v/>
      </c>
      <c r="N41" s="9">
        <f>SUMIFS('Lançamentos'!$J$2:$J$5010,'Lançamentos'!$A$2:$A$5010,"Frete de venda",'Lançamentos'!$H$2:$H$5010,$A41,'Lançamentos'!$D$2:$D$5010,"Em 2026")</f>
        <v/>
      </c>
      <c r="O41" s="9">
        <f>SUMIFS('Lançamentos'!$K$2:$K$5010,'Lançamentos'!$A$2:$A$5010,"Frete de venda",'Lançamentos'!$H$2:$H$5010,$A41,'Lançamentos'!$D$2:$D$5010,"Em 2026")</f>
        <v/>
      </c>
      <c r="P41" s="26">
        <f>COUNTIFS('Lançamentos'!$A$2:$A$5010,"Frete de venda",'Lançamentos'!$H$2:$H$5010,$A41,'Lançamentos'!$D$2:$D$5010,"Em 2026")</f>
        <v/>
      </c>
    </row>
    <row r="42">
      <c r="A42" t="inlineStr">
        <is>
          <t>JAGUARE TRANSPORTES E ARMAZENAGENS LTDA</t>
        </is>
      </c>
      <c r="B42" s="9">
        <f>SUMIFS('Lançamentos'!$L$2:$L$5010,'Lançamentos'!$A$2:$A$5010,"Frete de venda",'Lançamentos'!$H$2:$H$5010,$A42,'Lançamentos'!$C$2:$C$5010,B$18)</f>
        <v/>
      </c>
      <c r="C42" s="9">
        <f>SUMIFS('Lançamentos'!$L$2:$L$5010,'Lançamentos'!$A$2:$A$5010,"Frete de venda",'Lançamentos'!$H$2:$H$5010,$A42,'Lançamentos'!$C$2:$C$5010,C$18)</f>
        <v/>
      </c>
      <c r="D42" s="9">
        <f>SUMIFS('Lançamentos'!$L$2:$L$5010,'Lançamentos'!$A$2:$A$5010,"Frete de venda",'Lançamentos'!$H$2:$H$5010,$A42,'Lançamentos'!$C$2:$C$5010,D$18)</f>
        <v/>
      </c>
      <c r="E42" s="9">
        <f>SUMIFS('Lançamentos'!$L$2:$L$5010,'Lançamentos'!$A$2:$A$5010,"Frete de venda",'Lançamentos'!$H$2:$H$5010,$A42,'Lançamentos'!$C$2:$C$5010,E$18)</f>
        <v/>
      </c>
      <c r="F42" s="9">
        <f>SUMIFS('Lançamentos'!$L$2:$L$5010,'Lançamentos'!$A$2:$A$5010,"Frete de venda",'Lançamentos'!$H$2:$H$5010,$A42,'Lançamentos'!$C$2:$C$5010,F$18)</f>
        <v/>
      </c>
      <c r="G42" s="9">
        <f>SUMIFS('Lançamentos'!$L$2:$L$5010,'Lançamentos'!$A$2:$A$5010,"Frete de venda",'Lançamentos'!$H$2:$H$5010,$A42,'Lançamentos'!$C$2:$C$5010,G$18)</f>
        <v/>
      </c>
      <c r="H42" s="9">
        <f>SUMIFS('Lançamentos'!$L$2:$L$5010,'Lançamentos'!$A$2:$A$5010,"Frete de venda",'Lançamentos'!$H$2:$H$5010,$A42,'Lançamentos'!$C$2:$C$5010,H$18)</f>
        <v/>
      </c>
      <c r="I42" s="9">
        <f>SUMIFS('Lançamentos'!$L$2:$L$5010,'Lançamentos'!$A$2:$A$5010,"Frete de venda",'Lançamentos'!$H$2:$H$5010,$A42,'Lançamentos'!$C$2:$C$5010,I$18)</f>
        <v/>
      </c>
      <c r="J42" s="9">
        <f>SUMIFS('Lançamentos'!$L$2:$L$5010,'Lançamentos'!$A$2:$A$5010,"Frete de venda",'Lançamentos'!$H$2:$H$5010,$A42,'Lançamentos'!$C$2:$C$5010,J$18)</f>
        <v/>
      </c>
      <c r="K42" s="9">
        <f>SUM(B42:J42)</f>
        <v/>
      </c>
      <c r="L42" s="10">
        <f>K42/K$55</f>
        <v/>
      </c>
      <c r="M42" s="9">
        <f>SUMIFS('Lançamentos'!$L$2:$L$5010,'Lançamentos'!$A$2:$A$5010,"Frete de venda",'Lançamentos'!$H$2:$H$5010,$A42,'Lançamentos'!$C$2:$C$5010,"Antes de 2026")</f>
        <v/>
      </c>
      <c r="N42" s="9">
        <f>SUMIFS('Lançamentos'!$J$2:$J$5010,'Lançamentos'!$A$2:$A$5010,"Frete de venda",'Lançamentos'!$H$2:$H$5010,$A42,'Lançamentos'!$D$2:$D$5010,"Em 2026")</f>
        <v/>
      </c>
      <c r="O42" s="9">
        <f>SUMIFS('Lançamentos'!$K$2:$K$5010,'Lançamentos'!$A$2:$A$5010,"Frete de venda",'Lançamentos'!$H$2:$H$5010,$A42,'Lançamentos'!$D$2:$D$5010,"Em 2026")</f>
        <v/>
      </c>
      <c r="P42" s="26">
        <f>COUNTIFS('Lançamentos'!$A$2:$A$5010,"Frete de venda",'Lançamentos'!$H$2:$H$5010,$A42,'Lançamentos'!$D$2:$D$5010,"Em 2026")</f>
        <v/>
      </c>
    </row>
    <row r="43">
      <c r="A43" t="inlineStr">
        <is>
          <t>C L TRANSPORTES LTDA - IDEALIZA TRANSP</t>
        </is>
      </c>
      <c r="B43" s="9">
        <f>SUMIFS('Lançamentos'!$L$2:$L$5010,'Lançamentos'!$A$2:$A$5010,"Frete de venda",'Lançamentos'!$H$2:$H$5010,$A43,'Lançamentos'!$C$2:$C$5010,B$18)</f>
        <v/>
      </c>
      <c r="C43" s="9">
        <f>SUMIFS('Lançamentos'!$L$2:$L$5010,'Lançamentos'!$A$2:$A$5010,"Frete de venda",'Lançamentos'!$H$2:$H$5010,$A43,'Lançamentos'!$C$2:$C$5010,C$18)</f>
        <v/>
      </c>
      <c r="D43" s="9">
        <f>SUMIFS('Lançamentos'!$L$2:$L$5010,'Lançamentos'!$A$2:$A$5010,"Frete de venda",'Lançamentos'!$H$2:$H$5010,$A43,'Lançamentos'!$C$2:$C$5010,D$18)</f>
        <v/>
      </c>
      <c r="E43" s="9">
        <f>SUMIFS('Lançamentos'!$L$2:$L$5010,'Lançamentos'!$A$2:$A$5010,"Frete de venda",'Lançamentos'!$H$2:$H$5010,$A43,'Lançamentos'!$C$2:$C$5010,E$18)</f>
        <v/>
      </c>
      <c r="F43" s="9">
        <f>SUMIFS('Lançamentos'!$L$2:$L$5010,'Lançamentos'!$A$2:$A$5010,"Frete de venda",'Lançamentos'!$H$2:$H$5010,$A43,'Lançamentos'!$C$2:$C$5010,F$18)</f>
        <v/>
      </c>
      <c r="G43" s="9">
        <f>SUMIFS('Lançamentos'!$L$2:$L$5010,'Lançamentos'!$A$2:$A$5010,"Frete de venda",'Lançamentos'!$H$2:$H$5010,$A43,'Lançamentos'!$C$2:$C$5010,G$18)</f>
        <v/>
      </c>
      <c r="H43" s="9">
        <f>SUMIFS('Lançamentos'!$L$2:$L$5010,'Lançamentos'!$A$2:$A$5010,"Frete de venda",'Lançamentos'!$H$2:$H$5010,$A43,'Lançamentos'!$C$2:$C$5010,H$18)</f>
        <v/>
      </c>
      <c r="I43" s="9">
        <f>SUMIFS('Lançamentos'!$L$2:$L$5010,'Lançamentos'!$A$2:$A$5010,"Frete de venda",'Lançamentos'!$H$2:$H$5010,$A43,'Lançamentos'!$C$2:$C$5010,I$18)</f>
        <v/>
      </c>
      <c r="J43" s="9">
        <f>SUMIFS('Lançamentos'!$L$2:$L$5010,'Lançamentos'!$A$2:$A$5010,"Frete de venda",'Lançamentos'!$H$2:$H$5010,$A43,'Lançamentos'!$C$2:$C$5010,J$18)</f>
        <v/>
      </c>
      <c r="K43" s="9">
        <f>SUM(B43:J43)</f>
        <v/>
      </c>
      <c r="L43" s="10">
        <f>K43/K$55</f>
        <v/>
      </c>
      <c r="M43" s="9">
        <f>SUMIFS('Lançamentos'!$L$2:$L$5010,'Lançamentos'!$A$2:$A$5010,"Frete de venda",'Lançamentos'!$H$2:$H$5010,$A43,'Lançamentos'!$C$2:$C$5010,"Antes de 2026")</f>
        <v/>
      </c>
      <c r="N43" s="9">
        <f>SUMIFS('Lançamentos'!$J$2:$J$5010,'Lançamentos'!$A$2:$A$5010,"Frete de venda",'Lançamentos'!$H$2:$H$5010,$A43,'Lançamentos'!$D$2:$D$5010,"Em 2026")</f>
        <v/>
      </c>
      <c r="O43" s="9">
        <f>SUMIFS('Lançamentos'!$K$2:$K$5010,'Lançamentos'!$A$2:$A$5010,"Frete de venda",'Lançamentos'!$H$2:$H$5010,$A43,'Lançamentos'!$D$2:$D$5010,"Em 2026")</f>
        <v/>
      </c>
      <c r="P43" s="26">
        <f>COUNTIFS('Lançamentos'!$A$2:$A$5010,"Frete de venda",'Lançamentos'!$H$2:$H$5010,$A43,'Lançamentos'!$D$2:$D$5010,"Em 2026")</f>
        <v/>
      </c>
    </row>
    <row r="44">
      <c r="A44" t="inlineStr">
        <is>
          <t>BOMFIM CARGAS E ENCOMENDAS LTDA</t>
        </is>
      </c>
      <c r="B44" s="9">
        <f>SUMIFS('Lançamentos'!$L$2:$L$5010,'Lançamentos'!$A$2:$A$5010,"Frete de venda",'Lançamentos'!$H$2:$H$5010,$A44,'Lançamentos'!$C$2:$C$5010,B$18)</f>
        <v/>
      </c>
      <c r="C44" s="9">
        <f>SUMIFS('Lançamentos'!$L$2:$L$5010,'Lançamentos'!$A$2:$A$5010,"Frete de venda",'Lançamentos'!$H$2:$H$5010,$A44,'Lançamentos'!$C$2:$C$5010,C$18)</f>
        <v/>
      </c>
      <c r="D44" s="9">
        <f>SUMIFS('Lançamentos'!$L$2:$L$5010,'Lançamentos'!$A$2:$A$5010,"Frete de venda",'Lançamentos'!$H$2:$H$5010,$A44,'Lançamentos'!$C$2:$C$5010,D$18)</f>
        <v/>
      </c>
      <c r="E44" s="9">
        <f>SUMIFS('Lançamentos'!$L$2:$L$5010,'Lançamentos'!$A$2:$A$5010,"Frete de venda",'Lançamentos'!$H$2:$H$5010,$A44,'Lançamentos'!$C$2:$C$5010,E$18)</f>
        <v/>
      </c>
      <c r="F44" s="9">
        <f>SUMIFS('Lançamentos'!$L$2:$L$5010,'Lançamentos'!$A$2:$A$5010,"Frete de venda",'Lançamentos'!$H$2:$H$5010,$A44,'Lançamentos'!$C$2:$C$5010,F$18)</f>
        <v/>
      </c>
      <c r="G44" s="9">
        <f>SUMIFS('Lançamentos'!$L$2:$L$5010,'Lançamentos'!$A$2:$A$5010,"Frete de venda",'Lançamentos'!$H$2:$H$5010,$A44,'Lançamentos'!$C$2:$C$5010,G$18)</f>
        <v/>
      </c>
      <c r="H44" s="9">
        <f>SUMIFS('Lançamentos'!$L$2:$L$5010,'Lançamentos'!$A$2:$A$5010,"Frete de venda",'Lançamentos'!$H$2:$H$5010,$A44,'Lançamentos'!$C$2:$C$5010,H$18)</f>
        <v/>
      </c>
      <c r="I44" s="9">
        <f>SUMIFS('Lançamentos'!$L$2:$L$5010,'Lançamentos'!$A$2:$A$5010,"Frete de venda",'Lançamentos'!$H$2:$H$5010,$A44,'Lançamentos'!$C$2:$C$5010,I$18)</f>
        <v/>
      </c>
      <c r="J44" s="9">
        <f>SUMIFS('Lançamentos'!$L$2:$L$5010,'Lançamentos'!$A$2:$A$5010,"Frete de venda",'Lançamentos'!$H$2:$H$5010,$A44,'Lançamentos'!$C$2:$C$5010,J$18)</f>
        <v/>
      </c>
      <c r="K44" s="9">
        <f>SUM(B44:J44)</f>
        <v/>
      </c>
      <c r="L44" s="10">
        <f>K44/K$55</f>
        <v/>
      </c>
      <c r="M44" s="9">
        <f>SUMIFS('Lançamentos'!$L$2:$L$5010,'Lançamentos'!$A$2:$A$5010,"Frete de venda",'Lançamentos'!$H$2:$H$5010,$A44,'Lançamentos'!$C$2:$C$5010,"Antes de 2026")</f>
        <v/>
      </c>
      <c r="N44" s="9">
        <f>SUMIFS('Lançamentos'!$J$2:$J$5010,'Lançamentos'!$A$2:$A$5010,"Frete de venda",'Lançamentos'!$H$2:$H$5010,$A44,'Lançamentos'!$D$2:$D$5010,"Em 2026")</f>
        <v/>
      </c>
      <c r="O44" s="9">
        <f>SUMIFS('Lançamentos'!$K$2:$K$5010,'Lançamentos'!$A$2:$A$5010,"Frete de venda",'Lançamentos'!$H$2:$H$5010,$A44,'Lançamentos'!$D$2:$D$5010,"Em 2026")</f>
        <v/>
      </c>
      <c r="P44" s="26">
        <f>COUNTIFS('Lançamentos'!$A$2:$A$5010,"Frete de venda",'Lançamentos'!$H$2:$H$5010,$A44,'Lançamentos'!$D$2:$D$5010,"Em 2026")</f>
        <v/>
      </c>
    </row>
    <row r="45">
      <c r="A45" t="inlineStr">
        <is>
          <t>REBECA EMÍLIA DA SILVA</t>
        </is>
      </c>
      <c r="B45" s="9">
        <f>SUMIFS('Lançamentos'!$L$2:$L$5010,'Lançamentos'!$A$2:$A$5010,"Frete de venda",'Lançamentos'!$H$2:$H$5010,$A45,'Lançamentos'!$C$2:$C$5010,B$18)</f>
        <v/>
      </c>
      <c r="C45" s="9">
        <f>SUMIFS('Lançamentos'!$L$2:$L$5010,'Lançamentos'!$A$2:$A$5010,"Frete de venda",'Lançamentos'!$H$2:$H$5010,$A45,'Lançamentos'!$C$2:$C$5010,C$18)</f>
        <v/>
      </c>
      <c r="D45" s="9">
        <f>SUMIFS('Lançamentos'!$L$2:$L$5010,'Lançamentos'!$A$2:$A$5010,"Frete de venda",'Lançamentos'!$H$2:$H$5010,$A45,'Lançamentos'!$C$2:$C$5010,D$18)</f>
        <v/>
      </c>
      <c r="E45" s="9">
        <f>SUMIFS('Lançamentos'!$L$2:$L$5010,'Lançamentos'!$A$2:$A$5010,"Frete de venda",'Lançamentos'!$H$2:$H$5010,$A45,'Lançamentos'!$C$2:$C$5010,E$18)</f>
        <v/>
      </c>
      <c r="F45" s="9">
        <f>SUMIFS('Lançamentos'!$L$2:$L$5010,'Lançamentos'!$A$2:$A$5010,"Frete de venda",'Lançamentos'!$H$2:$H$5010,$A45,'Lançamentos'!$C$2:$C$5010,F$18)</f>
        <v/>
      </c>
      <c r="G45" s="9">
        <f>SUMIFS('Lançamentos'!$L$2:$L$5010,'Lançamentos'!$A$2:$A$5010,"Frete de venda",'Lançamentos'!$H$2:$H$5010,$A45,'Lançamentos'!$C$2:$C$5010,G$18)</f>
        <v/>
      </c>
      <c r="H45" s="9">
        <f>SUMIFS('Lançamentos'!$L$2:$L$5010,'Lançamentos'!$A$2:$A$5010,"Frete de venda",'Lançamentos'!$H$2:$H$5010,$A45,'Lançamentos'!$C$2:$C$5010,H$18)</f>
        <v/>
      </c>
      <c r="I45" s="9">
        <f>SUMIFS('Lançamentos'!$L$2:$L$5010,'Lançamentos'!$A$2:$A$5010,"Frete de venda",'Lançamentos'!$H$2:$H$5010,$A45,'Lançamentos'!$C$2:$C$5010,I$18)</f>
        <v/>
      </c>
      <c r="J45" s="9">
        <f>SUMIFS('Lançamentos'!$L$2:$L$5010,'Lançamentos'!$A$2:$A$5010,"Frete de venda",'Lançamentos'!$H$2:$H$5010,$A45,'Lançamentos'!$C$2:$C$5010,J$18)</f>
        <v/>
      </c>
      <c r="K45" s="9">
        <f>SUM(B45:J45)</f>
        <v/>
      </c>
      <c r="L45" s="10">
        <f>K45/K$55</f>
        <v/>
      </c>
      <c r="M45" s="9">
        <f>SUMIFS('Lançamentos'!$L$2:$L$5010,'Lançamentos'!$A$2:$A$5010,"Frete de venda",'Lançamentos'!$H$2:$H$5010,$A45,'Lançamentos'!$C$2:$C$5010,"Antes de 2026")</f>
        <v/>
      </c>
      <c r="N45" s="9">
        <f>SUMIFS('Lançamentos'!$J$2:$J$5010,'Lançamentos'!$A$2:$A$5010,"Frete de venda",'Lançamentos'!$H$2:$H$5010,$A45,'Lançamentos'!$D$2:$D$5010,"Em 2026")</f>
        <v/>
      </c>
      <c r="O45" s="9">
        <f>SUMIFS('Lançamentos'!$K$2:$K$5010,'Lançamentos'!$A$2:$A$5010,"Frete de venda",'Lançamentos'!$H$2:$H$5010,$A45,'Lançamentos'!$D$2:$D$5010,"Em 2026")</f>
        <v/>
      </c>
      <c r="P45" s="26">
        <f>COUNTIFS('Lançamentos'!$A$2:$A$5010,"Frete de venda",'Lançamentos'!$H$2:$H$5010,$A45,'Lançamentos'!$D$2:$D$5010,"Em 2026")</f>
        <v/>
      </c>
    </row>
    <row r="46">
      <c r="A46" t="inlineStr">
        <is>
          <t>CARGO WAY TRANSPORTE E ARMAZENAGEM LTDA</t>
        </is>
      </c>
      <c r="B46" s="9">
        <f>SUMIFS('Lançamentos'!$L$2:$L$5010,'Lançamentos'!$A$2:$A$5010,"Frete de venda",'Lançamentos'!$H$2:$H$5010,$A46,'Lançamentos'!$C$2:$C$5010,B$18)</f>
        <v/>
      </c>
      <c r="C46" s="9">
        <f>SUMIFS('Lançamentos'!$L$2:$L$5010,'Lançamentos'!$A$2:$A$5010,"Frete de venda",'Lançamentos'!$H$2:$H$5010,$A46,'Lançamentos'!$C$2:$C$5010,C$18)</f>
        <v/>
      </c>
      <c r="D46" s="9">
        <f>SUMIFS('Lançamentos'!$L$2:$L$5010,'Lançamentos'!$A$2:$A$5010,"Frete de venda",'Lançamentos'!$H$2:$H$5010,$A46,'Lançamentos'!$C$2:$C$5010,D$18)</f>
        <v/>
      </c>
      <c r="E46" s="9">
        <f>SUMIFS('Lançamentos'!$L$2:$L$5010,'Lançamentos'!$A$2:$A$5010,"Frete de venda",'Lançamentos'!$H$2:$H$5010,$A46,'Lançamentos'!$C$2:$C$5010,E$18)</f>
        <v/>
      </c>
      <c r="F46" s="9">
        <f>SUMIFS('Lançamentos'!$L$2:$L$5010,'Lançamentos'!$A$2:$A$5010,"Frete de venda",'Lançamentos'!$H$2:$H$5010,$A46,'Lançamentos'!$C$2:$C$5010,F$18)</f>
        <v/>
      </c>
      <c r="G46" s="9">
        <f>SUMIFS('Lançamentos'!$L$2:$L$5010,'Lançamentos'!$A$2:$A$5010,"Frete de venda",'Lançamentos'!$H$2:$H$5010,$A46,'Lançamentos'!$C$2:$C$5010,G$18)</f>
        <v/>
      </c>
      <c r="H46" s="9">
        <f>SUMIFS('Lançamentos'!$L$2:$L$5010,'Lançamentos'!$A$2:$A$5010,"Frete de venda",'Lançamentos'!$H$2:$H$5010,$A46,'Lançamentos'!$C$2:$C$5010,H$18)</f>
        <v/>
      </c>
      <c r="I46" s="9">
        <f>SUMIFS('Lançamentos'!$L$2:$L$5010,'Lançamentos'!$A$2:$A$5010,"Frete de venda",'Lançamentos'!$H$2:$H$5010,$A46,'Lançamentos'!$C$2:$C$5010,I$18)</f>
        <v/>
      </c>
      <c r="J46" s="9">
        <f>SUMIFS('Lançamentos'!$L$2:$L$5010,'Lançamentos'!$A$2:$A$5010,"Frete de venda",'Lançamentos'!$H$2:$H$5010,$A46,'Lançamentos'!$C$2:$C$5010,J$18)</f>
        <v/>
      </c>
      <c r="K46" s="9">
        <f>SUM(B46:J46)</f>
        <v/>
      </c>
      <c r="L46" s="10">
        <f>K46/K$55</f>
        <v/>
      </c>
      <c r="M46" s="9">
        <f>SUMIFS('Lançamentos'!$L$2:$L$5010,'Lançamentos'!$A$2:$A$5010,"Frete de venda",'Lançamentos'!$H$2:$H$5010,$A46,'Lançamentos'!$C$2:$C$5010,"Antes de 2026")</f>
        <v/>
      </c>
      <c r="N46" s="9">
        <f>SUMIFS('Lançamentos'!$J$2:$J$5010,'Lançamentos'!$A$2:$A$5010,"Frete de venda",'Lançamentos'!$H$2:$H$5010,$A46,'Lançamentos'!$D$2:$D$5010,"Em 2026")</f>
        <v/>
      </c>
      <c r="O46" s="9">
        <f>SUMIFS('Lançamentos'!$K$2:$K$5010,'Lançamentos'!$A$2:$A$5010,"Frete de venda",'Lançamentos'!$H$2:$H$5010,$A46,'Lançamentos'!$D$2:$D$5010,"Em 2026")</f>
        <v/>
      </c>
      <c r="P46" s="26">
        <f>COUNTIFS('Lançamentos'!$A$2:$A$5010,"Frete de venda",'Lançamentos'!$H$2:$H$5010,$A46,'Lançamentos'!$D$2:$D$5010,"Em 2026")</f>
        <v/>
      </c>
    </row>
    <row r="47">
      <c r="A47" t="inlineStr">
        <is>
          <t>TRANSFARRAPOS TRANSPS RODOVS DE CARGAS LTDA</t>
        </is>
      </c>
      <c r="B47" s="9">
        <f>SUMIFS('Lançamentos'!$L$2:$L$5010,'Lançamentos'!$A$2:$A$5010,"Frete de venda",'Lançamentos'!$H$2:$H$5010,$A47,'Lançamentos'!$C$2:$C$5010,B$18)</f>
        <v/>
      </c>
      <c r="C47" s="9">
        <f>SUMIFS('Lançamentos'!$L$2:$L$5010,'Lançamentos'!$A$2:$A$5010,"Frete de venda",'Lançamentos'!$H$2:$H$5010,$A47,'Lançamentos'!$C$2:$C$5010,C$18)</f>
        <v/>
      </c>
      <c r="D47" s="9">
        <f>SUMIFS('Lançamentos'!$L$2:$L$5010,'Lançamentos'!$A$2:$A$5010,"Frete de venda",'Lançamentos'!$H$2:$H$5010,$A47,'Lançamentos'!$C$2:$C$5010,D$18)</f>
        <v/>
      </c>
      <c r="E47" s="9">
        <f>SUMIFS('Lançamentos'!$L$2:$L$5010,'Lançamentos'!$A$2:$A$5010,"Frete de venda",'Lançamentos'!$H$2:$H$5010,$A47,'Lançamentos'!$C$2:$C$5010,E$18)</f>
        <v/>
      </c>
      <c r="F47" s="9">
        <f>SUMIFS('Lançamentos'!$L$2:$L$5010,'Lançamentos'!$A$2:$A$5010,"Frete de venda",'Lançamentos'!$H$2:$H$5010,$A47,'Lançamentos'!$C$2:$C$5010,F$18)</f>
        <v/>
      </c>
      <c r="G47" s="9">
        <f>SUMIFS('Lançamentos'!$L$2:$L$5010,'Lançamentos'!$A$2:$A$5010,"Frete de venda",'Lançamentos'!$H$2:$H$5010,$A47,'Lançamentos'!$C$2:$C$5010,G$18)</f>
        <v/>
      </c>
      <c r="H47" s="9">
        <f>SUMIFS('Lançamentos'!$L$2:$L$5010,'Lançamentos'!$A$2:$A$5010,"Frete de venda",'Lançamentos'!$H$2:$H$5010,$A47,'Lançamentos'!$C$2:$C$5010,H$18)</f>
        <v/>
      </c>
      <c r="I47" s="9">
        <f>SUMIFS('Lançamentos'!$L$2:$L$5010,'Lançamentos'!$A$2:$A$5010,"Frete de venda",'Lançamentos'!$H$2:$H$5010,$A47,'Lançamentos'!$C$2:$C$5010,I$18)</f>
        <v/>
      </c>
      <c r="J47" s="9">
        <f>SUMIFS('Lançamentos'!$L$2:$L$5010,'Lançamentos'!$A$2:$A$5010,"Frete de venda",'Lançamentos'!$H$2:$H$5010,$A47,'Lançamentos'!$C$2:$C$5010,J$18)</f>
        <v/>
      </c>
      <c r="K47" s="9">
        <f>SUM(B47:J47)</f>
        <v/>
      </c>
      <c r="L47" s="10">
        <f>K47/K$55</f>
        <v/>
      </c>
      <c r="M47" s="9">
        <f>SUMIFS('Lançamentos'!$L$2:$L$5010,'Lançamentos'!$A$2:$A$5010,"Frete de venda",'Lançamentos'!$H$2:$H$5010,$A47,'Lançamentos'!$C$2:$C$5010,"Antes de 2026")</f>
        <v/>
      </c>
      <c r="N47" s="9">
        <f>SUMIFS('Lançamentos'!$J$2:$J$5010,'Lançamentos'!$A$2:$A$5010,"Frete de venda",'Lançamentos'!$H$2:$H$5010,$A47,'Lançamentos'!$D$2:$D$5010,"Em 2026")</f>
        <v/>
      </c>
      <c r="O47" s="9">
        <f>SUMIFS('Lançamentos'!$K$2:$K$5010,'Lançamentos'!$A$2:$A$5010,"Frete de venda",'Lançamentos'!$H$2:$H$5010,$A47,'Lançamentos'!$D$2:$D$5010,"Em 2026")</f>
        <v/>
      </c>
      <c r="P47" s="26">
        <f>COUNTIFS('Lançamentos'!$A$2:$A$5010,"Frete de venda",'Lançamentos'!$H$2:$H$5010,$A47,'Lançamentos'!$D$2:$D$5010,"Em 2026")</f>
        <v/>
      </c>
    </row>
    <row r="48">
      <c r="A48" t="inlineStr">
        <is>
          <t>GO TRANSPORTES E ENCOMENDAS LTDA</t>
        </is>
      </c>
      <c r="B48" s="9">
        <f>SUMIFS('Lançamentos'!$L$2:$L$5010,'Lançamentos'!$A$2:$A$5010,"Frete de venda",'Lançamentos'!$H$2:$H$5010,$A48,'Lançamentos'!$C$2:$C$5010,B$18)</f>
        <v/>
      </c>
      <c r="C48" s="9">
        <f>SUMIFS('Lançamentos'!$L$2:$L$5010,'Lançamentos'!$A$2:$A$5010,"Frete de venda",'Lançamentos'!$H$2:$H$5010,$A48,'Lançamentos'!$C$2:$C$5010,C$18)</f>
        <v/>
      </c>
      <c r="D48" s="9">
        <f>SUMIFS('Lançamentos'!$L$2:$L$5010,'Lançamentos'!$A$2:$A$5010,"Frete de venda",'Lançamentos'!$H$2:$H$5010,$A48,'Lançamentos'!$C$2:$C$5010,D$18)</f>
        <v/>
      </c>
      <c r="E48" s="9">
        <f>SUMIFS('Lançamentos'!$L$2:$L$5010,'Lançamentos'!$A$2:$A$5010,"Frete de venda",'Lançamentos'!$H$2:$H$5010,$A48,'Lançamentos'!$C$2:$C$5010,E$18)</f>
        <v/>
      </c>
      <c r="F48" s="9">
        <f>SUMIFS('Lançamentos'!$L$2:$L$5010,'Lançamentos'!$A$2:$A$5010,"Frete de venda",'Lançamentos'!$H$2:$H$5010,$A48,'Lançamentos'!$C$2:$C$5010,F$18)</f>
        <v/>
      </c>
      <c r="G48" s="9">
        <f>SUMIFS('Lançamentos'!$L$2:$L$5010,'Lançamentos'!$A$2:$A$5010,"Frete de venda",'Lançamentos'!$H$2:$H$5010,$A48,'Lançamentos'!$C$2:$C$5010,G$18)</f>
        <v/>
      </c>
      <c r="H48" s="9">
        <f>SUMIFS('Lançamentos'!$L$2:$L$5010,'Lançamentos'!$A$2:$A$5010,"Frete de venda",'Lançamentos'!$H$2:$H$5010,$A48,'Lançamentos'!$C$2:$C$5010,H$18)</f>
        <v/>
      </c>
      <c r="I48" s="9">
        <f>SUMIFS('Lançamentos'!$L$2:$L$5010,'Lançamentos'!$A$2:$A$5010,"Frete de venda",'Lançamentos'!$H$2:$H$5010,$A48,'Lançamentos'!$C$2:$C$5010,I$18)</f>
        <v/>
      </c>
      <c r="J48" s="9">
        <f>SUMIFS('Lançamentos'!$L$2:$L$5010,'Lançamentos'!$A$2:$A$5010,"Frete de venda",'Lançamentos'!$H$2:$H$5010,$A48,'Lançamentos'!$C$2:$C$5010,J$18)</f>
        <v/>
      </c>
      <c r="K48" s="9">
        <f>SUM(B48:J48)</f>
        <v/>
      </c>
      <c r="L48" s="10">
        <f>K48/K$55</f>
        <v/>
      </c>
      <c r="M48" s="9">
        <f>SUMIFS('Lançamentos'!$L$2:$L$5010,'Lançamentos'!$A$2:$A$5010,"Frete de venda",'Lançamentos'!$H$2:$H$5010,$A48,'Lançamentos'!$C$2:$C$5010,"Antes de 2026")</f>
        <v/>
      </c>
      <c r="N48" s="9">
        <f>SUMIFS('Lançamentos'!$J$2:$J$5010,'Lançamentos'!$A$2:$A$5010,"Frete de venda",'Lançamentos'!$H$2:$H$5010,$A48,'Lançamentos'!$D$2:$D$5010,"Em 2026")</f>
        <v/>
      </c>
      <c r="O48" s="9">
        <f>SUMIFS('Lançamentos'!$K$2:$K$5010,'Lançamentos'!$A$2:$A$5010,"Frete de venda",'Lançamentos'!$H$2:$H$5010,$A48,'Lançamentos'!$D$2:$D$5010,"Em 2026")</f>
        <v/>
      </c>
      <c r="P48" s="26">
        <f>COUNTIFS('Lançamentos'!$A$2:$A$5010,"Frete de venda",'Lançamentos'!$H$2:$H$5010,$A48,'Lançamentos'!$D$2:$D$5010,"Em 2026")</f>
        <v/>
      </c>
    </row>
    <row r="49">
      <c r="A49" t="inlineStr">
        <is>
          <t>RODAR TRANSPORTES LTDA</t>
        </is>
      </c>
      <c r="B49" s="9">
        <f>SUMIFS('Lançamentos'!$L$2:$L$5010,'Lançamentos'!$A$2:$A$5010,"Frete de venda",'Lançamentos'!$H$2:$H$5010,$A49,'Lançamentos'!$C$2:$C$5010,B$18)</f>
        <v/>
      </c>
      <c r="C49" s="9">
        <f>SUMIFS('Lançamentos'!$L$2:$L$5010,'Lançamentos'!$A$2:$A$5010,"Frete de venda",'Lançamentos'!$H$2:$H$5010,$A49,'Lançamentos'!$C$2:$C$5010,C$18)</f>
        <v/>
      </c>
      <c r="D49" s="9">
        <f>SUMIFS('Lançamentos'!$L$2:$L$5010,'Lançamentos'!$A$2:$A$5010,"Frete de venda",'Lançamentos'!$H$2:$H$5010,$A49,'Lançamentos'!$C$2:$C$5010,D$18)</f>
        <v/>
      </c>
      <c r="E49" s="9">
        <f>SUMIFS('Lançamentos'!$L$2:$L$5010,'Lançamentos'!$A$2:$A$5010,"Frete de venda",'Lançamentos'!$H$2:$H$5010,$A49,'Lançamentos'!$C$2:$C$5010,E$18)</f>
        <v/>
      </c>
      <c r="F49" s="9">
        <f>SUMIFS('Lançamentos'!$L$2:$L$5010,'Lançamentos'!$A$2:$A$5010,"Frete de venda",'Lançamentos'!$H$2:$H$5010,$A49,'Lançamentos'!$C$2:$C$5010,F$18)</f>
        <v/>
      </c>
      <c r="G49" s="9">
        <f>SUMIFS('Lançamentos'!$L$2:$L$5010,'Lançamentos'!$A$2:$A$5010,"Frete de venda",'Lançamentos'!$H$2:$H$5010,$A49,'Lançamentos'!$C$2:$C$5010,G$18)</f>
        <v/>
      </c>
      <c r="H49" s="9">
        <f>SUMIFS('Lançamentos'!$L$2:$L$5010,'Lançamentos'!$A$2:$A$5010,"Frete de venda",'Lançamentos'!$H$2:$H$5010,$A49,'Lançamentos'!$C$2:$C$5010,H$18)</f>
        <v/>
      </c>
      <c r="I49" s="9">
        <f>SUMIFS('Lançamentos'!$L$2:$L$5010,'Lançamentos'!$A$2:$A$5010,"Frete de venda",'Lançamentos'!$H$2:$H$5010,$A49,'Lançamentos'!$C$2:$C$5010,I$18)</f>
        <v/>
      </c>
      <c r="J49" s="9">
        <f>SUMIFS('Lançamentos'!$L$2:$L$5010,'Lançamentos'!$A$2:$A$5010,"Frete de venda",'Lançamentos'!$H$2:$H$5010,$A49,'Lançamentos'!$C$2:$C$5010,J$18)</f>
        <v/>
      </c>
      <c r="K49" s="9">
        <f>SUM(B49:J49)</f>
        <v/>
      </c>
      <c r="L49" s="10">
        <f>K49/K$55</f>
        <v/>
      </c>
      <c r="M49" s="9">
        <f>SUMIFS('Lançamentos'!$L$2:$L$5010,'Lançamentos'!$A$2:$A$5010,"Frete de venda",'Lançamentos'!$H$2:$H$5010,$A49,'Lançamentos'!$C$2:$C$5010,"Antes de 2026")</f>
        <v/>
      </c>
      <c r="N49" s="9">
        <f>SUMIFS('Lançamentos'!$J$2:$J$5010,'Lançamentos'!$A$2:$A$5010,"Frete de venda",'Lançamentos'!$H$2:$H$5010,$A49,'Lançamentos'!$D$2:$D$5010,"Em 2026")</f>
        <v/>
      </c>
      <c r="O49" s="9">
        <f>SUMIFS('Lançamentos'!$K$2:$K$5010,'Lançamentos'!$A$2:$A$5010,"Frete de venda",'Lançamentos'!$H$2:$H$5010,$A49,'Lançamentos'!$D$2:$D$5010,"Em 2026")</f>
        <v/>
      </c>
      <c r="P49" s="26">
        <f>COUNTIFS('Lançamentos'!$A$2:$A$5010,"Frete de venda",'Lançamentos'!$H$2:$H$5010,$A49,'Lançamentos'!$D$2:$D$5010,"Em 2026")</f>
        <v/>
      </c>
    </row>
    <row r="50">
      <c r="A50" t="inlineStr">
        <is>
          <t>PAJEU TRANSPORTES RODOVIARIOS DE CARGAS LTDA</t>
        </is>
      </c>
      <c r="B50" s="9">
        <f>SUMIFS('Lançamentos'!$L$2:$L$5010,'Lançamentos'!$A$2:$A$5010,"Frete de venda",'Lançamentos'!$H$2:$H$5010,$A50,'Lançamentos'!$C$2:$C$5010,B$18)</f>
        <v/>
      </c>
      <c r="C50" s="9">
        <f>SUMIFS('Lançamentos'!$L$2:$L$5010,'Lançamentos'!$A$2:$A$5010,"Frete de venda",'Lançamentos'!$H$2:$H$5010,$A50,'Lançamentos'!$C$2:$C$5010,C$18)</f>
        <v/>
      </c>
      <c r="D50" s="9">
        <f>SUMIFS('Lançamentos'!$L$2:$L$5010,'Lançamentos'!$A$2:$A$5010,"Frete de venda",'Lançamentos'!$H$2:$H$5010,$A50,'Lançamentos'!$C$2:$C$5010,D$18)</f>
        <v/>
      </c>
      <c r="E50" s="9">
        <f>SUMIFS('Lançamentos'!$L$2:$L$5010,'Lançamentos'!$A$2:$A$5010,"Frete de venda",'Lançamentos'!$H$2:$H$5010,$A50,'Lançamentos'!$C$2:$C$5010,E$18)</f>
        <v/>
      </c>
      <c r="F50" s="9">
        <f>SUMIFS('Lançamentos'!$L$2:$L$5010,'Lançamentos'!$A$2:$A$5010,"Frete de venda",'Lançamentos'!$H$2:$H$5010,$A50,'Lançamentos'!$C$2:$C$5010,F$18)</f>
        <v/>
      </c>
      <c r="G50" s="9">
        <f>SUMIFS('Lançamentos'!$L$2:$L$5010,'Lançamentos'!$A$2:$A$5010,"Frete de venda",'Lançamentos'!$H$2:$H$5010,$A50,'Lançamentos'!$C$2:$C$5010,G$18)</f>
        <v/>
      </c>
      <c r="H50" s="9">
        <f>SUMIFS('Lançamentos'!$L$2:$L$5010,'Lançamentos'!$A$2:$A$5010,"Frete de venda",'Lançamentos'!$H$2:$H$5010,$A50,'Lançamentos'!$C$2:$C$5010,H$18)</f>
        <v/>
      </c>
      <c r="I50" s="9">
        <f>SUMIFS('Lançamentos'!$L$2:$L$5010,'Lançamentos'!$A$2:$A$5010,"Frete de venda",'Lançamentos'!$H$2:$H$5010,$A50,'Lançamentos'!$C$2:$C$5010,I$18)</f>
        <v/>
      </c>
      <c r="J50" s="9">
        <f>SUMIFS('Lançamentos'!$L$2:$L$5010,'Lançamentos'!$A$2:$A$5010,"Frete de venda",'Lançamentos'!$H$2:$H$5010,$A50,'Lançamentos'!$C$2:$C$5010,J$18)</f>
        <v/>
      </c>
      <c r="K50" s="9">
        <f>SUM(B50:J50)</f>
        <v/>
      </c>
      <c r="L50" s="10">
        <f>K50/K$55</f>
        <v/>
      </c>
      <c r="M50" s="9">
        <f>SUMIFS('Lançamentos'!$L$2:$L$5010,'Lançamentos'!$A$2:$A$5010,"Frete de venda",'Lançamentos'!$H$2:$H$5010,$A50,'Lançamentos'!$C$2:$C$5010,"Antes de 2026")</f>
        <v/>
      </c>
      <c r="N50" s="9">
        <f>SUMIFS('Lançamentos'!$J$2:$J$5010,'Lançamentos'!$A$2:$A$5010,"Frete de venda",'Lançamentos'!$H$2:$H$5010,$A50,'Lançamentos'!$D$2:$D$5010,"Em 2026")</f>
        <v/>
      </c>
      <c r="O50" s="9">
        <f>SUMIFS('Lançamentos'!$K$2:$K$5010,'Lançamentos'!$A$2:$A$5010,"Frete de venda",'Lançamentos'!$H$2:$H$5010,$A50,'Lançamentos'!$D$2:$D$5010,"Em 2026")</f>
        <v/>
      </c>
      <c r="P50" s="26">
        <f>COUNTIFS('Lançamentos'!$A$2:$A$5010,"Frete de venda",'Lançamentos'!$H$2:$H$5010,$A50,'Lançamentos'!$D$2:$D$5010,"Em 2026")</f>
        <v/>
      </c>
    </row>
    <row r="51">
      <c r="A51" t="inlineStr">
        <is>
          <t>FF TRANSPORTES</t>
        </is>
      </c>
      <c r="B51" s="9">
        <f>SUMIFS('Lançamentos'!$L$2:$L$5010,'Lançamentos'!$A$2:$A$5010,"Frete de venda",'Lançamentos'!$H$2:$H$5010,$A51,'Lançamentos'!$C$2:$C$5010,B$18)</f>
        <v/>
      </c>
      <c r="C51" s="9">
        <f>SUMIFS('Lançamentos'!$L$2:$L$5010,'Lançamentos'!$A$2:$A$5010,"Frete de venda",'Lançamentos'!$H$2:$H$5010,$A51,'Lançamentos'!$C$2:$C$5010,C$18)</f>
        <v/>
      </c>
      <c r="D51" s="9">
        <f>SUMIFS('Lançamentos'!$L$2:$L$5010,'Lançamentos'!$A$2:$A$5010,"Frete de venda",'Lançamentos'!$H$2:$H$5010,$A51,'Lançamentos'!$C$2:$C$5010,D$18)</f>
        <v/>
      </c>
      <c r="E51" s="9">
        <f>SUMIFS('Lançamentos'!$L$2:$L$5010,'Lançamentos'!$A$2:$A$5010,"Frete de venda",'Lançamentos'!$H$2:$H$5010,$A51,'Lançamentos'!$C$2:$C$5010,E$18)</f>
        <v/>
      </c>
      <c r="F51" s="9">
        <f>SUMIFS('Lançamentos'!$L$2:$L$5010,'Lançamentos'!$A$2:$A$5010,"Frete de venda",'Lançamentos'!$H$2:$H$5010,$A51,'Lançamentos'!$C$2:$C$5010,F$18)</f>
        <v/>
      </c>
      <c r="G51" s="9">
        <f>SUMIFS('Lançamentos'!$L$2:$L$5010,'Lançamentos'!$A$2:$A$5010,"Frete de venda",'Lançamentos'!$H$2:$H$5010,$A51,'Lançamentos'!$C$2:$C$5010,G$18)</f>
        <v/>
      </c>
      <c r="H51" s="9">
        <f>SUMIFS('Lançamentos'!$L$2:$L$5010,'Lançamentos'!$A$2:$A$5010,"Frete de venda",'Lançamentos'!$H$2:$H$5010,$A51,'Lançamentos'!$C$2:$C$5010,H$18)</f>
        <v/>
      </c>
      <c r="I51" s="9">
        <f>SUMIFS('Lançamentos'!$L$2:$L$5010,'Lançamentos'!$A$2:$A$5010,"Frete de venda",'Lançamentos'!$H$2:$H$5010,$A51,'Lançamentos'!$C$2:$C$5010,I$18)</f>
        <v/>
      </c>
      <c r="J51" s="9">
        <f>SUMIFS('Lançamentos'!$L$2:$L$5010,'Lançamentos'!$A$2:$A$5010,"Frete de venda",'Lançamentos'!$H$2:$H$5010,$A51,'Lançamentos'!$C$2:$C$5010,J$18)</f>
        <v/>
      </c>
      <c r="K51" s="9">
        <f>SUM(B51:J51)</f>
        <v/>
      </c>
      <c r="L51" s="10">
        <f>K51/K$55</f>
        <v/>
      </c>
      <c r="M51" s="9">
        <f>SUMIFS('Lançamentos'!$L$2:$L$5010,'Lançamentos'!$A$2:$A$5010,"Frete de venda",'Lançamentos'!$H$2:$H$5010,$A51,'Lançamentos'!$C$2:$C$5010,"Antes de 2026")</f>
        <v/>
      </c>
      <c r="N51" s="9">
        <f>SUMIFS('Lançamentos'!$J$2:$J$5010,'Lançamentos'!$A$2:$A$5010,"Frete de venda",'Lançamentos'!$H$2:$H$5010,$A51,'Lançamentos'!$D$2:$D$5010,"Em 2026")</f>
        <v/>
      </c>
      <c r="O51" s="9">
        <f>SUMIFS('Lançamentos'!$K$2:$K$5010,'Lançamentos'!$A$2:$A$5010,"Frete de venda",'Lançamentos'!$H$2:$H$5010,$A51,'Lançamentos'!$D$2:$D$5010,"Em 2026")</f>
        <v/>
      </c>
      <c r="P51" s="26">
        <f>COUNTIFS('Lançamentos'!$A$2:$A$5010,"Frete de venda",'Lançamentos'!$H$2:$H$5010,$A51,'Lançamentos'!$D$2:$D$5010,"Em 2026")</f>
        <v/>
      </c>
    </row>
    <row r="52">
      <c r="A52" t="inlineStr">
        <is>
          <t>CAMPINENSE TRANSPORTE DE CARGAS LTDA</t>
        </is>
      </c>
      <c r="B52" s="9">
        <f>SUMIFS('Lançamentos'!$L$2:$L$5010,'Lançamentos'!$A$2:$A$5010,"Frete de venda",'Lançamentos'!$H$2:$H$5010,$A52,'Lançamentos'!$C$2:$C$5010,B$18)</f>
        <v/>
      </c>
      <c r="C52" s="9">
        <f>SUMIFS('Lançamentos'!$L$2:$L$5010,'Lançamentos'!$A$2:$A$5010,"Frete de venda",'Lançamentos'!$H$2:$H$5010,$A52,'Lançamentos'!$C$2:$C$5010,C$18)</f>
        <v/>
      </c>
      <c r="D52" s="9">
        <f>SUMIFS('Lançamentos'!$L$2:$L$5010,'Lançamentos'!$A$2:$A$5010,"Frete de venda",'Lançamentos'!$H$2:$H$5010,$A52,'Lançamentos'!$C$2:$C$5010,D$18)</f>
        <v/>
      </c>
      <c r="E52" s="9">
        <f>SUMIFS('Lançamentos'!$L$2:$L$5010,'Lançamentos'!$A$2:$A$5010,"Frete de venda",'Lançamentos'!$H$2:$H$5010,$A52,'Lançamentos'!$C$2:$C$5010,E$18)</f>
        <v/>
      </c>
      <c r="F52" s="9">
        <f>SUMIFS('Lançamentos'!$L$2:$L$5010,'Lançamentos'!$A$2:$A$5010,"Frete de venda",'Lançamentos'!$H$2:$H$5010,$A52,'Lançamentos'!$C$2:$C$5010,F$18)</f>
        <v/>
      </c>
      <c r="G52" s="9">
        <f>SUMIFS('Lançamentos'!$L$2:$L$5010,'Lançamentos'!$A$2:$A$5010,"Frete de venda",'Lançamentos'!$H$2:$H$5010,$A52,'Lançamentos'!$C$2:$C$5010,G$18)</f>
        <v/>
      </c>
      <c r="H52" s="9">
        <f>SUMIFS('Lançamentos'!$L$2:$L$5010,'Lançamentos'!$A$2:$A$5010,"Frete de venda",'Lançamentos'!$H$2:$H$5010,$A52,'Lançamentos'!$C$2:$C$5010,H$18)</f>
        <v/>
      </c>
      <c r="I52" s="9">
        <f>SUMIFS('Lançamentos'!$L$2:$L$5010,'Lançamentos'!$A$2:$A$5010,"Frete de venda",'Lançamentos'!$H$2:$H$5010,$A52,'Lançamentos'!$C$2:$C$5010,I$18)</f>
        <v/>
      </c>
      <c r="J52" s="9">
        <f>SUMIFS('Lançamentos'!$L$2:$L$5010,'Lançamentos'!$A$2:$A$5010,"Frete de venda",'Lançamentos'!$H$2:$H$5010,$A52,'Lançamentos'!$C$2:$C$5010,J$18)</f>
        <v/>
      </c>
      <c r="K52" s="9">
        <f>SUM(B52:J52)</f>
        <v/>
      </c>
      <c r="L52" s="10">
        <f>K52/K$55</f>
        <v/>
      </c>
      <c r="M52" s="9">
        <f>SUMIFS('Lançamentos'!$L$2:$L$5010,'Lançamentos'!$A$2:$A$5010,"Frete de venda",'Lançamentos'!$H$2:$H$5010,$A52,'Lançamentos'!$C$2:$C$5010,"Antes de 2026")</f>
        <v/>
      </c>
      <c r="N52" s="9">
        <f>SUMIFS('Lançamentos'!$J$2:$J$5010,'Lançamentos'!$A$2:$A$5010,"Frete de venda",'Lançamentos'!$H$2:$H$5010,$A52,'Lançamentos'!$D$2:$D$5010,"Em 2026")</f>
        <v/>
      </c>
      <c r="O52" s="9">
        <f>SUMIFS('Lançamentos'!$K$2:$K$5010,'Lançamentos'!$A$2:$A$5010,"Frete de venda",'Lançamentos'!$H$2:$H$5010,$A52,'Lançamentos'!$D$2:$D$5010,"Em 2026")</f>
        <v/>
      </c>
      <c r="P52" s="26">
        <f>COUNTIFS('Lançamentos'!$A$2:$A$5010,"Frete de venda",'Lançamentos'!$H$2:$H$5010,$A52,'Lançamentos'!$D$2:$D$5010,"Em 2026")</f>
        <v/>
      </c>
    </row>
    <row r="53">
      <c r="A53" t="inlineStr">
        <is>
          <t>DR LOG TRANSPORTE DE CARGAS LTDA</t>
        </is>
      </c>
      <c r="B53" s="9">
        <f>SUMIFS('Lançamentos'!$L$2:$L$5010,'Lançamentos'!$A$2:$A$5010,"Frete de venda",'Lançamentos'!$H$2:$H$5010,$A53,'Lançamentos'!$C$2:$C$5010,B$18)</f>
        <v/>
      </c>
      <c r="C53" s="9">
        <f>SUMIFS('Lançamentos'!$L$2:$L$5010,'Lançamentos'!$A$2:$A$5010,"Frete de venda",'Lançamentos'!$H$2:$H$5010,$A53,'Lançamentos'!$C$2:$C$5010,C$18)</f>
        <v/>
      </c>
      <c r="D53" s="9">
        <f>SUMIFS('Lançamentos'!$L$2:$L$5010,'Lançamentos'!$A$2:$A$5010,"Frete de venda",'Lançamentos'!$H$2:$H$5010,$A53,'Lançamentos'!$C$2:$C$5010,D$18)</f>
        <v/>
      </c>
      <c r="E53" s="9">
        <f>SUMIFS('Lançamentos'!$L$2:$L$5010,'Lançamentos'!$A$2:$A$5010,"Frete de venda",'Lançamentos'!$H$2:$H$5010,$A53,'Lançamentos'!$C$2:$C$5010,E$18)</f>
        <v/>
      </c>
      <c r="F53" s="9">
        <f>SUMIFS('Lançamentos'!$L$2:$L$5010,'Lançamentos'!$A$2:$A$5010,"Frete de venda",'Lançamentos'!$H$2:$H$5010,$A53,'Lançamentos'!$C$2:$C$5010,F$18)</f>
        <v/>
      </c>
      <c r="G53" s="9">
        <f>SUMIFS('Lançamentos'!$L$2:$L$5010,'Lançamentos'!$A$2:$A$5010,"Frete de venda",'Lançamentos'!$H$2:$H$5010,$A53,'Lançamentos'!$C$2:$C$5010,G$18)</f>
        <v/>
      </c>
      <c r="H53" s="9">
        <f>SUMIFS('Lançamentos'!$L$2:$L$5010,'Lançamentos'!$A$2:$A$5010,"Frete de venda",'Lançamentos'!$H$2:$H$5010,$A53,'Lançamentos'!$C$2:$C$5010,H$18)</f>
        <v/>
      </c>
      <c r="I53" s="9">
        <f>SUMIFS('Lançamentos'!$L$2:$L$5010,'Lançamentos'!$A$2:$A$5010,"Frete de venda",'Lançamentos'!$H$2:$H$5010,$A53,'Lançamentos'!$C$2:$C$5010,I$18)</f>
        <v/>
      </c>
      <c r="J53" s="9">
        <f>SUMIFS('Lançamentos'!$L$2:$L$5010,'Lançamentos'!$A$2:$A$5010,"Frete de venda",'Lançamentos'!$H$2:$H$5010,$A53,'Lançamentos'!$C$2:$C$5010,J$18)</f>
        <v/>
      </c>
      <c r="K53" s="9">
        <f>SUM(B53:J53)</f>
        <v/>
      </c>
      <c r="L53" s="10">
        <f>K53/K$55</f>
        <v/>
      </c>
      <c r="M53" s="9">
        <f>SUMIFS('Lançamentos'!$L$2:$L$5010,'Lançamentos'!$A$2:$A$5010,"Frete de venda",'Lançamentos'!$H$2:$H$5010,$A53,'Lançamentos'!$C$2:$C$5010,"Antes de 2026")</f>
        <v/>
      </c>
      <c r="N53" s="9">
        <f>SUMIFS('Lançamentos'!$J$2:$J$5010,'Lançamentos'!$A$2:$A$5010,"Frete de venda",'Lançamentos'!$H$2:$H$5010,$A53,'Lançamentos'!$D$2:$D$5010,"Em 2026")</f>
        <v/>
      </c>
      <c r="O53" s="9">
        <f>SUMIFS('Lançamentos'!$K$2:$K$5010,'Lançamentos'!$A$2:$A$5010,"Frete de venda",'Lançamentos'!$H$2:$H$5010,$A53,'Lançamentos'!$D$2:$D$5010,"Em 2026")</f>
        <v/>
      </c>
      <c r="P53" s="26">
        <f>COUNTIFS('Lançamentos'!$A$2:$A$5010,"Frete de venda",'Lançamentos'!$H$2:$H$5010,$A53,'Lançamentos'!$D$2:$D$5010,"Em 2026")</f>
        <v/>
      </c>
    </row>
    <row r="54">
      <c r="A54" t="inlineStr">
        <is>
          <t>A D A CARVALHO - TRANSPORTES FILIAL CE</t>
        </is>
      </c>
      <c r="B54" s="9">
        <f>SUMIFS('Lançamentos'!$L$2:$L$5010,'Lançamentos'!$A$2:$A$5010,"Frete de venda",'Lançamentos'!$H$2:$H$5010,$A54,'Lançamentos'!$C$2:$C$5010,B$18)</f>
        <v/>
      </c>
      <c r="C54" s="9">
        <f>SUMIFS('Lançamentos'!$L$2:$L$5010,'Lançamentos'!$A$2:$A$5010,"Frete de venda",'Lançamentos'!$H$2:$H$5010,$A54,'Lançamentos'!$C$2:$C$5010,C$18)</f>
        <v/>
      </c>
      <c r="D54" s="9">
        <f>SUMIFS('Lançamentos'!$L$2:$L$5010,'Lançamentos'!$A$2:$A$5010,"Frete de venda",'Lançamentos'!$H$2:$H$5010,$A54,'Lançamentos'!$C$2:$C$5010,D$18)</f>
        <v/>
      </c>
      <c r="E54" s="9">
        <f>SUMIFS('Lançamentos'!$L$2:$L$5010,'Lançamentos'!$A$2:$A$5010,"Frete de venda",'Lançamentos'!$H$2:$H$5010,$A54,'Lançamentos'!$C$2:$C$5010,E$18)</f>
        <v/>
      </c>
      <c r="F54" s="9">
        <f>SUMIFS('Lançamentos'!$L$2:$L$5010,'Lançamentos'!$A$2:$A$5010,"Frete de venda",'Lançamentos'!$H$2:$H$5010,$A54,'Lançamentos'!$C$2:$C$5010,F$18)</f>
        <v/>
      </c>
      <c r="G54" s="9">
        <f>SUMIFS('Lançamentos'!$L$2:$L$5010,'Lançamentos'!$A$2:$A$5010,"Frete de venda",'Lançamentos'!$H$2:$H$5010,$A54,'Lançamentos'!$C$2:$C$5010,G$18)</f>
        <v/>
      </c>
      <c r="H54" s="9">
        <f>SUMIFS('Lançamentos'!$L$2:$L$5010,'Lançamentos'!$A$2:$A$5010,"Frete de venda",'Lançamentos'!$H$2:$H$5010,$A54,'Lançamentos'!$C$2:$C$5010,H$18)</f>
        <v/>
      </c>
      <c r="I54" s="9">
        <f>SUMIFS('Lançamentos'!$L$2:$L$5010,'Lançamentos'!$A$2:$A$5010,"Frete de venda",'Lançamentos'!$H$2:$H$5010,$A54,'Lançamentos'!$C$2:$C$5010,I$18)</f>
        <v/>
      </c>
      <c r="J54" s="9">
        <f>SUMIFS('Lançamentos'!$L$2:$L$5010,'Lançamentos'!$A$2:$A$5010,"Frete de venda",'Lançamentos'!$H$2:$H$5010,$A54,'Lançamentos'!$C$2:$C$5010,J$18)</f>
        <v/>
      </c>
      <c r="K54" s="9">
        <f>SUM(B54:J54)</f>
        <v/>
      </c>
      <c r="L54" s="10">
        <f>K54/K$55</f>
        <v/>
      </c>
      <c r="M54" s="9">
        <f>SUMIFS('Lançamentos'!$L$2:$L$5010,'Lançamentos'!$A$2:$A$5010,"Frete de venda",'Lançamentos'!$H$2:$H$5010,$A54,'Lançamentos'!$C$2:$C$5010,"Antes de 2026")</f>
        <v/>
      </c>
      <c r="N54" s="9">
        <f>SUMIFS('Lançamentos'!$J$2:$J$5010,'Lançamentos'!$A$2:$A$5010,"Frete de venda",'Lançamentos'!$H$2:$H$5010,$A54,'Lançamentos'!$D$2:$D$5010,"Em 2026")</f>
        <v/>
      </c>
      <c r="O54" s="9">
        <f>SUMIFS('Lançamentos'!$K$2:$K$5010,'Lançamentos'!$A$2:$A$5010,"Frete de venda",'Lançamentos'!$H$2:$H$5010,$A54,'Lançamentos'!$D$2:$D$5010,"Em 2026")</f>
        <v/>
      </c>
      <c r="P54" s="26">
        <f>COUNTIFS('Lançamentos'!$A$2:$A$5010,"Frete de venda",'Lançamentos'!$H$2:$H$5010,$A54,'Lançamentos'!$D$2:$D$5010,"Em 2026")</f>
        <v/>
      </c>
    </row>
    <row r="55">
      <c r="A55" s="11" t="inlineStr">
        <is>
          <t>TOTAL FRETE DE VENDA</t>
        </is>
      </c>
      <c r="B55" s="13">
        <f>SUM(B19:B54)</f>
        <v/>
      </c>
      <c r="C55" s="13">
        <f>SUM(C19:C54)</f>
        <v/>
      </c>
      <c r="D55" s="13">
        <f>SUM(D19:D54)</f>
        <v/>
      </c>
      <c r="E55" s="13">
        <f>SUM(E19:E54)</f>
        <v/>
      </c>
      <c r="F55" s="13">
        <f>SUM(F19:F54)</f>
        <v/>
      </c>
      <c r="G55" s="13">
        <f>SUM(G19:G54)</f>
        <v/>
      </c>
      <c r="H55" s="13">
        <f>SUM(H19:H54)</f>
        <v/>
      </c>
      <c r="I55" s="13">
        <f>SUM(I19:I54)</f>
        <v/>
      </c>
      <c r="J55" s="13">
        <f>SUM(J19:J54)</f>
        <v/>
      </c>
      <c r="K55" s="13">
        <f>SUM(K19:K54)</f>
        <v/>
      </c>
      <c r="L55" s="14">
        <f>K55/K$55</f>
        <v/>
      </c>
      <c r="M55" s="13">
        <f>SUM(M19:M54)</f>
        <v/>
      </c>
      <c r="N55" s="13">
        <f>SUM(N19:N54)</f>
        <v/>
      </c>
      <c r="O55" s="13">
        <f>SUM(O19:O54)</f>
        <v/>
      </c>
      <c r="P55" s="27">
        <f>SUM(P19:P54)</f>
        <v/>
      </c>
    </row>
    <row r="56">
      <c r="A56" t="inlineStr">
        <is>
          <t>Conferência: total por fornecedor − total por subcategoria (deve ser zero)</t>
        </is>
      </c>
      <c r="B56" s="9">
        <f>ROUND(B55-B11,2)</f>
        <v/>
      </c>
      <c r="C56" s="9">
        <f>ROUND(C55-C11,2)</f>
        <v/>
      </c>
      <c r="D56" s="9">
        <f>ROUND(D55-D11,2)</f>
        <v/>
      </c>
      <c r="E56" s="9">
        <f>ROUND(E55-E11,2)</f>
        <v/>
      </c>
      <c r="F56" s="9">
        <f>ROUND(F55-F11,2)</f>
        <v/>
      </c>
      <c r="G56" s="9">
        <f>ROUND(G55-G11,2)</f>
        <v/>
      </c>
      <c r="H56" s="9">
        <f>ROUND(H55-H11,2)</f>
        <v/>
      </c>
      <c r="I56" s="9">
        <f>ROUND(I55-I11,2)</f>
        <v/>
      </c>
      <c r="J56" s="9">
        <f>ROUND(J55-J11,2)</f>
        <v/>
      </c>
      <c r="K56" s="9">
        <f>ROUND(K55-K11,2)</f>
        <v/>
      </c>
      <c r="L56" s="10" t="n"/>
      <c r="M56" s="9">
        <f>ROUND(M55-M11,2)</f>
        <v/>
      </c>
      <c r="N56" s="9" t="n"/>
      <c r="O56" s="9" t="n"/>
      <c r="P56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7" t="inlineStr">
        <is>
          <t>Outras despesas pagas – 2026 (VINCO)</t>
        </is>
      </c>
    </row>
    <row r="2">
      <c r="A2" t="inlineStr">
        <is>
          <t>Pagos que não são almoxarifado nem frete: imobilizado, manutenção, sede, brindes, combustível e aluguel de contêiner (UNIAO MULTIMODAL – não é frete). Sem crédito modelado.</t>
        </is>
      </c>
    </row>
    <row r="4">
      <c r="A4" s="4" t="inlineStr">
        <is>
          <t>Subcategoria (categoria do Omie)</t>
        </is>
      </c>
      <c r="B4" s="18" t="n">
        <v>46023</v>
      </c>
      <c r="C4" s="18" t="n">
        <v>46054</v>
      </c>
      <c r="D4" s="18" t="n">
        <v>46082</v>
      </c>
      <c r="E4" s="18" t="n">
        <v>46113</v>
      </c>
      <c r="F4" s="18" t="n">
        <v>46143</v>
      </c>
      <c r="G4" s="18" t="n">
        <v>46174</v>
      </c>
      <c r="H4" s="18" t="n">
        <v>46204</v>
      </c>
      <c r="I4" s="18" t="n">
        <v>46235</v>
      </c>
      <c r="J4" s="18" t="n">
        <v>46266</v>
      </c>
      <c r="K4" s="5" t="inlineStr">
        <is>
          <t>Total 2026</t>
        </is>
      </c>
      <c r="L4" s="5" t="inlineStr">
        <is>
          <t>% do total</t>
        </is>
      </c>
      <c r="M4" s="5" t="inlineStr">
        <is>
          <t>Memo: antes de 2026</t>
        </is>
      </c>
    </row>
    <row r="5">
      <c r="A5" s="25" t="inlineStr">
        <is>
          <t>Aluguel de contêiner</t>
        </is>
      </c>
      <c r="B5" s="9">
        <f>SUMIFS('Lançamentos'!$L$2:$L$5010,'Lançamentos'!$A$2:$A$5010,"Outras despesas pagas",'Lançamentos'!$B$2:$B$5010,$A5,'Lançamentos'!$C$2:$C$5010,B$4)</f>
        <v/>
      </c>
      <c r="C5" s="9">
        <f>SUMIFS('Lançamentos'!$L$2:$L$5010,'Lançamentos'!$A$2:$A$5010,"Outras despesas pagas",'Lançamentos'!$B$2:$B$5010,$A5,'Lançamentos'!$C$2:$C$5010,C$4)</f>
        <v/>
      </c>
      <c r="D5" s="9">
        <f>SUMIFS('Lançamentos'!$L$2:$L$5010,'Lançamentos'!$A$2:$A$5010,"Outras despesas pagas",'Lançamentos'!$B$2:$B$5010,$A5,'Lançamentos'!$C$2:$C$5010,D$4)</f>
        <v/>
      </c>
      <c r="E5" s="9">
        <f>SUMIFS('Lançamentos'!$L$2:$L$5010,'Lançamentos'!$A$2:$A$5010,"Outras despesas pagas",'Lançamentos'!$B$2:$B$5010,$A5,'Lançamentos'!$C$2:$C$5010,E$4)</f>
        <v/>
      </c>
      <c r="F5" s="9">
        <f>SUMIFS('Lançamentos'!$L$2:$L$5010,'Lançamentos'!$A$2:$A$5010,"Outras despesas pagas",'Lançamentos'!$B$2:$B$5010,$A5,'Lançamentos'!$C$2:$C$5010,F$4)</f>
        <v/>
      </c>
      <c r="G5" s="9">
        <f>SUMIFS('Lançamentos'!$L$2:$L$5010,'Lançamentos'!$A$2:$A$5010,"Outras despesas pagas",'Lançamentos'!$B$2:$B$5010,$A5,'Lançamentos'!$C$2:$C$5010,G$4)</f>
        <v/>
      </c>
      <c r="H5" s="9">
        <f>SUMIFS('Lançamentos'!$L$2:$L$5010,'Lançamentos'!$A$2:$A$5010,"Outras despesas pagas",'Lançamentos'!$B$2:$B$5010,$A5,'Lançamentos'!$C$2:$C$5010,H$4)</f>
        <v/>
      </c>
      <c r="I5" s="9">
        <f>SUMIFS('Lançamentos'!$L$2:$L$5010,'Lançamentos'!$A$2:$A$5010,"Outras despesas pagas",'Lançamentos'!$B$2:$B$5010,$A5,'Lançamentos'!$C$2:$C$5010,I$4)</f>
        <v/>
      </c>
      <c r="J5" s="9">
        <f>SUMIFS('Lançamentos'!$L$2:$L$5010,'Lançamentos'!$A$2:$A$5010,"Outras despesas pagas",'Lançamentos'!$B$2:$B$5010,$A5,'Lançamentos'!$C$2:$C$5010,J$4)</f>
        <v/>
      </c>
      <c r="K5" s="9">
        <f>SUM(B5:J5)</f>
        <v/>
      </c>
      <c r="L5" s="10">
        <f>K5/K$12</f>
        <v/>
      </c>
      <c r="M5" s="9">
        <f>SUMIFS('Lançamentos'!$L$2:$L$5010,'Lançamentos'!$A$2:$A$5010,"Outras despesas pagas",'Lançamentos'!$B$2:$B$5010,$A5,'Lançamentos'!$C$2:$C$5010,"Antes de 2026")</f>
        <v/>
      </c>
      <c r="N5" s="9" t="n"/>
      <c r="O5" s="9" t="n"/>
      <c r="P5" s="26" t="n"/>
    </row>
    <row r="6">
      <c r="A6" s="25" t="inlineStr">
        <is>
          <t>Brindes, premiações e marketing</t>
        </is>
      </c>
      <c r="B6" s="9">
        <f>SUMIFS('Lançamentos'!$L$2:$L$5010,'Lançamentos'!$A$2:$A$5010,"Outras despesas pagas",'Lançamentos'!$B$2:$B$5010,$A6,'Lançamentos'!$C$2:$C$5010,B$4)</f>
        <v/>
      </c>
      <c r="C6" s="9">
        <f>SUMIFS('Lançamentos'!$L$2:$L$5010,'Lançamentos'!$A$2:$A$5010,"Outras despesas pagas",'Lançamentos'!$B$2:$B$5010,$A6,'Lançamentos'!$C$2:$C$5010,C$4)</f>
        <v/>
      </c>
      <c r="D6" s="9">
        <f>SUMIFS('Lançamentos'!$L$2:$L$5010,'Lançamentos'!$A$2:$A$5010,"Outras despesas pagas",'Lançamentos'!$B$2:$B$5010,$A6,'Lançamentos'!$C$2:$C$5010,D$4)</f>
        <v/>
      </c>
      <c r="E6" s="9">
        <f>SUMIFS('Lançamentos'!$L$2:$L$5010,'Lançamentos'!$A$2:$A$5010,"Outras despesas pagas",'Lançamentos'!$B$2:$B$5010,$A6,'Lançamentos'!$C$2:$C$5010,E$4)</f>
        <v/>
      </c>
      <c r="F6" s="9">
        <f>SUMIFS('Lançamentos'!$L$2:$L$5010,'Lançamentos'!$A$2:$A$5010,"Outras despesas pagas",'Lançamentos'!$B$2:$B$5010,$A6,'Lançamentos'!$C$2:$C$5010,F$4)</f>
        <v/>
      </c>
      <c r="G6" s="9">
        <f>SUMIFS('Lançamentos'!$L$2:$L$5010,'Lançamentos'!$A$2:$A$5010,"Outras despesas pagas",'Lançamentos'!$B$2:$B$5010,$A6,'Lançamentos'!$C$2:$C$5010,G$4)</f>
        <v/>
      </c>
      <c r="H6" s="9">
        <f>SUMIFS('Lançamentos'!$L$2:$L$5010,'Lançamentos'!$A$2:$A$5010,"Outras despesas pagas",'Lançamentos'!$B$2:$B$5010,$A6,'Lançamentos'!$C$2:$C$5010,H$4)</f>
        <v/>
      </c>
      <c r="I6" s="9">
        <f>SUMIFS('Lançamentos'!$L$2:$L$5010,'Lançamentos'!$A$2:$A$5010,"Outras despesas pagas",'Lançamentos'!$B$2:$B$5010,$A6,'Lançamentos'!$C$2:$C$5010,I$4)</f>
        <v/>
      </c>
      <c r="J6" s="9">
        <f>SUMIFS('Lançamentos'!$L$2:$L$5010,'Lançamentos'!$A$2:$A$5010,"Outras despesas pagas",'Lançamentos'!$B$2:$B$5010,$A6,'Lançamentos'!$C$2:$C$5010,J$4)</f>
        <v/>
      </c>
      <c r="K6" s="9">
        <f>SUM(B6:J6)</f>
        <v/>
      </c>
      <c r="L6" s="10">
        <f>K6/K$12</f>
        <v/>
      </c>
      <c r="M6" s="9">
        <f>SUMIFS('Lançamentos'!$L$2:$L$5010,'Lançamentos'!$A$2:$A$5010,"Outras despesas pagas",'Lançamentos'!$B$2:$B$5010,$A6,'Lançamentos'!$C$2:$C$5010,"Antes de 2026")</f>
        <v/>
      </c>
      <c r="N6" s="9" t="n"/>
      <c r="O6" s="9" t="n"/>
      <c r="P6" s="26" t="n"/>
    </row>
    <row r="7">
      <c r="A7" s="25" t="inlineStr">
        <is>
          <t>Combustível</t>
        </is>
      </c>
      <c r="B7" s="9">
        <f>SUMIFS('Lançamentos'!$L$2:$L$5010,'Lançamentos'!$A$2:$A$5010,"Outras despesas pagas",'Lançamentos'!$B$2:$B$5010,$A7,'Lançamentos'!$C$2:$C$5010,B$4)</f>
        <v/>
      </c>
      <c r="C7" s="9">
        <f>SUMIFS('Lançamentos'!$L$2:$L$5010,'Lançamentos'!$A$2:$A$5010,"Outras despesas pagas",'Lançamentos'!$B$2:$B$5010,$A7,'Lançamentos'!$C$2:$C$5010,C$4)</f>
        <v/>
      </c>
      <c r="D7" s="9">
        <f>SUMIFS('Lançamentos'!$L$2:$L$5010,'Lançamentos'!$A$2:$A$5010,"Outras despesas pagas",'Lançamentos'!$B$2:$B$5010,$A7,'Lançamentos'!$C$2:$C$5010,D$4)</f>
        <v/>
      </c>
      <c r="E7" s="9">
        <f>SUMIFS('Lançamentos'!$L$2:$L$5010,'Lançamentos'!$A$2:$A$5010,"Outras despesas pagas",'Lançamentos'!$B$2:$B$5010,$A7,'Lançamentos'!$C$2:$C$5010,E$4)</f>
        <v/>
      </c>
      <c r="F7" s="9">
        <f>SUMIFS('Lançamentos'!$L$2:$L$5010,'Lançamentos'!$A$2:$A$5010,"Outras despesas pagas",'Lançamentos'!$B$2:$B$5010,$A7,'Lançamentos'!$C$2:$C$5010,F$4)</f>
        <v/>
      </c>
      <c r="G7" s="9">
        <f>SUMIFS('Lançamentos'!$L$2:$L$5010,'Lançamentos'!$A$2:$A$5010,"Outras despesas pagas",'Lançamentos'!$B$2:$B$5010,$A7,'Lançamentos'!$C$2:$C$5010,G$4)</f>
        <v/>
      </c>
      <c r="H7" s="9">
        <f>SUMIFS('Lançamentos'!$L$2:$L$5010,'Lançamentos'!$A$2:$A$5010,"Outras despesas pagas",'Lançamentos'!$B$2:$B$5010,$A7,'Lançamentos'!$C$2:$C$5010,H$4)</f>
        <v/>
      </c>
      <c r="I7" s="9">
        <f>SUMIFS('Lançamentos'!$L$2:$L$5010,'Lançamentos'!$A$2:$A$5010,"Outras despesas pagas",'Lançamentos'!$B$2:$B$5010,$A7,'Lançamentos'!$C$2:$C$5010,I$4)</f>
        <v/>
      </c>
      <c r="J7" s="9">
        <f>SUMIFS('Lançamentos'!$L$2:$L$5010,'Lançamentos'!$A$2:$A$5010,"Outras despesas pagas",'Lançamentos'!$B$2:$B$5010,$A7,'Lançamentos'!$C$2:$C$5010,J$4)</f>
        <v/>
      </c>
      <c r="K7" s="9">
        <f>SUM(B7:J7)</f>
        <v/>
      </c>
      <c r="L7" s="10">
        <f>K7/K$12</f>
        <v/>
      </c>
      <c r="M7" s="9">
        <f>SUMIFS('Lançamentos'!$L$2:$L$5010,'Lançamentos'!$A$2:$A$5010,"Outras despesas pagas",'Lançamentos'!$B$2:$B$5010,$A7,'Lançamentos'!$C$2:$C$5010,"Antes de 2026")</f>
        <v/>
      </c>
      <c r="N7" s="9" t="n"/>
      <c r="O7" s="9" t="n"/>
      <c r="P7" s="26" t="n"/>
    </row>
    <row r="8">
      <c r="A8" s="25" t="inlineStr">
        <is>
          <t>Imobilizado</t>
        </is>
      </c>
      <c r="B8" s="9">
        <f>SUMIFS('Lançamentos'!$L$2:$L$5010,'Lançamentos'!$A$2:$A$5010,"Outras despesas pagas",'Lançamentos'!$B$2:$B$5010,$A8,'Lançamentos'!$C$2:$C$5010,B$4)</f>
        <v/>
      </c>
      <c r="C8" s="9">
        <f>SUMIFS('Lançamentos'!$L$2:$L$5010,'Lançamentos'!$A$2:$A$5010,"Outras despesas pagas",'Lançamentos'!$B$2:$B$5010,$A8,'Lançamentos'!$C$2:$C$5010,C$4)</f>
        <v/>
      </c>
      <c r="D8" s="9">
        <f>SUMIFS('Lançamentos'!$L$2:$L$5010,'Lançamentos'!$A$2:$A$5010,"Outras despesas pagas",'Lançamentos'!$B$2:$B$5010,$A8,'Lançamentos'!$C$2:$C$5010,D$4)</f>
        <v/>
      </c>
      <c r="E8" s="9">
        <f>SUMIFS('Lançamentos'!$L$2:$L$5010,'Lançamentos'!$A$2:$A$5010,"Outras despesas pagas",'Lançamentos'!$B$2:$B$5010,$A8,'Lançamentos'!$C$2:$C$5010,E$4)</f>
        <v/>
      </c>
      <c r="F8" s="9">
        <f>SUMIFS('Lançamentos'!$L$2:$L$5010,'Lançamentos'!$A$2:$A$5010,"Outras despesas pagas",'Lançamentos'!$B$2:$B$5010,$A8,'Lançamentos'!$C$2:$C$5010,F$4)</f>
        <v/>
      </c>
      <c r="G8" s="9">
        <f>SUMIFS('Lançamentos'!$L$2:$L$5010,'Lançamentos'!$A$2:$A$5010,"Outras despesas pagas",'Lançamentos'!$B$2:$B$5010,$A8,'Lançamentos'!$C$2:$C$5010,G$4)</f>
        <v/>
      </c>
      <c r="H8" s="9">
        <f>SUMIFS('Lançamentos'!$L$2:$L$5010,'Lançamentos'!$A$2:$A$5010,"Outras despesas pagas",'Lançamentos'!$B$2:$B$5010,$A8,'Lançamentos'!$C$2:$C$5010,H$4)</f>
        <v/>
      </c>
      <c r="I8" s="9">
        <f>SUMIFS('Lançamentos'!$L$2:$L$5010,'Lançamentos'!$A$2:$A$5010,"Outras despesas pagas",'Lançamentos'!$B$2:$B$5010,$A8,'Lançamentos'!$C$2:$C$5010,I$4)</f>
        <v/>
      </c>
      <c r="J8" s="9">
        <f>SUMIFS('Lançamentos'!$L$2:$L$5010,'Lançamentos'!$A$2:$A$5010,"Outras despesas pagas",'Lançamentos'!$B$2:$B$5010,$A8,'Lançamentos'!$C$2:$C$5010,J$4)</f>
        <v/>
      </c>
      <c r="K8" s="9">
        <f>SUM(B8:J8)</f>
        <v/>
      </c>
      <c r="L8" s="10">
        <f>K8/K$12</f>
        <v/>
      </c>
      <c r="M8" s="9">
        <f>SUMIFS('Lançamentos'!$L$2:$L$5010,'Lançamentos'!$A$2:$A$5010,"Outras despesas pagas",'Lançamentos'!$B$2:$B$5010,$A8,'Lançamentos'!$C$2:$C$5010,"Antes de 2026")</f>
        <v/>
      </c>
      <c r="N8" s="9" t="n"/>
      <c r="O8" s="9" t="n"/>
      <c r="P8" s="26" t="n"/>
    </row>
    <row r="9">
      <c r="A9" s="25" t="inlineStr">
        <is>
          <t>Manutenção e serviços</t>
        </is>
      </c>
      <c r="B9" s="9">
        <f>SUMIFS('Lançamentos'!$L$2:$L$5010,'Lançamentos'!$A$2:$A$5010,"Outras despesas pagas",'Lançamentos'!$B$2:$B$5010,$A9,'Lançamentos'!$C$2:$C$5010,B$4)</f>
        <v/>
      </c>
      <c r="C9" s="9">
        <f>SUMIFS('Lançamentos'!$L$2:$L$5010,'Lançamentos'!$A$2:$A$5010,"Outras despesas pagas",'Lançamentos'!$B$2:$B$5010,$A9,'Lançamentos'!$C$2:$C$5010,C$4)</f>
        <v/>
      </c>
      <c r="D9" s="9">
        <f>SUMIFS('Lançamentos'!$L$2:$L$5010,'Lançamentos'!$A$2:$A$5010,"Outras despesas pagas",'Lançamentos'!$B$2:$B$5010,$A9,'Lançamentos'!$C$2:$C$5010,D$4)</f>
        <v/>
      </c>
      <c r="E9" s="9">
        <f>SUMIFS('Lançamentos'!$L$2:$L$5010,'Lançamentos'!$A$2:$A$5010,"Outras despesas pagas",'Lançamentos'!$B$2:$B$5010,$A9,'Lançamentos'!$C$2:$C$5010,E$4)</f>
        <v/>
      </c>
      <c r="F9" s="9">
        <f>SUMIFS('Lançamentos'!$L$2:$L$5010,'Lançamentos'!$A$2:$A$5010,"Outras despesas pagas",'Lançamentos'!$B$2:$B$5010,$A9,'Lançamentos'!$C$2:$C$5010,F$4)</f>
        <v/>
      </c>
      <c r="G9" s="9">
        <f>SUMIFS('Lançamentos'!$L$2:$L$5010,'Lançamentos'!$A$2:$A$5010,"Outras despesas pagas",'Lançamentos'!$B$2:$B$5010,$A9,'Lançamentos'!$C$2:$C$5010,G$4)</f>
        <v/>
      </c>
      <c r="H9" s="9">
        <f>SUMIFS('Lançamentos'!$L$2:$L$5010,'Lançamentos'!$A$2:$A$5010,"Outras despesas pagas",'Lançamentos'!$B$2:$B$5010,$A9,'Lançamentos'!$C$2:$C$5010,H$4)</f>
        <v/>
      </c>
      <c r="I9" s="9">
        <f>SUMIFS('Lançamentos'!$L$2:$L$5010,'Lançamentos'!$A$2:$A$5010,"Outras despesas pagas",'Lançamentos'!$B$2:$B$5010,$A9,'Lançamentos'!$C$2:$C$5010,I$4)</f>
        <v/>
      </c>
      <c r="J9" s="9">
        <f>SUMIFS('Lançamentos'!$L$2:$L$5010,'Lançamentos'!$A$2:$A$5010,"Outras despesas pagas",'Lançamentos'!$B$2:$B$5010,$A9,'Lançamentos'!$C$2:$C$5010,J$4)</f>
        <v/>
      </c>
      <c r="K9" s="9">
        <f>SUM(B9:J9)</f>
        <v/>
      </c>
      <c r="L9" s="10">
        <f>K9/K$12</f>
        <v/>
      </c>
      <c r="M9" s="9">
        <f>SUMIFS('Lançamentos'!$L$2:$L$5010,'Lançamentos'!$A$2:$A$5010,"Outras despesas pagas",'Lançamentos'!$B$2:$B$5010,$A9,'Lançamentos'!$C$2:$C$5010,"Antes de 2026")</f>
        <v/>
      </c>
      <c r="N9" s="9" t="n"/>
      <c r="O9" s="9" t="n"/>
      <c r="P9" s="26" t="n"/>
    </row>
    <row r="10">
      <c r="A10" s="25" t="inlineStr">
        <is>
          <t>Outras (a classificar)</t>
        </is>
      </c>
      <c r="B10" s="9">
        <f>SUMIFS('Lançamentos'!$L$2:$L$5010,'Lançamentos'!$A$2:$A$5010,"Outras despesas pagas",'Lançamentos'!$B$2:$B$5010,$A10,'Lançamentos'!$C$2:$C$5010,B$4)</f>
        <v/>
      </c>
      <c r="C10" s="9">
        <f>SUMIFS('Lançamentos'!$L$2:$L$5010,'Lançamentos'!$A$2:$A$5010,"Outras despesas pagas",'Lançamentos'!$B$2:$B$5010,$A10,'Lançamentos'!$C$2:$C$5010,C$4)</f>
        <v/>
      </c>
      <c r="D10" s="9">
        <f>SUMIFS('Lançamentos'!$L$2:$L$5010,'Lançamentos'!$A$2:$A$5010,"Outras despesas pagas",'Lançamentos'!$B$2:$B$5010,$A10,'Lançamentos'!$C$2:$C$5010,D$4)</f>
        <v/>
      </c>
      <c r="E10" s="9">
        <f>SUMIFS('Lançamentos'!$L$2:$L$5010,'Lançamentos'!$A$2:$A$5010,"Outras despesas pagas",'Lançamentos'!$B$2:$B$5010,$A10,'Lançamentos'!$C$2:$C$5010,E$4)</f>
        <v/>
      </c>
      <c r="F10" s="9">
        <f>SUMIFS('Lançamentos'!$L$2:$L$5010,'Lançamentos'!$A$2:$A$5010,"Outras despesas pagas",'Lançamentos'!$B$2:$B$5010,$A10,'Lançamentos'!$C$2:$C$5010,F$4)</f>
        <v/>
      </c>
      <c r="G10" s="9">
        <f>SUMIFS('Lançamentos'!$L$2:$L$5010,'Lançamentos'!$A$2:$A$5010,"Outras despesas pagas",'Lançamentos'!$B$2:$B$5010,$A10,'Lançamentos'!$C$2:$C$5010,G$4)</f>
        <v/>
      </c>
      <c r="H10" s="9">
        <f>SUMIFS('Lançamentos'!$L$2:$L$5010,'Lançamentos'!$A$2:$A$5010,"Outras despesas pagas",'Lançamentos'!$B$2:$B$5010,$A10,'Lançamentos'!$C$2:$C$5010,H$4)</f>
        <v/>
      </c>
      <c r="I10" s="9">
        <f>SUMIFS('Lançamentos'!$L$2:$L$5010,'Lançamentos'!$A$2:$A$5010,"Outras despesas pagas",'Lançamentos'!$B$2:$B$5010,$A10,'Lançamentos'!$C$2:$C$5010,I$4)</f>
        <v/>
      </c>
      <c r="J10" s="9">
        <f>SUMIFS('Lançamentos'!$L$2:$L$5010,'Lançamentos'!$A$2:$A$5010,"Outras despesas pagas",'Lançamentos'!$B$2:$B$5010,$A10,'Lançamentos'!$C$2:$C$5010,J$4)</f>
        <v/>
      </c>
      <c r="K10" s="9">
        <f>SUM(B10:J10)</f>
        <v/>
      </c>
      <c r="L10" s="10">
        <f>K10/K$12</f>
        <v/>
      </c>
      <c r="M10" s="9">
        <f>SUMIFS('Lançamentos'!$L$2:$L$5010,'Lançamentos'!$A$2:$A$5010,"Outras despesas pagas",'Lançamentos'!$B$2:$B$5010,$A10,'Lançamentos'!$C$2:$C$5010,"Antes de 2026")</f>
        <v/>
      </c>
      <c r="N10" s="9" t="n"/>
      <c r="O10" s="9" t="n"/>
      <c r="P10" s="26" t="n"/>
    </row>
    <row r="11">
      <c r="A11" s="25" t="inlineStr">
        <is>
          <t>Sede</t>
        </is>
      </c>
      <c r="B11" s="9">
        <f>SUMIFS('Lançamentos'!$L$2:$L$5010,'Lançamentos'!$A$2:$A$5010,"Outras despesas pagas",'Lançamentos'!$B$2:$B$5010,$A11,'Lançamentos'!$C$2:$C$5010,B$4)</f>
        <v/>
      </c>
      <c r="C11" s="9">
        <f>SUMIFS('Lançamentos'!$L$2:$L$5010,'Lançamentos'!$A$2:$A$5010,"Outras despesas pagas",'Lançamentos'!$B$2:$B$5010,$A11,'Lançamentos'!$C$2:$C$5010,C$4)</f>
        <v/>
      </c>
      <c r="D11" s="9">
        <f>SUMIFS('Lançamentos'!$L$2:$L$5010,'Lançamentos'!$A$2:$A$5010,"Outras despesas pagas",'Lançamentos'!$B$2:$B$5010,$A11,'Lançamentos'!$C$2:$C$5010,D$4)</f>
        <v/>
      </c>
      <c r="E11" s="9">
        <f>SUMIFS('Lançamentos'!$L$2:$L$5010,'Lançamentos'!$A$2:$A$5010,"Outras despesas pagas",'Lançamentos'!$B$2:$B$5010,$A11,'Lançamentos'!$C$2:$C$5010,E$4)</f>
        <v/>
      </c>
      <c r="F11" s="9">
        <f>SUMIFS('Lançamentos'!$L$2:$L$5010,'Lançamentos'!$A$2:$A$5010,"Outras despesas pagas",'Lançamentos'!$B$2:$B$5010,$A11,'Lançamentos'!$C$2:$C$5010,F$4)</f>
        <v/>
      </c>
      <c r="G11" s="9">
        <f>SUMIFS('Lançamentos'!$L$2:$L$5010,'Lançamentos'!$A$2:$A$5010,"Outras despesas pagas",'Lançamentos'!$B$2:$B$5010,$A11,'Lançamentos'!$C$2:$C$5010,G$4)</f>
        <v/>
      </c>
      <c r="H11" s="9">
        <f>SUMIFS('Lançamentos'!$L$2:$L$5010,'Lançamentos'!$A$2:$A$5010,"Outras despesas pagas",'Lançamentos'!$B$2:$B$5010,$A11,'Lançamentos'!$C$2:$C$5010,H$4)</f>
        <v/>
      </c>
      <c r="I11" s="9">
        <f>SUMIFS('Lançamentos'!$L$2:$L$5010,'Lançamentos'!$A$2:$A$5010,"Outras despesas pagas",'Lançamentos'!$B$2:$B$5010,$A11,'Lançamentos'!$C$2:$C$5010,I$4)</f>
        <v/>
      </c>
      <c r="J11" s="9">
        <f>SUMIFS('Lançamentos'!$L$2:$L$5010,'Lançamentos'!$A$2:$A$5010,"Outras despesas pagas",'Lançamentos'!$B$2:$B$5010,$A11,'Lançamentos'!$C$2:$C$5010,J$4)</f>
        <v/>
      </c>
      <c r="K11" s="9">
        <f>SUM(B11:J11)</f>
        <v/>
      </c>
      <c r="L11" s="10">
        <f>K11/K$12</f>
        <v/>
      </c>
      <c r="M11" s="9">
        <f>SUMIFS('Lançamentos'!$L$2:$L$5010,'Lançamentos'!$A$2:$A$5010,"Outras despesas pagas",'Lançamentos'!$B$2:$B$5010,$A11,'Lançamentos'!$C$2:$C$5010,"Antes de 2026")</f>
        <v/>
      </c>
      <c r="N11" s="9" t="n"/>
      <c r="O11" s="9" t="n"/>
      <c r="P11" s="26" t="n"/>
    </row>
    <row r="12">
      <c r="A12" s="11" t="inlineStr">
        <is>
          <t>TOTAL OUTRAS DESPESAS PAGAS</t>
        </is>
      </c>
      <c r="B12" s="13">
        <f>SUM(B5:B11)</f>
        <v/>
      </c>
      <c r="C12" s="13">
        <f>SUM(C5:C11)</f>
        <v/>
      </c>
      <c r="D12" s="13">
        <f>SUM(D5:D11)</f>
        <v/>
      </c>
      <c r="E12" s="13">
        <f>SUM(E5:E11)</f>
        <v/>
      </c>
      <c r="F12" s="13">
        <f>SUM(F5:F11)</f>
        <v/>
      </c>
      <c r="G12" s="13">
        <f>SUM(G5:G11)</f>
        <v/>
      </c>
      <c r="H12" s="13">
        <f>SUM(H5:H11)</f>
        <v/>
      </c>
      <c r="I12" s="13">
        <f>SUM(I5:I11)</f>
        <v/>
      </c>
      <c r="J12" s="13">
        <f>SUM(J5:J11)</f>
        <v/>
      </c>
      <c r="K12" s="13">
        <f>SUM(K5:K11)</f>
        <v/>
      </c>
      <c r="L12" s="14">
        <f>K12/K$12</f>
        <v/>
      </c>
      <c r="M12" s="13">
        <f>SUM(M5:M11)</f>
        <v/>
      </c>
      <c r="N12" s="9" t="n"/>
      <c r="O12" s="9" t="n"/>
      <c r="P12" s="26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10" t="n"/>
      <c r="M13" s="9" t="n"/>
      <c r="N13" s="9" t="n"/>
      <c r="O13" s="9" t="n"/>
      <c r="P13" s="26" t="n"/>
    </row>
    <row r="14">
      <c r="A14" t="inlineStr">
        <is>
          <t>Memo: valor bruto (com impostos)</t>
        </is>
      </c>
      <c r="B14" s="9">
        <f>SUMIFS('Lançamentos'!$J$2:$J$5010,'Lançamentos'!$A$2:$A$5010,"Outras despesas pagas",'Lançamentos'!$C$2:$C$5010,B$4)</f>
        <v/>
      </c>
      <c r="C14" s="9">
        <f>SUMIFS('Lançamentos'!$J$2:$J$5010,'Lançamentos'!$A$2:$A$5010,"Outras despesas pagas",'Lançamentos'!$C$2:$C$5010,C$4)</f>
        <v/>
      </c>
      <c r="D14" s="9">
        <f>SUMIFS('Lançamentos'!$J$2:$J$5010,'Lançamentos'!$A$2:$A$5010,"Outras despesas pagas",'Lançamentos'!$C$2:$C$5010,D$4)</f>
        <v/>
      </c>
      <c r="E14" s="9">
        <f>SUMIFS('Lançamentos'!$J$2:$J$5010,'Lançamentos'!$A$2:$A$5010,"Outras despesas pagas",'Lançamentos'!$C$2:$C$5010,E$4)</f>
        <v/>
      </c>
      <c r="F14" s="9">
        <f>SUMIFS('Lançamentos'!$J$2:$J$5010,'Lançamentos'!$A$2:$A$5010,"Outras despesas pagas",'Lançamentos'!$C$2:$C$5010,F$4)</f>
        <v/>
      </c>
      <c r="G14" s="9">
        <f>SUMIFS('Lançamentos'!$J$2:$J$5010,'Lançamentos'!$A$2:$A$5010,"Outras despesas pagas",'Lançamentos'!$C$2:$C$5010,G$4)</f>
        <v/>
      </c>
      <c r="H14" s="9">
        <f>SUMIFS('Lançamentos'!$J$2:$J$5010,'Lançamentos'!$A$2:$A$5010,"Outras despesas pagas",'Lançamentos'!$C$2:$C$5010,H$4)</f>
        <v/>
      </c>
      <c r="I14" s="9">
        <f>SUMIFS('Lançamentos'!$J$2:$J$5010,'Lançamentos'!$A$2:$A$5010,"Outras despesas pagas",'Lançamentos'!$C$2:$C$5010,I$4)</f>
        <v/>
      </c>
      <c r="J14" s="9">
        <f>SUMIFS('Lançamentos'!$J$2:$J$5010,'Lançamentos'!$A$2:$A$5010,"Outras despesas pagas",'Lançamentos'!$C$2:$C$5010,J$4)</f>
        <v/>
      </c>
      <c r="K14" s="9">
        <f>SUM(B14:J14)</f>
        <v/>
      </c>
      <c r="L14" s="10" t="n"/>
      <c r="M14" s="9">
        <f>SUMIFS('Lançamentos'!$J$2:$J$5010,'Lançamentos'!$A$2:$A$5010,"Outras despesas pagas",'Lançamentos'!$C$2:$C$5010,"Antes de 2026")</f>
        <v/>
      </c>
      <c r="N14" s="9" t="n"/>
      <c r="O14" s="9" t="n"/>
      <c r="P14" s="26" t="n"/>
    </row>
    <row r="15">
      <c r="A15" t="inlineStr">
        <is>
          <t>Memo: créditos abatidos</t>
        </is>
      </c>
      <c r="B15" s="9">
        <f>SUMIFS('Lançamentos'!$K$2:$K$5010,'Lançamentos'!$A$2:$A$5010,"Outras despesas pagas",'Lançamentos'!$C$2:$C$5010,B$4)</f>
        <v/>
      </c>
      <c r="C15" s="9">
        <f>SUMIFS('Lançamentos'!$K$2:$K$5010,'Lançamentos'!$A$2:$A$5010,"Outras despesas pagas",'Lançamentos'!$C$2:$C$5010,C$4)</f>
        <v/>
      </c>
      <c r="D15" s="9">
        <f>SUMIFS('Lançamentos'!$K$2:$K$5010,'Lançamentos'!$A$2:$A$5010,"Outras despesas pagas",'Lançamentos'!$C$2:$C$5010,D$4)</f>
        <v/>
      </c>
      <c r="E15" s="9">
        <f>SUMIFS('Lançamentos'!$K$2:$K$5010,'Lançamentos'!$A$2:$A$5010,"Outras despesas pagas",'Lançamentos'!$C$2:$C$5010,E$4)</f>
        <v/>
      </c>
      <c r="F15" s="9">
        <f>SUMIFS('Lançamentos'!$K$2:$K$5010,'Lançamentos'!$A$2:$A$5010,"Outras despesas pagas",'Lançamentos'!$C$2:$C$5010,F$4)</f>
        <v/>
      </c>
      <c r="G15" s="9">
        <f>SUMIFS('Lançamentos'!$K$2:$K$5010,'Lançamentos'!$A$2:$A$5010,"Outras despesas pagas",'Lançamentos'!$C$2:$C$5010,G$4)</f>
        <v/>
      </c>
      <c r="H15" s="9">
        <f>SUMIFS('Lançamentos'!$K$2:$K$5010,'Lançamentos'!$A$2:$A$5010,"Outras despesas pagas",'Lançamentos'!$C$2:$C$5010,H$4)</f>
        <v/>
      </c>
      <c r="I15" s="9">
        <f>SUMIFS('Lançamentos'!$K$2:$K$5010,'Lançamentos'!$A$2:$A$5010,"Outras despesas pagas",'Lançamentos'!$C$2:$C$5010,I$4)</f>
        <v/>
      </c>
      <c r="J15" s="9">
        <f>SUMIFS('Lançamentos'!$K$2:$K$5010,'Lançamentos'!$A$2:$A$5010,"Outras despesas pagas",'Lançamentos'!$C$2:$C$5010,J$4)</f>
        <v/>
      </c>
      <c r="K15" s="9">
        <f>SUM(B15:J15)</f>
        <v/>
      </c>
      <c r="L15" s="10" t="n"/>
      <c r="M15" s="9">
        <f>SUMIFS('Lançamentos'!$K$2:$K$5010,'Lançamentos'!$A$2:$A$5010,"Outras despesas pagas",'Lançamentos'!$C$2:$C$5010,"Antes de 2026")</f>
        <v/>
      </c>
      <c r="N15" s="9" t="n"/>
      <c r="O15" s="9" t="n"/>
      <c r="P15" s="26" t="n"/>
    </row>
    <row r="16">
      <c r="A16" t="inlineStr">
        <is>
          <t>Conferência: bruto − créditos − total (deve ser zero)</t>
        </is>
      </c>
      <c r="B16" s="9">
        <f>ROUND(B14-B15-B12,2)</f>
        <v/>
      </c>
      <c r="C16" s="9">
        <f>ROUND(C14-C15-C12,2)</f>
        <v/>
      </c>
      <c r="D16" s="9">
        <f>ROUND(D14-D15-D12,2)</f>
        <v/>
      </c>
      <c r="E16" s="9">
        <f>ROUND(E14-E15-E12,2)</f>
        <v/>
      </c>
      <c r="F16" s="9">
        <f>ROUND(F14-F15-F12,2)</f>
        <v/>
      </c>
      <c r="G16" s="9">
        <f>ROUND(G14-G15-G12,2)</f>
        <v/>
      </c>
      <c r="H16" s="9">
        <f>ROUND(H14-H15-H12,2)</f>
        <v/>
      </c>
      <c r="I16" s="9">
        <f>ROUND(I14-I15-I12,2)</f>
        <v/>
      </c>
      <c r="J16" s="9">
        <f>ROUND(J14-J15-J12,2)</f>
        <v/>
      </c>
      <c r="K16" s="9">
        <f>ROUND(K14-K15-K12,2)</f>
        <v/>
      </c>
      <c r="L16" s="10" t="n"/>
      <c r="M16" s="9">
        <f>ROUND(M14-M15-M12,2)</f>
        <v/>
      </c>
      <c r="N16" s="9" t="n"/>
      <c r="O16" s="9" t="n"/>
      <c r="P16" s="26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 t="n"/>
      <c r="M17" s="9" t="n"/>
      <c r="N17" s="9" t="n"/>
      <c r="O17" s="9" t="n"/>
      <c r="P17" s="26" t="n"/>
    </row>
    <row r="18">
      <c r="A18" s="23" t="inlineStr">
        <is>
          <t>Por fornecedor / transportadora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  <c r="M18" s="9" t="n"/>
      <c r="N18" s="9" t="n"/>
      <c r="O18" s="9" t="n"/>
      <c r="P18" s="26" t="n"/>
    </row>
    <row r="19">
      <c r="A19" s="4" t="inlineStr">
        <is>
          <t>Fornecedor / Transportadora</t>
        </is>
      </c>
      <c r="B19" s="18" t="n">
        <v>46023</v>
      </c>
      <c r="C19" s="18" t="n">
        <v>46054</v>
      </c>
      <c r="D19" s="18" t="n">
        <v>46082</v>
      </c>
      <c r="E19" s="18" t="n">
        <v>46113</v>
      </c>
      <c r="F19" s="18" t="n">
        <v>46143</v>
      </c>
      <c r="G19" s="18" t="n">
        <v>46174</v>
      </c>
      <c r="H19" s="18" t="n">
        <v>46204</v>
      </c>
      <c r="I19" s="18" t="n">
        <v>46235</v>
      </c>
      <c r="J19" s="18" t="n">
        <v>46266</v>
      </c>
      <c r="K19" s="5" t="inlineStr">
        <is>
          <t>Total 2026</t>
        </is>
      </c>
      <c r="L19" s="5" t="inlineStr">
        <is>
          <t>% do total</t>
        </is>
      </c>
      <c r="M19" s="5" t="inlineStr">
        <is>
          <t>Memo: antes de 2026</t>
        </is>
      </c>
      <c r="N19" s="5" t="inlineStr">
        <is>
          <t>Valor bruto 2026</t>
        </is>
      </c>
      <c r="O19" s="5" t="inlineStr">
        <is>
          <t>Créditos 2026</t>
        </is>
      </c>
      <c r="P19" s="5" t="inlineStr">
        <is>
          <t>Nº docs 2026</t>
        </is>
      </c>
    </row>
    <row r="20">
      <c r="A20" t="inlineStr">
        <is>
          <t>UNIAO MULTIMODAL OTM LTDA</t>
        </is>
      </c>
      <c r="B20" s="9">
        <f>SUMIFS('Lançamentos'!$L$2:$L$5010,'Lançamentos'!$A$2:$A$5010,"Outras despesas pagas",'Lançamentos'!$H$2:$H$5010,$A20,'Lançamentos'!$C$2:$C$5010,B$19)</f>
        <v/>
      </c>
      <c r="C20" s="9">
        <f>SUMIFS('Lançamentos'!$L$2:$L$5010,'Lançamentos'!$A$2:$A$5010,"Outras despesas pagas",'Lançamentos'!$H$2:$H$5010,$A20,'Lançamentos'!$C$2:$C$5010,C$19)</f>
        <v/>
      </c>
      <c r="D20" s="9">
        <f>SUMIFS('Lançamentos'!$L$2:$L$5010,'Lançamentos'!$A$2:$A$5010,"Outras despesas pagas",'Lançamentos'!$H$2:$H$5010,$A20,'Lançamentos'!$C$2:$C$5010,D$19)</f>
        <v/>
      </c>
      <c r="E20" s="9">
        <f>SUMIFS('Lançamentos'!$L$2:$L$5010,'Lançamentos'!$A$2:$A$5010,"Outras despesas pagas",'Lançamentos'!$H$2:$H$5010,$A20,'Lançamentos'!$C$2:$C$5010,E$19)</f>
        <v/>
      </c>
      <c r="F20" s="9">
        <f>SUMIFS('Lançamentos'!$L$2:$L$5010,'Lançamentos'!$A$2:$A$5010,"Outras despesas pagas",'Lançamentos'!$H$2:$H$5010,$A20,'Lançamentos'!$C$2:$C$5010,F$19)</f>
        <v/>
      </c>
      <c r="G20" s="9">
        <f>SUMIFS('Lançamentos'!$L$2:$L$5010,'Lançamentos'!$A$2:$A$5010,"Outras despesas pagas",'Lançamentos'!$H$2:$H$5010,$A20,'Lançamentos'!$C$2:$C$5010,G$19)</f>
        <v/>
      </c>
      <c r="H20" s="9">
        <f>SUMIFS('Lançamentos'!$L$2:$L$5010,'Lançamentos'!$A$2:$A$5010,"Outras despesas pagas",'Lançamentos'!$H$2:$H$5010,$A20,'Lançamentos'!$C$2:$C$5010,H$19)</f>
        <v/>
      </c>
      <c r="I20" s="9">
        <f>SUMIFS('Lançamentos'!$L$2:$L$5010,'Lançamentos'!$A$2:$A$5010,"Outras despesas pagas",'Lançamentos'!$H$2:$H$5010,$A20,'Lançamentos'!$C$2:$C$5010,I$19)</f>
        <v/>
      </c>
      <c r="J20" s="9">
        <f>SUMIFS('Lançamentos'!$L$2:$L$5010,'Lançamentos'!$A$2:$A$5010,"Outras despesas pagas",'Lançamentos'!$H$2:$H$5010,$A20,'Lançamentos'!$C$2:$C$5010,J$19)</f>
        <v/>
      </c>
      <c r="K20" s="9">
        <f>SUM(B20:J20)</f>
        <v/>
      </c>
      <c r="L20" s="10">
        <f>K20/K$87</f>
        <v/>
      </c>
      <c r="M20" s="9">
        <f>SUMIFS('Lançamentos'!$L$2:$L$5010,'Lançamentos'!$A$2:$A$5010,"Outras despesas pagas",'Lançamentos'!$H$2:$H$5010,$A20,'Lançamentos'!$C$2:$C$5010,"Antes de 2026")</f>
        <v/>
      </c>
      <c r="N20" s="9">
        <f>SUMIFS('Lançamentos'!$J$2:$J$5010,'Lançamentos'!$A$2:$A$5010,"Outras despesas pagas",'Lançamentos'!$H$2:$H$5010,$A20,'Lançamentos'!$D$2:$D$5010,"Em 2026")</f>
        <v/>
      </c>
      <c r="O20" s="9">
        <f>SUMIFS('Lançamentos'!$K$2:$K$5010,'Lançamentos'!$A$2:$A$5010,"Outras despesas pagas",'Lançamentos'!$H$2:$H$5010,$A20,'Lançamentos'!$D$2:$D$5010,"Em 2026")</f>
        <v/>
      </c>
      <c r="P20" s="26">
        <f>COUNTIFS('Lançamentos'!$A$2:$A$5010,"Outras despesas pagas",'Lançamentos'!$H$2:$H$5010,$A20,'Lançamentos'!$D$2:$D$5010,"Em 2026")</f>
        <v/>
      </c>
    </row>
    <row r="21">
      <c r="A21" t="inlineStr">
        <is>
          <t>MIRANDA COMPUTACAO E COMERCIO LTDA</t>
        </is>
      </c>
      <c r="B21" s="9">
        <f>SUMIFS('Lançamentos'!$L$2:$L$5010,'Lançamentos'!$A$2:$A$5010,"Outras despesas pagas",'Lançamentos'!$H$2:$H$5010,$A21,'Lançamentos'!$C$2:$C$5010,B$19)</f>
        <v/>
      </c>
      <c r="C21" s="9">
        <f>SUMIFS('Lançamentos'!$L$2:$L$5010,'Lançamentos'!$A$2:$A$5010,"Outras despesas pagas",'Lançamentos'!$H$2:$H$5010,$A21,'Lançamentos'!$C$2:$C$5010,C$19)</f>
        <v/>
      </c>
      <c r="D21" s="9">
        <f>SUMIFS('Lançamentos'!$L$2:$L$5010,'Lançamentos'!$A$2:$A$5010,"Outras despesas pagas",'Lançamentos'!$H$2:$H$5010,$A21,'Lançamentos'!$C$2:$C$5010,D$19)</f>
        <v/>
      </c>
      <c r="E21" s="9">
        <f>SUMIFS('Lançamentos'!$L$2:$L$5010,'Lançamentos'!$A$2:$A$5010,"Outras despesas pagas",'Lançamentos'!$H$2:$H$5010,$A21,'Lançamentos'!$C$2:$C$5010,E$19)</f>
        <v/>
      </c>
      <c r="F21" s="9">
        <f>SUMIFS('Lançamentos'!$L$2:$L$5010,'Lançamentos'!$A$2:$A$5010,"Outras despesas pagas",'Lançamentos'!$H$2:$H$5010,$A21,'Lançamentos'!$C$2:$C$5010,F$19)</f>
        <v/>
      </c>
      <c r="G21" s="9">
        <f>SUMIFS('Lançamentos'!$L$2:$L$5010,'Lançamentos'!$A$2:$A$5010,"Outras despesas pagas",'Lançamentos'!$H$2:$H$5010,$A21,'Lançamentos'!$C$2:$C$5010,G$19)</f>
        <v/>
      </c>
      <c r="H21" s="9">
        <f>SUMIFS('Lançamentos'!$L$2:$L$5010,'Lançamentos'!$A$2:$A$5010,"Outras despesas pagas",'Lançamentos'!$H$2:$H$5010,$A21,'Lançamentos'!$C$2:$C$5010,H$19)</f>
        <v/>
      </c>
      <c r="I21" s="9">
        <f>SUMIFS('Lançamentos'!$L$2:$L$5010,'Lançamentos'!$A$2:$A$5010,"Outras despesas pagas",'Lançamentos'!$H$2:$H$5010,$A21,'Lançamentos'!$C$2:$C$5010,I$19)</f>
        <v/>
      </c>
      <c r="J21" s="9">
        <f>SUMIFS('Lançamentos'!$L$2:$L$5010,'Lançamentos'!$A$2:$A$5010,"Outras despesas pagas",'Lançamentos'!$H$2:$H$5010,$A21,'Lançamentos'!$C$2:$C$5010,J$19)</f>
        <v/>
      </c>
      <c r="K21" s="9">
        <f>SUM(B21:J21)</f>
        <v/>
      </c>
      <c r="L21" s="10">
        <f>K21/K$87</f>
        <v/>
      </c>
      <c r="M21" s="9">
        <f>SUMIFS('Lançamentos'!$L$2:$L$5010,'Lançamentos'!$A$2:$A$5010,"Outras despesas pagas",'Lançamentos'!$H$2:$H$5010,$A21,'Lançamentos'!$C$2:$C$5010,"Antes de 2026")</f>
        <v/>
      </c>
      <c r="N21" s="9">
        <f>SUMIFS('Lançamentos'!$J$2:$J$5010,'Lançamentos'!$A$2:$A$5010,"Outras despesas pagas",'Lançamentos'!$H$2:$H$5010,$A21,'Lançamentos'!$D$2:$D$5010,"Em 2026")</f>
        <v/>
      </c>
      <c r="O21" s="9">
        <f>SUMIFS('Lançamentos'!$K$2:$K$5010,'Lançamentos'!$A$2:$A$5010,"Outras despesas pagas",'Lançamentos'!$H$2:$H$5010,$A21,'Lançamentos'!$D$2:$D$5010,"Em 2026")</f>
        <v/>
      </c>
      <c r="P21" s="26">
        <f>COUNTIFS('Lançamentos'!$A$2:$A$5010,"Outras despesas pagas",'Lançamentos'!$H$2:$H$5010,$A21,'Lançamentos'!$D$2:$D$5010,"Em 2026")</f>
        <v/>
      </c>
    </row>
    <row r="22">
      <c r="A22" t="inlineStr">
        <is>
          <t>COMERCIAL CASA NOVA MATERIAL DE CONSTRUCAO PB LTDA</t>
        </is>
      </c>
      <c r="B22" s="9">
        <f>SUMIFS('Lançamentos'!$L$2:$L$5010,'Lançamentos'!$A$2:$A$5010,"Outras despesas pagas",'Lançamentos'!$H$2:$H$5010,$A22,'Lançamentos'!$C$2:$C$5010,B$19)</f>
        <v/>
      </c>
      <c r="C22" s="9">
        <f>SUMIFS('Lançamentos'!$L$2:$L$5010,'Lançamentos'!$A$2:$A$5010,"Outras despesas pagas",'Lançamentos'!$H$2:$H$5010,$A22,'Lançamentos'!$C$2:$C$5010,C$19)</f>
        <v/>
      </c>
      <c r="D22" s="9">
        <f>SUMIFS('Lançamentos'!$L$2:$L$5010,'Lançamentos'!$A$2:$A$5010,"Outras despesas pagas",'Lançamentos'!$H$2:$H$5010,$A22,'Lançamentos'!$C$2:$C$5010,D$19)</f>
        <v/>
      </c>
      <c r="E22" s="9">
        <f>SUMIFS('Lançamentos'!$L$2:$L$5010,'Lançamentos'!$A$2:$A$5010,"Outras despesas pagas",'Lançamentos'!$H$2:$H$5010,$A22,'Lançamentos'!$C$2:$C$5010,E$19)</f>
        <v/>
      </c>
      <c r="F22" s="9">
        <f>SUMIFS('Lançamentos'!$L$2:$L$5010,'Lançamentos'!$A$2:$A$5010,"Outras despesas pagas",'Lançamentos'!$H$2:$H$5010,$A22,'Lançamentos'!$C$2:$C$5010,F$19)</f>
        <v/>
      </c>
      <c r="G22" s="9">
        <f>SUMIFS('Lançamentos'!$L$2:$L$5010,'Lançamentos'!$A$2:$A$5010,"Outras despesas pagas",'Lançamentos'!$H$2:$H$5010,$A22,'Lançamentos'!$C$2:$C$5010,G$19)</f>
        <v/>
      </c>
      <c r="H22" s="9">
        <f>SUMIFS('Lançamentos'!$L$2:$L$5010,'Lançamentos'!$A$2:$A$5010,"Outras despesas pagas",'Lançamentos'!$H$2:$H$5010,$A22,'Lançamentos'!$C$2:$C$5010,H$19)</f>
        <v/>
      </c>
      <c r="I22" s="9">
        <f>SUMIFS('Lançamentos'!$L$2:$L$5010,'Lançamentos'!$A$2:$A$5010,"Outras despesas pagas",'Lançamentos'!$H$2:$H$5010,$A22,'Lançamentos'!$C$2:$C$5010,I$19)</f>
        <v/>
      </c>
      <c r="J22" s="9">
        <f>SUMIFS('Lançamentos'!$L$2:$L$5010,'Lançamentos'!$A$2:$A$5010,"Outras despesas pagas",'Lançamentos'!$H$2:$H$5010,$A22,'Lançamentos'!$C$2:$C$5010,J$19)</f>
        <v/>
      </c>
      <c r="K22" s="9">
        <f>SUM(B22:J22)</f>
        <v/>
      </c>
      <c r="L22" s="10">
        <f>K22/K$87</f>
        <v/>
      </c>
      <c r="M22" s="9">
        <f>SUMIFS('Lançamentos'!$L$2:$L$5010,'Lançamentos'!$A$2:$A$5010,"Outras despesas pagas",'Lançamentos'!$H$2:$H$5010,$A22,'Lançamentos'!$C$2:$C$5010,"Antes de 2026")</f>
        <v/>
      </c>
      <c r="N22" s="9">
        <f>SUMIFS('Lançamentos'!$J$2:$J$5010,'Lançamentos'!$A$2:$A$5010,"Outras despesas pagas",'Lançamentos'!$H$2:$H$5010,$A22,'Lançamentos'!$D$2:$D$5010,"Em 2026")</f>
        <v/>
      </c>
      <c r="O22" s="9">
        <f>SUMIFS('Lançamentos'!$K$2:$K$5010,'Lançamentos'!$A$2:$A$5010,"Outras despesas pagas",'Lançamentos'!$H$2:$H$5010,$A22,'Lançamentos'!$D$2:$D$5010,"Em 2026")</f>
        <v/>
      </c>
      <c r="P22" s="26">
        <f>COUNTIFS('Lançamentos'!$A$2:$A$5010,"Outras despesas pagas",'Lançamentos'!$H$2:$H$5010,$A22,'Lançamentos'!$D$2:$D$5010,"Em 2026")</f>
        <v/>
      </c>
    </row>
    <row r="23">
      <c r="A23" t="inlineStr">
        <is>
          <t>VAMBERTO GRANGEIRO SILVA</t>
        </is>
      </c>
      <c r="B23" s="9">
        <f>SUMIFS('Lançamentos'!$L$2:$L$5010,'Lançamentos'!$A$2:$A$5010,"Outras despesas pagas",'Lançamentos'!$H$2:$H$5010,$A23,'Lançamentos'!$C$2:$C$5010,B$19)</f>
        <v/>
      </c>
      <c r="C23" s="9">
        <f>SUMIFS('Lançamentos'!$L$2:$L$5010,'Lançamentos'!$A$2:$A$5010,"Outras despesas pagas",'Lançamentos'!$H$2:$H$5010,$A23,'Lançamentos'!$C$2:$C$5010,C$19)</f>
        <v/>
      </c>
      <c r="D23" s="9">
        <f>SUMIFS('Lançamentos'!$L$2:$L$5010,'Lançamentos'!$A$2:$A$5010,"Outras despesas pagas",'Lançamentos'!$H$2:$H$5010,$A23,'Lançamentos'!$C$2:$C$5010,D$19)</f>
        <v/>
      </c>
      <c r="E23" s="9">
        <f>SUMIFS('Lançamentos'!$L$2:$L$5010,'Lançamentos'!$A$2:$A$5010,"Outras despesas pagas",'Lançamentos'!$H$2:$H$5010,$A23,'Lançamentos'!$C$2:$C$5010,E$19)</f>
        <v/>
      </c>
      <c r="F23" s="9">
        <f>SUMIFS('Lançamentos'!$L$2:$L$5010,'Lançamentos'!$A$2:$A$5010,"Outras despesas pagas",'Lançamentos'!$H$2:$H$5010,$A23,'Lançamentos'!$C$2:$C$5010,F$19)</f>
        <v/>
      </c>
      <c r="G23" s="9">
        <f>SUMIFS('Lançamentos'!$L$2:$L$5010,'Lançamentos'!$A$2:$A$5010,"Outras despesas pagas",'Lançamentos'!$H$2:$H$5010,$A23,'Lançamentos'!$C$2:$C$5010,G$19)</f>
        <v/>
      </c>
      <c r="H23" s="9">
        <f>SUMIFS('Lançamentos'!$L$2:$L$5010,'Lançamentos'!$A$2:$A$5010,"Outras despesas pagas",'Lançamentos'!$H$2:$H$5010,$A23,'Lançamentos'!$C$2:$C$5010,H$19)</f>
        <v/>
      </c>
      <c r="I23" s="9">
        <f>SUMIFS('Lançamentos'!$L$2:$L$5010,'Lançamentos'!$A$2:$A$5010,"Outras despesas pagas",'Lançamentos'!$H$2:$H$5010,$A23,'Lançamentos'!$C$2:$C$5010,I$19)</f>
        <v/>
      </c>
      <c r="J23" s="9">
        <f>SUMIFS('Lançamentos'!$L$2:$L$5010,'Lançamentos'!$A$2:$A$5010,"Outras despesas pagas",'Lançamentos'!$H$2:$H$5010,$A23,'Lançamentos'!$C$2:$C$5010,J$19)</f>
        <v/>
      </c>
      <c r="K23" s="9">
        <f>SUM(B23:J23)</f>
        <v/>
      </c>
      <c r="L23" s="10">
        <f>K23/K$87</f>
        <v/>
      </c>
      <c r="M23" s="9">
        <f>SUMIFS('Lançamentos'!$L$2:$L$5010,'Lançamentos'!$A$2:$A$5010,"Outras despesas pagas",'Lançamentos'!$H$2:$H$5010,$A23,'Lançamentos'!$C$2:$C$5010,"Antes de 2026")</f>
        <v/>
      </c>
      <c r="N23" s="9">
        <f>SUMIFS('Lançamentos'!$J$2:$J$5010,'Lançamentos'!$A$2:$A$5010,"Outras despesas pagas",'Lançamentos'!$H$2:$H$5010,$A23,'Lançamentos'!$D$2:$D$5010,"Em 2026")</f>
        <v/>
      </c>
      <c r="O23" s="9">
        <f>SUMIFS('Lançamentos'!$K$2:$K$5010,'Lançamentos'!$A$2:$A$5010,"Outras despesas pagas",'Lançamentos'!$H$2:$H$5010,$A23,'Lançamentos'!$D$2:$D$5010,"Em 2026")</f>
        <v/>
      </c>
      <c r="P23" s="26">
        <f>COUNTIFS('Lançamentos'!$A$2:$A$5010,"Outras despesas pagas",'Lançamentos'!$H$2:$H$5010,$A23,'Lançamentos'!$D$2:$D$5010,"Em 2026")</f>
        <v/>
      </c>
    </row>
    <row r="24">
      <c r="A24" t="inlineStr">
        <is>
          <t>ELETROPOLO ELETRICIDADE LTDA</t>
        </is>
      </c>
      <c r="B24" s="9">
        <f>SUMIFS('Lançamentos'!$L$2:$L$5010,'Lançamentos'!$A$2:$A$5010,"Outras despesas pagas",'Lançamentos'!$H$2:$H$5010,$A24,'Lançamentos'!$C$2:$C$5010,B$19)</f>
        <v/>
      </c>
      <c r="C24" s="9">
        <f>SUMIFS('Lançamentos'!$L$2:$L$5010,'Lançamentos'!$A$2:$A$5010,"Outras despesas pagas",'Lançamentos'!$H$2:$H$5010,$A24,'Lançamentos'!$C$2:$C$5010,C$19)</f>
        <v/>
      </c>
      <c r="D24" s="9">
        <f>SUMIFS('Lançamentos'!$L$2:$L$5010,'Lançamentos'!$A$2:$A$5010,"Outras despesas pagas",'Lançamentos'!$H$2:$H$5010,$A24,'Lançamentos'!$C$2:$C$5010,D$19)</f>
        <v/>
      </c>
      <c r="E24" s="9">
        <f>SUMIFS('Lançamentos'!$L$2:$L$5010,'Lançamentos'!$A$2:$A$5010,"Outras despesas pagas",'Lançamentos'!$H$2:$H$5010,$A24,'Lançamentos'!$C$2:$C$5010,E$19)</f>
        <v/>
      </c>
      <c r="F24" s="9">
        <f>SUMIFS('Lançamentos'!$L$2:$L$5010,'Lançamentos'!$A$2:$A$5010,"Outras despesas pagas",'Lançamentos'!$H$2:$H$5010,$A24,'Lançamentos'!$C$2:$C$5010,F$19)</f>
        <v/>
      </c>
      <c r="G24" s="9">
        <f>SUMIFS('Lançamentos'!$L$2:$L$5010,'Lançamentos'!$A$2:$A$5010,"Outras despesas pagas",'Lançamentos'!$H$2:$H$5010,$A24,'Lançamentos'!$C$2:$C$5010,G$19)</f>
        <v/>
      </c>
      <c r="H24" s="9">
        <f>SUMIFS('Lançamentos'!$L$2:$L$5010,'Lançamentos'!$A$2:$A$5010,"Outras despesas pagas",'Lançamentos'!$H$2:$H$5010,$A24,'Lançamentos'!$C$2:$C$5010,H$19)</f>
        <v/>
      </c>
      <c r="I24" s="9">
        <f>SUMIFS('Lançamentos'!$L$2:$L$5010,'Lançamentos'!$A$2:$A$5010,"Outras despesas pagas",'Lançamentos'!$H$2:$H$5010,$A24,'Lançamentos'!$C$2:$C$5010,I$19)</f>
        <v/>
      </c>
      <c r="J24" s="9">
        <f>SUMIFS('Lançamentos'!$L$2:$L$5010,'Lançamentos'!$A$2:$A$5010,"Outras despesas pagas",'Lançamentos'!$H$2:$H$5010,$A24,'Lançamentos'!$C$2:$C$5010,J$19)</f>
        <v/>
      </c>
      <c r="K24" s="9">
        <f>SUM(B24:J24)</f>
        <v/>
      </c>
      <c r="L24" s="10">
        <f>K24/K$87</f>
        <v/>
      </c>
      <c r="M24" s="9">
        <f>SUMIFS('Lançamentos'!$L$2:$L$5010,'Lançamentos'!$A$2:$A$5010,"Outras despesas pagas",'Lançamentos'!$H$2:$H$5010,$A24,'Lançamentos'!$C$2:$C$5010,"Antes de 2026")</f>
        <v/>
      </c>
      <c r="N24" s="9">
        <f>SUMIFS('Lançamentos'!$J$2:$J$5010,'Lançamentos'!$A$2:$A$5010,"Outras despesas pagas",'Lançamentos'!$H$2:$H$5010,$A24,'Lançamentos'!$D$2:$D$5010,"Em 2026")</f>
        <v/>
      </c>
      <c r="O24" s="9">
        <f>SUMIFS('Lançamentos'!$K$2:$K$5010,'Lançamentos'!$A$2:$A$5010,"Outras despesas pagas",'Lançamentos'!$H$2:$H$5010,$A24,'Lançamentos'!$D$2:$D$5010,"Em 2026")</f>
        <v/>
      </c>
      <c r="P24" s="26">
        <f>COUNTIFS('Lançamentos'!$A$2:$A$5010,"Outras despesas pagas",'Lançamentos'!$H$2:$H$5010,$A24,'Lançamentos'!$D$2:$D$5010,"Em 2026")</f>
        <v/>
      </c>
    </row>
    <row r="25">
      <c r="A25" t="inlineStr">
        <is>
          <t>THIAGO FERNANDES RODRIGUES</t>
        </is>
      </c>
      <c r="B25" s="9">
        <f>SUMIFS('Lançamentos'!$L$2:$L$5010,'Lançamentos'!$A$2:$A$5010,"Outras despesas pagas",'Lançamentos'!$H$2:$H$5010,$A25,'Lançamentos'!$C$2:$C$5010,B$19)</f>
        <v/>
      </c>
      <c r="C25" s="9">
        <f>SUMIFS('Lançamentos'!$L$2:$L$5010,'Lançamentos'!$A$2:$A$5010,"Outras despesas pagas",'Lançamentos'!$H$2:$H$5010,$A25,'Lançamentos'!$C$2:$C$5010,C$19)</f>
        <v/>
      </c>
      <c r="D25" s="9">
        <f>SUMIFS('Lançamentos'!$L$2:$L$5010,'Lançamentos'!$A$2:$A$5010,"Outras despesas pagas",'Lançamentos'!$H$2:$H$5010,$A25,'Lançamentos'!$C$2:$C$5010,D$19)</f>
        <v/>
      </c>
      <c r="E25" s="9">
        <f>SUMIFS('Lançamentos'!$L$2:$L$5010,'Lançamentos'!$A$2:$A$5010,"Outras despesas pagas",'Lançamentos'!$H$2:$H$5010,$A25,'Lançamentos'!$C$2:$C$5010,E$19)</f>
        <v/>
      </c>
      <c r="F25" s="9">
        <f>SUMIFS('Lançamentos'!$L$2:$L$5010,'Lançamentos'!$A$2:$A$5010,"Outras despesas pagas",'Lançamentos'!$H$2:$H$5010,$A25,'Lançamentos'!$C$2:$C$5010,F$19)</f>
        <v/>
      </c>
      <c r="G25" s="9">
        <f>SUMIFS('Lançamentos'!$L$2:$L$5010,'Lançamentos'!$A$2:$A$5010,"Outras despesas pagas",'Lançamentos'!$H$2:$H$5010,$A25,'Lançamentos'!$C$2:$C$5010,G$19)</f>
        <v/>
      </c>
      <c r="H25" s="9">
        <f>SUMIFS('Lançamentos'!$L$2:$L$5010,'Lançamentos'!$A$2:$A$5010,"Outras despesas pagas",'Lançamentos'!$H$2:$H$5010,$A25,'Lançamentos'!$C$2:$C$5010,H$19)</f>
        <v/>
      </c>
      <c r="I25" s="9">
        <f>SUMIFS('Lançamentos'!$L$2:$L$5010,'Lançamentos'!$A$2:$A$5010,"Outras despesas pagas",'Lançamentos'!$H$2:$H$5010,$A25,'Lançamentos'!$C$2:$C$5010,I$19)</f>
        <v/>
      </c>
      <c r="J25" s="9">
        <f>SUMIFS('Lançamentos'!$L$2:$L$5010,'Lançamentos'!$A$2:$A$5010,"Outras despesas pagas",'Lançamentos'!$H$2:$H$5010,$A25,'Lançamentos'!$C$2:$C$5010,J$19)</f>
        <v/>
      </c>
      <c r="K25" s="9">
        <f>SUM(B25:J25)</f>
        <v/>
      </c>
      <c r="L25" s="10">
        <f>K25/K$87</f>
        <v/>
      </c>
      <c r="M25" s="9">
        <f>SUMIFS('Lançamentos'!$L$2:$L$5010,'Lançamentos'!$A$2:$A$5010,"Outras despesas pagas",'Lançamentos'!$H$2:$H$5010,$A25,'Lançamentos'!$C$2:$C$5010,"Antes de 2026")</f>
        <v/>
      </c>
      <c r="N25" s="9">
        <f>SUMIFS('Lançamentos'!$J$2:$J$5010,'Lançamentos'!$A$2:$A$5010,"Outras despesas pagas",'Lançamentos'!$H$2:$H$5010,$A25,'Lançamentos'!$D$2:$D$5010,"Em 2026")</f>
        <v/>
      </c>
      <c r="O25" s="9">
        <f>SUMIFS('Lançamentos'!$K$2:$K$5010,'Lançamentos'!$A$2:$A$5010,"Outras despesas pagas",'Lançamentos'!$H$2:$H$5010,$A25,'Lançamentos'!$D$2:$D$5010,"Em 2026")</f>
        <v/>
      </c>
      <c r="P25" s="26">
        <f>COUNTIFS('Lançamentos'!$A$2:$A$5010,"Outras despesas pagas",'Lançamentos'!$H$2:$H$5010,$A25,'Lançamentos'!$D$2:$D$5010,"Em 2026")</f>
        <v/>
      </c>
    </row>
    <row r="26">
      <c r="A26" t="inlineStr">
        <is>
          <t>FRIGELAR COMERCIO E INDUSTRIA LTDA</t>
        </is>
      </c>
      <c r="B26" s="9">
        <f>SUMIFS('Lançamentos'!$L$2:$L$5010,'Lançamentos'!$A$2:$A$5010,"Outras despesas pagas",'Lançamentos'!$H$2:$H$5010,$A26,'Lançamentos'!$C$2:$C$5010,B$19)</f>
        <v/>
      </c>
      <c r="C26" s="9">
        <f>SUMIFS('Lançamentos'!$L$2:$L$5010,'Lançamentos'!$A$2:$A$5010,"Outras despesas pagas",'Lançamentos'!$H$2:$H$5010,$A26,'Lançamentos'!$C$2:$C$5010,C$19)</f>
        <v/>
      </c>
      <c r="D26" s="9">
        <f>SUMIFS('Lançamentos'!$L$2:$L$5010,'Lançamentos'!$A$2:$A$5010,"Outras despesas pagas",'Lançamentos'!$H$2:$H$5010,$A26,'Lançamentos'!$C$2:$C$5010,D$19)</f>
        <v/>
      </c>
      <c r="E26" s="9">
        <f>SUMIFS('Lançamentos'!$L$2:$L$5010,'Lançamentos'!$A$2:$A$5010,"Outras despesas pagas",'Lançamentos'!$H$2:$H$5010,$A26,'Lançamentos'!$C$2:$C$5010,E$19)</f>
        <v/>
      </c>
      <c r="F26" s="9">
        <f>SUMIFS('Lançamentos'!$L$2:$L$5010,'Lançamentos'!$A$2:$A$5010,"Outras despesas pagas",'Lançamentos'!$H$2:$H$5010,$A26,'Lançamentos'!$C$2:$C$5010,F$19)</f>
        <v/>
      </c>
      <c r="G26" s="9">
        <f>SUMIFS('Lançamentos'!$L$2:$L$5010,'Lançamentos'!$A$2:$A$5010,"Outras despesas pagas",'Lançamentos'!$H$2:$H$5010,$A26,'Lançamentos'!$C$2:$C$5010,G$19)</f>
        <v/>
      </c>
      <c r="H26" s="9">
        <f>SUMIFS('Lançamentos'!$L$2:$L$5010,'Lançamentos'!$A$2:$A$5010,"Outras despesas pagas",'Lançamentos'!$H$2:$H$5010,$A26,'Lançamentos'!$C$2:$C$5010,H$19)</f>
        <v/>
      </c>
      <c r="I26" s="9">
        <f>SUMIFS('Lançamentos'!$L$2:$L$5010,'Lançamentos'!$A$2:$A$5010,"Outras despesas pagas",'Lançamentos'!$H$2:$H$5010,$A26,'Lançamentos'!$C$2:$C$5010,I$19)</f>
        <v/>
      </c>
      <c r="J26" s="9">
        <f>SUMIFS('Lançamentos'!$L$2:$L$5010,'Lançamentos'!$A$2:$A$5010,"Outras despesas pagas",'Lançamentos'!$H$2:$H$5010,$A26,'Lançamentos'!$C$2:$C$5010,J$19)</f>
        <v/>
      </c>
      <c r="K26" s="9">
        <f>SUM(B26:J26)</f>
        <v/>
      </c>
      <c r="L26" s="10">
        <f>K26/K$87</f>
        <v/>
      </c>
      <c r="M26" s="9">
        <f>SUMIFS('Lançamentos'!$L$2:$L$5010,'Lançamentos'!$A$2:$A$5010,"Outras despesas pagas",'Lançamentos'!$H$2:$H$5010,$A26,'Lançamentos'!$C$2:$C$5010,"Antes de 2026")</f>
        <v/>
      </c>
      <c r="N26" s="9">
        <f>SUMIFS('Lançamentos'!$J$2:$J$5010,'Lançamentos'!$A$2:$A$5010,"Outras despesas pagas",'Lançamentos'!$H$2:$H$5010,$A26,'Lançamentos'!$D$2:$D$5010,"Em 2026")</f>
        <v/>
      </c>
      <c r="O26" s="9">
        <f>SUMIFS('Lançamentos'!$K$2:$K$5010,'Lançamentos'!$A$2:$A$5010,"Outras despesas pagas",'Lançamentos'!$H$2:$H$5010,$A26,'Lançamentos'!$D$2:$D$5010,"Em 2026")</f>
        <v/>
      </c>
      <c r="P26" s="26">
        <f>COUNTIFS('Lançamentos'!$A$2:$A$5010,"Outras despesas pagas",'Lançamentos'!$H$2:$H$5010,$A26,'Lançamentos'!$D$2:$D$5010,"Em 2026")</f>
        <v/>
      </c>
    </row>
    <row r="27">
      <c r="A27" t="inlineStr">
        <is>
          <t>LOJAS EDMIL S/A</t>
        </is>
      </c>
      <c r="B27" s="9">
        <f>SUMIFS('Lançamentos'!$L$2:$L$5010,'Lançamentos'!$A$2:$A$5010,"Outras despesas pagas",'Lançamentos'!$H$2:$H$5010,$A27,'Lançamentos'!$C$2:$C$5010,B$19)</f>
        <v/>
      </c>
      <c r="C27" s="9">
        <f>SUMIFS('Lançamentos'!$L$2:$L$5010,'Lançamentos'!$A$2:$A$5010,"Outras despesas pagas",'Lançamentos'!$H$2:$H$5010,$A27,'Lançamentos'!$C$2:$C$5010,C$19)</f>
        <v/>
      </c>
      <c r="D27" s="9">
        <f>SUMIFS('Lançamentos'!$L$2:$L$5010,'Lançamentos'!$A$2:$A$5010,"Outras despesas pagas",'Lançamentos'!$H$2:$H$5010,$A27,'Lançamentos'!$C$2:$C$5010,D$19)</f>
        <v/>
      </c>
      <c r="E27" s="9">
        <f>SUMIFS('Lançamentos'!$L$2:$L$5010,'Lançamentos'!$A$2:$A$5010,"Outras despesas pagas",'Lançamentos'!$H$2:$H$5010,$A27,'Lançamentos'!$C$2:$C$5010,E$19)</f>
        <v/>
      </c>
      <c r="F27" s="9">
        <f>SUMIFS('Lançamentos'!$L$2:$L$5010,'Lançamentos'!$A$2:$A$5010,"Outras despesas pagas",'Lançamentos'!$H$2:$H$5010,$A27,'Lançamentos'!$C$2:$C$5010,F$19)</f>
        <v/>
      </c>
      <c r="G27" s="9">
        <f>SUMIFS('Lançamentos'!$L$2:$L$5010,'Lançamentos'!$A$2:$A$5010,"Outras despesas pagas",'Lançamentos'!$H$2:$H$5010,$A27,'Lançamentos'!$C$2:$C$5010,G$19)</f>
        <v/>
      </c>
      <c r="H27" s="9">
        <f>SUMIFS('Lançamentos'!$L$2:$L$5010,'Lançamentos'!$A$2:$A$5010,"Outras despesas pagas",'Lançamentos'!$H$2:$H$5010,$A27,'Lançamentos'!$C$2:$C$5010,H$19)</f>
        <v/>
      </c>
      <c r="I27" s="9">
        <f>SUMIFS('Lançamentos'!$L$2:$L$5010,'Lançamentos'!$A$2:$A$5010,"Outras despesas pagas",'Lançamentos'!$H$2:$H$5010,$A27,'Lançamentos'!$C$2:$C$5010,I$19)</f>
        <v/>
      </c>
      <c r="J27" s="9">
        <f>SUMIFS('Lançamentos'!$L$2:$L$5010,'Lançamentos'!$A$2:$A$5010,"Outras despesas pagas",'Lançamentos'!$H$2:$H$5010,$A27,'Lançamentos'!$C$2:$C$5010,J$19)</f>
        <v/>
      </c>
      <c r="K27" s="9">
        <f>SUM(B27:J27)</f>
        <v/>
      </c>
      <c r="L27" s="10">
        <f>K27/K$87</f>
        <v/>
      </c>
      <c r="M27" s="9">
        <f>SUMIFS('Lançamentos'!$L$2:$L$5010,'Lançamentos'!$A$2:$A$5010,"Outras despesas pagas",'Lançamentos'!$H$2:$H$5010,$A27,'Lançamentos'!$C$2:$C$5010,"Antes de 2026")</f>
        <v/>
      </c>
      <c r="N27" s="9">
        <f>SUMIFS('Lançamentos'!$J$2:$J$5010,'Lançamentos'!$A$2:$A$5010,"Outras despesas pagas",'Lançamentos'!$H$2:$H$5010,$A27,'Lançamentos'!$D$2:$D$5010,"Em 2026")</f>
        <v/>
      </c>
      <c r="O27" s="9">
        <f>SUMIFS('Lançamentos'!$K$2:$K$5010,'Lançamentos'!$A$2:$A$5010,"Outras despesas pagas",'Lançamentos'!$H$2:$H$5010,$A27,'Lançamentos'!$D$2:$D$5010,"Em 2026")</f>
        <v/>
      </c>
      <c r="P27" s="26">
        <f>COUNTIFS('Lançamentos'!$A$2:$A$5010,"Outras despesas pagas",'Lançamentos'!$H$2:$H$5010,$A27,'Lançamentos'!$D$2:$D$5010,"Em 2026")</f>
        <v/>
      </c>
    </row>
    <row r="28">
      <c r="A28" t="inlineStr">
        <is>
          <t>B. B. A. INDUSTRIA E COMERCIO IMPORTACAO E EXPORTACAO LTDA</t>
        </is>
      </c>
      <c r="B28" s="9">
        <f>SUMIFS('Lançamentos'!$L$2:$L$5010,'Lançamentos'!$A$2:$A$5010,"Outras despesas pagas",'Lançamentos'!$H$2:$H$5010,$A28,'Lançamentos'!$C$2:$C$5010,B$19)</f>
        <v/>
      </c>
      <c r="C28" s="9">
        <f>SUMIFS('Lançamentos'!$L$2:$L$5010,'Lançamentos'!$A$2:$A$5010,"Outras despesas pagas",'Lançamentos'!$H$2:$H$5010,$A28,'Lançamentos'!$C$2:$C$5010,C$19)</f>
        <v/>
      </c>
      <c r="D28" s="9">
        <f>SUMIFS('Lançamentos'!$L$2:$L$5010,'Lançamentos'!$A$2:$A$5010,"Outras despesas pagas",'Lançamentos'!$H$2:$H$5010,$A28,'Lançamentos'!$C$2:$C$5010,D$19)</f>
        <v/>
      </c>
      <c r="E28" s="9">
        <f>SUMIFS('Lançamentos'!$L$2:$L$5010,'Lançamentos'!$A$2:$A$5010,"Outras despesas pagas",'Lançamentos'!$H$2:$H$5010,$A28,'Lançamentos'!$C$2:$C$5010,E$19)</f>
        <v/>
      </c>
      <c r="F28" s="9">
        <f>SUMIFS('Lançamentos'!$L$2:$L$5010,'Lançamentos'!$A$2:$A$5010,"Outras despesas pagas",'Lançamentos'!$H$2:$H$5010,$A28,'Lançamentos'!$C$2:$C$5010,F$19)</f>
        <v/>
      </c>
      <c r="G28" s="9">
        <f>SUMIFS('Lançamentos'!$L$2:$L$5010,'Lançamentos'!$A$2:$A$5010,"Outras despesas pagas",'Lançamentos'!$H$2:$H$5010,$A28,'Lançamentos'!$C$2:$C$5010,G$19)</f>
        <v/>
      </c>
      <c r="H28" s="9">
        <f>SUMIFS('Lançamentos'!$L$2:$L$5010,'Lançamentos'!$A$2:$A$5010,"Outras despesas pagas",'Lançamentos'!$H$2:$H$5010,$A28,'Lançamentos'!$C$2:$C$5010,H$19)</f>
        <v/>
      </c>
      <c r="I28" s="9">
        <f>SUMIFS('Lançamentos'!$L$2:$L$5010,'Lançamentos'!$A$2:$A$5010,"Outras despesas pagas",'Lançamentos'!$H$2:$H$5010,$A28,'Lançamentos'!$C$2:$C$5010,I$19)</f>
        <v/>
      </c>
      <c r="J28" s="9">
        <f>SUMIFS('Lançamentos'!$L$2:$L$5010,'Lançamentos'!$A$2:$A$5010,"Outras despesas pagas",'Lançamentos'!$H$2:$H$5010,$A28,'Lançamentos'!$C$2:$C$5010,J$19)</f>
        <v/>
      </c>
      <c r="K28" s="9">
        <f>SUM(B28:J28)</f>
        <v/>
      </c>
      <c r="L28" s="10">
        <f>K28/K$87</f>
        <v/>
      </c>
      <c r="M28" s="9">
        <f>SUMIFS('Lançamentos'!$L$2:$L$5010,'Lançamentos'!$A$2:$A$5010,"Outras despesas pagas",'Lançamentos'!$H$2:$H$5010,$A28,'Lançamentos'!$C$2:$C$5010,"Antes de 2026")</f>
        <v/>
      </c>
      <c r="N28" s="9">
        <f>SUMIFS('Lançamentos'!$J$2:$J$5010,'Lançamentos'!$A$2:$A$5010,"Outras despesas pagas",'Lançamentos'!$H$2:$H$5010,$A28,'Lançamentos'!$D$2:$D$5010,"Em 2026")</f>
        <v/>
      </c>
      <c r="O28" s="9">
        <f>SUMIFS('Lançamentos'!$K$2:$K$5010,'Lançamentos'!$A$2:$A$5010,"Outras despesas pagas",'Lançamentos'!$H$2:$H$5010,$A28,'Lançamentos'!$D$2:$D$5010,"Em 2026")</f>
        <v/>
      </c>
      <c r="P28" s="26">
        <f>COUNTIFS('Lançamentos'!$A$2:$A$5010,"Outras despesas pagas",'Lançamentos'!$H$2:$H$5010,$A28,'Lançamentos'!$D$2:$D$5010,"Em 2026")</f>
        <v/>
      </c>
    </row>
    <row r="29">
      <c r="A29" t="inlineStr">
        <is>
          <t>CIL - COMERCIO DE INFORMATICA LTDA</t>
        </is>
      </c>
      <c r="B29" s="9">
        <f>SUMIFS('Lançamentos'!$L$2:$L$5010,'Lançamentos'!$A$2:$A$5010,"Outras despesas pagas",'Lançamentos'!$H$2:$H$5010,$A29,'Lançamentos'!$C$2:$C$5010,B$19)</f>
        <v/>
      </c>
      <c r="C29" s="9">
        <f>SUMIFS('Lançamentos'!$L$2:$L$5010,'Lançamentos'!$A$2:$A$5010,"Outras despesas pagas",'Lançamentos'!$H$2:$H$5010,$A29,'Lançamentos'!$C$2:$C$5010,C$19)</f>
        <v/>
      </c>
      <c r="D29" s="9">
        <f>SUMIFS('Lançamentos'!$L$2:$L$5010,'Lançamentos'!$A$2:$A$5010,"Outras despesas pagas",'Lançamentos'!$H$2:$H$5010,$A29,'Lançamentos'!$C$2:$C$5010,D$19)</f>
        <v/>
      </c>
      <c r="E29" s="9">
        <f>SUMIFS('Lançamentos'!$L$2:$L$5010,'Lançamentos'!$A$2:$A$5010,"Outras despesas pagas",'Lançamentos'!$H$2:$H$5010,$A29,'Lançamentos'!$C$2:$C$5010,E$19)</f>
        <v/>
      </c>
      <c r="F29" s="9">
        <f>SUMIFS('Lançamentos'!$L$2:$L$5010,'Lançamentos'!$A$2:$A$5010,"Outras despesas pagas",'Lançamentos'!$H$2:$H$5010,$A29,'Lançamentos'!$C$2:$C$5010,F$19)</f>
        <v/>
      </c>
      <c r="G29" s="9">
        <f>SUMIFS('Lançamentos'!$L$2:$L$5010,'Lançamentos'!$A$2:$A$5010,"Outras despesas pagas",'Lançamentos'!$H$2:$H$5010,$A29,'Lançamentos'!$C$2:$C$5010,G$19)</f>
        <v/>
      </c>
      <c r="H29" s="9">
        <f>SUMIFS('Lançamentos'!$L$2:$L$5010,'Lançamentos'!$A$2:$A$5010,"Outras despesas pagas",'Lançamentos'!$H$2:$H$5010,$A29,'Lançamentos'!$C$2:$C$5010,H$19)</f>
        <v/>
      </c>
      <c r="I29" s="9">
        <f>SUMIFS('Lançamentos'!$L$2:$L$5010,'Lançamentos'!$A$2:$A$5010,"Outras despesas pagas",'Lançamentos'!$H$2:$H$5010,$A29,'Lançamentos'!$C$2:$C$5010,I$19)</f>
        <v/>
      </c>
      <c r="J29" s="9">
        <f>SUMIFS('Lançamentos'!$L$2:$L$5010,'Lançamentos'!$A$2:$A$5010,"Outras despesas pagas",'Lançamentos'!$H$2:$H$5010,$A29,'Lançamentos'!$C$2:$C$5010,J$19)</f>
        <v/>
      </c>
      <c r="K29" s="9">
        <f>SUM(B29:J29)</f>
        <v/>
      </c>
      <c r="L29" s="10">
        <f>K29/K$87</f>
        <v/>
      </c>
      <c r="M29" s="9">
        <f>SUMIFS('Lançamentos'!$L$2:$L$5010,'Lançamentos'!$A$2:$A$5010,"Outras despesas pagas",'Lançamentos'!$H$2:$H$5010,$A29,'Lançamentos'!$C$2:$C$5010,"Antes de 2026")</f>
        <v/>
      </c>
      <c r="N29" s="9">
        <f>SUMIFS('Lançamentos'!$J$2:$J$5010,'Lançamentos'!$A$2:$A$5010,"Outras despesas pagas",'Lançamentos'!$H$2:$H$5010,$A29,'Lançamentos'!$D$2:$D$5010,"Em 2026")</f>
        <v/>
      </c>
      <c r="O29" s="9">
        <f>SUMIFS('Lançamentos'!$K$2:$K$5010,'Lançamentos'!$A$2:$A$5010,"Outras despesas pagas",'Lançamentos'!$H$2:$H$5010,$A29,'Lançamentos'!$D$2:$D$5010,"Em 2026")</f>
        <v/>
      </c>
      <c r="P29" s="26">
        <f>COUNTIFS('Lançamentos'!$A$2:$A$5010,"Outras despesas pagas",'Lançamentos'!$H$2:$H$5010,$A29,'Lançamentos'!$D$2:$D$5010,"Em 2026")</f>
        <v/>
      </c>
    </row>
    <row r="30">
      <c r="A30" t="inlineStr">
        <is>
          <t>MFB MOVEIS PLANEJADOS LTDA</t>
        </is>
      </c>
      <c r="B30" s="9">
        <f>SUMIFS('Lançamentos'!$L$2:$L$5010,'Lançamentos'!$A$2:$A$5010,"Outras despesas pagas",'Lançamentos'!$H$2:$H$5010,$A30,'Lançamentos'!$C$2:$C$5010,B$19)</f>
        <v/>
      </c>
      <c r="C30" s="9">
        <f>SUMIFS('Lançamentos'!$L$2:$L$5010,'Lançamentos'!$A$2:$A$5010,"Outras despesas pagas",'Lançamentos'!$H$2:$H$5010,$A30,'Lançamentos'!$C$2:$C$5010,C$19)</f>
        <v/>
      </c>
      <c r="D30" s="9">
        <f>SUMIFS('Lançamentos'!$L$2:$L$5010,'Lançamentos'!$A$2:$A$5010,"Outras despesas pagas",'Lançamentos'!$H$2:$H$5010,$A30,'Lançamentos'!$C$2:$C$5010,D$19)</f>
        <v/>
      </c>
      <c r="E30" s="9">
        <f>SUMIFS('Lançamentos'!$L$2:$L$5010,'Lançamentos'!$A$2:$A$5010,"Outras despesas pagas",'Lançamentos'!$H$2:$H$5010,$A30,'Lançamentos'!$C$2:$C$5010,E$19)</f>
        <v/>
      </c>
      <c r="F30" s="9">
        <f>SUMIFS('Lançamentos'!$L$2:$L$5010,'Lançamentos'!$A$2:$A$5010,"Outras despesas pagas",'Lançamentos'!$H$2:$H$5010,$A30,'Lançamentos'!$C$2:$C$5010,F$19)</f>
        <v/>
      </c>
      <c r="G30" s="9">
        <f>SUMIFS('Lançamentos'!$L$2:$L$5010,'Lançamentos'!$A$2:$A$5010,"Outras despesas pagas",'Lançamentos'!$H$2:$H$5010,$A30,'Lançamentos'!$C$2:$C$5010,G$19)</f>
        <v/>
      </c>
      <c r="H30" s="9">
        <f>SUMIFS('Lançamentos'!$L$2:$L$5010,'Lançamentos'!$A$2:$A$5010,"Outras despesas pagas",'Lançamentos'!$H$2:$H$5010,$A30,'Lançamentos'!$C$2:$C$5010,H$19)</f>
        <v/>
      </c>
      <c r="I30" s="9">
        <f>SUMIFS('Lançamentos'!$L$2:$L$5010,'Lançamentos'!$A$2:$A$5010,"Outras despesas pagas",'Lançamentos'!$H$2:$H$5010,$A30,'Lançamentos'!$C$2:$C$5010,I$19)</f>
        <v/>
      </c>
      <c r="J30" s="9">
        <f>SUMIFS('Lançamentos'!$L$2:$L$5010,'Lançamentos'!$A$2:$A$5010,"Outras despesas pagas",'Lançamentos'!$H$2:$H$5010,$A30,'Lançamentos'!$C$2:$C$5010,J$19)</f>
        <v/>
      </c>
      <c r="K30" s="9">
        <f>SUM(B30:J30)</f>
        <v/>
      </c>
      <c r="L30" s="10">
        <f>K30/K$87</f>
        <v/>
      </c>
      <c r="M30" s="9">
        <f>SUMIFS('Lançamentos'!$L$2:$L$5010,'Lançamentos'!$A$2:$A$5010,"Outras despesas pagas",'Lançamentos'!$H$2:$H$5010,$A30,'Lançamentos'!$C$2:$C$5010,"Antes de 2026")</f>
        <v/>
      </c>
      <c r="N30" s="9">
        <f>SUMIFS('Lançamentos'!$J$2:$J$5010,'Lançamentos'!$A$2:$A$5010,"Outras despesas pagas",'Lançamentos'!$H$2:$H$5010,$A30,'Lançamentos'!$D$2:$D$5010,"Em 2026")</f>
        <v/>
      </c>
      <c r="O30" s="9">
        <f>SUMIFS('Lançamentos'!$K$2:$K$5010,'Lançamentos'!$A$2:$A$5010,"Outras despesas pagas",'Lançamentos'!$H$2:$H$5010,$A30,'Lançamentos'!$D$2:$D$5010,"Em 2026")</f>
        <v/>
      </c>
      <c r="P30" s="26">
        <f>COUNTIFS('Lançamentos'!$A$2:$A$5010,"Outras despesas pagas",'Lançamentos'!$H$2:$H$5010,$A30,'Lançamentos'!$D$2:$D$5010,"Em 2026")</f>
        <v/>
      </c>
    </row>
    <row r="31">
      <c r="A31" t="inlineStr">
        <is>
          <t>E. M. AMARAL - MAQUINAS E FERRAMENTAS LTDA</t>
        </is>
      </c>
      <c r="B31" s="9">
        <f>SUMIFS('Lançamentos'!$L$2:$L$5010,'Lançamentos'!$A$2:$A$5010,"Outras despesas pagas",'Lançamentos'!$H$2:$H$5010,$A31,'Lançamentos'!$C$2:$C$5010,B$19)</f>
        <v/>
      </c>
      <c r="C31" s="9">
        <f>SUMIFS('Lançamentos'!$L$2:$L$5010,'Lançamentos'!$A$2:$A$5010,"Outras despesas pagas",'Lançamentos'!$H$2:$H$5010,$A31,'Lançamentos'!$C$2:$C$5010,C$19)</f>
        <v/>
      </c>
      <c r="D31" s="9">
        <f>SUMIFS('Lançamentos'!$L$2:$L$5010,'Lançamentos'!$A$2:$A$5010,"Outras despesas pagas",'Lançamentos'!$H$2:$H$5010,$A31,'Lançamentos'!$C$2:$C$5010,D$19)</f>
        <v/>
      </c>
      <c r="E31" s="9">
        <f>SUMIFS('Lançamentos'!$L$2:$L$5010,'Lançamentos'!$A$2:$A$5010,"Outras despesas pagas",'Lançamentos'!$H$2:$H$5010,$A31,'Lançamentos'!$C$2:$C$5010,E$19)</f>
        <v/>
      </c>
      <c r="F31" s="9">
        <f>SUMIFS('Lançamentos'!$L$2:$L$5010,'Lançamentos'!$A$2:$A$5010,"Outras despesas pagas",'Lançamentos'!$H$2:$H$5010,$A31,'Lançamentos'!$C$2:$C$5010,F$19)</f>
        <v/>
      </c>
      <c r="G31" s="9">
        <f>SUMIFS('Lançamentos'!$L$2:$L$5010,'Lançamentos'!$A$2:$A$5010,"Outras despesas pagas",'Lançamentos'!$H$2:$H$5010,$A31,'Lançamentos'!$C$2:$C$5010,G$19)</f>
        <v/>
      </c>
      <c r="H31" s="9">
        <f>SUMIFS('Lançamentos'!$L$2:$L$5010,'Lançamentos'!$A$2:$A$5010,"Outras despesas pagas",'Lançamentos'!$H$2:$H$5010,$A31,'Lançamentos'!$C$2:$C$5010,H$19)</f>
        <v/>
      </c>
      <c r="I31" s="9">
        <f>SUMIFS('Lançamentos'!$L$2:$L$5010,'Lançamentos'!$A$2:$A$5010,"Outras despesas pagas",'Lançamentos'!$H$2:$H$5010,$A31,'Lançamentos'!$C$2:$C$5010,I$19)</f>
        <v/>
      </c>
      <c r="J31" s="9">
        <f>SUMIFS('Lançamentos'!$L$2:$L$5010,'Lançamentos'!$A$2:$A$5010,"Outras despesas pagas",'Lançamentos'!$H$2:$H$5010,$A31,'Lançamentos'!$C$2:$C$5010,J$19)</f>
        <v/>
      </c>
      <c r="K31" s="9">
        <f>SUM(B31:J31)</f>
        <v/>
      </c>
      <c r="L31" s="10">
        <f>K31/K$87</f>
        <v/>
      </c>
      <c r="M31" s="9">
        <f>SUMIFS('Lançamentos'!$L$2:$L$5010,'Lançamentos'!$A$2:$A$5010,"Outras despesas pagas",'Lançamentos'!$H$2:$H$5010,$A31,'Lançamentos'!$C$2:$C$5010,"Antes de 2026")</f>
        <v/>
      </c>
      <c r="N31" s="9">
        <f>SUMIFS('Lançamentos'!$J$2:$J$5010,'Lançamentos'!$A$2:$A$5010,"Outras despesas pagas",'Lançamentos'!$H$2:$H$5010,$A31,'Lançamentos'!$D$2:$D$5010,"Em 2026")</f>
        <v/>
      </c>
      <c r="O31" s="9">
        <f>SUMIFS('Lançamentos'!$K$2:$K$5010,'Lançamentos'!$A$2:$A$5010,"Outras despesas pagas",'Lançamentos'!$H$2:$H$5010,$A31,'Lançamentos'!$D$2:$D$5010,"Em 2026")</f>
        <v/>
      </c>
      <c r="P31" s="26">
        <f>COUNTIFS('Lançamentos'!$A$2:$A$5010,"Outras despesas pagas",'Lançamentos'!$H$2:$H$5010,$A31,'Lançamentos'!$D$2:$D$5010,"Em 2026")</f>
        <v/>
      </c>
    </row>
    <row r="32">
      <c r="A32" t="inlineStr">
        <is>
          <t>Ebazar.com.br. ltda</t>
        </is>
      </c>
      <c r="B32" s="9">
        <f>SUMIFS('Lançamentos'!$L$2:$L$5010,'Lançamentos'!$A$2:$A$5010,"Outras despesas pagas",'Lançamentos'!$H$2:$H$5010,$A32,'Lançamentos'!$C$2:$C$5010,B$19)</f>
        <v/>
      </c>
      <c r="C32" s="9">
        <f>SUMIFS('Lançamentos'!$L$2:$L$5010,'Lançamentos'!$A$2:$A$5010,"Outras despesas pagas",'Lançamentos'!$H$2:$H$5010,$A32,'Lançamentos'!$C$2:$C$5010,C$19)</f>
        <v/>
      </c>
      <c r="D32" s="9">
        <f>SUMIFS('Lançamentos'!$L$2:$L$5010,'Lançamentos'!$A$2:$A$5010,"Outras despesas pagas",'Lançamentos'!$H$2:$H$5010,$A32,'Lançamentos'!$C$2:$C$5010,D$19)</f>
        <v/>
      </c>
      <c r="E32" s="9">
        <f>SUMIFS('Lançamentos'!$L$2:$L$5010,'Lançamentos'!$A$2:$A$5010,"Outras despesas pagas",'Lançamentos'!$H$2:$H$5010,$A32,'Lançamentos'!$C$2:$C$5010,E$19)</f>
        <v/>
      </c>
      <c r="F32" s="9">
        <f>SUMIFS('Lançamentos'!$L$2:$L$5010,'Lançamentos'!$A$2:$A$5010,"Outras despesas pagas",'Lançamentos'!$H$2:$H$5010,$A32,'Lançamentos'!$C$2:$C$5010,F$19)</f>
        <v/>
      </c>
      <c r="G32" s="9">
        <f>SUMIFS('Lançamentos'!$L$2:$L$5010,'Lançamentos'!$A$2:$A$5010,"Outras despesas pagas",'Lançamentos'!$H$2:$H$5010,$A32,'Lançamentos'!$C$2:$C$5010,G$19)</f>
        <v/>
      </c>
      <c r="H32" s="9">
        <f>SUMIFS('Lançamentos'!$L$2:$L$5010,'Lançamentos'!$A$2:$A$5010,"Outras despesas pagas",'Lançamentos'!$H$2:$H$5010,$A32,'Lançamentos'!$C$2:$C$5010,H$19)</f>
        <v/>
      </c>
      <c r="I32" s="9">
        <f>SUMIFS('Lançamentos'!$L$2:$L$5010,'Lançamentos'!$A$2:$A$5010,"Outras despesas pagas",'Lançamentos'!$H$2:$H$5010,$A32,'Lançamentos'!$C$2:$C$5010,I$19)</f>
        <v/>
      </c>
      <c r="J32" s="9">
        <f>SUMIFS('Lançamentos'!$L$2:$L$5010,'Lançamentos'!$A$2:$A$5010,"Outras despesas pagas",'Lançamentos'!$H$2:$H$5010,$A32,'Lançamentos'!$C$2:$C$5010,J$19)</f>
        <v/>
      </c>
      <c r="K32" s="9">
        <f>SUM(B32:J32)</f>
        <v/>
      </c>
      <c r="L32" s="10">
        <f>K32/K$87</f>
        <v/>
      </c>
      <c r="M32" s="9">
        <f>SUMIFS('Lançamentos'!$L$2:$L$5010,'Lançamentos'!$A$2:$A$5010,"Outras despesas pagas",'Lançamentos'!$H$2:$H$5010,$A32,'Lançamentos'!$C$2:$C$5010,"Antes de 2026")</f>
        <v/>
      </c>
      <c r="N32" s="9">
        <f>SUMIFS('Lançamentos'!$J$2:$J$5010,'Lançamentos'!$A$2:$A$5010,"Outras despesas pagas",'Lançamentos'!$H$2:$H$5010,$A32,'Lançamentos'!$D$2:$D$5010,"Em 2026")</f>
        <v/>
      </c>
      <c r="O32" s="9">
        <f>SUMIFS('Lançamentos'!$K$2:$K$5010,'Lançamentos'!$A$2:$A$5010,"Outras despesas pagas",'Lançamentos'!$H$2:$H$5010,$A32,'Lançamentos'!$D$2:$D$5010,"Em 2026")</f>
        <v/>
      </c>
      <c r="P32" s="26">
        <f>COUNTIFS('Lançamentos'!$A$2:$A$5010,"Outras despesas pagas",'Lançamentos'!$H$2:$H$5010,$A32,'Lançamentos'!$D$2:$D$5010,"Em 2026")</f>
        <v/>
      </c>
    </row>
    <row r="33">
      <c r="A33" t="inlineStr">
        <is>
          <t>ARLINDO ALVES PASCOAL JUNIOR</t>
        </is>
      </c>
      <c r="B33" s="9">
        <f>SUMIFS('Lançamentos'!$L$2:$L$5010,'Lançamentos'!$A$2:$A$5010,"Outras despesas pagas",'Lançamentos'!$H$2:$H$5010,$A33,'Lançamentos'!$C$2:$C$5010,B$19)</f>
        <v/>
      </c>
      <c r="C33" s="9">
        <f>SUMIFS('Lançamentos'!$L$2:$L$5010,'Lançamentos'!$A$2:$A$5010,"Outras despesas pagas",'Lançamentos'!$H$2:$H$5010,$A33,'Lançamentos'!$C$2:$C$5010,C$19)</f>
        <v/>
      </c>
      <c r="D33" s="9">
        <f>SUMIFS('Lançamentos'!$L$2:$L$5010,'Lançamentos'!$A$2:$A$5010,"Outras despesas pagas",'Lançamentos'!$H$2:$H$5010,$A33,'Lançamentos'!$C$2:$C$5010,D$19)</f>
        <v/>
      </c>
      <c r="E33" s="9">
        <f>SUMIFS('Lançamentos'!$L$2:$L$5010,'Lançamentos'!$A$2:$A$5010,"Outras despesas pagas",'Lançamentos'!$H$2:$H$5010,$A33,'Lançamentos'!$C$2:$C$5010,E$19)</f>
        <v/>
      </c>
      <c r="F33" s="9">
        <f>SUMIFS('Lançamentos'!$L$2:$L$5010,'Lançamentos'!$A$2:$A$5010,"Outras despesas pagas",'Lançamentos'!$H$2:$H$5010,$A33,'Lançamentos'!$C$2:$C$5010,F$19)</f>
        <v/>
      </c>
      <c r="G33" s="9">
        <f>SUMIFS('Lançamentos'!$L$2:$L$5010,'Lançamentos'!$A$2:$A$5010,"Outras despesas pagas",'Lançamentos'!$H$2:$H$5010,$A33,'Lançamentos'!$C$2:$C$5010,G$19)</f>
        <v/>
      </c>
      <c r="H33" s="9">
        <f>SUMIFS('Lançamentos'!$L$2:$L$5010,'Lançamentos'!$A$2:$A$5010,"Outras despesas pagas",'Lançamentos'!$H$2:$H$5010,$A33,'Lançamentos'!$C$2:$C$5010,H$19)</f>
        <v/>
      </c>
      <c r="I33" s="9">
        <f>SUMIFS('Lançamentos'!$L$2:$L$5010,'Lançamentos'!$A$2:$A$5010,"Outras despesas pagas",'Lançamentos'!$H$2:$H$5010,$A33,'Lançamentos'!$C$2:$C$5010,I$19)</f>
        <v/>
      </c>
      <c r="J33" s="9">
        <f>SUMIFS('Lançamentos'!$L$2:$L$5010,'Lançamentos'!$A$2:$A$5010,"Outras despesas pagas",'Lançamentos'!$H$2:$H$5010,$A33,'Lançamentos'!$C$2:$C$5010,J$19)</f>
        <v/>
      </c>
      <c r="K33" s="9">
        <f>SUM(B33:J33)</f>
        <v/>
      </c>
      <c r="L33" s="10">
        <f>K33/K$87</f>
        <v/>
      </c>
      <c r="M33" s="9">
        <f>SUMIFS('Lançamentos'!$L$2:$L$5010,'Lançamentos'!$A$2:$A$5010,"Outras despesas pagas",'Lançamentos'!$H$2:$H$5010,$A33,'Lançamentos'!$C$2:$C$5010,"Antes de 2026")</f>
        <v/>
      </c>
      <c r="N33" s="9">
        <f>SUMIFS('Lançamentos'!$J$2:$J$5010,'Lançamentos'!$A$2:$A$5010,"Outras despesas pagas",'Lançamentos'!$H$2:$H$5010,$A33,'Lançamentos'!$D$2:$D$5010,"Em 2026")</f>
        <v/>
      </c>
      <c r="O33" s="9">
        <f>SUMIFS('Lançamentos'!$K$2:$K$5010,'Lançamentos'!$A$2:$A$5010,"Outras despesas pagas",'Lançamentos'!$H$2:$H$5010,$A33,'Lançamentos'!$D$2:$D$5010,"Em 2026")</f>
        <v/>
      </c>
      <c r="P33" s="26">
        <f>COUNTIFS('Lançamentos'!$A$2:$A$5010,"Outras despesas pagas",'Lançamentos'!$H$2:$H$5010,$A33,'Lançamentos'!$D$2:$D$5010,"Em 2026")</f>
        <v/>
      </c>
    </row>
    <row r="34">
      <c r="A34" t="inlineStr">
        <is>
          <t>BR EMBALAGENS INDUSTRIA E COMERCIO LTDA</t>
        </is>
      </c>
      <c r="B34" s="9">
        <f>SUMIFS('Lançamentos'!$L$2:$L$5010,'Lançamentos'!$A$2:$A$5010,"Outras despesas pagas",'Lançamentos'!$H$2:$H$5010,$A34,'Lançamentos'!$C$2:$C$5010,B$19)</f>
        <v/>
      </c>
      <c r="C34" s="9">
        <f>SUMIFS('Lançamentos'!$L$2:$L$5010,'Lançamentos'!$A$2:$A$5010,"Outras despesas pagas",'Lançamentos'!$H$2:$H$5010,$A34,'Lançamentos'!$C$2:$C$5010,C$19)</f>
        <v/>
      </c>
      <c r="D34" s="9">
        <f>SUMIFS('Lançamentos'!$L$2:$L$5010,'Lançamentos'!$A$2:$A$5010,"Outras despesas pagas",'Lançamentos'!$H$2:$H$5010,$A34,'Lançamentos'!$C$2:$C$5010,D$19)</f>
        <v/>
      </c>
      <c r="E34" s="9">
        <f>SUMIFS('Lançamentos'!$L$2:$L$5010,'Lançamentos'!$A$2:$A$5010,"Outras despesas pagas",'Lançamentos'!$H$2:$H$5010,$A34,'Lançamentos'!$C$2:$C$5010,E$19)</f>
        <v/>
      </c>
      <c r="F34" s="9">
        <f>SUMIFS('Lançamentos'!$L$2:$L$5010,'Lançamentos'!$A$2:$A$5010,"Outras despesas pagas",'Lançamentos'!$H$2:$H$5010,$A34,'Lançamentos'!$C$2:$C$5010,F$19)</f>
        <v/>
      </c>
      <c r="G34" s="9">
        <f>SUMIFS('Lançamentos'!$L$2:$L$5010,'Lançamentos'!$A$2:$A$5010,"Outras despesas pagas",'Lançamentos'!$H$2:$H$5010,$A34,'Lançamentos'!$C$2:$C$5010,G$19)</f>
        <v/>
      </c>
      <c r="H34" s="9">
        <f>SUMIFS('Lançamentos'!$L$2:$L$5010,'Lançamentos'!$A$2:$A$5010,"Outras despesas pagas",'Lançamentos'!$H$2:$H$5010,$A34,'Lançamentos'!$C$2:$C$5010,H$19)</f>
        <v/>
      </c>
      <c r="I34" s="9">
        <f>SUMIFS('Lançamentos'!$L$2:$L$5010,'Lançamentos'!$A$2:$A$5010,"Outras despesas pagas",'Lançamentos'!$H$2:$H$5010,$A34,'Lançamentos'!$C$2:$C$5010,I$19)</f>
        <v/>
      </c>
      <c r="J34" s="9">
        <f>SUMIFS('Lançamentos'!$L$2:$L$5010,'Lançamentos'!$A$2:$A$5010,"Outras despesas pagas",'Lançamentos'!$H$2:$H$5010,$A34,'Lançamentos'!$C$2:$C$5010,J$19)</f>
        <v/>
      </c>
      <c r="K34" s="9">
        <f>SUM(B34:J34)</f>
        <v/>
      </c>
      <c r="L34" s="10">
        <f>K34/K$87</f>
        <v/>
      </c>
      <c r="M34" s="9">
        <f>SUMIFS('Lançamentos'!$L$2:$L$5010,'Lançamentos'!$A$2:$A$5010,"Outras despesas pagas",'Lançamentos'!$H$2:$H$5010,$A34,'Lançamentos'!$C$2:$C$5010,"Antes de 2026")</f>
        <v/>
      </c>
      <c r="N34" s="9">
        <f>SUMIFS('Lançamentos'!$J$2:$J$5010,'Lançamentos'!$A$2:$A$5010,"Outras despesas pagas",'Lançamentos'!$H$2:$H$5010,$A34,'Lançamentos'!$D$2:$D$5010,"Em 2026")</f>
        <v/>
      </c>
      <c r="O34" s="9">
        <f>SUMIFS('Lançamentos'!$K$2:$K$5010,'Lançamentos'!$A$2:$A$5010,"Outras despesas pagas",'Lançamentos'!$H$2:$H$5010,$A34,'Lançamentos'!$D$2:$D$5010,"Em 2026")</f>
        <v/>
      </c>
      <c r="P34" s="26">
        <f>COUNTIFS('Lançamentos'!$A$2:$A$5010,"Outras despesas pagas",'Lançamentos'!$H$2:$H$5010,$A34,'Lançamentos'!$D$2:$D$5010,"Em 2026")</f>
        <v/>
      </c>
    </row>
    <row r="35">
      <c r="A35" t="inlineStr">
        <is>
          <t>CONSTRUTIVA MATERIAIS ELETRICOS LTDA</t>
        </is>
      </c>
      <c r="B35" s="9">
        <f>SUMIFS('Lançamentos'!$L$2:$L$5010,'Lançamentos'!$A$2:$A$5010,"Outras despesas pagas",'Lançamentos'!$H$2:$H$5010,$A35,'Lançamentos'!$C$2:$C$5010,B$19)</f>
        <v/>
      </c>
      <c r="C35" s="9">
        <f>SUMIFS('Lançamentos'!$L$2:$L$5010,'Lançamentos'!$A$2:$A$5010,"Outras despesas pagas",'Lançamentos'!$H$2:$H$5010,$A35,'Lançamentos'!$C$2:$C$5010,C$19)</f>
        <v/>
      </c>
      <c r="D35" s="9">
        <f>SUMIFS('Lançamentos'!$L$2:$L$5010,'Lançamentos'!$A$2:$A$5010,"Outras despesas pagas",'Lançamentos'!$H$2:$H$5010,$A35,'Lançamentos'!$C$2:$C$5010,D$19)</f>
        <v/>
      </c>
      <c r="E35" s="9">
        <f>SUMIFS('Lançamentos'!$L$2:$L$5010,'Lançamentos'!$A$2:$A$5010,"Outras despesas pagas",'Lançamentos'!$H$2:$H$5010,$A35,'Lançamentos'!$C$2:$C$5010,E$19)</f>
        <v/>
      </c>
      <c r="F35" s="9">
        <f>SUMIFS('Lançamentos'!$L$2:$L$5010,'Lançamentos'!$A$2:$A$5010,"Outras despesas pagas",'Lançamentos'!$H$2:$H$5010,$A35,'Lançamentos'!$C$2:$C$5010,F$19)</f>
        <v/>
      </c>
      <c r="G35" s="9">
        <f>SUMIFS('Lançamentos'!$L$2:$L$5010,'Lançamentos'!$A$2:$A$5010,"Outras despesas pagas",'Lançamentos'!$H$2:$H$5010,$A35,'Lançamentos'!$C$2:$C$5010,G$19)</f>
        <v/>
      </c>
      <c r="H35" s="9">
        <f>SUMIFS('Lançamentos'!$L$2:$L$5010,'Lançamentos'!$A$2:$A$5010,"Outras despesas pagas",'Lançamentos'!$H$2:$H$5010,$A35,'Lançamentos'!$C$2:$C$5010,H$19)</f>
        <v/>
      </c>
      <c r="I35" s="9">
        <f>SUMIFS('Lançamentos'!$L$2:$L$5010,'Lançamentos'!$A$2:$A$5010,"Outras despesas pagas",'Lançamentos'!$H$2:$H$5010,$A35,'Lançamentos'!$C$2:$C$5010,I$19)</f>
        <v/>
      </c>
      <c r="J35" s="9">
        <f>SUMIFS('Lançamentos'!$L$2:$L$5010,'Lançamentos'!$A$2:$A$5010,"Outras despesas pagas",'Lançamentos'!$H$2:$H$5010,$A35,'Lançamentos'!$C$2:$C$5010,J$19)</f>
        <v/>
      </c>
      <c r="K35" s="9">
        <f>SUM(B35:J35)</f>
        <v/>
      </c>
      <c r="L35" s="10">
        <f>K35/K$87</f>
        <v/>
      </c>
      <c r="M35" s="9">
        <f>SUMIFS('Lançamentos'!$L$2:$L$5010,'Lançamentos'!$A$2:$A$5010,"Outras despesas pagas",'Lançamentos'!$H$2:$H$5010,$A35,'Lançamentos'!$C$2:$C$5010,"Antes de 2026")</f>
        <v/>
      </c>
      <c r="N35" s="9">
        <f>SUMIFS('Lançamentos'!$J$2:$J$5010,'Lançamentos'!$A$2:$A$5010,"Outras despesas pagas",'Lançamentos'!$H$2:$H$5010,$A35,'Lançamentos'!$D$2:$D$5010,"Em 2026")</f>
        <v/>
      </c>
      <c r="O35" s="9">
        <f>SUMIFS('Lançamentos'!$K$2:$K$5010,'Lançamentos'!$A$2:$A$5010,"Outras despesas pagas",'Lançamentos'!$H$2:$H$5010,$A35,'Lançamentos'!$D$2:$D$5010,"Em 2026")</f>
        <v/>
      </c>
      <c r="P35" s="26">
        <f>COUNTIFS('Lançamentos'!$A$2:$A$5010,"Outras despesas pagas",'Lançamentos'!$H$2:$H$5010,$A35,'Lançamentos'!$D$2:$D$5010,"Em 2026")</f>
        <v/>
      </c>
    </row>
    <row r="36">
      <c r="A36" t="inlineStr">
        <is>
          <t>LED NORDESTE ILUMINACAO LTDA</t>
        </is>
      </c>
      <c r="B36" s="9">
        <f>SUMIFS('Lançamentos'!$L$2:$L$5010,'Lançamentos'!$A$2:$A$5010,"Outras despesas pagas",'Lançamentos'!$H$2:$H$5010,$A36,'Lançamentos'!$C$2:$C$5010,B$19)</f>
        <v/>
      </c>
      <c r="C36" s="9">
        <f>SUMIFS('Lançamentos'!$L$2:$L$5010,'Lançamentos'!$A$2:$A$5010,"Outras despesas pagas",'Lançamentos'!$H$2:$H$5010,$A36,'Lançamentos'!$C$2:$C$5010,C$19)</f>
        <v/>
      </c>
      <c r="D36" s="9">
        <f>SUMIFS('Lançamentos'!$L$2:$L$5010,'Lançamentos'!$A$2:$A$5010,"Outras despesas pagas",'Lançamentos'!$H$2:$H$5010,$A36,'Lançamentos'!$C$2:$C$5010,D$19)</f>
        <v/>
      </c>
      <c r="E36" s="9">
        <f>SUMIFS('Lançamentos'!$L$2:$L$5010,'Lançamentos'!$A$2:$A$5010,"Outras despesas pagas",'Lançamentos'!$H$2:$H$5010,$A36,'Lançamentos'!$C$2:$C$5010,E$19)</f>
        <v/>
      </c>
      <c r="F36" s="9">
        <f>SUMIFS('Lançamentos'!$L$2:$L$5010,'Lançamentos'!$A$2:$A$5010,"Outras despesas pagas",'Lançamentos'!$H$2:$H$5010,$A36,'Lançamentos'!$C$2:$C$5010,F$19)</f>
        <v/>
      </c>
      <c r="G36" s="9">
        <f>SUMIFS('Lançamentos'!$L$2:$L$5010,'Lançamentos'!$A$2:$A$5010,"Outras despesas pagas",'Lançamentos'!$H$2:$H$5010,$A36,'Lançamentos'!$C$2:$C$5010,G$19)</f>
        <v/>
      </c>
      <c r="H36" s="9">
        <f>SUMIFS('Lançamentos'!$L$2:$L$5010,'Lançamentos'!$A$2:$A$5010,"Outras despesas pagas",'Lançamentos'!$H$2:$H$5010,$A36,'Lançamentos'!$C$2:$C$5010,H$19)</f>
        <v/>
      </c>
      <c r="I36" s="9">
        <f>SUMIFS('Lançamentos'!$L$2:$L$5010,'Lançamentos'!$A$2:$A$5010,"Outras despesas pagas",'Lançamentos'!$H$2:$H$5010,$A36,'Lançamentos'!$C$2:$C$5010,I$19)</f>
        <v/>
      </c>
      <c r="J36" s="9">
        <f>SUMIFS('Lançamentos'!$L$2:$L$5010,'Lançamentos'!$A$2:$A$5010,"Outras despesas pagas",'Lançamentos'!$H$2:$H$5010,$A36,'Lançamentos'!$C$2:$C$5010,J$19)</f>
        <v/>
      </c>
      <c r="K36" s="9">
        <f>SUM(B36:J36)</f>
        <v/>
      </c>
      <c r="L36" s="10">
        <f>K36/K$87</f>
        <v/>
      </c>
      <c r="M36" s="9">
        <f>SUMIFS('Lançamentos'!$L$2:$L$5010,'Lançamentos'!$A$2:$A$5010,"Outras despesas pagas",'Lançamentos'!$H$2:$H$5010,$A36,'Lançamentos'!$C$2:$C$5010,"Antes de 2026")</f>
        <v/>
      </c>
      <c r="N36" s="9">
        <f>SUMIFS('Lançamentos'!$J$2:$J$5010,'Lançamentos'!$A$2:$A$5010,"Outras despesas pagas",'Lançamentos'!$H$2:$H$5010,$A36,'Lançamentos'!$D$2:$D$5010,"Em 2026")</f>
        <v/>
      </c>
      <c r="O36" s="9">
        <f>SUMIFS('Lançamentos'!$K$2:$K$5010,'Lançamentos'!$A$2:$A$5010,"Outras despesas pagas",'Lançamentos'!$H$2:$H$5010,$A36,'Lançamentos'!$D$2:$D$5010,"Em 2026")</f>
        <v/>
      </c>
      <c r="P36" s="26">
        <f>COUNTIFS('Lançamentos'!$A$2:$A$5010,"Outras despesas pagas",'Lançamentos'!$H$2:$H$5010,$A36,'Lançamentos'!$D$2:$D$5010,"Em 2026")</f>
        <v/>
      </c>
    </row>
    <row r="37">
      <c r="A37" t="inlineStr">
        <is>
          <t>Beltex Ind. e Com. de Correias Ltda.</t>
        </is>
      </c>
      <c r="B37" s="9">
        <f>SUMIFS('Lançamentos'!$L$2:$L$5010,'Lançamentos'!$A$2:$A$5010,"Outras despesas pagas",'Lançamentos'!$H$2:$H$5010,$A37,'Lançamentos'!$C$2:$C$5010,B$19)</f>
        <v/>
      </c>
      <c r="C37" s="9">
        <f>SUMIFS('Lançamentos'!$L$2:$L$5010,'Lançamentos'!$A$2:$A$5010,"Outras despesas pagas",'Lançamentos'!$H$2:$H$5010,$A37,'Lançamentos'!$C$2:$C$5010,C$19)</f>
        <v/>
      </c>
      <c r="D37" s="9">
        <f>SUMIFS('Lançamentos'!$L$2:$L$5010,'Lançamentos'!$A$2:$A$5010,"Outras despesas pagas",'Lançamentos'!$H$2:$H$5010,$A37,'Lançamentos'!$C$2:$C$5010,D$19)</f>
        <v/>
      </c>
      <c r="E37" s="9">
        <f>SUMIFS('Lançamentos'!$L$2:$L$5010,'Lançamentos'!$A$2:$A$5010,"Outras despesas pagas",'Lançamentos'!$H$2:$H$5010,$A37,'Lançamentos'!$C$2:$C$5010,E$19)</f>
        <v/>
      </c>
      <c r="F37" s="9">
        <f>SUMIFS('Lançamentos'!$L$2:$L$5010,'Lançamentos'!$A$2:$A$5010,"Outras despesas pagas",'Lançamentos'!$H$2:$H$5010,$A37,'Lançamentos'!$C$2:$C$5010,F$19)</f>
        <v/>
      </c>
      <c r="G37" s="9">
        <f>SUMIFS('Lançamentos'!$L$2:$L$5010,'Lançamentos'!$A$2:$A$5010,"Outras despesas pagas",'Lançamentos'!$H$2:$H$5010,$A37,'Lançamentos'!$C$2:$C$5010,G$19)</f>
        <v/>
      </c>
      <c r="H37" s="9">
        <f>SUMIFS('Lançamentos'!$L$2:$L$5010,'Lançamentos'!$A$2:$A$5010,"Outras despesas pagas",'Lançamentos'!$H$2:$H$5010,$A37,'Lançamentos'!$C$2:$C$5010,H$19)</f>
        <v/>
      </c>
      <c r="I37" s="9">
        <f>SUMIFS('Lançamentos'!$L$2:$L$5010,'Lançamentos'!$A$2:$A$5010,"Outras despesas pagas",'Lançamentos'!$H$2:$H$5010,$A37,'Lançamentos'!$C$2:$C$5010,I$19)</f>
        <v/>
      </c>
      <c r="J37" s="9">
        <f>SUMIFS('Lançamentos'!$L$2:$L$5010,'Lançamentos'!$A$2:$A$5010,"Outras despesas pagas",'Lançamentos'!$H$2:$H$5010,$A37,'Lançamentos'!$C$2:$C$5010,J$19)</f>
        <v/>
      </c>
      <c r="K37" s="9">
        <f>SUM(B37:J37)</f>
        <v/>
      </c>
      <c r="L37" s="10">
        <f>K37/K$87</f>
        <v/>
      </c>
      <c r="M37" s="9">
        <f>SUMIFS('Lançamentos'!$L$2:$L$5010,'Lançamentos'!$A$2:$A$5010,"Outras despesas pagas",'Lançamentos'!$H$2:$H$5010,$A37,'Lançamentos'!$C$2:$C$5010,"Antes de 2026")</f>
        <v/>
      </c>
      <c r="N37" s="9">
        <f>SUMIFS('Lançamentos'!$J$2:$J$5010,'Lançamentos'!$A$2:$A$5010,"Outras despesas pagas",'Lançamentos'!$H$2:$H$5010,$A37,'Lançamentos'!$D$2:$D$5010,"Em 2026")</f>
        <v/>
      </c>
      <c r="O37" s="9">
        <f>SUMIFS('Lançamentos'!$K$2:$K$5010,'Lançamentos'!$A$2:$A$5010,"Outras despesas pagas",'Lançamentos'!$H$2:$H$5010,$A37,'Lançamentos'!$D$2:$D$5010,"Em 2026")</f>
        <v/>
      </c>
      <c r="P37" s="26">
        <f>COUNTIFS('Lançamentos'!$A$2:$A$5010,"Outras despesas pagas",'Lançamentos'!$H$2:$H$5010,$A37,'Lançamentos'!$D$2:$D$5010,"Em 2026")</f>
        <v/>
      </c>
    </row>
    <row r="38">
      <c r="A38" t="inlineStr">
        <is>
          <t>VENDARALHO COMERCIO E SOLUCOES LTDA</t>
        </is>
      </c>
      <c r="B38" s="9">
        <f>SUMIFS('Lançamentos'!$L$2:$L$5010,'Lançamentos'!$A$2:$A$5010,"Outras despesas pagas",'Lançamentos'!$H$2:$H$5010,$A38,'Lançamentos'!$C$2:$C$5010,B$19)</f>
        <v/>
      </c>
      <c r="C38" s="9">
        <f>SUMIFS('Lançamentos'!$L$2:$L$5010,'Lançamentos'!$A$2:$A$5010,"Outras despesas pagas",'Lançamentos'!$H$2:$H$5010,$A38,'Lançamentos'!$C$2:$C$5010,C$19)</f>
        <v/>
      </c>
      <c r="D38" s="9">
        <f>SUMIFS('Lançamentos'!$L$2:$L$5010,'Lançamentos'!$A$2:$A$5010,"Outras despesas pagas",'Lançamentos'!$H$2:$H$5010,$A38,'Lançamentos'!$C$2:$C$5010,D$19)</f>
        <v/>
      </c>
      <c r="E38" s="9">
        <f>SUMIFS('Lançamentos'!$L$2:$L$5010,'Lançamentos'!$A$2:$A$5010,"Outras despesas pagas",'Lançamentos'!$H$2:$H$5010,$A38,'Lançamentos'!$C$2:$C$5010,E$19)</f>
        <v/>
      </c>
      <c r="F38" s="9">
        <f>SUMIFS('Lançamentos'!$L$2:$L$5010,'Lançamentos'!$A$2:$A$5010,"Outras despesas pagas",'Lançamentos'!$H$2:$H$5010,$A38,'Lançamentos'!$C$2:$C$5010,F$19)</f>
        <v/>
      </c>
      <c r="G38" s="9">
        <f>SUMIFS('Lançamentos'!$L$2:$L$5010,'Lançamentos'!$A$2:$A$5010,"Outras despesas pagas",'Lançamentos'!$H$2:$H$5010,$A38,'Lançamentos'!$C$2:$C$5010,G$19)</f>
        <v/>
      </c>
      <c r="H38" s="9">
        <f>SUMIFS('Lançamentos'!$L$2:$L$5010,'Lançamentos'!$A$2:$A$5010,"Outras despesas pagas",'Lançamentos'!$H$2:$H$5010,$A38,'Lançamentos'!$C$2:$C$5010,H$19)</f>
        <v/>
      </c>
      <c r="I38" s="9">
        <f>SUMIFS('Lançamentos'!$L$2:$L$5010,'Lançamentos'!$A$2:$A$5010,"Outras despesas pagas",'Lançamentos'!$H$2:$H$5010,$A38,'Lançamentos'!$C$2:$C$5010,I$19)</f>
        <v/>
      </c>
      <c r="J38" s="9">
        <f>SUMIFS('Lançamentos'!$L$2:$L$5010,'Lançamentos'!$A$2:$A$5010,"Outras despesas pagas",'Lançamentos'!$H$2:$H$5010,$A38,'Lançamentos'!$C$2:$C$5010,J$19)</f>
        <v/>
      </c>
      <c r="K38" s="9">
        <f>SUM(B38:J38)</f>
        <v/>
      </c>
      <c r="L38" s="10">
        <f>K38/K$87</f>
        <v/>
      </c>
      <c r="M38" s="9">
        <f>SUMIFS('Lançamentos'!$L$2:$L$5010,'Lançamentos'!$A$2:$A$5010,"Outras despesas pagas",'Lançamentos'!$H$2:$H$5010,$A38,'Lançamentos'!$C$2:$C$5010,"Antes de 2026")</f>
        <v/>
      </c>
      <c r="N38" s="9">
        <f>SUMIFS('Lançamentos'!$J$2:$J$5010,'Lançamentos'!$A$2:$A$5010,"Outras despesas pagas",'Lançamentos'!$H$2:$H$5010,$A38,'Lançamentos'!$D$2:$D$5010,"Em 2026")</f>
        <v/>
      </c>
      <c r="O38" s="9">
        <f>SUMIFS('Lançamentos'!$K$2:$K$5010,'Lançamentos'!$A$2:$A$5010,"Outras despesas pagas",'Lançamentos'!$H$2:$H$5010,$A38,'Lançamentos'!$D$2:$D$5010,"Em 2026")</f>
        <v/>
      </c>
      <c r="P38" s="26">
        <f>COUNTIFS('Lançamentos'!$A$2:$A$5010,"Outras despesas pagas",'Lançamentos'!$H$2:$H$5010,$A38,'Lançamentos'!$D$2:$D$5010,"Em 2026")</f>
        <v/>
      </c>
    </row>
    <row r="39">
      <c r="A39" t="inlineStr">
        <is>
          <t>ROLIMEC ROLAMENTOS LTDA</t>
        </is>
      </c>
      <c r="B39" s="9">
        <f>SUMIFS('Lançamentos'!$L$2:$L$5010,'Lançamentos'!$A$2:$A$5010,"Outras despesas pagas",'Lançamentos'!$H$2:$H$5010,$A39,'Lançamentos'!$C$2:$C$5010,B$19)</f>
        <v/>
      </c>
      <c r="C39" s="9">
        <f>SUMIFS('Lançamentos'!$L$2:$L$5010,'Lançamentos'!$A$2:$A$5010,"Outras despesas pagas",'Lançamentos'!$H$2:$H$5010,$A39,'Lançamentos'!$C$2:$C$5010,C$19)</f>
        <v/>
      </c>
      <c r="D39" s="9">
        <f>SUMIFS('Lançamentos'!$L$2:$L$5010,'Lançamentos'!$A$2:$A$5010,"Outras despesas pagas",'Lançamentos'!$H$2:$H$5010,$A39,'Lançamentos'!$C$2:$C$5010,D$19)</f>
        <v/>
      </c>
      <c r="E39" s="9">
        <f>SUMIFS('Lançamentos'!$L$2:$L$5010,'Lançamentos'!$A$2:$A$5010,"Outras despesas pagas",'Lançamentos'!$H$2:$H$5010,$A39,'Lançamentos'!$C$2:$C$5010,E$19)</f>
        <v/>
      </c>
      <c r="F39" s="9">
        <f>SUMIFS('Lançamentos'!$L$2:$L$5010,'Lançamentos'!$A$2:$A$5010,"Outras despesas pagas",'Lançamentos'!$H$2:$H$5010,$A39,'Lançamentos'!$C$2:$C$5010,F$19)</f>
        <v/>
      </c>
      <c r="G39" s="9">
        <f>SUMIFS('Lançamentos'!$L$2:$L$5010,'Lançamentos'!$A$2:$A$5010,"Outras despesas pagas",'Lançamentos'!$H$2:$H$5010,$A39,'Lançamentos'!$C$2:$C$5010,G$19)</f>
        <v/>
      </c>
      <c r="H39" s="9">
        <f>SUMIFS('Lançamentos'!$L$2:$L$5010,'Lançamentos'!$A$2:$A$5010,"Outras despesas pagas",'Lançamentos'!$H$2:$H$5010,$A39,'Lançamentos'!$C$2:$C$5010,H$19)</f>
        <v/>
      </c>
      <c r="I39" s="9">
        <f>SUMIFS('Lançamentos'!$L$2:$L$5010,'Lançamentos'!$A$2:$A$5010,"Outras despesas pagas",'Lançamentos'!$H$2:$H$5010,$A39,'Lançamentos'!$C$2:$C$5010,I$19)</f>
        <v/>
      </c>
      <c r="J39" s="9">
        <f>SUMIFS('Lançamentos'!$L$2:$L$5010,'Lançamentos'!$A$2:$A$5010,"Outras despesas pagas",'Lançamentos'!$H$2:$H$5010,$A39,'Lançamentos'!$C$2:$C$5010,J$19)</f>
        <v/>
      </c>
      <c r="K39" s="9">
        <f>SUM(B39:J39)</f>
        <v/>
      </c>
      <c r="L39" s="10">
        <f>K39/K$87</f>
        <v/>
      </c>
      <c r="M39" s="9">
        <f>SUMIFS('Lançamentos'!$L$2:$L$5010,'Lançamentos'!$A$2:$A$5010,"Outras despesas pagas",'Lançamentos'!$H$2:$H$5010,$A39,'Lançamentos'!$C$2:$C$5010,"Antes de 2026")</f>
        <v/>
      </c>
      <c r="N39" s="9">
        <f>SUMIFS('Lançamentos'!$J$2:$J$5010,'Lançamentos'!$A$2:$A$5010,"Outras despesas pagas",'Lançamentos'!$H$2:$H$5010,$A39,'Lançamentos'!$D$2:$D$5010,"Em 2026")</f>
        <v/>
      </c>
      <c r="O39" s="9">
        <f>SUMIFS('Lançamentos'!$K$2:$K$5010,'Lançamentos'!$A$2:$A$5010,"Outras despesas pagas",'Lançamentos'!$H$2:$H$5010,$A39,'Lançamentos'!$D$2:$D$5010,"Em 2026")</f>
        <v/>
      </c>
      <c r="P39" s="26">
        <f>COUNTIFS('Lançamentos'!$A$2:$A$5010,"Outras despesas pagas",'Lançamentos'!$H$2:$H$5010,$A39,'Lançamentos'!$D$2:$D$5010,"Em 2026")</f>
        <v/>
      </c>
    </row>
    <row r="40">
      <c r="A40" t="inlineStr">
        <is>
          <t>38.277.962 RAQUEL BARBOSA DE PAIVA SANTOS SALES</t>
        </is>
      </c>
      <c r="B40" s="9">
        <f>SUMIFS('Lançamentos'!$L$2:$L$5010,'Lançamentos'!$A$2:$A$5010,"Outras despesas pagas",'Lançamentos'!$H$2:$H$5010,$A40,'Lançamentos'!$C$2:$C$5010,B$19)</f>
        <v/>
      </c>
      <c r="C40" s="9">
        <f>SUMIFS('Lançamentos'!$L$2:$L$5010,'Lançamentos'!$A$2:$A$5010,"Outras despesas pagas",'Lançamentos'!$H$2:$H$5010,$A40,'Lançamentos'!$C$2:$C$5010,C$19)</f>
        <v/>
      </c>
      <c r="D40" s="9">
        <f>SUMIFS('Lançamentos'!$L$2:$L$5010,'Lançamentos'!$A$2:$A$5010,"Outras despesas pagas",'Lançamentos'!$H$2:$H$5010,$A40,'Lançamentos'!$C$2:$C$5010,D$19)</f>
        <v/>
      </c>
      <c r="E40" s="9">
        <f>SUMIFS('Lançamentos'!$L$2:$L$5010,'Lançamentos'!$A$2:$A$5010,"Outras despesas pagas",'Lançamentos'!$H$2:$H$5010,$A40,'Lançamentos'!$C$2:$C$5010,E$19)</f>
        <v/>
      </c>
      <c r="F40" s="9">
        <f>SUMIFS('Lançamentos'!$L$2:$L$5010,'Lançamentos'!$A$2:$A$5010,"Outras despesas pagas",'Lançamentos'!$H$2:$H$5010,$A40,'Lançamentos'!$C$2:$C$5010,F$19)</f>
        <v/>
      </c>
      <c r="G40" s="9">
        <f>SUMIFS('Lançamentos'!$L$2:$L$5010,'Lançamentos'!$A$2:$A$5010,"Outras despesas pagas",'Lançamentos'!$H$2:$H$5010,$A40,'Lançamentos'!$C$2:$C$5010,G$19)</f>
        <v/>
      </c>
      <c r="H40" s="9">
        <f>SUMIFS('Lançamentos'!$L$2:$L$5010,'Lançamentos'!$A$2:$A$5010,"Outras despesas pagas",'Lançamentos'!$H$2:$H$5010,$A40,'Lançamentos'!$C$2:$C$5010,H$19)</f>
        <v/>
      </c>
      <c r="I40" s="9">
        <f>SUMIFS('Lançamentos'!$L$2:$L$5010,'Lançamentos'!$A$2:$A$5010,"Outras despesas pagas",'Lançamentos'!$H$2:$H$5010,$A40,'Lançamentos'!$C$2:$C$5010,I$19)</f>
        <v/>
      </c>
      <c r="J40" s="9">
        <f>SUMIFS('Lançamentos'!$L$2:$L$5010,'Lançamentos'!$A$2:$A$5010,"Outras despesas pagas",'Lançamentos'!$H$2:$H$5010,$A40,'Lançamentos'!$C$2:$C$5010,J$19)</f>
        <v/>
      </c>
      <c r="K40" s="9">
        <f>SUM(B40:J40)</f>
        <v/>
      </c>
      <c r="L40" s="10">
        <f>K40/K$87</f>
        <v/>
      </c>
      <c r="M40" s="9">
        <f>SUMIFS('Lançamentos'!$L$2:$L$5010,'Lançamentos'!$A$2:$A$5010,"Outras despesas pagas",'Lançamentos'!$H$2:$H$5010,$A40,'Lançamentos'!$C$2:$C$5010,"Antes de 2026")</f>
        <v/>
      </c>
      <c r="N40" s="9">
        <f>SUMIFS('Lançamentos'!$J$2:$J$5010,'Lançamentos'!$A$2:$A$5010,"Outras despesas pagas",'Lançamentos'!$H$2:$H$5010,$A40,'Lançamentos'!$D$2:$D$5010,"Em 2026")</f>
        <v/>
      </c>
      <c r="O40" s="9">
        <f>SUMIFS('Lançamentos'!$K$2:$K$5010,'Lançamentos'!$A$2:$A$5010,"Outras despesas pagas",'Lançamentos'!$H$2:$H$5010,$A40,'Lançamentos'!$D$2:$D$5010,"Em 2026")</f>
        <v/>
      </c>
      <c r="P40" s="26">
        <f>COUNTIFS('Lançamentos'!$A$2:$A$5010,"Outras despesas pagas",'Lançamentos'!$H$2:$H$5010,$A40,'Lançamentos'!$D$2:$D$5010,"Em 2026")</f>
        <v/>
      </c>
    </row>
    <row r="41">
      <c r="A41" t="inlineStr">
        <is>
          <t>2ELETRO COMERCIO E DISTRIBUICAO DE PROD DE INFORMATICA</t>
        </is>
      </c>
      <c r="B41" s="9">
        <f>SUMIFS('Lançamentos'!$L$2:$L$5010,'Lançamentos'!$A$2:$A$5010,"Outras despesas pagas",'Lançamentos'!$H$2:$H$5010,$A41,'Lançamentos'!$C$2:$C$5010,B$19)</f>
        <v/>
      </c>
      <c r="C41" s="9">
        <f>SUMIFS('Lançamentos'!$L$2:$L$5010,'Lançamentos'!$A$2:$A$5010,"Outras despesas pagas",'Lançamentos'!$H$2:$H$5010,$A41,'Lançamentos'!$C$2:$C$5010,C$19)</f>
        <v/>
      </c>
      <c r="D41" s="9">
        <f>SUMIFS('Lançamentos'!$L$2:$L$5010,'Lançamentos'!$A$2:$A$5010,"Outras despesas pagas",'Lançamentos'!$H$2:$H$5010,$A41,'Lançamentos'!$C$2:$C$5010,D$19)</f>
        <v/>
      </c>
      <c r="E41" s="9">
        <f>SUMIFS('Lançamentos'!$L$2:$L$5010,'Lançamentos'!$A$2:$A$5010,"Outras despesas pagas",'Lançamentos'!$H$2:$H$5010,$A41,'Lançamentos'!$C$2:$C$5010,E$19)</f>
        <v/>
      </c>
      <c r="F41" s="9">
        <f>SUMIFS('Lançamentos'!$L$2:$L$5010,'Lançamentos'!$A$2:$A$5010,"Outras despesas pagas",'Lançamentos'!$H$2:$H$5010,$A41,'Lançamentos'!$C$2:$C$5010,F$19)</f>
        <v/>
      </c>
      <c r="G41" s="9">
        <f>SUMIFS('Lançamentos'!$L$2:$L$5010,'Lançamentos'!$A$2:$A$5010,"Outras despesas pagas",'Lançamentos'!$H$2:$H$5010,$A41,'Lançamentos'!$C$2:$C$5010,G$19)</f>
        <v/>
      </c>
      <c r="H41" s="9">
        <f>SUMIFS('Lançamentos'!$L$2:$L$5010,'Lançamentos'!$A$2:$A$5010,"Outras despesas pagas",'Lançamentos'!$H$2:$H$5010,$A41,'Lançamentos'!$C$2:$C$5010,H$19)</f>
        <v/>
      </c>
      <c r="I41" s="9">
        <f>SUMIFS('Lançamentos'!$L$2:$L$5010,'Lançamentos'!$A$2:$A$5010,"Outras despesas pagas",'Lançamentos'!$H$2:$H$5010,$A41,'Lançamentos'!$C$2:$C$5010,I$19)</f>
        <v/>
      </c>
      <c r="J41" s="9">
        <f>SUMIFS('Lançamentos'!$L$2:$L$5010,'Lançamentos'!$A$2:$A$5010,"Outras despesas pagas",'Lançamentos'!$H$2:$H$5010,$A41,'Lançamentos'!$C$2:$C$5010,J$19)</f>
        <v/>
      </c>
      <c r="K41" s="9">
        <f>SUM(B41:J41)</f>
        <v/>
      </c>
      <c r="L41" s="10">
        <f>K41/K$87</f>
        <v/>
      </c>
      <c r="M41" s="9">
        <f>SUMIFS('Lançamentos'!$L$2:$L$5010,'Lançamentos'!$A$2:$A$5010,"Outras despesas pagas",'Lançamentos'!$H$2:$H$5010,$A41,'Lançamentos'!$C$2:$C$5010,"Antes de 2026")</f>
        <v/>
      </c>
      <c r="N41" s="9">
        <f>SUMIFS('Lançamentos'!$J$2:$J$5010,'Lançamentos'!$A$2:$A$5010,"Outras despesas pagas",'Lançamentos'!$H$2:$H$5010,$A41,'Lançamentos'!$D$2:$D$5010,"Em 2026")</f>
        <v/>
      </c>
      <c r="O41" s="9">
        <f>SUMIFS('Lançamentos'!$K$2:$K$5010,'Lançamentos'!$A$2:$A$5010,"Outras despesas pagas",'Lançamentos'!$H$2:$H$5010,$A41,'Lançamentos'!$D$2:$D$5010,"Em 2026")</f>
        <v/>
      </c>
      <c r="P41" s="26">
        <f>COUNTIFS('Lançamentos'!$A$2:$A$5010,"Outras despesas pagas",'Lançamentos'!$H$2:$H$5010,$A41,'Lançamentos'!$D$2:$D$5010,"Em 2026")</f>
        <v/>
      </c>
    </row>
    <row r="42">
      <c r="A42" t="inlineStr">
        <is>
          <t>M STEEL METALURGICA LTDA</t>
        </is>
      </c>
      <c r="B42" s="9">
        <f>SUMIFS('Lançamentos'!$L$2:$L$5010,'Lançamentos'!$A$2:$A$5010,"Outras despesas pagas",'Lançamentos'!$H$2:$H$5010,$A42,'Lançamentos'!$C$2:$C$5010,B$19)</f>
        <v/>
      </c>
      <c r="C42" s="9">
        <f>SUMIFS('Lançamentos'!$L$2:$L$5010,'Lançamentos'!$A$2:$A$5010,"Outras despesas pagas",'Lançamentos'!$H$2:$H$5010,$A42,'Lançamentos'!$C$2:$C$5010,C$19)</f>
        <v/>
      </c>
      <c r="D42" s="9">
        <f>SUMIFS('Lançamentos'!$L$2:$L$5010,'Lançamentos'!$A$2:$A$5010,"Outras despesas pagas",'Lançamentos'!$H$2:$H$5010,$A42,'Lançamentos'!$C$2:$C$5010,D$19)</f>
        <v/>
      </c>
      <c r="E42" s="9">
        <f>SUMIFS('Lançamentos'!$L$2:$L$5010,'Lançamentos'!$A$2:$A$5010,"Outras despesas pagas",'Lançamentos'!$H$2:$H$5010,$A42,'Lançamentos'!$C$2:$C$5010,E$19)</f>
        <v/>
      </c>
      <c r="F42" s="9">
        <f>SUMIFS('Lançamentos'!$L$2:$L$5010,'Lançamentos'!$A$2:$A$5010,"Outras despesas pagas",'Lançamentos'!$H$2:$H$5010,$A42,'Lançamentos'!$C$2:$C$5010,F$19)</f>
        <v/>
      </c>
      <c r="G42" s="9">
        <f>SUMIFS('Lançamentos'!$L$2:$L$5010,'Lançamentos'!$A$2:$A$5010,"Outras despesas pagas",'Lançamentos'!$H$2:$H$5010,$A42,'Lançamentos'!$C$2:$C$5010,G$19)</f>
        <v/>
      </c>
      <c r="H42" s="9">
        <f>SUMIFS('Lançamentos'!$L$2:$L$5010,'Lançamentos'!$A$2:$A$5010,"Outras despesas pagas",'Lançamentos'!$H$2:$H$5010,$A42,'Lançamentos'!$C$2:$C$5010,H$19)</f>
        <v/>
      </c>
      <c r="I42" s="9">
        <f>SUMIFS('Lançamentos'!$L$2:$L$5010,'Lançamentos'!$A$2:$A$5010,"Outras despesas pagas",'Lançamentos'!$H$2:$H$5010,$A42,'Lançamentos'!$C$2:$C$5010,I$19)</f>
        <v/>
      </c>
      <c r="J42" s="9">
        <f>SUMIFS('Lançamentos'!$L$2:$L$5010,'Lançamentos'!$A$2:$A$5010,"Outras despesas pagas",'Lançamentos'!$H$2:$H$5010,$A42,'Lançamentos'!$C$2:$C$5010,J$19)</f>
        <v/>
      </c>
      <c r="K42" s="9">
        <f>SUM(B42:J42)</f>
        <v/>
      </c>
      <c r="L42" s="10">
        <f>K42/K$87</f>
        <v/>
      </c>
      <c r="M42" s="9">
        <f>SUMIFS('Lançamentos'!$L$2:$L$5010,'Lançamentos'!$A$2:$A$5010,"Outras despesas pagas",'Lançamentos'!$H$2:$H$5010,$A42,'Lançamentos'!$C$2:$C$5010,"Antes de 2026")</f>
        <v/>
      </c>
      <c r="N42" s="9">
        <f>SUMIFS('Lançamentos'!$J$2:$J$5010,'Lançamentos'!$A$2:$A$5010,"Outras despesas pagas",'Lançamentos'!$H$2:$H$5010,$A42,'Lançamentos'!$D$2:$D$5010,"Em 2026")</f>
        <v/>
      </c>
      <c r="O42" s="9">
        <f>SUMIFS('Lançamentos'!$K$2:$K$5010,'Lançamentos'!$A$2:$A$5010,"Outras despesas pagas",'Lançamentos'!$H$2:$H$5010,$A42,'Lançamentos'!$D$2:$D$5010,"Em 2026")</f>
        <v/>
      </c>
      <c r="P42" s="26">
        <f>COUNTIFS('Lançamentos'!$A$2:$A$5010,"Outras despesas pagas",'Lançamentos'!$H$2:$H$5010,$A42,'Lançamentos'!$D$2:$D$5010,"Em 2026")</f>
        <v/>
      </c>
    </row>
    <row r="43">
      <c r="A43" t="inlineStr">
        <is>
          <t>J CARLOS MOVEIS LTDA</t>
        </is>
      </c>
      <c r="B43" s="9">
        <f>SUMIFS('Lançamentos'!$L$2:$L$5010,'Lançamentos'!$A$2:$A$5010,"Outras despesas pagas",'Lançamentos'!$H$2:$H$5010,$A43,'Lançamentos'!$C$2:$C$5010,B$19)</f>
        <v/>
      </c>
      <c r="C43" s="9">
        <f>SUMIFS('Lançamentos'!$L$2:$L$5010,'Lançamentos'!$A$2:$A$5010,"Outras despesas pagas",'Lançamentos'!$H$2:$H$5010,$A43,'Lançamentos'!$C$2:$C$5010,C$19)</f>
        <v/>
      </c>
      <c r="D43" s="9">
        <f>SUMIFS('Lançamentos'!$L$2:$L$5010,'Lançamentos'!$A$2:$A$5010,"Outras despesas pagas",'Lançamentos'!$H$2:$H$5010,$A43,'Lançamentos'!$C$2:$C$5010,D$19)</f>
        <v/>
      </c>
      <c r="E43" s="9">
        <f>SUMIFS('Lançamentos'!$L$2:$L$5010,'Lançamentos'!$A$2:$A$5010,"Outras despesas pagas",'Lançamentos'!$H$2:$H$5010,$A43,'Lançamentos'!$C$2:$C$5010,E$19)</f>
        <v/>
      </c>
      <c r="F43" s="9">
        <f>SUMIFS('Lançamentos'!$L$2:$L$5010,'Lançamentos'!$A$2:$A$5010,"Outras despesas pagas",'Lançamentos'!$H$2:$H$5010,$A43,'Lançamentos'!$C$2:$C$5010,F$19)</f>
        <v/>
      </c>
      <c r="G43" s="9">
        <f>SUMIFS('Lançamentos'!$L$2:$L$5010,'Lançamentos'!$A$2:$A$5010,"Outras despesas pagas",'Lançamentos'!$H$2:$H$5010,$A43,'Lançamentos'!$C$2:$C$5010,G$19)</f>
        <v/>
      </c>
      <c r="H43" s="9">
        <f>SUMIFS('Lançamentos'!$L$2:$L$5010,'Lançamentos'!$A$2:$A$5010,"Outras despesas pagas",'Lançamentos'!$H$2:$H$5010,$A43,'Lançamentos'!$C$2:$C$5010,H$19)</f>
        <v/>
      </c>
      <c r="I43" s="9">
        <f>SUMIFS('Lançamentos'!$L$2:$L$5010,'Lançamentos'!$A$2:$A$5010,"Outras despesas pagas",'Lançamentos'!$H$2:$H$5010,$A43,'Lançamentos'!$C$2:$C$5010,I$19)</f>
        <v/>
      </c>
      <c r="J43" s="9">
        <f>SUMIFS('Lançamentos'!$L$2:$L$5010,'Lançamentos'!$A$2:$A$5010,"Outras despesas pagas",'Lançamentos'!$H$2:$H$5010,$A43,'Lançamentos'!$C$2:$C$5010,J$19)</f>
        <v/>
      </c>
      <c r="K43" s="9">
        <f>SUM(B43:J43)</f>
        <v/>
      </c>
      <c r="L43" s="10">
        <f>K43/K$87</f>
        <v/>
      </c>
      <c r="M43" s="9">
        <f>SUMIFS('Lançamentos'!$L$2:$L$5010,'Lançamentos'!$A$2:$A$5010,"Outras despesas pagas",'Lançamentos'!$H$2:$H$5010,$A43,'Lançamentos'!$C$2:$C$5010,"Antes de 2026")</f>
        <v/>
      </c>
      <c r="N43" s="9">
        <f>SUMIFS('Lançamentos'!$J$2:$J$5010,'Lançamentos'!$A$2:$A$5010,"Outras despesas pagas",'Lançamentos'!$H$2:$H$5010,$A43,'Lançamentos'!$D$2:$D$5010,"Em 2026")</f>
        <v/>
      </c>
      <c r="O43" s="9">
        <f>SUMIFS('Lançamentos'!$K$2:$K$5010,'Lançamentos'!$A$2:$A$5010,"Outras despesas pagas",'Lançamentos'!$H$2:$H$5010,$A43,'Lançamentos'!$D$2:$D$5010,"Em 2026")</f>
        <v/>
      </c>
      <c r="P43" s="26">
        <f>COUNTIFS('Lançamentos'!$A$2:$A$5010,"Outras despesas pagas",'Lançamentos'!$H$2:$H$5010,$A43,'Lançamentos'!$D$2:$D$5010,"Em 2026")</f>
        <v/>
      </c>
    </row>
    <row r="44">
      <c r="A44" t="inlineStr">
        <is>
          <t>EDNA DE ARAUJO PACHECO LTDA</t>
        </is>
      </c>
      <c r="B44" s="9">
        <f>SUMIFS('Lançamentos'!$L$2:$L$5010,'Lançamentos'!$A$2:$A$5010,"Outras despesas pagas",'Lançamentos'!$H$2:$H$5010,$A44,'Lançamentos'!$C$2:$C$5010,B$19)</f>
        <v/>
      </c>
      <c r="C44" s="9">
        <f>SUMIFS('Lançamentos'!$L$2:$L$5010,'Lançamentos'!$A$2:$A$5010,"Outras despesas pagas",'Lançamentos'!$H$2:$H$5010,$A44,'Lançamentos'!$C$2:$C$5010,C$19)</f>
        <v/>
      </c>
      <c r="D44" s="9">
        <f>SUMIFS('Lançamentos'!$L$2:$L$5010,'Lançamentos'!$A$2:$A$5010,"Outras despesas pagas",'Lançamentos'!$H$2:$H$5010,$A44,'Lançamentos'!$C$2:$C$5010,D$19)</f>
        <v/>
      </c>
      <c r="E44" s="9">
        <f>SUMIFS('Lançamentos'!$L$2:$L$5010,'Lançamentos'!$A$2:$A$5010,"Outras despesas pagas",'Lançamentos'!$H$2:$H$5010,$A44,'Lançamentos'!$C$2:$C$5010,E$19)</f>
        <v/>
      </c>
      <c r="F44" s="9">
        <f>SUMIFS('Lançamentos'!$L$2:$L$5010,'Lançamentos'!$A$2:$A$5010,"Outras despesas pagas",'Lançamentos'!$H$2:$H$5010,$A44,'Lançamentos'!$C$2:$C$5010,F$19)</f>
        <v/>
      </c>
      <c r="G44" s="9">
        <f>SUMIFS('Lançamentos'!$L$2:$L$5010,'Lançamentos'!$A$2:$A$5010,"Outras despesas pagas",'Lançamentos'!$H$2:$H$5010,$A44,'Lançamentos'!$C$2:$C$5010,G$19)</f>
        <v/>
      </c>
      <c r="H44" s="9">
        <f>SUMIFS('Lançamentos'!$L$2:$L$5010,'Lançamentos'!$A$2:$A$5010,"Outras despesas pagas",'Lançamentos'!$H$2:$H$5010,$A44,'Lançamentos'!$C$2:$C$5010,H$19)</f>
        <v/>
      </c>
      <c r="I44" s="9">
        <f>SUMIFS('Lançamentos'!$L$2:$L$5010,'Lançamentos'!$A$2:$A$5010,"Outras despesas pagas",'Lançamentos'!$H$2:$H$5010,$A44,'Lançamentos'!$C$2:$C$5010,I$19)</f>
        <v/>
      </c>
      <c r="J44" s="9">
        <f>SUMIFS('Lançamentos'!$L$2:$L$5010,'Lançamentos'!$A$2:$A$5010,"Outras despesas pagas",'Lançamentos'!$H$2:$H$5010,$A44,'Lançamentos'!$C$2:$C$5010,J$19)</f>
        <v/>
      </c>
      <c r="K44" s="9">
        <f>SUM(B44:J44)</f>
        <v/>
      </c>
      <c r="L44" s="10">
        <f>K44/K$87</f>
        <v/>
      </c>
      <c r="M44" s="9">
        <f>SUMIFS('Lançamentos'!$L$2:$L$5010,'Lançamentos'!$A$2:$A$5010,"Outras despesas pagas",'Lançamentos'!$H$2:$H$5010,$A44,'Lançamentos'!$C$2:$C$5010,"Antes de 2026")</f>
        <v/>
      </c>
      <c r="N44" s="9">
        <f>SUMIFS('Lançamentos'!$J$2:$J$5010,'Lançamentos'!$A$2:$A$5010,"Outras despesas pagas",'Lançamentos'!$H$2:$H$5010,$A44,'Lançamentos'!$D$2:$D$5010,"Em 2026")</f>
        <v/>
      </c>
      <c r="O44" s="9">
        <f>SUMIFS('Lançamentos'!$K$2:$K$5010,'Lançamentos'!$A$2:$A$5010,"Outras despesas pagas",'Lançamentos'!$H$2:$H$5010,$A44,'Lançamentos'!$D$2:$D$5010,"Em 2026")</f>
        <v/>
      </c>
      <c r="P44" s="26">
        <f>COUNTIFS('Lançamentos'!$A$2:$A$5010,"Outras despesas pagas",'Lançamentos'!$H$2:$H$5010,$A44,'Lançamentos'!$D$2:$D$5010,"Em 2026")</f>
        <v/>
      </c>
    </row>
    <row r="45">
      <c r="A45" t="inlineStr">
        <is>
          <t>THIAGO GABRIEL MOVEIS LTDA</t>
        </is>
      </c>
      <c r="B45" s="9">
        <f>SUMIFS('Lançamentos'!$L$2:$L$5010,'Lançamentos'!$A$2:$A$5010,"Outras despesas pagas",'Lançamentos'!$H$2:$H$5010,$A45,'Lançamentos'!$C$2:$C$5010,B$19)</f>
        <v/>
      </c>
      <c r="C45" s="9">
        <f>SUMIFS('Lançamentos'!$L$2:$L$5010,'Lançamentos'!$A$2:$A$5010,"Outras despesas pagas",'Lançamentos'!$H$2:$H$5010,$A45,'Lançamentos'!$C$2:$C$5010,C$19)</f>
        <v/>
      </c>
      <c r="D45" s="9">
        <f>SUMIFS('Lançamentos'!$L$2:$L$5010,'Lançamentos'!$A$2:$A$5010,"Outras despesas pagas",'Lançamentos'!$H$2:$H$5010,$A45,'Lançamentos'!$C$2:$C$5010,D$19)</f>
        <v/>
      </c>
      <c r="E45" s="9">
        <f>SUMIFS('Lançamentos'!$L$2:$L$5010,'Lançamentos'!$A$2:$A$5010,"Outras despesas pagas",'Lançamentos'!$H$2:$H$5010,$A45,'Lançamentos'!$C$2:$C$5010,E$19)</f>
        <v/>
      </c>
      <c r="F45" s="9">
        <f>SUMIFS('Lançamentos'!$L$2:$L$5010,'Lançamentos'!$A$2:$A$5010,"Outras despesas pagas",'Lançamentos'!$H$2:$H$5010,$A45,'Lançamentos'!$C$2:$C$5010,F$19)</f>
        <v/>
      </c>
      <c r="G45" s="9">
        <f>SUMIFS('Lançamentos'!$L$2:$L$5010,'Lançamentos'!$A$2:$A$5010,"Outras despesas pagas",'Lançamentos'!$H$2:$H$5010,$A45,'Lançamentos'!$C$2:$C$5010,G$19)</f>
        <v/>
      </c>
      <c r="H45" s="9">
        <f>SUMIFS('Lançamentos'!$L$2:$L$5010,'Lançamentos'!$A$2:$A$5010,"Outras despesas pagas",'Lançamentos'!$H$2:$H$5010,$A45,'Lançamentos'!$C$2:$C$5010,H$19)</f>
        <v/>
      </c>
      <c r="I45" s="9">
        <f>SUMIFS('Lançamentos'!$L$2:$L$5010,'Lançamentos'!$A$2:$A$5010,"Outras despesas pagas",'Lançamentos'!$H$2:$H$5010,$A45,'Lançamentos'!$C$2:$C$5010,I$19)</f>
        <v/>
      </c>
      <c r="J45" s="9">
        <f>SUMIFS('Lançamentos'!$L$2:$L$5010,'Lançamentos'!$A$2:$A$5010,"Outras despesas pagas",'Lançamentos'!$H$2:$H$5010,$A45,'Lançamentos'!$C$2:$C$5010,J$19)</f>
        <v/>
      </c>
      <c r="K45" s="9">
        <f>SUM(B45:J45)</f>
        <v/>
      </c>
      <c r="L45" s="10">
        <f>K45/K$87</f>
        <v/>
      </c>
      <c r="M45" s="9">
        <f>SUMIFS('Lançamentos'!$L$2:$L$5010,'Lançamentos'!$A$2:$A$5010,"Outras despesas pagas",'Lançamentos'!$H$2:$H$5010,$A45,'Lançamentos'!$C$2:$C$5010,"Antes de 2026")</f>
        <v/>
      </c>
      <c r="N45" s="9">
        <f>SUMIFS('Lançamentos'!$J$2:$J$5010,'Lançamentos'!$A$2:$A$5010,"Outras despesas pagas",'Lançamentos'!$H$2:$H$5010,$A45,'Lançamentos'!$D$2:$D$5010,"Em 2026")</f>
        <v/>
      </c>
      <c r="O45" s="9">
        <f>SUMIFS('Lançamentos'!$K$2:$K$5010,'Lançamentos'!$A$2:$A$5010,"Outras despesas pagas",'Lançamentos'!$H$2:$H$5010,$A45,'Lançamentos'!$D$2:$D$5010,"Em 2026")</f>
        <v/>
      </c>
      <c r="P45" s="26">
        <f>COUNTIFS('Lançamentos'!$A$2:$A$5010,"Outras despesas pagas",'Lançamentos'!$H$2:$H$5010,$A45,'Lançamentos'!$D$2:$D$5010,"Em 2026")</f>
        <v/>
      </c>
    </row>
    <row r="46">
      <c r="A46" t="inlineStr">
        <is>
          <t>GURGELMIX MAQUINAS E FERRAMENTAS S.A.</t>
        </is>
      </c>
      <c r="B46" s="9">
        <f>SUMIFS('Lançamentos'!$L$2:$L$5010,'Lançamentos'!$A$2:$A$5010,"Outras despesas pagas",'Lançamentos'!$H$2:$H$5010,$A46,'Lançamentos'!$C$2:$C$5010,B$19)</f>
        <v/>
      </c>
      <c r="C46" s="9">
        <f>SUMIFS('Lançamentos'!$L$2:$L$5010,'Lançamentos'!$A$2:$A$5010,"Outras despesas pagas",'Lançamentos'!$H$2:$H$5010,$A46,'Lançamentos'!$C$2:$C$5010,C$19)</f>
        <v/>
      </c>
      <c r="D46" s="9">
        <f>SUMIFS('Lançamentos'!$L$2:$L$5010,'Lançamentos'!$A$2:$A$5010,"Outras despesas pagas",'Lançamentos'!$H$2:$H$5010,$A46,'Lançamentos'!$C$2:$C$5010,D$19)</f>
        <v/>
      </c>
      <c r="E46" s="9">
        <f>SUMIFS('Lançamentos'!$L$2:$L$5010,'Lançamentos'!$A$2:$A$5010,"Outras despesas pagas",'Lançamentos'!$H$2:$H$5010,$A46,'Lançamentos'!$C$2:$C$5010,E$19)</f>
        <v/>
      </c>
      <c r="F46" s="9">
        <f>SUMIFS('Lançamentos'!$L$2:$L$5010,'Lançamentos'!$A$2:$A$5010,"Outras despesas pagas",'Lançamentos'!$H$2:$H$5010,$A46,'Lançamentos'!$C$2:$C$5010,F$19)</f>
        <v/>
      </c>
      <c r="G46" s="9">
        <f>SUMIFS('Lançamentos'!$L$2:$L$5010,'Lançamentos'!$A$2:$A$5010,"Outras despesas pagas",'Lançamentos'!$H$2:$H$5010,$A46,'Lançamentos'!$C$2:$C$5010,G$19)</f>
        <v/>
      </c>
      <c r="H46" s="9">
        <f>SUMIFS('Lançamentos'!$L$2:$L$5010,'Lançamentos'!$A$2:$A$5010,"Outras despesas pagas",'Lançamentos'!$H$2:$H$5010,$A46,'Lançamentos'!$C$2:$C$5010,H$19)</f>
        <v/>
      </c>
      <c r="I46" s="9">
        <f>SUMIFS('Lançamentos'!$L$2:$L$5010,'Lançamentos'!$A$2:$A$5010,"Outras despesas pagas",'Lançamentos'!$H$2:$H$5010,$A46,'Lançamentos'!$C$2:$C$5010,I$19)</f>
        <v/>
      </c>
      <c r="J46" s="9">
        <f>SUMIFS('Lançamentos'!$L$2:$L$5010,'Lançamentos'!$A$2:$A$5010,"Outras despesas pagas",'Lançamentos'!$H$2:$H$5010,$A46,'Lançamentos'!$C$2:$C$5010,J$19)</f>
        <v/>
      </c>
      <c r="K46" s="9">
        <f>SUM(B46:J46)</f>
        <v/>
      </c>
      <c r="L46" s="10">
        <f>K46/K$87</f>
        <v/>
      </c>
      <c r="M46" s="9">
        <f>SUMIFS('Lançamentos'!$L$2:$L$5010,'Lançamentos'!$A$2:$A$5010,"Outras despesas pagas",'Lançamentos'!$H$2:$H$5010,$A46,'Lançamentos'!$C$2:$C$5010,"Antes de 2026")</f>
        <v/>
      </c>
      <c r="N46" s="9">
        <f>SUMIFS('Lançamentos'!$J$2:$J$5010,'Lançamentos'!$A$2:$A$5010,"Outras despesas pagas",'Lançamentos'!$H$2:$H$5010,$A46,'Lançamentos'!$D$2:$D$5010,"Em 2026")</f>
        <v/>
      </c>
      <c r="O46" s="9">
        <f>SUMIFS('Lançamentos'!$K$2:$K$5010,'Lançamentos'!$A$2:$A$5010,"Outras despesas pagas",'Lançamentos'!$H$2:$H$5010,$A46,'Lançamentos'!$D$2:$D$5010,"Em 2026")</f>
        <v/>
      </c>
      <c r="P46" s="26">
        <f>COUNTIFS('Lançamentos'!$A$2:$A$5010,"Outras despesas pagas",'Lançamentos'!$H$2:$H$5010,$A46,'Lançamentos'!$D$2:$D$5010,"Em 2026")</f>
        <v/>
      </c>
    </row>
    <row r="47">
      <c r="A47" t="inlineStr">
        <is>
          <t>negociunoficial</t>
        </is>
      </c>
      <c r="B47" s="9">
        <f>SUMIFS('Lançamentos'!$L$2:$L$5010,'Lançamentos'!$A$2:$A$5010,"Outras despesas pagas",'Lançamentos'!$H$2:$H$5010,$A47,'Lançamentos'!$C$2:$C$5010,B$19)</f>
        <v/>
      </c>
      <c r="C47" s="9">
        <f>SUMIFS('Lançamentos'!$L$2:$L$5010,'Lançamentos'!$A$2:$A$5010,"Outras despesas pagas",'Lançamentos'!$H$2:$H$5010,$A47,'Lançamentos'!$C$2:$C$5010,C$19)</f>
        <v/>
      </c>
      <c r="D47" s="9">
        <f>SUMIFS('Lançamentos'!$L$2:$L$5010,'Lançamentos'!$A$2:$A$5010,"Outras despesas pagas",'Lançamentos'!$H$2:$H$5010,$A47,'Lançamentos'!$C$2:$C$5010,D$19)</f>
        <v/>
      </c>
      <c r="E47" s="9">
        <f>SUMIFS('Lançamentos'!$L$2:$L$5010,'Lançamentos'!$A$2:$A$5010,"Outras despesas pagas",'Lançamentos'!$H$2:$H$5010,$A47,'Lançamentos'!$C$2:$C$5010,E$19)</f>
        <v/>
      </c>
      <c r="F47" s="9">
        <f>SUMIFS('Lançamentos'!$L$2:$L$5010,'Lançamentos'!$A$2:$A$5010,"Outras despesas pagas",'Lançamentos'!$H$2:$H$5010,$A47,'Lançamentos'!$C$2:$C$5010,F$19)</f>
        <v/>
      </c>
      <c r="G47" s="9">
        <f>SUMIFS('Lançamentos'!$L$2:$L$5010,'Lançamentos'!$A$2:$A$5010,"Outras despesas pagas",'Lançamentos'!$H$2:$H$5010,$A47,'Lançamentos'!$C$2:$C$5010,G$19)</f>
        <v/>
      </c>
      <c r="H47" s="9">
        <f>SUMIFS('Lançamentos'!$L$2:$L$5010,'Lançamentos'!$A$2:$A$5010,"Outras despesas pagas",'Lançamentos'!$H$2:$H$5010,$A47,'Lançamentos'!$C$2:$C$5010,H$19)</f>
        <v/>
      </c>
      <c r="I47" s="9">
        <f>SUMIFS('Lançamentos'!$L$2:$L$5010,'Lançamentos'!$A$2:$A$5010,"Outras despesas pagas",'Lançamentos'!$H$2:$H$5010,$A47,'Lançamentos'!$C$2:$C$5010,I$19)</f>
        <v/>
      </c>
      <c r="J47" s="9">
        <f>SUMIFS('Lançamentos'!$L$2:$L$5010,'Lançamentos'!$A$2:$A$5010,"Outras despesas pagas",'Lançamentos'!$H$2:$H$5010,$A47,'Lançamentos'!$C$2:$C$5010,J$19)</f>
        <v/>
      </c>
      <c r="K47" s="9">
        <f>SUM(B47:J47)</f>
        <v/>
      </c>
      <c r="L47" s="10">
        <f>K47/K$87</f>
        <v/>
      </c>
      <c r="M47" s="9">
        <f>SUMIFS('Lançamentos'!$L$2:$L$5010,'Lançamentos'!$A$2:$A$5010,"Outras despesas pagas",'Lançamentos'!$H$2:$H$5010,$A47,'Lançamentos'!$C$2:$C$5010,"Antes de 2026")</f>
        <v/>
      </c>
      <c r="N47" s="9">
        <f>SUMIFS('Lançamentos'!$J$2:$J$5010,'Lançamentos'!$A$2:$A$5010,"Outras despesas pagas",'Lançamentos'!$H$2:$H$5010,$A47,'Lançamentos'!$D$2:$D$5010,"Em 2026")</f>
        <v/>
      </c>
      <c r="O47" s="9">
        <f>SUMIFS('Lançamentos'!$K$2:$K$5010,'Lançamentos'!$A$2:$A$5010,"Outras despesas pagas",'Lançamentos'!$H$2:$H$5010,$A47,'Lançamentos'!$D$2:$D$5010,"Em 2026")</f>
        <v/>
      </c>
      <c r="P47" s="26">
        <f>COUNTIFS('Lançamentos'!$A$2:$A$5010,"Outras despesas pagas",'Lançamentos'!$H$2:$H$5010,$A47,'Lançamentos'!$D$2:$D$5010,"Em 2026")</f>
        <v/>
      </c>
    </row>
    <row r="48">
      <c r="A48" t="inlineStr">
        <is>
          <t>FURNAX COMERCIAL E IMPORTADORA EIRELI</t>
        </is>
      </c>
      <c r="B48" s="9">
        <f>SUMIFS('Lançamentos'!$L$2:$L$5010,'Lançamentos'!$A$2:$A$5010,"Outras despesas pagas",'Lançamentos'!$H$2:$H$5010,$A48,'Lançamentos'!$C$2:$C$5010,B$19)</f>
        <v/>
      </c>
      <c r="C48" s="9">
        <f>SUMIFS('Lançamentos'!$L$2:$L$5010,'Lançamentos'!$A$2:$A$5010,"Outras despesas pagas",'Lançamentos'!$H$2:$H$5010,$A48,'Lançamentos'!$C$2:$C$5010,C$19)</f>
        <v/>
      </c>
      <c r="D48" s="9">
        <f>SUMIFS('Lançamentos'!$L$2:$L$5010,'Lançamentos'!$A$2:$A$5010,"Outras despesas pagas",'Lançamentos'!$H$2:$H$5010,$A48,'Lançamentos'!$C$2:$C$5010,D$19)</f>
        <v/>
      </c>
      <c r="E48" s="9">
        <f>SUMIFS('Lançamentos'!$L$2:$L$5010,'Lançamentos'!$A$2:$A$5010,"Outras despesas pagas",'Lançamentos'!$H$2:$H$5010,$A48,'Lançamentos'!$C$2:$C$5010,E$19)</f>
        <v/>
      </c>
      <c r="F48" s="9">
        <f>SUMIFS('Lançamentos'!$L$2:$L$5010,'Lançamentos'!$A$2:$A$5010,"Outras despesas pagas",'Lançamentos'!$H$2:$H$5010,$A48,'Lançamentos'!$C$2:$C$5010,F$19)</f>
        <v/>
      </c>
      <c r="G48" s="9">
        <f>SUMIFS('Lançamentos'!$L$2:$L$5010,'Lançamentos'!$A$2:$A$5010,"Outras despesas pagas",'Lançamentos'!$H$2:$H$5010,$A48,'Lançamentos'!$C$2:$C$5010,G$19)</f>
        <v/>
      </c>
      <c r="H48" s="9">
        <f>SUMIFS('Lançamentos'!$L$2:$L$5010,'Lançamentos'!$A$2:$A$5010,"Outras despesas pagas",'Lançamentos'!$H$2:$H$5010,$A48,'Lançamentos'!$C$2:$C$5010,H$19)</f>
        <v/>
      </c>
      <c r="I48" s="9">
        <f>SUMIFS('Lançamentos'!$L$2:$L$5010,'Lançamentos'!$A$2:$A$5010,"Outras despesas pagas",'Lançamentos'!$H$2:$H$5010,$A48,'Lançamentos'!$C$2:$C$5010,I$19)</f>
        <v/>
      </c>
      <c r="J48" s="9">
        <f>SUMIFS('Lançamentos'!$L$2:$L$5010,'Lançamentos'!$A$2:$A$5010,"Outras despesas pagas",'Lançamentos'!$H$2:$H$5010,$A48,'Lançamentos'!$C$2:$C$5010,J$19)</f>
        <v/>
      </c>
      <c r="K48" s="9">
        <f>SUM(B48:J48)</f>
        <v/>
      </c>
      <c r="L48" s="10">
        <f>K48/K$87</f>
        <v/>
      </c>
      <c r="M48" s="9">
        <f>SUMIFS('Lançamentos'!$L$2:$L$5010,'Lançamentos'!$A$2:$A$5010,"Outras despesas pagas",'Lançamentos'!$H$2:$H$5010,$A48,'Lançamentos'!$C$2:$C$5010,"Antes de 2026")</f>
        <v/>
      </c>
      <c r="N48" s="9">
        <f>SUMIFS('Lançamentos'!$J$2:$J$5010,'Lançamentos'!$A$2:$A$5010,"Outras despesas pagas",'Lançamentos'!$H$2:$H$5010,$A48,'Lançamentos'!$D$2:$D$5010,"Em 2026")</f>
        <v/>
      </c>
      <c r="O48" s="9">
        <f>SUMIFS('Lançamentos'!$K$2:$K$5010,'Lançamentos'!$A$2:$A$5010,"Outras despesas pagas",'Lançamentos'!$H$2:$H$5010,$A48,'Lançamentos'!$D$2:$D$5010,"Em 2026")</f>
        <v/>
      </c>
      <c r="P48" s="26">
        <f>COUNTIFS('Lançamentos'!$A$2:$A$5010,"Outras despesas pagas",'Lançamentos'!$H$2:$H$5010,$A48,'Lançamentos'!$D$2:$D$5010,"Em 2026")</f>
        <v/>
      </c>
    </row>
    <row r="49">
      <c r="A49" t="inlineStr">
        <is>
          <t>TECHPRINT FACAS INDUSTRIAIS</t>
        </is>
      </c>
      <c r="B49" s="9">
        <f>SUMIFS('Lançamentos'!$L$2:$L$5010,'Lançamentos'!$A$2:$A$5010,"Outras despesas pagas",'Lançamentos'!$H$2:$H$5010,$A49,'Lançamentos'!$C$2:$C$5010,B$19)</f>
        <v/>
      </c>
      <c r="C49" s="9">
        <f>SUMIFS('Lançamentos'!$L$2:$L$5010,'Lançamentos'!$A$2:$A$5010,"Outras despesas pagas",'Lançamentos'!$H$2:$H$5010,$A49,'Lançamentos'!$C$2:$C$5010,C$19)</f>
        <v/>
      </c>
      <c r="D49" s="9">
        <f>SUMIFS('Lançamentos'!$L$2:$L$5010,'Lançamentos'!$A$2:$A$5010,"Outras despesas pagas",'Lançamentos'!$H$2:$H$5010,$A49,'Lançamentos'!$C$2:$C$5010,D$19)</f>
        <v/>
      </c>
      <c r="E49" s="9">
        <f>SUMIFS('Lançamentos'!$L$2:$L$5010,'Lançamentos'!$A$2:$A$5010,"Outras despesas pagas",'Lançamentos'!$H$2:$H$5010,$A49,'Lançamentos'!$C$2:$C$5010,E$19)</f>
        <v/>
      </c>
      <c r="F49" s="9">
        <f>SUMIFS('Lançamentos'!$L$2:$L$5010,'Lançamentos'!$A$2:$A$5010,"Outras despesas pagas",'Lançamentos'!$H$2:$H$5010,$A49,'Lançamentos'!$C$2:$C$5010,F$19)</f>
        <v/>
      </c>
      <c r="G49" s="9">
        <f>SUMIFS('Lançamentos'!$L$2:$L$5010,'Lançamentos'!$A$2:$A$5010,"Outras despesas pagas",'Lançamentos'!$H$2:$H$5010,$A49,'Lançamentos'!$C$2:$C$5010,G$19)</f>
        <v/>
      </c>
      <c r="H49" s="9">
        <f>SUMIFS('Lançamentos'!$L$2:$L$5010,'Lançamentos'!$A$2:$A$5010,"Outras despesas pagas",'Lançamentos'!$H$2:$H$5010,$A49,'Lançamentos'!$C$2:$C$5010,H$19)</f>
        <v/>
      </c>
      <c r="I49" s="9">
        <f>SUMIFS('Lançamentos'!$L$2:$L$5010,'Lançamentos'!$A$2:$A$5010,"Outras despesas pagas",'Lançamentos'!$H$2:$H$5010,$A49,'Lançamentos'!$C$2:$C$5010,I$19)</f>
        <v/>
      </c>
      <c r="J49" s="9">
        <f>SUMIFS('Lançamentos'!$L$2:$L$5010,'Lançamentos'!$A$2:$A$5010,"Outras despesas pagas",'Lançamentos'!$H$2:$H$5010,$A49,'Lançamentos'!$C$2:$C$5010,J$19)</f>
        <v/>
      </c>
      <c r="K49" s="9">
        <f>SUM(B49:J49)</f>
        <v/>
      </c>
      <c r="L49" s="10">
        <f>K49/K$87</f>
        <v/>
      </c>
      <c r="M49" s="9">
        <f>SUMIFS('Lançamentos'!$L$2:$L$5010,'Lançamentos'!$A$2:$A$5010,"Outras despesas pagas",'Lançamentos'!$H$2:$H$5010,$A49,'Lançamentos'!$C$2:$C$5010,"Antes de 2026")</f>
        <v/>
      </c>
      <c r="N49" s="9">
        <f>SUMIFS('Lançamentos'!$J$2:$J$5010,'Lançamentos'!$A$2:$A$5010,"Outras despesas pagas",'Lançamentos'!$H$2:$H$5010,$A49,'Lançamentos'!$D$2:$D$5010,"Em 2026")</f>
        <v/>
      </c>
      <c r="O49" s="9">
        <f>SUMIFS('Lançamentos'!$K$2:$K$5010,'Lançamentos'!$A$2:$A$5010,"Outras despesas pagas",'Lançamentos'!$H$2:$H$5010,$A49,'Lançamentos'!$D$2:$D$5010,"Em 2026")</f>
        <v/>
      </c>
      <c r="P49" s="26">
        <f>COUNTIFS('Lançamentos'!$A$2:$A$5010,"Outras despesas pagas",'Lançamentos'!$H$2:$H$5010,$A49,'Lançamentos'!$D$2:$D$5010,"Em 2026")</f>
        <v/>
      </c>
    </row>
    <row r="50">
      <c r="A50" t="inlineStr">
        <is>
          <t>BLESSED INFO LTDA</t>
        </is>
      </c>
      <c r="B50" s="9">
        <f>SUMIFS('Lançamentos'!$L$2:$L$5010,'Lançamentos'!$A$2:$A$5010,"Outras despesas pagas",'Lançamentos'!$H$2:$H$5010,$A50,'Lançamentos'!$C$2:$C$5010,B$19)</f>
        <v/>
      </c>
      <c r="C50" s="9">
        <f>SUMIFS('Lançamentos'!$L$2:$L$5010,'Lançamentos'!$A$2:$A$5010,"Outras despesas pagas",'Lançamentos'!$H$2:$H$5010,$A50,'Lançamentos'!$C$2:$C$5010,C$19)</f>
        <v/>
      </c>
      <c r="D50" s="9">
        <f>SUMIFS('Lançamentos'!$L$2:$L$5010,'Lançamentos'!$A$2:$A$5010,"Outras despesas pagas",'Lançamentos'!$H$2:$H$5010,$A50,'Lançamentos'!$C$2:$C$5010,D$19)</f>
        <v/>
      </c>
      <c r="E50" s="9">
        <f>SUMIFS('Lançamentos'!$L$2:$L$5010,'Lançamentos'!$A$2:$A$5010,"Outras despesas pagas",'Lançamentos'!$H$2:$H$5010,$A50,'Lançamentos'!$C$2:$C$5010,E$19)</f>
        <v/>
      </c>
      <c r="F50" s="9">
        <f>SUMIFS('Lançamentos'!$L$2:$L$5010,'Lançamentos'!$A$2:$A$5010,"Outras despesas pagas",'Lançamentos'!$H$2:$H$5010,$A50,'Lançamentos'!$C$2:$C$5010,F$19)</f>
        <v/>
      </c>
      <c r="G50" s="9">
        <f>SUMIFS('Lançamentos'!$L$2:$L$5010,'Lançamentos'!$A$2:$A$5010,"Outras despesas pagas",'Lançamentos'!$H$2:$H$5010,$A50,'Lançamentos'!$C$2:$C$5010,G$19)</f>
        <v/>
      </c>
      <c r="H50" s="9">
        <f>SUMIFS('Lançamentos'!$L$2:$L$5010,'Lançamentos'!$A$2:$A$5010,"Outras despesas pagas",'Lançamentos'!$H$2:$H$5010,$A50,'Lançamentos'!$C$2:$C$5010,H$19)</f>
        <v/>
      </c>
      <c r="I50" s="9">
        <f>SUMIFS('Lançamentos'!$L$2:$L$5010,'Lançamentos'!$A$2:$A$5010,"Outras despesas pagas",'Lançamentos'!$H$2:$H$5010,$A50,'Lançamentos'!$C$2:$C$5010,I$19)</f>
        <v/>
      </c>
      <c r="J50" s="9">
        <f>SUMIFS('Lançamentos'!$L$2:$L$5010,'Lançamentos'!$A$2:$A$5010,"Outras despesas pagas",'Lançamentos'!$H$2:$H$5010,$A50,'Lançamentos'!$C$2:$C$5010,J$19)</f>
        <v/>
      </c>
      <c r="K50" s="9">
        <f>SUM(B50:J50)</f>
        <v/>
      </c>
      <c r="L50" s="10">
        <f>K50/K$87</f>
        <v/>
      </c>
      <c r="M50" s="9">
        <f>SUMIFS('Lançamentos'!$L$2:$L$5010,'Lançamentos'!$A$2:$A$5010,"Outras despesas pagas",'Lançamentos'!$H$2:$H$5010,$A50,'Lançamentos'!$C$2:$C$5010,"Antes de 2026")</f>
        <v/>
      </c>
      <c r="N50" s="9">
        <f>SUMIFS('Lançamentos'!$J$2:$J$5010,'Lançamentos'!$A$2:$A$5010,"Outras despesas pagas",'Lançamentos'!$H$2:$H$5010,$A50,'Lançamentos'!$D$2:$D$5010,"Em 2026")</f>
        <v/>
      </c>
      <c r="O50" s="9">
        <f>SUMIFS('Lançamentos'!$K$2:$K$5010,'Lançamentos'!$A$2:$A$5010,"Outras despesas pagas",'Lançamentos'!$H$2:$H$5010,$A50,'Lançamentos'!$D$2:$D$5010,"Em 2026")</f>
        <v/>
      </c>
      <c r="P50" s="26">
        <f>COUNTIFS('Lançamentos'!$A$2:$A$5010,"Outras despesas pagas",'Lançamentos'!$H$2:$H$5010,$A50,'Lançamentos'!$D$2:$D$5010,"Em 2026")</f>
        <v/>
      </c>
    </row>
    <row r="51">
      <c r="A51" t="inlineStr">
        <is>
          <t>ARG COMERCIO LTDA</t>
        </is>
      </c>
      <c r="B51" s="9">
        <f>SUMIFS('Lançamentos'!$L$2:$L$5010,'Lançamentos'!$A$2:$A$5010,"Outras despesas pagas",'Lançamentos'!$H$2:$H$5010,$A51,'Lançamentos'!$C$2:$C$5010,B$19)</f>
        <v/>
      </c>
      <c r="C51" s="9">
        <f>SUMIFS('Lançamentos'!$L$2:$L$5010,'Lançamentos'!$A$2:$A$5010,"Outras despesas pagas",'Lançamentos'!$H$2:$H$5010,$A51,'Lançamentos'!$C$2:$C$5010,C$19)</f>
        <v/>
      </c>
      <c r="D51" s="9">
        <f>SUMIFS('Lançamentos'!$L$2:$L$5010,'Lançamentos'!$A$2:$A$5010,"Outras despesas pagas",'Lançamentos'!$H$2:$H$5010,$A51,'Lançamentos'!$C$2:$C$5010,D$19)</f>
        <v/>
      </c>
      <c r="E51" s="9">
        <f>SUMIFS('Lançamentos'!$L$2:$L$5010,'Lançamentos'!$A$2:$A$5010,"Outras despesas pagas",'Lançamentos'!$H$2:$H$5010,$A51,'Lançamentos'!$C$2:$C$5010,E$19)</f>
        <v/>
      </c>
      <c r="F51" s="9">
        <f>SUMIFS('Lançamentos'!$L$2:$L$5010,'Lançamentos'!$A$2:$A$5010,"Outras despesas pagas",'Lançamentos'!$H$2:$H$5010,$A51,'Lançamentos'!$C$2:$C$5010,F$19)</f>
        <v/>
      </c>
      <c r="G51" s="9">
        <f>SUMIFS('Lançamentos'!$L$2:$L$5010,'Lançamentos'!$A$2:$A$5010,"Outras despesas pagas",'Lançamentos'!$H$2:$H$5010,$A51,'Lançamentos'!$C$2:$C$5010,G$19)</f>
        <v/>
      </c>
      <c r="H51" s="9">
        <f>SUMIFS('Lançamentos'!$L$2:$L$5010,'Lançamentos'!$A$2:$A$5010,"Outras despesas pagas",'Lançamentos'!$H$2:$H$5010,$A51,'Lançamentos'!$C$2:$C$5010,H$19)</f>
        <v/>
      </c>
      <c r="I51" s="9">
        <f>SUMIFS('Lançamentos'!$L$2:$L$5010,'Lançamentos'!$A$2:$A$5010,"Outras despesas pagas",'Lançamentos'!$H$2:$H$5010,$A51,'Lançamentos'!$C$2:$C$5010,I$19)</f>
        <v/>
      </c>
      <c r="J51" s="9">
        <f>SUMIFS('Lançamentos'!$L$2:$L$5010,'Lançamentos'!$A$2:$A$5010,"Outras despesas pagas",'Lançamentos'!$H$2:$H$5010,$A51,'Lançamentos'!$C$2:$C$5010,J$19)</f>
        <v/>
      </c>
      <c r="K51" s="9">
        <f>SUM(B51:J51)</f>
        <v/>
      </c>
      <c r="L51" s="10">
        <f>K51/K$87</f>
        <v/>
      </c>
      <c r="M51" s="9">
        <f>SUMIFS('Lançamentos'!$L$2:$L$5010,'Lançamentos'!$A$2:$A$5010,"Outras despesas pagas",'Lançamentos'!$H$2:$H$5010,$A51,'Lançamentos'!$C$2:$C$5010,"Antes de 2026")</f>
        <v/>
      </c>
      <c r="N51" s="9">
        <f>SUMIFS('Lançamentos'!$J$2:$J$5010,'Lançamentos'!$A$2:$A$5010,"Outras despesas pagas",'Lançamentos'!$H$2:$H$5010,$A51,'Lançamentos'!$D$2:$D$5010,"Em 2026")</f>
        <v/>
      </c>
      <c r="O51" s="9">
        <f>SUMIFS('Lançamentos'!$K$2:$K$5010,'Lançamentos'!$A$2:$A$5010,"Outras despesas pagas",'Lançamentos'!$H$2:$H$5010,$A51,'Lançamentos'!$D$2:$D$5010,"Em 2026")</f>
        <v/>
      </c>
      <c r="P51" s="26">
        <f>COUNTIFS('Lançamentos'!$A$2:$A$5010,"Outras despesas pagas",'Lançamentos'!$H$2:$H$5010,$A51,'Lançamentos'!$D$2:$D$5010,"Em 2026")</f>
        <v/>
      </c>
    </row>
    <row r="52">
      <c r="A52" t="inlineStr">
        <is>
          <t>FERGE COMERCIO DE PRODUTOS INDUSTRIAIS LTDA</t>
        </is>
      </c>
      <c r="B52" s="9">
        <f>SUMIFS('Lançamentos'!$L$2:$L$5010,'Lançamentos'!$A$2:$A$5010,"Outras despesas pagas",'Lançamentos'!$H$2:$H$5010,$A52,'Lançamentos'!$C$2:$C$5010,B$19)</f>
        <v/>
      </c>
      <c r="C52" s="9">
        <f>SUMIFS('Lançamentos'!$L$2:$L$5010,'Lançamentos'!$A$2:$A$5010,"Outras despesas pagas",'Lançamentos'!$H$2:$H$5010,$A52,'Lançamentos'!$C$2:$C$5010,C$19)</f>
        <v/>
      </c>
      <c r="D52" s="9">
        <f>SUMIFS('Lançamentos'!$L$2:$L$5010,'Lançamentos'!$A$2:$A$5010,"Outras despesas pagas",'Lançamentos'!$H$2:$H$5010,$A52,'Lançamentos'!$C$2:$C$5010,D$19)</f>
        <v/>
      </c>
      <c r="E52" s="9">
        <f>SUMIFS('Lançamentos'!$L$2:$L$5010,'Lançamentos'!$A$2:$A$5010,"Outras despesas pagas",'Lançamentos'!$H$2:$H$5010,$A52,'Lançamentos'!$C$2:$C$5010,E$19)</f>
        <v/>
      </c>
      <c r="F52" s="9">
        <f>SUMIFS('Lançamentos'!$L$2:$L$5010,'Lançamentos'!$A$2:$A$5010,"Outras despesas pagas",'Lançamentos'!$H$2:$H$5010,$A52,'Lançamentos'!$C$2:$C$5010,F$19)</f>
        <v/>
      </c>
      <c r="G52" s="9">
        <f>SUMIFS('Lançamentos'!$L$2:$L$5010,'Lançamentos'!$A$2:$A$5010,"Outras despesas pagas",'Lançamentos'!$H$2:$H$5010,$A52,'Lançamentos'!$C$2:$C$5010,G$19)</f>
        <v/>
      </c>
      <c r="H52" s="9">
        <f>SUMIFS('Lançamentos'!$L$2:$L$5010,'Lançamentos'!$A$2:$A$5010,"Outras despesas pagas",'Lançamentos'!$H$2:$H$5010,$A52,'Lançamentos'!$C$2:$C$5010,H$19)</f>
        <v/>
      </c>
      <c r="I52" s="9">
        <f>SUMIFS('Lançamentos'!$L$2:$L$5010,'Lançamentos'!$A$2:$A$5010,"Outras despesas pagas",'Lançamentos'!$H$2:$H$5010,$A52,'Lançamentos'!$C$2:$C$5010,I$19)</f>
        <v/>
      </c>
      <c r="J52" s="9">
        <f>SUMIFS('Lançamentos'!$L$2:$L$5010,'Lançamentos'!$A$2:$A$5010,"Outras despesas pagas",'Lançamentos'!$H$2:$H$5010,$A52,'Lançamentos'!$C$2:$C$5010,J$19)</f>
        <v/>
      </c>
      <c r="K52" s="9">
        <f>SUM(B52:J52)</f>
        <v/>
      </c>
      <c r="L52" s="10">
        <f>K52/K$87</f>
        <v/>
      </c>
      <c r="M52" s="9">
        <f>SUMIFS('Lançamentos'!$L$2:$L$5010,'Lançamentos'!$A$2:$A$5010,"Outras despesas pagas",'Lançamentos'!$H$2:$H$5010,$A52,'Lançamentos'!$C$2:$C$5010,"Antes de 2026")</f>
        <v/>
      </c>
      <c r="N52" s="9">
        <f>SUMIFS('Lançamentos'!$J$2:$J$5010,'Lançamentos'!$A$2:$A$5010,"Outras despesas pagas",'Lançamentos'!$H$2:$H$5010,$A52,'Lançamentos'!$D$2:$D$5010,"Em 2026")</f>
        <v/>
      </c>
      <c r="O52" s="9">
        <f>SUMIFS('Lançamentos'!$K$2:$K$5010,'Lançamentos'!$A$2:$A$5010,"Outras despesas pagas",'Lançamentos'!$H$2:$H$5010,$A52,'Lançamentos'!$D$2:$D$5010,"Em 2026")</f>
        <v/>
      </c>
      <c r="P52" s="26">
        <f>COUNTIFS('Lançamentos'!$A$2:$A$5010,"Outras despesas pagas",'Lançamentos'!$H$2:$H$5010,$A52,'Lançamentos'!$D$2:$D$5010,"Em 2026")</f>
        <v/>
      </c>
    </row>
    <row r="53">
      <c r="A53" t="inlineStr">
        <is>
          <t>A HORA CERTA RELOGIOS DE PONTO COMERCIO E SERVICOS LTDA</t>
        </is>
      </c>
      <c r="B53" s="9">
        <f>SUMIFS('Lançamentos'!$L$2:$L$5010,'Lançamentos'!$A$2:$A$5010,"Outras despesas pagas",'Lançamentos'!$H$2:$H$5010,$A53,'Lançamentos'!$C$2:$C$5010,B$19)</f>
        <v/>
      </c>
      <c r="C53" s="9">
        <f>SUMIFS('Lançamentos'!$L$2:$L$5010,'Lançamentos'!$A$2:$A$5010,"Outras despesas pagas",'Lançamentos'!$H$2:$H$5010,$A53,'Lançamentos'!$C$2:$C$5010,C$19)</f>
        <v/>
      </c>
      <c r="D53" s="9">
        <f>SUMIFS('Lançamentos'!$L$2:$L$5010,'Lançamentos'!$A$2:$A$5010,"Outras despesas pagas",'Lançamentos'!$H$2:$H$5010,$A53,'Lançamentos'!$C$2:$C$5010,D$19)</f>
        <v/>
      </c>
      <c r="E53" s="9">
        <f>SUMIFS('Lançamentos'!$L$2:$L$5010,'Lançamentos'!$A$2:$A$5010,"Outras despesas pagas",'Lançamentos'!$H$2:$H$5010,$A53,'Lançamentos'!$C$2:$C$5010,E$19)</f>
        <v/>
      </c>
      <c r="F53" s="9">
        <f>SUMIFS('Lançamentos'!$L$2:$L$5010,'Lançamentos'!$A$2:$A$5010,"Outras despesas pagas",'Lançamentos'!$H$2:$H$5010,$A53,'Lançamentos'!$C$2:$C$5010,F$19)</f>
        <v/>
      </c>
      <c r="G53" s="9">
        <f>SUMIFS('Lançamentos'!$L$2:$L$5010,'Lançamentos'!$A$2:$A$5010,"Outras despesas pagas",'Lançamentos'!$H$2:$H$5010,$A53,'Lançamentos'!$C$2:$C$5010,G$19)</f>
        <v/>
      </c>
      <c r="H53" s="9">
        <f>SUMIFS('Lançamentos'!$L$2:$L$5010,'Lançamentos'!$A$2:$A$5010,"Outras despesas pagas",'Lançamentos'!$H$2:$H$5010,$A53,'Lançamentos'!$C$2:$C$5010,H$19)</f>
        <v/>
      </c>
      <c r="I53" s="9">
        <f>SUMIFS('Lançamentos'!$L$2:$L$5010,'Lançamentos'!$A$2:$A$5010,"Outras despesas pagas",'Lançamentos'!$H$2:$H$5010,$A53,'Lançamentos'!$C$2:$C$5010,I$19)</f>
        <v/>
      </c>
      <c r="J53" s="9">
        <f>SUMIFS('Lançamentos'!$L$2:$L$5010,'Lançamentos'!$A$2:$A$5010,"Outras despesas pagas",'Lançamentos'!$H$2:$H$5010,$A53,'Lançamentos'!$C$2:$C$5010,J$19)</f>
        <v/>
      </c>
      <c r="K53" s="9">
        <f>SUM(B53:J53)</f>
        <v/>
      </c>
      <c r="L53" s="10">
        <f>K53/K$87</f>
        <v/>
      </c>
      <c r="M53" s="9">
        <f>SUMIFS('Lançamentos'!$L$2:$L$5010,'Lançamentos'!$A$2:$A$5010,"Outras despesas pagas",'Lançamentos'!$H$2:$H$5010,$A53,'Lançamentos'!$C$2:$C$5010,"Antes de 2026")</f>
        <v/>
      </c>
      <c r="N53" s="9">
        <f>SUMIFS('Lançamentos'!$J$2:$J$5010,'Lançamentos'!$A$2:$A$5010,"Outras despesas pagas",'Lançamentos'!$H$2:$H$5010,$A53,'Lançamentos'!$D$2:$D$5010,"Em 2026")</f>
        <v/>
      </c>
      <c r="O53" s="9">
        <f>SUMIFS('Lançamentos'!$K$2:$K$5010,'Lançamentos'!$A$2:$A$5010,"Outras despesas pagas",'Lançamentos'!$H$2:$H$5010,$A53,'Lançamentos'!$D$2:$D$5010,"Em 2026")</f>
        <v/>
      </c>
      <c r="P53" s="26">
        <f>COUNTIFS('Lançamentos'!$A$2:$A$5010,"Outras despesas pagas",'Lançamentos'!$H$2:$H$5010,$A53,'Lançamentos'!$D$2:$D$5010,"Em 2026")</f>
        <v/>
      </c>
    </row>
    <row r="54">
      <c r="A54" t="inlineStr">
        <is>
          <t>TECNOTURBO FABRICACAO E COMERCIO DE VENTILADORES LTDA</t>
        </is>
      </c>
      <c r="B54" s="9">
        <f>SUMIFS('Lançamentos'!$L$2:$L$5010,'Lançamentos'!$A$2:$A$5010,"Outras despesas pagas",'Lançamentos'!$H$2:$H$5010,$A54,'Lançamentos'!$C$2:$C$5010,B$19)</f>
        <v/>
      </c>
      <c r="C54" s="9">
        <f>SUMIFS('Lançamentos'!$L$2:$L$5010,'Lançamentos'!$A$2:$A$5010,"Outras despesas pagas",'Lançamentos'!$H$2:$H$5010,$A54,'Lançamentos'!$C$2:$C$5010,C$19)</f>
        <v/>
      </c>
      <c r="D54" s="9">
        <f>SUMIFS('Lançamentos'!$L$2:$L$5010,'Lançamentos'!$A$2:$A$5010,"Outras despesas pagas",'Lançamentos'!$H$2:$H$5010,$A54,'Lançamentos'!$C$2:$C$5010,D$19)</f>
        <v/>
      </c>
      <c r="E54" s="9">
        <f>SUMIFS('Lançamentos'!$L$2:$L$5010,'Lançamentos'!$A$2:$A$5010,"Outras despesas pagas",'Lançamentos'!$H$2:$H$5010,$A54,'Lançamentos'!$C$2:$C$5010,E$19)</f>
        <v/>
      </c>
      <c r="F54" s="9">
        <f>SUMIFS('Lançamentos'!$L$2:$L$5010,'Lançamentos'!$A$2:$A$5010,"Outras despesas pagas",'Lançamentos'!$H$2:$H$5010,$A54,'Lançamentos'!$C$2:$C$5010,F$19)</f>
        <v/>
      </c>
      <c r="G54" s="9">
        <f>SUMIFS('Lançamentos'!$L$2:$L$5010,'Lançamentos'!$A$2:$A$5010,"Outras despesas pagas",'Lançamentos'!$H$2:$H$5010,$A54,'Lançamentos'!$C$2:$C$5010,G$19)</f>
        <v/>
      </c>
      <c r="H54" s="9">
        <f>SUMIFS('Lançamentos'!$L$2:$L$5010,'Lançamentos'!$A$2:$A$5010,"Outras despesas pagas",'Lançamentos'!$H$2:$H$5010,$A54,'Lançamentos'!$C$2:$C$5010,H$19)</f>
        <v/>
      </c>
      <c r="I54" s="9">
        <f>SUMIFS('Lançamentos'!$L$2:$L$5010,'Lançamentos'!$A$2:$A$5010,"Outras despesas pagas",'Lançamentos'!$H$2:$H$5010,$A54,'Lançamentos'!$C$2:$C$5010,I$19)</f>
        <v/>
      </c>
      <c r="J54" s="9">
        <f>SUMIFS('Lançamentos'!$L$2:$L$5010,'Lançamentos'!$A$2:$A$5010,"Outras despesas pagas",'Lançamentos'!$H$2:$H$5010,$A54,'Lançamentos'!$C$2:$C$5010,J$19)</f>
        <v/>
      </c>
      <c r="K54" s="9">
        <f>SUM(B54:J54)</f>
        <v/>
      </c>
      <c r="L54" s="10">
        <f>K54/K$87</f>
        <v/>
      </c>
      <c r="M54" s="9">
        <f>SUMIFS('Lançamentos'!$L$2:$L$5010,'Lançamentos'!$A$2:$A$5010,"Outras despesas pagas",'Lançamentos'!$H$2:$H$5010,$A54,'Lançamentos'!$C$2:$C$5010,"Antes de 2026")</f>
        <v/>
      </c>
      <c r="N54" s="9">
        <f>SUMIFS('Lançamentos'!$J$2:$J$5010,'Lançamentos'!$A$2:$A$5010,"Outras despesas pagas",'Lançamentos'!$H$2:$H$5010,$A54,'Lançamentos'!$D$2:$D$5010,"Em 2026")</f>
        <v/>
      </c>
      <c r="O54" s="9">
        <f>SUMIFS('Lançamentos'!$K$2:$K$5010,'Lançamentos'!$A$2:$A$5010,"Outras despesas pagas",'Lançamentos'!$H$2:$H$5010,$A54,'Lançamentos'!$D$2:$D$5010,"Em 2026")</f>
        <v/>
      </c>
      <c r="P54" s="26">
        <f>COUNTIFS('Lançamentos'!$A$2:$A$5010,"Outras despesas pagas",'Lançamentos'!$H$2:$H$5010,$A54,'Lançamentos'!$D$2:$D$5010,"Em 2026")</f>
        <v/>
      </c>
    </row>
    <row r="55">
      <c r="A55" t="inlineStr">
        <is>
          <t>IZTRAN COMERCIO DE ELETRONICOS LTDA</t>
        </is>
      </c>
      <c r="B55" s="9">
        <f>SUMIFS('Lançamentos'!$L$2:$L$5010,'Lançamentos'!$A$2:$A$5010,"Outras despesas pagas",'Lançamentos'!$H$2:$H$5010,$A55,'Lançamentos'!$C$2:$C$5010,B$19)</f>
        <v/>
      </c>
      <c r="C55" s="9">
        <f>SUMIFS('Lançamentos'!$L$2:$L$5010,'Lançamentos'!$A$2:$A$5010,"Outras despesas pagas",'Lançamentos'!$H$2:$H$5010,$A55,'Lançamentos'!$C$2:$C$5010,C$19)</f>
        <v/>
      </c>
      <c r="D55" s="9">
        <f>SUMIFS('Lançamentos'!$L$2:$L$5010,'Lançamentos'!$A$2:$A$5010,"Outras despesas pagas",'Lançamentos'!$H$2:$H$5010,$A55,'Lançamentos'!$C$2:$C$5010,D$19)</f>
        <v/>
      </c>
      <c r="E55" s="9">
        <f>SUMIFS('Lançamentos'!$L$2:$L$5010,'Lançamentos'!$A$2:$A$5010,"Outras despesas pagas",'Lançamentos'!$H$2:$H$5010,$A55,'Lançamentos'!$C$2:$C$5010,E$19)</f>
        <v/>
      </c>
      <c r="F55" s="9">
        <f>SUMIFS('Lançamentos'!$L$2:$L$5010,'Lançamentos'!$A$2:$A$5010,"Outras despesas pagas",'Lançamentos'!$H$2:$H$5010,$A55,'Lançamentos'!$C$2:$C$5010,F$19)</f>
        <v/>
      </c>
      <c r="G55" s="9">
        <f>SUMIFS('Lançamentos'!$L$2:$L$5010,'Lançamentos'!$A$2:$A$5010,"Outras despesas pagas",'Lançamentos'!$H$2:$H$5010,$A55,'Lançamentos'!$C$2:$C$5010,G$19)</f>
        <v/>
      </c>
      <c r="H55" s="9">
        <f>SUMIFS('Lançamentos'!$L$2:$L$5010,'Lançamentos'!$A$2:$A$5010,"Outras despesas pagas",'Lançamentos'!$H$2:$H$5010,$A55,'Lançamentos'!$C$2:$C$5010,H$19)</f>
        <v/>
      </c>
      <c r="I55" s="9">
        <f>SUMIFS('Lançamentos'!$L$2:$L$5010,'Lançamentos'!$A$2:$A$5010,"Outras despesas pagas",'Lançamentos'!$H$2:$H$5010,$A55,'Lançamentos'!$C$2:$C$5010,I$19)</f>
        <v/>
      </c>
      <c r="J55" s="9">
        <f>SUMIFS('Lançamentos'!$L$2:$L$5010,'Lançamentos'!$A$2:$A$5010,"Outras despesas pagas",'Lançamentos'!$H$2:$H$5010,$A55,'Lançamentos'!$C$2:$C$5010,J$19)</f>
        <v/>
      </c>
      <c r="K55" s="9">
        <f>SUM(B55:J55)</f>
        <v/>
      </c>
      <c r="L55" s="10">
        <f>K55/K$87</f>
        <v/>
      </c>
      <c r="M55" s="9">
        <f>SUMIFS('Lançamentos'!$L$2:$L$5010,'Lançamentos'!$A$2:$A$5010,"Outras despesas pagas",'Lançamentos'!$H$2:$H$5010,$A55,'Lançamentos'!$C$2:$C$5010,"Antes de 2026")</f>
        <v/>
      </c>
      <c r="N55" s="9">
        <f>SUMIFS('Lançamentos'!$J$2:$J$5010,'Lançamentos'!$A$2:$A$5010,"Outras despesas pagas",'Lançamentos'!$H$2:$H$5010,$A55,'Lançamentos'!$D$2:$D$5010,"Em 2026")</f>
        <v/>
      </c>
      <c r="O55" s="9">
        <f>SUMIFS('Lançamentos'!$K$2:$K$5010,'Lançamentos'!$A$2:$A$5010,"Outras despesas pagas",'Lançamentos'!$H$2:$H$5010,$A55,'Lançamentos'!$D$2:$D$5010,"Em 2026")</f>
        <v/>
      </c>
      <c r="P55" s="26">
        <f>COUNTIFS('Lançamentos'!$A$2:$A$5010,"Outras despesas pagas",'Lançamentos'!$H$2:$H$5010,$A55,'Lançamentos'!$D$2:$D$5010,"Em 2026")</f>
        <v/>
      </c>
    </row>
    <row r="56">
      <c r="A56" t="inlineStr">
        <is>
          <t>SUPERGASBRAS ENERGIA LTDA</t>
        </is>
      </c>
      <c r="B56" s="9">
        <f>SUMIFS('Lançamentos'!$L$2:$L$5010,'Lançamentos'!$A$2:$A$5010,"Outras despesas pagas",'Lançamentos'!$H$2:$H$5010,$A56,'Lançamentos'!$C$2:$C$5010,B$19)</f>
        <v/>
      </c>
      <c r="C56" s="9">
        <f>SUMIFS('Lançamentos'!$L$2:$L$5010,'Lançamentos'!$A$2:$A$5010,"Outras despesas pagas",'Lançamentos'!$H$2:$H$5010,$A56,'Lançamentos'!$C$2:$C$5010,C$19)</f>
        <v/>
      </c>
      <c r="D56" s="9">
        <f>SUMIFS('Lançamentos'!$L$2:$L$5010,'Lançamentos'!$A$2:$A$5010,"Outras despesas pagas",'Lançamentos'!$H$2:$H$5010,$A56,'Lançamentos'!$C$2:$C$5010,D$19)</f>
        <v/>
      </c>
      <c r="E56" s="9">
        <f>SUMIFS('Lançamentos'!$L$2:$L$5010,'Lançamentos'!$A$2:$A$5010,"Outras despesas pagas",'Lançamentos'!$H$2:$H$5010,$A56,'Lançamentos'!$C$2:$C$5010,E$19)</f>
        <v/>
      </c>
      <c r="F56" s="9">
        <f>SUMIFS('Lançamentos'!$L$2:$L$5010,'Lançamentos'!$A$2:$A$5010,"Outras despesas pagas",'Lançamentos'!$H$2:$H$5010,$A56,'Lançamentos'!$C$2:$C$5010,F$19)</f>
        <v/>
      </c>
      <c r="G56" s="9">
        <f>SUMIFS('Lançamentos'!$L$2:$L$5010,'Lançamentos'!$A$2:$A$5010,"Outras despesas pagas",'Lançamentos'!$H$2:$H$5010,$A56,'Lançamentos'!$C$2:$C$5010,G$19)</f>
        <v/>
      </c>
      <c r="H56" s="9">
        <f>SUMIFS('Lançamentos'!$L$2:$L$5010,'Lançamentos'!$A$2:$A$5010,"Outras despesas pagas",'Lançamentos'!$H$2:$H$5010,$A56,'Lançamentos'!$C$2:$C$5010,H$19)</f>
        <v/>
      </c>
      <c r="I56" s="9">
        <f>SUMIFS('Lançamentos'!$L$2:$L$5010,'Lançamentos'!$A$2:$A$5010,"Outras despesas pagas",'Lançamentos'!$H$2:$H$5010,$A56,'Lançamentos'!$C$2:$C$5010,I$19)</f>
        <v/>
      </c>
      <c r="J56" s="9">
        <f>SUMIFS('Lançamentos'!$L$2:$L$5010,'Lançamentos'!$A$2:$A$5010,"Outras despesas pagas",'Lançamentos'!$H$2:$H$5010,$A56,'Lançamentos'!$C$2:$C$5010,J$19)</f>
        <v/>
      </c>
      <c r="K56" s="9">
        <f>SUM(B56:J56)</f>
        <v/>
      </c>
      <c r="L56" s="10">
        <f>K56/K$87</f>
        <v/>
      </c>
      <c r="M56" s="9">
        <f>SUMIFS('Lançamentos'!$L$2:$L$5010,'Lançamentos'!$A$2:$A$5010,"Outras despesas pagas",'Lançamentos'!$H$2:$H$5010,$A56,'Lançamentos'!$C$2:$C$5010,"Antes de 2026")</f>
        <v/>
      </c>
      <c r="N56" s="9">
        <f>SUMIFS('Lançamentos'!$J$2:$J$5010,'Lançamentos'!$A$2:$A$5010,"Outras despesas pagas",'Lançamentos'!$H$2:$H$5010,$A56,'Lançamentos'!$D$2:$D$5010,"Em 2026")</f>
        <v/>
      </c>
      <c r="O56" s="9">
        <f>SUMIFS('Lançamentos'!$K$2:$K$5010,'Lançamentos'!$A$2:$A$5010,"Outras despesas pagas",'Lançamentos'!$H$2:$H$5010,$A56,'Lançamentos'!$D$2:$D$5010,"Em 2026")</f>
        <v/>
      </c>
      <c r="P56" s="26">
        <f>COUNTIFS('Lançamentos'!$A$2:$A$5010,"Outras despesas pagas",'Lançamentos'!$H$2:$H$5010,$A56,'Lançamentos'!$D$2:$D$5010,"Em 2026")</f>
        <v/>
      </c>
    </row>
    <row r="57">
      <c r="A57" t="inlineStr">
        <is>
          <t>NOVO ATACADO COMERCIO DE ALIMENTOS SA</t>
        </is>
      </c>
      <c r="B57" s="9">
        <f>SUMIFS('Lançamentos'!$L$2:$L$5010,'Lançamentos'!$A$2:$A$5010,"Outras despesas pagas",'Lançamentos'!$H$2:$H$5010,$A57,'Lançamentos'!$C$2:$C$5010,B$19)</f>
        <v/>
      </c>
      <c r="C57" s="9">
        <f>SUMIFS('Lançamentos'!$L$2:$L$5010,'Lançamentos'!$A$2:$A$5010,"Outras despesas pagas",'Lançamentos'!$H$2:$H$5010,$A57,'Lançamentos'!$C$2:$C$5010,C$19)</f>
        <v/>
      </c>
      <c r="D57" s="9">
        <f>SUMIFS('Lançamentos'!$L$2:$L$5010,'Lançamentos'!$A$2:$A$5010,"Outras despesas pagas",'Lançamentos'!$H$2:$H$5010,$A57,'Lançamentos'!$C$2:$C$5010,D$19)</f>
        <v/>
      </c>
      <c r="E57" s="9">
        <f>SUMIFS('Lançamentos'!$L$2:$L$5010,'Lançamentos'!$A$2:$A$5010,"Outras despesas pagas",'Lançamentos'!$H$2:$H$5010,$A57,'Lançamentos'!$C$2:$C$5010,E$19)</f>
        <v/>
      </c>
      <c r="F57" s="9">
        <f>SUMIFS('Lançamentos'!$L$2:$L$5010,'Lançamentos'!$A$2:$A$5010,"Outras despesas pagas",'Lançamentos'!$H$2:$H$5010,$A57,'Lançamentos'!$C$2:$C$5010,F$19)</f>
        <v/>
      </c>
      <c r="G57" s="9">
        <f>SUMIFS('Lançamentos'!$L$2:$L$5010,'Lançamentos'!$A$2:$A$5010,"Outras despesas pagas",'Lançamentos'!$H$2:$H$5010,$A57,'Lançamentos'!$C$2:$C$5010,G$19)</f>
        <v/>
      </c>
      <c r="H57" s="9">
        <f>SUMIFS('Lançamentos'!$L$2:$L$5010,'Lançamentos'!$A$2:$A$5010,"Outras despesas pagas",'Lançamentos'!$H$2:$H$5010,$A57,'Lançamentos'!$C$2:$C$5010,H$19)</f>
        <v/>
      </c>
      <c r="I57" s="9">
        <f>SUMIFS('Lançamentos'!$L$2:$L$5010,'Lançamentos'!$A$2:$A$5010,"Outras despesas pagas",'Lançamentos'!$H$2:$H$5010,$A57,'Lançamentos'!$C$2:$C$5010,I$19)</f>
        <v/>
      </c>
      <c r="J57" s="9">
        <f>SUMIFS('Lançamentos'!$L$2:$L$5010,'Lançamentos'!$A$2:$A$5010,"Outras despesas pagas",'Lançamentos'!$H$2:$H$5010,$A57,'Lançamentos'!$C$2:$C$5010,J$19)</f>
        <v/>
      </c>
      <c r="K57" s="9">
        <f>SUM(B57:J57)</f>
        <v/>
      </c>
      <c r="L57" s="10">
        <f>K57/K$87</f>
        <v/>
      </c>
      <c r="M57" s="9">
        <f>SUMIFS('Lançamentos'!$L$2:$L$5010,'Lançamentos'!$A$2:$A$5010,"Outras despesas pagas",'Lançamentos'!$H$2:$H$5010,$A57,'Lançamentos'!$C$2:$C$5010,"Antes de 2026")</f>
        <v/>
      </c>
      <c r="N57" s="9">
        <f>SUMIFS('Lançamentos'!$J$2:$J$5010,'Lançamentos'!$A$2:$A$5010,"Outras despesas pagas",'Lançamentos'!$H$2:$H$5010,$A57,'Lançamentos'!$D$2:$D$5010,"Em 2026")</f>
        <v/>
      </c>
      <c r="O57" s="9">
        <f>SUMIFS('Lançamentos'!$K$2:$K$5010,'Lançamentos'!$A$2:$A$5010,"Outras despesas pagas",'Lançamentos'!$H$2:$H$5010,$A57,'Lançamentos'!$D$2:$D$5010,"Em 2026")</f>
        <v/>
      </c>
      <c r="P57" s="26">
        <f>COUNTIFS('Lançamentos'!$A$2:$A$5010,"Outras despesas pagas",'Lançamentos'!$H$2:$H$5010,$A57,'Lançamentos'!$D$2:$D$5010,"Em 2026")</f>
        <v/>
      </c>
    </row>
    <row r="58">
      <c r="A58" t="inlineStr">
        <is>
          <t>INOVAMAIS</t>
        </is>
      </c>
      <c r="B58" s="9">
        <f>SUMIFS('Lançamentos'!$L$2:$L$5010,'Lançamentos'!$A$2:$A$5010,"Outras despesas pagas",'Lançamentos'!$H$2:$H$5010,$A58,'Lançamentos'!$C$2:$C$5010,B$19)</f>
        <v/>
      </c>
      <c r="C58" s="9">
        <f>SUMIFS('Lançamentos'!$L$2:$L$5010,'Lançamentos'!$A$2:$A$5010,"Outras despesas pagas",'Lançamentos'!$H$2:$H$5010,$A58,'Lançamentos'!$C$2:$C$5010,C$19)</f>
        <v/>
      </c>
      <c r="D58" s="9">
        <f>SUMIFS('Lançamentos'!$L$2:$L$5010,'Lançamentos'!$A$2:$A$5010,"Outras despesas pagas",'Lançamentos'!$H$2:$H$5010,$A58,'Lançamentos'!$C$2:$C$5010,D$19)</f>
        <v/>
      </c>
      <c r="E58" s="9">
        <f>SUMIFS('Lançamentos'!$L$2:$L$5010,'Lançamentos'!$A$2:$A$5010,"Outras despesas pagas",'Lançamentos'!$H$2:$H$5010,$A58,'Lançamentos'!$C$2:$C$5010,E$19)</f>
        <v/>
      </c>
      <c r="F58" s="9">
        <f>SUMIFS('Lançamentos'!$L$2:$L$5010,'Lançamentos'!$A$2:$A$5010,"Outras despesas pagas",'Lançamentos'!$H$2:$H$5010,$A58,'Lançamentos'!$C$2:$C$5010,F$19)</f>
        <v/>
      </c>
      <c r="G58" s="9">
        <f>SUMIFS('Lançamentos'!$L$2:$L$5010,'Lançamentos'!$A$2:$A$5010,"Outras despesas pagas",'Lançamentos'!$H$2:$H$5010,$A58,'Lançamentos'!$C$2:$C$5010,G$19)</f>
        <v/>
      </c>
      <c r="H58" s="9">
        <f>SUMIFS('Lançamentos'!$L$2:$L$5010,'Lançamentos'!$A$2:$A$5010,"Outras despesas pagas",'Lançamentos'!$H$2:$H$5010,$A58,'Lançamentos'!$C$2:$C$5010,H$19)</f>
        <v/>
      </c>
      <c r="I58" s="9">
        <f>SUMIFS('Lançamentos'!$L$2:$L$5010,'Lançamentos'!$A$2:$A$5010,"Outras despesas pagas",'Lançamentos'!$H$2:$H$5010,$A58,'Lançamentos'!$C$2:$C$5010,I$19)</f>
        <v/>
      </c>
      <c r="J58" s="9">
        <f>SUMIFS('Lançamentos'!$L$2:$L$5010,'Lançamentos'!$A$2:$A$5010,"Outras despesas pagas",'Lançamentos'!$H$2:$H$5010,$A58,'Lançamentos'!$C$2:$C$5010,J$19)</f>
        <v/>
      </c>
      <c r="K58" s="9">
        <f>SUM(B58:J58)</f>
        <v/>
      </c>
      <c r="L58" s="10">
        <f>K58/K$87</f>
        <v/>
      </c>
      <c r="M58" s="9">
        <f>SUMIFS('Lançamentos'!$L$2:$L$5010,'Lançamentos'!$A$2:$A$5010,"Outras despesas pagas",'Lançamentos'!$H$2:$H$5010,$A58,'Lançamentos'!$C$2:$C$5010,"Antes de 2026")</f>
        <v/>
      </c>
      <c r="N58" s="9">
        <f>SUMIFS('Lançamentos'!$J$2:$J$5010,'Lançamentos'!$A$2:$A$5010,"Outras despesas pagas",'Lançamentos'!$H$2:$H$5010,$A58,'Lançamentos'!$D$2:$D$5010,"Em 2026")</f>
        <v/>
      </c>
      <c r="O58" s="9">
        <f>SUMIFS('Lançamentos'!$K$2:$K$5010,'Lançamentos'!$A$2:$A$5010,"Outras despesas pagas",'Lançamentos'!$H$2:$H$5010,$A58,'Lançamentos'!$D$2:$D$5010,"Em 2026")</f>
        <v/>
      </c>
      <c r="P58" s="26">
        <f>COUNTIFS('Lançamentos'!$A$2:$A$5010,"Outras despesas pagas",'Lançamentos'!$H$2:$H$5010,$A58,'Lançamentos'!$D$2:$D$5010,"Em 2026")</f>
        <v/>
      </c>
    </row>
    <row r="59">
      <c r="A59" t="inlineStr">
        <is>
          <t>Omega Soul Brindes e Servicos Ltda</t>
        </is>
      </c>
      <c r="B59" s="9">
        <f>SUMIFS('Lançamentos'!$L$2:$L$5010,'Lançamentos'!$A$2:$A$5010,"Outras despesas pagas",'Lançamentos'!$H$2:$H$5010,$A59,'Lançamentos'!$C$2:$C$5010,B$19)</f>
        <v/>
      </c>
      <c r="C59" s="9">
        <f>SUMIFS('Lançamentos'!$L$2:$L$5010,'Lançamentos'!$A$2:$A$5010,"Outras despesas pagas",'Lançamentos'!$H$2:$H$5010,$A59,'Lançamentos'!$C$2:$C$5010,C$19)</f>
        <v/>
      </c>
      <c r="D59" s="9">
        <f>SUMIFS('Lançamentos'!$L$2:$L$5010,'Lançamentos'!$A$2:$A$5010,"Outras despesas pagas",'Lançamentos'!$H$2:$H$5010,$A59,'Lançamentos'!$C$2:$C$5010,D$19)</f>
        <v/>
      </c>
      <c r="E59" s="9">
        <f>SUMIFS('Lançamentos'!$L$2:$L$5010,'Lançamentos'!$A$2:$A$5010,"Outras despesas pagas",'Lançamentos'!$H$2:$H$5010,$A59,'Lançamentos'!$C$2:$C$5010,E$19)</f>
        <v/>
      </c>
      <c r="F59" s="9">
        <f>SUMIFS('Lançamentos'!$L$2:$L$5010,'Lançamentos'!$A$2:$A$5010,"Outras despesas pagas",'Lançamentos'!$H$2:$H$5010,$A59,'Lançamentos'!$C$2:$C$5010,F$19)</f>
        <v/>
      </c>
      <c r="G59" s="9">
        <f>SUMIFS('Lançamentos'!$L$2:$L$5010,'Lançamentos'!$A$2:$A$5010,"Outras despesas pagas",'Lançamentos'!$H$2:$H$5010,$A59,'Lançamentos'!$C$2:$C$5010,G$19)</f>
        <v/>
      </c>
      <c r="H59" s="9">
        <f>SUMIFS('Lançamentos'!$L$2:$L$5010,'Lançamentos'!$A$2:$A$5010,"Outras despesas pagas",'Lançamentos'!$H$2:$H$5010,$A59,'Lançamentos'!$C$2:$C$5010,H$19)</f>
        <v/>
      </c>
      <c r="I59" s="9">
        <f>SUMIFS('Lançamentos'!$L$2:$L$5010,'Lançamentos'!$A$2:$A$5010,"Outras despesas pagas",'Lançamentos'!$H$2:$H$5010,$A59,'Lançamentos'!$C$2:$C$5010,I$19)</f>
        <v/>
      </c>
      <c r="J59" s="9">
        <f>SUMIFS('Lançamentos'!$L$2:$L$5010,'Lançamentos'!$A$2:$A$5010,"Outras despesas pagas",'Lançamentos'!$H$2:$H$5010,$A59,'Lançamentos'!$C$2:$C$5010,J$19)</f>
        <v/>
      </c>
      <c r="K59" s="9">
        <f>SUM(B59:J59)</f>
        <v/>
      </c>
      <c r="L59" s="10">
        <f>K59/K$87</f>
        <v/>
      </c>
      <c r="M59" s="9">
        <f>SUMIFS('Lançamentos'!$L$2:$L$5010,'Lançamentos'!$A$2:$A$5010,"Outras despesas pagas",'Lançamentos'!$H$2:$H$5010,$A59,'Lançamentos'!$C$2:$C$5010,"Antes de 2026")</f>
        <v/>
      </c>
      <c r="N59" s="9">
        <f>SUMIFS('Lançamentos'!$J$2:$J$5010,'Lançamentos'!$A$2:$A$5010,"Outras despesas pagas",'Lançamentos'!$H$2:$H$5010,$A59,'Lançamentos'!$D$2:$D$5010,"Em 2026")</f>
        <v/>
      </c>
      <c r="O59" s="9">
        <f>SUMIFS('Lançamentos'!$K$2:$K$5010,'Lançamentos'!$A$2:$A$5010,"Outras despesas pagas",'Lançamentos'!$H$2:$H$5010,$A59,'Lançamentos'!$D$2:$D$5010,"Em 2026")</f>
        <v/>
      </c>
      <c r="P59" s="26">
        <f>COUNTIFS('Lançamentos'!$A$2:$A$5010,"Outras despesas pagas",'Lançamentos'!$H$2:$H$5010,$A59,'Lançamentos'!$D$2:$D$5010,"Em 2026")</f>
        <v/>
      </c>
    </row>
    <row r="60">
      <c r="A60" t="inlineStr">
        <is>
          <t>LUPITEC COMERCIAL LTDA</t>
        </is>
      </c>
      <c r="B60" s="9">
        <f>SUMIFS('Lançamentos'!$L$2:$L$5010,'Lançamentos'!$A$2:$A$5010,"Outras despesas pagas",'Lançamentos'!$H$2:$H$5010,$A60,'Lançamentos'!$C$2:$C$5010,B$19)</f>
        <v/>
      </c>
      <c r="C60" s="9">
        <f>SUMIFS('Lançamentos'!$L$2:$L$5010,'Lançamentos'!$A$2:$A$5010,"Outras despesas pagas",'Lançamentos'!$H$2:$H$5010,$A60,'Lançamentos'!$C$2:$C$5010,C$19)</f>
        <v/>
      </c>
      <c r="D60" s="9">
        <f>SUMIFS('Lançamentos'!$L$2:$L$5010,'Lançamentos'!$A$2:$A$5010,"Outras despesas pagas",'Lançamentos'!$H$2:$H$5010,$A60,'Lançamentos'!$C$2:$C$5010,D$19)</f>
        <v/>
      </c>
      <c r="E60" s="9">
        <f>SUMIFS('Lançamentos'!$L$2:$L$5010,'Lançamentos'!$A$2:$A$5010,"Outras despesas pagas",'Lançamentos'!$H$2:$H$5010,$A60,'Lançamentos'!$C$2:$C$5010,E$19)</f>
        <v/>
      </c>
      <c r="F60" s="9">
        <f>SUMIFS('Lançamentos'!$L$2:$L$5010,'Lançamentos'!$A$2:$A$5010,"Outras despesas pagas",'Lançamentos'!$H$2:$H$5010,$A60,'Lançamentos'!$C$2:$C$5010,F$19)</f>
        <v/>
      </c>
      <c r="G60" s="9">
        <f>SUMIFS('Lançamentos'!$L$2:$L$5010,'Lançamentos'!$A$2:$A$5010,"Outras despesas pagas",'Lançamentos'!$H$2:$H$5010,$A60,'Lançamentos'!$C$2:$C$5010,G$19)</f>
        <v/>
      </c>
      <c r="H60" s="9">
        <f>SUMIFS('Lançamentos'!$L$2:$L$5010,'Lançamentos'!$A$2:$A$5010,"Outras despesas pagas",'Lançamentos'!$H$2:$H$5010,$A60,'Lançamentos'!$C$2:$C$5010,H$19)</f>
        <v/>
      </c>
      <c r="I60" s="9">
        <f>SUMIFS('Lançamentos'!$L$2:$L$5010,'Lançamentos'!$A$2:$A$5010,"Outras despesas pagas",'Lançamentos'!$H$2:$H$5010,$A60,'Lançamentos'!$C$2:$C$5010,I$19)</f>
        <v/>
      </c>
      <c r="J60" s="9">
        <f>SUMIFS('Lançamentos'!$L$2:$L$5010,'Lançamentos'!$A$2:$A$5010,"Outras despesas pagas",'Lançamentos'!$H$2:$H$5010,$A60,'Lançamentos'!$C$2:$C$5010,J$19)</f>
        <v/>
      </c>
      <c r="K60" s="9">
        <f>SUM(B60:J60)</f>
        <v/>
      </c>
      <c r="L60" s="10">
        <f>K60/K$87</f>
        <v/>
      </c>
      <c r="M60" s="9">
        <f>SUMIFS('Lançamentos'!$L$2:$L$5010,'Lançamentos'!$A$2:$A$5010,"Outras despesas pagas",'Lançamentos'!$H$2:$H$5010,$A60,'Lançamentos'!$C$2:$C$5010,"Antes de 2026")</f>
        <v/>
      </c>
      <c r="N60" s="9">
        <f>SUMIFS('Lançamentos'!$J$2:$J$5010,'Lançamentos'!$A$2:$A$5010,"Outras despesas pagas",'Lançamentos'!$H$2:$H$5010,$A60,'Lançamentos'!$D$2:$D$5010,"Em 2026")</f>
        <v/>
      </c>
      <c r="O60" s="9">
        <f>SUMIFS('Lançamentos'!$K$2:$K$5010,'Lançamentos'!$A$2:$A$5010,"Outras despesas pagas",'Lançamentos'!$H$2:$H$5010,$A60,'Lançamentos'!$D$2:$D$5010,"Em 2026")</f>
        <v/>
      </c>
      <c r="P60" s="26">
        <f>COUNTIFS('Lançamentos'!$A$2:$A$5010,"Outras despesas pagas",'Lançamentos'!$H$2:$H$5010,$A60,'Lançamentos'!$D$2:$D$5010,"Em 2026")</f>
        <v/>
      </c>
    </row>
    <row r="61">
      <c r="A61" t="inlineStr">
        <is>
          <t>EFATA CONST E COM ATACADISTA DE CAL E CIMENTOS LTDA</t>
        </is>
      </c>
      <c r="B61" s="9">
        <f>SUMIFS('Lançamentos'!$L$2:$L$5010,'Lançamentos'!$A$2:$A$5010,"Outras despesas pagas",'Lançamentos'!$H$2:$H$5010,$A61,'Lançamentos'!$C$2:$C$5010,B$19)</f>
        <v/>
      </c>
      <c r="C61" s="9">
        <f>SUMIFS('Lançamentos'!$L$2:$L$5010,'Lançamentos'!$A$2:$A$5010,"Outras despesas pagas",'Lançamentos'!$H$2:$H$5010,$A61,'Lançamentos'!$C$2:$C$5010,C$19)</f>
        <v/>
      </c>
      <c r="D61" s="9">
        <f>SUMIFS('Lançamentos'!$L$2:$L$5010,'Lançamentos'!$A$2:$A$5010,"Outras despesas pagas",'Lançamentos'!$H$2:$H$5010,$A61,'Lançamentos'!$C$2:$C$5010,D$19)</f>
        <v/>
      </c>
      <c r="E61" s="9">
        <f>SUMIFS('Lançamentos'!$L$2:$L$5010,'Lançamentos'!$A$2:$A$5010,"Outras despesas pagas",'Lançamentos'!$H$2:$H$5010,$A61,'Lançamentos'!$C$2:$C$5010,E$19)</f>
        <v/>
      </c>
      <c r="F61" s="9">
        <f>SUMIFS('Lançamentos'!$L$2:$L$5010,'Lançamentos'!$A$2:$A$5010,"Outras despesas pagas",'Lançamentos'!$H$2:$H$5010,$A61,'Lançamentos'!$C$2:$C$5010,F$19)</f>
        <v/>
      </c>
      <c r="G61" s="9">
        <f>SUMIFS('Lançamentos'!$L$2:$L$5010,'Lançamentos'!$A$2:$A$5010,"Outras despesas pagas",'Lançamentos'!$H$2:$H$5010,$A61,'Lançamentos'!$C$2:$C$5010,G$19)</f>
        <v/>
      </c>
      <c r="H61" s="9">
        <f>SUMIFS('Lançamentos'!$L$2:$L$5010,'Lançamentos'!$A$2:$A$5010,"Outras despesas pagas",'Lançamentos'!$H$2:$H$5010,$A61,'Lançamentos'!$C$2:$C$5010,H$19)</f>
        <v/>
      </c>
      <c r="I61" s="9">
        <f>SUMIFS('Lançamentos'!$L$2:$L$5010,'Lançamentos'!$A$2:$A$5010,"Outras despesas pagas",'Lançamentos'!$H$2:$H$5010,$A61,'Lançamentos'!$C$2:$C$5010,I$19)</f>
        <v/>
      </c>
      <c r="J61" s="9">
        <f>SUMIFS('Lançamentos'!$L$2:$L$5010,'Lançamentos'!$A$2:$A$5010,"Outras despesas pagas",'Lançamentos'!$H$2:$H$5010,$A61,'Lançamentos'!$C$2:$C$5010,J$19)</f>
        <v/>
      </c>
      <c r="K61" s="9">
        <f>SUM(B61:J61)</f>
        <v/>
      </c>
      <c r="L61" s="10">
        <f>K61/K$87</f>
        <v/>
      </c>
      <c r="M61" s="9">
        <f>SUMIFS('Lançamentos'!$L$2:$L$5010,'Lançamentos'!$A$2:$A$5010,"Outras despesas pagas",'Lançamentos'!$H$2:$H$5010,$A61,'Lançamentos'!$C$2:$C$5010,"Antes de 2026")</f>
        <v/>
      </c>
      <c r="N61" s="9">
        <f>SUMIFS('Lançamentos'!$J$2:$J$5010,'Lançamentos'!$A$2:$A$5010,"Outras despesas pagas",'Lançamentos'!$H$2:$H$5010,$A61,'Lançamentos'!$D$2:$D$5010,"Em 2026")</f>
        <v/>
      </c>
      <c r="O61" s="9">
        <f>SUMIFS('Lançamentos'!$K$2:$K$5010,'Lançamentos'!$A$2:$A$5010,"Outras despesas pagas",'Lançamentos'!$H$2:$H$5010,$A61,'Lançamentos'!$D$2:$D$5010,"Em 2026")</f>
        <v/>
      </c>
      <c r="P61" s="26">
        <f>COUNTIFS('Lançamentos'!$A$2:$A$5010,"Outras despesas pagas",'Lançamentos'!$H$2:$H$5010,$A61,'Lançamentos'!$D$2:$D$5010,"Em 2026")</f>
        <v/>
      </c>
    </row>
    <row r="62">
      <c r="A62" t="inlineStr">
        <is>
          <t>NORDIFE MATERIAIS ELETRICOS LTDA</t>
        </is>
      </c>
      <c r="B62" s="9">
        <f>SUMIFS('Lançamentos'!$L$2:$L$5010,'Lançamentos'!$A$2:$A$5010,"Outras despesas pagas",'Lançamentos'!$H$2:$H$5010,$A62,'Lançamentos'!$C$2:$C$5010,B$19)</f>
        <v/>
      </c>
      <c r="C62" s="9">
        <f>SUMIFS('Lançamentos'!$L$2:$L$5010,'Lançamentos'!$A$2:$A$5010,"Outras despesas pagas",'Lançamentos'!$H$2:$H$5010,$A62,'Lançamentos'!$C$2:$C$5010,C$19)</f>
        <v/>
      </c>
      <c r="D62" s="9">
        <f>SUMIFS('Lançamentos'!$L$2:$L$5010,'Lançamentos'!$A$2:$A$5010,"Outras despesas pagas",'Lançamentos'!$H$2:$H$5010,$A62,'Lançamentos'!$C$2:$C$5010,D$19)</f>
        <v/>
      </c>
      <c r="E62" s="9">
        <f>SUMIFS('Lançamentos'!$L$2:$L$5010,'Lançamentos'!$A$2:$A$5010,"Outras despesas pagas",'Lançamentos'!$H$2:$H$5010,$A62,'Lançamentos'!$C$2:$C$5010,E$19)</f>
        <v/>
      </c>
      <c r="F62" s="9">
        <f>SUMIFS('Lançamentos'!$L$2:$L$5010,'Lançamentos'!$A$2:$A$5010,"Outras despesas pagas",'Lançamentos'!$H$2:$H$5010,$A62,'Lançamentos'!$C$2:$C$5010,F$19)</f>
        <v/>
      </c>
      <c r="G62" s="9">
        <f>SUMIFS('Lançamentos'!$L$2:$L$5010,'Lançamentos'!$A$2:$A$5010,"Outras despesas pagas",'Lançamentos'!$H$2:$H$5010,$A62,'Lançamentos'!$C$2:$C$5010,G$19)</f>
        <v/>
      </c>
      <c r="H62" s="9">
        <f>SUMIFS('Lançamentos'!$L$2:$L$5010,'Lançamentos'!$A$2:$A$5010,"Outras despesas pagas",'Lançamentos'!$H$2:$H$5010,$A62,'Lançamentos'!$C$2:$C$5010,H$19)</f>
        <v/>
      </c>
      <c r="I62" s="9">
        <f>SUMIFS('Lançamentos'!$L$2:$L$5010,'Lançamentos'!$A$2:$A$5010,"Outras despesas pagas",'Lançamentos'!$H$2:$H$5010,$A62,'Lançamentos'!$C$2:$C$5010,I$19)</f>
        <v/>
      </c>
      <c r="J62" s="9">
        <f>SUMIFS('Lançamentos'!$L$2:$L$5010,'Lançamentos'!$A$2:$A$5010,"Outras despesas pagas",'Lançamentos'!$H$2:$H$5010,$A62,'Lançamentos'!$C$2:$C$5010,J$19)</f>
        <v/>
      </c>
      <c r="K62" s="9">
        <f>SUM(B62:J62)</f>
        <v/>
      </c>
      <c r="L62" s="10">
        <f>K62/K$87</f>
        <v/>
      </c>
      <c r="M62" s="9">
        <f>SUMIFS('Lançamentos'!$L$2:$L$5010,'Lançamentos'!$A$2:$A$5010,"Outras despesas pagas",'Lançamentos'!$H$2:$H$5010,$A62,'Lançamentos'!$C$2:$C$5010,"Antes de 2026")</f>
        <v/>
      </c>
      <c r="N62" s="9">
        <f>SUMIFS('Lançamentos'!$J$2:$J$5010,'Lançamentos'!$A$2:$A$5010,"Outras despesas pagas",'Lançamentos'!$H$2:$H$5010,$A62,'Lançamentos'!$D$2:$D$5010,"Em 2026")</f>
        <v/>
      </c>
      <c r="O62" s="9">
        <f>SUMIFS('Lançamentos'!$K$2:$K$5010,'Lançamentos'!$A$2:$A$5010,"Outras despesas pagas",'Lançamentos'!$H$2:$H$5010,$A62,'Lançamentos'!$D$2:$D$5010,"Em 2026")</f>
        <v/>
      </c>
      <c r="P62" s="26">
        <f>COUNTIFS('Lançamentos'!$A$2:$A$5010,"Outras despesas pagas",'Lançamentos'!$H$2:$H$5010,$A62,'Lançamentos'!$D$2:$D$5010,"Em 2026")</f>
        <v/>
      </c>
    </row>
    <row r="63">
      <c r="A63" t="inlineStr">
        <is>
          <t>KASSUA.COM.BR LTDA</t>
        </is>
      </c>
      <c r="B63" s="9">
        <f>SUMIFS('Lançamentos'!$L$2:$L$5010,'Lançamentos'!$A$2:$A$5010,"Outras despesas pagas",'Lançamentos'!$H$2:$H$5010,$A63,'Lançamentos'!$C$2:$C$5010,B$19)</f>
        <v/>
      </c>
      <c r="C63" s="9">
        <f>SUMIFS('Lançamentos'!$L$2:$L$5010,'Lançamentos'!$A$2:$A$5010,"Outras despesas pagas",'Lançamentos'!$H$2:$H$5010,$A63,'Lançamentos'!$C$2:$C$5010,C$19)</f>
        <v/>
      </c>
      <c r="D63" s="9">
        <f>SUMIFS('Lançamentos'!$L$2:$L$5010,'Lançamentos'!$A$2:$A$5010,"Outras despesas pagas",'Lançamentos'!$H$2:$H$5010,$A63,'Lançamentos'!$C$2:$C$5010,D$19)</f>
        <v/>
      </c>
      <c r="E63" s="9">
        <f>SUMIFS('Lançamentos'!$L$2:$L$5010,'Lançamentos'!$A$2:$A$5010,"Outras despesas pagas",'Lançamentos'!$H$2:$H$5010,$A63,'Lançamentos'!$C$2:$C$5010,E$19)</f>
        <v/>
      </c>
      <c r="F63" s="9">
        <f>SUMIFS('Lançamentos'!$L$2:$L$5010,'Lançamentos'!$A$2:$A$5010,"Outras despesas pagas",'Lançamentos'!$H$2:$H$5010,$A63,'Lançamentos'!$C$2:$C$5010,F$19)</f>
        <v/>
      </c>
      <c r="G63" s="9">
        <f>SUMIFS('Lançamentos'!$L$2:$L$5010,'Lançamentos'!$A$2:$A$5010,"Outras despesas pagas",'Lançamentos'!$H$2:$H$5010,$A63,'Lançamentos'!$C$2:$C$5010,G$19)</f>
        <v/>
      </c>
      <c r="H63" s="9">
        <f>SUMIFS('Lançamentos'!$L$2:$L$5010,'Lançamentos'!$A$2:$A$5010,"Outras despesas pagas",'Lançamentos'!$H$2:$H$5010,$A63,'Lançamentos'!$C$2:$C$5010,H$19)</f>
        <v/>
      </c>
      <c r="I63" s="9">
        <f>SUMIFS('Lançamentos'!$L$2:$L$5010,'Lançamentos'!$A$2:$A$5010,"Outras despesas pagas",'Lançamentos'!$H$2:$H$5010,$A63,'Lançamentos'!$C$2:$C$5010,I$19)</f>
        <v/>
      </c>
      <c r="J63" s="9">
        <f>SUMIFS('Lançamentos'!$L$2:$L$5010,'Lançamentos'!$A$2:$A$5010,"Outras despesas pagas",'Lançamentos'!$H$2:$H$5010,$A63,'Lançamentos'!$C$2:$C$5010,J$19)</f>
        <v/>
      </c>
      <c r="K63" s="9">
        <f>SUM(B63:J63)</f>
        <v/>
      </c>
      <c r="L63" s="10">
        <f>K63/K$87</f>
        <v/>
      </c>
      <c r="M63" s="9">
        <f>SUMIFS('Lançamentos'!$L$2:$L$5010,'Lançamentos'!$A$2:$A$5010,"Outras despesas pagas",'Lançamentos'!$H$2:$H$5010,$A63,'Lançamentos'!$C$2:$C$5010,"Antes de 2026")</f>
        <v/>
      </c>
      <c r="N63" s="9">
        <f>SUMIFS('Lançamentos'!$J$2:$J$5010,'Lançamentos'!$A$2:$A$5010,"Outras despesas pagas",'Lançamentos'!$H$2:$H$5010,$A63,'Lançamentos'!$D$2:$D$5010,"Em 2026")</f>
        <v/>
      </c>
      <c r="O63" s="9">
        <f>SUMIFS('Lançamentos'!$K$2:$K$5010,'Lançamentos'!$A$2:$A$5010,"Outras despesas pagas",'Lançamentos'!$H$2:$H$5010,$A63,'Lançamentos'!$D$2:$D$5010,"Em 2026")</f>
        <v/>
      </c>
      <c r="P63" s="26">
        <f>COUNTIFS('Lançamentos'!$A$2:$A$5010,"Outras despesas pagas",'Lançamentos'!$H$2:$H$5010,$A63,'Lançamentos'!$D$2:$D$5010,"Em 2026")</f>
        <v/>
      </c>
    </row>
    <row r="64">
      <c r="A64" t="inlineStr">
        <is>
          <t>ALUMIFER ALUMINIO E FERRO LTDA.</t>
        </is>
      </c>
      <c r="B64" s="9">
        <f>SUMIFS('Lançamentos'!$L$2:$L$5010,'Lançamentos'!$A$2:$A$5010,"Outras despesas pagas",'Lançamentos'!$H$2:$H$5010,$A64,'Lançamentos'!$C$2:$C$5010,B$19)</f>
        <v/>
      </c>
      <c r="C64" s="9">
        <f>SUMIFS('Lançamentos'!$L$2:$L$5010,'Lançamentos'!$A$2:$A$5010,"Outras despesas pagas",'Lançamentos'!$H$2:$H$5010,$A64,'Lançamentos'!$C$2:$C$5010,C$19)</f>
        <v/>
      </c>
      <c r="D64" s="9">
        <f>SUMIFS('Lançamentos'!$L$2:$L$5010,'Lançamentos'!$A$2:$A$5010,"Outras despesas pagas",'Lançamentos'!$H$2:$H$5010,$A64,'Lançamentos'!$C$2:$C$5010,D$19)</f>
        <v/>
      </c>
      <c r="E64" s="9">
        <f>SUMIFS('Lançamentos'!$L$2:$L$5010,'Lançamentos'!$A$2:$A$5010,"Outras despesas pagas",'Lançamentos'!$H$2:$H$5010,$A64,'Lançamentos'!$C$2:$C$5010,E$19)</f>
        <v/>
      </c>
      <c r="F64" s="9">
        <f>SUMIFS('Lançamentos'!$L$2:$L$5010,'Lançamentos'!$A$2:$A$5010,"Outras despesas pagas",'Lançamentos'!$H$2:$H$5010,$A64,'Lançamentos'!$C$2:$C$5010,F$19)</f>
        <v/>
      </c>
      <c r="G64" s="9">
        <f>SUMIFS('Lançamentos'!$L$2:$L$5010,'Lançamentos'!$A$2:$A$5010,"Outras despesas pagas",'Lançamentos'!$H$2:$H$5010,$A64,'Lançamentos'!$C$2:$C$5010,G$19)</f>
        <v/>
      </c>
      <c r="H64" s="9">
        <f>SUMIFS('Lançamentos'!$L$2:$L$5010,'Lançamentos'!$A$2:$A$5010,"Outras despesas pagas",'Lançamentos'!$H$2:$H$5010,$A64,'Lançamentos'!$C$2:$C$5010,H$19)</f>
        <v/>
      </c>
      <c r="I64" s="9">
        <f>SUMIFS('Lançamentos'!$L$2:$L$5010,'Lançamentos'!$A$2:$A$5010,"Outras despesas pagas",'Lançamentos'!$H$2:$H$5010,$A64,'Lançamentos'!$C$2:$C$5010,I$19)</f>
        <v/>
      </c>
      <c r="J64" s="9">
        <f>SUMIFS('Lançamentos'!$L$2:$L$5010,'Lançamentos'!$A$2:$A$5010,"Outras despesas pagas",'Lançamentos'!$H$2:$H$5010,$A64,'Lançamentos'!$C$2:$C$5010,J$19)</f>
        <v/>
      </c>
      <c r="K64" s="9">
        <f>SUM(B64:J64)</f>
        <v/>
      </c>
      <c r="L64" s="10">
        <f>K64/K$87</f>
        <v/>
      </c>
      <c r="M64" s="9">
        <f>SUMIFS('Lançamentos'!$L$2:$L$5010,'Lançamentos'!$A$2:$A$5010,"Outras despesas pagas",'Lançamentos'!$H$2:$H$5010,$A64,'Lançamentos'!$C$2:$C$5010,"Antes de 2026")</f>
        <v/>
      </c>
      <c r="N64" s="9">
        <f>SUMIFS('Lançamentos'!$J$2:$J$5010,'Lançamentos'!$A$2:$A$5010,"Outras despesas pagas",'Lançamentos'!$H$2:$H$5010,$A64,'Lançamentos'!$D$2:$D$5010,"Em 2026")</f>
        <v/>
      </c>
      <c r="O64" s="9">
        <f>SUMIFS('Lançamentos'!$K$2:$K$5010,'Lançamentos'!$A$2:$A$5010,"Outras despesas pagas",'Lançamentos'!$H$2:$H$5010,$A64,'Lançamentos'!$D$2:$D$5010,"Em 2026")</f>
        <v/>
      </c>
      <c r="P64" s="26">
        <f>COUNTIFS('Lançamentos'!$A$2:$A$5010,"Outras despesas pagas",'Lançamentos'!$H$2:$H$5010,$A64,'Lançamentos'!$D$2:$D$5010,"Em 2026")</f>
        <v/>
      </c>
    </row>
    <row r="65">
      <c r="A65" t="inlineStr">
        <is>
          <t>FAZENDA SANTA TEREZINHA LTDA.</t>
        </is>
      </c>
      <c r="B65" s="9">
        <f>SUMIFS('Lançamentos'!$L$2:$L$5010,'Lançamentos'!$A$2:$A$5010,"Outras despesas pagas",'Lançamentos'!$H$2:$H$5010,$A65,'Lançamentos'!$C$2:$C$5010,B$19)</f>
        <v/>
      </c>
      <c r="C65" s="9">
        <f>SUMIFS('Lançamentos'!$L$2:$L$5010,'Lançamentos'!$A$2:$A$5010,"Outras despesas pagas",'Lançamentos'!$H$2:$H$5010,$A65,'Lançamentos'!$C$2:$C$5010,C$19)</f>
        <v/>
      </c>
      <c r="D65" s="9">
        <f>SUMIFS('Lançamentos'!$L$2:$L$5010,'Lançamentos'!$A$2:$A$5010,"Outras despesas pagas",'Lançamentos'!$H$2:$H$5010,$A65,'Lançamentos'!$C$2:$C$5010,D$19)</f>
        <v/>
      </c>
      <c r="E65" s="9">
        <f>SUMIFS('Lançamentos'!$L$2:$L$5010,'Lançamentos'!$A$2:$A$5010,"Outras despesas pagas",'Lançamentos'!$H$2:$H$5010,$A65,'Lançamentos'!$C$2:$C$5010,E$19)</f>
        <v/>
      </c>
      <c r="F65" s="9">
        <f>SUMIFS('Lançamentos'!$L$2:$L$5010,'Lançamentos'!$A$2:$A$5010,"Outras despesas pagas",'Lançamentos'!$H$2:$H$5010,$A65,'Lançamentos'!$C$2:$C$5010,F$19)</f>
        <v/>
      </c>
      <c r="G65" s="9">
        <f>SUMIFS('Lançamentos'!$L$2:$L$5010,'Lançamentos'!$A$2:$A$5010,"Outras despesas pagas",'Lançamentos'!$H$2:$H$5010,$A65,'Lançamentos'!$C$2:$C$5010,G$19)</f>
        <v/>
      </c>
      <c r="H65" s="9">
        <f>SUMIFS('Lançamentos'!$L$2:$L$5010,'Lançamentos'!$A$2:$A$5010,"Outras despesas pagas",'Lançamentos'!$H$2:$H$5010,$A65,'Lançamentos'!$C$2:$C$5010,H$19)</f>
        <v/>
      </c>
      <c r="I65" s="9">
        <f>SUMIFS('Lançamentos'!$L$2:$L$5010,'Lançamentos'!$A$2:$A$5010,"Outras despesas pagas",'Lançamentos'!$H$2:$H$5010,$A65,'Lançamentos'!$C$2:$C$5010,I$19)</f>
        <v/>
      </c>
      <c r="J65" s="9">
        <f>SUMIFS('Lançamentos'!$L$2:$L$5010,'Lançamentos'!$A$2:$A$5010,"Outras despesas pagas",'Lançamentos'!$H$2:$H$5010,$A65,'Lançamentos'!$C$2:$C$5010,J$19)</f>
        <v/>
      </c>
      <c r="K65" s="9">
        <f>SUM(B65:J65)</f>
        <v/>
      </c>
      <c r="L65" s="10">
        <f>K65/K$87</f>
        <v/>
      </c>
      <c r="M65" s="9">
        <f>SUMIFS('Lançamentos'!$L$2:$L$5010,'Lançamentos'!$A$2:$A$5010,"Outras despesas pagas",'Lançamentos'!$H$2:$H$5010,$A65,'Lançamentos'!$C$2:$C$5010,"Antes de 2026")</f>
        <v/>
      </c>
      <c r="N65" s="9">
        <f>SUMIFS('Lançamentos'!$J$2:$J$5010,'Lançamentos'!$A$2:$A$5010,"Outras despesas pagas",'Lançamentos'!$H$2:$H$5010,$A65,'Lançamentos'!$D$2:$D$5010,"Em 2026")</f>
        <v/>
      </c>
      <c r="O65" s="9">
        <f>SUMIFS('Lançamentos'!$K$2:$K$5010,'Lançamentos'!$A$2:$A$5010,"Outras despesas pagas",'Lançamentos'!$H$2:$H$5010,$A65,'Lançamentos'!$D$2:$D$5010,"Em 2026")</f>
        <v/>
      </c>
      <c r="P65" s="26">
        <f>COUNTIFS('Lançamentos'!$A$2:$A$5010,"Outras despesas pagas",'Lançamentos'!$H$2:$H$5010,$A65,'Lançamentos'!$D$2:$D$5010,"Em 2026")</f>
        <v/>
      </c>
    </row>
    <row r="66">
      <c r="A66" t="inlineStr">
        <is>
          <t>NEGOCIA TUDO LTDA</t>
        </is>
      </c>
      <c r="B66" s="9">
        <f>SUMIFS('Lançamentos'!$L$2:$L$5010,'Lançamentos'!$A$2:$A$5010,"Outras despesas pagas",'Lançamentos'!$H$2:$H$5010,$A66,'Lançamentos'!$C$2:$C$5010,B$19)</f>
        <v/>
      </c>
      <c r="C66" s="9">
        <f>SUMIFS('Lançamentos'!$L$2:$L$5010,'Lançamentos'!$A$2:$A$5010,"Outras despesas pagas",'Lançamentos'!$H$2:$H$5010,$A66,'Lançamentos'!$C$2:$C$5010,C$19)</f>
        <v/>
      </c>
      <c r="D66" s="9">
        <f>SUMIFS('Lançamentos'!$L$2:$L$5010,'Lançamentos'!$A$2:$A$5010,"Outras despesas pagas",'Lançamentos'!$H$2:$H$5010,$A66,'Lançamentos'!$C$2:$C$5010,D$19)</f>
        <v/>
      </c>
      <c r="E66" s="9">
        <f>SUMIFS('Lançamentos'!$L$2:$L$5010,'Lançamentos'!$A$2:$A$5010,"Outras despesas pagas",'Lançamentos'!$H$2:$H$5010,$A66,'Lançamentos'!$C$2:$C$5010,E$19)</f>
        <v/>
      </c>
      <c r="F66" s="9">
        <f>SUMIFS('Lançamentos'!$L$2:$L$5010,'Lançamentos'!$A$2:$A$5010,"Outras despesas pagas",'Lançamentos'!$H$2:$H$5010,$A66,'Lançamentos'!$C$2:$C$5010,F$19)</f>
        <v/>
      </c>
      <c r="G66" s="9">
        <f>SUMIFS('Lançamentos'!$L$2:$L$5010,'Lançamentos'!$A$2:$A$5010,"Outras despesas pagas",'Lançamentos'!$H$2:$H$5010,$A66,'Lançamentos'!$C$2:$C$5010,G$19)</f>
        <v/>
      </c>
      <c r="H66" s="9">
        <f>SUMIFS('Lançamentos'!$L$2:$L$5010,'Lançamentos'!$A$2:$A$5010,"Outras despesas pagas",'Lançamentos'!$H$2:$H$5010,$A66,'Lançamentos'!$C$2:$C$5010,H$19)</f>
        <v/>
      </c>
      <c r="I66" s="9">
        <f>SUMIFS('Lançamentos'!$L$2:$L$5010,'Lançamentos'!$A$2:$A$5010,"Outras despesas pagas",'Lançamentos'!$H$2:$H$5010,$A66,'Lançamentos'!$C$2:$C$5010,I$19)</f>
        <v/>
      </c>
      <c r="J66" s="9">
        <f>SUMIFS('Lançamentos'!$L$2:$L$5010,'Lançamentos'!$A$2:$A$5010,"Outras despesas pagas",'Lançamentos'!$H$2:$H$5010,$A66,'Lançamentos'!$C$2:$C$5010,J$19)</f>
        <v/>
      </c>
      <c r="K66" s="9">
        <f>SUM(B66:J66)</f>
        <v/>
      </c>
      <c r="L66" s="10">
        <f>K66/K$87</f>
        <v/>
      </c>
      <c r="M66" s="9">
        <f>SUMIFS('Lançamentos'!$L$2:$L$5010,'Lançamentos'!$A$2:$A$5010,"Outras despesas pagas",'Lançamentos'!$H$2:$H$5010,$A66,'Lançamentos'!$C$2:$C$5010,"Antes de 2026")</f>
        <v/>
      </c>
      <c r="N66" s="9">
        <f>SUMIFS('Lançamentos'!$J$2:$J$5010,'Lançamentos'!$A$2:$A$5010,"Outras despesas pagas",'Lançamentos'!$H$2:$H$5010,$A66,'Lançamentos'!$D$2:$D$5010,"Em 2026")</f>
        <v/>
      </c>
      <c r="O66" s="9">
        <f>SUMIFS('Lançamentos'!$K$2:$K$5010,'Lançamentos'!$A$2:$A$5010,"Outras despesas pagas",'Lançamentos'!$H$2:$H$5010,$A66,'Lançamentos'!$D$2:$D$5010,"Em 2026")</f>
        <v/>
      </c>
      <c r="P66" s="26">
        <f>COUNTIFS('Lançamentos'!$A$2:$A$5010,"Outras despesas pagas",'Lançamentos'!$H$2:$H$5010,$A66,'Lançamentos'!$D$2:$D$5010,"Em 2026")</f>
        <v/>
      </c>
    </row>
    <row r="67">
      <c r="A67" t="inlineStr">
        <is>
          <t>LUBNORTE DISTRIBUIDOR DE LUBRIFICANTES LTDA</t>
        </is>
      </c>
      <c r="B67" s="9">
        <f>SUMIFS('Lançamentos'!$L$2:$L$5010,'Lançamentos'!$A$2:$A$5010,"Outras despesas pagas",'Lançamentos'!$H$2:$H$5010,$A67,'Lançamentos'!$C$2:$C$5010,B$19)</f>
        <v/>
      </c>
      <c r="C67" s="9">
        <f>SUMIFS('Lançamentos'!$L$2:$L$5010,'Lançamentos'!$A$2:$A$5010,"Outras despesas pagas",'Lançamentos'!$H$2:$H$5010,$A67,'Lançamentos'!$C$2:$C$5010,C$19)</f>
        <v/>
      </c>
      <c r="D67" s="9">
        <f>SUMIFS('Lançamentos'!$L$2:$L$5010,'Lançamentos'!$A$2:$A$5010,"Outras despesas pagas",'Lançamentos'!$H$2:$H$5010,$A67,'Lançamentos'!$C$2:$C$5010,D$19)</f>
        <v/>
      </c>
      <c r="E67" s="9">
        <f>SUMIFS('Lançamentos'!$L$2:$L$5010,'Lançamentos'!$A$2:$A$5010,"Outras despesas pagas",'Lançamentos'!$H$2:$H$5010,$A67,'Lançamentos'!$C$2:$C$5010,E$19)</f>
        <v/>
      </c>
      <c r="F67" s="9">
        <f>SUMIFS('Lançamentos'!$L$2:$L$5010,'Lançamentos'!$A$2:$A$5010,"Outras despesas pagas",'Lançamentos'!$H$2:$H$5010,$A67,'Lançamentos'!$C$2:$C$5010,F$19)</f>
        <v/>
      </c>
      <c r="G67" s="9">
        <f>SUMIFS('Lançamentos'!$L$2:$L$5010,'Lançamentos'!$A$2:$A$5010,"Outras despesas pagas",'Lançamentos'!$H$2:$H$5010,$A67,'Lançamentos'!$C$2:$C$5010,G$19)</f>
        <v/>
      </c>
      <c r="H67" s="9">
        <f>SUMIFS('Lançamentos'!$L$2:$L$5010,'Lançamentos'!$A$2:$A$5010,"Outras despesas pagas",'Lançamentos'!$H$2:$H$5010,$A67,'Lançamentos'!$C$2:$C$5010,H$19)</f>
        <v/>
      </c>
      <c r="I67" s="9">
        <f>SUMIFS('Lançamentos'!$L$2:$L$5010,'Lançamentos'!$A$2:$A$5010,"Outras despesas pagas",'Lançamentos'!$H$2:$H$5010,$A67,'Lançamentos'!$C$2:$C$5010,I$19)</f>
        <v/>
      </c>
      <c r="J67" s="9">
        <f>SUMIFS('Lançamentos'!$L$2:$L$5010,'Lançamentos'!$A$2:$A$5010,"Outras despesas pagas",'Lançamentos'!$H$2:$H$5010,$A67,'Lançamentos'!$C$2:$C$5010,J$19)</f>
        <v/>
      </c>
      <c r="K67" s="9">
        <f>SUM(B67:J67)</f>
        <v/>
      </c>
      <c r="L67" s="10">
        <f>K67/K$87</f>
        <v/>
      </c>
      <c r="M67" s="9">
        <f>SUMIFS('Lançamentos'!$L$2:$L$5010,'Lançamentos'!$A$2:$A$5010,"Outras despesas pagas",'Lançamentos'!$H$2:$H$5010,$A67,'Lançamentos'!$C$2:$C$5010,"Antes de 2026")</f>
        <v/>
      </c>
      <c r="N67" s="9">
        <f>SUMIFS('Lançamentos'!$J$2:$J$5010,'Lançamentos'!$A$2:$A$5010,"Outras despesas pagas",'Lançamentos'!$H$2:$H$5010,$A67,'Lançamentos'!$D$2:$D$5010,"Em 2026")</f>
        <v/>
      </c>
      <c r="O67" s="9">
        <f>SUMIFS('Lançamentos'!$K$2:$K$5010,'Lançamentos'!$A$2:$A$5010,"Outras despesas pagas",'Lançamentos'!$H$2:$H$5010,$A67,'Lançamentos'!$D$2:$D$5010,"Em 2026")</f>
        <v/>
      </c>
      <c r="P67" s="26">
        <f>COUNTIFS('Lançamentos'!$A$2:$A$5010,"Outras despesas pagas",'Lançamentos'!$H$2:$H$5010,$A67,'Lançamentos'!$D$2:$D$5010,"Em 2026")</f>
        <v/>
      </c>
    </row>
    <row r="68">
      <c r="A68" t="inlineStr">
        <is>
          <t>M. B. DE ANDRADE LTDA</t>
        </is>
      </c>
      <c r="B68" s="9">
        <f>SUMIFS('Lançamentos'!$L$2:$L$5010,'Lançamentos'!$A$2:$A$5010,"Outras despesas pagas",'Lançamentos'!$H$2:$H$5010,$A68,'Lançamentos'!$C$2:$C$5010,B$19)</f>
        <v/>
      </c>
      <c r="C68" s="9">
        <f>SUMIFS('Lançamentos'!$L$2:$L$5010,'Lançamentos'!$A$2:$A$5010,"Outras despesas pagas",'Lançamentos'!$H$2:$H$5010,$A68,'Lançamentos'!$C$2:$C$5010,C$19)</f>
        <v/>
      </c>
      <c r="D68" s="9">
        <f>SUMIFS('Lançamentos'!$L$2:$L$5010,'Lançamentos'!$A$2:$A$5010,"Outras despesas pagas",'Lançamentos'!$H$2:$H$5010,$A68,'Lançamentos'!$C$2:$C$5010,D$19)</f>
        <v/>
      </c>
      <c r="E68" s="9">
        <f>SUMIFS('Lançamentos'!$L$2:$L$5010,'Lançamentos'!$A$2:$A$5010,"Outras despesas pagas",'Lançamentos'!$H$2:$H$5010,$A68,'Lançamentos'!$C$2:$C$5010,E$19)</f>
        <v/>
      </c>
      <c r="F68" s="9">
        <f>SUMIFS('Lançamentos'!$L$2:$L$5010,'Lançamentos'!$A$2:$A$5010,"Outras despesas pagas",'Lançamentos'!$H$2:$H$5010,$A68,'Lançamentos'!$C$2:$C$5010,F$19)</f>
        <v/>
      </c>
      <c r="G68" s="9">
        <f>SUMIFS('Lançamentos'!$L$2:$L$5010,'Lançamentos'!$A$2:$A$5010,"Outras despesas pagas",'Lançamentos'!$H$2:$H$5010,$A68,'Lançamentos'!$C$2:$C$5010,G$19)</f>
        <v/>
      </c>
      <c r="H68" s="9">
        <f>SUMIFS('Lançamentos'!$L$2:$L$5010,'Lançamentos'!$A$2:$A$5010,"Outras despesas pagas",'Lançamentos'!$H$2:$H$5010,$A68,'Lançamentos'!$C$2:$C$5010,H$19)</f>
        <v/>
      </c>
      <c r="I68" s="9">
        <f>SUMIFS('Lançamentos'!$L$2:$L$5010,'Lançamentos'!$A$2:$A$5010,"Outras despesas pagas",'Lançamentos'!$H$2:$H$5010,$A68,'Lançamentos'!$C$2:$C$5010,I$19)</f>
        <v/>
      </c>
      <c r="J68" s="9">
        <f>SUMIFS('Lançamentos'!$L$2:$L$5010,'Lançamentos'!$A$2:$A$5010,"Outras despesas pagas",'Lançamentos'!$H$2:$H$5010,$A68,'Lançamentos'!$C$2:$C$5010,J$19)</f>
        <v/>
      </c>
      <c r="K68" s="9">
        <f>SUM(B68:J68)</f>
        <v/>
      </c>
      <c r="L68" s="10">
        <f>K68/K$87</f>
        <v/>
      </c>
      <c r="M68" s="9">
        <f>SUMIFS('Lançamentos'!$L$2:$L$5010,'Lançamentos'!$A$2:$A$5010,"Outras despesas pagas",'Lançamentos'!$H$2:$H$5010,$A68,'Lançamentos'!$C$2:$C$5010,"Antes de 2026")</f>
        <v/>
      </c>
      <c r="N68" s="9">
        <f>SUMIFS('Lançamentos'!$J$2:$J$5010,'Lançamentos'!$A$2:$A$5010,"Outras despesas pagas",'Lançamentos'!$H$2:$H$5010,$A68,'Lançamentos'!$D$2:$D$5010,"Em 2026")</f>
        <v/>
      </c>
      <c r="O68" s="9">
        <f>SUMIFS('Lançamentos'!$K$2:$K$5010,'Lançamentos'!$A$2:$A$5010,"Outras despesas pagas",'Lançamentos'!$H$2:$H$5010,$A68,'Lançamentos'!$D$2:$D$5010,"Em 2026")</f>
        <v/>
      </c>
      <c r="P68" s="26">
        <f>COUNTIFS('Lançamentos'!$A$2:$A$5010,"Outras despesas pagas",'Lançamentos'!$H$2:$H$5010,$A68,'Lançamentos'!$D$2:$D$5010,"Em 2026")</f>
        <v/>
      </c>
    </row>
    <row r="69">
      <c r="A69" t="inlineStr">
        <is>
          <t>DR. REPAROS COMERCIO E SERVICOS LTDA</t>
        </is>
      </c>
      <c r="B69" s="9">
        <f>SUMIFS('Lançamentos'!$L$2:$L$5010,'Lançamentos'!$A$2:$A$5010,"Outras despesas pagas",'Lançamentos'!$H$2:$H$5010,$A69,'Lançamentos'!$C$2:$C$5010,B$19)</f>
        <v/>
      </c>
      <c r="C69" s="9">
        <f>SUMIFS('Lançamentos'!$L$2:$L$5010,'Lançamentos'!$A$2:$A$5010,"Outras despesas pagas",'Lançamentos'!$H$2:$H$5010,$A69,'Lançamentos'!$C$2:$C$5010,C$19)</f>
        <v/>
      </c>
      <c r="D69" s="9">
        <f>SUMIFS('Lançamentos'!$L$2:$L$5010,'Lançamentos'!$A$2:$A$5010,"Outras despesas pagas",'Lançamentos'!$H$2:$H$5010,$A69,'Lançamentos'!$C$2:$C$5010,D$19)</f>
        <v/>
      </c>
      <c r="E69" s="9">
        <f>SUMIFS('Lançamentos'!$L$2:$L$5010,'Lançamentos'!$A$2:$A$5010,"Outras despesas pagas",'Lançamentos'!$H$2:$H$5010,$A69,'Lançamentos'!$C$2:$C$5010,E$19)</f>
        <v/>
      </c>
      <c r="F69" s="9">
        <f>SUMIFS('Lançamentos'!$L$2:$L$5010,'Lançamentos'!$A$2:$A$5010,"Outras despesas pagas",'Lançamentos'!$H$2:$H$5010,$A69,'Lançamentos'!$C$2:$C$5010,F$19)</f>
        <v/>
      </c>
      <c r="G69" s="9">
        <f>SUMIFS('Lançamentos'!$L$2:$L$5010,'Lançamentos'!$A$2:$A$5010,"Outras despesas pagas",'Lançamentos'!$H$2:$H$5010,$A69,'Lançamentos'!$C$2:$C$5010,G$19)</f>
        <v/>
      </c>
      <c r="H69" s="9">
        <f>SUMIFS('Lançamentos'!$L$2:$L$5010,'Lançamentos'!$A$2:$A$5010,"Outras despesas pagas",'Lançamentos'!$H$2:$H$5010,$A69,'Lançamentos'!$C$2:$C$5010,H$19)</f>
        <v/>
      </c>
      <c r="I69" s="9">
        <f>SUMIFS('Lançamentos'!$L$2:$L$5010,'Lançamentos'!$A$2:$A$5010,"Outras despesas pagas",'Lançamentos'!$H$2:$H$5010,$A69,'Lançamentos'!$C$2:$C$5010,I$19)</f>
        <v/>
      </c>
      <c r="J69" s="9">
        <f>SUMIFS('Lançamentos'!$L$2:$L$5010,'Lançamentos'!$A$2:$A$5010,"Outras despesas pagas",'Lançamentos'!$H$2:$H$5010,$A69,'Lançamentos'!$C$2:$C$5010,J$19)</f>
        <v/>
      </c>
      <c r="K69" s="9">
        <f>SUM(B69:J69)</f>
        <v/>
      </c>
      <c r="L69" s="10">
        <f>K69/K$87</f>
        <v/>
      </c>
      <c r="M69" s="9">
        <f>SUMIFS('Lançamentos'!$L$2:$L$5010,'Lançamentos'!$A$2:$A$5010,"Outras despesas pagas",'Lançamentos'!$H$2:$H$5010,$A69,'Lançamentos'!$C$2:$C$5010,"Antes de 2026")</f>
        <v/>
      </c>
      <c r="N69" s="9">
        <f>SUMIFS('Lançamentos'!$J$2:$J$5010,'Lançamentos'!$A$2:$A$5010,"Outras despesas pagas",'Lançamentos'!$H$2:$H$5010,$A69,'Lançamentos'!$D$2:$D$5010,"Em 2026")</f>
        <v/>
      </c>
      <c r="O69" s="9">
        <f>SUMIFS('Lançamentos'!$K$2:$K$5010,'Lançamentos'!$A$2:$A$5010,"Outras despesas pagas",'Lançamentos'!$H$2:$H$5010,$A69,'Lançamentos'!$D$2:$D$5010,"Em 2026")</f>
        <v/>
      </c>
      <c r="P69" s="26">
        <f>COUNTIFS('Lançamentos'!$A$2:$A$5010,"Outras despesas pagas",'Lançamentos'!$H$2:$H$5010,$A69,'Lançamentos'!$D$2:$D$5010,"Em 2026")</f>
        <v/>
      </c>
    </row>
    <row r="70">
      <c r="A70" t="inlineStr">
        <is>
          <t>VIEIRA ACO INDUSTRIA e COMERCIO LTDA</t>
        </is>
      </c>
      <c r="B70" s="9">
        <f>SUMIFS('Lançamentos'!$L$2:$L$5010,'Lançamentos'!$A$2:$A$5010,"Outras despesas pagas",'Lançamentos'!$H$2:$H$5010,$A70,'Lançamentos'!$C$2:$C$5010,B$19)</f>
        <v/>
      </c>
      <c r="C70" s="9">
        <f>SUMIFS('Lançamentos'!$L$2:$L$5010,'Lançamentos'!$A$2:$A$5010,"Outras despesas pagas",'Lançamentos'!$H$2:$H$5010,$A70,'Lançamentos'!$C$2:$C$5010,C$19)</f>
        <v/>
      </c>
      <c r="D70" s="9">
        <f>SUMIFS('Lançamentos'!$L$2:$L$5010,'Lançamentos'!$A$2:$A$5010,"Outras despesas pagas",'Lançamentos'!$H$2:$H$5010,$A70,'Lançamentos'!$C$2:$C$5010,D$19)</f>
        <v/>
      </c>
      <c r="E70" s="9">
        <f>SUMIFS('Lançamentos'!$L$2:$L$5010,'Lançamentos'!$A$2:$A$5010,"Outras despesas pagas",'Lançamentos'!$H$2:$H$5010,$A70,'Lançamentos'!$C$2:$C$5010,E$19)</f>
        <v/>
      </c>
      <c r="F70" s="9">
        <f>SUMIFS('Lançamentos'!$L$2:$L$5010,'Lançamentos'!$A$2:$A$5010,"Outras despesas pagas",'Lançamentos'!$H$2:$H$5010,$A70,'Lançamentos'!$C$2:$C$5010,F$19)</f>
        <v/>
      </c>
      <c r="G70" s="9">
        <f>SUMIFS('Lançamentos'!$L$2:$L$5010,'Lançamentos'!$A$2:$A$5010,"Outras despesas pagas",'Lançamentos'!$H$2:$H$5010,$A70,'Lançamentos'!$C$2:$C$5010,G$19)</f>
        <v/>
      </c>
      <c r="H70" s="9">
        <f>SUMIFS('Lançamentos'!$L$2:$L$5010,'Lançamentos'!$A$2:$A$5010,"Outras despesas pagas",'Lançamentos'!$H$2:$H$5010,$A70,'Lançamentos'!$C$2:$C$5010,H$19)</f>
        <v/>
      </c>
      <c r="I70" s="9">
        <f>SUMIFS('Lançamentos'!$L$2:$L$5010,'Lançamentos'!$A$2:$A$5010,"Outras despesas pagas",'Lançamentos'!$H$2:$H$5010,$A70,'Lançamentos'!$C$2:$C$5010,I$19)</f>
        <v/>
      </c>
      <c r="J70" s="9">
        <f>SUMIFS('Lançamentos'!$L$2:$L$5010,'Lançamentos'!$A$2:$A$5010,"Outras despesas pagas",'Lançamentos'!$H$2:$H$5010,$A70,'Lançamentos'!$C$2:$C$5010,J$19)</f>
        <v/>
      </c>
      <c r="K70" s="9">
        <f>SUM(B70:J70)</f>
        <v/>
      </c>
      <c r="L70" s="10">
        <f>K70/K$87</f>
        <v/>
      </c>
      <c r="M70" s="9">
        <f>SUMIFS('Lançamentos'!$L$2:$L$5010,'Lançamentos'!$A$2:$A$5010,"Outras despesas pagas",'Lançamentos'!$H$2:$H$5010,$A70,'Lançamentos'!$C$2:$C$5010,"Antes de 2026")</f>
        <v/>
      </c>
      <c r="N70" s="9">
        <f>SUMIFS('Lançamentos'!$J$2:$J$5010,'Lançamentos'!$A$2:$A$5010,"Outras despesas pagas",'Lançamentos'!$H$2:$H$5010,$A70,'Lançamentos'!$D$2:$D$5010,"Em 2026")</f>
        <v/>
      </c>
      <c r="O70" s="9">
        <f>SUMIFS('Lançamentos'!$K$2:$K$5010,'Lançamentos'!$A$2:$A$5010,"Outras despesas pagas",'Lançamentos'!$H$2:$H$5010,$A70,'Lançamentos'!$D$2:$D$5010,"Em 2026")</f>
        <v/>
      </c>
      <c r="P70" s="26">
        <f>COUNTIFS('Lançamentos'!$A$2:$A$5010,"Outras despesas pagas",'Lançamentos'!$H$2:$H$5010,$A70,'Lançamentos'!$D$2:$D$5010,"Em 2026")</f>
        <v/>
      </c>
    </row>
    <row r="71">
      <c r="A71" t="inlineStr">
        <is>
          <t>LISS VARIEDADES E COSMETICOS LTDA</t>
        </is>
      </c>
      <c r="B71" s="9">
        <f>SUMIFS('Lançamentos'!$L$2:$L$5010,'Lançamentos'!$A$2:$A$5010,"Outras despesas pagas",'Lançamentos'!$H$2:$H$5010,$A71,'Lançamentos'!$C$2:$C$5010,B$19)</f>
        <v/>
      </c>
      <c r="C71" s="9">
        <f>SUMIFS('Lançamentos'!$L$2:$L$5010,'Lançamentos'!$A$2:$A$5010,"Outras despesas pagas",'Lançamentos'!$H$2:$H$5010,$A71,'Lançamentos'!$C$2:$C$5010,C$19)</f>
        <v/>
      </c>
      <c r="D71" s="9">
        <f>SUMIFS('Lançamentos'!$L$2:$L$5010,'Lançamentos'!$A$2:$A$5010,"Outras despesas pagas",'Lançamentos'!$H$2:$H$5010,$A71,'Lançamentos'!$C$2:$C$5010,D$19)</f>
        <v/>
      </c>
      <c r="E71" s="9">
        <f>SUMIFS('Lançamentos'!$L$2:$L$5010,'Lançamentos'!$A$2:$A$5010,"Outras despesas pagas",'Lançamentos'!$H$2:$H$5010,$A71,'Lançamentos'!$C$2:$C$5010,E$19)</f>
        <v/>
      </c>
      <c r="F71" s="9">
        <f>SUMIFS('Lançamentos'!$L$2:$L$5010,'Lançamentos'!$A$2:$A$5010,"Outras despesas pagas",'Lançamentos'!$H$2:$H$5010,$A71,'Lançamentos'!$C$2:$C$5010,F$19)</f>
        <v/>
      </c>
      <c r="G71" s="9">
        <f>SUMIFS('Lançamentos'!$L$2:$L$5010,'Lançamentos'!$A$2:$A$5010,"Outras despesas pagas",'Lançamentos'!$H$2:$H$5010,$A71,'Lançamentos'!$C$2:$C$5010,G$19)</f>
        <v/>
      </c>
      <c r="H71" s="9">
        <f>SUMIFS('Lançamentos'!$L$2:$L$5010,'Lançamentos'!$A$2:$A$5010,"Outras despesas pagas",'Lançamentos'!$H$2:$H$5010,$A71,'Lançamentos'!$C$2:$C$5010,H$19)</f>
        <v/>
      </c>
      <c r="I71" s="9">
        <f>SUMIFS('Lançamentos'!$L$2:$L$5010,'Lançamentos'!$A$2:$A$5010,"Outras despesas pagas",'Lançamentos'!$H$2:$H$5010,$A71,'Lançamentos'!$C$2:$C$5010,I$19)</f>
        <v/>
      </c>
      <c r="J71" s="9">
        <f>SUMIFS('Lançamentos'!$L$2:$L$5010,'Lançamentos'!$A$2:$A$5010,"Outras despesas pagas",'Lançamentos'!$H$2:$H$5010,$A71,'Lançamentos'!$C$2:$C$5010,J$19)</f>
        <v/>
      </c>
      <c r="K71" s="9">
        <f>SUM(B71:J71)</f>
        <v/>
      </c>
      <c r="L71" s="10">
        <f>K71/K$87</f>
        <v/>
      </c>
      <c r="M71" s="9">
        <f>SUMIFS('Lançamentos'!$L$2:$L$5010,'Lançamentos'!$A$2:$A$5010,"Outras despesas pagas",'Lançamentos'!$H$2:$H$5010,$A71,'Lançamentos'!$C$2:$C$5010,"Antes de 2026")</f>
        <v/>
      </c>
      <c r="N71" s="9">
        <f>SUMIFS('Lançamentos'!$J$2:$J$5010,'Lançamentos'!$A$2:$A$5010,"Outras despesas pagas",'Lançamentos'!$H$2:$H$5010,$A71,'Lançamentos'!$D$2:$D$5010,"Em 2026")</f>
        <v/>
      </c>
      <c r="O71" s="9">
        <f>SUMIFS('Lançamentos'!$K$2:$K$5010,'Lançamentos'!$A$2:$A$5010,"Outras despesas pagas",'Lançamentos'!$H$2:$H$5010,$A71,'Lançamentos'!$D$2:$D$5010,"Em 2026")</f>
        <v/>
      </c>
      <c r="P71" s="26">
        <f>COUNTIFS('Lançamentos'!$A$2:$A$5010,"Outras despesas pagas",'Lançamentos'!$H$2:$H$5010,$A71,'Lançamentos'!$D$2:$D$5010,"Em 2026")</f>
        <v/>
      </c>
    </row>
    <row r="72">
      <c r="A72" t="inlineStr">
        <is>
          <t>KALUNGA SA</t>
        </is>
      </c>
      <c r="B72" s="9">
        <f>SUMIFS('Lançamentos'!$L$2:$L$5010,'Lançamentos'!$A$2:$A$5010,"Outras despesas pagas",'Lançamentos'!$H$2:$H$5010,$A72,'Lançamentos'!$C$2:$C$5010,B$19)</f>
        <v/>
      </c>
      <c r="C72" s="9">
        <f>SUMIFS('Lançamentos'!$L$2:$L$5010,'Lançamentos'!$A$2:$A$5010,"Outras despesas pagas",'Lançamentos'!$H$2:$H$5010,$A72,'Lançamentos'!$C$2:$C$5010,C$19)</f>
        <v/>
      </c>
      <c r="D72" s="9">
        <f>SUMIFS('Lançamentos'!$L$2:$L$5010,'Lançamentos'!$A$2:$A$5010,"Outras despesas pagas",'Lançamentos'!$H$2:$H$5010,$A72,'Lançamentos'!$C$2:$C$5010,D$19)</f>
        <v/>
      </c>
      <c r="E72" s="9">
        <f>SUMIFS('Lançamentos'!$L$2:$L$5010,'Lançamentos'!$A$2:$A$5010,"Outras despesas pagas",'Lançamentos'!$H$2:$H$5010,$A72,'Lançamentos'!$C$2:$C$5010,E$19)</f>
        <v/>
      </c>
      <c r="F72" s="9">
        <f>SUMIFS('Lançamentos'!$L$2:$L$5010,'Lançamentos'!$A$2:$A$5010,"Outras despesas pagas",'Lançamentos'!$H$2:$H$5010,$A72,'Lançamentos'!$C$2:$C$5010,F$19)</f>
        <v/>
      </c>
      <c r="G72" s="9">
        <f>SUMIFS('Lançamentos'!$L$2:$L$5010,'Lançamentos'!$A$2:$A$5010,"Outras despesas pagas",'Lançamentos'!$H$2:$H$5010,$A72,'Lançamentos'!$C$2:$C$5010,G$19)</f>
        <v/>
      </c>
      <c r="H72" s="9">
        <f>SUMIFS('Lançamentos'!$L$2:$L$5010,'Lançamentos'!$A$2:$A$5010,"Outras despesas pagas",'Lançamentos'!$H$2:$H$5010,$A72,'Lançamentos'!$C$2:$C$5010,H$19)</f>
        <v/>
      </c>
      <c r="I72" s="9">
        <f>SUMIFS('Lançamentos'!$L$2:$L$5010,'Lançamentos'!$A$2:$A$5010,"Outras despesas pagas",'Lançamentos'!$H$2:$H$5010,$A72,'Lançamentos'!$C$2:$C$5010,I$19)</f>
        <v/>
      </c>
      <c r="J72" s="9">
        <f>SUMIFS('Lançamentos'!$L$2:$L$5010,'Lançamentos'!$A$2:$A$5010,"Outras despesas pagas",'Lançamentos'!$H$2:$H$5010,$A72,'Lançamentos'!$C$2:$C$5010,J$19)</f>
        <v/>
      </c>
      <c r="K72" s="9">
        <f>SUM(B72:J72)</f>
        <v/>
      </c>
      <c r="L72" s="10">
        <f>K72/K$87</f>
        <v/>
      </c>
      <c r="M72" s="9">
        <f>SUMIFS('Lançamentos'!$L$2:$L$5010,'Lançamentos'!$A$2:$A$5010,"Outras despesas pagas",'Lançamentos'!$H$2:$H$5010,$A72,'Lançamentos'!$C$2:$C$5010,"Antes de 2026")</f>
        <v/>
      </c>
      <c r="N72" s="9">
        <f>SUMIFS('Lançamentos'!$J$2:$J$5010,'Lançamentos'!$A$2:$A$5010,"Outras despesas pagas",'Lançamentos'!$H$2:$H$5010,$A72,'Lançamentos'!$D$2:$D$5010,"Em 2026")</f>
        <v/>
      </c>
      <c r="O72" s="9">
        <f>SUMIFS('Lançamentos'!$K$2:$K$5010,'Lançamentos'!$A$2:$A$5010,"Outras despesas pagas",'Lançamentos'!$H$2:$H$5010,$A72,'Lançamentos'!$D$2:$D$5010,"Em 2026")</f>
        <v/>
      </c>
      <c r="P72" s="26">
        <f>COUNTIFS('Lançamentos'!$A$2:$A$5010,"Outras despesas pagas",'Lançamentos'!$H$2:$H$5010,$A72,'Lançamentos'!$D$2:$D$5010,"Em 2026")</f>
        <v/>
      </c>
    </row>
    <row r="73">
      <c r="A73" t="inlineStr">
        <is>
          <t>CHAVES REFRIGERACAO LTDA</t>
        </is>
      </c>
      <c r="B73" s="9">
        <f>SUMIFS('Lançamentos'!$L$2:$L$5010,'Lançamentos'!$A$2:$A$5010,"Outras despesas pagas",'Lançamentos'!$H$2:$H$5010,$A73,'Lançamentos'!$C$2:$C$5010,B$19)</f>
        <v/>
      </c>
      <c r="C73" s="9">
        <f>SUMIFS('Lançamentos'!$L$2:$L$5010,'Lançamentos'!$A$2:$A$5010,"Outras despesas pagas",'Lançamentos'!$H$2:$H$5010,$A73,'Lançamentos'!$C$2:$C$5010,C$19)</f>
        <v/>
      </c>
      <c r="D73" s="9">
        <f>SUMIFS('Lançamentos'!$L$2:$L$5010,'Lançamentos'!$A$2:$A$5010,"Outras despesas pagas",'Lançamentos'!$H$2:$H$5010,$A73,'Lançamentos'!$C$2:$C$5010,D$19)</f>
        <v/>
      </c>
      <c r="E73" s="9">
        <f>SUMIFS('Lançamentos'!$L$2:$L$5010,'Lançamentos'!$A$2:$A$5010,"Outras despesas pagas",'Lançamentos'!$H$2:$H$5010,$A73,'Lançamentos'!$C$2:$C$5010,E$19)</f>
        <v/>
      </c>
      <c r="F73" s="9">
        <f>SUMIFS('Lançamentos'!$L$2:$L$5010,'Lançamentos'!$A$2:$A$5010,"Outras despesas pagas",'Lançamentos'!$H$2:$H$5010,$A73,'Lançamentos'!$C$2:$C$5010,F$19)</f>
        <v/>
      </c>
      <c r="G73" s="9">
        <f>SUMIFS('Lançamentos'!$L$2:$L$5010,'Lançamentos'!$A$2:$A$5010,"Outras despesas pagas",'Lançamentos'!$H$2:$H$5010,$A73,'Lançamentos'!$C$2:$C$5010,G$19)</f>
        <v/>
      </c>
      <c r="H73" s="9">
        <f>SUMIFS('Lançamentos'!$L$2:$L$5010,'Lançamentos'!$A$2:$A$5010,"Outras despesas pagas",'Lançamentos'!$H$2:$H$5010,$A73,'Lançamentos'!$C$2:$C$5010,H$19)</f>
        <v/>
      </c>
      <c r="I73" s="9">
        <f>SUMIFS('Lançamentos'!$L$2:$L$5010,'Lançamentos'!$A$2:$A$5010,"Outras despesas pagas",'Lançamentos'!$H$2:$H$5010,$A73,'Lançamentos'!$C$2:$C$5010,I$19)</f>
        <v/>
      </c>
      <c r="J73" s="9">
        <f>SUMIFS('Lançamentos'!$L$2:$L$5010,'Lançamentos'!$A$2:$A$5010,"Outras despesas pagas",'Lançamentos'!$H$2:$H$5010,$A73,'Lançamentos'!$C$2:$C$5010,J$19)</f>
        <v/>
      </c>
      <c r="K73" s="9">
        <f>SUM(B73:J73)</f>
        <v/>
      </c>
      <c r="L73" s="10">
        <f>K73/K$87</f>
        <v/>
      </c>
      <c r="M73" s="9">
        <f>SUMIFS('Lançamentos'!$L$2:$L$5010,'Lançamentos'!$A$2:$A$5010,"Outras despesas pagas",'Lançamentos'!$H$2:$H$5010,$A73,'Lançamentos'!$C$2:$C$5010,"Antes de 2026")</f>
        <v/>
      </c>
      <c r="N73" s="9">
        <f>SUMIFS('Lançamentos'!$J$2:$J$5010,'Lançamentos'!$A$2:$A$5010,"Outras despesas pagas",'Lançamentos'!$H$2:$H$5010,$A73,'Lançamentos'!$D$2:$D$5010,"Em 2026")</f>
        <v/>
      </c>
      <c r="O73" s="9">
        <f>SUMIFS('Lançamentos'!$K$2:$K$5010,'Lançamentos'!$A$2:$A$5010,"Outras despesas pagas",'Lançamentos'!$H$2:$H$5010,$A73,'Lançamentos'!$D$2:$D$5010,"Em 2026")</f>
        <v/>
      </c>
      <c r="P73" s="26">
        <f>COUNTIFS('Lançamentos'!$A$2:$A$5010,"Outras despesas pagas",'Lançamentos'!$H$2:$H$5010,$A73,'Lançamentos'!$D$2:$D$5010,"Em 2026")</f>
        <v/>
      </c>
    </row>
    <row r="74">
      <c r="A74" t="inlineStr">
        <is>
          <t>INGRID SILVA FREIRE DA ROCHA LTDA</t>
        </is>
      </c>
      <c r="B74" s="9">
        <f>SUMIFS('Lançamentos'!$L$2:$L$5010,'Lançamentos'!$A$2:$A$5010,"Outras despesas pagas",'Lançamentos'!$H$2:$H$5010,$A74,'Lançamentos'!$C$2:$C$5010,B$19)</f>
        <v/>
      </c>
      <c r="C74" s="9">
        <f>SUMIFS('Lançamentos'!$L$2:$L$5010,'Lançamentos'!$A$2:$A$5010,"Outras despesas pagas",'Lançamentos'!$H$2:$H$5010,$A74,'Lançamentos'!$C$2:$C$5010,C$19)</f>
        <v/>
      </c>
      <c r="D74" s="9">
        <f>SUMIFS('Lançamentos'!$L$2:$L$5010,'Lançamentos'!$A$2:$A$5010,"Outras despesas pagas",'Lançamentos'!$H$2:$H$5010,$A74,'Lançamentos'!$C$2:$C$5010,D$19)</f>
        <v/>
      </c>
      <c r="E74" s="9">
        <f>SUMIFS('Lançamentos'!$L$2:$L$5010,'Lançamentos'!$A$2:$A$5010,"Outras despesas pagas",'Lançamentos'!$H$2:$H$5010,$A74,'Lançamentos'!$C$2:$C$5010,E$19)</f>
        <v/>
      </c>
      <c r="F74" s="9">
        <f>SUMIFS('Lançamentos'!$L$2:$L$5010,'Lançamentos'!$A$2:$A$5010,"Outras despesas pagas",'Lançamentos'!$H$2:$H$5010,$A74,'Lançamentos'!$C$2:$C$5010,F$19)</f>
        <v/>
      </c>
      <c r="G74" s="9">
        <f>SUMIFS('Lançamentos'!$L$2:$L$5010,'Lançamentos'!$A$2:$A$5010,"Outras despesas pagas",'Lançamentos'!$H$2:$H$5010,$A74,'Lançamentos'!$C$2:$C$5010,G$19)</f>
        <v/>
      </c>
      <c r="H74" s="9">
        <f>SUMIFS('Lançamentos'!$L$2:$L$5010,'Lançamentos'!$A$2:$A$5010,"Outras despesas pagas",'Lançamentos'!$H$2:$H$5010,$A74,'Lançamentos'!$C$2:$C$5010,H$19)</f>
        <v/>
      </c>
      <c r="I74" s="9">
        <f>SUMIFS('Lançamentos'!$L$2:$L$5010,'Lançamentos'!$A$2:$A$5010,"Outras despesas pagas",'Lançamentos'!$H$2:$H$5010,$A74,'Lançamentos'!$C$2:$C$5010,I$19)</f>
        <v/>
      </c>
      <c r="J74" s="9">
        <f>SUMIFS('Lançamentos'!$L$2:$L$5010,'Lançamentos'!$A$2:$A$5010,"Outras despesas pagas",'Lançamentos'!$H$2:$H$5010,$A74,'Lançamentos'!$C$2:$C$5010,J$19)</f>
        <v/>
      </c>
      <c r="K74" s="9">
        <f>SUM(B74:J74)</f>
        <v/>
      </c>
      <c r="L74" s="10">
        <f>K74/K$87</f>
        <v/>
      </c>
      <c r="M74" s="9">
        <f>SUMIFS('Lançamentos'!$L$2:$L$5010,'Lançamentos'!$A$2:$A$5010,"Outras despesas pagas",'Lançamentos'!$H$2:$H$5010,$A74,'Lançamentos'!$C$2:$C$5010,"Antes de 2026")</f>
        <v/>
      </c>
      <c r="N74" s="9">
        <f>SUMIFS('Lançamentos'!$J$2:$J$5010,'Lançamentos'!$A$2:$A$5010,"Outras despesas pagas",'Lançamentos'!$H$2:$H$5010,$A74,'Lançamentos'!$D$2:$D$5010,"Em 2026")</f>
        <v/>
      </c>
      <c r="O74" s="9">
        <f>SUMIFS('Lançamentos'!$K$2:$K$5010,'Lançamentos'!$A$2:$A$5010,"Outras despesas pagas",'Lançamentos'!$H$2:$H$5010,$A74,'Lançamentos'!$D$2:$D$5010,"Em 2026")</f>
        <v/>
      </c>
      <c r="P74" s="26">
        <f>COUNTIFS('Lançamentos'!$A$2:$A$5010,"Outras despesas pagas",'Lançamentos'!$H$2:$H$5010,$A74,'Lançamentos'!$D$2:$D$5010,"Em 2026")</f>
        <v/>
      </c>
    </row>
    <row r="75">
      <c r="A75" t="inlineStr">
        <is>
          <t>STREETING CAR LTDA</t>
        </is>
      </c>
      <c r="B75" s="9">
        <f>SUMIFS('Lançamentos'!$L$2:$L$5010,'Lançamentos'!$A$2:$A$5010,"Outras despesas pagas",'Lançamentos'!$H$2:$H$5010,$A75,'Lançamentos'!$C$2:$C$5010,B$19)</f>
        <v/>
      </c>
      <c r="C75" s="9">
        <f>SUMIFS('Lançamentos'!$L$2:$L$5010,'Lançamentos'!$A$2:$A$5010,"Outras despesas pagas",'Lançamentos'!$H$2:$H$5010,$A75,'Lançamentos'!$C$2:$C$5010,C$19)</f>
        <v/>
      </c>
      <c r="D75" s="9">
        <f>SUMIFS('Lançamentos'!$L$2:$L$5010,'Lançamentos'!$A$2:$A$5010,"Outras despesas pagas",'Lançamentos'!$H$2:$H$5010,$A75,'Lançamentos'!$C$2:$C$5010,D$19)</f>
        <v/>
      </c>
      <c r="E75" s="9">
        <f>SUMIFS('Lançamentos'!$L$2:$L$5010,'Lançamentos'!$A$2:$A$5010,"Outras despesas pagas",'Lançamentos'!$H$2:$H$5010,$A75,'Lançamentos'!$C$2:$C$5010,E$19)</f>
        <v/>
      </c>
      <c r="F75" s="9">
        <f>SUMIFS('Lançamentos'!$L$2:$L$5010,'Lançamentos'!$A$2:$A$5010,"Outras despesas pagas",'Lançamentos'!$H$2:$H$5010,$A75,'Lançamentos'!$C$2:$C$5010,F$19)</f>
        <v/>
      </c>
      <c r="G75" s="9">
        <f>SUMIFS('Lançamentos'!$L$2:$L$5010,'Lançamentos'!$A$2:$A$5010,"Outras despesas pagas",'Lançamentos'!$H$2:$H$5010,$A75,'Lançamentos'!$C$2:$C$5010,G$19)</f>
        <v/>
      </c>
      <c r="H75" s="9">
        <f>SUMIFS('Lançamentos'!$L$2:$L$5010,'Lançamentos'!$A$2:$A$5010,"Outras despesas pagas",'Lançamentos'!$H$2:$H$5010,$A75,'Lançamentos'!$C$2:$C$5010,H$19)</f>
        <v/>
      </c>
      <c r="I75" s="9">
        <f>SUMIFS('Lançamentos'!$L$2:$L$5010,'Lançamentos'!$A$2:$A$5010,"Outras despesas pagas",'Lançamentos'!$H$2:$H$5010,$A75,'Lançamentos'!$C$2:$C$5010,I$19)</f>
        <v/>
      </c>
      <c r="J75" s="9">
        <f>SUMIFS('Lançamentos'!$L$2:$L$5010,'Lançamentos'!$A$2:$A$5010,"Outras despesas pagas",'Lançamentos'!$H$2:$H$5010,$A75,'Lançamentos'!$C$2:$C$5010,J$19)</f>
        <v/>
      </c>
      <c r="K75" s="9">
        <f>SUM(B75:J75)</f>
        <v/>
      </c>
      <c r="L75" s="10">
        <f>K75/K$87</f>
        <v/>
      </c>
      <c r="M75" s="9">
        <f>SUMIFS('Lançamentos'!$L$2:$L$5010,'Lançamentos'!$A$2:$A$5010,"Outras despesas pagas",'Lançamentos'!$H$2:$H$5010,$A75,'Lançamentos'!$C$2:$C$5010,"Antes de 2026")</f>
        <v/>
      </c>
      <c r="N75" s="9">
        <f>SUMIFS('Lançamentos'!$J$2:$J$5010,'Lançamentos'!$A$2:$A$5010,"Outras despesas pagas",'Lançamentos'!$H$2:$H$5010,$A75,'Lançamentos'!$D$2:$D$5010,"Em 2026")</f>
        <v/>
      </c>
      <c r="O75" s="9">
        <f>SUMIFS('Lançamentos'!$K$2:$K$5010,'Lançamentos'!$A$2:$A$5010,"Outras despesas pagas",'Lançamentos'!$H$2:$H$5010,$A75,'Lançamentos'!$D$2:$D$5010,"Em 2026")</f>
        <v/>
      </c>
      <c r="P75" s="26">
        <f>COUNTIFS('Lançamentos'!$A$2:$A$5010,"Outras despesas pagas",'Lançamentos'!$H$2:$H$5010,$A75,'Lançamentos'!$D$2:$D$5010,"Em 2026")</f>
        <v/>
      </c>
    </row>
    <row r="76">
      <c r="A76" t="inlineStr">
        <is>
          <t>PRESENTES ESPECIAIS LTDA</t>
        </is>
      </c>
      <c r="B76" s="9">
        <f>SUMIFS('Lançamentos'!$L$2:$L$5010,'Lançamentos'!$A$2:$A$5010,"Outras despesas pagas",'Lançamentos'!$H$2:$H$5010,$A76,'Lançamentos'!$C$2:$C$5010,B$19)</f>
        <v/>
      </c>
      <c r="C76" s="9">
        <f>SUMIFS('Lançamentos'!$L$2:$L$5010,'Lançamentos'!$A$2:$A$5010,"Outras despesas pagas",'Lançamentos'!$H$2:$H$5010,$A76,'Lançamentos'!$C$2:$C$5010,C$19)</f>
        <v/>
      </c>
      <c r="D76" s="9">
        <f>SUMIFS('Lançamentos'!$L$2:$L$5010,'Lançamentos'!$A$2:$A$5010,"Outras despesas pagas",'Lançamentos'!$H$2:$H$5010,$A76,'Lançamentos'!$C$2:$C$5010,D$19)</f>
        <v/>
      </c>
      <c r="E76" s="9">
        <f>SUMIFS('Lançamentos'!$L$2:$L$5010,'Lançamentos'!$A$2:$A$5010,"Outras despesas pagas",'Lançamentos'!$H$2:$H$5010,$A76,'Lançamentos'!$C$2:$C$5010,E$19)</f>
        <v/>
      </c>
      <c r="F76" s="9">
        <f>SUMIFS('Lançamentos'!$L$2:$L$5010,'Lançamentos'!$A$2:$A$5010,"Outras despesas pagas",'Lançamentos'!$H$2:$H$5010,$A76,'Lançamentos'!$C$2:$C$5010,F$19)</f>
        <v/>
      </c>
      <c r="G76" s="9">
        <f>SUMIFS('Lançamentos'!$L$2:$L$5010,'Lançamentos'!$A$2:$A$5010,"Outras despesas pagas",'Lançamentos'!$H$2:$H$5010,$A76,'Lançamentos'!$C$2:$C$5010,G$19)</f>
        <v/>
      </c>
      <c r="H76" s="9">
        <f>SUMIFS('Lançamentos'!$L$2:$L$5010,'Lançamentos'!$A$2:$A$5010,"Outras despesas pagas",'Lançamentos'!$H$2:$H$5010,$A76,'Lançamentos'!$C$2:$C$5010,H$19)</f>
        <v/>
      </c>
      <c r="I76" s="9">
        <f>SUMIFS('Lançamentos'!$L$2:$L$5010,'Lançamentos'!$A$2:$A$5010,"Outras despesas pagas",'Lançamentos'!$H$2:$H$5010,$A76,'Lançamentos'!$C$2:$C$5010,I$19)</f>
        <v/>
      </c>
      <c r="J76" s="9">
        <f>SUMIFS('Lançamentos'!$L$2:$L$5010,'Lançamentos'!$A$2:$A$5010,"Outras despesas pagas",'Lançamentos'!$H$2:$H$5010,$A76,'Lançamentos'!$C$2:$C$5010,J$19)</f>
        <v/>
      </c>
      <c r="K76" s="9">
        <f>SUM(B76:J76)</f>
        <v/>
      </c>
      <c r="L76" s="10">
        <f>K76/K$87</f>
        <v/>
      </c>
      <c r="M76" s="9">
        <f>SUMIFS('Lançamentos'!$L$2:$L$5010,'Lançamentos'!$A$2:$A$5010,"Outras despesas pagas",'Lançamentos'!$H$2:$H$5010,$A76,'Lançamentos'!$C$2:$C$5010,"Antes de 2026")</f>
        <v/>
      </c>
      <c r="N76" s="9">
        <f>SUMIFS('Lançamentos'!$J$2:$J$5010,'Lançamentos'!$A$2:$A$5010,"Outras despesas pagas",'Lançamentos'!$H$2:$H$5010,$A76,'Lançamentos'!$D$2:$D$5010,"Em 2026")</f>
        <v/>
      </c>
      <c r="O76" s="9">
        <f>SUMIFS('Lançamentos'!$K$2:$K$5010,'Lançamentos'!$A$2:$A$5010,"Outras despesas pagas",'Lançamentos'!$H$2:$H$5010,$A76,'Lançamentos'!$D$2:$D$5010,"Em 2026")</f>
        <v/>
      </c>
      <c r="P76" s="26">
        <f>COUNTIFS('Lançamentos'!$A$2:$A$5010,"Outras despesas pagas",'Lançamentos'!$H$2:$H$5010,$A76,'Lançamentos'!$D$2:$D$5010,"Em 2026")</f>
        <v/>
      </c>
    </row>
    <row r="77">
      <c r="A77" t="inlineStr">
        <is>
          <t>DPALMA IMPORTADORA LTDA</t>
        </is>
      </c>
      <c r="B77" s="9">
        <f>SUMIFS('Lançamentos'!$L$2:$L$5010,'Lançamentos'!$A$2:$A$5010,"Outras despesas pagas",'Lançamentos'!$H$2:$H$5010,$A77,'Lançamentos'!$C$2:$C$5010,B$19)</f>
        <v/>
      </c>
      <c r="C77" s="9">
        <f>SUMIFS('Lançamentos'!$L$2:$L$5010,'Lançamentos'!$A$2:$A$5010,"Outras despesas pagas",'Lançamentos'!$H$2:$H$5010,$A77,'Lançamentos'!$C$2:$C$5010,C$19)</f>
        <v/>
      </c>
      <c r="D77" s="9">
        <f>SUMIFS('Lançamentos'!$L$2:$L$5010,'Lançamentos'!$A$2:$A$5010,"Outras despesas pagas",'Lançamentos'!$H$2:$H$5010,$A77,'Lançamentos'!$C$2:$C$5010,D$19)</f>
        <v/>
      </c>
      <c r="E77" s="9">
        <f>SUMIFS('Lançamentos'!$L$2:$L$5010,'Lançamentos'!$A$2:$A$5010,"Outras despesas pagas",'Lançamentos'!$H$2:$H$5010,$A77,'Lançamentos'!$C$2:$C$5010,E$19)</f>
        <v/>
      </c>
      <c r="F77" s="9">
        <f>SUMIFS('Lançamentos'!$L$2:$L$5010,'Lançamentos'!$A$2:$A$5010,"Outras despesas pagas",'Lançamentos'!$H$2:$H$5010,$A77,'Lançamentos'!$C$2:$C$5010,F$19)</f>
        <v/>
      </c>
      <c r="G77" s="9">
        <f>SUMIFS('Lançamentos'!$L$2:$L$5010,'Lançamentos'!$A$2:$A$5010,"Outras despesas pagas",'Lançamentos'!$H$2:$H$5010,$A77,'Lançamentos'!$C$2:$C$5010,G$19)</f>
        <v/>
      </c>
      <c r="H77" s="9">
        <f>SUMIFS('Lançamentos'!$L$2:$L$5010,'Lançamentos'!$A$2:$A$5010,"Outras despesas pagas",'Lançamentos'!$H$2:$H$5010,$A77,'Lançamentos'!$C$2:$C$5010,H$19)</f>
        <v/>
      </c>
      <c r="I77" s="9">
        <f>SUMIFS('Lançamentos'!$L$2:$L$5010,'Lançamentos'!$A$2:$A$5010,"Outras despesas pagas",'Lançamentos'!$H$2:$H$5010,$A77,'Lançamentos'!$C$2:$C$5010,I$19)</f>
        <v/>
      </c>
      <c r="J77" s="9">
        <f>SUMIFS('Lançamentos'!$L$2:$L$5010,'Lançamentos'!$A$2:$A$5010,"Outras despesas pagas",'Lançamentos'!$H$2:$H$5010,$A77,'Lançamentos'!$C$2:$C$5010,J$19)</f>
        <v/>
      </c>
      <c r="K77" s="9">
        <f>SUM(B77:J77)</f>
        <v/>
      </c>
      <c r="L77" s="10">
        <f>K77/K$87</f>
        <v/>
      </c>
      <c r="M77" s="9">
        <f>SUMIFS('Lançamentos'!$L$2:$L$5010,'Lançamentos'!$A$2:$A$5010,"Outras despesas pagas",'Lançamentos'!$H$2:$H$5010,$A77,'Lançamentos'!$C$2:$C$5010,"Antes de 2026")</f>
        <v/>
      </c>
      <c r="N77" s="9">
        <f>SUMIFS('Lançamentos'!$J$2:$J$5010,'Lançamentos'!$A$2:$A$5010,"Outras despesas pagas",'Lançamentos'!$H$2:$H$5010,$A77,'Lançamentos'!$D$2:$D$5010,"Em 2026")</f>
        <v/>
      </c>
      <c r="O77" s="9">
        <f>SUMIFS('Lançamentos'!$K$2:$K$5010,'Lançamentos'!$A$2:$A$5010,"Outras despesas pagas",'Lançamentos'!$H$2:$H$5010,$A77,'Lançamentos'!$D$2:$D$5010,"Em 2026")</f>
        <v/>
      </c>
      <c r="P77" s="26">
        <f>COUNTIFS('Lançamentos'!$A$2:$A$5010,"Outras despesas pagas",'Lançamentos'!$H$2:$H$5010,$A77,'Lançamentos'!$D$2:$D$5010,"Em 2026")</f>
        <v/>
      </c>
    </row>
    <row r="78">
      <c r="A78" t="inlineStr">
        <is>
          <t>MM MATERIAL DE CONSTRUCAO LTDA</t>
        </is>
      </c>
      <c r="B78" s="9">
        <f>SUMIFS('Lançamentos'!$L$2:$L$5010,'Lançamentos'!$A$2:$A$5010,"Outras despesas pagas",'Lançamentos'!$H$2:$H$5010,$A78,'Lançamentos'!$C$2:$C$5010,B$19)</f>
        <v/>
      </c>
      <c r="C78" s="9">
        <f>SUMIFS('Lançamentos'!$L$2:$L$5010,'Lançamentos'!$A$2:$A$5010,"Outras despesas pagas",'Lançamentos'!$H$2:$H$5010,$A78,'Lançamentos'!$C$2:$C$5010,C$19)</f>
        <v/>
      </c>
      <c r="D78" s="9">
        <f>SUMIFS('Lançamentos'!$L$2:$L$5010,'Lançamentos'!$A$2:$A$5010,"Outras despesas pagas",'Lançamentos'!$H$2:$H$5010,$A78,'Lançamentos'!$C$2:$C$5010,D$19)</f>
        <v/>
      </c>
      <c r="E78" s="9">
        <f>SUMIFS('Lançamentos'!$L$2:$L$5010,'Lançamentos'!$A$2:$A$5010,"Outras despesas pagas",'Lançamentos'!$H$2:$H$5010,$A78,'Lançamentos'!$C$2:$C$5010,E$19)</f>
        <v/>
      </c>
      <c r="F78" s="9">
        <f>SUMIFS('Lançamentos'!$L$2:$L$5010,'Lançamentos'!$A$2:$A$5010,"Outras despesas pagas",'Lançamentos'!$H$2:$H$5010,$A78,'Lançamentos'!$C$2:$C$5010,F$19)</f>
        <v/>
      </c>
      <c r="G78" s="9">
        <f>SUMIFS('Lançamentos'!$L$2:$L$5010,'Lançamentos'!$A$2:$A$5010,"Outras despesas pagas",'Lançamentos'!$H$2:$H$5010,$A78,'Lançamentos'!$C$2:$C$5010,G$19)</f>
        <v/>
      </c>
      <c r="H78" s="9">
        <f>SUMIFS('Lançamentos'!$L$2:$L$5010,'Lançamentos'!$A$2:$A$5010,"Outras despesas pagas",'Lançamentos'!$H$2:$H$5010,$A78,'Lançamentos'!$C$2:$C$5010,H$19)</f>
        <v/>
      </c>
      <c r="I78" s="9">
        <f>SUMIFS('Lançamentos'!$L$2:$L$5010,'Lançamentos'!$A$2:$A$5010,"Outras despesas pagas",'Lançamentos'!$H$2:$H$5010,$A78,'Lançamentos'!$C$2:$C$5010,I$19)</f>
        <v/>
      </c>
      <c r="J78" s="9">
        <f>SUMIFS('Lançamentos'!$L$2:$L$5010,'Lançamentos'!$A$2:$A$5010,"Outras despesas pagas",'Lançamentos'!$H$2:$H$5010,$A78,'Lançamentos'!$C$2:$C$5010,J$19)</f>
        <v/>
      </c>
      <c r="K78" s="9">
        <f>SUM(B78:J78)</f>
        <v/>
      </c>
      <c r="L78" s="10">
        <f>K78/K$87</f>
        <v/>
      </c>
      <c r="M78" s="9">
        <f>SUMIFS('Lançamentos'!$L$2:$L$5010,'Lançamentos'!$A$2:$A$5010,"Outras despesas pagas",'Lançamentos'!$H$2:$H$5010,$A78,'Lançamentos'!$C$2:$C$5010,"Antes de 2026")</f>
        <v/>
      </c>
      <c r="N78" s="9">
        <f>SUMIFS('Lançamentos'!$J$2:$J$5010,'Lançamentos'!$A$2:$A$5010,"Outras despesas pagas",'Lançamentos'!$H$2:$H$5010,$A78,'Lançamentos'!$D$2:$D$5010,"Em 2026")</f>
        <v/>
      </c>
      <c r="O78" s="9">
        <f>SUMIFS('Lançamentos'!$K$2:$K$5010,'Lançamentos'!$A$2:$A$5010,"Outras despesas pagas",'Lançamentos'!$H$2:$H$5010,$A78,'Lançamentos'!$D$2:$D$5010,"Em 2026")</f>
        <v/>
      </c>
      <c r="P78" s="26">
        <f>COUNTIFS('Lançamentos'!$A$2:$A$5010,"Outras despesas pagas",'Lançamentos'!$H$2:$H$5010,$A78,'Lançamentos'!$D$2:$D$5010,"Em 2026")</f>
        <v/>
      </c>
    </row>
    <row r="79">
      <c r="A79" t="inlineStr">
        <is>
          <t>MOREIRA ACESSORIOS E EQUIPAMENTOS ELETRONICOS LTDA</t>
        </is>
      </c>
      <c r="B79" s="9">
        <f>SUMIFS('Lançamentos'!$L$2:$L$5010,'Lançamentos'!$A$2:$A$5010,"Outras despesas pagas",'Lançamentos'!$H$2:$H$5010,$A79,'Lançamentos'!$C$2:$C$5010,B$19)</f>
        <v/>
      </c>
      <c r="C79" s="9">
        <f>SUMIFS('Lançamentos'!$L$2:$L$5010,'Lançamentos'!$A$2:$A$5010,"Outras despesas pagas",'Lançamentos'!$H$2:$H$5010,$A79,'Lançamentos'!$C$2:$C$5010,C$19)</f>
        <v/>
      </c>
      <c r="D79" s="9">
        <f>SUMIFS('Lançamentos'!$L$2:$L$5010,'Lançamentos'!$A$2:$A$5010,"Outras despesas pagas",'Lançamentos'!$H$2:$H$5010,$A79,'Lançamentos'!$C$2:$C$5010,D$19)</f>
        <v/>
      </c>
      <c r="E79" s="9">
        <f>SUMIFS('Lançamentos'!$L$2:$L$5010,'Lançamentos'!$A$2:$A$5010,"Outras despesas pagas",'Lançamentos'!$H$2:$H$5010,$A79,'Lançamentos'!$C$2:$C$5010,E$19)</f>
        <v/>
      </c>
      <c r="F79" s="9">
        <f>SUMIFS('Lançamentos'!$L$2:$L$5010,'Lançamentos'!$A$2:$A$5010,"Outras despesas pagas",'Lançamentos'!$H$2:$H$5010,$A79,'Lançamentos'!$C$2:$C$5010,F$19)</f>
        <v/>
      </c>
      <c r="G79" s="9">
        <f>SUMIFS('Lançamentos'!$L$2:$L$5010,'Lançamentos'!$A$2:$A$5010,"Outras despesas pagas",'Lançamentos'!$H$2:$H$5010,$A79,'Lançamentos'!$C$2:$C$5010,G$19)</f>
        <v/>
      </c>
      <c r="H79" s="9">
        <f>SUMIFS('Lançamentos'!$L$2:$L$5010,'Lançamentos'!$A$2:$A$5010,"Outras despesas pagas",'Lançamentos'!$H$2:$H$5010,$A79,'Lançamentos'!$C$2:$C$5010,H$19)</f>
        <v/>
      </c>
      <c r="I79" s="9">
        <f>SUMIFS('Lançamentos'!$L$2:$L$5010,'Lançamentos'!$A$2:$A$5010,"Outras despesas pagas",'Lançamentos'!$H$2:$H$5010,$A79,'Lançamentos'!$C$2:$C$5010,I$19)</f>
        <v/>
      </c>
      <c r="J79" s="9">
        <f>SUMIFS('Lançamentos'!$L$2:$L$5010,'Lançamentos'!$A$2:$A$5010,"Outras despesas pagas",'Lançamentos'!$H$2:$H$5010,$A79,'Lançamentos'!$C$2:$C$5010,J$19)</f>
        <v/>
      </c>
      <c r="K79" s="9">
        <f>SUM(B79:J79)</f>
        <v/>
      </c>
      <c r="L79" s="10">
        <f>K79/K$87</f>
        <v/>
      </c>
      <c r="M79" s="9">
        <f>SUMIFS('Lançamentos'!$L$2:$L$5010,'Lançamentos'!$A$2:$A$5010,"Outras despesas pagas",'Lançamentos'!$H$2:$H$5010,$A79,'Lançamentos'!$C$2:$C$5010,"Antes de 2026")</f>
        <v/>
      </c>
      <c r="N79" s="9">
        <f>SUMIFS('Lançamentos'!$J$2:$J$5010,'Lançamentos'!$A$2:$A$5010,"Outras despesas pagas",'Lançamentos'!$H$2:$H$5010,$A79,'Lançamentos'!$D$2:$D$5010,"Em 2026")</f>
        <v/>
      </c>
      <c r="O79" s="9">
        <f>SUMIFS('Lançamentos'!$K$2:$K$5010,'Lançamentos'!$A$2:$A$5010,"Outras despesas pagas",'Lançamentos'!$H$2:$H$5010,$A79,'Lançamentos'!$D$2:$D$5010,"Em 2026")</f>
        <v/>
      </c>
      <c r="P79" s="26">
        <f>COUNTIFS('Lançamentos'!$A$2:$A$5010,"Outras despesas pagas",'Lançamentos'!$H$2:$H$5010,$A79,'Lançamentos'!$D$2:$D$5010,"Em 2026")</f>
        <v/>
      </c>
    </row>
    <row r="80">
      <c r="A80" t="inlineStr">
        <is>
          <t>UP GIFTS PERSONALIZADOS LTDA</t>
        </is>
      </c>
      <c r="B80" s="9">
        <f>SUMIFS('Lançamentos'!$L$2:$L$5010,'Lançamentos'!$A$2:$A$5010,"Outras despesas pagas",'Lançamentos'!$H$2:$H$5010,$A80,'Lançamentos'!$C$2:$C$5010,B$19)</f>
        <v/>
      </c>
      <c r="C80" s="9">
        <f>SUMIFS('Lançamentos'!$L$2:$L$5010,'Lançamentos'!$A$2:$A$5010,"Outras despesas pagas",'Lançamentos'!$H$2:$H$5010,$A80,'Lançamentos'!$C$2:$C$5010,C$19)</f>
        <v/>
      </c>
      <c r="D80" s="9">
        <f>SUMIFS('Lançamentos'!$L$2:$L$5010,'Lançamentos'!$A$2:$A$5010,"Outras despesas pagas",'Lançamentos'!$H$2:$H$5010,$A80,'Lançamentos'!$C$2:$C$5010,D$19)</f>
        <v/>
      </c>
      <c r="E80" s="9">
        <f>SUMIFS('Lançamentos'!$L$2:$L$5010,'Lançamentos'!$A$2:$A$5010,"Outras despesas pagas",'Lançamentos'!$H$2:$H$5010,$A80,'Lançamentos'!$C$2:$C$5010,E$19)</f>
        <v/>
      </c>
      <c r="F80" s="9">
        <f>SUMIFS('Lançamentos'!$L$2:$L$5010,'Lançamentos'!$A$2:$A$5010,"Outras despesas pagas",'Lançamentos'!$H$2:$H$5010,$A80,'Lançamentos'!$C$2:$C$5010,F$19)</f>
        <v/>
      </c>
      <c r="G80" s="9">
        <f>SUMIFS('Lançamentos'!$L$2:$L$5010,'Lançamentos'!$A$2:$A$5010,"Outras despesas pagas",'Lançamentos'!$H$2:$H$5010,$A80,'Lançamentos'!$C$2:$C$5010,G$19)</f>
        <v/>
      </c>
      <c r="H80" s="9">
        <f>SUMIFS('Lançamentos'!$L$2:$L$5010,'Lançamentos'!$A$2:$A$5010,"Outras despesas pagas",'Lançamentos'!$H$2:$H$5010,$A80,'Lançamentos'!$C$2:$C$5010,H$19)</f>
        <v/>
      </c>
      <c r="I80" s="9">
        <f>SUMIFS('Lançamentos'!$L$2:$L$5010,'Lançamentos'!$A$2:$A$5010,"Outras despesas pagas",'Lançamentos'!$H$2:$H$5010,$A80,'Lançamentos'!$C$2:$C$5010,I$19)</f>
        <v/>
      </c>
      <c r="J80" s="9">
        <f>SUMIFS('Lançamentos'!$L$2:$L$5010,'Lançamentos'!$A$2:$A$5010,"Outras despesas pagas",'Lançamentos'!$H$2:$H$5010,$A80,'Lançamentos'!$C$2:$C$5010,J$19)</f>
        <v/>
      </c>
      <c r="K80" s="9">
        <f>SUM(B80:J80)</f>
        <v/>
      </c>
      <c r="L80" s="10">
        <f>K80/K$87</f>
        <v/>
      </c>
      <c r="M80" s="9">
        <f>SUMIFS('Lançamentos'!$L$2:$L$5010,'Lançamentos'!$A$2:$A$5010,"Outras despesas pagas",'Lançamentos'!$H$2:$H$5010,$A80,'Lançamentos'!$C$2:$C$5010,"Antes de 2026")</f>
        <v/>
      </c>
      <c r="N80" s="9">
        <f>SUMIFS('Lançamentos'!$J$2:$J$5010,'Lançamentos'!$A$2:$A$5010,"Outras despesas pagas",'Lançamentos'!$H$2:$H$5010,$A80,'Lançamentos'!$D$2:$D$5010,"Em 2026")</f>
        <v/>
      </c>
      <c r="O80" s="9">
        <f>SUMIFS('Lançamentos'!$K$2:$K$5010,'Lançamentos'!$A$2:$A$5010,"Outras despesas pagas",'Lançamentos'!$H$2:$H$5010,$A80,'Lançamentos'!$D$2:$D$5010,"Em 2026")</f>
        <v/>
      </c>
      <c r="P80" s="26">
        <f>COUNTIFS('Lançamentos'!$A$2:$A$5010,"Outras despesas pagas",'Lançamentos'!$H$2:$H$5010,$A80,'Lançamentos'!$D$2:$D$5010,"Em 2026")</f>
        <v/>
      </c>
    </row>
    <row r="81">
      <c r="A81" t="inlineStr">
        <is>
          <t>CJO LOJA DE VARIEDADES LTDA</t>
        </is>
      </c>
      <c r="B81" s="9">
        <f>SUMIFS('Lançamentos'!$L$2:$L$5010,'Lançamentos'!$A$2:$A$5010,"Outras despesas pagas",'Lançamentos'!$H$2:$H$5010,$A81,'Lançamentos'!$C$2:$C$5010,B$19)</f>
        <v/>
      </c>
      <c r="C81" s="9">
        <f>SUMIFS('Lançamentos'!$L$2:$L$5010,'Lançamentos'!$A$2:$A$5010,"Outras despesas pagas",'Lançamentos'!$H$2:$H$5010,$A81,'Lançamentos'!$C$2:$C$5010,C$19)</f>
        <v/>
      </c>
      <c r="D81" s="9">
        <f>SUMIFS('Lançamentos'!$L$2:$L$5010,'Lançamentos'!$A$2:$A$5010,"Outras despesas pagas",'Lançamentos'!$H$2:$H$5010,$A81,'Lançamentos'!$C$2:$C$5010,D$19)</f>
        <v/>
      </c>
      <c r="E81" s="9">
        <f>SUMIFS('Lançamentos'!$L$2:$L$5010,'Lançamentos'!$A$2:$A$5010,"Outras despesas pagas",'Lançamentos'!$H$2:$H$5010,$A81,'Lançamentos'!$C$2:$C$5010,E$19)</f>
        <v/>
      </c>
      <c r="F81" s="9">
        <f>SUMIFS('Lançamentos'!$L$2:$L$5010,'Lançamentos'!$A$2:$A$5010,"Outras despesas pagas",'Lançamentos'!$H$2:$H$5010,$A81,'Lançamentos'!$C$2:$C$5010,F$19)</f>
        <v/>
      </c>
      <c r="G81" s="9">
        <f>SUMIFS('Lançamentos'!$L$2:$L$5010,'Lançamentos'!$A$2:$A$5010,"Outras despesas pagas",'Lançamentos'!$H$2:$H$5010,$A81,'Lançamentos'!$C$2:$C$5010,G$19)</f>
        <v/>
      </c>
      <c r="H81" s="9">
        <f>SUMIFS('Lançamentos'!$L$2:$L$5010,'Lançamentos'!$A$2:$A$5010,"Outras despesas pagas",'Lançamentos'!$H$2:$H$5010,$A81,'Lançamentos'!$C$2:$C$5010,H$19)</f>
        <v/>
      </c>
      <c r="I81" s="9">
        <f>SUMIFS('Lançamentos'!$L$2:$L$5010,'Lançamentos'!$A$2:$A$5010,"Outras despesas pagas",'Lançamentos'!$H$2:$H$5010,$A81,'Lançamentos'!$C$2:$C$5010,I$19)</f>
        <v/>
      </c>
      <c r="J81" s="9">
        <f>SUMIFS('Lançamentos'!$L$2:$L$5010,'Lançamentos'!$A$2:$A$5010,"Outras despesas pagas",'Lançamentos'!$H$2:$H$5010,$A81,'Lançamentos'!$C$2:$C$5010,J$19)</f>
        <v/>
      </c>
      <c r="K81" s="9">
        <f>SUM(B81:J81)</f>
        <v/>
      </c>
      <c r="L81" s="10">
        <f>K81/K$87</f>
        <v/>
      </c>
      <c r="M81" s="9">
        <f>SUMIFS('Lançamentos'!$L$2:$L$5010,'Lançamentos'!$A$2:$A$5010,"Outras despesas pagas",'Lançamentos'!$H$2:$H$5010,$A81,'Lançamentos'!$C$2:$C$5010,"Antes de 2026")</f>
        <v/>
      </c>
      <c r="N81" s="9">
        <f>SUMIFS('Lançamentos'!$J$2:$J$5010,'Lançamentos'!$A$2:$A$5010,"Outras despesas pagas",'Lançamentos'!$H$2:$H$5010,$A81,'Lançamentos'!$D$2:$D$5010,"Em 2026")</f>
        <v/>
      </c>
      <c r="O81" s="9">
        <f>SUMIFS('Lançamentos'!$K$2:$K$5010,'Lançamentos'!$A$2:$A$5010,"Outras despesas pagas",'Lançamentos'!$H$2:$H$5010,$A81,'Lançamentos'!$D$2:$D$5010,"Em 2026")</f>
        <v/>
      </c>
      <c r="P81" s="26">
        <f>COUNTIFS('Lançamentos'!$A$2:$A$5010,"Outras despesas pagas",'Lançamentos'!$H$2:$H$5010,$A81,'Lançamentos'!$D$2:$D$5010,"Em 2026")</f>
        <v/>
      </c>
    </row>
    <row r="82">
      <c r="A82" t="inlineStr">
        <is>
          <t>BETEL COMERCIO DE VARIEDADES LTDA</t>
        </is>
      </c>
      <c r="B82" s="9">
        <f>SUMIFS('Lançamentos'!$L$2:$L$5010,'Lançamentos'!$A$2:$A$5010,"Outras despesas pagas",'Lançamentos'!$H$2:$H$5010,$A82,'Lançamentos'!$C$2:$C$5010,B$19)</f>
        <v/>
      </c>
      <c r="C82" s="9">
        <f>SUMIFS('Lançamentos'!$L$2:$L$5010,'Lançamentos'!$A$2:$A$5010,"Outras despesas pagas",'Lançamentos'!$H$2:$H$5010,$A82,'Lançamentos'!$C$2:$C$5010,C$19)</f>
        <v/>
      </c>
      <c r="D82" s="9">
        <f>SUMIFS('Lançamentos'!$L$2:$L$5010,'Lançamentos'!$A$2:$A$5010,"Outras despesas pagas",'Lançamentos'!$H$2:$H$5010,$A82,'Lançamentos'!$C$2:$C$5010,D$19)</f>
        <v/>
      </c>
      <c r="E82" s="9">
        <f>SUMIFS('Lançamentos'!$L$2:$L$5010,'Lançamentos'!$A$2:$A$5010,"Outras despesas pagas",'Lançamentos'!$H$2:$H$5010,$A82,'Lançamentos'!$C$2:$C$5010,E$19)</f>
        <v/>
      </c>
      <c r="F82" s="9">
        <f>SUMIFS('Lançamentos'!$L$2:$L$5010,'Lançamentos'!$A$2:$A$5010,"Outras despesas pagas",'Lançamentos'!$H$2:$H$5010,$A82,'Lançamentos'!$C$2:$C$5010,F$19)</f>
        <v/>
      </c>
      <c r="G82" s="9">
        <f>SUMIFS('Lançamentos'!$L$2:$L$5010,'Lançamentos'!$A$2:$A$5010,"Outras despesas pagas",'Lançamentos'!$H$2:$H$5010,$A82,'Lançamentos'!$C$2:$C$5010,G$19)</f>
        <v/>
      </c>
      <c r="H82" s="9">
        <f>SUMIFS('Lançamentos'!$L$2:$L$5010,'Lançamentos'!$A$2:$A$5010,"Outras despesas pagas",'Lançamentos'!$H$2:$H$5010,$A82,'Lançamentos'!$C$2:$C$5010,H$19)</f>
        <v/>
      </c>
      <c r="I82" s="9">
        <f>SUMIFS('Lançamentos'!$L$2:$L$5010,'Lançamentos'!$A$2:$A$5010,"Outras despesas pagas",'Lançamentos'!$H$2:$H$5010,$A82,'Lançamentos'!$C$2:$C$5010,I$19)</f>
        <v/>
      </c>
      <c r="J82" s="9">
        <f>SUMIFS('Lançamentos'!$L$2:$L$5010,'Lançamentos'!$A$2:$A$5010,"Outras despesas pagas",'Lançamentos'!$H$2:$H$5010,$A82,'Lançamentos'!$C$2:$C$5010,J$19)</f>
        <v/>
      </c>
      <c r="K82" s="9">
        <f>SUM(B82:J82)</f>
        <v/>
      </c>
      <c r="L82" s="10">
        <f>K82/K$87</f>
        <v/>
      </c>
      <c r="M82" s="9">
        <f>SUMIFS('Lançamentos'!$L$2:$L$5010,'Lançamentos'!$A$2:$A$5010,"Outras despesas pagas",'Lançamentos'!$H$2:$H$5010,$A82,'Lançamentos'!$C$2:$C$5010,"Antes de 2026")</f>
        <v/>
      </c>
      <c r="N82" s="9">
        <f>SUMIFS('Lançamentos'!$J$2:$J$5010,'Lançamentos'!$A$2:$A$5010,"Outras despesas pagas",'Lançamentos'!$H$2:$H$5010,$A82,'Lançamentos'!$D$2:$D$5010,"Em 2026")</f>
        <v/>
      </c>
      <c r="O82" s="9">
        <f>SUMIFS('Lançamentos'!$K$2:$K$5010,'Lançamentos'!$A$2:$A$5010,"Outras despesas pagas",'Lançamentos'!$H$2:$H$5010,$A82,'Lançamentos'!$D$2:$D$5010,"Em 2026")</f>
        <v/>
      </c>
      <c r="P82" s="26">
        <f>COUNTIFS('Lançamentos'!$A$2:$A$5010,"Outras despesas pagas",'Lançamentos'!$H$2:$H$5010,$A82,'Lançamentos'!$D$2:$D$5010,"Em 2026")</f>
        <v/>
      </c>
    </row>
    <row r="83">
      <c r="A83" t="inlineStr">
        <is>
          <t>KELLY DE FATIMA CORREIA DA SILVA ME</t>
        </is>
      </c>
      <c r="B83" s="9">
        <f>SUMIFS('Lançamentos'!$L$2:$L$5010,'Lançamentos'!$A$2:$A$5010,"Outras despesas pagas",'Lançamentos'!$H$2:$H$5010,$A83,'Lançamentos'!$C$2:$C$5010,B$19)</f>
        <v/>
      </c>
      <c r="C83" s="9">
        <f>SUMIFS('Lançamentos'!$L$2:$L$5010,'Lançamentos'!$A$2:$A$5010,"Outras despesas pagas",'Lançamentos'!$H$2:$H$5010,$A83,'Lançamentos'!$C$2:$C$5010,C$19)</f>
        <v/>
      </c>
      <c r="D83" s="9">
        <f>SUMIFS('Lançamentos'!$L$2:$L$5010,'Lançamentos'!$A$2:$A$5010,"Outras despesas pagas",'Lançamentos'!$H$2:$H$5010,$A83,'Lançamentos'!$C$2:$C$5010,D$19)</f>
        <v/>
      </c>
      <c r="E83" s="9">
        <f>SUMIFS('Lançamentos'!$L$2:$L$5010,'Lançamentos'!$A$2:$A$5010,"Outras despesas pagas",'Lançamentos'!$H$2:$H$5010,$A83,'Lançamentos'!$C$2:$C$5010,E$19)</f>
        <v/>
      </c>
      <c r="F83" s="9">
        <f>SUMIFS('Lançamentos'!$L$2:$L$5010,'Lançamentos'!$A$2:$A$5010,"Outras despesas pagas",'Lançamentos'!$H$2:$H$5010,$A83,'Lançamentos'!$C$2:$C$5010,F$19)</f>
        <v/>
      </c>
      <c r="G83" s="9">
        <f>SUMIFS('Lançamentos'!$L$2:$L$5010,'Lançamentos'!$A$2:$A$5010,"Outras despesas pagas",'Lançamentos'!$H$2:$H$5010,$A83,'Lançamentos'!$C$2:$C$5010,G$19)</f>
        <v/>
      </c>
      <c r="H83" s="9">
        <f>SUMIFS('Lançamentos'!$L$2:$L$5010,'Lançamentos'!$A$2:$A$5010,"Outras despesas pagas",'Lançamentos'!$H$2:$H$5010,$A83,'Lançamentos'!$C$2:$C$5010,H$19)</f>
        <v/>
      </c>
      <c r="I83" s="9">
        <f>SUMIFS('Lançamentos'!$L$2:$L$5010,'Lançamentos'!$A$2:$A$5010,"Outras despesas pagas",'Lançamentos'!$H$2:$H$5010,$A83,'Lançamentos'!$C$2:$C$5010,I$19)</f>
        <v/>
      </c>
      <c r="J83" s="9">
        <f>SUMIFS('Lançamentos'!$L$2:$L$5010,'Lançamentos'!$A$2:$A$5010,"Outras despesas pagas",'Lançamentos'!$H$2:$H$5010,$A83,'Lançamentos'!$C$2:$C$5010,J$19)</f>
        <v/>
      </c>
      <c r="K83" s="9">
        <f>SUM(B83:J83)</f>
        <v/>
      </c>
      <c r="L83" s="10">
        <f>K83/K$87</f>
        <v/>
      </c>
      <c r="M83" s="9">
        <f>SUMIFS('Lançamentos'!$L$2:$L$5010,'Lançamentos'!$A$2:$A$5010,"Outras despesas pagas",'Lançamentos'!$H$2:$H$5010,$A83,'Lançamentos'!$C$2:$C$5010,"Antes de 2026")</f>
        <v/>
      </c>
      <c r="N83" s="9">
        <f>SUMIFS('Lançamentos'!$J$2:$J$5010,'Lançamentos'!$A$2:$A$5010,"Outras despesas pagas",'Lançamentos'!$H$2:$H$5010,$A83,'Lançamentos'!$D$2:$D$5010,"Em 2026")</f>
        <v/>
      </c>
      <c r="O83" s="9">
        <f>SUMIFS('Lançamentos'!$K$2:$K$5010,'Lançamentos'!$A$2:$A$5010,"Outras despesas pagas",'Lançamentos'!$H$2:$H$5010,$A83,'Lançamentos'!$D$2:$D$5010,"Em 2026")</f>
        <v/>
      </c>
      <c r="P83" s="26">
        <f>COUNTIFS('Lançamentos'!$A$2:$A$5010,"Outras despesas pagas",'Lançamentos'!$H$2:$H$5010,$A83,'Lançamentos'!$D$2:$D$5010,"Em 2026")</f>
        <v/>
      </c>
    </row>
    <row r="84">
      <c r="A84" t="inlineStr">
        <is>
          <t>BENE COMERCIO VAREJISTA E ATACADISTA LTDA</t>
        </is>
      </c>
      <c r="B84" s="9">
        <f>SUMIFS('Lançamentos'!$L$2:$L$5010,'Lançamentos'!$A$2:$A$5010,"Outras despesas pagas",'Lançamentos'!$H$2:$H$5010,$A84,'Lançamentos'!$C$2:$C$5010,B$19)</f>
        <v/>
      </c>
      <c r="C84" s="9">
        <f>SUMIFS('Lançamentos'!$L$2:$L$5010,'Lançamentos'!$A$2:$A$5010,"Outras despesas pagas",'Lançamentos'!$H$2:$H$5010,$A84,'Lançamentos'!$C$2:$C$5010,C$19)</f>
        <v/>
      </c>
      <c r="D84" s="9">
        <f>SUMIFS('Lançamentos'!$L$2:$L$5010,'Lançamentos'!$A$2:$A$5010,"Outras despesas pagas",'Lançamentos'!$H$2:$H$5010,$A84,'Lançamentos'!$C$2:$C$5010,D$19)</f>
        <v/>
      </c>
      <c r="E84" s="9">
        <f>SUMIFS('Lançamentos'!$L$2:$L$5010,'Lançamentos'!$A$2:$A$5010,"Outras despesas pagas",'Lançamentos'!$H$2:$H$5010,$A84,'Lançamentos'!$C$2:$C$5010,E$19)</f>
        <v/>
      </c>
      <c r="F84" s="9">
        <f>SUMIFS('Lançamentos'!$L$2:$L$5010,'Lançamentos'!$A$2:$A$5010,"Outras despesas pagas",'Lançamentos'!$H$2:$H$5010,$A84,'Lançamentos'!$C$2:$C$5010,F$19)</f>
        <v/>
      </c>
      <c r="G84" s="9">
        <f>SUMIFS('Lançamentos'!$L$2:$L$5010,'Lançamentos'!$A$2:$A$5010,"Outras despesas pagas",'Lançamentos'!$H$2:$H$5010,$A84,'Lançamentos'!$C$2:$C$5010,G$19)</f>
        <v/>
      </c>
      <c r="H84" s="9">
        <f>SUMIFS('Lançamentos'!$L$2:$L$5010,'Lançamentos'!$A$2:$A$5010,"Outras despesas pagas",'Lançamentos'!$H$2:$H$5010,$A84,'Lançamentos'!$C$2:$C$5010,H$19)</f>
        <v/>
      </c>
      <c r="I84" s="9">
        <f>SUMIFS('Lançamentos'!$L$2:$L$5010,'Lançamentos'!$A$2:$A$5010,"Outras despesas pagas",'Lançamentos'!$H$2:$H$5010,$A84,'Lançamentos'!$C$2:$C$5010,I$19)</f>
        <v/>
      </c>
      <c r="J84" s="9">
        <f>SUMIFS('Lançamentos'!$L$2:$L$5010,'Lançamentos'!$A$2:$A$5010,"Outras despesas pagas",'Lançamentos'!$H$2:$H$5010,$A84,'Lançamentos'!$C$2:$C$5010,J$19)</f>
        <v/>
      </c>
      <c r="K84" s="9">
        <f>SUM(B84:J84)</f>
        <v/>
      </c>
      <c r="L84" s="10">
        <f>K84/K$87</f>
        <v/>
      </c>
      <c r="M84" s="9">
        <f>SUMIFS('Lançamentos'!$L$2:$L$5010,'Lançamentos'!$A$2:$A$5010,"Outras despesas pagas",'Lançamentos'!$H$2:$H$5010,$A84,'Lançamentos'!$C$2:$C$5010,"Antes de 2026")</f>
        <v/>
      </c>
      <c r="N84" s="9">
        <f>SUMIFS('Lançamentos'!$J$2:$J$5010,'Lançamentos'!$A$2:$A$5010,"Outras despesas pagas",'Lançamentos'!$H$2:$H$5010,$A84,'Lançamentos'!$D$2:$D$5010,"Em 2026")</f>
        <v/>
      </c>
      <c r="O84" s="9">
        <f>SUMIFS('Lançamentos'!$K$2:$K$5010,'Lançamentos'!$A$2:$A$5010,"Outras despesas pagas",'Lançamentos'!$H$2:$H$5010,$A84,'Lançamentos'!$D$2:$D$5010,"Em 2026")</f>
        <v/>
      </c>
      <c r="P84" s="26">
        <f>COUNTIFS('Lançamentos'!$A$2:$A$5010,"Outras despesas pagas",'Lançamentos'!$H$2:$H$5010,$A84,'Lançamentos'!$D$2:$D$5010,"Em 2026")</f>
        <v/>
      </c>
    </row>
    <row r="85">
      <c r="A85" t="inlineStr">
        <is>
          <t>TREVO CIMENTO LTDA</t>
        </is>
      </c>
      <c r="B85" s="9">
        <f>SUMIFS('Lançamentos'!$L$2:$L$5010,'Lançamentos'!$A$2:$A$5010,"Outras despesas pagas",'Lançamentos'!$H$2:$H$5010,$A85,'Lançamentos'!$C$2:$C$5010,B$19)</f>
        <v/>
      </c>
      <c r="C85" s="9">
        <f>SUMIFS('Lançamentos'!$L$2:$L$5010,'Lançamentos'!$A$2:$A$5010,"Outras despesas pagas",'Lançamentos'!$H$2:$H$5010,$A85,'Lançamentos'!$C$2:$C$5010,C$19)</f>
        <v/>
      </c>
      <c r="D85" s="9">
        <f>SUMIFS('Lançamentos'!$L$2:$L$5010,'Lançamentos'!$A$2:$A$5010,"Outras despesas pagas",'Lançamentos'!$H$2:$H$5010,$A85,'Lançamentos'!$C$2:$C$5010,D$19)</f>
        <v/>
      </c>
      <c r="E85" s="9">
        <f>SUMIFS('Lançamentos'!$L$2:$L$5010,'Lançamentos'!$A$2:$A$5010,"Outras despesas pagas",'Lançamentos'!$H$2:$H$5010,$A85,'Lançamentos'!$C$2:$C$5010,E$19)</f>
        <v/>
      </c>
      <c r="F85" s="9">
        <f>SUMIFS('Lançamentos'!$L$2:$L$5010,'Lançamentos'!$A$2:$A$5010,"Outras despesas pagas",'Lançamentos'!$H$2:$H$5010,$A85,'Lançamentos'!$C$2:$C$5010,F$19)</f>
        <v/>
      </c>
      <c r="G85" s="9">
        <f>SUMIFS('Lançamentos'!$L$2:$L$5010,'Lançamentos'!$A$2:$A$5010,"Outras despesas pagas",'Lançamentos'!$H$2:$H$5010,$A85,'Lançamentos'!$C$2:$C$5010,G$19)</f>
        <v/>
      </c>
      <c r="H85" s="9">
        <f>SUMIFS('Lançamentos'!$L$2:$L$5010,'Lançamentos'!$A$2:$A$5010,"Outras despesas pagas",'Lançamentos'!$H$2:$H$5010,$A85,'Lançamentos'!$C$2:$C$5010,H$19)</f>
        <v/>
      </c>
      <c r="I85" s="9">
        <f>SUMIFS('Lançamentos'!$L$2:$L$5010,'Lançamentos'!$A$2:$A$5010,"Outras despesas pagas",'Lançamentos'!$H$2:$H$5010,$A85,'Lançamentos'!$C$2:$C$5010,I$19)</f>
        <v/>
      </c>
      <c r="J85" s="9">
        <f>SUMIFS('Lançamentos'!$L$2:$L$5010,'Lançamentos'!$A$2:$A$5010,"Outras despesas pagas",'Lançamentos'!$H$2:$H$5010,$A85,'Lançamentos'!$C$2:$C$5010,J$19)</f>
        <v/>
      </c>
      <c r="K85" s="9">
        <f>SUM(B85:J85)</f>
        <v/>
      </c>
      <c r="L85" s="10">
        <f>K85/K$87</f>
        <v/>
      </c>
      <c r="M85" s="9">
        <f>SUMIFS('Lançamentos'!$L$2:$L$5010,'Lançamentos'!$A$2:$A$5010,"Outras despesas pagas",'Lançamentos'!$H$2:$H$5010,$A85,'Lançamentos'!$C$2:$C$5010,"Antes de 2026")</f>
        <v/>
      </c>
      <c r="N85" s="9">
        <f>SUMIFS('Lançamentos'!$J$2:$J$5010,'Lançamentos'!$A$2:$A$5010,"Outras despesas pagas",'Lançamentos'!$H$2:$H$5010,$A85,'Lançamentos'!$D$2:$D$5010,"Em 2026")</f>
        <v/>
      </c>
      <c r="O85" s="9">
        <f>SUMIFS('Lançamentos'!$K$2:$K$5010,'Lançamentos'!$A$2:$A$5010,"Outras despesas pagas",'Lançamentos'!$H$2:$H$5010,$A85,'Lançamentos'!$D$2:$D$5010,"Em 2026")</f>
        <v/>
      </c>
      <c r="P85" s="26">
        <f>COUNTIFS('Lançamentos'!$A$2:$A$5010,"Outras despesas pagas",'Lançamentos'!$H$2:$H$5010,$A85,'Lançamentos'!$D$2:$D$5010,"Em 2026")</f>
        <v/>
      </c>
    </row>
    <row r="86">
      <c r="A86" t="inlineStr">
        <is>
          <t>DELL COMPUTADORES DO BRASIL LTDA</t>
        </is>
      </c>
      <c r="B86" s="9">
        <f>SUMIFS('Lançamentos'!$L$2:$L$5010,'Lançamentos'!$A$2:$A$5010,"Outras despesas pagas",'Lançamentos'!$H$2:$H$5010,$A86,'Lançamentos'!$C$2:$C$5010,B$19)</f>
        <v/>
      </c>
      <c r="C86" s="9">
        <f>SUMIFS('Lançamentos'!$L$2:$L$5010,'Lançamentos'!$A$2:$A$5010,"Outras despesas pagas",'Lançamentos'!$H$2:$H$5010,$A86,'Lançamentos'!$C$2:$C$5010,C$19)</f>
        <v/>
      </c>
      <c r="D86" s="9">
        <f>SUMIFS('Lançamentos'!$L$2:$L$5010,'Lançamentos'!$A$2:$A$5010,"Outras despesas pagas",'Lançamentos'!$H$2:$H$5010,$A86,'Lançamentos'!$C$2:$C$5010,D$19)</f>
        <v/>
      </c>
      <c r="E86" s="9">
        <f>SUMIFS('Lançamentos'!$L$2:$L$5010,'Lançamentos'!$A$2:$A$5010,"Outras despesas pagas",'Lançamentos'!$H$2:$H$5010,$A86,'Lançamentos'!$C$2:$C$5010,E$19)</f>
        <v/>
      </c>
      <c r="F86" s="9">
        <f>SUMIFS('Lançamentos'!$L$2:$L$5010,'Lançamentos'!$A$2:$A$5010,"Outras despesas pagas",'Lançamentos'!$H$2:$H$5010,$A86,'Lançamentos'!$C$2:$C$5010,F$19)</f>
        <v/>
      </c>
      <c r="G86" s="9">
        <f>SUMIFS('Lançamentos'!$L$2:$L$5010,'Lançamentos'!$A$2:$A$5010,"Outras despesas pagas",'Lançamentos'!$H$2:$H$5010,$A86,'Lançamentos'!$C$2:$C$5010,G$19)</f>
        <v/>
      </c>
      <c r="H86" s="9">
        <f>SUMIFS('Lançamentos'!$L$2:$L$5010,'Lançamentos'!$A$2:$A$5010,"Outras despesas pagas",'Lançamentos'!$H$2:$H$5010,$A86,'Lançamentos'!$C$2:$C$5010,H$19)</f>
        <v/>
      </c>
      <c r="I86" s="9">
        <f>SUMIFS('Lançamentos'!$L$2:$L$5010,'Lançamentos'!$A$2:$A$5010,"Outras despesas pagas",'Lançamentos'!$H$2:$H$5010,$A86,'Lançamentos'!$C$2:$C$5010,I$19)</f>
        <v/>
      </c>
      <c r="J86" s="9">
        <f>SUMIFS('Lançamentos'!$L$2:$L$5010,'Lançamentos'!$A$2:$A$5010,"Outras despesas pagas",'Lançamentos'!$H$2:$H$5010,$A86,'Lançamentos'!$C$2:$C$5010,J$19)</f>
        <v/>
      </c>
      <c r="K86" s="9">
        <f>SUM(B86:J86)</f>
        <v/>
      </c>
      <c r="L86" s="10">
        <f>K86/K$87</f>
        <v/>
      </c>
      <c r="M86" s="9">
        <f>SUMIFS('Lançamentos'!$L$2:$L$5010,'Lançamentos'!$A$2:$A$5010,"Outras despesas pagas",'Lançamentos'!$H$2:$H$5010,$A86,'Lançamentos'!$C$2:$C$5010,"Antes de 2026")</f>
        <v/>
      </c>
      <c r="N86" s="9">
        <f>SUMIFS('Lançamentos'!$J$2:$J$5010,'Lançamentos'!$A$2:$A$5010,"Outras despesas pagas",'Lançamentos'!$H$2:$H$5010,$A86,'Lançamentos'!$D$2:$D$5010,"Em 2026")</f>
        <v/>
      </c>
      <c r="O86" s="9">
        <f>SUMIFS('Lançamentos'!$K$2:$K$5010,'Lançamentos'!$A$2:$A$5010,"Outras despesas pagas",'Lançamentos'!$H$2:$H$5010,$A86,'Lançamentos'!$D$2:$D$5010,"Em 2026")</f>
        <v/>
      </c>
      <c r="P86" s="26">
        <f>COUNTIFS('Lançamentos'!$A$2:$A$5010,"Outras despesas pagas",'Lançamentos'!$H$2:$H$5010,$A86,'Lançamentos'!$D$2:$D$5010,"Em 2026")</f>
        <v/>
      </c>
    </row>
    <row r="87">
      <c r="A87" s="11" t="inlineStr">
        <is>
          <t>TOTAL OUTRAS DESPESAS PAGAS</t>
        </is>
      </c>
      <c r="B87" s="13">
        <f>SUM(B20:B86)</f>
        <v/>
      </c>
      <c r="C87" s="13">
        <f>SUM(C20:C86)</f>
        <v/>
      </c>
      <c r="D87" s="13">
        <f>SUM(D20:D86)</f>
        <v/>
      </c>
      <c r="E87" s="13">
        <f>SUM(E20:E86)</f>
        <v/>
      </c>
      <c r="F87" s="13">
        <f>SUM(F20:F86)</f>
        <v/>
      </c>
      <c r="G87" s="13">
        <f>SUM(G20:G86)</f>
        <v/>
      </c>
      <c r="H87" s="13">
        <f>SUM(H20:H86)</f>
        <v/>
      </c>
      <c r="I87" s="13">
        <f>SUM(I20:I86)</f>
        <v/>
      </c>
      <c r="J87" s="13">
        <f>SUM(J20:J86)</f>
        <v/>
      </c>
      <c r="K87" s="13">
        <f>SUM(K20:K86)</f>
        <v/>
      </c>
      <c r="L87" s="14">
        <f>K87/K$87</f>
        <v/>
      </c>
      <c r="M87" s="13">
        <f>SUM(M20:M86)</f>
        <v/>
      </c>
      <c r="N87" s="13">
        <f>SUM(N20:N86)</f>
        <v/>
      </c>
      <c r="O87" s="13">
        <f>SUM(O20:O86)</f>
        <v/>
      </c>
      <c r="P87" s="27">
        <f>SUM(P20:P86)</f>
        <v/>
      </c>
    </row>
    <row r="88">
      <c r="A88" t="inlineStr">
        <is>
          <t>Conferência: total por fornecedor − total por subcategoria (deve ser zero)</t>
        </is>
      </c>
      <c r="B88" s="9">
        <f>ROUND(B87-B12,2)</f>
        <v/>
      </c>
      <c r="C88" s="9">
        <f>ROUND(C87-C12,2)</f>
        <v/>
      </c>
      <c r="D88" s="9">
        <f>ROUND(D87-D12,2)</f>
        <v/>
      </c>
      <c r="E88" s="9">
        <f>ROUND(E87-E12,2)</f>
        <v/>
      </c>
      <c r="F88" s="9">
        <f>ROUND(F87-F12,2)</f>
        <v/>
      </c>
      <c r="G88" s="9">
        <f>ROUND(G87-G12,2)</f>
        <v/>
      </c>
      <c r="H88" s="9">
        <f>ROUND(H87-H12,2)</f>
        <v/>
      </c>
      <c r="I88" s="9">
        <f>ROUND(I87-I12,2)</f>
        <v/>
      </c>
      <c r="J88" s="9">
        <f>ROUND(J87-J12,2)</f>
        <v/>
      </c>
      <c r="K88" s="9">
        <f>ROUND(K87-K12,2)</f>
        <v/>
      </c>
      <c r="L88" s="10" t="n"/>
      <c r="M88" s="9">
        <f>ROUND(M87-M12,2)</f>
        <v/>
      </c>
      <c r="N88" s="9" t="n"/>
      <c r="O88" s="9" t="n"/>
      <c r="P88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0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12" customWidth="1" min="5" max="5"/>
    <col width="7" customWidth="1" min="6" max="6"/>
    <col width="11" customWidth="1" min="7" max="7"/>
    <col width="42" customWidth="1" min="8" max="8"/>
    <col width="20" customWidth="1" min="9" max="9"/>
    <col width="15" customWidth="1" min="10" max="10"/>
    <col width="13" customWidth="1" min="11" max="11"/>
    <col width="15" customWidth="1" min="12" max="12"/>
    <col width="16" customWidth="1" min="13" max="13"/>
    <col width="6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46" customWidth="1" min="20" max="20"/>
    <col width="10" customWidth="1" min="21" max="21"/>
  </cols>
  <sheetData>
    <row r="1">
      <c r="A1" s="4" t="inlineStr">
        <is>
          <t>Categoria</t>
        </is>
      </c>
      <c r="B1" s="5" t="inlineStr">
        <is>
          <t>Subcategoria</t>
        </is>
      </c>
      <c r="C1" s="5" t="inlineStr">
        <is>
          <t>Mês (emissão)</t>
        </is>
      </c>
      <c r="D1" s="5" t="inlineStr">
        <is>
          <t>Período</t>
        </is>
      </c>
      <c r="E1" s="5" t="inlineStr">
        <is>
          <t>Data de emissão</t>
        </is>
      </c>
      <c r="F1" s="5" t="inlineStr">
        <is>
          <t>Tipo</t>
        </is>
      </c>
      <c r="G1" s="5" t="inlineStr">
        <is>
          <t>Número</t>
        </is>
      </c>
      <c r="H1" s="5" t="inlineStr">
        <is>
          <t>Fornecedor / Transportadora</t>
        </is>
      </c>
      <c r="I1" s="5" t="inlineStr">
        <is>
          <t>CNPJ/CPF</t>
        </is>
      </c>
      <c r="J1" s="5" t="inlineStr">
        <is>
          <t>Valor bruto (R$)</t>
        </is>
      </c>
      <c r="K1" s="5" t="inlineStr">
        <is>
          <t>Crédito (R$)</t>
        </is>
      </c>
      <c r="L1" s="5" t="inlineStr">
        <is>
          <t>Valor líquido (R$)</t>
        </is>
      </c>
      <c r="M1" s="5" t="inlineStr">
        <is>
          <t>CFOP entrada</t>
        </is>
      </c>
      <c r="N1" s="5" t="inlineStr">
        <is>
          <t>Observação</t>
        </is>
      </c>
      <c r="O1" s="5" t="inlineStr">
        <is>
          <t>IPI</t>
        </is>
      </c>
      <c r="P1" s="5" t="inlineStr">
        <is>
          <t>ICMS</t>
        </is>
      </c>
      <c r="Q1" s="5" t="inlineStr">
        <is>
          <t>ICMS-ST</t>
        </is>
      </c>
      <c r="R1" s="5" t="inlineStr">
        <is>
          <t>PIS</t>
        </is>
      </c>
      <c r="S1" s="5" t="inlineStr">
        <is>
          <t>COFINS</t>
        </is>
      </c>
      <c r="T1" s="5" t="inlineStr">
        <is>
          <t>Chave de acesso</t>
        </is>
      </c>
      <c r="U1" s="5" t="inlineStr">
        <is>
          <t>Gerou título a pagar</t>
        </is>
      </c>
    </row>
    <row r="2">
      <c r="A2" t="inlineStr">
        <is>
          <t>Insumos e papel</t>
        </is>
      </c>
      <c r="B2" t="inlineStr">
        <is>
          <t>2.01.03 Compra de Matéria Prima (Papel)</t>
        </is>
      </c>
      <c r="C2" t="inlineStr">
        <is>
          <t>Antes de 2026</t>
        </is>
      </c>
      <c r="D2" t="inlineStr">
        <is>
          <t>Antes de 2026</t>
        </is>
      </c>
      <c r="E2" s="28" t="n">
        <v>45959</v>
      </c>
      <c r="F2" t="inlineStr">
        <is>
          <t>NF-e</t>
        </is>
      </c>
      <c r="G2" t="inlineStr">
        <is>
          <t>000011037</t>
        </is>
      </c>
      <c r="H2" t="inlineStr">
        <is>
          <t>CMPC Iguacu Embalagens Ltda</t>
        </is>
      </c>
      <c r="I2" t="inlineStr">
        <is>
          <t>11.308.600/0008-04</t>
        </is>
      </c>
      <c r="J2" s="29" t="n">
        <v>136263.73</v>
      </c>
      <c r="K2" s="29">
        <f>(1-ISNUMBER(SEARCH("556",M2)))*(O2*SUMIFS(Premissas!$C$5:$C$44,Premissas!$A$5:$A$44,$A2,Premissas!$B$5:$B$44,$B2)+P2*SUMIFS(Premissas!$D$5:$D$44,Premissas!$A$5:$A$44,$A2,Premissas!$B$5:$B$44,$B2))+R2*SUMIFS(Premissas!$E$5:$E$44,Premissas!$A$5:$A$44,$A2,Premissas!$B$5:$B$44,$B2)+S2*SUMIFS(Premissas!$F$5:$F$44,Premissas!$A$5:$A$44,$A2,Premissas!$B$5:$B$44,$B2)</f>
        <v/>
      </c>
      <c r="L2" s="29">
        <f>J2-K2</f>
        <v/>
      </c>
      <c r="M2" t="inlineStr">
        <is>
          <t>1.556</t>
        </is>
      </c>
      <c r="O2" s="29" t="n">
        <v>4289.17</v>
      </c>
      <c r="P2" s="29" t="n">
        <v>9238.219999999999</v>
      </c>
      <c r="Q2" s="29" t="n">
        <v>0</v>
      </c>
      <c r="R2" s="29" t="n">
        <v>2025.15</v>
      </c>
      <c r="S2" s="29" t="n">
        <v>9327.969999999999</v>
      </c>
      <c r="T2" t="inlineStr">
        <is>
          <t>42251011308600000804550010000110371234448257</t>
        </is>
      </c>
      <c r="U2" t="inlineStr">
        <is>
          <t>Sim</t>
        </is>
      </c>
    </row>
    <row r="3">
      <c r="A3" t="inlineStr">
        <is>
          <t>Insumos e papel</t>
        </is>
      </c>
      <c r="B3" t="inlineStr">
        <is>
          <t>2.01.03 Compra de Matéria Prima (Papel)</t>
        </is>
      </c>
      <c r="C3" t="inlineStr">
        <is>
          <t>Antes de 2026</t>
        </is>
      </c>
      <c r="D3" t="inlineStr">
        <is>
          <t>Antes de 2026</t>
        </is>
      </c>
      <c r="E3" s="28" t="n">
        <v>45987</v>
      </c>
      <c r="F3" t="inlineStr">
        <is>
          <t>NF-e</t>
        </is>
      </c>
      <c r="G3" t="inlineStr">
        <is>
          <t>000011343</t>
        </is>
      </c>
      <c r="H3" t="inlineStr">
        <is>
          <t>CMPC Iguacu Embalagens Ltda</t>
        </is>
      </c>
      <c r="I3" t="inlineStr">
        <is>
          <t>11.308.600/0008-04</t>
        </is>
      </c>
      <c r="J3" s="29" t="n">
        <v>141745.88</v>
      </c>
      <c r="K3" s="29">
        <f>(1-ISNUMBER(SEARCH("556",M3)))*(O3*SUMIFS(Premissas!$C$5:$C$44,Premissas!$A$5:$A$44,$A3,Premissas!$B$5:$B$44,$B3)+P3*SUMIFS(Premissas!$D$5:$D$44,Premissas!$A$5:$A$44,$A3,Premissas!$B$5:$B$44,$B3))+R3*SUMIFS(Premissas!$E$5:$E$44,Premissas!$A$5:$A$44,$A3,Premissas!$B$5:$B$44,$B3)+S3*SUMIFS(Premissas!$F$5:$F$44,Premissas!$A$5:$A$44,$A3,Premissas!$B$5:$B$44,$B3)</f>
        <v/>
      </c>
      <c r="L3" s="29">
        <f>J3-K3</f>
        <v/>
      </c>
      <c r="M3" t="inlineStr">
        <is>
          <t>1.556</t>
        </is>
      </c>
      <c r="O3" s="29" t="n">
        <v>4461.73</v>
      </c>
      <c r="P3" s="29" t="n">
        <v>9609.889999999999</v>
      </c>
      <c r="Q3" s="29" t="n">
        <v>0</v>
      </c>
      <c r="R3" s="29" t="n">
        <v>2106.63</v>
      </c>
      <c r="S3" s="29" t="n">
        <v>9703.24</v>
      </c>
      <c r="T3" t="inlineStr">
        <is>
          <t>42251111308600000804550010000113431829684230</t>
        </is>
      </c>
      <c r="U3" t="inlineStr">
        <is>
          <t>Sim</t>
        </is>
      </c>
    </row>
    <row r="4">
      <c r="A4" t="inlineStr">
        <is>
          <t>Insumos e papel</t>
        </is>
      </c>
      <c r="B4" t="inlineStr">
        <is>
          <t>2.01.03 Compra de Matéria Prima (Papel)</t>
        </is>
      </c>
      <c r="C4" t="inlineStr">
        <is>
          <t>Antes de 2026</t>
        </is>
      </c>
      <c r="D4" t="inlineStr">
        <is>
          <t>Antes de 2026</t>
        </is>
      </c>
      <c r="E4" s="28" t="n">
        <v>45987</v>
      </c>
      <c r="F4" t="inlineStr">
        <is>
          <t>NF-e</t>
        </is>
      </c>
      <c r="G4" t="inlineStr">
        <is>
          <t>000011345</t>
        </is>
      </c>
      <c r="H4" t="inlineStr">
        <is>
          <t>CMPC Iguacu Embalagens Ltda</t>
        </is>
      </c>
      <c r="I4" t="inlineStr">
        <is>
          <t>11.308.600/0008-04</t>
        </is>
      </c>
      <c r="J4" s="29" t="n">
        <v>142813.51</v>
      </c>
      <c r="K4" s="29">
        <f>(1-ISNUMBER(SEARCH("556",M4)))*(O4*SUMIFS(Premissas!$C$5:$C$44,Premissas!$A$5:$A$44,$A4,Premissas!$B$5:$B$44,$B4)+P4*SUMIFS(Premissas!$D$5:$D$44,Premissas!$A$5:$A$44,$A4,Premissas!$B$5:$B$44,$B4))+R4*SUMIFS(Premissas!$E$5:$E$44,Premissas!$A$5:$A$44,$A4,Premissas!$B$5:$B$44,$B4)+S4*SUMIFS(Premissas!$F$5:$F$44,Premissas!$A$5:$A$44,$A4,Premissas!$B$5:$B$44,$B4)</f>
        <v/>
      </c>
      <c r="L4" s="29">
        <f>J4-K4</f>
        <v/>
      </c>
      <c r="M4" t="inlineStr">
        <is>
          <t>1.556</t>
        </is>
      </c>
      <c r="O4" s="29" t="n">
        <v>4495.35</v>
      </c>
      <c r="P4" s="29" t="n">
        <v>9682.280000000001</v>
      </c>
      <c r="Q4" s="29" t="n">
        <v>0</v>
      </c>
      <c r="R4" s="29" t="n">
        <v>2122.5</v>
      </c>
      <c r="S4" s="29" t="n">
        <v>9776.33</v>
      </c>
      <c r="T4" t="inlineStr">
        <is>
          <t>42251111308600000804550010000113451850775707</t>
        </is>
      </c>
      <c r="U4" t="inlineStr">
        <is>
          <t>Sim</t>
        </is>
      </c>
    </row>
    <row r="5">
      <c r="A5" t="inlineStr">
        <is>
          <t>Insumos e papel</t>
        </is>
      </c>
      <c r="B5" t="inlineStr">
        <is>
          <t>2.01.03 Compra de Matéria Prima (Papel)</t>
        </is>
      </c>
      <c r="C5" t="inlineStr">
        <is>
          <t>Antes de 2026</t>
        </is>
      </c>
      <c r="D5" t="inlineStr">
        <is>
          <t>Antes de 2026</t>
        </is>
      </c>
      <c r="E5" s="28" t="n">
        <v>45987</v>
      </c>
      <c r="F5" t="inlineStr">
        <is>
          <t>NF-e</t>
        </is>
      </c>
      <c r="G5" t="inlineStr">
        <is>
          <t>000011351</t>
        </is>
      </c>
      <c r="H5" t="inlineStr">
        <is>
          <t>CMPC Iguacu Embalagens Ltda</t>
        </is>
      </c>
      <c r="I5" t="inlineStr">
        <is>
          <t>11.308.600/0008-04</t>
        </is>
      </c>
      <c r="J5" s="29" t="n">
        <v>142781.47</v>
      </c>
      <c r="K5" s="29">
        <f>(1-ISNUMBER(SEARCH("556",M5)))*(O5*SUMIFS(Premissas!$C$5:$C$44,Premissas!$A$5:$A$44,$A5,Premissas!$B$5:$B$44,$B5)+P5*SUMIFS(Premissas!$D$5:$D$44,Premissas!$A$5:$A$44,$A5,Premissas!$B$5:$B$44,$B5))+R5*SUMIFS(Premissas!$E$5:$E$44,Premissas!$A$5:$A$44,$A5,Premissas!$B$5:$B$44,$B5)+S5*SUMIFS(Premissas!$F$5:$F$44,Premissas!$A$5:$A$44,$A5,Premissas!$B$5:$B$44,$B5)</f>
        <v/>
      </c>
      <c r="L5" s="29">
        <f>J5-K5</f>
        <v/>
      </c>
      <c r="M5" t="inlineStr">
        <is>
          <t>1.556</t>
        </is>
      </c>
      <c r="O5" s="29" t="n">
        <v>4494.33</v>
      </c>
      <c r="P5" s="29" t="n">
        <v>9680.1</v>
      </c>
      <c r="Q5" s="29" t="n">
        <v>0</v>
      </c>
      <c r="R5" s="29" t="n">
        <v>2122.02</v>
      </c>
      <c r="S5" s="29" t="n">
        <v>9774.129999999999</v>
      </c>
      <c r="T5" t="inlineStr">
        <is>
          <t>42251111308600000804550010000113511013693932</t>
        </is>
      </c>
      <c r="U5" t="inlineStr">
        <is>
          <t>Sim</t>
        </is>
      </c>
    </row>
    <row r="6">
      <c r="A6" t="inlineStr">
        <is>
          <t>Insumos e papel</t>
        </is>
      </c>
      <c r="B6" t="inlineStr">
        <is>
          <t>2.01.03 Compra de Matéria Prima (Papel)</t>
        </is>
      </c>
      <c r="C6" t="inlineStr">
        <is>
          <t>Antes de 2026</t>
        </is>
      </c>
      <c r="D6" t="inlineStr">
        <is>
          <t>Antes de 2026</t>
        </is>
      </c>
      <c r="E6" s="28" t="n">
        <v>45988</v>
      </c>
      <c r="F6" t="inlineStr">
        <is>
          <t>NF-e</t>
        </is>
      </c>
      <c r="G6" t="inlineStr">
        <is>
          <t>000011363</t>
        </is>
      </c>
      <c r="H6" t="inlineStr">
        <is>
          <t>CMPC Iguacu Embalagens Ltda</t>
        </is>
      </c>
      <c r="I6" t="inlineStr">
        <is>
          <t>11.308.600/0008-04</t>
        </is>
      </c>
      <c r="J6" s="29" t="n">
        <v>142674.71</v>
      </c>
      <c r="K6" s="29">
        <f>(1-ISNUMBER(SEARCH("556",M6)))*(O6*SUMIFS(Premissas!$C$5:$C$44,Premissas!$A$5:$A$44,$A6,Premissas!$B$5:$B$44,$B6)+P6*SUMIFS(Premissas!$D$5:$D$44,Premissas!$A$5:$A$44,$A6,Premissas!$B$5:$B$44,$B6))+R6*SUMIFS(Premissas!$E$5:$E$44,Premissas!$A$5:$A$44,$A6,Premissas!$B$5:$B$44,$B6)+S6*SUMIFS(Premissas!$F$5:$F$44,Premissas!$A$5:$A$44,$A6,Premissas!$B$5:$B$44,$B6)</f>
        <v/>
      </c>
      <c r="L6" s="29">
        <f>J6-K6</f>
        <v/>
      </c>
      <c r="M6" t="inlineStr">
        <is>
          <t>1.556</t>
        </is>
      </c>
      <c r="O6" s="29" t="n">
        <v>4490.97</v>
      </c>
      <c r="P6" s="29" t="n">
        <v>9672.860000000001</v>
      </c>
      <c r="Q6" s="29" t="n">
        <v>0</v>
      </c>
      <c r="R6" s="29" t="n">
        <v>2120.43</v>
      </c>
      <c r="S6" s="29" t="n">
        <v>9766.82</v>
      </c>
      <c r="T6" t="inlineStr">
        <is>
          <t>42251111308600000804550010000113631208495570</t>
        </is>
      </c>
      <c r="U6" t="inlineStr">
        <is>
          <t>Sim</t>
        </is>
      </c>
    </row>
    <row r="7">
      <c r="A7" t="inlineStr">
        <is>
          <t>Insumos e papel</t>
        </is>
      </c>
      <c r="B7" t="inlineStr">
        <is>
          <t>2.01.03 Compra de Matéria Prima (Papel)</t>
        </is>
      </c>
      <c r="C7" t="inlineStr">
        <is>
          <t>Antes de 2026</t>
        </is>
      </c>
      <c r="D7" t="inlineStr">
        <is>
          <t>Antes de 2026</t>
        </is>
      </c>
      <c r="E7" s="28" t="n">
        <v>45989</v>
      </c>
      <c r="F7" t="inlineStr">
        <is>
          <t>NF-e</t>
        </is>
      </c>
      <c r="G7" t="inlineStr">
        <is>
          <t>000011391</t>
        </is>
      </c>
      <c r="H7" t="inlineStr">
        <is>
          <t>CMPC Iguacu Embalagens Ltda</t>
        </is>
      </c>
      <c r="I7" t="inlineStr">
        <is>
          <t>11.308.600/0008-04</t>
        </is>
      </c>
      <c r="J7" s="29" t="n">
        <v>143069.72</v>
      </c>
      <c r="K7" s="29">
        <f>(1-ISNUMBER(SEARCH("556",M7)))*(O7*SUMIFS(Premissas!$C$5:$C$44,Premissas!$A$5:$A$44,$A7,Premissas!$B$5:$B$44,$B7)+P7*SUMIFS(Premissas!$D$5:$D$44,Premissas!$A$5:$A$44,$A7,Premissas!$B$5:$B$44,$B7))+R7*SUMIFS(Premissas!$E$5:$E$44,Premissas!$A$5:$A$44,$A7,Premissas!$B$5:$B$44,$B7)+S7*SUMIFS(Premissas!$F$5:$F$44,Premissas!$A$5:$A$44,$A7,Premissas!$B$5:$B$44,$B7)</f>
        <v/>
      </c>
      <c r="L7" s="29">
        <f>J7-K7</f>
        <v/>
      </c>
      <c r="M7" t="inlineStr">
        <is>
          <t>1.556</t>
        </is>
      </c>
      <c r="O7" s="29" t="n">
        <v>4503.4</v>
      </c>
      <c r="P7" s="29" t="n">
        <v>9699.639999999999</v>
      </c>
      <c r="Q7" s="29" t="n">
        <v>0</v>
      </c>
      <c r="R7" s="29" t="n">
        <v>2126.31</v>
      </c>
      <c r="S7" s="29" t="n">
        <v>9793.860000000001</v>
      </c>
      <c r="T7" t="inlineStr">
        <is>
          <t>42251111308600000804550010000113911479561808</t>
        </is>
      </c>
      <c r="U7" t="inlineStr">
        <is>
          <t>Sim</t>
        </is>
      </c>
    </row>
    <row r="8">
      <c r="A8" t="inlineStr">
        <is>
          <t>Insumos e papel</t>
        </is>
      </c>
      <c r="B8" t="inlineStr">
        <is>
          <t>2.01.03 Compra de Matéria Prima (Papel)</t>
        </is>
      </c>
      <c r="C8" t="inlineStr">
        <is>
          <t>Antes de 2026</t>
        </is>
      </c>
      <c r="D8" t="inlineStr">
        <is>
          <t>Antes de 2026</t>
        </is>
      </c>
      <c r="E8" s="28" t="n">
        <v>46010</v>
      </c>
      <c r="F8" t="inlineStr">
        <is>
          <t>NF-e</t>
        </is>
      </c>
      <c r="G8" t="inlineStr">
        <is>
          <t>000011668</t>
        </is>
      </c>
      <c r="H8" t="inlineStr">
        <is>
          <t>CMPC Iguacu Embalagens Ltda</t>
        </is>
      </c>
      <c r="I8" t="inlineStr">
        <is>
          <t>11.308.600/0008-04</t>
        </is>
      </c>
      <c r="J8" s="29" t="n">
        <v>140406.05</v>
      </c>
      <c r="K8" s="29">
        <f>(1-ISNUMBER(SEARCH("556",M8)))*(O8*SUMIFS(Premissas!$C$5:$C$44,Premissas!$A$5:$A$44,$A8,Premissas!$B$5:$B$44,$B8)+P8*SUMIFS(Premissas!$D$5:$D$44,Premissas!$A$5:$A$44,$A8,Premissas!$B$5:$B$44,$B8))+R8*SUMIFS(Premissas!$E$5:$E$44,Premissas!$A$5:$A$44,$A8,Premissas!$B$5:$B$44,$B8)+S8*SUMIFS(Premissas!$F$5:$F$44,Premissas!$A$5:$A$44,$A8,Premissas!$B$5:$B$44,$B8)</f>
        <v/>
      </c>
      <c r="L8" s="29">
        <f>J8-K8</f>
        <v/>
      </c>
      <c r="M8" t="inlineStr">
        <is>
          <t>1.556</t>
        </is>
      </c>
      <c r="O8" s="29" t="n">
        <v>4419.56</v>
      </c>
      <c r="P8" s="29" t="n">
        <v>9519.049999999999</v>
      </c>
      <c r="Q8" s="29" t="n">
        <v>0</v>
      </c>
      <c r="R8" s="29" t="n">
        <v>2086.71</v>
      </c>
      <c r="S8" s="29" t="n">
        <v>9611.530000000001</v>
      </c>
      <c r="T8" t="inlineStr">
        <is>
          <t>42251211308600000804550010000116681939310856</t>
        </is>
      </c>
      <c r="U8" t="inlineStr">
        <is>
          <t>Sim</t>
        </is>
      </c>
    </row>
    <row r="9">
      <c r="A9" t="inlineStr">
        <is>
          <t>Insumos e papel</t>
        </is>
      </c>
      <c r="B9" t="inlineStr">
        <is>
          <t>2.01.03 Compra de Matéria Prima (Papel)</t>
        </is>
      </c>
      <c r="C9" t="inlineStr">
        <is>
          <t>Antes de 2026</t>
        </is>
      </c>
      <c r="D9" t="inlineStr">
        <is>
          <t>Antes de 2026</t>
        </is>
      </c>
      <c r="E9" s="28" t="n">
        <v>46010</v>
      </c>
      <c r="F9" t="inlineStr">
        <is>
          <t>NF-e</t>
        </is>
      </c>
      <c r="G9" t="inlineStr">
        <is>
          <t>000011671</t>
        </is>
      </c>
      <c r="H9" t="inlineStr">
        <is>
          <t>CMPC Iguacu Embalagens Ltda</t>
        </is>
      </c>
      <c r="I9" t="inlineStr">
        <is>
          <t>11.308.600/0008-04</t>
        </is>
      </c>
      <c r="J9" s="29" t="n">
        <v>141078.64</v>
      </c>
      <c r="K9" s="29">
        <f>(1-ISNUMBER(SEARCH("556",M9)))*(O9*SUMIFS(Premissas!$C$5:$C$44,Premissas!$A$5:$A$44,$A9,Premissas!$B$5:$B$44,$B9)+P9*SUMIFS(Premissas!$D$5:$D$44,Premissas!$A$5:$A$44,$A9,Premissas!$B$5:$B$44,$B9))+R9*SUMIFS(Premissas!$E$5:$E$44,Premissas!$A$5:$A$44,$A9,Premissas!$B$5:$B$44,$B9)+S9*SUMIFS(Premissas!$F$5:$F$44,Premissas!$A$5:$A$44,$A9,Premissas!$B$5:$B$44,$B9)</f>
        <v/>
      </c>
      <c r="L9" s="29">
        <f>J9-K9</f>
        <v/>
      </c>
      <c r="M9" t="inlineStr">
        <is>
          <t>1.556</t>
        </is>
      </c>
      <c r="O9" s="29" t="n">
        <v>4440.73</v>
      </c>
      <c r="P9" s="29" t="n">
        <v>9564.65</v>
      </c>
      <c r="Q9" s="29" t="n">
        <v>0</v>
      </c>
      <c r="R9" s="29" t="n">
        <v>2096.71</v>
      </c>
      <c r="S9" s="29" t="n">
        <v>9657.57</v>
      </c>
      <c r="T9" t="inlineStr">
        <is>
          <t>42251211308600000804550010000116711149865088</t>
        </is>
      </c>
      <c r="U9" t="inlineStr">
        <is>
          <t>Sim</t>
        </is>
      </c>
    </row>
    <row r="10">
      <c r="A10" t="inlineStr">
        <is>
          <t>Insumos e papel</t>
        </is>
      </c>
      <c r="B10" t="inlineStr">
        <is>
          <t>2.01.03 Compra de Matéria Prima (Papel)</t>
        </is>
      </c>
      <c r="C10" t="inlineStr">
        <is>
          <t>Antes de 2026</t>
        </is>
      </c>
      <c r="D10" t="inlineStr">
        <is>
          <t>Antes de 2026</t>
        </is>
      </c>
      <c r="E10" s="28" t="n">
        <v>46010</v>
      </c>
      <c r="F10" t="inlineStr">
        <is>
          <t>NF-e</t>
        </is>
      </c>
      <c r="G10" t="inlineStr">
        <is>
          <t>000011682</t>
        </is>
      </c>
      <c r="H10" t="inlineStr">
        <is>
          <t>CMPC Iguacu Embalagens Ltda</t>
        </is>
      </c>
      <c r="I10" t="inlineStr">
        <is>
          <t>11.308.600/0008-04</t>
        </is>
      </c>
      <c r="J10" s="29" t="n">
        <v>141238.77</v>
      </c>
      <c r="K10" s="29">
        <f>(1-ISNUMBER(SEARCH("556",M10)))*(O10*SUMIFS(Premissas!$C$5:$C$44,Premissas!$A$5:$A$44,$A10,Premissas!$B$5:$B$44,$B10)+P10*SUMIFS(Premissas!$D$5:$D$44,Premissas!$A$5:$A$44,$A10,Premissas!$B$5:$B$44,$B10))+R10*SUMIFS(Premissas!$E$5:$E$44,Premissas!$A$5:$A$44,$A10,Premissas!$B$5:$B$44,$B10)+S10*SUMIFS(Premissas!$F$5:$F$44,Premissas!$A$5:$A$44,$A10,Premissas!$B$5:$B$44,$B10)</f>
        <v/>
      </c>
      <c r="L10" s="29">
        <f>J10-K10</f>
        <v/>
      </c>
      <c r="M10" t="inlineStr">
        <is>
          <t>1.556</t>
        </is>
      </c>
      <c r="O10" s="29" t="n">
        <v>4445.77</v>
      </c>
      <c r="P10" s="29" t="n">
        <v>9575.51</v>
      </c>
      <c r="Q10" s="29" t="n">
        <v>0</v>
      </c>
      <c r="R10" s="29" t="n">
        <v>2099.09</v>
      </c>
      <c r="S10" s="29" t="n">
        <v>9668.530000000001</v>
      </c>
      <c r="T10" t="inlineStr">
        <is>
          <t>42251211308600000804550010000116821467192897</t>
        </is>
      </c>
      <c r="U10" t="inlineStr">
        <is>
          <t>Sim</t>
        </is>
      </c>
    </row>
    <row r="11">
      <c r="A11" t="inlineStr">
        <is>
          <t>Insumos e papel</t>
        </is>
      </c>
      <c r="B11" t="inlineStr">
        <is>
          <t>2.01.03 Compra de Matéria Prima (Papel)</t>
        </is>
      </c>
      <c r="C11" t="inlineStr">
        <is>
          <t>Antes de 2026</t>
        </is>
      </c>
      <c r="D11" t="inlineStr">
        <is>
          <t>Antes de 2026</t>
        </is>
      </c>
      <c r="E11" s="28" t="n">
        <v>46010</v>
      </c>
      <c r="F11" t="inlineStr">
        <is>
          <t>NF-e</t>
        </is>
      </c>
      <c r="G11" t="inlineStr">
        <is>
          <t>000011684</t>
        </is>
      </c>
      <c r="H11" t="inlineStr">
        <is>
          <t>CMPC Iguacu Embalagens Ltda</t>
        </is>
      </c>
      <c r="I11" t="inlineStr">
        <is>
          <t>11.308.600/0008-04</t>
        </is>
      </c>
      <c r="J11" s="29" t="n">
        <v>142503.91</v>
      </c>
      <c r="K11" s="29">
        <f>(1-ISNUMBER(SEARCH("556",M11)))*(O11*SUMIFS(Premissas!$C$5:$C$44,Premissas!$A$5:$A$44,$A11,Premissas!$B$5:$B$44,$B11)+P11*SUMIFS(Premissas!$D$5:$D$44,Premissas!$A$5:$A$44,$A11,Premissas!$B$5:$B$44,$B11))+R11*SUMIFS(Premissas!$E$5:$E$44,Premissas!$A$5:$A$44,$A11,Premissas!$B$5:$B$44,$B11)+S11*SUMIFS(Premissas!$F$5:$F$44,Premissas!$A$5:$A$44,$A11,Premissas!$B$5:$B$44,$B11)</f>
        <v/>
      </c>
      <c r="L11" s="29">
        <f>J11-K11</f>
        <v/>
      </c>
      <c r="M11" t="inlineStr">
        <is>
          <t>1.556</t>
        </is>
      </c>
      <c r="O11" s="29" t="n">
        <v>4485.6</v>
      </c>
      <c r="P11" s="29" t="n">
        <v>9661.290000000001</v>
      </c>
      <c r="Q11" s="29" t="n">
        <v>0</v>
      </c>
      <c r="R11" s="29" t="n">
        <v>2117.88</v>
      </c>
      <c r="S11" s="29" t="n">
        <v>9755.129999999999</v>
      </c>
      <c r="T11" t="inlineStr">
        <is>
          <t>42251211308600000804550010000116841491010897</t>
        </is>
      </c>
      <c r="U11" t="inlineStr">
        <is>
          <t>Sim</t>
        </is>
      </c>
    </row>
    <row r="12">
      <c r="A12" t="inlineStr">
        <is>
          <t>Insumos e papel</t>
        </is>
      </c>
      <c r="B12" t="inlineStr">
        <is>
          <t>2.01.03 Compra de Matéria Prima (Papel)</t>
        </is>
      </c>
      <c r="C12" t="inlineStr">
        <is>
          <t>Antes de 2026</t>
        </is>
      </c>
      <c r="D12" t="inlineStr">
        <is>
          <t>Antes de 2026</t>
        </is>
      </c>
      <c r="E12" s="28" t="n">
        <v>46013</v>
      </c>
      <c r="F12" t="inlineStr">
        <is>
          <t>NF-e</t>
        </is>
      </c>
      <c r="G12" t="inlineStr">
        <is>
          <t>000011695</t>
        </is>
      </c>
      <c r="H12" t="inlineStr">
        <is>
          <t>CMPC Iguacu Embalagens Ltda</t>
        </is>
      </c>
      <c r="I12" t="inlineStr">
        <is>
          <t>11.308.600/0008-04</t>
        </is>
      </c>
      <c r="J12" s="29" t="n">
        <v>144628.42</v>
      </c>
      <c r="K12" s="29">
        <f>(1-ISNUMBER(SEARCH("556",M12)))*(O12*SUMIFS(Premissas!$C$5:$C$44,Premissas!$A$5:$A$44,$A12,Premissas!$B$5:$B$44,$B12)+P12*SUMIFS(Premissas!$D$5:$D$44,Premissas!$A$5:$A$44,$A12,Premissas!$B$5:$B$44,$B12))+R12*SUMIFS(Premissas!$E$5:$E$44,Premissas!$A$5:$A$44,$A12,Premissas!$B$5:$B$44,$B12)+S12*SUMIFS(Premissas!$F$5:$F$44,Premissas!$A$5:$A$44,$A12,Premissas!$B$5:$B$44,$B12)</f>
        <v/>
      </c>
      <c r="L12" s="29">
        <f>J12-K12</f>
        <v/>
      </c>
      <c r="M12" t="inlineStr">
        <is>
          <t>1.556</t>
        </is>
      </c>
      <c r="O12" s="29" t="n">
        <v>4552.47</v>
      </c>
      <c r="P12" s="29" t="n">
        <v>9805.32</v>
      </c>
      <c r="Q12" s="29" t="n">
        <v>0</v>
      </c>
      <c r="R12" s="29" t="n">
        <v>2149.47</v>
      </c>
      <c r="S12" s="29" t="n">
        <v>9900.57</v>
      </c>
      <c r="T12" t="inlineStr">
        <is>
          <t>42251211308600000804550010000116951249522222</t>
        </is>
      </c>
      <c r="U12" t="inlineStr">
        <is>
          <t>Sim</t>
        </is>
      </c>
    </row>
    <row r="13">
      <c r="A13" t="inlineStr">
        <is>
          <t>Insumos e papel</t>
        </is>
      </c>
      <c r="B13" t="inlineStr">
        <is>
          <t>2.01.03 Compra de Matéria Prima (Papel)</t>
        </is>
      </c>
      <c r="C13" t="inlineStr">
        <is>
          <t>Antes de 2026</t>
        </is>
      </c>
      <c r="D13" t="inlineStr">
        <is>
          <t>Antes de 2026</t>
        </is>
      </c>
      <c r="E13" s="28" t="n">
        <v>46013</v>
      </c>
      <c r="F13" t="inlineStr">
        <is>
          <t>NF-e</t>
        </is>
      </c>
      <c r="G13" t="inlineStr">
        <is>
          <t>000011698</t>
        </is>
      </c>
      <c r="H13" t="inlineStr">
        <is>
          <t>CMPC Iguacu Embalagens Ltda</t>
        </is>
      </c>
      <c r="I13" t="inlineStr">
        <is>
          <t>11.308.600/0008-04</t>
        </is>
      </c>
      <c r="J13" s="29" t="n">
        <v>143576.83</v>
      </c>
      <c r="K13" s="29">
        <f>(1-ISNUMBER(SEARCH("556",M13)))*(O13*SUMIFS(Premissas!$C$5:$C$44,Premissas!$A$5:$A$44,$A13,Premissas!$B$5:$B$44,$B13)+P13*SUMIFS(Premissas!$D$5:$D$44,Premissas!$A$5:$A$44,$A13,Premissas!$B$5:$B$44,$B13))+R13*SUMIFS(Premissas!$E$5:$E$44,Premissas!$A$5:$A$44,$A13,Premissas!$B$5:$B$44,$B13)+S13*SUMIFS(Premissas!$F$5:$F$44,Premissas!$A$5:$A$44,$A13,Premissas!$B$5:$B$44,$B13)</f>
        <v/>
      </c>
      <c r="L13" s="29">
        <f>J13-K13</f>
        <v/>
      </c>
      <c r="M13" t="inlineStr">
        <is>
          <t>1.556</t>
        </is>
      </c>
      <c r="O13" s="29" t="n">
        <v>4519.36</v>
      </c>
      <c r="P13" s="29" t="n">
        <v>9734.030000000001</v>
      </c>
      <c r="Q13" s="29" t="n">
        <v>0</v>
      </c>
      <c r="R13" s="29" t="n">
        <v>2133.84</v>
      </c>
      <c r="S13" s="29" t="n">
        <v>9828.58</v>
      </c>
      <c r="T13" t="inlineStr">
        <is>
          <t>42251211308600000804550010000116981323734099</t>
        </is>
      </c>
      <c r="U13" t="inlineStr">
        <is>
          <t>Sim</t>
        </is>
      </c>
    </row>
    <row r="14">
      <c r="A14" t="inlineStr">
        <is>
          <t>Insumos e papel</t>
        </is>
      </c>
      <c r="B14" t="inlineStr">
        <is>
          <t>2.01.03 Compra de Matéria Prima (Papel)</t>
        </is>
      </c>
      <c r="C14" t="inlineStr">
        <is>
          <t>Antes de 2026</t>
        </is>
      </c>
      <c r="D14" t="inlineStr">
        <is>
          <t>Antes de 2026</t>
        </is>
      </c>
      <c r="E14" s="28" t="n">
        <v>46013</v>
      </c>
      <c r="F14" t="inlineStr">
        <is>
          <t>NF-e</t>
        </is>
      </c>
      <c r="G14" t="inlineStr">
        <is>
          <t>000011702</t>
        </is>
      </c>
      <c r="H14" t="inlineStr">
        <is>
          <t>CMPC Iguacu Embalagens Ltda</t>
        </is>
      </c>
      <c r="I14" t="inlineStr">
        <is>
          <t>11.308.600/0008-04</t>
        </is>
      </c>
      <c r="J14" s="29" t="n">
        <v>144591.05</v>
      </c>
      <c r="K14" s="29">
        <f>(1-ISNUMBER(SEARCH("556",M14)))*(O14*SUMIFS(Premissas!$C$5:$C$44,Premissas!$A$5:$A$44,$A14,Premissas!$B$5:$B$44,$B14)+P14*SUMIFS(Premissas!$D$5:$D$44,Premissas!$A$5:$A$44,$A14,Premissas!$B$5:$B$44,$B14))+R14*SUMIFS(Premissas!$E$5:$E$44,Premissas!$A$5:$A$44,$A14,Premissas!$B$5:$B$44,$B14)+S14*SUMIFS(Premissas!$F$5:$F$44,Premissas!$A$5:$A$44,$A14,Premissas!$B$5:$B$44,$B14)</f>
        <v/>
      </c>
      <c r="L14" s="29">
        <f>J14-K14</f>
        <v/>
      </c>
      <c r="M14" t="inlineStr">
        <is>
          <t>1.556</t>
        </is>
      </c>
      <c r="O14" s="29" t="n">
        <v>4551.29</v>
      </c>
      <c r="P14" s="29" t="n">
        <v>9802.790000000001</v>
      </c>
      <c r="Q14" s="29" t="n">
        <v>0</v>
      </c>
      <c r="R14" s="29" t="n">
        <v>2148.91</v>
      </c>
      <c r="S14" s="29" t="n">
        <v>9898.01</v>
      </c>
      <c r="T14" t="inlineStr">
        <is>
          <t>42251211308600000804550010000117021378029723</t>
        </is>
      </c>
      <c r="U14" t="inlineStr">
        <is>
          <t>Sim</t>
        </is>
      </c>
    </row>
    <row r="15">
      <c r="A15" t="inlineStr">
        <is>
          <t>Insumos e papel</t>
        </is>
      </c>
      <c r="B15" t="inlineStr">
        <is>
          <t>2.01.03 Compra de Matéria Prima (Papel)</t>
        </is>
      </c>
      <c r="C15" t="inlineStr">
        <is>
          <t>Antes de 2026</t>
        </is>
      </c>
      <c r="D15" t="inlineStr">
        <is>
          <t>Antes de 2026</t>
        </is>
      </c>
      <c r="E15" s="28" t="n">
        <v>46013</v>
      </c>
      <c r="F15" t="inlineStr">
        <is>
          <t>NF-e</t>
        </is>
      </c>
      <c r="G15" t="inlineStr">
        <is>
          <t>000011704</t>
        </is>
      </c>
      <c r="H15" t="inlineStr">
        <is>
          <t>CMPC Iguacu Embalagens Ltda</t>
        </is>
      </c>
      <c r="I15" t="inlineStr">
        <is>
          <t>11.308.600/0008-04</t>
        </is>
      </c>
      <c r="J15" s="29" t="n">
        <v>142904.24</v>
      </c>
      <c r="K15" s="29">
        <f>(1-ISNUMBER(SEARCH("556",M15)))*(O15*SUMIFS(Premissas!$C$5:$C$44,Premissas!$A$5:$A$44,$A15,Premissas!$B$5:$B$44,$B15)+P15*SUMIFS(Premissas!$D$5:$D$44,Premissas!$A$5:$A$44,$A15,Premissas!$B$5:$B$44,$B15))+R15*SUMIFS(Premissas!$E$5:$E$44,Premissas!$A$5:$A$44,$A15,Premissas!$B$5:$B$44,$B15)+S15*SUMIFS(Premissas!$F$5:$F$44,Premissas!$A$5:$A$44,$A15,Premissas!$B$5:$B$44,$B15)</f>
        <v/>
      </c>
      <c r="L15" s="29">
        <f>J15-K15</f>
        <v/>
      </c>
      <c r="M15" t="inlineStr">
        <is>
          <t>1.556</t>
        </is>
      </c>
      <c r="O15" s="29" t="n">
        <v>4498.2</v>
      </c>
      <c r="P15" s="29" t="n">
        <v>9688.42</v>
      </c>
      <c r="Q15" s="29" t="n">
        <v>0</v>
      </c>
      <c r="R15" s="29" t="n">
        <v>2123.84</v>
      </c>
      <c r="S15" s="29" t="n">
        <v>9782.540000000001</v>
      </c>
      <c r="T15" t="inlineStr">
        <is>
          <t>42251211308600000804550010000117041406031540</t>
        </is>
      </c>
      <c r="U15" t="inlineStr">
        <is>
          <t>Sim</t>
        </is>
      </c>
    </row>
    <row r="16">
      <c r="A16" t="inlineStr">
        <is>
          <t>Insumos e papel</t>
        </is>
      </c>
      <c r="B16" t="inlineStr">
        <is>
          <t>2.01.03 Compra de Matéria Prima (Papel)</t>
        </is>
      </c>
      <c r="C16" t="inlineStr">
        <is>
          <t>Antes de 2026</t>
        </is>
      </c>
      <c r="D16" t="inlineStr">
        <is>
          <t>Antes de 2026</t>
        </is>
      </c>
      <c r="E16" s="28" t="n">
        <v>46014</v>
      </c>
      <c r="F16" t="inlineStr">
        <is>
          <t>NF-e</t>
        </is>
      </c>
      <c r="G16" t="inlineStr">
        <is>
          <t>000011719</t>
        </is>
      </c>
      <c r="H16" t="inlineStr">
        <is>
          <t>CMPC Iguacu Embalagens Ltda</t>
        </is>
      </c>
      <c r="I16" t="inlineStr">
        <is>
          <t>11.308.600/0008-04</t>
        </is>
      </c>
      <c r="J16" s="29" t="n">
        <v>142039.47</v>
      </c>
      <c r="K16" s="29">
        <f>(1-ISNUMBER(SEARCH("556",M16)))*(O16*SUMIFS(Premissas!$C$5:$C$44,Premissas!$A$5:$A$44,$A16,Premissas!$B$5:$B$44,$B16)+P16*SUMIFS(Premissas!$D$5:$D$44,Premissas!$A$5:$A$44,$A16,Premissas!$B$5:$B$44,$B16))+R16*SUMIFS(Premissas!$E$5:$E$44,Premissas!$A$5:$A$44,$A16,Premissas!$B$5:$B$44,$B16)+S16*SUMIFS(Premissas!$F$5:$F$44,Premissas!$A$5:$A$44,$A16,Premissas!$B$5:$B$44,$B16)</f>
        <v/>
      </c>
      <c r="L16" s="29">
        <f>J16-K16</f>
        <v/>
      </c>
      <c r="M16" t="inlineStr">
        <is>
          <t>1.556</t>
        </is>
      </c>
      <c r="O16" s="29" t="n">
        <v>4470.97</v>
      </c>
      <c r="P16" s="29" t="n">
        <v>9629.799999999999</v>
      </c>
      <c r="Q16" s="29" t="n">
        <v>0</v>
      </c>
      <c r="R16" s="29" t="n">
        <v>2110.99</v>
      </c>
      <c r="S16" s="29" t="n">
        <v>9723.35</v>
      </c>
      <c r="T16" t="inlineStr">
        <is>
          <t>42251211308600000804550010000117191655238493</t>
        </is>
      </c>
      <c r="U16" t="inlineStr">
        <is>
          <t>Sim</t>
        </is>
      </c>
    </row>
    <row r="17">
      <c r="A17" t="inlineStr">
        <is>
          <t>Insumos e papel</t>
        </is>
      </c>
      <c r="B17" t="inlineStr">
        <is>
          <t>2.01.03 Compra de Matéria Prima (Papel)</t>
        </is>
      </c>
      <c r="C17" t="inlineStr">
        <is>
          <t>Antes de 2026</t>
        </is>
      </c>
      <c r="D17" t="inlineStr">
        <is>
          <t>Antes de 2026</t>
        </is>
      </c>
      <c r="E17" s="28" t="n">
        <v>46014</v>
      </c>
      <c r="F17" t="inlineStr">
        <is>
          <t>NF-e</t>
        </is>
      </c>
      <c r="G17" t="inlineStr">
        <is>
          <t>000011725</t>
        </is>
      </c>
      <c r="H17" t="inlineStr">
        <is>
          <t>CMPC Iguacu Embalagens Ltda</t>
        </is>
      </c>
      <c r="I17" t="inlineStr">
        <is>
          <t>11.308.600/0008-04</t>
        </is>
      </c>
      <c r="J17" s="29" t="n">
        <v>143699.6</v>
      </c>
      <c r="K17" s="29">
        <f>(1-ISNUMBER(SEARCH("556",M17)))*(O17*SUMIFS(Premissas!$C$5:$C$44,Premissas!$A$5:$A$44,$A17,Premissas!$B$5:$B$44,$B17)+P17*SUMIFS(Premissas!$D$5:$D$44,Premissas!$A$5:$A$44,$A17,Premissas!$B$5:$B$44,$B17))+R17*SUMIFS(Premissas!$E$5:$E$44,Premissas!$A$5:$A$44,$A17,Premissas!$B$5:$B$44,$B17)+S17*SUMIFS(Premissas!$F$5:$F$44,Premissas!$A$5:$A$44,$A17,Premissas!$B$5:$B$44,$B17)</f>
        <v/>
      </c>
      <c r="L17" s="29">
        <f>J17-K17</f>
        <v/>
      </c>
      <c r="M17" t="inlineStr">
        <is>
          <t>1.556</t>
        </is>
      </c>
      <c r="O17" s="29" t="n">
        <v>4523.23</v>
      </c>
      <c r="P17" s="29" t="n">
        <v>9742.35</v>
      </c>
      <c r="Q17" s="29" t="n">
        <v>0</v>
      </c>
      <c r="R17" s="29" t="n">
        <v>2135.66</v>
      </c>
      <c r="S17" s="29" t="n">
        <v>9836.99</v>
      </c>
      <c r="T17" t="inlineStr">
        <is>
          <t>42251211308600000804550010000117251787632080</t>
        </is>
      </c>
      <c r="U17" t="inlineStr">
        <is>
          <t>Sim</t>
        </is>
      </c>
    </row>
    <row r="18">
      <c r="A18" t="inlineStr">
        <is>
          <t>Insumos e papel</t>
        </is>
      </c>
      <c r="B18" t="inlineStr">
        <is>
          <t>2.01.03 Compra de Matéria Prima (Papel)</t>
        </is>
      </c>
      <c r="C18" t="inlineStr">
        <is>
          <t>Antes de 2026</t>
        </is>
      </c>
      <c r="D18" t="inlineStr">
        <is>
          <t>Antes de 2026</t>
        </is>
      </c>
      <c r="E18" s="28" t="n">
        <v>46014</v>
      </c>
      <c r="F18" t="inlineStr">
        <is>
          <t>NF-e</t>
        </is>
      </c>
      <c r="G18" t="inlineStr">
        <is>
          <t>000011727</t>
        </is>
      </c>
      <c r="H18" t="inlineStr">
        <is>
          <t>CMPC Iguacu Embalagens Ltda</t>
        </is>
      </c>
      <c r="I18" t="inlineStr">
        <is>
          <t>11.308.600/0008-04</t>
        </is>
      </c>
      <c r="J18" s="29" t="n">
        <v>140438.08</v>
      </c>
      <c r="K18" s="29">
        <f>(1-ISNUMBER(SEARCH("556",M18)))*(O18*SUMIFS(Premissas!$C$5:$C$44,Premissas!$A$5:$A$44,$A18,Premissas!$B$5:$B$44,$B18)+P18*SUMIFS(Premissas!$D$5:$D$44,Premissas!$A$5:$A$44,$A18,Premissas!$B$5:$B$44,$B18))+R18*SUMIFS(Premissas!$E$5:$E$44,Premissas!$A$5:$A$44,$A18,Premissas!$B$5:$B$44,$B18)+S18*SUMIFS(Premissas!$F$5:$F$44,Premissas!$A$5:$A$44,$A18,Premissas!$B$5:$B$44,$B18)</f>
        <v/>
      </c>
      <c r="L18" s="29">
        <f>J18-K18</f>
        <v/>
      </c>
      <c r="M18" t="inlineStr">
        <is>
          <t>1.556</t>
        </is>
      </c>
      <c r="O18" s="29" t="n">
        <v>4420.57</v>
      </c>
      <c r="P18" s="29" t="n">
        <v>9521.23</v>
      </c>
      <c r="Q18" s="29" t="n">
        <v>0</v>
      </c>
      <c r="R18" s="29" t="n">
        <v>2087.19</v>
      </c>
      <c r="S18" s="29" t="n">
        <v>9613.719999999999</v>
      </c>
      <c r="T18" t="inlineStr">
        <is>
          <t>42251211308600000804550010000117271808488506</t>
        </is>
      </c>
      <c r="U18" t="inlineStr">
        <is>
          <t>Sim</t>
        </is>
      </c>
    </row>
    <row r="19">
      <c r="A19" t="inlineStr">
        <is>
          <t>Insumos e papel</t>
        </is>
      </c>
      <c r="B19" t="inlineStr">
        <is>
          <t>2.01.03 Compra de Matéria Prima (Papel)</t>
        </is>
      </c>
      <c r="C19" t="inlineStr">
        <is>
          <t>Antes de 2026</t>
        </is>
      </c>
      <c r="D19" t="inlineStr">
        <is>
          <t>Antes de 2026</t>
        </is>
      </c>
      <c r="E19" s="28" t="n">
        <v>46014</v>
      </c>
      <c r="F19" t="inlineStr">
        <is>
          <t>NF-e</t>
        </is>
      </c>
      <c r="G19" t="inlineStr">
        <is>
          <t>000011729</t>
        </is>
      </c>
      <c r="H19" t="inlineStr">
        <is>
          <t>CMPC Iguacu Embalagens Ltda</t>
        </is>
      </c>
      <c r="I19" t="inlineStr">
        <is>
          <t>11.308.600/0008-04</t>
        </is>
      </c>
      <c r="J19" s="29" t="n">
        <v>121242.55</v>
      </c>
      <c r="K19" s="29">
        <f>(1-ISNUMBER(SEARCH("556",M19)))*(O19*SUMIFS(Premissas!$C$5:$C$44,Premissas!$A$5:$A$44,$A19,Premissas!$B$5:$B$44,$B19)+P19*SUMIFS(Premissas!$D$5:$D$44,Premissas!$A$5:$A$44,$A19,Premissas!$B$5:$B$44,$B19))+R19*SUMIFS(Premissas!$E$5:$E$44,Premissas!$A$5:$A$44,$A19,Premissas!$B$5:$B$44,$B19)+S19*SUMIFS(Premissas!$F$5:$F$44,Premissas!$A$5:$A$44,$A19,Premissas!$B$5:$B$44,$B19)</f>
        <v/>
      </c>
      <c r="L19" s="29">
        <f>J19-K19</f>
        <v/>
      </c>
      <c r="M19" t="inlineStr">
        <is>
          <t>1.553</t>
        </is>
      </c>
      <c r="O19" s="29" t="n">
        <v>3816.36</v>
      </c>
      <c r="P19" s="29" t="n">
        <v>8219.84</v>
      </c>
      <c r="Q19" s="29" t="n">
        <v>0</v>
      </c>
      <c r="R19" s="29" t="n">
        <v>1801.91</v>
      </c>
      <c r="S19" s="29" t="n">
        <v>8299.67</v>
      </c>
      <c r="T19" t="inlineStr">
        <is>
          <t>42251211308600000804550010000117291826038619</t>
        </is>
      </c>
      <c r="U19" t="inlineStr">
        <is>
          <t>Sim</t>
        </is>
      </c>
    </row>
    <row r="20">
      <c r="A20" t="inlineStr">
        <is>
          <t>Insumos e papel</t>
        </is>
      </c>
      <c r="B20" t="inlineStr">
        <is>
          <t>2.01.03 Compra de Matéria Prima (Papel)</t>
        </is>
      </c>
      <c r="C20" t="inlineStr">
        <is>
          <t>Antes de 2026</t>
        </is>
      </c>
      <c r="D20" t="inlineStr">
        <is>
          <t>Antes de 2026</t>
        </is>
      </c>
      <c r="E20" s="28" t="n">
        <v>46003</v>
      </c>
      <c r="F20" t="inlineStr">
        <is>
          <t>NF-e</t>
        </is>
      </c>
      <c r="G20" t="inlineStr">
        <is>
          <t>000626235</t>
        </is>
      </c>
      <c r="H20" t="inlineStr">
        <is>
          <t>IRANI PAPEL E EMBALAGEM S.A.</t>
        </is>
      </c>
      <c r="I20" t="inlineStr">
        <is>
          <t>92.791.243/0002-94</t>
        </is>
      </c>
      <c r="J20" s="29" t="n">
        <v>162686.35</v>
      </c>
      <c r="K20" s="29">
        <f>(1-ISNUMBER(SEARCH("556",M20)))*(O20*SUMIFS(Premissas!$C$5:$C$44,Premissas!$A$5:$A$44,$A20,Premissas!$B$5:$B$44,$B20)+P20*SUMIFS(Premissas!$D$5:$D$44,Premissas!$A$5:$A$44,$A20,Premissas!$B$5:$B$44,$B20))+R20*SUMIFS(Premissas!$E$5:$E$44,Premissas!$A$5:$A$44,$A20,Premissas!$B$5:$B$44,$B20)+S20*SUMIFS(Premissas!$F$5:$F$44,Premissas!$A$5:$A$44,$A20,Premissas!$B$5:$B$44,$B20)</f>
        <v/>
      </c>
      <c r="L20" s="29">
        <f>J20-K20</f>
        <v/>
      </c>
      <c r="M20" t="inlineStr">
        <is>
          <t>2.102</t>
        </is>
      </c>
      <c r="O20" s="29" t="n">
        <v>5120.88</v>
      </c>
      <c r="P20" s="29" t="n">
        <v>11029.59</v>
      </c>
      <c r="Q20" s="29" t="n">
        <v>0</v>
      </c>
      <c r="R20" s="29" t="n">
        <v>2417.85</v>
      </c>
      <c r="S20" s="29" t="n">
        <v>11136.72</v>
      </c>
      <c r="T20" t="inlineStr">
        <is>
          <t>42251292791243000294550050006262351616274241</t>
        </is>
      </c>
      <c r="U20" t="inlineStr">
        <is>
          <t>Sim</t>
        </is>
      </c>
    </row>
    <row r="21">
      <c r="A21" t="inlineStr">
        <is>
          <t>Insumos e papel</t>
        </is>
      </c>
      <c r="B21" t="inlineStr">
        <is>
          <t>2.01.03 Compra de Matéria Prima (Papel)</t>
        </is>
      </c>
      <c r="C21" t="inlineStr">
        <is>
          <t>Antes de 2026</t>
        </is>
      </c>
      <c r="D21" t="inlineStr">
        <is>
          <t>Antes de 2026</t>
        </is>
      </c>
      <c r="E21" s="28" t="n">
        <v>46003</v>
      </c>
      <c r="F21" t="inlineStr">
        <is>
          <t>NF-e</t>
        </is>
      </c>
      <c r="G21" t="inlineStr">
        <is>
          <t>000626306</t>
        </is>
      </c>
      <c r="H21" t="inlineStr">
        <is>
          <t>IRANI PAPEL E EMBALAGEM S.A.</t>
        </is>
      </c>
      <c r="I21" t="inlineStr">
        <is>
          <t>92.791.243/0002-94</t>
        </is>
      </c>
      <c r="J21" s="29" t="n">
        <v>88909.00999999999</v>
      </c>
      <c r="K21" s="29">
        <f>(1-ISNUMBER(SEARCH("556",M21)))*(O21*SUMIFS(Premissas!$C$5:$C$44,Premissas!$A$5:$A$44,$A21,Premissas!$B$5:$B$44,$B21)+P21*SUMIFS(Premissas!$D$5:$D$44,Premissas!$A$5:$A$44,$A21,Premissas!$B$5:$B$44,$B21))+R21*SUMIFS(Premissas!$E$5:$E$44,Premissas!$A$5:$A$44,$A21,Premissas!$B$5:$B$44,$B21)+S21*SUMIFS(Premissas!$F$5:$F$44,Premissas!$A$5:$A$44,$A21,Premissas!$B$5:$B$44,$B21)</f>
        <v/>
      </c>
      <c r="L21" s="29">
        <f>J21-K21</f>
        <v/>
      </c>
      <c r="M21" t="inlineStr">
        <is>
          <t>2.102</t>
        </is>
      </c>
      <c r="O21" s="29" t="n">
        <v>2798.59</v>
      </c>
      <c r="P21" s="29" t="n">
        <v>6027.73</v>
      </c>
      <c r="Q21" s="29" t="n">
        <v>0</v>
      </c>
      <c r="R21" s="29" t="n">
        <v>1321.36</v>
      </c>
      <c r="S21" s="29" t="n">
        <v>6086.29</v>
      </c>
      <c r="T21" t="inlineStr">
        <is>
          <t>42251292791243000294550050006263061242318435</t>
        </is>
      </c>
      <c r="U21" t="inlineStr">
        <is>
          <t>Sim</t>
        </is>
      </c>
    </row>
    <row r="22">
      <c r="A22" t="inlineStr">
        <is>
          <t>Insumos e papel</t>
        </is>
      </c>
      <c r="B22" t="inlineStr">
        <is>
          <t>2.01.03 Compra de Matéria Prima (Papel)</t>
        </is>
      </c>
      <c r="C22" t="inlineStr">
        <is>
          <t>Antes de 2026</t>
        </is>
      </c>
      <c r="D22" t="inlineStr">
        <is>
          <t>Antes de 2026</t>
        </is>
      </c>
      <c r="E22" s="28" t="n">
        <v>46021</v>
      </c>
      <c r="F22" t="inlineStr">
        <is>
          <t>NF-e</t>
        </is>
      </c>
      <c r="G22" t="inlineStr">
        <is>
          <t>000011555</t>
        </is>
      </c>
      <c r="H22" t="inlineStr">
        <is>
          <t>NOVA CONPEL COMPANHIA NORDESTINA DE PAPEL LTDA</t>
        </is>
      </c>
      <c r="I22" t="inlineStr">
        <is>
          <t>55.330.530/0001-90</t>
        </is>
      </c>
      <c r="J22" s="29" t="n">
        <v>8842.33</v>
      </c>
      <c r="K22" s="29">
        <f>(1-ISNUMBER(SEARCH("556",M22)))*(O22*SUMIFS(Premissas!$C$5:$C$44,Premissas!$A$5:$A$44,$A22,Premissas!$B$5:$B$44,$B22)+P22*SUMIFS(Premissas!$D$5:$D$44,Premissas!$A$5:$A$44,$A22,Premissas!$B$5:$B$44,$B22))+R22*SUMIFS(Premissas!$E$5:$E$44,Premissas!$A$5:$A$44,$A22,Premissas!$B$5:$B$44,$B22)+S22*SUMIFS(Premissas!$F$5:$F$44,Premissas!$A$5:$A$44,$A22,Premissas!$B$5:$B$44,$B22)</f>
        <v/>
      </c>
      <c r="L22" s="29">
        <f>J22-K22</f>
        <v/>
      </c>
      <c r="M22" t="inlineStr">
        <is>
          <t>1.102</t>
        </is>
      </c>
      <c r="O22" s="29" t="n">
        <v>278.33</v>
      </c>
      <c r="P22" s="29" t="n">
        <v>1712.8</v>
      </c>
      <c r="Q22" s="29" t="n">
        <v>0</v>
      </c>
      <c r="R22" s="29" t="n">
        <v>113.04</v>
      </c>
      <c r="S22" s="29" t="n">
        <v>520.6900000000001</v>
      </c>
      <c r="T22" t="inlineStr">
        <is>
          <t>25251255330530000190550010000115551839819343</t>
        </is>
      </c>
      <c r="U22" t="inlineStr">
        <is>
          <t>Sim</t>
        </is>
      </c>
    </row>
    <row r="23">
      <c r="A23" t="inlineStr">
        <is>
          <t>Insumos e papel</t>
        </is>
      </c>
      <c r="B23" t="inlineStr">
        <is>
          <t>2.01.03 Compra de Matéria Prima (Papel)</t>
        </is>
      </c>
      <c r="C23" s="30" t="n">
        <v>46023</v>
      </c>
      <c r="D23" t="inlineStr">
        <is>
          <t>Em 2026</t>
        </is>
      </c>
      <c r="E23" s="28" t="n">
        <v>46050</v>
      </c>
      <c r="F23" t="inlineStr">
        <is>
          <t>NF-e</t>
        </is>
      </c>
      <c r="G23" t="inlineStr">
        <is>
          <t>000049422</t>
        </is>
      </c>
      <c r="H23" t="inlineStr">
        <is>
          <t>ANIN INDUSTRIA E COMERCIO DE PAPEL LTDA</t>
        </is>
      </c>
      <c r="I23" t="inlineStr">
        <is>
          <t>39.285.002/0001-00</t>
        </is>
      </c>
      <c r="J23" s="29" t="n">
        <v>78170.82000000001</v>
      </c>
      <c r="K23" s="29">
        <f>(1-ISNUMBER(SEARCH("556",M23)))*(O23*SUMIFS(Premissas!$C$5:$C$44,Premissas!$A$5:$A$44,$A23,Premissas!$B$5:$B$44,$B23)+P23*SUMIFS(Premissas!$D$5:$D$44,Premissas!$A$5:$A$44,$A23,Premissas!$B$5:$B$44,$B23))+R23*SUMIFS(Premissas!$E$5:$E$44,Premissas!$A$5:$A$44,$A23,Premissas!$B$5:$B$44,$B23)+S23*SUMIFS(Premissas!$F$5:$F$44,Premissas!$A$5:$A$44,$A23,Premissas!$B$5:$B$44,$B23)</f>
        <v/>
      </c>
      <c r="L23" s="29">
        <f>J23-K23</f>
        <v/>
      </c>
      <c r="M23" t="inlineStr">
        <is>
          <t>2.102</t>
        </is>
      </c>
      <c r="O23" s="29" t="n">
        <v>2460.57</v>
      </c>
      <c r="P23" s="29" t="n">
        <v>5299.71</v>
      </c>
      <c r="Q23" s="29" t="n">
        <v>0</v>
      </c>
      <c r="R23" s="29" t="n">
        <v>1161.77</v>
      </c>
      <c r="S23" s="29" t="n">
        <v>5351.19</v>
      </c>
      <c r="T23" t="inlineStr">
        <is>
          <t>35260139285002000100550010000494221039071649</t>
        </is>
      </c>
      <c r="U23" t="inlineStr">
        <is>
          <t>Sim</t>
        </is>
      </c>
    </row>
    <row r="24">
      <c r="A24" t="inlineStr">
        <is>
          <t>Insumos e papel</t>
        </is>
      </c>
      <c r="B24" t="inlineStr">
        <is>
          <t>2.01.03 Compra de Matéria Prima (Papel)</t>
        </is>
      </c>
      <c r="C24" s="30" t="n">
        <v>46023</v>
      </c>
      <c r="D24" t="inlineStr">
        <is>
          <t>Em 2026</t>
        </is>
      </c>
      <c r="E24" s="28" t="n">
        <v>46045</v>
      </c>
      <c r="F24" t="inlineStr">
        <is>
          <t>NF-e</t>
        </is>
      </c>
      <c r="G24" t="inlineStr">
        <is>
          <t>000012058</t>
        </is>
      </c>
      <c r="H24" t="inlineStr">
        <is>
          <t>CMPC Iguacu Embalagens Ltda</t>
        </is>
      </c>
      <c r="I24" t="inlineStr">
        <is>
          <t>11.308.600/0008-04</t>
        </is>
      </c>
      <c r="J24" s="29" t="n">
        <v>141809.94</v>
      </c>
      <c r="K24" s="29">
        <f>(1-ISNUMBER(SEARCH("556",M24)))*(O24*SUMIFS(Premissas!$C$5:$C$44,Premissas!$A$5:$A$44,$A24,Premissas!$B$5:$B$44,$B24)+P24*SUMIFS(Premissas!$D$5:$D$44,Premissas!$A$5:$A$44,$A24,Premissas!$B$5:$B$44,$B24))+R24*SUMIFS(Premissas!$E$5:$E$44,Premissas!$A$5:$A$44,$A24,Premissas!$B$5:$B$44,$B24)+S24*SUMIFS(Premissas!$F$5:$F$44,Premissas!$A$5:$A$44,$A24,Premissas!$B$5:$B$44,$B24)</f>
        <v/>
      </c>
      <c r="L24" s="29">
        <f>J24-K24</f>
        <v/>
      </c>
      <c r="M24" t="inlineStr">
        <is>
          <t>1.556</t>
        </is>
      </c>
      <c r="O24" s="29" t="n">
        <v>4463.75</v>
      </c>
      <c r="P24" s="29" t="n">
        <v>9614.23</v>
      </c>
      <c r="Q24" s="29" t="n">
        <v>0</v>
      </c>
      <c r="R24" s="29" t="n">
        <v>2107.58</v>
      </c>
      <c r="S24" s="29" t="n">
        <v>9707.629999999999</v>
      </c>
      <c r="T24" t="inlineStr">
        <is>
          <t>42260111308600000804550010000120581442896442</t>
        </is>
      </c>
      <c r="U24" t="inlineStr">
        <is>
          <t>Sim</t>
        </is>
      </c>
    </row>
    <row r="25">
      <c r="A25" t="inlineStr">
        <is>
          <t>Insumos e papel</t>
        </is>
      </c>
      <c r="B25" t="inlineStr">
        <is>
          <t>2.01.03 Compra de Matéria Prima (Papel)</t>
        </is>
      </c>
      <c r="C25" s="30" t="n">
        <v>46023</v>
      </c>
      <c r="D25" t="inlineStr">
        <is>
          <t>Em 2026</t>
        </is>
      </c>
      <c r="E25" s="28" t="n">
        <v>46045</v>
      </c>
      <c r="F25" t="inlineStr">
        <is>
          <t>NF-e</t>
        </is>
      </c>
      <c r="G25" t="inlineStr">
        <is>
          <t>000012065</t>
        </is>
      </c>
      <c r="H25" t="inlineStr">
        <is>
          <t>CMPC Iguacu Embalagens Ltda</t>
        </is>
      </c>
      <c r="I25" t="inlineStr">
        <is>
          <t>11.308.600/0008-04</t>
        </is>
      </c>
      <c r="J25" s="29" t="n">
        <v>142685.38</v>
      </c>
      <c r="K25" s="29">
        <f>(1-ISNUMBER(SEARCH("556",M25)))*(O25*SUMIFS(Premissas!$C$5:$C$44,Premissas!$A$5:$A$44,$A25,Premissas!$B$5:$B$44,$B25)+P25*SUMIFS(Premissas!$D$5:$D$44,Premissas!$A$5:$A$44,$A25,Premissas!$B$5:$B$44,$B25))+R25*SUMIFS(Premissas!$E$5:$E$44,Premissas!$A$5:$A$44,$A25,Premissas!$B$5:$B$44,$B25)+S25*SUMIFS(Premissas!$F$5:$F$44,Premissas!$A$5:$A$44,$A25,Premissas!$B$5:$B$44,$B25)</f>
        <v/>
      </c>
      <c r="L25" s="29">
        <f>J25-K25</f>
        <v/>
      </c>
      <c r="M25" t="inlineStr">
        <is>
          <t>1.556</t>
        </is>
      </c>
      <c r="O25" s="29" t="n">
        <v>4491.31</v>
      </c>
      <c r="P25" s="29" t="n">
        <v>9673.59</v>
      </c>
      <c r="Q25" s="29" t="n">
        <v>0</v>
      </c>
      <c r="R25" s="29" t="n">
        <v>2120.59</v>
      </c>
      <c r="S25" s="29" t="n">
        <v>9767.559999999999</v>
      </c>
      <c r="T25" t="inlineStr">
        <is>
          <t>42260111308600000804550010000120651652949245</t>
        </is>
      </c>
      <c r="U25" t="inlineStr">
        <is>
          <t>Sim</t>
        </is>
      </c>
    </row>
    <row r="26">
      <c r="A26" t="inlineStr">
        <is>
          <t>Insumos e papel</t>
        </is>
      </c>
      <c r="B26" t="inlineStr">
        <is>
          <t>2.01.03 Compra de Matéria Prima (Papel)</t>
        </is>
      </c>
      <c r="C26" s="30" t="n">
        <v>46023</v>
      </c>
      <c r="D26" t="inlineStr">
        <is>
          <t>Em 2026</t>
        </is>
      </c>
      <c r="E26" s="28" t="n">
        <v>46045</v>
      </c>
      <c r="F26" t="inlineStr">
        <is>
          <t>NF-e</t>
        </is>
      </c>
      <c r="G26" t="inlineStr">
        <is>
          <t>000012067</t>
        </is>
      </c>
      <c r="H26" t="inlineStr">
        <is>
          <t>CMPC Iguacu Embalagens Ltda</t>
        </is>
      </c>
      <c r="I26" t="inlineStr">
        <is>
          <t>11.308.600/0008-04</t>
        </is>
      </c>
      <c r="J26" s="29" t="n">
        <v>141665.84</v>
      </c>
      <c r="K26" s="29">
        <f>(1-ISNUMBER(SEARCH("556",M26)))*(O26*SUMIFS(Premissas!$C$5:$C$44,Premissas!$A$5:$A$44,$A26,Premissas!$B$5:$B$44,$B26)+P26*SUMIFS(Premissas!$D$5:$D$44,Premissas!$A$5:$A$44,$A26,Premissas!$B$5:$B$44,$B26))+R26*SUMIFS(Premissas!$E$5:$E$44,Premissas!$A$5:$A$44,$A26,Premissas!$B$5:$B$44,$B26)+S26*SUMIFS(Premissas!$F$5:$F$44,Premissas!$A$5:$A$44,$A26,Premissas!$B$5:$B$44,$B26)</f>
        <v/>
      </c>
      <c r="L26" s="29">
        <f>J26-K26</f>
        <v/>
      </c>
      <c r="M26" t="inlineStr">
        <is>
          <t>1.556</t>
        </is>
      </c>
      <c r="O26" s="29" t="n">
        <v>4459.22</v>
      </c>
      <c r="P26" s="29" t="n">
        <v>9604.469999999999</v>
      </c>
      <c r="Q26" s="29" t="n">
        <v>0</v>
      </c>
      <c r="R26" s="29" t="n">
        <v>2105.43</v>
      </c>
      <c r="S26" s="29" t="n">
        <v>9697.77</v>
      </c>
      <c r="T26" t="inlineStr">
        <is>
          <t>42260111308600000804550010000120671684931176</t>
        </is>
      </c>
      <c r="U26" t="inlineStr">
        <is>
          <t>Sim</t>
        </is>
      </c>
    </row>
    <row r="27">
      <c r="A27" t="inlineStr">
        <is>
          <t>Insumos e papel</t>
        </is>
      </c>
      <c r="B27" t="inlineStr">
        <is>
          <t>2.01.03 Compra de Matéria Prima (Papel)</t>
        </is>
      </c>
      <c r="C27" s="30" t="n">
        <v>46023</v>
      </c>
      <c r="D27" t="inlineStr">
        <is>
          <t>Em 2026</t>
        </is>
      </c>
      <c r="E27" s="28" t="n">
        <v>46045</v>
      </c>
      <c r="F27" t="inlineStr">
        <is>
          <t>NF-e</t>
        </is>
      </c>
      <c r="G27" t="inlineStr">
        <is>
          <t>000012069</t>
        </is>
      </c>
      <c r="H27" t="inlineStr">
        <is>
          <t>CMPC Iguacu Embalagens Ltda</t>
        </is>
      </c>
      <c r="I27" t="inlineStr">
        <is>
          <t>11.308.600/0008-04</t>
        </is>
      </c>
      <c r="J27" s="29" t="n">
        <v>143752.99</v>
      </c>
      <c r="K27" s="29">
        <f>(1-ISNUMBER(SEARCH("556",M27)))*(O27*SUMIFS(Premissas!$C$5:$C$44,Premissas!$A$5:$A$44,$A27,Premissas!$B$5:$B$44,$B27)+P27*SUMIFS(Premissas!$D$5:$D$44,Premissas!$A$5:$A$44,$A27,Premissas!$B$5:$B$44,$B27))+R27*SUMIFS(Premissas!$E$5:$E$44,Premissas!$A$5:$A$44,$A27,Premissas!$B$5:$B$44,$B27)+S27*SUMIFS(Premissas!$F$5:$F$44,Premissas!$A$5:$A$44,$A27,Premissas!$B$5:$B$44,$B27)</f>
        <v/>
      </c>
      <c r="L27" s="29">
        <f>J27-K27</f>
        <v/>
      </c>
      <c r="M27" t="inlineStr">
        <is>
          <t>1.556</t>
        </is>
      </c>
      <c r="O27" s="29" t="n">
        <v>4524.91</v>
      </c>
      <c r="P27" s="29" t="n">
        <v>9745.969999999999</v>
      </c>
      <c r="Q27" s="29" t="n">
        <v>0</v>
      </c>
      <c r="R27" s="29" t="n">
        <v>2136.46</v>
      </c>
      <c r="S27" s="29" t="n">
        <v>9840.65</v>
      </c>
      <c r="T27" t="inlineStr">
        <is>
          <t>42260111308600000804550010000120691754160062</t>
        </is>
      </c>
      <c r="U27" t="inlineStr">
        <is>
          <t>Sim</t>
        </is>
      </c>
    </row>
    <row r="28">
      <c r="A28" t="inlineStr">
        <is>
          <t>Insumos e papel</t>
        </is>
      </c>
      <c r="B28" t="inlineStr">
        <is>
          <t>2.01.03 Compra de Matéria Prima (Papel)</t>
        </is>
      </c>
      <c r="C28" s="30" t="n">
        <v>46023</v>
      </c>
      <c r="D28" t="inlineStr">
        <is>
          <t>Em 2026</t>
        </is>
      </c>
      <c r="E28" s="28" t="n">
        <v>46048</v>
      </c>
      <c r="F28" t="inlineStr">
        <is>
          <t>NF-e</t>
        </is>
      </c>
      <c r="G28" t="inlineStr">
        <is>
          <t>000012084</t>
        </is>
      </c>
      <c r="H28" t="inlineStr">
        <is>
          <t>CMPC Iguacu Embalagens Ltda</t>
        </is>
      </c>
      <c r="I28" t="inlineStr">
        <is>
          <t>11.308.600/0008-04</t>
        </is>
      </c>
      <c r="J28" s="29" t="n">
        <v>144169.33</v>
      </c>
      <c r="K28" s="29">
        <f>(1-ISNUMBER(SEARCH("556",M28)))*(O28*SUMIFS(Premissas!$C$5:$C$44,Premissas!$A$5:$A$44,$A28,Premissas!$B$5:$B$44,$B28)+P28*SUMIFS(Premissas!$D$5:$D$44,Premissas!$A$5:$A$44,$A28,Premissas!$B$5:$B$44,$B28))+R28*SUMIFS(Premissas!$E$5:$E$44,Premissas!$A$5:$A$44,$A28,Premissas!$B$5:$B$44,$B28)+S28*SUMIFS(Premissas!$F$5:$F$44,Premissas!$A$5:$A$44,$A28,Premissas!$B$5:$B$44,$B28)</f>
        <v/>
      </c>
      <c r="L28" s="29">
        <f>J28-K28</f>
        <v/>
      </c>
      <c r="M28" t="inlineStr">
        <is>
          <t>1.556</t>
        </is>
      </c>
      <c r="O28" s="29" t="n">
        <v>4538.01</v>
      </c>
      <c r="P28" s="29" t="n">
        <v>9774.190000000001</v>
      </c>
      <c r="Q28" s="29" t="n">
        <v>0</v>
      </c>
      <c r="R28" s="29" t="n">
        <v>2142.64</v>
      </c>
      <c r="S28" s="29" t="n">
        <v>9869.139999999999</v>
      </c>
      <c r="T28" t="inlineStr">
        <is>
          <t>42260111308600000804550010000120841608147096</t>
        </is>
      </c>
      <c r="U28" t="inlineStr">
        <is>
          <t>Sim</t>
        </is>
      </c>
    </row>
    <row r="29">
      <c r="A29" t="inlineStr">
        <is>
          <t>Insumos e papel</t>
        </is>
      </c>
      <c r="B29" t="inlineStr">
        <is>
          <t>2.01.03 Compra de Matéria Prima (Papel)</t>
        </is>
      </c>
      <c r="C29" s="30" t="n">
        <v>46023</v>
      </c>
      <c r="D29" t="inlineStr">
        <is>
          <t>Em 2026</t>
        </is>
      </c>
      <c r="E29" s="28" t="n">
        <v>46048</v>
      </c>
      <c r="F29" t="inlineStr">
        <is>
          <t>NF-e</t>
        </is>
      </c>
      <c r="G29" t="inlineStr">
        <is>
          <t>000012086</t>
        </is>
      </c>
      <c r="H29" t="inlineStr">
        <is>
          <t>CMPC Iguacu Embalagens Ltda</t>
        </is>
      </c>
      <c r="I29" t="inlineStr">
        <is>
          <t>11.308.600/0008-04</t>
        </is>
      </c>
      <c r="J29" s="29" t="n">
        <v>142108.88</v>
      </c>
      <c r="K29" s="29">
        <f>(1-ISNUMBER(SEARCH("556",M29)))*(O29*SUMIFS(Premissas!$C$5:$C$44,Premissas!$A$5:$A$44,$A29,Premissas!$B$5:$B$44,$B29)+P29*SUMIFS(Premissas!$D$5:$D$44,Premissas!$A$5:$A$44,$A29,Premissas!$B$5:$B$44,$B29))+R29*SUMIFS(Premissas!$E$5:$E$44,Premissas!$A$5:$A$44,$A29,Premissas!$B$5:$B$44,$B29)+S29*SUMIFS(Premissas!$F$5:$F$44,Premissas!$A$5:$A$44,$A29,Premissas!$B$5:$B$44,$B29)</f>
        <v/>
      </c>
      <c r="L29" s="29">
        <f>J29-K29</f>
        <v/>
      </c>
      <c r="M29" t="inlineStr">
        <is>
          <t>1.556</t>
        </is>
      </c>
      <c r="O29" s="29" t="n">
        <v>4473.16</v>
      </c>
      <c r="P29" s="29" t="n">
        <v>9634.5</v>
      </c>
      <c r="Q29" s="29" t="n">
        <v>0</v>
      </c>
      <c r="R29" s="29" t="n">
        <v>2112.02</v>
      </c>
      <c r="S29" s="29" t="n">
        <v>9728.09</v>
      </c>
      <c r="T29" t="inlineStr">
        <is>
          <t>42260111308600000804550010000120861695161135</t>
        </is>
      </c>
      <c r="U29" t="inlineStr">
        <is>
          <t>Sim</t>
        </is>
      </c>
    </row>
    <row r="30">
      <c r="A30" t="inlineStr">
        <is>
          <t>Insumos e papel</t>
        </is>
      </c>
      <c r="B30" t="inlineStr">
        <is>
          <t>2.01.03 Compra de Matéria Prima (Papel)</t>
        </is>
      </c>
      <c r="C30" s="30" t="n">
        <v>46023</v>
      </c>
      <c r="D30" t="inlineStr">
        <is>
          <t>Em 2026</t>
        </is>
      </c>
      <c r="E30" s="28" t="n">
        <v>46048</v>
      </c>
      <c r="F30" t="inlineStr">
        <is>
          <t>NF-e</t>
        </is>
      </c>
      <c r="G30" t="inlineStr">
        <is>
          <t>000012091</t>
        </is>
      </c>
      <c r="H30" t="inlineStr">
        <is>
          <t>CMPC Iguacu Embalagens Ltda</t>
        </is>
      </c>
      <c r="I30" t="inlineStr">
        <is>
          <t>11.308.600/0008-04</t>
        </is>
      </c>
      <c r="J30" s="29" t="n">
        <v>143288.58</v>
      </c>
      <c r="K30" s="29">
        <f>(1-ISNUMBER(SEARCH("556",M30)))*(O30*SUMIFS(Premissas!$C$5:$C$44,Premissas!$A$5:$A$44,$A30,Premissas!$B$5:$B$44,$B30)+P30*SUMIFS(Premissas!$D$5:$D$44,Premissas!$A$5:$A$44,$A30,Premissas!$B$5:$B$44,$B30))+R30*SUMIFS(Premissas!$E$5:$E$44,Premissas!$A$5:$A$44,$A30,Premissas!$B$5:$B$44,$B30)+S30*SUMIFS(Premissas!$F$5:$F$44,Premissas!$A$5:$A$44,$A30,Premissas!$B$5:$B$44,$B30)</f>
        <v/>
      </c>
      <c r="L30" s="29">
        <f>J30-K30</f>
        <v/>
      </c>
      <c r="M30" t="inlineStr">
        <is>
          <t>1.556</t>
        </is>
      </c>
      <c r="O30" s="29" t="n">
        <v>4510.3</v>
      </c>
      <c r="P30" s="29" t="n">
        <v>9714.48</v>
      </c>
      <c r="Q30" s="29" t="n">
        <v>0</v>
      </c>
      <c r="R30" s="29" t="n">
        <v>2129.55</v>
      </c>
      <c r="S30" s="29" t="n">
        <v>9808.85</v>
      </c>
      <c r="T30" t="inlineStr">
        <is>
          <t>42260111308600000804550010000120911779840386</t>
        </is>
      </c>
      <c r="U30" t="inlineStr">
        <is>
          <t>Sim</t>
        </is>
      </c>
    </row>
    <row r="31">
      <c r="A31" t="inlineStr">
        <is>
          <t>Insumos e papel</t>
        </is>
      </c>
      <c r="B31" t="inlineStr">
        <is>
          <t>2.01.03 Compra de Matéria Prima (Papel)</t>
        </is>
      </c>
      <c r="C31" s="30" t="n">
        <v>46023</v>
      </c>
      <c r="D31" t="inlineStr">
        <is>
          <t>Em 2026</t>
        </is>
      </c>
      <c r="E31" s="28" t="n">
        <v>46048</v>
      </c>
      <c r="F31" t="inlineStr">
        <is>
          <t>NF-e</t>
        </is>
      </c>
      <c r="G31" t="inlineStr">
        <is>
          <t>000012093</t>
        </is>
      </c>
      <c r="H31" t="inlineStr">
        <is>
          <t>CMPC Iguacu Embalagens Ltda</t>
        </is>
      </c>
      <c r="I31" t="inlineStr">
        <is>
          <t>11.308.600/0008-04</t>
        </is>
      </c>
      <c r="J31" s="29" t="n">
        <v>143971.86</v>
      </c>
      <c r="K31" s="29">
        <f>(1-ISNUMBER(SEARCH("556",M31)))*(O31*SUMIFS(Premissas!$C$5:$C$44,Premissas!$A$5:$A$44,$A31,Premissas!$B$5:$B$44,$B31)+P31*SUMIFS(Premissas!$D$5:$D$44,Premissas!$A$5:$A$44,$A31,Premissas!$B$5:$B$44,$B31))+R31*SUMIFS(Premissas!$E$5:$E$44,Premissas!$A$5:$A$44,$A31,Premissas!$B$5:$B$44,$B31)+S31*SUMIFS(Premissas!$F$5:$F$44,Premissas!$A$5:$A$44,$A31,Premissas!$B$5:$B$44,$B31)</f>
        <v/>
      </c>
      <c r="L31" s="29">
        <f>J31-K31</f>
        <v/>
      </c>
      <c r="M31" t="inlineStr">
        <is>
          <t>1.556</t>
        </is>
      </c>
      <c r="O31" s="29" t="n">
        <v>4531.8</v>
      </c>
      <c r="P31" s="29" t="n">
        <v>9760.799999999999</v>
      </c>
      <c r="Q31" s="29" t="n">
        <v>0</v>
      </c>
      <c r="R31" s="29" t="n">
        <v>2139.71</v>
      </c>
      <c r="S31" s="29" t="n">
        <v>9855.629999999999</v>
      </c>
      <c r="T31" t="inlineStr">
        <is>
          <t>42260111308600000804550010000120931803282303</t>
        </is>
      </c>
      <c r="U31" t="inlineStr">
        <is>
          <t>Sim</t>
        </is>
      </c>
    </row>
    <row r="32">
      <c r="A32" t="inlineStr">
        <is>
          <t>Insumos e papel</t>
        </is>
      </c>
      <c r="B32" t="inlineStr">
        <is>
          <t>2.01.03 Compra de Matéria Prima (Papel)</t>
        </is>
      </c>
      <c r="C32" s="30" t="n">
        <v>46023</v>
      </c>
      <c r="D32" t="inlineStr">
        <is>
          <t>Em 2026</t>
        </is>
      </c>
      <c r="E32" s="28" t="n">
        <v>46049</v>
      </c>
      <c r="F32" t="inlineStr">
        <is>
          <t>NF-e</t>
        </is>
      </c>
      <c r="G32" t="inlineStr">
        <is>
          <t>000012100</t>
        </is>
      </c>
      <c r="H32" t="inlineStr">
        <is>
          <t>CMPC Iguacu Embalagens Ltda</t>
        </is>
      </c>
      <c r="I32" t="inlineStr">
        <is>
          <t>11.308.600/0008-04</t>
        </is>
      </c>
      <c r="J32" s="29" t="n">
        <v>142567.94</v>
      </c>
      <c r="K32" s="29">
        <f>(1-ISNUMBER(SEARCH("556",M32)))*(O32*SUMIFS(Premissas!$C$5:$C$44,Premissas!$A$5:$A$44,$A32,Premissas!$B$5:$B$44,$B32)+P32*SUMIFS(Premissas!$D$5:$D$44,Premissas!$A$5:$A$44,$A32,Premissas!$B$5:$B$44,$B32))+R32*SUMIFS(Premissas!$E$5:$E$44,Premissas!$A$5:$A$44,$A32,Premissas!$B$5:$B$44,$B32)+S32*SUMIFS(Premissas!$F$5:$F$44,Premissas!$A$5:$A$44,$A32,Premissas!$B$5:$B$44,$B32)</f>
        <v/>
      </c>
      <c r="L32" s="29">
        <f>J32-K32</f>
        <v/>
      </c>
      <c r="M32" t="inlineStr">
        <is>
          <t>1.556</t>
        </is>
      </c>
      <c r="O32" s="29" t="n">
        <v>4487.61</v>
      </c>
      <c r="P32" s="29" t="n">
        <v>9665.620000000001</v>
      </c>
      <c r="Q32" s="29" t="n">
        <v>0</v>
      </c>
      <c r="R32" s="29" t="n">
        <v>2118.84</v>
      </c>
      <c r="S32" s="29" t="n">
        <v>9759.52</v>
      </c>
      <c r="T32" t="inlineStr">
        <is>
          <t>42260111308600000804550010000121001773160562</t>
        </is>
      </c>
      <c r="U32" t="inlineStr">
        <is>
          <t>Sim</t>
        </is>
      </c>
    </row>
    <row r="33">
      <c r="A33" t="inlineStr">
        <is>
          <t>Insumos e papel</t>
        </is>
      </c>
      <c r="B33" t="inlineStr">
        <is>
          <t>2.01.03 Compra de Matéria Prima (Papel)</t>
        </is>
      </c>
      <c r="C33" s="30" t="n">
        <v>46023</v>
      </c>
      <c r="D33" t="inlineStr">
        <is>
          <t>Em 2026</t>
        </is>
      </c>
      <c r="E33" s="28" t="n">
        <v>46049</v>
      </c>
      <c r="F33" t="inlineStr">
        <is>
          <t>NF-e</t>
        </is>
      </c>
      <c r="G33" t="inlineStr">
        <is>
          <t>000012102</t>
        </is>
      </c>
      <c r="H33" t="inlineStr">
        <is>
          <t>CMPC Iguacu Embalagens Ltda</t>
        </is>
      </c>
      <c r="I33" t="inlineStr">
        <is>
          <t>11.308.600/0008-04</t>
        </is>
      </c>
      <c r="J33" s="29" t="n">
        <v>142941.6</v>
      </c>
      <c r="K33" s="29">
        <f>(1-ISNUMBER(SEARCH("556",M33)))*(O33*SUMIFS(Premissas!$C$5:$C$44,Premissas!$A$5:$A$44,$A33,Premissas!$B$5:$B$44,$B33)+P33*SUMIFS(Premissas!$D$5:$D$44,Premissas!$A$5:$A$44,$A33,Premissas!$B$5:$B$44,$B33))+R33*SUMIFS(Premissas!$E$5:$E$44,Premissas!$A$5:$A$44,$A33,Premissas!$B$5:$B$44,$B33)+S33*SUMIFS(Premissas!$F$5:$F$44,Premissas!$A$5:$A$44,$A33,Premissas!$B$5:$B$44,$B33)</f>
        <v/>
      </c>
      <c r="L33" s="29">
        <f>J33-K33</f>
        <v/>
      </c>
      <c r="M33" t="inlineStr">
        <is>
          <t>1.556</t>
        </is>
      </c>
      <c r="O33" s="29" t="n">
        <v>4499.37</v>
      </c>
      <c r="P33" s="29" t="n">
        <v>9690.959999999999</v>
      </c>
      <c r="Q33" s="29" t="n">
        <v>0</v>
      </c>
      <c r="R33" s="29" t="n">
        <v>2124.4</v>
      </c>
      <c r="S33" s="29" t="n">
        <v>9785.1</v>
      </c>
      <c r="T33" t="inlineStr">
        <is>
          <t>42260111308600000804550010000121021801554129</t>
        </is>
      </c>
      <c r="U33" t="inlineStr">
        <is>
          <t>Sim</t>
        </is>
      </c>
    </row>
    <row r="34">
      <c r="A34" t="inlineStr">
        <is>
          <t>Insumos e papel</t>
        </is>
      </c>
      <c r="B34" t="inlineStr">
        <is>
          <t>2.01.03 Compra de Matéria Prima (Papel)</t>
        </is>
      </c>
      <c r="C34" s="30" t="n">
        <v>46023</v>
      </c>
      <c r="D34" t="inlineStr">
        <is>
          <t>Em 2026</t>
        </is>
      </c>
      <c r="E34" s="28" t="n">
        <v>46049</v>
      </c>
      <c r="F34" t="inlineStr">
        <is>
          <t>NF-e</t>
        </is>
      </c>
      <c r="G34" t="inlineStr">
        <is>
          <t>000012108</t>
        </is>
      </c>
      <c r="H34" t="inlineStr">
        <is>
          <t>CMPC Iguacu Embalagens Ltda</t>
        </is>
      </c>
      <c r="I34" t="inlineStr">
        <is>
          <t>11.308.600/0008-04</t>
        </is>
      </c>
      <c r="J34" s="29" t="n">
        <v>140512.8</v>
      </c>
      <c r="K34" s="29">
        <f>(1-ISNUMBER(SEARCH("556",M34)))*(O34*SUMIFS(Premissas!$C$5:$C$44,Premissas!$A$5:$A$44,$A34,Premissas!$B$5:$B$44,$B34)+P34*SUMIFS(Premissas!$D$5:$D$44,Premissas!$A$5:$A$44,$A34,Premissas!$B$5:$B$44,$B34))+R34*SUMIFS(Premissas!$E$5:$E$44,Premissas!$A$5:$A$44,$A34,Premissas!$B$5:$B$44,$B34)+S34*SUMIFS(Premissas!$F$5:$F$44,Premissas!$A$5:$A$44,$A34,Premissas!$B$5:$B$44,$B34)</f>
        <v/>
      </c>
      <c r="L34" s="29">
        <f>J34-K34</f>
        <v/>
      </c>
      <c r="M34" t="inlineStr">
        <is>
          <t>1.556</t>
        </is>
      </c>
      <c r="O34" s="29" t="n">
        <v>4422.92</v>
      </c>
      <c r="P34" s="29" t="n">
        <v>9526.290000000001</v>
      </c>
      <c r="Q34" s="29" t="n">
        <v>0</v>
      </c>
      <c r="R34" s="29" t="n">
        <v>2088.3</v>
      </c>
      <c r="S34" s="29" t="n">
        <v>9618.83</v>
      </c>
      <c r="T34" t="inlineStr">
        <is>
          <t>42260111308600000804550010000121081982884308</t>
        </is>
      </c>
      <c r="U34" t="inlineStr">
        <is>
          <t>Sim</t>
        </is>
      </c>
    </row>
    <row r="35">
      <c r="A35" t="inlineStr">
        <is>
          <t>Insumos e papel</t>
        </is>
      </c>
      <c r="B35" t="inlineStr">
        <is>
          <t>2.01.03 Compra de Matéria Prima (Papel)</t>
        </is>
      </c>
      <c r="C35" s="30" t="n">
        <v>46023</v>
      </c>
      <c r="D35" t="inlineStr">
        <is>
          <t>Em 2026</t>
        </is>
      </c>
      <c r="E35" s="28" t="n">
        <v>46049</v>
      </c>
      <c r="F35" t="inlineStr">
        <is>
          <t>NF-e</t>
        </is>
      </c>
      <c r="G35" t="inlineStr">
        <is>
          <t>000012111</t>
        </is>
      </c>
      <c r="H35" t="inlineStr">
        <is>
          <t>CMPC Iguacu Embalagens Ltda</t>
        </is>
      </c>
      <c r="I35" t="inlineStr">
        <is>
          <t>11.308.600/0008-04</t>
        </is>
      </c>
      <c r="J35" s="29" t="n">
        <v>142925.6</v>
      </c>
      <c r="K35" s="29">
        <f>(1-ISNUMBER(SEARCH("556",M35)))*(O35*SUMIFS(Premissas!$C$5:$C$44,Premissas!$A$5:$A$44,$A35,Premissas!$B$5:$B$44,$B35)+P35*SUMIFS(Premissas!$D$5:$D$44,Premissas!$A$5:$A$44,$A35,Premissas!$B$5:$B$44,$B35))+R35*SUMIFS(Premissas!$E$5:$E$44,Premissas!$A$5:$A$44,$A35,Premissas!$B$5:$B$44,$B35)+S35*SUMIFS(Premissas!$F$5:$F$44,Premissas!$A$5:$A$44,$A35,Premissas!$B$5:$B$44,$B35)</f>
        <v/>
      </c>
      <c r="L35" s="29">
        <f>J35-K35</f>
        <v/>
      </c>
      <c r="M35" t="inlineStr">
        <is>
          <t>1.556</t>
        </is>
      </c>
      <c r="O35" s="29" t="n">
        <v>4498.87</v>
      </c>
      <c r="P35" s="29" t="n">
        <v>9689.870000000001</v>
      </c>
      <c r="Q35" s="29" t="n">
        <v>0</v>
      </c>
      <c r="R35" s="29" t="n">
        <v>2124.16</v>
      </c>
      <c r="S35" s="29" t="n">
        <v>9784</v>
      </c>
      <c r="T35" t="inlineStr">
        <is>
          <t>42260111308600000804550010000121111057315540</t>
        </is>
      </c>
      <c r="U35" t="inlineStr">
        <is>
          <t>Sim</t>
        </is>
      </c>
    </row>
    <row r="36">
      <c r="A36" t="inlineStr">
        <is>
          <t>Insumos e papel</t>
        </is>
      </c>
      <c r="B36" t="inlineStr">
        <is>
          <t>2.01.03 Compra de Matéria Prima (Papel)</t>
        </is>
      </c>
      <c r="C36" s="30" t="n">
        <v>46054</v>
      </c>
      <c r="D36" t="inlineStr">
        <is>
          <t>Em 2026</t>
        </is>
      </c>
      <c r="E36" s="28" t="n">
        <v>46077</v>
      </c>
      <c r="F36" t="inlineStr">
        <is>
          <t>NF-e</t>
        </is>
      </c>
      <c r="G36" t="inlineStr">
        <is>
          <t>000012342</t>
        </is>
      </c>
      <c r="H36" t="inlineStr">
        <is>
          <t>CMPC Iguacu Embalagens Ltda</t>
        </is>
      </c>
      <c r="I36" t="inlineStr">
        <is>
          <t>11.308.600/0008-04</t>
        </is>
      </c>
      <c r="J36" s="29" t="n">
        <v>143043.04</v>
      </c>
      <c r="K36" s="29">
        <f>(1-ISNUMBER(SEARCH("556",M36)))*(O36*SUMIFS(Premissas!$C$5:$C$44,Premissas!$A$5:$A$44,$A36,Premissas!$B$5:$B$44,$B36)+P36*SUMIFS(Premissas!$D$5:$D$44,Premissas!$A$5:$A$44,$A36,Premissas!$B$5:$B$44,$B36))+R36*SUMIFS(Premissas!$E$5:$E$44,Premissas!$A$5:$A$44,$A36,Premissas!$B$5:$B$44,$B36)+S36*SUMIFS(Premissas!$F$5:$F$44,Premissas!$A$5:$A$44,$A36,Premissas!$B$5:$B$44,$B36)</f>
        <v/>
      </c>
      <c r="L36" s="29">
        <f>J36-K36</f>
        <v/>
      </c>
      <c r="M36" t="inlineStr">
        <is>
          <t>1.556</t>
        </is>
      </c>
      <c r="O36" s="29" t="n">
        <v>4502.57</v>
      </c>
      <c r="P36" s="29" t="n">
        <v>9697.83</v>
      </c>
      <c r="Q36" s="29" t="n">
        <v>0</v>
      </c>
      <c r="R36" s="29" t="n">
        <v>2125.9</v>
      </c>
      <c r="S36" s="29" t="n">
        <v>9792.040000000001</v>
      </c>
      <c r="T36" t="inlineStr">
        <is>
          <t>42260211308600000804550010000123421662266766</t>
        </is>
      </c>
      <c r="U36" t="inlineStr">
        <is>
          <t>Sim</t>
        </is>
      </c>
    </row>
    <row r="37">
      <c r="A37" t="inlineStr">
        <is>
          <t>Insumos e papel</t>
        </is>
      </c>
      <c r="B37" t="inlineStr">
        <is>
          <t>2.01.03 Compra de Matéria Prima (Papel)</t>
        </is>
      </c>
      <c r="C37" s="30" t="n">
        <v>46054</v>
      </c>
      <c r="D37" t="inlineStr">
        <is>
          <t>Em 2026</t>
        </is>
      </c>
      <c r="E37" s="28" t="n">
        <v>46077</v>
      </c>
      <c r="F37" t="inlineStr">
        <is>
          <t>NF-e</t>
        </is>
      </c>
      <c r="G37" t="inlineStr">
        <is>
          <t>000012348</t>
        </is>
      </c>
      <c r="H37" t="inlineStr">
        <is>
          <t>CMPC Iguacu Embalagens Ltda</t>
        </is>
      </c>
      <c r="I37" t="inlineStr">
        <is>
          <t>11.308.600/0008-04</t>
        </is>
      </c>
      <c r="J37" s="29" t="n">
        <v>143107.09</v>
      </c>
      <c r="K37" s="29">
        <f>(1-ISNUMBER(SEARCH("556",M37)))*(O37*SUMIFS(Premissas!$C$5:$C$44,Premissas!$A$5:$A$44,$A37,Premissas!$B$5:$B$44,$B37)+P37*SUMIFS(Premissas!$D$5:$D$44,Premissas!$A$5:$A$44,$A37,Premissas!$B$5:$B$44,$B37))+R37*SUMIFS(Premissas!$E$5:$E$44,Premissas!$A$5:$A$44,$A37,Premissas!$B$5:$B$44,$B37)+S37*SUMIFS(Premissas!$F$5:$F$44,Premissas!$A$5:$A$44,$A37,Premissas!$B$5:$B$44,$B37)</f>
        <v/>
      </c>
      <c r="L37" s="29">
        <f>J37-K37</f>
        <v/>
      </c>
      <c r="M37" t="inlineStr">
        <is>
          <t>1.556</t>
        </is>
      </c>
      <c r="O37" s="29" t="n">
        <v>4504.58</v>
      </c>
      <c r="P37" s="29" t="n">
        <v>9702.18</v>
      </c>
      <c r="Q37" s="29" t="n">
        <v>0</v>
      </c>
      <c r="R37" s="29" t="n">
        <v>2126.85</v>
      </c>
      <c r="S37" s="29" t="n">
        <v>9796.42</v>
      </c>
      <c r="T37" t="inlineStr">
        <is>
          <t>42260211308600000804550010000123481749750892</t>
        </is>
      </c>
      <c r="U37" t="inlineStr">
        <is>
          <t>Sim</t>
        </is>
      </c>
    </row>
    <row r="38">
      <c r="A38" t="inlineStr">
        <is>
          <t>Insumos e papel</t>
        </is>
      </c>
      <c r="B38" t="inlineStr">
        <is>
          <t>2.01.03 Compra de Matéria Prima (Papel)</t>
        </is>
      </c>
      <c r="C38" s="30" t="n">
        <v>46054</v>
      </c>
      <c r="D38" t="inlineStr">
        <is>
          <t>Em 2026</t>
        </is>
      </c>
      <c r="E38" s="28" t="n">
        <v>46077</v>
      </c>
      <c r="F38" t="inlineStr">
        <is>
          <t>NF-e</t>
        </is>
      </c>
      <c r="G38" t="inlineStr">
        <is>
          <t>000012351</t>
        </is>
      </c>
      <c r="H38" t="inlineStr">
        <is>
          <t>CMPC Iguacu Embalagens Ltda</t>
        </is>
      </c>
      <c r="I38" t="inlineStr">
        <is>
          <t>11.308.600/0008-04</t>
        </is>
      </c>
      <c r="J38" s="29" t="n">
        <v>141825.97</v>
      </c>
      <c r="K38" s="29">
        <f>(1-ISNUMBER(SEARCH("556",M38)))*(O38*SUMIFS(Premissas!$C$5:$C$44,Premissas!$A$5:$A$44,$A38,Premissas!$B$5:$B$44,$B38)+P38*SUMIFS(Premissas!$D$5:$D$44,Premissas!$A$5:$A$44,$A38,Premissas!$B$5:$B$44,$B38))+R38*SUMIFS(Premissas!$E$5:$E$44,Premissas!$A$5:$A$44,$A38,Premissas!$B$5:$B$44,$B38)+S38*SUMIFS(Premissas!$F$5:$F$44,Premissas!$A$5:$A$44,$A38,Premissas!$B$5:$B$44,$B38)</f>
        <v/>
      </c>
      <c r="L38" s="29">
        <f>J38-K38</f>
        <v/>
      </c>
      <c r="M38" t="inlineStr">
        <is>
          <t>1.556</t>
        </is>
      </c>
      <c r="O38" s="29" t="n">
        <v>4464.26</v>
      </c>
      <c r="P38" s="29" t="n">
        <v>9615.32</v>
      </c>
      <c r="Q38" s="29" t="n">
        <v>0</v>
      </c>
      <c r="R38" s="29" t="n">
        <v>2107.82</v>
      </c>
      <c r="S38" s="29" t="n">
        <v>9708.73</v>
      </c>
      <c r="T38" t="inlineStr">
        <is>
          <t>42260211308600000804550010000123511818055260</t>
        </is>
      </c>
      <c r="U38" t="inlineStr">
        <is>
          <t>Sim</t>
        </is>
      </c>
    </row>
    <row r="39">
      <c r="A39" t="inlineStr">
        <is>
          <t>Insumos e papel</t>
        </is>
      </c>
      <c r="B39" t="inlineStr">
        <is>
          <t>2.01.03 Compra de Matéria Prima (Papel)</t>
        </is>
      </c>
      <c r="C39" s="30" t="n">
        <v>46054</v>
      </c>
      <c r="D39" t="inlineStr">
        <is>
          <t>Em 2026</t>
        </is>
      </c>
      <c r="E39" s="28" t="n">
        <v>46077</v>
      </c>
      <c r="F39" t="inlineStr">
        <is>
          <t>NF-e</t>
        </is>
      </c>
      <c r="G39" t="inlineStr">
        <is>
          <t>000012358</t>
        </is>
      </c>
      <c r="H39" t="inlineStr">
        <is>
          <t>CMPC Iguacu Embalagens Ltda</t>
        </is>
      </c>
      <c r="I39" t="inlineStr">
        <is>
          <t>11.308.600/0008-04</t>
        </is>
      </c>
      <c r="J39" s="29" t="n">
        <v>143651.56</v>
      </c>
      <c r="K39" s="29">
        <f>(1-ISNUMBER(SEARCH("556",M39)))*(O39*SUMIFS(Premissas!$C$5:$C$44,Premissas!$A$5:$A$44,$A39,Premissas!$B$5:$B$44,$B39)+P39*SUMIFS(Premissas!$D$5:$D$44,Premissas!$A$5:$A$44,$A39,Premissas!$B$5:$B$44,$B39))+R39*SUMIFS(Premissas!$E$5:$E$44,Premissas!$A$5:$A$44,$A39,Premissas!$B$5:$B$44,$B39)+S39*SUMIFS(Premissas!$F$5:$F$44,Premissas!$A$5:$A$44,$A39,Premissas!$B$5:$B$44,$B39)</f>
        <v/>
      </c>
      <c r="L39" s="29">
        <f>J39-K39</f>
        <v/>
      </c>
      <c r="M39" t="inlineStr">
        <is>
          <t>1.556</t>
        </is>
      </c>
      <c r="O39" s="29" t="n">
        <v>4521.72</v>
      </c>
      <c r="P39" s="29" t="n">
        <v>9739.09</v>
      </c>
      <c r="Q39" s="29" t="n">
        <v>0</v>
      </c>
      <c r="R39" s="29" t="n">
        <v>2134.95</v>
      </c>
      <c r="S39" s="29" t="n">
        <v>9833.700000000001</v>
      </c>
      <c r="T39" t="inlineStr">
        <is>
          <t>42260211308600000804550010000123581951232348</t>
        </is>
      </c>
      <c r="U39" t="inlineStr">
        <is>
          <t>Sim</t>
        </is>
      </c>
    </row>
    <row r="40">
      <c r="A40" t="inlineStr">
        <is>
          <t>Insumos e papel</t>
        </is>
      </c>
      <c r="B40" t="inlineStr">
        <is>
          <t>2.01.03 Compra de Matéria Prima (Papel)</t>
        </is>
      </c>
      <c r="C40" s="30" t="n">
        <v>46054</v>
      </c>
      <c r="D40" t="inlineStr">
        <is>
          <t>Em 2026</t>
        </is>
      </c>
      <c r="E40" s="28" t="n">
        <v>46078</v>
      </c>
      <c r="F40" t="inlineStr">
        <is>
          <t>NF-e</t>
        </is>
      </c>
      <c r="G40" t="inlineStr">
        <is>
          <t>000012365</t>
        </is>
      </c>
      <c r="H40" t="inlineStr">
        <is>
          <t>CMPC Iguacu Embalagens Ltda</t>
        </is>
      </c>
      <c r="I40" t="inlineStr">
        <is>
          <t>11.308.600/0008-04</t>
        </is>
      </c>
      <c r="J40" s="29" t="n">
        <v>143790.34</v>
      </c>
      <c r="K40" s="29">
        <f>(1-ISNUMBER(SEARCH("556",M40)))*(O40*SUMIFS(Premissas!$C$5:$C$44,Premissas!$A$5:$A$44,$A40,Premissas!$B$5:$B$44,$B40)+P40*SUMIFS(Premissas!$D$5:$D$44,Premissas!$A$5:$A$44,$A40,Premissas!$B$5:$B$44,$B40))+R40*SUMIFS(Premissas!$E$5:$E$44,Premissas!$A$5:$A$44,$A40,Premissas!$B$5:$B$44,$B40)+S40*SUMIFS(Premissas!$F$5:$F$44,Premissas!$A$5:$A$44,$A40,Premissas!$B$5:$B$44,$B40)</f>
        <v/>
      </c>
      <c r="L40" s="29">
        <f>J40-K40</f>
        <v/>
      </c>
      <c r="M40" t="inlineStr">
        <is>
          <t>1.556</t>
        </is>
      </c>
      <c r="O40" s="29" t="n">
        <v>4526.09</v>
      </c>
      <c r="P40" s="29" t="n">
        <v>9748.49</v>
      </c>
      <c r="Q40" s="29" t="n">
        <v>0</v>
      </c>
      <c r="R40" s="29" t="n">
        <v>2137</v>
      </c>
      <c r="S40" s="29" t="n">
        <v>9843.200000000001</v>
      </c>
      <c r="T40" t="inlineStr">
        <is>
          <t>42260211308600000804550010000123651018983761</t>
        </is>
      </c>
      <c r="U40" t="inlineStr">
        <is>
          <t>Sim</t>
        </is>
      </c>
    </row>
    <row r="41">
      <c r="A41" t="inlineStr">
        <is>
          <t>Insumos e papel</t>
        </is>
      </c>
      <c r="B41" t="inlineStr">
        <is>
          <t>2.01.03 Compra de Matéria Prima (Papel)</t>
        </is>
      </c>
      <c r="C41" s="30" t="n">
        <v>46054</v>
      </c>
      <c r="D41" t="inlineStr">
        <is>
          <t>Em 2026</t>
        </is>
      </c>
      <c r="E41" s="28" t="n">
        <v>46078</v>
      </c>
      <c r="F41" t="inlineStr">
        <is>
          <t>NF-e</t>
        </is>
      </c>
      <c r="G41" t="inlineStr">
        <is>
          <t>000012367</t>
        </is>
      </c>
      <c r="H41" t="inlineStr">
        <is>
          <t>CMPC Iguacu Embalagens Ltda</t>
        </is>
      </c>
      <c r="I41" t="inlineStr">
        <is>
          <t>11.308.600/0008-04</t>
        </is>
      </c>
      <c r="J41" s="29" t="n">
        <v>144083.95</v>
      </c>
      <c r="K41" s="29">
        <f>(1-ISNUMBER(SEARCH("556",M41)))*(O41*SUMIFS(Premissas!$C$5:$C$44,Premissas!$A$5:$A$44,$A41,Premissas!$B$5:$B$44,$B41)+P41*SUMIFS(Premissas!$D$5:$D$44,Premissas!$A$5:$A$44,$A41,Premissas!$B$5:$B$44,$B41))+R41*SUMIFS(Premissas!$E$5:$E$44,Premissas!$A$5:$A$44,$A41,Premissas!$B$5:$B$44,$B41)+S41*SUMIFS(Premissas!$F$5:$F$44,Premissas!$A$5:$A$44,$A41,Premissas!$B$5:$B$44,$B41)</f>
        <v/>
      </c>
      <c r="L41" s="29">
        <f>J41-K41</f>
        <v/>
      </c>
      <c r="M41" t="inlineStr">
        <is>
          <t>1.556</t>
        </is>
      </c>
      <c r="O41" s="29" t="n">
        <v>4535.33</v>
      </c>
      <c r="P41" s="29" t="n">
        <v>9768.41</v>
      </c>
      <c r="Q41" s="29" t="n">
        <v>0</v>
      </c>
      <c r="R41" s="29" t="n">
        <v>2141.37</v>
      </c>
      <c r="S41" s="29" t="n">
        <v>9863.299999999999</v>
      </c>
      <c r="T41" t="inlineStr">
        <is>
          <t>42260211308600000804550010000123671065162471</t>
        </is>
      </c>
      <c r="U41" t="inlineStr">
        <is>
          <t>Sim</t>
        </is>
      </c>
    </row>
    <row r="42">
      <c r="A42" t="inlineStr">
        <is>
          <t>Insumos e papel</t>
        </is>
      </c>
      <c r="B42" t="inlineStr">
        <is>
          <t>2.01.03 Compra de Matéria Prima (Papel)</t>
        </is>
      </c>
      <c r="C42" s="30" t="n">
        <v>46054</v>
      </c>
      <c r="D42" t="inlineStr">
        <is>
          <t>Em 2026</t>
        </is>
      </c>
      <c r="E42" s="28" t="n">
        <v>46078</v>
      </c>
      <c r="F42" t="inlineStr">
        <is>
          <t>NF-e</t>
        </is>
      </c>
      <c r="G42" t="inlineStr">
        <is>
          <t>000012376</t>
        </is>
      </c>
      <c r="H42" t="inlineStr">
        <is>
          <t>CMPC Iguacu Embalagens Ltda</t>
        </is>
      </c>
      <c r="I42" t="inlineStr">
        <is>
          <t>11.308.600/0008-04</t>
        </is>
      </c>
      <c r="J42" s="29" t="n">
        <v>140582.21</v>
      </c>
      <c r="K42" s="29">
        <f>(1-ISNUMBER(SEARCH("556",M42)))*(O42*SUMIFS(Premissas!$C$5:$C$44,Premissas!$A$5:$A$44,$A42,Premissas!$B$5:$B$44,$B42)+P42*SUMIFS(Premissas!$D$5:$D$44,Premissas!$A$5:$A$44,$A42,Premissas!$B$5:$B$44,$B42))+R42*SUMIFS(Premissas!$E$5:$E$44,Premissas!$A$5:$A$44,$A42,Premissas!$B$5:$B$44,$B42)+S42*SUMIFS(Premissas!$F$5:$F$44,Premissas!$A$5:$A$44,$A42,Premissas!$B$5:$B$44,$B42)</f>
        <v/>
      </c>
      <c r="L42" s="29">
        <f>J42-K42</f>
        <v/>
      </c>
      <c r="M42" t="inlineStr">
        <is>
          <t>1.556</t>
        </is>
      </c>
      <c r="O42" s="29" t="n">
        <v>4425.11</v>
      </c>
      <c r="P42" s="29" t="n">
        <v>9531</v>
      </c>
      <c r="Q42" s="29" t="n">
        <v>0</v>
      </c>
      <c r="R42" s="29" t="n">
        <v>2089.32</v>
      </c>
      <c r="S42" s="29" t="n">
        <v>9623.58</v>
      </c>
      <c r="T42" t="inlineStr">
        <is>
          <t>42260211308600000804550010000123761320171743</t>
        </is>
      </c>
      <c r="U42" t="inlineStr">
        <is>
          <t>Sim</t>
        </is>
      </c>
    </row>
    <row r="43">
      <c r="A43" t="inlineStr">
        <is>
          <t>Insumos e papel</t>
        </is>
      </c>
      <c r="B43" t="inlineStr">
        <is>
          <t>2.01.03 Compra de Matéria Prima (Papel)</t>
        </is>
      </c>
      <c r="C43" s="30" t="n">
        <v>46054</v>
      </c>
      <c r="D43" t="inlineStr">
        <is>
          <t>Em 2026</t>
        </is>
      </c>
      <c r="E43" s="28" t="n">
        <v>46079</v>
      </c>
      <c r="F43" t="inlineStr">
        <is>
          <t>NF-e</t>
        </is>
      </c>
      <c r="G43" t="inlineStr">
        <is>
          <t>000012381</t>
        </is>
      </c>
      <c r="H43" t="inlineStr">
        <is>
          <t>CMPC Iguacu Embalagens Ltda</t>
        </is>
      </c>
      <c r="I43" t="inlineStr">
        <is>
          <t>11.308.600/0008-04</t>
        </is>
      </c>
      <c r="J43" s="29" t="n">
        <v>143630.22</v>
      </c>
      <c r="K43" s="29">
        <f>(1-ISNUMBER(SEARCH("556",M43)))*(O43*SUMIFS(Premissas!$C$5:$C$44,Premissas!$A$5:$A$44,$A43,Premissas!$B$5:$B$44,$B43)+P43*SUMIFS(Premissas!$D$5:$D$44,Premissas!$A$5:$A$44,$A43,Premissas!$B$5:$B$44,$B43))+R43*SUMIFS(Premissas!$E$5:$E$44,Premissas!$A$5:$A$44,$A43,Premissas!$B$5:$B$44,$B43)+S43*SUMIFS(Premissas!$F$5:$F$44,Premissas!$A$5:$A$44,$A43,Premissas!$B$5:$B$44,$B43)</f>
        <v/>
      </c>
      <c r="L43" s="29">
        <f>J43-K43</f>
        <v/>
      </c>
      <c r="M43" t="inlineStr">
        <is>
          <t>1.556</t>
        </is>
      </c>
      <c r="O43" s="29" t="n">
        <v>4521.05</v>
      </c>
      <c r="P43" s="29" t="n">
        <v>9737.639999999999</v>
      </c>
      <c r="Q43" s="29" t="n">
        <v>0</v>
      </c>
      <c r="R43" s="29" t="n">
        <v>2134.63</v>
      </c>
      <c r="S43" s="29" t="n">
        <v>9832.219999999999</v>
      </c>
      <c r="T43" t="inlineStr">
        <is>
          <t>42260211308600000804550010000123811377314756</t>
        </is>
      </c>
      <c r="U43" t="inlineStr">
        <is>
          <t>Sim</t>
        </is>
      </c>
    </row>
    <row r="44">
      <c r="A44" t="inlineStr">
        <is>
          <t>Insumos e papel</t>
        </is>
      </c>
      <c r="B44" t="inlineStr">
        <is>
          <t>2.01.03 Compra de Matéria Prima (Papel)</t>
        </is>
      </c>
      <c r="C44" s="30" t="n">
        <v>46054</v>
      </c>
      <c r="D44" t="inlineStr">
        <is>
          <t>Em 2026</t>
        </is>
      </c>
      <c r="E44" s="28" t="n">
        <v>46079</v>
      </c>
      <c r="F44" t="inlineStr">
        <is>
          <t>NF-e</t>
        </is>
      </c>
      <c r="G44" t="inlineStr">
        <is>
          <t>000012389</t>
        </is>
      </c>
      <c r="H44" t="inlineStr">
        <is>
          <t>CMPC Iguacu Embalagens Ltda</t>
        </is>
      </c>
      <c r="I44" t="inlineStr">
        <is>
          <t>11.308.600/0008-04</t>
        </is>
      </c>
      <c r="J44" s="29" t="n">
        <v>144724.51</v>
      </c>
      <c r="K44" s="29">
        <f>(1-ISNUMBER(SEARCH("556",M44)))*(O44*SUMIFS(Premissas!$C$5:$C$44,Premissas!$A$5:$A$44,$A44,Premissas!$B$5:$B$44,$B44)+P44*SUMIFS(Premissas!$D$5:$D$44,Premissas!$A$5:$A$44,$A44,Premissas!$B$5:$B$44,$B44))+R44*SUMIFS(Premissas!$E$5:$E$44,Premissas!$A$5:$A$44,$A44,Premissas!$B$5:$B$44,$B44)+S44*SUMIFS(Premissas!$F$5:$F$44,Premissas!$A$5:$A$44,$A44,Premissas!$B$5:$B$44,$B44)</f>
        <v/>
      </c>
      <c r="L44" s="29">
        <f>J44-K44</f>
        <v/>
      </c>
      <c r="M44" t="inlineStr">
        <is>
          <t>1.556</t>
        </is>
      </c>
      <c r="O44" s="29" t="n">
        <v>4555.49</v>
      </c>
      <c r="P44" s="29" t="n">
        <v>9811.83</v>
      </c>
      <c r="Q44" s="29" t="n">
        <v>0</v>
      </c>
      <c r="R44" s="29" t="n">
        <v>2150.89</v>
      </c>
      <c r="S44" s="29" t="n">
        <v>9907.15</v>
      </c>
      <c r="T44" t="inlineStr">
        <is>
          <t>42260211308600000804550010000123891634956547</t>
        </is>
      </c>
      <c r="U44" t="inlineStr">
        <is>
          <t>Sim</t>
        </is>
      </c>
    </row>
    <row r="45">
      <c r="A45" t="inlineStr">
        <is>
          <t>Insumos e papel</t>
        </is>
      </c>
      <c r="B45" t="inlineStr">
        <is>
          <t>2.01.03 Compra de Matéria Prima (Papel)</t>
        </is>
      </c>
      <c r="C45" s="30" t="n">
        <v>46054</v>
      </c>
      <c r="D45" t="inlineStr">
        <is>
          <t>Em 2026</t>
        </is>
      </c>
      <c r="E45" s="28" t="n">
        <v>46079</v>
      </c>
      <c r="F45" t="inlineStr">
        <is>
          <t>NF-e</t>
        </is>
      </c>
      <c r="G45" t="inlineStr">
        <is>
          <t>000012395</t>
        </is>
      </c>
      <c r="H45" t="inlineStr">
        <is>
          <t>CMPC Iguacu Embalagens Ltda</t>
        </is>
      </c>
      <c r="I45" t="inlineStr">
        <is>
          <t>11.308.600/0008-04</t>
        </is>
      </c>
      <c r="J45" s="29" t="n">
        <v>143128.43</v>
      </c>
      <c r="K45" s="29">
        <f>(1-ISNUMBER(SEARCH("556",M45)))*(O45*SUMIFS(Premissas!$C$5:$C$44,Premissas!$A$5:$A$44,$A45,Premissas!$B$5:$B$44,$B45)+P45*SUMIFS(Premissas!$D$5:$D$44,Premissas!$A$5:$A$44,$A45,Premissas!$B$5:$B$44,$B45))+R45*SUMIFS(Premissas!$E$5:$E$44,Premissas!$A$5:$A$44,$A45,Premissas!$B$5:$B$44,$B45)+S45*SUMIFS(Premissas!$F$5:$F$44,Premissas!$A$5:$A$44,$A45,Premissas!$B$5:$B$44,$B45)</f>
        <v/>
      </c>
      <c r="L45" s="29">
        <f>J45-K45</f>
        <v/>
      </c>
      <c r="M45" t="inlineStr">
        <is>
          <t>1.101</t>
        </is>
      </c>
      <c r="O45" s="29" t="n">
        <v>4505.25</v>
      </c>
      <c r="P45" s="29" t="n">
        <v>9703.620000000001</v>
      </c>
      <c r="Q45" s="29" t="n">
        <v>0</v>
      </c>
      <c r="R45" s="29" t="n">
        <v>2127.17</v>
      </c>
      <c r="S45" s="29" t="n">
        <v>9797.889999999999</v>
      </c>
      <c r="T45" t="inlineStr">
        <is>
          <t>42260211308600000804550010000123951716971938</t>
        </is>
      </c>
      <c r="U45" t="inlineStr">
        <is>
          <t>Sim</t>
        </is>
      </c>
    </row>
    <row r="46">
      <c r="A46" t="inlineStr">
        <is>
          <t>Insumos e papel</t>
        </is>
      </c>
      <c r="B46" t="inlineStr">
        <is>
          <t>2.01.03 Compra de Matéria Prima (Papel)</t>
        </is>
      </c>
      <c r="C46" s="30" t="n">
        <v>46054</v>
      </c>
      <c r="D46" t="inlineStr">
        <is>
          <t>Em 2026</t>
        </is>
      </c>
      <c r="E46" s="28" t="n">
        <v>46080</v>
      </c>
      <c r="F46" t="inlineStr">
        <is>
          <t>NF-e</t>
        </is>
      </c>
      <c r="G46" t="inlineStr">
        <is>
          <t>000012408</t>
        </is>
      </c>
      <c r="H46" t="inlineStr">
        <is>
          <t>CMPC Iguacu Embalagens Ltda</t>
        </is>
      </c>
      <c r="I46" t="inlineStr">
        <is>
          <t>11.308.600/0008-04</t>
        </is>
      </c>
      <c r="J46" s="29" t="n">
        <v>144366.86</v>
      </c>
      <c r="K46" s="29">
        <f>(1-ISNUMBER(SEARCH("556",M46)))*(O46*SUMIFS(Premissas!$C$5:$C$44,Premissas!$A$5:$A$44,$A46,Premissas!$B$5:$B$44,$B46)+P46*SUMIFS(Premissas!$D$5:$D$44,Premissas!$A$5:$A$44,$A46,Premissas!$B$5:$B$44,$B46))+R46*SUMIFS(Premissas!$E$5:$E$44,Premissas!$A$5:$A$44,$A46,Premissas!$B$5:$B$44,$B46)+S46*SUMIFS(Premissas!$F$5:$F$44,Premissas!$A$5:$A$44,$A46,Premissas!$B$5:$B$44,$B46)</f>
        <v/>
      </c>
      <c r="L46" s="29">
        <f>J46-K46</f>
        <v/>
      </c>
      <c r="M46" t="inlineStr">
        <is>
          <t>1.556</t>
        </is>
      </c>
      <c r="O46" s="29" t="n">
        <v>4544.23</v>
      </c>
      <c r="P46" s="29" t="n">
        <v>9787.59</v>
      </c>
      <c r="Q46" s="29" t="n">
        <v>0</v>
      </c>
      <c r="R46" s="29" t="n">
        <v>2145.57</v>
      </c>
      <c r="S46" s="29" t="n">
        <v>9882.66</v>
      </c>
      <c r="T46" t="inlineStr">
        <is>
          <t>42260211308600000804550010000124081751550536</t>
        </is>
      </c>
      <c r="U46" t="inlineStr">
        <is>
          <t>Sim</t>
        </is>
      </c>
    </row>
    <row r="47">
      <c r="A47" t="inlineStr">
        <is>
          <t>Insumos e papel</t>
        </is>
      </c>
      <c r="B47" t="inlineStr">
        <is>
          <t>2.01.03 Compra de Matéria Prima (Papel)</t>
        </is>
      </c>
      <c r="C47" s="30" t="n">
        <v>46082</v>
      </c>
      <c r="D47" t="inlineStr">
        <is>
          <t>Em 2026</t>
        </is>
      </c>
      <c r="E47" s="28" t="n">
        <v>46107</v>
      </c>
      <c r="F47" t="inlineStr">
        <is>
          <t>NF-e</t>
        </is>
      </c>
      <c r="G47" t="inlineStr">
        <is>
          <t>000012701</t>
        </is>
      </c>
      <c r="H47" t="inlineStr">
        <is>
          <t>CMPC Iguacu Embalagens Ltda</t>
        </is>
      </c>
      <c r="I47" t="inlineStr">
        <is>
          <t>11.308.600/0008-04</t>
        </is>
      </c>
      <c r="J47" s="29" t="n">
        <v>143454.06</v>
      </c>
      <c r="K47" s="29">
        <f>(1-ISNUMBER(SEARCH("556",M47)))*(O47*SUMIFS(Premissas!$C$5:$C$44,Premissas!$A$5:$A$44,$A47,Premissas!$B$5:$B$44,$B47)+P47*SUMIFS(Premissas!$D$5:$D$44,Premissas!$A$5:$A$44,$A47,Premissas!$B$5:$B$44,$B47))+R47*SUMIFS(Premissas!$E$5:$E$44,Premissas!$A$5:$A$44,$A47,Premissas!$B$5:$B$44,$B47)+S47*SUMIFS(Premissas!$F$5:$F$44,Premissas!$A$5:$A$44,$A47,Premissas!$B$5:$B$44,$B47)</f>
        <v/>
      </c>
      <c r="L47" s="29">
        <f>J47-K47</f>
        <v/>
      </c>
      <c r="M47" t="inlineStr">
        <is>
          <t>2.101</t>
        </is>
      </c>
      <c r="O47" s="29" t="n">
        <v>4515.5</v>
      </c>
      <c r="P47" s="29" t="n">
        <v>9725.700000000001</v>
      </c>
      <c r="Q47" s="29" t="n">
        <v>0</v>
      </c>
      <c r="R47" s="29" t="n">
        <v>2132.02</v>
      </c>
      <c r="S47" s="29" t="n">
        <v>9820.18</v>
      </c>
      <c r="T47" t="inlineStr">
        <is>
          <t>42260311308600000804550010000127011589186152</t>
        </is>
      </c>
      <c r="U47" t="inlineStr">
        <is>
          <t>Sim</t>
        </is>
      </c>
    </row>
    <row r="48">
      <c r="A48" t="inlineStr">
        <is>
          <t>Insumos e papel</t>
        </is>
      </c>
      <c r="B48" t="inlineStr">
        <is>
          <t>2.01.03 Compra de Matéria Prima (Papel)</t>
        </is>
      </c>
      <c r="C48" s="30" t="n">
        <v>46082</v>
      </c>
      <c r="D48" t="inlineStr">
        <is>
          <t>Em 2026</t>
        </is>
      </c>
      <c r="E48" s="28" t="n">
        <v>46108</v>
      </c>
      <c r="F48" t="inlineStr">
        <is>
          <t>NF-e</t>
        </is>
      </c>
      <c r="G48" t="inlineStr">
        <is>
          <t>000012718</t>
        </is>
      </c>
      <c r="H48" t="inlineStr">
        <is>
          <t>CMPC Iguacu Embalagens Ltda</t>
        </is>
      </c>
      <c r="I48" t="inlineStr">
        <is>
          <t>11.308.600/0008-04</t>
        </is>
      </c>
      <c r="J48" s="29" t="n">
        <v>140512.8</v>
      </c>
      <c r="K48" s="29">
        <f>(1-ISNUMBER(SEARCH("556",M48)))*(O48*SUMIFS(Premissas!$C$5:$C$44,Premissas!$A$5:$A$44,$A48,Premissas!$B$5:$B$44,$B48)+P48*SUMIFS(Premissas!$D$5:$D$44,Premissas!$A$5:$A$44,$A48,Premissas!$B$5:$B$44,$B48))+R48*SUMIFS(Premissas!$E$5:$E$44,Premissas!$A$5:$A$44,$A48,Premissas!$B$5:$B$44,$B48)+S48*SUMIFS(Premissas!$F$5:$F$44,Premissas!$A$5:$A$44,$A48,Premissas!$B$5:$B$44,$B48)</f>
        <v/>
      </c>
      <c r="L48" s="29">
        <f>J48-K48</f>
        <v/>
      </c>
      <c r="M48" t="inlineStr">
        <is>
          <t>2.101</t>
        </is>
      </c>
      <c r="O48" s="29" t="n">
        <v>4422.92</v>
      </c>
      <c r="P48" s="29" t="n">
        <v>9526.290000000001</v>
      </c>
      <c r="Q48" s="29" t="n">
        <v>0</v>
      </c>
      <c r="R48" s="29" t="n">
        <v>2088.3</v>
      </c>
      <c r="S48" s="29" t="n">
        <v>9618.83</v>
      </c>
      <c r="T48" t="inlineStr">
        <is>
          <t>42260311308600000804550010000127181714006751</t>
        </is>
      </c>
      <c r="U48" t="inlineStr">
        <is>
          <t>Sim</t>
        </is>
      </c>
    </row>
    <row r="49">
      <c r="A49" t="inlineStr">
        <is>
          <t>Insumos e papel</t>
        </is>
      </c>
      <c r="B49" t="inlineStr">
        <is>
          <t>2.01.03 Compra de Matéria Prima (Papel)</t>
        </is>
      </c>
      <c r="C49" s="30" t="n">
        <v>46082</v>
      </c>
      <c r="D49" t="inlineStr">
        <is>
          <t>Em 2026</t>
        </is>
      </c>
      <c r="E49" s="28" t="n">
        <v>46108</v>
      </c>
      <c r="F49" t="inlineStr">
        <is>
          <t>NF-e</t>
        </is>
      </c>
      <c r="G49" t="inlineStr">
        <is>
          <t>000012720</t>
        </is>
      </c>
      <c r="H49" t="inlineStr">
        <is>
          <t>CMPC Iguacu Embalagens Ltda</t>
        </is>
      </c>
      <c r="I49" t="inlineStr">
        <is>
          <t>11.308.600/0008-04</t>
        </is>
      </c>
      <c r="J49" s="29" t="n">
        <v>144260.09</v>
      </c>
      <c r="K49" s="29">
        <f>(1-ISNUMBER(SEARCH("556",M49)))*(O49*SUMIFS(Premissas!$C$5:$C$44,Premissas!$A$5:$A$44,$A49,Premissas!$B$5:$B$44,$B49)+P49*SUMIFS(Premissas!$D$5:$D$44,Premissas!$A$5:$A$44,$A49,Premissas!$B$5:$B$44,$B49))+R49*SUMIFS(Premissas!$E$5:$E$44,Premissas!$A$5:$A$44,$A49,Premissas!$B$5:$B$44,$B49)+S49*SUMIFS(Premissas!$F$5:$F$44,Premissas!$A$5:$A$44,$A49,Premissas!$B$5:$B$44,$B49)</f>
        <v/>
      </c>
      <c r="L49" s="29">
        <f>J49-K49</f>
        <v/>
      </c>
      <c r="M49" t="inlineStr">
        <is>
          <t>2.101</t>
        </is>
      </c>
      <c r="O49" s="29" t="n">
        <v>4540.87</v>
      </c>
      <c r="P49" s="29" t="n">
        <v>9780.35</v>
      </c>
      <c r="Q49" s="29" t="n">
        <v>0</v>
      </c>
      <c r="R49" s="29" t="n">
        <v>2143.99</v>
      </c>
      <c r="S49" s="29" t="n">
        <v>9875.35</v>
      </c>
      <c r="T49" t="inlineStr">
        <is>
          <t>42260311308600000804550010000127201831263384</t>
        </is>
      </c>
      <c r="U49" t="inlineStr">
        <is>
          <t>Sim</t>
        </is>
      </c>
    </row>
    <row r="50">
      <c r="A50" t="inlineStr">
        <is>
          <t>Insumos e papel</t>
        </is>
      </c>
      <c r="B50" t="inlineStr">
        <is>
          <t>2.01.03 Compra de Matéria Prima (Papel)</t>
        </is>
      </c>
      <c r="C50" s="30" t="n">
        <v>46082</v>
      </c>
      <c r="D50" t="inlineStr">
        <is>
          <t>Em 2026</t>
        </is>
      </c>
      <c r="E50" s="28" t="n">
        <v>46108</v>
      </c>
      <c r="F50" t="inlineStr">
        <is>
          <t>NF-e</t>
        </is>
      </c>
      <c r="G50" t="inlineStr">
        <is>
          <t>000012738</t>
        </is>
      </c>
      <c r="H50" t="inlineStr">
        <is>
          <t>CMPC Iguacu Embalagens Ltda</t>
        </is>
      </c>
      <c r="I50" t="inlineStr">
        <is>
          <t>11.308.600/0008-04</t>
        </is>
      </c>
      <c r="J50" s="29" t="n">
        <v>144452.28</v>
      </c>
      <c r="K50" s="29">
        <f>(1-ISNUMBER(SEARCH("556",M50)))*(O50*SUMIFS(Premissas!$C$5:$C$44,Premissas!$A$5:$A$44,$A50,Premissas!$B$5:$B$44,$B50)+P50*SUMIFS(Premissas!$D$5:$D$44,Premissas!$A$5:$A$44,$A50,Premissas!$B$5:$B$44,$B50))+R50*SUMIFS(Premissas!$E$5:$E$44,Premissas!$A$5:$A$44,$A50,Premissas!$B$5:$B$44,$B50)+S50*SUMIFS(Premissas!$F$5:$F$44,Premissas!$A$5:$A$44,$A50,Premissas!$B$5:$B$44,$B50)</f>
        <v/>
      </c>
      <c r="L50" s="29">
        <f>J50-K50</f>
        <v/>
      </c>
      <c r="M50" t="inlineStr">
        <is>
          <t>2.101</t>
        </is>
      </c>
      <c r="O50" s="29" t="n">
        <v>4546.93</v>
      </c>
      <c r="P50" s="29" t="n">
        <v>9793.379999999999</v>
      </c>
      <c r="Q50" s="29" t="n">
        <v>0</v>
      </c>
      <c r="R50" s="29" t="n">
        <v>2146.84</v>
      </c>
      <c r="S50" s="29" t="n">
        <v>9888.51</v>
      </c>
      <c r="T50" t="inlineStr">
        <is>
          <t>42260311308600000804550010000127381086523370</t>
        </is>
      </c>
      <c r="U50" t="inlineStr">
        <is>
          <t>Sim</t>
        </is>
      </c>
    </row>
    <row r="51">
      <c r="A51" t="inlineStr">
        <is>
          <t>Insumos e papel</t>
        </is>
      </c>
      <c r="B51" t="inlineStr">
        <is>
          <t>2.01.03 Compra de Matéria Prima (Papel)</t>
        </is>
      </c>
      <c r="C51" s="30" t="n">
        <v>46082</v>
      </c>
      <c r="D51" t="inlineStr">
        <is>
          <t>Em 2026</t>
        </is>
      </c>
      <c r="E51" s="28" t="n">
        <v>46111</v>
      </c>
      <c r="F51" t="inlineStr">
        <is>
          <t>NF-e</t>
        </is>
      </c>
      <c r="G51" t="inlineStr">
        <is>
          <t>000012740</t>
        </is>
      </c>
      <c r="H51" t="inlineStr">
        <is>
          <t>CMPC Iguacu Embalagens Ltda</t>
        </is>
      </c>
      <c r="I51" t="inlineStr">
        <is>
          <t>11.308.600/0008-04</t>
        </is>
      </c>
      <c r="J51" s="29" t="n">
        <v>145034.12</v>
      </c>
      <c r="K51" s="29">
        <f>(1-ISNUMBER(SEARCH("556",M51)))*(O51*SUMIFS(Premissas!$C$5:$C$44,Premissas!$A$5:$A$44,$A51,Premissas!$B$5:$B$44,$B51)+P51*SUMIFS(Premissas!$D$5:$D$44,Premissas!$A$5:$A$44,$A51,Premissas!$B$5:$B$44,$B51))+R51*SUMIFS(Premissas!$E$5:$E$44,Premissas!$A$5:$A$44,$A51,Premissas!$B$5:$B$44,$B51)+S51*SUMIFS(Premissas!$F$5:$F$44,Premissas!$A$5:$A$44,$A51,Premissas!$B$5:$B$44,$B51)</f>
        <v/>
      </c>
      <c r="L51" s="29">
        <f>J51-K51</f>
        <v/>
      </c>
      <c r="M51" t="inlineStr">
        <is>
          <t>2.101</t>
        </is>
      </c>
      <c r="O51" s="29" t="n">
        <v>4565.24</v>
      </c>
      <c r="P51" s="29" t="n">
        <v>9832.82</v>
      </c>
      <c r="Q51" s="29" t="n">
        <v>0</v>
      </c>
      <c r="R51" s="29" t="n">
        <v>2155.49</v>
      </c>
      <c r="S51" s="29" t="n">
        <v>9928.34</v>
      </c>
      <c r="T51" t="inlineStr">
        <is>
          <t>42260311308600000804550010000127401681521017</t>
        </is>
      </c>
      <c r="U51" t="inlineStr">
        <is>
          <t>Sim</t>
        </is>
      </c>
    </row>
    <row r="52">
      <c r="A52" t="inlineStr">
        <is>
          <t>Insumos e papel</t>
        </is>
      </c>
      <c r="B52" t="inlineStr">
        <is>
          <t>2.01.03 Compra de Matéria Prima (Papel)</t>
        </is>
      </c>
      <c r="C52" s="30" t="n">
        <v>46082</v>
      </c>
      <c r="D52" t="inlineStr">
        <is>
          <t>Em 2026</t>
        </is>
      </c>
      <c r="E52" s="28" t="n">
        <v>46111</v>
      </c>
      <c r="F52" t="inlineStr">
        <is>
          <t>NF-e</t>
        </is>
      </c>
      <c r="G52" t="inlineStr">
        <is>
          <t>000012744</t>
        </is>
      </c>
      <c r="H52" t="inlineStr">
        <is>
          <t>CMPC Iguacu Embalagens Ltda</t>
        </is>
      </c>
      <c r="I52" t="inlineStr">
        <is>
          <t>11.308.600/0008-04</t>
        </is>
      </c>
      <c r="J52" s="29" t="n">
        <v>142445.17</v>
      </c>
      <c r="K52" s="29">
        <f>(1-ISNUMBER(SEARCH("556",M52)))*(O52*SUMIFS(Premissas!$C$5:$C$44,Premissas!$A$5:$A$44,$A52,Premissas!$B$5:$B$44,$B52)+P52*SUMIFS(Premissas!$D$5:$D$44,Premissas!$A$5:$A$44,$A52,Premissas!$B$5:$B$44,$B52))+R52*SUMIFS(Premissas!$E$5:$E$44,Premissas!$A$5:$A$44,$A52,Premissas!$B$5:$B$44,$B52)+S52*SUMIFS(Premissas!$F$5:$F$44,Premissas!$A$5:$A$44,$A52,Premissas!$B$5:$B$44,$B52)</f>
        <v/>
      </c>
      <c r="L52" s="29">
        <f>J52-K52</f>
        <v/>
      </c>
      <c r="M52" t="inlineStr">
        <is>
          <t>2.101</t>
        </is>
      </c>
      <c r="O52" s="29" t="n">
        <v>4483.75</v>
      </c>
      <c r="P52" s="29" t="n">
        <v>9657.299999999999</v>
      </c>
      <c r="Q52" s="29" t="n">
        <v>0</v>
      </c>
      <c r="R52" s="29" t="n">
        <v>2117.02</v>
      </c>
      <c r="S52" s="29" t="n">
        <v>9751.110000000001</v>
      </c>
      <c r="T52" t="inlineStr">
        <is>
          <t>42260311308600000804550010000127441773173294</t>
        </is>
      </c>
      <c r="U52" t="inlineStr">
        <is>
          <t>Sim</t>
        </is>
      </c>
    </row>
    <row r="53">
      <c r="A53" t="inlineStr">
        <is>
          <t>Insumos e papel</t>
        </is>
      </c>
      <c r="B53" t="inlineStr">
        <is>
          <t>2.01.03 Compra de Matéria Prima (Papel)</t>
        </is>
      </c>
      <c r="C53" s="30" t="n">
        <v>46082</v>
      </c>
      <c r="D53" t="inlineStr">
        <is>
          <t>Em 2026</t>
        </is>
      </c>
      <c r="E53" s="28" t="n">
        <v>46111</v>
      </c>
      <c r="F53" t="inlineStr">
        <is>
          <t>NF-e</t>
        </is>
      </c>
      <c r="G53" t="inlineStr">
        <is>
          <t>000012746</t>
        </is>
      </c>
      <c r="H53" t="inlineStr">
        <is>
          <t>CMPC Iguacu Embalagens Ltda</t>
        </is>
      </c>
      <c r="I53" t="inlineStr">
        <is>
          <t>11.308.600/0008-04</t>
        </is>
      </c>
      <c r="J53" s="29" t="n">
        <v>144527</v>
      </c>
      <c r="K53" s="29">
        <f>(1-ISNUMBER(SEARCH("556",M53)))*(O53*SUMIFS(Premissas!$C$5:$C$44,Premissas!$A$5:$A$44,$A53,Premissas!$B$5:$B$44,$B53)+P53*SUMIFS(Premissas!$D$5:$D$44,Premissas!$A$5:$A$44,$A53,Premissas!$B$5:$B$44,$B53))+R53*SUMIFS(Premissas!$E$5:$E$44,Premissas!$A$5:$A$44,$A53,Premissas!$B$5:$B$44,$B53)+S53*SUMIFS(Premissas!$F$5:$F$44,Premissas!$A$5:$A$44,$A53,Premissas!$B$5:$B$44,$B53)</f>
        <v/>
      </c>
      <c r="L53" s="29">
        <f>J53-K53</f>
        <v/>
      </c>
      <c r="M53" t="inlineStr">
        <is>
          <t>2.101</t>
        </is>
      </c>
      <c r="O53" s="29" t="n">
        <v>4549.27</v>
      </c>
      <c r="P53" s="29" t="n">
        <v>9798.440000000001</v>
      </c>
      <c r="Q53" s="29" t="n">
        <v>0</v>
      </c>
      <c r="R53" s="29" t="n">
        <v>2147.95</v>
      </c>
      <c r="S53" s="29" t="n">
        <v>9893.620000000001</v>
      </c>
      <c r="T53" t="inlineStr">
        <is>
          <t>42260311308600000804550010000127461892561012</t>
        </is>
      </c>
      <c r="U53" t="inlineStr">
        <is>
          <t>Sim</t>
        </is>
      </c>
    </row>
    <row r="54">
      <c r="A54" t="inlineStr">
        <is>
          <t>Insumos e papel</t>
        </is>
      </c>
      <c r="B54" t="inlineStr">
        <is>
          <t>2.01.03 Compra de Matéria Prima (Papel)</t>
        </is>
      </c>
      <c r="C54" s="30" t="n">
        <v>46082</v>
      </c>
      <c r="D54" t="inlineStr">
        <is>
          <t>Em 2026</t>
        </is>
      </c>
      <c r="E54" s="28" t="n">
        <v>46112</v>
      </c>
      <c r="F54" t="inlineStr">
        <is>
          <t>NF-e</t>
        </is>
      </c>
      <c r="G54" t="inlineStr">
        <is>
          <t>000012771</t>
        </is>
      </c>
      <c r="H54" t="inlineStr">
        <is>
          <t>CMPC Iguacu Embalagens Ltda</t>
        </is>
      </c>
      <c r="I54" t="inlineStr">
        <is>
          <t>11.308.600/0008-04</t>
        </is>
      </c>
      <c r="J54" s="29" t="n">
        <v>141847.31</v>
      </c>
      <c r="K54" s="29">
        <f>(1-ISNUMBER(SEARCH("556",M54)))*(O54*SUMIFS(Premissas!$C$5:$C$44,Premissas!$A$5:$A$44,$A54,Premissas!$B$5:$B$44,$B54)+P54*SUMIFS(Premissas!$D$5:$D$44,Premissas!$A$5:$A$44,$A54,Premissas!$B$5:$B$44,$B54))+R54*SUMIFS(Premissas!$E$5:$E$44,Premissas!$A$5:$A$44,$A54,Premissas!$B$5:$B$44,$B54)+S54*SUMIFS(Premissas!$F$5:$F$44,Premissas!$A$5:$A$44,$A54,Premissas!$B$5:$B$44,$B54)</f>
        <v/>
      </c>
      <c r="L54" s="29">
        <f>J54-K54</f>
        <v/>
      </c>
      <c r="M54" t="inlineStr">
        <is>
          <t>2.101</t>
        </is>
      </c>
      <c r="O54" s="29" t="n">
        <v>4464.93</v>
      </c>
      <c r="P54" s="29" t="n">
        <v>9616.76</v>
      </c>
      <c r="Q54" s="29" t="n">
        <v>0</v>
      </c>
      <c r="R54" s="29" t="n">
        <v>2108.13</v>
      </c>
      <c r="S54" s="29" t="n">
        <v>9710.190000000001</v>
      </c>
      <c r="T54" t="inlineStr">
        <is>
          <t>42260311308600000804550010000127711330650953</t>
        </is>
      </c>
      <c r="U54" t="inlineStr">
        <is>
          <t>Sim</t>
        </is>
      </c>
    </row>
    <row r="55">
      <c r="A55" t="inlineStr">
        <is>
          <t>Insumos e papel</t>
        </is>
      </c>
      <c r="B55" t="inlineStr">
        <is>
          <t>2.01.03 Compra de Matéria Prima (Papel)</t>
        </is>
      </c>
      <c r="C55" s="30" t="n">
        <v>46082</v>
      </c>
      <c r="D55" t="inlineStr">
        <is>
          <t>Em 2026</t>
        </is>
      </c>
      <c r="E55" s="28" t="n">
        <v>46112</v>
      </c>
      <c r="F55" t="inlineStr">
        <is>
          <t>NF-e</t>
        </is>
      </c>
      <c r="G55" t="inlineStr">
        <is>
          <t>000012777</t>
        </is>
      </c>
      <c r="H55" t="inlineStr">
        <is>
          <t>CMPC Iguacu Embalagens Ltda</t>
        </is>
      </c>
      <c r="I55" t="inlineStr">
        <is>
          <t>11.308.600/0008-04</t>
        </is>
      </c>
      <c r="J55" s="29" t="n">
        <v>142327.74</v>
      </c>
      <c r="K55" s="29">
        <f>(1-ISNUMBER(SEARCH("556",M55)))*(O55*SUMIFS(Premissas!$C$5:$C$44,Premissas!$A$5:$A$44,$A55,Premissas!$B$5:$B$44,$B55)+P55*SUMIFS(Premissas!$D$5:$D$44,Premissas!$A$5:$A$44,$A55,Premissas!$B$5:$B$44,$B55))+R55*SUMIFS(Premissas!$E$5:$E$44,Premissas!$A$5:$A$44,$A55,Premissas!$B$5:$B$44,$B55)+S55*SUMIFS(Premissas!$F$5:$F$44,Premissas!$A$5:$A$44,$A55,Premissas!$B$5:$B$44,$B55)</f>
        <v/>
      </c>
      <c r="L55" s="29">
        <f>J55-K55</f>
        <v/>
      </c>
      <c r="M55" t="inlineStr">
        <is>
          <t>1.101</t>
        </is>
      </c>
      <c r="O55" s="29" t="n">
        <v>4480.05</v>
      </c>
      <c r="P55" s="29" t="n">
        <v>9649.34</v>
      </c>
      <c r="Q55" s="29" t="n">
        <v>0</v>
      </c>
      <c r="R55" s="29" t="n">
        <v>2115.27</v>
      </c>
      <c r="S55" s="29" t="n">
        <v>9743.07</v>
      </c>
      <c r="T55" t="inlineStr">
        <is>
          <t>42260311308600000804550010000127771405818671</t>
        </is>
      </c>
      <c r="U55" t="inlineStr">
        <is>
          <t>Sim</t>
        </is>
      </c>
    </row>
    <row r="56">
      <c r="A56" t="inlineStr">
        <is>
          <t>Insumos e papel</t>
        </is>
      </c>
      <c r="B56" t="inlineStr">
        <is>
          <t>2.01.03 Compra de Matéria Prima (Papel)</t>
        </is>
      </c>
      <c r="C56" s="30" t="n">
        <v>46082</v>
      </c>
      <c r="D56" t="inlineStr">
        <is>
          <t>Em 2026</t>
        </is>
      </c>
      <c r="E56" s="28" t="n">
        <v>46112</v>
      </c>
      <c r="F56" t="inlineStr">
        <is>
          <t>NF-e</t>
        </is>
      </c>
      <c r="G56" t="inlineStr">
        <is>
          <t>000012780</t>
        </is>
      </c>
      <c r="H56" t="inlineStr">
        <is>
          <t>CMPC Iguacu Embalagens Ltda</t>
        </is>
      </c>
      <c r="I56" t="inlineStr">
        <is>
          <t>11.308.600/0008-04</t>
        </is>
      </c>
      <c r="J56" s="29" t="n">
        <v>143117.76</v>
      </c>
      <c r="K56" s="29">
        <f>(1-ISNUMBER(SEARCH("556",M56)))*(O56*SUMIFS(Premissas!$C$5:$C$44,Premissas!$A$5:$A$44,$A56,Premissas!$B$5:$B$44,$B56)+P56*SUMIFS(Premissas!$D$5:$D$44,Premissas!$A$5:$A$44,$A56,Premissas!$B$5:$B$44,$B56))+R56*SUMIFS(Premissas!$E$5:$E$44,Premissas!$A$5:$A$44,$A56,Premissas!$B$5:$B$44,$B56)+S56*SUMIFS(Premissas!$F$5:$F$44,Premissas!$A$5:$A$44,$A56,Premissas!$B$5:$B$44,$B56)</f>
        <v/>
      </c>
      <c r="L56" s="29">
        <f>J56-K56</f>
        <v/>
      </c>
      <c r="M56" t="inlineStr">
        <is>
          <t>2.101</t>
        </is>
      </c>
      <c r="O56" s="29" t="n">
        <v>4504.92</v>
      </c>
      <c r="P56" s="29" t="n">
        <v>9702.9</v>
      </c>
      <c r="Q56" s="29" t="n">
        <v>0</v>
      </c>
      <c r="R56" s="29" t="n">
        <v>2127.02</v>
      </c>
      <c r="S56" s="29" t="n">
        <v>9797.16</v>
      </c>
      <c r="T56" t="inlineStr">
        <is>
          <t>42260311308600000804550010000127801457372106</t>
        </is>
      </c>
      <c r="U56" t="inlineStr">
        <is>
          <t>Sim</t>
        </is>
      </c>
    </row>
    <row r="57">
      <c r="A57" t="inlineStr">
        <is>
          <t>Insumos e papel</t>
        </is>
      </c>
      <c r="B57" t="inlineStr">
        <is>
          <t>2.01.03 Compra de Matéria Prima (Papel)</t>
        </is>
      </c>
      <c r="C57" s="30" t="n">
        <v>46082</v>
      </c>
      <c r="D57" t="inlineStr">
        <is>
          <t>Em 2026</t>
        </is>
      </c>
      <c r="E57" s="28" t="n">
        <v>46112</v>
      </c>
      <c r="F57" t="inlineStr">
        <is>
          <t>NF-e</t>
        </is>
      </c>
      <c r="G57" t="inlineStr">
        <is>
          <t>000012784</t>
        </is>
      </c>
      <c r="H57" t="inlineStr">
        <is>
          <t>CMPC Iguacu Embalagens Ltda</t>
        </is>
      </c>
      <c r="I57" t="inlineStr">
        <is>
          <t>11.308.600/0008-04</t>
        </is>
      </c>
      <c r="J57" s="29" t="n">
        <v>143475.42</v>
      </c>
      <c r="K57" s="29">
        <f>(1-ISNUMBER(SEARCH("556",M57)))*(O57*SUMIFS(Premissas!$C$5:$C$44,Premissas!$A$5:$A$44,$A57,Premissas!$B$5:$B$44,$B57)+P57*SUMIFS(Premissas!$D$5:$D$44,Premissas!$A$5:$A$44,$A57,Premissas!$B$5:$B$44,$B57))+R57*SUMIFS(Premissas!$E$5:$E$44,Premissas!$A$5:$A$44,$A57,Premissas!$B$5:$B$44,$B57)+S57*SUMIFS(Premissas!$F$5:$F$44,Premissas!$A$5:$A$44,$A57,Premissas!$B$5:$B$44,$B57)</f>
        <v/>
      </c>
      <c r="L57" s="29">
        <f>J57-K57</f>
        <v/>
      </c>
      <c r="M57" t="inlineStr">
        <is>
          <t>2.101</t>
        </is>
      </c>
      <c r="O57" s="29" t="n">
        <v>4516.18</v>
      </c>
      <c r="P57" s="29" t="n">
        <v>9727.15</v>
      </c>
      <c r="Q57" s="29" t="n">
        <v>0</v>
      </c>
      <c r="R57" s="29" t="n">
        <v>2132.33</v>
      </c>
      <c r="S57" s="29" t="n">
        <v>9821.629999999999</v>
      </c>
      <c r="T57" t="inlineStr">
        <is>
          <t>42260311308600000804550010000127841583670160</t>
        </is>
      </c>
      <c r="U57" t="inlineStr">
        <is>
          <t>Sim</t>
        </is>
      </c>
    </row>
    <row r="58">
      <c r="A58" t="inlineStr">
        <is>
          <t>Insumos e papel</t>
        </is>
      </c>
      <c r="B58" t="inlineStr">
        <is>
          <t>2.01.03 Compra de Matéria Prima (Papel)</t>
        </is>
      </c>
      <c r="C58" s="30" t="n">
        <v>46082</v>
      </c>
      <c r="D58" t="inlineStr">
        <is>
          <t>Em 2026</t>
        </is>
      </c>
      <c r="E58" s="28" t="n">
        <v>46091</v>
      </c>
      <c r="F58" t="inlineStr">
        <is>
          <t>NF-e</t>
        </is>
      </c>
      <c r="G58" t="inlineStr">
        <is>
          <t>000013420</t>
        </is>
      </c>
      <c r="H58" t="inlineStr">
        <is>
          <t>NOVA CONPEL COMPANHIA NORDESTINA DE PAPEL LTDA</t>
        </is>
      </c>
      <c r="I58" t="inlineStr">
        <is>
          <t>55.330.530/0001-90</t>
        </is>
      </c>
      <c r="J58" s="29" t="n">
        <v>7623.9</v>
      </c>
      <c r="K58" s="29">
        <f>(1-ISNUMBER(SEARCH("556",M58)))*(O58*SUMIFS(Premissas!$C$5:$C$44,Premissas!$A$5:$A$44,$A58,Premissas!$B$5:$B$44,$B58)+P58*SUMIFS(Premissas!$D$5:$D$44,Premissas!$A$5:$A$44,$A58,Premissas!$B$5:$B$44,$B58))+R58*SUMIFS(Premissas!$E$5:$E$44,Premissas!$A$5:$A$44,$A58,Premissas!$B$5:$B$44,$B58)+S58*SUMIFS(Premissas!$F$5:$F$44,Premissas!$A$5:$A$44,$A58,Premissas!$B$5:$B$44,$B58)</f>
        <v/>
      </c>
      <c r="L58" s="29">
        <f>J58-K58</f>
        <v/>
      </c>
      <c r="M58" t="inlineStr">
        <is>
          <t>1.102</t>
        </is>
      </c>
      <c r="O58" s="29" t="n">
        <v>0</v>
      </c>
      <c r="P58" s="29" t="n">
        <v>1524.78</v>
      </c>
      <c r="Q58" s="29" t="n">
        <v>0</v>
      </c>
      <c r="R58" s="29" t="n">
        <v>100.64</v>
      </c>
      <c r="S58" s="29" t="n">
        <v>463.53</v>
      </c>
      <c r="T58" t="inlineStr">
        <is>
          <t>25260355330530000190550010000134201515020430</t>
        </is>
      </c>
      <c r="U58" t="inlineStr">
        <is>
          <t>Sim</t>
        </is>
      </c>
    </row>
    <row r="59">
      <c r="A59" t="inlineStr">
        <is>
          <t>Insumos e papel</t>
        </is>
      </c>
      <c r="B59" t="inlineStr">
        <is>
          <t>2.01.03 Compra de Matéria Prima (Papel)</t>
        </is>
      </c>
      <c r="C59" s="30" t="n">
        <v>46082</v>
      </c>
      <c r="D59" t="inlineStr">
        <is>
          <t>Em 2026</t>
        </is>
      </c>
      <c r="E59" s="28" t="n">
        <v>46094</v>
      </c>
      <c r="F59" t="inlineStr">
        <is>
          <t>NF-e</t>
        </is>
      </c>
      <c r="G59" t="inlineStr">
        <is>
          <t>000013524</t>
        </is>
      </c>
      <c r="H59" t="inlineStr">
        <is>
          <t>NOVA CONPEL COMPANHIA NORDESTINA DE PAPEL LTDA</t>
        </is>
      </c>
      <c r="I59" t="inlineStr">
        <is>
          <t>55.330.530/0001-90</t>
        </is>
      </c>
      <c r="J59" s="29" t="n">
        <v>27159.13</v>
      </c>
      <c r="K59" s="29">
        <f>(1-ISNUMBER(SEARCH("556",M59)))*(O59*SUMIFS(Premissas!$C$5:$C$44,Premissas!$A$5:$A$44,$A59,Premissas!$B$5:$B$44,$B59)+P59*SUMIFS(Premissas!$D$5:$D$44,Premissas!$A$5:$A$44,$A59,Premissas!$B$5:$B$44,$B59))+R59*SUMIFS(Premissas!$E$5:$E$44,Premissas!$A$5:$A$44,$A59,Premissas!$B$5:$B$44,$B59)+S59*SUMIFS(Premissas!$F$5:$F$44,Premissas!$A$5:$A$44,$A59,Premissas!$B$5:$B$44,$B59)</f>
        <v/>
      </c>
      <c r="L59" s="29">
        <f>J59-K59</f>
        <v/>
      </c>
      <c r="M59" t="inlineStr">
        <is>
          <t>1.102</t>
        </is>
      </c>
      <c r="O59" s="29" t="n">
        <v>0</v>
      </c>
      <c r="P59" s="29" t="n">
        <v>5431.82</v>
      </c>
      <c r="Q59" s="29" t="n">
        <v>0</v>
      </c>
      <c r="R59" s="29" t="n">
        <v>358.5</v>
      </c>
      <c r="S59" s="29" t="n">
        <v>1651.28</v>
      </c>
      <c r="T59" t="inlineStr">
        <is>
          <t>25260355330530000190550010000135241624340294</t>
        </is>
      </c>
      <c r="U59" t="inlineStr">
        <is>
          <t>Sim</t>
        </is>
      </c>
    </row>
    <row r="60">
      <c r="A60" t="inlineStr">
        <is>
          <t>Insumos e papel</t>
        </is>
      </c>
      <c r="B60" t="inlineStr">
        <is>
          <t>2.01.03 Compra de Matéria Prima (Papel)</t>
        </is>
      </c>
      <c r="C60" s="30" t="n">
        <v>46113</v>
      </c>
      <c r="D60" t="inlineStr">
        <is>
          <t>Em 2026</t>
        </is>
      </c>
      <c r="E60" s="28" t="n">
        <v>46135</v>
      </c>
      <c r="F60" t="inlineStr">
        <is>
          <t>NF-e</t>
        </is>
      </c>
      <c r="G60" t="inlineStr">
        <is>
          <t>000012945</t>
        </is>
      </c>
      <c r="H60" t="inlineStr">
        <is>
          <t>CMPC Iguacu Embalagens Ltda</t>
        </is>
      </c>
      <c r="I60" t="inlineStr">
        <is>
          <t>11.308.600/0008-04</t>
        </is>
      </c>
      <c r="J60" s="29" t="n">
        <v>144361.53</v>
      </c>
      <c r="K60" s="29">
        <f>(1-ISNUMBER(SEARCH("556",M60)))*(O60*SUMIFS(Premissas!$C$5:$C$44,Premissas!$A$5:$A$44,$A60,Premissas!$B$5:$B$44,$B60)+P60*SUMIFS(Premissas!$D$5:$D$44,Premissas!$A$5:$A$44,$A60,Premissas!$B$5:$B$44,$B60))+R60*SUMIFS(Premissas!$E$5:$E$44,Premissas!$A$5:$A$44,$A60,Premissas!$B$5:$B$44,$B60)+S60*SUMIFS(Premissas!$F$5:$F$44,Premissas!$A$5:$A$44,$A60,Premissas!$B$5:$B$44,$B60)</f>
        <v/>
      </c>
      <c r="L60" s="29">
        <f>J60-K60</f>
        <v/>
      </c>
      <c r="M60" t="inlineStr">
        <is>
          <t>2.101</t>
        </is>
      </c>
      <c r="O60" s="29" t="n">
        <v>4544.07</v>
      </c>
      <c r="P60" s="29" t="n">
        <v>9787.23</v>
      </c>
      <c r="Q60" s="29" t="n">
        <v>0</v>
      </c>
      <c r="R60" s="29" t="n">
        <v>2145.5</v>
      </c>
      <c r="S60" s="29" t="n">
        <v>9882.290000000001</v>
      </c>
      <c r="T60" t="inlineStr">
        <is>
          <t>42260411308600000804550010000129451187258360</t>
        </is>
      </c>
      <c r="U60" t="inlineStr">
        <is>
          <t>Sim</t>
        </is>
      </c>
    </row>
    <row r="61">
      <c r="A61" t="inlineStr">
        <is>
          <t>Insumos e papel</t>
        </is>
      </c>
      <c r="B61" t="inlineStr">
        <is>
          <t>2.01.03 Compra de Matéria Prima (Papel)</t>
        </is>
      </c>
      <c r="C61" s="30" t="n">
        <v>46113</v>
      </c>
      <c r="D61" t="inlineStr">
        <is>
          <t>Em 2026</t>
        </is>
      </c>
      <c r="E61" s="28" t="n">
        <v>46135</v>
      </c>
      <c r="F61" t="inlineStr">
        <is>
          <t>NF-e</t>
        </is>
      </c>
      <c r="G61" t="inlineStr">
        <is>
          <t>000012953</t>
        </is>
      </c>
      <c r="H61" t="inlineStr">
        <is>
          <t>CMPC Iguacu Embalagens Ltda</t>
        </is>
      </c>
      <c r="I61" t="inlineStr">
        <is>
          <t>11.308.600/0008-04</t>
        </is>
      </c>
      <c r="J61" s="29" t="n">
        <v>49616.93</v>
      </c>
      <c r="K61" s="29">
        <f>(1-ISNUMBER(SEARCH("556",M61)))*(O61*SUMIFS(Premissas!$C$5:$C$44,Premissas!$A$5:$A$44,$A61,Premissas!$B$5:$B$44,$B61)+P61*SUMIFS(Premissas!$D$5:$D$44,Premissas!$A$5:$A$44,$A61,Premissas!$B$5:$B$44,$B61))+R61*SUMIFS(Premissas!$E$5:$E$44,Premissas!$A$5:$A$44,$A61,Premissas!$B$5:$B$44,$B61)+S61*SUMIFS(Premissas!$F$5:$F$44,Premissas!$A$5:$A$44,$A61,Premissas!$B$5:$B$44,$B61)</f>
        <v/>
      </c>
      <c r="L61" s="29">
        <f>J61-K61</f>
        <v/>
      </c>
      <c r="M61" t="inlineStr">
        <is>
          <t>2.101</t>
        </is>
      </c>
      <c r="O61" s="29" t="n">
        <v>1561.79</v>
      </c>
      <c r="P61" s="29" t="n">
        <v>3363.86</v>
      </c>
      <c r="Q61" s="29" t="n">
        <v>0</v>
      </c>
      <c r="R61" s="29" t="n">
        <v>737.41</v>
      </c>
      <c r="S61" s="29" t="n">
        <v>3396.54</v>
      </c>
      <c r="T61" t="inlineStr">
        <is>
          <t>42260411308600000804550010000129531443442864</t>
        </is>
      </c>
      <c r="U61" t="inlineStr">
        <is>
          <t>Sim</t>
        </is>
      </c>
    </row>
    <row r="62">
      <c r="A62" t="inlineStr">
        <is>
          <t>Insumos e papel</t>
        </is>
      </c>
      <c r="B62" t="inlineStr">
        <is>
          <t>2.01.03 Compra de Matéria Prima (Papel)</t>
        </is>
      </c>
      <c r="C62" s="30" t="n">
        <v>46113</v>
      </c>
      <c r="D62" t="inlineStr">
        <is>
          <t>Em 2026</t>
        </is>
      </c>
      <c r="E62" s="28" t="n">
        <v>46135</v>
      </c>
      <c r="F62" t="inlineStr">
        <is>
          <t>NF-e</t>
        </is>
      </c>
      <c r="G62" t="inlineStr">
        <is>
          <t>000012955</t>
        </is>
      </c>
      <c r="H62" t="inlineStr">
        <is>
          <t>CMPC Iguacu Embalagens Ltda</t>
        </is>
      </c>
      <c r="I62" t="inlineStr">
        <is>
          <t>11.308.600/0008-04</t>
        </is>
      </c>
      <c r="J62" s="29" t="n">
        <v>91931.45</v>
      </c>
      <c r="K62" s="29">
        <f>(1-ISNUMBER(SEARCH("556",M62)))*(O62*SUMIFS(Premissas!$C$5:$C$44,Premissas!$A$5:$A$44,$A62,Premissas!$B$5:$B$44,$B62)+P62*SUMIFS(Premissas!$D$5:$D$44,Premissas!$A$5:$A$44,$A62,Premissas!$B$5:$B$44,$B62))+R62*SUMIFS(Premissas!$E$5:$E$44,Premissas!$A$5:$A$44,$A62,Premissas!$B$5:$B$44,$B62)+S62*SUMIFS(Premissas!$F$5:$F$44,Premissas!$A$5:$A$44,$A62,Premissas!$B$5:$B$44,$B62)</f>
        <v/>
      </c>
      <c r="L62" s="29">
        <f>J62-K62</f>
        <v/>
      </c>
      <c r="M62" t="inlineStr">
        <is>
          <t>2.101</t>
        </is>
      </c>
      <c r="O62" s="29" t="n">
        <v>2893.73</v>
      </c>
      <c r="P62" s="29" t="n">
        <v>6232.64</v>
      </c>
      <c r="Q62" s="29" t="n">
        <v>0</v>
      </c>
      <c r="R62" s="29" t="n">
        <v>1366.28</v>
      </c>
      <c r="S62" s="29" t="n">
        <v>6293.19</v>
      </c>
      <c r="T62" t="inlineStr">
        <is>
          <t>42260411308600000804550010000129551458830541</t>
        </is>
      </c>
      <c r="U62" t="inlineStr">
        <is>
          <t>Sim</t>
        </is>
      </c>
    </row>
    <row r="63">
      <c r="A63" t="inlineStr">
        <is>
          <t>Insumos e papel</t>
        </is>
      </c>
      <c r="B63" t="inlineStr">
        <is>
          <t>2.01.03 Compra de Matéria Prima (Papel)</t>
        </is>
      </c>
      <c r="C63" s="30" t="n">
        <v>46113</v>
      </c>
      <c r="D63" t="inlineStr">
        <is>
          <t>Em 2026</t>
        </is>
      </c>
      <c r="E63" s="28" t="n">
        <v>46136</v>
      </c>
      <c r="F63" t="inlineStr">
        <is>
          <t>NF-e</t>
        </is>
      </c>
      <c r="G63" t="inlineStr">
        <is>
          <t>000012967</t>
        </is>
      </c>
      <c r="H63" t="inlineStr">
        <is>
          <t>CMPC Iguacu Embalagens Ltda</t>
        </is>
      </c>
      <c r="I63" t="inlineStr">
        <is>
          <t>11.308.600/0008-04</t>
        </is>
      </c>
      <c r="J63" s="29" t="n">
        <v>143982.53</v>
      </c>
      <c r="K63" s="29">
        <f>(1-ISNUMBER(SEARCH("556",M63)))*(O63*SUMIFS(Premissas!$C$5:$C$44,Premissas!$A$5:$A$44,$A63,Premissas!$B$5:$B$44,$B63)+P63*SUMIFS(Premissas!$D$5:$D$44,Premissas!$A$5:$A$44,$A63,Premissas!$B$5:$B$44,$B63))+R63*SUMIFS(Premissas!$E$5:$E$44,Premissas!$A$5:$A$44,$A63,Premissas!$B$5:$B$44,$B63)+S63*SUMIFS(Premissas!$F$5:$F$44,Premissas!$A$5:$A$44,$A63,Premissas!$B$5:$B$44,$B63)</f>
        <v/>
      </c>
      <c r="L63" s="29">
        <f>J63-K63</f>
        <v/>
      </c>
      <c r="M63" t="inlineStr">
        <is>
          <t>2.101</t>
        </is>
      </c>
      <c r="O63" s="29" t="n">
        <v>4532.14</v>
      </c>
      <c r="P63" s="29" t="n">
        <v>9761.52</v>
      </c>
      <c r="Q63" s="29" t="n">
        <v>0</v>
      </c>
      <c r="R63" s="29" t="n">
        <v>2139.86</v>
      </c>
      <c r="S63" s="29" t="n">
        <v>9856.35</v>
      </c>
      <c r="T63" t="inlineStr">
        <is>
          <t>42260411308600000804550010000129671711359482</t>
        </is>
      </c>
      <c r="U63" t="inlineStr">
        <is>
          <t>Sim</t>
        </is>
      </c>
    </row>
    <row r="64">
      <c r="A64" t="inlineStr">
        <is>
          <t>Insumos e papel</t>
        </is>
      </c>
      <c r="B64" t="inlineStr">
        <is>
          <t>2.01.03 Compra de Matéria Prima (Papel)</t>
        </is>
      </c>
      <c r="C64" s="30" t="n">
        <v>46113</v>
      </c>
      <c r="D64" t="inlineStr">
        <is>
          <t>Em 2026</t>
        </is>
      </c>
      <c r="E64" s="28" t="n">
        <v>46139</v>
      </c>
      <c r="F64" t="inlineStr">
        <is>
          <t>NF-e</t>
        </is>
      </c>
      <c r="G64" t="inlineStr">
        <is>
          <t>000012980</t>
        </is>
      </c>
      <c r="H64" t="inlineStr">
        <is>
          <t>CMPC Iguacu Embalagens Ltda</t>
        </is>
      </c>
      <c r="I64" t="inlineStr">
        <is>
          <t>11.308.600/0008-04</t>
        </is>
      </c>
      <c r="J64" s="29" t="n">
        <v>143785.01</v>
      </c>
      <c r="K64" s="29">
        <f>(1-ISNUMBER(SEARCH("556",M64)))*(O64*SUMIFS(Premissas!$C$5:$C$44,Premissas!$A$5:$A$44,$A64,Premissas!$B$5:$B$44,$B64)+P64*SUMIFS(Premissas!$D$5:$D$44,Premissas!$A$5:$A$44,$A64,Premissas!$B$5:$B$44,$B64))+R64*SUMIFS(Premissas!$E$5:$E$44,Premissas!$A$5:$A$44,$A64,Premissas!$B$5:$B$44,$B64)+S64*SUMIFS(Premissas!$F$5:$F$44,Premissas!$A$5:$A$44,$A64,Premissas!$B$5:$B$44,$B64)</f>
        <v/>
      </c>
      <c r="L64" s="29">
        <f>J64-K64</f>
        <v/>
      </c>
      <c r="M64" t="inlineStr">
        <is>
          <t>2.101</t>
        </is>
      </c>
      <c r="O64" s="29" t="n">
        <v>4525.92</v>
      </c>
      <c r="P64" s="29" t="n">
        <v>9748.139999999999</v>
      </c>
      <c r="Q64" s="29" t="n">
        <v>0</v>
      </c>
      <c r="R64" s="29" t="n">
        <v>2136.93</v>
      </c>
      <c r="S64" s="29" t="n">
        <v>9842.83</v>
      </c>
      <c r="T64" t="inlineStr">
        <is>
          <t>42260411308600000804550010000129801570752576</t>
        </is>
      </c>
      <c r="U64" t="inlineStr">
        <is>
          <t>Sim</t>
        </is>
      </c>
    </row>
    <row r="65">
      <c r="A65" t="inlineStr">
        <is>
          <t>Insumos e papel</t>
        </is>
      </c>
      <c r="B65" t="inlineStr">
        <is>
          <t>2.01.03 Compra de Matéria Prima (Papel)</t>
        </is>
      </c>
      <c r="C65" s="30" t="n">
        <v>46113</v>
      </c>
      <c r="D65" t="inlineStr">
        <is>
          <t>Em 2026</t>
        </is>
      </c>
      <c r="E65" s="28" t="n">
        <v>46139</v>
      </c>
      <c r="F65" t="inlineStr">
        <is>
          <t>NF-e</t>
        </is>
      </c>
      <c r="G65" t="inlineStr">
        <is>
          <t>000012986</t>
        </is>
      </c>
      <c r="H65" t="inlineStr">
        <is>
          <t>CMPC Iguacu Embalagens Ltda</t>
        </is>
      </c>
      <c r="I65" t="inlineStr">
        <is>
          <t>11.308.600/0008-04</t>
        </is>
      </c>
      <c r="J65" s="29" t="n">
        <v>143801.04</v>
      </c>
      <c r="K65" s="29">
        <f>(1-ISNUMBER(SEARCH("556",M65)))*(O65*SUMIFS(Premissas!$C$5:$C$44,Premissas!$A$5:$A$44,$A65,Premissas!$B$5:$B$44,$B65)+P65*SUMIFS(Premissas!$D$5:$D$44,Premissas!$A$5:$A$44,$A65,Premissas!$B$5:$B$44,$B65))+R65*SUMIFS(Premissas!$E$5:$E$44,Premissas!$A$5:$A$44,$A65,Premissas!$B$5:$B$44,$B65)+S65*SUMIFS(Premissas!$F$5:$F$44,Premissas!$A$5:$A$44,$A65,Premissas!$B$5:$B$44,$B65)</f>
        <v/>
      </c>
      <c r="L65" s="29">
        <f>J65-K65</f>
        <v/>
      </c>
      <c r="M65" t="inlineStr">
        <is>
          <t>2.101</t>
        </is>
      </c>
      <c r="O65" s="29" t="n">
        <v>4526.43</v>
      </c>
      <c r="P65" s="29" t="n">
        <v>9749.219999999999</v>
      </c>
      <c r="Q65" s="29" t="n">
        <v>0</v>
      </c>
      <c r="R65" s="29" t="n">
        <v>2137.17</v>
      </c>
      <c r="S65" s="29" t="n">
        <v>9843.93</v>
      </c>
      <c r="T65" t="inlineStr">
        <is>
          <t>42260411308600000804550010000129861665523128</t>
        </is>
      </c>
      <c r="U65" t="inlineStr">
        <is>
          <t>Sim</t>
        </is>
      </c>
    </row>
    <row r="66">
      <c r="A66" t="inlineStr">
        <is>
          <t>Insumos e papel</t>
        </is>
      </c>
      <c r="B66" t="inlineStr">
        <is>
          <t>2.01.03 Compra de Matéria Prima (Papel)</t>
        </is>
      </c>
      <c r="C66" s="30" t="n">
        <v>46113</v>
      </c>
      <c r="D66" t="inlineStr">
        <is>
          <t>Em 2026</t>
        </is>
      </c>
      <c r="E66" s="28" t="n">
        <v>46139</v>
      </c>
      <c r="F66" t="inlineStr">
        <is>
          <t>NF-e</t>
        </is>
      </c>
      <c r="G66" t="inlineStr">
        <is>
          <t>000012995</t>
        </is>
      </c>
      <c r="H66" t="inlineStr">
        <is>
          <t>CMPC Iguacu Embalagens Ltda</t>
        </is>
      </c>
      <c r="I66" t="inlineStr">
        <is>
          <t>11.308.600/0008-04</t>
        </is>
      </c>
      <c r="J66" s="29" t="n">
        <v>144180.02</v>
      </c>
      <c r="K66" s="29">
        <f>(1-ISNUMBER(SEARCH("556",M66)))*(O66*SUMIFS(Premissas!$C$5:$C$44,Premissas!$A$5:$A$44,$A66,Premissas!$B$5:$B$44,$B66)+P66*SUMIFS(Premissas!$D$5:$D$44,Premissas!$A$5:$A$44,$A66,Premissas!$B$5:$B$44,$B66))+R66*SUMIFS(Premissas!$E$5:$E$44,Premissas!$A$5:$A$44,$A66,Premissas!$B$5:$B$44,$B66)+S66*SUMIFS(Premissas!$F$5:$F$44,Premissas!$A$5:$A$44,$A66,Premissas!$B$5:$B$44,$B66)</f>
        <v/>
      </c>
      <c r="L66" s="29">
        <f>J66-K66</f>
        <v/>
      </c>
      <c r="M66" t="inlineStr">
        <is>
          <t>2.101</t>
        </is>
      </c>
      <c r="O66" s="29" t="n">
        <v>4538.35</v>
      </c>
      <c r="P66" s="29" t="n">
        <v>9774.92</v>
      </c>
      <c r="Q66" s="29" t="n">
        <v>0</v>
      </c>
      <c r="R66" s="29" t="n">
        <v>2142.8</v>
      </c>
      <c r="S66" s="29" t="n">
        <v>9869.870000000001</v>
      </c>
      <c r="T66" t="inlineStr">
        <is>
          <t>42260411308600000804550010000129951877048880</t>
        </is>
      </c>
      <c r="U66" t="inlineStr">
        <is>
          <t>Sim</t>
        </is>
      </c>
    </row>
    <row r="67">
      <c r="A67" t="inlineStr">
        <is>
          <t>Insumos e papel</t>
        </is>
      </c>
      <c r="B67" t="inlineStr">
        <is>
          <t>2.01.03 Compra de Matéria Prima (Papel)</t>
        </is>
      </c>
      <c r="C67" s="30" t="n">
        <v>46113</v>
      </c>
      <c r="D67" t="inlineStr">
        <is>
          <t>Em 2026</t>
        </is>
      </c>
      <c r="E67" s="28" t="n">
        <v>46139</v>
      </c>
      <c r="F67" t="inlineStr">
        <is>
          <t>NF-e</t>
        </is>
      </c>
      <c r="G67" t="inlineStr">
        <is>
          <t>000012997</t>
        </is>
      </c>
      <c r="H67" t="inlineStr">
        <is>
          <t>CMPC Iguacu Embalagens Ltda</t>
        </is>
      </c>
      <c r="I67" t="inlineStr">
        <is>
          <t>11.308.600/0008-04</t>
        </is>
      </c>
      <c r="J67" s="29" t="n">
        <v>143219.19</v>
      </c>
      <c r="K67" s="29">
        <f>(1-ISNUMBER(SEARCH("556",M67)))*(O67*SUMIFS(Premissas!$C$5:$C$44,Premissas!$A$5:$A$44,$A67,Premissas!$B$5:$B$44,$B67)+P67*SUMIFS(Premissas!$D$5:$D$44,Premissas!$A$5:$A$44,$A67,Premissas!$B$5:$B$44,$B67))+R67*SUMIFS(Premissas!$E$5:$E$44,Premissas!$A$5:$A$44,$A67,Premissas!$B$5:$B$44,$B67)+S67*SUMIFS(Premissas!$F$5:$F$44,Premissas!$A$5:$A$44,$A67,Premissas!$B$5:$B$44,$B67)</f>
        <v/>
      </c>
      <c r="L67" s="29">
        <f>J67-K67</f>
        <v/>
      </c>
      <c r="M67" t="inlineStr">
        <is>
          <t>2.101</t>
        </is>
      </c>
      <c r="O67" s="29" t="n">
        <v>4508.11</v>
      </c>
      <c r="P67" s="29" t="n">
        <v>9709.780000000001</v>
      </c>
      <c r="Q67" s="29" t="n">
        <v>0</v>
      </c>
      <c r="R67" s="29" t="n">
        <v>2128.52</v>
      </c>
      <c r="S67" s="29" t="n">
        <v>9804.1</v>
      </c>
      <c r="T67" t="inlineStr">
        <is>
          <t>42260411308600000804550010000129971952702362</t>
        </is>
      </c>
      <c r="U67" t="inlineStr">
        <is>
          <t>Sim</t>
        </is>
      </c>
    </row>
    <row r="68">
      <c r="A68" t="inlineStr">
        <is>
          <t>Insumos e papel</t>
        </is>
      </c>
      <c r="B68" t="inlineStr">
        <is>
          <t>2.01.03 Compra de Matéria Prima (Papel)</t>
        </is>
      </c>
      <c r="C68" s="30" t="n">
        <v>46113</v>
      </c>
      <c r="D68" t="inlineStr">
        <is>
          <t>Em 2026</t>
        </is>
      </c>
      <c r="E68" s="28" t="n">
        <v>46140</v>
      </c>
      <c r="F68" t="inlineStr">
        <is>
          <t>NF-e</t>
        </is>
      </c>
      <c r="G68" t="inlineStr">
        <is>
          <t>000013001</t>
        </is>
      </c>
      <c r="H68" t="inlineStr">
        <is>
          <t>CMPC Iguacu Embalagens Ltda</t>
        </is>
      </c>
      <c r="I68" t="inlineStr">
        <is>
          <t>11.308.600/0008-04</t>
        </is>
      </c>
      <c r="J68" s="29" t="n">
        <v>138943.43</v>
      </c>
      <c r="K68" s="29">
        <f>(1-ISNUMBER(SEARCH("556",M68)))*(O68*SUMIFS(Premissas!$C$5:$C$44,Premissas!$A$5:$A$44,$A68,Premissas!$B$5:$B$44,$B68)+P68*SUMIFS(Premissas!$D$5:$D$44,Premissas!$A$5:$A$44,$A68,Premissas!$B$5:$B$44,$B68))+R68*SUMIFS(Premissas!$E$5:$E$44,Premissas!$A$5:$A$44,$A68,Premissas!$B$5:$B$44,$B68)+S68*SUMIFS(Premissas!$F$5:$F$44,Premissas!$A$5:$A$44,$A68,Premissas!$B$5:$B$44,$B68)</f>
        <v/>
      </c>
      <c r="L68" s="29">
        <f>J68-K68</f>
        <v/>
      </c>
      <c r="M68" t="inlineStr">
        <is>
          <t>2.101</t>
        </is>
      </c>
      <c r="O68" s="29" t="n">
        <v>4373.52</v>
      </c>
      <c r="P68" s="29" t="n">
        <v>9419.889999999999</v>
      </c>
      <c r="Q68" s="29" t="n">
        <v>0</v>
      </c>
      <c r="R68" s="29" t="n">
        <v>2064.98</v>
      </c>
      <c r="S68" s="29" t="n">
        <v>9511.4</v>
      </c>
      <c r="T68" t="inlineStr">
        <is>
          <t>42260411308600000804550010000130011882387751</t>
        </is>
      </c>
      <c r="U68" t="inlineStr">
        <is>
          <t>Sim</t>
        </is>
      </c>
    </row>
    <row r="69">
      <c r="A69" t="inlineStr">
        <is>
          <t>Insumos e papel</t>
        </is>
      </c>
      <c r="B69" t="inlineStr">
        <is>
          <t>2.01.03 Compra de Matéria Prima (Papel)</t>
        </is>
      </c>
      <c r="C69" s="30" t="n">
        <v>46113</v>
      </c>
      <c r="D69" t="inlineStr">
        <is>
          <t>Em 2026</t>
        </is>
      </c>
      <c r="E69" s="28" t="n">
        <v>46140</v>
      </c>
      <c r="F69" t="inlineStr">
        <is>
          <t>NF-e</t>
        </is>
      </c>
      <c r="G69" t="inlineStr">
        <is>
          <t>000013009</t>
        </is>
      </c>
      <c r="H69" t="inlineStr">
        <is>
          <t>CMPC Iguacu Embalagens Ltda</t>
        </is>
      </c>
      <c r="I69" t="inlineStr">
        <is>
          <t>11.308.600/0008-04</t>
        </is>
      </c>
      <c r="J69" s="29" t="n">
        <v>145034.11</v>
      </c>
      <c r="K69" s="29">
        <f>(1-ISNUMBER(SEARCH("556",M69)))*(O69*SUMIFS(Premissas!$C$5:$C$44,Premissas!$A$5:$A$44,$A69,Premissas!$B$5:$B$44,$B69)+P69*SUMIFS(Premissas!$D$5:$D$44,Premissas!$A$5:$A$44,$A69,Premissas!$B$5:$B$44,$B69))+R69*SUMIFS(Premissas!$E$5:$E$44,Premissas!$A$5:$A$44,$A69,Premissas!$B$5:$B$44,$B69)+S69*SUMIFS(Premissas!$F$5:$F$44,Premissas!$A$5:$A$44,$A69,Premissas!$B$5:$B$44,$B69)</f>
        <v/>
      </c>
      <c r="L69" s="29">
        <f>J69-K69</f>
        <v/>
      </c>
      <c r="M69" t="inlineStr">
        <is>
          <t>1.556, 2.101</t>
        </is>
      </c>
      <c r="O69" s="29" t="n">
        <v>4565.23</v>
      </c>
      <c r="P69" s="29" t="n">
        <v>9832.82</v>
      </c>
      <c r="Q69" s="29" t="n">
        <v>0</v>
      </c>
      <c r="R69" s="29" t="n">
        <v>2155.49</v>
      </c>
      <c r="S69" s="29" t="n">
        <v>9928.34</v>
      </c>
      <c r="T69" t="inlineStr">
        <is>
          <t>42260411308600000804550010000130091152314603</t>
        </is>
      </c>
      <c r="U69" t="inlineStr">
        <is>
          <t>Sim</t>
        </is>
      </c>
    </row>
    <row r="70">
      <c r="A70" t="inlineStr">
        <is>
          <t>Insumos e papel</t>
        </is>
      </c>
      <c r="B70" t="inlineStr">
        <is>
          <t>2.01.03 Compra de Matéria Prima (Papel)</t>
        </is>
      </c>
      <c r="C70" s="30" t="n">
        <v>46113</v>
      </c>
      <c r="D70" t="inlineStr">
        <is>
          <t>Em 2026</t>
        </is>
      </c>
      <c r="E70" s="28" t="n">
        <v>46140</v>
      </c>
      <c r="F70" t="inlineStr">
        <is>
          <t>NF-e</t>
        </is>
      </c>
      <c r="G70" t="inlineStr">
        <is>
          <t>000013015</t>
        </is>
      </c>
      <c r="H70" t="inlineStr">
        <is>
          <t>CMPC Iguacu Embalagens Ltda</t>
        </is>
      </c>
      <c r="I70" t="inlineStr">
        <is>
          <t>11.308.600/0008-04</t>
        </is>
      </c>
      <c r="J70" s="29" t="n">
        <v>143283.25</v>
      </c>
      <c r="K70" s="29">
        <f>(1-ISNUMBER(SEARCH("556",M70)))*(O70*SUMIFS(Premissas!$C$5:$C$44,Premissas!$A$5:$A$44,$A70,Premissas!$B$5:$B$44,$B70)+P70*SUMIFS(Premissas!$D$5:$D$44,Premissas!$A$5:$A$44,$A70,Premissas!$B$5:$B$44,$B70))+R70*SUMIFS(Premissas!$E$5:$E$44,Premissas!$A$5:$A$44,$A70,Premissas!$B$5:$B$44,$B70)+S70*SUMIFS(Premissas!$F$5:$F$44,Premissas!$A$5:$A$44,$A70,Premissas!$B$5:$B$44,$B70)</f>
        <v/>
      </c>
      <c r="L70" s="29">
        <f>J70-K70</f>
        <v/>
      </c>
      <c r="M70" t="inlineStr">
        <is>
          <t>2.101</t>
        </is>
      </c>
      <c r="O70" s="29" t="n">
        <v>4510.13</v>
      </c>
      <c r="P70" s="29" t="n">
        <v>9714.120000000001</v>
      </c>
      <c r="Q70" s="29" t="n">
        <v>0</v>
      </c>
      <c r="R70" s="29" t="n">
        <v>2129.47</v>
      </c>
      <c r="S70" s="29" t="n">
        <v>9808.48</v>
      </c>
      <c r="T70" t="inlineStr">
        <is>
          <t>42260411308600000804550010000130151379087013</t>
        </is>
      </c>
      <c r="U70" t="inlineStr">
        <is>
          <t>Sim</t>
        </is>
      </c>
    </row>
    <row r="71">
      <c r="A71" t="inlineStr">
        <is>
          <t>Insumos e papel</t>
        </is>
      </c>
      <c r="B71" t="inlineStr">
        <is>
          <t>2.01.03 Compra de Matéria Prima (Papel)</t>
        </is>
      </c>
      <c r="C71" s="30" t="n">
        <v>46113</v>
      </c>
      <c r="D71" t="inlineStr">
        <is>
          <t>Em 2026</t>
        </is>
      </c>
      <c r="E71" s="28" t="n">
        <v>46140</v>
      </c>
      <c r="F71" t="inlineStr">
        <is>
          <t>NF-e</t>
        </is>
      </c>
      <c r="G71" t="inlineStr">
        <is>
          <t>000013017</t>
        </is>
      </c>
      <c r="H71" t="inlineStr">
        <is>
          <t>CMPC Iguacu Embalagens Ltda</t>
        </is>
      </c>
      <c r="I71" t="inlineStr">
        <is>
          <t>11.308.600/0008-04</t>
        </is>
      </c>
      <c r="J71" s="29" t="n">
        <v>141799.28</v>
      </c>
      <c r="K71" s="29">
        <f>(1-ISNUMBER(SEARCH("556",M71)))*(O71*SUMIFS(Premissas!$C$5:$C$44,Premissas!$A$5:$A$44,$A71,Premissas!$B$5:$B$44,$B71)+P71*SUMIFS(Premissas!$D$5:$D$44,Premissas!$A$5:$A$44,$A71,Premissas!$B$5:$B$44,$B71))+R71*SUMIFS(Premissas!$E$5:$E$44,Premissas!$A$5:$A$44,$A71,Premissas!$B$5:$B$44,$B71)+S71*SUMIFS(Premissas!$F$5:$F$44,Premissas!$A$5:$A$44,$A71,Premissas!$B$5:$B$44,$B71)</f>
        <v/>
      </c>
      <c r="L71" s="29">
        <f>J71-K71</f>
        <v/>
      </c>
      <c r="M71" t="inlineStr">
        <is>
          <t>2.101</t>
        </is>
      </c>
      <c r="O71" s="29" t="n">
        <v>4463.42</v>
      </c>
      <c r="P71" s="29" t="n">
        <v>9613.51</v>
      </c>
      <c r="Q71" s="29" t="n">
        <v>0</v>
      </c>
      <c r="R71" s="29" t="n">
        <v>2107.42</v>
      </c>
      <c r="S71" s="29" t="n">
        <v>9706.889999999999</v>
      </c>
      <c r="T71" t="inlineStr">
        <is>
          <t>42260411308600000804550010000130171477210892</t>
        </is>
      </c>
      <c r="U71" t="inlineStr">
        <is>
          <t>Sim</t>
        </is>
      </c>
    </row>
    <row r="72">
      <c r="A72" t="inlineStr">
        <is>
          <t>Insumos e papel</t>
        </is>
      </c>
      <c r="B72" t="inlineStr">
        <is>
          <t>2.01.03 Compra de Matéria Prima (Papel)</t>
        </is>
      </c>
      <c r="C72" s="30" t="n">
        <v>46113</v>
      </c>
      <c r="D72" t="inlineStr">
        <is>
          <t>Em 2026</t>
        </is>
      </c>
      <c r="E72" s="28" t="n">
        <v>46122</v>
      </c>
      <c r="F72" t="inlineStr">
        <is>
          <t>NF-e</t>
        </is>
      </c>
      <c r="G72" t="inlineStr">
        <is>
          <t>000014185</t>
        </is>
      </c>
      <c r="H72" t="inlineStr">
        <is>
          <t>NOVA CONPEL COMPANHIA NORDESTINA DE PAPEL LTDA</t>
        </is>
      </c>
      <c r="I72" t="inlineStr">
        <is>
          <t>55.330.530/0001-90</t>
        </is>
      </c>
      <c r="J72" s="29" t="n">
        <v>21670.79</v>
      </c>
      <c r="K72" s="29">
        <f>(1-ISNUMBER(SEARCH("556",M72)))*(O72*SUMIFS(Premissas!$C$5:$C$44,Premissas!$A$5:$A$44,$A72,Premissas!$B$5:$B$44,$B72)+P72*SUMIFS(Premissas!$D$5:$D$44,Premissas!$A$5:$A$44,$A72,Premissas!$B$5:$B$44,$B72))+R72*SUMIFS(Premissas!$E$5:$E$44,Premissas!$A$5:$A$44,$A72,Premissas!$B$5:$B$44,$B72)+S72*SUMIFS(Premissas!$F$5:$F$44,Premissas!$A$5:$A$44,$A72,Premissas!$B$5:$B$44,$B72)</f>
        <v/>
      </c>
      <c r="L72" s="29">
        <f>J72-K72</f>
        <v/>
      </c>
      <c r="M72" t="inlineStr">
        <is>
          <t>1.556</t>
        </is>
      </c>
      <c r="O72" s="29" t="n">
        <v>0</v>
      </c>
      <c r="P72" s="29" t="n">
        <v>4334.15</v>
      </c>
      <c r="Q72" s="29" t="n">
        <v>0</v>
      </c>
      <c r="R72" s="29" t="n">
        <v>286.05</v>
      </c>
      <c r="S72" s="29" t="n">
        <v>1317.58</v>
      </c>
      <c r="T72" t="inlineStr">
        <is>
          <t>25260455330530000190550010000141851033996572</t>
        </is>
      </c>
      <c r="U72" t="inlineStr">
        <is>
          <t>Sim</t>
        </is>
      </c>
    </row>
    <row r="73">
      <c r="A73" t="inlineStr">
        <is>
          <t>Insumos e papel</t>
        </is>
      </c>
      <c r="B73" t="inlineStr">
        <is>
          <t>2.01.03 Compra de Matéria Prima (Papel)</t>
        </is>
      </c>
      <c r="C73" s="30" t="n">
        <v>46143</v>
      </c>
      <c r="D73" t="inlineStr">
        <is>
          <t>Em 2026</t>
        </is>
      </c>
      <c r="E73" s="28" t="n">
        <v>46154</v>
      </c>
      <c r="F73" t="inlineStr">
        <is>
          <t>NF-e</t>
        </is>
      </c>
      <c r="G73" t="inlineStr">
        <is>
          <t>000013140</t>
        </is>
      </c>
      <c r="H73" t="inlineStr">
        <is>
          <t>CMPC Iguacu Embalagens Ltda</t>
        </is>
      </c>
      <c r="I73" t="inlineStr">
        <is>
          <t>11.308.600/0008-04</t>
        </is>
      </c>
      <c r="J73" s="29" t="n">
        <v>144313.49</v>
      </c>
      <c r="K73" s="29">
        <f>(1-ISNUMBER(SEARCH("556",M73)))*(O73*SUMIFS(Premissas!$C$5:$C$44,Premissas!$A$5:$A$44,$A73,Premissas!$B$5:$B$44,$B73)+P73*SUMIFS(Premissas!$D$5:$D$44,Premissas!$A$5:$A$44,$A73,Premissas!$B$5:$B$44,$B73))+R73*SUMIFS(Premissas!$E$5:$E$44,Premissas!$A$5:$A$44,$A73,Premissas!$B$5:$B$44,$B73)+S73*SUMIFS(Premissas!$F$5:$F$44,Premissas!$A$5:$A$44,$A73,Premissas!$B$5:$B$44,$B73)</f>
        <v/>
      </c>
      <c r="L73" s="29">
        <f>J73-K73</f>
        <v/>
      </c>
      <c r="M73" t="inlineStr">
        <is>
          <t>2.101</t>
        </is>
      </c>
      <c r="O73" s="29" t="n">
        <v>4542.56</v>
      </c>
      <c r="P73" s="29" t="n">
        <v>9783.969999999999</v>
      </c>
      <c r="Q73" s="29" t="n">
        <v>0</v>
      </c>
      <c r="R73" s="29" t="n">
        <v>2144.78</v>
      </c>
      <c r="S73" s="29" t="n">
        <v>9879.01</v>
      </c>
      <c r="T73" t="inlineStr">
        <is>
          <t>42260511308600000804550010000131401823274137</t>
        </is>
      </c>
      <c r="U73" t="inlineStr">
        <is>
          <t>Sim</t>
        </is>
      </c>
    </row>
    <row r="74">
      <c r="A74" t="inlineStr">
        <is>
          <t>Insumos e papel</t>
        </is>
      </c>
      <c r="B74" t="inlineStr">
        <is>
          <t>2.01.03 Compra de Matéria Prima (Papel)</t>
        </is>
      </c>
      <c r="C74" s="30" t="n">
        <v>46143</v>
      </c>
      <c r="D74" t="inlineStr">
        <is>
          <t>Em 2026</t>
        </is>
      </c>
      <c r="E74" s="28" t="n">
        <v>46154</v>
      </c>
      <c r="F74" t="inlineStr">
        <is>
          <t>NF-e</t>
        </is>
      </c>
      <c r="G74" t="inlineStr">
        <is>
          <t>000013143</t>
        </is>
      </c>
      <c r="H74" t="inlineStr">
        <is>
          <t>CMPC Iguacu Embalagens Ltda</t>
        </is>
      </c>
      <c r="I74" t="inlineStr">
        <is>
          <t>11.308.600/0008-04</t>
        </is>
      </c>
      <c r="J74" s="29" t="n">
        <v>142621.32</v>
      </c>
      <c r="K74" s="29">
        <f>(1-ISNUMBER(SEARCH("556",M74)))*(O74*SUMIFS(Premissas!$C$5:$C$44,Premissas!$A$5:$A$44,$A74,Premissas!$B$5:$B$44,$B74)+P74*SUMIFS(Premissas!$D$5:$D$44,Premissas!$A$5:$A$44,$A74,Premissas!$B$5:$B$44,$B74))+R74*SUMIFS(Premissas!$E$5:$E$44,Premissas!$A$5:$A$44,$A74,Premissas!$B$5:$B$44,$B74)+S74*SUMIFS(Premissas!$F$5:$F$44,Premissas!$A$5:$A$44,$A74,Premissas!$B$5:$B$44,$B74)</f>
        <v/>
      </c>
      <c r="L74" s="29">
        <f>J74-K74</f>
        <v/>
      </c>
      <c r="M74" t="inlineStr">
        <is>
          <t>2.101</t>
        </is>
      </c>
      <c r="O74" s="29" t="n">
        <v>4489.29</v>
      </c>
      <c r="P74" s="29" t="n">
        <v>9669.25</v>
      </c>
      <c r="Q74" s="29" t="n">
        <v>0</v>
      </c>
      <c r="R74" s="29" t="n">
        <v>2119.63</v>
      </c>
      <c r="S74" s="29" t="n">
        <v>9763.18</v>
      </c>
      <c r="T74" t="inlineStr">
        <is>
          <t>42260511308600000804550010000131431902625660</t>
        </is>
      </c>
      <c r="U74" t="inlineStr">
        <is>
          <t>Sim</t>
        </is>
      </c>
    </row>
    <row r="75">
      <c r="A75" t="inlineStr">
        <is>
          <t>Insumos e papel</t>
        </is>
      </c>
      <c r="B75" t="inlineStr">
        <is>
          <t>2.01.03 Compra de Matéria Prima (Papel)</t>
        </is>
      </c>
      <c r="C75" s="30" t="n">
        <v>46143</v>
      </c>
      <c r="D75" t="inlineStr">
        <is>
          <t>Em 2026</t>
        </is>
      </c>
      <c r="E75" s="28" t="n">
        <v>46154</v>
      </c>
      <c r="F75" t="inlineStr">
        <is>
          <t>NF-e</t>
        </is>
      </c>
      <c r="G75" t="inlineStr">
        <is>
          <t>000013159</t>
        </is>
      </c>
      <c r="H75" t="inlineStr">
        <is>
          <t>CMPC Iguacu Embalagens Ltda</t>
        </is>
      </c>
      <c r="I75" t="inlineStr">
        <is>
          <t>11.308.600/0008-04</t>
        </is>
      </c>
      <c r="J75" s="29" t="n">
        <v>141991.44</v>
      </c>
      <c r="K75" s="29">
        <f>(1-ISNUMBER(SEARCH("556",M75)))*(O75*SUMIFS(Premissas!$C$5:$C$44,Premissas!$A$5:$A$44,$A75,Premissas!$B$5:$B$44,$B75)+P75*SUMIFS(Premissas!$D$5:$D$44,Premissas!$A$5:$A$44,$A75,Premissas!$B$5:$B$44,$B75))+R75*SUMIFS(Premissas!$E$5:$E$44,Premissas!$A$5:$A$44,$A75,Premissas!$B$5:$B$44,$B75)+S75*SUMIFS(Premissas!$F$5:$F$44,Premissas!$A$5:$A$44,$A75,Premissas!$B$5:$B$44,$B75)</f>
        <v/>
      </c>
      <c r="L75" s="29">
        <f>J75-K75</f>
        <v/>
      </c>
      <c r="M75" t="inlineStr">
        <is>
          <t>1.556</t>
        </is>
      </c>
      <c r="O75" s="29" t="n">
        <v>4469.46</v>
      </c>
      <c r="P75" s="29" t="n">
        <v>9626.540000000001</v>
      </c>
      <c r="Q75" s="29" t="n">
        <v>0</v>
      </c>
      <c r="R75" s="29" t="n">
        <v>2110.27</v>
      </c>
      <c r="S75" s="29" t="n">
        <v>9720.049999999999</v>
      </c>
      <c r="T75" t="inlineStr">
        <is>
          <t>42260511308600000804550010000131591171581000</t>
        </is>
      </c>
      <c r="U75" t="inlineStr">
        <is>
          <t>Sim</t>
        </is>
      </c>
    </row>
    <row r="76">
      <c r="A76" t="inlineStr">
        <is>
          <t>Insumos e papel</t>
        </is>
      </c>
      <c r="B76" t="inlineStr">
        <is>
          <t>2.01.03 Compra de Matéria Prima (Papel)</t>
        </is>
      </c>
      <c r="C76" s="30" t="n">
        <v>46143</v>
      </c>
      <c r="D76" t="inlineStr">
        <is>
          <t>Em 2026</t>
        </is>
      </c>
      <c r="E76" s="28" t="n">
        <v>46154</v>
      </c>
      <c r="F76" t="inlineStr">
        <is>
          <t>NF-e</t>
        </is>
      </c>
      <c r="G76" t="inlineStr">
        <is>
          <t>000013163</t>
        </is>
      </c>
      <c r="H76" t="inlineStr">
        <is>
          <t>CMPC Iguacu Embalagens Ltda</t>
        </is>
      </c>
      <c r="I76" t="inlineStr">
        <is>
          <t>11.308.600/0008-04</t>
        </is>
      </c>
      <c r="J76" s="29" t="n">
        <v>140016.38</v>
      </c>
      <c r="K76" s="29">
        <f>(1-ISNUMBER(SEARCH("556",M76)))*(O76*SUMIFS(Premissas!$C$5:$C$44,Premissas!$A$5:$A$44,$A76,Premissas!$B$5:$B$44,$B76)+P76*SUMIFS(Premissas!$D$5:$D$44,Premissas!$A$5:$A$44,$A76,Premissas!$B$5:$B$44,$B76))+R76*SUMIFS(Premissas!$E$5:$E$44,Premissas!$A$5:$A$44,$A76,Premissas!$B$5:$B$44,$B76)+S76*SUMIFS(Premissas!$F$5:$F$44,Premissas!$A$5:$A$44,$A76,Premissas!$B$5:$B$44,$B76)</f>
        <v/>
      </c>
      <c r="L76" s="29">
        <f>J76-K76</f>
        <v/>
      </c>
      <c r="M76" t="inlineStr">
        <is>
          <t>1.556</t>
        </is>
      </c>
      <c r="O76" s="29" t="n">
        <v>4407.3</v>
      </c>
      <c r="P76" s="29" t="n">
        <v>9492.639999999999</v>
      </c>
      <c r="Q76" s="29" t="n">
        <v>0</v>
      </c>
      <c r="R76" s="29" t="n">
        <v>2080.92</v>
      </c>
      <c r="S76" s="29" t="n">
        <v>9584.85</v>
      </c>
      <c r="T76" t="inlineStr">
        <is>
          <t>42260511308600000804550010000131631286487174</t>
        </is>
      </c>
      <c r="U76" t="inlineStr">
        <is>
          <t>Sim</t>
        </is>
      </c>
    </row>
    <row r="77">
      <c r="A77" t="inlineStr">
        <is>
          <t>Insumos e papel</t>
        </is>
      </c>
      <c r="B77" t="inlineStr">
        <is>
          <t>2.01.03 Compra de Matéria Prima (Papel)</t>
        </is>
      </c>
      <c r="C77" s="30" t="n">
        <v>46143</v>
      </c>
      <c r="D77" t="inlineStr">
        <is>
          <t>Em 2026</t>
        </is>
      </c>
      <c r="E77" s="28" t="n">
        <v>46163</v>
      </c>
      <c r="F77" t="inlineStr">
        <is>
          <t>NF-e</t>
        </is>
      </c>
      <c r="G77" t="inlineStr">
        <is>
          <t>000013262</t>
        </is>
      </c>
      <c r="H77" t="inlineStr">
        <is>
          <t>CMPC Iguacu Embalagens Ltda</t>
        </is>
      </c>
      <c r="I77" t="inlineStr">
        <is>
          <t>11.308.600/0008-04</t>
        </is>
      </c>
      <c r="J77" s="29" t="n">
        <v>143982.53</v>
      </c>
      <c r="K77" s="29">
        <f>(1-ISNUMBER(SEARCH("556",M77)))*(O77*SUMIFS(Premissas!$C$5:$C$44,Premissas!$A$5:$A$44,$A77,Premissas!$B$5:$B$44,$B77)+P77*SUMIFS(Premissas!$D$5:$D$44,Premissas!$A$5:$A$44,$A77,Premissas!$B$5:$B$44,$B77))+R77*SUMIFS(Premissas!$E$5:$E$44,Premissas!$A$5:$A$44,$A77,Premissas!$B$5:$B$44,$B77)+S77*SUMIFS(Premissas!$F$5:$F$44,Premissas!$A$5:$A$44,$A77,Premissas!$B$5:$B$44,$B77)</f>
        <v/>
      </c>
      <c r="L77" s="29">
        <f>J77-K77</f>
        <v/>
      </c>
      <c r="M77" t="inlineStr">
        <is>
          <t>2.101</t>
        </is>
      </c>
      <c r="O77" s="29" t="n">
        <v>4532.14</v>
      </c>
      <c r="P77" s="29" t="n">
        <v>9761.52</v>
      </c>
      <c r="Q77" s="29" t="n">
        <v>0</v>
      </c>
      <c r="R77" s="29" t="n">
        <v>2139.86</v>
      </c>
      <c r="S77" s="29" t="n">
        <v>9856.35</v>
      </c>
      <c r="T77" t="inlineStr">
        <is>
          <t>42260511308600000804550010000132621236540584</t>
        </is>
      </c>
      <c r="U77" t="inlineStr">
        <is>
          <t>Sim</t>
        </is>
      </c>
    </row>
    <row r="78">
      <c r="A78" t="inlineStr">
        <is>
          <t>Insumos e papel</t>
        </is>
      </c>
      <c r="B78" t="inlineStr">
        <is>
          <t>2.01.03 Compra de Matéria Prima (Papel)</t>
        </is>
      </c>
      <c r="C78" s="30" t="n">
        <v>46143</v>
      </c>
      <c r="D78" t="inlineStr">
        <is>
          <t>Em 2026</t>
        </is>
      </c>
      <c r="E78" s="28" t="n">
        <v>46163</v>
      </c>
      <c r="F78" t="inlineStr">
        <is>
          <t>NF-e</t>
        </is>
      </c>
      <c r="G78" t="inlineStr">
        <is>
          <t>000013268</t>
        </is>
      </c>
      <c r="H78" t="inlineStr">
        <is>
          <t>CMPC Iguacu Embalagens Ltda</t>
        </is>
      </c>
      <c r="I78" t="inlineStr">
        <is>
          <t>11.308.600/0008-04</t>
        </is>
      </c>
      <c r="J78" s="29" t="n">
        <v>143240.55</v>
      </c>
      <c r="K78" s="29">
        <f>(1-ISNUMBER(SEARCH("556",M78)))*(O78*SUMIFS(Premissas!$C$5:$C$44,Premissas!$A$5:$A$44,$A78,Premissas!$B$5:$B$44,$B78)+P78*SUMIFS(Premissas!$D$5:$D$44,Premissas!$A$5:$A$44,$A78,Premissas!$B$5:$B$44,$B78))+R78*SUMIFS(Premissas!$E$5:$E$44,Premissas!$A$5:$A$44,$A78,Premissas!$B$5:$B$44,$B78)+S78*SUMIFS(Premissas!$F$5:$F$44,Premissas!$A$5:$A$44,$A78,Premissas!$B$5:$B$44,$B78)</f>
        <v/>
      </c>
      <c r="L78" s="29">
        <f>J78-K78</f>
        <v/>
      </c>
      <c r="M78" t="inlineStr">
        <is>
          <t>2.101</t>
        </is>
      </c>
      <c r="O78" s="29" t="n">
        <v>4508.78</v>
      </c>
      <c r="P78" s="29" t="n">
        <v>9711.23</v>
      </c>
      <c r="Q78" s="29" t="n">
        <v>0</v>
      </c>
      <c r="R78" s="29" t="n">
        <v>2128.84</v>
      </c>
      <c r="S78" s="29" t="n">
        <v>9805.559999999999</v>
      </c>
      <c r="T78" t="inlineStr">
        <is>
          <t>42260511308600000804550010000132681409550130</t>
        </is>
      </c>
      <c r="U78" t="inlineStr">
        <is>
          <t>Sim</t>
        </is>
      </c>
    </row>
    <row r="79">
      <c r="A79" t="inlineStr">
        <is>
          <t>Insumos e papel</t>
        </is>
      </c>
      <c r="B79" t="inlineStr">
        <is>
          <t>2.01.03 Compra de Matéria Prima (Papel)</t>
        </is>
      </c>
      <c r="C79" s="30" t="n">
        <v>46143</v>
      </c>
      <c r="D79" t="inlineStr">
        <is>
          <t>Em 2026</t>
        </is>
      </c>
      <c r="E79" s="28" t="n">
        <v>46164</v>
      </c>
      <c r="F79" t="inlineStr">
        <is>
          <t>NF-e</t>
        </is>
      </c>
      <c r="G79" t="inlineStr">
        <is>
          <t>000013279</t>
        </is>
      </c>
      <c r="H79" t="inlineStr">
        <is>
          <t>CMPC Iguacu Embalagens Ltda</t>
        </is>
      </c>
      <c r="I79" t="inlineStr">
        <is>
          <t>11.308.600/0008-04</t>
        </is>
      </c>
      <c r="J79" s="29" t="n">
        <v>143640.89</v>
      </c>
      <c r="K79" s="29">
        <f>(1-ISNUMBER(SEARCH("556",M79)))*(O79*SUMIFS(Premissas!$C$5:$C$44,Premissas!$A$5:$A$44,$A79,Premissas!$B$5:$B$44,$B79)+P79*SUMIFS(Premissas!$D$5:$D$44,Premissas!$A$5:$A$44,$A79,Premissas!$B$5:$B$44,$B79))+R79*SUMIFS(Premissas!$E$5:$E$44,Premissas!$A$5:$A$44,$A79,Premissas!$B$5:$B$44,$B79)+S79*SUMIFS(Premissas!$F$5:$F$44,Premissas!$A$5:$A$44,$A79,Premissas!$B$5:$B$44,$B79)</f>
        <v/>
      </c>
      <c r="L79" s="29">
        <f>J79-K79</f>
        <v/>
      </c>
      <c r="M79" t="inlineStr">
        <is>
          <t>2.101</t>
        </is>
      </c>
      <c r="O79" s="29" t="n">
        <v>4521.38</v>
      </c>
      <c r="P79" s="29" t="n">
        <v>9738.370000000001</v>
      </c>
      <c r="Q79" s="29" t="n">
        <v>0</v>
      </c>
      <c r="R79" s="29" t="n">
        <v>2134.79</v>
      </c>
      <c r="S79" s="29" t="n">
        <v>9832.969999999999</v>
      </c>
      <c r="T79" t="inlineStr">
        <is>
          <t>42260511308600000804550010000132791445444984</t>
        </is>
      </c>
      <c r="U79" t="inlineStr">
        <is>
          <t>Sim</t>
        </is>
      </c>
    </row>
    <row r="80">
      <c r="A80" t="inlineStr">
        <is>
          <t>Insumos e papel</t>
        </is>
      </c>
      <c r="B80" t="inlineStr">
        <is>
          <t>2.01.03 Compra de Matéria Prima (Papel)</t>
        </is>
      </c>
      <c r="C80" s="30" t="n">
        <v>46143</v>
      </c>
      <c r="D80" t="inlineStr">
        <is>
          <t>Em 2026</t>
        </is>
      </c>
      <c r="E80" s="28" t="n">
        <v>46164</v>
      </c>
      <c r="F80" t="inlineStr">
        <is>
          <t>NF-e</t>
        </is>
      </c>
      <c r="G80" t="inlineStr">
        <is>
          <t>000013296</t>
        </is>
      </c>
      <c r="H80" t="inlineStr">
        <is>
          <t>CMPC Iguacu Embalagens Ltda</t>
        </is>
      </c>
      <c r="I80" t="inlineStr">
        <is>
          <t>11.308.600/0008-04</t>
        </is>
      </c>
      <c r="J80" s="29" t="n">
        <v>143155.12</v>
      </c>
      <c r="K80" s="29">
        <f>(1-ISNUMBER(SEARCH("556",M80)))*(O80*SUMIFS(Premissas!$C$5:$C$44,Premissas!$A$5:$A$44,$A80,Premissas!$B$5:$B$44,$B80)+P80*SUMIFS(Premissas!$D$5:$D$44,Premissas!$A$5:$A$44,$A80,Premissas!$B$5:$B$44,$B80))+R80*SUMIFS(Premissas!$E$5:$E$44,Premissas!$A$5:$A$44,$A80,Premissas!$B$5:$B$44,$B80)+S80*SUMIFS(Premissas!$F$5:$F$44,Premissas!$A$5:$A$44,$A80,Premissas!$B$5:$B$44,$B80)</f>
        <v/>
      </c>
      <c r="L80" s="29">
        <f>J80-K80</f>
        <v/>
      </c>
      <c r="M80" t="inlineStr">
        <is>
          <t>2.101</t>
        </is>
      </c>
      <c r="O80" s="29" t="n">
        <v>4506.09</v>
      </c>
      <c r="P80" s="29" t="n">
        <v>9705.42</v>
      </c>
      <c r="Q80" s="29" t="n">
        <v>0</v>
      </c>
      <c r="R80" s="29" t="n">
        <v>2127.57</v>
      </c>
      <c r="S80" s="29" t="n">
        <v>9799.709999999999</v>
      </c>
      <c r="T80" t="inlineStr">
        <is>
          <t>42260511308600000804550010000132961670164650</t>
        </is>
      </c>
      <c r="U80" t="inlineStr">
        <is>
          <t>Sim</t>
        </is>
      </c>
    </row>
    <row r="81">
      <c r="A81" t="inlineStr">
        <is>
          <t>Insumos e papel</t>
        </is>
      </c>
      <c r="B81" t="inlineStr">
        <is>
          <t>2.01.03 Compra de Matéria Prima (Papel)</t>
        </is>
      </c>
      <c r="C81" s="30" t="n">
        <v>46143</v>
      </c>
      <c r="D81" t="inlineStr">
        <is>
          <t>Em 2026</t>
        </is>
      </c>
      <c r="E81" s="28" t="n">
        <v>46164</v>
      </c>
      <c r="F81" t="inlineStr">
        <is>
          <t>NF-e</t>
        </is>
      </c>
      <c r="G81" t="inlineStr">
        <is>
          <t>000013306</t>
        </is>
      </c>
      <c r="H81" t="inlineStr">
        <is>
          <t>CMPC Iguacu Embalagens Ltda</t>
        </is>
      </c>
      <c r="I81" t="inlineStr">
        <is>
          <t>11.308.600/0008-04</t>
        </is>
      </c>
      <c r="J81" s="29" t="n">
        <v>143085.74</v>
      </c>
      <c r="K81" s="29">
        <f>(1-ISNUMBER(SEARCH("556",M81)))*(O81*SUMIFS(Premissas!$C$5:$C$44,Premissas!$A$5:$A$44,$A81,Premissas!$B$5:$B$44,$B81)+P81*SUMIFS(Premissas!$D$5:$D$44,Premissas!$A$5:$A$44,$A81,Premissas!$B$5:$B$44,$B81))+R81*SUMIFS(Premissas!$E$5:$E$44,Premissas!$A$5:$A$44,$A81,Premissas!$B$5:$B$44,$B81)+S81*SUMIFS(Premissas!$F$5:$F$44,Premissas!$A$5:$A$44,$A81,Premissas!$B$5:$B$44,$B81)</f>
        <v/>
      </c>
      <c r="L81" s="29">
        <f>J81-K81</f>
        <v/>
      </c>
      <c r="M81" t="inlineStr">
        <is>
          <t>2.101</t>
        </is>
      </c>
      <c r="O81" s="29" t="n">
        <v>4503.91</v>
      </c>
      <c r="P81" s="29" t="n">
        <v>9700.73</v>
      </c>
      <c r="Q81" s="29" t="n">
        <v>0</v>
      </c>
      <c r="R81" s="29" t="n">
        <v>2126.54</v>
      </c>
      <c r="S81" s="29" t="n">
        <v>9794.959999999999</v>
      </c>
      <c r="T81" t="inlineStr">
        <is>
          <t>42260511308600000804550010000133061782642012</t>
        </is>
      </c>
      <c r="U81" t="inlineStr">
        <is>
          <t>Sim</t>
        </is>
      </c>
    </row>
    <row r="82">
      <c r="A82" t="inlineStr">
        <is>
          <t>Insumos e papel</t>
        </is>
      </c>
      <c r="B82" t="inlineStr">
        <is>
          <t>2.01.03 Compra de Matéria Prima (Papel)</t>
        </is>
      </c>
      <c r="C82" s="30" t="n">
        <v>46143</v>
      </c>
      <c r="D82" t="inlineStr">
        <is>
          <t>Em 2026</t>
        </is>
      </c>
      <c r="E82" s="28" t="n">
        <v>46167</v>
      </c>
      <c r="F82" t="inlineStr">
        <is>
          <t>NF-e</t>
        </is>
      </c>
      <c r="G82" t="inlineStr">
        <is>
          <t>000013323</t>
        </is>
      </c>
      <c r="H82" t="inlineStr">
        <is>
          <t>CMPC Iguacu Embalagens Ltda</t>
        </is>
      </c>
      <c r="I82" t="inlineStr">
        <is>
          <t>11.308.600/0008-04</t>
        </is>
      </c>
      <c r="J82" s="29" t="n">
        <v>137123.16</v>
      </c>
      <c r="K82" s="29">
        <f>(1-ISNUMBER(SEARCH("556",M82)))*(O82*SUMIFS(Premissas!$C$5:$C$44,Premissas!$A$5:$A$44,$A82,Premissas!$B$5:$B$44,$B82)+P82*SUMIFS(Premissas!$D$5:$D$44,Premissas!$A$5:$A$44,$A82,Premissas!$B$5:$B$44,$B82))+R82*SUMIFS(Premissas!$E$5:$E$44,Premissas!$A$5:$A$44,$A82,Premissas!$B$5:$B$44,$B82)+S82*SUMIFS(Premissas!$F$5:$F$44,Premissas!$A$5:$A$44,$A82,Premissas!$B$5:$B$44,$B82)</f>
        <v/>
      </c>
      <c r="L82" s="29">
        <f>J82-K82</f>
        <v/>
      </c>
      <c r="M82" t="inlineStr">
        <is>
          <t>2.101</t>
        </is>
      </c>
      <c r="O82" s="29" t="n">
        <v>4316.23</v>
      </c>
      <c r="P82" s="29" t="n">
        <v>9296.49</v>
      </c>
      <c r="Q82" s="29" t="n">
        <v>0</v>
      </c>
      <c r="R82" s="29" t="n">
        <v>2037.92</v>
      </c>
      <c r="S82" s="29" t="n">
        <v>9386.799999999999</v>
      </c>
      <c r="T82" t="inlineStr">
        <is>
          <t>42260511308600000804550010000133231496290895</t>
        </is>
      </c>
      <c r="U82" t="inlineStr">
        <is>
          <t>Sim</t>
        </is>
      </c>
    </row>
    <row r="83">
      <c r="A83" t="inlineStr">
        <is>
          <t>Insumos e papel</t>
        </is>
      </c>
      <c r="B83" t="inlineStr">
        <is>
          <t>2.01.03 Compra de Matéria Prima (Papel)</t>
        </is>
      </c>
      <c r="C83" s="30" t="n">
        <v>46143</v>
      </c>
      <c r="D83" t="inlineStr">
        <is>
          <t>Em 2026</t>
        </is>
      </c>
      <c r="E83" s="28" t="n">
        <v>46167</v>
      </c>
      <c r="F83" t="inlineStr">
        <is>
          <t>NF-e</t>
        </is>
      </c>
      <c r="G83" t="inlineStr">
        <is>
          <t>000013325</t>
        </is>
      </c>
      <c r="H83" t="inlineStr">
        <is>
          <t>CMPC Iguacu Embalagens Ltda</t>
        </is>
      </c>
      <c r="I83" t="inlineStr">
        <is>
          <t>11.308.600/0008-04</t>
        </is>
      </c>
      <c r="J83" s="29" t="n">
        <v>133952.38</v>
      </c>
      <c r="K83" s="29">
        <f>(1-ISNUMBER(SEARCH("556",M83)))*(O83*SUMIFS(Premissas!$C$5:$C$44,Premissas!$A$5:$A$44,$A83,Premissas!$B$5:$B$44,$B83)+P83*SUMIFS(Premissas!$D$5:$D$44,Premissas!$A$5:$A$44,$A83,Premissas!$B$5:$B$44,$B83))+R83*SUMIFS(Premissas!$E$5:$E$44,Premissas!$A$5:$A$44,$A83,Premissas!$B$5:$B$44,$B83)+S83*SUMIFS(Premissas!$F$5:$F$44,Premissas!$A$5:$A$44,$A83,Premissas!$B$5:$B$44,$B83)</f>
        <v/>
      </c>
      <c r="L83" s="29">
        <f>J83-K83</f>
        <v/>
      </c>
      <c r="M83" t="inlineStr">
        <is>
          <t>2.101</t>
        </is>
      </c>
      <c r="O83" s="29" t="n">
        <v>4216.42</v>
      </c>
      <c r="P83" s="29" t="n">
        <v>9081.52</v>
      </c>
      <c r="Q83" s="29" t="n">
        <v>0</v>
      </c>
      <c r="R83" s="29" t="n">
        <v>1990.8</v>
      </c>
      <c r="S83" s="29" t="n">
        <v>9169.74</v>
      </c>
      <c r="T83" t="inlineStr">
        <is>
          <t>42260511308600000804550010000133251591374850</t>
        </is>
      </c>
      <c r="U83" t="inlineStr">
        <is>
          <t>Sim</t>
        </is>
      </c>
    </row>
    <row r="84">
      <c r="A84" t="inlineStr">
        <is>
          <t>Insumos e papel</t>
        </is>
      </c>
      <c r="B84" t="inlineStr">
        <is>
          <t>2.01.03 Compra de Matéria Prima (Papel)</t>
        </is>
      </c>
      <c r="C84" s="30" t="n">
        <v>46143</v>
      </c>
      <c r="D84" t="inlineStr">
        <is>
          <t>Em 2026</t>
        </is>
      </c>
      <c r="E84" s="28" t="n">
        <v>46167</v>
      </c>
      <c r="F84" t="inlineStr">
        <is>
          <t>NF-e</t>
        </is>
      </c>
      <c r="G84" t="inlineStr">
        <is>
          <t>000013330</t>
        </is>
      </c>
      <c r="H84" t="inlineStr">
        <is>
          <t>CMPC Iguacu Embalagens Ltda</t>
        </is>
      </c>
      <c r="I84" t="inlineStr">
        <is>
          <t>11.308.600/0008-04</t>
        </is>
      </c>
      <c r="J84" s="29" t="n">
        <v>133621.42</v>
      </c>
      <c r="K84" s="29">
        <f>(1-ISNUMBER(SEARCH("556",M84)))*(O84*SUMIFS(Premissas!$C$5:$C$44,Premissas!$A$5:$A$44,$A84,Premissas!$B$5:$B$44,$B84)+P84*SUMIFS(Premissas!$D$5:$D$44,Premissas!$A$5:$A$44,$A84,Premissas!$B$5:$B$44,$B84))+R84*SUMIFS(Premissas!$E$5:$E$44,Premissas!$A$5:$A$44,$A84,Premissas!$B$5:$B$44,$B84)+S84*SUMIFS(Premissas!$F$5:$F$44,Premissas!$A$5:$A$44,$A84,Premissas!$B$5:$B$44,$B84)</f>
        <v/>
      </c>
      <c r="L84" s="29">
        <f>J84-K84</f>
        <v/>
      </c>
      <c r="M84" t="inlineStr">
        <is>
          <t>2.101</t>
        </is>
      </c>
      <c r="O84" s="29" t="n">
        <v>4206</v>
      </c>
      <c r="P84" s="29" t="n">
        <v>9059.08</v>
      </c>
      <c r="Q84" s="29" t="n">
        <v>0</v>
      </c>
      <c r="R84" s="29" t="n">
        <v>1985.88</v>
      </c>
      <c r="S84" s="29" t="n">
        <v>9147.08</v>
      </c>
      <c r="T84" t="inlineStr">
        <is>
          <t>42260511308600000804550010000133301754716177</t>
        </is>
      </c>
      <c r="U84" t="inlineStr">
        <is>
          <t>Sim</t>
        </is>
      </c>
    </row>
    <row r="85">
      <c r="A85" t="inlineStr">
        <is>
          <t>Insumos e papel</t>
        </is>
      </c>
      <c r="B85" t="inlineStr">
        <is>
          <t>2.01.03 Compra de Matéria Prima (Papel)</t>
        </is>
      </c>
      <c r="C85" s="30" t="n">
        <v>46143</v>
      </c>
      <c r="D85" t="inlineStr">
        <is>
          <t>Em 2026</t>
        </is>
      </c>
      <c r="E85" s="28" t="n">
        <v>46168</v>
      </c>
      <c r="F85" t="inlineStr">
        <is>
          <t>NF-e</t>
        </is>
      </c>
      <c r="G85" t="inlineStr">
        <is>
          <t>000013354</t>
        </is>
      </c>
      <c r="H85" t="inlineStr">
        <is>
          <t>CMPC Iguacu Embalagens Ltda</t>
        </is>
      </c>
      <c r="I85" t="inlineStr">
        <is>
          <t>11.308.600/0008-04</t>
        </is>
      </c>
      <c r="J85" s="29" t="n">
        <v>143598.19</v>
      </c>
      <c r="K85" s="29">
        <f>(1-ISNUMBER(SEARCH("556",M85)))*(O85*SUMIFS(Premissas!$C$5:$C$44,Premissas!$A$5:$A$44,$A85,Premissas!$B$5:$B$44,$B85)+P85*SUMIFS(Premissas!$D$5:$D$44,Premissas!$A$5:$A$44,$A85,Premissas!$B$5:$B$44,$B85))+R85*SUMIFS(Premissas!$E$5:$E$44,Premissas!$A$5:$A$44,$A85,Premissas!$B$5:$B$44,$B85)+S85*SUMIFS(Premissas!$F$5:$F$44,Premissas!$A$5:$A$44,$A85,Premissas!$B$5:$B$44,$B85)</f>
        <v/>
      </c>
      <c r="L85" s="29">
        <f>J85-K85</f>
        <v/>
      </c>
      <c r="M85" t="inlineStr">
        <is>
          <t>2.101</t>
        </is>
      </c>
      <c r="O85" s="29" t="n">
        <v>4520.04</v>
      </c>
      <c r="P85" s="29" t="n">
        <v>9735.469999999999</v>
      </c>
      <c r="Q85" s="29" t="n">
        <v>0</v>
      </c>
      <c r="R85" s="29" t="n">
        <v>2134.16</v>
      </c>
      <c r="S85" s="29" t="n">
        <v>9830.040000000001</v>
      </c>
      <c r="T85" t="inlineStr">
        <is>
          <t>42260511308600000804550010000133541089620906</t>
        </is>
      </c>
      <c r="U85" t="inlineStr">
        <is>
          <t>Sim</t>
        </is>
      </c>
    </row>
    <row r="86">
      <c r="A86" t="inlineStr">
        <is>
          <t>Insumos e papel</t>
        </is>
      </c>
      <c r="B86" t="inlineStr">
        <is>
          <t>2.01.03 Compra de Matéria Prima (Papel)</t>
        </is>
      </c>
      <c r="C86" s="30" t="n">
        <v>46143</v>
      </c>
      <c r="D86" t="inlineStr">
        <is>
          <t>Em 2026</t>
        </is>
      </c>
      <c r="E86" s="28" t="n">
        <v>46168</v>
      </c>
      <c r="F86" t="inlineStr">
        <is>
          <t>NF-e</t>
        </is>
      </c>
      <c r="G86" t="inlineStr">
        <is>
          <t>000013360</t>
        </is>
      </c>
      <c r="H86" t="inlineStr">
        <is>
          <t>CMPC Iguacu Embalagens Ltda</t>
        </is>
      </c>
      <c r="I86" t="inlineStr">
        <is>
          <t>11.308.600/0008-04</t>
        </is>
      </c>
      <c r="J86" s="29" t="n">
        <v>143544.82</v>
      </c>
      <c r="K86" s="29">
        <f>(1-ISNUMBER(SEARCH("556",M86)))*(O86*SUMIFS(Premissas!$C$5:$C$44,Premissas!$A$5:$A$44,$A86,Premissas!$B$5:$B$44,$B86)+P86*SUMIFS(Premissas!$D$5:$D$44,Premissas!$A$5:$A$44,$A86,Premissas!$B$5:$B$44,$B86))+R86*SUMIFS(Premissas!$E$5:$E$44,Premissas!$A$5:$A$44,$A86,Premissas!$B$5:$B$44,$B86)+S86*SUMIFS(Premissas!$F$5:$F$44,Premissas!$A$5:$A$44,$A86,Premissas!$B$5:$B$44,$B86)</f>
        <v/>
      </c>
      <c r="L86" s="29">
        <f>J86-K86</f>
        <v/>
      </c>
      <c r="M86" t="inlineStr">
        <is>
          <t>2.101</t>
        </is>
      </c>
      <c r="O86" s="29" t="n">
        <v>4518.36</v>
      </c>
      <c r="P86" s="29" t="n">
        <v>9731.85</v>
      </c>
      <c r="Q86" s="29" t="n">
        <v>0</v>
      </c>
      <c r="R86" s="29" t="n">
        <v>2133.36</v>
      </c>
      <c r="S86" s="29" t="n">
        <v>9826.389999999999</v>
      </c>
      <c r="T86" t="inlineStr">
        <is>
          <t>42260511308600000804550010000133601172404112</t>
        </is>
      </c>
      <c r="U86" t="inlineStr">
        <is>
          <t>Sim</t>
        </is>
      </c>
    </row>
    <row r="87">
      <c r="A87" t="inlineStr">
        <is>
          <t>Insumos e papel</t>
        </is>
      </c>
      <c r="B87" t="inlineStr">
        <is>
          <t>2.01.03 Compra de Matéria Prima (Papel)</t>
        </is>
      </c>
      <c r="C87" s="30" t="n">
        <v>46143</v>
      </c>
      <c r="D87" t="inlineStr">
        <is>
          <t>Em 2026</t>
        </is>
      </c>
      <c r="E87" s="28" t="n">
        <v>46168</v>
      </c>
      <c r="F87" t="inlineStr">
        <is>
          <t>NF-e</t>
        </is>
      </c>
      <c r="G87" t="inlineStr">
        <is>
          <t>000013369</t>
        </is>
      </c>
      <c r="H87" t="inlineStr">
        <is>
          <t>CMPC Iguacu Embalagens Ltda</t>
        </is>
      </c>
      <c r="I87" t="inlineStr">
        <is>
          <t>11.308.600/0008-04</t>
        </is>
      </c>
      <c r="J87" s="29" t="n">
        <v>142365.1</v>
      </c>
      <c r="K87" s="29">
        <f>(1-ISNUMBER(SEARCH("556",M87)))*(O87*SUMIFS(Premissas!$C$5:$C$44,Premissas!$A$5:$A$44,$A87,Premissas!$B$5:$B$44,$B87)+P87*SUMIFS(Premissas!$D$5:$D$44,Premissas!$A$5:$A$44,$A87,Premissas!$B$5:$B$44,$B87))+R87*SUMIFS(Premissas!$E$5:$E$44,Premissas!$A$5:$A$44,$A87,Premissas!$B$5:$B$44,$B87)+S87*SUMIFS(Premissas!$F$5:$F$44,Premissas!$A$5:$A$44,$A87,Premissas!$B$5:$B$44,$B87)</f>
        <v/>
      </c>
      <c r="L87" s="29">
        <f>J87-K87</f>
        <v/>
      </c>
      <c r="M87" t="inlineStr">
        <is>
          <t>2.101</t>
        </is>
      </c>
      <c r="O87" s="29" t="n">
        <v>4481.23</v>
      </c>
      <c r="P87" s="29" t="n">
        <v>9651.870000000001</v>
      </c>
      <c r="Q87" s="29" t="n">
        <v>0</v>
      </c>
      <c r="R87" s="29" t="n">
        <v>2115.83</v>
      </c>
      <c r="S87" s="29" t="n">
        <v>9745.629999999999</v>
      </c>
      <c r="T87" t="inlineStr">
        <is>
          <t>42260511308600000804550010000133691270606343</t>
        </is>
      </c>
      <c r="U87" t="inlineStr">
        <is>
          <t>Sim</t>
        </is>
      </c>
    </row>
    <row r="88">
      <c r="A88" t="inlineStr">
        <is>
          <t>Insumos e papel</t>
        </is>
      </c>
      <c r="B88" t="inlineStr">
        <is>
          <t>2.01.03 Compra de Matéria Prima (Papel)</t>
        </is>
      </c>
      <c r="C88" s="30" t="n">
        <v>46143</v>
      </c>
      <c r="D88" t="inlineStr">
        <is>
          <t>Em 2026</t>
        </is>
      </c>
      <c r="E88" s="28" t="n">
        <v>46169</v>
      </c>
      <c r="F88" t="inlineStr">
        <is>
          <t>NF-e</t>
        </is>
      </c>
      <c r="G88" t="inlineStr">
        <is>
          <t>000013387</t>
        </is>
      </c>
      <c r="H88" t="inlineStr">
        <is>
          <t>CMPC Iguacu Embalagens Ltda</t>
        </is>
      </c>
      <c r="I88" t="inlineStr">
        <is>
          <t>11.308.600/0008-04</t>
        </is>
      </c>
      <c r="J88" s="29" t="n">
        <v>139333.09</v>
      </c>
      <c r="K88" s="29">
        <f>(1-ISNUMBER(SEARCH("556",M88)))*(O88*SUMIFS(Premissas!$C$5:$C$44,Premissas!$A$5:$A$44,$A88,Premissas!$B$5:$B$44,$B88)+P88*SUMIFS(Premissas!$D$5:$D$44,Premissas!$A$5:$A$44,$A88,Premissas!$B$5:$B$44,$B88))+R88*SUMIFS(Premissas!$E$5:$E$44,Premissas!$A$5:$A$44,$A88,Premissas!$B$5:$B$44,$B88)+S88*SUMIFS(Premissas!$F$5:$F$44,Premissas!$A$5:$A$44,$A88,Premissas!$B$5:$B$44,$B88)</f>
        <v/>
      </c>
      <c r="L88" s="29">
        <f>J88-K88</f>
        <v/>
      </c>
      <c r="M88" t="inlineStr">
        <is>
          <t>2.101</t>
        </is>
      </c>
      <c r="O88" s="29" t="n">
        <v>4385.78</v>
      </c>
      <c r="P88" s="29" t="n">
        <v>9446.32</v>
      </c>
      <c r="Q88" s="29" t="n">
        <v>0</v>
      </c>
      <c r="R88" s="29" t="n">
        <v>2070.76</v>
      </c>
      <c r="S88" s="29" t="n">
        <v>9538.07</v>
      </c>
      <c r="T88" t="inlineStr">
        <is>
          <t>42260511308600000804550010000133871271385322</t>
        </is>
      </c>
      <c r="U88" t="inlineStr">
        <is>
          <t>Sim</t>
        </is>
      </c>
    </row>
    <row r="89">
      <c r="A89" t="inlineStr">
        <is>
          <t>Insumos e papel</t>
        </is>
      </c>
      <c r="B89" t="inlineStr">
        <is>
          <t>2.01.03 Compra de Matéria Prima (Papel)</t>
        </is>
      </c>
      <c r="C89" s="30" t="n">
        <v>46143</v>
      </c>
      <c r="D89" t="inlineStr">
        <is>
          <t>Em 2026</t>
        </is>
      </c>
      <c r="E89" s="28" t="n">
        <v>46172</v>
      </c>
      <c r="F89" t="inlineStr">
        <is>
          <t>NF-e</t>
        </is>
      </c>
      <c r="G89" t="inlineStr">
        <is>
          <t>000177503</t>
        </is>
      </c>
      <c r="H89" t="inlineStr">
        <is>
          <t>SANTA MARIA CIA DE PAPEL E CELULOSE</t>
        </is>
      </c>
      <c r="I89" t="inlineStr">
        <is>
          <t>77.887.917/0001-84</t>
        </is>
      </c>
      <c r="J89" s="29" t="n">
        <v>288235.47</v>
      </c>
      <c r="K89" s="29">
        <f>(1-ISNUMBER(SEARCH("556",M89)))*(O89*SUMIFS(Premissas!$C$5:$C$44,Premissas!$A$5:$A$44,$A89,Premissas!$B$5:$B$44,$B89)+P89*SUMIFS(Premissas!$D$5:$D$44,Premissas!$A$5:$A$44,$A89,Premissas!$B$5:$B$44,$B89))+R89*SUMIFS(Premissas!$E$5:$E$44,Premissas!$A$5:$A$44,$A89,Premissas!$B$5:$B$44,$B89)+S89*SUMIFS(Premissas!$F$5:$F$44,Premissas!$A$5:$A$44,$A89,Premissas!$B$5:$B$44,$B89)</f>
        <v/>
      </c>
      <c r="L89" s="29">
        <f>J89-K89</f>
        <v/>
      </c>
      <c r="M89" t="inlineStr">
        <is>
          <t>2.101</t>
        </is>
      </c>
      <c r="O89" s="29" t="n">
        <v>9072.790000000001</v>
      </c>
      <c r="P89" s="29" t="n">
        <v>19541.38</v>
      </c>
      <c r="Q89" s="29" t="n">
        <v>0</v>
      </c>
      <c r="R89" s="29" t="n">
        <v>4283.75</v>
      </c>
      <c r="S89" s="29" t="n">
        <v>19731.21</v>
      </c>
      <c r="T89" t="inlineStr">
        <is>
          <t>41260577887917000184550010001775031011417794</t>
        </is>
      </c>
      <c r="U89" t="inlineStr">
        <is>
          <t>Sim</t>
        </is>
      </c>
    </row>
    <row r="90">
      <c r="A90" t="inlineStr">
        <is>
          <t>Insumos e papel</t>
        </is>
      </c>
      <c r="B90" t="inlineStr">
        <is>
          <t>2.01.03 Compra de Matéria Prima (Papel)</t>
        </is>
      </c>
      <c r="C90" s="30" t="n">
        <v>46174</v>
      </c>
      <c r="D90" t="inlineStr">
        <is>
          <t>Em 2026</t>
        </is>
      </c>
      <c r="E90" s="28" t="n">
        <v>46195</v>
      </c>
      <c r="F90" t="inlineStr">
        <is>
          <t>NF-e</t>
        </is>
      </c>
      <c r="G90" t="inlineStr">
        <is>
          <t>000013692</t>
        </is>
      </c>
      <c r="H90" t="inlineStr">
        <is>
          <t>CMPC Iguacu Embalagens Ltda</t>
        </is>
      </c>
      <c r="I90" t="inlineStr">
        <is>
          <t>11.308.600/0008-04</t>
        </is>
      </c>
      <c r="J90" s="29" t="n">
        <v>147790.66</v>
      </c>
      <c r="K90" s="29">
        <f>(1-ISNUMBER(SEARCH("556",M90)))*(O90*SUMIFS(Premissas!$C$5:$C$44,Premissas!$A$5:$A$44,$A90,Premissas!$B$5:$B$44,$B90)+P90*SUMIFS(Premissas!$D$5:$D$44,Premissas!$A$5:$A$44,$A90,Premissas!$B$5:$B$44,$B90))+R90*SUMIFS(Premissas!$E$5:$E$44,Premissas!$A$5:$A$44,$A90,Premissas!$B$5:$B$44,$B90)+S90*SUMIFS(Premissas!$F$5:$F$44,Premissas!$A$5:$A$44,$A90,Premissas!$B$5:$B$44,$B90)</f>
        <v/>
      </c>
      <c r="L90" s="29">
        <f>J90-K90</f>
        <v/>
      </c>
      <c r="M90" t="inlineStr">
        <is>
          <t>2.101</t>
        </is>
      </c>
      <c r="O90" s="29" t="n">
        <v>4652.01</v>
      </c>
      <c r="P90" s="29" t="n">
        <v>10019.71</v>
      </c>
      <c r="Q90" s="29" t="n">
        <v>0</v>
      </c>
      <c r="R90" s="29" t="n">
        <v>2196.46</v>
      </c>
      <c r="S90" s="29" t="n">
        <v>10117.04</v>
      </c>
      <c r="T90" t="inlineStr">
        <is>
          <t>42260611308600000804550010000136921404012734</t>
        </is>
      </c>
      <c r="U90" t="inlineStr">
        <is>
          <t>Sim</t>
        </is>
      </c>
    </row>
    <row r="91">
      <c r="A91" t="inlineStr">
        <is>
          <t>Insumos e papel</t>
        </is>
      </c>
      <c r="B91" t="inlineStr">
        <is>
          <t>2.01.03 Compra de Matéria Prima (Papel)</t>
        </is>
      </c>
      <c r="C91" s="30" t="n">
        <v>46174</v>
      </c>
      <c r="D91" t="inlineStr">
        <is>
          <t>Em 2026</t>
        </is>
      </c>
      <c r="E91" s="28" t="n">
        <v>46195</v>
      </c>
      <c r="F91" t="inlineStr">
        <is>
          <t>NF-e</t>
        </is>
      </c>
      <c r="G91" t="inlineStr">
        <is>
          <t>000013696</t>
        </is>
      </c>
      <c r="H91" t="inlineStr">
        <is>
          <t>CMPC Iguacu Embalagens Ltda</t>
        </is>
      </c>
      <c r="I91" t="inlineStr">
        <is>
          <t>11.308.600/0008-04</t>
        </is>
      </c>
      <c r="J91" s="29" t="n">
        <v>147504.76</v>
      </c>
      <c r="K91" s="29">
        <f>(1-ISNUMBER(SEARCH("556",M91)))*(O91*SUMIFS(Premissas!$C$5:$C$44,Premissas!$A$5:$A$44,$A91,Premissas!$B$5:$B$44,$B91)+P91*SUMIFS(Premissas!$D$5:$D$44,Premissas!$A$5:$A$44,$A91,Premissas!$B$5:$B$44,$B91))+R91*SUMIFS(Premissas!$E$5:$E$44,Premissas!$A$5:$A$44,$A91,Premissas!$B$5:$B$44,$B91)+S91*SUMIFS(Premissas!$F$5:$F$44,Premissas!$A$5:$A$44,$A91,Premissas!$B$5:$B$44,$B91)</f>
        <v/>
      </c>
      <c r="L91" s="29">
        <f>J91-K91</f>
        <v/>
      </c>
      <c r="M91" t="inlineStr">
        <is>
          <t>2.101</t>
        </is>
      </c>
      <c r="O91" s="29" t="n">
        <v>4643</v>
      </c>
      <c r="P91" s="29" t="n">
        <v>10000.33</v>
      </c>
      <c r="Q91" s="29" t="n">
        <v>0</v>
      </c>
      <c r="R91" s="29" t="n">
        <v>2192.21</v>
      </c>
      <c r="S91" s="29" t="n">
        <v>10097.47</v>
      </c>
      <c r="T91" t="inlineStr">
        <is>
          <t>42260611308600000804550010000136961691536705</t>
        </is>
      </c>
      <c r="U91" t="inlineStr">
        <is>
          <t>Sim</t>
        </is>
      </c>
    </row>
    <row r="92">
      <c r="A92" t="inlineStr">
        <is>
          <t>Insumos e papel</t>
        </is>
      </c>
      <c r="B92" t="inlineStr">
        <is>
          <t>2.01.03 Compra de Matéria Prima (Papel)</t>
        </is>
      </c>
      <c r="C92" s="30" t="n">
        <v>46174</v>
      </c>
      <c r="D92" t="inlineStr">
        <is>
          <t>Em 2026</t>
        </is>
      </c>
      <c r="E92" s="28" t="n">
        <v>46195</v>
      </c>
      <c r="F92" t="inlineStr">
        <is>
          <t>NF-e</t>
        </is>
      </c>
      <c r="G92" t="inlineStr">
        <is>
          <t>000013700</t>
        </is>
      </c>
      <c r="H92" t="inlineStr">
        <is>
          <t>CMPC Iguacu Embalagens Ltda</t>
        </is>
      </c>
      <c r="I92" t="inlineStr">
        <is>
          <t>11.308.600/0008-04</t>
        </is>
      </c>
      <c r="J92" s="29" t="n">
        <v>148170.03</v>
      </c>
      <c r="K92" s="29">
        <f>(1-ISNUMBER(SEARCH("556",M92)))*(O92*SUMIFS(Premissas!$C$5:$C$44,Premissas!$A$5:$A$44,$A92,Premissas!$B$5:$B$44,$B92)+P92*SUMIFS(Premissas!$D$5:$D$44,Premissas!$A$5:$A$44,$A92,Premissas!$B$5:$B$44,$B92))+R92*SUMIFS(Premissas!$E$5:$E$44,Premissas!$A$5:$A$44,$A92,Premissas!$B$5:$B$44,$B92)+S92*SUMIFS(Premissas!$F$5:$F$44,Premissas!$A$5:$A$44,$A92,Premissas!$B$5:$B$44,$B92)</f>
        <v/>
      </c>
      <c r="L92" s="29">
        <f>J92-K92</f>
        <v/>
      </c>
      <c r="M92" t="inlineStr">
        <is>
          <t>2.101</t>
        </is>
      </c>
      <c r="O92" s="29" t="n">
        <v>4663.95</v>
      </c>
      <c r="P92" s="29" t="n">
        <v>10045.43</v>
      </c>
      <c r="Q92" s="29" t="n">
        <v>0</v>
      </c>
      <c r="R92" s="29" t="n">
        <v>2202.1</v>
      </c>
      <c r="S92" s="29" t="n">
        <v>10143.01</v>
      </c>
      <c r="T92" t="inlineStr">
        <is>
          <t>42260611308600000804550010000137001782718894</t>
        </is>
      </c>
      <c r="U92" t="inlineStr">
        <is>
          <t>Sim</t>
        </is>
      </c>
    </row>
    <row r="93">
      <c r="A93" t="inlineStr">
        <is>
          <t>Insumos e papel</t>
        </is>
      </c>
      <c r="B93" t="inlineStr">
        <is>
          <t>2.01.03 Compra de Matéria Prima (Papel)</t>
        </is>
      </c>
      <c r="C93" s="30" t="n">
        <v>46174</v>
      </c>
      <c r="D93" t="inlineStr">
        <is>
          <t>Em 2026</t>
        </is>
      </c>
      <c r="E93" s="28" t="n">
        <v>46195</v>
      </c>
      <c r="F93" t="inlineStr">
        <is>
          <t>NF-e</t>
        </is>
      </c>
      <c r="G93" t="inlineStr">
        <is>
          <t>000013703</t>
        </is>
      </c>
      <c r="H93" t="inlineStr">
        <is>
          <t>CMPC Iguacu Embalagens Ltda</t>
        </is>
      </c>
      <c r="I93" t="inlineStr">
        <is>
          <t>11.308.600/0008-04</t>
        </is>
      </c>
      <c r="J93" s="29" t="n">
        <v>147130.87</v>
      </c>
      <c r="K93" s="29">
        <f>(1-ISNUMBER(SEARCH("556",M93)))*(O93*SUMIFS(Premissas!$C$5:$C$44,Premissas!$A$5:$A$44,$A93,Premissas!$B$5:$B$44,$B93)+P93*SUMIFS(Premissas!$D$5:$D$44,Premissas!$A$5:$A$44,$A93,Premissas!$B$5:$B$44,$B93))+R93*SUMIFS(Premissas!$E$5:$E$44,Premissas!$A$5:$A$44,$A93,Premissas!$B$5:$B$44,$B93)+S93*SUMIFS(Premissas!$F$5:$F$44,Premissas!$A$5:$A$44,$A93,Premissas!$B$5:$B$44,$B93)</f>
        <v/>
      </c>
      <c r="L93" s="29">
        <f>J93-K93</f>
        <v/>
      </c>
      <c r="M93" t="inlineStr">
        <is>
          <t>2.101</t>
        </is>
      </c>
      <c r="O93" s="29" t="n">
        <v>4631.23</v>
      </c>
      <c r="P93" s="29" t="n">
        <v>9974.969999999999</v>
      </c>
      <c r="Q93" s="29" t="n">
        <v>0</v>
      </c>
      <c r="R93" s="29" t="n">
        <v>2186.66</v>
      </c>
      <c r="S93" s="29" t="n">
        <v>10071.88</v>
      </c>
      <c r="T93" t="inlineStr">
        <is>
          <t>42260611308600000804550010000137031735595490</t>
        </is>
      </c>
      <c r="U93" t="inlineStr">
        <is>
          <t>Sim</t>
        </is>
      </c>
    </row>
    <row r="94">
      <c r="A94" t="inlineStr">
        <is>
          <t>Insumos e papel</t>
        </is>
      </c>
      <c r="B94" t="inlineStr">
        <is>
          <t>2.01.03 Compra de Matéria Prima (Papel)</t>
        </is>
      </c>
      <c r="C94" s="30" t="n">
        <v>46174</v>
      </c>
      <c r="D94" t="inlineStr">
        <is>
          <t>Em 2026</t>
        </is>
      </c>
      <c r="E94" s="28" t="n">
        <v>46196</v>
      </c>
      <c r="F94" t="inlineStr">
        <is>
          <t>NF-e</t>
        </is>
      </c>
      <c r="G94" t="inlineStr">
        <is>
          <t>000013709</t>
        </is>
      </c>
      <c r="H94" t="inlineStr">
        <is>
          <t>CMPC Iguacu Embalagens Ltda</t>
        </is>
      </c>
      <c r="I94" t="inlineStr">
        <is>
          <t>11.308.600/0008-04</t>
        </is>
      </c>
      <c r="J94" s="29" t="n">
        <v>148027.08</v>
      </c>
      <c r="K94" s="29">
        <f>(1-ISNUMBER(SEARCH("556",M94)))*(O94*SUMIFS(Premissas!$C$5:$C$44,Premissas!$A$5:$A$44,$A94,Premissas!$B$5:$B$44,$B94)+P94*SUMIFS(Premissas!$D$5:$D$44,Premissas!$A$5:$A$44,$A94,Premissas!$B$5:$B$44,$B94))+R94*SUMIFS(Premissas!$E$5:$E$44,Premissas!$A$5:$A$44,$A94,Premissas!$B$5:$B$44,$B94)+S94*SUMIFS(Premissas!$F$5:$F$44,Premissas!$A$5:$A$44,$A94,Premissas!$B$5:$B$44,$B94)</f>
        <v/>
      </c>
      <c r="L94" s="29">
        <f>J94-K94</f>
        <v/>
      </c>
      <c r="M94" t="inlineStr">
        <is>
          <t>2.101</t>
        </is>
      </c>
      <c r="O94" s="29" t="n">
        <v>4659.45</v>
      </c>
      <c r="P94" s="29" t="n">
        <v>10035.74</v>
      </c>
      <c r="Q94" s="29" t="n">
        <v>0</v>
      </c>
      <c r="R94" s="29" t="n">
        <v>2199.98</v>
      </c>
      <c r="S94" s="29" t="n">
        <v>10133.22</v>
      </c>
      <c r="T94" t="inlineStr">
        <is>
          <t>42260611308600000804550010000137091898795785</t>
        </is>
      </c>
      <c r="U94" t="inlineStr">
        <is>
          <t>Sim</t>
        </is>
      </c>
    </row>
    <row r="95">
      <c r="A95" t="inlineStr">
        <is>
          <t>Insumos e papel</t>
        </is>
      </c>
      <c r="B95" t="inlineStr">
        <is>
          <t>2.01.03 Compra de Matéria Prima (Papel)</t>
        </is>
      </c>
      <c r="C95" s="30" t="n">
        <v>46174</v>
      </c>
      <c r="D95" t="inlineStr">
        <is>
          <t>Em 2026</t>
        </is>
      </c>
      <c r="E95" s="28" t="n">
        <v>46196</v>
      </c>
      <c r="F95" t="inlineStr">
        <is>
          <t>NF-e</t>
        </is>
      </c>
      <c r="G95" t="inlineStr">
        <is>
          <t>000013723</t>
        </is>
      </c>
      <c r="H95" t="inlineStr">
        <is>
          <t>CMPC Iguacu Embalagens Ltda</t>
        </is>
      </c>
      <c r="I95" t="inlineStr">
        <is>
          <t>11.308.600/0008-04</t>
        </is>
      </c>
      <c r="J95" s="29" t="n">
        <v>148323.97</v>
      </c>
      <c r="K95" s="29">
        <f>(1-ISNUMBER(SEARCH("556",M95)))*(O95*SUMIFS(Premissas!$C$5:$C$44,Premissas!$A$5:$A$44,$A95,Premissas!$B$5:$B$44,$B95)+P95*SUMIFS(Premissas!$D$5:$D$44,Premissas!$A$5:$A$44,$A95,Premissas!$B$5:$B$44,$B95))+R95*SUMIFS(Premissas!$E$5:$E$44,Premissas!$A$5:$A$44,$A95,Premissas!$B$5:$B$44,$B95)+S95*SUMIFS(Premissas!$F$5:$F$44,Premissas!$A$5:$A$44,$A95,Premissas!$B$5:$B$44,$B95)</f>
        <v/>
      </c>
      <c r="L95" s="29">
        <f>J95-K95</f>
        <v/>
      </c>
      <c r="M95" t="inlineStr">
        <is>
          <t>2.101</t>
        </is>
      </c>
      <c r="O95" s="29" t="n">
        <v>4668.79</v>
      </c>
      <c r="P95" s="29" t="n">
        <v>10055.86</v>
      </c>
      <c r="Q95" s="29" t="n">
        <v>0</v>
      </c>
      <c r="R95" s="29" t="n">
        <v>2204.39</v>
      </c>
      <c r="S95" s="29" t="n">
        <v>10153.56</v>
      </c>
      <c r="T95" t="inlineStr">
        <is>
          <t>42260611308600000804550010000137231066759672</t>
        </is>
      </c>
      <c r="U95" t="inlineStr">
        <is>
          <t>Sim</t>
        </is>
      </c>
    </row>
    <row r="96">
      <c r="A96" t="inlineStr">
        <is>
          <t>Insumos e papel</t>
        </is>
      </c>
      <c r="B96" t="inlineStr">
        <is>
          <t>2.01.03 Compra de Matéria Prima (Papel)</t>
        </is>
      </c>
      <c r="C96" s="30" t="n">
        <v>46174</v>
      </c>
      <c r="D96" t="inlineStr">
        <is>
          <t>Em 2026</t>
        </is>
      </c>
      <c r="E96" s="28" t="n">
        <v>46196</v>
      </c>
      <c r="F96" t="inlineStr">
        <is>
          <t>NF-e</t>
        </is>
      </c>
      <c r="G96" t="inlineStr">
        <is>
          <t>000013730</t>
        </is>
      </c>
      <c r="H96" t="inlineStr">
        <is>
          <t>CMPC Iguacu Embalagens Ltda</t>
        </is>
      </c>
      <c r="I96" t="inlineStr">
        <is>
          <t>11.308.600/0008-04</t>
        </is>
      </c>
      <c r="J96" s="29" t="n">
        <v>148461.43</v>
      </c>
      <c r="K96" s="29">
        <f>(1-ISNUMBER(SEARCH("556",M96)))*(O96*SUMIFS(Premissas!$C$5:$C$44,Premissas!$A$5:$A$44,$A96,Premissas!$B$5:$B$44,$B96)+P96*SUMIFS(Premissas!$D$5:$D$44,Premissas!$A$5:$A$44,$A96,Premissas!$B$5:$B$44,$B96))+R96*SUMIFS(Premissas!$E$5:$E$44,Premissas!$A$5:$A$44,$A96,Premissas!$B$5:$B$44,$B96)+S96*SUMIFS(Premissas!$F$5:$F$44,Premissas!$A$5:$A$44,$A96,Premissas!$B$5:$B$44,$B96)</f>
        <v/>
      </c>
      <c r="L96" s="29">
        <f>J96-K96</f>
        <v/>
      </c>
      <c r="M96" t="inlineStr">
        <is>
          <t>2.101</t>
        </is>
      </c>
      <c r="O96" s="29" t="n">
        <v>4673.12</v>
      </c>
      <c r="P96" s="29" t="n">
        <v>10065.19</v>
      </c>
      <c r="Q96" s="29" t="n">
        <v>0</v>
      </c>
      <c r="R96" s="29" t="n">
        <v>2206.43</v>
      </c>
      <c r="S96" s="29" t="n">
        <v>10162.96</v>
      </c>
      <c r="T96" t="inlineStr">
        <is>
          <t>42260611308600000804550010000137301039129412</t>
        </is>
      </c>
      <c r="U96" t="inlineStr">
        <is>
          <t>Sim</t>
        </is>
      </c>
    </row>
    <row r="97">
      <c r="A97" t="inlineStr">
        <is>
          <t>Insumos e papel</t>
        </is>
      </c>
      <c r="B97" t="inlineStr">
        <is>
          <t>2.01.03 Compra de Matéria Prima (Papel)</t>
        </is>
      </c>
      <c r="C97" s="30" t="n">
        <v>46174</v>
      </c>
      <c r="D97" t="inlineStr">
        <is>
          <t>Em 2026</t>
        </is>
      </c>
      <c r="E97" s="28" t="n">
        <v>46197</v>
      </c>
      <c r="F97" t="inlineStr">
        <is>
          <t>NF-e</t>
        </is>
      </c>
      <c r="G97" t="inlineStr">
        <is>
          <t>000013739</t>
        </is>
      </c>
      <c r="H97" t="inlineStr">
        <is>
          <t>CMPC Iguacu Embalagens Ltda</t>
        </is>
      </c>
      <c r="I97" t="inlineStr">
        <is>
          <t>11.308.600/0008-04</t>
        </is>
      </c>
      <c r="J97" s="29" t="n">
        <v>146009.25</v>
      </c>
      <c r="K97" s="29">
        <f>(1-ISNUMBER(SEARCH("556",M97)))*(O97*SUMIFS(Premissas!$C$5:$C$44,Premissas!$A$5:$A$44,$A97,Premissas!$B$5:$B$44,$B97)+P97*SUMIFS(Premissas!$D$5:$D$44,Premissas!$A$5:$A$44,$A97,Premissas!$B$5:$B$44,$B97))+R97*SUMIFS(Premissas!$E$5:$E$44,Premissas!$A$5:$A$44,$A97,Premissas!$B$5:$B$44,$B97)+S97*SUMIFS(Premissas!$F$5:$F$44,Premissas!$A$5:$A$44,$A97,Premissas!$B$5:$B$44,$B97)</f>
        <v/>
      </c>
      <c r="L97" s="29">
        <f>J97-K97</f>
        <v/>
      </c>
      <c r="M97" t="inlineStr">
        <is>
          <t>2.101</t>
        </is>
      </c>
      <c r="O97" s="29" t="n">
        <v>4595.93</v>
      </c>
      <c r="P97" s="29" t="n">
        <v>9898.93</v>
      </c>
      <c r="Q97" s="29" t="n">
        <v>0</v>
      </c>
      <c r="R97" s="29" t="n">
        <v>2169.99</v>
      </c>
      <c r="S97" s="29" t="n">
        <v>9995.1</v>
      </c>
      <c r="T97" t="inlineStr">
        <is>
          <t>42260611308600000804550010000137391264867625</t>
        </is>
      </c>
      <c r="U97" t="inlineStr">
        <is>
          <t>Sim</t>
        </is>
      </c>
    </row>
    <row r="98">
      <c r="A98" t="inlineStr">
        <is>
          <t>Insumos e papel</t>
        </is>
      </c>
      <c r="B98" t="inlineStr">
        <is>
          <t>2.01.03 Compra de Matéria Prima (Papel)</t>
        </is>
      </c>
      <c r="C98" s="30" t="n">
        <v>46174</v>
      </c>
      <c r="D98" t="inlineStr">
        <is>
          <t>Em 2026</t>
        </is>
      </c>
      <c r="E98" s="28" t="n">
        <v>46197</v>
      </c>
      <c r="F98" t="inlineStr">
        <is>
          <t>NF-e</t>
        </is>
      </c>
      <c r="G98" t="inlineStr">
        <is>
          <t>000013742</t>
        </is>
      </c>
      <c r="H98" t="inlineStr">
        <is>
          <t>CMPC Iguacu Embalagens Ltda</t>
        </is>
      </c>
      <c r="I98" t="inlineStr">
        <is>
          <t>11.308.600/0008-04</t>
        </is>
      </c>
      <c r="J98" s="29" t="n">
        <v>148098.56</v>
      </c>
      <c r="K98" s="29">
        <f>(1-ISNUMBER(SEARCH("556",M98)))*(O98*SUMIFS(Premissas!$C$5:$C$44,Premissas!$A$5:$A$44,$A98,Premissas!$B$5:$B$44,$B98)+P98*SUMIFS(Premissas!$D$5:$D$44,Premissas!$A$5:$A$44,$A98,Premissas!$B$5:$B$44,$B98))+R98*SUMIFS(Premissas!$E$5:$E$44,Premissas!$A$5:$A$44,$A98,Premissas!$B$5:$B$44,$B98)+S98*SUMIFS(Premissas!$F$5:$F$44,Premissas!$A$5:$A$44,$A98,Premissas!$B$5:$B$44,$B98)</f>
        <v/>
      </c>
      <c r="L98" s="29">
        <f>J98-K98</f>
        <v/>
      </c>
      <c r="M98" t="inlineStr">
        <is>
          <t>2.101</t>
        </is>
      </c>
      <c r="O98" s="29" t="n">
        <v>4661.7</v>
      </c>
      <c r="P98" s="29" t="n">
        <v>10040.58</v>
      </c>
      <c r="Q98" s="29" t="n">
        <v>0</v>
      </c>
      <c r="R98" s="29" t="n">
        <v>2201.04</v>
      </c>
      <c r="S98" s="29" t="n">
        <v>10138.12</v>
      </c>
      <c r="T98" t="inlineStr">
        <is>
          <t>42260611308600000804550010000137421350016960</t>
        </is>
      </c>
      <c r="U98" t="inlineStr">
        <is>
          <t>Sim</t>
        </is>
      </c>
    </row>
    <row r="99">
      <c r="A99" t="inlineStr">
        <is>
          <t>Insumos e papel</t>
        </is>
      </c>
      <c r="B99" t="inlineStr">
        <is>
          <t>2.01.03 Compra de Matéria Prima (Papel)</t>
        </is>
      </c>
      <c r="C99" s="30" t="n">
        <v>46174</v>
      </c>
      <c r="D99" t="inlineStr">
        <is>
          <t>Em 2026</t>
        </is>
      </c>
      <c r="E99" s="28" t="n">
        <v>46202</v>
      </c>
      <c r="F99" t="inlineStr">
        <is>
          <t>NF-e</t>
        </is>
      </c>
      <c r="G99" t="inlineStr">
        <is>
          <t>000013783</t>
        </is>
      </c>
      <c r="H99" t="inlineStr">
        <is>
          <t>CMPC Iguacu Embalagens Ltda</t>
        </is>
      </c>
      <c r="I99" t="inlineStr">
        <is>
          <t>11.308.600/0008-04</t>
        </is>
      </c>
      <c r="J99" s="29" t="n">
        <v>147856.63</v>
      </c>
      <c r="K99" s="29">
        <f>(1-ISNUMBER(SEARCH("556",M99)))*(O99*SUMIFS(Premissas!$C$5:$C$44,Premissas!$A$5:$A$44,$A99,Premissas!$B$5:$B$44,$B99)+P99*SUMIFS(Premissas!$D$5:$D$44,Premissas!$A$5:$A$44,$A99,Premissas!$B$5:$B$44,$B99))+R99*SUMIFS(Premissas!$E$5:$E$44,Premissas!$A$5:$A$44,$A99,Premissas!$B$5:$B$44,$B99)+S99*SUMIFS(Premissas!$F$5:$F$44,Premissas!$A$5:$A$44,$A99,Premissas!$B$5:$B$44,$B99)</f>
        <v/>
      </c>
      <c r="L99" s="29">
        <f>J99-K99</f>
        <v/>
      </c>
      <c r="M99" t="inlineStr">
        <is>
          <t>2.101</t>
        </is>
      </c>
      <c r="O99" s="29" t="n">
        <v>4654.08</v>
      </c>
      <c r="P99" s="29" t="n">
        <v>10024.18</v>
      </c>
      <c r="Q99" s="29" t="n">
        <v>0</v>
      </c>
      <c r="R99" s="29" t="n">
        <v>2197.45</v>
      </c>
      <c r="S99" s="29" t="n">
        <v>10121.56</v>
      </c>
      <c r="T99" t="inlineStr">
        <is>
          <t>42260611308600000804550010000137831116365298</t>
        </is>
      </c>
      <c r="U99" t="inlineStr">
        <is>
          <t>Sim</t>
        </is>
      </c>
    </row>
    <row r="100">
      <c r="A100" t="inlineStr">
        <is>
          <t>Insumos e papel</t>
        </is>
      </c>
      <c r="B100" t="inlineStr">
        <is>
          <t>2.01.03 Compra de Matéria Prima (Papel)</t>
        </is>
      </c>
      <c r="C100" s="30" t="n">
        <v>46174</v>
      </c>
      <c r="D100" t="inlineStr">
        <is>
          <t>Em 2026</t>
        </is>
      </c>
      <c r="E100" s="28" t="n">
        <v>46202</v>
      </c>
      <c r="F100" t="inlineStr">
        <is>
          <t>NF-e</t>
        </is>
      </c>
      <c r="G100" t="inlineStr">
        <is>
          <t>000013789</t>
        </is>
      </c>
      <c r="H100" t="inlineStr">
        <is>
          <t>CMPC Iguacu Embalagens Ltda</t>
        </is>
      </c>
      <c r="I100" t="inlineStr">
        <is>
          <t>11.308.600/0008-04</t>
        </is>
      </c>
      <c r="J100" s="29" t="n">
        <v>146443.6</v>
      </c>
      <c r="K100" s="29">
        <f>(1-ISNUMBER(SEARCH("556",M100)))*(O100*SUMIFS(Premissas!$C$5:$C$44,Premissas!$A$5:$A$44,$A100,Premissas!$B$5:$B$44,$B100)+P100*SUMIFS(Premissas!$D$5:$D$44,Premissas!$A$5:$A$44,$A100,Premissas!$B$5:$B$44,$B100))+R100*SUMIFS(Premissas!$E$5:$E$44,Premissas!$A$5:$A$44,$A100,Premissas!$B$5:$B$44,$B100)+S100*SUMIFS(Premissas!$F$5:$F$44,Premissas!$A$5:$A$44,$A100,Premissas!$B$5:$B$44,$B100)</f>
        <v/>
      </c>
      <c r="L100" s="29">
        <f>J100-K100</f>
        <v/>
      </c>
      <c r="M100" t="inlineStr">
        <is>
          <t>2.101</t>
        </is>
      </c>
      <c r="O100" s="29" t="n">
        <v>4609.6</v>
      </c>
      <c r="P100" s="29" t="n">
        <v>9928.389999999999</v>
      </c>
      <c r="Q100" s="29" t="n">
        <v>0</v>
      </c>
      <c r="R100" s="29" t="n">
        <v>2176.45</v>
      </c>
      <c r="S100" s="29" t="n">
        <v>10024.83</v>
      </c>
      <c r="T100" t="inlineStr">
        <is>
          <t>42260611308600000804550010000137891243775910</t>
        </is>
      </c>
      <c r="U100" t="inlineStr">
        <is>
          <t>Sim</t>
        </is>
      </c>
    </row>
    <row r="101">
      <c r="A101" t="inlineStr">
        <is>
          <t>Insumos e papel</t>
        </is>
      </c>
      <c r="B101" t="inlineStr">
        <is>
          <t>2.01.03 Compra de Matéria Prima (Papel)</t>
        </is>
      </c>
      <c r="C101" s="30" t="n">
        <v>46174</v>
      </c>
      <c r="D101" t="inlineStr">
        <is>
          <t>Em 2026</t>
        </is>
      </c>
      <c r="E101" s="28" t="n">
        <v>46202</v>
      </c>
      <c r="F101" t="inlineStr">
        <is>
          <t>NF-e</t>
        </is>
      </c>
      <c r="G101" t="inlineStr">
        <is>
          <t>000013791</t>
        </is>
      </c>
      <c r="H101" t="inlineStr">
        <is>
          <t>CMPC Iguacu Embalagens Ltda</t>
        </is>
      </c>
      <c r="I101" t="inlineStr">
        <is>
          <t>11.308.600/0008-04</t>
        </is>
      </c>
      <c r="J101" s="29" t="n">
        <v>148796.81</v>
      </c>
      <c r="K101" s="29">
        <f>(1-ISNUMBER(SEARCH("556",M101)))*(O101*SUMIFS(Premissas!$C$5:$C$44,Premissas!$A$5:$A$44,$A101,Premissas!$B$5:$B$44,$B101)+P101*SUMIFS(Premissas!$D$5:$D$44,Premissas!$A$5:$A$44,$A101,Premissas!$B$5:$B$44,$B101))+R101*SUMIFS(Premissas!$E$5:$E$44,Premissas!$A$5:$A$44,$A101,Premissas!$B$5:$B$44,$B101)+S101*SUMIFS(Premissas!$F$5:$F$44,Premissas!$A$5:$A$44,$A101,Premissas!$B$5:$B$44,$B101)</f>
        <v/>
      </c>
      <c r="L101" s="29">
        <f>J101-K101</f>
        <v/>
      </c>
      <c r="M101" t="inlineStr">
        <is>
          <t>2.101</t>
        </is>
      </c>
      <c r="O101" s="29" t="n">
        <v>4683.67</v>
      </c>
      <c r="P101" s="29" t="n">
        <v>10087.92</v>
      </c>
      <c r="Q101" s="29" t="n">
        <v>0</v>
      </c>
      <c r="R101" s="29" t="n">
        <v>2211.42</v>
      </c>
      <c r="S101" s="29" t="n">
        <v>10185.92</v>
      </c>
      <c r="T101" t="inlineStr">
        <is>
          <t>42260611308600000804550010000137911274896016</t>
        </is>
      </c>
      <c r="U101" t="inlineStr">
        <is>
          <t>Sim</t>
        </is>
      </c>
    </row>
    <row r="102">
      <c r="A102" t="inlineStr">
        <is>
          <t>Insumos e papel</t>
        </is>
      </c>
      <c r="B102" t="inlineStr">
        <is>
          <t>2.01.03 Compra de Matéria Prima (Papel)</t>
        </is>
      </c>
      <c r="C102" s="30" t="n">
        <v>46174</v>
      </c>
      <c r="D102" t="inlineStr">
        <is>
          <t>Em 2026</t>
        </is>
      </c>
      <c r="E102" s="28" t="n">
        <v>46202</v>
      </c>
      <c r="F102" t="inlineStr">
        <is>
          <t>NF-e</t>
        </is>
      </c>
      <c r="G102" t="inlineStr">
        <is>
          <t>000013793</t>
        </is>
      </c>
      <c r="H102" t="inlineStr">
        <is>
          <t>CMPC Iguacu Embalagens Ltda</t>
        </is>
      </c>
      <c r="I102" t="inlineStr">
        <is>
          <t>11.308.600/0008-04</t>
        </is>
      </c>
      <c r="J102" s="29" t="n">
        <v>148384.45</v>
      </c>
      <c r="K102" s="29">
        <f>(1-ISNUMBER(SEARCH("556",M102)))*(O102*SUMIFS(Premissas!$C$5:$C$44,Premissas!$A$5:$A$44,$A102,Premissas!$B$5:$B$44,$B102)+P102*SUMIFS(Premissas!$D$5:$D$44,Premissas!$A$5:$A$44,$A102,Premissas!$B$5:$B$44,$B102))+R102*SUMIFS(Premissas!$E$5:$E$44,Premissas!$A$5:$A$44,$A102,Premissas!$B$5:$B$44,$B102)+S102*SUMIFS(Premissas!$F$5:$F$44,Premissas!$A$5:$A$44,$A102,Premissas!$B$5:$B$44,$B102)</f>
        <v/>
      </c>
      <c r="L102" s="29">
        <f>J102-K102</f>
        <v/>
      </c>
      <c r="M102" t="inlineStr">
        <is>
          <t>2.101</t>
        </is>
      </c>
      <c r="O102" s="29" t="n">
        <v>4670.69</v>
      </c>
      <c r="P102" s="29" t="n">
        <v>10059.96</v>
      </c>
      <c r="Q102" s="29" t="n">
        <v>0</v>
      </c>
      <c r="R102" s="29" t="n">
        <v>2205.28</v>
      </c>
      <c r="S102" s="29" t="n">
        <v>10157.69</v>
      </c>
      <c r="T102" t="inlineStr">
        <is>
          <t>42260611308600000804550010000137931291239545</t>
        </is>
      </c>
      <c r="U102" t="inlineStr">
        <is>
          <t>Sim</t>
        </is>
      </c>
    </row>
    <row r="103">
      <c r="A103" t="inlineStr">
        <is>
          <t>Insumos e papel</t>
        </is>
      </c>
      <c r="B103" t="inlineStr">
        <is>
          <t>2.01.03 Compra de Matéria Prima (Papel)</t>
        </is>
      </c>
      <c r="C103" s="30" t="n">
        <v>46174</v>
      </c>
      <c r="D103" t="inlineStr">
        <is>
          <t>Em 2026</t>
        </is>
      </c>
      <c r="E103" s="28" t="n">
        <v>46203</v>
      </c>
      <c r="F103" t="inlineStr">
        <is>
          <t>NF-e</t>
        </is>
      </c>
      <c r="G103" t="inlineStr">
        <is>
          <t>000013798</t>
        </is>
      </c>
      <c r="H103" t="inlineStr">
        <is>
          <t>CMPC Iguacu Embalagens Ltda</t>
        </is>
      </c>
      <c r="I103" t="inlineStr">
        <is>
          <t>11.308.600/0008-04</t>
        </is>
      </c>
      <c r="J103" s="29" t="n">
        <v>150044.89</v>
      </c>
      <c r="K103" s="29">
        <f>(1-ISNUMBER(SEARCH("556",M103)))*(O103*SUMIFS(Premissas!$C$5:$C$44,Premissas!$A$5:$A$44,$A103,Premissas!$B$5:$B$44,$B103)+P103*SUMIFS(Premissas!$D$5:$D$44,Premissas!$A$5:$A$44,$A103,Premissas!$B$5:$B$44,$B103))+R103*SUMIFS(Premissas!$E$5:$E$44,Premissas!$A$5:$A$44,$A103,Premissas!$B$5:$B$44,$B103)+S103*SUMIFS(Premissas!$F$5:$F$44,Premissas!$A$5:$A$44,$A103,Premissas!$B$5:$B$44,$B103)</f>
        <v/>
      </c>
      <c r="L103" s="29">
        <f>J103-K103</f>
        <v/>
      </c>
      <c r="M103" t="inlineStr">
        <is>
          <t>2.101</t>
        </is>
      </c>
      <c r="O103" s="29" t="n">
        <v>4722.96</v>
      </c>
      <c r="P103" s="29" t="n">
        <v>10172.53</v>
      </c>
      <c r="Q103" s="29" t="n">
        <v>0</v>
      </c>
      <c r="R103" s="29" t="n">
        <v>2229.97</v>
      </c>
      <c r="S103" s="29" t="n">
        <v>10271.35</v>
      </c>
      <c r="T103" t="inlineStr">
        <is>
          <t>42260611308600000804550010000137981407943215</t>
        </is>
      </c>
      <c r="U103" t="inlineStr">
        <is>
          <t>Sim</t>
        </is>
      </c>
    </row>
    <row r="104">
      <c r="A104" t="inlineStr">
        <is>
          <t>Insumos e papel</t>
        </is>
      </c>
      <c r="B104" t="inlineStr">
        <is>
          <t>2.01.03 Compra de Matéria Prima (Papel)</t>
        </is>
      </c>
      <c r="C104" s="30" t="n">
        <v>46174</v>
      </c>
      <c r="D104" t="inlineStr">
        <is>
          <t>Em 2026</t>
        </is>
      </c>
      <c r="E104" s="28" t="n">
        <v>46203</v>
      </c>
      <c r="F104" t="inlineStr">
        <is>
          <t>NF-e</t>
        </is>
      </c>
      <c r="G104" t="inlineStr">
        <is>
          <t>000013802</t>
        </is>
      </c>
      <c r="H104" t="inlineStr">
        <is>
          <t>CMPC Iguacu Embalagens Ltda</t>
        </is>
      </c>
      <c r="I104" t="inlineStr">
        <is>
          <t>11.308.600/0008-04</t>
        </is>
      </c>
      <c r="J104" s="29" t="n">
        <v>147636.7</v>
      </c>
      <c r="K104" s="29">
        <f>(1-ISNUMBER(SEARCH("556",M104)))*(O104*SUMIFS(Premissas!$C$5:$C$44,Premissas!$A$5:$A$44,$A104,Premissas!$B$5:$B$44,$B104)+P104*SUMIFS(Premissas!$D$5:$D$44,Premissas!$A$5:$A$44,$A104,Premissas!$B$5:$B$44,$B104))+R104*SUMIFS(Premissas!$E$5:$E$44,Premissas!$A$5:$A$44,$A104,Premissas!$B$5:$B$44,$B104)+S104*SUMIFS(Premissas!$F$5:$F$44,Premissas!$A$5:$A$44,$A104,Premissas!$B$5:$B$44,$B104)</f>
        <v/>
      </c>
      <c r="L104" s="29">
        <f>J104-K104</f>
        <v/>
      </c>
      <c r="M104" t="inlineStr">
        <is>
          <t>2.101</t>
        </is>
      </c>
      <c r="O104" s="29" t="n">
        <v>4647.16</v>
      </c>
      <c r="P104" s="29" t="n">
        <v>10009.26</v>
      </c>
      <c r="Q104" s="29" t="n">
        <v>0</v>
      </c>
      <c r="R104" s="29" t="n">
        <v>2194.18</v>
      </c>
      <c r="S104" s="29" t="n">
        <v>10106.5</v>
      </c>
      <c r="T104" t="inlineStr">
        <is>
          <t>42260611308600000804550010000138021446866840</t>
        </is>
      </c>
      <c r="U104" t="inlineStr">
        <is>
          <t>Sim</t>
        </is>
      </c>
    </row>
    <row r="105">
      <c r="A105" t="inlineStr">
        <is>
          <t>Insumos e papel</t>
        </is>
      </c>
      <c r="B105" t="inlineStr">
        <is>
          <t>2.01.03 Compra de Matéria Prima (Papel)</t>
        </is>
      </c>
      <c r="C105" s="30" t="n">
        <v>46174</v>
      </c>
      <c r="D105" t="inlineStr">
        <is>
          <t>Em 2026</t>
        </is>
      </c>
      <c r="E105" s="28" t="n">
        <v>46203</v>
      </c>
      <c r="F105" t="inlineStr">
        <is>
          <t>NF-e</t>
        </is>
      </c>
      <c r="G105" t="inlineStr">
        <is>
          <t>000013804</t>
        </is>
      </c>
      <c r="H105" t="inlineStr">
        <is>
          <t>CMPC Iguacu Embalagens Ltda</t>
        </is>
      </c>
      <c r="I105" t="inlineStr">
        <is>
          <t>11.308.600/0008-04</t>
        </is>
      </c>
      <c r="J105" s="29" t="n">
        <v>151040.07</v>
      </c>
      <c r="K105" s="29">
        <f>(1-ISNUMBER(SEARCH("556",M105)))*(O105*SUMIFS(Premissas!$C$5:$C$44,Premissas!$A$5:$A$44,$A105,Premissas!$B$5:$B$44,$B105)+P105*SUMIFS(Premissas!$D$5:$D$44,Premissas!$A$5:$A$44,$A105,Premissas!$B$5:$B$44,$B105))+R105*SUMIFS(Premissas!$E$5:$E$44,Premissas!$A$5:$A$44,$A105,Premissas!$B$5:$B$44,$B105)+S105*SUMIFS(Premissas!$F$5:$F$44,Premissas!$A$5:$A$44,$A105,Premissas!$B$5:$B$44,$B105)</f>
        <v/>
      </c>
      <c r="L105" s="29">
        <f>J105-K105</f>
        <v/>
      </c>
      <c r="M105" t="inlineStr">
        <is>
          <t>2.101</t>
        </is>
      </c>
      <c r="O105" s="29" t="n">
        <v>4754.29</v>
      </c>
      <c r="P105" s="29" t="n">
        <v>10240.01</v>
      </c>
      <c r="Q105" s="29" t="n">
        <v>0</v>
      </c>
      <c r="R105" s="29" t="n">
        <v>2244.75</v>
      </c>
      <c r="S105" s="29" t="n">
        <v>10339.48</v>
      </c>
      <c r="T105" t="inlineStr">
        <is>
          <t>42260611308600000804550010000138041476937066</t>
        </is>
      </c>
      <c r="U105" t="inlineStr">
        <is>
          <t>Sim</t>
        </is>
      </c>
    </row>
    <row r="106">
      <c r="A106" t="inlineStr">
        <is>
          <t>Insumos e papel</t>
        </is>
      </c>
      <c r="B106" t="inlineStr">
        <is>
          <t>2.01.03 Compra de Matéria Prima (Papel)</t>
        </is>
      </c>
      <c r="C106" s="30" t="n">
        <v>46174</v>
      </c>
      <c r="D106" t="inlineStr">
        <is>
          <t>Em 2026</t>
        </is>
      </c>
      <c r="E106" s="28" t="n">
        <v>46203</v>
      </c>
      <c r="F106" t="inlineStr">
        <is>
          <t>NF-e</t>
        </is>
      </c>
      <c r="G106" t="inlineStr">
        <is>
          <t>000013807</t>
        </is>
      </c>
      <c r="H106" t="inlineStr">
        <is>
          <t>CMPC Iguacu Embalagens Ltda</t>
        </is>
      </c>
      <c r="I106" t="inlineStr">
        <is>
          <t>11.308.600/0008-04</t>
        </is>
      </c>
      <c r="J106" s="29" t="n">
        <v>150347.3</v>
      </c>
      <c r="K106" s="29">
        <f>(1-ISNUMBER(SEARCH("556",M106)))*(O106*SUMIFS(Premissas!$C$5:$C$44,Premissas!$A$5:$A$44,$A106,Premissas!$B$5:$B$44,$B106)+P106*SUMIFS(Premissas!$D$5:$D$44,Premissas!$A$5:$A$44,$A106,Premissas!$B$5:$B$44,$B106))+R106*SUMIFS(Premissas!$E$5:$E$44,Premissas!$A$5:$A$44,$A106,Premissas!$B$5:$B$44,$B106)+S106*SUMIFS(Premissas!$F$5:$F$44,Premissas!$A$5:$A$44,$A106,Premissas!$B$5:$B$44,$B106)</f>
        <v/>
      </c>
      <c r="L106" s="29">
        <f>J106-K106</f>
        <v/>
      </c>
      <c r="M106" t="inlineStr">
        <is>
          <t>2.101</t>
        </is>
      </c>
      <c r="O106" s="29" t="n">
        <v>4732.48</v>
      </c>
      <c r="P106" s="29" t="n">
        <v>10193.04</v>
      </c>
      <c r="Q106" s="29" t="n">
        <v>0</v>
      </c>
      <c r="R106" s="29" t="n">
        <v>2234.46</v>
      </c>
      <c r="S106" s="29" t="n">
        <v>10292.06</v>
      </c>
      <c r="T106" t="inlineStr">
        <is>
          <t>42260611308600000804550010000138071499517154</t>
        </is>
      </c>
      <c r="U106" t="inlineStr">
        <is>
          <t>Sim</t>
        </is>
      </c>
    </row>
    <row r="107">
      <c r="A107" t="inlineStr">
        <is>
          <t>Insumos e papel</t>
        </is>
      </c>
      <c r="B107" t="inlineStr">
        <is>
          <t>2.01.03 Compra de Matéria Prima (Papel)</t>
        </is>
      </c>
      <c r="C107" s="30" t="n">
        <v>46174</v>
      </c>
      <c r="D107" t="inlineStr">
        <is>
          <t>Em 2026</t>
        </is>
      </c>
      <c r="E107" s="28" t="n">
        <v>46202</v>
      </c>
      <c r="F107" t="inlineStr">
        <is>
          <t>NF-e</t>
        </is>
      </c>
      <c r="G107" t="inlineStr">
        <is>
          <t>000652805</t>
        </is>
      </c>
      <c r="H107" t="inlineStr">
        <is>
          <t>IRANI PAPEL E EMBALAGEM S.A.</t>
        </is>
      </c>
      <c r="I107" t="inlineStr">
        <is>
          <t>92.791.243/0002-94</t>
        </is>
      </c>
      <c r="J107" s="29" t="n">
        <v>167726.24</v>
      </c>
      <c r="K107" s="29">
        <f>(1-ISNUMBER(SEARCH("556",M107)))*(O107*SUMIFS(Premissas!$C$5:$C$44,Premissas!$A$5:$A$44,$A107,Premissas!$B$5:$B$44,$B107)+P107*SUMIFS(Premissas!$D$5:$D$44,Premissas!$A$5:$A$44,$A107,Premissas!$B$5:$B$44,$B107))+R107*SUMIFS(Premissas!$E$5:$E$44,Premissas!$A$5:$A$44,$A107,Premissas!$B$5:$B$44,$B107)+S107*SUMIFS(Premissas!$F$5:$F$44,Premissas!$A$5:$A$44,$A107,Premissas!$B$5:$B$44,$B107)</f>
        <v/>
      </c>
      <c r="L107" s="29">
        <f>J107-K107</f>
        <v/>
      </c>
      <c r="M107" t="inlineStr">
        <is>
          <t>2.101</t>
        </is>
      </c>
      <c r="O107" s="29" t="n">
        <v>5279.52</v>
      </c>
      <c r="P107" s="29" t="n">
        <v>11371.27</v>
      </c>
      <c r="Q107" s="29" t="n">
        <v>0</v>
      </c>
      <c r="R107" s="29" t="n">
        <v>2492.75</v>
      </c>
      <c r="S107" s="29" t="n">
        <v>11481.74</v>
      </c>
      <c r="T107" t="inlineStr">
        <is>
          <t>42260692791243000294550050006528051021756843</t>
        </is>
      </c>
      <c r="U107" t="inlineStr">
        <is>
          <t>Sim</t>
        </is>
      </c>
    </row>
    <row r="108">
      <c r="A108" t="inlineStr">
        <is>
          <t>Insumos e papel</t>
        </is>
      </c>
      <c r="B108" t="inlineStr">
        <is>
          <t>2.01.03 Compra de Matéria Prima (Papel)</t>
        </is>
      </c>
      <c r="C108" s="30" t="n">
        <v>46174</v>
      </c>
      <c r="D108" t="inlineStr">
        <is>
          <t>Em 2026</t>
        </is>
      </c>
      <c r="E108" s="28" t="n">
        <v>46202</v>
      </c>
      <c r="F108" t="inlineStr">
        <is>
          <t>NF-e</t>
        </is>
      </c>
      <c r="G108" t="inlineStr">
        <is>
          <t>000652877</t>
        </is>
      </c>
      <c r="H108" t="inlineStr">
        <is>
          <t>IRANI PAPEL E EMBALAGEM S.A.</t>
        </is>
      </c>
      <c r="I108" t="inlineStr">
        <is>
          <t>92.791.243/0002-94</t>
        </is>
      </c>
      <c r="J108" s="29" t="n">
        <v>167549.12</v>
      </c>
      <c r="K108" s="29">
        <f>(1-ISNUMBER(SEARCH("556",M108)))*(O108*SUMIFS(Premissas!$C$5:$C$44,Premissas!$A$5:$A$44,$A108,Premissas!$B$5:$B$44,$B108)+P108*SUMIFS(Premissas!$D$5:$D$44,Premissas!$A$5:$A$44,$A108,Premissas!$B$5:$B$44,$B108))+R108*SUMIFS(Premissas!$E$5:$E$44,Premissas!$A$5:$A$44,$A108,Premissas!$B$5:$B$44,$B108)+S108*SUMIFS(Premissas!$F$5:$F$44,Premissas!$A$5:$A$44,$A108,Premissas!$B$5:$B$44,$B108)</f>
        <v/>
      </c>
      <c r="L108" s="29">
        <f>J108-K108</f>
        <v/>
      </c>
      <c r="M108" t="inlineStr">
        <is>
          <t>2.101</t>
        </is>
      </c>
      <c r="O108" s="29" t="n">
        <v>5273.94</v>
      </c>
      <c r="P108" s="29" t="n">
        <v>11359.26</v>
      </c>
      <c r="Q108" s="29" t="n">
        <v>0</v>
      </c>
      <c r="R108" s="29" t="n">
        <v>2490.11</v>
      </c>
      <c r="S108" s="29" t="n">
        <v>11469.61</v>
      </c>
      <c r="T108" t="inlineStr">
        <is>
          <t>42260692791243000294550050006528771519643598</t>
        </is>
      </c>
      <c r="U108" t="inlineStr">
        <is>
          <t>Sim</t>
        </is>
      </c>
    </row>
    <row r="109">
      <c r="A109" t="inlineStr">
        <is>
          <t>Insumos e papel</t>
        </is>
      </c>
      <c r="B109" t="inlineStr">
        <is>
          <t>2.01.03 Compra de Matéria Prima (Papel)</t>
        </is>
      </c>
      <c r="C109" s="30" t="n">
        <v>46174</v>
      </c>
      <c r="D109" t="inlineStr">
        <is>
          <t>Em 2026</t>
        </is>
      </c>
      <c r="E109" s="28" t="n">
        <v>46196</v>
      </c>
      <c r="F109" t="inlineStr">
        <is>
          <t>NF-e</t>
        </is>
      </c>
      <c r="G109" t="inlineStr">
        <is>
          <t>000016059</t>
        </is>
      </c>
      <c r="H109" t="inlineStr">
        <is>
          <t>NOVA CONPEL COMPANHIA NORDESTINA DE PAPEL LTDA</t>
        </is>
      </c>
      <c r="I109" t="inlineStr">
        <is>
          <t>55.330.530/0001-90</t>
        </is>
      </c>
      <c r="J109" s="29" t="n">
        <v>22085.45</v>
      </c>
      <c r="K109" s="29">
        <f>(1-ISNUMBER(SEARCH("556",M109)))*(O109*SUMIFS(Premissas!$C$5:$C$44,Premissas!$A$5:$A$44,$A109,Premissas!$B$5:$B$44,$B109)+P109*SUMIFS(Premissas!$D$5:$D$44,Premissas!$A$5:$A$44,$A109,Premissas!$B$5:$B$44,$B109))+R109*SUMIFS(Premissas!$E$5:$E$44,Premissas!$A$5:$A$44,$A109,Premissas!$B$5:$B$44,$B109)+S109*SUMIFS(Premissas!$F$5:$F$44,Premissas!$A$5:$A$44,$A109,Premissas!$B$5:$B$44,$B109)</f>
        <v/>
      </c>
      <c r="L109" s="29">
        <f>J109-K109</f>
        <v/>
      </c>
      <c r="M109" t="inlineStr">
        <is>
          <t>1.102</t>
        </is>
      </c>
      <c r="O109" s="29" t="n">
        <v>0</v>
      </c>
      <c r="P109" s="29" t="n">
        <v>4417.09</v>
      </c>
      <c r="Q109" s="29" t="n">
        <v>0</v>
      </c>
      <c r="R109" s="29" t="n">
        <v>291.53</v>
      </c>
      <c r="S109" s="29" t="n">
        <v>1342.8</v>
      </c>
      <c r="T109" t="inlineStr">
        <is>
          <t>25260655330530000190550010000160591023253497</t>
        </is>
      </c>
      <c r="U109" t="inlineStr">
        <is>
          <t>Sim</t>
        </is>
      </c>
    </row>
    <row r="110">
      <c r="A110" t="inlineStr">
        <is>
          <t>Insumos e papel</t>
        </is>
      </c>
      <c r="B110" t="inlineStr">
        <is>
          <t>2.01.03 Compra de Matéria Prima (Papel)</t>
        </is>
      </c>
      <c r="C110" s="30" t="n">
        <v>46204</v>
      </c>
      <c r="D110" t="inlineStr">
        <is>
          <t>Em 2026</t>
        </is>
      </c>
      <c r="E110" s="28" t="n">
        <v>46223</v>
      </c>
      <c r="F110" t="inlineStr">
        <is>
          <t>NF-e</t>
        </is>
      </c>
      <c r="G110" t="inlineStr">
        <is>
          <t>000013985</t>
        </is>
      </c>
      <c r="H110" t="inlineStr">
        <is>
          <t>CMPC Iguacu Embalagens Ltda</t>
        </is>
      </c>
      <c r="I110" t="inlineStr">
        <is>
          <t>11.308.600/0008-04</t>
        </is>
      </c>
      <c r="J110" s="29" t="n">
        <v>147213.34</v>
      </c>
      <c r="K110" s="29">
        <f>(1-ISNUMBER(SEARCH("556",M110)))*(O110*SUMIFS(Premissas!$C$5:$C$44,Premissas!$A$5:$A$44,$A110,Premissas!$B$5:$B$44,$B110)+P110*SUMIFS(Premissas!$D$5:$D$44,Premissas!$A$5:$A$44,$A110,Premissas!$B$5:$B$44,$B110))+R110*SUMIFS(Premissas!$E$5:$E$44,Premissas!$A$5:$A$44,$A110,Premissas!$B$5:$B$44,$B110)+S110*SUMIFS(Premissas!$F$5:$F$44,Premissas!$A$5:$A$44,$A110,Premissas!$B$5:$B$44,$B110)</f>
        <v/>
      </c>
      <c r="L110" s="29">
        <f>J110-K110</f>
        <v/>
      </c>
      <c r="M110" t="inlineStr">
        <is>
          <t>2.101</t>
        </is>
      </c>
      <c r="O110" s="29" t="n">
        <v>4633.84</v>
      </c>
      <c r="P110" s="29" t="n">
        <v>9980.57</v>
      </c>
      <c r="Q110" s="29" t="n">
        <v>0</v>
      </c>
      <c r="R110" s="29" t="n">
        <v>2187.88</v>
      </c>
      <c r="S110" s="29" t="n">
        <v>10077.51</v>
      </c>
      <c r="T110" t="inlineStr">
        <is>
          <t>42260711308600000804550010000139851505318486</t>
        </is>
      </c>
      <c r="U110" t="inlineStr">
        <is>
          <t>Sim</t>
        </is>
      </c>
    </row>
    <row r="111">
      <c r="A111" t="inlineStr">
        <is>
          <t>Insumos e papel</t>
        </is>
      </c>
      <c r="B111" t="inlineStr">
        <is>
          <t>2.01.03 Compra de Matéria Prima (Papel)</t>
        </is>
      </c>
      <c r="C111" s="30" t="n">
        <v>46204</v>
      </c>
      <c r="D111" t="inlineStr">
        <is>
          <t>Em 2026</t>
        </is>
      </c>
      <c r="E111" s="28" t="n">
        <v>46223</v>
      </c>
      <c r="F111" t="inlineStr">
        <is>
          <t>NF-e</t>
        </is>
      </c>
      <c r="G111" t="inlineStr">
        <is>
          <t>000013990</t>
        </is>
      </c>
      <c r="H111" t="inlineStr">
        <is>
          <t>CMPC Iguacu Embalagens Ltda</t>
        </is>
      </c>
      <c r="I111" t="inlineStr">
        <is>
          <t>11.308.600/0008-04</t>
        </is>
      </c>
      <c r="J111" s="29" t="n">
        <v>148439.44</v>
      </c>
      <c r="K111" s="29">
        <f>(1-ISNUMBER(SEARCH("556",M111)))*(O111*SUMIFS(Premissas!$C$5:$C$44,Premissas!$A$5:$A$44,$A111,Premissas!$B$5:$B$44,$B111)+P111*SUMIFS(Premissas!$D$5:$D$44,Premissas!$A$5:$A$44,$A111,Premissas!$B$5:$B$44,$B111))+R111*SUMIFS(Premissas!$E$5:$E$44,Premissas!$A$5:$A$44,$A111,Premissas!$B$5:$B$44,$B111)+S111*SUMIFS(Premissas!$F$5:$F$44,Premissas!$A$5:$A$44,$A111,Premissas!$B$5:$B$44,$B111)</f>
        <v/>
      </c>
      <c r="L111" s="29">
        <f>J111-K111</f>
        <v/>
      </c>
      <c r="M111" t="inlineStr">
        <is>
          <t>2.101</t>
        </is>
      </c>
      <c r="O111" s="29" t="n">
        <v>4672.43</v>
      </c>
      <c r="P111" s="29" t="n">
        <v>10063.69</v>
      </c>
      <c r="Q111" s="29" t="n">
        <v>0</v>
      </c>
      <c r="R111" s="29" t="n">
        <v>2206.1</v>
      </c>
      <c r="S111" s="29" t="n">
        <v>10161.46</v>
      </c>
      <c r="T111" t="inlineStr">
        <is>
          <t>42260711308600000804550010000139901578245438</t>
        </is>
      </c>
      <c r="U111" t="inlineStr">
        <is>
          <t>Sim</t>
        </is>
      </c>
    </row>
    <row r="112">
      <c r="A112" t="inlineStr">
        <is>
          <t>Insumos e papel</t>
        </is>
      </c>
      <c r="B112" t="inlineStr">
        <is>
          <t>2.01.03 Compra de Matéria Prima (Papel)</t>
        </is>
      </c>
      <c r="C112" s="30" t="n">
        <v>46204</v>
      </c>
      <c r="D112" t="inlineStr">
        <is>
          <t>Em 2026</t>
        </is>
      </c>
      <c r="E112" s="28" t="n">
        <v>46223</v>
      </c>
      <c r="F112" t="inlineStr">
        <is>
          <t>NF-e</t>
        </is>
      </c>
      <c r="G112" t="inlineStr">
        <is>
          <t>000013992</t>
        </is>
      </c>
      <c r="H112" t="inlineStr">
        <is>
          <t>CMPC Iguacu Embalagens Ltda</t>
        </is>
      </c>
      <c r="I112" t="inlineStr">
        <is>
          <t>11.308.600/0008-04</t>
        </is>
      </c>
      <c r="J112" s="29" t="n">
        <v>148708.84</v>
      </c>
      <c r="K112" s="29">
        <f>(1-ISNUMBER(SEARCH("556",M112)))*(O112*SUMIFS(Premissas!$C$5:$C$44,Premissas!$A$5:$A$44,$A112,Premissas!$B$5:$B$44,$B112)+P112*SUMIFS(Premissas!$D$5:$D$44,Premissas!$A$5:$A$44,$A112,Premissas!$B$5:$B$44,$B112))+R112*SUMIFS(Premissas!$E$5:$E$44,Premissas!$A$5:$A$44,$A112,Premissas!$B$5:$B$44,$B112)+S112*SUMIFS(Premissas!$F$5:$F$44,Premissas!$A$5:$A$44,$A112,Premissas!$B$5:$B$44,$B112)</f>
        <v/>
      </c>
      <c r="L112" s="29">
        <f>J112-K112</f>
        <v/>
      </c>
      <c r="M112" t="inlineStr">
        <is>
          <t>2.101</t>
        </is>
      </c>
      <c r="O112" s="29" t="n">
        <v>4680.91</v>
      </c>
      <c r="P112" s="29" t="n">
        <v>10081.95</v>
      </c>
      <c r="Q112" s="29" t="n">
        <v>0</v>
      </c>
      <c r="R112" s="29" t="n">
        <v>2210.11</v>
      </c>
      <c r="S112" s="29" t="n">
        <v>10179.89</v>
      </c>
      <c r="T112" t="inlineStr">
        <is>
          <t>42260711308600000804550010000139921614050772</t>
        </is>
      </c>
      <c r="U112" t="inlineStr">
        <is>
          <t>Sim</t>
        </is>
      </c>
    </row>
    <row r="113">
      <c r="A113" t="inlineStr">
        <is>
          <t>Insumos e papel</t>
        </is>
      </c>
      <c r="B113" t="inlineStr">
        <is>
          <t>2.01.03 Compra de Matéria Prima (Papel)</t>
        </is>
      </c>
      <c r="C113" s="30" t="n">
        <v>46204</v>
      </c>
      <c r="D113" t="inlineStr">
        <is>
          <t>Em 2026</t>
        </is>
      </c>
      <c r="E113" s="28" t="n">
        <v>46224</v>
      </c>
      <c r="F113" t="inlineStr">
        <is>
          <t>NF-e</t>
        </is>
      </c>
      <c r="G113" t="inlineStr">
        <is>
          <t>000014002</t>
        </is>
      </c>
      <c r="H113" t="inlineStr">
        <is>
          <t>CMPC Iguacu Embalagens Ltda</t>
        </is>
      </c>
      <c r="I113" t="inlineStr">
        <is>
          <t>11.308.600/0008-04</t>
        </is>
      </c>
      <c r="J113" s="29" t="n">
        <v>148444.94</v>
      </c>
      <c r="K113" s="29">
        <f>(1-ISNUMBER(SEARCH("556",M113)))*(O113*SUMIFS(Premissas!$C$5:$C$44,Premissas!$A$5:$A$44,$A113,Premissas!$B$5:$B$44,$B113)+P113*SUMIFS(Premissas!$D$5:$D$44,Premissas!$A$5:$A$44,$A113,Premissas!$B$5:$B$44,$B113))+R113*SUMIFS(Premissas!$E$5:$E$44,Premissas!$A$5:$A$44,$A113,Premissas!$B$5:$B$44,$B113)+S113*SUMIFS(Premissas!$F$5:$F$44,Premissas!$A$5:$A$44,$A113,Premissas!$B$5:$B$44,$B113)</f>
        <v/>
      </c>
      <c r="L113" s="29">
        <f>J113-K113</f>
        <v/>
      </c>
      <c r="M113" t="inlineStr">
        <is>
          <t>2.101</t>
        </is>
      </c>
      <c r="O113" s="29" t="n">
        <v>4672.61</v>
      </c>
      <c r="P113" s="29" t="n">
        <v>10064.06</v>
      </c>
      <c r="Q113" s="29" t="n">
        <v>0</v>
      </c>
      <c r="R113" s="29" t="n">
        <v>2206.19</v>
      </c>
      <c r="S113" s="29" t="n">
        <v>10161.82</v>
      </c>
      <c r="T113" t="inlineStr">
        <is>
          <t>42260711308600000804550010000140021677571379</t>
        </is>
      </c>
      <c r="U113" t="inlineStr">
        <is>
          <t>Sim</t>
        </is>
      </c>
    </row>
    <row r="114">
      <c r="A114" t="inlineStr">
        <is>
          <t>Insumos e papel</t>
        </is>
      </c>
      <c r="B114" t="inlineStr">
        <is>
          <t>2.01.03 Compra de Matéria Prima (Papel)</t>
        </is>
      </c>
      <c r="C114" s="30" t="n">
        <v>46204</v>
      </c>
      <c r="D114" t="inlineStr">
        <is>
          <t>Em 2026</t>
        </is>
      </c>
      <c r="E114" s="28" t="n">
        <v>46224</v>
      </c>
      <c r="F114" t="inlineStr">
        <is>
          <t>NF-e</t>
        </is>
      </c>
      <c r="G114" t="inlineStr">
        <is>
          <t>000014005</t>
        </is>
      </c>
      <c r="H114" t="inlineStr">
        <is>
          <t>CMPC Iguacu Embalagens Ltda</t>
        </is>
      </c>
      <c r="I114" t="inlineStr">
        <is>
          <t>11.308.600/0008-04</t>
        </is>
      </c>
      <c r="J114" s="29" t="n">
        <v>146883.45</v>
      </c>
      <c r="K114" s="29">
        <f>(1-ISNUMBER(SEARCH("556",M114)))*(O114*SUMIFS(Premissas!$C$5:$C$44,Premissas!$A$5:$A$44,$A114,Premissas!$B$5:$B$44,$B114)+P114*SUMIFS(Premissas!$D$5:$D$44,Premissas!$A$5:$A$44,$A114,Premissas!$B$5:$B$44,$B114))+R114*SUMIFS(Premissas!$E$5:$E$44,Premissas!$A$5:$A$44,$A114,Premissas!$B$5:$B$44,$B114)+S114*SUMIFS(Premissas!$F$5:$F$44,Premissas!$A$5:$A$44,$A114,Premissas!$B$5:$B$44,$B114)</f>
        <v/>
      </c>
      <c r="L114" s="29">
        <f>J114-K114</f>
        <v/>
      </c>
      <c r="M114" t="inlineStr">
        <is>
          <t>2.101</t>
        </is>
      </c>
      <c r="O114" s="29" t="n">
        <v>4623.45</v>
      </c>
      <c r="P114" s="29" t="n">
        <v>9958.200000000001</v>
      </c>
      <c r="Q114" s="29" t="n">
        <v>0</v>
      </c>
      <c r="R114" s="29" t="n">
        <v>2182.98</v>
      </c>
      <c r="S114" s="29" t="n">
        <v>10054.94</v>
      </c>
      <c r="T114" t="inlineStr">
        <is>
          <t>42260711308600000804550010000140051807536154</t>
        </is>
      </c>
      <c r="U114" t="inlineStr">
        <is>
          <t>Sim</t>
        </is>
      </c>
    </row>
    <row r="115">
      <c r="A115" t="inlineStr">
        <is>
          <t>Insumos e papel</t>
        </is>
      </c>
      <c r="B115" t="inlineStr">
        <is>
          <t>2.01.03 Compra de Matéria Prima (Papel)</t>
        </is>
      </c>
      <c r="C115" s="30" t="n">
        <v>46204</v>
      </c>
      <c r="D115" t="inlineStr">
        <is>
          <t>Em 2026</t>
        </is>
      </c>
      <c r="E115" s="28" t="n">
        <v>46224</v>
      </c>
      <c r="F115" t="inlineStr">
        <is>
          <t>NF-e</t>
        </is>
      </c>
      <c r="G115" t="inlineStr">
        <is>
          <t>000014010</t>
        </is>
      </c>
      <c r="H115" t="inlineStr">
        <is>
          <t>CMPC Iguacu Embalagens Ltda</t>
        </is>
      </c>
      <c r="I115" t="inlineStr">
        <is>
          <t>11.308.600/0008-04</t>
        </is>
      </c>
      <c r="J115" s="29" t="n">
        <v>147240.84</v>
      </c>
      <c r="K115" s="29">
        <f>(1-ISNUMBER(SEARCH("556",M115)))*(O115*SUMIFS(Premissas!$C$5:$C$44,Premissas!$A$5:$A$44,$A115,Premissas!$B$5:$B$44,$B115)+P115*SUMIFS(Premissas!$D$5:$D$44,Premissas!$A$5:$A$44,$A115,Premissas!$B$5:$B$44,$B115))+R115*SUMIFS(Premissas!$E$5:$E$44,Premissas!$A$5:$A$44,$A115,Premissas!$B$5:$B$44,$B115)+S115*SUMIFS(Premissas!$F$5:$F$44,Premissas!$A$5:$A$44,$A115,Premissas!$B$5:$B$44,$B115)</f>
        <v/>
      </c>
      <c r="L115" s="29">
        <f>J115-K115</f>
        <v/>
      </c>
      <c r="M115" t="inlineStr">
        <is>
          <t>2.101</t>
        </is>
      </c>
      <c r="O115" s="29" t="n">
        <v>4634.7</v>
      </c>
      <c r="P115" s="29" t="n">
        <v>9982.43</v>
      </c>
      <c r="Q115" s="29" t="n">
        <v>0</v>
      </c>
      <c r="R115" s="29" t="n">
        <v>2188.29</v>
      </c>
      <c r="S115" s="29" t="n">
        <v>10079.41</v>
      </c>
      <c r="T115" t="inlineStr">
        <is>
          <t>42260711308600000804550010000140101932894036</t>
        </is>
      </c>
      <c r="U115" t="inlineStr">
        <is>
          <t>Sim</t>
        </is>
      </c>
    </row>
    <row r="116">
      <c r="A116" t="inlineStr">
        <is>
          <t>Insumos e papel</t>
        </is>
      </c>
      <c r="B116" t="inlineStr">
        <is>
          <t>2.01.03 Compra de Matéria Prima (Papel)</t>
        </is>
      </c>
      <c r="C116" s="30" t="n">
        <v>46204</v>
      </c>
      <c r="D116" t="inlineStr">
        <is>
          <t>Em 2026</t>
        </is>
      </c>
      <c r="E116" s="28" t="n">
        <v>46230</v>
      </c>
      <c r="F116" t="inlineStr">
        <is>
          <t>NF-e</t>
        </is>
      </c>
      <c r="G116" t="inlineStr">
        <is>
          <t>000014071</t>
        </is>
      </c>
      <c r="H116" t="inlineStr">
        <is>
          <t>CMPC Iguacu Embalagens Ltda</t>
        </is>
      </c>
      <c r="I116" t="inlineStr">
        <is>
          <t>11.308.600/0008-04</t>
        </is>
      </c>
      <c r="J116" s="29" t="n">
        <v>148131.55</v>
      </c>
      <c r="K116" s="29">
        <f>(1-ISNUMBER(SEARCH("556",M116)))*(O116*SUMIFS(Premissas!$C$5:$C$44,Premissas!$A$5:$A$44,$A116,Premissas!$B$5:$B$44,$B116)+P116*SUMIFS(Premissas!$D$5:$D$44,Premissas!$A$5:$A$44,$A116,Premissas!$B$5:$B$44,$B116))+R116*SUMIFS(Premissas!$E$5:$E$44,Premissas!$A$5:$A$44,$A116,Premissas!$B$5:$B$44,$B116)+S116*SUMIFS(Premissas!$F$5:$F$44,Premissas!$A$5:$A$44,$A116,Premissas!$B$5:$B$44,$B116)</f>
        <v/>
      </c>
      <c r="L116" s="29">
        <f>J116-K116</f>
        <v/>
      </c>
      <c r="M116" t="inlineStr">
        <is>
          <t>2.101</t>
        </is>
      </c>
      <c r="O116" s="29" t="n">
        <v>4662.74</v>
      </c>
      <c r="P116" s="29" t="n">
        <v>10042.82</v>
      </c>
      <c r="Q116" s="29" t="n">
        <v>0</v>
      </c>
      <c r="R116" s="29" t="n">
        <v>2201.53</v>
      </c>
      <c r="S116" s="29" t="n">
        <v>10140.37</v>
      </c>
      <c r="T116" t="inlineStr">
        <is>
          <t>42260711308600000804550010000140711847896637</t>
        </is>
      </c>
      <c r="U116" t="inlineStr">
        <is>
          <t>Sim</t>
        </is>
      </c>
    </row>
    <row r="117">
      <c r="A117" t="inlineStr">
        <is>
          <t>Insumos e papel</t>
        </is>
      </c>
      <c r="B117" t="inlineStr">
        <is>
          <t>2.01.03 Compra de Matéria Prima (Papel)</t>
        </is>
      </c>
      <c r="C117" s="30" t="n">
        <v>46204</v>
      </c>
      <c r="D117" t="inlineStr">
        <is>
          <t>Em 2026</t>
        </is>
      </c>
      <c r="E117" s="28" t="n">
        <v>46230</v>
      </c>
      <c r="F117" t="inlineStr">
        <is>
          <t>NF-e</t>
        </is>
      </c>
      <c r="G117" t="inlineStr">
        <is>
          <t>000014073</t>
        </is>
      </c>
      <c r="H117" t="inlineStr">
        <is>
          <t>CMPC Iguacu Embalagens Ltda</t>
        </is>
      </c>
      <c r="I117" t="inlineStr">
        <is>
          <t>11.308.600/0008-04</t>
        </is>
      </c>
      <c r="J117" s="29" t="n">
        <v>147537.73</v>
      </c>
      <c r="K117" s="29">
        <f>(1-ISNUMBER(SEARCH("556",M117)))*(O117*SUMIFS(Premissas!$C$5:$C$44,Premissas!$A$5:$A$44,$A117,Premissas!$B$5:$B$44,$B117)+P117*SUMIFS(Premissas!$D$5:$D$44,Premissas!$A$5:$A$44,$A117,Premissas!$B$5:$B$44,$B117))+R117*SUMIFS(Premissas!$E$5:$E$44,Premissas!$A$5:$A$44,$A117,Premissas!$B$5:$B$44,$B117)+S117*SUMIFS(Premissas!$F$5:$F$44,Premissas!$A$5:$A$44,$A117,Premissas!$B$5:$B$44,$B117)</f>
        <v/>
      </c>
      <c r="L117" s="29">
        <f>J117-K117</f>
        <v/>
      </c>
      <c r="M117" t="inlineStr">
        <is>
          <t>2.101</t>
        </is>
      </c>
      <c r="O117" s="29" t="n">
        <v>4644.04</v>
      </c>
      <c r="P117" s="29" t="n">
        <v>10002.56</v>
      </c>
      <c r="Q117" s="29" t="n">
        <v>0</v>
      </c>
      <c r="R117" s="29" t="n">
        <v>2192.7</v>
      </c>
      <c r="S117" s="29" t="n">
        <v>10099.73</v>
      </c>
      <c r="T117" t="inlineStr">
        <is>
          <t>42260711308600000804550010000140731029383500</t>
        </is>
      </c>
      <c r="U117" t="inlineStr">
        <is>
          <t>Sim</t>
        </is>
      </c>
    </row>
    <row r="118">
      <c r="A118" t="inlineStr">
        <is>
          <t>Insumos e papel</t>
        </is>
      </c>
      <c r="B118" t="inlineStr">
        <is>
          <t>2.01.03 Compra de Matéria Prima (Papel)</t>
        </is>
      </c>
      <c r="C118" s="30" t="n">
        <v>46204</v>
      </c>
      <c r="D118" t="inlineStr">
        <is>
          <t>Em 2026</t>
        </is>
      </c>
      <c r="E118" s="28" t="n">
        <v>46230</v>
      </c>
      <c r="F118" t="inlineStr">
        <is>
          <t>NF-e</t>
        </is>
      </c>
      <c r="G118" t="inlineStr">
        <is>
          <t>000014084</t>
        </is>
      </c>
      <c r="H118" t="inlineStr">
        <is>
          <t>CMPC Iguacu Embalagens Ltda</t>
        </is>
      </c>
      <c r="I118" t="inlineStr">
        <is>
          <t>11.308.600/0008-04</t>
        </is>
      </c>
      <c r="J118" s="29" t="n">
        <v>147488.26</v>
      </c>
      <c r="K118" s="29">
        <f>(1-ISNUMBER(SEARCH("556",M118)))*(O118*SUMIFS(Premissas!$C$5:$C$44,Premissas!$A$5:$A$44,$A118,Premissas!$B$5:$B$44,$B118)+P118*SUMIFS(Premissas!$D$5:$D$44,Premissas!$A$5:$A$44,$A118,Premissas!$B$5:$B$44,$B118))+R118*SUMIFS(Premissas!$E$5:$E$44,Premissas!$A$5:$A$44,$A118,Premissas!$B$5:$B$44,$B118)+S118*SUMIFS(Premissas!$F$5:$F$44,Premissas!$A$5:$A$44,$A118,Premissas!$B$5:$B$44,$B118)</f>
        <v/>
      </c>
      <c r="L118" s="29">
        <f>J118-K118</f>
        <v/>
      </c>
      <c r="M118" t="inlineStr">
        <is>
          <t>2.101</t>
        </is>
      </c>
      <c r="O118" s="29" t="n">
        <v>4642.49</v>
      </c>
      <c r="P118" s="29" t="n">
        <v>9999.200000000001</v>
      </c>
      <c r="Q118" s="29" t="n">
        <v>0</v>
      </c>
      <c r="R118" s="29" t="n">
        <v>2191.97</v>
      </c>
      <c r="S118" s="29" t="n">
        <v>10096.34</v>
      </c>
      <c r="T118" t="inlineStr">
        <is>
          <t>42260711308600000804550010000140841203505605</t>
        </is>
      </c>
      <c r="U118" t="inlineStr">
        <is>
          <t>Sim</t>
        </is>
      </c>
    </row>
    <row r="119">
      <c r="A119" t="inlineStr">
        <is>
          <t>Insumos e papel</t>
        </is>
      </c>
      <c r="B119" t="inlineStr">
        <is>
          <t>2.01.03 Compra de Matéria Prima (Papel)</t>
        </is>
      </c>
      <c r="C119" s="30" t="n">
        <v>46204</v>
      </c>
      <c r="D119" t="inlineStr">
        <is>
          <t>Em 2026</t>
        </is>
      </c>
      <c r="E119" s="28" t="n">
        <v>46231</v>
      </c>
      <c r="F119" t="inlineStr">
        <is>
          <t>NF-e</t>
        </is>
      </c>
      <c r="G119" t="inlineStr">
        <is>
          <t>000014088</t>
        </is>
      </c>
      <c r="H119" t="inlineStr">
        <is>
          <t>CMPC Iguacu Embalagens Ltda</t>
        </is>
      </c>
      <c r="I119" t="inlineStr">
        <is>
          <t>11.308.600/0008-04</t>
        </is>
      </c>
      <c r="J119" s="29" t="n">
        <v>148912.28</v>
      </c>
      <c r="K119" s="29">
        <f>(1-ISNUMBER(SEARCH("556",M119)))*(O119*SUMIFS(Premissas!$C$5:$C$44,Premissas!$A$5:$A$44,$A119,Premissas!$B$5:$B$44,$B119)+P119*SUMIFS(Premissas!$D$5:$D$44,Premissas!$A$5:$A$44,$A119,Premissas!$B$5:$B$44,$B119))+R119*SUMIFS(Premissas!$E$5:$E$44,Premissas!$A$5:$A$44,$A119,Premissas!$B$5:$B$44,$B119)+S119*SUMIFS(Premissas!$F$5:$F$44,Premissas!$A$5:$A$44,$A119,Premissas!$B$5:$B$44,$B119)</f>
        <v/>
      </c>
      <c r="L119" s="29">
        <f>J119-K119</f>
        <v/>
      </c>
      <c r="M119" t="inlineStr">
        <is>
          <t>2.101</t>
        </is>
      </c>
      <c r="O119" s="29" t="n">
        <v>4687.31</v>
      </c>
      <c r="P119" s="29" t="n">
        <v>10095.75</v>
      </c>
      <c r="Q119" s="29" t="n">
        <v>0</v>
      </c>
      <c r="R119" s="29" t="n">
        <v>2213.13</v>
      </c>
      <c r="S119" s="29" t="n">
        <v>10193.82</v>
      </c>
      <c r="T119" t="inlineStr">
        <is>
          <t>42260711308600000804550010000140881185042148</t>
        </is>
      </c>
      <c r="U119" t="inlineStr">
        <is>
          <t>Sim</t>
        </is>
      </c>
    </row>
    <row r="120">
      <c r="A120" t="inlineStr">
        <is>
          <t>Insumos e papel</t>
        </is>
      </c>
      <c r="B120" t="inlineStr">
        <is>
          <t>2.01.03 Compra de Matéria Prima (Papel)</t>
        </is>
      </c>
      <c r="C120" s="30" t="n">
        <v>46204</v>
      </c>
      <c r="D120" t="inlineStr">
        <is>
          <t>Em 2026</t>
        </is>
      </c>
      <c r="E120" s="28" t="n">
        <v>46231</v>
      </c>
      <c r="F120" t="inlineStr">
        <is>
          <t>NF-e</t>
        </is>
      </c>
      <c r="G120" t="inlineStr">
        <is>
          <t>000014093</t>
        </is>
      </c>
      <c r="H120" t="inlineStr">
        <is>
          <t>CMPC Iguacu Embalagens Ltda</t>
        </is>
      </c>
      <c r="I120" t="inlineStr">
        <is>
          <t>11.308.600/0008-04</t>
        </is>
      </c>
      <c r="J120" s="29" t="n">
        <v>147119.87</v>
      </c>
      <c r="K120" s="29">
        <f>(1-ISNUMBER(SEARCH("556",M120)))*(O120*SUMIFS(Premissas!$C$5:$C$44,Premissas!$A$5:$A$44,$A120,Premissas!$B$5:$B$44,$B120)+P120*SUMIFS(Premissas!$D$5:$D$44,Premissas!$A$5:$A$44,$A120,Premissas!$B$5:$B$44,$B120))+R120*SUMIFS(Premissas!$E$5:$E$44,Premissas!$A$5:$A$44,$A120,Premissas!$B$5:$B$44,$B120)+S120*SUMIFS(Premissas!$F$5:$F$44,Premissas!$A$5:$A$44,$A120,Premissas!$B$5:$B$44,$B120)</f>
        <v/>
      </c>
      <c r="L120" s="29">
        <f>J120-K120</f>
        <v/>
      </c>
      <c r="M120" t="inlineStr">
        <is>
          <t>2.101</t>
        </is>
      </c>
      <c r="O120" s="29" t="n">
        <v>4630.89</v>
      </c>
      <c r="P120" s="29" t="n">
        <v>9974.23</v>
      </c>
      <c r="Q120" s="29" t="n">
        <v>0</v>
      </c>
      <c r="R120" s="29" t="n">
        <v>2186.5</v>
      </c>
      <c r="S120" s="29" t="n">
        <v>10071.12</v>
      </c>
      <c r="T120" t="inlineStr">
        <is>
          <t>42260711308600000804550010000140931427405948</t>
        </is>
      </c>
      <c r="U120" t="inlineStr">
        <is>
          <t>Sim</t>
        </is>
      </c>
    </row>
    <row r="121">
      <c r="A121" t="inlineStr">
        <is>
          <t>Insumos e papel</t>
        </is>
      </c>
      <c r="B121" t="inlineStr">
        <is>
          <t>2.01.03 Compra de Matéria Prima (Papel)</t>
        </is>
      </c>
      <c r="C121" s="30" t="n">
        <v>46204</v>
      </c>
      <c r="D121" t="inlineStr">
        <is>
          <t>Em 2026</t>
        </is>
      </c>
      <c r="E121" s="28" t="n">
        <v>46231</v>
      </c>
      <c r="F121" t="inlineStr">
        <is>
          <t>NF-e</t>
        </is>
      </c>
      <c r="G121" t="inlineStr">
        <is>
          <t>000014096</t>
        </is>
      </c>
      <c r="H121" t="inlineStr">
        <is>
          <t>CMPC Iguacu Embalagens Ltda</t>
        </is>
      </c>
      <c r="I121" t="inlineStr">
        <is>
          <t>11.308.600/0008-04</t>
        </is>
      </c>
      <c r="J121" s="29" t="n">
        <v>146993.41</v>
      </c>
      <c r="K121" s="29">
        <f>(1-ISNUMBER(SEARCH("556",M121)))*(O121*SUMIFS(Premissas!$C$5:$C$44,Premissas!$A$5:$A$44,$A121,Premissas!$B$5:$B$44,$B121)+P121*SUMIFS(Premissas!$D$5:$D$44,Premissas!$A$5:$A$44,$A121,Premissas!$B$5:$B$44,$B121))+R121*SUMIFS(Premissas!$E$5:$E$44,Premissas!$A$5:$A$44,$A121,Premissas!$B$5:$B$44,$B121)+S121*SUMIFS(Premissas!$F$5:$F$44,Premissas!$A$5:$A$44,$A121,Premissas!$B$5:$B$44,$B121)</f>
        <v/>
      </c>
      <c r="L121" s="29">
        <f>J121-K121</f>
        <v/>
      </c>
      <c r="M121" t="inlineStr">
        <is>
          <t>2.101</t>
        </is>
      </c>
      <c r="O121" s="29" t="n">
        <v>4626.91</v>
      </c>
      <c r="P121" s="29" t="n">
        <v>9965.65</v>
      </c>
      <c r="Q121" s="29" t="n">
        <v>0</v>
      </c>
      <c r="R121" s="29" t="n">
        <v>2184.62</v>
      </c>
      <c r="S121" s="29" t="n">
        <v>10062.46</v>
      </c>
      <c r="T121" t="inlineStr">
        <is>
          <t>42260711308600000804550010000140961462004719</t>
        </is>
      </c>
      <c r="U121" t="inlineStr">
        <is>
          <t>Sim</t>
        </is>
      </c>
    </row>
    <row r="122">
      <c r="A122" t="inlineStr">
        <is>
          <t>Insumos e papel</t>
        </is>
      </c>
      <c r="B122" t="inlineStr">
        <is>
          <t>2.01.03 Compra de Matéria Prima (Papel)</t>
        </is>
      </c>
      <c r="C122" s="30" t="n">
        <v>46204</v>
      </c>
      <c r="D122" t="inlineStr">
        <is>
          <t>Em 2026</t>
        </is>
      </c>
      <c r="E122" s="28" t="n">
        <v>46232</v>
      </c>
      <c r="F122" t="inlineStr">
        <is>
          <t>NF-e</t>
        </is>
      </c>
      <c r="G122" t="inlineStr">
        <is>
          <t>000014107</t>
        </is>
      </c>
      <c r="H122" t="inlineStr">
        <is>
          <t>CMPC Iguacu Embalagens Ltda</t>
        </is>
      </c>
      <c r="I122" t="inlineStr">
        <is>
          <t>11.308.600/0008-04</t>
        </is>
      </c>
      <c r="J122" s="29" t="n">
        <v>148824.3</v>
      </c>
      <c r="K122" s="29">
        <f>(1-ISNUMBER(SEARCH("556",M122)))*(O122*SUMIFS(Premissas!$C$5:$C$44,Premissas!$A$5:$A$44,$A122,Premissas!$B$5:$B$44,$B122)+P122*SUMIFS(Premissas!$D$5:$D$44,Premissas!$A$5:$A$44,$A122,Premissas!$B$5:$B$44,$B122))+R122*SUMIFS(Premissas!$E$5:$E$44,Premissas!$A$5:$A$44,$A122,Premissas!$B$5:$B$44,$B122)+S122*SUMIFS(Premissas!$F$5:$F$44,Premissas!$A$5:$A$44,$A122,Premissas!$B$5:$B$44,$B122)</f>
        <v/>
      </c>
      <c r="L122" s="29">
        <f>J122-K122</f>
        <v/>
      </c>
      <c r="M122" t="inlineStr">
        <is>
          <t>2.101</t>
        </is>
      </c>
      <c r="O122" s="29" t="n">
        <v>4684.54</v>
      </c>
      <c r="P122" s="29" t="n">
        <v>10089.78</v>
      </c>
      <c r="Q122" s="29" t="n">
        <v>0</v>
      </c>
      <c r="R122" s="29" t="n">
        <v>2211.82</v>
      </c>
      <c r="S122" s="29" t="n">
        <v>10187.8</v>
      </c>
      <c r="T122" t="inlineStr">
        <is>
          <t>42260711308600000804550010000141071563477405</t>
        </is>
      </c>
      <c r="U122" t="inlineStr">
        <is>
          <t>Sim</t>
        </is>
      </c>
    </row>
    <row r="123">
      <c r="A123" t="inlineStr">
        <is>
          <t>Insumos e papel</t>
        </is>
      </c>
      <c r="B123" t="inlineStr">
        <is>
          <t>2.01.03 Compra de Matéria Prima (Papel)</t>
        </is>
      </c>
      <c r="C123" s="30" t="n">
        <v>46204</v>
      </c>
      <c r="D123" t="inlineStr">
        <is>
          <t>Em 2026</t>
        </is>
      </c>
      <c r="E123" s="28" t="n">
        <v>46232</v>
      </c>
      <c r="F123" t="inlineStr">
        <is>
          <t>NF-e</t>
        </is>
      </c>
      <c r="G123" t="inlineStr">
        <is>
          <t>000014115</t>
        </is>
      </c>
      <c r="H123" t="inlineStr">
        <is>
          <t>CMPC Iguacu Embalagens Ltda</t>
        </is>
      </c>
      <c r="I123" t="inlineStr">
        <is>
          <t>11.308.600/0008-04</t>
        </is>
      </c>
      <c r="J123" s="29" t="n">
        <v>147999.58</v>
      </c>
      <c r="K123" s="29">
        <f>(1-ISNUMBER(SEARCH("556",M123)))*(O123*SUMIFS(Premissas!$C$5:$C$44,Premissas!$A$5:$A$44,$A123,Premissas!$B$5:$B$44,$B123)+P123*SUMIFS(Premissas!$D$5:$D$44,Premissas!$A$5:$A$44,$A123,Premissas!$B$5:$B$44,$B123))+R123*SUMIFS(Premissas!$E$5:$E$44,Premissas!$A$5:$A$44,$A123,Premissas!$B$5:$B$44,$B123)+S123*SUMIFS(Premissas!$F$5:$F$44,Premissas!$A$5:$A$44,$A123,Premissas!$B$5:$B$44,$B123)</f>
        <v/>
      </c>
      <c r="L123" s="29">
        <f>J123-K123</f>
        <v/>
      </c>
      <c r="M123" t="inlineStr">
        <is>
          <t>2.101</t>
        </is>
      </c>
      <c r="O123" s="29" t="n">
        <v>4658.58</v>
      </c>
      <c r="P123" s="29" t="n">
        <v>10033.87</v>
      </c>
      <c r="Q123" s="29" t="n">
        <v>0</v>
      </c>
      <c r="R123" s="29" t="n">
        <v>2199.56</v>
      </c>
      <c r="S123" s="29" t="n">
        <v>10131.34</v>
      </c>
      <c r="T123" t="inlineStr">
        <is>
          <t>42260711308600000804550010000141151816810010</t>
        </is>
      </c>
      <c r="U123" t="inlineStr">
        <is>
          <t>Sim</t>
        </is>
      </c>
    </row>
    <row r="124">
      <c r="A124" t="inlineStr">
        <is>
          <t>Insumos e papel</t>
        </is>
      </c>
      <c r="B124" t="inlineStr">
        <is>
          <t>2.01.03 Compra de Matéria Prima (Papel)</t>
        </is>
      </c>
      <c r="C124" s="30" t="n">
        <v>46204</v>
      </c>
      <c r="D124" t="inlineStr">
        <is>
          <t>Em 2026</t>
        </is>
      </c>
      <c r="E124" s="28" t="n">
        <v>46234</v>
      </c>
      <c r="F124" t="inlineStr">
        <is>
          <t>NF-e</t>
        </is>
      </c>
      <c r="G124" t="inlineStr">
        <is>
          <t>000014153</t>
        </is>
      </c>
      <c r="H124" t="inlineStr">
        <is>
          <t>CMPC Iguacu Embalagens Ltda</t>
        </is>
      </c>
      <c r="I124" t="inlineStr">
        <is>
          <t>11.308.600/0008-04</t>
        </is>
      </c>
      <c r="J124" s="29" t="n">
        <v>148521.91</v>
      </c>
      <c r="K124" s="29">
        <f>(1-ISNUMBER(SEARCH("556",M124)))*(O124*SUMIFS(Premissas!$C$5:$C$44,Premissas!$A$5:$A$44,$A124,Premissas!$B$5:$B$44,$B124)+P124*SUMIFS(Premissas!$D$5:$D$44,Premissas!$A$5:$A$44,$A124,Premissas!$B$5:$B$44,$B124))+R124*SUMIFS(Premissas!$E$5:$E$44,Premissas!$A$5:$A$44,$A124,Premissas!$B$5:$B$44,$B124)+S124*SUMIFS(Premissas!$F$5:$F$44,Premissas!$A$5:$A$44,$A124,Premissas!$B$5:$B$44,$B124)</f>
        <v/>
      </c>
      <c r="L124" s="29">
        <f>J124-K124</f>
        <v/>
      </c>
      <c r="M124" t="inlineStr">
        <is>
          <t>2.101</t>
        </is>
      </c>
      <c r="O124" s="29" t="n">
        <v>4675.02</v>
      </c>
      <c r="P124" s="29" t="n">
        <v>10069.28</v>
      </c>
      <c r="Q124" s="29" t="n">
        <v>0</v>
      </c>
      <c r="R124" s="29" t="n">
        <v>2207.33</v>
      </c>
      <c r="S124" s="29" t="n">
        <v>10167.1</v>
      </c>
      <c r="T124" t="inlineStr">
        <is>
          <t>42260711308600000804550010000141531243096136</t>
        </is>
      </c>
      <c r="U124" t="inlineStr">
        <is>
          <t>Sim</t>
        </is>
      </c>
    </row>
    <row r="125">
      <c r="A125" t="inlineStr">
        <is>
          <t>Insumos e papel</t>
        </is>
      </c>
      <c r="B125" t="inlineStr">
        <is>
          <t>2.01.03 Compra de Matéria Prima (Papel)</t>
        </is>
      </c>
      <c r="C125" s="30" t="n">
        <v>46204</v>
      </c>
      <c r="D125" t="inlineStr">
        <is>
          <t>Em 2026</t>
        </is>
      </c>
      <c r="E125" s="28" t="n">
        <v>46234</v>
      </c>
      <c r="F125" t="inlineStr">
        <is>
          <t>NF-e</t>
        </is>
      </c>
      <c r="G125" t="inlineStr">
        <is>
          <t>000014162</t>
        </is>
      </c>
      <c r="H125" t="inlineStr">
        <is>
          <t>CMPC Iguacu Embalagens Ltda</t>
        </is>
      </c>
      <c r="I125" t="inlineStr">
        <is>
          <t>11.308.600/0008-04</t>
        </is>
      </c>
      <c r="J125" s="29" t="n">
        <v>147928.11</v>
      </c>
      <c r="K125" s="29">
        <f>(1-ISNUMBER(SEARCH("556",M125)))*(O125*SUMIFS(Premissas!$C$5:$C$44,Premissas!$A$5:$A$44,$A125,Premissas!$B$5:$B$44,$B125)+P125*SUMIFS(Premissas!$D$5:$D$44,Premissas!$A$5:$A$44,$A125,Premissas!$B$5:$B$44,$B125))+R125*SUMIFS(Premissas!$E$5:$E$44,Premissas!$A$5:$A$44,$A125,Premissas!$B$5:$B$44,$B125)+S125*SUMIFS(Premissas!$F$5:$F$44,Premissas!$A$5:$A$44,$A125,Premissas!$B$5:$B$44,$B125)</f>
        <v/>
      </c>
      <c r="L125" s="29">
        <f>J125-K125</f>
        <v/>
      </c>
      <c r="M125" t="inlineStr">
        <is>
          <t>2.101</t>
        </is>
      </c>
      <c r="O125" s="29" t="n">
        <v>4656.33</v>
      </c>
      <c r="P125" s="29" t="n">
        <v>10029.02</v>
      </c>
      <c r="Q125" s="29" t="n">
        <v>0</v>
      </c>
      <c r="R125" s="29" t="n">
        <v>2198.51</v>
      </c>
      <c r="S125" s="29" t="n">
        <v>10126.45</v>
      </c>
      <c r="T125" t="inlineStr">
        <is>
          <t>42260711308600000804550010000141621313249547</t>
        </is>
      </c>
      <c r="U125" t="inlineStr">
        <is>
          <t>Sim</t>
        </is>
      </c>
    </row>
    <row r="126">
      <c r="A126" t="inlineStr">
        <is>
          <t>Insumos e papel</t>
        </is>
      </c>
      <c r="B126" t="inlineStr">
        <is>
          <t>2.01.03 Compra de Matéria Prima (Papel)</t>
        </is>
      </c>
      <c r="C126" s="30" t="n">
        <v>46204</v>
      </c>
      <c r="D126" t="inlineStr">
        <is>
          <t>Em 2026</t>
        </is>
      </c>
      <c r="E126" s="28" t="n">
        <v>46234</v>
      </c>
      <c r="F126" t="inlineStr">
        <is>
          <t>NF-e</t>
        </is>
      </c>
      <c r="G126" t="inlineStr">
        <is>
          <t>000014166</t>
        </is>
      </c>
      <c r="H126" t="inlineStr">
        <is>
          <t>CMPC Iguacu Embalagens Ltda</t>
        </is>
      </c>
      <c r="I126" t="inlineStr">
        <is>
          <t>11.308.600/0008-04</t>
        </is>
      </c>
      <c r="J126" s="29" t="n">
        <v>146449.09</v>
      </c>
      <c r="K126" s="29">
        <f>(1-ISNUMBER(SEARCH("556",M126)))*(O126*SUMIFS(Premissas!$C$5:$C$44,Premissas!$A$5:$A$44,$A126,Premissas!$B$5:$B$44,$B126)+P126*SUMIFS(Premissas!$D$5:$D$44,Premissas!$A$5:$A$44,$A126,Premissas!$B$5:$B$44,$B126))+R126*SUMIFS(Premissas!$E$5:$E$44,Premissas!$A$5:$A$44,$A126,Premissas!$B$5:$B$44,$B126)+S126*SUMIFS(Premissas!$F$5:$F$44,Premissas!$A$5:$A$44,$A126,Premissas!$B$5:$B$44,$B126)</f>
        <v/>
      </c>
      <c r="L126" s="29">
        <f>J126-K126</f>
        <v/>
      </c>
      <c r="M126" t="inlineStr">
        <is>
          <t>2.101</t>
        </is>
      </c>
      <c r="O126" s="29" t="n">
        <v>4609.77</v>
      </c>
      <c r="P126" s="29" t="n">
        <v>9928.75</v>
      </c>
      <c r="Q126" s="29" t="n">
        <v>0</v>
      </c>
      <c r="R126" s="29" t="n">
        <v>2176.52</v>
      </c>
      <c r="S126" s="29" t="n">
        <v>10025.2</v>
      </c>
      <c r="T126" t="inlineStr">
        <is>
          <t>42260711308600000804550010000141661466327187</t>
        </is>
      </c>
      <c r="U126" t="inlineStr">
        <is>
          <t>Sim</t>
        </is>
      </c>
    </row>
    <row r="127">
      <c r="A127" t="inlineStr">
        <is>
          <t>Insumos e papel</t>
        </is>
      </c>
      <c r="B127" t="inlineStr">
        <is>
          <t>2.01.03 Compra de Matéria Prima (Papel)</t>
        </is>
      </c>
      <c r="C127" s="30" t="n">
        <v>46204</v>
      </c>
      <c r="D127" t="inlineStr">
        <is>
          <t>Em 2026</t>
        </is>
      </c>
      <c r="E127" s="28" t="n">
        <v>46206</v>
      </c>
      <c r="F127" t="inlineStr">
        <is>
          <t>NF-e</t>
        </is>
      </c>
      <c r="G127" t="inlineStr">
        <is>
          <t>000100065</t>
        </is>
      </c>
      <c r="H127" t="inlineStr">
        <is>
          <t>COCELPA CIA DE CEL. E PAPEL DO PARANA SA</t>
        </is>
      </c>
      <c r="I127" t="inlineStr">
        <is>
          <t>76.487.651/0001-10</t>
        </is>
      </c>
      <c r="J127" s="29" t="n">
        <v>93957.5</v>
      </c>
      <c r="K127" s="29">
        <f>(1-ISNUMBER(SEARCH("556",M127)))*(O127*SUMIFS(Premissas!$C$5:$C$44,Premissas!$A$5:$A$44,$A127,Premissas!$B$5:$B$44,$B127)+P127*SUMIFS(Premissas!$D$5:$D$44,Premissas!$A$5:$A$44,$A127,Premissas!$B$5:$B$44,$B127))+R127*SUMIFS(Premissas!$E$5:$E$44,Premissas!$A$5:$A$44,$A127,Premissas!$B$5:$B$44,$B127)+S127*SUMIFS(Premissas!$F$5:$F$44,Premissas!$A$5:$A$44,$A127,Premissas!$B$5:$B$44,$B127)</f>
        <v/>
      </c>
      <c r="L127" s="29">
        <f>J127-K127</f>
        <v/>
      </c>
      <c r="M127" t="inlineStr">
        <is>
          <t>2.101</t>
        </is>
      </c>
      <c r="O127" s="29" t="n">
        <v>2957.5</v>
      </c>
      <c r="P127" s="29" t="n">
        <v>6370</v>
      </c>
      <c r="Q127" s="29" t="n">
        <v>0</v>
      </c>
      <c r="R127" s="29" t="n">
        <v>1396.4</v>
      </c>
      <c r="S127" s="29" t="n">
        <v>6431.88</v>
      </c>
      <c r="T127" t="inlineStr">
        <is>
          <t>41260776487651000110550020001000651334069496</t>
        </is>
      </c>
      <c r="U127" t="inlineStr">
        <is>
          <t>Sim</t>
        </is>
      </c>
    </row>
    <row r="128">
      <c r="A128" t="inlineStr">
        <is>
          <t>Insumos e papel</t>
        </is>
      </c>
      <c r="B128" t="inlineStr">
        <is>
          <t>2.01.03 Compra de Matéria Prima (Papel)</t>
        </is>
      </c>
      <c r="C128" s="30" t="n">
        <v>46204</v>
      </c>
      <c r="D128" t="inlineStr">
        <is>
          <t>Em 2026</t>
        </is>
      </c>
      <c r="E128" s="28" t="n">
        <v>46206</v>
      </c>
      <c r="F128" t="inlineStr">
        <is>
          <t>NF-e</t>
        </is>
      </c>
      <c r="G128" t="inlineStr">
        <is>
          <t>000100067</t>
        </is>
      </c>
      <c r="H128" t="inlineStr">
        <is>
          <t>COCELPA CIA DE CEL. E PAPEL DO PARANA SA</t>
        </is>
      </c>
      <c r="I128" t="inlineStr">
        <is>
          <t>76.487.651/0001-10</t>
        </is>
      </c>
      <c r="J128" s="29" t="n">
        <v>93957.5</v>
      </c>
      <c r="K128" s="29">
        <f>(1-ISNUMBER(SEARCH("556",M128)))*(O128*SUMIFS(Premissas!$C$5:$C$44,Premissas!$A$5:$A$44,$A128,Premissas!$B$5:$B$44,$B128)+P128*SUMIFS(Premissas!$D$5:$D$44,Premissas!$A$5:$A$44,$A128,Premissas!$B$5:$B$44,$B128))+R128*SUMIFS(Premissas!$E$5:$E$44,Premissas!$A$5:$A$44,$A128,Premissas!$B$5:$B$44,$B128)+S128*SUMIFS(Premissas!$F$5:$F$44,Premissas!$A$5:$A$44,$A128,Premissas!$B$5:$B$44,$B128)</f>
        <v/>
      </c>
      <c r="L128" s="29">
        <f>J128-K128</f>
        <v/>
      </c>
      <c r="M128" t="inlineStr">
        <is>
          <t>2.101</t>
        </is>
      </c>
      <c r="O128" s="29" t="n">
        <v>2957.5</v>
      </c>
      <c r="P128" s="29" t="n">
        <v>6370</v>
      </c>
      <c r="Q128" s="29" t="n">
        <v>0</v>
      </c>
      <c r="R128" s="29" t="n">
        <v>1396.4</v>
      </c>
      <c r="S128" s="29" t="n">
        <v>6431.88</v>
      </c>
      <c r="T128" t="inlineStr">
        <is>
          <t>41260776487651000110550020001000671017090252</t>
        </is>
      </c>
      <c r="U128" t="inlineStr">
        <is>
          <t>Sim</t>
        </is>
      </c>
    </row>
    <row r="129">
      <c r="A129" t="inlineStr">
        <is>
          <t>Insumos e papel</t>
        </is>
      </c>
      <c r="B129" t="inlineStr">
        <is>
          <t>2.01.03 Compra de Matéria Prima (Papel)</t>
        </is>
      </c>
      <c r="C129" s="30" t="n">
        <v>46204</v>
      </c>
      <c r="D129" t="inlineStr">
        <is>
          <t>Em 2026</t>
        </is>
      </c>
      <c r="E129" s="28" t="n">
        <v>46206</v>
      </c>
      <c r="F129" t="inlineStr">
        <is>
          <t>NF-e</t>
        </is>
      </c>
      <c r="G129" t="inlineStr">
        <is>
          <t>000100069</t>
        </is>
      </c>
      <c r="H129" t="inlineStr">
        <is>
          <t>COCELPA CIA DE CEL. E PAPEL DO PARANA SA</t>
        </is>
      </c>
      <c r="I129" t="inlineStr">
        <is>
          <t>76.487.651/0001-10</t>
        </is>
      </c>
      <c r="J129" s="29" t="n">
        <v>93957.5</v>
      </c>
      <c r="K129" s="29">
        <f>(1-ISNUMBER(SEARCH("556",M129)))*(O129*SUMIFS(Premissas!$C$5:$C$44,Premissas!$A$5:$A$44,$A129,Premissas!$B$5:$B$44,$B129)+P129*SUMIFS(Premissas!$D$5:$D$44,Premissas!$A$5:$A$44,$A129,Premissas!$B$5:$B$44,$B129))+R129*SUMIFS(Premissas!$E$5:$E$44,Premissas!$A$5:$A$44,$A129,Premissas!$B$5:$B$44,$B129)+S129*SUMIFS(Premissas!$F$5:$F$44,Premissas!$A$5:$A$44,$A129,Premissas!$B$5:$B$44,$B129)</f>
        <v/>
      </c>
      <c r="L129" s="29">
        <f>J129-K129</f>
        <v/>
      </c>
      <c r="M129" t="inlineStr">
        <is>
          <t>2.101</t>
        </is>
      </c>
      <c r="O129" s="29" t="n">
        <v>2957.5</v>
      </c>
      <c r="P129" s="29" t="n">
        <v>6370</v>
      </c>
      <c r="Q129" s="29" t="n">
        <v>0</v>
      </c>
      <c r="R129" s="29" t="n">
        <v>1396.4</v>
      </c>
      <c r="S129" s="29" t="n">
        <v>6431.88</v>
      </c>
      <c r="T129" t="inlineStr">
        <is>
          <t>41260776487651000110550020001000691089239877</t>
        </is>
      </c>
      <c r="U129" t="inlineStr">
        <is>
          <t>Sim</t>
        </is>
      </c>
    </row>
    <row r="130">
      <c r="A130" t="inlineStr">
        <is>
          <t>Insumos e papel</t>
        </is>
      </c>
      <c r="B130" t="inlineStr">
        <is>
          <t>2.01.03 Compra de Matéria Prima (Papel)</t>
        </is>
      </c>
      <c r="C130" s="30" t="n">
        <v>46204</v>
      </c>
      <c r="D130" t="inlineStr">
        <is>
          <t>Em 2026</t>
        </is>
      </c>
      <c r="E130" s="28" t="n">
        <v>46206</v>
      </c>
      <c r="F130" t="inlineStr">
        <is>
          <t>NF-e</t>
        </is>
      </c>
      <c r="G130" t="inlineStr">
        <is>
          <t>000100071</t>
        </is>
      </c>
      <c r="H130" t="inlineStr">
        <is>
          <t>COCELPA CIA DE CEL. E PAPEL DO PARANA SA</t>
        </is>
      </c>
      <c r="I130" t="inlineStr">
        <is>
          <t>76.487.651/0001-10</t>
        </is>
      </c>
      <c r="J130" s="29" t="n">
        <v>93957.5</v>
      </c>
      <c r="K130" s="29">
        <f>(1-ISNUMBER(SEARCH("556",M130)))*(O130*SUMIFS(Premissas!$C$5:$C$44,Premissas!$A$5:$A$44,$A130,Premissas!$B$5:$B$44,$B130)+P130*SUMIFS(Premissas!$D$5:$D$44,Premissas!$A$5:$A$44,$A130,Premissas!$B$5:$B$44,$B130))+R130*SUMIFS(Premissas!$E$5:$E$44,Premissas!$A$5:$A$44,$A130,Premissas!$B$5:$B$44,$B130)+S130*SUMIFS(Premissas!$F$5:$F$44,Premissas!$A$5:$A$44,$A130,Premissas!$B$5:$B$44,$B130)</f>
        <v/>
      </c>
      <c r="L130" s="29">
        <f>J130-K130</f>
        <v/>
      </c>
      <c r="M130" t="inlineStr">
        <is>
          <t>2.101</t>
        </is>
      </c>
      <c r="O130" s="29" t="n">
        <v>2957.5</v>
      </c>
      <c r="P130" s="29" t="n">
        <v>6370</v>
      </c>
      <c r="Q130" s="29" t="n">
        <v>0</v>
      </c>
      <c r="R130" s="29" t="n">
        <v>1396.4</v>
      </c>
      <c r="S130" s="29" t="n">
        <v>6431.88</v>
      </c>
      <c r="T130" t="inlineStr">
        <is>
          <t>41260776487651000110550020001000711183323868</t>
        </is>
      </c>
      <c r="U130" t="inlineStr">
        <is>
          <t>Sim</t>
        </is>
      </c>
    </row>
    <row r="131">
      <c r="A131" t="inlineStr">
        <is>
          <t>Insumos e papel</t>
        </is>
      </c>
      <c r="B131" t="inlineStr">
        <is>
          <t>2.01.03 Compra de Matéria Prima (Papel)</t>
        </is>
      </c>
      <c r="C131" s="30" t="n">
        <v>46204</v>
      </c>
      <c r="D131" t="inlineStr">
        <is>
          <t>Em 2026</t>
        </is>
      </c>
      <c r="E131" s="28" t="n">
        <v>46206</v>
      </c>
      <c r="F131" t="inlineStr">
        <is>
          <t>NF-e</t>
        </is>
      </c>
      <c r="G131" t="inlineStr">
        <is>
          <t>000100073</t>
        </is>
      </c>
      <c r="H131" t="inlineStr">
        <is>
          <t>COCELPA CIA DE CEL. E PAPEL DO PARANA SA</t>
        </is>
      </c>
      <c r="I131" t="inlineStr">
        <is>
          <t>76.487.651/0001-10</t>
        </is>
      </c>
      <c r="J131" s="29" t="n">
        <v>93957.5</v>
      </c>
      <c r="K131" s="29">
        <f>(1-ISNUMBER(SEARCH("556",M131)))*(O131*SUMIFS(Premissas!$C$5:$C$44,Premissas!$A$5:$A$44,$A131,Premissas!$B$5:$B$44,$B131)+P131*SUMIFS(Premissas!$D$5:$D$44,Premissas!$A$5:$A$44,$A131,Premissas!$B$5:$B$44,$B131))+R131*SUMIFS(Premissas!$E$5:$E$44,Premissas!$A$5:$A$44,$A131,Premissas!$B$5:$B$44,$B131)+S131*SUMIFS(Premissas!$F$5:$F$44,Premissas!$A$5:$A$44,$A131,Premissas!$B$5:$B$44,$B131)</f>
        <v/>
      </c>
      <c r="L131" s="29">
        <f>J131-K131</f>
        <v/>
      </c>
      <c r="M131" t="inlineStr">
        <is>
          <t>2.101</t>
        </is>
      </c>
      <c r="O131" s="29" t="n">
        <v>2957.5</v>
      </c>
      <c r="P131" s="29" t="n">
        <v>6370</v>
      </c>
      <c r="Q131" s="29" t="n">
        <v>0</v>
      </c>
      <c r="R131" s="29" t="n">
        <v>1396.4</v>
      </c>
      <c r="S131" s="29" t="n">
        <v>6431.88</v>
      </c>
      <c r="T131" t="inlineStr">
        <is>
          <t>41260776487651000110550020001000731688272394</t>
        </is>
      </c>
      <c r="U131" t="inlineStr">
        <is>
          <t>Sim</t>
        </is>
      </c>
    </row>
    <row r="132">
      <c r="A132" t="inlineStr">
        <is>
          <t>Insumos e papel</t>
        </is>
      </c>
      <c r="B132" t="inlineStr">
        <is>
          <t>2.01.03 Compra de Matéria Prima (Papel)</t>
        </is>
      </c>
      <c r="C132" s="30" t="n">
        <v>46204</v>
      </c>
      <c r="D132" t="inlineStr">
        <is>
          <t>Em 2026</t>
        </is>
      </c>
      <c r="E132" s="28" t="n">
        <v>46206</v>
      </c>
      <c r="F132" t="inlineStr">
        <is>
          <t>NF-e</t>
        </is>
      </c>
      <c r="G132" t="inlineStr">
        <is>
          <t>000100075</t>
        </is>
      </c>
      <c r="H132" t="inlineStr">
        <is>
          <t>COCELPA CIA DE CEL. E PAPEL DO PARANA SA</t>
        </is>
      </c>
      <c r="I132" t="inlineStr">
        <is>
          <t>76.487.651/0001-10</t>
        </is>
      </c>
      <c r="J132" s="29" t="n">
        <v>93957.5</v>
      </c>
      <c r="K132" s="29">
        <f>(1-ISNUMBER(SEARCH("556",M132)))*(O132*SUMIFS(Premissas!$C$5:$C$44,Premissas!$A$5:$A$44,$A132,Premissas!$B$5:$B$44,$B132)+P132*SUMIFS(Premissas!$D$5:$D$44,Premissas!$A$5:$A$44,$A132,Premissas!$B$5:$B$44,$B132))+R132*SUMIFS(Premissas!$E$5:$E$44,Premissas!$A$5:$A$44,$A132,Premissas!$B$5:$B$44,$B132)+S132*SUMIFS(Premissas!$F$5:$F$44,Premissas!$A$5:$A$44,$A132,Premissas!$B$5:$B$44,$B132)</f>
        <v/>
      </c>
      <c r="L132" s="29">
        <f>J132-K132</f>
        <v/>
      </c>
      <c r="M132" t="inlineStr">
        <is>
          <t>2.101</t>
        </is>
      </c>
      <c r="O132" s="29" t="n">
        <v>2957.5</v>
      </c>
      <c r="P132" s="29" t="n">
        <v>6370</v>
      </c>
      <c r="Q132" s="29" t="n">
        <v>0</v>
      </c>
      <c r="R132" s="29" t="n">
        <v>1396.4</v>
      </c>
      <c r="S132" s="29" t="n">
        <v>6431.88</v>
      </c>
      <c r="T132" t="inlineStr">
        <is>
          <t>41260776487651000110550020001000751336002549</t>
        </is>
      </c>
      <c r="U132" t="inlineStr">
        <is>
          <t>Sim</t>
        </is>
      </c>
    </row>
    <row r="133">
      <c r="A133" t="inlineStr">
        <is>
          <t>Insumos e papel</t>
        </is>
      </c>
      <c r="B133" t="inlineStr">
        <is>
          <t>2.01.03 Compra de Matéria Prima (Papel)</t>
        </is>
      </c>
      <c r="C133" s="30" t="n">
        <v>46204</v>
      </c>
      <c r="D133" t="inlineStr">
        <is>
          <t>Em 2026</t>
        </is>
      </c>
      <c r="E133" s="28" t="n">
        <v>46216</v>
      </c>
      <c r="F133" t="inlineStr">
        <is>
          <t>NF-e</t>
        </is>
      </c>
      <c r="G133" t="inlineStr">
        <is>
          <t>000100187</t>
        </is>
      </c>
      <c r="H133" t="inlineStr">
        <is>
          <t>COCELPA CIA DE CEL. E PAPEL DO PARANA SA</t>
        </is>
      </c>
      <c r="I133" t="inlineStr">
        <is>
          <t>76.487.651/0001-10</t>
        </is>
      </c>
      <c r="J133" s="29" t="n">
        <v>6298.77</v>
      </c>
      <c r="K133" s="29">
        <f>(1-ISNUMBER(SEARCH("556",M133)))*(O133*SUMIFS(Premissas!$C$5:$C$44,Premissas!$A$5:$A$44,$A133,Premissas!$B$5:$B$44,$B133)+P133*SUMIFS(Premissas!$D$5:$D$44,Premissas!$A$5:$A$44,$A133,Premissas!$B$5:$B$44,$B133))+R133*SUMIFS(Premissas!$E$5:$E$44,Premissas!$A$5:$A$44,$A133,Premissas!$B$5:$B$44,$B133)+S133*SUMIFS(Premissas!$F$5:$F$44,Premissas!$A$5:$A$44,$A133,Premissas!$B$5:$B$44,$B133)</f>
        <v/>
      </c>
      <c r="L133" s="29">
        <f>J133-K133</f>
        <v/>
      </c>
      <c r="M133" t="inlineStr">
        <is>
          <t>2.101</t>
        </is>
      </c>
      <c r="O133" s="29" t="n">
        <v>198.27</v>
      </c>
      <c r="P133" s="29" t="n">
        <v>427.04</v>
      </c>
      <c r="Q133" s="29" t="n">
        <v>0</v>
      </c>
      <c r="R133" s="29" t="n">
        <v>93.61</v>
      </c>
      <c r="S133" s="29" t="n">
        <v>431.18</v>
      </c>
      <c r="T133" t="inlineStr">
        <is>
          <t>41260776487651000110550020001001871737934120</t>
        </is>
      </c>
      <c r="U133" t="inlineStr">
        <is>
          <t>Sim</t>
        </is>
      </c>
    </row>
    <row r="134">
      <c r="A134" t="inlineStr">
        <is>
          <t>Insumos e papel</t>
        </is>
      </c>
      <c r="B134" t="inlineStr">
        <is>
          <t>2.01.03 Compra de Matéria Prima (Papel)</t>
        </is>
      </c>
      <c r="C134" s="30" t="n">
        <v>46204</v>
      </c>
      <c r="D134" t="inlineStr">
        <is>
          <t>Em 2026</t>
        </is>
      </c>
      <c r="E134" s="28" t="n">
        <v>46216</v>
      </c>
      <c r="F134" t="inlineStr">
        <is>
          <t>NF-e</t>
        </is>
      </c>
      <c r="G134" t="inlineStr">
        <is>
          <t>000100189</t>
        </is>
      </c>
      <c r="H134" t="inlineStr">
        <is>
          <t>COCELPA CIA DE CEL. E PAPEL DO PARANA SA</t>
        </is>
      </c>
      <c r="I134" t="inlineStr">
        <is>
          <t>76.487.651/0001-10</t>
        </is>
      </c>
      <c r="J134" s="29" t="n">
        <v>8029.75</v>
      </c>
      <c r="K134" s="29">
        <f>(1-ISNUMBER(SEARCH("556",M134)))*(O134*SUMIFS(Premissas!$C$5:$C$44,Premissas!$A$5:$A$44,$A134,Premissas!$B$5:$B$44,$B134)+P134*SUMIFS(Premissas!$D$5:$D$44,Premissas!$A$5:$A$44,$A134,Premissas!$B$5:$B$44,$B134))+R134*SUMIFS(Premissas!$E$5:$E$44,Premissas!$A$5:$A$44,$A134,Premissas!$B$5:$B$44,$B134)+S134*SUMIFS(Premissas!$F$5:$F$44,Premissas!$A$5:$A$44,$A134,Premissas!$B$5:$B$44,$B134)</f>
        <v/>
      </c>
      <c r="L134" s="29">
        <f>J134-K134</f>
        <v/>
      </c>
      <c r="M134" t="inlineStr">
        <is>
          <t>2.101</t>
        </is>
      </c>
      <c r="O134" s="29" t="n">
        <v>252.75</v>
      </c>
      <c r="P134" s="29" t="n">
        <v>544.39</v>
      </c>
      <c r="Q134" s="29" t="n">
        <v>0</v>
      </c>
      <c r="R134" s="29" t="n">
        <v>119.34</v>
      </c>
      <c r="S134" s="29" t="n">
        <v>549.6799999999999</v>
      </c>
      <c r="T134" t="inlineStr">
        <is>
          <t>41260776487651000110550020001001891271199654</t>
        </is>
      </c>
      <c r="U134" t="inlineStr">
        <is>
          <t>Sim</t>
        </is>
      </c>
    </row>
    <row r="135">
      <c r="A135" t="inlineStr">
        <is>
          <t>Insumos e papel</t>
        </is>
      </c>
      <c r="B135" t="inlineStr">
        <is>
          <t>2.01.03 Compra de Matéria Prima (Papel)</t>
        </is>
      </c>
      <c r="C135" s="30" t="n">
        <v>46204</v>
      </c>
      <c r="D135" t="inlineStr">
        <is>
          <t>Em 2026</t>
        </is>
      </c>
      <c r="E135" s="28" t="n">
        <v>46216</v>
      </c>
      <c r="F135" t="inlineStr">
        <is>
          <t>NF-e</t>
        </is>
      </c>
      <c r="G135" t="inlineStr">
        <is>
          <t>000100191</t>
        </is>
      </c>
      <c r="H135" t="inlineStr">
        <is>
          <t>COCELPA CIA DE CEL. E PAPEL DO PARANA SA</t>
        </is>
      </c>
      <c r="I135" t="inlineStr">
        <is>
          <t>76.487.651/0001-10</t>
        </is>
      </c>
      <c r="J135" s="29" t="n">
        <v>7061.27</v>
      </c>
      <c r="K135" s="29">
        <f>(1-ISNUMBER(SEARCH("556",M135)))*(O135*SUMIFS(Premissas!$C$5:$C$44,Premissas!$A$5:$A$44,$A135,Premissas!$B$5:$B$44,$B135)+P135*SUMIFS(Premissas!$D$5:$D$44,Premissas!$A$5:$A$44,$A135,Premissas!$B$5:$B$44,$B135))+R135*SUMIFS(Premissas!$E$5:$E$44,Premissas!$A$5:$A$44,$A135,Premissas!$B$5:$B$44,$B135)+S135*SUMIFS(Premissas!$F$5:$F$44,Premissas!$A$5:$A$44,$A135,Premissas!$B$5:$B$44,$B135)</f>
        <v/>
      </c>
      <c r="L135" s="29">
        <f>J135-K135</f>
        <v/>
      </c>
      <c r="M135" t="inlineStr">
        <is>
          <t>2.101</t>
        </is>
      </c>
      <c r="O135" s="29" t="n">
        <v>222.27</v>
      </c>
      <c r="P135" s="29" t="n">
        <v>478.73</v>
      </c>
      <c r="Q135" s="29" t="n">
        <v>0</v>
      </c>
      <c r="R135" s="29" t="n">
        <v>104.94</v>
      </c>
      <c r="S135" s="29" t="n">
        <v>483.38</v>
      </c>
      <c r="T135" t="inlineStr">
        <is>
          <t>41260776487651000110550020001001911532671945</t>
        </is>
      </c>
      <c r="U135" t="inlineStr">
        <is>
          <t>Sim</t>
        </is>
      </c>
    </row>
    <row r="136">
      <c r="A136" t="inlineStr">
        <is>
          <t>Insumos e papel</t>
        </is>
      </c>
      <c r="B136" t="inlineStr">
        <is>
          <t>2.01.03 Compra de Matéria Prima (Papel)</t>
        </is>
      </c>
      <c r="C136" s="30" t="n">
        <v>46204</v>
      </c>
      <c r="D136" t="inlineStr">
        <is>
          <t>Em 2026</t>
        </is>
      </c>
      <c r="E136" s="28" t="n">
        <v>46216</v>
      </c>
      <c r="F136" t="inlineStr">
        <is>
          <t>NF-e</t>
        </is>
      </c>
      <c r="G136" t="inlineStr">
        <is>
          <t>000100204</t>
        </is>
      </c>
      <c r="H136" t="inlineStr">
        <is>
          <t>COCELPA CIA DE CEL. E PAPEL DO PARANA SA</t>
        </is>
      </c>
      <c r="I136" t="inlineStr">
        <is>
          <t>76.487.651/0001-10</t>
        </is>
      </c>
      <c r="J136" s="29" t="n">
        <v>5832.59</v>
      </c>
      <c r="K136" s="29">
        <f>(1-ISNUMBER(SEARCH("556",M136)))*(O136*SUMIFS(Premissas!$C$5:$C$44,Premissas!$A$5:$A$44,$A136,Premissas!$B$5:$B$44,$B136)+P136*SUMIFS(Premissas!$D$5:$D$44,Premissas!$A$5:$A$44,$A136,Premissas!$B$5:$B$44,$B136))+R136*SUMIFS(Premissas!$E$5:$E$44,Premissas!$A$5:$A$44,$A136,Premissas!$B$5:$B$44,$B136)+S136*SUMIFS(Premissas!$F$5:$F$44,Premissas!$A$5:$A$44,$A136,Premissas!$B$5:$B$44,$B136)</f>
        <v/>
      </c>
      <c r="L136" s="29">
        <f>J136-K136</f>
        <v/>
      </c>
      <c r="M136" t="inlineStr">
        <is>
          <t>2.101</t>
        </is>
      </c>
      <c r="O136" s="29" t="n">
        <v>183.59</v>
      </c>
      <c r="P136" s="29" t="n">
        <v>395.43</v>
      </c>
      <c r="Q136" s="29" t="n">
        <v>0</v>
      </c>
      <c r="R136" s="29" t="n">
        <v>86.68000000000001</v>
      </c>
      <c r="S136" s="29" t="n">
        <v>399.27</v>
      </c>
      <c r="T136" t="inlineStr">
        <is>
          <t>41260776487651000110550020001002041647740087</t>
        </is>
      </c>
      <c r="U136" t="inlineStr">
        <is>
          <t>Sim</t>
        </is>
      </c>
    </row>
    <row r="137">
      <c r="A137" t="inlineStr">
        <is>
          <t>Insumos e papel</t>
        </is>
      </c>
      <c r="B137" t="inlineStr">
        <is>
          <t>2.01.03 Compra de Matéria Prima (Papel)</t>
        </is>
      </c>
      <c r="C137" s="30" t="n">
        <v>46204</v>
      </c>
      <c r="D137" t="inlineStr">
        <is>
          <t>Em 2026</t>
        </is>
      </c>
      <c r="E137" s="28" t="n">
        <v>46216</v>
      </c>
      <c r="F137" t="inlineStr">
        <is>
          <t>NF-e</t>
        </is>
      </c>
      <c r="G137" t="inlineStr">
        <is>
          <t>000100206</t>
        </is>
      </c>
      <c r="H137" t="inlineStr">
        <is>
          <t>COCELPA CIA DE CEL. E PAPEL DO PARANA SA</t>
        </is>
      </c>
      <c r="I137" t="inlineStr">
        <is>
          <t>76.487.651/0001-10</t>
        </is>
      </c>
      <c r="J137" s="29" t="n">
        <v>4712.33</v>
      </c>
      <c r="K137" s="29">
        <f>(1-ISNUMBER(SEARCH("556",M137)))*(O137*SUMIFS(Premissas!$C$5:$C$44,Premissas!$A$5:$A$44,$A137,Premissas!$B$5:$B$44,$B137)+P137*SUMIFS(Premissas!$D$5:$D$44,Premissas!$A$5:$A$44,$A137,Premissas!$B$5:$B$44,$B137))+R137*SUMIFS(Premissas!$E$5:$E$44,Premissas!$A$5:$A$44,$A137,Premissas!$B$5:$B$44,$B137)+S137*SUMIFS(Premissas!$F$5:$F$44,Premissas!$A$5:$A$44,$A137,Premissas!$B$5:$B$44,$B137)</f>
        <v/>
      </c>
      <c r="L137" s="29">
        <f>J137-K137</f>
        <v/>
      </c>
      <c r="M137" t="inlineStr">
        <is>
          <t>2.101</t>
        </is>
      </c>
      <c r="O137" s="29" t="n">
        <v>148.33</v>
      </c>
      <c r="P137" s="29" t="n">
        <v>319.48</v>
      </c>
      <c r="Q137" s="29" t="n">
        <v>0</v>
      </c>
      <c r="R137" s="29" t="n">
        <v>70.03</v>
      </c>
      <c r="S137" s="29" t="n">
        <v>322.58</v>
      </c>
      <c r="T137" t="inlineStr">
        <is>
          <t>41260776487651000110550020001002061083016346</t>
        </is>
      </c>
      <c r="U137" t="inlineStr">
        <is>
          <t>Sim</t>
        </is>
      </c>
    </row>
    <row r="138">
      <c r="A138" t="inlineStr">
        <is>
          <t>Insumos e papel</t>
        </is>
      </c>
      <c r="B138" t="inlineStr">
        <is>
          <t>2.01.03 Compra de Matéria Prima (Papel)</t>
        </is>
      </c>
      <c r="C138" s="30" t="n">
        <v>46204</v>
      </c>
      <c r="D138" t="inlineStr">
        <is>
          <t>Em 2026</t>
        </is>
      </c>
      <c r="E138" s="28" t="n">
        <v>46216</v>
      </c>
      <c r="F138" t="inlineStr">
        <is>
          <t>NF-e</t>
        </is>
      </c>
      <c r="G138" t="inlineStr">
        <is>
          <t>000100210</t>
        </is>
      </c>
      <c r="H138" t="inlineStr">
        <is>
          <t>COCELPA CIA DE CEL. E PAPEL DO PARANA SA</t>
        </is>
      </c>
      <c r="I138" t="inlineStr">
        <is>
          <t>76.487.651/0001-10</t>
        </is>
      </c>
      <c r="J138" s="29" t="n">
        <v>1459.96</v>
      </c>
      <c r="K138" s="29">
        <f>(1-ISNUMBER(SEARCH("556",M138)))*(O138*SUMIFS(Premissas!$C$5:$C$44,Premissas!$A$5:$A$44,$A138,Premissas!$B$5:$B$44,$B138)+P138*SUMIFS(Premissas!$D$5:$D$44,Premissas!$A$5:$A$44,$A138,Premissas!$B$5:$B$44,$B138))+R138*SUMIFS(Premissas!$E$5:$E$44,Premissas!$A$5:$A$44,$A138,Premissas!$B$5:$B$44,$B138)+S138*SUMIFS(Premissas!$F$5:$F$44,Premissas!$A$5:$A$44,$A138,Premissas!$B$5:$B$44,$B138)</f>
        <v/>
      </c>
      <c r="L138" s="29">
        <f>J138-K138</f>
        <v/>
      </c>
      <c r="M138" t="inlineStr">
        <is>
          <t>2.101</t>
        </is>
      </c>
      <c r="O138" s="29" t="n">
        <v>45.96</v>
      </c>
      <c r="P138" s="29" t="n">
        <v>98.98</v>
      </c>
      <c r="Q138" s="29" t="n">
        <v>0</v>
      </c>
      <c r="R138" s="29" t="n">
        <v>21.7</v>
      </c>
      <c r="S138" s="29" t="n">
        <v>99.94</v>
      </c>
      <c r="T138" t="inlineStr">
        <is>
          <t>41260776487651000110550020001002101512378875</t>
        </is>
      </c>
      <c r="U138" t="inlineStr">
        <is>
          <t>Sim</t>
        </is>
      </c>
    </row>
    <row r="139">
      <c r="A139" t="inlineStr">
        <is>
          <t>Insumos e papel</t>
        </is>
      </c>
      <c r="B139" t="inlineStr">
        <is>
          <t>2.01.03 Compra de Matéria Prima (Papel)</t>
        </is>
      </c>
      <c r="C139" s="30" t="n">
        <v>46204</v>
      </c>
      <c r="D139" t="inlineStr">
        <is>
          <t>Em 2026</t>
        </is>
      </c>
      <c r="E139" s="28" t="n">
        <v>46220</v>
      </c>
      <c r="F139" t="inlineStr">
        <is>
          <t>NF-e</t>
        </is>
      </c>
      <c r="G139" t="inlineStr">
        <is>
          <t>000016825</t>
        </is>
      </c>
      <c r="H139" t="inlineStr">
        <is>
          <t>NOVA CONPEL COMPANHIA NORDESTINA DE PAPEL LTDA</t>
        </is>
      </c>
      <c r="I139" t="inlineStr">
        <is>
          <t>55.330.530/0001-90</t>
        </is>
      </c>
      <c r="J139" s="29" t="n">
        <v>31730.57</v>
      </c>
      <c r="K139" s="29">
        <f>(1-ISNUMBER(SEARCH("556",M139)))*(O139*SUMIFS(Premissas!$C$5:$C$44,Premissas!$A$5:$A$44,$A139,Premissas!$B$5:$B$44,$B139)+P139*SUMIFS(Premissas!$D$5:$D$44,Premissas!$A$5:$A$44,$A139,Premissas!$B$5:$B$44,$B139))+R139*SUMIFS(Premissas!$E$5:$E$44,Premissas!$A$5:$A$44,$A139,Premissas!$B$5:$B$44,$B139)+S139*SUMIFS(Premissas!$F$5:$F$44,Premissas!$A$5:$A$44,$A139,Premissas!$B$5:$B$44,$B139)</f>
        <v/>
      </c>
      <c r="L139" s="29">
        <f>J139-K139</f>
        <v/>
      </c>
      <c r="M139" t="inlineStr">
        <is>
          <t>1.556</t>
        </is>
      </c>
      <c r="O139" s="29" t="n">
        <v>998.78</v>
      </c>
      <c r="P139" s="29" t="n">
        <v>6146.35</v>
      </c>
      <c r="Q139" s="29" t="n">
        <v>0</v>
      </c>
      <c r="R139" s="29" t="n">
        <v>405.66</v>
      </c>
      <c r="S139" s="29" t="n">
        <v>1868.49</v>
      </c>
      <c r="T139" t="inlineStr">
        <is>
          <t>25260755330530000190550010000168251798843080</t>
        </is>
      </c>
      <c r="U139" t="inlineStr">
        <is>
          <t>Sim</t>
        </is>
      </c>
    </row>
    <row r="140">
      <c r="A140" t="inlineStr">
        <is>
          <t>Insumos e papel</t>
        </is>
      </c>
      <c r="B140" t="inlineStr">
        <is>
          <t>2.01.03 Compra de Matéria Prima (Papel)</t>
        </is>
      </c>
      <c r="C140" s="30" t="n">
        <v>46204</v>
      </c>
      <c r="D140" t="inlineStr">
        <is>
          <t>Em 2026</t>
        </is>
      </c>
      <c r="E140" s="28" t="n">
        <v>46206</v>
      </c>
      <c r="F140" t="inlineStr">
        <is>
          <t>NF-e</t>
        </is>
      </c>
      <c r="G140" t="inlineStr">
        <is>
          <t>000178356</t>
        </is>
      </c>
      <c r="H140" t="inlineStr">
        <is>
          <t>SANTA MARIA CIA DE PAPEL E CELULOSE</t>
        </is>
      </c>
      <c r="I140" t="inlineStr">
        <is>
          <t>77.887.917/0001-84</t>
        </is>
      </c>
      <c r="J140" s="29" t="n">
        <v>70976.21000000001</v>
      </c>
      <c r="K140" s="29">
        <f>(1-ISNUMBER(SEARCH("556",M140)))*(O140*SUMIFS(Premissas!$C$5:$C$44,Premissas!$A$5:$A$44,$A140,Premissas!$B$5:$B$44,$B140)+P140*SUMIFS(Premissas!$D$5:$D$44,Premissas!$A$5:$A$44,$A140,Premissas!$B$5:$B$44,$B140))+R140*SUMIFS(Premissas!$E$5:$E$44,Premissas!$A$5:$A$44,$A140,Premissas!$B$5:$B$44,$B140)+S140*SUMIFS(Premissas!$F$5:$F$44,Premissas!$A$5:$A$44,$A140,Premissas!$B$5:$B$44,$B140)</f>
        <v/>
      </c>
      <c r="L140" s="29">
        <f>J140-K140</f>
        <v/>
      </c>
      <c r="M140" t="inlineStr">
        <is>
          <t>2.101</t>
        </is>
      </c>
      <c r="O140" s="29" t="n">
        <v>2234.12</v>
      </c>
      <c r="P140" s="29" t="n">
        <v>4811.95</v>
      </c>
      <c r="Q140" s="29" t="n">
        <v>0</v>
      </c>
      <c r="R140" s="29" t="n">
        <v>1054.85</v>
      </c>
      <c r="S140" s="29" t="n">
        <v>4858.69</v>
      </c>
      <c r="T140" t="inlineStr">
        <is>
          <t>41260777887917000184550010001783561011473460</t>
        </is>
      </c>
      <c r="U140" t="inlineStr">
        <is>
          <t>Sim</t>
        </is>
      </c>
    </row>
    <row r="141">
      <c r="A141" t="inlineStr">
        <is>
          <t>Insumos e papel</t>
        </is>
      </c>
      <c r="B141" t="inlineStr">
        <is>
          <t>2.01.03 Compra de Matéria Prima (Papel)</t>
        </is>
      </c>
      <c r="C141" s="30" t="n">
        <v>46204</v>
      </c>
      <c r="D141" t="inlineStr">
        <is>
          <t>Em 2026</t>
        </is>
      </c>
      <c r="E141" s="28" t="n">
        <v>46230</v>
      </c>
      <c r="F141" t="inlineStr">
        <is>
          <t>NF-e</t>
        </is>
      </c>
      <c r="G141" t="inlineStr">
        <is>
          <t>000178889</t>
        </is>
      </c>
      <c r="H141" t="inlineStr">
        <is>
          <t>SANTA MARIA CIA DE PAPEL E CELULOSE</t>
        </is>
      </c>
      <c r="I141" t="inlineStr">
        <is>
          <t>77.887.917/0001-84</t>
        </is>
      </c>
      <c r="J141" s="29" t="n">
        <v>334752.09</v>
      </c>
      <c r="K141" s="29">
        <f>(1-ISNUMBER(SEARCH("556",M141)))*(O141*SUMIFS(Premissas!$C$5:$C$44,Premissas!$A$5:$A$44,$A141,Premissas!$B$5:$B$44,$B141)+P141*SUMIFS(Premissas!$D$5:$D$44,Premissas!$A$5:$A$44,$A141,Premissas!$B$5:$B$44,$B141))+R141*SUMIFS(Premissas!$E$5:$E$44,Premissas!$A$5:$A$44,$A141,Premissas!$B$5:$B$44,$B141)+S141*SUMIFS(Premissas!$F$5:$F$44,Premissas!$A$5:$A$44,$A141,Premissas!$B$5:$B$44,$B141)</f>
        <v/>
      </c>
      <c r="L141" s="29">
        <f>J141-K141</f>
        <v/>
      </c>
      <c r="M141" t="inlineStr">
        <is>
          <t>2.102</t>
        </is>
      </c>
      <c r="O141" s="29" t="n">
        <v>10536.99</v>
      </c>
      <c r="P141" s="29" t="n">
        <v>22695.06</v>
      </c>
      <c r="Q141" s="29" t="n">
        <v>0</v>
      </c>
      <c r="R141" s="29" t="n">
        <v>4975.08</v>
      </c>
      <c r="S141" s="29" t="n">
        <v>22915.51</v>
      </c>
      <c r="T141" t="inlineStr">
        <is>
          <t>41260777887917000184550010001788891011515810</t>
        </is>
      </c>
      <c r="U141" t="inlineStr">
        <is>
          <t>Sim</t>
        </is>
      </c>
    </row>
    <row r="142">
      <c r="A142" t="inlineStr">
        <is>
          <t>Insumos e papel</t>
        </is>
      </c>
      <c r="B142" t="inlineStr">
        <is>
          <t>2.01.03 Compra de Matéria Prima (Papel)</t>
        </is>
      </c>
      <c r="C142" s="30" t="n">
        <v>46235</v>
      </c>
      <c r="D142" t="inlineStr">
        <is>
          <t>Em 2026</t>
        </is>
      </c>
      <c r="E142" s="28" t="n">
        <v>46259</v>
      </c>
      <c r="F142" t="inlineStr">
        <is>
          <t>NF-e</t>
        </is>
      </c>
      <c r="G142" t="inlineStr">
        <is>
          <t>000014425</t>
        </is>
      </c>
      <c r="H142" t="inlineStr">
        <is>
          <t>CMPC Iguacu Embalagens Ltda</t>
        </is>
      </c>
      <c r="I142" t="inlineStr">
        <is>
          <t>11.308.600/0008-04</t>
        </is>
      </c>
      <c r="J142" s="29" t="n">
        <v>152757.22</v>
      </c>
      <c r="K142" s="29">
        <f>(1-ISNUMBER(SEARCH("556",M142)))*(O142*SUMIFS(Premissas!$C$5:$C$44,Premissas!$A$5:$A$44,$A142,Premissas!$B$5:$B$44,$B142)+P142*SUMIFS(Premissas!$D$5:$D$44,Premissas!$A$5:$A$44,$A142,Premissas!$B$5:$B$44,$B142))+R142*SUMIFS(Premissas!$E$5:$E$44,Premissas!$A$5:$A$44,$A142,Premissas!$B$5:$B$44,$B142)+S142*SUMIFS(Premissas!$F$5:$F$44,Premissas!$A$5:$A$44,$A142,Premissas!$B$5:$B$44,$B142)</f>
        <v/>
      </c>
      <c r="L142" s="29">
        <f>J142-K142</f>
        <v/>
      </c>
      <c r="M142" t="inlineStr">
        <is>
          <t>2.101</t>
        </is>
      </c>
      <c r="O142" s="29" t="n">
        <v>4808.34</v>
      </c>
      <c r="P142" s="29" t="n">
        <v>10356.41</v>
      </c>
      <c r="Q142" s="29" t="n">
        <v>0</v>
      </c>
      <c r="R142" s="29" t="n">
        <v>2270.28</v>
      </c>
      <c r="S142" s="29" t="n">
        <v>10457.02</v>
      </c>
      <c r="T142" t="inlineStr">
        <is>
          <t>42260811308600000804550010000144251030038037</t>
        </is>
      </c>
      <c r="U142" t="inlineStr">
        <is>
          <t>Sim</t>
        </is>
      </c>
    </row>
    <row r="143">
      <c r="A143" t="inlineStr">
        <is>
          <t>Insumos e papel</t>
        </is>
      </c>
      <c r="B143" t="inlineStr">
        <is>
          <t>2.01.03 Compra de Matéria Prima (Papel)</t>
        </is>
      </c>
      <c r="C143" s="30" t="n">
        <v>46235</v>
      </c>
      <c r="D143" t="inlineStr">
        <is>
          <t>Em 2026</t>
        </is>
      </c>
      <c r="E143" s="28" t="n">
        <v>46259</v>
      </c>
      <c r="F143" t="inlineStr">
        <is>
          <t>NF-e</t>
        </is>
      </c>
      <c r="G143" t="inlineStr">
        <is>
          <t>000014439</t>
        </is>
      </c>
      <c r="H143" t="inlineStr">
        <is>
          <t>CMPC Iguacu Embalagens Ltda</t>
        </is>
      </c>
      <c r="I143" t="inlineStr">
        <is>
          <t>11.308.600/0008-04</t>
        </is>
      </c>
      <c r="J143" s="29" t="n">
        <v>151602.94</v>
      </c>
      <c r="K143" s="29">
        <f>(1-ISNUMBER(SEARCH("556",M143)))*(O143*SUMIFS(Premissas!$C$5:$C$44,Premissas!$A$5:$A$44,$A143,Premissas!$B$5:$B$44,$B143)+P143*SUMIFS(Premissas!$D$5:$D$44,Premissas!$A$5:$A$44,$A143,Premissas!$B$5:$B$44,$B143))+R143*SUMIFS(Premissas!$E$5:$E$44,Premissas!$A$5:$A$44,$A143,Premissas!$B$5:$B$44,$B143)+S143*SUMIFS(Premissas!$F$5:$F$44,Premissas!$A$5:$A$44,$A143,Premissas!$B$5:$B$44,$B143)</f>
        <v/>
      </c>
      <c r="L143" s="29">
        <f>J143-K143</f>
        <v/>
      </c>
      <c r="M143" t="inlineStr">
        <is>
          <t>2.101</t>
        </is>
      </c>
      <c r="O143" s="29" t="n">
        <v>4772.01</v>
      </c>
      <c r="P143" s="29" t="n">
        <v>10278.16</v>
      </c>
      <c r="Q143" s="29" t="n">
        <v>0</v>
      </c>
      <c r="R143" s="29" t="n">
        <v>2253.12</v>
      </c>
      <c r="S143" s="29" t="n">
        <v>10378.01</v>
      </c>
      <c r="T143" t="inlineStr">
        <is>
          <t>42260811308600000804550010000144391359180827</t>
        </is>
      </c>
      <c r="U143" t="inlineStr">
        <is>
          <t>Sim</t>
        </is>
      </c>
    </row>
    <row r="144">
      <c r="A144" t="inlineStr">
        <is>
          <t>Insumos e papel</t>
        </is>
      </c>
      <c r="B144" t="inlineStr">
        <is>
          <t>2.01.03 Compra de Matéria Prima (Papel)</t>
        </is>
      </c>
      <c r="C144" s="30" t="n">
        <v>46235</v>
      </c>
      <c r="D144" t="inlineStr">
        <is>
          <t>Em 2026</t>
        </is>
      </c>
      <c r="E144" s="28" t="n">
        <v>46259</v>
      </c>
      <c r="F144" t="inlineStr">
        <is>
          <t>NF-e</t>
        </is>
      </c>
      <c r="G144" t="inlineStr">
        <is>
          <t>000014442</t>
        </is>
      </c>
      <c r="H144" t="inlineStr">
        <is>
          <t>CMPC Iguacu Embalagens Ltda</t>
        </is>
      </c>
      <c r="I144" t="inlineStr">
        <is>
          <t>11.308.600/0008-04</t>
        </is>
      </c>
      <c r="J144" s="29" t="n">
        <v>151121.99</v>
      </c>
      <c r="K144" s="29">
        <f>(1-ISNUMBER(SEARCH("556",M144)))*(O144*SUMIFS(Premissas!$C$5:$C$44,Premissas!$A$5:$A$44,$A144,Premissas!$B$5:$B$44,$B144)+P144*SUMIFS(Premissas!$D$5:$D$44,Premissas!$A$5:$A$44,$A144,Premissas!$B$5:$B$44,$B144))+R144*SUMIFS(Premissas!$E$5:$E$44,Premissas!$A$5:$A$44,$A144,Premissas!$B$5:$B$44,$B144)+S144*SUMIFS(Premissas!$F$5:$F$44,Premissas!$A$5:$A$44,$A144,Premissas!$B$5:$B$44,$B144)</f>
        <v/>
      </c>
      <c r="L144" s="29">
        <f>J144-K144</f>
        <v/>
      </c>
      <c r="M144" t="inlineStr">
        <is>
          <t>2.101</t>
        </is>
      </c>
      <c r="O144" s="29" t="n">
        <v>4756.87</v>
      </c>
      <c r="P144" s="29" t="n">
        <v>10245.56</v>
      </c>
      <c r="Q144" s="29" t="n">
        <v>0</v>
      </c>
      <c r="R144" s="29" t="n">
        <v>2245.97</v>
      </c>
      <c r="S144" s="29" t="n">
        <v>10345.09</v>
      </c>
      <c r="T144" t="inlineStr">
        <is>
          <t>42260811308600000804550010000144421399028967</t>
        </is>
      </c>
      <c r="U144" t="inlineStr">
        <is>
          <t>Sim</t>
        </is>
      </c>
    </row>
    <row r="145">
      <c r="A145" t="inlineStr">
        <is>
          <t>Insumos e papel</t>
        </is>
      </c>
      <c r="B145" t="inlineStr">
        <is>
          <t>2.01.03 Compra de Matéria Prima (Papel)</t>
        </is>
      </c>
      <c r="C145" s="30" t="n">
        <v>46235</v>
      </c>
      <c r="D145" t="inlineStr">
        <is>
          <t>Em 2026</t>
        </is>
      </c>
      <c r="E145" s="28" t="n">
        <v>46259</v>
      </c>
      <c r="F145" t="inlineStr">
        <is>
          <t>NF-e</t>
        </is>
      </c>
      <c r="G145" t="inlineStr">
        <is>
          <t>000014447</t>
        </is>
      </c>
      <c r="H145" t="inlineStr">
        <is>
          <t>CMPC Iguacu Embalagens Ltda</t>
        </is>
      </c>
      <c r="I145" t="inlineStr">
        <is>
          <t>11.308.600/0008-04</t>
        </is>
      </c>
      <c r="J145" s="29" t="n">
        <v>151110.68</v>
      </c>
      <c r="K145" s="29">
        <f>(1-ISNUMBER(SEARCH("556",M145)))*(O145*SUMIFS(Premissas!$C$5:$C$44,Premissas!$A$5:$A$44,$A145,Premissas!$B$5:$B$44,$B145)+P145*SUMIFS(Premissas!$D$5:$D$44,Premissas!$A$5:$A$44,$A145,Premissas!$B$5:$B$44,$B145))+R145*SUMIFS(Premissas!$E$5:$E$44,Premissas!$A$5:$A$44,$A145,Premissas!$B$5:$B$44,$B145)+S145*SUMIFS(Premissas!$F$5:$F$44,Premissas!$A$5:$A$44,$A145,Premissas!$B$5:$B$44,$B145)</f>
        <v/>
      </c>
      <c r="L145" s="29">
        <f>J145-K145</f>
        <v/>
      </c>
      <c r="M145" t="inlineStr">
        <is>
          <t>2.101</t>
        </is>
      </c>
      <c r="O145" s="29" t="n">
        <v>4756.51</v>
      </c>
      <c r="P145" s="29" t="n">
        <v>10244.79</v>
      </c>
      <c r="Q145" s="29" t="n">
        <v>0</v>
      </c>
      <c r="R145" s="29" t="n">
        <v>2245.81</v>
      </c>
      <c r="S145" s="29" t="n">
        <v>10344.32</v>
      </c>
      <c r="T145" t="inlineStr">
        <is>
          <t>42260811308600000804550010000144471461128121</t>
        </is>
      </c>
      <c r="U145" t="inlineStr">
        <is>
          <t>Sim</t>
        </is>
      </c>
    </row>
    <row r="146">
      <c r="A146" t="inlineStr">
        <is>
          <t>Insumos e papel</t>
        </is>
      </c>
      <c r="B146" t="inlineStr">
        <is>
          <t>2.01.03 Compra de Matéria Prima (Papel)</t>
        </is>
      </c>
      <c r="C146" s="30" t="n">
        <v>46235</v>
      </c>
      <c r="D146" t="inlineStr">
        <is>
          <t>Em 2026</t>
        </is>
      </c>
      <c r="E146" s="28" t="n">
        <v>46259</v>
      </c>
      <c r="F146" t="inlineStr">
        <is>
          <t>NF-e</t>
        </is>
      </c>
      <c r="G146" t="inlineStr">
        <is>
          <t>000014450</t>
        </is>
      </c>
      <c r="H146" t="inlineStr">
        <is>
          <t>CMPC Iguacu Embalagens Ltda</t>
        </is>
      </c>
      <c r="I146" t="inlineStr">
        <is>
          <t>11.308.600/0008-04</t>
        </is>
      </c>
      <c r="J146" s="29" t="n">
        <v>152842.13</v>
      </c>
      <c r="K146" s="29">
        <f>(1-ISNUMBER(SEARCH("556",M146)))*(O146*SUMIFS(Premissas!$C$5:$C$44,Premissas!$A$5:$A$44,$A146,Premissas!$B$5:$B$44,$B146)+P146*SUMIFS(Premissas!$D$5:$D$44,Premissas!$A$5:$A$44,$A146,Premissas!$B$5:$B$44,$B146))+R146*SUMIFS(Premissas!$E$5:$E$44,Premissas!$A$5:$A$44,$A146,Premissas!$B$5:$B$44,$B146)+S146*SUMIFS(Premissas!$F$5:$F$44,Premissas!$A$5:$A$44,$A146,Premissas!$B$5:$B$44,$B146)</f>
        <v/>
      </c>
      <c r="L146" s="29">
        <f>J146-K146</f>
        <v/>
      </c>
      <c r="M146" t="inlineStr">
        <is>
          <t>2.101</t>
        </is>
      </c>
      <c r="O146" s="29" t="n">
        <v>4811.01</v>
      </c>
      <c r="P146" s="29" t="n">
        <v>10362.18</v>
      </c>
      <c r="Q146" s="29" t="n">
        <v>0</v>
      </c>
      <c r="R146" s="29" t="n">
        <v>2271.53</v>
      </c>
      <c r="S146" s="29" t="n">
        <v>10462.85</v>
      </c>
      <c r="T146" t="inlineStr">
        <is>
          <t>42260811308600000804550010000144501499848038</t>
        </is>
      </c>
      <c r="U146" t="inlineStr">
        <is>
          <t>Sim</t>
        </is>
      </c>
    </row>
    <row r="147">
      <c r="A147" t="inlineStr">
        <is>
          <t>Insumos e papel</t>
        </is>
      </c>
      <c r="B147" t="inlineStr">
        <is>
          <t>2.01.03 Compra de Matéria Prima (Papel)</t>
        </is>
      </c>
      <c r="C147" s="30" t="n">
        <v>46235</v>
      </c>
      <c r="D147" t="inlineStr">
        <is>
          <t>Em 2026</t>
        </is>
      </c>
      <c r="E147" s="28" t="n">
        <v>46261</v>
      </c>
      <c r="F147" t="inlineStr">
        <is>
          <t>NF-e</t>
        </is>
      </c>
      <c r="G147" t="inlineStr">
        <is>
          <t>000014479</t>
        </is>
      </c>
      <c r="H147" t="inlineStr">
        <is>
          <t>CMPC Iguacu Embalagens Ltda</t>
        </is>
      </c>
      <c r="I147" t="inlineStr">
        <is>
          <t>11.308.600/0008-04</t>
        </is>
      </c>
      <c r="J147" s="29" t="n">
        <v>152208.4</v>
      </c>
      <c r="K147" s="29">
        <f>(1-ISNUMBER(SEARCH("556",M147)))*(O147*SUMIFS(Premissas!$C$5:$C$44,Premissas!$A$5:$A$44,$A147,Premissas!$B$5:$B$44,$B147)+P147*SUMIFS(Premissas!$D$5:$D$44,Premissas!$A$5:$A$44,$A147,Premissas!$B$5:$B$44,$B147))+R147*SUMIFS(Premissas!$E$5:$E$44,Premissas!$A$5:$A$44,$A147,Premissas!$B$5:$B$44,$B147)+S147*SUMIFS(Premissas!$F$5:$F$44,Premissas!$A$5:$A$44,$A147,Premissas!$B$5:$B$44,$B147)</f>
        <v/>
      </c>
      <c r="L147" s="29">
        <f>J147-K147</f>
        <v/>
      </c>
      <c r="M147" t="inlineStr">
        <is>
          <t>2.101</t>
        </is>
      </c>
      <c r="O147" s="29" t="n">
        <v>4791.07</v>
      </c>
      <c r="P147" s="29" t="n">
        <v>10319.22</v>
      </c>
      <c r="Q147" s="29" t="n">
        <v>0</v>
      </c>
      <c r="R147" s="29" t="n">
        <v>2262.13</v>
      </c>
      <c r="S147" s="29" t="n">
        <v>10419.46</v>
      </c>
      <c r="T147" t="inlineStr">
        <is>
          <t>42260811308600000804550010000144791069731605</t>
        </is>
      </c>
      <c r="U147" t="inlineStr">
        <is>
          <t>Sim</t>
        </is>
      </c>
    </row>
    <row r="148">
      <c r="A148" t="inlineStr">
        <is>
          <t>Insumos e papel</t>
        </is>
      </c>
      <c r="B148" t="inlineStr">
        <is>
          <t>2.01.03 Compra de Matéria Prima (Papel)</t>
        </is>
      </c>
      <c r="C148" s="30" t="n">
        <v>46235</v>
      </c>
      <c r="D148" t="inlineStr">
        <is>
          <t>Em 2026</t>
        </is>
      </c>
      <c r="E148" s="28" t="n">
        <v>46261</v>
      </c>
      <c r="F148" t="inlineStr">
        <is>
          <t>NF-e</t>
        </is>
      </c>
      <c r="G148" t="inlineStr">
        <is>
          <t>000014484</t>
        </is>
      </c>
      <c r="H148" t="inlineStr">
        <is>
          <t>CMPC Iguacu Embalagens Ltda</t>
        </is>
      </c>
      <c r="I148" t="inlineStr">
        <is>
          <t>11.308.600/0008-04</t>
        </is>
      </c>
      <c r="J148" s="29" t="n">
        <v>152768.55</v>
      </c>
      <c r="K148" s="29">
        <f>(1-ISNUMBER(SEARCH("556",M148)))*(O148*SUMIFS(Premissas!$C$5:$C$44,Premissas!$A$5:$A$44,$A148,Premissas!$B$5:$B$44,$B148)+P148*SUMIFS(Premissas!$D$5:$D$44,Premissas!$A$5:$A$44,$A148,Premissas!$B$5:$B$44,$B148))+R148*SUMIFS(Premissas!$E$5:$E$44,Premissas!$A$5:$A$44,$A148,Premissas!$B$5:$B$44,$B148)+S148*SUMIFS(Premissas!$F$5:$F$44,Premissas!$A$5:$A$44,$A148,Premissas!$B$5:$B$44,$B148)</f>
        <v/>
      </c>
      <c r="L148" s="29">
        <f>J148-K148</f>
        <v/>
      </c>
      <c r="M148" t="inlineStr">
        <is>
          <t>2.101</t>
        </is>
      </c>
      <c r="O148" s="29" t="n">
        <v>4808.69</v>
      </c>
      <c r="P148" s="29" t="n">
        <v>10357.18</v>
      </c>
      <c r="Q148" s="29" t="n">
        <v>0</v>
      </c>
      <c r="R148" s="29" t="n">
        <v>2270.44</v>
      </c>
      <c r="S148" s="29" t="n">
        <v>10457.8</v>
      </c>
      <c r="T148" t="inlineStr">
        <is>
          <t>42260811308600000804550010000144841131360679</t>
        </is>
      </c>
      <c r="U148" t="inlineStr">
        <is>
          <t>Sim</t>
        </is>
      </c>
    </row>
    <row r="149">
      <c r="A149" t="inlineStr">
        <is>
          <t>Insumos e papel</t>
        </is>
      </c>
      <c r="B149" t="inlineStr">
        <is>
          <t>2.01.03 Compra de Matéria Prima (Papel)</t>
        </is>
      </c>
      <c r="C149" s="30" t="n">
        <v>46235</v>
      </c>
      <c r="D149" t="inlineStr">
        <is>
          <t>Em 2026</t>
        </is>
      </c>
      <c r="E149" s="28" t="n">
        <v>46261</v>
      </c>
      <c r="F149" t="inlineStr">
        <is>
          <t>NF-e</t>
        </is>
      </c>
      <c r="G149" t="inlineStr">
        <is>
          <t>000014487</t>
        </is>
      </c>
      <c r="H149" t="inlineStr">
        <is>
          <t>CMPC Iguacu Embalagens Ltda</t>
        </is>
      </c>
      <c r="I149" t="inlineStr">
        <is>
          <t>11.308.600/0008-04</t>
        </is>
      </c>
      <c r="J149" s="29" t="n">
        <v>150782.49</v>
      </c>
      <c r="K149" s="29">
        <f>(1-ISNUMBER(SEARCH("556",M149)))*(O149*SUMIFS(Premissas!$C$5:$C$44,Premissas!$A$5:$A$44,$A149,Premissas!$B$5:$B$44,$B149)+P149*SUMIFS(Premissas!$D$5:$D$44,Premissas!$A$5:$A$44,$A149,Premissas!$B$5:$B$44,$B149))+R149*SUMIFS(Premissas!$E$5:$E$44,Premissas!$A$5:$A$44,$A149,Premissas!$B$5:$B$44,$B149)+S149*SUMIFS(Premissas!$F$5:$F$44,Premissas!$A$5:$A$44,$A149,Premissas!$B$5:$B$44,$B149)</f>
        <v/>
      </c>
      <c r="L149" s="29">
        <f>J149-K149</f>
        <v/>
      </c>
      <c r="M149" t="inlineStr">
        <is>
          <t>2.101</t>
        </is>
      </c>
      <c r="O149" s="29" t="n">
        <v>4746.18</v>
      </c>
      <c r="P149" s="29" t="n">
        <v>10222.54</v>
      </c>
      <c r="Q149" s="29" t="n">
        <v>0</v>
      </c>
      <c r="R149" s="29" t="n">
        <v>2240.93</v>
      </c>
      <c r="S149" s="29" t="n">
        <v>10321.85</v>
      </c>
      <c r="T149" t="inlineStr">
        <is>
          <t>42260811308600000804550010000144871179482431</t>
        </is>
      </c>
      <c r="U149" t="inlineStr">
        <is>
          <t>Sim</t>
        </is>
      </c>
    </row>
    <row r="150">
      <c r="A150" t="inlineStr">
        <is>
          <t>Insumos e papel</t>
        </is>
      </c>
      <c r="B150" t="inlineStr">
        <is>
          <t>2.01.03 Compra de Matéria Prima (Papel)</t>
        </is>
      </c>
      <c r="C150" s="30" t="n">
        <v>46235</v>
      </c>
      <c r="D150" t="inlineStr">
        <is>
          <t>Em 2026</t>
        </is>
      </c>
      <c r="E150" s="28" t="n">
        <v>46262</v>
      </c>
      <c r="F150" t="inlineStr">
        <is>
          <t>NF-e</t>
        </is>
      </c>
      <c r="G150" t="inlineStr">
        <is>
          <t>000014500</t>
        </is>
      </c>
      <c r="H150" t="inlineStr">
        <is>
          <t>CMPC Iguacu Embalagens Ltda</t>
        </is>
      </c>
      <c r="I150" t="inlineStr">
        <is>
          <t>11.308.600/0008-04</t>
        </is>
      </c>
      <c r="J150" s="29" t="n">
        <v>152508.28</v>
      </c>
      <c r="K150" s="29">
        <f>(1-ISNUMBER(SEARCH("556",M150)))*(O150*SUMIFS(Premissas!$C$5:$C$44,Premissas!$A$5:$A$44,$A150,Premissas!$B$5:$B$44,$B150)+P150*SUMIFS(Premissas!$D$5:$D$44,Premissas!$A$5:$A$44,$A150,Premissas!$B$5:$B$44,$B150))+R150*SUMIFS(Premissas!$E$5:$E$44,Premissas!$A$5:$A$44,$A150,Premissas!$B$5:$B$44,$B150)+S150*SUMIFS(Premissas!$F$5:$F$44,Premissas!$A$5:$A$44,$A150,Premissas!$B$5:$B$44,$B150)</f>
        <v/>
      </c>
      <c r="L150" s="29">
        <f>J150-K150</f>
        <v/>
      </c>
      <c r="M150" t="inlineStr">
        <is>
          <t>2.101</t>
        </is>
      </c>
      <c r="O150" s="29" t="n">
        <v>4800.5</v>
      </c>
      <c r="P150" s="29" t="n">
        <v>10339.55</v>
      </c>
      <c r="Q150" s="29" t="n">
        <v>0</v>
      </c>
      <c r="R150" s="29" t="n">
        <v>2266.57</v>
      </c>
      <c r="S150" s="29" t="n">
        <v>10439.99</v>
      </c>
      <c r="T150" t="inlineStr">
        <is>
          <t>42260811308600000804550010000145001415291766</t>
        </is>
      </c>
      <c r="U150" t="inlineStr">
        <is>
          <t>Sim</t>
        </is>
      </c>
    </row>
    <row r="151">
      <c r="A151" t="inlineStr">
        <is>
          <t>Insumos e papel</t>
        </is>
      </c>
      <c r="B151" t="inlineStr">
        <is>
          <t>2.01.03 Compra de Matéria Prima (Papel)</t>
        </is>
      </c>
      <c r="C151" s="30" t="n">
        <v>46235</v>
      </c>
      <c r="D151" t="inlineStr">
        <is>
          <t>Em 2026</t>
        </is>
      </c>
      <c r="E151" s="28" t="n">
        <v>46262</v>
      </c>
      <c r="F151" t="inlineStr">
        <is>
          <t>NF-e</t>
        </is>
      </c>
      <c r="G151" t="inlineStr">
        <is>
          <t>000014501</t>
        </is>
      </c>
      <c r="H151" t="inlineStr">
        <is>
          <t>CMPC Iguacu Embalagens Ltda</t>
        </is>
      </c>
      <c r="I151" t="inlineStr">
        <is>
          <t>11.308.600/0008-04</t>
        </is>
      </c>
      <c r="J151" s="29" t="n">
        <v>151682.17</v>
      </c>
      <c r="K151" s="29">
        <f>(1-ISNUMBER(SEARCH("556",M151)))*(O151*SUMIFS(Premissas!$C$5:$C$44,Premissas!$A$5:$A$44,$A151,Premissas!$B$5:$B$44,$B151)+P151*SUMIFS(Premissas!$D$5:$D$44,Premissas!$A$5:$A$44,$A151,Premissas!$B$5:$B$44,$B151))+R151*SUMIFS(Premissas!$E$5:$E$44,Premissas!$A$5:$A$44,$A151,Premissas!$B$5:$B$44,$B151)+S151*SUMIFS(Premissas!$F$5:$F$44,Premissas!$A$5:$A$44,$A151,Premissas!$B$5:$B$44,$B151)</f>
        <v/>
      </c>
      <c r="L151" s="29">
        <f>J151-K151</f>
        <v/>
      </c>
      <c r="M151" t="inlineStr">
        <is>
          <t>2.101</t>
        </is>
      </c>
      <c r="O151" s="29" t="n">
        <v>4774.5</v>
      </c>
      <c r="P151" s="29" t="n">
        <v>10283.54</v>
      </c>
      <c r="Q151" s="29" t="n">
        <v>0</v>
      </c>
      <c r="R151" s="29" t="n">
        <v>2254.31</v>
      </c>
      <c r="S151" s="29" t="n">
        <v>10383.43</v>
      </c>
      <c r="T151" t="inlineStr">
        <is>
          <t>42260811308600000804550010000145011426244915</t>
        </is>
      </c>
      <c r="U151" t="inlineStr">
        <is>
          <t>Sim</t>
        </is>
      </c>
    </row>
    <row r="152">
      <c r="A152" t="inlineStr">
        <is>
          <t>Insumos e papel</t>
        </is>
      </c>
      <c r="B152" t="inlineStr">
        <is>
          <t>2.01.03 Compra de Matéria Prima (Papel)</t>
        </is>
      </c>
      <c r="C152" s="30" t="n">
        <v>46235</v>
      </c>
      <c r="D152" t="inlineStr">
        <is>
          <t>Em 2026</t>
        </is>
      </c>
      <c r="E152" s="28" t="n">
        <v>46262</v>
      </c>
      <c r="F152" t="inlineStr">
        <is>
          <t>NF-e</t>
        </is>
      </c>
      <c r="G152" t="inlineStr">
        <is>
          <t>000014503</t>
        </is>
      </c>
      <c r="H152" t="inlineStr">
        <is>
          <t>CMPC Iguacu Embalagens Ltda</t>
        </is>
      </c>
      <c r="I152" t="inlineStr">
        <is>
          <t>11.308.600/0008-04</t>
        </is>
      </c>
      <c r="J152" s="29" t="n">
        <v>152100.89</v>
      </c>
      <c r="K152" s="29">
        <f>(1-ISNUMBER(SEARCH("556",M152)))*(O152*SUMIFS(Premissas!$C$5:$C$44,Premissas!$A$5:$A$44,$A152,Premissas!$B$5:$B$44,$B152)+P152*SUMIFS(Premissas!$D$5:$D$44,Premissas!$A$5:$A$44,$A152,Premissas!$B$5:$B$44,$B152))+R152*SUMIFS(Premissas!$E$5:$E$44,Premissas!$A$5:$A$44,$A152,Premissas!$B$5:$B$44,$B152)+S152*SUMIFS(Premissas!$F$5:$F$44,Premissas!$A$5:$A$44,$A152,Premissas!$B$5:$B$44,$B152)</f>
        <v/>
      </c>
      <c r="L152" s="29">
        <f>J152-K152</f>
        <v/>
      </c>
      <c r="M152" t="inlineStr">
        <is>
          <t>2.101</t>
        </is>
      </c>
      <c r="O152" s="29" t="n">
        <v>4787.68</v>
      </c>
      <c r="P152" s="29" t="n">
        <v>10311.93</v>
      </c>
      <c r="Q152" s="29" t="n">
        <v>0</v>
      </c>
      <c r="R152" s="29" t="n">
        <v>2260.53</v>
      </c>
      <c r="S152" s="29" t="n">
        <v>10412.1</v>
      </c>
      <c r="T152" t="inlineStr">
        <is>
          <t>42260811308600000804550010000145031432826208</t>
        </is>
      </c>
      <c r="U152" t="inlineStr">
        <is>
          <t>Sim</t>
        </is>
      </c>
    </row>
    <row r="153">
      <c r="A153" t="inlineStr">
        <is>
          <t>Insumos e papel</t>
        </is>
      </c>
      <c r="B153" t="inlineStr">
        <is>
          <t>2.01.03 Compra de Matéria Prima (Papel)</t>
        </is>
      </c>
      <c r="C153" s="30" t="n">
        <v>46235</v>
      </c>
      <c r="D153" t="inlineStr">
        <is>
          <t>Em 2026</t>
        </is>
      </c>
      <c r="E153" s="28" t="n">
        <v>46262</v>
      </c>
      <c r="F153" t="inlineStr">
        <is>
          <t>NF-e</t>
        </is>
      </c>
      <c r="G153" t="inlineStr">
        <is>
          <t>000014510</t>
        </is>
      </c>
      <c r="H153" t="inlineStr">
        <is>
          <t>CMPC Iguacu Embalagens Ltda</t>
        </is>
      </c>
      <c r="I153" t="inlineStr">
        <is>
          <t>11.308.600/0008-04</t>
        </is>
      </c>
      <c r="J153" s="29" t="n">
        <v>153453.21</v>
      </c>
      <c r="K153" s="29">
        <f>(1-ISNUMBER(SEARCH("556",M153)))*(O153*SUMIFS(Premissas!$C$5:$C$44,Premissas!$A$5:$A$44,$A153,Premissas!$B$5:$B$44,$B153)+P153*SUMIFS(Premissas!$D$5:$D$44,Premissas!$A$5:$A$44,$A153,Premissas!$B$5:$B$44,$B153))+R153*SUMIFS(Premissas!$E$5:$E$44,Premissas!$A$5:$A$44,$A153,Premissas!$B$5:$B$44,$B153)+S153*SUMIFS(Premissas!$F$5:$F$44,Premissas!$A$5:$A$44,$A153,Premissas!$B$5:$B$44,$B153)</f>
        <v/>
      </c>
      <c r="L153" s="29">
        <f>J153-K153</f>
        <v/>
      </c>
      <c r="M153" t="inlineStr">
        <is>
          <t>1.556, 2.101</t>
        </is>
      </c>
      <c r="O153" s="29" t="n">
        <v>4830.25</v>
      </c>
      <c r="P153" s="29" t="n">
        <v>10403.6</v>
      </c>
      <c r="Q153" s="29" t="n">
        <v>0</v>
      </c>
      <c r="R153" s="29" t="n">
        <v>2280.62</v>
      </c>
      <c r="S153" s="29" t="n">
        <v>10504.67</v>
      </c>
      <c r="T153" t="inlineStr">
        <is>
          <t>42260811308600000804550010000145101538471556</t>
        </is>
      </c>
      <c r="U153" t="inlineStr">
        <is>
          <t>Sim</t>
        </is>
      </c>
    </row>
    <row r="154">
      <c r="A154" t="inlineStr">
        <is>
          <t>Insumos e papel</t>
        </is>
      </c>
      <c r="B154" t="inlineStr">
        <is>
          <t>2.01.03 Compra de Matéria Prima (Papel)</t>
        </is>
      </c>
      <c r="C154" s="30" t="n">
        <v>46235</v>
      </c>
      <c r="D154" t="inlineStr">
        <is>
          <t>Em 2026</t>
        </is>
      </c>
      <c r="E154" s="28" t="n">
        <v>46265</v>
      </c>
      <c r="F154" t="inlineStr">
        <is>
          <t>NF-e</t>
        </is>
      </c>
      <c r="G154" t="inlineStr">
        <is>
          <t>000014515</t>
        </is>
      </c>
      <c r="H154" t="inlineStr">
        <is>
          <t>CMPC Iguacu Embalagens Ltda</t>
        </is>
      </c>
      <c r="I154" t="inlineStr">
        <is>
          <t>11.308.600/0008-04</t>
        </is>
      </c>
      <c r="J154" s="29" t="n">
        <v>151885.87</v>
      </c>
      <c r="K154" s="29">
        <f>(1-ISNUMBER(SEARCH("556",M154)))*(O154*SUMIFS(Premissas!$C$5:$C$44,Premissas!$A$5:$A$44,$A154,Premissas!$B$5:$B$44,$B154)+P154*SUMIFS(Premissas!$D$5:$D$44,Premissas!$A$5:$A$44,$A154,Premissas!$B$5:$B$44,$B154))+R154*SUMIFS(Premissas!$E$5:$E$44,Premissas!$A$5:$A$44,$A154,Premissas!$B$5:$B$44,$B154)+S154*SUMIFS(Premissas!$F$5:$F$44,Premissas!$A$5:$A$44,$A154,Premissas!$B$5:$B$44,$B154)</f>
        <v/>
      </c>
      <c r="L154" s="29">
        <f>J154-K154</f>
        <v/>
      </c>
      <c r="M154" t="inlineStr">
        <is>
          <t>2.101</t>
        </is>
      </c>
      <c r="O154" s="29" t="n">
        <v>4780.91</v>
      </c>
      <c r="P154" s="29" t="n">
        <v>10297.34</v>
      </c>
      <c r="Q154" s="29" t="n">
        <v>0</v>
      </c>
      <c r="R154" s="29" t="n">
        <v>2257.32</v>
      </c>
      <c r="S154" s="29" t="n">
        <v>10397.38</v>
      </c>
      <c r="T154" t="inlineStr">
        <is>
          <t>42260811308600000804550010000145151226296712</t>
        </is>
      </c>
      <c r="U154" t="inlineStr">
        <is>
          <t>Sim</t>
        </is>
      </c>
    </row>
    <row r="155">
      <c r="A155" t="inlineStr">
        <is>
          <t>Insumos e papel</t>
        </is>
      </c>
      <c r="B155" t="inlineStr">
        <is>
          <t>2.01.03 Compra de Matéria Prima (Papel)</t>
        </is>
      </c>
      <c r="C155" s="30" t="n">
        <v>46235</v>
      </c>
      <c r="D155" t="inlineStr">
        <is>
          <t>Em 2026</t>
        </is>
      </c>
      <c r="E155" s="28" t="n">
        <v>46265</v>
      </c>
      <c r="F155" t="inlineStr">
        <is>
          <t>NF-e</t>
        </is>
      </c>
      <c r="G155" t="inlineStr">
        <is>
          <t>000014525</t>
        </is>
      </c>
      <c r="H155" t="inlineStr">
        <is>
          <t>CMPC Iguacu Embalagens Ltda</t>
        </is>
      </c>
      <c r="I155" t="inlineStr">
        <is>
          <t>11.308.600/0008-04</t>
        </is>
      </c>
      <c r="J155" s="29" t="n">
        <v>150844.72</v>
      </c>
      <c r="K155" s="29">
        <f>(1-ISNUMBER(SEARCH("556",M155)))*(O155*SUMIFS(Premissas!$C$5:$C$44,Premissas!$A$5:$A$44,$A155,Premissas!$B$5:$B$44,$B155)+P155*SUMIFS(Premissas!$D$5:$D$44,Premissas!$A$5:$A$44,$A155,Premissas!$B$5:$B$44,$B155))+R155*SUMIFS(Premissas!$E$5:$E$44,Premissas!$A$5:$A$44,$A155,Premissas!$B$5:$B$44,$B155)+S155*SUMIFS(Premissas!$F$5:$F$44,Premissas!$A$5:$A$44,$A155,Premissas!$B$5:$B$44,$B155)</f>
        <v/>
      </c>
      <c r="L155" s="29">
        <f>J155-K155</f>
        <v/>
      </c>
      <c r="M155" t="inlineStr">
        <is>
          <t>2.101</t>
        </is>
      </c>
      <c r="O155" s="29" t="n">
        <v>4748.13</v>
      </c>
      <c r="P155" s="29" t="n">
        <v>10226.76</v>
      </c>
      <c r="Q155" s="29" t="n">
        <v>0</v>
      </c>
      <c r="R155" s="29" t="n">
        <v>2241.85</v>
      </c>
      <c r="S155" s="29" t="n">
        <v>10326.11</v>
      </c>
      <c r="T155" t="inlineStr">
        <is>
          <t>42260811308600000804550010000145251424080119</t>
        </is>
      </c>
      <c r="U155" t="inlineStr">
        <is>
          <t>Sim</t>
        </is>
      </c>
    </row>
    <row r="156">
      <c r="A156" t="inlineStr">
        <is>
          <t>Insumos e papel</t>
        </is>
      </c>
      <c r="B156" t="inlineStr">
        <is>
          <t>2.01.03 Compra de Matéria Prima (Papel)</t>
        </is>
      </c>
      <c r="C156" s="30" t="n">
        <v>46235</v>
      </c>
      <c r="D156" t="inlineStr">
        <is>
          <t>Em 2026</t>
        </is>
      </c>
      <c r="E156" s="28" t="n">
        <v>46265</v>
      </c>
      <c r="F156" t="inlineStr">
        <is>
          <t>NF-e</t>
        </is>
      </c>
      <c r="G156" t="inlineStr">
        <is>
          <t>000014527</t>
        </is>
      </c>
      <c r="H156" t="inlineStr">
        <is>
          <t>CMPC Iguacu Embalagens Ltda</t>
        </is>
      </c>
      <c r="I156" t="inlineStr">
        <is>
          <t>11.308.600/0008-04</t>
        </is>
      </c>
      <c r="J156" s="29" t="n">
        <v>153040.15</v>
      </c>
      <c r="K156" s="29">
        <f>(1-ISNUMBER(SEARCH("556",M156)))*(O156*SUMIFS(Premissas!$C$5:$C$44,Premissas!$A$5:$A$44,$A156,Premissas!$B$5:$B$44,$B156)+P156*SUMIFS(Premissas!$D$5:$D$44,Premissas!$A$5:$A$44,$A156,Premissas!$B$5:$B$44,$B156))+R156*SUMIFS(Premissas!$E$5:$E$44,Premissas!$A$5:$A$44,$A156,Premissas!$B$5:$B$44,$B156)+S156*SUMIFS(Premissas!$F$5:$F$44,Premissas!$A$5:$A$44,$A156,Premissas!$B$5:$B$44,$B156)</f>
        <v/>
      </c>
      <c r="L156" s="29">
        <f>J156-K156</f>
        <v/>
      </c>
      <c r="M156" t="inlineStr">
        <is>
          <t>2.101</t>
        </is>
      </c>
      <c r="O156" s="29" t="n">
        <v>4817.24</v>
      </c>
      <c r="P156" s="29" t="n">
        <v>10375.6</v>
      </c>
      <c r="Q156" s="29" t="n">
        <v>0</v>
      </c>
      <c r="R156" s="29" t="n">
        <v>2274.48</v>
      </c>
      <c r="S156" s="29" t="n">
        <v>10476.4</v>
      </c>
      <c r="T156" t="inlineStr">
        <is>
          <t>42260811308600000804550010000145271478516769</t>
        </is>
      </c>
      <c r="U156" t="inlineStr">
        <is>
          <t>Sim</t>
        </is>
      </c>
    </row>
    <row r="157">
      <c r="A157" t="inlineStr">
        <is>
          <t>Insumos e papel</t>
        </is>
      </c>
      <c r="B157" t="inlineStr">
        <is>
          <t>2.01.03 Compra de Matéria Prima (Papel)</t>
        </is>
      </c>
      <c r="C157" s="30" t="n">
        <v>46235</v>
      </c>
      <c r="D157" t="inlineStr">
        <is>
          <t>Em 2026</t>
        </is>
      </c>
      <c r="E157" s="28" t="n">
        <v>46265</v>
      </c>
      <c r="F157" t="inlineStr">
        <is>
          <t>NF-e</t>
        </is>
      </c>
      <c r="G157" t="inlineStr">
        <is>
          <t>000014534</t>
        </is>
      </c>
      <c r="H157" t="inlineStr">
        <is>
          <t>CMPC Iguacu Embalagens Ltda</t>
        </is>
      </c>
      <c r="I157" t="inlineStr">
        <is>
          <t>11.308.600/0008-04</t>
        </is>
      </c>
      <c r="J157" s="29" t="n">
        <v>152264.98</v>
      </c>
      <c r="K157" s="29">
        <f>(1-ISNUMBER(SEARCH("556",M157)))*(O157*SUMIFS(Premissas!$C$5:$C$44,Premissas!$A$5:$A$44,$A157,Premissas!$B$5:$B$44,$B157)+P157*SUMIFS(Premissas!$D$5:$D$44,Premissas!$A$5:$A$44,$A157,Premissas!$B$5:$B$44,$B157))+R157*SUMIFS(Premissas!$E$5:$E$44,Premissas!$A$5:$A$44,$A157,Premissas!$B$5:$B$44,$B157)+S157*SUMIFS(Premissas!$F$5:$F$44,Premissas!$A$5:$A$44,$A157,Premissas!$B$5:$B$44,$B157)</f>
        <v/>
      </c>
      <c r="L157" s="29">
        <f>J157-K157</f>
        <v/>
      </c>
      <c r="M157" t="inlineStr">
        <is>
          <t>2.101</t>
        </is>
      </c>
      <c r="O157" s="29" t="n">
        <v>4792.85</v>
      </c>
      <c r="P157" s="29" t="n">
        <v>10323.05</v>
      </c>
      <c r="Q157" s="29" t="n">
        <v>0</v>
      </c>
      <c r="R157" s="29" t="n">
        <v>2262.96</v>
      </c>
      <c r="S157" s="29" t="n">
        <v>10423.33</v>
      </c>
      <c r="T157" t="inlineStr">
        <is>
          <t>42260811308600000804550010000145341582767513</t>
        </is>
      </c>
      <c r="U157" t="inlineStr">
        <is>
          <t>Sim</t>
        </is>
      </c>
    </row>
    <row r="158">
      <c r="A158" t="inlineStr">
        <is>
          <t>Insumos e papel</t>
        </is>
      </c>
      <c r="B158" t="inlineStr">
        <is>
          <t>2.01.03 Compra de Matéria Prima (Papel)</t>
        </is>
      </c>
      <c r="C158" s="30" t="n">
        <v>46235</v>
      </c>
      <c r="D158" t="inlineStr">
        <is>
          <t>Em 2026</t>
        </is>
      </c>
      <c r="E158" s="28" t="n">
        <v>46265</v>
      </c>
      <c r="F158" t="inlineStr">
        <is>
          <t>NF-e</t>
        </is>
      </c>
      <c r="G158" t="inlineStr">
        <is>
          <t>000014536</t>
        </is>
      </c>
      <c r="H158" t="inlineStr">
        <is>
          <t>CMPC Iguacu Embalagens Ltda</t>
        </is>
      </c>
      <c r="I158" t="inlineStr">
        <is>
          <t>11.308.600/0008-04</t>
        </is>
      </c>
      <c r="J158" s="29" t="n">
        <v>152989.24</v>
      </c>
      <c r="K158" s="29">
        <f>(1-ISNUMBER(SEARCH("556",M158)))*(O158*SUMIFS(Premissas!$C$5:$C$44,Premissas!$A$5:$A$44,$A158,Premissas!$B$5:$B$44,$B158)+P158*SUMIFS(Premissas!$D$5:$D$44,Premissas!$A$5:$A$44,$A158,Premissas!$B$5:$B$44,$B158))+R158*SUMIFS(Premissas!$E$5:$E$44,Premissas!$A$5:$A$44,$A158,Premissas!$B$5:$B$44,$B158)+S158*SUMIFS(Premissas!$F$5:$F$44,Premissas!$A$5:$A$44,$A158,Premissas!$B$5:$B$44,$B158)</f>
        <v/>
      </c>
      <c r="L158" s="29">
        <f>J158-K158</f>
        <v/>
      </c>
      <c r="M158" t="inlineStr">
        <is>
          <t>2.101</t>
        </is>
      </c>
      <c r="O158" s="29" t="n">
        <v>4815.64</v>
      </c>
      <c r="P158" s="29" t="n">
        <v>10372.15</v>
      </c>
      <c r="Q158" s="29" t="n">
        <v>0</v>
      </c>
      <c r="R158" s="29" t="n">
        <v>2273.73</v>
      </c>
      <c r="S158" s="29" t="n">
        <v>10472.92</v>
      </c>
      <c r="T158" t="inlineStr">
        <is>
          <t>42260811308600000804550010000145361605441621</t>
        </is>
      </c>
      <c r="U158" t="inlineStr">
        <is>
          <t>Sim</t>
        </is>
      </c>
    </row>
    <row r="159">
      <c r="A159" t="inlineStr">
        <is>
          <t>Insumos e papel</t>
        </is>
      </c>
      <c r="B159" t="inlineStr">
        <is>
          <t>2.01.03 Compra de Matéria Prima (Papel)</t>
        </is>
      </c>
      <c r="C159" s="30" t="n">
        <v>46235</v>
      </c>
      <c r="D159" t="inlineStr">
        <is>
          <t>Em 2026</t>
        </is>
      </c>
      <c r="E159" s="28" t="n">
        <v>46245</v>
      </c>
      <c r="F159" t="inlineStr">
        <is>
          <t>NF-e</t>
        </is>
      </c>
      <c r="G159" t="inlineStr">
        <is>
          <t>000100663</t>
        </is>
      </c>
      <c r="H159" t="inlineStr">
        <is>
          <t>COCELPA CIA DE CEL. E PAPEL DO PARANA SA</t>
        </is>
      </c>
      <c r="I159" t="inlineStr">
        <is>
          <t>76.487.651/0001-10</t>
        </is>
      </c>
      <c r="J159" s="29" t="n">
        <v>100744.12</v>
      </c>
      <c r="K159" s="29">
        <f>(1-ISNUMBER(SEARCH("556",M159)))*(O159*SUMIFS(Premissas!$C$5:$C$44,Premissas!$A$5:$A$44,$A159,Premissas!$B$5:$B$44,$B159)+P159*SUMIFS(Premissas!$D$5:$D$44,Premissas!$A$5:$A$44,$A159,Premissas!$B$5:$B$44,$B159))+R159*SUMIFS(Premissas!$E$5:$E$44,Premissas!$A$5:$A$44,$A159,Premissas!$B$5:$B$44,$B159)+S159*SUMIFS(Premissas!$F$5:$F$44,Premissas!$A$5:$A$44,$A159,Premissas!$B$5:$B$44,$B159)</f>
        <v/>
      </c>
      <c r="L159" s="29">
        <f>J159-K159</f>
        <v/>
      </c>
      <c r="M159" t="inlineStr">
        <is>
          <t>2.101</t>
        </is>
      </c>
      <c r="O159" s="29" t="n">
        <v>3171.12</v>
      </c>
      <c r="P159" s="29" t="n">
        <v>6830.11</v>
      </c>
      <c r="Q159" s="29" t="n">
        <v>0</v>
      </c>
      <c r="R159" s="29" t="n">
        <v>1497.26</v>
      </c>
      <c r="S159" s="29" t="n">
        <v>6896.46</v>
      </c>
      <c r="T159" t="inlineStr">
        <is>
          <t>41260876487651000110550020001006631506113643</t>
        </is>
      </c>
      <c r="U159" t="inlineStr">
        <is>
          <t>Sim</t>
        </is>
      </c>
    </row>
    <row r="160">
      <c r="A160" t="inlineStr">
        <is>
          <t>Insumos e papel</t>
        </is>
      </c>
      <c r="B160" t="inlineStr">
        <is>
          <t>2.01.03 Compra de Matéria Prima (Papel)</t>
        </is>
      </c>
      <c r="C160" s="30" t="n">
        <v>46235</v>
      </c>
      <c r="D160" t="inlineStr">
        <is>
          <t>Em 2026</t>
        </is>
      </c>
      <c r="E160" s="28" t="n">
        <v>46245</v>
      </c>
      <c r="F160" t="inlineStr">
        <is>
          <t>NF-e</t>
        </is>
      </c>
      <c r="G160" t="inlineStr">
        <is>
          <t>000100665</t>
        </is>
      </c>
      <c r="H160" t="inlineStr">
        <is>
          <t>COCELPA CIA DE CEL. E PAPEL DO PARANA SA</t>
        </is>
      </c>
      <c r="I160" t="inlineStr">
        <is>
          <t>76.487.651/0001-10</t>
        </is>
      </c>
      <c r="J160" s="29" t="n">
        <v>100491.16</v>
      </c>
      <c r="K160" s="29">
        <f>(1-ISNUMBER(SEARCH("556",M160)))*(O160*SUMIFS(Premissas!$C$5:$C$44,Premissas!$A$5:$A$44,$A160,Premissas!$B$5:$B$44,$B160)+P160*SUMIFS(Premissas!$D$5:$D$44,Premissas!$A$5:$A$44,$A160,Premissas!$B$5:$B$44,$B160))+R160*SUMIFS(Premissas!$E$5:$E$44,Premissas!$A$5:$A$44,$A160,Premissas!$B$5:$B$44,$B160)+S160*SUMIFS(Premissas!$F$5:$F$44,Premissas!$A$5:$A$44,$A160,Premissas!$B$5:$B$44,$B160)</f>
        <v/>
      </c>
      <c r="L160" s="29">
        <f>J160-K160</f>
        <v/>
      </c>
      <c r="M160" t="inlineStr">
        <is>
          <t>2.101</t>
        </is>
      </c>
      <c r="O160" s="29" t="n">
        <v>3163.16</v>
      </c>
      <c r="P160" s="29" t="n">
        <v>6812.96</v>
      </c>
      <c r="Q160" s="29" t="n">
        <v>0</v>
      </c>
      <c r="R160" s="29" t="n">
        <v>1493.5</v>
      </c>
      <c r="S160" s="29" t="n">
        <v>6879.14</v>
      </c>
      <c r="T160" t="inlineStr">
        <is>
          <t>41260876487651000110550020001006651003988482</t>
        </is>
      </c>
      <c r="U160" t="inlineStr">
        <is>
          <t>Sim</t>
        </is>
      </c>
    </row>
    <row r="161">
      <c r="A161" t="inlineStr">
        <is>
          <t>Insumos e papel</t>
        </is>
      </c>
      <c r="B161" t="inlineStr">
        <is>
          <t>2.01.03 Compra de Matéria Prima (Papel)</t>
        </is>
      </c>
      <c r="C161" s="30" t="n">
        <v>46235</v>
      </c>
      <c r="D161" t="inlineStr">
        <is>
          <t>Em 2026</t>
        </is>
      </c>
      <c r="E161" s="28" t="n">
        <v>46262</v>
      </c>
      <c r="F161" t="inlineStr">
        <is>
          <t>NF-e</t>
        </is>
      </c>
      <c r="G161" t="inlineStr">
        <is>
          <t>000100983</t>
        </is>
      </c>
      <c r="H161" t="inlineStr">
        <is>
          <t>COCELPA CIA DE CEL. E PAPEL DO PARANA SA</t>
        </is>
      </c>
      <c r="I161" t="inlineStr">
        <is>
          <t>76.487.651/0001-10</t>
        </is>
      </c>
      <c r="J161" s="29" t="n">
        <v>98113.31</v>
      </c>
      <c r="K161" s="29">
        <f>(1-ISNUMBER(SEARCH("556",M161)))*(O161*SUMIFS(Premissas!$C$5:$C$44,Premissas!$A$5:$A$44,$A161,Premissas!$B$5:$B$44,$B161)+P161*SUMIFS(Premissas!$D$5:$D$44,Premissas!$A$5:$A$44,$A161,Premissas!$B$5:$B$44,$B161))+R161*SUMIFS(Premissas!$E$5:$E$44,Premissas!$A$5:$A$44,$A161,Premissas!$B$5:$B$44,$B161)+S161*SUMIFS(Premissas!$F$5:$F$44,Premissas!$A$5:$A$44,$A161,Premissas!$B$5:$B$44,$B161)</f>
        <v/>
      </c>
      <c r="L161" s="29">
        <f>J161-K161</f>
        <v/>
      </c>
      <c r="M161" t="inlineStr">
        <is>
          <t>2.101</t>
        </is>
      </c>
      <c r="O161" s="29" t="n">
        <v>3088.31</v>
      </c>
      <c r="P161" s="29" t="n">
        <v>6651.75</v>
      </c>
      <c r="Q161" s="29" t="n">
        <v>0</v>
      </c>
      <c r="R161" s="29" t="n">
        <v>1458.16</v>
      </c>
      <c r="S161" s="29" t="n">
        <v>6716.37</v>
      </c>
      <c r="T161" t="inlineStr">
        <is>
          <t>41260876487651000110550020001009831900259286</t>
        </is>
      </c>
      <c r="U161" t="inlineStr">
        <is>
          <t>Sim</t>
        </is>
      </c>
    </row>
    <row r="162">
      <c r="A162" t="inlineStr">
        <is>
          <t>Insumos e papel</t>
        </is>
      </c>
      <c r="B162" t="inlineStr">
        <is>
          <t>2.01.03 Compra de Matéria Prima (Papel)</t>
        </is>
      </c>
      <c r="C162" s="30" t="n">
        <v>46235</v>
      </c>
      <c r="D162" t="inlineStr">
        <is>
          <t>Em 2026</t>
        </is>
      </c>
      <c r="E162" s="28" t="n">
        <v>46262</v>
      </c>
      <c r="F162" t="inlineStr">
        <is>
          <t>NF-e</t>
        </is>
      </c>
      <c r="G162" t="inlineStr">
        <is>
          <t>000100985</t>
        </is>
      </c>
      <c r="H162" t="inlineStr">
        <is>
          <t>COCELPA CIA DE CEL. E PAPEL DO PARANA SA</t>
        </is>
      </c>
      <c r="I162" t="inlineStr">
        <is>
          <t>76.487.651/0001-10</t>
        </is>
      </c>
      <c r="J162" s="29" t="n">
        <v>99443.17</v>
      </c>
      <c r="K162" s="29">
        <f>(1-ISNUMBER(SEARCH("556",M162)))*(O162*SUMIFS(Premissas!$C$5:$C$44,Premissas!$A$5:$A$44,$A162,Premissas!$B$5:$B$44,$B162)+P162*SUMIFS(Premissas!$D$5:$D$44,Premissas!$A$5:$A$44,$A162,Premissas!$B$5:$B$44,$B162))+R162*SUMIFS(Premissas!$E$5:$E$44,Premissas!$A$5:$A$44,$A162,Premissas!$B$5:$B$44,$B162)+S162*SUMIFS(Premissas!$F$5:$F$44,Premissas!$A$5:$A$44,$A162,Premissas!$B$5:$B$44,$B162)</f>
        <v/>
      </c>
      <c r="L162" s="29">
        <f>J162-K162</f>
        <v/>
      </c>
      <c r="M162" t="inlineStr">
        <is>
          <t>2.101</t>
        </is>
      </c>
      <c r="O162" s="29" t="n">
        <v>3130.17</v>
      </c>
      <c r="P162" s="29" t="n">
        <v>6741.91</v>
      </c>
      <c r="Q162" s="29" t="n">
        <v>0</v>
      </c>
      <c r="R162" s="29" t="n">
        <v>1477.92</v>
      </c>
      <c r="S162" s="29" t="n">
        <v>6807.4</v>
      </c>
      <c r="T162" t="inlineStr">
        <is>
          <t>41260876487651000110550020001009851019705174</t>
        </is>
      </c>
      <c r="U162" t="inlineStr">
        <is>
          <t>Sim</t>
        </is>
      </c>
    </row>
    <row r="163">
      <c r="A163" t="inlineStr">
        <is>
          <t>Insumos e papel</t>
        </is>
      </c>
      <c r="B163" t="inlineStr">
        <is>
          <t>2.01.03 Compra de Matéria Prima (Papel)</t>
        </is>
      </c>
      <c r="C163" s="30" t="n">
        <v>46235</v>
      </c>
      <c r="D163" t="inlineStr">
        <is>
          <t>Em 2026</t>
        </is>
      </c>
      <c r="E163" s="28" t="n">
        <v>46262</v>
      </c>
      <c r="F163" t="inlineStr">
        <is>
          <t>NF-e</t>
        </is>
      </c>
      <c r="G163" t="inlineStr">
        <is>
          <t>000100987</t>
        </is>
      </c>
      <c r="H163" t="inlineStr">
        <is>
          <t>COCELPA CIA DE CEL. E PAPEL DO PARANA SA</t>
        </is>
      </c>
      <c r="I163" t="inlineStr">
        <is>
          <t>76.487.651/0001-10</t>
        </is>
      </c>
      <c r="J163" s="29" t="n">
        <v>100989.86</v>
      </c>
      <c r="K163" s="29">
        <f>(1-ISNUMBER(SEARCH("556",M163)))*(O163*SUMIFS(Premissas!$C$5:$C$44,Premissas!$A$5:$A$44,$A163,Premissas!$B$5:$B$44,$B163)+P163*SUMIFS(Premissas!$D$5:$D$44,Premissas!$A$5:$A$44,$A163,Premissas!$B$5:$B$44,$B163))+R163*SUMIFS(Premissas!$E$5:$E$44,Premissas!$A$5:$A$44,$A163,Premissas!$B$5:$B$44,$B163)+S163*SUMIFS(Premissas!$F$5:$F$44,Premissas!$A$5:$A$44,$A163,Premissas!$B$5:$B$44,$B163)</f>
        <v/>
      </c>
      <c r="L163" s="29">
        <f>J163-K163</f>
        <v/>
      </c>
      <c r="M163" t="inlineStr">
        <is>
          <t>2.101</t>
        </is>
      </c>
      <c r="O163" s="29" t="n">
        <v>3178.86</v>
      </c>
      <c r="P163" s="29" t="n">
        <v>6846.77</v>
      </c>
      <c r="Q163" s="29" t="n">
        <v>0</v>
      </c>
      <c r="R163" s="29" t="n">
        <v>1500.91</v>
      </c>
      <c r="S163" s="29" t="n">
        <v>6913.28</v>
      </c>
      <c r="T163" t="inlineStr">
        <is>
          <t>41260876487651000110550020001009871036754174</t>
        </is>
      </c>
      <c r="U163" t="inlineStr">
        <is>
          <t>Sim</t>
        </is>
      </c>
    </row>
    <row r="164">
      <c r="A164" t="inlineStr">
        <is>
          <t>Insumos e papel</t>
        </is>
      </c>
      <c r="B164" t="inlineStr">
        <is>
          <t>2.01.03 Compra de Matéria Prima (Papel)</t>
        </is>
      </c>
      <c r="C164" s="30" t="n">
        <v>46235</v>
      </c>
      <c r="D164" t="inlineStr">
        <is>
          <t>Em 2026</t>
        </is>
      </c>
      <c r="E164" s="28" t="n">
        <v>46262</v>
      </c>
      <c r="F164" t="inlineStr">
        <is>
          <t>NF-e</t>
        </is>
      </c>
      <c r="G164" t="inlineStr">
        <is>
          <t>000100989</t>
        </is>
      </c>
      <c r="H164" t="inlineStr">
        <is>
          <t>COCELPA CIA DE CEL. E PAPEL DO PARANA SA</t>
        </is>
      </c>
      <c r="I164" t="inlineStr">
        <is>
          <t>76.487.651/0001-10</t>
        </is>
      </c>
      <c r="J164" s="29" t="n">
        <v>99435.95</v>
      </c>
      <c r="K164" s="29">
        <f>(1-ISNUMBER(SEARCH("556",M164)))*(O164*SUMIFS(Premissas!$C$5:$C$44,Premissas!$A$5:$A$44,$A164,Premissas!$B$5:$B$44,$B164)+P164*SUMIFS(Premissas!$D$5:$D$44,Premissas!$A$5:$A$44,$A164,Premissas!$B$5:$B$44,$B164))+R164*SUMIFS(Premissas!$E$5:$E$44,Premissas!$A$5:$A$44,$A164,Premissas!$B$5:$B$44,$B164)+S164*SUMIFS(Premissas!$F$5:$F$44,Premissas!$A$5:$A$44,$A164,Premissas!$B$5:$B$44,$B164)</f>
        <v/>
      </c>
      <c r="L164" s="29">
        <f>J164-K164</f>
        <v/>
      </c>
      <c r="M164" t="inlineStr">
        <is>
          <t>2.101</t>
        </is>
      </c>
      <c r="O164" s="29" t="n">
        <v>3129.95</v>
      </c>
      <c r="P164" s="29" t="n">
        <v>6741.42</v>
      </c>
      <c r="Q164" s="29" t="n">
        <v>0</v>
      </c>
      <c r="R164" s="29" t="n">
        <v>1477.82</v>
      </c>
      <c r="S164" s="29" t="n">
        <v>6806.91</v>
      </c>
      <c r="T164" t="inlineStr">
        <is>
          <t>41260876487651000110550020001009891948656815</t>
        </is>
      </c>
      <c r="U164" t="inlineStr">
        <is>
          <t>Sim</t>
        </is>
      </c>
    </row>
    <row r="165">
      <c r="A165" t="inlineStr">
        <is>
          <t>Insumos e papel</t>
        </is>
      </c>
      <c r="B165" t="inlineStr">
        <is>
          <t>2.01.03 Compra de Matéria Prima (Papel)</t>
        </is>
      </c>
      <c r="C165" s="30" t="n">
        <v>46235</v>
      </c>
      <c r="D165" t="inlineStr">
        <is>
          <t>Em 2026</t>
        </is>
      </c>
      <c r="E165" s="28" t="n">
        <v>46265</v>
      </c>
      <c r="F165" t="inlineStr">
        <is>
          <t>NF-e</t>
        </is>
      </c>
      <c r="G165" t="inlineStr">
        <is>
          <t>000101003</t>
        </is>
      </c>
      <c r="H165" t="inlineStr">
        <is>
          <t>COCELPA CIA DE CEL. E PAPEL DO PARANA SA</t>
        </is>
      </c>
      <c r="I165" t="inlineStr">
        <is>
          <t>76.487.651/0001-10</t>
        </is>
      </c>
      <c r="J165" s="29" t="n">
        <v>94593.52</v>
      </c>
      <c r="K165" s="29">
        <f>(1-ISNUMBER(SEARCH("556",M165)))*(O165*SUMIFS(Premissas!$C$5:$C$44,Premissas!$A$5:$A$44,$A165,Premissas!$B$5:$B$44,$B165)+P165*SUMIFS(Premissas!$D$5:$D$44,Premissas!$A$5:$A$44,$A165,Premissas!$B$5:$B$44,$B165))+R165*SUMIFS(Premissas!$E$5:$E$44,Premissas!$A$5:$A$44,$A165,Premissas!$B$5:$B$44,$B165)+S165*SUMIFS(Premissas!$F$5:$F$44,Premissas!$A$5:$A$44,$A165,Premissas!$B$5:$B$44,$B165)</f>
        <v/>
      </c>
      <c r="L165" s="29">
        <f>J165-K165</f>
        <v/>
      </c>
      <c r="M165" t="inlineStr">
        <is>
          <t>2.101</t>
        </is>
      </c>
      <c r="O165" s="29" t="n">
        <v>2977.52</v>
      </c>
      <c r="P165" s="29" t="n">
        <v>6413.12</v>
      </c>
      <c r="Q165" s="29" t="n">
        <v>0</v>
      </c>
      <c r="R165" s="29" t="n">
        <v>1405.85</v>
      </c>
      <c r="S165" s="29" t="n">
        <v>6475.42</v>
      </c>
      <c r="T165" t="inlineStr">
        <is>
          <t>41260876487651000110550020001010031187201528</t>
        </is>
      </c>
      <c r="U165" t="inlineStr">
        <is>
          <t>Sim</t>
        </is>
      </c>
    </row>
    <row r="166">
      <c r="A166" t="inlineStr">
        <is>
          <t>Insumos e papel</t>
        </is>
      </c>
      <c r="B166" t="inlineStr">
        <is>
          <t>2.01.03 Compra de Matéria Prima (Papel)</t>
        </is>
      </c>
      <c r="C166" s="30" t="n">
        <v>46235</v>
      </c>
      <c r="D166" t="inlineStr">
        <is>
          <t>Em 2026</t>
        </is>
      </c>
      <c r="E166" s="28" t="n">
        <v>46265</v>
      </c>
      <c r="F166" t="inlineStr">
        <is>
          <t>NF-e</t>
        </is>
      </c>
      <c r="G166" t="inlineStr">
        <is>
          <t>000101005</t>
        </is>
      </c>
      <c r="H166" t="inlineStr">
        <is>
          <t>COCELPA CIA DE CEL. E PAPEL DO PARANA SA</t>
        </is>
      </c>
      <c r="I166" t="inlineStr">
        <is>
          <t>76.487.651/0001-10</t>
        </is>
      </c>
      <c r="J166" s="29" t="n">
        <v>94094.82000000001</v>
      </c>
      <c r="K166" s="29">
        <f>(1-ISNUMBER(SEARCH("556",M166)))*(O166*SUMIFS(Premissas!$C$5:$C$44,Premissas!$A$5:$A$44,$A166,Premissas!$B$5:$B$44,$B166)+P166*SUMIFS(Premissas!$D$5:$D$44,Premissas!$A$5:$A$44,$A166,Premissas!$B$5:$B$44,$B166))+R166*SUMIFS(Premissas!$E$5:$E$44,Premissas!$A$5:$A$44,$A166,Premissas!$B$5:$B$44,$B166)+S166*SUMIFS(Premissas!$F$5:$F$44,Premissas!$A$5:$A$44,$A166,Premissas!$B$5:$B$44,$B166)</f>
        <v/>
      </c>
      <c r="L166" s="29">
        <f>J166-K166</f>
        <v/>
      </c>
      <c r="M166" t="inlineStr">
        <is>
          <t>2.101</t>
        </is>
      </c>
      <c r="O166" s="29" t="n">
        <v>2961.82</v>
      </c>
      <c r="P166" s="29" t="n">
        <v>6379.31</v>
      </c>
      <c r="Q166" s="29" t="n">
        <v>0</v>
      </c>
      <c r="R166" s="29" t="n">
        <v>1398.44</v>
      </c>
      <c r="S166" s="29" t="n">
        <v>6441.28</v>
      </c>
      <c r="T166" t="inlineStr">
        <is>
          <t>41260876487651000110550020001010051892489027</t>
        </is>
      </c>
      <c r="U166" t="inlineStr">
        <is>
          <t>Sim</t>
        </is>
      </c>
    </row>
    <row r="167">
      <c r="A167" t="inlineStr">
        <is>
          <t>Insumos e papel</t>
        </is>
      </c>
      <c r="B167" t="inlineStr">
        <is>
          <t>2.01.03 Compra de Matéria Prima (Papel)</t>
        </is>
      </c>
      <c r="C167" s="30" t="n">
        <v>46235</v>
      </c>
      <c r="D167" t="inlineStr">
        <is>
          <t>Em 2026</t>
        </is>
      </c>
      <c r="E167" s="28" t="n">
        <v>46259</v>
      </c>
      <c r="F167" t="inlineStr">
        <is>
          <t>NF-e</t>
        </is>
      </c>
      <c r="G167" t="inlineStr">
        <is>
          <t>000000122</t>
        </is>
      </c>
      <c r="H167" t="inlineStr">
        <is>
          <t>COMERCIAL CASA NOVA MATERIAL DE CONSTRUCAO PB LTDA</t>
        </is>
      </c>
      <c r="I167" t="inlineStr">
        <is>
          <t>44.336.205/0001-18</t>
        </is>
      </c>
      <c r="J167" s="29" t="n">
        <v>6600</v>
      </c>
      <c r="K167" s="29">
        <f>(1-ISNUMBER(SEARCH("556",M167)))*(O167*SUMIFS(Premissas!$C$5:$C$44,Premissas!$A$5:$A$44,$A167,Premissas!$B$5:$B$44,$B167)+P167*SUMIFS(Premissas!$D$5:$D$44,Premissas!$A$5:$A$44,$A167,Premissas!$B$5:$B$44,$B167))+R167*SUMIFS(Premissas!$E$5:$E$44,Premissas!$A$5:$A$44,$A167,Premissas!$B$5:$B$44,$B167)+S167*SUMIFS(Premissas!$F$5:$F$44,Premissas!$A$5:$A$44,$A167,Premissas!$B$5:$B$44,$B167)</f>
        <v/>
      </c>
      <c r="L167" s="29">
        <f>J167-K167</f>
        <v/>
      </c>
      <c r="M167" t="inlineStr">
        <is>
          <t>1.556</t>
        </is>
      </c>
      <c r="O167" s="29" t="n">
        <v>0</v>
      </c>
      <c r="P167" s="29" t="n">
        <v>0</v>
      </c>
      <c r="Q167" s="29" t="n">
        <v>0</v>
      </c>
      <c r="R167" s="29" t="n">
        <v>0</v>
      </c>
      <c r="S167" s="29" t="n">
        <v>0</v>
      </c>
      <c r="T167" t="inlineStr">
        <is>
          <t>25260844336205000118550010000001221195017311</t>
        </is>
      </c>
      <c r="U167" t="inlineStr">
        <is>
          <t>Sim</t>
        </is>
      </c>
    </row>
    <row r="168">
      <c r="A168" t="inlineStr">
        <is>
          <t>Insumos e papel</t>
        </is>
      </c>
      <c r="B168" t="inlineStr">
        <is>
          <t>2.01.03 Compra de Matéria Prima (Papel)</t>
        </is>
      </c>
      <c r="C168" s="30" t="n">
        <v>46235</v>
      </c>
      <c r="D168" t="inlineStr">
        <is>
          <t>Em 2026</t>
        </is>
      </c>
      <c r="E168" s="28" t="n">
        <v>46260</v>
      </c>
      <c r="F168" t="inlineStr">
        <is>
          <t>NF-e</t>
        </is>
      </c>
      <c r="G168" t="inlineStr">
        <is>
          <t>000018109</t>
        </is>
      </c>
      <c r="H168" t="inlineStr">
        <is>
          <t>NOVA CONPEL COMPANHIA NORDESTINA DE PAPEL LTDA</t>
        </is>
      </c>
      <c r="I168" t="inlineStr">
        <is>
          <t>55.330.530/0001-90</t>
        </is>
      </c>
      <c r="J168" s="29" t="n">
        <v>10852.8</v>
      </c>
      <c r="K168" s="29">
        <f>(1-ISNUMBER(SEARCH("556",M168)))*(O168*SUMIFS(Premissas!$C$5:$C$44,Premissas!$A$5:$A$44,$A168,Premissas!$B$5:$B$44,$B168)+P168*SUMIFS(Premissas!$D$5:$D$44,Premissas!$A$5:$A$44,$A168,Premissas!$B$5:$B$44,$B168))+R168*SUMIFS(Premissas!$E$5:$E$44,Premissas!$A$5:$A$44,$A168,Premissas!$B$5:$B$44,$B168)+S168*SUMIFS(Premissas!$F$5:$F$44,Premissas!$A$5:$A$44,$A168,Premissas!$B$5:$B$44,$B168)</f>
        <v/>
      </c>
      <c r="L168" s="29">
        <f>J168-K168</f>
        <v/>
      </c>
      <c r="M168" t="inlineStr">
        <is>
          <t>1.101</t>
        </is>
      </c>
      <c r="O168" s="29" t="n">
        <v>0</v>
      </c>
      <c r="P168" s="29" t="n">
        <v>2170.56</v>
      </c>
      <c r="Q168" s="29" t="n">
        <v>0</v>
      </c>
      <c r="R168" s="29" t="n">
        <v>143.26</v>
      </c>
      <c r="S168" s="29" t="n">
        <v>659.85</v>
      </c>
      <c r="T168" t="inlineStr">
        <is>
          <t>25260855330530000190550010000181091753407614</t>
        </is>
      </c>
      <c r="U168" t="inlineStr">
        <is>
          <t>Sim</t>
        </is>
      </c>
    </row>
    <row r="169">
      <c r="A169" t="inlineStr">
        <is>
          <t>Insumos e papel</t>
        </is>
      </c>
      <c r="B169" t="inlineStr">
        <is>
          <t>2.01.03 Compra de Matéria Prima (Papel)</t>
        </is>
      </c>
      <c r="C169" s="30" t="n">
        <v>46266</v>
      </c>
      <c r="D169" t="inlineStr">
        <is>
          <t>Em 2026</t>
        </is>
      </c>
      <c r="E169" s="28" t="n">
        <v>46282</v>
      </c>
      <c r="F169" t="inlineStr">
        <is>
          <t>NF-e</t>
        </is>
      </c>
      <c r="G169" t="inlineStr">
        <is>
          <t>000018822</t>
        </is>
      </c>
      <c r="H169" t="inlineStr">
        <is>
          <t>NOVA CONPEL COMPANHIA NORDESTINA DE PAPEL LTDA</t>
        </is>
      </c>
      <c r="I169" t="inlineStr">
        <is>
          <t>55.330.530/0001-90</t>
        </is>
      </c>
      <c r="J169" s="29" t="n">
        <v>37580.89</v>
      </c>
      <c r="K169" s="29">
        <f>(1-ISNUMBER(SEARCH("556",M169)))*(O169*SUMIFS(Premissas!$C$5:$C$44,Premissas!$A$5:$A$44,$A169,Premissas!$B$5:$B$44,$B169)+P169*SUMIFS(Premissas!$D$5:$D$44,Premissas!$A$5:$A$44,$A169,Premissas!$B$5:$B$44,$B169))+R169*SUMIFS(Premissas!$E$5:$E$44,Premissas!$A$5:$A$44,$A169,Premissas!$B$5:$B$44,$B169)+S169*SUMIFS(Premissas!$F$5:$F$44,Premissas!$A$5:$A$44,$A169,Premissas!$B$5:$B$44,$B169)</f>
        <v/>
      </c>
      <c r="L169" s="29">
        <f>J169-K169</f>
        <v/>
      </c>
      <c r="M169" t="inlineStr">
        <is>
          <t>1.101</t>
        </is>
      </c>
      <c r="O169" s="29" t="n">
        <v>1182.93</v>
      </c>
      <c r="P169" s="29" t="n">
        <v>7279.59</v>
      </c>
      <c r="Q169" s="29" t="n">
        <v>0</v>
      </c>
      <c r="R169" s="29" t="n">
        <v>480.45</v>
      </c>
      <c r="S169" s="29" t="n">
        <v>2213</v>
      </c>
      <c r="T169" t="inlineStr">
        <is>
          <t>25260955330530000190550010000188221686562661</t>
        </is>
      </c>
      <c r="U169" t="inlineStr">
        <is>
          <t>Sim</t>
        </is>
      </c>
    </row>
    <row r="170">
      <c r="A170" t="inlineStr">
        <is>
          <t>Insumos e papel</t>
        </is>
      </c>
      <c r="B170" t="inlineStr">
        <is>
          <t>2.01.03 Compra de Matéria Prima (Papel)</t>
        </is>
      </c>
      <c r="C170" s="30" t="n">
        <v>46266</v>
      </c>
      <c r="D170" t="inlineStr">
        <is>
          <t>Em 2026</t>
        </is>
      </c>
      <c r="E170" s="28" t="n">
        <v>46282</v>
      </c>
      <c r="F170" t="inlineStr">
        <is>
          <t>NF-e</t>
        </is>
      </c>
      <c r="G170" t="inlineStr">
        <is>
          <t>000018823</t>
        </is>
      </c>
      <c r="H170" t="inlineStr">
        <is>
          <t>NOVA CONPEL COMPANHIA NORDESTINA DE PAPEL LTDA</t>
        </is>
      </c>
      <c r="I170" t="inlineStr">
        <is>
          <t>55.330.530/0001-90</t>
        </is>
      </c>
      <c r="J170" s="29" t="n">
        <v>37584.56</v>
      </c>
      <c r="K170" s="29">
        <f>(1-ISNUMBER(SEARCH("556",M170)))*(O170*SUMIFS(Premissas!$C$5:$C$44,Premissas!$A$5:$A$44,$A170,Premissas!$B$5:$B$44,$B170)+P170*SUMIFS(Premissas!$D$5:$D$44,Premissas!$A$5:$A$44,$A170,Premissas!$B$5:$B$44,$B170))+R170*SUMIFS(Premissas!$E$5:$E$44,Premissas!$A$5:$A$44,$A170,Premissas!$B$5:$B$44,$B170)+S170*SUMIFS(Premissas!$F$5:$F$44,Premissas!$A$5:$A$44,$A170,Premissas!$B$5:$B$44,$B170)</f>
        <v/>
      </c>
      <c r="L170" s="29">
        <f>J170-K170</f>
        <v/>
      </c>
      <c r="M170" t="inlineStr">
        <is>
          <t>1.101</t>
        </is>
      </c>
      <c r="O170" s="29" t="n">
        <v>1183.04</v>
      </c>
      <c r="P170" s="29" t="n">
        <v>7280.3</v>
      </c>
      <c r="Q170" s="29" t="n">
        <v>0</v>
      </c>
      <c r="R170" s="29" t="n">
        <v>480.5</v>
      </c>
      <c r="S170" s="29" t="n">
        <v>2213.21</v>
      </c>
      <c r="T170" t="inlineStr">
        <is>
          <t>25260955330530000190550010000188231440190749</t>
        </is>
      </c>
      <c r="U170" t="inlineStr">
        <is>
          <t>Sim</t>
        </is>
      </c>
    </row>
    <row r="171">
      <c r="A171" t="inlineStr">
        <is>
          <t>Insumos e papel</t>
        </is>
      </c>
      <c r="B171" t="inlineStr">
        <is>
          <t>2.01.03 Compra de Matéria Prima (Papel)</t>
        </is>
      </c>
      <c r="C171" s="30" t="n">
        <v>46266</v>
      </c>
      <c r="D171" t="inlineStr">
        <is>
          <t>Em 2026</t>
        </is>
      </c>
      <c r="E171" s="28" t="n">
        <v>46282</v>
      </c>
      <c r="F171" t="inlineStr">
        <is>
          <t>NF-e</t>
        </is>
      </c>
      <c r="G171" t="inlineStr">
        <is>
          <t>000018824</t>
        </is>
      </c>
      <c r="H171" t="inlineStr">
        <is>
          <t>NOVA CONPEL COMPANHIA NORDESTINA DE PAPEL LTDA</t>
        </is>
      </c>
      <c r="I171" t="inlineStr">
        <is>
          <t>55.330.530/0001-90</t>
        </is>
      </c>
      <c r="J171" s="29" t="n">
        <v>37577.22</v>
      </c>
      <c r="K171" s="29">
        <f>(1-ISNUMBER(SEARCH("556",M171)))*(O171*SUMIFS(Premissas!$C$5:$C$44,Premissas!$A$5:$A$44,$A171,Premissas!$B$5:$B$44,$B171)+P171*SUMIFS(Premissas!$D$5:$D$44,Premissas!$A$5:$A$44,$A171,Premissas!$B$5:$B$44,$B171))+R171*SUMIFS(Premissas!$E$5:$E$44,Premissas!$A$5:$A$44,$A171,Premissas!$B$5:$B$44,$B171)+S171*SUMIFS(Premissas!$F$5:$F$44,Premissas!$A$5:$A$44,$A171,Premissas!$B$5:$B$44,$B171)</f>
        <v/>
      </c>
      <c r="L171" s="29">
        <f>J171-K171</f>
        <v/>
      </c>
      <c r="M171" t="inlineStr">
        <is>
          <t>1.101</t>
        </is>
      </c>
      <c r="O171" s="29" t="n">
        <v>1182.81</v>
      </c>
      <c r="P171" s="29" t="n">
        <v>7278.88</v>
      </c>
      <c r="Q171" s="29" t="n">
        <v>0</v>
      </c>
      <c r="R171" s="29" t="n">
        <v>480.41</v>
      </c>
      <c r="S171" s="29" t="n">
        <v>2212.78</v>
      </c>
      <c r="T171" t="inlineStr">
        <is>
          <t>25260955330530000190550010000188241374154651</t>
        </is>
      </c>
      <c r="U171" t="inlineStr">
        <is>
          <t>Sim</t>
        </is>
      </c>
    </row>
    <row r="172">
      <c r="A172" t="inlineStr">
        <is>
          <t>Insumos e papel</t>
        </is>
      </c>
      <c r="B172" t="inlineStr">
        <is>
          <t>2.01.03 Compra de Matéria Prima (Papel)</t>
        </is>
      </c>
      <c r="C172" s="30" t="n">
        <v>46266</v>
      </c>
      <c r="D172" t="inlineStr">
        <is>
          <t>Em 2026</t>
        </is>
      </c>
      <c r="E172" s="28" t="n">
        <v>46282</v>
      </c>
      <c r="F172" t="inlineStr">
        <is>
          <t>NF-e</t>
        </is>
      </c>
      <c r="G172" t="inlineStr">
        <is>
          <t>000018825</t>
        </is>
      </c>
      <c r="H172" t="inlineStr">
        <is>
          <t>NOVA CONPEL COMPANHIA NORDESTINA DE PAPEL LTDA</t>
        </is>
      </c>
      <c r="I172" t="inlineStr">
        <is>
          <t>55.330.530/0001-90</t>
        </is>
      </c>
      <c r="J172" s="29" t="n">
        <v>37573.55</v>
      </c>
      <c r="K172" s="29">
        <f>(1-ISNUMBER(SEARCH("556",M172)))*(O172*SUMIFS(Premissas!$C$5:$C$44,Premissas!$A$5:$A$44,$A172,Premissas!$B$5:$B$44,$B172)+P172*SUMIFS(Premissas!$D$5:$D$44,Premissas!$A$5:$A$44,$A172,Premissas!$B$5:$B$44,$B172))+R172*SUMIFS(Premissas!$E$5:$E$44,Premissas!$A$5:$A$44,$A172,Premissas!$B$5:$B$44,$B172)+S172*SUMIFS(Premissas!$F$5:$F$44,Premissas!$A$5:$A$44,$A172,Premissas!$B$5:$B$44,$B172)</f>
        <v/>
      </c>
      <c r="L172" s="29">
        <f>J172-K172</f>
        <v/>
      </c>
      <c r="M172" t="inlineStr">
        <is>
          <t>1.101</t>
        </is>
      </c>
      <c r="O172" s="29" t="n">
        <v>1182.7</v>
      </c>
      <c r="P172" s="29" t="n">
        <v>7278.17</v>
      </c>
      <c r="Q172" s="29" t="n">
        <v>0</v>
      </c>
      <c r="R172" s="29" t="n">
        <v>480.36</v>
      </c>
      <c r="S172" s="29" t="n">
        <v>2212.56</v>
      </c>
      <c r="T172" t="inlineStr">
        <is>
          <t>25260955330530000190550010000188251070918845</t>
        </is>
      </c>
      <c r="U172" t="inlineStr">
        <is>
          <t>Sim</t>
        </is>
      </c>
    </row>
    <row r="173">
      <c r="A173" t="inlineStr">
        <is>
          <t>Insumos e papel</t>
        </is>
      </c>
      <c r="B173" t="inlineStr">
        <is>
          <t>2.01.03 Compra de Matéria Prima (Papel)</t>
        </is>
      </c>
      <c r="C173" s="30" t="n">
        <v>46266</v>
      </c>
      <c r="D173" t="inlineStr">
        <is>
          <t>Em 2026</t>
        </is>
      </c>
      <c r="E173" s="28" t="n">
        <v>46286</v>
      </c>
      <c r="F173" t="inlineStr">
        <is>
          <t>NF-e</t>
        </is>
      </c>
      <c r="G173" t="inlineStr">
        <is>
          <t>000018935</t>
        </is>
      </c>
      <c r="H173" t="inlineStr">
        <is>
          <t>NOVA CONPEL COMPANHIA NORDESTINA DE PAPEL LTDA</t>
        </is>
      </c>
      <c r="I173" t="inlineStr">
        <is>
          <t>55.330.530/0001-90</t>
        </is>
      </c>
      <c r="J173" s="29" t="n">
        <v>37584.56</v>
      </c>
      <c r="K173" s="29">
        <f>(1-ISNUMBER(SEARCH("556",M173)))*(O173*SUMIFS(Premissas!$C$5:$C$44,Premissas!$A$5:$A$44,$A173,Premissas!$B$5:$B$44,$B173)+P173*SUMIFS(Premissas!$D$5:$D$44,Premissas!$A$5:$A$44,$A173,Premissas!$B$5:$B$44,$B173))+R173*SUMIFS(Premissas!$E$5:$E$44,Premissas!$A$5:$A$44,$A173,Premissas!$B$5:$B$44,$B173)+S173*SUMIFS(Premissas!$F$5:$F$44,Premissas!$A$5:$A$44,$A173,Premissas!$B$5:$B$44,$B173)</f>
        <v/>
      </c>
      <c r="L173" s="29">
        <f>J173-K173</f>
        <v/>
      </c>
      <c r="M173" t="inlineStr">
        <is>
          <t>1.101</t>
        </is>
      </c>
      <c r="O173" s="29" t="n">
        <v>1183.04</v>
      </c>
      <c r="P173" s="29" t="n">
        <v>7280.3</v>
      </c>
      <c r="Q173" s="29" t="n">
        <v>0</v>
      </c>
      <c r="R173" s="29" t="n">
        <v>480.5</v>
      </c>
      <c r="S173" s="29" t="n">
        <v>2213.21</v>
      </c>
      <c r="T173" t="inlineStr">
        <is>
          <t>25260955330530000190550010000189351696164883</t>
        </is>
      </c>
      <c r="U173" t="inlineStr">
        <is>
          <t>Sim</t>
        </is>
      </c>
    </row>
    <row r="174">
      <c r="A174" t="inlineStr">
        <is>
          <t>Insumos e papel</t>
        </is>
      </c>
      <c r="B174" t="inlineStr">
        <is>
          <t>2.01.03 Compra de Matéria Prima (Papel)</t>
        </is>
      </c>
      <c r="C174" s="30" t="n">
        <v>46266</v>
      </c>
      <c r="D174" t="inlineStr">
        <is>
          <t>Em 2026</t>
        </is>
      </c>
      <c r="E174" s="28" t="n">
        <v>46286</v>
      </c>
      <c r="F174" t="inlineStr">
        <is>
          <t>NF-e</t>
        </is>
      </c>
      <c r="G174" t="inlineStr">
        <is>
          <t>000018936</t>
        </is>
      </c>
      <c r="H174" t="inlineStr">
        <is>
          <t>NOVA CONPEL COMPANHIA NORDESTINA DE PAPEL LTDA</t>
        </is>
      </c>
      <c r="I174" t="inlineStr">
        <is>
          <t>55.330.530/0001-90</t>
        </is>
      </c>
      <c r="J174" s="29" t="n">
        <v>37588.24</v>
      </c>
      <c r="K174" s="29">
        <f>(1-ISNUMBER(SEARCH("556",M174)))*(O174*SUMIFS(Premissas!$C$5:$C$44,Premissas!$A$5:$A$44,$A174,Premissas!$B$5:$B$44,$B174)+P174*SUMIFS(Premissas!$D$5:$D$44,Premissas!$A$5:$A$44,$A174,Premissas!$B$5:$B$44,$B174))+R174*SUMIFS(Premissas!$E$5:$E$44,Premissas!$A$5:$A$44,$A174,Premissas!$B$5:$B$44,$B174)+S174*SUMIFS(Premissas!$F$5:$F$44,Premissas!$A$5:$A$44,$A174,Premissas!$B$5:$B$44,$B174)</f>
        <v/>
      </c>
      <c r="L174" s="29">
        <f>J174-K174</f>
        <v/>
      </c>
      <c r="M174" t="inlineStr">
        <is>
          <t>1.101</t>
        </is>
      </c>
      <c r="O174" s="29" t="n">
        <v>1183.16</v>
      </c>
      <c r="P174" s="29" t="n">
        <v>7281.01</v>
      </c>
      <c r="Q174" s="29" t="n">
        <v>0</v>
      </c>
      <c r="R174" s="29" t="n">
        <v>480.55</v>
      </c>
      <c r="S174" s="29" t="n">
        <v>2213.43</v>
      </c>
      <c r="T174" t="inlineStr">
        <is>
          <t>25260955330530000190550010000189361927122614</t>
        </is>
      </c>
      <c r="U174" t="inlineStr">
        <is>
          <t>Sim</t>
        </is>
      </c>
    </row>
    <row r="175">
      <c r="A175" t="inlineStr">
        <is>
          <t>Insumos e papel</t>
        </is>
      </c>
      <c r="B175" t="inlineStr">
        <is>
          <t>2.01.03 Compra de Matéria Prima (Papel)</t>
        </is>
      </c>
      <c r="C175" s="30" t="n">
        <v>46266</v>
      </c>
      <c r="D175" t="inlineStr">
        <is>
          <t>Em 2026</t>
        </is>
      </c>
      <c r="E175" s="28" t="n">
        <v>46286</v>
      </c>
      <c r="F175" t="inlineStr">
        <is>
          <t>NF-e</t>
        </is>
      </c>
      <c r="G175" t="inlineStr">
        <is>
          <t>000018937</t>
        </is>
      </c>
      <c r="H175" t="inlineStr">
        <is>
          <t>NOVA CONPEL COMPANHIA NORDESTINA DE PAPEL LTDA</t>
        </is>
      </c>
      <c r="I175" t="inlineStr">
        <is>
          <t>55.330.530/0001-90</t>
        </is>
      </c>
      <c r="J175" s="29" t="n">
        <v>37606.6</v>
      </c>
      <c r="K175" s="29">
        <f>(1-ISNUMBER(SEARCH("556",M175)))*(O175*SUMIFS(Premissas!$C$5:$C$44,Premissas!$A$5:$A$44,$A175,Premissas!$B$5:$B$44,$B175)+P175*SUMIFS(Premissas!$D$5:$D$44,Premissas!$A$5:$A$44,$A175,Premissas!$B$5:$B$44,$B175))+R175*SUMIFS(Premissas!$E$5:$E$44,Premissas!$A$5:$A$44,$A175,Premissas!$B$5:$B$44,$B175)+S175*SUMIFS(Premissas!$F$5:$F$44,Premissas!$A$5:$A$44,$A175,Premissas!$B$5:$B$44,$B175)</f>
        <v/>
      </c>
      <c r="L175" s="29">
        <f>J175-K175</f>
        <v/>
      </c>
      <c r="M175" t="inlineStr">
        <is>
          <t>1.101</t>
        </is>
      </c>
      <c r="O175" s="29" t="n">
        <v>1183.74</v>
      </c>
      <c r="P175" s="29" t="n">
        <v>7284.57</v>
      </c>
      <c r="Q175" s="29" t="n">
        <v>0</v>
      </c>
      <c r="R175" s="29" t="n">
        <v>480.78</v>
      </c>
      <c r="S175" s="29" t="n">
        <v>2214.51</v>
      </c>
      <c r="T175" t="inlineStr">
        <is>
          <t>25260955330530000190550010000189371936315702</t>
        </is>
      </c>
      <c r="U175" t="inlineStr">
        <is>
          <t>Sim</t>
        </is>
      </c>
    </row>
    <row r="176">
      <c r="A176" t="inlineStr">
        <is>
          <t>Insumos e papel</t>
        </is>
      </c>
      <c r="B176" t="inlineStr">
        <is>
          <t>2.01.03 Compra de Matéria Prima (Papel)</t>
        </is>
      </c>
      <c r="C176" s="30" t="n">
        <v>46266</v>
      </c>
      <c r="D176" t="inlineStr">
        <is>
          <t>Em 2026</t>
        </is>
      </c>
      <c r="E176" s="28" t="n">
        <v>46286</v>
      </c>
      <c r="F176" t="inlineStr">
        <is>
          <t>NF-e</t>
        </is>
      </c>
      <c r="G176" t="inlineStr">
        <is>
          <t>000018938</t>
        </is>
      </c>
      <c r="H176" t="inlineStr">
        <is>
          <t>NOVA CONPEL COMPANHIA NORDESTINA DE PAPEL LTDA</t>
        </is>
      </c>
      <c r="I176" t="inlineStr">
        <is>
          <t>55.330.530/0001-90</t>
        </is>
      </c>
      <c r="J176" s="29" t="n">
        <v>37643.32</v>
      </c>
      <c r="K176" s="29">
        <f>(1-ISNUMBER(SEARCH("556",M176)))*(O176*SUMIFS(Premissas!$C$5:$C$44,Premissas!$A$5:$A$44,$A176,Premissas!$B$5:$B$44,$B176)+P176*SUMIFS(Premissas!$D$5:$D$44,Premissas!$A$5:$A$44,$A176,Premissas!$B$5:$B$44,$B176))+R176*SUMIFS(Premissas!$E$5:$E$44,Premissas!$A$5:$A$44,$A176,Premissas!$B$5:$B$44,$B176)+S176*SUMIFS(Premissas!$F$5:$F$44,Premissas!$A$5:$A$44,$A176,Premissas!$B$5:$B$44,$B176)</f>
        <v/>
      </c>
      <c r="L176" s="29">
        <f>J176-K176</f>
        <v/>
      </c>
      <c r="M176" t="inlineStr">
        <is>
          <t>1.101</t>
        </is>
      </c>
      <c r="O176" s="29" t="n">
        <v>1184.89</v>
      </c>
      <c r="P176" s="29" t="n">
        <v>7291.68</v>
      </c>
      <c r="Q176" s="29" t="n">
        <v>0</v>
      </c>
      <c r="R176" s="29" t="n">
        <v>481.25</v>
      </c>
      <c r="S176" s="29" t="n">
        <v>2216.67</v>
      </c>
      <c r="T176" t="inlineStr">
        <is>
          <t>25260955330530000190550010000189381745858687</t>
        </is>
      </c>
      <c r="U176" t="inlineStr">
        <is>
          <t>Sim</t>
        </is>
      </c>
    </row>
    <row r="177">
      <c r="A177" t="inlineStr">
        <is>
          <t>Insumos e papel</t>
        </is>
      </c>
      <c r="B177" t="inlineStr">
        <is>
          <t>2.01.79 Compra de Gás</t>
        </is>
      </c>
      <c r="C177" s="30" t="n">
        <v>46143</v>
      </c>
      <c r="D177" t="inlineStr">
        <is>
          <t>Em 2026</t>
        </is>
      </c>
      <c r="E177" s="28" t="n">
        <v>46147</v>
      </c>
      <c r="F177" t="inlineStr">
        <is>
          <t>NF-e</t>
        </is>
      </c>
      <c r="G177" t="inlineStr">
        <is>
          <t>000007739</t>
        </is>
      </c>
      <c r="H177" t="inlineStr">
        <is>
          <t>SUPERGASBRAS ENERGIA LTDA</t>
        </is>
      </c>
      <c r="I177" t="inlineStr">
        <is>
          <t>19.791.896/0166-00</t>
        </is>
      </c>
      <c r="J177" s="29" t="n">
        <v>787.45</v>
      </c>
      <c r="K177" s="29">
        <f>(1-ISNUMBER(SEARCH("556",M177)))*(O177*SUMIFS(Premissas!$C$5:$C$44,Premissas!$A$5:$A$44,$A177,Premissas!$B$5:$B$44,$B177)+P177*SUMIFS(Premissas!$D$5:$D$44,Premissas!$A$5:$A$44,$A177,Premissas!$B$5:$B$44,$B177))+R177*SUMIFS(Premissas!$E$5:$E$44,Premissas!$A$5:$A$44,$A177,Premissas!$B$5:$B$44,$B177)+S177*SUMIFS(Premissas!$F$5:$F$44,Premissas!$A$5:$A$44,$A177,Premissas!$B$5:$B$44,$B177)</f>
        <v/>
      </c>
      <c r="L177" s="29">
        <f>J177-K177</f>
        <v/>
      </c>
      <c r="M177" t="inlineStr">
        <is>
          <t>1.556</t>
        </is>
      </c>
      <c r="O177" s="29" t="n">
        <v>0</v>
      </c>
      <c r="P177" s="29" t="n">
        <v>0</v>
      </c>
      <c r="Q177" s="29" t="n">
        <v>0</v>
      </c>
      <c r="R177" s="29" t="n">
        <v>0</v>
      </c>
      <c r="S177" s="29" t="n">
        <v>0</v>
      </c>
      <c r="T177" t="inlineStr">
        <is>
          <t>25260519791896016600550090000077391450516063</t>
        </is>
      </c>
      <c r="U177" t="inlineStr">
        <is>
          <t>Sim</t>
        </is>
      </c>
    </row>
    <row r="178">
      <c r="A178" t="inlineStr">
        <is>
          <t>Insumos e papel</t>
        </is>
      </c>
      <c r="B178" t="inlineStr">
        <is>
          <t>2.01.79 Compra de Gás</t>
        </is>
      </c>
      <c r="C178" s="30" t="n">
        <v>46143</v>
      </c>
      <c r="D178" t="inlineStr">
        <is>
          <t>Em 2026</t>
        </is>
      </c>
      <c r="E178" s="28" t="n">
        <v>46154</v>
      </c>
      <c r="F178" t="inlineStr">
        <is>
          <t>NF-e</t>
        </is>
      </c>
      <c r="G178" t="inlineStr">
        <is>
          <t>000007808</t>
        </is>
      </c>
      <c r="H178" t="inlineStr">
        <is>
          <t>SUPERGASBRAS ENERGIA LTDA</t>
        </is>
      </c>
      <c r="I178" t="inlineStr">
        <is>
          <t>19.791.896/0166-00</t>
        </is>
      </c>
      <c r="J178" s="29" t="n">
        <v>629.96</v>
      </c>
      <c r="K178" s="29">
        <f>(1-ISNUMBER(SEARCH("556",M178)))*(O178*SUMIFS(Premissas!$C$5:$C$44,Premissas!$A$5:$A$44,$A178,Premissas!$B$5:$B$44,$B178)+P178*SUMIFS(Premissas!$D$5:$D$44,Premissas!$A$5:$A$44,$A178,Premissas!$B$5:$B$44,$B178))+R178*SUMIFS(Premissas!$E$5:$E$44,Premissas!$A$5:$A$44,$A178,Premissas!$B$5:$B$44,$B178)+S178*SUMIFS(Premissas!$F$5:$F$44,Premissas!$A$5:$A$44,$A178,Premissas!$B$5:$B$44,$B178)</f>
        <v/>
      </c>
      <c r="L178" s="29">
        <f>J178-K178</f>
        <v/>
      </c>
      <c r="M178" t="inlineStr">
        <is>
          <t>1.556</t>
        </is>
      </c>
      <c r="O178" s="29" t="n">
        <v>0</v>
      </c>
      <c r="P178" s="29" t="n">
        <v>0</v>
      </c>
      <c r="Q178" s="29" t="n">
        <v>0</v>
      </c>
      <c r="R178" s="29" t="n">
        <v>0</v>
      </c>
      <c r="S178" s="29" t="n">
        <v>0</v>
      </c>
      <c r="T178" t="inlineStr">
        <is>
          <t>25260519791896016600550090000078081932727234</t>
        </is>
      </c>
      <c r="U178" t="inlineStr">
        <is>
          <t>Sim</t>
        </is>
      </c>
    </row>
    <row r="179">
      <c r="A179" t="inlineStr">
        <is>
          <t>Insumos e papel</t>
        </is>
      </c>
      <c r="B179" t="inlineStr">
        <is>
          <t>2.01.79 Compra de Gás</t>
        </is>
      </c>
      <c r="C179" s="30" t="n">
        <v>46143</v>
      </c>
      <c r="D179" t="inlineStr">
        <is>
          <t>Em 2026</t>
        </is>
      </c>
      <c r="E179" s="28" t="n">
        <v>46161</v>
      </c>
      <c r="F179" t="inlineStr">
        <is>
          <t>NF-e</t>
        </is>
      </c>
      <c r="G179" t="inlineStr">
        <is>
          <t>000007874</t>
        </is>
      </c>
      <c r="H179" t="inlineStr">
        <is>
          <t>SUPERGASBRAS ENERGIA LTDA</t>
        </is>
      </c>
      <c r="I179" t="inlineStr">
        <is>
          <t>19.791.896/0166-00</t>
        </is>
      </c>
      <c r="J179" s="29" t="n">
        <v>629.96</v>
      </c>
      <c r="K179" s="29">
        <f>(1-ISNUMBER(SEARCH("556",M179)))*(O179*SUMIFS(Premissas!$C$5:$C$44,Premissas!$A$5:$A$44,$A179,Premissas!$B$5:$B$44,$B179)+P179*SUMIFS(Premissas!$D$5:$D$44,Premissas!$A$5:$A$44,$A179,Premissas!$B$5:$B$44,$B179))+R179*SUMIFS(Premissas!$E$5:$E$44,Premissas!$A$5:$A$44,$A179,Premissas!$B$5:$B$44,$B179)+S179*SUMIFS(Premissas!$F$5:$F$44,Premissas!$A$5:$A$44,$A179,Premissas!$B$5:$B$44,$B179)</f>
        <v/>
      </c>
      <c r="L179" s="29">
        <f>J179-K179</f>
        <v/>
      </c>
      <c r="M179" t="inlineStr">
        <is>
          <t>1.556</t>
        </is>
      </c>
      <c r="O179" s="29" t="n">
        <v>0</v>
      </c>
      <c r="P179" s="29" t="n">
        <v>0</v>
      </c>
      <c r="Q179" s="29" t="n">
        <v>0</v>
      </c>
      <c r="R179" s="29" t="n">
        <v>0</v>
      </c>
      <c r="S179" s="29" t="n">
        <v>0</v>
      </c>
      <c r="T179" t="inlineStr">
        <is>
          <t>25260519791896016600550090000078741349360546</t>
        </is>
      </c>
      <c r="U179" t="inlineStr">
        <is>
          <t>Sim</t>
        </is>
      </c>
    </row>
    <row r="180">
      <c r="A180" t="inlineStr">
        <is>
          <t>Insumos e papel</t>
        </is>
      </c>
      <c r="B180" t="inlineStr">
        <is>
          <t>2.01.79 Compra de Gás</t>
        </is>
      </c>
      <c r="C180" s="30" t="n">
        <v>46143</v>
      </c>
      <c r="D180" t="inlineStr">
        <is>
          <t>Em 2026</t>
        </is>
      </c>
      <c r="E180" s="28" t="n">
        <v>46168</v>
      </c>
      <c r="F180" t="inlineStr">
        <is>
          <t>NF-e</t>
        </is>
      </c>
      <c r="G180" t="inlineStr">
        <is>
          <t>000007945</t>
        </is>
      </c>
      <c r="H180" t="inlineStr">
        <is>
          <t>SUPERGASBRAS ENERGIA LTDA</t>
        </is>
      </c>
      <c r="I180" t="inlineStr">
        <is>
          <t>19.791.896/0166-00</t>
        </is>
      </c>
      <c r="J180" s="29" t="n">
        <v>472.47</v>
      </c>
      <c r="K180" s="29">
        <f>(1-ISNUMBER(SEARCH("556",M180)))*(O180*SUMIFS(Premissas!$C$5:$C$44,Premissas!$A$5:$A$44,$A180,Premissas!$B$5:$B$44,$B180)+P180*SUMIFS(Premissas!$D$5:$D$44,Premissas!$A$5:$A$44,$A180,Premissas!$B$5:$B$44,$B180))+R180*SUMIFS(Premissas!$E$5:$E$44,Premissas!$A$5:$A$44,$A180,Premissas!$B$5:$B$44,$B180)+S180*SUMIFS(Premissas!$F$5:$F$44,Premissas!$A$5:$A$44,$A180,Premissas!$B$5:$B$44,$B180)</f>
        <v/>
      </c>
      <c r="L180" s="29">
        <f>J180-K180</f>
        <v/>
      </c>
      <c r="M180" t="inlineStr">
        <is>
          <t>1.653</t>
        </is>
      </c>
      <c r="O180" s="29" t="n">
        <v>0</v>
      </c>
      <c r="P180" s="29" t="n">
        <v>0</v>
      </c>
      <c r="Q180" s="29" t="n">
        <v>0</v>
      </c>
      <c r="R180" s="29" t="n">
        <v>0</v>
      </c>
      <c r="S180" s="29" t="n">
        <v>0</v>
      </c>
      <c r="T180" t="inlineStr">
        <is>
          <t>25260519791896016600550090000079451848103283</t>
        </is>
      </c>
      <c r="U180" t="inlineStr">
        <is>
          <t>Sim</t>
        </is>
      </c>
    </row>
    <row r="181">
      <c r="A181" t="inlineStr">
        <is>
          <t>Insumos e papel</t>
        </is>
      </c>
      <c r="B181" t="inlineStr">
        <is>
          <t>2.01.79 Compra de Gás</t>
        </is>
      </c>
      <c r="C181" s="30" t="n">
        <v>46174</v>
      </c>
      <c r="D181" t="inlineStr">
        <is>
          <t>Em 2026</t>
        </is>
      </c>
      <c r="E181" s="28" t="n">
        <v>46175</v>
      </c>
      <c r="F181" t="inlineStr">
        <is>
          <t>NF-e</t>
        </is>
      </c>
      <c r="G181" t="inlineStr">
        <is>
          <t>000008031</t>
        </is>
      </c>
      <c r="H181" t="inlineStr">
        <is>
          <t>SUPERGASBRAS ENERGIA LTDA</t>
        </is>
      </c>
      <c r="I181" t="inlineStr">
        <is>
          <t>19.791.896/0166-00</t>
        </is>
      </c>
      <c r="J181" s="29" t="n">
        <v>472.47</v>
      </c>
      <c r="K181" s="29">
        <f>(1-ISNUMBER(SEARCH("556",M181)))*(O181*SUMIFS(Premissas!$C$5:$C$44,Premissas!$A$5:$A$44,$A181,Premissas!$B$5:$B$44,$B181)+P181*SUMIFS(Premissas!$D$5:$D$44,Premissas!$A$5:$A$44,$A181,Premissas!$B$5:$B$44,$B181))+R181*SUMIFS(Premissas!$E$5:$E$44,Premissas!$A$5:$A$44,$A181,Premissas!$B$5:$B$44,$B181)+S181*SUMIFS(Premissas!$F$5:$F$44,Premissas!$A$5:$A$44,$A181,Premissas!$B$5:$B$44,$B181)</f>
        <v/>
      </c>
      <c r="L181" s="29">
        <f>J181-K181</f>
        <v/>
      </c>
      <c r="M181" t="inlineStr">
        <is>
          <t>1.653</t>
        </is>
      </c>
      <c r="O181" s="29" t="n">
        <v>0</v>
      </c>
      <c r="P181" s="29" t="n">
        <v>0</v>
      </c>
      <c r="Q181" s="29" t="n">
        <v>0</v>
      </c>
      <c r="R181" s="29" t="n">
        <v>0</v>
      </c>
      <c r="S181" s="29" t="n">
        <v>0</v>
      </c>
      <c r="T181" t="inlineStr">
        <is>
          <t>25260619791896016600550090000080311333589414</t>
        </is>
      </c>
      <c r="U181" t="inlineStr">
        <is>
          <t>Sim</t>
        </is>
      </c>
    </row>
    <row r="182">
      <c r="A182" t="inlineStr">
        <is>
          <t>Insumos e papel</t>
        </is>
      </c>
      <c r="B182" t="inlineStr">
        <is>
          <t>2.01.79 Compra de Gás</t>
        </is>
      </c>
      <c r="C182" s="30" t="n">
        <v>46174</v>
      </c>
      <c r="D182" t="inlineStr">
        <is>
          <t>Em 2026</t>
        </is>
      </c>
      <c r="E182" s="28" t="n">
        <v>46182</v>
      </c>
      <c r="F182" t="inlineStr">
        <is>
          <t>NF-e</t>
        </is>
      </c>
      <c r="G182" t="inlineStr">
        <is>
          <t>000008085</t>
        </is>
      </c>
      <c r="H182" t="inlineStr">
        <is>
          <t>SUPERGASBRAS ENERGIA LTDA</t>
        </is>
      </c>
      <c r="I182" t="inlineStr">
        <is>
          <t>19.791.896/0166-00</t>
        </is>
      </c>
      <c r="J182" s="29" t="n">
        <v>629.96</v>
      </c>
      <c r="K182" s="29">
        <f>(1-ISNUMBER(SEARCH("556",M182)))*(O182*SUMIFS(Premissas!$C$5:$C$44,Premissas!$A$5:$A$44,$A182,Premissas!$B$5:$B$44,$B182)+P182*SUMIFS(Premissas!$D$5:$D$44,Premissas!$A$5:$A$44,$A182,Premissas!$B$5:$B$44,$B182))+R182*SUMIFS(Premissas!$E$5:$E$44,Premissas!$A$5:$A$44,$A182,Premissas!$B$5:$B$44,$B182)+S182*SUMIFS(Premissas!$F$5:$F$44,Premissas!$A$5:$A$44,$A182,Premissas!$B$5:$B$44,$B182)</f>
        <v/>
      </c>
      <c r="L182" s="29">
        <f>J182-K182</f>
        <v/>
      </c>
      <c r="M182" t="inlineStr">
        <is>
          <t>1.653</t>
        </is>
      </c>
      <c r="O182" s="29" t="n">
        <v>0</v>
      </c>
      <c r="P182" s="29" t="n">
        <v>0</v>
      </c>
      <c r="Q182" s="29" t="n">
        <v>0</v>
      </c>
      <c r="R182" s="29" t="n">
        <v>0</v>
      </c>
      <c r="S182" s="29" t="n">
        <v>0</v>
      </c>
      <c r="T182" t="inlineStr">
        <is>
          <t>25260619791896016600550090000080851822569905</t>
        </is>
      </c>
      <c r="U182" t="inlineStr">
        <is>
          <t>Sim</t>
        </is>
      </c>
    </row>
    <row r="183">
      <c r="A183" t="inlineStr">
        <is>
          <t>Insumos e papel</t>
        </is>
      </c>
      <c r="B183" t="inlineStr">
        <is>
          <t>2.01.79 Compra de Gás</t>
        </is>
      </c>
      <c r="C183" s="30" t="n">
        <v>46174</v>
      </c>
      <c r="D183" t="inlineStr">
        <is>
          <t>Em 2026</t>
        </is>
      </c>
      <c r="E183" s="28" t="n">
        <v>46188</v>
      </c>
      <c r="F183" t="inlineStr">
        <is>
          <t>NF-e</t>
        </is>
      </c>
      <c r="G183" t="inlineStr">
        <is>
          <t>000008142</t>
        </is>
      </c>
      <c r="H183" t="inlineStr">
        <is>
          <t>SUPERGASBRAS ENERGIA LTDA</t>
        </is>
      </c>
      <c r="I183" t="inlineStr">
        <is>
          <t>19.791.896/0166-00</t>
        </is>
      </c>
      <c r="J183" s="29" t="n">
        <v>472.47</v>
      </c>
      <c r="K183" s="29">
        <f>(1-ISNUMBER(SEARCH("556",M183)))*(O183*SUMIFS(Premissas!$C$5:$C$44,Premissas!$A$5:$A$44,$A183,Premissas!$B$5:$B$44,$B183)+P183*SUMIFS(Premissas!$D$5:$D$44,Premissas!$A$5:$A$44,$A183,Premissas!$B$5:$B$44,$B183))+R183*SUMIFS(Premissas!$E$5:$E$44,Premissas!$A$5:$A$44,$A183,Premissas!$B$5:$B$44,$B183)+S183*SUMIFS(Premissas!$F$5:$F$44,Premissas!$A$5:$A$44,$A183,Premissas!$B$5:$B$44,$B183)</f>
        <v/>
      </c>
      <c r="L183" s="29">
        <f>J183-K183</f>
        <v/>
      </c>
      <c r="M183" t="inlineStr">
        <is>
          <t>1.653</t>
        </is>
      </c>
      <c r="O183" s="29" t="n">
        <v>0</v>
      </c>
      <c r="P183" s="29" t="n">
        <v>0</v>
      </c>
      <c r="Q183" s="29" t="n">
        <v>0</v>
      </c>
      <c r="R183" s="29" t="n">
        <v>0</v>
      </c>
      <c r="S183" s="29" t="n">
        <v>0</v>
      </c>
      <c r="T183" t="inlineStr">
        <is>
          <t>25260619791896016600550090000081421946685115</t>
        </is>
      </c>
      <c r="U183" t="inlineStr">
        <is>
          <t>Sim</t>
        </is>
      </c>
    </row>
    <row r="184">
      <c r="A184" t="inlineStr">
        <is>
          <t>Insumos e papel</t>
        </is>
      </c>
      <c r="B184" t="inlineStr">
        <is>
          <t>2.01.79 Compra de Gás</t>
        </is>
      </c>
      <c r="C184" s="30" t="n">
        <v>46174</v>
      </c>
      <c r="D184" t="inlineStr">
        <is>
          <t>Em 2026</t>
        </is>
      </c>
      <c r="E184" s="28" t="n">
        <v>46203</v>
      </c>
      <c r="F184" t="inlineStr">
        <is>
          <t>NF-e</t>
        </is>
      </c>
      <c r="G184" t="inlineStr">
        <is>
          <t>000008265</t>
        </is>
      </c>
      <c r="H184" t="inlineStr">
        <is>
          <t>SUPERGASBRAS ENERGIA LTDA</t>
        </is>
      </c>
      <c r="I184" t="inlineStr">
        <is>
          <t>19.791.896/0166-00</t>
        </is>
      </c>
      <c r="J184" s="29" t="n">
        <v>787.45</v>
      </c>
      <c r="K184" s="29">
        <f>(1-ISNUMBER(SEARCH("556",M184)))*(O184*SUMIFS(Premissas!$C$5:$C$44,Premissas!$A$5:$A$44,$A184,Premissas!$B$5:$B$44,$B184)+P184*SUMIFS(Premissas!$D$5:$D$44,Premissas!$A$5:$A$44,$A184,Premissas!$B$5:$B$44,$B184))+R184*SUMIFS(Premissas!$E$5:$E$44,Premissas!$A$5:$A$44,$A184,Premissas!$B$5:$B$44,$B184)+S184*SUMIFS(Premissas!$F$5:$F$44,Premissas!$A$5:$A$44,$A184,Premissas!$B$5:$B$44,$B184)</f>
        <v/>
      </c>
      <c r="L184" s="29">
        <f>J184-K184</f>
        <v/>
      </c>
      <c r="M184" t="inlineStr">
        <is>
          <t>1.653</t>
        </is>
      </c>
      <c r="O184" s="29" t="n">
        <v>0</v>
      </c>
      <c r="P184" s="29" t="n">
        <v>0</v>
      </c>
      <c r="Q184" s="29" t="n">
        <v>0</v>
      </c>
      <c r="R184" s="29" t="n">
        <v>0</v>
      </c>
      <c r="S184" s="29" t="n">
        <v>0</v>
      </c>
      <c r="T184" t="inlineStr">
        <is>
          <t>25260619791896016600550090000082651272180634</t>
        </is>
      </c>
      <c r="U184" t="inlineStr">
        <is>
          <t>Sim</t>
        </is>
      </c>
    </row>
    <row r="185">
      <c r="A185" t="inlineStr">
        <is>
          <t>Insumos e papel</t>
        </is>
      </c>
      <c r="B185" t="inlineStr">
        <is>
          <t>2.01.79 Compra de Gás</t>
        </is>
      </c>
      <c r="C185" s="30" t="n">
        <v>46204</v>
      </c>
      <c r="D185" t="inlineStr">
        <is>
          <t>Em 2026</t>
        </is>
      </c>
      <c r="E185" s="28" t="n">
        <v>46210</v>
      </c>
      <c r="F185" t="inlineStr">
        <is>
          <t>NF-e</t>
        </is>
      </c>
      <c r="G185" t="inlineStr">
        <is>
          <t>000008334</t>
        </is>
      </c>
      <c r="H185" t="inlineStr">
        <is>
          <t>SUPERGASBRAS ENERGIA LTDA</t>
        </is>
      </c>
      <c r="I185" t="inlineStr">
        <is>
          <t>19.791.896/0166-00</t>
        </is>
      </c>
      <c r="J185" s="29" t="n">
        <v>472.47</v>
      </c>
      <c r="K185" s="29">
        <f>(1-ISNUMBER(SEARCH("556",M185)))*(O185*SUMIFS(Premissas!$C$5:$C$44,Premissas!$A$5:$A$44,$A185,Premissas!$B$5:$B$44,$B185)+P185*SUMIFS(Premissas!$D$5:$D$44,Premissas!$A$5:$A$44,$A185,Premissas!$B$5:$B$44,$B185))+R185*SUMIFS(Premissas!$E$5:$E$44,Premissas!$A$5:$A$44,$A185,Premissas!$B$5:$B$44,$B185)+S185*SUMIFS(Premissas!$F$5:$F$44,Premissas!$A$5:$A$44,$A185,Premissas!$B$5:$B$44,$B185)</f>
        <v/>
      </c>
      <c r="L185" s="29">
        <f>J185-K185</f>
        <v/>
      </c>
      <c r="M185" t="inlineStr">
        <is>
          <t>1.556</t>
        </is>
      </c>
      <c r="O185" s="29" t="n">
        <v>0</v>
      </c>
      <c r="P185" s="29" t="n">
        <v>0</v>
      </c>
      <c r="Q185" s="29" t="n">
        <v>0</v>
      </c>
      <c r="R185" s="29" t="n">
        <v>0</v>
      </c>
      <c r="S185" s="29" t="n">
        <v>0</v>
      </c>
      <c r="T185" t="inlineStr">
        <is>
          <t>25260719791896016600550090000083341752370391</t>
        </is>
      </c>
      <c r="U185" t="inlineStr">
        <is>
          <t>Sim</t>
        </is>
      </c>
    </row>
    <row r="186">
      <c r="A186" t="inlineStr">
        <is>
          <t>Insumos e papel</t>
        </is>
      </c>
      <c r="B186" t="inlineStr">
        <is>
          <t>2.01.79 Compra de Gás</t>
        </is>
      </c>
      <c r="C186" s="30" t="n">
        <v>46204</v>
      </c>
      <c r="D186" t="inlineStr">
        <is>
          <t>Em 2026</t>
        </is>
      </c>
      <c r="E186" s="28" t="n">
        <v>46217</v>
      </c>
      <c r="F186" t="inlineStr">
        <is>
          <t>NF-e</t>
        </is>
      </c>
      <c r="G186" t="inlineStr">
        <is>
          <t>000008388</t>
        </is>
      </c>
      <c r="H186" t="inlineStr">
        <is>
          <t>SUPERGASBRAS ENERGIA LTDA</t>
        </is>
      </c>
      <c r="I186" t="inlineStr">
        <is>
          <t>19.791.896/0166-00</t>
        </is>
      </c>
      <c r="J186" s="29" t="n">
        <v>944.9400000000001</v>
      </c>
      <c r="K186" s="29">
        <f>(1-ISNUMBER(SEARCH("556",M186)))*(O186*SUMIFS(Premissas!$C$5:$C$44,Premissas!$A$5:$A$44,$A186,Premissas!$B$5:$B$44,$B186)+P186*SUMIFS(Premissas!$D$5:$D$44,Premissas!$A$5:$A$44,$A186,Premissas!$B$5:$B$44,$B186))+R186*SUMIFS(Premissas!$E$5:$E$44,Premissas!$A$5:$A$44,$A186,Premissas!$B$5:$B$44,$B186)+S186*SUMIFS(Premissas!$F$5:$F$44,Premissas!$A$5:$A$44,$A186,Premissas!$B$5:$B$44,$B186)</f>
        <v/>
      </c>
      <c r="L186" s="29">
        <f>J186-K186</f>
        <v/>
      </c>
      <c r="M186" t="inlineStr">
        <is>
          <t>1.556</t>
        </is>
      </c>
      <c r="O186" s="29" t="n">
        <v>0</v>
      </c>
      <c r="P186" s="29" t="n">
        <v>0</v>
      </c>
      <c r="Q186" s="29" t="n">
        <v>0</v>
      </c>
      <c r="R186" s="29" t="n">
        <v>0</v>
      </c>
      <c r="S186" s="29" t="n">
        <v>0</v>
      </c>
      <c r="T186" t="inlineStr">
        <is>
          <t>25260719791896016600550090000083881246208504</t>
        </is>
      </c>
      <c r="U186" t="inlineStr">
        <is>
          <t>Sim</t>
        </is>
      </c>
    </row>
    <row r="187">
      <c r="A187" t="inlineStr">
        <is>
          <t>Insumos e papel</t>
        </is>
      </c>
      <c r="B187" t="inlineStr">
        <is>
          <t>2.01.79 Compra de Gás</t>
        </is>
      </c>
      <c r="C187" s="30" t="n">
        <v>46204</v>
      </c>
      <c r="D187" t="inlineStr">
        <is>
          <t>Em 2026</t>
        </is>
      </c>
      <c r="E187" s="28" t="n">
        <v>46224</v>
      </c>
      <c r="F187" t="inlineStr">
        <is>
          <t>NF-e</t>
        </is>
      </c>
      <c r="G187" t="inlineStr">
        <is>
          <t>000008441</t>
        </is>
      </c>
      <c r="H187" t="inlineStr">
        <is>
          <t>SUPERGASBRAS ENERGIA LTDA</t>
        </is>
      </c>
      <c r="I187" t="inlineStr">
        <is>
          <t>19.791.896/0166-00</t>
        </is>
      </c>
      <c r="J187" s="29" t="n">
        <v>472.47</v>
      </c>
      <c r="K187" s="29">
        <f>(1-ISNUMBER(SEARCH("556",M187)))*(O187*SUMIFS(Premissas!$C$5:$C$44,Premissas!$A$5:$A$44,$A187,Premissas!$B$5:$B$44,$B187)+P187*SUMIFS(Premissas!$D$5:$D$44,Premissas!$A$5:$A$44,$A187,Premissas!$B$5:$B$44,$B187))+R187*SUMIFS(Premissas!$E$5:$E$44,Premissas!$A$5:$A$44,$A187,Premissas!$B$5:$B$44,$B187)+S187*SUMIFS(Premissas!$F$5:$F$44,Premissas!$A$5:$A$44,$A187,Premissas!$B$5:$B$44,$B187)</f>
        <v/>
      </c>
      <c r="L187" s="29">
        <f>J187-K187</f>
        <v/>
      </c>
      <c r="M187" t="inlineStr">
        <is>
          <t>1.556</t>
        </is>
      </c>
      <c r="O187" s="29" t="n">
        <v>0</v>
      </c>
      <c r="P187" s="29" t="n">
        <v>0</v>
      </c>
      <c r="Q187" s="29" t="n">
        <v>0</v>
      </c>
      <c r="R187" s="29" t="n">
        <v>0</v>
      </c>
      <c r="S187" s="29" t="n">
        <v>0</v>
      </c>
      <c r="T187" t="inlineStr">
        <is>
          <t>25260719791896016600550090000084411691423415</t>
        </is>
      </c>
      <c r="U187" t="inlineStr">
        <is>
          <t>Sim</t>
        </is>
      </c>
    </row>
    <row r="188">
      <c r="A188" t="inlineStr">
        <is>
          <t>Insumos e papel</t>
        </is>
      </c>
      <c r="B188" t="inlineStr">
        <is>
          <t>2.01.79 Compra de Gás</t>
        </is>
      </c>
      <c r="C188" s="30" t="n">
        <v>46204</v>
      </c>
      <c r="D188" t="inlineStr">
        <is>
          <t>Em 2026</t>
        </is>
      </c>
      <c r="E188" s="28" t="n">
        <v>46231</v>
      </c>
      <c r="F188" t="inlineStr">
        <is>
          <t>NF-e</t>
        </is>
      </c>
      <c r="G188" t="inlineStr">
        <is>
          <t>000008496</t>
        </is>
      </c>
      <c r="H188" t="inlineStr">
        <is>
          <t>SUPERGASBRAS ENERGIA LTDA</t>
        </is>
      </c>
      <c r="I188" t="inlineStr">
        <is>
          <t>19.791.896/0166-00</t>
        </is>
      </c>
      <c r="J188" s="29" t="n">
        <v>472.47</v>
      </c>
      <c r="K188" s="29">
        <f>(1-ISNUMBER(SEARCH("556",M188)))*(O188*SUMIFS(Premissas!$C$5:$C$44,Premissas!$A$5:$A$44,$A188,Premissas!$B$5:$B$44,$B188)+P188*SUMIFS(Premissas!$D$5:$D$44,Premissas!$A$5:$A$44,$A188,Premissas!$B$5:$B$44,$B188))+R188*SUMIFS(Premissas!$E$5:$E$44,Premissas!$A$5:$A$44,$A188,Premissas!$B$5:$B$44,$B188)+S188*SUMIFS(Premissas!$F$5:$F$44,Premissas!$A$5:$A$44,$A188,Premissas!$B$5:$B$44,$B188)</f>
        <v/>
      </c>
      <c r="L188" s="29">
        <f>J188-K188</f>
        <v/>
      </c>
      <c r="M188" t="inlineStr">
        <is>
          <t>1.556</t>
        </is>
      </c>
      <c r="O188" s="29" t="n">
        <v>0</v>
      </c>
      <c r="P188" s="29" t="n">
        <v>0</v>
      </c>
      <c r="Q188" s="29" t="n">
        <v>0</v>
      </c>
      <c r="R188" s="29" t="n">
        <v>0</v>
      </c>
      <c r="S188" s="29" t="n">
        <v>0</v>
      </c>
      <c r="T188" t="inlineStr">
        <is>
          <t>25260719791896016600550090000084961162023306</t>
        </is>
      </c>
      <c r="U188" t="inlineStr">
        <is>
          <t>Sim</t>
        </is>
      </c>
    </row>
    <row r="189">
      <c r="A189" t="inlineStr">
        <is>
          <t>Insumos e papel</t>
        </is>
      </c>
      <c r="B189" t="inlineStr">
        <is>
          <t>2.01.79 Compra de Gás</t>
        </is>
      </c>
      <c r="C189" s="30" t="n">
        <v>46235</v>
      </c>
      <c r="D189" t="inlineStr">
        <is>
          <t>Em 2026</t>
        </is>
      </c>
      <c r="E189" s="28" t="n">
        <v>46238</v>
      </c>
      <c r="F189" t="inlineStr">
        <is>
          <t>NF-e</t>
        </is>
      </c>
      <c r="G189" t="inlineStr">
        <is>
          <t>000008558</t>
        </is>
      </c>
      <c r="H189" t="inlineStr">
        <is>
          <t>SUPERGASBRAS ENERGIA LTDA</t>
        </is>
      </c>
      <c r="I189" t="inlineStr">
        <is>
          <t>19.791.896/0166-00</t>
        </is>
      </c>
      <c r="J189" s="29" t="n">
        <v>629.96</v>
      </c>
      <c r="K189" s="29">
        <f>(1-ISNUMBER(SEARCH("556",M189)))*(O189*SUMIFS(Premissas!$C$5:$C$44,Premissas!$A$5:$A$44,$A189,Premissas!$B$5:$B$44,$B189)+P189*SUMIFS(Premissas!$D$5:$D$44,Premissas!$A$5:$A$44,$A189,Premissas!$B$5:$B$44,$B189))+R189*SUMIFS(Premissas!$E$5:$E$44,Premissas!$A$5:$A$44,$A189,Premissas!$B$5:$B$44,$B189)+S189*SUMIFS(Premissas!$F$5:$F$44,Premissas!$A$5:$A$44,$A189,Premissas!$B$5:$B$44,$B189)</f>
        <v/>
      </c>
      <c r="L189" s="29">
        <f>J189-K189</f>
        <v/>
      </c>
      <c r="M189" t="inlineStr">
        <is>
          <t>1.556</t>
        </is>
      </c>
      <c r="O189" s="29" t="n">
        <v>0</v>
      </c>
      <c r="P189" s="29" t="n">
        <v>0</v>
      </c>
      <c r="Q189" s="29" t="n">
        <v>0</v>
      </c>
      <c r="R189" s="29" t="n">
        <v>0</v>
      </c>
      <c r="S189" s="29" t="n">
        <v>0</v>
      </c>
      <c r="T189" t="inlineStr">
        <is>
          <t>25260819791896016600550090000085581688799198</t>
        </is>
      </c>
      <c r="U189" t="inlineStr">
        <is>
          <t>Sim</t>
        </is>
      </c>
    </row>
    <row r="190">
      <c r="A190" t="inlineStr">
        <is>
          <t>Insumos e papel</t>
        </is>
      </c>
      <c r="B190" t="inlineStr">
        <is>
          <t>2.01.79 Compra de Gás</t>
        </is>
      </c>
      <c r="C190" s="30" t="n">
        <v>46235</v>
      </c>
      <c r="D190" t="inlineStr">
        <is>
          <t>Em 2026</t>
        </is>
      </c>
      <c r="E190" s="28" t="n">
        <v>46245</v>
      </c>
      <c r="F190" t="inlineStr">
        <is>
          <t>NF-e</t>
        </is>
      </c>
      <c r="G190" t="inlineStr">
        <is>
          <t>000008626</t>
        </is>
      </c>
      <c r="H190" t="inlineStr">
        <is>
          <t>SUPERGASBRAS ENERGIA LTDA</t>
        </is>
      </c>
      <c r="I190" t="inlineStr">
        <is>
          <t>19.791.896/0166-00</t>
        </is>
      </c>
      <c r="J190" s="29" t="n">
        <v>629.96</v>
      </c>
      <c r="K190" s="29">
        <f>(1-ISNUMBER(SEARCH("556",M190)))*(O190*SUMIFS(Premissas!$C$5:$C$44,Premissas!$A$5:$A$44,$A190,Premissas!$B$5:$B$44,$B190)+P190*SUMIFS(Premissas!$D$5:$D$44,Premissas!$A$5:$A$44,$A190,Premissas!$B$5:$B$44,$B190))+R190*SUMIFS(Premissas!$E$5:$E$44,Premissas!$A$5:$A$44,$A190,Premissas!$B$5:$B$44,$B190)+S190*SUMIFS(Premissas!$F$5:$F$44,Premissas!$A$5:$A$44,$A190,Premissas!$B$5:$B$44,$B190)</f>
        <v/>
      </c>
      <c r="L190" s="29">
        <f>J190-K190</f>
        <v/>
      </c>
      <c r="M190" t="inlineStr">
        <is>
          <t>1.556</t>
        </is>
      </c>
      <c r="O190" s="29" t="n">
        <v>0</v>
      </c>
      <c r="P190" s="29" t="n">
        <v>0</v>
      </c>
      <c r="Q190" s="29" t="n">
        <v>0</v>
      </c>
      <c r="R190" s="29" t="n">
        <v>0</v>
      </c>
      <c r="S190" s="29" t="n">
        <v>0</v>
      </c>
      <c r="T190" t="inlineStr">
        <is>
          <t>25260819791896016600550090000086261105134781</t>
        </is>
      </c>
      <c r="U190" t="inlineStr">
        <is>
          <t>Sim</t>
        </is>
      </c>
    </row>
    <row r="191">
      <c r="A191" t="inlineStr">
        <is>
          <t>Insumos e papel</t>
        </is>
      </c>
      <c r="B191" t="inlineStr">
        <is>
          <t>2.01.79 Compra de Gás</t>
        </is>
      </c>
      <c r="C191" s="30" t="n">
        <v>46235</v>
      </c>
      <c r="D191" t="inlineStr">
        <is>
          <t>Em 2026</t>
        </is>
      </c>
      <c r="E191" s="28" t="n">
        <v>46252</v>
      </c>
      <c r="F191" t="inlineStr">
        <is>
          <t>NF-e</t>
        </is>
      </c>
      <c r="G191" t="inlineStr">
        <is>
          <t>000008692</t>
        </is>
      </c>
      <c r="H191" t="inlineStr">
        <is>
          <t>SUPERGASBRAS ENERGIA LTDA</t>
        </is>
      </c>
      <c r="I191" t="inlineStr">
        <is>
          <t>19.791.896/0166-00</t>
        </is>
      </c>
      <c r="J191" s="29" t="n">
        <v>629.96</v>
      </c>
      <c r="K191" s="29">
        <f>(1-ISNUMBER(SEARCH("556",M191)))*(O191*SUMIFS(Premissas!$C$5:$C$44,Premissas!$A$5:$A$44,$A191,Premissas!$B$5:$B$44,$B191)+P191*SUMIFS(Premissas!$D$5:$D$44,Premissas!$A$5:$A$44,$A191,Premissas!$B$5:$B$44,$B191))+R191*SUMIFS(Premissas!$E$5:$E$44,Premissas!$A$5:$A$44,$A191,Premissas!$B$5:$B$44,$B191)+S191*SUMIFS(Premissas!$F$5:$F$44,Premissas!$A$5:$A$44,$A191,Premissas!$B$5:$B$44,$B191)</f>
        <v/>
      </c>
      <c r="L191" s="29">
        <f>J191-K191</f>
        <v/>
      </c>
      <c r="M191" t="inlineStr">
        <is>
          <t>1.556</t>
        </is>
      </c>
      <c r="O191" s="29" t="n">
        <v>0</v>
      </c>
      <c r="P191" s="29" t="n">
        <v>0</v>
      </c>
      <c r="Q191" s="29" t="n">
        <v>0</v>
      </c>
      <c r="R191" s="29" t="n">
        <v>0</v>
      </c>
      <c r="S191" s="29" t="n">
        <v>0</v>
      </c>
      <c r="T191" t="inlineStr">
        <is>
          <t>25260819791896016600550090000086921637520444</t>
        </is>
      </c>
      <c r="U191" t="inlineStr">
        <is>
          <t>Sim</t>
        </is>
      </c>
    </row>
    <row r="192">
      <c r="A192" t="inlineStr">
        <is>
          <t>Insumos e papel</t>
        </is>
      </c>
      <c r="B192" t="inlineStr">
        <is>
          <t>2.01.79 Compra de Gás</t>
        </is>
      </c>
      <c r="C192" s="30" t="n">
        <v>46235</v>
      </c>
      <c r="D192" t="inlineStr">
        <is>
          <t>Em 2026</t>
        </is>
      </c>
      <c r="E192" s="28" t="n">
        <v>46258</v>
      </c>
      <c r="F192" t="inlineStr">
        <is>
          <t>NF-e</t>
        </is>
      </c>
      <c r="G192" t="inlineStr">
        <is>
          <t>000008747</t>
        </is>
      </c>
      <c r="H192" t="inlineStr">
        <is>
          <t>SUPERGASBRAS ENERGIA LTDA</t>
        </is>
      </c>
      <c r="I192" t="inlineStr">
        <is>
          <t>19.791.896/0166-00</t>
        </is>
      </c>
      <c r="J192" s="29" t="n">
        <v>629.96</v>
      </c>
      <c r="K192" s="29">
        <f>(1-ISNUMBER(SEARCH("556",M192)))*(O192*SUMIFS(Premissas!$C$5:$C$44,Premissas!$A$5:$A$44,$A192,Premissas!$B$5:$B$44,$B192)+P192*SUMIFS(Premissas!$D$5:$D$44,Premissas!$A$5:$A$44,$A192,Premissas!$B$5:$B$44,$B192))+R192*SUMIFS(Premissas!$E$5:$E$44,Premissas!$A$5:$A$44,$A192,Premissas!$B$5:$B$44,$B192)+S192*SUMIFS(Premissas!$F$5:$F$44,Premissas!$A$5:$A$44,$A192,Premissas!$B$5:$B$44,$B192)</f>
        <v/>
      </c>
      <c r="L192" s="29">
        <f>J192-K192</f>
        <v/>
      </c>
      <c r="M192" t="inlineStr">
        <is>
          <t>1.556</t>
        </is>
      </c>
      <c r="O192" s="29" t="n">
        <v>0</v>
      </c>
      <c r="P192" s="29" t="n">
        <v>0</v>
      </c>
      <c r="Q192" s="29" t="n">
        <v>0</v>
      </c>
      <c r="R192" s="29" t="n">
        <v>0</v>
      </c>
      <c r="S192" s="29" t="n">
        <v>0</v>
      </c>
      <c r="T192" t="inlineStr">
        <is>
          <t>25260819791896016600550090000087471691231536</t>
        </is>
      </c>
      <c r="U192" t="inlineStr">
        <is>
          <t>Sim</t>
        </is>
      </c>
    </row>
    <row r="193">
      <c r="A193" t="inlineStr">
        <is>
          <t>Insumos e papel</t>
        </is>
      </c>
      <c r="B193" t="inlineStr">
        <is>
          <t>2.01.79 Compra de Gás</t>
        </is>
      </c>
      <c r="C193" s="30" t="n">
        <v>46235</v>
      </c>
      <c r="D193" t="inlineStr">
        <is>
          <t>Em 2026</t>
        </is>
      </c>
      <c r="E193" s="28" t="n">
        <v>46262</v>
      </c>
      <c r="F193" t="inlineStr">
        <is>
          <t>NF-e</t>
        </is>
      </c>
      <c r="G193" t="inlineStr">
        <is>
          <t>000008806</t>
        </is>
      </c>
      <c r="H193" t="inlineStr">
        <is>
          <t>SUPERGASBRAS ENERGIA LTDA</t>
        </is>
      </c>
      <c r="I193" t="inlineStr">
        <is>
          <t>19.791.896/0166-00</t>
        </is>
      </c>
      <c r="J193" s="29" t="n">
        <v>629.96</v>
      </c>
      <c r="K193" s="29">
        <f>(1-ISNUMBER(SEARCH("556",M193)))*(O193*SUMIFS(Premissas!$C$5:$C$44,Premissas!$A$5:$A$44,$A193,Premissas!$B$5:$B$44,$B193)+P193*SUMIFS(Premissas!$D$5:$D$44,Premissas!$A$5:$A$44,$A193,Premissas!$B$5:$B$44,$B193))+R193*SUMIFS(Premissas!$E$5:$E$44,Premissas!$A$5:$A$44,$A193,Premissas!$B$5:$B$44,$B193)+S193*SUMIFS(Premissas!$F$5:$F$44,Premissas!$A$5:$A$44,$A193,Premissas!$B$5:$B$44,$B193)</f>
        <v/>
      </c>
      <c r="L193" s="29">
        <f>J193-K193</f>
        <v/>
      </c>
      <c r="M193" t="inlineStr">
        <is>
          <t>1.556</t>
        </is>
      </c>
      <c r="O193" s="29" t="n">
        <v>0</v>
      </c>
      <c r="P193" s="29" t="n">
        <v>0</v>
      </c>
      <c r="Q193" s="29" t="n">
        <v>0</v>
      </c>
      <c r="R193" s="29" t="n">
        <v>0</v>
      </c>
      <c r="S193" s="29" t="n">
        <v>0</v>
      </c>
      <c r="T193" t="inlineStr">
        <is>
          <t>25260819791896016600550090000088061562352232</t>
        </is>
      </c>
      <c r="U193" t="inlineStr">
        <is>
          <t>Sim</t>
        </is>
      </c>
    </row>
    <row r="194">
      <c r="A194" t="inlineStr">
        <is>
          <t>Insumos e papel</t>
        </is>
      </c>
      <c r="B194" t="inlineStr">
        <is>
          <t>2.01.79 Compra de Gás</t>
        </is>
      </c>
      <c r="C194" s="30" t="n">
        <v>46266</v>
      </c>
      <c r="D194" t="inlineStr">
        <is>
          <t>Em 2026</t>
        </is>
      </c>
      <c r="E194" s="28" t="n">
        <v>46267</v>
      </c>
      <c r="F194" t="inlineStr">
        <is>
          <t>NF-e</t>
        </is>
      </c>
      <c r="G194" t="inlineStr">
        <is>
          <t>000008830</t>
        </is>
      </c>
      <c r="H194" t="inlineStr">
        <is>
          <t>SUPERGASBRAS ENERGIA LTDA</t>
        </is>
      </c>
      <c r="I194" t="inlineStr">
        <is>
          <t>19.791.896/0166-00</t>
        </is>
      </c>
      <c r="J194" s="29" t="n">
        <v>326.98</v>
      </c>
      <c r="K194" s="29">
        <f>(1-ISNUMBER(SEARCH("556",M194)))*(O194*SUMIFS(Premissas!$C$5:$C$44,Premissas!$A$5:$A$44,$A194,Premissas!$B$5:$B$44,$B194)+P194*SUMIFS(Premissas!$D$5:$D$44,Premissas!$A$5:$A$44,$A194,Premissas!$B$5:$B$44,$B194))+R194*SUMIFS(Premissas!$E$5:$E$44,Premissas!$A$5:$A$44,$A194,Premissas!$B$5:$B$44,$B194)+S194*SUMIFS(Premissas!$F$5:$F$44,Premissas!$A$5:$A$44,$A194,Premissas!$B$5:$B$44,$B194)</f>
        <v/>
      </c>
      <c r="L194" s="29">
        <f>J194-K194</f>
        <v/>
      </c>
      <c r="M194" t="inlineStr">
        <is>
          <t>1.556</t>
        </is>
      </c>
      <c r="O194" s="29" t="n">
        <v>0</v>
      </c>
      <c r="P194" s="29" t="n">
        <v>0</v>
      </c>
      <c r="Q194" s="29" t="n">
        <v>0</v>
      </c>
      <c r="R194" s="29" t="n">
        <v>0</v>
      </c>
      <c r="S194" s="29" t="n">
        <v>0</v>
      </c>
      <c r="T194" t="inlineStr">
        <is>
          <t>25260919791896016600550090000088301894507872</t>
        </is>
      </c>
      <c r="U194" t="inlineStr">
        <is>
          <t>Sim</t>
        </is>
      </c>
    </row>
    <row r="195">
      <c r="A195" t="inlineStr">
        <is>
          <t>Insumos e papel</t>
        </is>
      </c>
      <c r="B195" t="inlineStr">
        <is>
          <t>2.01.79 Compra de Gás</t>
        </is>
      </c>
      <c r="C195" s="30" t="n">
        <v>46266</v>
      </c>
      <c r="D195" t="inlineStr">
        <is>
          <t>Em 2026</t>
        </is>
      </c>
      <c r="E195" s="28" t="n">
        <v>46273</v>
      </c>
      <c r="F195" t="inlineStr">
        <is>
          <t>NF-e</t>
        </is>
      </c>
      <c r="G195" t="inlineStr">
        <is>
          <t>000008872</t>
        </is>
      </c>
      <c r="H195" t="inlineStr">
        <is>
          <t>SUPERGASBRAS ENERGIA LTDA</t>
        </is>
      </c>
      <c r="I195" t="inlineStr">
        <is>
          <t>19.791.896/0166-00</t>
        </is>
      </c>
      <c r="J195" s="29" t="n">
        <v>490.47</v>
      </c>
      <c r="K195" s="29">
        <f>(1-ISNUMBER(SEARCH("556",M195)))*(O195*SUMIFS(Premissas!$C$5:$C$44,Premissas!$A$5:$A$44,$A195,Premissas!$B$5:$B$44,$B195)+P195*SUMIFS(Premissas!$D$5:$D$44,Premissas!$A$5:$A$44,$A195,Premissas!$B$5:$B$44,$B195))+R195*SUMIFS(Premissas!$E$5:$E$44,Premissas!$A$5:$A$44,$A195,Premissas!$B$5:$B$44,$B195)+S195*SUMIFS(Premissas!$F$5:$F$44,Premissas!$A$5:$A$44,$A195,Premissas!$B$5:$B$44,$B195)</f>
        <v/>
      </c>
      <c r="L195" s="29">
        <f>J195-K195</f>
        <v/>
      </c>
      <c r="M195" t="inlineStr">
        <is>
          <t>1.556</t>
        </is>
      </c>
      <c r="O195" s="29" t="n">
        <v>0</v>
      </c>
      <c r="P195" s="29" t="n">
        <v>0</v>
      </c>
      <c r="Q195" s="29" t="n">
        <v>0</v>
      </c>
      <c r="R195" s="29" t="n">
        <v>0</v>
      </c>
      <c r="S195" s="29" t="n">
        <v>0</v>
      </c>
      <c r="T195" t="inlineStr">
        <is>
          <t>25260919791896016600550090000088721000540213</t>
        </is>
      </c>
      <c r="U195" t="inlineStr">
        <is>
          <t>Sim</t>
        </is>
      </c>
    </row>
    <row r="196">
      <c r="A196" t="inlineStr">
        <is>
          <t>Insumos e papel</t>
        </is>
      </c>
      <c r="B196" t="inlineStr">
        <is>
          <t>2.01.79 Compra de Gás</t>
        </is>
      </c>
      <c r="C196" s="30" t="n">
        <v>46266</v>
      </c>
      <c r="D196" t="inlineStr">
        <is>
          <t>Em 2026</t>
        </is>
      </c>
      <c r="E196" s="28" t="n">
        <v>46280</v>
      </c>
      <c r="F196" t="inlineStr">
        <is>
          <t>NF-e</t>
        </is>
      </c>
      <c r="G196" t="inlineStr">
        <is>
          <t>000008939</t>
        </is>
      </c>
      <c r="H196" t="inlineStr">
        <is>
          <t>SUPERGASBRAS ENERGIA LTDA</t>
        </is>
      </c>
      <c r="I196" t="inlineStr">
        <is>
          <t>19.791.896/0166-00</t>
        </is>
      </c>
      <c r="J196" s="29" t="n">
        <v>817.45</v>
      </c>
      <c r="K196" s="29">
        <f>(1-ISNUMBER(SEARCH("556",M196)))*(O196*SUMIFS(Premissas!$C$5:$C$44,Premissas!$A$5:$A$44,$A196,Premissas!$B$5:$B$44,$B196)+P196*SUMIFS(Premissas!$D$5:$D$44,Premissas!$A$5:$A$44,$A196,Premissas!$B$5:$B$44,$B196))+R196*SUMIFS(Premissas!$E$5:$E$44,Premissas!$A$5:$A$44,$A196,Premissas!$B$5:$B$44,$B196)+S196*SUMIFS(Premissas!$F$5:$F$44,Premissas!$A$5:$A$44,$A196,Premissas!$B$5:$B$44,$B196)</f>
        <v/>
      </c>
      <c r="L196" s="29">
        <f>J196-K196</f>
        <v/>
      </c>
      <c r="M196" t="inlineStr">
        <is>
          <t>1.556</t>
        </is>
      </c>
      <c r="O196" s="29" t="n">
        <v>0</v>
      </c>
      <c r="P196" s="29" t="n">
        <v>0</v>
      </c>
      <c r="Q196" s="29" t="n">
        <v>0</v>
      </c>
      <c r="R196" s="29" t="n">
        <v>0</v>
      </c>
      <c r="S196" s="29" t="n">
        <v>0</v>
      </c>
      <c r="T196" t="inlineStr">
        <is>
          <t>25260919791896016600550090000089391528271950</t>
        </is>
      </c>
      <c r="U196" t="inlineStr">
        <is>
          <t>Sim</t>
        </is>
      </c>
    </row>
    <row r="197">
      <c r="A197" t="inlineStr">
        <is>
          <t>Insumos e papel</t>
        </is>
      </c>
      <c r="B197" t="inlineStr">
        <is>
          <t>2.01.79 Compra de Gás</t>
        </is>
      </c>
      <c r="C197" s="30" t="n">
        <v>46266</v>
      </c>
      <c r="D197" t="inlineStr">
        <is>
          <t>Em 2026</t>
        </is>
      </c>
      <c r="E197" s="28" t="n">
        <v>46286</v>
      </c>
      <c r="F197" t="inlineStr">
        <is>
          <t>NF-e</t>
        </is>
      </c>
      <c r="G197" t="inlineStr">
        <is>
          <t>000008996</t>
        </is>
      </c>
      <c r="H197" t="inlineStr">
        <is>
          <t>SUPERGASBRAS ENERGIA LTDA</t>
        </is>
      </c>
      <c r="I197" t="inlineStr">
        <is>
          <t>19.791.896/0166-00</t>
        </is>
      </c>
      <c r="J197" s="29" t="n">
        <v>653.96</v>
      </c>
      <c r="K197" s="29">
        <f>(1-ISNUMBER(SEARCH("556",M197)))*(O197*SUMIFS(Premissas!$C$5:$C$44,Premissas!$A$5:$A$44,$A197,Premissas!$B$5:$B$44,$B197)+P197*SUMIFS(Premissas!$D$5:$D$44,Premissas!$A$5:$A$44,$A197,Premissas!$B$5:$B$44,$B197))+R197*SUMIFS(Premissas!$E$5:$E$44,Premissas!$A$5:$A$44,$A197,Premissas!$B$5:$B$44,$B197)+S197*SUMIFS(Premissas!$F$5:$F$44,Premissas!$A$5:$A$44,$A197,Premissas!$B$5:$B$44,$B197)</f>
        <v/>
      </c>
      <c r="L197" s="29">
        <f>J197-K197</f>
        <v/>
      </c>
      <c r="M197" t="inlineStr">
        <is>
          <t>1.556</t>
        </is>
      </c>
      <c r="O197" s="29" t="n">
        <v>0</v>
      </c>
      <c r="P197" s="29" t="n">
        <v>0</v>
      </c>
      <c r="Q197" s="29" t="n">
        <v>0</v>
      </c>
      <c r="R197" s="29" t="n">
        <v>0</v>
      </c>
      <c r="S197" s="29" t="n">
        <v>0</v>
      </c>
      <c r="T197" t="inlineStr">
        <is>
          <t>25260919791896016600550090000089961577532840</t>
        </is>
      </c>
      <c r="U197" t="inlineStr">
        <is>
          <t>Sim</t>
        </is>
      </c>
    </row>
    <row r="198">
      <c r="A198" t="inlineStr">
        <is>
          <t>Insumos e papel</t>
        </is>
      </c>
      <c r="B198" t="inlineStr">
        <is>
          <t>2.01.79 Compra de Gás</t>
        </is>
      </c>
      <c r="C198" s="30" t="n">
        <v>46266</v>
      </c>
      <c r="D198" t="inlineStr">
        <is>
          <t>Em 2026</t>
        </is>
      </c>
      <c r="E198" s="28" t="n">
        <v>46289</v>
      </c>
      <c r="F198" t="inlineStr">
        <is>
          <t>NF-e</t>
        </is>
      </c>
      <c r="G198" t="inlineStr">
        <is>
          <t>000009037</t>
        </is>
      </c>
      <c r="H198" t="inlineStr">
        <is>
          <t>SUPERGASBRAS ENERGIA LTDA</t>
        </is>
      </c>
      <c r="I198" t="inlineStr">
        <is>
          <t>19.791.896/0166-00</t>
        </is>
      </c>
      <c r="J198" s="29" t="n">
        <v>490.47</v>
      </c>
      <c r="K198" s="29">
        <f>(1-ISNUMBER(SEARCH("556",M198)))*(O198*SUMIFS(Premissas!$C$5:$C$44,Premissas!$A$5:$A$44,$A198,Premissas!$B$5:$B$44,$B198)+P198*SUMIFS(Premissas!$D$5:$D$44,Premissas!$A$5:$A$44,$A198,Premissas!$B$5:$B$44,$B198))+R198*SUMIFS(Premissas!$E$5:$E$44,Premissas!$A$5:$A$44,$A198,Premissas!$B$5:$B$44,$B198)+S198*SUMIFS(Premissas!$F$5:$F$44,Premissas!$A$5:$A$44,$A198,Premissas!$B$5:$B$44,$B198)</f>
        <v/>
      </c>
      <c r="L198" s="29">
        <f>J198-K198</f>
        <v/>
      </c>
      <c r="M198" t="inlineStr">
        <is>
          <t>1.556</t>
        </is>
      </c>
      <c r="O198" s="29" t="n">
        <v>0</v>
      </c>
      <c r="P198" s="29" t="n">
        <v>0</v>
      </c>
      <c r="Q198" s="29" t="n">
        <v>0</v>
      </c>
      <c r="R198" s="29" t="n">
        <v>0</v>
      </c>
      <c r="S198" s="29" t="n">
        <v>0</v>
      </c>
      <c r="T198" t="inlineStr">
        <is>
          <t>25260919791896016600550090000090371689913807</t>
        </is>
      </c>
      <c r="U198" t="inlineStr">
        <is>
          <t>Sim</t>
        </is>
      </c>
    </row>
    <row r="199">
      <c r="A199" t="inlineStr">
        <is>
          <t>Insumos e papel</t>
        </is>
      </c>
      <c r="B199" t="inlineStr">
        <is>
          <t>2.01.83 Compra de Etiqueta Personalizada</t>
        </is>
      </c>
      <c r="C199" s="30" t="n">
        <v>46113</v>
      </c>
      <c r="D199" t="inlineStr">
        <is>
          <t>Em 2026</t>
        </is>
      </c>
      <c r="E199" s="28" t="n">
        <v>46120</v>
      </c>
      <c r="F199" t="inlineStr">
        <is>
          <t>NF-e</t>
        </is>
      </c>
      <c r="G199" t="inlineStr">
        <is>
          <t>000016396</t>
        </is>
      </c>
      <c r="H199" t="inlineStr">
        <is>
          <t>BR EMBALAGENS INDUSTRIA E COMERCIO LTDA</t>
        </is>
      </c>
      <c r="I199" t="inlineStr">
        <is>
          <t>28.150.494/0001-00</t>
        </is>
      </c>
      <c r="J199" s="29" t="n">
        <v>21150</v>
      </c>
      <c r="K199" s="29">
        <f>(1-ISNUMBER(SEARCH("556",M199)))*(O199*SUMIFS(Premissas!$C$5:$C$44,Premissas!$A$5:$A$44,$A199,Premissas!$B$5:$B$44,$B199)+P199*SUMIFS(Premissas!$D$5:$D$44,Premissas!$A$5:$A$44,$A199,Premissas!$B$5:$B$44,$B199))+R199*SUMIFS(Premissas!$E$5:$E$44,Premissas!$A$5:$A$44,$A199,Premissas!$B$5:$B$44,$B199)+S199*SUMIFS(Premissas!$F$5:$F$44,Premissas!$A$5:$A$44,$A199,Premissas!$B$5:$B$44,$B199)</f>
        <v/>
      </c>
      <c r="L199" s="29">
        <f>J199-K199</f>
        <v/>
      </c>
      <c r="M199" t="inlineStr">
        <is>
          <t>2.102</t>
        </is>
      </c>
      <c r="O199" s="29" t="n">
        <v>0</v>
      </c>
      <c r="P199" s="29" t="n">
        <v>2538</v>
      </c>
      <c r="Q199" s="29" t="n">
        <v>0</v>
      </c>
      <c r="R199" s="29" t="n">
        <v>0</v>
      </c>
      <c r="S199" s="29" t="n">
        <v>0</v>
      </c>
      <c r="T199" t="inlineStr">
        <is>
          <t>26260428150494000100550010000163961000175864</t>
        </is>
      </c>
      <c r="U199" t="inlineStr">
        <is>
          <t>Sim</t>
        </is>
      </c>
    </row>
    <row r="200">
      <c r="A200" t="inlineStr">
        <is>
          <t>Insumos e papel</t>
        </is>
      </c>
      <c r="B200" t="inlineStr">
        <is>
          <t>2.01.83 Compra de Etiqueta Personalizada</t>
        </is>
      </c>
      <c r="C200" s="30" t="n">
        <v>46113</v>
      </c>
      <c r="D200" t="inlineStr">
        <is>
          <t>Em 2026</t>
        </is>
      </c>
      <c r="E200" s="28" t="n">
        <v>46120</v>
      </c>
      <c r="F200" t="inlineStr">
        <is>
          <t>NF-e</t>
        </is>
      </c>
      <c r="G200" t="inlineStr">
        <is>
          <t>000016397</t>
        </is>
      </c>
      <c r="H200" t="inlineStr">
        <is>
          <t>BR EMBALAGENS INDUSTRIA E COMERCIO LTDA</t>
        </is>
      </c>
      <c r="I200" t="inlineStr">
        <is>
          <t>28.150.494/0001-00</t>
        </is>
      </c>
      <c r="J200" s="29" t="n">
        <v>21150</v>
      </c>
      <c r="K200" s="29">
        <f>(1-ISNUMBER(SEARCH("556",M200)))*(O200*SUMIFS(Premissas!$C$5:$C$44,Premissas!$A$5:$A$44,$A200,Premissas!$B$5:$B$44,$B200)+P200*SUMIFS(Premissas!$D$5:$D$44,Premissas!$A$5:$A$44,$A200,Premissas!$B$5:$B$44,$B200))+R200*SUMIFS(Premissas!$E$5:$E$44,Premissas!$A$5:$A$44,$A200,Premissas!$B$5:$B$44,$B200)+S200*SUMIFS(Premissas!$F$5:$F$44,Premissas!$A$5:$A$44,$A200,Premissas!$B$5:$B$44,$B200)</f>
        <v/>
      </c>
      <c r="L200" s="29">
        <f>J200-K200</f>
        <v/>
      </c>
      <c r="M200" t="inlineStr">
        <is>
          <t>1.102</t>
        </is>
      </c>
      <c r="O200" s="29" t="n">
        <v>0</v>
      </c>
      <c r="P200" s="29" t="n">
        <v>2538</v>
      </c>
      <c r="Q200" s="29" t="n">
        <v>0</v>
      </c>
      <c r="R200" s="29" t="n">
        <v>0</v>
      </c>
      <c r="S200" s="29" t="n">
        <v>0</v>
      </c>
      <c r="T200" t="inlineStr">
        <is>
          <t>26260428150494000100550010000163971000175870</t>
        </is>
      </c>
      <c r="U200" t="inlineStr">
        <is>
          <t>Sim</t>
        </is>
      </c>
    </row>
    <row r="201">
      <c r="A201" t="inlineStr">
        <is>
          <t>Insumos e papel</t>
        </is>
      </c>
      <c r="B201" t="inlineStr">
        <is>
          <t>2.01.83 Compra de Etiqueta Personalizada</t>
        </is>
      </c>
      <c r="C201" s="30" t="n">
        <v>46113</v>
      </c>
      <c r="D201" t="inlineStr">
        <is>
          <t>Em 2026</t>
        </is>
      </c>
      <c r="E201" s="28" t="n">
        <v>46120</v>
      </c>
      <c r="F201" t="inlineStr">
        <is>
          <t>NF-e</t>
        </is>
      </c>
      <c r="G201" t="inlineStr">
        <is>
          <t>000016398</t>
        </is>
      </c>
      <c r="H201" t="inlineStr">
        <is>
          <t>BR EMBALAGENS INDUSTRIA E COMERCIO LTDA</t>
        </is>
      </c>
      <c r="I201" t="inlineStr">
        <is>
          <t>28.150.494/0001-00</t>
        </is>
      </c>
      <c r="J201" s="29" t="n">
        <v>11377.8</v>
      </c>
      <c r="K201" s="29">
        <f>(1-ISNUMBER(SEARCH("556",M201)))*(O201*SUMIFS(Premissas!$C$5:$C$44,Premissas!$A$5:$A$44,$A201,Premissas!$B$5:$B$44,$B201)+P201*SUMIFS(Premissas!$D$5:$D$44,Premissas!$A$5:$A$44,$A201,Premissas!$B$5:$B$44,$B201))+R201*SUMIFS(Premissas!$E$5:$E$44,Premissas!$A$5:$A$44,$A201,Premissas!$B$5:$B$44,$B201)+S201*SUMIFS(Premissas!$F$5:$F$44,Premissas!$A$5:$A$44,$A201,Premissas!$B$5:$B$44,$B201)</f>
        <v/>
      </c>
      <c r="L201" s="29">
        <f>J201-K201</f>
        <v/>
      </c>
      <c r="M201" t="inlineStr">
        <is>
          <t>2.102</t>
        </is>
      </c>
      <c r="N201" t="inlineStr">
        <is>
          <t>Valor rateado entre categorias, como no Omie | Impostos rateados proporcionalmente ao valor da categoria (documento com mais de uma categoria)</t>
        </is>
      </c>
      <c r="O201" s="29" t="n">
        <v>0</v>
      </c>
      <c r="P201" s="29" t="n">
        <v>1365.34</v>
      </c>
      <c r="Q201" s="29" t="n">
        <v>0</v>
      </c>
      <c r="R201" s="29" t="n">
        <v>0</v>
      </c>
      <c r="S201" s="29" t="n">
        <v>0</v>
      </c>
      <c r="T201" t="inlineStr">
        <is>
          <t>26260428150494000100550010000163981000175885</t>
        </is>
      </c>
      <c r="U201" t="inlineStr">
        <is>
          <t>Sim</t>
        </is>
      </c>
    </row>
    <row r="202">
      <c r="A202" t="inlineStr">
        <is>
          <t>Insumos e papel</t>
        </is>
      </c>
      <c r="B202" t="inlineStr">
        <is>
          <t>2.01.83 Compra de Etiqueta Personalizada</t>
        </is>
      </c>
      <c r="C202" s="30" t="n">
        <v>46113</v>
      </c>
      <c r="D202" t="inlineStr">
        <is>
          <t>Em 2026</t>
        </is>
      </c>
      <c r="E202" s="28" t="n">
        <v>46141</v>
      </c>
      <c r="F202" t="inlineStr">
        <is>
          <t>NF-e</t>
        </is>
      </c>
      <c r="G202" t="inlineStr">
        <is>
          <t>000016621</t>
        </is>
      </c>
      <c r="H202" t="inlineStr">
        <is>
          <t>BR EMBALAGENS INDUSTRIA E COMERCIO LTDA</t>
        </is>
      </c>
      <c r="I202" t="inlineStr">
        <is>
          <t>28.150.494/0001-00</t>
        </is>
      </c>
      <c r="J202" s="29" t="n">
        <v>21150</v>
      </c>
      <c r="K202" s="29">
        <f>(1-ISNUMBER(SEARCH("556",M202)))*(O202*SUMIFS(Premissas!$C$5:$C$44,Premissas!$A$5:$A$44,$A202,Premissas!$B$5:$B$44,$B202)+P202*SUMIFS(Premissas!$D$5:$D$44,Premissas!$A$5:$A$44,$A202,Premissas!$B$5:$B$44,$B202))+R202*SUMIFS(Premissas!$E$5:$E$44,Premissas!$A$5:$A$44,$A202,Premissas!$B$5:$B$44,$B202)+S202*SUMIFS(Premissas!$F$5:$F$44,Premissas!$A$5:$A$44,$A202,Premissas!$B$5:$B$44,$B202)</f>
        <v/>
      </c>
      <c r="L202" s="29">
        <f>J202-K202</f>
        <v/>
      </c>
      <c r="M202" t="inlineStr">
        <is>
          <t>2.102</t>
        </is>
      </c>
      <c r="O202" s="29" t="n">
        <v>0</v>
      </c>
      <c r="P202" s="29" t="n">
        <v>2538</v>
      </c>
      <c r="Q202" s="29" t="n">
        <v>0</v>
      </c>
      <c r="R202" s="29" t="n">
        <v>348.98</v>
      </c>
      <c r="S202" s="29" t="n">
        <v>1607.4</v>
      </c>
      <c r="T202" t="inlineStr">
        <is>
          <t>26260428150494000100550010000166211000178206</t>
        </is>
      </c>
      <c r="U202" t="inlineStr">
        <is>
          <t>Sim</t>
        </is>
      </c>
    </row>
    <row r="203">
      <c r="A203" t="inlineStr">
        <is>
          <t>Insumos e papel</t>
        </is>
      </c>
      <c r="B203" t="inlineStr">
        <is>
          <t>2.01.83 Compra de Etiqueta Personalizada</t>
        </is>
      </c>
      <c r="C203" s="30" t="n">
        <v>46113</v>
      </c>
      <c r="D203" t="inlineStr">
        <is>
          <t>Em 2026</t>
        </is>
      </c>
      <c r="E203" s="28" t="n">
        <v>46141</v>
      </c>
      <c r="F203" t="inlineStr">
        <is>
          <t>NF-e</t>
        </is>
      </c>
      <c r="G203" t="inlineStr">
        <is>
          <t>000016622</t>
        </is>
      </c>
      <c r="H203" t="inlineStr">
        <is>
          <t>BR EMBALAGENS INDUSTRIA E COMERCIO LTDA</t>
        </is>
      </c>
      <c r="I203" t="inlineStr">
        <is>
          <t>28.150.494/0001-00</t>
        </is>
      </c>
      <c r="J203" s="29" t="n">
        <v>21150</v>
      </c>
      <c r="K203" s="29">
        <f>(1-ISNUMBER(SEARCH("556",M203)))*(O203*SUMIFS(Premissas!$C$5:$C$44,Premissas!$A$5:$A$44,$A203,Premissas!$B$5:$B$44,$B203)+P203*SUMIFS(Premissas!$D$5:$D$44,Premissas!$A$5:$A$44,$A203,Premissas!$B$5:$B$44,$B203))+R203*SUMIFS(Premissas!$E$5:$E$44,Premissas!$A$5:$A$44,$A203,Premissas!$B$5:$B$44,$B203)+S203*SUMIFS(Premissas!$F$5:$F$44,Premissas!$A$5:$A$44,$A203,Premissas!$B$5:$B$44,$B203)</f>
        <v/>
      </c>
      <c r="L203" s="29">
        <f>J203-K203</f>
        <v/>
      </c>
      <c r="M203" t="inlineStr">
        <is>
          <t>2.102</t>
        </is>
      </c>
      <c r="O203" s="29" t="n">
        <v>0</v>
      </c>
      <c r="P203" s="29" t="n">
        <v>2538</v>
      </c>
      <c r="Q203" s="29" t="n">
        <v>0</v>
      </c>
      <c r="R203" s="29" t="n">
        <v>348.98</v>
      </c>
      <c r="S203" s="29" t="n">
        <v>1607.4</v>
      </c>
      <c r="T203" t="inlineStr">
        <is>
          <t>26260428150494000100550010000166221000178211</t>
        </is>
      </c>
      <c r="U203" t="inlineStr">
        <is>
          <t>Sim</t>
        </is>
      </c>
    </row>
    <row r="204">
      <c r="A204" t="inlineStr">
        <is>
          <t>Insumos e papel</t>
        </is>
      </c>
      <c r="B204" t="inlineStr">
        <is>
          <t>2.01.83 Compra de Etiqueta Personalizada</t>
        </is>
      </c>
      <c r="C204" s="30" t="n">
        <v>46113</v>
      </c>
      <c r="D204" t="inlineStr">
        <is>
          <t>Em 2026</t>
        </is>
      </c>
      <c r="E204" s="28" t="n">
        <v>46141</v>
      </c>
      <c r="F204" t="inlineStr">
        <is>
          <t>NF-e</t>
        </is>
      </c>
      <c r="G204" t="inlineStr">
        <is>
          <t>000016623</t>
        </is>
      </c>
      <c r="H204" t="inlineStr">
        <is>
          <t>BR EMBALAGENS INDUSTRIA E COMERCIO LTDA</t>
        </is>
      </c>
      <c r="I204" t="inlineStr">
        <is>
          <t>28.150.494/0001-00</t>
        </is>
      </c>
      <c r="J204" s="29" t="n">
        <v>21520.8</v>
      </c>
      <c r="K204" s="29">
        <f>(1-ISNUMBER(SEARCH("556",M204)))*(O204*SUMIFS(Premissas!$C$5:$C$44,Premissas!$A$5:$A$44,$A204,Premissas!$B$5:$B$44,$B204)+P204*SUMIFS(Premissas!$D$5:$D$44,Premissas!$A$5:$A$44,$A204,Premissas!$B$5:$B$44,$B204))+R204*SUMIFS(Premissas!$E$5:$E$44,Premissas!$A$5:$A$44,$A204,Premissas!$B$5:$B$44,$B204)+S204*SUMIFS(Premissas!$F$5:$F$44,Premissas!$A$5:$A$44,$A204,Premissas!$B$5:$B$44,$B204)</f>
        <v/>
      </c>
      <c r="L204" s="29">
        <f>J204-K204</f>
        <v/>
      </c>
      <c r="M204" t="inlineStr">
        <is>
          <t>2.102</t>
        </is>
      </c>
      <c r="O204" s="29" t="n">
        <v>0</v>
      </c>
      <c r="P204" s="29" t="n">
        <v>2582.5</v>
      </c>
      <c r="Q204" s="29" t="n">
        <v>0</v>
      </c>
      <c r="R204" s="29" t="n">
        <v>355.09</v>
      </c>
      <c r="S204" s="29" t="n">
        <v>1635.58</v>
      </c>
      <c r="T204" t="inlineStr">
        <is>
          <t>26260428150494000100550010000166231000178227</t>
        </is>
      </c>
      <c r="U204" t="inlineStr">
        <is>
          <t>Sim</t>
        </is>
      </c>
    </row>
    <row r="205">
      <c r="A205" t="inlineStr">
        <is>
          <t>Insumos e papel</t>
        </is>
      </c>
      <c r="B205" t="inlineStr">
        <is>
          <t>2.01.89 Compra de Pallet</t>
        </is>
      </c>
      <c r="C205" s="30" t="n">
        <v>46023</v>
      </c>
      <c r="D205" t="inlineStr">
        <is>
          <t>Em 2026</t>
        </is>
      </c>
      <c r="E205" s="28" t="n">
        <v>46035</v>
      </c>
      <c r="F205" t="inlineStr">
        <is>
          <t>NF-e</t>
        </is>
      </c>
      <c r="G205" t="inlineStr">
        <is>
          <t>000004089</t>
        </is>
      </c>
      <c r="H205" t="inlineStr">
        <is>
          <t>RECICLAGEM LIBERDADE LTDA</t>
        </is>
      </c>
      <c r="I205" t="inlineStr">
        <is>
          <t>11.674.191/0001-93</t>
        </is>
      </c>
      <c r="J205" s="29" t="n">
        <v>1500</v>
      </c>
      <c r="K205" s="29">
        <f>(1-ISNUMBER(SEARCH("556",M205)))*(O205*SUMIFS(Premissas!$C$5:$C$44,Premissas!$A$5:$A$44,$A205,Premissas!$B$5:$B$44,$B205)+P205*SUMIFS(Premissas!$D$5:$D$44,Premissas!$A$5:$A$44,$A205,Premissas!$B$5:$B$44,$B205))+R205*SUMIFS(Premissas!$E$5:$E$44,Premissas!$A$5:$A$44,$A205,Premissas!$B$5:$B$44,$B205)+S205*SUMIFS(Premissas!$F$5:$F$44,Premissas!$A$5:$A$44,$A205,Premissas!$B$5:$B$44,$B205)</f>
        <v/>
      </c>
      <c r="L205" s="29">
        <f>J205-K205</f>
        <v/>
      </c>
      <c r="M205" t="inlineStr">
        <is>
          <t>1.556</t>
        </is>
      </c>
      <c r="O205" s="29" t="n">
        <v>0</v>
      </c>
      <c r="P205" s="29" t="n">
        <v>0</v>
      </c>
      <c r="Q205" s="29" t="n">
        <v>0</v>
      </c>
      <c r="R205" s="29" t="n">
        <v>0</v>
      </c>
      <c r="S205" s="29" t="n">
        <v>0</v>
      </c>
      <c r="T205" t="inlineStr">
        <is>
          <t>25260111674191000193550010000040891612572489</t>
        </is>
      </c>
      <c r="U205" t="inlineStr">
        <is>
          <t>Sim</t>
        </is>
      </c>
    </row>
    <row r="206">
      <c r="A206" t="inlineStr">
        <is>
          <t>Insumos e papel</t>
        </is>
      </c>
      <c r="B206" t="inlineStr">
        <is>
          <t>2.01.89 Compra de Pallet</t>
        </is>
      </c>
      <c r="C206" s="30" t="n">
        <v>46054</v>
      </c>
      <c r="D206" t="inlineStr">
        <is>
          <t>Em 2026</t>
        </is>
      </c>
      <c r="E206" s="28" t="n">
        <v>46073</v>
      </c>
      <c r="F206" t="inlineStr">
        <is>
          <t>NF-e</t>
        </is>
      </c>
      <c r="G206" t="inlineStr">
        <is>
          <t>000004153</t>
        </is>
      </c>
      <c r="H206" t="inlineStr">
        <is>
          <t>RECICLAGEM LIBERDADE LTDA</t>
        </is>
      </c>
      <c r="I206" t="inlineStr">
        <is>
          <t>11.674.191/0001-93</t>
        </is>
      </c>
      <c r="J206" s="29" t="n">
        <v>1500</v>
      </c>
      <c r="K206" s="29">
        <f>(1-ISNUMBER(SEARCH("556",M206)))*(O206*SUMIFS(Premissas!$C$5:$C$44,Premissas!$A$5:$A$44,$A206,Premissas!$B$5:$B$44,$B206)+P206*SUMIFS(Premissas!$D$5:$D$44,Premissas!$A$5:$A$44,$A206,Premissas!$B$5:$B$44,$B206))+R206*SUMIFS(Premissas!$E$5:$E$44,Premissas!$A$5:$A$44,$A206,Premissas!$B$5:$B$44,$B206)+S206*SUMIFS(Premissas!$F$5:$F$44,Premissas!$A$5:$A$44,$A206,Premissas!$B$5:$B$44,$B206)</f>
        <v/>
      </c>
      <c r="L206" s="29">
        <f>J206-K206</f>
        <v/>
      </c>
      <c r="M206" t="inlineStr">
        <is>
          <t>1.556</t>
        </is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t="inlineStr">
        <is>
          <t>25260211674191000193550010000041531912500951</t>
        </is>
      </c>
      <c r="U206" t="inlineStr">
        <is>
          <t>Sim</t>
        </is>
      </c>
    </row>
    <row r="207">
      <c r="A207" t="inlineStr">
        <is>
          <t>Insumos e papel</t>
        </is>
      </c>
      <c r="B207" t="inlineStr">
        <is>
          <t>2.01.89 Compra de Pallet</t>
        </is>
      </c>
      <c r="C207" s="30" t="n">
        <v>46082</v>
      </c>
      <c r="D207" t="inlineStr">
        <is>
          <t>Em 2026</t>
        </is>
      </c>
      <c r="E207" s="28" t="n">
        <v>46104</v>
      </c>
      <c r="F207" t="inlineStr">
        <is>
          <t>NF-e</t>
        </is>
      </c>
      <c r="G207" t="inlineStr">
        <is>
          <t>000004194</t>
        </is>
      </c>
      <c r="H207" t="inlineStr">
        <is>
          <t>RECICLAGEM LIBERDADE LTDA</t>
        </is>
      </c>
      <c r="I207" t="inlineStr">
        <is>
          <t>11.674.191/0001-93</t>
        </is>
      </c>
      <c r="J207" s="29" t="n">
        <v>1500</v>
      </c>
      <c r="K207" s="29">
        <f>(1-ISNUMBER(SEARCH("556",M207)))*(O207*SUMIFS(Premissas!$C$5:$C$44,Premissas!$A$5:$A$44,$A207,Premissas!$B$5:$B$44,$B207)+P207*SUMIFS(Premissas!$D$5:$D$44,Premissas!$A$5:$A$44,$A207,Premissas!$B$5:$B$44,$B207))+R207*SUMIFS(Premissas!$E$5:$E$44,Premissas!$A$5:$A$44,$A207,Premissas!$B$5:$B$44,$B207)+S207*SUMIFS(Premissas!$F$5:$F$44,Premissas!$A$5:$A$44,$A207,Premissas!$B$5:$B$44,$B207)</f>
        <v/>
      </c>
      <c r="L207" s="29">
        <f>J207-K207</f>
        <v/>
      </c>
      <c r="M207" t="inlineStr">
        <is>
          <t>1.556</t>
        </is>
      </c>
      <c r="O207" s="29" t="n">
        <v>0</v>
      </c>
      <c r="P207" s="29" t="n">
        <v>0</v>
      </c>
      <c r="Q207" s="29" t="n">
        <v>0</v>
      </c>
      <c r="R207" s="29" t="n">
        <v>0</v>
      </c>
      <c r="S207" s="29" t="n">
        <v>0</v>
      </c>
      <c r="T207" t="inlineStr">
        <is>
          <t>25260311674191000193550010000041941117162410</t>
        </is>
      </c>
      <c r="U207" t="inlineStr">
        <is>
          <t>Sim</t>
        </is>
      </c>
    </row>
    <row r="208">
      <c r="A208" t="inlineStr">
        <is>
          <t>Insumos e papel</t>
        </is>
      </c>
      <c r="B208" t="inlineStr">
        <is>
          <t>2.01.89 Compra de Pallet</t>
        </is>
      </c>
      <c r="C208" s="30" t="n">
        <v>46143</v>
      </c>
      <c r="D208" t="inlineStr">
        <is>
          <t>Em 2026</t>
        </is>
      </c>
      <c r="E208" s="28" t="n">
        <v>46169</v>
      </c>
      <c r="F208" t="inlineStr">
        <is>
          <t>NF-e</t>
        </is>
      </c>
      <c r="G208" t="inlineStr">
        <is>
          <t>000003190</t>
        </is>
      </c>
      <c r="H208" t="inlineStr">
        <is>
          <t>ANA MARIA BRITO DE SOUZA LTDA</t>
        </is>
      </c>
      <c r="I208" t="inlineStr">
        <is>
          <t>29.896.259/0001-44</t>
        </is>
      </c>
      <c r="J208" s="29" t="n">
        <v>1800</v>
      </c>
      <c r="K208" s="29">
        <f>(1-ISNUMBER(SEARCH("556",M208)))*(O208*SUMIFS(Premissas!$C$5:$C$44,Premissas!$A$5:$A$44,$A208,Premissas!$B$5:$B$44,$B208)+P208*SUMIFS(Premissas!$D$5:$D$44,Premissas!$A$5:$A$44,$A208,Premissas!$B$5:$B$44,$B208))+R208*SUMIFS(Premissas!$E$5:$E$44,Premissas!$A$5:$A$44,$A208,Premissas!$B$5:$B$44,$B208)+S208*SUMIFS(Premissas!$F$5:$F$44,Premissas!$A$5:$A$44,$A208,Premissas!$B$5:$B$44,$B208)</f>
        <v/>
      </c>
      <c r="L208" s="29">
        <f>J208-K208</f>
        <v/>
      </c>
      <c r="M208" t="inlineStr">
        <is>
          <t>1.102</t>
        </is>
      </c>
      <c r="O208" s="29" t="n">
        <v>0</v>
      </c>
      <c r="P208" s="29" t="n">
        <v>360</v>
      </c>
      <c r="Q208" s="29" t="n">
        <v>0</v>
      </c>
      <c r="R208" s="29" t="n">
        <v>11.7</v>
      </c>
      <c r="S208" s="29" t="n">
        <v>54</v>
      </c>
      <c r="T208" t="inlineStr">
        <is>
          <t>25260529896259000144550010000031901192278604</t>
        </is>
      </c>
      <c r="U208" t="inlineStr">
        <is>
          <t>Sim</t>
        </is>
      </c>
    </row>
    <row r="209">
      <c r="A209" t="inlineStr">
        <is>
          <t>Insumos e papel</t>
        </is>
      </c>
      <c r="B209" t="inlineStr">
        <is>
          <t>2.01.89 Compra de Pallet</t>
        </is>
      </c>
      <c r="C209" s="30" t="n">
        <v>46174</v>
      </c>
      <c r="D209" t="inlineStr">
        <is>
          <t>Em 2026</t>
        </is>
      </c>
      <c r="E209" s="28" t="n">
        <v>46198</v>
      </c>
      <c r="F209" t="inlineStr">
        <is>
          <t>NF-e</t>
        </is>
      </c>
      <c r="G209" t="inlineStr">
        <is>
          <t>000003223</t>
        </is>
      </c>
      <c r="H209" t="inlineStr">
        <is>
          <t>ANA MARIA BRITO DE SOUZA LTDA</t>
        </is>
      </c>
      <c r="I209" t="inlineStr">
        <is>
          <t>29.896.259/0001-44</t>
        </is>
      </c>
      <c r="J209" s="29" t="n">
        <v>3600</v>
      </c>
      <c r="K209" s="29">
        <f>(1-ISNUMBER(SEARCH("556",M209)))*(O209*SUMIFS(Premissas!$C$5:$C$44,Premissas!$A$5:$A$44,$A209,Premissas!$B$5:$B$44,$B209)+P209*SUMIFS(Premissas!$D$5:$D$44,Premissas!$A$5:$A$44,$A209,Premissas!$B$5:$B$44,$B209))+R209*SUMIFS(Premissas!$E$5:$E$44,Premissas!$A$5:$A$44,$A209,Premissas!$B$5:$B$44,$B209)+S209*SUMIFS(Premissas!$F$5:$F$44,Premissas!$A$5:$A$44,$A209,Premissas!$B$5:$B$44,$B209)</f>
        <v/>
      </c>
      <c r="L209" s="29">
        <f>J209-K209</f>
        <v/>
      </c>
      <c r="M209" t="inlineStr">
        <is>
          <t>1.556</t>
        </is>
      </c>
      <c r="O209" s="29" t="n">
        <v>0</v>
      </c>
      <c r="P209" s="29" t="n">
        <v>720</v>
      </c>
      <c r="Q209" s="29" t="n">
        <v>0</v>
      </c>
      <c r="R209" s="29" t="n">
        <v>23.4</v>
      </c>
      <c r="S209" s="29" t="n">
        <v>108</v>
      </c>
      <c r="T209" t="inlineStr">
        <is>
          <t>25260629896259000144550010000032231157065388</t>
        </is>
      </c>
      <c r="U209" t="inlineStr">
        <is>
          <t>Sim</t>
        </is>
      </c>
    </row>
    <row r="210">
      <c r="A210" t="inlineStr">
        <is>
          <t>Insumos e papel</t>
        </is>
      </c>
      <c r="B210" t="inlineStr">
        <is>
          <t>2.01.89 Compra de Pallet</t>
        </is>
      </c>
      <c r="C210" s="30" t="n">
        <v>46204</v>
      </c>
      <c r="D210" t="inlineStr">
        <is>
          <t>Em 2026</t>
        </is>
      </c>
      <c r="E210" s="28" t="n">
        <v>46217</v>
      </c>
      <c r="F210" t="inlineStr">
        <is>
          <t>NF-e</t>
        </is>
      </c>
      <c r="G210" t="inlineStr">
        <is>
          <t>000004352</t>
        </is>
      </c>
      <c r="H210" t="inlineStr">
        <is>
          <t>RECICLAGEM LIBERDADE LTDA</t>
        </is>
      </c>
      <c r="I210" t="inlineStr">
        <is>
          <t>11.674.191/0001-93</t>
        </is>
      </c>
      <c r="J210" s="29" t="n">
        <v>2400</v>
      </c>
      <c r="K210" s="29">
        <f>(1-ISNUMBER(SEARCH("556",M210)))*(O210*SUMIFS(Premissas!$C$5:$C$44,Premissas!$A$5:$A$44,$A210,Premissas!$B$5:$B$44,$B210)+P210*SUMIFS(Premissas!$D$5:$D$44,Premissas!$A$5:$A$44,$A210,Premissas!$B$5:$B$44,$B210))+R210*SUMIFS(Premissas!$E$5:$E$44,Premissas!$A$5:$A$44,$A210,Premissas!$B$5:$B$44,$B210)+S210*SUMIFS(Premissas!$F$5:$F$44,Premissas!$A$5:$A$44,$A210,Premissas!$B$5:$B$44,$B210)</f>
        <v/>
      </c>
      <c r="L210" s="29">
        <f>J210-K210</f>
        <v/>
      </c>
      <c r="M210" t="inlineStr">
        <is>
          <t>1.556</t>
        </is>
      </c>
      <c r="O210" s="29" t="n">
        <v>0</v>
      </c>
      <c r="P210" s="29" t="n">
        <v>0</v>
      </c>
      <c r="Q210" s="29" t="n">
        <v>0</v>
      </c>
      <c r="R210" s="29" t="n">
        <v>0</v>
      </c>
      <c r="S210" s="29" t="n">
        <v>0</v>
      </c>
      <c r="T210" t="inlineStr">
        <is>
          <t>25260711674191000193550010000043521345178596</t>
        </is>
      </c>
      <c r="U210" t="inlineStr">
        <is>
          <t>Sim</t>
        </is>
      </c>
    </row>
    <row r="211">
      <c r="A211" t="inlineStr">
        <is>
          <t>Insumos e papel</t>
        </is>
      </c>
      <c r="B211" t="inlineStr">
        <is>
          <t>2.01.89 Compra de Pallet</t>
        </is>
      </c>
      <c r="C211" s="30" t="n">
        <v>46204</v>
      </c>
      <c r="D211" t="inlineStr">
        <is>
          <t>Em 2026</t>
        </is>
      </c>
      <c r="E211" s="28" t="n">
        <v>46233</v>
      </c>
      <c r="F211" t="inlineStr">
        <is>
          <t>NF-e</t>
        </is>
      </c>
      <c r="G211" t="inlineStr">
        <is>
          <t>000004383</t>
        </is>
      </c>
      <c r="H211" t="inlineStr">
        <is>
          <t>RECICLAGEM LIBERDADE LTDA</t>
        </is>
      </c>
      <c r="I211" t="inlineStr">
        <is>
          <t>11.674.191/0001-93</t>
        </is>
      </c>
      <c r="J211" s="29" t="n">
        <v>1500</v>
      </c>
      <c r="K211" s="29">
        <f>(1-ISNUMBER(SEARCH("556",M211)))*(O211*SUMIFS(Premissas!$C$5:$C$44,Premissas!$A$5:$A$44,$A211,Premissas!$B$5:$B$44,$B211)+P211*SUMIFS(Premissas!$D$5:$D$44,Premissas!$A$5:$A$44,$A211,Premissas!$B$5:$B$44,$B211))+R211*SUMIFS(Premissas!$E$5:$E$44,Premissas!$A$5:$A$44,$A211,Premissas!$B$5:$B$44,$B211)+S211*SUMIFS(Premissas!$F$5:$F$44,Premissas!$A$5:$A$44,$A211,Premissas!$B$5:$B$44,$B211)</f>
        <v/>
      </c>
      <c r="L211" s="29">
        <f>J211-K211</f>
        <v/>
      </c>
      <c r="M211" t="inlineStr">
        <is>
          <t>1.556</t>
        </is>
      </c>
      <c r="O211" s="29" t="n">
        <v>0</v>
      </c>
      <c r="P211" s="29" t="n">
        <v>0</v>
      </c>
      <c r="Q211" s="29" t="n">
        <v>0</v>
      </c>
      <c r="R211" s="29" t="n">
        <v>0</v>
      </c>
      <c r="S211" s="29" t="n">
        <v>0</v>
      </c>
      <c r="T211" t="inlineStr">
        <is>
          <t>25260711674191000193550010000043831345244145</t>
        </is>
      </c>
      <c r="U211" t="inlineStr">
        <is>
          <t>Sim</t>
        </is>
      </c>
    </row>
    <row r="212">
      <c r="A212" t="inlineStr">
        <is>
          <t>Insumos e papel</t>
        </is>
      </c>
      <c r="B212" t="inlineStr">
        <is>
          <t>2.01.89 Compra de Pallet</t>
        </is>
      </c>
      <c r="C212" s="30" t="n">
        <v>46235</v>
      </c>
      <c r="D212" t="inlineStr">
        <is>
          <t>Em 2026</t>
        </is>
      </c>
      <c r="E212" s="28" t="n">
        <v>46253</v>
      </c>
      <c r="F212" t="inlineStr">
        <is>
          <t>NF-e</t>
        </is>
      </c>
      <c r="G212" t="inlineStr">
        <is>
          <t>000004418</t>
        </is>
      </c>
      <c r="H212" t="inlineStr">
        <is>
          <t>RECICLAGEM LIBERDADE LTDA</t>
        </is>
      </c>
      <c r="I212" t="inlineStr">
        <is>
          <t>11.674.191/0001-93</t>
        </is>
      </c>
      <c r="J212" s="29" t="n">
        <v>2400</v>
      </c>
      <c r="K212" s="29">
        <f>(1-ISNUMBER(SEARCH("556",M212)))*(O212*SUMIFS(Premissas!$C$5:$C$44,Premissas!$A$5:$A$44,$A212,Premissas!$B$5:$B$44,$B212)+P212*SUMIFS(Premissas!$D$5:$D$44,Premissas!$A$5:$A$44,$A212,Premissas!$B$5:$B$44,$B212))+R212*SUMIFS(Premissas!$E$5:$E$44,Premissas!$A$5:$A$44,$A212,Premissas!$B$5:$B$44,$B212)+S212*SUMIFS(Premissas!$F$5:$F$44,Premissas!$A$5:$A$44,$A212,Premissas!$B$5:$B$44,$B212)</f>
        <v/>
      </c>
      <c r="L212" s="29">
        <f>J212-K212</f>
        <v/>
      </c>
      <c r="M212" t="inlineStr">
        <is>
          <t>1.556</t>
        </is>
      </c>
      <c r="O212" s="29" t="n">
        <v>0</v>
      </c>
      <c r="P212" s="29" t="n">
        <v>0</v>
      </c>
      <c r="Q212" s="29" t="n">
        <v>0</v>
      </c>
      <c r="R212" s="29" t="n">
        <v>0</v>
      </c>
      <c r="S212" s="29" t="n">
        <v>0</v>
      </c>
      <c r="T212" t="inlineStr">
        <is>
          <t>25260811674191000193550010000044181145476264</t>
        </is>
      </c>
      <c r="U212" t="inlineStr">
        <is>
          <t>Sim</t>
        </is>
      </c>
    </row>
    <row r="213">
      <c r="A213" t="inlineStr">
        <is>
          <t>Insumos e papel</t>
        </is>
      </c>
      <c r="B213" t="inlineStr">
        <is>
          <t>2.01.89 Compra de Pallet</t>
        </is>
      </c>
      <c r="C213" s="30" t="n">
        <v>46235</v>
      </c>
      <c r="D213" t="inlineStr">
        <is>
          <t>Em 2026</t>
        </is>
      </c>
      <c r="E213" s="28" t="n">
        <v>46260</v>
      </c>
      <c r="F213" t="inlineStr">
        <is>
          <t>NF-e</t>
        </is>
      </c>
      <c r="G213" t="inlineStr">
        <is>
          <t>000004423</t>
        </is>
      </c>
      <c r="H213" t="inlineStr">
        <is>
          <t>RECICLAGEM LIBERDADE LTDA</t>
        </is>
      </c>
      <c r="I213" t="inlineStr">
        <is>
          <t>11.674.191/0001-93</t>
        </is>
      </c>
      <c r="J213" s="29" t="n">
        <v>2400</v>
      </c>
      <c r="K213" s="29">
        <f>(1-ISNUMBER(SEARCH("556",M213)))*(O213*SUMIFS(Premissas!$C$5:$C$44,Premissas!$A$5:$A$44,$A213,Premissas!$B$5:$B$44,$B213)+P213*SUMIFS(Premissas!$D$5:$D$44,Premissas!$A$5:$A$44,$A213,Premissas!$B$5:$B$44,$B213))+R213*SUMIFS(Premissas!$E$5:$E$44,Premissas!$A$5:$A$44,$A213,Premissas!$B$5:$B$44,$B213)+S213*SUMIFS(Premissas!$F$5:$F$44,Premissas!$A$5:$A$44,$A213,Premissas!$B$5:$B$44,$B213)</f>
        <v/>
      </c>
      <c r="L213" s="29">
        <f>J213-K213</f>
        <v/>
      </c>
      <c r="M213" t="inlineStr">
        <is>
          <t>1.556</t>
        </is>
      </c>
      <c r="O213" s="29" t="n">
        <v>0</v>
      </c>
      <c r="P213" s="29" t="n">
        <v>0</v>
      </c>
      <c r="Q213" s="29" t="n">
        <v>0</v>
      </c>
      <c r="R213" s="29" t="n">
        <v>0</v>
      </c>
      <c r="S213" s="29" t="n">
        <v>0</v>
      </c>
      <c r="T213" t="inlineStr">
        <is>
          <t>25260811674191000193550010000044231145417284</t>
        </is>
      </c>
      <c r="U213" t="inlineStr">
        <is>
          <t>Sim</t>
        </is>
      </c>
    </row>
    <row r="214">
      <c r="A214" t="inlineStr">
        <is>
          <t>Insumos e papel</t>
        </is>
      </c>
      <c r="B214" t="inlineStr">
        <is>
          <t>2.01.91 Compra de Filme Strech</t>
        </is>
      </c>
      <c r="C214" s="30" t="n">
        <v>46082</v>
      </c>
      <c r="D214" t="inlineStr">
        <is>
          <t>Em 2026</t>
        </is>
      </c>
      <c r="E214" s="28" t="n">
        <v>46108</v>
      </c>
      <c r="F214" t="inlineStr">
        <is>
          <t>NF-e</t>
        </is>
      </c>
      <c r="G214" t="inlineStr">
        <is>
          <t>000006078</t>
        </is>
      </c>
      <c r="H214" t="inlineStr">
        <is>
          <t>GDM INDUSTRIA E COMERCIO DE PLASTICOS LTDA.</t>
        </is>
      </c>
      <c r="I214" t="inlineStr">
        <is>
          <t>07.955.100/0004-63</t>
        </is>
      </c>
      <c r="J214" s="29" t="n">
        <v>8740</v>
      </c>
      <c r="K214" s="29">
        <f>(1-ISNUMBER(SEARCH("556",M214)))*(O214*SUMIFS(Premissas!$C$5:$C$44,Premissas!$A$5:$A$44,$A214,Premissas!$B$5:$B$44,$B214)+P214*SUMIFS(Premissas!$D$5:$D$44,Premissas!$A$5:$A$44,$A214,Premissas!$B$5:$B$44,$B214))+R214*SUMIFS(Premissas!$E$5:$E$44,Premissas!$A$5:$A$44,$A214,Premissas!$B$5:$B$44,$B214)+S214*SUMIFS(Premissas!$F$5:$F$44,Premissas!$A$5:$A$44,$A214,Premissas!$B$5:$B$44,$B214)</f>
        <v/>
      </c>
      <c r="L214" s="29">
        <f>J214-K214</f>
        <v/>
      </c>
      <c r="M214" t="inlineStr">
        <is>
          <t>1.556</t>
        </is>
      </c>
      <c r="O214" s="29" t="n">
        <v>1140</v>
      </c>
      <c r="P214" s="29" t="n">
        <v>912</v>
      </c>
      <c r="Q214" s="29" t="n">
        <v>0</v>
      </c>
      <c r="R214" s="29" t="n">
        <v>110.35</v>
      </c>
      <c r="S214" s="29" t="n">
        <v>508.29</v>
      </c>
      <c r="T214" t="inlineStr">
        <is>
          <t>26260307955100000463550010000060781636311472</t>
        </is>
      </c>
      <c r="U214" t="inlineStr">
        <is>
          <t>Sim</t>
        </is>
      </c>
    </row>
    <row r="215">
      <c r="A215" t="inlineStr">
        <is>
          <t>Insumos e papel</t>
        </is>
      </c>
      <c r="B215" t="inlineStr">
        <is>
          <t>2.01.91 Compra de Filme Strech</t>
        </is>
      </c>
      <c r="C215" s="30" t="n">
        <v>46113</v>
      </c>
      <c r="D215" t="inlineStr">
        <is>
          <t>Em 2026</t>
        </is>
      </c>
      <c r="E215" s="28" t="n">
        <v>46134</v>
      </c>
      <c r="F215" t="inlineStr">
        <is>
          <t>NF-e</t>
        </is>
      </c>
      <c r="G215" t="inlineStr">
        <is>
          <t>000006203</t>
        </is>
      </c>
      <c r="H215" t="inlineStr">
        <is>
          <t>GDM INDUSTRIA E COMERCIO DE PLASTICOS LTDA.</t>
        </is>
      </c>
      <c r="I215" t="inlineStr">
        <is>
          <t>07.955.100/0004-63</t>
        </is>
      </c>
      <c r="J215" s="29" t="n">
        <v>21206.45</v>
      </c>
      <c r="K215" s="29">
        <f>(1-ISNUMBER(SEARCH("556",M215)))*(O215*SUMIFS(Premissas!$C$5:$C$44,Premissas!$A$5:$A$44,$A215,Premissas!$B$5:$B$44,$B215)+P215*SUMIFS(Premissas!$D$5:$D$44,Premissas!$A$5:$A$44,$A215,Premissas!$B$5:$B$44,$B215))+R215*SUMIFS(Premissas!$E$5:$E$44,Premissas!$A$5:$A$44,$A215,Premissas!$B$5:$B$44,$B215)+S215*SUMIFS(Premissas!$F$5:$F$44,Premissas!$A$5:$A$44,$A215,Premissas!$B$5:$B$44,$B215)</f>
        <v/>
      </c>
      <c r="L215" s="29">
        <f>J215-K215</f>
        <v/>
      </c>
      <c r="M215" t="inlineStr">
        <is>
          <t>2.556</t>
        </is>
      </c>
      <c r="O215" s="29" t="n">
        <v>2766.06</v>
      </c>
      <c r="P215" s="29" t="n">
        <v>2212.85</v>
      </c>
      <c r="Q215" s="29" t="n">
        <v>0</v>
      </c>
      <c r="R215" s="29" t="n">
        <v>267.75</v>
      </c>
      <c r="S215" s="29" t="n">
        <v>1233.29</v>
      </c>
      <c r="T215" t="inlineStr">
        <is>
          <t>26260407955100000463550010000062031373172683</t>
        </is>
      </c>
      <c r="U215" t="inlineStr">
        <is>
          <t>Sim</t>
        </is>
      </c>
    </row>
    <row r="216">
      <c r="A216" t="inlineStr">
        <is>
          <t>Insumos e papel</t>
        </is>
      </c>
      <c r="B216" t="inlineStr">
        <is>
          <t>2.01.91 Compra de Filme Strech</t>
        </is>
      </c>
      <c r="C216" s="30" t="n">
        <v>46143</v>
      </c>
      <c r="D216" t="inlineStr">
        <is>
          <t>Em 2026</t>
        </is>
      </c>
      <c r="E216" s="28" t="n">
        <v>46153</v>
      </c>
      <c r="F216" t="inlineStr">
        <is>
          <t>NF-e</t>
        </is>
      </c>
      <c r="G216" t="inlineStr">
        <is>
          <t>000008692</t>
        </is>
      </c>
      <c r="H216" t="inlineStr">
        <is>
          <t>ALSTEK SOLUCOES EM EMBALAGENS LTDA</t>
        </is>
      </c>
      <c r="I216" t="inlineStr">
        <is>
          <t>24.058.558/0002-77</t>
        </is>
      </c>
      <c r="J216" s="29" t="n">
        <v>61033.73</v>
      </c>
      <c r="K216" s="29">
        <f>(1-ISNUMBER(SEARCH("556",M216)))*(O216*SUMIFS(Premissas!$C$5:$C$44,Premissas!$A$5:$A$44,$A216,Premissas!$B$5:$B$44,$B216)+P216*SUMIFS(Premissas!$D$5:$D$44,Premissas!$A$5:$A$44,$A216,Premissas!$B$5:$B$44,$B216))+R216*SUMIFS(Premissas!$E$5:$E$44,Premissas!$A$5:$A$44,$A216,Premissas!$B$5:$B$44,$B216)+S216*SUMIFS(Premissas!$F$5:$F$44,Premissas!$A$5:$A$44,$A216,Premissas!$B$5:$B$44,$B216)</f>
        <v/>
      </c>
      <c r="L216" s="29">
        <f>J216-K216</f>
        <v/>
      </c>
      <c r="M216" t="inlineStr">
        <is>
          <t>2.101, 2.102</t>
        </is>
      </c>
      <c r="O216" s="29" t="n">
        <v>7960.93</v>
      </c>
      <c r="P216" s="29" t="n">
        <v>2122.92</v>
      </c>
      <c r="Q216" s="29" t="n">
        <v>0</v>
      </c>
      <c r="R216" s="29" t="n">
        <v>331.17</v>
      </c>
      <c r="S216" s="29" t="n">
        <v>1528.5</v>
      </c>
      <c r="T216" t="inlineStr">
        <is>
          <t>31260524058558000277550010000086921000008700</t>
        </is>
      </c>
      <c r="U216" t="inlineStr">
        <is>
          <t>Sim</t>
        </is>
      </c>
    </row>
    <row r="217">
      <c r="A217" t="inlineStr">
        <is>
          <t>Insumos e papel</t>
        </is>
      </c>
      <c r="B217" t="inlineStr">
        <is>
          <t>2.01.91 Compra de Filme Strech</t>
        </is>
      </c>
      <c r="C217" s="30" t="n">
        <v>46143</v>
      </c>
      <c r="D217" t="inlineStr">
        <is>
          <t>Em 2026</t>
        </is>
      </c>
      <c r="E217" s="28" t="n">
        <v>46169</v>
      </c>
      <c r="F217" t="inlineStr">
        <is>
          <t>NF-e</t>
        </is>
      </c>
      <c r="G217" t="inlineStr">
        <is>
          <t>000006360</t>
        </is>
      </c>
      <c r="H217" t="inlineStr">
        <is>
          <t>GDM INDUSTRIA E COMERCIO DE PLASTICOS LTDA.</t>
        </is>
      </c>
      <c r="I217" t="inlineStr">
        <is>
          <t>07.955.100/0004-63</t>
        </is>
      </c>
      <c r="J217" s="29" t="n">
        <v>25574.71</v>
      </c>
      <c r="K217" s="29">
        <f>(1-ISNUMBER(SEARCH("556",M217)))*(O217*SUMIFS(Premissas!$C$5:$C$44,Premissas!$A$5:$A$44,$A217,Premissas!$B$5:$B$44,$B217)+P217*SUMIFS(Premissas!$D$5:$D$44,Premissas!$A$5:$A$44,$A217,Premissas!$B$5:$B$44,$B217))+R217*SUMIFS(Premissas!$E$5:$E$44,Premissas!$A$5:$A$44,$A217,Premissas!$B$5:$B$44,$B217)+S217*SUMIFS(Premissas!$F$5:$F$44,Premissas!$A$5:$A$44,$A217,Premissas!$B$5:$B$44,$B217)</f>
        <v/>
      </c>
      <c r="L217" s="29">
        <f>J217-K217</f>
        <v/>
      </c>
      <c r="M217" t="inlineStr">
        <is>
          <t>2.102</t>
        </is>
      </c>
      <c r="O217" s="29" t="n">
        <v>3335.83</v>
      </c>
      <c r="P217" s="29" t="n">
        <v>2668.67</v>
      </c>
      <c r="Q217" s="29" t="n">
        <v>0</v>
      </c>
      <c r="R217" s="29" t="n">
        <v>322.91</v>
      </c>
      <c r="S217" s="29" t="n">
        <v>1487.34</v>
      </c>
      <c r="T217" t="inlineStr">
        <is>
          <t>26260507955100000463550010000063601016667059</t>
        </is>
      </c>
      <c r="U217" t="inlineStr">
        <is>
          <t>Sim</t>
        </is>
      </c>
    </row>
    <row r="218">
      <c r="A218" t="inlineStr">
        <is>
          <t>Insumos e papel</t>
        </is>
      </c>
      <c r="B218" t="inlineStr">
        <is>
          <t>2.01.91 Compra de Filme Strech</t>
        </is>
      </c>
      <c r="C218" s="30" t="n">
        <v>46174</v>
      </c>
      <c r="D218" t="inlineStr">
        <is>
          <t>Em 2026</t>
        </is>
      </c>
      <c r="E218" s="28" t="n">
        <v>46177</v>
      </c>
      <c r="F218" t="inlineStr">
        <is>
          <t>NF-e</t>
        </is>
      </c>
      <c r="G218" t="inlineStr">
        <is>
          <t>000011347</t>
        </is>
      </c>
      <c r="H218" t="inlineStr">
        <is>
          <t>INOVE EMBALAGENS PLASTICAS LTDA</t>
        </is>
      </c>
      <c r="I218" t="inlineStr">
        <is>
          <t>38.799.321/0001-70</t>
        </is>
      </c>
      <c r="J218" s="29" t="n">
        <v>24598.5</v>
      </c>
      <c r="K218" s="29">
        <f>(1-ISNUMBER(SEARCH("556",M218)))*(O218*SUMIFS(Premissas!$C$5:$C$44,Premissas!$A$5:$A$44,$A218,Premissas!$B$5:$B$44,$B218)+P218*SUMIFS(Premissas!$D$5:$D$44,Premissas!$A$5:$A$44,$A218,Premissas!$B$5:$B$44,$B218))+R218*SUMIFS(Premissas!$E$5:$E$44,Premissas!$A$5:$A$44,$A218,Premissas!$B$5:$B$44,$B218)+S218*SUMIFS(Premissas!$F$5:$F$44,Premissas!$A$5:$A$44,$A218,Premissas!$B$5:$B$44,$B218)</f>
        <v/>
      </c>
      <c r="L218" s="29">
        <f>J218-K218</f>
        <v/>
      </c>
      <c r="M218" t="inlineStr">
        <is>
          <t>2.102</t>
        </is>
      </c>
      <c r="O218" s="29" t="n">
        <v>3208.5</v>
      </c>
      <c r="P218" s="29" t="n">
        <v>2566.8</v>
      </c>
      <c r="Q218" s="29" t="n">
        <v>0</v>
      </c>
      <c r="R218" s="29" t="n">
        <v>122.35</v>
      </c>
      <c r="S218" s="29" t="n">
        <v>564.7</v>
      </c>
      <c r="T218" t="inlineStr">
        <is>
          <t>26260638799321000170550010000113471930360829</t>
        </is>
      </c>
      <c r="U218" t="inlineStr">
        <is>
          <t>Sim</t>
        </is>
      </c>
    </row>
    <row r="219">
      <c r="A219" t="inlineStr">
        <is>
          <t>Insumos e papel</t>
        </is>
      </c>
      <c r="B219" t="inlineStr">
        <is>
          <t>2.01.91 Compra de Filme Strech</t>
        </is>
      </c>
      <c r="C219" s="30" t="n">
        <v>46204</v>
      </c>
      <c r="D219" t="inlineStr">
        <is>
          <t>Em 2026</t>
        </is>
      </c>
      <c r="E219" s="28" t="n">
        <v>46233</v>
      </c>
      <c r="F219" t="inlineStr">
        <is>
          <t>NF-e</t>
        </is>
      </c>
      <c r="G219" t="inlineStr">
        <is>
          <t>000006716</t>
        </is>
      </c>
      <c r="H219" t="inlineStr">
        <is>
          <t>GDM INDUSTRIA E COMERCIO DE PLASTICOS LTDA.</t>
        </is>
      </c>
      <c r="I219" t="inlineStr">
        <is>
          <t>07.955.100/0004-63</t>
        </is>
      </c>
      <c r="J219" s="29" t="n">
        <v>15693.73</v>
      </c>
      <c r="K219" s="29">
        <f>(1-ISNUMBER(SEARCH("556",M219)))*(O219*SUMIFS(Premissas!$C$5:$C$44,Premissas!$A$5:$A$44,$A219,Premissas!$B$5:$B$44,$B219)+P219*SUMIFS(Premissas!$D$5:$D$44,Premissas!$A$5:$A$44,$A219,Premissas!$B$5:$B$44,$B219))+R219*SUMIFS(Premissas!$E$5:$E$44,Premissas!$A$5:$A$44,$A219,Premissas!$B$5:$B$44,$B219)+S219*SUMIFS(Premissas!$F$5:$F$44,Premissas!$A$5:$A$44,$A219,Premissas!$B$5:$B$44,$B219)</f>
        <v/>
      </c>
      <c r="L219" s="29">
        <f>J219-K219</f>
        <v/>
      </c>
      <c r="M219" t="inlineStr">
        <is>
          <t>2.556</t>
        </is>
      </c>
      <c r="O219" s="29" t="n">
        <v>2047.01</v>
      </c>
      <c r="P219" s="29" t="n">
        <v>1637.61</v>
      </c>
      <c r="Q219" s="29" t="n">
        <v>0</v>
      </c>
      <c r="R219" s="29" t="n">
        <v>198.15</v>
      </c>
      <c r="S219" s="29" t="n">
        <v>912.6900000000001</v>
      </c>
      <c r="T219" t="inlineStr">
        <is>
          <t>26260707955100000463550010000067161327670133</t>
        </is>
      </c>
      <c r="U219" t="inlineStr">
        <is>
          <t>Sim</t>
        </is>
      </c>
    </row>
    <row r="220">
      <c r="A220" t="inlineStr">
        <is>
          <t>Insumos e papel</t>
        </is>
      </c>
      <c r="B220" t="inlineStr">
        <is>
          <t>2.01.91 Compra de Filme Strech</t>
        </is>
      </c>
      <c r="C220" s="30" t="n">
        <v>46266</v>
      </c>
      <c r="D220" t="inlineStr">
        <is>
          <t>Em 2026</t>
        </is>
      </c>
      <c r="E220" s="28" t="n">
        <v>46283</v>
      </c>
      <c r="F220" t="inlineStr">
        <is>
          <t>NF-e</t>
        </is>
      </c>
      <c r="G220" t="inlineStr">
        <is>
          <t>000007040</t>
        </is>
      </c>
      <c r="H220" t="inlineStr">
        <is>
          <t>GDM INDUSTRIA E COMERCIO DE PLASTICOS LTDA.</t>
        </is>
      </c>
      <c r="I220" t="inlineStr">
        <is>
          <t>07.955.100/0004-63</t>
        </is>
      </c>
      <c r="J220" s="29" t="n">
        <v>18854.91</v>
      </c>
      <c r="K220" s="29">
        <f>(1-ISNUMBER(SEARCH("556",M220)))*(O220*SUMIFS(Premissas!$C$5:$C$44,Premissas!$A$5:$A$44,$A220,Premissas!$B$5:$B$44,$B220)+P220*SUMIFS(Premissas!$D$5:$D$44,Premissas!$A$5:$A$44,$A220,Premissas!$B$5:$B$44,$B220))+R220*SUMIFS(Premissas!$E$5:$E$44,Premissas!$A$5:$A$44,$A220,Premissas!$B$5:$B$44,$B220)+S220*SUMIFS(Premissas!$F$5:$F$44,Premissas!$A$5:$A$44,$A220,Premissas!$B$5:$B$44,$B220)</f>
        <v/>
      </c>
      <c r="L220" s="29">
        <f>J220-K220</f>
        <v/>
      </c>
      <c r="M220" t="inlineStr">
        <is>
          <t>2.556</t>
        </is>
      </c>
      <c r="O220" s="29" t="n">
        <v>2459.34</v>
      </c>
      <c r="P220" s="29" t="n">
        <v>1967.47</v>
      </c>
      <c r="Q220" s="29" t="n">
        <v>0</v>
      </c>
      <c r="R220" s="29" t="n">
        <v>238.06</v>
      </c>
      <c r="S220" s="29" t="n">
        <v>1096.54</v>
      </c>
      <c r="T220" t="inlineStr">
        <is>
          <t>26260907955100000463550010000070401583284254</t>
        </is>
      </c>
      <c r="U220" t="inlineStr">
        <is>
          <t>Sim</t>
        </is>
      </c>
    </row>
    <row r="221">
      <c r="A221" t="inlineStr">
        <is>
          <t>Insumos e papel</t>
        </is>
      </c>
      <c r="B221" t="inlineStr">
        <is>
          <t>2.01.92 Compra de Tinta</t>
        </is>
      </c>
      <c r="C221" t="inlineStr">
        <is>
          <t>Antes de 2026</t>
        </is>
      </c>
      <c r="D221" t="inlineStr">
        <is>
          <t>Antes de 2026</t>
        </is>
      </c>
      <c r="E221" s="28" t="n">
        <v>45994</v>
      </c>
      <c r="F221" t="inlineStr">
        <is>
          <t>NF-e</t>
        </is>
      </c>
      <c r="G221" t="inlineStr">
        <is>
          <t>000015443</t>
        </is>
      </c>
      <c r="H221" t="inlineStr">
        <is>
          <t>FITTYCOR - INDUSTRIA E COMERCIO DE TINTAS ESPECIAIS LTDA</t>
        </is>
      </c>
      <c r="I221" t="inlineStr">
        <is>
          <t>53.071.692/0001-25</t>
        </is>
      </c>
      <c r="J221" s="29" t="n">
        <v>71633.24000000001</v>
      </c>
      <c r="K221" s="29">
        <f>(1-ISNUMBER(SEARCH("556",M221)))*(O221*SUMIFS(Premissas!$C$5:$C$44,Premissas!$A$5:$A$44,$A221,Premissas!$B$5:$B$44,$B221)+P221*SUMIFS(Premissas!$D$5:$D$44,Premissas!$A$5:$A$44,$A221,Premissas!$B$5:$B$44,$B221))+R221*SUMIFS(Premissas!$E$5:$E$44,Premissas!$A$5:$A$44,$A221,Premissas!$B$5:$B$44,$B221)+S221*SUMIFS(Premissas!$F$5:$F$44,Premissas!$A$5:$A$44,$A221,Premissas!$B$5:$B$44,$B221)</f>
        <v/>
      </c>
      <c r="L221" s="29">
        <f>J221-K221</f>
        <v/>
      </c>
      <c r="M221" t="inlineStr">
        <is>
          <t>1.556, 2.102</t>
        </is>
      </c>
      <c r="O221" s="29" t="n">
        <v>0</v>
      </c>
      <c r="P221" s="29" t="n">
        <v>5014.33</v>
      </c>
      <c r="Q221" s="29" t="n">
        <v>0</v>
      </c>
      <c r="R221" s="29" t="n">
        <v>465.6</v>
      </c>
      <c r="S221" s="29" t="n">
        <v>2148.98</v>
      </c>
      <c r="T221" t="inlineStr">
        <is>
          <t>35251253071692000125550010000154431510313384</t>
        </is>
      </c>
      <c r="U221" t="inlineStr">
        <is>
          <t>Sim</t>
        </is>
      </c>
    </row>
    <row r="222">
      <c r="A222" t="inlineStr">
        <is>
          <t>Insumos e papel</t>
        </is>
      </c>
      <c r="B222" t="inlineStr">
        <is>
          <t>2.01.92 Compra de Tinta</t>
        </is>
      </c>
      <c r="C222" s="30" t="n">
        <v>46023</v>
      </c>
      <c r="D222" t="inlineStr">
        <is>
          <t>Em 2026</t>
        </is>
      </c>
      <c r="E222" s="28" t="n">
        <v>46049</v>
      </c>
      <c r="F222" t="inlineStr">
        <is>
          <t>NF-e</t>
        </is>
      </c>
      <c r="G222" t="inlineStr">
        <is>
          <t>000003091</t>
        </is>
      </c>
      <c r="H222" t="inlineStr">
        <is>
          <t>PRODUTOS, SERVICOS E TINTAS LATINOAMERICANOS PROYSA LTDA</t>
        </is>
      </c>
      <c r="I222" t="inlineStr">
        <is>
          <t>39.345.175/0001-76</t>
        </is>
      </c>
      <c r="J222" s="29" t="n">
        <v>1522</v>
      </c>
      <c r="K222" s="29">
        <f>(1-ISNUMBER(SEARCH("556",M222)))*(O222*SUMIFS(Premissas!$C$5:$C$44,Premissas!$A$5:$A$44,$A222,Premissas!$B$5:$B$44,$B222)+P222*SUMIFS(Premissas!$D$5:$D$44,Premissas!$A$5:$A$44,$A222,Premissas!$B$5:$B$44,$B222))+R222*SUMIFS(Premissas!$E$5:$E$44,Premissas!$A$5:$A$44,$A222,Premissas!$B$5:$B$44,$B222)+S222*SUMIFS(Premissas!$F$5:$F$44,Premissas!$A$5:$A$44,$A222,Premissas!$B$5:$B$44,$B222)</f>
        <v/>
      </c>
      <c r="L222" s="29">
        <f>J222-K222</f>
        <v/>
      </c>
      <c r="M222" t="inlineStr">
        <is>
          <t>2.102</t>
        </is>
      </c>
      <c r="O222" s="29" t="n">
        <v>0</v>
      </c>
      <c r="P222" s="29" t="n">
        <v>60.88</v>
      </c>
      <c r="Q222" s="29" t="n">
        <v>0</v>
      </c>
      <c r="R222" s="29" t="n">
        <v>24.11</v>
      </c>
      <c r="S222" s="29" t="n">
        <v>111.05</v>
      </c>
      <c r="T222" t="inlineStr">
        <is>
          <t>26260139345175000176550010000030911741766610</t>
        </is>
      </c>
      <c r="U222" t="inlineStr">
        <is>
          <t>Sim</t>
        </is>
      </c>
    </row>
    <row r="223">
      <c r="A223" t="inlineStr">
        <is>
          <t>Insumos e papel</t>
        </is>
      </c>
      <c r="B223" t="inlineStr">
        <is>
          <t>2.01.92 Compra de Tinta</t>
        </is>
      </c>
      <c r="C223" s="30" t="n">
        <v>46054</v>
      </c>
      <c r="D223" t="inlineStr">
        <is>
          <t>Em 2026</t>
        </is>
      </c>
      <c r="E223" s="28" t="n">
        <v>46059</v>
      </c>
      <c r="F223" t="inlineStr">
        <is>
          <t>NF-e</t>
        </is>
      </c>
      <c r="G223" t="inlineStr">
        <is>
          <t>000015720</t>
        </is>
      </c>
      <c r="H223" t="inlineStr">
        <is>
          <t>FITTYCOR - INDUSTRIA E COMERCIO DE TINTAS ESPECIAIS LTDA</t>
        </is>
      </c>
      <c r="I223" t="inlineStr">
        <is>
          <t>53.071.692/0001-25</t>
        </is>
      </c>
      <c r="J223" s="29" t="n">
        <v>48894.6</v>
      </c>
      <c r="K223" s="29">
        <f>(1-ISNUMBER(SEARCH("556",M223)))*(O223*SUMIFS(Premissas!$C$5:$C$44,Premissas!$A$5:$A$44,$A223,Premissas!$B$5:$B$44,$B223)+P223*SUMIFS(Premissas!$D$5:$D$44,Premissas!$A$5:$A$44,$A223,Premissas!$B$5:$B$44,$B223))+R223*SUMIFS(Premissas!$E$5:$E$44,Premissas!$A$5:$A$44,$A223,Premissas!$B$5:$B$44,$B223)+S223*SUMIFS(Premissas!$F$5:$F$44,Premissas!$A$5:$A$44,$A223,Premissas!$B$5:$B$44,$B223)</f>
        <v/>
      </c>
      <c r="L223" s="29">
        <f>J223-K223</f>
        <v/>
      </c>
      <c r="M223" t="inlineStr">
        <is>
          <t>1.556</t>
        </is>
      </c>
      <c r="O223" s="29" t="n">
        <v>0</v>
      </c>
      <c r="P223" s="29" t="n">
        <v>3422.62</v>
      </c>
      <c r="Q223" s="29" t="n">
        <v>0</v>
      </c>
      <c r="R223" s="29" t="n">
        <v>317.82</v>
      </c>
      <c r="S223" s="29" t="n">
        <v>1466.83</v>
      </c>
      <c r="T223" t="inlineStr">
        <is>
          <t>35260253071692000125550010000157201350643510</t>
        </is>
      </c>
      <c r="U223" t="inlineStr">
        <is>
          <t>Sim</t>
        </is>
      </c>
    </row>
    <row r="224">
      <c r="A224" t="inlineStr">
        <is>
          <t>Insumos e papel</t>
        </is>
      </c>
      <c r="B224" t="inlineStr">
        <is>
          <t>2.01.92 Compra de Tinta</t>
        </is>
      </c>
      <c r="C224" s="30" t="n">
        <v>46054</v>
      </c>
      <c r="D224" t="inlineStr">
        <is>
          <t>Em 2026</t>
        </is>
      </c>
      <c r="E224" s="28" t="n">
        <v>46059</v>
      </c>
      <c r="F224" t="inlineStr">
        <is>
          <t>NF-e</t>
        </is>
      </c>
      <c r="G224" t="inlineStr">
        <is>
          <t>000003102</t>
        </is>
      </c>
      <c r="H224" t="inlineStr">
        <is>
          <t>PRODUTOS, SERVICOS E TINTAS LATINOAMERICANOS PROYSA LTDA</t>
        </is>
      </c>
      <c r="I224" t="inlineStr">
        <is>
          <t>39.345.175/0001-76</t>
        </is>
      </c>
      <c r="J224" s="29" t="n">
        <v>2080</v>
      </c>
      <c r="K224" s="29">
        <f>(1-ISNUMBER(SEARCH("556",M224)))*(O224*SUMIFS(Premissas!$C$5:$C$44,Premissas!$A$5:$A$44,$A224,Premissas!$B$5:$B$44,$B224)+P224*SUMIFS(Premissas!$D$5:$D$44,Premissas!$A$5:$A$44,$A224,Premissas!$B$5:$B$44,$B224))+R224*SUMIFS(Premissas!$E$5:$E$44,Premissas!$A$5:$A$44,$A224,Premissas!$B$5:$B$44,$B224)+S224*SUMIFS(Premissas!$F$5:$F$44,Premissas!$A$5:$A$44,$A224,Premissas!$B$5:$B$44,$B224)</f>
        <v/>
      </c>
      <c r="L224" s="29">
        <f>J224-K224</f>
        <v/>
      </c>
      <c r="M224" t="inlineStr">
        <is>
          <t>2.102</t>
        </is>
      </c>
      <c r="O224" s="29" t="n">
        <v>0</v>
      </c>
      <c r="P224" s="29" t="n">
        <v>83.2</v>
      </c>
      <c r="Q224" s="29" t="n">
        <v>0</v>
      </c>
      <c r="R224" s="29" t="n">
        <v>32.95</v>
      </c>
      <c r="S224" s="29" t="n">
        <v>151.75</v>
      </c>
      <c r="T224" t="inlineStr">
        <is>
          <t>26260239345175000176550010000031021541460762</t>
        </is>
      </c>
      <c r="U224" t="inlineStr">
        <is>
          <t>Sim</t>
        </is>
      </c>
    </row>
    <row r="225">
      <c r="A225" t="inlineStr">
        <is>
          <t>Insumos e papel</t>
        </is>
      </c>
      <c r="B225" t="inlineStr">
        <is>
          <t>2.01.92 Compra de Tinta</t>
        </is>
      </c>
      <c r="C225" s="30" t="n">
        <v>46082</v>
      </c>
      <c r="D225" t="inlineStr">
        <is>
          <t>Em 2026</t>
        </is>
      </c>
      <c r="E225" s="28" t="n">
        <v>46087</v>
      </c>
      <c r="F225" t="inlineStr">
        <is>
          <t>NF-e</t>
        </is>
      </c>
      <c r="G225" t="inlineStr">
        <is>
          <t>000015838</t>
        </is>
      </c>
      <c r="H225" t="inlineStr">
        <is>
          <t>FITTYCOR - INDUSTRIA E COMERCIO DE TINTAS ESPECIAIS LTDA</t>
        </is>
      </c>
      <c r="I225" t="inlineStr">
        <is>
          <t>53.071.692/0001-25</t>
        </is>
      </c>
      <c r="J225" s="29" t="n">
        <v>51768.6</v>
      </c>
      <c r="K225" s="29">
        <f>(1-ISNUMBER(SEARCH("556",M225)))*(O225*SUMIFS(Premissas!$C$5:$C$44,Premissas!$A$5:$A$44,$A225,Premissas!$B$5:$B$44,$B225)+P225*SUMIFS(Premissas!$D$5:$D$44,Premissas!$A$5:$A$44,$A225,Premissas!$B$5:$B$44,$B225))+R225*SUMIFS(Premissas!$E$5:$E$44,Premissas!$A$5:$A$44,$A225,Premissas!$B$5:$B$44,$B225)+S225*SUMIFS(Premissas!$F$5:$F$44,Premissas!$A$5:$A$44,$A225,Premissas!$B$5:$B$44,$B225)</f>
        <v/>
      </c>
      <c r="L225" s="29">
        <f>J225-K225</f>
        <v/>
      </c>
      <c r="M225" t="inlineStr">
        <is>
          <t>1.556</t>
        </is>
      </c>
      <c r="O225" s="29" t="n">
        <v>0</v>
      </c>
      <c r="P225" s="29" t="n">
        <v>3623.8</v>
      </c>
      <c r="Q225" s="29" t="n">
        <v>0</v>
      </c>
      <c r="R225" s="29" t="n">
        <v>336.51</v>
      </c>
      <c r="S225" s="29" t="n">
        <v>1553.05</v>
      </c>
      <c r="T225" t="inlineStr">
        <is>
          <t>35260353071692000125550010000158381540650529</t>
        </is>
      </c>
      <c r="U225" t="inlineStr">
        <is>
          <t>Sim</t>
        </is>
      </c>
    </row>
    <row r="226">
      <c r="A226" t="inlineStr">
        <is>
          <t>Insumos e papel</t>
        </is>
      </c>
      <c r="B226" t="inlineStr">
        <is>
          <t>2.01.92 Compra de Tinta</t>
        </is>
      </c>
      <c r="C226" s="30" t="n">
        <v>46113</v>
      </c>
      <c r="D226" t="inlineStr">
        <is>
          <t>Em 2026</t>
        </is>
      </c>
      <c r="E226" s="28" t="n">
        <v>46114</v>
      </c>
      <c r="F226" t="inlineStr">
        <is>
          <t>NF-e</t>
        </is>
      </c>
      <c r="G226" t="inlineStr">
        <is>
          <t>000003203</t>
        </is>
      </c>
      <c r="H226" t="inlineStr">
        <is>
          <t>PRODUTOS, SERVICOS E TINTAS LATINOAMERICANOS PROYSA LTDA</t>
        </is>
      </c>
      <c r="I226" t="inlineStr">
        <is>
          <t>39.345.175/0001-76</t>
        </is>
      </c>
      <c r="J226" s="29" t="n">
        <v>13890.2</v>
      </c>
      <c r="K226" s="29">
        <f>(1-ISNUMBER(SEARCH("556",M226)))*(O226*SUMIFS(Premissas!$C$5:$C$44,Premissas!$A$5:$A$44,$A226,Premissas!$B$5:$B$44,$B226)+P226*SUMIFS(Premissas!$D$5:$D$44,Premissas!$A$5:$A$44,$A226,Premissas!$B$5:$B$44,$B226))+R226*SUMIFS(Premissas!$E$5:$E$44,Premissas!$A$5:$A$44,$A226,Premissas!$B$5:$B$44,$B226)+S226*SUMIFS(Premissas!$F$5:$F$44,Premissas!$A$5:$A$44,$A226,Premissas!$B$5:$B$44,$B226)</f>
        <v/>
      </c>
      <c r="L226" s="29">
        <f>J226-K226</f>
        <v/>
      </c>
      <c r="M226" t="inlineStr">
        <is>
          <t>1.556</t>
        </is>
      </c>
      <c r="O226" s="29" t="n">
        <v>0</v>
      </c>
      <c r="P226" s="29" t="n">
        <v>555.61</v>
      </c>
      <c r="Q226" s="29" t="n">
        <v>0</v>
      </c>
      <c r="R226" s="29" t="n">
        <v>220.03</v>
      </c>
      <c r="S226" s="29" t="n">
        <v>1013.43</v>
      </c>
      <c r="T226" t="inlineStr">
        <is>
          <t>26260439345175000176550010000032031199272368</t>
        </is>
      </c>
      <c r="U226" t="inlineStr">
        <is>
          <t>Sim</t>
        </is>
      </c>
    </row>
    <row r="227">
      <c r="A227" t="inlineStr">
        <is>
          <t>Insumos e papel</t>
        </is>
      </c>
      <c r="B227" t="inlineStr">
        <is>
          <t>2.01.92 Compra de Tinta</t>
        </is>
      </c>
      <c r="C227" s="30" t="n">
        <v>46143</v>
      </c>
      <c r="D227" t="inlineStr">
        <is>
          <t>Em 2026</t>
        </is>
      </c>
      <c r="E227" s="28" t="n">
        <v>46171</v>
      </c>
      <c r="F227" t="inlineStr">
        <is>
          <t>NF-e</t>
        </is>
      </c>
      <c r="G227" t="inlineStr">
        <is>
          <t>000003307</t>
        </is>
      </c>
      <c r="H227" t="inlineStr">
        <is>
          <t>PRODUTOS, SERVICOS E TINTAS LATINOAMERICANOS PROYSA LTDA</t>
        </is>
      </c>
      <c r="I227" t="inlineStr">
        <is>
          <t>39.345.175/0001-76</t>
        </is>
      </c>
      <c r="J227" s="29" t="n">
        <v>2267.6</v>
      </c>
      <c r="K227" s="29">
        <f>(1-ISNUMBER(SEARCH("556",M227)))*(O227*SUMIFS(Premissas!$C$5:$C$44,Premissas!$A$5:$A$44,$A227,Premissas!$B$5:$B$44,$B227)+P227*SUMIFS(Premissas!$D$5:$D$44,Premissas!$A$5:$A$44,$A227,Premissas!$B$5:$B$44,$B227))+R227*SUMIFS(Premissas!$E$5:$E$44,Premissas!$A$5:$A$44,$A227,Premissas!$B$5:$B$44,$B227)+S227*SUMIFS(Premissas!$F$5:$F$44,Premissas!$A$5:$A$44,$A227,Premissas!$B$5:$B$44,$B227)</f>
        <v/>
      </c>
      <c r="L227" s="29">
        <f>J227-K227</f>
        <v/>
      </c>
      <c r="M227" t="inlineStr">
        <is>
          <t>2.102</t>
        </is>
      </c>
      <c r="O227" s="29" t="n">
        <v>0</v>
      </c>
      <c r="P227" s="29" t="n">
        <v>90.7</v>
      </c>
      <c r="Q227" s="29" t="n">
        <v>0</v>
      </c>
      <c r="R227" s="29" t="n">
        <v>35.92</v>
      </c>
      <c r="S227" s="29" t="n">
        <v>165.44</v>
      </c>
      <c r="T227" t="inlineStr">
        <is>
          <t>26260539345175000176550010000033071774631193</t>
        </is>
      </c>
      <c r="U227" t="inlineStr">
        <is>
          <t>Sim</t>
        </is>
      </c>
    </row>
    <row r="228">
      <c r="A228" t="inlineStr">
        <is>
          <t>Insumos e papel</t>
        </is>
      </c>
      <c r="B228" t="inlineStr">
        <is>
          <t>2.01.92 Compra de Tinta</t>
        </is>
      </c>
      <c r="C228" s="30" t="n">
        <v>46204</v>
      </c>
      <c r="D228" t="inlineStr">
        <is>
          <t>Em 2026</t>
        </is>
      </c>
      <c r="E228" s="28" t="n">
        <v>46225</v>
      </c>
      <c r="F228" t="inlineStr">
        <is>
          <t>NF-e</t>
        </is>
      </c>
      <c r="G228" t="inlineStr">
        <is>
          <t>000016441</t>
        </is>
      </c>
      <c r="H228" t="inlineStr">
        <is>
          <t>FITTYCOR - INDUSTRIA E COMERCIO DE TINTAS ESPECIAIS LTDA</t>
        </is>
      </c>
      <c r="I228" t="inlineStr">
        <is>
          <t>53.071.692/0001-25</t>
        </is>
      </c>
      <c r="J228" s="29" t="n">
        <v>15485</v>
      </c>
      <c r="K228" s="29">
        <f>(1-ISNUMBER(SEARCH("556",M228)))*(O228*SUMIFS(Premissas!$C$5:$C$44,Premissas!$A$5:$A$44,$A228,Premissas!$B$5:$B$44,$B228)+P228*SUMIFS(Premissas!$D$5:$D$44,Premissas!$A$5:$A$44,$A228,Premissas!$B$5:$B$44,$B228))+R228*SUMIFS(Premissas!$E$5:$E$44,Premissas!$A$5:$A$44,$A228,Premissas!$B$5:$B$44,$B228)+S228*SUMIFS(Premissas!$F$5:$F$44,Premissas!$A$5:$A$44,$A228,Premissas!$B$5:$B$44,$B228)</f>
        <v/>
      </c>
      <c r="L228" s="29">
        <f>J228-K228</f>
        <v/>
      </c>
      <c r="M228" t="inlineStr">
        <is>
          <t>1.556</t>
        </is>
      </c>
      <c r="O228" s="29" t="n">
        <v>0</v>
      </c>
      <c r="P228" s="29" t="n">
        <v>1083.95</v>
      </c>
      <c r="Q228" s="29" t="n">
        <v>0</v>
      </c>
      <c r="R228" s="29" t="n">
        <v>100.65</v>
      </c>
      <c r="S228" s="29" t="n">
        <v>464.55</v>
      </c>
      <c r="T228" t="inlineStr">
        <is>
          <t>35260753071692000125550010000164411032236356</t>
        </is>
      </c>
      <c r="U228" t="inlineStr">
        <is>
          <t>Sim</t>
        </is>
      </c>
    </row>
    <row r="229">
      <c r="A229" t="inlineStr">
        <is>
          <t>Insumos e papel</t>
        </is>
      </c>
      <c r="B229" t="inlineStr">
        <is>
          <t>2.01.92 Compra de Tinta</t>
        </is>
      </c>
      <c r="C229" s="30" t="n">
        <v>46204</v>
      </c>
      <c r="D229" t="inlineStr">
        <is>
          <t>Em 2026</t>
        </is>
      </c>
      <c r="E229" s="28" t="n">
        <v>46224</v>
      </c>
      <c r="F229" t="inlineStr">
        <is>
          <t>NF-e</t>
        </is>
      </c>
      <c r="G229" t="inlineStr">
        <is>
          <t>000003417</t>
        </is>
      </c>
      <c r="H229" t="inlineStr">
        <is>
          <t>PRODUTOS, SERVICOS E TINTAS LATINOAMERICANOS PROYSA LTDA</t>
        </is>
      </c>
      <c r="I229" t="inlineStr">
        <is>
          <t>39.345.175/0001-76</t>
        </is>
      </c>
      <c r="J229" s="29" t="n">
        <v>14100</v>
      </c>
      <c r="K229" s="29">
        <f>(1-ISNUMBER(SEARCH("556",M229)))*(O229*SUMIFS(Premissas!$C$5:$C$44,Premissas!$A$5:$A$44,$A229,Premissas!$B$5:$B$44,$B229)+P229*SUMIFS(Premissas!$D$5:$D$44,Premissas!$A$5:$A$44,$A229,Premissas!$B$5:$B$44,$B229))+R229*SUMIFS(Premissas!$E$5:$E$44,Premissas!$A$5:$A$44,$A229,Premissas!$B$5:$B$44,$B229)+S229*SUMIFS(Premissas!$F$5:$F$44,Premissas!$A$5:$A$44,$A229,Premissas!$B$5:$B$44,$B229)</f>
        <v/>
      </c>
      <c r="L229" s="29">
        <f>J229-K229</f>
        <v/>
      </c>
      <c r="M229" t="inlineStr">
        <is>
          <t>1.556</t>
        </is>
      </c>
      <c r="O229" s="29" t="n">
        <v>0</v>
      </c>
      <c r="P229" s="29" t="n">
        <v>564</v>
      </c>
      <c r="Q229" s="29" t="n">
        <v>0</v>
      </c>
      <c r="R229" s="29" t="n">
        <v>223.34</v>
      </c>
      <c r="S229" s="29" t="n">
        <v>1028.74</v>
      </c>
      <c r="T229" t="inlineStr">
        <is>
          <t>26260739345175000176550010000034171723221736</t>
        </is>
      </c>
      <c r="U229" t="inlineStr">
        <is>
          <t>Sim</t>
        </is>
      </c>
    </row>
    <row r="230">
      <c r="A230" t="inlineStr">
        <is>
          <t>Insumos e papel</t>
        </is>
      </c>
      <c r="B230" t="inlineStr">
        <is>
          <t>2.01.92 Compra de Tinta</t>
        </is>
      </c>
      <c r="C230" s="30" t="n">
        <v>46204</v>
      </c>
      <c r="D230" t="inlineStr">
        <is>
          <t>Em 2026</t>
        </is>
      </c>
      <c r="E230" s="28" t="n">
        <v>46226</v>
      </c>
      <c r="F230" t="inlineStr">
        <is>
          <t>NF-e</t>
        </is>
      </c>
      <c r="G230" t="inlineStr">
        <is>
          <t>000107066</t>
        </is>
      </c>
      <c r="H230" t="inlineStr">
        <is>
          <t>VIVACOR INDUSTRIA DE TINTAS E VERNIZES LTDA</t>
        </is>
      </c>
      <c r="I230" t="inlineStr">
        <is>
          <t>61.796.546/0001-95</t>
        </is>
      </c>
      <c r="J230" s="29" t="n">
        <v>12587.8</v>
      </c>
      <c r="K230" s="29">
        <f>(1-ISNUMBER(SEARCH("556",M230)))*(O230*SUMIFS(Premissas!$C$5:$C$44,Premissas!$A$5:$A$44,$A230,Premissas!$B$5:$B$44,$B230)+P230*SUMIFS(Premissas!$D$5:$D$44,Premissas!$A$5:$A$44,$A230,Premissas!$B$5:$B$44,$B230))+R230*SUMIFS(Premissas!$E$5:$E$44,Premissas!$A$5:$A$44,$A230,Premissas!$B$5:$B$44,$B230)+S230*SUMIFS(Premissas!$F$5:$F$44,Premissas!$A$5:$A$44,$A230,Premissas!$B$5:$B$44,$B230)</f>
        <v/>
      </c>
      <c r="L230" s="29">
        <f>J230-K230</f>
        <v/>
      </c>
      <c r="M230" t="inlineStr">
        <is>
          <t>2.556</t>
        </is>
      </c>
      <c r="O230" s="29" t="n">
        <v>0</v>
      </c>
      <c r="P230" s="29" t="n">
        <v>881.15</v>
      </c>
      <c r="Q230" s="29" t="n">
        <v>0</v>
      </c>
      <c r="R230" s="29" t="n">
        <v>193.16</v>
      </c>
      <c r="S230" s="29" t="n">
        <v>889.7</v>
      </c>
      <c r="T230" t="inlineStr">
        <is>
          <t>35260761796546000195550010001070661794124954</t>
        </is>
      </c>
      <c r="U230" t="inlineStr">
        <is>
          <t>Sim</t>
        </is>
      </c>
    </row>
    <row r="231">
      <c r="A231" t="inlineStr">
        <is>
          <t>Insumos e papel</t>
        </is>
      </c>
      <c r="B231" t="inlineStr">
        <is>
          <t>2.01.92 Compra de Tinta</t>
        </is>
      </c>
      <c r="C231" s="30" t="n">
        <v>46235</v>
      </c>
      <c r="D231" t="inlineStr">
        <is>
          <t>Em 2026</t>
        </is>
      </c>
      <c r="E231" s="28" t="n">
        <v>46246</v>
      </c>
      <c r="F231" t="inlineStr">
        <is>
          <t>NF-e</t>
        </is>
      </c>
      <c r="G231" t="inlineStr">
        <is>
          <t>000016564</t>
        </is>
      </c>
      <c r="H231" t="inlineStr">
        <is>
          <t>FITTYCOR - INDUSTRIA E COMERCIO DE TINTAS ESPECIAIS LTDA</t>
        </is>
      </c>
      <c r="I231" t="inlineStr">
        <is>
          <t>53.071.692/0001-25</t>
        </is>
      </c>
      <c r="J231" s="29" t="n">
        <v>30491.4</v>
      </c>
      <c r="K231" s="29">
        <f>(1-ISNUMBER(SEARCH("556",M231)))*(O231*SUMIFS(Premissas!$C$5:$C$44,Premissas!$A$5:$A$44,$A231,Premissas!$B$5:$B$44,$B231)+P231*SUMIFS(Premissas!$D$5:$D$44,Premissas!$A$5:$A$44,$A231,Premissas!$B$5:$B$44,$B231))+R231*SUMIFS(Premissas!$E$5:$E$44,Premissas!$A$5:$A$44,$A231,Premissas!$B$5:$B$44,$B231)+S231*SUMIFS(Premissas!$F$5:$F$44,Premissas!$A$5:$A$44,$A231,Premissas!$B$5:$B$44,$B231)</f>
        <v/>
      </c>
      <c r="L231" s="29">
        <f>J231-K231</f>
        <v/>
      </c>
      <c r="M231" t="inlineStr">
        <is>
          <t>2.101</t>
        </is>
      </c>
      <c r="O231" s="29" t="n">
        <v>0</v>
      </c>
      <c r="P231" s="29" t="n">
        <v>2134.4</v>
      </c>
      <c r="Q231" s="29" t="n">
        <v>0</v>
      </c>
      <c r="R231" s="29" t="n">
        <v>198.19</v>
      </c>
      <c r="S231" s="29" t="n">
        <v>914.77</v>
      </c>
      <c r="T231" t="inlineStr">
        <is>
          <t>35260853071692000125550010000165641121232350</t>
        </is>
      </c>
      <c r="U231" t="inlineStr">
        <is>
          <t>Sim</t>
        </is>
      </c>
    </row>
    <row r="232">
      <c r="A232" t="inlineStr">
        <is>
          <t>Insumos e papel</t>
        </is>
      </c>
      <c r="B232" t="inlineStr">
        <is>
          <t>2.01.92 Compra de Tinta</t>
        </is>
      </c>
      <c r="C232" s="30" t="n">
        <v>46266</v>
      </c>
      <c r="D232" t="inlineStr">
        <is>
          <t>Em 2026</t>
        </is>
      </c>
      <c r="E232" s="28" t="n">
        <v>46282</v>
      </c>
      <c r="F232" t="inlineStr">
        <is>
          <t>NF-e</t>
        </is>
      </c>
      <c r="G232" t="inlineStr">
        <is>
          <t>000016749</t>
        </is>
      </c>
      <c r="H232" t="inlineStr">
        <is>
          <t>FITTYCOR - INDUSTRIA E COMERCIO DE TINTAS ESPECIAIS LTDA</t>
        </is>
      </c>
      <c r="I232" t="inlineStr">
        <is>
          <t>53.071.692/0001-25</t>
        </is>
      </c>
      <c r="J232" s="29" t="n">
        <v>39365</v>
      </c>
      <c r="K232" s="29">
        <f>(1-ISNUMBER(SEARCH("556",M232)))*(O232*SUMIFS(Premissas!$C$5:$C$44,Premissas!$A$5:$A$44,$A232,Premissas!$B$5:$B$44,$B232)+P232*SUMIFS(Premissas!$D$5:$D$44,Premissas!$A$5:$A$44,$A232,Premissas!$B$5:$B$44,$B232))+R232*SUMIFS(Premissas!$E$5:$E$44,Premissas!$A$5:$A$44,$A232,Premissas!$B$5:$B$44,$B232)+S232*SUMIFS(Premissas!$F$5:$F$44,Premissas!$A$5:$A$44,$A232,Premissas!$B$5:$B$44,$B232)</f>
        <v/>
      </c>
      <c r="L232" s="29">
        <f>J232-K232</f>
        <v/>
      </c>
      <c r="M232" t="inlineStr">
        <is>
          <t>2.101</t>
        </is>
      </c>
      <c r="O232" s="29" t="n">
        <v>0</v>
      </c>
      <c r="P232" s="29" t="n">
        <v>2755.55</v>
      </c>
      <c r="Q232" s="29" t="n">
        <v>0</v>
      </c>
      <c r="R232" s="29" t="n">
        <v>255.87</v>
      </c>
      <c r="S232" s="29" t="n">
        <v>1180.95</v>
      </c>
      <c r="T232" t="inlineStr">
        <is>
          <t>35260953071692000125550010000167491501739462</t>
        </is>
      </c>
      <c r="U232" t="inlineStr">
        <is>
          <t>Sim</t>
        </is>
      </c>
    </row>
    <row r="233">
      <c r="A233" t="inlineStr">
        <is>
          <t>Insumos e papel</t>
        </is>
      </c>
      <c r="B233" t="inlineStr">
        <is>
          <t>2.01.92 Compra de Tinta</t>
        </is>
      </c>
      <c r="C233" s="30" t="n">
        <v>46266</v>
      </c>
      <c r="D233" t="inlineStr">
        <is>
          <t>Em 2026</t>
        </is>
      </c>
      <c r="E233" s="28" t="n">
        <v>46281</v>
      </c>
      <c r="F233" t="inlineStr">
        <is>
          <t>NF-e</t>
        </is>
      </c>
      <c r="G233" t="inlineStr">
        <is>
          <t>000003554</t>
        </is>
      </c>
      <c r="H233" t="inlineStr">
        <is>
          <t>PRODUTOS, SERVICOS E TINTAS LATINOAMERICANOS PROYSA LTDA</t>
        </is>
      </c>
      <c r="I233" t="inlineStr">
        <is>
          <t>39.345.175/0001-76</t>
        </is>
      </c>
      <c r="J233" s="29" t="n">
        <v>12802</v>
      </c>
      <c r="K233" s="29">
        <f>(1-ISNUMBER(SEARCH("556",M233)))*(O233*SUMIFS(Premissas!$C$5:$C$44,Premissas!$A$5:$A$44,$A233,Premissas!$B$5:$B$44,$B233)+P233*SUMIFS(Premissas!$D$5:$D$44,Premissas!$A$5:$A$44,$A233,Premissas!$B$5:$B$44,$B233))+R233*SUMIFS(Premissas!$E$5:$E$44,Premissas!$A$5:$A$44,$A233,Premissas!$B$5:$B$44,$B233)+S233*SUMIFS(Premissas!$F$5:$F$44,Premissas!$A$5:$A$44,$A233,Premissas!$B$5:$B$44,$B233)</f>
        <v/>
      </c>
      <c r="L233" s="29">
        <f>J233-K233</f>
        <v/>
      </c>
      <c r="M233" t="inlineStr">
        <is>
          <t>1.556, 2.102</t>
        </is>
      </c>
      <c r="O233" s="29" t="n">
        <v>0</v>
      </c>
      <c r="P233" s="29" t="n">
        <v>512.08</v>
      </c>
      <c r="Q233" s="29" t="n">
        <v>0</v>
      </c>
      <c r="R233" s="29" t="n">
        <v>202.78</v>
      </c>
      <c r="S233" s="29" t="n">
        <v>934.03</v>
      </c>
      <c r="T233" t="inlineStr">
        <is>
          <t>26260939345175000176550010000035541579261507</t>
        </is>
      </c>
      <c r="U233" t="inlineStr">
        <is>
          <t>Sim</t>
        </is>
      </c>
    </row>
    <row r="234">
      <c r="A234" t="inlineStr">
        <is>
          <t>Insumos e papel</t>
        </is>
      </c>
      <c r="B234" t="inlineStr">
        <is>
          <t>2.01.93 Compra de Plástico Poliolefínico</t>
        </is>
      </c>
      <c r="C234" s="30" t="n">
        <v>46023</v>
      </c>
      <c r="D234" t="inlineStr">
        <is>
          <t>Em 2026</t>
        </is>
      </c>
      <c r="E234" s="28" t="n">
        <v>46035</v>
      </c>
      <c r="F234" t="inlineStr">
        <is>
          <t>NF-e</t>
        </is>
      </c>
      <c r="G234" t="inlineStr">
        <is>
          <t>000007852</t>
        </is>
      </c>
      <c r="H234" t="inlineStr">
        <is>
          <t>ALSTEK SOLUCOES EM EMBALAGENS LTDA</t>
        </is>
      </c>
      <c r="I234" t="inlineStr">
        <is>
          <t>24.058.558/0002-77</t>
        </is>
      </c>
      <c r="J234" s="29" t="n">
        <v>54531.61</v>
      </c>
      <c r="K234" s="29">
        <f>(1-ISNUMBER(SEARCH("556",M234)))*(O234*SUMIFS(Premissas!$C$5:$C$44,Premissas!$A$5:$A$44,$A234,Premissas!$B$5:$B$44,$B234)+P234*SUMIFS(Premissas!$D$5:$D$44,Premissas!$A$5:$A$44,$A234,Premissas!$B$5:$B$44,$B234))+R234*SUMIFS(Premissas!$E$5:$E$44,Premissas!$A$5:$A$44,$A234,Premissas!$B$5:$B$44,$B234)+S234*SUMIFS(Premissas!$F$5:$F$44,Premissas!$A$5:$A$44,$A234,Premissas!$B$5:$B$44,$B234)</f>
        <v/>
      </c>
      <c r="L234" s="29">
        <f>J234-K234</f>
        <v/>
      </c>
      <c r="M234" t="inlineStr">
        <is>
          <t>2.102</t>
        </is>
      </c>
      <c r="O234" s="29" t="n">
        <v>7112.81</v>
      </c>
      <c r="P234" s="29" t="n">
        <v>1896.75</v>
      </c>
      <c r="Q234" s="29" t="n">
        <v>0</v>
      </c>
      <c r="R234" s="29" t="n">
        <v>295.89</v>
      </c>
      <c r="S234" s="29" t="n">
        <v>1365.66</v>
      </c>
      <c r="T234" t="inlineStr">
        <is>
          <t>31260124058558000277550010000078521000007867</t>
        </is>
      </c>
      <c r="U234" t="inlineStr">
        <is>
          <t>Sim</t>
        </is>
      </c>
    </row>
    <row r="235">
      <c r="A235" t="inlineStr">
        <is>
          <t>Insumos e papel</t>
        </is>
      </c>
      <c r="B235" t="inlineStr">
        <is>
          <t>2.01.93 Compra de Plástico Poliolefínico</t>
        </is>
      </c>
      <c r="C235" s="30" t="n">
        <v>46054</v>
      </c>
      <c r="D235" t="inlineStr">
        <is>
          <t>Em 2026</t>
        </is>
      </c>
      <c r="E235" s="28" t="n">
        <v>46057</v>
      </c>
      <c r="F235" t="inlineStr">
        <is>
          <t>NF-e</t>
        </is>
      </c>
      <c r="G235" t="inlineStr">
        <is>
          <t>000008030</t>
        </is>
      </c>
      <c r="H235" t="inlineStr">
        <is>
          <t>ALSTEK SOLUCOES EM EMBALAGENS LTDA</t>
        </is>
      </c>
      <c r="I235" t="inlineStr">
        <is>
          <t>24.058.558/0002-77</t>
        </is>
      </c>
      <c r="J235" s="29" t="n">
        <v>52599.91</v>
      </c>
      <c r="K235" s="29">
        <f>(1-ISNUMBER(SEARCH("556",M235)))*(O235*SUMIFS(Premissas!$C$5:$C$44,Premissas!$A$5:$A$44,$A235,Premissas!$B$5:$B$44,$B235)+P235*SUMIFS(Premissas!$D$5:$D$44,Premissas!$A$5:$A$44,$A235,Premissas!$B$5:$B$44,$B235))+R235*SUMIFS(Premissas!$E$5:$E$44,Premissas!$A$5:$A$44,$A235,Premissas!$B$5:$B$44,$B235)+S235*SUMIFS(Premissas!$F$5:$F$44,Premissas!$A$5:$A$44,$A235,Premissas!$B$5:$B$44,$B235)</f>
        <v/>
      </c>
      <c r="L235" s="29">
        <f>J235-K235</f>
        <v/>
      </c>
      <c r="M235" t="inlineStr">
        <is>
          <t>2.102</t>
        </is>
      </c>
      <c r="O235" s="29" t="n">
        <v>6860.86</v>
      </c>
      <c r="P235" s="29" t="n">
        <v>1829.56</v>
      </c>
      <c r="Q235" s="29" t="n">
        <v>0</v>
      </c>
      <c r="R235" s="29" t="n">
        <v>285.41</v>
      </c>
      <c r="S235" s="29" t="n">
        <v>1317.29</v>
      </c>
      <c r="T235" t="inlineStr">
        <is>
          <t>31260224058558000277550010000080301000008046</t>
        </is>
      </c>
      <c r="U235" t="inlineStr">
        <is>
          <t>Sim</t>
        </is>
      </c>
    </row>
    <row r="236">
      <c r="A236" t="inlineStr">
        <is>
          <t>Insumos e papel</t>
        </is>
      </c>
      <c r="B236" t="inlineStr">
        <is>
          <t>2.01.93 Compra de Plástico Poliolefínico</t>
        </is>
      </c>
      <c r="C236" s="30" t="n">
        <v>46082</v>
      </c>
      <c r="D236" t="inlineStr">
        <is>
          <t>Em 2026</t>
        </is>
      </c>
      <c r="E236" s="28" t="n">
        <v>46087</v>
      </c>
      <c r="F236" t="inlineStr">
        <is>
          <t>NF-e</t>
        </is>
      </c>
      <c r="G236" t="inlineStr">
        <is>
          <t>000008234</t>
        </is>
      </c>
      <c r="H236" t="inlineStr">
        <is>
          <t>ALSTEK SOLUCOES EM EMBALAGENS LTDA</t>
        </is>
      </c>
      <c r="I236" t="inlineStr">
        <is>
          <t>24.058.558/0002-77</t>
        </is>
      </c>
      <c r="J236" s="29" t="n">
        <v>46508.87</v>
      </c>
      <c r="K236" s="29">
        <f>(1-ISNUMBER(SEARCH("556",M236)))*(O236*SUMIFS(Premissas!$C$5:$C$44,Premissas!$A$5:$A$44,$A236,Premissas!$B$5:$B$44,$B236)+P236*SUMIFS(Premissas!$D$5:$D$44,Premissas!$A$5:$A$44,$A236,Premissas!$B$5:$B$44,$B236))+R236*SUMIFS(Premissas!$E$5:$E$44,Premissas!$A$5:$A$44,$A236,Premissas!$B$5:$B$44,$B236)+S236*SUMIFS(Premissas!$F$5:$F$44,Premissas!$A$5:$A$44,$A236,Premissas!$B$5:$B$44,$B236)</f>
        <v/>
      </c>
      <c r="L236" s="29">
        <f>J236-K236</f>
        <v/>
      </c>
      <c r="M236" t="inlineStr">
        <is>
          <t>2.102</t>
        </is>
      </c>
      <c r="O236" s="29" t="n">
        <v>6066.37</v>
      </c>
      <c r="P236" s="29" t="n">
        <v>1617.7</v>
      </c>
      <c r="Q236" s="29" t="n">
        <v>0</v>
      </c>
      <c r="R236" s="29" t="n">
        <v>252.36</v>
      </c>
      <c r="S236" s="29" t="n">
        <v>1164.75</v>
      </c>
      <c r="T236" t="inlineStr">
        <is>
          <t>31260324058558000277550010000082341000008244</t>
        </is>
      </c>
      <c r="U236" t="inlineStr">
        <is>
          <t>Sim</t>
        </is>
      </c>
    </row>
    <row r="237">
      <c r="A237" t="inlineStr">
        <is>
          <t>Insumos e papel</t>
        </is>
      </c>
      <c r="B237" t="inlineStr">
        <is>
          <t>2.01.93 Compra de Plástico Poliolefínico</t>
        </is>
      </c>
      <c r="C237" s="30" t="n">
        <v>46113</v>
      </c>
      <c r="D237" t="inlineStr">
        <is>
          <t>Em 2026</t>
        </is>
      </c>
      <c r="E237" s="28" t="n">
        <v>46118</v>
      </c>
      <c r="F237" t="inlineStr">
        <is>
          <t>NF-e</t>
        </is>
      </c>
      <c r="G237" t="inlineStr">
        <is>
          <t>000008475</t>
        </is>
      </c>
      <c r="H237" t="inlineStr">
        <is>
          <t>ALSTEK SOLUCOES EM EMBALAGENS LTDA</t>
        </is>
      </c>
      <c r="I237" t="inlineStr">
        <is>
          <t>24.058.558/0002-77</t>
        </is>
      </c>
      <c r="J237" s="29" t="n">
        <v>53406.23</v>
      </c>
      <c r="K237" s="29">
        <f>(1-ISNUMBER(SEARCH("556",M237)))*(O237*SUMIFS(Premissas!$C$5:$C$44,Premissas!$A$5:$A$44,$A237,Premissas!$B$5:$B$44,$B237)+P237*SUMIFS(Premissas!$D$5:$D$44,Premissas!$A$5:$A$44,$A237,Premissas!$B$5:$B$44,$B237))+R237*SUMIFS(Premissas!$E$5:$E$44,Premissas!$A$5:$A$44,$A237,Premissas!$B$5:$B$44,$B237)+S237*SUMIFS(Premissas!$F$5:$F$44,Premissas!$A$5:$A$44,$A237,Premissas!$B$5:$B$44,$B237)</f>
        <v/>
      </c>
      <c r="L237" s="29">
        <f>J237-K237</f>
        <v/>
      </c>
      <c r="M237" t="inlineStr">
        <is>
          <t>2.101</t>
        </is>
      </c>
      <c r="O237" s="29" t="n">
        <v>6966.03</v>
      </c>
      <c r="P237" s="29" t="n">
        <v>1857.61</v>
      </c>
      <c r="Q237" s="29" t="n">
        <v>0</v>
      </c>
      <c r="R237" s="29" t="n">
        <v>289.79</v>
      </c>
      <c r="S237" s="29" t="n">
        <v>1337.48</v>
      </c>
      <c r="T237" t="inlineStr">
        <is>
          <t>31260424058558000277550010000084751000008489</t>
        </is>
      </c>
      <c r="U237" t="inlineStr">
        <is>
          <t>Sim</t>
        </is>
      </c>
    </row>
    <row r="238">
      <c r="A238" t="inlineStr">
        <is>
          <t>Insumos e papel</t>
        </is>
      </c>
      <c r="B238" t="inlineStr">
        <is>
          <t>2.01.93 Compra de Plástico Poliolefínico</t>
        </is>
      </c>
      <c r="C238" s="30" t="n">
        <v>46113</v>
      </c>
      <c r="D238" t="inlineStr">
        <is>
          <t>Em 2026</t>
        </is>
      </c>
      <c r="E238" s="28" t="n">
        <v>46121</v>
      </c>
      <c r="F238" t="inlineStr">
        <is>
          <t>NF-e</t>
        </is>
      </c>
      <c r="G238" t="inlineStr">
        <is>
          <t>000008494</t>
        </is>
      </c>
      <c r="H238" t="inlineStr">
        <is>
          <t>ALSTEK SOLUCOES EM EMBALAGENS LTDA</t>
        </is>
      </c>
      <c r="I238" t="inlineStr">
        <is>
          <t>24.058.558/0002-77</t>
        </is>
      </c>
      <c r="J238" s="29" t="n">
        <v>71474.78999999999</v>
      </c>
      <c r="K238" s="29">
        <f>(1-ISNUMBER(SEARCH("556",M238)))*(O238*SUMIFS(Premissas!$C$5:$C$44,Premissas!$A$5:$A$44,$A238,Premissas!$B$5:$B$44,$B238)+P238*SUMIFS(Premissas!$D$5:$D$44,Premissas!$A$5:$A$44,$A238,Premissas!$B$5:$B$44,$B238))+R238*SUMIFS(Premissas!$E$5:$E$44,Premissas!$A$5:$A$44,$A238,Premissas!$B$5:$B$44,$B238)+S238*SUMIFS(Premissas!$F$5:$F$44,Premissas!$A$5:$A$44,$A238,Premissas!$B$5:$B$44,$B238)</f>
        <v/>
      </c>
      <c r="L238" s="29">
        <f>J238-K238</f>
        <v/>
      </c>
      <c r="M238" t="inlineStr">
        <is>
          <t>2.101</t>
        </is>
      </c>
      <c r="O238" s="29" t="n">
        <v>9322.799999999999</v>
      </c>
      <c r="P238" s="29" t="n">
        <v>2486.08</v>
      </c>
      <c r="Q238" s="29" t="n">
        <v>0</v>
      </c>
      <c r="R238" s="29" t="n">
        <v>387.82</v>
      </c>
      <c r="S238" s="29" t="n">
        <v>1789.99</v>
      </c>
      <c r="T238" t="inlineStr">
        <is>
          <t>31260424058558000277550010000084941000008506</t>
        </is>
      </c>
      <c r="U238" t="inlineStr">
        <is>
          <t>Sim</t>
        </is>
      </c>
    </row>
    <row r="239">
      <c r="A239" t="inlineStr">
        <is>
          <t>Insumos e papel</t>
        </is>
      </c>
      <c r="B239" t="inlineStr">
        <is>
          <t>2.01.93 Compra de Plástico Poliolefínico</t>
        </is>
      </c>
      <c r="C239" s="30" t="n">
        <v>46174</v>
      </c>
      <c r="D239" t="inlineStr">
        <is>
          <t>Em 2026</t>
        </is>
      </c>
      <c r="E239" s="28" t="n">
        <v>46185</v>
      </c>
      <c r="F239" t="inlineStr">
        <is>
          <t>NF-e</t>
        </is>
      </c>
      <c r="G239" t="inlineStr">
        <is>
          <t>000008956</t>
        </is>
      </c>
      <c r="H239" t="inlineStr">
        <is>
          <t>ALSTEK SOLUCOES EM EMBALAGENS LTDA</t>
        </is>
      </c>
      <c r="I239" t="inlineStr">
        <is>
          <t>24.058.558/0002-77</t>
        </is>
      </c>
      <c r="J239" s="29" t="n">
        <v>75322.63</v>
      </c>
      <c r="K239" s="29">
        <f>(1-ISNUMBER(SEARCH("556",M239)))*(O239*SUMIFS(Premissas!$C$5:$C$44,Premissas!$A$5:$A$44,$A239,Premissas!$B$5:$B$44,$B239)+P239*SUMIFS(Premissas!$D$5:$D$44,Premissas!$A$5:$A$44,$A239,Premissas!$B$5:$B$44,$B239))+R239*SUMIFS(Premissas!$E$5:$E$44,Premissas!$A$5:$A$44,$A239,Premissas!$B$5:$B$44,$B239)+S239*SUMIFS(Premissas!$F$5:$F$44,Premissas!$A$5:$A$44,$A239,Premissas!$B$5:$B$44,$B239)</f>
        <v/>
      </c>
      <c r="L239" s="29">
        <f>J239-K239</f>
        <v/>
      </c>
      <c r="M239" t="inlineStr">
        <is>
          <t>2.101</t>
        </is>
      </c>
      <c r="O239" s="29" t="n">
        <v>9824.690000000001</v>
      </c>
      <c r="P239" s="29" t="n">
        <v>2619.91</v>
      </c>
      <c r="Q239" s="29" t="n">
        <v>0</v>
      </c>
      <c r="R239" s="29" t="n">
        <v>408.71</v>
      </c>
      <c r="S239" s="29" t="n">
        <v>1886.34</v>
      </c>
      <c r="T239" t="inlineStr">
        <is>
          <t>31260624058558000277550010000089561000008968</t>
        </is>
      </c>
      <c r="U239" t="inlineStr">
        <is>
          <t>Sim</t>
        </is>
      </c>
    </row>
    <row r="240">
      <c r="A240" t="inlineStr">
        <is>
          <t>Insumos e papel</t>
        </is>
      </c>
      <c r="B240" t="inlineStr">
        <is>
          <t>2.01.93 Compra de Plástico Poliolefínico</t>
        </is>
      </c>
      <c r="C240" s="30" t="n">
        <v>46204</v>
      </c>
      <c r="D240" t="inlineStr">
        <is>
          <t>Em 2026</t>
        </is>
      </c>
      <c r="E240" s="28" t="n">
        <v>46213</v>
      </c>
      <c r="F240" t="inlineStr">
        <is>
          <t>NF-e</t>
        </is>
      </c>
      <c r="G240" t="inlineStr">
        <is>
          <t>000009170</t>
        </is>
      </c>
      <c r="H240" t="inlineStr">
        <is>
          <t>ALSTEK SOLUCOES EM EMBALAGENS LTDA</t>
        </is>
      </c>
      <c r="I240" t="inlineStr">
        <is>
          <t>24.058.558/0002-77</t>
        </is>
      </c>
      <c r="J240" s="29" t="n">
        <v>95329.39</v>
      </c>
      <c r="K240" s="29">
        <f>(1-ISNUMBER(SEARCH("556",M240)))*(O240*SUMIFS(Premissas!$C$5:$C$44,Premissas!$A$5:$A$44,$A240,Premissas!$B$5:$B$44,$B240)+P240*SUMIFS(Premissas!$D$5:$D$44,Premissas!$A$5:$A$44,$A240,Premissas!$B$5:$B$44,$B240))+R240*SUMIFS(Premissas!$E$5:$E$44,Premissas!$A$5:$A$44,$A240,Premissas!$B$5:$B$44,$B240)+S240*SUMIFS(Premissas!$F$5:$F$44,Premissas!$A$5:$A$44,$A240,Premissas!$B$5:$B$44,$B240)</f>
        <v/>
      </c>
      <c r="L240" s="29">
        <f>J240-K240</f>
        <v/>
      </c>
      <c r="M240" t="inlineStr">
        <is>
          <t>2.101, 2.102</t>
        </is>
      </c>
      <c r="O240" s="29" t="n">
        <v>12434.27</v>
      </c>
      <c r="P240" s="29" t="n">
        <v>3315.79</v>
      </c>
      <c r="Q240" s="29" t="n">
        <v>0</v>
      </c>
      <c r="R240" s="29" t="n">
        <v>517.26</v>
      </c>
      <c r="S240" s="29" t="n">
        <v>2387.37</v>
      </c>
      <c r="T240" t="inlineStr">
        <is>
          <t>31260724058558000277550010000091701000009186</t>
        </is>
      </c>
      <c r="U240" t="inlineStr">
        <is>
          <t>Sim</t>
        </is>
      </c>
    </row>
    <row r="241">
      <c r="A241" t="inlineStr">
        <is>
          <t>Insumos e papel</t>
        </is>
      </c>
      <c r="B241" t="inlineStr">
        <is>
          <t>2.01.93 Compra de Plástico Poliolefínico</t>
        </is>
      </c>
      <c r="C241" s="30" t="n">
        <v>46235</v>
      </c>
      <c r="D241" t="inlineStr">
        <is>
          <t>Em 2026</t>
        </is>
      </c>
      <c r="E241" s="28" t="n">
        <v>46244</v>
      </c>
      <c r="F241" t="inlineStr">
        <is>
          <t>NF-e</t>
        </is>
      </c>
      <c r="G241" t="inlineStr">
        <is>
          <t>000019073</t>
        </is>
      </c>
      <c r="H241" t="inlineStr">
        <is>
          <t>ALSTEK SOLUCOES EM EMBALAGENS - LTDA</t>
        </is>
      </c>
      <c r="I241" t="inlineStr">
        <is>
          <t>24.058.558/0001-96</t>
        </is>
      </c>
      <c r="J241" s="29" t="n">
        <v>6124.44</v>
      </c>
      <c r="K241" s="29">
        <f>(1-ISNUMBER(SEARCH("556",M241)))*(O241*SUMIFS(Premissas!$C$5:$C$44,Premissas!$A$5:$A$44,$A241,Premissas!$B$5:$B$44,$B241)+P241*SUMIFS(Premissas!$D$5:$D$44,Premissas!$A$5:$A$44,$A241,Premissas!$B$5:$B$44,$B241))+R241*SUMIFS(Premissas!$E$5:$E$44,Premissas!$A$5:$A$44,$A241,Premissas!$B$5:$B$44,$B241)+S241*SUMIFS(Premissas!$F$5:$F$44,Premissas!$A$5:$A$44,$A241,Premissas!$B$5:$B$44,$B241)</f>
        <v/>
      </c>
      <c r="L241" s="29">
        <f>J241-K241</f>
        <v/>
      </c>
      <c r="M241" t="inlineStr">
        <is>
          <t>1.556</t>
        </is>
      </c>
      <c r="O241" s="29" t="n">
        <v>798.84</v>
      </c>
      <c r="P241" s="29" t="n">
        <v>213.02</v>
      </c>
      <c r="Q241" s="29" t="n">
        <v>0</v>
      </c>
      <c r="R241" s="29" t="n">
        <v>33.23</v>
      </c>
      <c r="S241" s="29" t="n">
        <v>153.38</v>
      </c>
      <c r="T241" t="inlineStr">
        <is>
          <t>35260824058558000196550010000190731000019084</t>
        </is>
      </c>
      <c r="U241" t="inlineStr">
        <is>
          <t>Sim</t>
        </is>
      </c>
    </row>
    <row r="242">
      <c r="A242" t="inlineStr">
        <is>
          <t>Insumos e papel</t>
        </is>
      </c>
      <c r="B242" t="inlineStr">
        <is>
          <t>2.01.93 Compra de Plástico Poliolefínico</t>
        </is>
      </c>
      <c r="C242" s="30" t="n">
        <v>46235</v>
      </c>
      <c r="D242" t="inlineStr">
        <is>
          <t>Em 2026</t>
        </is>
      </c>
      <c r="E242" s="28" t="n">
        <v>46244</v>
      </c>
      <c r="F242" t="inlineStr">
        <is>
          <t>NF-e</t>
        </is>
      </c>
      <c r="G242" t="inlineStr">
        <is>
          <t>000009354</t>
        </is>
      </c>
      <c r="H242" t="inlineStr">
        <is>
          <t>ALSTEK SOLUCOES EM EMBALAGENS LTDA</t>
        </is>
      </c>
      <c r="I242" t="inlineStr">
        <is>
          <t>24.058.558/0002-77</t>
        </is>
      </c>
      <c r="J242" s="29" t="n">
        <v>82911.78</v>
      </c>
      <c r="K242" s="29">
        <f>(1-ISNUMBER(SEARCH("556",M242)))*(O242*SUMIFS(Premissas!$C$5:$C$44,Premissas!$A$5:$A$44,$A242,Premissas!$B$5:$B$44,$B242)+P242*SUMIFS(Premissas!$D$5:$D$44,Premissas!$A$5:$A$44,$A242,Premissas!$B$5:$B$44,$B242))+R242*SUMIFS(Premissas!$E$5:$E$44,Premissas!$A$5:$A$44,$A242,Premissas!$B$5:$B$44,$B242)+S242*SUMIFS(Premissas!$F$5:$F$44,Premissas!$A$5:$A$44,$A242,Premissas!$B$5:$B$44,$B242)</f>
        <v/>
      </c>
      <c r="L242" s="29">
        <f>J242-K242</f>
        <v/>
      </c>
      <c r="M242" t="inlineStr">
        <is>
          <t>2.101, 2.102</t>
        </is>
      </c>
      <c r="O242" s="29" t="n">
        <v>10814.58</v>
      </c>
      <c r="P242" s="29" t="n">
        <v>2883.88</v>
      </c>
      <c r="Q242" s="29" t="n">
        <v>0</v>
      </c>
      <c r="R242" s="29" t="n">
        <v>449.88</v>
      </c>
      <c r="S242" s="29" t="n">
        <v>2076.38</v>
      </c>
      <c r="T242" t="inlineStr">
        <is>
          <t>31260824058558000277550010000093541000009365</t>
        </is>
      </c>
      <c r="U242" t="inlineStr">
        <is>
          <t>Sim</t>
        </is>
      </c>
    </row>
    <row r="243">
      <c r="A243" t="inlineStr">
        <is>
          <t>Insumos e papel</t>
        </is>
      </c>
      <c r="B243" t="inlineStr">
        <is>
          <t>2.01.93 Compra de Plástico Poliolefínico</t>
        </is>
      </c>
      <c r="C243" s="30" t="n">
        <v>46266</v>
      </c>
      <c r="D243" t="inlineStr">
        <is>
          <t>Em 2026</t>
        </is>
      </c>
      <c r="E243" s="28" t="n">
        <v>46269</v>
      </c>
      <c r="F243" t="inlineStr">
        <is>
          <t>NF-e</t>
        </is>
      </c>
      <c r="G243" t="inlineStr">
        <is>
          <t>000009556</t>
        </is>
      </c>
      <c r="H243" t="inlineStr">
        <is>
          <t>ALSTEK SOLUCOES EM EMBALAGENS LTDA</t>
        </is>
      </c>
      <c r="I243" t="inlineStr">
        <is>
          <t>24.058.558/0002-77</t>
        </is>
      </c>
      <c r="J243" s="29" t="n">
        <v>90478.78</v>
      </c>
      <c r="K243" s="29">
        <f>(1-ISNUMBER(SEARCH("556",M243)))*(O243*SUMIFS(Premissas!$C$5:$C$44,Premissas!$A$5:$A$44,$A243,Premissas!$B$5:$B$44,$B243)+P243*SUMIFS(Premissas!$D$5:$D$44,Premissas!$A$5:$A$44,$A243,Premissas!$B$5:$B$44,$B243))+R243*SUMIFS(Premissas!$E$5:$E$44,Premissas!$A$5:$A$44,$A243,Premissas!$B$5:$B$44,$B243)+S243*SUMIFS(Premissas!$F$5:$F$44,Premissas!$A$5:$A$44,$A243,Premissas!$B$5:$B$44,$B243)</f>
        <v/>
      </c>
      <c r="L243" s="29">
        <f>J243-K243</f>
        <v/>
      </c>
      <c r="M243" t="inlineStr">
        <is>
          <t>1.556</t>
        </is>
      </c>
      <c r="O243" s="29" t="n">
        <v>11801.58</v>
      </c>
      <c r="P243" s="29" t="n">
        <v>3147.09</v>
      </c>
      <c r="Q243" s="29" t="n">
        <v>0</v>
      </c>
      <c r="R243" s="29" t="n">
        <v>490.94</v>
      </c>
      <c r="S243" s="29" t="n">
        <v>2265.9</v>
      </c>
      <c r="T243" t="inlineStr">
        <is>
          <t>31260924058558000277550010000095561000009569</t>
        </is>
      </c>
      <c r="U243" t="inlineStr">
        <is>
          <t>Sim</t>
        </is>
      </c>
    </row>
    <row r="244">
      <c r="A244" t="inlineStr">
        <is>
          <t>Insumos e papel</t>
        </is>
      </c>
      <c r="B244" t="inlineStr">
        <is>
          <t>2.01.94 Compra de Fita Adesiva</t>
        </is>
      </c>
      <c r="C244" s="30" t="n">
        <v>46023</v>
      </c>
      <c r="D244" t="inlineStr">
        <is>
          <t>Em 2026</t>
        </is>
      </c>
      <c r="E244" s="28" t="n">
        <v>46031</v>
      </c>
      <c r="F244" t="inlineStr">
        <is>
          <t>NF-e</t>
        </is>
      </c>
      <c r="G244" t="inlineStr">
        <is>
          <t>000044698</t>
        </is>
      </c>
      <c r="H244" t="inlineStr">
        <is>
          <t>ADERE PRODUTOS AUTO ADESIVOS LTDA</t>
        </is>
      </c>
      <c r="I244" t="inlineStr">
        <is>
          <t>46.062.030/0005-57</t>
        </is>
      </c>
      <c r="J244" s="29" t="n">
        <v>4519.87</v>
      </c>
      <c r="K244" s="29">
        <f>(1-ISNUMBER(SEARCH("556",M244)))*(O244*SUMIFS(Premissas!$C$5:$C$44,Premissas!$A$5:$A$44,$A244,Premissas!$B$5:$B$44,$B244)+P244*SUMIFS(Premissas!$D$5:$D$44,Premissas!$A$5:$A$44,$A244,Premissas!$B$5:$B$44,$B244))+R244*SUMIFS(Premissas!$E$5:$E$44,Premissas!$A$5:$A$44,$A244,Premissas!$B$5:$B$44,$B244)+S244*SUMIFS(Premissas!$F$5:$F$44,Premissas!$A$5:$A$44,$A244,Premissas!$B$5:$B$44,$B244)</f>
        <v/>
      </c>
      <c r="L244" s="29">
        <f>J244-K244</f>
        <v/>
      </c>
      <c r="M244" t="inlineStr">
        <is>
          <t>1.556</t>
        </is>
      </c>
      <c r="O244" s="29" t="n">
        <v>142.27</v>
      </c>
      <c r="P244" s="29" t="n">
        <v>542.38</v>
      </c>
      <c r="Q244" s="29" t="n">
        <v>0</v>
      </c>
      <c r="R244" s="29" t="n">
        <v>63.28</v>
      </c>
      <c r="S244" s="29" t="n">
        <v>291.48</v>
      </c>
      <c r="T244" t="inlineStr">
        <is>
          <t>26260146062030000557550030000446981704198149</t>
        </is>
      </c>
      <c r="U244" t="inlineStr">
        <is>
          <t>Sim</t>
        </is>
      </c>
    </row>
    <row r="245">
      <c r="A245" t="inlineStr">
        <is>
          <t>Insumos e papel</t>
        </is>
      </c>
      <c r="B245" t="inlineStr">
        <is>
          <t>2.01.94 Compra de Fita Adesiva</t>
        </is>
      </c>
      <c r="C245" s="30" t="n">
        <v>46023</v>
      </c>
      <c r="D245" t="inlineStr">
        <is>
          <t>Em 2026</t>
        </is>
      </c>
      <c r="E245" s="28" t="n">
        <v>46041</v>
      </c>
      <c r="F245" t="inlineStr">
        <is>
          <t>NF-e</t>
        </is>
      </c>
      <c r="G245" t="inlineStr">
        <is>
          <t>000001699</t>
        </is>
      </c>
      <c r="H245" t="inlineStr">
        <is>
          <t>B. B. A. INDUSTRIA E COMERCIO IMPORTACAO E EXPORTACAO LTDA</t>
        </is>
      </c>
      <c r="I245" t="inlineStr">
        <is>
          <t>25.247.287/0001-80</t>
        </is>
      </c>
      <c r="J245" s="29" t="n">
        <v>4609.2</v>
      </c>
      <c r="K245" s="29">
        <f>(1-ISNUMBER(SEARCH("556",M245)))*(O245*SUMIFS(Premissas!$C$5:$C$44,Premissas!$A$5:$A$44,$A245,Premissas!$B$5:$B$44,$B245)+P245*SUMIFS(Premissas!$D$5:$D$44,Premissas!$A$5:$A$44,$A245,Premissas!$B$5:$B$44,$B245))+R245*SUMIFS(Premissas!$E$5:$E$44,Premissas!$A$5:$A$44,$A245,Premissas!$B$5:$B$44,$B245)+S245*SUMIFS(Premissas!$F$5:$F$44,Premissas!$A$5:$A$44,$A245,Premissas!$B$5:$B$44,$B245)</f>
        <v/>
      </c>
      <c r="L245" s="29">
        <f>J245-K245</f>
        <v/>
      </c>
      <c r="M245" t="inlineStr">
        <is>
          <t>2.102</t>
        </is>
      </c>
      <c r="O245" s="29" t="n">
        <v>601.2</v>
      </c>
      <c r="P245" s="29" t="n">
        <v>553.1</v>
      </c>
      <c r="Q245" s="29" t="n">
        <v>0</v>
      </c>
      <c r="R245" s="29" t="n">
        <v>57.01</v>
      </c>
      <c r="S245" s="29" t="n">
        <v>262.57</v>
      </c>
      <c r="T245" t="inlineStr">
        <is>
          <t>27260125247287000180550010000016991484741322</t>
        </is>
      </c>
      <c r="U245" t="inlineStr">
        <is>
          <t>Sim</t>
        </is>
      </c>
    </row>
    <row r="246">
      <c r="A246" t="inlineStr">
        <is>
          <t>Insumos e papel</t>
        </is>
      </c>
      <c r="B246" t="inlineStr">
        <is>
          <t>2.01.94 Compra de Fita Adesiva</t>
        </is>
      </c>
      <c r="C246" s="30" t="n">
        <v>46023</v>
      </c>
      <c r="D246" t="inlineStr">
        <is>
          <t>Em 2026</t>
        </is>
      </c>
      <c r="E246" s="28" t="n">
        <v>46035</v>
      </c>
      <c r="F246" t="inlineStr">
        <is>
          <t>NF-e</t>
        </is>
      </c>
      <c r="G246" t="inlineStr">
        <is>
          <t>000000656</t>
        </is>
      </c>
      <c r="H246" t="inlineStr">
        <is>
          <t>Limptech Paper Comercio Ltda</t>
        </is>
      </c>
      <c r="I246" t="inlineStr">
        <is>
          <t>58.715.917/0001-52</t>
        </is>
      </c>
      <c r="J246" s="29" t="n">
        <v>618.75</v>
      </c>
      <c r="K246" s="29">
        <f>(1-ISNUMBER(SEARCH("556",M246)))*(O246*SUMIFS(Premissas!$C$5:$C$44,Premissas!$A$5:$A$44,$A246,Premissas!$B$5:$B$44,$B246)+P246*SUMIFS(Premissas!$D$5:$D$44,Premissas!$A$5:$A$44,$A246,Premissas!$B$5:$B$44,$B246))+R246*SUMIFS(Premissas!$E$5:$E$44,Premissas!$A$5:$A$44,$A246,Premissas!$B$5:$B$44,$B246)+S246*SUMIFS(Premissas!$F$5:$F$44,Premissas!$A$5:$A$44,$A246,Premissas!$B$5:$B$44,$B246)</f>
        <v/>
      </c>
      <c r="L246" s="29">
        <f>J246-K246</f>
        <v/>
      </c>
      <c r="M246" t="inlineStr">
        <is>
          <t>1.102</t>
        </is>
      </c>
      <c r="O246" s="29" t="n">
        <v>0</v>
      </c>
      <c r="P246" s="29" t="n">
        <v>0</v>
      </c>
      <c r="Q246" s="29" t="n">
        <v>0</v>
      </c>
      <c r="R246" s="29" t="n">
        <v>0</v>
      </c>
      <c r="S246" s="29" t="n">
        <v>0</v>
      </c>
      <c r="T246" t="inlineStr">
        <is>
          <t>25260158715917000152550010000006561400165171</t>
        </is>
      </c>
      <c r="U246" t="inlineStr">
        <is>
          <t>Sim</t>
        </is>
      </c>
    </row>
    <row r="247">
      <c r="A247" t="inlineStr">
        <is>
          <t>Insumos e papel</t>
        </is>
      </c>
      <c r="B247" t="inlineStr">
        <is>
          <t>2.01.94 Compra de Fita Adesiva</t>
        </is>
      </c>
      <c r="C247" s="30" t="n">
        <v>46023</v>
      </c>
      <c r="D247" t="inlineStr">
        <is>
          <t>Em 2026</t>
        </is>
      </c>
      <c r="E247" s="28" t="n">
        <v>46030</v>
      </c>
      <c r="F247" t="inlineStr">
        <is>
          <t>NF-e</t>
        </is>
      </c>
      <c r="G247" t="inlineStr">
        <is>
          <t>000000362</t>
        </is>
      </c>
      <c r="H247" t="inlineStr">
        <is>
          <t>ODAFLEXO COMERCIO DE PRODUTOS FLEXOGRAFICOS LTDA</t>
        </is>
      </c>
      <c r="I247" t="inlineStr">
        <is>
          <t>50.859.160/0001-69</t>
        </is>
      </c>
      <c r="J247" s="29" t="n">
        <v>3900</v>
      </c>
      <c r="K247" s="29">
        <f>(1-ISNUMBER(SEARCH("556",M247)))*(O247*SUMIFS(Premissas!$C$5:$C$44,Premissas!$A$5:$A$44,$A247,Premissas!$B$5:$B$44,$B247)+P247*SUMIFS(Premissas!$D$5:$D$44,Premissas!$A$5:$A$44,$A247,Premissas!$B$5:$B$44,$B247))+R247*SUMIFS(Premissas!$E$5:$E$44,Premissas!$A$5:$A$44,$A247,Premissas!$B$5:$B$44,$B247)+S247*SUMIFS(Premissas!$F$5:$F$44,Premissas!$A$5:$A$44,$A247,Premissas!$B$5:$B$44,$B247)</f>
        <v/>
      </c>
      <c r="L247" s="29">
        <f>J247-K247</f>
        <v/>
      </c>
      <c r="M247" t="inlineStr">
        <is>
          <t>2.102</t>
        </is>
      </c>
      <c r="O247" s="29" t="n">
        <v>0</v>
      </c>
      <c r="P247" s="29" t="n">
        <v>0</v>
      </c>
      <c r="Q247" s="29" t="n">
        <v>0</v>
      </c>
      <c r="R247" s="29" t="n">
        <v>0</v>
      </c>
      <c r="S247" s="29" t="n">
        <v>0</v>
      </c>
      <c r="T247" t="inlineStr">
        <is>
          <t>26260150859160000169550010000003621244215968</t>
        </is>
      </c>
      <c r="U247" t="inlineStr">
        <is>
          <t>Sim</t>
        </is>
      </c>
    </row>
    <row r="248">
      <c r="A248" t="inlineStr">
        <is>
          <t>Insumos e papel</t>
        </is>
      </c>
      <c r="B248" t="inlineStr">
        <is>
          <t>2.01.94 Compra de Fita Adesiva</t>
        </is>
      </c>
      <c r="C248" s="30" t="n">
        <v>46054</v>
      </c>
      <c r="D248" t="inlineStr">
        <is>
          <t>Em 2026</t>
        </is>
      </c>
      <c r="E248" s="28" t="n">
        <v>46059</v>
      </c>
      <c r="F248" t="inlineStr">
        <is>
          <t>NF-e</t>
        </is>
      </c>
      <c r="G248" t="inlineStr">
        <is>
          <t>000000735</t>
        </is>
      </c>
      <c r="H248" t="inlineStr">
        <is>
          <t>Limptech Paper Comercio Ltda</t>
        </is>
      </c>
      <c r="I248" t="inlineStr">
        <is>
          <t>58.715.917/0001-52</t>
        </is>
      </c>
      <c r="J248" s="29" t="n">
        <v>1157.85</v>
      </c>
      <c r="K248" s="29">
        <f>(1-ISNUMBER(SEARCH("556",M248)))*(O248*SUMIFS(Premissas!$C$5:$C$44,Premissas!$A$5:$A$44,$A248,Premissas!$B$5:$B$44,$B248)+P248*SUMIFS(Premissas!$D$5:$D$44,Premissas!$A$5:$A$44,$A248,Premissas!$B$5:$B$44,$B248))+R248*SUMIFS(Premissas!$E$5:$E$44,Premissas!$A$5:$A$44,$A248,Premissas!$B$5:$B$44,$B248)+S248*SUMIFS(Premissas!$F$5:$F$44,Premissas!$A$5:$A$44,$A248,Premissas!$B$5:$B$44,$B248)</f>
        <v/>
      </c>
      <c r="L248" s="29">
        <f>J248-K248</f>
        <v/>
      </c>
      <c r="M248" t="inlineStr">
        <is>
          <t>1.102</t>
        </is>
      </c>
      <c r="O248" s="29" t="n">
        <v>0</v>
      </c>
      <c r="P248" s="29" t="n">
        <v>0</v>
      </c>
      <c r="Q248" s="29" t="n">
        <v>0</v>
      </c>
      <c r="R248" s="29" t="n">
        <v>0</v>
      </c>
      <c r="S248" s="29" t="n">
        <v>0</v>
      </c>
      <c r="T248" t="inlineStr">
        <is>
          <t>25260258715917000152550010000007351923145833</t>
        </is>
      </c>
      <c r="U248" t="inlineStr">
        <is>
          <t>Sim</t>
        </is>
      </c>
    </row>
    <row r="249">
      <c r="A249" t="inlineStr">
        <is>
          <t>Insumos e papel</t>
        </is>
      </c>
      <c r="B249" t="inlineStr">
        <is>
          <t>2.01.94 Compra de Fita Adesiva</t>
        </is>
      </c>
      <c r="C249" s="30" t="n">
        <v>46054</v>
      </c>
      <c r="D249" t="inlineStr">
        <is>
          <t>Em 2026</t>
        </is>
      </c>
      <c r="E249" s="28" t="n">
        <v>46071</v>
      </c>
      <c r="F249" t="inlineStr">
        <is>
          <t>NF-e</t>
        </is>
      </c>
      <c r="G249" t="inlineStr">
        <is>
          <t>000000761</t>
        </is>
      </c>
      <c r="H249" t="inlineStr">
        <is>
          <t>Limptech Paper Comercio Ltda</t>
        </is>
      </c>
      <c r="I249" t="inlineStr">
        <is>
          <t>58.715.917/0001-52</t>
        </is>
      </c>
      <c r="J249" s="29" t="n">
        <v>378</v>
      </c>
      <c r="K249" s="29">
        <f>(1-ISNUMBER(SEARCH("556",M249)))*(O249*SUMIFS(Premissas!$C$5:$C$44,Premissas!$A$5:$A$44,$A249,Premissas!$B$5:$B$44,$B249)+P249*SUMIFS(Premissas!$D$5:$D$44,Premissas!$A$5:$A$44,$A249,Premissas!$B$5:$B$44,$B249))+R249*SUMIFS(Premissas!$E$5:$E$44,Premissas!$A$5:$A$44,$A249,Premissas!$B$5:$B$44,$B249)+S249*SUMIFS(Premissas!$F$5:$F$44,Premissas!$A$5:$A$44,$A249,Premissas!$B$5:$B$44,$B249)</f>
        <v/>
      </c>
      <c r="L249" s="29">
        <f>J249-K249</f>
        <v/>
      </c>
      <c r="M249" t="inlineStr">
        <is>
          <t>1.102</t>
        </is>
      </c>
      <c r="O249" s="29" t="n">
        <v>0</v>
      </c>
      <c r="P249" s="29" t="n">
        <v>0</v>
      </c>
      <c r="Q249" s="29" t="n">
        <v>0</v>
      </c>
      <c r="R249" s="29" t="n">
        <v>0</v>
      </c>
      <c r="S249" s="29" t="n">
        <v>0</v>
      </c>
      <c r="T249" t="inlineStr">
        <is>
          <t>25260258715917000152550010000007611233140114</t>
        </is>
      </c>
      <c r="U249" t="inlineStr">
        <is>
          <t>Sim</t>
        </is>
      </c>
    </row>
    <row r="250">
      <c r="A250" t="inlineStr">
        <is>
          <t>Insumos e papel</t>
        </is>
      </c>
      <c r="B250" t="inlineStr">
        <is>
          <t>2.01.94 Compra de Fita Adesiva</t>
        </is>
      </c>
      <c r="C250" s="30" t="n">
        <v>46082</v>
      </c>
      <c r="D250" t="inlineStr">
        <is>
          <t>Em 2026</t>
        </is>
      </c>
      <c r="E250" s="28" t="n">
        <v>46100</v>
      </c>
      <c r="F250" t="inlineStr">
        <is>
          <t>NF-e</t>
        </is>
      </c>
      <c r="G250" t="inlineStr">
        <is>
          <t>000000870</t>
        </is>
      </c>
      <c r="H250" t="inlineStr">
        <is>
          <t>Limptech Paper Comercio Ltda</t>
        </is>
      </c>
      <c r="I250" t="inlineStr">
        <is>
          <t>58.715.917/0001-52</t>
        </is>
      </c>
      <c r="J250" s="29" t="n">
        <v>954</v>
      </c>
      <c r="K250" s="29">
        <f>(1-ISNUMBER(SEARCH("556",M250)))*(O250*SUMIFS(Premissas!$C$5:$C$44,Premissas!$A$5:$A$44,$A250,Premissas!$B$5:$B$44,$B250)+P250*SUMIFS(Premissas!$D$5:$D$44,Premissas!$A$5:$A$44,$A250,Premissas!$B$5:$B$44,$B250))+R250*SUMIFS(Premissas!$E$5:$E$44,Premissas!$A$5:$A$44,$A250,Premissas!$B$5:$B$44,$B250)+S250*SUMIFS(Premissas!$F$5:$F$44,Premissas!$A$5:$A$44,$A250,Premissas!$B$5:$B$44,$B250)</f>
        <v/>
      </c>
      <c r="L250" s="29">
        <f>J250-K250</f>
        <v/>
      </c>
      <c r="M250" t="inlineStr">
        <is>
          <t>1.102</t>
        </is>
      </c>
      <c r="O250" s="29" t="n">
        <v>0</v>
      </c>
      <c r="P250" s="29" t="n">
        <v>0</v>
      </c>
      <c r="Q250" s="29" t="n">
        <v>0</v>
      </c>
      <c r="R250" s="29" t="n">
        <v>0</v>
      </c>
      <c r="S250" s="29" t="n">
        <v>0</v>
      </c>
      <c r="T250" t="inlineStr">
        <is>
          <t>25260358715917000152550010000008701580556740</t>
        </is>
      </c>
      <c r="U250" t="inlineStr">
        <is>
          <t>Sim</t>
        </is>
      </c>
    </row>
    <row r="251">
      <c r="A251" t="inlineStr">
        <is>
          <t>Insumos e papel</t>
        </is>
      </c>
      <c r="B251" t="inlineStr">
        <is>
          <t>2.01.94 Compra de Fita Adesiva</t>
        </is>
      </c>
      <c r="C251" s="30" t="n">
        <v>46082</v>
      </c>
      <c r="D251" t="inlineStr">
        <is>
          <t>Em 2026</t>
        </is>
      </c>
      <c r="E251" s="28" t="n">
        <v>46083</v>
      </c>
      <c r="F251" t="inlineStr">
        <is>
          <t>NF-e</t>
        </is>
      </c>
      <c r="G251" t="inlineStr">
        <is>
          <t>000000383</t>
        </is>
      </c>
      <c r="H251" t="inlineStr">
        <is>
          <t>ODAFLEXO COMERCIO DE PRODUTOS FLEXOGRAFICOS LTDA</t>
        </is>
      </c>
      <c r="I251" t="inlineStr">
        <is>
          <t>50.859.160/0001-69</t>
        </is>
      </c>
      <c r="J251" s="29" t="n">
        <v>3900</v>
      </c>
      <c r="K251" s="29">
        <f>(1-ISNUMBER(SEARCH("556",M251)))*(O251*SUMIFS(Premissas!$C$5:$C$44,Premissas!$A$5:$A$44,$A251,Premissas!$B$5:$B$44,$B251)+P251*SUMIFS(Premissas!$D$5:$D$44,Premissas!$A$5:$A$44,$A251,Premissas!$B$5:$B$44,$B251))+R251*SUMIFS(Premissas!$E$5:$E$44,Premissas!$A$5:$A$44,$A251,Premissas!$B$5:$B$44,$B251)+S251*SUMIFS(Premissas!$F$5:$F$44,Premissas!$A$5:$A$44,$A251,Premissas!$B$5:$B$44,$B251)</f>
        <v/>
      </c>
      <c r="L251" s="29">
        <f>J251-K251</f>
        <v/>
      </c>
      <c r="M251" t="inlineStr">
        <is>
          <t>2.102</t>
        </is>
      </c>
      <c r="N251" t="inlineStr">
        <is>
          <t>Valor rateado entre categorias, como no Omie</t>
        </is>
      </c>
      <c r="O251" s="29" t="n">
        <v>0</v>
      </c>
      <c r="P251" s="29" t="n">
        <v>0</v>
      </c>
      <c r="Q251" s="29" t="n">
        <v>0</v>
      </c>
      <c r="R251" s="29" t="n">
        <v>0</v>
      </c>
      <c r="S251" s="29" t="n">
        <v>0</v>
      </c>
      <c r="T251" t="inlineStr">
        <is>
          <t>26260350859160000169550010000003831998162030</t>
        </is>
      </c>
      <c r="U251" t="inlineStr">
        <is>
          <t>Sim</t>
        </is>
      </c>
    </row>
    <row r="252">
      <c r="A252" t="inlineStr">
        <is>
          <t>Insumos e papel</t>
        </is>
      </c>
      <c r="B252" t="inlineStr">
        <is>
          <t>2.01.94 Compra de Fita Adesiva</t>
        </is>
      </c>
      <c r="C252" s="30" t="n">
        <v>46113</v>
      </c>
      <c r="D252" t="inlineStr">
        <is>
          <t>Em 2026</t>
        </is>
      </c>
      <c r="E252" s="28" t="n">
        <v>46134</v>
      </c>
      <c r="F252" t="inlineStr">
        <is>
          <t>NF-e</t>
        </is>
      </c>
      <c r="G252" t="inlineStr">
        <is>
          <t>000045604</t>
        </is>
      </c>
      <c r="H252" t="inlineStr">
        <is>
          <t>ADERE PRODUTOS AUTO ADESIVOS LTDA</t>
        </is>
      </c>
      <c r="I252" t="inlineStr">
        <is>
          <t>46.062.030/0005-57</t>
        </is>
      </c>
      <c r="J252" s="29" t="n">
        <v>4698.29</v>
      </c>
      <c r="K252" s="29">
        <f>(1-ISNUMBER(SEARCH("556",M252)))*(O252*SUMIFS(Premissas!$C$5:$C$44,Premissas!$A$5:$A$44,$A252,Premissas!$B$5:$B$44,$B252)+P252*SUMIFS(Premissas!$D$5:$D$44,Premissas!$A$5:$A$44,$A252,Premissas!$B$5:$B$44,$B252))+R252*SUMIFS(Premissas!$E$5:$E$44,Premissas!$A$5:$A$44,$A252,Premissas!$B$5:$B$44,$B252)+S252*SUMIFS(Premissas!$F$5:$F$44,Premissas!$A$5:$A$44,$A252,Premissas!$B$5:$B$44,$B252)</f>
        <v/>
      </c>
      <c r="L252" s="29">
        <f>J252-K252</f>
        <v/>
      </c>
      <c r="M252" t="inlineStr">
        <is>
          <t>1.556</t>
        </is>
      </c>
      <c r="O252" s="29" t="n">
        <v>147.89</v>
      </c>
      <c r="P252" s="29" t="n">
        <v>563.79</v>
      </c>
      <c r="Q252" s="29" t="n">
        <v>0</v>
      </c>
      <c r="R252" s="29" t="n">
        <v>65.78</v>
      </c>
      <c r="S252" s="29" t="n">
        <v>302.98</v>
      </c>
      <c r="T252" t="inlineStr">
        <is>
          <t>26260446062030000557550030000456041106245851</t>
        </is>
      </c>
      <c r="U252" t="inlineStr">
        <is>
          <t>Sim</t>
        </is>
      </c>
    </row>
    <row r="253">
      <c r="A253" t="inlineStr">
        <is>
          <t>Insumos e papel</t>
        </is>
      </c>
      <c r="B253" t="inlineStr">
        <is>
          <t>2.01.94 Compra de Fita Adesiva</t>
        </is>
      </c>
      <c r="C253" s="30" t="n">
        <v>46113</v>
      </c>
      <c r="D253" t="inlineStr">
        <is>
          <t>Em 2026</t>
        </is>
      </c>
      <c r="E253" s="28" t="n">
        <v>46125</v>
      </c>
      <c r="F253" t="inlineStr">
        <is>
          <t>NF-e</t>
        </is>
      </c>
      <c r="G253" t="inlineStr">
        <is>
          <t>000005791</t>
        </is>
      </c>
      <c r="H253" t="inlineStr">
        <is>
          <t>ASSISTENPACK COMERCIAL E INDUSTRIAL LTDA</t>
        </is>
      </c>
      <c r="I253" t="inlineStr">
        <is>
          <t>20.302.126/0001-28</t>
        </is>
      </c>
      <c r="J253" s="29" t="n">
        <v>814.2</v>
      </c>
      <c r="K253" s="29">
        <f>(1-ISNUMBER(SEARCH("556",M253)))*(O253*SUMIFS(Premissas!$C$5:$C$44,Premissas!$A$5:$A$44,$A253,Premissas!$B$5:$B$44,$B253)+P253*SUMIFS(Premissas!$D$5:$D$44,Premissas!$A$5:$A$44,$A253,Premissas!$B$5:$B$44,$B253))+R253*SUMIFS(Premissas!$E$5:$E$44,Premissas!$A$5:$A$44,$A253,Premissas!$B$5:$B$44,$B253)+S253*SUMIFS(Premissas!$F$5:$F$44,Premissas!$A$5:$A$44,$A253,Premissas!$B$5:$B$44,$B253)</f>
        <v/>
      </c>
      <c r="L253" s="29">
        <f>J253-K253</f>
        <v/>
      </c>
      <c r="M253" t="inlineStr">
        <is>
          <t>1.101</t>
        </is>
      </c>
      <c r="O253" s="29" t="n">
        <v>0</v>
      </c>
      <c r="P253" s="29" t="n">
        <v>0</v>
      </c>
      <c r="Q253" s="29" t="n">
        <v>0</v>
      </c>
      <c r="R253" s="29" t="n">
        <v>0</v>
      </c>
      <c r="S253" s="29" t="n">
        <v>0</v>
      </c>
      <c r="T253" t="inlineStr">
        <is>
          <t>25260420302126000128550010000057911232588141</t>
        </is>
      </c>
      <c r="U253" t="inlineStr">
        <is>
          <t>Sim</t>
        </is>
      </c>
    </row>
    <row r="254">
      <c r="A254" t="inlineStr">
        <is>
          <t>Insumos e papel</t>
        </is>
      </c>
      <c r="B254" t="inlineStr">
        <is>
          <t>2.01.94 Compra de Fita Adesiva</t>
        </is>
      </c>
      <c r="C254" s="30" t="n">
        <v>46113</v>
      </c>
      <c r="D254" t="inlineStr">
        <is>
          <t>Em 2026</t>
        </is>
      </c>
      <c r="E254" s="28" t="n">
        <v>46142</v>
      </c>
      <c r="F254" t="inlineStr">
        <is>
          <t>NF-e</t>
        </is>
      </c>
      <c r="G254" t="inlineStr">
        <is>
          <t>000013908</t>
        </is>
      </c>
      <c r="H254" t="inlineStr">
        <is>
          <t>EDNA DE ARAUJO PACHECO LTDA</t>
        </is>
      </c>
      <c r="I254" t="inlineStr">
        <is>
          <t>17.433.873/0001-90</t>
        </is>
      </c>
      <c r="J254" s="29" t="n">
        <v>323.04</v>
      </c>
      <c r="K254" s="29">
        <f>(1-ISNUMBER(SEARCH("556",M254)))*(O254*SUMIFS(Premissas!$C$5:$C$44,Premissas!$A$5:$A$44,$A254,Premissas!$B$5:$B$44,$B254)+P254*SUMIFS(Premissas!$D$5:$D$44,Premissas!$A$5:$A$44,$A254,Premissas!$B$5:$B$44,$B254))+R254*SUMIFS(Premissas!$E$5:$E$44,Premissas!$A$5:$A$44,$A254,Premissas!$B$5:$B$44,$B254)+S254*SUMIFS(Premissas!$F$5:$F$44,Premissas!$A$5:$A$44,$A254,Premissas!$B$5:$B$44,$B254)</f>
        <v/>
      </c>
      <c r="L254" s="29">
        <f>J254-K254</f>
        <v/>
      </c>
      <c r="M254" t="inlineStr">
        <is>
          <t>1.556</t>
        </is>
      </c>
      <c r="N254" t="inlineStr">
        <is>
          <t>Valor rateado entre categorias, como no Omie</t>
        </is>
      </c>
      <c r="O254" s="29" t="n">
        <v>0</v>
      </c>
      <c r="P254" s="29" t="n">
        <v>0</v>
      </c>
      <c r="Q254" s="29" t="n">
        <v>0</v>
      </c>
      <c r="R254" s="29" t="n">
        <v>0</v>
      </c>
      <c r="S254" s="29" t="n">
        <v>0</v>
      </c>
      <c r="T254" t="inlineStr">
        <is>
          <t>25260417433873000190550010000139081016664010</t>
        </is>
      </c>
      <c r="U254" t="inlineStr">
        <is>
          <t>Sim</t>
        </is>
      </c>
    </row>
    <row r="255">
      <c r="A255" t="inlineStr">
        <is>
          <t>Insumos e papel</t>
        </is>
      </c>
      <c r="B255" t="inlineStr">
        <is>
          <t>2.01.94 Compra de Fita Adesiva</t>
        </is>
      </c>
      <c r="C255" s="30" t="n">
        <v>46113</v>
      </c>
      <c r="D255" t="inlineStr">
        <is>
          <t>Em 2026</t>
        </is>
      </c>
      <c r="E255" s="28" t="n">
        <v>46142</v>
      </c>
      <c r="F255" t="inlineStr">
        <is>
          <t>NF-e</t>
        </is>
      </c>
      <c r="G255" t="inlineStr">
        <is>
          <t>000000065</t>
        </is>
      </c>
      <c r="H255" t="inlineStr">
        <is>
          <t>José Adriano da silva</t>
        </is>
      </c>
      <c r="I255" t="inlineStr">
        <is>
          <t>62.185.579/0001-61</t>
        </is>
      </c>
      <c r="J255" s="29" t="n">
        <v>2788</v>
      </c>
      <c r="K255" s="29">
        <f>(1-ISNUMBER(SEARCH("556",M255)))*(O255*SUMIFS(Premissas!$C$5:$C$44,Premissas!$A$5:$A$44,$A255,Premissas!$B$5:$B$44,$B255)+P255*SUMIFS(Premissas!$D$5:$D$44,Premissas!$A$5:$A$44,$A255,Premissas!$B$5:$B$44,$B255))+R255*SUMIFS(Premissas!$E$5:$E$44,Premissas!$A$5:$A$44,$A255,Premissas!$B$5:$B$44,$B255)+S255*SUMIFS(Premissas!$F$5:$F$44,Premissas!$A$5:$A$44,$A255,Premissas!$B$5:$B$44,$B255)</f>
        <v/>
      </c>
      <c r="L255" s="29">
        <f>J255-K255</f>
        <v/>
      </c>
      <c r="M255" t="inlineStr">
        <is>
          <t>1.556</t>
        </is>
      </c>
      <c r="O255" s="29" t="n">
        <v>0</v>
      </c>
      <c r="P255" s="29" t="n">
        <v>0</v>
      </c>
      <c r="Q255" s="29" t="n">
        <v>0</v>
      </c>
      <c r="R255" s="29" t="n">
        <v>0</v>
      </c>
      <c r="S255" s="29" t="n">
        <v>0</v>
      </c>
      <c r="T255" t="inlineStr">
        <is>
          <t>25260462185579000161550010000000651268547500</t>
        </is>
      </c>
      <c r="U255" t="inlineStr">
        <is>
          <t>Sim</t>
        </is>
      </c>
    </row>
    <row r="256">
      <c r="A256" t="inlineStr">
        <is>
          <t>Insumos e papel</t>
        </is>
      </c>
      <c r="B256" t="inlineStr">
        <is>
          <t>2.01.94 Compra de Fita Adesiva</t>
        </is>
      </c>
      <c r="C256" s="30" t="n">
        <v>46113</v>
      </c>
      <c r="D256" t="inlineStr">
        <is>
          <t>Em 2026</t>
        </is>
      </c>
      <c r="E256" s="28" t="n">
        <v>46113</v>
      </c>
      <c r="F256" t="inlineStr">
        <is>
          <t>NF-e</t>
        </is>
      </c>
      <c r="G256" t="inlineStr">
        <is>
          <t>000000398</t>
        </is>
      </c>
      <c r="H256" t="inlineStr">
        <is>
          <t>ODAFLEXO COMERCIO DE PRODUTOS FLEXOGRAFICOS LTDA</t>
        </is>
      </c>
      <c r="I256" t="inlineStr">
        <is>
          <t>50.859.160/0001-69</t>
        </is>
      </c>
      <c r="J256" s="29" t="n">
        <v>1300</v>
      </c>
      <c r="K256" s="29">
        <f>(1-ISNUMBER(SEARCH("556",M256)))*(O256*SUMIFS(Premissas!$C$5:$C$44,Premissas!$A$5:$A$44,$A256,Premissas!$B$5:$B$44,$B256)+P256*SUMIFS(Premissas!$D$5:$D$44,Premissas!$A$5:$A$44,$A256,Premissas!$B$5:$B$44,$B256))+R256*SUMIFS(Premissas!$E$5:$E$44,Premissas!$A$5:$A$44,$A256,Premissas!$B$5:$B$44,$B256)+S256*SUMIFS(Premissas!$F$5:$F$44,Premissas!$A$5:$A$44,$A256,Premissas!$B$5:$B$44,$B256)</f>
        <v/>
      </c>
      <c r="L256" s="29">
        <f>J256-K256</f>
        <v/>
      </c>
      <c r="M256" t="inlineStr">
        <is>
          <t>2.102</t>
        </is>
      </c>
      <c r="N256" t="inlineStr">
        <is>
          <t>Valor rateado entre categorias, como no Omie</t>
        </is>
      </c>
      <c r="O256" s="29" t="n">
        <v>0</v>
      </c>
      <c r="P256" s="29" t="n">
        <v>0</v>
      </c>
      <c r="Q256" s="29" t="n">
        <v>0</v>
      </c>
      <c r="R256" s="29" t="n">
        <v>0</v>
      </c>
      <c r="S256" s="29" t="n">
        <v>0</v>
      </c>
      <c r="T256" t="inlineStr">
        <is>
          <t>26260450859160000169550010000003981371586713</t>
        </is>
      </c>
      <c r="U256" t="inlineStr">
        <is>
          <t>Sim</t>
        </is>
      </c>
    </row>
    <row r="257">
      <c r="A257" t="inlineStr">
        <is>
          <t>Insumos e papel</t>
        </is>
      </c>
      <c r="B257" t="inlineStr">
        <is>
          <t>2.01.94 Compra de Fita Adesiva</t>
        </is>
      </c>
      <c r="C257" s="30" t="n">
        <v>46143</v>
      </c>
      <c r="D257" t="inlineStr">
        <is>
          <t>Em 2026</t>
        </is>
      </c>
      <c r="E257" s="28" t="n">
        <v>46155</v>
      </c>
      <c r="F257" t="inlineStr">
        <is>
          <t>NF-e</t>
        </is>
      </c>
      <c r="G257" t="inlineStr">
        <is>
          <t>000000068</t>
        </is>
      </c>
      <c r="H257" t="inlineStr">
        <is>
          <t>José Adriano da silva</t>
        </is>
      </c>
      <c r="I257" t="inlineStr">
        <is>
          <t>62.185.579/0001-61</t>
        </is>
      </c>
      <c r="J257" s="29" t="n">
        <v>2788</v>
      </c>
      <c r="K257" s="29">
        <f>(1-ISNUMBER(SEARCH("556",M257)))*(O257*SUMIFS(Premissas!$C$5:$C$44,Premissas!$A$5:$A$44,$A257,Premissas!$B$5:$B$44,$B257)+P257*SUMIFS(Premissas!$D$5:$D$44,Premissas!$A$5:$A$44,$A257,Premissas!$B$5:$B$44,$B257))+R257*SUMIFS(Premissas!$E$5:$E$44,Premissas!$A$5:$A$44,$A257,Premissas!$B$5:$B$44,$B257)+S257*SUMIFS(Premissas!$F$5:$F$44,Premissas!$A$5:$A$44,$A257,Premissas!$B$5:$B$44,$B257)</f>
        <v/>
      </c>
      <c r="L257" s="29">
        <f>J257-K257</f>
        <v/>
      </c>
      <c r="M257" t="inlineStr">
        <is>
          <t>1.102</t>
        </is>
      </c>
      <c r="O257" s="29" t="n">
        <v>0</v>
      </c>
      <c r="P257" s="29" t="n">
        <v>0</v>
      </c>
      <c r="Q257" s="29" t="n">
        <v>0</v>
      </c>
      <c r="R257" s="29" t="n">
        <v>0</v>
      </c>
      <c r="S257" s="29" t="n">
        <v>0</v>
      </c>
      <c r="T257" t="inlineStr">
        <is>
          <t>25260562185579000161550010000000681093913931</t>
        </is>
      </c>
      <c r="U257" t="inlineStr">
        <is>
          <t>Sim</t>
        </is>
      </c>
    </row>
    <row r="258">
      <c r="A258" t="inlineStr">
        <is>
          <t>Insumos e papel</t>
        </is>
      </c>
      <c r="B258" t="inlineStr">
        <is>
          <t>2.01.94 Compra de Fita Adesiva</t>
        </is>
      </c>
      <c r="C258" s="30" t="n">
        <v>46143</v>
      </c>
      <c r="D258" t="inlineStr">
        <is>
          <t>Em 2026</t>
        </is>
      </c>
      <c r="E258" s="28" t="n">
        <v>46170</v>
      </c>
      <c r="F258" t="inlineStr">
        <is>
          <t>NF-e</t>
        </is>
      </c>
      <c r="G258" t="inlineStr">
        <is>
          <t>000000071</t>
        </is>
      </c>
      <c r="H258" t="inlineStr">
        <is>
          <t>José Adriano da silva</t>
        </is>
      </c>
      <c r="I258" t="inlineStr">
        <is>
          <t>62.185.579/0001-61</t>
        </is>
      </c>
      <c r="J258" s="29" t="n">
        <v>5018.4</v>
      </c>
      <c r="K258" s="29">
        <f>(1-ISNUMBER(SEARCH("556",M258)))*(O258*SUMIFS(Premissas!$C$5:$C$44,Premissas!$A$5:$A$44,$A258,Premissas!$B$5:$B$44,$B258)+P258*SUMIFS(Premissas!$D$5:$D$44,Premissas!$A$5:$A$44,$A258,Premissas!$B$5:$B$44,$B258))+R258*SUMIFS(Premissas!$E$5:$E$44,Premissas!$A$5:$A$44,$A258,Premissas!$B$5:$B$44,$B258)+S258*SUMIFS(Premissas!$F$5:$F$44,Premissas!$A$5:$A$44,$A258,Premissas!$B$5:$B$44,$B258)</f>
        <v/>
      </c>
      <c r="L258" s="29">
        <f>J258-K258</f>
        <v/>
      </c>
      <c r="M258" t="inlineStr">
        <is>
          <t>1.556</t>
        </is>
      </c>
      <c r="O258" s="29" t="n">
        <v>0</v>
      </c>
      <c r="P258" s="29" t="n">
        <v>0</v>
      </c>
      <c r="Q258" s="29" t="n">
        <v>0</v>
      </c>
      <c r="R258" s="29" t="n">
        <v>0</v>
      </c>
      <c r="S258" s="29" t="n">
        <v>0</v>
      </c>
      <c r="T258" t="inlineStr">
        <is>
          <t>25260562185579000161550010000000711250118080</t>
        </is>
      </c>
      <c r="U258" t="inlineStr">
        <is>
          <t>Sim</t>
        </is>
      </c>
    </row>
    <row r="259">
      <c r="A259" t="inlineStr">
        <is>
          <t>Insumos e papel</t>
        </is>
      </c>
      <c r="B259" t="inlineStr">
        <is>
          <t>2.01.94 Compra de Fita Adesiva</t>
        </is>
      </c>
      <c r="C259" s="30" t="n">
        <v>46143</v>
      </c>
      <c r="D259" t="inlineStr">
        <is>
          <t>Em 2026</t>
        </is>
      </c>
      <c r="E259" s="28" t="n">
        <v>46168</v>
      </c>
      <c r="F259" t="inlineStr">
        <is>
          <t>NF-e</t>
        </is>
      </c>
      <c r="G259" t="inlineStr">
        <is>
          <t>000000417</t>
        </is>
      </c>
      <c r="H259" t="inlineStr">
        <is>
          <t>ODAFLEXO COMERCIO DE PRODUTOS FLEXOGRAFICOS LTDA</t>
        </is>
      </c>
      <c r="I259" t="inlineStr">
        <is>
          <t>50.859.160/0001-69</t>
        </is>
      </c>
      <c r="J259" s="29" t="n">
        <v>4050</v>
      </c>
      <c r="K259" s="29">
        <f>(1-ISNUMBER(SEARCH("556",M259)))*(O259*SUMIFS(Premissas!$C$5:$C$44,Premissas!$A$5:$A$44,$A259,Premissas!$B$5:$B$44,$B259)+P259*SUMIFS(Premissas!$D$5:$D$44,Premissas!$A$5:$A$44,$A259,Premissas!$B$5:$B$44,$B259))+R259*SUMIFS(Premissas!$E$5:$E$44,Premissas!$A$5:$A$44,$A259,Premissas!$B$5:$B$44,$B259)+S259*SUMIFS(Premissas!$F$5:$F$44,Premissas!$A$5:$A$44,$A259,Premissas!$B$5:$B$44,$B259)</f>
        <v/>
      </c>
      <c r="L259" s="29">
        <f>J259-K259</f>
        <v/>
      </c>
      <c r="M259" t="inlineStr">
        <is>
          <t>2.102</t>
        </is>
      </c>
      <c r="O259" s="29" t="n">
        <v>0</v>
      </c>
      <c r="P259" s="29" t="n">
        <v>0</v>
      </c>
      <c r="Q259" s="29" t="n">
        <v>0</v>
      </c>
      <c r="R259" s="29" t="n">
        <v>0</v>
      </c>
      <c r="S259" s="29" t="n">
        <v>0</v>
      </c>
      <c r="T259" t="inlineStr">
        <is>
          <t>26260550859160000169550010000004171913542964</t>
        </is>
      </c>
      <c r="U259" t="inlineStr">
        <is>
          <t>Sim</t>
        </is>
      </c>
    </row>
    <row r="260">
      <c r="A260" t="inlineStr">
        <is>
          <t>Insumos e papel</t>
        </is>
      </c>
      <c r="B260" t="inlineStr">
        <is>
          <t>2.01.94 Compra de Fita Adesiva</t>
        </is>
      </c>
      <c r="C260" s="30" t="n">
        <v>46174</v>
      </c>
      <c r="D260" t="inlineStr">
        <is>
          <t>Em 2026</t>
        </is>
      </c>
      <c r="E260" s="28" t="n">
        <v>46200</v>
      </c>
      <c r="F260" t="inlineStr">
        <is>
          <t>NF-e</t>
        </is>
      </c>
      <c r="G260" t="inlineStr">
        <is>
          <t>000046164</t>
        </is>
      </c>
      <c r="H260" t="inlineStr">
        <is>
          <t>ADERE PRODUTOS AUTO ADESIVOS LTDA</t>
        </is>
      </c>
      <c r="I260" t="inlineStr">
        <is>
          <t>46.062.030/0005-57</t>
        </is>
      </c>
      <c r="J260" s="29" t="n">
        <v>5507.01</v>
      </c>
      <c r="K260" s="29">
        <f>(1-ISNUMBER(SEARCH("556",M260)))*(O260*SUMIFS(Premissas!$C$5:$C$44,Premissas!$A$5:$A$44,$A260,Premissas!$B$5:$B$44,$B260)+P260*SUMIFS(Premissas!$D$5:$D$44,Premissas!$A$5:$A$44,$A260,Premissas!$B$5:$B$44,$B260))+R260*SUMIFS(Premissas!$E$5:$E$44,Premissas!$A$5:$A$44,$A260,Premissas!$B$5:$B$44,$B260)+S260*SUMIFS(Premissas!$F$5:$F$44,Premissas!$A$5:$A$44,$A260,Premissas!$B$5:$B$44,$B260)</f>
        <v/>
      </c>
      <c r="L260" s="29">
        <f>J260-K260</f>
        <v/>
      </c>
      <c r="M260" t="inlineStr">
        <is>
          <t>1.556, 2.102</t>
        </is>
      </c>
      <c r="O260" s="29" t="n">
        <v>173.35</v>
      </c>
      <c r="P260" s="29" t="n">
        <v>660.84</v>
      </c>
      <c r="Q260" s="29" t="n">
        <v>0</v>
      </c>
      <c r="R260" s="29" t="n">
        <v>77.09999999999999</v>
      </c>
      <c r="S260" s="29" t="n">
        <v>355.13</v>
      </c>
      <c r="T260" t="inlineStr">
        <is>
          <t>26260646062030000557550030000461641976915632</t>
        </is>
      </c>
      <c r="U260" t="inlineStr">
        <is>
          <t>Sim</t>
        </is>
      </c>
    </row>
    <row r="261">
      <c r="A261" t="inlineStr">
        <is>
          <t>Insumos e papel</t>
        </is>
      </c>
      <c r="B261" t="inlineStr">
        <is>
          <t>2.01.94 Compra de Fita Adesiva</t>
        </is>
      </c>
      <c r="C261" s="30" t="n">
        <v>46174</v>
      </c>
      <c r="D261" t="inlineStr">
        <is>
          <t>Em 2026</t>
        </is>
      </c>
      <c r="E261" s="28" t="n">
        <v>46189</v>
      </c>
      <c r="F261" t="inlineStr">
        <is>
          <t>NF-e</t>
        </is>
      </c>
      <c r="G261" t="inlineStr">
        <is>
          <t>000005871</t>
        </is>
      </c>
      <c r="H261" t="inlineStr">
        <is>
          <t>ASSISTENPACK COMERCIAL E INDUSTRIAL LTDA</t>
        </is>
      </c>
      <c r="I261" t="inlineStr">
        <is>
          <t>20.302.126/0001-28</t>
        </is>
      </c>
      <c r="J261" s="29" t="n">
        <v>843.9</v>
      </c>
      <c r="K261" s="29">
        <f>(1-ISNUMBER(SEARCH("556",M261)))*(O261*SUMIFS(Premissas!$C$5:$C$44,Premissas!$A$5:$A$44,$A261,Premissas!$B$5:$B$44,$B261)+P261*SUMIFS(Premissas!$D$5:$D$44,Premissas!$A$5:$A$44,$A261,Premissas!$B$5:$B$44,$B261))+R261*SUMIFS(Premissas!$E$5:$E$44,Premissas!$A$5:$A$44,$A261,Premissas!$B$5:$B$44,$B261)+S261*SUMIFS(Premissas!$F$5:$F$44,Premissas!$A$5:$A$44,$A261,Premissas!$B$5:$B$44,$B261)</f>
        <v/>
      </c>
      <c r="L261" s="29">
        <f>J261-K261</f>
        <v/>
      </c>
      <c r="M261" t="inlineStr">
        <is>
          <t>1.102</t>
        </is>
      </c>
      <c r="O261" s="29" t="n">
        <v>0</v>
      </c>
      <c r="P261" s="29" t="n">
        <v>0</v>
      </c>
      <c r="Q261" s="29" t="n">
        <v>0</v>
      </c>
      <c r="R261" s="29" t="n">
        <v>0</v>
      </c>
      <c r="S261" s="29" t="n">
        <v>0</v>
      </c>
      <c r="T261" t="inlineStr">
        <is>
          <t>25260620302126000128550010000058711761807920</t>
        </is>
      </c>
      <c r="U261" t="inlineStr">
        <is>
          <t>Sim</t>
        </is>
      </c>
    </row>
    <row r="262">
      <c r="A262" t="inlineStr">
        <is>
          <t>Insumos e papel</t>
        </is>
      </c>
      <c r="B262" t="inlineStr">
        <is>
          <t>2.01.94 Compra de Fita Adesiva</t>
        </is>
      </c>
      <c r="C262" s="30" t="n">
        <v>46174</v>
      </c>
      <c r="D262" t="inlineStr">
        <is>
          <t>Em 2026</t>
        </is>
      </c>
      <c r="E262" s="28" t="n">
        <v>46195</v>
      </c>
      <c r="F262" t="inlineStr">
        <is>
          <t>NF-e</t>
        </is>
      </c>
      <c r="G262" t="inlineStr">
        <is>
          <t>000072404</t>
        </is>
      </c>
      <c r="H262" t="inlineStr">
        <is>
          <t>FURNAX COMERCIAL E IMPORTADORA EIRELI</t>
        </is>
      </c>
      <c r="I262" t="inlineStr">
        <is>
          <t>00.144.257/0001-17</t>
        </is>
      </c>
      <c r="J262" s="29" t="n">
        <v>3536.31</v>
      </c>
      <c r="K262" s="29">
        <f>(1-ISNUMBER(SEARCH("556",M262)))*(O262*SUMIFS(Premissas!$C$5:$C$44,Premissas!$A$5:$A$44,$A262,Premissas!$B$5:$B$44,$B262)+P262*SUMIFS(Premissas!$D$5:$D$44,Premissas!$A$5:$A$44,$A262,Premissas!$B$5:$B$44,$B262))+R262*SUMIFS(Premissas!$E$5:$E$44,Premissas!$A$5:$A$44,$A262,Premissas!$B$5:$B$44,$B262)+S262*SUMIFS(Premissas!$F$5:$F$44,Premissas!$A$5:$A$44,$A262,Premissas!$B$5:$B$44,$B262)</f>
        <v/>
      </c>
      <c r="L262" s="29">
        <f>J262-K262</f>
        <v/>
      </c>
      <c r="M262" t="inlineStr">
        <is>
          <t>2.556</t>
        </is>
      </c>
      <c r="O262" s="29" t="n">
        <v>111.31</v>
      </c>
      <c r="P262" s="29" t="n">
        <v>141.45</v>
      </c>
      <c r="Q262" s="29" t="n">
        <v>0</v>
      </c>
      <c r="R262" s="29" t="n">
        <v>54.18</v>
      </c>
      <c r="S262" s="29" t="n">
        <v>249.55</v>
      </c>
      <c r="T262" t="inlineStr">
        <is>
          <t>35260600144257000117550010000724041193115978</t>
        </is>
      </c>
      <c r="U262" t="inlineStr">
        <is>
          <t>Sim</t>
        </is>
      </c>
    </row>
    <row r="263">
      <c r="A263" t="inlineStr">
        <is>
          <t>Insumos e papel</t>
        </is>
      </c>
      <c r="B263" t="inlineStr">
        <is>
          <t>2.01.94 Compra de Fita Adesiva</t>
        </is>
      </c>
      <c r="C263" s="30" t="n">
        <v>46204</v>
      </c>
      <c r="D263" t="inlineStr">
        <is>
          <t>Em 2026</t>
        </is>
      </c>
      <c r="E263" s="28" t="n">
        <v>46204</v>
      </c>
      <c r="F263" t="inlineStr">
        <is>
          <t>NF-e</t>
        </is>
      </c>
      <c r="G263" t="inlineStr">
        <is>
          <t>000000430</t>
        </is>
      </c>
      <c r="H263" t="inlineStr">
        <is>
          <t>ODAFLEXO COMERCIO DE PRODUTOS FLEXOGRAFICOS LTDA</t>
        </is>
      </c>
      <c r="I263" t="inlineStr">
        <is>
          <t>50.859.160/0001-69</t>
        </is>
      </c>
      <c r="J263" s="29" t="n">
        <v>5400</v>
      </c>
      <c r="K263" s="29">
        <f>(1-ISNUMBER(SEARCH("556",M263)))*(O263*SUMIFS(Premissas!$C$5:$C$44,Premissas!$A$5:$A$44,$A263,Premissas!$B$5:$B$44,$B263)+P263*SUMIFS(Premissas!$D$5:$D$44,Premissas!$A$5:$A$44,$A263,Premissas!$B$5:$B$44,$B263))+R263*SUMIFS(Premissas!$E$5:$E$44,Premissas!$A$5:$A$44,$A263,Premissas!$B$5:$B$44,$B263)+S263*SUMIFS(Premissas!$F$5:$F$44,Premissas!$A$5:$A$44,$A263,Premissas!$B$5:$B$44,$B263)</f>
        <v/>
      </c>
      <c r="L263" s="29">
        <f>J263-K263</f>
        <v/>
      </c>
      <c r="M263" t="inlineStr">
        <is>
          <t>2.556</t>
        </is>
      </c>
      <c r="O263" s="29" t="n">
        <v>0</v>
      </c>
      <c r="P263" s="29" t="n">
        <v>0</v>
      </c>
      <c r="Q263" s="29" t="n">
        <v>0</v>
      </c>
      <c r="R263" s="29" t="n">
        <v>0</v>
      </c>
      <c r="S263" s="29" t="n">
        <v>0</v>
      </c>
      <c r="T263" t="inlineStr">
        <is>
          <t>26260750859160000169550010000004301073605590</t>
        </is>
      </c>
      <c r="U263" t="inlineStr">
        <is>
          <t>Sim</t>
        </is>
      </c>
    </row>
    <row r="264">
      <c r="A264" t="inlineStr">
        <is>
          <t>Insumos e papel</t>
        </is>
      </c>
      <c r="B264" t="inlineStr">
        <is>
          <t>2.01.94 Compra de Fita Adesiva</t>
        </is>
      </c>
      <c r="C264" s="30" t="n">
        <v>46235</v>
      </c>
      <c r="D264" t="inlineStr">
        <is>
          <t>Em 2026</t>
        </is>
      </c>
      <c r="E264" s="28" t="n">
        <v>46245</v>
      </c>
      <c r="F264" t="inlineStr">
        <is>
          <t>NF-e</t>
        </is>
      </c>
      <c r="G264" t="inlineStr">
        <is>
          <t>000106394</t>
        </is>
      </c>
      <c r="H264" t="inlineStr">
        <is>
          <t>PERNAMBUCO DISTRIBUIDORA ATAC EPIS, INS IND e MRO LTDA</t>
        </is>
      </c>
      <c r="I264" t="inlineStr">
        <is>
          <t>02.155.469/0009-82</t>
        </is>
      </c>
      <c r="J264" s="29" t="n">
        <v>11964.24</v>
      </c>
      <c r="K264" s="29">
        <f>(1-ISNUMBER(SEARCH("556",M264)))*(O264*SUMIFS(Premissas!$C$5:$C$44,Premissas!$A$5:$A$44,$A264,Premissas!$B$5:$B$44,$B264)+P264*SUMIFS(Premissas!$D$5:$D$44,Premissas!$A$5:$A$44,$A264,Premissas!$B$5:$B$44,$B264))+R264*SUMIFS(Premissas!$E$5:$E$44,Premissas!$A$5:$A$44,$A264,Premissas!$B$5:$B$44,$B264)+S264*SUMIFS(Premissas!$F$5:$F$44,Premissas!$A$5:$A$44,$A264,Premissas!$B$5:$B$44,$B264)</f>
        <v/>
      </c>
      <c r="L264" s="29">
        <f>J264-K264</f>
        <v/>
      </c>
      <c r="M264" t="inlineStr">
        <is>
          <t>1.556</t>
        </is>
      </c>
      <c r="O264" s="29" t="n">
        <v>0</v>
      </c>
      <c r="P264" s="29" t="n">
        <v>2392.84</v>
      </c>
      <c r="Q264" s="29" t="n">
        <v>0</v>
      </c>
      <c r="R264" s="29" t="n">
        <v>157.92</v>
      </c>
      <c r="S264" s="29" t="n">
        <v>727.42</v>
      </c>
      <c r="T264" t="inlineStr">
        <is>
          <t>25260802155469000982550010001063941185142761</t>
        </is>
      </c>
      <c r="U264" t="inlineStr">
        <is>
          <t>Sim</t>
        </is>
      </c>
    </row>
    <row r="265">
      <c r="A265" t="inlineStr">
        <is>
          <t>Insumos e papel</t>
        </is>
      </c>
      <c r="B265" t="inlineStr">
        <is>
          <t>2.01.94 Compra de Fita Adesiva</t>
        </is>
      </c>
      <c r="C265" s="30" t="n">
        <v>46235</v>
      </c>
      <c r="D265" t="inlineStr">
        <is>
          <t>Em 2026</t>
        </is>
      </c>
      <c r="E265" s="28" t="n">
        <v>46251</v>
      </c>
      <c r="F265" t="inlineStr">
        <is>
          <t>NF-e</t>
        </is>
      </c>
      <c r="G265" t="inlineStr">
        <is>
          <t>000106891</t>
        </is>
      </c>
      <c r="H265" t="inlineStr">
        <is>
          <t>PERNAMBUCO DISTRIBUIDORA ATAC EPIS, INS IND e MRO LTDA</t>
        </is>
      </c>
      <c r="I265" t="inlineStr">
        <is>
          <t>02.155.469/0009-82</t>
        </is>
      </c>
      <c r="J265" s="29" t="n">
        <v>1171</v>
      </c>
      <c r="K265" s="29">
        <f>(1-ISNUMBER(SEARCH("556",M265)))*(O265*SUMIFS(Premissas!$C$5:$C$44,Premissas!$A$5:$A$44,$A265,Premissas!$B$5:$B$44,$B265)+P265*SUMIFS(Premissas!$D$5:$D$44,Premissas!$A$5:$A$44,$A265,Premissas!$B$5:$B$44,$B265))+R265*SUMIFS(Premissas!$E$5:$E$44,Premissas!$A$5:$A$44,$A265,Premissas!$B$5:$B$44,$B265)+S265*SUMIFS(Premissas!$F$5:$F$44,Premissas!$A$5:$A$44,$A265,Premissas!$B$5:$B$44,$B265)</f>
        <v/>
      </c>
      <c r="L265" s="29">
        <f>J265-K265</f>
        <v/>
      </c>
      <c r="M265" t="inlineStr">
        <is>
          <t>1.102, 1.556</t>
        </is>
      </c>
      <c r="O265" s="29" t="n">
        <v>0</v>
      </c>
      <c r="P265" s="29" t="n">
        <v>234.2</v>
      </c>
      <c r="Q265" s="29" t="n">
        <v>0</v>
      </c>
      <c r="R265" s="29" t="n">
        <v>15.42</v>
      </c>
      <c r="S265" s="29" t="n">
        <v>71.16</v>
      </c>
      <c r="T265" t="inlineStr">
        <is>
          <t>25260802155469000982550010001068911765588426</t>
        </is>
      </c>
      <c r="U265" t="inlineStr">
        <is>
          <t>Sim</t>
        </is>
      </c>
    </row>
    <row r="266">
      <c r="A266" t="inlineStr">
        <is>
          <t>Insumos e papel</t>
        </is>
      </c>
      <c r="B266" t="inlineStr">
        <is>
          <t>2.01.94 Compra de Fita Adesiva</t>
        </is>
      </c>
      <c r="C266" s="30" t="n">
        <v>46266</v>
      </c>
      <c r="D266" t="inlineStr">
        <is>
          <t>Em 2026</t>
        </is>
      </c>
      <c r="E266" s="28" t="n">
        <v>46273</v>
      </c>
      <c r="F266" t="inlineStr">
        <is>
          <t>NF-e</t>
        </is>
      </c>
      <c r="G266" t="inlineStr">
        <is>
          <t>000000453</t>
        </is>
      </c>
      <c r="H266" t="inlineStr">
        <is>
          <t>ODAFLEXO COMERCIO DE PRODUTOS FLEXOGRAFICOS LTDA</t>
        </is>
      </c>
      <c r="I266" t="inlineStr">
        <is>
          <t>50.859.160/0001-69</t>
        </is>
      </c>
      <c r="J266" s="29" t="n">
        <v>5400</v>
      </c>
      <c r="K266" s="29">
        <f>(1-ISNUMBER(SEARCH("556",M266)))*(O266*SUMIFS(Premissas!$C$5:$C$44,Premissas!$A$5:$A$44,$A266,Premissas!$B$5:$B$44,$B266)+P266*SUMIFS(Premissas!$D$5:$D$44,Premissas!$A$5:$A$44,$A266,Premissas!$B$5:$B$44,$B266))+R266*SUMIFS(Premissas!$E$5:$E$44,Premissas!$A$5:$A$44,$A266,Premissas!$B$5:$B$44,$B266)+S266*SUMIFS(Premissas!$F$5:$F$44,Premissas!$A$5:$A$44,$A266,Premissas!$B$5:$B$44,$B266)</f>
        <v/>
      </c>
      <c r="L266" s="29">
        <f>J266-K266</f>
        <v/>
      </c>
      <c r="M266" t="inlineStr">
        <is>
          <t>2.556</t>
        </is>
      </c>
      <c r="O266" s="29" t="n">
        <v>0</v>
      </c>
      <c r="P266" s="29" t="n">
        <v>0</v>
      </c>
      <c r="Q266" s="29" t="n">
        <v>0</v>
      </c>
      <c r="R266" s="29" t="n">
        <v>0</v>
      </c>
      <c r="S266" s="29" t="n">
        <v>0</v>
      </c>
      <c r="T266" t="inlineStr">
        <is>
          <t>26260950859160000169550010000004531953913042</t>
        </is>
      </c>
      <c r="U266" t="inlineStr">
        <is>
          <t>Sim</t>
        </is>
      </c>
    </row>
    <row r="267">
      <c r="A267" t="inlineStr">
        <is>
          <t>Insumos e papel</t>
        </is>
      </c>
      <c r="B267" t="inlineStr">
        <is>
          <t>2.01.94 Compra de Fita Adesiva</t>
        </is>
      </c>
      <c r="C267" s="30" t="n">
        <v>46266</v>
      </c>
      <c r="D267" t="inlineStr">
        <is>
          <t>Em 2026</t>
        </is>
      </c>
      <c r="E267" s="28" t="n">
        <v>46274</v>
      </c>
      <c r="F267" t="inlineStr">
        <is>
          <t>NF-e</t>
        </is>
      </c>
      <c r="G267" t="inlineStr">
        <is>
          <t>000108371</t>
        </is>
      </c>
      <c r="H267" t="inlineStr">
        <is>
          <t>PERNAMBUCO DISTRIBUIDORA ATAC EPIS, INS IND e MRO LTDA</t>
        </is>
      </c>
      <c r="I267" t="inlineStr">
        <is>
          <t>02.155.469/0009-82</t>
        </is>
      </c>
      <c r="J267" s="29" t="n">
        <v>11964.24</v>
      </c>
      <c r="K267" s="29">
        <f>(1-ISNUMBER(SEARCH("556",M267)))*(O267*SUMIFS(Premissas!$C$5:$C$44,Premissas!$A$5:$A$44,$A267,Premissas!$B$5:$B$44,$B267)+P267*SUMIFS(Premissas!$D$5:$D$44,Premissas!$A$5:$A$44,$A267,Premissas!$B$5:$B$44,$B267))+R267*SUMIFS(Premissas!$E$5:$E$44,Premissas!$A$5:$A$44,$A267,Premissas!$B$5:$B$44,$B267)+S267*SUMIFS(Premissas!$F$5:$F$44,Premissas!$A$5:$A$44,$A267,Premissas!$B$5:$B$44,$B267)</f>
        <v/>
      </c>
      <c r="L267" s="29">
        <f>J267-K267</f>
        <v/>
      </c>
      <c r="M267" t="inlineStr">
        <is>
          <t>1.556</t>
        </is>
      </c>
      <c r="O267" s="29" t="n">
        <v>0</v>
      </c>
      <c r="P267" s="29" t="n">
        <v>2392.84</v>
      </c>
      <c r="Q267" s="29" t="n">
        <v>0</v>
      </c>
      <c r="R267" s="29" t="n">
        <v>157.92</v>
      </c>
      <c r="S267" s="29" t="n">
        <v>727.42</v>
      </c>
      <c r="T267" t="inlineStr">
        <is>
          <t>25260902155469000982550010001083711109681744</t>
        </is>
      </c>
      <c r="U267" t="inlineStr">
        <is>
          <t>Sim</t>
        </is>
      </c>
    </row>
    <row r="268">
      <c r="A268" t="inlineStr">
        <is>
          <t>Insumos e papel</t>
        </is>
      </c>
      <c r="B268" t="inlineStr">
        <is>
          <t>2.01.95 Compra de Etiqueta</t>
        </is>
      </c>
      <c r="C268" s="30" t="n">
        <v>46023</v>
      </c>
      <c r="D268" t="inlineStr">
        <is>
          <t>Em 2026</t>
        </is>
      </c>
      <c r="E268" s="28" t="n">
        <v>46037</v>
      </c>
      <c r="F268" t="inlineStr">
        <is>
          <t>NF-e</t>
        </is>
      </c>
      <c r="G268" t="inlineStr">
        <is>
          <t>000002271</t>
        </is>
      </c>
      <c r="H268" t="inlineStr">
        <is>
          <t>FLEXOPEL LTDA</t>
        </is>
      </c>
      <c r="I268" t="inlineStr">
        <is>
          <t>59.974.773/0001-11</t>
        </is>
      </c>
      <c r="J268" s="29" t="n">
        <v>9539.950000000001</v>
      </c>
      <c r="K268" s="29">
        <f>(1-ISNUMBER(SEARCH("556",M268)))*(O268*SUMIFS(Premissas!$C$5:$C$44,Premissas!$A$5:$A$44,$A268,Premissas!$B$5:$B$44,$B268)+P268*SUMIFS(Premissas!$D$5:$D$44,Premissas!$A$5:$A$44,$A268,Premissas!$B$5:$B$44,$B268))+R268*SUMIFS(Premissas!$E$5:$E$44,Premissas!$A$5:$A$44,$A268,Premissas!$B$5:$B$44,$B268)+S268*SUMIFS(Premissas!$F$5:$F$44,Premissas!$A$5:$A$44,$A268,Premissas!$B$5:$B$44,$B268)</f>
        <v/>
      </c>
      <c r="L268" s="29">
        <f>J268-K268</f>
        <v/>
      </c>
      <c r="M268" t="inlineStr">
        <is>
          <t>1.102</t>
        </is>
      </c>
      <c r="O268" s="29" t="n">
        <v>0</v>
      </c>
      <c r="P268" s="29" t="n">
        <v>1907.99</v>
      </c>
      <c r="Q268" s="29" t="n">
        <v>0</v>
      </c>
      <c r="R268" s="29" t="n">
        <v>125.93</v>
      </c>
      <c r="S268" s="29" t="n">
        <v>580.05</v>
      </c>
      <c r="T268" t="inlineStr">
        <is>
          <t>25260159974773000111550010000022711999977289</t>
        </is>
      </c>
      <c r="U268" t="inlineStr">
        <is>
          <t>Sim</t>
        </is>
      </c>
    </row>
    <row r="269">
      <c r="A269" t="inlineStr">
        <is>
          <t>Insumos e papel</t>
        </is>
      </c>
      <c r="B269" t="inlineStr">
        <is>
          <t>2.01.95 Compra de Etiqueta</t>
        </is>
      </c>
      <c r="C269" s="30" t="n">
        <v>46023</v>
      </c>
      <c r="D269" t="inlineStr">
        <is>
          <t>Em 2026</t>
        </is>
      </c>
      <c r="E269" s="28" t="n">
        <v>46052</v>
      </c>
      <c r="F269" t="inlineStr">
        <is>
          <t>NF-e</t>
        </is>
      </c>
      <c r="G269" t="inlineStr">
        <is>
          <t>000002506</t>
        </is>
      </c>
      <c r="H269" t="inlineStr">
        <is>
          <t>FLEXOPEL LTDA</t>
        </is>
      </c>
      <c r="I269" t="inlineStr">
        <is>
          <t>59.974.773/0001-11</t>
        </is>
      </c>
      <c r="J269" s="29" t="n">
        <v>816</v>
      </c>
      <c r="K269" s="29">
        <f>(1-ISNUMBER(SEARCH("556",M269)))*(O269*SUMIFS(Premissas!$C$5:$C$44,Premissas!$A$5:$A$44,$A269,Premissas!$B$5:$B$44,$B269)+P269*SUMIFS(Premissas!$D$5:$D$44,Premissas!$A$5:$A$44,$A269,Premissas!$B$5:$B$44,$B269))+R269*SUMIFS(Premissas!$E$5:$E$44,Premissas!$A$5:$A$44,$A269,Premissas!$B$5:$B$44,$B269)+S269*SUMIFS(Premissas!$F$5:$F$44,Premissas!$A$5:$A$44,$A269,Premissas!$B$5:$B$44,$B269)</f>
        <v/>
      </c>
      <c r="L269" s="29">
        <f>J269-K269</f>
        <v/>
      </c>
      <c r="M269" t="inlineStr">
        <is>
          <t>1.102</t>
        </is>
      </c>
      <c r="O269" s="29" t="n">
        <v>0</v>
      </c>
      <c r="P269" s="29" t="n">
        <v>163.2</v>
      </c>
      <c r="Q269" s="29" t="n">
        <v>0</v>
      </c>
      <c r="R269" s="29" t="n">
        <v>10.77</v>
      </c>
      <c r="S269" s="29" t="n">
        <v>49.61</v>
      </c>
      <c r="T269" t="inlineStr">
        <is>
          <t>25260159974773000111550010000025061999974938</t>
        </is>
      </c>
      <c r="U269" t="inlineStr">
        <is>
          <t>Sim</t>
        </is>
      </c>
    </row>
    <row r="270">
      <c r="A270" t="inlineStr">
        <is>
          <t>Insumos e papel</t>
        </is>
      </c>
      <c r="B270" t="inlineStr">
        <is>
          <t>2.01.95 Compra de Etiqueta</t>
        </is>
      </c>
      <c r="C270" s="30" t="n">
        <v>46023</v>
      </c>
      <c r="D270" t="inlineStr">
        <is>
          <t>Em 2026</t>
        </is>
      </c>
      <c r="E270" s="28" t="n">
        <v>46030</v>
      </c>
      <c r="F270" t="inlineStr">
        <is>
          <t>NF-e</t>
        </is>
      </c>
      <c r="G270" t="inlineStr">
        <is>
          <t>000000204</t>
        </is>
      </c>
      <c r="H270" t="inlineStr">
        <is>
          <t>INFORPOINT SERVICOS E COMERCIO EM TECNOLOGIA LTDA</t>
        </is>
      </c>
      <c r="I270" t="inlineStr">
        <is>
          <t>59.467.248/0001-00</t>
        </is>
      </c>
      <c r="J270" s="29" t="n">
        <v>250</v>
      </c>
      <c r="K270" s="29">
        <f>(1-ISNUMBER(SEARCH("556",M270)))*(O270*SUMIFS(Premissas!$C$5:$C$44,Premissas!$A$5:$A$44,$A270,Premissas!$B$5:$B$44,$B270)+P270*SUMIFS(Premissas!$D$5:$D$44,Premissas!$A$5:$A$44,$A270,Premissas!$B$5:$B$44,$B270))+R270*SUMIFS(Premissas!$E$5:$E$44,Premissas!$A$5:$A$44,$A270,Premissas!$B$5:$B$44,$B270)+S270*SUMIFS(Premissas!$F$5:$F$44,Premissas!$A$5:$A$44,$A270,Premissas!$B$5:$B$44,$B270)</f>
        <v/>
      </c>
      <c r="L270" s="29">
        <f>J270-K270</f>
        <v/>
      </c>
      <c r="M270" t="inlineStr">
        <is>
          <t>1.102</t>
        </is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t="inlineStr">
        <is>
          <t>25260159467248000100550010000002041165937179</t>
        </is>
      </c>
      <c r="U270" t="inlineStr">
        <is>
          <t>Sim</t>
        </is>
      </c>
    </row>
    <row r="271">
      <c r="A271" t="inlineStr">
        <is>
          <t>Insumos e papel</t>
        </is>
      </c>
      <c r="B271" t="inlineStr">
        <is>
          <t>2.01.95 Compra de Etiqueta</t>
        </is>
      </c>
      <c r="C271" s="30" t="n">
        <v>46054</v>
      </c>
      <c r="D271" t="inlineStr">
        <is>
          <t>Em 2026</t>
        </is>
      </c>
      <c r="E271" s="28" t="n">
        <v>46056</v>
      </c>
      <c r="F271" t="inlineStr">
        <is>
          <t>NF-e</t>
        </is>
      </c>
      <c r="G271" t="inlineStr">
        <is>
          <t>000002537</t>
        </is>
      </c>
      <c r="H271" t="inlineStr">
        <is>
          <t>FLEXOPEL LTDA</t>
        </is>
      </c>
      <c r="I271" t="inlineStr">
        <is>
          <t>59.974.773/0001-11</t>
        </is>
      </c>
      <c r="J271" s="29" t="n">
        <v>5162.4</v>
      </c>
      <c r="K271" s="29">
        <f>(1-ISNUMBER(SEARCH("556",M271)))*(O271*SUMIFS(Premissas!$C$5:$C$44,Premissas!$A$5:$A$44,$A271,Premissas!$B$5:$B$44,$B271)+P271*SUMIFS(Premissas!$D$5:$D$44,Premissas!$A$5:$A$44,$A271,Premissas!$B$5:$B$44,$B271))+R271*SUMIFS(Premissas!$E$5:$E$44,Premissas!$A$5:$A$44,$A271,Premissas!$B$5:$B$44,$B271)+S271*SUMIFS(Premissas!$F$5:$F$44,Premissas!$A$5:$A$44,$A271,Premissas!$B$5:$B$44,$B271)</f>
        <v/>
      </c>
      <c r="L271" s="29">
        <f>J271-K271</f>
        <v/>
      </c>
      <c r="M271" t="inlineStr">
        <is>
          <t>1.102</t>
        </is>
      </c>
      <c r="O271" s="29" t="n">
        <v>0</v>
      </c>
      <c r="P271" s="29" t="n">
        <v>1032.48</v>
      </c>
      <c r="Q271" s="29" t="n">
        <v>0</v>
      </c>
      <c r="R271" s="29" t="n">
        <v>68.14</v>
      </c>
      <c r="S271" s="29" t="n">
        <v>313.88</v>
      </c>
      <c r="T271" t="inlineStr">
        <is>
          <t>25260259974773000111550010000025371999974628</t>
        </is>
      </c>
      <c r="U271" t="inlineStr">
        <is>
          <t>Sim</t>
        </is>
      </c>
    </row>
    <row r="272">
      <c r="A272" t="inlineStr">
        <is>
          <t>Insumos e papel</t>
        </is>
      </c>
      <c r="B272" t="inlineStr">
        <is>
          <t>2.01.95 Compra de Etiqueta</t>
        </is>
      </c>
      <c r="C272" s="30" t="n">
        <v>46054</v>
      </c>
      <c r="D272" t="inlineStr">
        <is>
          <t>Em 2026</t>
        </is>
      </c>
      <c r="E272" s="28" t="n">
        <v>46057</v>
      </c>
      <c r="F272" t="inlineStr">
        <is>
          <t>NF-e</t>
        </is>
      </c>
      <c r="G272" t="inlineStr">
        <is>
          <t>000002539</t>
        </is>
      </c>
      <c r="H272" t="inlineStr">
        <is>
          <t>FLEXOPEL LTDA</t>
        </is>
      </c>
      <c r="I272" t="inlineStr">
        <is>
          <t>59.974.773/0001-11</t>
        </is>
      </c>
      <c r="J272" s="29" t="n">
        <v>1482</v>
      </c>
      <c r="K272" s="29">
        <f>(1-ISNUMBER(SEARCH("556",M272)))*(O272*SUMIFS(Premissas!$C$5:$C$44,Premissas!$A$5:$A$44,$A272,Premissas!$B$5:$B$44,$B272)+P272*SUMIFS(Premissas!$D$5:$D$44,Premissas!$A$5:$A$44,$A272,Premissas!$B$5:$B$44,$B272))+R272*SUMIFS(Premissas!$E$5:$E$44,Premissas!$A$5:$A$44,$A272,Premissas!$B$5:$B$44,$B272)+S272*SUMIFS(Premissas!$F$5:$F$44,Premissas!$A$5:$A$44,$A272,Premissas!$B$5:$B$44,$B272)</f>
        <v/>
      </c>
      <c r="L272" s="29">
        <f>J272-K272</f>
        <v/>
      </c>
      <c r="M272" t="inlineStr">
        <is>
          <t>1.102</t>
        </is>
      </c>
      <c r="O272" s="29" t="n">
        <v>0</v>
      </c>
      <c r="P272" s="29" t="n">
        <v>296.4</v>
      </c>
      <c r="Q272" s="29" t="n">
        <v>0</v>
      </c>
      <c r="R272" s="29" t="n">
        <v>19.56</v>
      </c>
      <c r="S272" s="29" t="n">
        <v>90.11</v>
      </c>
      <c r="T272" t="inlineStr">
        <is>
          <t>25260259974773000111550010000025391999974606</t>
        </is>
      </c>
      <c r="U272" t="inlineStr">
        <is>
          <t>Sim</t>
        </is>
      </c>
    </row>
    <row r="273">
      <c r="A273" t="inlineStr">
        <is>
          <t>Insumos e papel</t>
        </is>
      </c>
      <c r="B273" t="inlineStr">
        <is>
          <t>2.01.95 Compra de Etiqueta</t>
        </is>
      </c>
      <c r="C273" s="30" t="n">
        <v>46054</v>
      </c>
      <c r="D273" t="inlineStr">
        <is>
          <t>Em 2026</t>
        </is>
      </c>
      <c r="E273" s="28" t="n">
        <v>46071</v>
      </c>
      <c r="F273" t="inlineStr">
        <is>
          <t>NF-e</t>
        </is>
      </c>
      <c r="G273" t="inlineStr">
        <is>
          <t>000002742</t>
        </is>
      </c>
      <c r="H273" t="inlineStr">
        <is>
          <t>FLEXOPEL LTDA</t>
        </is>
      </c>
      <c r="I273" t="inlineStr">
        <is>
          <t>59.974.773/0001-11</t>
        </is>
      </c>
      <c r="J273" s="29" t="n">
        <v>2470</v>
      </c>
      <c r="K273" s="29">
        <f>(1-ISNUMBER(SEARCH("556",M273)))*(O273*SUMIFS(Premissas!$C$5:$C$44,Premissas!$A$5:$A$44,$A273,Premissas!$B$5:$B$44,$B273)+P273*SUMIFS(Premissas!$D$5:$D$44,Premissas!$A$5:$A$44,$A273,Premissas!$B$5:$B$44,$B273))+R273*SUMIFS(Premissas!$E$5:$E$44,Premissas!$A$5:$A$44,$A273,Premissas!$B$5:$B$44,$B273)+S273*SUMIFS(Premissas!$F$5:$F$44,Premissas!$A$5:$A$44,$A273,Premissas!$B$5:$B$44,$B273)</f>
        <v/>
      </c>
      <c r="L273" s="29">
        <f>J273-K273</f>
        <v/>
      </c>
      <c r="M273" t="inlineStr">
        <is>
          <t>1.102</t>
        </is>
      </c>
      <c r="O273" s="29" t="n">
        <v>0</v>
      </c>
      <c r="P273" s="29" t="n">
        <v>494</v>
      </c>
      <c r="Q273" s="29" t="n">
        <v>0</v>
      </c>
      <c r="R273" s="29" t="n">
        <v>32.6</v>
      </c>
      <c r="S273" s="29" t="n">
        <v>150.18</v>
      </c>
      <c r="T273" t="inlineStr">
        <is>
          <t>25260259974773000111550010000027421999972570</t>
        </is>
      </c>
      <c r="U273" t="inlineStr">
        <is>
          <t>Sim</t>
        </is>
      </c>
    </row>
    <row r="274">
      <c r="A274" t="inlineStr">
        <is>
          <t>Insumos e papel</t>
        </is>
      </c>
      <c r="B274" t="inlineStr">
        <is>
          <t>2.01.95 Compra de Etiqueta</t>
        </is>
      </c>
      <c r="C274" s="30" t="n">
        <v>46054</v>
      </c>
      <c r="D274" t="inlineStr">
        <is>
          <t>Em 2026</t>
        </is>
      </c>
      <c r="E274" s="28" t="n">
        <v>46080</v>
      </c>
      <c r="F274" t="inlineStr">
        <is>
          <t>NF-e</t>
        </is>
      </c>
      <c r="G274" t="inlineStr">
        <is>
          <t>000002930</t>
        </is>
      </c>
      <c r="H274" t="inlineStr">
        <is>
          <t>FLEXOPEL LTDA</t>
        </is>
      </c>
      <c r="I274" t="inlineStr">
        <is>
          <t>59.974.773/0001-11</t>
        </is>
      </c>
      <c r="J274" s="29" t="n">
        <v>6323.2</v>
      </c>
      <c r="K274" s="29">
        <f>(1-ISNUMBER(SEARCH("556",M274)))*(O274*SUMIFS(Premissas!$C$5:$C$44,Premissas!$A$5:$A$44,$A274,Premissas!$B$5:$B$44,$B274)+P274*SUMIFS(Premissas!$D$5:$D$44,Premissas!$A$5:$A$44,$A274,Premissas!$B$5:$B$44,$B274))+R274*SUMIFS(Premissas!$E$5:$E$44,Premissas!$A$5:$A$44,$A274,Premissas!$B$5:$B$44,$B274)+S274*SUMIFS(Premissas!$F$5:$F$44,Premissas!$A$5:$A$44,$A274,Premissas!$B$5:$B$44,$B274)</f>
        <v/>
      </c>
      <c r="L274" s="29">
        <f>J274-K274</f>
        <v/>
      </c>
      <c r="M274" t="inlineStr">
        <is>
          <t>1.102</t>
        </is>
      </c>
      <c r="O274" s="29" t="n">
        <v>0</v>
      </c>
      <c r="P274" s="29" t="n">
        <v>1264.64</v>
      </c>
      <c r="Q274" s="29" t="n">
        <v>0</v>
      </c>
      <c r="R274" s="29" t="n">
        <v>83.47</v>
      </c>
      <c r="S274" s="29" t="n">
        <v>384.45</v>
      </c>
      <c r="T274" t="inlineStr">
        <is>
          <t>25260259974773000111550010000029301999970690</t>
        </is>
      </c>
      <c r="U274" t="inlineStr">
        <is>
          <t>Sim</t>
        </is>
      </c>
    </row>
    <row r="275">
      <c r="A275" t="inlineStr">
        <is>
          <t>Insumos e papel</t>
        </is>
      </c>
      <c r="B275" t="inlineStr">
        <is>
          <t>2.01.95 Compra de Etiqueta</t>
        </is>
      </c>
      <c r="C275" s="30" t="n">
        <v>46082</v>
      </c>
      <c r="D275" t="inlineStr">
        <is>
          <t>Em 2026</t>
        </is>
      </c>
      <c r="E275" s="28" t="n">
        <v>46092</v>
      </c>
      <c r="F275" t="inlineStr">
        <is>
          <t>NF-e</t>
        </is>
      </c>
      <c r="G275" t="inlineStr">
        <is>
          <t>000003100</t>
        </is>
      </c>
      <c r="H275" t="inlineStr">
        <is>
          <t>FLEXOPEL LTDA</t>
        </is>
      </c>
      <c r="I275" t="inlineStr">
        <is>
          <t>59.974.773/0001-11</t>
        </is>
      </c>
      <c r="J275" s="29" t="n">
        <v>4284.89</v>
      </c>
      <c r="K275" s="29">
        <f>(1-ISNUMBER(SEARCH("556",M275)))*(O275*SUMIFS(Premissas!$C$5:$C$44,Premissas!$A$5:$A$44,$A275,Premissas!$B$5:$B$44,$B275)+P275*SUMIFS(Premissas!$D$5:$D$44,Premissas!$A$5:$A$44,$A275,Premissas!$B$5:$B$44,$B275))+R275*SUMIFS(Premissas!$E$5:$E$44,Premissas!$A$5:$A$44,$A275,Premissas!$B$5:$B$44,$B275)+S275*SUMIFS(Premissas!$F$5:$F$44,Premissas!$A$5:$A$44,$A275,Premissas!$B$5:$B$44,$B275)</f>
        <v/>
      </c>
      <c r="L275" s="29">
        <f>J275-K275</f>
        <v/>
      </c>
      <c r="M275" t="inlineStr">
        <is>
          <t>1.102</t>
        </is>
      </c>
      <c r="O275" s="29" t="n">
        <v>0</v>
      </c>
      <c r="P275" s="29" t="n">
        <v>856.98</v>
      </c>
      <c r="Q275" s="29" t="n">
        <v>0</v>
      </c>
      <c r="R275" s="29" t="n">
        <v>56.57</v>
      </c>
      <c r="S275" s="29" t="n">
        <v>260.54</v>
      </c>
      <c r="T275" t="inlineStr">
        <is>
          <t>25260359974773000111550010000031001999968993</t>
        </is>
      </c>
      <c r="U275" t="inlineStr">
        <is>
          <t>Sim</t>
        </is>
      </c>
    </row>
    <row r="276">
      <c r="A276" t="inlineStr">
        <is>
          <t>Insumos e papel</t>
        </is>
      </c>
      <c r="B276" t="inlineStr">
        <is>
          <t>2.01.95 Compra de Etiqueta</t>
        </is>
      </c>
      <c r="C276" s="30" t="n">
        <v>46113</v>
      </c>
      <c r="D276" t="inlineStr">
        <is>
          <t>Em 2026</t>
        </is>
      </c>
      <c r="E276" s="28" t="n">
        <v>46113</v>
      </c>
      <c r="F276" t="inlineStr">
        <is>
          <t>NF-e</t>
        </is>
      </c>
      <c r="G276" t="inlineStr">
        <is>
          <t>000004403</t>
        </is>
      </c>
      <c r="H276" t="inlineStr">
        <is>
          <t>GS BOBINAS E ETIQUETAS</t>
        </is>
      </c>
      <c r="I276" t="inlineStr">
        <is>
          <t>40.073.973/0001-75</t>
        </is>
      </c>
      <c r="J276" s="29" t="n">
        <v>9545.200000000001</v>
      </c>
      <c r="K276" s="29">
        <f>(1-ISNUMBER(SEARCH("556",M276)))*(O276*SUMIFS(Premissas!$C$5:$C$44,Premissas!$A$5:$A$44,$A276,Premissas!$B$5:$B$44,$B276)+P276*SUMIFS(Premissas!$D$5:$D$44,Premissas!$A$5:$A$44,$A276,Premissas!$B$5:$B$44,$B276))+R276*SUMIFS(Premissas!$E$5:$E$44,Premissas!$A$5:$A$44,$A276,Premissas!$B$5:$B$44,$B276)+S276*SUMIFS(Premissas!$F$5:$F$44,Premissas!$A$5:$A$44,$A276,Premissas!$B$5:$B$44,$B276)</f>
        <v/>
      </c>
      <c r="L276" s="29">
        <f>J276-K276</f>
        <v/>
      </c>
      <c r="M276" t="inlineStr">
        <is>
          <t>2.102</t>
        </is>
      </c>
      <c r="O276" s="29" t="n">
        <v>0</v>
      </c>
      <c r="P276" s="29" t="n">
        <v>1145.42</v>
      </c>
      <c r="Q276" s="29" t="n">
        <v>0</v>
      </c>
      <c r="R276" s="29" t="n">
        <v>0</v>
      </c>
      <c r="S276" s="29" t="n">
        <v>0</v>
      </c>
      <c r="T276" t="inlineStr">
        <is>
          <t>26260440073973000175550010000044031029048702</t>
        </is>
      </c>
      <c r="U276" t="inlineStr">
        <is>
          <t>Sim</t>
        </is>
      </c>
    </row>
    <row r="277">
      <c r="A277" t="inlineStr">
        <is>
          <t>Insumos e papel</t>
        </is>
      </c>
      <c r="B277" t="inlineStr">
        <is>
          <t>2.01.95 Compra de Etiqueta</t>
        </is>
      </c>
      <c r="C277" s="30" t="n">
        <v>46143</v>
      </c>
      <c r="D277" t="inlineStr">
        <is>
          <t>Em 2026</t>
        </is>
      </c>
      <c r="E277" s="28" t="n">
        <v>46154</v>
      </c>
      <c r="F277" t="inlineStr">
        <is>
          <t>NF-e</t>
        </is>
      </c>
      <c r="G277" t="inlineStr">
        <is>
          <t>000003906</t>
        </is>
      </c>
      <c r="H277" t="inlineStr">
        <is>
          <t>FLEXOPEL LTDA</t>
        </is>
      </c>
      <c r="I277" t="inlineStr">
        <is>
          <t>59.974.773/0001-11</t>
        </is>
      </c>
      <c r="J277" s="29" t="n">
        <v>4320</v>
      </c>
      <c r="K277" s="29">
        <f>(1-ISNUMBER(SEARCH("556",M277)))*(O277*SUMIFS(Premissas!$C$5:$C$44,Premissas!$A$5:$A$44,$A277,Premissas!$B$5:$B$44,$B277)+P277*SUMIFS(Premissas!$D$5:$D$44,Premissas!$A$5:$A$44,$A277,Premissas!$B$5:$B$44,$B277))+R277*SUMIFS(Premissas!$E$5:$E$44,Premissas!$A$5:$A$44,$A277,Premissas!$B$5:$B$44,$B277)+S277*SUMIFS(Premissas!$F$5:$F$44,Premissas!$A$5:$A$44,$A277,Premissas!$B$5:$B$44,$B277)</f>
        <v/>
      </c>
      <c r="L277" s="29">
        <f>J277-K277</f>
        <v/>
      </c>
      <c r="M277" t="inlineStr">
        <is>
          <t>1.556</t>
        </is>
      </c>
      <c r="O277" s="29" t="n">
        <v>0</v>
      </c>
      <c r="P277" s="29" t="n">
        <v>864</v>
      </c>
      <c r="Q277" s="29" t="n">
        <v>0</v>
      </c>
      <c r="R277" s="29" t="n">
        <v>57.02</v>
      </c>
      <c r="S277" s="29" t="n">
        <v>262.66</v>
      </c>
      <c r="T277" t="inlineStr">
        <is>
          <t>25260559974773000111550010000039061999960938</t>
        </is>
      </c>
      <c r="U277" t="inlineStr">
        <is>
          <t>Sim</t>
        </is>
      </c>
    </row>
    <row r="278">
      <c r="A278" t="inlineStr">
        <is>
          <t>Insumos e papel</t>
        </is>
      </c>
      <c r="B278" t="inlineStr">
        <is>
          <t>2.01.95 Compra de Etiqueta</t>
        </is>
      </c>
      <c r="C278" s="30" t="n">
        <v>46143</v>
      </c>
      <c r="D278" t="inlineStr">
        <is>
          <t>Em 2026</t>
        </is>
      </c>
      <c r="E278" s="28" t="n">
        <v>46163</v>
      </c>
      <c r="F278" t="inlineStr">
        <is>
          <t>NF-e</t>
        </is>
      </c>
      <c r="G278" t="inlineStr">
        <is>
          <t>000004068</t>
        </is>
      </c>
      <c r="H278" t="inlineStr">
        <is>
          <t>FLEXOPEL LTDA</t>
        </is>
      </c>
      <c r="I278" t="inlineStr">
        <is>
          <t>59.974.773/0001-11</t>
        </is>
      </c>
      <c r="J278" s="29" t="n">
        <v>2936</v>
      </c>
      <c r="K278" s="29">
        <f>(1-ISNUMBER(SEARCH("556",M278)))*(O278*SUMIFS(Premissas!$C$5:$C$44,Premissas!$A$5:$A$44,$A278,Premissas!$B$5:$B$44,$B278)+P278*SUMIFS(Premissas!$D$5:$D$44,Premissas!$A$5:$A$44,$A278,Premissas!$B$5:$B$44,$B278))+R278*SUMIFS(Premissas!$E$5:$E$44,Premissas!$A$5:$A$44,$A278,Premissas!$B$5:$B$44,$B278)+S278*SUMIFS(Premissas!$F$5:$F$44,Premissas!$A$5:$A$44,$A278,Premissas!$B$5:$B$44,$B278)</f>
        <v/>
      </c>
      <c r="L278" s="29">
        <f>J278-K278</f>
        <v/>
      </c>
      <c r="M278" t="inlineStr">
        <is>
          <t>1.102</t>
        </is>
      </c>
      <c r="O278" s="29" t="n">
        <v>0</v>
      </c>
      <c r="P278" s="29" t="n">
        <v>587.2</v>
      </c>
      <c r="Q278" s="29" t="n">
        <v>0</v>
      </c>
      <c r="R278" s="29" t="n">
        <v>38.76</v>
      </c>
      <c r="S278" s="29" t="n">
        <v>178.51</v>
      </c>
      <c r="T278" t="inlineStr">
        <is>
          <t>25260559974773000111550010000040681999959318</t>
        </is>
      </c>
      <c r="U278" t="inlineStr">
        <is>
          <t>Sim</t>
        </is>
      </c>
    </row>
    <row r="279">
      <c r="A279" t="inlineStr">
        <is>
          <t>Insumos e papel</t>
        </is>
      </c>
      <c r="B279" t="inlineStr">
        <is>
          <t>2.01.95 Compra de Etiqueta</t>
        </is>
      </c>
      <c r="C279" s="30" t="n">
        <v>46143</v>
      </c>
      <c r="D279" t="inlineStr">
        <is>
          <t>Em 2026</t>
        </is>
      </c>
      <c r="E279" s="28" t="n">
        <v>46149</v>
      </c>
      <c r="F279" t="inlineStr">
        <is>
          <t>NF-e</t>
        </is>
      </c>
      <c r="G279" t="inlineStr">
        <is>
          <t>000004516</t>
        </is>
      </c>
      <c r="H279" t="inlineStr">
        <is>
          <t>GS BOBINAS E ETIQUETAS</t>
        </is>
      </c>
      <c r="I279" t="inlineStr">
        <is>
          <t>40.073.973/0001-75</t>
        </is>
      </c>
      <c r="J279" s="29" t="n">
        <v>7060.7</v>
      </c>
      <c r="K279" s="29">
        <f>(1-ISNUMBER(SEARCH("556",M279)))*(O279*SUMIFS(Premissas!$C$5:$C$44,Premissas!$A$5:$A$44,$A279,Premissas!$B$5:$B$44,$B279)+P279*SUMIFS(Premissas!$D$5:$D$44,Premissas!$A$5:$A$44,$A279,Premissas!$B$5:$B$44,$B279))+R279*SUMIFS(Premissas!$E$5:$E$44,Premissas!$A$5:$A$44,$A279,Premissas!$B$5:$B$44,$B279)+S279*SUMIFS(Premissas!$F$5:$F$44,Premissas!$A$5:$A$44,$A279,Premissas!$B$5:$B$44,$B279)</f>
        <v/>
      </c>
      <c r="L279" s="29">
        <f>J279-K279</f>
        <v/>
      </c>
      <c r="M279" t="inlineStr">
        <is>
          <t>2.556</t>
        </is>
      </c>
      <c r="O279" s="29" t="n">
        <v>0</v>
      </c>
      <c r="P279" s="29" t="n">
        <v>847.28</v>
      </c>
      <c r="Q279" s="29" t="n">
        <v>0</v>
      </c>
      <c r="R279" s="29" t="n">
        <v>0</v>
      </c>
      <c r="S279" s="29" t="n">
        <v>0</v>
      </c>
      <c r="T279" t="inlineStr">
        <is>
          <t>26260540073973000175550010000045161350000716</t>
        </is>
      </c>
      <c r="U279" t="inlineStr">
        <is>
          <t>Sim</t>
        </is>
      </c>
    </row>
    <row r="280">
      <c r="A280" t="inlineStr">
        <is>
          <t>Insumos e papel</t>
        </is>
      </c>
      <c r="B280" t="inlineStr">
        <is>
          <t>2.01.95 Compra de Etiqueta</t>
        </is>
      </c>
      <c r="C280" s="30" t="n">
        <v>46143</v>
      </c>
      <c r="D280" t="inlineStr">
        <is>
          <t>Em 2026</t>
        </is>
      </c>
      <c r="E280" s="28" t="n">
        <v>46146</v>
      </c>
      <c r="F280" t="inlineStr">
        <is>
          <t>NF-e</t>
        </is>
      </c>
      <c r="G280" t="inlineStr">
        <is>
          <t>000353246</t>
        </is>
      </c>
      <c r="H280" t="inlineStr">
        <is>
          <t>PARAIBA PLAST COMERCIAL EIRELI</t>
        </is>
      </c>
      <c r="I280" t="inlineStr">
        <is>
          <t>22.967.449/0001-66</t>
        </is>
      </c>
      <c r="J280" s="29" t="n">
        <v>492</v>
      </c>
      <c r="K280" s="29">
        <f>(1-ISNUMBER(SEARCH("556",M280)))*(O280*SUMIFS(Premissas!$C$5:$C$44,Premissas!$A$5:$A$44,$A280,Premissas!$B$5:$B$44,$B280)+P280*SUMIFS(Premissas!$D$5:$D$44,Premissas!$A$5:$A$44,$A280,Premissas!$B$5:$B$44,$B280))+R280*SUMIFS(Premissas!$E$5:$E$44,Premissas!$A$5:$A$44,$A280,Premissas!$B$5:$B$44,$B280)+S280*SUMIFS(Premissas!$F$5:$F$44,Premissas!$A$5:$A$44,$A280,Premissas!$B$5:$B$44,$B280)</f>
        <v/>
      </c>
      <c r="L280" s="29">
        <f>J280-K280</f>
        <v/>
      </c>
      <c r="M280" t="inlineStr">
        <is>
          <t>1.102</t>
        </is>
      </c>
      <c r="O280" s="29" t="n">
        <v>0</v>
      </c>
      <c r="P280" s="29" t="n">
        <v>98.40000000000001</v>
      </c>
      <c r="Q280" s="29" t="n">
        <v>0</v>
      </c>
      <c r="R280" s="29" t="n">
        <v>6.46</v>
      </c>
      <c r="S280" s="29" t="n">
        <v>29.76</v>
      </c>
      <c r="T280" t="inlineStr">
        <is>
          <t>25260522967449000166550010003532461262431502</t>
        </is>
      </c>
      <c r="U280" t="inlineStr">
        <is>
          <t>Sim</t>
        </is>
      </c>
    </row>
    <row r="281">
      <c r="A281" t="inlineStr">
        <is>
          <t>Insumos e papel</t>
        </is>
      </c>
      <c r="B281" t="inlineStr">
        <is>
          <t>2.01.95 Compra de Etiqueta</t>
        </is>
      </c>
      <c r="C281" s="30" t="n">
        <v>46174</v>
      </c>
      <c r="D281" t="inlineStr">
        <is>
          <t>Em 2026</t>
        </is>
      </c>
      <c r="E281" s="28" t="n">
        <v>46177</v>
      </c>
      <c r="F281" t="inlineStr">
        <is>
          <t>NF-e</t>
        </is>
      </c>
      <c r="G281" t="inlineStr">
        <is>
          <t>000004266</t>
        </is>
      </c>
      <c r="H281" t="inlineStr">
        <is>
          <t>FLEXOPEL LTDA</t>
        </is>
      </c>
      <c r="I281" t="inlineStr">
        <is>
          <t>59.974.773/0001-11</t>
        </is>
      </c>
      <c r="J281" s="29" t="n">
        <v>1600</v>
      </c>
      <c r="K281" s="29">
        <f>(1-ISNUMBER(SEARCH("556",M281)))*(O281*SUMIFS(Premissas!$C$5:$C$44,Premissas!$A$5:$A$44,$A281,Premissas!$B$5:$B$44,$B281)+P281*SUMIFS(Premissas!$D$5:$D$44,Premissas!$A$5:$A$44,$A281,Premissas!$B$5:$B$44,$B281))+R281*SUMIFS(Premissas!$E$5:$E$44,Premissas!$A$5:$A$44,$A281,Premissas!$B$5:$B$44,$B281)+S281*SUMIFS(Premissas!$F$5:$F$44,Premissas!$A$5:$A$44,$A281,Premissas!$B$5:$B$44,$B281)</f>
        <v/>
      </c>
      <c r="L281" s="29">
        <f>J281-K281</f>
        <v/>
      </c>
      <c r="M281" t="inlineStr">
        <is>
          <t>1.102, 1.556</t>
        </is>
      </c>
      <c r="O281" s="29" t="n">
        <v>0</v>
      </c>
      <c r="P281" s="29" t="n">
        <v>320</v>
      </c>
      <c r="Q281" s="29" t="n">
        <v>0</v>
      </c>
      <c r="R281" s="29" t="n">
        <v>21.12</v>
      </c>
      <c r="S281" s="29" t="n">
        <v>97.28</v>
      </c>
      <c r="T281" t="inlineStr">
        <is>
          <t>25260659974773000111550010000042661999957331</t>
        </is>
      </c>
      <c r="U281" t="inlineStr">
        <is>
          <t>Sim</t>
        </is>
      </c>
    </row>
    <row r="282">
      <c r="A282" t="inlineStr">
        <is>
          <t>Insumos e papel</t>
        </is>
      </c>
      <c r="B282" t="inlineStr">
        <is>
          <t>2.01.95 Compra de Etiqueta</t>
        </is>
      </c>
      <c r="C282" s="30" t="n">
        <v>46174</v>
      </c>
      <c r="D282" t="inlineStr">
        <is>
          <t>Em 2026</t>
        </is>
      </c>
      <c r="E282" s="28" t="n">
        <v>46177</v>
      </c>
      <c r="F282" t="inlineStr">
        <is>
          <t>NF-e</t>
        </is>
      </c>
      <c r="G282" t="inlineStr">
        <is>
          <t>000004284</t>
        </is>
      </c>
      <c r="H282" t="inlineStr">
        <is>
          <t>FLEXOPEL LTDA</t>
        </is>
      </c>
      <c r="I282" t="inlineStr">
        <is>
          <t>59.974.773/0001-11</t>
        </is>
      </c>
      <c r="J282" s="29" t="n">
        <v>2240</v>
      </c>
      <c r="K282" s="29">
        <f>(1-ISNUMBER(SEARCH("556",M282)))*(O282*SUMIFS(Premissas!$C$5:$C$44,Premissas!$A$5:$A$44,$A282,Premissas!$B$5:$B$44,$B282)+P282*SUMIFS(Premissas!$D$5:$D$44,Premissas!$A$5:$A$44,$A282,Premissas!$B$5:$B$44,$B282))+R282*SUMIFS(Premissas!$E$5:$E$44,Premissas!$A$5:$A$44,$A282,Premissas!$B$5:$B$44,$B282)+S282*SUMIFS(Premissas!$F$5:$F$44,Premissas!$A$5:$A$44,$A282,Premissas!$B$5:$B$44,$B282)</f>
        <v/>
      </c>
      <c r="L282" s="29">
        <f>J282-K282</f>
        <v/>
      </c>
      <c r="M282" t="inlineStr">
        <is>
          <t>1.102</t>
        </is>
      </c>
      <c r="O282" s="29" t="n">
        <v>0</v>
      </c>
      <c r="P282" s="29" t="n">
        <v>448</v>
      </c>
      <c r="Q282" s="29" t="n">
        <v>0</v>
      </c>
      <c r="R282" s="29" t="n">
        <v>29.57</v>
      </c>
      <c r="S282" s="29" t="n">
        <v>136.19</v>
      </c>
      <c r="T282" t="inlineStr">
        <is>
          <t>25260659974773000111550010000042841999957151</t>
        </is>
      </c>
      <c r="U282" t="inlineStr">
        <is>
          <t>Sim</t>
        </is>
      </c>
    </row>
    <row r="283">
      <c r="A283" t="inlineStr">
        <is>
          <t>Insumos e papel</t>
        </is>
      </c>
      <c r="B283" t="inlineStr">
        <is>
          <t>2.01.95 Compra de Etiqueta</t>
        </is>
      </c>
      <c r="C283" s="30" t="n">
        <v>46174</v>
      </c>
      <c r="D283" t="inlineStr">
        <is>
          <t>Em 2026</t>
        </is>
      </c>
      <c r="E283" s="28" t="n">
        <v>46190</v>
      </c>
      <c r="F283" t="inlineStr">
        <is>
          <t>NF-e</t>
        </is>
      </c>
      <c r="G283" t="inlineStr">
        <is>
          <t>000004427</t>
        </is>
      </c>
      <c r="H283" t="inlineStr">
        <is>
          <t>FLEXOPEL LTDA</t>
        </is>
      </c>
      <c r="I283" t="inlineStr">
        <is>
          <t>59.974.773/0001-11</t>
        </is>
      </c>
      <c r="J283" s="29" t="n">
        <v>4147.1</v>
      </c>
      <c r="K283" s="29">
        <f>(1-ISNUMBER(SEARCH("556",M283)))*(O283*SUMIFS(Premissas!$C$5:$C$44,Premissas!$A$5:$A$44,$A283,Premissas!$B$5:$B$44,$B283)+P283*SUMIFS(Premissas!$D$5:$D$44,Premissas!$A$5:$A$44,$A283,Premissas!$B$5:$B$44,$B283))+R283*SUMIFS(Premissas!$E$5:$E$44,Premissas!$A$5:$A$44,$A283,Premissas!$B$5:$B$44,$B283)+S283*SUMIFS(Premissas!$F$5:$F$44,Premissas!$A$5:$A$44,$A283,Premissas!$B$5:$B$44,$B283)</f>
        <v/>
      </c>
      <c r="L283" s="29">
        <f>J283-K283</f>
        <v/>
      </c>
      <c r="M283" t="inlineStr">
        <is>
          <t>1.556</t>
        </is>
      </c>
      <c r="O283" s="29" t="n">
        <v>0</v>
      </c>
      <c r="P283" s="29" t="n">
        <v>829.42</v>
      </c>
      <c r="Q283" s="29" t="n">
        <v>0</v>
      </c>
      <c r="R283" s="29" t="n">
        <v>54.76</v>
      </c>
      <c r="S283" s="29" t="n">
        <v>252.14</v>
      </c>
      <c r="T283" t="inlineStr">
        <is>
          <t>25260659974773000111550010000044271999955722</t>
        </is>
      </c>
      <c r="U283" t="inlineStr">
        <is>
          <t>Sim</t>
        </is>
      </c>
    </row>
    <row r="284">
      <c r="A284" t="inlineStr">
        <is>
          <t>Insumos e papel</t>
        </is>
      </c>
      <c r="B284" t="inlineStr">
        <is>
          <t>2.01.95 Compra de Etiqueta</t>
        </is>
      </c>
      <c r="C284" s="30" t="n">
        <v>46174</v>
      </c>
      <c r="D284" t="inlineStr">
        <is>
          <t>Em 2026</t>
        </is>
      </c>
      <c r="E284" s="28" t="n">
        <v>46195</v>
      </c>
      <c r="F284" t="inlineStr">
        <is>
          <t>NF-e</t>
        </is>
      </c>
      <c r="G284" t="inlineStr">
        <is>
          <t>000004471</t>
        </is>
      </c>
      <c r="H284" t="inlineStr">
        <is>
          <t>FLEXOPEL LTDA</t>
        </is>
      </c>
      <c r="I284" t="inlineStr">
        <is>
          <t>59.974.773/0001-11</t>
        </is>
      </c>
      <c r="J284" s="29" t="n">
        <v>64</v>
      </c>
      <c r="K284" s="29">
        <f>(1-ISNUMBER(SEARCH("556",M284)))*(O284*SUMIFS(Premissas!$C$5:$C$44,Premissas!$A$5:$A$44,$A284,Premissas!$B$5:$B$44,$B284)+P284*SUMIFS(Premissas!$D$5:$D$44,Premissas!$A$5:$A$44,$A284,Premissas!$B$5:$B$44,$B284))+R284*SUMIFS(Premissas!$E$5:$E$44,Premissas!$A$5:$A$44,$A284,Premissas!$B$5:$B$44,$B284)+S284*SUMIFS(Premissas!$F$5:$F$44,Premissas!$A$5:$A$44,$A284,Premissas!$B$5:$B$44,$B284)</f>
        <v/>
      </c>
      <c r="L284" s="29">
        <f>J284-K284</f>
        <v/>
      </c>
      <c r="M284" t="inlineStr">
        <is>
          <t>1.102</t>
        </is>
      </c>
      <c r="O284" s="29" t="n">
        <v>0</v>
      </c>
      <c r="P284" s="29" t="n">
        <v>12.8</v>
      </c>
      <c r="Q284" s="29" t="n">
        <v>0</v>
      </c>
      <c r="R284" s="29" t="n">
        <v>0.84</v>
      </c>
      <c r="S284" s="29" t="n">
        <v>3.89</v>
      </c>
      <c r="T284" t="inlineStr">
        <is>
          <t>25260659974773000111550010000044711999955283</t>
        </is>
      </c>
      <c r="U284" t="inlineStr">
        <is>
          <t>Sim</t>
        </is>
      </c>
    </row>
    <row r="285">
      <c r="A285" t="inlineStr">
        <is>
          <t>Insumos e papel</t>
        </is>
      </c>
      <c r="B285" t="inlineStr">
        <is>
          <t>2.01.95 Compra de Etiqueta</t>
        </is>
      </c>
      <c r="C285" s="30" t="n">
        <v>46174</v>
      </c>
      <c r="D285" t="inlineStr">
        <is>
          <t>Em 2026</t>
        </is>
      </c>
      <c r="E285" s="28" t="n">
        <v>46195</v>
      </c>
      <c r="F285" t="inlineStr">
        <is>
          <t>NF-e</t>
        </is>
      </c>
      <c r="G285" t="inlineStr">
        <is>
          <t>000004496</t>
        </is>
      </c>
      <c r="H285" t="inlineStr">
        <is>
          <t>FLEXOPEL LTDA</t>
        </is>
      </c>
      <c r="I285" t="inlineStr">
        <is>
          <t>59.974.773/0001-11</t>
        </is>
      </c>
      <c r="J285" s="29" t="n">
        <v>3200</v>
      </c>
      <c r="K285" s="29">
        <f>(1-ISNUMBER(SEARCH("556",M285)))*(O285*SUMIFS(Premissas!$C$5:$C$44,Premissas!$A$5:$A$44,$A285,Premissas!$B$5:$B$44,$B285)+P285*SUMIFS(Premissas!$D$5:$D$44,Premissas!$A$5:$A$44,$A285,Premissas!$B$5:$B$44,$B285))+R285*SUMIFS(Premissas!$E$5:$E$44,Premissas!$A$5:$A$44,$A285,Premissas!$B$5:$B$44,$B285)+S285*SUMIFS(Premissas!$F$5:$F$44,Premissas!$A$5:$A$44,$A285,Premissas!$B$5:$B$44,$B285)</f>
        <v/>
      </c>
      <c r="L285" s="29">
        <f>J285-K285</f>
        <v/>
      </c>
      <c r="M285" t="inlineStr">
        <is>
          <t>1.102</t>
        </is>
      </c>
      <c r="O285" s="29" t="n">
        <v>0</v>
      </c>
      <c r="P285" s="29" t="n">
        <v>640</v>
      </c>
      <c r="Q285" s="29" t="n">
        <v>0</v>
      </c>
      <c r="R285" s="29" t="n">
        <v>42.24</v>
      </c>
      <c r="S285" s="29" t="n">
        <v>194.56</v>
      </c>
      <c r="T285" t="inlineStr">
        <is>
          <t>25260659974773000111550010000044961999955037</t>
        </is>
      </c>
      <c r="U285" t="inlineStr">
        <is>
          <t>Sim</t>
        </is>
      </c>
    </row>
    <row r="286">
      <c r="A286" t="inlineStr">
        <is>
          <t>Insumos e papel</t>
        </is>
      </c>
      <c r="B286" t="inlineStr">
        <is>
          <t>2.01.95 Compra de Etiqueta</t>
        </is>
      </c>
      <c r="C286" s="30" t="n">
        <v>46174</v>
      </c>
      <c r="D286" t="inlineStr">
        <is>
          <t>Em 2026</t>
        </is>
      </c>
      <c r="E286" s="28" t="n">
        <v>46195</v>
      </c>
      <c r="F286" t="inlineStr">
        <is>
          <t>NF-e</t>
        </is>
      </c>
      <c r="G286" t="inlineStr">
        <is>
          <t>000289447</t>
        </is>
      </c>
      <c r="H286" t="inlineStr">
        <is>
          <t>MULTIPEL COMERCIO LTDA</t>
        </is>
      </c>
      <c r="I286" t="inlineStr">
        <is>
          <t>10.625.806/0001-29</t>
        </is>
      </c>
      <c r="J286" s="29" t="n">
        <v>682.8</v>
      </c>
      <c r="K286" s="29">
        <f>(1-ISNUMBER(SEARCH("556",M286)))*(O286*SUMIFS(Premissas!$C$5:$C$44,Premissas!$A$5:$A$44,$A286,Premissas!$B$5:$B$44,$B286)+P286*SUMIFS(Premissas!$D$5:$D$44,Premissas!$A$5:$A$44,$A286,Premissas!$B$5:$B$44,$B286))+R286*SUMIFS(Premissas!$E$5:$E$44,Premissas!$A$5:$A$44,$A286,Premissas!$B$5:$B$44,$B286)+S286*SUMIFS(Premissas!$F$5:$F$44,Premissas!$A$5:$A$44,$A286,Premissas!$B$5:$B$44,$B286)</f>
        <v/>
      </c>
      <c r="L286" s="29">
        <f>J286-K286</f>
        <v/>
      </c>
      <c r="M286" t="inlineStr">
        <is>
          <t>1.556</t>
        </is>
      </c>
      <c r="O286" s="29" t="n">
        <v>0</v>
      </c>
      <c r="P286" s="29" t="n">
        <v>136.56</v>
      </c>
      <c r="Q286" s="29" t="n">
        <v>0</v>
      </c>
      <c r="R286" s="29" t="n">
        <v>9.01</v>
      </c>
      <c r="S286" s="29" t="n">
        <v>41.51</v>
      </c>
      <c r="T286" t="inlineStr">
        <is>
          <t>25260610625806000129550010002894471155241470</t>
        </is>
      </c>
      <c r="U286" t="inlineStr">
        <is>
          <t>Sim</t>
        </is>
      </c>
    </row>
    <row r="287">
      <c r="A287" t="inlineStr">
        <is>
          <t>Insumos e papel</t>
        </is>
      </c>
      <c r="B287" t="inlineStr">
        <is>
          <t>2.01.95 Compra de Etiqueta</t>
        </is>
      </c>
      <c r="C287" s="30" t="n">
        <v>46204</v>
      </c>
      <c r="D287" t="inlineStr">
        <is>
          <t>Em 2026</t>
        </is>
      </c>
      <c r="E287" s="28" t="n">
        <v>46210</v>
      </c>
      <c r="F287" t="inlineStr">
        <is>
          <t>NF-e</t>
        </is>
      </c>
      <c r="G287" t="inlineStr">
        <is>
          <t>000004699</t>
        </is>
      </c>
      <c r="H287" t="inlineStr">
        <is>
          <t>FLEXOPEL LTDA</t>
        </is>
      </c>
      <c r="I287" t="inlineStr">
        <is>
          <t>59.974.773/0001-11</t>
        </is>
      </c>
      <c r="J287" s="29" t="n">
        <v>4640</v>
      </c>
      <c r="K287" s="29">
        <f>(1-ISNUMBER(SEARCH("556",M287)))*(O287*SUMIFS(Premissas!$C$5:$C$44,Premissas!$A$5:$A$44,$A287,Premissas!$B$5:$B$44,$B287)+P287*SUMIFS(Premissas!$D$5:$D$44,Premissas!$A$5:$A$44,$A287,Premissas!$B$5:$B$44,$B287))+R287*SUMIFS(Premissas!$E$5:$E$44,Premissas!$A$5:$A$44,$A287,Premissas!$B$5:$B$44,$B287)+S287*SUMIFS(Premissas!$F$5:$F$44,Premissas!$A$5:$A$44,$A287,Premissas!$B$5:$B$44,$B287)</f>
        <v/>
      </c>
      <c r="L287" s="29">
        <f>J287-K287</f>
        <v/>
      </c>
      <c r="M287" t="inlineStr">
        <is>
          <t>1.556</t>
        </is>
      </c>
      <c r="O287" s="29" t="n">
        <v>0</v>
      </c>
      <c r="P287" s="29" t="n">
        <v>928</v>
      </c>
      <c r="Q287" s="29" t="n">
        <v>0</v>
      </c>
      <c r="R287" s="29" t="n">
        <v>61.25</v>
      </c>
      <c r="S287" s="29" t="n">
        <v>282.11</v>
      </c>
      <c r="T287" t="inlineStr">
        <is>
          <t>25260759974773000111550010000046991999953006</t>
        </is>
      </c>
      <c r="U287" t="inlineStr">
        <is>
          <t>Sim</t>
        </is>
      </c>
    </row>
    <row r="288">
      <c r="A288" t="inlineStr">
        <is>
          <t>Insumos e papel</t>
        </is>
      </c>
      <c r="B288" t="inlineStr">
        <is>
          <t>2.01.95 Compra de Etiqueta</t>
        </is>
      </c>
      <c r="C288" s="30" t="n">
        <v>46204</v>
      </c>
      <c r="D288" t="inlineStr">
        <is>
          <t>Em 2026</t>
        </is>
      </c>
      <c r="E288" s="28" t="n">
        <v>46213</v>
      </c>
      <c r="F288" t="inlineStr">
        <is>
          <t>NF-e</t>
        </is>
      </c>
      <c r="G288" t="inlineStr">
        <is>
          <t>000004769</t>
        </is>
      </c>
      <c r="H288" t="inlineStr">
        <is>
          <t>FLEXOPEL LTDA</t>
        </is>
      </c>
      <c r="I288" t="inlineStr">
        <is>
          <t>59.974.773/0001-11</t>
        </is>
      </c>
      <c r="J288" s="29" t="n">
        <v>3119.5</v>
      </c>
      <c r="K288" s="29">
        <f>(1-ISNUMBER(SEARCH("556",M288)))*(O288*SUMIFS(Premissas!$C$5:$C$44,Premissas!$A$5:$A$44,$A288,Premissas!$B$5:$B$44,$B288)+P288*SUMIFS(Premissas!$D$5:$D$44,Premissas!$A$5:$A$44,$A288,Premissas!$B$5:$B$44,$B288))+R288*SUMIFS(Premissas!$E$5:$E$44,Premissas!$A$5:$A$44,$A288,Premissas!$B$5:$B$44,$B288)+S288*SUMIFS(Premissas!$F$5:$F$44,Premissas!$A$5:$A$44,$A288,Premissas!$B$5:$B$44,$B288)</f>
        <v/>
      </c>
      <c r="L288" s="29">
        <f>J288-K288</f>
        <v/>
      </c>
      <c r="M288" t="inlineStr">
        <is>
          <t>1.556</t>
        </is>
      </c>
      <c r="O288" s="29" t="n">
        <v>0</v>
      </c>
      <c r="P288" s="29" t="n">
        <v>623.9</v>
      </c>
      <c r="Q288" s="29" t="n">
        <v>0</v>
      </c>
      <c r="R288" s="29" t="n">
        <v>41.17</v>
      </c>
      <c r="S288" s="29" t="n">
        <v>189.67</v>
      </c>
      <c r="T288" t="inlineStr">
        <is>
          <t>25260759974773000111550010000047691999952308</t>
        </is>
      </c>
      <c r="U288" t="inlineStr">
        <is>
          <t>Sim</t>
        </is>
      </c>
    </row>
    <row r="289">
      <c r="A289" t="inlineStr">
        <is>
          <t>Insumos e papel</t>
        </is>
      </c>
      <c r="B289" t="inlineStr">
        <is>
          <t>2.01.95 Compra de Etiqueta</t>
        </is>
      </c>
      <c r="C289" s="30" t="n">
        <v>46204</v>
      </c>
      <c r="D289" t="inlineStr">
        <is>
          <t>Em 2026</t>
        </is>
      </c>
      <c r="E289" s="28" t="n">
        <v>46219</v>
      </c>
      <c r="F289" t="inlineStr">
        <is>
          <t>NF-e</t>
        </is>
      </c>
      <c r="G289" t="inlineStr">
        <is>
          <t>000004852</t>
        </is>
      </c>
      <c r="H289" t="inlineStr">
        <is>
          <t>FLEXOPEL LTDA</t>
        </is>
      </c>
      <c r="I289" t="inlineStr">
        <is>
          <t>59.974.773/0001-11</t>
        </is>
      </c>
      <c r="J289" s="29" t="n">
        <v>2400</v>
      </c>
      <c r="K289" s="29">
        <f>(1-ISNUMBER(SEARCH("556",M289)))*(O289*SUMIFS(Premissas!$C$5:$C$44,Premissas!$A$5:$A$44,$A289,Premissas!$B$5:$B$44,$B289)+P289*SUMIFS(Premissas!$D$5:$D$44,Premissas!$A$5:$A$44,$A289,Premissas!$B$5:$B$44,$B289))+R289*SUMIFS(Premissas!$E$5:$E$44,Premissas!$A$5:$A$44,$A289,Premissas!$B$5:$B$44,$B289)+S289*SUMIFS(Premissas!$F$5:$F$44,Premissas!$A$5:$A$44,$A289,Premissas!$B$5:$B$44,$B289)</f>
        <v/>
      </c>
      <c r="L289" s="29">
        <f>J289-K289</f>
        <v/>
      </c>
      <c r="M289" t="inlineStr">
        <is>
          <t>1.556</t>
        </is>
      </c>
      <c r="O289" s="29" t="n">
        <v>0</v>
      </c>
      <c r="P289" s="29" t="n">
        <v>480</v>
      </c>
      <c r="Q289" s="29" t="n">
        <v>0</v>
      </c>
      <c r="R289" s="29" t="n">
        <v>31.68</v>
      </c>
      <c r="S289" s="29" t="n">
        <v>145.92</v>
      </c>
      <c r="T289" t="inlineStr">
        <is>
          <t>25260759974773000111550010000048521999951474</t>
        </is>
      </c>
      <c r="U289" t="inlineStr">
        <is>
          <t>Sim</t>
        </is>
      </c>
    </row>
    <row r="290">
      <c r="A290" t="inlineStr">
        <is>
          <t>Insumos e papel</t>
        </is>
      </c>
      <c r="B290" t="inlineStr">
        <is>
          <t>2.01.95 Compra de Etiqueta</t>
        </is>
      </c>
      <c r="C290" s="30" t="n">
        <v>46235</v>
      </c>
      <c r="D290" t="inlineStr">
        <is>
          <t>Em 2026</t>
        </is>
      </c>
      <c r="E290" s="28" t="n">
        <v>46245</v>
      </c>
      <c r="F290" t="inlineStr">
        <is>
          <t>NF-e</t>
        </is>
      </c>
      <c r="G290" t="inlineStr">
        <is>
          <t>000005190</t>
        </is>
      </c>
      <c r="H290" t="inlineStr">
        <is>
          <t>FLEXOPEL LTDA</t>
        </is>
      </c>
      <c r="I290" t="inlineStr">
        <is>
          <t>59.974.773/0001-11</t>
        </is>
      </c>
      <c r="J290" s="29" t="n">
        <v>4800</v>
      </c>
      <c r="K290" s="29">
        <f>(1-ISNUMBER(SEARCH("556",M290)))*(O290*SUMIFS(Premissas!$C$5:$C$44,Premissas!$A$5:$A$44,$A290,Premissas!$B$5:$B$44,$B290)+P290*SUMIFS(Premissas!$D$5:$D$44,Premissas!$A$5:$A$44,$A290,Premissas!$B$5:$B$44,$B290))+R290*SUMIFS(Premissas!$E$5:$E$44,Premissas!$A$5:$A$44,$A290,Premissas!$B$5:$B$44,$B290)+S290*SUMIFS(Premissas!$F$5:$F$44,Premissas!$A$5:$A$44,$A290,Premissas!$B$5:$B$44,$B290)</f>
        <v/>
      </c>
      <c r="L290" s="29">
        <f>J290-K290</f>
        <v/>
      </c>
      <c r="M290" t="inlineStr">
        <is>
          <t>1.556</t>
        </is>
      </c>
      <c r="O290" s="29" t="n">
        <v>0</v>
      </c>
      <c r="P290" s="29" t="n">
        <v>960</v>
      </c>
      <c r="Q290" s="29" t="n">
        <v>0</v>
      </c>
      <c r="R290" s="29" t="n">
        <v>63.36</v>
      </c>
      <c r="S290" s="29" t="n">
        <v>291.84</v>
      </c>
      <c r="T290" t="inlineStr">
        <is>
          <t>25260859974773000111550010000051901999948091</t>
        </is>
      </c>
      <c r="U290" t="inlineStr">
        <is>
          <t>Sim</t>
        </is>
      </c>
    </row>
    <row r="291">
      <c r="A291" t="inlineStr">
        <is>
          <t>Insumos e papel</t>
        </is>
      </c>
      <c r="B291" t="inlineStr">
        <is>
          <t>2.01.95 Compra de Etiqueta</t>
        </is>
      </c>
      <c r="C291" s="30" t="n">
        <v>46235</v>
      </c>
      <c r="D291" t="inlineStr">
        <is>
          <t>Em 2026</t>
        </is>
      </c>
      <c r="E291" s="28" t="n">
        <v>46247</v>
      </c>
      <c r="F291" t="inlineStr">
        <is>
          <t>NF-e</t>
        </is>
      </c>
      <c r="G291" t="inlineStr">
        <is>
          <t>000005253</t>
        </is>
      </c>
      <c r="H291" t="inlineStr">
        <is>
          <t>FLEXOPEL LTDA</t>
        </is>
      </c>
      <c r="I291" t="inlineStr">
        <is>
          <t>59.974.773/0001-11</t>
        </is>
      </c>
      <c r="J291" s="29" t="n">
        <v>3759</v>
      </c>
      <c r="K291" s="29">
        <f>(1-ISNUMBER(SEARCH("556",M291)))*(O291*SUMIFS(Premissas!$C$5:$C$44,Premissas!$A$5:$A$44,$A291,Premissas!$B$5:$B$44,$B291)+P291*SUMIFS(Premissas!$D$5:$D$44,Premissas!$A$5:$A$44,$A291,Premissas!$B$5:$B$44,$B291))+R291*SUMIFS(Premissas!$E$5:$E$44,Premissas!$A$5:$A$44,$A291,Premissas!$B$5:$B$44,$B291)+S291*SUMIFS(Premissas!$F$5:$F$44,Premissas!$A$5:$A$44,$A291,Premissas!$B$5:$B$44,$B291)</f>
        <v/>
      </c>
      <c r="L291" s="29">
        <f>J291-K291</f>
        <v/>
      </c>
      <c r="M291" t="inlineStr">
        <is>
          <t>1.556</t>
        </is>
      </c>
      <c r="O291" s="29" t="n">
        <v>0</v>
      </c>
      <c r="P291" s="29" t="n">
        <v>751.8</v>
      </c>
      <c r="Q291" s="29" t="n">
        <v>0</v>
      </c>
      <c r="R291" s="29" t="n">
        <v>49.63</v>
      </c>
      <c r="S291" s="29" t="n">
        <v>228.55</v>
      </c>
      <c r="T291" t="inlineStr">
        <is>
          <t>25260859974773000111550010000052531999947461</t>
        </is>
      </c>
      <c r="U291" t="inlineStr">
        <is>
          <t>Sim</t>
        </is>
      </c>
    </row>
    <row r="292">
      <c r="A292" t="inlineStr">
        <is>
          <t>Insumos e papel</t>
        </is>
      </c>
      <c r="B292" t="inlineStr">
        <is>
          <t>2.01.95 Compra de Etiqueta</t>
        </is>
      </c>
      <c r="C292" s="30" t="n">
        <v>46235</v>
      </c>
      <c r="D292" t="inlineStr">
        <is>
          <t>Em 2026</t>
        </is>
      </c>
      <c r="E292" s="28" t="n">
        <v>46254</v>
      </c>
      <c r="F292" t="inlineStr">
        <is>
          <t>NF-e</t>
        </is>
      </c>
      <c r="G292" t="inlineStr">
        <is>
          <t>000005340</t>
        </is>
      </c>
      <c r="H292" t="inlineStr">
        <is>
          <t>FLEXOPEL LTDA</t>
        </is>
      </c>
      <c r="I292" t="inlineStr">
        <is>
          <t>59.974.773/0001-11</t>
        </is>
      </c>
      <c r="J292" s="29" t="n">
        <v>4000</v>
      </c>
      <c r="K292" s="29">
        <f>(1-ISNUMBER(SEARCH("556",M292)))*(O292*SUMIFS(Premissas!$C$5:$C$44,Premissas!$A$5:$A$44,$A292,Premissas!$B$5:$B$44,$B292)+P292*SUMIFS(Premissas!$D$5:$D$44,Premissas!$A$5:$A$44,$A292,Premissas!$B$5:$B$44,$B292))+R292*SUMIFS(Premissas!$E$5:$E$44,Premissas!$A$5:$A$44,$A292,Premissas!$B$5:$B$44,$B292)+S292*SUMIFS(Premissas!$F$5:$F$44,Premissas!$A$5:$A$44,$A292,Premissas!$B$5:$B$44,$B292)</f>
        <v/>
      </c>
      <c r="L292" s="29">
        <f>J292-K292</f>
        <v/>
      </c>
      <c r="M292" t="inlineStr">
        <is>
          <t>1.556</t>
        </is>
      </c>
      <c r="O292" s="29" t="n">
        <v>0</v>
      </c>
      <c r="P292" s="29" t="n">
        <v>800</v>
      </c>
      <c r="Q292" s="29" t="n">
        <v>0</v>
      </c>
      <c r="R292" s="29" t="n">
        <v>52.8</v>
      </c>
      <c r="S292" s="29" t="n">
        <v>243.2</v>
      </c>
      <c r="T292" t="inlineStr">
        <is>
          <t>25260859974773000111550010000053401999946594</t>
        </is>
      </c>
      <c r="U292" t="inlineStr">
        <is>
          <t>Sim</t>
        </is>
      </c>
    </row>
    <row r="293">
      <c r="A293" t="inlineStr">
        <is>
          <t>Insumos e papel</t>
        </is>
      </c>
      <c r="B293" t="inlineStr">
        <is>
          <t>2.01.95 Compra de Etiqueta</t>
        </is>
      </c>
      <c r="C293" s="30" t="n">
        <v>46235</v>
      </c>
      <c r="D293" t="inlineStr">
        <is>
          <t>Em 2026</t>
        </is>
      </c>
      <c r="E293" s="28" t="n">
        <v>46259</v>
      </c>
      <c r="F293" t="inlineStr">
        <is>
          <t>NF-e</t>
        </is>
      </c>
      <c r="G293" t="inlineStr">
        <is>
          <t>000005419</t>
        </is>
      </c>
      <c r="H293" t="inlineStr">
        <is>
          <t>FLEXOPEL LTDA</t>
        </is>
      </c>
      <c r="I293" t="inlineStr">
        <is>
          <t>59.974.773/0001-11</t>
        </is>
      </c>
      <c r="J293" s="29" t="n">
        <v>716</v>
      </c>
      <c r="K293" s="29">
        <f>(1-ISNUMBER(SEARCH("556",M293)))*(O293*SUMIFS(Premissas!$C$5:$C$44,Premissas!$A$5:$A$44,$A293,Premissas!$B$5:$B$44,$B293)+P293*SUMIFS(Premissas!$D$5:$D$44,Premissas!$A$5:$A$44,$A293,Premissas!$B$5:$B$44,$B293))+R293*SUMIFS(Premissas!$E$5:$E$44,Premissas!$A$5:$A$44,$A293,Premissas!$B$5:$B$44,$B293)+S293*SUMIFS(Premissas!$F$5:$F$44,Premissas!$A$5:$A$44,$A293,Premissas!$B$5:$B$44,$B293)</f>
        <v/>
      </c>
      <c r="L293" s="29">
        <f>J293-K293</f>
        <v/>
      </c>
      <c r="M293" t="inlineStr">
        <is>
          <t>1.556</t>
        </is>
      </c>
      <c r="O293" s="29" t="n">
        <v>0</v>
      </c>
      <c r="P293" s="29" t="n">
        <v>143.2</v>
      </c>
      <c r="Q293" s="29" t="n">
        <v>0</v>
      </c>
      <c r="R293" s="29" t="n">
        <v>9.449999999999999</v>
      </c>
      <c r="S293" s="29" t="n">
        <v>43.53</v>
      </c>
      <c r="T293" t="inlineStr">
        <is>
          <t>25260859974773000111550010000054191999945808</t>
        </is>
      </c>
      <c r="U293" t="inlineStr">
        <is>
          <t>Sim</t>
        </is>
      </c>
    </row>
    <row r="294">
      <c r="A294" t="inlineStr">
        <is>
          <t>Insumos e papel</t>
        </is>
      </c>
      <c r="B294" t="inlineStr">
        <is>
          <t>2.01.95 Compra de Etiqueta</t>
        </is>
      </c>
      <c r="C294" s="30" t="n">
        <v>46235</v>
      </c>
      <c r="D294" t="inlineStr">
        <is>
          <t>Em 2026</t>
        </is>
      </c>
      <c r="E294" s="28" t="n">
        <v>46265</v>
      </c>
      <c r="F294" t="inlineStr">
        <is>
          <t>NF-e</t>
        </is>
      </c>
      <c r="G294" t="inlineStr">
        <is>
          <t>000005520</t>
        </is>
      </c>
      <c r="H294" t="inlineStr">
        <is>
          <t>FLEXOPEL LTDA</t>
        </is>
      </c>
      <c r="I294" t="inlineStr">
        <is>
          <t>59.974.773/0001-11</t>
        </is>
      </c>
      <c r="J294" s="29" t="n">
        <v>716</v>
      </c>
      <c r="K294" s="29">
        <f>(1-ISNUMBER(SEARCH("556",M294)))*(O294*SUMIFS(Premissas!$C$5:$C$44,Premissas!$A$5:$A$44,$A294,Premissas!$B$5:$B$44,$B294)+P294*SUMIFS(Premissas!$D$5:$D$44,Premissas!$A$5:$A$44,$A294,Premissas!$B$5:$B$44,$B294))+R294*SUMIFS(Premissas!$E$5:$E$44,Premissas!$A$5:$A$44,$A294,Premissas!$B$5:$B$44,$B294)+S294*SUMIFS(Premissas!$F$5:$F$44,Premissas!$A$5:$A$44,$A294,Premissas!$B$5:$B$44,$B294)</f>
        <v/>
      </c>
      <c r="L294" s="29">
        <f>J294-K294</f>
        <v/>
      </c>
      <c r="M294" t="inlineStr">
        <is>
          <t>1.556</t>
        </is>
      </c>
      <c r="O294" s="29" t="n">
        <v>0</v>
      </c>
      <c r="P294" s="29" t="n">
        <v>143.2</v>
      </c>
      <c r="Q294" s="29" t="n">
        <v>0</v>
      </c>
      <c r="R294" s="29" t="n">
        <v>9.449999999999999</v>
      </c>
      <c r="S294" s="29" t="n">
        <v>43.53</v>
      </c>
      <c r="T294" t="inlineStr">
        <is>
          <t>25260859974773000111550010000055201999944794</t>
        </is>
      </c>
      <c r="U294" t="inlineStr">
        <is>
          <t>Sim</t>
        </is>
      </c>
    </row>
    <row r="295">
      <c r="A295" t="inlineStr">
        <is>
          <t>Insumos e papel</t>
        </is>
      </c>
      <c r="B295" t="inlineStr">
        <is>
          <t>2.01.95 Compra de Etiqueta</t>
        </is>
      </c>
      <c r="C295" s="30" t="n">
        <v>46235</v>
      </c>
      <c r="D295" t="inlineStr">
        <is>
          <t>Em 2026</t>
        </is>
      </c>
      <c r="E295" s="28" t="n">
        <v>46265</v>
      </c>
      <c r="F295" t="inlineStr">
        <is>
          <t>NF-e</t>
        </is>
      </c>
      <c r="G295" t="inlineStr">
        <is>
          <t>000005521</t>
        </is>
      </c>
      <c r="H295" t="inlineStr">
        <is>
          <t>FLEXOPEL LTDA</t>
        </is>
      </c>
      <c r="I295" t="inlineStr">
        <is>
          <t>59.974.773/0001-11</t>
        </is>
      </c>
      <c r="J295" s="29" t="n">
        <v>3938</v>
      </c>
      <c r="K295" s="29">
        <f>(1-ISNUMBER(SEARCH("556",M295)))*(O295*SUMIFS(Premissas!$C$5:$C$44,Premissas!$A$5:$A$44,$A295,Premissas!$B$5:$B$44,$B295)+P295*SUMIFS(Premissas!$D$5:$D$44,Premissas!$A$5:$A$44,$A295,Premissas!$B$5:$B$44,$B295))+R295*SUMIFS(Premissas!$E$5:$E$44,Premissas!$A$5:$A$44,$A295,Premissas!$B$5:$B$44,$B295)+S295*SUMIFS(Premissas!$F$5:$F$44,Premissas!$A$5:$A$44,$A295,Premissas!$B$5:$B$44,$B295)</f>
        <v/>
      </c>
      <c r="L295" s="29">
        <f>J295-K295</f>
        <v/>
      </c>
      <c r="M295" t="inlineStr">
        <is>
          <t>2.556</t>
        </is>
      </c>
      <c r="O295" s="29" t="n">
        <v>0</v>
      </c>
      <c r="P295" s="29" t="n">
        <v>787.6</v>
      </c>
      <c r="Q295" s="29" t="n">
        <v>0</v>
      </c>
      <c r="R295" s="29" t="n">
        <v>51.99</v>
      </c>
      <c r="S295" s="29" t="n">
        <v>239.43</v>
      </c>
      <c r="T295" t="inlineStr">
        <is>
          <t>25260859974773000111550010000055211999944783</t>
        </is>
      </c>
      <c r="U295" t="inlineStr">
        <is>
          <t>Sim</t>
        </is>
      </c>
    </row>
    <row r="296">
      <c r="A296" t="inlineStr">
        <is>
          <t>Insumos e papel</t>
        </is>
      </c>
      <c r="B296" t="inlineStr">
        <is>
          <t>2.01.95 Compra de Etiqueta</t>
        </is>
      </c>
      <c r="C296" s="30" t="n">
        <v>46266</v>
      </c>
      <c r="D296" t="inlineStr">
        <is>
          <t>Em 2026</t>
        </is>
      </c>
      <c r="E296" s="28" t="n">
        <v>46266</v>
      </c>
      <c r="F296" t="inlineStr">
        <is>
          <t>NF-e</t>
        </is>
      </c>
      <c r="G296" t="inlineStr">
        <is>
          <t>000005540</t>
        </is>
      </c>
      <c r="H296" t="inlineStr">
        <is>
          <t>FLEXOPEL LTDA</t>
        </is>
      </c>
      <c r="I296" t="inlineStr">
        <is>
          <t>59.974.773/0001-11</t>
        </is>
      </c>
      <c r="J296" s="29" t="n">
        <v>1432</v>
      </c>
      <c r="K296" s="29">
        <f>(1-ISNUMBER(SEARCH("556",M296)))*(O296*SUMIFS(Premissas!$C$5:$C$44,Premissas!$A$5:$A$44,$A296,Premissas!$B$5:$B$44,$B296)+P296*SUMIFS(Premissas!$D$5:$D$44,Premissas!$A$5:$A$44,$A296,Premissas!$B$5:$B$44,$B296))+R296*SUMIFS(Premissas!$E$5:$E$44,Premissas!$A$5:$A$44,$A296,Premissas!$B$5:$B$44,$B296)+S296*SUMIFS(Premissas!$F$5:$F$44,Premissas!$A$5:$A$44,$A296,Premissas!$B$5:$B$44,$B296)</f>
        <v/>
      </c>
      <c r="L296" s="29">
        <f>J296-K296</f>
        <v/>
      </c>
      <c r="M296" t="inlineStr">
        <is>
          <t>1.102, 1.556</t>
        </is>
      </c>
      <c r="O296" s="29" t="n">
        <v>0</v>
      </c>
      <c r="P296" s="29" t="n">
        <v>286.4</v>
      </c>
      <c r="Q296" s="29" t="n">
        <v>0</v>
      </c>
      <c r="R296" s="29" t="n">
        <v>18.91</v>
      </c>
      <c r="S296" s="29" t="n">
        <v>87.06999999999999</v>
      </c>
      <c r="T296" t="inlineStr">
        <is>
          <t>25260959974773000111550010000055401999944596</t>
        </is>
      </c>
      <c r="U296" t="inlineStr">
        <is>
          <t>Sim</t>
        </is>
      </c>
    </row>
    <row r="297">
      <c r="A297" t="inlineStr">
        <is>
          <t>Insumos e papel</t>
        </is>
      </c>
      <c r="B297" t="inlineStr">
        <is>
          <t>2.01.95 Compra de Etiqueta</t>
        </is>
      </c>
      <c r="C297" s="30" t="n">
        <v>46266</v>
      </c>
      <c r="D297" t="inlineStr">
        <is>
          <t>Em 2026</t>
        </is>
      </c>
      <c r="E297" s="28" t="n">
        <v>46268</v>
      </c>
      <c r="F297" t="inlineStr">
        <is>
          <t>NF-e</t>
        </is>
      </c>
      <c r="G297" t="inlineStr">
        <is>
          <t>000004939</t>
        </is>
      </c>
      <c r="H297" t="inlineStr">
        <is>
          <t>GS BOBINAS E ETIQUETAS</t>
        </is>
      </c>
      <c r="I297" t="inlineStr">
        <is>
          <t>40.073.973/0001-75</t>
        </is>
      </c>
      <c r="J297" s="29" t="n">
        <v>8149.2</v>
      </c>
      <c r="K297" s="29">
        <f>(1-ISNUMBER(SEARCH("556",M297)))*(O297*SUMIFS(Premissas!$C$5:$C$44,Premissas!$A$5:$A$44,$A297,Premissas!$B$5:$B$44,$B297)+P297*SUMIFS(Premissas!$D$5:$D$44,Premissas!$A$5:$A$44,$A297,Premissas!$B$5:$B$44,$B297))+R297*SUMIFS(Premissas!$E$5:$E$44,Premissas!$A$5:$A$44,$A297,Premissas!$B$5:$B$44,$B297)+S297*SUMIFS(Premissas!$F$5:$F$44,Premissas!$A$5:$A$44,$A297,Premissas!$B$5:$B$44,$B297)</f>
        <v/>
      </c>
      <c r="L297" s="29">
        <f>J297-K297</f>
        <v/>
      </c>
      <c r="M297" t="inlineStr">
        <is>
          <t>2.556</t>
        </is>
      </c>
      <c r="O297" s="29" t="n">
        <v>0</v>
      </c>
      <c r="P297" s="29" t="n">
        <v>977.9</v>
      </c>
      <c r="Q297" s="29" t="n">
        <v>0</v>
      </c>
      <c r="R297" s="29" t="n">
        <v>0</v>
      </c>
      <c r="S297" s="29" t="n">
        <v>0</v>
      </c>
      <c r="T297" t="inlineStr">
        <is>
          <t>26260940073973000175550010000049391001360068</t>
        </is>
      </c>
      <c r="U297" t="inlineStr">
        <is>
          <t>Sim</t>
        </is>
      </c>
    </row>
    <row r="298">
      <c r="A298" t="inlineStr">
        <is>
          <t>Insumos e papel</t>
        </is>
      </c>
      <c r="B298" t="inlineStr">
        <is>
          <t>2.01.96 Compra de Cola</t>
        </is>
      </c>
      <c r="C298" s="30" t="n">
        <v>46023</v>
      </c>
      <c r="D298" t="inlineStr">
        <is>
          <t>Em 2026</t>
        </is>
      </c>
      <c r="E298" s="28" t="n">
        <v>46029</v>
      </c>
      <c r="F298" t="inlineStr">
        <is>
          <t>NF-e</t>
        </is>
      </c>
      <c r="G298" t="inlineStr">
        <is>
          <t>000036475</t>
        </is>
      </c>
      <c r="H298" t="inlineStr">
        <is>
          <t>COLAMID</t>
        </is>
      </c>
      <c r="I298" t="inlineStr">
        <is>
          <t>04.781.666/0001-85</t>
        </is>
      </c>
      <c r="J298" s="29" t="n">
        <v>37030</v>
      </c>
      <c r="K298" s="29">
        <f>(1-ISNUMBER(SEARCH("556",M298)))*(O298*SUMIFS(Premissas!$C$5:$C$44,Premissas!$A$5:$A$44,$A298,Premissas!$B$5:$B$44,$B298)+P298*SUMIFS(Premissas!$D$5:$D$44,Premissas!$A$5:$A$44,$A298,Premissas!$B$5:$B$44,$B298))+R298*SUMIFS(Premissas!$E$5:$E$44,Premissas!$A$5:$A$44,$A298,Premissas!$B$5:$B$44,$B298)+S298*SUMIFS(Premissas!$F$5:$F$44,Premissas!$A$5:$A$44,$A298,Premissas!$B$5:$B$44,$B298)</f>
        <v/>
      </c>
      <c r="L298" s="29">
        <f>J298-K298</f>
        <v/>
      </c>
      <c r="M298" t="inlineStr">
        <is>
          <t>1.556</t>
        </is>
      </c>
      <c r="O298" s="29" t="n">
        <v>0</v>
      </c>
      <c r="P298" s="29" t="n">
        <v>4443.6</v>
      </c>
      <c r="Q298" s="29" t="n">
        <v>0</v>
      </c>
      <c r="R298" s="29" t="n">
        <v>0</v>
      </c>
      <c r="S298" s="29" t="n">
        <v>0</v>
      </c>
      <c r="T298" t="inlineStr">
        <is>
          <t>26260104781666000185550010000364751433120159</t>
        </is>
      </c>
      <c r="U298" t="inlineStr">
        <is>
          <t>Sim</t>
        </is>
      </c>
    </row>
    <row r="299">
      <c r="A299" t="inlineStr">
        <is>
          <t>Insumos e papel</t>
        </is>
      </c>
      <c r="B299" t="inlineStr">
        <is>
          <t>2.01.96 Compra de Cola</t>
        </is>
      </c>
      <c r="C299" s="30" t="n">
        <v>46023</v>
      </c>
      <c r="D299" t="inlineStr">
        <is>
          <t>Em 2026</t>
        </is>
      </c>
      <c r="E299" s="28" t="n">
        <v>46037</v>
      </c>
      <c r="F299" t="inlineStr">
        <is>
          <t>NF-e</t>
        </is>
      </c>
      <c r="G299" t="inlineStr">
        <is>
          <t>000036540</t>
        </is>
      </c>
      <c r="H299" t="inlineStr">
        <is>
          <t>COLAMID</t>
        </is>
      </c>
      <c r="I299" t="inlineStr">
        <is>
          <t>04.781.666/0001-85</t>
        </is>
      </c>
      <c r="J299" s="29" t="n">
        <v>44345</v>
      </c>
      <c r="K299" s="29">
        <f>(1-ISNUMBER(SEARCH("556",M299)))*(O299*SUMIFS(Premissas!$C$5:$C$44,Premissas!$A$5:$A$44,$A299,Premissas!$B$5:$B$44,$B299)+P299*SUMIFS(Premissas!$D$5:$D$44,Premissas!$A$5:$A$44,$A299,Premissas!$B$5:$B$44,$B299))+R299*SUMIFS(Premissas!$E$5:$E$44,Premissas!$A$5:$A$44,$A299,Premissas!$B$5:$B$44,$B299)+S299*SUMIFS(Premissas!$F$5:$F$44,Premissas!$A$5:$A$44,$A299,Premissas!$B$5:$B$44,$B299)</f>
        <v/>
      </c>
      <c r="L299" s="29">
        <f>J299-K299</f>
        <v/>
      </c>
      <c r="M299" t="inlineStr">
        <is>
          <t>1.556</t>
        </is>
      </c>
      <c r="O299" s="29" t="n">
        <v>0</v>
      </c>
      <c r="P299" s="29" t="n">
        <v>5321.4</v>
      </c>
      <c r="Q299" s="29" t="n">
        <v>0</v>
      </c>
      <c r="R299" s="29" t="n">
        <v>0</v>
      </c>
      <c r="S299" s="29" t="n">
        <v>0</v>
      </c>
      <c r="T299" t="inlineStr">
        <is>
          <t>26260104781666000185550010000365401659017928</t>
        </is>
      </c>
      <c r="U299" t="inlineStr">
        <is>
          <t>Sim</t>
        </is>
      </c>
    </row>
    <row r="300">
      <c r="A300" t="inlineStr">
        <is>
          <t>Insumos e papel</t>
        </is>
      </c>
      <c r="B300" t="inlineStr">
        <is>
          <t>2.01.96 Compra de Cola</t>
        </is>
      </c>
      <c r="C300" s="30" t="n">
        <v>46023</v>
      </c>
      <c r="D300" t="inlineStr">
        <is>
          <t>Em 2026</t>
        </is>
      </c>
      <c r="E300" s="28" t="n">
        <v>46034</v>
      </c>
      <c r="F300" t="inlineStr">
        <is>
          <t>NF-e</t>
        </is>
      </c>
      <c r="G300" t="inlineStr">
        <is>
          <t>000020988</t>
        </is>
      </c>
      <c r="H300" t="inlineStr">
        <is>
          <t>REQUIM PRODUTOS QUIMICOS LTDA</t>
        </is>
      </c>
      <c r="I300" t="inlineStr">
        <is>
          <t>06.935.804/0001-69</t>
        </is>
      </c>
      <c r="J300" s="29" t="n">
        <v>32400</v>
      </c>
      <c r="K300" s="29">
        <f>(1-ISNUMBER(SEARCH("556",M300)))*(O300*SUMIFS(Premissas!$C$5:$C$44,Premissas!$A$5:$A$44,$A300,Premissas!$B$5:$B$44,$B300)+P300*SUMIFS(Premissas!$D$5:$D$44,Premissas!$A$5:$A$44,$A300,Premissas!$B$5:$B$44,$B300))+R300*SUMIFS(Premissas!$E$5:$E$44,Premissas!$A$5:$A$44,$A300,Premissas!$B$5:$B$44,$B300)+S300*SUMIFS(Premissas!$F$5:$F$44,Premissas!$A$5:$A$44,$A300,Premissas!$B$5:$B$44,$B300)</f>
        <v/>
      </c>
      <c r="L300" s="29">
        <f>J300-K300</f>
        <v/>
      </c>
      <c r="M300" t="inlineStr">
        <is>
          <t>2.102</t>
        </is>
      </c>
      <c r="O300" s="29" t="n">
        <v>0</v>
      </c>
      <c r="P300" s="29" t="n">
        <v>1296</v>
      </c>
      <c r="Q300" s="29" t="n">
        <v>0</v>
      </c>
      <c r="R300" s="29" t="n">
        <v>202.18</v>
      </c>
      <c r="S300" s="29" t="n">
        <v>933.12</v>
      </c>
      <c r="T300" t="inlineStr">
        <is>
          <t>26260106935804000169550010000209881682852027</t>
        </is>
      </c>
      <c r="U300" t="inlineStr">
        <is>
          <t>Sim</t>
        </is>
      </c>
    </row>
    <row r="301">
      <c r="A301" t="inlineStr">
        <is>
          <t>Insumos e papel</t>
        </is>
      </c>
      <c r="B301" t="inlineStr">
        <is>
          <t>2.01.96 Compra de Cola</t>
        </is>
      </c>
      <c r="C301" s="30" t="n">
        <v>46054</v>
      </c>
      <c r="D301" t="inlineStr">
        <is>
          <t>Em 2026</t>
        </is>
      </c>
      <c r="E301" s="28" t="n">
        <v>46059</v>
      </c>
      <c r="F301" t="inlineStr">
        <is>
          <t>NF-e</t>
        </is>
      </c>
      <c r="G301" t="inlineStr">
        <is>
          <t>000036731</t>
        </is>
      </c>
      <c r="H301" t="inlineStr">
        <is>
          <t>COLAMID</t>
        </is>
      </c>
      <c r="I301" t="inlineStr">
        <is>
          <t>04.781.666/0001-85</t>
        </is>
      </c>
      <c r="J301" s="29" t="n">
        <v>66640</v>
      </c>
      <c r="K301" s="29">
        <f>(1-ISNUMBER(SEARCH("556",M301)))*(O301*SUMIFS(Premissas!$C$5:$C$44,Premissas!$A$5:$A$44,$A301,Premissas!$B$5:$B$44,$B301)+P301*SUMIFS(Premissas!$D$5:$D$44,Premissas!$A$5:$A$44,$A301,Premissas!$B$5:$B$44,$B301))+R301*SUMIFS(Premissas!$E$5:$E$44,Premissas!$A$5:$A$44,$A301,Premissas!$B$5:$B$44,$B301)+S301*SUMIFS(Premissas!$F$5:$F$44,Premissas!$A$5:$A$44,$A301,Premissas!$B$5:$B$44,$B301)</f>
        <v/>
      </c>
      <c r="L301" s="29">
        <f>J301-K301</f>
        <v/>
      </c>
      <c r="M301" t="inlineStr">
        <is>
          <t>1.556</t>
        </is>
      </c>
      <c r="O301" s="29" t="n">
        <v>0</v>
      </c>
      <c r="P301" s="29" t="n">
        <v>7996.8</v>
      </c>
      <c r="Q301" s="29" t="n">
        <v>0</v>
      </c>
      <c r="R301" s="29" t="n">
        <v>0</v>
      </c>
      <c r="S301" s="29" t="n">
        <v>0</v>
      </c>
      <c r="T301" t="inlineStr">
        <is>
          <t>26260204781666000185550010000367311671923122</t>
        </is>
      </c>
      <c r="U301" t="inlineStr">
        <is>
          <t>Sim</t>
        </is>
      </c>
    </row>
    <row r="302">
      <c r="A302" t="inlineStr">
        <is>
          <t>Insumos e papel</t>
        </is>
      </c>
      <c r="B302" t="inlineStr">
        <is>
          <t>2.01.96 Compra de Cola</t>
        </is>
      </c>
      <c r="C302" s="30" t="n">
        <v>46054</v>
      </c>
      <c r="D302" t="inlineStr">
        <is>
          <t>Em 2026</t>
        </is>
      </c>
      <c r="E302" s="28" t="n">
        <v>46056</v>
      </c>
      <c r="F302" t="inlineStr">
        <is>
          <t>NF-e</t>
        </is>
      </c>
      <c r="G302" t="inlineStr">
        <is>
          <t>000021138</t>
        </is>
      </c>
      <c r="H302" t="inlineStr">
        <is>
          <t>REQUIM PRODUTOS QUIMICOS LTDA</t>
        </is>
      </c>
      <c r="I302" t="inlineStr">
        <is>
          <t>06.935.804/0001-69</t>
        </is>
      </c>
      <c r="J302" s="29" t="n">
        <v>12600</v>
      </c>
      <c r="K302" s="29">
        <f>(1-ISNUMBER(SEARCH("556",M302)))*(O302*SUMIFS(Premissas!$C$5:$C$44,Premissas!$A$5:$A$44,$A302,Premissas!$B$5:$B$44,$B302)+P302*SUMIFS(Premissas!$D$5:$D$44,Premissas!$A$5:$A$44,$A302,Premissas!$B$5:$B$44,$B302))+R302*SUMIFS(Premissas!$E$5:$E$44,Premissas!$A$5:$A$44,$A302,Premissas!$B$5:$B$44,$B302)+S302*SUMIFS(Premissas!$F$5:$F$44,Premissas!$A$5:$A$44,$A302,Premissas!$B$5:$B$44,$B302)</f>
        <v/>
      </c>
      <c r="L302" s="29">
        <f>J302-K302</f>
        <v/>
      </c>
      <c r="M302" t="inlineStr">
        <is>
          <t>2.102</t>
        </is>
      </c>
      <c r="O302" s="29" t="n">
        <v>0</v>
      </c>
      <c r="P302" s="29" t="n">
        <v>504</v>
      </c>
      <c r="Q302" s="29" t="n">
        <v>0</v>
      </c>
      <c r="R302" s="29" t="n">
        <v>78.62</v>
      </c>
      <c r="S302" s="29" t="n">
        <v>362.88</v>
      </c>
      <c r="T302" t="inlineStr">
        <is>
          <t>26260206935804000169550010000211381396220203</t>
        </is>
      </c>
      <c r="U302" t="inlineStr">
        <is>
          <t>Sim</t>
        </is>
      </c>
    </row>
    <row r="303">
      <c r="A303" t="inlineStr">
        <is>
          <t>Insumos e papel</t>
        </is>
      </c>
      <c r="B303" t="inlineStr">
        <is>
          <t>2.01.96 Compra de Cola</t>
        </is>
      </c>
      <c r="C303" s="30" t="n">
        <v>46054</v>
      </c>
      <c r="D303" t="inlineStr">
        <is>
          <t>Em 2026</t>
        </is>
      </c>
      <c r="E303" s="28" t="n">
        <v>46066</v>
      </c>
      <c r="F303" t="inlineStr">
        <is>
          <t>NF-e</t>
        </is>
      </c>
      <c r="G303" t="inlineStr">
        <is>
          <t>000021229</t>
        </is>
      </c>
      <c r="H303" t="inlineStr">
        <is>
          <t>REQUIM PRODUTOS QUIMICOS LTDA</t>
        </is>
      </c>
      <c r="I303" t="inlineStr">
        <is>
          <t>06.935.804/0001-69</t>
        </is>
      </c>
      <c r="J303" s="29" t="n">
        <v>21600</v>
      </c>
      <c r="K303" s="29">
        <f>(1-ISNUMBER(SEARCH("556",M303)))*(O303*SUMIFS(Premissas!$C$5:$C$44,Premissas!$A$5:$A$44,$A303,Premissas!$B$5:$B$44,$B303)+P303*SUMIFS(Premissas!$D$5:$D$44,Premissas!$A$5:$A$44,$A303,Premissas!$B$5:$B$44,$B303))+R303*SUMIFS(Premissas!$E$5:$E$44,Premissas!$A$5:$A$44,$A303,Premissas!$B$5:$B$44,$B303)+S303*SUMIFS(Premissas!$F$5:$F$44,Premissas!$A$5:$A$44,$A303,Premissas!$B$5:$B$44,$B303)</f>
        <v/>
      </c>
      <c r="L303" s="29">
        <f>J303-K303</f>
        <v/>
      </c>
      <c r="M303" t="inlineStr">
        <is>
          <t>2.102</t>
        </is>
      </c>
      <c r="O303" s="29" t="n">
        <v>0</v>
      </c>
      <c r="P303" s="29" t="n">
        <v>864</v>
      </c>
      <c r="Q303" s="29" t="n">
        <v>0</v>
      </c>
      <c r="R303" s="29" t="n">
        <v>134.78</v>
      </c>
      <c r="S303" s="29" t="n">
        <v>622.08</v>
      </c>
      <c r="T303" t="inlineStr">
        <is>
          <t>26260206935804000169550010000212291494091757</t>
        </is>
      </c>
      <c r="U303" t="inlineStr">
        <is>
          <t>Sim</t>
        </is>
      </c>
    </row>
    <row r="304">
      <c r="A304" t="inlineStr">
        <is>
          <t>Insumos e papel</t>
        </is>
      </c>
      <c r="B304" t="inlineStr">
        <is>
          <t>2.01.96 Compra de Cola</t>
        </is>
      </c>
      <c r="C304" s="30" t="n">
        <v>46054</v>
      </c>
      <c r="D304" t="inlineStr">
        <is>
          <t>Em 2026</t>
        </is>
      </c>
      <c r="E304" s="28" t="n">
        <v>46072</v>
      </c>
      <c r="F304" t="inlineStr">
        <is>
          <t>NF-e</t>
        </is>
      </c>
      <c r="G304" t="inlineStr">
        <is>
          <t>000021244</t>
        </is>
      </c>
      <c r="H304" t="inlineStr">
        <is>
          <t>REQUIM PRODUTOS QUIMICOS LTDA</t>
        </is>
      </c>
      <c r="I304" t="inlineStr">
        <is>
          <t>06.935.804/0001-69</t>
        </is>
      </c>
      <c r="J304" s="29" t="n">
        <v>18000</v>
      </c>
      <c r="K304" s="29">
        <f>(1-ISNUMBER(SEARCH("556",M304)))*(O304*SUMIFS(Premissas!$C$5:$C$44,Premissas!$A$5:$A$44,$A304,Premissas!$B$5:$B$44,$B304)+P304*SUMIFS(Premissas!$D$5:$D$44,Premissas!$A$5:$A$44,$A304,Premissas!$B$5:$B$44,$B304))+R304*SUMIFS(Premissas!$E$5:$E$44,Premissas!$A$5:$A$44,$A304,Premissas!$B$5:$B$44,$B304)+S304*SUMIFS(Premissas!$F$5:$F$44,Premissas!$A$5:$A$44,$A304,Premissas!$B$5:$B$44,$B304)</f>
        <v/>
      </c>
      <c r="L304" s="29">
        <f>J304-K304</f>
        <v/>
      </c>
      <c r="M304" t="inlineStr">
        <is>
          <t>2.102</t>
        </is>
      </c>
      <c r="O304" s="29" t="n">
        <v>0</v>
      </c>
      <c r="P304" s="29" t="n">
        <v>720</v>
      </c>
      <c r="Q304" s="29" t="n">
        <v>0</v>
      </c>
      <c r="R304" s="29" t="n">
        <v>112.32</v>
      </c>
      <c r="S304" s="29" t="n">
        <v>518.4</v>
      </c>
      <c r="T304" t="inlineStr">
        <is>
          <t>26260206935804000169550010000212441636808717</t>
        </is>
      </c>
      <c r="U304" t="inlineStr">
        <is>
          <t>Sim</t>
        </is>
      </c>
    </row>
    <row r="305">
      <c r="A305" t="inlineStr">
        <is>
          <t>Insumos e papel</t>
        </is>
      </c>
      <c r="B305" t="inlineStr">
        <is>
          <t>2.01.96 Compra de Cola</t>
        </is>
      </c>
      <c r="C305" s="30" t="n">
        <v>46082</v>
      </c>
      <c r="D305" t="inlineStr">
        <is>
          <t>Em 2026</t>
        </is>
      </c>
      <c r="E305" s="28" t="n">
        <v>46086</v>
      </c>
      <c r="F305" t="inlineStr">
        <is>
          <t>NF-e</t>
        </is>
      </c>
      <c r="G305" t="inlineStr">
        <is>
          <t>000036918</t>
        </is>
      </c>
      <c r="H305" t="inlineStr">
        <is>
          <t>COLAMID</t>
        </is>
      </c>
      <c r="I305" t="inlineStr">
        <is>
          <t>04.781.666/0001-85</t>
        </is>
      </c>
      <c r="J305" s="29" t="n">
        <v>25525</v>
      </c>
      <c r="K305" s="29">
        <f>(1-ISNUMBER(SEARCH("556",M305)))*(O305*SUMIFS(Premissas!$C$5:$C$44,Premissas!$A$5:$A$44,$A305,Premissas!$B$5:$B$44,$B305)+P305*SUMIFS(Premissas!$D$5:$D$44,Premissas!$A$5:$A$44,$A305,Premissas!$B$5:$B$44,$B305))+R305*SUMIFS(Premissas!$E$5:$E$44,Premissas!$A$5:$A$44,$A305,Premissas!$B$5:$B$44,$B305)+S305*SUMIFS(Premissas!$F$5:$F$44,Premissas!$A$5:$A$44,$A305,Premissas!$B$5:$B$44,$B305)</f>
        <v/>
      </c>
      <c r="L305" s="29">
        <f>J305-K305</f>
        <v/>
      </c>
      <c r="M305" t="inlineStr">
        <is>
          <t>1.556</t>
        </is>
      </c>
      <c r="O305" s="29" t="n">
        <v>0</v>
      </c>
      <c r="P305" s="29" t="n">
        <v>3063</v>
      </c>
      <c r="Q305" s="29" t="n">
        <v>0</v>
      </c>
      <c r="R305" s="29" t="n">
        <v>0</v>
      </c>
      <c r="S305" s="29" t="n">
        <v>0</v>
      </c>
      <c r="T305" t="inlineStr">
        <is>
          <t>26260304781666000185550010000369181566631969</t>
        </is>
      </c>
      <c r="U305" t="inlineStr">
        <is>
          <t>Sim</t>
        </is>
      </c>
    </row>
    <row r="306">
      <c r="A306" t="inlineStr">
        <is>
          <t>Insumos e papel</t>
        </is>
      </c>
      <c r="B306" t="inlineStr">
        <is>
          <t>2.01.96 Compra de Cola</t>
        </is>
      </c>
      <c r="C306" s="30" t="n">
        <v>46082</v>
      </c>
      <c r="D306" t="inlineStr">
        <is>
          <t>Em 2026</t>
        </is>
      </c>
      <c r="E306" s="28" t="n">
        <v>46090</v>
      </c>
      <c r="F306" t="inlineStr">
        <is>
          <t>NF-e</t>
        </is>
      </c>
      <c r="G306" t="inlineStr">
        <is>
          <t>000036926</t>
        </is>
      </c>
      <c r="H306" t="inlineStr">
        <is>
          <t>COLAMID</t>
        </is>
      </c>
      <c r="I306" t="inlineStr">
        <is>
          <t>04.781.666/0001-85</t>
        </is>
      </c>
      <c r="J306" s="29" t="n">
        <v>50790</v>
      </c>
      <c r="K306" s="29">
        <f>(1-ISNUMBER(SEARCH("556",M306)))*(O306*SUMIFS(Premissas!$C$5:$C$44,Premissas!$A$5:$A$44,$A306,Premissas!$B$5:$B$44,$B306)+P306*SUMIFS(Premissas!$D$5:$D$44,Premissas!$A$5:$A$44,$A306,Premissas!$B$5:$B$44,$B306))+R306*SUMIFS(Premissas!$E$5:$E$44,Premissas!$A$5:$A$44,$A306,Premissas!$B$5:$B$44,$B306)+S306*SUMIFS(Premissas!$F$5:$F$44,Premissas!$A$5:$A$44,$A306,Premissas!$B$5:$B$44,$B306)</f>
        <v/>
      </c>
      <c r="L306" s="29">
        <f>J306-K306</f>
        <v/>
      </c>
      <c r="M306" t="inlineStr">
        <is>
          <t>1.556</t>
        </is>
      </c>
      <c r="O306" s="29" t="n">
        <v>0</v>
      </c>
      <c r="P306" s="29" t="n">
        <v>6094.8</v>
      </c>
      <c r="Q306" s="29" t="n">
        <v>0</v>
      </c>
      <c r="R306" s="29" t="n">
        <v>0</v>
      </c>
      <c r="S306" s="29" t="n">
        <v>0</v>
      </c>
      <c r="T306" t="inlineStr">
        <is>
          <t>26260304781666000185550010000369261616395610</t>
        </is>
      </c>
      <c r="U306" t="inlineStr">
        <is>
          <t>Sim</t>
        </is>
      </c>
    </row>
    <row r="307">
      <c r="A307" t="inlineStr">
        <is>
          <t>Insumos e papel</t>
        </is>
      </c>
      <c r="B307" t="inlineStr">
        <is>
          <t>2.01.96 Compra de Cola</t>
        </is>
      </c>
      <c r="C307" s="30" t="n">
        <v>46082</v>
      </c>
      <c r="D307" t="inlineStr">
        <is>
          <t>Em 2026</t>
        </is>
      </c>
      <c r="E307" s="28" t="n">
        <v>46083</v>
      </c>
      <c r="F307" t="inlineStr">
        <is>
          <t>NF-e</t>
        </is>
      </c>
      <c r="G307" t="inlineStr">
        <is>
          <t>000021295</t>
        </is>
      </c>
      <c r="H307" t="inlineStr">
        <is>
          <t>REQUIM PRODUTOS QUIMICOS LTDA</t>
        </is>
      </c>
      <c r="I307" t="inlineStr">
        <is>
          <t>06.935.804/0001-69</t>
        </is>
      </c>
      <c r="J307" s="29" t="n">
        <v>31500</v>
      </c>
      <c r="K307" s="29">
        <f>(1-ISNUMBER(SEARCH("556",M307)))*(O307*SUMIFS(Premissas!$C$5:$C$44,Premissas!$A$5:$A$44,$A307,Premissas!$B$5:$B$44,$B307)+P307*SUMIFS(Premissas!$D$5:$D$44,Premissas!$A$5:$A$44,$A307,Premissas!$B$5:$B$44,$B307))+R307*SUMIFS(Premissas!$E$5:$E$44,Premissas!$A$5:$A$44,$A307,Premissas!$B$5:$B$44,$B307)+S307*SUMIFS(Premissas!$F$5:$F$44,Premissas!$A$5:$A$44,$A307,Premissas!$B$5:$B$44,$B307)</f>
        <v/>
      </c>
      <c r="L307" s="29">
        <f>J307-K307</f>
        <v/>
      </c>
      <c r="M307" t="inlineStr">
        <is>
          <t>2.102</t>
        </is>
      </c>
      <c r="O307" s="29" t="n">
        <v>0</v>
      </c>
      <c r="P307" s="29" t="n">
        <v>1260</v>
      </c>
      <c r="Q307" s="29" t="n">
        <v>0</v>
      </c>
      <c r="R307" s="29" t="n">
        <v>196.56</v>
      </c>
      <c r="S307" s="29" t="n">
        <v>907.2</v>
      </c>
      <c r="T307" t="inlineStr">
        <is>
          <t>26260306935804000169550010000212951419339304</t>
        </is>
      </c>
      <c r="U307" t="inlineStr">
        <is>
          <t>Sim</t>
        </is>
      </c>
    </row>
    <row r="308">
      <c r="A308" t="inlineStr">
        <is>
          <t>Insumos e papel</t>
        </is>
      </c>
      <c r="B308" t="inlineStr">
        <is>
          <t>2.01.96 Compra de Cola</t>
        </is>
      </c>
      <c r="C308" s="30" t="n">
        <v>46082</v>
      </c>
      <c r="D308" t="inlineStr">
        <is>
          <t>Em 2026</t>
        </is>
      </c>
      <c r="E308" s="28" t="n">
        <v>46092</v>
      </c>
      <c r="F308" t="inlineStr">
        <is>
          <t>NF-e</t>
        </is>
      </c>
      <c r="G308" t="inlineStr">
        <is>
          <t>000021339</t>
        </is>
      </c>
      <c r="H308" t="inlineStr">
        <is>
          <t>REQUIM PRODUTOS QUIMICOS LTDA</t>
        </is>
      </c>
      <c r="I308" t="inlineStr">
        <is>
          <t>06.935.804/0001-69</t>
        </is>
      </c>
      <c r="J308" s="29" t="n">
        <v>22500</v>
      </c>
      <c r="K308" s="29">
        <f>(1-ISNUMBER(SEARCH("556",M308)))*(O308*SUMIFS(Premissas!$C$5:$C$44,Premissas!$A$5:$A$44,$A308,Premissas!$B$5:$B$44,$B308)+P308*SUMIFS(Premissas!$D$5:$D$44,Premissas!$A$5:$A$44,$A308,Premissas!$B$5:$B$44,$B308))+R308*SUMIFS(Premissas!$E$5:$E$44,Premissas!$A$5:$A$44,$A308,Premissas!$B$5:$B$44,$B308)+S308*SUMIFS(Premissas!$F$5:$F$44,Premissas!$A$5:$A$44,$A308,Premissas!$B$5:$B$44,$B308)</f>
        <v/>
      </c>
      <c r="L308" s="29">
        <f>J308-K308</f>
        <v/>
      </c>
      <c r="M308" t="inlineStr">
        <is>
          <t>2.102</t>
        </is>
      </c>
      <c r="O308" s="29" t="n">
        <v>0</v>
      </c>
      <c r="P308" s="29" t="n">
        <v>900</v>
      </c>
      <c r="Q308" s="29" t="n">
        <v>0</v>
      </c>
      <c r="R308" s="29" t="n">
        <v>140.4</v>
      </c>
      <c r="S308" s="29" t="n">
        <v>648</v>
      </c>
      <c r="T308" t="inlineStr">
        <is>
          <t>26260306935804000169550010000213391985489926</t>
        </is>
      </c>
      <c r="U308" t="inlineStr">
        <is>
          <t>Sim</t>
        </is>
      </c>
    </row>
    <row r="309">
      <c r="A309" t="inlineStr">
        <is>
          <t>Insumos e papel</t>
        </is>
      </c>
      <c r="B309" t="inlineStr">
        <is>
          <t>2.01.96 Compra de Cola</t>
        </is>
      </c>
      <c r="C309" s="30" t="n">
        <v>46113</v>
      </c>
      <c r="D309" t="inlineStr">
        <is>
          <t>Em 2026</t>
        </is>
      </c>
      <c r="E309" s="28" t="n">
        <v>46118</v>
      </c>
      <c r="F309" t="inlineStr">
        <is>
          <t>NF-e</t>
        </is>
      </c>
      <c r="G309" t="inlineStr">
        <is>
          <t>000037125</t>
        </is>
      </c>
      <c r="H309" t="inlineStr">
        <is>
          <t>COLAMID</t>
        </is>
      </c>
      <c r="I309" t="inlineStr">
        <is>
          <t>04.781.666/0001-85</t>
        </is>
      </c>
      <c r="J309" s="29" t="n">
        <v>50750</v>
      </c>
      <c r="K309" s="29">
        <f>(1-ISNUMBER(SEARCH("556",M309)))*(O309*SUMIFS(Premissas!$C$5:$C$44,Premissas!$A$5:$A$44,$A309,Premissas!$B$5:$B$44,$B309)+P309*SUMIFS(Premissas!$D$5:$D$44,Premissas!$A$5:$A$44,$A309,Premissas!$B$5:$B$44,$B309))+R309*SUMIFS(Premissas!$E$5:$E$44,Premissas!$A$5:$A$44,$A309,Premissas!$B$5:$B$44,$B309)+S309*SUMIFS(Premissas!$F$5:$F$44,Premissas!$A$5:$A$44,$A309,Premissas!$B$5:$B$44,$B309)</f>
        <v/>
      </c>
      <c r="L309" s="29">
        <f>J309-K309</f>
        <v/>
      </c>
      <c r="M309" t="inlineStr">
        <is>
          <t>2.101</t>
        </is>
      </c>
      <c r="O309" s="29" t="n">
        <v>0</v>
      </c>
      <c r="P309" s="29" t="n">
        <v>6090</v>
      </c>
      <c r="Q309" s="29" t="n">
        <v>0</v>
      </c>
      <c r="R309" s="29" t="n">
        <v>0</v>
      </c>
      <c r="S309" s="29" t="n">
        <v>0</v>
      </c>
      <c r="T309" t="inlineStr">
        <is>
          <t>26260404781666000185550010000371251611601902</t>
        </is>
      </c>
      <c r="U309" t="inlineStr">
        <is>
          <t>Sim</t>
        </is>
      </c>
    </row>
    <row r="310">
      <c r="A310" t="inlineStr">
        <is>
          <t>Insumos e papel</t>
        </is>
      </c>
      <c r="B310" t="inlineStr">
        <is>
          <t>2.01.96 Compra de Cola</t>
        </is>
      </c>
      <c r="C310" s="30" t="n">
        <v>46113</v>
      </c>
      <c r="D310" t="inlineStr">
        <is>
          <t>Em 2026</t>
        </is>
      </c>
      <c r="E310" s="28" t="n">
        <v>46136</v>
      </c>
      <c r="F310" t="inlineStr">
        <is>
          <t>NF-e</t>
        </is>
      </c>
      <c r="G310" t="inlineStr">
        <is>
          <t>000037276</t>
        </is>
      </c>
      <c r="H310" t="inlineStr">
        <is>
          <t>COLAMID</t>
        </is>
      </c>
      <c r="I310" t="inlineStr">
        <is>
          <t>04.781.666/0001-85</t>
        </is>
      </c>
      <c r="J310" s="29" t="n">
        <v>25340</v>
      </c>
      <c r="K310" s="29">
        <f>(1-ISNUMBER(SEARCH("556",M310)))*(O310*SUMIFS(Premissas!$C$5:$C$44,Premissas!$A$5:$A$44,$A310,Premissas!$B$5:$B$44,$B310)+P310*SUMIFS(Premissas!$D$5:$D$44,Premissas!$A$5:$A$44,$A310,Premissas!$B$5:$B$44,$B310))+R310*SUMIFS(Premissas!$E$5:$E$44,Premissas!$A$5:$A$44,$A310,Premissas!$B$5:$B$44,$B310)+S310*SUMIFS(Premissas!$F$5:$F$44,Premissas!$A$5:$A$44,$A310,Premissas!$B$5:$B$44,$B310)</f>
        <v/>
      </c>
      <c r="L310" s="29">
        <f>J310-K310</f>
        <v/>
      </c>
      <c r="M310" t="inlineStr">
        <is>
          <t>2.101</t>
        </is>
      </c>
      <c r="O310" s="29" t="n">
        <v>0</v>
      </c>
      <c r="P310" s="29" t="n">
        <v>3040.8</v>
      </c>
      <c r="Q310" s="29" t="n">
        <v>0</v>
      </c>
      <c r="R310" s="29" t="n">
        <v>0</v>
      </c>
      <c r="S310" s="29" t="n">
        <v>0</v>
      </c>
      <c r="T310" t="inlineStr">
        <is>
          <t>26260404781666000185550010000372761626426359</t>
        </is>
      </c>
      <c r="U310" t="inlineStr">
        <is>
          <t>Sim</t>
        </is>
      </c>
    </row>
    <row r="311">
      <c r="A311" t="inlineStr">
        <is>
          <t>Insumos e papel</t>
        </is>
      </c>
      <c r="B311" t="inlineStr">
        <is>
          <t>2.01.96 Compra de Cola</t>
        </is>
      </c>
      <c r="C311" s="30" t="n">
        <v>46113</v>
      </c>
      <c r="D311" t="inlineStr">
        <is>
          <t>Em 2026</t>
        </is>
      </c>
      <c r="E311" s="28" t="n">
        <v>46113</v>
      </c>
      <c r="F311" t="inlineStr">
        <is>
          <t>NF-e</t>
        </is>
      </c>
      <c r="G311" t="inlineStr">
        <is>
          <t>000021475</t>
        </is>
      </c>
      <c r="H311" t="inlineStr">
        <is>
          <t>REQUIM PRODUTOS QUIMICOS LTDA</t>
        </is>
      </c>
      <c r="I311" t="inlineStr">
        <is>
          <t>06.935.804/0001-69</t>
        </is>
      </c>
      <c r="J311" s="29" t="n">
        <v>54000</v>
      </c>
      <c r="K311" s="29">
        <f>(1-ISNUMBER(SEARCH("556",M311)))*(O311*SUMIFS(Premissas!$C$5:$C$44,Premissas!$A$5:$A$44,$A311,Premissas!$B$5:$B$44,$B311)+P311*SUMIFS(Premissas!$D$5:$D$44,Premissas!$A$5:$A$44,$A311,Premissas!$B$5:$B$44,$B311))+R311*SUMIFS(Premissas!$E$5:$E$44,Premissas!$A$5:$A$44,$A311,Premissas!$B$5:$B$44,$B311)+S311*SUMIFS(Premissas!$F$5:$F$44,Premissas!$A$5:$A$44,$A311,Premissas!$B$5:$B$44,$B311)</f>
        <v/>
      </c>
      <c r="L311" s="29">
        <f>J311-K311</f>
        <v/>
      </c>
      <c r="M311" t="inlineStr">
        <is>
          <t>2.101</t>
        </is>
      </c>
      <c r="O311" s="29" t="n">
        <v>0</v>
      </c>
      <c r="P311" s="29" t="n">
        <v>2160</v>
      </c>
      <c r="Q311" s="29" t="n">
        <v>0</v>
      </c>
      <c r="R311" s="29" t="n">
        <v>336.96</v>
      </c>
      <c r="S311" s="29" t="n">
        <v>1555.2</v>
      </c>
      <c r="T311" t="inlineStr">
        <is>
          <t>26260406935804000169550010000214751467922466</t>
        </is>
      </c>
      <c r="U311" t="inlineStr">
        <is>
          <t>Sim</t>
        </is>
      </c>
    </row>
    <row r="312">
      <c r="A312" t="inlineStr">
        <is>
          <t>Insumos e papel</t>
        </is>
      </c>
      <c r="B312" t="inlineStr">
        <is>
          <t>2.01.96 Compra de Cola</t>
        </is>
      </c>
      <c r="C312" s="30" t="n">
        <v>46143</v>
      </c>
      <c r="D312" t="inlineStr">
        <is>
          <t>Em 2026</t>
        </is>
      </c>
      <c r="E312" s="28" t="n">
        <v>46148</v>
      </c>
      <c r="F312" t="inlineStr">
        <is>
          <t>NF-e</t>
        </is>
      </c>
      <c r="G312" t="inlineStr">
        <is>
          <t>000037359</t>
        </is>
      </c>
      <c r="H312" t="inlineStr">
        <is>
          <t>COLAMID</t>
        </is>
      </c>
      <c r="I312" t="inlineStr">
        <is>
          <t>04.781.666/0001-85</t>
        </is>
      </c>
      <c r="J312" s="29" t="n">
        <v>7270</v>
      </c>
      <c r="K312" s="29">
        <f>(1-ISNUMBER(SEARCH("556",M312)))*(O312*SUMIFS(Premissas!$C$5:$C$44,Premissas!$A$5:$A$44,$A312,Premissas!$B$5:$B$44,$B312)+P312*SUMIFS(Premissas!$D$5:$D$44,Premissas!$A$5:$A$44,$A312,Premissas!$B$5:$B$44,$B312))+R312*SUMIFS(Premissas!$E$5:$E$44,Premissas!$A$5:$A$44,$A312,Premissas!$B$5:$B$44,$B312)+S312*SUMIFS(Premissas!$F$5:$F$44,Premissas!$A$5:$A$44,$A312,Premissas!$B$5:$B$44,$B312)</f>
        <v/>
      </c>
      <c r="L312" s="29">
        <f>J312-K312</f>
        <v/>
      </c>
      <c r="M312" t="inlineStr">
        <is>
          <t>2.101</t>
        </is>
      </c>
      <c r="O312" s="29" t="n">
        <v>0</v>
      </c>
      <c r="P312" s="29" t="n">
        <v>872.4</v>
      </c>
      <c r="Q312" s="29" t="n">
        <v>0</v>
      </c>
      <c r="R312" s="29" t="n">
        <v>0</v>
      </c>
      <c r="S312" s="29" t="n">
        <v>0</v>
      </c>
      <c r="T312" t="inlineStr">
        <is>
          <t>26260504781666000185550010000373591466067958</t>
        </is>
      </c>
      <c r="U312" t="inlineStr">
        <is>
          <t>Sim</t>
        </is>
      </c>
    </row>
    <row r="313">
      <c r="A313" t="inlineStr">
        <is>
          <t>Insumos e papel</t>
        </is>
      </c>
      <c r="B313" t="inlineStr">
        <is>
          <t>2.01.96 Compra de Cola</t>
        </is>
      </c>
      <c r="C313" s="30" t="n">
        <v>46143</v>
      </c>
      <c r="D313" t="inlineStr">
        <is>
          <t>Em 2026</t>
        </is>
      </c>
      <c r="E313" s="28" t="n">
        <v>46149</v>
      </c>
      <c r="F313" t="inlineStr">
        <is>
          <t>NF-e</t>
        </is>
      </c>
      <c r="G313" t="inlineStr">
        <is>
          <t>000037369</t>
        </is>
      </c>
      <c r="H313" t="inlineStr">
        <is>
          <t>COLAMID</t>
        </is>
      </c>
      <c r="I313" t="inlineStr">
        <is>
          <t>04.781.666/0001-85</t>
        </is>
      </c>
      <c r="J313" s="29" t="n">
        <v>57950</v>
      </c>
      <c r="K313" s="29">
        <f>(1-ISNUMBER(SEARCH("556",M313)))*(O313*SUMIFS(Premissas!$C$5:$C$44,Premissas!$A$5:$A$44,$A313,Premissas!$B$5:$B$44,$B313)+P313*SUMIFS(Premissas!$D$5:$D$44,Premissas!$A$5:$A$44,$A313,Premissas!$B$5:$B$44,$B313))+R313*SUMIFS(Premissas!$E$5:$E$44,Premissas!$A$5:$A$44,$A313,Premissas!$B$5:$B$44,$B313)+S313*SUMIFS(Premissas!$F$5:$F$44,Premissas!$A$5:$A$44,$A313,Premissas!$B$5:$B$44,$B313)</f>
        <v/>
      </c>
      <c r="L313" s="29">
        <f>J313-K313</f>
        <v/>
      </c>
      <c r="M313" t="inlineStr">
        <is>
          <t>2.101</t>
        </is>
      </c>
      <c r="O313" s="29" t="n">
        <v>0</v>
      </c>
      <c r="P313" s="29" t="n">
        <v>6954</v>
      </c>
      <c r="Q313" s="29" t="n">
        <v>0</v>
      </c>
      <c r="R313" s="29" t="n">
        <v>0</v>
      </c>
      <c r="S313" s="29" t="n">
        <v>0</v>
      </c>
      <c r="T313" t="inlineStr">
        <is>
          <t>26260504781666000185550010000373691309226109</t>
        </is>
      </c>
      <c r="U313" t="inlineStr">
        <is>
          <t>Sim</t>
        </is>
      </c>
    </row>
    <row r="314">
      <c r="A314" t="inlineStr">
        <is>
          <t>Insumos e papel</t>
        </is>
      </c>
      <c r="B314" t="inlineStr">
        <is>
          <t>2.01.96 Compra de Cola</t>
        </is>
      </c>
      <c r="C314" s="30" t="n">
        <v>46143</v>
      </c>
      <c r="D314" t="inlineStr">
        <is>
          <t>Em 2026</t>
        </is>
      </c>
      <c r="E314" s="28" t="n">
        <v>46155</v>
      </c>
      <c r="F314" t="inlineStr">
        <is>
          <t>NF-e</t>
        </is>
      </c>
      <c r="G314" t="inlineStr">
        <is>
          <t>000037404</t>
        </is>
      </c>
      <c r="H314" t="inlineStr">
        <is>
          <t>COLAMID</t>
        </is>
      </c>
      <c r="I314" t="inlineStr">
        <is>
          <t>04.781.666/0001-85</t>
        </is>
      </c>
      <c r="J314" s="29" t="n">
        <v>29010</v>
      </c>
      <c r="K314" s="29">
        <f>(1-ISNUMBER(SEARCH("556",M314)))*(O314*SUMIFS(Premissas!$C$5:$C$44,Premissas!$A$5:$A$44,$A314,Premissas!$B$5:$B$44,$B314)+P314*SUMIFS(Premissas!$D$5:$D$44,Premissas!$A$5:$A$44,$A314,Premissas!$B$5:$B$44,$B314))+R314*SUMIFS(Premissas!$E$5:$E$44,Premissas!$A$5:$A$44,$A314,Premissas!$B$5:$B$44,$B314)+S314*SUMIFS(Premissas!$F$5:$F$44,Premissas!$A$5:$A$44,$A314,Premissas!$B$5:$B$44,$B314)</f>
        <v/>
      </c>
      <c r="L314" s="29">
        <f>J314-K314</f>
        <v/>
      </c>
      <c r="M314" t="inlineStr">
        <is>
          <t>2.101</t>
        </is>
      </c>
      <c r="O314" s="29" t="n">
        <v>0</v>
      </c>
      <c r="P314" s="29" t="n">
        <v>3481.2</v>
      </c>
      <c r="Q314" s="29" t="n">
        <v>0</v>
      </c>
      <c r="R314" s="29" t="n">
        <v>0</v>
      </c>
      <c r="S314" s="29" t="n">
        <v>0</v>
      </c>
      <c r="T314" t="inlineStr">
        <is>
          <t>26260504781666000185550010000374041783140040</t>
        </is>
      </c>
      <c r="U314" t="inlineStr">
        <is>
          <t>Sim</t>
        </is>
      </c>
    </row>
    <row r="315">
      <c r="A315" t="inlineStr">
        <is>
          <t>Insumos e papel</t>
        </is>
      </c>
      <c r="B315" t="inlineStr">
        <is>
          <t>2.01.96 Compra de Cola</t>
        </is>
      </c>
      <c r="C315" s="30" t="n">
        <v>46143</v>
      </c>
      <c r="D315" t="inlineStr">
        <is>
          <t>Em 2026</t>
        </is>
      </c>
      <c r="E315" s="28" t="n">
        <v>46171</v>
      </c>
      <c r="F315" t="inlineStr">
        <is>
          <t>NF-e</t>
        </is>
      </c>
      <c r="G315" t="inlineStr">
        <is>
          <t>000037532</t>
        </is>
      </c>
      <c r="H315" t="inlineStr">
        <is>
          <t>COLAMID</t>
        </is>
      </c>
      <c r="I315" t="inlineStr">
        <is>
          <t>04.781.666/0001-85</t>
        </is>
      </c>
      <c r="J315" s="29" t="n">
        <v>79450</v>
      </c>
      <c r="K315" s="29">
        <f>(1-ISNUMBER(SEARCH("556",M315)))*(O315*SUMIFS(Premissas!$C$5:$C$44,Premissas!$A$5:$A$44,$A315,Premissas!$B$5:$B$44,$B315)+P315*SUMIFS(Premissas!$D$5:$D$44,Premissas!$A$5:$A$44,$A315,Premissas!$B$5:$B$44,$B315))+R315*SUMIFS(Premissas!$E$5:$E$44,Premissas!$A$5:$A$44,$A315,Premissas!$B$5:$B$44,$B315)+S315*SUMIFS(Premissas!$F$5:$F$44,Premissas!$A$5:$A$44,$A315,Premissas!$B$5:$B$44,$B315)</f>
        <v/>
      </c>
      <c r="L315" s="29">
        <f>J315-K315</f>
        <v/>
      </c>
      <c r="M315" t="inlineStr">
        <is>
          <t>2.101</t>
        </is>
      </c>
      <c r="O315" s="29" t="n">
        <v>0</v>
      </c>
      <c r="P315" s="29" t="n">
        <v>9534</v>
      </c>
      <c r="Q315" s="29" t="n">
        <v>0</v>
      </c>
      <c r="R315" s="29" t="n">
        <v>0</v>
      </c>
      <c r="S315" s="29" t="n">
        <v>0</v>
      </c>
      <c r="T315" t="inlineStr">
        <is>
          <t>26260504781666000185550010000375321404440210</t>
        </is>
      </c>
      <c r="U315" t="inlineStr">
        <is>
          <t>Sim</t>
        </is>
      </c>
    </row>
    <row r="316">
      <c r="A316" t="inlineStr">
        <is>
          <t>Insumos e papel</t>
        </is>
      </c>
      <c r="B316" t="inlineStr">
        <is>
          <t>2.01.96 Compra de Cola</t>
        </is>
      </c>
      <c r="C316" s="30" t="n">
        <v>46143</v>
      </c>
      <c r="D316" t="inlineStr">
        <is>
          <t>Em 2026</t>
        </is>
      </c>
      <c r="E316" s="28" t="n">
        <v>46156</v>
      </c>
      <c r="F316" t="inlineStr">
        <is>
          <t>NF-e</t>
        </is>
      </c>
      <c r="G316" t="inlineStr">
        <is>
          <t>000021736</t>
        </is>
      </c>
      <c r="H316" t="inlineStr">
        <is>
          <t>REQUIM PRODUTOS QUIMICOS LTDA</t>
        </is>
      </c>
      <c r="I316" t="inlineStr">
        <is>
          <t>06.935.804/0001-69</t>
        </is>
      </c>
      <c r="J316" s="29" t="n">
        <v>59400</v>
      </c>
      <c r="K316" s="29">
        <f>(1-ISNUMBER(SEARCH("556",M316)))*(O316*SUMIFS(Premissas!$C$5:$C$44,Premissas!$A$5:$A$44,$A316,Premissas!$B$5:$B$44,$B316)+P316*SUMIFS(Premissas!$D$5:$D$44,Premissas!$A$5:$A$44,$A316,Premissas!$B$5:$B$44,$B316))+R316*SUMIFS(Premissas!$E$5:$E$44,Premissas!$A$5:$A$44,$A316,Premissas!$B$5:$B$44,$B316)+S316*SUMIFS(Premissas!$F$5:$F$44,Premissas!$A$5:$A$44,$A316,Premissas!$B$5:$B$44,$B316)</f>
        <v/>
      </c>
      <c r="L316" s="29">
        <f>J316-K316</f>
        <v/>
      </c>
      <c r="M316" t="inlineStr">
        <is>
          <t>2.101</t>
        </is>
      </c>
      <c r="O316" s="29" t="n">
        <v>0</v>
      </c>
      <c r="P316" s="29" t="n">
        <v>2376</v>
      </c>
      <c r="Q316" s="29" t="n">
        <v>0</v>
      </c>
      <c r="R316" s="29" t="n">
        <v>370.66</v>
      </c>
      <c r="S316" s="29" t="n">
        <v>1710.72</v>
      </c>
      <c r="T316" t="inlineStr">
        <is>
          <t>26260506935804000169550010000217361683634602</t>
        </is>
      </c>
      <c r="U316" t="inlineStr">
        <is>
          <t>Sim</t>
        </is>
      </c>
    </row>
    <row r="317">
      <c r="A317" t="inlineStr">
        <is>
          <t>Insumos e papel</t>
        </is>
      </c>
      <c r="B317" t="inlineStr">
        <is>
          <t>2.01.96 Compra de Cola</t>
        </is>
      </c>
      <c r="C317" s="30" t="n">
        <v>46174</v>
      </c>
      <c r="D317" t="inlineStr">
        <is>
          <t>Em 2026</t>
        </is>
      </c>
      <c r="E317" s="28" t="n">
        <v>46175</v>
      </c>
      <c r="F317" t="inlineStr">
        <is>
          <t>NF-e</t>
        </is>
      </c>
      <c r="G317" t="inlineStr">
        <is>
          <t>000037546</t>
        </is>
      </c>
      <c r="H317" t="inlineStr">
        <is>
          <t>COLAMID</t>
        </is>
      </c>
      <c r="I317" t="inlineStr">
        <is>
          <t>04.781.666/0001-85</t>
        </is>
      </c>
      <c r="J317" s="29" t="n">
        <v>35200</v>
      </c>
      <c r="K317" s="29">
        <f>(1-ISNUMBER(SEARCH("556",M317)))*(O317*SUMIFS(Premissas!$C$5:$C$44,Premissas!$A$5:$A$44,$A317,Premissas!$B$5:$B$44,$B317)+P317*SUMIFS(Premissas!$D$5:$D$44,Premissas!$A$5:$A$44,$A317,Premissas!$B$5:$B$44,$B317))+R317*SUMIFS(Premissas!$E$5:$E$44,Premissas!$A$5:$A$44,$A317,Premissas!$B$5:$B$44,$B317)+S317*SUMIFS(Premissas!$F$5:$F$44,Premissas!$A$5:$A$44,$A317,Premissas!$B$5:$B$44,$B317)</f>
        <v/>
      </c>
      <c r="L317" s="29">
        <f>J317-K317</f>
        <v/>
      </c>
      <c r="M317" t="inlineStr">
        <is>
          <t>2.101</t>
        </is>
      </c>
      <c r="O317" s="29" t="n">
        <v>0</v>
      </c>
      <c r="P317" s="29" t="n">
        <v>4224</v>
      </c>
      <c r="Q317" s="29" t="n">
        <v>0</v>
      </c>
      <c r="R317" s="29" t="n">
        <v>0</v>
      </c>
      <c r="S317" s="29" t="n">
        <v>0</v>
      </c>
      <c r="T317" t="inlineStr">
        <is>
          <t>26260604781666000185550010000375461652873345</t>
        </is>
      </c>
      <c r="U317" t="inlineStr">
        <is>
          <t>Sim</t>
        </is>
      </c>
    </row>
    <row r="318">
      <c r="A318" t="inlineStr">
        <is>
          <t>Insumos e papel</t>
        </is>
      </c>
      <c r="B318" t="inlineStr">
        <is>
          <t>2.01.96 Compra de Cola</t>
        </is>
      </c>
      <c r="C318" s="30" t="n">
        <v>46174</v>
      </c>
      <c r="D318" t="inlineStr">
        <is>
          <t>Em 2026</t>
        </is>
      </c>
      <c r="E318" s="28" t="n">
        <v>46198</v>
      </c>
      <c r="F318" t="inlineStr">
        <is>
          <t>NF-e</t>
        </is>
      </c>
      <c r="G318" t="inlineStr">
        <is>
          <t>000021967</t>
        </is>
      </c>
      <c r="H318" t="inlineStr">
        <is>
          <t>REQUIM PRODUTOS QUIMICOS LTDA</t>
        </is>
      </c>
      <c r="I318" t="inlineStr">
        <is>
          <t>06.935.804/0001-69</t>
        </is>
      </c>
      <c r="J318" s="29" t="n">
        <v>59400</v>
      </c>
      <c r="K318" s="29">
        <f>(1-ISNUMBER(SEARCH("556",M318)))*(O318*SUMIFS(Premissas!$C$5:$C$44,Premissas!$A$5:$A$44,$A318,Premissas!$B$5:$B$44,$B318)+P318*SUMIFS(Premissas!$D$5:$D$44,Premissas!$A$5:$A$44,$A318,Premissas!$B$5:$B$44,$B318))+R318*SUMIFS(Premissas!$E$5:$E$44,Premissas!$A$5:$A$44,$A318,Premissas!$B$5:$B$44,$B318)+S318*SUMIFS(Premissas!$F$5:$F$44,Premissas!$A$5:$A$44,$A318,Premissas!$B$5:$B$44,$B318)</f>
        <v/>
      </c>
      <c r="L318" s="29">
        <f>J318-K318</f>
        <v/>
      </c>
      <c r="M318" t="inlineStr">
        <is>
          <t>2.101</t>
        </is>
      </c>
      <c r="O318" s="29" t="n">
        <v>0</v>
      </c>
      <c r="P318" s="29" t="n">
        <v>2376</v>
      </c>
      <c r="Q318" s="29" t="n">
        <v>0</v>
      </c>
      <c r="R318" s="29" t="n">
        <v>370.66</v>
      </c>
      <c r="S318" s="29" t="n">
        <v>1710.72</v>
      </c>
      <c r="T318" t="inlineStr">
        <is>
          <t>26260606935804000169550010000219671585697813</t>
        </is>
      </c>
      <c r="U318" t="inlineStr">
        <is>
          <t>Sim</t>
        </is>
      </c>
    </row>
    <row r="319">
      <c r="A319" t="inlineStr">
        <is>
          <t>Insumos e papel</t>
        </is>
      </c>
      <c r="B319" t="inlineStr">
        <is>
          <t>2.01.96 Compra de Cola</t>
        </is>
      </c>
      <c r="C319" s="30" t="n">
        <v>46204</v>
      </c>
      <c r="D319" t="inlineStr">
        <is>
          <t>Em 2026</t>
        </is>
      </c>
      <c r="E319" s="28" t="n">
        <v>46204</v>
      </c>
      <c r="F319" t="inlineStr">
        <is>
          <t>NF-e</t>
        </is>
      </c>
      <c r="G319" t="inlineStr">
        <is>
          <t>000037748</t>
        </is>
      </c>
      <c r="H319" t="inlineStr">
        <is>
          <t>COLAMID</t>
        </is>
      </c>
      <c r="I319" t="inlineStr">
        <is>
          <t>04.781.666/0001-85</t>
        </is>
      </c>
      <c r="J319" s="29" t="n">
        <v>44250</v>
      </c>
      <c r="K319" s="29">
        <f>(1-ISNUMBER(SEARCH("556",M319)))*(O319*SUMIFS(Premissas!$C$5:$C$44,Premissas!$A$5:$A$44,$A319,Premissas!$B$5:$B$44,$B319)+P319*SUMIFS(Premissas!$D$5:$D$44,Premissas!$A$5:$A$44,$A319,Premissas!$B$5:$B$44,$B319))+R319*SUMIFS(Premissas!$E$5:$E$44,Premissas!$A$5:$A$44,$A319,Premissas!$B$5:$B$44,$B319)+S319*SUMIFS(Premissas!$F$5:$F$44,Premissas!$A$5:$A$44,$A319,Premissas!$B$5:$B$44,$B319)</f>
        <v/>
      </c>
      <c r="L319" s="29">
        <f>J319-K319</f>
        <v/>
      </c>
      <c r="M319" t="inlineStr">
        <is>
          <t>2.101</t>
        </is>
      </c>
      <c r="O319" s="29" t="n">
        <v>0</v>
      </c>
      <c r="P319" s="29" t="n">
        <v>5310</v>
      </c>
      <c r="Q319" s="29" t="n">
        <v>0</v>
      </c>
      <c r="R319" s="29" t="n">
        <v>0</v>
      </c>
      <c r="S319" s="29" t="n">
        <v>0</v>
      </c>
      <c r="T319" t="inlineStr">
        <is>
          <t>26260704781666000185550010000377481497975525</t>
        </is>
      </c>
      <c r="U319" t="inlineStr">
        <is>
          <t>Sim</t>
        </is>
      </c>
    </row>
    <row r="320">
      <c r="A320" t="inlineStr">
        <is>
          <t>Insumos e papel</t>
        </is>
      </c>
      <c r="B320" t="inlineStr">
        <is>
          <t>2.01.96 Compra de Cola</t>
        </is>
      </c>
      <c r="C320" s="30" t="n">
        <v>46204</v>
      </c>
      <c r="D320" t="inlineStr">
        <is>
          <t>Em 2026</t>
        </is>
      </c>
      <c r="E320" s="28" t="n">
        <v>46204</v>
      </c>
      <c r="F320" t="inlineStr">
        <is>
          <t>NF-e</t>
        </is>
      </c>
      <c r="G320" t="inlineStr">
        <is>
          <t>000037749</t>
        </is>
      </c>
      <c r="H320" t="inlineStr">
        <is>
          <t>COLAMID</t>
        </is>
      </c>
      <c r="I320" t="inlineStr">
        <is>
          <t>04.781.666/0001-85</t>
        </is>
      </c>
      <c r="J320" s="29" t="n">
        <v>26250</v>
      </c>
      <c r="K320" s="29">
        <f>(1-ISNUMBER(SEARCH("556",M320)))*(O320*SUMIFS(Premissas!$C$5:$C$44,Premissas!$A$5:$A$44,$A320,Premissas!$B$5:$B$44,$B320)+P320*SUMIFS(Premissas!$D$5:$D$44,Premissas!$A$5:$A$44,$A320,Premissas!$B$5:$B$44,$B320))+R320*SUMIFS(Premissas!$E$5:$E$44,Premissas!$A$5:$A$44,$A320,Premissas!$B$5:$B$44,$B320)+S320*SUMIFS(Premissas!$F$5:$F$44,Premissas!$A$5:$A$44,$A320,Premissas!$B$5:$B$44,$B320)</f>
        <v/>
      </c>
      <c r="L320" s="29">
        <f>J320-K320</f>
        <v/>
      </c>
      <c r="M320" t="inlineStr">
        <is>
          <t>2.101</t>
        </is>
      </c>
      <c r="O320" s="29" t="n">
        <v>0</v>
      </c>
      <c r="P320" s="29" t="n">
        <v>3150</v>
      </c>
      <c r="Q320" s="29" t="n">
        <v>0</v>
      </c>
      <c r="R320" s="29" t="n">
        <v>0</v>
      </c>
      <c r="S320" s="29" t="n">
        <v>0</v>
      </c>
      <c r="T320" t="inlineStr">
        <is>
          <t>26260704781666000185550010000377491436360404</t>
        </is>
      </c>
      <c r="U320" t="inlineStr">
        <is>
          <t>Sim</t>
        </is>
      </c>
    </row>
    <row r="321">
      <c r="A321" t="inlineStr">
        <is>
          <t>Insumos e papel</t>
        </is>
      </c>
      <c r="B321" t="inlineStr">
        <is>
          <t>2.01.96 Compra de Cola</t>
        </is>
      </c>
      <c r="C321" s="30" t="n">
        <v>46204</v>
      </c>
      <c r="D321" t="inlineStr">
        <is>
          <t>Em 2026</t>
        </is>
      </c>
      <c r="E321" s="28" t="n">
        <v>46205</v>
      </c>
      <c r="F321" t="inlineStr">
        <is>
          <t>NF-e</t>
        </is>
      </c>
      <c r="G321" t="inlineStr">
        <is>
          <t>000037756</t>
        </is>
      </c>
      <c r="H321" t="inlineStr">
        <is>
          <t>COLAMID</t>
        </is>
      </c>
      <c r="I321" t="inlineStr">
        <is>
          <t>04.781.666/0001-85</t>
        </is>
      </c>
      <c r="J321" s="29" t="n">
        <v>44150</v>
      </c>
      <c r="K321" s="29">
        <f>(1-ISNUMBER(SEARCH("556",M321)))*(O321*SUMIFS(Premissas!$C$5:$C$44,Premissas!$A$5:$A$44,$A321,Premissas!$B$5:$B$44,$B321)+P321*SUMIFS(Premissas!$D$5:$D$44,Premissas!$A$5:$A$44,$A321,Premissas!$B$5:$B$44,$B321))+R321*SUMIFS(Premissas!$E$5:$E$44,Premissas!$A$5:$A$44,$A321,Premissas!$B$5:$B$44,$B321)+S321*SUMIFS(Premissas!$F$5:$F$44,Premissas!$A$5:$A$44,$A321,Premissas!$B$5:$B$44,$B321)</f>
        <v/>
      </c>
      <c r="L321" s="29">
        <f>J321-K321</f>
        <v/>
      </c>
      <c r="M321" t="inlineStr">
        <is>
          <t>2.101</t>
        </is>
      </c>
      <c r="O321" s="29" t="n">
        <v>0</v>
      </c>
      <c r="P321" s="29" t="n">
        <v>5298</v>
      </c>
      <c r="Q321" s="29" t="n">
        <v>0</v>
      </c>
      <c r="R321" s="29" t="n">
        <v>0</v>
      </c>
      <c r="S321" s="29" t="n">
        <v>0</v>
      </c>
      <c r="T321" t="inlineStr">
        <is>
          <t>26260704781666000185550010000377561997496784</t>
        </is>
      </c>
      <c r="U321" t="inlineStr">
        <is>
          <t>Sim</t>
        </is>
      </c>
    </row>
    <row r="322">
      <c r="A322" t="inlineStr">
        <is>
          <t>Insumos e papel</t>
        </is>
      </c>
      <c r="B322" t="inlineStr">
        <is>
          <t>2.01.96 Compra de Cola</t>
        </is>
      </c>
      <c r="C322" s="30" t="n">
        <v>46204</v>
      </c>
      <c r="D322" t="inlineStr">
        <is>
          <t>Em 2026</t>
        </is>
      </c>
      <c r="E322" s="28" t="n">
        <v>46230</v>
      </c>
      <c r="F322" t="inlineStr">
        <is>
          <t>NF-e</t>
        </is>
      </c>
      <c r="G322" t="inlineStr">
        <is>
          <t>000037927</t>
        </is>
      </c>
      <c r="H322" t="inlineStr">
        <is>
          <t>COLAMID</t>
        </is>
      </c>
      <c r="I322" t="inlineStr">
        <is>
          <t>04.781.666/0001-85</t>
        </is>
      </c>
      <c r="J322" s="29" t="n">
        <v>105900</v>
      </c>
      <c r="K322" s="29">
        <f>(1-ISNUMBER(SEARCH("556",M322)))*(O322*SUMIFS(Premissas!$C$5:$C$44,Premissas!$A$5:$A$44,$A322,Premissas!$B$5:$B$44,$B322)+P322*SUMIFS(Premissas!$D$5:$D$44,Premissas!$A$5:$A$44,$A322,Premissas!$B$5:$B$44,$B322))+R322*SUMIFS(Premissas!$E$5:$E$44,Premissas!$A$5:$A$44,$A322,Premissas!$B$5:$B$44,$B322)+S322*SUMIFS(Premissas!$F$5:$F$44,Premissas!$A$5:$A$44,$A322,Premissas!$B$5:$B$44,$B322)</f>
        <v/>
      </c>
      <c r="L322" s="29">
        <f>J322-K322</f>
        <v/>
      </c>
      <c r="M322" t="inlineStr">
        <is>
          <t>2.101</t>
        </is>
      </c>
      <c r="O322" s="29" t="n">
        <v>0</v>
      </c>
      <c r="P322" s="29" t="n">
        <v>12708</v>
      </c>
      <c r="Q322" s="29" t="n">
        <v>0</v>
      </c>
      <c r="R322" s="29" t="n">
        <v>0</v>
      </c>
      <c r="S322" s="29" t="n">
        <v>0</v>
      </c>
      <c r="T322" t="inlineStr">
        <is>
          <t>26260704781666000185550010000379271351910489</t>
        </is>
      </c>
      <c r="U322" t="inlineStr">
        <is>
          <t>Sim</t>
        </is>
      </c>
    </row>
    <row r="323">
      <c r="A323" t="inlineStr">
        <is>
          <t>Insumos e papel</t>
        </is>
      </c>
      <c r="B323" t="inlineStr">
        <is>
          <t>2.01.96 Compra de Cola</t>
        </is>
      </c>
      <c r="C323" s="30" t="n">
        <v>46204</v>
      </c>
      <c r="D323" t="inlineStr">
        <is>
          <t>Em 2026</t>
        </is>
      </c>
      <c r="E323" s="28" t="n">
        <v>46232</v>
      </c>
      <c r="F323" t="inlineStr">
        <is>
          <t>NF-e</t>
        </is>
      </c>
      <c r="G323" t="inlineStr">
        <is>
          <t>000037954</t>
        </is>
      </c>
      <c r="H323" t="inlineStr">
        <is>
          <t>COLAMID</t>
        </is>
      </c>
      <c r="I323" t="inlineStr">
        <is>
          <t>04.781.666/0001-85</t>
        </is>
      </c>
      <c r="J323" s="29" t="n">
        <v>10320</v>
      </c>
      <c r="K323" s="29">
        <f>(1-ISNUMBER(SEARCH("556",M323)))*(O323*SUMIFS(Premissas!$C$5:$C$44,Premissas!$A$5:$A$44,$A323,Premissas!$B$5:$B$44,$B323)+P323*SUMIFS(Premissas!$D$5:$D$44,Premissas!$A$5:$A$44,$A323,Premissas!$B$5:$B$44,$B323))+R323*SUMIFS(Premissas!$E$5:$E$44,Premissas!$A$5:$A$44,$A323,Premissas!$B$5:$B$44,$B323)+S323*SUMIFS(Premissas!$F$5:$F$44,Premissas!$A$5:$A$44,$A323,Premissas!$B$5:$B$44,$B323)</f>
        <v/>
      </c>
      <c r="L323" s="29">
        <f>J323-K323</f>
        <v/>
      </c>
      <c r="M323" t="inlineStr">
        <is>
          <t>2.102</t>
        </is>
      </c>
      <c r="O323" s="29" t="n">
        <v>0</v>
      </c>
      <c r="P323" s="29" t="n">
        <v>1238.4</v>
      </c>
      <c r="Q323" s="29" t="n">
        <v>0</v>
      </c>
      <c r="R323" s="29" t="n">
        <v>0</v>
      </c>
      <c r="S323" s="29" t="n">
        <v>0</v>
      </c>
      <c r="T323" t="inlineStr">
        <is>
          <t>26260704781666000185550010000379541844716750</t>
        </is>
      </c>
      <c r="U323" t="inlineStr">
        <is>
          <t>Sim</t>
        </is>
      </c>
    </row>
    <row r="324">
      <c r="A324" t="inlineStr">
        <is>
          <t>Insumos e papel</t>
        </is>
      </c>
      <c r="B324" t="inlineStr">
        <is>
          <t>2.01.96 Compra de Cola</t>
        </is>
      </c>
      <c r="C324" s="30" t="n">
        <v>46204</v>
      </c>
      <c r="D324" t="inlineStr">
        <is>
          <t>Em 2026</t>
        </is>
      </c>
      <c r="E324" s="28" t="n">
        <v>46230</v>
      </c>
      <c r="F324" t="inlineStr">
        <is>
          <t>NF-e</t>
        </is>
      </c>
      <c r="G324" t="inlineStr">
        <is>
          <t>000022158</t>
        </is>
      </c>
      <c r="H324" t="inlineStr">
        <is>
          <t>REQUIM PRODUTOS QUIMICOS LTDA</t>
        </is>
      </c>
      <c r="I324" t="inlineStr">
        <is>
          <t>06.935.804/0001-69</t>
        </is>
      </c>
      <c r="J324" s="29" t="n">
        <v>41580</v>
      </c>
      <c r="K324" s="29">
        <f>(1-ISNUMBER(SEARCH("556",M324)))*(O324*SUMIFS(Premissas!$C$5:$C$44,Premissas!$A$5:$A$44,$A324,Premissas!$B$5:$B$44,$B324)+P324*SUMIFS(Premissas!$D$5:$D$44,Premissas!$A$5:$A$44,$A324,Premissas!$B$5:$B$44,$B324))+R324*SUMIFS(Premissas!$E$5:$E$44,Premissas!$A$5:$A$44,$A324,Premissas!$B$5:$B$44,$B324)+S324*SUMIFS(Premissas!$F$5:$F$44,Premissas!$A$5:$A$44,$A324,Premissas!$B$5:$B$44,$B324)</f>
        <v/>
      </c>
      <c r="L324" s="29">
        <f>J324-K324</f>
        <v/>
      </c>
      <c r="M324" t="inlineStr">
        <is>
          <t>2.101</t>
        </is>
      </c>
      <c r="O324" s="29" t="n">
        <v>0</v>
      </c>
      <c r="P324" s="29" t="n">
        <v>1663.2</v>
      </c>
      <c r="Q324" s="29" t="n">
        <v>0</v>
      </c>
      <c r="R324" s="29" t="n">
        <v>259.46</v>
      </c>
      <c r="S324" s="29" t="n">
        <v>1197.5</v>
      </c>
      <c r="T324" t="inlineStr">
        <is>
          <t>26260706935804000169550010000221581561971945</t>
        </is>
      </c>
      <c r="U324" t="inlineStr">
        <is>
          <t>Sim</t>
        </is>
      </c>
    </row>
    <row r="325">
      <c r="A325" t="inlineStr">
        <is>
          <t>Insumos e papel</t>
        </is>
      </c>
      <c r="B325" t="inlineStr">
        <is>
          <t>2.01.96 Compra de Cola</t>
        </is>
      </c>
      <c r="C325" s="30" t="n">
        <v>46235</v>
      </c>
      <c r="D325" t="inlineStr">
        <is>
          <t>Em 2026</t>
        </is>
      </c>
      <c r="E325" s="28" t="n">
        <v>46259</v>
      </c>
      <c r="F325" t="inlineStr">
        <is>
          <t>NF-e</t>
        </is>
      </c>
      <c r="G325" t="inlineStr">
        <is>
          <t>000038161</t>
        </is>
      </c>
      <c r="H325" t="inlineStr">
        <is>
          <t>COLAMID</t>
        </is>
      </c>
      <c r="I325" t="inlineStr">
        <is>
          <t>04.781.666/0001-85</t>
        </is>
      </c>
      <c r="J325" s="29" t="n">
        <v>57325</v>
      </c>
      <c r="K325" s="29">
        <f>(1-ISNUMBER(SEARCH("556",M325)))*(O325*SUMIFS(Premissas!$C$5:$C$44,Premissas!$A$5:$A$44,$A325,Premissas!$B$5:$B$44,$B325)+P325*SUMIFS(Premissas!$D$5:$D$44,Premissas!$A$5:$A$44,$A325,Premissas!$B$5:$B$44,$B325))+R325*SUMIFS(Premissas!$E$5:$E$44,Premissas!$A$5:$A$44,$A325,Premissas!$B$5:$B$44,$B325)+S325*SUMIFS(Premissas!$F$5:$F$44,Premissas!$A$5:$A$44,$A325,Premissas!$B$5:$B$44,$B325)</f>
        <v/>
      </c>
      <c r="L325" s="29">
        <f>J325-K325</f>
        <v/>
      </c>
      <c r="M325" t="inlineStr">
        <is>
          <t>2.101</t>
        </is>
      </c>
      <c r="O325" s="29" t="n">
        <v>0</v>
      </c>
      <c r="P325" s="29" t="n">
        <v>6879</v>
      </c>
      <c r="Q325" s="29" t="n">
        <v>0</v>
      </c>
      <c r="R325" s="29" t="n">
        <v>0</v>
      </c>
      <c r="S325" s="29" t="n">
        <v>0</v>
      </c>
      <c r="T325" t="inlineStr">
        <is>
          <t>26260804781666000185550010000381611360089853</t>
        </is>
      </c>
      <c r="U325" t="inlineStr">
        <is>
          <t>Sim</t>
        </is>
      </c>
    </row>
    <row r="326">
      <c r="A326" t="inlineStr">
        <is>
          <t>Insumos e papel</t>
        </is>
      </c>
      <c r="B326" t="inlineStr">
        <is>
          <t>2.01.96 Compra de Cola</t>
        </is>
      </c>
      <c r="C326" s="30" t="n">
        <v>46235</v>
      </c>
      <c r="D326" t="inlineStr">
        <is>
          <t>Em 2026</t>
        </is>
      </c>
      <c r="E326" s="28" t="n">
        <v>46260</v>
      </c>
      <c r="F326" t="inlineStr">
        <is>
          <t>NF-e</t>
        </is>
      </c>
      <c r="G326" t="inlineStr">
        <is>
          <t>000038164</t>
        </is>
      </c>
      <c r="H326" t="inlineStr">
        <is>
          <t>COLAMID</t>
        </is>
      </c>
      <c r="I326" t="inlineStr">
        <is>
          <t>04.781.666/0001-85</t>
        </is>
      </c>
      <c r="J326" s="29" t="n">
        <v>57325</v>
      </c>
      <c r="K326" s="29">
        <f>(1-ISNUMBER(SEARCH("556",M326)))*(O326*SUMIFS(Premissas!$C$5:$C$44,Premissas!$A$5:$A$44,$A326,Premissas!$B$5:$B$44,$B326)+P326*SUMIFS(Premissas!$D$5:$D$44,Premissas!$A$5:$A$44,$A326,Premissas!$B$5:$B$44,$B326))+R326*SUMIFS(Premissas!$E$5:$E$44,Premissas!$A$5:$A$44,$A326,Premissas!$B$5:$B$44,$B326)+S326*SUMIFS(Premissas!$F$5:$F$44,Premissas!$A$5:$A$44,$A326,Premissas!$B$5:$B$44,$B326)</f>
        <v/>
      </c>
      <c r="L326" s="29">
        <f>J326-K326</f>
        <v/>
      </c>
      <c r="M326" t="inlineStr">
        <is>
          <t>2.101</t>
        </is>
      </c>
      <c r="O326" s="29" t="n">
        <v>0</v>
      </c>
      <c r="P326" s="29" t="n">
        <v>6879</v>
      </c>
      <c r="Q326" s="29" t="n">
        <v>0</v>
      </c>
      <c r="R326" s="29" t="n">
        <v>0</v>
      </c>
      <c r="S326" s="29" t="n">
        <v>0</v>
      </c>
      <c r="T326" t="inlineStr">
        <is>
          <t>26260804781666000185550010000381641124360192</t>
        </is>
      </c>
      <c r="U326" t="inlineStr">
        <is>
          <t>Sim</t>
        </is>
      </c>
    </row>
    <row r="327">
      <c r="A327" t="inlineStr">
        <is>
          <t>Insumos e papel</t>
        </is>
      </c>
      <c r="B327" t="inlineStr">
        <is>
          <t>2.01.96 Compra de Cola</t>
        </is>
      </c>
      <c r="C327" s="30" t="n">
        <v>46235</v>
      </c>
      <c r="D327" t="inlineStr">
        <is>
          <t>Em 2026</t>
        </is>
      </c>
      <c r="E327" s="28" t="n">
        <v>46246</v>
      </c>
      <c r="F327" t="inlineStr">
        <is>
          <t>NF-e</t>
        </is>
      </c>
      <c r="G327" t="inlineStr">
        <is>
          <t>000022269</t>
        </is>
      </c>
      <c r="H327" t="inlineStr">
        <is>
          <t>REQUIM PRODUTOS QUIMICOS LTDA</t>
        </is>
      </c>
      <c r="I327" t="inlineStr">
        <is>
          <t>06.935.804/0001-69</t>
        </is>
      </c>
      <c r="J327" s="29" t="n">
        <v>41580</v>
      </c>
      <c r="K327" s="29">
        <f>(1-ISNUMBER(SEARCH("556",M327)))*(O327*SUMIFS(Premissas!$C$5:$C$44,Premissas!$A$5:$A$44,$A327,Premissas!$B$5:$B$44,$B327)+P327*SUMIFS(Premissas!$D$5:$D$44,Premissas!$A$5:$A$44,$A327,Premissas!$B$5:$B$44,$B327))+R327*SUMIFS(Premissas!$E$5:$E$44,Premissas!$A$5:$A$44,$A327,Premissas!$B$5:$B$44,$B327)+S327*SUMIFS(Premissas!$F$5:$F$44,Premissas!$A$5:$A$44,$A327,Premissas!$B$5:$B$44,$B327)</f>
        <v/>
      </c>
      <c r="L327" s="29">
        <f>J327-K327</f>
        <v/>
      </c>
      <c r="M327" t="inlineStr">
        <is>
          <t>2.101</t>
        </is>
      </c>
      <c r="O327" s="29" t="n">
        <v>0</v>
      </c>
      <c r="P327" s="29" t="n">
        <v>1663.2</v>
      </c>
      <c r="Q327" s="29" t="n">
        <v>0</v>
      </c>
      <c r="R327" s="29" t="n">
        <v>259.46</v>
      </c>
      <c r="S327" s="29" t="n">
        <v>1197.5</v>
      </c>
      <c r="T327" t="inlineStr">
        <is>
          <t>26260806935804000169550010000222691810194672</t>
        </is>
      </c>
      <c r="U327" t="inlineStr">
        <is>
          <t>Sim</t>
        </is>
      </c>
    </row>
    <row r="328">
      <c r="A328" t="inlineStr">
        <is>
          <t>Insumos e papel</t>
        </is>
      </c>
      <c r="B328" t="inlineStr">
        <is>
          <t>2.01.96 Compra de Cola</t>
        </is>
      </c>
      <c r="C328" s="30" t="n">
        <v>46235</v>
      </c>
      <c r="D328" t="inlineStr">
        <is>
          <t>Em 2026</t>
        </is>
      </c>
      <c r="E328" s="28" t="n">
        <v>46259</v>
      </c>
      <c r="F328" t="inlineStr">
        <is>
          <t>NF-e</t>
        </is>
      </c>
      <c r="G328" t="inlineStr">
        <is>
          <t>000022367</t>
        </is>
      </c>
      <c r="H328" t="inlineStr">
        <is>
          <t>REQUIM PRODUTOS QUIMICOS LTDA</t>
        </is>
      </c>
      <c r="I328" t="inlineStr">
        <is>
          <t>06.935.804/0001-69</t>
        </is>
      </c>
      <c r="J328" s="29" t="n">
        <v>42124.67</v>
      </c>
      <c r="K328" s="29">
        <f>(1-ISNUMBER(SEARCH("556",M328)))*(O328*SUMIFS(Premissas!$C$5:$C$44,Premissas!$A$5:$A$44,$A328,Premissas!$B$5:$B$44,$B328)+P328*SUMIFS(Premissas!$D$5:$D$44,Premissas!$A$5:$A$44,$A328,Premissas!$B$5:$B$44,$B328))+R328*SUMIFS(Premissas!$E$5:$E$44,Premissas!$A$5:$A$44,$A328,Premissas!$B$5:$B$44,$B328)+S328*SUMIFS(Premissas!$F$5:$F$44,Premissas!$A$5:$A$44,$A328,Premissas!$B$5:$B$44,$B328)</f>
        <v/>
      </c>
      <c r="L328" s="29">
        <f>J328-K328</f>
        <v/>
      </c>
      <c r="M328" t="inlineStr">
        <is>
          <t>2.101, 2.102</t>
        </is>
      </c>
      <c r="O328" s="29" t="n">
        <v>0</v>
      </c>
      <c r="P328" s="29" t="n">
        <v>1684.99</v>
      </c>
      <c r="Q328" s="29" t="n">
        <v>0</v>
      </c>
      <c r="R328" s="29" t="n">
        <v>262.86</v>
      </c>
      <c r="S328" s="29" t="n">
        <v>1213.19</v>
      </c>
      <c r="T328" t="inlineStr">
        <is>
          <t>26260806935804000169550010000223671367882596</t>
        </is>
      </c>
      <c r="U328" t="inlineStr">
        <is>
          <t>Sim</t>
        </is>
      </c>
    </row>
    <row r="329">
      <c r="A329" t="inlineStr">
        <is>
          <t>Insumos e papel</t>
        </is>
      </c>
      <c r="B329" t="inlineStr">
        <is>
          <t>2.01.96 Compra de Cola</t>
        </is>
      </c>
      <c r="C329" s="30" t="n">
        <v>46266</v>
      </c>
      <c r="D329" t="inlineStr">
        <is>
          <t>Em 2026</t>
        </is>
      </c>
      <c r="E329" s="28" t="n">
        <v>46288</v>
      </c>
      <c r="F329" t="inlineStr">
        <is>
          <t>NF-e</t>
        </is>
      </c>
      <c r="G329" t="inlineStr">
        <is>
          <t>000038371</t>
        </is>
      </c>
      <c r="H329" t="inlineStr">
        <is>
          <t>COLAMID</t>
        </is>
      </c>
      <c r="I329" t="inlineStr">
        <is>
          <t>04.781.666/0001-85</t>
        </is>
      </c>
      <c r="J329" s="29" t="n">
        <v>124970</v>
      </c>
      <c r="K329" s="29">
        <f>(1-ISNUMBER(SEARCH("556",M329)))*(O329*SUMIFS(Premissas!$C$5:$C$44,Premissas!$A$5:$A$44,$A329,Premissas!$B$5:$B$44,$B329)+P329*SUMIFS(Premissas!$D$5:$D$44,Premissas!$A$5:$A$44,$A329,Premissas!$B$5:$B$44,$B329))+R329*SUMIFS(Premissas!$E$5:$E$44,Premissas!$A$5:$A$44,$A329,Premissas!$B$5:$B$44,$B329)+S329*SUMIFS(Premissas!$F$5:$F$44,Premissas!$A$5:$A$44,$A329,Premissas!$B$5:$B$44,$B329)</f>
        <v/>
      </c>
      <c r="L329" s="29">
        <f>J329-K329</f>
        <v/>
      </c>
      <c r="M329" t="inlineStr">
        <is>
          <t>2.101, 2.102</t>
        </is>
      </c>
      <c r="O329" s="29" t="n">
        <v>0</v>
      </c>
      <c r="P329" s="29" t="n">
        <v>14996.4</v>
      </c>
      <c r="Q329" s="29" t="n">
        <v>0</v>
      </c>
      <c r="R329" s="29" t="n">
        <v>0</v>
      </c>
      <c r="S329" s="29" t="n">
        <v>0</v>
      </c>
      <c r="T329" t="inlineStr">
        <is>
          <t>26260904781666000185550010000383711562872177</t>
        </is>
      </c>
      <c r="U329" t="inlineStr">
        <is>
          <t>Sim</t>
        </is>
      </c>
    </row>
    <row r="330">
      <c r="A330" t="inlineStr">
        <is>
          <t>Insumos e papel</t>
        </is>
      </c>
      <c r="B330" t="inlineStr">
        <is>
          <t>2.01.97 Compra de Clichê</t>
        </is>
      </c>
      <c r="C330" t="inlineStr">
        <is>
          <t>Antes de 2026</t>
        </is>
      </c>
      <c r="D330" t="inlineStr">
        <is>
          <t>Antes de 2026</t>
        </is>
      </c>
      <c r="E330" s="28" t="n">
        <v>46013</v>
      </c>
      <c r="F330" t="inlineStr">
        <is>
          <t>NF-e</t>
        </is>
      </c>
      <c r="G330" t="inlineStr">
        <is>
          <t>000036754</t>
        </is>
      </c>
      <c r="H330" t="inlineStr">
        <is>
          <t>DELINEAR BAHIA CLICHERIA LTDA</t>
        </is>
      </c>
      <c r="I330" t="inlineStr">
        <is>
          <t>10.566.633/0001-15</t>
        </is>
      </c>
      <c r="J330" s="29" t="n">
        <v>2786.23</v>
      </c>
      <c r="K330" s="29">
        <f>(1-ISNUMBER(SEARCH("556",M330)))*(O330*SUMIFS(Premissas!$C$5:$C$44,Premissas!$A$5:$A$44,$A330,Premissas!$B$5:$B$44,$B330)+P330*SUMIFS(Premissas!$D$5:$D$44,Premissas!$A$5:$A$44,$A330,Premissas!$B$5:$B$44,$B330))+R330*SUMIFS(Premissas!$E$5:$E$44,Premissas!$A$5:$A$44,$A330,Premissas!$B$5:$B$44,$B330)+S330*SUMIFS(Premissas!$F$5:$F$44,Premissas!$A$5:$A$44,$A330,Premissas!$B$5:$B$44,$B330)</f>
        <v/>
      </c>
      <c r="L330" s="29">
        <f>J330-K330</f>
        <v/>
      </c>
      <c r="M330" t="inlineStr">
        <is>
          <t>2.102</t>
        </is>
      </c>
      <c r="O330" s="29" t="n">
        <v>0</v>
      </c>
      <c r="P330" s="29" t="n">
        <v>0</v>
      </c>
      <c r="Q330" s="29" t="n">
        <v>0</v>
      </c>
      <c r="R330" s="29" t="n">
        <v>0</v>
      </c>
      <c r="S330" s="29" t="n">
        <v>0</v>
      </c>
      <c r="T330" t="inlineStr">
        <is>
          <t>29251210566633000115550010000367541598321781</t>
        </is>
      </c>
      <c r="U330" t="inlineStr">
        <is>
          <t>Sim</t>
        </is>
      </c>
    </row>
    <row r="331">
      <c r="A331" t="inlineStr">
        <is>
          <t>Insumos e papel</t>
        </is>
      </c>
      <c r="B331" t="inlineStr">
        <is>
          <t>2.01.97 Compra de Clichê</t>
        </is>
      </c>
      <c r="C331" s="30" t="n">
        <v>46023</v>
      </c>
      <c r="D331" t="inlineStr">
        <is>
          <t>Em 2026</t>
        </is>
      </c>
      <c r="E331" s="28" t="n">
        <v>46050</v>
      </c>
      <c r="F331" t="inlineStr">
        <is>
          <t>NF-e</t>
        </is>
      </c>
      <c r="G331" t="inlineStr">
        <is>
          <t>000036992</t>
        </is>
      </c>
      <c r="H331" t="inlineStr">
        <is>
          <t>DELINEAR BAHIA CLICHERIA LTDA</t>
        </is>
      </c>
      <c r="I331" t="inlineStr">
        <is>
          <t>10.566.633/0001-15</t>
        </is>
      </c>
      <c r="J331" s="29" t="n">
        <v>16632.72</v>
      </c>
      <c r="K331" s="29">
        <f>(1-ISNUMBER(SEARCH("556",M331)))*(O331*SUMIFS(Premissas!$C$5:$C$44,Premissas!$A$5:$A$44,$A331,Premissas!$B$5:$B$44,$B331)+P331*SUMIFS(Premissas!$D$5:$D$44,Premissas!$A$5:$A$44,$A331,Premissas!$B$5:$B$44,$B331))+R331*SUMIFS(Premissas!$E$5:$E$44,Premissas!$A$5:$A$44,$A331,Premissas!$B$5:$B$44,$B331)+S331*SUMIFS(Premissas!$F$5:$F$44,Premissas!$A$5:$A$44,$A331,Premissas!$B$5:$B$44,$B331)</f>
        <v/>
      </c>
      <c r="L331" s="29">
        <f>J331-K331</f>
        <v/>
      </c>
      <c r="M331" t="inlineStr">
        <is>
          <t>2.102</t>
        </is>
      </c>
      <c r="O331" s="29" t="n">
        <v>0</v>
      </c>
      <c r="P331" s="29" t="n">
        <v>0</v>
      </c>
      <c r="Q331" s="29" t="n">
        <v>0</v>
      </c>
      <c r="R331" s="29" t="n">
        <v>0</v>
      </c>
      <c r="S331" s="29" t="n">
        <v>0</v>
      </c>
      <c r="T331" t="inlineStr">
        <is>
          <t>29260110566633000115550010000369921877775913</t>
        </is>
      </c>
      <c r="U331" t="inlineStr">
        <is>
          <t>Sim</t>
        </is>
      </c>
    </row>
    <row r="332">
      <c r="A332" t="inlineStr">
        <is>
          <t>Insumos e papel</t>
        </is>
      </c>
      <c r="B332" t="inlineStr">
        <is>
          <t>2.01.97 Compra de Clichê</t>
        </is>
      </c>
      <c r="C332" s="30" t="n">
        <v>46054</v>
      </c>
      <c r="D332" t="inlineStr">
        <is>
          <t>Em 2026</t>
        </is>
      </c>
      <c r="E332" s="28" t="n">
        <v>46057</v>
      </c>
      <c r="F332" t="inlineStr">
        <is>
          <t>NF-e</t>
        </is>
      </c>
      <c r="G332" t="inlineStr">
        <is>
          <t>000037058</t>
        </is>
      </c>
      <c r="H332" t="inlineStr">
        <is>
          <t>DELINEAR BAHIA CLICHERIA LTDA</t>
        </is>
      </c>
      <c r="I332" t="inlineStr">
        <is>
          <t>10.566.633/0001-15</t>
        </is>
      </c>
      <c r="J332" s="29" t="n">
        <v>1977.57</v>
      </c>
      <c r="K332" s="29">
        <f>(1-ISNUMBER(SEARCH("556",M332)))*(O332*SUMIFS(Premissas!$C$5:$C$44,Premissas!$A$5:$A$44,$A332,Premissas!$B$5:$B$44,$B332)+P332*SUMIFS(Premissas!$D$5:$D$44,Premissas!$A$5:$A$44,$A332,Premissas!$B$5:$B$44,$B332))+R332*SUMIFS(Premissas!$E$5:$E$44,Premissas!$A$5:$A$44,$A332,Premissas!$B$5:$B$44,$B332)+S332*SUMIFS(Premissas!$F$5:$F$44,Premissas!$A$5:$A$44,$A332,Premissas!$B$5:$B$44,$B332)</f>
        <v/>
      </c>
      <c r="L332" s="29">
        <f>J332-K332</f>
        <v/>
      </c>
      <c r="M332" t="inlineStr">
        <is>
          <t>2.102</t>
        </is>
      </c>
      <c r="O332" s="29" t="n">
        <v>0</v>
      </c>
      <c r="P332" s="29" t="n">
        <v>0</v>
      </c>
      <c r="Q332" s="29" t="n">
        <v>0</v>
      </c>
      <c r="R332" s="29" t="n">
        <v>0</v>
      </c>
      <c r="S332" s="29" t="n">
        <v>0</v>
      </c>
      <c r="T332" t="inlineStr">
        <is>
          <t>29260210566633000115550010000370581631936888</t>
        </is>
      </c>
      <c r="U332" t="inlineStr">
        <is>
          <t>Sim</t>
        </is>
      </c>
    </row>
    <row r="333">
      <c r="A333" t="inlineStr">
        <is>
          <t>Insumos e papel</t>
        </is>
      </c>
      <c r="B333" t="inlineStr">
        <is>
          <t>2.01.97 Compra de Clichê</t>
        </is>
      </c>
      <c r="C333" s="30" t="n">
        <v>46054</v>
      </c>
      <c r="D333" t="inlineStr">
        <is>
          <t>Em 2026</t>
        </is>
      </c>
      <c r="E333" s="28" t="n">
        <v>46062</v>
      </c>
      <c r="F333" t="inlineStr">
        <is>
          <t>NF-e</t>
        </is>
      </c>
      <c r="G333" t="inlineStr">
        <is>
          <t>000037101</t>
        </is>
      </c>
      <c r="H333" t="inlineStr">
        <is>
          <t>DELINEAR BAHIA CLICHERIA LTDA</t>
        </is>
      </c>
      <c r="I333" t="inlineStr">
        <is>
          <t>10.566.633/0001-15</t>
        </is>
      </c>
      <c r="J333" s="29" t="n">
        <v>1204.6</v>
      </c>
      <c r="K333" s="29">
        <f>(1-ISNUMBER(SEARCH("556",M333)))*(O333*SUMIFS(Premissas!$C$5:$C$44,Premissas!$A$5:$A$44,$A333,Premissas!$B$5:$B$44,$B333)+P333*SUMIFS(Premissas!$D$5:$D$44,Premissas!$A$5:$A$44,$A333,Premissas!$B$5:$B$44,$B333))+R333*SUMIFS(Premissas!$E$5:$E$44,Premissas!$A$5:$A$44,$A333,Premissas!$B$5:$B$44,$B333)+S333*SUMIFS(Premissas!$F$5:$F$44,Premissas!$A$5:$A$44,$A333,Premissas!$B$5:$B$44,$B333)</f>
        <v/>
      </c>
      <c r="L333" s="29">
        <f>J333-K333</f>
        <v/>
      </c>
      <c r="M333" t="inlineStr">
        <is>
          <t>2.102</t>
        </is>
      </c>
      <c r="O333" s="29" t="n">
        <v>0</v>
      </c>
      <c r="P333" s="29" t="n">
        <v>0</v>
      </c>
      <c r="Q333" s="29" t="n">
        <v>0</v>
      </c>
      <c r="R333" s="29" t="n">
        <v>0</v>
      </c>
      <c r="S333" s="29" t="n">
        <v>0</v>
      </c>
      <c r="T333" t="inlineStr">
        <is>
          <t>29260210566633000115550010000371011426313168</t>
        </is>
      </c>
      <c r="U333" t="inlineStr">
        <is>
          <t>Sim</t>
        </is>
      </c>
    </row>
    <row r="334">
      <c r="A334" t="inlineStr">
        <is>
          <t>Insumos e papel</t>
        </is>
      </c>
      <c r="B334" t="inlineStr">
        <is>
          <t>2.01.97 Compra de Clichê</t>
        </is>
      </c>
      <c r="C334" s="30" t="n">
        <v>46082</v>
      </c>
      <c r="D334" t="inlineStr">
        <is>
          <t>Em 2026</t>
        </is>
      </c>
      <c r="E334" s="28" t="n">
        <v>46086</v>
      </c>
      <c r="F334" t="inlineStr">
        <is>
          <t>NF-e</t>
        </is>
      </c>
      <c r="G334" t="inlineStr">
        <is>
          <t>000037303</t>
        </is>
      </c>
      <c r="H334" t="inlineStr">
        <is>
          <t>DELINEAR BAHIA CLICHERIA LTDA</t>
        </is>
      </c>
      <c r="I334" t="inlineStr">
        <is>
          <t>10.566.633/0001-15</t>
        </is>
      </c>
      <c r="J334" s="29" t="n">
        <v>5454.64</v>
      </c>
      <c r="K334" s="29">
        <f>(1-ISNUMBER(SEARCH("556",M334)))*(O334*SUMIFS(Premissas!$C$5:$C$44,Premissas!$A$5:$A$44,$A334,Premissas!$B$5:$B$44,$B334)+P334*SUMIFS(Premissas!$D$5:$D$44,Premissas!$A$5:$A$44,$A334,Premissas!$B$5:$B$44,$B334))+R334*SUMIFS(Premissas!$E$5:$E$44,Premissas!$A$5:$A$44,$A334,Premissas!$B$5:$B$44,$B334)+S334*SUMIFS(Premissas!$F$5:$F$44,Premissas!$A$5:$A$44,$A334,Premissas!$B$5:$B$44,$B334)</f>
        <v/>
      </c>
      <c r="L334" s="29">
        <f>J334-K334</f>
        <v/>
      </c>
      <c r="M334" t="inlineStr">
        <is>
          <t>2.102</t>
        </is>
      </c>
      <c r="O334" s="29" t="n">
        <v>0</v>
      </c>
      <c r="P334" s="29" t="n">
        <v>0</v>
      </c>
      <c r="Q334" s="29" t="n">
        <v>0</v>
      </c>
      <c r="R334" s="29" t="n">
        <v>0</v>
      </c>
      <c r="S334" s="29" t="n">
        <v>0</v>
      </c>
      <c r="T334" t="inlineStr">
        <is>
          <t>29260310566633000115550010000373031614117540</t>
        </is>
      </c>
      <c r="U334" t="inlineStr">
        <is>
          <t>Sim</t>
        </is>
      </c>
    </row>
    <row r="335">
      <c r="A335" t="inlineStr">
        <is>
          <t>Insumos e papel</t>
        </is>
      </c>
      <c r="B335" t="inlineStr">
        <is>
          <t>2.01.97 Compra de Clichê</t>
        </is>
      </c>
      <c r="C335" s="30" t="n">
        <v>46082</v>
      </c>
      <c r="D335" t="inlineStr">
        <is>
          <t>Em 2026</t>
        </is>
      </c>
      <c r="E335" s="28" t="n">
        <v>46106</v>
      </c>
      <c r="F335" t="inlineStr">
        <is>
          <t>NF-e</t>
        </is>
      </c>
      <c r="G335" t="inlineStr">
        <is>
          <t>000037456</t>
        </is>
      </c>
      <c r="H335" t="inlineStr">
        <is>
          <t>DELINEAR BAHIA CLICHERIA LTDA</t>
        </is>
      </c>
      <c r="I335" t="inlineStr">
        <is>
          <t>10.566.633/0001-15</t>
        </is>
      </c>
      <c r="J335" s="29" t="n">
        <v>465.49</v>
      </c>
      <c r="K335" s="29">
        <f>(1-ISNUMBER(SEARCH("556",M335)))*(O335*SUMIFS(Premissas!$C$5:$C$44,Premissas!$A$5:$A$44,$A335,Premissas!$B$5:$B$44,$B335)+P335*SUMIFS(Premissas!$D$5:$D$44,Premissas!$A$5:$A$44,$A335,Premissas!$B$5:$B$44,$B335))+R335*SUMIFS(Premissas!$E$5:$E$44,Premissas!$A$5:$A$44,$A335,Premissas!$B$5:$B$44,$B335)+S335*SUMIFS(Premissas!$F$5:$F$44,Premissas!$A$5:$A$44,$A335,Premissas!$B$5:$B$44,$B335)</f>
        <v/>
      </c>
      <c r="L335" s="29">
        <f>J335-K335</f>
        <v/>
      </c>
      <c r="M335" t="inlineStr">
        <is>
          <t>1.101</t>
        </is>
      </c>
      <c r="O335" s="29" t="n">
        <v>0</v>
      </c>
      <c r="P335" s="29" t="n">
        <v>0</v>
      </c>
      <c r="Q335" s="29" t="n">
        <v>0</v>
      </c>
      <c r="R335" s="29" t="n">
        <v>0</v>
      </c>
      <c r="S335" s="29" t="n">
        <v>0</v>
      </c>
      <c r="T335" t="inlineStr">
        <is>
          <t>29260310566633000115550010000374561000956283</t>
        </is>
      </c>
      <c r="U335" t="inlineStr">
        <is>
          <t>Sim</t>
        </is>
      </c>
    </row>
    <row r="336">
      <c r="A336" t="inlineStr">
        <is>
          <t>Insumos e papel</t>
        </is>
      </c>
      <c r="B336" t="inlineStr">
        <is>
          <t>2.01.97 Compra de Clichê</t>
        </is>
      </c>
      <c r="C336" s="30" t="n">
        <v>46082</v>
      </c>
      <c r="D336" t="inlineStr">
        <is>
          <t>Em 2026</t>
        </is>
      </c>
      <c r="E336" s="28" t="n">
        <v>46106</v>
      </c>
      <c r="F336" t="inlineStr">
        <is>
          <t>NF-e</t>
        </is>
      </c>
      <c r="G336" t="inlineStr">
        <is>
          <t>000037463</t>
        </is>
      </c>
      <c r="H336" t="inlineStr">
        <is>
          <t>DELINEAR BAHIA CLICHERIA LTDA</t>
        </is>
      </c>
      <c r="I336" t="inlineStr">
        <is>
          <t>10.566.633/0001-15</t>
        </is>
      </c>
      <c r="J336" s="29" t="n">
        <v>18060.35</v>
      </c>
      <c r="K336" s="29">
        <f>(1-ISNUMBER(SEARCH("556",M336)))*(O336*SUMIFS(Premissas!$C$5:$C$44,Premissas!$A$5:$A$44,$A336,Premissas!$B$5:$B$44,$B336)+P336*SUMIFS(Premissas!$D$5:$D$44,Premissas!$A$5:$A$44,$A336,Premissas!$B$5:$B$44,$B336))+R336*SUMIFS(Premissas!$E$5:$E$44,Premissas!$A$5:$A$44,$A336,Premissas!$B$5:$B$44,$B336)+S336*SUMIFS(Premissas!$F$5:$F$44,Premissas!$A$5:$A$44,$A336,Premissas!$B$5:$B$44,$B336)</f>
        <v/>
      </c>
      <c r="L336" s="29">
        <f>J336-K336</f>
        <v/>
      </c>
      <c r="M336" t="inlineStr">
        <is>
          <t>2.102</t>
        </is>
      </c>
      <c r="O336" s="29" t="n">
        <v>0</v>
      </c>
      <c r="P336" s="29" t="n">
        <v>0</v>
      </c>
      <c r="Q336" s="29" t="n">
        <v>0</v>
      </c>
      <c r="R336" s="29" t="n">
        <v>0</v>
      </c>
      <c r="S336" s="29" t="n">
        <v>0</v>
      </c>
      <c r="T336" t="inlineStr">
        <is>
          <t>29260310566633000115550010000374631000121836</t>
        </is>
      </c>
      <c r="U336" t="inlineStr">
        <is>
          <t>Sim</t>
        </is>
      </c>
    </row>
    <row r="337">
      <c r="A337" t="inlineStr">
        <is>
          <t>Insumos e papel</t>
        </is>
      </c>
      <c r="B337" t="inlineStr">
        <is>
          <t>2.01.97 Compra de Clichê</t>
        </is>
      </c>
      <c r="C337" s="30" t="n">
        <v>46113</v>
      </c>
      <c r="D337" t="inlineStr">
        <is>
          <t>Em 2026</t>
        </is>
      </c>
      <c r="E337" s="28" t="n">
        <v>46132</v>
      </c>
      <c r="F337" t="inlineStr">
        <is>
          <t>NF-e</t>
        </is>
      </c>
      <c r="G337" t="inlineStr">
        <is>
          <t>000002825</t>
        </is>
      </c>
      <c r="H337" t="inlineStr">
        <is>
          <t>BAHIA CLICHERIA LTDA</t>
        </is>
      </c>
      <c r="I337" t="inlineStr">
        <is>
          <t>55.011.509/0001-21</t>
        </is>
      </c>
      <c r="J337" s="29" t="n">
        <v>1340.26</v>
      </c>
      <c r="K337" s="29">
        <f>(1-ISNUMBER(SEARCH("556",M337)))*(O337*SUMIFS(Premissas!$C$5:$C$44,Premissas!$A$5:$A$44,$A337,Premissas!$B$5:$B$44,$B337)+P337*SUMIFS(Premissas!$D$5:$D$44,Premissas!$A$5:$A$44,$A337,Premissas!$B$5:$B$44,$B337))+R337*SUMIFS(Premissas!$E$5:$E$44,Premissas!$A$5:$A$44,$A337,Premissas!$B$5:$B$44,$B337)+S337*SUMIFS(Premissas!$F$5:$F$44,Premissas!$A$5:$A$44,$A337,Premissas!$B$5:$B$44,$B337)</f>
        <v/>
      </c>
      <c r="L337" s="29">
        <f>J337-K337</f>
        <v/>
      </c>
      <c r="M337" t="inlineStr">
        <is>
          <t>2.101</t>
        </is>
      </c>
      <c r="O337" s="29" t="n">
        <v>0</v>
      </c>
      <c r="P337" s="29" t="n">
        <v>0</v>
      </c>
      <c r="Q337" s="29" t="n">
        <v>0</v>
      </c>
      <c r="R337" s="29" t="n">
        <v>0</v>
      </c>
      <c r="S337" s="29" t="n">
        <v>0</v>
      </c>
      <c r="T337" t="inlineStr">
        <is>
          <t>29260455011509000121550010000028251619063310</t>
        </is>
      </c>
      <c r="U337" t="inlineStr">
        <is>
          <t>Sim</t>
        </is>
      </c>
    </row>
    <row r="338">
      <c r="A338" t="inlineStr">
        <is>
          <t>Insumos e papel</t>
        </is>
      </c>
      <c r="B338" t="inlineStr">
        <is>
          <t>2.01.97 Compra de Clichê</t>
        </is>
      </c>
      <c r="C338" s="30" t="n">
        <v>46113</v>
      </c>
      <c r="D338" t="inlineStr">
        <is>
          <t>Em 2026</t>
        </is>
      </c>
      <c r="E338" s="28" t="n">
        <v>46142</v>
      </c>
      <c r="F338" t="inlineStr">
        <is>
          <t>NF-e</t>
        </is>
      </c>
      <c r="G338" t="inlineStr">
        <is>
          <t>000002923</t>
        </is>
      </c>
      <c r="H338" t="inlineStr">
        <is>
          <t>BAHIA CLICHERIA LTDA</t>
        </is>
      </c>
      <c r="I338" t="inlineStr">
        <is>
          <t>55.011.509/0001-21</t>
        </is>
      </c>
      <c r="J338" s="29" t="n">
        <v>10320.44</v>
      </c>
      <c r="K338" s="29">
        <f>(1-ISNUMBER(SEARCH("556",M338)))*(O338*SUMIFS(Premissas!$C$5:$C$44,Premissas!$A$5:$A$44,$A338,Premissas!$B$5:$B$44,$B338)+P338*SUMIFS(Premissas!$D$5:$D$44,Premissas!$A$5:$A$44,$A338,Premissas!$B$5:$B$44,$B338))+R338*SUMIFS(Premissas!$E$5:$E$44,Premissas!$A$5:$A$44,$A338,Premissas!$B$5:$B$44,$B338)+S338*SUMIFS(Premissas!$F$5:$F$44,Premissas!$A$5:$A$44,$A338,Premissas!$B$5:$B$44,$B338)</f>
        <v/>
      </c>
      <c r="L338" s="29">
        <f>J338-K338</f>
        <v/>
      </c>
      <c r="M338" t="inlineStr">
        <is>
          <t>2.556</t>
        </is>
      </c>
      <c r="O338" s="29" t="n">
        <v>0</v>
      </c>
      <c r="P338" s="29" t="n">
        <v>0</v>
      </c>
      <c r="Q338" s="29" t="n">
        <v>0</v>
      </c>
      <c r="R338" s="29" t="n">
        <v>0</v>
      </c>
      <c r="S338" s="29" t="n">
        <v>0</v>
      </c>
      <c r="T338" t="inlineStr">
        <is>
          <t>29260455011509000121550010000029231526385636</t>
        </is>
      </c>
      <c r="U338" t="inlineStr">
        <is>
          <t>Sim</t>
        </is>
      </c>
    </row>
    <row r="339">
      <c r="A339" t="inlineStr">
        <is>
          <t>Insumos e papel</t>
        </is>
      </c>
      <c r="B339" t="inlineStr">
        <is>
          <t>2.01.97 Compra de Clichê</t>
        </is>
      </c>
      <c r="C339" s="30" t="n">
        <v>46113</v>
      </c>
      <c r="D339" t="inlineStr">
        <is>
          <t>Em 2026</t>
        </is>
      </c>
      <c r="E339" s="28" t="n">
        <v>46132</v>
      </c>
      <c r="F339" t="inlineStr">
        <is>
          <t>NF-e</t>
        </is>
      </c>
      <c r="G339" t="inlineStr">
        <is>
          <t>000037625</t>
        </is>
      </c>
      <c r="H339" t="inlineStr">
        <is>
          <t>DELINEAR BAHIA CLICHERIA LTDA</t>
        </is>
      </c>
      <c r="I339" t="inlineStr">
        <is>
          <t>10.566.633/0001-15</t>
        </is>
      </c>
      <c r="J339" s="29" t="n">
        <v>621.1</v>
      </c>
      <c r="K339" s="29">
        <f>(1-ISNUMBER(SEARCH("556",M339)))*(O339*SUMIFS(Premissas!$C$5:$C$44,Premissas!$A$5:$A$44,$A339,Premissas!$B$5:$B$44,$B339)+P339*SUMIFS(Premissas!$D$5:$D$44,Premissas!$A$5:$A$44,$A339,Premissas!$B$5:$B$44,$B339))+R339*SUMIFS(Premissas!$E$5:$E$44,Premissas!$A$5:$A$44,$A339,Premissas!$B$5:$B$44,$B339)+S339*SUMIFS(Premissas!$F$5:$F$44,Premissas!$A$5:$A$44,$A339,Premissas!$B$5:$B$44,$B339)</f>
        <v/>
      </c>
      <c r="L339" s="29">
        <f>J339-K339</f>
        <v/>
      </c>
      <c r="M339" t="inlineStr">
        <is>
          <t>2.101</t>
        </is>
      </c>
      <c r="O339" s="29" t="n">
        <v>0</v>
      </c>
      <c r="P339" s="29" t="n">
        <v>0</v>
      </c>
      <c r="Q339" s="29" t="n">
        <v>0</v>
      </c>
      <c r="R339" s="29" t="n">
        <v>0</v>
      </c>
      <c r="S339" s="29" t="n">
        <v>0</v>
      </c>
      <c r="T339" t="inlineStr">
        <is>
          <t>29260410566633000115550010000376251262707122</t>
        </is>
      </c>
      <c r="U339" t="inlineStr">
        <is>
          <t>Sim</t>
        </is>
      </c>
    </row>
    <row r="340">
      <c r="A340" t="inlineStr">
        <is>
          <t>Insumos e papel</t>
        </is>
      </c>
      <c r="B340" t="inlineStr">
        <is>
          <t>2.01.97 Compra de Clichê</t>
        </is>
      </c>
      <c r="C340" s="30" t="n">
        <v>46204</v>
      </c>
      <c r="D340" t="inlineStr">
        <is>
          <t>Em 2026</t>
        </is>
      </c>
      <c r="E340" s="28" t="n">
        <v>46226</v>
      </c>
      <c r="F340" t="inlineStr">
        <is>
          <t>NF-e</t>
        </is>
      </c>
      <c r="G340" t="inlineStr">
        <is>
          <t>000003539</t>
        </is>
      </c>
      <c r="H340" t="inlineStr">
        <is>
          <t>BAHIA CLICHERIA LTDA</t>
        </is>
      </c>
      <c r="I340" t="inlineStr">
        <is>
          <t>55.011.509/0001-21</t>
        </is>
      </c>
      <c r="J340" s="29" t="n">
        <v>7101.86</v>
      </c>
      <c r="K340" s="29">
        <f>(1-ISNUMBER(SEARCH("556",M340)))*(O340*SUMIFS(Premissas!$C$5:$C$44,Premissas!$A$5:$A$44,$A340,Premissas!$B$5:$B$44,$B340)+P340*SUMIFS(Premissas!$D$5:$D$44,Premissas!$A$5:$A$44,$A340,Premissas!$B$5:$B$44,$B340))+R340*SUMIFS(Premissas!$E$5:$E$44,Premissas!$A$5:$A$44,$A340,Premissas!$B$5:$B$44,$B340)+S340*SUMIFS(Premissas!$F$5:$F$44,Premissas!$A$5:$A$44,$A340,Premissas!$B$5:$B$44,$B340)</f>
        <v/>
      </c>
      <c r="L340" s="29">
        <f>J340-K340</f>
        <v/>
      </c>
      <c r="M340" t="inlineStr">
        <is>
          <t>2.556</t>
        </is>
      </c>
      <c r="O340" s="29" t="n">
        <v>0</v>
      </c>
      <c r="P340" s="29" t="n">
        <v>0</v>
      </c>
      <c r="Q340" s="29" t="n">
        <v>0</v>
      </c>
      <c r="R340" s="29" t="n">
        <v>0</v>
      </c>
      <c r="S340" s="29" t="n">
        <v>0</v>
      </c>
      <c r="T340" t="inlineStr">
        <is>
          <t>29260755011509000121550010000035391272378858</t>
        </is>
      </c>
      <c r="U340" t="inlineStr">
        <is>
          <t>Sim</t>
        </is>
      </c>
    </row>
    <row r="341">
      <c r="A341" t="inlineStr">
        <is>
          <t>Insumos e papel</t>
        </is>
      </c>
      <c r="B341" t="inlineStr">
        <is>
          <t>2.01.97 Compra de Clichê</t>
        </is>
      </c>
      <c r="C341" s="30" t="n">
        <v>46235</v>
      </c>
      <c r="D341" t="inlineStr">
        <is>
          <t>Em 2026</t>
        </is>
      </c>
      <c r="E341" s="28" t="n">
        <v>46252</v>
      </c>
      <c r="F341" t="inlineStr">
        <is>
          <t>NF-e</t>
        </is>
      </c>
      <c r="G341" t="inlineStr">
        <is>
          <t>000003730</t>
        </is>
      </c>
      <c r="H341" t="inlineStr">
        <is>
          <t>BAHIA CLICHERIA LTDA</t>
        </is>
      </c>
      <c r="I341" t="inlineStr">
        <is>
          <t>55.011.509/0001-21</t>
        </is>
      </c>
      <c r="J341" s="29" t="n">
        <v>595.26</v>
      </c>
      <c r="K341" s="29">
        <f>(1-ISNUMBER(SEARCH("556",M341)))*(O341*SUMIFS(Premissas!$C$5:$C$44,Premissas!$A$5:$A$44,$A341,Premissas!$B$5:$B$44,$B341)+P341*SUMIFS(Premissas!$D$5:$D$44,Premissas!$A$5:$A$44,$A341,Premissas!$B$5:$B$44,$B341))+R341*SUMIFS(Premissas!$E$5:$E$44,Premissas!$A$5:$A$44,$A341,Premissas!$B$5:$B$44,$B341)+S341*SUMIFS(Premissas!$F$5:$F$44,Premissas!$A$5:$A$44,$A341,Premissas!$B$5:$B$44,$B341)</f>
        <v/>
      </c>
      <c r="L341" s="29">
        <f>J341-K341</f>
        <v/>
      </c>
      <c r="M341" t="inlineStr">
        <is>
          <t>2.556</t>
        </is>
      </c>
      <c r="O341" s="29" t="n">
        <v>0</v>
      </c>
      <c r="P341" s="29" t="n">
        <v>0</v>
      </c>
      <c r="Q341" s="29" t="n">
        <v>0</v>
      </c>
      <c r="R341" s="29" t="n">
        <v>0</v>
      </c>
      <c r="S341" s="29" t="n">
        <v>0</v>
      </c>
      <c r="T341" t="inlineStr">
        <is>
          <t>29260855011509000121550010000037301667261693</t>
        </is>
      </c>
      <c r="U341" t="inlineStr">
        <is>
          <t>Sim</t>
        </is>
      </c>
    </row>
    <row r="342">
      <c r="A342" t="inlineStr">
        <is>
          <t>Insumos e papel</t>
        </is>
      </c>
      <c r="B342" t="inlineStr">
        <is>
          <t>2.01.97 Compra de Clichê</t>
        </is>
      </c>
      <c r="C342" s="30" t="n">
        <v>46235</v>
      </c>
      <c r="D342" t="inlineStr">
        <is>
          <t>Em 2026</t>
        </is>
      </c>
      <c r="E342" s="28" t="n">
        <v>46258</v>
      </c>
      <c r="F342" t="inlineStr">
        <is>
          <t>NF-e</t>
        </is>
      </c>
      <c r="G342" t="inlineStr">
        <is>
          <t>000003758</t>
        </is>
      </c>
      <c r="H342" t="inlineStr">
        <is>
          <t>BAHIA CLICHERIA LTDA</t>
        </is>
      </c>
      <c r="I342" t="inlineStr">
        <is>
          <t>55.011.509/0001-21</t>
        </is>
      </c>
      <c r="J342" s="29" t="n">
        <v>1848.52</v>
      </c>
      <c r="K342" s="29">
        <f>(1-ISNUMBER(SEARCH("556",M342)))*(O342*SUMIFS(Premissas!$C$5:$C$44,Premissas!$A$5:$A$44,$A342,Premissas!$B$5:$B$44,$B342)+P342*SUMIFS(Premissas!$D$5:$D$44,Premissas!$A$5:$A$44,$A342,Premissas!$B$5:$B$44,$B342))+R342*SUMIFS(Premissas!$E$5:$E$44,Premissas!$A$5:$A$44,$A342,Premissas!$B$5:$B$44,$B342)+S342*SUMIFS(Premissas!$F$5:$F$44,Premissas!$A$5:$A$44,$A342,Premissas!$B$5:$B$44,$B342)</f>
        <v/>
      </c>
      <c r="L342" s="29">
        <f>J342-K342</f>
        <v/>
      </c>
      <c r="M342" t="inlineStr">
        <is>
          <t>2.556</t>
        </is>
      </c>
      <c r="O342" s="29" t="n">
        <v>0</v>
      </c>
      <c r="P342" s="29" t="n">
        <v>0</v>
      </c>
      <c r="Q342" s="29" t="n">
        <v>0</v>
      </c>
      <c r="R342" s="29" t="n">
        <v>0</v>
      </c>
      <c r="S342" s="29" t="n">
        <v>0</v>
      </c>
      <c r="T342" t="inlineStr">
        <is>
          <t>29260855011509000121550010000037581874830228</t>
        </is>
      </c>
      <c r="U342" t="inlineStr">
        <is>
          <t>Sim</t>
        </is>
      </c>
    </row>
    <row r="343">
      <c r="A343" t="inlineStr">
        <is>
          <t>Insumos e papel</t>
        </is>
      </c>
      <c r="B343" t="inlineStr">
        <is>
          <t>2.01.97 Compra de Clichê</t>
        </is>
      </c>
      <c r="C343" s="30" t="n">
        <v>46235</v>
      </c>
      <c r="D343" t="inlineStr">
        <is>
          <t>Em 2026</t>
        </is>
      </c>
      <c r="E343" s="28" t="n">
        <v>46258</v>
      </c>
      <c r="F343" t="inlineStr">
        <is>
          <t>NF-e</t>
        </is>
      </c>
      <c r="G343" t="inlineStr">
        <is>
          <t>000003777</t>
        </is>
      </c>
      <c r="H343" t="inlineStr">
        <is>
          <t>BAHIA CLICHERIA LTDA</t>
        </is>
      </c>
      <c r="I343" t="inlineStr">
        <is>
          <t>55.011.509/0001-21</t>
        </is>
      </c>
      <c r="J343" s="29" t="n">
        <v>1805.08</v>
      </c>
      <c r="K343" s="29">
        <f>(1-ISNUMBER(SEARCH("556",M343)))*(O343*SUMIFS(Premissas!$C$5:$C$44,Premissas!$A$5:$A$44,$A343,Premissas!$B$5:$B$44,$B343)+P343*SUMIFS(Premissas!$D$5:$D$44,Premissas!$A$5:$A$44,$A343,Premissas!$B$5:$B$44,$B343))+R343*SUMIFS(Premissas!$E$5:$E$44,Premissas!$A$5:$A$44,$A343,Premissas!$B$5:$B$44,$B343)+S343*SUMIFS(Premissas!$F$5:$F$44,Premissas!$A$5:$A$44,$A343,Premissas!$B$5:$B$44,$B343)</f>
        <v/>
      </c>
      <c r="L343" s="29">
        <f>J343-K343</f>
        <v/>
      </c>
      <c r="M343" t="inlineStr">
        <is>
          <t>2.556</t>
        </is>
      </c>
      <c r="O343" s="29" t="n">
        <v>0</v>
      </c>
      <c r="P343" s="29" t="n">
        <v>0</v>
      </c>
      <c r="Q343" s="29" t="n">
        <v>0</v>
      </c>
      <c r="R343" s="29" t="n">
        <v>0</v>
      </c>
      <c r="S343" s="29" t="n">
        <v>0</v>
      </c>
      <c r="T343" t="inlineStr">
        <is>
          <t>29260855011509000121550010000037771978374372</t>
        </is>
      </c>
      <c r="U343" t="inlineStr">
        <is>
          <t>Sim</t>
        </is>
      </c>
    </row>
    <row r="344">
      <c r="A344" t="inlineStr">
        <is>
          <t>Insumos e papel</t>
        </is>
      </c>
      <c r="B344" t="inlineStr">
        <is>
          <t>2.01.97 Compra de Clichê</t>
        </is>
      </c>
      <c r="C344" s="30" t="n">
        <v>46235</v>
      </c>
      <c r="D344" t="inlineStr">
        <is>
          <t>Em 2026</t>
        </is>
      </c>
      <c r="E344" s="28" t="n">
        <v>46261</v>
      </c>
      <c r="F344" t="inlineStr">
        <is>
          <t>NF-e</t>
        </is>
      </c>
      <c r="G344" t="inlineStr">
        <is>
          <t>000003818</t>
        </is>
      </c>
      <c r="H344" t="inlineStr">
        <is>
          <t>BAHIA CLICHERIA LTDA</t>
        </is>
      </c>
      <c r="I344" t="inlineStr">
        <is>
          <t>55.011.509/0001-21</t>
        </is>
      </c>
      <c r="J344" s="29" t="n">
        <v>1243.76</v>
      </c>
      <c r="K344" s="29">
        <f>(1-ISNUMBER(SEARCH("556",M344)))*(O344*SUMIFS(Premissas!$C$5:$C$44,Premissas!$A$5:$A$44,$A344,Premissas!$B$5:$B$44,$B344)+P344*SUMIFS(Premissas!$D$5:$D$44,Premissas!$A$5:$A$44,$A344,Premissas!$B$5:$B$44,$B344))+R344*SUMIFS(Premissas!$E$5:$E$44,Premissas!$A$5:$A$44,$A344,Premissas!$B$5:$B$44,$B344)+S344*SUMIFS(Premissas!$F$5:$F$44,Premissas!$A$5:$A$44,$A344,Premissas!$B$5:$B$44,$B344)</f>
        <v/>
      </c>
      <c r="L344" s="29">
        <f>J344-K344</f>
        <v/>
      </c>
      <c r="M344" t="inlineStr">
        <is>
          <t>2.556</t>
        </is>
      </c>
      <c r="O344" s="29" t="n">
        <v>0</v>
      </c>
      <c r="P344" s="29" t="n">
        <v>0</v>
      </c>
      <c r="Q344" s="29" t="n">
        <v>0</v>
      </c>
      <c r="R344" s="29" t="n">
        <v>0</v>
      </c>
      <c r="S344" s="29" t="n">
        <v>0</v>
      </c>
      <c r="T344" t="inlineStr">
        <is>
          <t>29260855011509000121550010000038181692471656</t>
        </is>
      </c>
      <c r="U344" t="inlineStr">
        <is>
          <t>Sim</t>
        </is>
      </c>
    </row>
    <row r="345">
      <c r="A345" t="inlineStr">
        <is>
          <t>Insumos e papel</t>
        </is>
      </c>
      <c r="B345" t="inlineStr">
        <is>
          <t>2.01.97 Compra de Clichê</t>
        </is>
      </c>
      <c r="C345" s="30" t="n">
        <v>46235</v>
      </c>
      <c r="D345" t="inlineStr">
        <is>
          <t>Em 2026</t>
        </is>
      </c>
      <c r="E345" s="28" t="n">
        <v>46262</v>
      </c>
      <c r="F345" t="inlineStr">
        <is>
          <t>NF-e</t>
        </is>
      </c>
      <c r="G345" t="inlineStr">
        <is>
          <t>000003827</t>
        </is>
      </c>
      <c r="H345" t="inlineStr">
        <is>
          <t>BAHIA CLICHERIA LTDA</t>
        </is>
      </c>
      <c r="I345" t="inlineStr">
        <is>
          <t>55.011.509/0001-21</t>
        </is>
      </c>
      <c r="J345" s="29" t="n">
        <v>1969.43</v>
      </c>
      <c r="K345" s="29">
        <f>(1-ISNUMBER(SEARCH("556",M345)))*(O345*SUMIFS(Premissas!$C$5:$C$44,Premissas!$A$5:$A$44,$A345,Premissas!$B$5:$B$44,$B345)+P345*SUMIFS(Premissas!$D$5:$D$44,Premissas!$A$5:$A$44,$A345,Premissas!$B$5:$B$44,$B345))+R345*SUMIFS(Premissas!$E$5:$E$44,Premissas!$A$5:$A$44,$A345,Premissas!$B$5:$B$44,$B345)+S345*SUMIFS(Premissas!$F$5:$F$44,Premissas!$A$5:$A$44,$A345,Premissas!$B$5:$B$44,$B345)</f>
        <v/>
      </c>
      <c r="L345" s="29">
        <f>J345-K345</f>
        <v/>
      </c>
      <c r="M345" t="inlineStr">
        <is>
          <t>2.556</t>
        </is>
      </c>
      <c r="O345" s="29" t="n">
        <v>0</v>
      </c>
      <c r="P345" s="29" t="n">
        <v>0</v>
      </c>
      <c r="Q345" s="29" t="n">
        <v>0</v>
      </c>
      <c r="R345" s="29" t="n">
        <v>0</v>
      </c>
      <c r="S345" s="29" t="n">
        <v>0</v>
      </c>
      <c r="T345" t="inlineStr">
        <is>
          <t>29260855011509000121550010000038271670520670</t>
        </is>
      </c>
      <c r="U345" t="inlineStr">
        <is>
          <t>Sim</t>
        </is>
      </c>
    </row>
    <row r="346">
      <c r="A346" t="inlineStr">
        <is>
          <t>Insumos e papel</t>
        </is>
      </c>
      <c r="B346" t="inlineStr">
        <is>
          <t>2.01.97 Compra de Clichê</t>
        </is>
      </c>
      <c r="C346" s="30" t="n">
        <v>46266</v>
      </c>
      <c r="D346" t="inlineStr">
        <is>
          <t>Em 2026</t>
        </is>
      </c>
      <c r="E346" s="28" t="n">
        <v>46293</v>
      </c>
      <c r="F346" t="inlineStr">
        <is>
          <t>NF-e</t>
        </is>
      </c>
      <c r="G346" t="inlineStr">
        <is>
          <t>000004046</t>
        </is>
      </c>
      <c r="H346" t="inlineStr">
        <is>
          <t>BAHIA CLICHERIA LTDA</t>
        </is>
      </c>
      <c r="I346" t="inlineStr">
        <is>
          <t>55.011.509/0001-21</t>
        </is>
      </c>
      <c r="J346" s="29" t="n">
        <v>22946.22</v>
      </c>
      <c r="K346" s="29">
        <f>(1-ISNUMBER(SEARCH("556",M346)))*(O346*SUMIFS(Premissas!$C$5:$C$44,Premissas!$A$5:$A$44,$A346,Premissas!$B$5:$B$44,$B346)+P346*SUMIFS(Premissas!$D$5:$D$44,Premissas!$A$5:$A$44,$A346,Premissas!$B$5:$B$44,$B346))+R346*SUMIFS(Premissas!$E$5:$E$44,Premissas!$A$5:$A$44,$A346,Premissas!$B$5:$B$44,$B346)+S346*SUMIFS(Premissas!$F$5:$F$44,Premissas!$A$5:$A$44,$A346,Premissas!$B$5:$B$44,$B346)</f>
        <v/>
      </c>
      <c r="L346" s="29">
        <f>J346-K346</f>
        <v/>
      </c>
      <c r="M346" t="inlineStr">
        <is>
          <t>2.101, 2.102, 2.556</t>
        </is>
      </c>
      <c r="O346" s="29" t="n">
        <v>0</v>
      </c>
      <c r="P346" s="29" t="n">
        <v>0</v>
      </c>
      <c r="Q346" s="29" t="n">
        <v>0</v>
      </c>
      <c r="R346" s="29" t="n">
        <v>0</v>
      </c>
      <c r="S346" s="29" t="n">
        <v>0</v>
      </c>
      <c r="T346" t="inlineStr">
        <is>
          <t>29260955011509000121550010000040461451208727</t>
        </is>
      </c>
      <c r="U346" t="inlineStr">
        <is>
          <t>Sim</t>
        </is>
      </c>
    </row>
    <row r="347">
      <c r="A347" t="inlineStr">
        <is>
          <t>Insumos e papel</t>
        </is>
      </c>
      <c r="B347" t="inlineStr">
        <is>
          <t>2.01.99 Compra de Caixas</t>
        </is>
      </c>
      <c r="C347" t="inlineStr">
        <is>
          <t>Antes de 2026</t>
        </is>
      </c>
      <c r="D347" t="inlineStr">
        <is>
          <t>Antes de 2026</t>
        </is>
      </c>
      <c r="E347" s="28" t="n">
        <v>46021</v>
      </c>
      <c r="F347" t="inlineStr">
        <is>
          <t>NF-e</t>
        </is>
      </c>
      <c r="G347" t="inlineStr">
        <is>
          <t>000011537</t>
        </is>
      </c>
      <c r="H347" t="inlineStr">
        <is>
          <t>NOVA CONPEL COMPANHIA NORDESTINA DE PAPEL LTDA</t>
        </is>
      </c>
      <c r="I347" t="inlineStr">
        <is>
          <t>55.330.530/0001-90</t>
        </is>
      </c>
      <c r="J347" s="29" t="n">
        <v>18223.6</v>
      </c>
      <c r="K347" s="29">
        <f>(1-ISNUMBER(SEARCH("556",M347)))*(O347*SUMIFS(Premissas!$C$5:$C$44,Premissas!$A$5:$A$44,$A347,Premissas!$B$5:$B$44,$B347)+P347*SUMIFS(Premissas!$D$5:$D$44,Premissas!$A$5:$A$44,$A347,Premissas!$B$5:$B$44,$B347))+R347*SUMIFS(Premissas!$E$5:$E$44,Premissas!$A$5:$A$44,$A347,Premissas!$B$5:$B$44,$B347)+S347*SUMIFS(Premissas!$F$5:$F$44,Premissas!$A$5:$A$44,$A347,Premissas!$B$5:$B$44,$B347)</f>
        <v/>
      </c>
      <c r="L347" s="29">
        <f>J347-K347</f>
        <v/>
      </c>
      <c r="M347" t="inlineStr">
        <is>
          <t>1.102, 1.556</t>
        </is>
      </c>
      <c r="O347" s="29" t="n">
        <v>2376.97</v>
      </c>
      <c r="P347" s="29" t="n">
        <v>3169.32</v>
      </c>
      <c r="Q347" s="29" t="n">
        <v>0</v>
      </c>
      <c r="R347" s="29" t="n">
        <v>209.18</v>
      </c>
      <c r="S347" s="29" t="n">
        <v>963.47</v>
      </c>
      <c r="T347" t="inlineStr">
        <is>
          <t>25251255330530000190550010000115371988909389</t>
        </is>
      </c>
      <c r="U347" t="inlineStr">
        <is>
          <t>Sim</t>
        </is>
      </c>
    </row>
    <row r="348">
      <c r="A348" t="inlineStr">
        <is>
          <t>Insumos e papel</t>
        </is>
      </c>
      <c r="B348" t="inlineStr">
        <is>
          <t>2.01.99 Compra de Caixas</t>
        </is>
      </c>
      <c r="C348" t="inlineStr">
        <is>
          <t>Antes de 2026</t>
        </is>
      </c>
      <c r="D348" t="inlineStr">
        <is>
          <t>Antes de 2026</t>
        </is>
      </c>
      <c r="E348" s="28" t="n">
        <v>46021</v>
      </c>
      <c r="F348" t="inlineStr">
        <is>
          <t>NF-e</t>
        </is>
      </c>
      <c r="G348" t="inlineStr">
        <is>
          <t>000011554</t>
        </is>
      </c>
      <c r="H348" t="inlineStr">
        <is>
          <t>NOVA CONPEL COMPANHIA NORDESTINA DE PAPEL LTDA</t>
        </is>
      </c>
      <c r="I348" t="inlineStr">
        <is>
          <t>55.330.530/0001-90</t>
        </is>
      </c>
      <c r="J348" s="29" t="n">
        <v>3604.74</v>
      </c>
      <c r="K348" s="29">
        <f>(1-ISNUMBER(SEARCH("556",M348)))*(O348*SUMIFS(Premissas!$C$5:$C$44,Premissas!$A$5:$A$44,$A348,Premissas!$B$5:$B$44,$B348)+P348*SUMIFS(Premissas!$D$5:$D$44,Premissas!$A$5:$A$44,$A348,Premissas!$B$5:$B$44,$B348))+R348*SUMIFS(Premissas!$E$5:$E$44,Premissas!$A$5:$A$44,$A348,Premissas!$B$5:$B$44,$B348)+S348*SUMIFS(Premissas!$F$5:$F$44,Premissas!$A$5:$A$44,$A348,Premissas!$B$5:$B$44,$B348)</f>
        <v/>
      </c>
      <c r="L348" s="29">
        <f>J348-K348</f>
        <v/>
      </c>
      <c r="M348" t="inlineStr">
        <is>
          <t>1.102</t>
        </is>
      </c>
      <c r="O348" s="29" t="n">
        <v>470.18</v>
      </c>
      <c r="P348" s="29" t="n">
        <v>626.91</v>
      </c>
      <c r="Q348" s="29" t="n">
        <v>0</v>
      </c>
      <c r="R348" s="29" t="n">
        <v>41.38</v>
      </c>
      <c r="S348" s="29" t="n">
        <v>190.58</v>
      </c>
      <c r="T348" t="inlineStr">
        <is>
          <t>25251255330530000190550010000115541465360870</t>
        </is>
      </c>
      <c r="U348" t="inlineStr">
        <is>
          <t>Sim</t>
        </is>
      </c>
    </row>
    <row r="349">
      <c r="A349" t="inlineStr">
        <is>
          <t>Insumos e papel</t>
        </is>
      </c>
      <c r="B349" t="inlineStr">
        <is>
          <t>2.01.99 Compra de Caixas</t>
        </is>
      </c>
      <c r="C349" s="30" t="n">
        <v>46023</v>
      </c>
      <c r="D349" t="inlineStr">
        <is>
          <t>Em 2026</t>
        </is>
      </c>
      <c r="E349" s="28" t="n">
        <v>46028</v>
      </c>
      <c r="F349" t="inlineStr">
        <is>
          <t>NF-e</t>
        </is>
      </c>
      <c r="G349" t="inlineStr">
        <is>
          <t>000011680</t>
        </is>
      </c>
      <c r="H349" t="inlineStr">
        <is>
          <t>NOVA CONPEL COMPANHIA NORDESTINA DE PAPEL LTDA</t>
        </is>
      </c>
      <c r="I349" t="inlineStr">
        <is>
          <t>55.330.530/0001-90</t>
        </is>
      </c>
      <c r="J349" s="29" t="n">
        <v>1642.85</v>
      </c>
      <c r="K349" s="29">
        <f>(1-ISNUMBER(SEARCH("556",M349)))*(O349*SUMIFS(Premissas!$C$5:$C$44,Premissas!$A$5:$A$44,$A349,Premissas!$B$5:$B$44,$B349)+P349*SUMIFS(Premissas!$D$5:$D$44,Premissas!$A$5:$A$44,$A349,Premissas!$B$5:$B$44,$B349))+R349*SUMIFS(Premissas!$E$5:$E$44,Premissas!$A$5:$A$44,$A349,Premissas!$B$5:$B$44,$B349)+S349*SUMIFS(Premissas!$F$5:$F$44,Premissas!$A$5:$A$44,$A349,Premissas!$B$5:$B$44,$B349)</f>
        <v/>
      </c>
      <c r="L349" s="29">
        <f>J349-K349</f>
        <v/>
      </c>
      <c r="M349" t="inlineStr">
        <is>
          <t>1.556</t>
        </is>
      </c>
      <c r="O349" s="29" t="n">
        <v>214.28</v>
      </c>
      <c r="P349" s="29" t="n">
        <v>285.71</v>
      </c>
      <c r="Q349" s="29" t="n">
        <v>0</v>
      </c>
      <c r="R349" s="29" t="n">
        <v>18.86</v>
      </c>
      <c r="S349" s="29" t="n">
        <v>86.86</v>
      </c>
      <c r="T349" t="inlineStr">
        <is>
          <t>25260155330530000190550010000116801977007593</t>
        </is>
      </c>
      <c r="U349" t="inlineStr">
        <is>
          <t>Sim</t>
        </is>
      </c>
    </row>
    <row r="350">
      <c r="A350" t="inlineStr">
        <is>
          <t>Insumos e papel</t>
        </is>
      </c>
      <c r="B350" t="inlineStr">
        <is>
          <t>2.01.99 Compra de Caixas</t>
        </is>
      </c>
      <c r="C350" s="30" t="n">
        <v>46023</v>
      </c>
      <c r="D350" t="inlineStr">
        <is>
          <t>Em 2026</t>
        </is>
      </c>
      <c r="E350" s="28" t="n">
        <v>46031</v>
      </c>
      <c r="F350" t="inlineStr">
        <is>
          <t>NF-e</t>
        </is>
      </c>
      <c r="G350" t="inlineStr">
        <is>
          <t>000011792</t>
        </is>
      </c>
      <c r="H350" t="inlineStr">
        <is>
          <t>NOVA CONPEL COMPANHIA NORDESTINA DE PAPEL LTDA</t>
        </is>
      </c>
      <c r="I350" t="inlineStr">
        <is>
          <t>55.330.530/0001-90</t>
        </is>
      </c>
      <c r="J350" s="29" t="n">
        <v>30713.27</v>
      </c>
      <c r="K350" s="29">
        <f>(1-ISNUMBER(SEARCH("556",M350)))*(O350*SUMIFS(Premissas!$C$5:$C$44,Premissas!$A$5:$A$44,$A350,Premissas!$B$5:$B$44,$B350)+P350*SUMIFS(Premissas!$D$5:$D$44,Premissas!$A$5:$A$44,$A350,Premissas!$B$5:$B$44,$B350))+R350*SUMIFS(Premissas!$E$5:$E$44,Premissas!$A$5:$A$44,$A350,Premissas!$B$5:$B$44,$B350)+S350*SUMIFS(Premissas!$F$5:$F$44,Premissas!$A$5:$A$44,$A350,Premissas!$B$5:$B$44,$B350)</f>
        <v/>
      </c>
      <c r="L350" s="29">
        <f>J350-K350</f>
        <v/>
      </c>
      <c r="M350" t="inlineStr">
        <is>
          <t>1.102, 1.556</t>
        </is>
      </c>
      <c r="O350" s="29" t="n">
        <v>4006.05</v>
      </c>
      <c r="P350" s="29" t="n">
        <v>5341.44</v>
      </c>
      <c r="Q350" s="29" t="n">
        <v>0</v>
      </c>
      <c r="R350" s="29" t="n">
        <v>352.54</v>
      </c>
      <c r="S350" s="29" t="n">
        <v>1623.8</v>
      </c>
      <c r="T350" t="inlineStr">
        <is>
          <t>25260155330530000190550010000117921376751405</t>
        </is>
      </c>
      <c r="U350" t="inlineStr">
        <is>
          <t>Sim</t>
        </is>
      </c>
    </row>
    <row r="351">
      <c r="A351" t="inlineStr">
        <is>
          <t>Insumos e papel</t>
        </is>
      </c>
      <c r="B351" t="inlineStr">
        <is>
          <t>2.01.99 Compra de Caixas</t>
        </is>
      </c>
      <c r="C351" s="30" t="n">
        <v>46023</v>
      </c>
      <c r="D351" t="inlineStr">
        <is>
          <t>Em 2026</t>
        </is>
      </c>
      <c r="E351" s="28" t="n">
        <v>46031</v>
      </c>
      <c r="F351" t="inlineStr">
        <is>
          <t>NF-e</t>
        </is>
      </c>
      <c r="G351" t="inlineStr">
        <is>
          <t>000011795</t>
        </is>
      </c>
      <c r="H351" t="inlineStr">
        <is>
          <t>NOVA CONPEL COMPANHIA NORDESTINA DE PAPEL LTDA</t>
        </is>
      </c>
      <c r="I351" t="inlineStr">
        <is>
          <t>55.330.530/0001-90</t>
        </is>
      </c>
      <c r="J351" s="29" t="n">
        <v>2716.71</v>
      </c>
      <c r="K351" s="29">
        <f>(1-ISNUMBER(SEARCH("556",M351)))*(O351*SUMIFS(Premissas!$C$5:$C$44,Premissas!$A$5:$A$44,$A351,Premissas!$B$5:$B$44,$B351)+P351*SUMIFS(Premissas!$D$5:$D$44,Premissas!$A$5:$A$44,$A351,Premissas!$B$5:$B$44,$B351))+R351*SUMIFS(Premissas!$E$5:$E$44,Premissas!$A$5:$A$44,$A351,Premissas!$B$5:$B$44,$B351)+S351*SUMIFS(Premissas!$F$5:$F$44,Premissas!$A$5:$A$44,$A351,Premissas!$B$5:$B$44,$B351)</f>
        <v/>
      </c>
      <c r="L351" s="29">
        <f>J351-K351</f>
        <v/>
      </c>
      <c r="M351" t="inlineStr">
        <is>
          <t>1.556</t>
        </is>
      </c>
      <c r="O351" s="29" t="n">
        <v>354.35</v>
      </c>
      <c r="P351" s="29" t="n">
        <v>472.47</v>
      </c>
      <c r="Q351" s="29" t="n">
        <v>0</v>
      </c>
      <c r="R351" s="29" t="n">
        <v>31.18</v>
      </c>
      <c r="S351" s="29" t="n">
        <v>143.63</v>
      </c>
      <c r="T351" t="inlineStr">
        <is>
          <t>25260155330530000190550010000117951907612461</t>
        </is>
      </c>
      <c r="U351" t="inlineStr">
        <is>
          <t>Sim</t>
        </is>
      </c>
    </row>
    <row r="352">
      <c r="A352" t="inlineStr">
        <is>
          <t>Insumos e papel</t>
        </is>
      </c>
      <c r="B352" t="inlineStr">
        <is>
          <t>2.01.99 Compra de Caixas</t>
        </is>
      </c>
      <c r="C352" s="30" t="n">
        <v>46023</v>
      </c>
      <c r="D352" t="inlineStr">
        <is>
          <t>Em 2026</t>
        </is>
      </c>
      <c r="E352" s="28" t="n">
        <v>46036</v>
      </c>
      <c r="F352" t="inlineStr">
        <is>
          <t>NF-e</t>
        </is>
      </c>
      <c r="G352" t="inlineStr">
        <is>
          <t>000011904</t>
        </is>
      </c>
      <c r="H352" t="inlineStr">
        <is>
          <t>NOVA CONPEL COMPANHIA NORDESTINA DE PAPEL LTDA</t>
        </is>
      </c>
      <c r="I352" t="inlineStr">
        <is>
          <t>55.330.530/0001-90</t>
        </is>
      </c>
      <c r="J352" s="29" t="n">
        <v>453914.06</v>
      </c>
      <c r="K352" s="29">
        <f>(1-ISNUMBER(SEARCH("556",M352)))*(O352*SUMIFS(Premissas!$C$5:$C$44,Premissas!$A$5:$A$44,$A352,Premissas!$B$5:$B$44,$B352)+P352*SUMIFS(Premissas!$D$5:$D$44,Premissas!$A$5:$A$44,$A352,Premissas!$B$5:$B$44,$B352))+R352*SUMIFS(Premissas!$E$5:$E$44,Premissas!$A$5:$A$44,$A352,Premissas!$B$5:$B$44,$B352)+S352*SUMIFS(Premissas!$F$5:$F$44,Premissas!$A$5:$A$44,$A352,Premissas!$B$5:$B$44,$B352)</f>
        <v/>
      </c>
      <c r="L352" s="29">
        <f>J352-K352</f>
        <v/>
      </c>
      <c r="M352" t="inlineStr">
        <is>
          <t>1.556</t>
        </is>
      </c>
      <c r="O352" s="29" t="n">
        <v>59206.18</v>
      </c>
      <c r="P352" s="29" t="n">
        <v>0</v>
      </c>
      <c r="Q352" s="29" t="n">
        <v>0</v>
      </c>
      <c r="R352" s="29" t="n">
        <v>0</v>
      </c>
      <c r="S352" s="29" t="n">
        <v>0</v>
      </c>
      <c r="T352" t="inlineStr">
        <is>
          <t>25260155330530000190550010000119041550249704</t>
        </is>
      </c>
      <c r="U352" t="inlineStr">
        <is>
          <t>Sim</t>
        </is>
      </c>
    </row>
    <row r="353">
      <c r="A353" t="inlineStr">
        <is>
          <t>Insumos e papel</t>
        </is>
      </c>
      <c r="B353" t="inlineStr">
        <is>
          <t>2.01.99 Compra de Caixas</t>
        </is>
      </c>
      <c r="C353" s="30" t="n">
        <v>46023</v>
      </c>
      <c r="D353" t="inlineStr">
        <is>
          <t>Em 2026</t>
        </is>
      </c>
      <c r="E353" s="28" t="n">
        <v>46044</v>
      </c>
      <c r="F353" t="inlineStr">
        <is>
          <t>NF-e</t>
        </is>
      </c>
      <c r="G353" t="inlineStr">
        <is>
          <t>000012193</t>
        </is>
      </c>
      <c r="H353" t="inlineStr">
        <is>
          <t>NOVA CONPEL COMPANHIA NORDESTINA DE PAPEL LTDA</t>
        </is>
      </c>
      <c r="I353" t="inlineStr">
        <is>
          <t>55.330.530/0001-90</t>
        </is>
      </c>
      <c r="J353" s="29" t="n">
        <v>12454.73</v>
      </c>
      <c r="K353" s="29">
        <f>(1-ISNUMBER(SEARCH("556",M353)))*(O353*SUMIFS(Premissas!$C$5:$C$44,Premissas!$A$5:$A$44,$A353,Premissas!$B$5:$B$44,$B353)+P353*SUMIFS(Premissas!$D$5:$D$44,Premissas!$A$5:$A$44,$A353,Premissas!$B$5:$B$44,$B353))+R353*SUMIFS(Premissas!$E$5:$E$44,Premissas!$A$5:$A$44,$A353,Premissas!$B$5:$B$44,$B353)+S353*SUMIFS(Premissas!$F$5:$F$44,Premissas!$A$5:$A$44,$A353,Premissas!$B$5:$B$44,$B353)</f>
        <v/>
      </c>
      <c r="L353" s="29">
        <f>J353-K353</f>
        <v/>
      </c>
      <c r="M353" t="inlineStr">
        <is>
          <t>1.102</t>
        </is>
      </c>
      <c r="O353" s="29" t="n">
        <v>0</v>
      </c>
      <c r="P353" s="29" t="n">
        <v>2490.94</v>
      </c>
      <c r="Q353" s="29" t="n">
        <v>0</v>
      </c>
      <c r="R353" s="29" t="n">
        <v>164.4</v>
      </c>
      <c r="S353" s="29" t="n">
        <v>757.25</v>
      </c>
      <c r="T353" t="inlineStr">
        <is>
          <t>25260155330530000190550010000121931867814627</t>
        </is>
      </c>
      <c r="U353" t="inlineStr">
        <is>
          <t>Sim</t>
        </is>
      </c>
    </row>
    <row r="354">
      <c r="A354" t="inlineStr">
        <is>
          <t>Insumos e papel</t>
        </is>
      </c>
      <c r="B354" t="inlineStr">
        <is>
          <t>2.01.99 Compra de Caixas</t>
        </is>
      </c>
      <c r="C354" s="30" t="n">
        <v>46023</v>
      </c>
      <c r="D354" t="inlineStr">
        <is>
          <t>Em 2026</t>
        </is>
      </c>
      <c r="E354" s="28" t="n">
        <v>46048</v>
      </c>
      <c r="F354" t="inlineStr">
        <is>
          <t>NF-e</t>
        </is>
      </c>
      <c r="G354" t="inlineStr">
        <is>
          <t>000012299</t>
        </is>
      </c>
      <c r="H354" t="inlineStr">
        <is>
          <t>NOVA CONPEL COMPANHIA NORDESTINA DE PAPEL LTDA</t>
        </is>
      </c>
      <c r="I354" t="inlineStr">
        <is>
          <t>55.330.530/0001-90</t>
        </is>
      </c>
      <c r="J354" s="29" t="n">
        <v>12519.94</v>
      </c>
      <c r="K354" s="29">
        <f>(1-ISNUMBER(SEARCH("556",M354)))*(O354*SUMIFS(Premissas!$C$5:$C$44,Premissas!$A$5:$A$44,$A354,Premissas!$B$5:$B$44,$B354)+P354*SUMIFS(Premissas!$D$5:$D$44,Premissas!$A$5:$A$44,$A354,Premissas!$B$5:$B$44,$B354))+R354*SUMIFS(Premissas!$E$5:$E$44,Premissas!$A$5:$A$44,$A354,Premissas!$B$5:$B$44,$B354)+S354*SUMIFS(Premissas!$F$5:$F$44,Premissas!$A$5:$A$44,$A354,Premissas!$B$5:$B$44,$B354)</f>
        <v/>
      </c>
      <c r="L354" s="29">
        <f>J354-K354</f>
        <v/>
      </c>
      <c r="M354" t="inlineStr">
        <is>
          <t>1.102</t>
        </is>
      </c>
      <c r="O354" s="29" t="n">
        <v>0</v>
      </c>
      <c r="P354" s="29" t="n">
        <v>2503.98</v>
      </c>
      <c r="Q354" s="29" t="n">
        <v>0</v>
      </c>
      <c r="R354" s="29" t="n">
        <v>165.26</v>
      </c>
      <c r="S354" s="29" t="n">
        <v>761.21</v>
      </c>
      <c r="T354" t="inlineStr">
        <is>
          <t>25260155330530000190550010000122991012438903</t>
        </is>
      </c>
      <c r="U354" t="inlineStr">
        <is>
          <t>Sim</t>
        </is>
      </c>
    </row>
    <row r="355">
      <c r="A355" t="inlineStr">
        <is>
          <t>Insumos e papel</t>
        </is>
      </c>
      <c r="B355" t="inlineStr">
        <is>
          <t>2.01.99 Compra de Caixas</t>
        </is>
      </c>
      <c r="C355" s="30" t="n">
        <v>46054</v>
      </c>
      <c r="D355" t="inlineStr">
        <is>
          <t>Em 2026</t>
        </is>
      </c>
      <c r="E355" s="28" t="n">
        <v>46080</v>
      </c>
      <c r="F355" t="inlineStr">
        <is>
          <t>NF-e</t>
        </is>
      </c>
      <c r="G355" t="inlineStr">
        <is>
          <t>000013185</t>
        </is>
      </c>
      <c r="H355" t="inlineStr">
        <is>
          <t>NOVA CONPEL COMPANHIA NORDESTINA DE PAPEL LTDA</t>
        </is>
      </c>
      <c r="I355" t="inlineStr">
        <is>
          <t>55.330.530/0001-90</t>
        </is>
      </c>
      <c r="J355" s="29" t="n">
        <v>15363.6</v>
      </c>
      <c r="K355" s="29">
        <f>(1-ISNUMBER(SEARCH("556",M355)))*(O355*SUMIFS(Premissas!$C$5:$C$44,Premissas!$A$5:$A$44,$A355,Premissas!$B$5:$B$44,$B355)+P355*SUMIFS(Premissas!$D$5:$D$44,Premissas!$A$5:$A$44,$A355,Premissas!$B$5:$B$44,$B355))+R355*SUMIFS(Premissas!$E$5:$E$44,Premissas!$A$5:$A$44,$A355,Premissas!$B$5:$B$44,$B355)+S355*SUMIFS(Premissas!$F$5:$F$44,Premissas!$A$5:$A$44,$A355,Premissas!$B$5:$B$44,$B355)</f>
        <v/>
      </c>
      <c r="L355" s="29">
        <f>J355-K355</f>
        <v/>
      </c>
      <c r="M355" t="inlineStr">
        <is>
          <t>1.102</t>
        </is>
      </c>
      <c r="O355" s="29" t="n">
        <v>483.6</v>
      </c>
      <c r="P355" s="29" t="n">
        <v>2976</v>
      </c>
      <c r="Q355" s="29" t="n">
        <v>0</v>
      </c>
      <c r="R355" s="29" t="n">
        <v>196.42</v>
      </c>
      <c r="S355" s="29" t="n">
        <v>904.7</v>
      </c>
      <c r="T355" t="inlineStr">
        <is>
          <t>25260255330530000190550010000131851528995668</t>
        </is>
      </c>
      <c r="U355" t="inlineStr">
        <is>
          <t>Sim</t>
        </is>
      </c>
    </row>
    <row r="356">
      <c r="A356" t="inlineStr">
        <is>
          <t>Insumos e papel</t>
        </is>
      </c>
      <c r="B356" t="inlineStr">
        <is>
          <t>2.01.99 Compra de Caixas</t>
        </is>
      </c>
      <c r="C356" s="30" t="n">
        <v>46113</v>
      </c>
      <c r="D356" t="inlineStr">
        <is>
          <t>Em 2026</t>
        </is>
      </c>
      <c r="E356" s="28" t="n">
        <v>46135</v>
      </c>
      <c r="F356" t="inlineStr">
        <is>
          <t>NF-e</t>
        </is>
      </c>
      <c r="G356" t="inlineStr">
        <is>
          <t>000014490</t>
        </is>
      </c>
      <c r="H356" t="inlineStr">
        <is>
          <t>NOVA CONPEL COMPANHIA NORDESTINA DE PAPEL LTDA</t>
        </is>
      </c>
      <c r="I356" t="inlineStr">
        <is>
          <t>55.330.530/0001-90</t>
        </is>
      </c>
      <c r="J356" s="29" t="n">
        <v>9204.24</v>
      </c>
      <c r="K356" s="29">
        <f>(1-ISNUMBER(SEARCH("556",M356)))*(O356*SUMIFS(Premissas!$C$5:$C$44,Premissas!$A$5:$A$44,$A356,Premissas!$B$5:$B$44,$B356)+P356*SUMIFS(Premissas!$D$5:$D$44,Premissas!$A$5:$A$44,$A356,Premissas!$B$5:$B$44,$B356))+R356*SUMIFS(Premissas!$E$5:$E$44,Premissas!$A$5:$A$44,$A356,Premissas!$B$5:$B$44,$B356)+S356*SUMIFS(Premissas!$F$5:$F$44,Premissas!$A$5:$A$44,$A356,Premissas!$B$5:$B$44,$B356)</f>
        <v/>
      </c>
      <c r="L356" s="29">
        <f>J356-K356</f>
        <v/>
      </c>
      <c r="M356" t="inlineStr">
        <is>
          <t>1.556</t>
        </is>
      </c>
      <c r="O356" s="29" t="n">
        <v>1200.55</v>
      </c>
      <c r="P356" s="29" t="n">
        <v>1600.73</v>
      </c>
      <c r="Q356" s="29" t="n">
        <v>0</v>
      </c>
      <c r="R356" s="29" t="n">
        <v>105.65</v>
      </c>
      <c r="S356" s="29" t="n">
        <v>486.62</v>
      </c>
      <c r="T356" t="inlineStr">
        <is>
          <t>25260455330530000190550010000144901557430485</t>
        </is>
      </c>
      <c r="U356" t="inlineStr">
        <is>
          <t>Sim</t>
        </is>
      </c>
    </row>
    <row r="357">
      <c r="A357" t="inlineStr">
        <is>
          <t>Insumos e papel</t>
        </is>
      </c>
      <c r="B357" t="inlineStr">
        <is>
          <t>2.01.99 Compra de Caixas</t>
        </is>
      </c>
      <c r="C357" s="30" t="n">
        <v>46113</v>
      </c>
      <c r="D357" t="inlineStr">
        <is>
          <t>Em 2026</t>
        </is>
      </c>
      <c r="E357" s="28" t="n">
        <v>46141</v>
      </c>
      <c r="F357" t="inlineStr">
        <is>
          <t>NF-e</t>
        </is>
      </c>
      <c r="G357" t="inlineStr">
        <is>
          <t>000014635</t>
        </is>
      </c>
      <c r="H357" t="inlineStr">
        <is>
          <t>NOVA CONPEL COMPANHIA NORDESTINA DE PAPEL LTDA</t>
        </is>
      </c>
      <c r="I357" t="inlineStr">
        <is>
          <t>55.330.530/0001-90</t>
        </is>
      </c>
      <c r="J357" s="29" t="n">
        <v>25693.66</v>
      </c>
      <c r="K357" s="29">
        <f>(1-ISNUMBER(SEARCH("556",M357)))*(O357*SUMIFS(Premissas!$C$5:$C$44,Premissas!$A$5:$A$44,$A357,Premissas!$B$5:$B$44,$B357)+P357*SUMIFS(Premissas!$D$5:$D$44,Premissas!$A$5:$A$44,$A357,Premissas!$B$5:$B$44,$B357))+R357*SUMIFS(Premissas!$E$5:$E$44,Premissas!$A$5:$A$44,$A357,Premissas!$B$5:$B$44,$B357)+S357*SUMIFS(Premissas!$F$5:$F$44,Premissas!$A$5:$A$44,$A357,Premissas!$B$5:$B$44,$B357)</f>
        <v/>
      </c>
      <c r="L357" s="29">
        <f>J357-K357</f>
        <v/>
      </c>
      <c r="M357" t="inlineStr">
        <is>
          <t>1.556</t>
        </is>
      </c>
      <c r="O357" s="29" t="n">
        <v>3351.34</v>
      </c>
      <c r="P357" s="29" t="n">
        <v>4468.46</v>
      </c>
      <c r="Q357" s="29" t="n">
        <v>0</v>
      </c>
      <c r="R357" s="29" t="n">
        <v>294.92</v>
      </c>
      <c r="S357" s="29" t="n">
        <v>1358.41</v>
      </c>
      <c r="T357" t="inlineStr">
        <is>
          <t>25260455330530000190550010000146351283790810</t>
        </is>
      </c>
      <c r="U357" t="inlineStr">
        <is>
          <t>Sim</t>
        </is>
      </c>
    </row>
    <row r="358">
      <c r="A358" t="inlineStr">
        <is>
          <t>Insumos e papel</t>
        </is>
      </c>
      <c r="B358" t="inlineStr">
        <is>
          <t>2.01.99 Compra de Caixas</t>
        </is>
      </c>
      <c r="C358" s="30" t="n">
        <v>46113</v>
      </c>
      <c r="D358" t="inlineStr">
        <is>
          <t>Em 2026</t>
        </is>
      </c>
      <c r="E358" s="28" t="n">
        <v>46142</v>
      </c>
      <c r="F358" t="inlineStr">
        <is>
          <t>NF-e</t>
        </is>
      </c>
      <c r="G358" t="inlineStr">
        <is>
          <t>000014642</t>
        </is>
      </c>
      <c r="H358" t="inlineStr">
        <is>
          <t>NOVA CONPEL COMPANHIA NORDESTINA DE PAPEL LTDA</t>
        </is>
      </c>
      <c r="I358" t="inlineStr">
        <is>
          <t>55.330.530/0001-90</t>
        </is>
      </c>
      <c r="J358" s="29" t="n">
        <v>4497.7</v>
      </c>
      <c r="K358" s="29">
        <f>(1-ISNUMBER(SEARCH("556",M358)))*(O358*SUMIFS(Premissas!$C$5:$C$44,Premissas!$A$5:$A$44,$A358,Premissas!$B$5:$B$44,$B358)+P358*SUMIFS(Premissas!$D$5:$D$44,Premissas!$A$5:$A$44,$A358,Premissas!$B$5:$B$44,$B358))+R358*SUMIFS(Premissas!$E$5:$E$44,Premissas!$A$5:$A$44,$A358,Premissas!$B$5:$B$44,$B358)+S358*SUMIFS(Premissas!$F$5:$F$44,Premissas!$A$5:$A$44,$A358,Premissas!$B$5:$B$44,$B358)</f>
        <v/>
      </c>
      <c r="L358" s="29">
        <f>J358-K358</f>
        <v/>
      </c>
      <c r="M358" t="inlineStr">
        <is>
          <t>1.556</t>
        </is>
      </c>
      <c r="O358" s="29" t="n">
        <v>586.65</v>
      </c>
      <c r="P358" s="29" t="n">
        <v>782.21</v>
      </c>
      <c r="Q358" s="29" t="n">
        <v>0</v>
      </c>
      <c r="R358" s="29" t="n">
        <v>51.63</v>
      </c>
      <c r="S358" s="29" t="n">
        <v>237.79</v>
      </c>
      <c r="T358" t="inlineStr">
        <is>
          <t>25260455330530000190550010000146421682729397</t>
        </is>
      </c>
      <c r="U358" t="inlineStr">
        <is>
          <t>Sim</t>
        </is>
      </c>
    </row>
    <row r="359">
      <c r="A359" t="inlineStr">
        <is>
          <t>Insumos e papel</t>
        </is>
      </c>
      <c r="B359" t="inlineStr">
        <is>
          <t>2.01.99 Compra de Caixas</t>
        </is>
      </c>
      <c r="C359" s="30" t="n">
        <v>46143</v>
      </c>
      <c r="D359" t="inlineStr">
        <is>
          <t>Em 2026</t>
        </is>
      </c>
      <c r="E359" s="28" t="n">
        <v>46144</v>
      </c>
      <c r="F359" t="inlineStr">
        <is>
          <t>NF-e</t>
        </is>
      </c>
      <c r="G359" t="inlineStr">
        <is>
          <t>000014666</t>
        </is>
      </c>
      <c r="H359" t="inlineStr">
        <is>
          <t>NOVA CONPEL COMPANHIA NORDESTINA DE PAPEL LTDA</t>
        </is>
      </c>
      <c r="I359" t="inlineStr">
        <is>
          <t>55.330.530/0001-90</t>
        </is>
      </c>
      <c r="J359" s="29" t="n">
        <v>17249.98</v>
      </c>
      <c r="K359" s="29">
        <f>(1-ISNUMBER(SEARCH("556",M359)))*(O359*SUMIFS(Premissas!$C$5:$C$44,Premissas!$A$5:$A$44,$A359,Premissas!$B$5:$B$44,$B359)+P359*SUMIFS(Premissas!$D$5:$D$44,Premissas!$A$5:$A$44,$A359,Premissas!$B$5:$B$44,$B359))+R359*SUMIFS(Premissas!$E$5:$E$44,Premissas!$A$5:$A$44,$A359,Premissas!$B$5:$B$44,$B359)+S359*SUMIFS(Premissas!$F$5:$F$44,Premissas!$A$5:$A$44,$A359,Premissas!$B$5:$B$44,$B359)</f>
        <v/>
      </c>
      <c r="L359" s="29">
        <f>J359-K359</f>
        <v/>
      </c>
      <c r="M359" t="inlineStr">
        <is>
          <t>1.556</t>
        </is>
      </c>
      <c r="O359" s="29" t="n">
        <v>2249.99</v>
      </c>
      <c r="P359" s="29" t="n">
        <v>2999.99</v>
      </c>
      <c r="Q359" s="29" t="n">
        <v>0</v>
      </c>
      <c r="R359" s="29" t="n">
        <v>198</v>
      </c>
      <c r="S359" s="29" t="n">
        <v>912</v>
      </c>
      <c r="T359" t="inlineStr">
        <is>
          <t>25260555330530000190550010000146661565311103</t>
        </is>
      </c>
      <c r="U359" t="inlineStr">
        <is>
          <t>Sim</t>
        </is>
      </c>
    </row>
    <row r="360">
      <c r="A360" t="inlineStr">
        <is>
          <t>Insumos e papel</t>
        </is>
      </c>
      <c r="B360" t="inlineStr">
        <is>
          <t>2.01.99 Compra de Caixas</t>
        </is>
      </c>
      <c r="C360" s="30" t="n">
        <v>46143</v>
      </c>
      <c r="D360" t="inlineStr">
        <is>
          <t>Em 2026</t>
        </is>
      </c>
      <c r="E360" s="28" t="n">
        <v>46144</v>
      </c>
      <c r="F360" t="inlineStr">
        <is>
          <t>NF-e</t>
        </is>
      </c>
      <c r="G360" t="inlineStr">
        <is>
          <t>000014672</t>
        </is>
      </c>
      <c r="H360" t="inlineStr">
        <is>
          <t>NOVA CONPEL COMPANHIA NORDESTINA DE PAPEL LTDA</t>
        </is>
      </c>
      <c r="I360" t="inlineStr">
        <is>
          <t>55.330.530/0001-90</t>
        </is>
      </c>
      <c r="J360" s="29" t="n">
        <v>7496.04</v>
      </c>
      <c r="K360" s="29">
        <f>(1-ISNUMBER(SEARCH("556",M360)))*(O360*SUMIFS(Premissas!$C$5:$C$44,Premissas!$A$5:$A$44,$A360,Premissas!$B$5:$B$44,$B360)+P360*SUMIFS(Premissas!$D$5:$D$44,Premissas!$A$5:$A$44,$A360,Premissas!$B$5:$B$44,$B360))+R360*SUMIFS(Premissas!$E$5:$E$44,Premissas!$A$5:$A$44,$A360,Premissas!$B$5:$B$44,$B360)+S360*SUMIFS(Premissas!$F$5:$F$44,Premissas!$A$5:$A$44,$A360,Premissas!$B$5:$B$44,$B360)</f>
        <v/>
      </c>
      <c r="L360" s="29">
        <f>J360-K360</f>
        <v/>
      </c>
      <c r="M360" t="inlineStr">
        <is>
          <t>1.102, 1.556</t>
        </is>
      </c>
      <c r="O360" s="29" t="n">
        <v>977.74</v>
      </c>
      <c r="P360" s="29" t="n">
        <v>1303.66</v>
      </c>
      <c r="Q360" s="29" t="n">
        <v>0</v>
      </c>
      <c r="R360" s="29" t="n">
        <v>86.04000000000001</v>
      </c>
      <c r="S360" s="29" t="n">
        <v>396.32</v>
      </c>
      <c r="T360" t="inlineStr">
        <is>
          <t>25260555330530000190550010000146721057869891</t>
        </is>
      </c>
      <c r="U360" t="inlineStr">
        <is>
          <t>Sim</t>
        </is>
      </c>
    </row>
    <row r="361">
      <c r="A361" t="inlineStr">
        <is>
          <t>Insumos e papel</t>
        </is>
      </c>
      <c r="B361" t="inlineStr">
        <is>
          <t>2.01.99 Compra de Caixas</t>
        </is>
      </c>
      <c r="C361" s="30" t="n">
        <v>46143</v>
      </c>
      <c r="D361" t="inlineStr">
        <is>
          <t>Em 2026</t>
        </is>
      </c>
      <c r="E361" s="28" t="n">
        <v>46153</v>
      </c>
      <c r="F361" t="inlineStr">
        <is>
          <t>NF-e</t>
        </is>
      </c>
      <c r="G361" t="inlineStr">
        <is>
          <t>000014906</t>
        </is>
      </c>
      <c r="H361" t="inlineStr">
        <is>
          <t>NOVA CONPEL COMPANHIA NORDESTINA DE PAPEL LTDA</t>
        </is>
      </c>
      <c r="I361" t="inlineStr">
        <is>
          <t>55.330.530/0001-90</t>
        </is>
      </c>
      <c r="J361" s="29" t="n">
        <v>4806.86</v>
      </c>
      <c r="K361" s="29">
        <f>(1-ISNUMBER(SEARCH("556",M361)))*(O361*SUMIFS(Premissas!$C$5:$C$44,Premissas!$A$5:$A$44,$A361,Premissas!$B$5:$B$44,$B361)+P361*SUMIFS(Premissas!$D$5:$D$44,Premissas!$A$5:$A$44,$A361,Premissas!$B$5:$B$44,$B361))+R361*SUMIFS(Premissas!$E$5:$E$44,Premissas!$A$5:$A$44,$A361,Premissas!$B$5:$B$44,$B361)+S361*SUMIFS(Premissas!$F$5:$F$44,Premissas!$A$5:$A$44,$A361,Premissas!$B$5:$B$44,$B361)</f>
        <v/>
      </c>
      <c r="L361" s="29">
        <f>J361-K361</f>
        <v/>
      </c>
      <c r="M361" t="inlineStr">
        <is>
          <t>1.556</t>
        </is>
      </c>
      <c r="O361" s="29" t="n">
        <v>626.97</v>
      </c>
      <c r="P361" s="29" t="n">
        <v>835.97</v>
      </c>
      <c r="Q361" s="29" t="n">
        <v>0</v>
      </c>
      <c r="R361" s="29" t="n">
        <v>55.18</v>
      </c>
      <c r="S361" s="29" t="n">
        <v>254.13</v>
      </c>
      <c r="T361" t="inlineStr">
        <is>
          <t>25260555330530000190550010000149061984360560</t>
        </is>
      </c>
      <c r="U361" t="inlineStr">
        <is>
          <t>Sim</t>
        </is>
      </c>
    </row>
    <row r="362">
      <c r="A362" t="inlineStr">
        <is>
          <t>Insumos e papel</t>
        </is>
      </c>
      <c r="B362" t="inlineStr">
        <is>
          <t>2.01.99 Compra de Caixas</t>
        </is>
      </c>
      <c r="C362" s="30" t="n">
        <v>46143</v>
      </c>
      <c r="D362" t="inlineStr">
        <is>
          <t>Em 2026</t>
        </is>
      </c>
      <c r="E362" s="28" t="n">
        <v>46154</v>
      </c>
      <c r="F362" t="inlineStr">
        <is>
          <t>NF-e</t>
        </is>
      </c>
      <c r="G362" t="inlineStr">
        <is>
          <t>000014938</t>
        </is>
      </c>
      <c r="H362" t="inlineStr">
        <is>
          <t>NOVA CONPEL COMPANHIA NORDESTINA DE PAPEL LTDA</t>
        </is>
      </c>
      <c r="I362" t="inlineStr">
        <is>
          <t>55.330.530/0001-90</t>
        </is>
      </c>
      <c r="J362" s="29" t="n">
        <v>62408.77</v>
      </c>
      <c r="K362" s="29">
        <f>(1-ISNUMBER(SEARCH("556",M362)))*(O362*SUMIFS(Premissas!$C$5:$C$44,Premissas!$A$5:$A$44,$A362,Premissas!$B$5:$B$44,$B362)+P362*SUMIFS(Premissas!$D$5:$D$44,Premissas!$A$5:$A$44,$A362,Premissas!$B$5:$B$44,$B362))+R362*SUMIFS(Premissas!$E$5:$E$44,Premissas!$A$5:$A$44,$A362,Premissas!$B$5:$B$44,$B362)+S362*SUMIFS(Premissas!$F$5:$F$44,Premissas!$A$5:$A$44,$A362,Premissas!$B$5:$B$44,$B362)</f>
        <v/>
      </c>
      <c r="L362" s="29">
        <f>J362-K362</f>
        <v/>
      </c>
      <c r="M362" t="inlineStr">
        <is>
          <t>1.556</t>
        </is>
      </c>
      <c r="O362" s="29" t="n">
        <v>8140.27</v>
      </c>
      <c r="P362" s="29" t="n">
        <v>10853.7</v>
      </c>
      <c r="Q362" s="29" t="n">
        <v>0</v>
      </c>
      <c r="R362" s="29" t="n">
        <v>716.34</v>
      </c>
      <c r="S362" s="29" t="n">
        <v>3299.52</v>
      </c>
      <c r="T362" t="inlineStr">
        <is>
          <t>25260555330530000190550010000149381419174964</t>
        </is>
      </c>
      <c r="U362" t="inlineStr">
        <is>
          <t>Sim</t>
        </is>
      </c>
    </row>
    <row r="363">
      <c r="A363" t="inlineStr">
        <is>
          <t>Insumos e papel</t>
        </is>
      </c>
      <c r="B363" t="inlineStr">
        <is>
          <t>2.01.99 Compra de Caixas</t>
        </is>
      </c>
      <c r="C363" s="30" t="n">
        <v>46143</v>
      </c>
      <c r="D363" t="inlineStr">
        <is>
          <t>Em 2026</t>
        </is>
      </c>
      <c r="E363" s="28" t="n">
        <v>46154</v>
      </c>
      <c r="F363" t="inlineStr">
        <is>
          <t>NF-e</t>
        </is>
      </c>
      <c r="G363" t="inlineStr">
        <is>
          <t>000014939</t>
        </is>
      </c>
      <c r="H363" t="inlineStr">
        <is>
          <t>NOVA CONPEL COMPANHIA NORDESTINA DE PAPEL LTDA</t>
        </is>
      </c>
      <c r="I363" t="inlineStr">
        <is>
          <t>55.330.530/0001-90</t>
        </is>
      </c>
      <c r="J363" s="29" t="n">
        <v>61992.71</v>
      </c>
      <c r="K363" s="29">
        <f>(1-ISNUMBER(SEARCH("556",M363)))*(O363*SUMIFS(Premissas!$C$5:$C$44,Premissas!$A$5:$A$44,$A363,Premissas!$B$5:$B$44,$B363)+P363*SUMIFS(Premissas!$D$5:$D$44,Premissas!$A$5:$A$44,$A363,Premissas!$B$5:$B$44,$B363))+R363*SUMIFS(Premissas!$E$5:$E$44,Premissas!$A$5:$A$44,$A363,Premissas!$B$5:$B$44,$B363)+S363*SUMIFS(Premissas!$F$5:$F$44,Premissas!$A$5:$A$44,$A363,Premissas!$B$5:$B$44,$B363)</f>
        <v/>
      </c>
      <c r="L363" s="29">
        <f>J363-K363</f>
        <v/>
      </c>
      <c r="M363" t="inlineStr">
        <is>
          <t>1.556</t>
        </is>
      </c>
      <c r="O363" s="29" t="n">
        <v>8086</v>
      </c>
      <c r="P363" s="29" t="n">
        <v>10781.34</v>
      </c>
      <c r="Q363" s="29" t="n">
        <v>0</v>
      </c>
      <c r="R363" s="29" t="n">
        <v>711.5700000000001</v>
      </c>
      <c r="S363" s="29" t="n">
        <v>3277.53</v>
      </c>
      <c r="T363" t="inlineStr">
        <is>
          <t>25260555330530000190550010000149391645141394</t>
        </is>
      </c>
      <c r="U363" t="inlineStr">
        <is>
          <t>Sim</t>
        </is>
      </c>
    </row>
    <row r="364">
      <c r="A364" t="inlineStr">
        <is>
          <t>Insumos e papel</t>
        </is>
      </c>
      <c r="B364" t="inlineStr">
        <is>
          <t>2.01.99 Compra de Caixas</t>
        </is>
      </c>
      <c r="C364" s="30" t="n">
        <v>46143</v>
      </c>
      <c r="D364" t="inlineStr">
        <is>
          <t>Em 2026</t>
        </is>
      </c>
      <c r="E364" s="28" t="n">
        <v>46154</v>
      </c>
      <c r="F364" t="inlineStr">
        <is>
          <t>NF-e</t>
        </is>
      </c>
      <c r="G364" t="inlineStr">
        <is>
          <t>000014940</t>
        </is>
      </c>
      <c r="H364" t="inlineStr">
        <is>
          <t>NOVA CONPEL COMPANHIA NORDESTINA DE PAPEL LTDA</t>
        </is>
      </c>
      <c r="I364" t="inlineStr">
        <is>
          <t>55.330.530/0001-90</t>
        </is>
      </c>
      <c r="J364" s="29" t="n">
        <v>65737.24000000001</v>
      </c>
      <c r="K364" s="29">
        <f>(1-ISNUMBER(SEARCH("556",M364)))*(O364*SUMIFS(Premissas!$C$5:$C$44,Premissas!$A$5:$A$44,$A364,Premissas!$B$5:$B$44,$B364)+P364*SUMIFS(Premissas!$D$5:$D$44,Premissas!$A$5:$A$44,$A364,Premissas!$B$5:$B$44,$B364))+R364*SUMIFS(Premissas!$E$5:$E$44,Premissas!$A$5:$A$44,$A364,Premissas!$B$5:$B$44,$B364)+S364*SUMIFS(Premissas!$F$5:$F$44,Premissas!$A$5:$A$44,$A364,Premissas!$B$5:$B$44,$B364)</f>
        <v/>
      </c>
      <c r="L364" s="29">
        <f>J364-K364</f>
        <v/>
      </c>
      <c r="M364" t="inlineStr">
        <is>
          <t>1.556</t>
        </is>
      </c>
      <c r="O364" s="29" t="n">
        <v>8574.42</v>
      </c>
      <c r="P364" s="29" t="n">
        <v>11432.56</v>
      </c>
      <c r="Q364" s="29" t="n">
        <v>0</v>
      </c>
      <c r="R364" s="29" t="n">
        <v>754.55</v>
      </c>
      <c r="S364" s="29" t="n">
        <v>3475.5</v>
      </c>
      <c r="T364" t="inlineStr">
        <is>
          <t>25260555330530000190550010000149401669383470</t>
        </is>
      </c>
      <c r="U364" t="inlineStr">
        <is>
          <t>Sim</t>
        </is>
      </c>
    </row>
    <row r="365">
      <c r="A365" t="inlineStr">
        <is>
          <t>Insumos e papel</t>
        </is>
      </c>
      <c r="B365" t="inlineStr">
        <is>
          <t>2.01.99 Compra de Caixas</t>
        </is>
      </c>
      <c r="C365" s="30" t="n">
        <v>46143</v>
      </c>
      <c r="D365" t="inlineStr">
        <is>
          <t>Em 2026</t>
        </is>
      </c>
      <c r="E365" s="28" t="n">
        <v>46154</v>
      </c>
      <c r="F365" t="inlineStr">
        <is>
          <t>NF-e</t>
        </is>
      </c>
      <c r="G365" t="inlineStr">
        <is>
          <t>000014941</t>
        </is>
      </c>
      <c r="H365" t="inlineStr">
        <is>
          <t>NOVA CONPEL COMPANHIA NORDESTINA DE PAPEL LTDA</t>
        </is>
      </c>
      <c r="I365" t="inlineStr">
        <is>
          <t>55.330.530/0001-90</t>
        </is>
      </c>
      <c r="J365" s="29" t="n">
        <v>61992.71</v>
      </c>
      <c r="K365" s="29">
        <f>(1-ISNUMBER(SEARCH("556",M365)))*(O365*SUMIFS(Premissas!$C$5:$C$44,Premissas!$A$5:$A$44,$A365,Premissas!$B$5:$B$44,$B365)+P365*SUMIFS(Premissas!$D$5:$D$44,Premissas!$A$5:$A$44,$A365,Premissas!$B$5:$B$44,$B365))+R365*SUMIFS(Premissas!$E$5:$E$44,Premissas!$A$5:$A$44,$A365,Premissas!$B$5:$B$44,$B365)+S365*SUMIFS(Premissas!$F$5:$F$44,Premissas!$A$5:$A$44,$A365,Premissas!$B$5:$B$44,$B365)</f>
        <v/>
      </c>
      <c r="L365" s="29">
        <f>J365-K365</f>
        <v/>
      </c>
      <c r="M365" t="inlineStr">
        <is>
          <t>1.556</t>
        </is>
      </c>
      <c r="O365" s="29" t="n">
        <v>8086</v>
      </c>
      <c r="P365" s="29" t="n">
        <v>10781.34</v>
      </c>
      <c r="Q365" s="29" t="n">
        <v>0</v>
      </c>
      <c r="R365" s="29" t="n">
        <v>711.5700000000001</v>
      </c>
      <c r="S365" s="29" t="n">
        <v>3277.53</v>
      </c>
      <c r="T365" t="inlineStr">
        <is>
          <t>25260555330530000190550010000149411590476177</t>
        </is>
      </c>
      <c r="U365" t="inlineStr">
        <is>
          <t>Sim</t>
        </is>
      </c>
    </row>
    <row r="366">
      <c r="A366" t="inlineStr">
        <is>
          <t>Insumos e papel</t>
        </is>
      </c>
      <c r="B366" t="inlineStr">
        <is>
          <t>2.01.99 Compra de Caixas</t>
        </is>
      </c>
      <c r="C366" s="30" t="n">
        <v>46143</v>
      </c>
      <c r="D366" t="inlineStr">
        <is>
          <t>Em 2026</t>
        </is>
      </c>
      <c r="E366" s="28" t="n">
        <v>46154</v>
      </c>
      <c r="F366" t="inlineStr">
        <is>
          <t>NF-e</t>
        </is>
      </c>
      <c r="G366" t="inlineStr">
        <is>
          <t>000014942</t>
        </is>
      </c>
      <c r="H366" t="inlineStr">
        <is>
          <t>NOVA CONPEL COMPANHIA NORDESTINA DE PAPEL LTDA</t>
        </is>
      </c>
      <c r="I366" t="inlineStr">
        <is>
          <t>55.330.530/0001-90</t>
        </is>
      </c>
      <c r="J366" s="29" t="n">
        <v>64073</v>
      </c>
      <c r="K366" s="29">
        <f>(1-ISNUMBER(SEARCH("556",M366)))*(O366*SUMIFS(Premissas!$C$5:$C$44,Premissas!$A$5:$A$44,$A366,Premissas!$B$5:$B$44,$B366)+P366*SUMIFS(Premissas!$D$5:$D$44,Premissas!$A$5:$A$44,$A366,Premissas!$B$5:$B$44,$B366))+R366*SUMIFS(Premissas!$E$5:$E$44,Premissas!$A$5:$A$44,$A366,Premissas!$B$5:$B$44,$B366)+S366*SUMIFS(Premissas!$F$5:$F$44,Premissas!$A$5:$A$44,$A366,Premissas!$B$5:$B$44,$B366)</f>
        <v/>
      </c>
      <c r="L366" s="29">
        <f>J366-K366</f>
        <v/>
      </c>
      <c r="M366" t="inlineStr">
        <is>
          <t>1.556</t>
        </is>
      </c>
      <c r="O366" s="29" t="n">
        <v>8357.34</v>
      </c>
      <c r="P366" s="29" t="n">
        <v>11143.13</v>
      </c>
      <c r="Q366" s="29" t="n">
        <v>0</v>
      </c>
      <c r="R366" s="29" t="n">
        <v>735.45</v>
      </c>
      <c r="S366" s="29" t="n">
        <v>3387.51</v>
      </c>
      <c r="T366" t="inlineStr">
        <is>
          <t>25260555330530000190550010000149421418174904</t>
        </is>
      </c>
      <c r="U366" t="inlineStr">
        <is>
          <t>Sim</t>
        </is>
      </c>
    </row>
    <row r="367">
      <c r="A367" t="inlineStr">
        <is>
          <t>Insumos e papel</t>
        </is>
      </c>
      <c r="B367" t="inlineStr">
        <is>
          <t>2.01.99 Compra de Caixas</t>
        </is>
      </c>
      <c r="C367" s="30" t="n">
        <v>46143</v>
      </c>
      <c r="D367" t="inlineStr">
        <is>
          <t>Em 2026</t>
        </is>
      </c>
      <c r="E367" s="28" t="n">
        <v>46154</v>
      </c>
      <c r="F367" t="inlineStr">
        <is>
          <t>NF-e</t>
        </is>
      </c>
      <c r="G367" t="inlineStr">
        <is>
          <t>000014943</t>
        </is>
      </c>
      <c r="H367" t="inlineStr">
        <is>
          <t>NOVA CONPEL COMPANHIA NORDESTINA DE PAPEL LTDA</t>
        </is>
      </c>
      <c r="I367" t="inlineStr">
        <is>
          <t>55.330.530/0001-90</t>
        </is>
      </c>
      <c r="J367" s="29" t="n">
        <v>60328.48</v>
      </c>
      <c r="K367" s="29">
        <f>(1-ISNUMBER(SEARCH("556",M367)))*(O367*SUMIFS(Premissas!$C$5:$C$44,Premissas!$A$5:$A$44,$A367,Premissas!$B$5:$B$44,$B367)+P367*SUMIFS(Premissas!$D$5:$D$44,Premissas!$A$5:$A$44,$A367,Premissas!$B$5:$B$44,$B367))+R367*SUMIFS(Premissas!$E$5:$E$44,Premissas!$A$5:$A$44,$A367,Premissas!$B$5:$B$44,$B367)+S367*SUMIFS(Premissas!$F$5:$F$44,Premissas!$A$5:$A$44,$A367,Premissas!$B$5:$B$44,$B367)</f>
        <v/>
      </c>
      <c r="L367" s="29">
        <f>J367-K367</f>
        <v/>
      </c>
      <c r="M367" t="inlineStr">
        <is>
          <t>1.556</t>
        </is>
      </c>
      <c r="O367" s="29" t="n">
        <v>7868.93</v>
      </c>
      <c r="P367" s="29" t="n">
        <v>10491.91</v>
      </c>
      <c r="Q367" s="29" t="n">
        <v>0</v>
      </c>
      <c r="R367" s="29" t="n">
        <v>692.47</v>
      </c>
      <c r="S367" s="29" t="n">
        <v>3189.54</v>
      </c>
      <c r="T367" t="inlineStr">
        <is>
          <t>25260555330530000190550010000149431333461027</t>
        </is>
      </c>
      <c r="U367" t="inlineStr">
        <is>
          <t>Sim</t>
        </is>
      </c>
    </row>
    <row r="368">
      <c r="A368" t="inlineStr">
        <is>
          <t>Insumos e papel</t>
        </is>
      </c>
      <c r="B368" t="inlineStr">
        <is>
          <t>2.01.99 Compra de Caixas</t>
        </is>
      </c>
      <c r="C368" s="30" t="n">
        <v>46143</v>
      </c>
      <c r="D368" t="inlineStr">
        <is>
          <t>Em 2026</t>
        </is>
      </c>
      <c r="E368" s="28" t="n">
        <v>46154</v>
      </c>
      <c r="F368" t="inlineStr">
        <is>
          <t>NF-e</t>
        </is>
      </c>
      <c r="G368" t="inlineStr">
        <is>
          <t>000014944</t>
        </is>
      </c>
      <c r="H368" t="inlineStr">
        <is>
          <t>NOVA CONPEL COMPANHIA NORDESTINA DE PAPEL LTDA</t>
        </is>
      </c>
      <c r="I368" t="inlineStr">
        <is>
          <t>55.330.530/0001-90</t>
        </is>
      </c>
      <c r="J368" s="29" t="n">
        <v>57832.13</v>
      </c>
      <c r="K368" s="29">
        <f>(1-ISNUMBER(SEARCH("556",M368)))*(O368*SUMIFS(Premissas!$C$5:$C$44,Premissas!$A$5:$A$44,$A368,Premissas!$B$5:$B$44,$B368)+P368*SUMIFS(Premissas!$D$5:$D$44,Premissas!$A$5:$A$44,$A368,Premissas!$B$5:$B$44,$B368))+R368*SUMIFS(Premissas!$E$5:$E$44,Premissas!$A$5:$A$44,$A368,Premissas!$B$5:$B$44,$B368)+S368*SUMIFS(Premissas!$F$5:$F$44,Premissas!$A$5:$A$44,$A368,Premissas!$B$5:$B$44,$B368)</f>
        <v/>
      </c>
      <c r="L368" s="29">
        <f>J368-K368</f>
        <v/>
      </c>
      <c r="M368" t="inlineStr">
        <is>
          <t>1.556</t>
        </is>
      </c>
      <c r="O368" s="29" t="n">
        <v>7543.32</v>
      </c>
      <c r="P368" s="29" t="n">
        <v>10057.76</v>
      </c>
      <c r="Q368" s="29" t="n">
        <v>0</v>
      </c>
      <c r="R368" s="29" t="n">
        <v>663.8099999999999</v>
      </c>
      <c r="S368" s="29" t="n">
        <v>3057.56</v>
      </c>
      <c r="T368" t="inlineStr">
        <is>
          <t>25260555330530000190550010000149441013186758</t>
        </is>
      </c>
      <c r="U368" t="inlineStr">
        <is>
          <t>Sim</t>
        </is>
      </c>
    </row>
    <row r="369">
      <c r="A369" t="inlineStr">
        <is>
          <t>Insumos e papel</t>
        </is>
      </c>
      <c r="B369" t="inlineStr">
        <is>
          <t>2.01.99 Compra de Caixas</t>
        </is>
      </c>
      <c r="C369" s="30" t="n">
        <v>46143</v>
      </c>
      <c r="D369" t="inlineStr">
        <is>
          <t>Em 2026</t>
        </is>
      </c>
      <c r="E369" s="28" t="n">
        <v>46154</v>
      </c>
      <c r="F369" t="inlineStr">
        <is>
          <t>NF-e</t>
        </is>
      </c>
      <c r="G369" t="inlineStr">
        <is>
          <t>000014945</t>
        </is>
      </c>
      <c r="H369" t="inlineStr">
        <is>
          <t>NOVA CONPEL COMPANHIA NORDESTINA DE PAPEL LTDA</t>
        </is>
      </c>
      <c r="I369" t="inlineStr">
        <is>
          <t>55.330.530/0001-90</t>
        </is>
      </c>
      <c r="J369" s="29" t="n">
        <v>63656.95</v>
      </c>
      <c r="K369" s="29">
        <f>(1-ISNUMBER(SEARCH("556",M369)))*(O369*SUMIFS(Premissas!$C$5:$C$44,Premissas!$A$5:$A$44,$A369,Premissas!$B$5:$B$44,$B369)+P369*SUMIFS(Premissas!$D$5:$D$44,Premissas!$A$5:$A$44,$A369,Premissas!$B$5:$B$44,$B369))+R369*SUMIFS(Premissas!$E$5:$E$44,Premissas!$A$5:$A$44,$A369,Premissas!$B$5:$B$44,$B369)+S369*SUMIFS(Premissas!$F$5:$F$44,Premissas!$A$5:$A$44,$A369,Premissas!$B$5:$B$44,$B369)</f>
        <v/>
      </c>
      <c r="L369" s="29">
        <f>J369-K369</f>
        <v/>
      </c>
      <c r="M369" t="inlineStr">
        <is>
          <t>1.556</t>
        </is>
      </c>
      <c r="O369" s="29" t="n">
        <v>8303.08</v>
      </c>
      <c r="P369" s="29" t="n">
        <v>11070.77</v>
      </c>
      <c r="Q369" s="29" t="n">
        <v>0</v>
      </c>
      <c r="R369" s="29" t="n">
        <v>730.67</v>
      </c>
      <c r="S369" s="29" t="n">
        <v>3365.52</v>
      </c>
      <c r="T369" t="inlineStr">
        <is>
          <t>25260555330530000190550010000149451443522505</t>
        </is>
      </c>
      <c r="U369" t="inlineStr">
        <is>
          <t>Sim</t>
        </is>
      </c>
    </row>
    <row r="370">
      <c r="A370" t="inlineStr">
        <is>
          <t>Insumos e papel</t>
        </is>
      </c>
      <c r="B370" t="inlineStr">
        <is>
          <t>2.01.99 Compra de Caixas</t>
        </is>
      </c>
      <c r="C370" s="30" t="n">
        <v>46143</v>
      </c>
      <c r="D370" t="inlineStr">
        <is>
          <t>Em 2026</t>
        </is>
      </c>
      <c r="E370" s="28" t="n">
        <v>46154</v>
      </c>
      <c r="F370" t="inlineStr">
        <is>
          <t>NF-e</t>
        </is>
      </c>
      <c r="G370" t="inlineStr">
        <is>
          <t>000014946</t>
        </is>
      </c>
      <c r="H370" t="inlineStr">
        <is>
          <t>NOVA CONPEL COMPANHIA NORDESTINA DE PAPEL LTDA</t>
        </is>
      </c>
      <c r="I370" t="inlineStr">
        <is>
          <t>55.330.530/0001-90</t>
        </is>
      </c>
      <c r="J370" s="29" t="n">
        <v>63240.89</v>
      </c>
      <c r="K370" s="29">
        <f>(1-ISNUMBER(SEARCH("556",M370)))*(O370*SUMIFS(Premissas!$C$5:$C$44,Premissas!$A$5:$A$44,$A370,Premissas!$B$5:$B$44,$B370)+P370*SUMIFS(Premissas!$D$5:$D$44,Premissas!$A$5:$A$44,$A370,Premissas!$B$5:$B$44,$B370))+R370*SUMIFS(Premissas!$E$5:$E$44,Premissas!$A$5:$A$44,$A370,Premissas!$B$5:$B$44,$B370)+S370*SUMIFS(Premissas!$F$5:$F$44,Premissas!$A$5:$A$44,$A370,Premissas!$B$5:$B$44,$B370)</f>
        <v/>
      </c>
      <c r="L370" s="29">
        <f>J370-K370</f>
        <v/>
      </c>
      <c r="M370" t="inlineStr">
        <is>
          <t>1.556</t>
        </is>
      </c>
      <c r="O370" s="29" t="n">
        <v>8248.809999999999</v>
      </c>
      <c r="P370" s="29" t="n">
        <v>10998.41</v>
      </c>
      <c r="Q370" s="29" t="n">
        <v>0</v>
      </c>
      <c r="R370" s="29" t="n">
        <v>725.9</v>
      </c>
      <c r="S370" s="29" t="n">
        <v>3343.52</v>
      </c>
      <c r="T370" t="inlineStr">
        <is>
          <t>25260555330530000190550010000149461822402505</t>
        </is>
      </c>
      <c r="U370" t="inlineStr">
        <is>
          <t>Sim</t>
        </is>
      </c>
    </row>
    <row r="371">
      <c r="A371" t="inlineStr">
        <is>
          <t>Insumos e papel</t>
        </is>
      </c>
      <c r="B371" t="inlineStr">
        <is>
          <t>2.01.99 Compra de Caixas</t>
        </is>
      </c>
      <c r="C371" s="30" t="n">
        <v>46143</v>
      </c>
      <c r="D371" t="inlineStr">
        <is>
          <t>Em 2026</t>
        </is>
      </c>
      <c r="E371" s="28" t="n">
        <v>46154</v>
      </c>
      <c r="F371" t="inlineStr">
        <is>
          <t>NF-e</t>
        </is>
      </c>
      <c r="G371" t="inlineStr">
        <is>
          <t>000014947</t>
        </is>
      </c>
      <c r="H371" t="inlineStr">
        <is>
          <t>NOVA CONPEL COMPANHIA NORDESTINA DE PAPEL LTDA</t>
        </is>
      </c>
      <c r="I371" t="inlineStr">
        <is>
          <t>55.330.530/0001-90</t>
        </is>
      </c>
      <c r="J371" s="29" t="n">
        <v>61160.59</v>
      </c>
      <c r="K371" s="29">
        <f>(1-ISNUMBER(SEARCH("556",M371)))*(O371*SUMIFS(Premissas!$C$5:$C$44,Premissas!$A$5:$A$44,$A371,Premissas!$B$5:$B$44,$B371)+P371*SUMIFS(Premissas!$D$5:$D$44,Premissas!$A$5:$A$44,$A371,Premissas!$B$5:$B$44,$B371))+R371*SUMIFS(Premissas!$E$5:$E$44,Premissas!$A$5:$A$44,$A371,Premissas!$B$5:$B$44,$B371)+S371*SUMIFS(Premissas!$F$5:$F$44,Premissas!$A$5:$A$44,$A371,Premissas!$B$5:$B$44,$B371)</f>
        <v/>
      </c>
      <c r="L371" s="29">
        <f>J371-K371</f>
        <v/>
      </c>
      <c r="M371" t="inlineStr">
        <is>
          <t>1.556</t>
        </is>
      </c>
      <c r="O371" s="29" t="n">
        <v>7977.46</v>
      </c>
      <c r="P371" s="29" t="n">
        <v>10636.62</v>
      </c>
      <c r="Q371" s="29" t="n">
        <v>0</v>
      </c>
      <c r="R371" s="29" t="n">
        <v>702.02</v>
      </c>
      <c r="S371" s="29" t="n">
        <v>3233.53</v>
      </c>
      <c r="T371" t="inlineStr">
        <is>
          <t>25260555330530000190550010000149471238775825</t>
        </is>
      </c>
      <c r="U371" t="inlineStr">
        <is>
          <t>Sim</t>
        </is>
      </c>
    </row>
    <row r="372">
      <c r="A372" t="inlineStr">
        <is>
          <t>Insumos e papel</t>
        </is>
      </c>
      <c r="B372" t="inlineStr">
        <is>
          <t>2.01.99 Compra de Caixas</t>
        </is>
      </c>
      <c r="C372" s="30" t="n">
        <v>46143</v>
      </c>
      <c r="D372" t="inlineStr">
        <is>
          <t>Em 2026</t>
        </is>
      </c>
      <c r="E372" s="28" t="n">
        <v>46154</v>
      </c>
      <c r="F372" t="inlineStr">
        <is>
          <t>NF-e</t>
        </is>
      </c>
      <c r="G372" t="inlineStr">
        <is>
          <t>000014948</t>
        </is>
      </c>
      <c r="H372" t="inlineStr">
        <is>
          <t>NOVA CONPEL COMPANHIA NORDESTINA DE PAPEL LTDA</t>
        </is>
      </c>
      <c r="I372" t="inlineStr">
        <is>
          <t>55.330.530/0001-90</t>
        </is>
      </c>
      <c r="J372" s="29" t="n">
        <v>64405.85</v>
      </c>
      <c r="K372" s="29">
        <f>(1-ISNUMBER(SEARCH("556",M372)))*(O372*SUMIFS(Premissas!$C$5:$C$44,Premissas!$A$5:$A$44,$A372,Premissas!$B$5:$B$44,$B372)+P372*SUMIFS(Premissas!$D$5:$D$44,Premissas!$A$5:$A$44,$A372,Premissas!$B$5:$B$44,$B372))+R372*SUMIFS(Premissas!$E$5:$E$44,Premissas!$A$5:$A$44,$A372,Premissas!$B$5:$B$44,$B372)+S372*SUMIFS(Premissas!$F$5:$F$44,Premissas!$A$5:$A$44,$A372,Premissas!$B$5:$B$44,$B372)</f>
        <v/>
      </c>
      <c r="L372" s="29">
        <f>J372-K372</f>
        <v/>
      </c>
      <c r="M372" t="inlineStr">
        <is>
          <t>1.556</t>
        </is>
      </c>
      <c r="O372" s="29" t="n">
        <v>8400.76</v>
      </c>
      <c r="P372" s="29" t="n">
        <v>11201.01</v>
      </c>
      <c r="Q372" s="29" t="n">
        <v>0</v>
      </c>
      <c r="R372" s="29" t="n">
        <v>739.27</v>
      </c>
      <c r="S372" s="29" t="n">
        <v>3405.11</v>
      </c>
      <c r="T372" t="inlineStr">
        <is>
          <t>25260555330530000190550010000149481536808656</t>
        </is>
      </c>
      <c r="U372" t="inlineStr">
        <is>
          <t>Sim</t>
        </is>
      </c>
    </row>
    <row r="373">
      <c r="A373" t="inlineStr">
        <is>
          <t>Insumos e papel</t>
        </is>
      </c>
      <c r="B373" t="inlineStr">
        <is>
          <t>2.01.99 Compra de Caixas</t>
        </is>
      </c>
      <c r="C373" s="30" t="n">
        <v>46143</v>
      </c>
      <c r="D373" t="inlineStr">
        <is>
          <t>Em 2026</t>
        </is>
      </c>
      <c r="E373" s="28" t="n">
        <v>46154</v>
      </c>
      <c r="F373" t="inlineStr">
        <is>
          <t>NF-e</t>
        </is>
      </c>
      <c r="G373" t="inlineStr">
        <is>
          <t>000014949</t>
        </is>
      </c>
      <c r="H373" t="inlineStr">
        <is>
          <t>NOVA CONPEL COMPANHIA NORDESTINA DE PAPEL LTDA</t>
        </is>
      </c>
      <c r="I373" t="inlineStr">
        <is>
          <t>55.330.530/0001-90</t>
        </is>
      </c>
      <c r="J373" s="29" t="n">
        <v>63740.16</v>
      </c>
      <c r="K373" s="29">
        <f>(1-ISNUMBER(SEARCH("556",M373)))*(O373*SUMIFS(Premissas!$C$5:$C$44,Premissas!$A$5:$A$44,$A373,Premissas!$B$5:$B$44,$B373)+P373*SUMIFS(Premissas!$D$5:$D$44,Premissas!$A$5:$A$44,$A373,Premissas!$B$5:$B$44,$B373))+R373*SUMIFS(Premissas!$E$5:$E$44,Premissas!$A$5:$A$44,$A373,Premissas!$B$5:$B$44,$B373)+S373*SUMIFS(Premissas!$F$5:$F$44,Premissas!$A$5:$A$44,$A373,Premissas!$B$5:$B$44,$B373)</f>
        <v/>
      </c>
      <c r="L373" s="29">
        <f>J373-K373</f>
        <v/>
      </c>
      <c r="M373" t="inlineStr">
        <is>
          <t>1.556</t>
        </is>
      </c>
      <c r="O373" s="29" t="n">
        <v>8313.93</v>
      </c>
      <c r="P373" s="29" t="n">
        <v>11085.24</v>
      </c>
      <c r="Q373" s="29" t="n">
        <v>0</v>
      </c>
      <c r="R373" s="29" t="n">
        <v>731.63</v>
      </c>
      <c r="S373" s="29" t="n">
        <v>3369.92</v>
      </c>
      <c r="T373" t="inlineStr">
        <is>
          <t>25260555330530000190550010000149491533300101</t>
        </is>
      </c>
      <c r="U373" t="inlineStr">
        <is>
          <t>Sim</t>
        </is>
      </c>
    </row>
    <row r="374">
      <c r="A374" t="inlineStr">
        <is>
          <t>Insumos e papel</t>
        </is>
      </c>
      <c r="B374" t="inlineStr">
        <is>
          <t>2.01.99 Compra de Caixas</t>
        </is>
      </c>
      <c r="C374" s="30" t="n">
        <v>46143</v>
      </c>
      <c r="D374" t="inlineStr">
        <is>
          <t>Em 2026</t>
        </is>
      </c>
      <c r="E374" s="28" t="n">
        <v>46154</v>
      </c>
      <c r="F374" t="inlineStr">
        <is>
          <t>NF-e</t>
        </is>
      </c>
      <c r="G374" t="inlineStr">
        <is>
          <t>000014950</t>
        </is>
      </c>
      <c r="H374" t="inlineStr">
        <is>
          <t>NOVA CONPEL COMPANHIA NORDESTINA DE PAPEL LTDA</t>
        </is>
      </c>
      <c r="I374" t="inlineStr">
        <is>
          <t>55.330.530/0001-90</t>
        </is>
      </c>
      <c r="J374" s="29" t="n">
        <v>64197.83</v>
      </c>
      <c r="K374" s="29">
        <f>(1-ISNUMBER(SEARCH("556",M374)))*(O374*SUMIFS(Premissas!$C$5:$C$44,Premissas!$A$5:$A$44,$A374,Premissas!$B$5:$B$44,$B374)+P374*SUMIFS(Premissas!$D$5:$D$44,Premissas!$A$5:$A$44,$A374,Premissas!$B$5:$B$44,$B374))+R374*SUMIFS(Premissas!$E$5:$E$44,Premissas!$A$5:$A$44,$A374,Premissas!$B$5:$B$44,$B374)+S374*SUMIFS(Premissas!$F$5:$F$44,Premissas!$A$5:$A$44,$A374,Premissas!$B$5:$B$44,$B374)</f>
        <v/>
      </c>
      <c r="L374" s="29">
        <f>J374-K374</f>
        <v/>
      </c>
      <c r="M374" t="inlineStr">
        <is>
          <t>1.556</t>
        </is>
      </c>
      <c r="O374" s="29" t="n">
        <v>8373.629999999999</v>
      </c>
      <c r="P374" s="29" t="n">
        <v>11164.84</v>
      </c>
      <c r="Q374" s="29" t="n">
        <v>0</v>
      </c>
      <c r="R374" s="29" t="n">
        <v>736.88</v>
      </c>
      <c r="S374" s="29" t="n">
        <v>3394.11</v>
      </c>
      <c r="T374" t="inlineStr">
        <is>
          <t>25260555330530000190550010000149501830893701</t>
        </is>
      </c>
      <c r="U374" t="inlineStr">
        <is>
          <t>Sim</t>
        </is>
      </c>
    </row>
    <row r="375">
      <c r="A375" t="inlineStr">
        <is>
          <t>Insumos e papel</t>
        </is>
      </c>
      <c r="B375" t="inlineStr">
        <is>
          <t>2.01.99 Compra de Caixas</t>
        </is>
      </c>
      <c r="C375" s="30" t="n">
        <v>46143</v>
      </c>
      <c r="D375" t="inlineStr">
        <is>
          <t>Em 2026</t>
        </is>
      </c>
      <c r="E375" s="28" t="n">
        <v>46154</v>
      </c>
      <c r="F375" t="inlineStr">
        <is>
          <t>NF-e</t>
        </is>
      </c>
      <c r="G375" t="inlineStr">
        <is>
          <t>000014951</t>
        </is>
      </c>
      <c r="H375" t="inlineStr">
        <is>
          <t>NOVA CONPEL COMPANHIA NORDESTINA DE PAPEL LTDA</t>
        </is>
      </c>
      <c r="I375" t="inlineStr">
        <is>
          <t>55.330.530/0001-90</t>
        </is>
      </c>
      <c r="J375" s="29" t="n">
        <v>60744.54</v>
      </c>
      <c r="K375" s="29">
        <f>(1-ISNUMBER(SEARCH("556",M375)))*(O375*SUMIFS(Premissas!$C$5:$C$44,Premissas!$A$5:$A$44,$A375,Premissas!$B$5:$B$44,$B375)+P375*SUMIFS(Premissas!$D$5:$D$44,Premissas!$A$5:$A$44,$A375,Premissas!$B$5:$B$44,$B375))+R375*SUMIFS(Premissas!$E$5:$E$44,Premissas!$A$5:$A$44,$A375,Premissas!$B$5:$B$44,$B375)+S375*SUMIFS(Premissas!$F$5:$F$44,Premissas!$A$5:$A$44,$A375,Premissas!$B$5:$B$44,$B375)</f>
        <v/>
      </c>
      <c r="L375" s="29">
        <f>J375-K375</f>
        <v/>
      </c>
      <c r="M375" t="inlineStr">
        <is>
          <t>1.556</t>
        </is>
      </c>
      <c r="O375" s="29" t="n">
        <v>7923.2</v>
      </c>
      <c r="P375" s="29" t="n">
        <v>10564.26</v>
      </c>
      <c r="Q375" s="29" t="n">
        <v>0</v>
      </c>
      <c r="R375" s="29" t="n">
        <v>697.24</v>
      </c>
      <c r="S375" s="29" t="n">
        <v>3211.54</v>
      </c>
      <c r="T375" t="inlineStr">
        <is>
          <t>25260555330530000190550010000149511531208400</t>
        </is>
      </c>
      <c r="U375" t="inlineStr">
        <is>
          <t>Sim</t>
        </is>
      </c>
    </row>
    <row r="376">
      <c r="A376" t="inlineStr">
        <is>
          <t>Insumos e papel</t>
        </is>
      </c>
      <c r="B376" t="inlineStr">
        <is>
          <t>2.01.99 Compra de Caixas</t>
        </is>
      </c>
      <c r="C376" s="30" t="n">
        <v>46143</v>
      </c>
      <c r="D376" t="inlineStr">
        <is>
          <t>Em 2026</t>
        </is>
      </c>
      <c r="E376" s="28" t="n">
        <v>46154</v>
      </c>
      <c r="F376" t="inlineStr">
        <is>
          <t>NF-e</t>
        </is>
      </c>
      <c r="G376" t="inlineStr">
        <is>
          <t>000014952</t>
        </is>
      </c>
      <c r="H376" t="inlineStr">
        <is>
          <t>NOVA CONPEL COMPANHIA NORDESTINA DE PAPEL LTDA</t>
        </is>
      </c>
      <c r="I376" t="inlineStr">
        <is>
          <t>55.330.530/0001-90</t>
        </is>
      </c>
      <c r="J376" s="29" t="n">
        <v>63324.1</v>
      </c>
      <c r="K376" s="29">
        <f>(1-ISNUMBER(SEARCH("556",M376)))*(O376*SUMIFS(Premissas!$C$5:$C$44,Premissas!$A$5:$A$44,$A376,Premissas!$B$5:$B$44,$B376)+P376*SUMIFS(Premissas!$D$5:$D$44,Premissas!$A$5:$A$44,$A376,Premissas!$B$5:$B$44,$B376))+R376*SUMIFS(Premissas!$E$5:$E$44,Premissas!$A$5:$A$44,$A376,Premissas!$B$5:$B$44,$B376)+S376*SUMIFS(Premissas!$F$5:$F$44,Premissas!$A$5:$A$44,$A376,Premissas!$B$5:$B$44,$B376)</f>
        <v/>
      </c>
      <c r="L376" s="29">
        <f>J376-K376</f>
        <v/>
      </c>
      <c r="M376" t="inlineStr">
        <is>
          <t>1.556</t>
        </is>
      </c>
      <c r="O376" s="29" t="n">
        <v>8259.66</v>
      </c>
      <c r="P376" s="29" t="n">
        <v>11012.88</v>
      </c>
      <c r="Q376" s="29" t="n">
        <v>0</v>
      </c>
      <c r="R376" s="29" t="n">
        <v>726.85</v>
      </c>
      <c r="S376" s="29" t="n">
        <v>3347.92</v>
      </c>
      <c r="T376" t="inlineStr">
        <is>
          <t>25260555330530000190550010000149521554028481</t>
        </is>
      </c>
      <c r="U376" t="inlineStr">
        <is>
          <t>Sim</t>
        </is>
      </c>
    </row>
    <row r="377">
      <c r="A377" t="inlineStr">
        <is>
          <t>Insumos e papel</t>
        </is>
      </c>
      <c r="B377" t="inlineStr">
        <is>
          <t>2.01.99 Compra de Caixas</t>
        </is>
      </c>
      <c r="C377" s="30" t="n">
        <v>46143</v>
      </c>
      <c r="D377" t="inlineStr">
        <is>
          <t>Em 2026</t>
        </is>
      </c>
      <c r="E377" s="28" t="n">
        <v>46154</v>
      </c>
      <c r="F377" t="inlineStr">
        <is>
          <t>NF-e</t>
        </is>
      </c>
      <c r="G377" t="inlineStr">
        <is>
          <t>000014953</t>
        </is>
      </c>
      <c r="H377" t="inlineStr">
        <is>
          <t>NOVA CONPEL COMPANHIA NORDESTINA DE PAPEL LTDA</t>
        </is>
      </c>
      <c r="I377" t="inlineStr">
        <is>
          <t>55.330.530/0001-90</t>
        </is>
      </c>
      <c r="J377" s="29" t="n">
        <v>61576.65</v>
      </c>
      <c r="K377" s="29">
        <f>(1-ISNUMBER(SEARCH("556",M377)))*(O377*SUMIFS(Premissas!$C$5:$C$44,Premissas!$A$5:$A$44,$A377,Premissas!$B$5:$B$44,$B377)+P377*SUMIFS(Premissas!$D$5:$D$44,Premissas!$A$5:$A$44,$A377,Premissas!$B$5:$B$44,$B377))+R377*SUMIFS(Premissas!$E$5:$E$44,Premissas!$A$5:$A$44,$A377,Premissas!$B$5:$B$44,$B377)+S377*SUMIFS(Premissas!$F$5:$F$44,Premissas!$A$5:$A$44,$A377,Premissas!$B$5:$B$44,$B377)</f>
        <v/>
      </c>
      <c r="L377" s="29">
        <f>J377-K377</f>
        <v/>
      </c>
      <c r="M377" t="inlineStr">
        <is>
          <t>1.556</t>
        </is>
      </c>
      <c r="O377" s="29" t="n">
        <v>8031.73</v>
      </c>
      <c r="P377" s="29" t="n">
        <v>10708.98</v>
      </c>
      <c r="Q377" s="29" t="n">
        <v>0</v>
      </c>
      <c r="R377" s="29" t="n">
        <v>706.79</v>
      </c>
      <c r="S377" s="29" t="n">
        <v>3255.53</v>
      </c>
      <c r="T377" t="inlineStr">
        <is>
          <t>25260555330530000190550010000149531416831049</t>
        </is>
      </c>
      <c r="U377" t="inlineStr">
        <is>
          <t>Sim</t>
        </is>
      </c>
    </row>
    <row r="378">
      <c r="A378" t="inlineStr">
        <is>
          <t>Insumos e papel</t>
        </is>
      </c>
      <c r="B378" t="inlineStr">
        <is>
          <t>2.01.99 Compra de Caixas</t>
        </is>
      </c>
      <c r="C378" s="30" t="n">
        <v>46204</v>
      </c>
      <c r="D378" t="inlineStr">
        <is>
          <t>Em 2026</t>
        </is>
      </c>
      <c r="E378" s="28" t="n">
        <v>46206</v>
      </c>
      <c r="F378" t="inlineStr">
        <is>
          <t>NF-e</t>
        </is>
      </c>
      <c r="G378" t="inlineStr">
        <is>
          <t>000016353</t>
        </is>
      </c>
      <c r="H378" t="inlineStr">
        <is>
          <t>NOVA CONPEL COMPANHIA NORDESTINA DE PAPEL LTDA</t>
        </is>
      </c>
      <c r="I378" t="inlineStr">
        <is>
          <t>55.330.530/0001-90</t>
        </is>
      </c>
      <c r="J378" s="29" t="n">
        <v>63240.89</v>
      </c>
      <c r="K378" s="29">
        <f>(1-ISNUMBER(SEARCH("556",M378)))*(O378*SUMIFS(Premissas!$C$5:$C$44,Premissas!$A$5:$A$44,$A378,Premissas!$B$5:$B$44,$B378)+P378*SUMIFS(Premissas!$D$5:$D$44,Premissas!$A$5:$A$44,$A378,Premissas!$B$5:$B$44,$B378))+R378*SUMIFS(Premissas!$E$5:$E$44,Premissas!$A$5:$A$44,$A378,Premissas!$B$5:$B$44,$B378)+S378*SUMIFS(Premissas!$F$5:$F$44,Premissas!$A$5:$A$44,$A378,Premissas!$B$5:$B$44,$B378)</f>
        <v/>
      </c>
      <c r="L378" s="29">
        <f>J378-K378</f>
        <v/>
      </c>
      <c r="M378" t="inlineStr">
        <is>
          <t>1.556</t>
        </is>
      </c>
      <c r="O378" s="29" t="n">
        <v>8248.809999999999</v>
      </c>
      <c r="P378" s="29" t="n">
        <v>10998.41</v>
      </c>
      <c r="Q378" s="29" t="n">
        <v>0</v>
      </c>
      <c r="R378" s="29" t="n">
        <v>725.9</v>
      </c>
      <c r="S378" s="29" t="n">
        <v>3343.52</v>
      </c>
      <c r="T378" t="inlineStr">
        <is>
          <t>25260755330530000190550010000163531084686896</t>
        </is>
      </c>
      <c r="U378" t="inlineStr">
        <is>
          <t>Sim</t>
        </is>
      </c>
    </row>
    <row r="379">
      <c r="A379" t="inlineStr">
        <is>
          <t>Insumos e papel</t>
        </is>
      </c>
      <c r="B379" t="inlineStr">
        <is>
          <t>2.01.99 Compra de Caixas</t>
        </is>
      </c>
      <c r="C379" s="30" t="n">
        <v>46204</v>
      </c>
      <c r="D379" t="inlineStr">
        <is>
          <t>Em 2026</t>
        </is>
      </c>
      <c r="E379" s="28" t="n">
        <v>46206</v>
      </c>
      <c r="F379" t="inlineStr">
        <is>
          <t>NF-e</t>
        </is>
      </c>
      <c r="G379" t="inlineStr">
        <is>
          <t>000016354</t>
        </is>
      </c>
      <c r="H379" t="inlineStr">
        <is>
          <t>NOVA CONPEL COMPANHIA NORDESTINA DE PAPEL LTDA</t>
        </is>
      </c>
      <c r="I379" t="inlineStr">
        <is>
          <t>55.330.530/0001-90</t>
        </is>
      </c>
      <c r="J379" s="29" t="n">
        <v>61992.71</v>
      </c>
      <c r="K379" s="29">
        <f>(1-ISNUMBER(SEARCH("556",M379)))*(O379*SUMIFS(Premissas!$C$5:$C$44,Premissas!$A$5:$A$44,$A379,Premissas!$B$5:$B$44,$B379)+P379*SUMIFS(Premissas!$D$5:$D$44,Premissas!$A$5:$A$44,$A379,Premissas!$B$5:$B$44,$B379))+R379*SUMIFS(Premissas!$E$5:$E$44,Premissas!$A$5:$A$44,$A379,Premissas!$B$5:$B$44,$B379)+S379*SUMIFS(Premissas!$F$5:$F$44,Premissas!$A$5:$A$44,$A379,Premissas!$B$5:$B$44,$B379)</f>
        <v/>
      </c>
      <c r="L379" s="29">
        <f>J379-K379</f>
        <v/>
      </c>
      <c r="M379" t="inlineStr">
        <is>
          <t>1.556</t>
        </is>
      </c>
      <c r="O379" s="29" t="n">
        <v>8086</v>
      </c>
      <c r="P379" s="29" t="n">
        <v>10781.34</v>
      </c>
      <c r="Q379" s="29" t="n">
        <v>0</v>
      </c>
      <c r="R379" s="29" t="n">
        <v>711.5700000000001</v>
      </c>
      <c r="S379" s="29" t="n">
        <v>3277.53</v>
      </c>
      <c r="T379" t="inlineStr">
        <is>
          <t>25260755330530000190550010000163541492596277</t>
        </is>
      </c>
      <c r="U379" t="inlineStr">
        <is>
          <t>Sim</t>
        </is>
      </c>
    </row>
    <row r="380">
      <c r="A380" t="inlineStr">
        <is>
          <t>Insumos e papel</t>
        </is>
      </c>
      <c r="B380" t="inlineStr">
        <is>
          <t>2.01.99 Compra de Caixas</t>
        </is>
      </c>
      <c r="C380" s="30" t="n">
        <v>46204</v>
      </c>
      <c r="D380" t="inlineStr">
        <is>
          <t>Em 2026</t>
        </is>
      </c>
      <c r="E380" s="28" t="n">
        <v>46206</v>
      </c>
      <c r="F380" t="inlineStr">
        <is>
          <t>NF-e</t>
        </is>
      </c>
      <c r="G380" t="inlineStr">
        <is>
          <t>000016355</t>
        </is>
      </c>
      <c r="H380" t="inlineStr">
        <is>
          <t>NOVA CONPEL COMPANHIA NORDESTINA DE PAPEL LTDA</t>
        </is>
      </c>
      <c r="I380" t="inlineStr">
        <is>
          <t>55.330.530/0001-90</t>
        </is>
      </c>
      <c r="J380" s="29" t="n">
        <v>63032.86</v>
      </c>
      <c r="K380" s="29">
        <f>(1-ISNUMBER(SEARCH("556",M380)))*(O380*SUMIFS(Premissas!$C$5:$C$44,Premissas!$A$5:$A$44,$A380,Premissas!$B$5:$B$44,$B380)+P380*SUMIFS(Premissas!$D$5:$D$44,Premissas!$A$5:$A$44,$A380,Premissas!$B$5:$B$44,$B380))+R380*SUMIFS(Premissas!$E$5:$E$44,Premissas!$A$5:$A$44,$A380,Premissas!$B$5:$B$44,$B380)+S380*SUMIFS(Premissas!$F$5:$F$44,Premissas!$A$5:$A$44,$A380,Premissas!$B$5:$B$44,$B380)</f>
        <v/>
      </c>
      <c r="L380" s="29">
        <f>J380-K380</f>
        <v/>
      </c>
      <c r="M380" t="inlineStr">
        <is>
          <t>1.556</t>
        </is>
      </c>
      <c r="O380" s="29" t="n">
        <v>8221.67</v>
      </c>
      <c r="P380" s="29" t="n">
        <v>10962.23</v>
      </c>
      <c r="Q380" s="29" t="n">
        <v>0</v>
      </c>
      <c r="R380" s="29" t="n">
        <v>723.51</v>
      </c>
      <c r="S380" s="29" t="n">
        <v>3332.52</v>
      </c>
      <c r="T380" t="inlineStr">
        <is>
          <t>25260755330530000190550010000163551221130716</t>
        </is>
      </c>
      <c r="U380" t="inlineStr">
        <is>
          <t>Sim</t>
        </is>
      </c>
    </row>
    <row r="381">
      <c r="A381" t="inlineStr">
        <is>
          <t>Insumos e papel</t>
        </is>
      </c>
      <c r="B381" t="inlineStr">
        <is>
          <t>2.01.99 Compra de Caixas</t>
        </is>
      </c>
      <c r="C381" s="30" t="n">
        <v>46204</v>
      </c>
      <c r="D381" t="inlineStr">
        <is>
          <t>Em 2026</t>
        </is>
      </c>
      <c r="E381" s="28" t="n">
        <v>46206</v>
      </c>
      <c r="F381" t="inlineStr">
        <is>
          <t>NF-e</t>
        </is>
      </c>
      <c r="G381" t="inlineStr">
        <is>
          <t>000016356</t>
        </is>
      </c>
      <c r="H381" t="inlineStr">
        <is>
          <t>NOVA CONPEL COMPANHIA NORDESTINA DE PAPEL LTDA</t>
        </is>
      </c>
      <c r="I381" t="inlineStr">
        <is>
          <t>55.330.530/0001-90</t>
        </is>
      </c>
      <c r="J381" s="29" t="n">
        <v>60536.51</v>
      </c>
      <c r="K381" s="29">
        <f>(1-ISNUMBER(SEARCH("556",M381)))*(O381*SUMIFS(Premissas!$C$5:$C$44,Premissas!$A$5:$A$44,$A381,Premissas!$B$5:$B$44,$B381)+P381*SUMIFS(Premissas!$D$5:$D$44,Premissas!$A$5:$A$44,$A381,Premissas!$B$5:$B$44,$B381))+R381*SUMIFS(Premissas!$E$5:$E$44,Premissas!$A$5:$A$44,$A381,Premissas!$B$5:$B$44,$B381)+S381*SUMIFS(Premissas!$F$5:$F$44,Premissas!$A$5:$A$44,$A381,Premissas!$B$5:$B$44,$B381)</f>
        <v/>
      </c>
      <c r="L381" s="29">
        <f>J381-K381</f>
        <v/>
      </c>
      <c r="M381" t="inlineStr">
        <is>
          <t>1.556</t>
        </is>
      </c>
      <c r="O381" s="29" t="n">
        <v>7896.06</v>
      </c>
      <c r="P381" s="29" t="n">
        <v>10528.09</v>
      </c>
      <c r="Q381" s="29" t="n">
        <v>0</v>
      </c>
      <c r="R381" s="29" t="n">
        <v>694.85</v>
      </c>
      <c r="S381" s="29" t="n">
        <v>3200.54</v>
      </c>
      <c r="T381" t="inlineStr">
        <is>
          <t>25260755330530000190550010000163561769856632</t>
        </is>
      </c>
      <c r="U381" t="inlineStr">
        <is>
          <t>Sim</t>
        </is>
      </c>
    </row>
    <row r="382">
      <c r="A382" t="inlineStr">
        <is>
          <t>Insumos e papel</t>
        </is>
      </c>
      <c r="B382" t="inlineStr">
        <is>
          <t>2.01.99 Compra de Caixas</t>
        </is>
      </c>
      <c r="C382" s="30" t="n">
        <v>46204</v>
      </c>
      <c r="D382" t="inlineStr">
        <is>
          <t>Em 2026</t>
        </is>
      </c>
      <c r="E382" s="28" t="n">
        <v>46206</v>
      </c>
      <c r="F382" t="inlineStr">
        <is>
          <t>NF-e</t>
        </is>
      </c>
      <c r="G382" t="inlineStr">
        <is>
          <t>000016357</t>
        </is>
      </c>
      <c r="H382" t="inlineStr">
        <is>
          <t>NOVA CONPEL COMPANHIA NORDESTINA DE PAPEL LTDA</t>
        </is>
      </c>
      <c r="I382" t="inlineStr">
        <is>
          <t>55.330.530/0001-90</t>
        </is>
      </c>
      <c r="J382" s="29" t="n">
        <v>63656.95</v>
      </c>
      <c r="K382" s="29">
        <f>(1-ISNUMBER(SEARCH("556",M382)))*(O382*SUMIFS(Premissas!$C$5:$C$44,Premissas!$A$5:$A$44,$A382,Premissas!$B$5:$B$44,$B382)+P382*SUMIFS(Premissas!$D$5:$D$44,Premissas!$A$5:$A$44,$A382,Premissas!$B$5:$B$44,$B382))+R382*SUMIFS(Premissas!$E$5:$E$44,Premissas!$A$5:$A$44,$A382,Premissas!$B$5:$B$44,$B382)+S382*SUMIFS(Premissas!$F$5:$F$44,Premissas!$A$5:$A$44,$A382,Premissas!$B$5:$B$44,$B382)</f>
        <v/>
      </c>
      <c r="L382" s="29">
        <f>J382-K382</f>
        <v/>
      </c>
      <c r="M382" t="inlineStr">
        <is>
          <t>1.556</t>
        </is>
      </c>
      <c r="O382" s="29" t="n">
        <v>8303.08</v>
      </c>
      <c r="P382" s="29" t="n">
        <v>11070.77</v>
      </c>
      <c r="Q382" s="29" t="n">
        <v>0</v>
      </c>
      <c r="R382" s="29" t="n">
        <v>730.67</v>
      </c>
      <c r="S382" s="29" t="n">
        <v>3365.52</v>
      </c>
      <c r="T382" t="inlineStr">
        <is>
          <t>25260755330530000190550010000163571305159310</t>
        </is>
      </c>
      <c r="U382" t="inlineStr">
        <is>
          <t>Sim</t>
        </is>
      </c>
    </row>
    <row r="383">
      <c r="A383" t="inlineStr">
        <is>
          <t>Insumos e papel</t>
        </is>
      </c>
      <c r="B383" t="inlineStr">
        <is>
          <t>2.01.99 Compra de Caixas</t>
        </is>
      </c>
      <c r="C383" s="30" t="n">
        <v>46204</v>
      </c>
      <c r="D383" t="inlineStr">
        <is>
          <t>Em 2026</t>
        </is>
      </c>
      <c r="E383" s="28" t="n">
        <v>46206</v>
      </c>
      <c r="F383" t="inlineStr">
        <is>
          <t>NF-e</t>
        </is>
      </c>
      <c r="G383" t="inlineStr">
        <is>
          <t>000016358</t>
        </is>
      </c>
      <c r="H383" t="inlineStr">
        <is>
          <t>NOVA CONPEL COMPANHIA NORDESTINA DE PAPEL LTDA</t>
        </is>
      </c>
      <c r="I383" t="inlineStr">
        <is>
          <t>55.330.530/0001-90</t>
        </is>
      </c>
      <c r="J383" s="29" t="n">
        <v>61576.65</v>
      </c>
      <c r="K383" s="29">
        <f>(1-ISNUMBER(SEARCH("556",M383)))*(O383*SUMIFS(Premissas!$C$5:$C$44,Premissas!$A$5:$A$44,$A383,Premissas!$B$5:$B$44,$B383)+P383*SUMIFS(Premissas!$D$5:$D$44,Premissas!$A$5:$A$44,$A383,Premissas!$B$5:$B$44,$B383))+R383*SUMIFS(Premissas!$E$5:$E$44,Premissas!$A$5:$A$44,$A383,Premissas!$B$5:$B$44,$B383)+S383*SUMIFS(Premissas!$F$5:$F$44,Premissas!$A$5:$A$44,$A383,Premissas!$B$5:$B$44,$B383)</f>
        <v/>
      </c>
      <c r="L383" s="29">
        <f>J383-K383</f>
        <v/>
      </c>
      <c r="M383" t="inlineStr">
        <is>
          <t>1.556</t>
        </is>
      </c>
      <c r="O383" s="29" t="n">
        <v>8031.73</v>
      </c>
      <c r="P383" s="29" t="n">
        <v>10708.98</v>
      </c>
      <c r="Q383" s="29" t="n">
        <v>0</v>
      </c>
      <c r="R383" s="29" t="n">
        <v>706.79</v>
      </c>
      <c r="S383" s="29" t="n">
        <v>3255.53</v>
      </c>
      <c r="T383" t="inlineStr">
        <is>
          <t>25260755330530000190550010000163581482355446</t>
        </is>
      </c>
      <c r="U383" t="inlineStr">
        <is>
          <t>Sim</t>
        </is>
      </c>
    </row>
    <row r="384">
      <c r="A384" t="inlineStr">
        <is>
          <t>Insumos e papel</t>
        </is>
      </c>
      <c r="B384" t="inlineStr">
        <is>
          <t>2.01.99 Compra de Caixas</t>
        </is>
      </c>
      <c r="C384" s="30" t="n">
        <v>46204</v>
      </c>
      <c r="D384" t="inlineStr">
        <is>
          <t>Em 2026</t>
        </is>
      </c>
      <c r="E384" s="28" t="n">
        <v>46206</v>
      </c>
      <c r="F384" t="inlineStr">
        <is>
          <t>NF-e</t>
        </is>
      </c>
      <c r="G384" t="inlineStr">
        <is>
          <t>000016359</t>
        </is>
      </c>
      <c r="H384" t="inlineStr">
        <is>
          <t>NOVA CONPEL COMPANHIA NORDESTINA DE PAPEL LTDA</t>
        </is>
      </c>
      <c r="I384" t="inlineStr">
        <is>
          <t>55.330.530/0001-90</t>
        </is>
      </c>
      <c r="J384" s="29" t="n">
        <v>62824.83</v>
      </c>
      <c r="K384" s="29">
        <f>(1-ISNUMBER(SEARCH("556",M384)))*(O384*SUMIFS(Premissas!$C$5:$C$44,Premissas!$A$5:$A$44,$A384,Premissas!$B$5:$B$44,$B384)+P384*SUMIFS(Premissas!$D$5:$D$44,Premissas!$A$5:$A$44,$A384,Premissas!$B$5:$B$44,$B384))+R384*SUMIFS(Premissas!$E$5:$E$44,Premissas!$A$5:$A$44,$A384,Premissas!$B$5:$B$44,$B384)+S384*SUMIFS(Premissas!$F$5:$F$44,Premissas!$A$5:$A$44,$A384,Premissas!$B$5:$B$44,$B384)</f>
        <v/>
      </c>
      <c r="L384" s="29">
        <f>J384-K384</f>
        <v/>
      </c>
      <c r="M384" t="inlineStr">
        <is>
          <t>1.556</t>
        </is>
      </c>
      <c r="O384" s="29" t="n">
        <v>8194.540000000001</v>
      </c>
      <c r="P384" s="29" t="n">
        <v>10926.05</v>
      </c>
      <c r="Q384" s="29" t="n">
        <v>0</v>
      </c>
      <c r="R384" s="29" t="n">
        <v>721.12</v>
      </c>
      <c r="S384" s="29" t="n">
        <v>3321.52</v>
      </c>
      <c r="T384" t="inlineStr">
        <is>
          <t>25260755330530000190550010000163591195589710</t>
        </is>
      </c>
      <c r="U384" t="inlineStr">
        <is>
          <t>Sim</t>
        </is>
      </c>
    </row>
    <row r="385">
      <c r="A385" t="inlineStr">
        <is>
          <t>Insumos e papel</t>
        </is>
      </c>
      <c r="B385" t="inlineStr">
        <is>
          <t>2.01.99 Compra de Caixas</t>
        </is>
      </c>
      <c r="C385" s="30" t="n">
        <v>46204</v>
      </c>
      <c r="D385" t="inlineStr">
        <is>
          <t>Em 2026</t>
        </is>
      </c>
      <c r="E385" s="28" t="n">
        <v>46206</v>
      </c>
      <c r="F385" t="inlineStr">
        <is>
          <t>NF-e</t>
        </is>
      </c>
      <c r="G385" t="inlineStr">
        <is>
          <t>000016360</t>
        </is>
      </c>
      <c r="H385" t="inlineStr">
        <is>
          <t>NOVA CONPEL COMPANHIA NORDESTINA DE PAPEL LTDA</t>
        </is>
      </c>
      <c r="I385" t="inlineStr">
        <is>
          <t>55.330.530/0001-90</t>
        </is>
      </c>
      <c r="J385" s="29" t="n">
        <v>63656.95</v>
      </c>
      <c r="K385" s="29">
        <f>(1-ISNUMBER(SEARCH("556",M385)))*(O385*SUMIFS(Premissas!$C$5:$C$44,Premissas!$A$5:$A$44,$A385,Premissas!$B$5:$B$44,$B385)+P385*SUMIFS(Premissas!$D$5:$D$44,Premissas!$A$5:$A$44,$A385,Premissas!$B$5:$B$44,$B385))+R385*SUMIFS(Premissas!$E$5:$E$44,Premissas!$A$5:$A$44,$A385,Premissas!$B$5:$B$44,$B385)+S385*SUMIFS(Premissas!$F$5:$F$44,Premissas!$A$5:$A$44,$A385,Premissas!$B$5:$B$44,$B385)</f>
        <v/>
      </c>
      <c r="L385" s="29">
        <f>J385-K385</f>
        <v/>
      </c>
      <c r="M385" t="inlineStr">
        <is>
          <t>1.556</t>
        </is>
      </c>
      <c r="O385" s="29" t="n">
        <v>8303.08</v>
      </c>
      <c r="P385" s="29" t="n">
        <v>11070.77</v>
      </c>
      <c r="Q385" s="29" t="n">
        <v>0</v>
      </c>
      <c r="R385" s="29" t="n">
        <v>730.67</v>
      </c>
      <c r="S385" s="29" t="n">
        <v>3365.52</v>
      </c>
      <c r="T385" t="inlineStr">
        <is>
          <t>25260755330530000190550010000163601956426193</t>
        </is>
      </c>
      <c r="U385" t="inlineStr">
        <is>
          <t>Sim</t>
        </is>
      </c>
    </row>
    <row r="386">
      <c r="A386" t="inlineStr">
        <is>
          <t>Uso e consumo</t>
        </is>
      </c>
      <c r="B386" t="inlineStr">
        <is>
          <t>2.01.85 Compra de Uso e Consumo</t>
        </is>
      </c>
      <c r="C386" t="inlineStr">
        <is>
          <t>Antes de 2026</t>
        </is>
      </c>
      <c r="D386" t="inlineStr">
        <is>
          <t>Antes de 2026</t>
        </is>
      </c>
      <c r="E386" s="28" t="n">
        <v>46020</v>
      </c>
      <c r="F386" t="inlineStr">
        <is>
          <t>NF-e</t>
        </is>
      </c>
      <c r="G386" t="inlineStr">
        <is>
          <t>000006534</t>
        </is>
      </c>
      <c r="H386" t="inlineStr">
        <is>
          <t>SUPERGASBRAS ENERGIA LTDA</t>
        </is>
      </c>
      <c r="I386" t="inlineStr">
        <is>
          <t>19.791.896/0166-00</t>
        </is>
      </c>
      <c r="J386" s="29" t="n">
        <v>456.87</v>
      </c>
      <c r="K386" s="29">
        <f>(1-ISNUMBER(SEARCH("556",M386)))*(O386*SUMIFS(Premissas!$C$5:$C$44,Premissas!$A$5:$A$44,$A386,Premissas!$B$5:$B$44,$B386)+P386*SUMIFS(Premissas!$D$5:$D$44,Premissas!$A$5:$A$44,$A386,Premissas!$B$5:$B$44,$B386))+R386*SUMIFS(Premissas!$E$5:$E$44,Premissas!$A$5:$A$44,$A386,Premissas!$B$5:$B$44,$B386)+S386*SUMIFS(Premissas!$F$5:$F$44,Premissas!$A$5:$A$44,$A386,Premissas!$B$5:$B$44,$B386)</f>
        <v/>
      </c>
      <c r="L386" s="29">
        <f>J386-K386</f>
        <v/>
      </c>
      <c r="M386" t="inlineStr">
        <is>
          <t>1.653</t>
        </is>
      </c>
      <c r="O386" s="29" t="n">
        <v>0</v>
      </c>
      <c r="P386" s="29" t="n">
        <v>0</v>
      </c>
      <c r="Q386" s="29" t="n">
        <v>0</v>
      </c>
      <c r="R386" s="29" t="n">
        <v>0</v>
      </c>
      <c r="S386" s="29" t="n">
        <v>0</v>
      </c>
      <c r="T386" t="inlineStr">
        <is>
          <t>25251219791896016600550090000065341515835778</t>
        </is>
      </c>
      <c r="U386" t="inlineStr">
        <is>
          <t>Sim</t>
        </is>
      </c>
    </row>
    <row r="387">
      <c r="A387" t="inlineStr">
        <is>
          <t>Uso e consumo</t>
        </is>
      </c>
      <c r="B387" t="inlineStr">
        <is>
          <t>2.01.85 Compra de Uso e Consumo</t>
        </is>
      </c>
      <c r="C387" s="30" t="n">
        <v>46023</v>
      </c>
      <c r="D387" t="inlineStr">
        <is>
          <t>Em 2026</t>
        </is>
      </c>
      <c r="E387" s="28" t="n">
        <v>46052</v>
      </c>
      <c r="F387" t="inlineStr">
        <is>
          <t>NF-e</t>
        </is>
      </c>
      <c r="G387" t="inlineStr">
        <is>
          <t>000023504</t>
        </is>
      </c>
      <c r="H387" t="inlineStr">
        <is>
          <t>COSTA GONDIM e CIA LTDA</t>
        </is>
      </c>
      <c r="I387" t="inlineStr">
        <is>
          <t>24.216.228/0001-81</t>
        </is>
      </c>
      <c r="J387" s="29" t="n">
        <v>265</v>
      </c>
      <c r="K387" s="29">
        <f>(1-ISNUMBER(SEARCH("556",M387)))*(O387*SUMIFS(Premissas!$C$5:$C$44,Premissas!$A$5:$A$44,$A387,Premissas!$B$5:$B$44,$B387)+P387*SUMIFS(Premissas!$D$5:$D$44,Premissas!$A$5:$A$44,$A387,Premissas!$B$5:$B$44,$B387))+R387*SUMIFS(Premissas!$E$5:$E$44,Premissas!$A$5:$A$44,$A387,Premissas!$B$5:$B$44,$B387)+S387*SUMIFS(Premissas!$F$5:$F$44,Premissas!$A$5:$A$44,$A387,Premissas!$B$5:$B$44,$B387)</f>
        <v/>
      </c>
      <c r="L387" s="29">
        <f>J387-K387</f>
        <v/>
      </c>
      <c r="M387" t="inlineStr">
        <is>
          <t>1.102, 1.556</t>
        </is>
      </c>
      <c r="O387" s="29" t="n">
        <v>0</v>
      </c>
      <c r="P387" s="29" t="n">
        <v>0</v>
      </c>
      <c r="Q387" s="29" t="n">
        <v>0</v>
      </c>
      <c r="R387" s="29" t="n">
        <v>0</v>
      </c>
      <c r="S387" s="29" t="n">
        <v>0</v>
      </c>
      <c r="T387" t="inlineStr">
        <is>
          <t>25260124216228000181550010000235041054115287</t>
        </is>
      </c>
      <c r="U387" t="inlineStr">
        <is>
          <t>Sim</t>
        </is>
      </c>
    </row>
    <row r="388">
      <c r="A388" t="inlineStr">
        <is>
          <t>Uso e consumo</t>
        </is>
      </c>
      <c r="B388" t="inlineStr">
        <is>
          <t>2.01.85 Compra de Uso e Consumo</t>
        </is>
      </c>
      <c r="C388" s="30" t="n">
        <v>46023</v>
      </c>
      <c r="D388" t="inlineStr">
        <is>
          <t>Em 2026</t>
        </is>
      </c>
      <c r="E388" s="28" t="n">
        <v>46041</v>
      </c>
      <c r="F388" t="inlineStr">
        <is>
          <t>NF-e</t>
        </is>
      </c>
      <c r="G388" t="inlineStr">
        <is>
          <t>000005635</t>
        </is>
      </c>
      <c r="H388" t="inlineStr">
        <is>
          <t>GDM INDUSTRIA E COMERCIO DE PLASTICOS LTDA.</t>
        </is>
      </c>
      <c r="I388" t="inlineStr">
        <is>
          <t>07.955.100/0004-63</t>
        </is>
      </c>
      <c r="J388" s="29" t="n">
        <v>4919.77</v>
      </c>
      <c r="K388" s="29">
        <f>(1-ISNUMBER(SEARCH("556",M388)))*(O388*SUMIFS(Premissas!$C$5:$C$44,Premissas!$A$5:$A$44,$A388,Premissas!$B$5:$B$44,$B388)+P388*SUMIFS(Premissas!$D$5:$D$44,Premissas!$A$5:$A$44,$A388,Premissas!$B$5:$B$44,$B388))+R388*SUMIFS(Premissas!$E$5:$E$44,Premissas!$A$5:$A$44,$A388,Premissas!$B$5:$B$44,$B388)+S388*SUMIFS(Premissas!$F$5:$F$44,Premissas!$A$5:$A$44,$A388,Premissas!$B$5:$B$44,$B388)</f>
        <v/>
      </c>
      <c r="L388" s="29">
        <f>J388-K388</f>
        <v/>
      </c>
      <c r="M388" t="inlineStr">
        <is>
          <t>2.102</t>
        </is>
      </c>
      <c r="O388" s="29" t="n">
        <v>641.71</v>
      </c>
      <c r="P388" s="29" t="n">
        <v>513.37</v>
      </c>
      <c r="Q388" s="29" t="n">
        <v>0</v>
      </c>
      <c r="R388" s="29" t="n">
        <v>62.12</v>
      </c>
      <c r="S388" s="29" t="n">
        <v>286.12</v>
      </c>
      <c r="T388" t="inlineStr">
        <is>
          <t>26260107955100000463550010000056351656837783</t>
        </is>
      </c>
      <c r="U388" t="inlineStr">
        <is>
          <t>Sim</t>
        </is>
      </c>
    </row>
    <row r="389">
      <c r="A389" t="inlineStr">
        <is>
          <t>Uso e consumo</t>
        </is>
      </c>
      <c r="B389" t="inlineStr">
        <is>
          <t>2.01.85 Compra de Uso e Consumo</t>
        </is>
      </c>
      <c r="C389" s="30" t="n">
        <v>46023</v>
      </c>
      <c r="D389" t="inlineStr">
        <is>
          <t>Em 2026</t>
        </is>
      </c>
      <c r="E389" s="28" t="n">
        <v>46036</v>
      </c>
      <c r="F389" t="inlineStr">
        <is>
          <t>NF-e</t>
        </is>
      </c>
      <c r="G389" t="inlineStr">
        <is>
          <t>000092343</t>
        </is>
      </c>
      <c r="H389" t="inlineStr">
        <is>
          <t>REI DOS RELES DISTRIBUIDORA LTDA</t>
        </is>
      </c>
      <c r="I389" t="inlineStr">
        <is>
          <t>04.962.884/0001-16</t>
        </is>
      </c>
      <c r="J389" s="29" t="n">
        <v>575.5</v>
      </c>
      <c r="K389" s="29">
        <f>(1-ISNUMBER(SEARCH("556",M389)))*(O389*SUMIFS(Premissas!$C$5:$C$44,Premissas!$A$5:$A$44,$A389,Premissas!$B$5:$B$44,$B389)+P389*SUMIFS(Premissas!$D$5:$D$44,Premissas!$A$5:$A$44,$A389,Premissas!$B$5:$B$44,$B389))+R389*SUMIFS(Premissas!$E$5:$E$44,Premissas!$A$5:$A$44,$A389,Premissas!$B$5:$B$44,$B389)+S389*SUMIFS(Premissas!$F$5:$F$44,Premissas!$A$5:$A$44,$A389,Premissas!$B$5:$B$44,$B389)</f>
        <v/>
      </c>
      <c r="L389" s="29">
        <f>J389-K389</f>
        <v/>
      </c>
      <c r="M389" t="inlineStr">
        <is>
          <t>2.102</t>
        </is>
      </c>
      <c r="O389" s="29" t="n">
        <v>0</v>
      </c>
      <c r="P389" s="29" t="n">
        <v>23.02</v>
      </c>
      <c r="Q389" s="29" t="n">
        <v>0</v>
      </c>
      <c r="R389" s="29" t="n">
        <v>3.59</v>
      </c>
      <c r="S389" s="29" t="n">
        <v>16.57</v>
      </c>
      <c r="T389" t="inlineStr">
        <is>
          <t>35260104962884000116550010000923431193728723</t>
        </is>
      </c>
      <c r="U389" t="inlineStr">
        <is>
          <t>Sim</t>
        </is>
      </c>
    </row>
    <row r="390">
      <c r="A390" t="inlineStr">
        <is>
          <t>Uso e consumo</t>
        </is>
      </c>
      <c r="B390" t="inlineStr">
        <is>
          <t>2.01.85 Compra de Uso e Consumo</t>
        </is>
      </c>
      <c r="C390" s="30" t="n">
        <v>46023</v>
      </c>
      <c r="D390" t="inlineStr">
        <is>
          <t>Em 2026</t>
        </is>
      </c>
      <c r="E390" s="28" t="n">
        <v>46048</v>
      </c>
      <c r="F390" t="inlineStr">
        <is>
          <t>NF-e</t>
        </is>
      </c>
      <c r="G390" t="inlineStr">
        <is>
          <t>000005038</t>
        </is>
      </c>
      <c r="H390" t="inlineStr">
        <is>
          <t>SUPERGASBRAS ENERGIA LTDA</t>
        </is>
      </c>
      <c r="I390" t="inlineStr">
        <is>
          <t>19.791.896/0166-00</t>
        </is>
      </c>
      <c r="J390" s="29" t="n">
        <v>615.5599999999999</v>
      </c>
      <c r="K390" s="29">
        <f>(1-ISNUMBER(SEARCH("556",M390)))*(O390*SUMIFS(Premissas!$C$5:$C$44,Premissas!$A$5:$A$44,$A390,Premissas!$B$5:$B$44,$B390)+P390*SUMIFS(Premissas!$D$5:$D$44,Premissas!$A$5:$A$44,$A390,Premissas!$B$5:$B$44,$B390))+R390*SUMIFS(Premissas!$E$5:$E$44,Premissas!$A$5:$A$44,$A390,Premissas!$B$5:$B$44,$B390)+S390*SUMIFS(Premissas!$F$5:$F$44,Premissas!$A$5:$A$44,$A390,Premissas!$B$5:$B$44,$B390)</f>
        <v/>
      </c>
      <c r="L390" s="29">
        <f>J390-K390</f>
        <v/>
      </c>
      <c r="M390" t="inlineStr">
        <is>
          <t>1.653</t>
        </is>
      </c>
      <c r="O390" s="29" t="n">
        <v>0</v>
      </c>
      <c r="P390" s="29" t="n">
        <v>0</v>
      </c>
      <c r="Q390" s="29" t="n">
        <v>0</v>
      </c>
      <c r="R390" s="29" t="n">
        <v>0</v>
      </c>
      <c r="S390" s="29" t="n">
        <v>0</v>
      </c>
      <c r="T390" t="inlineStr">
        <is>
          <t>25260119791896016600550080000050381511496177</t>
        </is>
      </c>
      <c r="U390" t="inlineStr">
        <is>
          <t>Sim</t>
        </is>
      </c>
    </row>
    <row r="391">
      <c r="A391" t="inlineStr">
        <is>
          <t>Uso e consumo</t>
        </is>
      </c>
      <c r="B391" t="inlineStr">
        <is>
          <t>2.01.85 Compra de Uso e Consumo</t>
        </is>
      </c>
      <c r="C391" s="30" t="n">
        <v>46023</v>
      </c>
      <c r="D391" t="inlineStr">
        <is>
          <t>Em 2026</t>
        </is>
      </c>
      <c r="E391" s="28" t="n">
        <v>46027</v>
      </c>
      <c r="F391" t="inlineStr">
        <is>
          <t>NF-e</t>
        </is>
      </c>
      <c r="G391" t="inlineStr">
        <is>
          <t>000006588</t>
        </is>
      </c>
      <c r="H391" t="inlineStr">
        <is>
          <t>SUPERGASBRAS ENERGIA LTDA</t>
        </is>
      </c>
      <c r="I391" t="inlineStr">
        <is>
          <t>19.791.896/0166-00</t>
        </is>
      </c>
      <c r="J391" s="29" t="n">
        <v>461.67</v>
      </c>
      <c r="K391" s="29">
        <f>(1-ISNUMBER(SEARCH("556",M391)))*(O391*SUMIFS(Premissas!$C$5:$C$44,Premissas!$A$5:$A$44,$A391,Premissas!$B$5:$B$44,$B391)+P391*SUMIFS(Premissas!$D$5:$D$44,Premissas!$A$5:$A$44,$A391,Premissas!$B$5:$B$44,$B391))+R391*SUMIFS(Premissas!$E$5:$E$44,Premissas!$A$5:$A$44,$A391,Premissas!$B$5:$B$44,$B391)+S391*SUMIFS(Premissas!$F$5:$F$44,Premissas!$A$5:$A$44,$A391,Premissas!$B$5:$B$44,$B391)</f>
        <v/>
      </c>
      <c r="L391" s="29">
        <f>J391-K391</f>
        <v/>
      </c>
      <c r="M391" t="inlineStr">
        <is>
          <t>1.653</t>
        </is>
      </c>
      <c r="O391" s="29" t="n">
        <v>0</v>
      </c>
      <c r="P391" s="29" t="n">
        <v>0</v>
      </c>
      <c r="Q391" s="29" t="n">
        <v>0</v>
      </c>
      <c r="R391" s="29" t="n">
        <v>0</v>
      </c>
      <c r="S391" s="29" t="n">
        <v>0</v>
      </c>
      <c r="T391" t="inlineStr">
        <is>
          <t>25260119791896016600550090000065881073966801</t>
        </is>
      </c>
      <c r="U391" t="inlineStr">
        <is>
          <t>Sim</t>
        </is>
      </c>
    </row>
    <row r="392">
      <c r="A392" t="inlineStr">
        <is>
          <t>Uso e consumo</t>
        </is>
      </c>
      <c r="B392" t="inlineStr">
        <is>
          <t>2.01.85 Compra de Uso e Consumo</t>
        </is>
      </c>
      <c r="C392" s="30" t="n">
        <v>46023</v>
      </c>
      <c r="D392" t="inlineStr">
        <is>
          <t>Em 2026</t>
        </is>
      </c>
      <c r="E392" s="28" t="n">
        <v>46034</v>
      </c>
      <c r="F392" t="inlineStr">
        <is>
          <t>NF-e</t>
        </is>
      </c>
      <c r="G392" t="inlineStr">
        <is>
          <t>000006651</t>
        </is>
      </c>
      <c r="H392" t="inlineStr">
        <is>
          <t>SUPERGASBRAS ENERGIA LTDA</t>
        </is>
      </c>
      <c r="I392" t="inlineStr">
        <is>
          <t>19.791.896/0166-00</t>
        </is>
      </c>
      <c r="J392" s="29" t="n">
        <v>307.78</v>
      </c>
      <c r="K392" s="29">
        <f>(1-ISNUMBER(SEARCH("556",M392)))*(O392*SUMIFS(Premissas!$C$5:$C$44,Premissas!$A$5:$A$44,$A392,Premissas!$B$5:$B$44,$B392)+P392*SUMIFS(Premissas!$D$5:$D$44,Premissas!$A$5:$A$44,$A392,Premissas!$B$5:$B$44,$B392))+R392*SUMIFS(Premissas!$E$5:$E$44,Premissas!$A$5:$A$44,$A392,Premissas!$B$5:$B$44,$B392)+S392*SUMIFS(Premissas!$F$5:$F$44,Premissas!$A$5:$A$44,$A392,Premissas!$B$5:$B$44,$B392)</f>
        <v/>
      </c>
      <c r="L392" s="29">
        <f>J392-K392</f>
        <v/>
      </c>
      <c r="M392" t="inlineStr">
        <is>
          <t>1.653</t>
        </is>
      </c>
      <c r="O392" s="29" t="n">
        <v>0</v>
      </c>
      <c r="P392" s="29" t="n">
        <v>0</v>
      </c>
      <c r="Q392" s="29" t="n">
        <v>0</v>
      </c>
      <c r="R392" s="29" t="n">
        <v>0</v>
      </c>
      <c r="S392" s="29" t="n">
        <v>0</v>
      </c>
      <c r="T392" t="inlineStr">
        <is>
          <t>25260119791896016600550090000066511431133472</t>
        </is>
      </c>
      <c r="U392" t="inlineStr">
        <is>
          <t>Sim</t>
        </is>
      </c>
    </row>
    <row r="393">
      <c r="A393" t="inlineStr">
        <is>
          <t>Uso e consumo</t>
        </is>
      </c>
      <c r="B393" t="inlineStr">
        <is>
          <t>2.01.85 Compra de Uso e Consumo</t>
        </is>
      </c>
      <c r="C393" s="30" t="n">
        <v>46054</v>
      </c>
      <c r="D393" t="inlineStr">
        <is>
          <t>Em 2026</t>
        </is>
      </c>
      <c r="E393" s="28" t="n">
        <v>46076</v>
      </c>
      <c r="F393" t="inlineStr">
        <is>
          <t>NF-e</t>
        </is>
      </c>
      <c r="G393" t="inlineStr">
        <is>
          <t>000005852</t>
        </is>
      </c>
      <c r="H393" t="inlineStr">
        <is>
          <t>GDM INDUSTRIA E COMERCIO DE PLASTICOS LTDA.</t>
        </is>
      </c>
      <c r="I393" t="inlineStr">
        <is>
          <t>07.955.100/0004-63</t>
        </is>
      </c>
      <c r="J393" s="29" t="n">
        <v>6214.03</v>
      </c>
      <c r="K393" s="29">
        <f>(1-ISNUMBER(SEARCH("556",M393)))*(O393*SUMIFS(Premissas!$C$5:$C$44,Premissas!$A$5:$A$44,$A393,Premissas!$B$5:$B$44,$B393)+P393*SUMIFS(Premissas!$D$5:$D$44,Premissas!$A$5:$A$44,$A393,Premissas!$B$5:$B$44,$B393))+R393*SUMIFS(Premissas!$E$5:$E$44,Premissas!$A$5:$A$44,$A393,Premissas!$B$5:$B$44,$B393)+S393*SUMIFS(Premissas!$F$5:$F$44,Premissas!$A$5:$A$44,$A393,Premissas!$B$5:$B$44,$B393)</f>
        <v/>
      </c>
      <c r="L393" s="29">
        <f>J393-K393</f>
        <v/>
      </c>
      <c r="M393" t="inlineStr">
        <is>
          <t>2.102</t>
        </is>
      </c>
      <c r="O393" s="29" t="n">
        <v>810.53</v>
      </c>
      <c r="P393" s="29" t="n">
        <v>648.42</v>
      </c>
      <c r="Q393" s="29" t="n">
        <v>0</v>
      </c>
      <c r="R393" s="29" t="n">
        <v>78.45999999999999</v>
      </c>
      <c r="S393" s="29" t="n">
        <v>361.39</v>
      </c>
      <c r="T393" t="inlineStr">
        <is>
          <t>26260207955100000463550010000058521210244788</t>
        </is>
      </c>
      <c r="U393" t="inlineStr">
        <is>
          <t>Sim</t>
        </is>
      </c>
    </row>
    <row r="394">
      <c r="A394" t="inlineStr">
        <is>
          <t>Uso e consumo</t>
        </is>
      </c>
      <c r="B394" t="inlineStr">
        <is>
          <t>2.01.85 Compra de Uso e Consumo</t>
        </is>
      </c>
      <c r="C394" s="30" t="n">
        <v>46054</v>
      </c>
      <c r="D394" t="inlineStr">
        <is>
          <t>Em 2026</t>
        </is>
      </c>
      <c r="E394" s="28" t="n">
        <v>46079</v>
      </c>
      <c r="F394" t="inlineStr">
        <is>
          <t>NF-e</t>
        </is>
      </c>
      <c r="G394" t="inlineStr">
        <is>
          <t>000083035</t>
        </is>
      </c>
      <c r="H394" t="inlineStr">
        <is>
          <t>KALUNGA SA</t>
        </is>
      </c>
      <c r="I394" t="inlineStr">
        <is>
          <t>43.283.811/0198-45</t>
        </is>
      </c>
      <c r="J394" s="29" t="n">
        <v>33.3</v>
      </c>
      <c r="K394" s="29">
        <f>(1-ISNUMBER(SEARCH("556",M394)))*(O394*SUMIFS(Premissas!$C$5:$C$44,Premissas!$A$5:$A$44,$A394,Premissas!$B$5:$B$44,$B394)+P394*SUMIFS(Premissas!$D$5:$D$44,Premissas!$A$5:$A$44,$A394,Premissas!$B$5:$B$44,$B394))+R394*SUMIFS(Premissas!$E$5:$E$44,Premissas!$A$5:$A$44,$A394,Premissas!$B$5:$B$44,$B394)+S394*SUMIFS(Premissas!$F$5:$F$44,Premissas!$A$5:$A$44,$A394,Premissas!$B$5:$B$44,$B394)</f>
        <v/>
      </c>
      <c r="L394" s="29">
        <f>J394-K394</f>
        <v/>
      </c>
      <c r="M394" t="inlineStr">
        <is>
          <t>1.102, 1.556</t>
        </is>
      </c>
      <c r="N394" t="inlineStr">
        <is>
          <t>Valor rateado entre categorias, como no Omie | Impostos rateados proporcionalmente ao valor da categoria (documento com mais de uma categoria)</t>
        </is>
      </c>
      <c r="O394" s="29" t="n">
        <v>0</v>
      </c>
      <c r="P394" s="29" t="n">
        <v>6.66</v>
      </c>
      <c r="Q394" s="29" t="n">
        <v>0</v>
      </c>
      <c r="R394" s="29" t="n">
        <v>0.44</v>
      </c>
      <c r="S394" s="29" t="n">
        <v>2.03</v>
      </c>
      <c r="T394" t="inlineStr">
        <is>
          <t>25260243283811019845550010000830351779460474</t>
        </is>
      </c>
      <c r="U394" t="inlineStr">
        <is>
          <t>Sim</t>
        </is>
      </c>
    </row>
    <row r="395">
      <c r="A395" t="inlineStr">
        <is>
          <t>Uso e consumo</t>
        </is>
      </c>
      <c r="B395" t="inlineStr">
        <is>
          <t>2.01.85 Compra de Uso e Consumo</t>
        </is>
      </c>
      <c r="C395" s="30" t="n">
        <v>46054</v>
      </c>
      <c r="D395" t="inlineStr">
        <is>
          <t>Em 2026</t>
        </is>
      </c>
      <c r="E395" s="28" t="n">
        <v>46080</v>
      </c>
      <c r="F395" t="inlineStr">
        <is>
          <t>NF-e</t>
        </is>
      </c>
      <c r="G395" t="inlineStr">
        <is>
          <t>000010153</t>
        </is>
      </c>
      <c r="H395" t="inlineStr">
        <is>
          <t>L M ARAUJO</t>
        </is>
      </c>
      <c r="I395" t="inlineStr">
        <is>
          <t>29.643.381/0001-09</t>
        </is>
      </c>
      <c r="J395" s="29" t="n">
        <v>1950</v>
      </c>
      <c r="K395" s="29">
        <f>(1-ISNUMBER(SEARCH("556",M395)))*(O395*SUMIFS(Premissas!$C$5:$C$44,Premissas!$A$5:$A$44,$A395,Premissas!$B$5:$B$44,$B395)+P395*SUMIFS(Premissas!$D$5:$D$44,Premissas!$A$5:$A$44,$A395,Premissas!$B$5:$B$44,$B395))+R395*SUMIFS(Premissas!$E$5:$E$44,Premissas!$A$5:$A$44,$A395,Premissas!$B$5:$B$44,$B395)+S395*SUMIFS(Premissas!$F$5:$F$44,Premissas!$A$5:$A$44,$A395,Premissas!$B$5:$B$44,$B395)</f>
        <v/>
      </c>
      <c r="L395" s="29">
        <f>J395-K395</f>
        <v/>
      </c>
      <c r="M395" t="inlineStr">
        <is>
          <t>1.102</t>
        </is>
      </c>
      <c r="O395" s="29" t="n">
        <v>0</v>
      </c>
      <c r="P395" s="29" t="n">
        <v>0</v>
      </c>
      <c r="Q395" s="29" t="n">
        <v>0</v>
      </c>
      <c r="R395" s="29" t="n">
        <v>0</v>
      </c>
      <c r="S395" s="29" t="n">
        <v>0</v>
      </c>
      <c r="T395" t="inlineStr">
        <is>
          <t>25260229643381000109550010000101531251811635</t>
        </is>
      </c>
      <c r="U395" t="inlineStr">
        <is>
          <t>Sim</t>
        </is>
      </c>
    </row>
    <row r="396">
      <c r="A396" t="inlineStr">
        <is>
          <t>Uso e consumo</t>
        </is>
      </c>
      <c r="B396" t="inlineStr">
        <is>
          <t>2.01.85 Compra de Uso e Consumo</t>
        </is>
      </c>
      <c r="C396" s="30" t="n">
        <v>46054</v>
      </c>
      <c r="D396" t="inlineStr">
        <is>
          <t>Em 2026</t>
        </is>
      </c>
      <c r="E396" s="28" t="n">
        <v>46055</v>
      </c>
      <c r="F396" t="inlineStr">
        <is>
          <t>NF-e</t>
        </is>
      </c>
      <c r="G396" t="inlineStr">
        <is>
          <t>000006826</t>
        </is>
      </c>
      <c r="H396" t="inlineStr">
        <is>
          <t>SUPERGASBRAS ENERGIA LTDA</t>
        </is>
      </c>
      <c r="I396" t="inlineStr">
        <is>
          <t>19.791.896/0166-00</t>
        </is>
      </c>
      <c r="J396" s="29" t="n">
        <v>615.5599999999999</v>
      </c>
      <c r="K396" s="29">
        <f>(1-ISNUMBER(SEARCH("556",M396)))*(O396*SUMIFS(Premissas!$C$5:$C$44,Premissas!$A$5:$A$44,$A396,Premissas!$B$5:$B$44,$B396)+P396*SUMIFS(Premissas!$D$5:$D$44,Premissas!$A$5:$A$44,$A396,Premissas!$B$5:$B$44,$B396))+R396*SUMIFS(Premissas!$E$5:$E$44,Premissas!$A$5:$A$44,$A396,Premissas!$B$5:$B$44,$B396)+S396*SUMIFS(Premissas!$F$5:$F$44,Premissas!$A$5:$A$44,$A396,Premissas!$B$5:$B$44,$B396)</f>
        <v/>
      </c>
      <c r="L396" s="29">
        <f>J396-K396</f>
        <v/>
      </c>
      <c r="M396" t="inlineStr">
        <is>
          <t>1.653</t>
        </is>
      </c>
      <c r="O396" s="29" t="n">
        <v>0</v>
      </c>
      <c r="P396" s="29" t="n">
        <v>0</v>
      </c>
      <c r="Q396" s="29" t="n">
        <v>0</v>
      </c>
      <c r="R396" s="29" t="n">
        <v>0</v>
      </c>
      <c r="S396" s="29" t="n">
        <v>0</v>
      </c>
      <c r="T396" t="inlineStr">
        <is>
          <t>25260219791896016600550090000068261866328058</t>
        </is>
      </c>
      <c r="U396" t="inlineStr">
        <is>
          <t>Sim</t>
        </is>
      </c>
    </row>
    <row r="397">
      <c r="A397" t="inlineStr">
        <is>
          <t>Uso e consumo</t>
        </is>
      </c>
      <c r="B397" t="inlineStr">
        <is>
          <t>2.01.85 Compra de Uso e Consumo</t>
        </is>
      </c>
      <c r="C397" s="30" t="n">
        <v>46054</v>
      </c>
      <c r="D397" t="inlineStr">
        <is>
          <t>Em 2026</t>
        </is>
      </c>
      <c r="E397" s="28" t="n">
        <v>46062</v>
      </c>
      <c r="F397" t="inlineStr">
        <is>
          <t>NF-e</t>
        </is>
      </c>
      <c r="G397" t="inlineStr">
        <is>
          <t>000006894</t>
        </is>
      </c>
      <c r="H397" t="inlineStr">
        <is>
          <t>SUPERGASBRAS ENERGIA LTDA</t>
        </is>
      </c>
      <c r="I397" t="inlineStr">
        <is>
          <t>19.791.896/0166-00</t>
        </is>
      </c>
      <c r="J397" s="29" t="n">
        <v>461.67</v>
      </c>
      <c r="K397" s="29">
        <f>(1-ISNUMBER(SEARCH("556",M397)))*(O397*SUMIFS(Premissas!$C$5:$C$44,Premissas!$A$5:$A$44,$A397,Premissas!$B$5:$B$44,$B397)+P397*SUMIFS(Premissas!$D$5:$D$44,Premissas!$A$5:$A$44,$A397,Premissas!$B$5:$B$44,$B397))+R397*SUMIFS(Premissas!$E$5:$E$44,Premissas!$A$5:$A$44,$A397,Premissas!$B$5:$B$44,$B397)+S397*SUMIFS(Premissas!$F$5:$F$44,Premissas!$A$5:$A$44,$A397,Premissas!$B$5:$B$44,$B397)</f>
        <v/>
      </c>
      <c r="L397" s="29">
        <f>J397-K397</f>
        <v/>
      </c>
      <c r="M397" t="inlineStr">
        <is>
          <t>1.653</t>
        </is>
      </c>
      <c r="O397" s="29" t="n">
        <v>0</v>
      </c>
      <c r="P397" s="29" t="n">
        <v>0</v>
      </c>
      <c r="Q397" s="29" t="n">
        <v>0</v>
      </c>
      <c r="R397" s="29" t="n">
        <v>0</v>
      </c>
      <c r="S397" s="29" t="n">
        <v>0</v>
      </c>
      <c r="T397" t="inlineStr">
        <is>
          <t>25260219791896016600550090000068941327604440</t>
        </is>
      </c>
      <c r="U397" t="inlineStr">
        <is>
          <t>Sim</t>
        </is>
      </c>
    </row>
    <row r="398">
      <c r="A398" t="inlineStr">
        <is>
          <t>Uso e consumo</t>
        </is>
      </c>
      <c r="B398" t="inlineStr">
        <is>
          <t>2.01.85 Compra de Uso e Consumo</t>
        </is>
      </c>
      <c r="C398" s="30" t="n">
        <v>46054</v>
      </c>
      <c r="D398" t="inlineStr">
        <is>
          <t>Em 2026</t>
        </is>
      </c>
      <c r="E398" s="28" t="n">
        <v>46069</v>
      </c>
      <c r="F398" t="inlineStr">
        <is>
          <t>NF-e</t>
        </is>
      </c>
      <c r="G398" t="inlineStr">
        <is>
          <t>000006971</t>
        </is>
      </c>
      <c r="H398" t="inlineStr">
        <is>
          <t>SUPERGASBRAS ENERGIA LTDA</t>
        </is>
      </c>
      <c r="I398" t="inlineStr">
        <is>
          <t>19.791.896/0166-00</t>
        </is>
      </c>
      <c r="J398" s="29" t="n">
        <v>461.67</v>
      </c>
      <c r="K398" s="29">
        <f>(1-ISNUMBER(SEARCH("556",M398)))*(O398*SUMIFS(Premissas!$C$5:$C$44,Premissas!$A$5:$A$44,$A398,Premissas!$B$5:$B$44,$B398)+P398*SUMIFS(Premissas!$D$5:$D$44,Premissas!$A$5:$A$44,$A398,Premissas!$B$5:$B$44,$B398))+R398*SUMIFS(Premissas!$E$5:$E$44,Premissas!$A$5:$A$44,$A398,Premissas!$B$5:$B$44,$B398)+S398*SUMIFS(Premissas!$F$5:$F$44,Premissas!$A$5:$A$44,$A398,Premissas!$B$5:$B$44,$B398)</f>
        <v/>
      </c>
      <c r="L398" s="29">
        <f>J398-K398</f>
        <v/>
      </c>
      <c r="M398" t="inlineStr">
        <is>
          <t>1.653</t>
        </is>
      </c>
      <c r="O398" s="29" t="n">
        <v>0</v>
      </c>
      <c r="P398" s="29" t="n">
        <v>0</v>
      </c>
      <c r="Q398" s="29" t="n">
        <v>0</v>
      </c>
      <c r="R398" s="29" t="n">
        <v>0</v>
      </c>
      <c r="S398" s="29" t="n">
        <v>0</v>
      </c>
      <c r="T398" t="inlineStr">
        <is>
          <t>25260219791896016600550090000069711869438955</t>
        </is>
      </c>
      <c r="U398" t="inlineStr">
        <is>
          <t>Sim</t>
        </is>
      </c>
    </row>
    <row r="399">
      <c r="A399" t="inlineStr">
        <is>
          <t>Uso e consumo</t>
        </is>
      </c>
      <c r="B399" t="inlineStr">
        <is>
          <t>2.01.85 Compra de Uso e Consumo</t>
        </is>
      </c>
      <c r="C399" s="30" t="n">
        <v>46054</v>
      </c>
      <c r="D399" t="inlineStr">
        <is>
          <t>Em 2026</t>
        </is>
      </c>
      <c r="E399" s="28" t="n">
        <v>46076</v>
      </c>
      <c r="F399" t="inlineStr">
        <is>
          <t>NF-e</t>
        </is>
      </c>
      <c r="G399" t="inlineStr">
        <is>
          <t>000007023</t>
        </is>
      </c>
      <c r="H399" t="inlineStr">
        <is>
          <t>SUPERGASBRAS ENERGIA LTDA</t>
        </is>
      </c>
      <c r="I399" t="inlineStr">
        <is>
          <t>19.791.896/0166-00</t>
        </is>
      </c>
      <c r="J399" s="29" t="n">
        <v>461.67</v>
      </c>
      <c r="K399" s="29">
        <f>(1-ISNUMBER(SEARCH("556",M399)))*(O399*SUMIFS(Premissas!$C$5:$C$44,Premissas!$A$5:$A$44,$A399,Premissas!$B$5:$B$44,$B399)+P399*SUMIFS(Premissas!$D$5:$D$44,Premissas!$A$5:$A$44,$A399,Premissas!$B$5:$B$44,$B399))+R399*SUMIFS(Premissas!$E$5:$E$44,Premissas!$A$5:$A$44,$A399,Premissas!$B$5:$B$44,$B399)+S399*SUMIFS(Premissas!$F$5:$F$44,Premissas!$A$5:$A$44,$A399,Premissas!$B$5:$B$44,$B399)</f>
        <v/>
      </c>
      <c r="L399" s="29">
        <f>J399-K399</f>
        <v/>
      </c>
      <c r="M399" t="inlineStr">
        <is>
          <t>1.653</t>
        </is>
      </c>
      <c r="O399" s="29" t="n">
        <v>0</v>
      </c>
      <c r="P399" s="29" t="n">
        <v>0</v>
      </c>
      <c r="Q399" s="29" t="n">
        <v>0</v>
      </c>
      <c r="R399" s="29" t="n">
        <v>0</v>
      </c>
      <c r="S399" s="29" t="n">
        <v>0</v>
      </c>
      <c r="T399" t="inlineStr">
        <is>
          <t>25260219791896016600550090000070231324134050</t>
        </is>
      </c>
      <c r="U399" t="inlineStr">
        <is>
          <t>Sim</t>
        </is>
      </c>
    </row>
    <row r="400">
      <c r="A400" t="inlineStr">
        <is>
          <t>Uso e consumo</t>
        </is>
      </c>
      <c r="B400" t="inlineStr">
        <is>
          <t>2.01.85 Compra de Uso e Consumo</t>
        </is>
      </c>
      <c r="C400" s="30" t="n">
        <v>46054</v>
      </c>
      <c r="D400" t="inlineStr">
        <is>
          <t>Em 2026</t>
        </is>
      </c>
      <c r="E400" s="28" t="n">
        <v>46080</v>
      </c>
      <c r="F400" t="inlineStr">
        <is>
          <t>NF-e</t>
        </is>
      </c>
      <c r="G400" t="inlineStr">
        <is>
          <t>000007086</t>
        </is>
      </c>
      <c r="H400" t="inlineStr">
        <is>
          <t>SUPERGASBRAS ENERGIA LTDA</t>
        </is>
      </c>
      <c r="I400" t="inlineStr">
        <is>
          <t>19.791.896/0166-00</t>
        </is>
      </c>
      <c r="J400" s="29" t="n">
        <v>307.78</v>
      </c>
      <c r="K400" s="29">
        <f>(1-ISNUMBER(SEARCH("556",M400)))*(O400*SUMIFS(Premissas!$C$5:$C$44,Premissas!$A$5:$A$44,$A400,Premissas!$B$5:$B$44,$B400)+P400*SUMIFS(Premissas!$D$5:$D$44,Premissas!$A$5:$A$44,$A400,Premissas!$B$5:$B$44,$B400))+R400*SUMIFS(Premissas!$E$5:$E$44,Premissas!$A$5:$A$44,$A400,Premissas!$B$5:$B$44,$B400)+S400*SUMIFS(Premissas!$F$5:$F$44,Premissas!$A$5:$A$44,$A400,Premissas!$B$5:$B$44,$B400)</f>
        <v/>
      </c>
      <c r="L400" s="29">
        <f>J400-K400</f>
        <v/>
      </c>
      <c r="M400" t="inlineStr">
        <is>
          <t>1.653</t>
        </is>
      </c>
      <c r="O400" s="29" t="n">
        <v>0</v>
      </c>
      <c r="P400" s="29" t="n">
        <v>0</v>
      </c>
      <c r="Q400" s="29" t="n">
        <v>0</v>
      </c>
      <c r="R400" s="29" t="n">
        <v>0</v>
      </c>
      <c r="S400" s="29" t="n">
        <v>0</v>
      </c>
      <c r="T400" t="inlineStr">
        <is>
          <t>25260219791896016600550090000070861722075763</t>
        </is>
      </c>
      <c r="U400" t="inlineStr">
        <is>
          <t>Sim</t>
        </is>
      </c>
    </row>
    <row r="401">
      <c r="A401" t="inlineStr">
        <is>
          <t>Uso e consumo</t>
        </is>
      </c>
      <c r="B401" t="inlineStr">
        <is>
          <t>2.01.85 Compra de Uso e Consumo</t>
        </is>
      </c>
      <c r="C401" s="30" t="n">
        <v>46082</v>
      </c>
      <c r="D401" t="inlineStr">
        <is>
          <t>Em 2026</t>
        </is>
      </c>
      <c r="E401" s="28" t="n">
        <v>46094</v>
      </c>
      <c r="F401" t="inlineStr">
        <is>
          <t>NF-e</t>
        </is>
      </c>
      <c r="G401" t="inlineStr">
        <is>
          <t>000023941</t>
        </is>
      </c>
      <c r="H401" t="inlineStr">
        <is>
          <t>COSTA GONDIM e CIA LTDA</t>
        </is>
      </c>
      <c r="I401" t="inlineStr">
        <is>
          <t>24.216.228/0001-81</t>
        </is>
      </c>
      <c r="J401" s="29" t="n">
        <v>117</v>
      </c>
      <c r="K401" s="29">
        <f>(1-ISNUMBER(SEARCH("556",M401)))*(O401*SUMIFS(Premissas!$C$5:$C$44,Premissas!$A$5:$A$44,$A401,Premissas!$B$5:$B$44,$B401)+P401*SUMIFS(Premissas!$D$5:$D$44,Premissas!$A$5:$A$44,$A401,Premissas!$B$5:$B$44,$B401))+R401*SUMIFS(Premissas!$E$5:$E$44,Premissas!$A$5:$A$44,$A401,Premissas!$B$5:$B$44,$B401)+S401*SUMIFS(Premissas!$F$5:$F$44,Premissas!$A$5:$A$44,$A401,Premissas!$B$5:$B$44,$B401)</f>
        <v/>
      </c>
      <c r="L401" s="29">
        <f>J401-K401</f>
        <v/>
      </c>
      <c r="M401" t="inlineStr">
        <is>
          <t>1.102</t>
        </is>
      </c>
      <c r="O401" s="29" t="n">
        <v>0</v>
      </c>
      <c r="P401" s="29" t="n">
        <v>0</v>
      </c>
      <c r="Q401" s="29" t="n">
        <v>0</v>
      </c>
      <c r="R401" s="29" t="n">
        <v>0</v>
      </c>
      <c r="S401" s="29" t="n">
        <v>0</v>
      </c>
      <c r="T401" t="inlineStr">
        <is>
          <t>25260324216228000181550010000239411390553335</t>
        </is>
      </c>
      <c r="U401" t="inlineStr">
        <is>
          <t>Sim</t>
        </is>
      </c>
    </row>
    <row r="402">
      <c r="A402" t="inlineStr">
        <is>
          <t>Uso e consumo</t>
        </is>
      </c>
      <c r="B402" t="inlineStr">
        <is>
          <t>2.01.85 Compra de Uso e Consumo</t>
        </is>
      </c>
      <c r="C402" s="30" t="n">
        <v>46082</v>
      </c>
      <c r="D402" t="inlineStr">
        <is>
          <t>Em 2026</t>
        </is>
      </c>
      <c r="E402" s="28" t="n">
        <v>46107</v>
      </c>
      <c r="F402" t="inlineStr">
        <is>
          <t>NF-e</t>
        </is>
      </c>
      <c r="G402" t="inlineStr">
        <is>
          <t>000102927</t>
        </is>
      </c>
      <c r="H402" t="inlineStr">
        <is>
          <t>FERGE COMERCIO DE PRODUTOS INDUSTRIAIS LTDA</t>
        </is>
      </c>
      <c r="I402" t="inlineStr">
        <is>
          <t>09.057.961/0001-07</t>
        </is>
      </c>
      <c r="J402" s="29" t="n">
        <v>120</v>
      </c>
      <c r="K402" s="29">
        <f>(1-ISNUMBER(SEARCH("556",M402)))*(O402*SUMIFS(Premissas!$C$5:$C$44,Premissas!$A$5:$A$44,$A402,Premissas!$B$5:$B$44,$B402)+P402*SUMIFS(Premissas!$D$5:$D$44,Premissas!$A$5:$A$44,$A402,Premissas!$B$5:$B$44,$B402))+R402*SUMIFS(Premissas!$E$5:$E$44,Premissas!$A$5:$A$44,$A402,Premissas!$B$5:$B$44,$B402)+S402*SUMIFS(Premissas!$F$5:$F$44,Premissas!$A$5:$A$44,$A402,Premissas!$B$5:$B$44,$B402)</f>
        <v/>
      </c>
      <c r="L402" s="29">
        <f>J402-K402</f>
        <v/>
      </c>
      <c r="M402" t="inlineStr">
        <is>
          <t>1.556</t>
        </is>
      </c>
      <c r="O402" s="29" t="n">
        <v>0</v>
      </c>
      <c r="P402" s="29" t="n">
        <v>24</v>
      </c>
      <c r="Q402" s="29" t="n">
        <v>0</v>
      </c>
      <c r="R402" s="29" t="n">
        <v>0</v>
      </c>
      <c r="S402" s="29" t="n">
        <v>0</v>
      </c>
      <c r="T402" t="inlineStr">
        <is>
          <t>25260309057961000107550010001029271016664016</t>
        </is>
      </c>
      <c r="U402" t="inlineStr">
        <is>
          <t>Sim</t>
        </is>
      </c>
    </row>
    <row r="403">
      <c r="A403" t="inlineStr">
        <is>
          <t>Uso e consumo</t>
        </is>
      </c>
      <c r="B403" t="inlineStr">
        <is>
          <t>2.01.85 Compra de Uso e Consumo</t>
        </is>
      </c>
      <c r="C403" s="30" t="n">
        <v>46082</v>
      </c>
      <c r="D403" t="inlineStr">
        <is>
          <t>Em 2026</t>
        </is>
      </c>
      <c r="E403" s="28" t="n">
        <v>46090</v>
      </c>
      <c r="F403" t="inlineStr">
        <is>
          <t>NF-e</t>
        </is>
      </c>
      <c r="G403" t="inlineStr">
        <is>
          <t>000038031</t>
        </is>
      </c>
      <c r="H403" t="inlineStr">
        <is>
          <t>PQVIRK IND E COM DE PROD QUIMICOS LTDA</t>
        </is>
      </c>
      <c r="I403" t="inlineStr">
        <is>
          <t>03.085.541/0001-58</t>
        </is>
      </c>
      <c r="J403" s="29" t="n">
        <v>185.85</v>
      </c>
      <c r="K403" s="29">
        <f>(1-ISNUMBER(SEARCH("556",M403)))*(O403*SUMIFS(Premissas!$C$5:$C$44,Premissas!$A$5:$A$44,$A403,Premissas!$B$5:$B$44,$B403)+P403*SUMIFS(Premissas!$D$5:$D$44,Premissas!$A$5:$A$44,$A403,Premissas!$B$5:$B$44,$B403))+R403*SUMIFS(Premissas!$E$5:$E$44,Premissas!$A$5:$A$44,$A403,Premissas!$B$5:$B$44,$B403)+S403*SUMIFS(Premissas!$F$5:$F$44,Premissas!$A$5:$A$44,$A403,Premissas!$B$5:$B$44,$B403)</f>
        <v/>
      </c>
      <c r="L403" s="29">
        <f>J403-K403</f>
        <v/>
      </c>
      <c r="M403" t="inlineStr">
        <is>
          <t>2.102</t>
        </is>
      </c>
      <c r="O403" s="29" t="n">
        <v>5.85</v>
      </c>
      <c r="P403" s="29" t="n">
        <v>21.6</v>
      </c>
      <c r="Q403" s="29" t="n">
        <v>0</v>
      </c>
      <c r="R403" s="29" t="n">
        <v>1.03</v>
      </c>
      <c r="S403" s="29" t="n">
        <v>4.75</v>
      </c>
      <c r="T403" t="inlineStr">
        <is>
          <t>23260303085541000158550000000380311946658127</t>
        </is>
      </c>
      <c r="U403" t="inlineStr">
        <is>
          <t>Sim</t>
        </is>
      </c>
    </row>
    <row r="404">
      <c r="A404" t="inlineStr">
        <is>
          <t>Uso e consumo</t>
        </is>
      </c>
      <c r="B404" t="inlineStr">
        <is>
          <t>2.01.85 Compra de Uso e Consumo</t>
        </is>
      </c>
      <c r="C404" s="30" t="n">
        <v>46082</v>
      </c>
      <c r="D404" t="inlineStr">
        <is>
          <t>Em 2026</t>
        </is>
      </c>
      <c r="E404" s="28" t="n">
        <v>46090</v>
      </c>
      <c r="F404" t="inlineStr">
        <is>
          <t>NF-e</t>
        </is>
      </c>
      <c r="G404" t="inlineStr">
        <is>
          <t>000007165</t>
        </is>
      </c>
      <c r="H404" t="inlineStr">
        <is>
          <t>SUPERGASBRAS ENERGIA LTDA</t>
        </is>
      </c>
      <c r="I404" t="inlineStr">
        <is>
          <t>19.791.896/0166-00</t>
        </is>
      </c>
      <c r="J404" s="29" t="n">
        <v>461.67</v>
      </c>
      <c r="K404" s="29">
        <f>(1-ISNUMBER(SEARCH("556",M404)))*(O404*SUMIFS(Premissas!$C$5:$C$44,Premissas!$A$5:$A$44,$A404,Premissas!$B$5:$B$44,$B404)+P404*SUMIFS(Premissas!$D$5:$D$44,Premissas!$A$5:$A$44,$A404,Premissas!$B$5:$B$44,$B404))+R404*SUMIFS(Premissas!$E$5:$E$44,Premissas!$A$5:$A$44,$A404,Premissas!$B$5:$B$44,$B404)+S404*SUMIFS(Premissas!$F$5:$F$44,Premissas!$A$5:$A$44,$A404,Premissas!$B$5:$B$44,$B404)</f>
        <v/>
      </c>
      <c r="L404" s="29">
        <f>J404-K404</f>
        <v/>
      </c>
      <c r="M404" t="inlineStr">
        <is>
          <t>1.653</t>
        </is>
      </c>
      <c r="O404" s="29" t="n">
        <v>0</v>
      </c>
      <c r="P404" s="29" t="n">
        <v>0</v>
      </c>
      <c r="Q404" s="29" t="n">
        <v>0</v>
      </c>
      <c r="R404" s="29" t="n">
        <v>0</v>
      </c>
      <c r="S404" s="29" t="n">
        <v>0</v>
      </c>
      <c r="T404" t="inlineStr">
        <is>
          <t>25260319791896016600550090000071651342428922</t>
        </is>
      </c>
      <c r="U404" t="inlineStr">
        <is>
          <t>Sim</t>
        </is>
      </c>
    </row>
    <row r="405">
      <c r="A405" t="inlineStr">
        <is>
          <t>Uso e consumo</t>
        </is>
      </c>
      <c r="B405" t="inlineStr">
        <is>
          <t>2.01.85 Compra de Uso e Consumo</t>
        </is>
      </c>
      <c r="C405" s="30" t="n">
        <v>46082</v>
      </c>
      <c r="D405" t="inlineStr">
        <is>
          <t>Em 2026</t>
        </is>
      </c>
      <c r="E405" s="28" t="n">
        <v>46097</v>
      </c>
      <c r="F405" t="inlineStr">
        <is>
          <t>NF-e</t>
        </is>
      </c>
      <c r="G405" t="inlineStr">
        <is>
          <t>000007235</t>
        </is>
      </c>
      <c r="H405" t="inlineStr">
        <is>
          <t>SUPERGASBRAS ENERGIA LTDA</t>
        </is>
      </c>
      <c r="I405" t="inlineStr">
        <is>
          <t>19.791.896/0166-00</t>
        </is>
      </c>
      <c r="J405" s="29" t="n">
        <v>615.5599999999999</v>
      </c>
      <c r="K405" s="29">
        <f>(1-ISNUMBER(SEARCH("556",M405)))*(O405*SUMIFS(Premissas!$C$5:$C$44,Premissas!$A$5:$A$44,$A405,Premissas!$B$5:$B$44,$B405)+P405*SUMIFS(Premissas!$D$5:$D$44,Premissas!$A$5:$A$44,$A405,Premissas!$B$5:$B$44,$B405))+R405*SUMIFS(Premissas!$E$5:$E$44,Premissas!$A$5:$A$44,$A405,Premissas!$B$5:$B$44,$B405)+S405*SUMIFS(Premissas!$F$5:$F$44,Premissas!$A$5:$A$44,$A405,Premissas!$B$5:$B$44,$B405)</f>
        <v/>
      </c>
      <c r="L405" s="29">
        <f>J405-K405</f>
        <v/>
      </c>
      <c r="M405" t="inlineStr">
        <is>
          <t>1.556</t>
        </is>
      </c>
      <c r="O405" s="29" t="n">
        <v>0</v>
      </c>
      <c r="P405" s="29" t="n">
        <v>0</v>
      </c>
      <c r="Q405" s="29" t="n">
        <v>0</v>
      </c>
      <c r="R405" s="29" t="n">
        <v>0</v>
      </c>
      <c r="S405" s="29" t="n">
        <v>0</v>
      </c>
      <c r="T405" t="inlineStr">
        <is>
          <t>25260319791896016600550090000072351971073760</t>
        </is>
      </c>
      <c r="U405" t="inlineStr">
        <is>
          <t>Sim</t>
        </is>
      </c>
    </row>
    <row r="406">
      <c r="A406" t="inlineStr">
        <is>
          <t>Uso e consumo</t>
        </is>
      </c>
      <c r="B406" t="inlineStr">
        <is>
          <t>2.01.85 Compra de Uso e Consumo</t>
        </is>
      </c>
      <c r="C406" s="30" t="n">
        <v>46082</v>
      </c>
      <c r="D406" t="inlineStr">
        <is>
          <t>Em 2026</t>
        </is>
      </c>
      <c r="E406" s="28" t="n">
        <v>46104</v>
      </c>
      <c r="F406" t="inlineStr">
        <is>
          <t>NF-e</t>
        </is>
      </c>
      <c r="G406" t="inlineStr">
        <is>
          <t>000007314</t>
        </is>
      </c>
      <c r="H406" t="inlineStr">
        <is>
          <t>SUPERGASBRAS ENERGIA LTDA</t>
        </is>
      </c>
      <c r="I406" t="inlineStr">
        <is>
          <t>19.791.896/0166-00</t>
        </is>
      </c>
      <c r="J406" s="29" t="n">
        <v>472.47</v>
      </c>
      <c r="K406" s="29">
        <f>(1-ISNUMBER(SEARCH("556",M406)))*(O406*SUMIFS(Premissas!$C$5:$C$44,Premissas!$A$5:$A$44,$A406,Premissas!$B$5:$B$44,$B406)+P406*SUMIFS(Premissas!$D$5:$D$44,Premissas!$A$5:$A$44,$A406,Premissas!$B$5:$B$44,$B406))+R406*SUMIFS(Premissas!$E$5:$E$44,Premissas!$A$5:$A$44,$A406,Premissas!$B$5:$B$44,$B406)+S406*SUMIFS(Premissas!$F$5:$F$44,Premissas!$A$5:$A$44,$A406,Premissas!$B$5:$B$44,$B406)</f>
        <v/>
      </c>
      <c r="L406" s="29">
        <f>J406-K406</f>
        <v/>
      </c>
      <c r="M406" t="inlineStr">
        <is>
          <t>1.653</t>
        </is>
      </c>
      <c r="O406" s="29" t="n">
        <v>0</v>
      </c>
      <c r="P406" s="29" t="n">
        <v>0</v>
      </c>
      <c r="Q406" s="29" t="n">
        <v>0</v>
      </c>
      <c r="R406" s="29" t="n">
        <v>0</v>
      </c>
      <c r="S406" s="29" t="n">
        <v>0</v>
      </c>
      <c r="T406" t="inlineStr">
        <is>
          <t>25260319791896016600550090000073141193135980</t>
        </is>
      </c>
      <c r="U406" t="inlineStr">
        <is>
          <t>Sim</t>
        </is>
      </c>
    </row>
    <row r="407">
      <c r="A407" t="inlineStr">
        <is>
          <t>Uso e consumo</t>
        </is>
      </c>
      <c r="B407" t="inlineStr">
        <is>
          <t>2.01.85 Compra de Uso e Consumo</t>
        </is>
      </c>
      <c r="C407" s="30" t="n">
        <v>46082</v>
      </c>
      <c r="D407" t="inlineStr">
        <is>
          <t>Em 2026</t>
        </is>
      </c>
      <c r="E407" s="28" t="n">
        <v>46111</v>
      </c>
      <c r="F407" t="inlineStr">
        <is>
          <t>NF-e</t>
        </is>
      </c>
      <c r="G407" t="inlineStr">
        <is>
          <t>000007388</t>
        </is>
      </c>
      <c r="H407" t="inlineStr">
        <is>
          <t>SUPERGASBRAS ENERGIA LTDA</t>
        </is>
      </c>
      <c r="I407" t="inlineStr">
        <is>
          <t>19.791.896/0166-00</t>
        </is>
      </c>
      <c r="J407" s="29" t="n">
        <v>629.96</v>
      </c>
      <c r="K407" s="29">
        <f>(1-ISNUMBER(SEARCH("556",M407)))*(O407*SUMIFS(Premissas!$C$5:$C$44,Premissas!$A$5:$A$44,$A407,Premissas!$B$5:$B$44,$B407)+P407*SUMIFS(Premissas!$D$5:$D$44,Premissas!$A$5:$A$44,$A407,Premissas!$B$5:$B$44,$B407))+R407*SUMIFS(Premissas!$E$5:$E$44,Premissas!$A$5:$A$44,$A407,Premissas!$B$5:$B$44,$B407)+S407*SUMIFS(Premissas!$F$5:$F$44,Premissas!$A$5:$A$44,$A407,Premissas!$B$5:$B$44,$B407)</f>
        <v/>
      </c>
      <c r="L407" s="29">
        <f>J407-K407</f>
        <v/>
      </c>
      <c r="M407" t="inlineStr">
        <is>
          <t>1.653</t>
        </is>
      </c>
      <c r="O407" s="29" t="n">
        <v>0</v>
      </c>
      <c r="P407" s="29" t="n">
        <v>0</v>
      </c>
      <c r="Q407" s="29" t="n">
        <v>0</v>
      </c>
      <c r="R407" s="29" t="n">
        <v>0</v>
      </c>
      <c r="S407" s="29" t="n">
        <v>0</v>
      </c>
      <c r="T407" t="inlineStr">
        <is>
          <t>25260319791896016600550090000073881756124621</t>
        </is>
      </c>
      <c r="U407" t="inlineStr">
        <is>
          <t>Sim</t>
        </is>
      </c>
    </row>
    <row r="408">
      <c r="A408" t="inlineStr">
        <is>
          <t>Uso e consumo</t>
        </is>
      </c>
      <c r="B408" t="inlineStr">
        <is>
          <t>2.01.85 Compra de Uso e Consumo</t>
        </is>
      </c>
      <c r="C408" s="30" t="n">
        <v>46113</v>
      </c>
      <c r="D408" t="inlineStr">
        <is>
          <t>Em 2026</t>
        </is>
      </c>
      <c r="E408" s="28" t="n">
        <v>46142</v>
      </c>
      <c r="F408" t="inlineStr">
        <is>
          <t>NF-e</t>
        </is>
      </c>
      <c r="G408" t="inlineStr">
        <is>
          <t>000013908</t>
        </is>
      </c>
      <c r="H408" t="inlineStr">
        <is>
          <t>EDNA DE ARAUJO PACHECO LTDA</t>
        </is>
      </c>
      <c r="I408" t="inlineStr">
        <is>
          <t>17.433.873/0001-90</t>
        </is>
      </c>
      <c r="J408" s="29" t="n">
        <v>337.32</v>
      </c>
      <c r="K408" s="29">
        <f>(1-ISNUMBER(SEARCH("556",M408)))*(O408*SUMIFS(Premissas!$C$5:$C$44,Premissas!$A$5:$A$44,$A408,Premissas!$B$5:$B$44,$B408)+P408*SUMIFS(Premissas!$D$5:$D$44,Premissas!$A$5:$A$44,$A408,Premissas!$B$5:$B$44,$B408))+R408*SUMIFS(Premissas!$E$5:$E$44,Premissas!$A$5:$A$44,$A408,Premissas!$B$5:$B$44,$B408)+S408*SUMIFS(Premissas!$F$5:$F$44,Premissas!$A$5:$A$44,$A408,Premissas!$B$5:$B$44,$B408)</f>
        <v/>
      </c>
      <c r="L408" s="29">
        <f>J408-K408</f>
        <v/>
      </c>
      <c r="M408" t="inlineStr">
        <is>
          <t>1.556</t>
        </is>
      </c>
      <c r="N408" t="inlineStr">
        <is>
          <t>Valor rateado entre categorias, como no Omie</t>
        </is>
      </c>
      <c r="O408" s="29" t="n">
        <v>0</v>
      </c>
      <c r="P408" s="29" t="n">
        <v>0</v>
      </c>
      <c r="Q408" s="29" t="n">
        <v>0</v>
      </c>
      <c r="R408" s="29" t="n">
        <v>0</v>
      </c>
      <c r="S408" s="29" t="n">
        <v>0</v>
      </c>
      <c r="T408" t="inlineStr">
        <is>
          <t>25260417433873000190550010000139081016664010</t>
        </is>
      </c>
      <c r="U408" t="inlineStr">
        <is>
          <t>Sim</t>
        </is>
      </c>
    </row>
    <row r="409">
      <c r="A409" t="inlineStr">
        <is>
          <t>Uso e consumo</t>
        </is>
      </c>
      <c r="B409" t="inlineStr">
        <is>
          <t>2.01.85 Compra de Uso e Consumo</t>
        </is>
      </c>
      <c r="C409" s="30" t="n">
        <v>46113</v>
      </c>
      <c r="D409" t="inlineStr">
        <is>
          <t>Em 2026</t>
        </is>
      </c>
      <c r="E409" s="28" t="n">
        <v>46121</v>
      </c>
      <c r="F409" t="inlineStr">
        <is>
          <t>NF-e</t>
        </is>
      </c>
      <c r="G409" t="inlineStr">
        <is>
          <t>000793419</t>
        </is>
      </c>
      <c r="H409" t="inlineStr">
        <is>
          <t>G5 Comercio de Madeiras Ltda ME</t>
        </is>
      </c>
      <c r="I409" t="inlineStr">
        <is>
          <t>10.948.040/0001-13</t>
        </is>
      </c>
      <c r="J409" s="29" t="n">
        <v>977.24</v>
      </c>
      <c r="K409" s="29">
        <f>(1-ISNUMBER(SEARCH("556",M409)))*(O409*SUMIFS(Premissas!$C$5:$C$44,Premissas!$A$5:$A$44,$A409,Premissas!$B$5:$B$44,$B409)+P409*SUMIFS(Premissas!$D$5:$D$44,Premissas!$A$5:$A$44,$A409,Premissas!$B$5:$B$44,$B409))+R409*SUMIFS(Premissas!$E$5:$E$44,Premissas!$A$5:$A$44,$A409,Premissas!$B$5:$B$44,$B409)+S409*SUMIFS(Premissas!$F$5:$F$44,Premissas!$A$5:$A$44,$A409,Premissas!$B$5:$B$44,$B409)</f>
        <v/>
      </c>
      <c r="L409" s="29">
        <f>J409-K409</f>
        <v/>
      </c>
      <c r="M409" t="inlineStr">
        <is>
          <t>1.556</t>
        </is>
      </c>
      <c r="O409" s="29" t="n">
        <v>0</v>
      </c>
      <c r="P409" s="29" t="n">
        <v>195.45</v>
      </c>
      <c r="Q409" s="29" t="n">
        <v>0</v>
      </c>
      <c r="R409" s="29" t="n">
        <v>12.9</v>
      </c>
      <c r="S409" s="29" t="n">
        <v>59.42</v>
      </c>
      <c r="T409" t="inlineStr">
        <is>
          <t>25260410948040000113550010007934191985661415</t>
        </is>
      </c>
      <c r="U409" t="inlineStr">
        <is>
          <t>Sim</t>
        </is>
      </c>
    </row>
    <row r="410">
      <c r="A410" t="inlineStr">
        <is>
          <t>Uso e consumo</t>
        </is>
      </c>
      <c r="B410" t="inlineStr">
        <is>
          <t>2.01.85 Compra de Uso e Consumo</t>
        </is>
      </c>
      <c r="C410" s="30" t="n">
        <v>46113</v>
      </c>
      <c r="D410" t="inlineStr">
        <is>
          <t>Em 2026</t>
        </is>
      </c>
      <c r="E410" s="28" t="n">
        <v>46139</v>
      </c>
      <c r="F410" t="inlineStr">
        <is>
          <t>NF-e</t>
        </is>
      </c>
      <c r="G410" t="inlineStr">
        <is>
          <t>000012088</t>
        </is>
      </c>
      <c r="H410" t="inlineStr">
        <is>
          <t>KLK INDUSTRIA E COMERCIO DE CONFECCOES LTDA</t>
        </is>
      </c>
      <c r="I410" t="inlineStr">
        <is>
          <t>08.041.657/0001-09</t>
        </is>
      </c>
      <c r="J410" s="29" t="n">
        <v>2426</v>
      </c>
      <c r="K410" s="29">
        <f>(1-ISNUMBER(SEARCH("556",M410)))*(O410*SUMIFS(Premissas!$C$5:$C$44,Premissas!$A$5:$A$44,$A410,Premissas!$B$5:$B$44,$B410)+P410*SUMIFS(Premissas!$D$5:$D$44,Premissas!$A$5:$A$44,$A410,Premissas!$B$5:$B$44,$B410))+R410*SUMIFS(Premissas!$E$5:$E$44,Premissas!$A$5:$A$44,$A410,Premissas!$B$5:$B$44,$B410)+S410*SUMIFS(Premissas!$F$5:$F$44,Premissas!$A$5:$A$44,$A410,Premissas!$B$5:$B$44,$B410)</f>
        <v/>
      </c>
      <c r="L410" s="29">
        <f>J410-K410</f>
        <v/>
      </c>
      <c r="M410" t="inlineStr">
        <is>
          <t>1.556</t>
        </is>
      </c>
      <c r="O410" s="29" t="n">
        <v>0</v>
      </c>
      <c r="P410" s="29" t="n">
        <v>485.2</v>
      </c>
      <c r="Q410" s="29" t="n">
        <v>0</v>
      </c>
      <c r="R410" s="29" t="n">
        <v>15.77</v>
      </c>
      <c r="S410" s="29" t="n">
        <v>72.78</v>
      </c>
      <c r="T410" t="inlineStr">
        <is>
          <t>25260408041657000109550010000120881185269021</t>
        </is>
      </c>
      <c r="U410" t="inlineStr">
        <is>
          <t>Sim</t>
        </is>
      </c>
    </row>
    <row r="411">
      <c r="A411" t="inlineStr">
        <is>
          <t>Uso e consumo</t>
        </is>
      </c>
      <c r="B411" t="inlineStr">
        <is>
          <t>2.01.85 Compra de Uso e Consumo</t>
        </is>
      </c>
      <c r="C411" s="30" t="n">
        <v>46113</v>
      </c>
      <c r="D411" t="inlineStr">
        <is>
          <t>Em 2026</t>
        </is>
      </c>
      <c r="E411" s="28" t="n">
        <v>46139</v>
      </c>
      <c r="F411" t="inlineStr">
        <is>
          <t>NF-e</t>
        </is>
      </c>
      <c r="G411" t="inlineStr">
        <is>
          <t>000000988</t>
        </is>
      </c>
      <c r="H411" t="inlineStr">
        <is>
          <t>Limptech Paper Comercio Ltda</t>
        </is>
      </c>
      <c r="I411" t="inlineStr">
        <is>
          <t>58.715.917/0001-52</t>
        </is>
      </c>
      <c r="J411" s="29" t="n">
        <v>878</v>
      </c>
      <c r="K411" s="29">
        <f>(1-ISNUMBER(SEARCH("556",M411)))*(O411*SUMIFS(Premissas!$C$5:$C$44,Premissas!$A$5:$A$44,$A411,Premissas!$B$5:$B$44,$B411)+P411*SUMIFS(Premissas!$D$5:$D$44,Premissas!$A$5:$A$44,$A411,Premissas!$B$5:$B$44,$B411))+R411*SUMIFS(Premissas!$E$5:$E$44,Premissas!$A$5:$A$44,$A411,Premissas!$B$5:$B$44,$B411)+S411*SUMIFS(Premissas!$F$5:$F$44,Premissas!$A$5:$A$44,$A411,Premissas!$B$5:$B$44,$B411)</f>
        <v/>
      </c>
      <c r="L411" s="29">
        <f>J411-K411</f>
        <v/>
      </c>
      <c r="M411" t="inlineStr">
        <is>
          <t>1.556</t>
        </is>
      </c>
      <c r="O411" s="29" t="n">
        <v>0</v>
      </c>
      <c r="P411" s="29" t="n">
        <v>0</v>
      </c>
      <c r="Q411" s="29" t="n">
        <v>0</v>
      </c>
      <c r="R411" s="29" t="n">
        <v>0</v>
      </c>
      <c r="S411" s="29" t="n">
        <v>0</v>
      </c>
      <c r="T411" t="inlineStr">
        <is>
          <t>25260458715917000152550010000009881907923756</t>
        </is>
      </c>
      <c r="U411" t="inlineStr">
        <is>
          <t>Sim</t>
        </is>
      </c>
    </row>
    <row r="412">
      <c r="A412" t="inlineStr">
        <is>
          <t>Uso e consumo</t>
        </is>
      </c>
      <c r="B412" t="inlineStr">
        <is>
          <t>2.01.85 Compra de Uso e Consumo</t>
        </is>
      </c>
      <c r="C412" s="30" t="n">
        <v>46113</v>
      </c>
      <c r="D412" t="inlineStr">
        <is>
          <t>Em 2026</t>
        </is>
      </c>
      <c r="E412" s="28" t="n">
        <v>46134</v>
      </c>
      <c r="F412" t="inlineStr">
        <is>
          <t>NF-e</t>
        </is>
      </c>
      <c r="G412" t="inlineStr">
        <is>
          <t>000012231</t>
        </is>
      </c>
      <c r="H412" t="inlineStr">
        <is>
          <t>MAIN COMERCIO DE DESCARTAVEIS EIRELI</t>
        </is>
      </c>
      <c r="I412" t="inlineStr">
        <is>
          <t>32.422.584/0001-80</t>
        </is>
      </c>
      <c r="J412" s="29" t="n">
        <v>315</v>
      </c>
      <c r="K412" s="29">
        <f>(1-ISNUMBER(SEARCH("556",M412)))*(O412*SUMIFS(Premissas!$C$5:$C$44,Premissas!$A$5:$A$44,$A412,Premissas!$B$5:$B$44,$B412)+P412*SUMIFS(Premissas!$D$5:$D$44,Premissas!$A$5:$A$44,$A412,Premissas!$B$5:$B$44,$B412))+R412*SUMIFS(Premissas!$E$5:$E$44,Premissas!$A$5:$A$44,$A412,Premissas!$B$5:$B$44,$B412)+S412*SUMIFS(Premissas!$F$5:$F$44,Premissas!$A$5:$A$44,$A412,Premissas!$B$5:$B$44,$B412)</f>
        <v/>
      </c>
      <c r="L412" s="29">
        <f>J412-K412</f>
        <v/>
      </c>
      <c r="M412" t="inlineStr">
        <is>
          <t>1.556</t>
        </is>
      </c>
      <c r="O412" s="29" t="n">
        <v>0</v>
      </c>
      <c r="P412" s="29" t="n">
        <v>0</v>
      </c>
      <c r="Q412" s="29" t="n">
        <v>0</v>
      </c>
      <c r="R412" s="29" t="n">
        <v>0</v>
      </c>
      <c r="S412" s="29" t="n">
        <v>0</v>
      </c>
      <c r="T412" t="inlineStr">
        <is>
          <t>25260432422584000180550010000122311755523594</t>
        </is>
      </c>
      <c r="U412" t="inlineStr">
        <is>
          <t>Sim</t>
        </is>
      </c>
    </row>
    <row r="413">
      <c r="A413" t="inlineStr">
        <is>
          <t>Uso e consumo</t>
        </is>
      </c>
      <c r="B413" t="inlineStr">
        <is>
          <t>2.01.85 Compra de Uso e Consumo</t>
        </is>
      </c>
      <c r="C413" s="30" t="n">
        <v>46113</v>
      </c>
      <c r="D413" t="inlineStr">
        <is>
          <t>Em 2026</t>
        </is>
      </c>
      <c r="E413" s="28" t="n">
        <v>46136</v>
      </c>
      <c r="F413" t="inlineStr">
        <is>
          <t>NF-e</t>
        </is>
      </c>
      <c r="G413" t="inlineStr">
        <is>
          <t>900557689</t>
        </is>
      </c>
      <c r="H413" t="inlineStr">
        <is>
          <t>MARCUS VINICIUS CORDEIRO DE MEDEIROS 19449826803</t>
        </is>
      </c>
      <c r="I413" t="inlineStr">
        <is>
          <t>33.526.158/0001-59</t>
        </is>
      </c>
      <c r="J413" s="29" t="n">
        <v>899.55</v>
      </c>
      <c r="K413" s="29">
        <f>(1-ISNUMBER(SEARCH("556",M413)))*(O413*SUMIFS(Premissas!$C$5:$C$44,Premissas!$A$5:$A$44,$A413,Premissas!$B$5:$B$44,$B413)+P413*SUMIFS(Premissas!$D$5:$D$44,Premissas!$A$5:$A$44,$A413,Premissas!$B$5:$B$44,$B413))+R413*SUMIFS(Premissas!$E$5:$E$44,Premissas!$A$5:$A$44,$A413,Premissas!$B$5:$B$44,$B413)+S413*SUMIFS(Premissas!$F$5:$F$44,Premissas!$A$5:$A$44,$A413,Premissas!$B$5:$B$44,$B413)</f>
        <v/>
      </c>
      <c r="L413" s="29">
        <f>J413-K413</f>
        <v/>
      </c>
      <c r="M413" t="inlineStr">
        <is>
          <t>1.556</t>
        </is>
      </c>
      <c r="O413" s="29" t="n">
        <v>0</v>
      </c>
      <c r="P413" s="29" t="n">
        <v>0</v>
      </c>
      <c r="Q413" s="29" t="n">
        <v>0</v>
      </c>
      <c r="R413" s="29" t="n">
        <v>0</v>
      </c>
      <c r="S413" s="29" t="n">
        <v>0</v>
      </c>
      <c r="T413" t="inlineStr">
        <is>
          <t>25260408761132000148558919005576891120393878</t>
        </is>
      </c>
      <c r="U413" t="inlineStr">
        <is>
          <t>Sim</t>
        </is>
      </c>
    </row>
    <row r="414">
      <c r="A414" t="inlineStr">
        <is>
          <t>Uso e consumo</t>
        </is>
      </c>
      <c r="B414" t="inlineStr">
        <is>
          <t>2.01.85 Compra de Uso e Consumo</t>
        </is>
      </c>
      <c r="C414" s="30" t="n">
        <v>46113</v>
      </c>
      <c r="D414" t="inlineStr">
        <is>
          <t>Em 2026</t>
        </is>
      </c>
      <c r="E414" s="28" t="n">
        <v>46118</v>
      </c>
      <c r="F414" t="inlineStr">
        <is>
          <t>NF-e</t>
        </is>
      </c>
      <c r="G414" t="inlineStr">
        <is>
          <t>000007456</t>
        </is>
      </c>
      <c r="H414" t="inlineStr">
        <is>
          <t>SUPERGASBRAS ENERGIA LTDA</t>
        </is>
      </c>
      <c r="I414" t="inlineStr">
        <is>
          <t>19.791.896/0166-00</t>
        </is>
      </c>
      <c r="J414" s="29" t="n">
        <v>472.47</v>
      </c>
      <c r="K414" s="29">
        <f>(1-ISNUMBER(SEARCH("556",M414)))*(O414*SUMIFS(Premissas!$C$5:$C$44,Premissas!$A$5:$A$44,$A414,Premissas!$B$5:$B$44,$B414)+P414*SUMIFS(Premissas!$D$5:$D$44,Premissas!$A$5:$A$44,$A414,Premissas!$B$5:$B$44,$B414))+R414*SUMIFS(Premissas!$E$5:$E$44,Premissas!$A$5:$A$44,$A414,Premissas!$B$5:$B$44,$B414)+S414*SUMIFS(Premissas!$F$5:$F$44,Premissas!$A$5:$A$44,$A414,Premissas!$B$5:$B$44,$B414)</f>
        <v/>
      </c>
      <c r="L414" s="29">
        <f>J414-K414</f>
        <v/>
      </c>
      <c r="M414" t="inlineStr">
        <is>
          <t>1.653</t>
        </is>
      </c>
      <c r="O414" s="29" t="n">
        <v>0</v>
      </c>
      <c r="P414" s="29" t="n">
        <v>0</v>
      </c>
      <c r="Q414" s="29" t="n">
        <v>0</v>
      </c>
      <c r="R414" s="29" t="n">
        <v>0</v>
      </c>
      <c r="S414" s="29" t="n">
        <v>0</v>
      </c>
      <c r="T414" t="inlineStr">
        <is>
          <t>25260419791896016600550090000074561159767730</t>
        </is>
      </c>
      <c r="U414" t="inlineStr">
        <is>
          <t>Sim</t>
        </is>
      </c>
    </row>
    <row r="415">
      <c r="A415" t="inlineStr">
        <is>
          <t>Uso e consumo</t>
        </is>
      </c>
      <c r="B415" t="inlineStr">
        <is>
          <t>2.01.85 Compra de Uso e Consumo</t>
        </is>
      </c>
      <c r="C415" s="30" t="n">
        <v>46113</v>
      </c>
      <c r="D415" t="inlineStr">
        <is>
          <t>Em 2026</t>
        </is>
      </c>
      <c r="E415" s="28" t="n">
        <v>46132</v>
      </c>
      <c r="F415" t="inlineStr">
        <is>
          <t>NF-e</t>
        </is>
      </c>
      <c r="G415" t="inlineStr">
        <is>
          <t>000007598</t>
        </is>
      </c>
      <c r="H415" t="inlineStr">
        <is>
          <t>SUPERGASBRAS ENERGIA LTDA</t>
        </is>
      </c>
      <c r="I415" t="inlineStr">
        <is>
          <t>19.791.896/0166-00</t>
        </is>
      </c>
      <c r="J415" s="29" t="n">
        <v>314.98</v>
      </c>
      <c r="K415" s="29">
        <f>(1-ISNUMBER(SEARCH("556",M415)))*(O415*SUMIFS(Premissas!$C$5:$C$44,Premissas!$A$5:$A$44,$A415,Premissas!$B$5:$B$44,$B415)+P415*SUMIFS(Premissas!$D$5:$D$44,Premissas!$A$5:$A$44,$A415,Premissas!$B$5:$B$44,$B415))+R415*SUMIFS(Premissas!$E$5:$E$44,Premissas!$A$5:$A$44,$A415,Premissas!$B$5:$B$44,$B415)+S415*SUMIFS(Premissas!$F$5:$F$44,Premissas!$A$5:$A$44,$A415,Premissas!$B$5:$B$44,$B415)</f>
        <v/>
      </c>
      <c r="L415" s="29">
        <f>J415-K415</f>
        <v/>
      </c>
      <c r="M415" t="inlineStr">
        <is>
          <t>1.653</t>
        </is>
      </c>
      <c r="O415" s="29" t="n">
        <v>0</v>
      </c>
      <c r="P415" s="29" t="n">
        <v>0</v>
      </c>
      <c r="Q415" s="29" t="n">
        <v>0</v>
      </c>
      <c r="R415" s="29" t="n">
        <v>0</v>
      </c>
      <c r="S415" s="29" t="n">
        <v>0</v>
      </c>
      <c r="T415" t="inlineStr">
        <is>
          <t>25260419791896016600550090000075981230195817</t>
        </is>
      </c>
      <c r="U415" t="inlineStr">
        <is>
          <t>Sim</t>
        </is>
      </c>
    </row>
    <row r="416">
      <c r="A416" t="inlineStr">
        <is>
          <t>Uso e consumo</t>
        </is>
      </c>
      <c r="B416" t="inlineStr">
        <is>
          <t>2.01.85 Compra de Uso e Consumo</t>
        </is>
      </c>
      <c r="C416" s="30" t="n">
        <v>46113</v>
      </c>
      <c r="D416" t="inlineStr">
        <is>
          <t>Em 2026</t>
        </is>
      </c>
      <c r="E416" s="28" t="n">
        <v>46139</v>
      </c>
      <c r="F416" t="inlineStr">
        <is>
          <t>NF-e</t>
        </is>
      </c>
      <c r="G416" t="inlineStr">
        <is>
          <t>000007660</t>
        </is>
      </c>
      <c r="H416" t="inlineStr">
        <is>
          <t>SUPERGASBRAS ENERGIA LTDA</t>
        </is>
      </c>
      <c r="I416" t="inlineStr">
        <is>
          <t>19.791.896/0166-00</t>
        </is>
      </c>
      <c r="J416" s="29" t="n">
        <v>944.9400000000001</v>
      </c>
      <c r="K416" s="29">
        <f>(1-ISNUMBER(SEARCH("556",M416)))*(O416*SUMIFS(Premissas!$C$5:$C$44,Premissas!$A$5:$A$44,$A416,Premissas!$B$5:$B$44,$B416)+P416*SUMIFS(Premissas!$D$5:$D$44,Premissas!$A$5:$A$44,$A416,Premissas!$B$5:$B$44,$B416))+R416*SUMIFS(Premissas!$E$5:$E$44,Premissas!$A$5:$A$44,$A416,Premissas!$B$5:$B$44,$B416)+S416*SUMIFS(Premissas!$F$5:$F$44,Premissas!$A$5:$A$44,$A416,Premissas!$B$5:$B$44,$B416)</f>
        <v/>
      </c>
      <c r="L416" s="29">
        <f>J416-K416</f>
        <v/>
      </c>
      <c r="M416" t="inlineStr">
        <is>
          <t>1.653</t>
        </is>
      </c>
      <c r="O416" s="29" t="n">
        <v>0</v>
      </c>
      <c r="P416" s="29" t="n">
        <v>0</v>
      </c>
      <c r="Q416" s="29" t="n">
        <v>0</v>
      </c>
      <c r="R416" s="29" t="n">
        <v>0</v>
      </c>
      <c r="S416" s="29" t="n">
        <v>0</v>
      </c>
      <c r="T416" t="inlineStr">
        <is>
          <t>25260419791896016600550090000076601717264590</t>
        </is>
      </c>
      <c r="U416" t="inlineStr">
        <is>
          <t>Sim</t>
        </is>
      </c>
    </row>
    <row r="417">
      <c r="A417" t="inlineStr">
        <is>
          <t>Uso e consumo</t>
        </is>
      </c>
      <c r="B417" t="inlineStr">
        <is>
          <t>2.01.85 Compra de Uso e Consumo</t>
        </is>
      </c>
      <c r="C417" s="30" t="n">
        <v>46143</v>
      </c>
      <c r="D417" t="inlineStr">
        <is>
          <t>Em 2026</t>
        </is>
      </c>
      <c r="E417" s="28" t="n">
        <v>46149</v>
      </c>
      <c r="F417" t="inlineStr">
        <is>
          <t>NF-e</t>
        </is>
      </c>
      <c r="G417" t="inlineStr">
        <is>
          <t>000013973</t>
        </is>
      </c>
      <c r="H417" t="inlineStr">
        <is>
          <t>EDNA DE ARAUJO PACHECO LTDA</t>
        </is>
      </c>
      <c r="I417" t="inlineStr">
        <is>
          <t>17.433.873/0001-90</t>
        </is>
      </c>
      <c r="J417" s="29" t="n">
        <v>2224.2</v>
      </c>
      <c r="K417" s="29">
        <f>(1-ISNUMBER(SEARCH("556",M417)))*(O417*SUMIFS(Premissas!$C$5:$C$44,Premissas!$A$5:$A$44,$A417,Premissas!$B$5:$B$44,$B417)+P417*SUMIFS(Premissas!$D$5:$D$44,Premissas!$A$5:$A$44,$A417,Premissas!$B$5:$B$44,$B417))+R417*SUMIFS(Premissas!$E$5:$E$44,Premissas!$A$5:$A$44,$A417,Premissas!$B$5:$B$44,$B417)+S417*SUMIFS(Premissas!$F$5:$F$44,Premissas!$A$5:$A$44,$A417,Premissas!$B$5:$B$44,$B417)</f>
        <v/>
      </c>
      <c r="L417" s="29">
        <f>J417-K417</f>
        <v/>
      </c>
      <c r="M417" t="inlineStr">
        <is>
          <t>1.556</t>
        </is>
      </c>
      <c r="O417" s="29" t="n">
        <v>0</v>
      </c>
      <c r="P417" s="29" t="n">
        <v>0</v>
      </c>
      <c r="Q417" s="29" t="n">
        <v>0</v>
      </c>
      <c r="R417" s="29" t="n">
        <v>0</v>
      </c>
      <c r="S417" s="29" t="n">
        <v>0</v>
      </c>
      <c r="T417" t="inlineStr">
        <is>
          <t>25260517433873000190550010000139731016664012</t>
        </is>
      </c>
      <c r="U417" t="inlineStr">
        <is>
          <t>Sim</t>
        </is>
      </c>
    </row>
    <row r="418">
      <c r="A418" t="inlineStr">
        <is>
          <t>Uso e consumo</t>
        </is>
      </c>
      <c r="B418" t="inlineStr">
        <is>
          <t>2.01.85 Compra de Uso e Consumo</t>
        </is>
      </c>
      <c r="C418" s="30" t="n">
        <v>46143</v>
      </c>
      <c r="D418" t="inlineStr">
        <is>
          <t>Em 2026</t>
        </is>
      </c>
      <c r="E418" s="28" t="n">
        <v>46154</v>
      </c>
      <c r="F418" t="inlineStr">
        <is>
          <t>NF-e</t>
        </is>
      </c>
      <c r="G418" t="inlineStr">
        <is>
          <t>000014027</t>
        </is>
      </c>
      <c r="H418" t="inlineStr">
        <is>
          <t>EDNA DE ARAUJO PACHECO LTDA</t>
        </is>
      </c>
      <c r="I418" t="inlineStr">
        <is>
          <t>17.433.873/0001-90</t>
        </is>
      </c>
      <c r="J418" s="29" t="n">
        <v>303</v>
      </c>
      <c r="K418" s="29">
        <f>(1-ISNUMBER(SEARCH("556",M418)))*(O418*SUMIFS(Premissas!$C$5:$C$44,Premissas!$A$5:$A$44,$A418,Premissas!$B$5:$B$44,$B418)+P418*SUMIFS(Premissas!$D$5:$D$44,Premissas!$A$5:$A$44,$A418,Premissas!$B$5:$B$44,$B418))+R418*SUMIFS(Premissas!$E$5:$E$44,Premissas!$A$5:$A$44,$A418,Premissas!$B$5:$B$44,$B418)+S418*SUMIFS(Premissas!$F$5:$F$44,Premissas!$A$5:$A$44,$A418,Premissas!$B$5:$B$44,$B418)</f>
        <v/>
      </c>
      <c r="L418" s="29">
        <f>J418-K418</f>
        <v/>
      </c>
      <c r="M418" t="inlineStr">
        <is>
          <t>1.556</t>
        </is>
      </c>
      <c r="O418" s="29" t="n">
        <v>0</v>
      </c>
      <c r="P418" s="29" t="n">
        <v>0</v>
      </c>
      <c r="Q418" s="29" t="n">
        <v>0</v>
      </c>
      <c r="R418" s="29" t="n">
        <v>0</v>
      </c>
      <c r="S418" s="29" t="n">
        <v>0</v>
      </c>
      <c r="T418" t="inlineStr">
        <is>
          <t>25260517433873000190550010000140271016664015</t>
        </is>
      </c>
      <c r="U418" t="inlineStr">
        <is>
          <t>Sim</t>
        </is>
      </c>
    </row>
    <row r="419">
      <c r="A419" t="inlineStr">
        <is>
          <t>Uso e consumo</t>
        </is>
      </c>
      <c r="B419" t="inlineStr">
        <is>
          <t>2.01.85 Compra de Uso e Consumo</t>
        </is>
      </c>
      <c r="C419" s="30" t="n">
        <v>46143</v>
      </c>
      <c r="D419" t="inlineStr">
        <is>
          <t>Em 2026</t>
        </is>
      </c>
      <c r="E419" s="28" t="n">
        <v>46157</v>
      </c>
      <c r="F419" t="inlineStr">
        <is>
          <t>NF-e</t>
        </is>
      </c>
      <c r="G419" t="inlineStr">
        <is>
          <t>000000274</t>
        </is>
      </c>
      <c r="H419" t="inlineStr">
        <is>
          <t>INFORPOINT SERVICOS E COMERCIO EM TECNOLOGIA LTDA</t>
        </is>
      </c>
      <c r="I419" t="inlineStr">
        <is>
          <t>59.467.248/0001-00</t>
        </is>
      </c>
      <c r="J419" s="29" t="n">
        <v>250</v>
      </c>
      <c r="K419" s="29">
        <f>(1-ISNUMBER(SEARCH("556",M419)))*(O419*SUMIFS(Premissas!$C$5:$C$44,Premissas!$A$5:$A$44,$A419,Premissas!$B$5:$B$44,$B419)+P419*SUMIFS(Premissas!$D$5:$D$44,Premissas!$A$5:$A$44,$A419,Premissas!$B$5:$B$44,$B419))+R419*SUMIFS(Premissas!$E$5:$E$44,Premissas!$A$5:$A$44,$A419,Premissas!$B$5:$B$44,$B419)+S419*SUMIFS(Premissas!$F$5:$F$44,Premissas!$A$5:$A$44,$A419,Premissas!$B$5:$B$44,$B419)</f>
        <v/>
      </c>
      <c r="L419" s="29">
        <f>J419-K419</f>
        <v/>
      </c>
      <c r="M419" t="inlineStr">
        <is>
          <t>1.102</t>
        </is>
      </c>
      <c r="O419" s="29" t="n">
        <v>0</v>
      </c>
      <c r="P419" s="29" t="n">
        <v>0</v>
      </c>
      <c r="Q419" s="29" t="n">
        <v>0</v>
      </c>
      <c r="R419" s="29" t="n">
        <v>0</v>
      </c>
      <c r="S419" s="29" t="n">
        <v>0</v>
      </c>
      <c r="T419" t="inlineStr">
        <is>
          <t>25260559467248000100550010000002741785259028</t>
        </is>
      </c>
      <c r="U419" t="inlineStr">
        <is>
          <t>Sim</t>
        </is>
      </c>
    </row>
    <row r="420">
      <c r="A420" t="inlineStr">
        <is>
          <t>Uso e consumo</t>
        </is>
      </c>
      <c r="B420" t="inlineStr">
        <is>
          <t>2.01.85 Compra de Uso e Consumo</t>
        </is>
      </c>
      <c r="C420" s="30" t="n">
        <v>46143</v>
      </c>
      <c r="D420" t="inlineStr">
        <is>
          <t>Em 2026</t>
        </is>
      </c>
      <c r="E420" s="28" t="n">
        <v>46149</v>
      </c>
      <c r="F420" t="inlineStr">
        <is>
          <t>NF-e</t>
        </is>
      </c>
      <c r="G420" t="inlineStr">
        <is>
          <t>000000764</t>
        </is>
      </c>
      <c r="H420" t="inlineStr">
        <is>
          <t>WILLAMS SALES DOS SANTOS</t>
        </is>
      </c>
      <c r="I420" t="inlineStr">
        <is>
          <t>35.343.171/0001-06</t>
        </is>
      </c>
      <c r="J420" s="29" t="n">
        <v>555</v>
      </c>
      <c r="K420" s="29">
        <f>(1-ISNUMBER(SEARCH("556",M420)))*(O420*SUMIFS(Premissas!$C$5:$C$44,Premissas!$A$5:$A$44,$A420,Premissas!$B$5:$B$44,$B420)+P420*SUMIFS(Premissas!$D$5:$D$44,Premissas!$A$5:$A$44,$A420,Premissas!$B$5:$B$44,$B420))+R420*SUMIFS(Premissas!$E$5:$E$44,Premissas!$A$5:$A$44,$A420,Premissas!$B$5:$B$44,$B420)+S420*SUMIFS(Premissas!$F$5:$F$44,Premissas!$A$5:$A$44,$A420,Premissas!$B$5:$B$44,$B420)</f>
        <v/>
      </c>
      <c r="L420" s="29">
        <f>J420-K420</f>
        <v/>
      </c>
      <c r="M420" t="inlineStr">
        <is>
          <t>1.102</t>
        </is>
      </c>
      <c r="O420" s="29" t="n">
        <v>0</v>
      </c>
      <c r="P420" s="29" t="n">
        <v>0</v>
      </c>
      <c r="Q420" s="29" t="n">
        <v>0</v>
      </c>
      <c r="R420" s="29" t="n">
        <v>0</v>
      </c>
      <c r="S420" s="29" t="n">
        <v>0</v>
      </c>
      <c r="T420" t="inlineStr">
        <is>
          <t>25260535343171000106550010000007641000007750</t>
        </is>
      </c>
      <c r="U420" t="inlineStr">
        <is>
          <t>Sim</t>
        </is>
      </c>
    </row>
    <row r="421">
      <c r="A421" t="inlineStr">
        <is>
          <t>Uso e consumo</t>
        </is>
      </c>
      <c r="B421" t="inlineStr">
        <is>
          <t>2.01.85 Compra de Uso e Consumo</t>
        </is>
      </c>
      <c r="C421" s="30" t="n">
        <v>46174</v>
      </c>
      <c r="D421" t="inlineStr">
        <is>
          <t>Em 2026</t>
        </is>
      </c>
      <c r="E421" s="28" t="n">
        <v>46198</v>
      </c>
      <c r="F421" t="inlineStr">
        <is>
          <t>NF-e</t>
        </is>
      </c>
      <c r="G421" t="inlineStr">
        <is>
          <t>000014517</t>
        </is>
      </c>
      <c r="H421" t="inlineStr">
        <is>
          <t>EDNA DE ARAUJO PACHECO LTDA</t>
        </is>
      </c>
      <c r="I421" t="inlineStr">
        <is>
          <t>17.433.873/0001-90</t>
        </is>
      </c>
      <c r="J421" s="29" t="n">
        <v>470</v>
      </c>
      <c r="K421" s="29">
        <f>(1-ISNUMBER(SEARCH("556",M421)))*(O421*SUMIFS(Premissas!$C$5:$C$44,Premissas!$A$5:$A$44,$A421,Premissas!$B$5:$B$44,$B421)+P421*SUMIFS(Premissas!$D$5:$D$44,Premissas!$A$5:$A$44,$A421,Premissas!$B$5:$B$44,$B421))+R421*SUMIFS(Premissas!$E$5:$E$44,Premissas!$A$5:$A$44,$A421,Premissas!$B$5:$B$44,$B421)+S421*SUMIFS(Premissas!$F$5:$F$44,Premissas!$A$5:$A$44,$A421,Premissas!$B$5:$B$44,$B421)</f>
        <v/>
      </c>
      <c r="L421" s="29">
        <f>J421-K421</f>
        <v/>
      </c>
      <c r="M421" t="inlineStr">
        <is>
          <t>1.102, 1.556</t>
        </is>
      </c>
      <c r="O421" s="29" t="n">
        <v>0</v>
      </c>
      <c r="P421" s="29" t="n">
        <v>0</v>
      </c>
      <c r="Q421" s="29" t="n">
        <v>0</v>
      </c>
      <c r="R421" s="29" t="n">
        <v>0</v>
      </c>
      <c r="S421" s="29" t="n">
        <v>0</v>
      </c>
      <c r="T421" t="inlineStr">
        <is>
          <t>25260617433873000190550010000145171016664010</t>
        </is>
      </c>
      <c r="U421" t="inlineStr">
        <is>
          <t>Sim</t>
        </is>
      </c>
    </row>
    <row r="422">
      <c r="A422" t="inlineStr">
        <is>
          <t>Uso e consumo</t>
        </is>
      </c>
      <c r="B422" t="inlineStr">
        <is>
          <t>2.01.85 Compra de Uso e Consumo</t>
        </is>
      </c>
      <c r="C422" s="30" t="n">
        <v>46174</v>
      </c>
      <c r="D422" t="inlineStr">
        <is>
          <t>Em 2026</t>
        </is>
      </c>
      <c r="E422" s="28" t="n">
        <v>46203</v>
      </c>
      <c r="F422" t="inlineStr">
        <is>
          <t>NF-e</t>
        </is>
      </c>
      <c r="G422" t="inlineStr">
        <is>
          <t>000014619</t>
        </is>
      </c>
      <c r="H422" t="inlineStr">
        <is>
          <t>EDNA DE ARAUJO PACHECO LTDA</t>
        </is>
      </c>
      <c r="I422" t="inlineStr">
        <is>
          <t>17.433.873/0001-90</t>
        </is>
      </c>
      <c r="J422" s="29" t="n">
        <v>1148.64</v>
      </c>
      <c r="K422" s="29">
        <f>(1-ISNUMBER(SEARCH("556",M422)))*(O422*SUMIFS(Premissas!$C$5:$C$44,Premissas!$A$5:$A$44,$A422,Premissas!$B$5:$B$44,$B422)+P422*SUMIFS(Premissas!$D$5:$D$44,Premissas!$A$5:$A$44,$A422,Premissas!$B$5:$B$44,$B422))+R422*SUMIFS(Premissas!$E$5:$E$44,Premissas!$A$5:$A$44,$A422,Premissas!$B$5:$B$44,$B422)+S422*SUMIFS(Premissas!$F$5:$F$44,Premissas!$A$5:$A$44,$A422,Premissas!$B$5:$B$44,$B422)</f>
        <v/>
      </c>
      <c r="L422" s="29">
        <f>J422-K422</f>
        <v/>
      </c>
      <c r="M422" t="inlineStr">
        <is>
          <t>1.556</t>
        </is>
      </c>
      <c r="O422" s="29" t="n">
        <v>0</v>
      </c>
      <c r="P422" s="29" t="n">
        <v>0</v>
      </c>
      <c r="Q422" s="29" t="n">
        <v>0</v>
      </c>
      <c r="R422" s="29" t="n">
        <v>0</v>
      </c>
      <c r="S422" s="29" t="n">
        <v>0</v>
      </c>
      <c r="T422" t="inlineStr">
        <is>
          <t>25260617433873000190550010000146191016664010</t>
        </is>
      </c>
      <c r="U422" t="inlineStr">
        <is>
          <t>Sim</t>
        </is>
      </c>
    </row>
    <row r="423">
      <c r="A423" t="inlineStr">
        <is>
          <t>Uso e consumo</t>
        </is>
      </c>
      <c r="B423" t="inlineStr">
        <is>
          <t>2.01.85 Compra de Uso e Consumo</t>
        </is>
      </c>
      <c r="C423" s="30" t="n">
        <v>46174</v>
      </c>
      <c r="D423" t="inlineStr">
        <is>
          <t>Em 2026</t>
        </is>
      </c>
      <c r="E423" s="28" t="n">
        <v>46184</v>
      </c>
      <c r="F423" t="inlineStr">
        <is>
          <t>NF-e</t>
        </is>
      </c>
      <c r="G423" t="inlineStr">
        <is>
          <t>000360287</t>
        </is>
      </c>
      <c r="H423" t="inlineStr">
        <is>
          <t>OCUBO PAPEIS DESCARTAVEIS E SOLUCOES DE HIGIENE E LIMPEZA LT</t>
        </is>
      </c>
      <c r="I423" t="inlineStr">
        <is>
          <t>21.362.936/0001-32</t>
        </is>
      </c>
      <c r="J423" s="29" t="n">
        <v>209.08</v>
      </c>
      <c r="K423" s="29">
        <f>(1-ISNUMBER(SEARCH("556",M423)))*(O423*SUMIFS(Premissas!$C$5:$C$44,Premissas!$A$5:$A$44,$A423,Premissas!$B$5:$B$44,$B423)+P423*SUMIFS(Premissas!$D$5:$D$44,Premissas!$A$5:$A$44,$A423,Premissas!$B$5:$B$44,$B423))+R423*SUMIFS(Premissas!$E$5:$E$44,Premissas!$A$5:$A$44,$A423,Premissas!$B$5:$B$44,$B423)+S423*SUMIFS(Premissas!$F$5:$F$44,Premissas!$A$5:$A$44,$A423,Premissas!$B$5:$B$44,$B423)</f>
        <v/>
      </c>
      <c r="L423" s="29">
        <f>J423-K423</f>
        <v/>
      </c>
      <c r="M423" t="inlineStr">
        <is>
          <t>1.556</t>
        </is>
      </c>
      <c r="O423" s="29" t="n">
        <v>0</v>
      </c>
      <c r="P423" s="29" t="n">
        <v>0</v>
      </c>
      <c r="Q423" s="29" t="n">
        <v>0</v>
      </c>
      <c r="R423" s="29" t="n">
        <v>0</v>
      </c>
      <c r="S423" s="29" t="n">
        <v>0</v>
      </c>
      <c r="T423" t="inlineStr">
        <is>
          <t>35260621362936000132550040003602871510720380</t>
        </is>
      </c>
      <c r="U423" t="inlineStr">
        <is>
          <t>Sim</t>
        </is>
      </c>
    </row>
    <row r="424">
      <c r="A424" t="inlineStr">
        <is>
          <t>Uso e consumo</t>
        </is>
      </c>
      <c r="B424" t="inlineStr">
        <is>
          <t>2.01.85 Compra de Uso e Consumo</t>
        </is>
      </c>
      <c r="C424" s="30" t="n">
        <v>46174</v>
      </c>
      <c r="D424" t="inlineStr">
        <is>
          <t>Em 2026</t>
        </is>
      </c>
      <c r="E424" s="28" t="n">
        <v>46184</v>
      </c>
      <c r="F424" t="inlineStr">
        <is>
          <t>NF-e</t>
        </is>
      </c>
      <c r="G424" t="inlineStr">
        <is>
          <t>000360291</t>
        </is>
      </c>
      <c r="H424" t="inlineStr">
        <is>
          <t>OCUBO PAPEIS DESCARTAVEIS E SOLUCOES DE HIGIENE E LIMPEZA LT</t>
        </is>
      </c>
      <c r="I424" t="inlineStr">
        <is>
          <t>21.362.936/0001-32</t>
        </is>
      </c>
      <c r="J424" s="29" t="n">
        <v>52.27</v>
      </c>
      <c r="K424" s="29">
        <f>(1-ISNUMBER(SEARCH("556",M424)))*(O424*SUMIFS(Premissas!$C$5:$C$44,Premissas!$A$5:$A$44,$A424,Premissas!$B$5:$B$44,$B424)+P424*SUMIFS(Premissas!$D$5:$D$44,Premissas!$A$5:$A$44,$A424,Premissas!$B$5:$B$44,$B424))+R424*SUMIFS(Premissas!$E$5:$E$44,Premissas!$A$5:$A$44,$A424,Premissas!$B$5:$B$44,$B424)+S424*SUMIFS(Premissas!$F$5:$F$44,Premissas!$A$5:$A$44,$A424,Premissas!$B$5:$B$44,$B424)</f>
        <v/>
      </c>
      <c r="L424" s="29">
        <f>J424-K424</f>
        <v/>
      </c>
      <c r="M424" t="inlineStr">
        <is>
          <t>1.556</t>
        </is>
      </c>
      <c r="O424" s="29" t="n">
        <v>0</v>
      </c>
      <c r="P424" s="29" t="n">
        <v>0</v>
      </c>
      <c r="Q424" s="29" t="n">
        <v>0</v>
      </c>
      <c r="R424" s="29" t="n">
        <v>0</v>
      </c>
      <c r="S424" s="29" t="n">
        <v>0</v>
      </c>
      <c r="T424" t="inlineStr">
        <is>
          <t>35260621362936000132550040003602911709886323</t>
        </is>
      </c>
      <c r="U424" t="inlineStr">
        <is>
          <t>Sim</t>
        </is>
      </c>
    </row>
    <row r="425">
      <c r="A425" t="inlineStr">
        <is>
          <t>Uso e consumo</t>
        </is>
      </c>
      <c r="B425" t="inlineStr">
        <is>
          <t>2.01.85 Compra de Uso e Consumo</t>
        </is>
      </c>
      <c r="C425" s="30" t="n">
        <v>46174</v>
      </c>
      <c r="D425" t="inlineStr">
        <is>
          <t>Em 2026</t>
        </is>
      </c>
      <c r="E425" s="28" t="n">
        <v>46203</v>
      </c>
      <c r="F425" t="inlineStr">
        <is>
          <t>NF-e</t>
        </is>
      </c>
      <c r="G425" t="inlineStr">
        <is>
          <t>000007899</t>
        </is>
      </c>
      <c r="H425" t="inlineStr">
        <is>
          <t>SHARING COMERCIO E SERVICOS LTDA</t>
        </is>
      </c>
      <c r="I425" t="inlineStr">
        <is>
          <t>18.182.086/0001-86</t>
        </is>
      </c>
      <c r="J425" s="29" t="n">
        <v>981.8</v>
      </c>
      <c r="K425" s="29">
        <f>(1-ISNUMBER(SEARCH("556",M425)))*(O425*SUMIFS(Premissas!$C$5:$C$44,Premissas!$A$5:$A$44,$A425,Premissas!$B$5:$B$44,$B425)+P425*SUMIFS(Premissas!$D$5:$D$44,Premissas!$A$5:$A$44,$A425,Premissas!$B$5:$B$44,$B425))+R425*SUMIFS(Premissas!$E$5:$E$44,Premissas!$A$5:$A$44,$A425,Premissas!$B$5:$B$44,$B425)+S425*SUMIFS(Premissas!$F$5:$F$44,Premissas!$A$5:$A$44,$A425,Premissas!$B$5:$B$44,$B425)</f>
        <v/>
      </c>
      <c r="L425" s="29">
        <f>J425-K425</f>
        <v/>
      </c>
      <c r="M425" t="inlineStr">
        <is>
          <t>2.102</t>
        </is>
      </c>
      <c r="O425" s="29" t="n">
        <v>0</v>
      </c>
      <c r="P425" s="29" t="n">
        <v>0</v>
      </c>
      <c r="Q425" s="29" t="n">
        <v>0</v>
      </c>
      <c r="R425" s="29" t="n">
        <v>0</v>
      </c>
      <c r="S425" s="29" t="n">
        <v>0</v>
      </c>
      <c r="T425" t="inlineStr">
        <is>
          <t>35260618182086000186550010000078991872557168</t>
        </is>
      </c>
      <c r="U425" t="inlineStr">
        <is>
          <t>Sim</t>
        </is>
      </c>
    </row>
    <row r="426">
      <c r="A426" t="inlineStr">
        <is>
          <t>Uso e consumo</t>
        </is>
      </c>
      <c r="B426" t="inlineStr">
        <is>
          <t>2.01.85 Compra de Uso e Consumo</t>
        </is>
      </c>
      <c r="C426" s="30" t="n">
        <v>46204</v>
      </c>
      <c r="D426" t="inlineStr">
        <is>
          <t>Em 2026</t>
        </is>
      </c>
      <c r="E426" s="28" t="n">
        <v>46210</v>
      </c>
      <c r="F426" t="inlineStr">
        <is>
          <t>NF-e</t>
        </is>
      </c>
      <c r="G426" t="inlineStr">
        <is>
          <t>000014649</t>
        </is>
      </c>
      <c r="H426" t="inlineStr">
        <is>
          <t>EDNA DE ARAUJO PACHECO LTDA</t>
        </is>
      </c>
      <c r="I426" t="inlineStr">
        <is>
          <t>17.433.873/0001-90</t>
        </is>
      </c>
      <c r="J426" s="29" t="n">
        <v>286.1</v>
      </c>
      <c r="K426" s="29">
        <f>(1-ISNUMBER(SEARCH("556",M426)))*(O426*SUMIFS(Premissas!$C$5:$C$44,Premissas!$A$5:$A$44,$A426,Premissas!$B$5:$B$44,$B426)+P426*SUMIFS(Premissas!$D$5:$D$44,Premissas!$A$5:$A$44,$A426,Premissas!$B$5:$B$44,$B426))+R426*SUMIFS(Premissas!$E$5:$E$44,Premissas!$A$5:$A$44,$A426,Premissas!$B$5:$B$44,$B426)+S426*SUMIFS(Premissas!$F$5:$F$44,Premissas!$A$5:$A$44,$A426,Premissas!$B$5:$B$44,$B426)</f>
        <v/>
      </c>
      <c r="L426" s="29">
        <f>J426-K426</f>
        <v/>
      </c>
      <c r="M426" t="inlineStr">
        <is>
          <t>1.556</t>
        </is>
      </c>
      <c r="O426" s="29" t="n">
        <v>0</v>
      </c>
      <c r="P426" s="29" t="n">
        <v>0</v>
      </c>
      <c r="Q426" s="29" t="n">
        <v>0</v>
      </c>
      <c r="R426" s="29" t="n">
        <v>0</v>
      </c>
      <c r="S426" s="29" t="n">
        <v>0</v>
      </c>
      <c r="T426" t="inlineStr">
        <is>
          <t>25260717433873000190550010000146491016664012</t>
        </is>
      </c>
      <c r="U426" t="inlineStr">
        <is>
          <t>Sim</t>
        </is>
      </c>
    </row>
    <row r="427">
      <c r="A427" t="inlineStr">
        <is>
          <t>Uso e consumo</t>
        </is>
      </c>
      <c r="B427" t="inlineStr">
        <is>
          <t>2.01.85 Compra de Uso e Consumo</t>
        </is>
      </c>
      <c r="C427" s="30" t="n">
        <v>46204</v>
      </c>
      <c r="D427" t="inlineStr">
        <is>
          <t>Em 2026</t>
        </is>
      </c>
      <c r="E427" s="28" t="n">
        <v>46223</v>
      </c>
      <c r="F427" t="inlineStr">
        <is>
          <t>NF-e</t>
        </is>
      </c>
      <c r="G427" t="inlineStr">
        <is>
          <t>000001065</t>
        </is>
      </c>
      <c r="H427" t="inlineStr">
        <is>
          <t>ELETRICA UNIAO MATERIAIS ELETRICOS E HIDRAULICOS LTDA</t>
        </is>
      </c>
      <c r="I427" t="inlineStr">
        <is>
          <t>10.782.228/0001-34</t>
        </is>
      </c>
      <c r="J427" s="29" t="n">
        <v>120.73</v>
      </c>
      <c r="K427" s="29">
        <f>(1-ISNUMBER(SEARCH("556",M427)))*(O427*SUMIFS(Premissas!$C$5:$C$44,Premissas!$A$5:$A$44,$A427,Premissas!$B$5:$B$44,$B427)+P427*SUMIFS(Premissas!$D$5:$D$44,Premissas!$A$5:$A$44,$A427,Premissas!$B$5:$B$44,$B427))+R427*SUMIFS(Premissas!$E$5:$E$44,Premissas!$A$5:$A$44,$A427,Premissas!$B$5:$B$44,$B427)+S427*SUMIFS(Premissas!$F$5:$F$44,Premissas!$A$5:$A$44,$A427,Premissas!$B$5:$B$44,$B427)</f>
        <v/>
      </c>
      <c r="L427" s="29">
        <f>J427-K427</f>
        <v/>
      </c>
      <c r="M427" t="inlineStr">
        <is>
          <t>2.556</t>
        </is>
      </c>
      <c r="O427" s="29" t="n">
        <v>0</v>
      </c>
      <c r="P427" s="29" t="n">
        <v>8.449999999999999</v>
      </c>
      <c r="Q427" s="29" t="n">
        <v>0</v>
      </c>
      <c r="R427" s="29" t="n">
        <v>1.85</v>
      </c>
      <c r="S427" s="29" t="n">
        <v>7.52</v>
      </c>
      <c r="T427" t="inlineStr">
        <is>
          <t>35260710782228000134550020000010651798641887</t>
        </is>
      </c>
      <c r="U427" t="inlineStr">
        <is>
          <t>Sim</t>
        </is>
      </c>
    </row>
    <row r="428">
      <c r="A428" t="inlineStr">
        <is>
          <t>Uso e consumo</t>
        </is>
      </c>
      <c r="B428" t="inlineStr">
        <is>
          <t>2.01.85 Compra de Uso e Consumo</t>
        </is>
      </c>
      <c r="C428" s="30" t="n">
        <v>46204</v>
      </c>
      <c r="D428" t="inlineStr">
        <is>
          <t>Em 2026</t>
        </is>
      </c>
      <c r="E428" s="28" t="n">
        <v>46206</v>
      </c>
      <c r="F428" t="inlineStr">
        <is>
          <t>NF-e</t>
        </is>
      </c>
      <c r="G428" t="inlineStr">
        <is>
          <t>000000300</t>
        </is>
      </c>
      <c r="H428" t="inlineStr">
        <is>
          <t>INFORPOINT SERVICOS E COMERCIO EM TECNOLOGIA LTDA</t>
        </is>
      </c>
      <c r="I428" t="inlineStr">
        <is>
          <t>59.467.248/0001-00</t>
        </is>
      </c>
      <c r="J428" s="29" t="n">
        <v>500</v>
      </c>
      <c r="K428" s="29">
        <f>(1-ISNUMBER(SEARCH("556",M428)))*(O428*SUMIFS(Premissas!$C$5:$C$44,Premissas!$A$5:$A$44,$A428,Premissas!$B$5:$B$44,$B428)+P428*SUMIFS(Premissas!$D$5:$D$44,Premissas!$A$5:$A$44,$A428,Premissas!$B$5:$B$44,$B428))+R428*SUMIFS(Premissas!$E$5:$E$44,Premissas!$A$5:$A$44,$A428,Premissas!$B$5:$B$44,$B428)+S428*SUMIFS(Premissas!$F$5:$F$44,Premissas!$A$5:$A$44,$A428,Premissas!$B$5:$B$44,$B428)</f>
        <v/>
      </c>
      <c r="L428" s="29">
        <f>J428-K428</f>
        <v/>
      </c>
      <c r="M428" t="inlineStr">
        <is>
          <t>1.556</t>
        </is>
      </c>
      <c r="O428" s="29" t="n">
        <v>0</v>
      </c>
      <c r="P428" s="29" t="n">
        <v>0</v>
      </c>
      <c r="Q428" s="29" t="n">
        <v>0</v>
      </c>
      <c r="R428" s="29" t="n">
        <v>0</v>
      </c>
      <c r="S428" s="29" t="n">
        <v>0</v>
      </c>
      <c r="T428" t="inlineStr">
        <is>
          <t>25260759467248000100550010000003001701121967</t>
        </is>
      </c>
      <c r="U428" t="inlineStr">
        <is>
          <t>Sim</t>
        </is>
      </c>
    </row>
    <row r="429">
      <c r="A429" t="inlineStr">
        <is>
          <t>Uso e consumo</t>
        </is>
      </c>
      <c r="B429" t="inlineStr">
        <is>
          <t>2.01.85 Compra de Uso e Consumo</t>
        </is>
      </c>
      <c r="C429" s="30" t="n">
        <v>46204</v>
      </c>
      <c r="D429" t="inlineStr">
        <is>
          <t>Em 2026</t>
        </is>
      </c>
      <c r="E429" s="28" t="n">
        <v>46210</v>
      </c>
      <c r="F429" t="inlineStr">
        <is>
          <t>NF-e</t>
        </is>
      </c>
      <c r="G429" t="inlineStr">
        <is>
          <t>000009822</t>
        </is>
      </c>
      <c r="H429" t="inlineStr">
        <is>
          <t>PAULO V. M. DO NASCIMENTO</t>
        </is>
      </c>
      <c r="I429" t="inlineStr">
        <is>
          <t>13.015.384/0001-68</t>
        </is>
      </c>
      <c r="J429" s="29" t="n">
        <v>219</v>
      </c>
      <c r="K429" s="29">
        <f>(1-ISNUMBER(SEARCH("556",M429)))*(O429*SUMIFS(Premissas!$C$5:$C$44,Premissas!$A$5:$A$44,$A429,Premissas!$B$5:$B$44,$B429)+P429*SUMIFS(Premissas!$D$5:$D$44,Premissas!$A$5:$A$44,$A429,Premissas!$B$5:$B$44,$B429))+R429*SUMIFS(Premissas!$E$5:$E$44,Premissas!$A$5:$A$44,$A429,Premissas!$B$5:$B$44,$B429)+S429*SUMIFS(Premissas!$F$5:$F$44,Premissas!$A$5:$A$44,$A429,Premissas!$B$5:$B$44,$B429)</f>
        <v/>
      </c>
      <c r="L429" s="29">
        <f>J429-K429</f>
        <v/>
      </c>
      <c r="M429" t="inlineStr">
        <is>
          <t>1.556</t>
        </is>
      </c>
      <c r="O429" s="29" t="n">
        <v>0</v>
      </c>
      <c r="P429" s="29" t="n">
        <v>43.8</v>
      </c>
      <c r="Q429" s="29" t="n">
        <v>0</v>
      </c>
      <c r="R429" s="29" t="n">
        <v>0</v>
      </c>
      <c r="S429" s="29" t="n">
        <v>0</v>
      </c>
      <c r="T429" t="inlineStr">
        <is>
          <t>25260713015384000168550010000098221000557112</t>
        </is>
      </c>
      <c r="U429" t="inlineStr">
        <is>
          <t>Sim</t>
        </is>
      </c>
    </row>
    <row r="430">
      <c r="A430" t="inlineStr">
        <is>
          <t>Uso e consumo</t>
        </is>
      </c>
      <c r="B430" t="inlineStr">
        <is>
          <t>2.01.85 Compra de Uso e Consumo</t>
        </is>
      </c>
      <c r="C430" s="30" t="n">
        <v>46204</v>
      </c>
      <c r="D430" t="inlineStr">
        <is>
          <t>Em 2026</t>
        </is>
      </c>
      <c r="E430" s="28" t="n">
        <v>46217</v>
      </c>
      <c r="F430" t="inlineStr">
        <is>
          <t>NF-e</t>
        </is>
      </c>
      <c r="G430" t="inlineStr">
        <is>
          <t>000104609</t>
        </is>
      </c>
      <c r="H430" t="inlineStr">
        <is>
          <t>PERNAMBUCO DISTRIBUIDORA ATAC EPIS, INS IND e MRO LTDA</t>
        </is>
      </c>
      <c r="I430" t="inlineStr">
        <is>
          <t>02.155.469/0009-82</t>
        </is>
      </c>
      <c r="J430" s="29" t="n">
        <v>11964.24</v>
      </c>
      <c r="K430" s="29">
        <f>(1-ISNUMBER(SEARCH("556",M430)))*(O430*SUMIFS(Premissas!$C$5:$C$44,Premissas!$A$5:$A$44,$A430,Premissas!$B$5:$B$44,$B430)+P430*SUMIFS(Premissas!$D$5:$D$44,Premissas!$A$5:$A$44,$A430,Premissas!$B$5:$B$44,$B430))+R430*SUMIFS(Premissas!$E$5:$E$44,Premissas!$A$5:$A$44,$A430,Premissas!$B$5:$B$44,$B430)+S430*SUMIFS(Premissas!$F$5:$F$44,Premissas!$A$5:$A$44,$A430,Premissas!$B$5:$B$44,$B430)</f>
        <v/>
      </c>
      <c r="L430" s="29">
        <f>J430-K430</f>
        <v/>
      </c>
      <c r="M430" t="inlineStr">
        <is>
          <t>1.556</t>
        </is>
      </c>
      <c r="O430" s="29" t="n">
        <v>0</v>
      </c>
      <c r="P430" s="29" t="n">
        <v>2392.84</v>
      </c>
      <c r="Q430" s="29" t="n">
        <v>0</v>
      </c>
      <c r="R430" s="29" t="n">
        <v>157.92</v>
      </c>
      <c r="S430" s="29" t="n">
        <v>727.42</v>
      </c>
      <c r="T430" t="inlineStr">
        <is>
          <t>25260702155469000982550010001046091734750393</t>
        </is>
      </c>
      <c r="U430" t="inlineStr">
        <is>
          <t>Sim</t>
        </is>
      </c>
    </row>
    <row r="431">
      <c r="A431" t="inlineStr">
        <is>
          <t>Uso e consumo</t>
        </is>
      </c>
      <c r="B431" t="inlineStr">
        <is>
          <t>2.01.85 Compra de Uso e Consumo</t>
        </is>
      </c>
      <c r="C431" s="30" t="n">
        <v>46204</v>
      </c>
      <c r="D431" t="inlineStr">
        <is>
          <t>Em 2026</t>
        </is>
      </c>
      <c r="E431" s="28" t="n">
        <v>46233</v>
      </c>
      <c r="F431" t="inlineStr">
        <is>
          <t>NF-e</t>
        </is>
      </c>
      <c r="G431" t="inlineStr">
        <is>
          <t>000105806</t>
        </is>
      </c>
      <c r="H431" t="inlineStr">
        <is>
          <t>PERNAMBUCO DISTRIBUIDORA ATAC EPIS, INS IND e MRO LTDA</t>
        </is>
      </c>
      <c r="I431" t="inlineStr">
        <is>
          <t>02.155.469/0009-82</t>
        </is>
      </c>
      <c r="J431" s="29" t="n">
        <v>65</v>
      </c>
      <c r="K431" s="29">
        <f>(1-ISNUMBER(SEARCH("556",M431)))*(O431*SUMIFS(Premissas!$C$5:$C$44,Premissas!$A$5:$A$44,$A431,Premissas!$B$5:$B$44,$B431)+P431*SUMIFS(Premissas!$D$5:$D$44,Premissas!$A$5:$A$44,$A431,Premissas!$B$5:$B$44,$B431))+R431*SUMIFS(Premissas!$E$5:$E$44,Premissas!$A$5:$A$44,$A431,Premissas!$B$5:$B$44,$B431)+S431*SUMIFS(Premissas!$F$5:$F$44,Premissas!$A$5:$A$44,$A431,Premissas!$B$5:$B$44,$B431)</f>
        <v/>
      </c>
      <c r="L431" s="29">
        <f>J431-K431</f>
        <v/>
      </c>
      <c r="M431" t="inlineStr">
        <is>
          <t>1.556</t>
        </is>
      </c>
      <c r="N431" t="inlineStr">
        <is>
          <t>Valor rateado entre categorias, como no Omie | Impostos rateados proporcionalmente ao valor da categoria (documento com mais de uma categoria)</t>
        </is>
      </c>
      <c r="O431" s="29" t="n">
        <v>0</v>
      </c>
      <c r="P431" s="29" t="n">
        <v>13</v>
      </c>
      <c r="Q431" s="29" t="n">
        <v>0</v>
      </c>
      <c r="R431" s="29" t="n">
        <v>0.85</v>
      </c>
      <c r="S431" s="29" t="n">
        <v>3.95</v>
      </c>
      <c r="T431" t="inlineStr">
        <is>
          <t>25260702155469000982550010001058061444672334</t>
        </is>
      </c>
      <c r="U431" t="inlineStr">
        <is>
          <t>Sim</t>
        </is>
      </c>
    </row>
    <row r="432">
      <c r="A432" t="inlineStr">
        <is>
          <t>Uso e consumo</t>
        </is>
      </c>
      <c r="B432" t="inlineStr">
        <is>
          <t>2.01.85 Compra de Uso e Consumo</t>
        </is>
      </c>
      <c r="C432" s="30" t="n">
        <v>46204</v>
      </c>
      <c r="D432" t="inlineStr">
        <is>
          <t>Em 2026</t>
        </is>
      </c>
      <c r="E432" s="28" t="n">
        <v>46225</v>
      </c>
      <c r="F432" t="inlineStr">
        <is>
          <t>NF-e</t>
        </is>
      </c>
      <c r="G432" t="inlineStr">
        <is>
          <t>000003669</t>
        </is>
      </c>
      <c r="H432" t="inlineStr">
        <is>
          <t>PRESENTES ESPECIAIS LTDA</t>
        </is>
      </c>
      <c r="I432" t="inlineStr">
        <is>
          <t>11.612.564/0001-00</t>
        </is>
      </c>
      <c r="J432" s="29" t="n">
        <v>1500</v>
      </c>
      <c r="K432" s="29">
        <f>(1-ISNUMBER(SEARCH("556",M432)))*(O432*SUMIFS(Premissas!$C$5:$C$44,Premissas!$A$5:$A$44,$A432,Premissas!$B$5:$B$44,$B432)+P432*SUMIFS(Premissas!$D$5:$D$44,Premissas!$A$5:$A$44,$A432,Premissas!$B$5:$B$44,$B432))+R432*SUMIFS(Premissas!$E$5:$E$44,Premissas!$A$5:$A$44,$A432,Premissas!$B$5:$B$44,$B432)+S432*SUMIFS(Premissas!$F$5:$F$44,Premissas!$A$5:$A$44,$A432,Premissas!$B$5:$B$44,$B432)</f>
        <v/>
      </c>
      <c r="L432" s="29">
        <f>J432-K432</f>
        <v/>
      </c>
      <c r="M432" t="inlineStr">
        <is>
          <t>2.556</t>
        </is>
      </c>
      <c r="O432" s="29" t="n">
        <v>0</v>
      </c>
      <c r="P432" s="29" t="n">
        <v>0</v>
      </c>
      <c r="Q432" s="29" t="n">
        <v>0</v>
      </c>
      <c r="R432" s="29" t="n">
        <v>0</v>
      </c>
      <c r="S432" s="29" t="n">
        <v>0</v>
      </c>
      <c r="T432" t="inlineStr">
        <is>
          <t>25260711612564000100550010000036691570252633</t>
        </is>
      </c>
      <c r="U432" t="inlineStr">
        <is>
          <t>Sim</t>
        </is>
      </c>
    </row>
    <row r="433">
      <c r="A433" t="inlineStr">
        <is>
          <t>Uso e consumo</t>
        </is>
      </c>
      <c r="B433" t="inlineStr">
        <is>
          <t>2.01.85 Compra de Uso e Consumo</t>
        </is>
      </c>
      <c r="C433" s="30" t="n">
        <v>46235</v>
      </c>
      <c r="D433" t="inlineStr">
        <is>
          <t>Em 2026</t>
        </is>
      </c>
      <c r="E433" s="28" t="n">
        <v>46244</v>
      </c>
      <c r="F433" t="inlineStr">
        <is>
          <t>NF-e</t>
        </is>
      </c>
      <c r="G433" t="inlineStr">
        <is>
          <t>000158299</t>
        </is>
      </c>
      <c r="H433" t="inlineStr">
        <is>
          <t>ATACADAO ECONOMICO - COMERCIO DE MATERIAL DE CONSTRUCAO LTDA</t>
        </is>
      </c>
      <c r="I433" t="inlineStr">
        <is>
          <t>34.961.047/0001-33</t>
        </is>
      </c>
      <c r="J433" s="29" t="n">
        <v>689.63</v>
      </c>
      <c r="K433" s="29">
        <f>(1-ISNUMBER(SEARCH("556",M433)))*(O433*SUMIFS(Premissas!$C$5:$C$44,Premissas!$A$5:$A$44,$A433,Premissas!$B$5:$B$44,$B433)+P433*SUMIFS(Premissas!$D$5:$D$44,Premissas!$A$5:$A$44,$A433,Premissas!$B$5:$B$44,$B433))+R433*SUMIFS(Premissas!$E$5:$E$44,Premissas!$A$5:$A$44,$A433,Premissas!$B$5:$B$44,$B433)+S433*SUMIFS(Premissas!$F$5:$F$44,Premissas!$A$5:$A$44,$A433,Premissas!$B$5:$B$44,$B433)</f>
        <v/>
      </c>
      <c r="L433" s="29">
        <f>J433-K433</f>
        <v/>
      </c>
      <c r="M433" t="inlineStr">
        <is>
          <t>1.556</t>
        </is>
      </c>
      <c r="O433" s="29" t="n">
        <v>0</v>
      </c>
      <c r="P433" s="29" t="n">
        <v>24.72</v>
      </c>
      <c r="Q433" s="29" t="n">
        <v>0</v>
      </c>
      <c r="R433" s="29" t="n">
        <v>10.98</v>
      </c>
      <c r="S433" s="29" t="n">
        <v>50.52</v>
      </c>
      <c r="T433" t="inlineStr">
        <is>
          <t>25260834961047000133550010001582991191211991</t>
        </is>
      </c>
      <c r="U433" t="inlineStr">
        <is>
          <t>Sim</t>
        </is>
      </c>
    </row>
    <row r="434">
      <c r="A434" t="inlineStr">
        <is>
          <t>Uso e consumo</t>
        </is>
      </c>
      <c r="B434" t="inlineStr">
        <is>
          <t>2.01.85 Compra de Uso e Consumo</t>
        </is>
      </c>
      <c r="C434" s="30" t="n">
        <v>46235</v>
      </c>
      <c r="D434" t="inlineStr">
        <is>
          <t>Em 2026</t>
        </is>
      </c>
      <c r="E434" s="28" t="n">
        <v>46244</v>
      </c>
      <c r="F434" t="inlineStr">
        <is>
          <t>NF-e</t>
        </is>
      </c>
      <c r="G434" t="inlineStr">
        <is>
          <t>000158300</t>
        </is>
      </c>
      <c r="H434" t="inlineStr">
        <is>
          <t>ATACADAO ECONOMICO - COMERCIO DE MATERIAL DE CONSTRUCAO LTDA</t>
        </is>
      </c>
      <c r="I434" t="inlineStr">
        <is>
          <t>34.961.047/0001-33</t>
        </is>
      </c>
      <c r="J434" s="29" t="n">
        <v>2213.76</v>
      </c>
      <c r="K434" s="29">
        <f>(1-ISNUMBER(SEARCH("556",M434)))*(O434*SUMIFS(Premissas!$C$5:$C$44,Premissas!$A$5:$A$44,$A434,Premissas!$B$5:$B$44,$B434)+P434*SUMIFS(Premissas!$D$5:$D$44,Premissas!$A$5:$A$44,$A434,Premissas!$B$5:$B$44,$B434))+R434*SUMIFS(Premissas!$E$5:$E$44,Premissas!$A$5:$A$44,$A434,Premissas!$B$5:$B$44,$B434)+S434*SUMIFS(Premissas!$F$5:$F$44,Premissas!$A$5:$A$44,$A434,Premissas!$B$5:$B$44,$B434)</f>
        <v/>
      </c>
      <c r="L434" s="29">
        <f>J434-K434</f>
        <v/>
      </c>
      <c r="M434" t="inlineStr">
        <is>
          <t>1.556</t>
        </is>
      </c>
      <c r="O434" s="29" t="n">
        <v>0</v>
      </c>
      <c r="P434" s="29" t="n">
        <v>133.84</v>
      </c>
      <c r="Q434" s="29" t="n">
        <v>0</v>
      </c>
      <c r="R434" s="29" t="n">
        <v>34.32</v>
      </c>
      <c r="S434" s="29" t="n">
        <v>158.06</v>
      </c>
      <c r="T434" t="inlineStr">
        <is>
          <t>25260834961047000133550010001583001102241205</t>
        </is>
      </c>
      <c r="U434" t="inlineStr">
        <is>
          <t>Sim</t>
        </is>
      </c>
    </row>
    <row r="435">
      <c r="A435" t="inlineStr">
        <is>
          <t>Uso e consumo</t>
        </is>
      </c>
      <c r="B435" t="inlineStr">
        <is>
          <t>2.01.85 Compra de Uso e Consumo</t>
        </is>
      </c>
      <c r="C435" s="30" t="n">
        <v>46235</v>
      </c>
      <c r="D435" t="inlineStr">
        <is>
          <t>Em 2026</t>
        </is>
      </c>
      <c r="E435" s="28" t="n">
        <v>46248</v>
      </c>
      <c r="F435" t="inlineStr">
        <is>
          <t>NF-e</t>
        </is>
      </c>
      <c r="G435" t="inlineStr">
        <is>
          <t>000158871</t>
        </is>
      </c>
      <c r="H435" t="inlineStr">
        <is>
          <t>ATACADAO ECONOMICO - COMERCIO DE MATERIAL DE CONSTRUCAO LTDA</t>
        </is>
      </c>
      <c r="I435" t="inlineStr">
        <is>
          <t>34.961.047/0001-33</t>
        </is>
      </c>
      <c r="J435" s="29" t="n">
        <v>3176.38</v>
      </c>
      <c r="K435" s="29">
        <f>(1-ISNUMBER(SEARCH("556",M435)))*(O435*SUMIFS(Premissas!$C$5:$C$44,Premissas!$A$5:$A$44,$A435,Premissas!$B$5:$B$44,$B435)+P435*SUMIFS(Premissas!$D$5:$D$44,Premissas!$A$5:$A$44,$A435,Premissas!$B$5:$B$44,$B435))+R435*SUMIFS(Premissas!$E$5:$E$44,Premissas!$A$5:$A$44,$A435,Premissas!$B$5:$B$44,$B435)+S435*SUMIFS(Premissas!$F$5:$F$44,Premissas!$A$5:$A$44,$A435,Premissas!$B$5:$B$44,$B435)</f>
        <v/>
      </c>
      <c r="L435" s="29">
        <f>J435-K435</f>
        <v/>
      </c>
      <c r="M435" t="inlineStr">
        <is>
          <t>1.102, 1.556, 2.556</t>
        </is>
      </c>
      <c r="O435" s="29" t="n">
        <v>0</v>
      </c>
      <c r="P435" s="29" t="n">
        <v>102.57</v>
      </c>
      <c r="Q435" s="29" t="n">
        <v>0</v>
      </c>
      <c r="R435" s="29" t="n">
        <v>50.67</v>
      </c>
      <c r="S435" s="29" t="n">
        <v>233.6</v>
      </c>
      <c r="T435" t="inlineStr">
        <is>
          <t>25260834961047000133550010001588711157151886</t>
        </is>
      </c>
      <c r="U435" t="inlineStr">
        <is>
          <t>Sim</t>
        </is>
      </c>
    </row>
    <row r="436">
      <c r="A436" t="inlineStr">
        <is>
          <t>Uso e consumo</t>
        </is>
      </c>
      <c r="B436" t="inlineStr">
        <is>
          <t>2.01.85 Compra de Uso e Consumo</t>
        </is>
      </c>
      <c r="C436" s="30" t="n">
        <v>46235</v>
      </c>
      <c r="D436" t="inlineStr">
        <is>
          <t>Em 2026</t>
        </is>
      </c>
      <c r="E436" s="28" t="n">
        <v>46259</v>
      </c>
      <c r="F436" t="inlineStr">
        <is>
          <t>NF-e</t>
        </is>
      </c>
      <c r="G436" t="inlineStr">
        <is>
          <t>000089462</t>
        </is>
      </c>
      <c r="H436" t="inlineStr">
        <is>
          <t>BA - LOJAO DA ECONOMICA MATERIAIS DE CONSTRUCAO LTDA - EPP</t>
        </is>
      </c>
      <c r="I436" t="inlineStr">
        <is>
          <t>09.158.643/0002-13</t>
        </is>
      </c>
      <c r="J436" s="29" t="n">
        <v>2451.58</v>
      </c>
      <c r="K436" s="29">
        <f>(1-ISNUMBER(SEARCH("556",M436)))*(O436*SUMIFS(Premissas!$C$5:$C$44,Premissas!$A$5:$A$44,$A436,Premissas!$B$5:$B$44,$B436)+P436*SUMIFS(Premissas!$D$5:$D$44,Premissas!$A$5:$A$44,$A436,Premissas!$B$5:$B$44,$B436))+R436*SUMIFS(Premissas!$E$5:$E$44,Premissas!$A$5:$A$44,$A436,Premissas!$B$5:$B$44,$B436)+S436*SUMIFS(Premissas!$F$5:$F$44,Premissas!$A$5:$A$44,$A436,Premissas!$B$5:$B$44,$B436)</f>
        <v/>
      </c>
      <c r="L436" s="29">
        <f>J436-K436</f>
        <v/>
      </c>
      <c r="M436" t="inlineStr">
        <is>
          <t>1.403</t>
        </is>
      </c>
      <c r="O436" s="29" t="n">
        <v>0</v>
      </c>
      <c r="P436" s="29" t="n">
        <v>0</v>
      </c>
      <c r="Q436" s="29" t="n">
        <v>0</v>
      </c>
      <c r="R436" s="29" t="n">
        <v>0</v>
      </c>
      <c r="S436" s="29" t="n">
        <v>0</v>
      </c>
      <c r="T436" t="inlineStr">
        <is>
          <t>25260809158643000213550010000894621365345100</t>
        </is>
      </c>
      <c r="U436" t="inlineStr">
        <is>
          <t>Sim</t>
        </is>
      </c>
    </row>
    <row r="437">
      <c r="A437" t="inlineStr">
        <is>
          <t>Uso e consumo</t>
        </is>
      </c>
      <c r="B437" t="inlineStr">
        <is>
          <t>2.01.85 Compra de Uso e Consumo</t>
        </is>
      </c>
      <c r="C437" s="30" t="n">
        <v>46235</v>
      </c>
      <c r="D437" t="inlineStr">
        <is>
          <t>Em 2026</t>
        </is>
      </c>
      <c r="E437" s="28" t="n">
        <v>46260</v>
      </c>
      <c r="F437" t="inlineStr">
        <is>
          <t>NF-e</t>
        </is>
      </c>
      <c r="G437" t="inlineStr">
        <is>
          <t>000006313</t>
        </is>
      </c>
      <c r="H437" t="inlineStr">
        <is>
          <t>BRICOZE CELL ELETRONICOS LTDA</t>
        </is>
      </c>
      <c r="I437" t="inlineStr">
        <is>
          <t>65.877.754/0001-70</t>
        </is>
      </c>
      <c r="J437" s="29" t="n">
        <v>19</v>
      </c>
      <c r="K437" s="29">
        <f>(1-ISNUMBER(SEARCH("556",M437)))*(O437*SUMIFS(Premissas!$C$5:$C$44,Premissas!$A$5:$A$44,$A437,Premissas!$B$5:$B$44,$B437)+P437*SUMIFS(Premissas!$D$5:$D$44,Premissas!$A$5:$A$44,$A437,Premissas!$B$5:$B$44,$B437))+R437*SUMIFS(Premissas!$E$5:$E$44,Premissas!$A$5:$A$44,$A437,Premissas!$B$5:$B$44,$B437)+S437*SUMIFS(Premissas!$F$5:$F$44,Premissas!$A$5:$A$44,$A437,Premissas!$B$5:$B$44,$B437)</f>
        <v/>
      </c>
      <c r="L437" s="29">
        <f>J437-K437</f>
        <v/>
      </c>
      <c r="M437" t="inlineStr">
        <is>
          <t>2.102</t>
        </is>
      </c>
      <c r="O437" s="29" t="n">
        <v>0</v>
      </c>
      <c r="P437" s="29" t="n">
        <v>0</v>
      </c>
      <c r="Q437" s="29" t="n">
        <v>0</v>
      </c>
      <c r="R437" s="29" t="n">
        <v>0</v>
      </c>
      <c r="S437" s="29" t="n">
        <v>0</v>
      </c>
      <c r="T437" t="inlineStr">
        <is>
          <t>35260865877754000170550010000063131442338766</t>
        </is>
      </c>
      <c r="U437" t="inlineStr">
        <is>
          <t>Sim</t>
        </is>
      </c>
    </row>
    <row r="438">
      <c r="A438" t="inlineStr">
        <is>
          <t>Uso e consumo</t>
        </is>
      </c>
      <c r="B438" t="inlineStr">
        <is>
          <t>2.01.85 Compra de Uso e Consumo</t>
        </is>
      </c>
      <c r="C438" s="30" t="n">
        <v>46235</v>
      </c>
      <c r="D438" t="inlineStr">
        <is>
          <t>Em 2026</t>
        </is>
      </c>
      <c r="E438" s="28" t="n">
        <v>46245</v>
      </c>
      <c r="F438" t="inlineStr">
        <is>
          <t>NF-e</t>
        </is>
      </c>
      <c r="G438" t="inlineStr">
        <is>
          <t>000015112</t>
        </is>
      </c>
      <c r="H438" t="inlineStr">
        <is>
          <t>EDNA DE ARAUJO PACHECO LTDA</t>
        </is>
      </c>
      <c r="I438" t="inlineStr">
        <is>
          <t>17.433.873/0001-90</t>
        </is>
      </c>
      <c r="J438" s="29" t="n">
        <v>387.16</v>
      </c>
      <c r="K438" s="29">
        <f>(1-ISNUMBER(SEARCH("556",M438)))*(O438*SUMIFS(Premissas!$C$5:$C$44,Premissas!$A$5:$A$44,$A438,Premissas!$B$5:$B$44,$B438)+P438*SUMIFS(Premissas!$D$5:$D$44,Premissas!$A$5:$A$44,$A438,Premissas!$B$5:$B$44,$B438))+R438*SUMIFS(Premissas!$E$5:$E$44,Premissas!$A$5:$A$44,$A438,Premissas!$B$5:$B$44,$B438)+S438*SUMIFS(Premissas!$F$5:$F$44,Premissas!$A$5:$A$44,$A438,Premissas!$B$5:$B$44,$B438)</f>
        <v/>
      </c>
      <c r="L438" s="29">
        <f>J438-K438</f>
        <v/>
      </c>
      <c r="M438" t="inlineStr">
        <is>
          <t>1.102, 1.556</t>
        </is>
      </c>
      <c r="O438" s="29" t="n">
        <v>0</v>
      </c>
      <c r="P438" s="29" t="n">
        <v>0</v>
      </c>
      <c r="Q438" s="29" t="n">
        <v>0</v>
      </c>
      <c r="R438" s="29" t="n">
        <v>0</v>
      </c>
      <c r="S438" s="29" t="n">
        <v>0</v>
      </c>
      <c r="T438" t="inlineStr">
        <is>
          <t>25260817433873000190550010000151121016664013</t>
        </is>
      </c>
      <c r="U438" t="inlineStr">
        <is>
          <t>Sim</t>
        </is>
      </c>
    </row>
    <row r="439">
      <c r="A439" t="inlineStr">
        <is>
          <t>Uso e consumo</t>
        </is>
      </c>
      <c r="B439" t="inlineStr">
        <is>
          <t>2.01.85 Compra de Uso e Consumo</t>
        </is>
      </c>
      <c r="C439" s="30" t="n">
        <v>46235</v>
      </c>
      <c r="D439" t="inlineStr">
        <is>
          <t>Em 2026</t>
        </is>
      </c>
      <c r="E439" s="28" t="n">
        <v>46260</v>
      </c>
      <c r="F439" t="inlineStr">
        <is>
          <t>NF-e</t>
        </is>
      </c>
      <c r="G439" t="inlineStr">
        <is>
          <t>000015261</t>
        </is>
      </c>
      <c r="H439" t="inlineStr">
        <is>
          <t>EDNA DE ARAUJO PACHECO LTDA</t>
        </is>
      </c>
      <c r="I439" t="inlineStr">
        <is>
          <t>17.433.873/0001-90</t>
        </is>
      </c>
      <c r="J439" s="29" t="n">
        <v>416.24</v>
      </c>
      <c r="K439" s="29">
        <f>(1-ISNUMBER(SEARCH("556",M439)))*(O439*SUMIFS(Premissas!$C$5:$C$44,Premissas!$A$5:$A$44,$A439,Premissas!$B$5:$B$44,$B439)+P439*SUMIFS(Premissas!$D$5:$D$44,Premissas!$A$5:$A$44,$A439,Premissas!$B$5:$B$44,$B439))+R439*SUMIFS(Premissas!$E$5:$E$44,Premissas!$A$5:$A$44,$A439,Premissas!$B$5:$B$44,$B439)+S439*SUMIFS(Premissas!$F$5:$F$44,Premissas!$A$5:$A$44,$A439,Premissas!$B$5:$B$44,$B439)</f>
        <v/>
      </c>
      <c r="L439" s="29">
        <f>J439-K439</f>
        <v/>
      </c>
      <c r="M439" t="inlineStr">
        <is>
          <t>1.556</t>
        </is>
      </c>
      <c r="O439" s="29" t="n">
        <v>0</v>
      </c>
      <c r="P439" s="29" t="n">
        <v>0</v>
      </c>
      <c r="Q439" s="29" t="n">
        <v>0</v>
      </c>
      <c r="R439" s="29" t="n">
        <v>0</v>
      </c>
      <c r="S439" s="29" t="n">
        <v>0</v>
      </c>
      <c r="T439" t="inlineStr">
        <is>
          <t>25260817433873000190550010000152611016664013</t>
        </is>
      </c>
      <c r="U439" t="inlineStr">
        <is>
          <t>Sim</t>
        </is>
      </c>
    </row>
    <row r="440">
      <c r="A440" t="inlineStr">
        <is>
          <t>Uso e consumo</t>
        </is>
      </c>
      <c r="B440" t="inlineStr">
        <is>
          <t>2.01.85 Compra de Uso e Consumo</t>
        </is>
      </c>
      <c r="C440" s="30" t="n">
        <v>46235</v>
      </c>
      <c r="D440" t="inlineStr">
        <is>
          <t>Em 2026</t>
        </is>
      </c>
      <c r="E440" s="28" t="n">
        <v>46261</v>
      </c>
      <c r="F440" t="inlineStr">
        <is>
          <t>NF-e</t>
        </is>
      </c>
      <c r="G440" t="inlineStr">
        <is>
          <t>000003193</t>
        </is>
      </c>
      <c r="H440" t="inlineStr">
        <is>
          <t>EKO BLOCOS FABRICACAO E COMERCIO DE ARTEFATOS DE CIMENTO LTD</t>
        </is>
      </c>
      <c r="I440" t="inlineStr">
        <is>
          <t>16.382.330/0001-29</t>
        </is>
      </c>
      <c r="J440" s="29" t="n">
        <v>3964.5</v>
      </c>
      <c r="K440" s="29">
        <f>(1-ISNUMBER(SEARCH("556",M440)))*(O440*SUMIFS(Premissas!$C$5:$C$44,Premissas!$A$5:$A$44,$A440,Premissas!$B$5:$B$44,$B440)+P440*SUMIFS(Premissas!$D$5:$D$44,Premissas!$A$5:$A$44,$A440,Premissas!$B$5:$B$44,$B440))+R440*SUMIFS(Premissas!$E$5:$E$44,Premissas!$A$5:$A$44,$A440,Premissas!$B$5:$B$44,$B440)+S440*SUMIFS(Premissas!$F$5:$F$44,Premissas!$A$5:$A$44,$A440,Premissas!$B$5:$B$44,$B440)</f>
        <v/>
      </c>
      <c r="L440" s="29">
        <f>J440-K440</f>
        <v/>
      </c>
      <c r="M440" t="inlineStr">
        <is>
          <t>1.556</t>
        </is>
      </c>
      <c r="O440" s="29" t="n">
        <v>0</v>
      </c>
      <c r="P440" s="29" t="n">
        <v>0</v>
      </c>
      <c r="Q440" s="29" t="n">
        <v>0</v>
      </c>
      <c r="R440" s="29" t="n">
        <v>0</v>
      </c>
      <c r="S440" s="29" t="n">
        <v>0</v>
      </c>
      <c r="T440" t="inlineStr">
        <is>
          <t>25260816382330000129550010000031931006165316</t>
        </is>
      </c>
      <c r="U440" t="inlineStr">
        <is>
          <t>Sim</t>
        </is>
      </c>
    </row>
    <row r="441">
      <c r="A441" t="inlineStr">
        <is>
          <t>Uso e consumo</t>
        </is>
      </c>
      <c r="B441" t="inlineStr">
        <is>
          <t>2.01.85 Compra de Uso e Consumo</t>
        </is>
      </c>
      <c r="C441" s="30" t="n">
        <v>46235</v>
      </c>
      <c r="D441" t="inlineStr">
        <is>
          <t>Em 2026</t>
        </is>
      </c>
      <c r="E441" s="28" t="n">
        <v>46265</v>
      </c>
      <c r="F441" t="inlineStr">
        <is>
          <t>NF-e</t>
        </is>
      </c>
      <c r="G441" t="inlineStr">
        <is>
          <t>000003205</t>
        </is>
      </c>
      <c r="H441" t="inlineStr">
        <is>
          <t>EKO BLOCOS FABRICACAO E COMERCIO DE ARTEFATOS DE CIMENTO LTD</t>
        </is>
      </c>
      <c r="I441" t="inlineStr">
        <is>
          <t>16.382.330/0001-29</t>
        </is>
      </c>
      <c r="J441" s="29" t="n">
        <v>3419.5</v>
      </c>
      <c r="K441" s="29">
        <f>(1-ISNUMBER(SEARCH("556",M441)))*(O441*SUMIFS(Premissas!$C$5:$C$44,Premissas!$A$5:$A$44,$A441,Premissas!$B$5:$B$44,$B441)+P441*SUMIFS(Premissas!$D$5:$D$44,Premissas!$A$5:$A$44,$A441,Premissas!$B$5:$B$44,$B441))+R441*SUMIFS(Premissas!$E$5:$E$44,Premissas!$A$5:$A$44,$A441,Premissas!$B$5:$B$44,$B441)+S441*SUMIFS(Premissas!$F$5:$F$44,Premissas!$A$5:$A$44,$A441,Premissas!$B$5:$B$44,$B441)</f>
        <v/>
      </c>
      <c r="L441" s="29">
        <f>J441-K441</f>
        <v/>
      </c>
      <c r="M441" t="inlineStr">
        <is>
          <t>1.102, 1.556</t>
        </is>
      </c>
      <c r="O441" s="29" t="n">
        <v>0</v>
      </c>
      <c r="P441" s="29" t="n">
        <v>0</v>
      </c>
      <c r="Q441" s="29" t="n">
        <v>0</v>
      </c>
      <c r="R441" s="29" t="n">
        <v>0</v>
      </c>
      <c r="S441" s="29" t="n">
        <v>0</v>
      </c>
      <c r="T441" t="inlineStr">
        <is>
          <t>25260816382330000129550010000032051326276944</t>
        </is>
      </c>
      <c r="U441" t="inlineStr">
        <is>
          <t>Sim</t>
        </is>
      </c>
    </row>
    <row r="442">
      <c r="A442" t="inlineStr">
        <is>
          <t>Uso e consumo</t>
        </is>
      </c>
      <c r="B442" t="inlineStr">
        <is>
          <t>2.01.85 Compra de Uso e Consumo</t>
        </is>
      </c>
      <c r="C442" s="30" t="n">
        <v>46235</v>
      </c>
      <c r="D442" t="inlineStr">
        <is>
          <t>Em 2026</t>
        </is>
      </c>
      <c r="E442" s="28" t="n">
        <v>46238</v>
      </c>
      <c r="F442" t="inlineStr">
        <is>
          <t>NF-e</t>
        </is>
      </c>
      <c r="G442" t="inlineStr">
        <is>
          <t>000060859</t>
        </is>
      </c>
      <c r="H442" t="inlineStr">
        <is>
          <t>ELETROPOLO ELETRICIDADE LTDA</t>
        </is>
      </c>
      <c r="I442" t="inlineStr">
        <is>
          <t>02.375.199/0005-91</t>
        </is>
      </c>
      <c r="J442" s="29" t="n">
        <v>2442.2</v>
      </c>
      <c r="K442" s="29">
        <f>(1-ISNUMBER(SEARCH("556",M442)))*(O442*SUMIFS(Premissas!$C$5:$C$44,Premissas!$A$5:$A$44,$A442,Premissas!$B$5:$B$44,$B442)+P442*SUMIFS(Premissas!$D$5:$D$44,Premissas!$A$5:$A$44,$A442,Premissas!$B$5:$B$44,$B442))+R442*SUMIFS(Premissas!$E$5:$E$44,Premissas!$A$5:$A$44,$A442,Premissas!$B$5:$B$44,$B442)+S442*SUMIFS(Premissas!$F$5:$F$44,Premissas!$A$5:$A$44,$A442,Premissas!$B$5:$B$44,$B442)</f>
        <v/>
      </c>
      <c r="L442" s="29">
        <f>J442-K442</f>
        <v/>
      </c>
      <c r="M442" t="inlineStr">
        <is>
          <t>1.102, 1.556</t>
        </is>
      </c>
      <c r="O442" s="29" t="n">
        <v>0</v>
      </c>
      <c r="P442" s="29" t="n">
        <v>38.88</v>
      </c>
      <c r="Q442" s="29" t="n">
        <v>0</v>
      </c>
      <c r="R442" s="29" t="n">
        <v>39.68</v>
      </c>
      <c r="S442" s="29" t="n">
        <v>182.66</v>
      </c>
      <c r="T442" t="inlineStr">
        <is>
          <t>25260802375199000591550030000608591006861806</t>
        </is>
      </c>
      <c r="U442" t="inlineStr">
        <is>
          <t>Sim</t>
        </is>
      </c>
    </row>
    <row r="443">
      <c r="A443" t="inlineStr">
        <is>
          <t>Uso e consumo</t>
        </is>
      </c>
      <c r="B443" t="inlineStr">
        <is>
          <t>2.01.85 Compra de Uso e Consumo</t>
        </is>
      </c>
      <c r="C443" s="30" t="n">
        <v>46235</v>
      </c>
      <c r="D443" t="inlineStr">
        <is>
          <t>Em 2026</t>
        </is>
      </c>
      <c r="E443" s="28" t="n">
        <v>46248</v>
      </c>
      <c r="F443" t="inlineStr">
        <is>
          <t>NF-e</t>
        </is>
      </c>
      <c r="G443" t="inlineStr">
        <is>
          <t>000061709</t>
        </is>
      </c>
      <c r="H443" t="inlineStr">
        <is>
          <t>ELETROPOLO ELETRICIDADE LTDA</t>
        </is>
      </c>
      <c r="I443" t="inlineStr">
        <is>
          <t>02.375.199/0005-91</t>
        </is>
      </c>
      <c r="J443" s="29" t="n">
        <v>1212.17</v>
      </c>
      <c r="K443" s="29">
        <f>(1-ISNUMBER(SEARCH("556",M443)))*(O443*SUMIFS(Premissas!$C$5:$C$44,Premissas!$A$5:$A$44,$A443,Premissas!$B$5:$B$44,$B443)+P443*SUMIFS(Premissas!$D$5:$D$44,Premissas!$A$5:$A$44,$A443,Premissas!$B$5:$B$44,$B443))+R443*SUMIFS(Premissas!$E$5:$E$44,Premissas!$A$5:$A$44,$A443,Premissas!$B$5:$B$44,$B443)+S443*SUMIFS(Premissas!$F$5:$F$44,Premissas!$A$5:$A$44,$A443,Premissas!$B$5:$B$44,$B443)</f>
        <v/>
      </c>
      <c r="L443" s="29">
        <f>J443-K443</f>
        <v/>
      </c>
      <c r="M443" t="inlineStr">
        <is>
          <t>1.403, 1.556</t>
        </is>
      </c>
      <c r="O443" s="29" t="n">
        <v>0</v>
      </c>
      <c r="P443" s="29" t="n">
        <v>103.34</v>
      </c>
      <c r="Q443" s="29" t="n">
        <v>0</v>
      </c>
      <c r="R443" s="29" t="n">
        <v>18.31</v>
      </c>
      <c r="S443" s="29" t="n">
        <v>84.27</v>
      </c>
      <c r="T443" t="inlineStr">
        <is>
          <t>25260802375199000591550030000617091007323350</t>
        </is>
      </c>
      <c r="U443" t="inlineStr">
        <is>
          <t>Sim</t>
        </is>
      </c>
    </row>
    <row r="444">
      <c r="A444" t="inlineStr">
        <is>
          <t>Uso e consumo</t>
        </is>
      </c>
      <c r="B444" t="inlineStr">
        <is>
          <t>2.01.85 Compra de Uso e Consumo</t>
        </is>
      </c>
      <c r="C444" s="30" t="n">
        <v>46235</v>
      </c>
      <c r="D444" t="inlineStr">
        <is>
          <t>Em 2026</t>
        </is>
      </c>
      <c r="E444" s="28" t="n">
        <v>46260</v>
      </c>
      <c r="F444" t="inlineStr">
        <is>
          <t>NF-e</t>
        </is>
      </c>
      <c r="G444" t="inlineStr">
        <is>
          <t>000062714</t>
        </is>
      </c>
      <c r="H444" t="inlineStr">
        <is>
          <t>ELETROPOLO ELETRICIDADE LTDA</t>
        </is>
      </c>
      <c r="I444" t="inlineStr">
        <is>
          <t>02.375.199/0005-91</t>
        </is>
      </c>
      <c r="J444" s="29" t="n">
        <v>15758.27</v>
      </c>
      <c r="K444" s="29">
        <f>(1-ISNUMBER(SEARCH("556",M444)))*(O444*SUMIFS(Premissas!$C$5:$C$44,Premissas!$A$5:$A$44,$A444,Premissas!$B$5:$B$44,$B444)+P444*SUMIFS(Premissas!$D$5:$D$44,Premissas!$A$5:$A$44,$A444,Premissas!$B$5:$B$44,$B444))+R444*SUMIFS(Premissas!$E$5:$E$44,Premissas!$A$5:$A$44,$A444,Premissas!$B$5:$B$44,$B444)+S444*SUMIFS(Premissas!$F$5:$F$44,Premissas!$A$5:$A$44,$A444,Premissas!$B$5:$B$44,$B444)</f>
        <v/>
      </c>
      <c r="L444" s="29">
        <f>J444-K444</f>
        <v/>
      </c>
      <c r="M444" t="inlineStr">
        <is>
          <t>1.403, 1.556</t>
        </is>
      </c>
      <c r="O444" s="29" t="n">
        <v>0</v>
      </c>
      <c r="P444" s="29" t="n">
        <v>112.19</v>
      </c>
      <c r="Q444" s="29" t="n">
        <v>0</v>
      </c>
      <c r="R444" s="29" t="n">
        <v>258.15</v>
      </c>
      <c r="S444" s="29" t="n">
        <v>1189.1</v>
      </c>
      <c r="T444" t="inlineStr">
        <is>
          <t>25260802375199000591550030000627141008006743</t>
        </is>
      </c>
      <c r="U444" t="inlineStr">
        <is>
          <t>Sim</t>
        </is>
      </c>
    </row>
    <row r="445">
      <c r="A445" t="inlineStr">
        <is>
          <t>Uso e consumo</t>
        </is>
      </c>
      <c r="B445" t="inlineStr">
        <is>
          <t>2.01.85 Compra de Uso e Consumo</t>
        </is>
      </c>
      <c r="C445" s="30" t="n">
        <v>46235</v>
      </c>
      <c r="D445" t="inlineStr">
        <is>
          <t>Em 2026</t>
        </is>
      </c>
      <c r="E445" s="28" t="n">
        <v>46265</v>
      </c>
      <c r="F445" t="inlineStr">
        <is>
          <t>NF-e</t>
        </is>
      </c>
      <c r="G445" t="inlineStr">
        <is>
          <t>000063111</t>
        </is>
      </c>
      <c r="H445" t="inlineStr">
        <is>
          <t>ELETROPOLO ELETRICIDADE LTDA</t>
        </is>
      </c>
      <c r="I445" t="inlineStr">
        <is>
          <t>02.375.199/0005-91</t>
        </is>
      </c>
      <c r="J445" s="29" t="n">
        <v>1091.71</v>
      </c>
      <c r="K445" s="29">
        <f>(1-ISNUMBER(SEARCH("556",M445)))*(O445*SUMIFS(Premissas!$C$5:$C$44,Premissas!$A$5:$A$44,$A445,Premissas!$B$5:$B$44,$B445)+P445*SUMIFS(Premissas!$D$5:$D$44,Premissas!$A$5:$A$44,$A445,Premissas!$B$5:$B$44,$B445))+R445*SUMIFS(Premissas!$E$5:$E$44,Premissas!$A$5:$A$44,$A445,Premissas!$B$5:$B$44,$B445)+S445*SUMIFS(Premissas!$F$5:$F$44,Premissas!$A$5:$A$44,$A445,Premissas!$B$5:$B$44,$B445)</f>
        <v/>
      </c>
      <c r="L445" s="29">
        <f>J445-K445</f>
        <v/>
      </c>
      <c r="M445" t="inlineStr">
        <is>
          <t>1.403, 1.556</t>
        </is>
      </c>
      <c r="O445" s="29" t="n">
        <v>0</v>
      </c>
      <c r="P445" s="29" t="n">
        <v>12.64</v>
      </c>
      <c r="Q445" s="29" t="n">
        <v>0</v>
      </c>
      <c r="R445" s="29" t="n">
        <v>17.82</v>
      </c>
      <c r="S445" s="29" t="n">
        <v>82.01000000000001</v>
      </c>
      <c r="T445" t="inlineStr">
        <is>
          <t>25260802375199000591550030000631111008215555</t>
        </is>
      </c>
      <c r="U445" t="inlineStr">
        <is>
          <t>Sim</t>
        </is>
      </c>
    </row>
    <row r="446">
      <c r="A446" t="inlineStr">
        <is>
          <t>Uso e consumo</t>
        </is>
      </c>
      <c r="B446" t="inlineStr">
        <is>
          <t>2.01.85 Compra de Uso e Consumo</t>
        </is>
      </c>
      <c r="C446" s="30" t="n">
        <v>46235</v>
      </c>
      <c r="D446" t="inlineStr">
        <is>
          <t>Em 2026</t>
        </is>
      </c>
      <c r="E446" s="28" t="n">
        <v>46262</v>
      </c>
      <c r="F446" t="inlineStr">
        <is>
          <t>NF-e</t>
        </is>
      </c>
      <c r="G446" t="inlineStr">
        <is>
          <t>000213675</t>
        </is>
      </c>
      <c r="H446" t="inlineStr">
        <is>
          <t>PRIME STORE - ECOMMERCE LTDA</t>
        </is>
      </c>
      <c r="I446" t="inlineStr">
        <is>
          <t>53.737.940/0001-24</t>
        </is>
      </c>
      <c r="J446" s="29" t="n">
        <v>323.17</v>
      </c>
      <c r="K446" s="29">
        <f>(1-ISNUMBER(SEARCH("556",M446)))*(O446*SUMIFS(Premissas!$C$5:$C$44,Premissas!$A$5:$A$44,$A446,Premissas!$B$5:$B$44,$B446)+P446*SUMIFS(Premissas!$D$5:$D$44,Premissas!$A$5:$A$44,$A446,Premissas!$B$5:$B$44,$B446))+R446*SUMIFS(Premissas!$E$5:$E$44,Premissas!$A$5:$A$44,$A446,Premissas!$B$5:$B$44,$B446)+S446*SUMIFS(Premissas!$F$5:$F$44,Premissas!$A$5:$A$44,$A446,Premissas!$B$5:$B$44,$B446)</f>
        <v/>
      </c>
      <c r="L446" s="29">
        <f>J446-K446</f>
        <v/>
      </c>
      <c r="M446" t="inlineStr">
        <is>
          <t>2.556</t>
        </is>
      </c>
      <c r="O446" s="29" t="n">
        <v>0</v>
      </c>
      <c r="P446" s="29" t="n">
        <v>0</v>
      </c>
      <c r="Q446" s="29" t="n">
        <v>0</v>
      </c>
      <c r="R446" s="29" t="n">
        <v>0</v>
      </c>
      <c r="S446" s="29" t="n">
        <v>0</v>
      </c>
      <c r="T446" t="inlineStr">
        <is>
          <t>35260853737940000124550020002136751341338666</t>
        </is>
      </c>
      <c r="U446" t="inlineStr">
        <is>
          <t>Sim</t>
        </is>
      </c>
    </row>
    <row r="447">
      <c r="A447" t="inlineStr">
        <is>
          <t>Uso e consumo</t>
        </is>
      </c>
      <c r="B447" t="inlineStr">
        <is>
          <t>2.01.85 Compra de Uso e Consumo</t>
        </is>
      </c>
      <c r="C447" s="30" t="n">
        <v>46235</v>
      </c>
      <c r="D447" t="inlineStr">
        <is>
          <t>Em 2026</t>
        </is>
      </c>
      <c r="E447" s="28" t="n">
        <v>46259</v>
      </c>
      <c r="F447" t="inlineStr">
        <is>
          <t>NF-e</t>
        </is>
      </c>
      <c r="G447" t="inlineStr">
        <is>
          <t>000008089</t>
        </is>
      </c>
      <c r="H447" t="inlineStr">
        <is>
          <t>SHARING COMERCIO E SERVICOS LTDA</t>
        </is>
      </c>
      <c r="I447" t="inlineStr">
        <is>
          <t>18.182.086/0001-86</t>
        </is>
      </c>
      <c r="J447" s="29" t="n">
        <v>497.4</v>
      </c>
      <c r="K447" s="29">
        <f>(1-ISNUMBER(SEARCH("556",M447)))*(O447*SUMIFS(Premissas!$C$5:$C$44,Premissas!$A$5:$A$44,$A447,Premissas!$B$5:$B$44,$B447)+P447*SUMIFS(Premissas!$D$5:$D$44,Premissas!$A$5:$A$44,$A447,Premissas!$B$5:$B$44,$B447))+R447*SUMIFS(Premissas!$E$5:$E$44,Premissas!$A$5:$A$44,$A447,Premissas!$B$5:$B$44,$B447)+S447*SUMIFS(Premissas!$F$5:$F$44,Premissas!$A$5:$A$44,$A447,Premissas!$B$5:$B$44,$B447)</f>
        <v/>
      </c>
      <c r="L447" s="29">
        <f>J447-K447</f>
        <v/>
      </c>
      <c r="M447" t="inlineStr">
        <is>
          <t>2.556</t>
        </is>
      </c>
      <c r="O447" s="29" t="n">
        <v>0</v>
      </c>
      <c r="P447" s="29" t="n">
        <v>0</v>
      </c>
      <c r="Q447" s="29" t="n">
        <v>0</v>
      </c>
      <c r="R447" s="29" t="n">
        <v>0</v>
      </c>
      <c r="S447" s="29" t="n">
        <v>0</v>
      </c>
      <c r="T447" t="inlineStr">
        <is>
          <t>35260818182086000186550010000080891235013479</t>
        </is>
      </c>
      <c r="U447" t="inlineStr">
        <is>
          <t>Sim</t>
        </is>
      </c>
    </row>
    <row r="448">
      <c r="A448" t="inlineStr">
        <is>
          <t>Uso e consumo</t>
        </is>
      </c>
      <c r="B448" t="inlineStr">
        <is>
          <t>2.01.85 Compra de Uso e Consumo</t>
        </is>
      </c>
      <c r="C448" s="30" t="n">
        <v>46266</v>
      </c>
      <c r="D448" t="inlineStr">
        <is>
          <t>Em 2026</t>
        </is>
      </c>
      <c r="E448" s="28" t="n">
        <v>46273</v>
      </c>
      <c r="F448" t="inlineStr">
        <is>
          <t>NF-e</t>
        </is>
      </c>
      <c r="G448" t="inlineStr">
        <is>
          <t>000160884</t>
        </is>
      </c>
      <c r="H448" t="inlineStr">
        <is>
          <t>ALUMIFER ALUMINIO E FERRO LTDA.</t>
        </is>
      </c>
      <c r="I448" t="inlineStr">
        <is>
          <t>05.515.224/0011-21</t>
        </is>
      </c>
      <c r="J448" s="29" t="n">
        <v>2800.5</v>
      </c>
      <c r="K448" s="29">
        <f>(1-ISNUMBER(SEARCH("556",M448)))*(O448*SUMIFS(Premissas!$C$5:$C$44,Premissas!$A$5:$A$44,$A448,Premissas!$B$5:$B$44,$B448)+P448*SUMIFS(Premissas!$D$5:$D$44,Premissas!$A$5:$A$44,$A448,Premissas!$B$5:$B$44,$B448))+R448*SUMIFS(Premissas!$E$5:$E$44,Premissas!$A$5:$A$44,$A448,Premissas!$B$5:$B$44,$B448)+S448*SUMIFS(Premissas!$F$5:$F$44,Premissas!$A$5:$A$44,$A448,Premissas!$B$5:$B$44,$B448)</f>
        <v/>
      </c>
      <c r="L448" s="29">
        <f>J448-K448</f>
        <v/>
      </c>
      <c r="M448" t="inlineStr">
        <is>
          <t>1.102, 1.556</t>
        </is>
      </c>
      <c r="O448" s="29" t="n">
        <v>0</v>
      </c>
      <c r="P448" s="29" t="n">
        <v>153.6</v>
      </c>
      <c r="Q448" s="29" t="n">
        <v>0</v>
      </c>
      <c r="R448" s="29" t="n">
        <v>43.65</v>
      </c>
      <c r="S448" s="29" t="n">
        <v>201.16</v>
      </c>
      <c r="T448" t="inlineStr">
        <is>
          <t>25260905515224001121550010001608841325122535</t>
        </is>
      </c>
      <c r="U448" t="inlineStr">
        <is>
          <t>Sim</t>
        </is>
      </c>
    </row>
    <row r="449">
      <c r="A449" t="inlineStr">
        <is>
          <t>Uso e consumo</t>
        </is>
      </c>
      <c r="B449" t="inlineStr">
        <is>
          <t>2.01.85 Compra de Uso e Consumo</t>
        </is>
      </c>
      <c r="C449" s="30" t="n">
        <v>46266</v>
      </c>
      <c r="D449" t="inlineStr">
        <is>
          <t>Em 2026</t>
        </is>
      </c>
      <c r="E449" s="28" t="n">
        <v>46270</v>
      </c>
      <c r="F449" t="inlineStr">
        <is>
          <t>NF-e</t>
        </is>
      </c>
      <c r="G449" t="inlineStr">
        <is>
          <t>000161441</t>
        </is>
      </c>
      <c r="H449" t="inlineStr">
        <is>
          <t>ATACADAO ECONOMICO - COMERCIO DE MATERIAL DE CONSTRUCAO LTDA</t>
        </is>
      </c>
      <c r="I449" t="inlineStr">
        <is>
          <t>34.961.047/0001-33</t>
        </is>
      </c>
      <c r="J449" s="29" t="n">
        <v>8235.139999999999</v>
      </c>
      <c r="K449" s="29">
        <f>(1-ISNUMBER(SEARCH("556",M449)))*(O449*SUMIFS(Premissas!$C$5:$C$44,Premissas!$A$5:$A$44,$A449,Premissas!$B$5:$B$44,$B449)+P449*SUMIFS(Premissas!$D$5:$D$44,Premissas!$A$5:$A$44,$A449,Premissas!$B$5:$B$44,$B449))+R449*SUMIFS(Premissas!$E$5:$E$44,Premissas!$A$5:$A$44,$A449,Premissas!$B$5:$B$44,$B449)+S449*SUMIFS(Premissas!$F$5:$F$44,Premissas!$A$5:$A$44,$A449,Premissas!$B$5:$B$44,$B449)</f>
        <v/>
      </c>
      <c r="L449" s="29">
        <f>J449-K449</f>
        <v/>
      </c>
      <c r="M449" t="inlineStr">
        <is>
          <t>1.102, 1.556</t>
        </is>
      </c>
      <c r="O449" s="29" t="n">
        <v>0</v>
      </c>
      <c r="P449" s="29" t="n">
        <v>311.17</v>
      </c>
      <c r="Q449" s="29" t="n">
        <v>0</v>
      </c>
      <c r="R449" s="29" t="n">
        <v>130.74</v>
      </c>
      <c r="S449" s="29" t="n">
        <v>602.25</v>
      </c>
      <c r="T449" t="inlineStr">
        <is>
          <t>25260934961047000133550010001614411232218975</t>
        </is>
      </c>
      <c r="U449" t="inlineStr">
        <is>
          <t>Sim</t>
        </is>
      </c>
    </row>
    <row r="450">
      <c r="A450" t="inlineStr">
        <is>
          <t>Uso e consumo</t>
        </is>
      </c>
      <c r="B450" t="inlineStr">
        <is>
          <t>2.01.85 Compra de Uso e Consumo</t>
        </is>
      </c>
      <c r="C450" s="30" t="n">
        <v>46266</v>
      </c>
      <c r="D450" t="inlineStr">
        <is>
          <t>Em 2026</t>
        </is>
      </c>
      <c r="E450" s="28" t="n">
        <v>46274</v>
      </c>
      <c r="F450" t="inlineStr">
        <is>
          <t>NF-e</t>
        </is>
      </c>
      <c r="G450" t="inlineStr">
        <is>
          <t>000161739</t>
        </is>
      </c>
      <c r="H450" t="inlineStr">
        <is>
          <t>ATACADAO ECONOMICO - COMERCIO DE MATERIAL DE CONSTRUCAO LTDA</t>
        </is>
      </c>
      <c r="I450" t="inlineStr">
        <is>
          <t>34.961.047/0001-33</t>
        </is>
      </c>
      <c r="J450" s="29" t="n">
        <v>374</v>
      </c>
      <c r="K450" s="29">
        <f>(1-ISNUMBER(SEARCH("556",M450)))*(O450*SUMIFS(Premissas!$C$5:$C$44,Premissas!$A$5:$A$44,$A450,Premissas!$B$5:$B$44,$B450)+P450*SUMIFS(Premissas!$D$5:$D$44,Premissas!$A$5:$A$44,$A450,Premissas!$B$5:$B$44,$B450))+R450*SUMIFS(Premissas!$E$5:$E$44,Premissas!$A$5:$A$44,$A450,Premissas!$B$5:$B$44,$B450)+S450*SUMIFS(Premissas!$F$5:$F$44,Premissas!$A$5:$A$44,$A450,Premissas!$B$5:$B$44,$B450)</f>
        <v/>
      </c>
      <c r="L450" s="29">
        <f>J450-K450</f>
        <v/>
      </c>
      <c r="M450" t="inlineStr">
        <is>
          <t>1.556</t>
        </is>
      </c>
      <c r="O450" s="29" t="n">
        <v>0</v>
      </c>
      <c r="P450" s="29" t="n">
        <v>0</v>
      </c>
      <c r="Q450" s="29" t="n">
        <v>0</v>
      </c>
      <c r="R450" s="29" t="n">
        <v>6.18</v>
      </c>
      <c r="S450" s="29" t="n">
        <v>28.42</v>
      </c>
      <c r="T450" t="inlineStr">
        <is>
          <t>25260934961047000133550010001617391248811105</t>
        </is>
      </c>
      <c r="U450" t="inlineStr">
        <is>
          <t>Sim</t>
        </is>
      </c>
    </row>
    <row r="451">
      <c r="A451" t="inlineStr">
        <is>
          <t>Uso e consumo</t>
        </is>
      </c>
      <c r="B451" t="inlineStr">
        <is>
          <t>2.01.85 Compra de Uso e Consumo</t>
        </is>
      </c>
      <c r="C451" s="30" t="n">
        <v>46266</v>
      </c>
      <c r="D451" t="inlineStr">
        <is>
          <t>Em 2026</t>
        </is>
      </c>
      <c r="E451" s="28" t="n">
        <v>46276</v>
      </c>
      <c r="F451" t="inlineStr">
        <is>
          <t>NF-e</t>
        </is>
      </c>
      <c r="G451" t="inlineStr">
        <is>
          <t>000162030</t>
        </is>
      </c>
      <c r="H451" t="inlineStr">
        <is>
          <t>ATACADAO ECONOMICO - COMERCIO DE MATERIAL DE CONSTRUCAO LTDA</t>
        </is>
      </c>
      <c r="I451" t="inlineStr">
        <is>
          <t>34.961.047/0001-33</t>
        </is>
      </c>
      <c r="J451" s="29" t="n">
        <v>227.8</v>
      </c>
      <c r="K451" s="29">
        <f>(1-ISNUMBER(SEARCH("556",M451)))*(O451*SUMIFS(Premissas!$C$5:$C$44,Premissas!$A$5:$A$44,$A451,Premissas!$B$5:$B$44,$B451)+P451*SUMIFS(Premissas!$D$5:$D$44,Premissas!$A$5:$A$44,$A451,Premissas!$B$5:$B$44,$B451))+R451*SUMIFS(Premissas!$E$5:$E$44,Premissas!$A$5:$A$44,$A451,Premissas!$B$5:$B$44,$B451)+S451*SUMIFS(Premissas!$F$5:$F$44,Premissas!$A$5:$A$44,$A451,Premissas!$B$5:$B$44,$B451)</f>
        <v/>
      </c>
      <c r="L451" s="29">
        <f>J451-K451</f>
        <v/>
      </c>
      <c r="M451" t="inlineStr">
        <is>
          <t>1.102, 1.556</t>
        </is>
      </c>
      <c r="O451" s="29" t="n">
        <v>0</v>
      </c>
      <c r="P451" s="29" t="n">
        <v>20.28</v>
      </c>
      <c r="Q451" s="29" t="n">
        <v>0</v>
      </c>
      <c r="R451" s="29" t="n">
        <v>3.43</v>
      </c>
      <c r="S451" s="29" t="n">
        <v>15.77</v>
      </c>
      <c r="T451" t="inlineStr">
        <is>
          <t>25260934961047000133550010001620301238841819</t>
        </is>
      </c>
      <c r="U451" t="inlineStr">
        <is>
          <t>Sim</t>
        </is>
      </c>
    </row>
    <row r="452">
      <c r="A452" t="inlineStr">
        <is>
          <t>Uso e consumo</t>
        </is>
      </c>
      <c r="B452" t="inlineStr">
        <is>
          <t>2.01.85 Compra de Uso e Consumo</t>
        </is>
      </c>
      <c r="C452" s="30" t="n">
        <v>46266</v>
      </c>
      <c r="D452" t="inlineStr">
        <is>
          <t>Em 2026</t>
        </is>
      </c>
      <c r="E452" s="28" t="n">
        <v>46279</v>
      </c>
      <c r="F452" t="inlineStr">
        <is>
          <t>NF-e</t>
        </is>
      </c>
      <c r="G452" t="inlineStr">
        <is>
          <t>000162236</t>
        </is>
      </c>
      <c r="H452" t="inlineStr">
        <is>
          <t>ATACADAO ECONOMICO - COMERCIO DE MATERIAL DE CONSTRUCAO LTDA</t>
        </is>
      </c>
      <c r="I452" t="inlineStr">
        <is>
          <t>34.961.047/0001-33</t>
        </is>
      </c>
      <c r="J452" s="29" t="n">
        <v>247.4</v>
      </c>
      <c r="K452" s="29">
        <f>(1-ISNUMBER(SEARCH("556",M452)))*(O452*SUMIFS(Premissas!$C$5:$C$44,Premissas!$A$5:$A$44,$A452,Premissas!$B$5:$B$44,$B452)+P452*SUMIFS(Premissas!$D$5:$D$44,Premissas!$A$5:$A$44,$A452,Premissas!$B$5:$B$44,$B452))+R452*SUMIFS(Premissas!$E$5:$E$44,Premissas!$A$5:$A$44,$A452,Premissas!$B$5:$B$44,$B452)+S452*SUMIFS(Premissas!$F$5:$F$44,Premissas!$A$5:$A$44,$A452,Premissas!$B$5:$B$44,$B452)</f>
        <v/>
      </c>
      <c r="L452" s="29">
        <f>J452-K452</f>
        <v/>
      </c>
      <c r="M452" t="inlineStr">
        <is>
          <t>1.403, 1.556</t>
        </is>
      </c>
      <c r="O452" s="29" t="n">
        <v>0</v>
      </c>
      <c r="P452" s="29" t="n">
        <v>1.96</v>
      </c>
      <c r="Q452" s="29" t="n">
        <v>0</v>
      </c>
      <c r="R452" s="29" t="n">
        <v>4.05</v>
      </c>
      <c r="S452" s="29" t="n">
        <v>18.65</v>
      </c>
      <c r="T452" t="inlineStr">
        <is>
          <t>25260934961047000133550010001622361143199189</t>
        </is>
      </c>
      <c r="U452" t="inlineStr">
        <is>
          <t>Sim</t>
        </is>
      </c>
    </row>
    <row r="453">
      <c r="A453" t="inlineStr">
        <is>
          <t>Uso e consumo</t>
        </is>
      </c>
      <c r="B453" t="inlineStr">
        <is>
          <t>2.01.85 Compra de Uso e Consumo</t>
        </is>
      </c>
      <c r="C453" s="30" t="n">
        <v>46266</v>
      </c>
      <c r="D453" t="inlineStr">
        <is>
          <t>Em 2026</t>
        </is>
      </c>
      <c r="E453" s="28" t="n">
        <v>46287</v>
      </c>
      <c r="F453" t="inlineStr">
        <is>
          <t>NF-e</t>
        </is>
      </c>
      <c r="G453" t="inlineStr">
        <is>
          <t>000163152</t>
        </is>
      </c>
      <c r="H453" t="inlineStr">
        <is>
          <t>ATACADAO ECONOMICO - COMERCIO DE MATERIAL DE CONSTRUCAO LTDA</t>
        </is>
      </c>
      <c r="I453" t="inlineStr">
        <is>
          <t>34.961.047/0001-33</t>
        </is>
      </c>
      <c r="J453" s="29" t="n">
        <v>198</v>
      </c>
      <c r="K453" s="29">
        <f>(1-ISNUMBER(SEARCH("556",M453)))*(O453*SUMIFS(Premissas!$C$5:$C$44,Premissas!$A$5:$A$44,$A453,Premissas!$B$5:$B$44,$B453)+P453*SUMIFS(Premissas!$D$5:$D$44,Premissas!$A$5:$A$44,$A453,Premissas!$B$5:$B$44,$B453))+R453*SUMIFS(Premissas!$E$5:$E$44,Premissas!$A$5:$A$44,$A453,Premissas!$B$5:$B$44,$B453)+S453*SUMIFS(Premissas!$F$5:$F$44,Premissas!$A$5:$A$44,$A453,Premissas!$B$5:$B$44,$B453)</f>
        <v/>
      </c>
      <c r="L453" s="29">
        <f>J453-K453</f>
        <v/>
      </c>
      <c r="M453" t="inlineStr">
        <is>
          <t>1.556</t>
        </is>
      </c>
      <c r="O453" s="29" t="n">
        <v>0</v>
      </c>
      <c r="P453" s="29" t="n">
        <v>0</v>
      </c>
      <c r="Q453" s="29" t="n">
        <v>0</v>
      </c>
      <c r="R453" s="29" t="n">
        <v>3.27</v>
      </c>
      <c r="S453" s="29" t="n">
        <v>15.05</v>
      </c>
      <c r="T453" t="inlineStr">
        <is>
          <t>25260934961047000133550010001631521168219623</t>
        </is>
      </c>
      <c r="U453" t="inlineStr">
        <is>
          <t>Sim</t>
        </is>
      </c>
    </row>
    <row r="454">
      <c r="A454" t="inlineStr">
        <is>
          <t>Uso e consumo</t>
        </is>
      </c>
      <c r="B454" t="inlineStr">
        <is>
          <t>2.01.85 Compra de Uso e Consumo</t>
        </is>
      </c>
      <c r="C454" s="30" t="n">
        <v>46266</v>
      </c>
      <c r="D454" t="inlineStr">
        <is>
          <t>Em 2026</t>
        </is>
      </c>
      <c r="E454" s="28" t="n">
        <v>46275</v>
      </c>
      <c r="F454" t="inlineStr">
        <is>
          <t>NF-e</t>
        </is>
      </c>
      <c r="G454" t="inlineStr">
        <is>
          <t>000089800</t>
        </is>
      </c>
      <c r="H454" t="inlineStr">
        <is>
          <t>BA - LOJAO DA ECONOMICA MATERIAIS DE CONSTRUCAO LTDA - EPP</t>
        </is>
      </c>
      <c r="I454" t="inlineStr">
        <is>
          <t>09.158.643/0002-13</t>
        </is>
      </c>
      <c r="J454" s="29" t="n">
        <v>1196.96</v>
      </c>
      <c r="K454" s="29">
        <f>(1-ISNUMBER(SEARCH("556",M454)))*(O454*SUMIFS(Premissas!$C$5:$C$44,Premissas!$A$5:$A$44,$A454,Premissas!$B$5:$B$44,$B454)+P454*SUMIFS(Premissas!$D$5:$D$44,Premissas!$A$5:$A$44,$A454,Premissas!$B$5:$B$44,$B454))+R454*SUMIFS(Premissas!$E$5:$E$44,Premissas!$A$5:$A$44,$A454,Premissas!$B$5:$B$44,$B454)+S454*SUMIFS(Premissas!$F$5:$F$44,Premissas!$A$5:$A$44,$A454,Premissas!$B$5:$B$44,$B454)</f>
        <v/>
      </c>
      <c r="L454" s="29">
        <f>J454-K454</f>
        <v/>
      </c>
      <c r="M454" t="inlineStr">
        <is>
          <t>1.556</t>
        </is>
      </c>
      <c r="O454" s="29" t="n">
        <v>0</v>
      </c>
      <c r="P454" s="29" t="n">
        <v>0</v>
      </c>
      <c r="Q454" s="29" t="n">
        <v>0</v>
      </c>
      <c r="R454" s="29" t="n">
        <v>0</v>
      </c>
      <c r="S454" s="29" t="n">
        <v>0</v>
      </c>
      <c r="T454" t="inlineStr">
        <is>
          <t>25260909158643000213550010000898001029824092</t>
        </is>
      </c>
      <c r="U454" t="inlineStr">
        <is>
          <t>Sim</t>
        </is>
      </c>
    </row>
    <row r="455">
      <c r="A455" t="inlineStr">
        <is>
          <t>Uso e consumo</t>
        </is>
      </c>
      <c r="B455" t="inlineStr">
        <is>
          <t>2.01.85 Compra de Uso e Consumo</t>
        </is>
      </c>
      <c r="C455" s="30" t="n">
        <v>46266</v>
      </c>
      <c r="D455" t="inlineStr">
        <is>
          <t>Em 2026</t>
        </is>
      </c>
      <c r="E455" s="28" t="n">
        <v>46282</v>
      </c>
      <c r="F455" t="inlineStr">
        <is>
          <t>NF-e</t>
        </is>
      </c>
      <c r="G455" t="inlineStr">
        <is>
          <t>000000130</t>
        </is>
      </c>
      <c r="H455" t="inlineStr">
        <is>
          <t>COMERCIAL CASA NOVA MATERIAL DE CONSTRUCAO PB LTDA</t>
        </is>
      </c>
      <c r="I455" t="inlineStr">
        <is>
          <t>44.336.205/0001-18</t>
        </is>
      </c>
      <c r="J455" s="29" t="n">
        <v>300</v>
      </c>
      <c r="K455" s="29">
        <f>(1-ISNUMBER(SEARCH("556",M455)))*(O455*SUMIFS(Premissas!$C$5:$C$44,Premissas!$A$5:$A$44,$A455,Premissas!$B$5:$B$44,$B455)+P455*SUMIFS(Premissas!$D$5:$D$44,Premissas!$A$5:$A$44,$A455,Premissas!$B$5:$B$44,$B455))+R455*SUMIFS(Premissas!$E$5:$E$44,Premissas!$A$5:$A$44,$A455,Premissas!$B$5:$B$44,$B455)+S455*SUMIFS(Premissas!$F$5:$F$44,Premissas!$A$5:$A$44,$A455,Premissas!$B$5:$B$44,$B455)</f>
        <v/>
      </c>
      <c r="L455" s="29">
        <f>J455-K455</f>
        <v/>
      </c>
      <c r="M455" t="inlineStr">
        <is>
          <t>1.556</t>
        </is>
      </c>
      <c r="O455" s="29" t="n">
        <v>0</v>
      </c>
      <c r="P455" s="29" t="n">
        <v>0</v>
      </c>
      <c r="Q455" s="29" t="n">
        <v>0</v>
      </c>
      <c r="R455" s="29" t="n">
        <v>0</v>
      </c>
      <c r="S455" s="29" t="n">
        <v>0</v>
      </c>
      <c r="T455" t="inlineStr">
        <is>
          <t>25260944336205000118550010000001301264678747</t>
        </is>
      </c>
      <c r="U455" t="inlineStr">
        <is>
          <t>Sim</t>
        </is>
      </c>
    </row>
    <row r="456">
      <c r="A456" t="inlineStr">
        <is>
          <t>Uso e consumo</t>
        </is>
      </c>
      <c r="B456" t="inlineStr">
        <is>
          <t>2.01.85 Compra de Uso e Consumo</t>
        </is>
      </c>
      <c r="C456" s="30" t="n">
        <v>46266</v>
      </c>
      <c r="D456" t="inlineStr">
        <is>
          <t>Em 2026</t>
        </is>
      </c>
      <c r="E456" s="28" t="n">
        <v>46266</v>
      </c>
      <c r="F456" t="inlineStr">
        <is>
          <t>NF-e</t>
        </is>
      </c>
      <c r="G456" t="inlineStr">
        <is>
          <t>000015379</t>
        </is>
      </c>
      <c r="H456" t="inlineStr">
        <is>
          <t>EDNA DE ARAUJO PACHECO LTDA</t>
        </is>
      </c>
      <c r="I456" t="inlineStr">
        <is>
          <t>17.433.873/0001-90</t>
        </is>
      </c>
      <c r="J456" s="29" t="n">
        <v>261.4</v>
      </c>
      <c r="K456" s="29">
        <f>(1-ISNUMBER(SEARCH("556",M456)))*(O456*SUMIFS(Premissas!$C$5:$C$44,Premissas!$A$5:$A$44,$A456,Premissas!$B$5:$B$44,$B456)+P456*SUMIFS(Premissas!$D$5:$D$44,Premissas!$A$5:$A$44,$A456,Premissas!$B$5:$B$44,$B456))+R456*SUMIFS(Premissas!$E$5:$E$44,Premissas!$A$5:$A$44,$A456,Premissas!$B$5:$B$44,$B456)+S456*SUMIFS(Premissas!$F$5:$F$44,Premissas!$A$5:$A$44,$A456,Premissas!$B$5:$B$44,$B456)</f>
        <v/>
      </c>
      <c r="L456" s="29">
        <f>J456-K456</f>
        <v/>
      </c>
      <c r="M456" t="inlineStr">
        <is>
          <t>1.102, 1.556</t>
        </is>
      </c>
      <c r="O456" s="29" t="n">
        <v>0</v>
      </c>
      <c r="P456" s="29" t="n">
        <v>0</v>
      </c>
      <c r="Q456" s="29" t="n">
        <v>0</v>
      </c>
      <c r="R456" s="29" t="n">
        <v>0</v>
      </c>
      <c r="S456" s="29" t="n">
        <v>0</v>
      </c>
      <c r="T456" t="inlineStr">
        <is>
          <t>25260917433873000190550010000153791016664017</t>
        </is>
      </c>
      <c r="U456" t="inlineStr">
        <is>
          <t>Sim</t>
        </is>
      </c>
    </row>
    <row r="457">
      <c r="A457" t="inlineStr">
        <is>
          <t>Uso e consumo</t>
        </is>
      </c>
      <c r="B457" t="inlineStr">
        <is>
          <t>2.01.85 Compra de Uso e Consumo</t>
        </is>
      </c>
      <c r="C457" s="30" t="n">
        <v>46266</v>
      </c>
      <c r="D457" t="inlineStr">
        <is>
          <t>Em 2026</t>
        </is>
      </c>
      <c r="E457" s="28" t="n">
        <v>46267</v>
      </c>
      <c r="F457" t="inlineStr">
        <is>
          <t>NF-e</t>
        </is>
      </c>
      <c r="G457" t="inlineStr">
        <is>
          <t>000015385</t>
        </is>
      </c>
      <c r="H457" t="inlineStr">
        <is>
          <t>EDNA DE ARAUJO PACHECO LTDA</t>
        </is>
      </c>
      <c r="I457" t="inlineStr">
        <is>
          <t>17.433.873/0001-90</t>
        </is>
      </c>
      <c r="J457" s="29" t="n">
        <v>220</v>
      </c>
      <c r="K457" s="29">
        <f>(1-ISNUMBER(SEARCH("556",M457)))*(O457*SUMIFS(Premissas!$C$5:$C$44,Premissas!$A$5:$A$44,$A457,Premissas!$B$5:$B$44,$B457)+P457*SUMIFS(Premissas!$D$5:$D$44,Premissas!$A$5:$A$44,$A457,Premissas!$B$5:$B$44,$B457))+R457*SUMIFS(Premissas!$E$5:$E$44,Premissas!$A$5:$A$44,$A457,Premissas!$B$5:$B$44,$B457)+S457*SUMIFS(Premissas!$F$5:$F$44,Premissas!$A$5:$A$44,$A457,Premissas!$B$5:$B$44,$B457)</f>
        <v/>
      </c>
      <c r="L457" s="29">
        <f>J457-K457</f>
        <v/>
      </c>
      <c r="M457" t="inlineStr">
        <is>
          <t>1.556</t>
        </is>
      </c>
      <c r="O457" s="29" t="n">
        <v>0</v>
      </c>
      <c r="P457" s="29" t="n">
        <v>0</v>
      </c>
      <c r="Q457" s="29" t="n">
        <v>0</v>
      </c>
      <c r="R457" s="29" t="n">
        <v>0</v>
      </c>
      <c r="S457" s="29" t="n">
        <v>0</v>
      </c>
      <c r="T457" t="inlineStr">
        <is>
          <t>25260917433873000190550010000153851016664014</t>
        </is>
      </c>
      <c r="U457" t="inlineStr">
        <is>
          <t>Sim</t>
        </is>
      </c>
    </row>
    <row r="458">
      <c r="A458" t="inlineStr">
        <is>
          <t>Uso e consumo</t>
        </is>
      </c>
      <c r="B458" t="inlineStr">
        <is>
          <t>2.01.85 Compra de Uso e Consumo</t>
        </is>
      </c>
      <c r="C458" s="30" t="n">
        <v>46266</v>
      </c>
      <c r="D458" t="inlineStr">
        <is>
          <t>Em 2026</t>
        </is>
      </c>
      <c r="E458" s="28" t="n">
        <v>46273</v>
      </c>
      <c r="F458" t="inlineStr">
        <is>
          <t>NF-e</t>
        </is>
      </c>
      <c r="G458" t="inlineStr">
        <is>
          <t>000015424</t>
        </is>
      </c>
      <c r="H458" t="inlineStr">
        <is>
          <t>EDNA DE ARAUJO PACHECO LTDA</t>
        </is>
      </c>
      <c r="I458" t="inlineStr">
        <is>
          <t>17.433.873/0001-90</t>
        </is>
      </c>
      <c r="J458" s="29" t="n">
        <v>228.39</v>
      </c>
      <c r="K458" s="29">
        <f>(1-ISNUMBER(SEARCH("556",M458)))*(O458*SUMIFS(Premissas!$C$5:$C$44,Premissas!$A$5:$A$44,$A458,Premissas!$B$5:$B$44,$B458)+P458*SUMIFS(Premissas!$D$5:$D$44,Premissas!$A$5:$A$44,$A458,Premissas!$B$5:$B$44,$B458))+R458*SUMIFS(Premissas!$E$5:$E$44,Premissas!$A$5:$A$44,$A458,Premissas!$B$5:$B$44,$B458)+S458*SUMIFS(Premissas!$F$5:$F$44,Premissas!$A$5:$A$44,$A458,Premissas!$B$5:$B$44,$B458)</f>
        <v/>
      </c>
      <c r="L458" s="29">
        <f>J458-K458</f>
        <v/>
      </c>
      <c r="M458" t="inlineStr">
        <is>
          <t>1.556</t>
        </is>
      </c>
      <c r="O458" s="29" t="n">
        <v>0</v>
      </c>
      <c r="P458" s="29" t="n">
        <v>0</v>
      </c>
      <c r="Q458" s="29" t="n">
        <v>0</v>
      </c>
      <c r="R458" s="29" t="n">
        <v>0</v>
      </c>
      <c r="S458" s="29" t="n">
        <v>0</v>
      </c>
      <c r="T458" t="inlineStr">
        <is>
          <t>25260917433873000190550010000154241016664014</t>
        </is>
      </c>
      <c r="U458" t="inlineStr">
        <is>
          <t>Sim</t>
        </is>
      </c>
    </row>
    <row r="459">
      <c r="A459" t="inlineStr">
        <is>
          <t>Uso e consumo</t>
        </is>
      </c>
      <c r="B459" t="inlineStr">
        <is>
          <t>2.01.85 Compra de Uso e Consumo</t>
        </is>
      </c>
      <c r="C459" s="30" t="n">
        <v>46266</v>
      </c>
      <c r="D459" t="inlineStr">
        <is>
          <t>Em 2026</t>
        </is>
      </c>
      <c r="E459" s="28" t="n">
        <v>46276</v>
      </c>
      <c r="F459" t="inlineStr">
        <is>
          <t>NF-e</t>
        </is>
      </c>
      <c r="G459" t="inlineStr">
        <is>
          <t>000015495</t>
        </is>
      </c>
      <c r="H459" t="inlineStr">
        <is>
          <t>EDNA DE ARAUJO PACHECO LTDA</t>
        </is>
      </c>
      <c r="I459" t="inlineStr">
        <is>
          <t>17.433.873/0001-90</t>
        </is>
      </c>
      <c r="J459" s="29" t="n">
        <v>1740.1</v>
      </c>
      <c r="K459" s="29">
        <f>(1-ISNUMBER(SEARCH("556",M459)))*(O459*SUMIFS(Premissas!$C$5:$C$44,Premissas!$A$5:$A$44,$A459,Premissas!$B$5:$B$44,$B459)+P459*SUMIFS(Premissas!$D$5:$D$44,Premissas!$A$5:$A$44,$A459,Premissas!$B$5:$B$44,$B459))+R459*SUMIFS(Premissas!$E$5:$E$44,Premissas!$A$5:$A$44,$A459,Premissas!$B$5:$B$44,$B459)+S459*SUMIFS(Premissas!$F$5:$F$44,Premissas!$A$5:$A$44,$A459,Premissas!$B$5:$B$44,$B459)</f>
        <v/>
      </c>
      <c r="L459" s="29">
        <f>J459-K459</f>
        <v/>
      </c>
      <c r="M459" t="inlineStr">
        <is>
          <t>1.556</t>
        </is>
      </c>
      <c r="O459" s="29" t="n">
        <v>0</v>
      </c>
      <c r="P459" s="29" t="n">
        <v>0</v>
      </c>
      <c r="Q459" s="29" t="n">
        <v>0</v>
      </c>
      <c r="R459" s="29" t="n">
        <v>0</v>
      </c>
      <c r="S459" s="29" t="n">
        <v>0</v>
      </c>
      <c r="T459" t="inlineStr">
        <is>
          <t>25260917433873000190550010000154951016664016</t>
        </is>
      </c>
      <c r="U459" t="inlineStr">
        <is>
          <t>Sim</t>
        </is>
      </c>
    </row>
    <row r="460">
      <c r="A460" t="inlineStr">
        <is>
          <t>Uso e consumo</t>
        </is>
      </c>
      <c r="B460" t="inlineStr">
        <is>
          <t>2.01.85 Compra de Uso e Consumo</t>
        </is>
      </c>
      <c r="C460" s="30" t="n">
        <v>46266</v>
      </c>
      <c r="D460" t="inlineStr">
        <is>
          <t>Em 2026</t>
        </is>
      </c>
      <c r="E460" s="28" t="n">
        <v>46276</v>
      </c>
      <c r="F460" t="inlineStr">
        <is>
          <t>NF-e</t>
        </is>
      </c>
      <c r="G460" t="inlineStr">
        <is>
          <t>000015502</t>
        </is>
      </c>
      <c r="H460" t="inlineStr">
        <is>
          <t>EDNA DE ARAUJO PACHECO LTDA</t>
        </is>
      </c>
      <c r="I460" t="inlineStr">
        <is>
          <t>17.433.873/0001-90</t>
        </is>
      </c>
      <c r="J460" s="29" t="n">
        <v>378</v>
      </c>
      <c r="K460" s="29">
        <f>(1-ISNUMBER(SEARCH("556",M460)))*(O460*SUMIFS(Premissas!$C$5:$C$44,Premissas!$A$5:$A$44,$A460,Premissas!$B$5:$B$44,$B460)+P460*SUMIFS(Premissas!$D$5:$D$44,Premissas!$A$5:$A$44,$A460,Premissas!$B$5:$B$44,$B460))+R460*SUMIFS(Premissas!$E$5:$E$44,Premissas!$A$5:$A$44,$A460,Premissas!$B$5:$B$44,$B460)+S460*SUMIFS(Premissas!$F$5:$F$44,Premissas!$A$5:$A$44,$A460,Premissas!$B$5:$B$44,$B460)</f>
        <v/>
      </c>
      <c r="L460" s="29">
        <f>J460-K460</f>
        <v/>
      </c>
      <c r="M460" t="inlineStr">
        <is>
          <t>1.556</t>
        </is>
      </c>
      <c r="O460" s="29" t="n">
        <v>0</v>
      </c>
      <c r="P460" s="29" t="n">
        <v>0</v>
      </c>
      <c r="Q460" s="29" t="n">
        <v>0</v>
      </c>
      <c r="R460" s="29" t="n">
        <v>0</v>
      </c>
      <c r="S460" s="29" t="n">
        <v>0</v>
      </c>
      <c r="T460" t="inlineStr">
        <is>
          <t>25260917433873000190550010000155021016664012</t>
        </is>
      </c>
      <c r="U460" t="inlineStr">
        <is>
          <t>Sim</t>
        </is>
      </c>
    </row>
    <row r="461">
      <c r="A461" t="inlineStr">
        <is>
          <t>Uso e consumo</t>
        </is>
      </c>
      <c r="B461" t="inlineStr">
        <is>
          <t>2.01.85 Compra de Uso e Consumo</t>
        </is>
      </c>
      <c r="C461" s="30" t="n">
        <v>46266</v>
      </c>
      <c r="D461" t="inlineStr">
        <is>
          <t>Em 2026</t>
        </is>
      </c>
      <c r="E461" s="28" t="n">
        <v>46283</v>
      </c>
      <c r="F461" t="inlineStr">
        <is>
          <t>NF-e</t>
        </is>
      </c>
      <c r="G461" t="inlineStr">
        <is>
          <t>000015601</t>
        </is>
      </c>
      <c r="H461" t="inlineStr">
        <is>
          <t>EDNA DE ARAUJO PACHECO LTDA</t>
        </is>
      </c>
      <c r="I461" t="inlineStr">
        <is>
          <t>17.433.873/0001-90</t>
        </is>
      </c>
      <c r="J461" s="29" t="n">
        <v>1106.41</v>
      </c>
      <c r="K461" s="29">
        <f>(1-ISNUMBER(SEARCH("556",M461)))*(O461*SUMIFS(Premissas!$C$5:$C$44,Premissas!$A$5:$A$44,$A461,Premissas!$B$5:$B$44,$B461)+P461*SUMIFS(Premissas!$D$5:$D$44,Premissas!$A$5:$A$44,$A461,Premissas!$B$5:$B$44,$B461))+R461*SUMIFS(Premissas!$E$5:$E$44,Premissas!$A$5:$A$44,$A461,Premissas!$B$5:$B$44,$B461)+S461*SUMIFS(Premissas!$F$5:$F$44,Premissas!$A$5:$A$44,$A461,Premissas!$B$5:$B$44,$B461)</f>
        <v/>
      </c>
      <c r="L461" s="29">
        <f>J461-K461</f>
        <v/>
      </c>
      <c r="M461" t="inlineStr">
        <is>
          <t>1.556</t>
        </is>
      </c>
      <c r="O461" s="29" t="n">
        <v>0</v>
      </c>
      <c r="P461" s="29" t="n">
        <v>0</v>
      </c>
      <c r="Q461" s="29" t="n">
        <v>0</v>
      </c>
      <c r="R461" s="29" t="n">
        <v>0</v>
      </c>
      <c r="S461" s="29" t="n">
        <v>0</v>
      </c>
      <c r="T461" t="inlineStr">
        <is>
          <t>25260917433873000190550010000156011016664010</t>
        </is>
      </c>
      <c r="U461" t="inlineStr">
        <is>
          <t>Sim</t>
        </is>
      </c>
    </row>
    <row r="462">
      <c r="A462" t="inlineStr">
        <is>
          <t>Uso e consumo</t>
        </is>
      </c>
      <c r="B462" t="inlineStr">
        <is>
          <t>2.01.85 Compra de Uso e Consumo</t>
        </is>
      </c>
      <c r="C462" s="30" t="n">
        <v>46266</v>
      </c>
      <c r="D462" t="inlineStr">
        <is>
          <t>Em 2026</t>
        </is>
      </c>
      <c r="E462" s="28" t="n">
        <v>46283</v>
      </c>
      <c r="F462" t="inlineStr">
        <is>
          <t>NF-e</t>
        </is>
      </c>
      <c r="G462" t="inlineStr">
        <is>
          <t>000015610</t>
        </is>
      </c>
      <c r="H462" t="inlineStr">
        <is>
          <t>EDNA DE ARAUJO PACHECO LTDA</t>
        </is>
      </c>
      <c r="I462" t="inlineStr">
        <is>
          <t>17.433.873/0001-90</t>
        </is>
      </c>
      <c r="J462" s="29" t="n">
        <v>150</v>
      </c>
      <c r="K462" s="29">
        <f>(1-ISNUMBER(SEARCH("556",M462)))*(O462*SUMIFS(Premissas!$C$5:$C$44,Premissas!$A$5:$A$44,$A462,Premissas!$B$5:$B$44,$B462)+P462*SUMIFS(Premissas!$D$5:$D$44,Premissas!$A$5:$A$44,$A462,Premissas!$B$5:$B$44,$B462))+R462*SUMIFS(Premissas!$E$5:$E$44,Premissas!$A$5:$A$44,$A462,Premissas!$B$5:$B$44,$B462)+S462*SUMIFS(Premissas!$F$5:$F$44,Premissas!$A$5:$A$44,$A462,Premissas!$B$5:$B$44,$B462)</f>
        <v/>
      </c>
      <c r="L462" s="29">
        <f>J462-K462</f>
        <v/>
      </c>
      <c r="M462" t="inlineStr">
        <is>
          <t>1.556</t>
        </is>
      </c>
      <c r="O462" s="29" t="n">
        <v>0</v>
      </c>
      <c r="P462" s="29" t="n">
        <v>0</v>
      </c>
      <c r="Q462" s="29" t="n">
        <v>0</v>
      </c>
      <c r="R462" s="29" t="n">
        <v>0</v>
      </c>
      <c r="S462" s="29" t="n">
        <v>0</v>
      </c>
      <c r="T462" t="inlineStr">
        <is>
          <t>25260917433873000190550010000156101016664010</t>
        </is>
      </c>
      <c r="U462" t="inlineStr">
        <is>
          <t>Sim</t>
        </is>
      </c>
    </row>
    <row r="463">
      <c r="A463" t="inlineStr">
        <is>
          <t>Uso e consumo</t>
        </is>
      </c>
      <c r="B463" t="inlineStr">
        <is>
          <t>2.01.85 Compra de Uso e Consumo</t>
        </is>
      </c>
      <c r="C463" s="30" t="n">
        <v>46266</v>
      </c>
      <c r="D463" t="inlineStr">
        <is>
          <t>Em 2026</t>
        </is>
      </c>
      <c r="E463" s="28" t="n">
        <v>46287</v>
      </c>
      <c r="F463" t="inlineStr">
        <is>
          <t>NF-e</t>
        </is>
      </c>
      <c r="G463" t="inlineStr">
        <is>
          <t>000015660</t>
        </is>
      </c>
      <c r="H463" t="inlineStr">
        <is>
          <t>EDNA DE ARAUJO PACHECO LTDA</t>
        </is>
      </c>
      <c r="I463" t="inlineStr">
        <is>
          <t>17.433.873/0001-90</t>
        </is>
      </c>
      <c r="J463" s="29" t="n">
        <v>425</v>
      </c>
      <c r="K463" s="29">
        <f>(1-ISNUMBER(SEARCH("556",M463)))*(O463*SUMIFS(Premissas!$C$5:$C$44,Premissas!$A$5:$A$44,$A463,Premissas!$B$5:$B$44,$B463)+P463*SUMIFS(Premissas!$D$5:$D$44,Premissas!$A$5:$A$44,$A463,Premissas!$B$5:$B$44,$B463))+R463*SUMIFS(Premissas!$E$5:$E$44,Premissas!$A$5:$A$44,$A463,Premissas!$B$5:$B$44,$B463)+S463*SUMIFS(Premissas!$F$5:$F$44,Premissas!$A$5:$A$44,$A463,Premissas!$B$5:$B$44,$B463)</f>
        <v/>
      </c>
      <c r="L463" s="29">
        <f>J463-K463</f>
        <v/>
      </c>
      <c r="M463" t="inlineStr">
        <is>
          <t>1.102, 1.556</t>
        </is>
      </c>
      <c r="O463" s="29" t="n">
        <v>0</v>
      </c>
      <c r="P463" s="29" t="n">
        <v>0</v>
      </c>
      <c r="Q463" s="29" t="n">
        <v>0</v>
      </c>
      <c r="R463" s="29" t="n">
        <v>0</v>
      </c>
      <c r="S463" s="29" t="n">
        <v>0</v>
      </c>
      <c r="T463" t="inlineStr">
        <is>
          <t>25260917433873000190550010000156601016664011</t>
        </is>
      </c>
      <c r="U463" t="inlineStr">
        <is>
          <t>Sim</t>
        </is>
      </c>
    </row>
    <row r="464">
      <c r="A464" t="inlineStr">
        <is>
          <t>Uso e consumo</t>
        </is>
      </c>
      <c r="B464" t="inlineStr">
        <is>
          <t>2.01.85 Compra de Uso e Consumo</t>
        </is>
      </c>
      <c r="C464" s="30" t="n">
        <v>46266</v>
      </c>
      <c r="D464" t="inlineStr">
        <is>
          <t>Em 2026</t>
        </is>
      </c>
      <c r="E464" s="28" t="n">
        <v>46266</v>
      </c>
      <c r="F464" t="inlineStr">
        <is>
          <t>NF-e</t>
        </is>
      </c>
      <c r="G464" t="inlineStr">
        <is>
          <t>000063214</t>
        </is>
      </c>
      <c r="H464" t="inlineStr">
        <is>
          <t>ELETROPOLO ELETRICIDADE LTDA</t>
        </is>
      </c>
      <c r="I464" t="inlineStr">
        <is>
          <t>02.375.199/0005-91</t>
        </is>
      </c>
      <c r="J464" s="29" t="n">
        <v>148.3</v>
      </c>
      <c r="K464" s="29">
        <f>(1-ISNUMBER(SEARCH("556",M464)))*(O464*SUMIFS(Premissas!$C$5:$C$44,Premissas!$A$5:$A$44,$A464,Premissas!$B$5:$B$44,$B464)+P464*SUMIFS(Premissas!$D$5:$D$44,Premissas!$A$5:$A$44,$A464,Premissas!$B$5:$B$44,$B464))+R464*SUMIFS(Premissas!$E$5:$E$44,Premissas!$A$5:$A$44,$A464,Premissas!$B$5:$B$44,$B464)+S464*SUMIFS(Premissas!$F$5:$F$44,Premissas!$A$5:$A$44,$A464,Premissas!$B$5:$B$44,$B464)</f>
        <v/>
      </c>
      <c r="L464" s="29">
        <f>J464-K464</f>
        <v/>
      </c>
      <c r="M464" t="inlineStr">
        <is>
          <t>1.556</t>
        </is>
      </c>
      <c r="O464" s="29" t="n">
        <v>0</v>
      </c>
      <c r="P464" s="29" t="n">
        <v>0</v>
      </c>
      <c r="Q464" s="29" t="n">
        <v>0</v>
      </c>
      <c r="R464" s="29" t="n">
        <v>2.45</v>
      </c>
      <c r="S464" s="29" t="n">
        <v>11.28</v>
      </c>
      <c r="T464" t="inlineStr">
        <is>
          <t>25260902375199000591550030000632141008280641</t>
        </is>
      </c>
      <c r="U464" t="inlineStr">
        <is>
          <t>Sim</t>
        </is>
      </c>
    </row>
    <row r="465">
      <c r="A465" t="inlineStr">
        <is>
          <t>Uso e consumo</t>
        </is>
      </c>
      <c r="B465" t="inlineStr">
        <is>
          <t>2.01.85 Compra de Uso e Consumo</t>
        </is>
      </c>
      <c r="C465" s="30" t="n">
        <v>46266</v>
      </c>
      <c r="D465" t="inlineStr">
        <is>
          <t>Em 2026</t>
        </is>
      </c>
      <c r="E465" s="28" t="n">
        <v>46289</v>
      </c>
      <c r="F465" t="inlineStr">
        <is>
          <t>NF-e</t>
        </is>
      </c>
      <c r="G465" t="inlineStr">
        <is>
          <t>000065144</t>
        </is>
      </c>
      <c r="H465" t="inlineStr">
        <is>
          <t>ELETROPOLO ELETRICIDADE LTDA</t>
        </is>
      </c>
      <c r="I465" t="inlineStr">
        <is>
          <t>02.375.199/0005-91</t>
        </is>
      </c>
      <c r="J465" s="29" t="n">
        <v>1169.8</v>
      </c>
      <c r="K465" s="29">
        <f>(1-ISNUMBER(SEARCH("556",M465)))*(O465*SUMIFS(Premissas!$C$5:$C$44,Premissas!$A$5:$A$44,$A465,Premissas!$B$5:$B$44,$B465)+P465*SUMIFS(Premissas!$D$5:$D$44,Premissas!$A$5:$A$44,$A465,Premissas!$B$5:$B$44,$B465))+R465*SUMIFS(Premissas!$E$5:$E$44,Premissas!$A$5:$A$44,$A465,Premissas!$B$5:$B$44,$B465)+S465*SUMIFS(Premissas!$F$5:$F$44,Premissas!$A$5:$A$44,$A465,Premissas!$B$5:$B$44,$B465)</f>
        <v/>
      </c>
      <c r="L465" s="29">
        <f>J465-K465</f>
        <v/>
      </c>
      <c r="M465" t="inlineStr">
        <is>
          <t>1.403, 1.556</t>
        </is>
      </c>
      <c r="O465" s="29" t="n">
        <v>0</v>
      </c>
      <c r="P465" s="29" t="n">
        <v>6.56</v>
      </c>
      <c r="Q465" s="29" t="n">
        <v>0</v>
      </c>
      <c r="R465" s="29" t="n">
        <v>19.19</v>
      </c>
      <c r="S465" s="29" t="n">
        <v>88.41</v>
      </c>
      <c r="T465" t="inlineStr">
        <is>
          <t>25260902375199000591550030000651441009409110</t>
        </is>
      </c>
      <c r="U465" t="inlineStr">
        <is>
          <t>Sim</t>
        </is>
      </c>
    </row>
    <row r="466">
      <c r="A466" t="inlineStr">
        <is>
          <t>Uso e consumo</t>
        </is>
      </c>
      <c r="B466" t="inlineStr">
        <is>
          <t>2.01.85 Compra de Uso e Consumo</t>
        </is>
      </c>
      <c r="C466" s="30" t="n">
        <v>46266</v>
      </c>
      <c r="D466" t="inlineStr">
        <is>
          <t>Em 2026</t>
        </is>
      </c>
      <c r="E466" s="28" t="n">
        <v>46281</v>
      </c>
      <c r="F466" t="inlineStr">
        <is>
          <t>NF-e</t>
        </is>
      </c>
      <c r="G466" t="inlineStr">
        <is>
          <t>000000369</t>
        </is>
      </c>
      <c r="H466" t="inlineStr">
        <is>
          <t>GEISONCLEY MONTEIRO RAMOS DA SILVA</t>
        </is>
      </c>
      <c r="I466" t="inlineStr">
        <is>
          <t>35.964.798/0001-76</t>
        </is>
      </c>
      <c r="J466" s="29" t="n">
        <v>3800</v>
      </c>
      <c r="K466" s="29">
        <f>(1-ISNUMBER(SEARCH("556",M466)))*(O466*SUMIFS(Premissas!$C$5:$C$44,Premissas!$A$5:$A$44,$A466,Premissas!$B$5:$B$44,$B466)+P466*SUMIFS(Premissas!$D$5:$D$44,Premissas!$A$5:$A$44,$A466,Premissas!$B$5:$B$44,$B466))+R466*SUMIFS(Premissas!$E$5:$E$44,Premissas!$A$5:$A$44,$A466,Premissas!$B$5:$B$44,$B466)+S466*SUMIFS(Premissas!$F$5:$F$44,Premissas!$A$5:$A$44,$A466,Premissas!$B$5:$B$44,$B466)</f>
        <v/>
      </c>
      <c r="L466" s="29">
        <f>J466-K466</f>
        <v/>
      </c>
      <c r="M466" t="inlineStr">
        <is>
          <t>1.556</t>
        </is>
      </c>
      <c r="O466" s="29" t="n">
        <v>0</v>
      </c>
      <c r="P466" s="29" t="n">
        <v>0</v>
      </c>
      <c r="Q466" s="29" t="n">
        <v>0</v>
      </c>
      <c r="R466" s="29" t="n">
        <v>0</v>
      </c>
      <c r="S466" s="29" t="n">
        <v>0</v>
      </c>
      <c r="T466" t="inlineStr">
        <is>
          <t>25260935964798000176550010000003691800700084</t>
        </is>
      </c>
      <c r="U466" t="inlineStr">
        <is>
          <t>Sim</t>
        </is>
      </c>
    </row>
    <row r="467">
      <c r="A467" t="inlineStr">
        <is>
          <t>Uso e consumo</t>
        </is>
      </c>
      <c r="B467" t="inlineStr">
        <is>
          <t>2.01.85 Compra de Uso e Consumo</t>
        </is>
      </c>
      <c r="C467" s="30" t="n">
        <v>46266</v>
      </c>
      <c r="D467" t="inlineStr">
        <is>
          <t>Em 2026</t>
        </is>
      </c>
      <c r="E467" s="28" t="n">
        <v>46283</v>
      </c>
      <c r="F467" t="inlineStr">
        <is>
          <t>NF-e</t>
        </is>
      </c>
      <c r="G467" t="inlineStr">
        <is>
          <t>000100617</t>
        </is>
      </c>
      <c r="H467" t="inlineStr">
        <is>
          <t>GMC COMPONENTES ELETRICOS E AUTOMACAO LTDA</t>
        </is>
      </c>
      <c r="I467" t="inlineStr">
        <is>
          <t>19.594.385/0003-52</t>
        </is>
      </c>
      <c r="J467" s="29" t="n">
        <v>247.5</v>
      </c>
      <c r="K467" s="29">
        <f>(1-ISNUMBER(SEARCH("556",M467)))*(O467*SUMIFS(Premissas!$C$5:$C$44,Premissas!$A$5:$A$44,$A467,Premissas!$B$5:$B$44,$B467)+P467*SUMIFS(Premissas!$D$5:$D$44,Premissas!$A$5:$A$44,$A467,Premissas!$B$5:$B$44,$B467))+R467*SUMIFS(Premissas!$E$5:$E$44,Premissas!$A$5:$A$44,$A467,Premissas!$B$5:$B$44,$B467)+S467*SUMIFS(Premissas!$F$5:$F$44,Premissas!$A$5:$A$44,$A467,Premissas!$B$5:$B$44,$B467)</f>
        <v/>
      </c>
      <c r="L467" s="29">
        <f>J467-K467</f>
        <v/>
      </c>
      <c r="M467" t="inlineStr">
        <is>
          <t>1.556</t>
        </is>
      </c>
      <c r="O467" s="29" t="n">
        <v>0</v>
      </c>
      <c r="P467" s="29" t="n">
        <v>17.33</v>
      </c>
      <c r="Q467" s="29" t="n">
        <v>0</v>
      </c>
      <c r="R467" s="29" t="n">
        <v>1.61</v>
      </c>
      <c r="S467" s="29" t="n">
        <v>18.81</v>
      </c>
      <c r="T467" t="inlineStr">
        <is>
          <t>42260919594385000352550010001006171000359135</t>
        </is>
      </c>
      <c r="U467" t="inlineStr">
        <is>
          <t>Sim</t>
        </is>
      </c>
    </row>
    <row r="468">
      <c r="A468" t="inlineStr">
        <is>
          <t>Uso e consumo</t>
        </is>
      </c>
      <c r="B468" t="inlineStr">
        <is>
          <t>2.01.85 Compra de Uso e Consumo</t>
        </is>
      </c>
      <c r="C468" s="30" t="n">
        <v>46266</v>
      </c>
      <c r="D468" t="inlineStr">
        <is>
          <t>Em 2026</t>
        </is>
      </c>
      <c r="E468" s="28" t="n">
        <v>46279</v>
      </c>
      <c r="F468" t="inlineStr">
        <is>
          <t>NF-e</t>
        </is>
      </c>
      <c r="G468" t="inlineStr">
        <is>
          <t>000003995</t>
        </is>
      </c>
      <c r="H468" t="inlineStr">
        <is>
          <t>MARILENE CARVALHO LUCENA DE BRITO - ME</t>
        </is>
      </c>
      <c r="I468" t="inlineStr">
        <is>
          <t>14.732.438/0001-79</t>
        </is>
      </c>
      <c r="J468" s="29" t="n">
        <v>13182</v>
      </c>
      <c r="K468" s="29">
        <f>(1-ISNUMBER(SEARCH("556",M468)))*(O468*SUMIFS(Premissas!$C$5:$C$44,Premissas!$A$5:$A$44,$A468,Premissas!$B$5:$B$44,$B468)+P468*SUMIFS(Premissas!$D$5:$D$44,Premissas!$A$5:$A$44,$A468,Premissas!$B$5:$B$44,$B468))+R468*SUMIFS(Premissas!$E$5:$E$44,Premissas!$A$5:$A$44,$A468,Premissas!$B$5:$B$44,$B468)+S468*SUMIFS(Premissas!$F$5:$F$44,Premissas!$A$5:$A$44,$A468,Premissas!$B$5:$B$44,$B468)</f>
        <v/>
      </c>
      <c r="L468" s="29">
        <f>J468-K468</f>
        <v/>
      </c>
      <c r="M468" t="inlineStr">
        <is>
          <t>1.556</t>
        </is>
      </c>
      <c r="O468" s="29" t="n">
        <v>0</v>
      </c>
      <c r="P468" s="29" t="n">
        <v>0</v>
      </c>
      <c r="Q468" s="29" t="n">
        <v>0</v>
      </c>
      <c r="R468" s="29" t="n">
        <v>0</v>
      </c>
      <c r="S468" s="29" t="n">
        <v>0</v>
      </c>
      <c r="T468" t="inlineStr">
        <is>
          <t>25260914732438000179550030000039951341347514</t>
        </is>
      </c>
      <c r="U468" t="inlineStr">
        <is>
          <t>Sim</t>
        </is>
      </c>
    </row>
    <row r="469">
      <c r="A469" t="inlineStr">
        <is>
          <t>Uso e consumo</t>
        </is>
      </c>
      <c r="B469" t="inlineStr">
        <is>
          <t>2.01.85 Compra de Uso e Consumo</t>
        </is>
      </c>
      <c r="C469" s="30" t="n">
        <v>46266</v>
      </c>
      <c r="D469" t="inlineStr">
        <is>
          <t>Em 2026</t>
        </is>
      </c>
      <c r="E469" s="28" t="n">
        <v>46282</v>
      </c>
      <c r="F469" t="inlineStr">
        <is>
          <t>NF-e</t>
        </is>
      </c>
      <c r="G469" t="inlineStr">
        <is>
          <t>000223430</t>
        </is>
      </c>
      <c r="H469" t="inlineStr">
        <is>
          <t>MUNDO DAS TINTAS LTDA</t>
        </is>
      </c>
      <c r="I469" t="inlineStr">
        <is>
          <t>09.352.477/0001-00</t>
        </is>
      </c>
      <c r="J469" s="29" t="n">
        <v>1336.22</v>
      </c>
      <c r="K469" s="29">
        <f>(1-ISNUMBER(SEARCH("556",M469)))*(O469*SUMIFS(Premissas!$C$5:$C$44,Premissas!$A$5:$A$44,$A469,Premissas!$B$5:$B$44,$B469)+P469*SUMIFS(Premissas!$D$5:$D$44,Premissas!$A$5:$A$44,$A469,Premissas!$B$5:$B$44,$B469))+R469*SUMIFS(Premissas!$E$5:$E$44,Premissas!$A$5:$A$44,$A469,Premissas!$B$5:$B$44,$B469)+S469*SUMIFS(Premissas!$F$5:$F$44,Premissas!$A$5:$A$44,$A469,Premissas!$B$5:$B$44,$B469)</f>
        <v/>
      </c>
      <c r="L469" s="29">
        <f>J469-K469</f>
        <v/>
      </c>
      <c r="M469" t="inlineStr">
        <is>
          <t>1.102, 1.556</t>
        </is>
      </c>
      <c r="O469" s="29" t="n">
        <v>0</v>
      </c>
      <c r="P469" s="29" t="n">
        <v>26.95</v>
      </c>
      <c r="Q469" s="29" t="n">
        <v>0</v>
      </c>
      <c r="R469" s="29" t="n">
        <v>21.6</v>
      </c>
      <c r="S469" s="29" t="n">
        <v>99.51000000000001</v>
      </c>
      <c r="T469" t="inlineStr">
        <is>
          <t>25260909352477000100550010002234301339433089</t>
        </is>
      </c>
      <c r="U469" t="inlineStr">
        <is>
          <t>Sim</t>
        </is>
      </c>
    </row>
    <row r="470">
      <c r="A470" t="inlineStr">
        <is>
          <t>Uso e consumo</t>
        </is>
      </c>
      <c r="B470" t="inlineStr">
        <is>
          <t>2.01.85 Compra de Uso e Consumo</t>
        </is>
      </c>
      <c r="C470" s="30" t="n">
        <v>46266</v>
      </c>
      <c r="D470" t="inlineStr">
        <is>
          <t>Em 2026</t>
        </is>
      </c>
      <c r="E470" s="28" t="n">
        <v>46273</v>
      </c>
      <c r="F470" t="inlineStr">
        <is>
          <t>NF-e</t>
        </is>
      </c>
      <c r="G470" t="inlineStr">
        <is>
          <t>000252855</t>
        </is>
      </c>
      <c r="H470" t="inlineStr">
        <is>
          <t>NORDIFE MATERIAIS ELETRICOS LTDA</t>
        </is>
      </c>
      <c r="I470" t="inlineStr">
        <is>
          <t>35.589.365/0004-20</t>
        </is>
      </c>
      <c r="J470" s="29" t="n">
        <v>598</v>
      </c>
      <c r="K470" s="29">
        <f>(1-ISNUMBER(SEARCH("556",M470)))*(O470*SUMIFS(Premissas!$C$5:$C$44,Premissas!$A$5:$A$44,$A470,Premissas!$B$5:$B$44,$B470)+P470*SUMIFS(Premissas!$D$5:$D$44,Premissas!$A$5:$A$44,$A470,Premissas!$B$5:$B$44,$B470))+R470*SUMIFS(Premissas!$E$5:$E$44,Premissas!$A$5:$A$44,$A470,Premissas!$B$5:$B$44,$B470)+S470*SUMIFS(Premissas!$F$5:$F$44,Premissas!$A$5:$A$44,$A470,Premissas!$B$5:$B$44,$B470)</f>
        <v/>
      </c>
      <c r="L470" s="29">
        <f>J470-K470</f>
        <v/>
      </c>
      <c r="M470" t="inlineStr">
        <is>
          <t>1.556</t>
        </is>
      </c>
      <c r="O470" s="29" t="n">
        <v>0</v>
      </c>
      <c r="P470" s="29" t="n">
        <v>0</v>
      </c>
      <c r="Q470" s="29" t="n">
        <v>0</v>
      </c>
      <c r="R470" s="29" t="n">
        <v>3.87</v>
      </c>
      <c r="S470" s="29" t="n">
        <v>17.94</v>
      </c>
      <c r="T470" t="inlineStr">
        <is>
          <t>25260935589365000420550010002528551653864698</t>
        </is>
      </c>
      <c r="U470" t="inlineStr">
        <is>
          <t>Sim</t>
        </is>
      </c>
    </row>
    <row r="471">
      <c r="A471" t="inlineStr">
        <is>
          <t>Uso e consumo</t>
        </is>
      </c>
      <c r="B471" t="inlineStr">
        <is>
          <t>2.01.85 Compra de Uso e Consumo</t>
        </is>
      </c>
      <c r="C471" s="30" t="n">
        <v>46266</v>
      </c>
      <c r="D471" t="inlineStr">
        <is>
          <t>Em 2026</t>
        </is>
      </c>
      <c r="E471" s="28" t="n">
        <v>46276</v>
      </c>
      <c r="F471" t="inlineStr">
        <is>
          <t>NF-e</t>
        </is>
      </c>
      <c r="G471" t="inlineStr">
        <is>
          <t>000108582</t>
        </is>
      </c>
      <c r="H471" t="inlineStr">
        <is>
          <t>PERNAMBUCO DISTRIBUIDORA ATAC EPIS, INS IND e MRO LTDA</t>
        </is>
      </c>
      <c r="I471" t="inlineStr">
        <is>
          <t>02.155.469/0009-82</t>
        </is>
      </c>
      <c r="J471" s="29" t="n">
        <v>1190</v>
      </c>
      <c r="K471" s="29">
        <f>(1-ISNUMBER(SEARCH("556",M471)))*(O471*SUMIFS(Premissas!$C$5:$C$44,Premissas!$A$5:$A$44,$A471,Premissas!$B$5:$B$44,$B471)+P471*SUMIFS(Premissas!$D$5:$D$44,Premissas!$A$5:$A$44,$A471,Premissas!$B$5:$B$44,$B471))+R471*SUMIFS(Premissas!$E$5:$E$44,Premissas!$A$5:$A$44,$A471,Premissas!$B$5:$B$44,$B471)+S471*SUMIFS(Premissas!$F$5:$F$44,Premissas!$A$5:$A$44,$A471,Premissas!$B$5:$B$44,$B471)</f>
        <v/>
      </c>
      <c r="L471" s="29">
        <f>J471-K471</f>
        <v/>
      </c>
      <c r="M471" t="inlineStr">
        <is>
          <t>1.102</t>
        </is>
      </c>
      <c r="O471" s="29" t="n">
        <v>0</v>
      </c>
      <c r="P471" s="29" t="n">
        <v>238</v>
      </c>
      <c r="Q471" s="29" t="n">
        <v>0</v>
      </c>
      <c r="R471" s="29" t="n">
        <v>15.7</v>
      </c>
      <c r="S471" s="29" t="n">
        <v>72.34999999999999</v>
      </c>
      <c r="T471" t="inlineStr">
        <is>
          <t>25260902155469000982550010001085821900021090</t>
        </is>
      </c>
      <c r="U471" t="inlineStr">
        <is>
          <t>Sim</t>
        </is>
      </c>
    </row>
    <row r="472">
      <c r="A472" t="inlineStr">
        <is>
          <t>Uso e consumo</t>
        </is>
      </c>
      <c r="B472" t="inlineStr">
        <is>
          <t>2.01.85 Compra de Uso e Consumo</t>
        </is>
      </c>
      <c r="C472" s="30" t="n">
        <v>46266</v>
      </c>
      <c r="D472" t="inlineStr">
        <is>
          <t>Em 2026</t>
        </is>
      </c>
      <c r="E472" s="28" t="n">
        <v>46275</v>
      </c>
      <c r="F472" t="inlineStr">
        <is>
          <t>NF-e</t>
        </is>
      </c>
      <c r="G472" t="inlineStr">
        <is>
          <t>000269336</t>
        </is>
      </c>
      <c r="H472" t="inlineStr">
        <is>
          <t>POLIMASSA ARGAMASSAS LTDA</t>
        </is>
      </c>
      <c r="I472" t="inlineStr">
        <is>
          <t>00.850.507/0002-15</t>
        </is>
      </c>
      <c r="J472" s="29" t="n">
        <v>2052.5</v>
      </c>
      <c r="K472" s="29">
        <f>(1-ISNUMBER(SEARCH("556",M472)))*(O472*SUMIFS(Premissas!$C$5:$C$44,Premissas!$A$5:$A$44,$A472,Premissas!$B$5:$B$44,$B472)+P472*SUMIFS(Premissas!$D$5:$D$44,Premissas!$A$5:$A$44,$A472,Premissas!$B$5:$B$44,$B472))+R472*SUMIFS(Premissas!$E$5:$E$44,Premissas!$A$5:$A$44,$A472,Premissas!$B$5:$B$44,$B472)+S472*SUMIFS(Premissas!$F$5:$F$44,Premissas!$A$5:$A$44,$A472,Premissas!$B$5:$B$44,$B472)</f>
        <v/>
      </c>
      <c r="L472" s="29">
        <f>J472-K472</f>
        <v/>
      </c>
      <c r="M472" t="inlineStr">
        <is>
          <t>1.556</t>
        </is>
      </c>
      <c r="O472" s="29" t="n">
        <v>0</v>
      </c>
      <c r="P472" s="29" t="n">
        <v>0</v>
      </c>
      <c r="Q472" s="29" t="n">
        <v>0</v>
      </c>
      <c r="R472" s="29" t="n">
        <v>13.34</v>
      </c>
      <c r="S472" s="29" t="n">
        <v>61.58</v>
      </c>
      <c r="T472" t="inlineStr">
        <is>
          <t>25260900850507000215550020002693361305240300</t>
        </is>
      </c>
      <c r="U472" t="inlineStr">
        <is>
          <t>Sim</t>
        </is>
      </c>
    </row>
    <row r="473">
      <c r="A473" t="inlineStr">
        <is>
          <t>Uso e consumo</t>
        </is>
      </c>
      <c r="B473" t="inlineStr">
        <is>
          <t>2.01.85 Compra de Uso e Consumo</t>
        </is>
      </c>
      <c r="C473" s="30" t="n">
        <v>46266</v>
      </c>
      <c r="D473" t="inlineStr">
        <is>
          <t>Em 2026</t>
        </is>
      </c>
      <c r="E473" s="28" t="n">
        <v>46287</v>
      </c>
      <c r="F473" t="inlineStr">
        <is>
          <t>NF-e</t>
        </is>
      </c>
      <c r="G473" t="inlineStr">
        <is>
          <t>000269744</t>
        </is>
      </c>
      <c r="H473" t="inlineStr">
        <is>
          <t>POLIMASSA ARGAMASSAS LTDA</t>
        </is>
      </c>
      <c r="I473" t="inlineStr">
        <is>
          <t>00.850.507/0002-15</t>
        </is>
      </c>
      <c r="J473" s="29" t="n">
        <v>1957.5</v>
      </c>
      <c r="K473" s="29">
        <f>(1-ISNUMBER(SEARCH("556",M473)))*(O473*SUMIFS(Premissas!$C$5:$C$44,Premissas!$A$5:$A$44,$A473,Premissas!$B$5:$B$44,$B473)+P473*SUMIFS(Premissas!$D$5:$D$44,Premissas!$A$5:$A$44,$A473,Premissas!$B$5:$B$44,$B473))+R473*SUMIFS(Premissas!$E$5:$E$44,Premissas!$A$5:$A$44,$A473,Premissas!$B$5:$B$44,$B473)+S473*SUMIFS(Premissas!$F$5:$F$44,Premissas!$A$5:$A$44,$A473,Premissas!$B$5:$B$44,$B473)</f>
        <v/>
      </c>
      <c r="L473" s="29">
        <f>J473-K473</f>
        <v/>
      </c>
      <c r="M473" t="inlineStr">
        <is>
          <t>1.556</t>
        </is>
      </c>
      <c r="O473" s="29" t="n">
        <v>0</v>
      </c>
      <c r="P473" s="29" t="n">
        <v>0</v>
      </c>
      <c r="Q473" s="29" t="n">
        <v>0</v>
      </c>
      <c r="R473" s="29" t="n">
        <v>12.72</v>
      </c>
      <c r="S473" s="29" t="n">
        <v>58.73</v>
      </c>
      <c r="T473" t="inlineStr">
        <is>
          <t>25260900850507000215550020002697441941576546</t>
        </is>
      </c>
      <c r="U473" t="inlineStr">
        <is>
          <t>Sim</t>
        </is>
      </c>
    </row>
    <row r="474">
      <c r="A474" t="inlineStr">
        <is>
          <t>Uso e consumo</t>
        </is>
      </c>
      <c r="B474" t="inlineStr">
        <is>
          <t>2.01.85 Compra de Uso e Consumo</t>
        </is>
      </c>
      <c r="C474" s="30" t="n">
        <v>46266</v>
      </c>
      <c r="D474" t="inlineStr">
        <is>
          <t>Em 2026</t>
        </is>
      </c>
      <c r="E474" s="28" t="n">
        <v>46267</v>
      </c>
      <c r="F474" t="inlineStr">
        <is>
          <t>NF-e</t>
        </is>
      </c>
      <c r="G474" t="inlineStr">
        <is>
          <t>000003749</t>
        </is>
      </c>
      <c r="H474" t="inlineStr">
        <is>
          <t>PRESENTES ESPECIAIS LTDA</t>
        </is>
      </c>
      <c r="I474" t="inlineStr">
        <is>
          <t>11.612.564/0001-00</t>
        </is>
      </c>
      <c r="J474" s="29" t="n">
        <v>1680</v>
      </c>
      <c r="K474" s="29">
        <f>(1-ISNUMBER(SEARCH("556",M474)))*(O474*SUMIFS(Premissas!$C$5:$C$44,Premissas!$A$5:$A$44,$A474,Premissas!$B$5:$B$44,$B474)+P474*SUMIFS(Premissas!$D$5:$D$44,Premissas!$A$5:$A$44,$A474,Premissas!$B$5:$B$44,$B474))+R474*SUMIFS(Premissas!$E$5:$E$44,Premissas!$A$5:$A$44,$A474,Premissas!$B$5:$B$44,$B474)+S474*SUMIFS(Premissas!$F$5:$F$44,Premissas!$A$5:$A$44,$A474,Premissas!$B$5:$B$44,$B474)</f>
        <v/>
      </c>
      <c r="L474" s="29">
        <f>J474-K474</f>
        <v/>
      </c>
      <c r="M474" t="inlineStr">
        <is>
          <t>1.556</t>
        </is>
      </c>
      <c r="O474" s="29" t="n">
        <v>0</v>
      </c>
      <c r="P474" s="29" t="n">
        <v>0</v>
      </c>
      <c r="Q474" s="29" t="n">
        <v>0</v>
      </c>
      <c r="R474" s="29" t="n">
        <v>0</v>
      </c>
      <c r="S474" s="29" t="n">
        <v>0</v>
      </c>
      <c r="T474" t="inlineStr">
        <is>
          <t>25260911612564000100550010000037491563543350</t>
        </is>
      </c>
      <c r="U474" t="inlineStr">
        <is>
          <t>Sim</t>
        </is>
      </c>
    </row>
    <row r="475">
      <c r="A475" t="inlineStr">
        <is>
          <t>Uso e consumo</t>
        </is>
      </c>
      <c r="B475" t="inlineStr">
        <is>
          <t>2.01.85 Compra de Uso e Consumo</t>
        </is>
      </c>
      <c r="C475" s="30" t="n">
        <v>46266</v>
      </c>
      <c r="D475" t="inlineStr">
        <is>
          <t>Em 2026</t>
        </is>
      </c>
      <c r="E475" s="28" t="n">
        <v>46274</v>
      </c>
      <c r="F475" t="inlineStr">
        <is>
          <t>NF-e</t>
        </is>
      </c>
      <c r="G475" t="inlineStr">
        <is>
          <t>000154157</t>
        </is>
      </c>
      <c r="H475" t="inlineStr">
        <is>
          <t>VEMDECLICK ECOMMERCE LTDA</t>
        </is>
      </c>
      <c r="I475" t="inlineStr">
        <is>
          <t>30.794.797/0001-07</t>
        </is>
      </c>
      <c r="J475" s="29" t="n">
        <v>69.94</v>
      </c>
      <c r="K475" s="29">
        <f>(1-ISNUMBER(SEARCH("556",M475)))*(O475*SUMIFS(Premissas!$C$5:$C$44,Premissas!$A$5:$A$44,$A475,Premissas!$B$5:$B$44,$B475)+P475*SUMIFS(Premissas!$D$5:$D$44,Premissas!$A$5:$A$44,$A475,Premissas!$B$5:$B$44,$B475))+R475*SUMIFS(Premissas!$E$5:$E$44,Premissas!$A$5:$A$44,$A475,Premissas!$B$5:$B$44,$B475)+S475*SUMIFS(Premissas!$F$5:$F$44,Premissas!$A$5:$A$44,$A475,Premissas!$B$5:$B$44,$B475)</f>
        <v/>
      </c>
      <c r="L475" s="29">
        <f>J475-K475</f>
        <v/>
      </c>
      <c r="M475" t="inlineStr">
        <is>
          <t>2.556</t>
        </is>
      </c>
      <c r="O475" s="29" t="n">
        <v>0</v>
      </c>
      <c r="P475" s="29" t="n">
        <v>2.8</v>
      </c>
      <c r="Q475" s="29" t="n">
        <v>0</v>
      </c>
      <c r="R475" s="29" t="n">
        <v>1.11</v>
      </c>
      <c r="S475" s="29" t="n">
        <v>5.1</v>
      </c>
      <c r="T475" t="inlineStr">
        <is>
          <t>35260930794797000107550010001541571753665130</t>
        </is>
      </c>
      <c r="U475" t="inlineStr">
        <is>
          <t>Sim</t>
        </is>
      </c>
    </row>
    <row r="476">
      <c r="A476" t="inlineStr">
        <is>
          <t>Uso e consumo</t>
        </is>
      </c>
      <c r="B476" t="inlineStr">
        <is>
          <t>2.01.87 Compra de Peças de Máquinas</t>
        </is>
      </c>
      <c r="C476" t="inlineStr">
        <is>
          <t>Antes de 2026</t>
        </is>
      </c>
      <c r="D476" t="inlineStr">
        <is>
          <t>Antes de 2026</t>
        </is>
      </c>
      <c r="E476" s="28" t="n">
        <v>46007</v>
      </c>
      <c r="F476" t="inlineStr">
        <is>
          <t>NF-e</t>
        </is>
      </c>
      <c r="G476" t="inlineStr">
        <is>
          <t>000018716</t>
        </is>
      </c>
      <c r="H476" t="inlineStr">
        <is>
          <t>B. B. A. INDUSTRIA E COMERCIO IMPORTACAO E EXPORTACAO LTDA</t>
        </is>
      </c>
      <c r="I476" t="inlineStr">
        <is>
          <t>25.247.287/0003-41</t>
        </is>
      </c>
      <c r="J476" s="29" t="n">
        <v>3581.7</v>
      </c>
      <c r="K476" s="29">
        <f>(1-ISNUMBER(SEARCH("556",M476)))*(O476*SUMIFS(Premissas!$C$5:$C$44,Premissas!$A$5:$A$44,$A476,Premissas!$B$5:$B$44,$B476)+P476*SUMIFS(Premissas!$D$5:$D$44,Premissas!$A$5:$A$44,$A476,Premissas!$B$5:$B$44,$B476))+R476*SUMIFS(Premissas!$E$5:$E$44,Premissas!$A$5:$A$44,$A476,Premissas!$B$5:$B$44,$B476)+S476*SUMIFS(Premissas!$F$5:$F$44,Premissas!$A$5:$A$44,$A476,Premissas!$B$5:$B$44,$B476)</f>
        <v/>
      </c>
      <c r="L476" s="29">
        <f>J476-K476</f>
        <v/>
      </c>
      <c r="M476" t="inlineStr">
        <is>
          <t>2.102</t>
        </is>
      </c>
      <c r="O476" s="29" t="n">
        <v>0</v>
      </c>
      <c r="P476" s="29" t="n">
        <v>143.27</v>
      </c>
      <c r="Q476" s="29" t="n">
        <v>0</v>
      </c>
      <c r="R476" s="29" t="n">
        <v>55.21</v>
      </c>
      <c r="S476" s="29" t="n">
        <v>254.32</v>
      </c>
      <c r="T476" t="inlineStr">
        <is>
          <t>35251225247287000341550010000187161430762800</t>
        </is>
      </c>
      <c r="U476" t="inlineStr">
        <is>
          <t>Sim</t>
        </is>
      </c>
    </row>
    <row r="477">
      <c r="A477" t="inlineStr">
        <is>
          <t>Uso e consumo</t>
        </is>
      </c>
      <c r="B477" t="inlineStr">
        <is>
          <t>2.01.87 Compra de Peças de Máquinas</t>
        </is>
      </c>
      <c r="C477" t="inlineStr">
        <is>
          <t>Antes de 2026</t>
        </is>
      </c>
      <c r="D477" t="inlineStr">
        <is>
          <t>Antes de 2026</t>
        </is>
      </c>
      <c r="E477" s="28" t="n">
        <v>46014</v>
      </c>
      <c r="F477" t="inlineStr">
        <is>
          <t>NF-e</t>
        </is>
      </c>
      <c r="G477" t="inlineStr">
        <is>
          <t>000012811</t>
        </is>
      </c>
      <c r="H477" t="inlineStr">
        <is>
          <t>EDNA DE ARAUJO PACHECO LTDA</t>
        </is>
      </c>
      <c r="I477" t="inlineStr">
        <is>
          <t>17.433.873/0001-90</t>
        </is>
      </c>
      <c r="J477" s="29" t="n">
        <v>65.5</v>
      </c>
      <c r="K477" s="29">
        <f>(1-ISNUMBER(SEARCH("556",M477)))*(O477*SUMIFS(Premissas!$C$5:$C$44,Premissas!$A$5:$A$44,$A477,Premissas!$B$5:$B$44,$B477)+P477*SUMIFS(Premissas!$D$5:$D$44,Premissas!$A$5:$A$44,$A477,Premissas!$B$5:$B$44,$B477))+R477*SUMIFS(Premissas!$E$5:$E$44,Premissas!$A$5:$A$44,$A477,Premissas!$B$5:$B$44,$B477)+S477*SUMIFS(Premissas!$F$5:$F$44,Premissas!$A$5:$A$44,$A477,Premissas!$B$5:$B$44,$B477)</f>
        <v/>
      </c>
      <c r="L477" s="29">
        <f>J477-K477</f>
        <v/>
      </c>
      <c r="M477" t="inlineStr">
        <is>
          <t>1.102, 1.403</t>
        </is>
      </c>
      <c r="O477" s="29" t="n">
        <v>0</v>
      </c>
      <c r="P477" s="29" t="n">
        <v>0</v>
      </c>
      <c r="Q477" s="29" t="n">
        <v>0</v>
      </c>
      <c r="R477" s="29" t="n">
        <v>0</v>
      </c>
      <c r="S477" s="29" t="n">
        <v>0</v>
      </c>
      <c r="T477" t="inlineStr">
        <is>
          <t>25251217433873000190550010000128111016664010</t>
        </is>
      </c>
      <c r="U477" t="inlineStr">
        <is>
          <t>Sim</t>
        </is>
      </c>
    </row>
    <row r="478">
      <c r="A478" t="inlineStr">
        <is>
          <t>Uso e consumo</t>
        </is>
      </c>
      <c r="B478" t="inlineStr">
        <is>
          <t>2.01.87 Compra de Peças de Máquinas</t>
        </is>
      </c>
      <c r="C478" t="inlineStr">
        <is>
          <t>Antes de 2026</t>
        </is>
      </c>
      <c r="D478" t="inlineStr">
        <is>
          <t>Antes de 2026</t>
        </is>
      </c>
      <c r="E478" s="28" t="n">
        <v>46014</v>
      </c>
      <c r="F478" t="inlineStr">
        <is>
          <t>NF-e</t>
        </is>
      </c>
      <c r="G478" t="inlineStr">
        <is>
          <t>000071597</t>
        </is>
      </c>
      <c r="H478" t="inlineStr">
        <is>
          <t>TECFAG COMERCIO E IMPORTACAO DE MAQUINAS LTDA</t>
        </is>
      </c>
      <c r="I478" t="inlineStr">
        <is>
          <t>14.050.364/0001-90</t>
        </is>
      </c>
      <c r="J478" s="29" t="n">
        <v>498.88</v>
      </c>
      <c r="K478" s="29">
        <f>(1-ISNUMBER(SEARCH("556",M478)))*(O478*SUMIFS(Premissas!$C$5:$C$44,Premissas!$A$5:$A$44,$A478,Premissas!$B$5:$B$44,$B478)+P478*SUMIFS(Premissas!$D$5:$D$44,Premissas!$A$5:$A$44,$A478,Premissas!$B$5:$B$44,$B478))+R478*SUMIFS(Premissas!$E$5:$E$44,Premissas!$A$5:$A$44,$A478,Premissas!$B$5:$B$44,$B478)+S478*SUMIFS(Premissas!$F$5:$F$44,Premissas!$A$5:$A$44,$A478,Premissas!$B$5:$B$44,$B478)</f>
        <v/>
      </c>
      <c r="L478" s="29">
        <f>J478-K478</f>
        <v/>
      </c>
      <c r="M478" t="inlineStr">
        <is>
          <t>2.102</t>
        </is>
      </c>
      <c r="O478" s="29" t="n">
        <v>0</v>
      </c>
      <c r="P478" s="29" t="n">
        <v>19.96</v>
      </c>
      <c r="Q478" s="29" t="n">
        <v>0</v>
      </c>
      <c r="R478" s="29" t="n">
        <v>3.24</v>
      </c>
      <c r="S478" s="29" t="n">
        <v>14.97</v>
      </c>
      <c r="T478" t="inlineStr">
        <is>
          <t>35251214050364000190550010000715971895101109</t>
        </is>
      </c>
      <c r="U478" t="inlineStr">
        <is>
          <t>Sim</t>
        </is>
      </c>
    </row>
    <row r="479">
      <c r="A479" t="inlineStr">
        <is>
          <t>Uso e consumo</t>
        </is>
      </c>
      <c r="B479" t="inlineStr">
        <is>
          <t>2.01.87 Compra de Peças de Máquinas</t>
        </is>
      </c>
      <c r="C479" t="inlineStr">
        <is>
          <t>Antes de 2026</t>
        </is>
      </c>
      <c r="D479" t="inlineStr">
        <is>
          <t>Antes de 2026</t>
        </is>
      </c>
      <c r="E479" s="28" t="n">
        <v>46007</v>
      </c>
      <c r="F479" t="inlineStr">
        <is>
          <t>NF-e</t>
        </is>
      </c>
      <c r="G479" t="inlineStr">
        <is>
          <t>000098696</t>
        </is>
      </c>
      <c r="H479" t="inlineStr">
        <is>
          <t>TROPICAL IMPORT IND COM IMP AQUARIO LTDA</t>
        </is>
      </c>
      <c r="I479" t="inlineStr">
        <is>
          <t>12.152.638/0001-27</t>
        </is>
      </c>
      <c r="J479" s="29" t="n">
        <v>1625</v>
      </c>
      <c r="K479" s="29">
        <f>(1-ISNUMBER(SEARCH("556",M479)))*(O479*SUMIFS(Premissas!$C$5:$C$44,Premissas!$A$5:$A$44,$A479,Premissas!$B$5:$B$44,$B479)+P479*SUMIFS(Premissas!$D$5:$D$44,Premissas!$A$5:$A$44,$A479,Premissas!$B$5:$B$44,$B479))+R479*SUMIFS(Premissas!$E$5:$E$44,Premissas!$A$5:$A$44,$A479,Premissas!$B$5:$B$44,$B479)+S479*SUMIFS(Premissas!$F$5:$F$44,Premissas!$A$5:$A$44,$A479,Premissas!$B$5:$B$44,$B479)</f>
        <v/>
      </c>
      <c r="L479" s="29">
        <f>J479-K479</f>
        <v/>
      </c>
      <c r="M479" t="inlineStr">
        <is>
          <t>2.102</t>
        </is>
      </c>
      <c r="O479" s="29" t="n">
        <v>0</v>
      </c>
      <c r="P479" s="29" t="n">
        <v>65</v>
      </c>
      <c r="Q479" s="29" t="n">
        <v>0</v>
      </c>
      <c r="R479" s="29" t="n">
        <v>10.14</v>
      </c>
      <c r="S479" s="29" t="n">
        <v>46.8</v>
      </c>
      <c r="T479" t="inlineStr">
        <is>
          <t>43251212152638000127550010000986961001519140</t>
        </is>
      </c>
      <c r="U479" t="inlineStr">
        <is>
          <t>Sim</t>
        </is>
      </c>
    </row>
    <row r="480">
      <c r="A480" t="inlineStr">
        <is>
          <t>Uso e consumo</t>
        </is>
      </c>
      <c r="B480" t="inlineStr">
        <is>
          <t>2.01.87 Compra de Peças de Máquinas</t>
        </is>
      </c>
      <c r="C480" s="30" t="n">
        <v>46023</v>
      </c>
      <c r="D480" t="inlineStr">
        <is>
          <t>Em 2026</t>
        </is>
      </c>
      <c r="E480" s="28" t="n">
        <v>46051</v>
      </c>
      <c r="F480" t="inlineStr">
        <is>
          <t>NF-e</t>
        </is>
      </c>
      <c r="G480" t="inlineStr">
        <is>
          <t>000154852</t>
        </is>
      </c>
      <c r="H480" t="inlineStr">
        <is>
          <t>Beltex Ind. e Com. de Correias Ltda.</t>
        </is>
      </c>
      <c r="I480" t="inlineStr">
        <is>
          <t>82.317.900/0001-21</t>
        </is>
      </c>
      <c r="J480" s="29" t="n">
        <v>3144.63</v>
      </c>
      <c r="K480" s="29">
        <f>(1-ISNUMBER(SEARCH("556",M480)))*(O480*SUMIFS(Premissas!$C$5:$C$44,Premissas!$A$5:$A$44,$A480,Premissas!$B$5:$B$44,$B480)+P480*SUMIFS(Premissas!$D$5:$D$44,Premissas!$A$5:$A$44,$A480,Premissas!$B$5:$B$44,$B480))+R480*SUMIFS(Premissas!$E$5:$E$44,Premissas!$A$5:$A$44,$A480,Premissas!$B$5:$B$44,$B480)+S480*SUMIFS(Premissas!$F$5:$F$44,Premissas!$A$5:$A$44,$A480,Premissas!$B$5:$B$44,$B480)</f>
        <v/>
      </c>
      <c r="L480" s="29">
        <f>J480-K480</f>
        <v/>
      </c>
      <c r="M480" t="inlineStr">
        <is>
          <t>2.102</t>
        </is>
      </c>
      <c r="O480" s="29" t="n">
        <v>173.62</v>
      </c>
      <c r="P480" s="29" t="n">
        <v>211.12</v>
      </c>
      <c r="Q480" s="29" t="n">
        <v>0</v>
      </c>
      <c r="R480" s="29" t="n">
        <v>17.94</v>
      </c>
      <c r="S480" s="29" t="n">
        <v>82.8</v>
      </c>
      <c r="T480" t="inlineStr">
        <is>
          <t>41260182317900000121550010001548521011607388</t>
        </is>
      </c>
      <c r="U480" t="inlineStr">
        <is>
          <t>Sim</t>
        </is>
      </c>
    </row>
    <row r="481">
      <c r="A481" t="inlineStr">
        <is>
          <t>Uso e consumo</t>
        </is>
      </c>
      <c r="B481" t="inlineStr">
        <is>
          <t>2.01.87 Compra de Peças de Máquinas</t>
        </is>
      </c>
      <c r="C481" s="30" t="n">
        <v>46023</v>
      </c>
      <c r="D481" t="inlineStr">
        <is>
          <t>Em 2026</t>
        </is>
      </c>
      <c r="E481" s="28" t="n">
        <v>46031</v>
      </c>
      <c r="F481" t="inlineStr">
        <is>
          <t>NF-e</t>
        </is>
      </c>
      <c r="G481" t="inlineStr">
        <is>
          <t>000027856</t>
        </is>
      </c>
      <c r="H481" t="inlineStr">
        <is>
          <t>CASA DOS PARAFUSOS COMERCIO DE FERRAGENS E FERRAMENTAS LTDA</t>
        </is>
      </c>
      <c r="I481" t="inlineStr">
        <is>
          <t>27.547.665/0001-76</t>
        </is>
      </c>
      <c r="J481" s="29" t="n">
        <v>216.36</v>
      </c>
      <c r="K481" s="29">
        <f>(1-ISNUMBER(SEARCH("556",M481)))*(O481*SUMIFS(Premissas!$C$5:$C$44,Premissas!$A$5:$A$44,$A481,Premissas!$B$5:$B$44,$B481)+P481*SUMIFS(Premissas!$D$5:$D$44,Premissas!$A$5:$A$44,$A481,Premissas!$B$5:$B$44,$B481))+R481*SUMIFS(Premissas!$E$5:$E$44,Premissas!$A$5:$A$44,$A481,Premissas!$B$5:$B$44,$B481)+S481*SUMIFS(Premissas!$F$5:$F$44,Premissas!$A$5:$A$44,$A481,Premissas!$B$5:$B$44,$B481)</f>
        <v/>
      </c>
      <c r="L481" s="29">
        <f>J481-K481</f>
        <v/>
      </c>
      <c r="M481" t="inlineStr">
        <is>
          <t>1.403</t>
        </is>
      </c>
      <c r="O481" s="29" t="n">
        <v>0</v>
      </c>
      <c r="P481" s="29" t="n">
        <v>0</v>
      </c>
      <c r="Q481" s="29" t="n">
        <v>0</v>
      </c>
      <c r="R481" s="29" t="n">
        <v>1.4</v>
      </c>
      <c r="S481" s="29" t="n">
        <v>6.49</v>
      </c>
      <c r="T481" t="inlineStr">
        <is>
          <t>25260127547665000176550010000278561000445046</t>
        </is>
      </c>
      <c r="U481" t="inlineStr">
        <is>
          <t>Sim</t>
        </is>
      </c>
    </row>
    <row r="482">
      <c r="A482" t="inlineStr">
        <is>
          <t>Uso e consumo</t>
        </is>
      </c>
      <c r="B482" t="inlineStr">
        <is>
          <t>2.01.87 Compra de Peças de Máquinas</t>
        </is>
      </c>
      <c r="C482" s="30" t="n">
        <v>46023</v>
      </c>
      <c r="D482" t="inlineStr">
        <is>
          <t>Em 2026</t>
        </is>
      </c>
      <c r="E482" s="28" t="n">
        <v>46031</v>
      </c>
      <c r="F482" t="inlineStr">
        <is>
          <t>NF-e</t>
        </is>
      </c>
      <c r="G482" t="inlineStr">
        <is>
          <t>000012877</t>
        </is>
      </c>
      <c r="H482" t="inlineStr">
        <is>
          <t>EDNA DE ARAUJO PACHECO LTDA</t>
        </is>
      </c>
      <c r="I482" t="inlineStr">
        <is>
          <t>17.433.873/0001-90</t>
        </is>
      </c>
      <c r="J482" s="29" t="n">
        <v>1342.4</v>
      </c>
      <c r="K482" s="29">
        <f>(1-ISNUMBER(SEARCH("556",M482)))*(O482*SUMIFS(Premissas!$C$5:$C$44,Premissas!$A$5:$A$44,$A482,Premissas!$B$5:$B$44,$B482)+P482*SUMIFS(Premissas!$D$5:$D$44,Premissas!$A$5:$A$44,$A482,Premissas!$B$5:$B$44,$B482))+R482*SUMIFS(Premissas!$E$5:$E$44,Premissas!$A$5:$A$44,$A482,Premissas!$B$5:$B$44,$B482)+S482*SUMIFS(Premissas!$F$5:$F$44,Premissas!$A$5:$A$44,$A482,Premissas!$B$5:$B$44,$B482)</f>
        <v/>
      </c>
      <c r="L482" s="29">
        <f>J482-K482</f>
        <v/>
      </c>
      <c r="M482" t="inlineStr">
        <is>
          <t>1.102, 1.403</t>
        </is>
      </c>
      <c r="O482" s="29" t="n">
        <v>0</v>
      </c>
      <c r="P482" s="29" t="n">
        <v>0</v>
      </c>
      <c r="Q482" s="29" t="n">
        <v>0</v>
      </c>
      <c r="R482" s="29" t="n">
        <v>0</v>
      </c>
      <c r="S482" s="29" t="n">
        <v>0</v>
      </c>
      <c r="T482" t="inlineStr">
        <is>
          <t>25260117433873000190550010000128771016664017</t>
        </is>
      </c>
      <c r="U482" t="inlineStr">
        <is>
          <t>Sim</t>
        </is>
      </c>
    </row>
    <row r="483">
      <c r="A483" t="inlineStr">
        <is>
          <t>Uso e consumo</t>
        </is>
      </c>
      <c r="B483" t="inlineStr">
        <is>
          <t>2.01.87 Compra de Peças de Máquinas</t>
        </is>
      </c>
      <c r="C483" s="30" t="n">
        <v>46023</v>
      </c>
      <c r="D483" t="inlineStr">
        <is>
          <t>Em 2026</t>
        </is>
      </c>
      <c r="E483" s="28" t="n">
        <v>46050</v>
      </c>
      <c r="F483" t="inlineStr">
        <is>
          <t>NF-e</t>
        </is>
      </c>
      <c r="G483" t="inlineStr">
        <is>
          <t>000013056</t>
        </is>
      </c>
      <c r="H483" t="inlineStr">
        <is>
          <t>EDNA DE ARAUJO PACHECO LTDA</t>
        </is>
      </c>
      <c r="I483" t="inlineStr">
        <is>
          <t>17.433.873/0001-90</t>
        </is>
      </c>
      <c r="J483" s="29" t="n">
        <v>230.76</v>
      </c>
      <c r="K483" s="29">
        <f>(1-ISNUMBER(SEARCH("556",M483)))*(O483*SUMIFS(Premissas!$C$5:$C$44,Premissas!$A$5:$A$44,$A483,Premissas!$B$5:$B$44,$B483)+P483*SUMIFS(Premissas!$D$5:$D$44,Premissas!$A$5:$A$44,$A483,Premissas!$B$5:$B$44,$B483))+R483*SUMIFS(Premissas!$E$5:$E$44,Premissas!$A$5:$A$44,$A483,Premissas!$B$5:$B$44,$B483)+S483*SUMIFS(Premissas!$F$5:$F$44,Premissas!$A$5:$A$44,$A483,Premissas!$B$5:$B$44,$B483)</f>
        <v/>
      </c>
      <c r="L483" s="29">
        <f>J483-K483</f>
        <v/>
      </c>
      <c r="M483" t="inlineStr">
        <is>
          <t>1.102</t>
        </is>
      </c>
      <c r="O483" s="29" t="n">
        <v>0</v>
      </c>
      <c r="P483" s="29" t="n">
        <v>0</v>
      </c>
      <c r="Q483" s="29" t="n">
        <v>0</v>
      </c>
      <c r="R483" s="29" t="n">
        <v>0</v>
      </c>
      <c r="S483" s="29" t="n">
        <v>0</v>
      </c>
      <c r="T483" t="inlineStr">
        <is>
          <t>25260117433873000190550010000130561016664018</t>
        </is>
      </c>
      <c r="U483" t="inlineStr">
        <is>
          <t>Sim</t>
        </is>
      </c>
    </row>
    <row r="484">
      <c r="A484" t="inlineStr">
        <is>
          <t>Uso e consumo</t>
        </is>
      </c>
      <c r="B484" t="inlineStr">
        <is>
          <t>2.01.87 Compra de Peças de Máquinas</t>
        </is>
      </c>
      <c r="C484" s="30" t="n">
        <v>46023</v>
      </c>
      <c r="D484" t="inlineStr">
        <is>
          <t>Em 2026</t>
        </is>
      </c>
      <c r="E484" s="28" t="n">
        <v>46049</v>
      </c>
      <c r="F484" t="inlineStr">
        <is>
          <t>NF-e</t>
        </is>
      </c>
      <c r="G484" t="inlineStr">
        <is>
          <t>000101207</t>
        </is>
      </c>
      <c r="H484" t="inlineStr">
        <is>
          <t>FERGE COMERCIO DE PRODUTOS INDUSTRIAIS LTDA</t>
        </is>
      </c>
      <c r="I484" t="inlineStr">
        <is>
          <t>09.057.961/0001-07</t>
        </is>
      </c>
      <c r="J484" s="29" t="n">
        <v>615</v>
      </c>
      <c r="K484" s="29">
        <f>(1-ISNUMBER(SEARCH("556",M484)))*(O484*SUMIFS(Premissas!$C$5:$C$44,Premissas!$A$5:$A$44,$A484,Premissas!$B$5:$B$44,$B484)+P484*SUMIFS(Premissas!$D$5:$D$44,Premissas!$A$5:$A$44,$A484,Premissas!$B$5:$B$44,$B484))+R484*SUMIFS(Premissas!$E$5:$E$44,Premissas!$A$5:$A$44,$A484,Premissas!$B$5:$B$44,$B484)+S484*SUMIFS(Premissas!$F$5:$F$44,Premissas!$A$5:$A$44,$A484,Premissas!$B$5:$B$44,$B484)</f>
        <v/>
      </c>
      <c r="L484" s="29">
        <f>J484-K484</f>
        <v/>
      </c>
      <c r="M484" t="inlineStr">
        <is>
          <t>1.102</t>
        </is>
      </c>
      <c r="O484" s="29" t="n">
        <v>0</v>
      </c>
      <c r="P484" s="29" t="n">
        <v>123</v>
      </c>
      <c r="Q484" s="29" t="n">
        <v>0</v>
      </c>
      <c r="R484" s="29" t="n">
        <v>0</v>
      </c>
      <c r="S484" s="29" t="n">
        <v>0</v>
      </c>
      <c r="T484" t="inlineStr">
        <is>
          <t>25260109057961000107550010001012071486189575</t>
        </is>
      </c>
      <c r="U484" t="inlineStr">
        <is>
          <t>Sim</t>
        </is>
      </c>
    </row>
    <row r="485">
      <c r="A485" t="inlineStr">
        <is>
          <t>Uso e consumo</t>
        </is>
      </c>
      <c r="B485" t="inlineStr">
        <is>
          <t>2.01.87 Compra de Peças de Máquinas</t>
        </is>
      </c>
      <c r="C485" s="30" t="n">
        <v>46023</v>
      </c>
      <c r="D485" t="inlineStr">
        <is>
          <t>Em 2026</t>
        </is>
      </c>
      <c r="E485" s="28" t="n">
        <v>46050</v>
      </c>
      <c r="F485" t="inlineStr">
        <is>
          <t>NF-e</t>
        </is>
      </c>
      <c r="G485" t="inlineStr">
        <is>
          <t>000071052</t>
        </is>
      </c>
      <c r="H485" t="inlineStr">
        <is>
          <t>FURNAX COMERCIAL E IMPORTADORA EIRELI</t>
        </is>
      </c>
      <c r="I485" t="inlineStr">
        <is>
          <t>00.144.257/0001-17</t>
        </is>
      </c>
      <c r="J485" s="29" t="n">
        <v>956.85</v>
      </c>
      <c r="K485" s="29">
        <f>(1-ISNUMBER(SEARCH("556",M485)))*(O485*SUMIFS(Premissas!$C$5:$C$44,Premissas!$A$5:$A$44,$A485,Premissas!$B$5:$B$44,$B485)+P485*SUMIFS(Premissas!$D$5:$D$44,Premissas!$A$5:$A$44,$A485,Premissas!$B$5:$B$44,$B485))+R485*SUMIFS(Premissas!$E$5:$E$44,Premissas!$A$5:$A$44,$A485,Premissas!$B$5:$B$44,$B485)+S485*SUMIFS(Premissas!$F$5:$F$44,Premissas!$A$5:$A$44,$A485,Premissas!$B$5:$B$44,$B485)</f>
        <v/>
      </c>
      <c r="L485" s="29">
        <f>J485-K485</f>
        <v/>
      </c>
      <c r="M485" t="inlineStr">
        <is>
          <t>2.102</t>
        </is>
      </c>
      <c r="O485" s="29" t="n">
        <v>37.7</v>
      </c>
      <c r="P485" s="29" t="n">
        <v>50.37</v>
      </c>
      <c r="Q485" s="29" t="n">
        <v>0</v>
      </c>
      <c r="R485" s="29" t="n">
        <v>14.33</v>
      </c>
      <c r="S485" s="29" t="n">
        <v>66.03</v>
      </c>
      <c r="T485" t="inlineStr">
        <is>
          <t>35260100144257000117550010000710521856570395</t>
        </is>
      </c>
      <c r="U485" t="inlineStr">
        <is>
          <t>Sim</t>
        </is>
      </c>
    </row>
    <row r="486">
      <c r="A486" t="inlineStr">
        <is>
          <t>Uso e consumo</t>
        </is>
      </c>
      <c r="B486" t="inlineStr">
        <is>
          <t>2.01.87 Compra de Peças de Máquinas</t>
        </is>
      </c>
      <c r="C486" s="30" t="n">
        <v>46023</v>
      </c>
      <c r="D486" t="inlineStr">
        <is>
          <t>Em 2026</t>
        </is>
      </c>
      <c r="E486" s="28" t="n">
        <v>46028</v>
      </c>
      <c r="F486" t="inlineStr">
        <is>
          <t>NF-e</t>
        </is>
      </c>
      <c r="G486" t="inlineStr">
        <is>
          <t>000005330</t>
        </is>
      </c>
      <c r="H486" t="inlineStr">
        <is>
          <t>GF COMERCIO DE PRODUTOS INDUSTRIAIS LTDA</t>
        </is>
      </c>
      <c r="I486" t="inlineStr">
        <is>
          <t>35.721.163/0001-48</t>
        </is>
      </c>
      <c r="J486" s="29" t="n">
        <v>220</v>
      </c>
      <c r="K486" s="29">
        <f>(1-ISNUMBER(SEARCH("556",M486)))*(O486*SUMIFS(Premissas!$C$5:$C$44,Premissas!$A$5:$A$44,$A486,Premissas!$B$5:$B$44,$B486)+P486*SUMIFS(Premissas!$D$5:$D$44,Premissas!$A$5:$A$44,$A486,Premissas!$B$5:$B$44,$B486))+R486*SUMIFS(Premissas!$E$5:$E$44,Premissas!$A$5:$A$44,$A486,Premissas!$B$5:$B$44,$B486)+S486*SUMIFS(Premissas!$F$5:$F$44,Premissas!$A$5:$A$44,$A486,Premissas!$B$5:$B$44,$B486)</f>
        <v/>
      </c>
      <c r="L486" s="29">
        <f>J486-K486</f>
        <v/>
      </c>
      <c r="M486" t="inlineStr">
        <is>
          <t>1.102</t>
        </is>
      </c>
      <c r="O486" s="29" t="n">
        <v>0</v>
      </c>
      <c r="P486" s="29" t="n">
        <v>0</v>
      </c>
      <c r="Q486" s="29" t="n">
        <v>0</v>
      </c>
      <c r="R486" s="29" t="n">
        <v>0</v>
      </c>
      <c r="S486" s="29" t="n">
        <v>0</v>
      </c>
      <c r="T486" t="inlineStr">
        <is>
          <t>25260135721163000148550000000053301016664019</t>
        </is>
      </c>
      <c r="U486" t="inlineStr">
        <is>
          <t>Sim</t>
        </is>
      </c>
    </row>
    <row r="487">
      <c r="A487" t="inlineStr">
        <is>
          <t>Uso e consumo</t>
        </is>
      </c>
      <c r="B487" t="inlineStr">
        <is>
          <t>2.01.87 Compra de Peças de Máquinas</t>
        </is>
      </c>
      <c r="C487" s="30" t="n">
        <v>46023</v>
      </c>
      <c r="D487" t="inlineStr">
        <is>
          <t>Em 2026</t>
        </is>
      </c>
      <c r="E487" s="28" t="n">
        <v>46042</v>
      </c>
      <c r="F487" t="inlineStr">
        <is>
          <t>NF-e</t>
        </is>
      </c>
      <c r="G487" t="inlineStr">
        <is>
          <t>000000306</t>
        </is>
      </c>
      <c r="H487" t="inlineStr">
        <is>
          <t>GOLDEN FIX PECAS E SERVICOS LTDA</t>
        </is>
      </c>
      <c r="I487" t="inlineStr">
        <is>
          <t>02.911.466/0001-74</t>
        </is>
      </c>
      <c r="J487" s="29" t="n">
        <v>561.2</v>
      </c>
      <c r="K487" s="29">
        <f>(1-ISNUMBER(SEARCH("556",M487)))*(O487*SUMIFS(Premissas!$C$5:$C$44,Premissas!$A$5:$A$44,$A487,Premissas!$B$5:$B$44,$B487)+P487*SUMIFS(Premissas!$D$5:$D$44,Premissas!$A$5:$A$44,$A487,Premissas!$B$5:$B$44,$B487))+R487*SUMIFS(Premissas!$E$5:$E$44,Premissas!$A$5:$A$44,$A487,Premissas!$B$5:$B$44,$B487)+S487*SUMIFS(Premissas!$F$5:$F$44,Premissas!$A$5:$A$44,$A487,Premissas!$B$5:$B$44,$B487)</f>
        <v/>
      </c>
      <c r="L487" s="29">
        <f>J487-K487</f>
        <v/>
      </c>
      <c r="M487" t="inlineStr">
        <is>
          <t>2.102</t>
        </is>
      </c>
      <c r="O487" s="29" t="n">
        <v>0</v>
      </c>
      <c r="P487" s="29" t="n">
        <v>0</v>
      </c>
      <c r="Q487" s="29" t="n">
        <v>0</v>
      </c>
      <c r="R487" s="29" t="n">
        <v>0</v>
      </c>
      <c r="S487" s="29" t="n">
        <v>0</v>
      </c>
      <c r="T487" t="inlineStr">
        <is>
          <t>41260102911466000174550030000003061734450617</t>
        </is>
      </c>
      <c r="U487" t="inlineStr">
        <is>
          <t>Sim</t>
        </is>
      </c>
    </row>
    <row r="488">
      <c r="A488" t="inlineStr">
        <is>
          <t>Uso e consumo</t>
        </is>
      </c>
      <c r="B488" t="inlineStr">
        <is>
          <t>2.01.87 Compra de Peças de Máquinas</t>
        </is>
      </c>
      <c r="C488" s="30" t="n">
        <v>46023</v>
      </c>
      <c r="D488" t="inlineStr">
        <is>
          <t>Em 2026</t>
        </is>
      </c>
      <c r="E488" s="28" t="n">
        <v>46035</v>
      </c>
      <c r="F488" t="inlineStr">
        <is>
          <t>NF-e</t>
        </is>
      </c>
      <c r="G488" t="inlineStr">
        <is>
          <t>000240266</t>
        </is>
      </c>
      <c r="H488" t="inlineStr">
        <is>
          <t>NORDIFE MATERIAIS ELETRICOS LTDA</t>
        </is>
      </c>
      <c r="I488" t="inlineStr">
        <is>
          <t>35.589.365/0004-20</t>
        </is>
      </c>
      <c r="J488" s="29" t="n">
        <v>141.52</v>
      </c>
      <c r="K488" s="29">
        <f>(1-ISNUMBER(SEARCH("556",M488)))*(O488*SUMIFS(Premissas!$C$5:$C$44,Premissas!$A$5:$A$44,$A488,Premissas!$B$5:$B$44,$B488)+P488*SUMIFS(Premissas!$D$5:$D$44,Premissas!$A$5:$A$44,$A488,Premissas!$B$5:$B$44,$B488))+R488*SUMIFS(Premissas!$E$5:$E$44,Premissas!$A$5:$A$44,$A488,Premissas!$B$5:$B$44,$B488)+S488*SUMIFS(Premissas!$F$5:$F$44,Premissas!$A$5:$A$44,$A488,Premissas!$B$5:$B$44,$B488)</f>
        <v/>
      </c>
      <c r="L488" s="29">
        <f>J488-K488</f>
        <v/>
      </c>
      <c r="M488" t="inlineStr">
        <is>
          <t>1.403</t>
        </is>
      </c>
      <c r="O488" s="29" t="n">
        <v>0</v>
      </c>
      <c r="P488" s="29" t="n">
        <v>0</v>
      </c>
      <c r="Q488" s="29" t="n">
        <v>0</v>
      </c>
      <c r="R488" s="29" t="n">
        <v>0.92</v>
      </c>
      <c r="S488" s="29" t="n">
        <v>4.25</v>
      </c>
      <c r="T488" t="inlineStr">
        <is>
          <t>25260135589365000420550010002402661938703802</t>
        </is>
      </c>
      <c r="U488" t="inlineStr">
        <is>
          <t>Sim</t>
        </is>
      </c>
    </row>
    <row r="489">
      <c r="A489" t="inlineStr">
        <is>
          <t>Uso e consumo</t>
        </is>
      </c>
      <c r="B489" t="inlineStr">
        <is>
          <t>2.01.87 Compra de Peças de Máquinas</t>
        </is>
      </c>
      <c r="C489" s="30" t="n">
        <v>46054</v>
      </c>
      <c r="D489" t="inlineStr">
        <is>
          <t>Em 2026</t>
        </is>
      </c>
      <c r="E489" s="28" t="n">
        <v>46073</v>
      </c>
      <c r="F489" t="inlineStr">
        <is>
          <t>NF-e</t>
        </is>
      </c>
      <c r="G489" t="inlineStr">
        <is>
          <t>000019128</t>
        </is>
      </c>
      <c r="H489" t="inlineStr">
        <is>
          <t>B. B. A. INDUSTRIA E COMERCIO IMPORTACAO E EXPORTACAO LTDA</t>
        </is>
      </c>
      <c r="I489" t="inlineStr">
        <is>
          <t>25.247.287/0003-41</t>
        </is>
      </c>
      <c r="J489" s="29" t="n">
        <v>211</v>
      </c>
      <c r="K489" s="29">
        <f>(1-ISNUMBER(SEARCH("556",M489)))*(O489*SUMIFS(Premissas!$C$5:$C$44,Premissas!$A$5:$A$44,$A489,Premissas!$B$5:$B$44,$B489)+P489*SUMIFS(Premissas!$D$5:$D$44,Premissas!$A$5:$A$44,$A489,Premissas!$B$5:$B$44,$B489))+R489*SUMIFS(Premissas!$E$5:$E$44,Premissas!$A$5:$A$44,$A489,Premissas!$B$5:$B$44,$B489)+S489*SUMIFS(Premissas!$F$5:$F$44,Premissas!$A$5:$A$44,$A489,Premissas!$B$5:$B$44,$B489)</f>
        <v/>
      </c>
      <c r="L489" s="29">
        <f>J489-K489</f>
        <v/>
      </c>
      <c r="M489" t="inlineStr">
        <is>
          <t>2.102</t>
        </is>
      </c>
      <c r="O489" s="29" t="n">
        <v>0</v>
      </c>
      <c r="P489" s="29" t="n">
        <v>8.44</v>
      </c>
      <c r="Q489" s="29" t="n">
        <v>0</v>
      </c>
      <c r="R489" s="29" t="n">
        <v>2.64</v>
      </c>
      <c r="S489" s="29" t="n">
        <v>12.15</v>
      </c>
      <c r="T489" t="inlineStr">
        <is>
          <t>35260225247287000341550010000191281270905766</t>
        </is>
      </c>
      <c r="U489" t="inlineStr">
        <is>
          <t>Sim</t>
        </is>
      </c>
    </row>
    <row r="490">
      <c r="A490" t="inlineStr">
        <is>
          <t>Uso e consumo</t>
        </is>
      </c>
      <c r="B490" t="inlineStr">
        <is>
          <t>2.01.87 Compra de Peças de Máquinas</t>
        </is>
      </c>
      <c r="C490" s="30" t="n">
        <v>46054</v>
      </c>
      <c r="D490" t="inlineStr">
        <is>
          <t>Em 2026</t>
        </is>
      </c>
      <c r="E490" s="28" t="n">
        <v>46055</v>
      </c>
      <c r="F490" t="inlineStr">
        <is>
          <t>NF-e</t>
        </is>
      </c>
      <c r="G490" t="inlineStr">
        <is>
          <t>000101385</t>
        </is>
      </c>
      <c r="H490" t="inlineStr">
        <is>
          <t>FERGE COMERCIO DE PRODUTOS INDUSTRIAIS LTDA</t>
        </is>
      </c>
      <c r="I490" t="inlineStr">
        <is>
          <t>09.057.961/0001-07</t>
        </is>
      </c>
      <c r="J490" s="29" t="n">
        <v>590</v>
      </c>
      <c r="K490" s="29">
        <f>(1-ISNUMBER(SEARCH("556",M490)))*(O490*SUMIFS(Premissas!$C$5:$C$44,Premissas!$A$5:$A$44,$A490,Premissas!$B$5:$B$44,$B490)+P490*SUMIFS(Premissas!$D$5:$D$44,Premissas!$A$5:$A$44,$A490,Premissas!$B$5:$B$44,$B490))+R490*SUMIFS(Premissas!$E$5:$E$44,Premissas!$A$5:$A$44,$A490,Premissas!$B$5:$B$44,$B490)+S490*SUMIFS(Premissas!$F$5:$F$44,Premissas!$A$5:$A$44,$A490,Premissas!$B$5:$B$44,$B490)</f>
        <v/>
      </c>
      <c r="L490" s="29">
        <f>J490-K490</f>
        <v/>
      </c>
      <c r="M490" t="inlineStr">
        <is>
          <t>1.102</t>
        </is>
      </c>
      <c r="O490" s="29" t="n">
        <v>0</v>
      </c>
      <c r="P490" s="29" t="n">
        <v>118</v>
      </c>
      <c r="Q490" s="29" t="n">
        <v>0</v>
      </c>
      <c r="R490" s="29" t="n">
        <v>0</v>
      </c>
      <c r="S490" s="29" t="n">
        <v>0</v>
      </c>
      <c r="T490" t="inlineStr">
        <is>
          <t>25260209057961000107550010001013851288147103</t>
        </is>
      </c>
      <c r="U490" t="inlineStr">
        <is>
          <t>Sim</t>
        </is>
      </c>
    </row>
    <row r="491">
      <c r="A491" t="inlineStr">
        <is>
          <t>Uso e consumo</t>
        </is>
      </c>
      <c r="B491" t="inlineStr">
        <is>
          <t>2.01.87 Compra de Peças de Máquinas</t>
        </is>
      </c>
      <c r="C491" s="30" t="n">
        <v>46054</v>
      </c>
      <c r="D491" t="inlineStr">
        <is>
          <t>Em 2026</t>
        </is>
      </c>
      <c r="E491" s="28" t="n">
        <v>46077</v>
      </c>
      <c r="F491" t="inlineStr">
        <is>
          <t>NF-e</t>
        </is>
      </c>
      <c r="G491" t="inlineStr">
        <is>
          <t>000071288</t>
        </is>
      </c>
      <c r="H491" t="inlineStr">
        <is>
          <t>FURNAX COMERCIAL E IMPORTADORA EIRELI</t>
        </is>
      </c>
      <c r="I491" t="inlineStr">
        <is>
          <t>00.144.257/0001-17</t>
        </is>
      </c>
      <c r="J491" s="29" t="n">
        <v>15226.23</v>
      </c>
      <c r="K491" s="29">
        <f>(1-ISNUMBER(SEARCH("556",M491)))*(O491*SUMIFS(Premissas!$C$5:$C$44,Premissas!$A$5:$A$44,$A491,Premissas!$B$5:$B$44,$B491)+P491*SUMIFS(Premissas!$D$5:$D$44,Premissas!$A$5:$A$44,$A491,Premissas!$B$5:$B$44,$B491))+R491*SUMIFS(Premissas!$E$5:$E$44,Premissas!$A$5:$A$44,$A491,Premissas!$B$5:$B$44,$B491)+S491*SUMIFS(Premissas!$F$5:$F$44,Premissas!$A$5:$A$44,$A491,Premissas!$B$5:$B$44,$B491)</f>
        <v/>
      </c>
      <c r="L491" s="29">
        <f>J491-K491</f>
        <v/>
      </c>
      <c r="M491" t="inlineStr">
        <is>
          <t>2.102</t>
        </is>
      </c>
      <c r="O491" s="29" t="n">
        <v>479.27</v>
      </c>
      <c r="P491" s="29" t="n">
        <v>609.05</v>
      </c>
      <c r="Q491" s="29" t="n">
        <v>0</v>
      </c>
      <c r="R491" s="29" t="n">
        <v>233.27</v>
      </c>
      <c r="S491" s="29" t="n">
        <v>1074.49</v>
      </c>
      <c r="T491" t="inlineStr">
        <is>
          <t>35260200144257000117550010000712881347143038</t>
        </is>
      </c>
      <c r="U491" t="inlineStr">
        <is>
          <t>Sim</t>
        </is>
      </c>
    </row>
    <row r="492">
      <c r="A492" t="inlineStr">
        <is>
          <t>Uso e consumo</t>
        </is>
      </c>
      <c r="B492" t="inlineStr">
        <is>
          <t>2.01.87 Compra de Peças de Máquinas</t>
        </is>
      </c>
      <c r="C492" s="30" t="n">
        <v>46054</v>
      </c>
      <c r="D492" t="inlineStr">
        <is>
          <t>Em 2026</t>
        </is>
      </c>
      <c r="E492" s="28" t="n">
        <v>46073</v>
      </c>
      <c r="F492" t="inlineStr">
        <is>
          <t>NF-e</t>
        </is>
      </c>
      <c r="G492" t="inlineStr">
        <is>
          <t>000003744</t>
        </is>
      </c>
      <c r="H492" t="inlineStr">
        <is>
          <t>GLOBAL DISTRIBUICAO DE BENS DE CONS LTDA.</t>
        </is>
      </c>
      <c r="I492" t="inlineStr">
        <is>
          <t>89.237.911/0119-32</t>
        </is>
      </c>
      <c r="J492" s="29" t="n">
        <v>399</v>
      </c>
      <c r="K492" s="29">
        <f>(1-ISNUMBER(SEARCH("556",M492)))*(O492*SUMIFS(Premissas!$C$5:$C$44,Premissas!$A$5:$A$44,$A492,Premissas!$B$5:$B$44,$B492)+P492*SUMIFS(Premissas!$D$5:$D$44,Premissas!$A$5:$A$44,$A492,Premissas!$B$5:$B$44,$B492))+R492*SUMIFS(Premissas!$E$5:$E$44,Premissas!$A$5:$A$44,$A492,Premissas!$B$5:$B$44,$B492)+S492*SUMIFS(Premissas!$F$5:$F$44,Premissas!$A$5:$A$44,$A492,Premissas!$B$5:$B$44,$B492)</f>
        <v/>
      </c>
      <c r="L492" s="29">
        <f>J492-K492</f>
        <v/>
      </c>
      <c r="M492" t="inlineStr">
        <is>
          <t>1.102</t>
        </is>
      </c>
      <c r="O492" s="29" t="n">
        <v>0</v>
      </c>
      <c r="P492" s="29" t="n">
        <v>27.93</v>
      </c>
      <c r="Q492" s="29" t="n">
        <v>0</v>
      </c>
      <c r="R492" s="29" t="n">
        <v>6.12</v>
      </c>
      <c r="S492" s="29" t="n">
        <v>28.2</v>
      </c>
      <c r="T492" t="inlineStr">
        <is>
          <t>25260289237911011932550110000037441053747337</t>
        </is>
      </c>
      <c r="U492" t="inlineStr">
        <is>
          <t>Sim</t>
        </is>
      </c>
    </row>
    <row r="493">
      <c r="A493" t="inlineStr">
        <is>
          <t>Uso e consumo</t>
        </is>
      </c>
      <c r="B493" t="inlineStr">
        <is>
          <t>2.01.87 Compra de Peças de Máquinas</t>
        </is>
      </c>
      <c r="C493" s="30" t="n">
        <v>46054</v>
      </c>
      <c r="D493" t="inlineStr">
        <is>
          <t>Em 2026</t>
        </is>
      </c>
      <c r="E493" s="28" t="n">
        <v>46057</v>
      </c>
      <c r="F493" t="inlineStr">
        <is>
          <t>NF-e</t>
        </is>
      </c>
      <c r="G493" t="inlineStr">
        <is>
          <t>000000074</t>
        </is>
      </c>
      <c r="H493" t="inlineStr">
        <is>
          <t>INDUTECH EQUIPAMENTOS E SERVICOS LTDA</t>
        </is>
      </c>
      <c r="I493" t="inlineStr">
        <is>
          <t>53.016.379/0001-94</t>
        </is>
      </c>
      <c r="J493" s="29" t="n">
        <v>3573.1</v>
      </c>
      <c r="K493" s="29">
        <f>(1-ISNUMBER(SEARCH("556",M493)))*(O493*SUMIFS(Premissas!$C$5:$C$44,Premissas!$A$5:$A$44,$A493,Premissas!$B$5:$B$44,$B493)+P493*SUMIFS(Premissas!$D$5:$D$44,Premissas!$A$5:$A$44,$A493,Premissas!$B$5:$B$44,$B493))+R493*SUMIFS(Premissas!$E$5:$E$44,Premissas!$A$5:$A$44,$A493,Premissas!$B$5:$B$44,$B493)+S493*SUMIFS(Premissas!$F$5:$F$44,Premissas!$A$5:$A$44,$A493,Premissas!$B$5:$B$44,$B493)</f>
        <v/>
      </c>
      <c r="L493" s="29">
        <f>J493-K493</f>
        <v/>
      </c>
      <c r="M493" t="inlineStr">
        <is>
          <t>2.102, 2.403</t>
        </is>
      </c>
      <c r="O493" s="29" t="n">
        <v>0</v>
      </c>
      <c r="P493" s="29" t="n">
        <v>0</v>
      </c>
      <c r="Q493" s="29" t="n">
        <v>0</v>
      </c>
      <c r="R493" s="29" t="n">
        <v>0</v>
      </c>
      <c r="S493" s="29" t="n">
        <v>0</v>
      </c>
      <c r="T493" t="inlineStr">
        <is>
          <t>26260253016379000194550010000000741000011853</t>
        </is>
      </c>
      <c r="U493" t="inlineStr">
        <is>
          <t>Sim</t>
        </is>
      </c>
    </row>
    <row r="494">
      <c r="A494" t="inlineStr">
        <is>
          <t>Uso e consumo</t>
        </is>
      </c>
      <c r="B494" t="inlineStr">
        <is>
          <t>2.01.87 Compra de Peças de Máquinas</t>
        </is>
      </c>
      <c r="C494" s="30" t="n">
        <v>46082</v>
      </c>
      <c r="D494" t="inlineStr">
        <is>
          <t>Em 2026</t>
        </is>
      </c>
      <c r="E494" s="28" t="n">
        <v>46087</v>
      </c>
      <c r="F494" t="inlineStr">
        <is>
          <t>NF-e</t>
        </is>
      </c>
      <c r="G494" t="inlineStr">
        <is>
          <t>000013329</t>
        </is>
      </c>
      <c r="H494" t="inlineStr">
        <is>
          <t>EDNA DE ARAUJO PACHECO LTDA</t>
        </is>
      </c>
      <c r="I494" t="inlineStr">
        <is>
          <t>17.433.873/0001-90</t>
        </is>
      </c>
      <c r="J494" s="29" t="n">
        <v>98</v>
      </c>
      <c r="K494" s="29">
        <f>(1-ISNUMBER(SEARCH("556",M494)))*(O494*SUMIFS(Premissas!$C$5:$C$44,Premissas!$A$5:$A$44,$A494,Premissas!$B$5:$B$44,$B494)+P494*SUMIFS(Premissas!$D$5:$D$44,Premissas!$A$5:$A$44,$A494,Premissas!$B$5:$B$44,$B494))+R494*SUMIFS(Premissas!$E$5:$E$44,Premissas!$A$5:$A$44,$A494,Premissas!$B$5:$B$44,$B494)+S494*SUMIFS(Premissas!$F$5:$F$44,Premissas!$A$5:$A$44,$A494,Premissas!$B$5:$B$44,$B494)</f>
        <v/>
      </c>
      <c r="L494" s="29">
        <f>J494-K494</f>
        <v/>
      </c>
      <c r="M494" t="inlineStr">
        <is>
          <t>1.102</t>
        </is>
      </c>
      <c r="O494" s="29" t="n">
        <v>0</v>
      </c>
      <c r="P494" s="29" t="n">
        <v>0</v>
      </c>
      <c r="Q494" s="29" t="n">
        <v>0</v>
      </c>
      <c r="R494" s="29" t="n">
        <v>0</v>
      </c>
      <c r="S494" s="29" t="n">
        <v>0</v>
      </c>
      <c r="T494" t="inlineStr">
        <is>
          <t>25260317433873000190550010000133291016664014</t>
        </is>
      </c>
      <c r="U494" t="inlineStr">
        <is>
          <t>Sim</t>
        </is>
      </c>
    </row>
    <row r="495">
      <c r="A495" t="inlineStr">
        <is>
          <t>Uso e consumo</t>
        </is>
      </c>
      <c r="B495" t="inlineStr">
        <is>
          <t>2.01.87 Compra de Peças de Máquinas</t>
        </is>
      </c>
      <c r="C495" s="30" t="n">
        <v>46082</v>
      </c>
      <c r="D495" t="inlineStr">
        <is>
          <t>Em 2026</t>
        </is>
      </c>
      <c r="E495" s="28" t="n">
        <v>46105</v>
      </c>
      <c r="F495" t="inlineStr">
        <is>
          <t>NF-e</t>
        </is>
      </c>
      <c r="G495" t="inlineStr">
        <is>
          <t>000013470</t>
        </is>
      </c>
      <c r="H495" t="inlineStr">
        <is>
          <t>EDNA DE ARAUJO PACHECO LTDA</t>
        </is>
      </c>
      <c r="I495" t="inlineStr">
        <is>
          <t>17.433.873/0001-90</t>
        </is>
      </c>
      <c r="J495" s="29" t="n">
        <v>161</v>
      </c>
      <c r="K495" s="29">
        <f>(1-ISNUMBER(SEARCH("556",M495)))*(O495*SUMIFS(Premissas!$C$5:$C$44,Premissas!$A$5:$A$44,$A495,Premissas!$B$5:$B$44,$B495)+P495*SUMIFS(Premissas!$D$5:$D$44,Premissas!$A$5:$A$44,$A495,Premissas!$B$5:$B$44,$B495))+R495*SUMIFS(Premissas!$E$5:$E$44,Premissas!$A$5:$A$44,$A495,Premissas!$B$5:$B$44,$B495)+S495*SUMIFS(Premissas!$F$5:$F$44,Premissas!$A$5:$A$44,$A495,Premissas!$B$5:$B$44,$B495)</f>
        <v/>
      </c>
      <c r="L495" s="29">
        <f>J495-K495</f>
        <v/>
      </c>
      <c r="M495" t="inlineStr">
        <is>
          <t>1.102</t>
        </is>
      </c>
      <c r="O495" s="29" t="n">
        <v>0</v>
      </c>
      <c r="P495" s="29" t="n">
        <v>0</v>
      </c>
      <c r="Q495" s="29" t="n">
        <v>0</v>
      </c>
      <c r="R495" s="29" t="n">
        <v>0</v>
      </c>
      <c r="S495" s="29" t="n">
        <v>0</v>
      </c>
      <c r="T495" t="inlineStr">
        <is>
          <t>25260317433873000190550010000134701016664016</t>
        </is>
      </c>
      <c r="U495" t="inlineStr">
        <is>
          <t>Sim</t>
        </is>
      </c>
    </row>
    <row r="496">
      <c r="A496" t="inlineStr">
        <is>
          <t>Uso e consumo</t>
        </is>
      </c>
      <c r="B496" t="inlineStr">
        <is>
          <t>2.01.87 Compra de Peças de Máquinas</t>
        </is>
      </c>
      <c r="C496" s="30" t="n">
        <v>46082</v>
      </c>
      <c r="D496" t="inlineStr">
        <is>
          <t>Em 2026</t>
        </is>
      </c>
      <c r="E496" s="28" t="n">
        <v>46087</v>
      </c>
      <c r="F496" t="inlineStr">
        <is>
          <t>NF-e</t>
        </is>
      </c>
      <c r="G496" t="inlineStr">
        <is>
          <t>000102345</t>
        </is>
      </c>
      <c r="H496" t="inlineStr">
        <is>
          <t>FERGE COMERCIO DE PRODUTOS INDUSTRIAIS LTDA</t>
        </is>
      </c>
      <c r="I496" t="inlineStr">
        <is>
          <t>09.057.961/0001-07</t>
        </is>
      </c>
      <c r="J496" s="29" t="n">
        <v>844</v>
      </c>
      <c r="K496" s="29">
        <f>(1-ISNUMBER(SEARCH("556",M496)))*(O496*SUMIFS(Premissas!$C$5:$C$44,Premissas!$A$5:$A$44,$A496,Premissas!$B$5:$B$44,$B496)+P496*SUMIFS(Premissas!$D$5:$D$44,Premissas!$A$5:$A$44,$A496,Premissas!$B$5:$B$44,$B496))+R496*SUMIFS(Premissas!$E$5:$E$44,Premissas!$A$5:$A$44,$A496,Premissas!$B$5:$B$44,$B496)+S496*SUMIFS(Premissas!$F$5:$F$44,Premissas!$A$5:$A$44,$A496,Premissas!$B$5:$B$44,$B496)</f>
        <v/>
      </c>
      <c r="L496" s="29">
        <f>J496-K496</f>
        <v/>
      </c>
      <c r="M496" t="inlineStr">
        <is>
          <t>1.102</t>
        </is>
      </c>
      <c r="O496" s="29" t="n">
        <v>0</v>
      </c>
      <c r="P496" s="29" t="n">
        <v>168.8</v>
      </c>
      <c r="Q496" s="29" t="n">
        <v>0</v>
      </c>
      <c r="R496" s="29" t="n">
        <v>0</v>
      </c>
      <c r="S496" s="29" t="n">
        <v>0</v>
      </c>
      <c r="T496" t="inlineStr">
        <is>
          <t>25260309057961000107550010001023451016664011</t>
        </is>
      </c>
      <c r="U496" t="inlineStr">
        <is>
          <t>Sim</t>
        </is>
      </c>
    </row>
    <row r="497">
      <c r="A497" t="inlineStr">
        <is>
          <t>Uso e consumo</t>
        </is>
      </c>
      <c r="B497" t="inlineStr">
        <is>
          <t>2.01.87 Compra de Peças de Máquinas</t>
        </is>
      </c>
      <c r="C497" s="30" t="n">
        <v>46082</v>
      </c>
      <c r="D497" t="inlineStr">
        <is>
          <t>Em 2026</t>
        </is>
      </c>
      <c r="E497" s="28" t="n">
        <v>46086</v>
      </c>
      <c r="F497" t="inlineStr">
        <is>
          <t>NF-e</t>
        </is>
      </c>
      <c r="G497" t="inlineStr">
        <is>
          <t>000005872</t>
        </is>
      </c>
      <c r="H497" t="inlineStr">
        <is>
          <t>GF COMERCIO DE PRODUTOS INDUSTRIAIS LTDA</t>
        </is>
      </c>
      <c r="I497" t="inlineStr">
        <is>
          <t>35.721.163/0001-48</t>
        </is>
      </c>
      <c r="J497" s="29" t="n">
        <v>117.96</v>
      </c>
      <c r="K497" s="29">
        <f>(1-ISNUMBER(SEARCH("556",M497)))*(O497*SUMIFS(Premissas!$C$5:$C$44,Premissas!$A$5:$A$44,$A497,Premissas!$B$5:$B$44,$B497)+P497*SUMIFS(Premissas!$D$5:$D$44,Premissas!$A$5:$A$44,$A497,Premissas!$B$5:$B$44,$B497))+R497*SUMIFS(Premissas!$E$5:$E$44,Premissas!$A$5:$A$44,$A497,Premissas!$B$5:$B$44,$B497)+S497*SUMIFS(Premissas!$F$5:$F$44,Premissas!$A$5:$A$44,$A497,Premissas!$B$5:$B$44,$B497)</f>
        <v/>
      </c>
      <c r="L497" s="29">
        <f>J497-K497</f>
        <v/>
      </c>
      <c r="M497" t="inlineStr">
        <is>
          <t>1.403</t>
        </is>
      </c>
      <c r="O497" s="29" t="n">
        <v>0</v>
      </c>
      <c r="P497" s="29" t="n">
        <v>0</v>
      </c>
      <c r="Q497" s="29" t="n">
        <v>0</v>
      </c>
      <c r="R497" s="29" t="n">
        <v>0</v>
      </c>
      <c r="S497" s="29" t="n">
        <v>0</v>
      </c>
      <c r="T497" t="inlineStr">
        <is>
          <t>25260335721163000148550000000058721016664013</t>
        </is>
      </c>
      <c r="U497" t="inlineStr">
        <is>
          <t>Sim</t>
        </is>
      </c>
    </row>
    <row r="498">
      <c r="A498" t="inlineStr">
        <is>
          <t>Uso e consumo</t>
        </is>
      </c>
      <c r="B498" t="inlineStr">
        <is>
          <t>2.01.87 Compra de Peças de Máquinas</t>
        </is>
      </c>
      <c r="C498" s="30" t="n">
        <v>46082</v>
      </c>
      <c r="D498" t="inlineStr">
        <is>
          <t>Em 2026</t>
        </is>
      </c>
      <c r="E498" s="28" t="n">
        <v>46099</v>
      </c>
      <c r="F498" t="inlineStr">
        <is>
          <t>NF-e</t>
        </is>
      </c>
      <c r="G498" t="inlineStr">
        <is>
          <t>000005993</t>
        </is>
      </c>
      <c r="H498" t="inlineStr">
        <is>
          <t>GF COMERCIO DE PRODUTOS INDUSTRIAIS LTDA</t>
        </is>
      </c>
      <c r="I498" t="inlineStr">
        <is>
          <t>35.721.163/0001-48</t>
        </is>
      </c>
      <c r="J498" s="29" t="n">
        <v>2250</v>
      </c>
      <c r="K498" s="29">
        <f>(1-ISNUMBER(SEARCH("556",M498)))*(O498*SUMIFS(Premissas!$C$5:$C$44,Premissas!$A$5:$A$44,$A498,Premissas!$B$5:$B$44,$B498)+P498*SUMIFS(Premissas!$D$5:$D$44,Premissas!$A$5:$A$44,$A498,Premissas!$B$5:$B$44,$B498))+R498*SUMIFS(Premissas!$E$5:$E$44,Premissas!$A$5:$A$44,$A498,Premissas!$B$5:$B$44,$B498)+S498*SUMIFS(Premissas!$F$5:$F$44,Premissas!$A$5:$A$44,$A498,Premissas!$B$5:$B$44,$B498)</f>
        <v/>
      </c>
      <c r="L498" s="29">
        <f>J498-K498</f>
        <v/>
      </c>
      <c r="M498" t="inlineStr">
        <is>
          <t>1.102</t>
        </is>
      </c>
      <c r="O498" s="29" t="n">
        <v>0</v>
      </c>
      <c r="P498" s="29" t="n">
        <v>0</v>
      </c>
      <c r="Q498" s="29" t="n">
        <v>0</v>
      </c>
      <c r="R498" s="29" t="n">
        <v>0</v>
      </c>
      <c r="S498" s="29" t="n">
        <v>0</v>
      </c>
      <c r="T498" t="inlineStr">
        <is>
          <t>25260335721163000148550000000059931016664019</t>
        </is>
      </c>
      <c r="U498" t="inlineStr">
        <is>
          <t>Sim</t>
        </is>
      </c>
    </row>
    <row r="499">
      <c r="A499" t="inlineStr">
        <is>
          <t>Uso e consumo</t>
        </is>
      </c>
      <c r="B499" t="inlineStr">
        <is>
          <t>2.01.87 Compra de Peças de Máquinas</t>
        </is>
      </c>
      <c r="C499" s="30" t="n">
        <v>46082</v>
      </c>
      <c r="D499" t="inlineStr">
        <is>
          <t>Em 2026</t>
        </is>
      </c>
      <c r="E499" s="28" t="n">
        <v>46111</v>
      </c>
      <c r="F499" t="inlineStr">
        <is>
          <t>NF-e</t>
        </is>
      </c>
      <c r="G499" t="inlineStr">
        <is>
          <t>000006088</t>
        </is>
      </c>
      <c r="H499" t="inlineStr">
        <is>
          <t>GF COMERCIO DE PRODUTOS INDUSTRIAIS LTDA</t>
        </is>
      </c>
      <c r="I499" t="inlineStr">
        <is>
          <t>35.721.163/0001-48</t>
        </is>
      </c>
      <c r="J499" s="29" t="n">
        <v>331.9</v>
      </c>
      <c r="K499" s="29">
        <f>(1-ISNUMBER(SEARCH("556",M499)))*(O499*SUMIFS(Premissas!$C$5:$C$44,Premissas!$A$5:$A$44,$A499,Premissas!$B$5:$B$44,$B499)+P499*SUMIFS(Premissas!$D$5:$D$44,Premissas!$A$5:$A$44,$A499,Premissas!$B$5:$B$44,$B499))+R499*SUMIFS(Premissas!$E$5:$E$44,Premissas!$A$5:$A$44,$A499,Premissas!$B$5:$B$44,$B499)+S499*SUMIFS(Premissas!$F$5:$F$44,Premissas!$A$5:$A$44,$A499,Premissas!$B$5:$B$44,$B499)</f>
        <v/>
      </c>
      <c r="L499" s="29">
        <f>J499-K499</f>
        <v/>
      </c>
      <c r="M499" t="inlineStr">
        <is>
          <t>1.102, 1.556</t>
        </is>
      </c>
      <c r="O499" s="29" t="n">
        <v>0</v>
      </c>
      <c r="P499" s="29" t="n">
        <v>0</v>
      </c>
      <c r="Q499" s="29" t="n">
        <v>0</v>
      </c>
      <c r="R499" s="29" t="n">
        <v>0</v>
      </c>
      <c r="S499" s="29" t="n">
        <v>0</v>
      </c>
      <c r="T499" t="inlineStr">
        <is>
          <t>25260335721163000148550000000060881016664014</t>
        </is>
      </c>
      <c r="U499" t="inlineStr">
        <is>
          <t>Sim</t>
        </is>
      </c>
    </row>
    <row r="500">
      <c r="A500" t="inlineStr">
        <is>
          <t>Uso e consumo</t>
        </is>
      </c>
      <c r="B500" t="inlineStr">
        <is>
          <t>2.01.87 Compra de Peças de Máquinas</t>
        </is>
      </c>
      <c r="C500" s="30" t="n">
        <v>46082</v>
      </c>
      <c r="D500" t="inlineStr">
        <is>
          <t>Em 2026</t>
        </is>
      </c>
      <c r="E500" s="28" t="n">
        <v>46083</v>
      </c>
      <c r="F500" t="inlineStr">
        <is>
          <t>NF-e</t>
        </is>
      </c>
      <c r="G500" t="inlineStr">
        <is>
          <t>000000383</t>
        </is>
      </c>
      <c r="H500" t="inlineStr">
        <is>
          <t>ODAFLEXO COMERCIO DE PRODUTOS FLEXOGRAFICOS LTDA</t>
        </is>
      </c>
      <c r="I500" t="inlineStr">
        <is>
          <t>50.859.160/0001-69</t>
        </is>
      </c>
      <c r="J500" s="29" t="n">
        <v>1599</v>
      </c>
      <c r="K500" s="29">
        <f>(1-ISNUMBER(SEARCH("556",M500)))*(O500*SUMIFS(Premissas!$C$5:$C$44,Premissas!$A$5:$A$44,$A500,Premissas!$B$5:$B$44,$B500)+P500*SUMIFS(Premissas!$D$5:$D$44,Premissas!$A$5:$A$44,$A500,Premissas!$B$5:$B$44,$B500))+R500*SUMIFS(Premissas!$E$5:$E$44,Premissas!$A$5:$A$44,$A500,Premissas!$B$5:$B$44,$B500)+S500*SUMIFS(Premissas!$F$5:$F$44,Premissas!$A$5:$A$44,$A500,Premissas!$B$5:$B$44,$B500)</f>
        <v/>
      </c>
      <c r="L500" s="29">
        <f>J500-K500</f>
        <v/>
      </c>
      <c r="M500" t="inlineStr">
        <is>
          <t>2.102</t>
        </is>
      </c>
      <c r="N500" t="inlineStr">
        <is>
          <t>Valor rateado entre categorias, como no Omie</t>
        </is>
      </c>
      <c r="O500" s="29" t="n">
        <v>0</v>
      </c>
      <c r="P500" s="29" t="n">
        <v>0</v>
      </c>
      <c r="Q500" s="29" t="n">
        <v>0</v>
      </c>
      <c r="R500" s="29" t="n">
        <v>0</v>
      </c>
      <c r="S500" s="29" t="n">
        <v>0</v>
      </c>
      <c r="T500" t="inlineStr">
        <is>
          <t>26260350859160000169550010000003831998162030</t>
        </is>
      </c>
      <c r="U500" t="inlineStr">
        <is>
          <t>Sim</t>
        </is>
      </c>
    </row>
    <row r="501">
      <c r="A501" t="inlineStr">
        <is>
          <t>Uso e consumo</t>
        </is>
      </c>
      <c r="B501" t="inlineStr">
        <is>
          <t>2.01.87 Compra de Peças de Máquinas</t>
        </is>
      </c>
      <c r="C501" s="30" t="n">
        <v>46113</v>
      </c>
      <c r="D501" t="inlineStr">
        <is>
          <t>Em 2026</t>
        </is>
      </c>
      <c r="E501" s="28" t="n">
        <v>46128</v>
      </c>
      <c r="F501" t="inlineStr">
        <is>
          <t>NF-e</t>
        </is>
      </c>
      <c r="G501" t="inlineStr">
        <is>
          <t>000013745</t>
        </is>
      </c>
      <c r="H501" t="inlineStr">
        <is>
          <t>EDNA DE ARAUJO PACHECO LTDA</t>
        </is>
      </c>
      <c r="I501" t="inlineStr">
        <is>
          <t>17.433.873/0001-90</t>
        </is>
      </c>
      <c r="J501" s="29" t="n">
        <v>261.52</v>
      </c>
      <c r="K501" s="29">
        <f>(1-ISNUMBER(SEARCH("556",M501)))*(O501*SUMIFS(Premissas!$C$5:$C$44,Premissas!$A$5:$A$44,$A501,Premissas!$B$5:$B$44,$B501)+P501*SUMIFS(Premissas!$D$5:$D$44,Premissas!$A$5:$A$44,$A501,Premissas!$B$5:$B$44,$B501))+R501*SUMIFS(Premissas!$E$5:$E$44,Premissas!$A$5:$A$44,$A501,Premissas!$B$5:$B$44,$B501)+S501*SUMIFS(Premissas!$F$5:$F$44,Premissas!$A$5:$A$44,$A501,Premissas!$B$5:$B$44,$B501)</f>
        <v/>
      </c>
      <c r="L501" s="29">
        <f>J501-K501</f>
        <v/>
      </c>
      <c r="M501" t="inlineStr">
        <is>
          <t>1.102</t>
        </is>
      </c>
      <c r="O501" s="29" t="n">
        <v>0</v>
      </c>
      <c r="P501" s="29" t="n">
        <v>0</v>
      </c>
      <c r="Q501" s="29" t="n">
        <v>0</v>
      </c>
      <c r="R501" s="29" t="n">
        <v>0</v>
      </c>
      <c r="S501" s="29" t="n">
        <v>0</v>
      </c>
      <c r="T501" t="inlineStr">
        <is>
          <t>25260417433873000190550010000137451016664013</t>
        </is>
      </c>
      <c r="U501" t="inlineStr">
        <is>
          <t>Sim</t>
        </is>
      </c>
    </row>
    <row r="502">
      <c r="A502" t="inlineStr">
        <is>
          <t>Uso e consumo</t>
        </is>
      </c>
      <c r="B502" t="inlineStr">
        <is>
          <t>2.01.87 Compra de Peças de Máquinas</t>
        </is>
      </c>
      <c r="C502" s="30" t="n">
        <v>46113</v>
      </c>
      <c r="D502" t="inlineStr">
        <is>
          <t>Em 2026</t>
        </is>
      </c>
      <c r="E502" s="28" t="n">
        <v>46127</v>
      </c>
      <c r="F502" t="inlineStr">
        <is>
          <t>NF-e</t>
        </is>
      </c>
      <c r="G502" t="inlineStr">
        <is>
          <t>000052201</t>
        </is>
      </c>
      <c r="H502" t="inlineStr">
        <is>
          <t>ELETROPOLO ELETRICIDADE LTDA</t>
        </is>
      </c>
      <c r="I502" t="inlineStr">
        <is>
          <t>02.375.199/0005-91</t>
        </is>
      </c>
      <c r="J502" s="29" t="n">
        <v>12984.5</v>
      </c>
      <c r="K502" s="29">
        <f>(1-ISNUMBER(SEARCH("556",M502)))*(O502*SUMIFS(Premissas!$C$5:$C$44,Premissas!$A$5:$A$44,$A502,Premissas!$B$5:$B$44,$B502)+P502*SUMIFS(Premissas!$D$5:$D$44,Premissas!$A$5:$A$44,$A502,Premissas!$B$5:$B$44,$B502))+R502*SUMIFS(Premissas!$E$5:$E$44,Premissas!$A$5:$A$44,$A502,Premissas!$B$5:$B$44,$B502)+S502*SUMIFS(Premissas!$F$5:$F$44,Premissas!$A$5:$A$44,$A502,Premissas!$B$5:$B$44,$B502)</f>
        <v/>
      </c>
      <c r="L502" s="29">
        <f>J502-K502</f>
        <v/>
      </c>
      <c r="M502" t="inlineStr">
        <is>
          <t>1.556</t>
        </is>
      </c>
      <c r="O502" s="29" t="n">
        <v>0</v>
      </c>
      <c r="P502" s="29" t="n">
        <v>0</v>
      </c>
      <c r="Q502" s="29" t="n">
        <v>0</v>
      </c>
      <c r="R502" s="29" t="n">
        <v>214.26</v>
      </c>
      <c r="S502" s="29" t="n">
        <v>986.8200000000001</v>
      </c>
      <c r="T502" t="inlineStr">
        <is>
          <t>25260402375199000591550030000522011001860575</t>
        </is>
      </c>
      <c r="U502" t="inlineStr">
        <is>
          <t>Sim</t>
        </is>
      </c>
    </row>
    <row r="503">
      <c r="A503" t="inlineStr">
        <is>
          <t>Uso e consumo</t>
        </is>
      </c>
      <c r="B503" t="inlineStr">
        <is>
          <t>2.01.87 Compra de Peças de Máquinas</t>
        </is>
      </c>
      <c r="C503" s="30" t="n">
        <v>46113</v>
      </c>
      <c r="D503" t="inlineStr">
        <is>
          <t>Em 2026</t>
        </is>
      </c>
      <c r="E503" s="28" t="n">
        <v>46130</v>
      </c>
      <c r="F503" t="inlineStr">
        <is>
          <t>NF-e</t>
        </is>
      </c>
      <c r="G503" t="inlineStr">
        <is>
          <t>000103552</t>
        </is>
      </c>
      <c r="H503" t="inlineStr">
        <is>
          <t>FERGE COMERCIO DE PRODUTOS INDUSTRIAIS LTDA</t>
        </is>
      </c>
      <c r="I503" t="inlineStr">
        <is>
          <t>09.057.961/0001-07</t>
        </is>
      </c>
      <c r="J503" s="29" t="n">
        <v>418.6</v>
      </c>
      <c r="K503" s="29">
        <f>(1-ISNUMBER(SEARCH("556",M503)))*(O503*SUMIFS(Premissas!$C$5:$C$44,Premissas!$A$5:$A$44,$A503,Premissas!$B$5:$B$44,$B503)+P503*SUMIFS(Premissas!$D$5:$D$44,Premissas!$A$5:$A$44,$A503,Premissas!$B$5:$B$44,$B503))+R503*SUMIFS(Premissas!$E$5:$E$44,Premissas!$A$5:$A$44,$A503,Premissas!$B$5:$B$44,$B503)+S503*SUMIFS(Premissas!$F$5:$F$44,Premissas!$A$5:$A$44,$A503,Premissas!$B$5:$B$44,$B503)</f>
        <v/>
      </c>
      <c r="L503" s="29">
        <f>J503-K503</f>
        <v/>
      </c>
      <c r="M503" t="inlineStr">
        <is>
          <t>1.556</t>
        </is>
      </c>
      <c r="O503" s="29" t="n">
        <v>0</v>
      </c>
      <c r="P503" s="29" t="n">
        <v>83.72</v>
      </c>
      <c r="Q503" s="29" t="n">
        <v>0</v>
      </c>
      <c r="R503" s="29" t="n">
        <v>0</v>
      </c>
      <c r="S503" s="29" t="n">
        <v>0</v>
      </c>
      <c r="T503" t="inlineStr">
        <is>
          <t>25260409057961000107550010001035521016664015</t>
        </is>
      </c>
      <c r="U503" t="inlineStr">
        <is>
          <t>Sim</t>
        </is>
      </c>
    </row>
    <row r="504">
      <c r="A504" t="inlineStr">
        <is>
          <t>Uso e consumo</t>
        </is>
      </c>
      <c r="B504" t="inlineStr">
        <is>
          <t>2.01.87 Compra de Peças de Máquinas</t>
        </is>
      </c>
      <c r="C504" s="30" t="n">
        <v>46113</v>
      </c>
      <c r="D504" t="inlineStr">
        <is>
          <t>Em 2026</t>
        </is>
      </c>
      <c r="E504" s="28" t="n">
        <v>46139</v>
      </c>
      <c r="F504" t="inlineStr">
        <is>
          <t>NF-e</t>
        </is>
      </c>
      <c r="G504" t="inlineStr">
        <is>
          <t>000006360</t>
        </is>
      </c>
      <c r="H504" t="inlineStr">
        <is>
          <t>GF COMERCIO DE PRODUTOS INDUSTRIAIS LTDA</t>
        </is>
      </c>
      <c r="I504" t="inlineStr">
        <is>
          <t>35.721.163/0001-48</t>
        </is>
      </c>
      <c r="J504" s="29" t="n">
        <v>408</v>
      </c>
      <c r="K504" s="29">
        <f>(1-ISNUMBER(SEARCH("556",M504)))*(O504*SUMIFS(Premissas!$C$5:$C$44,Premissas!$A$5:$A$44,$A504,Premissas!$B$5:$B$44,$B504)+P504*SUMIFS(Premissas!$D$5:$D$44,Premissas!$A$5:$A$44,$A504,Premissas!$B$5:$B$44,$B504))+R504*SUMIFS(Premissas!$E$5:$E$44,Premissas!$A$5:$A$44,$A504,Premissas!$B$5:$B$44,$B504)+S504*SUMIFS(Premissas!$F$5:$F$44,Premissas!$A$5:$A$44,$A504,Premissas!$B$5:$B$44,$B504)</f>
        <v/>
      </c>
      <c r="L504" s="29">
        <f>J504-K504</f>
        <v/>
      </c>
      <c r="M504" t="inlineStr">
        <is>
          <t>1.556</t>
        </is>
      </c>
      <c r="O504" s="29" t="n">
        <v>0</v>
      </c>
      <c r="P504" s="29" t="n">
        <v>0</v>
      </c>
      <c r="Q504" s="29" t="n">
        <v>0</v>
      </c>
      <c r="R504" s="29" t="n">
        <v>0</v>
      </c>
      <c r="S504" s="29" t="n">
        <v>0</v>
      </c>
      <c r="T504" t="inlineStr">
        <is>
          <t>25260435721163000148550000000063601016664013</t>
        </is>
      </c>
      <c r="U504" t="inlineStr">
        <is>
          <t>Sim</t>
        </is>
      </c>
    </row>
    <row r="505">
      <c r="A505" t="inlineStr">
        <is>
          <t>Uso e consumo</t>
        </is>
      </c>
      <c r="B505" t="inlineStr">
        <is>
          <t>2.01.87 Compra de Peças de Máquinas</t>
        </is>
      </c>
      <c r="C505" s="30" t="n">
        <v>46113</v>
      </c>
      <c r="D505" t="inlineStr">
        <is>
          <t>Em 2026</t>
        </is>
      </c>
      <c r="E505" s="28" t="n">
        <v>46113</v>
      </c>
      <c r="F505" t="inlineStr">
        <is>
          <t>NF-e</t>
        </is>
      </c>
      <c r="G505" t="inlineStr">
        <is>
          <t>000000398</t>
        </is>
      </c>
      <c r="H505" t="inlineStr">
        <is>
          <t>ODAFLEXO COMERCIO DE PRODUTOS FLEXOGRAFICOS LTDA</t>
        </is>
      </c>
      <c r="I505" t="inlineStr">
        <is>
          <t>50.859.160/0001-69</t>
        </is>
      </c>
      <c r="J505" s="29" t="n">
        <v>1599</v>
      </c>
      <c r="K505" s="29">
        <f>(1-ISNUMBER(SEARCH("556",M505)))*(O505*SUMIFS(Premissas!$C$5:$C$44,Premissas!$A$5:$A$44,$A505,Premissas!$B$5:$B$44,$B505)+P505*SUMIFS(Premissas!$D$5:$D$44,Premissas!$A$5:$A$44,$A505,Premissas!$B$5:$B$44,$B505))+R505*SUMIFS(Premissas!$E$5:$E$44,Premissas!$A$5:$A$44,$A505,Premissas!$B$5:$B$44,$B505)+S505*SUMIFS(Premissas!$F$5:$F$44,Premissas!$A$5:$A$44,$A505,Premissas!$B$5:$B$44,$B505)</f>
        <v/>
      </c>
      <c r="L505" s="29">
        <f>J505-K505</f>
        <v/>
      </c>
      <c r="M505" t="inlineStr">
        <is>
          <t>2.102</t>
        </is>
      </c>
      <c r="N505" t="inlineStr">
        <is>
          <t>Valor rateado entre categorias, como no Omie</t>
        </is>
      </c>
      <c r="O505" s="29" t="n">
        <v>0</v>
      </c>
      <c r="P505" s="29" t="n">
        <v>0</v>
      </c>
      <c r="Q505" s="29" t="n">
        <v>0</v>
      </c>
      <c r="R505" s="29" t="n">
        <v>0</v>
      </c>
      <c r="S505" s="29" t="n">
        <v>0</v>
      </c>
      <c r="T505" t="inlineStr">
        <is>
          <t>26260450859160000169550010000003981371586713</t>
        </is>
      </c>
      <c r="U505" t="inlineStr">
        <is>
          <t>Sim</t>
        </is>
      </c>
    </row>
    <row r="506">
      <c r="A506" t="inlineStr">
        <is>
          <t>Uso e consumo</t>
        </is>
      </c>
      <c r="B506" t="inlineStr">
        <is>
          <t>2.01.87 Compra de Peças de Máquinas</t>
        </is>
      </c>
      <c r="C506" s="30" t="n">
        <v>46113</v>
      </c>
      <c r="D506" t="inlineStr">
        <is>
          <t>Em 2026</t>
        </is>
      </c>
      <c r="E506" s="28" t="n">
        <v>46122</v>
      </c>
      <c r="F506" t="inlineStr">
        <is>
          <t>NF-e</t>
        </is>
      </c>
      <c r="G506" t="inlineStr">
        <is>
          <t>000003329</t>
        </is>
      </c>
      <c r="H506" t="inlineStr">
        <is>
          <t>TECHPRINT FACAS INDUSTRIAIS</t>
        </is>
      </c>
      <c r="I506" t="inlineStr">
        <is>
          <t>23.105.251/0001-36</t>
        </is>
      </c>
      <c r="J506" s="29" t="n">
        <v>1450</v>
      </c>
      <c r="K506" s="29">
        <f>(1-ISNUMBER(SEARCH("556",M506)))*(O506*SUMIFS(Premissas!$C$5:$C$44,Premissas!$A$5:$A$44,$A506,Premissas!$B$5:$B$44,$B506)+P506*SUMIFS(Premissas!$D$5:$D$44,Premissas!$A$5:$A$44,$A506,Premissas!$B$5:$B$44,$B506))+R506*SUMIFS(Premissas!$E$5:$E$44,Premissas!$A$5:$A$44,$A506,Premissas!$B$5:$B$44,$B506)+S506*SUMIFS(Premissas!$F$5:$F$44,Premissas!$A$5:$A$44,$A506,Premissas!$B$5:$B$44,$B506)</f>
        <v/>
      </c>
      <c r="L506" s="29">
        <f>J506-K506</f>
        <v/>
      </c>
      <c r="M506" t="inlineStr">
        <is>
          <t>2.102</t>
        </is>
      </c>
      <c r="O506" s="29" t="n">
        <v>0</v>
      </c>
      <c r="P506" s="29" t="n">
        <v>0</v>
      </c>
      <c r="Q506" s="29" t="n">
        <v>0</v>
      </c>
      <c r="R506" s="29" t="n">
        <v>0</v>
      </c>
      <c r="S506" s="29" t="n">
        <v>0</v>
      </c>
      <c r="T506" t="inlineStr">
        <is>
          <t>41260423105251000136550010000033291001105669</t>
        </is>
      </c>
      <c r="U506" t="inlineStr">
        <is>
          <t>Sim</t>
        </is>
      </c>
    </row>
    <row r="507">
      <c r="A507" t="inlineStr">
        <is>
          <t>Uso e consumo</t>
        </is>
      </c>
      <c r="B507" t="inlineStr">
        <is>
          <t>2.01.87 Compra de Peças de Máquinas</t>
        </is>
      </c>
      <c r="C507" s="30" t="n">
        <v>46143</v>
      </c>
      <c r="D507" t="inlineStr">
        <is>
          <t>Em 2026</t>
        </is>
      </c>
      <c r="E507" s="28" t="n">
        <v>46164</v>
      </c>
      <c r="F507" t="inlineStr">
        <is>
          <t>NF-e</t>
        </is>
      </c>
      <c r="G507" t="inlineStr">
        <is>
          <t>000002200</t>
        </is>
      </c>
      <c r="H507" t="inlineStr">
        <is>
          <t>AI TEM - COMERCIO VAREJISTA DE PRODUTOS EM ACO INOX LTDA.</t>
        </is>
      </c>
      <c r="I507" t="inlineStr">
        <is>
          <t>54.824.435/0001-80</t>
        </is>
      </c>
      <c r="J507" s="29" t="n">
        <v>50</v>
      </c>
      <c r="K507" s="29">
        <f>(1-ISNUMBER(SEARCH("556",M507)))*(O507*SUMIFS(Premissas!$C$5:$C$44,Premissas!$A$5:$A$44,$A507,Premissas!$B$5:$B$44,$B507)+P507*SUMIFS(Premissas!$D$5:$D$44,Premissas!$A$5:$A$44,$A507,Premissas!$B$5:$B$44,$B507))+R507*SUMIFS(Premissas!$E$5:$E$44,Premissas!$A$5:$A$44,$A507,Premissas!$B$5:$B$44,$B507)+S507*SUMIFS(Premissas!$F$5:$F$44,Premissas!$A$5:$A$44,$A507,Premissas!$B$5:$B$44,$B507)</f>
        <v/>
      </c>
      <c r="L507" s="29">
        <f>J507-K507</f>
        <v/>
      </c>
      <c r="M507" t="inlineStr">
        <is>
          <t>1.556</t>
        </is>
      </c>
      <c r="O507" s="29" t="n">
        <v>0</v>
      </c>
      <c r="P507" s="29" t="n">
        <v>0</v>
      </c>
      <c r="Q507" s="29" t="n">
        <v>0</v>
      </c>
      <c r="R507" s="29" t="n">
        <v>0</v>
      </c>
      <c r="S507" s="29" t="n">
        <v>0</v>
      </c>
      <c r="T507" t="inlineStr">
        <is>
          <t>25260554824435000180550010000022001210073446</t>
        </is>
      </c>
      <c r="U507" t="inlineStr">
        <is>
          <t>Sim</t>
        </is>
      </c>
    </row>
    <row r="508">
      <c r="A508" t="inlineStr">
        <is>
          <t>Uso e consumo</t>
        </is>
      </c>
      <c r="B508" t="inlineStr">
        <is>
          <t>2.01.87 Compra de Peças de Máquinas</t>
        </is>
      </c>
      <c r="C508" s="30" t="n">
        <v>46143</v>
      </c>
      <c r="D508" t="inlineStr">
        <is>
          <t>Em 2026</t>
        </is>
      </c>
      <c r="E508" s="28" t="n">
        <v>46164</v>
      </c>
      <c r="F508" t="inlineStr">
        <is>
          <t>NF-e</t>
        </is>
      </c>
      <c r="G508" t="inlineStr">
        <is>
          <t>000014133</t>
        </is>
      </c>
      <c r="H508" t="inlineStr">
        <is>
          <t>EDNA DE ARAUJO PACHECO LTDA</t>
        </is>
      </c>
      <c r="I508" t="inlineStr">
        <is>
          <t>17.433.873/0001-90</t>
        </is>
      </c>
      <c r="J508" s="29" t="n">
        <v>459.48</v>
      </c>
      <c r="K508" s="29">
        <f>(1-ISNUMBER(SEARCH("556",M508)))*(O508*SUMIFS(Premissas!$C$5:$C$44,Premissas!$A$5:$A$44,$A508,Premissas!$B$5:$B$44,$B508)+P508*SUMIFS(Premissas!$D$5:$D$44,Premissas!$A$5:$A$44,$A508,Premissas!$B$5:$B$44,$B508))+R508*SUMIFS(Premissas!$E$5:$E$44,Premissas!$A$5:$A$44,$A508,Premissas!$B$5:$B$44,$B508)+S508*SUMIFS(Premissas!$F$5:$F$44,Premissas!$A$5:$A$44,$A508,Premissas!$B$5:$B$44,$B508)</f>
        <v/>
      </c>
      <c r="L508" s="29">
        <f>J508-K508</f>
        <v/>
      </c>
      <c r="M508" t="inlineStr">
        <is>
          <t>1.102</t>
        </is>
      </c>
      <c r="O508" s="29" t="n">
        <v>0</v>
      </c>
      <c r="P508" s="29" t="n">
        <v>0</v>
      </c>
      <c r="Q508" s="29" t="n">
        <v>0</v>
      </c>
      <c r="R508" s="29" t="n">
        <v>0</v>
      </c>
      <c r="S508" s="29" t="n">
        <v>0</v>
      </c>
      <c r="T508" t="inlineStr">
        <is>
          <t>25260517433873000190550010000141331016664018</t>
        </is>
      </c>
      <c r="U508" t="inlineStr">
        <is>
          <t>Sim</t>
        </is>
      </c>
    </row>
    <row r="509">
      <c r="A509" t="inlineStr">
        <is>
          <t>Uso e consumo</t>
        </is>
      </c>
      <c r="B509" t="inlineStr">
        <is>
          <t>2.01.87 Compra de Peças de Máquinas</t>
        </is>
      </c>
      <c r="C509" s="30" t="n">
        <v>46143</v>
      </c>
      <c r="D509" t="inlineStr">
        <is>
          <t>Em 2026</t>
        </is>
      </c>
      <c r="E509" s="28" t="n">
        <v>46146</v>
      </c>
      <c r="F509" t="inlineStr">
        <is>
          <t>NF-e</t>
        </is>
      </c>
      <c r="G509" t="inlineStr">
        <is>
          <t>000103891</t>
        </is>
      </c>
      <c r="H509" t="inlineStr">
        <is>
          <t>FERGE COMERCIO DE PRODUTOS INDUSTRIAIS LTDA</t>
        </is>
      </c>
      <c r="I509" t="inlineStr">
        <is>
          <t>09.057.961/0001-07</t>
        </is>
      </c>
      <c r="J509" s="29" t="n">
        <v>1179.9</v>
      </c>
      <c r="K509" s="29">
        <f>(1-ISNUMBER(SEARCH("556",M509)))*(O509*SUMIFS(Premissas!$C$5:$C$44,Premissas!$A$5:$A$44,$A509,Premissas!$B$5:$B$44,$B509)+P509*SUMIFS(Premissas!$D$5:$D$44,Premissas!$A$5:$A$44,$A509,Premissas!$B$5:$B$44,$B509))+R509*SUMIFS(Premissas!$E$5:$E$44,Premissas!$A$5:$A$44,$A509,Premissas!$B$5:$B$44,$B509)+S509*SUMIFS(Premissas!$F$5:$F$44,Premissas!$A$5:$A$44,$A509,Premissas!$B$5:$B$44,$B509)</f>
        <v/>
      </c>
      <c r="L509" s="29">
        <f>J509-K509</f>
        <v/>
      </c>
      <c r="M509" t="inlineStr">
        <is>
          <t>1.556</t>
        </is>
      </c>
      <c r="O509" s="29" t="n">
        <v>0</v>
      </c>
      <c r="P509" s="29" t="n">
        <v>235.98</v>
      </c>
      <c r="Q509" s="29" t="n">
        <v>0</v>
      </c>
      <c r="R509" s="29" t="n">
        <v>0</v>
      </c>
      <c r="S509" s="29" t="n">
        <v>0</v>
      </c>
      <c r="T509" t="inlineStr">
        <is>
          <t>25260509057961000107550010001038911016664013</t>
        </is>
      </c>
      <c r="U509" t="inlineStr">
        <is>
          <t>Sim</t>
        </is>
      </c>
    </row>
    <row r="510">
      <c r="A510" t="inlineStr">
        <is>
          <t>Uso e consumo</t>
        </is>
      </c>
      <c r="B510" t="inlineStr">
        <is>
          <t>2.01.87 Compra de Peças de Máquinas</t>
        </is>
      </c>
      <c r="C510" s="30" t="n">
        <v>46143</v>
      </c>
      <c r="D510" t="inlineStr">
        <is>
          <t>Em 2026</t>
        </is>
      </c>
      <c r="E510" s="28" t="n">
        <v>46156</v>
      </c>
      <c r="F510" t="inlineStr">
        <is>
          <t>NF-e</t>
        </is>
      </c>
      <c r="G510" t="inlineStr">
        <is>
          <t>000104196</t>
        </is>
      </c>
      <c r="H510" t="inlineStr">
        <is>
          <t>FERGE COMERCIO DE PRODUTOS INDUSTRIAIS LTDA</t>
        </is>
      </c>
      <c r="I510" t="inlineStr">
        <is>
          <t>09.057.961/0001-07</t>
        </is>
      </c>
      <c r="J510" s="29" t="n">
        <v>300</v>
      </c>
      <c r="K510" s="29">
        <f>(1-ISNUMBER(SEARCH("556",M510)))*(O510*SUMIFS(Premissas!$C$5:$C$44,Premissas!$A$5:$A$44,$A510,Premissas!$B$5:$B$44,$B510)+P510*SUMIFS(Premissas!$D$5:$D$44,Premissas!$A$5:$A$44,$A510,Premissas!$B$5:$B$44,$B510))+R510*SUMIFS(Premissas!$E$5:$E$44,Premissas!$A$5:$A$44,$A510,Premissas!$B$5:$B$44,$B510)+S510*SUMIFS(Premissas!$F$5:$F$44,Premissas!$A$5:$A$44,$A510,Premissas!$B$5:$B$44,$B510)</f>
        <v/>
      </c>
      <c r="L510" s="29">
        <f>J510-K510</f>
        <v/>
      </c>
      <c r="M510" t="inlineStr">
        <is>
          <t>1.556</t>
        </is>
      </c>
      <c r="O510" s="29" t="n">
        <v>0</v>
      </c>
      <c r="P510" s="29" t="n">
        <v>60</v>
      </c>
      <c r="Q510" s="29" t="n">
        <v>0</v>
      </c>
      <c r="R510" s="29" t="n">
        <v>0</v>
      </c>
      <c r="S510" s="29" t="n">
        <v>0</v>
      </c>
      <c r="T510" t="inlineStr">
        <is>
          <t>25260509057961000107550010001041961016664016</t>
        </is>
      </c>
      <c r="U510" t="inlineStr">
        <is>
          <t>Sim</t>
        </is>
      </c>
    </row>
    <row r="511">
      <c r="A511" t="inlineStr">
        <is>
          <t>Uso e consumo</t>
        </is>
      </c>
      <c r="B511" t="inlineStr">
        <is>
          <t>2.01.87 Compra de Peças de Máquinas</t>
        </is>
      </c>
      <c r="C511" s="30" t="n">
        <v>46143</v>
      </c>
      <c r="D511" t="inlineStr">
        <is>
          <t>Em 2026</t>
        </is>
      </c>
      <c r="E511" s="28" t="n">
        <v>46150</v>
      </c>
      <c r="F511" t="inlineStr">
        <is>
          <t>NF-e</t>
        </is>
      </c>
      <c r="G511" t="inlineStr">
        <is>
          <t>000006450</t>
        </is>
      </c>
      <c r="H511" t="inlineStr">
        <is>
          <t>GF COMERCIO DE PRODUTOS INDUSTRIAIS LTDA</t>
        </is>
      </c>
      <c r="I511" t="inlineStr">
        <is>
          <t>35.721.163/0001-48</t>
        </is>
      </c>
      <c r="J511" s="29" t="n">
        <v>200</v>
      </c>
      <c r="K511" s="29">
        <f>(1-ISNUMBER(SEARCH("556",M511)))*(O511*SUMIFS(Premissas!$C$5:$C$44,Premissas!$A$5:$A$44,$A511,Premissas!$B$5:$B$44,$B511)+P511*SUMIFS(Premissas!$D$5:$D$44,Premissas!$A$5:$A$44,$A511,Premissas!$B$5:$B$44,$B511))+R511*SUMIFS(Premissas!$E$5:$E$44,Premissas!$A$5:$A$44,$A511,Premissas!$B$5:$B$44,$B511)+S511*SUMIFS(Premissas!$F$5:$F$44,Premissas!$A$5:$A$44,$A511,Premissas!$B$5:$B$44,$B511)</f>
        <v/>
      </c>
      <c r="L511" s="29">
        <f>J511-K511</f>
        <v/>
      </c>
      <c r="M511" t="inlineStr">
        <is>
          <t>1.556</t>
        </is>
      </c>
      <c r="O511" s="29" t="n">
        <v>0</v>
      </c>
      <c r="P511" s="29" t="n">
        <v>0</v>
      </c>
      <c r="Q511" s="29" t="n">
        <v>0</v>
      </c>
      <c r="R511" s="29" t="n">
        <v>0</v>
      </c>
      <c r="S511" s="29" t="n">
        <v>0</v>
      </c>
      <c r="T511" t="inlineStr">
        <is>
          <t>25260535721163000148550000000064501016664016</t>
        </is>
      </c>
      <c r="U511" t="inlineStr">
        <is>
          <t>Sim</t>
        </is>
      </c>
    </row>
    <row r="512">
      <c r="A512" t="inlineStr">
        <is>
          <t>Uso e consumo</t>
        </is>
      </c>
      <c r="B512" t="inlineStr">
        <is>
          <t>2.01.87 Compra de Peças de Máquinas</t>
        </is>
      </c>
      <c r="C512" s="30" t="n">
        <v>46143</v>
      </c>
      <c r="D512" t="inlineStr">
        <is>
          <t>Em 2026</t>
        </is>
      </c>
      <c r="E512" s="28" t="n">
        <v>46154</v>
      </c>
      <c r="F512" t="inlineStr">
        <is>
          <t>NF-e</t>
        </is>
      </c>
      <c r="G512" t="inlineStr">
        <is>
          <t>000006480</t>
        </is>
      </c>
      <c r="H512" t="inlineStr">
        <is>
          <t>GF COMERCIO DE PRODUTOS INDUSTRIAIS LTDA</t>
        </is>
      </c>
      <c r="I512" t="inlineStr">
        <is>
          <t>35.721.163/0001-48</t>
        </is>
      </c>
      <c r="J512" s="29" t="n">
        <v>1110.2</v>
      </c>
      <c r="K512" s="29">
        <f>(1-ISNUMBER(SEARCH("556",M512)))*(O512*SUMIFS(Premissas!$C$5:$C$44,Premissas!$A$5:$A$44,$A512,Premissas!$B$5:$B$44,$B512)+P512*SUMIFS(Premissas!$D$5:$D$44,Premissas!$A$5:$A$44,$A512,Premissas!$B$5:$B$44,$B512))+R512*SUMIFS(Premissas!$E$5:$E$44,Premissas!$A$5:$A$44,$A512,Premissas!$B$5:$B$44,$B512)+S512*SUMIFS(Premissas!$F$5:$F$44,Premissas!$A$5:$A$44,$A512,Premissas!$B$5:$B$44,$B512)</f>
        <v/>
      </c>
      <c r="L512" s="29">
        <f>J512-K512</f>
        <v/>
      </c>
      <c r="M512" t="inlineStr">
        <is>
          <t>1.102, 1.403, 1.556</t>
        </is>
      </c>
      <c r="O512" s="29" t="n">
        <v>0</v>
      </c>
      <c r="P512" s="29" t="n">
        <v>0</v>
      </c>
      <c r="Q512" s="29" t="n">
        <v>0</v>
      </c>
      <c r="R512" s="29" t="n">
        <v>0</v>
      </c>
      <c r="S512" s="29" t="n">
        <v>0</v>
      </c>
      <c r="T512" t="inlineStr">
        <is>
          <t>25260535721163000148550000000064801016664015</t>
        </is>
      </c>
      <c r="U512" t="inlineStr">
        <is>
          <t>Sim</t>
        </is>
      </c>
    </row>
    <row r="513">
      <c r="A513" t="inlineStr">
        <is>
          <t>Uso e consumo</t>
        </is>
      </c>
      <c r="B513" t="inlineStr">
        <is>
          <t>2.01.87 Compra de Peças de Máquinas</t>
        </is>
      </c>
      <c r="C513" s="30" t="n">
        <v>46143</v>
      </c>
      <c r="D513" t="inlineStr">
        <is>
          <t>Em 2026</t>
        </is>
      </c>
      <c r="E513" s="28" t="n">
        <v>46162</v>
      </c>
      <c r="F513" t="inlineStr">
        <is>
          <t>NF-e</t>
        </is>
      </c>
      <c r="G513" t="inlineStr">
        <is>
          <t>000006572</t>
        </is>
      </c>
      <c r="H513" t="inlineStr">
        <is>
          <t>GF COMERCIO DE PRODUTOS INDUSTRIAIS LTDA</t>
        </is>
      </c>
      <c r="I513" t="inlineStr">
        <is>
          <t>35.721.163/0001-48</t>
        </is>
      </c>
      <c r="J513" s="29" t="n">
        <v>240</v>
      </c>
      <c r="K513" s="29">
        <f>(1-ISNUMBER(SEARCH("556",M513)))*(O513*SUMIFS(Premissas!$C$5:$C$44,Premissas!$A$5:$A$44,$A513,Premissas!$B$5:$B$44,$B513)+P513*SUMIFS(Premissas!$D$5:$D$44,Premissas!$A$5:$A$44,$A513,Premissas!$B$5:$B$44,$B513))+R513*SUMIFS(Premissas!$E$5:$E$44,Premissas!$A$5:$A$44,$A513,Premissas!$B$5:$B$44,$B513)+S513*SUMIFS(Premissas!$F$5:$F$44,Premissas!$A$5:$A$44,$A513,Premissas!$B$5:$B$44,$B513)</f>
        <v/>
      </c>
      <c r="L513" s="29">
        <f>J513-K513</f>
        <v/>
      </c>
      <c r="M513" t="inlineStr">
        <is>
          <t>1.556</t>
        </is>
      </c>
      <c r="O513" s="29" t="n">
        <v>0</v>
      </c>
      <c r="P513" s="29" t="n">
        <v>0</v>
      </c>
      <c r="Q513" s="29" t="n">
        <v>0</v>
      </c>
      <c r="R513" s="29" t="n">
        <v>0</v>
      </c>
      <c r="S513" s="29" t="n">
        <v>0</v>
      </c>
      <c r="T513" t="inlineStr">
        <is>
          <t>25260535721163000148550000000065721016664019</t>
        </is>
      </c>
      <c r="U513" t="inlineStr">
        <is>
          <t>Sim</t>
        </is>
      </c>
    </row>
    <row r="514">
      <c r="A514" t="inlineStr">
        <is>
          <t>Uso e consumo</t>
        </is>
      </c>
      <c r="B514" t="inlineStr">
        <is>
          <t>2.01.87 Compra de Peças de Máquinas</t>
        </is>
      </c>
      <c r="C514" s="30" t="n">
        <v>46143</v>
      </c>
      <c r="D514" t="inlineStr">
        <is>
          <t>Em 2026</t>
        </is>
      </c>
      <c r="E514" s="28" t="n">
        <v>46169</v>
      </c>
      <c r="F514" t="inlineStr">
        <is>
          <t>NF-e</t>
        </is>
      </c>
      <c r="G514" t="inlineStr">
        <is>
          <t>000006661</t>
        </is>
      </c>
      <c r="H514" t="inlineStr">
        <is>
          <t>GF COMERCIO DE PRODUTOS INDUSTRIAIS LTDA</t>
        </is>
      </c>
      <c r="I514" t="inlineStr">
        <is>
          <t>35.721.163/0001-48</t>
        </is>
      </c>
      <c r="J514" s="29" t="n">
        <v>4803.08</v>
      </c>
      <c r="K514" s="29">
        <f>(1-ISNUMBER(SEARCH("556",M514)))*(O514*SUMIFS(Premissas!$C$5:$C$44,Premissas!$A$5:$A$44,$A514,Premissas!$B$5:$B$44,$B514)+P514*SUMIFS(Premissas!$D$5:$D$44,Premissas!$A$5:$A$44,$A514,Premissas!$B$5:$B$44,$B514))+R514*SUMIFS(Premissas!$E$5:$E$44,Premissas!$A$5:$A$44,$A514,Premissas!$B$5:$B$44,$B514)+S514*SUMIFS(Premissas!$F$5:$F$44,Premissas!$A$5:$A$44,$A514,Premissas!$B$5:$B$44,$B514)</f>
        <v/>
      </c>
      <c r="L514" s="29">
        <f>J514-K514</f>
        <v/>
      </c>
      <c r="M514" t="inlineStr">
        <is>
          <t>1.102, 1.403</t>
        </is>
      </c>
      <c r="O514" s="29" t="n">
        <v>0</v>
      </c>
      <c r="P514" s="29" t="n">
        <v>0</v>
      </c>
      <c r="Q514" s="29" t="n">
        <v>0</v>
      </c>
      <c r="R514" s="29" t="n">
        <v>0</v>
      </c>
      <c r="S514" s="29" t="n">
        <v>0</v>
      </c>
      <c r="T514" t="inlineStr">
        <is>
          <t>25260535721163000148550000000066611016664010</t>
        </is>
      </c>
      <c r="U514" t="inlineStr">
        <is>
          <t>Sim</t>
        </is>
      </c>
    </row>
    <row r="515">
      <c r="A515" t="inlineStr">
        <is>
          <t>Uso e consumo</t>
        </is>
      </c>
      <c r="B515" t="inlineStr">
        <is>
          <t>2.01.87 Compra de Peças de Máquinas</t>
        </is>
      </c>
      <c r="C515" s="30" t="n">
        <v>46143</v>
      </c>
      <c r="D515" t="inlineStr">
        <is>
          <t>Em 2026</t>
        </is>
      </c>
      <c r="E515" s="28" t="n">
        <v>46160</v>
      </c>
      <c r="F515" t="inlineStr">
        <is>
          <t>NF-e</t>
        </is>
      </c>
      <c r="G515" t="inlineStr">
        <is>
          <t>000010613</t>
        </is>
      </c>
      <c r="H515" t="inlineStr">
        <is>
          <t>KADISA INDUSTRIA E COMERCIO LTDA - ME (FILIAL PB)</t>
        </is>
      </c>
      <c r="I515" t="inlineStr">
        <is>
          <t>03.735.242/0002-00</t>
        </is>
      </c>
      <c r="J515" s="29" t="n">
        <v>1200</v>
      </c>
      <c r="K515" s="29">
        <f>(1-ISNUMBER(SEARCH("556",M515)))*(O515*SUMIFS(Premissas!$C$5:$C$44,Premissas!$A$5:$A$44,$A515,Premissas!$B$5:$B$44,$B515)+P515*SUMIFS(Premissas!$D$5:$D$44,Premissas!$A$5:$A$44,$A515,Premissas!$B$5:$B$44,$B515))+R515*SUMIFS(Premissas!$E$5:$E$44,Premissas!$A$5:$A$44,$A515,Premissas!$B$5:$B$44,$B515)+S515*SUMIFS(Premissas!$F$5:$F$44,Premissas!$A$5:$A$44,$A515,Premissas!$B$5:$B$44,$B515)</f>
        <v/>
      </c>
      <c r="L515" s="29">
        <f>J515-K515</f>
        <v/>
      </c>
      <c r="M515" t="inlineStr">
        <is>
          <t>1.556</t>
        </is>
      </c>
      <c r="O515" s="29" t="n">
        <v>0</v>
      </c>
      <c r="P515" s="29" t="n">
        <v>240</v>
      </c>
      <c r="Q515" s="29" t="n">
        <v>0</v>
      </c>
      <c r="R515" s="29" t="n">
        <v>0</v>
      </c>
      <c r="S515" s="29" t="n">
        <v>0</v>
      </c>
      <c r="T515" t="inlineStr">
        <is>
          <t>25260503735242000200550010000106131012000952</t>
        </is>
      </c>
      <c r="U515" t="inlineStr">
        <is>
          <t>Sim</t>
        </is>
      </c>
    </row>
    <row r="516">
      <c r="A516" t="inlineStr">
        <is>
          <t>Uso e consumo</t>
        </is>
      </c>
      <c r="B516" t="inlineStr">
        <is>
          <t>2.01.87 Compra de Peças de Máquinas</t>
        </is>
      </c>
      <c r="C516" s="30" t="n">
        <v>46143</v>
      </c>
      <c r="D516" t="inlineStr">
        <is>
          <t>Em 2026</t>
        </is>
      </c>
      <c r="E516" s="28" t="n">
        <v>46171</v>
      </c>
      <c r="F516" t="inlineStr">
        <is>
          <t>NF-e</t>
        </is>
      </c>
      <c r="G516" t="inlineStr">
        <is>
          <t>000003417</t>
        </is>
      </c>
      <c r="H516" t="inlineStr">
        <is>
          <t>TECHPRINT FACAS INDUSTRIAIS</t>
        </is>
      </c>
      <c r="I516" t="inlineStr">
        <is>
          <t>23.105.251/0001-36</t>
        </is>
      </c>
      <c r="J516" s="29" t="n">
        <v>4461.24</v>
      </c>
      <c r="K516" s="29">
        <f>(1-ISNUMBER(SEARCH("556",M516)))*(O516*SUMIFS(Premissas!$C$5:$C$44,Premissas!$A$5:$A$44,$A516,Premissas!$B$5:$B$44,$B516)+P516*SUMIFS(Premissas!$D$5:$D$44,Premissas!$A$5:$A$44,$A516,Premissas!$B$5:$B$44,$B516))+R516*SUMIFS(Premissas!$E$5:$E$44,Premissas!$A$5:$A$44,$A516,Premissas!$B$5:$B$44,$B516)+S516*SUMIFS(Premissas!$F$5:$F$44,Premissas!$A$5:$A$44,$A516,Premissas!$B$5:$B$44,$B516)</f>
        <v/>
      </c>
      <c r="L516" s="29">
        <f>J516-K516</f>
        <v/>
      </c>
      <c r="M516" t="inlineStr">
        <is>
          <t>2.102</t>
        </is>
      </c>
      <c r="O516" s="29" t="n">
        <v>0</v>
      </c>
      <c r="P516" s="29" t="n">
        <v>0</v>
      </c>
      <c r="Q516" s="29" t="n">
        <v>0</v>
      </c>
      <c r="R516" s="29" t="n">
        <v>0</v>
      </c>
      <c r="S516" s="29" t="n">
        <v>0</v>
      </c>
      <c r="T516" t="inlineStr">
        <is>
          <t>41260523105251000136550010000034171000542885</t>
        </is>
      </c>
      <c r="U516" t="inlineStr">
        <is>
          <t>Sim</t>
        </is>
      </c>
    </row>
    <row r="517">
      <c r="A517" t="inlineStr">
        <is>
          <t>Uso e consumo</t>
        </is>
      </c>
      <c r="B517" t="inlineStr">
        <is>
          <t>2.01.87 Compra de Peças de Máquinas</t>
        </is>
      </c>
      <c r="C517" s="30" t="n">
        <v>46174</v>
      </c>
      <c r="D517" t="inlineStr">
        <is>
          <t>Em 2026</t>
        </is>
      </c>
      <c r="E517" s="28" t="n">
        <v>46181</v>
      </c>
      <c r="F517" t="inlineStr">
        <is>
          <t>NF-e</t>
        </is>
      </c>
      <c r="G517" t="inlineStr">
        <is>
          <t>000009219</t>
        </is>
      </c>
      <c r="H517" t="inlineStr">
        <is>
          <t>ELETROCELO COMERCIO DE MATERIAIS ELETRICOS LTDA</t>
        </is>
      </c>
      <c r="I517" t="inlineStr">
        <is>
          <t>06.079.126/0001-80</t>
        </is>
      </c>
      <c r="J517" s="29" t="n">
        <v>63.49</v>
      </c>
      <c r="K517" s="29">
        <f>(1-ISNUMBER(SEARCH("556",M517)))*(O517*SUMIFS(Premissas!$C$5:$C$44,Premissas!$A$5:$A$44,$A517,Premissas!$B$5:$B$44,$B517)+P517*SUMIFS(Premissas!$D$5:$D$44,Premissas!$A$5:$A$44,$A517,Premissas!$B$5:$B$44,$B517))+R517*SUMIFS(Premissas!$E$5:$E$44,Premissas!$A$5:$A$44,$A517,Premissas!$B$5:$B$44,$B517)+S517*SUMIFS(Premissas!$F$5:$F$44,Premissas!$A$5:$A$44,$A517,Premissas!$B$5:$B$44,$B517)</f>
        <v/>
      </c>
      <c r="L517" s="29">
        <f>J517-K517</f>
        <v/>
      </c>
      <c r="M517" t="inlineStr">
        <is>
          <t>1.556</t>
        </is>
      </c>
      <c r="O517" s="29" t="n">
        <v>0</v>
      </c>
      <c r="P517" s="29" t="n">
        <v>0</v>
      </c>
      <c r="Q517" s="29" t="n">
        <v>0</v>
      </c>
      <c r="R517" s="29" t="n">
        <v>0</v>
      </c>
      <c r="S517" s="29" t="n">
        <v>0</v>
      </c>
      <c r="T517" t="inlineStr">
        <is>
          <t>25260606079126000180550010000092191743778836</t>
        </is>
      </c>
      <c r="U517" t="inlineStr">
        <is>
          <t>Sim</t>
        </is>
      </c>
    </row>
    <row r="518">
      <c r="A518" t="inlineStr">
        <is>
          <t>Uso e consumo</t>
        </is>
      </c>
      <c r="B518" t="inlineStr">
        <is>
          <t>2.01.87 Compra de Peças de Máquinas</t>
        </is>
      </c>
      <c r="C518" s="30" t="n">
        <v>46174</v>
      </c>
      <c r="D518" t="inlineStr">
        <is>
          <t>Em 2026</t>
        </is>
      </c>
      <c r="E518" s="28" t="n">
        <v>46195</v>
      </c>
      <c r="F518" t="inlineStr">
        <is>
          <t>NF-e</t>
        </is>
      </c>
      <c r="G518" t="inlineStr">
        <is>
          <t>000072401</t>
        </is>
      </c>
      <c r="H518" t="inlineStr">
        <is>
          <t>FURNAX COMERCIAL E IMPORTADORA EIRELI</t>
        </is>
      </c>
      <c r="I518" t="inlineStr">
        <is>
          <t>00.144.257/0001-17</t>
        </is>
      </c>
      <c r="J518" s="29" t="n">
        <v>546.96</v>
      </c>
      <c r="K518" s="29">
        <f>(1-ISNUMBER(SEARCH("556",M518)))*(O518*SUMIFS(Premissas!$C$5:$C$44,Premissas!$A$5:$A$44,$A518,Premissas!$B$5:$B$44,$B518)+P518*SUMIFS(Premissas!$D$5:$D$44,Premissas!$A$5:$A$44,$A518,Premissas!$B$5:$B$44,$B518))+R518*SUMIFS(Premissas!$E$5:$E$44,Premissas!$A$5:$A$44,$A518,Premissas!$B$5:$B$44,$B518)+S518*SUMIFS(Premissas!$F$5:$F$44,Premissas!$A$5:$A$44,$A518,Premissas!$B$5:$B$44,$B518)</f>
        <v/>
      </c>
      <c r="L518" s="29">
        <f>J518-K518</f>
        <v/>
      </c>
      <c r="M518" t="inlineStr">
        <is>
          <t>2.556</t>
        </is>
      </c>
      <c r="O518" s="29" t="n">
        <v>17.22</v>
      </c>
      <c r="P518" s="29" t="n">
        <v>21.88</v>
      </c>
      <c r="Q518" s="29" t="n">
        <v>0</v>
      </c>
      <c r="R518" s="29" t="n">
        <v>8.380000000000001</v>
      </c>
      <c r="S518" s="29" t="n">
        <v>38.6</v>
      </c>
      <c r="T518" t="inlineStr">
        <is>
          <t>35260600144257000117550010000724011600090039</t>
        </is>
      </c>
      <c r="U518" t="inlineStr">
        <is>
          <t>Sim</t>
        </is>
      </c>
    </row>
    <row r="519">
      <c r="A519" t="inlineStr">
        <is>
          <t>Uso e consumo</t>
        </is>
      </c>
      <c r="B519" t="inlineStr">
        <is>
          <t>2.01.87 Compra de Peças de Máquinas</t>
        </is>
      </c>
      <c r="C519" s="30" t="n">
        <v>46174</v>
      </c>
      <c r="D519" t="inlineStr">
        <is>
          <t>Em 2026</t>
        </is>
      </c>
      <c r="E519" s="28" t="n">
        <v>46177</v>
      </c>
      <c r="F519" t="inlineStr">
        <is>
          <t>NF-e</t>
        </is>
      </c>
      <c r="G519" t="inlineStr">
        <is>
          <t>000006742</t>
        </is>
      </c>
      <c r="H519" t="inlineStr">
        <is>
          <t>GF COMERCIO DE PRODUTOS INDUSTRIAIS LTDA</t>
        </is>
      </c>
      <c r="I519" t="inlineStr">
        <is>
          <t>35.721.163/0001-48</t>
        </is>
      </c>
      <c r="J519" s="29" t="n">
        <v>1201.56</v>
      </c>
      <c r="K519" s="29">
        <f>(1-ISNUMBER(SEARCH("556",M519)))*(O519*SUMIFS(Premissas!$C$5:$C$44,Premissas!$A$5:$A$44,$A519,Premissas!$B$5:$B$44,$B519)+P519*SUMIFS(Premissas!$D$5:$D$44,Premissas!$A$5:$A$44,$A519,Premissas!$B$5:$B$44,$B519))+R519*SUMIFS(Premissas!$E$5:$E$44,Premissas!$A$5:$A$44,$A519,Premissas!$B$5:$B$44,$B519)+S519*SUMIFS(Premissas!$F$5:$F$44,Premissas!$A$5:$A$44,$A519,Premissas!$B$5:$B$44,$B519)</f>
        <v/>
      </c>
      <c r="L519" s="29">
        <f>J519-K519</f>
        <v/>
      </c>
      <c r="M519" t="inlineStr">
        <is>
          <t>1.102</t>
        </is>
      </c>
      <c r="O519" s="29" t="n">
        <v>0</v>
      </c>
      <c r="P519" s="29" t="n">
        <v>0</v>
      </c>
      <c r="Q519" s="29" t="n">
        <v>0</v>
      </c>
      <c r="R519" s="29" t="n">
        <v>0</v>
      </c>
      <c r="S519" s="29" t="n">
        <v>0</v>
      </c>
      <c r="T519" t="inlineStr">
        <is>
          <t>25260635721163000148550000000067421016664014</t>
        </is>
      </c>
      <c r="U519" t="inlineStr">
        <is>
          <t>Sim</t>
        </is>
      </c>
    </row>
    <row r="520">
      <c r="A520" t="inlineStr">
        <is>
          <t>Uso e consumo</t>
        </is>
      </c>
      <c r="B520" t="inlineStr">
        <is>
          <t>2.01.87 Compra de Peças de Máquinas</t>
        </is>
      </c>
      <c r="C520" s="30" t="n">
        <v>46174</v>
      </c>
      <c r="D520" t="inlineStr">
        <is>
          <t>Em 2026</t>
        </is>
      </c>
      <c r="E520" s="28" t="n">
        <v>46183</v>
      </c>
      <c r="F520" t="inlineStr">
        <is>
          <t>NF-e</t>
        </is>
      </c>
      <c r="G520" t="inlineStr">
        <is>
          <t>000006801</t>
        </is>
      </c>
      <c r="H520" t="inlineStr">
        <is>
          <t>GF COMERCIO DE PRODUTOS INDUSTRIAIS LTDA</t>
        </is>
      </c>
      <c r="I520" t="inlineStr">
        <is>
          <t>35.721.163/0001-48</t>
        </is>
      </c>
      <c r="J520" s="29" t="n">
        <v>682.5</v>
      </c>
      <c r="K520" s="29">
        <f>(1-ISNUMBER(SEARCH("556",M520)))*(O520*SUMIFS(Premissas!$C$5:$C$44,Premissas!$A$5:$A$44,$A520,Premissas!$B$5:$B$44,$B520)+P520*SUMIFS(Premissas!$D$5:$D$44,Premissas!$A$5:$A$44,$A520,Premissas!$B$5:$B$44,$B520))+R520*SUMIFS(Premissas!$E$5:$E$44,Premissas!$A$5:$A$44,$A520,Premissas!$B$5:$B$44,$B520)+S520*SUMIFS(Premissas!$F$5:$F$44,Premissas!$A$5:$A$44,$A520,Premissas!$B$5:$B$44,$B520)</f>
        <v/>
      </c>
      <c r="L520" s="29">
        <f>J520-K520</f>
        <v/>
      </c>
      <c r="M520" t="inlineStr">
        <is>
          <t>1.102</t>
        </is>
      </c>
      <c r="O520" s="29" t="n">
        <v>0</v>
      </c>
      <c r="P520" s="29" t="n">
        <v>0</v>
      </c>
      <c r="Q520" s="29" t="n">
        <v>0</v>
      </c>
      <c r="R520" s="29" t="n">
        <v>0</v>
      </c>
      <c r="S520" s="29" t="n">
        <v>0</v>
      </c>
      <c r="T520" t="inlineStr">
        <is>
          <t>25260635721163000148550000000068011016664017</t>
        </is>
      </c>
      <c r="U520" t="inlineStr">
        <is>
          <t>Sim</t>
        </is>
      </c>
    </row>
    <row r="521">
      <c r="A521" t="inlineStr">
        <is>
          <t>Uso e consumo</t>
        </is>
      </c>
      <c r="B521" t="inlineStr">
        <is>
          <t>2.01.87 Compra de Peças de Máquinas</t>
        </is>
      </c>
      <c r="C521" s="30" t="n">
        <v>46174</v>
      </c>
      <c r="D521" t="inlineStr">
        <is>
          <t>Em 2026</t>
        </is>
      </c>
      <c r="E521" s="28" t="n">
        <v>46182</v>
      </c>
      <c r="F521" t="inlineStr">
        <is>
          <t>NF-e</t>
        </is>
      </c>
      <c r="G521" t="inlineStr">
        <is>
          <t>000000076</t>
        </is>
      </c>
      <c r="H521" t="inlineStr">
        <is>
          <t>RAMAO RENATO SZORTYKA</t>
        </is>
      </c>
      <c r="I521" t="inlineStr">
        <is>
          <t>94.502.630/0001-08</t>
        </is>
      </c>
      <c r="J521" s="29" t="n">
        <v>310.79</v>
      </c>
      <c r="K521" s="29">
        <f>(1-ISNUMBER(SEARCH("556",M521)))*(O521*SUMIFS(Premissas!$C$5:$C$44,Premissas!$A$5:$A$44,$A521,Premissas!$B$5:$B$44,$B521)+P521*SUMIFS(Premissas!$D$5:$D$44,Premissas!$A$5:$A$44,$A521,Premissas!$B$5:$B$44,$B521))+R521*SUMIFS(Premissas!$E$5:$E$44,Premissas!$A$5:$A$44,$A521,Premissas!$B$5:$B$44,$B521)+S521*SUMIFS(Premissas!$F$5:$F$44,Premissas!$A$5:$A$44,$A521,Premissas!$B$5:$B$44,$B521)</f>
        <v/>
      </c>
      <c r="L521" s="29">
        <f>J521-K521</f>
        <v/>
      </c>
      <c r="M521" t="inlineStr">
        <is>
          <t>2.102</t>
        </is>
      </c>
      <c r="O521" s="29" t="n">
        <v>0</v>
      </c>
      <c r="P521" s="29" t="n">
        <v>0</v>
      </c>
      <c r="Q521" s="29" t="n">
        <v>0</v>
      </c>
      <c r="R521" s="29" t="n">
        <v>4.77</v>
      </c>
      <c r="S521" s="29" t="n">
        <v>21.97</v>
      </c>
      <c r="T521" t="inlineStr">
        <is>
          <t>43260694502630000108550020000000761006250881</t>
        </is>
      </c>
      <c r="U521" t="inlineStr">
        <is>
          <t>Sim</t>
        </is>
      </c>
    </row>
    <row r="522">
      <c r="A522" t="inlineStr">
        <is>
          <t>Uso e consumo</t>
        </is>
      </c>
      <c r="B522" t="inlineStr">
        <is>
          <t>2.01.87 Compra de Peças de Máquinas</t>
        </is>
      </c>
      <c r="C522" s="30" t="n">
        <v>46174</v>
      </c>
      <c r="D522" t="inlineStr">
        <is>
          <t>Em 2026</t>
        </is>
      </c>
      <c r="E522" s="28" t="n">
        <v>46192</v>
      </c>
      <c r="F522" t="inlineStr">
        <is>
          <t>NF-e</t>
        </is>
      </c>
      <c r="G522" t="inlineStr">
        <is>
          <t>000003439</t>
        </is>
      </c>
      <c r="H522" t="inlineStr">
        <is>
          <t>TECHPRINT FACAS INDUSTRIAIS</t>
        </is>
      </c>
      <c r="I522" t="inlineStr">
        <is>
          <t>23.105.251/0001-36</t>
        </is>
      </c>
      <c r="J522" s="29" t="n">
        <v>1370</v>
      </c>
      <c r="K522" s="29">
        <f>(1-ISNUMBER(SEARCH("556",M522)))*(O522*SUMIFS(Premissas!$C$5:$C$44,Premissas!$A$5:$A$44,$A522,Premissas!$B$5:$B$44,$B522)+P522*SUMIFS(Premissas!$D$5:$D$44,Premissas!$A$5:$A$44,$A522,Premissas!$B$5:$B$44,$B522))+R522*SUMIFS(Premissas!$E$5:$E$44,Premissas!$A$5:$A$44,$A522,Premissas!$B$5:$B$44,$B522)+S522*SUMIFS(Premissas!$F$5:$F$44,Premissas!$A$5:$A$44,$A522,Premissas!$B$5:$B$44,$B522)</f>
        <v/>
      </c>
      <c r="L522" s="29">
        <f>J522-K522</f>
        <v/>
      </c>
      <c r="M522" t="inlineStr">
        <is>
          <t>2.556</t>
        </is>
      </c>
      <c r="O522" s="29" t="n">
        <v>0</v>
      </c>
      <c r="P522" s="29" t="n">
        <v>0</v>
      </c>
      <c r="Q522" s="29" t="n">
        <v>0</v>
      </c>
      <c r="R522" s="29" t="n">
        <v>0</v>
      </c>
      <c r="S522" s="29" t="n">
        <v>0</v>
      </c>
      <c r="T522" t="inlineStr">
        <is>
          <t>41260623105251000136550010000034391001078679</t>
        </is>
      </c>
      <c r="U522" t="inlineStr">
        <is>
          <t>Sim</t>
        </is>
      </c>
    </row>
    <row r="523">
      <c r="A523" t="inlineStr">
        <is>
          <t>Uso e consumo</t>
        </is>
      </c>
      <c r="B523" t="inlineStr">
        <is>
          <t>2.01.87 Compra de Peças de Máquinas</t>
        </is>
      </c>
      <c r="C523" s="30" t="n">
        <v>46204</v>
      </c>
      <c r="D523" t="inlineStr">
        <is>
          <t>Em 2026</t>
        </is>
      </c>
      <c r="E523" s="28" t="n">
        <v>46225</v>
      </c>
      <c r="F523" t="inlineStr">
        <is>
          <t>NF-e</t>
        </is>
      </c>
      <c r="G523" t="inlineStr">
        <is>
          <t>000025998</t>
        </is>
      </c>
      <c r="H523" t="inlineStr">
        <is>
          <t>CLAUDIA FERREIRA GODOI</t>
        </is>
      </c>
      <c r="I523" t="inlineStr">
        <is>
          <t>40.480.256/0001-68</t>
        </is>
      </c>
      <c r="J523" s="29" t="n">
        <v>103</v>
      </c>
      <c r="K523" s="29">
        <f>(1-ISNUMBER(SEARCH("556",M523)))*(O523*SUMIFS(Premissas!$C$5:$C$44,Premissas!$A$5:$A$44,$A523,Premissas!$B$5:$B$44,$B523)+P523*SUMIFS(Premissas!$D$5:$D$44,Premissas!$A$5:$A$44,$A523,Premissas!$B$5:$B$44,$B523))+R523*SUMIFS(Premissas!$E$5:$E$44,Premissas!$A$5:$A$44,$A523,Premissas!$B$5:$B$44,$B523)+S523*SUMIFS(Premissas!$F$5:$F$44,Premissas!$A$5:$A$44,$A523,Premissas!$B$5:$B$44,$B523)</f>
        <v/>
      </c>
      <c r="L523" s="29">
        <f>J523-K523</f>
        <v/>
      </c>
      <c r="M523" t="inlineStr">
        <is>
          <t>2.556</t>
        </is>
      </c>
      <c r="O523" s="29" t="n">
        <v>0</v>
      </c>
      <c r="P523" s="29" t="n">
        <v>0</v>
      </c>
      <c r="Q523" s="29" t="n">
        <v>0</v>
      </c>
      <c r="R523" s="29" t="n">
        <v>0</v>
      </c>
      <c r="S523" s="29" t="n">
        <v>0</v>
      </c>
      <c r="T523" t="inlineStr">
        <is>
          <t>35260740480256000168550020000259981989385431</t>
        </is>
      </c>
      <c r="U523" t="inlineStr">
        <is>
          <t>Sim</t>
        </is>
      </c>
    </row>
    <row r="524">
      <c r="A524" t="inlineStr">
        <is>
          <t>Uso e consumo</t>
        </is>
      </c>
      <c r="B524" t="inlineStr">
        <is>
          <t>2.01.87 Compra de Peças de Máquinas</t>
        </is>
      </c>
      <c r="C524" s="30" t="n">
        <v>46204</v>
      </c>
      <c r="D524" t="inlineStr">
        <is>
          <t>Em 2026</t>
        </is>
      </c>
      <c r="E524" s="28" t="n">
        <v>46230</v>
      </c>
      <c r="F524" t="inlineStr">
        <is>
          <t>NF-e</t>
        </is>
      </c>
      <c r="G524" t="inlineStr">
        <is>
          <t>000060088</t>
        </is>
      </c>
      <c r="H524" t="inlineStr">
        <is>
          <t>ELETROPOLO ELETRICIDADE LTDA</t>
        </is>
      </c>
      <c r="I524" t="inlineStr">
        <is>
          <t>02.375.199/0005-91</t>
        </is>
      </c>
      <c r="J524" s="29" t="n">
        <v>320</v>
      </c>
      <c r="K524" s="29">
        <f>(1-ISNUMBER(SEARCH("556",M524)))*(O524*SUMIFS(Premissas!$C$5:$C$44,Premissas!$A$5:$A$44,$A524,Premissas!$B$5:$B$44,$B524)+P524*SUMIFS(Premissas!$D$5:$D$44,Premissas!$A$5:$A$44,$A524,Premissas!$B$5:$B$44,$B524))+R524*SUMIFS(Premissas!$E$5:$E$44,Premissas!$A$5:$A$44,$A524,Premissas!$B$5:$B$44,$B524)+S524*SUMIFS(Premissas!$F$5:$F$44,Premissas!$A$5:$A$44,$A524,Premissas!$B$5:$B$44,$B524)</f>
        <v/>
      </c>
      <c r="L524" s="29">
        <f>J524-K524</f>
        <v/>
      </c>
      <c r="M524" t="inlineStr">
        <is>
          <t>1.556</t>
        </is>
      </c>
      <c r="O524" s="29" t="n">
        <v>0</v>
      </c>
      <c r="P524" s="29" t="n">
        <v>64</v>
      </c>
      <c r="Q524" s="29" t="n">
        <v>0</v>
      </c>
      <c r="R524" s="29" t="n">
        <v>4.22</v>
      </c>
      <c r="S524" s="29" t="n">
        <v>19.46</v>
      </c>
      <c r="T524" t="inlineStr">
        <is>
          <t>25260702375199000591550030000600881006492015</t>
        </is>
      </c>
      <c r="U524" t="inlineStr">
        <is>
          <t>Sim</t>
        </is>
      </c>
    </row>
    <row r="525">
      <c r="A525" t="inlineStr">
        <is>
          <t>Uso e consumo</t>
        </is>
      </c>
      <c r="B525" t="inlineStr">
        <is>
          <t>2.01.87 Compra de Peças de Máquinas</t>
        </is>
      </c>
      <c r="C525" s="30" t="n">
        <v>46204</v>
      </c>
      <c r="D525" t="inlineStr">
        <is>
          <t>Em 2026</t>
        </is>
      </c>
      <c r="E525" s="28" t="n">
        <v>46210</v>
      </c>
      <c r="F525" t="inlineStr">
        <is>
          <t>NF-e</t>
        </is>
      </c>
      <c r="G525" t="inlineStr">
        <is>
          <t>000105689</t>
        </is>
      </c>
      <c r="H525" t="inlineStr">
        <is>
          <t>FERGE COMERCIO DE PRODUTOS INDUSTRIAIS LTDA</t>
        </is>
      </c>
      <c r="I525" t="inlineStr">
        <is>
          <t>09.057.961/0001-07</t>
        </is>
      </c>
      <c r="J525" s="29" t="n">
        <v>640</v>
      </c>
      <c r="K525" s="29">
        <f>(1-ISNUMBER(SEARCH("556",M525)))*(O525*SUMIFS(Premissas!$C$5:$C$44,Premissas!$A$5:$A$44,$A525,Premissas!$B$5:$B$44,$B525)+P525*SUMIFS(Premissas!$D$5:$D$44,Premissas!$A$5:$A$44,$A525,Premissas!$B$5:$B$44,$B525))+R525*SUMIFS(Premissas!$E$5:$E$44,Premissas!$A$5:$A$44,$A525,Premissas!$B$5:$B$44,$B525)+S525*SUMIFS(Premissas!$F$5:$F$44,Premissas!$A$5:$A$44,$A525,Premissas!$B$5:$B$44,$B525)</f>
        <v/>
      </c>
      <c r="L525" s="29">
        <f>J525-K525</f>
        <v/>
      </c>
      <c r="M525" t="inlineStr">
        <is>
          <t>1.556</t>
        </is>
      </c>
      <c r="O525" s="29" t="n">
        <v>0</v>
      </c>
      <c r="P525" s="29" t="n">
        <v>128</v>
      </c>
      <c r="Q525" s="29" t="n">
        <v>0</v>
      </c>
      <c r="R525" s="29" t="n">
        <v>0</v>
      </c>
      <c r="S525" s="29" t="n">
        <v>0</v>
      </c>
      <c r="T525" t="inlineStr">
        <is>
          <t>25260709057961000107550010001056891016664010</t>
        </is>
      </c>
      <c r="U525" t="inlineStr">
        <is>
          <t>Sim</t>
        </is>
      </c>
    </row>
    <row r="526">
      <c r="A526" t="inlineStr">
        <is>
          <t>Uso e consumo</t>
        </is>
      </c>
      <c r="B526" t="inlineStr">
        <is>
          <t>2.01.87 Compra de Peças de Máquinas</t>
        </is>
      </c>
      <c r="C526" s="30" t="n">
        <v>46204</v>
      </c>
      <c r="D526" t="inlineStr">
        <is>
          <t>Em 2026</t>
        </is>
      </c>
      <c r="E526" s="28" t="n">
        <v>46219</v>
      </c>
      <c r="F526" t="inlineStr">
        <is>
          <t>NF-e</t>
        </is>
      </c>
      <c r="G526" t="inlineStr">
        <is>
          <t>000106017</t>
        </is>
      </c>
      <c r="H526" t="inlineStr">
        <is>
          <t>FERGE COMERCIO DE PRODUTOS INDUSTRIAIS LTDA</t>
        </is>
      </c>
      <c r="I526" t="inlineStr">
        <is>
          <t>09.057.961/0001-07</t>
        </is>
      </c>
      <c r="J526" s="29" t="n">
        <v>2895</v>
      </c>
      <c r="K526" s="29">
        <f>(1-ISNUMBER(SEARCH("556",M526)))*(O526*SUMIFS(Premissas!$C$5:$C$44,Premissas!$A$5:$A$44,$A526,Premissas!$B$5:$B$44,$B526)+P526*SUMIFS(Premissas!$D$5:$D$44,Premissas!$A$5:$A$44,$A526,Premissas!$B$5:$B$44,$B526))+R526*SUMIFS(Premissas!$E$5:$E$44,Premissas!$A$5:$A$44,$A526,Premissas!$B$5:$B$44,$B526)+S526*SUMIFS(Premissas!$F$5:$F$44,Premissas!$A$5:$A$44,$A526,Premissas!$B$5:$B$44,$B526)</f>
        <v/>
      </c>
      <c r="L526" s="29">
        <f>J526-K526</f>
        <v/>
      </c>
      <c r="M526" t="inlineStr">
        <is>
          <t>1.556</t>
        </is>
      </c>
      <c r="O526" s="29" t="n">
        <v>0</v>
      </c>
      <c r="P526" s="29" t="n">
        <v>579</v>
      </c>
      <c r="Q526" s="29" t="n">
        <v>0</v>
      </c>
      <c r="R526" s="29" t="n">
        <v>0</v>
      </c>
      <c r="S526" s="29" t="n">
        <v>0</v>
      </c>
      <c r="T526" t="inlineStr">
        <is>
          <t>25260709057961000107550010001060171016664013</t>
        </is>
      </c>
      <c r="U526" t="inlineStr">
        <is>
          <t>Sim</t>
        </is>
      </c>
    </row>
    <row r="527">
      <c r="A527" t="inlineStr">
        <is>
          <t>Uso e consumo</t>
        </is>
      </c>
      <c r="B527" t="inlineStr">
        <is>
          <t>2.01.87 Compra de Peças de Máquinas</t>
        </is>
      </c>
      <c r="C527" s="30" t="n">
        <v>46204</v>
      </c>
      <c r="D527" t="inlineStr">
        <is>
          <t>Em 2026</t>
        </is>
      </c>
      <c r="E527" s="28" t="n">
        <v>46227</v>
      </c>
      <c r="F527" t="inlineStr">
        <is>
          <t>NF-e</t>
        </is>
      </c>
      <c r="G527" t="inlineStr">
        <is>
          <t>000106288</t>
        </is>
      </c>
      <c r="H527" t="inlineStr">
        <is>
          <t>FERGE COMERCIO DE PRODUTOS INDUSTRIAIS LTDA</t>
        </is>
      </c>
      <c r="I527" t="inlineStr">
        <is>
          <t>09.057.961/0001-07</t>
        </is>
      </c>
      <c r="J527" s="29" t="n">
        <v>240</v>
      </c>
      <c r="K527" s="29">
        <f>(1-ISNUMBER(SEARCH("556",M527)))*(O527*SUMIFS(Premissas!$C$5:$C$44,Premissas!$A$5:$A$44,$A527,Premissas!$B$5:$B$44,$B527)+P527*SUMIFS(Premissas!$D$5:$D$44,Premissas!$A$5:$A$44,$A527,Premissas!$B$5:$B$44,$B527))+R527*SUMIFS(Premissas!$E$5:$E$44,Premissas!$A$5:$A$44,$A527,Premissas!$B$5:$B$44,$B527)+S527*SUMIFS(Premissas!$F$5:$F$44,Premissas!$A$5:$A$44,$A527,Premissas!$B$5:$B$44,$B527)</f>
        <v/>
      </c>
      <c r="L527" s="29">
        <f>J527-K527</f>
        <v/>
      </c>
      <c r="M527" t="inlineStr">
        <is>
          <t>1.556</t>
        </is>
      </c>
      <c r="O527" s="29" t="n">
        <v>0</v>
      </c>
      <c r="P527" s="29" t="n">
        <v>48</v>
      </c>
      <c r="Q527" s="29" t="n">
        <v>0</v>
      </c>
      <c r="R527" s="29" t="n">
        <v>0</v>
      </c>
      <c r="S527" s="29" t="n">
        <v>0</v>
      </c>
      <c r="T527" t="inlineStr">
        <is>
          <t>25260709057961000107550010001062881016664016</t>
        </is>
      </c>
      <c r="U527" t="inlineStr">
        <is>
          <t>Sim</t>
        </is>
      </c>
    </row>
    <row r="528">
      <c r="A528" t="inlineStr">
        <is>
          <t>Uso e consumo</t>
        </is>
      </c>
      <c r="B528" t="inlineStr">
        <is>
          <t>2.01.87 Compra de Peças de Máquinas</t>
        </is>
      </c>
      <c r="C528" s="30" t="n">
        <v>46204</v>
      </c>
      <c r="D528" t="inlineStr">
        <is>
          <t>Em 2026</t>
        </is>
      </c>
      <c r="E528" s="28" t="n">
        <v>46223</v>
      </c>
      <c r="F528" t="inlineStr">
        <is>
          <t>NF-e</t>
        </is>
      </c>
      <c r="G528" t="inlineStr">
        <is>
          <t>000003819</t>
        </is>
      </c>
      <c r="H528" t="inlineStr">
        <is>
          <t>FERMEC FERRAGENS E MECANICA INDUSTRIAL LTDA</t>
        </is>
      </c>
      <c r="I528" t="inlineStr">
        <is>
          <t>04.392.868/0001-35</t>
        </is>
      </c>
      <c r="J528" s="29" t="n">
        <v>2500</v>
      </c>
      <c r="K528" s="29">
        <f>(1-ISNUMBER(SEARCH("556",M528)))*(O528*SUMIFS(Premissas!$C$5:$C$44,Premissas!$A$5:$A$44,$A528,Premissas!$B$5:$B$44,$B528)+P528*SUMIFS(Premissas!$D$5:$D$44,Premissas!$A$5:$A$44,$A528,Premissas!$B$5:$B$44,$B528))+R528*SUMIFS(Premissas!$E$5:$E$44,Premissas!$A$5:$A$44,$A528,Premissas!$B$5:$B$44,$B528)+S528*SUMIFS(Premissas!$F$5:$F$44,Premissas!$A$5:$A$44,$A528,Premissas!$B$5:$B$44,$B528)</f>
        <v/>
      </c>
      <c r="L528" s="29">
        <f>J528-K528</f>
        <v/>
      </c>
      <c r="M528" t="inlineStr">
        <is>
          <t>1.556</t>
        </is>
      </c>
      <c r="O528" s="29" t="n">
        <v>0</v>
      </c>
      <c r="P528" s="29" t="n">
        <v>0</v>
      </c>
      <c r="Q528" s="29" t="n">
        <v>0</v>
      </c>
      <c r="R528" s="29" t="n">
        <v>0</v>
      </c>
      <c r="S528" s="29" t="n">
        <v>0</v>
      </c>
      <c r="T528" t="inlineStr">
        <is>
          <t>25260704392868000135550010000038191171491131</t>
        </is>
      </c>
      <c r="U528" t="inlineStr">
        <is>
          <t>Sim</t>
        </is>
      </c>
    </row>
    <row r="529">
      <c r="A529" t="inlineStr">
        <is>
          <t>Uso e consumo</t>
        </is>
      </c>
      <c r="B529" t="inlineStr">
        <is>
          <t>2.01.87 Compra de Peças de Máquinas</t>
        </is>
      </c>
      <c r="C529" s="30" t="n">
        <v>46204</v>
      </c>
      <c r="D529" t="inlineStr">
        <is>
          <t>Em 2026</t>
        </is>
      </c>
      <c r="E529" s="28" t="n">
        <v>46219</v>
      </c>
      <c r="F529" t="inlineStr">
        <is>
          <t>NF-e</t>
        </is>
      </c>
      <c r="G529" t="inlineStr">
        <is>
          <t>000072616</t>
        </is>
      </c>
      <c r="H529" t="inlineStr">
        <is>
          <t>FURNAX COMERCIAL E IMPORTADORA EIRELI</t>
        </is>
      </c>
      <c r="I529" t="inlineStr">
        <is>
          <t>00.144.257/0001-17</t>
        </is>
      </c>
      <c r="J529" s="29" t="n">
        <v>12544.88</v>
      </c>
      <c r="K529" s="29">
        <f>(1-ISNUMBER(SEARCH("556",M529)))*(O529*SUMIFS(Premissas!$C$5:$C$44,Premissas!$A$5:$A$44,$A529,Premissas!$B$5:$B$44,$B529)+P529*SUMIFS(Premissas!$D$5:$D$44,Premissas!$A$5:$A$44,$A529,Premissas!$B$5:$B$44,$B529))+R529*SUMIFS(Premissas!$E$5:$E$44,Premissas!$A$5:$A$44,$A529,Premissas!$B$5:$B$44,$B529)+S529*SUMIFS(Premissas!$F$5:$F$44,Premissas!$A$5:$A$44,$A529,Premissas!$B$5:$B$44,$B529)</f>
        <v/>
      </c>
      <c r="L529" s="29">
        <f>J529-K529</f>
        <v/>
      </c>
      <c r="M529" t="inlineStr">
        <is>
          <t>2.556</t>
        </is>
      </c>
      <c r="O529" s="29" t="n">
        <v>394.88</v>
      </c>
      <c r="P529" s="29" t="n">
        <v>501.8</v>
      </c>
      <c r="Q529" s="29" t="n">
        <v>0</v>
      </c>
      <c r="R529" s="29" t="n">
        <v>192.2</v>
      </c>
      <c r="S529" s="29" t="n">
        <v>885.26</v>
      </c>
      <c r="T529" t="inlineStr">
        <is>
          <t>35260700144257000117550010000726161560413905</t>
        </is>
      </c>
      <c r="U529" t="inlineStr">
        <is>
          <t>Sim</t>
        </is>
      </c>
    </row>
    <row r="530">
      <c r="A530" t="inlineStr">
        <is>
          <t>Uso e consumo</t>
        </is>
      </c>
      <c r="B530" t="inlineStr">
        <is>
          <t>2.01.87 Compra de Peças de Máquinas</t>
        </is>
      </c>
      <c r="C530" s="30" t="n">
        <v>46204</v>
      </c>
      <c r="D530" t="inlineStr">
        <is>
          <t>Em 2026</t>
        </is>
      </c>
      <c r="E530" s="28" t="n">
        <v>46204</v>
      </c>
      <c r="F530" t="inlineStr">
        <is>
          <t>NF-e</t>
        </is>
      </c>
      <c r="G530" t="inlineStr">
        <is>
          <t>000006999</t>
        </is>
      </c>
      <c r="H530" t="inlineStr">
        <is>
          <t>GF COMERCIO DE PRODUTOS INDUSTRIAIS LTDA</t>
        </is>
      </c>
      <c r="I530" t="inlineStr">
        <is>
          <t>35.721.163/0001-48</t>
        </is>
      </c>
      <c r="J530" s="29" t="n">
        <v>615</v>
      </c>
      <c r="K530" s="29">
        <f>(1-ISNUMBER(SEARCH("556",M530)))*(O530*SUMIFS(Premissas!$C$5:$C$44,Premissas!$A$5:$A$44,$A530,Premissas!$B$5:$B$44,$B530)+P530*SUMIFS(Premissas!$D$5:$D$44,Premissas!$A$5:$A$44,$A530,Premissas!$B$5:$B$44,$B530))+R530*SUMIFS(Premissas!$E$5:$E$44,Premissas!$A$5:$A$44,$A530,Premissas!$B$5:$B$44,$B530)+S530*SUMIFS(Premissas!$F$5:$F$44,Premissas!$A$5:$A$44,$A530,Premissas!$B$5:$B$44,$B530)</f>
        <v/>
      </c>
      <c r="L530" s="29">
        <f>J530-K530</f>
        <v/>
      </c>
      <c r="M530" t="inlineStr">
        <is>
          <t>1.556</t>
        </is>
      </c>
      <c r="O530" s="29" t="n">
        <v>0</v>
      </c>
      <c r="P530" s="29" t="n">
        <v>0</v>
      </c>
      <c r="Q530" s="29" t="n">
        <v>0</v>
      </c>
      <c r="R530" s="29" t="n">
        <v>0</v>
      </c>
      <c r="S530" s="29" t="n">
        <v>0</v>
      </c>
      <c r="T530" t="inlineStr">
        <is>
          <t>25260735721163000148550000000069991016664011</t>
        </is>
      </c>
      <c r="U530" t="inlineStr">
        <is>
          <t>Sim</t>
        </is>
      </c>
    </row>
    <row r="531">
      <c r="A531" t="inlineStr">
        <is>
          <t>Uso e consumo</t>
        </is>
      </c>
      <c r="B531" t="inlineStr">
        <is>
          <t>2.01.87 Compra de Peças de Máquinas</t>
        </is>
      </c>
      <c r="C531" s="30" t="n">
        <v>46204</v>
      </c>
      <c r="D531" t="inlineStr">
        <is>
          <t>Em 2026</t>
        </is>
      </c>
      <c r="E531" s="28" t="n">
        <v>46210</v>
      </c>
      <c r="F531" t="inlineStr">
        <is>
          <t>NF-e</t>
        </is>
      </c>
      <c r="G531" t="inlineStr">
        <is>
          <t>000007051</t>
        </is>
      </c>
      <c r="H531" t="inlineStr">
        <is>
          <t>GF COMERCIO DE PRODUTOS INDUSTRIAIS LTDA</t>
        </is>
      </c>
      <c r="I531" t="inlineStr">
        <is>
          <t>35.721.163/0001-48</t>
        </is>
      </c>
      <c r="J531" s="29" t="n">
        <v>497.64</v>
      </c>
      <c r="K531" s="29">
        <f>(1-ISNUMBER(SEARCH("556",M531)))*(O531*SUMIFS(Premissas!$C$5:$C$44,Premissas!$A$5:$A$44,$A531,Premissas!$B$5:$B$44,$B531)+P531*SUMIFS(Premissas!$D$5:$D$44,Premissas!$A$5:$A$44,$A531,Premissas!$B$5:$B$44,$B531))+R531*SUMIFS(Premissas!$E$5:$E$44,Premissas!$A$5:$A$44,$A531,Premissas!$B$5:$B$44,$B531)+S531*SUMIFS(Premissas!$F$5:$F$44,Premissas!$A$5:$A$44,$A531,Premissas!$B$5:$B$44,$B531)</f>
        <v/>
      </c>
      <c r="L531" s="29">
        <f>J531-K531</f>
        <v/>
      </c>
      <c r="M531" t="inlineStr">
        <is>
          <t>1.556</t>
        </is>
      </c>
      <c r="O531" s="29" t="n">
        <v>0</v>
      </c>
      <c r="P531" s="29" t="n">
        <v>0</v>
      </c>
      <c r="Q531" s="29" t="n">
        <v>0</v>
      </c>
      <c r="R531" s="29" t="n">
        <v>0</v>
      </c>
      <c r="S531" s="29" t="n">
        <v>0</v>
      </c>
      <c r="T531" t="inlineStr">
        <is>
          <t>25260735721163000148550000000070511016664013</t>
        </is>
      </c>
      <c r="U531" t="inlineStr">
        <is>
          <t>Sim</t>
        </is>
      </c>
    </row>
    <row r="532">
      <c r="A532" t="inlineStr">
        <is>
          <t>Uso e consumo</t>
        </is>
      </c>
      <c r="B532" t="inlineStr">
        <is>
          <t>2.01.87 Compra de Peças de Máquinas</t>
        </is>
      </c>
      <c r="C532" s="30" t="n">
        <v>46204</v>
      </c>
      <c r="D532" t="inlineStr">
        <is>
          <t>Em 2026</t>
        </is>
      </c>
      <c r="E532" s="28" t="n">
        <v>46210</v>
      </c>
      <c r="F532" t="inlineStr">
        <is>
          <t>NF-e</t>
        </is>
      </c>
      <c r="G532" t="inlineStr">
        <is>
          <t>000007052</t>
        </is>
      </c>
      <c r="H532" t="inlineStr">
        <is>
          <t>GF COMERCIO DE PRODUTOS INDUSTRIAIS LTDA</t>
        </is>
      </c>
      <c r="I532" t="inlineStr">
        <is>
          <t>35.721.163/0001-48</t>
        </is>
      </c>
      <c r="J532" s="29" t="n">
        <v>300</v>
      </c>
      <c r="K532" s="29">
        <f>(1-ISNUMBER(SEARCH("556",M532)))*(O532*SUMIFS(Premissas!$C$5:$C$44,Premissas!$A$5:$A$44,$A532,Premissas!$B$5:$B$44,$B532)+P532*SUMIFS(Premissas!$D$5:$D$44,Premissas!$A$5:$A$44,$A532,Premissas!$B$5:$B$44,$B532))+R532*SUMIFS(Premissas!$E$5:$E$44,Premissas!$A$5:$A$44,$A532,Premissas!$B$5:$B$44,$B532)+S532*SUMIFS(Premissas!$F$5:$F$44,Premissas!$A$5:$A$44,$A532,Premissas!$B$5:$B$44,$B532)</f>
        <v/>
      </c>
      <c r="L532" s="29">
        <f>J532-K532</f>
        <v/>
      </c>
      <c r="M532" t="inlineStr">
        <is>
          <t>1.556</t>
        </is>
      </c>
      <c r="O532" s="29" t="n">
        <v>0</v>
      </c>
      <c r="P532" s="29" t="n">
        <v>0</v>
      </c>
      <c r="Q532" s="29" t="n">
        <v>0</v>
      </c>
      <c r="R532" s="29" t="n">
        <v>0</v>
      </c>
      <c r="S532" s="29" t="n">
        <v>0</v>
      </c>
      <c r="T532" t="inlineStr">
        <is>
          <t>25260735721163000148550000000070521016664010</t>
        </is>
      </c>
      <c r="U532" t="inlineStr">
        <is>
          <t>Sim</t>
        </is>
      </c>
    </row>
    <row r="533">
      <c r="A533" t="inlineStr">
        <is>
          <t>Uso e consumo</t>
        </is>
      </c>
      <c r="B533" t="inlineStr">
        <is>
          <t>2.01.87 Compra de Peças de Máquinas</t>
        </is>
      </c>
      <c r="C533" s="30" t="n">
        <v>46204</v>
      </c>
      <c r="D533" t="inlineStr">
        <is>
          <t>Em 2026</t>
        </is>
      </c>
      <c r="E533" s="28" t="n">
        <v>46219</v>
      </c>
      <c r="F533" t="inlineStr">
        <is>
          <t>NF-e</t>
        </is>
      </c>
      <c r="G533" t="inlineStr">
        <is>
          <t>000007173</t>
        </is>
      </c>
      <c r="H533" t="inlineStr">
        <is>
          <t>GF COMERCIO DE PRODUTOS INDUSTRIAIS LTDA</t>
        </is>
      </c>
      <c r="I533" t="inlineStr">
        <is>
          <t>35.721.163/0001-48</t>
        </is>
      </c>
      <c r="J533" s="29" t="n">
        <v>2486.2</v>
      </c>
      <c r="K533" s="29">
        <f>(1-ISNUMBER(SEARCH("556",M533)))*(O533*SUMIFS(Premissas!$C$5:$C$44,Premissas!$A$5:$A$44,$A533,Premissas!$B$5:$B$44,$B533)+P533*SUMIFS(Premissas!$D$5:$D$44,Premissas!$A$5:$A$44,$A533,Premissas!$B$5:$B$44,$B533))+R533*SUMIFS(Premissas!$E$5:$E$44,Premissas!$A$5:$A$44,$A533,Premissas!$B$5:$B$44,$B533)+S533*SUMIFS(Premissas!$F$5:$F$44,Premissas!$A$5:$A$44,$A533,Premissas!$B$5:$B$44,$B533)</f>
        <v/>
      </c>
      <c r="L533" s="29">
        <f>J533-K533</f>
        <v/>
      </c>
      <c r="M533" t="inlineStr">
        <is>
          <t>1.102, 1.556</t>
        </is>
      </c>
      <c r="O533" s="29" t="n">
        <v>0</v>
      </c>
      <c r="P533" s="29" t="n">
        <v>0</v>
      </c>
      <c r="Q533" s="29" t="n">
        <v>0</v>
      </c>
      <c r="R533" s="29" t="n">
        <v>0</v>
      </c>
      <c r="S533" s="29" t="n">
        <v>0</v>
      </c>
      <c r="T533" t="inlineStr">
        <is>
          <t>25260735721163000148550000000071731016664016</t>
        </is>
      </c>
      <c r="U533" t="inlineStr">
        <is>
          <t>Sim</t>
        </is>
      </c>
    </row>
    <row r="534">
      <c r="A534" t="inlineStr">
        <is>
          <t>Uso e consumo</t>
        </is>
      </c>
      <c r="B534" t="inlineStr">
        <is>
          <t>2.01.87 Compra de Peças de Máquinas</t>
        </is>
      </c>
      <c r="C534" s="30" t="n">
        <v>46204</v>
      </c>
      <c r="D534" t="inlineStr">
        <is>
          <t>Em 2026</t>
        </is>
      </c>
      <c r="E534" s="28" t="n">
        <v>46227</v>
      </c>
      <c r="F534" t="inlineStr">
        <is>
          <t>NF-e</t>
        </is>
      </c>
      <c r="G534" t="inlineStr">
        <is>
          <t>000007260</t>
        </is>
      </c>
      <c r="H534" t="inlineStr">
        <is>
          <t>GF COMERCIO DE PRODUTOS INDUSTRIAIS LTDA</t>
        </is>
      </c>
      <c r="I534" t="inlineStr">
        <is>
          <t>35.721.163/0001-48</t>
        </is>
      </c>
      <c r="J534" s="29" t="n">
        <v>238.2</v>
      </c>
      <c r="K534" s="29">
        <f>(1-ISNUMBER(SEARCH("556",M534)))*(O534*SUMIFS(Premissas!$C$5:$C$44,Premissas!$A$5:$A$44,$A534,Premissas!$B$5:$B$44,$B534)+P534*SUMIFS(Premissas!$D$5:$D$44,Premissas!$A$5:$A$44,$A534,Premissas!$B$5:$B$44,$B534))+R534*SUMIFS(Premissas!$E$5:$E$44,Premissas!$A$5:$A$44,$A534,Premissas!$B$5:$B$44,$B534)+S534*SUMIFS(Premissas!$F$5:$F$44,Premissas!$A$5:$A$44,$A534,Premissas!$B$5:$B$44,$B534)</f>
        <v/>
      </c>
      <c r="L534" s="29">
        <f>J534-K534</f>
        <v/>
      </c>
      <c r="M534" t="inlineStr">
        <is>
          <t>1.556</t>
        </is>
      </c>
      <c r="O534" s="29" t="n">
        <v>0</v>
      </c>
      <c r="P534" s="29" t="n">
        <v>0</v>
      </c>
      <c r="Q534" s="29" t="n">
        <v>0</v>
      </c>
      <c r="R534" s="29" t="n">
        <v>0</v>
      </c>
      <c r="S534" s="29" t="n">
        <v>0</v>
      </c>
      <c r="T534" t="inlineStr">
        <is>
          <t>25260735721163000148550000000072601016664013</t>
        </is>
      </c>
      <c r="U534" t="inlineStr">
        <is>
          <t>Sim</t>
        </is>
      </c>
    </row>
    <row r="535">
      <c r="A535" t="inlineStr">
        <is>
          <t>Uso e consumo</t>
        </is>
      </c>
      <c r="B535" t="inlineStr">
        <is>
          <t>2.01.87 Compra de Peças de Máquinas</t>
        </is>
      </c>
      <c r="C535" s="30" t="n">
        <v>46204</v>
      </c>
      <c r="D535" t="inlineStr">
        <is>
          <t>Em 2026</t>
        </is>
      </c>
      <c r="E535" s="28" t="n">
        <v>46234</v>
      </c>
      <c r="F535" t="inlineStr">
        <is>
          <t>NF-e</t>
        </is>
      </c>
      <c r="G535" t="inlineStr">
        <is>
          <t>000007344</t>
        </is>
      </c>
      <c r="H535" t="inlineStr">
        <is>
          <t>GF COMERCIO DE PRODUTOS INDUSTRIAIS LTDA</t>
        </is>
      </c>
      <c r="I535" t="inlineStr">
        <is>
          <t>35.721.163/0001-48</t>
        </is>
      </c>
      <c r="J535" s="29" t="n">
        <v>682.5</v>
      </c>
      <c r="K535" s="29">
        <f>(1-ISNUMBER(SEARCH("556",M535)))*(O535*SUMIFS(Premissas!$C$5:$C$44,Premissas!$A$5:$A$44,$A535,Premissas!$B$5:$B$44,$B535)+P535*SUMIFS(Premissas!$D$5:$D$44,Premissas!$A$5:$A$44,$A535,Premissas!$B$5:$B$44,$B535))+R535*SUMIFS(Premissas!$E$5:$E$44,Premissas!$A$5:$A$44,$A535,Premissas!$B$5:$B$44,$B535)+S535*SUMIFS(Premissas!$F$5:$F$44,Premissas!$A$5:$A$44,$A535,Premissas!$B$5:$B$44,$B535)</f>
        <v/>
      </c>
      <c r="L535" s="29">
        <f>J535-K535</f>
        <v/>
      </c>
      <c r="M535" t="inlineStr">
        <is>
          <t>1.556</t>
        </is>
      </c>
      <c r="O535" s="29" t="n">
        <v>0</v>
      </c>
      <c r="P535" s="29" t="n">
        <v>0</v>
      </c>
      <c r="Q535" s="29" t="n">
        <v>0</v>
      </c>
      <c r="R535" s="29" t="n">
        <v>0</v>
      </c>
      <c r="S535" s="29" t="n">
        <v>0</v>
      </c>
      <c r="T535" t="inlineStr">
        <is>
          <t>25260735721163000148550000000073441016664015</t>
        </is>
      </c>
      <c r="U535" t="inlineStr">
        <is>
          <t>Sim</t>
        </is>
      </c>
    </row>
    <row r="536">
      <c r="A536" t="inlineStr">
        <is>
          <t>Uso e consumo</t>
        </is>
      </c>
      <c r="B536" t="inlineStr">
        <is>
          <t>2.01.87 Compra de Peças de Máquinas</t>
        </is>
      </c>
      <c r="C536" s="30" t="n">
        <v>46204</v>
      </c>
      <c r="D536" t="inlineStr">
        <is>
          <t>Em 2026</t>
        </is>
      </c>
      <c r="E536" s="28" t="n">
        <v>46234</v>
      </c>
      <c r="F536" t="inlineStr">
        <is>
          <t>NF-e</t>
        </is>
      </c>
      <c r="G536" t="inlineStr">
        <is>
          <t>000007348</t>
        </is>
      </c>
      <c r="H536" t="inlineStr">
        <is>
          <t>GF COMERCIO DE PRODUTOS INDUSTRIAIS LTDA</t>
        </is>
      </c>
      <c r="I536" t="inlineStr">
        <is>
          <t>35.721.163/0001-48</t>
        </is>
      </c>
      <c r="J536" s="29" t="n">
        <v>209.4</v>
      </c>
      <c r="K536" s="29">
        <f>(1-ISNUMBER(SEARCH("556",M536)))*(O536*SUMIFS(Premissas!$C$5:$C$44,Premissas!$A$5:$A$44,$A536,Premissas!$B$5:$B$44,$B536)+P536*SUMIFS(Premissas!$D$5:$D$44,Premissas!$A$5:$A$44,$A536,Premissas!$B$5:$B$44,$B536))+R536*SUMIFS(Premissas!$E$5:$E$44,Premissas!$A$5:$A$44,$A536,Premissas!$B$5:$B$44,$B536)+S536*SUMIFS(Premissas!$F$5:$F$44,Premissas!$A$5:$A$44,$A536,Premissas!$B$5:$B$44,$B536)</f>
        <v/>
      </c>
      <c r="L536" s="29">
        <f>J536-K536</f>
        <v/>
      </c>
      <c r="M536" t="inlineStr">
        <is>
          <t>1.556</t>
        </is>
      </c>
      <c r="O536" s="29" t="n">
        <v>0</v>
      </c>
      <c r="P536" s="29" t="n">
        <v>0</v>
      </c>
      <c r="Q536" s="29" t="n">
        <v>0</v>
      </c>
      <c r="R536" s="29" t="n">
        <v>0</v>
      </c>
      <c r="S536" s="29" t="n">
        <v>0</v>
      </c>
      <c r="T536" t="inlineStr">
        <is>
          <t>25260735721163000148550000000073481016664014</t>
        </is>
      </c>
      <c r="U536" t="inlineStr">
        <is>
          <t>Sim</t>
        </is>
      </c>
    </row>
    <row r="537">
      <c r="A537" t="inlineStr">
        <is>
          <t>Uso e consumo</t>
        </is>
      </c>
      <c r="B537" t="inlineStr">
        <is>
          <t>2.01.87 Compra de Peças de Máquinas</t>
        </is>
      </c>
      <c r="C537" s="30" t="n">
        <v>46204</v>
      </c>
      <c r="D537" t="inlineStr">
        <is>
          <t>Em 2026</t>
        </is>
      </c>
      <c r="E537" s="28" t="n">
        <v>46231</v>
      </c>
      <c r="F537" t="inlineStr">
        <is>
          <t>NF-e</t>
        </is>
      </c>
      <c r="G537" t="inlineStr">
        <is>
          <t>000000353</t>
        </is>
      </c>
      <c r="H537" t="inlineStr">
        <is>
          <t>GUIATEC COMERCIO E SERVICOS LTDA</t>
        </is>
      </c>
      <c r="I537" t="inlineStr">
        <is>
          <t>48.221.722/0001-00</t>
        </is>
      </c>
      <c r="J537" s="29" t="n">
        <v>2932.6</v>
      </c>
      <c r="K537" s="29">
        <f>(1-ISNUMBER(SEARCH("556",M537)))*(O537*SUMIFS(Premissas!$C$5:$C$44,Premissas!$A$5:$A$44,$A537,Premissas!$B$5:$B$44,$B537)+P537*SUMIFS(Premissas!$D$5:$D$44,Premissas!$A$5:$A$44,$A537,Premissas!$B$5:$B$44,$B537))+R537*SUMIFS(Premissas!$E$5:$E$44,Premissas!$A$5:$A$44,$A537,Premissas!$B$5:$B$44,$B537)+S537*SUMIFS(Premissas!$F$5:$F$44,Premissas!$A$5:$A$44,$A537,Premissas!$B$5:$B$44,$B537)</f>
        <v/>
      </c>
      <c r="L537" s="29">
        <f>J537-K537</f>
        <v/>
      </c>
      <c r="M537" t="inlineStr">
        <is>
          <t>2.556</t>
        </is>
      </c>
      <c r="O537" s="29" t="n">
        <v>0</v>
      </c>
      <c r="P537" s="29" t="n">
        <v>205.28</v>
      </c>
      <c r="Q537" s="29" t="n">
        <v>0</v>
      </c>
      <c r="R537" s="29" t="n">
        <v>0</v>
      </c>
      <c r="S537" s="29" t="n">
        <v>0</v>
      </c>
      <c r="T537" t="inlineStr">
        <is>
          <t>35260748221722000100550010000003531556482454</t>
        </is>
      </c>
      <c r="U537" t="inlineStr">
        <is>
          <t>Sim</t>
        </is>
      </c>
    </row>
    <row r="538">
      <c r="A538" t="inlineStr">
        <is>
          <t>Uso e consumo</t>
        </is>
      </c>
      <c r="B538" t="inlineStr">
        <is>
          <t>2.01.87 Compra de Peças de Máquinas</t>
        </is>
      </c>
      <c r="C538" s="30" t="n">
        <v>46204</v>
      </c>
      <c r="D538" t="inlineStr">
        <is>
          <t>Em 2026</t>
        </is>
      </c>
      <c r="E538" s="28" t="n">
        <v>46204</v>
      </c>
      <c r="F538" t="inlineStr">
        <is>
          <t>NF-e</t>
        </is>
      </c>
      <c r="G538" t="inlineStr">
        <is>
          <t>000002431</t>
        </is>
      </c>
      <c r="H538" t="inlineStr">
        <is>
          <t>SHOP DA ELETRICA COMERCIO ELETRONICO LTDA</t>
        </is>
      </c>
      <c r="I538" t="inlineStr">
        <is>
          <t>53.439.140/0001-27</t>
        </is>
      </c>
      <c r="J538" s="29" t="n">
        <v>1139</v>
      </c>
      <c r="K538" s="29">
        <f>(1-ISNUMBER(SEARCH("556",M538)))*(O538*SUMIFS(Premissas!$C$5:$C$44,Premissas!$A$5:$A$44,$A538,Premissas!$B$5:$B$44,$B538)+P538*SUMIFS(Premissas!$D$5:$D$44,Premissas!$A$5:$A$44,$A538,Premissas!$B$5:$B$44,$B538))+R538*SUMIFS(Premissas!$E$5:$E$44,Premissas!$A$5:$A$44,$A538,Premissas!$B$5:$B$44,$B538)+S538*SUMIFS(Premissas!$F$5:$F$44,Premissas!$A$5:$A$44,$A538,Premissas!$B$5:$B$44,$B538)</f>
        <v/>
      </c>
      <c r="L538" s="29">
        <f>J538-K538</f>
        <v/>
      </c>
      <c r="M538" t="inlineStr">
        <is>
          <t>2.556</t>
        </is>
      </c>
      <c r="O538" s="29" t="n">
        <v>0</v>
      </c>
      <c r="P538" s="29" t="n">
        <v>0</v>
      </c>
      <c r="Q538" s="29" t="n">
        <v>0</v>
      </c>
      <c r="R538" s="29" t="n">
        <v>0</v>
      </c>
      <c r="S538" s="29" t="n">
        <v>0</v>
      </c>
      <c r="T538" t="inlineStr">
        <is>
          <t>35260753439140000127550010000024311408408490</t>
        </is>
      </c>
      <c r="U538" t="inlineStr">
        <is>
          <t>Sim</t>
        </is>
      </c>
    </row>
    <row r="539">
      <c r="A539" t="inlineStr">
        <is>
          <t>Uso e consumo</t>
        </is>
      </c>
      <c r="B539" t="inlineStr">
        <is>
          <t>2.01.87 Compra de Peças de Máquinas</t>
        </is>
      </c>
      <c r="C539" s="30" t="n">
        <v>46204</v>
      </c>
      <c r="D539" t="inlineStr">
        <is>
          <t>Em 2026</t>
        </is>
      </c>
      <c r="E539" s="28" t="n">
        <v>46209</v>
      </c>
      <c r="F539" t="inlineStr">
        <is>
          <t>NF-e</t>
        </is>
      </c>
      <c r="G539" t="inlineStr">
        <is>
          <t>000003921</t>
        </is>
      </c>
      <c r="H539" t="inlineStr">
        <is>
          <t>TRANSBELT - COMERCIO, IMPORTACAO E EXPORTACAO DE CORREIAS IN</t>
        </is>
      </c>
      <c r="I539" t="inlineStr">
        <is>
          <t>24.889.612/0001-45</t>
        </is>
      </c>
      <c r="J539" s="29" t="n">
        <v>3448.06</v>
      </c>
      <c r="K539" s="29">
        <f>(1-ISNUMBER(SEARCH("556",M539)))*(O539*SUMIFS(Premissas!$C$5:$C$44,Premissas!$A$5:$A$44,$A539,Premissas!$B$5:$B$44,$B539)+P539*SUMIFS(Premissas!$D$5:$D$44,Premissas!$A$5:$A$44,$A539,Premissas!$B$5:$B$44,$B539))+R539*SUMIFS(Premissas!$E$5:$E$44,Premissas!$A$5:$A$44,$A539,Premissas!$B$5:$B$44,$B539)+S539*SUMIFS(Premissas!$F$5:$F$44,Premissas!$A$5:$A$44,$A539,Premissas!$B$5:$B$44,$B539)</f>
        <v/>
      </c>
      <c r="L539" s="29">
        <f>J539-K539</f>
        <v/>
      </c>
      <c r="M539" t="inlineStr">
        <is>
          <t>2.556</t>
        </is>
      </c>
      <c r="O539" s="29" t="n">
        <v>0</v>
      </c>
      <c r="P539" s="29" t="n">
        <v>0</v>
      </c>
      <c r="Q539" s="29" t="n">
        <v>0</v>
      </c>
      <c r="R539" s="29" t="n">
        <v>0</v>
      </c>
      <c r="S539" s="29" t="n">
        <v>0</v>
      </c>
      <c r="T539" t="inlineStr">
        <is>
          <t>35260724889612000145550010000039211100034641</t>
        </is>
      </c>
      <c r="U539" t="inlineStr">
        <is>
          <t>Sim</t>
        </is>
      </c>
    </row>
    <row r="540">
      <c r="A540" t="inlineStr">
        <is>
          <t>Uso e consumo</t>
        </is>
      </c>
      <c r="B540" t="inlineStr">
        <is>
          <t>2.01.87 Compra de Peças de Máquinas</t>
        </is>
      </c>
      <c r="C540" s="30" t="n">
        <v>46235</v>
      </c>
      <c r="D540" t="inlineStr">
        <is>
          <t>Em 2026</t>
        </is>
      </c>
      <c r="E540" s="28" t="n">
        <v>46235</v>
      </c>
      <c r="F540" t="inlineStr">
        <is>
          <t>NF-e</t>
        </is>
      </c>
      <c r="G540" t="inlineStr">
        <is>
          <t>000106537</t>
        </is>
      </c>
      <c r="H540" t="inlineStr">
        <is>
          <t>FERGE COMERCIO DE PRODUTOS INDUSTRIAIS LTDA</t>
        </is>
      </c>
      <c r="I540" t="inlineStr">
        <is>
          <t>09.057.961/0001-07</t>
        </is>
      </c>
      <c r="J540" s="29" t="n">
        <v>692</v>
      </c>
      <c r="K540" s="29">
        <f>(1-ISNUMBER(SEARCH("556",M540)))*(O540*SUMIFS(Premissas!$C$5:$C$44,Premissas!$A$5:$A$44,$A540,Premissas!$B$5:$B$44,$B540)+P540*SUMIFS(Premissas!$D$5:$D$44,Premissas!$A$5:$A$44,$A540,Premissas!$B$5:$B$44,$B540))+R540*SUMIFS(Premissas!$E$5:$E$44,Premissas!$A$5:$A$44,$A540,Premissas!$B$5:$B$44,$B540)+S540*SUMIFS(Premissas!$F$5:$F$44,Premissas!$A$5:$A$44,$A540,Premissas!$B$5:$B$44,$B540)</f>
        <v/>
      </c>
      <c r="L540" s="29">
        <f>J540-K540</f>
        <v/>
      </c>
      <c r="M540" t="inlineStr">
        <is>
          <t>1.556</t>
        </is>
      </c>
      <c r="O540" s="29" t="n">
        <v>0</v>
      </c>
      <c r="P540" s="29" t="n">
        <v>138.4</v>
      </c>
      <c r="Q540" s="29" t="n">
        <v>0</v>
      </c>
      <c r="R540" s="29" t="n">
        <v>0</v>
      </c>
      <c r="S540" s="29" t="n">
        <v>0</v>
      </c>
      <c r="T540" t="inlineStr">
        <is>
          <t>25260809057961000107550010001065371016664017</t>
        </is>
      </c>
      <c r="U540" t="inlineStr">
        <is>
          <t>Sim</t>
        </is>
      </c>
    </row>
    <row r="541">
      <c r="A541" t="inlineStr">
        <is>
          <t>Uso e consumo</t>
        </is>
      </c>
      <c r="B541" t="inlineStr">
        <is>
          <t>2.01.87 Compra de Peças de Máquinas</t>
        </is>
      </c>
      <c r="C541" s="30" t="n">
        <v>46235</v>
      </c>
      <c r="D541" t="inlineStr">
        <is>
          <t>Em 2026</t>
        </is>
      </c>
      <c r="E541" s="28" t="n">
        <v>46238</v>
      </c>
      <c r="F541" t="inlineStr">
        <is>
          <t>NF-e</t>
        </is>
      </c>
      <c r="G541" t="inlineStr">
        <is>
          <t>000106589</t>
        </is>
      </c>
      <c r="H541" t="inlineStr">
        <is>
          <t>FERGE COMERCIO DE PRODUTOS INDUSTRIAIS LTDA</t>
        </is>
      </c>
      <c r="I541" t="inlineStr">
        <is>
          <t>09.057.961/0001-07</t>
        </is>
      </c>
      <c r="J541" s="29" t="n">
        <v>798</v>
      </c>
      <c r="K541" s="29">
        <f>(1-ISNUMBER(SEARCH("556",M541)))*(O541*SUMIFS(Premissas!$C$5:$C$44,Premissas!$A$5:$A$44,$A541,Premissas!$B$5:$B$44,$B541)+P541*SUMIFS(Premissas!$D$5:$D$44,Premissas!$A$5:$A$44,$A541,Premissas!$B$5:$B$44,$B541))+R541*SUMIFS(Premissas!$E$5:$E$44,Premissas!$A$5:$A$44,$A541,Premissas!$B$5:$B$44,$B541)+S541*SUMIFS(Premissas!$F$5:$F$44,Premissas!$A$5:$A$44,$A541,Premissas!$B$5:$B$44,$B541)</f>
        <v/>
      </c>
      <c r="L541" s="29">
        <f>J541-K541</f>
        <v/>
      </c>
      <c r="M541" t="inlineStr">
        <is>
          <t>1.556</t>
        </is>
      </c>
      <c r="O541" s="29" t="n">
        <v>0</v>
      </c>
      <c r="P541" s="29" t="n">
        <v>159.6</v>
      </c>
      <c r="Q541" s="29" t="n">
        <v>0</v>
      </c>
      <c r="R541" s="29" t="n">
        <v>0</v>
      </c>
      <c r="S541" s="29" t="n">
        <v>0</v>
      </c>
      <c r="T541" t="inlineStr">
        <is>
          <t>25260809057961000107550010001065891016664013</t>
        </is>
      </c>
      <c r="U541" t="inlineStr">
        <is>
          <t>Sim</t>
        </is>
      </c>
    </row>
    <row r="542">
      <c r="A542" t="inlineStr">
        <is>
          <t>Uso e consumo</t>
        </is>
      </c>
      <c r="B542" t="inlineStr">
        <is>
          <t>2.01.87 Compra de Peças de Máquinas</t>
        </is>
      </c>
      <c r="C542" s="30" t="n">
        <v>46235</v>
      </c>
      <c r="D542" t="inlineStr">
        <is>
          <t>Em 2026</t>
        </is>
      </c>
      <c r="E542" s="28" t="n">
        <v>46242</v>
      </c>
      <c r="F542" t="inlineStr">
        <is>
          <t>NF-e</t>
        </is>
      </c>
      <c r="G542" t="inlineStr">
        <is>
          <t>000106749</t>
        </is>
      </c>
      <c r="H542" t="inlineStr">
        <is>
          <t>FERGE COMERCIO DE PRODUTOS INDUSTRIAIS LTDA</t>
        </is>
      </c>
      <c r="I542" t="inlineStr">
        <is>
          <t>09.057.961/0001-07</t>
        </is>
      </c>
      <c r="J542" s="29" t="n">
        <v>310</v>
      </c>
      <c r="K542" s="29">
        <f>(1-ISNUMBER(SEARCH("556",M542)))*(O542*SUMIFS(Premissas!$C$5:$C$44,Premissas!$A$5:$A$44,$A542,Premissas!$B$5:$B$44,$B542)+P542*SUMIFS(Premissas!$D$5:$D$44,Premissas!$A$5:$A$44,$A542,Premissas!$B$5:$B$44,$B542))+R542*SUMIFS(Premissas!$E$5:$E$44,Premissas!$A$5:$A$44,$A542,Premissas!$B$5:$B$44,$B542)+S542*SUMIFS(Premissas!$F$5:$F$44,Premissas!$A$5:$A$44,$A542,Premissas!$B$5:$B$44,$B542)</f>
        <v/>
      </c>
      <c r="L542" s="29">
        <f>J542-K542</f>
        <v/>
      </c>
      <c r="M542" t="inlineStr">
        <is>
          <t>1.556</t>
        </is>
      </c>
      <c r="O542" s="29" t="n">
        <v>0</v>
      </c>
      <c r="P542" s="29" t="n">
        <v>62</v>
      </c>
      <c r="Q542" s="29" t="n">
        <v>0</v>
      </c>
      <c r="R542" s="29" t="n">
        <v>0</v>
      </c>
      <c r="S542" s="29" t="n">
        <v>0</v>
      </c>
      <c r="T542" t="inlineStr">
        <is>
          <t>25260809057961000107550010001067491016664019</t>
        </is>
      </c>
      <c r="U542" t="inlineStr">
        <is>
          <t>Sim</t>
        </is>
      </c>
    </row>
    <row r="543">
      <c r="A543" t="inlineStr">
        <is>
          <t>Uso e consumo</t>
        </is>
      </c>
      <c r="B543" t="inlineStr">
        <is>
          <t>2.01.87 Compra de Peças de Máquinas</t>
        </is>
      </c>
      <c r="C543" s="30" t="n">
        <v>46235</v>
      </c>
      <c r="D543" t="inlineStr">
        <is>
          <t>Em 2026</t>
        </is>
      </c>
      <c r="E543" s="28" t="n">
        <v>46245</v>
      </c>
      <c r="F543" t="inlineStr">
        <is>
          <t>NF-e</t>
        </is>
      </c>
      <c r="G543" t="inlineStr">
        <is>
          <t>000106804</t>
        </is>
      </c>
      <c r="H543" t="inlineStr">
        <is>
          <t>FERGE COMERCIO DE PRODUTOS INDUSTRIAIS LTDA</t>
        </is>
      </c>
      <c r="I543" t="inlineStr">
        <is>
          <t>09.057.961/0001-07</t>
        </is>
      </c>
      <c r="J543" s="29" t="n">
        <v>895</v>
      </c>
      <c r="K543" s="29">
        <f>(1-ISNUMBER(SEARCH("556",M543)))*(O543*SUMIFS(Premissas!$C$5:$C$44,Premissas!$A$5:$A$44,$A543,Premissas!$B$5:$B$44,$B543)+P543*SUMIFS(Premissas!$D$5:$D$44,Premissas!$A$5:$A$44,$A543,Premissas!$B$5:$B$44,$B543))+R543*SUMIFS(Premissas!$E$5:$E$44,Premissas!$A$5:$A$44,$A543,Premissas!$B$5:$B$44,$B543)+S543*SUMIFS(Premissas!$F$5:$F$44,Premissas!$A$5:$A$44,$A543,Premissas!$B$5:$B$44,$B543)</f>
        <v/>
      </c>
      <c r="L543" s="29">
        <f>J543-K543</f>
        <v/>
      </c>
      <c r="M543" t="inlineStr">
        <is>
          <t>1.102, 1.556</t>
        </is>
      </c>
      <c r="O543" s="29" t="n">
        <v>0</v>
      </c>
      <c r="P543" s="29" t="n">
        <v>179</v>
      </c>
      <c r="Q543" s="29" t="n">
        <v>0</v>
      </c>
      <c r="R543" s="29" t="n">
        <v>0</v>
      </c>
      <c r="S543" s="29" t="n">
        <v>0</v>
      </c>
      <c r="T543" t="inlineStr">
        <is>
          <t>25260809057961000107550010001068041016664012</t>
        </is>
      </c>
      <c r="U543" t="inlineStr">
        <is>
          <t>Sim</t>
        </is>
      </c>
    </row>
    <row r="544">
      <c r="A544" t="inlineStr">
        <is>
          <t>Uso e consumo</t>
        </is>
      </c>
      <c r="B544" t="inlineStr">
        <is>
          <t>2.01.87 Compra de Peças de Máquinas</t>
        </is>
      </c>
      <c r="C544" s="30" t="n">
        <v>46235</v>
      </c>
      <c r="D544" t="inlineStr">
        <is>
          <t>Em 2026</t>
        </is>
      </c>
      <c r="E544" s="28" t="n">
        <v>46246</v>
      </c>
      <c r="F544" t="inlineStr">
        <is>
          <t>NF-e</t>
        </is>
      </c>
      <c r="G544" t="inlineStr">
        <is>
          <t>000106881</t>
        </is>
      </c>
      <c r="H544" t="inlineStr">
        <is>
          <t>FERGE COMERCIO DE PRODUTOS INDUSTRIAIS LTDA</t>
        </is>
      </c>
      <c r="I544" t="inlineStr">
        <is>
          <t>09.057.961/0001-07</t>
        </is>
      </c>
      <c r="J544" s="29" t="n">
        <v>190</v>
      </c>
      <c r="K544" s="29">
        <f>(1-ISNUMBER(SEARCH("556",M544)))*(O544*SUMIFS(Premissas!$C$5:$C$44,Premissas!$A$5:$A$44,$A544,Premissas!$B$5:$B$44,$B544)+P544*SUMIFS(Premissas!$D$5:$D$44,Premissas!$A$5:$A$44,$A544,Premissas!$B$5:$B$44,$B544))+R544*SUMIFS(Premissas!$E$5:$E$44,Premissas!$A$5:$A$44,$A544,Premissas!$B$5:$B$44,$B544)+S544*SUMIFS(Premissas!$F$5:$F$44,Premissas!$A$5:$A$44,$A544,Premissas!$B$5:$B$44,$B544)</f>
        <v/>
      </c>
      <c r="L544" s="29">
        <f>J544-K544</f>
        <v/>
      </c>
      <c r="M544" t="inlineStr">
        <is>
          <t>1.556</t>
        </is>
      </c>
      <c r="O544" s="29" t="n">
        <v>0</v>
      </c>
      <c r="P544" s="29" t="n">
        <v>38</v>
      </c>
      <c r="Q544" s="29" t="n">
        <v>0</v>
      </c>
      <c r="R544" s="29" t="n">
        <v>0</v>
      </c>
      <c r="S544" s="29" t="n">
        <v>0</v>
      </c>
      <c r="T544" t="inlineStr">
        <is>
          <t>25260809057961000107550010001068811016664011</t>
        </is>
      </c>
      <c r="U544" t="inlineStr">
        <is>
          <t>Sim</t>
        </is>
      </c>
    </row>
    <row r="545">
      <c r="A545" t="inlineStr">
        <is>
          <t>Uso e consumo</t>
        </is>
      </c>
      <c r="B545" t="inlineStr">
        <is>
          <t>2.01.87 Compra de Peças de Máquinas</t>
        </is>
      </c>
      <c r="C545" s="30" t="n">
        <v>46235</v>
      </c>
      <c r="D545" t="inlineStr">
        <is>
          <t>Em 2026</t>
        </is>
      </c>
      <c r="E545" s="28" t="n">
        <v>46254</v>
      </c>
      <c r="F545" t="inlineStr">
        <is>
          <t>NF-e</t>
        </is>
      </c>
      <c r="G545" t="inlineStr">
        <is>
          <t>000107123</t>
        </is>
      </c>
      <c r="H545" t="inlineStr">
        <is>
          <t>FERGE COMERCIO DE PRODUTOS INDUSTRIAIS LTDA</t>
        </is>
      </c>
      <c r="I545" t="inlineStr">
        <is>
          <t>09.057.961/0001-07</t>
        </is>
      </c>
      <c r="J545" s="29" t="n">
        <v>3403.28</v>
      </c>
      <c r="K545" s="29">
        <f>(1-ISNUMBER(SEARCH("556",M545)))*(O545*SUMIFS(Premissas!$C$5:$C$44,Premissas!$A$5:$A$44,$A545,Premissas!$B$5:$B$44,$B545)+P545*SUMIFS(Premissas!$D$5:$D$44,Premissas!$A$5:$A$44,$A545,Premissas!$B$5:$B$44,$B545))+R545*SUMIFS(Premissas!$E$5:$E$44,Premissas!$A$5:$A$44,$A545,Premissas!$B$5:$B$44,$B545)+S545*SUMIFS(Premissas!$F$5:$F$44,Premissas!$A$5:$A$44,$A545,Premissas!$B$5:$B$44,$B545)</f>
        <v/>
      </c>
      <c r="L545" s="29">
        <f>J545-K545</f>
        <v/>
      </c>
      <c r="M545" t="inlineStr">
        <is>
          <t>1.556</t>
        </is>
      </c>
      <c r="O545" s="29" t="n">
        <v>0</v>
      </c>
      <c r="P545" s="29" t="n">
        <v>680.66</v>
      </c>
      <c r="Q545" s="29" t="n">
        <v>0</v>
      </c>
      <c r="R545" s="29" t="n">
        <v>0</v>
      </c>
      <c r="S545" s="29" t="n">
        <v>0</v>
      </c>
      <c r="T545" t="inlineStr">
        <is>
          <t>25260809057961000107550010001071231016664014</t>
        </is>
      </c>
      <c r="U545" t="inlineStr">
        <is>
          <t>Sim</t>
        </is>
      </c>
    </row>
    <row r="546">
      <c r="A546" t="inlineStr">
        <is>
          <t>Uso e consumo</t>
        </is>
      </c>
      <c r="B546" t="inlineStr">
        <is>
          <t>2.01.87 Compra de Peças de Máquinas</t>
        </is>
      </c>
      <c r="C546" s="30" t="n">
        <v>46235</v>
      </c>
      <c r="D546" t="inlineStr">
        <is>
          <t>Em 2026</t>
        </is>
      </c>
      <c r="E546" s="28" t="n">
        <v>46255</v>
      </c>
      <c r="F546" t="inlineStr">
        <is>
          <t>NF-e</t>
        </is>
      </c>
      <c r="G546" t="inlineStr">
        <is>
          <t>000107163</t>
        </is>
      </c>
      <c r="H546" t="inlineStr">
        <is>
          <t>FERGE COMERCIO DE PRODUTOS INDUSTRIAIS LTDA</t>
        </is>
      </c>
      <c r="I546" t="inlineStr">
        <is>
          <t>09.057.961/0001-07</t>
        </is>
      </c>
      <c r="J546" s="29" t="n">
        <v>1690</v>
      </c>
      <c r="K546" s="29">
        <f>(1-ISNUMBER(SEARCH("556",M546)))*(O546*SUMIFS(Premissas!$C$5:$C$44,Premissas!$A$5:$A$44,$A546,Premissas!$B$5:$B$44,$B546)+P546*SUMIFS(Premissas!$D$5:$D$44,Premissas!$A$5:$A$44,$A546,Premissas!$B$5:$B$44,$B546))+R546*SUMIFS(Premissas!$E$5:$E$44,Premissas!$A$5:$A$44,$A546,Premissas!$B$5:$B$44,$B546)+S546*SUMIFS(Premissas!$F$5:$F$44,Premissas!$A$5:$A$44,$A546,Premissas!$B$5:$B$44,$B546)</f>
        <v/>
      </c>
      <c r="L546" s="29">
        <f>J546-K546</f>
        <v/>
      </c>
      <c r="M546" t="inlineStr">
        <is>
          <t>1.556</t>
        </is>
      </c>
      <c r="O546" s="29" t="n">
        <v>0</v>
      </c>
      <c r="P546" s="29" t="n">
        <v>338</v>
      </c>
      <c r="Q546" s="29" t="n">
        <v>0</v>
      </c>
      <c r="R546" s="29" t="n">
        <v>0</v>
      </c>
      <c r="S546" s="29" t="n">
        <v>0</v>
      </c>
      <c r="T546" t="inlineStr">
        <is>
          <t>25260809057961000107550010001071631016664010</t>
        </is>
      </c>
      <c r="U546" t="inlineStr">
        <is>
          <t>Sim</t>
        </is>
      </c>
    </row>
    <row r="547">
      <c r="A547" t="inlineStr">
        <is>
          <t>Uso e consumo</t>
        </is>
      </c>
      <c r="B547" t="inlineStr">
        <is>
          <t>2.01.87 Compra de Peças de Máquinas</t>
        </is>
      </c>
      <c r="C547" s="30" t="n">
        <v>46235</v>
      </c>
      <c r="D547" t="inlineStr">
        <is>
          <t>Em 2026</t>
        </is>
      </c>
      <c r="E547" s="28" t="n">
        <v>46247</v>
      </c>
      <c r="F547" t="inlineStr">
        <is>
          <t>NF-e</t>
        </is>
      </c>
      <c r="G547" t="inlineStr">
        <is>
          <t>000008557</t>
        </is>
      </c>
      <c r="H547" t="inlineStr">
        <is>
          <t>FUSIONX INDUSTRIA E COMERCIO DE SISTEMAS DE AUTOMACAO LTDA</t>
        </is>
      </c>
      <c r="I547" t="inlineStr">
        <is>
          <t>63.716.186/0001-08</t>
        </is>
      </c>
      <c r="J547" s="29" t="n">
        <v>6650</v>
      </c>
      <c r="K547" s="29">
        <f>(1-ISNUMBER(SEARCH("556",M547)))*(O547*SUMIFS(Premissas!$C$5:$C$44,Premissas!$A$5:$A$44,$A547,Premissas!$B$5:$B$44,$B547)+P547*SUMIFS(Premissas!$D$5:$D$44,Premissas!$A$5:$A$44,$A547,Premissas!$B$5:$B$44,$B547))+R547*SUMIFS(Premissas!$E$5:$E$44,Premissas!$A$5:$A$44,$A547,Premissas!$B$5:$B$44,$B547)+S547*SUMIFS(Premissas!$F$5:$F$44,Premissas!$A$5:$A$44,$A547,Premissas!$B$5:$B$44,$B547)</f>
        <v/>
      </c>
      <c r="L547" s="29">
        <f>J547-K547</f>
        <v/>
      </c>
      <c r="M547" t="inlineStr">
        <is>
          <t>2.556</t>
        </is>
      </c>
      <c r="O547" s="29" t="n">
        <v>0</v>
      </c>
      <c r="P547" s="29" t="n">
        <v>266</v>
      </c>
      <c r="Q547" s="29" t="n">
        <v>0</v>
      </c>
      <c r="R547" s="29" t="n">
        <v>43.22</v>
      </c>
      <c r="S547" s="29" t="n">
        <v>199.5</v>
      </c>
      <c r="T547" t="inlineStr">
        <is>
          <t>43260863716186000108550010000085571755417010</t>
        </is>
      </c>
      <c r="U547" t="inlineStr">
        <is>
          <t>Sim</t>
        </is>
      </c>
    </row>
    <row r="548">
      <c r="A548" t="inlineStr">
        <is>
          <t>Uso e consumo</t>
        </is>
      </c>
      <c r="B548" t="inlineStr">
        <is>
          <t>2.01.87 Compra de Peças de Máquinas</t>
        </is>
      </c>
      <c r="C548" s="30" t="n">
        <v>46235</v>
      </c>
      <c r="D548" t="inlineStr">
        <is>
          <t>Em 2026</t>
        </is>
      </c>
      <c r="E548" s="28" t="n">
        <v>46240</v>
      </c>
      <c r="F548" t="inlineStr">
        <is>
          <t>NF-e</t>
        </is>
      </c>
      <c r="G548" t="inlineStr">
        <is>
          <t>000007393</t>
        </is>
      </c>
      <c r="H548" t="inlineStr">
        <is>
          <t>GF COMERCIO DE PRODUTOS INDUSTRIAIS LTDA</t>
        </is>
      </c>
      <c r="I548" t="inlineStr">
        <is>
          <t>35.721.163/0001-48</t>
        </is>
      </c>
      <c r="J548" s="29" t="n">
        <v>1023.75</v>
      </c>
      <c r="K548" s="29">
        <f>(1-ISNUMBER(SEARCH("556",M548)))*(O548*SUMIFS(Premissas!$C$5:$C$44,Premissas!$A$5:$A$44,$A548,Premissas!$B$5:$B$44,$B548)+P548*SUMIFS(Premissas!$D$5:$D$44,Premissas!$A$5:$A$44,$A548,Premissas!$B$5:$B$44,$B548))+R548*SUMIFS(Premissas!$E$5:$E$44,Premissas!$A$5:$A$44,$A548,Premissas!$B$5:$B$44,$B548)+S548*SUMIFS(Premissas!$F$5:$F$44,Premissas!$A$5:$A$44,$A548,Premissas!$B$5:$B$44,$B548)</f>
        <v/>
      </c>
      <c r="L548" s="29">
        <f>J548-K548</f>
        <v/>
      </c>
      <c r="M548" t="inlineStr">
        <is>
          <t>1.556</t>
        </is>
      </c>
      <c r="O548" s="29" t="n">
        <v>0</v>
      </c>
      <c r="P548" s="29" t="n">
        <v>0</v>
      </c>
      <c r="Q548" s="29" t="n">
        <v>0</v>
      </c>
      <c r="R548" s="29" t="n">
        <v>0</v>
      </c>
      <c r="S548" s="29" t="n">
        <v>0</v>
      </c>
      <c r="T548" t="inlineStr">
        <is>
          <t>25260835721163000148550000000073931016664013</t>
        </is>
      </c>
      <c r="U548" t="inlineStr">
        <is>
          <t>Sim</t>
        </is>
      </c>
    </row>
    <row r="549">
      <c r="A549" t="inlineStr">
        <is>
          <t>Uso e consumo</t>
        </is>
      </c>
      <c r="B549" t="inlineStr">
        <is>
          <t>2.01.87 Compra de Peças de Máquinas</t>
        </is>
      </c>
      <c r="C549" s="30" t="n">
        <v>46235</v>
      </c>
      <c r="D549" t="inlineStr">
        <is>
          <t>Em 2026</t>
        </is>
      </c>
      <c r="E549" s="28" t="n">
        <v>46246</v>
      </c>
      <c r="F549" t="inlineStr">
        <is>
          <t>NF-e</t>
        </is>
      </c>
      <c r="G549" t="inlineStr">
        <is>
          <t>000007456</t>
        </is>
      </c>
      <c r="H549" t="inlineStr">
        <is>
          <t>GF COMERCIO DE PRODUTOS INDUSTRIAIS LTDA</t>
        </is>
      </c>
      <c r="I549" t="inlineStr">
        <is>
          <t>35.721.163/0001-48</t>
        </is>
      </c>
      <c r="J549" s="29" t="n">
        <v>80</v>
      </c>
      <c r="K549" s="29">
        <f>(1-ISNUMBER(SEARCH("556",M549)))*(O549*SUMIFS(Premissas!$C$5:$C$44,Premissas!$A$5:$A$44,$A549,Premissas!$B$5:$B$44,$B549)+P549*SUMIFS(Premissas!$D$5:$D$44,Premissas!$A$5:$A$44,$A549,Premissas!$B$5:$B$44,$B549))+R549*SUMIFS(Premissas!$E$5:$E$44,Premissas!$A$5:$A$44,$A549,Premissas!$B$5:$B$44,$B549)+S549*SUMIFS(Premissas!$F$5:$F$44,Premissas!$A$5:$A$44,$A549,Premissas!$B$5:$B$44,$B549)</f>
        <v/>
      </c>
      <c r="L549" s="29">
        <f>J549-K549</f>
        <v/>
      </c>
      <c r="M549" t="inlineStr">
        <is>
          <t>1.556</t>
        </is>
      </c>
      <c r="O549" s="29" t="n">
        <v>0</v>
      </c>
      <c r="P549" s="29" t="n">
        <v>0</v>
      </c>
      <c r="Q549" s="29" t="n">
        <v>0</v>
      </c>
      <c r="R549" s="29" t="n">
        <v>0</v>
      </c>
      <c r="S549" s="29" t="n">
        <v>0</v>
      </c>
      <c r="T549" t="inlineStr">
        <is>
          <t>25260835721163000148550000000074561016664015</t>
        </is>
      </c>
      <c r="U549" t="inlineStr">
        <is>
          <t>Sim</t>
        </is>
      </c>
    </row>
    <row r="550">
      <c r="A550" t="inlineStr">
        <is>
          <t>Uso e consumo</t>
        </is>
      </c>
      <c r="B550" t="inlineStr">
        <is>
          <t>2.01.87 Compra de Peças de Máquinas</t>
        </is>
      </c>
      <c r="C550" s="30" t="n">
        <v>46235</v>
      </c>
      <c r="D550" t="inlineStr">
        <is>
          <t>Em 2026</t>
        </is>
      </c>
      <c r="E550" s="28" t="n">
        <v>46259</v>
      </c>
      <c r="F550" t="inlineStr">
        <is>
          <t>NF-e</t>
        </is>
      </c>
      <c r="G550" t="inlineStr">
        <is>
          <t>000007576</t>
        </is>
      </c>
      <c r="H550" t="inlineStr">
        <is>
          <t>GF COMERCIO DE PRODUTOS INDUSTRIAIS LTDA</t>
        </is>
      </c>
      <c r="I550" t="inlineStr">
        <is>
          <t>35.721.163/0001-48</t>
        </is>
      </c>
      <c r="J550" s="29" t="n">
        <v>218</v>
      </c>
      <c r="K550" s="29">
        <f>(1-ISNUMBER(SEARCH("556",M550)))*(O550*SUMIFS(Premissas!$C$5:$C$44,Premissas!$A$5:$A$44,$A550,Premissas!$B$5:$B$44,$B550)+P550*SUMIFS(Premissas!$D$5:$D$44,Premissas!$A$5:$A$44,$A550,Premissas!$B$5:$B$44,$B550))+R550*SUMIFS(Premissas!$E$5:$E$44,Premissas!$A$5:$A$44,$A550,Premissas!$B$5:$B$44,$B550)+S550*SUMIFS(Premissas!$F$5:$F$44,Premissas!$A$5:$A$44,$A550,Premissas!$B$5:$B$44,$B550)</f>
        <v/>
      </c>
      <c r="L550" s="29">
        <f>J550-K550</f>
        <v/>
      </c>
      <c r="M550" t="inlineStr">
        <is>
          <t>1.556</t>
        </is>
      </c>
      <c r="O550" s="29" t="n">
        <v>0</v>
      </c>
      <c r="P550" s="29" t="n">
        <v>0</v>
      </c>
      <c r="Q550" s="29" t="n">
        <v>0</v>
      </c>
      <c r="R550" s="29" t="n">
        <v>0</v>
      </c>
      <c r="S550" s="29" t="n">
        <v>0</v>
      </c>
      <c r="T550" t="inlineStr">
        <is>
          <t>25260835721163000148550000000075761016664013</t>
        </is>
      </c>
      <c r="U550" t="inlineStr">
        <is>
          <t>Sim</t>
        </is>
      </c>
    </row>
    <row r="551">
      <c r="A551" t="inlineStr">
        <is>
          <t>Uso e consumo</t>
        </is>
      </c>
      <c r="B551" t="inlineStr">
        <is>
          <t>2.01.87 Compra de Peças de Máquinas</t>
        </is>
      </c>
      <c r="C551" s="30" t="n">
        <v>46235</v>
      </c>
      <c r="D551" t="inlineStr">
        <is>
          <t>Em 2026</t>
        </is>
      </c>
      <c r="E551" s="28" t="n">
        <v>46240</v>
      </c>
      <c r="F551" t="inlineStr">
        <is>
          <t>NF-e</t>
        </is>
      </c>
      <c r="G551" t="inlineStr">
        <is>
          <t>000003535</t>
        </is>
      </c>
      <c r="H551" t="inlineStr">
        <is>
          <t>TECHPRINT FACAS INDUSTRIAIS</t>
        </is>
      </c>
      <c r="I551" t="inlineStr">
        <is>
          <t>23.105.251/0001-36</t>
        </is>
      </c>
      <c r="J551" s="29" t="n">
        <v>6489</v>
      </c>
      <c r="K551" s="29">
        <f>(1-ISNUMBER(SEARCH("556",M551)))*(O551*SUMIFS(Premissas!$C$5:$C$44,Premissas!$A$5:$A$44,$A551,Premissas!$B$5:$B$44,$B551)+P551*SUMIFS(Premissas!$D$5:$D$44,Premissas!$A$5:$A$44,$A551,Premissas!$B$5:$B$44,$B551))+R551*SUMIFS(Premissas!$E$5:$E$44,Premissas!$A$5:$A$44,$A551,Premissas!$B$5:$B$44,$B551)+S551*SUMIFS(Premissas!$F$5:$F$44,Premissas!$A$5:$A$44,$A551,Premissas!$B$5:$B$44,$B551)</f>
        <v/>
      </c>
      <c r="L551" s="29">
        <f>J551-K551</f>
        <v/>
      </c>
      <c r="M551" t="inlineStr">
        <is>
          <t>2.556</t>
        </is>
      </c>
      <c r="O551" s="29" t="n">
        <v>0</v>
      </c>
      <c r="P551" s="29" t="n">
        <v>0</v>
      </c>
      <c r="Q551" s="29" t="n">
        <v>0</v>
      </c>
      <c r="R551" s="29" t="n">
        <v>0</v>
      </c>
      <c r="S551" s="29" t="n">
        <v>0</v>
      </c>
      <c r="T551" t="inlineStr">
        <is>
          <t>41260823105251000136550010000035351000847958</t>
        </is>
      </c>
      <c r="U551" t="inlineStr">
        <is>
          <t>Sim</t>
        </is>
      </c>
    </row>
    <row r="552">
      <c r="A552" t="inlineStr">
        <is>
          <t>Uso e consumo</t>
        </is>
      </c>
      <c r="B552" t="inlineStr">
        <is>
          <t>2.01.87 Compra de Peças de Máquinas</t>
        </is>
      </c>
      <c r="C552" s="30" t="n">
        <v>46266</v>
      </c>
      <c r="D552" t="inlineStr">
        <is>
          <t>Em 2026</t>
        </is>
      </c>
      <c r="E552" s="28" t="n">
        <v>46276</v>
      </c>
      <c r="F552" t="inlineStr">
        <is>
          <t>NF-e</t>
        </is>
      </c>
      <c r="G552" t="inlineStr">
        <is>
          <t>000107742</t>
        </is>
      </c>
      <c r="H552" t="inlineStr">
        <is>
          <t>FERGE COMERCIO DE PRODUTOS INDUSTRIAIS LTDA</t>
        </is>
      </c>
      <c r="I552" t="inlineStr">
        <is>
          <t>09.057.961/0001-07</t>
        </is>
      </c>
      <c r="J552" s="29" t="n">
        <v>3542.2</v>
      </c>
      <c r="K552" s="29">
        <f>(1-ISNUMBER(SEARCH("556",M552)))*(O552*SUMIFS(Premissas!$C$5:$C$44,Premissas!$A$5:$A$44,$A552,Premissas!$B$5:$B$44,$B552)+P552*SUMIFS(Premissas!$D$5:$D$44,Premissas!$A$5:$A$44,$A552,Premissas!$B$5:$B$44,$B552))+R552*SUMIFS(Premissas!$E$5:$E$44,Premissas!$A$5:$A$44,$A552,Premissas!$B$5:$B$44,$B552)+S552*SUMIFS(Premissas!$F$5:$F$44,Premissas!$A$5:$A$44,$A552,Premissas!$B$5:$B$44,$B552)</f>
        <v/>
      </c>
      <c r="L552" s="29">
        <f>J552-K552</f>
        <v/>
      </c>
      <c r="M552" t="inlineStr">
        <is>
          <t>1.102, 1.556</t>
        </is>
      </c>
      <c r="O552" s="29" t="n">
        <v>0</v>
      </c>
      <c r="P552" s="29" t="n">
        <v>708.4400000000001</v>
      </c>
      <c r="Q552" s="29" t="n">
        <v>0</v>
      </c>
      <c r="R552" s="29" t="n">
        <v>0</v>
      </c>
      <c r="S552" s="29" t="n">
        <v>0</v>
      </c>
      <c r="T552" t="inlineStr">
        <is>
          <t>25260909057961000107550010001077421016664016</t>
        </is>
      </c>
      <c r="U552" t="inlineStr">
        <is>
          <t>Sim</t>
        </is>
      </c>
    </row>
    <row r="553">
      <c r="A553" t="inlineStr">
        <is>
          <t>Uso e consumo</t>
        </is>
      </c>
      <c r="B553" t="inlineStr">
        <is>
          <t>2.01.87 Compra de Peças de Máquinas</t>
        </is>
      </c>
      <c r="C553" s="30" t="n">
        <v>46266</v>
      </c>
      <c r="D553" t="inlineStr">
        <is>
          <t>Em 2026</t>
        </is>
      </c>
      <c r="E553" s="28" t="n">
        <v>46281</v>
      </c>
      <c r="F553" t="inlineStr">
        <is>
          <t>NF-e</t>
        </is>
      </c>
      <c r="G553" t="inlineStr">
        <is>
          <t>000107875</t>
        </is>
      </c>
      <c r="H553" t="inlineStr">
        <is>
          <t>FERGE COMERCIO DE PRODUTOS INDUSTRIAIS LTDA</t>
        </is>
      </c>
      <c r="I553" t="inlineStr">
        <is>
          <t>09.057.961/0001-07</t>
        </is>
      </c>
      <c r="J553" s="29" t="n">
        <v>3824.08</v>
      </c>
      <c r="K553" s="29">
        <f>(1-ISNUMBER(SEARCH("556",M553)))*(O553*SUMIFS(Premissas!$C$5:$C$44,Premissas!$A$5:$A$44,$A553,Premissas!$B$5:$B$44,$B553)+P553*SUMIFS(Premissas!$D$5:$D$44,Premissas!$A$5:$A$44,$A553,Premissas!$B$5:$B$44,$B553))+R553*SUMIFS(Premissas!$E$5:$E$44,Premissas!$A$5:$A$44,$A553,Premissas!$B$5:$B$44,$B553)+S553*SUMIFS(Premissas!$F$5:$F$44,Premissas!$A$5:$A$44,$A553,Premissas!$B$5:$B$44,$B553)</f>
        <v/>
      </c>
      <c r="L553" s="29">
        <f>J553-K553</f>
        <v/>
      </c>
      <c r="M553" t="inlineStr">
        <is>
          <t>1.102</t>
        </is>
      </c>
      <c r="O553" s="29" t="n">
        <v>0</v>
      </c>
      <c r="P553" s="29" t="n">
        <v>764.8200000000001</v>
      </c>
      <c r="Q553" s="29" t="n">
        <v>0</v>
      </c>
      <c r="R553" s="29" t="n">
        <v>0</v>
      </c>
      <c r="S553" s="29" t="n">
        <v>0</v>
      </c>
      <c r="T553" t="inlineStr">
        <is>
          <t>25260909057961000107550010001078751016664012</t>
        </is>
      </c>
      <c r="U553" t="inlineStr">
        <is>
          <t>Sim</t>
        </is>
      </c>
    </row>
    <row r="554">
      <c r="A554" t="inlineStr">
        <is>
          <t>Uso e consumo</t>
        </is>
      </c>
      <c r="B554" t="inlineStr">
        <is>
          <t>2.01.87 Compra de Peças de Máquinas</t>
        </is>
      </c>
      <c r="C554" s="30" t="n">
        <v>46266</v>
      </c>
      <c r="D554" t="inlineStr">
        <is>
          <t>Em 2026</t>
        </is>
      </c>
      <c r="E554" s="28" t="n">
        <v>46282</v>
      </c>
      <c r="F554" t="inlineStr">
        <is>
          <t>NF-e</t>
        </is>
      </c>
      <c r="G554" t="inlineStr">
        <is>
          <t>000107903</t>
        </is>
      </c>
      <c r="H554" t="inlineStr">
        <is>
          <t>FERGE COMERCIO DE PRODUTOS INDUSTRIAIS LTDA</t>
        </is>
      </c>
      <c r="I554" t="inlineStr">
        <is>
          <t>09.057.961/0001-07</t>
        </is>
      </c>
      <c r="J554" s="29" t="n">
        <v>835</v>
      </c>
      <c r="K554" s="29">
        <f>(1-ISNUMBER(SEARCH("556",M554)))*(O554*SUMIFS(Premissas!$C$5:$C$44,Premissas!$A$5:$A$44,$A554,Premissas!$B$5:$B$44,$B554)+P554*SUMIFS(Premissas!$D$5:$D$44,Premissas!$A$5:$A$44,$A554,Premissas!$B$5:$B$44,$B554))+R554*SUMIFS(Premissas!$E$5:$E$44,Premissas!$A$5:$A$44,$A554,Premissas!$B$5:$B$44,$B554)+S554*SUMIFS(Premissas!$F$5:$F$44,Premissas!$A$5:$A$44,$A554,Premissas!$B$5:$B$44,$B554)</f>
        <v/>
      </c>
      <c r="L554" s="29">
        <f>J554-K554</f>
        <v/>
      </c>
      <c r="M554" t="inlineStr">
        <is>
          <t>1.102</t>
        </is>
      </c>
      <c r="O554" s="29" t="n">
        <v>0</v>
      </c>
      <c r="P554" s="29" t="n">
        <v>167</v>
      </c>
      <c r="Q554" s="29" t="n">
        <v>0</v>
      </c>
      <c r="R554" s="29" t="n">
        <v>0</v>
      </c>
      <c r="S554" s="29" t="n">
        <v>0</v>
      </c>
      <c r="T554" t="inlineStr">
        <is>
          <t>25260909057961000107550010001079031016664019</t>
        </is>
      </c>
      <c r="U554" t="inlineStr">
        <is>
          <t>Sim</t>
        </is>
      </c>
    </row>
    <row r="555">
      <c r="A555" t="inlineStr">
        <is>
          <t>Uso e consumo</t>
        </is>
      </c>
      <c r="B555" t="inlineStr">
        <is>
          <t>2.01.87 Compra de Peças de Máquinas</t>
        </is>
      </c>
      <c r="C555" s="30" t="n">
        <v>46266</v>
      </c>
      <c r="D555" t="inlineStr">
        <is>
          <t>Em 2026</t>
        </is>
      </c>
      <c r="E555" s="28" t="n">
        <v>46288</v>
      </c>
      <c r="F555" t="inlineStr">
        <is>
          <t>NF-e</t>
        </is>
      </c>
      <c r="G555" t="inlineStr">
        <is>
          <t>000108052</t>
        </is>
      </c>
      <c r="H555" t="inlineStr">
        <is>
          <t>FERGE COMERCIO DE PRODUTOS INDUSTRIAIS LTDA</t>
        </is>
      </c>
      <c r="I555" t="inlineStr">
        <is>
          <t>09.057.961/0001-07</t>
        </is>
      </c>
      <c r="J555" s="29" t="n">
        <v>1455</v>
      </c>
      <c r="K555" s="29">
        <f>(1-ISNUMBER(SEARCH("556",M555)))*(O555*SUMIFS(Premissas!$C$5:$C$44,Premissas!$A$5:$A$44,$A555,Premissas!$B$5:$B$44,$B555)+P555*SUMIFS(Premissas!$D$5:$D$44,Premissas!$A$5:$A$44,$A555,Premissas!$B$5:$B$44,$B555))+R555*SUMIFS(Premissas!$E$5:$E$44,Premissas!$A$5:$A$44,$A555,Premissas!$B$5:$B$44,$B555)+S555*SUMIFS(Premissas!$F$5:$F$44,Premissas!$A$5:$A$44,$A555,Premissas!$B$5:$B$44,$B555)</f>
        <v/>
      </c>
      <c r="L555" s="29">
        <f>J555-K555</f>
        <v/>
      </c>
      <c r="M555" t="inlineStr">
        <is>
          <t>1.102</t>
        </is>
      </c>
      <c r="O555" s="29" t="n">
        <v>0</v>
      </c>
      <c r="P555" s="29" t="n">
        <v>291</v>
      </c>
      <c r="Q555" s="29" t="n">
        <v>0</v>
      </c>
      <c r="R555" s="29" t="n">
        <v>0</v>
      </c>
      <c r="S555" s="29" t="n">
        <v>0</v>
      </c>
      <c r="T555" t="inlineStr">
        <is>
          <t>25260909057961000107550010001080521016664019</t>
        </is>
      </c>
      <c r="U555" t="inlineStr">
        <is>
          <t>Sim</t>
        </is>
      </c>
    </row>
    <row r="556">
      <c r="A556" t="inlineStr">
        <is>
          <t>Uso e consumo</t>
        </is>
      </c>
      <c r="B556" t="inlineStr">
        <is>
          <t>2.01.87 Compra de Peças de Máquinas</t>
        </is>
      </c>
      <c r="C556" s="30" t="n">
        <v>46266</v>
      </c>
      <c r="D556" t="inlineStr">
        <is>
          <t>Em 2026</t>
        </is>
      </c>
      <c r="E556" s="28" t="n">
        <v>46288</v>
      </c>
      <c r="F556" t="inlineStr">
        <is>
          <t>NF-e</t>
        </is>
      </c>
      <c r="G556" t="inlineStr">
        <is>
          <t>000108055</t>
        </is>
      </c>
      <c r="H556" t="inlineStr">
        <is>
          <t>FERGE COMERCIO DE PRODUTOS INDUSTRIAIS LTDA</t>
        </is>
      </c>
      <c r="I556" t="inlineStr">
        <is>
          <t>09.057.961/0001-07</t>
        </is>
      </c>
      <c r="J556" s="29" t="n">
        <v>1170</v>
      </c>
      <c r="K556" s="29">
        <f>(1-ISNUMBER(SEARCH("556",M556)))*(O556*SUMIFS(Premissas!$C$5:$C$44,Premissas!$A$5:$A$44,$A556,Premissas!$B$5:$B$44,$B556)+P556*SUMIFS(Premissas!$D$5:$D$44,Premissas!$A$5:$A$44,$A556,Premissas!$B$5:$B$44,$B556))+R556*SUMIFS(Premissas!$E$5:$E$44,Premissas!$A$5:$A$44,$A556,Premissas!$B$5:$B$44,$B556)+S556*SUMIFS(Premissas!$F$5:$F$44,Premissas!$A$5:$A$44,$A556,Premissas!$B$5:$B$44,$B556)</f>
        <v/>
      </c>
      <c r="L556" s="29">
        <f>J556-K556</f>
        <v/>
      </c>
      <c r="M556" t="inlineStr">
        <is>
          <t>1.556</t>
        </is>
      </c>
      <c r="O556" s="29" t="n">
        <v>0</v>
      </c>
      <c r="P556" s="29" t="n">
        <v>234</v>
      </c>
      <c r="Q556" s="29" t="n">
        <v>0</v>
      </c>
      <c r="R556" s="29" t="n">
        <v>0</v>
      </c>
      <c r="S556" s="29" t="n">
        <v>0</v>
      </c>
      <c r="T556" t="inlineStr">
        <is>
          <t>25260909057961000107550010001080551016664010</t>
        </is>
      </c>
      <c r="U556" t="inlineStr">
        <is>
          <t>Sim</t>
        </is>
      </c>
    </row>
    <row r="557">
      <c r="A557" t="inlineStr">
        <is>
          <t>Uso e consumo</t>
        </is>
      </c>
      <c r="B557" t="inlineStr">
        <is>
          <t>2.01.87 Compra de Peças de Máquinas</t>
        </is>
      </c>
      <c r="C557" s="30" t="n">
        <v>46266</v>
      </c>
      <c r="D557" t="inlineStr">
        <is>
          <t>Em 2026</t>
        </is>
      </c>
      <c r="E557" s="28" t="n">
        <v>46266</v>
      </c>
      <c r="F557" t="inlineStr">
        <is>
          <t>NF-e</t>
        </is>
      </c>
      <c r="G557" t="inlineStr">
        <is>
          <t>000073052</t>
        </is>
      </c>
      <c r="H557" t="inlineStr">
        <is>
          <t>FURNAX COMERCIAL E IMPORTADORA EIRELI</t>
        </is>
      </c>
      <c r="I557" t="inlineStr">
        <is>
          <t>00.144.257/0001-17</t>
        </is>
      </c>
      <c r="J557" s="29" t="n">
        <v>12576.16</v>
      </c>
      <c r="K557" s="29">
        <f>(1-ISNUMBER(SEARCH("556",M557)))*(O557*SUMIFS(Premissas!$C$5:$C$44,Premissas!$A$5:$A$44,$A557,Premissas!$B$5:$B$44,$B557)+P557*SUMIFS(Premissas!$D$5:$D$44,Premissas!$A$5:$A$44,$A557,Premissas!$B$5:$B$44,$B557))+R557*SUMIFS(Premissas!$E$5:$E$44,Premissas!$A$5:$A$44,$A557,Premissas!$B$5:$B$44,$B557)+S557*SUMIFS(Premissas!$F$5:$F$44,Premissas!$A$5:$A$44,$A557,Premissas!$B$5:$B$44,$B557)</f>
        <v/>
      </c>
      <c r="L557" s="29">
        <f>J557-K557</f>
        <v/>
      </c>
      <c r="M557" t="inlineStr">
        <is>
          <t>2.556</t>
        </is>
      </c>
      <c r="O557" s="29" t="n">
        <v>395.86</v>
      </c>
      <c r="P557" s="29" t="n">
        <v>503.05</v>
      </c>
      <c r="Q557" s="29" t="n">
        <v>0</v>
      </c>
      <c r="R557" s="29" t="n">
        <v>192.67</v>
      </c>
      <c r="S557" s="29" t="n">
        <v>887.47</v>
      </c>
      <c r="T557" t="inlineStr">
        <is>
          <t>35260900144257000117550010000730521380151509</t>
        </is>
      </c>
      <c r="U557" t="inlineStr">
        <is>
          <t>Sim</t>
        </is>
      </c>
    </row>
    <row r="558">
      <c r="A558" t="inlineStr">
        <is>
          <t>Uso e consumo</t>
        </is>
      </c>
      <c r="B558" t="inlineStr">
        <is>
          <t>2.01.87 Compra de Peças de Máquinas</t>
        </is>
      </c>
      <c r="C558" s="30" t="n">
        <v>46266</v>
      </c>
      <c r="D558" t="inlineStr">
        <is>
          <t>Em 2026</t>
        </is>
      </c>
      <c r="E558" s="28" t="n">
        <v>46266</v>
      </c>
      <c r="F558" t="inlineStr">
        <is>
          <t>NF-e</t>
        </is>
      </c>
      <c r="G558" t="inlineStr">
        <is>
          <t>000073055</t>
        </is>
      </c>
      <c r="H558" t="inlineStr">
        <is>
          <t>FURNAX COMERCIAL E IMPORTADORA EIRELI</t>
        </is>
      </c>
      <c r="I558" t="inlineStr">
        <is>
          <t>00.144.257/0001-17</t>
        </is>
      </c>
      <c r="J558" s="29" t="n">
        <v>6685.02</v>
      </c>
      <c r="K558" s="29">
        <f>(1-ISNUMBER(SEARCH("556",M558)))*(O558*SUMIFS(Premissas!$C$5:$C$44,Premissas!$A$5:$A$44,$A558,Premissas!$B$5:$B$44,$B558)+P558*SUMIFS(Premissas!$D$5:$D$44,Premissas!$A$5:$A$44,$A558,Premissas!$B$5:$B$44,$B558))+R558*SUMIFS(Premissas!$E$5:$E$44,Premissas!$A$5:$A$44,$A558,Premissas!$B$5:$B$44,$B558)+S558*SUMIFS(Premissas!$F$5:$F$44,Premissas!$A$5:$A$44,$A558,Premissas!$B$5:$B$44,$B558)</f>
        <v/>
      </c>
      <c r="L558" s="29">
        <f>J558-K558</f>
        <v/>
      </c>
      <c r="M558" t="inlineStr">
        <is>
          <t>2.556</t>
        </is>
      </c>
      <c r="O558" s="29" t="n">
        <v>210.42</v>
      </c>
      <c r="P558" s="29" t="n">
        <v>267.4</v>
      </c>
      <c r="Q558" s="29" t="n">
        <v>0</v>
      </c>
      <c r="R558" s="29" t="n">
        <v>102.42</v>
      </c>
      <c r="S558" s="29" t="n">
        <v>471.75</v>
      </c>
      <c r="T558" t="inlineStr">
        <is>
          <t>35260900144257000117550010000730551289949627</t>
        </is>
      </c>
      <c r="U558" t="inlineStr">
        <is>
          <t>Sim</t>
        </is>
      </c>
    </row>
    <row r="559">
      <c r="A559" t="inlineStr">
        <is>
          <t>Uso e consumo</t>
        </is>
      </c>
      <c r="B559" t="inlineStr">
        <is>
          <t>2.01.87 Compra de Peças de Máquinas</t>
        </is>
      </c>
      <c r="C559" s="30" t="n">
        <v>46266</v>
      </c>
      <c r="D559" t="inlineStr">
        <is>
          <t>Em 2026</t>
        </is>
      </c>
      <c r="E559" s="28" t="n">
        <v>46266</v>
      </c>
      <c r="F559" t="inlineStr">
        <is>
          <t>NF-e</t>
        </is>
      </c>
      <c r="G559" t="inlineStr">
        <is>
          <t>000073056</t>
        </is>
      </c>
      <c r="H559" t="inlineStr">
        <is>
          <t>FURNAX COMERCIAL E IMPORTADORA EIRELI</t>
        </is>
      </c>
      <c r="I559" t="inlineStr">
        <is>
          <t>00.144.257/0001-17</t>
        </is>
      </c>
      <c r="J559" s="29" t="n">
        <v>6381.16</v>
      </c>
      <c r="K559" s="29">
        <f>(1-ISNUMBER(SEARCH("556",M559)))*(O559*SUMIFS(Premissas!$C$5:$C$44,Premissas!$A$5:$A$44,$A559,Premissas!$B$5:$B$44,$B559)+P559*SUMIFS(Premissas!$D$5:$D$44,Premissas!$A$5:$A$44,$A559,Premissas!$B$5:$B$44,$B559))+R559*SUMIFS(Premissas!$E$5:$E$44,Premissas!$A$5:$A$44,$A559,Premissas!$B$5:$B$44,$B559)+S559*SUMIFS(Premissas!$F$5:$F$44,Premissas!$A$5:$A$44,$A559,Premissas!$B$5:$B$44,$B559)</f>
        <v/>
      </c>
      <c r="L559" s="29">
        <f>J559-K559</f>
        <v/>
      </c>
      <c r="M559" t="inlineStr">
        <is>
          <t>2.556</t>
        </is>
      </c>
      <c r="O559" s="29" t="n">
        <v>200.86</v>
      </c>
      <c r="P559" s="29" t="n">
        <v>255.24</v>
      </c>
      <c r="Q559" s="29" t="n">
        <v>0</v>
      </c>
      <c r="R559" s="29" t="n">
        <v>97.77</v>
      </c>
      <c r="S559" s="29" t="n">
        <v>450.3</v>
      </c>
      <c r="T559" t="inlineStr">
        <is>
          <t>35260900144257000117550010000730561472385912</t>
        </is>
      </c>
      <c r="U559" t="inlineStr">
        <is>
          <t>Sim</t>
        </is>
      </c>
    </row>
    <row r="560">
      <c r="A560" t="inlineStr">
        <is>
          <t>Uso e consumo</t>
        </is>
      </c>
      <c r="B560" t="inlineStr">
        <is>
          <t>2.01.87 Compra de Peças de Máquinas</t>
        </is>
      </c>
      <c r="C560" s="30" t="n">
        <v>46266</v>
      </c>
      <c r="D560" t="inlineStr">
        <is>
          <t>Em 2026</t>
        </is>
      </c>
      <c r="E560" s="28" t="n">
        <v>46286</v>
      </c>
      <c r="F560" t="inlineStr">
        <is>
          <t>NF-e</t>
        </is>
      </c>
      <c r="G560" t="inlineStr">
        <is>
          <t>000073223</t>
        </is>
      </c>
      <c r="H560" t="inlineStr">
        <is>
          <t>FURNAX COMERCIAL E IMPORTADORA EIRELI</t>
        </is>
      </c>
      <c r="I560" t="inlineStr">
        <is>
          <t>00.144.257/0001-17</t>
        </is>
      </c>
      <c r="J560" s="29" t="n">
        <v>9393.57</v>
      </c>
      <c r="K560" s="29">
        <f>(1-ISNUMBER(SEARCH("556",M560)))*(O560*SUMIFS(Premissas!$C$5:$C$44,Premissas!$A$5:$A$44,$A560,Premissas!$B$5:$B$44,$B560)+P560*SUMIFS(Premissas!$D$5:$D$44,Premissas!$A$5:$A$44,$A560,Premissas!$B$5:$B$44,$B560))+R560*SUMIFS(Premissas!$E$5:$E$44,Premissas!$A$5:$A$44,$A560,Premissas!$B$5:$B$44,$B560)+S560*SUMIFS(Premissas!$F$5:$F$44,Premissas!$A$5:$A$44,$A560,Premissas!$B$5:$B$44,$B560)</f>
        <v/>
      </c>
      <c r="L560" s="29">
        <f>J560-K560</f>
        <v/>
      </c>
      <c r="M560" t="inlineStr">
        <is>
          <t>2.556</t>
        </is>
      </c>
      <c r="O560" s="29" t="n">
        <v>295.69</v>
      </c>
      <c r="P560" s="29" t="n">
        <v>375.75</v>
      </c>
      <c r="Q560" s="29" t="n">
        <v>0</v>
      </c>
      <c r="R560" s="29" t="n">
        <v>143.91</v>
      </c>
      <c r="S560" s="29" t="n">
        <v>662.88</v>
      </c>
      <c r="T560" t="inlineStr">
        <is>
          <t>35260900144257000117550010000732231618903637</t>
        </is>
      </c>
      <c r="U560" t="inlineStr">
        <is>
          <t>Sim</t>
        </is>
      </c>
    </row>
    <row r="561">
      <c r="A561" t="inlineStr">
        <is>
          <t>Uso e consumo</t>
        </is>
      </c>
      <c r="B561" t="inlineStr">
        <is>
          <t>2.01.87 Compra de Peças de Máquinas</t>
        </is>
      </c>
      <c r="C561" s="30" t="n">
        <v>46266</v>
      </c>
      <c r="D561" t="inlineStr">
        <is>
          <t>Em 2026</t>
        </is>
      </c>
      <c r="E561" s="28" t="n">
        <v>46286</v>
      </c>
      <c r="F561" t="inlineStr">
        <is>
          <t>NF-e</t>
        </is>
      </c>
      <c r="G561" t="inlineStr">
        <is>
          <t>000073226</t>
        </is>
      </c>
      <c r="H561" t="inlineStr">
        <is>
          <t>FURNAX COMERCIAL E IMPORTADORA EIRELI</t>
        </is>
      </c>
      <c r="I561" t="inlineStr">
        <is>
          <t>00.144.257/0001-17</t>
        </is>
      </c>
      <c r="J561" s="29" t="n">
        <v>1220.46</v>
      </c>
      <c r="K561" s="29">
        <f>(1-ISNUMBER(SEARCH("556",M561)))*(O561*SUMIFS(Premissas!$C$5:$C$44,Premissas!$A$5:$A$44,$A561,Premissas!$B$5:$B$44,$B561)+P561*SUMIFS(Premissas!$D$5:$D$44,Premissas!$A$5:$A$44,$A561,Premissas!$B$5:$B$44,$B561))+R561*SUMIFS(Premissas!$E$5:$E$44,Premissas!$A$5:$A$44,$A561,Premissas!$B$5:$B$44,$B561)+S561*SUMIFS(Premissas!$F$5:$F$44,Premissas!$A$5:$A$44,$A561,Premissas!$B$5:$B$44,$B561)</f>
        <v/>
      </c>
      <c r="L561" s="29">
        <f>J561-K561</f>
        <v/>
      </c>
      <c r="M561" t="inlineStr">
        <is>
          <t>2.556</t>
        </is>
      </c>
      <c r="O561" s="29" t="n">
        <v>38.26</v>
      </c>
      <c r="P561" s="29" t="n">
        <v>48.82</v>
      </c>
      <c r="Q561" s="29" t="n">
        <v>0</v>
      </c>
      <c r="R561" s="29" t="n">
        <v>18.7</v>
      </c>
      <c r="S561" s="29" t="n">
        <v>86.14</v>
      </c>
      <c r="T561" t="inlineStr">
        <is>
          <t>35260900144257000117550010000732261572726225</t>
        </is>
      </c>
      <c r="U561" t="inlineStr">
        <is>
          <t>Sim</t>
        </is>
      </c>
    </row>
    <row r="562">
      <c r="A562" t="inlineStr">
        <is>
          <t>Uso e consumo</t>
        </is>
      </c>
      <c r="B562" t="inlineStr">
        <is>
          <t>2.01.87 Compra de Peças de Máquinas</t>
        </is>
      </c>
      <c r="C562" s="30" t="n">
        <v>46266</v>
      </c>
      <c r="D562" t="inlineStr">
        <is>
          <t>Em 2026</t>
        </is>
      </c>
      <c r="E562" s="28" t="n">
        <v>46275</v>
      </c>
      <c r="F562" t="inlineStr">
        <is>
          <t>NF-e</t>
        </is>
      </c>
      <c r="G562" t="inlineStr">
        <is>
          <t>000007741</t>
        </is>
      </c>
      <c r="H562" t="inlineStr">
        <is>
          <t>GF COMERCIO DE PRODUTOS INDUSTRIAIS LTDA</t>
        </is>
      </c>
      <c r="I562" t="inlineStr">
        <is>
          <t>35.721.163/0001-48</t>
        </is>
      </c>
      <c r="J562" s="29" t="n">
        <v>140</v>
      </c>
      <c r="K562" s="29">
        <f>(1-ISNUMBER(SEARCH("556",M562)))*(O562*SUMIFS(Premissas!$C$5:$C$44,Premissas!$A$5:$A$44,$A562,Premissas!$B$5:$B$44,$B562)+P562*SUMIFS(Premissas!$D$5:$D$44,Premissas!$A$5:$A$44,$A562,Premissas!$B$5:$B$44,$B562))+R562*SUMIFS(Premissas!$E$5:$E$44,Premissas!$A$5:$A$44,$A562,Premissas!$B$5:$B$44,$B562)+S562*SUMIFS(Premissas!$F$5:$F$44,Premissas!$A$5:$A$44,$A562,Premissas!$B$5:$B$44,$B562)</f>
        <v/>
      </c>
      <c r="L562" s="29">
        <f>J562-K562</f>
        <v/>
      </c>
      <c r="M562" t="inlineStr">
        <is>
          <t>1.556</t>
        </is>
      </c>
      <c r="O562" s="29" t="n">
        <v>0</v>
      </c>
      <c r="P562" s="29" t="n">
        <v>0</v>
      </c>
      <c r="Q562" s="29" t="n">
        <v>0</v>
      </c>
      <c r="R562" s="29" t="n">
        <v>0</v>
      </c>
      <c r="S562" s="29" t="n">
        <v>0</v>
      </c>
      <c r="T562" t="inlineStr">
        <is>
          <t>25260935721163000148550000000077411016664012</t>
        </is>
      </c>
      <c r="U562" t="inlineStr">
        <is>
          <t>Sim</t>
        </is>
      </c>
    </row>
    <row r="563">
      <c r="A563" t="inlineStr">
        <is>
          <t>Uso e consumo</t>
        </is>
      </c>
      <c r="B563" t="inlineStr">
        <is>
          <t>2.01.87 Compra de Peças de Máquinas</t>
        </is>
      </c>
      <c r="C563" s="30" t="n">
        <v>46266</v>
      </c>
      <c r="D563" t="inlineStr">
        <is>
          <t>Em 2026</t>
        </is>
      </c>
      <c r="E563" s="28" t="n">
        <v>46288</v>
      </c>
      <c r="F563" t="inlineStr">
        <is>
          <t>NF-e</t>
        </is>
      </c>
      <c r="G563" t="inlineStr">
        <is>
          <t>000007869</t>
        </is>
      </c>
      <c r="H563" t="inlineStr">
        <is>
          <t>GF COMERCIO DE PRODUTOS INDUSTRIAIS LTDA</t>
        </is>
      </c>
      <c r="I563" t="inlineStr">
        <is>
          <t>35.721.163/0001-48</t>
        </is>
      </c>
      <c r="J563" s="29" t="n">
        <v>532</v>
      </c>
      <c r="K563" s="29">
        <f>(1-ISNUMBER(SEARCH("556",M563)))*(O563*SUMIFS(Premissas!$C$5:$C$44,Premissas!$A$5:$A$44,$A563,Premissas!$B$5:$B$44,$B563)+P563*SUMIFS(Premissas!$D$5:$D$44,Premissas!$A$5:$A$44,$A563,Premissas!$B$5:$B$44,$B563))+R563*SUMIFS(Premissas!$E$5:$E$44,Premissas!$A$5:$A$44,$A563,Premissas!$B$5:$B$44,$B563)+S563*SUMIFS(Premissas!$F$5:$F$44,Premissas!$A$5:$A$44,$A563,Premissas!$B$5:$B$44,$B563)</f>
        <v/>
      </c>
      <c r="L563" s="29">
        <f>J563-K563</f>
        <v/>
      </c>
      <c r="M563" t="inlineStr">
        <is>
          <t>1.556</t>
        </is>
      </c>
      <c r="O563" s="29" t="n">
        <v>0</v>
      </c>
      <c r="P563" s="29" t="n">
        <v>0</v>
      </c>
      <c r="Q563" s="29" t="n">
        <v>0</v>
      </c>
      <c r="R563" s="29" t="n">
        <v>0</v>
      </c>
      <c r="S563" s="29" t="n">
        <v>0</v>
      </c>
      <c r="T563" t="inlineStr">
        <is>
          <t>25260935721163000148550000000078691016664019</t>
        </is>
      </c>
      <c r="U563" t="inlineStr">
        <is>
          <t>Sim</t>
        </is>
      </c>
    </row>
    <row r="564">
      <c r="A564" t="inlineStr">
        <is>
          <t>Uso e consumo</t>
        </is>
      </c>
      <c r="B564" t="inlineStr">
        <is>
          <t>2.01.87 Compra de Peças de Máquinas</t>
        </is>
      </c>
      <c r="C564" s="30" t="n">
        <v>46266</v>
      </c>
      <c r="D564" t="inlineStr">
        <is>
          <t>Em 2026</t>
        </is>
      </c>
      <c r="E564" s="28" t="n">
        <v>46268</v>
      </c>
      <c r="F564" t="inlineStr">
        <is>
          <t>NF-e</t>
        </is>
      </c>
      <c r="G564" t="inlineStr">
        <is>
          <t>000004008</t>
        </is>
      </c>
      <c r="H564" t="inlineStr">
        <is>
          <t>TRANSBELT - COMERCIO, IMPORTACAO E EXPORTACAO DE CORREIAS IN</t>
        </is>
      </c>
      <c r="I564" t="inlineStr">
        <is>
          <t>24.889.612/0001-45</t>
        </is>
      </c>
      <c r="J564" s="29" t="n">
        <v>1969.65</v>
      </c>
      <c r="K564" s="29">
        <f>(1-ISNUMBER(SEARCH("556",M564)))*(O564*SUMIFS(Premissas!$C$5:$C$44,Premissas!$A$5:$A$44,$A564,Premissas!$B$5:$B$44,$B564)+P564*SUMIFS(Premissas!$D$5:$D$44,Premissas!$A$5:$A$44,$A564,Premissas!$B$5:$B$44,$B564))+R564*SUMIFS(Premissas!$E$5:$E$44,Premissas!$A$5:$A$44,$A564,Premissas!$B$5:$B$44,$B564)+S564*SUMIFS(Premissas!$F$5:$F$44,Premissas!$A$5:$A$44,$A564,Premissas!$B$5:$B$44,$B564)</f>
        <v/>
      </c>
      <c r="L564" s="29">
        <f>J564-K564</f>
        <v/>
      </c>
      <c r="M564" t="inlineStr">
        <is>
          <t>2.556</t>
        </is>
      </c>
      <c r="O564" s="29" t="n">
        <v>0</v>
      </c>
      <c r="P564" s="29" t="n">
        <v>0</v>
      </c>
      <c r="Q564" s="29" t="n">
        <v>0</v>
      </c>
      <c r="R564" s="29" t="n">
        <v>0</v>
      </c>
      <c r="S564" s="29" t="n">
        <v>0</v>
      </c>
      <c r="T564" t="inlineStr">
        <is>
          <t>35260924889612000145550010000040081100035509</t>
        </is>
      </c>
      <c r="U564" t="inlineStr">
        <is>
          <t>Sim</t>
        </is>
      </c>
    </row>
    <row r="565">
      <c r="A565" t="inlineStr">
        <is>
          <t>Uso e consumo</t>
        </is>
      </c>
      <c r="B565" t="inlineStr">
        <is>
          <t>2.03.88 Compra de Fardamento</t>
        </is>
      </c>
      <c r="C565" s="30" t="n">
        <v>46054</v>
      </c>
      <c r="D565" t="inlineStr">
        <is>
          <t>Em 2026</t>
        </is>
      </c>
      <c r="E565" s="28" t="n">
        <v>46078</v>
      </c>
      <c r="F565" t="inlineStr">
        <is>
          <t>NF-e</t>
        </is>
      </c>
      <c r="G565" t="inlineStr">
        <is>
          <t>000003068</t>
        </is>
      </c>
      <c r="H565" t="inlineStr">
        <is>
          <t>R M FARDAMENTOS LTDA</t>
        </is>
      </c>
      <c r="I565" t="inlineStr">
        <is>
          <t>11.617.471/0001-60</t>
        </is>
      </c>
      <c r="J565" s="29" t="n">
        <v>8358.700000000001</v>
      </c>
      <c r="K565" s="29">
        <f>(1-ISNUMBER(SEARCH("556",M565)))*(O565*SUMIFS(Premissas!$C$5:$C$44,Premissas!$A$5:$A$44,$A565,Premissas!$B$5:$B$44,$B565)+P565*SUMIFS(Premissas!$D$5:$D$44,Premissas!$A$5:$A$44,$A565,Premissas!$B$5:$B$44,$B565))+R565*SUMIFS(Premissas!$E$5:$E$44,Premissas!$A$5:$A$44,$A565,Premissas!$B$5:$B$44,$B565)+S565*SUMIFS(Premissas!$F$5:$F$44,Premissas!$A$5:$A$44,$A565,Premissas!$B$5:$B$44,$B565)</f>
        <v/>
      </c>
      <c r="L565" s="29">
        <f>J565-K565</f>
        <v/>
      </c>
      <c r="M565" t="inlineStr">
        <is>
          <t>1.102</t>
        </is>
      </c>
      <c r="O565" s="29" t="n">
        <v>0</v>
      </c>
      <c r="P565" s="29" t="n">
        <v>0</v>
      </c>
      <c r="Q565" s="29" t="n">
        <v>0</v>
      </c>
      <c r="R565" s="29" t="n">
        <v>0</v>
      </c>
      <c r="S565" s="29" t="n">
        <v>0</v>
      </c>
      <c r="T565" t="inlineStr">
        <is>
          <t>25260211617471000160550010000030681552026025</t>
        </is>
      </c>
      <c r="U565" t="inlineStr">
        <is>
          <t>Sim</t>
        </is>
      </c>
    </row>
    <row r="566">
      <c r="A566" t="inlineStr">
        <is>
          <t>Uso e consumo</t>
        </is>
      </c>
      <c r="B566" t="inlineStr">
        <is>
          <t>2.03.88 Compra de Fardamento</t>
        </is>
      </c>
      <c r="C566" s="30" t="n">
        <v>46082</v>
      </c>
      <c r="D566" t="inlineStr">
        <is>
          <t>Em 2026</t>
        </is>
      </c>
      <c r="E566" s="28" t="n">
        <v>46100</v>
      </c>
      <c r="F566" t="inlineStr">
        <is>
          <t>NF-e</t>
        </is>
      </c>
      <c r="G566" t="inlineStr">
        <is>
          <t>000003090</t>
        </is>
      </c>
      <c r="H566" t="inlineStr">
        <is>
          <t>R M FARDAMENTOS LTDA</t>
        </is>
      </c>
      <c r="I566" t="inlineStr">
        <is>
          <t>11.617.471/0001-60</t>
        </is>
      </c>
      <c r="J566" s="29" t="n">
        <v>2400</v>
      </c>
      <c r="K566" s="29">
        <f>(1-ISNUMBER(SEARCH("556",M566)))*(O566*SUMIFS(Premissas!$C$5:$C$44,Premissas!$A$5:$A$44,$A566,Premissas!$B$5:$B$44,$B566)+P566*SUMIFS(Premissas!$D$5:$D$44,Premissas!$A$5:$A$44,$A566,Premissas!$B$5:$B$44,$B566))+R566*SUMIFS(Premissas!$E$5:$E$44,Premissas!$A$5:$A$44,$A566,Premissas!$B$5:$B$44,$B566)+S566*SUMIFS(Premissas!$F$5:$F$44,Premissas!$A$5:$A$44,$A566,Premissas!$B$5:$B$44,$B566)</f>
        <v/>
      </c>
      <c r="L566" s="29">
        <f>J566-K566</f>
        <v/>
      </c>
      <c r="M566" t="inlineStr">
        <is>
          <t>1.102</t>
        </is>
      </c>
      <c r="O566" s="29" t="n">
        <v>0</v>
      </c>
      <c r="P566" s="29" t="n">
        <v>0</v>
      </c>
      <c r="Q566" s="29" t="n">
        <v>0</v>
      </c>
      <c r="R566" s="29" t="n">
        <v>0</v>
      </c>
      <c r="S566" s="29" t="n">
        <v>0</v>
      </c>
      <c r="T566" t="inlineStr">
        <is>
          <t>25260311617471000160550010000030901772026037</t>
        </is>
      </c>
      <c r="U566" t="inlineStr">
        <is>
          <t>Sim</t>
        </is>
      </c>
    </row>
    <row r="567">
      <c r="A567" t="inlineStr">
        <is>
          <t>Uso e consumo</t>
        </is>
      </c>
      <c r="B567" t="inlineStr">
        <is>
          <t>2.03.88 Compra de Fardamento</t>
        </is>
      </c>
      <c r="C567" s="30" t="n">
        <v>46113</v>
      </c>
      <c r="D567" t="inlineStr">
        <is>
          <t>Em 2026</t>
        </is>
      </c>
      <c r="E567" s="28" t="n">
        <v>46134</v>
      </c>
      <c r="F567" t="inlineStr">
        <is>
          <t>NF-e</t>
        </is>
      </c>
      <c r="G567" t="inlineStr">
        <is>
          <t>000771993</t>
        </is>
      </c>
      <c r="H567" t="inlineStr">
        <is>
          <t>MIRANTE IND. E COM. EIRELI - ME</t>
        </is>
      </c>
      <c r="I567" t="inlineStr">
        <is>
          <t>23.966.188/0001-22</t>
        </is>
      </c>
      <c r="J567" s="29" t="n">
        <v>4620</v>
      </c>
      <c r="K567" s="29">
        <f>(1-ISNUMBER(SEARCH("556",M567)))*(O567*SUMIFS(Premissas!$C$5:$C$44,Premissas!$A$5:$A$44,$A567,Premissas!$B$5:$B$44,$B567)+P567*SUMIFS(Premissas!$D$5:$D$44,Premissas!$A$5:$A$44,$A567,Premissas!$B$5:$B$44,$B567))+R567*SUMIFS(Premissas!$E$5:$E$44,Premissas!$A$5:$A$44,$A567,Premissas!$B$5:$B$44,$B567)+S567*SUMIFS(Premissas!$F$5:$F$44,Premissas!$A$5:$A$44,$A567,Premissas!$B$5:$B$44,$B567)</f>
        <v/>
      </c>
      <c r="L567" s="29">
        <f>J567-K567</f>
        <v/>
      </c>
      <c r="M567" t="inlineStr">
        <is>
          <t>2.556</t>
        </is>
      </c>
      <c r="O567" s="29" t="n">
        <v>0</v>
      </c>
      <c r="P567" s="29" t="n">
        <v>323.4</v>
      </c>
      <c r="Q567" s="29" t="n">
        <v>0</v>
      </c>
      <c r="R567" s="29" t="n">
        <v>27.92</v>
      </c>
      <c r="S567" s="29" t="n">
        <v>128.9</v>
      </c>
      <c r="T567" t="inlineStr">
        <is>
          <t>42260423966188000122550010007719931342209338</t>
        </is>
      </c>
      <c r="U567" t="inlineStr">
        <is>
          <t>Sim</t>
        </is>
      </c>
    </row>
    <row r="568">
      <c r="A568" t="inlineStr">
        <is>
          <t>Uso e consumo</t>
        </is>
      </c>
      <c r="B568" t="inlineStr">
        <is>
          <t>2.03.88 Compra de Fardamento</t>
        </is>
      </c>
      <c r="C568" s="30" t="n">
        <v>46143</v>
      </c>
      <c r="D568" t="inlineStr">
        <is>
          <t>Em 2026</t>
        </is>
      </c>
      <c r="E568" s="28" t="n">
        <v>46167</v>
      </c>
      <c r="F568" t="inlineStr">
        <is>
          <t>NF-e</t>
        </is>
      </c>
      <c r="G568" t="inlineStr">
        <is>
          <t>000003153</t>
        </is>
      </c>
      <c r="H568" t="inlineStr">
        <is>
          <t>R M FARDAMENTOS LTDA</t>
        </is>
      </c>
      <c r="I568" t="inlineStr">
        <is>
          <t>11.617.471/0001-60</t>
        </is>
      </c>
      <c r="J568" s="29" t="n">
        <v>4799.46</v>
      </c>
      <c r="K568" s="29">
        <f>(1-ISNUMBER(SEARCH("556",M568)))*(O568*SUMIFS(Premissas!$C$5:$C$44,Premissas!$A$5:$A$44,$A568,Premissas!$B$5:$B$44,$B568)+P568*SUMIFS(Premissas!$D$5:$D$44,Premissas!$A$5:$A$44,$A568,Premissas!$B$5:$B$44,$B568))+R568*SUMIFS(Premissas!$E$5:$E$44,Premissas!$A$5:$A$44,$A568,Premissas!$B$5:$B$44,$B568)+S568*SUMIFS(Premissas!$F$5:$F$44,Premissas!$A$5:$A$44,$A568,Premissas!$B$5:$B$44,$B568)</f>
        <v/>
      </c>
      <c r="L568" s="29">
        <f>J568-K568</f>
        <v/>
      </c>
      <c r="M568" t="inlineStr">
        <is>
          <t>1.556</t>
        </is>
      </c>
      <c r="O568" s="29" t="n">
        <v>0</v>
      </c>
      <c r="P568" s="29" t="n">
        <v>0</v>
      </c>
      <c r="Q568" s="29" t="n">
        <v>0</v>
      </c>
      <c r="R568" s="29" t="n">
        <v>0</v>
      </c>
      <c r="S568" s="29" t="n">
        <v>0</v>
      </c>
      <c r="T568" t="inlineStr">
        <is>
          <t>25260511617471000160550010000031531144202606</t>
        </is>
      </c>
      <c r="U568" t="inlineStr">
        <is>
          <t>Sim</t>
        </is>
      </c>
    </row>
    <row r="569">
      <c r="A569" t="inlineStr">
        <is>
          <t>Uso e consumo</t>
        </is>
      </c>
      <c r="B569" t="inlineStr">
        <is>
          <t>2.03.88 Compra de Fardamento</t>
        </is>
      </c>
      <c r="C569" s="30" t="n">
        <v>46204</v>
      </c>
      <c r="D569" t="inlineStr">
        <is>
          <t>Em 2026</t>
        </is>
      </c>
      <c r="E569" s="28" t="n">
        <v>46210</v>
      </c>
      <c r="F569" t="inlineStr">
        <is>
          <t>NF-e</t>
        </is>
      </c>
      <c r="G569" t="inlineStr">
        <is>
          <t>000845000</t>
        </is>
      </c>
      <c r="H569" t="inlineStr">
        <is>
          <t>MIRANTE IND. E COM. EIRELI - ME</t>
        </is>
      </c>
      <c r="I569" t="inlineStr">
        <is>
          <t>23.966.188/0001-22</t>
        </is>
      </c>
      <c r="J569" s="29" t="n">
        <v>2784.6</v>
      </c>
      <c r="K569" s="29">
        <f>(1-ISNUMBER(SEARCH("556",M569)))*(O569*SUMIFS(Premissas!$C$5:$C$44,Premissas!$A$5:$A$44,$A569,Premissas!$B$5:$B$44,$B569)+P569*SUMIFS(Premissas!$D$5:$D$44,Premissas!$A$5:$A$44,$A569,Premissas!$B$5:$B$44,$B569))+R569*SUMIFS(Premissas!$E$5:$E$44,Premissas!$A$5:$A$44,$A569,Premissas!$B$5:$B$44,$B569)+S569*SUMIFS(Premissas!$F$5:$F$44,Premissas!$A$5:$A$44,$A569,Premissas!$B$5:$B$44,$B569)</f>
        <v/>
      </c>
      <c r="L569" s="29">
        <f>J569-K569</f>
        <v/>
      </c>
      <c r="M569" t="inlineStr">
        <is>
          <t>2.556</t>
        </is>
      </c>
      <c r="O569" s="29" t="n">
        <v>0</v>
      </c>
      <c r="P569" s="29" t="n">
        <v>194.92</v>
      </c>
      <c r="Q569" s="29" t="n">
        <v>0</v>
      </c>
      <c r="R569" s="29" t="n">
        <v>16.84</v>
      </c>
      <c r="S569" s="29" t="n">
        <v>77.69</v>
      </c>
      <c r="T569" t="inlineStr">
        <is>
          <t>42260723966188000122550010008450001520755255</t>
        </is>
      </c>
      <c r="U569" t="inlineStr">
        <is>
          <t>Sim</t>
        </is>
      </c>
    </row>
    <row r="570">
      <c r="A570" t="inlineStr">
        <is>
          <t>Uso e consumo</t>
        </is>
      </c>
      <c r="B570" t="inlineStr">
        <is>
          <t>2.03.88 Compra de Fardamento</t>
        </is>
      </c>
      <c r="C570" s="30" t="n">
        <v>46204</v>
      </c>
      <c r="D570" t="inlineStr">
        <is>
          <t>Em 2026</t>
        </is>
      </c>
      <c r="E570" s="28" t="n">
        <v>46227</v>
      </c>
      <c r="F570" t="inlineStr">
        <is>
          <t>NF-e</t>
        </is>
      </c>
      <c r="G570" t="inlineStr">
        <is>
          <t>000003204</t>
        </is>
      </c>
      <c r="H570" t="inlineStr">
        <is>
          <t>R M FARDAMENTOS LTDA</t>
        </is>
      </c>
      <c r="I570" t="inlineStr">
        <is>
          <t>11.617.471/0001-60</t>
        </is>
      </c>
      <c r="J570" s="29" t="n">
        <v>13444.11</v>
      </c>
      <c r="K570" s="29">
        <f>(1-ISNUMBER(SEARCH("556",M570)))*(O570*SUMIFS(Premissas!$C$5:$C$44,Premissas!$A$5:$A$44,$A570,Premissas!$B$5:$B$44,$B570)+P570*SUMIFS(Premissas!$D$5:$D$44,Premissas!$A$5:$A$44,$A570,Premissas!$B$5:$B$44,$B570))+R570*SUMIFS(Premissas!$E$5:$E$44,Premissas!$A$5:$A$44,$A570,Premissas!$B$5:$B$44,$B570)+S570*SUMIFS(Premissas!$F$5:$F$44,Premissas!$A$5:$A$44,$A570,Premissas!$B$5:$B$44,$B570)</f>
        <v/>
      </c>
      <c r="L570" s="29">
        <f>J570-K570</f>
        <v/>
      </c>
      <c r="M570" t="inlineStr">
        <is>
          <t>1.556</t>
        </is>
      </c>
      <c r="O570" s="29" t="n">
        <v>0</v>
      </c>
      <c r="P570" s="29" t="n">
        <v>0</v>
      </c>
      <c r="Q570" s="29" t="n">
        <v>0</v>
      </c>
      <c r="R570" s="29" t="n">
        <v>0</v>
      </c>
      <c r="S570" s="29" t="n">
        <v>0</v>
      </c>
      <c r="T570" t="inlineStr">
        <is>
          <t>25260711617471000160550010000032041204202605</t>
        </is>
      </c>
      <c r="U570" t="inlineStr">
        <is>
          <t>Sim</t>
        </is>
      </c>
    </row>
    <row r="571">
      <c r="A571" t="inlineStr">
        <is>
          <t>Uso e consumo</t>
        </is>
      </c>
      <c r="B571" t="inlineStr">
        <is>
          <t>2.03.88 Compra de Fardamento</t>
        </is>
      </c>
      <c r="C571" s="30" t="n">
        <v>46235</v>
      </c>
      <c r="D571" t="inlineStr">
        <is>
          <t>Em 2026</t>
        </is>
      </c>
      <c r="E571" s="28" t="n">
        <v>46246</v>
      </c>
      <c r="F571" t="inlineStr">
        <is>
          <t>NF-e</t>
        </is>
      </c>
      <c r="G571" t="inlineStr">
        <is>
          <t>000000362</t>
        </is>
      </c>
      <c r="H571" t="inlineStr">
        <is>
          <t>DANIELLE CRISTINA GOMES ANTONACCI - TOKA BRASIL</t>
        </is>
      </c>
      <c r="I571" t="inlineStr">
        <is>
          <t>33.429.107/0001-09</t>
        </is>
      </c>
      <c r="J571" s="29" t="n">
        <v>1481.7</v>
      </c>
      <c r="K571" s="29">
        <f>(1-ISNUMBER(SEARCH("556",M571)))*(O571*SUMIFS(Premissas!$C$5:$C$44,Premissas!$A$5:$A$44,$A571,Premissas!$B$5:$B$44,$B571)+P571*SUMIFS(Premissas!$D$5:$D$44,Premissas!$A$5:$A$44,$A571,Premissas!$B$5:$B$44,$B571))+R571*SUMIFS(Premissas!$E$5:$E$44,Premissas!$A$5:$A$44,$A571,Premissas!$B$5:$B$44,$B571)+S571*SUMIFS(Premissas!$F$5:$F$44,Premissas!$A$5:$A$44,$A571,Premissas!$B$5:$B$44,$B571)</f>
        <v/>
      </c>
      <c r="L571" s="29">
        <f>J571-K571</f>
        <v/>
      </c>
      <c r="M571" t="inlineStr">
        <is>
          <t>2.556</t>
        </is>
      </c>
      <c r="O571" s="29" t="n">
        <v>0</v>
      </c>
      <c r="P571" s="29" t="n">
        <v>0</v>
      </c>
      <c r="Q571" s="29" t="n">
        <v>0</v>
      </c>
      <c r="R571" s="29" t="n">
        <v>0</v>
      </c>
      <c r="S571" s="29" t="n">
        <v>0</v>
      </c>
      <c r="T571" t="inlineStr">
        <is>
          <t>25260833429107000109550020000003621690637820</t>
        </is>
      </c>
      <c r="U571" t="inlineStr">
        <is>
          <t>Sim</t>
        </is>
      </c>
    </row>
    <row r="572">
      <c r="A572" t="inlineStr">
        <is>
          <t>Uso e consumo</t>
        </is>
      </c>
      <c r="B572" t="inlineStr">
        <is>
          <t>2.03.88 Compra de Fardamento</t>
        </is>
      </c>
      <c r="C572" s="30" t="n">
        <v>46235</v>
      </c>
      <c r="D572" t="inlineStr">
        <is>
          <t>Em 2026</t>
        </is>
      </c>
      <c r="E572" s="28" t="n">
        <v>46248</v>
      </c>
      <c r="F572" t="inlineStr">
        <is>
          <t>NF-e</t>
        </is>
      </c>
      <c r="G572" t="inlineStr">
        <is>
          <t>000003222</t>
        </is>
      </c>
      <c r="H572" t="inlineStr">
        <is>
          <t>R M FARDAMENTOS LTDA</t>
        </is>
      </c>
      <c r="I572" t="inlineStr">
        <is>
          <t>11.617.471/0001-60</t>
        </is>
      </c>
      <c r="J572" s="29" t="n">
        <v>11085.02</v>
      </c>
      <c r="K572" s="29">
        <f>(1-ISNUMBER(SEARCH("556",M572)))*(O572*SUMIFS(Premissas!$C$5:$C$44,Premissas!$A$5:$A$44,$A572,Premissas!$B$5:$B$44,$B572)+P572*SUMIFS(Premissas!$D$5:$D$44,Premissas!$A$5:$A$44,$A572,Premissas!$B$5:$B$44,$B572))+R572*SUMIFS(Premissas!$E$5:$E$44,Premissas!$A$5:$A$44,$A572,Premissas!$B$5:$B$44,$B572)+S572*SUMIFS(Premissas!$F$5:$F$44,Premissas!$A$5:$A$44,$A572,Premissas!$B$5:$B$44,$B572)</f>
        <v/>
      </c>
      <c r="L572" s="29">
        <f>J572-K572</f>
        <v/>
      </c>
      <c r="M572" t="inlineStr">
        <is>
          <t>1.102, 1.556</t>
        </is>
      </c>
      <c r="O572" s="29" t="n">
        <v>0</v>
      </c>
      <c r="P572" s="29" t="n">
        <v>0</v>
      </c>
      <c r="Q572" s="29" t="n">
        <v>0</v>
      </c>
      <c r="R572" s="29" t="n">
        <v>0</v>
      </c>
      <c r="S572" s="29" t="n">
        <v>0</v>
      </c>
      <c r="T572" t="inlineStr">
        <is>
          <t>25260811617471000160550010000032221225202606</t>
        </is>
      </c>
      <c r="U572" t="inlineStr">
        <is>
          <t>Sim</t>
        </is>
      </c>
    </row>
    <row r="573">
      <c r="A573" t="inlineStr">
        <is>
          <t>Uso e consumo</t>
        </is>
      </c>
      <c r="B573" t="inlineStr">
        <is>
          <t>2.03.88 Compra de Fardamento</t>
        </is>
      </c>
      <c r="C573" s="30" t="n">
        <v>46235</v>
      </c>
      <c r="D573" t="inlineStr">
        <is>
          <t>Em 2026</t>
        </is>
      </c>
      <c r="E573" s="28" t="n">
        <v>46248</v>
      </c>
      <c r="F573" t="inlineStr">
        <is>
          <t>NF-e</t>
        </is>
      </c>
      <c r="G573" t="inlineStr">
        <is>
          <t>000003223</t>
        </is>
      </c>
      <c r="H573" t="inlineStr">
        <is>
          <t>R M FARDAMENTOS LTDA</t>
        </is>
      </c>
      <c r="I573" t="inlineStr">
        <is>
          <t>11.617.471/0001-60</t>
        </is>
      </c>
      <c r="J573" s="29" t="n">
        <v>108</v>
      </c>
      <c r="K573" s="29">
        <f>(1-ISNUMBER(SEARCH("556",M573)))*(O573*SUMIFS(Premissas!$C$5:$C$44,Premissas!$A$5:$A$44,$A573,Premissas!$B$5:$B$44,$B573)+P573*SUMIFS(Premissas!$D$5:$D$44,Premissas!$A$5:$A$44,$A573,Premissas!$B$5:$B$44,$B573))+R573*SUMIFS(Premissas!$E$5:$E$44,Premissas!$A$5:$A$44,$A573,Premissas!$B$5:$B$44,$B573)+S573*SUMIFS(Premissas!$F$5:$F$44,Premissas!$A$5:$A$44,$A573,Premissas!$B$5:$B$44,$B573)</f>
        <v/>
      </c>
      <c r="L573" s="29">
        <f>J573-K573</f>
        <v/>
      </c>
      <c r="M573" t="inlineStr">
        <is>
          <t>1.556</t>
        </is>
      </c>
      <c r="O573" s="29" t="n">
        <v>0</v>
      </c>
      <c r="P573" s="29" t="n">
        <v>0</v>
      </c>
      <c r="Q573" s="29" t="n">
        <v>0</v>
      </c>
      <c r="R573" s="29" t="n">
        <v>0</v>
      </c>
      <c r="S573" s="29" t="n">
        <v>0</v>
      </c>
      <c r="T573" t="inlineStr">
        <is>
          <t>25260811617471000160550010000032231225202603</t>
        </is>
      </c>
      <c r="U573" t="inlineStr">
        <is>
          <t>Sim</t>
        </is>
      </c>
    </row>
    <row r="574">
      <c r="A574" t="inlineStr">
        <is>
          <t>Uso e consumo</t>
        </is>
      </c>
      <c r="B574" t="inlineStr">
        <is>
          <t>2.03.90 Compra de EPI</t>
        </is>
      </c>
      <c r="C574" s="30" t="n">
        <v>46023</v>
      </c>
      <c r="D574" t="inlineStr">
        <is>
          <t>Em 2026</t>
        </is>
      </c>
      <c r="E574" s="28" t="n">
        <v>46034</v>
      </c>
      <c r="F574" t="inlineStr">
        <is>
          <t>NF-e</t>
        </is>
      </c>
      <c r="G574" t="inlineStr">
        <is>
          <t>000117212</t>
        </is>
      </c>
      <c r="H574" t="inlineStr">
        <is>
          <t>SEGURA COM DE EQUP. DE PROTECAO LTDA</t>
        </is>
      </c>
      <c r="I574" t="inlineStr">
        <is>
          <t>13.326.462/0001-45</t>
        </is>
      </c>
      <c r="J574" s="29" t="n">
        <v>1185.89</v>
      </c>
      <c r="K574" s="29">
        <f>(1-ISNUMBER(SEARCH("556",M574)))*(O574*SUMIFS(Premissas!$C$5:$C$44,Premissas!$A$5:$A$44,$A574,Premissas!$B$5:$B$44,$B574)+P574*SUMIFS(Premissas!$D$5:$D$44,Premissas!$A$5:$A$44,$A574,Premissas!$B$5:$B$44,$B574))+R574*SUMIFS(Premissas!$E$5:$E$44,Premissas!$A$5:$A$44,$A574,Premissas!$B$5:$B$44,$B574)+S574*SUMIFS(Premissas!$F$5:$F$44,Premissas!$A$5:$A$44,$A574,Premissas!$B$5:$B$44,$B574)</f>
        <v/>
      </c>
      <c r="L574" s="29">
        <f>J574-K574</f>
        <v/>
      </c>
      <c r="M574" t="inlineStr">
        <is>
          <t>1.102</t>
        </is>
      </c>
      <c r="O574" s="29" t="n">
        <v>0</v>
      </c>
      <c r="P574" s="29" t="n">
        <v>237.19</v>
      </c>
      <c r="Q574" s="29" t="n">
        <v>0</v>
      </c>
      <c r="R574" s="29" t="n">
        <v>15.67</v>
      </c>
      <c r="S574" s="29" t="n">
        <v>72.09</v>
      </c>
      <c r="T574" t="inlineStr">
        <is>
          <t>25260113326462000145550030001172121461932108</t>
        </is>
      </c>
      <c r="U574" t="inlineStr">
        <is>
          <t>Sim</t>
        </is>
      </c>
    </row>
    <row r="575">
      <c r="A575" t="inlineStr">
        <is>
          <t>Uso e consumo</t>
        </is>
      </c>
      <c r="B575" t="inlineStr">
        <is>
          <t>2.03.90 Compra de EPI</t>
        </is>
      </c>
      <c r="C575" s="30" t="n">
        <v>46054</v>
      </c>
      <c r="D575" t="inlineStr">
        <is>
          <t>Em 2026</t>
        </is>
      </c>
      <c r="E575" s="28" t="n">
        <v>46059</v>
      </c>
      <c r="F575" t="inlineStr">
        <is>
          <t>NF-e</t>
        </is>
      </c>
      <c r="G575" t="inlineStr">
        <is>
          <t>000070490</t>
        </is>
      </c>
      <c r="H575" t="inlineStr">
        <is>
          <t>INDUSTRIA E COMERCIO DE BOLAS E CHUTEIRAS CARREIRO LTDA</t>
        </is>
      </c>
      <c r="I575" t="inlineStr">
        <is>
          <t>24.504.797/0001-22</t>
        </is>
      </c>
      <c r="J575" s="29" t="n">
        <v>1413.6</v>
      </c>
      <c r="K575" s="29">
        <f>(1-ISNUMBER(SEARCH("556",M575)))*(O575*SUMIFS(Premissas!$C$5:$C$44,Premissas!$A$5:$A$44,$A575,Premissas!$B$5:$B$44,$B575)+P575*SUMIFS(Premissas!$D$5:$D$44,Premissas!$A$5:$A$44,$A575,Premissas!$B$5:$B$44,$B575))+R575*SUMIFS(Premissas!$E$5:$E$44,Premissas!$A$5:$A$44,$A575,Premissas!$B$5:$B$44,$B575)+S575*SUMIFS(Premissas!$F$5:$F$44,Premissas!$A$5:$A$44,$A575,Premissas!$B$5:$B$44,$B575)</f>
        <v/>
      </c>
      <c r="L575" s="29">
        <f>J575-K575</f>
        <v/>
      </c>
      <c r="M575" t="inlineStr">
        <is>
          <t>1.102</t>
        </is>
      </c>
      <c r="O575" s="29" t="n">
        <v>0</v>
      </c>
      <c r="P575" s="29" t="n">
        <v>282.72</v>
      </c>
      <c r="Q575" s="29" t="n">
        <v>0</v>
      </c>
      <c r="R575" s="29" t="n">
        <v>9.19</v>
      </c>
      <c r="S575" s="29" t="n">
        <v>42.41</v>
      </c>
      <c r="T575" t="inlineStr">
        <is>
          <t>25260224504797000122550010000704901000704911</t>
        </is>
      </c>
      <c r="U575" t="inlineStr">
        <is>
          <t>Sim</t>
        </is>
      </c>
    </row>
    <row r="576">
      <c r="A576" t="inlineStr">
        <is>
          <t>Uso e consumo</t>
        </is>
      </c>
      <c r="B576" t="inlineStr">
        <is>
          <t>2.03.90 Compra de EPI</t>
        </is>
      </c>
      <c r="C576" s="30" t="n">
        <v>46054</v>
      </c>
      <c r="D576" t="inlineStr">
        <is>
          <t>Em 2026</t>
        </is>
      </c>
      <c r="E576" s="28" t="n">
        <v>46062</v>
      </c>
      <c r="F576" t="inlineStr">
        <is>
          <t>NF-e</t>
        </is>
      </c>
      <c r="G576" t="inlineStr">
        <is>
          <t>000094447</t>
        </is>
      </c>
      <c r="H576" t="inlineStr">
        <is>
          <t>PERNAMBUCO DISTRIBUIDORA ATAC EPIS, INS IND e MRO LTDA</t>
        </is>
      </c>
      <c r="I576" t="inlineStr">
        <is>
          <t>02.155.469/0009-82</t>
        </is>
      </c>
      <c r="J576" s="29" t="n">
        <v>761.8</v>
      </c>
      <c r="K576" s="29">
        <f>(1-ISNUMBER(SEARCH("556",M576)))*(O576*SUMIFS(Premissas!$C$5:$C$44,Premissas!$A$5:$A$44,$A576,Premissas!$B$5:$B$44,$B576)+P576*SUMIFS(Premissas!$D$5:$D$44,Premissas!$A$5:$A$44,$A576,Premissas!$B$5:$B$44,$B576))+R576*SUMIFS(Premissas!$E$5:$E$44,Premissas!$A$5:$A$44,$A576,Premissas!$B$5:$B$44,$B576)+S576*SUMIFS(Premissas!$F$5:$F$44,Premissas!$A$5:$A$44,$A576,Premissas!$B$5:$B$44,$B576)</f>
        <v/>
      </c>
      <c r="L576" s="29">
        <f>J576-K576</f>
        <v/>
      </c>
      <c r="M576" t="inlineStr">
        <is>
          <t>1.102</t>
        </is>
      </c>
      <c r="O576" s="29" t="n">
        <v>0</v>
      </c>
      <c r="P576" s="29" t="n">
        <v>152.36</v>
      </c>
      <c r="Q576" s="29" t="n">
        <v>0</v>
      </c>
      <c r="R576" s="29" t="n">
        <v>10.03</v>
      </c>
      <c r="S576" s="29" t="n">
        <v>46.29</v>
      </c>
      <c r="T576" t="inlineStr">
        <is>
          <t>25260202155469000982550010000944471041476233</t>
        </is>
      </c>
      <c r="U576" t="inlineStr">
        <is>
          <t>Sim</t>
        </is>
      </c>
    </row>
    <row r="577">
      <c r="A577" t="inlineStr">
        <is>
          <t>Uso e consumo</t>
        </is>
      </c>
      <c r="B577" t="inlineStr">
        <is>
          <t>2.03.90 Compra de EPI</t>
        </is>
      </c>
      <c r="C577" s="30" t="n">
        <v>46082</v>
      </c>
      <c r="D577" t="inlineStr">
        <is>
          <t>Em 2026</t>
        </is>
      </c>
      <c r="E577" s="28" t="n">
        <v>46086</v>
      </c>
      <c r="F577" t="inlineStr">
        <is>
          <t>NF-e</t>
        </is>
      </c>
      <c r="G577" t="inlineStr">
        <is>
          <t>000009072</t>
        </is>
      </c>
      <c r="H577" t="inlineStr">
        <is>
          <t>L ANTONIO DA SILVA</t>
        </is>
      </c>
      <c r="I577" t="inlineStr">
        <is>
          <t>12.814.737/0001-27</t>
        </is>
      </c>
      <c r="J577" s="29" t="n">
        <v>352.08</v>
      </c>
      <c r="K577" s="29">
        <f>(1-ISNUMBER(SEARCH("556",M577)))*(O577*SUMIFS(Premissas!$C$5:$C$44,Premissas!$A$5:$A$44,$A577,Premissas!$B$5:$B$44,$B577)+P577*SUMIFS(Premissas!$D$5:$D$44,Premissas!$A$5:$A$44,$A577,Premissas!$B$5:$B$44,$B577))+R577*SUMIFS(Premissas!$E$5:$E$44,Premissas!$A$5:$A$44,$A577,Premissas!$B$5:$B$44,$B577)+S577*SUMIFS(Premissas!$F$5:$F$44,Premissas!$A$5:$A$44,$A577,Premissas!$B$5:$B$44,$B577)</f>
        <v/>
      </c>
      <c r="L577" s="29">
        <f>J577-K577</f>
        <v/>
      </c>
      <c r="M577" t="inlineStr">
        <is>
          <t>2.102</t>
        </is>
      </c>
      <c r="O577" s="29" t="n">
        <v>0</v>
      </c>
      <c r="P577" s="29" t="n">
        <v>42.24</v>
      </c>
      <c r="Q577" s="29" t="n">
        <v>0</v>
      </c>
      <c r="R577" s="29" t="n">
        <v>2.28</v>
      </c>
      <c r="S577" s="29" t="n">
        <v>10.56</v>
      </c>
      <c r="T577" t="inlineStr">
        <is>
          <t>26260312814737000127550010000090721812686438</t>
        </is>
      </c>
      <c r="U577" t="inlineStr">
        <is>
          <t>Sim</t>
        </is>
      </c>
    </row>
    <row r="578">
      <c r="A578" t="inlineStr">
        <is>
          <t>Uso e consumo</t>
        </is>
      </c>
      <c r="B578" t="inlineStr">
        <is>
          <t>2.03.90 Compra de EPI</t>
        </is>
      </c>
      <c r="C578" s="30" t="n">
        <v>46082</v>
      </c>
      <c r="D578" t="inlineStr">
        <is>
          <t>Em 2026</t>
        </is>
      </c>
      <c r="E578" s="28" t="n">
        <v>46091</v>
      </c>
      <c r="F578" t="inlineStr">
        <is>
          <t>NF-e</t>
        </is>
      </c>
      <c r="G578" t="inlineStr">
        <is>
          <t>000095974</t>
        </is>
      </c>
      <c r="H578" t="inlineStr">
        <is>
          <t>PERNAMBUCO DISTRIBUIDORA ATAC EPIS, INS IND e MRO LTDA</t>
        </is>
      </c>
      <c r="I578" t="inlineStr">
        <is>
          <t>02.155.469/0009-82</t>
        </is>
      </c>
      <c r="J578" s="29" t="n">
        <v>660</v>
      </c>
      <c r="K578" s="29">
        <f>(1-ISNUMBER(SEARCH("556",M578)))*(O578*SUMIFS(Premissas!$C$5:$C$44,Premissas!$A$5:$A$44,$A578,Premissas!$B$5:$B$44,$B578)+P578*SUMIFS(Premissas!$D$5:$D$44,Premissas!$A$5:$A$44,$A578,Premissas!$B$5:$B$44,$B578))+R578*SUMIFS(Premissas!$E$5:$E$44,Premissas!$A$5:$A$44,$A578,Premissas!$B$5:$B$44,$B578)+S578*SUMIFS(Premissas!$F$5:$F$44,Premissas!$A$5:$A$44,$A578,Premissas!$B$5:$B$44,$B578)</f>
        <v/>
      </c>
      <c r="L578" s="29">
        <f>J578-K578</f>
        <v/>
      </c>
      <c r="M578" t="inlineStr">
        <is>
          <t>1.102</t>
        </is>
      </c>
      <c r="O578" s="29" t="n">
        <v>0</v>
      </c>
      <c r="P578" s="29" t="n">
        <v>132</v>
      </c>
      <c r="Q578" s="29" t="n">
        <v>0</v>
      </c>
      <c r="R578" s="29" t="n">
        <v>8.67</v>
      </c>
      <c r="S578" s="29" t="n">
        <v>40.1</v>
      </c>
      <c r="T578" t="inlineStr">
        <is>
          <t>25260302155469000982550010000959741933241531</t>
        </is>
      </c>
      <c r="U578" t="inlineStr">
        <is>
          <t>Sim</t>
        </is>
      </c>
    </row>
    <row r="579">
      <c r="A579" t="inlineStr">
        <is>
          <t>Uso e consumo</t>
        </is>
      </c>
      <c r="B579" t="inlineStr">
        <is>
          <t>2.03.90 Compra de EPI</t>
        </is>
      </c>
      <c r="C579" s="30" t="n">
        <v>46113</v>
      </c>
      <c r="D579" t="inlineStr">
        <is>
          <t>Em 2026</t>
        </is>
      </c>
      <c r="E579" s="28" t="n">
        <v>46114</v>
      </c>
      <c r="F579" t="inlineStr">
        <is>
          <t>NF-e</t>
        </is>
      </c>
      <c r="G579" t="inlineStr">
        <is>
          <t>000120232</t>
        </is>
      </c>
      <c r="H579" t="inlineStr">
        <is>
          <t>SEGURA COM DE EQUP. DE PROTECAO LTDA</t>
        </is>
      </c>
      <c r="I579" t="inlineStr">
        <is>
          <t>13.326.462/0001-45</t>
        </is>
      </c>
      <c r="J579" s="29" t="n">
        <v>2280.29</v>
      </c>
      <c r="K579" s="29">
        <f>(1-ISNUMBER(SEARCH("556",M579)))*(O579*SUMIFS(Premissas!$C$5:$C$44,Premissas!$A$5:$A$44,$A579,Premissas!$B$5:$B$44,$B579)+P579*SUMIFS(Premissas!$D$5:$D$44,Premissas!$A$5:$A$44,$A579,Premissas!$B$5:$B$44,$B579))+R579*SUMIFS(Premissas!$E$5:$E$44,Premissas!$A$5:$A$44,$A579,Premissas!$B$5:$B$44,$B579)+S579*SUMIFS(Premissas!$F$5:$F$44,Premissas!$A$5:$A$44,$A579,Premissas!$B$5:$B$44,$B579)</f>
        <v/>
      </c>
      <c r="L579" s="29">
        <f>J579-K579</f>
        <v/>
      </c>
      <c r="M579" t="inlineStr">
        <is>
          <t>1.556</t>
        </is>
      </c>
      <c r="O579" s="29" t="n">
        <v>0</v>
      </c>
      <c r="P579" s="29" t="n">
        <v>456.06</v>
      </c>
      <c r="Q579" s="29" t="n">
        <v>0</v>
      </c>
      <c r="R579" s="29" t="n">
        <v>30.11</v>
      </c>
      <c r="S579" s="29" t="n">
        <v>138.64</v>
      </c>
      <c r="T579" t="inlineStr">
        <is>
          <t>25260413326462000145550030001202321164142159</t>
        </is>
      </c>
      <c r="U579" t="inlineStr">
        <is>
          <t>Sim</t>
        </is>
      </c>
    </row>
    <row r="580">
      <c r="A580" t="inlineStr">
        <is>
          <t>Uso e consumo</t>
        </is>
      </c>
      <c r="B580" t="inlineStr">
        <is>
          <t>2.03.90 Compra de EPI</t>
        </is>
      </c>
      <c r="C580" s="30" t="n">
        <v>46143</v>
      </c>
      <c r="D580" t="inlineStr">
        <is>
          <t>Em 2026</t>
        </is>
      </c>
      <c r="E580" s="28" t="n">
        <v>46147</v>
      </c>
      <c r="F580" t="inlineStr">
        <is>
          <t>NF-e</t>
        </is>
      </c>
      <c r="G580" t="inlineStr">
        <is>
          <t>000099460</t>
        </is>
      </c>
      <c r="H580" t="inlineStr">
        <is>
          <t>PERNAMBUCO DISTRIBUIDORA ATAC EPIS, INS IND e MRO LTDA</t>
        </is>
      </c>
      <c r="I580" t="inlineStr">
        <is>
          <t>02.155.469/0009-82</t>
        </is>
      </c>
      <c r="J580" s="29" t="n">
        <v>2639.8</v>
      </c>
      <c r="K580" s="29">
        <f>(1-ISNUMBER(SEARCH("556",M580)))*(O580*SUMIFS(Premissas!$C$5:$C$44,Premissas!$A$5:$A$44,$A580,Premissas!$B$5:$B$44,$B580)+P580*SUMIFS(Premissas!$D$5:$D$44,Premissas!$A$5:$A$44,$A580,Premissas!$B$5:$B$44,$B580))+R580*SUMIFS(Premissas!$E$5:$E$44,Premissas!$A$5:$A$44,$A580,Premissas!$B$5:$B$44,$B580)+S580*SUMIFS(Premissas!$F$5:$F$44,Premissas!$A$5:$A$44,$A580,Premissas!$B$5:$B$44,$B580)</f>
        <v/>
      </c>
      <c r="L580" s="29">
        <f>J580-K580</f>
        <v/>
      </c>
      <c r="M580" t="inlineStr">
        <is>
          <t>1.556</t>
        </is>
      </c>
      <c r="O580" s="29" t="n">
        <v>0</v>
      </c>
      <c r="P580" s="29" t="n">
        <v>527.96</v>
      </c>
      <c r="Q580" s="29" t="n">
        <v>0</v>
      </c>
      <c r="R580" s="29" t="n">
        <v>34.84</v>
      </c>
      <c r="S580" s="29" t="n">
        <v>160.49</v>
      </c>
      <c r="T580" t="inlineStr">
        <is>
          <t>25260502155469000982550010000994601988484340</t>
        </is>
      </c>
      <c r="U580" t="inlineStr">
        <is>
          <t>Sim</t>
        </is>
      </c>
    </row>
    <row r="581">
      <c r="A581" t="inlineStr">
        <is>
          <t>Uso e consumo</t>
        </is>
      </c>
      <c r="B581" t="inlineStr">
        <is>
          <t>2.03.90 Compra de EPI</t>
        </is>
      </c>
      <c r="C581" s="30" t="n">
        <v>46143</v>
      </c>
      <c r="D581" t="inlineStr">
        <is>
          <t>Em 2026</t>
        </is>
      </c>
      <c r="E581" s="28" t="n">
        <v>46157</v>
      </c>
      <c r="F581" t="inlineStr">
        <is>
          <t>NF-e</t>
        </is>
      </c>
      <c r="G581" t="inlineStr">
        <is>
          <t>000100274</t>
        </is>
      </c>
      <c r="H581" t="inlineStr">
        <is>
          <t>PERNAMBUCO DISTRIBUIDORA ATAC EPIS, INS IND e MRO LTDA</t>
        </is>
      </c>
      <c r="I581" t="inlineStr">
        <is>
          <t>02.155.469/0009-82</t>
        </is>
      </c>
      <c r="J581" s="29" t="n">
        <v>2237.2</v>
      </c>
      <c r="K581" s="29">
        <f>(1-ISNUMBER(SEARCH("556",M581)))*(O581*SUMIFS(Premissas!$C$5:$C$44,Premissas!$A$5:$A$44,$A581,Premissas!$B$5:$B$44,$B581)+P581*SUMIFS(Premissas!$D$5:$D$44,Premissas!$A$5:$A$44,$A581,Premissas!$B$5:$B$44,$B581))+R581*SUMIFS(Premissas!$E$5:$E$44,Premissas!$A$5:$A$44,$A581,Premissas!$B$5:$B$44,$B581)+S581*SUMIFS(Premissas!$F$5:$F$44,Premissas!$A$5:$A$44,$A581,Premissas!$B$5:$B$44,$B581)</f>
        <v/>
      </c>
      <c r="L581" s="29">
        <f>J581-K581</f>
        <v/>
      </c>
      <c r="M581" t="inlineStr">
        <is>
          <t>1.102</t>
        </is>
      </c>
      <c r="O581" s="29" t="n">
        <v>0</v>
      </c>
      <c r="P581" s="29" t="n">
        <v>447.44</v>
      </c>
      <c r="Q581" s="29" t="n">
        <v>0</v>
      </c>
      <c r="R581" s="29" t="n">
        <v>29.52</v>
      </c>
      <c r="S581" s="29" t="n">
        <v>136.01</v>
      </c>
      <c r="T581" t="inlineStr">
        <is>
          <t>25260502155469000982550010001002741873581966</t>
        </is>
      </c>
      <c r="U581" t="inlineStr">
        <is>
          <t>Sim</t>
        </is>
      </c>
    </row>
    <row r="582">
      <c r="A582" t="inlineStr">
        <is>
          <t>Uso e consumo</t>
        </is>
      </c>
      <c r="B582" t="inlineStr">
        <is>
          <t>2.03.90 Compra de EPI</t>
        </is>
      </c>
      <c r="C582" s="30" t="n">
        <v>46143</v>
      </c>
      <c r="D582" t="inlineStr">
        <is>
          <t>Em 2026</t>
        </is>
      </c>
      <c r="E582" s="28" t="n">
        <v>46170</v>
      </c>
      <c r="F582" t="inlineStr">
        <is>
          <t>NF-e</t>
        </is>
      </c>
      <c r="G582" t="inlineStr">
        <is>
          <t>000101309</t>
        </is>
      </c>
      <c r="H582" t="inlineStr">
        <is>
          <t>PERNAMBUCO DISTRIBUIDORA ATAC EPIS, INS IND e MRO LTDA</t>
        </is>
      </c>
      <c r="I582" t="inlineStr">
        <is>
          <t>02.155.469/0009-82</t>
        </is>
      </c>
      <c r="J582" s="29" t="n">
        <v>1312.4</v>
      </c>
      <c r="K582" s="29">
        <f>(1-ISNUMBER(SEARCH("556",M582)))*(O582*SUMIFS(Premissas!$C$5:$C$44,Premissas!$A$5:$A$44,$A582,Premissas!$B$5:$B$44,$B582)+P582*SUMIFS(Premissas!$D$5:$D$44,Premissas!$A$5:$A$44,$A582,Premissas!$B$5:$B$44,$B582))+R582*SUMIFS(Premissas!$E$5:$E$44,Premissas!$A$5:$A$44,$A582,Premissas!$B$5:$B$44,$B582)+S582*SUMIFS(Premissas!$F$5:$F$44,Premissas!$A$5:$A$44,$A582,Premissas!$B$5:$B$44,$B582)</f>
        <v/>
      </c>
      <c r="L582" s="29">
        <f>J582-K582</f>
        <v/>
      </c>
      <c r="M582" t="inlineStr">
        <is>
          <t>1.102</t>
        </is>
      </c>
      <c r="O582" s="29" t="n">
        <v>0</v>
      </c>
      <c r="P582" s="29" t="n">
        <v>262.48</v>
      </c>
      <c r="Q582" s="29" t="n">
        <v>0</v>
      </c>
      <c r="R582" s="29" t="n">
        <v>17.31</v>
      </c>
      <c r="S582" s="29" t="n">
        <v>79.78</v>
      </c>
      <c r="T582" t="inlineStr">
        <is>
          <t>25260502155469000982550010001013091797850061</t>
        </is>
      </c>
      <c r="U582" t="inlineStr">
        <is>
          <t>Sim</t>
        </is>
      </c>
    </row>
    <row r="583">
      <c r="A583" t="inlineStr">
        <is>
          <t>Uso e consumo</t>
        </is>
      </c>
      <c r="B583" t="inlineStr">
        <is>
          <t>2.03.90 Compra de EPI</t>
        </is>
      </c>
      <c r="C583" s="30" t="n">
        <v>46174</v>
      </c>
      <c r="D583" t="inlineStr">
        <is>
          <t>Em 2026</t>
        </is>
      </c>
      <c r="E583" s="28" t="n">
        <v>46183</v>
      </c>
      <c r="F583" t="inlineStr">
        <is>
          <t>NF-e</t>
        </is>
      </c>
      <c r="G583" t="inlineStr">
        <is>
          <t>000102181</t>
        </is>
      </c>
      <c r="H583" t="inlineStr">
        <is>
          <t>PERNAMBUCO DISTRIBUIDORA ATAC EPIS, INS IND e MRO LTDA</t>
        </is>
      </c>
      <c r="I583" t="inlineStr">
        <is>
          <t>02.155.469/0009-82</t>
        </is>
      </c>
      <c r="J583" s="29" t="n">
        <v>11964.24</v>
      </c>
      <c r="K583" s="29">
        <f>(1-ISNUMBER(SEARCH("556",M583)))*(O583*SUMIFS(Premissas!$C$5:$C$44,Premissas!$A$5:$A$44,$A583,Premissas!$B$5:$B$44,$B583)+P583*SUMIFS(Premissas!$D$5:$D$44,Premissas!$A$5:$A$44,$A583,Premissas!$B$5:$B$44,$B583))+R583*SUMIFS(Premissas!$E$5:$E$44,Premissas!$A$5:$A$44,$A583,Premissas!$B$5:$B$44,$B583)+S583*SUMIFS(Premissas!$F$5:$F$44,Premissas!$A$5:$A$44,$A583,Premissas!$B$5:$B$44,$B583)</f>
        <v/>
      </c>
      <c r="L583" s="29">
        <f>J583-K583</f>
        <v/>
      </c>
      <c r="M583" t="inlineStr">
        <is>
          <t>1.556</t>
        </is>
      </c>
      <c r="O583" s="29" t="n">
        <v>0</v>
      </c>
      <c r="P583" s="29" t="n">
        <v>2392.84</v>
      </c>
      <c r="Q583" s="29" t="n">
        <v>0</v>
      </c>
      <c r="R583" s="29" t="n">
        <v>157.92</v>
      </c>
      <c r="S583" s="29" t="n">
        <v>727.42</v>
      </c>
      <c r="T583" t="inlineStr">
        <is>
          <t>25260602155469000982550010001021811895893652</t>
        </is>
      </c>
      <c r="U583" t="inlineStr">
        <is>
          <t>Sim</t>
        </is>
      </c>
    </row>
    <row r="584">
      <c r="A584" t="inlineStr">
        <is>
          <t>Uso e consumo</t>
        </is>
      </c>
      <c r="B584" t="inlineStr">
        <is>
          <t>2.03.90 Compra de EPI</t>
        </is>
      </c>
      <c r="C584" s="30" t="n">
        <v>46174</v>
      </c>
      <c r="D584" t="inlineStr">
        <is>
          <t>Em 2026</t>
        </is>
      </c>
      <c r="E584" s="28" t="n">
        <v>46184</v>
      </c>
      <c r="F584" t="inlineStr">
        <is>
          <t>NF-e</t>
        </is>
      </c>
      <c r="G584" t="inlineStr">
        <is>
          <t>000102330</t>
        </is>
      </c>
      <c r="H584" t="inlineStr">
        <is>
          <t>PERNAMBUCO DISTRIBUIDORA ATAC EPIS, INS IND e MRO LTDA</t>
        </is>
      </c>
      <c r="I584" t="inlineStr">
        <is>
          <t>02.155.469/0009-82</t>
        </is>
      </c>
      <c r="J584" s="29" t="n">
        <v>300</v>
      </c>
      <c r="K584" s="29">
        <f>(1-ISNUMBER(SEARCH("556",M584)))*(O584*SUMIFS(Premissas!$C$5:$C$44,Premissas!$A$5:$A$44,$A584,Premissas!$B$5:$B$44,$B584)+P584*SUMIFS(Premissas!$D$5:$D$44,Premissas!$A$5:$A$44,$A584,Premissas!$B$5:$B$44,$B584))+R584*SUMIFS(Premissas!$E$5:$E$44,Premissas!$A$5:$A$44,$A584,Premissas!$B$5:$B$44,$B584)+S584*SUMIFS(Premissas!$F$5:$F$44,Premissas!$A$5:$A$44,$A584,Premissas!$B$5:$B$44,$B584)</f>
        <v/>
      </c>
      <c r="L584" s="29">
        <f>J584-K584</f>
        <v/>
      </c>
      <c r="M584" t="inlineStr">
        <is>
          <t>1.556</t>
        </is>
      </c>
      <c r="O584" s="29" t="n">
        <v>0</v>
      </c>
      <c r="P584" s="29" t="n">
        <v>60</v>
      </c>
      <c r="Q584" s="29" t="n">
        <v>0</v>
      </c>
      <c r="R584" s="29" t="n">
        <v>3.95</v>
      </c>
      <c r="S584" s="29" t="n">
        <v>18.23</v>
      </c>
      <c r="T584" t="inlineStr">
        <is>
          <t>25260602155469000982550010001023301840472452</t>
        </is>
      </c>
      <c r="U584" t="inlineStr">
        <is>
          <t>Sim</t>
        </is>
      </c>
    </row>
    <row r="585">
      <c r="A585" t="inlineStr">
        <is>
          <t>Uso e consumo</t>
        </is>
      </c>
      <c r="B585" t="inlineStr">
        <is>
          <t>2.03.90 Compra de EPI</t>
        </is>
      </c>
      <c r="C585" s="30" t="n">
        <v>46174</v>
      </c>
      <c r="D585" t="inlineStr">
        <is>
          <t>Em 2026</t>
        </is>
      </c>
      <c r="E585" s="28" t="n">
        <v>46175</v>
      </c>
      <c r="F585" t="inlineStr">
        <is>
          <t>NF-e</t>
        </is>
      </c>
      <c r="G585" t="inlineStr">
        <is>
          <t>000122570</t>
        </is>
      </c>
      <c r="H585" t="inlineStr">
        <is>
          <t>SEGURA COM DE EQUP. DE PROTECAO LTDA</t>
        </is>
      </c>
      <c r="I585" t="inlineStr">
        <is>
          <t>13.326.462/0001-45</t>
        </is>
      </c>
      <c r="J585" s="29" t="n">
        <v>400.22</v>
      </c>
      <c r="K585" s="29">
        <f>(1-ISNUMBER(SEARCH("556",M585)))*(O585*SUMIFS(Premissas!$C$5:$C$44,Premissas!$A$5:$A$44,$A585,Premissas!$B$5:$B$44,$B585)+P585*SUMIFS(Premissas!$D$5:$D$44,Premissas!$A$5:$A$44,$A585,Premissas!$B$5:$B$44,$B585))+R585*SUMIFS(Premissas!$E$5:$E$44,Premissas!$A$5:$A$44,$A585,Premissas!$B$5:$B$44,$B585)+S585*SUMIFS(Premissas!$F$5:$F$44,Premissas!$A$5:$A$44,$A585,Premissas!$B$5:$B$44,$B585)</f>
        <v/>
      </c>
      <c r="L585" s="29">
        <f>J585-K585</f>
        <v/>
      </c>
      <c r="M585" t="inlineStr">
        <is>
          <t>1.102</t>
        </is>
      </c>
      <c r="O585" s="29" t="n">
        <v>0</v>
      </c>
      <c r="P585" s="29" t="n">
        <v>80.04000000000001</v>
      </c>
      <c r="Q585" s="29" t="n">
        <v>0</v>
      </c>
      <c r="R585" s="29" t="n">
        <v>5.29</v>
      </c>
      <c r="S585" s="29" t="n">
        <v>24.33</v>
      </c>
      <c r="T585" t="inlineStr">
        <is>
          <t>25260613326462000145550030001225701052151656</t>
        </is>
      </c>
      <c r="U585" t="inlineStr">
        <is>
          <t>Sim</t>
        </is>
      </c>
    </row>
    <row r="586">
      <c r="A586" t="inlineStr">
        <is>
          <t>Uso e consumo</t>
        </is>
      </c>
      <c r="B586" t="inlineStr">
        <is>
          <t>2.03.90 Compra de EPI</t>
        </is>
      </c>
      <c r="C586" s="30" t="n">
        <v>46204</v>
      </c>
      <c r="D586" t="inlineStr">
        <is>
          <t>Em 2026</t>
        </is>
      </c>
      <c r="E586" s="28" t="n">
        <v>46204</v>
      </c>
      <c r="F586" t="inlineStr">
        <is>
          <t>NF-e</t>
        </is>
      </c>
      <c r="G586" t="inlineStr">
        <is>
          <t>000730714</t>
        </is>
      </c>
      <c r="H586" t="inlineStr">
        <is>
          <t>1000 MARCAS SAFETY BRASIL LTDA</t>
        </is>
      </c>
      <c r="I586" t="inlineStr">
        <is>
          <t>23.622.391/0001-81</t>
        </is>
      </c>
      <c r="J586" s="29" t="n">
        <v>261.6</v>
      </c>
      <c r="K586" s="29">
        <f>(1-ISNUMBER(SEARCH("556",M586)))*(O586*SUMIFS(Premissas!$C$5:$C$44,Premissas!$A$5:$A$44,$A586,Premissas!$B$5:$B$44,$B586)+P586*SUMIFS(Premissas!$D$5:$D$44,Premissas!$A$5:$A$44,$A586,Premissas!$B$5:$B$44,$B586))+R586*SUMIFS(Premissas!$E$5:$E$44,Premissas!$A$5:$A$44,$A586,Premissas!$B$5:$B$44,$B586)+S586*SUMIFS(Premissas!$F$5:$F$44,Premissas!$A$5:$A$44,$A586,Premissas!$B$5:$B$44,$B586)</f>
        <v/>
      </c>
      <c r="L586" s="29">
        <f>J586-K586</f>
        <v/>
      </c>
      <c r="M586" t="inlineStr">
        <is>
          <t>2.556</t>
        </is>
      </c>
      <c r="O586" s="29" t="n">
        <v>0</v>
      </c>
      <c r="P586" s="29" t="n">
        <v>18.31</v>
      </c>
      <c r="Q586" s="29" t="n">
        <v>0</v>
      </c>
      <c r="R586" s="29" t="n">
        <v>4.01</v>
      </c>
      <c r="S586" s="29" t="n">
        <v>18.49</v>
      </c>
      <c r="T586" t="inlineStr">
        <is>
          <t>35260723622391000181550010007307141641292628</t>
        </is>
      </c>
      <c r="U586" t="inlineStr">
        <is>
          <t>Sim</t>
        </is>
      </c>
    </row>
    <row r="587">
      <c r="A587" t="inlineStr">
        <is>
          <t>Uso e consumo</t>
        </is>
      </c>
      <c r="B587" t="inlineStr">
        <is>
          <t>2.03.90 Compra de EPI</t>
        </is>
      </c>
      <c r="C587" s="30" t="n">
        <v>46204</v>
      </c>
      <c r="D587" t="inlineStr">
        <is>
          <t>Em 2026</t>
        </is>
      </c>
      <c r="E587" s="28" t="n">
        <v>46227</v>
      </c>
      <c r="F587" t="inlineStr">
        <is>
          <t>NF-e</t>
        </is>
      </c>
      <c r="G587" t="inlineStr">
        <is>
          <t>000072013</t>
        </is>
      </c>
      <c r="H587" t="inlineStr">
        <is>
          <t>INDUSTRIA E COMERCIO DE BOLAS E CHUTEIRAS CARREIRO LTDA</t>
        </is>
      </c>
      <c r="I587" t="inlineStr">
        <is>
          <t>24.504.797/0001-22</t>
        </is>
      </c>
      <c r="J587" s="29" t="n">
        <v>2166</v>
      </c>
      <c r="K587" s="29">
        <f>(1-ISNUMBER(SEARCH("556",M587)))*(O587*SUMIFS(Premissas!$C$5:$C$44,Premissas!$A$5:$A$44,$A587,Premissas!$B$5:$B$44,$B587)+P587*SUMIFS(Premissas!$D$5:$D$44,Premissas!$A$5:$A$44,$A587,Premissas!$B$5:$B$44,$B587))+R587*SUMIFS(Premissas!$E$5:$E$44,Premissas!$A$5:$A$44,$A587,Premissas!$B$5:$B$44,$B587)+S587*SUMIFS(Premissas!$F$5:$F$44,Premissas!$A$5:$A$44,$A587,Premissas!$B$5:$B$44,$B587)</f>
        <v/>
      </c>
      <c r="L587" s="29">
        <f>J587-K587</f>
        <v/>
      </c>
      <c r="M587" t="inlineStr">
        <is>
          <t>1.556</t>
        </is>
      </c>
      <c r="O587" s="29" t="n">
        <v>0</v>
      </c>
      <c r="P587" s="29" t="n">
        <v>433.2</v>
      </c>
      <c r="Q587" s="29" t="n">
        <v>0</v>
      </c>
      <c r="R587" s="29" t="n">
        <v>14.08</v>
      </c>
      <c r="S587" s="29" t="n">
        <v>64.98</v>
      </c>
      <c r="T587" t="inlineStr">
        <is>
          <t>25260724504797000122550010000720131000720140</t>
        </is>
      </c>
      <c r="U587" t="inlineStr">
        <is>
          <t>Sim</t>
        </is>
      </c>
    </row>
    <row r="588">
      <c r="A588" t="inlineStr">
        <is>
          <t>Uso e consumo</t>
        </is>
      </c>
      <c r="B588" t="inlineStr">
        <is>
          <t>2.03.90 Compra de EPI</t>
        </is>
      </c>
      <c r="C588" s="30" t="n">
        <v>46204</v>
      </c>
      <c r="D588" t="inlineStr">
        <is>
          <t>Em 2026</t>
        </is>
      </c>
      <c r="E588" s="28" t="n">
        <v>46205</v>
      </c>
      <c r="F588" t="inlineStr">
        <is>
          <t>NF-e</t>
        </is>
      </c>
      <c r="G588" t="inlineStr">
        <is>
          <t>000001124</t>
        </is>
      </c>
      <c r="H588" t="inlineStr">
        <is>
          <t>NH SHOP ECOMERCE LTDA</t>
        </is>
      </c>
      <c r="I588" t="inlineStr">
        <is>
          <t>37.504.286/0001-52</t>
        </is>
      </c>
      <c r="J588" s="29" t="n">
        <v>2342.45</v>
      </c>
      <c r="K588" s="29">
        <f>(1-ISNUMBER(SEARCH("556",M588)))*(O588*SUMIFS(Premissas!$C$5:$C$44,Premissas!$A$5:$A$44,$A588,Premissas!$B$5:$B$44,$B588)+P588*SUMIFS(Premissas!$D$5:$D$44,Premissas!$A$5:$A$44,$A588,Premissas!$B$5:$B$44,$B588))+R588*SUMIFS(Premissas!$E$5:$E$44,Premissas!$A$5:$A$44,$A588,Premissas!$B$5:$B$44,$B588)+S588*SUMIFS(Premissas!$F$5:$F$44,Premissas!$A$5:$A$44,$A588,Premissas!$B$5:$B$44,$B588)</f>
        <v/>
      </c>
      <c r="L588" s="29">
        <f>J588-K588</f>
        <v/>
      </c>
      <c r="M588" t="inlineStr">
        <is>
          <t>2.556</t>
        </is>
      </c>
      <c r="O588" s="29" t="n">
        <v>0</v>
      </c>
      <c r="P588" s="29" t="n">
        <v>0</v>
      </c>
      <c r="Q588" s="29" t="n">
        <v>0</v>
      </c>
      <c r="R588" s="29" t="n">
        <v>0</v>
      </c>
      <c r="S588" s="29" t="n">
        <v>0</v>
      </c>
      <c r="T588" t="inlineStr">
        <is>
          <t>43260737504286000152550020000011241405032293</t>
        </is>
      </c>
      <c r="U588" t="inlineStr">
        <is>
          <t>Sim</t>
        </is>
      </c>
    </row>
    <row r="589">
      <c r="A589" t="inlineStr">
        <is>
          <t>Uso e consumo</t>
        </is>
      </c>
      <c r="B589" t="inlineStr">
        <is>
          <t>2.03.90 Compra de EPI</t>
        </is>
      </c>
      <c r="C589" s="30" t="n">
        <v>46204</v>
      </c>
      <c r="D589" t="inlineStr">
        <is>
          <t>Em 2026</t>
        </is>
      </c>
      <c r="E589" s="28" t="n">
        <v>46205</v>
      </c>
      <c r="F589" t="inlineStr">
        <is>
          <t>NF-e</t>
        </is>
      </c>
      <c r="G589" t="inlineStr">
        <is>
          <t>000001125</t>
        </is>
      </c>
      <c r="H589" t="inlineStr">
        <is>
          <t>NH SHOP ECOMERCE LTDA</t>
        </is>
      </c>
      <c r="I589" t="inlineStr">
        <is>
          <t>37.504.286/0001-52</t>
        </is>
      </c>
      <c r="J589" s="29" t="n">
        <v>6090.37</v>
      </c>
      <c r="K589" s="29">
        <f>(1-ISNUMBER(SEARCH("556",M589)))*(O589*SUMIFS(Premissas!$C$5:$C$44,Premissas!$A$5:$A$44,$A589,Premissas!$B$5:$B$44,$B589)+P589*SUMIFS(Premissas!$D$5:$D$44,Premissas!$A$5:$A$44,$A589,Premissas!$B$5:$B$44,$B589))+R589*SUMIFS(Premissas!$E$5:$E$44,Premissas!$A$5:$A$44,$A589,Premissas!$B$5:$B$44,$B589)+S589*SUMIFS(Premissas!$F$5:$F$44,Premissas!$A$5:$A$44,$A589,Premissas!$B$5:$B$44,$B589)</f>
        <v/>
      </c>
      <c r="L589" s="29">
        <f>J589-K589</f>
        <v/>
      </c>
      <c r="M589" t="inlineStr">
        <is>
          <t>2.556</t>
        </is>
      </c>
      <c r="O589" s="29" t="n">
        <v>0</v>
      </c>
      <c r="P589" s="29" t="n">
        <v>0</v>
      </c>
      <c r="Q589" s="29" t="n">
        <v>0</v>
      </c>
      <c r="R589" s="29" t="n">
        <v>0</v>
      </c>
      <c r="S589" s="29" t="n">
        <v>0</v>
      </c>
      <c r="T589" t="inlineStr">
        <is>
          <t>43260737504286000152550020000011251686124984</t>
        </is>
      </c>
      <c r="U589" t="inlineStr">
        <is>
          <t>Sim</t>
        </is>
      </c>
    </row>
    <row r="590">
      <c r="A590" t="inlineStr">
        <is>
          <t>Uso e consumo</t>
        </is>
      </c>
      <c r="B590" t="inlineStr">
        <is>
          <t>2.03.90 Compra de EPI</t>
        </is>
      </c>
      <c r="C590" s="30" t="n">
        <v>46204</v>
      </c>
      <c r="D590" t="inlineStr">
        <is>
          <t>Em 2026</t>
        </is>
      </c>
      <c r="E590" s="28" t="n">
        <v>46211</v>
      </c>
      <c r="F590" t="inlineStr">
        <is>
          <t>NF-e</t>
        </is>
      </c>
      <c r="G590" t="inlineStr">
        <is>
          <t>000104217</t>
        </is>
      </c>
      <c r="H590" t="inlineStr">
        <is>
          <t>PERNAMBUCO DISTRIBUIDORA ATAC EPIS, INS IND e MRO LTDA</t>
        </is>
      </c>
      <c r="I590" t="inlineStr">
        <is>
          <t>02.155.469/0009-82</t>
        </is>
      </c>
      <c r="J590" s="29" t="n">
        <v>680.4</v>
      </c>
      <c r="K590" s="29">
        <f>(1-ISNUMBER(SEARCH("556",M590)))*(O590*SUMIFS(Premissas!$C$5:$C$44,Premissas!$A$5:$A$44,$A590,Premissas!$B$5:$B$44,$B590)+P590*SUMIFS(Premissas!$D$5:$D$44,Premissas!$A$5:$A$44,$A590,Premissas!$B$5:$B$44,$B590))+R590*SUMIFS(Premissas!$E$5:$E$44,Premissas!$A$5:$A$44,$A590,Premissas!$B$5:$B$44,$B590)+S590*SUMIFS(Premissas!$F$5:$F$44,Premissas!$A$5:$A$44,$A590,Premissas!$B$5:$B$44,$B590)</f>
        <v/>
      </c>
      <c r="L590" s="29">
        <f>J590-K590</f>
        <v/>
      </c>
      <c r="M590" t="inlineStr">
        <is>
          <t>1.556</t>
        </is>
      </c>
      <c r="O590" s="29" t="n">
        <v>0</v>
      </c>
      <c r="P590" s="29" t="n">
        <v>136.08</v>
      </c>
      <c r="Q590" s="29" t="n">
        <v>0</v>
      </c>
      <c r="R590" s="29" t="n">
        <v>8.94</v>
      </c>
      <c r="S590" s="29" t="n">
        <v>41.34</v>
      </c>
      <c r="T590" t="inlineStr">
        <is>
          <t>25260702155469000982550010001042171585561101</t>
        </is>
      </c>
      <c r="U590" t="inlineStr">
        <is>
          <t>Sim</t>
        </is>
      </c>
    </row>
    <row r="591">
      <c r="A591" t="inlineStr">
        <is>
          <t>Uso e consumo</t>
        </is>
      </c>
      <c r="B591" t="inlineStr">
        <is>
          <t>2.03.90 Compra de EPI</t>
        </is>
      </c>
      <c r="C591" s="30" t="n">
        <v>46204</v>
      </c>
      <c r="D591" t="inlineStr">
        <is>
          <t>Em 2026</t>
        </is>
      </c>
      <c r="E591" s="28" t="n">
        <v>46233</v>
      </c>
      <c r="F591" t="inlineStr">
        <is>
          <t>NF-e</t>
        </is>
      </c>
      <c r="G591" t="inlineStr">
        <is>
          <t>000105806</t>
        </is>
      </c>
      <c r="H591" t="inlineStr">
        <is>
          <t>PERNAMBUCO DISTRIBUIDORA ATAC EPIS, INS IND e MRO LTDA</t>
        </is>
      </c>
      <c r="I591" t="inlineStr">
        <is>
          <t>02.155.469/0009-82</t>
        </is>
      </c>
      <c r="J591" s="29" t="n">
        <v>638</v>
      </c>
      <c r="K591" s="29">
        <f>(1-ISNUMBER(SEARCH("556",M591)))*(O591*SUMIFS(Premissas!$C$5:$C$44,Premissas!$A$5:$A$44,$A591,Premissas!$B$5:$B$44,$B591)+P591*SUMIFS(Premissas!$D$5:$D$44,Premissas!$A$5:$A$44,$A591,Premissas!$B$5:$B$44,$B591))+R591*SUMIFS(Premissas!$E$5:$E$44,Premissas!$A$5:$A$44,$A591,Premissas!$B$5:$B$44,$B591)+S591*SUMIFS(Premissas!$F$5:$F$44,Premissas!$A$5:$A$44,$A591,Premissas!$B$5:$B$44,$B591)</f>
        <v/>
      </c>
      <c r="L591" s="29">
        <f>J591-K591</f>
        <v/>
      </c>
      <c r="M591" t="inlineStr">
        <is>
          <t>1.556</t>
        </is>
      </c>
      <c r="N591" t="inlineStr">
        <is>
          <t>Valor rateado entre categorias, como no Omie | Impostos rateados proporcionalmente ao valor da categoria (documento com mais de uma categoria)</t>
        </is>
      </c>
      <c r="O591" s="29" t="n">
        <v>0</v>
      </c>
      <c r="P591" s="29" t="n">
        <v>127.6</v>
      </c>
      <c r="Q591" s="29" t="n">
        <v>0</v>
      </c>
      <c r="R591" s="29" t="n">
        <v>8.390000000000001</v>
      </c>
      <c r="S591" s="29" t="n">
        <v>38.76</v>
      </c>
      <c r="T591" t="inlineStr">
        <is>
          <t>25260702155469000982550010001058061444672334</t>
        </is>
      </c>
      <c r="U591" t="inlineStr">
        <is>
          <t>Sim</t>
        </is>
      </c>
    </row>
    <row r="592">
      <c r="A592" t="inlineStr">
        <is>
          <t>Uso e consumo</t>
        </is>
      </c>
      <c r="B592" t="inlineStr">
        <is>
          <t>2.03.90 Compra de EPI</t>
        </is>
      </c>
      <c r="C592" s="30" t="n">
        <v>46266</v>
      </c>
      <c r="D592" t="inlineStr">
        <is>
          <t>Em 2026</t>
        </is>
      </c>
      <c r="E592" s="28" t="n">
        <v>46273</v>
      </c>
      <c r="F592" t="inlineStr">
        <is>
          <t>NF-e</t>
        </is>
      </c>
      <c r="G592" t="inlineStr">
        <is>
          <t>000108312</t>
        </is>
      </c>
      <c r="H592" t="inlineStr">
        <is>
          <t>PERNAMBUCO DISTRIBUIDORA ATAC EPIS, INS IND e MRO LTDA</t>
        </is>
      </c>
      <c r="I592" t="inlineStr">
        <is>
          <t>02.155.469/0009-82</t>
        </is>
      </c>
      <c r="J592" s="29" t="n">
        <v>1492.01</v>
      </c>
      <c r="K592" s="29">
        <f>(1-ISNUMBER(SEARCH("556",M592)))*(O592*SUMIFS(Premissas!$C$5:$C$44,Premissas!$A$5:$A$44,$A592,Premissas!$B$5:$B$44,$B592)+P592*SUMIFS(Premissas!$D$5:$D$44,Premissas!$A$5:$A$44,$A592,Premissas!$B$5:$B$44,$B592))+R592*SUMIFS(Premissas!$E$5:$E$44,Premissas!$A$5:$A$44,$A592,Premissas!$B$5:$B$44,$B592)+S592*SUMIFS(Premissas!$F$5:$F$44,Premissas!$A$5:$A$44,$A592,Premissas!$B$5:$B$44,$B592)</f>
        <v/>
      </c>
      <c r="L592" s="29">
        <f>J592-K592</f>
        <v/>
      </c>
      <c r="M592" t="inlineStr">
        <is>
          <t>1.102</t>
        </is>
      </c>
      <c r="O592" s="29" t="n">
        <v>0</v>
      </c>
      <c r="P592" s="29" t="n">
        <v>298.4</v>
      </c>
      <c r="Q592" s="29" t="n">
        <v>0</v>
      </c>
      <c r="R592" s="29" t="n">
        <v>19.67</v>
      </c>
      <c r="S592" s="29" t="n">
        <v>90.7</v>
      </c>
      <c r="T592" t="inlineStr">
        <is>
          <t>25260902155469000982550010001083121036175177</t>
        </is>
      </c>
      <c r="U592" t="inlineStr">
        <is>
          <t>Sim</t>
        </is>
      </c>
    </row>
    <row r="593">
      <c r="A593" t="inlineStr">
        <is>
          <t>Uso e consumo</t>
        </is>
      </c>
      <c r="B593" t="inlineStr">
        <is>
          <t>2.04.06 Material de Escritório</t>
        </is>
      </c>
      <c r="C593" s="30" t="n">
        <v>46023</v>
      </c>
      <c r="D593" t="inlineStr">
        <is>
          <t>Em 2026</t>
        </is>
      </c>
      <c r="E593" s="28" t="n">
        <v>46027</v>
      </c>
      <c r="F593" t="inlineStr">
        <is>
          <t>NF-e</t>
        </is>
      </c>
      <c r="G593" t="inlineStr">
        <is>
          <t>000023171</t>
        </is>
      </c>
      <c r="H593" t="inlineStr">
        <is>
          <t>COSTA GONDIM e CIA LTDA</t>
        </is>
      </c>
      <c r="I593" t="inlineStr">
        <is>
          <t>24.216.228/0001-81</t>
        </is>
      </c>
      <c r="J593" s="29" t="n">
        <v>1350</v>
      </c>
      <c r="K593" s="29">
        <f>(1-ISNUMBER(SEARCH("556",M593)))*(O593*SUMIFS(Premissas!$C$5:$C$44,Premissas!$A$5:$A$44,$A593,Premissas!$B$5:$B$44,$B593)+P593*SUMIFS(Premissas!$D$5:$D$44,Premissas!$A$5:$A$44,$A593,Premissas!$B$5:$B$44,$B593))+R593*SUMIFS(Premissas!$E$5:$E$44,Premissas!$A$5:$A$44,$A593,Premissas!$B$5:$B$44,$B593)+S593*SUMIFS(Premissas!$F$5:$F$44,Premissas!$A$5:$A$44,$A593,Premissas!$B$5:$B$44,$B593)</f>
        <v/>
      </c>
      <c r="L593" s="29">
        <f>J593-K593</f>
        <v/>
      </c>
      <c r="M593" t="inlineStr">
        <is>
          <t>1.102</t>
        </is>
      </c>
      <c r="O593" s="29" t="n">
        <v>0</v>
      </c>
      <c r="P593" s="29" t="n">
        <v>0</v>
      </c>
      <c r="Q593" s="29" t="n">
        <v>0</v>
      </c>
      <c r="R593" s="29" t="n">
        <v>0</v>
      </c>
      <c r="S593" s="29" t="n">
        <v>0</v>
      </c>
      <c r="T593" t="inlineStr">
        <is>
          <t>25260124216228000181550010000231711022146358</t>
        </is>
      </c>
      <c r="U593" t="inlineStr">
        <is>
          <t>Sim</t>
        </is>
      </c>
    </row>
    <row r="594">
      <c r="A594" t="inlineStr">
        <is>
          <t>Uso e consumo</t>
        </is>
      </c>
      <c r="B594" t="inlineStr">
        <is>
          <t>2.04.06 Material de Escritório</t>
        </is>
      </c>
      <c r="C594" s="30" t="n">
        <v>46082</v>
      </c>
      <c r="D594" t="inlineStr">
        <is>
          <t>Em 2026</t>
        </is>
      </c>
      <c r="E594" s="28" t="n">
        <v>46104</v>
      </c>
      <c r="F594" t="inlineStr">
        <is>
          <t>NF-e</t>
        </is>
      </c>
      <c r="G594" t="inlineStr">
        <is>
          <t>000024039</t>
        </is>
      </c>
      <c r="H594" t="inlineStr">
        <is>
          <t>COSTA GONDIM e CIA LTDA</t>
        </is>
      </c>
      <c r="I594" t="inlineStr">
        <is>
          <t>24.216.228/0001-81</t>
        </is>
      </c>
      <c r="J594" s="29" t="n">
        <v>434.3</v>
      </c>
      <c r="K594" s="29">
        <f>(1-ISNUMBER(SEARCH("556",M594)))*(O594*SUMIFS(Premissas!$C$5:$C$44,Premissas!$A$5:$A$44,$A594,Premissas!$B$5:$B$44,$B594)+P594*SUMIFS(Premissas!$D$5:$D$44,Premissas!$A$5:$A$44,$A594,Premissas!$B$5:$B$44,$B594))+R594*SUMIFS(Premissas!$E$5:$E$44,Premissas!$A$5:$A$44,$A594,Premissas!$B$5:$B$44,$B594)+S594*SUMIFS(Premissas!$F$5:$F$44,Premissas!$A$5:$A$44,$A594,Premissas!$B$5:$B$44,$B594)</f>
        <v/>
      </c>
      <c r="L594" s="29">
        <f>J594-K594</f>
        <v/>
      </c>
      <c r="M594" t="inlineStr">
        <is>
          <t>1.102</t>
        </is>
      </c>
      <c r="O594" s="29" t="n">
        <v>0</v>
      </c>
      <c r="P594" s="29" t="n">
        <v>0</v>
      </c>
      <c r="Q594" s="29" t="n">
        <v>0</v>
      </c>
      <c r="R594" s="29" t="n">
        <v>0</v>
      </c>
      <c r="S594" s="29" t="n">
        <v>0</v>
      </c>
      <c r="T594" t="inlineStr">
        <is>
          <t>25260324216228000181550010000240391307501503</t>
        </is>
      </c>
      <c r="U594" t="inlineStr">
        <is>
          <t>Sim</t>
        </is>
      </c>
    </row>
    <row r="595">
      <c r="A595" t="inlineStr">
        <is>
          <t>Uso e consumo</t>
        </is>
      </c>
      <c r="B595" t="inlineStr">
        <is>
          <t>2.04.06 Material de Escritório</t>
        </is>
      </c>
      <c r="C595" s="30" t="n">
        <v>46082</v>
      </c>
      <c r="D595" t="inlineStr">
        <is>
          <t>Em 2026</t>
        </is>
      </c>
      <c r="E595" s="28" t="n">
        <v>46083</v>
      </c>
      <c r="F595" t="inlineStr">
        <is>
          <t>NF-e</t>
        </is>
      </c>
      <c r="G595" t="inlineStr">
        <is>
          <t>000000793</t>
        </is>
      </c>
      <c r="H595" t="inlineStr">
        <is>
          <t>Limptech Paper Comercio Ltda</t>
        </is>
      </c>
      <c r="I595" t="inlineStr">
        <is>
          <t>58.715.917/0001-52</t>
        </is>
      </c>
      <c r="J595" s="29" t="n">
        <v>1288.3</v>
      </c>
      <c r="K595" s="29">
        <f>(1-ISNUMBER(SEARCH("556",M595)))*(O595*SUMIFS(Premissas!$C$5:$C$44,Premissas!$A$5:$A$44,$A595,Premissas!$B$5:$B$44,$B595)+P595*SUMIFS(Premissas!$D$5:$D$44,Premissas!$A$5:$A$44,$A595,Premissas!$B$5:$B$44,$B595))+R595*SUMIFS(Premissas!$E$5:$E$44,Premissas!$A$5:$A$44,$A595,Premissas!$B$5:$B$44,$B595)+S595*SUMIFS(Premissas!$F$5:$F$44,Premissas!$A$5:$A$44,$A595,Premissas!$B$5:$B$44,$B595)</f>
        <v/>
      </c>
      <c r="L595" s="29">
        <f>J595-K595</f>
        <v/>
      </c>
      <c r="M595" t="inlineStr">
        <is>
          <t>1.102</t>
        </is>
      </c>
      <c r="O595" s="29" t="n">
        <v>0</v>
      </c>
      <c r="P595" s="29" t="n">
        <v>0</v>
      </c>
      <c r="Q595" s="29" t="n">
        <v>0</v>
      </c>
      <c r="R595" s="29" t="n">
        <v>0</v>
      </c>
      <c r="S595" s="29" t="n">
        <v>0</v>
      </c>
      <c r="T595" t="inlineStr">
        <is>
          <t>25260358715917000152550010000007931707129555</t>
        </is>
      </c>
      <c r="U595" t="inlineStr">
        <is>
          <t>Sim</t>
        </is>
      </c>
    </row>
    <row r="596">
      <c r="A596" t="inlineStr">
        <is>
          <t>Uso e consumo</t>
        </is>
      </c>
      <c r="B596" t="inlineStr">
        <is>
          <t>2.04.06 Material de Escritório</t>
        </is>
      </c>
      <c r="C596" s="30" t="n">
        <v>46113</v>
      </c>
      <c r="D596" t="inlineStr">
        <is>
          <t>Em 2026</t>
        </is>
      </c>
      <c r="E596" s="28" t="n">
        <v>46114</v>
      </c>
      <c r="F596" t="inlineStr">
        <is>
          <t>NF-e</t>
        </is>
      </c>
      <c r="G596" t="inlineStr">
        <is>
          <t>112468375</t>
        </is>
      </c>
      <c r="H596" t="inlineStr">
        <is>
          <t>Ebazar.com.br. ltda</t>
        </is>
      </c>
      <c r="I596" t="inlineStr">
        <is>
          <t>03.007.331/0010-32</t>
        </is>
      </c>
      <c r="J596" s="29" t="n">
        <v>284.4</v>
      </c>
      <c r="K596" s="29">
        <f>(1-ISNUMBER(SEARCH("556",M596)))*(O596*SUMIFS(Premissas!$C$5:$C$44,Premissas!$A$5:$A$44,$A596,Premissas!$B$5:$B$44,$B596)+P596*SUMIFS(Premissas!$D$5:$D$44,Premissas!$A$5:$A$44,$A596,Premissas!$B$5:$B$44,$B596))+R596*SUMIFS(Premissas!$E$5:$E$44,Premissas!$A$5:$A$44,$A596,Premissas!$B$5:$B$44,$B596)+S596*SUMIFS(Premissas!$F$5:$F$44,Premissas!$A$5:$A$44,$A596,Premissas!$B$5:$B$44,$B596)</f>
        <v/>
      </c>
      <c r="L596" s="29">
        <f>J596-K596</f>
        <v/>
      </c>
      <c r="M596" t="inlineStr">
        <is>
          <t>1.556</t>
        </is>
      </c>
      <c r="O596" s="29" t="n">
        <v>0</v>
      </c>
      <c r="P596" s="29" t="n">
        <v>0</v>
      </c>
      <c r="Q596" s="29" t="n">
        <v>0</v>
      </c>
      <c r="R596" s="29" t="n">
        <v>0</v>
      </c>
      <c r="S596" s="29" t="n">
        <v>0</v>
      </c>
      <c r="T596" t="inlineStr">
        <is>
          <t>31260403007331001032550011124683751745092905</t>
        </is>
      </c>
      <c r="U596" t="inlineStr">
        <is>
          <t>Sim</t>
        </is>
      </c>
    </row>
    <row r="597">
      <c r="A597" t="inlineStr">
        <is>
          <t>Uso e consumo</t>
        </is>
      </c>
      <c r="B597" t="inlineStr">
        <is>
          <t>2.04.06 Material de Escritório</t>
        </is>
      </c>
      <c r="C597" s="30" t="n">
        <v>46113</v>
      </c>
      <c r="D597" t="inlineStr">
        <is>
          <t>Em 2026</t>
        </is>
      </c>
      <c r="E597" s="28" t="n">
        <v>46123</v>
      </c>
      <c r="F597" t="inlineStr">
        <is>
          <t>NF-e</t>
        </is>
      </c>
      <c r="G597" t="inlineStr">
        <is>
          <t>114476363</t>
        </is>
      </c>
      <c r="H597" t="inlineStr">
        <is>
          <t>Ebazar.com.br. ltda</t>
        </is>
      </c>
      <c r="I597" t="inlineStr">
        <is>
          <t>03.007.331/0010-32</t>
        </is>
      </c>
      <c r="J597" s="29" t="n">
        <v>69.98</v>
      </c>
      <c r="K597" s="29">
        <f>(1-ISNUMBER(SEARCH("556",M597)))*(O597*SUMIFS(Premissas!$C$5:$C$44,Premissas!$A$5:$A$44,$A597,Premissas!$B$5:$B$44,$B597)+P597*SUMIFS(Premissas!$D$5:$D$44,Premissas!$A$5:$A$44,$A597,Premissas!$B$5:$B$44,$B597))+R597*SUMIFS(Premissas!$E$5:$E$44,Premissas!$A$5:$A$44,$A597,Premissas!$B$5:$B$44,$B597)+S597*SUMIFS(Premissas!$F$5:$F$44,Premissas!$A$5:$A$44,$A597,Premissas!$B$5:$B$44,$B597)</f>
        <v/>
      </c>
      <c r="L597" s="29">
        <f>J597-K597</f>
        <v/>
      </c>
      <c r="M597" t="inlineStr">
        <is>
          <t>1.556</t>
        </is>
      </c>
      <c r="O597" s="29" t="n">
        <v>0</v>
      </c>
      <c r="P597" s="29" t="n">
        <v>0</v>
      </c>
      <c r="Q597" s="29" t="n">
        <v>0</v>
      </c>
      <c r="R597" s="29" t="n">
        <v>0</v>
      </c>
      <c r="S597" s="29" t="n">
        <v>0</v>
      </c>
      <c r="T597" t="inlineStr">
        <is>
          <t>31260403007331001032550011144763631178352597</t>
        </is>
      </c>
      <c r="U597" t="inlineStr">
        <is>
          <t>Sim</t>
        </is>
      </c>
    </row>
    <row r="598">
      <c r="A598" t="inlineStr">
        <is>
          <t>Uso e consumo</t>
        </is>
      </c>
      <c r="B598" t="inlineStr">
        <is>
          <t>2.04.06 Material de Escritório</t>
        </is>
      </c>
      <c r="C598" s="30" t="n">
        <v>46113</v>
      </c>
      <c r="D598" t="inlineStr">
        <is>
          <t>Em 2026</t>
        </is>
      </c>
      <c r="E598" s="28" t="n">
        <v>46119</v>
      </c>
      <c r="F598" t="inlineStr">
        <is>
          <t>NF-e</t>
        </is>
      </c>
      <c r="G598" t="inlineStr">
        <is>
          <t>000000930</t>
        </is>
      </c>
      <c r="H598" t="inlineStr">
        <is>
          <t>Limptech Paper Comercio Ltda</t>
        </is>
      </c>
      <c r="I598" t="inlineStr">
        <is>
          <t>58.715.917/0001-52</t>
        </is>
      </c>
      <c r="J598" s="29" t="n">
        <v>1846.6</v>
      </c>
      <c r="K598" s="29">
        <f>(1-ISNUMBER(SEARCH("556",M598)))*(O598*SUMIFS(Premissas!$C$5:$C$44,Premissas!$A$5:$A$44,$A598,Premissas!$B$5:$B$44,$B598)+P598*SUMIFS(Premissas!$D$5:$D$44,Premissas!$A$5:$A$44,$A598,Premissas!$B$5:$B$44,$B598))+R598*SUMIFS(Premissas!$E$5:$E$44,Premissas!$A$5:$A$44,$A598,Premissas!$B$5:$B$44,$B598)+S598*SUMIFS(Premissas!$F$5:$F$44,Premissas!$A$5:$A$44,$A598,Premissas!$B$5:$B$44,$B598)</f>
        <v/>
      </c>
      <c r="L598" s="29">
        <f>J598-K598</f>
        <v/>
      </c>
      <c r="M598" t="inlineStr">
        <is>
          <t>1.556</t>
        </is>
      </c>
      <c r="O598" s="29" t="n">
        <v>0</v>
      </c>
      <c r="P598" s="29" t="n">
        <v>0</v>
      </c>
      <c r="Q598" s="29" t="n">
        <v>0</v>
      </c>
      <c r="R598" s="29" t="n">
        <v>0</v>
      </c>
      <c r="S598" s="29" t="n">
        <v>0</v>
      </c>
      <c r="T598" t="inlineStr">
        <is>
          <t>25260458715917000152550010000009301001924100</t>
        </is>
      </c>
      <c r="U598" t="inlineStr">
        <is>
          <t>Sim</t>
        </is>
      </c>
    </row>
    <row r="599">
      <c r="A599" t="inlineStr">
        <is>
          <t>Uso e consumo</t>
        </is>
      </c>
      <c r="B599" t="inlineStr">
        <is>
          <t>2.04.06 Material de Escritório</t>
        </is>
      </c>
      <c r="C599" s="30" t="n">
        <v>46113</v>
      </c>
      <c r="D599" t="inlineStr">
        <is>
          <t>Em 2026</t>
        </is>
      </c>
      <c r="E599" s="28" t="n">
        <v>46132</v>
      </c>
      <c r="F599" t="inlineStr">
        <is>
          <t>NF-e</t>
        </is>
      </c>
      <c r="G599" t="inlineStr">
        <is>
          <t>000000970</t>
        </is>
      </c>
      <c r="H599" t="inlineStr">
        <is>
          <t>Limptech Paper Comercio Ltda</t>
        </is>
      </c>
      <c r="I599" t="inlineStr">
        <is>
          <t>58.715.917/0001-52</t>
        </is>
      </c>
      <c r="J599" s="29" t="n">
        <v>1299.7</v>
      </c>
      <c r="K599" s="29">
        <f>(1-ISNUMBER(SEARCH("556",M599)))*(O599*SUMIFS(Premissas!$C$5:$C$44,Premissas!$A$5:$A$44,$A599,Premissas!$B$5:$B$44,$B599)+P599*SUMIFS(Premissas!$D$5:$D$44,Premissas!$A$5:$A$44,$A599,Premissas!$B$5:$B$44,$B599))+R599*SUMIFS(Premissas!$E$5:$E$44,Premissas!$A$5:$A$44,$A599,Premissas!$B$5:$B$44,$B599)+S599*SUMIFS(Premissas!$F$5:$F$44,Premissas!$A$5:$A$44,$A599,Premissas!$B$5:$B$44,$B599)</f>
        <v/>
      </c>
      <c r="L599" s="29">
        <f>J599-K599</f>
        <v/>
      </c>
      <c r="M599" t="inlineStr">
        <is>
          <t>1.102</t>
        </is>
      </c>
      <c r="O599" s="29" t="n">
        <v>0</v>
      </c>
      <c r="P599" s="29" t="n">
        <v>0</v>
      </c>
      <c r="Q599" s="29" t="n">
        <v>0</v>
      </c>
      <c r="R599" s="29" t="n">
        <v>0</v>
      </c>
      <c r="S599" s="29" t="n">
        <v>0</v>
      </c>
      <c r="T599" t="inlineStr">
        <is>
          <t>25260458715917000152550010000009701869408883</t>
        </is>
      </c>
      <c r="U599" t="inlineStr">
        <is>
          <t>Sim</t>
        </is>
      </c>
    </row>
    <row r="600">
      <c r="A600" t="inlineStr">
        <is>
          <t>Uso e consumo</t>
        </is>
      </c>
      <c r="B600" t="inlineStr">
        <is>
          <t>2.04.06 Material de Escritório</t>
        </is>
      </c>
      <c r="C600" s="30" t="n">
        <v>46143</v>
      </c>
      <c r="D600" t="inlineStr">
        <is>
          <t>Em 2026</t>
        </is>
      </c>
      <c r="E600" s="28" t="n">
        <v>46149</v>
      </c>
      <c r="F600" t="inlineStr">
        <is>
          <t>NF-e</t>
        </is>
      </c>
      <c r="G600" t="inlineStr">
        <is>
          <t>000001037</t>
        </is>
      </c>
      <c r="H600" t="inlineStr">
        <is>
          <t>Limptech Paper Comercio Ltda</t>
        </is>
      </c>
      <c r="I600" t="inlineStr">
        <is>
          <t>58.715.917/0001-52</t>
        </is>
      </c>
      <c r="J600" s="29" t="n">
        <v>72.59999999999999</v>
      </c>
      <c r="K600" s="29">
        <f>(1-ISNUMBER(SEARCH("556",M600)))*(O600*SUMIFS(Premissas!$C$5:$C$44,Premissas!$A$5:$A$44,$A600,Premissas!$B$5:$B$44,$B600)+P600*SUMIFS(Premissas!$D$5:$D$44,Premissas!$A$5:$A$44,$A600,Premissas!$B$5:$B$44,$B600))+R600*SUMIFS(Premissas!$E$5:$E$44,Premissas!$A$5:$A$44,$A600,Premissas!$B$5:$B$44,$B600)+S600*SUMIFS(Premissas!$F$5:$F$44,Premissas!$A$5:$A$44,$A600,Premissas!$B$5:$B$44,$B600)</f>
        <v/>
      </c>
      <c r="L600" s="29">
        <f>J600-K600</f>
        <v/>
      </c>
      <c r="M600" t="inlineStr">
        <is>
          <t>1.556</t>
        </is>
      </c>
      <c r="O600" s="29" t="n">
        <v>0</v>
      </c>
      <c r="P600" s="29" t="n">
        <v>0</v>
      </c>
      <c r="Q600" s="29" t="n">
        <v>0</v>
      </c>
      <c r="R600" s="29" t="n">
        <v>0</v>
      </c>
      <c r="S600" s="29" t="n">
        <v>0</v>
      </c>
      <c r="T600" t="inlineStr">
        <is>
          <t>25260558715917000152550010000010371469416026</t>
        </is>
      </c>
      <c r="U600" t="inlineStr">
        <is>
          <t>Sim</t>
        </is>
      </c>
    </row>
    <row r="601">
      <c r="A601" t="inlineStr">
        <is>
          <t>Uso e consumo</t>
        </is>
      </c>
      <c r="B601" t="inlineStr">
        <is>
          <t>2.04.06 Material de Escritório</t>
        </is>
      </c>
      <c r="C601" s="30" t="n">
        <v>46143</v>
      </c>
      <c r="D601" t="inlineStr">
        <is>
          <t>Em 2026</t>
        </is>
      </c>
      <c r="E601" s="28" t="n">
        <v>46150</v>
      </c>
      <c r="F601" t="inlineStr">
        <is>
          <t>NF-e</t>
        </is>
      </c>
      <c r="G601" t="inlineStr">
        <is>
          <t>000001043</t>
        </is>
      </c>
      <c r="H601" t="inlineStr">
        <is>
          <t>Limptech Paper Comercio Ltda</t>
        </is>
      </c>
      <c r="I601" t="inlineStr">
        <is>
          <t>58.715.917/0001-52</t>
        </is>
      </c>
      <c r="J601" s="29" t="n">
        <v>1520.95</v>
      </c>
      <c r="K601" s="29">
        <f>(1-ISNUMBER(SEARCH("556",M601)))*(O601*SUMIFS(Premissas!$C$5:$C$44,Premissas!$A$5:$A$44,$A601,Premissas!$B$5:$B$44,$B601)+P601*SUMIFS(Premissas!$D$5:$D$44,Premissas!$A$5:$A$44,$A601,Premissas!$B$5:$B$44,$B601))+R601*SUMIFS(Premissas!$E$5:$E$44,Premissas!$A$5:$A$44,$A601,Premissas!$B$5:$B$44,$B601)+S601*SUMIFS(Premissas!$F$5:$F$44,Premissas!$A$5:$A$44,$A601,Premissas!$B$5:$B$44,$B601)</f>
        <v/>
      </c>
      <c r="L601" s="29">
        <f>J601-K601</f>
        <v/>
      </c>
      <c r="M601" t="inlineStr">
        <is>
          <t>1.556</t>
        </is>
      </c>
      <c r="O601" s="29" t="n">
        <v>0</v>
      </c>
      <c r="P601" s="29" t="n">
        <v>0</v>
      </c>
      <c r="Q601" s="29" t="n">
        <v>0</v>
      </c>
      <c r="R601" s="29" t="n">
        <v>0</v>
      </c>
      <c r="S601" s="29" t="n">
        <v>0</v>
      </c>
      <c r="T601" t="inlineStr">
        <is>
          <t>25260558715917000152550010000010431630266890</t>
        </is>
      </c>
      <c r="U601" t="inlineStr">
        <is>
          <t>Sim</t>
        </is>
      </c>
    </row>
    <row r="602">
      <c r="A602" t="inlineStr">
        <is>
          <t>Uso e consumo</t>
        </is>
      </c>
      <c r="B602" t="inlineStr">
        <is>
          <t>2.04.06 Material de Escritório</t>
        </is>
      </c>
      <c r="C602" s="30" t="n">
        <v>46143</v>
      </c>
      <c r="D602" t="inlineStr">
        <is>
          <t>Em 2026</t>
        </is>
      </c>
      <c r="E602" s="28" t="n">
        <v>46164</v>
      </c>
      <c r="F602" t="inlineStr">
        <is>
          <t>NF-e</t>
        </is>
      </c>
      <c r="G602" t="inlineStr">
        <is>
          <t>000018476</t>
        </is>
      </c>
      <c r="H602" t="inlineStr">
        <is>
          <t>MISTER TEM COMERCIO DE ACOS E METAIS LTDA</t>
        </is>
      </c>
      <c r="I602" t="inlineStr">
        <is>
          <t>13.161.768/0001-99</t>
        </is>
      </c>
      <c r="J602" s="29" t="n">
        <v>140</v>
      </c>
      <c r="K602" s="29">
        <f>(1-ISNUMBER(SEARCH("556",M602)))*(O602*SUMIFS(Premissas!$C$5:$C$44,Premissas!$A$5:$A$44,$A602,Premissas!$B$5:$B$44,$B602)+P602*SUMIFS(Premissas!$D$5:$D$44,Premissas!$A$5:$A$44,$A602,Premissas!$B$5:$B$44,$B602))+R602*SUMIFS(Premissas!$E$5:$E$44,Premissas!$A$5:$A$44,$A602,Premissas!$B$5:$B$44,$B602)+S602*SUMIFS(Premissas!$F$5:$F$44,Premissas!$A$5:$A$44,$A602,Premissas!$B$5:$B$44,$B602)</f>
        <v/>
      </c>
      <c r="L602" s="29">
        <f>J602-K602</f>
        <v/>
      </c>
      <c r="M602" t="inlineStr">
        <is>
          <t>1.102</t>
        </is>
      </c>
      <c r="O602" s="29" t="n">
        <v>0</v>
      </c>
      <c r="P602" s="29" t="n">
        <v>28</v>
      </c>
      <c r="Q602" s="29" t="n">
        <v>0</v>
      </c>
      <c r="R602" s="29" t="n">
        <v>0.91</v>
      </c>
      <c r="S602" s="29" t="n">
        <v>4.2</v>
      </c>
      <c r="T602" t="inlineStr">
        <is>
          <t>25260513161768000199550010000184761235993412</t>
        </is>
      </c>
      <c r="U602" t="inlineStr">
        <is>
          <t>Sim</t>
        </is>
      </c>
    </row>
    <row r="603">
      <c r="A603" t="inlineStr">
        <is>
          <t>Uso e consumo</t>
        </is>
      </c>
      <c r="B603" t="inlineStr">
        <is>
          <t>2.04.06 Material de Escritório</t>
        </is>
      </c>
      <c r="C603" s="30" t="n">
        <v>46174</v>
      </c>
      <c r="D603" t="inlineStr">
        <is>
          <t>Em 2026</t>
        </is>
      </c>
      <c r="E603" s="28" t="n">
        <v>46181</v>
      </c>
      <c r="F603" t="inlineStr">
        <is>
          <t>NF-e</t>
        </is>
      </c>
      <c r="G603" t="inlineStr">
        <is>
          <t>000243547</t>
        </is>
      </c>
      <c r="H603" t="inlineStr">
        <is>
          <t>ABSHOP COMERCIO LTDA</t>
        </is>
      </c>
      <c r="I603" t="inlineStr">
        <is>
          <t>50.018.862/0001-10</t>
        </is>
      </c>
      <c r="J603" s="29" t="n">
        <v>113.7</v>
      </c>
      <c r="K603" s="29">
        <f>(1-ISNUMBER(SEARCH("556",M603)))*(O603*SUMIFS(Premissas!$C$5:$C$44,Premissas!$A$5:$A$44,$A603,Premissas!$B$5:$B$44,$B603)+P603*SUMIFS(Premissas!$D$5:$D$44,Premissas!$A$5:$A$44,$A603,Premissas!$B$5:$B$44,$B603))+R603*SUMIFS(Premissas!$E$5:$E$44,Premissas!$A$5:$A$44,$A603,Premissas!$B$5:$B$44,$B603)+S603*SUMIFS(Premissas!$F$5:$F$44,Premissas!$A$5:$A$44,$A603,Premissas!$B$5:$B$44,$B603)</f>
        <v/>
      </c>
      <c r="L603" s="29">
        <f>J603-K603</f>
        <v/>
      </c>
      <c r="M603" t="inlineStr">
        <is>
          <t>2.556</t>
        </is>
      </c>
      <c r="O603" s="29" t="n">
        <v>0</v>
      </c>
      <c r="P603" s="29" t="n">
        <v>0</v>
      </c>
      <c r="Q603" s="29" t="n">
        <v>0</v>
      </c>
      <c r="R603" s="29" t="n">
        <v>0</v>
      </c>
      <c r="S603" s="29" t="n">
        <v>0</v>
      </c>
      <c r="T603" t="inlineStr">
        <is>
          <t>35260650018862000110550020002435471536260900</t>
        </is>
      </c>
      <c r="U603" t="inlineStr">
        <is>
          <t>Sim</t>
        </is>
      </c>
    </row>
    <row r="604">
      <c r="A604" t="inlineStr">
        <is>
          <t>Uso e consumo</t>
        </is>
      </c>
      <c r="B604" t="inlineStr">
        <is>
          <t>2.04.06 Material de Escritório</t>
        </is>
      </c>
      <c r="C604" s="30" t="n">
        <v>46174</v>
      </c>
      <c r="D604" t="inlineStr">
        <is>
          <t>Em 2026</t>
        </is>
      </c>
      <c r="E604" s="28" t="n">
        <v>46181</v>
      </c>
      <c r="F604" t="inlineStr">
        <is>
          <t>NF-e</t>
        </is>
      </c>
      <c r="G604" t="inlineStr">
        <is>
          <t>000243549</t>
        </is>
      </c>
      <c r="H604" t="inlineStr">
        <is>
          <t>ABSHOP COMERCIO LTDA</t>
        </is>
      </c>
      <c r="I604" t="inlineStr">
        <is>
          <t>50.018.862/0001-10</t>
        </is>
      </c>
      <c r="J604" s="29" t="n">
        <v>113.7</v>
      </c>
      <c r="K604" s="29">
        <f>(1-ISNUMBER(SEARCH("556",M604)))*(O604*SUMIFS(Premissas!$C$5:$C$44,Premissas!$A$5:$A$44,$A604,Premissas!$B$5:$B$44,$B604)+P604*SUMIFS(Premissas!$D$5:$D$44,Premissas!$A$5:$A$44,$A604,Premissas!$B$5:$B$44,$B604))+R604*SUMIFS(Premissas!$E$5:$E$44,Premissas!$A$5:$A$44,$A604,Premissas!$B$5:$B$44,$B604)+S604*SUMIFS(Premissas!$F$5:$F$44,Premissas!$A$5:$A$44,$A604,Premissas!$B$5:$B$44,$B604)</f>
        <v/>
      </c>
      <c r="L604" s="29">
        <f>J604-K604</f>
        <v/>
      </c>
      <c r="M604" t="inlineStr">
        <is>
          <t>2.556</t>
        </is>
      </c>
      <c r="O604" s="29" t="n">
        <v>0</v>
      </c>
      <c r="P604" s="29" t="n">
        <v>0</v>
      </c>
      <c r="Q604" s="29" t="n">
        <v>0</v>
      </c>
      <c r="R604" s="29" t="n">
        <v>0</v>
      </c>
      <c r="S604" s="29" t="n">
        <v>0</v>
      </c>
      <c r="T604" t="inlineStr">
        <is>
          <t>35260650018862000110550020002435491070474832</t>
        </is>
      </c>
      <c r="U604" t="inlineStr">
        <is>
          <t>Sim</t>
        </is>
      </c>
    </row>
    <row r="605">
      <c r="A605" t="inlineStr">
        <is>
          <t>Uso e consumo</t>
        </is>
      </c>
      <c r="B605" t="inlineStr">
        <is>
          <t>2.04.06 Material de Escritório</t>
        </is>
      </c>
      <c r="C605" s="30" t="n">
        <v>46174</v>
      </c>
      <c r="D605" t="inlineStr">
        <is>
          <t>Em 2026</t>
        </is>
      </c>
      <c r="E605" s="28" t="n">
        <v>46182</v>
      </c>
      <c r="F605" t="inlineStr">
        <is>
          <t>NF-e</t>
        </is>
      </c>
      <c r="G605" t="inlineStr">
        <is>
          <t>000244340</t>
        </is>
      </c>
      <c r="H605" t="inlineStr">
        <is>
          <t>ABSHOP COMERCIO LTDA</t>
        </is>
      </c>
      <c r="I605" t="inlineStr">
        <is>
          <t>50.018.862/0001-10</t>
        </is>
      </c>
      <c r="J605" s="29" t="n">
        <v>151.6</v>
      </c>
      <c r="K605" s="29">
        <f>(1-ISNUMBER(SEARCH("556",M605)))*(O605*SUMIFS(Premissas!$C$5:$C$44,Premissas!$A$5:$A$44,$A605,Premissas!$B$5:$B$44,$B605)+P605*SUMIFS(Premissas!$D$5:$D$44,Premissas!$A$5:$A$44,$A605,Premissas!$B$5:$B$44,$B605))+R605*SUMIFS(Premissas!$E$5:$E$44,Premissas!$A$5:$A$44,$A605,Premissas!$B$5:$B$44,$B605)+S605*SUMIFS(Premissas!$F$5:$F$44,Premissas!$A$5:$A$44,$A605,Premissas!$B$5:$B$44,$B605)</f>
        <v/>
      </c>
      <c r="L605" s="29">
        <f>J605-K605</f>
        <v/>
      </c>
      <c r="M605" t="inlineStr">
        <is>
          <t>2.556</t>
        </is>
      </c>
      <c r="O605" s="29" t="n">
        <v>0</v>
      </c>
      <c r="P605" s="29" t="n">
        <v>0</v>
      </c>
      <c r="Q605" s="29" t="n">
        <v>0</v>
      </c>
      <c r="R605" s="29" t="n">
        <v>0</v>
      </c>
      <c r="S605" s="29" t="n">
        <v>0</v>
      </c>
      <c r="T605" t="inlineStr">
        <is>
          <t>35260650018862000110550020002443401689054706</t>
        </is>
      </c>
      <c r="U605" t="inlineStr">
        <is>
          <t>Sim</t>
        </is>
      </c>
    </row>
    <row r="606">
      <c r="A606" t="inlineStr">
        <is>
          <t>Uso e consumo</t>
        </is>
      </c>
      <c r="B606" t="inlineStr">
        <is>
          <t>2.04.06 Material de Escritório</t>
        </is>
      </c>
      <c r="C606" s="30" t="n">
        <v>46174</v>
      </c>
      <c r="D606" t="inlineStr">
        <is>
          <t>Em 2026</t>
        </is>
      </c>
      <c r="E606" s="28" t="n">
        <v>46178</v>
      </c>
      <c r="F606" t="inlineStr">
        <is>
          <t>NF-e</t>
        </is>
      </c>
      <c r="G606" t="inlineStr">
        <is>
          <t>000037304</t>
        </is>
      </c>
      <c r="H606" t="inlineStr">
        <is>
          <t>KALUNGA SA</t>
        </is>
      </c>
      <c r="I606" t="inlineStr">
        <is>
          <t>43.283.811/0197-64</t>
        </is>
      </c>
      <c r="J606" s="29" t="n">
        <v>39.9</v>
      </c>
      <c r="K606" s="29">
        <f>(1-ISNUMBER(SEARCH("556",M606)))*(O606*SUMIFS(Premissas!$C$5:$C$44,Premissas!$A$5:$A$44,$A606,Premissas!$B$5:$B$44,$B606)+P606*SUMIFS(Premissas!$D$5:$D$44,Premissas!$A$5:$A$44,$A606,Premissas!$B$5:$B$44,$B606))+R606*SUMIFS(Premissas!$E$5:$E$44,Premissas!$A$5:$A$44,$A606,Premissas!$B$5:$B$44,$B606)+S606*SUMIFS(Premissas!$F$5:$F$44,Premissas!$A$5:$A$44,$A606,Premissas!$B$5:$B$44,$B606)</f>
        <v/>
      </c>
      <c r="L606" s="29">
        <f>J606-K606</f>
        <v/>
      </c>
      <c r="M606" t="inlineStr">
        <is>
          <t>1.556</t>
        </is>
      </c>
      <c r="O606" s="29" t="n">
        <v>0</v>
      </c>
      <c r="P606" s="29" t="n">
        <v>7.98</v>
      </c>
      <c r="Q606" s="29" t="n">
        <v>0</v>
      </c>
      <c r="R606" s="29" t="n">
        <v>0.53</v>
      </c>
      <c r="S606" s="29" t="n">
        <v>2.43</v>
      </c>
      <c r="T606" t="inlineStr">
        <is>
          <t>25260643283811019764550010000373041792300355</t>
        </is>
      </c>
      <c r="U606" t="inlineStr">
        <is>
          <t>Sim</t>
        </is>
      </c>
    </row>
    <row r="607">
      <c r="A607" t="inlineStr">
        <is>
          <t>Uso e consumo</t>
        </is>
      </c>
      <c r="B607" t="inlineStr">
        <is>
          <t>2.04.06 Material de Escritório</t>
        </is>
      </c>
      <c r="C607" s="30" t="n">
        <v>46174</v>
      </c>
      <c r="D607" t="inlineStr">
        <is>
          <t>Em 2026</t>
        </is>
      </c>
      <c r="E607" s="28" t="n">
        <v>46182</v>
      </c>
      <c r="F607" t="inlineStr">
        <is>
          <t>NF-e</t>
        </is>
      </c>
      <c r="G607" t="inlineStr">
        <is>
          <t>000026123</t>
        </is>
      </c>
      <c r="H607" t="inlineStr">
        <is>
          <t>MEGA FORCE COMERCIO DE ELETRO ELETRONICOS LTDA ME</t>
        </is>
      </c>
      <c r="I607" t="inlineStr">
        <is>
          <t>02.309.129/0001-01</t>
        </is>
      </c>
      <c r="J607" s="29" t="n">
        <v>288.86</v>
      </c>
      <c r="K607" s="29">
        <f>(1-ISNUMBER(SEARCH("556",M607)))*(O607*SUMIFS(Premissas!$C$5:$C$44,Premissas!$A$5:$A$44,$A607,Premissas!$B$5:$B$44,$B607)+P607*SUMIFS(Premissas!$D$5:$D$44,Premissas!$A$5:$A$44,$A607,Premissas!$B$5:$B$44,$B607))+R607*SUMIFS(Premissas!$E$5:$E$44,Premissas!$A$5:$A$44,$A607,Premissas!$B$5:$B$44,$B607)+S607*SUMIFS(Premissas!$F$5:$F$44,Premissas!$A$5:$A$44,$A607,Premissas!$B$5:$B$44,$B607)</f>
        <v/>
      </c>
      <c r="L607" s="29">
        <f>J607-K607</f>
        <v/>
      </c>
      <c r="M607" t="inlineStr">
        <is>
          <t>2.556</t>
        </is>
      </c>
      <c r="O607" s="29" t="n">
        <v>0</v>
      </c>
      <c r="P607" s="29" t="n">
        <v>0</v>
      </c>
      <c r="Q607" s="29" t="n">
        <v>0</v>
      </c>
      <c r="R607" s="29" t="n">
        <v>0</v>
      </c>
      <c r="S607" s="29" t="n">
        <v>0</v>
      </c>
      <c r="T607" t="inlineStr">
        <is>
          <t>35260602309129000101550020000261231556883416</t>
        </is>
      </c>
      <c r="U607" t="inlineStr">
        <is>
          <t>Sim</t>
        </is>
      </c>
    </row>
    <row r="608">
      <c r="A608" t="inlineStr">
        <is>
          <t>Uso e consumo</t>
        </is>
      </c>
      <c r="B608" t="inlineStr">
        <is>
          <t>2.04.06 Material de Escritório</t>
        </is>
      </c>
      <c r="C608" s="30" t="n">
        <v>46204</v>
      </c>
      <c r="D608" t="inlineStr">
        <is>
          <t>Em 2026</t>
        </is>
      </c>
      <c r="E608" s="28" t="n">
        <v>46204</v>
      </c>
      <c r="F608" t="inlineStr">
        <is>
          <t>NF-e</t>
        </is>
      </c>
      <c r="G608" t="inlineStr">
        <is>
          <t>000001226</t>
        </is>
      </c>
      <c r="H608" t="inlineStr">
        <is>
          <t>Limptech Paper Comercio Ltda</t>
        </is>
      </c>
      <c r="I608" t="inlineStr">
        <is>
          <t>58.715.917/0001-52</t>
        </is>
      </c>
      <c r="J608" s="29" t="n">
        <v>1833.97</v>
      </c>
      <c r="K608" s="29">
        <f>(1-ISNUMBER(SEARCH("556",M608)))*(O608*SUMIFS(Premissas!$C$5:$C$44,Premissas!$A$5:$A$44,$A608,Premissas!$B$5:$B$44,$B608)+P608*SUMIFS(Premissas!$D$5:$D$44,Premissas!$A$5:$A$44,$A608,Premissas!$B$5:$B$44,$B608))+R608*SUMIFS(Premissas!$E$5:$E$44,Premissas!$A$5:$A$44,$A608,Premissas!$B$5:$B$44,$B608)+S608*SUMIFS(Premissas!$F$5:$F$44,Premissas!$A$5:$A$44,$A608,Premissas!$B$5:$B$44,$B608)</f>
        <v/>
      </c>
      <c r="L608" s="29">
        <f>J608-K608</f>
        <v/>
      </c>
      <c r="M608" t="inlineStr">
        <is>
          <t>1.556</t>
        </is>
      </c>
      <c r="O608" s="29" t="n">
        <v>0</v>
      </c>
      <c r="P608" s="29" t="n">
        <v>0</v>
      </c>
      <c r="Q608" s="29" t="n">
        <v>0</v>
      </c>
      <c r="R608" s="29" t="n">
        <v>0</v>
      </c>
      <c r="S608" s="29" t="n">
        <v>0</v>
      </c>
      <c r="T608" t="inlineStr">
        <is>
          <t>25260758715917000152550010000012261496196788</t>
        </is>
      </c>
      <c r="U608" t="inlineStr">
        <is>
          <t>Sim</t>
        </is>
      </c>
    </row>
    <row r="609">
      <c r="A609" t="inlineStr">
        <is>
          <t>Uso e consumo</t>
        </is>
      </c>
      <c r="B609" t="inlineStr">
        <is>
          <t>2.04.06 Material de Escritório</t>
        </is>
      </c>
      <c r="C609" s="30" t="n">
        <v>46204</v>
      </c>
      <c r="D609" t="inlineStr">
        <is>
          <t>Em 2026</t>
        </is>
      </c>
      <c r="E609" s="28" t="n">
        <v>46231</v>
      </c>
      <c r="F609" t="inlineStr">
        <is>
          <t>NF-e</t>
        </is>
      </c>
      <c r="G609" t="inlineStr">
        <is>
          <t>000001337</t>
        </is>
      </c>
      <c r="H609" t="inlineStr">
        <is>
          <t>Limptech Paper Comercio Ltda</t>
        </is>
      </c>
      <c r="I609" t="inlineStr">
        <is>
          <t>58.715.917/0001-52</t>
        </is>
      </c>
      <c r="J609" s="29" t="n">
        <v>2398.45</v>
      </c>
      <c r="K609" s="29">
        <f>(1-ISNUMBER(SEARCH("556",M609)))*(O609*SUMIFS(Premissas!$C$5:$C$44,Premissas!$A$5:$A$44,$A609,Premissas!$B$5:$B$44,$B609)+P609*SUMIFS(Premissas!$D$5:$D$44,Premissas!$A$5:$A$44,$A609,Premissas!$B$5:$B$44,$B609))+R609*SUMIFS(Premissas!$E$5:$E$44,Premissas!$A$5:$A$44,$A609,Premissas!$B$5:$B$44,$B609)+S609*SUMIFS(Premissas!$F$5:$F$44,Premissas!$A$5:$A$44,$A609,Premissas!$B$5:$B$44,$B609)</f>
        <v/>
      </c>
      <c r="L609" s="29">
        <f>J609-K609</f>
        <v/>
      </c>
      <c r="M609" t="inlineStr">
        <is>
          <t>1.102, 1.403, 1.556</t>
        </is>
      </c>
      <c r="O609" s="29" t="n">
        <v>0</v>
      </c>
      <c r="P609" s="29" t="n">
        <v>0</v>
      </c>
      <c r="Q609" s="29" t="n">
        <v>0</v>
      </c>
      <c r="R609" s="29" t="n">
        <v>0</v>
      </c>
      <c r="S609" s="29" t="n">
        <v>0</v>
      </c>
      <c r="T609" t="inlineStr">
        <is>
          <t>25260758715917000152550010000013371199843915</t>
        </is>
      </c>
      <c r="U609" t="inlineStr">
        <is>
          <t>Sim</t>
        </is>
      </c>
    </row>
    <row r="610">
      <c r="A610" t="inlineStr">
        <is>
          <t>Uso e consumo</t>
        </is>
      </c>
      <c r="B610" t="inlineStr">
        <is>
          <t>2.04.06 Material de Escritório</t>
        </is>
      </c>
      <c r="C610" s="30" t="n">
        <v>46235</v>
      </c>
      <c r="D610" t="inlineStr">
        <is>
          <t>Em 2026</t>
        </is>
      </c>
      <c r="E610" s="28" t="n">
        <v>46261</v>
      </c>
      <c r="F610" t="inlineStr">
        <is>
          <t>NF-e</t>
        </is>
      </c>
      <c r="G610" t="inlineStr">
        <is>
          <t>000001451</t>
        </is>
      </c>
      <c r="H610" t="inlineStr">
        <is>
          <t>Limptech Paper Comercio Ltda</t>
        </is>
      </c>
      <c r="I610" t="inlineStr">
        <is>
          <t>58.715.917/0001-52</t>
        </is>
      </c>
      <c r="J610" s="29" t="n">
        <v>2029.35</v>
      </c>
      <c r="K610" s="29">
        <f>(1-ISNUMBER(SEARCH("556",M610)))*(O610*SUMIFS(Premissas!$C$5:$C$44,Premissas!$A$5:$A$44,$A610,Premissas!$B$5:$B$44,$B610)+P610*SUMIFS(Premissas!$D$5:$D$44,Premissas!$A$5:$A$44,$A610,Premissas!$B$5:$B$44,$B610))+R610*SUMIFS(Premissas!$E$5:$E$44,Premissas!$A$5:$A$44,$A610,Premissas!$B$5:$B$44,$B610)+S610*SUMIFS(Premissas!$F$5:$F$44,Premissas!$A$5:$A$44,$A610,Premissas!$B$5:$B$44,$B610)</f>
        <v/>
      </c>
      <c r="L610" s="29">
        <f>J610-K610</f>
        <v/>
      </c>
      <c r="M610" t="inlineStr">
        <is>
          <t>1.102, 1.556</t>
        </is>
      </c>
      <c r="O610" s="29" t="n">
        <v>0</v>
      </c>
      <c r="P610" s="29" t="n">
        <v>0</v>
      </c>
      <c r="Q610" s="29" t="n">
        <v>0</v>
      </c>
      <c r="R610" s="29" t="n">
        <v>0</v>
      </c>
      <c r="S610" s="29" t="n">
        <v>0</v>
      </c>
      <c r="T610" t="inlineStr">
        <is>
          <t>25260858715917000152550010000014511931935655</t>
        </is>
      </c>
      <c r="U610" t="inlineStr">
        <is>
          <t>Sim</t>
        </is>
      </c>
    </row>
    <row r="611">
      <c r="A611" t="inlineStr">
        <is>
          <t>Uso e consumo</t>
        </is>
      </c>
      <c r="B611" t="inlineStr">
        <is>
          <t>2.04.06 Material de Escritório</t>
        </is>
      </c>
      <c r="C611" s="30" t="n">
        <v>46266</v>
      </c>
      <c r="D611" t="inlineStr">
        <is>
          <t>Em 2026</t>
        </is>
      </c>
      <c r="E611" s="28" t="n">
        <v>46273</v>
      </c>
      <c r="F611" t="inlineStr">
        <is>
          <t>NF-e</t>
        </is>
      </c>
      <c r="G611" t="inlineStr">
        <is>
          <t>000275656</t>
        </is>
      </c>
      <c r="H611" t="inlineStr">
        <is>
          <t>ABSHOP COMERCIO LTDA</t>
        </is>
      </c>
      <c r="I611" t="inlineStr">
        <is>
          <t>50.018.862/0001-10</t>
        </is>
      </c>
      <c r="J611" s="29" t="n">
        <v>379</v>
      </c>
      <c r="K611" s="29">
        <f>(1-ISNUMBER(SEARCH("556",M611)))*(O611*SUMIFS(Premissas!$C$5:$C$44,Premissas!$A$5:$A$44,$A611,Premissas!$B$5:$B$44,$B611)+P611*SUMIFS(Premissas!$D$5:$D$44,Premissas!$A$5:$A$44,$A611,Premissas!$B$5:$B$44,$B611))+R611*SUMIFS(Premissas!$E$5:$E$44,Premissas!$A$5:$A$44,$A611,Premissas!$B$5:$B$44,$B611)+S611*SUMIFS(Premissas!$F$5:$F$44,Premissas!$A$5:$A$44,$A611,Premissas!$B$5:$B$44,$B611)</f>
        <v/>
      </c>
      <c r="L611" s="29">
        <f>J611-K611</f>
        <v/>
      </c>
      <c r="M611" t="inlineStr">
        <is>
          <t>2.556</t>
        </is>
      </c>
      <c r="O611" s="29" t="n">
        <v>0</v>
      </c>
      <c r="P611" s="29" t="n">
        <v>0</v>
      </c>
      <c r="Q611" s="29" t="n">
        <v>0</v>
      </c>
      <c r="R611" s="29" t="n">
        <v>0</v>
      </c>
      <c r="S611" s="29" t="n">
        <v>0</v>
      </c>
      <c r="T611" t="inlineStr">
        <is>
          <t>35260950018862000110550020002756561137325230</t>
        </is>
      </c>
      <c r="U611" t="inlineStr">
        <is>
          <t>Sim</t>
        </is>
      </c>
    </row>
    <row r="612">
      <c r="A612" t="inlineStr">
        <is>
          <t>Uso e consumo</t>
        </is>
      </c>
      <c r="B612" t="inlineStr">
        <is>
          <t>2.04.06 Material de Escritório</t>
        </is>
      </c>
      <c r="C612" s="30" t="n">
        <v>46266</v>
      </c>
      <c r="D612" t="inlineStr">
        <is>
          <t>Em 2026</t>
        </is>
      </c>
      <c r="E612" s="28" t="n">
        <v>46273</v>
      </c>
      <c r="F612" t="inlineStr">
        <is>
          <t>NF-e</t>
        </is>
      </c>
      <c r="G612" t="inlineStr">
        <is>
          <t>000001495</t>
        </is>
      </c>
      <c r="H612" t="inlineStr">
        <is>
          <t>Limptech Paper Comercio Ltda</t>
        </is>
      </c>
      <c r="I612" t="inlineStr">
        <is>
          <t>58.715.917/0001-52</t>
        </is>
      </c>
      <c r="J612" s="29" t="n">
        <v>599.4</v>
      </c>
      <c r="K612" s="29">
        <f>(1-ISNUMBER(SEARCH("556",M612)))*(O612*SUMIFS(Premissas!$C$5:$C$44,Premissas!$A$5:$A$44,$A612,Premissas!$B$5:$B$44,$B612)+P612*SUMIFS(Premissas!$D$5:$D$44,Premissas!$A$5:$A$44,$A612,Premissas!$B$5:$B$44,$B612))+R612*SUMIFS(Premissas!$E$5:$E$44,Premissas!$A$5:$A$44,$A612,Premissas!$B$5:$B$44,$B612)+S612*SUMIFS(Premissas!$F$5:$F$44,Premissas!$A$5:$A$44,$A612,Premissas!$B$5:$B$44,$B612)</f>
        <v/>
      </c>
      <c r="L612" s="29">
        <f>J612-K612</f>
        <v/>
      </c>
      <c r="M612" t="inlineStr">
        <is>
          <t>1.556</t>
        </is>
      </c>
      <c r="O612" s="29" t="n">
        <v>0</v>
      </c>
      <c r="P612" s="29" t="n">
        <v>0</v>
      </c>
      <c r="Q612" s="29" t="n">
        <v>0</v>
      </c>
      <c r="R612" s="29" t="n">
        <v>0</v>
      </c>
      <c r="S612" s="29" t="n">
        <v>0</v>
      </c>
      <c r="T612" t="inlineStr">
        <is>
          <t>25260958715917000152550010000014951811917887</t>
        </is>
      </c>
      <c r="U612" t="inlineStr">
        <is>
          <t>Sim</t>
        </is>
      </c>
    </row>
    <row r="613">
      <c r="A613" t="inlineStr">
        <is>
          <t>Uso e consumo</t>
        </is>
      </c>
      <c r="B613" t="inlineStr">
        <is>
          <t>2.04.91 Compra de Material de Limpeza</t>
        </is>
      </c>
      <c r="C613" s="30" t="n">
        <v>46023</v>
      </c>
      <c r="D613" t="inlineStr">
        <is>
          <t>Em 2026</t>
        </is>
      </c>
      <c r="E613" s="28" t="n">
        <v>46025</v>
      </c>
      <c r="F613" t="inlineStr">
        <is>
          <t>NF-e</t>
        </is>
      </c>
      <c r="G613" t="inlineStr">
        <is>
          <t>000009651</t>
        </is>
      </c>
      <c r="H613" t="inlineStr">
        <is>
          <t>CRISTAL COMERCIO DE PRODUTOS QUIMICOS LTDA</t>
        </is>
      </c>
      <c r="I613" t="inlineStr">
        <is>
          <t>09.033.742/0003-50</t>
        </is>
      </c>
      <c r="J613" s="29" t="n">
        <v>109.25</v>
      </c>
      <c r="K613" s="29">
        <f>(1-ISNUMBER(SEARCH("556",M613)))*(O613*SUMIFS(Premissas!$C$5:$C$44,Premissas!$A$5:$A$44,$A613,Premissas!$B$5:$B$44,$B613)+P613*SUMIFS(Premissas!$D$5:$D$44,Premissas!$A$5:$A$44,$A613,Premissas!$B$5:$B$44,$B613))+R613*SUMIFS(Premissas!$E$5:$E$44,Premissas!$A$5:$A$44,$A613,Premissas!$B$5:$B$44,$B613)+S613*SUMIFS(Premissas!$F$5:$F$44,Premissas!$A$5:$A$44,$A613,Premissas!$B$5:$B$44,$B613)</f>
        <v/>
      </c>
      <c r="L613" s="29">
        <f>J613-K613</f>
        <v/>
      </c>
      <c r="M613" t="inlineStr">
        <is>
          <t>1.102</t>
        </is>
      </c>
      <c r="O613" s="29" t="n">
        <v>0</v>
      </c>
      <c r="P613" s="29" t="n">
        <v>0</v>
      </c>
      <c r="Q613" s="29" t="n">
        <v>0</v>
      </c>
      <c r="R613" s="29" t="n">
        <v>0</v>
      </c>
      <c r="S613" s="29" t="n">
        <v>0</v>
      </c>
      <c r="T613" t="inlineStr">
        <is>
          <t>25260109033742000350550010000096511174125362</t>
        </is>
      </c>
      <c r="U613" t="inlineStr">
        <is>
          <t>Sim</t>
        </is>
      </c>
    </row>
    <row r="614">
      <c r="A614" t="inlineStr">
        <is>
          <t>Uso e consumo</t>
        </is>
      </c>
      <c r="B614" t="inlineStr">
        <is>
          <t>2.04.91 Compra de Material de Limpeza</t>
        </is>
      </c>
      <c r="C614" s="30" t="n">
        <v>46023</v>
      </c>
      <c r="D614" t="inlineStr">
        <is>
          <t>Em 2026</t>
        </is>
      </c>
      <c r="E614" s="28" t="n">
        <v>46028</v>
      </c>
      <c r="F614" t="inlineStr">
        <is>
          <t>NF-e</t>
        </is>
      </c>
      <c r="G614" t="inlineStr">
        <is>
          <t>000000629</t>
        </is>
      </c>
      <c r="H614" t="inlineStr">
        <is>
          <t>Limptech Paper Comercio Ltda</t>
        </is>
      </c>
      <c r="I614" t="inlineStr">
        <is>
          <t>58.715.917/0001-52</t>
        </is>
      </c>
      <c r="J614" s="29" t="n">
        <v>2236.25</v>
      </c>
      <c r="K614" s="29">
        <f>(1-ISNUMBER(SEARCH("556",M614)))*(O614*SUMIFS(Premissas!$C$5:$C$44,Premissas!$A$5:$A$44,$A614,Premissas!$B$5:$B$44,$B614)+P614*SUMIFS(Premissas!$D$5:$D$44,Premissas!$A$5:$A$44,$A614,Premissas!$B$5:$B$44,$B614))+R614*SUMIFS(Premissas!$E$5:$E$44,Premissas!$A$5:$A$44,$A614,Premissas!$B$5:$B$44,$B614)+S614*SUMIFS(Premissas!$F$5:$F$44,Premissas!$A$5:$A$44,$A614,Premissas!$B$5:$B$44,$B614)</f>
        <v/>
      </c>
      <c r="L614" s="29">
        <f>J614-K614</f>
        <v/>
      </c>
      <c r="M614" t="inlineStr">
        <is>
          <t>1.102</t>
        </is>
      </c>
      <c r="O614" s="29" t="n">
        <v>0</v>
      </c>
      <c r="P614" s="29" t="n">
        <v>0</v>
      </c>
      <c r="Q614" s="29" t="n">
        <v>0</v>
      </c>
      <c r="R614" s="29" t="n">
        <v>0</v>
      </c>
      <c r="S614" s="29" t="n">
        <v>0</v>
      </c>
      <c r="T614" t="inlineStr">
        <is>
          <t>25260158715917000152550010000006291369253429</t>
        </is>
      </c>
      <c r="U614" t="inlineStr">
        <is>
          <t>Sim</t>
        </is>
      </c>
    </row>
    <row r="615">
      <c r="A615" t="inlineStr">
        <is>
          <t>Uso e consumo</t>
        </is>
      </c>
      <c r="B615" t="inlineStr">
        <is>
          <t>2.04.91 Compra de Material de Limpeza</t>
        </is>
      </c>
      <c r="C615" s="30" t="n">
        <v>46054</v>
      </c>
      <c r="D615" t="inlineStr">
        <is>
          <t>Em 2026</t>
        </is>
      </c>
      <c r="E615" s="28" t="n">
        <v>46055</v>
      </c>
      <c r="F615" t="inlineStr">
        <is>
          <t>NF-e</t>
        </is>
      </c>
      <c r="G615" t="inlineStr">
        <is>
          <t>000000706</t>
        </is>
      </c>
      <c r="H615" t="inlineStr">
        <is>
          <t>Limptech Paper Comercio Ltda</t>
        </is>
      </c>
      <c r="I615" t="inlineStr">
        <is>
          <t>58.715.917/0001-52</t>
        </is>
      </c>
      <c r="J615" s="29" t="n">
        <v>983.9</v>
      </c>
      <c r="K615" s="29">
        <f>(1-ISNUMBER(SEARCH("556",M615)))*(O615*SUMIFS(Premissas!$C$5:$C$44,Premissas!$A$5:$A$44,$A615,Premissas!$B$5:$B$44,$B615)+P615*SUMIFS(Premissas!$D$5:$D$44,Premissas!$A$5:$A$44,$A615,Premissas!$B$5:$B$44,$B615))+R615*SUMIFS(Premissas!$E$5:$E$44,Premissas!$A$5:$A$44,$A615,Premissas!$B$5:$B$44,$B615)+S615*SUMIFS(Premissas!$F$5:$F$44,Premissas!$A$5:$A$44,$A615,Premissas!$B$5:$B$44,$B615)</f>
        <v/>
      </c>
      <c r="L615" s="29">
        <f>J615-K615</f>
        <v/>
      </c>
      <c r="M615" t="inlineStr">
        <is>
          <t>1.102</t>
        </is>
      </c>
      <c r="O615" s="29" t="n">
        <v>0</v>
      </c>
      <c r="P615" s="29" t="n">
        <v>0</v>
      </c>
      <c r="Q615" s="29" t="n">
        <v>0</v>
      </c>
      <c r="R615" s="29" t="n">
        <v>0</v>
      </c>
      <c r="S615" s="29" t="n">
        <v>0</v>
      </c>
      <c r="T615" t="inlineStr">
        <is>
          <t>25260258715917000152550010000007061867614363</t>
        </is>
      </c>
      <c r="U615" t="inlineStr">
        <is>
          <t>Sim</t>
        </is>
      </c>
    </row>
    <row r="616">
      <c r="A616" t="inlineStr">
        <is>
          <t>Uso e consumo</t>
        </is>
      </c>
      <c r="B616" t="inlineStr">
        <is>
          <t>2.04.91 Compra de Material de Limpeza</t>
        </is>
      </c>
      <c r="C616" s="30" t="n">
        <v>46054</v>
      </c>
      <c r="D616" t="inlineStr">
        <is>
          <t>Em 2026</t>
        </is>
      </c>
      <c r="E616" s="28" t="n">
        <v>46055</v>
      </c>
      <c r="F616" t="inlineStr">
        <is>
          <t>NF-e</t>
        </is>
      </c>
      <c r="G616" t="inlineStr">
        <is>
          <t>000000707</t>
        </is>
      </c>
      <c r="H616" t="inlineStr">
        <is>
          <t>Limptech Paper Comercio Ltda</t>
        </is>
      </c>
      <c r="I616" t="inlineStr">
        <is>
          <t>58.715.917/0001-52</t>
        </is>
      </c>
      <c r="J616" s="29" t="n">
        <v>657.3</v>
      </c>
      <c r="K616" s="29">
        <f>(1-ISNUMBER(SEARCH("556",M616)))*(O616*SUMIFS(Premissas!$C$5:$C$44,Premissas!$A$5:$A$44,$A616,Premissas!$B$5:$B$44,$B616)+P616*SUMIFS(Premissas!$D$5:$D$44,Premissas!$A$5:$A$44,$A616,Premissas!$B$5:$B$44,$B616))+R616*SUMIFS(Premissas!$E$5:$E$44,Premissas!$A$5:$A$44,$A616,Premissas!$B$5:$B$44,$B616)+S616*SUMIFS(Premissas!$F$5:$F$44,Premissas!$A$5:$A$44,$A616,Premissas!$B$5:$B$44,$B616)</f>
        <v/>
      </c>
      <c r="L616" s="29">
        <f>J616-K616</f>
        <v/>
      </c>
      <c r="M616" t="inlineStr">
        <is>
          <t>1.102</t>
        </is>
      </c>
      <c r="O616" s="29" t="n">
        <v>0</v>
      </c>
      <c r="P616" s="29" t="n">
        <v>0</v>
      </c>
      <c r="Q616" s="29" t="n">
        <v>0</v>
      </c>
      <c r="R616" s="29" t="n">
        <v>0</v>
      </c>
      <c r="S616" s="29" t="n">
        <v>0</v>
      </c>
      <c r="T616" t="inlineStr">
        <is>
          <t>25260258715917000152550010000007071459823773</t>
        </is>
      </c>
      <c r="U616" t="inlineStr">
        <is>
          <t>Sim</t>
        </is>
      </c>
    </row>
    <row r="617">
      <c r="A617" t="inlineStr">
        <is>
          <t>Uso e consumo</t>
        </is>
      </c>
      <c r="B617" t="inlineStr">
        <is>
          <t>2.04.91 Compra de Material de Limpeza</t>
        </is>
      </c>
      <c r="C617" s="30" t="n">
        <v>46082</v>
      </c>
      <c r="D617" t="inlineStr">
        <is>
          <t>Em 2026</t>
        </is>
      </c>
      <c r="E617" s="28" t="n">
        <v>46083</v>
      </c>
      <c r="F617" t="inlineStr">
        <is>
          <t>NF-e</t>
        </is>
      </c>
      <c r="G617" t="inlineStr">
        <is>
          <t>000000794</t>
        </is>
      </c>
      <c r="H617" t="inlineStr">
        <is>
          <t>Limptech Paper Comercio Ltda</t>
        </is>
      </c>
      <c r="I617" t="inlineStr">
        <is>
          <t>58.715.917/0001-52</t>
        </is>
      </c>
      <c r="J617" s="29" t="n">
        <v>552.75</v>
      </c>
      <c r="K617" s="29">
        <f>(1-ISNUMBER(SEARCH("556",M617)))*(O617*SUMIFS(Premissas!$C$5:$C$44,Premissas!$A$5:$A$44,$A617,Premissas!$B$5:$B$44,$B617)+P617*SUMIFS(Premissas!$D$5:$D$44,Premissas!$A$5:$A$44,$A617,Premissas!$B$5:$B$44,$B617))+R617*SUMIFS(Premissas!$E$5:$E$44,Premissas!$A$5:$A$44,$A617,Premissas!$B$5:$B$44,$B617)+S617*SUMIFS(Premissas!$F$5:$F$44,Premissas!$A$5:$A$44,$A617,Premissas!$B$5:$B$44,$B617)</f>
        <v/>
      </c>
      <c r="L617" s="29">
        <f>J617-K617</f>
        <v/>
      </c>
      <c r="M617" t="inlineStr">
        <is>
          <t>1.102</t>
        </is>
      </c>
      <c r="O617" s="29" t="n">
        <v>0</v>
      </c>
      <c r="P617" s="29" t="n">
        <v>0</v>
      </c>
      <c r="Q617" s="29" t="n">
        <v>0</v>
      </c>
      <c r="R617" s="29" t="n">
        <v>0</v>
      </c>
      <c r="S617" s="29" t="n">
        <v>0</v>
      </c>
      <c r="T617" t="inlineStr">
        <is>
          <t>25260358715917000152550010000007941169800060</t>
        </is>
      </c>
      <c r="U617" t="inlineStr">
        <is>
          <t>Sim</t>
        </is>
      </c>
    </row>
    <row r="618">
      <c r="A618" t="inlineStr">
        <is>
          <t>Uso e consumo</t>
        </is>
      </c>
      <c r="B618" t="inlineStr">
        <is>
          <t>2.04.91 Compra de Material de Limpeza</t>
        </is>
      </c>
      <c r="C618" s="30" t="n">
        <v>46082</v>
      </c>
      <c r="D618" t="inlineStr">
        <is>
          <t>Em 2026</t>
        </is>
      </c>
      <c r="E618" s="28" t="n">
        <v>46083</v>
      </c>
      <c r="F618" t="inlineStr">
        <is>
          <t>NF-e</t>
        </is>
      </c>
      <c r="G618" t="inlineStr">
        <is>
          <t>000000795</t>
        </is>
      </c>
      <c r="H618" t="inlineStr">
        <is>
          <t>Limptech Paper Comercio Ltda</t>
        </is>
      </c>
      <c r="I618" t="inlineStr">
        <is>
          <t>58.715.917/0001-52</t>
        </is>
      </c>
      <c r="J618" s="29" t="n">
        <v>1519.1</v>
      </c>
      <c r="K618" s="29">
        <f>(1-ISNUMBER(SEARCH("556",M618)))*(O618*SUMIFS(Premissas!$C$5:$C$44,Premissas!$A$5:$A$44,$A618,Premissas!$B$5:$B$44,$B618)+P618*SUMIFS(Premissas!$D$5:$D$44,Premissas!$A$5:$A$44,$A618,Premissas!$B$5:$B$44,$B618))+R618*SUMIFS(Premissas!$E$5:$E$44,Premissas!$A$5:$A$44,$A618,Premissas!$B$5:$B$44,$B618)+S618*SUMIFS(Premissas!$F$5:$F$44,Premissas!$A$5:$A$44,$A618,Premissas!$B$5:$B$44,$B618)</f>
        <v/>
      </c>
      <c r="L618" s="29">
        <f>J618-K618</f>
        <v/>
      </c>
      <c r="M618" t="inlineStr">
        <is>
          <t>1.102</t>
        </is>
      </c>
      <c r="O618" s="29" t="n">
        <v>0</v>
      </c>
      <c r="P618" s="29" t="n">
        <v>0</v>
      </c>
      <c r="Q618" s="29" t="n">
        <v>0</v>
      </c>
      <c r="R618" s="29" t="n">
        <v>0</v>
      </c>
      <c r="S618" s="29" t="n">
        <v>0</v>
      </c>
      <c r="T618" t="inlineStr">
        <is>
          <t>25260358715917000152550010000007951041201320</t>
        </is>
      </c>
      <c r="U618" t="inlineStr">
        <is>
          <t>Sim</t>
        </is>
      </c>
    </row>
    <row r="619">
      <c r="A619" t="inlineStr">
        <is>
          <t>Uso e consumo</t>
        </is>
      </c>
      <c r="B619" t="inlineStr">
        <is>
          <t>2.04.91 Compra de Material de Limpeza</t>
        </is>
      </c>
      <c r="C619" s="30" t="n">
        <v>46082</v>
      </c>
      <c r="D619" t="inlineStr">
        <is>
          <t>Em 2026</t>
        </is>
      </c>
      <c r="E619" s="28" t="n">
        <v>46094</v>
      </c>
      <c r="F619" t="inlineStr">
        <is>
          <t>NF-e</t>
        </is>
      </c>
      <c r="G619" t="inlineStr">
        <is>
          <t>000000842</t>
        </is>
      </c>
      <c r="H619" t="inlineStr">
        <is>
          <t>Limptech Paper Comercio Ltda</t>
        </is>
      </c>
      <c r="I619" t="inlineStr">
        <is>
          <t>58.715.917/0001-52</t>
        </is>
      </c>
      <c r="J619" s="29" t="n">
        <v>318</v>
      </c>
      <c r="K619" s="29">
        <f>(1-ISNUMBER(SEARCH("556",M619)))*(O619*SUMIFS(Premissas!$C$5:$C$44,Premissas!$A$5:$A$44,$A619,Premissas!$B$5:$B$44,$B619)+P619*SUMIFS(Premissas!$D$5:$D$44,Premissas!$A$5:$A$44,$A619,Premissas!$B$5:$B$44,$B619))+R619*SUMIFS(Premissas!$E$5:$E$44,Premissas!$A$5:$A$44,$A619,Premissas!$B$5:$B$44,$B619)+S619*SUMIFS(Premissas!$F$5:$F$44,Premissas!$A$5:$A$44,$A619,Premissas!$B$5:$B$44,$B619)</f>
        <v/>
      </c>
      <c r="L619" s="29">
        <f>J619-K619</f>
        <v/>
      </c>
      <c r="M619" t="inlineStr">
        <is>
          <t>1.102</t>
        </is>
      </c>
      <c r="O619" s="29" t="n">
        <v>0</v>
      </c>
      <c r="P619" s="29" t="n">
        <v>0</v>
      </c>
      <c r="Q619" s="29" t="n">
        <v>0</v>
      </c>
      <c r="R619" s="29" t="n">
        <v>0</v>
      </c>
      <c r="S619" s="29" t="n">
        <v>0</v>
      </c>
      <c r="T619" t="inlineStr">
        <is>
          <t>25260358715917000152550010000008421875646002</t>
        </is>
      </c>
      <c r="U619" t="inlineStr">
        <is>
          <t>Sim</t>
        </is>
      </c>
    </row>
    <row r="620">
      <c r="A620" t="inlineStr">
        <is>
          <t>Uso e consumo</t>
        </is>
      </c>
      <c r="B620" t="inlineStr">
        <is>
          <t>2.04.91 Compra de Material de Limpeza</t>
        </is>
      </c>
      <c r="C620" s="30" t="n">
        <v>46082</v>
      </c>
      <c r="D620" t="inlineStr">
        <is>
          <t>Em 2026</t>
        </is>
      </c>
      <c r="E620" s="28" t="n">
        <v>46099</v>
      </c>
      <c r="F620" t="inlineStr">
        <is>
          <t>NF-e</t>
        </is>
      </c>
      <c r="G620" t="inlineStr">
        <is>
          <t>000000625</t>
        </is>
      </c>
      <c r="H620" t="inlineStr">
        <is>
          <t>SUZANNY SILVINO LEMOS</t>
        </is>
      </c>
      <c r="I620" t="inlineStr">
        <is>
          <t>31.533.886/0001-62</t>
        </is>
      </c>
      <c r="J620" s="29" t="n">
        <v>234</v>
      </c>
      <c r="K620" s="29">
        <f>(1-ISNUMBER(SEARCH("556",M620)))*(O620*SUMIFS(Premissas!$C$5:$C$44,Premissas!$A$5:$A$44,$A620,Premissas!$B$5:$B$44,$B620)+P620*SUMIFS(Premissas!$D$5:$D$44,Premissas!$A$5:$A$44,$A620,Premissas!$B$5:$B$44,$B620))+R620*SUMIFS(Premissas!$E$5:$E$44,Premissas!$A$5:$A$44,$A620,Premissas!$B$5:$B$44,$B620)+S620*SUMIFS(Premissas!$F$5:$F$44,Premissas!$A$5:$A$44,$A620,Premissas!$B$5:$B$44,$B620)</f>
        <v/>
      </c>
      <c r="L620" s="29">
        <f>J620-K620</f>
        <v/>
      </c>
      <c r="M620" t="inlineStr">
        <is>
          <t>1.102</t>
        </is>
      </c>
      <c r="O620" s="29" t="n">
        <v>0</v>
      </c>
      <c r="P620" s="29" t="n">
        <v>0</v>
      </c>
      <c r="Q620" s="29" t="n">
        <v>0</v>
      </c>
      <c r="R620" s="29" t="n">
        <v>0</v>
      </c>
      <c r="S620" s="29" t="n">
        <v>0</v>
      </c>
      <c r="T620" t="inlineStr">
        <is>
          <t>25260331533886000162550010000006251000459071</t>
        </is>
      </c>
      <c r="U620" t="inlineStr">
        <is>
          <t>Sim</t>
        </is>
      </c>
    </row>
    <row r="621">
      <c r="A621" t="inlineStr">
        <is>
          <t>Uso e consumo</t>
        </is>
      </c>
      <c r="B621" t="inlineStr">
        <is>
          <t>2.04.91 Compra de Material de Limpeza</t>
        </is>
      </c>
      <c r="C621" s="30" t="n">
        <v>46113</v>
      </c>
      <c r="D621" t="inlineStr">
        <is>
          <t>Em 2026</t>
        </is>
      </c>
      <c r="E621" s="28" t="n">
        <v>46114</v>
      </c>
      <c r="F621" t="inlineStr">
        <is>
          <t>NF-e</t>
        </is>
      </c>
      <c r="G621" t="inlineStr">
        <is>
          <t>000000916</t>
        </is>
      </c>
      <c r="H621" t="inlineStr">
        <is>
          <t>Limptech Paper Comercio Ltda</t>
        </is>
      </c>
      <c r="I621" t="inlineStr">
        <is>
          <t>58.715.917/0001-52</t>
        </is>
      </c>
      <c r="J621" s="29" t="n">
        <v>1653.8</v>
      </c>
      <c r="K621" s="29">
        <f>(1-ISNUMBER(SEARCH("556",M621)))*(O621*SUMIFS(Premissas!$C$5:$C$44,Premissas!$A$5:$A$44,$A621,Premissas!$B$5:$B$44,$B621)+P621*SUMIFS(Premissas!$D$5:$D$44,Premissas!$A$5:$A$44,$A621,Premissas!$B$5:$B$44,$B621))+R621*SUMIFS(Premissas!$E$5:$E$44,Premissas!$A$5:$A$44,$A621,Premissas!$B$5:$B$44,$B621)+S621*SUMIFS(Premissas!$F$5:$F$44,Premissas!$A$5:$A$44,$A621,Premissas!$B$5:$B$44,$B621)</f>
        <v/>
      </c>
      <c r="L621" s="29">
        <f>J621-K621</f>
        <v/>
      </c>
      <c r="M621" t="inlineStr">
        <is>
          <t>1.556</t>
        </is>
      </c>
      <c r="O621" s="29" t="n">
        <v>0</v>
      </c>
      <c r="P621" s="29" t="n">
        <v>0</v>
      </c>
      <c r="Q621" s="29" t="n">
        <v>0</v>
      </c>
      <c r="R621" s="29" t="n">
        <v>0</v>
      </c>
      <c r="S621" s="29" t="n">
        <v>0</v>
      </c>
      <c r="T621" t="inlineStr">
        <is>
          <t>25260458715917000152550010000009161881494978</t>
        </is>
      </c>
      <c r="U621" t="inlineStr">
        <is>
          <t>Sim</t>
        </is>
      </c>
    </row>
    <row r="622">
      <c r="A622" t="inlineStr">
        <is>
          <t>Uso e consumo</t>
        </is>
      </c>
      <c r="B622" t="inlineStr">
        <is>
          <t>2.04.91 Compra de Material de Limpeza</t>
        </is>
      </c>
      <c r="C622" s="30" t="n">
        <v>46113</v>
      </c>
      <c r="D622" t="inlineStr">
        <is>
          <t>Em 2026</t>
        </is>
      </c>
      <c r="E622" s="28" t="n">
        <v>46114</v>
      </c>
      <c r="F622" t="inlineStr">
        <is>
          <t>NF-e</t>
        </is>
      </c>
      <c r="G622" t="inlineStr">
        <is>
          <t>000000918</t>
        </is>
      </c>
      <c r="H622" t="inlineStr">
        <is>
          <t>Limptech Paper Comercio Ltda</t>
        </is>
      </c>
      <c r="I622" t="inlineStr">
        <is>
          <t>58.715.917/0001-52</t>
        </is>
      </c>
      <c r="J622" s="29" t="n">
        <v>2156.8</v>
      </c>
      <c r="K622" s="29">
        <f>(1-ISNUMBER(SEARCH("556",M622)))*(O622*SUMIFS(Premissas!$C$5:$C$44,Premissas!$A$5:$A$44,$A622,Premissas!$B$5:$B$44,$B622)+P622*SUMIFS(Premissas!$D$5:$D$44,Premissas!$A$5:$A$44,$A622,Premissas!$B$5:$B$44,$B622))+R622*SUMIFS(Premissas!$E$5:$E$44,Premissas!$A$5:$A$44,$A622,Premissas!$B$5:$B$44,$B622)+S622*SUMIFS(Premissas!$F$5:$F$44,Premissas!$A$5:$A$44,$A622,Premissas!$B$5:$B$44,$B622)</f>
        <v/>
      </c>
      <c r="L622" s="29">
        <f>J622-K622</f>
        <v/>
      </c>
      <c r="M622" t="inlineStr">
        <is>
          <t>1.556</t>
        </is>
      </c>
      <c r="O622" s="29" t="n">
        <v>0</v>
      </c>
      <c r="P622" s="29" t="n">
        <v>0</v>
      </c>
      <c r="Q622" s="29" t="n">
        <v>0</v>
      </c>
      <c r="R622" s="29" t="n">
        <v>0</v>
      </c>
      <c r="S622" s="29" t="n">
        <v>0</v>
      </c>
      <c r="T622" t="inlineStr">
        <is>
          <t>25260458715917000152550010000009181175142668</t>
        </is>
      </c>
      <c r="U622" t="inlineStr">
        <is>
          <t>Sim</t>
        </is>
      </c>
    </row>
    <row r="623">
      <c r="A623" t="inlineStr">
        <is>
          <t>Uso e consumo</t>
        </is>
      </c>
      <c r="B623" t="inlineStr">
        <is>
          <t>2.04.91 Compra de Material de Limpeza</t>
        </is>
      </c>
      <c r="C623" s="30" t="n">
        <v>46113</v>
      </c>
      <c r="D623" t="inlineStr">
        <is>
          <t>Em 2026</t>
        </is>
      </c>
      <c r="E623" s="28" t="n">
        <v>46142</v>
      </c>
      <c r="F623" t="inlineStr">
        <is>
          <t>NF-e</t>
        </is>
      </c>
      <c r="G623" t="inlineStr">
        <is>
          <t>000000640</t>
        </is>
      </c>
      <c r="H623" t="inlineStr">
        <is>
          <t>SUZANNY SILVINO LEMOS</t>
        </is>
      </c>
      <c r="I623" t="inlineStr">
        <is>
          <t>31.533.886/0001-62</t>
        </is>
      </c>
      <c r="J623" s="29" t="n">
        <v>208</v>
      </c>
      <c r="K623" s="29">
        <f>(1-ISNUMBER(SEARCH("556",M623)))*(O623*SUMIFS(Premissas!$C$5:$C$44,Premissas!$A$5:$A$44,$A623,Premissas!$B$5:$B$44,$B623)+P623*SUMIFS(Premissas!$D$5:$D$44,Premissas!$A$5:$A$44,$A623,Premissas!$B$5:$B$44,$B623))+R623*SUMIFS(Premissas!$E$5:$E$44,Premissas!$A$5:$A$44,$A623,Premissas!$B$5:$B$44,$B623)+S623*SUMIFS(Premissas!$F$5:$F$44,Premissas!$A$5:$A$44,$A623,Premissas!$B$5:$B$44,$B623)</f>
        <v/>
      </c>
      <c r="L623" s="29">
        <f>J623-K623</f>
        <v/>
      </c>
      <c r="M623" t="inlineStr">
        <is>
          <t>1.556</t>
        </is>
      </c>
      <c r="O623" s="29" t="n">
        <v>0</v>
      </c>
      <c r="P623" s="29" t="n">
        <v>0</v>
      </c>
      <c r="Q623" s="29" t="n">
        <v>0</v>
      </c>
      <c r="R623" s="29" t="n">
        <v>0</v>
      </c>
      <c r="S623" s="29" t="n">
        <v>0</v>
      </c>
      <c r="T623" t="inlineStr">
        <is>
          <t>25260431533886000162550010000006401000972038</t>
        </is>
      </c>
      <c r="U623" t="inlineStr">
        <is>
          <t>Sim</t>
        </is>
      </c>
    </row>
    <row r="624">
      <c r="A624" t="inlineStr">
        <is>
          <t>Uso e consumo</t>
        </is>
      </c>
      <c r="B624" t="inlineStr">
        <is>
          <t>2.04.91 Compra de Material de Limpeza</t>
        </is>
      </c>
      <c r="C624" s="30" t="n">
        <v>46143</v>
      </c>
      <c r="D624" t="inlineStr">
        <is>
          <t>Em 2026</t>
        </is>
      </c>
      <c r="E624" s="28" t="n">
        <v>46149</v>
      </c>
      <c r="F624" t="inlineStr">
        <is>
          <t>NF-e</t>
        </is>
      </c>
      <c r="G624" t="inlineStr">
        <is>
          <t>000001035</t>
        </is>
      </c>
      <c r="H624" t="inlineStr">
        <is>
          <t>Limptech Paper Comercio Ltda</t>
        </is>
      </c>
      <c r="I624" t="inlineStr">
        <is>
          <t>58.715.917/0001-52</t>
        </is>
      </c>
      <c r="J624" s="29" t="n">
        <v>1255.05</v>
      </c>
      <c r="K624" s="29">
        <f>(1-ISNUMBER(SEARCH("556",M624)))*(O624*SUMIFS(Premissas!$C$5:$C$44,Premissas!$A$5:$A$44,$A624,Premissas!$B$5:$B$44,$B624)+P624*SUMIFS(Premissas!$D$5:$D$44,Premissas!$A$5:$A$44,$A624,Premissas!$B$5:$B$44,$B624))+R624*SUMIFS(Premissas!$E$5:$E$44,Premissas!$A$5:$A$44,$A624,Premissas!$B$5:$B$44,$B624)+S624*SUMIFS(Premissas!$F$5:$F$44,Premissas!$A$5:$A$44,$A624,Premissas!$B$5:$B$44,$B624)</f>
        <v/>
      </c>
      <c r="L624" s="29">
        <f>J624-K624</f>
        <v/>
      </c>
      <c r="M624" t="inlineStr">
        <is>
          <t>1.102, 1.556</t>
        </is>
      </c>
      <c r="O624" s="29" t="n">
        <v>0</v>
      </c>
      <c r="P624" s="29" t="n">
        <v>0</v>
      </c>
      <c r="Q624" s="29" t="n">
        <v>0</v>
      </c>
      <c r="R624" s="29" t="n">
        <v>0</v>
      </c>
      <c r="S624" s="29" t="n">
        <v>0</v>
      </c>
      <c r="T624" t="inlineStr">
        <is>
          <t>25260558715917000152550010000010351479409486</t>
        </is>
      </c>
      <c r="U624" t="inlineStr">
        <is>
          <t>Sim</t>
        </is>
      </c>
    </row>
    <row r="625">
      <c r="A625" t="inlineStr">
        <is>
          <t>Uso e consumo</t>
        </is>
      </c>
      <c r="B625" t="inlineStr">
        <is>
          <t>2.04.91 Compra de Material de Limpeza</t>
        </is>
      </c>
      <c r="C625" s="30" t="n">
        <v>46143</v>
      </c>
      <c r="D625" t="inlineStr">
        <is>
          <t>Em 2026</t>
        </is>
      </c>
      <c r="E625" s="28" t="n">
        <v>46149</v>
      </c>
      <c r="F625" t="inlineStr">
        <is>
          <t>NF-e</t>
        </is>
      </c>
      <c r="G625" t="inlineStr">
        <is>
          <t>000001036</t>
        </is>
      </c>
      <c r="H625" t="inlineStr">
        <is>
          <t>Limptech Paper Comercio Ltda</t>
        </is>
      </c>
      <c r="I625" t="inlineStr">
        <is>
          <t>58.715.917/0001-52</t>
        </is>
      </c>
      <c r="J625" s="29" t="n">
        <v>1617.6</v>
      </c>
      <c r="K625" s="29">
        <f>(1-ISNUMBER(SEARCH("556",M625)))*(O625*SUMIFS(Premissas!$C$5:$C$44,Premissas!$A$5:$A$44,$A625,Premissas!$B$5:$B$44,$B625)+P625*SUMIFS(Premissas!$D$5:$D$44,Premissas!$A$5:$A$44,$A625,Premissas!$B$5:$B$44,$B625))+R625*SUMIFS(Premissas!$E$5:$E$44,Premissas!$A$5:$A$44,$A625,Premissas!$B$5:$B$44,$B625)+S625*SUMIFS(Premissas!$F$5:$F$44,Premissas!$A$5:$A$44,$A625,Premissas!$B$5:$B$44,$B625)</f>
        <v/>
      </c>
      <c r="L625" s="29">
        <f>J625-K625</f>
        <v/>
      </c>
      <c r="M625" t="inlineStr">
        <is>
          <t>1.102, 1.556</t>
        </is>
      </c>
      <c r="O625" s="29" t="n">
        <v>0</v>
      </c>
      <c r="P625" s="29" t="n">
        <v>0</v>
      </c>
      <c r="Q625" s="29" t="n">
        <v>0</v>
      </c>
      <c r="R625" s="29" t="n">
        <v>0</v>
      </c>
      <c r="S625" s="29" t="n">
        <v>0</v>
      </c>
      <c r="T625" t="inlineStr">
        <is>
          <t>25260558715917000152550010000010361309789013</t>
        </is>
      </c>
      <c r="U625" t="inlineStr">
        <is>
          <t>Sim</t>
        </is>
      </c>
    </row>
    <row r="626">
      <c r="A626" t="inlineStr">
        <is>
          <t>Uso e consumo</t>
        </is>
      </c>
      <c r="B626" t="inlineStr">
        <is>
          <t>2.04.91 Compra de Material de Limpeza</t>
        </is>
      </c>
      <c r="C626" s="30" t="n">
        <v>46143</v>
      </c>
      <c r="D626" t="inlineStr">
        <is>
          <t>Em 2026</t>
        </is>
      </c>
      <c r="E626" s="28" t="n">
        <v>46170</v>
      </c>
      <c r="F626" t="inlineStr">
        <is>
          <t>NF-e</t>
        </is>
      </c>
      <c r="G626" t="inlineStr">
        <is>
          <t>000001106</t>
        </is>
      </c>
      <c r="H626" t="inlineStr">
        <is>
          <t>Limptech Paper Comercio Ltda</t>
        </is>
      </c>
      <c r="I626" t="inlineStr">
        <is>
          <t>58.715.917/0001-52</t>
        </is>
      </c>
      <c r="J626" s="29" t="n">
        <v>3620.8</v>
      </c>
      <c r="K626" s="29">
        <f>(1-ISNUMBER(SEARCH("556",M626)))*(O626*SUMIFS(Premissas!$C$5:$C$44,Premissas!$A$5:$A$44,$A626,Premissas!$B$5:$B$44,$B626)+P626*SUMIFS(Premissas!$D$5:$D$44,Premissas!$A$5:$A$44,$A626,Premissas!$B$5:$B$44,$B626))+R626*SUMIFS(Premissas!$E$5:$E$44,Premissas!$A$5:$A$44,$A626,Premissas!$B$5:$B$44,$B626)+S626*SUMIFS(Premissas!$F$5:$F$44,Premissas!$A$5:$A$44,$A626,Premissas!$B$5:$B$44,$B626)</f>
        <v/>
      </c>
      <c r="L626" s="29">
        <f>J626-K626</f>
        <v/>
      </c>
      <c r="M626" t="inlineStr">
        <is>
          <t>1.556</t>
        </is>
      </c>
      <c r="O626" s="29" t="n">
        <v>0</v>
      </c>
      <c r="P626" s="29" t="n">
        <v>0</v>
      </c>
      <c r="Q626" s="29" t="n">
        <v>0</v>
      </c>
      <c r="R626" s="29" t="n">
        <v>0</v>
      </c>
      <c r="S626" s="29" t="n">
        <v>0</v>
      </c>
      <c r="T626" t="inlineStr">
        <is>
          <t>25260558715917000152550010000011061297916726</t>
        </is>
      </c>
      <c r="U626" t="inlineStr">
        <is>
          <t>Sim</t>
        </is>
      </c>
    </row>
    <row r="627">
      <c r="A627" t="inlineStr">
        <is>
          <t>Uso e consumo</t>
        </is>
      </c>
      <c r="B627" t="inlineStr">
        <is>
          <t>2.04.91 Compra de Material de Limpeza</t>
        </is>
      </c>
      <c r="C627" s="30" t="n">
        <v>46143</v>
      </c>
      <c r="D627" t="inlineStr">
        <is>
          <t>Em 2026</t>
        </is>
      </c>
      <c r="E627" s="28" t="n">
        <v>46170</v>
      </c>
      <c r="F627" t="inlineStr">
        <is>
          <t>NF-e</t>
        </is>
      </c>
      <c r="G627" t="inlineStr">
        <is>
          <t>000001107</t>
        </is>
      </c>
      <c r="H627" t="inlineStr">
        <is>
          <t>Limptech Paper Comercio Ltda</t>
        </is>
      </c>
      <c r="I627" t="inlineStr">
        <is>
          <t>58.715.917/0001-52</t>
        </is>
      </c>
      <c r="J627" s="29" t="n">
        <v>1025.1</v>
      </c>
      <c r="K627" s="29">
        <f>(1-ISNUMBER(SEARCH("556",M627)))*(O627*SUMIFS(Premissas!$C$5:$C$44,Premissas!$A$5:$A$44,$A627,Premissas!$B$5:$B$44,$B627)+P627*SUMIFS(Premissas!$D$5:$D$44,Premissas!$A$5:$A$44,$A627,Premissas!$B$5:$B$44,$B627))+R627*SUMIFS(Premissas!$E$5:$E$44,Premissas!$A$5:$A$44,$A627,Premissas!$B$5:$B$44,$B627)+S627*SUMIFS(Premissas!$F$5:$F$44,Premissas!$A$5:$A$44,$A627,Premissas!$B$5:$B$44,$B627)</f>
        <v/>
      </c>
      <c r="L627" s="29">
        <f>J627-K627</f>
        <v/>
      </c>
      <c r="M627" t="inlineStr">
        <is>
          <t>1.102, 1.556</t>
        </is>
      </c>
      <c r="O627" s="29" t="n">
        <v>0</v>
      </c>
      <c r="P627" s="29" t="n">
        <v>0</v>
      </c>
      <c r="Q627" s="29" t="n">
        <v>0</v>
      </c>
      <c r="R627" s="29" t="n">
        <v>0</v>
      </c>
      <c r="S627" s="29" t="n">
        <v>0</v>
      </c>
      <c r="T627" t="inlineStr">
        <is>
          <t>25260558715917000152550010000011071590021491</t>
        </is>
      </c>
      <c r="U627" t="inlineStr">
        <is>
          <t>Sim</t>
        </is>
      </c>
    </row>
    <row r="628">
      <c r="A628" t="inlineStr">
        <is>
          <t>Uso e consumo</t>
        </is>
      </c>
      <c r="B628" t="inlineStr">
        <is>
          <t>2.04.91 Compra de Material de Limpeza</t>
        </is>
      </c>
      <c r="C628" s="30" t="n">
        <v>46143</v>
      </c>
      <c r="D628" t="inlineStr">
        <is>
          <t>Em 2026</t>
        </is>
      </c>
      <c r="E628" s="28" t="n">
        <v>46163</v>
      </c>
      <c r="F628" t="inlineStr">
        <is>
          <t>NF-e</t>
        </is>
      </c>
      <c r="G628" t="inlineStr">
        <is>
          <t>000358284</t>
        </is>
      </c>
      <c r="H628" t="inlineStr">
        <is>
          <t>PARAIBA PLAST COMERCIAL EIRELI</t>
        </is>
      </c>
      <c r="I628" t="inlineStr">
        <is>
          <t>22.967.449/0001-66</t>
        </is>
      </c>
      <c r="J628" s="29" t="n">
        <v>242</v>
      </c>
      <c r="K628" s="29">
        <f>(1-ISNUMBER(SEARCH("556",M628)))*(O628*SUMIFS(Premissas!$C$5:$C$44,Premissas!$A$5:$A$44,$A628,Premissas!$B$5:$B$44,$B628)+P628*SUMIFS(Premissas!$D$5:$D$44,Premissas!$A$5:$A$44,$A628,Premissas!$B$5:$B$44,$B628))+R628*SUMIFS(Premissas!$E$5:$E$44,Premissas!$A$5:$A$44,$A628,Premissas!$B$5:$B$44,$B628)+S628*SUMIFS(Premissas!$F$5:$F$44,Premissas!$A$5:$A$44,$A628,Premissas!$B$5:$B$44,$B628)</f>
        <v/>
      </c>
      <c r="L628" s="29">
        <f>J628-K628</f>
        <v/>
      </c>
      <c r="M628" t="inlineStr">
        <is>
          <t>1.556</t>
        </is>
      </c>
      <c r="O628" s="29" t="n">
        <v>0</v>
      </c>
      <c r="P628" s="29" t="n">
        <v>48.4</v>
      </c>
      <c r="Q628" s="29" t="n">
        <v>0</v>
      </c>
      <c r="R628" s="29" t="n">
        <v>3.16</v>
      </c>
      <c r="S628" s="29" t="n">
        <v>14.56</v>
      </c>
      <c r="T628" t="inlineStr">
        <is>
          <t>25260522967449000166550010003582841771744715</t>
        </is>
      </c>
      <c r="U628" t="inlineStr">
        <is>
          <t>Sim</t>
        </is>
      </c>
    </row>
    <row r="629">
      <c r="A629" t="inlineStr">
        <is>
          <t>Uso e consumo</t>
        </is>
      </c>
      <c r="B629" t="inlineStr">
        <is>
          <t>2.04.91 Compra de Material de Limpeza</t>
        </is>
      </c>
      <c r="C629" s="30" t="n">
        <v>46174</v>
      </c>
      <c r="D629" t="inlineStr">
        <is>
          <t>Em 2026</t>
        </is>
      </c>
      <c r="E629" s="28" t="n">
        <v>46183</v>
      </c>
      <c r="F629" t="inlineStr">
        <is>
          <t>NF-e</t>
        </is>
      </c>
      <c r="G629" t="inlineStr">
        <is>
          <t>000010234</t>
        </is>
      </c>
      <c r="H629" t="inlineStr">
        <is>
          <t>BLEED S IND. E COM. DE PRODUTOS QUIMICOS E LUBRIF. LTDA</t>
        </is>
      </c>
      <c r="I629" t="inlineStr">
        <is>
          <t>64.534.787/0001-54</t>
        </is>
      </c>
      <c r="J629" s="29" t="n">
        <v>890</v>
      </c>
      <c r="K629" s="29">
        <f>(1-ISNUMBER(SEARCH("556",M629)))*(O629*SUMIFS(Premissas!$C$5:$C$44,Premissas!$A$5:$A$44,$A629,Premissas!$B$5:$B$44,$B629)+P629*SUMIFS(Premissas!$D$5:$D$44,Premissas!$A$5:$A$44,$A629,Premissas!$B$5:$B$44,$B629))+R629*SUMIFS(Premissas!$E$5:$E$44,Premissas!$A$5:$A$44,$A629,Premissas!$B$5:$B$44,$B629)+S629*SUMIFS(Premissas!$F$5:$F$44,Premissas!$A$5:$A$44,$A629,Premissas!$B$5:$B$44,$B629)</f>
        <v/>
      </c>
      <c r="L629" s="29">
        <f>J629-K629</f>
        <v/>
      </c>
      <c r="M629" t="inlineStr">
        <is>
          <t>1.556</t>
        </is>
      </c>
      <c r="O629" s="29" t="n">
        <v>0</v>
      </c>
      <c r="P629" s="29" t="n">
        <v>0</v>
      </c>
      <c r="Q629" s="29" t="n">
        <v>0</v>
      </c>
      <c r="R629" s="29" t="n">
        <v>0</v>
      </c>
      <c r="S629" s="29" t="n">
        <v>0</v>
      </c>
      <c r="T629" t="inlineStr">
        <is>
          <t>35260664534787000154550010000102341000010248</t>
        </is>
      </c>
      <c r="U629" t="inlineStr">
        <is>
          <t>Sim</t>
        </is>
      </c>
    </row>
    <row r="630">
      <c r="A630" t="inlineStr">
        <is>
          <t>Uso e consumo</t>
        </is>
      </c>
      <c r="B630" t="inlineStr">
        <is>
          <t>2.04.91 Compra de Material de Limpeza</t>
        </is>
      </c>
      <c r="C630" s="30" t="n">
        <v>46174</v>
      </c>
      <c r="D630" t="inlineStr">
        <is>
          <t>Em 2026</t>
        </is>
      </c>
      <c r="E630" s="28" t="n">
        <v>46178</v>
      </c>
      <c r="F630" t="inlineStr">
        <is>
          <t>NF-e</t>
        </is>
      </c>
      <c r="G630" t="inlineStr">
        <is>
          <t>000001139</t>
        </is>
      </c>
      <c r="H630" t="inlineStr">
        <is>
          <t>Limptech Paper Comercio Ltda</t>
        </is>
      </c>
      <c r="I630" t="inlineStr">
        <is>
          <t>58.715.917/0001-52</t>
        </is>
      </c>
      <c r="J630" s="29" t="n">
        <v>1626.45</v>
      </c>
      <c r="K630" s="29">
        <f>(1-ISNUMBER(SEARCH("556",M630)))*(O630*SUMIFS(Premissas!$C$5:$C$44,Premissas!$A$5:$A$44,$A630,Premissas!$B$5:$B$44,$B630)+P630*SUMIFS(Premissas!$D$5:$D$44,Premissas!$A$5:$A$44,$A630,Premissas!$B$5:$B$44,$B630))+R630*SUMIFS(Premissas!$E$5:$E$44,Premissas!$A$5:$A$44,$A630,Premissas!$B$5:$B$44,$B630)+S630*SUMIFS(Premissas!$F$5:$F$44,Premissas!$A$5:$A$44,$A630,Premissas!$B$5:$B$44,$B630)</f>
        <v/>
      </c>
      <c r="L630" s="29">
        <f>J630-K630</f>
        <v/>
      </c>
      <c r="M630" t="inlineStr">
        <is>
          <t>1.102, 1.556</t>
        </is>
      </c>
      <c r="O630" s="29" t="n">
        <v>0</v>
      </c>
      <c r="P630" s="29" t="n">
        <v>0</v>
      </c>
      <c r="Q630" s="29" t="n">
        <v>0</v>
      </c>
      <c r="R630" s="29" t="n">
        <v>0</v>
      </c>
      <c r="S630" s="29" t="n">
        <v>0</v>
      </c>
      <c r="T630" t="inlineStr">
        <is>
          <t>25260658715917000152550010000011391998644905</t>
        </is>
      </c>
      <c r="U630" t="inlineStr">
        <is>
          <t>Sim</t>
        </is>
      </c>
    </row>
    <row r="631">
      <c r="A631" t="inlineStr">
        <is>
          <t>Uso e consumo</t>
        </is>
      </c>
      <c r="B631" t="inlineStr">
        <is>
          <t>2.04.91 Compra de Material de Limpeza</t>
        </is>
      </c>
      <c r="C631" s="30" t="n">
        <v>46174</v>
      </c>
      <c r="D631" t="inlineStr">
        <is>
          <t>Em 2026</t>
        </is>
      </c>
      <c r="E631" s="28" t="n">
        <v>46199</v>
      </c>
      <c r="F631" t="inlineStr">
        <is>
          <t>NF-e</t>
        </is>
      </c>
      <c r="G631" t="inlineStr">
        <is>
          <t>000001221</t>
        </is>
      </c>
      <c r="H631" t="inlineStr">
        <is>
          <t>Limptech Paper Comercio Ltda</t>
        </is>
      </c>
      <c r="I631" t="inlineStr">
        <is>
          <t>58.715.917/0001-52</t>
        </is>
      </c>
      <c r="J631" s="29" t="n">
        <v>1128.1</v>
      </c>
      <c r="K631" s="29">
        <f>(1-ISNUMBER(SEARCH("556",M631)))*(O631*SUMIFS(Premissas!$C$5:$C$44,Premissas!$A$5:$A$44,$A631,Premissas!$B$5:$B$44,$B631)+P631*SUMIFS(Premissas!$D$5:$D$44,Premissas!$A$5:$A$44,$A631,Premissas!$B$5:$B$44,$B631))+R631*SUMIFS(Premissas!$E$5:$E$44,Premissas!$A$5:$A$44,$A631,Premissas!$B$5:$B$44,$B631)+S631*SUMIFS(Premissas!$F$5:$F$44,Premissas!$A$5:$A$44,$A631,Premissas!$B$5:$B$44,$B631)</f>
        <v/>
      </c>
      <c r="L631" s="29">
        <f>J631-K631</f>
        <v/>
      </c>
      <c r="M631" t="inlineStr">
        <is>
          <t>1.556</t>
        </is>
      </c>
      <c r="O631" s="29" t="n">
        <v>0</v>
      </c>
      <c r="P631" s="29" t="n">
        <v>0</v>
      </c>
      <c r="Q631" s="29" t="n">
        <v>0</v>
      </c>
      <c r="R631" s="29" t="n">
        <v>0</v>
      </c>
      <c r="S631" s="29" t="n">
        <v>0</v>
      </c>
      <c r="T631" t="inlineStr">
        <is>
          <t>25260658715917000152550010000012211482418813</t>
        </is>
      </c>
      <c r="U631" t="inlineStr">
        <is>
          <t>Sim</t>
        </is>
      </c>
    </row>
    <row r="632">
      <c r="A632" t="inlineStr">
        <is>
          <t>Uso e consumo</t>
        </is>
      </c>
      <c r="B632" t="inlineStr">
        <is>
          <t>2.04.91 Compra de Material de Limpeza</t>
        </is>
      </c>
      <c r="C632" s="30" t="n">
        <v>46174</v>
      </c>
      <c r="D632" t="inlineStr">
        <is>
          <t>Em 2026</t>
        </is>
      </c>
      <c r="E632" s="28" t="n">
        <v>46184</v>
      </c>
      <c r="F632" t="inlineStr">
        <is>
          <t>NF-e</t>
        </is>
      </c>
      <c r="G632" t="inlineStr">
        <is>
          <t>000360289</t>
        </is>
      </c>
      <c r="H632" t="inlineStr">
        <is>
          <t>OCUBO PAPEIS DESCARTAVEIS E SOLUCOES DE HIGIENE E LIMPEZA LT</t>
        </is>
      </c>
      <c r="I632" t="inlineStr">
        <is>
          <t>21.362.936/0001-32</t>
        </is>
      </c>
      <c r="J632" s="29" t="n">
        <v>52.27</v>
      </c>
      <c r="K632" s="29">
        <f>(1-ISNUMBER(SEARCH("556",M632)))*(O632*SUMIFS(Premissas!$C$5:$C$44,Premissas!$A$5:$A$44,$A632,Premissas!$B$5:$B$44,$B632)+P632*SUMIFS(Premissas!$D$5:$D$44,Premissas!$A$5:$A$44,$A632,Premissas!$B$5:$B$44,$B632))+R632*SUMIFS(Premissas!$E$5:$E$44,Premissas!$A$5:$A$44,$A632,Premissas!$B$5:$B$44,$B632)+S632*SUMIFS(Premissas!$F$5:$F$44,Premissas!$A$5:$A$44,$A632,Premissas!$B$5:$B$44,$B632)</f>
        <v/>
      </c>
      <c r="L632" s="29">
        <f>J632-K632</f>
        <v/>
      </c>
      <c r="M632" t="inlineStr">
        <is>
          <t>1.556</t>
        </is>
      </c>
      <c r="O632" s="29" t="n">
        <v>0</v>
      </c>
      <c r="P632" s="29" t="n">
        <v>0</v>
      </c>
      <c r="Q632" s="29" t="n">
        <v>0</v>
      </c>
      <c r="R632" s="29" t="n">
        <v>0</v>
      </c>
      <c r="S632" s="29" t="n">
        <v>0</v>
      </c>
      <c r="T632" t="inlineStr">
        <is>
          <t>35260621362936000132550040003602891766474952</t>
        </is>
      </c>
      <c r="U632" t="inlineStr">
        <is>
          <t>Sim</t>
        </is>
      </c>
    </row>
    <row r="633">
      <c r="A633" t="inlineStr">
        <is>
          <t>Uso e consumo</t>
        </is>
      </c>
      <c r="B633" t="inlineStr">
        <is>
          <t>2.04.91 Compra de Material de Limpeza</t>
        </is>
      </c>
      <c r="C633" s="30" t="n">
        <v>46204</v>
      </c>
      <c r="D633" t="inlineStr">
        <is>
          <t>Em 2026</t>
        </is>
      </c>
      <c r="E633" s="28" t="n">
        <v>46217</v>
      </c>
      <c r="F633" t="inlineStr">
        <is>
          <t>NF-e</t>
        </is>
      </c>
      <c r="G633" t="inlineStr">
        <is>
          <t>000000008</t>
        </is>
      </c>
      <c r="H633" t="inlineStr">
        <is>
          <t>COSMETICOS ALLIM LTDA</t>
        </is>
      </c>
      <c r="I633" t="inlineStr">
        <is>
          <t>57.377.980/0001-63</t>
        </is>
      </c>
      <c r="J633" s="29" t="n">
        <v>500</v>
      </c>
      <c r="K633" s="29">
        <f>(1-ISNUMBER(SEARCH("556",M633)))*(O633*SUMIFS(Premissas!$C$5:$C$44,Premissas!$A$5:$A$44,$A633,Premissas!$B$5:$B$44,$B633)+P633*SUMIFS(Premissas!$D$5:$D$44,Premissas!$A$5:$A$44,$A633,Premissas!$B$5:$B$44,$B633))+R633*SUMIFS(Premissas!$E$5:$E$44,Premissas!$A$5:$A$44,$A633,Premissas!$B$5:$B$44,$B633)+S633*SUMIFS(Premissas!$F$5:$F$44,Premissas!$A$5:$A$44,$A633,Premissas!$B$5:$B$44,$B633)</f>
        <v/>
      </c>
      <c r="L633" s="29">
        <f>J633-K633</f>
        <v/>
      </c>
      <c r="M633" t="inlineStr">
        <is>
          <t>2.556</t>
        </is>
      </c>
      <c r="O633" s="29" t="n">
        <v>0</v>
      </c>
      <c r="P633" s="29" t="n">
        <v>60</v>
      </c>
      <c r="Q633" s="29" t="n">
        <v>0</v>
      </c>
      <c r="R633" s="29" t="n">
        <v>3.25</v>
      </c>
      <c r="S633" s="29" t="n">
        <v>15</v>
      </c>
      <c r="T633" t="inlineStr">
        <is>
          <t>26260757377980000163550010000000081832970303</t>
        </is>
      </c>
      <c r="U633" t="inlineStr">
        <is>
          <t>Sim</t>
        </is>
      </c>
    </row>
    <row r="634">
      <c r="A634" t="inlineStr">
        <is>
          <t>Uso e consumo</t>
        </is>
      </c>
      <c r="B634" t="inlineStr">
        <is>
          <t>2.04.91 Compra de Material de Limpeza</t>
        </is>
      </c>
      <c r="C634" s="30" t="n">
        <v>46204</v>
      </c>
      <c r="D634" t="inlineStr">
        <is>
          <t>Em 2026</t>
        </is>
      </c>
      <c r="E634" s="28" t="n">
        <v>46209</v>
      </c>
      <c r="F634" t="inlineStr">
        <is>
          <t>NF-e</t>
        </is>
      </c>
      <c r="G634" t="inlineStr">
        <is>
          <t>000001242</t>
        </is>
      </c>
      <c r="H634" t="inlineStr">
        <is>
          <t>Limptech Paper Comercio Ltda</t>
        </is>
      </c>
      <c r="I634" t="inlineStr">
        <is>
          <t>58.715.917/0001-52</t>
        </is>
      </c>
      <c r="J634" s="29" t="n">
        <v>1263.85</v>
      </c>
      <c r="K634" s="29">
        <f>(1-ISNUMBER(SEARCH("556",M634)))*(O634*SUMIFS(Premissas!$C$5:$C$44,Premissas!$A$5:$A$44,$A634,Premissas!$B$5:$B$44,$B634)+P634*SUMIFS(Premissas!$D$5:$D$44,Premissas!$A$5:$A$44,$A634,Premissas!$B$5:$B$44,$B634))+R634*SUMIFS(Premissas!$E$5:$E$44,Premissas!$A$5:$A$44,$A634,Premissas!$B$5:$B$44,$B634)+S634*SUMIFS(Premissas!$F$5:$F$44,Premissas!$A$5:$A$44,$A634,Premissas!$B$5:$B$44,$B634)</f>
        <v/>
      </c>
      <c r="L634" s="29">
        <f>J634-K634</f>
        <v/>
      </c>
      <c r="M634" t="inlineStr">
        <is>
          <t>1.102, 1.556</t>
        </is>
      </c>
      <c r="O634" s="29" t="n">
        <v>0</v>
      </c>
      <c r="P634" s="29" t="n">
        <v>0</v>
      </c>
      <c r="Q634" s="29" t="n">
        <v>0</v>
      </c>
      <c r="R634" s="29" t="n">
        <v>0</v>
      </c>
      <c r="S634" s="29" t="n">
        <v>0</v>
      </c>
      <c r="T634" t="inlineStr">
        <is>
          <t>25260758715917000152550010000012421094225469</t>
        </is>
      </c>
      <c r="U634" t="inlineStr">
        <is>
          <t>Sim</t>
        </is>
      </c>
    </row>
    <row r="635">
      <c r="A635" t="inlineStr">
        <is>
          <t>Uso e consumo</t>
        </is>
      </c>
      <c r="B635" t="inlineStr">
        <is>
          <t>2.04.91 Compra de Material de Limpeza</t>
        </is>
      </c>
      <c r="C635" s="30" t="n">
        <v>46204</v>
      </c>
      <c r="D635" t="inlineStr">
        <is>
          <t>Em 2026</t>
        </is>
      </c>
      <c r="E635" s="28" t="n">
        <v>46210</v>
      </c>
      <c r="F635" t="inlineStr">
        <is>
          <t>NF-e</t>
        </is>
      </c>
      <c r="G635" t="inlineStr">
        <is>
          <t>000001247</t>
        </is>
      </c>
      <c r="H635" t="inlineStr">
        <is>
          <t>Limptech Paper Comercio Ltda</t>
        </is>
      </c>
      <c r="I635" t="inlineStr">
        <is>
          <t>58.715.917/0001-52</t>
        </is>
      </c>
      <c r="J635" s="29" t="n">
        <v>3535.47</v>
      </c>
      <c r="K635" s="29">
        <f>(1-ISNUMBER(SEARCH("556",M635)))*(O635*SUMIFS(Premissas!$C$5:$C$44,Premissas!$A$5:$A$44,$A635,Premissas!$B$5:$B$44,$B635)+P635*SUMIFS(Premissas!$D$5:$D$44,Premissas!$A$5:$A$44,$A635,Premissas!$B$5:$B$44,$B635))+R635*SUMIFS(Premissas!$E$5:$E$44,Premissas!$A$5:$A$44,$A635,Premissas!$B$5:$B$44,$B635)+S635*SUMIFS(Premissas!$F$5:$F$44,Premissas!$A$5:$A$44,$A635,Premissas!$B$5:$B$44,$B635)</f>
        <v/>
      </c>
      <c r="L635" s="29">
        <f>J635-K635</f>
        <v/>
      </c>
      <c r="M635" t="inlineStr">
        <is>
          <t>1.102, 1.556</t>
        </is>
      </c>
      <c r="O635" s="29" t="n">
        <v>0</v>
      </c>
      <c r="P635" s="29" t="n">
        <v>0</v>
      </c>
      <c r="Q635" s="29" t="n">
        <v>0</v>
      </c>
      <c r="R635" s="29" t="n">
        <v>0</v>
      </c>
      <c r="S635" s="29" t="n">
        <v>0</v>
      </c>
      <c r="T635" t="inlineStr">
        <is>
          <t>25260758715917000152550010000012471329181209</t>
        </is>
      </c>
      <c r="U635" t="inlineStr">
        <is>
          <t>Sim</t>
        </is>
      </c>
    </row>
    <row r="636">
      <c r="A636" t="inlineStr">
        <is>
          <t>Uso e consumo</t>
        </is>
      </c>
      <c r="B636" t="inlineStr">
        <is>
          <t>2.04.91 Compra de Material de Limpeza</t>
        </is>
      </c>
      <c r="C636" s="30" t="n">
        <v>46204</v>
      </c>
      <c r="D636" t="inlineStr">
        <is>
          <t>Em 2026</t>
        </is>
      </c>
      <c r="E636" s="28" t="n">
        <v>46227</v>
      </c>
      <c r="F636" t="inlineStr">
        <is>
          <t>NF-e</t>
        </is>
      </c>
      <c r="G636" t="inlineStr">
        <is>
          <t>000001326</t>
        </is>
      </c>
      <c r="H636" t="inlineStr">
        <is>
          <t>Limptech Paper Comercio Ltda</t>
        </is>
      </c>
      <c r="I636" t="inlineStr">
        <is>
          <t>58.715.917/0001-52</t>
        </is>
      </c>
      <c r="J636" s="29" t="n">
        <v>359.5</v>
      </c>
      <c r="K636" s="29">
        <f>(1-ISNUMBER(SEARCH("556",M636)))*(O636*SUMIFS(Premissas!$C$5:$C$44,Premissas!$A$5:$A$44,$A636,Premissas!$B$5:$B$44,$B636)+P636*SUMIFS(Premissas!$D$5:$D$44,Premissas!$A$5:$A$44,$A636,Premissas!$B$5:$B$44,$B636))+R636*SUMIFS(Premissas!$E$5:$E$44,Premissas!$A$5:$A$44,$A636,Premissas!$B$5:$B$44,$B636)+S636*SUMIFS(Premissas!$F$5:$F$44,Premissas!$A$5:$A$44,$A636,Premissas!$B$5:$B$44,$B636)</f>
        <v/>
      </c>
      <c r="L636" s="29">
        <f>J636-K636</f>
        <v/>
      </c>
      <c r="M636" t="inlineStr">
        <is>
          <t>1.102, 1.556</t>
        </is>
      </c>
      <c r="O636" s="29" t="n">
        <v>0</v>
      </c>
      <c r="P636" s="29" t="n">
        <v>0</v>
      </c>
      <c r="Q636" s="29" t="n">
        <v>0</v>
      </c>
      <c r="R636" s="29" t="n">
        <v>0</v>
      </c>
      <c r="S636" s="29" t="n">
        <v>0</v>
      </c>
      <c r="T636" t="inlineStr">
        <is>
          <t>25260758715917000152550010000013261520823592</t>
        </is>
      </c>
      <c r="U636" t="inlineStr">
        <is>
          <t>Sim</t>
        </is>
      </c>
    </row>
    <row r="637">
      <c r="A637" t="inlineStr">
        <is>
          <t>Uso e consumo</t>
        </is>
      </c>
      <c r="B637" t="inlineStr">
        <is>
          <t>2.04.91 Compra de Material de Limpeza</t>
        </is>
      </c>
      <c r="C637" s="30" t="n">
        <v>46235</v>
      </c>
      <c r="D637" t="inlineStr">
        <is>
          <t>Em 2026</t>
        </is>
      </c>
      <c r="E637" s="28" t="n">
        <v>46240</v>
      </c>
      <c r="F637" t="inlineStr">
        <is>
          <t>NF-e</t>
        </is>
      </c>
      <c r="G637" t="inlineStr">
        <is>
          <t>000001368</t>
        </is>
      </c>
      <c r="H637" t="inlineStr">
        <is>
          <t>Limptech Paper Comercio Ltda</t>
        </is>
      </c>
      <c r="I637" t="inlineStr">
        <is>
          <t>58.715.917/0001-52</t>
        </is>
      </c>
      <c r="J637" s="29" t="n">
        <v>3204.6</v>
      </c>
      <c r="K637" s="29">
        <f>(1-ISNUMBER(SEARCH("556",M637)))*(O637*SUMIFS(Premissas!$C$5:$C$44,Premissas!$A$5:$A$44,$A637,Premissas!$B$5:$B$44,$B637)+P637*SUMIFS(Premissas!$D$5:$D$44,Premissas!$A$5:$A$44,$A637,Premissas!$B$5:$B$44,$B637))+R637*SUMIFS(Premissas!$E$5:$E$44,Premissas!$A$5:$A$44,$A637,Premissas!$B$5:$B$44,$B637)+S637*SUMIFS(Premissas!$F$5:$F$44,Premissas!$A$5:$A$44,$A637,Premissas!$B$5:$B$44,$B637)</f>
        <v/>
      </c>
      <c r="L637" s="29">
        <f>J637-K637</f>
        <v/>
      </c>
      <c r="M637" t="inlineStr">
        <is>
          <t>1.556</t>
        </is>
      </c>
      <c r="O637" s="29" t="n">
        <v>0</v>
      </c>
      <c r="P637" s="29" t="n">
        <v>0</v>
      </c>
      <c r="Q637" s="29" t="n">
        <v>0</v>
      </c>
      <c r="R637" s="29" t="n">
        <v>0</v>
      </c>
      <c r="S637" s="29" t="n">
        <v>0</v>
      </c>
      <c r="T637" t="inlineStr">
        <is>
          <t>25260858715917000152550010000013681106578566</t>
        </is>
      </c>
      <c r="U637" t="inlineStr">
        <is>
          <t>Sim</t>
        </is>
      </c>
    </row>
    <row r="638">
      <c r="A638" t="inlineStr">
        <is>
          <t>Uso e consumo</t>
        </is>
      </c>
      <c r="B638" t="inlineStr">
        <is>
          <t>2.04.91 Compra de Material de Limpeza</t>
        </is>
      </c>
      <c r="C638" s="30" t="n">
        <v>46235</v>
      </c>
      <c r="D638" t="inlineStr">
        <is>
          <t>Em 2026</t>
        </is>
      </c>
      <c r="E638" s="28" t="n">
        <v>46254</v>
      </c>
      <c r="F638" t="inlineStr">
        <is>
          <t>NF-e</t>
        </is>
      </c>
      <c r="G638" t="inlineStr">
        <is>
          <t>000001417</t>
        </is>
      </c>
      <c r="H638" t="inlineStr">
        <is>
          <t>Limptech Paper Comercio Ltda</t>
        </is>
      </c>
      <c r="I638" t="inlineStr">
        <is>
          <t>58.715.917/0001-52</t>
        </is>
      </c>
      <c r="J638" s="29" t="n">
        <v>741.95</v>
      </c>
      <c r="K638" s="29">
        <f>(1-ISNUMBER(SEARCH("556",M638)))*(O638*SUMIFS(Premissas!$C$5:$C$44,Premissas!$A$5:$A$44,$A638,Premissas!$B$5:$B$44,$B638)+P638*SUMIFS(Premissas!$D$5:$D$44,Premissas!$A$5:$A$44,$A638,Premissas!$B$5:$B$44,$B638))+R638*SUMIFS(Premissas!$E$5:$E$44,Premissas!$A$5:$A$44,$A638,Premissas!$B$5:$B$44,$B638)+S638*SUMIFS(Premissas!$F$5:$F$44,Premissas!$A$5:$A$44,$A638,Premissas!$B$5:$B$44,$B638)</f>
        <v/>
      </c>
      <c r="L638" s="29">
        <f>J638-K638</f>
        <v/>
      </c>
      <c r="M638" t="inlineStr">
        <is>
          <t>1.556</t>
        </is>
      </c>
      <c r="O638" s="29" t="n">
        <v>0</v>
      </c>
      <c r="P638" s="29" t="n">
        <v>0</v>
      </c>
      <c r="Q638" s="29" t="n">
        <v>0</v>
      </c>
      <c r="R638" s="29" t="n">
        <v>0</v>
      </c>
      <c r="S638" s="29" t="n">
        <v>0</v>
      </c>
      <c r="T638" t="inlineStr">
        <is>
          <t>25260858715917000152550010000014171686424183</t>
        </is>
      </c>
      <c r="U638" t="inlineStr">
        <is>
          <t>Sim</t>
        </is>
      </c>
    </row>
    <row r="639">
      <c r="A639" t="inlineStr">
        <is>
          <t>Uso e consumo</t>
        </is>
      </c>
      <c r="B639" t="inlineStr">
        <is>
          <t>2.04.91 Compra de Material de Limpeza</t>
        </is>
      </c>
      <c r="C639" s="30" t="n">
        <v>46235</v>
      </c>
      <c r="D639" t="inlineStr">
        <is>
          <t>Em 2026</t>
        </is>
      </c>
      <c r="E639" s="28" t="n">
        <v>46255</v>
      </c>
      <c r="F639" t="inlineStr">
        <is>
          <t>NF-e</t>
        </is>
      </c>
      <c r="G639" t="inlineStr">
        <is>
          <t>000001425</t>
        </is>
      </c>
      <c r="H639" t="inlineStr">
        <is>
          <t>Limptech Paper Comercio Ltda</t>
        </is>
      </c>
      <c r="I639" t="inlineStr">
        <is>
          <t>58.715.917/0001-52</t>
        </is>
      </c>
      <c r="J639" s="29" t="n">
        <v>726</v>
      </c>
      <c r="K639" s="29">
        <f>(1-ISNUMBER(SEARCH("556",M639)))*(O639*SUMIFS(Premissas!$C$5:$C$44,Premissas!$A$5:$A$44,$A639,Premissas!$B$5:$B$44,$B639)+P639*SUMIFS(Premissas!$D$5:$D$44,Premissas!$A$5:$A$44,$A639,Premissas!$B$5:$B$44,$B639))+R639*SUMIFS(Premissas!$E$5:$E$44,Premissas!$A$5:$A$44,$A639,Premissas!$B$5:$B$44,$B639)+S639*SUMIFS(Premissas!$F$5:$F$44,Premissas!$A$5:$A$44,$A639,Premissas!$B$5:$B$44,$B639)</f>
        <v/>
      </c>
      <c r="L639" s="29">
        <f>J639-K639</f>
        <v/>
      </c>
      <c r="M639" t="inlineStr">
        <is>
          <t>1.556</t>
        </is>
      </c>
      <c r="O639" s="29" t="n">
        <v>0</v>
      </c>
      <c r="P639" s="29" t="n">
        <v>0</v>
      </c>
      <c r="Q639" s="29" t="n">
        <v>0</v>
      </c>
      <c r="R639" s="29" t="n">
        <v>0</v>
      </c>
      <c r="S639" s="29" t="n">
        <v>0</v>
      </c>
      <c r="T639" t="inlineStr">
        <is>
          <t>25260858715917000152550010000014251060450633</t>
        </is>
      </c>
      <c r="U639" t="inlineStr">
        <is>
          <t>Sim</t>
        </is>
      </c>
    </row>
    <row r="640">
      <c r="A640" t="inlineStr">
        <is>
          <t>Uso e consumo</t>
        </is>
      </c>
      <c r="B640" t="inlineStr">
        <is>
          <t>2.04.91 Compra de Material de Limpeza</t>
        </is>
      </c>
      <c r="C640" s="30" t="n">
        <v>46266</v>
      </c>
      <c r="D640" t="inlineStr">
        <is>
          <t>Em 2026</t>
        </is>
      </c>
      <c r="E640" s="28" t="n">
        <v>46266</v>
      </c>
      <c r="F640" t="inlineStr">
        <is>
          <t>NF-e</t>
        </is>
      </c>
      <c r="G640" t="inlineStr">
        <is>
          <t>000010435</t>
        </is>
      </c>
      <c r="H640" t="inlineStr">
        <is>
          <t>BLEED S IND. E COM. DE PRODUTOS QUIMICOS E LUBRIF. LTDA</t>
        </is>
      </c>
      <c r="I640" t="inlineStr">
        <is>
          <t>64.534.787/0001-54</t>
        </is>
      </c>
      <c r="J640" s="29" t="n">
        <v>890</v>
      </c>
      <c r="K640" s="29">
        <f>(1-ISNUMBER(SEARCH("556",M640)))*(O640*SUMIFS(Premissas!$C$5:$C$44,Premissas!$A$5:$A$44,$A640,Premissas!$B$5:$B$44,$B640)+P640*SUMIFS(Premissas!$D$5:$D$44,Premissas!$A$5:$A$44,$A640,Premissas!$B$5:$B$44,$B640))+R640*SUMIFS(Premissas!$E$5:$E$44,Premissas!$A$5:$A$44,$A640,Premissas!$B$5:$B$44,$B640)+S640*SUMIFS(Premissas!$F$5:$F$44,Premissas!$A$5:$A$44,$A640,Premissas!$B$5:$B$44,$B640)</f>
        <v/>
      </c>
      <c r="L640" s="29">
        <f>J640-K640</f>
        <v/>
      </c>
      <c r="M640" t="inlineStr">
        <is>
          <t>1.556</t>
        </is>
      </c>
      <c r="O640" s="29" t="n">
        <v>0</v>
      </c>
      <c r="P640" s="29" t="n">
        <v>0</v>
      </c>
      <c r="Q640" s="29" t="n">
        <v>0</v>
      </c>
      <c r="R640" s="29" t="n">
        <v>0</v>
      </c>
      <c r="S640" s="29" t="n">
        <v>0</v>
      </c>
      <c r="T640" t="inlineStr">
        <is>
          <t>35260964534787000154550010000104351000010441</t>
        </is>
      </c>
      <c r="U640" t="inlineStr">
        <is>
          <t>Sim</t>
        </is>
      </c>
    </row>
    <row r="641">
      <c r="A641" t="inlineStr">
        <is>
          <t>Uso e consumo</t>
        </is>
      </c>
      <c r="B641" t="inlineStr">
        <is>
          <t>2.04.91 Compra de Material de Limpeza</t>
        </is>
      </c>
      <c r="C641" s="30" t="n">
        <v>46266</v>
      </c>
      <c r="D641" t="inlineStr">
        <is>
          <t>Em 2026</t>
        </is>
      </c>
      <c r="E641" s="28" t="n">
        <v>46269</v>
      </c>
      <c r="F641" t="inlineStr">
        <is>
          <t>NF-e</t>
        </is>
      </c>
      <c r="G641" t="inlineStr">
        <is>
          <t>000001487</t>
        </is>
      </c>
      <c r="H641" t="inlineStr">
        <is>
          <t>Limptech Paper Comercio Ltda</t>
        </is>
      </c>
      <c r="I641" t="inlineStr">
        <is>
          <t>58.715.917/0001-52</t>
        </is>
      </c>
      <c r="J641" s="29" t="n">
        <v>3118.5</v>
      </c>
      <c r="K641" s="29">
        <f>(1-ISNUMBER(SEARCH("556",M641)))*(O641*SUMIFS(Premissas!$C$5:$C$44,Premissas!$A$5:$A$44,$A641,Premissas!$B$5:$B$44,$B641)+P641*SUMIFS(Premissas!$D$5:$D$44,Premissas!$A$5:$A$44,$A641,Premissas!$B$5:$B$44,$B641))+R641*SUMIFS(Premissas!$E$5:$E$44,Premissas!$A$5:$A$44,$A641,Premissas!$B$5:$B$44,$B641)+S641*SUMIFS(Premissas!$F$5:$F$44,Premissas!$A$5:$A$44,$A641,Premissas!$B$5:$B$44,$B641)</f>
        <v/>
      </c>
      <c r="L641" s="29">
        <f>J641-K641</f>
        <v/>
      </c>
      <c r="M641" t="inlineStr">
        <is>
          <t>1.102, 1.556</t>
        </is>
      </c>
      <c r="O641" s="29" t="n">
        <v>0</v>
      </c>
      <c r="P641" s="29" t="n">
        <v>0</v>
      </c>
      <c r="Q641" s="29" t="n">
        <v>0</v>
      </c>
      <c r="R641" s="29" t="n">
        <v>0</v>
      </c>
      <c r="S641" s="29" t="n">
        <v>0</v>
      </c>
      <c r="T641" t="inlineStr">
        <is>
          <t>25260958715917000152550010000014871636451401</t>
        </is>
      </c>
      <c r="U641" t="inlineStr">
        <is>
          <t>Sim</t>
        </is>
      </c>
    </row>
    <row r="642">
      <c r="A642" t="inlineStr">
        <is>
          <t>Uso e consumo</t>
        </is>
      </c>
      <c r="B642" t="inlineStr">
        <is>
          <t>2.04.91 Compra de Material de Limpeza</t>
        </is>
      </c>
      <c r="C642" s="30" t="n">
        <v>46266</v>
      </c>
      <c r="D642" t="inlineStr">
        <is>
          <t>Em 2026</t>
        </is>
      </c>
      <c r="E642" s="28" t="n">
        <v>46281</v>
      </c>
      <c r="F642" t="inlineStr">
        <is>
          <t>NF-e</t>
        </is>
      </c>
      <c r="G642" t="inlineStr">
        <is>
          <t>000001531</t>
        </is>
      </c>
      <c r="H642" t="inlineStr">
        <is>
          <t>Limptech Paper Comercio Ltda</t>
        </is>
      </c>
      <c r="I642" t="inlineStr">
        <is>
          <t>58.715.917/0001-52</t>
        </is>
      </c>
      <c r="J642" s="29" t="n">
        <v>137.25</v>
      </c>
      <c r="K642" s="29">
        <f>(1-ISNUMBER(SEARCH("556",M642)))*(O642*SUMIFS(Premissas!$C$5:$C$44,Premissas!$A$5:$A$44,$A642,Premissas!$B$5:$B$44,$B642)+P642*SUMIFS(Premissas!$D$5:$D$44,Premissas!$A$5:$A$44,$A642,Premissas!$B$5:$B$44,$B642))+R642*SUMIFS(Premissas!$E$5:$E$44,Premissas!$A$5:$A$44,$A642,Premissas!$B$5:$B$44,$B642)+S642*SUMIFS(Premissas!$F$5:$F$44,Premissas!$A$5:$A$44,$A642,Premissas!$B$5:$B$44,$B642)</f>
        <v/>
      </c>
      <c r="L642" s="29">
        <f>J642-K642</f>
        <v/>
      </c>
      <c r="M642" t="inlineStr">
        <is>
          <t>1.556</t>
        </is>
      </c>
      <c r="O642" s="29" t="n">
        <v>0</v>
      </c>
      <c r="P642" s="29" t="n">
        <v>0</v>
      </c>
      <c r="Q642" s="29" t="n">
        <v>0</v>
      </c>
      <c r="R642" s="29" t="n">
        <v>0</v>
      </c>
      <c r="S642" s="29" t="n">
        <v>0</v>
      </c>
      <c r="T642" t="inlineStr">
        <is>
          <t>25260958715917000152550010000015311443286930</t>
        </is>
      </c>
      <c r="U642" t="inlineStr">
        <is>
          <t>Sim</t>
        </is>
      </c>
    </row>
    <row r="643">
      <c r="A643" t="inlineStr">
        <is>
          <t>Uso e consumo</t>
        </is>
      </c>
      <c r="B643" t="inlineStr">
        <is>
          <t>2.04.91 Compra de Material de Limpeza</t>
        </is>
      </c>
      <c r="C643" s="30" t="n">
        <v>46266</v>
      </c>
      <c r="D643" t="inlineStr">
        <is>
          <t>Em 2026</t>
        </is>
      </c>
      <c r="E643" s="28" t="n">
        <v>46282</v>
      </c>
      <c r="F643" t="inlineStr">
        <is>
          <t>NF-e</t>
        </is>
      </c>
      <c r="G643" t="inlineStr">
        <is>
          <t>000001541</t>
        </is>
      </c>
      <c r="H643" t="inlineStr">
        <is>
          <t>Limptech Paper Comercio Ltda</t>
        </is>
      </c>
      <c r="I643" t="inlineStr">
        <is>
          <t>58.715.917/0001-52</t>
        </is>
      </c>
      <c r="J643" s="29" t="n">
        <v>549</v>
      </c>
      <c r="K643" s="29">
        <f>(1-ISNUMBER(SEARCH("556",M643)))*(O643*SUMIFS(Premissas!$C$5:$C$44,Premissas!$A$5:$A$44,$A643,Premissas!$B$5:$B$44,$B643)+P643*SUMIFS(Premissas!$D$5:$D$44,Premissas!$A$5:$A$44,$A643,Premissas!$B$5:$B$44,$B643))+R643*SUMIFS(Premissas!$E$5:$E$44,Premissas!$A$5:$A$44,$A643,Premissas!$B$5:$B$44,$B643)+S643*SUMIFS(Premissas!$F$5:$F$44,Premissas!$A$5:$A$44,$A643,Premissas!$B$5:$B$44,$B643)</f>
        <v/>
      </c>
      <c r="L643" s="29">
        <f>J643-K643</f>
        <v/>
      </c>
      <c r="M643" t="inlineStr">
        <is>
          <t>1.556</t>
        </is>
      </c>
      <c r="O643" s="29" t="n">
        <v>0</v>
      </c>
      <c r="P643" s="29" t="n">
        <v>0</v>
      </c>
      <c r="Q643" s="29" t="n">
        <v>0</v>
      </c>
      <c r="R643" s="29" t="n">
        <v>0</v>
      </c>
      <c r="S643" s="29" t="n">
        <v>0</v>
      </c>
      <c r="T643" t="inlineStr">
        <is>
          <t>25260958715917000152550010000015411558439794</t>
        </is>
      </c>
      <c r="U643" t="inlineStr">
        <is>
          <t>Sim</t>
        </is>
      </c>
    </row>
    <row r="644">
      <c r="A644" t="inlineStr">
        <is>
          <t>Uso e consumo</t>
        </is>
      </c>
      <c r="B644" t="inlineStr">
        <is>
          <t>2.04.95 Copa e Cozinha</t>
        </is>
      </c>
      <c r="C644" s="30" t="n">
        <v>46023</v>
      </c>
      <c r="D644" t="inlineStr">
        <is>
          <t>Em 2026</t>
        </is>
      </c>
      <c r="E644" s="28" t="n">
        <v>46049</v>
      </c>
      <c r="F644" t="inlineStr">
        <is>
          <t>NF-e</t>
        </is>
      </c>
      <c r="G644" t="inlineStr">
        <is>
          <t>000082331</t>
        </is>
      </c>
      <c r="H644" t="inlineStr">
        <is>
          <t>KALUNGA SA</t>
        </is>
      </c>
      <c r="I644" t="inlineStr">
        <is>
          <t>43.283.811/0198-45</t>
        </is>
      </c>
      <c r="J644" s="29" t="n">
        <v>193.92</v>
      </c>
      <c r="K644" s="29">
        <f>(1-ISNUMBER(SEARCH("556",M644)))*(O644*SUMIFS(Premissas!$C$5:$C$44,Premissas!$A$5:$A$44,$A644,Premissas!$B$5:$B$44,$B644)+P644*SUMIFS(Premissas!$D$5:$D$44,Premissas!$A$5:$A$44,$A644,Premissas!$B$5:$B$44,$B644))+R644*SUMIFS(Premissas!$E$5:$E$44,Premissas!$A$5:$A$44,$A644,Premissas!$B$5:$B$44,$B644)+S644*SUMIFS(Premissas!$F$5:$F$44,Premissas!$A$5:$A$44,$A644,Premissas!$B$5:$B$44,$B644)</f>
        <v/>
      </c>
      <c r="L644" s="29">
        <f>J644-K644</f>
        <v/>
      </c>
      <c r="M644" t="inlineStr">
        <is>
          <t>1.102</t>
        </is>
      </c>
      <c r="O644" s="29" t="n">
        <v>0</v>
      </c>
      <c r="P644" s="29" t="n">
        <v>38.78</v>
      </c>
      <c r="Q644" s="29" t="n">
        <v>0</v>
      </c>
      <c r="R644" s="29" t="n">
        <v>2.56</v>
      </c>
      <c r="S644" s="29" t="n">
        <v>11.79</v>
      </c>
      <c r="T644" t="inlineStr">
        <is>
          <t>25260143283811019845550010000823311775125084</t>
        </is>
      </c>
      <c r="U644" t="inlineStr">
        <is>
          <t>Sim</t>
        </is>
      </c>
    </row>
    <row r="645">
      <c r="A645" t="inlineStr">
        <is>
          <t>Uso e consumo</t>
        </is>
      </c>
      <c r="B645" t="inlineStr">
        <is>
          <t>2.04.95 Copa e Cozinha</t>
        </is>
      </c>
      <c r="C645" s="30" t="n">
        <v>46054</v>
      </c>
      <c r="D645" t="inlineStr">
        <is>
          <t>Em 2026</t>
        </is>
      </c>
      <c r="E645" s="28" t="n">
        <v>46079</v>
      </c>
      <c r="F645" t="inlineStr">
        <is>
          <t>NF-e</t>
        </is>
      </c>
      <c r="G645" t="inlineStr">
        <is>
          <t>000083035</t>
        </is>
      </c>
      <c r="H645" t="inlineStr">
        <is>
          <t>KALUNGA SA</t>
        </is>
      </c>
      <c r="I645" t="inlineStr">
        <is>
          <t>43.283.811/0198-45</t>
        </is>
      </c>
      <c r="J645" s="29" t="n">
        <v>199.5</v>
      </c>
      <c r="K645" s="29">
        <f>(1-ISNUMBER(SEARCH("556",M645)))*(O645*SUMIFS(Premissas!$C$5:$C$44,Premissas!$A$5:$A$44,$A645,Premissas!$B$5:$B$44,$B645)+P645*SUMIFS(Premissas!$D$5:$D$44,Premissas!$A$5:$A$44,$A645,Premissas!$B$5:$B$44,$B645))+R645*SUMIFS(Premissas!$E$5:$E$44,Premissas!$A$5:$A$44,$A645,Premissas!$B$5:$B$44,$B645)+S645*SUMIFS(Premissas!$F$5:$F$44,Premissas!$A$5:$A$44,$A645,Premissas!$B$5:$B$44,$B645)</f>
        <v/>
      </c>
      <c r="L645" s="29">
        <f>J645-K645</f>
        <v/>
      </c>
      <c r="M645" t="inlineStr">
        <is>
          <t>1.102, 1.556</t>
        </is>
      </c>
      <c r="N645" t="inlineStr">
        <is>
          <t>Valor rateado entre categorias, como no Omie | Impostos rateados proporcionalmente ao valor da categoria (documento com mais de uma categoria)</t>
        </is>
      </c>
      <c r="O645" s="29" t="n">
        <v>0</v>
      </c>
      <c r="P645" s="29" t="n">
        <v>39.9</v>
      </c>
      <c r="Q645" s="29" t="n">
        <v>0</v>
      </c>
      <c r="R645" s="29" t="n">
        <v>2.63</v>
      </c>
      <c r="S645" s="29" t="n">
        <v>12.13</v>
      </c>
      <c r="T645" t="inlineStr">
        <is>
          <t>25260243283811019845550010000830351779460474</t>
        </is>
      </c>
      <c r="U645" t="inlineStr">
        <is>
          <t>Sim</t>
        </is>
      </c>
    </row>
    <row r="646">
      <c r="A646" t="inlineStr">
        <is>
          <t>Uso e consumo</t>
        </is>
      </c>
      <c r="B646" t="inlineStr">
        <is>
          <t>2.04.95 Copa e Cozinha</t>
        </is>
      </c>
      <c r="C646" s="30" t="n">
        <v>46082</v>
      </c>
      <c r="D646" t="inlineStr">
        <is>
          <t>Em 2026</t>
        </is>
      </c>
      <c r="E646" s="28" t="n">
        <v>46092</v>
      </c>
      <c r="F646" t="inlineStr">
        <is>
          <t>NF-e</t>
        </is>
      </c>
      <c r="G646" t="inlineStr">
        <is>
          <t>002024948</t>
        </is>
      </c>
      <c r="H646" t="inlineStr">
        <is>
          <t>COMPANHIA BRASILEIRA DE DISTRIBUICAO</t>
        </is>
      </c>
      <c r="I646" t="inlineStr">
        <is>
          <t>47.508.411/2343-00</t>
        </is>
      </c>
      <c r="J646" s="29" t="n">
        <v>352.16</v>
      </c>
      <c r="K646" s="29">
        <f>(1-ISNUMBER(SEARCH("556",M646)))*(O646*SUMIFS(Premissas!$C$5:$C$44,Premissas!$A$5:$A$44,$A646,Premissas!$B$5:$B$44,$B646)+P646*SUMIFS(Premissas!$D$5:$D$44,Premissas!$A$5:$A$44,$A646,Premissas!$B$5:$B$44,$B646))+R646*SUMIFS(Premissas!$E$5:$E$44,Premissas!$A$5:$A$44,$A646,Premissas!$B$5:$B$44,$B646)+S646*SUMIFS(Premissas!$F$5:$F$44,Premissas!$A$5:$A$44,$A646,Premissas!$B$5:$B$44,$B646)</f>
        <v/>
      </c>
      <c r="L646" s="29">
        <f>J646-K646</f>
        <v/>
      </c>
      <c r="M646" t="inlineStr">
        <is>
          <t>1.556</t>
        </is>
      </c>
      <c r="O646" s="29" t="n">
        <v>0</v>
      </c>
      <c r="P646" s="29" t="n">
        <v>14.09</v>
      </c>
      <c r="Q646" s="29" t="n">
        <v>0</v>
      </c>
      <c r="R646" s="29" t="n">
        <v>0</v>
      </c>
      <c r="S646" s="29" t="n">
        <v>0</v>
      </c>
      <c r="T646" t="inlineStr">
        <is>
          <t>35260347508411234300554100020249481062778586</t>
        </is>
      </c>
      <c r="U646" t="inlineStr">
        <is>
          <t>Sim</t>
        </is>
      </c>
    </row>
    <row r="647">
      <c r="A647" t="inlineStr">
        <is>
          <t>Uso e consumo</t>
        </is>
      </c>
      <c r="B647" t="inlineStr">
        <is>
          <t>2.04.95 Copa e Cozinha</t>
        </is>
      </c>
      <c r="C647" s="30" t="n">
        <v>46113</v>
      </c>
      <c r="D647" t="inlineStr">
        <is>
          <t>Em 2026</t>
        </is>
      </c>
      <c r="E647" s="28" t="n">
        <v>46135</v>
      </c>
      <c r="F647" t="inlineStr">
        <is>
          <t>NF-e</t>
        </is>
      </c>
      <c r="G647" t="inlineStr">
        <is>
          <t>000000050</t>
        </is>
      </c>
      <c r="H647" t="inlineStr">
        <is>
          <t>EMPORIO DE FATIMA INDUSTRIA E COMERCIO DE PANIFICACAO LTDA</t>
        </is>
      </c>
      <c r="I647" t="inlineStr">
        <is>
          <t>11.322.565/0001-01</t>
        </is>
      </c>
      <c r="J647" s="29" t="n">
        <v>38</v>
      </c>
      <c r="K647" s="29">
        <f>(1-ISNUMBER(SEARCH("556",M647)))*(O647*SUMIFS(Premissas!$C$5:$C$44,Premissas!$A$5:$A$44,$A647,Premissas!$B$5:$B$44,$B647)+P647*SUMIFS(Premissas!$D$5:$D$44,Premissas!$A$5:$A$44,$A647,Premissas!$B$5:$B$44,$B647))+R647*SUMIFS(Premissas!$E$5:$E$44,Premissas!$A$5:$A$44,$A647,Premissas!$B$5:$B$44,$B647)+S647*SUMIFS(Premissas!$F$5:$F$44,Premissas!$A$5:$A$44,$A647,Premissas!$B$5:$B$44,$B647)</f>
        <v/>
      </c>
      <c r="L647" s="29">
        <f>J647-K647</f>
        <v/>
      </c>
      <c r="M647" t="inlineStr">
        <is>
          <t>2.556</t>
        </is>
      </c>
      <c r="O647" s="29" t="n">
        <v>0</v>
      </c>
      <c r="P647" s="29" t="n">
        <v>0</v>
      </c>
      <c r="Q647" s="29" t="n">
        <v>0</v>
      </c>
      <c r="R647" s="29" t="n">
        <v>0</v>
      </c>
      <c r="S647" s="29" t="n">
        <v>0</v>
      </c>
      <c r="T647" t="inlineStr">
        <is>
          <t>23260411322565000101551010000000501016786973</t>
        </is>
      </c>
      <c r="U647" t="inlineStr">
        <is>
          <t>Sim</t>
        </is>
      </c>
    </row>
    <row r="648">
      <c r="A648" t="inlineStr">
        <is>
          <t>Uso e consumo</t>
        </is>
      </c>
      <c r="B648" t="inlineStr">
        <is>
          <t>2.04.95 Copa e Cozinha</t>
        </is>
      </c>
      <c r="C648" s="30" t="n">
        <v>46113</v>
      </c>
      <c r="D648" t="inlineStr">
        <is>
          <t>Em 2026</t>
        </is>
      </c>
      <c r="E648" s="28" t="n">
        <v>46140</v>
      </c>
      <c r="F648" t="inlineStr">
        <is>
          <t>NF-e</t>
        </is>
      </c>
      <c r="G648" t="inlineStr">
        <is>
          <t>000084303</t>
        </is>
      </c>
      <c r="H648" t="inlineStr">
        <is>
          <t>KALUNGA SA</t>
        </is>
      </c>
      <c r="I648" t="inlineStr">
        <is>
          <t>43.283.811/0198-45</t>
        </is>
      </c>
      <c r="J648" s="29" t="n">
        <v>26.1</v>
      </c>
      <c r="K648" s="29">
        <f>(1-ISNUMBER(SEARCH("556",M648)))*(O648*SUMIFS(Premissas!$C$5:$C$44,Premissas!$A$5:$A$44,$A648,Premissas!$B$5:$B$44,$B648)+P648*SUMIFS(Premissas!$D$5:$D$44,Premissas!$A$5:$A$44,$A648,Premissas!$B$5:$B$44,$B648))+R648*SUMIFS(Premissas!$E$5:$E$44,Premissas!$A$5:$A$44,$A648,Premissas!$B$5:$B$44,$B648)+S648*SUMIFS(Premissas!$F$5:$F$44,Premissas!$A$5:$A$44,$A648,Premissas!$B$5:$B$44,$B648)</f>
        <v/>
      </c>
      <c r="L648" s="29">
        <f>J648-K648</f>
        <v/>
      </c>
      <c r="M648" t="inlineStr">
        <is>
          <t>1.556</t>
        </is>
      </c>
      <c r="N648" t="inlineStr">
        <is>
          <t>Valor rateado entre categorias, como no Omie | Impostos rateados proporcionalmente ao valor da categoria (documento com mais de uma categoria)</t>
        </is>
      </c>
      <c r="O648" s="29" t="n">
        <v>0</v>
      </c>
      <c r="P648" s="29" t="n">
        <v>5.22</v>
      </c>
      <c r="Q648" s="29" t="n">
        <v>0</v>
      </c>
      <c r="R648" s="29" t="n">
        <v>0.34</v>
      </c>
      <c r="S648" s="29" t="n">
        <v>1.59</v>
      </c>
      <c r="T648" t="inlineStr">
        <is>
          <t>25260443283811019845550010000843031787405805</t>
        </is>
      </c>
      <c r="U648" t="inlineStr">
        <is>
          <t>Sim</t>
        </is>
      </c>
    </row>
    <row r="649">
      <c r="A649" t="inlineStr">
        <is>
          <t>Uso e consumo</t>
        </is>
      </c>
      <c r="B649" t="inlineStr">
        <is>
          <t>2.04.95 Copa e Cozinha</t>
        </is>
      </c>
      <c r="C649" s="30" t="n">
        <v>46235</v>
      </c>
      <c r="D649" t="inlineStr">
        <is>
          <t>Em 2026</t>
        </is>
      </c>
      <c r="E649" s="28" t="n">
        <v>46257</v>
      </c>
      <c r="F649" t="inlineStr">
        <is>
          <t>NF-e</t>
        </is>
      </c>
      <c r="G649" t="inlineStr">
        <is>
          <t>000766596</t>
        </is>
      </c>
      <c r="H649" t="inlineStr">
        <is>
          <t>DISTRIBUIDORA DE ALIMENTOS GALDINO</t>
        </is>
      </c>
      <c r="I649" t="inlineStr">
        <is>
          <t>08.208.024/0001-42</t>
        </is>
      </c>
      <c r="J649" s="29" t="n">
        <v>391.2</v>
      </c>
      <c r="K649" s="29">
        <f>(1-ISNUMBER(SEARCH("556",M649)))*(O649*SUMIFS(Premissas!$C$5:$C$44,Premissas!$A$5:$A$44,$A649,Premissas!$B$5:$B$44,$B649)+P649*SUMIFS(Premissas!$D$5:$D$44,Premissas!$A$5:$A$44,$A649,Premissas!$B$5:$B$44,$B649))+R649*SUMIFS(Premissas!$E$5:$E$44,Premissas!$A$5:$A$44,$A649,Premissas!$B$5:$B$44,$B649)+S649*SUMIFS(Premissas!$F$5:$F$44,Premissas!$A$5:$A$44,$A649,Premissas!$B$5:$B$44,$B649)</f>
        <v/>
      </c>
      <c r="L649" s="29">
        <f>J649-K649</f>
        <v/>
      </c>
      <c r="M649" t="inlineStr">
        <is>
          <t>1.556</t>
        </is>
      </c>
      <c r="O649" s="29" t="n">
        <v>0</v>
      </c>
      <c r="P649" s="29" t="n">
        <v>0</v>
      </c>
      <c r="Q649" s="29" t="n">
        <v>0</v>
      </c>
      <c r="R649" s="29" t="n">
        <v>0</v>
      </c>
      <c r="S649" s="29" t="n">
        <v>0</v>
      </c>
      <c r="T649" t="inlineStr">
        <is>
          <t>25260808208024000142550020007665961132363259</t>
        </is>
      </c>
      <c r="U649" t="inlineStr">
        <is>
          <t>Sim</t>
        </is>
      </c>
    </row>
    <row r="650">
      <c r="A650" t="inlineStr">
        <is>
          <t>Uso e consumo</t>
        </is>
      </c>
      <c r="B650" t="inlineStr">
        <is>
          <t>2.04.95 Copa e Cozinha</t>
        </is>
      </c>
      <c r="C650" s="30" t="n">
        <v>46235</v>
      </c>
      <c r="D650" t="inlineStr">
        <is>
          <t>Em 2026</t>
        </is>
      </c>
      <c r="E650" s="28" t="n">
        <v>46258</v>
      </c>
      <c r="F650" t="inlineStr">
        <is>
          <t>NF-e</t>
        </is>
      </c>
      <c r="G650" t="inlineStr">
        <is>
          <t>026133066</t>
        </is>
      </c>
      <c r="H650" t="inlineStr">
        <is>
          <t>Ebazar.com.br. ltda</t>
        </is>
      </c>
      <c r="I650" t="inlineStr">
        <is>
          <t>03.007.331/0212-20</t>
        </is>
      </c>
      <c r="J650" s="29" t="n">
        <v>258.39</v>
      </c>
      <c r="K650" s="29">
        <f>(1-ISNUMBER(SEARCH("556",M650)))*(O650*SUMIFS(Premissas!$C$5:$C$44,Premissas!$A$5:$A$44,$A650,Premissas!$B$5:$B$44,$B650)+P650*SUMIFS(Premissas!$D$5:$D$44,Premissas!$A$5:$A$44,$A650,Premissas!$B$5:$B$44,$B650))+R650*SUMIFS(Premissas!$E$5:$E$44,Premissas!$A$5:$A$44,$A650,Premissas!$B$5:$B$44,$B650)+S650*SUMIFS(Premissas!$F$5:$F$44,Premissas!$A$5:$A$44,$A650,Premissas!$B$5:$B$44,$B650)</f>
        <v/>
      </c>
      <c r="L650" s="29">
        <f>J650-K650</f>
        <v/>
      </c>
      <c r="M650" t="inlineStr">
        <is>
          <t>2.556</t>
        </is>
      </c>
      <c r="O650" s="29" t="n">
        <v>0</v>
      </c>
      <c r="P650" s="29" t="n">
        <v>10.34</v>
      </c>
      <c r="Q650" s="29" t="n">
        <v>0</v>
      </c>
      <c r="R650" s="29" t="n">
        <v>0</v>
      </c>
      <c r="S650" s="29" t="n">
        <v>0</v>
      </c>
      <c r="T650" t="inlineStr">
        <is>
          <t>35260803007331021220550020261330661683363000</t>
        </is>
      </c>
      <c r="U650" t="inlineStr">
        <is>
          <t>Sim</t>
        </is>
      </c>
    </row>
    <row r="651">
      <c r="A651" t="inlineStr">
        <is>
          <t>Uso e consumo</t>
        </is>
      </c>
      <c r="B651" t="inlineStr">
        <is>
          <t>2.04.95 Copa e Cozinha</t>
        </is>
      </c>
      <c r="C651" s="30" t="n">
        <v>46235</v>
      </c>
      <c r="D651" t="inlineStr">
        <is>
          <t>Em 2026</t>
        </is>
      </c>
      <c r="E651" s="28" t="n">
        <v>46258</v>
      </c>
      <c r="F651" t="inlineStr">
        <is>
          <t>NF-e</t>
        </is>
      </c>
      <c r="G651" t="inlineStr">
        <is>
          <t>026133075</t>
        </is>
      </c>
      <c r="H651" t="inlineStr">
        <is>
          <t>Ebazar.com.br. ltda</t>
        </is>
      </c>
      <c r="I651" t="inlineStr">
        <is>
          <t>03.007.331/0212-20</t>
        </is>
      </c>
      <c r="J651" s="29" t="n">
        <v>62.46</v>
      </c>
      <c r="K651" s="29">
        <f>(1-ISNUMBER(SEARCH("556",M651)))*(O651*SUMIFS(Premissas!$C$5:$C$44,Premissas!$A$5:$A$44,$A651,Premissas!$B$5:$B$44,$B651)+P651*SUMIFS(Premissas!$D$5:$D$44,Premissas!$A$5:$A$44,$A651,Premissas!$B$5:$B$44,$B651))+R651*SUMIFS(Premissas!$E$5:$E$44,Premissas!$A$5:$A$44,$A651,Premissas!$B$5:$B$44,$B651)+S651*SUMIFS(Premissas!$F$5:$F$44,Premissas!$A$5:$A$44,$A651,Premissas!$B$5:$B$44,$B651)</f>
        <v/>
      </c>
      <c r="L651" s="29">
        <f>J651-K651</f>
        <v/>
      </c>
      <c r="M651" t="inlineStr">
        <is>
          <t>2.556</t>
        </is>
      </c>
      <c r="O651" s="29" t="n">
        <v>0</v>
      </c>
      <c r="P651" s="29" t="n">
        <v>2.5</v>
      </c>
      <c r="Q651" s="29" t="n">
        <v>0</v>
      </c>
      <c r="R651" s="29" t="n">
        <v>0</v>
      </c>
      <c r="S651" s="29" t="n">
        <v>0</v>
      </c>
      <c r="T651" t="inlineStr">
        <is>
          <t>35260803007331021220550020261330751424772190</t>
        </is>
      </c>
      <c r="U651" t="inlineStr">
        <is>
          <t>Sim</t>
        </is>
      </c>
    </row>
    <row r="652">
      <c r="A652" t="inlineStr">
        <is>
          <t>Uso e consumo</t>
        </is>
      </c>
      <c r="B652" t="inlineStr">
        <is>
          <t>2.04.96 Bens de Pequeno Valor</t>
        </is>
      </c>
      <c r="C652" s="30" t="n">
        <v>46082</v>
      </c>
      <c r="D652" t="inlineStr">
        <is>
          <t>Em 2026</t>
        </is>
      </c>
      <c r="E652" s="28" t="n">
        <v>46086</v>
      </c>
      <c r="F652" t="inlineStr">
        <is>
          <t>NF-e</t>
        </is>
      </c>
      <c r="G652" t="inlineStr">
        <is>
          <t>000000363</t>
        </is>
      </c>
      <c r="H652" t="inlineStr">
        <is>
          <t>SOTECA SOCIEDADE TECNICO CIENTIFICA LTDA</t>
        </is>
      </c>
      <c r="I652" t="inlineStr">
        <is>
          <t>09.098.872/0003-70</t>
        </is>
      </c>
      <c r="J652" s="29" t="n">
        <v>124.98</v>
      </c>
      <c r="K652" s="29">
        <f>(1-ISNUMBER(SEARCH("556",M652)))*(O652*SUMIFS(Premissas!$C$5:$C$44,Premissas!$A$5:$A$44,$A652,Premissas!$B$5:$B$44,$B652)+P652*SUMIFS(Premissas!$D$5:$D$44,Premissas!$A$5:$A$44,$A652,Premissas!$B$5:$B$44,$B652))+R652*SUMIFS(Premissas!$E$5:$E$44,Premissas!$A$5:$A$44,$A652,Premissas!$B$5:$B$44,$B652)+S652*SUMIFS(Premissas!$F$5:$F$44,Premissas!$A$5:$A$44,$A652,Premissas!$B$5:$B$44,$B652)</f>
        <v/>
      </c>
      <c r="L652" s="29">
        <f>J652-K652</f>
        <v/>
      </c>
      <c r="M652" t="inlineStr">
        <is>
          <t>1.102</t>
        </is>
      </c>
      <c r="O652" s="29" t="n">
        <v>0</v>
      </c>
      <c r="P652" s="29" t="n">
        <v>0</v>
      </c>
      <c r="Q652" s="29" t="n">
        <v>0</v>
      </c>
      <c r="R652" s="29" t="n">
        <v>0</v>
      </c>
      <c r="S652" s="29" t="n">
        <v>0</v>
      </c>
      <c r="T652" t="inlineStr">
        <is>
          <t>25260309098872000370550040000003631701046189</t>
        </is>
      </c>
      <c r="U652" t="inlineStr">
        <is>
          <t>Sim</t>
        </is>
      </c>
    </row>
    <row r="653">
      <c r="A653" t="inlineStr">
        <is>
          <t>Frete de compra</t>
        </is>
      </c>
      <c r="B653" t="inlineStr">
        <is>
          <t>1.01.01 Venda de Mercadoria Fabricadas</t>
        </is>
      </c>
      <c r="C653" t="inlineStr">
        <is>
          <t>Antes de 2026</t>
        </is>
      </c>
      <c r="D653" t="inlineStr">
        <is>
          <t>Antes de 2026</t>
        </is>
      </c>
      <c r="E653" s="28" t="n">
        <v>45582</v>
      </c>
      <c r="F653" t="inlineStr">
        <is>
          <t>CT-e</t>
        </is>
      </c>
      <c r="G653" t="inlineStr">
        <is>
          <t>000057135</t>
        </is>
      </c>
      <c r="H653" t="inlineStr">
        <is>
          <t>GOL LINHAS AEREAS S.A.</t>
        </is>
      </c>
      <c r="J653" s="29" t="n">
        <v>123.12</v>
      </c>
      <c r="K653" s="29">
        <f>(1-ISNUMBER(SEARCH("556",M653)))*(O653*SUMIFS(Premissas!$C$5:$C$44,Premissas!$A$5:$A$44,$A653,Premissas!$B$5:$B$44,$B653)+P653*SUMIFS(Premissas!$D$5:$D$44,Premissas!$A$5:$A$44,$A653,Premissas!$B$5:$B$44,$B653))+R653*SUMIFS(Premissas!$E$5:$E$44,Premissas!$A$5:$A$44,$A653,Premissas!$B$5:$B$44,$B653)+S653*SUMIFS(Premissas!$F$5:$F$44,Premissas!$A$5:$A$44,$A653,Premissas!$B$5:$B$44,$B653)</f>
        <v/>
      </c>
      <c r="L653" s="29">
        <f>J653-K653</f>
        <v/>
      </c>
      <c r="M653" t="inlineStr">
        <is>
          <t>1.350</t>
        </is>
      </c>
      <c r="N653" t="inlineStr">
        <is>
          <t>Transportadora fora da lista de frete de venda, mas pela modalidade a Vinco enviou a carga | Modalidade: 0 - Por conta do remetente | Parte: SERGIO ALVES LOUREIRO (028.012.587-92)</t>
        </is>
      </c>
      <c r="O653" s="29" t="n">
        <v>0</v>
      </c>
      <c r="P653" s="29" t="n">
        <v>4.92</v>
      </c>
      <c r="Q653" s="29" t="n">
        <v>0</v>
      </c>
      <c r="R653" s="29" t="n">
        <v>0</v>
      </c>
      <c r="S653" s="29" t="n">
        <v>0</v>
      </c>
      <c r="T653" t="inlineStr">
        <is>
          <t>25241007575651003506570130000571351875623012</t>
        </is>
      </c>
      <c r="U653" t="inlineStr">
        <is>
          <t>Não</t>
        </is>
      </c>
    </row>
    <row r="654">
      <c r="A654" t="inlineStr">
        <is>
          <t>Frete de compra</t>
        </is>
      </c>
      <c r="B654" t="inlineStr">
        <is>
          <t>1.01.01 Venda de Mercadoria Fabricadas</t>
        </is>
      </c>
      <c r="C654" t="inlineStr">
        <is>
          <t>Antes de 2026</t>
        </is>
      </c>
      <c r="D654" t="inlineStr">
        <is>
          <t>Antes de 2026</t>
        </is>
      </c>
      <c r="E654" s="28" t="n">
        <v>45618</v>
      </c>
      <c r="F654" t="inlineStr">
        <is>
          <t>CT-e</t>
        </is>
      </c>
      <c r="G654" t="inlineStr">
        <is>
          <t>000058282</t>
        </is>
      </c>
      <c r="H654" t="inlineStr">
        <is>
          <t>GOL LINHAS AEREAS S.A.</t>
        </is>
      </c>
      <c r="J654" s="29" t="n">
        <v>173.39</v>
      </c>
      <c r="K654" s="29">
        <f>(1-ISNUMBER(SEARCH("556",M654)))*(O654*SUMIFS(Premissas!$C$5:$C$44,Premissas!$A$5:$A$44,$A654,Premissas!$B$5:$B$44,$B654)+P654*SUMIFS(Premissas!$D$5:$D$44,Premissas!$A$5:$A$44,$A654,Premissas!$B$5:$B$44,$B654))+R654*SUMIFS(Premissas!$E$5:$E$44,Premissas!$A$5:$A$44,$A654,Premissas!$B$5:$B$44,$B654)+S654*SUMIFS(Premissas!$F$5:$F$44,Premissas!$A$5:$A$44,$A654,Premissas!$B$5:$B$44,$B654)</f>
        <v/>
      </c>
      <c r="L654" s="29">
        <f>J654-K654</f>
        <v/>
      </c>
      <c r="M654" t="inlineStr">
        <is>
          <t>1.350</t>
        </is>
      </c>
      <c r="N654" t="inlineStr">
        <is>
          <t>Transportadora fora da lista de frete de venda, mas pela modalidade a Vinco enviou a carga | Modalidade: 0 - Por conta do remetente | Parte: HADDAD REPRESENTACOES LTDA (29.304.139/0001-00)</t>
        </is>
      </c>
      <c r="O654" s="29" t="n">
        <v>0</v>
      </c>
      <c r="P654" s="29" t="n">
        <v>6.94</v>
      </c>
      <c r="Q654" s="29" t="n">
        <v>0</v>
      </c>
      <c r="R654" s="29" t="n">
        <v>0</v>
      </c>
      <c r="S654" s="29" t="n">
        <v>0</v>
      </c>
      <c r="T654" t="inlineStr">
        <is>
          <t>25241107575651003506570130000582821000000009</t>
        </is>
      </c>
      <c r="U654" t="inlineStr">
        <is>
          <t>Não</t>
        </is>
      </c>
    </row>
    <row r="655">
      <c r="A655" t="inlineStr">
        <is>
          <t>Frete de compra</t>
        </is>
      </c>
      <c r="B655" t="inlineStr">
        <is>
          <t>1.01.01 Venda de Mercadoria Fabricadas</t>
        </is>
      </c>
      <c r="C655" t="inlineStr">
        <is>
          <t>Antes de 2026</t>
        </is>
      </c>
      <c r="D655" t="inlineStr">
        <is>
          <t>Antes de 2026</t>
        </is>
      </c>
      <c r="E655" s="28" t="n">
        <v>45618</v>
      </c>
      <c r="F655" t="inlineStr">
        <is>
          <t>CT-e</t>
        </is>
      </c>
      <c r="G655" t="inlineStr">
        <is>
          <t>000058286</t>
        </is>
      </c>
      <c r="H655" t="inlineStr">
        <is>
          <t>GOL LINHAS AEREAS S.A.</t>
        </is>
      </c>
      <c r="J655" s="29" t="n">
        <v>191.66</v>
      </c>
      <c r="K655" s="29">
        <f>(1-ISNUMBER(SEARCH("556",M655)))*(O655*SUMIFS(Premissas!$C$5:$C$44,Premissas!$A$5:$A$44,$A655,Premissas!$B$5:$B$44,$B655)+P655*SUMIFS(Premissas!$D$5:$D$44,Premissas!$A$5:$A$44,$A655,Premissas!$B$5:$B$44,$B655))+R655*SUMIFS(Premissas!$E$5:$E$44,Premissas!$A$5:$A$44,$A655,Premissas!$B$5:$B$44,$B655)+S655*SUMIFS(Premissas!$F$5:$F$44,Premissas!$A$5:$A$44,$A655,Premissas!$B$5:$B$44,$B655)</f>
        <v/>
      </c>
      <c r="L655" s="29">
        <f>J655-K655</f>
        <v/>
      </c>
      <c r="M655" t="inlineStr">
        <is>
          <t>1.350</t>
        </is>
      </c>
      <c r="N655" t="inlineStr">
        <is>
          <t>Transportadora fora da lista de frete de venda, mas pela modalidade a Vinco enviou a carga | Modalidade: 0 - Por conta do remetente | Parte: DANIEL BONOTTO (912.249.939-34)</t>
        </is>
      </c>
      <c r="O655" s="29" t="n">
        <v>0</v>
      </c>
      <c r="P655" s="29" t="n">
        <v>7.67</v>
      </c>
      <c r="Q655" s="29" t="n">
        <v>0</v>
      </c>
      <c r="R655" s="29" t="n">
        <v>0</v>
      </c>
      <c r="S655" s="29" t="n">
        <v>0</v>
      </c>
      <c r="T655" t="inlineStr">
        <is>
          <t>25241107575651003506570130000582861548122137</t>
        </is>
      </c>
      <c r="U655" t="inlineStr">
        <is>
          <t>Não</t>
        </is>
      </c>
    </row>
    <row r="656">
      <c r="A656" t="inlineStr">
        <is>
          <t>Frete de compra</t>
        </is>
      </c>
      <c r="B656" t="inlineStr">
        <is>
          <t>1.01.01 Venda de Mercadoria Fabricadas</t>
        </is>
      </c>
      <c r="C656" t="inlineStr">
        <is>
          <t>Antes de 2026</t>
        </is>
      </c>
      <c r="D656" t="inlineStr">
        <is>
          <t>Antes de 2026</t>
        </is>
      </c>
      <c r="E656" s="28" t="n">
        <v>45618</v>
      </c>
      <c r="F656" t="inlineStr">
        <is>
          <t>CT-e</t>
        </is>
      </c>
      <c r="G656" t="inlineStr">
        <is>
          <t>000058287</t>
        </is>
      </c>
      <c r="H656" t="inlineStr">
        <is>
          <t>GOL LINHAS AEREAS S.A.</t>
        </is>
      </c>
      <c r="J656" s="29" t="n">
        <v>100.64</v>
      </c>
      <c r="K656" s="29">
        <f>(1-ISNUMBER(SEARCH("556",M656)))*(O656*SUMIFS(Premissas!$C$5:$C$44,Premissas!$A$5:$A$44,$A656,Premissas!$B$5:$B$44,$B656)+P656*SUMIFS(Premissas!$D$5:$D$44,Premissas!$A$5:$A$44,$A656,Premissas!$B$5:$B$44,$B656))+R656*SUMIFS(Premissas!$E$5:$E$44,Premissas!$A$5:$A$44,$A656,Premissas!$B$5:$B$44,$B656)+S656*SUMIFS(Premissas!$F$5:$F$44,Premissas!$A$5:$A$44,$A656,Premissas!$B$5:$B$44,$B656)</f>
        <v/>
      </c>
      <c r="L656" s="29">
        <f>J656-K656</f>
        <v/>
      </c>
      <c r="M656" t="inlineStr">
        <is>
          <t>1.350</t>
        </is>
      </c>
      <c r="N656" t="inlineStr">
        <is>
          <t>Transportadora fora da lista de frete de venda, mas pela modalidade a Vinco enviou a carga | Modalidade: 0 - Por conta do remetente | Parte: AJeC REPRESENTACAO E CONSULTORIA LTDA (55.218.977/0001-71)</t>
        </is>
      </c>
      <c r="O656" s="29" t="n">
        <v>0</v>
      </c>
      <c r="P656" s="29" t="n">
        <v>4.03</v>
      </c>
      <c r="Q656" s="29" t="n">
        <v>0</v>
      </c>
      <c r="R656" s="29" t="n">
        <v>0</v>
      </c>
      <c r="S656" s="29" t="n">
        <v>0</v>
      </c>
      <c r="T656" t="inlineStr">
        <is>
          <t>25241107575651003506570130000582871999731038</t>
        </is>
      </c>
      <c r="U656" t="inlineStr">
        <is>
          <t>Não</t>
        </is>
      </c>
    </row>
    <row r="657">
      <c r="A657" t="inlineStr">
        <is>
          <t>Frete de compra</t>
        </is>
      </c>
      <c r="B657" t="inlineStr">
        <is>
          <t>1.01.01 Venda de Mercadoria Fabricadas</t>
        </is>
      </c>
      <c r="C657" t="inlineStr">
        <is>
          <t>Antes de 2026</t>
        </is>
      </c>
      <c r="D657" t="inlineStr">
        <is>
          <t>Antes de 2026</t>
        </is>
      </c>
      <c r="E657" s="28" t="n">
        <v>45630</v>
      </c>
      <c r="F657" t="inlineStr">
        <is>
          <t>CT-e</t>
        </is>
      </c>
      <c r="G657" t="inlineStr">
        <is>
          <t>000058713</t>
        </is>
      </c>
      <c r="H657" t="inlineStr">
        <is>
          <t>GOL LINHAS AEREAS S.A.</t>
        </is>
      </c>
      <c r="J657" s="29" t="n">
        <v>162.04</v>
      </c>
      <c r="K657" s="29">
        <f>(1-ISNUMBER(SEARCH("556",M657)))*(O657*SUMIFS(Premissas!$C$5:$C$44,Premissas!$A$5:$A$44,$A657,Premissas!$B$5:$B$44,$B657)+P657*SUMIFS(Premissas!$D$5:$D$44,Premissas!$A$5:$A$44,$A657,Premissas!$B$5:$B$44,$B657))+R657*SUMIFS(Premissas!$E$5:$E$44,Premissas!$A$5:$A$44,$A657,Premissas!$B$5:$B$44,$B657)+S657*SUMIFS(Premissas!$F$5:$F$44,Premissas!$A$5:$A$44,$A657,Premissas!$B$5:$B$44,$B657)</f>
        <v/>
      </c>
      <c r="L657" s="29">
        <f>J657-K657</f>
        <v/>
      </c>
      <c r="M657" t="inlineStr">
        <is>
          <t>1.350</t>
        </is>
      </c>
      <c r="N657" t="inlineStr">
        <is>
          <t>Transportadora fora da lista de frete de venda, mas pela modalidade a Vinco enviou a carga | Modalidade: 0 - Por conta do remetente | Parte: RICARDO MANOEL DE LIMA (617.736.545-00)</t>
        </is>
      </c>
      <c r="O657" s="29" t="n">
        <v>0</v>
      </c>
      <c r="P657" s="29" t="n">
        <v>6.48</v>
      </c>
      <c r="Q657" s="29" t="n">
        <v>0</v>
      </c>
      <c r="R657" s="29" t="n">
        <v>0</v>
      </c>
      <c r="S657" s="29" t="n">
        <v>0</v>
      </c>
      <c r="T657" t="inlineStr">
        <is>
          <t>25241207575651003506570130000587131495909035</t>
        </is>
      </c>
      <c r="U657" t="inlineStr">
        <is>
          <t>Não</t>
        </is>
      </c>
    </row>
    <row r="658">
      <c r="A658" t="inlineStr">
        <is>
          <t>Frete de compra</t>
        </is>
      </c>
      <c r="B658" t="inlineStr">
        <is>
          <t>1.01.01 Venda de Mercadoria Fabricadas</t>
        </is>
      </c>
      <c r="C658" t="inlineStr">
        <is>
          <t>Antes de 2026</t>
        </is>
      </c>
      <c r="D658" t="inlineStr">
        <is>
          <t>Antes de 2026</t>
        </is>
      </c>
      <c r="E658" s="28" t="n">
        <v>45630</v>
      </c>
      <c r="F658" t="inlineStr">
        <is>
          <t>CT-e</t>
        </is>
      </c>
      <c r="G658" t="inlineStr">
        <is>
          <t>000058716</t>
        </is>
      </c>
      <c r="H658" t="inlineStr">
        <is>
          <t>GOL LINHAS AEREAS S.A.</t>
        </is>
      </c>
      <c r="J658" s="29" t="n">
        <v>162.04</v>
      </c>
      <c r="K658" s="29">
        <f>(1-ISNUMBER(SEARCH("556",M658)))*(O658*SUMIFS(Premissas!$C$5:$C$44,Premissas!$A$5:$A$44,$A658,Premissas!$B$5:$B$44,$B658)+P658*SUMIFS(Premissas!$D$5:$D$44,Premissas!$A$5:$A$44,$A658,Premissas!$B$5:$B$44,$B658))+R658*SUMIFS(Premissas!$E$5:$E$44,Premissas!$A$5:$A$44,$A658,Premissas!$B$5:$B$44,$B658)+S658*SUMIFS(Premissas!$F$5:$F$44,Premissas!$A$5:$A$44,$A658,Premissas!$B$5:$B$44,$B658)</f>
        <v/>
      </c>
      <c r="L658" s="29">
        <f>J658-K658</f>
        <v/>
      </c>
      <c r="M658" t="inlineStr">
        <is>
          <t>1.350</t>
        </is>
      </c>
      <c r="N658" t="inlineStr">
        <is>
          <t>Transportadora fora da lista de frete de venda, mas pela modalidade a Vinco enviou a carga | Modalidade: 0 - Por conta do remetente | Parte: GERALDO EDSON MASCARENHAS (179.410.325-20)</t>
        </is>
      </c>
      <c r="O658" s="29" t="n">
        <v>0</v>
      </c>
      <c r="P658" s="29" t="n">
        <v>6.48</v>
      </c>
      <c r="Q658" s="29" t="n">
        <v>0</v>
      </c>
      <c r="R658" s="29" t="n">
        <v>0</v>
      </c>
      <c r="S658" s="29" t="n">
        <v>0</v>
      </c>
      <c r="T658" t="inlineStr">
        <is>
          <t>25241207575651003506570130000587161542609960</t>
        </is>
      </c>
      <c r="U658" t="inlineStr">
        <is>
          <t>Não</t>
        </is>
      </c>
    </row>
    <row r="659">
      <c r="A659" t="inlineStr">
        <is>
          <t>Frete de compra</t>
        </is>
      </c>
      <c r="B659" t="inlineStr">
        <is>
          <t>1.01.01 Venda de Mercadoria Fabricadas</t>
        </is>
      </c>
      <c r="C659" t="inlineStr">
        <is>
          <t>Antes de 2026</t>
        </is>
      </c>
      <c r="D659" t="inlineStr">
        <is>
          <t>Antes de 2026</t>
        </is>
      </c>
      <c r="E659" s="28" t="n">
        <v>45630</v>
      </c>
      <c r="F659" t="inlineStr">
        <is>
          <t>CT-e</t>
        </is>
      </c>
      <c r="G659" t="inlineStr">
        <is>
          <t>000058719</t>
        </is>
      </c>
      <c r="H659" t="inlineStr">
        <is>
          <t>GOL LINHAS AEREAS S.A.</t>
        </is>
      </c>
      <c r="J659" s="29" t="n">
        <v>207.45</v>
      </c>
      <c r="K659" s="29">
        <f>(1-ISNUMBER(SEARCH("556",M659)))*(O659*SUMIFS(Premissas!$C$5:$C$44,Premissas!$A$5:$A$44,$A659,Premissas!$B$5:$B$44,$B659)+P659*SUMIFS(Premissas!$D$5:$D$44,Premissas!$A$5:$A$44,$A659,Premissas!$B$5:$B$44,$B659))+R659*SUMIFS(Premissas!$E$5:$E$44,Premissas!$A$5:$A$44,$A659,Premissas!$B$5:$B$44,$B659)+S659*SUMIFS(Premissas!$F$5:$F$44,Premissas!$A$5:$A$44,$A659,Premissas!$B$5:$B$44,$B659)</f>
        <v/>
      </c>
      <c r="L659" s="29">
        <f>J659-K659</f>
        <v/>
      </c>
      <c r="M659" t="inlineStr">
        <is>
          <t>1.350</t>
        </is>
      </c>
      <c r="N659" t="inlineStr">
        <is>
          <t>Transportadora fora da lista de frete de venda, mas pela modalidade a Vinco enviou a carga | Modalidade: 0 - Por conta do remetente | Parte: VINICIO CANDIDO DE JESUS COSTA (035.581.739-02)</t>
        </is>
      </c>
      <c r="O659" s="29" t="n">
        <v>0</v>
      </c>
      <c r="P659" s="29" t="n">
        <v>8.300000000000001</v>
      </c>
      <c r="Q659" s="29" t="n">
        <v>0</v>
      </c>
      <c r="R659" s="29" t="n">
        <v>0</v>
      </c>
      <c r="S659" s="29" t="n">
        <v>0</v>
      </c>
      <c r="T659" t="inlineStr">
        <is>
          <t>25241207575651003506570130000587191943721844</t>
        </is>
      </c>
      <c r="U659" t="inlineStr">
        <is>
          <t>Não</t>
        </is>
      </c>
    </row>
    <row r="660">
      <c r="A660" t="inlineStr">
        <is>
          <t>Frete de compra</t>
        </is>
      </c>
      <c r="B660" t="inlineStr">
        <is>
          <t>1.01.01 Venda de Mercadoria Fabricadas</t>
        </is>
      </c>
      <c r="C660" t="inlineStr">
        <is>
          <t>Antes de 2026</t>
        </is>
      </c>
      <c r="D660" t="inlineStr">
        <is>
          <t>Antes de 2026</t>
        </is>
      </c>
      <c r="E660" s="28" t="n">
        <v>45630</v>
      </c>
      <c r="F660" t="inlineStr">
        <is>
          <t>CT-e</t>
        </is>
      </c>
      <c r="G660" t="inlineStr">
        <is>
          <t>000058724</t>
        </is>
      </c>
      <c r="H660" t="inlineStr">
        <is>
          <t>GOL LINHAS AEREAS S.A.</t>
        </is>
      </c>
      <c r="J660" s="29" t="n">
        <v>207.45</v>
      </c>
      <c r="K660" s="29">
        <f>(1-ISNUMBER(SEARCH("556",M660)))*(O660*SUMIFS(Premissas!$C$5:$C$44,Premissas!$A$5:$A$44,$A660,Premissas!$B$5:$B$44,$B660)+P660*SUMIFS(Premissas!$D$5:$D$44,Premissas!$A$5:$A$44,$A660,Premissas!$B$5:$B$44,$B660))+R660*SUMIFS(Premissas!$E$5:$E$44,Premissas!$A$5:$A$44,$A660,Premissas!$B$5:$B$44,$B660)+S660*SUMIFS(Premissas!$F$5:$F$44,Premissas!$A$5:$A$44,$A660,Premissas!$B$5:$B$44,$B660)</f>
        <v/>
      </c>
      <c r="L660" s="29">
        <f>J660-K660</f>
        <v/>
      </c>
      <c r="M660" t="inlineStr">
        <is>
          <t>1.350</t>
        </is>
      </c>
      <c r="N660" t="inlineStr">
        <is>
          <t>Transportadora fora da lista de frete de venda, mas pela modalidade a Vinco enviou a carga | Modalidade: 0 - Por conta do remetente | Parte: JEFERSON PAGANI (668.690.999-87)</t>
        </is>
      </c>
      <c r="O660" s="29" t="n">
        <v>0</v>
      </c>
      <c r="P660" s="29" t="n">
        <v>8.300000000000001</v>
      </c>
      <c r="Q660" s="29" t="n">
        <v>0</v>
      </c>
      <c r="R660" s="29" t="n">
        <v>0</v>
      </c>
      <c r="S660" s="29" t="n">
        <v>0</v>
      </c>
      <c r="T660" t="inlineStr">
        <is>
          <t>25241207575651003506570130000587241861284661</t>
        </is>
      </c>
      <c r="U660" t="inlineStr">
        <is>
          <t>Não</t>
        </is>
      </c>
    </row>
    <row r="661">
      <c r="A661" t="inlineStr">
        <is>
          <t>Frete de compra</t>
        </is>
      </c>
      <c r="B661" t="inlineStr">
        <is>
          <t>1.01.01 Venda de Mercadoria Fabricadas</t>
        </is>
      </c>
      <c r="C661" t="inlineStr">
        <is>
          <t>Antes de 2026</t>
        </is>
      </c>
      <c r="D661" t="inlineStr">
        <is>
          <t>Antes de 2026</t>
        </is>
      </c>
      <c r="E661" s="28" t="n">
        <v>45638</v>
      </c>
      <c r="F661" t="inlineStr">
        <is>
          <t>CT-e</t>
        </is>
      </c>
      <c r="G661" t="inlineStr">
        <is>
          <t>000059046</t>
        </is>
      </c>
      <c r="H661" t="inlineStr">
        <is>
          <t>GOL LINHAS AEREAS S.A.</t>
        </is>
      </c>
      <c r="J661" s="29" t="n">
        <v>111.99</v>
      </c>
      <c r="K661" s="29">
        <f>(1-ISNUMBER(SEARCH("556",M661)))*(O661*SUMIFS(Premissas!$C$5:$C$44,Premissas!$A$5:$A$44,$A661,Premissas!$B$5:$B$44,$B661)+P661*SUMIFS(Premissas!$D$5:$D$44,Premissas!$A$5:$A$44,$A661,Premissas!$B$5:$B$44,$B661))+R661*SUMIFS(Premissas!$E$5:$E$44,Premissas!$A$5:$A$44,$A661,Premissas!$B$5:$B$44,$B661)+S661*SUMIFS(Premissas!$F$5:$F$44,Premissas!$A$5:$A$44,$A661,Premissas!$B$5:$B$44,$B661)</f>
        <v/>
      </c>
      <c r="L661" s="29">
        <f>J661-K661</f>
        <v/>
      </c>
      <c r="M661" t="inlineStr">
        <is>
          <t>1.350</t>
        </is>
      </c>
      <c r="N661" t="inlineStr">
        <is>
          <t>Transportadora fora da lista de frete de venda, mas pela modalidade a Vinco enviou a carga | Modalidade: 0 - Por conta do remetente | Parte: SOUZA CONSULTORIA LTDA (45.761.762/0001-49)</t>
        </is>
      </c>
      <c r="O661" s="29" t="n">
        <v>0</v>
      </c>
      <c r="P661" s="29" t="n">
        <v>4.48</v>
      </c>
      <c r="Q661" s="29" t="n">
        <v>0</v>
      </c>
      <c r="R661" s="29" t="n">
        <v>0</v>
      </c>
      <c r="S661" s="29" t="n">
        <v>0</v>
      </c>
      <c r="T661" t="inlineStr">
        <is>
          <t>25241207575651003506570130000590461441092283</t>
        </is>
      </c>
      <c r="U661" t="inlineStr">
        <is>
          <t>Não</t>
        </is>
      </c>
    </row>
    <row r="662">
      <c r="A662" t="inlineStr">
        <is>
          <t>Frete de compra</t>
        </is>
      </c>
      <c r="B662" t="inlineStr">
        <is>
          <t>1.01.01 Venda de Mercadoria Fabricadas</t>
        </is>
      </c>
      <c r="C662" t="inlineStr">
        <is>
          <t>Antes de 2026</t>
        </is>
      </c>
      <c r="D662" t="inlineStr">
        <is>
          <t>Antes de 2026</t>
        </is>
      </c>
      <c r="E662" s="28" t="n">
        <v>45638</v>
      </c>
      <c r="F662" t="inlineStr">
        <is>
          <t>CT-e</t>
        </is>
      </c>
      <c r="G662" t="inlineStr">
        <is>
          <t>000059047</t>
        </is>
      </c>
      <c r="H662" t="inlineStr">
        <is>
          <t>GOL LINHAS AEREAS S.A.</t>
        </is>
      </c>
      <c r="J662" s="29" t="n">
        <v>111.99</v>
      </c>
      <c r="K662" s="29">
        <f>(1-ISNUMBER(SEARCH("556",M662)))*(O662*SUMIFS(Premissas!$C$5:$C$44,Premissas!$A$5:$A$44,$A662,Premissas!$B$5:$B$44,$B662)+P662*SUMIFS(Premissas!$D$5:$D$44,Premissas!$A$5:$A$44,$A662,Premissas!$B$5:$B$44,$B662))+R662*SUMIFS(Premissas!$E$5:$E$44,Premissas!$A$5:$A$44,$A662,Premissas!$B$5:$B$44,$B662)+S662*SUMIFS(Premissas!$F$5:$F$44,Premissas!$A$5:$A$44,$A662,Premissas!$B$5:$B$44,$B662)</f>
        <v/>
      </c>
      <c r="L662" s="29">
        <f>J662-K662</f>
        <v/>
      </c>
      <c r="M662" t="inlineStr">
        <is>
          <t>1.350</t>
        </is>
      </c>
      <c r="N662" t="inlineStr">
        <is>
          <t>Transportadora fora da lista de frete de venda, mas pela modalidade a Vinco enviou a carga | Modalidade: 0 - Por conta do remetente | Parte: EDSON DUTRA ZORTEA EDSON DUTRA ZORTEA (154.280.657-70)</t>
        </is>
      </c>
      <c r="O662" s="29" t="n">
        <v>0</v>
      </c>
      <c r="P662" s="29" t="n">
        <v>4.48</v>
      </c>
      <c r="Q662" s="29" t="n">
        <v>0</v>
      </c>
      <c r="R662" s="29" t="n">
        <v>0</v>
      </c>
      <c r="S662" s="29" t="n">
        <v>0</v>
      </c>
      <c r="T662" t="inlineStr">
        <is>
          <t>25241207575651003506570130000590471692841543</t>
        </is>
      </c>
      <c r="U662" t="inlineStr">
        <is>
          <t>Não</t>
        </is>
      </c>
    </row>
    <row r="663">
      <c r="A663" t="inlineStr">
        <is>
          <t>Frete de compra</t>
        </is>
      </c>
      <c r="B663" t="inlineStr">
        <is>
          <t>1.01.01 Venda de Mercadoria Fabricadas</t>
        </is>
      </c>
      <c r="C663" t="inlineStr">
        <is>
          <t>Antes de 2026</t>
        </is>
      </c>
      <c r="D663" t="inlineStr">
        <is>
          <t>Antes de 2026</t>
        </is>
      </c>
      <c r="E663" s="28" t="n">
        <v>45638</v>
      </c>
      <c r="F663" t="inlineStr">
        <is>
          <t>CT-e</t>
        </is>
      </c>
      <c r="G663" t="inlineStr">
        <is>
          <t>000059048</t>
        </is>
      </c>
      <c r="H663" t="inlineStr">
        <is>
          <t>GOL LINHAS AEREAS S.A.</t>
        </is>
      </c>
      <c r="J663" s="29" t="n">
        <v>136.99</v>
      </c>
      <c r="K663" s="29">
        <f>(1-ISNUMBER(SEARCH("556",M663)))*(O663*SUMIFS(Premissas!$C$5:$C$44,Premissas!$A$5:$A$44,$A663,Premissas!$B$5:$B$44,$B663)+P663*SUMIFS(Premissas!$D$5:$D$44,Premissas!$A$5:$A$44,$A663,Premissas!$B$5:$B$44,$B663))+R663*SUMIFS(Premissas!$E$5:$E$44,Premissas!$A$5:$A$44,$A663,Premissas!$B$5:$B$44,$B663)+S663*SUMIFS(Premissas!$F$5:$F$44,Premissas!$A$5:$A$44,$A663,Premissas!$B$5:$B$44,$B663)</f>
        <v/>
      </c>
      <c r="L663" s="29">
        <f>J663-K663</f>
        <v/>
      </c>
      <c r="M663" t="inlineStr">
        <is>
          <t>1.350</t>
        </is>
      </c>
      <c r="N663" t="inlineStr">
        <is>
          <t>Transportadora fora da lista de frete de venda, mas pela modalidade a Vinco enviou a carga | Modalidade: 0 - Por conta do remetente | Parte: JULIANA FERNANDES BORGES SOARES (001.868.381-90)</t>
        </is>
      </c>
      <c r="O663" s="29" t="n">
        <v>0</v>
      </c>
      <c r="P663" s="29" t="n">
        <v>5.48</v>
      </c>
      <c r="Q663" s="29" t="n">
        <v>0</v>
      </c>
      <c r="R663" s="29" t="n">
        <v>0</v>
      </c>
      <c r="S663" s="29" t="n">
        <v>0</v>
      </c>
      <c r="T663" t="inlineStr">
        <is>
          <t>25241207575651003506570130000590481286593410</t>
        </is>
      </c>
      <c r="U663" t="inlineStr">
        <is>
          <t>Não</t>
        </is>
      </c>
    </row>
    <row r="664">
      <c r="A664" t="inlineStr">
        <is>
          <t>Frete de compra</t>
        </is>
      </c>
      <c r="B664" t="inlineStr">
        <is>
          <t>1.01.01 Venda de Mercadoria Fabricadas</t>
        </is>
      </c>
      <c r="C664" t="inlineStr">
        <is>
          <t>Antes de 2026</t>
        </is>
      </c>
      <c r="D664" t="inlineStr">
        <is>
          <t>Antes de 2026</t>
        </is>
      </c>
      <c r="E664" s="28" t="n">
        <v>45638</v>
      </c>
      <c r="F664" t="inlineStr">
        <is>
          <t>CT-e</t>
        </is>
      </c>
      <c r="G664" t="inlineStr">
        <is>
          <t>000059049</t>
        </is>
      </c>
      <c r="H664" t="inlineStr">
        <is>
          <t>GOL LINHAS AEREAS S.A.</t>
        </is>
      </c>
      <c r="J664" s="29" t="n">
        <v>111.99</v>
      </c>
      <c r="K664" s="29">
        <f>(1-ISNUMBER(SEARCH("556",M664)))*(O664*SUMIFS(Premissas!$C$5:$C$44,Premissas!$A$5:$A$44,$A664,Premissas!$B$5:$B$44,$B664)+P664*SUMIFS(Premissas!$D$5:$D$44,Premissas!$A$5:$A$44,$A664,Premissas!$B$5:$B$44,$B664))+R664*SUMIFS(Premissas!$E$5:$E$44,Premissas!$A$5:$A$44,$A664,Premissas!$B$5:$B$44,$B664)+S664*SUMIFS(Premissas!$F$5:$F$44,Premissas!$A$5:$A$44,$A664,Premissas!$B$5:$B$44,$B664)</f>
        <v/>
      </c>
      <c r="L664" s="29">
        <f>J664-K664</f>
        <v/>
      </c>
      <c r="M664" t="inlineStr">
        <is>
          <t>1.350</t>
        </is>
      </c>
      <c r="N664" t="inlineStr">
        <is>
          <t>Transportadora fora da lista de frete de venda, mas pela modalidade a Vinco enviou a carga | Modalidade: 0 - Por conta do remetente | Parte: SERGIO ALVES LOUREIRO (028.012.587-92)</t>
        </is>
      </c>
      <c r="O664" s="29" t="n">
        <v>0</v>
      </c>
      <c r="P664" s="29" t="n">
        <v>4.48</v>
      </c>
      <c r="Q664" s="29" t="n">
        <v>0</v>
      </c>
      <c r="R664" s="29" t="n">
        <v>0</v>
      </c>
      <c r="S664" s="29" t="n">
        <v>0</v>
      </c>
      <c r="T664" t="inlineStr">
        <is>
          <t>25241207575651003506570130000590491934092436</t>
        </is>
      </c>
      <c r="U664" t="inlineStr">
        <is>
          <t>Não</t>
        </is>
      </c>
    </row>
    <row r="665">
      <c r="A665" t="inlineStr">
        <is>
          <t>Frete de compra</t>
        </is>
      </c>
      <c r="B665" t="inlineStr">
        <is>
          <t>1.01.01 Venda de Mercadoria Fabricadas</t>
        </is>
      </c>
      <c r="C665" t="inlineStr">
        <is>
          <t>Antes de 2026</t>
        </is>
      </c>
      <c r="D665" t="inlineStr">
        <is>
          <t>Antes de 2026</t>
        </is>
      </c>
      <c r="E665" s="28" t="n">
        <v>45638</v>
      </c>
      <c r="F665" t="inlineStr">
        <is>
          <t>CT-e</t>
        </is>
      </c>
      <c r="G665" t="inlineStr">
        <is>
          <t>000059051</t>
        </is>
      </c>
      <c r="H665" t="inlineStr">
        <is>
          <t>GOL LINHAS AEREAS S.A.</t>
        </is>
      </c>
      <c r="J665" s="29" t="n">
        <v>128.54</v>
      </c>
      <c r="K665" s="29">
        <f>(1-ISNUMBER(SEARCH("556",M665)))*(O665*SUMIFS(Premissas!$C$5:$C$44,Premissas!$A$5:$A$44,$A665,Premissas!$B$5:$B$44,$B665)+P665*SUMIFS(Premissas!$D$5:$D$44,Premissas!$A$5:$A$44,$A665,Premissas!$B$5:$B$44,$B665))+R665*SUMIFS(Premissas!$E$5:$E$44,Premissas!$A$5:$A$44,$A665,Premissas!$B$5:$B$44,$B665)+S665*SUMIFS(Premissas!$F$5:$F$44,Premissas!$A$5:$A$44,$A665,Premissas!$B$5:$B$44,$B665)</f>
        <v/>
      </c>
      <c r="L665" s="29">
        <f>J665-K665</f>
        <v/>
      </c>
      <c r="M665" t="inlineStr">
        <is>
          <t>1.350</t>
        </is>
      </c>
      <c r="N665" t="inlineStr">
        <is>
          <t>Transportadora fora da lista de frete de venda, mas pela modalidade a Vinco enviou a carga | Modalidade: 0 - Por conta do remetente | Parte: HADDAD REPRESENTACOES LTDA (29.304.139/0001-00)</t>
        </is>
      </c>
      <c r="O665" s="29" t="n">
        <v>0</v>
      </c>
      <c r="P665" s="29" t="n">
        <v>5.14</v>
      </c>
      <c r="Q665" s="29" t="n">
        <v>0</v>
      </c>
      <c r="R665" s="29" t="n">
        <v>0</v>
      </c>
      <c r="S665" s="29" t="n">
        <v>0</v>
      </c>
      <c r="T665" t="inlineStr">
        <is>
          <t>25241207575651003506570130000590511845226737</t>
        </is>
      </c>
      <c r="U665" t="inlineStr">
        <is>
          <t>Não</t>
        </is>
      </c>
    </row>
    <row r="666">
      <c r="A666" t="inlineStr">
        <is>
          <t>Frete de compra</t>
        </is>
      </c>
      <c r="B666" t="inlineStr">
        <is>
          <t>1.01.01 Venda de Mercadoria Fabricadas</t>
        </is>
      </c>
      <c r="C666" t="inlineStr">
        <is>
          <t>Antes de 2026</t>
        </is>
      </c>
      <c r="D666" t="inlineStr">
        <is>
          <t>Antes de 2026</t>
        </is>
      </c>
      <c r="E666" s="28" t="n">
        <v>45638</v>
      </c>
      <c r="F666" t="inlineStr">
        <is>
          <t>CT-e</t>
        </is>
      </c>
      <c r="G666" t="inlineStr">
        <is>
          <t>000059052</t>
        </is>
      </c>
      <c r="H666" t="inlineStr">
        <is>
          <t>GOL LINHAS AEREAS S.A.</t>
        </is>
      </c>
      <c r="J666" s="29" t="n">
        <v>70.98999999999999</v>
      </c>
      <c r="K666" s="29">
        <f>(1-ISNUMBER(SEARCH("556",M666)))*(O666*SUMIFS(Premissas!$C$5:$C$44,Premissas!$A$5:$A$44,$A666,Premissas!$B$5:$B$44,$B666)+P666*SUMIFS(Premissas!$D$5:$D$44,Premissas!$A$5:$A$44,$A666,Premissas!$B$5:$B$44,$B666))+R666*SUMIFS(Premissas!$E$5:$E$44,Premissas!$A$5:$A$44,$A666,Premissas!$B$5:$B$44,$B666)+S666*SUMIFS(Premissas!$F$5:$F$44,Premissas!$A$5:$A$44,$A666,Premissas!$B$5:$B$44,$B666)</f>
        <v/>
      </c>
      <c r="L666" s="29">
        <f>J666-K666</f>
        <v/>
      </c>
      <c r="M666" t="inlineStr">
        <is>
          <t>1.350</t>
        </is>
      </c>
      <c r="N666" t="inlineStr">
        <is>
          <t>Transportadora fora da lista de frete de venda, mas pela modalidade a Vinco enviou a carga | Modalidade: 0 - Por conta do remetente | Parte: EDINA GARCIA LIMA MONTIEL (056.964.428-38)</t>
        </is>
      </c>
      <c r="O666" s="29" t="n">
        <v>0</v>
      </c>
      <c r="P666" s="29" t="n">
        <v>2.84</v>
      </c>
      <c r="Q666" s="29" t="n">
        <v>0</v>
      </c>
      <c r="R666" s="29" t="n">
        <v>0</v>
      </c>
      <c r="S666" s="29" t="n">
        <v>0</v>
      </c>
      <c r="T666" t="inlineStr">
        <is>
          <t>25241207575651003506570130000590521566011600</t>
        </is>
      </c>
      <c r="U666" t="inlineStr">
        <is>
          <t>Não</t>
        </is>
      </c>
    </row>
    <row r="667">
      <c r="A667" t="inlineStr">
        <is>
          <t>Frete de compra</t>
        </is>
      </c>
      <c r="B667" t="inlineStr">
        <is>
          <t>1.01.01 Venda de Mercadoria Fabricadas</t>
        </is>
      </c>
      <c r="C667" t="inlineStr">
        <is>
          <t>Antes de 2026</t>
        </is>
      </c>
      <c r="D667" t="inlineStr">
        <is>
          <t>Antes de 2026</t>
        </is>
      </c>
      <c r="E667" s="28" t="n">
        <v>45638</v>
      </c>
      <c r="F667" t="inlineStr">
        <is>
          <t>CT-e</t>
        </is>
      </c>
      <c r="G667" t="inlineStr">
        <is>
          <t>000059055</t>
        </is>
      </c>
      <c r="H667" t="inlineStr">
        <is>
          <t>GOL LINHAS AEREAS S.A.</t>
        </is>
      </c>
      <c r="J667" s="29" t="n">
        <v>132.4</v>
      </c>
      <c r="K667" s="29">
        <f>(1-ISNUMBER(SEARCH("556",M667)))*(O667*SUMIFS(Premissas!$C$5:$C$44,Premissas!$A$5:$A$44,$A667,Premissas!$B$5:$B$44,$B667)+P667*SUMIFS(Premissas!$D$5:$D$44,Premissas!$A$5:$A$44,$A667,Premissas!$B$5:$B$44,$B667))+R667*SUMIFS(Premissas!$E$5:$E$44,Premissas!$A$5:$A$44,$A667,Premissas!$B$5:$B$44,$B667)+S667*SUMIFS(Premissas!$F$5:$F$44,Premissas!$A$5:$A$44,$A667,Premissas!$B$5:$B$44,$B667)</f>
        <v/>
      </c>
      <c r="L667" s="29">
        <f>J667-K667</f>
        <v/>
      </c>
      <c r="M667" t="inlineStr">
        <is>
          <t>1.350</t>
        </is>
      </c>
      <c r="N667" t="inlineStr">
        <is>
          <t>Transportadora fora da lista de frete de venda, mas pela modalidade a Vinco enviou a carga | Modalidade: 0 - Por conta do remetente | Parte: HELDER RODRIGUES CORREA (751.618.772-00)</t>
        </is>
      </c>
      <c r="O667" s="29" t="n">
        <v>0</v>
      </c>
      <c r="P667" s="29" t="n">
        <v>5.3</v>
      </c>
      <c r="Q667" s="29" t="n">
        <v>0</v>
      </c>
      <c r="R667" s="29" t="n">
        <v>0</v>
      </c>
      <c r="S667" s="29" t="n">
        <v>0</v>
      </c>
      <c r="T667" t="inlineStr">
        <is>
          <t>25241207575651003506570130000590551467141736</t>
        </is>
      </c>
      <c r="U667" t="inlineStr">
        <is>
          <t>Não</t>
        </is>
      </c>
    </row>
    <row r="668">
      <c r="A668" t="inlineStr">
        <is>
          <t>Frete de compra</t>
        </is>
      </c>
      <c r="B668" t="inlineStr">
        <is>
          <t>1.01.01 Venda de Mercadoria Fabricadas</t>
        </is>
      </c>
      <c r="C668" t="inlineStr">
        <is>
          <t>Antes de 2026</t>
        </is>
      </c>
      <c r="D668" t="inlineStr">
        <is>
          <t>Antes de 2026</t>
        </is>
      </c>
      <c r="E668" s="28" t="n">
        <v>45653</v>
      </c>
      <c r="F668" t="inlineStr">
        <is>
          <t>CT-e</t>
        </is>
      </c>
      <c r="G668" t="inlineStr">
        <is>
          <t>000059446</t>
        </is>
      </c>
      <c r="H668" t="inlineStr">
        <is>
          <t>GOL LINHAS AEREAS S.A.</t>
        </is>
      </c>
      <c r="J668" s="29" t="n">
        <v>44.99</v>
      </c>
      <c r="K668" s="29">
        <f>(1-ISNUMBER(SEARCH("556",M668)))*(O668*SUMIFS(Premissas!$C$5:$C$44,Premissas!$A$5:$A$44,$A668,Premissas!$B$5:$B$44,$B668)+P668*SUMIFS(Premissas!$D$5:$D$44,Premissas!$A$5:$A$44,$A668,Premissas!$B$5:$B$44,$B668))+R668*SUMIFS(Premissas!$E$5:$E$44,Premissas!$A$5:$A$44,$A668,Premissas!$B$5:$B$44,$B668)+S668*SUMIFS(Premissas!$F$5:$F$44,Premissas!$A$5:$A$44,$A668,Premissas!$B$5:$B$44,$B668)</f>
        <v/>
      </c>
      <c r="L668" s="29">
        <f>J668-K668</f>
        <v/>
      </c>
      <c r="M668" t="inlineStr">
        <is>
          <t>1.350</t>
        </is>
      </c>
      <c r="N668" t="inlineStr">
        <is>
          <t>Transportadora fora da lista de frete de venda, mas pela modalidade a Vinco enviou a carga | Modalidade: 0 - Por conta do remetente | Parte: GILMAR DE CARVALHO (814.563.105-00)</t>
        </is>
      </c>
      <c r="O668" s="29" t="n">
        <v>0</v>
      </c>
      <c r="P668" s="29" t="n">
        <v>1.8</v>
      </c>
      <c r="Q668" s="29" t="n">
        <v>0</v>
      </c>
      <c r="R668" s="29" t="n">
        <v>0</v>
      </c>
      <c r="S668" s="29" t="n">
        <v>0</v>
      </c>
      <c r="T668" t="inlineStr">
        <is>
          <t>25241207575651003506570130000594461340070006</t>
        </is>
      </c>
      <c r="U668" t="inlineStr">
        <is>
          <t>Não</t>
        </is>
      </c>
    </row>
    <row r="669">
      <c r="A669" t="inlineStr">
        <is>
          <t>Frete de compra</t>
        </is>
      </c>
      <c r="B669" t="inlineStr">
        <is>
          <t>2.01.01 Frete Galpão Produto Acabado</t>
        </is>
      </c>
      <c r="C669" t="inlineStr">
        <is>
          <t>Antes de 2026</t>
        </is>
      </c>
      <c r="D669" t="inlineStr">
        <is>
          <t>Antes de 2026</t>
        </is>
      </c>
      <c r="E669" s="28" t="n">
        <v>45728</v>
      </c>
      <c r="F669" t="inlineStr">
        <is>
          <t>CT-e</t>
        </is>
      </c>
      <c r="G669" t="inlineStr">
        <is>
          <t>000061826</t>
        </is>
      </c>
      <c r="H669" t="inlineStr">
        <is>
          <t>GOL LINHAS AEREAS S.A.</t>
        </is>
      </c>
      <c r="J669" s="29" t="n">
        <v>174.99</v>
      </c>
      <c r="K669" s="29">
        <f>(1-ISNUMBER(SEARCH("556",M669)))*(O669*SUMIFS(Premissas!$C$5:$C$44,Premissas!$A$5:$A$44,$A669,Premissas!$B$5:$B$44,$B669)+P669*SUMIFS(Premissas!$D$5:$D$44,Premissas!$A$5:$A$44,$A669,Premissas!$B$5:$B$44,$B669))+R669*SUMIFS(Premissas!$E$5:$E$44,Premissas!$A$5:$A$44,$A669,Premissas!$B$5:$B$44,$B669)+S669*SUMIFS(Premissas!$F$5:$F$44,Premissas!$A$5:$A$44,$A669,Premissas!$B$5:$B$44,$B669)</f>
        <v/>
      </c>
      <c r="L669" s="29">
        <f>J669-K669</f>
        <v/>
      </c>
      <c r="M669" t="inlineStr">
        <is>
          <t>1.350</t>
        </is>
      </c>
      <c r="N669" t="inlineStr">
        <is>
          <t>Transportadora fora da lista de frete de venda, mas pela modalidade a Vinco enviou a carga | Modalidade: 0 - Por conta do remetente | Parte: ROFERC REPRESENTACOES COMERCIAIS LTDA  ME (08.691.285/0001-66)</t>
        </is>
      </c>
      <c r="O669" s="29" t="n">
        <v>0</v>
      </c>
      <c r="P669" s="29" t="n">
        <v>7</v>
      </c>
      <c r="Q669" s="29" t="n">
        <v>0</v>
      </c>
      <c r="R669" s="29" t="n">
        <v>0</v>
      </c>
      <c r="S669" s="29" t="n">
        <v>0</v>
      </c>
      <c r="T669" t="inlineStr">
        <is>
          <t>25250307575651003506570130000618261917929179</t>
        </is>
      </c>
      <c r="U669" t="inlineStr">
        <is>
          <t>Não</t>
        </is>
      </c>
    </row>
    <row r="670">
      <c r="A670" t="inlineStr">
        <is>
          <t>Frete de compra</t>
        </is>
      </c>
      <c r="B670" t="inlineStr">
        <is>
          <t>2.01.01 Frete Galpão Produto Acabado</t>
        </is>
      </c>
      <c r="C670" t="inlineStr">
        <is>
          <t>Antes de 2026</t>
        </is>
      </c>
      <c r="D670" t="inlineStr">
        <is>
          <t>Antes de 2026</t>
        </is>
      </c>
      <c r="E670" s="28" t="n">
        <v>45728</v>
      </c>
      <c r="F670" t="inlineStr">
        <is>
          <t>CT-e</t>
        </is>
      </c>
      <c r="G670" t="inlineStr">
        <is>
          <t>000061827</t>
        </is>
      </c>
      <c r="H670" t="inlineStr">
        <is>
          <t>GOL LINHAS AEREAS S.A.</t>
        </is>
      </c>
      <c r="J670" s="29" t="n">
        <v>267.13</v>
      </c>
      <c r="K670" s="29">
        <f>(1-ISNUMBER(SEARCH("556",M670)))*(O670*SUMIFS(Premissas!$C$5:$C$44,Premissas!$A$5:$A$44,$A670,Premissas!$B$5:$B$44,$B670)+P670*SUMIFS(Premissas!$D$5:$D$44,Premissas!$A$5:$A$44,$A670,Premissas!$B$5:$B$44,$B670))+R670*SUMIFS(Premissas!$E$5:$E$44,Premissas!$A$5:$A$44,$A670,Premissas!$B$5:$B$44,$B670)+S670*SUMIFS(Premissas!$F$5:$F$44,Premissas!$A$5:$A$44,$A670,Premissas!$B$5:$B$44,$B670)</f>
        <v/>
      </c>
      <c r="L670" s="29">
        <f>J670-K670</f>
        <v/>
      </c>
      <c r="M670" t="inlineStr">
        <is>
          <t>1.350</t>
        </is>
      </c>
      <c r="N670" t="inlineStr">
        <is>
          <t>Transportadora fora da lista de frete de venda, mas pela modalidade a Vinco enviou a carga | Modalidade: 0 - Por conta do remetente | Parte: FOREST MAN REPRESENTACOES E COMERCIO DE ALIMENTOS LTDA (29.235.225/0001-09)</t>
        </is>
      </c>
      <c r="O670" s="29" t="n">
        <v>0</v>
      </c>
      <c r="P670" s="29" t="n">
        <v>10.69</v>
      </c>
      <c r="Q670" s="29" t="n">
        <v>0</v>
      </c>
      <c r="R670" s="29" t="n">
        <v>0</v>
      </c>
      <c r="S670" s="29" t="n">
        <v>0</v>
      </c>
      <c r="T670" t="inlineStr">
        <is>
          <t>25250307575651003506570130000618271442196013</t>
        </is>
      </c>
      <c r="U670" t="inlineStr">
        <is>
          <t>Não</t>
        </is>
      </c>
    </row>
    <row r="671">
      <c r="A671" t="inlineStr">
        <is>
          <t>Frete de compra</t>
        </is>
      </c>
      <c r="B671" t="inlineStr">
        <is>
          <t>2.01.02 Frete sobre Vendas</t>
        </is>
      </c>
      <c r="C671" t="inlineStr">
        <is>
          <t>Antes de 2026</t>
        </is>
      </c>
      <c r="D671" t="inlineStr">
        <is>
          <t>Antes de 2026</t>
        </is>
      </c>
      <c r="E671" s="28" t="n">
        <v>45898</v>
      </c>
      <c r="F671" t="inlineStr">
        <is>
          <t>CT-e</t>
        </is>
      </c>
      <c r="G671" t="inlineStr">
        <is>
          <t>000069474</t>
        </is>
      </c>
      <c r="H671" t="inlineStr">
        <is>
          <t>GOL LINHAS AEREAS S.A.</t>
        </is>
      </c>
      <c r="J671" s="29" t="n">
        <v>39.52</v>
      </c>
      <c r="K671" s="29">
        <f>(1-ISNUMBER(SEARCH("556",M671)))*(O671*SUMIFS(Premissas!$C$5:$C$44,Premissas!$A$5:$A$44,$A671,Premissas!$B$5:$B$44,$B671)+P671*SUMIFS(Premissas!$D$5:$D$44,Premissas!$A$5:$A$44,$A671,Premissas!$B$5:$B$44,$B671))+R671*SUMIFS(Premissas!$E$5:$E$44,Premissas!$A$5:$A$44,$A671,Premissas!$B$5:$B$44,$B671)+S671*SUMIFS(Premissas!$F$5:$F$44,Premissas!$A$5:$A$44,$A671,Premissas!$B$5:$B$44,$B671)</f>
        <v/>
      </c>
      <c r="L671" s="29">
        <f>J671-K671</f>
        <v/>
      </c>
      <c r="M671" t="inlineStr">
        <is>
          <t>1.350</t>
        </is>
      </c>
      <c r="N671" t="inlineStr">
        <is>
          <t>Transportadora fora da lista de frete de venda, mas pela modalidade a Vinco enviou a carga | Modalidade: 0 - Por conta do remetente | Parte: JOSE MARIA FILGUEIRAS (181.688.926-15)</t>
        </is>
      </c>
      <c r="O671" s="29" t="n">
        <v>0</v>
      </c>
      <c r="P671" s="29" t="n">
        <v>1.58</v>
      </c>
      <c r="Q671" s="29" t="n">
        <v>0</v>
      </c>
      <c r="R671" s="29" t="n">
        <v>0</v>
      </c>
      <c r="S671" s="29" t="n">
        <v>0</v>
      </c>
      <c r="T671" t="inlineStr">
        <is>
          <t>25250807575651003506570130000694741736935770</t>
        </is>
      </c>
      <c r="U671" t="inlineStr">
        <is>
          <t>Não</t>
        </is>
      </c>
    </row>
    <row r="672">
      <c r="A672" t="inlineStr">
        <is>
          <t>Frete de compra</t>
        </is>
      </c>
      <c r="B672" t="inlineStr">
        <is>
          <t>2.01.02 Frete sobre Vendas</t>
        </is>
      </c>
      <c r="C672" t="inlineStr">
        <is>
          <t>Antes de 2026</t>
        </is>
      </c>
      <c r="D672" t="inlineStr">
        <is>
          <t>Antes de 2026</t>
        </is>
      </c>
      <c r="E672" s="28" t="n">
        <v>45987</v>
      </c>
      <c r="F672" t="inlineStr">
        <is>
          <t>CT-e</t>
        </is>
      </c>
      <c r="G672" t="inlineStr">
        <is>
          <t>000073219</t>
        </is>
      </c>
      <c r="H672" t="inlineStr">
        <is>
          <t>GOL LINHAS AEREAS S.A.</t>
        </is>
      </c>
      <c r="J672" s="29" t="n">
        <v>168.27</v>
      </c>
      <c r="K672" s="29">
        <f>(1-ISNUMBER(SEARCH("556",M672)))*(O672*SUMIFS(Premissas!$C$5:$C$44,Premissas!$A$5:$A$44,$A672,Premissas!$B$5:$B$44,$B672)+P672*SUMIFS(Premissas!$D$5:$D$44,Premissas!$A$5:$A$44,$A672,Premissas!$B$5:$B$44,$B672))+R672*SUMIFS(Premissas!$E$5:$E$44,Premissas!$A$5:$A$44,$A672,Premissas!$B$5:$B$44,$B672)+S672*SUMIFS(Premissas!$F$5:$F$44,Premissas!$A$5:$A$44,$A672,Premissas!$B$5:$B$44,$B672)</f>
        <v/>
      </c>
      <c r="L672" s="29">
        <f>J672-K672</f>
        <v/>
      </c>
      <c r="M672" t="inlineStr">
        <is>
          <t>1.350</t>
        </is>
      </c>
      <c r="N672" t="inlineStr">
        <is>
          <t>Transportadora fora da lista de frete de venda, mas pela modalidade a Vinco enviou a carga | Modalidade: 0 - Por conta do remetente | Parte: ANDRE LUIZ NABARRETTE (886.544.516-53)</t>
        </is>
      </c>
      <c r="O672" s="29" t="n">
        <v>0</v>
      </c>
      <c r="P672" s="29" t="n">
        <v>6.73</v>
      </c>
      <c r="Q672" s="29" t="n">
        <v>0</v>
      </c>
      <c r="R672" s="29" t="n">
        <v>0</v>
      </c>
      <c r="S672" s="29" t="n">
        <v>0</v>
      </c>
      <c r="T672" t="inlineStr">
        <is>
          <t>25251107575651003506570130000732191435175441</t>
        </is>
      </c>
      <c r="U672" t="inlineStr">
        <is>
          <t>Não</t>
        </is>
      </c>
    </row>
    <row r="673">
      <c r="A673" t="inlineStr">
        <is>
          <t>Frete de compra</t>
        </is>
      </c>
      <c r="B673" t="inlineStr">
        <is>
          <t>2.01.02 Frete sobre Vendas</t>
        </is>
      </c>
      <c r="C673" t="inlineStr">
        <is>
          <t>Antes de 2026</t>
        </is>
      </c>
      <c r="D673" t="inlineStr">
        <is>
          <t>Antes de 2026</t>
        </is>
      </c>
      <c r="E673" s="28" t="n">
        <v>45987</v>
      </c>
      <c r="F673" t="inlineStr">
        <is>
          <t>CT-e</t>
        </is>
      </c>
      <c r="G673" t="inlineStr">
        <is>
          <t>000073220</t>
        </is>
      </c>
      <c r="H673" t="inlineStr">
        <is>
          <t>GOL LINHAS AEREAS S.A.</t>
        </is>
      </c>
      <c r="J673" s="29" t="n">
        <v>189.82</v>
      </c>
      <c r="K673" s="29">
        <f>(1-ISNUMBER(SEARCH("556",M673)))*(O673*SUMIFS(Premissas!$C$5:$C$44,Premissas!$A$5:$A$44,$A673,Premissas!$B$5:$B$44,$B673)+P673*SUMIFS(Premissas!$D$5:$D$44,Premissas!$A$5:$A$44,$A673,Premissas!$B$5:$B$44,$B673))+R673*SUMIFS(Premissas!$E$5:$E$44,Premissas!$A$5:$A$44,$A673,Premissas!$B$5:$B$44,$B673)+S673*SUMIFS(Premissas!$F$5:$F$44,Premissas!$A$5:$A$44,$A673,Premissas!$B$5:$B$44,$B673)</f>
        <v/>
      </c>
      <c r="L673" s="29">
        <f>J673-K673</f>
        <v/>
      </c>
      <c r="M673" t="inlineStr">
        <is>
          <t>1.350</t>
        </is>
      </c>
      <c r="N673" t="inlineStr">
        <is>
          <t>Transportadora fora da lista de frete de venda, mas pela modalidade a Vinco enviou a carga | Modalidade: 0 - Por conta do remetente | Parte: JULIANA THAINES (011.660.716-50)</t>
        </is>
      </c>
      <c r="O673" s="29" t="n">
        <v>0</v>
      </c>
      <c r="P673" s="29" t="n">
        <v>7.59</v>
      </c>
      <c r="Q673" s="29" t="n">
        <v>0</v>
      </c>
      <c r="R673" s="29" t="n">
        <v>0</v>
      </c>
      <c r="S673" s="29" t="n">
        <v>0</v>
      </c>
      <c r="T673" t="inlineStr">
        <is>
          <t>25251107575651003506570130000732201128286417</t>
        </is>
      </c>
      <c r="U673" t="inlineStr">
        <is>
          <t>Não</t>
        </is>
      </c>
    </row>
    <row r="674">
      <c r="A674" t="inlineStr">
        <is>
          <t>Frete de compra</t>
        </is>
      </c>
      <c r="B674" t="inlineStr">
        <is>
          <t>2.01.02 Frete sobre Vendas</t>
        </is>
      </c>
      <c r="C674" t="inlineStr">
        <is>
          <t>Antes de 2026</t>
        </is>
      </c>
      <c r="D674" t="inlineStr">
        <is>
          <t>Antes de 2026</t>
        </is>
      </c>
      <c r="E674" s="28" t="n">
        <v>45987</v>
      </c>
      <c r="F674" t="inlineStr">
        <is>
          <t>CT-e</t>
        </is>
      </c>
      <c r="G674" t="inlineStr">
        <is>
          <t>000073221</t>
        </is>
      </c>
      <c r="H674" t="inlineStr">
        <is>
          <t>GOL LINHAS AEREAS S.A.</t>
        </is>
      </c>
      <c r="J674" s="29" t="n">
        <v>189.82</v>
      </c>
      <c r="K674" s="29">
        <f>(1-ISNUMBER(SEARCH("556",M674)))*(O674*SUMIFS(Premissas!$C$5:$C$44,Premissas!$A$5:$A$44,$A674,Premissas!$B$5:$B$44,$B674)+P674*SUMIFS(Premissas!$D$5:$D$44,Premissas!$A$5:$A$44,$A674,Premissas!$B$5:$B$44,$B674))+R674*SUMIFS(Premissas!$E$5:$E$44,Premissas!$A$5:$A$44,$A674,Premissas!$B$5:$B$44,$B674)+S674*SUMIFS(Premissas!$F$5:$F$44,Premissas!$A$5:$A$44,$A674,Premissas!$B$5:$B$44,$B674)</f>
        <v/>
      </c>
      <c r="L674" s="29">
        <f>J674-K674</f>
        <v/>
      </c>
      <c r="M674" t="inlineStr">
        <is>
          <t>1.350</t>
        </is>
      </c>
      <c r="N674" t="inlineStr">
        <is>
          <t>Transportadora fora da lista de frete de venda, mas pela modalidade a Vinco enviou a carga | Modalidade: 0 - Por conta do remetente | Parte: VERA LUCIA PEREIRA PUCCI FERRI (743.154.399-91)</t>
        </is>
      </c>
      <c r="O674" s="29" t="n">
        <v>0</v>
      </c>
      <c r="P674" s="29" t="n">
        <v>7.59</v>
      </c>
      <c r="Q674" s="29" t="n">
        <v>0</v>
      </c>
      <c r="R674" s="29" t="n">
        <v>0</v>
      </c>
      <c r="S674" s="29" t="n">
        <v>0</v>
      </c>
      <c r="T674" t="inlineStr">
        <is>
          <t>25251107575651003506570130000732211507498177</t>
        </is>
      </c>
      <c r="U674" t="inlineStr">
        <is>
          <t>Não</t>
        </is>
      </c>
    </row>
    <row r="675">
      <c r="A675" t="inlineStr">
        <is>
          <t>Frete de compra</t>
        </is>
      </c>
      <c r="B675" t="inlineStr">
        <is>
          <t>2.01.02 Frete sobre Vendas</t>
        </is>
      </c>
      <c r="C675" t="inlineStr">
        <is>
          <t>Antes de 2026</t>
        </is>
      </c>
      <c r="D675" t="inlineStr">
        <is>
          <t>Antes de 2026</t>
        </is>
      </c>
      <c r="E675" s="28" t="n">
        <v>46000</v>
      </c>
      <c r="F675" t="inlineStr">
        <is>
          <t>CT-e</t>
        </is>
      </c>
      <c r="G675" t="inlineStr">
        <is>
          <t>000282868</t>
        </is>
      </c>
      <c r="H675" t="inlineStr">
        <is>
          <t>STANCANELLI TRANSPORTES E LOGISTICA LTDA</t>
        </is>
      </c>
      <c r="J675" s="29" t="n">
        <v>5180.3</v>
      </c>
      <c r="K675" s="29">
        <f>(1-ISNUMBER(SEARCH("556",M675)))*(O675*SUMIFS(Premissas!$C$5:$C$44,Premissas!$A$5:$A$44,$A675,Premissas!$B$5:$B$44,$B675)+P675*SUMIFS(Premissas!$D$5:$D$44,Premissas!$A$5:$A$44,$A675,Premissas!$B$5:$B$44,$B675))+R675*SUMIFS(Premissas!$E$5:$E$44,Premissas!$A$5:$A$44,$A675,Premissas!$B$5:$B$44,$B675)+S675*SUMIFS(Premissas!$F$5:$F$44,Premissas!$A$5:$A$44,$A675,Premissas!$B$5:$B$44,$B675)</f>
        <v/>
      </c>
      <c r="L675" s="29">
        <f>J675-K675</f>
        <v/>
      </c>
      <c r="M675" t="inlineStr">
        <is>
          <t>1.556</t>
        </is>
      </c>
      <c r="N675" t="inlineStr">
        <is>
          <t>Modalidade: 1 - Por conta do destinatário | Parte: FITTYCOR - INDUSTRIA E COMERCIO DE TINTAS ESPECIAIS LTDA (53.071.692/0001-25)</t>
        </is>
      </c>
      <c r="O675" s="29" t="n">
        <v>0</v>
      </c>
      <c r="P675" s="29" t="n">
        <v>362.62</v>
      </c>
      <c r="Q675" s="29" t="n">
        <v>0</v>
      </c>
      <c r="R675" s="29" t="n">
        <v>0</v>
      </c>
      <c r="S675" s="29" t="n">
        <v>0</v>
      </c>
      <c r="T675" t="inlineStr">
        <is>
          <t>35251207703052000173570010002828681002734733</t>
        </is>
      </c>
      <c r="U675" t="inlineStr">
        <is>
          <t>Não</t>
        </is>
      </c>
    </row>
    <row r="676">
      <c r="A676" t="inlineStr">
        <is>
          <t>Frete de compra</t>
        </is>
      </c>
      <c r="B676" t="inlineStr">
        <is>
          <t>2.01.02 Frete sobre Vendas</t>
        </is>
      </c>
      <c r="C676" s="30" t="n">
        <v>46204</v>
      </c>
      <c r="D676" t="inlineStr">
        <is>
          <t>Em 2026</t>
        </is>
      </c>
      <c r="E676" s="28" t="n">
        <v>46213</v>
      </c>
      <c r="F676" t="inlineStr">
        <is>
          <t>CT-e</t>
        </is>
      </c>
      <c r="G676" t="inlineStr">
        <is>
          <t>000083435</t>
        </is>
      </c>
      <c r="H676" t="inlineStr">
        <is>
          <t>GOL LINHAS AEREAS S.A.</t>
        </is>
      </c>
      <c r="J676" s="29" t="n">
        <v>207.46</v>
      </c>
      <c r="K676" s="29">
        <f>(1-ISNUMBER(SEARCH("556",M676)))*(O676*SUMIFS(Premissas!$C$5:$C$44,Premissas!$A$5:$A$44,$A676,Premissas!$B$5:$B$44,$B676)+P676*SUMIFS(Premissas!$D$5:$D$44,Premissas!$A$5:$A$44,$A676,Premissas!$B$5:$B$44,$B676))+R676*SUMIFS(Premissas!$E$5:$E$44,Premissas!$A$5:$A$44,$A676,Premissas!$B$5:$B$44,$B676)+S676*SUMIFS(Premissas!$F$5:$F$44,Premissas!$A$5:$A$44,$A676,Premissas!$B$5:$B$44,$B676)</f>
        <v/>
      </c>
      <c r="L676" s="29">
        <f>J676-K676</f>
        <v/>
      </c>
      <c r="M676" t="inlineStr">
        <is>
          <t>1.350</t>
        </is>
      </c>
      <c r="N676" t="inlineStr">
        <is>
          <t>Transportadora fora da lista de frete de venda, mas pela modalidade a Vinco enviou a carga | Modalidade: 0 - Por conta do remetente | Parte: SANTANA REPRESENTACOES LTDA (06.315.332/0001-41)</t>
        </is>
      </c>
      <c r="O676" s="29" t="n">
        <v>0</v>
      </c>
      <c r="P676" s="29" t="n">
        <v>8.300000000000001</v>
      </c>
      <c r="Q676" s="29" t="n">
        <v>0</v>
      </c>
      <c r="R676" s="29" t="n">
        <v>0</v>
      </c>
      <c r="S676" s="29" t="n">
        <v>0</v>
      </c>
      <c r="T676" t="inlineStr">
        <is>
          <t>25260707575651003506570130000834351741283891</t>
        </is>
      </c>
      <c r="U676" t="inlineStr">
        <is>
          <t>Não</t>
        </is>
      </c>
    </row>
    <row r="677">
      <c r="A677" t="inlineStr">
        <is>
          <t>Frete de compra</t>
        </is>
      </c>
      <c r="B677" t="inlineStr">
        <is>
          <t>2.01.02 Frete sobre Vendas</t>
        </is>
      </c>
      <c r="C677" s="30" t="n">
        <v>46204</v>
      </c>
      <c r="D677" t="inlineStr">
        <is>
          <t>Em 2026</t>
        </is>
      </c>
      <c r="E677" s="28" t="n">
        <v>46213</v>
      </c>
      <c r="F677" t="inlineStr">
        <is>
          <t>CT-e</t>
        </is>
      </c>
      <c r="G677" t="inlineStr">
        <is>
          <t>000083436</t>
        </is>
      </c>
      <c r="H677" t="inlineStr">
        <is>
          <t>GOL LINHAS AEREAS S.A.</t>
        </is>
      </c>
      <c r="J677" s="29" t="n">
        <v>91.5</v>
      </c>
      <c r="K677" s="29">
        <f>(1-ISNUMBER(SEARCH("556",M677)))*(O677*SUMIFS(Premissas!$C$5:$C$44,Premissas!$A$5:$A$44,$A677,Premissas!$B$5:$B$44,$B677)+P677*SUMIFS(Premissas!$D$5:$D$44,Premissas!$A$5:$A$44,$A677,Premissas!$B$5:$B$44,$B677))+R677*SUMIFS(Premissas!$E$5:$E$44,Premissas!$A$5:$A$44,$A677,Premissas!$B$5:$B$44,$B677)+S677*SUMIFS(Premissas!$F$5:$F$44,Premissas!$A$5:$A$44,$A677,Premissas!$B$5:$B$44,$B677)</f>
        <v/>
      </c>
      <c r="L677" s="29">
        <f>J677-K677</f>
        <v/>
      </c>
      <c r="M677" t="inlineStr">
        <is>
          <t>1.350</t>
        </is>
      </c>
      <c r="N677" t="inlineStr">
        <is>
          <t>Transportadora fora da lista de frete de venda, mas pela modalidade a Vinco enviou a carga | Modalidade: 0 - Por conta do remetente | Parte: SR REPRESENTACOES COMERCIAIS LTDA (08.970.795/0001-72)</t>
        </is>
      </c>
      <c r="O677" s="29" t="n">
        <v>0</v>
      </c>
      <c r="P677" s="29" t="n">
        <v>3.66</v>
      </c>
      <c r="Q677" s="29" t="n">
        <v>0</v>
      </c>
      <c r="R677" s="29" t="n">
        <v>0</v>
      </c>
      <c r="S677" s="29" t="n">
        <v>0</v>
      </c>
      <c r="T677" t="inlineStr">
        <is>
          <t>25260707575651003506570130000834361605401842</t>
        </is>
      </c>
      <c r="U677" t="inlineStr">
        <is>
          <t>Não</t>
        </is>
      </c>
    </row>
    <row r="678">
      <c r="A678" t="inlineStr">
        <is>
          <t>Frete de compra</t>
        </is>
      </c>
      <c r="B678" t="inlineStr">
        <is>
          <t>2.01.02 Frete sobre Vendas</t>
        </is>
      </c>
      <c r="C678" s="30" t="n">
        <v>46204</v>
      </c>
      <c r="D678" t="inlineStr">
        <is>
          <t>Em 2026</t>
        </is>
      </c>
      <c r="E678" s="28" t="n">
        <v>46213</v>
      </c>
      <c r="F678" t="inlineStr">
        <is>
          <t>CT-e</t>
        </is>
      </c>
      <c r="G678" t="inlineStr">
        <is>
          <t>000083437</t>
        </is>
      </c>
      <c r="H678" t="inlineStr">
        <is>
          <t>GOL LINHAS AEREAS S.A.</t>
        </is>
      </c>
      <c r="J678" s="29" t="n">
        <v>231.66</v>
      </c>
      <c r="K678" s="29">
        <f>(1-ISNUMBER(SEARCH("556",M678)))*(O678*SUMIFS(Premissas!$C$5:$C$44,Premissas!$A$5:$A$44,$A678,Premissas!$B$5:$B$44,$B678)+P678*SUMIFS(Premissas!$D$5:$D$44,Premissas!$A$5:$A$44,$A678,Premissas!$B$5:$B$44,$B678))+R678*SUMIFS(Premissas!$E$5:$E$44,Premissas!$A$5:$A$44,$A678,Premissas!$B$5:$B$44,$B678)+S678*SUMIFS(Premissas!$F$5:$F$44,Premissas!$A$5:$A$44,$A678,Premissas!$B$5:$B$44,$B678)</f>
        <v/>
      </c>
      <c r="L678" s="29">
        <f>J678-K678</f>
        <v/>
      </c>
      <c r="M678" t="inlineStr">
        <is>
          <t>1.350</t>
        </is>
      </c>
      <c r="N678" t="inlineStr">
        <is>
          <t>Transportadora fora da lista de frete de venda, mas pela modalidade a Vinco enviou a carga | Modalidade: 0 - Por conta do remetente | Parte: TTB GESTAO EMPRESARIAL E SERVICOS LTDA (62.757.579/0001-99)</t>
        </is>
      </c>
      <c r="O678" s="29" t="n">
        <v>0</v>
      </c>
      <c r="P678" s="29" t="n">
        <v>9.27</v>
      </c>
      <c r="Q678" s="29" t="n">
        <v>0</v>
      </c>
      <c r="R678" s="29" t="n">
        <v>0</v>
      </c>
      <c r="S678" s="29" t="n">
        <v>0</v>
      </c>
      <c r="T678" t="inlineStr">
        <is>
          <t>25260707575651003506570130000834371469519805</t>
        </is>
      </c>
      <c r="U678" t="inlineStr">
        <is>
          <t>Não</t>
        </is>
      </c>
    </row>
    <row r="679">
      <c r="A679" t="inlineStr">
        <is>
          <t>Frete de compra</t>
        </is>
      </c>
      <c r="B679" t="inlineStr">
        <is>
          <t>2.01.02 Frete sobre Vendas</t>
        </is>
      </c>
      <c r="C679" s="30" t="n">
        <v>46204</v>
      </c>
      <c r="D679" t="inlineStr">
        <is>
          <t>Em 2026</t>
        </is>
      </c>
      <c r="E679" s="28" t="n">
        <v>46213</v>
      </c>
      <c r="F679" t="inlineStr">
        <is>
          <t>CT-e</t>
        </is>
      </c>
      <c r="G679" t="inlineStr">
        <is>
          <t>000083438</t>
        </is>
      </c>
      <c r="H679" t="inlineStr">
        <is>
          <t>GOL LINHAS AEREAS S.A.</t>
        </is>
      </c>
      <c r="J679" s="29" t="n">
        <v>369.52</v>
      </c>
      <c r="K679" s="29">
        <f>(1-ISNUMBER(SEARCH("556",M679)))*(O679*SUMIFS(Premissas!$C$5:$C$44,Premissas!$A$5:$A$44,$A679,Premissas!$B$5:$B$44,$B679)+P679*SUMIFS(Premissas!$D$5:$D$44,Premissas!$A$5:$A$44,$A679,Premissas!$B$5:$B$44,$B679))+R679*SUMIFS(Premissas!$E$5:$E$44,Premissas!$A$5:$A$44,$A679,Premissas!$B$5:$B$44,$B679)+S679*SUMIFS(Premissas!$F$5:$F$44,Premissas!$A$5:$A$44,$A679,Premissas!$B$5:$B$44,$B679)</f>
        <v/>
      </c>
      <c r="L679" s="29">
        <f>J679-K679</f>
        <v/>
      </c>
      <c r="M679" t="inlineStr">
        <is>
          <t>1.350</t>
        </is>
      </c>
      <c r="N679" t="inlineStr">
        <is>
          <t>Transportadora fora da lista de frete de venda, mas pela modalidade a Vinco enviou a carga | Modalidade: 0 - Por conta do remetente | Parte: J M A DE ARAUJO e CIA LTDA (01.260.927/0001-23)</t>
        </is>
      </c>
      <c r="O679" s="29" t="n">
        <v>0</v>
      </c>
      <c r="P679" s="29" t="n">
        <v>14.78</v>
      </c>
      <c r="Q679" s="29" t="n">
        <v>0</v>
      </c>
      <c r="R679" s="29" t="n">
        <v>0</v>
      </c>
      <c r="S679" s="29" t="n">
        <v>0</v>
      </c>
      <c r="T679" t="inlineStr">
        <is>
          <t>25260707575651003506570130000834381877402339</t>
        </is>
      </c>
      <c r="U679" t="inlineStr">
        <is>
          <t>Não</t>
        </is>
      </c>
    </row>
    <row r="680">
      <c r="A680" t="inlineStr">
        <is>
          <t>Frete de compra</t>
        </is>
      </c>
      <c r="B680" t="inlineStr">
        <is>
          <t>2.01.02 Frete sobre Vendas</t>
        </is>
      </c>
      <c r="C680" s="30" t="n">
        <v>46235</v>
      </c>
      <c r="D680" t="inlineStr">
        <is>
          <t>Em 2026</t>
        </is>
      </c>
      <c r="E680" s="28" t="n">
        <v>46265</v>
      </c>
      <c r="F680" t="inlineStr">
        <is>
          <t>CT-e</t>
        </is>
      </c>
      <c r="G680" t="inlineStr">
        <is>
          <t>000203477</t>
        </is>
      </c>
      <c r="H680" t="inlineStr">
        <is>
          <t>ALIANCA NAVEGACAO E LOGISTICA LTDA</t>
        </is>
      </c>
      <c r="J680" s="29" t="n">
        <v>23327.56</v>
      </c>
      <c r="K680" s="29">
        <f>(1-ISNUMBER(SEARCH("556",M680)))*(O680*SUMIFS(Premissas!$C$5:$C$44,Premissas!$A$5:$A$44,$A680,Premissas!$B$5:$B$44,$B680)+P680*SUMIFS(Premissas!$D$5:$D$44,Premissas!$A$5:$A$44,$A680,Premissas!$B$5:$B$44,$B680))+R680*SUMIFS(Premissas!$E$5:$E$44,Premissas!$A$5:$A$44,$A680,Premissas!$B$5:$B$44,$B680)+S680*SUMIFS(Premissas!$F$5:$F$44,Premissas!$A$5:$A$44,$A680,Premissas!$B$5:$B$44,$B680)</f>
        <v/>
      </c>
      <c r="L680" s="29">
        <f>J680-K680</f>
        <v/>
      </c>
      <c r="M680" t="inlineStr">
        <is>
          <t>2.350</t>
        </is>
      </c>
      <c r="N680" t="inlineStr">
        <is>
          <t>Modalidade: 2 - Por conta de terceiros | Parte: CMPC Iguacu Embalagens Ltda (11.308.600/0008-04)</t>
        </is>
      </c>
      <c r="O680" s="29" t="n">
        <v>0</v>
      </c>
      <c r="P680" s="29" t="n">
        <v>1632.93</v>
      </c>
      <c r="Q680" s="29" t="n">
        <v>0</v>
      </c>
      <c r="R680" s="29" t="n">
        <v>0</v>
      </c>
      <c r="S680" s="29" t="n">
        <v>0</v>
      </c>
      <c r="T680" t="inlineStr">
        <is>
          <t>42260802427026000901570040002034771020347799</t>
        </is>
      </c>
      <c r="U680" t="inlineStr">
        <is>
          <t>Sim</t>
        </is>
      </c>
    </row>
    <row r="681">
      <c r="A681" t="inlineStr">
        <is>
          <t>Frete de compra</t>
        </is>
      </c>
      <c r="B681" t="inlineStr">
        <is>
          <t>2.01.82 Estadia - Cabotagem</t>
        </is>
      </c>
      <c r="C681" s="30" t="n">
        <v>46054</v>
      </c>
      <c r="D681" t="inlineStr">
        <is>
          <t>Em 2026</t>
        </is>
      </c>
      <c r="E681" s="28" t="n">
        <v>46079</v>
      </c>
      <c r="F681" t="inlineStr">
        <is>
          <t>CT-e</t>
        </is>
      </c>
      <c r="G681" t="inlineStr">
        <is>
          <t>000190605</t>
        </is>
      </c>
      <c r="H681" t="inlineStr">
        <is>
          <t>ALIANCA NAVEGACAO E LOGISTICA LTDA</t>
        </is>
      </c>
      <c r="J681" s="29" t="n">
        <v>129.03</v>
      </c>
      <c r="K681" s="29">
        <f>(1-ISNUMBER(SEARCH("556",M681)))*(O681*SUMIFS(Premissas!$C$5:$C$44,Premissas!$A$5:$A$44,$A681,Premissas!$B$5:$B$44,$B681)+P681*SUMIFS(Premissas!$D$5:$D$44,Premissas!$A$5:$A$44,$A681,Premissas!$B$5:$B$44,$B681))+R681*SUMIFS(Premissas!$E$5:$E$44,Premissas!$A$5:$A$44,$A681,Premissas!$B$5:$B$44,$B681)+S681*SUMIFS(Premissas!$F$5:$F$44,Premissas!$A$5:$A$44,$A681,Premissas!$B$5:$B$44,$B681)</f>
        <v/>
      </c>
      <c r="L681" s="29">
        <f>J681-K681</f>
        <v/>
      </c>
      <c r="M681" t="inlineStr">
        <is>
          <t>1.350</t>
        </is>
      </c>
      <c r="N681" t="inlineStr">
        <is>
          <t>Modalidade: 2 - Por conta de terceiros | Parte: CMPC Iguacu Embalagens Ltda (11.308.600/0008-04)</t>
        </is>
      </c>
      <c r="O681" s="29" t="n">
        <v>0</v>
      </c>
      <c r="P681" s="29" t="n">
        <v>9.029999999999999</v>
      </c>
      <c r="Q681" s="29" t="n">
        <v>0</v>
      </c>
      <c r="R681" s="29" t="n">
        <v>0</v>
      </c>
      <c r="S681" s="29" t="n">
        <v>0</v>
      </c>
      <c r="T681" t="inlineStr">
        <is>
          <t>42260202427026000901570040001906051019060593</t>
        </is>
      </c>
      <c r="U681" t="inlineStr">
        <is>
          <t>Sim</t>
        </is>
      </c>
    </row>
    <row r="682">
      <c r="A682" t="inlineStr">
        <is>
          <t>Frete de compra</t>
        </is>
      </c>
      <c r="B682" t="inlineStr">
        <is>
          <t>2.01.82 Estadia - Cabotagem</t>
        </is>
      </c>
      <c r="C682" s="30" t="n">
        <v>46054</v>
      </c>
      <c r="D682" t="inlineStr">
        <is>
          <t>Em 2026</t>
        </is>
      </c>
      <c r="E682" s="28" t="n">
        <v>46079</v>
      </c>
      <c r="F682" t="inlineStr">
        <is>
          <t>CT-e</t>
        </is>
      </c>
      <c r="G682" t="inlineStr">
        <is>
          <t>000190606</t>
        </is>
      </c>
      <c r="H682" t="inlineStr">
        <is>
          <t>ALIANCA NAVEGACAO E LOGISTICA LTDA</t>
        </is>
      </c>
      <c r="J682" s="29" t="n">
        <v>129.03</v>
      </c>
      <c r="K682" s="29">
        <f>(1-ISNUMBER(SEARCH("556",M682)))*(O682*SUMIFS(Premissas!$C$5:$C$44,Premissas!$A$5:$A$44,$A682,Premissas!$B$5:$B$44,$B682)+P682*SUMIFS(Premissas!$D$5:$D$44,Premissas!$A$5:$A$44,$A682,Premissas!$B$5:$B$44,$B682))+R682*SUMIFS(Premissas!$E$5:$E$44,Premissas!$A$5:$A$44,$A682,Premissas!$B$5:$B$44,$B682)+S682*SUMIFS(Premissas!$F$5:$F$44,Premissas!$A$5:$A$44,$A682,Premissas!$B$5:$B$44,$B682)</f>
        <v/>
      </c>
      <c r="L682" s="29">
        <f>J682-K682</f>
        <v/>
      </c>
      <c r="M682" t="inlineStr">
        <is>
          <t>1.350</t>
        </is>
      </c>
      <c r="N682" t="inlineStr">
        <is>
          <t>Modalidade: 2 - Por conta de terceiros | Parte: CMPC Iguacu Embalagens Ltda (11.308.600/0008-04)</t>
        </is>
      </c>
      <c r="O682" s="29" t="n">
        <v>0</v>
      </c>
      <c r="P682" s="29" t="n">
        <v>9.029999999999999</v>
      </c>
      <c r="Q682" s="29" t="n">
        <v>0</v>
      </c>
      <c r="R682" s="29" t="n">
        <v>0</v>
      </c>
      <c r="S682" s="29" t="n">
        <v>0</v>
      </c>
      <c r="T682" t="inlineStr">
        <is>
          <t>42260202427026000901570040001906061019060698</t>
        </is>
      </c>
      <c r="U682" t="inlineStr">
        <is>
          <t>Sim</t>
        </is>
      </c>
    </row>
    <row r="683">
      <c r="A683" t="inlineStr">
        <is>
          <t>Frete de compra</t>
        </is>
      </c>
      <c r="B683" t="inlineStr">
        <is>
          <t>2.01.82 Estadia - Cabotagem</t>
        </is>
      </c>
      <c r="C683" s="30" t="n">
        <v>46054</v>
      </c>
      <c r="D683" t="inlineStr">
        <is>
          <t>Em 2026</t>
        </is>
      </c>
      <c r="E683" s="28" t="n">
        <v>46079</v>
      </c>
      <c r="F683" t="inlineStr">
        <is>
          <t>CT-e</t>
        </is>
      </c>
      <c r="G683" t="inlineStr">
        <is>
          <t>000190609</t>
        </is>
      </c>
      <c r="H683" t="inlineStr">
        <is>
          <t>ALIANCA NAVEGACAO E LOGISTICA LTDA</t>
        </is>
      </c>
      <c r="J683" s="29" t="n">
        <v>129.03</v>
      </c>
      <c r="K683" s="29">
        <f>(1-ISNUMBER(SEARCH("556",M683)))*(O683*SUMIFS(Premissas!$C$5:$C$44,Premissas!$A$5:$A$44,$A683,Premissas!$B$5:$B$44,$B683)+P683*SUMIFS(Premissas!$D$5:$D$44,Premissas!$A$5:$A$44,$A683,Premissas!$B$5:$B$44,$B683))+R683*SUMIFS(Premissas!$E$5:$E$44,Premissas!$A$5:$A$44,$A683,Premissas!$B$5:$B$44,$B683)+S683*SUMIFS(Premissas!$F$5:$F$44,Premissas!$A$5:$A$44,$A683,Premissas!$B$5:$B$44,$B683)</f>
        <v/>
      </c>
      <c r="L683" s="29">
        <f>J683-K683</f>
        <v/>
      </c>
      <c r="M683" t="inlineStr">
        <is>
          <t>1.350</t>
        </is>
      </c>
      <c r="N683" t="inlineStr">
        <is>
          <t>Modalidade: 1 - Por conta do destinatário | Parte: CMPC Iguacu Embalagens Ltda (11.308.600/0008-04)</t>
        </is>
      </c>
      <c r="O683" s="29" t="n">
        <v>0</v>
      </c>
      <c r="P683" s="29" t="n">
        <v>9.029999999999999</v>
      </c>
      <c r="Q683" s="29" t="n">
        <v>0</v>
      </c>
      <c r="R683" s="29" t="n">
        <v>0</v>
      </c>
      <c r="S683" s="29" t="n">
        <v>0</v>
      </c>
      <c r="T683" t="inlineStr">
        <is>
          <t>42260202427026000901570040001906091019060991</t>
        </is>
      </c>
      <c r="U683" t="inlineStr">
        <is>
          <t>Sim</t>
        </is>
      </c>
    </row>
    <row r="684">
      <c r="A684" t="inlineStr">
        <is>
          <t>Frete de compra</t>
        </is>
      </c>
      <c r="B684" t="inlineStr">
        <is>
          <t>2.01.82 Estadia - Cabotagem</t>
        </is>
      </c>
      <c r="C684" s="30" t="n">
        <v>46054</v>
      </c>
      <c r="D684" t="inlineStr">
        <is>
          <t>Em 2026</t>
        </is>
      </c>
      <c r="E684" s="28" t="n">
        <v>46079</v>
      </c>
      <c r="F684" t="inlineStr">
        <is>
          <t>CT-e</t>
        </is>
      </c>
      <c r="G684" t="inlineStr">
        <is>
          <t>000190611</t>
        </is>
      </c>
      <c r="H684" t="inlineStr">
        <is>
          <t>ALIANCA NAVEGACAO E LOGISTICA LTDA</t>
        </is>
      </c>
      <c r="J684" s="29" t="n">
        <v>258.06</v>
      </c>
      <c r="K684" s="29">
        <f>(1-ISNUMBER(SEARCH("556",M684)))*(O684*SUMIFS(Premissas!$C$5:$C$44,Premissas!$A$5:$A$44,$A684,Premissas!$B$5:$B$44,$B684)+P684*SUMIFS(Premissas!$D$5:$D$44,Premissas!$A$5:$A$44,$A684,Premissas!$B$5:$B$44,$B684))+R684*SUMIFS(Premissas!$E$5:$E$44,Premissas!$A$5:$A$44,$A684,Premissas!$B$5:$B$44,$B684)+S684*SUMIFS(Premissas!$F$5:$F$44,Premissas!$A$5:$A$44,$A684,Premissas!$B$5:$B$44,$B684)</f>
        <v/>
      </c>
      <c r="L684" s="29">
        <f>J684-K684</f>
        <v/>
      </c>
      <c r="M684" t="inlineStr">
        <is>
          <t>1.350</t>
        </is>
      </c>
      <c r="N684" t="inlineStr">
        <is>
          <t>Modalidade: 2 - Por conta de terceiros | Parte: CMPC Iguacu Embalagens Ltda (11.308.600/0008-04)</t>
        </is>
      </c>
      <c r="O684" s="29" t="n">
        <v>0</v>
      </c>
      <c r="P684" s="29" t="n">
        <v>18.06</v>
      </c>
      <c r="Q684" s="29" t="n">
        <v>0</v>
      </c>
      <c r="R684" s="29" t="n">
        <v>0</v>
      </c>
      <c r="S684" s="29" t="n">
        <v>0</v>
      </c>
      <c r="T684" t="inlineStr">
        <is>
          <t>42260202427026000901570040001906111019061198</t>
        </is>
      </c>
      <c r="U684" t="inlineStr">
        <is>
          <t>Sim</t>
        </is>
      </c>
    </row>
    <row r="685">
      <c r="A685" t="inlineStr">
        <is>
          <t>Frete de compra</t>
        </is>
      </c>
      <c r="B685" t="inlineStr">
        <is>
          <t>2.01.82 Estadia - Cabotagem</t>
        </is>
      </c>
      <c r="C685" s="30" t="n">
        <v>46054</v>
      </c>
      <c r="D685" t="inlineStr">
        <is>
          <t>Em 2026</t>
        </is>
      </c>
      <c r="E685" s="28" t="n">
        <v>46079</v>
      </c>
      <c r="F685" t="inlineStr">
        <is>
          <t>CT-e</t>
        </is>
      </c>
      <c r="G685" t="inlineStr">
        <is>
          <t>000190625</t>
        </is>
      </c>
      <c r="H685" t="inlineStr">
        <is>
          <t>ALIANCA NAVEGACAO E LOGISTICA LTDA</t>
        </is>
      </c>
      <c r="J685" s="29" t="n">
        <v>258.06</v>
      </c>
      <c r="K685" s="29">
        <f>(1-ISNUMBER(SEARCH("556",M685)))*(O685*SUMIFS(Premissas!$C$5:$C$44,Premissas!$A$5:$A$44,$A685,Premissas!$B$5:$B$44,$B685)+P685*SUMIFS(Premissas!$D$5:$D$44,Premissas!$A$5:$A$44,$A685,Premissas!$B$5:$B$44,$B685))+R685*SUMIFS(Premissas!$E$5:$E$44,Premissas!$A$5:$A$44,$A685,Premissas!$B$5:$B$44,$B685)+S685*SUMIFS(Premissas!$F$5:$F$44,Premissas!$A$5:$A$44,$A685,Premissas!$B$5:$B$44,$B685)</f>
        <v/>
      </c>
      <c r="L685" s="29">
        <f>J685-K685</f>
        <v/>
      </c>
      <c r="M685" t="inlineStr">
        <is>
          <t>1.350</t>
        </is>
      </c>
      <c r="N685" t="inlineStr">
        <is>
          <t>Modalidade: 2 - Por conta de terceiros | Parte: CMPC Iguacu Embalagens Ltda (11.308.600/0008-04)</t>
        </is>
      </c>
      <c r="O685" s="29" t="n">
        <v>0</v>
      </c>
      <c r="P685" s="29" t="n">
        <v>18.06</v>
      </c>
      <c r="Q685" s="29" t="n">
        <v>0</v>
      </c>
      <c r="R685" s="29" t="n">
        <v>0</v>
      </c>
      <c r="S685" s="29" t="n">
        <v>0</v>
      </c>
      <c r="T685" t="inlineStr">
        <is>
          <t>42260202427026000901570040001906251019062599</t>
        </is>
      </c>
      <c r="U685" t="inlineStr">
        <is>
          <t>Sim</t>
        </is>
      </c>
    </row>
    <row r="686">
      <c r="A686" t="inlineStr">
        <is>
          <t>Frete de compra</t>
        </is>
      </c>
      <c r="B686" t="inlineStr">
        <is>
          <t>2.01.82 Estadia - Cabotagem</t>
        </is>
      </c>
      <c r="C686" s="30" t="n">
        <v>46054</v>
      </c>
      <c r="D686" t="inlineStr">
        <is>
          <t>Em 2026</t>
        </is>
      </c>
      <c r="E686" s="28" t="n">
        <v>46079</v>
      </c>
      <c r="F686" t="inlineStr">
        <is>
          <t>CT-e</t>
        </is>
      </c>
      <c r="G686" t="inlineStr">
        <is>
          <t>000190634</t>
        </is>
      </c>
      <c r="H686" t="inlineStr">
        <is>
          <t>ALIANCA NAVEGACAO E LOGISTICA LTDA</t>
        </is>
      </c>
      <c r="J686" s="29" t="n">
        <v>387.1</v>
      </c>
      <c r="K686" s="29">
        <f>(1-ISNUMBER(SEARCH("556",M686)))*(O686*SUMIFS(Premissas!$C$5:$C$44,Premissas!$A$5:$A$44,$A686,Premissas!$B$5:$B$44,$B686)+P686*SUMIFS(Premissas!$D$5:$D$44,Premissas!$A$5:$A$44,$A686,Premissas!$B$5:$B$44,$B686))+R686*SUMIFS(Premissas!$E$5:$E$44,Premissas!$A$5:$A$44,$A686,Premissas!$B$5:$B$44,$B686)+S686*SUMIFS(Premissas!$F$5:$F$44,Premissas!$A$5:$A$44,$A686,Premissas!$B$5:$B$44,$B686)</f>
        <v/>
      </c>
      <c r="L686" s="29">
        <f>J686-K686</f>
        <v/>
      </c>
      <c r="M686" t="inlineStr">
        <is>
          <t>1.350</t>
        </is>
      </c>
      <c r="N686" t="inlineStr">
        <is>
          <t>Modalidade: 2 - Por conta de terceiros | Parte: CMPC Iguacu Embalagens Ltda (11.308.600/0008-04)</t>
        </is>
      </c>
      <c r="O686" s="29" t="n">
        <v>0</v>
      </c>
      <c r="P686" s="29" t="n">
        <v>27.1</v>
      </c>
      <c r="Q686" s="29" t="n">
        <v>0</v>
      </c>
      <c r="R686" s="29" t="n">
        <v>0</v>
      </c>
      <c r="S686" s="29" t="n">
        <v>0</v>
      </c>
      <c r="T686" t="inlineStr">
        <is>
          <t>42260202427026000901570040001906341019063497</t>
        </is>
      </c>
      <c r="U686" t="inlineStr">
        <is>
          <t>Sim</t>
        </is>
      </c>
    </row>
    <row r="687">
      <c r="A687" t="inlineStr">
        <is>
          <t>Frete de compra</t>
        </is>
      </c>
      <c r="B687" t="inlineStr">
        <is>
          <t>2.01.82 Estadia - Cabotagem</t>
        </is>
      </c>
      <c r="C687" s="30" t="n">
        <v>46054</v>
      </c>
      <c r="D687" t="inlineStr">
        <is>
          <t>Em 2026</t>
        </is>
      </c>
      <c r="E687" s="28" t="n">
        <v>46079</v>
      </c>
      <c r="F687" t="inlineStr">
        <is>
          <t>CT-e</t>
        </is>
      </c>
      <c r="G687" t="inlineStr">
        <is>
          <t>000190638</t>
        </is>
      </c>
      <c r="H687" t="inlineStr">
        <is>
          <t>ALIANCA NAVEGACAO E LOGISTICA LTDA</t>
        </is>
      </c>
      <c r="J687" s="29" t="n">
        <v>387.1</v>
      </c>
      <c r="K687" s="29">
        <f>(1-ISNUMBER(SEARCH("556",M687)))*(O687*SUMIFS(Premissas!$C$5:$C$44,Premissas!$A$5:$A$44,$A687,Premissas!$B$5:$B$44,$B687)+P687*SUMIFS(Premissas!$D$5:$D$44,Premissas!$A$5:$A$44,$A687,Premissas!$B$5:$B$44,$B687))+R687*SUMIFS(Premissas!$E$5:$E$44,Premissas!$A$5:$A$44,$A687,Premissas!$B$5:$B$44,$B687)+S687*SUMIFS(Premissas!$F$5:$F$44,Premissas!$A$5:$A$44,$A687,Premissas!$B$5:$B$44,$B687)</f>
        <v/>
      </c>
      <c r="L687" s="29">
        <f>J687-K687</f>
        <v/>
      </c>
      <c r="M687" t="inlineStr">
        <is>
          <t>1.350</t>
        </is>
      </c>
      <c r="N687" t="inlineStr">
        <is>
          <t>Modalidade: 2 - Por conta de terceiros | Parte: CMPC Iguacu Embalagens Ltda (11.308.600/0008-04)</t>
        </is>
      </c>
      <c r="O687" s="29" t="n">
        <v>0</v>
      </c>
      <c r="P687" s="29" t="n">
        <v>27.1</v>
      </c>
      <c r="Q687" s="29" t="n">
        <v>0</v>
      </c>
      <c r="R687" s="29" t="n">
        <v>0</v>
      </c>
      <c r="S687" s="29" t="n">
        <v>0</v>
      </c>
      <c r="T687" t="inlineStr">
        <is>
          <t>42260202427026000901570040001906381019063895</t>
        </is>
      </c>
      <c r="U687" t="inlineStr">
        <is>
          <t>Sim</t>
        </is>
      </c>
    </row>
    <row r="688">
      <c r="A688" t="inlineStr">
        <is>
          <t>Frete de compra</t>
        </is>
      </c>
      <c r="B688" t="inlineStr">
        <is>
          <t>2.01.82 Estadia - Cabotagem</t>
        </is>
      </c>
      <c r="C688" s="30" t="n">
        <v>46054</v>
      </c>
      <c r="D688" t="inlineStr">
        <is>
          <t>Em 2026</t>
        </is>
      </c>
      <c r="E688" s="28" t="n">
        <v>46079</v>
      </c>
      <c r="F688" t="inlineStr">
        <is>
          <t>CT-e</t>
        </is>
      </c>
      <c r="G688" t="inlineStr">
        <is>
          <t>000190649</t>
        </is>
      </c>
      <c r="H688" t="inlineStr">
        <is>
          <t>ALIANCA NAVEGACAO E LOGISTICA LTDA</t>
        </is>
      </c>
      <c r="J688" s="29" t="n">
        <v>516.13</v>
      </c>
      <c r="K688" s="29">
        <f>(1-ISNUMBER(SEARCH("556",M688)))*(O688*SUMIFS(Premissas!$C$5:$C$44,Premissas!$A$5:$A$44,$A688,Premissas!$B$5:$B$44,$B688)+P688*SUMIFS(Premissas!$D$5:$D$44,Premissas!$A$5:$A$44,$A688,Premissas!$B$5:$B$44,$B688))+R688*SUMIFS(Premissas!$E$5:$E$44,Premissas!$A$5:$A$44,$A688,Premissas!$B$5:$B$44,$B688)+S688*SUMIFS(Premissas!$F$5:$F$44,Premissas!$A$5:$A$44,$A688,Premissas!$B$5:$B$44,$B688)</f>
        <v/>
      </c>
      <c r="L688" s="29">
        <f>J688-K688</f>
        <v/>
      </c>
      <c r="M688" t="inlineStr">
        <is>
          <t>1.350</t>
        </is>
      </c>
      <c r="N688" t="inlineStr">
        <is>
          <t>Modalidade: 2 - Por conta de terceiros | Parte: CMPC Iguacu Embalagens Ltda (11.308.600/0008-04)</t>
        </is>
      </c>
      <c r="O688" s="29" t="n">
        <v>0</v>
      </c>
      <c r="P688" s="29" t="n">
        <v>36.13</v>
      </c>
      <c r="Q688" s="29" t="n">
        <v>0</v>
      </c>
      <c r="R688" s="29" t="n">
        <v>0</v>
      </c>
      <c r="S688" s="29" t="n">
        <v>0</v>
      </c>
      <c r="T688" t="inlineStr">
        <is>
          <t>42260202427026000901570040001906491019064992</t>
        </is>
      </c>
      <c r="U688" t="inlineStr">
        <is>
          <t>Sim</t>
        </is>
      </c>
    </row>
    <row r="689">
      <c r="A689" t="inlineStr">
        <is>
          <t>Frete de compra</t>
        </is>
      </c>
      <c r="B689" t="inlineStr">
        <is>
          <t>2.01.82 Estadia - Cabotagem</t>
        </is>
      </c>
      <c r="C689" s="30" t="n">
        <v>46054</v>
      </c>
      <c r="D689" t="inlineStr">
        <is>
          <t>Em 2026</t>
        </is>
      </c>
      <c r="E689" s="28" t="n">
        <v>46079</v>
      </c>
      <c r="F689" t="inlineStr">
        <is>
          <t>CT-e</t>
        </is>
      </c>
      <c r="G689" t="inlineStr">
        <is>
          <t>000190650</t>
        </is>
      </c>
      <c r="H689" t="inlineStr">
        <is>
          <t>ALIANCA NAVEGACAO E LOGISTICA LTDA</t>
        </is>
      </c>
      <c r="J689" s="29" t="n">
        <v>516.13</v>
      </c>
      <c r="K689" s="29">
        <f>(1-ISNUMBER(SEARCH("556",M689)))*(O689*SUMIFS(Premissas!$C$5:$C$44,Premissas!$A$5:$A$44,$A689,Premissas!$B$5:$B$44,$B689)+P689*SUMIFS(Premissas!$D$5:$D$44,Premissas!$A$5:$A$44,$A689,Premissas!$B$5:$B$44,$B689))+R689*SUMIFS(Premissas!$E$5:$E$44,Premissas!$A$5:$A$44,$A689,Premissas!$B$5:$B$44,$B689)+S689*SUMIFS(Premissas!$F$5:$F$44,Premissas!$A$5:$A$44,$A689,Premissas!$B$5:$B$44,$B689)</f>
        <v/>
      </c>
      <c r="L689" s="29">
        <f>J689-K689</f>
        <v/>
      </c>
      <c r="M689" t="inlineStr">
        <is>
          <t>1.350</t>
        </is>
      </c>
      <c r="N689" t="inlineStr">
        <is>
          <t>Modalidade: 1 - Por conta do destinatário | Parte: CMPC Iguacu Embalagens Ltda (11.308.600/0008-04)</t>
        </is>
      </c>
      <c r="O689" s="29" t="n">
        <v>0</v>
      </c>
      <c r="P689" s="29" t="n">
        <v>36.13</v>
      </c>
      <c r="Q689" s="29" t="n">
        <v>0</v>
      </c>
      <c r="R689" s="29" t="n">
        <v>0</v>
      </c>
      <c r="S689" s="29" t="n">
        <v>0</v>
      </c>
      <c r="T689" t="inlineStr">
        <is>
          <t>42260202427026000901570040001906501019065094</t>
        </is>
      </c>
      <c r="U689" t="inlineStr">
        <is>
          <t>Sim</t>
        </is>
      </c>
    </row>
    <row r="690">
      <c r="A690" t="inlineStr">
        <is>
          <t>Frete de compra</t>
        </is>
      </c>
      <c r="B690" t="inlineStr">
        <is>
          <t>2.01.82 Estadia - Cabotagem</t>
        </is>
      </c>
      <c r="C690" s="30" t="n">
        <v>46054</v>
      </c>
      <c r="D690" t="inlineStr">
        <is>
          <t>Em 2026</t>
        </is>
      </c>
      <c r="E690" s="28" t="n">
        <v>46079</v>
      </c>
      <c r="F690" t="inlineStr">
        <is>
          <t>CT-e</t>
        </is>
      </c>
      <c r="G690" t="inlineStr">
        <is>
          <t>000190656</t>
        </is>
      </c>
      <c r="H690" t="inlineStr">
        <is>
          <t>ALIANCA NAVEGACAO E LOGISTICA LTDA</t>
        </is>
      </c>
      <c r="J690" s="29" t="n">
        <v>645.16</v>
      </c>
      <c r="K690" s="29">
        <f>(1-ISNUMBER(SEARCH("556",M690)))*(O690*SUMIFS(Premissas!$C$5:$C$44,Premissas!$A$5:$A$44,$A690,Premissas!$B$5:$B$44,$B690)+P690*SUMIFS(Premissas!$D$5:$D$44,Premissas!$A$5:$A$44,$A690,Premissas!$B$5:$B$44,$B690))+R690*SUMIFS(Premissas!$E$5:$E$44,Premissas!$A$5:$A$44,$A690,Premissas!$B$5:$B$44,$B690)+S690*SUMIFS(Premissas!$F$5:$F$44,Premissas!$A$5:$A$44,$A690,Premissas!$B$5:$B$44,$B690)</f>
        <v/>
      </c>
      <c r="L690" s="29">
        <f>J690-K690</f>
        <v/>
      </c>
      <c r="M690" t="inlineStr">
        <is>
          <t>1.350</t>
        </is>
      </c>
      <c r="N690" t="inlineStr">
        <is>
          <t>Modalidade: 2 - Por conta de terceiros | Parte: CMPC Iguacu Embalagens Ltda (11.308.600/0008-04)</t>
        </is>
      </c>
      <c r="O690" s="29" t="n">
        <v>0</v>
      </c>
      <c r="P690" s="29" t="n">
        <v>45.16</v>
      </c>
      <c r="Q690" s="29" t="n">
        <v>0</v>
      </c>
      <c r="R690" s="29" t="n">
        <v>0</v>
      </c>
      <c r="S690" s="29" t="n">
        <v>0</v>
      </c>
      <c r="T690" t="inlineStr">
        <is>
          <t>42260202427026000901570040001906561019065691</t>
        </is>
      </c>
      <c r="U690" t="inlineStr">
        <is>
          <t>Sim</t>
        </is>
      </c>
    </row>
    <row r="691">
      <c r="A691" t="inlineStr">
        <is>
          <t>Frete de compra</t>
        </is>
      </c>
      <c r="B691" t="inlineStr">
        <is>
          <t>2.01.82 Estadia - Cabotagem</t>
        </is>
      </c>
      <c r="C691" s="30" t="n">
        <v>46054</v>
      </c>
      <c r="D691" t="inlineStr">
        <is>
          <t>Em 2026</t>
        </is>
      </c>
      <c r="E691" s="28" t="n">
        <v>46079</v>
      </c>
      <c r="F691" t="inlineStr">
        <is>
          <t>CT-e</t>
        </is>
      </c>
      <c r="G691" t="inlineStr">
        <is>
          <t>000190657</t>
        </is>
      </c>
      <c r="H691" t="inlineStr">
        <is>
          <t>ALIANCA NAVEGACAO E LOGISTICA LTDA</t>
        </is>
      </c>
      <c r="J691" s="29" t="n">
        <v>645.16</v>
      </c>
      <c r="K691" s="29">
        <f>(1-ISNUMBER(SEARCH("556",M691)))*(O691*SUMIFS(Premissas!$C$5:$C$44,Premissas!$A$5:$A$44,$A691,Premissas!$B$5:$B$44,$B691)+P691*SUMIFS(Premissas!$D$5:$D$44,Premissas!$A$5:$A$44,$A691,Premissas!$B$5:$B$44,$B691))+R691*SUMIFS(Premissas!$E$5:$E$44,Premissas!$A$5:$A$44,$A691,Premissas!$B$5:$B$44,$B691)+S691*SUMIFS(Premissas!$F$5:$F$44,Premissas!$A$5:$A$44,$A691,Premissas!$B$5:$B$44,$B691)</f>
        <v/>
      </c>
      <c r="L691" s="29">
        <f>J691-K691</f>
        <v/>
      </c>
      <c r="M691" t="inlineStr">
        <is>
          <t>1.350</t>
        </is>
      </c>
      <c r="N691" t="inlineStr">
        <is>
          <t>Modalidade: 1 - Por conta do destinatário | Parte: CMPC Iguacu Embalagens Ltda (11.308.600/0008-04)</t>
        </is>
      </c>
      <c r="O691" s="29" t="n">
        <v>0</v>
      </c>
      <c r="P691" s="29" t="n">
        <v>45.16</v>
      </c>
      <c r="Q691" s="29" t="n">
        <v>0</v>
      </c>
      <c r="R691" s="29" t="n">
        <v>0</v>
      </c>
      <c r="S691" s="29" t="n">
        <v>0</v>
      </c>
      <c r="T691" t="inlineStr">
        <is>
          <t>42260202427026000901570040001906571019065796</t>
        </is>
      </c>
      <c r="U691" t="inlineStr">
        <is>
          <t>Sim</t>
        </is>
      </c>
    </row>
    <row r="692">
      <c r="A692" t="inlineStr">
        <is>
          <t>Frete de compra</t>
        </is>
      </c>
      <c r="B692" t="inlineStr">
        <is>
          <t>2.01.82 Estadia - Cabotagem</t>
        </is>
      </c>
      <c r="C692" s="30" t="n">
        <v>46054</v>
      </c>
      <c r="D692" t="inlineStr">
        <is>
          <t>Em 2026</t>
        </is>
      </c>
      <c r="E692" s="28" t="n">
        <v>46079</v>
      </c>
      <c r="F692" t="inlineStr">
        <is>
          <t>CT-e</t>
        </is>
      </c>
      <c r="G692" t="inlineStr">
        <is>
          <t>000190666</t>
        </is>
      </c>
      <c r="H692" t="inlineStr">
        <is>
          <t>ALIANCA NAVEGACAO E LOGISTICA LTDA</t>
        </is>
      </c>
      <c r="J692" s="29" t="n">
        <v>903.23</v>
      </c>
      <c r="K692" s="29">
        <f>(1-ISNUMBER(SEARCH("556",M692)))*(O692*SUMIFS(Premissas!$C$5:$C$44,Premissas!$A$5:$A$44,$A692,Premissas!$B$5:$B$44,$B692)+P692*SUMIFS(Premissas!$D$5:$D$44,Premissas!$A$5:$A$44,$A692,Premissas!$B$5:$B$44,$B692))+R692*SUMIFS(Premissas!$E$5:$E$44,Premissas!$A$5:$A$44,$A692,Premissas!$B$5:$B$44,$B692)+S692*SUMIFS(Premissas!$F$5:$F$44,Premissas!$A$5:$A$44,$A692,Premissas!$B$5:$B$44,$B692)</f>
        <v/>
      </c>
      <c r="L692" s="29">
        <f>J692-K692</f>
        <v/>
      </c>
      <c r="M692" t="inlineStr">
        <is>
          <t>1.350</t>
        </is>
      </c>
      <c r="N692" t="inlineStr">
        <is>
          <t>Modalidade: 2 - Por conta de terceiros | Parte: CMPC Iguacu Embalagens Ltda (11.308.600/0008-04)</t>
        </is>
      </c>
      <c r="O692" s="29" t="n">
        <v>0</v>
      </c>
      <c r="P692" s="29" t="n">
        <v>63.23</v>
      </c>
      <c r="Q692" s="29" t="n">
        <v>0</v>
      </c>
      <c r="R692" s="29" t="n">
        <v>0</v>
      </c>
      <c r="S692" s="29" t="n">
        <v>0</v>
      </c>
      <c r="T692" t="inlineStr">
        <is>
          <t>42260202427026000901570040001906661019066694</t>
        </is>
      </c>
      <c r="U692" t="inlineStr">
        <is>
          <t>Sim</t>
        </is>
      </c>
    </row>
    <row r="693">
      <c r="A693" t="inlineStr">
        <is>
          <t>Frete de compra</t>
        </is>
      </c>
      <c r="B693" t="inlineStr">
        <is>
          <t>2.01.82 Estadia - Cabotagem</t>
        </is>
      </c>
      <c r="C693" s="30" t="n">
        <v>46113</v>
      </c>
      <c r="D693" t="inlineStr">
        <is>
          <t>Em 2026</t>
        </is>
      </c>
      <c r="E693" s="28" t="n">
        <v>46125</v>
      </c>
      <c r="F693" t="inlineStr">
        <is>
          <t>CT-e</t>
        </is>
      </c>
      <c r="G693" t="inlineStr">
        <is>
          <t>000194430</t>
        </is>
      </c>
      <c r="H693" t="inlineStr">
        <is>
          <t>ALIANCA NAVEGACAO E LOGISTICA LTDA</t>
        </is>
      </c>
      <c r="J693" s="29" t="n">
        <v>3612.9</v>
      </c>
      <c r="K693" s="29">
        <f>(1-ISNUMBER(SEARCH("556",M693)))*(O693*SUMIFS(Premissas!$C$5:$C$44,Premissas!$A$5:$A$44,$A693,Premissas!$B$5:$B$44,$B693)+P693*SUMIFS(Premissas!$D$5:$D$44,Premissas!$A$5:$A$44,$A693,Premissas!$B$5:$B$44,$B693))+R693*SUMIFS(Premissas!$E$5:$E$44,Premissas!$A$5:$A$44,$A693,Premissas!$B$5:$B$44,$B693)+S693*SUMIFS(Premissas!$F$5:$F$44,Premissas!$A$5:$A$44,$A693,Premissas!$B$5:$B$44,$B693)</f>
        <v/>
      </c>
      <c r="L693" s="29">
        <f>J693-K693</f>
        <v/>
      </c>
      <c r="M693" t="inlineStr">
        <is>
          <t>1.350</t>
        </is>
      </c>
      <c r="N693" t="inlineStr">
        <is>
          <t>Modalidade: 1 - Por conta do destinatário | Parte: CMPC Iguacu Embalagens Ltda (11.308.600/0008-04)</t>
        </is>
      </c>
      <c r="O693" s="29" t="n">
        <v>0</v>
      </c>
      <c r="P693" s="29" t="n">
        <v>252.9</v>
      </c>
      <c r="Q693" s="29" t="n">
        <v>0</v>
      </c>
      <c r="R693" s="29" t="n">
        <v>0</v>
      </c>
      <c r="S693" s="29" t="n">
        <v>0</v>
      </c>
      <c r="T693" t="inlineStr">
        <is>
          <t>42260402427026000901570040001944301019443090</t>
        </is>
      </c>
      <c r="U693" t="inlineStr">
        <is>
          <t>Sim</t>
        </is>
      </c>
    </row>
    <row r="694">
      <c r="A694" t="inlineStr">
        <is>
          <t>Frete de compra</t>
        </is>
      </c>
      <c r="B694" t="inlineStr">
        <is>
          <t>2.01.82 Estadia - Cabotagem</t>
        </is>
      </c>
      <c r="C694" s="30" t="n">
        <v>46113</v>
      </c>
      <c r="D694" t="inlineStr">
        <is>
          <t>Em 2026</t>
        </is>
      </c>
      <c r="E694" s="28" t="n">
        <v>46125</v>
      </c>
      <c r="F694" t="inlineStr">
        <is>
          <t>CT-e</t>
        </is>
      </c>
      <c r="G694" t="inlineStr">
        <is>
          <t>000194432</t>
        </is>
      </c>
      <c r="H694" t="inlineStr">
        <is>
          <t>ALIANCA NAVEGACAO E LOGISTICA LTDA</t>
        </is>
      </c>
      <c r="J694" s="29" t="n">
        <v>6580.65</v>
      </c>
      <c r="K694" s="29">
        <f>(1-ISNUMBER(SEARCH("556",M694)))*(O694*SUMIFS(Premissas!$C$5:$C$44,Premissas!$A$5:$A$44,$A694,Premissas!$B$5:$B$44,$B694)+P694*SUMIFS(Premissas!$D$5:$D$44,Premissas!$A$5:$A$44,$A694,Premissas!$B$5:$B$44,$B694))+R694*SUMIFS(Premissas!$E$5:$E$44,Premissas!$A$5:$A$44,$A694,Premissas!$B$5:$B$44,$B694)+S694*SUMIFS(Premissas!$F$5:$F$44,Premissas!$A$5:$A$44,$A694,Premissas!$B$5:$B$44,$B694)</f>
        <v/>
      </c>
      <c r="L694" s="29">
        <f>J694-K694</f>
        <v/>
      </c>
      <c r="M694" t="inlineStr">
        <is>
          <t>1.350</t>
        </is>
      </c>
      <c r="N694" t="inlineStr">
        <is>
          <t>Modalidade: 1 - Por conta do destinatário | Parte: CMPC Iguacu Embalagens Ltda (11.308.600/0008-04)</t>
        </is>
      </c>
      <c r="O694" s="29" t="n">
        <v>0</v>
      </c>
      <c r="P694" s="29" t="n">
        <v>460.65</v>
      </c>
      <c r="Q694" s="29" t="n">
        <v>0</v>
      </c>
      <c r="R694" s="29" t="n">
        <v>0</v>
      </c>
      <c r="S694" s="29" t="n">
        <v>0</v>
      </c>
      <c r="T694" t="inlineStr">
        <is>
          <t>42260402427026000901570040001944321019443290</t>
        </is>
      </c>
      <c r="U694" t="inlineStr">
        <is>
          <t>Sim</t>
        </is>
      </c>
    </row>
    <row r="695">
      <c r="A695" t="inlineStr">
        <is>
          <t>Frete de compra</t>
        </is>
      </c>
      <c r="B695" t="inlineStr">
        <is>
          <t>2.01.82 Estadia - Cabotagem</t>
        </is>
      </c>
      <c r="C695" s="30" t="n">
        <v>46113</v>
      </c>
      <c r="D695" t="inlineStr">
        <is>
          <t>Em 2026</t>
        </is>
      </c>
      <c r="E695" s="28" t="n">
        <v>46125</v>
      </c>
      <c r="F695" t="inlineStr">
        <is>
          <t>CT-e</t>
        </is>
      </c>
      <c r="G695" t="inlineStr">
        <is>
          <t>000194470</t>
        </is>
      </c>
      <c r="H695" t="inlineStr">
        <is>
          <t>ALIANCA NAVEGACAO E LOGISTICA LTDA</t>
        </is>
      </c>
      <c r="J695" s="29" t="n">
        <v>8516.129999999999</v>
      </c>
      <c r="K695" s="29">
        <f>(1-ISNUMBER(SEARCH("556",M695)))*(O695*SUMIFS(Premissas!$C$5:$C$44,Premissas!$A$5:$A$44,$A695,Premissas!$B$5:$B$44,$B695)+P695*SUMIFS(Premissas!$D$5:$D$44,Premissas!$A$5:$A$44,$A695,Premissas!$B$5:$B$44,$B695))+R695*SUMIFS(Premissas!$E$5:$E$44,Premissas!$A$5:$A$44,$A695,Premissas!$B$5:$B$44,$B695)+S695*SUMIFS(Premissas!$F$5:$F$44,Premissas!$A$5:$A$44,$A695,Premissas!$B$5:$B$44,$B695)</f>
        <v/>
      </c>
      <c r="L695" s="29">
        <f>J695-K695</f>
        <v/>
      </c>
      <c r="M695" t="inlineStr">
        <is>
          <t>1.350</t>
        </is>
      </c>
      <c r="N695" t="inlineStr">
        <is>
          <t>Modalidade: 1 - Por conta do destinatário | Parte: CMPC Iguacu Embalagens Ltda (11.308.600/0008-04)</t>
        </is>
      </c>
      <c r="O695" s="29" t="n">
        <v>0</v>
      </c>
      <c r="P695" s="29" t="n">
        <v>596.13</v>
      </c>
      <c r="Q695" s="29" t="n">
        <v>0</v>
      </c>
      <c r="R695" s="29" t="n">
        <v>0</v>
      </c>
      <c r="S695" s="29" t="n">
        <v>0</v>
      </c>
      <c r="T695" t="inlineStr">
        <is>
          <t>42260402427026000901570040001944701019447091</t>
        </is>
      </c>
      <c r="U695" t="inlineStr">
        <is>
          <t>Sim</t>
        </is>
      </c>
    </row>
    <row r="696">
      <c r="A696" t="inlineStr">
        <is>
          <t>Frete de compra</t>
        </is>
      </c>
      <c r="B696" t="inlineStr">
        <is>
          <t>2.01.82 Estadia - Cabotagem</t>
        </is>
      </c>
      <c r="C696" s="30" t="n">
        <v>46113</v>
      </c>
      <c r="D696" t="inlineStr">
        <is>
          <t>Em 2026</t>
        </is>
      </c>
      <c r="E696" s="28" t="n">
        <v>46126</v>
      </c>
      <c r="F696" t="inlineStr">
        <is>
          <t>CT-e</t>
        </is>
      </c>
      <c r="G696" t="inlineStr">
        <is>
          <t>000194511</t>
        </is>
      </c>
      <c r="H696" t="inlineStr">
        <is>
          <t>ALIANCA NAVEGACAO E LOGISTICA LTDA</t>
        </is>
      </c>
      <c r="J696" s="29" t="n">
        <v>2193.55</v>
      </c>
      <c r="K696" s="29">
        <f>(1-ISNUMBER(SEARCH("556",M696)))*(O696*SUMIFS(Premissas!$C$5:$C$44,Premissas!$A$5:$A$44,$A696,Premissas!$B$5:$B$44,$B696)+P696*SUMIFS(Premissas!$D$5:$D$44,Premissas!$A$5:$A$44,$A696,Premissas!$B$5:$B$44,$B696))+R696*SUMIFS(Premissas!$E$5:$E$44,Premissas!$A$5:$A$44,$A696,Premissas!$B$5:$B$44,$B696)+S696*SUMIFS(Premissas!$F$5:$F$44,Premissas!$A$5:$A$44,$A696,Premissas!$B$5:$B$44,$B696)</f>
        <v/>
      </c>
      <c r="L696" s="29">
        <f>J696-K696</f>
        <v/>
      </c>
      <c r="M696" t="inlineStr">
        <is>
          <t>1.350</t>
        </is>
      </c>
      <c r="N696" t="inlineStr">
        <is>
          <t>Modalidade: 2 - Por conta de terceiros | Parte: CMPC Iguacu Embalagens Ltda (11.308.600/0008-04)</t>
        </is>
      </c>
      <c r="O696" s="29" t="n">
        <v>0</v>
      </c>
      <c r="P696" s="29" t="n">
        <v>153.55</v>
      </c>
      <c r="Q696" s="29" t="n">
        <v>0</v>
      </c>
      <c r="R696" s="29" t="n">
        <v>0</v>
      </c>
      <c r="S696" s="29" t="n">
        <v>0</v>
      </c>
      <c r="T696" t="inlineStr">
        <is>
          <t>42260402427026000901570040001945111019451190</t>
        </is>
      </c>
      <c r="U696" t="inlineStr">
        <is>
          <t>Sim</t>
        </is>
      </c>
    </row>
    <row r="697">
      <c r="A697" t="inlineStr">
        <is>
          <t>Frete de compra</t>
        </is>
      </c>
      <c r="B697" t="inlineStr">
        <is>
          <t>2.01.82 Estadia - Cabotagem</t>
        </is>
      </c>
      <c r="C697" s="30" t="n">
        <v>46113</v>
      </c>
      <c r="D697" t="inlineStr">
        <is>
          <t>Em 2026</t>
        </is>
      </c>
      <c r="E697" s="28" t="n">
        <v>46126</v>
      </c>
      <c r="F697" t="inlineStr">
        <is>
          <t>CT-e</t>
        </is>
      </c>
      <c r="G697" t="inlineStr">
        <is>
          <t>000194512</t>
        </is>
      </c>
      <c r="H697" t="inlineStr">
        <is>
          <t>ALIANCA NAVEGACAO E LOGISTICA LTDA</t>
        </is>
      </c>
      <c r="J697" s="29" t="n">
        <v>2451.61</v>
      </c>
      <c r="K697" s="29">
        <f>(1-ISNUMBER(SEARCH("556",M697)))*(O697*SUMIFS(Premissas!$C$5:$C$44,Premissas!$A$5:$A$44,$A697,Premissas!$B$5:$B$44,$B697)+P697*SUMIFS(Premissas!$D$5:$D$44,Premissas!$A$5:$A$44,$A697,Premissas!$B$5:$B$44,$B697))+R697*SUMIFS(Premissas!$E$5:$E$44,Premissas!$A$5:$A$44,$A697,Premissas!$B$5:$B$44,$B697)+S697*SUMIFS(Premissas!$F$5:$F$44,Premissas!$A$5:$A$44,$A697,Premissas!$B$5:$B$44,$B697)</f>
        <v/>
      </c>
      <c r="L697" s="29">
        <f>J697-K697</f>
        <v/>
      </c>
      <c r="M697" t="inlineStr">
        <is>
          <t>1.350</t>
        </is>
      </c>
      <c r="N697" t="inlineStr">
        <is>
          <t>Modalidade: 2 - Por conta de terceiros | Parte: CMPC Iguacu Embalagens Ltda (11.308.600/0008-04)</t>
        </is>
      </c>
      <c r="O697" s="29" t="n">
        <v>0</v>
      </c>
      <c r="P697" s="29" t="n">
        <v>171.61</v>
      </c>
      <c r="Q697" s="29" t="n">
        <v>0</v>
      </c>
      <c r="R697" s="29" t="n">
        <v>0</v>
      </c>
      <c r="S697" s="29" t="n">
        <v>0</v>
      </c>
      <c r="T697" t="inlineStr">
        <is>
          <t>42260402427026000901570040001945121019451295</t>
        </is>
      </c>
      <c r="U697" t="inlineStr">
        <is>
          <t>Sim</t>
        </is>
      </c>
    </row>
    <row r="698">
      <c r="A698" t="inlineStr">
        <is>
          <t>Frete de compra</t>
        </is>
      </c>
      <c r="B698" t="inlineStr">
        <is>
          <t>2.01.82 Estadia - Cabotagem</t>
        </is>
      </c>
      <c r="C698" s="30" t="n">
        <v>46113</v>
      </c>
      <c r="D698" t="inlineStr">
        <is>
          <t>Em 2026</t>
        </is>
      </c>
      <c r="E698" s="28" t="n">
        <v>46126</v>
      </c>
      <c r="F698" t="inlineStr">
        <is>
          <t>CT-e</t>
        </is>
      </c>
      <c r="G698" t="inlineStr">
        <is>
          <t>000194513</t>
        </is>
      </c>
      <c r="H698" t="inlineStr">
        <is>
          <t>ALIANCA NAVEGACAO E LOGISTICA LTDA</t>
        </is>
      </c>
      <c r="J698" s="29" t="n">
        <v>3225.81</v>
      </c>
      <c r="K698" s="29">
        <f>(1-ISNUMBER(SEARCH("556",M698)))*(O698*SUMIFS(Premissas!$C$5:$C$44,Premissas!$A$5:$A$44,$A698,Premissas!$B$5:$B$44,$B698)+P698*SUMIFS(Premissas!$D$5:$D$44,Premissas!$A$5:$A$44,$A698,Premissas!$B$5:$B$44,$B698))+R698*SUMIFS(Premissas!$E$5:$E$44,Premissas!$A$5:$A$44,$A698,Premissas!$B$5:$B$44,$B698)+S698*SUMIFS(Premissas!$F$5:$F$44,Premissas!$A$5:$A$44,$A698,Premissas!$B$5:$B$44,$B698)</f>
        <v/>
      </c>
      <c r="L698" s="29">
        <f>J698-K698</f>
        <v/>
      </c>
      <c r="M698" t="inlineStr">
        <is>
          <t>1.350</t>
        </is>
      </c>
      <c r="N698" t="inlineStr">
        <is>
          <t>Modalidade: 2 - Por conta de terceiros | Parte: CMPC Iguacu Embalagens Ltda (11.308.600/0008-04)</t>
        </is>
      </c>
      <c r="O698" s="29" t="n">
        <v>0</v>
      </c>
      <c r="P698" s="29" t="n">
        <v>225.81</v>
      </c>
      <c r="Q698" s="29" t="n">
        <v>0</v>
      </c>
      <c r="R698" s="29" t="n">
        <v>0</v>
      </c>
      <c r="S698" s="29" t="n">
        <v>0</v>
      </c>
      <c r="T698" t="inlineStr">
        <is>
          <t>42260402427026000901570040001945131019451390</t>
        </is>
      </c>
      <c r="U698" t="inlineStr">
        <is>
          <t>Sim</t>
        </is>
      </c>
    </row>
    <row r="699">
      <c r="A699" t="inlineStr">
        <is>
          <t>Frete de compra</t>
        </is>
      </c>
      <c r="B699" t="inlineStr">
        <is>
          <t>2.01.82 Estadia - Cabotagem</t>
        </is>
      </c>
      <c r="C699" s="30" t="n">
        <v>46113</v>
      </c>
      <c r="D699" t="inlineStr">
        <is>
          <t>Em 2026</t>
        </is>
      </c>
      <c r="E699" s="28" t="n">
        <v>46126</v>
      </c>
      <c r="F699" t="inlineStr">
        <is>
          <t>CT-e</t>
        </is>
      </c>
      <c r="G699" t="inlineStr">
        <is>
          <t>000194514</t>
        </is>
      </c>
      <c r="H699" t="inlineStr">
        <is>
          <t>ALIANCA NAVEGACAO E LOGISTICA LTDA</t>
        </is>
      </c>
      <c r="J699" s="29" t="n">
        <v>3483.87</v>
      </c>
      <c r="K699" s="29">
        <f>(1-ISNUMBER(SEARCH("556",M699)))*(O699*SUMIFS(Premissas!$C$5:$C$44,Premissas!$A$5:$A$44,$A699,Premissas!$B$5:$B$44,$B699)+P699*SUMIFS(Premissas!$D$5:$D$44,Premissas!$A$5:$A$44,$A699,Premissas!$B$5:$B$44,$B699))+R699*SUMIFS(Premissas!$E$5:$E$44,Premissas!$A$5:$A$44,$A699,Premissas!$B$5:$B$44,$B699)+S699*SUMIFS(Premissas!$F$5:$F$44,Premissas!$A$5:$A$44,$A699,Premissas!$B$5:$B$44,$B699)</f>
        <v/>
      </c>
      <c r="L699" s="29">
        <f>J699-K699</f>
        <v/>
      </c>
      <c r="M699" t="inlineStr">
        <is>
          <t>1.350</t>
        </is>
      </c>
      <c r="N699" t="inlineStr">
        <is>
          <t>Modalidade: 2 - Por conta de terceiros | Parte: CMPC Iguacu Embalagens Ltda (11.308.600/0008-04)</t>
        </is>
      </c>
      <c r="O699" s="29" t="n">
        <v>0</v>
      </c>
      <c r="P699" s="29" t="n">
        <v>243.87</v>
      </c>
      <c r="Q699" s="29" t="n">
        <v>0</v>
      </c>
      <c r="R699" s="29" t="n">
        <v>0</v>
      </c>
      <c r="S699" s="29" t="n">
        <v>0</v>
      </c>
      <c r="T699" t="inlineStr">
        <is>
          <t>42260402427026000901570040001945141019451494</t>
        </is>
      </c>
      <c r="U699" t="inlineStr">
        <is>
          <t>Sim</t>
        </is>
      </c>
    </row>
    <row r="700">
      <c r="A700" t="inlineStr">
        <is>
          <t>Frete de compra</t>
        </is>
      </c>
      <c r="B700" t="inlineStr">
        <is>
          <t>2.01.82 Estadia - Cabotagem</t>
        </is>
      </c>
      <c r="C700" s="30" t="n">
        <v>46113</v>
      </c>
      <c r="D700" t="inlineStr">
        <is>
          <t>Em 2026</t>
        </is>
      </c>
      <c r="E700" s="28" t="n">
        <v>46126</v>
      </c>
      <c r="F700" t="inlineStr">
        <is>
          <t>CT-e</t>
        </is>
      </c>
      <c r="G700" t="inlineStr">
        <is>
          <t>000194515</t>
        </is>
      </c>
      <c r="H700" t="inlineStr">
        <is>
          <t>ALIANCA NAVEGACAO E LOGISTICA LTDA</t>
        </is>
      </c>
      <c r="J700" s="29" t="n">
        <v>3870.97</v>
      </c>
      <c r="K700" s="29">
        <f>(1-ISNUMBER(SEARCH("556",M700)))*(O700*SUMIFS(Premissas!$C$5:$C$44,Premissas!$A$5:$A$44,$A700,Premissas!$B$5:$B$44,$B700)+P700*SUMIFS(Premissas!$D$5:$D$44,Premissas!$A$5:$A$44,$A700,Premissas!$B$5:$B$44,$B700))+R700*SUMIFS(Premissas!$E$5:$E$44,Premissas!$A$5:$A$44,$A700,Premissas!$B$5:$B$44,$B700)+S700*SUMIFS(Premissas!$F$5:$F$44,Premissas!$A$5:$A$44,$A700,Premissas!$B$5:$B$44,$B700)</f>
        <v/>
      </c>
      <c r="L700" s="29">
        <f>J700-K700</f>
        <v/>
      </c>
      <c r="M700" t="inlineStr">
        <is>
          <t>1.350</t>
        </is>
      </c>
      <c r="N700" t="inlineStr">
        <is>
          <t>Modalidade: 2 - Por conta de terceiros | Parte: CMPC Iguacu Embalagens Ltda (11.308.600/0008-04)</t>
        </is>
      </c>
      <c r="O700" s="29" t="n">
        <v>0</v>
      </c>
      <c r="P700" s="29" t="n">
        <v>270.97</v>
      </c>
      <c r="Q700" s="29" t="n">
        <v>0</v>
      </c>
      <c r="R700" s="29" t="n">
        <v>0</v>
      </c>
      <c r="S700" s="29" t="n">
        <v>0</v>
      </c>
      <c r="T700" t="inlineStr">
        <is>
          <t>42260402427026000901570040001945151019451599</t>
        </is>
      </c>
      <c r="U700" t="inlineStr">
        <is>
          <t>Sim</t>
        </is>
      </c>
    </row>
    <row r="701">
      <c r="A701" t="inlineStr">
        <is>
          <t>Frete de compra</t>
        </is>
      </c>
      <c r="B701" t="inlineStr">
        <is>
          <t>2.01.82 Estadia - Cabotagem</t>
        </is>
      </c>
      <c r="C701" s="30" t="n">
        <v>46113</v>
      </c>
      <c r="D701" t="inlineStr">
        <is>
          <t>Em 2026</t>
        </is>
      </c>
      <c r="E701" s="28" t="n">
        <v>46126</v>
      </c>
      <c r="F701" t="inlineStr">
        <is>
          <t>CT-e</t>
        </is>
      </c>
      <c r="G701" t="inlineStr">
        <is>
          <t>000194516</t>
        </is>
      </c>
      <c r="H701" t="inlineStr">
        <is>
          <t>ALIANCA NAVEGACAO E LOGISTICA LTDA</t>
        </is>
      </c>
      <c r="J701" s="29" t="n">
        <v>6838.71</v>
      </c>
      <c r="K701" s="29">
        <f>(1-ISNUMBER(SEARCH("556",M701)))*(O701*SUMIFS(Premissas!$C$5:$C$44,Premissas!$A$5:$A$44,$A701,Premissas!$B$5:$B$44,$B701)+P701*SUMIFS(Premissas!$D$5:$D$44,Premissas!$A$5:$A$44,$A701,Premissas!$B$5:$B$44,$B701))+R701*SUMIFS(Premissas!$E$5:$E$44,Premissas!$A$5:$A$44,$A701,Premissas!$B$5:$B$44,$B701)+S701*SUMIFS(Premissas!$F$5:$F$44,Premissas!$A$5:$A$44,$A701,Premissas!$B$5:$B$44,$B701)</f>
        <v/>
      </c>
      <c r="L701" s="29">
        <f>J701-K701</f>
        <v/>
      </c>
      <c r="M701" t="inlineStr">
        <is>
          <t>1.350</t>
        </is>
      </c>
      <c r="N701" t="inlineStr">
        <is>
          <t>Modalidade: 2 - Por conta de terceiros | Parte: CMPC Iguacu Embalagens Ltda (11.308.600/0008-04)</t>
        </is>
      </c>
      <c r="O701" s="29" t="n">
        <v>0</v>
      </c>
      <c r="P701" s="29" t="n">
        <v>478.71</v>
      </c>
      <c r="Q701" s="29" t="n">
        <v>0</v>
      </c>
      <c r="R701" s="29" t="n">
        <v>0</v>
      </c>
      <c r="S701" s="29" t="n">
        <v>0</v>
      </c>
      <c r="T701" t="inlineStr">
        <is>
          <t>42260402427026000901570040001945161019451693</t>
        </is>
      </c>
      <c r="U701" t="inlineStr">
        <is>
          <t>Sim</t>
        </is>
      </c>
    </row>
    <row r="702">
      <c r="A702" t="inlineStr">
        <is>
          <t>Frete de compra</t>
        </is>
      </c>
      <c r="B702" t="inlineStr">
        <is>
          <t>2.01.82 Estadia - Cabotagem</t>
        </is>
      </c>
      <c r="C702" s="30" t="n">
        <v>46113</v>
      </c>
      <c r="D702" t="inlineStr">
        <is>
          <t>Em 2026</t>
        </is>
      </c>
      <c r="E702" s="28" t="n">
        <v>46126</v>
      </c>
      <c r="F702" t="inlineStr">
        <is>
          <t>CT-e</t>
        </is>
      </c>
      <c r="G702" t="inlineStr">
        <is>
          <t>000194517</t>
        </is>
      </c>
      <c r="H702" t="inlineStr">
        <is>
          <t>ALIANCA NAVEGACAO E LOGISTICA LTDA</t>
        </is>
      </c>
      <c r="J702" s="29" t="n">
        <v>8387.1</v>
      </c>
      <c r="K702" s="29">
        <f>(1-ISNUMBER(SEARCH("556",M702)))*(O702*SUMIFS(Premissas!$C$5:$C$44,Premissas!$A$5:$A$44,$A702,Premissas!$B$5:$B$44,$B702)+P702*SUMIFS(Premissas!$D$5:$D$44,Premissas!$A$5:$A$44,$A702,Premissas!$B$5:$B$44,$B702))+R702*SUMIFS(Premissas!$E$5:$E$44,Premissas!$A$5:$A$44,$A702,Premissas!$B$5:$B$44,$B702)+S702*SUMIFS(Premissas!$F$5:$F$44,Premissas!$A$5:$A$44,$A702,Premissas!$B$5:$B$44,$B702)</f>
        <v/>
      </c>
      <c r="L702" s="29">
        <f>J702-K702</f>
        <v/>
      </c>
      <c r="M702" t="inlineStr">
        <is>
          <t>1.350</t>
        </is>
      </c>
      <c r="N702" t="inlineStr">
        <is>
          <t>Modalidade: 2 - Por conta de terceiros | Parte: CMPC Iguacu Embalagens Ltda (11.308.600/0008-04)</t>
        </is>
      </c>
      <c r="O702" s="29" t="n">
        <v>0</v>
      </c>
      <c r="P702" s="29" t="n">
        <v>587.1</v>
      </c>
      <c r="Q702" s="29" t="n">
        <v>0</v>
      </c>
      <c r="R702" s="29" t="n">
        <v>0</v>
      </c>
      <c r="S702" s="29" t="n">
        <v>0</v>
      </c>
      <c r="T702" t="inlineStr">
        <is>
          <t>42260402427026000901570040001945171019451798</t>
        </is>
      </c>
      <c r="U702" t="inlineStr">
        <is>
          <t>Sim</t>
        </is>
      </c>
    </row>
    <row r="703">
      <c r="A703" t="inlineStr">
        <is>
          <t>Frete de compra</t>
        </is>
      </c>
      <c r="B703" t="inlineStr">
        <is>
          <t>2.01.82 Estadia - Cabotagem</t>
        </is>
      </c>
      <c r="C703" s="30" t="n">
        <v>46113</v>
      </c>
      <c r="D703" t="inlineStr">
        <is>
          <t>Em 2026</t>
        </is>
      </c>
      <c r="E703" s="28" t="n">
        <v>46136</v>
      </c>
      <c r="F703" t="inlineStr">
        <is>
          <t>CT-e</t>
        </is>
      </c>
      <c r="G703" t="inlineStr">
        <is>
          <t>000195416</t>
        </is>
      </c>
      <c r="H703" t="inlineStr">
        <is>
          <t>ALIANCA NAVEGACAO E LOGISTICA LTDA</t>
        </is>
      </c>
      <c r="J703" s="29" t="n">
        <v>387.1</v>
      </c>
      <c r="K703" s="29">
        <f>(1-ISNUMBER(SEARCH("556",M703)))*(O703*SUMIFS(Premissas!$C$5:$C$44,Premissas!$A$5:$A$44,$A703,Premissas!$B$5:$B$44,$B703)+P703*SUMIFS(Premissas!$D$5:$D$44,Premissas!$A$5:$A$44,$A703,Premissas!$B$5:$B$44,$B703))+R703*SUMIFS(Premissas!$E$5:$E$44,Premissas!$A$5:$A$44,$A703,Premissas!$B$5:$B$44,$B703)+S703*SUMIFS(Premissas!$F$5:$F$44,Premissas!$A$5:$A$44,$A703,Premissas!$B$5:$B$44,$B703)</f>
        <v/>
      </c>
      <c r="L703" s="29">
        <f>J703-K703</f>
        <v/>
      </c>
      <c r="M703" t="inlineStr">
        <is>
          <t>2.350</t>
        </is>
      </c>
      <c r="N703" t="inlineStr">
        <is>
          <t>Modalidade: 2 - Por conta de terceiros | Parte: CMPC Iguacu Embalagens Ltda (11.308.600/0008-04)</t>
        </is>
      </c>
      <c r="O703" s="29" t="n">
        <v>0</v>
      </c>
      <c r="P703" s="29" t="n">
        <v>27.1</v>
      </c>
      <c r="Q703" s="29" t="n">
        <v>0</v>
      </c>
      <c r="R703" s="29" t="n">
        <v>0</v>
      </c>
      <c r="S703" s="29" t="n">
        <v>0</v>
      </c>
      <c r="T703" t="inlineStr">
        <is>
          <t>42260402427026000901570040001954161019541691</t>
        </is>
      </c>
      <c r="U703" t="inlineStr">
        <is>
          <t>Sim</t>
        </is>
      </c>
    </row>
    <row r="704">
      <c r="A704" t="inlineStr">
        <is>
          <t>Frete de compra</t>
        </is>
      </c>
      <c r="B704" t="inlineStr">
        <is>
          <t>2.01.82 Estadia - Cabotagem</t>
        </is>
      </c>
      <c r="C704" s="30" t="n">
        <v>46113</v>
      </c>
      <c r="D704" t="inlineStr">
        <is>
          <t>Em 2026</t>
        </is>
      </c>
      <c r="E704" s="28" t="n">
        <v>46136</v>
      </c>
      <c r="F704" t="inlineStr">
        <is>
          <t>CT-e</t>
        </is>
      </c>
      <c r="G704" t="inlineStr">
        <is>
          <t>000195417</t>
        </is>
      </c>
      <c r="H704" t="inlineStr">
        <is>
          <t>ALIANCA NAVEGACAO E LOGISTICA LTDA</t>
        </is>
      </c>
      <c r="J704" s="29" t="n">
        <v>387.1</v>
      </c>
      <c r="K704" s="29">
        <f>(1-ISNUMBER(SEARCH("556",M704)))*(O704*SUMIFS(Premissas!$C$5:$C$44,Premissas!$A$5:$A$44,$A704,Premissas!$B$5:$B$44,$B704)+P704*SUMIFS(Premissas!$D$5:$D$44,Premissas!$A$5:$A$44,$A704,Premissas!$B$5:$B$44,$B704))+R704*SUMIFS(Premissas!$E$5:$E$44,Premissas!$A$5:$A$44,$A704,Premissas!$B$5:$B$44,$B704)+S704*SUMIFS(Premissas!$F$5:$F$44,Premissas!$A$5:$A$44,$A704,Premissas!$B$5:$B$44,$B704)</f>
        <v/>
      </c>
      <c r="L704" s="29">
        <f>J704-K704</f>
        <v/>
      </c>
      <c r="M704" t="inlineStr">
        <is>
          <t>2.350</t>
        </is>
      </c>
      <c r="N704" t="inlineStr">
        <is>
          <t>Modalidade: 2 - Por conta de terceiros | Parte: CMPC Iguacu Embalagens Ltda (11.308.600/0008-04)</t>
        </is>
      </c>
      <c r="O704" s="29" t="n">
        <v>0</v>
      </c>
      <c r="P704" s="29" t="n">
        <v>27.1</v>
      </c>
      <c r="Q704" s="29" t="n">
        <v>0</v>
      </c>
      <c r="R704" s="29" t="n">
        <v>0</v>
      </c>
      <c r="S704" s="29" t="n">
        <v>0</v>
      </c>
      <c r="T704" t="inlineStr">
        <is>
          <t>42260402427026000901570040001954171019541796</t>
        </is>
      </c>
      <c r="U704" t="inlineStr">
        <is>
          <t>Sim</t>
        </is>
      </c>
    </row>
    <row r="705">
      <c r="A705" t="inlineStr">
        <is>
          <t>Frete de compra</t>
        </is>
      </c>
      <c r="B705" t="inlineStr">
        <is>
          <t>2.01.82 Estadia - Cabotagem</t>
        </is>
      </c>
      <c r="C705" s="30" t="n">
        <v>46113</v>
      </c>
      <c r="D705" t="inlineStr">
        <is>
          <t>Em 2026</t>
        </is>
      </c>
      <c r="E705" s="28" t="n">
        <v>46136</v>
      </c>
      <c r="F705" t="inlineStr">
        <is>
          <t>CT-e</t>
        </is>
      </c>
      <c r="G705" t="inlineStr">
        <is>
          <t>000195432</t>
        </is>
      </c>
      <c r="H705" t="inlineStr">
        <is>
          <t>ALIANCA NAVEGACAO E LOGISTICA LTDA</t>
        </is>
      </c>
      <c r="J705" s="29" t="n">
        <v>1161.29</v>
      </c>
      <c r="K705" s="29">
        <f>(1-ISNUMBER(SEARCH("556",M705)))*(O705*SUMIFS(Premissas!$C$5:$C$44,Premissas!$A$5:$A$44,$A705,Premissas!$B$5:$B$44,$B705)+P705*SUMIFS(Premissas!$D$5:$D$44,Premissas!$A$5:$A$44,$A705,Premissas!$B$5:$B$44,$B705))+R705*SUMIFS(Premissas!$E$5:$E$44,Premissas!$A$5:$A$44,$A705,Premissas!$B$5:$B$44,$B705)+S705*SUMIFS(Premissas!$F$5:$F$44,Premissas!$A$5:$A$44,$A705,Premissas!$B$5:$B$44,$B705)</f>
        <v/>
      </c>
      <c r="L705" s="29">
        <f>J705-K705</f>
        <v/>
      </c>
      <c r="M705" t="inlineStr">
        <is>
          <t>2.350</t>
        </is>
      </c>
      <c r="N705" t="inlineStr">
        <is>
          <t>Modalidade: 2 - Por conta de terceiros | Parte: CMPC Iguacu Embalagens Ltda (11.308.600/0008-04)</t>
        </is>
      </c>
      <c r="O705" s="29" t="n">
        <v>0</v>
      </c>
      <c r="P705" s="29" t="n">
        <v>81.29000000000001</v>
      </c>
      <c r="Q705" s="29" t="n">
        <v>0</v>
      </c>
      <c r="R705" s="29" t="n">
        <v>0</v>
      </c>
      <c r="S705" s="29" t="n">
        <v>0</v>
      </c>
      <c r="T705" t="inlineStr">
        <is>
          <t>42260402427026000901570040001954321019543299</t>
        </is>
      </c>
      <c r="U705" t="inlineStr">
        <is>
          <t>Sim</t>
        </is>
      </c>
    </row>
    <row r="706">
      <c r="A706" t="inlineStr">
        <is>
          <t>Frete de compra</t>
        </is>
      </c>
      <c r="B706" t="inlineStr">
        <is>
          <t>2.01.82 Estadia - Cabotagem</t>
        </is>
      </c>
      <c r="C706" s="30" t="n">
        <v>46113</v>
      </c>
      <c r="D706" t="inlineStr">
        <is>
          <t>Em 2026</t>
        </is>
      </c>
      <c r="E706" s="28" t="n">
        <v>46136</v>
      </c>
      <c r="F706" t="inlineStr">
        <is>
          <t>CT-e</t>
        </is>
      </c>
      <c r="G706" t="inlineStr">
        <is>
          <t>000195433</t>
        </is>
      </c>
      <c r="H706" t="inlineStr">
        <is>
          <t>ALIANCA NAVEGACAO E LOGISTICA LTDA</t>
        </is>
      </c>
      <c r="J706" s="29" t="n">
        <v>1677.42</v>
      </c>
      <c r="K706" s="29">
        <f>(1-ISNUMBER(SEARCH("556",M706)))*(O706*SUMIFS(Premissas!$C$5:$C$44,Premissas!$A$5:$A$44,$A706,Premissas!$B$5:$B$44,$B706)+P706*SUMIFS(Premissas!$D$5:$D$44,Premissas!$A$5:$A$44,$A706,Premissas!$B$5:$B$44,$B706))+R706*SUMIFS(Premissas!$E$5:$E$44,Premissas!$A$5:$A$44,$A706,Premissas!$B$5:$B$44,$B706)+S706*SUMIFS(Premissas!$F$5:$F$44,Premissas!$A$5:$A$44,$A706,Premissas!$B$5:$B$44,$B706)</f>
        <v/>
      </c>
      <c r="L706" s="29">
        <f>J706-K706</f>
        <v/>
      </c>
      <c r="M706" t="inlineStr">
        <is>
          <t>2.350</t>
        </is>
      </c>
      <c r="N706" t="inlineStr">
        <is>
          <t>Modalidade: 2 - Por conta de terceiros | Parte: CMPC Iguacu Embalagens Ltda (11.308.600/0008-04)</t>
        </is>
      </c>
      <c r="O706" s="29" t="n">
        <v>0</v>
      </c>
      <c r="P706" s="29" t="n">
        <v>117.42</v>
      </c>
      <c r="Q706" s="29" t="n">
        <v>0</v>
      </c>
      <c r="R706" s="29" t="n">
        <v>0</v>
      </c>
      <c r="S706" s="29" t="n">
        <v>0</v>
      </c>
      <c r="T706" t="inlineStr">
        <is>
          <t>42260402427026000901570040001954331019543393</t>
        </is>
      </c>
      <c r="U706" t="inlineStr">
        <is>
          <t>Sim</t>
        </is>
      </c>
    </row>
    <row r="707">
      <c r="A707" t="inlineStr">
        <is>
          <t>Frete de compra</t>
        </is>
      </c>
      <c r="B707" t="inlineStr">
        <is>
          <t>2.01.82 Estadia - Cabotagem</t>
        </is>
      </c>
      <c r="C707" s="30" t="n">
        <v>46143</v>
      </c>
      <c r="D707" t="inlineStr">
        <is>
          <t>Em 2026</t>
        </is>
      </c>
      <c r="E707" s="28" t="n">
        <v>46157</v>
      </c>
      <c r="F707" t="inlineStr">
        <is>
          <t>CT-e</t>
        </is>
      </c>
      <c r="G707" t="inlineStr">
        <is>
          <t>000196966</t>
        </is>
      </c>
      <c r="H707" t="inlineStr">
        <is>
          <t>ALIANCA NAVEGACAO E LOGISTICA LTDA</t>
        </is>
      </c>
      <c r="J707" s="29" t="n">
        <v>129.03</v>
      </c>
      <c r="K707" s="29">
        <f>(1-ISNUMBER(SEARCH("556",M707)))*(O707*SUMIFS(Premissas!$C$5:$C$44,Premissas!$A$5:$A$44,$A707,Premissas!$B$5:$B$44,$B707)+P707*SUMIFS(Premissas!$D$5:$D$44,Premissas!$A$5:$A$44,$A707,Premissas!$B$5:$B$44,$B707))+R707*SUMIFS(Premissas!$E$5:$E$44,Premissas!$A$5:$A$44,$A707,Premissas!$B$5:$B$44,$B707)+S707*SUMIFS(Premissas!$F$5:$F$44,Premissas!$A$5:$A$44,$A707,Premissas!$B$5:$B$44,$B707)</f>
        <v/>
      </c>
      <c r="L707" s="29">
        <f>J707-K707</f>
        <v/>
      </c>
      <c r="M707" t="inlineStr">
        <is>
          <t>2.350</t>
        </is>
      </c>
      <c r="N707" t="inlineStr">
        <is>
          <t>Modalidade: 2 - Por conta de terceiros | Parte: CMPC Iguacu Embalagens Ltda (11.308.600/0008-04)</t>
        </is>
      </c>
      <c r="O707" s="29" t="n">
        <v>0</v>
      </c>
      <c r="P707" s="29" t="n">
        <v>9.029999999999999</v>
      </c>
      <c r="Q707" s="29" t="n">
        <v>0</v>
      </c>
      <c r="R707" s="29" t="n">
        <v>0</v>
      </c>
      <c r="S707" s="29" t="n">
        <v>0</v>
      </c>
      <c r="T707" t="inlineStr">
        <is>
          <t>42260502427026000901570040001969661019696692</t>
        </is>
      </c>
      <c r="U707" t="inlineStr">
        <is>
          <t>Sim</t>
        </is>
      </c>
    </row>
    <row r="708">
      <c r="A708" t="inlineStr">
        <is>
          <t>Frete de compra</t>
        </is>
      </c>
      <c r="B708" t="inlineStr">
        <is>
          <t>2.01.82 Estadia - Cabotagem</t>
        </is>
      </c>
      <c r="C708" s="30" t="n">
        <v>46143</v>
      </c>
      <c r="D708" t="inlineStr">
        <is>
          <t>Em 2026</t>
        </is>
      </c>
      <c r="E708" s="28" t="n">
        <v>46157</v>
      </c>
      <c r="F708" t="inlineStr">
        <is>
          <t>CT-e</t>
        </is>
      </c>
      <c r="G708" t="inlineStr">
        <is>
          <t>000196985</t>
        </is>
      </c>
      <c r="H708" t="inlineStr">
        <is>
          <t>ALIANCA NAVEGACAO E LOGISTICA LTDA</t>
        </is>
      </c>
      <c r="J708" s="29" t="n">
        <v>1703.23</v>
      </c>
      <c r="K708" s="29">
        <f>(1-ISNUMBER(SEARCH("556",M708)))*(O708*SUMIFS(Premissas!$C$5:$C$44,Premissas!$A$5:$A$44,$A708,Premissas!$B$5:$B$44,$B708)+P708*SUMIFS(Premissas!$D$5:$D$44,Premissas!$A$5:$A$44,$A708,Premissas!$B$5:$B$44,$B708))+R708*SUMIFS(Premissas!$E$5:$E$44,Premissas!$A$5:$A$44,$A708,Premissas!$B$5:$B$44,$B708)+S708*SUMIFS(Premissas!$F$5:$F$44,Premissas!$A$5:$A$44,$A708,Premissas!$B$5:$B$44,$B708)</f>
        <v/>
      </c>
      <c r="L708" s="29">
        <f>J708-K708</f>
        <v/>
      </c>
      <c r="M708" t="inlineStr">
        <is>
          <t>2.350</t>
        </is>
      </c>
      <c r="N708" t="inlineStr">
        <is>
          <t>Modalidade: 2 - Por conta de terceiros | Parte: CMPC Iguacu Embalagens Ltda (11.308.600/0008-04)</t>
        </is>
      </c>
      <c r="O708" s="29" t="n">
        <v>0</v>
      </c>
      <c r="P708" s="29" t="n">
        <v>119.23</v>
      </c>
      <c r="Q708" s="29" t="n">
        <v>0</v>
      </c>
      <c r="R708" s="29" t="n">
        <v>0</v>
      </c>
      <c r="S708" s="29" t="n">
        <v>0</v>
      </c>
      <c r="T708" t="inlineStr">
        <is>
          <t>42260502427026000901570040001969851019698593</t>
        </is>
      </c>
      <c r="U708" t="inlineStr">
        <is>
          <t>Sim</t>
        </is>
      </c>
    </row>
    <row r="709">
      <c r="A709" t="inlineStr">
        <is>
          <t>Frete de compra</t>
        </is>
      </c>
      <c r="B709" t="inlineStr">
        <is>
          <t>2.01.82 Estadia - Cabotagem</t>
        </is>
      </c>
      <c r="C709" s="30" t="n">
        <v>46143</v>
      </c>
      <c r="D709" t="inlineStr">
        <is>
          <t>Em 2026</t>
        </is>
      </c>
      <c r="E709" s="28" t="n">
        <v>46157</v>
      </c>
      <c r="F709" t="inlineStr">
        <is>
          <t>CT-e</t>
        </is>
      </c>
      <c r="G709" t="inlineStr">
        <is>
          <t>000196986</t>
        </is>
      </c>
      <c r="H709" t="inlineStr">
        <is>
          <t>ALIANCA NAVEGACAO E LOGISTICA LTDA</t>
        </is>
      </c>
      <c r="J709" s="29" t="n">
        <v>2012.9</v>
      </c>
      <c r="K709" s="29">
        <f>(1-ISNUMBER(SEARCH("556",M709)))*(O709*SUMIFS(Premissas!$C$5:$C$44,Premissas!$A$5:$A$44,$A709,Premissas!$B$5:$B$44,$B709)+P709*SUMIFS(Premissas!$D$5:$D$44,Premissas!$A$5:$A$44,$A709,Premissas!$B$5:$B$44,$B709))+R709*SUMIFS(Premissas!$E$5:$E$44,Premissas!$A$5:$A$44,$A709,Premissas!$B$5:$B$44,$B709)+S709*SUMIFS(Premissas!$F$5:$F$44,Premissas!$A$5:$A$44,$A709,Premissas!$B$5:$B$44,$B709)</f>
        <v/>
      </c>
      <c r="L709" s="29">
        <f>J709-K709</f>
        <v/>
      </c>
      <c r="M709" t="inlineStr">
        <is>
          <t>2.350</t>
        </is>
      </c>
      <c r="N709" t="inlineStr">
        <is>
          <t>Modalidade: 2 - Por conta de terceiros | Parte: CMPC Iguacu Embalagens Ltda (11.308.600/0008-04)</t>
        </is>
      </c>
      <c r="O709" s="29" t="n">
        <v>0</v>
      </c>
      <c r="P709" s="29" t="n">
        <v>140.9</v>
      </c>
      <c r="Q709" s="29" t="n">
        <v>0</v>
      </c>
      <c r="R709" s="29" t="n">
        <v>0</v>
      </c>
      <c r="S709" s="29" t="n">
        <v>0</v>
      </c>
      <c r="T709" t="inlineStr">
        <is>
          <t>42260502427026000901570040001969861019698698</t>
        </is>
      </c>
      <c r="U709" t="inlineStr">
        <is>
          <t>Sim</t>
        </is>
      </c>
    </row>
    <row r="710">
      <c r="A710" t="inlineStr">
        <is>
          <t>Frete de compra</t>
        </is>
      </c>
      <c r="B710" t="inlineStr">
        <is>
          <t>2.01.82 Estadia - Cabotagem</t>
        </is>
      </c>
      <c r="C710" s="30" t="n">
        <v>46143</v>
      </c>
      <c r="D710" t="inlineStr">
        <is>
          <t>Em 2026</t>
        </is>
      </c>
      <c r="E710" s="28" t="n">
        <v>46157</v>
      </c>
      <c r="F710" t="inlineStr">
        <is>
          <t>CT-e</t>
        </is>
      </c>
      <c r="G710" t="inlineStr">
        <is>
          <t>000196987</t>
        </is>
      </c>
      <c r="H710" t="inlineStr">
        <is>
          <t>ALIANCA NAVEGACAO E LOGISTICA LTDA</t>
        </is>
      </c>
      <c r="J710" s="29" t="n">
        <v>2709.68</v>
      </c>
      <c r="K710" s="29">
        <f>(1-ISNUMBER(SEARCH("556",M710)))*(O710*SUMIFS(Premissas!$C$5:$C$44,Premissas!$A$5:$A$44,$A710,Premissas!$B$5:$B$44,$B710)+P710*SUMIFS(Premissas!$D$5:$D$44,Premissas!$A$5:$A$44,$A710,Premissas!$B$5:$B$44,$B710))+R710*SUMIFS(Premissas!$E$5:$E$44,Premissas!$A$5:$A$44,$A710,Premissas!$B$5:$B$44,$B710)+S710*SUMIFS(Premissas!$F$5:$F$44,Premissas!$A$5:$A$44,$A710,Premissas!$B$5:$B$44,$B710)</f>
        <v/>
      </c>
      <c r="L710" s="29">
        <f>J710-K710</f>
        <v/>
      </c>
      <c r="M710" t="inlineStr">
        <is>
          <t>2.350</t>
        </is>
      </c>
      <c r="N710" t="inlineStr">
        <is>
          <t>Modalidade: 1 - Por conta do destinatário | Parte: CMPC Iguacu Embalagens Ltda (11.308.600/0008-04)</t>
        </is>
      </c>
      <c r="O710" s="29" t="n">
        <v>0</v>
      </c>
      <c r="P710" s="29" t="n">
        <v>189.68</v>
      </c>
      <c r="Q710" s="29" t="n">
        <v>0</v>
      </c>
      <c r="R710" s="29" t="n">
        <v>0</v>
      </c>
      <c r="S710" s="29" t="n">
        <v>0</v>
      </c>
      <c r="T710" t="inlineStr">
        <is>
          <t>42260502427026000901570040001969871019698792</t>
        </is>
      </c>
      <c r="U710" t="inlineStr">
        <is>
          <t>Sim</t>
        </is>
      </c>
    </row>
    <row r="711">
      <c r="A711" t="inlineStr">
        <is>
          <t>Frete de compra</t>
        </is>
      </c>
      <c r="B711" t="inlineStr">
        <is>
          <t>2.01.82 Estadia - Cabotagem</t>
        </is>
      </c>
      <c r="C711" s="30" t="n">
        <v>46143</v>
      </c>
      <c r="D711" t="inlineStr">
        <is>
          <t>Em 2026</t>
        </is>
      </c>
      <c r="E711" s="28" t="n">
        <v>46157</v>
      </c>
      <c r="F711" t="inlineStr">
        <is>
          <t>CT-e</t>
        </is>
      </c>
      <c r="G711" t="inlineStr">
        <is>
          <t>000196988</t>
        </is>
      </c>
      <c r="H711" t="inlineStr">
        <is>
          <t>ALIANCA NAVEGACAO E LOGISTICA LTDA</t>
        </is>
      </c>
      <c r="J711" s="29" t="n">
        <v>2967.74</v>
      </c>
      <c r="K711" s="29">
        <f>(1-ISNUMBER(SEARCH("556",M711)))*(O711*SUMIFS(Premissas!$C$5:$C$44,Premissas!$A$5:$A$44,$A711,Premissas!$B$5:$B$44,$B711)+P711*SUMIFS(Premissas!$D$5:$D$44,Premissas!$A$5:$A$44,$A711,Premissas!$B$5:$B$44,$B711))+R711*SUMIFS(Premissas!$E$5:$E$44,Premissas!$A$5:$A$44,$A711,Premissas!$B$5:$B$44,$B711)+S711*SUMIFS(Premissas!$F$5:$F$44,Premissas!$A$5:$A$44,$A711,Premissas!$B$5:$B$44,$B711)</f>
        <v/>
      </c>
      <c r="L711" s="29">
        <f>J711-K711</f>
        <v/>
      </c>
      <c r="M711" t="inlineStr">
        <is>
          <t>2.350</t>
        </is>
      </c>
      <c r="N711" t="inlineStr">
        <is>
          <t>Modalidade: 2 - Por conta de terceiros | Parte: CMPC Iguacu Embalagens Ltda (11.308.600/0008-04)</t>
        </is>
      </c>
      <c r="O711" s="29" t="n">
        <v>0</v>
      </c>
      <c r="P711" s="29" t="n">
        <v>207.74</v>
      </c>
      <c r="Q711" s="29" t="n">
        <v>0</v>
      </c>
      <c r="R711" s="29" t="n">
        <v>0</v>
      </c>
      <c r="S711" s="29" t="n">
        <v>0</v>
      </c>
      <c r="T711" t="inlineStr">
        <is>
          <t>42260502427026000901570040001969881019698897</t>
        </is>
      </c>
      <c r="U711" t="inlineStr">
        <is>
          <t>Sim</t>
        </is>
      </c>
    </row>
    <row r="712">
      <c r="A712" t="inlineStr">
        <is>
          <t>Frete de compra</t>
        </is>
      </c>
      <c r="B712" t="inlineStr">
        <is>
          <t>2.01.82 Estadia - Cabotagem</t>
        </is>
      </c>
      <c r="C712" s="30" t="n">
        <v>46174</v>
      </c>
      <c r="D712" t="inlineStr">
        <is>
          <t>Em 2026</t>
        </is>
      </c>
      <c r="E712" s="28" t="n">
        <v>46178</v>
      </c>
      <c r="F712" t="inlineStr">
        <is>
          <t>CT-e</t>
        </is>
      </c>
      <c r="G712" t="inlineStr">
        <is>
          <t>000198391</t>
        </is>
      </c>
      <c r="H712" t="inlineStr">
        <is>
          <t>ALIANCA NAVEGACAO E LOGISTICA LTDA</t>
        </is>
      </c>
      <c r="J712" s="29" t="n">
        <v>154.84</v>
      </c>
      <c r="K712" s="29">
        <f>(1-ISNUMBER(SEARCH("556",M712)))*(O712*SUMIFS(Premissas!$C$5:$C$44,Premissas!$A$5:$A$44,$A712,Premissas!$B$5:$B$44,$B712)+P712*SUMIFS(Premissas!$D$5:$D$44,Premissas!$A$5:$A$44,$A712,Premissas!$B$5:$B$44,$B712))+R712*SUMIFS(Premissas!$E$5:$E$44,Premissas!$A$5:$A$44,$A712,Premissas!$B$5:$B$44,$B712)+S712*SUMIFS(Premissas!$F$5:$F$44,Premissas!$A$5:$A$44,$A712,Premissas!$B$5:$B$44,$B712)</f>
        <v/>
      </c>
      <c r="L712" s="29">
        <f>J712-K712</f>
        <v/>
      </c>
      <c r="M712" t="inlineStr">
        <is>
          <t>2.350</t>
        </is>
      </c>
      <c r="N712" t="inlineStr">
        <is>
          <t>Modalidade: 2 - Por conta de terceiros | Parte: CMPC Iguacu Embalagens Ltda (11.308.600/0008-04)</t>
        </is>
      </c>
      <c r="O712" s="29" t="n">
        <v>0</v>
      </c>
      <c r="P712" s="29" t="n">
        <v>10.84</v>
      </c>
      <c r="Q712" s="29" t="n">
        <v>0</v>
      </c>
      <c r="R712" s="29" t="n">
        <v>0</v>
      </c>
      <c r="S712" s="29" t="n">
        <v>0</v>
      </c>
      <c r="T712" t="inlineStr">
        <is>
          <t>42260602427026000901570040001983911019839194</t>
        </is>
      </c>
      <c r="U712" t="inlineStr">
        <is>
          <t>Sim</t>
        </is>
      </c>
    </row>
    <row r="713">
      <c r="A713" t="inlineStr">
        <is>
          <t>Frete de compra</t>
        </is>
      </c>
      <c r="B713" t="inlineStr">
        <is>
          <t>2.01.82 Estadia - Cabotagem</t>
        </is>
      </c>
      <c r="C713" s="30" t="n">
        <v>46174</v>
      </c>
      <c r="D713" t="inlineStr">
        <is>
          <t>Em 2026</t>
        </is>
      </c>
      <c r="E713" s="28" t="n">
        <v>46178</v>
      </c>
      <c r="F713" t="inlineStr">
        <is>
          <t>CT-e</t>
        </is>
      </c>
      <c r="G713" t="inlineStr">
        <is>
          <t>000198406</t>
        </is>
      </c>
      <c r="H713" t="inlineStr">
        <is>
          <t>ALIANCA NAVEGACAO E LOGISTICA LTDA</t>
        </is>
      </c>
      <c r="J713" s="29" t="n">
        <v>464.52</v>
      </c>
      <c r="K713" s="29">
        <f>(1-ISNUMBER(SEARCH("556",M713)))*(O713*SUMIFS(Premissas!$C$5:$C$44,Premissas!$A$5:$A$44,$A713,Premissas!$B$5:$B$44,$B713)+P713*SUMIFS(Premissas!$D$5:$D$44,Premissas!$A$5:$A$44,$A713,Premissas!$B$5:$B$44,$B713))+R713*SUMIFS(Premissas!$E$5:$E$44,Premissas!$A$5:$A$44,$A713,Premissas!$B$5:$B$44,$B713)+S713*SUMIFS(Premissas!$F$5:$F$44,Premissas!$A$5:$A$44,$A713,Premissas!$B$5:$B$44,$B713)</f>
        <v/>
      </c>
      <c r="L713" s="29">
        <f>J713-K713</f>
        <v/>
      </c>
      <c r="M713" t="inlineStr">
        <is>
          <t>2.350</t>
        </is>
      </c>
      <c r="N713" t="inlineStr">
        <is>
          <t>Modalidade: 1 - Por conta do destinatário | Parte: CMPC Iguacu Embalagens Ltda (11.308.600/0008-04)</t>
        </is>
      </c>
      <c r="O713" s="29" t="n">
        <v>0</v>
      </c>
      <c r="P713" s="29" t="n">
        <v>32.52</v>
      </c>
      <c r="Q713" s="29" t="n">
        <v>0</v>
      </c>
      <c r="R713" s="29" t="n">
        <v>0</v>
      </c>
      <c r="S713" s="29" t="n">
        <v>0</v>
      </c>
      <c r="T713" t="inlineStr">
        <is>
          <t>42260602427026000901570040001984061019840693</t>
        </is>
      </c>
      <c r="U713" t="inlineStr">
        <is>
          <t>Sim</t>
        </is>
      </c>
    </row>
    <row r="714">
      <c r="A714" t="inlineStr">
        <is>
          <t>Frete de compra</t>
        </is>
      </c>
      <c r="B714" t="inlineStr">
        <is>
          <t>2.01.82 Estadia - Cabotagem</t>
        </is>
      </c>
      <c r="C714" s="30" t="n">
        <v>46174</v>
      </c>
      <c r="D714" t="inlineStr">
        <is>
          <t>Em 2026</t>
        </is>
      </c>
      <c r="E714" s="28" t="n">
        <v>46178</v>
      </c>
      <c r="F714" t="inlineStr">
        <is>
          <t>CT-e</t>
        </is>
      </c>
      <c r="G714" t="inlineStr">
        <is>
          <t>000198419</t>
        </is>
      </c>
      <c r="H714" t="inlineStr">
        <is>
          <t>ALIANCA NAVEGACAO E LOGISTICA LTDA</t>
        </is>
      </c>
      <c r="J714" s="29" t="n">
        <v>774.1900000000001</v>
      </c>
      <c r="K714" s="29">
        <f>(1-ISNUMBER(SEARCH("556",M714)))*(O714*SUMIFS(Premissas!$C$5:$C$44,Premissas!$A$5:$A$44,$A714,Premissas!$B$5:$B$44,$B714)+P714*SUMIFS(Premissas!$D$5:$D$44,Premissas!$A$5:$A$44,$A714,Premissas!$B$5:$B$44,$B714))+R714*SUMIFS(Premissas!$E$5:$E$44,Premissas!$A$5:$A$44,$A714,Premissas!$B$5:$B$44,$B714)+S714*SUMIFS(Premissas!$F$5:$F$44,Premissas!$A$5:$A$44,$A714,Premissas!$B$5:$B$44,$B714)</f>
        <v/>
      </c>
      <c r="L714" s="29">
        <f>J714-K714</f>
        <v/>
      </c>
      <c r="M714" t="inlineStr">
        <is>
          <t>2.350</t>
        </is>
      </c>
      <c r="N714" t="inlineStr">
        <is>
          <t>Modalidade: 1 - Por conta do destinatário | Parte: CMPC Iguacu Embalagens Ltda (11.308.600/0008-04)</t>
        </is>
      </c>
      <c r="O714" s="29" t="n">
        <v>0</v>
      </c>
      <c r="P714" s="29" t="n">
        <v>54.19</v>
      </c>
      <c r="Q714" s="29" t="n">
        <v>0</v>
      </c>
      <c r="R714" s="29" t="n">
        <v>0</v>
      </c>
      <c r="S714" s="29" t="n">
        <v>0</v>
      </c>
      <c r="T714" t="inlineStr">
        <is>
          <t>42260602427026000901570040001984191019841990</t>
        </is>
      </c>
      <c r="U714" t="inlineStr">
        <is>
          <t>Sim</t>
        </is>
      </c>
    </row>
    <row r="715">
      <c r="A715" t="inlineStr">
        <is>
          <t>Frete de compra</t>
        </is>
      </c>
      <c r="B715" t="inlineStr">
        <is>
          <t>2.01.82 Estadia - Cabotagem</t>
        </is>
      </c>
      <c r="C715" s="30" t="n">
        <v>46204</v>
      </c>
      <c r="D715" t="inlineStr">
        <is>
          <t>Em 2026</t>
        </is>
      </c>
      <c r="E715" s="28" t="n">
        <v>46206</v>
      </c>
      <c r="F715" t="inlineStr">
        <is>
          <t>CT-e</t>
        </is>
      </c>
      <c r="G715" t="inlineStr">
        <is>
          <t>000200066</t>
        </is>
      </c>
      <c r="H715" t="inlineStr">
        <is>
          <t>ALIANCA NAVEGACAO E LOGISTICA LTDA</t>
        </is>
      </c>
      <c r="J715" s="29" t="n">
        <v>154.84</v>
      </c>
      <c r="K715" s="29">
        <f>(1-ISNUMBER(SEARCH("556",M715)))*(O715*SUMIFS(Premissas!$C$5:$C$44,Premissas!$A$5:$A$44,$A715,Premissas!$B$5:$B$44,$B715)+P715*SUMIFS(Premissas!$D$5:$D$44,Premissas!$A$5:$A$44,$A715,Premissas!$B$5:$B$44,$B715))+R715*SUMIFS(Premissas!$E$5:$E$44,Premissas!$A$5:$A$44,$A715,Premissas!$B$5:$B$44,$B715)+S715*SUMIFS(Premissas!$F$5:$F$44,Premissas!$A$5:$A$44,$A715,Premissas!$B$5:$B$44,$B715)</f>
        <v/>
      </c>
      <c r="L715" s="29">
        <f>J715-K715</f>
        <v/>
      </c>
      <c r="M715" t="inlineStr">
        <is>
          <t>2.350</t>
        </is>
      </c>
      <c r="N715" t="inlineStr">
        <is>
          <t>Modalidade: 2 - Por conta de terceiros | Parte: CMPC Iguacu Embalagens Ltda (11.308.600/0008-04)</t>
        </is>
      </c>
      <c r="O715" s="29" t="n">
        <v>0</v>
      </c>
      <c r="P715" s="29" t="n">
        <v>10.84</v>
      </c>
      <c r="Q715" s="29" t="n">
        <v>0</v>
      </c>
      <c r="R715" s="29" t="n">
        <v>0</v>
      </c>
      <c r="S715" s="29" t="n">
        <v>0</v>
      </c>
      <c r="T715" t="inlineStr">
        <is>
          <t>42260702427026000901570040002000661020006697</t>
        </is>
      </c>
      <c r="U715" t="inlineStr">
        <is>
          <t>Sim</t>
        </is>
      </c>
    </row>
    <row r="716">
      <c r="A716" t="inlineStr">
        <is>
          <t>Frete de compra</t>
        </is>
      </c>
      <c r="B716" t="inlineStr">
        <is>
          <t>2.01.82 Estadia - Cabotagem</t>
        </is>
      </c>
      <c r="C716" s="30" t="n">
        <v>46235</v>
      </c>
      <c r="D716" t="inlineStr">
        <is>
          <t>Em 2026</t>
        </is>
      </c>
      <c r="E716" s="28" t="n">
        <v>46241</v>
      </c>
      <c r="F716" t="inlineStr">
        <is>
          <t>CT-e</t>
        </is>
      </c>
      <c r="G716" t="inlineStr">
        <is>
          <t>000202079</t>
        </is>
      </c>
      <c r="H716" t="inlineStr">
        <is>
          <t>ALIANCA NAVEGACAO E LOGISTICA LTDA</t>
        </is>
      </c>
      <c r="J716" s="29" t="n">
        <v>619.35</v>
      </c>
      <c r="K716" s="29">
        <f>(1-ISNUMBER(SEARCH("556",M716)))*(O716*SUMIFS(Premissas!$C$5:$C$44,Premissas!$A$5:$A$44,$A716,Premissas!$B$5:$B$44,$B716)+P716*SUMIFS(Premissas!$D$5:$D$44,Premissas!$A$5:$A$44,$A716,Premissas!$B$5:$B$44,$B716))+R716*SUMIFS(Premissas!$E$5:$E$44,Premissas!$A$5:$A$44,$A716,Premissas!$B$5:$B$44,$B716)+S716*SUMIFS(Premissas!$F$5:$F$44,Premissas!$A$5:$A$44,$A716,Premissas!$B$5:$B$44,$B716)</f>
        <v/>
      </c>
      <c r="L716" s="29">
        <f>J716-K716</f>
        <v/>
      </c>
      <c r="M716" t="inlineStr">
        <is>
          <t>2.350</t>
        </is>
      </c>
      <c r="N716" t="inlineStr">
        <is>
          <t>Modalidade: 2 - Por conta de terceiros | Parte: CMPC Iguacu Embalagens Ltda (11.308.600/0008-04)</t>
        </is>
      </c>
      <c r="O716" s="29" t="n">
        <v>0</v>
      </c>
      <c r="P716" s="29" t="n">
        <v>43.35</v>
      </c>
      <c r="Q716" s="29" t="n">
        <v>0</v>
      </c>
      <c r="R716" s="29" t="n">
        <v>0</v>
      </c>
      <c r="S716" s="29" t="n">
        <v>0</v>
      </c>
      <c r="T716" t="inlineStr">
        <is>
          <t>42260802427026000901570040002020791020207995</t>
        </is>
      </c>
      <c r="U716" t="inlineStr">
        <is>
          <t>Sim</t>
        </is>
      </c>
    </row>
    <row r="717">
      <c r="A717" t="inlineStr">
        <is>
          <t>Frete de compra</t>
        </is>
      </c>
      <c r="B717" t="inlineStr">
        <is>
          <t>2.01.82 Estadia - Cabotagem</t>
        </is>
      </c>
      <c r="C717" s="30" t="n">
        <v>46235</v>
      </c>
      <c r="D717" t="inlineStr">
        <is>
          <t>Em 2026</t>
        </is>
      </c>
      <c r="E717" s="28" t="n">
        <v>46241</v>
      </c>
      <c r="F717" t="inlineStr">
        <is>
          <t>CT-e</t>
        </is>
      </c>
      <c r="G717" t="inlineStr">
        <is>
          <t>000202080</t>
        </is>
      </c>
      <c r="H717" t="inlineStr">
        <is>
          <t>ALIANCA NAVEGACAO E LOGISTICA LTDA</t>
        </is>
      </c>
      <c r="J717" s="29" t="n">
        <v>619.35</v>
      </c>
      <c r="K717" s="29">
        <f>(1-ISNUMBER(SEARCH("556",M717)))*(O717*SUMIFS(Premissas!$C$5:$C$44,Premissas!$A$5:$A$44,$A717,Premissas!$B$5:$B$44,$B717)+P717*SUMIFS(Premissas!$D$5:$D$44,Premissas!$A$5:$A$44,$A717,Premissas!$B$5:$B$44,$B717))+R717*SUMIFS(Premissas!$E$5:$E$44,Premissas!$A$5:$A$44,$A717,Premissas!$B$5:$B$44,$B717)+S717*SUMIFS(Premissas!$F$5:$F$44,Premissas!$A$5:$A$44,$A717,Premissas!$B$5:$B$44,$B717)</f>
        <v/>
      </c>
      <c r="L717" s="29">
        <f>J717-K717</f>
        <v/>
      </c>
      <c r="M717" t="inlineStr">
        <is>
          <t>2.350</t>
        </is>
      </c>
      <c r="N717" t="inlineStr">
        <is>
          <t>Modalidade: 2 - Por conta de terceiros | Parte: CMPC Iguacu Embalagens Ltda (11.308.600/0008-04)</t>
        </is>
      </c>
      <c r="O717" s="29" t="n">
        <v>0</v>
      </c>
      <c r="P717" s="29" t="n">
        <v>43.35</v>
      </c>
      <c r="Q717" s="29" t="n">
        <v>0</v>
      </c>
      <c r="R717" s="29" t="n">
        <v>0</v>
      </c>
      <c r="S717" s="29" t="n">
        <v>0</v>
      </c>
      <c r="T717" t="inlineStr">
        <is>
          <t>42260802427026000901570040002020801020208097</t>
        </is>
      </c>
      <c r="U717" t="inlineStr">
        <is>
          <t>Sim</t>
        </is>
      </c>
    </row>
    <row r="718">
      <c r="A718" t="inlineStr">
        <is>
          <t>Frete de compra</t>
        </is>
      </c>
      <c r="B718" t="inlineStr">
        <is>
          <t>2.01.82 Estadia - Cabotagem</t>
        </is>
      </c>
      <c r="C718" s="30" t="n">
        <v>46235</v>
      </c>
      <c r="D718" t="inlineStr">
        <is>
          <t>Em 2026</t>
        </is>
      </c>
      <c r="E718" s="28" t="n">
        <v>46241</v>
      </c>
      <c r="F718" t="inlineStr">
        <is>
          <t>CT-e</t>
        </is>
      </c>
      <c r="G718" t="inlineStr">
        <is>
          <t>000202094</t>
        </is>
      </c>
      <c r="H718" t="inlineStr">
        <is>
          <t>ALIANCA NAVEGACAO E LOGISTICA LTDA</t>
        </is>
      </c>
      <c r="J718" s="29" t="n">
        <v>3561.29</v>
      </c>
      <c r="K718" s="29">
        <f>(1-ISNUMBER(SEARCH("556",M718)))*(O718*SUMIFS(Premissas!$C$5:$C$44,Premissas!$A$5:$A$44,$A718,Premissas!$B$5:$B$44,$B718)+P718*SUMIFS(Premissas!$D$5:$D$44,Premissas!$A$5:$A$44,$A718,Premissas!$B$5:$B$44,$B718))+R718*SUMIFS(Premissas!$E$5:$E$44,Premissas!$A$5:$A$44,$A718,Premissas!$B$5:$B$44,$B718)+S718*SUMIFS(Premissas!$F$5:$F$44,Premissas!$A$5:$A$44,$A718,Premissas!$B$5:$B$44,$B718)</f>
        <v/>
      </c>
      <c r="L718" s="29">
        <f>J718-K718</f>
        <v/>
      </c>
      <c r="M718" t="inlineStr">
        <is>
          <t>2.350</t>
        </is>
      </c>
      <c r="N718" t="inlineStr">
        <is>
          <t>Modalidade: 2 - Por conta de terceiros | Parte: CMPC Iguacu Embalagens Ltda (11.308.600/0008-04)</t>
        </is>
      </c>
      <c r="O718" s="29" t="n">
        <v>0</v>
      </c>
      <c r="P718" s="29" t="n">
        <v>249.29</v>
      </c>
      <c r="Q718" s="29" t="n">
        <v>0</v>
      </c>
      <c r="R718" s="29" t="n">
        <v>0</v>
      </c>
      <c r="S718" s="29" t="n">
        <v>0</v>
      </c>
      <c r="T718" t="inlineStr">
        <is>
          <t>42260802427026000901570040002020941020209498</t>
        </is>
      </c>
      <c r="U718" t="inlineStr">
        <is>
          <t>Sim</t>
        </is>
      </c>
    </row>
    <row r="719">
      <c r="A719" t="inlineStr">
        <is>
          <t>Frete de compra</t>
        </is>
      </c>
      <c r="B719" t="inlineStr">
        <is>
          <t>2.01.82 Estadia - Cabotagem</t>
        </is>
      </c>
      <c r="C719" s="30" t="n">
        <v>46235</v>
      </c>
      <c r="D719" t="inlineStr">
        <is>
          <t>Em 2026</t>
        </is>
      </c>
      <c r="E719" s="28" t="n">
        <v>46241</v>
      </c>
      <c r="F719" t="inlineStr">
        <is>
          <t>CT-e</t>
        </is>
      </c>
      <c r="G719" t="inlineStr">
        <is>
          <t>000202096</t>
        </is>
      </c>
      <c r="H719" t="inlineStr">
        <is>
          <t>ALIANCA NAVEGACAO E LOGISTICA LTDA</t>
        </is>
      </c>
      <c r="J719" s="29" t="n">
        <v>4025.81</v>
      </c>
      <c r="K719" s="29">
        <f>(1-ISNUMBER(SEARCH("556",M719)))*(O719*SUMIFS(Premissas!$C$5:$C$44,Premissas!$A$5:$A$44,$A719,Premissas!$B$5:$B$44,$B719)+P719*SUMIFS(Premissas!$D$5:$D$44,Premissas!$A$5:$A$44,$A719,Premissas!$B$5:$B$44,$B719))+R719*SUMIFS(Premissas!$E$5:$E$44,Premissas!$A$5:$A$44,$A719,Premissas!$B$5:$B$44,$B719)+S719*SUMIFS(Premissas!$F$5:$F$44,Premissas!$A$5:$A$44,$A719,Premissas!$B$5:$B$44,$B719)</f>
        <v/>
      </c>
      <c r="L719" s="29">
        <f>J719-K719</f>
        <v/>
      </c>
      <c r="M719" t="inlineStr">
        <is>
          <t>2.350</t>
        </is>
      </c>
      <c r="N719" t="inlineStr">
        <is>
          <t>Modalidade: 2 - Por conta de terceiros | Parte: CMPC Iguacu Embalagens Ltda (11.308.600/0008-04)</t>
        </is>
      </c>
      <c r="O719" s="29" t="n">
        <v>0</v>
      </c>
      <c r="P719" s="29" t="n">
        <v>281.81</v>
      </c>
      <c r="Q719" s="29" t="n">
        <v>0</v>
      </c>
      <c r="R719" s="29" t="n">
        <v>0</v>
      </c>
      <c r="S719" s="29" t="n">
        <v>0</v>
      </c>
      <c r="T719" t="inlineStr">
        <is>
          <t>42260802427026000901570040002020961020209697</t>
        </is>
      </c>
      <c r="U719" t="inlineStr">
        <is>
          <t>Sim</t>
        </is>
      </c>
    </row>
    <row r="720">
      <c r="A720" t="inlineStr">
        <is>
          <t>Frete de compra</t>
        </is>
      </c>
      <c r="B720" t="inlineStr">
        <is>
          <t>2.01.82 Estadia - Cabotagem</t>
        </is>
      </c>
      <c r="C720" s="30" t="n">
        <v>46235</v>
      </c>
      <c r="D720" t="inlineStr">
        <is>
          <t>Em 2026</t>
        </is>
      </c>
      <c r="E720" s="28" t="n">
        <v>46248</v>
      </c>
      <c r="F720" t="inlineStr">
        <is>
          <t>CT-e</t>
        </is>
      </c>
      <c r="G720" t="inlineStr">
        <is>
          <t>000202668</t>
        </is>
      </c>
      <c r="H720" t="inlineStr">
        <is>
          <t>ALIANCA NAVEGACAO E LOGISTICA LTDA</t>
        </is>
      </c>
      <c r="J720" s="29" t="n">
        <v>154.84</v>
      </c>
      <c r="K720" s="29">
        <f>(1-ISNUMBER(SEARCH("556",M720)))*(O720*SUMIFS(Premissas!$C$5:$C$44,Premissas!$A$5:$A$44,$A720,Premissas!$B$5:$B$44,$B720)+P720*SUMIFS(Premissas!$D$5:$D$44,Premissas!$A$5:$A$44,$A720,Premissas!$B$5:$B$44,$B720))+R720*SUMIFS(Premissas!$E$5:$E$44,Premissas!$A$5:$A$44,$A720,Premissas!$B$5:$B$44,$B720)+S720*SUMIFS(Premissas!$F$5:$F$44,Premissas!$A$5:$A$44,$A720,Premissas!$B$5:$B$44,$B720)</f>
        <v/>
      </c>
      <c r="L720" s="29">
        <f>J720-K720</f>
        <v/>
      </c>
      <c r="M720" t="inlineStr">
        <is>
          <t>2.350</t>
        </is>
      </c>
      <c r="N720" t="inlineStr">
        <is>
          <t>Modalidade: 2 - Por conta de terceiros | Parte: CMPC Iguacu Embalagens Ltda (11.308.600/0008-04)</t>
        </is>
      </c>
      <c r="O720" s="29" t="n">
        <v>0</v>
      </c>
      <c r="P720" s="29" t="n">
        <v>10.84</v>
      </c>
      <c r="Q720" s="29" t="n">
        <v>0</v>
      </c>
      <c r="R720" s="29" t="n">
        <v>0</v>
      </c>
      <c r="S720" s="29" t="n">
        <v>0</v>
      </c>
      <c r="T720" t="inlineStr">
        <is>
          <t>42260802427026000901570040002026681020266893</t>
        </is>
      </c>
      <c r="U720" t="inlineStr">
        <is>
          <t>Sim</t>
        </is>
      </c>
    </row>
    <row r="721">
      <c r="A721" t="inlineStr">
        <is>
          <t>Frete de compra</t>
        </is>
      </c>
      <c r="B721" t="inlineStr">
        <is>
          <t>2.01.82 Estadia - Cabotagem</t>
        </is>
      </c>
      <c r="C721" s="30" t="n">
        <v>46235</v>
      </c>
      <c r="D721" t="inlineStr">
        <is>
          <t>Em 2026</t>
        </is>
      </c>
      <c r="E721" s="28" t="n">
        <v>46248</v>
      </c>
      <c r="F721" t="inlineStr">
        <is>
          <t>CT-e</t>
        </is>
      </c>
      <c r="G721" t="inlineStr">
        <is>
          <t>000202669</t>
        </is>
      </c>
      <c r="H721" t="inlineStr">
        <is>
          <t>ALIANCA NAVEGACAO E LOGISTICA LTDA</t>
        </is>
      </c>
      <c r="J721" s="29" t="n">
        <v>309.68</v>
      </c>
      <c r="K721" s="29">
        <f>(1-ISNUMBER(SEARCH("556",M721)))*(O721*SUMIFS(Premissas!$C$5:$C$44,Premissas!$A$5:$A$44,$A721,Premissas!$B$5:$B$44,$B721)+P721*SUMIFS(Premissas!$D$5:$D$44,Premissas!$A$5:$A$44,$A721,Premissas!$B$5:$B$44,$B721))+R721*SUMIFS(Premissas!$E$5:$E$44,Premissas!$A$5:$A$44,$A721,Premissas!$B$5:$B$44,$B721)+S721*SUMIFS(Premissas!$F$5:$F$44,Premissas!$A$5:$A$44,$A721,Premissas!$B$5:$B$44,$B721)</f>
        <v/>
      </c>
      <c r="L721" s="29">
        <f>J721-K721</f>
        <v/>
      </c>
      <c r="M721" t="inlineStr">
        <is>
          <t>2.350</t>
        </is>
      </c>
      <c r="N721" t="inlineStr">
        <is>
          <t>Modalidade: 2 - Por conta de terceiros | Parte: CMPC Iguacu Embalagens Ltda (11.308.600/0008-04)</t>
        </is>
      </c>
      <c r="O721" s="29" t="n">
        <v>0</v>
      </c>
      <c r="P721" s="29" t="n">
        <v>21.68</v>
      </c>
      <c r="Q721" s="29" t="n">
        <v>0</v>
      </c>
      <c r="R721" s="29" t="n">
        <v>0</v>
      </c>
      <c r="S721" s="29" t="n">
        <v>0</v>
      </c>
      <c r="T721" t="inlineStr">
        <is>
          <t>42260802427026000901570040002026691020266998</t>
        </is>
      </c>
      <c r="U721" t="inlineStr">
        <is>
          <t>Sim</t>
        </is>
      </c>
    </row>
    <row r="722">
      <c r="A722" t="inlineStr">
        <is>
          <t>Frete de compra</t>
        </is>
      </c>
      <c r="B722" t="inlineStr">
        <is>
          <t>2.01.82 Estadia - Cabotagem</t>
        </is>
      </c>
      <c r="C722" s="30" t="n">
        <v>46235</v>
      </c>
      <c r="D722" t="inlineStr">
        <is>
          <t>Em 2026</t>
        </is>
      </c>
      <c r="E722" s="28" t="n">
        <v>46248</v>
      </c>
      <c r="F722" t="inlineStr">
        <is>
          <t>CT-e</t>
        </is>
      </c>
      <c r="G722" t="inlineStr">
        <is>
          <t>000202670</t>
        </is>
      </c>
      <c r="H722" t="inlineStr">
        <is>
          <t>ALIANCA NAVEGACAO E LOGISTICA LTDA</t>
        </is>
      </c>
      <c r="J722" s="29" t="n">
        <v>154.84</v>
      </c>
      <c r="K722" s="29">
        <f>(1-ISNUMBER(SEARCH("556",M722)))*(O722*SUMIFS(Premissas!$C$5:$C$44,Premissas!$A$5:$A$44,$A722,Premissas!$B$5:$B$44,$B722)+P722*SUMIFS(Premissas!$D$5:$D$44,Premissas!$A$5:$A$44,$A722,Premissas!$B$5:$B$44,$B722))+R722*SUMIFS(Premissas!$E$5:$E$44,Premissas!$A$5:$A$44,$A722,Premissas!$B$5:$B$44,$B722)+S722*SUMIFS(Premissas!$F$5:$F$44,Premissas!$A$5:$A$44,$A722,Premissas!$B$5:$B$44,$B722)</f>
        <v/>
      </c>
      <c r="L722" s="29">
        <f>J722-K722</f>
        <v/>
      </c>
      <c r="M722" t="inlineStr">
        <is>
          <t>2.350</t>
        </is>
      </c>
      <c r="N722" t="inlineStr">
        <is>
          <t>Modalidade: 2 - Por conta de terceiros | Parte: CMPC Iguacu Embalagens Ltda (11.308.600/0008-04)</t>
        </is>
      </c>
      <c r="O722" s="29" t="n">
        <v>0</v>
      </c>
      <c r="P722" s="29" t="n">
        <v>10.84</v>
      </c>
      <c r="Q722" s="29" t="n">
        <v>0</v>
      </c>
      <c r="R722" s="29" t="n">
        <v>0</v>
      </c>
      <c r="S722" s="29" t="n">
        <v>0</v>
      </c>
      <c r="T722" t="inlineStr">
        <is>
          <t>42260802427026000901570040002026701020267090</t>
        </is>
      </c>
      <c r="U722" t="inlineStr">
        <is>
          <t>Sim</t>
        </is>
      </c>
    </row>
    <row r="723">
      <c r="A723" t="inlineStr">
        <is>
          <t>Frete de compra</t>
        </is>
      </c>
      <c r="B723" t="inlineStr">
        <is>
          <t>2.01.82 Estadia - Cabotagem</t>
        </is>
      </c>
      <c r="C723" s="30" t="n">
        <v>46235</v>
      </c>
      <c r="D723" t="inlineStr">
        <is>
          <t>Em 2026</t>
        </is>
      </c>
      <c r="E723" s="28" t="n">
        <v>46248</v>
      </c>
      <c r="F723" t="inlineStr">
        <is>
          <t>CT-e</t>
        </is>
      </c>
      <c r="G723" t="inlineStr">
        <is>
          <t>000202675</t>
        </is>
      </c>
      <c r="H723" t="inlineStr">
        <is>
          <t>ALIANCA NAVEGACAO E LOGISTICA LTDA</t>
        </is>
      </c>
      <c r="J723" s="29" t="n">
        <v>464.52</v>
      </c>
      <c r="K723" s="29">
        <f>(1-ISNUMBER(SEARCH("556",M723)))*(O723*SUMIFS(Premissas!$C$5:$C$44,Premissas!$A$5:$A$44,$A723,Premissas!$B$5:$B$44,$B723)+P723*SUMIFS(Premissas!$D$5:$D$44,Premissas!$A$5:$A$44,$A723,Premissas!$B$5:$B$44,$B723))+R723*SUMIFS(Premissas!$E$5:$E$44,Premissas!$A$5:$A$44,$A723,Premissas!$B$5:$B$44,$B723)+S723*SUMIFS(Premissas!$F$5:$F$44,Premissas!$A$5:$A$44,$A723,Premissas!$B$5:$B$44,$B723)</f>
        <v/>
      </c>
      <c r="L723" s="29">
        <f>J723-K723</f>
        <v/>
      </c>
      <c r="M723" t="inlineStr">
        <is>
          <t>2.350</t>
        </is>
      </c>
      <c r="N723" t="inlineStr">
        <is>
          <t>Modalidade: 2 - Por conta de terceiros | Parte: CMPC Iguacu Embalagens Ltda (11.308.600/0008-04)</t>
        </is>
      </c>
      <c r="O723" s="29" t="n">
        <v>0</v>
      </c>
      <c r="P723" s="29" t="n">
        <v>32.52</v>
      </c>
      <c r="Q723" s="29" t="n">
        <v>0</v>
      </c>
      <c r="R723" s="29" t="n">
        <v>0</v>
      </c>
      <c r="S723" s="29" t="n">
        <v>0</v>
      </c>
      <c r="T723" t="inlineStr">
        <is>
          <t>42260802427026000901570040002026751020267592</t>
        </is>
      </c>
      <c r="U723" t="inlineStr">
        <is>
          <t>Sim</t>
        </is>
      </c>
    </row>
    <row r="724">
      <c r="A724" t="inlineStr">
        <is>
          <t>Frete de compra</t>
        </is>
      </c>
      <c r="B724" t="inlineStr">
        <is>
          <t>2.01.82 Estadia - Cabotagem</t>
        </is>
      </c>
      <c r="C724" s="30" t="n">
        <v>46235</v>
      </c>
      <c r="D724" t="inlineStr">
        <is>
          <t>Em 2026</t>
        </is>
      </c>
      <c r="E724" s="28" t="n">
        <v>46248</v>
      </c>
      <c r="F724" t="inlineStr">
        <is>
          <t>CT-e</t>
        </is>
      </c>
      <c r="G724" t="inlineStr">
        <is>
          <t>000202677</t>
        </is>
      </c>
      <c r="H724" t="inlineStr">
        <is>
          <t>ALIANCA NAVEGACAO E LOGISTICA LTDA</t>
        </is>
      </c>
      <c r="J724" s="29" t="n">
        <v>619.35</v>
      </c>
      <c r="K724" s="29">
        <f>(1-ISNUMBER(SEARCH("556",M724)))*(O724*SUMIFS(Premissas!$C$5:$C$44,Premissas!$A$5:$A$44,$A724,Premissas!$B$5:$B$44,$B724)+P724*SUMIFS(Premissas!$D$5:$D$44,Premissas!$A$5:$A$44,$A724,Premissas!$B$5:$B$44,$B724))+R724*SUMIFS(Premissas!$E$5:$E$44,Premissas!$A$5:$A$44,$A724,Premissas!$B$5:$B$44,$B724)+S724*SUMIFS(Premissas!$F$5:$F$44,Premissas!$A$5:$A$44,$A724,Premissas!$B$5:$B$44,$B724)</f>
        <v/>
      </c>
      <c r="L724" s="29">
        <f>J724-K724</f>
        <v/>
      </c>
      <c r="M724" t="inlineStr">
        <is>
          <t>2.350</t>
        </is>
      </c>
      <c r="N724" t="inlineStr">
        <is>
          <t>Modalidade: 2 - Por conta de terceiros | Parte: CMPC Iguacu Embalagens Ltda (11.308.600/0008-04)</t>
        </is>
      </c>
      <c r="O724" s="29" t="n">
        <v>0</v>
      </c>
      <c r="P724" s="29" t="n">
        <v>43.35</v>
      </c>
      <c r="Q724" s="29" t="n">
        <v>0</v>
      </c>
      <c r="R724" s="29" t="n">
        <v>0</v>
      </c>
      <c r="S724" s="29" t="n">
        <v>0</v>
      </c>
      <c r="T724" t="inlineStr">
        <is>
          <t>42260802427026000901570040002026771020267791</t>
        </is>
      </c>
      <c r="U724" t="inlineStr">
        <is>
          <t>Sim</t>
        </is>
      </c>
    </row>
    <row r="725">
      <c r="A725" t="inlineStr">
        <is>
          <t>Frete de compra</t>
        </is>
      </c>
      <c r="B725" t="inlineStr">
        <is>
          <t>2.01.82 Estadia - Cabotagem</t>
        </is>
      </c>
      <c r="C725" s="30" t="n">
        <v>46235</v>
      </c>
      <c r="D725" t="inlineStr">
        <is>
          <t>Em 2026</t>
        </is>
      </c>
      <c r="E725" s="28" t="n">
        <v>46248</v>
      </c>
      <c r="F725" t="inlineStr">
        <is>
          <t>CT-e</t>
        </is>
      </c>
      <c r="G725" t="inlineStr">
        <is>
          <t>000202678</t>
        </is>
      </c>
      <c r="H725" t="inlineStr">
        <is>
          <t>ALIANCA NAVEGACAO E LOGISTICA LTDA</t>
        </is>
      </c>
      <c r="J725" s="29" t="n">
        <v>619.35</v>
      </c>
      <c r="K725" s="29">
        <f>(1-ISNUMBER(SEARCH("556",M725)))*(O725*SUMIFS(Premissas!$C$5:$C$44,Premissas!$A$5:$A$44,$A725,Premissas!$B$5:$B$44,$B725)+P725*SUMIFS(Premissas!$D$5:$D$44,Premissas!$A$5:$A$44,$A725,Premissas!$B$5:$B$44,$B725))+R725*SUMIFS(Premissas!$E$5:$E$44,Premissas!$A$5:$A$44,$A725,Premissas!$B$5:$B$44,$B725)+S725*SUMIFS(Premissas!$F$5:$F$44,Premissas!$A$5:$A$44,$A725,Premissas!$B$5:$B$44,$B725)</f>
        <v/>
      </c>
      <c r="L725" s="29">
        <f>J725-K725</f>
        <v/>
      </c>
      <c r="M725" t="inlineStr">
        <is>
          <t>2.350</t>
        </is>
      </c>
      <c r="N725" t="inlineStr">
        <is>
          <t>Modalidade: 1 - Por conta do destinatário | Parte: CMPC Iguacu Embalagens Ltda (11.308.600/0008-04)</t>
        </is>
      </c>
      <c r="O725" s="29" t="n">
        <v>0</v>
      </c>
      <c r="P725" s="29" t="n">
        <v>43.35</v>
      </c>
      <c r="Q725" s="29" t="n">
        <v>0</v>
      </c>
      <c r="R725" s="29" t="n">
        <v>0</v>
      </c>
      <c r="S725" s="29" t="n">
        <v>0</v>
      </c>
      <c r="T725" t="inlineStr">
        <is>
          <t>42260802427026000901570040002026781020267896</t>
        </is>
      </c>
      <c r="U725" t="inlineStr">
        <is>
          <t>Sim</t>
        </is>
      </c>
    </row>
    <row r="726">
      <c r="A726" t="inlineStr">
        <is>
          <t>Frete de compra</t>
        </is>
      </c>
      <c r="B726" t="inlineStr">
        <is>
          <t>2.01.98 Frete Descarregamento</t>
        </is>
      </c>
      <c r="C726" t="inlineStr">
        <is>
          <t>Antes de 2026</t>
        </is>
      </c>
      <c r="D726" t="inlineStr">
        <is>
          <t>Antes de 2026</t>
        </is>
      </c>
      <c r="E726" s="28" t="n">
        <v>45533</v>
      </c>
      <c r="F726" t="inlineStr">
        <is>
          <t>CT-e</t>
        </is>
      </c>
      <c r="G726" t="inlineStr">
        <is>
          <t>000055316</t>
        </is>
      </c>
      <c r="H726" t="inlineStr">
        <is>
          <t>GOL LINHAS AEREAS S.A.</t>
        </is>
      </c>
      <c r="J726" s="29" t="n">
        <v>285.47</v>
      </c>
      <c r="K726" s="29">
        <f>(1-ISNUMBER(SEARCH("556",M726)))*(O726*SUMIFS(Premissas!$C$5:$C$44,Premissas!$A$5:$A$44,$A726,Premissas!$B$5:$B$44,$B726)+P726*SUMIFS(Premissas!$D$5:$D$44,Premissas!$A$5:$A$44,$A726,Premissas!$B$5:$B$44,$B726))+R726*SUMIFS(Premissas!$E$5:$E$44,Premissas!$A$5:$A$44,$A726,Premissas!$B$5:$B$44,$B726)+S726*SUMIFS(Premissas!$F$5:$F$44,Premissas!$A$5:$A$44,$A726,Premissas!$B$5:$B$44,$B726)</f>
        <v/>
      </c>
      <c r="L726" s="29">
        <f>J726-K726</f>
        <v/>
      </c>
      <c r="M726" t="inlineStr">
        <is>
          <t>1.350</t>
        </is>
      </c>
      <c r="N726" t="inlineStr">
        <is>
          <t>Transportadora fora da lista de frete de venda, mas pela modalidade a Vinco enviou a carga | Modalidade: 0 - Por conta do remetente | Parte: DISTRIBUIDORA CENTRAL EMBALAGENS LTDA (08.726.563/0007-69)</t>
        </is>
      </c>
      <c r="O726" s="29" t="n">
        <v>0</v>
      </c>
      <c r="P726" s="29" t="n">
        <v>11.42</v>
      </c>
      <c r="Q726" s="29" t="n">
        <v>0</v>
      </c>
      <c r="R726" s="29" t="n">
        <v>0</v>
      </c>
      <c r="S726" s="29" t="n">
        <v>0</v>
      </c>
      <c r="T726" t="inlineStr">
        <is>
          <t>25240807575651003506570130000553161279232591</t>
        </is>
      </c>
      <c r="U726" t="inlineStr">
        <is>
          <t>Não</t>
        </is>
      </c>
    </row>
    <row r="727">
      <c r="A727" t="inlineStr">
        <is>
          <t>Frete de compra</t>
        </is>
      </c>
      <c r="B727" t="inlineStr">
        <is>
          <t>2.01.98 Frete Descarregamento</t>
        </is>
      </c>
      <c r="C727" t="inlineStr">
        <is>
          <t>Antes de 2026</t>
        </is>
      </c>
      <c r="D727" t="inlineStr">
        <is>
          <t>Antes de 2026</t>
        </is>
      </c>
      <c r="E727" s="28" t="n">
        <v>45572</v>
      </c>
      <c r="F727" t="inlineStr">
        <is>
          <t>CT-e</t>
        </is>
      </c>
      <c r="G727" t="inlineStr">
        <is>
          <t>000056695</t>
        </is>
      </c>
      <c r="H727" t="inlineStr">
        <is>
          <t>GOL LINHAS AEREAS S.A.</t>
        </is>
      </c>
      <c r="J727" s="29" t="n">
        <v>102.69</v>
      </c>
      <c r="K727" s="29">
        <f>(1-ISNUMBER(SEARCH("556",M727)))*(O727*SUMIFS(Premissas!$C$5:$C$44,Premissas!$A$5:$A$44,$A727,Premissas!$B$5:$B$44,$B727)+P727*SUMIFS(Premissas!$D$5:$D$44,Premissas!$A$5:$A$44,$A727,Premissas!$B$5:$B$44,$B727))+R727*SUMIFS(Premissas!$E$5:$E$44,Premissas!$A$5:$A$44,$A727,Premissas!$B$5:$B$44,$B727)+S727*SUMIFS(Premissas!$F$5:$F$44,Premissas!$A$5:$A$44,$A727,Premissas!$B$5:$B$44,$B727)</f>
        <v/>
      </c>
      <c r="L727" s="29">
        <f>J727-K727</f>
        <v/>
      </c>
      <c r="M727" t="inlineStr">
        <is>
          <t>1.350</t>
        </is>
      </c>
      <c r="N727" t="inlineStr">
        <is>
          <t>Transportadora fora da lista de frete de venda, mas pela modalidade a Vinco enviou a carga | Modalidade: 0 - Por conta do remetente | Parte: GABRIEL DIAS DE OLIVEIRA (950.079.112-91)</t>
        </is>
      </c>
      <c r="O727" s="29" t="n">
        <v>0</v>
      </c>
      <c r="P727" s="29" t="n">
        <v>4.11</v>
      </c>
      <c r="Q727" s="29" t="n">
        <v>0</v>
      </c>
      <c r="R727" s="29" t="n">
        <v>0</v>
      </c>
      <c r="S727" s="29" t="n">
        <v>0</v>
      </c>
      <c r="T727" t="inlineStr">
        <is>
          <t>25241007575651003506570130000566951961390722</t>
        </is>
      </c>
      <c r="U727" t="inlineStr">
        <is>
          <t>Não</t>
        </is>
      </c>
    </row>
    <row r="728">
      <c r="A728" t="inlineStr">
        <is>
          <t>Frete de compra</t>
        </is>
      </c>
      <c r="B728" t="inlineStr">
        <is>
          <t>2.01.98 Frete Descarregamento</t>
        </is>
      </c>
      <c r="C728" t="inlineStr">
        <is>
          <t>Antes de 2026</t>
        </is>
      </c>
      <c r="D728" t="inlineStr">
        <is>
          <t>Antes de 2026</t>
        </is>
      </c>
      <c r="E728" s="28" t="n">
        <v>45573</v>
      </c>
      <c r="F728" t="inlineStr">
        <is>
          <t>CT-e</t>
        </is>
      </c>
      <c r="G728" t="inlineStr">
        <is>
          <t>000056737</t>
        </is>
      </c>
      <c r="H728" t="inlineStr">
        <is>
          <t>GOL LINHAS AEREAS S.A.</t>
        </is>
      </c>
      <c r="J728" s="29" t="n">
        <v>102.39</v>
      </c>
      <c r="K728" s="29">
        <f>(1-ISNUMBER(SEARCH("556",M728)))*(O728*SUMIFS(Premissas!$C$5:$C$44,Premissas!$A$5:$A$44,$A728,Premissas!$B$5:$B$44,$B728)+P728*SUMIFS(Premissas!$D$5:$D$44,Premissas!$A$5:$A$44,$A728,Premissas!$B$5:$B$44,$B728))+R728*SUMIFS(Premissas!$E$5:$E$44,Premissas!$A$5:$A$44,$A728,Premissas!$B$5:$B$44,$B728)+S728*SUMIFS(Premissas!$F$5:$F$44,Premissas!$A$5:$A$44,$A728,Premissas!$B$5:$B$44,$B728)</f>
        <v/>
      </c>
      <c r="L728" s="29">
        <f>J728-K728</f>
        <v/>
      </c>
      <c r="M728" t="inlineStr">
        <is>
          <t>1.350</t>
        </is>
      </c>
      <c r="N728" t="inlineStr">
        <is>
          <t>Transportadora fora da lista de frete de venda, mas pela modalidade a Vinco enviou a carga | Modalidade: 0 - Por conta do remetente | Parte: EDINA GARCIA LIMA MONTIEL (056.964.428-38)</t>
        </is>
      </c>
      <c r="O728" s="29" t="n">
        <v>0</v>
      </c>
      <c r="P728" s="29" t="n">
        <v>4.1</v>
      </c>
      <c r="Q728" s="29" t="n">
        <v>0</v>
      </c>
      <c r="R728" s="29" t="n">
        <v>0</v>
      </c>
      <c r="S728" s="29" t="n">
        <v>0</v>
      </c>
      <c r="T728" t="inlineStr">
        <is>
          <t>25241007575651003506570130000567371871240162</t>
        </is>
      </c>
      <c r="U728" t="inlineStr">
        <is>
          <t>Não</t>
        </is>
      </c>
    </row>
    <row r="729">
      <c r="A729" t="inlineStr">
        <is>
          <t>Frete de compra</t>
        </is>
      </c>
      <c r="B729" t="inlineStr">
        <is>
          <t>2.01.98 Frete Descarregamento</t>
        </is>
      </c>
      <c r="C729" t="inlineStr">
        <is>
          <t>Antes de 2026</t>
        </is>
      </c>
      <c r="D729" t="inlineStr">
        <is>
          <t>Antes de 2026</t>
        </is>
      </c>
      <c r="E729" s="28" t="n">
        <v>45573</v>
      </c>
      <c r="F729" t="inlineStr">
        <is>
          <t>CT-e</t>
        </is>
      </c>
      <c r="G729" t="inlineStr">
        <is>
          <t>000056738</t>
        </is>
      </c>
      <c r="H729" t="inlineStr">
        <is>
          <t>GOL LINHAS AEREAS S.A.</t>
        </is>
      </c>
      <c r="J729" s="29" t="n">
        <v>102.39</v>
      </c>
      <c r="K729" s="29">
        <f>(1-ISNUMBER(SEARCH("556",M729)))*(O729*SUMIFS(Premissas!$C$5:$C$44,Premissas!$A$5:$A$44,$A729,Premissas!$B$5:$B$44,$B729)+P729*SUMIFS(Premissas!$D$5:$D$44,Premissas!$A$5:$A$44,$A729,Premissas!$B$5:$B$44,$B729))+R729*SUMIFS(Premissas!$E$5:$E$44,Premissas!$A$5:$A$44,$A729,Premissas!$B$5:$B$44,$B729)+S729*SUMIFS(Premissas!$F$5:$F$44,Premissas!$A$5:$A$44,$A729,Premissas!$B$5:$B$44,$B729)</f>
        <v/>
      </c>
      <c r="L729" s="29">
        <f>J729-K729</f>
        <v/>
      </c>
      <c r="M729" t="inlineStr">
        <is>
          <t>1.350</t>
        </is>
      </c>
      <c r="N729" t="inlineStr">
        <is>
          <t>Transportadora fora da lista de frete de venda, mas pela modalidade a Vinco enviou a carga | Modalidade: 0 - Por conta do remetente | Parte: J.REBOUCAS REPRESENTACOES LTDA (09.634.911/0001-45)</t>
        </is>
      </c>
      <c r="O729" s="29" t="n">
        <v>0</v>
      </c>
      <c r="P729" s="29" t="n">
        <v>4.1</v>
      </c>
      <c r="Q729" s="29" t="n">
        <v>0</v>
      </c>
      <c r="R729" s="29" t="n">
        <v>0</v>
      </c>
      <c r="S729" s="29" t="n">
        <v>0</v>
      </c>
      <c r="T729" t="inlineStr">
        <is>
          <t>25241007575651003506570130000567381375602270</t>
        </is>
      </c>
      <c r="U729" t="inlineStr">
        <is>
          <t>Não</t>
        </is>
      </c>
    </row>
    <row r="730">
      <c r="A730" t="inlineStr">
        <is>
          <t>Frete de compra</t>
        </is>
      </c>
      <c r="B730" t="inlineStr">
        <is>
          <t>2.01.98 Frete Descarregamento</t>
        </is>
      </c>
      <c r="C730" t="inlineStr">
        <is>
          <t>Antes de 2026</t>
        </is>
      </c>
      <c r="D730" t="inlineStr">
        <is>
          <t>Antes de 2026</t>
        </is>
      </c>
      <c r="E730" s="28" t="n">
        <v>45573</v>
      </c>
      <c r="F730" t="inlineStr">
        <is>
          <t>CT-e</t>
        </is>
      </c>
      <c r="G730" t="inlineStr">
        <is>
          <t>000056739</t>
        </is>
      </c>
      <c r="H730" t="inlineStr">
        <is>
          <t>GOL LINHAS AEREAS S.A.</t>
        </is>
      </c>
      <c r="J730" s="29" t="n">
        <v>138.59</v>
      </c>
      <c r="K730" s="29">
        <f>(1-ISNUMBER(SEARCH("556",M730)))*(O730*SUMIFS(Premissas!$C$5:$C$44,Premissas!$A$5:$A$44,$A730,Premissas!$B$5:$B$44,$B730)+P730*SUMIFS(Premissas!$D$5:$D$44,Premissas!$A$5:$A$44,$A730,Premissas!$B$5:$B$44,$B730))+R730*SUMIFS(Premissas!$E$5:$E$44,Premissas!$A$5:$A$44,$A730,Premissas!$B$5:$B$44,$B730)+S730*SUMIFS(Premissas!$F$5:$F$44,Premissas!$A$5:$A$44,$A730,Premissas!$B$5:$B$44,$B730)</f>
        <v/>
      </c>
      <c r="L730" s="29">
        <f>J730-K730</f>
        <v/>
      </c>
      <c r="M730" t="inlineStr">
        <is>
          <t>1.350</t>
        </is>
      </c>
      <c r="N730" t="inlineStr">
        <is>
          <t>Transportadora fora da lista de frete de venda, mas pela modalidade a Vinco enviou a carga | Modalidade: 0 - Por conta do remetente | Parte: HELDER RODRIGUES CORREA (751.618.772-00)</t>
        </is>
      </c>
      <c r="O730" s="29" t="n">
        <v>0</v>
      </c>
      <c r="P730" s="29" t="n">
        <v>5.54</v>
      </c>
      <c r="Q730" s="29" t="n">
        <v>0</v>
      </c>
      <c r="R730" s="29" t="n">
        <v>0</v>
      </c>
      <c r="S730" s="29" t="n">
        <v>0</v>
      </c>
      <c r="T730" t="inlineStr">
        <is>
          <t>25241007575651003506570130000567391569199265</t>
        </is>
      </c>
      <c r="U730" t="inlineStr">
        <is>
          <t>Não</t>
        </is>
      </c>
    </row>
    <row r="731">
      <c r="A731" t="inlineStr">
        <is>
          <t>Frete de compra</t>
        </is>
      </c>
      <c r="B731" t="inlineStr">
        <is>
          <t>2.01.98 Frete Descarregamento</t>
        </is>
      </c>
      <c r="C731" t="inlineStr">
        <is>
          <t>Antes de 2026</t>
        </is>
      </c>
      <c r="D731" t="inlineStr">
        <is>
          <t>Antes de 2026</t>
        </is>
      </c>
      <c r="E731" s="28" t="n">
        <v>45573</v>
      </c>
      <c r="F731" t="inlineStr">
        <is>
          <t>CT-e</t>
        </is>
      </c>
      <c r="G731" t="inlineStr">
        <is>
          <t>000056740</t>
        </is>
      </c>
      <c r="H731" t="inlineStr">
        <is>
          <t>GOL LINHAS AEREAS S.A.</t>
        </is>
      </c>
      <c r="J731" s="29" t="n">
        <v>102.62</v>
      </c>
      <c r="K731" s="29">
        <f>(1-ISNUMBER(SEARCH("556",M731)))*(O731*SUMIFS(Premissas!$C$5:$C$44,Premissas!$A$5:$A$44,$A731,Premissas!$B$5:$B$44,$B731)+P731*SUMIFS(Premissas!$D$5:$D$44,Premissas!$A$5:$A$44,$A731,Premissas!$B$5:$B$44,$B731))+R731*SUMIFS(Premissas!$E$5:$E$44,Premissas!$A$5:$A$44,$A731,Premissas!$B$5:$B$44,$B731)+S731*SUMIFS(Premissas!$F$5:$F$44,Premissas!$A$5:$A$44,$A731,Premissas!$B$5:$B$44,$B731)</f>
        <v/>
      </c>
      <c r="L731" s="29">
        <f>J731-K731</f>
        <v/>
      </c>
      <c r="M731" t="inlineStr">
        <is>
          <t>1.350</t>
        </is>
      </c>
      <c r="N731" t="inlineStr">
        <is>
          <t>Transportadora fora da lista de frete de venda, mas pela modalidade a Vinco enviou a carga | Modalidade: 0 - Por conta do remetente | Parte: GABRIEL DIAS DE OLIVEIRA (950.079.112-91)</t>
        </is>
      </c>
      <c r="O731" s="29" t="n">
        <v>0</v>
      </c>
      <c r="P731" s="29" t="n">
        <v>4.1</v>
      </c>
      <c r="Q731" s="29" t="n">
        <v>0</v>
      </c>
      <c r="R731" s="29" t="n">
        <v>0</v>
      </c>
      <c r="S731" s="29" t="n">
        <v>0</v>
      </c>
      <c r="T731" t="inlineStr">
        <is>
          <t>25241007575651003506570130000567401408528713</t>
        </is>
      </c>
      <c r="U731" t="inlineStr">
        <is>
          <t>Não</t>
        </is>
      </c>
    </row>
    <row r="732">
      <c r="A732" t="inlineStr">
        <is>
          <t>Frete de compra</t>
        </is>
      </c>
      <c r="B732" t="inlineStr">
        <is>
          <t>2.01.98 Frete Descarregamento</t>
        </is>
      </c>
      <c r="C732" t="inlineStr">
        <is>
          <t>Antes de 2026</t>
        </is>
      </c>
      <c r="D732" t="inlineStr">
        <is>
          <t>Antes de 2026</t>
        </is>
      </c>
      <c r="E732" s="28" t="n">
        <v>45574</v>
      </c>
      <c r="F732" t="inlineStr">
        <is>
          <t>CT-e</t>
        </is>
      </c>
      <c r="G732" t="inlineStr">
        <is>
          <t>000056790</t>
        </is>
      </c>
      <c r="H732" t="inlineStr">
        <is>
          <t>GOL LINHAS AEREAS S.A.</t>
        </is>
      </c>
      <c r="J732" s="29" t="n">
        <v>90.89</v>
      </c>
      <c r="K732" s="29">
        <f>(1-ISNUMBER(SEARCH("556",M732)))*(O732*SUMIFS(Premissas!$C$5:$C$44,Premissas!$A$5:$A$44,$A732,Premissas!$B$5:$B$44,$B732)+P732*SUMIFS(Premissas!$D$5:$D$44,Premissas!$A$5:$A$44,$A732,Premissas!$B$5:$B$44,$B732))+R732*SUMIFS(Premissas!$E$5:$E$44,Premissas!$A$5:$A$44,$A732,Premissas!$B$5:$B$44,$B732)+S732*SUMIFS(Premissas!$F$5:$F$44,Premissas!$A$5:$A$44,$A732,Premissas!$B$5:$B$44,$B732)</f>
        <v/>
      </c>
      <c r="L732" s="29">
        <f>J732-K732</f>
        <v/>
      </c>
      <c r="M732" t="inlineStr">
        <is>
          <t>1.350</t>
        </is>
      </c>
      <c r="N732" t="inlineStr">
        <is>
          <t>Transportadora fora da lista de frete de venda, mas pela modalidade a Vinco enviou a carga | Modalidade: 0 - Por conta do remetente | Parte: SOUZA CONSULTORIA LTDA (45.761.762/0001-49)</t>
        </is>
      </c>
      <c r="O732" s="29" t="n">
        <v>0</v>
      </c>
      <c r="P732" s="29" t="n">
        <v>3.64</v>
      </c>
      <c r="Q732" s="29" t="n">
        <v>0</v>
      </c>
      <c r="R732" s="29" t="n">
        <v>0</v>
      </c>
      <c r="S732" s="29" t="n">
        <v>0</v>
      </c>
      <c r="T732" t="inlineStr">
        <is>
          <t>25241007575651003506570130000567901251965451</t>
        </is>
      </c>
      <c r="U732" t="inlineStr">
        <is>
          <t>Não</t>
        </is>
      </c>
    </row>
    <row r="733">
      <c r="A733" t="inlineStr">
        <is>
          <t>Frete de compra</t>
        </is>
      </c>
      <c r="B733" t="inlineStr">
        <is>
          <t>2.01.98 Frete Descarregamento</t>
        </is>
      </c>
      <c r="C733" t="inlineStr">
        <is>
          <t>Antes de 2026</t>
        </is>
      </c>
      <c r="D733" t="inlineStr">
        <is>
          <t>Antes de 2026</t>
        </is>
      </c>
      <c r="E733" s="28" t="n">
        <v>45574</v>
      </c>
      <c r="F733" t="inlineStr">
        <is>
          <t>CT-e</t>
        </is>
      </c>
      <c r="G733" t="inlineStr">
        <is>
          <t>000056791</t>
        </is>
      </c>
      <c r="H733" t="inlineStr">
        <is>
          <t>GOL LINHAS AEREAS S.A.</t>
        </is>
      </c>
      <c r="J733" s="29" t="n">
        <v>93.95999999999999</v>
      </c>
      <c r="K733" s="29">
        <f>(1-ISNUMBER(SEARCH("556",M733)))*(O733*SUMIFS(Premissas!$C$5:$C$44,Premissas!$A$5:$A$44,$A733,Premissas!$B$5:$B$44,$B733)+P733*SUMIFS(Premissas!$D$5:$D$44,Premissas!$A$5:$A$44,$A733,Premissas!$B$5:$B$44,$B733))+R733*SUMIFS(Premissas!$E$5:$E$44,Premissas!$A$5:$A$44,$A733,Premissas!$B$5:$B$44,$B733)+S733*SUMIFS(Premissas!$F$5:$F$44,Premissas!$A$5:$A$44,$A733,Premissas!$B$5:$B$44,$B733)</f>
        <v/>
      </c>
      <c r="L733" s="29">
        <f>J733-K733</f>
        <v/>
      </c>
      <c r="M733" t="inlineStr">
        <is>
          <t>1.350</t>
        </is>
      </c>
      <c r="N733" t="inlineStr">
        <is>
          <t>Transportadora fora da lista de frete de venda, mas pela modalidade a Vinco enviou a carga | Modalidade: 0 - Por conta do remetente | Parte: ORGANIZACOES REIS REPRESENTACOES LTDA (71.393.417/0001-00)</t>
        </is>
      </c>
      <c r="O733" s="29" t="n">
        <v>0</v>
      </c>
      <c r="P733" s="29" t="n">
        <v>3.76</v>
      </c>
      <c r="Q733" s="29" t="n">
        <v>0</v>
      </c>
      <c r="R733" s="29" t="n">
        <v>0</v>
      </c>
      <c r="S733" s="29" t="n">
        <v>0</v>
      </c>
      <c r="T733" t="inlineStr">
        <is>
          <t>25241007575651003506570130000567911944725432</t>
        </is>
      </c>
      <c r="U733" t="inlineStr">
        <is>
          <t>Não</t>
        </is>
      </c>
    </row>
    <row r="734">
      <c r="A734" t="inlineStr">
        <is>
          <t>Frete de compra</t>
        </is>
      </c>
      <c r="B734" t="inlineStr">
        <is>
          <t>2.01.98 Frete Descarregamento</t>
        </is>
      </c>
      <c r="C734" t="inlineStr">
        <is>
          <t>Antes de 2026</t>
        </is>
      </c>
      <c r="D734" t="inlineStr">
        <is>
          <t>Antes de 2026</t>
        </is>
      </c>
      <c r="E734" s="28" t="n">
        <v>45574</v>
      </c>
      <c r="F734" t="inlineStr">
        <is>
          <t>CT-e</t>
        </is>
      </c>
      <c r="G734" t="inlineStr">
        <is>
          <t>000056792</t>
        </is>
      </c>
      <c r="H734" t="inlineStr">
        <is>
          <t>GOL LINHAS AEREAS S.A.</t>
        </is>
      </c>
      <c r="J734" s="29" t="n">
        <v>63.06</v>
      </c>
      <c r="K734" s="29">
        <f>(1-ISNUMBER(SEARCH("556",M734)))*(O734*SUMIFS(Premissas!$C$5:$C$44,Premissas!$A$5:$A$44,$A734,Premissas!$B$5:$B$44,$B734)+P734*SUMIFS(Premissas!$D$5:$D$44,Premissas!$A$5:$A$44,$A734,Premissas!$B$5:$B$44,$B734))+R734*SUMIFS(Premissas!$E$5:$E$44,Premissas!$A$5:$A$44,$A734,Premissas!$B$5:$B$44,$B734)+S734*SUMIFS(Premissas!$F$5:$F$44,Premissas!$A$5:$A$44,$A734,Premissas!$B$5:$B$44,$B734)</f>
        <v/>
      </c>
      <c r="L734" s="29">
        <f>J734-K734</f>
        <v/>
      </c>
      <c r="M734" t="inlineStr">
        <is>
          <t>1.350</t>
        </is>
      </c>
      <c r="N734" t="inlineStr">
        <is>
          <t>Transportadora fora da lista de frete de venda, mas pela modalidade a Vinco enviou a carga | Modalidade: 0 - Por conta do remetente | Parte: EMILY CRISTINA COSTA SILVA (121.381.684-09)</t>
        </is>
      </c>
      <c r="O734" s="29" t="n">
        <v>0</v>
      </c>
      <c r="P734" s="29" t="n">
        <v>2.52</v>
      </c>
      <c r="Q734" s="29" t="n">
        <v>0</v>
      </c>
      <c r="R734" s="29" t="n">
        <v>0</v>
      </c>
      <c r="S734" s="29" t="n">
        <v>0</v>
      </c>
      <c r="T734" t="inlineStr">
        <is>
          <t>25241007575651003506570130000567921700785719</t>
        </is>
      </c>
      <c r="U734" t="inlineStr">
        <is>
          <t>Não</t>
        </is>
      </c>
    </row>
    <row r="735">
      <c r="A735" t="inlineStr">
        <is>
          <t>Frete de compra</t>
        </is>
      </c>
      <c r="B735" t="inlineStr">
        <is>
          <t>2.01.98 Frete Descarregamento</t>
        </is>
      </c>
      <c r="C735" t="inlineStr">
        <is>
          <t>Antes de 2026</t>
        </is>
      </c>
      <c r="D735" t="inlineStr">
        <is>
          <t>Antes de 2026</t>
        </is>
      </c>
      <c r="E735" s="28" t="n">
        <v>45574</v>
      </c>
      <c r="F735" t="inlineStr">
        <is>
          <t>CT-e</t>
        </is>
      </c>
      <c r="G735" t="inlineStr">
        <is>
          <t>000056793</t>
        </is>
      </c>
      <c r="H735" t="inlineStr">
        <is>
          <t>GOL LINHAS AEREAS S.A.</t>
        </is>
      </c>
      <c r="J735" s="29" t="n">
        <v>63.06</v>
      </c>
      <c r="K735" s="29">
        <f>(1-ISNUMBER(SEARCH("556",M735)))*(O735*SUMIFS(Premissas!$C$5:$C$44,Premissas!$A$5:$A$44,$A735,Premissas!$B$5:$B$44,$B735)+P735*SUMIFS(Premissas!$D$5:$D$44,Premissas!$A$5:$A$44,$A735,Premissas!$B$5:$B$44,$B735))+R735*SUMIFS(Premissas!$E$5:$E$44,Premissas!$A$5:$A$44,$A735,Premissas!$B$5:$B$44,$B735)+S735*SUMIFS(Premissas!$F$5:$F$44,Premissas!$A$5:$A$44,$A735,Premissas!$B$5:$B$44,$B735)</f>
        <v/>
      </c>
      <c r="L735" s="29">
        <f>J735-K735</f>
        <v/>
      </c>
      <c r="M735" t="inlineStr">
        <is>
          <t>1.350</t>
        </is>
      </c>
      <c r="N735" t="inlineStr">
        <is>
          <t>Transportadora fora da lista de frete de venda, mas pela modalidade a Vinco enviou a carga | Modalidade: 0 - Por conta do remetente | Parte: GILMAR DE CARVALHO (814.563.105-00)</t>
        </is>
      </c>
      <c r="O735" s="29" t="n">
        <v>0</v>
      </c>
      <c r="P735" s="29" t="n">
        <v>2.52</v>
      </c>
      <c r="Q735" s="29" t="n">
        <v>0</v>
      </c>
      <c r="R735" s="29" t="n">
        <v>0</v>
      </c>
      <c r="S735" s="29" t="n">
        <v>0</v>
      </c>
      <c r="T735" t="inlineStr">
        <is>
          <t>25241007575651003506570130000567931228532996</t>
        </is>
      </c>
      <c r="U735" t="inlineStr">
        <is>
          <t>Não</t>
        </is>
      </c>
    </row>
    <row r="736">
      <c r="A736" t="inlineStr">
        <is>
          <t>Frete de compra</t>
        </is>
      </c>
      <c r="B736" t="inlineStr">
        <is>
          <t>2.01.98 Frete Descarregamento</t>
        </is>
      </c>
      <c r="C736" t="inlineStr">
        <is>
          <t>Antes de 2026</t>
        </is>
      </c>
      <c r="D736" t="inlineStr">
        <is>
          <t>Antes de 2026</t>
        </is>
      </c>
      <c r="E736" s="28" t="n">
        <v>45574</v>
      </c>
      <c r="F736" t="inlineStr">
        <is>
          <t>CT-e</t>
        </is>
      </c>
      <c r="G736" t="inlineStr">
        <is>
          <t>000056795</t>
        </is>
      </c>
      <c r="H736" t="inlineStr">
        <is>
          <t>GOL LINHAS AEREAS S.A.</t>
        </is>
      </c>
      <c r="J736" s="29" t="n">
        <v>84.75</v>
      </c>
      <c r="K736" s="29">
        <f>(1-ISNUMBER(SEARCH("556",M736)))*(O736*SUMIFS(Premissas!$C$5:$C$44,Premissas!$A$5:$A$44,$A736,Premissas!$B$5:$B$44,$B736)+P736*SUMIFS(Premissas!$D$5:$D$44,Premissas!$A$5:$A$44,$A736,Premissas!$B$5:$B$44,$B736))+R736*SUMIFS(Premissas!$E$5:$E$44,Premissas!$A$5:$A$44,$A736,Premissas!$B$5:$B$44,$B736)+S736*SUMIFS(Premissas!$F$5:$F$44,Premissas!$A$5:$A$44,$A736,Premissas!$B$5:$B$44,$B736)</f>
        <v/>
      </c>
      <c r="L736" s="29">
        <f>J736-K736</f>
        <v/>
      </c>
      <c r="M736" t="inlineStr">
        <is>
          <t>1.350</t>
        </is>
      </c>
      <c r="N736" t="inlineStr">
        <is>
          <t>Transportadora fora da lista de frete de venda, mas pela modalidade a Vinco enviou a carga | Modalidade: 0 - Por conta do remetente | Parte: EDSON DUTRA ZORTEA EDSON DUTRA ZORTEA (154.280.657-70)</t>
        </is>
      </c>
      <c r="O736" s="29" t="n">
        <v>0</v>
      </c>
      <c r="P736" s="29" t="n">
        <v>3.39</v>
      </c>
      <c r="Q736" s="29" t="n">
        <v>0</v>
      </c>
      <c r="R736" s="29" t="n">
        <v>0</v>
      </c>
      <c r="S736" s="29" t="n">
        <v>0</v>
      </c>
      <c r="T736" t="inlineStr">
        <is>
          <t>25241007575651003506570130000567951898748810</t>
        </is>
      </c>
      <c r="U736" t="inlineStr">
        <is>
          <t>Não</t>
        </is>
      </c>
    </row>
    <row r="737">
      <c r="A737" t="inlineStr">
        <is>
          <t>Frete de compra</t>
        </is>
      </c>
      <c r="B737" t="inlineStr">
        <is>
          <t>2.01.98 Frete Descarregamento</t>
        </is>
      </c>
      <c r="C737" t="inlineStr">
        <is>
          <t>Antes de 2026</t>
        </is>
      </c>
      <c r="D737" t="inlineStr">
        <is>
          <t>Antes de 2026</t>
        </is>
      </c>
      <c r="E737" s="28" t="n">
        <v>45574</v>
      </c>
      <c r="F737" t="inlineStr">
        <is>
          <t>CT-e</t>
        </is>
      </c>
      <c r="G737" t="inlineStr">
        <is>
          <t>000056797</t>
        </is>
      </c>
      <c r="H737" t="inlineStr">
        <is>
          <t>GOL LINHAS AEREAS S.A.</t>
        </is>
      </c>
      <c r="J737" s="29" t="n">
        <v>63.06</v>
      </c>
      <c r="K737" s="29">
        <f>(1-ISNUMBER(SEARCH("556",M737)))*(O737*SUMIFS(Premissas!$C$5:$C$44,Premissas!$A$5:$A$44,$A737,Premissas!$B$5:$B$44,$B737)+P737*SUMIFS(Premissas!$D$5:$D$44,Premissas!$A$5:$A$44,$A737,Premissas!$B$5:$B$44,$B737))+R737*SUMIFS(Premissas!$E$5:$E$44,Premissas!$A$5:$A$44,$A737,Premissas!$B$5:$B$44,$B737)+S737*SUMIFS(Premissas!$F$5:$F$44,Premissas!$A$5:$A$44,$A737,Premissas!$B$5:$B$44,$B737)</f>
        <v/>
      </c>
      <c r="L737" s="29">
        <f>J737-K737</f>
        <v/>
      </c>
      <c r="M737" t="inlineStr">
        <is>
          <t>1.350</t>
        </is>
      </c>
      <c r="N737" t="inlineStr">
        <is>
          <t>Transportadora fora da lista de frete de venda, mas pela modalidade a Vinco enviou a carga | Modalidade: 0 - Por conta do remetente | Parte: WILLIAN RODRIGUES DA SILVA (052.427.394-44)</t>
        </is>
      </c>
      <c r="O737" s="29" t="n">
        <v>0</v>
      </c>
      <c r="P737" s="29" t="n">
        <v>2.52</v>
      </c>
      <c r="Q737" s="29" t="n">
        <v>0</v>
      </c>
      <c r="R737" s="29" t="n">
        <v>0</v>
      </c>
      <c r="S737" s="29" t="n">
        <v>0</v>
      </c>
      <c r="T737" t="inlineStr">
        <is>
          <t>25241007575651003506570130000567971290521128</t>
        </is>
      </c>
      <c r="U737" t="inlineStr">
        <is>
          <t>Não</t>
        </is>
      </c>
    </row>
    <row r="738">
      <c r="A738" t="inlineStr">
        <is>
          <t>Frete de compra</t>
        </is>
      </c>
      <c r="B738" t="inlineStr">
        <is>
          <t>2.02.93 Frete Amostras/Brindes</t>
        </is>
      </c>
      <c r="C738" t="inlineStr">
        <is>
          <t>Antes de 2026</t>
        </is>
      </c>
      <c r="D738" t="inlineStr">
        <is>
          <t>Antes de 2026</t>
        </is>
      </c>
      <c r="E738" s="28" t="n">
        <v>45496</v>
      </c>
      <c r="F738" t="inlineStr">
        <is>
          <t>CT-e</t>
        </is>
      </c>
      <c r="G738" t="inlineStr">
        <is>
          <t>000053994</t>
        </is>
      </c>
      <c r="H738" t="inlineStr">
        <is>
          <t>GOL LINHAS AEREAS S.A.</t>
        </is>
      </c>
      <c r="J738" s="29" t="n">
        <v>64.08</v>
      </c>
      <c r="K738" s="29">
        <f>(1-ISNUMBER(SEARCH("556",M738)))*(O738*SUMIFS(Premissas!$C$5:$C$44,Premissas!$A$5:$A$44,$A738,Premissas!$B$5:$B$44,$B738)+P738*SUMIFS(Premissas!$D$5:$D$44,Premissas!$A$5:$A$44,$A738,Premissas!$B$5:$B$44,$B738))+R738*SUMIFS(Premissas!$E$5:$E$44,Premissas!$A$5:$A$44,$A738,Premissas!$B$5:$B$44,$B738)+S738*SUMIFS(Premissas!$F$5:$F$44,Premissas!$A$5:$A$44,$A738,Premissas!$B$5:$B$44,$B738)</f>
        <v/>
      </c>
      <c r="L738" s="29">
        <f>J738-K738</f>
        <v/>
      </c>
      <c r="M738" t="inlineStr">
        <is>
          <t>1.350</t>
        </is>
      </c>
      <c r="N738" t="inlineStr">
        <is>
          <t>Transportadora fora da lista de frete de venda, mas pela modalidade a Vinco enviou a carga | Modalidade: 0 - Por conta do remetente | Parte: JULIANA FERNANDES BORGES SOARES (001.868.381-90)</t>
        </is>
      </c>
      <c r="O738" s="29" t="n">
        <v>0</v>
      </c>
      <c r="P738" s="29" t="n">
        <v>2.56</v>
      </c>
      <c r="Q738" s="29" t="n">
        <v>0</v>
      </c>
      <c r="R738" s="29" t="n">
        <v>0</v>
      </c>
      <c r="S738" s="29" t="n">
        <v>0</v>
      </c>
      <c r="T738" t="inlineStr">
        <is>
          <t>25240707575651003506570130000539941715917548</t>
        </is>
      </c>
      <c r="U738" t="inlineStr">
        <is>
          <t>Não</t>
        </is>
      </c>
    </row>
    <row r="739">
      <c r="A739" t="inlineStr">
        <is>
          <t>Frete de compra</t>
        </is>
      </c>
      <c r="B739" t="inlineStr">
        <is>
          <t>2.02.93 Frete Amostras/Brindes</t>
        </is>
      </c>
      <c r="C739" t="inlineStr">
        <is>
          <t>Antes de 2026</t>
        </is>
      </c>
      <c r="D739" t="inlineStr">
        <is>
          <t>Antes de 2026</t>
        </is>
      </c>
      <c r="E739" s="28" t="n">
        <v>45496</v>
      </c>
      <c r="F739" t="inlineStr">
        <is>
          <t>CT-e</t>
        </is>
      </c>
      <c r="G739" t="inlineStr">
        <is>
          <t>000053996</t>
        </is>
      </c>
      <c r="H739" t="inlineStr">
        <is>
          <t>GOL LINHAS AEREAS S.A.</t>
        </is>
      </c>
      <c r="J739" s="29" t="n">
        <v>77.98999999999999</v>
      </c>
      <c r="K739" s="29">
        <f>(1-ISNUMBER(SEARCH("556",M739)))*(O739*SUMIFS(Premissas!$C$5:$C$44,Premissas!$A$5:$A$44,$A739,Premissas!$B$5:$B$44,$B739)+P739*SUMIFS(Premissas!$D$5:$D$44,Premissas!$A$5:$A$44,$A739,Premissas!$B$5:$B$44,$B739))+R739*SUMIFS(Premissas!$E$5:$E$44,Premissas!$A$5:$A$44,$A739,Premissas!$B$5:$B$44,$B739)+S739*SUMIFS(Premissas!$F$5:$F$44,Premissas!$A$5:$A$44,$A739,Premissas!$B$5:$B$44,$B739)</f>
        <v/>
      </c>
      <c r="L739" s="29">
        <f>J739-K739</f>
        <v/>
      </c>
      <c r="M739" t="inlineStr">
        <is>
          <t>1.350</t>
        </is>
      </c>
      <c r="N739" t="inlineStr">
        <is>
          <t>Transportadora fora da lista de frete de venda, mas pela modalidade a Vinco enviou a carga | Modalidade: 0 - Por conta do remetente | Parte: HELDER RODRIGUES CORREA (751.618.772-00)</t>
        </is>
      </c>
      <c r="O739" s="29" t="n">
        <v>0</v>
      </c>
      <c r="P739" s="29" t="n">
        <v>3.12</v>
      </c>
      <c r="Q739" s="29" t="n">
        <v>0</v>
      </c>
      <c r="R739" s="29" t="n">
        <v>0</v>
      </c>
      <c r="S739" s="29" t="n">
        <v>0</v>
      </c>
      <c r="T739" t="inlineStr">
        <is>
          <t>25240707575651003506570130000539961304170575</t>
        </is>
      </c>
      <c r="U739" t="inlineStr">
        <is>
          <t>Não</t>
        </is>
      </c>
    </row>
    <row r="740">
      <c r="A740" t="inlineStr">
        <is>
          <t>Frete de compra</t>
        </is>
      </c>
      <c r="B740" t="inlineStr">
        <is>
          <t>2.02.93 Frete Amostras/Brindes</t>
        </is>
      </c>
      <c r="C740" t="inlineStr">
        <is>
          <t>Antes de 2026</t>
        </is>
      </c>
      <c r="D740" t="inlineStr">
        <is>
          <t>Antes de 2026</t>
        </is>
      </c>
      <c r="E740" s="28" t="n">
        <v>45496</v>
      </c>
      <c r="F740" t="inlineStr">
        <is>
          <t>CT-e</t>
        </is>
      </c>
      <c r="G740" t="inlineStr">
        <is>
          <t>000053997</t>
        </is>
      </c>
      <c r="H740" t="inlineStr">
        <is>
          <t>GOL LINHAS AEREAS S.A.</t>
        </is>
      </c>
      <c r="J740" s="29" t="n">
        <v>52.21</v>
      </c>
      <c r="K740" s="29">
        <f>(1-ISNUMBER(SEARCH("556",M740)))*(O740*SUMIFS(Premissas!$C$5:$C$44,Premissas!$A$5:$A$44,$A740,Premissas!$B$5:$B$44,$B740)+P740*SUMIFS(Premissas!$D$5:$D$44,Premissas!$A$5:$A$44,$A740,Premissas!$B$5:$B$44,$B740))+R740*SUMIFS(Premissas!$E$5:$E$44,Premissas!$A$5:$A$44,$A740,Premissas!$B$5:$B$44,$B740)+S740*SUMIFS(Premissas!$F$5:$F$44,Premissas!$A$5:$A$44,$A740,Premissas!$B$5:$B$44,$B740)</f>
        <v/>
      </c>
      <c r="L740" s="29">
        <f>J740-K740</f>
        <v/>
      </c>
      <c r="M740" t="inlineStr">
        <is>
          <t>1.350</t>
        </is>
      </c>
      <c r="N740" t="inlineStr">
        <is>
          <t>Transportadora fora da lista de frete de venda, mas pela modalidade a Vinco enviou a carga | Modalidade: 0 - Por conta do remetente | Parte: EDSON DUTRA ZORTEA EDSON DUTRA ZORTEA (154.280.657-70)</t>
        </is>
      </c>
      <c r="O740" s="29" t="n">
        <v>0</v>
      </c>
      <c r="P740" s="29" t="n">
        <v>2.09</v>
      </c>
      <c r="Q740" s="29" t="n">
        <v>0</v>
      </c>
      <c r="R740" s="29" t="n">
        <v>0</v>
      </c>
      <c r="S740" s="29" t="n">
        <v>0</v>
      </c>
      <c r="T740" t="inlineStr">
        <is>
          <t>25240707575651003506570130000539971943707280</t>
        </is>
      </c>
      <c r="U740" t="inlineStr">
        <is>
          <t>Não</t>
        </is>
      </c>
    </row>
    <row r="741">
      <c r="A741" t="inlineStr">
        <is>
          <t>Frete de compra</t>
        </is>
      </c>
      <c r="B741" t="inlineStr">
        <is>
          <t>2.02.93 Frete Amostras/Brindes</t>
        </is>
      </c>
      <c r="C741" t="inlineStr">
        <is>
          <t>Antes de 2026</t>
        </is>
      </c>
      <c r="D741" t="inlineStr">
        <is>
          <t>Antes de 2026</t>
        </is>
      </c>
      <c r="E741" s="28" t="n">
        <v>45496</v>
      </c>
      <c r="F741" t="inlineStr">
        <is>
          <t>CT-e</t>
        </is>
      </c>
      <c r="G741" t="inlineStr">
        <is>
          <t>000053998</t>
        </is>
      </c>
      <c r="H741" t="inlineStr">
        <is>
          <t>GOL LINHAS AEREAS S.A.</t>
        </is>
      </c>
      <c r="J741" s="29" t="n">
        <v>77.98999999999999</v>
      </c>
      <c r="K741" s="29">
        <f>(1-ISNUMBER(SEARCH("556",M741)))*(O741*SUMIFS(Premissas!$C$5:$C$44,Premissas!$A$5:$A$44,$A741,Premissas!$B$5:$B$44,$B741)+P741*SUMIFS(Premissas!$D$5:$D$44,Premissas!$A$5:$A$44,$A741,Premissas!$B$5:$B$44,$B741))+R741*SUMIFS(Premissas!$E$5:$E$44,Premissas!$A$5:$A$44,$A741,Premissas!$B$5:$B$44,$B741)+S741*SUMIFS(Premissas!$F$5:$F$44,Premissas!$A$5:$A$44,$A741,Premissas!$B$5:$B$44,$B741)</f>
        <v/>
      </c>
      <c r="L741" s="29">
        <f>J741-K741</f>
        <v/>
      </c>
      <c r="M741" t="inlineStr">
        <is>
          <t>1.350</t>
        </is>
      </c>
      <c r="N741" t="inlineStr">
        <is>
          <t>Transportadora fora da lista de frete de venda, mas pela modalidade a Vinco enviou a carga | Modalidade: 0 - Por conta do remetente | Parte: GABRIEL DIAS DE OLIVEIRA (950.079.112-91)</t>
        </is>
      </c>
      <c r="O741" s="29" t="n">
        <v>0</v>
      </c>
      <c r="P741" s="29" t="n">
        <v>3.12</v>
      </c>
      <c r="Q741" s="29" t="n">
        <v>0</v>
      </c>
      <c r="R741" s="29" t="n">
        <v>0</v>
      </c>
      <c r="S741" s="29" t="n">
        <v>0</v>
      </c>
      <c r="T741" t="inlineStr">
        <is>
          <t>25240707575651003506570130000539981664286707</t>
        </is>
      </c>
      <c r="U741" t="inlineStr">
        <is>
          <t>Não</t>
        </is>
      </c>
    </row>
    <row r="742">
      <c r="A742" t="inlineStr">
        <is>
          <t>Frete de compra</t>
        </is>
      </c>
      <c r="B742" t="inlineStr">
        <is>
          <t>2.02.93 Frete Amostras/Brindes</t>
        </is>
      </c>
      <c r="C742" t="inlineStr">
        <is>
          <t>Antes de 2026</t>
        </is>
      </c>
      <c r="D742" t="inlineStr">
        <is>
          <t>Antes de 2026</t>
        </is>
      </c>
      <c r="E742" s="28" t="n">
        <v>45496</v>
      </c>
      <c r="F742" t="inlineStr">
        <is>
          <t>CT-e</t>
        </is>
      </c>
      <c r="G742" t="inlineStr">
        <is>
          <t>000053999</t>
        </is>
      </c>
      <c r="H742" t="inlineStr">
        <is>
          <t>GOL LINHAS AEREAS S.A.</t>
        </is>
      </c>
      <c r="J742" s="29" t="n">
        <v>44</v>
      </c>
      <c r="K742" s="29">
        <f>(1-ISNUMBER(SEARCH("556",M742)))*(O742*SUMIFS(Premissas!$C$5:$C$44,Premissas!$A$5:$A$44,$A742,Premissas!$B$5:$B$44,$B742)+P742*SUMIFS(Premissas!$D$5:$D$44,Premissas!$A$5:$A$44,$A742,Premissas!$B$5:$B$44,$B742))+R742*SUMIFS(Premissas!$E$5:$E$44,Premissas!$A$5:$A$44,$A742,Premissas!$B$5:$B$44,$B742)+S742*SUMIFS(Premissas!$F$5:$F$44,Premissas!$A$5:$A$44,$A742,Premissas!$B$5:$B$44,$B742)</f>
        <v/>
      </c>
      <c r="L742" s="29">
        <f>J742-K742</f>
        <v/>
      </c>
      <c r="M742" t="inlineStr">
        <is>
          <t>1.350</t>
        </is>
      </c>
      <c r="N742" t="inlineStr">
        <is>
          <t>Transportadora fora da lista de frete de venda, mas pela modalidade a Vinco enviou a carga | Modalidade: 0 - Por conta do remetente | Parte: EDINA GARCIA LIMA MONTIEL (056.964.428-38)</t>
        </is>
      </c>
      <c r="O742" s="29" t="n">
        <v>0</v>
      </c>
      <c r="P742" s="29" t="n">
        <v>1.76</v>
      </c>
      <c r="Q742" s="29" t="n">
        <v>0</v>
      </c>
      <c r="R742" s="29" t="n">
        <v>0</v>
      </c>
      <c r="S742" s="29" t="n">
        <v>0</v>
      </c>
      <c r="T742" t="inlineStr">
        <is>
          <t>25240707575651003506570130000539991115592229</t>
        </is>
      </c>
      <c r="U742" t="inlineStr">
        <is>
          <t>Não</t>
        </is>
      </c>
    </row>
    <row r="743">
      <c r="A743" t="inlineStr">
        <is>
          <t>Frete de compra</t>
        </is>
      </c>
      <c r="B743" t="inlineStr">
        <is>
          <t>2.02.93 Frete Amostras/Brindes</t>
        </is>
      </c>
      <c r="C743" t="inlineStr">
        <is>
          <t>Antes de 2026</t>
        </is>
      </c>
      <c r="D743" t="inlineStr">
        <is>
          <t>Antes de 2026</t>
        </is>
      </c>
      <c r="E743" s="28" t="n">
        <v>45496</v>
      </c>
      <c r="F743" t="inlineStr">
        <is>
          <t>CT-e</t>
        </is>
      </c>
      <c r="G743" t="inlineStr">
        <is>
          <t>000054000</t>
        </is>
      </c>
      <c r="H743" t="inlineStr">
        <is>
          <t>GOL LINHAS AEREAS S.A.</t>
        </is>
      </c>
      <c r="J743" s="29" t="n">
        <v>52.21</v>
      </c>
      <c r="K743" s="29">
        <f>(1-ISNUMBER(SEARCH("556",M743)))*(O743*SUMIFS(Premissas!$C$5:$C$44,Premissas!$A$5:$A$44,$A743,Premissas!$B$5:$B$44,$B743)+P743*SUMIFS(Premissas!$D$5:$D$44,Premissas!$A$5:$A$44,$A743,Premissas!$B$5:$B$44,$B743))+R743*SUMIFS(Premissas!$E$5:$E$44,Premissas!$A$5:$A$44,$A743,Premissas!$B$5:$B$44,$B743)+S743*SUMIFS(Premissas!$F$5:$F$44,Premissas!$A$5:$A$44,$A743,Premissas!$B$5:$B$44,$B743)</f>
        <v/>
      </c>
      <c r="L743" s="29">
        <f>J743-K743</f>
        <v/>
      </c>
      <c r="M743" t="inlineStr">
        <is>
          <t>1.350</t>
        </is>
      </c>
      <c r="N743" t="inlineStr">
        <is>
          <t>Transportadora fora da lista de frete de venda, mas pela modalidade a Vinco enviou a carga | Modalidade: 0 - Por conta do remetente | Parte: SOUZA CONSULTORIA LTDA (45.761.762/0001-49)</t>
        </is>
      </c>
      <c r="O743" s="29" t="n">
        <v>0</v>
      </c>
      <c r="P743" s="29" t="n">
        <v>2.09</v>
      </c>
      <c r="Q743" s="29" t="n">
        <v>0</v>
      </c>
      <c r="R743" s="29" t="n">
        <v>0</v>
      </c>
      <c r="S743" s="29" t="n">
        <v>0</v>
      </c>
      <c r="T743" t="inlineStr">
        <is>
          <t>25240707575651003506570130000540001247555137</t>
        </is>
      </c>
      <c r="U743" t="inlineStr">
        <is>
          <t>Não</t>
        </is>
      </c>
    </row>
    <row r="744">
      <c r="A744" t="inlineStr">
        <is>
          <t>Frete de compra</t>
        </is>
      </c>
      <c r="B744" t="inlineStr">
        <is>
          <t>2.02.93 Frete Amostras/Brindes</t>
        </is>
      </c>
      <c r="C744" t="inlineStr">
        <is>
          <t>Antes de 2026</t>
        </is>
      </c>
      <c r="D744" t="inlineStr">
        <is>
          <t>Antes de 2026</t>
        </is>
      </c>
      <c r="E744" s="28" t="n">
        <v>45496</v>
      </c>
      <c r="F744" t="inlineStr">
        <is>
          <t>CT-e</t>
        </is>
      </c>
      <c r="G744" t="inlineStr">
        <is>
          <t>000054001</t>
        </is>
      </c>
      <c r="H744" t="inlineStr">
        <is>
          <t>GOL LINHAS AEREAS S.A.</t>
        </is>
      </c>
      <c r="J744" s="29" t="n">
        <v>44</v>
      </c>
      <c r="K744" s="29">
        <f>(1-ISNUMBER(SEARCH("556",M744)))*(O744*SUMIFS(Premissas!$C$5:$C$44,Premissas!$A$5:$A$44,$A744,Premissas!$B$5:$B$44,$B744)+P744*SUMIFS(Premissas!$D$5:$D$44,Premissas!$A$5:$A$44,$A744,Premissas!$B$5:$B$44,$B744))+R744*SUMIFS(Premissas!$E$5:$E$44,Premissas!$A$5:$A$44,$A744,Premissas!$B$5:$B$44,$B744)+S744*SUMIFS(Premissas!$F$5:$F$44,Premissas!$A$5:$A$44,$A744,Premissas!$B$5:$B$44,$B744)</f>
        <v/>
      </c>
      <c r="L744" s="29">
        <f>J744-K744</f>
        <v/>
      </c>
      <c r="M744" t="inlineStr">
        <is>
          <t>1.350</t>
        </is>
      </c>
      <c r="N744" t="inlineStr">
        <is>
          <t>Transportadora fora da lista de frete de venda, mas pela modalidade a Vinco enviou a carga | Modalidade: 0 - Por conta do remetente | Parte: GILMAR DE CARVALHO (814.563.105-00)</t>
        </is>
      </c>
      <c r="O744" s="29" t="n">
        <v>0</v>
      </c>
      <c r="P744" s="29" t="n">
        <v>1.76</v>
      </c>
      <c r="Q744" s="29" t="n">
        <v>0</v>
      </c>
      <c r="R744" s="29" t="n">
        <v>0</v>
      </c>
      <c r="S744" s="29" t="n">
        <v>0</v>
      </c>
      <c r="T744" t="inlineStr">
        <is>
          <t>25240707575651003506570130000540011171700503</t>
        </is>
      </c>
      <c r="U744" t="inlineStr">
        <is>
          <t>Não</t>
        </is>
      </c>
    </row>
    <row r="745">
      <c r="A745" t="inlineStr">
        <is>
          <t>Frete de compra</t>
        </is>
      </c>
      <c r="B745" t="inlineStr">
        <is>
          <t>2.02.93 Frete Amostras/Brindes</t>
        </is>
      </c>
      <c r="C745" t="inlineStr">
        <is>
          <t>Antes de 2026</t>
        </is>
      </c>
      <c r="D745" t="inlineStr">
        <is>
          <t>Antes de 2026</t>
        </is>
      </c>
      <c r="E745" s="28" t="n">
        <v>45498</v>
      </c>
      <c r="F745" t="inlineStr">
        <is>
          <t>CT-e</t>
        </is>
      </c>
      <c r="G745" t="inlineStr">
        <is>
          <t>000054119</t>
        </is>
      </c>
      <c r="H745" t="inlineStr">
        <is>
          <t>GOL LINHAS AEREAS S.A.</t>
        </is>
      </c>
      <c r="J745" s="29" t="n">
        <v>110.39</v>
      </c>
      <c r="K745" s="29">
        <f>(1-ISNUMBER(SEARCH("556",M745)))*(O745*SUMIFS(Premissas!$C$5:$C$44,Premissas!$A$5:$A$44,$A745,Premissas!$B$5:$B$44,$B745)+P745*SUMIFS(Premissas!$D$5:$D$44,Premissas!$A$5:$A$44,$A745,Premissas!$B$5:$B$44,$B745))+R745*SUMIFS(Premissas!$E$5:$E$44,Premissas!$A$5:$A$44,$A745,Premissas!$B$5:$B$44,$B745)+S745*SUMIFS(Premissas!$F$5:$F$44,Premissas!$A$5:$A$44,$A745,Premissas!$B$5:$B$44,$B745)</f>
        <v/>
      </c>
      <c r="L745" s="29">
        <f>J745-K745</f>
        <v/>
      </c>
      <c r="M745" t="inlineStr">
        <is>
          <t>1.350</t>
        </is>
      </c>
      <c r="N745" t="inlineStr">
        <is>
          <t>Transportadora fora da lista de frete de venda, mas pela modalidade a Vinco enviou a carga | Modalidade: 0 - Por conta do remetente | Parte: STAMP DISTRIBUIDORA DE EMBALAGENS DE PAPEL E DESCARTAVEIS LT (27.707.575/0003-67)</t>
        </is>
      </c>
      <c r="O745" s="29" t="n">
        <v>0</v>
      </c>
      <c r="P745" s="29" t="n">
        <v>4.42</v>
      </c>
      <c r="Q745" s="29" t="n">
        <v>0</v>
      </c>
      <c r="R745" s="29" t="n">
        <v>0</v>
      </c>
      <c r="S745" s="29" t="n">
        <v>0</v>
      </c>
      <c r="T745" t="inlineStr">
        <is>
          <t>25240707575651003506570130000541191473901404</t>
        </is>
      </c>
      <c r="U745" t="inlineStr">
        <is>
          <t>Não</t>
        </is>
      </c>
    </row>
    <row r="746">
      <c r="A746" t="inlineStr">
        <is>
          <t>Frete de compra</t>
        </is>
      </c>
      <c r="B746" t="inlineStr">
        <is>
          <t>2.02.93 Frete Amostras/Brindes</t>
        </is>
      </c>
      <c r="C746" t="inlineStr">
        <is>
          <t>Antes de 2026</t>
        </is>
      </c>
      <c r="D746" t="inlineStr">
        <is>
          <t>Antes de 2026</t>
        </is>
      </c>
      <c r="E746" s="28" t="n">
        <v>45498</v>
      </c>
      <c r="F746" t="inlineStr">
        <is>
          <t>CT-e</t>
        </is>
      </c>
      <c r="G746" t="inlineStr">
        <is>
          <t>000054121</t>
        </is>
      </c>
      <c r="H746" t="inlineStr">
        <is>
          <t>GOL LINHAS AEREAS S.A.</t>
        </is>
      </c>
      <c r="J746" s="29" t="n">
        <v>59.99</v>
      </c>
      <c r="K746" s="29">
        <f>(1-ISNUMBER(SEARCH("556",M746)))*(O746*SUMIFS(Premissas!$C$5:$C$44,Premissas!$A$5:$A$44,$A746,Premissas!$B$5:$B$44,$B746)+P746*SUMIFS(Premissas!$D$5:$D$44,Premissas!$A$5:$A$44,$A746,Premissas!$B$5:$B$44,$B746))+R746*SUMIFS(Premissas!$E$5:$E$44,Premissas!$A$5:$A$44,$A746,Premissas!$B$5:$B$44,$B746)+S746*SUMIFS(Premissas!$F$5:$F$44,Premissas!$A$5:$A$44,$A746,Premissas!$B$5:$B$44,$B746)</f>
        <v/>
      </c>
      <c r="L746" s="29">
        <f>J746-K746</f>
        <v/>
      </c>
      <c r="M746" t="inlineStr">
        <is>
          <t>1.350</t>
        </is>
      </c>
      <c r="N746" t="inlineStr">
        <is>
          <t>Transportadora fora da lista de frete de venda, mas pela modalidade a Vinco enviou a carga | Modalidade: 0 - Por conta do remetente | Parte: WILLIAN RODRIGUES DA SILVA (052.427.394-44)</t>
        </is>
      </c>
      <c r="O746" s="29" t="n">
        <v>0</v>
      </c>
      <c r="P746" s="29" t="n">
        <v>2.4</v>
      </c>
      <c r="Q746" s="29" t="n">
        <v>0</v>
      </c>
      <c r="R746" s="29" t="n">
        <v>0</v>
      </c>
      <c r="S746" s="29" t="n">
        <v>0</v>
      </c>
      <c r="T746" t="inlineStr">
        <is>
          <t>25240707575651003506570130000541211329072852</t>
        </is>
      </c>
      <c r="U746" t="inlineStr">
        <is>
          <t>Não</t>
        </is>
      </c>
    </row>
    <row r="747">
      <c r="A747" t="inlineStr">
        <is>
          <t>Frete de compra</t>
        </is>
      </c>
      <c r="B747" t="inlineStr">
        <is>
          <t>2.02.93 Frete Amostras/Brindes</t>
        </is>
      </c>
      <c r="C747" s="30" t="n">
        <v>46023</v>
      </c>
      <c r="D747" t="inlineStr">
        <is>
          <t>Em 2026</t>
        </is>
      </c>
      <c r="E747" s="28" t="n">
        <v>46037</v>
      </c>
      <c r="F747" t="inlineStr">
        <is>
          <t>CT-e</t>
        </is>
      </c>
      <c r="G747" t="inlineStr">
        <is>
          <t>000075476</t>
        </is>
      </c>
      <c r="H747" t="inlineStr">
        <is>
          <t>GOL LINHAS AEREAS S.A.</t>
        </is>
      </c>
      <c r="J747" s="29" t="n">
        <v>1163.65</v>
      </c>
      <c r="K747" s="29">
        <f>(1-ISNUMBER(SEARCH("556",M747)))*(O747*SUMIFS(Premissas!$C$5:$C$44,Premissas!$A$5:$A$44,$A747,Premissas!$B$5:$B$44,$B747)+P747*SUMIFS(Premissas!$D$5:$D$44,Premissas!$A$5:$A$44,$A747,Premissas!$B$5:$B$44,$B747))+R747*SUMIFS(Premissas!$E$5:$E$44,Premissas!$A$5:$A$44,$A747,Premissas!$B$5:$B$44,$B747)+S747*SUMIFS(Premissas!$F$5:$F$44,Premissas!$A$5:$A$44,$A747,Premissas!$B$5:$B$44,$B747)</f>
        <v/>
      </c>
      <c r="L747" s="29">
        <f>J747-K747</f>
        <v/>
      </c>
      <c r="M747" t="inlineStr">
        <is>
          <t>1.350</t>
        </is>
      </c>
      <c r="N747" t="inlineStr">
        <is>
          <t>Transportadora fora da lista de frete de venda, mas pela modalidade a Vinco enviou a carga | Modalidade: 0 - Por conta do remetente | Parte: JULIANA THAINES (011.660.716-50)</t>
        </is>
      </c>
      <c r="O747" s="29" t="n">
        <v>0</v>
      </c>
      <c r="P747" s="29" t="n">
        <v>46.55</v>
      </c>
      <c r="Q747" s="29" t="n">
        <v>0</v>
      </c>
      <c r="R747" s="29" t="n">
        <v>0</v>
      </c>
      <c r="S747" s="29" t="n">
        <v>0</v>
      </c>
      <c r="T747" t="inlineStr">
        <is>
          <t>25260107575651003506570130000754761374138270</t>
        </is>
      </c>
      <c r="U747" t="inlineStr">
        <is>
          <t>Sim</t>
        </is>
      </c>
    </row>
    <row r="748">
      <c r="A748" t="inlineStr">
        <is>
          <t>Frete de compra</t>
        </is>
      </c>
      <c r="B748" t="inlineStr">
        <is>
          <t>2.02.93 Frete Amostras/Brindes</t>
        </is>
      </c>
      <c r="C748" s="30" t="n">
        <v>46054</v>
      </c>
      <c r="D748" t="inlineStr">
        <is>
          <t>Em 2026</t>
        </is>
      </c>
      <c r="E748" s="28" t="n">
        <v>46073</v>
      </c>
      <c r="F748" t="inlineStr">
        <is>
          <t>CT-e</t>
        </is>
      </c>
      <c r="G748" t="inlineStr">
        <is>
          <t>000077208</t>
        </is>
      </c>
      <c r="H748" t="inlineStr">
        <is>
          <t>GOL LINHAS AEREAS S.A.</t>
        </is>
      </c>
      <c r="J748" s="29" t="n">
        <v>280.56</v>
      </c>
      <c r="K748" s="29">
        <f>(1-ISNUMBER(SEARCH("556",M748)))*(O748*SUMIFS(Premissas!$C$5:$C$44,Premissas!$A$5:$A$44,$A748,Premissas!$B$5:$B$44,$B748)+P748*SUMIFS(Premissas!$D$5:$D$44,Premissas!$A$5:$A$44,$A748,Premissas!$B$5:$B$44,$B748))+R748*SUMIFS(Premissas!$E$5:$E$44,Premissas!$A$5:$A$44,$A748,Premissas!$B$5:$B$44,$B748)+S748*SUMIFS(Premissas!$F$5:$F$44,Premissas!$A$5:$A$44,$A748,Premissas!$B$5:$B$44,$B748)</f>
        <v/>
      </c>
      <c r="L748" s="29">
        <f>J748-K748</f>
        <v/>
      </c>
      <c r="M748" t="inlineStr">
        <is>
          <t>1.350</t>
        </is>
      </c>
      <c r="N748" t="inlineStr">
        <is>
          <t>Transportadora fora da lista de frete de venda, mas pela modalidade a Vinco enviou a carga | Modalidade: 0 - Por conta do remetente | Parte: RENATO ANDRE GANZER (012.982.060-14)</t>
        </is>
      </c>
      <c r="O748" s="29" t="n">
        <v>0</v>
      </c>
      <c r="P748" s="29" t="n">
        <v>11.22</v>
      </c>
      <c r="Q748" s="29" t="n">
        <v>0</v>
      </c>
      <c r="R748" s="29" t="n">
        <v>0</v>
      </c>
      <c r="S748" s="29" t="n">
        <v>0</v>
      </c>
      <c r="T748" t="inlineStr">
        <is>
          <t>25260207575651003506570130000772081823089884</t>
        </is>
      </c>
      <c r="U748" t="inlineStr">
        <is>
          <t>Sim</t>
        </is>
      </c>
    </row>
    <row r="749">
      <c r="A749" t="inlineStr">
        <is>
          <t>Frete de compra</t>
        </is>
      </c>
      <c r="B749" t="inlineStr">
        <is>
          <t>2.02.93 Frete Amostras/Brindes</t>
        </is>
      </c>
      <c r="C749" s="30" t="n">
        <v>46054</v>
      </c>
      <c r="D749" t="inlineStr">
        <is>
          <t>Em 2026</t>
        </is>
      </c>
      <c r="E749" s="28" t="n">
        <v>46073</v>
      </c>
      <c r="F749" t="inlineStr">
        <is>
          <t>CT-e</t>
        </is>
      </c>
      <c r="G749" t="inlineStr">
        <is>
          <t>000077209</t>
        </is>
      </c>
      <c r="H749" t="inlineStr">
        <is>
          <t>GOL LINHAS AEREAS S.A.</t>
        </is>
      </c>
      <c r="J749" s="29" t="n">
        <v>230.12</v>
      </c>
      <c r="K749" s="29">
        <f>(1-ISNUMBER(SEARCH("556",M749)))*(O749*SUMIFS(Premissas!$C$5:$C$44,Premissas!$A$5:$A$44,$A749,Premissas!$B$5:$B$44,$B749)+P749*SUMIFS(Premissas!$D$5:$D$44,Premissas!$A$5:$A$44,$A749,Premissas!$B$5:$B$44,$B749))+R749*SUMIFS(Premissas!$E$5:$E$44,Premissas!$A$5:$A$44,$A749,Premissas!$B$5:$B$44,$B749)+S749*SUMIFS(Premissas!$F$5:$F$44,Premissas!$A$5:$A$44,$A749,Premissas!$B$5:$B$44,$B749)</f>
        <v/>
      </c>
      <c r="L749" s="29">
        <f>J749-K749</f>
        <v/>
      </c>
      <c r="M749" t="inlineStr">
        <is>
          <t>1.350</t>
        </is>
      </c>
      <c r="N749" t="inlineStr">
        <is>
          <t>Transportadora fora da lista de frete de venda, mas pela modalidade a Vinco enviou a carga | Modalidade: 0 - Por conta do remetente | Parte: LAURA DENISA VASCONCELOS BOTELHO FALCAO (717.134.332-49)</t>
        </is>
      </c>
      <c r="O749" s="29" t="n">
        <v>0</v>
      </c>
      <c r="P749" s="29" t="n">
        <v>9.199999999999999</v>
      </c>
      <c r="Q749" s="29" t="n">
        <v>0</v>
      </c>
      <c r="R749" s="29" t="n">
        <v>0</v>
      </c>
      <c r="S749" s="29" t="n">
        <v>0</v>
      </c>
      <c r="T749" t="inlineStr">
        <is>
          <t>25260207575651003506570130000772091648404000</t>
        </is>
      </c>
      <c r="U749" t="inlineStr">
        <is>
          <t>Sim</t>
        </is>
      </c>
    </row>
    <row r="750">
      <c r="A750" t="inlineStr">
        <is>
          <t>Frete de compra</t>
        </is>
      </c>
      <c r="B750" t="inlineStr">
        <is>
          <t>2.02.93 Frete Amostras/Brindes</t>
        </is>
      </c>
      <c r="C750" s="30" t="n">
        <v>46054</v>
      </c>
      <c r="D750" t="inlineStr">
        <is>
          <t>Em 2026</t>
        </is>
      </c>
      <c r="E750" s="28" t="n">
        <v>46073</v>
      </c>
      <c r="F750" t="inlineStr">
        <is>
          <t>CT-e</t>
        </is>
      </c>
      <c r="G750" t="inlineStr">
        <is>
          <t>000077210</t>
        </is>
      </c>
      <c r="H750" t="inlineStr">
        <is>
          <t>GOL LINHAS AEREAS S.A.</t>
        </is>
      </c>
      <c r="J750" s="29" t="n">
        <v>132.35</v>
      </c>
      <c r="K750" s="29">
        <f>(1-ISNUMBER(SEARCH("556",M750)))*(O750*SUMIFS(Premissas!$C$5:$C$44,Premissas!$A$5:$A$44,$A750,Premissas!$B$5:$B$44,$B750)+P750*SUMIFS(Premissas!$D$5:$D$44,Premissas!$A$5:$A$44,$A750,Premissas!$B$5:$B$44,$B750))+R750*SUMIFS(Premissas!$E$5:$E$44,Premissas!$A$5:$A$44,$A750,Premissas!$B$5:$B$44,$B750)+S750*SUMIFS(Premissas!$F$5:$F$44,Premissas!$A$5:$A$44,$A750,Premissas!$B$5:$B$44,$B750)</f>
        <v/>
      </c>
      <c r="L750" s="29">
        <f>J750-K750</f>
        <v/>
      </c>
      <c r="M750" t="inlineStr">
        <is>
          <t>1.350</t>
        </is>
      </c>
      <c r="N750" t="inlineStr">
        <is>
          <t>Transportadora fora da lista de frete de venda, mas pela modalidade a Vinco enviou a carga | Modalidade: 0 - Por conta do remetente | Parte: JULIANA FERNANDES BORGES SOARES (001.868.381-90)</t>
        </is>
      </c>
      <c r="O750" s="29" t="n">
        <v>0</v>
      </c>
      <c r="P750" s="29" t="n">
        <v>5.29</v>
      </c>
      <c r="Q750" s="29" t="n">
        <v>0</v>
      </c>
      <c r="R750" s="29" t="n">
        <v>0</v>
      </c>
      <c r="S750" s="29" t="n">
        <v>0</v>
      </c>
      <c r="T750" t="inlineStr">
        <is>
          <t>25260207575651003506570130000772101740020613</t>
        </is>
      </c>
      <c r="U750" t="inlineStr">
        <is>
          <t>Sim</t>
        </is>
      </c>
    </row>
    <row r="751">
      <c r="A751" t="inlineStr">
        <is>
          <t>Frete de compra</t>
        </is>
      </c>
      <c r="B751" t="inlineStr">
        <is>
          <t>2.02.93 Frete Amostras/Brindes</t>
        </is>
      </c>
      <c r="C751" s="30" t="n">
        <v>46082</v>
      </c>
      <c r="D751" t="inlineStr">
        <is>
          <t>Em 2026</t>
        </is>
      </c>
      <c r="E751" s="28" t="n">
        <v>46099</v>
      </c>
      <c r="F751" t="inlineStr">
        <is>
          <t>CT-e</t>
        </is>
      </c>
      <c r="G751" t="inlineStr">
        <is>
          <t>000078477</t>
        </is>
      </c>
      <c r="H751" t="inlineStr">
        <is>
          <t>GOL LINHAS AEREAS S.A.</t>
        </is>
      </c>
      <c r="J751" s="29" t="n">
        <v>190</v>
      </c>
      <c r="K751" s="29">
        <f>(1-ISNUMBER(SEARCH("556",M751)))*(O751*SUMIFS(Premissas!$C$5:$C$44,Premissas!$A$5:$A$44,$A751,Premissas!$B$5:$B$44,$B751)+P751*SUMIFS(Premissas!$D$5:$D$44,Premissas!$A$5:$A$44,$A751,Premissas!$B$5:$B$44,$B751))+R751*SUMIFS(Premissas!$E$5:$E$44,Premissas!$A$5:$A$44,$A751,Premissas!$B$5:$B$44,$B751)+S751*SUMIFS(Premissas!$F$5:$F$44,Premissas!$A$5:$A$44,$A751,Premissas!$B$5:$B$44,$B751)</f>
        <v/>
      </c>
      <c r="L751" s="29">
        <f>J751-K751</f>
        <v/>
      </c>
      <c r="M751" t="inlineStr">
        <is>
          <t>1.350</t>
        </is>
      </c>
      <c r="N751" t="inlineStr">
        <is>
          <t>Transportadora fora da lista de frete de venda, mas pela modalidade a Vinco enviou a carga | Modalidade: 0 - Por conta do remetente | Parte: DIANA NASCIMENTO PINTO (253.323.578-42)</t>
        </is>
      </c>
      <c r="O751" s="29" t="n">
        <v>0</v>
      </c>
      <c r="P751" s="29" t="n">
        <v>7.6</v>
      </c>
      <c r="Q751" s="29" t="n">
        <v>0</v>
      </c>
      <c r="R751" s="29" t="n">
        <v>0</v>
      </c>
      <c r="S751" s="29" t="n">
        <v>0</v>
      </c>
      <c r="T751" t="inlineStr">
        <is>
          <t>25260307575651003506570130000784771704591035</t>
        </is>
      </c>
      <c r="U751" t="inlineStr">
        <is>
          <t>Sim</t>
        </is>
      </c>
    </row>
    <row r="752">
      <c r="A752" t="inlineStr">
        <is>
          <t>Frete de compra</t>
        </is>
      </c>
      <c r="B752" t="inlineStr">
        <is>
          <t>2.02.93 Frete Amostras/Brindes</t>
        </is>
      </c>
      <c r="C752" s="30" t="n">
        <v>46143</v>
      </c>
      <c r="D752" t="inlineStr">
        <is>
          <t>Em 2026</t>
        </is>
      </c>
      <c r="E752" s="28" t="n">
        <v>46146</v>
      </c>
      <c r="F752" t="inlineStr">
        <is>
          <t>CT-e</t>
        </is>
      </c>
      <c r="G752" t="inlineStr">
        <is>
          <t>000080494</t>
        </is>
      </c>
      <c r="H752" t="inlineStr">
        <is>
          <t>GOL LINHAS AEREAS S.A.</t>
        </is>
      </c>
      <c r="J752" s="29" t="n">
        <v>231.19</v>
      </c>
      <c r="K752" s="29">
        <f>(1-ISNUMBER(SEARCH("556",M752)))*(O752*SUMIFS(Premissas!$C$5:$C$44,Premissas!$A$5:$A$44,$A752,Premissas!$B$5:$B$44,$B752)+P752*SUMIFS(Premissas!$D$5:$D$44,Premissas!$A$5:$A$44,$A752,Premissas!$B$5:$B$44,$B752))+R752*SUMIFS(Premissas!$E$5:$E$44,Premissas!$A$5:$A$44,$A752,Premissas!$B$5:$B$44,$B752)+S752*SUMIFS(Premissas!$F$5:$F$44,Premissas!$A$5:$A$44,$A752,Premissas!$B$5:$B$44,$B752)</f>
        <v/>
      </c>
      <c r="L752" s="29">
        <f>J752-K752</f>
        <v/>
      </c>
      <c r="M752" t="inlineStr">
        <is>
          <t>1.350</t>
        </is>
      </c>
      <c r="N752" t="inlineStr">
        <is>
          <t>Transportadora fora da lista de frete de venda, mas pela modalidade a Vinco enviou a carga | Modalidade: 0 - Por conta do remetente | Parte: JULIANA THAINES (011.660.716-50)</t>
        </is>
      </c>
      <c r="O752" s="29" t="n">
        <v>0</v>
      </c>
      <c r="P752" s="29" t="n">
        <v>9.25</v>
      </c>
      <c r="Q752" s="29" t="n">
        <v>0</v>
      </c>
      <c r="R752" s="29" t="n">
        <v>0</v>
      </c>
      <c r="S752" s="29" t="n">
        <v>0</v>
      </c>
      <c r="T752" t="inlineStr">
        <is>
          <t>25260507575651003506570130000804941597633630</t>
        </is>
      </c>
      <c r="U752" t="inlineStr">
        <is>
          <t>Sim</t>
        </is>
      </c>
    </row>
    <row r="753">
      <c r="A753" t="inlineStr">
        <is>
          <t>Frete de compra</t>
        </is>
      </c>
      <c r="B753" t="inlineStr">
        <is>
          <t>2.02.93 Frete Amostras/Brindes</t>
        </is>
      </c>
      <c r="C753" s="30" t="n">
        <v>46174</v>
      </c>
      <c r="D753" t="inlineStr">
        <is>
          <t>Em 2026</t>
        </is>
      </c>
      <c r="E753" s="28" t="n">
        <v>46182</v>
      </c>
      <c r="F753" t="inlineStr">
        <is>
          <t>CT-e</t>
        </is>
      </c>
      <c r="G753" t="inlineStr">
        <is>
          <t>000082009</t>
        </is>
      </c>
      <c r="H753" t="inlineStr">
        <is>
          <t>GOL LINHAS AEREAS S.A.</t>
        </is>
      </c>
      <c r="J753" s="29" t="n">
        <v>138.67</v>
      </c>
      <c r="K753" s="29">
        <f>(1-ISNUMBER(SEARCH("556",M753)))*(O753*SUMIFS(Premissas!$C$5:$C$44,Premissas!$A$5:$A$44,$A753,Premissas!$B$5:$B$44,$B753)+P753*SUMIFS(Premissas!$D$5:$D$44,Premissas!$A$5:$A$44,$A753,Premissas!$B$5:$B$44,$B753))+R753*SUMIFS(Premissas!$E$5:$E$44,Premissas!$A$5:$A$44,$A753,Premissas!$B$5:$B$44,$B753)+S753*SUMIFS(Premissas!$F$5:$F$44,Premissas!$A$5:$A$44,$A753,Premissas!$B$5:$B$44,$B753)</f>
        <v/>
      </c>
      <c r="L753" s="29">
        <f>J753-K753</f>
        <v/>
      </c>
      <c r="M753" t="inlineStr">
        <is>
          <t>1.350</t>
        </is>
      </c>
      <c r="N753" t="inlineStr">
        <is>
          <t>Transportadora fora da lista de frete de venda, mas pela modalidade a Vinco enviou a carga | Modalidade: 0 - Por conta do remetente | Parte: TUROLLA e LEAL ALIMENTOS LTDA (53.385.251/0001-06)</t>
        </is>
      </c>
      <c r="O753" s="29" t="n">
        <v>0</v>
      </c>
      <c r="P753" s="29" t="n">
        <v>5.55</v>
      </c>
      <c r="Q753" s="29" t="n">
        <v>0</v>
      </c>
      <c r="R753" s="29" t="n">
        <v>0</v>
      </c>
      <c r="S753" s="29" t="n">
        <v>0</v>
      </c>
      <c r="T753" t="inlineStr">
        <is>
          <t>25260607575651003506570130000820091282815694</t>
        </is>
      </c>
      <c r="U753" t="inlineStr">
        <is>
          <t>Sim</t>
        </is>
      </c>
    </row>
    <row r="754">
      <c r="A754" t="inlineStr">
        <is>
          <t>Frete de compra</t>
        </is>
      </c>
      <c r="B754" t="inlineStr">
        <is>
          <t>2.02.93 Frete Amostras/Brindes</t>
        </is>
      </c>
      <c r="C754" s="30" t="n">
        <v>46174</v>
      </c>
      <c r="D754" t="inlineStr">
        <is>
          <t>Em 2026</t>
        </is>
      </c>
      <c r="E754" s="28" t="n">
        <v>46182</v>
      </c>
      <c r="F754" t="inlineStr">
        <is>
          <t>CT-e</t>
        </is>
      </c>
      <c r="G754" t="inlineStr">
        <is>
          <t>000082011</t>
        </is>
      </c>
      <c r="H754" t="inlineStr">
        <is>
          <t>GOL LINHAS AEREAS S.A.</t>
        </is>
      </c>
      <c r="J754" s="29" t="n">
        <v>181.8</v>
      </c>
      <c r="K754" s="29">
        <f>(1-ISNUMBER(SEARCH("556",M754)))*(O754*SUMIFS(Premissas!$C$5:$C$44,Premissas!$A$5:$A$44,$A754,Premissas!$B$5:$B$44,$B754)+P754*SUMIFS(Premissas!$D$5:$D$44,Premissas!$A$5:$A$44,$A754,Premissas!$B$5:$B$44,$B754))+R754*SUMIFS(Premissas!$E$5:$E$44,Premissas!$A$5:$A$44,$A754,Premissas!$B$5:$B$44,$B754)+S754*SUMIFS(Premissas!$F$5:$F$44,Premissas!$A$5:$A$44,$A754,Premissas!$B$5:$B$44,$B754)</f>
        <v/>
      </c>
      <c r="L754" s="29">
        <f>J754-K754</f>
        <v/>
      </c>
      <c r="M754" t="inlineStr">
        <is>
          <t>1.350</t>
        </is>
      </c>
      <c r="N754" t="inlineStr">
        <is>
          <t>Transportadora fora da lista de frete de venda, mas pela modalidade a Vinco enviou a carga | Modalidade: 0 - Por conta do remetente | Parte: FAT GUYS HAMBURGERS MANAUS LTDA (59.286.288/0001-55)</t>
        </is>
      </c>
      <c r="O754" s="29" t="n">
        <v>0</v>
      </c>
      <c r="P754" s="29" t="n">
        <v>7.27</v>
      </c>
      <c r="Q754" s="29" t="n">
        <v>0</v>
      </c>
      <c r="R754" s="29" t="n">
        <v>0</v>
      </c>
      <c r="S754" s="29" t="n">
        <v>0</v>
      </c>
      <c r="T754" t="inlineStr">
        <is>
          <t>25260607575651003506570130000820111832520940</t>
        </is>
      </c>
      <c r="U754" t="inlineStr">
        <is>
          <t>Sim</t>
        </is>
      </c>
    </row>
    <row r="755">
      <c r="A755" t="inlineStr">
        <is>
          <t>Frete de compra</t>
        </is>
      </c>
      <c r="B755" t="inlineStr">
        <is>
          <t>2.02.93 Frete Amostras/Brindes</t>
        </is>
      </c>
      <c r="C755" s="30" t="n">
        <v>46174</v>
      </c>
      <c r="D755" t="inlineStr">
        <is>
          <t>Em 2026</t>
        </is>
      </c>
      <c r="E755" s="28" t="n">
        <v>46182</v>
      </c>
      <c r="F755" t="inlineStr">
        <is>
          <t>CT-e</t>
        </is>
      </c>
      <c r="G755" t="inlineStr">
        <is>
          <t>000082012</t>
        </is>
      </c>
      <c r="H755" t="inlineStr">
        <is>
          <t>GOL LINHAS AEREAS S.A.</t>
        </is>
      </c>
      <c r="J755" s="29" t="n">
        <v>754.27</v>
      </c>
      <c r="K755" s="29">
        <f>(1-ISNUMBER(SEARCH("556",M755)))*(O755*SUMIFS(Premissas!$C$5:$C$44,Premissas!$A$5:$A$44,$A755,Premissas!$B$5:$B$44,$B755)+P755*SUMIFS(Premissas!$D$5:$D$44,Premissas!$A$5:$A$44,$A755,Premissas!$B$5:$B$44,$B755))+R755*SUMIFS(Premissas!$E$5:$E$44,Premissas!$A$5:$A$44,$A755,Premissas!$B$5:$B$44,$B755)+S755*SUMIFS(Premissas!$F$5:$F$44,Premissas!$A$5:$A$44,$A755,Premissas!$B$5:$B$44,$B755)</f>
        <v/>
      </c>
      <c r="L755" s="29">
        <f>J755-K755</f>
        <v/>
      </c>
      <c r="M755" t="inlineStr">
        <is>
          <t>1.350</t>
        </is>
      </c>
      <c r="N755" t="inlineStr">
        <is>
          <t>Transportadora fora da lista de frete de venda, mas pela modalidade a Vinco enviou a carga | Modalidade: 0 - Por conta do remetente | Parte: LRZ RESTAURANTE LTDA (43.868.775/0006-09)</t>
        </is>
      </c>
      <c r="O755" s="29" t="n">
        <v>0</v>
      </c>
      <c r="P755" s="29" t="n">
        <v>30.17</v>
      </c>
      <c r="Q755" s="29" t="n">
        <v>0</v>
      </c>
      <c r="R755" s="29" t="n">
        <v>0</v>
      </c>
      <c r="S755" s="29" t="n">
        <v>0</v>
      </c>
      <c r="T755" t="inlineStr">
        <is>
          <t>25260607575651003506570130000820121535108341</t>
        </is>
      </c>
      <c r="U755" t="inlineStr">
        <is>
          <t>Sim</t>
        </is>
      </c>
    </row>
    <row r="756">
      <c r="A756" t="inlineStr">
        <is>
          <t>Frete de compra</t>
        </is>
      </c>
      <c r="B756" t="inlineStr">
        <is>
          <t>2.02.93 Frete Amostras/Brindes</t>
        </is>
      </c>
      <c r="C756" s="30" t="n">
        <v>46174</v>
      </c>
      <c r="D756" t="inlineStr">
        <is>
          <t>Em 2026</t>
        </is>
      </c>
      <c r="E756" s="28" t="n">
        <v>46182</v>
      </c>
      <c r="F756" t="inlineStr">
        <is>
          <t>CT-e</t>
        </is>
      </c>
      <c r="G756" t="inlineStr">
        <is>
          <t>000082013</t>
        </is>
      </c>
      <c r="H756" t="inlineStr">
        <is>
          <t>GOL LINHAS AEREAS S.A.</t>
        </is>
      </c>
      <c r="J756" s="29" t="n">
        <v>138.67</v>
      </c>
      <c r="K756" s="29">
        <f>(1-ISNUMBER(SEARCH("556",M756)))*(O756*SUMIFS(Premissas!$C$5:$C$44,Premissas!$A$5:$A$44,$A756,Premissas!$B$5:$B$44,$B756)+P756*SUMIFS(Premissas!$D$5:$D$44,Premissas!$A$5:$A$44,$A756,Premissas!$B$5:$B$44,$B756))+R756*SUMIFS(Premissas!$E$5:$E$44,Premissas!$A$5:$A$44,$A756,Premissas!$B$5:$B$44,$B756)+S756*SUMIFS(Premissas!$F$5:$F$44,Premissas!$A$5:$A$44,$A756,Premissas!$B$5:$B$44,$B756)</f>
        <v/>
      </c>
      <c r="L756" s="29">
        <f>J756-K756</f>
        <v/>
      </c>
      <c r="M756" t="inlineStr">
        <is>
          <t>1.350</t>
        </is>
      </c>
      <c r="N756" t="inlineStr">
        <is>
          <t>Transportadora fora da lista de frete de venda, mas pela modalidade a Vinco enviou a carga | Modalidade: 0 - Por conta do remetente | Parte: FTL ALIMENTOS LTDA (62.137.689/0001-58)</t>
        </is>
      </c>
      <c r="O756" s="29" t="n">
        <v>0</v>
      </c>
      <c r="P756" s="29" t="n">
        <v>5.55</v>
      </c>
      <c r="Q756" s="29" t="n">
        <v>0</v>
      </c>
      <c r="R756" s="29" t="n">
        <v>0</v>
      </c>
      <c r="S756" s="29" t="n">
        <v>0</v>
      </c>
      <c r="T756" t="inlineStr">
        <is>
          <t>25260607575651003506570130000820131294755961</t>
        </is>
      </c>
      <c r="U756" t="inlineStr">
        <is>
          <t>Sim</t>
        </is>
      </c>
    </row>
    <row r="757">
      <c r="A757" t="inlineStr">
        <is>
          <t>Frete de compra</t>
        </is>
      </c>
      <c r="B757" t="inlineStr">
        <is>
          <t>2.02.93 Frete Amostras/Brindes</t>
        </is>
      </c>
      <c r="C757" s="30" t="n">
        <v>46174</v>
      </c>
      <c r="D757" t="inlineStr">
        <is>
          <t>Em 2026</t>
        </is>
      </c>
      <c r="E757" s="28" t="n">
        <v>46184</v>
      </c>
      <c r="F757" t="inlineStr">
        <is>
          <t>CT-e</t>
        </is>
      </c>
      <c r="G757" t="inlineStr">
        <is>
          <t>000082123</t>
        </is>
      </c>
      <c r="H757" t="inlineStr">
        <is>
          <t>GOL LINHAS AEREAS S.A.</t>
        </is>
      </c>
      <c r="J757" s="29" t="n">
        <v>539.78</v>
      </c>
      <c r="K757" s="29">
        <f>(1-ISNUMBER(SEARCH("556",M757)))*(O757*SUMIFS(Premissas!$C$5:$C$44,Premissas!$A$5:$A$44,$A757,Premissas!$B$5:$B$44,$B757)+P757*SUMIFS(Premissas!$D$5:$D$44,Premissas!$A$5:$A$44,$A757,Premissas!$B$5:$B$44,$B757))+R757*SUMIFS(Premissas!$E$5:$E$44,Premissas!$A$5:$A$44,$A757,Premissas!$B$5:$B$44,$B757)+S757*SUMIFS(Premissas!$F$5:$F$44,Premissas!$A$5:$A$44,$A757,Premissas!$B$5:$B$44,$B757)</f>
        <v/>
      </c>
      <c r="L757" s="29">
        <f>J757-K757</f>
        <v/>
      </c>
      <c r="M757" t="inlineStr">
        <is>
          <t>1.350</t>
        </is>
      </c>
      <c r="N757" t="inlineStr">
        <is>
          <t>Transportadora fora da lista de frete de venda, mas pela modalidade a Vinco enviou a carga | Modalidade: 0 - Por conta do remetente | Parte: FOOD WORKS LTDA (51.309.681/0001-05)</t>
        </is>
      </c>
      <c r="O757" s="29" t="n">
        <v>0</v>
      </c>
      <c r="P757" s="29" t="n">
        <v>21.59</v>
      </c>
      <c r="Q757" s="29" t="n">
        <v>0</v>
      </c>
      <c r="R757" s="29" t="n">
        <v>0</v>
      </c>
      <c r="S757" s="29" t="n">
        <v>0</v>
      </c>
      <c r="T757" t="inlineStr">
        <is>
          <t>25260607575651003506570130000821231538697401</t>
        </is>
      </c>
      <c r="U757" t="inlineStr">
        <is>
          <t>Sim</t>
        </is>
      </c>
    </row>
    <row r="758">
      <c r="A758" t="inlineStr">
        <is>
          <t>Frete de compra</t>
        </is>
      </c>
      <c r="B758" t="inlineStr">
        <is>
          <t>2.02.93 Frete Amostras/Brindes</t>
        </is>
      </c>
      <c r="C758" s="30" t="n">
        <v>46174</v>
      </c>
      <c r="D758" t="inlineStr">
        <is>
          <t>Em 2026</t>
        </is>
      </c>
      <c r="E758" s="28" t="n">
        <v>46184</v>
      </c>
      <c r="F758" t="inlineStr">
        <is>
          <t>CT-e</t>
        </is>
      </c>
      <c r="G758" t="inlineStr">
        <is>
          <t>000082133</t>
        </is>
      </c>
      <c r="H758" t="inlineStr">
        <is>
          <t>GOL LINHAS AEREAS S.A.</t>
        </is>
      </c>
      <c r="J758" s="29" t="n">
        <v>539.78</v>
      </c>
      <c r="K758" s="29">
        <f>(1-ISNUMBER(SEARCH("556",M758)))*(O758*SUMIFS(Premissas!$C$5:$C$44,Premissas!$A$5:$A$44,$A758,Premissas!$B$5:$B$44,$B758)+P758*SUMIFS(Premissas!$D$5:$D$44,Premissas!$A$5:$A$44,$A758,Premissas!$B$5:$B$44,$B758))+R758*SUMIFS(Premissas!$E$5:$E$44,Premissas!$A$5:$A$44,$A758,Premissas!$B$5:$B$44,$B758)+S758*SUMIFS(Premissas!$F$5:$F$44,Premissas!$A$5:$A$44,$A758,Premissas!$B$5:$B$44,$B758)</f>
        <v/>
      </c>
      <c r="L758" s="29">
        <f>J758-K758</f>
        <v/>
      </c>
      <c r="M758" t="inlineStr">
        <is>
          <t>1.350</t>
        </is>
      </c>
      <c r="N758" t="inlineStr">
        <is>
          <t>Transportadora fora da lista de frete de venda, mas pela modalidade a Vinco enviou a carga | Modalidade: 0 - Por conta do remetente | Parte: FAT GUYS FOOD LTDA (59.997.027/0001-43)</t>
        </is>
      </c>
      <c r="O758" s="29" t="n">
        <v>0</v>
      </c>
      <c r="P758" s="29" t="n">
        <v>21.59</v>
      </c>
      <c r="Q758" s="29" t="n">
        <v>0</v>
      </c>
      <c r="R758" s="29" t="n">
        <v>0</v>
      </c>
      <c r="S758" s="29" t="n">
        <v>0</v>
      </c>
      <c r="T758" t="inlineStr">
        <is>
          <t>25260607575651003506570130000821331369632959</t>
        </is>
      </c>
      <c r="U758" t="inlineStr">
        <is>
          <t>Sim</t>
        </is>
      </c>
    </row>
    <row r="759">
      <c r="A759" t="inlineStr">
        <is>
          <t>Frete de compra</t>
        </is>
      </c>
      <c r="B759" t="inlineStr">
        <is>
          <t>2.02.93 Frete Amostras/Brindes</t>
        </is>
      </c>
      <c r="C759" s="30" t="n">
        <v>46174</v>
      </c>
      <c r="D759" t="inlineStr">
        <is>
          <t>Em 2026</t>
        </is>
      </c>
      <c r="E759" s="28" t="n">
        <v>46184</v>
      </c>
      <c r="F759" t="inlineStr">
        <is>
          <t>CT-e</t>
        </is>
      </c>
      <c r="G759" t="inlineStr">
        <is>
          <t>000082134</t>
        </is>
      </c>
      <c r="H759" t="inlineStr">
        <is>
          <t>GOL LINHAS AEREAS S.A.</t>
        </is>
      </c>
      <c r="J759" s="29" t="n">
        <v>251.45</v>
      </c>
      <c r="K759" s="29">
        <f>(1-ISNUMBER(SEARCH("556",M759)))*(O759*SUMIFS(Premissas!$C$5:$C$44,Premissas!$A$5:$A$44,$A759,Premissas!$B$5:$B$44,$B759)+P759*SUMIFS(Premissas!$D$5:$D$44,Premissas!$A$5:$A$44,$A759,Premissas!$B$5:$B$44,$B759))+R759*SUMIFS(Premissas!$E$5:$E$44,Premissas!$A$5:$A$44,$A759,Premissas!$B$5:$B$44,$B759)+S759*SUMIFS(Premissas!$F$5:$F$44,Premissas!$A$5:$A$44,$A759,Premissas!$B$5:$B$44,$B759)</f>
        <v/>
      </c>
      <c r="L759" s="29">
        <f>J759-K759</f>
        <v/>
      </c>
      <c r="M759" t="inlineStr">
        <is>
          <t>1.350</t>
        </is>
      </c>
      <c r="N759" t="inlineStr">
        <is>
          <t>Transportadora fora da lista de frete de venda, mas pela modalidade a Vinco enviou a carga | Modalidade: 0 - Por conta do remetente | Parte: FPSR ALIMENTOS LTDA (45.574.288/0001-46)</t>
        </is>
      </c>
      <c r="O759" s="29" t="n">
        <v>0</v>
      </c>
      <c r="P759" s="29" t="n">
        <v>10.06</v>
      </c>
      <c r="Q759" s="29" t="n">
        <v>0</v>
      </c>
      <c r="R759" s="29" t="n">
        <v>0</v>
      </c>
      <c r="S759" s="29" t="n">
        <v>0</v>
      </c>
      <c r="T759" t="inlineStr">
        <is>
          <t>25260607575651003506570130000821341294789101</t>
        </is>
      </c>
      <c r="U759" t="inlineStr">
        <is>
          <t>Sim</t>
        </is>
      </c>
    </row>
    <row r="760">
      <c r="A760" t="inlineStr">
        <is>
          <t>Frete de compra</t>
        </is>
      </c>
      <c r="B760" t="inlineStr">
        <is>
          <t>2.02.93 Frete Amostras/Brindes</t>
        </is>
      </c>
      <c r="C760" s="30" t="n">
        <v>46174</v>
      </c>
      <c r="D760" t="inlineStr">
        <is>
          <t>Em 2026</t>
        </is>
      </c>
      <c r="E760" s="28" t="n">
        <v>46184</v>
      </c>
      <c r="F760" t="inlineStr">
        <is>
          <t>CT-e</t>
        </is>
      </c>
      <c r="G760" t="inlineStr">
        <is>
          <t>000082135</t>
        </is>
      </c>
      <c r="H760" t="inlineStr">
        <is>
          <t>GOL LINHAS AEREAS S.A.</t>
        </is>
      </c>
      <c r="J760" s="29" t="n">
        <v>132.37</v>
      </c>
      <c r="K760" s="29">
        <f>(1-ISNUMBER(SEARCH("556",M760)))*(O760*SUMIFS(Premissas!$C$5:$C$44,Premissas!$A$5:$A$44,$A760,Premissas!$B$5:$B$44,$B760)+P760*SUMIFS(Premissas!$D$5:$D$44,Premissas!$A$5:$A$44,$A760,Premissas!$B$5:$B$44,$B760))+R760*SUMIFS(Premissas!$E$5:$E$44,Premissas!$A$5:$A$44,$A760,Premissas!$B$5:$B$44,$B760)+S760*SUMIFS(Premissas!$F$5:$F$44,Premissas!$A$5:$A$44,$A760,Premissas!$B$5:$B$44,$B760)</f>
        <v/>
      </c>
      <c r="L760" s="29">
        <f>J760-K760</f>
        <v/>
      </c>
      <c r="M760" t="inlineStr">
        <is>
          <t>1.350</t>
        </is>
      </c>
      <c r="N760" t="inlineStr">
        <is>
          <t>Transportadora fora da lista de frete de venda, mas pela modalidade a Vinco enviou a carga | Modalidade: 0 - Por conta do remetente | Parte: G7 GASTRONOMIA COMERCIO DE ALIMENTOS LTDA (60.481.693/0001-03)</t>
        </is>
      </c>
      <c r="O760" s="29" t="n">
        <v>0</v>
      </c>
      <c r="P760" s="29" t="n">
        <v>5.29</v>
      </c>
      <c r="Q760" s="29" t="n">
        <v>0</v>
      </c>
      <c r="R760" s="29" t="n">
        <v>0</v>
      </c>
      <c r="S760" s="29" t="n">
        <v>0</v>
      </c>
      <c r="T760" t="inlineStr">
        <is>
          <t>25260607575651003506570130000821351959581800</t>
        </is>
      </c>
      <c r="U760" t="inlineStr">
        <is>
          <t>Sim</t>
        </is>
      </c>
    </row>
    <row r="761">
      <c r="A761" t="inlineStr">
        <is>
          <t>Frete de compra</t>
        </is>
      </c>
      <c r="B761" t="inlineStr">
        <is>
          <t>2.02.93 Frete Amostras/Brindes</t>
        </is>
      </c>
      <c r="C761" s="30" t="n">
        <v>46174</v>
      </c>
      <c r="D761" t="inlineStr">
        <is>
          <t>Em 2026</t>
        </is>
      </c>
      <c r="E761" s="28" t="n">
        <v>46184</v>
      </c>
      <c r="F761" t="inlineStr">
        <is>
          <t>CT-e</t>
        </is>
      </c>
      <c r="G761" t="inlineStr">
        <is>
          <t>000082136</t>
        </is>
      </c>
      <c r="H761" t="inlineStr">
        <is>
          <t>GOL LINHAS AEREAS S.A.</t>
        </is>
      </c>
      <c r="J761" s="29" t="n">
        <v>149.46</v>
      </c>
      <c r="K761" s="29">
        <f>(1-ISNUMBER(SEARCH("556",M761)))*(O761*SUMIFS(Premissas!$C$5:$C$44,Premissas!$A$5:$A$44,$A761,Premissas!$B$5:$B$44,$B761)+P761*SUMIFS(Premissas!$D$5:$D$44,Premissas!$A$5:$A$44,$A761,Premissas!$B$5:$B$44,$B761))+R761*SUMIFS(Premissas!$E$5:$E$44,Premissas!$A$5:$A$44,$A761,Premissas!$B$5:$B$44,$B761)+S761*SUMIFS(Premissas!$F$5:$F$44,Premissas!$A$5:$A$44,$A761,Premissas!$B$5:$B$44,$B761)</f>
        <v/>
      </c>
      <c r="L761" s="29">
        <f>J761-K761</f>
        <v/>
      </c>
      <c r="M761" t="inlineStr">
        <is>
          <t>1.350</t>
        </is>
      </c>
      <c r="N761" t="inlineStr">
        <is>
          <t>Transportadora fora da lista de frete de venda, mas pela modalidade a Vinco enviou a carga | Modalidade: 0 - Por conta do remetente | Parte: TWOGUYS COMERCIO DE ALIMENTOS LTDA (61.788.604/0001-39)</t>
        </is>
      </c>
      <c r="O761" s="29" t="n">
        <v>0</v>
      </c>
      <c r="P761" s="29" t="n">
        <v>5.98</v>
      </c>
      <c r="Q761" s="29" t="n">
        <v>0</v>
      </c>
      <c r="R761" s="29" t="n">
        <v>0</v>
      </c>
      <c r="S761" s="29" t="n">
        <v>0</v>
      </c>
      <c r="T761" t="inlineStr">
        <is>
          <t>25260607575651003506570130000821361604302374</t>
        </is>
      </c>
      <c r="U761" t="inlineStr">
        <is>
          <t>Sim</t>
        </is>
      </c>
    </row>
    <row r="762">
      <c r="A762" t="inlineStr">
        <is>
          <t>Frete de compra</t>
        </is>
      </c>
      <c r="B762" t="inlineStr">
        <is>
          <t>2.02.93 Frete Amostras/Brindes</t>
        </is>
      </c>
      <c r="C762" s="30" t="n">
        <v>46174</v>
      </c>
      <c r="D762" t="inlineStr">
        <is>
          <t>Em 2026</t>
        </is>
      </c>
      <c r="E762" s="28" t="n">
        <v>46184</v>
      </c>
      <c r="F762" t="inlineStr">
        <is>
          <t>CT-e</t>
        </is>
      </c>
      <c r="G762" t="inlineStr">
        <is>
          <t>000082137</t>
        </is>
      </c>
      <c r="H762" t="inlineStr">
        <is>
          <t>GOL LINHAS AEREAS S.A.</t>
        </is>
      </c>
      <c r="J762" s="29" t="n">
        <v>132.37</v>
      </c>
      <c r="K762" s="29">
        <f>(1-ISNUMBER(SEARCH("556",M762)))*(O762*SUMIFS(Premissas!$C$5:$C$44,Premissas!$A$5:$A$44,$A762,Premissas!$B$5:$B$44,$B762)+P762*SUMIFS(Premissas!$D$5:$D$44,Premissas!$A$5:$A$44,$A762,Premissas!$B$5:$B$44,$B762))+R762*SUMIFS(Premissas!$E$5:$E$44,Premissas!$A$5:$A$44,$A762,Premissas!$B$5:$B$44,$B762)+S762*SUMIFS(Premissas!$F$5:$F$44,Premissas!$A$5:$A$44,$A762,Premissas!$B$5:$B$44,$B762)</f>
        <v/>
      </c>
      <c r="L762" s="29">
        <f>J762-K762</f>
        <v/>
      </c>
      <c r="M762" t="inlineStr">
        <is>
          <t>1.350</t>
        </is>
      </c>
      <c r="N762" t="inlineStr">
        <is>
          <t>Transportadora fora da lista de frete de venda, mas pela modalidade a Vinco enviou a carga | Modalidade: 0 - Por conta do remetente | Parte: 2 I HAMBURGUERIA LTDA (57.473.089/0001-20)</t>
        </is>
      </c>
      <c r="O762" s="29" t="n">
        <v>0</v>
      </c>
      <c r="P762" s="29" t="n">
        <v>5.29</v>
      </c>
      <c r="Q762" s="29" t="n">
        <v>0</v>
      </c>
      <c r="R762" s="29" t="n">
        <v>0</v>
      </c>
      <c r="S762" s="29" t="n">
        <v>0</v>
      </c>
      <c r="T762" t="inlineStr">
        <is>
          <t>25260607575651003506570130000821371141493500</t>
        </is>
      </c>
      <c r="U762" t="inlineStr">
        <is>
          <t>Sim</t>
        </is>
      </c>
    </row>
    <row r="763">
      <c r="A763" t="inlineStr">
        <is>
          <t>Frete de compra</t>
        </is>
      </c>
      <c r="B763" t="inlineStr">
        <is>
          <t>2.02.93 Frete Amostras/Brindes</t>
        </is>
      </c>
      <c r="C763" s="30" t="n">
        <v>46174</v>
      </c>
      <c r="D763" t="inlineStr">
        <is>
          <t>Em 2026</t>
        </is>
      </c>
      <c r="E763" s="28" t="n">
        <v>46184</v>
      </c>
      <c r="F763" t="inlineStr">
        <is>
          <t>CT-e</t>
        </is>
      </c>
      <c r="G763" t="inlineStr">
        <is>
          <t>000082138</t>
        </is>
      </c>
      <c r="H763" t="inlineStr">
        <is>
          <t>GOL LINHAS AEREAS S.A.</t>
        </is>
      </c>
      <c r="J763" s="29" t="n">
        <v>228.72</v>
      </c>
      <c r="K763" s="29">
        <f>(1-ISNUMBER(SEARCH("556",M763)))*(O763*SUMIFS(Premissas!$C$5:$C$44,Premissas!$A$5:$A$44,$A763,Premissas!$B$5:$B$44,$B763)+P763*SUMIFS(Premissas!$D$5:$D$44,Premissas!$A$5:$A$44,$A763,Premissas!$B$5:$B$44,$B763))+R763*SUMIFS(Premissas!$E$5:$E$44,Premissas!$A$5:$A$44,$A763,Premissas!$B$5:$B$44,$B763)+S763*SUMIFS(Premissas!$F$5:$F$44,Premissas!$A$5:$A$44,$A763,Premissas!$B$5:$B$44,$B763)</f>
        <v/>
      </c>
      <c r="L763" s="29">
        <f>J763-K763</f>
        <v/>
      </c>
      <c r="M763" t="inlineStr">
        <is>
          <t>1.350</t>
        </is>
      </c>
      <c r="N763" t="inlineStr">
        <is>
          <t>Transportadora fora da lista de frete de venda, mas pela modalidade a Vinco enviou a carga | Modalidade: 0 - Por conta do remetente | Parte: I2 HAMBURGUERIA LTDA (54.764.171/0001-16)</t>
        </is>
      </c>
      <c r="O763" s="29" t="n">
        <v>0</v>
      </c>
      <c r="P763" s="29" t="n">
        <v>9.15</v>
      </c>
      <c r="Q763" s="29" t="n">
        <v>0</v>
      </c>
      <c r="R763" s="29" t="n">
        <v>0</v>
      </c>
      <c r="S763" s="29" t="n">
        <v>0</v>
      </c>
      <c r="T763" t="inlineStr">
        <is>
          <t>25260607575651003506570130000821381845731626</t>
        </is>
      </c>
      <c r="U763" t="inlineStr">
        <is>
          <t>Sim</t>
        </is>
      </c>
    </row>
    <row r="764">
      <c r="A764" t="inlineStr">
        <is>
          <t>Frete de compra</t>
        </is>
      </c>
      <c r="B764" t="inlineStr">
        <is>
          <t>2.02.93 Frete Amostras/Brindes</t>
        </is>
      </c>
      <c r="C764" s="30" t="n">
        <v>46174</v>
      </c>
      <c r="D764" t="inlineStr">
        <is>
          <t>Em 2026</t>
        </is>
      </c>
      <c r="E764" s="28" t="n">
        <v>46184</v>
      </c>
      <c r="F764" t="inlineStr">
        <is>
          <t>CT-e</t>
        </is>
      </c>
      <c r="G764" t="inlineStr">
        <is>
          <t>000082139</t>
        </is>
      </c>
      <c r="H764" t="inlineStr">
        <is>
          <t>GOL LINHAS AEREAS S.A.</t>
        </is>
      </c>
      <c r="J764" s="29" t="n">
        <v>485.7</v>
      </c>
      <c r="K764" s="29">
        <f>(1-ISNUMBER(SEARCH("556",M764)))*(O764*SUMIFS(Premissas!$C$5:$C$44,Premissas!$A$5:$A$44,$A764,Premissas!$B$5:$B$44,$B764)+P764*SUMIFS(Premissas!$D$5:$D$44,Premissas!$A$5:$A$44,$A764,Premissas!$B$5:$B$44,$B764))+R764*SUMIFS(Premissas!$E$5:$E$44,Premissas!$A$5:$A$44,$A764,Premissas!$B$5:$B$44,$B764)+S764*SUMIFS(Premissas!$F$5:$F$44,Premissas!$A$5:$A$44,$A764,Premissas!$B$5:$B$44,$B764)</f>
        <v/>
      </c>
      <c r="L764" s="29">
        <f>J764-K764</f>
        <v/>
      </c>
      <c r="M764" t="inlineStr">
        <is>
          <t>1.350</t>
        </is>
      </c>
      <c r="N764" t="inlineStr">
        <is>
          <t>Transportadora fora da lista de frete de venda, mas pela modalidade a Vinco enviou a carga | Modalidade: 0 - Por conta do remetente | Parte: FAT GUYS HAMBURGUERS RIO LTDA (48.498.565/0001-77)</t>
        </is>
      </c>
      <c r="O764" s="29" t="n">
        <v>0</v>
      </c>
      <c r="P764" s="29" t="n">
        <v>19.43</v>
      </c>
      <c r="Q764" s="29" t="n">
        <v>0</v>
      </c>
      <c r="R764" s="29" t="n">
        <v>0</v>
      </c>
      <c r="S764" s="29" t="n">
        <v>0</v>
      </c>
      <c r="T764" t="inlineStr">
        <is>
          <t>25260607575651003506570130000821391600028091</t>
        </is>
      </c>
      <c r="U764" t="inlineStr">
        <is>
          <t>Sim</t>
        </is>
      </c>
    </row>
    <row r="765">
      <c r="A765" t="inlineStr">
        <is>
          <t>Frete de compra</t>
        </is>
      </c>
      <c r="B765" t="inlineStr">
        <is>
          <t>2.02.93 Frete Amostras/Brindes</t>
        </is>
      </c>
      <c r="C765" s="30" t="n">
        <v>46174</v>
      </c>
      <c r="D765" t="inlineStr">
        <is>
          <t>Em 2026</t>
        </is>
      </c>
      <c r="E765" s="28" t="n">
        <v>46184</v>
      </c>
      <c r="F765" t="inlineStr">
        <is>
          <t>CT-e</t>
        </is>
      </c>
      <c r="G765" t="inlineStr">
        <is>
          <t>000082140</t>
        </is>
      </c>
      <c r="H765" t="inlineStr">
        <is>
          <t>GOL LINHAS AEREAS S.A.</t>
        </is>
      </c>
      <c r="J765" s="29" t="n">
        <v>132.37</v>
      </c>
      <c r="K765" s="29">
        <f>(1-ISNUMBER(SEARCH("556",M765)))*(O765*SUMIFS(Premissas!$C$5:$C$44,Premissas!$A$5:$A$44,$A765,Premissas!$B$5:$B$44,$B765)+P765*SUMIFS(Premissas!$D$5:$D$44,Premissas!$A$5:$A$44,$A765,Premissas!$B$5:$B$44,$B765))+R765*SUMIFS(Premissas!$E$5:$E$44,Premissas!$A$5:$A$44,$A765,Premissas!$B$5:$B$44,$B765)+S765*SUMIFS(Premissas!$F$5:$F$44,Premissas!$A$5:$A$44,$A765,Premissas!$B$5:$B$44,$B765)</f>
        <v/>
      </c>
      <c r="L765" s="29">
        <f>J765-K765</f>
        <v/>
      </c>
      <c r="M765" t="inlineStr">
        <is>
          <t>1.350</t>
        </is>
      </c>
      <c r="N765" t="inlineStr">
        <is>
          <t>Transportadora fora da lista de frete de venda, mas pela modalidade a Vinco enviou a carga | Modalidade: 0 - Por conta do remetente | Parte: G7 BURGUER COMERCIO DE ALIMENTOS LTDA (63.231.506/0001-21)</t>
        </is>
      </c>
      <c r="O765" s="29" t="n">
        <v>0</v>
      </c>
      <c r="P765" s="29" t="n">
        <v>5.29</v>
      </c>
      <c r="Q765" s="29" t="n">
        <v>0</v>
      </c>
      <c r="R765" s="29" t="n">
        <v>0</v>
      </c>
      <c r="S765" s="29" t="n">
        <v>0</v>
      </c>
      <c r="T765" t="inlineStr">
        <is>
          <t>25260607575651003506570130000821401212116610</t>
        </is>
      </c>
      <c r="U765" t="inlineStr">
        <is>
          <t>Sim</t>
        </is>
      </c>
    </row>
    <row r="766">
      <c r="A766" t="inlineStr">
        <is>
          <t>Frete de compra</t>
        </is>
      </c>
      <c r="B766" t="inlineStr">
        <is>
          <t>2.02.93 Frete Amostras/Brindes</t>
        </is>
      </c>
      <c r="C766" s="30" t="n">
        <v>46174</v>
      </c>
      <c r="D766" t="inlineStr">
        <is>
          <t>Em 2026</t>
        </is>
      </c>
      <c r="E766" s="28" t="n">
        <v>46188</v>
      </c>
      <c r="F766" t="inlineStr">
        <is>
          <t>CT-e</t>
        </is>
      </c>
      <c r="G766" t="inlineStr">
        <is>
          <t>000082287</t>
        </is>
      </c>
      <c r="H766" t="inlineStr">
        <is>
          <t>GOL LINHAS AEREAS S.A.</t>
        </is>
      </c>
      <c r="J766" s="29" t="n">
        <v>645.74</v>
      </c>
      <c r="K766" s="29">
        <f>(1-ISNUMBER(SEARCH("556",M766)))*(O766*SUMIFS(Premissas!$C$5:$C$44,Premissas!$A$5:$A$44,$A766,Premissas!$B$5:$B$44,$B766)+P766*SUMIFS(Premissas!$D$5:$D$44,Premissas!$A$5:$A$44,$A766,Premissas!$B$5:$B$44,$B766))+R766*SUMIFS(Premissas!$E$5:$E$44,Premissas!$A$5:$A$44,$A766,Premissas!$B$5:$B$44,$B766)+S766*SUMIFS(Premissas!$F$5:$F$44,Premissas!$A$5:$A$44,$A766,Premissas!$B$5:$B$44,$B766)</f>
        <v/>
      </c>
      <c r="L766" s="29">
        <f>J766-K766</f>
        <v/>
      </c>
      <c r="M766" t="inlineStr">
        <is>
          <t>1.350</t>
        </is>
      </c>
      <c r="N766" t="inlineStr">
        <is>
          <t>Transportadora fora da lista de frete de venda, mas pela modalidade a Vinco enviou a carga | Modalidade: 0 - Por conta do remetente | Parte: FAT GUYS FOOD LTDA (59.997.027/0001-43)</t>
        </is>
      </c>
      <c r="O766" s="29" t="n">
        <v>0</v>
      </c>
      <c r="P766" s="29" t="n">
        <v>25.83</v>
      </c>
      <c r="Q766" s="29" t="n">
        <v>0</v>
      </c>
      <c r="R766" s="29" t="n">
        <v>0</v>
      </c>
      <c r="S766" s="29" t="n">
        <v>0</v>
      </c>
      <c r="T766" t="inlineStr">
        <is>
          <t>25260607575651003506570130000822871602104472</t>
        </is>
      </c>
      <c r="U766" t="inlineStr">
        <is>
          <t>Sim</t>
        </is>
      </c>
    </row>
    <row r="767">
      <c r="A767" t="inlineStr">
        <is>
          <t>Frete de compra</t>
        </is>
      </c>
      <c r="B767" t="inlineStr">
        <is>
          <t>2.02.93 Frete Amostras/Brindes</t>
        </is>
      </c>
      <c r="C767" s="30" t="n">
        <v>46204</v>
      </c>
      <c r="D767" t="inlineStr">
        <is>
          <t>Em 2026</t>
        </is>
      </c>
      <c r="E767" s="28" t="n">
        <v>46205</v>
      </c>
      <c r="F767" t="inlineStr">
        <is>
          <t>CT-e</t>
        </is>
      </c>
      <c r="G767" t="inlineStr">
        <is>
          <t>000083012</t>
        </is>
      </c>
      <c r="H767" t="inlineStr">
        <is>
          <t>GOL LINHAS AEREAS S.A.</t>
        </is>
      </c>
      <c r="J767" s="29" t="n">
        <v>263.18</v>
      </c>
      <c r="K767" s="29">
        <f>(1-ISNUMBER(SEARCH("556",M767)))*(O767*SUMIFS(Premissas!$C$5:$C$44,Premissas!$A$5:$A$44,$A767,Premissas!$B$5:$B$44,$B767)+P767*SUMIFS(Premissas!$D$5:$D$44,Premissas!$A$5:$A$44,$A767,Premissas!$B$5:$B$44,$B767))+R767*SUMIFS(Premissas!$E$5:$E$44,Premissas!$A$5:$A$44,$A767,Premissas!$B$5:$B$44,$B767)+S767*SUMIFS(Premissas!$F$5:$F$44,Premissas!$A$5:$A$44,$A767,Premissas!$B$5:$B$44,$B767)</f>
        <v/>
      </c>
      <c r="L767" s="29">
        <f>J767-K767</f>
        <v/>
      </c>
      <c r="M767" t="inlineStr">
        <is>
          <t>1.350</t>
        </is>
      </c>
      <c r="N767" t="inlineStr">
        <is>
          <t>Transportadora fora da lista de frete de venda, mas pela modalidade a Vinco enviou a carga | Modalidade: 0 - Por conta do remetente | Parte: COMERCIAL CAROLINA LTDA (03.939.314/0001-42)</t>
        </is>
      </c>
      <c r="O767" s="29" t="n">
        <v>0</v>
      </c>
      <c r="P767" s="29" t="n">
        <v>10.53</v>
      </c>
      <c r="Q767" s="29" t="n">
        <v>0</v>
      </c>
      <c r="R767" s="29" t="n">
        <v>0</v>
      </c>
      <c r="S767" s="29" t="n">
        <v>0</v>
      </c>
      <c r="T767" t="inlineStr">
        <is>
          <t>25260707575651003506570130000830121291417829</t>
        </is>
      </c>
      <c r="U767" t="inlineStr">
        <is>
          <t>Sim</t>
        </is>
      </c>
    </row>
    <row r="768">
      <c r="A768" t="inlineStr">
        <is>
          <t>Frete de compra</t>
        </is>
      </c>
      <c r="B768" t="inlineStr">
        <is>
          <t>2.02.93 Frete Amostras/Brindes</t>
        </is>
      </c>
      <c r="C768" s="30" t="n">
        <v>46204</v>
      </c>
      <c r="D768" t="inlineStr">
        <is>
          <t>Em 2026</t>
        </is>
      </c>
      <c r="E768" s="28" t="n">
        <v>46205</v>
      </c>
      <c r="F768" t="inlineStr">
        <is>
          <t>CT-e</t>
        </is>
      </c>
      <c r="G768" t="inlineStr">
        <is>
          <t>000083014</t>
        </is>
      </c>
      <c r="H768" t="inlineStr">
        <is>
          <t>GOL LINHAS AEREAS S.A.</t>
        </is>
      </c>
      <c r="J768" s="29" t="n">
        <v>163.94</v>
      </c>
      <c r="K768" s="29">
        <f>(1-ISNUMBER(SEARCH("556",M768)))*(O768*SUMIFS(Premissas!$C$5:$C$44,Premissas!$A$5:$A$44,$A768,Premissas!$B$5:$B$44,$B768)+P768*SUMIFS(Premissas!$D$5:$D$44,Premissas!$A$5:$A$44,$A768,Premissas!$B$5:$B$44,$B768))+R768*SUMIFS(Premissas!$E$5:$E$44,Premissas!$A$5:$A$44,$A768,Premissas!$B$5:$B$44,$B768)+S768*SUMIFS(Premissas!$F$5:$F$44,Premissas!$A$5:$A$44,$A768,Premissas!$B$5:$B$44,$B768)</f>
        <v/>
      </c>
      <c r="L768" s="29">
        <f>J768-K768</f>
        <v/>
      </c>
      <c r="M768" t="inlineStr">
        <is>
          <t>1.350</t>
        </is>
      </c>
      <c r="N768" t="inlineStr">
        <is>
          <t>Transportadora fora da lista de frete de venda, mas pela modalidade a Vinco enviou a carga | Modalidade: 0 - Por conta do remetente | Parte: EDSON DUTRA ZORTEA EDSON DUTRA ZORTEA (154.280.657-70)</t>
        </is>
      </c>
      <c r="O768" s="29" t="n">
        <v>0</v>
      </c>
      <c r="P768" s="29" t="n">
        <v>6.56</v>
      </c>
      <c r="Q768" s="29" t="n">
        <v>0</v>
      </c>
      <c r="R768" s="29" t="n">
        <v>0</v>
      </c>
      <c r="S768" s="29" t="n">
        <v>0</v>
      </c>
      <c r="T768" t="inlineStr">
        <is>
          <t>25260707575651003506570130000830141805612732</t>
        </is>
      </c>
      <c r="U768" t="inlineStr">
        <is>
          <t>Sim</t>
        </is>
      </c>
    </row>
    <row r="769">
      <c r="A769" t="inlineStr">
        <is>
          <t>Frete de compra</t>
        </is>
      </c>
      <c r="B769" t="inlineStr">
        <is>
          <t>2.02.93 Frete Amostras/Brindes</t>
        </is>
      </c>
      <c r="C769" s="30" t="n">
        <v>46204</v>
      </c>
      <c r="D769" t="inlineStr">
        <is>
          <t>Em 2026</t>
        </is>
      </c>
      <c r="E769" s="28" t="n">
        <v>46205</v>
      </c>
      <c r="F769" t="inlineStr">
        <is>
          <t>CT-e</t>
        </is>
      </c>
      <c r="G769" t="inlineStr">
        <is>
          <t>000083016</t>
        </is>
      </c>
      <c r="H769" t="inlineStr">
        <is>
          <t>GOL LINHAS AEREAS S.A.</t>
        </is>
      </c>
      <c r="J769" s="29" t="n">
        <v>193.78</v>
      </c>
      <c r="K769" s="29">
        <f>(1-ISNUMBER(SEARCH("556",M769)))*(O769*SUMIFS(Premissas!$C$5:$C$44,Premissas!$A$5:$A$44,$A769,Premissas!$B$5:$B$44,$B769)+P769*SUMIFS(Premissas!$D$5:$D$44,Premissas!$A$5:$A$44,$A769,Premissas!$B$5:$B$44,$B769))+R769*SUMIFS(Premissas!$E$5:$E$44,Premissas!$A$5:$A$44,$A769,Premissas!$B$5:$B$44,$B769)+S769*SUMIFS(Premissas!$F$5:$F$44,Premissas!$A$5:$A$44,$A769,Premissas!$B$5:$B$44,$B769)</f>
        <v/>
      </c>
      <c r="L769" s="29">
        <f>J769-K769</f>
        <v/>
      </c>
      <c r="M769" t="inlineStr">
        <is>
          <t>1.350</t>
        </is>
      </c>
      <c r="N769" t="inlineStr">
        <is>
          <t>Transportadora fora da lista de frete de venda, mas pela modalidade a Vinco enviou a carga | Modalidade: 0 - Por conta do remetente | Parte: ROGERIO RIBEIRO DE ALMEIDA (612.582.531-00)</t>
        </is>
      </c>
      <c r="O769" s="29" t="n">
        <v>0</v>
      </c>
      <c r="P769" s="29" t="n">
        <v>7.75</v>
      </c>
      <c r="Q769" s="29" t="n">
        <v>0</v>
      </c>
      <c r="R769" s="29" t="n">
        <v>0</v>
      </c>
      <c r="S769" s="29" t="n">
        <v>0</v>
      </c>
      <c r="T769" t="inlineStr">
        <is>
          <t>25260707575651003506570130000830161363882998</t>
        </is>
      </c>
      <c r="U769" t="inlineStr">
        <is>
          <t>Sim</t>
        </is>
      </c>
    </row>
    <row r="770">
      <c r="A770" t="inlineStr">
        <is>
          <t>Frete de compra</t>
        </is>
      </c>
      <c r="B770" t="inlineStr">
        <is>
          <t>2.02.93 Frete Amostras/Brindes</t>
        </is>
      </c>
      <c r="C770" s="30" t="n">
        <v>46204</v>
      </c>
      <c r="D770" t="inlineStr">
        <is>
          <t>Em 2026</t>
        </is>
      </c>
      <c r="E770" s="28" t="n">
        <v>46205</v>
      </c>
      <c r="F770" t="inlineStr">
        <is>
          <t>CT-e</t>
        </is>
      </c>
      <c r="G770" t="inlineStr">
        <is>
          <t>000083018</t>
        </is>
      </c>
      <c r="H770" t="inlineStr">
        <is>
          <t>GOL LINHAS AEREAS S.A.</t>
        </is>
      </c>
      <c r="J770" s="29" t="n">
        <v>113.98</v>
      </c>
      <c r="K770" s="29">
        <f>(1-ISNUMBER(SEARCH("556",M770)))*(O770*SUMIFS(Premissas!$C$5:$C$44,Premissas!$A$5:$A$44,$A770,Premissas!$B$5:$B$44,$B770)+P770*SUMIFS(Premissas!$D$5:$D$44,Premissas!$A$5:$A$44,$A770,Premissas!$B$5:$B$44,$B770))+R770*SUMIFS(Premissas!$E$5:$E$44,Premissas!$A$5:$A$44,$A770,Premissas!$B$5:$B$44,$B770)+S770*SUMIFS(Premissas!$F$5:$F$44,Premissas!$A$5:$A$44,$A770,Premissas!$B$5:$B$44,$B770)</f>
        <v/>
      </c>
      <c r="L770" s="29">
        <f>J770-K770</f>
        <v/>
      </c>
      <c r="M770" t="inlineStr">
        <is>
          <t>1.350</t>
        </is>
      </c>
      <c r="N770" t="inlineStr">
        <is>
          <t>Transportadora fora da lista de frete de venda, mas pela modalidade a Vinco enviou a carga | Modalidade: 0 - Por conta do remetente | Parte: ALMIR VIEIRA DA SILVA FILHO (450.716.163-00)</t>
        </is>
      </c>
      <c r="O770" s="29" t="n">
        <v>0</v>
      </c>
      <c r="P770" s="29" t="n">
        <v>4.56</v>
      </c>
      <c r="Q770" s="29" t="n">
        <v>0</v>
      </c>
      <c r="R770" s="29" t="n">
        <v>0</v>
      </c>
      <c r="S770" s="29" t="n">
        <v>0</v>
      </c>
      <c r="T770" t="inlineStr">
        <is>
          <t>25260707575651003506570130000830181778089964</t>
        </is>
      </c>
      <c r="U770" t="inlineStr">
        <is>
          <t>Sim</t>
        </is>
      </c>
    </row>
    <row r="771">
      <c r="A771" t="inlineStr">
        <is>
          <t>Frete de compra</t>
        </is>
      </c>
      <c r="B771" t="inlineStr">
        <is>
          <t>2.02.93 Frete Amostras/Brindes</t>
        </is>
      </c>
      <c r="C771" s="30" t="n">
        <v>46204</v>
      </c>
      <c r="D771" t="inlineStr">
        <is>
          <t>Em 2026</t>
        </is>
      </c>
      <c r="E771" s="28" t="n">
        <v>46205</v>
      </c>
      <c r="F771" t="inlineStr">
        <is>
          <t>CT-e</t>
        </is>
      </c>
      <c r="G771" t="inlineStr">
        <is>
          <t>000083020</t>
        </is>
      </c>
      <c r="H771" t="inlineStr">
        <is>
          <t>GOL LINHAS AEREAS S.A.</t>
        </is>
      </c>
      <c r="J771" s="29" t="n">
        <v>151.18</v>
      </c>
      <c r="K771" s="29">
        <f>(1-ISNUMBER(SEARCH("556",M771)))*(O771*SUMIFS(Premissas!$C$5:$C$44,Premissas!$A$5:$A$44,$A771,Premissas!$B$5:$B$44,$B771)+P771*SUMIFS(Premissas!$D$5:$D$44,Premissas!$A$5:$A$44,$A771,Premissas!$B$5:$B$44,$B771))+R771*SUMIFS(Premissas!$E$5:$E$44,Premissas!$A$5:$A$44,$A771,Premissas!$B$5:$B$44,$B771)+S771*SUMIFS(Premissas!$F$5:$F$44,Premissas!$A$5:$A$44,$A771,Premissas!$B$5:$B$44,$B771)</f>
        <v/>
      </c>
      <c r="L771" s="29">
        <f>J771-K771</f>
        <v/>
      </c>
      <c r="M771" t="inlineStr">
        <is>
          <t>1.350</t>
        </is>
      </c>
      <c r="N771" t="inlineStr">
        <is>
          <t>Transportadora fora da lista de frete de venda, mas pela modalidade a Vinco enviou a carga | Modalidade: 0 - Por conta do remetente | Parte: ALEX HOSSAN FERREIRA LIMA (406.245.283-91)</t>
        </is>
      </c>
      <c r="O771" s="29" t="n">
        <v>0</v>
      </c>
      <c r="P771" s="29" t="n">
        <v>6.05</v>
      </c>
      <c r="Q771" s="29" t="n">
        <v>0</v>
      </c>
      <c r="R771" s="29" t="n">
        <v>0</v>
      </c>
      <c r="S771" s="29" t="n">
        <v>0</v>
      </c>
      <c r="T771" t="inlineStr">
        <is>
          <t>25260707575651003506570130000830201578613579</t>
        </is>
      </c>
      <c r="U771" t="inlineStr">
        <is>
          <t>Sim</t>
        </is>
      </c>
    </row>
    <row r="772">
      <c r="A772" t="inlineStr">
        <is>
          <t>Frete de compra</t>
        </is>
      </c>
      <c r="B772" t="inlineStr">
        <is>
          <t>2.02.93 Frete Amostras/Brindes</t>
        </is>
      </c>
      <c r="C772" s="30" t="n">
        <v>46204</v>
      </c>
      <c r="D772" t="inlineStr">
        <is>
          <t>Em 2026</t>
        </is>
      </c>
      <c r="E772" s="28" t="n">
        <v>46205</v>
      </c>
      <c r="F772" t="inlineStr">
        <is>
          <t>CT-e</t>
        </is>
      </c>
      <c r="G772" t="inlineStr">
        <is>
          <t>000083022</t>
        </is>
      </c>
      <c r="H772" t="inlineStr">
        <is>
          <t>GOL LINHAS AEREAS S.A.</t>
        </is>
      </c>
      <c r="J772" s="29" t="n">
        <v>233.79</v>
      </c>
      <c r="K772" s="29">
        <f>(1-ISNUMBER(SEARCH("556",M772)))*(O772*SUMIFS(Premissas!$C$5:$C$44,Premissas!$A$5:$A$44,$A772,Premissas!$B$5:$B$44,$B772)+P772*SUMIFS(Premissas!$D$5:$D$44,Premissas!$A$5:$A$44,$A772,Premissas!$B$5:$B$44,$B772))+R772*SUMIFS(Premissas!$E$5:$E$44,Premissas!$A$5:$A$44,$A772,Premissas!$B$5:$B$44,$B772)+S772*SUMIFS(Premissas!$F$5:$F$44,Premissas!$A$5:$A$44,$A772,Premissas!$B$5:$B$44,$B772)</f>
        <v/>
      </c>
      <c r="L772" s="29">
        <f>J772-K772</f>
        <v/>
      </c>
      <c r="M772" t="inlineStr">
        <is>
          <t>1.350</t>
        </is>
      </c>
      <c r="N772" t="inlineStr">
        <is>
          <t>Transportadora fora da lista de frete de venda, mas pela modalidade a Vinco enviou a carga | Modalidade: 0 - Por conta do remetente | Parte: PIMENTEL e COBUCCI REPRESENTACOES LTDA (66.956.631/0001-97)</t>
        </is>
      </c>
      <c r="O772" s="29" t="n">
        <v>0</v>
      </c>
      <c r="P772" s="29" t="n">
        <v>9.35</v>
      </c>
      <c r="Q772" s="29" t="n">
        <v>0</v>
      </c>
      <c r="R772" s="29" t="n">
        <v>0</v>
      </c>
      <c r="S772" s="29" t="n">
        <v>0</v>
      </c>
      <c r="T772" t="inlineStr">
        <is>
          <t>25260707575651003506570130000830221809644126</t>
        </is>
      </c>
      <c r="U772" t="inlineStr">
        <is>
          <t>Sim</t>
        </is>
      </c>
    </row>
    <row r="773">
      <c r="A773" t="inlineStr">
        <is>
          <t>Frete de compra</t>
        </is>
      </c>
      <c r="B773" t="inlineStr">
        <is>
          <t>2.02.93 Frete Amostras/Brindes</t>
        </is>
      </c>
      <c r="C773" s="30" t="n">
        <v>46204</v>
      </c>
      <c r="D773" t="inlineStr">
        <is>
          <t>Em 2026</t>
        </is>
      </c>
      <c r="E773" s="28" t="n">
        <v>46205</v>
      </c>
      <c r="F773" t="inlineStr">
        <is>
          <t>CT-e</t>
        </is>
      </c>
      <c r="G773" t="inlineStr">
        <is>
          <t>000083023</t>
        </is>
      </c>
      <c r="H773" t="inlineStr">
        <is>
          <t>GOL LINHAS AEREAS S.A.</t>
        </is>
      </c>
      <c r="J773" s="29" t="n">
        <v>241.72</v>
      </c>
      <c r="K773" s="29">
        <f>(1-ISNUMBER(SEARCH("556",M773)))*(O773*SUMIFS(Premissas!$C$5:$C$44,Premissas!$A$5:$A$44,$A773,Premissas!$B$5:$B$44,$B773)+P773*SUMIFS(Premissas!$D$5:$D$44,Premissas!$A$5:$A$44,$A773,Premissas!$B$5:$B$44,$B773))+R773*SUMIFS(Premissas!$E$5:$E$44,Premissas!$A$5:$A$44,$A773,Premissas!$B$5:$B$44,$B773)+S773*SUMIFS(Premissas!$F$5:$F$44,Premissas!$A$5:$A$44,$A773,Premissas!$B$5:$B$44,$B773)</f>
        <v/>
      </c>
      <c r="L773" s="29">
        <f>J773-K773</f>
        <v/>
      </c>
      <c r="M773" t="inlineStr">
        <is>
          <t>1.350</t>
        </is>
      </c>
      <c r="N773" t="inlineStr">
        <is>
          <t>Transportadora fora da lista de frete de venda, mas pela modalidade a Vinco enviou a carga | Modalidade: 0 - Por conta do remetente | Parte: PAULO ROBERTO SILVERIO (392.294.679-87)</t>
        </is>
      </c>
      <c r="O773" s="29" t="n">
        <v>0</v>
      </c>
      <c r="P773" s="29" t="n">
        <v>9.67</v>
      </c>
      <c r="Q773" s="29" t="n">
        <v>0</v>
      </c>
      <c r="R773" s="29" t="n">
        <v>0</v>
      </c>
      <c r="S773" s="29" t="n">
        <v>0</v>
      </c>
      <c r="T773" t="inlineStr">
        <is>
          <t>25260707575651003506570130000830231715769496</t>
        </is>
      </c>
      <c r="U773" t="inlineStr">
        <is>
          <t>Sim</t>
        </is>
      </c>
    </row>
    <row r="774">
      <c r="A774" t="inlineStr">
        <is>
          <t>Frete de compra</t>
        </is>
      </c>
      <c r="B774" t="inlineStr">
        <is>
          <t>2.04.87 Frete sobre Compra</t>
        </is>
      </c>
      <c r="C774" t="inlineStr">
        <is>
          <t>Antes de 2026</t>
        </is>
      </c>
      <c r="D774" t="inlineStr">
        <is>
          <t>Antes de 2026</t>
        </is>
      </c>
      <c r="E774" s="28" t="n">
        <v>45631</v>
      </c>
      <c r="F774" t="inlineStr">
        <is>
          <t>CT-e</t>
        </is>
      </c>
      <c r="G774" t="inlineStr">
        <is>
          <t>000000606</t>
        </is>
      </c>
      <c r="H774" t="inlineStr">
        <is>
          <t>ALIANCA NAVEGACAO E LOGISTICA LTDA</t>
        </is>
      </c>
      <c r="J774" s="29" t="n">
        <v>1250</v>
      </c>
      <c r="K774" s="29">
        <f>(1-ISNUMBER(SEARCH("556",M774)))*(O774*SUMIFS(Premissas!$C$5:$C$44,Premissas!$A$5:$A$44,$A774,Premissas!$B$5:$B$44,$B774)+P774*SUMIFS(Premissas!$D$5:$D$44,Premissas!$A$5:$A$44,$A774,Premissas!$B$5:$B$44,$B774))+R774*SUMIFS(Premissas!$E$5:$E$44,Premissas!$A$5:$A$44,$A774,Premissas!$B$5:$B$44,$B774)+S774*SUMIFS(Premissas!$F$5:$F$44,Premissas!$A$5:$A$44,$A774,Premissas!$B$5:$B$44,$B774)</f>
        <v/>
      </c>
      <c r="L774" s="29">
        <f>J774-K774</f>
        <v/>
      </c>
      <c r="M774" t="inlineStr">
        <is>
          <t>2.350</t>
        </is>
      </c>
      <c r="N774" t="inlineStr">
        <is>
          <t>Transportadora fora da lista de frete de venda, mas pela modalidade a Vinco enviou a carga | Modalidade: 0 - Por conta do remetente | Parte: NOVA CONPEL COMPANHIA NORDESTINA DE PAPEL LTDA (55.330.530/0001-90)</t>
        </is>
      </c>
      <c r="O774" s="29" t="n">
        <v>0</v>
      </c>
      <c r="P774" s="29" t="n">
        <v>0</v>
      </c>
      <c r="Q774" s="29" t="n">
        <v>250</v>
      </c>
      <c r="R774" s="29" t="n">
        <v>0</v>
      </c>
      <c r="S774" s="29" t="n">
        <v>0</v>
      </c>
      <c r="T774" t="inlineStr">
        <is>
          <t>26241202427026001541570030000006061000060696</t>
        </is>
      </c>
      <c r="U774" t="inlineStr">
        <is>
          <t>Não</t>
        </is>
      </c>
    </row>
    <row r="775">
      <c r="A775" t="inlineStr">
        <is>
          <t>Frete de compra</t>
        </is>
      </c>
      <c r="B775" t="inlineStr">
        <is>
          <t>2.04.87 Frete sobre Compra</t>
        </is>
      </c>
      <c r="C775" t="inlineStr">
        <is>
          <t>Antes de 2026</t>
        </is>
      </c>
      <c r="D775" t="inlineStr">
        <is>
          <t>Antes de 2026</t>
        </is>
      </c>
      <c r="E775" s="28" t="n">
        <v>45547</v>
      </c>
      <c r="F775" t="inlineStr">
        <is>
          <t>CT-e</t>
        </is>
      </c>
      <c r="G775" t="inlineStr">
        <is>
          <t>000033709</t>
        </is>
      </c>
      <c r="H775" t="inlineStr">
        <is>
          <t>ALIANCA NAVEGACAO E LOGISTICA LTDA</t>
        </is>
      </c>
      <c r="J775" s="29" t="n">
        <v>15382.48</v>
      </c>
      <c r="K775" s="29">
        <f>(1-ISNUMBER(SEARCH("556",M775)))*(O775*SUMIFS(Premissas!$C$5:$C$44,Premissas!$A$5:$A$44,$A775,Premissas!$B$5:$B$44,$B775)+P775*SUMIFS(Premissas!$D$5:$D$44,Premissas!$A$5:$A$44,$A775,Premissas!$B$5:$B$44,$B775))+R775*SUMIFS(Premissas!$E$5:$E$44,Premissas!$A$5:$A$44,$A775,Premissas!$B$5:$B$44,$B775)+S775*SUMIFS(Premissas!$F$5:$F$44,Premissas!$A$5:$A$44,$A775,Premissas!$B$5:$B$44,$B775)</f>
        <v/>
      </c>
      <c r="L775" s="29">
        <f>J775-K775</f>
        <v/>
      </c>
      <c r="M775" t="inlineStr">
        <is>
          <t>2.350</t>
        </is>
      </c>
      <c r="N775" t="inlineStr">
        <is>
          <t>Modalidade: 1 - Por conta do destinatário | Parte: COCELPA CIA DE CEL. E PAPEL DO PARANA SA (76.487.651/0001-10)</t>
        </is>
      </c>
      <c r="O775" s="29" t="n">
        <v>0</v>
      </c>
      <c r="P775" s="29" t="n">
        <v>1076.77</v>
      </c>
      <c r="Q775" s="29" t="n">
        <v>0</v>
      </c>
      <c r="R775" s="29" t="n">
        <v>0</v>
      </c>
      <c r="S775" s="29" t="n">
        <v>0</v>
      </c>
      <c r="T775" t="inlineStr">
        <is>
          <t>41240902427026002432570040000337091003370998</t>
        </is>
      </c>
      <c r="U775" t="inlineStr">
        <is>
          <t>Não</t>
        </is>
      </c>
    </row>
    <row r="776">
      <c r="A776" t="inlineStr">
        <is>
          <t>Frete de compra</t>
        </is>
      </c>
      <c r="B776" t="inlineStr">
        <is>
          <t>2.04.87 Frete sobre Compra</t>
        </is>
      </c>
      <c r="C776" t="inlineStr">
        <is>
          <t>Antes de 2026</t>
        </is>
      </c>
      <c r="D776" t="inlineStr">
        <is>
          <t>Antes de 2026</t>
        </is>
      </c>
      <c r="E776" s="28" t="n">
        <v>45547</v>
      </c>
      <c r="F776" t="inlineStr">
        <is>
          <t>CT-e</t>
        </is>
      </c>
      <c r="G776" t="inlineStr">
        <is>
          <t>000033722</t>
        </is>
      </c>
      <c r="H776" t="inlineStr">
        <is>
          <t>ALIANCA NAVEGACAO E LOGISTICA LTDA</t>
        </is>
      </c>
      <c r="J776" s="29" t="n">
        <v>15387.11</v>
      </c>
      <c r="K776" s="29">
        <f>(1-ISNUMBER(SEARCH("556",M776)))*(O776*SUMIFS(Premissas!$C$5:$C$44,Premissas!$A$5:$A$44,$A776,Premissas!$B$5:$B$44,$B776)+P776*SUMIFS(Premissas!$D$5:$D$44,Premissas!$A$5:$A$44,$A776,Premissas!$B$5:$B$44,$B776))+R776*SUMIFS(Premissas!$E$5:$E$44,Premissas!$A$5:$A$44,$A776,Premissas!$B$5:$B$44,$B776)+S776*SUMIFS(Premissas!$F$5:$F$44,Premissas!$A$5:$A$44,$A776,Premissas!$B$5:$B$44,$B776)</f>
        <v/>
      </c>
      <c r="L776" s="29">
        <f>J776-K776</f>
        <v/>
      </c>
      <c r="M776" t="inlineStr">
        <is>
          <t>2.350</t>
        </is>
      </c>
      <c r="N776" t="inlineStr">
        <is>
          <t>Modalidade: 1 - Por conta do destinatário | Parte: COCELPA CIA DE CEL. E PAPEL DO PARANA SA (76.487.651/0001-10)</t>
        </is>
      </c>
      <c r="O776" s="29" t="n">
        <v>0</v>
      </c>
      <c r="P776" s="29" t="n">
        <v>1077.1</v>
      </c>
      <c r="Q776" s="29" t="n">
        <v>0</v>
      </c>
      <c r="R776" s="29" t="n">
        <v>0</v>
      </c>
      <c r="S776" s="29" t="n">
        <v>0</v>
      </c>
      <c r="T776" t="inlineStr">
        <is>
          <t>41240902427026002432570040000337221003372291</t>
        </is>
      </c>
      <c r="U776" t="inlineStr">
        <is>
          <t>Não</t>
        </is>
      </c>
    </row>
    <row r="777">
      <c r="A777" t="inlineStr">
        <is>
          <t>Frete de compra</t>
        </is>
      </c>
      <c r="B777" t="inlineStr">
        <is>
          <t>2.04.87 Frete sobre Compra</t>
        </is>
      </c>
      <c r="C777" t="inlineStr">
        <is>
          <t>Antes de 2026</t>
        </is>
      </c>
      <c r="D777" t="inlineStr">
        <is>
          <t>Antes de 2026</t>
        </is>
      </c>
      <c r="E777" s="28" t="n">
        <v>45547</v>
      </c>
      <c r="F777" t="inlineStr">
        <is>
          <t>CT-e</t>
        </is>
      </c>
      <c r="G777" t="inlineStr">
        <is>
          <t>000033727</t>
        </is>
      </c>
      <c r="H777" t="inlineStr">
        <is>
          <t>ALIANCA NAVEGACAO E LOGISTICA LTDA</t>
        </is>
      </c>
      <c r="J777" s="29" t="n">
        <v>15385.23</v>
      </c>
      <c r="K777" s="29">
        <f>(1-ISNUMBER(SEARCH("556",M777)))*(O777*SUMIFS(Premissas!$C$5:$C$44,Premissas!$A$5:$A$44,$A777,Premissas!$B$5:$B$44,$B777)+P777*SUMIFS(Premissas!$D$5:$D$44,Premissas!$A$5:$A$44,$A777,Premissas!$B$5:$B$44,$B777))+R777*SUMIFS(Premissas!$E$5:$E$44,Premissas!$A$5:$A$44,$A777,Premissas!$B$5:$B$44,$B777)+S777*SUMIFS(Premissas!$F$5:$F$44,Premissas!$A$5:$A$44,$A777,Premissas!$B$5:$B$44,$B777)</f>
        <v/>
      </c>
      <c r="L777" s="29">
        <f>J777-K777</f>
        <v/>
      </c>
      <c r="M777" t="inlineStr">
        <is>
          <t>2.350</t>
        </is>
      </c>
      <c r="N777" t="inlineStr">
        <is>
          <t>Modalidade: 1 - Por conta do destinatário | Parte: COCELPA CIA DE CEL. E PAPEL DO PARANA SA (76.487.651/0001-10)</t>
        </is>
      </c>
      <c r="O777" s="29" t="n">
        <v>0</v>
      </c>
      <c r="P777" s="29" t="n">
        <v>1076.97</v>
      </c>
      <c r="Q777" s="29" t="n">
        <v>0</v>
      </c>
      <c r="R777" s="29" t="n">
        <v>0</v>
      </c>
      <c r="S777" s="29" t="n">
        <v>0</v>
      </c>
      <c r="T777" t="inlineStr">
        <is>
          <t>41240902427026002432570040000337271003372794</t>
        </is>
      </c>
      <c r="U777" t="inlineStr">
        <is>
          <t>Não</t>
        </is>
      </c>
    </row>
    <row r="778">
      <c r="A778" t="inlineStr">
        <is>
          <t>Frete de compra</t>
        </is>
      </c>
      <c r="B778" t="inlineStr">
        <is>
          <t>2.04.87 Frete sobre Compra</t>
        </is>
      </c>
      <c r="C778" t="inlineStr">
        <is>
          <t>Antes de 2026</t>
        </is>
      </c>
      <c r="D778" t="inlineStr">
        <is>
          <t>Antes de 2026</t>
        </is>
      </c>
      <c r="E778" s="28" t="n">
        <v>45555</v>
      </c>
      <c r="F778" t="inlineStr">
        <is>
          <t>CT-e</t>
        </is>
      </c>
      <c r="G778" t="inlineStr">
        <is>
          <t>000033844</t>
        </is>
      </c>
      <c r="H778" t="inlineStr">
        <is>
          <t>ALIANCA NAVEGACAO E LOGISTICA LTDA</t>
        </is>
      </c>
      <c r="J778" s="29" t="n">
        <v>86.13</v>
      </c>
      <c r="K778" s="29">
        <f>(1-ISNUMBER(SEARCH("556",M778)))*(O778*SUMIFS(Premissas!$C$5:$C$44,Premissas!$A$5:$A$44,$A778,Premissas!$B$5:$B$44,$B778)+P778*SUMIFS(Premissas!$D$5:$D$44,Premissas!$A$5:$A$44,$A778,Premissas!$B$5:$B$44,$B778))+R778*SUMIFS(Premissas!$E$5:$E$44,Premissas!$A$5:$A$44,$A778,Premissas!$B$5:$B$44,$B778)+S778*SUMIFS(Premissas!$F$5:$F$44,Premissas!$A$5:$A$44,$A778,Premissas!$B$5:$B$44,$B778)</f>
        <v/>
      </c>
      <c r="L778" s="29">
        <f>J778-K778</f>
        <v/>
      </c>
      <c r="M778" t="inlineStr">
        <is>
          <t>2.350</t>
        </is>
      </c>
      <c r="N778" t="inlineStr">
        <is>
          <t>Modalidade: 1 - Por conta do destinatário | Parte: COCELPA CIA DE CEL. E PAPEL DO PARANA SA (76.487.651/0001-10)</t>
        </is>
      </c>
      <c r="O778" s="29" t="n">
        <v>0</v>
      </c>
      <c r="P778" s="29" t="n">
        <v>6.03</v>
      </c>
      <c r="Q778" s="29" t="n">
        <v>0</v>
      </c>
      <c r="R778" s="29" t="n">
        <v>0</v>
      </c>
      <c r="S778" s="29" t="n">
        <v>0</v>
      </c>
      <c r="T778" t="inlineStr">
        <is>
          <t>41240902427026002432570040000338441003384497</t>
        </is>
      </c>
      <c r="U778" t="inlineStr">
        <is>
          <t>Não</t>
        </is>
      </c>
    </row>
    <row r="779">
      <c r="A779" t="inlineStr">
        <is>
          <t>Frete de compra</t>
        </is>
      </c>
      <c r="B779" t="inlineStr">
        <is>
          <t>2.04.87 Frete sobre Compra</t>
        </is>
      </c>
      <c r="C779" t="inlineStr">
        <is>
          <t>Antes de 2026</t>
        </is>
      </c>
      <c r="D779" t="inlineStr">
        <is>
          <t>Antes de 2026</t>
        </is>
      </c>
      <c r="E779" s="28" t="n">
        <v>45575</v>
      </c>
      <c r="F779" t="inlineStr">
        <is>
          <t>CT-e</t>
        </is>
      </c>
      <c r="G779" t="inlineStr">
        <is>
          <t>000034186</t>
        </is>
      </c>
      <c r="H779" t="inlineStr">
        <is>
          <t>ALIANCA NAVEGACAO E LOGISTICA LTDA</t>
        </is>
      </c>
      <c r="J779" s="29" t="n">
        <v>15378.66</v>
      </c>
      <c r="K779" s="29">
        <f>(1-ISNUMBER(SEARCH("556",M779)))*(O779*SUMIFS(Premissas!$C$5:$C$44,Premissas!$A$5:$A$44,$A779,Premissas!$B$5:$B$44,$B779)+P779*SUMIFS(Premissas!$D$5:$D$44,Premissas!$A$5:$A$44,$A779,Premissas!$B$5:$B$44,$B779))+R779*SUMIFS(Premissas!$E$5:$E$44,Premissas!$A$5:$A$44,$A779,Premissas!$B$5:$B$44,$B779)+S779*SUMIFS(Premissas!$F$5:$F$44,Premissas!$A$5:$A$44,$A779,Premissas!$B$5:$B$44,$B779)</f>
        <v/>
      </c>
      <c r="L779" s="29">
        <f>J779-K779</f>
        <v/>
      </c>
      <c r="M779" t="inlineStr">
        <is>
          <t>2.350</t>
        </is>
      </c>
      <c r="N779" t="inlineStr">
        <is>
          <t>Modalidade: 1 - Por conta do destinatário | Parte: COCELPA CIA DE CEL. E PAPEL DO PARANA SA (76.487.651/0001-10)</t>
        </is>
      </c>
      <c r="O779" s="29" t="n">
        <v>0</v>
      </c>
      <c r="P779" s="29" t="n">
        <v>1076.51</v>
      </c>
      <c r="Q779" s="29" t="n">
        <v>0</v>
      </c>
      <c r="R779" s="29" t="n">
        <v>0</v>
      </c>
      <c r="S779" s="29" t="n">
        <v>0</v>
      </c>
      <c r="T779" t="inlineStr">
        <is>
          <t>41241002427026002432570040000341861003418690</t>
        </is>
      </c>
      <c r="U779" t="inlineStr">
        <is>
          <t>Não</t>
        </is>
      </c>
    </row>
    <row r="780">
      <c r="A780" t="inlineStr">
        <is>
          <t>Frete de compra</t>
        </is>
      </c>
      <c r="B780" t="inlineStr">
        <is>
          <t>2.04.87 Frete sobre Compra</t>
        </is>
      </c>
      <c r="C780" t="inlineStr">
        <is>
          <t>Antes de 2026</t>
        </is>
      </c>
      <c r="D780" t="inlineStr">
        <is>
          <t>Antes de 2026</t>
        </is>
      </c>
      <c r="E780" s="28" t="n">
        <v>45575</v>
      </c>
      <c r="F780" t="inlineStr">
        <is>
          <t>CT-e</t>
        </is>
      </c>
      <c r="G780" t="inlineStr">
        <is>
          <t>000034187</t>
        </is>
      </c>
      <c r="H780" t="inlineStr">
        <is>
          <t>ALIANCA NAVEGACAO E LOGISTICA LTDA</t>
        </is>
      </c>
      <c r="J780" s="29" t="n">
        <v>15423.9</v>
      </c>
      <c r="K780" s="29">
        <f>(1-ISNUMBER(SEARCH("556",M780)))*(O780*SUMIFS(Premissas!$C$5:$C$44,Premissas!$A$5:$A$44,$A780,Premissas!$B$5:$B$44,$B780)+P780*SUMIFS(Premissas!$D$5:$D$44,Premissas!$A$5:$A$44,$A780,Premissas!$B$5:$B$44,$B780))+R780*SUMIFS(Premissas!$E$5:$E$44,Premissas!$A$5:$A$44,$A780,Premissas!$B$5:$B$44,$B780)+S780*SUMIFS(Premissas!$F$5:$F$44,Premissas!$A$5:$A$44,$A780,Premissas!$B$5:$B$44,$B780)</f>
        <v/>
      </c>
      <c r="L780" s="29">
        <f>J780-K780</f>
        <v/>
      </c>
      <c r="M780" t="inlineStr">
        <is>
          <t>2.350</t>
        </is>
      </c>
      <c r="N780" t="inlineStr">
        <is>
          <t>Modalidade: 1 - Por conta do destinatário | Parte: COCELPA CIA DE CEL. E PAPEL DO PARANA SA (76.487.651/0001-10)</t>
        </is>
      </c>
      <c r="O780" s="29" t="n">
        <v>0</v>
      </c>
      <c r="P780" s="29" t="n">
        <v>1079.67</v>
      </c>
      <c r="Q780" s="29" t="n">
        <v>0</v>
      </c>
      <c r="R780" s="29" t="n">
        <v>0</v>
      </c>
      <c r="S780" s="29" t="n">
        <v>0</v>
      </c>
      <c r="T780" t="inlineStr">
        <is>
          <t>41241002427026002432570040000341871003418794</t>
        </is>
      </c>
      <c r="U780" t="inlineStr">
        <is>
          <t>Não</t>
        </is>
      </c>
    </row>
    <row r="781">
      <c r="A781" t="inlineStr">
        <is>
          <t>Frete de compra</t>
        </is>
      </c>
      <c r="B781" t="inlineStr">
        <is>
          <t>2.04.87 Frete sobre Compra</t>
        </is>
      </c>
      <c r="C781" t="inlineStr">
        <is>
          <t>Antes de 2026</t>
        </is>
      </c>
      <c r="D781" t="inlineStr">
        <is>
          <t>Antes de 2026</t>
        </is>
      </c>
      <c r="E781" s="28" t="n">
        <v>45575</v>
      </c>
      <c r="F781" t="inlineStr">
        <is>
          <t>CT-e</t>
        </is>
      </c>
      <c r="G781" t="inlineStr">
        <is>
          <t>000034188</t>
        </is>
      </c>
      <c r="H781" t="inlineStr">
        <is>
          <t>ALIANCA NAVEGACAO E LOGISTICA LTDA</t>
        </is>
      </c>
      <c r="J781" s="29" t="n">
        <v>15400.46</v>
      </c>
      <c r="K781" s="29">
        <f>(1-ISNUMBER(SEARCH("556",M781)))*(O781*SUMIFS(Premissas!$C$5:$C$44,Premissas!$A$5:$A$44,$A781,Premissas!$B$5:$B$44,$B781)+P781*SUMIFS(Premissas!$D$5:$D$44,Premissas!$A$5:$A$44,$A781,Premissas!$B$5:$B$44,$B781))+R781*SUMIFS(Premissas!$E$5:$E$44,Premissas!$A$5:$A$44,$A781,Premissas!$B$5:$B$44,$B781)+S781*SUMIFS(Premissas!$F$5:$F$44,Premissas!$A$5:$A$44,$A781,Premissas!$B$5:$B$44,$B781)</f>
        <v/>
      </c>
      <c r="L781" s="29">
        <f>J781-K781</f>
        <v/>
      </c>
      <c r="M781" t="inlineStr">
        <is>
          <t>2.350</t>
        </is>
      </c>
      <c r="N781" t="inlineStr">
        <is>
          <t>Modalidade: 1 - Por conta do destinatário | Parte: COCELPA CIA DE CEL. E PAPEL DO PARANA SA (76.487.651/0001-10)</t>
        </is>
      </c>
      <c r="O781" s="29" t="n">
        <v>0</v>
      </c>
      <c r="P781" s="29" t="n">
        <v>1078.03</v>
      </c>
      <c r="Q781" s="29" t="n">
        <v>0</v>
      </c>
      <c r="R781" s="29" t="n">
        <v>0</v>
      </c>
      <c r="S781" s="29" t="n">
        <v>0</v>
      </c>
      <c r="T781" t="inlineStr">
        <is>
          <t>41241002427026002432570040000341881003418899</t>
        </is>
      </c>
      <c r="U781" t="inlineStr">
        <is>
          <t>Não</t>
        </is>
      </c>
    </row>
    <row r="782">
      <c r="A782" t="inlineStr">
        <is>
          <t>Frete de compra</t>
        </is>
      </c>
      <c r="B782" t="inlineStr">
        <is>
          <t>2.04.87 Frete sobre Compra</t>
        </is>
      </c>
      <c r="C782" t="inlineStr">
        <is>
          <t>Antes de 2026</t>
        </is>
      </c>
      <c r="D782" t="inlineStr">
        <is>
          <t>Antes de 2026</t>
        </is>
      </c>
      <c r="E782" s="28" t="n">
        <v>45575</v>
      </c>
      <c r="F782" t="inlineStr">
        <is>
          <t>CT-e</t>
        </is>
      </c>
      <c r="G782" t="inlineStr">
        <is>
          <t>000034189</t>
        </is>
      </c>
      <c r="H782" t="inlineStr">
        <is>
          <t>ALIANCA NAVEGACAO E LOGISTICA LTDA</t>
        </is>
      </c>
      <c r="J782" s="29" t="n">
        <v>15424.84</v>
      </c>
      <c r="K782" s="29">
        <f>(1-ISNUMBER(SEARCH("556",M782)))*(O782*SUMIFS(Premissas!$C$5:$C$44,Premissas!$A$5:$A$44,$A782,Premissas!$B$5:$B$44,$B782)+P782*SUMIFS(Premissas!$D$5:$D$44,Premissas!$A$5:$A$44,$A782,Premissas!$B$5:$B$44,$B782))+R782*SUMIFS(Premissas!$E$5:$E$44,Premissas!$A$5:$A$44,$A782,Premissas!$B$5:$B$44,$B782)+S782*SUMIFS(Premissas!$F$5:$F$44,Premissas!$A$5:$A$44,$A782,Premissas!$B$5:$B$44,$B782)</f>
        <v/>
      </c>
      <c r="L782" s="29">
        <f>J782-K782</f>
        <v/>
      </c>
      <c r="M782" t="inlineStr">
        <is>
          <t>2.350</t>
        </is>
      </c>
      <c r="N782" t="inlineStr">
        <is>
          <t>Modalidade: 1 - Por conta do destinatário | Parte: COCELPA CIA DE CEL. E PAPEL DO PARANA SA (76.487.651/0001-10)</t>
        </is>
      </c>
      <c r="O782" s="29" t="n">
        <v>0</v>
      </c>
      <c r="P782" s="29" t="n">
        <v>1079.74</v>
      </c>
      <c r="Q782" s="29" t="n">
        <v>0</v>
      </c>
      <c r="R782" s="29" t="n">
        <v>0</v>
      </c>
      <c r="S782" s="29" t="n">
        <v>0</v>
      </c>
      <c r="T782" t="inlineStr">
        <is>
          <t>41241002427026002432570040000341891003418993</t>
        </is>
      </c>
      <c r="U782" t="inlineStr">
        <is>
          <t>Não</t>
        </is>
      </c>
    </row>
    <row r="783">
      <c r="A783" t="inlineStr">
        <is>
          <t>Frete de compra</t>
        </is>
      </c>
      <c r="B783" t="inlineStr">
        <is>
          <t>2.04.87 Frete sobre Compra</t>
        </is>
      </c>
      <c r="C783" t="inlineStr">
        <is>
          <t>Antes de 2026</t>
        </is>
      </c>
      <c r="D783" t="inlineStr">
        <is>
          <t>Antes de 2026</t>
        </is>
      </c>
      <c r="E783" s="28" t="n">
        <v>45575</v>
      </c>
      <c r="F783" t="inlineStr">
        <is>
          <t>CT-e</t>
        </is>
      </c>
      <c r="G783" t="inlineStr">
        <is>
          <t>000034190</t>
        </is>
      </c>
      <c r="H783" t="inlineStr">
        <is>
          <t>ALIANCA NAVEGACAO E LOGISTICA LTDA</t>
        </is>
      </c>
      <c r="J783" s="29" t="n">
        <v>15428.48</v>
      </c>
      <c r="K783" s="29">
        <f>(1-ISNUMBER(SEARCH("556",M783)))*(O783*SUMIFS(Premissas!$C$5:$C$44,Premissas!$A$5:$A$44,$A783,Premissas!$B$5:$B$44,$B783)+P783*SUMIFS(Premissas!$D$5:$D$44,Premissas!$A$5:$A$44,$A783,Premissas!$B$5:$B$44,$B783))+R783*SUMIFS(Premissas!$E$5:$E$44,Premissas!$A$5:$A$44,$A783,Premissas!$B$5:$B$44,$B783)+S783*SUMIFS(Premissas!$F$5:$F$44,Premissas!$A$5:$A$44,$A783,Premissas!$B$5:$B$44,$B783)</f>
        <v/>
      </c>
      <c r="L783" s="29">
        <f>J783-K783</f>
        <v/>
      </c>
      <c r="M783" t="inlineStr">
        <is>
          <t>2.350</t>
        </is>
      </c>
      <c r="N783" t="inlineStr">
        <is>
          <t>Modalidade: 1 - Por conta do destinatário | Parte: COCELPA CIA DE CEL. E PAPEL DO PARANA SA (76.487.651/0001-10)</t>
        </is>
      </c>
      <c r="O783" s="29" t="n">
        <v>0</v>
      </c>
      <c r="P783" s="29" t="n">
        <v>1079.99</v>
      </c>
      <c r="Q783" s="29" t="n">
        <v>0</v>
      </c>
      <c r="R783" s="29" t="n">
        <v>0</v>
      </c>
      <c r="S783" s="29" t="n">
        <v>0</v>
      </c>
      <c r="T783" t="inlineStr">
        <is>
          <t>41241002427026002432570040000341901003419095</t>
        </is>
      </c>
      <c r="U783" t="inlineStr">
        <is>
          <t>Não</t>
        </is>
      </c>
    </row>
    <row r="784">
      <c r="A784" t="inlineStr">
        <is>
          <t>Frete de compra</t>
        </is>
      </c>
      <c r="B784" t="inlineStr">
        <is>
          <t>2.04.87 Frete sobre Compra</t>
        </is>
      </c>
      <c r="C784" t="inlineStr">
        <is>
          <t>Antes de 2026</t>
        </is>
      </c>
      <c r="D784" t="inlineStr">
        <is>
          <t>Antes de 2026</t>
        </is>
      </c>
      <c r="E784" s="28" t="n">
        <v>45575</v>
      </c>
      <c r="F784" t="inlineStr">
        <is>
          <t>CT-e</t>
        </is>
      </c>
      <c r="G784" t="inlineStr">
        <is>
          <t>000034191</t>
        </is>
      </c>
      <c r="H784" t="inlineStr">
        <is>
          <t>ALIANCA NAVEGACAO E LOGISTICA LTDA</t>
        </is>
      </c>
      <c r="J784" s="29" t="n">
        <v>15426.06</v>
      </c>
      <c r="K784" s="29">
        <f>(1-ISNUMBER(SEARCH("556",M784)))*(O784*SUMIFS(Premissas!$C$5:$C$44,Premissas!$A$5:$A$44,$A784,Premissas!$B$5:$B$44,$B784)+P784*SUMIFS(Premissas!$D$5:$D$44,Premissas!$A$5:$A$44,$A784,Premissas!$B$5:$B$44,$B784))+R784*SUMIFS(Premissas!$E$5:$E$44,Premissas!$A$5:$A$44,$A784,Premissas!$B$5:$B$44,$B784)+S784*SUMIFS(Premissas!$F$5:$F$44,Premissas!$A$5:$A$44,$A784,Premissas!$B$5:$B$44,$B784)</f>
        <v/>
      </c>
      <c r="L784" s="29">
        <f>J784-K784</f>
        <v/>
      </c>
      <c r="M784" t="inlineStr">
        <is>
          <t>2.350</t>
        </is>
      </c>
      <c r="N784" t="inlineStr">
        <is>
          <t>Modalidade: 1 - Por conta do destinatário | Parte: COCELPA CIA DE CEL. E PAPEL DO PARANA SA (76.487.651/0001-10)</t>
        </is>
      </c>
      <c r="O784" s="29" t="n">
        <v>0</v>
      </c>
      <c r="P784" s="29" t="n">
        <v>1079.82</v>
      </c>
      <c r="Q784" s="29" t="n">
        <v>0</v>
      </c>
      <c r="R784" s="29" t="n">
        <v>0</v>
      </c>
      <c r="S784" s="29" t="n">
        <v>0</v>
      </c>
      <c r="T784" t="inlineStr">
        <is>
          <t>41241002427026002432570040000341911003419190</t>
        </is>
      </c>
      <c r="U784" t="inlineStr">
        <is>
          <t>Não</t>
        </is>
      </c>
    </row>
    <row r="785">
      <c r="A785" t="inlineStr">
        <is>
          <t>Frete de compra</t>
        </is>
      </c>
      <c r="B785" t="inlineStr">
        <is>
          <t>2.04.87 Frete sobre Compra</t>
        </is>
      </c>
      <c r="C785" t="inlineStr">
        <is>
          <t>Antes de 2026</t>
        </is>
      </c>
      <c r="D785" t="inlineStr">
        <is>
          <t>Antes de 2026</t>
        </is>
      </c>
      <c r="E785" s="28" t="n">
        <v>45645</v>
      </c>
      <c r="F785" t="inlineStr">
        <is>
          <t>CT-e</t>
        </is>
      </c>
      <c r="G785" t="inlineStr">
        <is>
          <t>000035096</t>
        </is>
      </c>
      <c r="H785" t="inlineStr">
        <is>
          <t>ALIANCA NAVEGACAO E LOGISTICA LTDA</t>
        </is>
      </c>
      <c r="J785" s="29" t="n">
        <v>258.06</v>
      </c>
      <c r="K785" s="29">
        <f>(1-ISNUMBER(SEARCH("556",M785)))*(O785*SUMIFS(Premissas!$C$5:$C$44,Premissas!$A$5:$A$44,$A785,Premissas!$B$5:$B$44,$B785)+P785*SUMIFS(Premissas!$D$5:$D$44,Premissas!$A$5:$A$44,$A785,Premissas!$B$5:$B$44,$B785))+R785*SUMIFS(Premissas!$E$5:$E$44,Premissas!$A$5:$A$44,$A785,Premissas!$B$5:$B$44,$B785)+S785*SUMIFS(Premissas!$F$5:$F$44,Premissas!$A$5:$A$44,$A785,Premissas!$B$5:$B$44,$B785)</f>
        <v/>
      </c>
      <c r="L785" s="29">
        <f>J785-K785</f>
        <v/>
      </c>
      <c r="M785" t="inlineStr">
        <is>
          <t>2.350</t>
        </is>
      </c>
      <c r="N785" t="inlineStr">
        <is>
          <t>Modalidade: 1 - Por conta do destinatário | Parte: COCELPA CIA DE CEL. E PAPEL DO PARANA SA (76.487.651/0001-10)</t>
        </is>
      </c>
      <c r="O785" s="29" t="n">
        <v>0</v>
      </c>
      <c r="P785" s="29" t="n">
        <v>18.06</v>
      </c>
      <c r="Q785" s="29" t="n">
        <v>0</v>
      </c>
      <c r="R785" s="29" t="n">
        <v>0</v>
      </c>
      <c r="S785" s="29" t="n">
        <v>0</v>
      </c>
      <c r="T785" t="inlineStr">
        <is>
          <t>41241202427026002432570040000350961003509698</t>
        </is>
      </c>
      <c r="U785" t="inlineStr">
        <is>
          <t>Não</t>
        </is>
      </c>
    </row>
    <row r="786">
      <c r="A786" t="inlineStr">
        <is>
          <t>Frete de compra</t>
        </is>
      </c>
      <c r="B786" t="inlineStr">
        <is>
          <t>2.04.87 Frete sobre Compra</t>
        </is>
      </c>
      <c r="C786" t="inlineStr">
        <is>
          <t>Antes de 2026</t>
        </is>
      </c>
      <c r="D786" t="inlineStr">
        <is>
          <t>Antes de 2026</t>
        </is>
      </c>
      <c r="E786" s="28" t="n">
        <v>45635</v>
      </c>
      <c r="F786" t="inlineStr">
        <is>
          <t>CT-e</t>
        </is>
      </c>
      <c r="G786" t="inlineStr">
        <is>
          <t>000160068</t>
        </is>
      </c>
      <c r="H786" t="inlineStr">
        <is>
          <t>ALIANCA NAVEGACAO E LOGISTICA LTDA</t>
        </is>
      </c>
      <c r="J786" s="29" t="n">
        <v>20220.59</v>
      </c>
      <c r="K786" s="29">
        <f>(1-ISNUMBER(SEARCH("556",M786)))*(O786*SUMIFS(Premissas!$C$5:$C$44,Premissas!$A$5:$A$44,$A786,Premissas!$B$5:$B$44,$B786)+P786*SUMIFS(Premissas!$D$5:$D$44,Premissas!$A$5:$A$44,$A786,Premissas!$B$5:$B$44,$B786))+R786*SUMIFS(Premissas!$E$5:$E$44,Premissas!$A$5:$A$44,$A786,Premissas!$B$5:$B$44,$B786)+S786*SUMIFS(Premissas!$F$5:$F$44,Premissas!$A$5:$A$44,$A786,Premissas!$B$5:$B$44,$B786)</f>
        <v/>
      </c>
      <c r="L786" s="29">
        <f>J786-K786</f>
        <v/>
      </c>
      <c r="M786" t="inlineStr">
        <is>
          <t>2.350</t>
        </is>
      </c>
      <c r="N786" t="inlineStr">
        <is>
          <t>Modalidade: 1 - Por conta do destinatário | Parte: CMPC Iguacu Embalagens Ltda (11.308.600/0008-04)</t>
        </is>
      </c>
      <c r="O786" s="29" t="n">
        <v>0</v>
      </c>
      <c r="P786" s="29" t="n">
        <v>1415.44</v>
      </c>
      <c r="Q786" s="29" t="n">
        <v>0</v>
      </c>
      <c r="R786" s="29" t="n">
        <v>0</v>
      </c>
      <c r="S786" s="29" t="n">
        <v>0</v>
      </c>
      <c r="T786" t="inlineStr">
        <is>
          <t>42241202427026000901570040001600681016006895</t>
        </is>
      </c>
      <c r="U786" t="inlineStr">
        <is>
          <t>Não</t>
        </is>
      </c>
    </row>
    <row r="787">
      <c r="A787" t="inlineStr">
        <is>
          <t>Frete de compra</t>
        </is>
      </c>
      <c r="B787" t="inlineStr">
        <is>
          <t>2.04.87 Frete sobre Compra</t>
        </is>
      </c>
      <c r="C787" t="inlineStr">
        <is>
          <t>Antes de 2026</t>
        </is>
      </c>
      <c r="D787" t="inlineStr">
        <is>
          <t>Antes de 2026</t>
        </is>
      </c>
      <c r="E787" s="28" t="n">
        <v>45636</v>
      </c>
      <c r="F787" t="inlineStr">
        <is>
          <t>CT-e</t>
        </is>
      </c>
      <c r="G787" t="inlineStr">
        <is>
          <t>000160107</t>
        </is>
      </c>
      <c r="H787" t="inlineStr">
        <is>
          <t>ALIANCA NAVEGACAO E LOGISTICA LTDA</t>
        </is>
      </c>
      <c r="J787" s="29" t="n">
        <v>20157.9</v>
      </c>
      <c r="K787" s="29">
        <f>(1-ISNUMBER(SEARCH("556",M787)))*(O787*SUMIFS(Premissas!$C$5:$C$44,Premissas!$A$5:$A$44,$A787,Premissas!$B$5:$B$44,$B787)+P787*SUMIFS(Premissas!$D$5:$D$44,Premissas!$A$5:$A$44,$A787,Premissas!$B$5:$B$44,$B787))+R787*SUMIFS(Premissas!$E$5:$E$44,Premissas!$A$5:$A$44,$A787,Premissas!$B$5:$B$44,$B787)+S787*SUMIFS(Premissas!$F$5:$F$44,Premissas!$A$5:$A$44,$A787,Premissas!$B$5:$B$44,$B787)</f>
        <v/>
      </c>
      <c r="L787" s="29">
        <f>J787-K787</f>
        <v/>
      </c>
      <c r="M787" t="inlineStr">
        <is>
          <t>2.350</t>
        </is>
      </c>
      <c r="N787" t="inlineStr">
        <is>
          <t>Modalidade: 1 - Por conta do destinatário | Parte: CMPC Iguacu Embalagens Ltda (11.308.600/0008-04)</t>
        </is>
      </c>
      <c r="O787" s="29" t="n">
        <v>0</v>
      </c>
      <c r="P787" s="29" t="n">
        <v>1411.05</v>
      </c>
      <c r="Q787" s="29" t="n">
        <v>0</v>
      </c>
      <c r="R787" s="29" t="n">
        <v>0</v>
      </c>
      <c r="S787" s="29" t="n">
        <v>0</v>
      </c>
      <c r="T787" t="inlineStr">
        <is>
          <t>42241202427026000901570040001601071016010795</t>
        </is>
      </c>
      <c r="U787" t="inlineStr">
        <is>
          <t>Não</t>
        </is>
      </c>
    </row>
    <row r="788">
      <c r="A788" t="inlineStr">
        <is>
          <t>Frete de compra</t>
        </is>
      </c>
      <c r="B788" t="inlineStr">
        <is>
          <t>2.04.87 Frete sobre Compra</t>
        </is>
      </c>
      <c r="C788" t="inlineStr">
        <is>
          <t>Antes de 2026</t>
        </is>
      </c>
      <c r="D788" t="inlineStr">
        <is>
          <t>Antes de 2026</t>
        </is>
      </c>
      <c r="E788" s="28" t="n">
        <v>45636</v>
      </c>
      <c r="F788" t="inlineStr">
        <is>
          <t>CT-e</t>
        </is>
      </c>
      <c r="G788" t="inlineStr">
        <is>
          <t>000160108</t>
        </is>
      </c>
      <c r="H788" t="inlineStr">
        <is>
          <t>ALIANCA NAVEGACAO E LOGISTICA LTDA</t>
        </is>
      </c>
      <c r="J788" s="29" t="n">
        <v>20212.69</v>
      </c>
      <c r="K788" s="29">
        <f>(1-ISNUMBER(SEARCH("556",M788)))*(O788*SUMIFS(Premissas!$C$5:$C$44,Premissas!$A$5:$A$44,$A788,Premissas!$B$5:$B$44,$B788)+P788*SUMIFS(Premissas!$D$5:$D$44,Premissas!$A$5:$A$44,$A788,Premissas!$B$5:$B$44,$B788))+R788*SUMIFS(Premissas!$E$5:$E$44,Premissas!$A$5:$A$44,$A788,Premissas!$B$5:$B$44,$B788)+S788*SUMIFS(Premissas!$F$5:$F$44,Premissas!$A$5:$A$44,$A788,Premissas!$B$5:$B$44,$B788)</f>
        <v/>
      </c>
      <c r="L788" s="29">
        <f>J788-K788</f>
        <v/>
      </c>
      <c r="M788" t="inlineStr">
        <is>
          <t>2.350</t>
        </is>
      </c>
      <c r="N788" t="inlineStr">
        <is>
          <t>Modalidade: 1 - Por conta do destinatário | Parte: CMPC Iguacu Embalagens Ltda (11.308.600/0008-04)</t>
        </is>
      </c>
      <c r="O788" s="29" t="n">
        <v>0</v>
      </c>
      <c r="P788" s="29" t="n">
        <v>1414.89</v>
      </c>
      <c r="Q788" s="29" t="n">
        <v>0</v>
      </c>
      <c r="R788" s="29" t="n">
        <v>0</v>
      </c>
      <c r="S788" s="29" t="n">
        <v>0</v>
      </c>
      <c r="T788" t="inlineStr">
        <is>
          <t>42241202427026000901570040001601081016010890</t>
        </is>
      </c>
      <c r="U788" t="inlineStr">
        <is>
          <t>Não</t>
        </is>
      </c>
    </row>
    <row r="789">
      <c r="A789" t="inlineStr">
        <is>
          <t>Frete de compra</t>
        </is>
      </c>
      <c r="B789" t="inlineStr">
        <is>
          <t>2.04.87 Frete sobre Compra</t>
        </is>
      </c>
      <c r="C789" t="inlineStr">
        <is>
          <t>Antes de 2026</t>
        </is>
      </c>
      <c r="D789" t="inlineStr">
        <is>
          <t>Antes de 2026</t>
        </is>
      </c>
      <c r="E789" s="28" t="n">
        <v>45636</v>
      </c>
      <c r="F789" t="inlineStr">
        <is>
          <t>CT-e</t>
        </is>
      </c>
      <c r="G789" t="inlineStr">
        <is>
          <t>000160109</t>
        </is>
      </c>
      <c r="H789" t="inlineStr">
        <is>
          <t>ALIANCA NAVEGACAO E LOGISTICA LTDA</t>
        </is>
      </c>
      <c r="J789" s="29" t="n">
        <v>20216.45</v>
      </c>
      <c r="K789" s="29">
        <f>(1-ISNUMBER(SEARCH("556",M789)))*(O789*SUMIFS(Premissas!$C$5:$C$44,Premissas!$A$5:$A$44,$A789,Premissas!$B$5:$B$44,$B789)+P789*SUMIFS(Premissas!$D$5:$D$44,Premissas!$A$5:$A$44,$A789,Premissas!$B$5:$B$44,$B789))+R789*SUMIFS(Premissas!$E$5:$E$44,Premissas!$A$5:$A$44,$A789,Premissas!$B$5:$B$44,$B789)+S789*SUMIFS(Premissas!$F$5:$F$44,Premissas!$A$5:$A$44,$A789,Premissas!$B$5:$B$44,$B789)</f>
        <v/>
      </c>
      <c r="L789" s="29">
        <f>J789-K789</f>
        <v/>
      </c>
      <c r="M789" t="inlineStr">
        <is>
          <t>2.350</t>
        </is>
      </c>
      <c r="N789" t="inlineStr">
        <is>
          <t>Modalidade: 1 - Por conta do destinatário | Parte: CMPC Iguacu Embalagens Ltda (11.308.600/0008-04)</t>
        </is>
      </c>
      <c r="O789" s="29" t="n">
        <v>0</v>
      </c>
      <c r="P789" s="29" t="n">
        <v>1415.15</v>
      </c>
      <c r="Q789" s="29" t="n">
        <v>0</v>
      </c>
      <c r="R789" s="29" t="n">
        <v>0</v>
      </c>
      <c r="S789" s="29" t="n">
        <v>0</v>
      </c>
      <c r="T789" t="inlineStr">
        <is>
          <t>42241202427026000901570040001601091016010994</t>
        </is>
      </c>
      <c r="U789" t="inlineStr">
        <is>
          <t>Não</t>
        </is>
      </c>
    </row>
    <row r="790">
      <c r="A790" t="inlineStr">
        <is>
          <t>Frete de compra</t>
        </is>
      </c>
      <c r="B790" t="inlineStr">
        <is>
          <t>2.04.87 Frete sobre Compra</t>
        </is>
      </c>
      <c r="C790" t="inlineStr">
        <is>
          <t>Antes de 2026</t>
        </is>
      </c>
      <c r="D790" t="inlineStr">
        <is>
          <t>Antes de 2026</t>
        </is>
      </c>
      <c r="E790" s="28" t="n">
        <v>45636</v>
      </c>
      <c r="F790" t="inlineStr">
        <is>
          <t>CT-e</t>
        </is>
      </c>
      <c r="G790" t="inlineStr">
        <is>
          <t>000160110</t>
        </is>
      </c>
      <c r="H790" t="inlineStr">
        <is>
          <t>ALIANCA NAVEGACAO E LOGISTICA LTDA</t>
        </is>
      </c>
      <c r="J790" s="29" t="n">
        <v>20205.24</v>
      </c>
      <c r="K790" s="29">
        <f>(1-ISNUMBER(SEARCH("556",M790)))*(O790*SUMIFS(Premissas!$C$5:$C$44,Premissas!$A$5:$A$44,$A790,Premissas!$B$5:$B$44,$B790)+P790*SUMIFS(Premissas!$D$5:$D$44,Premissas!$A$5:$A$44,$A790,Premissas!$B$5:$B$44,$B790))+R790*SUMIFS(Premissas!$E$5:$E$44,Premissas!$A$5:$A$44,$A790,Premissas!$B$5:$B$44,$B790)+S790*SUMIFS(Premissas!$F$5:$F$44,Premissas!$A$5:$A$44,$A790,Premissas!$B$5:$B$44,$B790)</f>
        <v/>
      </c>
      <c r="L790" s="29">
        <f>J790-K790</f>
        <v/>
      </c>
      <c r="M790" t="inlineStr">
        <is>
          <t>2.350</t>
        </is>
      </c>
      <c r="N790" t="inlineStr">
        <is>
          <t>Modalidade: 1 - Por conta do destinatário | Parte: CMPC Iguacu Embalagens Ltda (11.308.600/0008-04)</t>
        </is>
      </c>
      <c r="O790" s="29" t="n">
        <v>0</v>
      </c>
      <c r="P790" s="29" t="n">
        <v>1414.37</v>
      </c>
      <c r="Q790" s="29" t="n">
        <v>0</v>
      </c>
      <c r="R790" s="29" t="n">
        <v>0</v>
      </c>
      <c r="S790" s="29" t="n">
        <v>0</v>
      </c>
      <c r="T790" t="inlineStr">
        <is>
          <t>42241202427026000901570040001601101016011096</t>
        </is>
      </c>
      <c r="U790" t="inlineStr">
        <is>
          <t>Não</t>
        </is>
      </c>
    </row>
    <row r="791">
      <c r="A791" t="inlineStr">
        <is>
          <t>Frete de compra</t>
        </is>
      </c>
      <c r="B791" t="inlineStr">
        <is>
          <t>2.04.87 Frete sobre Compra</t>
        </is>
      </c>
      <c r="C791" t="inlineStr">
        <is>
          <t>Antes de 2026</t>
        </is>
      </c>
      <c r="D791" t="inlineStr">
        <is>
          <t>Antes de 2026</t>
        </is>
      </c>
      <c r="E791" s="28" t="n">
        <v>46003</v>
      </c>
      <c r="F791" t="inlineStr">
        <is>
          <t>CT-e</t>
        </is>
      </c>
      <c r="G791" t="inlineStr">
        <is>
          <t>000185852</t>
        </is>
      </c>
      <c r="H791" t="inlineStr">
        <is>
          <t>ALIANCA NAVEGACAO E LOGISTICA LTDA</t>
        </is>
      </c>
      <c r="J791" s="29" t="n">
        <v>18042.37</v>
      </c>
      <c r="K791" s="29">
        <f>(1-ISNUMBER(SEARCH("556",M791)))*(O791*SUMIFS(Premissas!$C$5:$C$44,Premissas!$A$5:$A$44,$A791,Premissas!$B$5:$B$44,$B791)+P791*SUMIFS(Premissas!$D$5:$D$44,Premissas!$A$5:$A$44,$A791,Premissas!$B$5:$B$44,$B791))+R791*SUMIFS(Premissas!$E$5:$E$44,Premissas!$A$5:$A$44,$A791,Premissas!$B$5:$B$44,$B791)+S791*SUMIFS(Premissas!$F$5:$F$44,Premissas!$A$5:$A$44,$A791,Premissas!$B$5:$B$44,$B791)</f>
        <v/>
      </c>
      <c r="L791" s="29">
        <f>J791-K791</f>
        <v/>
      </c>
      <c r="M791" t="inlineStr">
        <is>
          <t>1.350</t>
        </is>
      </c>
      <c r="N791" t="inlineStr">
        <is>
          <t>Modalidade: 1 - Por conta do destinatário | Parte: IRANI PAPEL E EMBALAGEM S.A. (92.791.243/0002-94)</t>
        </is>
      </c>
      <c r="O791" s="29" t="n">
        <v>0</v>
      </c>
      <c r="P791" s="29" t="n">
        <v>1262.97</v>
      </c>
      <c r="Q791" s="29" t="n">
        <v>0</v>
      </c>
      <c r="R791" s="29" t="n">
        <v>0</v>
      </c>
      <c r="S791" s="29" t="n">
        <v>0</v>
      </c>
      <c r="T791" t="inlineStr">
        <is>
          <t>42251202427026000901570040001858521018585294</t>
        </is>
      </c>
      <c r="U791" t="inlineStr">
        <is>
          <t>Sim</t>
        </is>
      </c>
    </row>
    <row r="792">
      <c r="A792" t="inlineStr">
        <is>
          <t>Frete de compra</t>
        </is>
      </c>
      <c r="B792" t="inlineStr">
        <is>
          <t>2.04.87 Frete sobre Compra</t>
        </is>
      </c>
      <c r="C792" t="inlineStr">
        <is>
          <t>Antes de 2026</t>
        </is>
      </c>
      <c r="D792" t="inlineStr">
        <is>
          <t>Antes de 2026</t>
        </is>
      </c>
      <c r="E792" s="28" t="n">
        <v>46007</v>
      </c>
      <c r="F792" t="inlineStr">
        <is>
          <t>CT-e</t>
        </is>
      </c>
      <c r="G792" t="inlineStr">
        <is>
          <t>000185999</t>
        </is>
      </c>
      <c r="H792" t="inlineStr">
        <is>
          <t>ALIANCA NAVEGACAO E LOGISTICA LTDA</t>
        </is>
      </c>
      <c r="J792" s="29" t="n">
        <v>20061.74</v>
      </c>
      <c r="K792" s="29">
        <f>(1-ISNUMBER(SEARCH("556",M792)))*(O792*SUMIFS(Premissas!$C$5:$C$44,Premissas!$A$5:$A$44,$A792,Premissas!$B$5:$B$44,$B792)+P792*SUMIFS(Premissas!$D$5:$D$44,Premissas!$A$5:$A$44,$A792,Premissas!$B$5:$B$44,$B792))+R792*SUMIFS(Premissas!$E$5:$E$44,Premissas!$A$5:$A$44,$A792,Premissas!$B$5:$B$44,$B792)+S792*SUMIFS(Premissas!$F$5:$F$44,Premissas!$A$5:$A$44,$A792,Premissas!$B$5:$B$44,$B792)</f>
        <v/>
      </c>
      <c r="L792" s="29">
        <f>J792-K792</f>
        <v/>
      </c>
      <c r="M792" t="inlineStr">
        <is>
          <t>1.350</t>
        </is>
      </c>
      <c r="N792" t="inlineStr">
        <is>
          <t>Modalidade: 1 - Por conta do destinatário | Parte: CMPC Iguacu Embalagens Ltda (11.308.600/0008-04)</t>
        </is>
      </c>
      <c r="O792" s="29" t="n">
        <v>0</v>
      </c>
      <c r="P792" s="29" t="n">
        <v>1404.32</v>
      </c>
      <c r="Q792" s="29" t="n">
        <v>0</v>
      </c>
      <c r="R792" s="29" t="n">
        <v>0</v>
      </c>
      <c r="S792" s="29" t="n">
        <v>0</v>
      </c>
      <c r="T792" t="inlineStr">
        <is>
          <t>42251202427026000901570040001859991018599998</t>
        </is>
      </c>
      <c r="U792" t="inlineStr">
        <is>
          <t>Sim</t>
        </is>
      </c>
    </row>
    <row r="793">
      <c r="A793" t="inlineStr">
        <is>
          <t>Frete de compra</t>
        </is>
      </c>
      <c r="B793" t="inlineStr">
        <is>
          <t>2.04.87 Frete sobre Compra</t>
        </is>
      </c>
      <c r="C793" t="inlineStr">
        <is>
          <t>Antes de 2026</t>
        </is>
      </c>
      <c r="D793" t="inlineStr">
        <is>
          <t>Antes de 2026</t>
        </is>
      </c>
      <c r="E793" s="28" t="n">
        <v>46008</v>
      </c>
      <c r="F793" t="inlineStr">
        <is>
          <t>CT-e</t>
        </is>
      </c>
      <c r="G793" t="inlineStr">
        <is>
          <t>000186121</t>
        </is>
      </c>
      <c r="H793" t="inlineStr">
        <is>
          <t>ALIANCA NAVEGACAO E LOGISTICA LTDA</t>
        </is>
      </c>
      <c r="J793" s="29" t="n">
        <v>18013.12</v>
      </c>
      <c r="K793" s="29">
        <f>(1-ISNUMBER(SEARCH("556",M793)))*(O793*SUMIFS(Premissas!$C$5:$C$44,Premissas!$A$5:$A$44,$A793,Premissas!$B$5:$B$44,$B793)+P793*SUMIFS(Premissas!$D$5:$D$44,Premissas!$A$5:$A$44,$A793,Premissas!$B$5:$B$44,$B793))+R793*SUMIFS(Premissas!$E$5:$E$44,Premissas!$A$5:$A$44,$A793,Premissas!$B$5:$B$44,$B793)+S793*SUMIFS(Premissas!$F$5:$F$44,Premissas!$A$5:$A$44,$A793,Premissas!$B$5:$B$44,$B793)</f>
        <v/>
      </c>
      <c r="L793" s="29">
        <f>J793-K793</f>
        <v/>
      </c>
      <c r="M793" t="inlineStr">
        <is>
          <t>1.350</t>
        </is>
      </c>
      <c r="N793" t="inlineStr">
        <is>
          <t>Modalidade: 1 - Por conta do destinatário | Parte: IRANI PAPEL E EMBALAGEM S.A. (92.791.243/0002-94)</t>
        </is>
      </c>
      <c r="O793" s="29" t="n">
        <v>0</v>
      </c>
      <c r="P793" s="29" t="n">
        <v>1260.92</v>
      </c>
      <c r="Q793" s="29" t="n">
        <v>0</v>
      </c>
      <c r="R793" s="29" t="n">
        <v>0</v>
      </c>
      <c r="S793" s="29" t="n">
        <v>0</v>
      </c>
      <c r="T793" t="inlineStr">
        <is>
          <t>42251202427026000901570040001861211018612194</t>
        </is>
      </c>
      <c r="U793" t="inlineStr">
        <is>
          <t>Sim</t>
        </is>
      </c>
    </row>
    <row r="794">
      <c r="A794" t="inlineStr">
        <is>
          <t>Frete de compra</t>
        </is>
      </c>
      <c r="B794" t="inlineStr">
        <is>
          <t>2.04.87 Frete sobre Compra</t>
        </is>
      </c>
      <c r="C794" t="inlineStr">
        <is>
          <t>Antes de 2026</t>
        </is>
      </c>
      <c r="D794" t="inlineStr">
        <is>
          <t>Antes de 2026</t>
        </is>
      </c>
      <c r="E794" s="28" t="n">
        <v>46010</v>
      </c>
      <c r="F794" t="inlineStr">
        <is>
          <t>CT-e</t>
        </is>
      </c>
      <c r="G794" t="inlineStr">
        <is>
          <t>000186314</t>
        </is>
      </c>
      <c r="H794" t="inlineStr">
        <is>
          <t>ALIANCA NAVEGACAO E LOGISTICA LTDA</t>
        </is>
      </c>
      <c r="J794" s="29" t="n">
        <v>17258.72</v>
      </c>
      <c r="K794" s="29">
        <f>(1-ISNUMBER(SEARCH("556",M794)))*(O794*SUMIFS(Premissas!$C$5:$C$44,Premissas!$A$5:$A$44,$A794,Premissas!$B$5:$B$44,$B794)+P794*SUMIFS(Premissas!$D$5:$D$44,Premissas!$A$5:$A$44,$A794,Premissas!$B$5:$B$44,$B794))+R794*SUMIFS(Premissas!$E$5:$E$44,Premissas!$A$5:$A$44,$A794,Premissas!$B$5:$B$44,$B794)+S794*SUMIFS(Premissas!$F$5:$F$44,Premissas!$A$5:$A$44,$A794,Premissas!$B$5:$B$44,$B794)</f>
        <v/>
      </c>
      <c r="L794" s="29">
        <f>J794-K794</f>
        <v/>
      </c>
      <c r="M794" t="inlineStr">
        <is>
          <t>1.350</t>
        </is>
      </c>
      <c r="N794" t="inlineStr">
        <is>
          <t>Modalidade: 2 - Por conta de terceiros | Parte: CMPC Iguacu Embalagens Ltda (11.308.600/0008-04)</t>
        </is>
      </c>
      <c r="O794" s="29" t="n">
        <v>0</v>
      </c>
      <c r="P794" s="29" t="n">
        <v>1208.11</v>
      </c>
      <c r="Q794" s="29" t="n">
        <v>0</v>
      </c>
      <c r="R794" s="29" t="n">
        <v>0</v>
      </c>
      <c r="S794" s="29" t="n">
        <v>0</v>
      </c>
      <c r="T794" t="inlineStr">
        <is>
          <t>42251202427026000901570040001863141018631497</t>
        </is>
      </c>
      <c r="U794" t="inlineStr">
        <is>
          <t>Sim</t>
        </is>
      </c>
    </row>
    <row r="795">
      <c r="A795" t="inlineStr">
        <is>
          <t>Frete de compra</t>
        </is>
      </c>
      <c r="B795" t="inlineStr">
        <is>
          <t>2.04.87 Frete sobre Compra</t>
        </is>
      </c>
      <c r="C795" t="inlineStr">
        <is>
          <t>Antes de 2026</t>
        </is>
      </c>
      <c r="D795" t="inlineStr">
        <is>
          <t>Antes de 2026</t>
        </is>
      </c>
      <c r="E795" s="28" t="n">
        <v>46010</v>
      </c>
      <c r="F795" t="inlineStr">
        <is>
          <t>CT-e</t>
        </is>
      </c>
      <c r="G795" t="inlineStr">
        <is>
          <t>000186325</t>
        </is>
      </c>
      <c r="H795" t="inlineStr">
        <is>
          <t>ALIANCA NAVEGACAO E LOGISTICA LTDA</t>
        </is>
      </c>
      <c r="J795" s="29" t="n">
        <v>17260.99</v>
      </c>
      <c r="K795" s="29">
        <f>(1-ISNUMBER(SEARCH("556",M795)))*(O795*SUMIFS(Premissas!$C$5:$C$44,Premissas!$A$5:$A$44,$A795,Premissas!$B$5:$B$44,$B795)+P795*SUMIFS(Premissas!$D$5:$D$44,Premissas!$A$5:$A$44,$A795,Premissas!$B$5:$B$44,$B795))+R795*SUMIFS(Premissas!$E$5:$E$44,Premissas!$A$5:$A$44,$A795,Premissas!$B$5:$B$44,$B795)+S795*SUMIFS(Premissas!$F$5:$F$44,Premissas!$A$5:$A$44,$A795,Premissas!$B$5:$B$44,$B795)</f>
        <v/>
      </c>
      <c r="L795" s="29">
        <f>J795-K795</f>
        <v/>
      </c>
      <c r="M795" t="inlineStr">
        <is>
          <t>1.350</t>
        </is>
      </c>
      <c r="N795" t="inlineStr">
        <is>
          <t>Modalidade: 2 - Por conta de terceiros | Parte: CMPC Iguacu Embalagens Ltda (11.308.600/0008-04)</t>
        </is>
      </c>
      <c r="O795" s="29" t="n">
        <v>0</v>
      </c>
      <c r="P795" s="29" t="n">
        <v>1208.27</v>
      </c>
      <c r="Q795" s="29" t="n">
        <v>0</v>
      </c>
      <c r="R795" s="29" t="n">
        <v>0</v>
      </c>
      <c r="S795" s="29" t="n">
        <v>0</v>
      </c>
      <c r="T795" t="inlineStr">
        <is>
          <t>42251202427026000901570040001863251018632594</t>
        </is>
      </c>
      <c r="U795" t="inlineStr">
        <is>
          <t>Sim</t>
        </is>
      </c>
    </row>
    <row r="796">
      <c r="A796" t="inlineStr">
        <is>
          <t>Frete de compra</t>
        </is>
      </c>
      <c r="B796" t="inlineStr">
        <is>
          <t>2.04.87 Frete sobre Compra</t>
        </is>
      </c>
      <c r="C796" t="inlineStr">
        <is>
          <t>Antes de 2026</t>
        </is>
      </c>
      <c r="D796" t="inlineStr">
        <is>
          <t>Antes de 2026</t>
        </is>
      </c>
      <c r="E796" s="28" t="n">
        <v>46013</v>
      </c>
      <c r="F796" t="inlineStr">
        <is>
          <t>CT-e</t>
        </is>
      </c>
      <c r="G796" t="inlineStr">
        <is>
          <t>000186373</t>
        </is>
      </c>
      <c r="H796" t="inlineStr">
        <is>
          <t>ALIANCA NAVEGACAO E LOGISTICA LTDA</t>
        </is>
      </c>
      <c r="J796" s="29" t="n">
        <v>17316.5</v>
      </c>
      <c r="K796" s="29">
        <f>(1-ISNUMBER(SEARCH("556",M796)))*(O796*SUMIFS(Premissas!$C$5:$C$44,Premissas!$A$5:$A$44,$A796,Premissas!$B$5:$B$44,$B796)+P796*SUMIFS(Premissas!$D$5:$D$44,Premissas!$A$5:$A$44,$A796,Premissas!$B$5:$B$44,$B796))+R796*SUMIFS(Premissas!$E$5:$E$44,Premissas!$A$5:$A$44,$A796,Premissas!$B$5:$B$44,$B796)+S796*SUMIFS(Premissas!$F$5:$F$44,Premissas!$A$5:$A$44,$A796,Premissas!$B$5:$B$44,$B796)</f>
        <v/>
      </c>
      <c r="L796" s="29">
        <f>J796-K796</f>
        <v/>
      </c>
      <c r="M796" t="inlineStr">
        <is>
          <t>1.350</t>
        </is>
      </c>
      <c r="N796" t="inlineStr">
        <is>
          <t>Modalidade: 1 - Por conta do destinatário | Parte: CMPC Iguacu Embalagens Ltda (11.308.600/0008-04)</t>
        </is>
      </c>
      <c r="O796" s="29" t="n">
        <v>0</v>
      </c>
      <c r="P796" s="29" t="n">
        <v>1212.16</v>
      </c>
      <c r="Q796" s="29" t="n">
        <v>0</v>
      </c>
      <c r="R796" s="29" t="n">
        <v>0</v>
      </c>
      <c r="S796" s="29" t="n">
        <v>0</v>
      </c>
      <c r="T796" t="inlineStr">
        <is>
          <t>42251202427026000901570040001863731018637399</t>
        </is>
      </c>
      <c r="U796" t="inlineStr">
        <is>
          <t>Sim</t>
        </is>
      </c>
    </row>
    <row r="797">
      <c r="A797" t="inlineStr">
        <is>
          <t>Frete de compra</t>
        </is>
      </c>
      <c r="B797" t="inlineStr">
        <is>
          <t>2.04.87 Frete sobre Compra</t>
        </is>
      </c>
      <c r="C797" t="inlineStr">
        <is>
          <t>Antes de 2026</t>
        </is>
      </c>
      <c r="D797" t="inlineStr">
        <is>
          <t>Antes de 2026</t>
        </is>
      </c>
      <c r="E797" s="28" t="n">
        <v>46013</v>
      </c>
      <c r="F797" t="inlineStr">
        <is>
          <t>CT-e</t>
        </is>
      </c>
      <c r="G797" t="inlineStr">
        <is>
          <t>000186374</t>
        </is>
      </c>
      <c r="H797" t="inlineStr">
        <is>
          <t>ALIANCA NAVEGACAO E LOGISTICA LTDA</t>
        </is>
      </c>
      <c r="J797" s="29" t="n">
        <v>17321.25</v>
      </c>
      <c r="K797" s="29">
        <f>(1-ISNUMBER(SEARCH("556",M797)))*(O797*SUMIFS(Premissas!$C$5:$C$44,Premissas!$A$5:$A$44,$A797,Premissas!$B$5:$B$44,$B797)+P797*SUMIFS(Premissas!$D$5:$D$44,Premissas!$A$5:$A$44,$A797,Premissas!$B$5:$B$44,$B797))+R797*SUMIFS(Premissas!$E$5:$E$44,Premissas!$A$5:$A$44,$A797,Premissas!$B$5:$B$44,$B797)+S797*SUMIFS(Premissas!$F$5:$F$44,Premissas!$A$5:$A$44,$A797,Premissas!$B$5:$B$44,$B797)</f>
        <v/>
      </c>
      <c r="L797" s="29">
        <f>J797-K797</f>
        <v/>
      </c>
      <c r="M797" t="inlineStr">
        <is>
          <t>1.350</t>
        </is>
      </c>
      <c r="N797" t="inlineStr">
        <is>
          <t>Modalidade: 1 - Por conta do destinatário | Parte: CMPC Iguacu Embalagens Ltda (11.308.600/0008-04)</t>
        </is>
      </c>
      <c r="O797" s="29" t="n">
        <v>0</v>
      </c>
      <c r="P797" s="29" t="n">
        <v>1212.49</v>
      </c>
      <c r="Q797" s="29" t="n">
        <v>0</v>
      </c>
      <c r="R797" s="29" t="n">
        <v>0</v>
      </c>
      <c r="S797" s="29" t="n">
        <v>0</v>
      </c>
      <c r="T797" t="inlineStr">
        <is>
          <t>42251202427026000901570040001863741018637493</t>
        </is>
      </c>
      <c r="U797" t="inlineStr">
        <is>
          <t>Sim</t>
        </is>
      </c>
    </row>
    <row r="798">
      <c r="A798" t="inlineStr">
        <is>
          <t>Frete de compra</t>
        </is>
      </c>
      <c r="B798" t="inlineStr">
        <is>
          <t>2.04.87 Frete sobre Compra</t>
        </is>
      </c>
      <c r="C798" t="inlineStr">
        <is>
          <t>Antes de 2026</t>
        </is>
      </c>
      <c r="D798" t="inlineStr">
        <is>
          <t>Antes de 2026</t>
        </is>
      </c>
      <c r="E798" s="28" t="n">
        <v>46013</v>
      </c>
      <c r="F798" t="inlineStr">
        <is>
          <t>CT-e</t>
        </is>
      </c>
      <c r="G798" t="inlineStr">
        <is>
          <t>000186439</t>
        </is>
      </c>
      <c r="H798" t="inlineStr">
        <is>
          <t>ALIANCA NAVEGACAO E LOGISTICA LTDA</t>
        </is>
      </c>
      <c r="J798" s="29" t="n">
        <v>17329.25</v>
      </c>
      <c r="K798" s="29">
        <f>(1-ISNUMBER(SEARCH("556",M798)))*(O798*SUMIFS(Premissas!$C$5:$C$44,Premissas!$A$5:$A$44,$A798,Premissas!$B$5:$B$44,$B798)+P798*SUMIFS(Premissas!$D$5:$D$44,Premissas!$A$5:$A$44,$A798,Premissas!$B$5:$B$44,$B798))+R798*SUMIFS(Premissas!$E$5:$E$44,Premissas!$A$5:$A$44,$A798,Premissas!$B$5:$B$44,$B798)+S798*SUMIFS(Premissas!$F$5:$F$44,Premissas!$A$5:$A$44,$A798,Premissas!$B$5:$B$44,$B798)</f>
        <v/>
      </c>
      <c r="L798" s="29">
        <f>J798-K798</f>
        <v/>
      </c>
      <c r="M798" t="inlineStr">
        <is>
          <t>1.350</t>
        </is>
      </c>
      <c r="N798" t="inlineStr">
        <is>
          <t>Modalidade: 1 - Por conta do destinatário | Parte: CMPC Iguacu Embalagens Ltda (11.308.600/0008-04)</t>
        </is>
      </c>
      <c r="O798" s="29" t="n">
        <v>0</v>
      </c>
      <c r="P798" s="29" t="n">
        <v>1213.05</v>
      </c>
      <c r="Q798" s="29" t="n">
        <v>0</v>
      </c>
      <c r="R798" s="29" t="n">
        <v>0</v>
      </c>
      <c r="S798" s="29" t="n">
        <v>0</v>
      </c>
      <c r="T798" t="inlineStr">
        <is>
          <t>42251202427026000901570040001864391018643996</t>
        </is>
      </c>
      <c r="U798" t="inlineStr">
        <is>
          <t>Sim</t>
        </is>
      </c>
    </row>
    <row r="799">
      <c r="A799" t="inlineStr">
        <is>
          <t>Frete de compra</t>
        </is>
      </c>
      <c r="B799" t="inlineStr">
        <is>
          <t>2.04.87 Frete sobre Compra</t>
        </is>
      </c>
      <c r="C799" t="inlineStr">
        <is>
          <t>Antes de 2026</t>
        </is>
      </c>
      <c r="D799" t="inlineStr">
        <is>
          <t>Antes de 2026</t>
        </is>
      </c>
      <c r="E799" s="28" t="n">
        <v>46013</v>
      </c>
      <c r="F799" t="inlineStr">
        <is>
          <t>CT-e</t>
        </is>
      </c>
      <c r="G799" t="inlineStr">
        <is>
          <t>000186445</t>
        </is>
      </c>
      <c r="H799" t="inlineStr">
        <is>
          <t>ALIANCA NAVEGACAO E LOGISTICA LTDA</t>
        </is>
      </c>
      <c r="J799" s="29" t="n">
        <v>17269.42</v>
      </c>
      <c r="K799" s="29">
        <f>(1-ISNUMBER(SEARCH("556",M799)))*(O799*SUMIFS(Premissas!$C$5:$C$44,Premissas!$A$5:$A$44,$A799,Premissas!$B$5:$B$44,$B799)+P799*SUMIFS(Premissas!$D$5:$D$44,Premissas!$A$5:$A$44,$A799,Premissas!$B$5:$B$44,$B799))+R799*SUMIFS(Premissas!$E$5:$E$44,Premissas!$A$5:$A$44,$A799,Premissas!$B$5:$B$44,$B799)+S799*SUMIFS(Premissas!$F$5:$F$44,Premissas!$A$5:$A$44,$A799,Premissas!$B$5:$B$44,$B799)</f>
        <v/>
      </c>
      <c r="L799" s="29">
        <f>J799-K799</f>
        <v/>
      </c>
      <c r="M799" t="inlineStr">
        <is>
          <t>1.350</t>
        </is>
      </c>
      <c r="N799" t="inlineStr">
        <is>
          <t>Modalidade: 2 - Por conta de terceiros | Parte: CMPC Iguacu Embalagens Ltda (11.308.600/0008-04)</t>
        </is>
      </c>
      <c r="O799" s="29" t="n">
        <v>0</v>
      </c>
      <c r="P799" s="29" t="n">
        <v>1208.86</v>
      </c>
      <c r="Q799" s="29" t="n">
        <v>0</v>
      </c>
      <c r="R799" s="29" t="n">
        <v>0</v>
      </c>
      <c r="S799" s="29" t="n">
        <v>0</v>
      </c>
      <c r="T799" t="inlineStr">
        <is>
          <t>42251202427026000901570040001864451018644590</t>
        </is>
      </c>
      <c r="U799" t="inlineStr">
        <is>
          <t>Sim</t>
        </is>
      </c>
    </row>
    <row r="800">
      <c r="A800" t="inlineStr">
        <is>
          <t>Frete de compra</t>
        </is>
      </c>
      <c r="B800" t="inlineStr">
        <is>
          <t>2.04.87 Frete sobre Compra</t>
        </is>
      </c>
      <c r="C800" t="inlineStr">
        <is>
          <t>Antes de 2026</t>
        </is>
      </c>
      <c r="D800" t="inlineStr">
        <is>
          <t>Antes de 2026</t>
        </is>
      </c>
      <c r="E800" s="28" t="n">
        <v>46013</v>
      </c>
      <c r="F800" t="inlineStr">
        <is>
          <t>CT-e</t>
        </is>
      </c>
      <c r="G800" t="inlineStr">
        <is>
          <t>000186446</t>
        </is>
      </c>
      <c r="H800" t="inlineStr">
        <is>
          <t>ALIANCA NAVEGACAO E LOGISTICA LTDA</t>
        </is>
      </c>
      <c r="J800" s="29" t="n">
        <v>17272.84</v>
      </c>
      <c r="K800" s="29">
        <f>(1-ISNUMBER(SEARCH("556",M800)))*(O800*SUMIFS(Premissas!$C$5:$C$44,Premissas!$A$5:$A$44,$A800,Premissas!$B$5:$B$44,$B800)+P800*SUMIFS(Premissas!$D$5:$D$44,Premissas!$A$5:$A$44,$A800,Premissas!$B$5:$B$44,$B800))+R800*SUMIFS(Premissas!$E$5:$E$44,Premissas!$A$5:$A$44,$A800,Premissas!$B$5:$B$44,$B800)+S800*SUMIFS(Premissas!$F$5:$F$44,Premissas!$A$5:$A$44,$A800,Premissas!$B$5:$B$44,$B800)</f>
        <v/>
      </c>
      <c r="L800" s="29">
        <f>J800-K800</f>
        <v/>
      </c>
      <c r="M800" t="inlineStr">
        <is>
          <t>1.350</t>
        </is>
      </c>
      <c r="N800" t="inlineStr">
        <is>
          <t>Modalidade: 1 - Por conta do destinatário | Parte: CMPC Iguacu Embalagens Ltda (11.308.600/0008-04)</t>
        </is>
      </c>
      <c r="O800" s="29" t="n">
        <v>0</v>
      </c>
      <c r="P800" s="29" t="n">
        <v>1209.1</v>
      </c>
      <c r="Q800" s="29" t="n">
        <v>0</v>
      </c>
      <c r="R800" s="29" t="n">
        <v>0</v>
      </c>
      <c r="S800" s="29" t="n">
        <v>0</v>
      </c>
      <c r="T800" t="inlineStr">
        <is>
          <t>42251202427026000901570040001864461018644695</t>
        </is>
      </c>
      <c r="U800" t="inlineStr">
        <is>
          <t>Sim</t>
        </is>
      </c>
    </row>
    <row r="801">
      <c r="A801" t="inlineStr">
        <is>
          <t>Frete de compra</t>
        </is>
      </c>
      <c r="B801" t="inlineStr">
        <is>
          <t>2.04.87 Frete sobre Compra</t>
        </is>
      </c>
      <c r="C801" t="inlineStr">
        <is>
          <t>Antes de 2026</t>
        </is>
      </c>
      <c r="D801" t="inlineStr">
        <is>
          <t>Antes de 2026</t>
        </is>
      </c>
      <c r="E801" s="28" t="n">
        <v>46013</v>
      </c>
      <c r="F801" t="inlineStr">
        <is>
          <t>CT-e</t>
        </is>
      </c>
      <c r="G801" t="inlineStr">
        <is>
          <t>000186448</t>
        </is>
      </c>
      <c r="H801" t="inlineStr">
        <is>
          <t>ALIANCA NAVEGACAO E LOGISTICA LTDA</t>
        </is>
      </c>
      <c r="J801" s="29" t="n">
        <v>17267.15</v>
      </c>
      <c r="K801" s="29">
        <f>(1-ISNUMBER(SEARCH("556",M801)))*(O801*SUMIFS(Premissas!$C$5:$C$44,Premissas!$A$5:$A$44,$A801,Premissas!$B$5:$B$44,$B801)+P801*SUMIFS(Premissas!$D$5:$D$44,Premissas!$A$5:$A$44,$A801,Premissas!$B$5:$B$44,$B801))+R801*SUMIFS(Premissas!$E$5:$E$44,Premissas!$A$5:$A$44,$A801,Premissas!$B$5:$B$44,$B801)+S801*SUMIFS(Premissas!$F$5:$F$44,Premissas!$A$5:$A$44,$A801,Premissas!$B$5:$B$44,$B801)</f>
        <v/>
      </c>
      <c r="L801" s="29">
        <f>J801-K801</f>
        <v/>
      </c>
      <c r="M801" t="inlineStr">
        <is>
          <t>1.350</t>
        </is>
      </c>
      <c r="N801" t="inlineStr">
        <is>
          <t>Modalidade: 2 - Por conta de terceiros | Parte: CMPC Iguacu Embalagens Ltda (11.308.600/0008-04)</t>
        </is>
      </c>
      <c r="O801" s="29" t="n">
        <v>0</v>
      </c>
      <c r="P801" s="29" t="n">
        <v>1208.7</v>
      </c>
      <c r="Q801" s="29" t="n">
        <v>0</v>
      </c>
      <c r="R801" s="29" t="n">
        <v>0</v>
      </c>
      <c r="S801" s="29" t="n">
        <v>0</v>
      </c>
      <c r="T801" t="inlineStr">
        <is>
          <t>42251202427026000901570040001864481018644894</t>
        </is>
      </c>
      <c r="U801" t="inlineStr">
        <is>
          <t>Sim</t>
        </is>
      </c>
    </row>
    <row r="802">
      <c r="A802" t="inlineStr">
        <is>
          <t>Frete de compra</t>
        </is>
      </c>
      <c r="B802" t="inlineStr">
        <is>
          <t>2.04.87 Frete sobre Compra</t>
        </is>
      </c>
      <c r="C802" t="inlineStr">
        <is>
          <t>Antes de 2026</t>
        </is>
      </c>
      <c r="D802" t="inlineStr">
        <is>
          <t>Antes de 2026</t>
        </is>
      </c>
      <c r="E802" s="28" t="n">
        <v>46021</v>
      </c>
      <c r="F802" t="inlineStr">
        <is>
          <t>CT-e</t>
        </is>
      </c>
      <c r="G802" t="inlineStr">
        <is>
          <t>000186874</t>
        </is>
      </c>
      <c r="H802" t="inlineStr">
        <is>
          <t>ALIANCA NAVEGACAO E LOGISTICA LTDA</t>
        </is>
      </c>
      <c r="J802" s="29" t="n">
        <v>17194.05</v>
      </c>
      <c r="K802" s="29">
        <f>(1-ISNUMBER(SEARCH("556",M802)))*(O802*SUMIFS(Premissas!$C$5:$C$44,Premissas!$A$5:$A$44,$A802,Premissas!$B$5:$B$44,$B802)+P802*SUMIFS(Premissas!$D$5:$D$44,Premissas!$A$5:$A$44,$A802,Premissas!$B$5:$B$44,$B802))+R802*SUMIFS(Premissas!$E$5:$E$44,Premissas!$A$5:$A$44,$A802,Premissas!$B$5:$B$44,$B802)+S802*SUMIFS(Premissas!$F$5:$F$44,Premissas!$A$5:$A$44,$A802,Premissas!$B$5:$B$44,$B802)</f>
        <v/>
      </c>
      <c r="L802" s="29">
        <f>J802-K802</f>
        <v/>
      </c>
      <c r="M802" t="inlineStr">
        <is>
          <t>1.350</t>
        </is>
      </c>
      <c r="N802" t="inlineStr">
        <is>
          <t>Modalidade: 2 - Por conta de terceiros | Parte: CMPC Iguacu Embalagens Ltda (11.308.600/0008-04)</t>
        </is>
      </c>
      <c r="O802" s="29" t="n">
        <v>0</v>
      </c>
      <c r="P802" s="29" t="n">
        <v>1203.58</v>
      </c>
      <c r="Q802" s="29" t="n">
        <v>0</v>
      </c>
      <c r="R802" s="29" t="n">
        <v>0</v>
      </c>
      <c r="S802" s="29" t="n">
        <v>0</v>
      </c>
      <c r="T802" t="inlineStr">
        <is>
          <t>42251202427026000901570040001868741018687498</t>
        </is>
      </c>
      <c r="U802" t="inlineStr">
        <is>
          <t>Sim</t>
        </is>
      </c>
    </row>
    <row r="803">
      <c r="A803" t="inlineStr">
        <is>
          <t>Frete de compra</t>
        </is>
      </c>
      <c r="B803" t="inlineStr">
        <is>
          <t>2.04.87 Frete sobre Compra</t>
        </is>
      </c>
      <c r="C803" t="inlineStr">
        <is>
          <t>Antes de 2026</t>
        </is>
      </c>
      <c r="D803" t="inlineStr">
        <is>
          <t>Antes de 2026</t>
        </is>
      </c>
      <c r="E803" s="28" t="n">
        <v>46021</v>
      </c>
      <c r="F803" t="inlineStr">
        <is>
          <t>CT-e</t>
        </is>
      </c>
      <c r="G803" t="inlineStr">
        <is>
          <t>000186875</t>
        </is>
      </c>
      <c r="H803" t="inlineStr">
        <is>
          <t>ALIANCA NAVEGACAO E LOGISTICA LTDA</t>
        </is>
      </c>
      <c r="J803" s="29" t="n">
        <v>17269.83</v>
      </c>
      <c r="K803" s="29">
        <f>(1-ISNUMBER(SEARCH("556",M803)))*(O803*SUMIFS(Premissas!$C$5:$C$44,Premissas!$A$5:$A$44,$A803,Premissas!$B$5:$B$44,$B803)+P803*SUMIFS(Premissas!$D$5:$D$44,Premissas!$A$5:$A$44,$A803,Premissas!$B$5:$B$44,$B803))+R803*SUMIFS(Premissas!$E$5:$E$44,Premissas!$A$5:$A$44,$A803,Premissas!$B$5:$B$44,$B803)+S803*SUMIFS(Premissas!$F$5:$F$44,Premissas!$A$5:$A$44,$A803,Premissas!$B$5:$B$44,$B803)</f>
        <v/>
      </c>
      <c r="L803" s="29">
        <f>J803-K803</f>
        <v/>
      </c>
      <c r="M803" t="inlineStr">
        <is>
          <t>1.350</t>
        </is>
      </c>
      <c r="N803" t="inlineStr">
        <is>
          <t>Modalidade: 2 - Por conta de terceiros | Parte: CMPC Iguacu Embalagens Ltda (11.308.600/0008-04)</t>
        </is>
      </c>
      <c r="O803" s="29" t="n">
        <v>0</v>
      </c>
      <c r="P803" s="29" t="n">
        <v>1208.89</v>
      </c>
      <c r="Q803" s="29" t="n">
        <v>0</v>
      </c>
      <c r="R803" s="29" t="n">
        <v>0</v>
      </c>
      <c r="S803" s="29" t="n">
        <v>0</v>
      </c>
      <c r="T803" t="inlineStr">
        <is>
          <t>42251202427026000901570040001868751018687592</t>
        </is>
      </c>
      <c r="U803" t="inlineStr">
        <is>
          <t>Sim</t>
        </is>
      </c>
    </row>
    <row r="804">
      <c r="A804" t="inlineStr">
        <is>
          <t>Frete de compra</t>
        </is>
      </c>
      <c r="B804" t="inlineStr">
        <is>
          <t>2.04.87 Frete sobre Compra</t>
        </is>
      </c>
      <c r="C804" t="inlineStr">
        <is>
          <t>Antes de 2026</t>
        </is>
      </c>
      <c r="D804" t="inlineStr">
        <is>
          <t>Antes de 2026</t>
        </is>
      </c>
      <c r="E804" s="28" t="n">
        <v>46021</v>
      </c>
      <c r="F804" t="inlineStr">
        <is>
          <t>CT-e</t>
        </is>
      </c>
      <c r="G804" t="inlineStr">
        <is>
          <t>000186876</t>
        </is>
      </c>
      <c r="H804" t="inlineStr">
        <is>
          <t>ALIANCA NAVEGACAO E LOGISTICA LTDA</t>
        </is>
      </c>
      <c r="J804" s="29" t="n">
        <v>17258.83</v>
      </c>
      <c r="K804" s="29">
        <f>(1-ISNUMBER(SEARCH("556",M804)))*(O804*SUMIFS(Premissas!$C$5:$C$44,Premissas!$A$5:$A$44,$A804,Premissas!$B$5:$B$44,$B804)+P804*SUMIFS(Premissas!$D$5:$D$44,Premissas!$A$5:$A$44,$A804,Premissas!$B$5:$B$44,$B804))+R804*SUMIFS(Premissas!$E$5:$E$44,Premissas!$A$5:$A$44,$A804,Premissas!$B$5:$B$44,$B804)+S804*SUMIFS(Premissas!$F$5:$F$44,Premissas!$A$5:$A$44,$A804,Premissas!$B$5:$B$44,$B804)</f>
        <v/>
      </c>
      <c r="L804" s="29">
        <f>J804-K804</f>
        <v/>
      </c>
      <c r="M804" t="inlineStr">
        <is>
          <t>1.350</t>
        </is>
      </c>
      <c r="N804" t="inlineStr">
        <is>
          <t>Modalidade: 2 - Por conta de terceiros | Parte: CMPC Iguacu Embalagens Ltda (11.308.600/0008-04)</t>
        </is>
      </c>
      <c r="O804" s="29" t="n">
        <v>0</v>
      </c>
      <c r="P804" s="29" t="n">
        <v>1208.12</v>
      </c>
      <c r="Q804" s="29" t="n">
        <v>0</v>
      </c>
      <c r="R804" s="29" t="n">
        <v>0</v>
      </c>
      <c r="S804" s="29" t="n">
        <v>0</v>
      </c>
      <c r="T804" t="inlineStr">
        <is>
          <t>42251202427026000901570040001868761018687697</t>
        </is>
      </c>
      <c r="U804" t="inlineStr">
        <is>
          <t>Sim</t>
        </is>
      </c>
    </row>
    <row r="805">
      <c r="A805" t="inlineStr">
        <is>
          <t>Frete de compra</t>
        </is>
      </c>
      <c r="B805" t="inlineStr">
        <is>
          <t>2.04.87 Frete sobre Compra</t>
        </is>
      </c>
      <c r="C805" t="inlineStr">
        <is>
          <t>Antes de 2026</t>
        </is>
      </c>
      <c r="D805" t="inlineStr">
        <is>
          <t>Antes de 2026</t>
        </is>
      </c>
      <c r="E805" s="28" t="n">
        <v>46021</v>
      </c>
      <c r="F805" t="inlineStr">
        <is>
          <t>CT-e</t>
        </is>
      </c>
      <c r="G805" t="inlineStr">
        <is>
          <t>000186877</t>
        </is>
      </c>
      <c r="H805" t="inlineStr">
        <is>
          <t>ALIANCA NAVEGACAO E LOGISTICA LTDA</t>
        </is>
      </c>
      <c r="J805" s="29" t="n">
        <v>17264.23</v>
      </c>
      <c r="K805" s="29">
        <f>(1-ISNUMBER(SEARCH("556",M805)))*(O805*SUMIFS(Premissas!$C$5:$C$44,Premissas!$A$5:$A$44,$A805,Premissas!$B$5:$B$44,$B805)+P805*SUMIFS(Premissas!$D$5:$D$44,Premissas!$A$5:$A$44,$A805,Premissas!$B$5:$B$44,$B805))+R805*SUMIFS(Premissas!$E$5:$E$44,Premissas!$A$5:$A$44,$A805,Premissas!$B$5:$B$44,$B805)+S805*SUMIFS(Premissas!$F$5:$F$44,Premissas!$A$5:$A$44,$A805,Premissas!$B$5:$B$44,$B805)</f>
        <v/>
      </c>
      <c r="L805" s="29">
        <f>J805-K805</f>
        <v/>
      </c>
      <c r="M805" t="inlineStr">
        <is>
          <t>1.350</t>
        </is>
      </c>
      <c r="N805" t="inlineStr">
        <is>
          <t>Modalidade: 2 - Por conta de terceiros | Parte: CMPC Iguacu Embalagens Ltda (11.308.600/0008-04)</t>
        </is>
      </c>
      <c r="O805" s="29" t="n">
        <v>0</v>
      </c>
      <c r="P805" s="29" t="n">
        <v>1208.5</v>
      </c>
      <c r="Q805" s="29" t="n">
        <v>0</v>
      </c>
      <c r="R805" s="29" t="n">
        <v>0</v>
      </c>
      <c r="S805" s="29" t="n">
        <v>0</v>
      </c>
      <c r="T805" t="inlineStr">
        <is>
          <t>42251202427026000901570040001868771018687791</t>
        </is>
      </c>
      <c r="U805" t="inlineStr">
        <is>
          <t>Sim</t>
        </is>
      </c>
    </row>
    <row r="806">
      <c r="A806" t="inlineStr">
        <is>
          <t>Frete de compra</t>
        </is>
      </c>
      <c r="B806" t="inlineStr">
        <is>
          <t>2.04.87 Frete sobre Compra</t>
        </is>
      </c>
      <c r="C806" s="30" t="n">
        <v>46023</v>
      </c>
      <c r="D806" t="inlineStr">
        <is>
          <t>Em 2026</t>
        </is>
      </c>
      <c r="E806" s="28" t="n">
        <v>46045</v>
      </c>
      <c r="F806" t="inlineStr">
        <is>
          <t>CT-e</t>
        </is>
      </c>
      <c r="G806" t="inlineStr">
        <is>
          <t>000188201</t>
        </is>
      </c>
      <c r="H806" t="inlineStr">
        <is>
          <t>ALIANCA NAVEGACAO E LOGISTICA LTDA</t>
        </is>
      </c>
      <c r="J806" s="29" t="n">
        <v>17208.34</v>
      </c>
      <c r="K806" s="29">
        <f>(1-ISNUMBER(SEARCH("556",M806)))*(O806*SUMIFS(Premissas!$C$5:$C$44,Premissas!$A$5:$A$44,$A806,Premissas!$B$5:$B$44,$B806)+P806*SUMIFS(Premissas!$D$5:$D$44,Premissas!$A$5:$A$44,$A806,Premissas!$B$5:$B$44,$B806))+R806*SUMIFS(Premissas!$E$5:$E$44,Premissas!$A$5:$A$44,$A806,Premissas!$B$5:$B$44,$B806)+S806*SUMIFS(Premissas!$F$5:$F$44,Premissas!$A$5:$A$44,$A806,Premissas!$B$5:$B$44,$B806)</f>
        <v/>
      </c>
      <c r="L806" s="29">
        <f>J806-K806</f>
        <v/>
      </c>
      <c r="M806" t="inlineStr">
        <is>
          <t>1.350</t>
        </is>
      </c>
      <c r="N806" t="inlineStr">
        <is>
          <t>Modalidade: 2 - Por conta de terceiros | Parte: CMPC Iguacu Embalagens Ltda (11.308.600/0008-04)</t>
        </is>
      </c>
      <c r="O806" s="29" t="n">
        <v>0</v>
      </c>
      <c r="P806" s="29" t="n">
        <v>1204.58</v>
      </c>
      <c r="Q806" s="29" t="n">
        <v>0</v>
      </c>
      <c r="R806" s="29" t="n">
        <v>0</v>
      </c>
      <c r="S806" s="29" t="n">
        <v>0</v>
      </c>
      <c r="T806" t="inlineStr">
        <is>
          <t>42260102427026000901570040001882011018820193</t>
        </is>
      </c>
      <c r="U806" t="inlineStr">
        <is>
          <t>Sim</t>
        </is>
      </c>
    </row>
    <row r="807">
      <c r="A807" t="inlineStr">
        <is>
          <t>Frete de compra</t>
        </is>
      </c>
      <c r="B807" t="inlineStr">
        <is>
          <t>2.04.87 Frete sobre Compra</t>
        </is>
      </c>
      <c r="C807" s="30" t="n">
        <v>46023</v>
      </c>
      <c r="D807" t="inlineStr">
        <is>
          <t>Em 2026</t>
        </is>
      </c>
      <c r="E807" s="28" t="n">
        <v>46045</v>
      </c>
      <c r="F807" t="inlineStr">
        <is>
          <t>CT-e</t>
        </is>
      </c>
      <c r="G807" t="inlineStr">
        <is>
          <t>000188202</t>
        </is>
      </c>
      <c r="H807" t="inlineStr">
        <is>
          <t>ALIANCA NAVEGACAO E LOGISTICA LTDA</t>
        </is>
      </c>
      <c r="J807" s="29" t="n">
        <v>17211.95</v>
      </c>
      <c r="K807" s="29">
        <f>(1-ISNUMBER(SEARCH("556",M807)))*(O807*SUMIFS(Premissas!$C$5:$C$44,Premissas!$A$5:$A$44,$A807,Premissas!$B$5:$B$44,$B807)+P807*SUMIFS(Premissas!$D$5:$D$44,Premissas!$A$5:$A$44,$A807,Premissas!$B$5:$B$44,$B807))+R807*SUMIFS(Premissas!$E$5:$E$44,Premissas!$A$5:$A$44,$A807,Premissas!$B$5:$B$44,$B807)+S807*SUMIFS(Premissas!$F$5:$F$44,Premissas!$A$5:$A$44,$A807,Premissas!$B$5:$B$44,$B807)</f>
        <v/>
      </c>
      <c r="L807" s="29">
        <f>J807-K807</f>
        <v/>
      </c>
      <c r="M807" t="inlineStr">
        <is>
          <t>1.350</t>
        </is>
      </c>
      <c r="N807" t="inlineStr">
        <is>
          <t>Modalidade: 2 - Por conta de terceiros | Parte: CMPC Iguacu Embalagens Ltda (11.308.600/0008-04)</t>
        </is>
      </c>
      <c r="O807" s="29" t="n">
        <v>0</v>
      </c>
      <c r="P807" s="29" t="n">
        <v>1204.84</v>
      </c>
      <c r="Q807" s="29" t="n">
        <v>0</v>
      </c>
      <c r="R807" s="29" t="n">
        <v>0</v>
      </c>
      <c r="S807" s="29" t="n">
        <v>0</v>
      </c>
      <c r="T807" t="inlineStr">
        <is>
          <t>42260102427026000901570040001882021018820298</t>
        </is>
      </c>
      <c r="U807" t="inlineStr">
        <is>
          <t>Sim</t>
        </is>
      </c>
    </row>
    <row r="808">
      <c r="A808" t="inlineStr">
        <is>
          <t>Frete de compra</t>
        </is>
      </c>
      <c r="B808" t="inlineStr">
        <is>
          <t>2.04.87 Frete sobre Compra</t>
        </is>
      </c>
      <c r="C808" s="30" t="n">
        <v>46023</v>
      </c>
      <c r="D808" t="inlineStr">
        <is>
          <t>Em 2026</t>
        </is>
      </c>
      <c r="E808" s="28" t="n">
        <v>46046</v>
      </c>
      <c r="F808" t="inlineStr">
        <is>
          <t>CT-e</t>
        </is>
      </c>
      <c r="G808" t="inlineStr">
        <is>
          <t>000188203</t>
        </is>
      </c>
      <c r="H808" t="inlineStr">
        <is>
          <t>ALIANCA NAVEGACAO E LOGISTICA LTDA</t>
        </is>
      </c>
      <c r="J808" s="29" t="n">
        <v>17204.9</v>
      </c>
      <c r="K808" s="29">
        <f>(1-ISNUMBER(SEARCH("556",M808)))*(O808*SUMIFS(Premissas!$C$5:$C$44,Premissas!$A$5:$A$44,$A808,Premissas!$B$5:$B$44,$B808)+P808*SUMIFS(Premissas!$D$5:$D$44,Premissas!$A$5:$A$44,$A808,Premissas!$B$5:$B$44,$B808))+R808*SUMIFS(Premissas!$E$5:$E$44,Premissas!$A$5:$A$44,$A808,Premissas!$B$5:$B$44,$B808)+S808*SUMIFS(Premissas!$F$5:$F$44,Premissas!$A$5:$A$44,$A808,Premissas!$B$5:$B$44,$B808)</f>
        <v/>
      </c>
      <c r="L808" s="29">
        <f>J808-K808</f>
        <v/>
      </c>
      <c r="M808" t="inlineStr">
        <is>
          <t>1.350</t>
        </is>
      </c>
      <c r="N808" t="inlineStr">
        <is>
          <t>Modalidade: 2 - Por conta de terceiros | Parte: CMPC Iguacu Embalagens Ltda (11.308.600/0008-04)</t>
        </is>
      </c>
      <c r="O808" s="29" t="n">
        <v>0</v>
      </c>
      <c r="P808" s="29" t="n">
        <v>1204.34</v>
      </c>
      <c r="Q808" s="29" t="n">
        <v>0</v>
      </c>
      <c r="R808" s="29" t="n">
        <v>0</v>
      </c>
      <c r="S808" s="29" t="n">
        <v>0</v>
      </c>
      <c r="T808" t="inlineStr">
        <is>
          <t>42260102427026000901570040001882031018820392</t>
        </is>
      </c>
      <c r="U808" t="inlineStr">
        <is>
          <t>Sim</t>
        </is>
      </c>
    </row>
    <row r="809">
      <c r="A809" t="inlineStr">
        <is>
          <t>Frete de compra</t>
        </is>
      </c>
      <c r="B809" t="inlineStr">
        <is>
          <t>2.04.87 Frete sobre Compra</t>
        </is>
      </c>
      <c r="C809" s="30" t="n">
        <v>46023</v>
      </c>
      <c r="D809" t="inlineStr">
        <is>
          <t>Em 2026</t>
        </is>
      </c>
      <c r="E809" s="28" t="n">
        <v>46046</v>
      </c>
      <c r="F809" t="inlineStr">
        <is>
          <t>CT-e</t>
        </is>
      </c>
      <c r="G809" t="inlineStr">
        <is>
          <t>000188204</t>
        </is>
      </c>
      <c r="H809" t="inlineStr">
        <is>
          <t>ALIANCA NAVEGACAO E LOGISTICA LTDA</t>
        </is>
      </c>
      <c r="J809" s="29" t="n">
        <v>17205.39</v>
      </c>
      <c r="K809" s="29">
        <f>(1-ISNUMBER(SEARCH("556",M809)))*(O809*SUMIFS(Premissas!$C$5:$C$44,Premissas!$A$5:$A$44,$A809,Premissas!$B$5:$B$44,$B809)+P809*SUMIFS(Premissas!$D$5:$D$44,Premissas!$A$5:$A$44,$A809,Premissas!$B$5:$B$44,$B809))+R809*SUMIFS(Premissas!$E$5:$E$44,Premissas!$A$5:$A$44,$A809,Premissas!$B$5:$B$44,$B809)+S809*SUMIFS(Premissas!$F$5:$F$44,Premissas!$A$5:$A$44,$A809,Premissas!$B$5:$B$44,$B809)</f>
        <v/>
      </c>
      <c r="L809" s="29">
        <f>J809-K809</f>
        <v/>
      </c>
      <c r="M809" t="inlineStr">
        <is>
          <t>1.350</t>
        </is>
      </c>
      <c r="N809" t="inlineStr">
        <is>
          <t>Modalidade: 2 - Por conta de terceiros | Parte: CMPC Iguacu Embalagens Ltda (11.308.600/0008-04)</t>
        </is>
      </c>
      <c r="O809" s="29" t="n">
        <v>0</v>
      </c>
      <c r="P809" s="29" t="n">
        <v>1204.38</v>
      </c>
      <c r="Q809" s="29" t="n">
        <v>0</v>
      </c>
      <c r="R809" s="29" t="n">
        <v>0</v>
      </c>
      <c r="S809" s="29" t="n">
        <v>0</v>
      </c>
      <c r="T809" t="inlineStr">
        <is>
          <t>42260102427026000901570040001882041018820497</t>
        </is>
      </c>
      <c r="U809" t="inlineStr">
        <is>
          <t>Sim</t>
        </is>
      </c>
    </row>
    <row r="810">
      <c r="A810" t="inlineStr">
        <is>
          <t>Frete de compra</t>
        </is>
      </c>
      <c r="B810" t="inlineStr">
        <is>
          <t>2.04.87 Frete sobre Compra</t>
        </is>
      </c>
      <c r="C810" s="30" t="n">
        <v>46023</v>
      </c>
      <c r="D810" t="inlineStr">
        <is>
          <t>Em 2026</t>
        </is>
      </c>
      <c r="E810" s="28" t="n">
        <v>46048</v>
      </c>
      <c r="F810" t="inlineStr">
        <is>
          <t>CT-e</t>
        </is>
      </c>
      <c r="G810" t="inlineStr">
        <is>
          <t>000188241</t>
        </is>
      </c>
      <c r="H810" t="inlineStr">
        <is>
          <t>ALIANCA NAVEGACAO E LOGISTICA LTDA</t>
        </is>
      </c>
      <c r="J810" s="29" t="n">
        <v>17213.35</v>
      </c>
      <c r="K810" s="29">
        <f>(1-ISNUMBER(SEARCH("556",M810)))*(O810*SUMIFS(Premissas!$C$5:$C$44,Premissas!$A$5:$A$44,$A810,Premissas!$B$5:$B$44,$B810)+P810*SUMIFS(Premissas!$D$5:$D$44,Premissas!$A$5:$A$44,$A810,Premissas!$B$5:$B$44,$B810))+R810*SUMIFS(Premissas!$E$5:$E$44,Premissas!$A$5:$A$44,$A810,Premissas!$B$5:$B$44,$B810)+S810*SUMIFS(Premissas!$F$5:$F$44,Premissas!$A$5:$A$44,$A810,Premissas!$B$5:$B$44,$B810)</f>
        <v/>
      </c>
      <c r="L810" s="29">
        <f>J810-K810</f>
        <v/>
      </c>
      <c r="M810" t="inlineStr">
        <is>
          <t>1.350</t>
        </is>
      </c>
      <c r="N810" t="inlineStr">
        <is>
          <t>Modalidade: 2 - Por conta de terceiros | Parte: CMPC Iguacu Embalagens Ltda (11.308.600/0008-04)</t>
        </is>
      </c>
      <c r="O810" s="29" t="n">
        <v>0</v>
      </c>
      <c r="P810" s="29" t="n">
        <v>1204.93</v>
      </c>
      <c r="Q810" s="29" t="n">
        <v>0</v>
      </c>
      <c r="R810" s="29" t="n">
        <v>0</v>
      </c>
      <c r="S810" s="29" t="n">
        <v>0</v>
      </c>
      <c r="T810" t="inlineStr">
        <is>
          <t>42260102427026000901570040001882411018824194</t>
        </is>
      </c>
      <c r="U810" t="inlineStr">
        <is>
          <t>Sim</t>
        </is>
      </c>
    </row>
    <row r="811">
      <c r="A811" t="inlineStr">
        <is>
          <t>Frete de compra</t>
        </is>
      </c>
      <c r="B811" t="inlineStr">
        <is>
          <t>2.04.87 Frete sobre Compra</t>
        </is>
      </c>
      <c r="C811" s="30" t="n">
        <v>46023</v>
      </c>
      <c r="D811" t="inlineStr">
        <is>
          <t>Em 2026</t>
        </is>
      </c>
      <c r="E811" s="28" t="n">
        <v>46048</v>
      </c>
      <c r="F811" t="inlineStr">
        <is>
          <t>CT-e</t>
        </is>
      </c>
      <c r="G811" t="inlineStr">
        <is>
          <t>000188248</t>
        </is>
      </c>
      <c r="H811" t="inlineStr">
        <is>
          <t>ALIANCA NAVEGACAO E LOGISTICA LTDA</t>
        </is>
      </c>
      <c r="J811" s="29" t="n">
        <v>17206.4</v>
      </c>
      <c r="K811" s="29">
        <f>(1-ISNUMBER(SEARCH("556",M811)))*(O811*SUMIFS(Premissas!$C$5:$C$44,Premissas!$A$5:$A$44,$A811,Premissas!$B$5:$B$44,$B811)+P811*SUMIFS(Premissas!$D$5:$D$44,Premissas!$A$5:$A$44,$A811,Premissas!$B$5:$B$44,$B811))+R811*SUMIFS(Premissas!$E$5:$E$44,Premissas!$A$5:$A$44,$A811,Premissas!$B$5:$B$44,$B811)+S811*SUMIFS(Premissas!$F$5:$F$44,Premissas!$A$5:$A$44,$A811,Premissas!$B$5:$B$44,$B811)</f>
        <v/>
      </c>
      <c r="L811" s="29">
        <f>J811-K811</f>
        <v/>
      </c>
      <c r="M811" t="inlineStr">
        <is>
          <t>1.350</t>
        </is>
      </c>
      <c r="N811" t="inlineStr">
        <is>
          <t>Modalidade: 2 - Por conta de terceiros | Parte: CMPC Iguacu Embalagens Ltda (11.308.600/0008-04)</t>
        </is>
      </c>
      <c r="O811" s="29" t="n">
        <v>0</v>
      </c>
      <c r="P811" s="29" t="n">
        <v>1204.45</v>
      </c>
      <c r="Q811" s="29" t="n">
        <v>0</v>
      </c>
      <c r="R811" s="29" t="n">
        <v>0</v>
      </c>
      <c r="S811" s="29" t="n">
        <v>0</v>
      </c>
      <c r="T811" t="inlineStr">
        <is>
          <t>42260102427026000901570040001882481018824896</t>
        </is>
      </c>
      <c r="U811" t="inlineStr">
        <is>
          <t>Sim</t>
        </is>
      </c>
    </row>
    <row r="812">
      <c r="A812" t="inlineStr">
        <is>
          <t>Frete de compra</t>
        </is>
      </c>
      <c r="B812" t="inlineStr">
        <is>
          <t>2.04.87 Frete sobre Compra</t>
        </is>
      </c>
      <c r="C812" s="30" t="n">
        <v>46023</v>
      </c>
      <c r="D812" t="inlineStr">
        <is>
          <t>Em 2026</t>
        </is>
      </c>
      <c r="E812" s="28" t="n">
        <v>46048</v>
      </c>
      <c r="F812" t="inlineStr">
        <is>
          <t>CT-e</t>
        </is>
      </c>
      <c r="G812" t="inlineStr">
        <is>
          <t>000188282</t>
        </is>
      </c>
      <c r="H812" t="inlineStr">
        <is>
          <t>ALIANCA NAVEGACAO E LOGISTICA LTDA</t>
        </is>
      </c>
      <c r="J812" s="29" t="n">
        <v>20006.16</v>
      </c>
      <c r="K812" s="29">
        <f>(1-ISNUMBER(SEARCH("556",M812)))*(O812*SUMIFS(Premissas!$C$5:$C$44,Premissas!$A$5:$A$44,$A812,Premissas!$B$5:$B$44,$B812)+P812*SUMIFS(Premissas!$D$5:$D$44,Premissas!$A$5:$A$44,$A812,Premissas!$B$5:$B$44,$B812))+R812*SUMIFS(Premissas!$E$5:$E$44,Premissas!$A$5:$A$44,$A812,Premissas!$B$5:$B$44,$B812)+S812*SUMIFS(Premissas!$F$5:$F$44,Premissas!$A$5:$A$44,$A812,Premissas!$B$5:$B$44,$B812)</f>
        <v/>
      </c>
      <c r="L812" s="29">
        <f>J812-K812</f>
        <v/>
      </c>
      <c r="M812" t="inlineStr">
        <is>
          <t>1.350</t>
        </is>
      </c>
      <c r="N812" t="inlineStr">
        <is>
          <t>Modalidade: 2 - Por conta de terceiros | Parte: CMPC Iguacu Embalagens Ltda (11.308.600/0008-04)</t>
        </is>
      </c>
      <c r="O812" s="29" t="n">
        <v>0</v>
      </c>
      <c r="P812" s="29" t="n">
        <v>1400.43</v>
      </c>
      <c r="Q812" s="29" t="n">
        <v>0</v>
      </c>
      <c r="R812" s="29" t="n">
        <v>0</v>
      </c>
      <c r="S812" s="29" t="n">
        <v>0</v>
      </c>
      <c r="T812" t="inlineStr">
        <is>
          <t>42260102427026000901570040001882821018828290</t>
        </is>
      </c>
      <c r="U812" t="inlineStr">
        <is>
          <t>Sim</t>
        </is>
      </c>
    </row>
    <row r="813">
      <c r="A813" t="inlineStr">
        <is>
          <t>Frete de compra</t>
        </is>
      </c>
      <c r="B813" t="inlineStr">
        <is>
          <t>2.04.87 Frete sobre Compra</t>
        </is>
      </c>
      <c r="C813" s="30" t="n">
        <v>46023</v>
      </c>
      <c r="D813" t="inlineStr">
        <is>
          <t>Em 2026</t>
        </is>
      </c>
      <c r="E813" s="28" t="n">
        <v>46048</v>
      </c>
      <c r="F813" t="inlineStr">
        <is>
          <t>CT-e</t>
        </is>
      </c>
      <c r="G813" t="inlineStr">
        <is>
          <t>000188283</t>
        </is>
      </c>
      <c r="H813" t="inlineStr">
        <is>
          <t>ALIANCA NAVEGACAO E LOGISTICA LTDA</t>
        </is>
      </c>
      <c r="J813" s="29" t="n">
        <v>20006.52</v>
      </c>
      <c r="K813" s="29">
        <f>(1-ISNUMBER(SEARCH("556",M813)))*(O813*SUMIFS(Premissas!$C$5:$C$44,Premissas!$A$5:$A$44,$A813,Premissas!$B$5:$B$44,$B813)+P813*SUMIFS(Premissas!$D$5:$D$44,Premissas!$A$5:$A$44,$A813,Premissas!$B$5:$B$44,$B813))+R813*SUMIFS(Premissas!$E$5:$E$44,Premissas!$A$5:$A$44,$A813,Premissas!$B$5:$B$44,$B813)+S813*SUMIFS(Premissas!$F$5:$F$44,Premissas!$A$5:$A$44,$A813,Premissas!$B$5:$B$44,$B813)</f>
        <v/>
      </c>
      <c r="L813" s="29">
        <f>J813-K813</f>
        <v/>
      </c>
      <c r="M813" t="inlineStr">
        <is>
          <t>1.350</t>
        </is>
      </c>
      <c r="N813" t="inlineStr">
        <is>
          <t>Modalidade: 2 - Por conta de terceiros | Parte: CMPC Iguacu Embalagens Ltda (11.308.600/0008-04)</t>
        </is>
      </c>
      <c r="O813" s="29" t="n">
        <v>0</v>
      </c>
      <c r="P813" s="29" t="n">
        <v>1400.46</v>
      </c>
      <c r="Q813" s="29" t="n">
        <v>0</v>
      </c>
      <c r="R813" s="29" t="n">
        <v>0</v>
      </c>
      <c r="S813" s="29" t="n">
        <v>0</v>
      </c>
      <c r="T813" t="inlineStr">
        <is>
          <t>42260102427026000901570040001882831018828394</t>
        </is>
      </c>
      <c r="U813" t="inlineStr">
        <is>
          <t>Sim</t>
        </is>
      </c>
    </row>
    <row r="814">
      <c r="A814" t="inlineStr">
        <is>
          <t>Frete de compra</t>
        </is>
      </c>
      <c r="B814" t="inlineStr">
        <is>
          <t>2.04.87 Frete sobre Compra</t>
        </is>
      </c>
      <c r="C814" s="30" t="n">
        <v>46023</v>
      </c>
      <c r="D814" t="inlineStr">
        <is>
          <t>Em 2026</t>
        </is>
      </c>
      <c r="E814" s="28" t="n">
        <v>46048</v>
      </c>
      <c r="F814" t="inlineStr">
        <is>
          <t>CT-e</t>
        </is>
      </c>
      <c r="G814" t="inlineStr">
        <is>
          <t>000188284</t>
        </is>
      </c>
      <c r="H814" t="inlineStr">
        <is>
          <t>ALIANCA NAVEGACAO E LOGISTICA LTDA</t>
        </is>
      </c>
      <c r="J814" s="29" t="n">
        <v>20003.02</v>
      </c>
      <c r="K814" s="29">
        <f>(1-ISNUMBER(SEARCH("556",M814)))*(O814*SUMIFS(Premissas!$C$5:$C$44,Premissas!$A$5:$A$44,$A814,Premissas!$B$5:$B$44,$B814)+P814*SUMIFS(Premissas!$D$5:$D$44,Premissas!$A$5:$A$44,$A814,Premissas!$B$5:$B$44,$B814))+R814*SUMIFS(Premissas!$E$5:$E$44,Premissas!$A$5:$A$44,$A814,Premissas!$B$5:$B$44,$B814)+S814*SUMIFS(Premissas!$F$5:$F$44,Premissas!$A$5:$A$44,$A814,Premissas!$B$5:$B$44,$B814)</f>
        <v/>
      </c>
      <c r="L814" s="29">
        <f>J814-K814</f>
        <v/>
      </c>
      <c r="M814" t="inlineStr">
        <is>
          <t>1.350</t>
        </is>
      </c>
      <c r="N814" t="inlineStr">
        <is>
          <t>Modalidade: 2 - Por conta de terceiros | Parte: CMPC Iguacu Embalagens Ltda (11.308.600/0008-04)</t>
        </is>
      </c>
      <c r="O814" s="29" t="n">
        <v>0</v>
      </c>
      <c r="P814" s="29" t="n">
        <v>1400.21</v>
      </c>
      <c r="Q814" s="29" t="n">
        <v>0</v>
      </c>
      <c r="R814" s="29" t="n">
        <v>0</v>
      </c>
      <c r="S814" s="29" t="n">
        <v>0</v>
      </c>
      <c r="T814" t="inlineStr">
        <is>
          <t>42260102427026000901570040001882841018828499</t>
        </is>
      </c>
      <c r="U814" t="inlineStr">
        <is>
          <t>Sim</t>
        </is>
      </c>
    </row>
    <row r="815">
      <c r="A815" t="inlineStr">
        <is>
          <t>Frete de compra</t>
        </is>
      </c>
      <c r="B815" t="inlineStr">
        <is>
          <t>2.04.87 Frete sobre Compra</t>
        </is>
      </c>
      <c r="C815" s="30" t="n">
        <v>46023</v>
      </c>
      <c r="D815" t="inlineStr">
        <is>
          <t>Em 2026</t>
        </is>
      </c>
      <c r="E815" s="28" t="n">
        <v>46048</v>
      </c>
      <c r="F815" t="inlineStr">
        <is>
          <t>CT-e</t>
        </is>
      </c>
      <c r="G815" t="inlineStr">
        <is>
          <t>000188285</t>
        </is>
      </c>
      <c r="H815" t="inlineStr">
        <is>
          <t>ALIANCA NAVEGACAO E LOGISTICA LTDA</t>
        </is>
      </c>
      <c r="J815" s="29" t="n">
        <v>20006.62</v>
      </c>
      <c r="K815" s="29">
        <f>(1-ISNUMBER(SEARCH("556",M815)))*(O815*SUMIFS(Premissas!$C$5:$C$44,Premissas!$A$5:$A$44,$A815,Premissas!$B$5:$B$44,$B815)+P815*SUMIFS(Premissas!$D$5:$D$44,Premissas!$A$5:$A$44,$A815,Premissas!$B$5:$B$44,$B815))+R815*SUMIFS(Premissas!$E$5:$E$44,Premissas!$A$5:$A$44,$A815,Premissas!$B$5:$B$44,$B815)+S815*SUMIFS(Premissas!$F$5:$F$44,Premissas!$A$5:$A$44,$A815,Premissas!$B$5:$B$44,$B815)</f>
        <v/>
      </c>
      <c r="L815" s="29">
        <f>J815-K815</f>
        <v/>
      </c>
      <c r="M815" t="inlineStr">
        <is>
          <t>1.350</t>
        </is>
      </c>
      <c r="N815" t="inlineStr">
        <is>
          <t>Modalidade: 2 - Por conta de terceiros | Parte: CMPC Iguacu Embalagens Ltda (11.308.600/0008-04)</t>
        </is>
      </c>
      <c r="O815" s="29" t="n">
        <v>0</v>
      </c>
      <c r="P815" s="29" t="n">
        <v>1400.46</v>
      </c>
      <c r="Q815" s="29" t="n">
        <v>0</v>
      </c>
      <c r="R815" s="29" t="n">
        <v>0</v>
      </c>
      <c r="S815" s="29" t="n">
        <v>0</v>
      </c>
      <c r="T815" t="inlineStr">
        <is>
          <t>42260102427026000901570040001882851018828593</t>
        </is>
      </c>
      <c r="U815" t="inlineStr">
        <is>
          <t>Sim</t>
        </is>
      </c>
    </row>
    <row r="816">
      <c r="A816" t="inlineStr">
        <is>
          <t>Frete de compra</t>
        </is>
      </c>
      <c r="B816" t="inlineStr">
        <is>
          <t>2.04.87 Frete sobre Compra</t>
        </is>
      </c>
      <c r="C816" s="30" t="n">
        <v>46023</v>
      </c>
      <c r="D816" t="inlineStr">
        <is>
          <t>Em 2026</t>
        </is>
      </c>
      <c r="E816" s="28" t="n">
        <v>46048</v>
      </c>
      <c r="F816" t="inlineStr">
        <is>
          <t>CT-e</t>
        </is>
      </c>
      <c r="G816" t="inlineStr">
        <is>
          <t>000188286</t>
        </is>
      </c>
      <c r="H816" t="inlineStr">
        <is>
          <t>ALIANCA NAVEGACAO E LOGISTICA LTDA</t>
        </is>
      </c>
      <c r="J816" s="29" t="n">
        <v>17210.38</v>
      </c>
      <c r="K816" s="29">
        <f>(1-ISNUMBER(SEARCH("556",M816)))*(O816*SUMIFS(Premissas!$C$5:$C$44,Premissas!$A$5:$A$44,$A816,Premissas!$B$5:$B$44,$B816)+P816*SUMIFS(Premissas!$D$5:$D$44,Premissas!$A$5:$A$44,$A816,Premissas!$B$5:$B$44,$B816))+R816*SUMIFS(Premissas!$E$5:$E$44,Premissas!$A$5:$A$44,$A816,Premissas!$B$5:$B$44,$B816)+S816*SUMIFS(Premissas!$F$5:$F$44,Premissas!$A$5:$A$44,$A816,Premissas!$B$5:$B$44,$B816)</f>
        <v/>
      </c>
      <c r="L816" s="29">
        <f>J816-K816</f>
        <v/>
      </c>
      <c r="M816" t="inlineStr">
        <is>
          <t>1.350</t>
        </is>
      </c>
      <c r="N816" t="inlineStr">
        <is>
          <t>Modalidade: 2 - Por conta de terceiros | Parte: CMPC Iguacu Embalagens Ltda (11.308.600/0008-04)</t>
        </is>
      </c>
      <c r="O816" s="29" t="n">
        <v>0</v>
      </c>
      <c r="P816" s="29" t="n">
        <v>1204.73</v>
      </c>
      <c r="Q816" s="29" t="n">
        <v>0</v>
      </c>
      <c r="R816" s="29" t="n">
        <v>0</v>
      </c>
      <c r="S816" s="29" t="n">
        <v>0</v>
      </c>
      <c r="T816" t="inlineStr">
        <is>
          <t>42260102427026000901570040001882861018828698</t>
        </is>
      </c>
      <c r="U816" t="inlineStr">
        <is>
          <t>Sim</t>
        </is>
      </c>
    </row>
    <row r="817">
      <c r="A817" t="inlineStr">
        <is>
          <t>Frete de compra</t>
        </is>
      </c>
      <c r="B817" t="inlineStr">
        <is>
          <t>2.04.87 Frete sobre Compra</t>
        </is>
      </c>
      <c r="C817" s="30" t="n">
        <v>46023</v>
      </c>
      <c r="D817" t="inlineStr">
        <is>
          <t>Em 2026</t>
        </is>
      </c>
      <c r="E817" s="28" t="n">
        <v>46049</v>
      </c>
      <c r="F817" t="inlineStr">
        <is>
          <t>CT-e</t>
        </is>
      </c>
      <c r="G817" t="inlineStr">
        <is>
          <t>000188293</t>
        </is>
      </c>
      <c r="H817" t="inlineStr">
        <is>
          <t>ALIANCA NAVEGACAO E LOGISTICA LTDA</t>
        </is>
      </c>
      <c r="J817" s="29" t="n">
        <v>17212.69</v>
      </c>
      <c r="K817" s="29">
        <f>(1-ISNUMBER(SEARCH("556",M817)))*(O817*SUMIFS(Premissas!$C$5:$C$44,Premissas!$A$5:$A$44,$A817,Premissas!$B$5:$B$44,$B817)+P817*SUMIFS(Premissas!$D$5:$D$44,Premissas!$A$5:$A$44,$A817,Premissas!$B$5:$B$44,$B817))+R817*SUMIFS(Premissas!$E$5:$E$44,Premissas!$A$5:$A$44,$A817,Premissas!$B$5:$B$44,$B817)+S817*SUMIFS(Premissas!$F$5:$F$44,Premissas!$A$5:$A$44,$A817,Premissas!$B$5:$B$44,$B817)</f>
        <v/>
      </c>
      <c r="L817" s="29">
        <f>J817-K817</f>
        <v/>
      </c>
      <c r="M817" t="inlineStr">
        <is>
          <t>1.350</t>
        </is>
      </c>
      <c r="N817" t="inlineStr">
        <is>
          <t>Modalidade: 2 - Por conta de terceiros | Parte: CMPC Iguacu Embalagens Ltda (11.308.600/0008-04)</t>
        </is>
      </c>
      <c r="O817" s="29" t="n">
        <v>0</v>
      </c>
      <c r="P817" s="29" t="n">
        <v>1204.89</v>
      </c>
      <c r="Q817" s="29" t="n">
        <v>0</v>
      </c>
      <c r="R817" s="29" t="n">
        <v>0</v>
      </c>
      <c r="S817" s="29" t="n">
        <v>0</v>
      </c>
      <c r="T817" t="inlineStr">
        <is>
          <t>42260102427026000901570040001882931018829397</t>
        </is>
      </c>
      <c r="U817" t="inlineStr">
        <is>
          <t>Sim</t>
        </is>
      </c>
    </row>
    <row r="818">
      <c r="A818" t="inlineStr">
        <is>
          <t>Frete de compra</t>
        </is>
      </c>
      <c r="B818" t="inlineStr">
        <is>
          <t>2.04.87 Frete sobre Compra</t>
        </is>
      </c>
      <c r="C818" s="30" t="n">
        <v>46023</v>
      </c>
      <c r="D818" t="inlineStr">
        <is>
          <t>Em 2026</t>
        </is>
      </c>
      <c r="E818" s="28" t="n">
        <v>46049</v>
      </c>
      <c r="F818" t="inlineStr">
        <is>
          <t>CT-e</t>
        </is>
      </c>
      <c r="G818" t="inlineStr">
        <is>
          <t>000188296</t>
        </is>
      </c>
      <c r="H818" t="inlineStr">
        <is>
          <t>ALIANCA NAVEGACAO E LOGISTICA LTDA</t>
        </is>
      </c>
      <c r="J818" s="29" t="n">
        <v>20004.48</v>
      </c>
      <c r="K818" s="29">
        <f>(1-ISNUMBER(SEARCH("556",M818)))*(O818*SUMIFS(Premissas!$C$5:$C$44,Premissas!$A$5:$A$44,$A818,Premissas!$B$5:$B$44,$B818)+P818*SUMIFS(Premissas!$D$5:$D$44,Premissas!$A$5:$A$44,$A818,Premissas!$B$5:$B$44,$B818))+R818*SUMIFS(Premissas!$E$5:$E$44,Premissas!$A$5:$A$44,$A818,Premissas!$B$5:$B$44,$B818)+S818*SUMIFS(Premissas!$F$5:$F$44,Premissas!$A$5:$A$44,$A818,Premissas!$B$5:$B$44,$B818)</f>
        <v/>
      </c>
      <c r="L818" s="29">
        <f>J818-K818</f>
        <v/>
      </c>
      <c r="M818" t="inlineStr">
        <is>
          <t>1.350</t>
        </is>
      </c>
      <c r="N818" t="inlineStr">
        <is>
          <t>Modalidade: 2 - Por conta de terceiros | Parte: CMPC Iguacu Embalagens Ltda (11.308.600/0008-04)</t>
        </is>
      </c>
      <c r="O818" s="29" t="n">
        <v>0</v>
      </c>
      <c r="P818" s="29" t="n">
        <v>1400.31</v>
      </c>
      <c r="Q818" s="29" t="n">
        <v>0</v>
      </c>
      <c r="R818" s="29" t="n">
        <v>0</v>
      </c>
      <c r="S818" s="29" t="n">
        <v>0</v>
      </c>
      <c r="T818" t="inlineStr">
        <is>
          <t>42260102427026000901570040001882961018829690</t>
        </is>
      </c>
      <c r="U818" t="inlineStr">
        <is>
          <t>Sim</t>
        </is>
      </c>
    </row>
    <row r="819">
      <c r="A819" t="inlineStr">
        <is>
          <t>Frete de compra</t>
        </is>
      </c>
      <c r="B819" t="inlineStr">
        <is>
          <t>2.04.87 Frete sobre Compra</t>
        </is>
      </c>
      <c r="C819" s="30" t="n">
        <v>46023</v>
      </c>
      <c r="D819" t="inlineStr">
        <is>
          <t>Em 2026</t>
        </is>
      </c>
      <c r="E819" s="28" t="n">
        <v>46049</v>
      </c>
      <c r="F819" t="inlineStr">
        <is>
          <t>CT-e</t>
        </is>
      </c>
      <c r="G819" t="inlineStr">
        <is>
          <t>000188297</t>
        </is>
      </c>
      <c r="H819" t="inlineStr">
        <is>
          <t>ALIANCA NAVEGACAO E LOGISTICA LTDA</t>
        </is>
      </c>
      <c r="J819" s="29" t="n">
        <v>20007.49</v>
      </c>
      <c r="K819" s="29">
        <f>(1-ISNUMBER(SEARCH("556",M819)))*(O819*SUMIFS(Premissas!$C$5:$C$44,Premissas!$A$5:$A$44,$A819,Premissas!$B$5:$B$44,$B819)+P819*SUMIFS(Premissas!$D$5:$D$44,Premissas!$A$5:$A$44,$A819,Premissas!$B$5:$B$44,$B819))+R819*SUMIFS(Premissas!$E$5:$E$44,Premissas!$A$5:$A$44,$A819,Premissas!$B$5:$B$44,$B819)+S819*SUMIFS(Premissas!$F$5:$F$44,Premissas!$A$5:$A$44,$A819,Premissas!$B$5:$B$44,$B819)</f>
        <v/>
      </c>
      <c r="L819" s="29">
        <f>J819-K819</f>
        <v/>
      </c>
      <c r="M819" t="inlineStr">
        <is>
          <t>1.350</t>
        </is>
      </c>
      <c r="N819" t="inlineStr">
        <is>
          <t>Modalidade: 2 - Por conta de terceiros | Parte: CMPC Iguacu Embalagens Ltda (11.308.600/0008-04)</t>
        </is>
      </c>
      <c r="O819" s="29" t="n">
        <v>0</v>
      </c>
      <c r="P819" s="29" t="n">
        <v>1400.52</v>
      </c>
      <c r="Q819" s="29" t="n">
        <v>0</v>
      </c>
      <c r="R819" s="29" t="n">
        <v>0</v>
      </c>
      <c r="S819" s="29" t="n">
        <v>0</v>
      </c>
      <c r="T819" t="inlineStr">
        <is>
          <t>42260102427026000901570040001882971018829795</t>
        </is>
      </c>
      <c r="U819" t="inlineStr">
        <is>
          <t>Sim</t>
        </is>
      </c>
    </row>
    <row r="820">
      <c r="A820" t="inlineStr">
        <is>
          <t>Frete de compra</t>
        </is>
      </c>
      <c r="B820" t="inlineStr">
        <is>
          <t>2.04.87 Frete sobre Compra</t>
        </is>
      </c>
      <c r="C820" s="30" t="n">
        <v>46023</v>
      </c>
      <c r="D820" t="inlineStr">
        <is>
          <t>Em 2026</t>
        </is>
      </c>
      <c r="E820" s="28" t="n">
        <v>46049</v>
      </c>
      <c r="F820" t="inlineStr">
        <is>
          <t>CT-e</t>
        </is>
      </c>
      <c r="G820" t="inlineStr">
        <is>
          <t>000188298</t>
        </is>
      </c>
      <c r="H820" t="inlineStr">
        <is>
          <t>ALIANCA NAVEGACAO E LOGISTICA LTDA</t>
        </is>
      </c>
      <c r="J820" s="29" t="n">
        <v>20005.98</v>
      </c>
      <c r="K820" s="29">
        <f>(1-ISNUMBER(SEARCH("556",M820)))*(O820*SUMIFS(Premissas!$C$5:$C$44,Premissas!$A$5:$A$44,$A820,Premissas!$B$5:$B$44,$B820)+P820*SUMIFS(Premissas!$D$5:$D$44,Premissas!$A$5:$A$44,$A820,Premissas!$B$5:$B$44,$B820))+R820*SUMIFS(Premissas!$E$5:$E$44,Premissas!$A$5:$A$44,$A820,Premissas!$B$5:$B$44,$B820)+S820*SUMIFS(Premissas!$F$5:$F$44,Premissas!$A$5:$A$44,$A820,Premissas!$B$5:$B$44,$B820)</f>
        <v/>
      </c>
      <c r="L820" s="29">
        <f>J820-K820</f>
        <v/>
      </c>
      <c r="M820" t="inlineStr">
        <is>
          <t>1.350</t>
        </is>
      </c>
      <c r="N820" t="inlineStr">
        <is>
          <t>Modalidade: 2 - Por conta de terceiros | Parte: CMPC Iguacu Embalagens Ltda (11.308.600/0008-04)</t>
        </is>
      </c>
      <c r="O820" s="29" t="n">
        <v>0</v>
      </c>
      <c r="P820" s="29" t="n">
        <v>1400.42</v>
      </c>
      <c r="Q820" s="29" t="n">
        <v>0</v>
      </c>
      <c r="R820" s="29" t="n">
        <v>0</v>
      </c>
      <c r="S820" s="29" t="n">
        <v>0</v>
      </c>
      <c r="T820" t="inlineStr">
        <is>
          <t>42260102427026000901570040001882981018829890</t>
        </is>
      </c>
      <c r="U820" t="inlineStr">
        <is>
          <t>Sim</t>
        </is>
      </c>
    </row>
    <row r="821">
      <c r="A821" t="inlineStr">
        <is>
          <t>Frete de compra</t>
        </is>
      </c>
      <c r="B821" t="inlineStr">
        <is>
          <t>2.04.87 Frete sobre Compra</t>
        </is>
      </c>
      <c r="C821" s="30" t="n">
        <v>46023</v>
      </c>
      <c r="D821" t="inlineStr">
        <is>
          <t>Em 2026</t>
        </is>
      </c>
      <c r="E821" s="28" t="n">
        <v>46049</v>
      </c>
      <c r="F821" t="inlineStr">
        <is>
          <t>CT-e</t>
        </is>
      </c>
      <c r="G821" t="inlineStr">
        <is>
          <t>000188301</t>
        </is>
      </c>
      <c r="H821" t="inlineStr">
        <is>
          <t>ALIANCA NAVEGACAO E LOGISTICA LTDA</t>
        </is>
      </c>
      <c r="J821" s="29" t="n">
        <v>19991.7</v>
      </c>
      <c r="K821" s="29">
        <f>(1-ISNUMBER(SEARCH("556",M821)))*(O821*SUMIFS(Premissas!$C$5:$C$44,Premissas!$A$5:$A$44,$A821,Premissas!$B$5:$B$44,$B821)+P821*SUMIFS(Premissas!$D$5:$D$44,Premissas!$A$5:$A$44,$A821,Premissas!$B$5:$B$44,$B821))+R821*SUMIFS(Premissas!$E$5:$E$44,Premissas!$A$5:$A$44,$A821,Premissas!$B$5:$B$44,$B821)+S821*SUMIFS(Premissas!$F$5:$F$44,Premissas!$A$5:$A$44,$A821,Premissas!$B$5:$B$44,$B821)</f>
        <v/>
      </c>
      <c r="L821" s="29">
        <f>J821-K821</f>
        <v/>
      </c>
      <c r="M821" t="inlineStr">
        <is>
          <t>1.350</t>
        </is>
      </c>
      <c r="N821" t="inlineStr">
        <is>
          <t>Modalidade: 2 - Por conta de terceiros | Parte: CMPC Iguacu Embalagens Ltda (11.308.600/0008-04)</t>
        </is>
      </c>
      <c r="O821" s="29" t="n">
        <v>0</v>
      </c>
      <c r="P821" s="29" t="n">
        <v>1399.42</v>
      </c>
      <c r="Q821" s="29" t="n">
        <v>0</v>
      </c>
      <c r="R821" s="29" t="n">
        <v>0</v>
      </c>
      <c r="S821" s="29" t="n">
        <v>0</v>
      </c>
      <c r="T821" t="inlineStr">
        <is>
          <t>42260102427026000901570040001883011018830194</t>
        </is>
      </c>
      <c r="U821" t="inlineStr">
        <is>
          <t>Sim</t>
        </is>
      </c>
    </row>
    <row r="822">
      <c r="A822" t="inlineStr">
        <is>
          <t>Frete de compra</t>
        </is>
      </c>
      <c r="B822" t="inlineStr">
        <is>
          <t>2.04.87 Frete sobre Compra</t>
        </is>
      </c>
      <c r="C822" s="30" t="n">
        <v>46023</v>
      </c>
      <c r="D822" t="inlineStr">
        <is>
          <t>Em 2026</t>
        </is>
      </c>
      <c r="E822" s="28" t="n">
        <v>46049</v>
      </c>
      <c r="F822" t="inlineStr">
        <is>
          <t>CT-e</t>
        </is>
      </c>
      <c r="G822" t="inlineStr">
        <is>
          <t>000188324</t>
        </is>
      </c>
      <c r="H822" t="inlineStr">
        <is>
          <t>ALIANCA NAVEGACAO E LOGISTICA LTDA</t>
        </is>
      </c>
      <c r="J822" s="29" t="n">
        <v>17207.95</v>
      </c>
      <c r="K822" s="29">
        <f>(1-ISNUMBER(SEARCH("556",M822)))*(O822*SUMIFS(Premissas!$C$5:$C$44,Premissas!$A$5:$A$44,$A822,Premissas!$B$5:$B$44,$B822)+P822*SUMIFS(Premissas!$D$5:$D$44,Premissas!$A$5:$A$44,$A822,Premissas!$B$5:$B$44,$B822))+R822*SUMIFS(Premissas!$E$5:$E$44,Premissas!$A$5:$A$44,$A822,Premissas!$B$5:$B$44,$B822)+S822*SUMIFS(Premissas!$F$5:$F$44,Premissas!$A$5:$A$44,$A822,Premissas!$B$5:$B$44,$B822)</f>
        <v/>
      </c>
      <c r="L822" s="29">
        <f>J822-K822</f>
        <v/>
      </c>
      <c r="M822" t="inlineStr">
        <is>
          <t>1.350</t>
        </is>
      </c>
      <c r="N822" t="inlineStr">
        <is>
          <t>Modalidade: 2 - Por conta de terceiros | Parte: CMPC Iguacu Embalagens Ltda (11.308.600/0008-04)</t>
        </is>
      </c>
      <c r="O822" s="29" t="n">
        <v>0</v>
      </c>
      <c r="P822" s="29" t="n">
        <v>1204.56</v>
      </c>
      <c r="Q822" s="29" t="n">
        <v>0</v>
      </c>
      <c r="R822" s="29" t="n">
        <v>0</v>
      </c>
      <c r="S822" s="29" t="n">
        <v>0</v>
      </c>
      <c r="T822" t="inlineStr">
        <is>
          <t>42260102427026000901570040001883241018832493</t>
        </is>
      </c>
      <c r="U822" t="inlineStr">
        <is>
          <t>Sim</t>
        </is>
      </c>
    </row>
    <row r="823">
      <c r="A823" t="inlineStr">
        <is>
          <t>Frete de compra</t>
        </is>
      </c>
      <c r="B823" t="inlineStr">
        <is>
          <t>2.04.87 Frete sobre Compra</t>
        </is>
      </c>
      <c r="C823" s="30" t="n">
        <v>46023</v>
      </c>
      <c r="D823" t="inlineStr">
        <is>
          <t>Em 2026</t>
        </is>
      </c>
      <c r="E823" s="28" t="n">
        <v>46049</v>
      </c>
      <c r="F823" t="inlineStr">
        <is>
          <t>CT-e</t>
        </is>
      </c>
      <c r="G823" t="inlineStr">
        <is>
          <t>000188325</t>
        </is>
      </c>
      <c r="H823" t="inlineStr">
        <is>
          <t>ALIANCA NAVEGACAO E LOGISTICA LTDA</t>
        </is>
      </c>
      <c r="J823" s="29" t="n">
        <v>17209.22</v>
      </c>
      <c r="K823" s="29">
        <f>(1-ISNUMBER(SEARCH("556",M823)))*(O823*SUMIFS(Premissas!$C$5:$C$44,Premissas!$A$5:$A$44,$A823,Premissas!$B$5:$B$44,$B823)+P823*SUMIFS(Premissas!$D$5:$D$44,Premissas!$A$5:$A$44,$A823,Premissas!$B$5:$B$44,$B823))+R823*SUMIFS(Premissas!$E$5:$E$44,Premissas!$A$5:$A$44,$A823,Premissas!$B$5:$B$44,$B823)+S823*SUMIFS(Premissas!$F$5:$F$44,Premissas!$A$5:$A$44,$A823,Premissas!$B$5:$B$44,$B823)</f>
        <v/>
      </c>
      <c r="L823" s="29">
        <f>J823-K823</f>
        <v/>
      </c>
      <c r="M823" t="inlineStr">
        <is>
          <t>1.350</t>
        </is>
      </c>
      <c r="N823" t="inlineStr">
        <is>
          <t>Modalidade: 2 - Por conta de terceiros | Parte: CMPC Iguacu Embalagens Ltda (11.308.600/0008-04)</t>
        </is>
      </c>
      <c r="O823" s="29" t="n">
        <v>0</v>
      </c>
      <c r="P823" s="29" t="n">
        <v>1204.65</v>
      </c>
      <c r="Q823" s="29" t="n">
        <v>0</v>
      </c>
      <c r="R823" s="29" t="n">
        <v>0</v>
      </c>
      <c r="S823" s="29" t="n">
        <v>0</v>
      </c>
      <c r="T823" t="inlineStr">
        <is>
          <t>42260102427026000901570040001883251018832598</t>
        </is>
      </c>
      <c r="U823" t="inlineStr">
        <is>
          <t>Sim</t>
        </is>
      </c>
    </row>
    <row r="824">
      <c r="A824" t="inlineStr">
        <is>
          <t>Frete de compra</t>
        </is>
      </c>
      <c r="B824" t="inlineStr">
        <is>
          <t>2.04.87 Frete sobre Compra</t>
        </is>
      </c>
      <c r="C824" s="30" t="n">
        <v>46023</v>
      </c>
      <c r="D824" t="inlineStr">
        <is>
          <t>Em 2026</t>
        </is>
      </c>
      <c r="E824" s="28" t="n">
        <v>46049</v>
      </c>
      <c r="F824" t="inlineStr">
        <is>
          <t>CT-e</t>
        </is>
      </c>
      <c r="G824" t="inlineStr">
        <is>
          <t>000188363</t>
        </is>
      </c>
      <c r="H824" t="inlineStr">
        <is>
          <t>ALIANCA NAVEGACAO E LOGISTICA LTDA</t>
        </is>
      </c>
      <c r="J824" s="29" t="n">
        <v>17209.16</v>
      </c>
      <c r="K824" s="29">
        <f>(1-ISNUMBER(SEARCH("556",M824)))*(O824*SUMIFS(Premissas!$C$5:$C$44,Premissas!$A$5:$A$44,$A824,Premissas!$B$5:$B$44,$B824)+P824*SUMIFS(Premissas!$D$5:$D$44,Premissas!$A$5:$A$44,$A824,Premissas!$B$5:$B$44,$B824))+R824*SUMIFS(Premissas!$E$5:$E$44,Premissas!$A$5:$A$44,$A824,Premissas!$B$5:$B$44,$B824)+S824*SUMIFS(Premissas!$F$5:$F$44,Premissas!$A$5:$A$44,$A824,Premissas!$B$5:$B$44,$B824)</f>
        <v/>
      </c>
      <c r="L824" s="29">
        <f>J824-K824</f>
        <v/>
      </c>
      <c r="M824" t="inlineStr">
        <is>
          <t>1.350</t>
        </is>
      </c>
      <c r="N824" t="inlineStr">
        <is>
          <t>Modalidade: 2 - Por conta de terceiros | Parte: CMPC Iguacu Embalagens Ltda (11.308.600/0008-04)</t>
        </is>
      </c>
      <c r="O824" s="29" t="n">
        <v>0</v>
      </c>
      <c r="P824" s="29" t="n">
        <v>1204.64</v>
      </c>
      <c r="Q824" s="29" t="n">
        <v>0</v>
      </c>
      <c r="R824" s="29" t="n">
        <v>0</v>
      </c>
      <c r="S824" s="29" t="n">
        <v>0</v>
      </c>
      <c r="T824" t="inlineStr">
        <is>
          <t>42260102427026000901570040001883631018836390</t>
        </is>
      </c>
      <c r="U824" t="inlineStr">
        <is>
          <t>Sim</t>
        </is>
      </c>
    </row>
    <row r="825">
      <c r="A825" t="inlineStr">
        <is>
          <t>Frete de compra</t>
        </is>
      </c>
      <c r="B825" t="inlineStr">
        <is>
          <t>2.04.87 Frete sobre Compra</t>
        </is>
      </c>
      <c r="C825" s="30" t="n">
        <v>46023</v>
      </c>
      <c r="D825" t="inlineStr">
        <is>
          <t>Em 2026</t>
        </is>
      </c>
      <c r="E825" s="28" t="n">
        <v>46049</v>
      </c>
      <c r="F825" t="inlineStr">
        <is>
          <t>CT-e</t>
        </is>
      </c>
      <c r="G825" t="inlineStr">
        <is>
          <t>000188380</t>
        </is>
      </c>
      <c r="H825" t="inlineStr">
        <is>
          <t>ALIANCA NAVEGACAO E LOGISTICA LTDA</t>
        </is>
      </c>
      <c r="J825" s="29" t="n">
        <v>17201.01</v>
      </c>
      <c r="K825" s="29">
        <f>(1-ISNUMBER(SEARCH("556",M825)))*(O825*SUMIFS(Premissas!$C$5:$C$44,Premissas!$A$5:$A$44,$A825,Premissas!$B$5:$B$44,$B825)+P825*SUMIFS(Premissas!$D$5:$D$44,Premissas!$A$5:$A$44,$A825,Premissas!$B$5:$B$44,$B825))+R825*SUMIFS(Premissas!$E$5:$E$44,Premissas!$A$5:$A$44,$A825,Premissas!$B$5:$B$44,$B825)+S825*SUMIFS(Premissas!$F$5:$F$44,Premissas!$A$5:$A$44,$A825,Premissas!$B$5:$B$44,$B825)</f>
        <v/>
      </c>
      <c r="L825" s="29">
        <f>J825-K825</f>
        <v/>
      </c>
      <c r="M825" t="inlineStr">
        <is>
          <t>1.350</t>
        </is>
      </c>
      <c r="N825" t="inlineStr">
        <is>
          <t>Modalidade: 2 - Por conta de terceiros | Parte: CMPC Iguacu Embalagens Ltda (11.308.600/0008-04)</t>
        </is>
      </c>
      <c r="O825" s="29" t="n">
        <v>0</v>
      </c>
      <c r="P825" s="29" t="n">
        <v>1204.07</v>
      </c>
      <c r="Q825" s="29" t="n">
        <v>0</v>
      </c>
      <c r="R825" s="29" t="n">
        <v>0</v>
      </c>
      <c r="S825" s="29" t="n">
        <v>0</v>
      </c>
      <c r="T825" t="inlineStr">
        <is>
          <t>42260102427026000901570040001883801018838091</t>
        </is>
      </c>
      <c r="U825" t="inlineStr">
        <is>
          <t>Sim</t>
        </is>
      </c>
    </row>
    <row r="826">
      <c r="A826" t="inlineStr">
        <is>
          <t>Frete de compra</t>
        </is>
      </c>
      <c r="B826" t="inlineStr">
        <is>
          <t>2.04.87 Frete sobre Compra</t>
        </is>
      </c>
      <c r="C826" s="30" t="n">
        <v>46054</v>
      </c>
      <c r="D826" t="inlineStr">
        <is>
          <t>Em 2026</t>
        </is>
      </c>
      <c r="E826" s="28" t="n">
        <v>46077</v>
      </c>
      <c r="F826" t="inlineStr">
        <is>
          <t>CT-e</t>
        </is>
      </c>
      <c r="G826" t="inlineStr">
        <is>
          <t>000190324</t>
        </is>
      </c>
      <c r="H826" t="inlineStr">
        <is>
          <t>ALIANCA NAVEGACAO E LOGISTICA LTDA</t>
        </is>
      </c>
      <c r="J826" s="29" t="n">
        <v>17188.04</v>
      </c>
      <c r="K826" s="29">
        <f>(1-ISNUMBER(SEARCH("556",M826)))*(O826*SUMIFS(Premissas!$C$5:$C$44,Premissas!$A$5:$A$44,$A826,Premissas!$B$5:$B$44,$B826)+P826*SUMIFS(Premissas!$D$5:$D$44,Premissas!$A$5:$A$44,$A826,Premissas!$B$5:$B$44,$B826))+R826*SUMIFS(Premissas!$E$5:$E$44,Premissas!$A$5:$A$44,$A826,Premissas!$B$5:$B$44,$B826)+S826*SUMIFS(Premissas!$F$5:$F$44,Premissas!$A$5:$A$44,$A826,Premissas!$B$5:$B$44,$B826)</f>
        <v/>
      </c>
      <c r="L826" s="29">
        <f>J826-K826</f>
        <v/>
      </c>
      <c r="M826" t="inlineStr">
        <is>
          <t>1.350</t>
        </is>
      </c>
      <c r="N826" t="inlineStr">
        <is>
          <t>Modalidade: 2 - Por conta de terceiros | Parte: CMPC Iguacu Embalagens Ltda (11.308.600/0008-04)</t>
        </is>
      </c>
      <c r="O826" s="29" t="n">
        <v>0</v>
      </c>
      <c r="P826" s="29" t="n">
        <v>1203.16</v>
      </c>
      <c r="Q826" s="29" t="n">
        <v>0</v>
      </c>
      <c r="R826" s="29" t="n">
        <v>0</v>
      </c>
      <c r="S826" s="29" t="n">
        <v>0</v>
      </c>
      <c r="T826" t="inlineStr">
        <is>
          <t>42260202427026000901570040001903241019032491</t>
        </is>
      </c>
      <c r="U826" t="inlineStr">
        <is>
          <t>Sim</t>
        </is>
      </c>
    </row>
    <row r="827">
      <c r="A827" t="inlineStr">
        <is>
          <t>Frete de compra</t>
        </is>
      </c>
      <c r="B827" t="inlineStr">
        <is>
          <t>2.04.87 Frete sobre Compra</t>
        </is>
      </c>
      <c r="C827" s="30" t="n">
        <v>46054</v>
      </c>
      <c r="D827" t="inlineStr">
        <is>
          <t>Em 2026</t>
        </is>
      </c>
      <c r="E827" s="28" t="n">
        <v>46077</v>
      </c>
      <c r="F827" t="inlineStr">
        <is>
          <t>CT-e</t>
        </is>
      </c>
      <c r="G827" t="inlineStr">
        <is>
          <t>000190329</t>
        </is>
      </c>
      <c r="H827" t="inlineStr">
        <is>
          <t>ALIANCA NAVEGACAO E LOGISTICA LTDA</t>
        </is>
      </c>
      <c r="J827" s="29" t="n">
        <v>17188.26</v>
      </c>
      <c r="K827" s="29">
        <f>(1-ISNUMBER(SEARCH("556",M827)))*(O827*SUMIFS(Premissas!$C$5:$C$44,Premissas!$A$5:$A$44,$A827,Premissas!$B$5:$B$44,$B827)+P827*SUMIFS(Premissas!$D$5:$D$44,Premissas!$A$5:$A$44,$A827,Premissas!$B$5:$B$44,$B827))+R827*SUMIFS(Premissas!$E$5:$E$44,Premissas!$A$5:$A$44,$A827,Premissas!$B$5:$B$44,$B827)+S827*SUMIFS(Premissas!$F$5:$F$44,Premissas!$A$5:$A$44,$A827,Premissas!$B$5:$B$44,$B827)</f>
        <v/>
      </c>
      <c r="L827" s="29">
        <f>J827-K827</f>
        <v/>
      </c>
      <c r="M827" t="inlineStr">
        <is>
          <t>1.350</t>
        </is>
      </c>
      <c r="N827" t="inlineStr">
        <is>
          <t>Modalidade: 2 - Por conta de terceiros | Parte: CMPC Iguacu Embalagens Ltda (11.308.600/0008-04)</t>
        </is>
      </c>
      <c r="O827" s="29" t="n">
        <v>0</v>
      </c>
      <c r="P827" s="29" t="n">
        <v>1203.18</v>
      </c>
      <c r="Q827" s="29" t="n">
        <v>0</v>
      </c>
      <c r="R827" s="29" t="n">
        <v>0</v>
      </c>
      <c r="S827" s="29" t="n">
        <v>0</v>
      </c>
      <c r="T827" t="inlineStr">
        <is>
          <t>42260202427026000901570040001903291019032994</t>
        </is>
      </c>
      <c r="U827" t="inlineStr">
        <is>
          <t>Sim</t>
        </is>
      </c>
    </row>
    <row r="828">
      <c r="A828" t="inlineStr">
        <is>
          <t>Frete de compra</t>
        </is>
      </c>
      <c r="B828" t="inlineStr">
        <is>
          <t>2.04.87 Frete sobre Compra</t>
        </is>
      </c>
      <c r="C828" s="30" t="n">
        <v>46054</v>
      </c>
      <c r="D828" t="inlineStr">
        <is>
          <t>Em 2026</t>
        </is>
      </c>
      <c r="E828" s="28" t="n">
        <v>46077</v>
      </c>
      <c r="F828" t="inlineStr">
        <is>
          <t>CT-e</t>
        </is>
      </c>
      <c r="G828" t="inlineStr">
        <is>
          <t>000190355</t>
        </is>
      </c>
      <c r="H828" t="inlineStr">
        <is>
          <t>ALIANCA NAVEGACAO E LOGISTICA LTDA</t>
        </is>
      </c>
      <c r="J828" s="29" t="n">
        <v>17190.1</v>
      </c>
      <c r="K828" s="29">
        <f>(1-ISNUMBER(SEARCH("556",M828)))*(O828*SUMIFS(Premissas!$C$5:$C$44,Premissas!$A$5:$A$44,$A828,Premissas!$B$5:$B$44,$B828)+P828*SUMIFS(Premissas!$D$5:$D$44,Premissas!$A$5:$A$44,$A828,Premissas!$B$5:$B$44,$B828))+R828*SUMIFS(Premissas!$E$5:$E$44,Premissas!$A$5:$A$44,$A828,Premissas!$B$5:$B$44,$B828)+S828*SUMIFS(Premissas!$F$5:$F$44,Premissas!$A$5:$A$44,$A828,Premissas!$B$5:$B$44,$B828)</f>
        <v/>
      </c>
      <c r="L828" s="29">
        <f>J828-K828</f>
        <v/>
      </c>
      <c r="M828" t="inlineStr">
        <is>
          <t>1.350</t>
        </is>
      </c>
      <c r="N828" t="inlineStr">
        <is>
          <t>Modalidade: 2 - Por conta de terceiros | Parte: CMPC Iguacu Embalagens Ltda (11.308.600/0008-04)</t>
        </is>
      </c>
      <c r="O828" s="29" t="n">
        <v>0</v>
      </c>
      <c r="P828" s="29" t="n">
        <v>1203.31</v>
      </c>
      <c r="Q828" s="29" t="n">
        <v>0</v>
      </c>
      <c r="R828" s="29" t="n">
        <v>0</v>
      </c>
      <c r="S828" s="29" t="n">
        <v>0</v>
      </c>
      <c r="T828" t="inlineStr">
        <is>
          <t>42260202427026000901570040001903551019035594</t>
        </is>
      </c>
      <c r="U828" t="inlineStr">
        <is>
          <t>Sim</t>
        </is>
      </c>
    </row>
    <row r="829">
      <c r="A829" t="inlineStr">
        <is>
          <t>Frete de compra</t>
        </is>
      </c>
      <c r="B829" t="inlineStr">
        <is>
          <t>2.04.87 Frete sobre Compra</t>
        </is>
      </c>
      <c r="C829" s="30" t="n">
        <v>46054</v>
      </c>
      <c r="D829" t="inlineStr">
        <is>
          <t>Em 2026</t>
        </is>
      </c>
      <c r="E829" s="28" t="n">
        <v>46077</v>
      </c>
      <c r="F829" t="inlineStr">
        <is>
          <t>CT-e</t>
        </is>
      </c>
      <c r="G829" t="inlineStr">
        <is>
          <t>000190357</t>
        </is>
      </c>
      <c r="H829" t="inlineStr">
        <is>
          <t>ALIANCA NAVEGACAO E LOGISTICA LTDA</t>
        </is>
      </c>
      <c r="J829" s="29" t="n">
        <v>8886.440000000001</v>
      </c>
      <c r="K829" s="29">
        <f>(1-ISNUMBER(SEARCH("556",M829)))*(O829*SUMIFS(Premissas!$C$5:$C$44,Premissas!$A$5:$A$44,$A829,Premissas!$B$5:$B$44,$B829)+P829*SUMIFS(Premissas!$D$5:$D$44,Premissas!$A$5:$A$44,$A829,Premissas!$B$5:$B$44,$B829))+R829*SUMIFS(Premissas!$E$5:$E$44,Premissas!$A$5:$A$44,$A829,Premissas!$B$5:$B$44,$B829)+S829*SUMIFS(Premissas!$F$5:$F$44,Premissas!$A$5:$A$44,$A829,Premissas!$B$5:$B$44,$B829)</f>
        <v/>
      </c>
      <c r="L829" s="29">
        <f>J829-K829</f>
        <v/>
      </c>
      <c r="M829" t="inlineStr">
        <is>
          <t>1.350</t>
        </is>
      </c>
      <c r="N829" t="inlineStr">
        <is>
          <t>Modalidade: 1 - Por conta do destinatário | Parte: CMPC Iguacu Embalagens Ltda (11.308.600/0008-04)</t>
        </is>
      </c>
      <c r="O829" s="29" t="n">
        <v>0</v>
      </c>
      <c r="P829" s="29" t="n">
        <v>622.05</v>
      </c>
      <c r="Q829" s="29" t="n">
        <v>0</v>
      </c>
      <c r="R829" s="29" t="n">
        <v>0</v>
      </c>
      <c r="S829" s="29" t="n">
        <v>0</v>
      </c>
      <c r="T829" t="inlineStr">
        <is>
          <t>42260202427026000901570040001903571019035793</t>
        </is>
      </c>
      <c r="U829" t="inlineStr">
        <is>
          <t>Sim</t>
        </is>
      </c>
    </row>
    <row r="830">
      <c r="A830" t="inlineStr">
        <is>
          <t>Frete de compra</t>
        </is>
      </c>
      <c r="B830" t="inlineStr">
        <is>
          <t>2.04.87 Frete sobre Compra</t>
        </is>
      </c>
      <c r="C830" s="30" t="n">
        <v>46054</v>
      </c>
      <c r="D830" t="inlineStr">
        <is>
          <t>Em 2026</t>
        </is>
      </c>
      <c r="E830" s="28" t="n">
        <v>46077</v>
      </c>
      <c r="F830" t="inlineStr">
        <is>
          <t>CT-e</t>
        </is>
      </c>
      <c r="G830" t="inlineStr">
        <is>
          <t>000190358</t>
        </is>
      </c>
      <c r="H830" t="inlineStr">
        <is>
          <t>ALIANCA NAVEGACAO E LOGISTICA LTDA</t>
        </is>
      </c>
      <c r="J830" s="29" t="n">
        <v>8831.26</v>
      </c>
      <c r="K830" s="29">
        <f>(1-ISNUMBER(SEARCH("556",M830)))*(O830*SUMIFS(Premissas!$C$5:$C$44,Premissas!$A$5:$A$44,$A830,Premissas!$B$5:$B$44,$B830)+P830*SUMIFS(Premissas!$D$5:$D$44,Premissas!$A$5:$A$44,$A830,Premissas!$B$5:$B$44,$B830))+R830*SUMIFS(Premissas!$E$5:$E$44,Premissas!$A$5:$A$44,$A830,Premissas!$B$5:$B$44,$B830)+S830*SUMIFS(Premissas!$F$5:$F$44,Premissas!$A$5:$A$44,$A830,Premissas!$B$5:$B$44,$B830)</f>
        <v/>
      </c>
      <c r="L830" s="29">
        <f>J830-K830</f>
        <v/>
      </c>
      <c r="M830" t="inlineStr">
        <is>
          <t>1.350</t>
        </is>
      </c>
      <c r="N830" t="inlineStr">
        <is>
          <t>Modalidade: 1 - Por conta do destinatário | Parte: CMPC Iguacu Embalagens Ltda (11.308.600/0008-04)</t>
        </is>
      </c>
      <c r="O830" s="29" t="n">
        <v>0</v>
      </c>
      <c r="P830" s="29" t="n">
        <v>618.1900000000001</v>
      </c>
      <c r="Q830" s="29" t="n">
        <v>0</v>
      </c>
      <c r="R830" s="29" t="n">
        <v>0</v>
      </c>
      <c r="S830" s="29" t="n">
        <v>0</v>
      </c>
      <c r="T830" t="inlineStr">
        <is>
          <t>42260202427026000901570040001903581019035898</t>
        </is>
      </c>
      <c r="U830" t="inlineStr">
        <is>
          <t>Sim</t>
        </is>
      </c>
    </row>
    <row r="831">
      <c r="A831" t="inlineStr">
        <is>
          <t>Frete de compra</t>
        </is>
      </c>
      <c r="B831" t="inlineStr">
        <is>
          <t>2.04.87 Frete sobre Compra</t>
        </is>
      </c>
      <c r="C831" s="30" t="n">
        <v>46054</v>
      </c>
      <c r="D831" t="inlineStr">
        <is>
          <t>Em 2026</t>
        </is>
      </c>
      <c r="E831" s="28" t="n">
        <v>46079</v>
      </c>
      <c r="F831" t="inlineStr">
        <is>
          <t>CT-e</t>
        </is>
      </c>
      <c r="G831" t="inlineStr">
        <is>
          <t>000190663</t>
        </is>
      </c>
      <c r="H831" t="inlineStr">
        <is>
          <t>ALIANCA NAVEGACAO E LOGISTICA LTDA</t>
        </is>
      </c>
      <c r="J831" s="29" t="n">
        <v>17193.72</v>
      </c>
      <c r="K831" s="29">
        <f>(1-ISNUMBER(SEARCH("556",M831)))*(O831*SUMIFS(Premissas!$C$5:$C$44,Premissas!$A$5:$A$44,$A831,Premissas!$B$5:$B$44,$B831)+P831*SUMIFS(Premissas!$D$5:$D$44,Premissas!$A$5:$A$44,$A831,Premissas!$B$5:$B$44,$B831))+R831*SUMIFS(Premissas!$E$5:$E$44,Premissas!$A$5:$A$44,$A831,Premissas!$B$5:$B$44,$B831)+S831*SUMIFS(Premissas!$F$5:$F$44,Premissas!$A$5:$A$44,$A831,Premissas!$B$5:$B$44,$B831)</f>
        <v/>
      </c>
      <c r="L831" s="29">
        <f>J831-K831</f>
        <v/>
      </c>
      <c r="M831" t="inlineStr">
        <is>
          <t>1.350</t>
        </is>
      </c>
      <c r="N831" t="inlineStr">
        <is>
          <t>Modalidade: 2 - Por conta de terceiros | Parte: CMPC Iguacu Embalagens Ltda (11.308.600/0008-04)</t>
        </is>
      </c>
      <c r="O831" s="29" t="n">
        <v>0</v>
      </c>
      <c r="P831" s="29" t="n">
        <v>1203.56</v>
      </c>
      <c r="Q831" s="29" t="n">
        <v>0</v>
      </c>
      <c r="R831" s="29" t="n">
        <v>0</v>
      </c>
      <c r="S831" s="29" t="n">
        <v>0</v>
      </c>
      <c r="T831" t="inlineStr">
        <is>
          <t>42260202427026000901570040001906631019066390</t>
        </is>
      </c>
      <c r="U831" t="inlineStr">
        <is>
          <t>Sim</t>
        </is>
      </c>
    </row>
    <row r="832">
      <c r="A832" t="inlineStr">
        <is>
          <t>Frete de compra</t>
        </is>
      </c>
      <c r="B832" t="inlineStr">
        <is>
          <t>2.04.87 Frete sobre Compra</t>
        </is>
      </c>
      <c r="C832" s="30" t="n">
        <v>46054</v>
      </c>
      <c r="D832" t="inlineStr">
        <is>
          <t>Em 2026</t>
        </is>
      </c>
      <c r="E832" s="28" t="n">
        <v>46080</v>
      </c>
      <c r="F832" t="inlineStr">
        <is>
          <t>CT-e</t>
        </is>
      </c>
      <c r="G832" t="inlineStr">
        <is>
          <t>000190682</t>
        </is>
      </c>
      <c r="H832" t="inlineStr">
        <is>
          <t>ALIANCA NAVEGACAO E LOGISTICA LTDA</t>
        </is>
      </c>
      <c r="J832" s="29" t="n">
        <v>17188.33</v>
      </c>
      <c r="K832" s="29">
        <f>(1-ISNUMBER(SEARCH("556",M832)))*(O832*SUMIFS(Premissas!$C$5:$C$44,Premissas!$A$5:$A$44,$A832,Premissas!$B$5:$B$44,$B832)+P832*SUMIFS(Premissas!$D$5:$D$44,Premissas!$A$5:$A$44,$A832,Premissas!$B$5:$B$44,$B832))+R832*SUMIFS(Premissas!$E$5:$E$44,Premissas!$A$5:$A$44,$A832,Premissas!$B$5:$B$44,$B832)+S832*SUMIFS(Premissas!$F$5:$F$44,Premissas!$A$5:$A$44,$A832,Premissas!$B$5:$B$44,$B832)</f>
        <v/>
      </c>
      <c r="L832" s="29">
        <f>J832-K832</f>
        <v/>
      </c>
      <c r="M832" t="inlineStr">
        <is>
          <t>1.350</t>
        </is>
      </c>
      <c r="N832" t="inlineStr">
        <is>
          <t>Modalidade: 2 - Por conta de terceiros | Parte: CMPC Iguacu Embalagens Ltda (11.308.600/0008-04)</t>
        </is>
      </c>
      <c r="O832" s="29" t="n">
        <v>0</v>
      </c>
      <c r="P832" s="29" t="n">
        <v>1203.18</v>
      </c>
      <c r="Q832" s="29" t="n">
        <v>0</v>
      </c>
      <c r="R832" s="29" t="n">
        <v>0</v>
      </c>
      <c r="S832" s="29" t="n">
        <v>0</v>
      </c>
      <c r="T832" t="inlineStr">
        <is>
          <t>42260202427026000901570040001906821019068291</t>
        </is>
      </c>
      <c r="U832" t="inlineStr">
        <is>
          <t>Sim</t>
        </is>
      </c>
    </row>
    <row r="833">
      <c r="A833" t="inlineStr">
        <is>
          <t>Frete de compra</t>
        </is>
      </c>
      <c r="B833" t="inlineStr">
        <is>
          <t>2.04.87 Frete sobre Compra</t>
        </is>
      </c>
      <c r="C833" s="30" t="n">
        <v>46054</v>
      </c>
      <c r="D833" t="inlineStr">
        <is>
          <t>Em 2026</t>
        </is>
      </c>
      <c r="E833" s="28" t="n">
        <v>46080</v>
      </c>
      <c r="F833" t="inlineStr">
        <is>
          <t>CT-e</t>
        </is>
      </c>
      <c r="G833" t="inlineStr">
        <is>
          <t>000190693</t>
        </is>
      </c>
      <c r="H833" t="inlineStr">
        <is>
          <t>ALIANCA NAVEGACAO E LOGISTICA LTDA</t>
        </is>
      </c>
      <c r="J833" s="29" t="n">
        <v>17245.92</v>
      </c>
      <c r="K833" s="29">
        <f>(1-ISNUMBER(SEARCH("556",M833)))*(O833*SUMIFS(Premissas!$C$5:$C$44,Premissas!$A$5:$A$44,$A833,Premissas!$B$5:$B$44,$B833)+P833*SUMIFS(Premissas!$D$5:$D$44,Premissas!$A$5:$A$44,$A833,Premissas!$B$5:$B$44,$B833))+R833*SUMIFS(Premissas!$E$5:$E$44,Premissas!$A$5:$A$44,$A833,Premissas!$B$5:$B$44,$B833)+S833*SUMIFS(Premissas!$F$5:$F$44,Premissas!$A$5:$A$44,$A833,Premissas!$B$5:$B$44,$B833)</f>
        <v/>
      </c>
      <c r="L833" s="29">
        <f>J833-K833</f>
        <v/>
      </c>
      <c r="M833" t="inlineStr">
        <is>
          <t>1.350</t>
        </is>
      </c>
      <c r="N833" t="inlineStr">
        <is>
          <t>Modalidade: 1 - Por conta do destinatário | Parte: CMPC Iguacu Embalagens Ltda (11.308.600/0008-04)</t>
        </is>
      </c>
      <c r="O833" s="29" t="n">
        <v>0</v>
      </c>
      <c r="P833" s="29" t="n">
        <v>1207.21</v>
      </c>
      <c r="Q833" s="29" t="n">
        <v>0</v>
      </c>
      <c r="R833" s="29" t="n">
        <v>0</v>
      </c>
      <c r="S833" s="29" t="n">
        <v>0</v>
      </c>
      <c r="T833" t="inlineStr">
        <is>
          <t>42260202427026000901570040001906931019069399</t>
        </is>
      </c>
      <c r="U833" t="inlineStr">
        <is>
          <t>Sim</t>
        </is>
      </c>
    </row>
    <row r="834">
      <c r="A834" t="inlineStr">
        <is>
          <t>Frete de compra</t>
        </is>
      </c>
      <c r="B834" t="inlineStr">
        <is>
          <t>2.04.87 Frete sobre Compra</t>
        </is>
      </c>
      <c r="C834" s="30" t="n">
        <v>46082</v>
      </c>
      <c r="D834" t="inlineStr">
        <is>
          <t>Em 2026</t>
        </is>
      </c>
      <c r="E834" s="28" t="n">
        <v>46084</v>
      </c>
      <c r="F834" t="inlineStr">
        <is>
          <t>CT-e</t>
        </is>
      </c>
      <c r="G834" t="inlineStr">
        <is>
          <t>000190886</t>
        </is>
      </c>
      <c r="H834" t="inlineStr">
        <is>
          <t>ALIANCA NAVEGACAO E LOGISTICA LTDA</t>
        </is>
      </c>
      <c r="J834" s="29" t="n">
        <v>17192.52</v>
      </c>
      <c r="K834" s="29">
        <f>(1-ISNUMBER(SEARCH("556",M834)))*(O834*SUMIFS(Premissas!$C$5:$C$44,Premissas!$A$5:$A$44,$A834,Premissas!$B$5:$B$44,$B834)+P834*SUMIFS(Premissas!$D$5:$D$44,Premissas!$A$5:$A$44,$A834,Premissas!$B$5:$B$44,$B834))+R834*SUMIFS(Premissas!$E$5:$E$44,Premissas!$A$5:$A$44,$A834,Premissas!$B$5:$B$44,$B834)+S834*SUMIFS(Premissas!$F$5:$F$44,Premissas!$A$5:$A$44,$A834,Premissas!$B$5:$B$44,$B834)</f>
        <v/>
      </c>
      <c r="L834" s="29">
        <f>J834-K834</f>
        <v/>
      </c>
      <c r="M834" t="inlineStr">
        <is>
          <t>1.350</t>
        </is>
      </c>
      <c r="N834" t="inlineStr">
        <is>
          <t>Modalidade: 2 - Por conta de terceiros | Parte: CMPC Iguacu Embalagens Ltda (11.308.600/0008-04)</t>
        </is>
      </c>
      <c r="O834" s="29" t="n">
        <v>0</v>
      </c>
      <c r="P834" s="29" t="n">
        <v>1203.48</v>
      </c>
      <c r="Q834" s="29" t="n">
        <v>0</v>
      </c>
      <c r="R834" s="29" t="n">
        <v>0</v>
      </c>
      <c r="S834" s="29" t="n">
        <v>0</v>
      </c>
      <c r="T834" t="inlineStr">
        <is>
          <t>42260302427026000901570040001908861019088695</t>
        </is>
      </c>
      <c r="U834" t="inlineStr">
        <is>
          <t>Sim</t>
        </is>
      </c>
    </row>
    <row r="835">
      <c r="A835" t="inlineStr">
        <is>
          <t>Frete de compra</t>
        </is>
      </c>
      <c r="B835" t="inlineStr">
        <is>
          <t>2.04.87 Frete sobre Compra</t>
        </is>
      </c>
      <c r="C835" s="30" t="n">
        <v>46082</v>
      </c>
      <c r="D835" t="inlineStr">
        <is>
          <t>Em 2026</t>
        </is>
      </c>
      <c r="E835" s="28" t="n">
        <v>46092</v>
      </c>
      <c r="F835" t="inlineStr">
        <is>
          <t>CT-e</t>
        </is>
      </c>
      <c r="G835" t="inlineStr">
        <is>
          <t>000191510</t>
        </is>
      </c>
      <c r="H835" t="inlineStr">
        <is>
          <t>ALIANCA NAVEGACAO E LOGISTICA LTDA</t>
        </is>
      </c>
      <c r="J835" s="29" t="n">
        <v>17191.56</v>
      </c>
      <c r="K835" s="29">
        <f>(1-ISNUMBER(SEARCH("556",M835)))*(O835*SUMIFS(Premissas!$C$5:$C$44,Premissas!$A$5:$A$44,$A835,Premissas!$B$5:$B$44,$B835)+P835*SUMIFS(Premissas!$D$5:$D$44,Premissas!$A$5:$A$44,$A835,Premissas!$B$5:$B$44,$B835))+R835*SUMIFS(Premissas!$E$5:$E$44,Premissas!$A$5:$A$44,$A835,Premissas!$B$5:$B$44,$B835)+S835*SUMIFS(Premissas!$F$5:$F$44,Premissas!$A$5:$A$44,$A835,Premissas!$B$5:$B$44,$B835)</f>
        <v/>
      </c>
      <c r="L835" s="29">
        <f>J835-K835</f>
        <v/>
      </c>
      <c r="M835" t="inlineStr">
        <is>
          <t>1.350</t>
        </is>
      </c>
      <c r="N835" t="inlineStr">
        <is>
          <t>Modalidade: 2 - Por conta de terceiros | Parte: CMPC Iguacu Embalagens Ltda (11.308.600/0008-04)</t>
        </is>
      </c>
      <c r="O835" s="29" t="n">
        <v>0</v>
      </c>
      <c r="P835" s="29" t="n">
        <v>1203.41</v>
      </c>
      <c r="Q835" s="29" t="n">
        <v>0</v>
      </c>
      <c r="R835" s="29" t="n">
        <v>0</v>
      </c>
      <c r="S835" s="29" t="n">
        <v>0</v>
      </c>
      <c r="T835" t="inlineStr">
        <is>
          <t>42260302427026000901570040001915101019151095</t>
        </is>
      </c>
      <c r="U835" t="inlineStr">
        <is>
          <t>Sim</t>
        </is>
      </c>
    </row>
    <row r="836">
      <c r="A836" t="inlineStr">
        <is>
          <t>Frete de compra</t>
        </is>
      </c>
      <c r="B836" t="inlineStr">
        <is>
          <t>2.04.87 Frete sobre Compra</t>
        </is>
      </c>
      <c r="C836" s="30" t="n">
        <v>46082</v>
      </c>
      <c r="D836" t="inlineStr">
        <is>
          <t>Em 2026</t>
        </is>
      </c>
      <c r="E836" s="28" t="n">
        <v>46092</v>
      </c>
      <c r="F836" t="inlineStr">
        <is>
          <t>CT-e</t>
        </is>
      </c>
      <c r="G836" t="inlineStr">
        <is>
          <t>000191511</t>
        </is>
      </c>
      <c r="H836" t="inlineStr">
        <is>
          <t>ALIANCA NAVEGACAO E LOGISTICA LTDA</t>
        </is>
      </c>
      <c r="J836" s="29" t="n">
        <v>17190.57</v>
      </c>
      <c r="K836" s="29">
        <f>(1-ISNUMBER(SEARCH("556",M836)))*(O836*SUMIFS(Premissas!$C$5:$C$44,Premissas!$A$5:$A$44,$A836,Premissas!$B$5:$B$44,$B836)+P836*SUMIFS(Premissas!$D$5:$D$44,Premissas!$A$5:$A$44,$A836,Premissas!$B$5:$B$44,$B836))+R836*SUMIFS(Premissas!$E$5:$E$44,Premissas!$A$5:$A$44,$A836,Premissas!$B$5:$B$44,$B836)+S836*SUMIFS(Premissas!$F$5:$F$44,Premissas!$A$5:$A$44,$A836,Premissas!$B$5:$B$44,$B836)</f>
        <v/>
      </c>
      <c r="L836" s="29">
        <f>J836-K836</f>
        <v/>
      </c>
      <c r="M836" t="inlineStr">
        <is>
          <t>1.350</t>
        </is>
      </c>
      <c r="N836" t="inlineStr">
        <is>
          <t>Modalidade: 1 - Por conta do destinatário | Parte: CMPC Iguacu Embalagens Ltda (11.308.600/0008-04)</t>
        </is>
      </c>
      <c r="O836" s="29" t="n">
        <v>0</v>
      </c>
      <c r="P836" s="29" t="n">
        <v>1203.34</v>
      </c>
      <c r="Q836" s="29" t="n">
        <v>0</v>
      </c>
      <c r="R836" s="29" t="n">
        <v>0</v>
      </c>
      <c r="S836" s="29" t="n">
        <v>0</v>
      </c>
      <c r="T836" t="inlineStr">
        <is>
          <t>42260302427026000901570040001915111019151190</t>
        </is>
      </c>
      <c r="U836" t="inlineStr">
        <is>
          <t>Sim</t>
        </is>
      </c>
    </row>
    <row r="837">
      <c r="A837" t="inlineStr">
        <is>
          <t>Frete de compra</t>
        </is>
      </c>
      <c r="B837" t="inlineStr">
        <is>
          <t>2.04.87 Frete sobre Compra</t>
        </is>
      </c>
      <c r="C837" s="30" t="n">
        <v>46082</v>
      </c>
      <c r="D837" t="inlineStr">
        <is>
          <t>Em 2026</t>
        </is>
      </c>
      <c r="E837" s="28" t="n">
        <v>46092</v>
      </c>
      <c r="F837" t="inlineStr">
        <is>
          <t>CT-e</t>
        </is>
      </c>
      <c r="G837" t="inlineStr">
        <is>
          <t>000191512</t>
        </is>
      </c>
      <c r="H837" t="inlineStr">
        <is>
          <t>ALIANCA NAVEGACAO E LOGISTICA LTDA</t>
        </is>
      </c>
      <c r="J837" s="29" t="n">
        <v>17191.09</v>
      </c>
      <c r="K837" s="29">
        <f>(1-ISNUMBER(SEARCH("556",M837)))*(O837*SUMIFS(Premissas!$C$5:$C$44,Premissas!$A$5:$A$44,$A837,Premissas!$B$5:$B$44,$B837)+P837*SUMIFS(Premissas!$D$5:$D$44,Premissas!$A$5:$A$44,$A837,Premissas!$B$5:$B$44,$B837))+R837*SUMIFS(Premissas!$E$5:$E$44,Premissas!$A$5:$A$44,$A837,Premissas!$B$5:$B$44,$B837)+S837*SUMIFS(Premissas!$F$5:$F$44,Premissas!$A$5:$A$44,$A837,Premissas!$B$5:$B$44,$B837)</f>
        <v/>
      </c>
      <c r="L837" s="29">
        <f>J837-K837</f>
        <v/>
      </c>
      <c r="M837" t="inlineStr">
        <is>
          <t>1.350</t>
        </is>
      </c>
      <c r="N837" t="inlineStr">
        <is>
          <t>Modalidade: 2 - Por conta de terceiros | Parte: CMPC Iguacu Embalagens Ltda (11.308.600/0008-04)</t>
        </is>
      </c>
      <c r="O837" s="29" t="n">
        <v>0</v>
      </c>
      <c r="P837" s="29" t="n">
        <v>1203.38</v>
      </c>
      <c r="Q837" s="29" t="n">
        <v>0</v>
      </c>
      <c r="R837" s="29" t="n">
        <v>0</v>
      </c>
      <c r="S837" s="29" t="n">
        <v>0</v>
      </c>
      <c r="T837" t="inlineStr">
        <is>
          <t>42260302427026000901570040001915121019151294</t>
        </is>
      </c>
      <c r="U837" t="inlineStr">
        <is>
          <t>Sim</t>
        </is>
      </c>
    </row>
    <row r="838">
      <c r="A838" t="inlineStr">
        <is>
          <t>Frete de compra</t>
        </is>
      </c>
      <c r="B838" t="inlineStr">
        <is>
          <t>2.04.87 Frete sobre Compra</t>
        </is>
      </c>
      <c r="C838" s="30" t="n">
        <v>46082</v>
      </c>
      <c r="D838" t="inlineStr">
        <is>
          <t>Em 2026</t>
        </is>
      </c>
      <c r="E838" s="28" t="n">
        <v>46108</v>
      </c>
      <c r="F838" t="inlineStr">
        <is>
          <t>CT-e</t>
        </is>
      </c>
      <c r="G838" t="inlineStr">
        <is>
          <t>000192804</t>
        </is>
      </c>
      <c r="H838" t="inlineStr">
        <is>
          <t>ALIANCA NAVEGACAO E LOGISTICA LTDA</t>
        </is>
      </c>
      <c r="J838" s="29" t="n">
        <v>18046.14</v>
      </c>
      <c r="K838" s="29">
        <f>(1-ISNUMBER(SEARCH("556",M838)))*(O838*SUMIFS(Premissas!$C$5:$C$44,Premissas!$A$5:$A$44,$A838,Premissas!$B$5:$B$44,$B838)+P838*SUMIFS(Premissas!$D$5:$D$44,Premissas!$A$5:$A$44,$A838,Premissas!$B$5:$B$44,$B838))+R838*SUMIFS(Premissas!$E$5:$E$44,Premissas!$A$5:$A$44,$A838,Premissas!$B$5:$B$44,$B838)+S838*SUMIFS(Premissas!$F$5:$F$44,Premissas!$A$5:$A$44,$A838,Premissas!$B$5:$B$44,$B838)</f>
        <v/>
      </c>
      <c r="L838" s="29">
        <f>J838-K838</f>
        <v/>
      </c>
      <c r="M838" t="inlineStr">
        <is>
          <t>1.350</t>
        </is>
      </c>
      <c r="N838" t="inlineStr">
        <is>
          <t>Modalidade: 1 - Por conta do destinatário | Parte: CMPC Iguacu Embalagens Ltda (11.308.600/0008-04)</t>
        </is>
      </c>
      <c r="O838" s="29" t="n">
        <v>0</v>
      </c>
      <c r="P838" s="29" t="n">
        <v>1263.23</v>
      </c>
      <c r="Q838" s="29" t="n">
        <v>0</v>
      </c>
      <c r="R838" s="29" t="n">
        <v>0</v>
      </c>
      <c r="S838" s="29" t="n">
        <v>0</v>
      </c>
      <c r="T838" t="inlineStr">
        <is>
          <t>42260302427026000901570040001928041019280492</t>
        </is>
      </c>
      <c r="U838" t="inlineStr">
        <is>
          <t>Sim</t>
        </is>
      </c>
    </row>
    <row r="839">
      <c r="A839" t="inlineStr">
        <is>
          <t>Frete de compra</t>
        </is>
      </c>
      <c r="B839" t="inlineStr">
        <is>
          <t>2.04.87 Frete sobre Compra</t>
        </is>
      </c>
      <c r="C839" s="30" t="n">
        <v>46082</v>
      </c>
      <c r="D839" t="inlineStr">
        <is>
          <t>Em 2026</t>
        </is>
      </c>
      <c r="E839" s="28" t="n">
        <v>46108</v>
      </c>
      <c r="F839" t="inlineStr">
        <is>
          <t>CT-e</t>
        </is>
      </c>
      <c r="G839" t="inlineStr">
        <is>
          <t>000192822</t>
        </is>
      </c>
      <c r="H839" t="inlineStr">
        <is>
          <t>ALIANCA NAVEGACAO E LOGISTICA LTDA</t>
        </is>
      </c>
      <c r="J839" s="29" t="n">
        <v>17990.66</v>
      </c>
      <c r="K839" s="29">
        <f>(1-ISNUMBER(SEARCH("556",M839)))*(O839*SUMIFS(Premissas!$C$5:$C$44,Premissas!$A$5:$A$44,$A839,Premissas!$B$5:$B$44,$B839)+P839*SUMIFS(Premissas!$D$5:$D$44,Premissas!$A$5:$A$44,$A839,Premissas!$B$5:$B$44,$B839))+R839*SUMIFS(Premissas!$E$5:$E$44,Premissas!$A$5:$A$44,$A839,Premissas!$B$5:$B$44,$B839)+S839*SUMIFS(Premissas!$F$5:$F$44,Premissas!$A$5:$A$44,$A839,Premissas!$B$5:$B$44,$B839)</f>
        <v/>
      </c>
      <c r="L839" s="29">
        <f>J839-K839</f>
        <v/>
      </c>
      <c r="M839" t="inlineStr">
        <is>
          <t>1.350</t>
        </is>
      </c>
      <c r="N839" t="inlineStr">
        <is>
          <t>Modalidade: 2 - Por conta de terceiros | Parte: CMPC Iguacu Embalagens Ltda (11.308.600/0008-04)</t>
        </is>
      </c>
      <c r="O839" s="29" t="n">
        <v>0</v>
      </c>
      <c r="P839" s="29" t="n">
        <v>1259.35</v>
      </c>
      <c r="Q839" s="29" t="n">
        <v>0</v>
      </c>
      <c r="R839" s="29" t="n">
        <v>0</v>
      </c>
      <c r="S839" s="29" t="n">
        <v>0</v>
      </c>
      <c r="T839" t="inlineStr">
        <is>
          <t>42260302427026000901570040001928221019282299</t>
        </is>
      </c>
      <c r="U839" t="inlineStr">
        <is>
          <t>Sim</t>
        </is>
      </c>
    </row>
    <row r="840">
      <c r="A840" t="inlineStr">
        <is>
          <t>Frete de compra</t>
        </is>
      </c>
      <c r="B840" t="inlineStr">
        <is>
          <t>2.04.87 Frete sobre Compra</t>
        </is>
      </c>
      <c r="C840" s="30" t="n">
        <v>46113</v>
      </c>
      <c r="D840" t="inlineStr">
        <is>
          <t>Em 2026</t>
        </is>
      </c>
      <c r="E840" s="28" t="n">
        <v>46113</v>
      </c>
      <c r="F840" t="inlineStr">
        <is>
          <t>CT-e</t>
        </is>
      </c>
      <c r="G840" t="inlineStr">
        <is>
          <t>000193387</t>
        </is>
      </c>
      <c r="H840" t="inlineStr">
        <is>
          <t>ALIANCA NAVEGACAO E LOGISTICA LTDA</t>
        </is>
      </c>
      <c r="J840" s="29" t="n">
        <v>258.06</v>
      </c>
      <c r="K840" s="29">
        <f>(1-ISNUMBER(SEARCH("556",M840)))*(O840*SUMIFS(Premissas!$C$5:$C$44,Premissas!$A$5:$A$44,$A840,Premissas!$B$5:$B$44,$B840)+P840*SUMIFS(Premissas!$D$5:$D$44,Premissas!$A$5:$A$44,$A840,Premissas!$B$5:$B$44,$B840))+R840*SUMIFS(Premissas!$E$5:$E$44,Premissas!$A$5:$A$44,$A840,Premissas!$B$5:$B$44,$B840)+S840*SUMIFS(Premissas!$F$5:$F$44,Premissas!$A$5:$A$44,$A840,Premissas!$B$5:$B$44,$B840)</f>
        <v/>
      </c>
      <c r="L840" s="29">
        <f>J840-K840</f>
        <v/>
      </c>
      <c r="M840" t="inlineStr">
        <is>
          <t>2.350</t>
        </is>
      </c>
      <c r="N840" t="inlineStr">
        <is>
          <t>Modalidade: 2 - Por conta de terceiros | Parte: CMPC Iguacu Embalagens Ltda (11.308.600/0008-04)</t>
        </is>
      </c>
      <c r="O840" s="29" t="n">
        <v>0</v>
      </c>
      <c r="P840" s="29" t="n">
        <v>18.06</v>
      </c>
      <c r="Q840" s="29" t="n">
        <v>0</v>
      </c>
      <c r="R840" s="29" t="n">
        <v>0</v>
      </c>
      <c r="S840" s="29" t="n">
        <v>0</v>
      </c>
      <c r="T840" t="inlineStr">
        <is>
          <t>42260402427026000901570040001933871019338796</t>
        </is>
      </c>
      <c r="U840" t="inlineStr">
        <is>
          <t>Não</t>
        </is>
      </c>
    </row>
    <row r="841">
      <c r="A841" t="inlineStr">
        <is>
          <t>Frete de compra</t>
        </is>
      </c>
      <c r="B841" t="inlineStr">
        <is>
          <t>2.04.87 Frete sobre Compra</t>
        </is>
      </c>
      <c r="C841" s="30" t="n">
        <v>46113</v>
      </c>
      <c r="D841" t="inlineStr">
        <is>
          <t>Em 2026</t>
        </is>
      </c>
      <c r="E841" s="28" t="n">
        <v>46113</v>
      </c>
      <c r="F841" t="inlineStr">
        <is>
          <t>CT-e</t>
        </is>
      </c>
      <c r="G841" t="inlineStr">
        <is>
          <t>000193473</t>
        </is>
      </c>
      <c r="H841" t="inlineStr">
        <is>
          <t>ALIANCA NAVEGACAO E LOGISTICA LTDA</t>
        </is>
      </c>
      <c r="J841" s="29" t="n">
        <v>1032.26</v>
      </c>
      <c r="K841" s="29">
        <f>(1-ISNUMBER(SEARCH("556",M841)))*(O841*SUMIFS(Premissas!$C$5:$C$44,Premissas!$A$5:$A$44,$A841,Premissas!$B$5:$B$44,$B841)+P841*SUMIFS(Premissas!$D$5:$D$44,Premissas!$A$5:$A$44,$A841,Premissas!$B$5:$B$44,$B841))+R841*SUMIFS(Premissas!$E$5:$E$44,Premissas!$A$5:$A$44,$A841,Premissas!$B$5:$B$44,$B841)+S841*SUMIFS(Premissas!$F$5:$F$44,Premissas!$A$5:$A$44,$A841,Premissas!$B$5:$B$44,$B841)</f>
        <v/>
      </c>
      <c r="L841" s="29">
        <f>J841-K841</f>
        <v/>
      </c>
      <c r="M841" t="inlineStr">
        <is>
          <t>2.350</t>
        </is>
      </c>
      <c r="N841" t="inlineStr">
        <is>
          <t>Modalidade: 2 - Por conta de terceiros | Parte: CMPC Iguacu Embalagens Ltda (11.308.600/0008-04)</t>
        </is>
      </c>
      <c r="O841" s="29" t="n">
        <v>0</v>
      </c>
      <c r="P841" s="29" t="n">
        <v>72.26000000000001</v>
      </c>
      <c r="Q841" s="29" t="n">
        <v>0</v>
      </c>
      <c r="R841" s="29" t="n">
        <v>0</v>
      </c>
      <c r="S841" s="29" t="n">
        <v>0</v>
      </c>
      <c r="T841" t="inlineStr">
        <is>
          <t>42260402427026000901570040001934731019347396</t>
        </is>
      </c>
      <c r="U841" t="inlineStr">
        <is>
          <t>Não</t>
        </is>
      </c>
    </row>
    <row r="842">
      <c r="A842" t="inlineStr">
        <is>
          <t>Frete de compra</t>
        </is>
      </c>
      <c r="B842" t="inlineStr">
        <is>
          <t>2.04.87 Frete sobre Compra</t>
        </is>
      </c>
      <c r="C842" s="30" t="n">
        <v>46113</v>
      </c>
      <c r="D842" t="inlineStr">
        <is>
          <t>Em 2026</t>
        </is>
      </c>
      <c r="E842" s="28" t="n">
        <v>46113</v>
      </c>
      <c r="F842" t="inlineStr">
        <is>
          <t>CT-e</t>
        </is>
      </c>
      <c r="G842" t="inlineStr">
        <is>
          <t>000193476</t>
        </is>
      </c>
      <c r="H842" t="inlineStr">
        <is>
          <t>ALIANCA NAVEGACAO E LOGISTICA LTDA</t>
        </is>
      </c>
      <c r="J842" s="29" t="n">
        <v>1290.32</v>
      </c>
      <c r="K842" s="29">
        <f>(1-ISNUMBER(SEARCH("556",M842)))*(O842*SUMIFS(Premissas!$C$5:$C$44,Premissas!$A$5:$A$44,$A842,Premissas!$B$5:$B$44,$B842)+P842*SUMIFS(Premissas!$D$5:$D$44,Premissas!$A$5:$A$44,$A842,Premissas!$B$5:$B$44,$B842))+R842*SUMIFS(Premissas!$E$5:$E$44,Premissas!$A$5:$A$44,$A842,Premissas!$B$5:$B$44,$B842)+S842*SUMIFS(Premissas!$F$5:$F$44,Premissas!$A$5:$A$44,$A842,Premissas!$B$5:$B$44,$B842)</f>
        <v/>
      </c>
      <c r="L842" s="29">
        <f>J842-K842</f>
        <v/>
      </c>
      <c r="M842" t="inlineStr">
        <is>
          <t>2.350</t>
        </is>
      </c>
      <c r="N842" t="inlineStr">
        <is>
          <t>Modalidade: 1 - Por conta do destinatário | Parte: CMPC Iguacu Embalagens Ltda (11.308.600/0008-04)</t>
        </is>
      </c>
      <c r="O842" s="29" t="n">
        <v>0</v>
      </c>
      <c r="P842" s="29" t="n">
        <v>90.31999999999999</v>
      </c>
      <c r="Q842" s="29" t="n">
        <v>0</v>
      </c>
      <c r="R842" s="29" t="n">
        <v>0</v>
      </c>
      <c r="S842" s="29" t="n">
        <v>0</v>
      </c>
      <c r="T842" t="inlineStr">
        <is>
          <t>42260402427026000901570040001934761019347690</t>
        </is>
      </c>
      <c r="U842" t="inlineStr">
        <is>
          <t>Não</t>
        </is>
      </c>
    </row>
    <row r="843">
      <c r="A843" t="inlineStr">
        <is>
          <t>Frete de compra</t>
        </is>
      </c>
      <c r="B843" t="inlineStr">
        <is>
          <t>2.04.87 Frete sobre Compra</t>
        </is>
      </c>
      <c r="C843" s="30" t="n">
        <v>46113</v>
      </c>
      <c r="D843" t="inlineStr">
        <is>
          <t>Em 2026</t>
        </is>
      </c>
      <c r="E843" s="28" t="n">
        <v>46113</v>
      </c>
      <c r="F843" t="inlineStr">
        <is>
          <t>CT-e</t>
        </is>
      </c>
      <c r="G843" t="inlineStr">
        <is>
          <t>000193479</t>
        </is>
      </c>
      <c r="H843" t="inlineStr">
        <is>
          <t>ALIANCA NAVEGACAO E LOGISTICA LTDA</t>
        </is>
      </c>
      <c r="J843" s="29" t="n">
        <v>1419.35</v>
      </c>
      <c r="K843" s="29">
        <f>(1-ISNUMBER(SEARCH("556",M843)))*(O843*SUMIFS(Premissas!$C$5:$C$44,Premissas!$A$5:$A$44,$A843,Premissas!$B$5:$B$44,$B843)+P843*SUMIFS(Premissas!$D$5:$D$44,Premissas!$A$5:$A$44,$A843,Premissas!$B$5:$B$44,$B843))+R843*SUMIFS(Premissas!$E$5:$E$44,Premissas!$A$5:$A$44,$A843,Premissas!$B$5:$B$44,$B843)+S843*SUMIFS(Premissas!$F$5:$F$44,Premissas!$A$5:$A$44,$A843,Premissas!$B$5:$B$44,$B843)</f>
        <v/>
      </c>
      <c r="L843" s="29">
        <f>J843-K843</f>
        <v/>
      </c>
      <c r="M843" t="inlineStr">
        <is>
          <t>2.350</t>
        </is>
      </c>
      <c r="N843" t="inlineStr">
        <is>
          <t>Modalidade: 2 - Por conta de terceiros | Parte: CMPC Iguacu Embalagens Ltda (11.308.600/0008-04)</t>
        </is>
      </c>
      <c r="O843" s="29" t="n">
        <v>0</v>
      </c>
      <c r="P843" s="29" t="n">
        <v>99.34999999999999</v>
      </c>
      <c r="Q843" s="29" t="n">
        <v>0</v>
      </c>
      <c r="R843" s="29" t="n">
        <v>0</v>
      </c>
      <c r="S843" s="29" t="n">
        <v>0</v>
      </c>
      <c r="T843" t="inlineStr">
        <is>
          <t>42260402427026000901570040001934791019347993</t>
        </is>
      </c>
      <c r="U843" t="inlineStr">
        <is>
          <t>Não</t>
        </is>
      </c>
    </row>
    <row r="844">
      <c r="A844" t="inlineStr">
        <is>
          <t>Frete de compra</t>
        </is>
      </c>
      <c r="B844" t="inlineStr">
        <is>
          <t>2.04.87 Frete sobre Compra</t>
        </is>
      </c>
      <c r="C844" s="30" t="n">
        <v>46113</v>
      </c>
      <c r="D844" t="inlineStr">
        <is>
          <t>Em 2026</t>
        </is>
      </c>
      <c r="E844" s="28" t="n">
        <v>46113</v>
      </c>
      <c r="F844" t="inlineStr">
        <is>
          <t>CT-e</t>
        </is>
      </c>
      <c r="G844" t="inlineStr">
        <is>
          <t>000193481</t>
        </is>
      </c>
      <c r="H844" t="inlineStr">
        <is>
          <t>ALIANCA NAVEGACAO E LOGISTICA LTDA</t>
        </is>
      </c>
      <c r="J844" s="29" t="n">
        <v>1677.42</v>
      </c>
      <c r="K844" s="29">
        <f>(1-ISNUMBER(SEARCH("556",M844)))*(O844*SUMIFS(Premissas!$C$5:$C$44,Premissas!$A$5:$A$44,$A844,Premissas!$B$5:$B$44,$B844)+P844*SUMIFS(Premissas!$D$5:$D$44,Premissas!$A$5:$A$44,$A844,Premissas!$B$5:$B$44,$B844))+R844*SUMIFS(Premissas!$E$5:$E$44,Premissas!$A$5:$A$44,$A844,Premissas!$B$5:$B$44,$B844)+S844*SUMIFS(Premissas!$F$5:$F$44,Premissas!$A$5:$A$44,$A844,Premissas!$B$5:$B$44,$B844)</f>
        <v/>
      </c>
      <c r="L844" s="29">
        <f>J844-K844</f>
        <v/>
      </c>
      <c r="M844" t="inlineStr">
        <is>
          <t>2.350</t>
        </is>
      </c>
      <c r="N844" t="inlineStr">
        <is>
          <t>Modalidade: 2 - Por conta de terceiros | Parte: CMPC Iguacu Embalagens Ltda (11.308.600/0008-04)</t>
        </is>
      </c>
      <c r="O844" s="29" t="n">
        <v>0</v>
      </c>
      <c r="P844" s="29" t="n">
        <v>117.42</v>
      </c>
      <c r="Q844" s="29" t="n">
        <v>0</v>
      </c>
      <c r="R844" s="29" t="n">
        <v>0</v>
      </c>
      <c r="S844" s="29" t="n">
        <v>0</v>
      </c>
      <c r="T844" t="inlineStr">
        <is>
          <t>42260402427026000901570040001934811019348190</t>
        </is>
      </c>
      <c r="U844" t="inlineStr">
        <is>
          <t>Não</t>
        </is>
      </c>
    </row>
    <row r="845">
      <c r="A845" t="inlineStr">
        <is>
          <t>Frete de compra</t>
        </is>
      </c>
      <c r="B845" t="inlineStr">
        <is>
          <t>2.04.87 Frete sobre Compra</t>
        </is>
      </c>
      <c r="C845" s="30" t="n">
        <v>46113</v>
      </c>
      <c r="D845" t="inlineStr">
        <is>
          <t>Em 2026</t>
        </is>
      </c>
      <c r="E845" s="28" t="n">
        <v>46113</v>
      </c>
      <c r="F845" t="inlineStr">
        <is>
          <t>CT-e</t>
        </is>
      </c>
      <c r="G845" t="inlineStr">
        <is>
          <t>000193489</t>
        </is>
      </c>
      <c r="H845" t="inlineStr">
        <is>
          <t>ALIANCA NAVEGACAO E LOGISTICA LTDA</t>
        </is>
      </c>
      <c r="J845" s="29" t="n">
        <v>5032.26</v>
      </c>
      <c r="K845" s="29">
        <f>(1-ISNUMBER(SEARCH("556",M845)))*(O845*SUMIFS(Premissas!$C$5:$C$44,Premissas!$A$5:$A$44,$A845,Premissas!$B$5:$B$44,$B845)+P845*SUMIFS(Premissas!$D$5:$D$44,Premissas!$A$5:$A$44,$A845,Premissas!$B$5:$B$44,$B845))+R845*SUMIFS(Premissas!$E$5:$E$44,Premissas!$A$5:$A$44,$A845,Premissas!$B$5:$B$44,$B845)+S845*SUMIFS(Premissas!$F$5:$F$44,Premissas!$A$5:$A$44,$A845,Premissas!$B$5:$B$44,$B845)</f>
        <v/>
      </c>
      <c r="L845" s="29">
        <f>J845-K845</f>
        <v/>
      </c>
      <c r="M845" t="inlineStr">
        <is>
          <t>2.350</t>
        </is>
      </c>
      <c r="N845" t="inlineStr">
        <is>
          <t>Modalidade: 2 - Por conta de terceiros | Parte: CMPC Iguacu Embalagens Ltda (11.308.600/0008-04)</t>
        </is>
      </c>
      <c r="O845" s="29" t="n">
        <v>0</v>
      </c>
      <c r="P845" s="29" t="n">
        <v>352.26</v>
      </c>
      <c r="Q845" s="29" t="n">
        <v>0</v>
      </c>
      <c r="R845" s="29" t="n">
        <v>0</v>
      </c>
      <c r="S845" s="29" t="n">
        <v>0</v>
      </c>
      <c r="T845" t="inlineStr">
        <is>
          <t>42260402427026000901570040001934891019348996</t>
        </is>
      </c>
      <c r="U845" t="inlineStr">
        <is>
          <t>Não</t>
        </is>
      </c>
    </row>
    <row r="846">
      <c r="A846" t="inlineStr">
        <is>
          <t>Frete de compra</t>
        </is>
      </c>
      <c r="B846" t="inlineStr">
        <is>
          <t>2.04.87 Frete sobre Compra</t>
        </is>
      </c>
      <c r="C846" s="30" t="n">
        <v>46113</v>
      </c>
      <c r="D846" t="inlineStr">
        <is>
          <t>Em 2026</t>
        </is>
      </c>
      <c r="E846" s="28" t="n">
        <v>46113</v>
      </c>
      <c r="F846" t="inlineStr">
        <is>
          <t>CT-e</t>
        </is>
      </c>
      <c r="G846" t="inlineStr">
        <is>
          <t>000193490</t>
        </is>
      </c>
      <c r="H846" t="inlineStr">
        <is>
          <t>ALIANCA NAVEGACAO E LOGISTICA LTDA</t>
        </is>
      </c>
      <c r="J846" s="29" t="n">
        <v>5161.29</v>
      </c>
      <c r="K846" s="29">
        <f>(1-ISNUMBER(SEARCH("556",M846)))*(O846*SUMIFS(Premissas!$C$5:$C$44,Premissas!$A$5:$A$44,$A846,Premissas!$B$5:$B$44,$B846)+P846*SUMIFS(Premissas!$D$5:$D$44,Premissas!$A$5:$A$44,$A846,Premissas!$B$5:$B$44,$B846))+R846*SUMIFS(Premissas!$E$5:$E$44,Premissas!$A$5:$A$44,$A846,Premissas!$B$5:$B$44,$B846)+S846*SUMIFS(Premissas!$F$5:$F$44,Premissas!$A$5:$A$44,$A846,Premissas!$B$5:$B$44,$B846)</f>
        <v/>
      </c>
      <c r="L846" s="29">
        <f>J846-K846</f>
        <v/>
      </c>
      <c r="M846" t="inlineStr">
        <is>
          <t>2.350</t>
        </is>
      </c>
      <c r="N846" t="inlineStr">
        <is>
          <t>Modalidade: 1 - Por conta do destinatário | Parte: CMPC Iguacu Embalagens Ltda (11.308.600/0008-04)</t>
        </is>
      </c>
      <c r="O846" s="29" t="n">
        <v>0</v>
      </c>
      <c r="P846" s="29" t="n">
        <v>361.29</v>
      </c>
      <c r="Q846" s="29" t="n">
        <v>0</v>
      </c>
      <c r="R846" s="29" t="n">
        <v>0</v>
      </c>
      <c r="S846" s="29" t="n">
        <v>0</v>
      </c>
      <c r="T846" t="inlineStr">
        <is>
          <t>42260402427026000901570040001934901019349098</t>
        </is>
      </c>
      <c r="U846" t="inlineStr">
        <is>
          <t>Não</t>
        </is>
      </c>
    </row>
    <row r="847">
      <c r="A847" t="inlineStr">
        <is>
          <t>Frete de compra</t>
        </is>
      </c>
      <c r="B847" t="inlineStr">
        <is>
          <t>2.04.87 Frete sobre Compra</t>
        </is>
      </c>
      <c r="C847" s="30" t="n">
        <v>46113</v>
      </c>
      <c r="D847" t="inlineStr">
        <is>
          <t>Em 2026</t>
        </is>
      </c>
      <c r="E847" s="28" t="n">
        <v>46119</v>
      </c>
      <c r="F847" t="inlineStr">
        <is>
          <t>CT-e</t>
        </is>
      </c>
      <c r="G847" t="inlineStr">
        <is>
          <t>000193834</t>
        </is>
      </c>
      <c r="H847" t="inlineStr">
        <is>
          <t>ALIANCA NAVEGACAO E LOGISTICA LTDA</t>
        </is>
      </c>
      <c r="J847" s="29" t="n">
        <v>18503.41</v>
      </c>
      <c r="K847" s="29">
        <f>(1-ISNUMBER(SEARCH("556",M847)))*(O847*SUMIFS(Premissas!$C$5:$C$44,Premissas!$A$5:$A$44,$A847,Premissas!$B$5:$B$44,$B847)+P847*SUMIFS(Premissas!$D$5:$D$44,Premissas!$A$5:$A$44,$A847,Premissas!$B$5:$B$44,$B847))+R847*SUMIFS(Premissas!$E$5:$E$44,Premissas!$A$5:$A$44,$A847,Premissas!$B$5:$B$44,$B847)+S847*SUMIFS(Premissas!$F$5:$F$44,Premissas!$A$5:$A$44,$A847,Premissas!$B$5:$B$44,$B847)</f>
        <v/>
      </c>
      <c r="L847" s="29">
        <f>J847-K847</f>
        <v/>
      </c>
      <c r="M847" t="inlineStr">
        <is>
          <t>1.350</t>
        </is>
      </c>
      <c r="N847" t="inlineStr">
        <is>
          <t>Modalidade: 2 - Por conta de terceiros | Parte: CMPC Iguacu Embalagens Ltda (11.308.600/0008-04)</t>
        </is>
      </c>
      <c r="O847" s="29" t="n">
        <v>0</v>
      </c>
      <c r="P847" s="29" t="n">
        <v>1295.24</v>
      </c>
      <c r="Q847" s="29" t="n">
        <v>0</v>
      </c>
      <c r="R847" s="29" t="n">
        <v>0</v>
      </c>
      <c r="S847" s="29" t="n">
        <v>0</v>
      </c>
      <c r="T847" t="inlineStr">
        <is>
          <t>42260402427026000901570040001938341019383493</t>
        </is>
      </c>
      <c r="U847" t="inlineStr">
        <is>
          <t>Sim</t>
        </is>
      </c>
    </row>
    <row r="848">
      <c r="A848" t="inlineStr">
        <is>
          <t>Frete de compra</t>
        </is>
      </c>
      <c r="B848" t="inlineStr">
        <is>
          <t>2.04.87 Frete sobre Compra</t>
        </is>
      </c>
      <c r="C848" s="30" t="n">
        <v>46113</v>
      </c>
      <c r="D848" t="inlineStr">
        <is>
          <t>Em 2026</t>
        </is>
      </c>
      <c r="E848" s="28" t="n">
        <v>46119</v>
      </c>
      <c r="F848" t="inlineStr">
        <is>
          <t>CT-e</t>
        </is>
      </c>
      <c r="G848" t="inlineStr">
        <is>
          <t>000193835</t>
        </is>
      </c>
      <c r="H848" t="inlineStr">
        <is>
          <t>ALIANCA NAVEGACAO E LOGISTICA LTDA</t>
        </is>
      </c>
      <c r="J848" s="29" t="n">
        <v>9538.49</v>
      </c>
      <c r="K848" s="29">
        <f>(1-ISNUMBER(SEARCH("556",M848)))*(O848*SUMIFS(Premissas!$C$5:$C$44,Premissas!$A$5:$A$44,$A848,Premissas!$B$5:$B$44,$B848)+P848*SUMIFS(Premissas!$D$5:$D$44,Premissas!$A$5:$A$44,$A848,Premissas!$B$5:$B$44,$B848))+R848*SUMIFS(Premissas!$E$5:$E$44,Premissas!$A$5:$A$44,$A848,Premissas!$B$5:$B$44,$B848)+S848*SUMIFS(Premissas!$F$5:$F$44,Premissas!$A$5:$A$44,$A848,Premissas!$B$5:$B$44,$B848)</f>
        <v/>
      </c>
      <c r="L848" s="29">
        <f>J848-K848</f>
        <v/>
      </c>
      <c r="M848" t="inlineStr">
        <is>
          <t>1.350</t>
        </is>
      </c>
      <c r="N848" t="inlineStr">
        <is>
          <t>Modalidade: 1 - Por conta do destinatário | Parte: CMPC Iguacu Embalagens Ltda (11.308.600/0008-04)</t>
        </is>
      </c>
      <c r="O848" s="29" t="n">
        <v>0</v>
      </c>
      <c r="P848" s="29" t="n">
        <v>667.6900000000001</v>
      </c>
      <c r="Q848" s="29" t="n">
        <v>0</v>
      </c>
      <c r="R848" s="29" t="n">
        <v>0</v>
      </c>
      <c r="S848" s="29" t="n">
        <v>0</v>
      </c>
      <c r="T848" t="inlineStr">
        <is>
          <t>42260402427026000901570040001938351019383598</t>
        </is>
      </c>
      <c r="U848" t="inlineStr">
        <is>
          <t>Sim</t>
        </is>
      </c>
    </row>
    <row r="849">
      <c r="A849" t="inlineStr">
        <is>
          <t>Frete de compra</t>
        </is>
      </c>
      <c r="B849" t="inlineStr">
        <is>
          <t>2.04.87 Frete sobre Compra</t>
        </is>
      </c>
      <c r="C849" s="30" t="n">
        <v>46113</v>
      </c>
      <c r="D849" t="inlineStr">
        <is>
          <t>Em 2026</t>
        </is>
      </c>
      <c r="E849" s="28" t="n">
        <v>46119</v>
      </c>
      <c r="F849" t="inlineStr">
        <is>
          <t>CT-e</t>
        </is>
      </c>
      <c r="G849" t="inlineStr">
        <is>
          <t>000193836</t>
        </is>
      </c>
      <c r="H849" t="inlineStr">
        <is>
          <t>ALIANCA NAVEGACAO E LOGISTICA LTDA</t>
        </is>
      </c>
      <c r="J849" s="29" t="n">
        <v>9483.809999999999</v>
      </c>
      <c r="K849" s="29">
        <f>(1-ISNUMBER(SEARCH("556",M849)))*(O849*SUMIFS(Premissas!$C$5:$C$44,Premissas!$A$5:$A$44,$A849,Premissas!$B$5:$B$44,$B849)+P849*SUMIFS(Premissas!$D$5:$D$44,Premissas!$A$5:$A$44,$A849,Premissas!$B$5:$B$44,$B849))+R849*SUMIFS(Premissas!$E$5:$E$44,Premissas!$A$5:$A$44,$A849,Premissas!$B$5:$B$44,$B849)+S849*SUMIFS(Premissas!$F$5:$F$44,Premissas!$A$5:$A$44,$A849,Premissas!$B$5:$B$44,$B849)</f>
        <v/>
      </c>
      <c r="L849" s="29">
        <f>J849-K849</f>
        <v/>
      </c>
      <c r="M849" t="inlineStr">
        <is>
          <t>1.350</t>
        </is>
      </c>
      <c r="N849" t="inlineStr">
        <is>
          <t>Modalidade: 2 - Por conta de terceiros | Parte: CMPC Iguacu Embalagens Ltda (11.308.600/0008-04)</t>
        </is>
      </c>
      <c r="O849" s="29" t="n">
        <v>0</v>
      </c>
      <c r="P849" s="29" t="n">
        <v>663.87</v>
      </c>
      <c r="Q849" s="29" t="n">
        <v>0</v>
      </c>
      <c r="R849" s="29" t="n">
        <v>0</v>
      </c>
      <c r="S849" s="29" t="n">
        <v>0</v>
      </c>
      <c r="T849" t="inlineStr">
        <is>
          <t>42260402427026000901570040001938361019383692</t>
        </is>
      </c>
      <c r="U849" t="inlineStr">
        <is>
          <t>Sim</t>
        </is>
      </c>
    </row>
    <row r="850">
      <c r="A850" t="inlineStr">
        <is>
          <t>Frete de compra</t>
        </is>
      </c>
      <c r="B850" t="inlineStr">
        <is>
          <t>2.04.87 Frete sobre Compra</t>
        </is>
      </c>
      <c r="C850" s="30" t="n">
        <v>46113</v>
      </c>
      <c r="D850" t="inlineStr">
        <is>
          <t>Em 2026</t>
        </is>
      </c>
      <c r="E850" s="28" t="n">
        <v>46126</v>
      </c>
      <c r="F850" t="inlineStr">
        <is>
          <t>CT-e</t>
        </is>
      </c>
      <c r="G850" t="inlineStr">
        <is>
          <t>000194563</t>
        </is>
      </c>
      <c r="H850" t="inlineStr">
        <is>
          <t>ALIANCA NAVEGACAO E LOGISTICA LTDA</t>
        </is>
      </c>
      <c r="J850" s="29" t="n">
        <v>18497.99</v>
      </c>
      <c r="K850" s="29">
        <f>(1-ISNUMBER(SEARCH("556",M850)))*(O850*SUMIFS(Premissas!$C$5:$C$44,Premissas!$A$5:$A$44,$A850,Premissas!$B$5:$B$44,$B850)+P850*SUMIFS(Premissas!$D$5:$D$44,Premissas!$A$5:$A$44,$A850,Premissas!$B$5:$B$44,$B850))+R850*SUMIFS(Premissas!$E$5:$E$44,Premissas!$A$5:$A$44,$A850,Premissas!$B$5:$B$44,$B850)+S850*SUMIFS(Premissas!$F$5:$F$44,Premissas!$A$5:$A$44,$A850,Premissas!$B$5:$B$44,$B850)</f>
        <v/>
      </c>
      <c r="L850" s="29">
        <f>J850-K850</f>
        <v/>
      </c>
      <c r="M850" t="inlineStr">
        <is>
          <t>1.350</t>
        </is>
      </c>
      <c r="N850" t="inlineStr">
        <is>
          <t>Modalidade: 2 - Por conta de terceiros | Parte: CMPC Iguacu Embalagens Ltda (11.308.600/0008-04)</t>
        </is>
      </c>
      <c r="O850" s="29" t="n">
        <v>0</v>
      </c>
      <c r="P850" s="29" t="n">
        <v>1294.86</v>
      </c>
      <c r="Q850" s="29" t="n">
        <v>0</v>
      </c>
      <c r="R850" s="29" t="n">
        <v>0</v>
      </c>
      <c r="S850" s="29" t="n">
        <v>0</v>
      </c>
      <c r="T850" t="inlineStr">
        <is>
          <t>42260402427026000901570040001945631019456393</t>
        </is>
      </c>
      <c r="U850" t="inlineStr">
        <is>
          <t>Sim</t>
        </is>
      </c>
    </row>
    <row r="851">
      <c r="A851" t="inlineStr">
        <is>
          <t>Frete de compra</t>
        </is>
      </c>
      <c r="B851" t="inlineStr">
        <is>
          <t>2.04.87 Frete sobre Compra</t>
        </is>
      </c>
      <c r="C851" s="30" t="n">
        <v>46113</v>
      </c>
      <c r="D851" t="inlineStr">
        <is>
          <t>Em 2026</t>
        </is>
      </c>
      <c r="E851" s="28" t="n">
        <v>46126</v>
      </c>
      <c r="F851" t="inlineStr">
        <is>
          <t>CT-e</t>
        </is>
      </c>
      <c r="G851" t="inlineStr">
        <is>
          <t>000194564</t>
        </is>
      </c>
      <c r="H851" t="inlineStr">
        <is>
          <t>ALIANCA NAVEGACAO E LOGISTICA LTDA</t>
        </is>
      </c>
      <c r="J851" s="29" t="n">
        <v>18502.28</v>
      </c>
      <c r="K851" s="29">
        <f>(1-ISNUMBER(SEARCH("556",M851)))*(O851*SUMIFS(Premissas!$C$5:$C$44,Premissas!$A$5:$A$44,$A851,Premissas!$B$5:$B$44,$B851)+P851*SUMIFS(Premissas!$D$5:$D$44,Premissas!$A$5:$A$44,$A851,Premissas!$B$5:$B$44,$B851))+R851*SUMIFS(Premissas!$E$5:$E$44,Premissas!$A$5:$A$44,$A851,Premissas!$B$5:$B$44,$B851)+S851*SUMIFS(Premissas!$F$5:$F$44,Premissas!$A$5:$A$44,$A851,Premissas!$B$5:$B$44,$B851)</f>
        <v/>
      </c>
      <c r="L851" s="29">
        <f>J851-K851</f>
        <v/>
      </c>
      <c r="M851" t="inlineStr">
        <is>
          <t>1.350</t>
        </is>
      </c>
      <c r="N851" t="inlineStr">
        <is>
          <t>Modalidade: 2 - Por conta de terceiros | Parte: CMPC Iguacu Embalagens Ltda (11.308.600/0008-04)</t>
        </is>
      </c>
      <c r="O851" s="29" t="n">
        <v>0</v>
      </c>
      <c r="P851" s="29" t="n">
        <v>1295.16</v>
      </c>
      <c r="Q851" s="29" t="n">
        <v>0</v>
      </c>
      <c r="R851" s="29" t="n">
        <v>0</v>
      </c>
      <c r="S851" s="29" t="n">
        <v>0</v>
      </c>
      <c r="T851" t="inlineStr">
        <is>
          <t>42260402427026000901570040001945641019456498</t>
        </is>
      </c>
      <c r="U851" t="inlineStr">
        <is>
          <t>Sim</t>
        </is>
      </c>
    </row>
    <row r="852">
      <c r="A852" t="inlineStr">
        <is>
          <t>Frete de compra</t>
        </is>
      </c>
      <c r="B852" t="inlineStr">
        <is>
          <t>2.04.87 Frete sobre Compra</t>
        </is>
      </c>
      <c r="C852" s="30" t="n">
        <v>46113</v>
      </c>
      <c r="D852" t="inlineStr">
        <is>
          <t>Em 2026</t>
        </is>
      </c>
      <c r="E852" s="28" t="n">
        <v>46126</v>
      </c>
      <c r="F852" t="inlineStr">
        <is>
          <t>CT-e</t>
        </is>
      </c>
      <c r="G852" t="inlineStr">
        <is>
          <t>000194565</t>
        </is>
      </c>
      <c r="H852" t="inlineStr">
        <is>
          <t>ALIANCA NAVEGACAO E LOGISTICA LTDA</t>
        </is>
      </c>
      <c r="J852" s="29" t="n">
        <v>18503.48</v>
      </c>
      <c r="K852" s="29">
        <f>(1-ISNUMBER(SEARCH("556",M852)))*(O852*SUMIFS(Premissas!$C$5:$C$44,Premissas!$A$5:$A$44,$A852,Premissas!$B$5:$B$44,$B852)+P852*SUMIFS(Premissas!$D$5:$D$44,Premissas!$A$5:$A$44,$A852,Premissas!$B$5:$B$44,$B852))+R852*SUMIFS(Premissas!$E$5:$E$44,Premissas!$A$5:$A$44,$A852,Premissas!$B$5:$B$44,$B852)+S852*SUMIFS(Premissas!$F$5:$F$44,Premissas!$A$5:$A$44,$A852,Premissas!$B$5:$B$44,$B852)</f>
        <v/>
      </c>
      <c r="L852" s="29">
        <f>J852-K852</f>
        <v/>
      </c>
      <c r="M852" t="inlineStr">
        <is>
          <t>1.350</t>
        </is>
      </c>
      <c r="N852" t="inlineStr">
        <is>
          <t>Modalidade: 2 - Por conta de terceiros | Parte: CMPC Iguacu Embalagens Ltda (11.308.600/0008-04)</t>
        </is>
      </c>
      <c r="O852" s="29" t="n">
        <v>0</v>
      </c>
      <c r="P852" s="29" t="n">
        <v>1295.24</v>
      </c>
      <c r="Q852" s="29" t="n">
        <v>0</v>
      </c>
      <c r="R852" s="29" t="n">
        <v>0</v>
      </c>
      <c r="S852" s="29" t="n">
        <v>0</v>
      </c>
      <c r="T852" t="inlineStr">
        <is>
          <t>42260402427026000901570040001945651019456592</t>
        </is>
      </c>
      <c r="U852" t="inlineStr">
        <is>
          <t>Sim</t>
        </is>
      </c>
    </row>
    <row r="853">
      <c r="A853" t="inlineStr">
        <is>
          <t>Frete de compra</t>
        </is>
      </c>
      <c r="B853" t="inlineStr">
        <is>
          <t>2.04.87 Frete sobre Compra</t>
        </is>
      </c>
      <c r="C853" s="30" t="n">
        <v>46113</v>
      </c>
      <c r="D853" t="inlineStr">
        <is>
          <t>Em 2026</t>
        </is>
      </c>
      <c r="E853" s="28" t="n">
        <v>46126</v>
      </c>
      <c r="F853" t="inlineStr">
        <is>
          <t>CT-e</t>
        </is>
      </c>
      <c r="G853" t="inlineStr">
        <is>
          <t>000194566</t>
        </is>
      </c>
      <c r="H853" t="inlineStr">
        <is>
          <t>ALIANCA NAVEGACAO E LOGISTICA LTDA</t>
        </is>
      </c>
      <c r="J853" s="29" t="n">
        <v>18499.61</v>
      </c>
      <c r="K853" s="29">
        <f>(1-ISNUMBER(SEARCH("556",M853)))*(O853*SUMIFS(Premissas!$C$5:$C$44,Premissas!$A$5:$A$44,$A853,Premissas!$B$5:$B$44,$B853)+P853*SUMIFS(Premissas!$D$5:$D$44,Premissas!$A$5:$A$44,$A853,Premissas!$B$5:$B$44,$B853))+R853*SUMIFS(Premissas!$E$5:$E$44,Premissas!$A$5:$A$44,$A853,Premissas!$B$5:$B$44,$B853)+S853*SUMIFS(Premissas!$F$5:$F$44,Premissas!$A$5:$A$44,$A853,Premissas!$B$5:$B$44,$B853)</f>
        <v/>
      </c>
      <c r="L853" s="29">
        <f>J853-K853</f>
        <v/>
      </c>
      <c r="M853" t="inlineStr">
        <is>
          <t>1.350</t>
        </is>
      </c>
      <c r="N853" t="inlineStr">
        <is>
          <t>Modalidade: 2 - Por conta de terceiros | Parte: CMPC Iguacu Embalagens Ltda (11.308.600/0008-04)</t>
        </is>
      </c>
      <c r="O853" s="29" t="n">
        <v>0</v>
      </c>
      <c r="P853" s="29" t="n">
        <v>1294.97</v>
      </c>
      <c r="Q853" s="29" t="n">
        <v>0</v>
      </c>
      <c r="R853" s="29" t="n">
        <v>0</v>
      </c>
      <c r="S853" s="29" t="n">
        <v>0</v>
      </c>
      <c r="T853" t="inlineStr">
        <is>
          <t>42260402427026000901570040001945661019456697</t>
        </is>
      </c>
      <c r="U853" t="inlineStr">
        <is>
          <t>Sim</t>
        </is>
      </c>
    </row>
    <row r="854">
      <c r="A854" t="inlineStr">
        <is>
          <t>Frete de compra</t>
        </is>
      </c>
      <c r="B854" t="inlineStr">
        <is>
          <t>2.04.87 Frete sobre Compra</t>
        </is>
      </c>
      <c r="C854" s="30" t="n">
        <v>46113</v>
      </c>
      <c r="D854" t="inlineStr">
        <is>
          <t>Em 2026</t>
        </is>
      </c>
      <c r="E854" s="28" t="n">
        <v>46126</v>
      </c>
      <c r="F854" t="inlineStr">
        <is>
          <t>CT-e</t>
        </is>
      </c>
      <c r="G854" t="inlineStr">
        <is>
          <t>000194568</t>
        </is>
      </c>
      <c r="H854" t="inlineStr">
        <is>
          <t>ALIANCA NAVEGACAO E LOGISTICA LTDA</t>
        </is>
      </c>
      <c r="J854" s="29" t="n">
        <v>18507.03</v>
      </c>
      <c r="K854" s="29">
        <f>(1-ISNUMBER(SEARCH("556",M854)))*(O854*SUMIFS(Premissas!$C$5:$C$44,Premissas!$A$5:$A$44,$A854,Premissas!$B$5:$B$44,$B854)+P854*SUMIFS(Premissas!$D$5:$D$44,Premissas!$A$5:$A$44,$A854,Premissas!$B$5:$B$44,$B854))+R854*SUMIFS(Premissas!$E$5:$E$44,Premissas!$A$5:$A$44,$A854,Premissas!$B$5:$B$44,$B854)+S854*SUMIFS(Premissas!$F$5:$F$44,Premissas!$A$5:$A$44,$A854,Premissas!$B$5:$B$44,$B854)</f>
        <v/>
      </c>
      <c r="L854" s="29">
        <f>J854-K854</f>
        <v/>
      </c>
      <c r="M854" t="inlineStr">
        <is>
          <t>1.350</t>
        </is>
      </c>
      <c r="N854" t="inlineStr">
        <is>
          <t>Modalidade: 2 - Por conta de terceiros | Parte: CMPC Iguacu Embalagens Ltda (11.308.600/0008-04)</t>
        </is>
      </c>
      <c r="O854" s="29" t="n">
        <v>0</v>
      </c>
      <c r="P854" s="29" t="n">
        <v>1295.49</v>
      </c>
      <c r="Q854" s="29" t="n">
        <v>0</v>
      </c>
      <c r="R854" s="29" t="n">
        <v>0</v>
      </c>
      <c r="S854" s="29" t="n">
        <v>0</v>
      </c>
      <c r="T854" t="inlineStr">
        <is>
          <t>42260402427026000901570040001945681019456896</t>
        </is>
      </c>
      <c r="U854" t="inlineStr">
        <is>
          <t>Sim</t>
        </is>
      </c>
    </row>
    <row r="855">
      <c r="A855" t="inlineStr">
        <is>
          <t>Frete de compra</t>
        </is>
      </c>
      <c r="B855" t="inlineStr">
        <is>
          <t>2.04.87 Frete sobre Compra</t>
        </is>
      </c>
      <c r="C855" s="30" t="n">
        <v>46113</v>
      </c>
      <c r="D855" t="inlineStr">
        <is>
          <t>Em 2026</t>
        </is>
      </c>
      <c r="E855" s="28" t="n">
        <v>46126</v>
      </c>
      <c r="F855" t="inlineStr">
        <is>
          <t>CT-e</t>
        </is>
      </c>
      <c r="G855" t="inlineStr">
        <is>
          <t>000194569</t>
        </is>
      </c>
      <c r="H855" t="inlineStr">
        <is>
          <t>ALIANCA NAVEGACAO E LOGISTICA LTDA</t>
        </is>
      </c>
      <c r="J855" s="29" t="n">
        <v>18508.74</v>
      </c>
      <c r="K855" s="29">
        <f>(1-ISNUMBER(SEARCH("556",M855)))*(O855*SUMIFS(Premissas!$C$5:$C$44,Premissas!$A$5:$A$44,$A855,Premissas!$B$5:$B$44,$B855)+P855*SUMIFS(Premissas!$D$5:$D$44,Premissas!$A$5:$A$44,$A855,Premissas!$B$5:$B$44,$B855))+R855*SUMIFS(Premissas!$E$5:$E$44,Premissas!$A$5:$A$44,$A855,Premissas!$B$5:$B$44,$B855)+S855*SUMIFS(Premissas!$F$5:$F$44,Premissas!$A$5:$A$44,$A855,Premissas!$B$5:$B$44,$B855)</f>
        <v/>
      </c>
      <c r="L855" s="29">
        <f>J855-K855</f>
        <v/>
      </c>
      <c r="M855" t="inlineStr">
        <is>
          <t>1.350</t>
        </is>
      </c>
      <c r="N855" t="inlineStr">
        <is>
          <t>Modalidade: 2 - Por conta de terceiros | Parte: CMPC Iguacu Embalagens Ltda (11.308.600/0008-04)</t>
        </is>
      </c>
      <c r="O855" s="29" t="n">
        <v>0</v>
      </c>
      <c r="P855" s="29" t="n">
        <v>1295.61</v>
      </c>
      <c r="Q855" s="29" t="n">
        <v>0</v>
      </c>
      <c r="R855" s="29" t="n">
        <v>0</v>
      </c>
      <c r="S855" s="29" t="n">
        <v>0</v>
      </c>
      <c r="T855" t="inlineStr">
        <is>
          <t>42260402427026000901570040001945691019456990</t>
        </is>
      </c>
      <c r="U855" t="inlineStr">
        <is>
          <t>Sim</t>
        </is>
      </c>
    </row>
    <row r="856">
      <c r="A856" t="inlineStr">
        <is>
          <t>Frete de compra</t>
        </is>
      </c>
      <c r="B856" t="inlineStr">
        <is>
          <t>2.04.87 Frete sobre Compra</t>
        </is>
      </c>
      <c r="C856" s="30" t="n">
        <v>46113</v>
      </c>
      <c r="D856" t="inlineStr">
        <is>
          <t>Em 2026</t>
        </is>
      </c>
      <c r="E856" s="28" t="n">
        <v>46126</v>
      </c>
      <c r="F856" t="inlineStr">
        <is>
          <t>CT-e</t>
        </is>
      </c>
      <c r="G856" t="inlineStr">
        <is>
          <t>000194570</t>
        </is>
      </c>
      <c r="H856" t="inlineStr">
        <is>
          <t>ALIANCA NAVEGACAO E LOGISTICA LTDA</t>
        </is>
      </c>
      <c r="J856" s="29" t="n">
        <v>18500.01</v>
      </c>
      <c r="K856" s="29">
        <f>(1-ISNUMBER(SEARCH("556",M856)))*(O856*SUMIFS(Premissas!$C$5:$C$44,Premissas!$A$5:$A$44,$A856,Premissas!$B$5:$B$44,$B856)+P856*SUMIFS(Premissas!$D$5:$D$44,Premissas!$A$5:$A$44,$A856,Premissas!$B$5:$B$44,$B856))+R856*SUMIFS(Premissas!$E$5:$E$44,Premissas!$A$5:$A$44,$A856,Premissas!$B$5:$B$44,$B856)+S856*SUMIFS(Premissas!$F$5:$F$44,Premissas!$A$5:$A$44,$A856,Premissas!$B$5:$B$44,$B856)</f>
        <v/>
      </c>
      <c r="L856" s="29">
        <f>J856-K856</f>
        <v/>
      </c>
      <c r="M856" t="inlineStr">
        <is>
          <t>1.350</t>
        </is>
      </c>
      <c r="N856" t="inlineStr">
        <is>
          <t>Modalidade: 1 - Por conta do destinatário | Parte: CMPC Iguacu Embalagens Ltda (11.308.600/0008-04)</t>
        </is>
      </c>
      <c r="O856" s="29" t="n">
        <v>0</v>
      </c>
      <c r="P856" s="29" t="n">
        <v>1295</v>
      </c>
      <c r="Q856" s="29" t="n">
        <v>0</v>
      </c>
      <c r="R856" s="29" t="n">
        <v>0</v>
      </c>
      <c r="S856" s="29" t="n">
        <v>0</v>
      </c>
      <c r="T856" t="inlineStr">
        <is>
          <t>42260402427026000901570040001945701019457092</t>
        </is>
      </c>
      <c r="U856" t="inlineStr">
        <is>
          <t>Sim</t>
        </is>
      </c>
    </row>
    <row r="857">
      <c r="A857" t="inlineStr">
        <is>
          <t>Frete de compra</t>
        </is>
      </c>
      <c r="B857" t="inlineStr">
        <is>
          <t>2.04.87 Frete sobre Compra</t>
        </is>
      </c>
      <c r="C857" s="30" t="n">
        <v>46113</v>
      </c>
      <c r="D857" t="inlineStr">
        <is>
          <t>Em 2026</t>
        </is>
      </c>
      <c r="E857" s="28" t="n">
        <v>46141</v>
      </c>
      <c r="F857" t="inlineStr">
        <is>
          <t>CT-e</t>
        </is>
      </c>
      <c r="G857" t="inlineStr">
        <is>
          <t>000195811</t>
        </is>
      </c>
      <c r="H857" t="inlineStr">
        <is>
          <t>ALIANCA NAVEGACAO E LOGISTICA LTDA</t>
        </is>
      </c>
      <c r="J857" s="29" t="n">
        <v>19315.19</v>
      </c>
      <c r="K857" s="29">
        <f>(1-ISNUMBER(SEARCH("556",M857)))*(O857*SUMIFS(Premissas!$C$5:$C$44,Premissas!$A$5:$A$44,$A857,Premissas!$B$5:$B$44,$B857)+P857*SUMIFS(Premissas!$D$5:$D$44,Premissas!$A$5:$A$44,$A857,Premissas!$B$5:$B$44,$B857))+R857*SUMIFS(Premissas!$E$5:$E$44,Premissas!$A$5:$A$44,$A857,Premissas!$B$5:$B$44,$B857)+S857*SUMIFS(Premissas!$F$5:$F$44,Premissas!$A$5:$A$44,$A857,Premissas!$B$5:$B$44,$B857)</f>
        <v/>
      </c>
      <c r="L857" s="29">
        <f>J857-K857</f>
        <v/>
      </c>
      <c r="M857" t="inlineStr">
        <is>
          <t>1.350</t>
        </is>
      </c>
      <c r="N857" t="inlineStr">
        <is>
          <t>Modalidade: 2 - Por conta de terceiros | Parte: CMPC Iguacu Embalagens Ltda (11.308.600/0008-04)</t>
        </is>
      </c>
      <c r="O857" s="29" t="n">
        <v>0</v>
      </c>
      <c r="P857" s="29" t="n">
        <v>1352.06</v>
      </c>
      <c r="Q857" s="29" t="n">
        <v>0</v>
      </c>
      <c r="R857" s="29" t="n">
        <v>0</v>
      </c>
      <c r="S857" s="29" t="n">
        <v>0</v>
      </c>
      <c r="T857" t="inlineStr">
        <is>
          <t>42260402427026000901570040001958111019581192</t>
        </is>
      </c>
      <c r="U857" t="inlineStr">
        <is>
          <t>Sim</t>
        </is>
      </c>
    </row>
    <row r="858">
      <c r="A858" t="inlineStr">
        <is>
          <t>Frete de compra</t>
        </is>
      </c>
      <c r="B858" t="inlineStr">
        <is>
          <t>2.04.87 Frete sobre Compra</t>
        </is>
      </c>
      <c r="C858" s="30" t="n">
        <v>46113</v>
      </c>
      <c r="D858" t="inlineStr">
        <is>
          <t>Em 2026</t>
        </is>
      </c>
      <c r="E858" s="28" t="n">
        <v>46141</v>
      </c>
      <c r="F858" t="inlineStr">
        <is>
          <t>CT-e</t>
        </is>
      </c>
      <c r="G858" t="inlineStr">
        <is>
          <t>000195812</t>
        </is>
      </c>
      <c r="H858" t="inlineStr">
        <is>
          <t>ALIANCA NAVEGACAO E LOGISTICA LTDA</t>
        </is>
      </c>
      <c r="J858" s="29" t="n">
        <v>19294.65</v>
      </c>
      <c r="K858" s="29">
        <f>(1-ISNUMBER(SEARCH("556",M858)))*(O858*SUMIFS(Premissas!$C$5:$C$44,Premissas!$A$5:$A$44,$A858,Premissas!$B$5:$B$44,$B858)+P858*SUMIFS(Premissas!$D$5:$D$44,Premissas!$A$5:$A$44,$A858,Premissas!$B$5:$B$44,$B858))+R858*SUMIFS(Premissas!$E$5:$E$44,Premissas!$A$5:$A$44,$A858,Premissas!$B$5:$B$44,$B858)+S858*SUMIFS(Premissas!$F$5:$F$44,Premissas!$A$5:$A$44,$A858,Premissas!$B$5:$B$44,$B858)</f>
        <v/>
      </c>
      <c r="L858" s="29">
        <f>J858-K858</f>
        <v/>
      </c>
      <c r="M858" t="inlineStr">
        <is>
          <t>2.350</t>
        </is>
      </c>
      <c r="N858" t="inlineStr">
        <is>
          <t>Modalidade: 2 - Por conta de terceiros | Parte: CMPC Iguacu Embalagens Ltda (11.308.600/0008-04)</t>
        </is>
      </c>
      <c r="O858" s="29" t="n">
        <v>0</v>
      </c>
      <c r="P858" s="29" t="n">
        <v>1350.63</v>
      </c>
      <c r="Q858" s="29" t="n">
        <v>0</v>
      </c>
      <c r="R858" s="29" t="n">
        <v>0</v>
      </c>
      <c r="S858" s="29" t="n">
        <v>0</v>
      </c>
      <c r="T858" t="inlineStr">
        <is>
          <t>42260402427026000901570040001958121019581297</t>
        </is>
      </c>
      <c r="U858" t="inlineStr">
        <is>
          <t>Sim</t>
        </is>
      </c>
    </row>
    <row r="859">
      <c r="A859" t="inlineStr">
        <is>
          <t>Frete de compra</t>
        </is>
      </c>
      <c r="B859" t="inlineStr">
        <is>
          <t>2.04.87 Frete sobre Compra</t>
        </is>
      </c>
      <c r="C859" s="30" t="n">
        <v>46113</v>
      </c>
      <c r="D859" t="inlineStr">
        <is>
          <t>Em 2026</t>
        </is>
      </c>
      <c r="E859" s="28" t="n">
        <v>46141</v>
      </c>
      <c r="F859" t="inlineStr">
        <is>
          <t>CT-e</t>
        </is>
      </c>
      <c r="G859" t="inlineStr">
        <is>
          <t>000195813</t>
        </is>
      </c>
      <c r="H859" t="inlineStr">
        <is>
          <t>ALIANCA NAVEGACAO E LOGISTICA LTDA</t>
        </is>
      </c>
      <c r="J859" s="29" t="n">
        <v>19309.29</v>
      </c>
      <c r="K859" s="29">
        <f>(1-ISNUMBER(SEARCH("556",M859)))*(O859*SUMIFS(Premissas!$C$5:$C$44,Premissas!$A$5:$A$44,$A859,Premissas!$B$5:$B$44,$B859)+P859*SUMIFS(Premissas!$D$5:$D$44,Premissas!$A$5:$A$44,$A859,Premissas!$B$5:$B$44,$B859))+R859*SUMIFS(Premissas!$E$5:$E$44,Premissas!$A$5:$A$44,$A859,Premissas!$B$5:$B$44,$B859)+S859*SUMIFS(Premissas!$F$5:$F$44,Premissas!$A$5:$A$44,$A859,Premissas!$B$5:$B$44,$B859)</f>
        <v/>
      </c>
      <c r="L859" s="29">
        <f>J859-K859</f>
        <v/>
      </c>
      <c r="M859" t="inlineStr">
        <is>
          <t>2.350</t>
        </is>
      </c>
      <c r="N859" t="inlineStr">
        <is>
          <t>Modalidade: 2 - Por conta de terceiros | Parte: CMPC Iguacu Embalagens Ltda (11.308.600/0008-04)</t>
        </is>
      </c>
      <c r="O859" s="29" t="n">
        <v>0</v>
      </c>
      <c r="P859" s="29" t="n">
        <v>1351.65</v>
      </c>
      <c r="Q859" s="29" t="n">
        <v>0</v>
      </c>
      <c r="R859" s="29" t="n">
        <v>0</v>
      </c>
      <c r="S859" s="29" t="n">
        <v>0</v>
      </c>
      <c r="T859" t="inlineStr">
        <is>
          <t>42260402427026000901570040001958131019581391</t>
        </is>
      </c>
      <c r="U859" t="inlineStr">
        <is>
          <t>Sim</t>
        </is>
      </c>
    </row>
    <row r="860">
      <c r="A860" t="inlineStr">
        <is>
          <t>Frete de compra</t>
        </is>
      </c>
      <c r="B860" t="inlineStr">
        <is>
          <t>2.04.87 Frete sobre Compra</t>
        </is>
      </c>
      <c r="C860" s="30" t="n">
        <v>46113</v>
      </c>
      <c r="D860" t="inlineStr">
        <is>
          <t>Em 2026</t>
        </is>
      </c>
      <c r="E860" s="28" t="n">
        <v>46141</v>
      </c>
      <c r="F860" t="inlineStr">
        <is>
          <t>CT-e</t>
        </is>
      </c>
      <c r="G860" t="inlineStr">
        <is>
          <t>000195814</t>
        </is>
      </c>
      <c r="H860" t="inlineStr">
        <is>
          <t>ALIANCA NAVEGACAO E LOGISTICA LTDA</t>
        </is>
      </c>
      <c r="J860" s="29" t="n">
        <v>19304.28</v>
      </c>
      <c r="K860" s="29">
        <f>(1-ISNUMBER(SEARCH("556",M860)))*(O860*SUMIFS(Premissas!$C$5:$C$44,Premissas!$A$5:$A$44,$A860,Premissas!$B$5:$B$44,$B860)+P860*SUMIFS(Premissas!$D$5:$D$44,Premissas!$A$5:$A$44,$A860,Premissas!$B$5:$B$44,$B860))+R860*SUMIFS(Premissas!$E$5:$E$44,Premissas!$A$5:$A$44,$A860,Premissas!$B$5:$B$44,$B860)+S860*SUMIFS(Premissas!$F$5:$F$44,Premissas!$A$5:$A$44,$A860,Premissas!$B$5:$B$44,$B860)</f>
        <v/>
      </c>
      <c r="L860" s="29">
        <f>J860-K860</f>
        <v/>
      </c>
      <c r="M860" t="inlineStr">
        <is>
          <t>1.350</t>
        </is>
      </c>
      <c r="N860" t="inlineStr">
        <is>
          <t>Modalidade: 2 - Por conta de terceiros | Parte: CMPC Iguacu Embalagens Ltda (11.308.600/0008-04)</t>
        </is>
      </c>
      <c r="O860" s="29" t="n">
        <v>0</v>
      </c>
      <c r="P860" s="29" t="n">
        <v>1351.3</v>
      </c>
      <c r="Q860" s="29" t="n">
        <v>0</v>
      </c>
      <c r="R860" s="29" t="n">
        <v>0</v>
      </c>
      <c r="S860" s="29" t="n">
        <v>0</v>
      </c>
      <c r="T860" t="inlineStr">
        <is>
          <t>42260402427026000901570040001958141019581496</t>
        </is>
      </c>
      <c r="U860" t="inlineStr">
        <is>
          <t>Sim</t>
        </is>
      </c>
    </row>
    <row r="861">
      <c r="A861" t="inlineStr">
        <is>
          <t>Frete de compra</t>
        </is>
      </c>
      <c r="B861" t="inlineStr">
        <is>
          <t>2.04.87 Frete sobre Compra</t>
        </is>
      </c>
      <c r="C861" s="30" t="n">
        <v>46113</v>
      </c>
      <c r="D861" t="inlineStr">
        <is>
          <t>Em 2026</t>
        </is>
      </c>
      <c r="E861" s="28" t="n">
        <v>46141</v>
      </c>
      <c r="F861" t="inlineStr">
        <is>
          <t>CT-e</t>
        </is>
      </c>
      <c r="G861" t="inlineStr">
        <is>
          <t>000195815</t>
        </is>
      </c>
      <c r="H861" t="inlineStr">
        <is>
          <t>ALIANCA NAVEGACAO E LOGISTICA LTDA</t>
        </is>
      </c>
      <c r="J861" s="29" t="n">
        <v>19309.08</v>
      </c>
      <c r="K861" s="29">
        <f>(1-ISNUMBER(SEARCH("556",M861)))*(O861*SUMIFS(Premissas!$C$5:$C$44,Premissas!$A$5:$A$44,$A861,Premissas!$B$5:$B$44,$B861)+P861*SUMIFS(Premissas!$D$5:$D$44,Premissas!$A$5:$A$44,$A861,Premissas!$B$5:$B$44,$B861))+R861*SUMIFS(Premissas!$E$5:$E$44,Premissas!$A$5:$A$44,$A861,Premissas!$B$5:$B$44,$B861)+S861*SUMIFS(Premissas!$F$5:$F$44,Premissas!$A$5:$A$44,$A861,Premissas!$B$5:$B$44,$B861)</f>
        <v/>
      </c>
      <c r="L861" s="29">
        <f>J861-K861</f>
        <v/>
      </c>
      <c r="M861" t="inlineStr">
        <is>
          <t>2.350</t>
        </is>
      </c>
      <c r="N861" t="inlineStr">
        <is>
          <t>Modalidade: 2 - Por conta de terceiros | Parte: CMPC Iguacu Embalagens Ltda (11.308.600/0008-04)</t>
        </is>
      </c>
      <c r="O861" s="29" t="n">
        <v>0</v>
      </c>
      <c r="P861" s="29" t="n">
        <v>1351.64</v>
      </c>
      <c r="Q861" s="29" t="n">
        <v>0</v>
      </c>
      <c r="R861" s="29" t="n">
        <v>0</v>
      </c>
      <c r="S861" s="29" t="n">
        <v>0</v>
      </c>
      <c r="T861" t="inlineStr">
        <is>
          <t>42260402427026000901570040001958151019581590</t>
        </is>
      </c>
      <c r="U861" t="inlineStr">
        <is>
          <t>Sim</t>
        </is>
      </c>
    </row>
    <row r="862">
      <c r="A862" t="inlineStr">
        <is>
          <t>Frete de compra</t>
        </is>
      </c>
      <c r="B862" t="inlineStr">
        <is>
          <t>2.04.87 Frete sobre Compra</t>
        </is>
      </c>
      <c r="C862" s="30" t="n">
        <v>46113</v>
      </c>
      <c r="D862" t="inlineStr">
        <is>
          <t>Em 2026</t>
        </is>
      </c>
      <c r="E862" s="28" t="n">
        <v>46141</v>
      </c>
      <c r="F862" t="inlineStr">
        <is>
          <t>CT-e</t>
        </is>
      </c>
      <c r="G862" t="inlineStr">
        <is>
          <t>000195816</t>
        </is>
      </c>
      <c r="H862" t="inlineStr">
        <is>
          <t>ALIANCA NAVEGACAO E LOGISTICA LTDA</t>
        </is>
      </c>
      <c r="J862" s="29" t="n">
        <v>19312.31</v>
      </c>
      <c r="K862" s="29">
        <f>(1-ISNUMBER(SEARCH("556",M862)))*(O862*SUMIFS(Premissas!$C$5:$C$44,Premissas!$A$5:$A$44,$A862,Premissas!$B$5:$B$44,$B862)+P862*SUMIFS(Premissas!$D$5:$D$44,Premissas!$A$5:$A$44,$A862,Premissas!$B$5:$B$44,$B862))+R862*SUMIFS(Premissas!$E$5:$E$44,Premissas!$A$5:$A$44,$A862,Premissas!$B$5:$B$44,$B862)+S862*SUMIFS(Premissas!$F$5:$F$44,Premissas!$A$5:$A$44,$A862,Premissas!$B$5:$B$44,$B862)</f>
        <v/>
      </c>
      <c r="L862" s="29">
        <f>J862-K862</f>
        <v/>
      </c>
      <c r="M862" t="inlineStr">
        <is>
          <t>1.350</t>
        </is>
      </c>
      <c r="N862" t="inlineStr">
        <is>
          <t>Modalidade: 2 - Por conta de terceiros | Parte: CMPC Iguacu Embalagens Ltda (11.308.600/0008-04)</t>
        </is>
      </c>
      <c r="O862" s="29" t="n">
        <v>0</v>
      </c>
      <c r="P862" s="29" t="n">
        <v>1351.86</v>
      </c>
      <c r="Q862" s="29" t="n">
        <v>0</v>
      </c>
      <c r="R862" s="29" t="n">
        <v>0</v>
      </c>
      <c r="S862" s="29" t="n">
        <v>0</v>
      </c>
      <c r="T862" t="inlineStr">
        <is>
          <t>42260402427026000901570040001958161019581695</t>
        </is>
      </c>
      <c r="U862" t="inlineStr">
        <is>
          <t>Sim</t>
        </is>
      </c>
    </row>
    <row r="863">
      <c r="A863" t="inlineStr">
        <is>
          <t>Frete de compra</t>
        </is>
      </c>
      <c r="B863" t="inlineStr">
        <is>
          <t>2.04.87 Frete sobre Compra</t>
        </is>
      </c>
      <c r="C863" s="30" t="n">
        <v>46113</v>
      </c>
      <c r="D863" t="inlineStr">
        <is>
          <t>Em 2026</t>
        </is>
      </c>
      <c r="E863" s="28" t="n">
        <v>46141</v>
      </c>
      <c r="F863" t="inlineStr">
        <is>
          <t>CT-e</t>
        </is>
      </c>
      <c r="G863" t="inlineStr">
        <is>
          <t>000195817</t>
        </is>
      </c>
      <c r="H863" t="inlineStr">
        <is>
          <t>ALIANCA NAVEGACAO E LOGISTICA LTDA</t>
        </is>
      </c>
      <c r="J863" s="29" t="n">
        <v>19311.03</v>
      </c>
      <c r="K863" s="29">
        <f>(1-ISNUMBER(SEARCH("556",M863)))*(O863*SUMIFS(Premissas!$C$5:$C$44,Premissas!$A$5:$A$44,$A863,Premissas!$B$5:$B$44,$B863)+P863*SUMIFS(Premissas!$D$5:$D$44,Premissas!$A$5:$A$44,$A863,Premissas!$B$5:$B$44,$B863))+R863*SUMIFS(Premissas!$E$5:$E$44,Premissas!$A$5:$A$44,$A863,Premissas!$B$5:$B$44,$B863)+S863*SUMIFS(Premissas!$F$5:$F$44,Premissas!$A$5:$A$44,$A863,Premissas!$B$5:$B$44,$B863)</f>
        <v/>
      </c>
      <c r="L863" s="29">
        <f>J863-K863</f>
        <v/>
      </c>
      <c r="M863" t="inlineStr">
        <is>
          <t>1.350</t>
        </is>
      </c>
      <c r="N863" t="inlineStr">
        <is>
          <t>Modalidade: 2 - Por conta de terceiros | Parte: CMPC Iguacu Embalagens Ltda (11.308.600/0008-04)</t>
        </is>
      </c>
      <c r="O863" s="29" t="n">
        <v>0</v>
      </c>
      <c r="P863" s="29" t="n">
        <v>1351.77</v>
      </c>
      <c r="Q863" s="29" t="n">
        <v>0</v>
      </c>
      <c r="R863" s="29" t="n">
        <v>0</v>
      </c>
      <c r="S863" s="29" t="n">
        <v>0</v>
      </c>
      <c r="T863" t="inlineStr">
        <is>
          <t>42260402427026000901570040001958171019581790</t>
        </is>
      </c>
      <c r="U863" t="inlineStr">
        <is>
          <t>Sim</t>
        </is>
      </c>
    </row>
    <row r="864">
      <c r="A864" t="inlineStr">
        <is>
          <t>Frete de compra</t>
        </is>
      </c>
      <c r="B864" t="inlineStr">
        <is>
          <t>2.04.87 Frete sobre Compra</t>
        </is>
      </c>
      <c r="C864" s="30" t="n">
        <v>46113</v>
      </c>
      <c r="D864" t="inlineStr">
        <is>
          <t>Em 2026</t>
        </is>
      </c>
      <c r="E864" s="28" t="n">
        <v>46141</v>
      </c>
      <c r="F864" t="inlineStr">
        <is>
          <t>CT-e</t>
        </is>
      </c>
      <c r="G864" t="inlineStr">
        <is>
          <t>000195819</t>
        </is>
      </c>
      <c r="H864" t="inlineStr">
        <is>
          <t>ALIANCA NAVEGACAO E LOGISTICA LTDA</t>
        </is>
      </c>
      <c r="J864" s="29" t="n">
        <v>9954.77</v>
      </c>
      <c r="K864" s="29">
        <f>(1-ISNUMBER(SEARCH("556",M864)))*(O864*SUMIFS(Premissas!$C$5:$C$44,Premissas!$A$5:$A$44,$A864,Premissas!$B$5:$B$44,$B864)+P864*SUMIFS(Premissas!$D$5:$D$44,Premissas!$A$5:$A$44,$A864,Premissas!$B$5:$B$44,$B864))+R864*SUMIFS(Premissas!$E$5:$E$44,Premissas!$A$5:$A$44,$A864,Premissas!$B$5:$B$44,$B864)+S864*SUMIFS(Premissas!$F$5:$F$44,Premissas!$A$5:$A$44,$A864,Premissas!$B$5:$B$44,$B864)</f>
        <v/>
      </c>
      <c r="L864" s="29">
        <f>J864-K864</f>
        <v/>
      </c>
      <c r="M864" t="inlineStr">
        <is>
          <t>2.350</t>
        </is>
      </c>
      <c r="N864" t="inlineStr">
        <is>
          <t>Modalidade: 1 - Por conta do destinatário | Parte: CMPC Iguacu Embalagens Ltda (11.308.600/0008-04)</t>
        </is>
      </c>
      <c r="O864" s="29" t="n">
        <v>0</v>
      </c>
      <c r="P864" s="29" t="n">
        <v>696.83</v>
      </c>
      <c r="Q864" s="29" t="n">
        <v>0</v>
      </c>
      <c r="R864" s="29" t="n">
        <v>0</v>
      </c>
      <c r="S864" s="29" t="n">
        <v>0</v>
      </c>
      <c r="T864" t="inlineStr">
        <is>
          <t>42260402427026000901570040001958191019581999</t>
        </is>
      </c>
      <c r="U864" t="inlineStr">
        <is>
          <t>Sim</t>
        </is>
      </c>
    </row>
    <row r="865">
      <c r="A865" t="inlineStr">
        <is>
          <t>Frete de compra</t>
        </is>
      </c>
      <c r="B865" t="inlineStr">
        <is>
          <t>2.04.87 Frete sobre Compra</t>
        </is>
      </c>
      <c r="C865" s="30" t="n">
        <v>46113</v>
      </c>
      <c r="D865" t="inlineStr">
        <is>
          <t>Em 2026</t>
        </is>
      </c>
      <c r="E865" s="28" t="n">
        <v>46141</v>
      </c>
      <c r="F865" t="inlineStr">
        <is>
          <t>CT-e</t>
        </is>
      </c>
      <c r="G865" t="inlineStr">
        <is>
          <t>000195820</t>
        </is>
      </c>
      <c r="H865" t="inlineStr">
        <is>
          <t>ALIANCA NAVEGACAO E LOGISTICA LTDA</t>
        </is>
      </c>
      <c r="J865" s="29" t="n">
        <v>9898.74</v>
      </c>
      <c r="K865" s="29">
        <f>(1-ISNUMBER(SEARCH("556",M865)))*(O865*SUMIFS(Premissas!$C$5:$C$44,Premissas!$A$5:$A$44,$A865,Premissas!$B$5:$B$44,$B865)+P865*SUMIFS(Premissas!$D$5:$D$44,Premissas!$A$5:$A$44,$A865,Premissas!$B$5:$B$44,$B865))+R865*SUMIFS(Premissas!$E$5:$E$44,Premissas!$A$5:$A$44,$A865,Premissas!$B$5:$B$44,$B865)+S865*SUMIFS(Premissas!$F$5:$F$44,Premissas!$A$5:$A$44,$A865,Premissas!$B$5:$B$44,$B865)</f>
        <v/>
      </c>
      <c r="L865" s="29">
        <f>J865-K865</f>
        <v/>
      </c>
      <c r="M865" t="inlineStr">
        <is>
          <t>2.350</t>
        </is>
      </c>
      <c r="N865" t="inlineStr">
        <is>
          <t>Modalidade: 1 - Por conta do destinatário | Parte: CMPC Iguacu Embalagens Ltda (11.308.600/0008-04)</t>
        </is>
      </c>
      <c r="O865" s="29" t="n">
        <v>0</v>
      </c>
      <c r="P865" s="29" t="n">
        <v>692.91</v>
      </c>
      <c r="Q865" s="29" t="n">
        <v>0</v>
      </c>
      <c r="R865" s="29" t="n">
        <v>0</v>
      </c>
      <c r="S865" s="29" t="n">
        <v>0</v>
      </c>
      <c r="T865" t="inlineStr">
        <is>
          <t>42260402427026000901570040001958201019582090</t>
        </is>
      </c>
      <c r="U865" t="inlineStr">
        <is>
          <t>Sim</t>
        </is>
      </c>
    </row>
    <row r="866">
      <c r="A866" t="inlineStr">
        <is>
          <t>Frete de compra</t>
        </is>
      </c>
      <c r="B866" t="inlineStr">
        <is>
          <t>2.04.87 Frete sobre Compra</t>
        </is>
      </c>
      <c r="C866" s="30" t="n">
        <v>46113</v>
      </c>
      <c r="D866" t="inlineStr">
        <is>
          <t>Em 2026</t>
        </is>
      </c>
      <c r="E866" s="28" t="n">
        <v>46141</v>
      </c>
      <c r="F866" t="inlineStr">
        <is>
          <t>CT-e</t>
        </is>
      </c>
      <c r="G866" t="inlineStr">
        <is>
          <t>000195821</t>
        </is>
      </c>
      <c r="H866" t="inlineStr">
        <is>
          <t>ALIANCA NAVEGACAO E LOGISTICA LTDA</t>
        </is>
      </c>
      <c r="J866" s="29" t="n">
        <v>19369.11</v>
      </c>
      <c r="K866" s="29">
        <f>(1-ISNUMBER(SEARCH("556",M866)))*(O866*SUMIFS(Premissas!$C$5:$C$44,Premissas!$A$5:$A$44,$A866,Premissas!$B$5:$B$44,$B866)+P866*SUMIFS(Premissas!$D$5:$D$44,Premissas!$A$5:$A$44,$A866,Premissas!$B$5:$B$44,$B866))+R866*SUMIFS(Premissas!$E$5:$E$44,Premissas!$A$5:$A$44,$A866,Premissas!$B$5:$B$44,$B866)+S866*SUMIFS(Premissas!$F$5:$F$44,Premissas!$A$5:$A$44,$A866,Premissas!$B$5:$B$44,$B866)</f>
        <v/>
      </c>
      <c r="L866" s="29">
        <f>J866-K866</f>
        <v/>
      </c>
      <c r="M866" t="inlineStr">
        <is>
          <t>1.350</t>
        </is>
      </c>
      <c r="N866" t="inlineStr">
        <is>
          <t>Modalidade: 1 - Por conta do destinatário | Parte: CMPC Iguacu Embalagens Ltda (11.308.600/0008-04)</t>
        </is>
      </c>
      <c r="O866" s="29" t="n">
        <v>0</v>
      </c>
      <c r="P866" s="29" t="n">
        <v>1355.84</v>
      </c>
      <c r="Q866" s="29" t="n">
        <v>0</v>
      </c>
      <c r="R866" s="29" t="n">
        <v>0</v>
      </c>
      <c r="S866" s="29" t="n">
        <v>0</v>
      </c>
      <c r="T866" t="inlineStr">
        <is>
          <t>42260402427026000901570040001958211019582195</t>
        </is>
      </c>
      <c r="U866" t="inlineStr">
        <is>
          <t>Sim</t>
        </is>
      </c>
    </row>
    <row r="867">
      <c r="A867" t="inlineStr">
        <is>
          <t>Frete de compra</t>
        </is>
      </c>
      <c r="B867" t="inlineStr">
        <is>
          <t>2.04.87 Frete sobre Compra</t>
        </is>
      </c>
      <c r="C867" s="30" t="n">
        <v>46113</v>
      </c>
      <c r="D867" t="inlineStr">
        <is>
          <t>Em 2026</t>
        </is>
      </c>
      <c r="E867" s="28" t="n">
        <v>46141</v>
      </c>
      <c r="F867" t="inlineStr">
        <is>
          <t>CT-e</t>
        </is>
      </c>
      <c r="G867" t="inlineStr">
        <is>
          <t>000195822</t>
        </is>
      </c>
      <c r="H867" t="inlineStr">
        <is>
          <t>ALIANCA NAVEGACAO E LOGISTICA LTDA</t>
        </is>
      </c>
      <c r="J867" s="29" t="n">
        <v>19303.43</v>
      </c>
      <c r="K867" s="29">
        <f>(1-ISNUMBER(SEARCH("556",M867)))*(O867*SUMIFS(Premissas!$C$5:$C$44,Premissas!$A$5:$A$44,$A867,Premissas!$B$5:$B$44,$B867)+P867*SUMIFS(Premissas!$D$5:$D$44,Premissas!$A$5:$A$44,$A867,Premissas!$B$5:$B$44,$B867))+R867*SUMIFS(Premissas!$E$5:$E$44,Premissas!$A$5:$A$44,$A867,Premissas!$B$5:$B$44,$B867)+S867*SUMIFS(Premissas!$F$5:$F$44,Premissas!$A$5:$A$44,$A867,Premissas!$B$5:$B$44,$B867)</f>
        <v/>
      </c>
      <c r="L867" s="29">
        <f>J867-K867</f>
        <v/>
      </c>
      <c r="M867" t="inlineStr">
        <is>
          <t>1.350</t>
        </is>
      </c>
      <c r="N867" t="inlineStr">
        <is>
          <t>Modalidade: 2 - Por conta de terceiros | Parte: CMPC Iguacu Embalagens Ltda (11.308.600/0008-04)</t>
        </is>
      </c>
      <c r="O867" s="29" t="n">
        <v>0</v>
      </c>
      <c r="P867" s="29" t="n">
        <v>1351.24</v>
      </c>
      <c r="Q867" s="29" t="n">
        <v>0</v>
      </c>
      <c r="R867" s="29" t="n">
        <v>0</v>
      </c>
      <c r="S867" s="29" t="n">
        <v>0</v>
      </c>
      <c r="T867" t="inlineStr">
        <is>
          <t>42260402427026000901570040001958221019582290</t>
        </is>
      </c>
      <c r="U867" t="inlineStr">
        <is>
          <t>Sim</t>
        </is>
      </c>
    </row>
    <row r="868">
      <c r="A868" t="inlineStr">
        <is>
          <t>Frete de compra</t>
        </is>
      </c>
      <c r="B868" t="inlineStr">
        <is>
          <t>2.04.87 Frete sobre Compra</t>
        </is>
      </c>
      <c r="C868" s="30" t="n">
        <v>46113</v>
      </c>
      <c r="D868" t="inlineStr">
        <is>
          <t>Em 2026</t>
        </is>
      </c>
      <c r="E868" s="28" t="n">
        <v>46122</v>
      </c>
      <c r="F868" t="inlineStr">
        <is>
          <t>CT-e</t>
        </is>
      </c>
      <c r="G868" t="inlineStr">
        <is>
          <t>000001950</t>
        </is>
      </c>
      <c r="H868" t="inlineStr">
        <is>
          <t>TRANSPORTES DE MAQUINAS PLANETA AZUL LTDA</t>
        </is>
      </c>
      <c r="J868" s="29" t="n">
        <v>56461.34</v>
      </c>
      <c r="K868" s="29">
        <f>(1-ISNUMBER(SEARCH("556",M868)))*(O868*SUMIFS(Premissas!$C$5:$C$44,Premissas!$A$5:$A$44,$A868,Premissas!$B$5:$B$44,$B868)+P868*SUMIFS(Premissas!$D$5:$D$44,Premissas!$A$5:$A$44,$A868,Premissas!$B$5:$B$44,$B868))+R868*SUMIFS(Premissas!$E$5:$E$44,Premissas!$A$5:$A$44,$A868,Premissas!$B$5:$B$44,$B868)+S868*SUMIFS(Premissas!$F$5:$F$44,Premissas!$A$5:$A$44,$A868,Premissas!$B$5:$B$44,$B868)</f>
        <v/>
      </c>
      <c r="L868" s="29">
        <f>J868-K868</f>
        <v/>
      </c>
      <c r="M868" t="inlineStr">
        <is>
          <t>1.350</t>
        </is>
      </c>
      <c r="N868" t="inlineStr">
        <is>
          <t>Modalidade: 1 - Por conta do destinatário | Parte: FURNAX COMERCIAL E IMPORTADORA EIRELI (00.144.257/0001-17)</t>
        </is>
      </c>
      <c r="O868" s="29" t="n">
        <v>0</v>
      </c>
      <c r="P868" s="29" t="n">
        <v>0</v>
      </c>
      <c r="Q868" s="29" t="n">
        <v>0</v>
      </c>
      <c r="R868" s="29" t="n">
        <v>0</v>
      </c>
      <c r="S868" s="29" t="n">
        <v>0</v>
      </c>
      <c r="T868" t="inlineStr">
        <is>
          <t>35260402244018000164570010000019501410328305</t>
        </is>
      </c>
      <c r="U868" t="inlineStr">
        <is>
          <t>Não</t>
        </is>
      </c>
    </row>
    <row r="869">
      <c r="A869" t="inlineStr">
        <is>
          <t>Frete de compra</t>
        </is>
      </c>
      <c r="B869" t="inlineStr">
        <is>
          <t>2.04.87 Frete sobre Compra</t>
        </is>
      </c>
      <c r="C869" s="30" t="n">
        <v>46113</v>
      </c>
      <c r="D869" t="inlineStr">
        <is>
          <t>Em 2026</t>
        </is>
      </c>
      <c r="E869" s="28" t="n">
        <v>46122</v>
      </c>
      <c r="F869" t="inlineStr">
        <is>
          <t>CT-e</t>
        </is>
      </c>
      <c r="G869" t="inlineStr">
        <is>
          <t>000001951</t>
        </is>
      </c>
      <c r="H869" t="inlineStr">
        <is>
          <t>TRANSPORTES DE MAQUINAS PLANETA AZUL LTDA</t>
        </is>
      </c>
      <c r="J869" s="29" t="n">
        <v>56461.34</v>
      </c>
      <c r="K869" s="29">
        <f>(1-ISNUMBER(SEARCH("556",M869)))*(O869*SUMIFS(Premissas!$C$5:$C$44,Premissas!$A$5:$A$44,$A869,Premissas!$B$5:$B$44,$B869)+P869*SUMIFS(Premissas!$D$5:$D$44,Premissas!$A$5:$A$44,$A869,Premissas!$B$5:$B$44,$B869))+R869*SUMIFS(Premissas!$E$5:$E$44,Premissas!$A$5:$A$44,$A869,Premissas!$B$5:$B$44,$B869)+S869*SUMIFS(Premissas!$F$5:$F$44,Premissas!$A$5:$A$44,$A869,Premissas!$B$5:$B$44,$B869)</f>
        <v/>
      </c>
      <c r="L869" s="29">
        <f>J869-K869</f>
        <v/>
      </c>
      <c r="M869" t="inlineStr">
        <is>
          <t>1.350</t>
        </is>
      </c>
      <c r="N869" t="inlineStr">
        <is>
          <t>Modalidade: 1 - Por conta do destinatário | Parte: FURNAX COMERCIAL E IMPORTADORA EIRELI (00.144.257/0001-17)</t>
        </is>
      </c>
      <c r="O869" s="29" t="n">
        <v>0</v>
      </c>
      <c r="P869" s="29" t="n">
        <v>0</v>
      </c>
      <c r="Q869" s="29" t="n">
        <v>0</v>
      </c>
      <c r="R869" s="29" t="n">
        <v>0</v>
      </c>
      <c r="S869" s="29" t="n">
        <v>0</v>
      </c>
      <c r="T869" t="inlineStr">
        <is>
          <t>35260402244018000164570010000019511410336453</t>
        </is>
      </c>
      <c r="U869" t="inlineStr">
        <is>
          <t>Não</t>
        </is>
      </c>
    </row>
    <row r="870">
      <c r="A870" t="inlineStr">
        <is>
          <t>Frete de compra</t>
        </is>
      </c>
      <c r="B870" t="inlineStr">
        <is>
          <t>2.04.87 Frete sobre Compra</t>
        </is>
      </c>
      <c r="C870" s="30" t="n">
        <v>46113</v>
      </c>
      <c r="D870" t="inlineStr">
        <is>
          <t>Em 2026</t>
        </is>
      </c>
      <c r="E870" s="28" t="n">
        <v>46122</v>
      </c>
      <c r="F870" t="inlineStr">
        <is>
          <t>CT-e</t>
        </is>
      </c>
      <c r="G870" t="inlineStr">
        <is>
          <t>000001952</t>
        </is>
      </c>
      <c r="H870" t="inlineStr">
        <is>
          <t>TRANSPORTES DE MAQUINAS PLANETA AZUL LTDA</t>
        </is>
      </c>
      <c r="J870" s="29" t="n">
        <v>58233.51</v>
      </c>
      <c r="K870" s="29">
        <f>(1-ISNUMBER(SEARCH("556",M870)))*(O870*SUMIFS(Premissas!$C$5:$C$44,Premissas!$A$5:$A$44,$A870,Premissas!$B$5:$B$44,$B870)+P870*SUMIFS(Premissas!$D$5:$D$44,Premissas!$A$5:$A$44,$A870,Premissas!$B$5:$B$44,$B870))+R870*SUMIFS(Premissas!$E$5:$E$44,Premissas!$A$5:$A$44,$A870,Premissas!$B$5:$B$44,$B870)+S870*SUMIFS(Premissas!$F$5:$F$44,Premissas!$A$5:$A$44,$A870,Premissas!$B$5:$B$44,$B870)</f>
        <v/>
      </c>
      <c r="L870" s="29">
        <f>J870-K870</f>
        <v/>
      </c>
      <c r="M870" t="inlineStr">
        <is>
          <t>1.350</t>
        </is>
      </c>
      <c r="N870" t="inlineStr">
        <is>
          <t>Modalidade: 1 - Por conta do destinatário | Parte: FURNAX COMERCIAL E IMPORTADORA EIRELI (00.144.257/0001-17)</t>
        </is>
      </c>
      <c r="O870" s="29" t="n">
        <v>0</v>
      </c>
      <c r="P870" s="29" t="n">
        <v>0</v>
      </c>
      <c r="Q870" s="29" t="n">
        <v>0</v>
      </c>
      <c r="R870" s="29" t="n">
        <v>0</v>
      </c>
      <c r="S870" s="29" t="n">
        <v>0</v>
      </c>
      <c r="T870" t="inlineStr">
        <is>
          <t>35260402244018000164570010000019521410681565</t>
        </is>
      </c>
      <c r="U870" t="inlineStr">
        <is>
          <t>Não</t>
        </is>
      </c>
    </row>
    <row r="871">
      <c r="A871" t="inlineStr">
        <is>
          <t>Frete de compra</t>
        </is>
      </c>
      <c r="B871" t="inlineStr">
        <is>
          <t>2.04.87 Frete sobre Compra</t>
        </is>
      </c>
      <c r="C871" s="30" t="n">
        <v>46143</v>
      </c>
      <c r="D871" t="inlineStr">
        <is>
          <t>Em 2026</t>
        </is>
      </c>
      <c r="E871" s="28" t="n">
        <v>46147</v>
      </c>
      <c r="F871" t="inlineStr">
        <is>
          <t>CT-e</t>
        </is>
      </c>
      <c r="G871" t="inlineStr">
        <is>
          <t>000196245</t>
        </is>
      </c>
      <c r="H871" t="inlineStr">
        <is>
          <t>ALIANCA NAVEGACAO E LOGISTICA LTDA</t>
        </is>
      </c>
      <c r="J871" s="29" t="n">
        <v>19048.61</v>
      </c>
      <c r="K871" s="29">
        <f>(1-ISNUMBER(SEARCH("556",M871)))*(O871*SUMIFS(Premissas!$C$5:$C$44,Premissas!$A$5:$A$44,$A871,Premissas!$B$5:$B$44,$B871)+P871*SUMIFS(Premissas!$D$5:$D$44,Premissas!$A$5:$A$44,$A871,Premissas!$B$5:$B$44,$B871))+R871*SUMIFS(Premissas!$E$5:$E$44,Premissas!$A$5:$A$44,$A871,Premissas!$B$5:$B$44,$B871)+S871*SUMIFS(Premissas!$F$5:$F$44,Premissas!$A$5:$A$44,$A871,Premissas!$B$5:$B$44,$B871)</f>
        <v/>
      </c>
      <c r="L871" s="29">
        <f>J871-K871</f>
        <v/>
      </c>
      <c r="M871" t="inlineStr">
        <is>
          <t>2.350</t>
        </is>
      </c>
      <c r="N871" t="inlineStr">
        <is>
          <t>Modalidade: 2 - Por conta de terceiros | Parte: CMPC Iguacu Embalagens Ltda (11.308.600/0008-04)</t>
        </is>
      </c>
      <c r="O871" s="29" t="n">
        <v>0</v>
      </c>
      <c r="P871" s="29" t="n">
        <v>1333.4</v>
      </c>
      <c r="Q871" s="29" t="n">
        <v>0</v>
      </c>
      <c r="R871" s="29" t="n">
        <v>0</v>
      </c>
      <c r="S871" s="29" t="n">
        <v>0</v>
      </c>
      <c r="T871" t="inlineStr">
        <is>
          <t>42260502427026000901570040001962451019624596</t>
        </is>
      </c>
      <c r="U871" t="inlineStr">
        <is>
          <t>Sim</t>
        </is>
      </c>
    </row>
    <row r="872">
      <c r="A872" t="inlineStr">
        <is>
          <t>Frete de compra</t>
        </is>
      </c>
      <c r="B872" t="inlineStr">
        <is>
          <t>2.04.87 Frete sobre Compra</t>
        </is>
      </c>
      <c r="C872" s="30" t="n">
        <v>46143</v>
      </c>
      <c r="D872" t="inlineStr">
        <is>
          <t>Em 2026</t>
        </is>
      </c>
      <c r="E872" s="28" t="n">
        <v>46154</v>
      </c>
      <c r="F872" t="inlineStr">
        <is>
          <t>CT-e</t>
        </is>
      </c>
      <c r="G872" t="inlineStr">
        <is>
          <t>000196675</t>
        </is>
      </c>
      <c r="H872" t="inlineStr">
        <is>
          <t>ALIANCA NAVEGACAO E LOGISTICA LTDA</t>
        </is>
      </c>
      <c r="J872" s="29" t="n">
        <v>19050.4</v>
      </c>
      <c r="K872" s="29">
        <f>(1-ISNUMBER(SEARCH("556",M872)))*(O872*SUMIFS(Premissas!$C$5:$C$44,Premissas!$A$5:$A$44,$A872,Premissas!$B$5:$B$44,$B872)+P872*SUMIFS(Premissas!$D$5:$D$44,Premissas!$A$5:$A$44,$A872,Premissas!$B$5:$B$44,$B872))+R872*SUMIFS(Premissas!$E$5:$E$44,Premissas!$A$5:$A$44,$A872,Premissas!$B$5:$B$44,$B872)+S872*SUMIFS(Premissas!$F$5:$F$44,Premissas!$A$5:$A$44,$A872,Premissas!$B$5:$B$44,$B872)</f>
        <v/>
      </c>
      <c r="L872" s="29">
        <f>J872-K872</f>
        <v/>
      </c>
      <c r="M872" t="inlineStr">
        <is>
          <t>2.305</t>
        </is>
      </c>
      <c r="N872" t="inlineStr">
        <is>
          <t>Modalidade: 2 - Por conta de terceiros | Parte: CMPC Iguacu Embalagens Ltda (11.308.600/0008-04)</t>
        </is>
      </c>
      <c r="O872" s="29" t="n">
        <v>0</v>
      </c>
      <c r="P872" s="29" t="n">
        <v>1333.53</v>
      </c>
      <c r="Q872" s="29" t="n">
        <v>0</v>
      </c>
      <c r="R872" s="29" t="n">
        <v>0</v>
      </c>
      <c r="S872" s="29" t="n">
        <v>0</v>
      </c>
      <c r="T872" t="inlineStr">
        <is>
          <t>42260502427026000901570040001966751019667598</t>
        </is>
      </c>
      <c r="U872" t="inlineStr">
        <is>
          <t>Sim</t>
        </is>
      </c>
    </row>
    <row r="873">
      <c r="A873" t="inlineStr">
        <is>
          <t>Frete de compra</t>
        </is>
      </c>
      <c r="B873" t="inlineStr">
        <is>
          <t>2.04.87 Frete sobre Compra</t>
        </is>
      </c>
      <c r="C873" s="30" t="n">
        <v>46143</v>
      </c>
      <c r="D873" t="inlineStr">
        <is>
          <t>Em 2026</t>
        </is>
      </c>
      <c r="E873" s="28" t="n">
        <v>46154</v>
      </c>
      <c r="F873" t="inlineStr">
        <is>
          <t>CT-e</t>
        </is>
      </c>
      <c r="G873" t="inlineStr">
        <is>
          <t>000196679</t>
        </is>
      </c>
      <c r="H873" t="inlineStr">
        <is>
          <t>ALIANCA NAVEGACAO E LOGISTICA LTDA</t>
        </is>
      </c>
      <c r="J873" s="29" t="n">
        <v>19044.69</v>
      </c>
      <c r="K873" s="29">
        <f>(1-ISNUMBER(SEARCH("556",M873)))*(O873*SUMIFS(Premissas!$C$5:$C$44,Premissas!$A$5:$A$44,$A873,Premissas!$B$5:$B$44,$B873)+P873*SUMIFS(Premissas!$D$5:$D$44,Premissas!$A$5:$A$44,$A873,Premissas!$B$5:$B$44,$B873))+R873*SUMIFS(Premissas!$E$5:$E$44,Premissas!$A$5:$A$44,$A873,Premissas!$B$5:$B$44,$B873)+S873*SUMIFS(Premissas!$F$5:$F$44,Premissas!$A$5:$A$44,$A873,Premissas!$B$5:$B$44,$B873)</f>
        <v/>
      </c>
      <c r="L873" s="29">
        <f>J873-K873</f>
        <v/>
      </c>
      <c r="M873" t="inlineStr">
        <is>
          <t>2.350</t>
        </is>
      </c>
      <c r="N873" t="inlineStr">
        <is>
          <t>Modalidade: 2 - Por conta de terceiros | Parte: CMPC Iguacu Embalagens Ltda (11.308.600/0008-04)</t>
        </is>
      </c>
      <c r="O873" s="29" t="n">
        <v>0</v>
      </c>
      <c r="P873" s="29" t="n">
        <v>1333.13</v>
      </c>
      <c r="Q873" s="29" t="n">
        <v>0</v>
      </c>
      <c r="R873" s="29" t="n">
        <v>0</v>
      </c>
      <c r="S873" s="29" t="n">
        <v>0</v>
      </c>
      <c r="T873" t="inlineStr">
        <is>
          <t>42260502427026000901570040001966791019667996</t>
        </is>
      </c>
      <c r="U873" t="inlineStr">
        <is>
          <t>Sim</t>
        </is>
      </c>
    </row>
    <row r="874">
      <c r="A874" t="inlineStr">
        <is>
          <t>Frete de compra</t>
        </is>
      </c>
      <c r="B874" t="inlineStr">
        <is>
          <t>2.04.87 Frete sobre Compra</t>
        </is>
      </c>
      <c r="C874" s="30" t="n">
        <v>46143</v>
      </c>
      <c r="D874" t="inlineStr">
        <is>
          <t>Em 2026</t>
        </is>
      </c>
      <c r="E874" s="28" t="n">
        <v>46154</v>
      </c>
      <c r="F874" t="inlineStr">
        <is>
          <t>CT-e</t>
        </is>
      </c>
      <c r="G874" t="inlineStr">
        <is>
          <t>000196695</t>
        </is>
      </c>
      <c r="H874" t="inlineStr">
        <is>
          <t>ALIANCA NAVEGACAO E LOGISTICA LTDA</t>
        </is>
      </c>
      <c r="J874" s="29" t="n">
        <v>19042.56</v>
      </c>
      <c r="K874" s="29">
        <f>(1-ISNUMBER(SEARCH("556",M874)))*(O874*SUMIFS(Premissas!$C$5:$C$44,Premissas!$A$5:$A$44,$A874,Premissas!$B$5:$B$44,$B874)+P874*SUMIFS(Premissas!$D$5:$D$44,Premissas!$A$5:$A$44,$A874,Premissas!$B$5:$B$44,$B874))+R874*SUMIFS(Premissas!$E$5:$E$44,Premissas!$A$5:$A$44,$A874,Premissas!$B$5:$B$44,$B874)+S874*SUMIFS(Premissas!$F$5:$F$44,Premissas!$A$5:$A$44,$A874,Premissas!$B$5:$B$44,$B874)</f>
        <v/>
      </c>
      <c r="L874" s="29">
        <f>J874-K874</f>
        <v/>
      </c>
      <c r="M874" t="inlineStr">
        <is>
          <t>2.350</t>
        </is>
      </c>
      <c r="N874" t="inlineStr">
        <is>
          <t>Modalidade: 2 - Por conta de terceiros | Parte: CMPC Iguacu Embalagens Ltda (11.308.600/0008-04)</t>
        </is>
      </c>
      <c r="O874" s="29" t="n">
        <v>0</v>
      </c>
      <c r="P874" s="29" t="n">
        <v>1332.98</v>
      </c>
      <c r="Q874" s="29" t="n">
        <v>0</v>
      </c>
      <c r="R874" s="29" t="n">
        <v>0</v>
      </c>
      <c r="S874" s="29" t="n">
        <v>0</v>
      </c>
      <c r="T874" t="inlineStr">
        <is>
          <t>42260502427026000901570040001966951019669593</t>
        </is>
      </c>
      <c r="U874" t="inlineStr">
        <is>
          <t>Sim</t>
        </is>
      </c>
    </row>
    <row r="875">
      <c r="A875" t="inlineStr">
        <is>
          <t>Frete de compra</t>
        </is>
      </c>
      <c r="B875" t="inlineStr">
        <is>
          <t>2.04.87 Frete sobre Compra</t>
        </is>
      </c>
      <c r="C875" s="30" t="n">
        <v>46143</v>
      </c>
      <c r="D875" t="inlineStr">
        <is>
          <t>Em 2026</t>
        </is>
      </c>
      <c r="E875" s="28" t="n">
        <v>46154</v>
      </c>
      <c r="F875" t="inlineStr">
        <is>
          <t>CT-e</t>
        </is>
      </c>
      <c r="G875" t="inlineStr">
        <is>
          <t>000196708</t>
        </is>
      </c>
      <c r="H875" t="inlineStr">
        <is>
          <t>ALIANCA NAVEGACAO E LOGISTICA LTDA</t>
        </is>
      </c>
      <c r="J875" s="29" t="n">
        <v>19035.9</v>
      </c>
      <c r="K875" s="29">
        <f>(1-ISNUMBER(SEARCH("556",M875)))*(O875*SUMIFS(Premissas!$C$5:$C$44,Premissas!$A$5:$A$44,$A875,Premissas!$B$5:$B$44,$B875)+P875*SUMIFS(Premissas!$D$5:$D$44,Premissas!$A$5:$A$44,$A875,Premissas!$B$5:$B$44,$B875))+R875*SUMIFS(Premissas!$E$5:$E$44,Premissas!$A$5:$A$44,$A875,Premissas!$B$5:$B$44,$B875)+S875*SUMIFS(Premissas!$F$5:$F$44,Premissas!$A$5:$A$44,$A875,Premissas!$B$5:$B$44,$B875)</f>
        <v/>
      </c>
      <c r="L875" s="29">
        <f>J875-K875</f>
        <v/>
      </c>
      <c r="M875" t="inlineStr">
        <is>
          <t>2.350</t>
        </is>
      </c>
      <c r="N875" t="inlineStr">
        <is>
          <t>Modalidade: 2 - Por conta de terceiros | Parte: CMPC Iguacu Embalagens Ltda (11.308.600/0008-04)</t>
        </is>
      </c>
      <c r="O875" s="29" t="n">
        <v>0</v>
      </c>
      <c r="P875" s="29" t="n">
        <v>1332.51</v>
      </c>
      <c r="Q875" s="29" t="n">
        <v>0</v>
      </c>
      <c r="R875" s="29" t="n">
        <v>0</v>
      </c>
      <c r="S875" s="29" t="n">
        <v>0</v>
      </c>
      <c r="T875" t="inlineStr">
        <is>
          <t>42260502427026000901570040001967081019670893</t>
        </is>
      </c>
      <c r="U875" t="inlineStr">
        <is>
          <t>Sim</t>
        </is>
      </c>
    </row>
    <row r="876">
      <c r="A876" t="inlineStr">
        <is>
          <t>Frete de compra</t>
        </is>
      </c>
      <c r="B876" t="inlineStr">
        <is>
          <t>2.04.87 Frete sobre Compra</t>
        </is>
      </c>
      <c r="C876" s="30" t="n">
        <v>46143</v>
      </c>
      <c r="D876" t="inlineStr">
        <is>
          <t>Em 2026</t>
        </is>
      </c>
      <c r="E876" s="28" t="n">
        <v>46163</v>
      </c>
      <c r="F876" t="inlineStr">
        <is>
          <t>CT-e</t>
        </is>
      </c>
      <c r="G876" t="inlineStr">
        <is>
          <t>000197388</t>
        </is>
      </c>
      <c r="H876" t="inlineStr">
        <is>
          <t>ALIANCA NAVEGACAO E LOGISTICA LTDA</t>
        </is>
      </c>
      <c r="J876" s="29" t="n">
        <v>19296.24</v>
      </c>
      <c r="K876" s="29">
        <f>(1-ISNUMBER(SEARCH("556",M876)))*(O876*SUMIFS(Premissas!$C$5:$C$44,Premissas!$A$5:$A$44,$A876,Premissas!$B$5:$B$44,$B876)+P876*SUMIFS(Premissas!$D$5:$D$44,Premissas!$A$5:$A$44,$A876,Premissas!$B$5:$B$44,$B876))+R876*SUMIFS(Premissas!$E$5:$E$44,Premissas!$A$5:$A$44,$A876,Premissas!$B$5:$B$44,$B876)+S876*SUMIFS(Premissas!$F$5:$F$44,Premissas!$A$5:$A$44,$A876,Premissas!$B$5:$B$44,$B876)</f>
        <v/>
      </c>
      <c r="L876" s="29">
        <f>J876-K876</f>
        <v/>
      </c>
      <c r="M876" t="inlineStr">
        <is>
          <t>2.350</t>
        </is>
      </c>
      <c r="N876" t="inlineStr">
        <is>
          <t>Modalidade: 2 - Por conta de terceiros | Parte: CMPC Iguacu Embalagens Ltda (11.308.600/0008-04)</t>
        </is>
      </c>
      <c r="O876" s="29" t="n">
        <v>0</v>
      </c>
      <c r="P876" s="29" t="n">
        <v>1350.74</v>
      </c>
      <c r="Q876" s="29" t="n">
        <v>0</v>
      </c>
      <c r="R876" s="29" t="n">
        <v>0</v>
      </c>
      <c r="S876" s="29" t="n">
        <v>0</v>
      </c>
      <c r="T876" t="inlineStr">
        <is>
          <t>42260502427026000901570040001973881019738890</t>
        </is>
      </c>
      <c r="U876" t="inlineStr">
        <is>
          <t>Sim</t>
        </is>
      </c>
    </row>
    <row r="877">
      <c r="A877" t="inlineStr">
        <is>
          <t>Frete de compra</t>
        </is>
      </c>
      <c r="B877" t="inlineStr">
        <is>
          <t>2.04.87 Frete sobre Compra</t>
        </is>
      </c>
      <c r="C877" s="30" t="n">
        <v>46143</v>
      </c>
      <c r="D877" t="inlineStr">
        <is>
          <t>Em 2026</t>
        </is>
      </c>
      <c r="E877" s="28" t="n">
        <v>46164</v>
      </c>
      <c r="F877" t="inlineStr">
        <is>
          <t>CT-e</t>
        </is>
      </c>
      <c r="G877" t="inlineStr">
        <is>
          <t>000197392</t>
        </is>
      </c>
      <c r="H877" t="inlineStr">
        <is>
          <t>ALIANCA NAVEGACAO E LOGISTICA LTDA</t>
        </is>
      </c>
      <c r="J877" s="29" t="n">
        <v>19298.74</v>
      </c>
      <c r="K877" s="29">
        <f>(1-ISNUMBER(SEARCH("556",M877)))*(O877*SUMIFS(Premissas!$C$5:$C$44,Premissas!$A$5:$A$44,$A877,Premissas!$B$5:$B$44,$B877)+P877*SUMIFS(Premissas!$D$5:$D$44,Premissas!$A$5:$A$44,$A877,Premissas!$B$5:$B$44,$B877))+R877*SUMIFS(Premissas!$E$5:$E$44,Premissas!$A$5:$A$44,$A877,Premissas!$B$5:$B$44,$B877)+S877*SUMIFS(Premissas!$F$5:$F$44,Premissas!$A$5:$A$44,$A877,Premissas!$B$5:$B$44,$B877)</f>
        <v/>
      </c>
      <c r="L877" s="29">
        <f>J877-K877</f>
        <v/>
      </c>
      <c r="M877" t="inlineStr">
        <is>
          <t>2.350</t>
        </is>
      </c>
      <c r="N877" t="inlineStr">
        <is>
          <t>Modalidade: 2 - Por conta de terceiros | Parte: CMPC Iguacu Embalagens Ltda (11.308.600/0008-04)</t>
        </is>
      </c>
      <c r="O877" s="29" t="n">
        <v>0</v>
      </c>
      <c r="P877" s="29" t="n">
        <v>1350.91</v>
      </c>
      <c r="Q877" s="29" t="n">
        <v>0</v>
      </c>
      <c r="R877" s="29" t="n">
        <v>0</v>
      </c>
      <c r="S877" s="29" t="n">
        <v>0</v>
      </c>
      <c r="T877" t="inlineStr">
        <is>
          <t>42260502427026000901570040001973921019739296</t>
        </is>
      </c>
      <c r="U877" t="inlineStr">
        <is>
          <t>Sim</t>
        </is>
      </c>
    </row>
    <row r="878">
      <c r="A878" t="inlineStr">
        <is>
          <t>Frete de compra</t>
        </is>
      </c>
      <c r="B878" t="inlineStr">
        <is>
          <t>2.04.87 Frete sobre Compra</t>
        </is>
      </c>
      <c r="C878" s="30" t="n">
        <v>46143</v>
      </c>
      <c r="D878" t="inlineStr">
        <is>
          <t>Em 2026</t>
        </is>
      </c>
      <c r="E878" s="28" t="n">
        <v>46164</v>
      </c>
      <c r="F878" t="inlineStr">
        <is>
          <t>CT-e</t>
        </is>
      </c>
      <c r="G878" t="inlineStr">
        <is>
          <t>000197401</t>
        </is>
      </c>
      <c r="H878" t="inlineStr">
        <is>
          <t>ALIANCA NAVEGACAO E LOGISTICA LTDA</t>
        </is>
      </c>
      <c r="J878" s="29" t="n">
        <v>19297.59</v>
      </c>
      <c r="K878" s="29">
        <f>(1-ISNUMBER(SEARCH("556",M878)))*(O878*SUMIFS(Premissas!$C$5:$C$44,Premissas!$A$5:$A$44,$A878,Premissas!$B$5:$B$44,$B878)+P878*SUMIFS(Premissas!$D$5:$D$44,Premissas!$A$5:$A$44,$A878,Premissas!$B$5:$B$44,$B878))+R878*SUMIFS(Premissas!$E$5:$E$44,Premissas!$A$5:$A$44,$A878,Premissas!$B$5:$B$44,$B878)+S878*SUMIFS(Premissas!$F$5:$F$44,Premissas!$A$5:$A$44,$A878,Premissas!$B$5:$B$44,$B878)</f>
        <v/>
      </c>
      <c r="L878" s="29">
        <f>J878-K878</f>
        <v/>
      </c>
      <c r="M878" t="inlineStr">
        <is>
          <t>2.350</t>
        </is>
      </c>
      <c r="N878" t="inlineStr">
        <is>
          <t>Modalidade: 2 - Por conta de terceiros | Parte: CMPC Iguacu Embalagens Ltda (11.308.600/0008-04)</t>
        </is>
      </c>
      <c r="O878" s="29" t="n">
        <v>0</v>
      </c>
      <c r="P878" s="29" t="n">
        <v>1350.83</v>
      </c>
      <c r="Q878" s="29" t="n">
        <v>0</v>
      </c>
      <c r="R878" s="29" t="n">
        <v>0</v>
      </c>
      <c r="S878" s="29" t="n">
        <v>0</v>
      </c>
      <c r="T878" t="inlineStr">
        <is>
          <t>42260502427026000901570040001974011019740198</t>
        </is>
      </c>
      <c r="U878" t="inlineStr">
        <is>
          <t>Sim</t>
        </is>
      </c>
    </row>
    <row r="879">
      <c r="A879" t="inlineStr">
        <is>
          <t>Frete de compra</t>
        </is>
      </c>
      <c r="B879" t="inlineStr">
        <is>
          <t>2.04.87 Frete sobre Compra</t>
        </is>
      </c>
      <c r="C879" s="30" t="n">
        <v>46143</v>
      </c>
      <c r="D879" t="inlineStr">
        <is>
          <t>Em 2026</t>
        </is>
      </c>
      <c r="E879" s="28" t="n">
        <v>46164</v>
      </c>
      <c r="F879" t="inlineStr">
        <is>
          <t>CT-e</t>
        </is>
      </c>
      <c r="G879" t="inlineStr">
        <is>
          <t>000197470</t>
        </is>
      </c>
      <c r="H879" t="inlineStr">
        <is>
          <t>ALIANCA NAVEGACAO E LOGISTICA LTDA</t>
        </is>
      </c>
      <c r="J879" s="29" t="n">
        <v>19295.96</v>
      </c>
      <c r="K879" s="29">
        <f>(1-ISNUMBER(SEARCH("556",M879)))*(O879*SUMIFS(Premissas!$C$5:$C$44,Premissas!$A$5:$A$44,$A879,Premissas!$B$5:$B$44,$B879)+P879*SUMIFS(Premissas!$D$5:$D$44,Premissas!$A$5:$A$44,$A879,Premissas!$B$5:$B$44,$B879))+R879*SUMIFS(Premissas!$E$5:$E$44,Premissas!$A$5:$A$44,$A879,Premissas!$B$5:$B$44,$B879)+S879*SUMIFS(Premissas!$F$5:$F$44,Premissas!$A$5:$A$44,$A879,Premissas!$B$5:$B$44,$B879)</f>
        <v/>
      </c>
      <c r="L879" s="29">
        <f>J879-K879</f>
        <v/>
      </c>
      <c r="M879" t="inlineStr">
        <is>
          <t>2.350</t>
        </is>
      </c>
      <c r="N879" t="inlineStr">
        <is>
          <t>Modalidade: 2 - Por conta de terceiros | Parte: CMPC Iguacu Embalagens Ltda (11.308.600/0008-04)</t>
        </is>
      </c>
      <c r="O879" s="29" t="n">
        <v>0</v>
      </c>
      <c r="P879" s="29" t="n">
        <v>1350.72</v>
      </c>
      <c r="Q879" s="29" t="n">
        <v>0</v>
      </c>
      <c r="R879" s="29" t="n">
        <v>0</v>
      </c>
      <c r="S879" s="29" t="n">
        <v>0</v>
      </c>
      <c r="T879" t="inlineStr">
        <is>
          <t>42260502427026000901570040001974701019747092</t>
        </is>
      </c>
      <c r="U879" t="inlineStr">
        <is>
          <t>Sim</t>
        </is>
      </c>
    </row>
    <row r="880">
      <c r="A880" t="inlineStr">
        <is>
          <t>Frete de compra</t>
        </is>
      </c>
      <c r="B880" t="inlineStr">
        <is>
          <t>2.04.87 Frete sobre Compra</t>
        </is>
      </c>
      <c r="C880" s="30" t="n">
        <v>46143</v>
      </c>
      <c r="D880" t="inlineStr">
        <is>
          <t>Em 2026</t>
        </is>
      </c>
      <c r="E880" s="28" t="n">
        <v>46165</v>
      </c>
      <c r="F880" t="inlineStr">
        <is>
          <t>CT-e</t>
        </is>
      </c>
      <c r="G880" t="inlineStr">
        <is>
          <t>000197471</t>
        </is>
      </c>
      <c r="H880" t="inlineStr">
        <is>
          <t>ALIANCA NAVEGACAO E LOGISTICA LTDA</t>
        </is>
      </c>
      <c r="J880" s="29" t="n">
        <v>19295.72</v>
      </c>
      <c r="K880" s="29">
        <f>(1-ISNUMBER(SEARCH("556",M880)))*(O880*SUMIFS(Premissas!$C$5:$C$44,Premissas!$A$5:$A$44,$A880,Premissas!$B$5:$B$44,$B880)+P880*SUMIFS(Premissas!$D$5:$D$44,Premissas!$A$5:$A$44,$A880,Premissas!$B$5:$B$44,$B880))+R880*SUMIFS(Premissas!$E$5:$E$44,Premissas!$A$5:$A$44,$A880,Premissas!$B$5:$B$44,$B880)+S880*SUMIFS(Premissas!$F$5:$F$44,Premissas!$A$5:$A$44,$A880,Premissas!$B$5:$B$44,$B880)</f>
        <v/>
      </c>
      <c r="L880" s="29">
        <f>J880-K880</f>
        <v/>
      </c>
      <c r="M880" t="inlineStr">
        <is>
          <t>2.350</t>
        </is>
      </c>
      <c r="N880" t="inlineStr">
        <is>
          <t>Modalidade: 2 - Por conta de terceiros | Parte: CMPC Iguacu Embalagens Ltda (11.308.600/0008-04)</t>
        </is>
      </c>
      <c r="O880" s="29" t="n">
        <v>0</v>
      </c>
      <c r="P880" s="29" t="n">
        <v>1350.7</v>
      </c>
      <c r="Q880" s="29" t="n">
        <v>0</v>
      </c>
      <c r="R880" s="29" t="n">
        <v>0</v>
      </c>
      <c r="S880" s="29" t="n">
        <v>0</v>
      </c>
      <c r="T880" t="inlineStr">
        <is>
          <t>42260502427026000901570040001974711019747197</t>
        </is>
      </c>
      <c r="U880" t="inlineStr">
        <is>
          <t>Sim</t>
        </is>
      </c>
    </row>
    <row r="881">
      <c r="A881" t="inlineStr">
        <is>
          <t>Frete de compra</t>
        </is>
      </c>
      <c r="B881" t="inlineStr">
        <is>
          <t>2.04.87 Frete sobre Compra</t>
        </is>
      </c>
      <c r="C881" s="30" t="n">
        <v>46143</v>
      </c>
      <c r="D881" t="inlineStr">
        <is>
          <t>Em 2026</t>
        </is>
      </c>
      <c r="E881" s="28" t="n">
        <v>46167</v>
      </c>
      <c r="F881" t="inlineStr">
        <is>
          <t>CT-e</t>
        </is>
      </c>
      <c r="G881" t="inlineStr">
        <is>
          <t>000197531</t>
        </is>
      </c>
      <c r="H881" t="inlineStr">
        <is>
          <t>ALIANCA NAVEGACAO E LOGISTICA LTDA</t>
        </is>
      </c>
      <c r="J881" s="29" t="n">
        <v>19275.6</v>
      </c>
      <c r="K881" s="29">
        <f>(1-ISNUMBER(SEARCH("556",M881)))*(O881*SUMIFS(Premissas!$C$5:$C$44,Premissas!$A$5:$A$44,$A881,Premissas!$B$5:$B$44,$B881)+P881*SUMIFS(Premissas!$D$5:$D$44,Premissas!$A$5:$A$44,$A881,Premissas!$B$5:$B$44,$B881))+R881*SUMIFS(Premissas!$E$5:$E$44,Premissas!$A$5:$A$44,$A881,Premissas!$B$5:$B$44,$B881)+S881*SUMIFS(Premissas!$F$5:$F$44,Premissas!$A$5:$A$44,$A881,Premissas!$B$5:$B$44,$B881)</f>
        <v/>
      </c>
      <c r="L881" s="29">
        <f>J881-K881</f>
        <v/>
      </c>
      <c r="M881" t="inlineStr">
        <is>
          <t>2.350</t>
        </is>
      </c>
      <c r="N881" t="inlineStr">
        <is>
          <t>Modalidade: 1 - Por conta do destinatário | Parte: CMPC Iguacu Embalagens Ltda (11.308.600/0008-04)</t>
        </is>
      </c>
      <c r="O881" s="29" t="n">
        <v>0</v>
      </c>
      <c r="P881" s="29" t="n">
        <v>1349.29</v>
      </c>
      <c r="Q881" s="29" t="n">
        <v>0</v>
      </c>
      <c r="R881" s="29" t="n">
        <v>0</v>
      </c>
      <c r="S881" s="29" t="n">
        <v>0</v>
      </c>
      <c r="T881" t="inlineStr">
        <is>
          <t>42260502427026000901570040001975311019753197</t>
        </is>
      </c>
      <c r="U881" t="inlineStr">
        <is>
          <t>Sim</t>
        </is>
      </c>
    </row>
    <row r="882">
      <c r="A882" t="inlineStr">
        <is>
          <t>Frete de compra</t>
        </is>
      </c>
      <c r="B882" t="inlineStr">
        <is>
          <t>2.04.87 Frete sobre Compra</t>
        </is>
      </c>
      <c r="C882" s="30" t="n">
        <v>46143</v>
      </c>
      <c r="D882" t="inlineStr">
        <is>
          <t>Em 2026</t>
        </is>
      </c>
      <c r="E882" s="28" t="n">
        <v>46167</v>
      </c>
      <c r="F882" t="inlineStr">
        <is>
          <t>CT-e</t>
        </is>
      </c>
      <c r="G882" t="inlineStr">
        <is>
          <t>000197560</t>
        </is>
      </c>
      <c r="H882" t="inlineStr">
        <is>
          <t>ALIANCA NAVEGACAO E LOGISTICA LTDA</t>
        </is>
      </c>
      <c r="J882" s="29" t="n">
        <v>19264.9</v>
      </c>
      <c r="K882" s="29">
        <f>(1-ISNUMBER(SEARCH("556",M882)))*(O882*SUMIFS(Premissas!$C$5:$C$44,Premissas!$A$5:$A$44,$A882,Premissas!$B$5:$B$44,$B882)+P882*SUMIFS(Premissas!$D$5:$D$44,Premissas!$A$5:$A$44,$A882,Premissas!$B$5:$B$44,$B882))+R882*SUMIFS(Premissas!$E$5:$E$44,Premissas!$A$5:$A$44,$A882,Premissas!$B$5:$B$44,$B882)+S882*SUMIFS(Premissas!$F$5:$F$44,Premissas!$A$5:$A$44,$A882,Premissas!$B$5:$B$44,$B882)</f>
        <v/>
      </c>
      <c r="L882" s="29">
        <f>J882-K882</f>
        <v/>
      </c>
      <c r="M882" t="inlineStr">
        <is>
          <t>2.350</t>
        </is>
      </c>
      <c r="N882" t="inlineStr">
        <is>
          <t>Modalidade: 2 - Por conta de terceiros | Parte: CMPC Iguacu Embalagens Ltda (11.308.600/0008-04)</t>
        </is>
      </c>
      <c r="O882" s="29" t="n">
        <v>0</v>
      </c>
      <c r="P882" s="29" t="n">
        <v>1348.54</v>
      </c>
      <c r="Q882" s="29" t="n">
        <v>0</v>
      </c>
      <c r="R882" s="29" t="n">
        <v>0</v>
      </c>
      <c r="S882" s="29" t="n">
        <v>0</v>
      </c>
      <c r="T882" t="inlineStr">
        <is>
          <t>42260502427026000901570040001975601019756090</t>
        </is>
      </c>
      <c r="U882" t="inlineStr">
        <is>
          <t>Sim</t>
        </is>
      </c>
    </row>
    <row r="883">
      <c r="A883" t="inlineStr">
        <is>
          <t>Frete de compra</t>
        </is>
      </c>
      <c r="B883" t="inlineStr">
        <is>
          <t>2.04.87 Frete sobre Compra</t>
        </is>
      </c>
      <c r="C883" s="30" t="n">
        <v>46143</v>
      </c>
      <c r="D883" t="inlineStr">
        <is>
          <t>Em 2026</t>
        </is>
      </c>
      <c r="E883" s="28" t="n">
        <v>46167</v>
      </c>
      <c r="F883" t="inlineStr">
        <is>
          <t>CT-e</t>
        </is>
      </c>
      <c r="G883" t="inlineStr">
        <is>
          <t>000197580</t>
        </is>
      </c>
      <c r="H883" t="inlineStr">
        <is>
          <t>ALIANCA NAVEGACAO E LOGISTICA LTDA</t>
        </is>
      </c>
      <c r="J883" s="29" t="n">
        <v>19263.78</v>
      </c>
      <c r="K883" s="29">
        <f>(1-ISNUMBER(SEARCH("556",M883)))*(O883*SUMIFS(Premissas!$C$5:$C$44,Premissas!$A$5:$A$44,$A883,Premissas!$B$5:$B$44,$B883)+P883*SUMIFS(Premissas!$D$5:$D$44,Premissas!$A$5:$A$44,$A883,Premissas!$B$5:$B$44,$B883))+R883*SUMIFS(Premissas!$E$5:$E$44,Premissas!$A$5:$A$44,$A883,Premissas!$B$5:$B$44,$B883)+S883*SUMIFS(Premissas!$F$5:$F$44,Premissas!$A$5:$A$44,$A883,Premissas!$B$5:$B$44,$B883)</f>
        <v/>
      </c>
      <c r="L883" s="29">
        <f>J883-K883</f>
        <v/>
      </c>
      <c r="M883" t="inlineStr">
        <is>
          <t>2.350</t>
        </is>
      </c>
      <c r="N883" t="inlineStr">
        <is>
          <t>Modalidade: 2 - Por conta de terceiros | Parte: CMPC Iguacu Embalagens Ltda (11.308.600/0008-04)</t>
        </is>
      </c>
      <c r="O883" s="29" t="n">
        <v>0</v>
      </c>
      <c r="P883" s="29" t="n">
        <v>1348.46</v>
      </c>
      <c r="Q883" s="29" t="n">
        <v>0</v>
      </c>
      <c r="R883" s="29" t="n">
        <v>0</v>
      </c>
      <c r="S883" s="29" t="n">
        <v>0</v>
      </c>
      <c r="T883" t="inlineStr">
        <is>
          <t>42260502427026000901570040001975801019758096</t>
        </is>
      </c>
      <c r="U883" t="inlineStr">
        <is>
          <t>Sim</t>
        </is>
      </c>
    </row>
    <row r="884">
      <c r="A884" t="inlineStr">
        <is>
          <t>Frete de compra</t>
        </is>
      </c>
      <c r="B884" t="inlineStr">
        <is>
          <t>2.04.87 Frete sobre Compra</t>
        </is>
      </c>
      <c r="C884" s="30" t="n">
        <v>46143</v>
      </c>
      <c r="D884" t="inlineStr">
        <is>
          <t>Em 2026</t>
        </is>
      </c>
      <c r="E884" s="28" t="n">
        <v>46168</v>
      </c>
      <c r="F884" t="inlineStr">
        <is>
          <t>CT-e</t>
        </is>
      </c>
      <c r="G884" t="inlineStr">
        <is>
          <t>000197647</t>
        </is>
      </c>
      <c r="H884" t="inlineStr">
        <is>
          <t>ALIANCA NAVEGACAO E LOGISTICA LTDA</t>
        </is>
      </c>
      <c r="J884" s="29" t="n">
        <v>19297.45</v>
      </c>
      <c r="K884" s="29">
        <f>(1-ISNUMBER(SEARCH("556",M884)))*(O884*SUMIFS(Premissas!$C$5:$C$44,Premissas!$A$5:$A$44,$A884,Premissas!$B$5:$B$44,$B884)+P884*SUMIFS(Premissas!$D$5:$D$44,Premissas!$A$5:$A$44,$A884,Premissas!$B$5:$B$44,$B884))+R884*SUMIFS(Premissas!$E$5:$E$44,Premissas!$A$5:$A$44,$A884,Premissas!$B$5:$B$44,$B884)+S884*SUMIFS(Premissas!$F$5:$F$44,Premissas!$A$5:$A$44,$A884,Premissas!$B$5:$B$44,$B884)</f>
        <v/>
      </c>
      <c r="L884" s="29">
        <f>J884-K884</f>
        <v/>
      </c>
      <c r="M884" t="inlineStr">
        <is>
          <t>2.350</t>
        </is>
      </c>
      <c r="N884" t="inlineStr">
        <is>
          <t>Modalidade: 2 - Por conta de terceiros | Parte: CMPC Iguacu Embalagens Ltda (11.308.600/0008-04)</t>
        </is>
      </c>
      <c r="O884" s="29" t="n">
        <v>0</v>
      </c>
      <c r="P884" s="29" t="n">
        <v>1350.82</v>
      </c>
      <c r="Q884" s="29" t="n">
        <v>0</v>
      </c>
      <c r="R884" s="29" t="n">
        <v>0</v>
      </c>
      <c r="S884" s="29" t="n">
        <v>0</v>
      </c>
      <c r="T884" t="inlineStr">
        <is>
          <t>42260502427026000901570040001976471019764798</t>
        </is>
      </c>
      <c r="U884" t="inlineStr">
        <is>
          <t>Sim</t>
        </is>
      </c>
    </row>
    <row r="885">
      <c r="A885" t="inlineStr">
        <is>
          <t>Frete de compra</t>
        </is>
      </c>
      <c r="B885" t="inlineStr">
        <is>
          <t>2.04.87 Frete sobre Compra</t>
        </is>
      </c>
      <c r="C885" s="30" t="n">
        <v>46143</v>
      </c>
      <c r="D885" t="inlineStr">
        <is>
          <t>Em 2026</t>
        </is>
      </c>
      <c r="E885" s="28" t="n">
        <v>46168</v>
      </c>
      <c r="F885" t="inlineStr">
        <is>
          <t>CT-e</t>
        </is>
      </c>
      <c r="G885" t="inlineStr">
        <is>
          <t>000197653</t>
        </is>
      </c>
      <c r="H885" t="inlineStr">
        <is>
          <t>ALIANCA NAVEGACAO E LOGISTICA LTDA</t>
        </is>
      </c>
      <c r="J885" s="29" t="n">
        <v>19297.27</v>
      </c>
      <c r="K885" s="29">
        <f>(1-ISNUMBER(SEARCH("556",M885)))*(O885*SUMIFS(Premissas!$C$5:$C$44,Premissas!$A$5:$A$44,$A885,Premissas!$B$5:$B$44,$B885)+P885*SUMIFS(Premissas!$D$5:$D$44,Premissas!$A$5:$A$44,$A885,Premissas!$B$5:$B$44,$B885))+R885*SUMIFS(Premissas!$E$5:$E$44,Premissas!$A$5:$A$44,$A885,Premissas!$B$5:$B$44,$B885)+S885*SUMIFS(Premissas!$F$5:$F$44,Premissas!$A$5:$A$44,$A885,Premissas!$B$5:$B$44,$B885)</f>
        <v/>
      </c>
      <c r="L885" s="29">
        <f>J885-K885</f>
        <v/>
      </c>
      <c r="M885" t="inlineStr">
        <is>
          <t>2.350</t>
        </is>
      </c>
      <c r="N885" t="inlineStr">
        <is>
          <t>Modalidade: 1 - Por conta do destinatário | Parte: CMPC Iguacu Embalagens Ltda (11.308.600/0008-04)</t>
        </is>
      </c>
      <c r="O885" s="29" t="n">
        <v>0</v>
      </c>
      <c r="P885" s="29" t="n">
        <v>1350.81</v>
      </c>
      <c r="Q885" s="29" t="n">
        <v>0</v>
      </c>
      <c r="R885" s="29" t="n">
        <v>0</v>
      </c>
      <c r="S885" s="29" t="n">
        <v>0</v>
      </c>
      <c r="T885" t="inlineStr">
        <is>
          <t>42260502427026000901570040001976531019765392</t>
        </is>
      </c>
      <c r="U885" t="inlineStr">
        <is>
          <t>Sim</t>
        </is>
      </c>
    </row>
    <row r="886">
      <c r="A886" t="inlineStr">
        <is>
          <t>Frete de compra</t>
        </is>
      </c>
      <c r="B886" t="inlineStr">
        <is>
          <t>2.04.87 Frete sobre Compra</t>
        </is>
      </c>
      <c r="C886" s="30" t="n">
        <v>46143</v>
      </c>
      <c r="D886" t="inlineStr">
        <is>
          <t>Em 2026</t>
        </is>
      </c>
      <c r="E886" s="28" t="n">
        <v>46169</v>
      </c>
      <c r="F886" t="inlineStr">
        <is>
          <t>CT-e</t>
        </is>
      </c>
      <c r="G886" t="inlineStr">
        <is>
          <t>000197676</t>
        </is>
      </c>
      <c r="H886" t="inlineStr">
        <is>
          <t>ALIANCA NAVEGACAO E LOGISTICA LTDA</t>
        </is>
      </c>
      <c r="J886" s="29" t="n">
        <v>19293.29</v>
      </c>
      <c r="K886" s="29">
        <f>(1-ISNUMBER(SEARCH("556",M886)))*(O886*SUMIFS(Premissas!$C$5:$C$44,Premissas!$A$5:$A$44,$A886,Premissas!$B$5:$B$44,$B886)+P886*SUMIFS(Premissas!$D$5:$D$44,Premissas!$A$5:$A$44,$A886,Premissas!$B$5:$B$44,$B886))+R886*SUMIFS(Premissas!$E$5:$E$44,Premissas!$A$5:$A$44,$A886,Premissas!$B$5:$B$44,$B886)+S886*SUMIFS(Premissas!$F$5:$F$44,Premissas!$A$5:$A$44,$A886,Premissas!$B$5:$B$44,$B886)</f>
        <v/>
      </c>
      <c r="L886" s="29">
        <f>J886-K886</f>
        <v/>
      </c>
      <c r="M886" t="inlineStr">
        <is>
          <t>2.350</t>
        </is>
      </c>
      <c r="N886" t="inlineStr">
        <is>
          <t>Modalidade: 1 - Por conta do destinatário | Parte: CMPC Iguacu Embalagens Ltda (11.308.600/0008-04)</t>
        </is>
      </c>
      <c r="O886" s="29" t="n">
        <v>0</v>
      </c>
      <c r="P886" s="29" t="n">
        <v>1350.53</v>
      </c>
      <c r="Q886" s="29" t="n">
        <v>0</v>
      </c>
      <c r="R886" s="29" t="n">
        <v>0</v>
      </c>
      <c r="S886" s="29" t="n">
        <v>0</v>
      </c>
      <c r="T886" t="inlineStr">
        <is>
          <t>42260502427026000901570040001976761019767691</t>
        </is>
      </c>
      <c r="U886" t="inlineStr">
        <is>
          <t>Sim</t>
        </is>
      </c>
    </row>
    <row r="887">
      <c r="A887" t="inlineStr">
        <is>
          <t>Frete de compra</t>
        </is>
      </c>
      <c r="B887" t="inlineStr">
        <is>
          <t>2.04.87 Frete sobre Compra</t>
        </is>
      </c>
      <c r="C887" s="30" t="n">
        <v>46143</v>
      </c>
      <c r="D887" t="inlineStr">
        <is>
          <t>Em 2026</t>
        </is>
      </c>
      <c r="E887" s="28" t="n">
        <v>46169</v>
      </c>
      <c r="F887" t="inlineStr">
        <is>
          <t>CT-e</t>
        </is>
      </c>
      <c r="G887" t="inlineStr">
        <is>
          <t>000197791</t>
        </is>
      </c>
      <c r="H887" t="inlineStr">
        <is>
          <t>ALIANCA NAVEGACAO E LOGISTICA LTDA</t>
        </is>
      </c>
      <c r="J887" s="29" t="n">
        <v>19283.05</v>
      </c>
      <c r="K887" s="29">
        <f>(1-ISNUMBER(SEARCH("556",M887)))*(O887*SUMIFS(Premissas!$C$5:$C$44,Premissas!$A$5:$A$44,$A887,Premissas!$B$5:$B$44,$B887)+P887*SUMIFS(Premissas!$D$5:$D$44,Premissas!$A$5:$A$44,$A887,Premissas!$B$5:$B$44,$B887))+R887*SUMIFS(Premissas!$E$5:$E$44,Premissas!$A$5:$A$44,$A887,Premissas!$B$5:$B$44,$B887)+S887*SUMIFS(Premissas!$F$5:$F$44,Premissas!$A$5:$A$44,$A887,Premissas!$B$5:$B$44,$B887)</f>
        <v/>
      </c>
      <c r="L887" s="29">
        <f>J887-K887</f>
        <v/>
      </c>
      <c r="M887" t="inlineStr">
        <is>
          <t>2.350</t>
        </is>
      </c>
      <c r="N887" t="inlineStr">
        <is>
          <t>Modalidade: 2 - Por conta de terceiros | Parte: CMPC Iguacu Embalagens Ltda (11.308.600/0008-04)</t>
        </is>
      </c>
      <c r="O887" s="29" t="n">
        <v>0</v>
      </c>
      <c r="P887" s="29" t="n">
        <v>1349.81</v>
      </c>
      <c r="Q887" s="29" t="n">
        <v>0</v>
      </c>
      <c r="R887" s="29" t="n">
        <v>0</v>
      </c>
      <c r="S887" s="29" t="n">
        <v>0</v>
      </c>
      <c r="T887" t="inlineStr">
        <is>
          <t>42260502427026000901570040001977911019779195</t>
        </is>
      </c>
      <c r="U887" t="inlineStr">
        <is>
          <t>Sim</t>
        </is>
      </c>
    </row>
    <row r="888">
      <c r="A888" t="inlineStr">
        <is>
          <t>Frete de compra</t>
        </is>
      </c>
      <c r="B888" t="inlineStr">
        <is>
          <t>2.04.87 Frete sobre Compra</t>
        </is>
      </c>
      <c r="C888" s="30" t="n">
        <v>46174</v>
      </c>
      <c r="D888" t="inlineStr">
        <is>
          <t>Em 2026</t>
        </is>
      </c>
      <c r="E888" s="28" t="n">
        <v>46195</v>
      </c>
      <c r="F888" t="inlineStr">
        <is>
          <t>CT-e</t>
        </is>
      </c>
      <c r="G888" t="inlineStr">
        <is>
          <t>000199268</t>
        </is>
      </c>
      <c r="H888" t="inlineStr">
        <is>
          <t>ALIANCA NAVEGACAO E LOGISTICA LTDA</t>
        </is>
      </c>
      <c r="J888" s="29" t="n">
        <v>23543.85</v>
      </c>
      <c r="K888" s="29">
        <f>(1-ISNUMBER(SEARCH("556",M888)))*(O888*SUMIFS(Premissas!$C$5:$C$44,Premissas!$A$5:$A$44,$A888,Premissas!$B$5:$B$44,$B888)+P888*SUMIFS(Premissas!$D$5:$D$44,Premissas!$A$5:$A$44,$A888,Premissas!$B$5:$B$44,$B888))+R888*SUMIFS(Premissas!$E$5:$E$44,Premissas!$A$5:$A$44,$A888,Premissas!$B$5:$B$44,$B888)+S888*SUMIFS(Premissas!$F$5:$F$44,Premissas!$A$5:$A$44,$A888,Premissas!$B$5:$B$44,$B888)</f>
        <v/>
      </c>
      <c r="L888" s="29">
        <f>J888-K888</f>
        <v/>
      </c>
      <c r="M888" t="inlineStr">
        <is>
          <t>2.350</t>
        </is>
      </c>
      <c r="N888" t="inlineStr">
        <is>
          <t>Modalidade: 1 - Por conta do destinatário | Parte: CMPC Iguacu Embalagens Ltda (11.308.600/0008-04)</t>
        </is>
      </c>
      <c r="O888" s="29" t="n">
        <v>0</v>
      </c>
      <c r="P888" s="29" t="n">
        <v>1648.07</v>
      </c>
      <c r="Q888" s="29" t="n">
        <v>0</v>
      </c>
      <c r="R888" s="29" t="n">
        <v>0</v>
      </c>
      <c r="S888" s="29" t="n">
        <v>0</v>
      </c>
      <c r="T888" t="inlineStr">
        <is>
          <t>42260602427026000901570040001992681019926896</t>
        </is>
      </c>
      <c r="U888" t="inlineStr">
        <is>
          <t>Sim</t>
        </is>
      </c>
    </row>
    <row r="889">
      <c r="A889" t="inlineStr">
        <is>
          <t>Frete de compra</t>
        </is>
      </c>
      <c r="B889" t="inlineStr">
        <is>
          <t>2.04.87 Frete sobre Compra</t>
        </is>
      </c>
      <c r="C889" s="30" t="n">
        <v>46174</v>
      </c>
      <c r="D889" t="inlineStr">
        <is>
          <t>Em 2026</t>
        </is>
      </c>
      <c r="E889" s="28" t="n">
        <v>46195</v>
      </c>
      <c r="F889" t="inlineStr">
        <is>
          <t>CT-e</t>
        </is>
      </c>
      <c r="G889" t="inlineStr">
        <is>
          <t>000199293</t>
        </is>
      </c>
      <c r="H889" t="inlineStr">
        <is>
          <t>ALIANCA NAVEGACAO E LOGISTICA LTDA</t>
        </is>
      </c>
      <c r="J889" s="29" t="n">
        <v>23542.89</v>
      </c>
      <c r="K889" s="29">
        <f>(1-ISNUMBER(SEARCH("556",M889)))*(O889*SUMIFS(Premissas!$C$5:$C$44,Premissas!$A$5:$A$44,$A889,Premissas!$B$5:$B$44,$B889)+P889*SUMIFS(Premissas!$D$5:$D$44,Premissas!$A$5:$A$44,$A889,Premissas!$B$5:$B$44,$B889))+R889*SUMIFS(Premissas!$E$5:$E$44,Premissas!$A$5:$A$44,$A889,Premissas!$B$5:$B$44,$B889)+S889*SUMIFS(Premissas!$F$5:$F$44,Premissas!$A$5:$A$44,$A889,Premissas!$B$5:$B$44,$B889)</f>
        <v/>
      </c>
      <c r="L889" s="29">
        <f>J889-K889</f>
        <v/>
      </c>
      <c r="M889" t="inlineStr">
        <is>
          <t>2.350</t>
        </is>
      </c>
      <c r="N889" t="inlineStr">
        <is>
          <t>Modalidade: 2 - Por conta de terceiros | Parte: CMPC Iguacu Embalagens Ltda (11.308.600/0008-04)</t>
        </is>
      </c>
      <c r="O889" s="29" t="n">
        <v>0</v>
      </c>
      <c r="P889" s="29" t="n">
        <v>1648</v>
      </c>
      <c r="Q889" s="29" t="n">
        <v>0</v>
      </c>
      <c r="R889" s="29" t="n">
        <v>0</v>
      </c>
      <c r="S889" s="29" t="n">
        <v>0</v>
      </c>
      <c r="T889" t="inlineStr">
        <is>
          <t>42260602427026000901570040001992931019929391</t>
        </is>
      </c>
      <c r="U889" t="inlineStr">
        <is>
          <t>Sim</t>
        </is>
      </c>
    </row>
    <row r="890">
      <c r="A890" t="inlineStr">
        <is>
          <t>Frete de compra</t>
        </is>
      </c>
      <c r="B890" t="inlineStr">
        <is>
          <t>2.04.87 Frete sobre Compra</t>
        </is>
      </c>
      <c r="C890" s="30" t="n">
        <v>46174</v>
      </c>
      <c r="D890" t="inlineStr">
        <is>
          <t>Em 2026</t>
        </is>
      </c>
      <c r="E890" s="28" t="n">
        <v>46195</v>
      </c>
      <c r="F890" t="inlineStr">
        <is>
          <t>CT-e</t>
        </is>
      </c>
      <c r="G890" t="inlineStr">
        <is>
          <t>000199299</t>
        </is>
      </c>
      <c r="H890" t="inlineStr">
        <is>
          <t>ALIANCA NAVEGACAO E LOGISTICA LTDA</t>
        </is>
      </c>
      <c r="J890" s="29" t="n">
        <v>23545.13</v>
      </c>
      <c r="K890" s="29">
        <f>(1-ISNUMBER(SEARCH("556",M890)))*(O890*SUMIFS(Premissas!$C$5:$C$44,Premissas!$A$5:$A$44,$A890,Premissas!$B$5:$B$44,$B890)+P890*SUMIFS(Premissas!$D$5:$D$44,Premissas!$A$5:$A$44,$A890,Premissas!$B$5:$B$44,$B890))+R890*SUMIFS(Premissas!$E$5:$E$44,Premissas!$A$5:$A$44,$A890,Premissas!$B$5:$B$44,$B890)+S890*SUMIFS(Premissas!$F$5:$F$44,Premissas!$A$5:$A$44,$A890,Premissas!$B$5:$B$44,$B890)</f>
        <v/>
      </c>
      <c r="L890" s="29">
        <f>J890-K890</f>
        <v/>
      </c>
      <c r="M890" t="inlineStr">
        <is>
          <t>2.350</t>
        </is>
      </c>
      <c r="N890" t="inlineStr">
        <is>
          <t>Modalidade: 2 - Por conta de terceiros | Parte: CMPC Iguacu Embalagens Ltda (11.308.600/0008-04)</t>
        </is>
      </c>
      <c r="O890" s="29" t="n">
        <v>0</v>
      </c>
      <c r="P890" s="29" t="n">
        <v>1648.16</v>
      </c>
      <c r="Q890" s="29" t="n">
        <v>0</v>
      </c>
      <c r="R890" s="29" t="n">
        <v>0</v>
      </c>
      <c r="S890" s="29" t="n">
        <v>0</v>
      </c>
      <c r="T890" t="inlineStr">
        <is>
          <t>42260602427026000901570040001992991019929999</t>
        </is>
      </c>
      <c r="U890" t="inlineStr">
        <is>
          <t>Sim</t>
        </is>
      </c>
    </row>
    <row r="891">
      <c r="A891" t="inlineStr">
        <is>
          <t>Frete de compra</t>
        </is>
      </c>
      <c r="B891" t="inlineStr">
        <is>
          <t>2.04.87 Frete sobre Compra</t>
        </is>
      </c>
      <c r="C891" s="30" t="n">
        <v>46174</v>
      </c>
      <c r="D891" t="inlineStr">
        <is>
          <t>Em 2026</t>
        </is>
      </c>
      <c r="E891" s="28" t="n">
        <v>46196</v>
      </c>
      <c r="F891" t="inlineStr">
        <is>
          <t>CT-e</t>
        </is>
      </c>
      <c r="G891" t="inlineStr">
        <is>
          <t>000199362</t>
        </is>
      </c>
      <c r="H891" t="inlineStr">
        <is>
          <t>ALIANCA NAVEGACAO E LOGISTICA LTDA</t>
        </is>
      </c>
      <c r="J891" s="29" t="n">
        <v>23541.62</v>
      </c>
      <c r="K891" s="29">
        <f>(1-ISNUMBER(SEARCH("556",M891)))*(O891*SUMIFS(Premissas!$C$5:$C$44,Premissas!$A$5:$A$44,$A891,Premissas!$B$5:$B$44,$B891)+P891*SUMIFS(Premissas!$D$5:$D$44,Premissas!$A$5:$A$44,$A891,Premissas!$B$5:$B$44,$B891))+R891*SUMIFS(Premissas!$E$5:$E$44,Premissas!$A$5:$A$44,$A891,Premissas!$B$5:$B$44,$B891)+S891*SUMIFS(Premissas!$F$5:$F$44,Premissas!$A$5:$A$44,$A891,Premissas!$B$5:$B$44,$B891)</f>
        <v/>
      </c>
      <c r="L891" s="29">
        <f>J891-K891</f>
        <v/>
      </c>
      <c r="M891" t="inlineStr">
        <is>
          <t>2.350</t>
        </is>
      </c>
      <c r="N891" t="inlineStr">
        <is>
          <t>Modalidade: 2 - Por conta de terceiros | Parte: CMPC Iguacu Embalagens Ltda (11.308.600/0008-04)</t>
        </is>
      </c>
      <c r="O891" s="29" t="n">
        <v>0</v>
      </c>
      <c r="P891" s="29" t="n">
        <v>1647.91</v>
      </c>
      <c r="Q891" s="29" t="n">
        <v>0</v>
      </c>
      <c r="R891" s="29" t="n">
        <v>0</v>
      </c>
      <c r="S891" s="29" t="n">
        <v>0</v>
      </c>
      <c r="T891" t="inlineStr">
        <is>
          <t>42260602427026000901570040001993621019936290</t>
        </is>
      </c>
      <c r="U891" t="inlineStr">
        <is>
          <t>Sim</t>
        </is>
      </c>
    </row>
    <row r="892">
      <c r="A892" t="inlineStr">
        <is>
          <t>Frete de compra</t>
        </is>
      </c>
      <c r="B892" t="inlineStr">
        <is>
          <t>2.04.87 Frete sobre Compra</t>
        </is>
      </c>
      <c r="C892" s="30" t="n">
        <v>46174</v>
      </c>
      <c r="D892" t="inlineStr">
        <is>
          <t>Em 2026</t>
        </is>
      </c>
      <c r="E892" s="28" t="n">
        <v>46196</v>
      </c>
      <c r="F892" t="inlineStr">
        <is>
          <t>CT-e</t>
        </is>
      </c>
      <c r="G892" t="inlineStr">
        <is>
          <t>000199382</t>
        </is>
      </c>
      <c r="H892" t="inlineStr">
        <is>
          <t>ALIANCA NAVEGACAO E LOGISTICA LTDA</t>
        </is>
      </c>
      <c r="J892" s="29" t="n">
        <v>12079.68</v>
      </c>
      <c r="K892" s="29">
        <f>(1-ISNUMBER(SEARCH("556",M892)))*(O892*SUMIFS(Premissas!$C$5:$C$44,Premissas!$A$5:$A$44,$A892,Premissas!$B$5:$B$44,$B892)+P892*SUMIFS(Premissas!$D$5:$D$44,Premissas!$A$5:$A$44,$A892,Premissas!$B$5:$B$44,$B892))+R892*SUMIFS(Premissas!$E$5:$E$44,Premissas!$A$5:$A$44,$A892,Premissas!$B$5:$B$44,$B892)+S892*SUMIFS(Premissas!$F$5:$F$44,Premissas!$A$5:$A$44,$A892,Premissas!$B$5:$B$44,$B892)</f>
        <v/>
      </c>
      <c r="L892" s="29">
        <f>J892-K892</f>
        <v/>
      </c>
      <c r="M892" t="inlineStr">
        <is>
          <t>2.350</t>
        </is>
      </c>
      <c r="N892" t="inlineStr">
        <is>
          <t>Modalidade: 1 - Por conta do destinatário | Parte: CMPC Iguacu Embalagens Ltda (11.308.600/0008-04)</t>
        </is>
      </c>
      <c r="O892" s="29" t="n">
        <v>0</v>
      </c>
      <c r="P892" s="29" t="n">
        <v>845.58</v>
      </c>
      <c r="Q892" s="29" t="n">
        <v>0</v>
      </c>
      <c r="R892" s="29" t="n">
        <v>0</v>
      </c>
      <c r="S892" s="29" t="n">
        <v>0</v>
      </c>
      <c r="T892" t="inlineStr">
        <is>
          <t>42260602427026000901570040001993821019938295</t>
        </is>
      </c>
      <c r="U892" t="inlineStr">
        <is>
          <t>Sim</t>
        </is>
      </c>
    </row>
    <row r="893">
      <c r="A893" t="inlineStr">
        <is>
          <t>Frete de compra</t>
        </is>
      </c>
      <c r="B893" t="inlineStr">
        <is>
          <t>2.04.87 Frete sobre Compra</t>
        </is>
      </c>
      <c r="C893" s="30" t="n">
        <v>46174</v>
      </c>
      <c r="D893" t="inlineStr">
        <is>
          <t>Em 2026</t>
        </is>
      </c>
      <c r="E893" s="28" t="n">
        <v>46196</v>
      </c>
      <c r="F893" t="inlineStr">
        <is>
          <t>CT-e</t>
        </is>
      </c>
      <c r="G893" t="inlineStr">
        <is>
          <t>000199383</t>
        </is>
      </c>
      <c r="H893" t="inlineStr">
        <is>
          <t>ALIANCA NAVEGACAO E LOGISTICA LTDA</t>
        </is>
      </c>
      <c r="J893" s="29" t="n">
        <v>12022.06</v>
      </c>
      <c r="K893" s="29">
        <f>(1-ISNUMBER(SEARCH("556",M893)))*(O893*SUMIFS(Premissas!$C$5:$C$44,Premissas!$A$5:$A$44,$A893,Premissas!$B$5:$B$44,$B893)+P893*SUMIFS(Premissas!$D$5:$D$44,Premissas!$A$5:$A$44,$A893,Premissas!$B$5:$B$44,$B893))+R893*SUMIFS(Premissas!$E$5:$E$44,Premissas!$A$5:$A$44,$A893,Premissas!$B$5:$B$44,$B893)+S893*SUMIFS(Premissas!$F$5:$F$44,Premissas!$A$5:$A$44,$A893,Premissas!$B$5:$B$44,$B893)</f>
        <v/>
      </c>
      <c r="L893" s="29">
        <f>J893-K893</f>
        <v/>
      </c>
      <c r="M893" t="inlineStr">
        <is>
          <t>2.350</t>
        </is>
      </c>
      <c r="N893" t="inlineStr">
        <is>
          <t>Modalidade: 2 - Por conta de terceiros | Parte: CMPC Iguacu Embalagens Ltda (11.308.600/0008-04)</t>
        </is>
      </c>
      <c r="O893" s="29" t="n">
        <v>0</v>
      </c>
      <c r="P893" s="29" t="n">
        <v>841.54</v>
      </c>
      <c r="Q893" s="29" t="n">
        <v>0</v>
      </c>
      <c r="R893" s="29" t="n">
        <v>0</v>
      </c>
      <c r="S893" s="29" t="n">
        <v>0</v>
      </c>
      <c r="T893" t="inlineStr">
        <is>
          <t>42260602427026000901570040001993831019938390</t>
        </is>
      </c>
      <c r="U893" t="inlineStr">
        <is>
          <t>Sim</t>
        </is>
      </c>
    </row>
    <row r="894">
      <c r="A894" t="inlineStr">
        <is>
          <t>Frete de compra</t>
        </is>
      </c>
      <c r="B894" t="inlineStr">
        <is>
          <t>2.04.87 Frete sobre Compra</t>
        </is>
      </c>
      <c r="C894" s="30" t="n">
        <v>46174</v>
      </c>
      <c r="D894" t="inlineStr">
        <is>
          <t>Em 2026</t>
        </is>
      </c>
      <c r="E894" s="28" t="n">
        <v>46196</v>
      </c>
      <c r="F894" t="inlineStr">
        <is>
          <t>CT-e</t>
        </is>
      </c>
      <c r="G894" t="inlineStr">
        <is>
          <t>000199418</t>
        </is>
      </c>
      <c r="H894" t="inlineStr">
        <is>
          <t>ALIANCA NAVEGACAO E LOGISTICA LTDA</t>
        </is>
      </c>
      <c r="J894" s="29" t="n">
        <v>23545.66</v>
      </c>
      <c r="K894" s="29">
        <f>(1-ISNUMBER(SEARCH("556",M894)))*(O894*SUMIFS(Premissas!$C$5:$C$44,Premissas!$A$5:$A$44,$A894,Premissas!$B$5:$B$44,$B894)+P894*SUMIFS(Premissas!$D$5:$D$44,Premissas!$A$5:$A$44,$A894,Premissas!$B$5:$B$44,$B894))+R894*SUMIFS(Premissas!$E$5:$E$44,Premissas!$A$5:$A$44,$A894,Premissas!$B$5:$B$44,$B894)+S894*SUMIFS(Premissas!$F$5:$F$44,Premissas!$A$5:$A$44,$A894,Premissas!$B$5:$B$44,$B894)</f>
        <v/>
      </c>
      <c r="L894" s="29">
        <f>J894-K894</f>
        <v/>
      </c>
      <c r="M894" t="inlineStr">
        <is>
          <t>2.350</t>
        </is>
      </c>
      <c r="N894" t="inlineStr">
        <is>
          <t>Modalidade: 2 - Por conta de terceiros | Parte: CMPC Iguacu Embalagens Ltda (11.308.600/0008-04)</t>
        </is>
      </c>
      <c r="O894" s="29" t="n">
        <v>0</v>
      </c>
      <c r="P894" s="29" t="n">
        <v>1648.2</v>
      </c>
      <c r="Q894" s="29" t="n">
        <v>0</v>
      </c>
      <c r="R894" s="29" t="n">
        <v>0</v>
      </c>
      <c r="S894" s="29" t="n">
        <v>0</v>
      </c>
      <c r="T894" t="inlineStr">
        <is>
          <t>42260602427026000901570040001994181019941894</t>
        </is>
      </c>
      <c r="U894" t="inlineStr">
        <is>
          <t>Sim</t>
        </is>
      </c>
    </row>
    <row r="895">
      <c r="A895" t="inlineStr">
        <is>
          <t>Frete de compra</t>
        </is>
      </c>
      <c r="B895" t="inlineStr">
        <is>
          <t>2.04.87 Frete sobre Compra</t>
        </is>
      </c>
      <c r="C895" s="30" t="n">
        <v>46174</v>
      </c>
      <c r="D895" t="inlineStr">
        <is>
          <t>Em 2026</t>
        </is>
      </c>
      <c r="E895" s="28" t="n">
        <v>46197</v>
      </c>
      <c r="F895" t="inlineStr">
        <is>
          <t>CT-e</t>
        </is>
      </c>
      <c r="G895" t="inlineStr">
        <is>
          <t>000199513</t>
        </is>
      </c>
      <c r="H895" t="inlineStr">
        <is>
          <t>ALIANCA NAVEGACAO E LOGISTICA LTDA</t>
        </is>
      </c>
      <c r="J895" s="29" t="n">
        <v>23537.84</v>
      </c>
      <c r="K895" s="29">
        <f>(1-ISNUMBER(SEARCH("556",M895)))*(O895*SUMIFS(Premissas!$C$5:$C$44,Premissas!$A$5:$A$44,$A895,Premissas!$B$5:$B$44,$B895)+P895*SUMIFS(Premissas!$D$5:$D$44,Premissas!$A$5:$A$44,$A895,Premissas!$B$5:$B$44,$B895))+R895*SUMIFS(Premissas!$E$5:$E$44,Premissas!$A$5:$A$44,$A895,Premissas!$B$5:$B$44,$B895)+S895*SUMIFS(Premissas!$F$5:$F$44,Premissas!$A$5:$A$44,$A895,Premissas!$B$5:$B$44,$B895)</f>
        <v/>
      </c>
      <c r="L895" s="29">
        <f>J895-K895</f>
        <v/>
      </c>
      <c r="M895" t="inlineStr">
        <is>
          <t>2.350</t>
        </is>
      </c>
      <c r="N895" t="inlineStr">
        <is>
          <t>Modalidade: 2 - Por conta de terceiros | Parte: CMPC Iguacu Embalagens Ltda (11.308.600/0008-04)</t>
        </is>
      </c>
      <c r="O895" s="29" t="n">
        <v>0</v>
      </c>
      <c r="P895" s="29" t="n">
        <v>1647.65</v>
      </c>
      <c r="Q895" s="29" t="n">
        <v>0</v>
      </c>
      <c r="R895" s="29" t="n">
        <v>0</v>
      </c>
      <c r="S895" s="29" t="n">
        <v>0</v>
      </c>
      <c r="T895" t="inlineStr">
        <is>
          <t>42260602427026000901570040001995131019951392</t>
        </is>
      </c>
      <c r="U895" t="inlineStr">
        <is>
          <t>Sim</t>
        </is>
      </c>
    </row>
    <row r="896">
      <c r="A896" t="inlineStr">
        <is>
          <t>Frete de compra</t>
        </is>
      </c>
      <c r="B896" t="inlineStr">
        <is>
          <t>2.04.87 Frete sobre Compra</t>
        </is>
      </c>
      <c r="C896" s="30" t="n">
        <v>46174</v>
      </c>
      <c r="D896" t="inlineStr">
        <is>
          <t>Em 2026</t>
        </is>
      </c>
      <c r="E896" s="28" t="n">
        <v>46197</v>
      </c>
      <c r="F896" t="inlineStr">
        <is>
          <t>CT-e</t>
        </is>
      </c>
      <c r="G896" t="inlineStr">
        <is>
          <t>000199515</t>
        </is>
      </c>
      <c r="H896" t="inlineStr">
        <is>
          <t>ALIANCA NAVEGACAO E LOGISTICA LTDA</t>
        </is>
      </c>
      <c r="J896" s="29" t="n">
        <v>23544.89</v>
      </c>
      <c r="K896" s="29">
        <f>(1-ISNUMBER(SEARCH("556",M896)))*(O896*SUMIFS(Premissas!$C$5:$C$44,Premissas!$A$5:$A$44,$A896,Premissas!$B$5:$B$44,$B896)+P896*SUMIFS(Premissas!$D$5:$D$44,Premissas!$A$5:$A$44,$A896,Premissas!$B$5:$B$44,$B896))+R896*SUMIFS(Premissas!$E$5:$E$44,Premissas!$A$5:$A$44,$A896,Premissas!$B$5:$B$44,$B896)+S896*SUMIFS(Premissas!$F$5:$F$44,Premissas!$A$5:$A$44,$A896,Premissas!$B$5:$B$44,$B896)</f>
        <v/>
      </c>
      <c r="L896" s="29">
        <f>J896-K896</f>
        <v/>
      </c>
      <c r="M896" t="inlineStr">
        <is>
          <t>2.350</t>
        </is>
      </c>
      <c r="N896" t="inlineStr">
        <is>
          <t>Modalidade: 2 - Por conta de terceiros | Parte: CMPC Iguacu Embalagens Ltda (11.308.600/0008-04)</t>
        </is>
      </c>
      <c r="O896" s="29" t="n">
        <v>0</v>
      </c>
      <c r="P896" s="29" t="n">
        <v>1648.14</v>
      </c>
      <c r="Q896" s="29" t="n">
        <v>0</v>
      </c>
      <c r="R896" s="29" t="n">
        <v>0</v>
      </c>
      <c r="S896" s="29" t="n">
        <v>0</v>
      </c>
      <c r="T896" t="inlineStr">
        <is>
          <t>42260602427026000901570040001995151019951591</t>
        </is>
      </c>
      <c r="U896" t="inlineStr">
        <is>
          <t>Sim</t>
        </is>
      </c>
    </row>
    <row r="897">
      <c r="A897" t="inlineStr">
        <is>
          <t>Frete de compra</t>
        </is>
      </c>
      <c r="B897" t="inlineStr">
        <is>
          <t>2.04.87 Frete sobre Compra</t>
        </is>
      </c>
      <c r="C897" s="30" t="n">
        <v>46174</v>
      </c>
      <c r="D897" t="inlineStr">
        <is>
          <t>Em 2026</t>
        </is>
      </c>
      <c r="E897" s="28" t="n">
        <v>46199</v>
      </c>
      <c r="F897" t="inlineStr">
        <is>
          <t>CT-e</t>
        </is>
      </c>
      <c r="G897" t="inlineStr">
        <is>
          <t>000199608</t>
        </is>
      </c>
      <c r="H897" t="inlineStr">
        <is>
          <t>ALIANCA NAVEGACAO E LOGISTICA LTDA</t>
        </is>
      </c>
      <c r="J897" s="29" t="n">
        <v>23546.12</v>
      </c>
      <c r="K897" s="29">
        <f>(1-ISNUMBER(SEARCH("556",M897)))*(O897*SUMIFS(Premissas!$C$5:$C$44,Premissas!$A$5:$A$44,$A897,Premissas!$B$5:$B$44,$B897)+P897*SUMIFS(Premissas!$D$5:$D$44,Premissas!$A$5:$A$44,$A897,Premissas!$B$5:$B$44,$B897))+R897*SUMIFS(Premissas!$E$5:$E$44,Premissas!$A$5:$A$44,$A897,Premissas!$B$5:$B$44,$B897)+S897*SUMIFS(Premissas!$F$5:$F$44,Premissas!$A$5:$A$44,$A897,Premissas!$B$5:$B$44,$B897)</f>
        <v/>
      </c>
      <c r="L897" s="29">
        <f>J897-K897</f>
        <v/>
      </c>
      <c r="M897" t="inlineStr">
        <is>
          <t>2.350</t>
        </is>
      </c>
      <c r="N897" t="inlineStr">
        <is>
          <t>Modalidade: 2 - Por conta de terceiros | Parte: CMPC Iguacu Embalagens Ltda (11.308.600/0008-04)</t>
        </is>
      </c>
      <c r="O897" s="29" t="n">
        <v>0</v>
      </c>
      <c r="P897" s="29" t="n">
        <v>1648.23</v>
      </c>
      <c r="Q897" s="29" t="n">
        <v>0</v>
      </c>
      <c r="R897" s="29" t="n">
        <v>0</v>
      </c>
      <c r="S897" s="29" t="n">
        <v>0</v>
      </c>
      <c r="T897" t="inlineStr">
        <is>
          <t>42260602427026000901570040001996081019960893</t>
        </is>
      </c>
      <c r="U897" t="inlineStr">
        <is>
          <t>Sim</t>
        </is>
      </c>
    </row>
    <row r="898">
      <c r="A898" t="inlineStr">
        <is>
          <t>Frete de compra</t>
        </is>
      </c>
      <c r="B898" t="inlineStr">
        <is>
          <t>2.04.87 Frete sobre Compra</t>
        </is>
      </c>
      <c r="C898" s="30" t="n">
        <v>46174</v>
      </c>
      <c r="D898" t="inlineStr">
        <is>
          <t>Em 2026</t>
        </is>
      </c>
      <c r="E898" s="28" t="n">
        <v>46202</v>
      </c>
      <c r="F898" t="inlineStr">
        <is>
          <t>CT-e</t>
        </is>
      </c>
      <c r="G898" t="inlineStr">
        <is>
          <t>000199748</t>
        </is>
      </c>
      <c r="H898" t="inlineStr">
        <is>
          <t>ALIANCA NAVEGACAO E LOGISTICA LTDA</t>
        </is>
      </c>
      <c r="J898" s="29" t="n">
        <v>23539.31</v>
      </c>
      <c r="K898" s="29">
        <f>(1-ISNUMBER(SEARCH("556",M898)))*(O898*SUMIFS(Premissas!$C$5:$C$44,Premissas!$A$5:$A$44,$A898,Premissas!$B$5:$B$44,$B898)+P898*SUMIFS(Premissas!$D$5:$D$44,Premissas!$A$5:$A$44,$A898,Premissas!$B$5:$B$44,$B898))+R898*SUMIFS(Premissas!$E$5:$E$44,Premissas!$A$5:$A$44,$A898,Premissas!$B$5:$B$44,$B898)+S898*SUMIFS(Premissas!$F$5:$F$44,Premissas!$A$5:$A$44,$A898,Premissas!$B$5:$B$44,$B898)</f>
        <v/>
      </c>
      <c r="L898" s="29">
        <f>J898-K898</f>
        <v/>
      </c>
      <c r="M898" t="inlineStr">
        <is>
          <t>2.350</t>
        </is>
      </c>
      <c r="N898" t="inlineStr">
        <is>
          <t>Modalidade: 2 - Por conta de terceiros | Parte: CMPC Iguacu Embalagens Ltda (11.308.600/0008-04)</t>
        </is>
      </c>
      <c r="O898" s="29" t="n">
        <v>0</v>
      </c>
      <c r="P898" s="29" t="n">
        <v>1647.75</v>
      </c>
      <c r="Q898" s="29" t="n">
        <v>0</v>
      </c>
      <c r="R898" s="29" t="n">
        <v>0</v>
      </c>
      <c r="S898" s="29" t="n">
        <v>0</v>
      </c>
      <c r="T898" t="inlineStr">
        <is>
          <t>42260602427026000901570040001997481019974895</t>
        </is>
      </c>
      <c r="U898" t="inlineStr">
        <is>
          <t>Sim</t>
        </is>
      </c>
    </row>
    <row r="899">
      <c r="A899" t="inlineStr">
        <is>
          <t>Frete de compra</t>
        </is>
      </c>
      <c r="B899" t="inlineStr">
        <is>
          <t>2.04.87 Frete sobre Compra</t>
        </is>
      </c>
      <c r="C899" s="30" t="n">
        <v>46174</v>
      </c>
      <c r="D899" t="inlineStr">
        <is>
          <t>Em 2026</t>
        </is>
      </c>
      <c r="E899" s="28" t="n">
        <v>46203</v>
      </c>
      <c r="F899" t="inlineStr">
        <is>
          <t>CT-e</t>
        </is>
      </c>
      <c r="G899" t="inlineStr">
        <is>
          <t>000199749</t>
        </is>
      </c>
      <c r="H899" t="inlineStr">
        <is>
          <t>ALIANCA NAVEGACAO E LOGISTICA LTDA</t>
        </is>
      </c>
      <c r="J899" s="29" t="n">
        <v>23544.08</v>
      </c>
      <c r="K899" s="29">
        <f>(1-ISNUMBER(SEARCH("556",M899)))*(O899*SUMIFS(Premissas!$C$5:$C$44,Premissas!$A$5:$A$44,$A899,Premissas!$B$5:$B$44,$B899)+P899*SUMIFS(Premissas!$D$5:$D$44,Premissas!$A$5:$A$44,$A899,Premissas!$B$5:$B$44,$B899))+R899*SUMIFS(Premissas!$E$5:$E$44,Premissas!$A$5:$A$44,$A899,Premissas!$B$5:$B$44,$B899)+S899*SUMIFS(Premissas!$F$5:$F$44,Premissas!$A$5:$A$44,$A899,Premissas!$B$5:$B$44,$B899)</f>
        <v/>
      </c>
      <c r="L899" s="29">
        <f>J899-K899</f>
        <v/>
      </c>
      <c r="M899" t="inlineStr">
        <is>
          <t>2.350</t>
        </is>
      </c>
      <c r="N899" t="inlineStr">
        <is>
          <t>Modalidade: 1 - Por conta do destinatário | Parte: CMPC Iguacu Embalagens Ltda (11.308.600/0008-04)</t>
        </is>
      </c>
      <c r="O899" s="29" t="n">
        <v>0</v>
      </c>
      <c r="P899" s="29" t="n">
        <v>1648.09</v>
      </c>
      <c r="Q899" s="29" t="n">
        <v>0</v>
      </c>
      <c r="R899" s="29" t="n">
        <v>0</v>
      </c>
      <c r="S899" s="29" t="n">
        <v>0</v>
      </c>
      <c r="T899" t="inlineStr">
        <is>
          <t>42260602427026000901570040001997491019974990</t>
        </is>
      </c>
      <c r="U899" t="inlineStr">
        <is>
          <t>Sim</t>
        </is>
      </c>
    </row>
    <row r="900">
      <c r="A900" t="inlineStr">
        <is>
          <t>Frete de compra</t>
        </is>
      </c>
      <c r="B900" t="inlineStr">
        <is>
          <t>2.04.87 Frete sobre Compra</t>
        </is>
      </c>
      <c r="C900" s="30" t="n">
        <v>46174</v>
      </c>
      <c r="D900" t="inlineStr">
        <is>
          <t>Em 2026</t>
        </is>
      </c>
      <c r="E900" s="28" t="n">
        <v>46203</v>
      </c>
      <c r="F900" t="inlineStr">
        <is>
          <t>CT-e</t>
        </is>
      </c>
      <c r="G900" t="inlineStr">
        <is>
          <t>000199755</t>
        </is>
      </c>
      <c r="H900" t="inlineStr">
        <is>
          <t>ALIANCA NAVEGACAO E LOGISTICA LTDA</t>
        </is>
      </c>
      <c r="J900" s="29" t="n">
        <v>23547.25</v>
      </c>
      <c r="K900" s="29">
        <f>(1-ISNUMBER(SEARCH("556",M900)))*(O900*SUMIFS(Premissas!$C$5:$C$44,Premissas!$A$5:$A$44,$A900,Premissas!$B$5:$B$44,$B900)+P900*SUMIFS(Premissas!$D$5:$D$44,Premissas!$A$5:$A$44,$A900,Premissas!$B$5:$B$44,$B900))+R900*SUMIFS(Premissas!$E$5:$E$44,Premissas!$A$5:$A$44,$A900,Premissas!$B$5:$B$44,$B900)+S900*SUMIFS(Premissas!$F$5:$F$44,Premissas!$A$5:$A$44,$A900,Premissas!$B$5:$B$44,$B900)</f>
        <v/>
      </c>
      <c r="L900" s="29">
        <f>J900-K900</f>
        <v/>
      </c>
      <c r="M900" t="inlineStr">
        <is>
          <t>2.350</t>
        </is>
      </c>
      <c r="N900" t="inlineStr">
        <is>
          <t>Modalidade: 2 - Por conta de terceiros | Parte: CMPC Iguacu Embalagens Ltda (11.308.600/0008-04)</t>
        </is>
      </c>
      <c r="O900" s="29" t="n">
        <v>0</v>
      </c>
      <c r="P900" s="29" t="n">
        <v>1648.31</v>
      </c>
      <c r="Q900" s="29" t="n">
        <v>0</v>
      </c>
      <c r="R900" s="29" t="n">
        <v>0</v>
      </c>
      <c r="S900" s="29" t="n">
        <v>0</v>
      </c>
      <c r="T900" t="inlineStr">
        <is>
          <t>42260602427026000901570040001997551019975594</t>
        </is>
      </c>
      <c r="U900" t="inlineStr">
        <is>
          <t>Sim</t>
        </is>
      </c>
    </row>
    <row r="901">
      <c r="A901" t="inlineStr">
        <is>
          <t>Frete de compra</t>
        </is>
      </c>
      <c r="B901" t="inlineStr">
        <is>
          <t>2.04.87 Frete sobre Compra</t>
        </is>
      </c>
      <c r="C901" s="30" t="n">
        <v>46174</v>
      </c>
      <c r="D901" t="inlineStr">
        <is>
          <t>Em 2026</t>
        </is>
      </c>
      <c r="E901" s="28" t="n">
        <v>46203</v>
      </c>
      <c r="F901" t="inlineStr">
        <is>
          <t>CT-e</t>
        </is>
      </c>
      <c r="G901" t="inlineStr">
        <is>
          <t>000199794</t>
        </is>
      </c>
      <c r="H901" t="inlineStr">
        <is>
          <t>ALIANCA NAVEGACAO E LOGISTICA LTDA</t>
        </is>
      </c>
      <c r="J901" s="29" t="n">
        <v>23551.46</v>
      </c>
      <c r="K901" s="29">
        <f>(1-ISNUMBER(SEARCH("556",M901)))*(O901*SUMIFS(Premissas!$C$5:$C$44,Premissas!$A$5:$A$44,$A901,Premissas!$B$5:$B$44,$B901)+P901*SUMIFS(Premissas!$D$5:$D$44,Premissas!$A$5:$A$44,$A901,Premissas!$B$5:$B$44,$B901))+R901*SUMIFS(Premissas!$E$5:$E$44,Premissas!$A$5:$A$44,$A901,Premissas!$B$5:$B$44,$B901)+S901*SUMIFS(Premissas!$F$5:$F$44,Premissas!$A$5:$A$44,$A901,Premissas!$B$5:$B$44,$B901)</f>
        <v/>
      </c>
      <c r="L901" s="29">
        <f>J901-K901</f>
        <v/>
      </c>
      <c r="M901" t="inlineStr">
        <is>
          <t>2.350</t>
        </is>
      </c>
      <c r="N901" t="inlineStr">
        <is>
          <t>Modalidade: 2 - Por conta de terceiros | Parte: CMPC Iguacu Embalagens Ltda (11.308.600/0008-04)</t>
        </is>
      </c>
      <c r="O901" s="29" t="n">
        <v>0</v>
      </c>
      <c r="P901" s="29" t="n">
        <v>1648.6</v>
      </c>
      <c r="Q901" s="29" t="n">
        <v>0</v>
      </c>
      <c r="R901" s="29" t="n">
        <v>0</v>
      </c>
      <c r="S901" s="29" t="n">
        <v>0</v>
      </c>
      <c r="T901" t="inlineStr">
        <is>
          <t>42260602427026000901570040001997941019979490</t>
        </is>
      </c>
      <c r="U901" t="inlineStr">
        <is>
          <t>Sim</t>
        </is>
      </c>
    </row>
    <row r="902">
      <c r="A902" t="inlineStr">
        <is>
          <t>Frete de compra</t>
        </is>
      </c>
      <c r="B902" t="inlineStr">
        <is>
          <t>2.04.87 Frete sobre Compra</t>
        </is>
      </c>
      <c r="C902" s="30" t="n">
        <v>46174</v>
      </c>
      <c r="D902" t="inlineStr">
        <is>
          <t>Em 2026</t>
        </is>
      </c>
      <c r="E902" s="28" t="n">
        <v>46203</v>
      </c>
      <c r="F902" t="inlineStr">
        <is>
          <t>CT-e</t>
        </is>
      </c>
      <c r="G902" t="inlineStr">
        <is>
          <t>000199796</t>
        </is>
      </c>
      <c r="H902" t="inlineStr">
        <is>
          <t>ALIANCA NAVEGACAO E LOGISTICA LTDA</t>
        </is>
      </c>
      <c r="J902" s="29" t="n">
        <v>23543.33</v>
      </c>
      <c r="K902" s="29">
        <f>(1-ISNUMBER(SEARCH("556",M902)))*(O902*SUMIFS(Premissas!$C$5:$C$44,Premissas!$A$5:$A$44,$A902,Premissas!$B$5:$B$44,$B902)+P902*SUMIFS(Premissas!$D$5:$D$44,Premissas!$A$5:$A$44,$A902,Premissas!$B$5:$B$44,$B902))+R902*SUMIFS(Premissas!$E$5:$E$44,Premissas!$A$5:$A$44,$A902,Premissas!$B$5:$B$44,$B902)+S902*SUMIFS(Premissas!$F$5:$F$44,Premissas!$A$5:$A$44,$A902,Premissas!$B$5:$B$44,$B902)</f>
        <v/>
      </c>
      <c r="L902" s="29">
        <f>J902-K902</f>
        <v/>
      </c>
      <c r="M902" t="inlineStr">
        <is>
          <t>2.350</t>
        </is>
      </c>
      <c r="N902" t="inlineStr">
        <is>
          <t>Modalidade: 2 - Por conta de terceiros | Parte: CMPC Iguacu Embalagens Ltda (11.308.600/0008-04)</t>
        </is>
      </c>
      <c r="O902" s="29" t="n">
        <v>0</v>
      </c>
      <c r="P902" s="29" t="n">
        <v>1648.03</v>
      </c>
      <c r="Q902" s="29" t="n">
        <v>0</v>
      </c>
      <c r="R902" s="29" t="n">
        <v>0</v>
      </c>
      <c r="S902" s="29" t="n">
        <v>0</v>
      </c>
      <c r="T902" t="inlineStr">
        <is>
          <t>42260602427026000901570040001997961019979690</t>
        </is>
      </c>
      <c r="U902" t="inlineStr">
        <is>
          <t>Sim</t>
        </is>
      </c>
    </row>
    <row r="903">
      <c r="A903" t="inlineStr">
        <is>
          <t>Frete de compra</t>
        </is>
      </c>
      <c r="B903" t="inlineStr">
        <is>
          <t>2.04.87 Frete sobre Compra</t>
        </is>
      </c>
      <c r="C903" s="30" t="n">
        <v>46204</v>
      </c>
      <c r="D903" t="inlineStr">
        <is>
          <t>Em 2026</t>
        </is>
      </c>
      <c r="E903" s="28" t="n">
        <v>46216</v>
      </c>
      <c r="F903" t="inlineStr">
        <is>
          <t>CT-e</t>
        </is>
      </c>
      <c r="G903" t="inlineStr">
        <is>
          <t>000046066</t>
        </is>
      </c>
      <c r="H903" t="inlineStr">
        <is>
          <t>ALIANCA NAVEGACAO E LOGISTICA LTDA</t>
        </is>
      </c>
      <c r="J903" s="29" t="n">
        <v>15559.3</v>
      </c>
      <c r="K903" s="29">
        <f>(1-ISNUMBER(SEARCH("556",M903)))*(O903*SUMIFS(Premissas!$C$5:$C$44,Premissas!$A$5:$A$44,$A903,Premissas!$B$5:$B$44,$B903)+P903*SUMIFS(Premissas!$D$5:$D$44,Premissas!$A$5:$A$44,$A903,Premissas!$B$5:$B$44,$B903))+R903*SUMIFS(Premissas!$E$5:$E$44,Premissas!$A$5:$A$44,$A903,Premissas!$B$5:$B$44,$B903)+S903*SUMIFS(Premissas!$F$5:$F$44,Premissas!$A$5:$A$44,$A903,Premissas!$B$5:$B$44,$B903)</f>
        <v/>
      </c>
      <c r="L903" s="29">
        <f>J903-K903</f>
        <v/>
      </c>
      <c r="M903" t="inlineStr">
        <is>
          <t>3.250</t>
        </is>
      </c>
      <c r="N903" t="inlineStr">
        <is>
          <t>Modalidade: 2 - Por conta de terceiros | Parte: COCELPA CIA DE CEL. E PAPEL DO PARANA SA (76.487.651/0001-10)</t>
        </is>
      </c>
      <c r="O903" s="29" t="n">
        <v>0</v>
      </c>
      <c r="P903" s="29" t="n">
        <v>1089.15</v>
      </c>
      <c r="Q903" s="29" t="n">
        <v>0</v>
      </c>
      <c r="R903" s="29" t="n">
        <v>0</v>
      </c>
      <c r="S903" s="29" t="n">
        <v>0</v>
      </c>
      <c r="T903" t="inlineStr">
        <is>
          <t>41260702427026002432570040000460661004606695</t>
        </is>
      </c>
      <c r="U903" t="inlineStr">
        <is>
          <t>Sim</t>
        </is>
      </c>
    </row>
    <row r="904">
      <c r="A904" t="inlineStr">
        <is>
          <t>Frete de compra</t>
        </is>
      </c>
      <c r="B904" t="inlineStr">
        <is>
          <t>2.04.87 Frete sobre Compra</t>
        </is>
      </c>
      <c r="C904" s="30" t="n">
        <v>46204</v>
      </c>
      <c r="D904" t="inlineStr">
        <is>
          <t>Em 2026</t>
        </is>
      </c>
      <c r="E904" s="28" t="n">
        <v>46216</v>
      </c>
      <c r="F904" t="inlineStr">
        <is>
          <t>CT-e</t>
        </is>
      </c>
      <c r="G904" t="inlineStr">
        <is>
          <t>000046070</t>
        </is>
      </c>
      <c r="H904" t="inlineStr">
        <is>
          <t>ALIANCA NAVEGACAO E LOGISTICA LTDA</t>
        </is>
      </c>
      <c r="J904" s="29" t="n">
        <v>15565.61</v>
      </c>
      <c r="K904" s="29">
        <f>(1-ISNUMBER(SEARCH("556",M904)))*(O904*SUMIFS(Premissas!$C$5:$C$44,Premissas!$A$5:$A$44,$A904,Premissas!$B$5:$B$44,$B904)+P904*SUMIFS(Premissas!$D$5:$D$44,Premissas!$A$5:$A$44,$A904,Premissas!$B$5:$B$44,$B904))+R904*SUMIFS(Premissas!$E$5:$E$44,Premissas!$A$5:$A$44,$A904,Premissas!$B$5:$B$44,$B904)+S904*SUMIFS(Premissas!$F$5:$F$44,Premissas!$A$5:$A$44,$A904,Premissas!$B$5:$B$44,$B904)</f>
        <v/>
      </c>
      <c r="L904" s="29">
        <f>J904-K904</f>
        <v/>
      </c>
      <c r="M904" t="inlineStr">
        <is>
          <t>3.250</t>
        </is>
      </c>
      <c r="N904" t="inlineStr">
        <is>
          <t>Modalidade: 2 - Por conta de terceiros | Parte: COCELPA CIA DE CEL. E PAPEL DO PARANA SA (76.487.651/0001-10)</t>
        </is>
      </c>
      <c r="O904" s="29" t="n">
        <v>0</v>
      </c>
      <c r="P904" s="29" t="n">
        <v>1089.59</v>
      </c>
      <c r="Q904" s="29" t="n">
        <v>0</v>
      </c>
      <c r="R904" s="29" t="n">
        <v>0</v>
      </c>
      <c r="S904" s="29" t="n">
        <v>0</v>
      </c>
      <c r="T904" t="inlineStr">
        <is>
          <t>41260702427026002432570040000460701004607090</t>
        </is>
      </c>
      <c r="U904" t="inlineStr">
        <is>
          <t>Sim</t>
        </is>
      </c>
    </row>
    <row r="905">
      <c r="A905" t="inlineStr">
        <is>
          <t>Frete de compra</t>
        </is>
      </c>
      <c r="B905" t="inlineStr">
        <is>
          <t>2.04.87 Frete sobre Compra</t>
        </is>
      </c>
      <c r="C905" s="30" t="n">
        <v>46204</v>
      </c>
      <c r="D905" t="inlineStr">
        <is>
          <t>Em 2026</t>
        </is>
      </c>
      <c r="E905" s="28" t="n">
        <v>46216</v>
      </c>
      <c r="F905" t="inlineStr">
        <is>
          <t>CT-e</t>
        </is>
      </c>
      <c r="G905" t="inlineStr">
        <is>
          <t>000046071</t>
        </is>
      </c>
      <c r="H905" t="inlineStr">
        <is>
          <t>ALIANCA NAVEGACAO E LOGISTICA LTDA</t>
        </is>
      </c>
      <c r="J905" s="29" t="n">
        <v>15562.09</v>
      </c>
      <c r="K905" s="29">
        <f>(1-ISNUMBER(SEARCH("556",M905)))*(O905*SUMIFS(Premissas!$C$5:$C$44,Premissas!$A$5:$A$44,$A905,Premissas!$B$5:$B$44,$B905)+P905*SUMIFS(Premissas!$D$5:$D$44,Premissas!$A$5:$A$44,$A905,Premissas!$B$5:$B$44,$B905))+R905*SUMIFS(Premissas!$E$5:$E$44,Premissas!$A$5:$A$44,$A905,Premissas!$B$5:$B$44,$B905)+S905*SUMIFS(Premissas!$F$5:$F$44,Premissas!$A$5:$A$44,$A905,Premissas!$B$5:$B$44,$B905)</f>
        <v/>
      </c>
      <c r="L905" s="29">
        <f>J905-K905</f>
        <v/>
      </c>
      <c r="M905" t="inlineStr">
        <is>
          <t>3.250</t>
        </is>
      </c>
      <c r="N905" t="inlineStr">
        <is>
          <t>Modalidade: 2 - Por conta de terceiros | Parte: COCELPA CIA DE CEL. E PAPEL DO PARANA SA (76.487.651/0001-10)</t>
        </is>
      </c>
      <c r="O905" s="29" t="n">
        <v>0</v>
      </c>
      <c r="P905" s="29" t="n">
        <v>1089.35</v>
      </c>
      <c r="Q905" s="29" t="n">
        <v>0</v>
      </c>
      <c r="R905" s="29" t="n">
        <v>0</v>
      </c>
      <c r="S905" s="29" t="n">
        <v>0</v>
      </c>
      <c r="T905" t="inlineStr">
        <is>
          <t>41260702427026002432570040000460711004607195</t>
        </is>
      </c>
      <c r="U905" t="inlineStr">
        <is>
          <t>Sim</t>
        </is>
      </c>
    </row>
    <row r="906">
      <c r="A906" t="inlineStr">
        <is>
          <t>Frete de compra</t>
        </is>
      </c>
      <c r="B906" t="inlineStr">
        <is>
          <t>2.04.87 Frete sobre Compra</t>
        </is>
      </c>
      <c r="C906" s="30" t="n">
        <v>46204</v>
      </c>
      <c r="D906" t="inlineStr">
        <is>
          <t>Em 2026</t>
        </is>
      </c>
      <c r="E906" s="28" t="n">
        <v>46216</v>
      </c>
      <c r="F906" t="inlineStr">
        <is>
          <t>CT-e</t>
        </is>
      </c>
      <c r="G906" t="inlineStr">
        <is>
          <t>000046081</t>
        </is>
      </c>
      <c r="H906" t="inlineStr">
        <is>
          <t>ALIANCA NAVEGACAO E LOGISTICA LTDA</t>
        </is>
      </c>
      <c r="J906" s="29" t="n">
        <v>7972.48</v>
      </c>
      <c r="K906" s="29">
        <f>(1-ISNUMBER(SEARCH("556",M906)))*(O906*SUMIFS(Premissas!$C$5:$C$44,Premissas!$A$5:$A$44,$A906,Premissas!$B$5:$B$44,$B906)+P906*SUMIFS(Premissas!$D$5:$D$44,Premissas!$A$5:$A$44,$A906,Premissas!$B$5:$B$44,$B906))+R906*SUMIFS(Premissas!$E$5:$E$44,Premissas!$A$5:$A$44,$A906,Premissas!$B$5:$B$44,$B906)+S906*SUMIFS(Premissas!$F$5:$F$44,Premissas!$A$5:$A$44,$A906,Premissas!$B$5:$B$44,$B906)</f>
        <v/>
      </c>
      <c r="L906" s="29">
        <f>J906-K906</f>
        <v/>
      </c>
      <c r="M906" t="inlineStr">
        <is>
          <t>3.250</t>
        </is>
      </c>
      <c r="N906" t="inlineStr">
        <is>
          <t>Modalidade: 1 - Por conta do destinatário | Parte: COCELPA CIA DE CEL. E PAPEL DO PARANA SA (76.487.651/0001-10)</t>
        </is>
      </c>
      <c r="O906" s="29" t="n">
        <v>0</v>
      </c>
      <c r="P906" s="29" t="n">
        <v>558.0700000000001</v>
      </c>
      <c r="Q906" s="29" t="n">
        <v>0</v>
      </c>
      <c r="R906" s="29" t="n">
        <v>0</v>
      </c>
      <c r="S906" s="29" t="n">
        <v>0</v>
      </c>
      <c r="T906" t="inlineStr">
        <is>
          <t>41260702427026002432570040000460811004608198</t>
        </is>
      </c>
      <c r="U906" t="inlineStr">
        <is>
          <t>Sim</t>
        </is>
      </c>
    </row>
    <row r="907">
      <c r="A907" t="inlineStr">
        <is>
          <t>Frete de compra</t>
        </is>
      </c>
      <c r="B907" t="inlineStr">
        <is>
          <t>2.04.87 Frete sobre Compra</t>
        </is>
      </c>
      <c r="C907" s="30" t="n">
        <v>46204</v>
      </c>
      <c r="D907" t="inlineStr">
        <is>
          <t>Em 2026</t>
        </is>
      </c>
      <c r="E907" s="28" t="n">
        <v>46216</v>
      </c>
      <c r="F907" t="inlineStr">
        <is>
          <t>CT-e</t>
        </is>
      </c>
      <c r="G907" t="inlineStr">
        <is>
          <t>000046082</t>
        </is>
      </c>
      <c r="H907" t="inlineStr">
        <is>
          <t>ALIANCA NAVEGACAO E LOGISTICA LTDA</t>
        </is>
      </c>
      <c r="J907" s="29" t="n">
        <v>7960.68</v>
      </c>
      <c r="K907" s="29">
        <f>(1-ISNUMBER(SEARCH("556",M907)))*(O907*SUMIFS(Premissas!$C$5:$C$44,Premissas!$A$5:$A$44,$A907,Premissas!$B$5:$B$44,$B907)+P907*SUMIFS(Premissas!$D$5:$D$44,Premissas!$A$5:$A$44,$A907,Premissas!$B$5:$B$44,$B907))+R907*SUMIFS(Premissas!$E$5:$E$44,Premissas!$A$5:$A$44,$A907,Premissas!$B$5:$B$44,$B907)+S907*SUMIFS(Premissas!$F$5:$F$44,Premissas!$A$5:$A$44,$A907,Premissas!$B$5:$B$44,$B907)</f>
        <v/>
      </c>
      <c r="L907" s="29">
        <f>J907-K907</f>
        <v/>
      </c>
      <c r="M907" t="inlineStr">
        <is>
          <t>3.250</t>
        </is>
      </c>
      <c r="N907" t="inlineStr">
        <is>
          <t>Modalidade: 2 - Por conta de terceiros | Parte: COCELPA CIA DE CEL. E PAPEL DO PARANA SA (76.487.651/0001-10)</t>
        </is>
      </c>
      <c r="O907" s="29" t="n">
        <v>0</v>
      </c>
      <c r="P907" s="29" t="n">
        <v>557.25</v>
      </c>
      <c r="Q907" s="29" t="n">
        <v>0</v>
      </c>
      <c r="R907" s="29" t="n">
        <v>0</v>
      </c>
      <c r="S907" s="29" t="n">
        <v>0</v>
      </c>
      <c r="T907" t="inlineStr">
        <is>
          <t>41260702427026002432570040000460821004608292</t>
        </is>
      </c>
      <c r="U907" t="inlineStr">
        <is>
          <t>Sim</t>
        </is>
      </c>
    </row>
    <row r="908">
      <c r="A908" t="inlineStr">
        <is>
          <t>Frete de compra</t>
        </is>
      </c>
      <c r="B908" t="inlineStr">
        <is>
          <t>2.04.87 Frete sobre Compra</t>
        </is>
      </c>
      <c r="C908" s="30" t="n">
        <v>46204</v>
      </c>
      <c r="D908" t="inlineStr">
        <is>
          <t>Em 2026</t>
        </is>
      </c>
      <c r="E908" s="28" t="n">
        <v>46216</v>
      </c>
      <c r="F908" t="inlineStr">
        <is>
          <t>CT-e</t>
        </is>
      </c>
      <c r="G908" t="inlineStr">
        <is>
          <t>000046087</t>
        </is>
      </c>
      <c r="H908" t="inlineStr">
        <is>
          <t>ALIANCA NAVEGACAO E LOGISTICA LTDA</t>
        </is>
      </c>
      <c r="J908" s="29" t="n">
        <v>7968.27</v>
      </c>
      <c r="K908" s="29">
        <f>(1-ISNUMBER(SEARCH("556",M908)))*(O908*SUMIFS(Premissas!$C$5:$C$44,Premissas!$A$5:$A$44,$A908,Premissas!$B$5:$B$44,$B908)+P908*SUMIFS(Premissas!$D$5:$D$44,Premissas!$A$5:$A$44,$A908,Premissas!$B$5:$B$44,$B908))+R908*SUMIFS(Premissas!$E$5:$E$44,Premissas!$A$5:$A$44,$A908,Premissas!$B$5:$B$44,$B908)+S908*SUMIFS(Premissas!$F$5:$F$44,Premissas!$A$5:$A$44,$A908,Premissas!$B$5:$B$44,$B908)</f>
        <v/>
      </c>
      <c r="L908" s="29">
        <f>J908-K908</f>
        <v/>
      </c>
      <c r="M908" t="inlineStr">
        <is>
          <t>3.250</t>
        </is>
      </c>
      <c r="N908" t="inlineStr">
        <is>
          <t>Modalidade: 1 - Por conta do destinatário | Parte: COCELPA CIA DE CEL. E PAPEL DO PARANA SA (76.487.651/0001-10)</t>
        </is>
      </c>
      <c r="O908" s="29" t="n">
        <v>0</v>
      </c>
      <c r="P908" s="29" t="n">
        <v>557.78</v>
      </c>
      <c r="Q908" s="29" t="n">
        <v>0</v>
      </c>
      <c r="R908" s="29" t="n">
        <v>0</v>
      </c>
      <c r="S908" s="29" t="n">
        <v>0</v>
      </c>
      <c r="T908" t="inlineStr">
        <is>
          <t>41260702427026002432570040000460871004608795</t>
        </is>
      </c>
      <c r="U908" t="inlineStr">
        <is>
          <t>Sim</t>
        </is>
      </c>
    </row>
    <row r="909">
      <c r="A909" t="inlineStr">
        <is>
          <t>Frete de compra</t>
        </is>
      </c>
      <c r="B909" t="inlineStr">
        <is>
          <t>2.04.87 Frete sobre Compra</t>
        </is>
      </c>
      <c r="C909" s="30" t="n">
        <v>46204</v>
      </c>
      <c r="D909" t="inlineStr">
        <is>
          <t>Em 2026</t>
        </is>
      </c>
      <c r="E909" s="28" t="n">
        <v>46216</v>
      </c>
      <c r="F909" t="inlineStr">
        <is>
          <t>CT-e</t>
        </is>
      </c>
      <c r="G909" t="inlineStr">
        <is>
          <t>000046088</t>
        </is>
      </c>
      <c r="H909" t="inlineStr">
        <is>
          <t>ALIANCA NAVEGACAO E LOGISTICA LTDA</t>
        </is>
      </c>
      <c r="J909" s="29" t="n">
        <v>7956.59</v>
      </c>
      <c r="K909" s="29">
        <f>(1-ISNUMBER(SEARCH("556",M909)))*(O909*SUMIFS(Premissas!$C$5:$C$44,Premissas!$A$5:$A$44,$A909,Premissas!$B$5:$B$44,$B909)+P909*SUMIFS(Premissas!$D$5:$D$44,Premissas!$A$5:$A$44,$A909,Premissas!$B$5:$B$44,$B909))+R909*SUMIFS(Premissas!$E$5:$E$44,Premissas!$A$5:$A$44,$A909,Premissas!$B$5:$B$44,$B909)+S909*SUMIFS(Premissas!$F$5:$F$44,Premissas!$A$5:$A$44,$A909,Premissas!$B$5:$B$44,$B909)</f>
        <v/>
      </c>
      <c r="L909" s="29">
        <f>J909-K909</f>
        <v/>
      </c>
      <c r="M909" t="inlineStr">
        <is>
          <t>3.250</t>
        </is>
      </c>
      <c r="N909" t="inlineStr">
        <is>
          <t>Modalidade: 2 - Por conta de terceiros | Parte: COCELPA CIA DE CEL. E PAPEL DO PARANA SA (76.487.651/0001-10)</t>
        </is>
      </c>
      <c r="O909" s="29" t="n">
        <v>0</v>
      </c>
      <c r="P909" s="29" t="n">
        <v>556.96</v>
      </c>
      <c r="Q909" s="29" t="n">
        <v>0</v>
      </c>
      <c r="R909" s="29" t="n">
        <v>0</v>
      </c>
      <c r="S909" s="29" t="n">
        <v>0</v>
      </c>
      <c r="T909" t="inlineStr">
        <is>
          <t>41260702427026002432570040000460881004608890</t>
        </is>
      </c>
      <c r="U909" t="inlineStr">
        <is>
          <t>Sim</t>
        </is>
      </c>
    </row>
    <row r="910">
      <c r="A910" t="inlineStr">
        <is>
          <t>Frete de compra</t>
        </is>
      </c>
      <c r="B910" t="inlineStr">
        <is>
          <t>2.04.87 Frete sobre Compra</t>
        </is>
      </c>
      <c r="C910" s="30" t="n">
        <v>46204</v>
      </c>
      <c r="D910" t="inlineStr">
        <is>
          <t>Em 2026</t>
        </is>
      </c>
      <c r="E910" s="28" t="n">
        <v>46216</v>
      </c>
      <c r="F910" t="inlineStr">
        <is>
          <t>CT-e</t>
        </is>
      </c>
      <c r="G910" t="inlineStr">
        <is>
          <t>000046092</t>
        </is>
      </c>
      <c r="H910" t="inlineStr">
        <is>
          <t>ALIANCA NAVEGACAO E LOGISTICA LTDA</t>
        </is>
      </c>
      <c r="J910" s="29" t="n">
        <v>15541.67</v>
      </c>
      <c r="K910" s="29">
        <f>(1-ISNUMBER(SEARCH("556",M910)))*(O910*SUMIFS(Premissas!$C$5:$C$44,Premissas!$A$5:$A$44,$A910,Premissas!$B$5:$B$44,$B910)+P910*SUMIFS(Premissas!$D$5:$D$44,Premissas!$A$5:$A$44,$A910,Premissas!$B$5:$B$44,$B910))+R910*SUMIFS(Premissas!$E$5:$E$44,Premissas!$A$5:$A$44,$A910,Premissas!$B$5:$B$44,$B910)+S910*SUMIFS(Premissas!$F$5:$F$44,Premissas!$A$5:$A$44,$A910,Premissas!$B$5:$B$44,$B910)</f>
        <v/>
      </c>
      <c r="L910" s="29">
        <f>J910-K910</f>
        <v/>
      </c>
      <c r="M910" t="inlineStr">
        <is>
          <t>3.250</t>
        </is>
      </c>
      <c r="N910" t="inlineStr">
        <is>
          <t>Modalidade: 2 - Por conta de terceiros | Parte: COCELPA CIA DE CEL. E PAPEL DO PARANA SA (76.487.651/0001-10)</t>
        </is>
      </c>
      <c r="O910" s="29" t="n">
        <v>0</v>
      </c>
      <c r="P910" s="29" t="n">
        <v>1087.92</v>
      </c>
      <c r="Q910" s="29" t="n">
        <v>0</v>
      </c>
      <c r="R910" s="29" t="n">
        <v>0</v>
      </c>
      <c r="S910" s="29" t="n">
        <v>0</v>
      </c>
      <c r="T910" t="inlineStr">
        <is>
          <t>41260702427026002432570040000460921004609295</t>
        </is>
      </c>
      <c r="U910" t="inlineStr">
        <is>
          <t>Sim</t>
        </is>
      </c>
    </row>
    <row r="911">
      <c r="A911" t="inlineStr">
        <is>
          <t>Frete de compra</t>
        </is>
      </c>
      <c r="B911" t="inlineStr">
        <is>
          <t>2.04.87 Frete sobre Compra</t>
        </is>
      </c>
      <c r="C911" s="30" t="n">
        <v>46204</v>
      </c>
      <c r="D911" t="inlineStr">
        <is>
          <t>Em 2026</t>
        </is>
      </c>
      <c r="E911" s="28" t="n">
        <v>46234</v>
      </c>
      <c r="F911" t="inlineStr">
        <is>
          <t>CT-e</t>
        </is>
      </c>
      <c r="G911" t="inlineStr">
        <is>
          <t>000046507</t>
        </is>
      </c>
      <c r="H911" t="inlineStr">
        <is>
          <t>ALIANCA NAVEGACAO E LOGISTICA LTDA</t>
        </is>
      </c>
      <c r="J911" s="29" t="n">
        <v>774.1900000000001</v>
      </c>
      <c r="K911" s="29">
        <f>(1-ISNUMBER(SEARCH("556",M911)))*(O911*SUMIFS(Premissas!$C$5:$C$44,Premissas!$A$5:$A$44,$A911,Premissas!$B$5:$B$44,$B911)+P911*SUMIFS(Premissas!$D$5:$D$44,Premissas!$A$5:$A$44,$A911,Premissas!$B$5:$B$44,$B911))+R911*SUMIFS(Premissas!$E$5:$E$44,Premissas!$A$5:$A$44,$A911,Premissas!$B$5:$B$44,$B911)+S911*SUMIFS(Premissas!$F$5:$F$44,Premissas!$A$5:$A$44,$A911,Premissas!$B$5:$B$44,$B911)</f>
        <v/>
      </c>
      <c r="L911" s="29">
        <f>J911-K911</f>
        <v/>
      </c>
      <c r="M911" t="inlineStr">
        <is>
          <t>2.350</t>
        </is>
      </c>
      <c r="N911" t="inlineStr">
        <is>
          <t>Modalidade: 2 - Por conta de terceiros | Parte: COCELPA CIA DE CEL. E PAPEL DO PARANA SA (76.487.651/0001-10)</t>
        </is>
      </c>
      <c r="O911" s="29" t="n">
        <v>0</v>
      </c>
      <c r="P911" s="29" t="n">
        <v>54.19</v>
      </c>
      <c r="Q911" s="29" t="n">
        <v>0</v>
      </c>
      <c r="R911" s="29" t="n">
        <v>0</v>
      </c>
      <c r="S911" s="29" t="n">
        <v>0</v>
      </c>
      <c r="T911" t="inlineStr">
        <is>
          <t>41260702427026002432570040000465071004650798</t>
        </is>
      </c>
      <c r="U911" t="inlineStr">
        <is>
          <t>Sim</t>
        </is>
      </c>
    </row>
    <row r="912">
      <c r="A912" t="inlineStr">
        <is>
          <t>Frete de compra</t>
        </is>
      </c>
      <c r="B912" t="inlineStr">
        <is>
          <t>2.04.87 Frete sobre Compra</t>
        </is>
      </c>
      <c r="C912" s="30" t="n">
        <v>46204</v>
      </c>
      <c r="D912" t="inlineStr">
        <is>
          <t>Em 2026</t>
        </is>
      </c>
      <c r="E912" s="28" t="n">
        <v>46234</v>
      </c>
      <c r="F912" t="inlineStr">
        <is>
          <t>CT-e</t>
        </is>
      </c>
      <c r="G912" t="inlineStr">
        <is>
          <t>000046508</t>
        </is>
      </c>
      <c r="H912" t="inlineStr">
        <is>
          <t>ALIANCA NAVEGACAO E LOGISTICA LTDA</t>
        </is>
      </c>
      <c r="J912" s="29" t="n">
        <v>774.1900000000001</v>
      </c>
      <c r="K912" s="29">
        <f>(1-ISNUMBER(SEARCH("556",M912)))*(O912*SUMIFS(Premissas!$C$5:$C$44,Premissas!$A$5:$A$44,$A912,Premissas!$B$5:$B$44,$B912)+P912*SUMIFS(Premissas!$D$5:$D$44,Premissas!$A$5:$A$44,$A912,Premissas!$B$5:$B$44,$B912))+R912*SUMIFS(Premissas!$E$5:$E$44,Premissas!$A$5:$A$44,$A912,Premissas!$B$5:$B$44,$B912)+S912*SUMIFS(Premissas!$F$5:$F$44,Premissas!$A$5:$A$44,$A912,Premissas!$B$5:$B$44,$B912)</f>
        <v/>
      </c>
      <c r="L912" s="29">
        <f>J912-K912</f>
        <v/>
      </c>
      <c r="M912" t="inlineStr">
        <is>
          <t>2.350</t>
        </is>
      </c>
      <c r="N912" t="inlineStr">
        <is>
          <t>Modalidade: 2 - Por conta de terceiros | Parte: COCELPA CIA DE CEL. E PAPEL DO PARANA SA (76.487.651/0001-10)</t>
        </is>
      </c>
      <c r="O912" s="29" t="n">
        <v>0</v>
      </c>
      <c r="P912" s="29" t="n">
        <v>54.19</v>
      </c>
      <c r="Q912" s="29" t="n">
        <v>0</v>
      </c>
      <c r="R912" s="29" t="n">
        <v>0</v>
      </c>
      <c r="S912" s="29" t="n">
        <v>0</v>
      </c>
      <c r="T912" t="inlineStr">
        <is>
          <t>41260702427026002432570040000465081004650892</t>
        </is>
      </c>
      <c r="U912" t="inlineStr">
        <is>
          <t>Sim</t>
        </is>
      </c>
    </row>
    <row r="913">
      <c r="A913" t="inlineStr">
        <is>
          <t>Frete de compra</t>
        </is>
      </c>
      <c r="B913" t="inlineStr">
        <is>
          <t>2.04.87 Frete sobre Compra</t>
        </is>
      </c>
      <c r="C913" s="30" t="n">
        <v>46204</v>
      </c>
      <c r="D913" t="inlineStr">
        <is>
          <t>Em 2026</t>
        </is>
      </c>
      <c r="E913" s="28" t="n">
        <v>46204</v>
      </c>
      <c r="F913" t="inlineStr">
        <is>
          <t>CT-e</t>
        </is>
      </c>
      <c r="G913" t="inlineStr">
        <is>
          <t>000199841</t>
        </is>
      </c>
      <c r="H913" t="inlineStr">
        <is>
          <t>ALIANCA NAVEGACAO E LOGISTICA LTDA</t>
        </is>
      </c>
      <c r="J913" s="29" t="n">
        <v>23434.39</v>
      </c>
      <c r="K913" s="29">
        <f>(1-ISNUMBER(SEARCH("556",M913)))*(O913*SUMIFS(Premissas!$C$5:$C$44,Premissas!$A$5:$A$44,$A913,Premissas!$B$5:$B$44,$B913)+P913*SUMIFS(Premissas!$D$5:$D$44,Premissas!$A$5:$A$44,$A913,Premissas!$B$5:$B$44,$B913))+R913*SUMIFS(Premissas!$E$5:$E$44,Premissas!$A$5:$A$44,$A913,Premissas!$B$5:$B$44,$B913)+S913*SUMIFS(Premissas!$F$5:$F$44,Premissas!$A$5:$A$44,$A913,Premissas!$B$5:$B$44,$B913)</f>
        <v/>
      </c>
      <c r="L913" s="29">
        <f>J913-K913</f>
        <v/>
      </c>
      <c r="M913" t="inlineStr">
        <is>
          <t>2.350</t>
        </is>
      </c>
      <c r="N913" t="inlineStr">
        <is>
          <t>Modalidade: 2 - Por conta de terceiros | Parte: CMPC Iguacu Embalagens Ltda (11.308.600/0008-04)</t>
        </is>
      </c>
      <c r="O913" s="29" t="n">
        <v>0</v>
      </c>
      <c r="P913" s="29" t="n">
        <v>1640.41</v>
      </c>
      <c r="Q913" s="29" t="n">
        <v>0</v>
      </c>
      <c r="R913" s="29" t="n">
        <v>0</v>
      </c>
      <c r="S913" s="29" t="n">
        <v>0</v>
      </c>
      <c r="T913" t="inlineStr">
        <is>
          <t>42260702427026000901570040001998411019984198</t>
        </is>
      </c>
      <c r="U913" t="inlineStr">
        <is>
          <t>Sim</t>
        </is>
      </c>
    </row>
    <row r="914">
      <c r="A914" t="inlineStr">
        <is>
          <t>Frete de compra</t>
        </is>
      </c>
      <c r="B914" t="inlineStr">
        <is>
          <t>2.04.87 Frete sobre Compra</t>
        </is>
      </c>
      <c r="C914" s="30" t="n">
        <v>46204</v>
      </c>
      <c r="D914" t="inlineStr">
        <is>
          <t>Em 2026</t>
        </is>
      </c>
      <c r="E914" s="28" t="n">
        <v>46204</v>
      </c>
      <c r="F914" t="inlineStr">
        <is>
          <t>CT-e</t>
        </is>
      </c>
      <c r="G914" t="inlineStr">
        <is>
          <t>000199864</t>
        </is>
      </c>
      <c r="H914" t="inlineStr">
        <is>
          <t>ALIANCA NAVEGACAO E LOGISTICA LTDA</t>
        </is>
      </c>
      <c r="J914" s="29" t="n">
        <v>23552.48</v>
      </c>
      <c r="K914" s="29">
        <f>(1-ISNUMBER(SEARCH("556",M914)))*(O914*SUMIFS(Premissas!$C$5:$C$44,Premissas!$A$5:$A$44,$A914,Premissas!$B$5:$B$44,$B914)+P914*SUMIFS(Premissas!$D$5:$D$44,Premissas!$A$5:$A$44,$A914,Premissas!$B$5:$B$44,$B914))+R914*SUMIFS(Premissas!$E$5:$E$44,Premissas!$A$5:$A$44,$A914,Premissas!$B$5:$B$44,$B914)+S914*SUMIFS(Premissas!$F$5:$F$44,Premissas!$A$5:$A$44,$A914,Premissas!$B$5:$B$44,$B914)</f>
        <v/>
      </c>
      <c r="L914" s="29">
        <f>J914-K914</f>
        <v/>
      </c>
      <c r="M914" t="inlineStr">
        <is>
          <t>2.350</t>
        </is>
      </c>
      <c r="N914" t="inlineStr">
        <is>
          <t>Modalidade: 2 - Por conta de terceiros | Parte: CMPC Iguacu Embalagens Ltda (11.308.600/0008-04)</t>
        </is>
      </c>
      <c r="O914" s="29" t="n">
        <v>0</v>
      </c>
      <c r="P914" s="29" t="n">
        <v>1648.67</v>
      </c>
      <c r="Q914" s="29" t="n">
        <v>0</v>
      </c>
      <c r="R914" s="29" t="n">
        <v>0</v>
      </c>
      <c r="S914" s="29" t="n">
        <v>0</v>
      </c>
      <c r="T914" t="inlineStr">
        <is>
          <t>42260702427026000901570040001998641019986497</t>
        </is>
      </c>
      <c r="U914" t="inlineStr">
        <is>
          <t>Sim</t>
        </is>
      </c>
    </row>
    <row r="915">
      <c r="A915" t="inlineStr">
        <is>
          <t>Frete de compra</t>
        </is>
      </c>
      <c r="B915" t="inlineStr">
        <is>
          <t>2.04.87 Frete sobre Compra</t>
        </is>
      </c>
      <c r="C915" s="30" t="n">
        <v>46204</v>
      </c>
      <c r="D915" t="inlineStr">
        <is>
          <t>Em 2026</t>
        </is>
      </c>
      <c r="E915" s="28" t="n">
        <v>46204</v>
      </c>
      <c r="F915" t="inlineStr">
        <is>
          <t>CT-e</t>
        </is>
      </c>
      <c r="G915" t="inlineStr">
        <is>
          <t>000199867</t>
        </is>
      </c>
      <c r="H915" t="inlineStr">
        <is>
          <t>ALIANCA NAVEGACAO E LOGISTICA LTDA</t>
        </is>
      </c>
      <c r="J915" s="29" t="n">
        <v>23605.15</v>
      </c>
      <c r="K915" s="29">
        <f>(1-ISNUMBER(SEARCH("556",M915)))*(O915*SUMIFS(Premissas!$C$5:$C$44,Premissas!$A$5:$A$44,$A915,Premissas!$B$5:$B$44,$B915)+P915*SUMIFS(Premissas!$D$5:$D$44,Premissas!$A$5:$A$44,$A915,Premissas!$B$5:$B$44,$B915))+R915*SUMIFS(Premissas!$E$5:$E$44,Premissas!$A$5:$A$44,$A915,Premissas!$B$5:$B$44,$B915)+S915*SUMIFS(Premissas!$F$5:$F$44,Premissas!$A$5:$A$44,$A915,Premissas!$B$5:$B$44,$B915)</f>
        <v/>
      </c>
      <c r="L915" s="29">
        <f>J915-K915</f>
        <v/>
      </c>
      <c r="M915" t="inlineStr">
        <is>
          <t>2.350</t>
        </is>
      </c>
      <c r="N915" t="inlineStr">
        <is>
          <t>Modalidade: 1 - Por conta do destinatário | Parte: CMPC Iguacu Embalagens Ltda (11.308.600/0008-04)</t>
        </is>
      </c>
      <c r="O915" s="29" t="n">
        <v>0</v>
      </c>
      <c r="P915" s="29" t="n">
        <v>1652.36</v>
      </c>
      <c r="Q915" s="29" t="n">
        <v>0</v>
      </c>
      <c r="R915" s="29" t="n">
        <v>0</v>
      </c>
      <c r="S915" s="29" t="n">
        <v>0</v>
      </c>
      <c r="T915" t="inlineStr">
        <is>
          <t>42260702427026000901570040001998671019986790</t>
        </is>
      </c>
      <c r="U915" t="inlineStr">
        <is>
          <t>Sim</t>
        </is>
      </c>
    </row>
    <row r="916">
      <c r="A916" t="inlineStr">
        <is>
          <t>Frete de compra</t>
        </is>
      </c>
      <c r="B916" t="inlineStr">
        <is>
          <t>2.04.87 Frete sobre Compra</t>
        </is>
      </c>
      <c r="C916" s="30" t="n">
        <v>46204</v>
      </c>
      <c r="D916" t="inlineStr">
        <is>
          <t>Em 2026</t>
        </is>
      </c>
      <c r="E916" s="28" t="n">
        <v>46211</v>
      </c>
      <c r="F916" t="inlineStr">
        <is>
          <t>CT-e</t>
        </is>
      </c>
      <c r="G916" t="inlineStr">
        <is>
          <t>000200347</t>
        </is>
      </c>
      <c r="H916" t="inlineStr">
        <is>
          <t>ALIANCA NAVEGACAO E LOGISTICA LTDA</t>
        </is>
      </c>
      <c r="J916" s="29" t="n">
        <v>23274.65</v>
      </c>
      <c r="K916" s="29">
        <f>(1-ISNUMBER(SEARCH("556",M916)))*(O916*SUMIFS(Premissas!$C$5:$C$44,Premissas!$A$5:$A$44,$A916,Premissas!$B$5:$B$44,$B916)+P916*SUMIFS(Premissas!$D$5:$D$44,Premissas!$A$5:$A$44,$A916,Premissas!$B$5:$B$44,$B916))+R916*SUMIFS(Premissas!$E$5:$E$44,Premissas!$A$5:$A$44,$A916,Premissas!$B$5:$B$44,$B916)+S916*SUMIFS(Premissas!$F$5:$F$44,Premissas!$A$5:$A$44,$A916,Premissas!$B$5:$B$44,$B916)</f>
        <v/>
      </c>
      <c r="L916" s="29">
        <f>J916-K916</f>
        <v/>
      </c>
      <c r="M916" t="inlineStr">
        <is>
          <t>2.350</t>
        </is>
      </c>
      <c r="N916" t="inlineStr">
        <is>
          <t>Modalidade: 1 - Por conta do destinatário | Parte: IRANI PAPEL E EMBALAGEM S.A. (92.791.243/0002-94)</t>
        </is>
      </c>
      <c r="O916" s="29" t="n">
        <v>0</v>
      </c>
      <c r="P916" s="29" t="n">
        <v>1629.23</v>
      </c>
      <c r="Q916" s="29" t="n">
        <v>0</v>
      </c>
      <c r="R916" s="29" t="n">
        <v>0</v>
      </c>
      <c r="S916" s="29" t="n">
        <v>0</v>
      </c>
      <c r="T916" t="inlineStr">
        <is>
          <t>42260702427026000901570040002003471020034799</t>
        </is>
      </c>
      <c r="U916" t="inlineStr">
        <is>
          <t>Sim</t>
        </is>
      </c>
    </row>
    <row r="917">
      <c r="A917" t="inlineStr">
        <is>
          <t>Frete de compra</t>
        </is>
      </c>
      <c r="B917" t="inlineStr">
        <is>
          <t>2.04.87 Frete sobre Compra</t>
        </is>
      </c>
      <c r="C917" s="30" t="n">
        <v>46204</v>
      </c>
      <c r="D917" t="inlineStr">
        <is>
          <t>Em 2026</t>
        </is>
      </c>
      <c r="E917" s="28" t="n">
        <v>46211</v>
      </c>
      <c r="F917" t="inlineStr">
        <is>
          <t>CT-e</t>
        </is>
      </c>
      <c r="G917" t="inlineStr">
        <is>
          <t>000200348</t>
        </is>
      </c>
      <c r="H917" t="inlineStr">
        <is>
          <t>ALIANCA NAVEGACAO E LOGISTICA LTDA</t>
        </is>
      </c>
      <c r="J917" s="29" t="n">
        <v>23275.31</v>
      </c>
      <c r="K917" s="29">
        <f>(1-ISNUMBER(SEARCH("556",M917)))*(O917*SUMIFS(Premissas!$C$5:$C$44,Premissas!$A$5:$A$44,$A917,Premissas!$B$5:$B$44,$B917)+P917*SUMIFS(Premissas!$D$5:$D$44,Premissas!$A$5:$A$44,$A917,Premissas!$B$5:$B$44,$B917))+R917*SUMIFS(Premissas!$E$5:$E$44,Premissas!$A$5:$A$44,$A917,Premissas!$B$5:$B$44,$B917)+S917*SUMIFS(Premissas!$F$5:$F$44,Premissas!$A$5:$A$44,$A917,Premissas!$B$5:$B$44,$B917)</f>
        <v/>
      </c>
      <c r="L917" s="29">
        <f>J917-K917</f>
        <v/>
      </c>
      <c r="M917" t="inlineStr">
        <is>
          <t>2.350</t>
        </is>
      </c>
      <c r="N917" t="inlineStr">
        <is>
          <t>Modalidade: 1 - Por conta do destinatário | Parte: IRANI PAPEL E EMBALAGEM S.A. (92.791.243/0002-94)</t>
        </is>
      </c>
      <c r="O917" s="29" t="n">
        <v>0</v>
      </c>
      <c r="P917" s="29" t="n">
        <v>1629.27</v>
      </c>
      <c r="Q917" s="29" t="n">
        <v>0</v>
      </c>
      <c r="R917" s="29" t="n">
        <v>0</v>
      </c>
      <c r="S917" s="29" t="n">
        <v>0</v>
      </c>
      <c r="T917" t="inlineStr">
        <is>
          <t>42260702427026000901570040002003481020034893</t>
        </is>
      </c>
      <c r="U917" t="inlineStr">
        <is>
          <t>Sim</t>
        </is>
      </c>
    </row>
    <row r="918">
      <c r="A918" t="inlineStr">
        <is>
          <t>Frete de compra</t>
        </is>
      </c>
      <c r="B918" t="inlineStr">
        <is>
          <t>2.04.87 Frete sobre Compra</t>
        </is>
      </c>
      <c r="C918" s="30" t="n">
        <v>46204</v>
      </c>
      <c r="D918" t="inlineStr">
        <is>
          <t>Em 2026</t>
        </is>
      </c>
      <c r="E918" s="28" t="n">
        <v>46223</v>
      </c>
      <c r="F918" t="inlineStr">
        <is>
          <t>CT-e</t>
        </is>
      </c>
      <c r="G918" t="inlineStr">
        <is>
          <t>000200899</t>
        </is>
      </c>
      <c r="H918" t="inlineStr">
        <is>
          <t>ALIANCA NAVEGACAO E LOGISTICA LTDA</t>
        </is>
      </c>
      <c r="J918" s="29" t="n">
        <v>23421.47</v>
      </c>
      <c r="K918" s="29">
        <f>(1-ISNUMBER(SEARCH("556",M918)))*(O918*SUMIFS(Premissas!$C$5:$C$44,Premissas!$A$5:$A$44,$A918,Premissas!$B$5:$B$44,$B918)+P918*SUMIFS(Premissas!$D$5:$D$44,Premissas!$A$5:$A$44,$A918,Premissas!$B$5:$B$44,$B918))+R918*SUMIFS(Premissas!$E$5:$E$44,Premissas!$A$5:$A$44,$A918,Premissas!$B$5:$B$44,$B918)+S918*SUMIFS(Premissas!$F$5:$F$44,Premissas!$A$5:$A$44,$A918,Premissas!$B$5:$B$44,$B918)</f>
        <v/>
      </c>
      <c r="L918" s="29">
        <f>J918-K918</f>
        <v/>
      </c>
      <c r="M918" t="inlineStr">
        <is>
          <t>2.350</t>
        </is>
      </c>
      <c r="N918" t="inlineStr">
        <is>
          <t>Modalidade: 2 - Por conta de terceiros | Parte: CMPC Iguacu Embalagens Ltda (11.308.600/0008-04)</t>
        </is>
      </c>
      <c r="O918" s="29" t="n">
        <v>0</v>
      </c>
      <c r="P918" s="29" t="n">
        <v>1639.5</v>
      </c>
      <c r="Q918" s="29" t="n">
        <v>0</v>
      </c>
      <c r="R918" s="29" t="n">
        <v>0</v>
      </c>
      <c r="S918" s="29" t="n">
        <v>0</v>
      </c>
      <c r="T918" t="inlineStr">
        <is>
          <t>42260702427026000901570040002008991020089996</t>
        </is>
      </c>
      <c r="U918" t="inlineStr">
        <is>
          <t>Sim</t>
        </is>
      </c>
    </row>
    <row r="919">
      <c r="A919" t="inlineStr">
        <is>
          <t>Frete de compra</t>
        </is>
      </c>
      <c r="B919" t="inlineStr">
        <is>
          <t>2.04.87 Frete sobre Compra</t>
        </is>
      </c>
      <c r="C919" s="30" t="n">
        <v>46204</v>
      </c>
      <c r="D919" t="inlineStr">
        <is>
          <t>Em 2026</t>
        </is>
      </c>
      <c r="E919" s="28" t="n">
        <v>46223</v>
      </c>
      <c r="F919" t="inlineStr">
        <is>
          <t>CT-e</t>
        </is>
      </c>
      <c r="G919" t="inlineStr">
        <is>
          <t>000200902</t>
        </is>
      </c>
      <c r="H919" t="inlineStr">
        <is>
          <t>ALIANCA NAVEGACAO E LOGISTICA LTDA</t>
        </is>
      </c>
      <c r="J919" s="29" t="n">
        <v>23426.52</v>
      </c>
      <c r="K919" s="29">
        <f>(1-ISNUMBER(SEARCH("556",M919)))*(O919*SUMIFS(Premissas!$C$5:$C$44,Premissas!$A$5:$A$44,$A919,Premissas!$B$5:$B$44,$B919)+P919*SUMIFS(Premissas!$D$5:$D$44,Premissas!$A$5:$A$44,$A919,Premissas!$B$5:$B$44,$B919))+R919*SUMIFS(Premissas!$E$5:$E$44,Premissas!$A$5:$A$44,$A919,Premissas!$B$5:$B$44,$B919)+S919*SUMIFS(Premissas!$F$5:$F$44,Premissas!$A$5:$A$44,$A919,Premissas!$B$5:$B$44,$B919)</f>
        <v/>
      </c>
      <c r="L919" s="29">
        <f>J919-K919</f>
        <v/>
      </c>
      <c r="M919" t="inlineStr">
        <is>
          <t>2.350</t>
        </is>
      </c>
      <c r="N919" t="inlineStr">
        <is>
          <t>Modalidade: 2 - Por conta de terceiros | Parte: CMPC Iguacu Embalagens Ltda (11.308.600/0008-04)</t>
        </is>
      </c>
      <c r="O919" s="29" t="n">
        <v>0</v>
      </c>
      <c r="P919" s="29" t="n">
        <v>1639.86</v>
      </c>
      <c r="Q919" s="29" t="n">
        <v>0</v>
      </c>
      <c r="R919" s="29" t="n">
        <v>0</v>
      </c>
      <c r="S919" s="29" t="n">
        <v>0</v>
      </c>
      <c r="T919" t="inlineStr">
        <is>
          <t>42260702427026000901570040002009021020090290</t>
        </is>
      </c>
      <c r="U919" t="inlineStr">
        <is>
          <t>Sim</t>
        </is>
      </c>
    </row>
    <row r="920">
      <c r="A920" t="inlineStr">
        <is>
          <t>Frete de compra</t>
        </is>
      </c>
      <c r="B920" t="inlineStr">
        <is>
          <t>2.04.87 Frete sobre Compra</t>
        </is>
      </c>
      <c r="C920" s="30" t="n">
        <v>46204</v>
      </c>
      <c r="D920" t="inlineStr">
        <is>
          <t>Em 2026</t>
        </is>
      </c>
      <c r="E920" s="28" t="n">
        <v>46224</v>
      </c>
      <c r="F920" t="inlineStr">
        <is>
          <t>CT-e</t>
        </is>
      </c>
      <c r="G920" t="inlineStr">
        <is>
          <t>000200914</t>
        </is>
      </c>
      <c r="H920" t="inlineStr">
        <is>
          <t>ALIANCA NAVEGACAO E LOGISTICA LTDA</t>
        </is>
      </c>
      <c r="J920" s="29" t="n">
        <v>23425.61</v>
      </c>
      <c r="K920" s="29">
        <f>(1-ISNUMBER(SEARCH("556",M920)))*(O920*SUMIFS(Premissas!$C$5:$C$44,Premissas!$A$5:$A$44,$A920,Premissas!$B$5:$B$44,$B920)+P920*SUMIFS(Premissas!$D$5:$D$44,Premissas!$A$5:$A$44,$A920,Premissas!$B$5:$B$44,$B920))+R920*SUMIFS(Premissas!$E$5:$E$44,Premissas!$A$5:$A$44,$A920,Premissas!$B$5:$B$44,$B920)+S920*SUMIFS(Premissas!$F$5:$F$44,Premissas!$A$5:$A$44,$A920,Premissas!$B$5:$B$44,$B920)</f>
        <v/>
      </c>
      <c r="L920" s="29">
        <f>J920-K920</f>
        <v/>
      </c>
      <c r="M920" t="inlineStr">
        <is>
          <t>2.350</t>
        </is>
      </c>
      <c r="N920" t="inlineStr">
        <is>
          <t>Modalidade: 2 - Por conta de terceiros | Parte: CMPC Iguacu Embalagens Ltda (11.308.600/0008-04)</t>
        </is>
      </c>
      <c r="O920" s="29" t="n">
        <v>0</v>
      </c>
      <c r="P920" s="29" t="n">
        <v>1639.79</v>
      </c>
      <c r="Q920" s="29" t="n">
        <v>0</v>
      </c>
      <c r="R920" s="29" t="n">
        <v>0</v>
      </c>
      <c r="S920" s="29" t="n">
        <v>0</v>
      </c>
      <c r="T920" t="inlineStr">
        <is>
          <t>42260702427026000901570040002009141020091492</t>
        </is>
      </c>
      <c r="U920" t="inlineStr">
        <is>
          <t>Sim</t>
        </is>
      </c>
    </row>
    <row r="921">
      <c r="A921" t="inlineStr">
        <is>
          <t>Frete de compra</t>
        </is>
      </c>
      <c r="B921" t="inlineStr">
        <is>
          <t>2.04.87 Frete sobre Compra</t>
        </is>
      </c>
      <c r="C921" s="30" t="n">
        <v>46204</v>
      </c>
      <c r="D921" t="inlineStr">
        <is>
          <t>Em 2026</t>
        </is>
      </c>
      <c r="E921" s="28" t="n">
        <v>46224</v>
      </c>
      <c r="F921" t="inlineStr">
        <is>
          <t>CT-e</t>
        </is>
      </c>
      <c r="G921" t="inlineStr">
        <is>
          <t>000200936</t>
        </is>
      </c>
      <c r="H921" t="inlineStr">
        <is>
          <t>ALIANCA NAVEGACAO E LOGISTICA LTDA</t>
        </is>
      </c>
      <c r="J921" s="29" t="n">
        <v>23425.63</v>
      </c>
      <c r="K921" s="29">
        <f>(1-ISNUMBER(SEARCH("556",M921)))*(O921*SUMIFS(Premissas!$C$5:$C$44,Premissas!$A$5:$A$44,$A921,Premissas!$B$5:$B$44,$B921)+P921*SUMIFS(Premissas!$D$5:$D$44,Premissas!$A$5:$A$44,$A921,Premissas!$B$5:$B$44,$B921))+R921*SUMIFS(Premissas!$E$5:$E$44,Premissas!$A$5:$A$44,$A921,Premissas!$B$5:$B$44,$B921)+S921*SUMIFS(Premissas!$F$5:$F$44,Premissas!$A$5:$A$44,$A921,Premissas!$B$5:$B$44,$B921)</f>
        <v/>
      </c>
      <c r="L921" s="29">
        <f>J921-K921</f>
        <v/>
      </c>
      <c r="M921" t="inlineStr">
        <is>
          <t>2.350</t>
        </is>
      </c>
      <c r="N921" t="inlineStr">
        <is>
          <t>Modalidade: 2 - Por conta de terceiros | Parte: CMPC Iguacu Embalagens Ltda (11.308.600/0008-04)</t>
        </is>
      </c>
      <c r="O921" s="29" t="n">
        <v>0</v>
      </c>
      <c r="P921" s="29" t="n">
        <v>1639.79</v>
      </c>
      <c r="Q921" s="29" t="n">
        <v>0</v>
      </c>
      <c r="R921" s="29" t="n">
        <v>0</v>
      </c>
      <c r="S921" s="29" t="n">
        <v>0</v>
      </c>
      <c r="T921" t="inlineStr">
        <is>
          <t>42260702427026000901570040002009361020093697</t>
        </is>
      </c>
      <c r="U921" t="inlineStr">
        <is>
          <t>Sim</t>
        </is>
      </c>
    </row>
    <row r="922">
      <c r="A922" t="inlineStr">
        <is>
          <t>Frete de compra</t>
        </is>
      </c>
      <c r="B922" t="inlineStr">
        <is>
          <t>2.04.87 Frete sobre Compra</t>
        </is>
      </c>
      <c r="C922" s="30" t="n">
        <v>46204</v>
      </c>
      <c r="D922" t="inlineStr">
        <is>
          <t>Em 2026</t>
        </is>
      </c>
      <c r="E922" s="28" t="n">
        <v>46224</v>
      </c>
      <c r="F922" t="inlineStr">
        <is>
          <t>CT-e</t>
        </is>
      </c>
      <c r="G922" t="inlineStr">
        <is>
          <t>000200956</t>
        </is>
      </c>
      <c r="H922" t="inlineStr">
        <is>
          <t>ALIANCA NAVEGACAO E LOGISTICA LTDA</t>
        </is>
      </c>
      <c r="J922" s="29" t="n">
        <v>23420.37</v>
      </c>
      <c r="K922" s="29">
        <f>(1-ISNUMBER(SEARCH("556",M922)))*(O922*SUMIFS(Premissas!$C$5:$C$44,Premissas!$A$5:$A$44,$A922,Premissas!$B$5:$B$44,$B922)+P922*SUMIFS(Premissas!$D$5:$D$44,Premissas!$A$5:$A$44,$A922,Premissas!$B$5:$B$44,$B922))+R922*SUMIFS(Premissas!$E$5:$E$44,Premissas!$A$5:$A$44,$A922,Premissas!$B$5:$B$44,$B922)+S922*SUMIFS(Premissas!$F$5:$F$44,Premissas!$A$5:$A$44,$A922,Premissas!$B$5:$B$44,$B922)</f>
        <v/>
      </c>
      <c r="L922" s="29">
        <f>J922-K922</f>
        <v/>
      </c>
      <c r="M922" t="inlineStr">
        <is>
          <t>2.350</t>
        </is>
      </c>
      <c r="N922" t="inlineStr">
        <is>
          <t>Modalidade: 2 - Por conta de terceiros | Parte: CMPC Iguacu Embalagens Ltda (11.308.600/0008-04)</t>
        </is>
      </c>
      <c r="O922" s="29" t="n">
        <v>0</v>
      </c>
      <c r="P922" s="29" t="n">
        <v>1639.43</v>
      </c>
      <c r="Q922" s="29" t="n">
        <v>0</v>
      </c>
      <c r="R922" s="29" t="n">
        <v>0</v>
      </c>
      <c r="S922" s="29" t="n">
        <v>0</v>
      </c>
      <c r="T922" t="inlineStr">
        <is>
          <t>42260702427026000901570040002009561020095692</t>
        </is>
      </c>
      <c r="U922" t="inlineStr">
        <is>
          <t>Sim</t>
        </is>
      </c>
    </row>
    <row r="923">
      <c r="A923" t="inlineStr">
        <is>
          <t>Frete de compra</t>
        </is>
      </c>
      <c r="B923" t="inlineStr">
        <is>
          <t>2.04.87 Frete sobre Compra</t>
        </is>
      </c>
      <c r="C923" s="30" t="n">
        <v>46204</v>
      </c>
      <c r="D923" t="inlineStr">
        <is>
          <t>Em 2026</t>
        </is>
      </c>
      <c r="E923" s="28" t="n">
        <v>46224</v>
      </c>
      <c r="F923" t="inlineStr">
        <is>
          <t>CT-e</t>
        </is>
      </c>
      <c r="G923" t="inlineStr">
        <is>
          <t>000201007</t>
        </is>
      </c>
      <c r="H923" t="inlineStr">
        <is>
          <t>ALIANCA NAVEGACAO E LOGISTICA LTDA</t>
        </is>
      </c>
      <c r="J923" s="29" t="n">
        <v>23421.57</v>
      </c>
      <c r="K923" s="29">
        <f>(1-ISNUMBER(SEARCH("556",M923)))*(O923*SUMIFS(Premissas!$C$5:$C$44,Premissas!$A$5:$A$44,$A923,Premissas!$B$5:$B$44,$B923)+P923*SUMIFS(Premissas!$D$5:$D$44,Premissas!$A$5:$A$44,$A923,Premissas!$B$5:$B$44,$B923))+R923*SUMIFS(Premissas!$E$5:$E$44,Premissas!$A$5:$A$44,$A923,Premissas!$B$5:$B$44,$B923)+S923*SUMIFS(Premissas!$F$5:$F$44,Premissas!$A$5:$A$44,$A923,Premissas!$B$5:$B$44,$B923)</f>
        <v/>
      </c>
      <c r="L923" s="29">
        <f>J923-K923</f>
        <v/>
      </c>
      <c r="M923" t="inlineStr">
        <is>
          <t>2.350</t>
        </is>
      </c>
      <c r="N923" t="inlineStr">
        <is>
          <t>Modalidade: 2 - Por conta de terceiros | Parte: CMPC Iguacu Embalagens Ltda (11.308.600/0008-04)</t>
        </is>
      </c>
      <c r="O923" s="29" t="n">
        <v>0</v>
      </c>
      <c r="P923" s="29" t="n">
        <v>1639.51</v>
      </c>
      <c r="Q923" s="29" t="n">
        <v>0</v>
      </c>
      <c r="R923" s="29" t="n">
        <v>0</v>
      </c>
      <c r="S923" s="29" t="n">
        <v>0</v>
      </c>
      <c r="T923" t="inlineStr">
        <is>
          <t>42260702427026000901570040002010071020100794</t>
        </is>
      </c>
      <c r="U923" t="inlineStr">
        <is>
          <t>Sim</t>
        </is>
      </c>
    </row>
    <row r="924">
      <c r="A924" t="inlineStr">
        <is>
          <t>Frete de compra</t>
        </is>
      </c>
      <c r="B924" t="inlineStr">
        <is>
          <t>2.04.87 Frete sobre Compra</t>
        </is>
      </c>
      <c r="C924" s="30" t="n">
        <v>46204</v>
      </c>
      <c r="D924" t="inlineStr">
        <is>
          <t>Em 2026</t>
        </is>
      </c>
      <c r="E924" s="28" t="n">
        <v>46230</v>
      </c>
      <c r="F924" t="inlineStr">
        <is>
          <t>CT-e</t>
        </is>
      </c>
      <c r="G924" t="inlineStr">
        <is>
          <t>000201222</t>
        </is>
      </c>
      <c r="H924" t="inlineStr">
        <is>
          <t>ALIANCA NAVEGACAO E LOGISTICA LTDA</t>
        </is>
      </c>
      <c r="J924" s="29" t="n">
        <v>23424.57</v>
      </c>
      <c r="K924" s="29">
        <f>(1-ISNUMBER(SEARCH("556",M924)))*(O924*SUMIFS(Premissas!$C$5:$C$44,Premissas!$A$5:$A$44,$A924,Premissas!$B$5:$B$44,$B924)+P924*SUMIFS(Premissas!$D$5:$D$44,Premissas!$A$5:$A$44,$A924,Premissas!$B$5:$B$44,$B924))+R924*SUMIFS(Premissas!$E$5:$E$44,Premissas!$A$5:$A$44,$A924,Premissas!$B$5:$B$44,$B924)+S924*SUMIFS(Premissas!$F$5:$F$44,Premissas!$A$5:$A$44,$A924,Premissas!$B$5:$B$44,$B924)</f>
        <v/>
      </c>
      <c r="L924" s="29">
        <f>J924-K924</f>
        <v/>
      </c>
      <c r="M924" t="inlineStr">
        <is>
          <t>2.350</t>
        </is>
      </c>
      <c r="N924" t="inlineStr">
        <is>
          <t>Modalidade: 2 - Por conta de terceiros | Parte: CMPC Iguacu Embalagens Ltda (11.308.600/0008-04)</t>
        </is>
      </c>
      <c r="O924" s="29" t="n">
        <v>0</v>
      </c>
      <c r="P924" s="29" t="n">
        <v>1639.72</v>
      </c>
      <c r="Q924" s="29" t="n">
        <v>0</v>
      </c>
      <c r="R924" s="29" t="n">
        <v>0</v>
      </c>
      <c r="S924" s="29" t="n">
        <v>0</v>
      </c>
      <c r="T924" t="inlineStr">
        <is>
          <t>42260702427026000901570040002012221020122299</t>
        </is>
      </c>
      <c r="U924" t="inlineStr">
        <is>
          <t>Sim</t>
        </is>
      </c>
    </row>
    <row r="925">
      <c r="A925" t="inlineStr">
        <is>
          <t>Frete de compra</t>
        </is>
      </c>
      <c r="B925" t="inlineStr">
        <is>
          <t>2.04.87 Frete sobre Compra</t>
        </is>
      </c>
      <c r="C925" s="30" t="n">
        <v>46204</v>
      </c>
      <c r="D925" t="inlineStr">
        <is>
          <t>Em 2026</t>
        </is>
      </c>
      <c r="E925" s="28" t="n">
        <v>46230</v>
      </c>
      <c r="F925" t="inlineStr">
        <is>
          <t>CT-e</t>
        </is>
      </c>
      <c r="G925" t="inlineStr">
        <is>
          <t>000201223</t>
        </is>
      </c>
      <c r="H925" t="inlineStr">
        <is>
          <t>ALIANCA NAVEGACAO E LOGISTICA LTDA</t>
        </is>
      </c>
      <c r="J925" s="29" t="n">
        <v>23422.57</v>
      </c>
      <c r="K925" s="29">
        <f>(1-ISNUMBER(SEARCH("556",M925)))*(O925*SUMIFS(Premissas!$C$5:$C$44,Premissas!$A$5:$A$44,$A925,Premissas!$B$5:$B$44,$B925)+P925*SUMIFS(Premissas!$D$5:$D$44,Premissas!$A$5:$A$44,$A925,Premissas!$B$5:$B$44,$B925))+R925*SUMIFS(Premissas!$E$5:$E$44,Premissas!$A$5:$A$44,$A925,Premissas!$B$5:$B$44,$B925)+S925*SUMIFS(Premissas!$F$5:$F$44,Premissas!$A$5:$A$44,$A925,Premissas!$B$5:$B$44,$B925)</f>
        <v/>
      </c>
      <c r="L925" s="29">
        <f>J925-K925</f>
        <v/>
      </c>
      <c r="M925" t="inlineStr">
        <is>
          <t>2.350</t>
        </is>
      </c>
      <c r="N925" t="inlineStr">
        <is>
          <t>Modalidade: 2 - Por conta de terceiros | Parte: CMPC Iguacu Embalagens Ltda (11.308.600/0008-04)</t>
        </is>
      </c>
      <c r="O925" s="29" t="n">
        <v>0</v>
      </c>
      <c r="P925" s="29" t="n">
        <v>1639.58</v>
      </c>
      <c r="Q925" s="29" t="n">
        <v>0</v>
      </c>
      <c r="R925" s="29" t="n">
        <v>0</v>
      </c>
      <c r="S925" s="29" t="n">
        <v>0</v>
      </c>
      <c r="T925" t="inlineStr">
        <is>
          <t>42260702427026000901570040002012231020122393</t>
        </is>
      </c>
      <c r="U925" t="inlineStr">
        <is>
          <t>Sim</t>
        </is>
      </c>
    </row>
    <row r="926">
      <c r="A926" t="inlineStr">
        <is>
          <t>Frete de compra</t>
        </is>
      </c>
      <c r="B926" t="inlineStr">
        <is>
          <t>2.04.87 Frete sobre Compra</t>
        </is>
      </c>
      <c r="C926" s="30" t="n">
        <v>46204</v>
      </c>
      <c r="D926" t="inlineStr">
        <is>
          <t>Em 2026</t>
        </is>
      </c>
      <c r="E926" s="28" t="n">
        <v>46231</v>
      </c>
      <c r="F926" t="inlineStr">
        <is>
          <t>CT-e</t>
        </is>
      </c>
      <c r="G926" t="inlineStr">
        <is>
          <t>000201229</t>
        </is>
      </c>
      <c r="H926" t="inlineStr">
        <is>
          <t>ALIANCA NAVEGACAO E LOGISTICA LTDA</t>
        </is>
      </c>
      <c r="J926" s="29" t="n">
        <v>23422.4</v>
      </c>
      <c r="K926" s="29">
        <f>(1-ISNUMBER(SEARCH("556",M926)))*(O926*SUMIFS(Premissas!$C$5:$C$44,Premissas!$A$5:$A$44,$A926,Premissas!$B$5:$B$44,$B926)+P926*SUMIFS(Premissas!$D$5:$D$44,Premissas!$A$5:$A$44,$A926,Premissas!$B$5:$B$44,$B926))+R926*SUMIFS(Premissas!$E$5:$E$44,Premissas!$A$5:$A$44,$A926,Premissas!$B$5:$B$44,$B926)+S926*SUMIFS(Premissas!$F$5:$F$44,Premissas!$A$5:$A$44,$A926,Premissas!$B$5:$B$44,$B926)</f>
        <v/>
      </c>
      <c r="L926" s="29">
        <f>J926-K926</f>
        <v/>
      </c>
      <c r="M926" t="inlineStr">
        <is>
          <t>2.350</t>
        </is>
      </c>
      <c r="N926" t="inlineStr">
        <is>
          <t>Modalidade: 1 - Por conta do destinatário | Parte: CMPC Iguacu Embalagens Ltda (11.308.600/0008-04)</t>
        </is>
      </c>
      <c r="O926" s="29" t="n">
        <v>0</v>
      </c>
      <c r="P926" s="29" t="n">
        <v>1639.57</v>
      </c>
      <c r="Q926" s="29" t="n">
        <v>0</v>
      </c>
      <c r="R926" s="29" t="n">
        <v>0</v>
      </c>
      <c r="S926" s="29" t="n">
        <v>0</v>
      </c>
      <c r="T926" t="inlineStr">
        <is>
          <t>42260702427026000901570040002012291020122990</t>
        </is>
      </c>
      <c r="U926" t="inlineStr">
        <is>
          <t>Sim</t>
        </is>
      </c>
    </row>
    <row r="927">
      <c r="A927" t="inlineStr">
        <is>
          <t>Frete de compra</t>
        </is>
      </c>
      <c r="B927" t="inlineStr">
        <is>
          <t>2.04.87 Frete sobre Compra</t>
        </is>
      </c>
      <c r="C927" s="30" t="n">
        <v>46204</v>
      </c>
      <c r="D927" t="inlineStr">
        <is>
          <t>Em 2026</t>
        </is>
      </c>
      <c r="E927" s="28" t="n">
        <v>46231</v>
      </c>
      <c r="F927" t="inlineStr">
        <is>
          <t>CT-e</t>
        </is>
      </c>
      <c r="G927" t="inlineStr">
        <is>
          <t>000201276</t>
        </is>
      </c>
      <c r="H927" t="inlineStr">
        <is>
          <t>ALIANCA NAVEGACAO E LOGISTICA LTDA</t>
        </is>
      </c>
      <c r="J927" s="29" t="n">
        <v>23427.2</v>
      </c>
      <c r="K927" s="29">
        <f>(1-ISNUMBER(SEARCH("556",M927)))*(O927*SUMIFS(Premissas!$C$5:$C$44,Premissas!$A$5:$A$44,$A927,Premissas!$B$5:$B$44,$B927)+P927*SUMIFS(Premissas!$D$5:$D$44,Premissas!$A$5:$A$44,$A927,Premissas!$B$5:$B$44,$B927))+R927*SUMIFS(Premissas!$E$5:$E$44,Premissas!$A$5:$A$44,$A927,Premissas!$B$5:$B$44,$B927)+S927*SUMIFS(Premissas!$F$5:$F$44,Premissas!$A$5:$A$44,$A927,Premissas!$B$5:$B$44,$B927)</f>
        <v/>
      </c>
      <c r="L927" s="29">
        <f>J927-K927</f>
        <v/>
      </c>
      <c r="M927" t="inlineStr">
        <is>
          <t>2.350</t>
        </is>
      </c>
      <c r="N927" t="inlineStr">
        <is>
          <t>Modalidade: 1 - Por conta do destinatário | Parte: CMPC Iguacu Embalagens Ltda (11.308.600/0008-04)</t>
        </is>
      </c>
      <c r="O927" s="29" t="n">
        <v>0</v>
      </c>
      <c r="P927" s="29" t="n">
        <v>1639.9</v>
      </c>
      <c r="Q927" s="29" t="n">
        <v>0</v>
      </c>
      <c r="R927" s="29" t="n">
        <v>0</v>
      </c>
      <c r="S927" s="29" t="n">
        <v>0</v>
      </c>
      <c r="T927" t="inlineStr">
        <is>
          <t>42260702427026000901570040002012761020127690</t>
        </is>
      </c>
      <c r="U927" t="inlineStr">
        <is>
          <t>Sim</t>
        </is>
      </c>
    </row>
    <row r="928">
      <c r="A928" t="inlineStr">
        <is>
          <t>Frete de compra</t>
        </is>
      </c>
      <c r="B928" t="inlineStr">
        <is>
          <t>2.04.87 Frete sobre Compra</t>
        </is>
      </c>
      <c r="C928" s="30" t="n">
        <v>46204</v>
      </c>
      <c r="D928" t="inlineStr">
        <is>
          <t>Em 2026</t>
        </is>
      </c>
      <c r="E928" s="28" t="n">
        <v>46231</v>
      </c>
      <c r="F928" t="inlineStr">
        <is>
          <t>CT-e</t>
        </is>
      </c>
      <c r="G928" t="inlineStr">
        <is>
          <t>000201306</t>
        </is>
      </c>
      <c r="H928" t="inlineStr">
        <is>
          <t>ALIANCA NAVEGACAO E LOGISTICA LTDA</t>
        </is>
      </c>
      <c r="J928" s="29" t="n">
        <v>23421.16</v>
      </c>
      <c r="K928" s="29">
        <f>(1-ISNUMBER(SEARCH("556",M928)))*(O928*SUMIFS(Premissas!$C$5:$C$44,Premissas!$A$5:$A$44,$A928,Premissas!$B$5:$B$44,$B928)+P928*SUMIFS(Premissas!$D$5:$D$44,Premissas!$A$5:$A$44,$A928,Premissas!$B$5:$B$44,$B928))+R928*SUMIFS(Premissas!$E$5:$E$44,Premissas!$A$5:$A$44,$A928,Premissas!$B$5:$B$44,$B928)+S928*SUMIFS(Premissas!$F$5:$F$44,Premissas!$A$5:$A$44,$A928,Premissas!$B$5:$B$44,$B928)</f>
        <v/>
      </c>
      <c r="L928" s="29">
        <f>J928-K928</f>
        <v/>
      </c>
      <c r="M928" t="inlineStr">
        <is>
          <t>2.350</t>
        </is>
      </c>
      <c r="N928" t="inlineStr">
        <is>
          <t>Modalidade: 2 - Por conta de terceiros | Parte: CMPC Iguacu Embalagens Ltda (11.308.600/0008-04)</t>
        </is>
      </c>
      <c r="O928" s="29" t="n">
        <v>0</v>
      </c>
      <c r="P928" s="29" t="n">
        <v>1639.48</v>
      </c>
      <c r="Q928" s="29" t="n">
        <v>0</v>
      </c>
      <c r="R928" s="29" t="n">
        <v>0</v>
      </c>
      <c r="S928" s="29" t="n">
        <v>0</v>
      </c>
      <c r="T928" t="inlineStr">
        <is>
          <t>42260702427026000901570040002013061020130692</t>
        </is>
      </c>
      <c r="U928" t="inlineStr">
        <is>
          <t>Sim</t>
        </is>
      </c>
    </row>
    <row r="929">
      <c r="A929" t="inlineStr">
        <is>
          <t>Frete de compra</t>
        </is>
      </c>
      <c r="B929" t="inlineStr">
        <is>
          <t>2.04.87 Frete sobre Compra</t>
        </is>
      </c>
      <c r="C929" s="30" t="n">
        <v>46204</v>
      </c>
      <c r="D929" t="inlineStr">
        <is>
          <t>Em 2026</t>
        </is>
      </c>
      <c r="E929" s="28" t="n">
        <v>46231</v>
      </c>
      <c r="F929" t="inlineStr">
        <is>
          <t>CT-e</t>
        </is>
      </c>
      <c r="G929" t="inlineStr">
        <is>
          <t>000201307</t>
        </is>
      </c>
      <c r="H929" t="inlineStr">
        <is>
          <t>ALIANCA NAVEGACAO E LOGISTICA LTDA</t>
        </is>
      </c>
      <c r="J929" s="29" t="n">
        <v>23420.73</v>
      </c>
      <c r="K929" s="29">
        <f>(1-ISNUMBER(SEARCH("556",M929)))*(O929*SUMIFS(Premissas!$C$5:$C$44,Premissas!$A$5:$A$44,$A929,Premissas!$B$5:$B$44,$B929)+P929*SUMIFS(Premissas!$D$5:$D$44,Premissas!$A$5:$A$44,$A929,Premissas!$B$5:$B$44,$B929))+R929*SUMIFS(Premissas!$E$5:$E$44,Premissas!$A$5:$A$44,$A929,Premissas!$B$5:$B$44,$B929)+S929*SUMIFS(Premissas!$F$5:$F$44,Premissas!$A$5:$A$44,$A929,Premissas!$B$5:$B$44,$B929)</f>
        <v/>
      </c>
      <c r="L929" s="29">
        <f>J929-K929</f>
        <v/>
      </c>
      <c r="M929" t="inlineStr">
        <is>
          <t>2.350</t>
        </is>
      </c>
      <c r="N929" t="inlineStr">
        <is>
          <t>Modalidade: 2 - Por conta de terceiros | Parte: CMPC Iguacu Embalagens Ltda (11.308.600/0008-04)</t>
        </is>
      </c>
      <c r="O929" s="29" t="n">
        <v>0</v>
      </c>
      <c r="P929" s="29" t="n">
        <v>1639.45</v>
      </c>
      <c r="Q929" s="29" t="n">
        <v>0</v>
      </c>
      <c r="R929" s="29" t="n">
        <v>0</v>
      </c>
      <c r="S929" s="29" t="n">
        <v>0</v>
      </c>
      <c r="T929" t="inlineStr">
        <is>
          <t>42260702427026000901570040002013071020130797</t>
        </is>
      </c>
      <c r="U929" t="inlineStr">
        <is>
          <t>Sim</t>
        </is>
      </c>
    </row>
    <row r="930">
      <c r="A930" t="inlineStr">
        <is>
          <t>Frete de compra</t>
        </is>
      </c>
      <c r="B930" t="inlineStr">
        <is>
          <t>2.04.87 Frete sobre Compra</t>
        </is>
      </c>
      <c r="C930" s="30" t="n">
        <v>46204</v>
      </c>
      <c r="D930" t="inlineStr">
        <is>
          <t>Em 2026</t>
        </is>
      </c>
      <c r="E930" s="28" t="n">
        <v>46232</v>
      </c>
      <c r="F930" t="inlineStr">
        <is>
          <t>CT-e</t>
        </is>
      </c>
      <c r="G930" t="inlineStr">
        <is>
          <t>000201432</t>
        </is>
      </c>
      <c r="H930" t="inlineStr">
        <is>
          <t>ALIANCA NAVEGACAO E LOGISTICA LTDA</t>
        </is>
      </c>
      <c r="J930" s="29" t="n">
        <v>23426.91</v>
      </c>
      <c r="K930" s="29">
        <f>(1-ISNUMBER(SEARCH("556",M930)))*(O930*SUMIFS(Premissas!$C$5:$C$44,Premissas!$A$5:$A$44,$A930,Premissas!$B$5:$B$44,$B930)+P930*SUMIFS(Premissas!$D$5:$D$44,Premissas!$A$5:$A$44,$A930,Premissas!$B$5:$B$44,$B930))+R930*SUMIFS(Premissas!$E$5:$E$44,Premissas!$A$5:$A$44,$A930,Premissas!$B$5:$B$44,$B930)+S930*SUMIFS(Premissas!$F$5:$F$44,Premissas!$A$5:$A$44,$A930,Premissas!$B$5:$B$44,$B930)</f>
        <v/>
      </c>
      <c r="L930" s="29">
        <f>J930-K930</f>
        <v/>
      </c>
      <c r="M930" t="inlineStr">
        <is>
          <t>2.350</t>
        </is>
      </c>
      <c r="N930" t="inlineStr">
        <is>
          <t>Modalidade: 2 - Por conta de terceiros | Parte: CMPC Iguacu Embalagens Ltda (11.308.600/0008-04)</t>
        </is>
      </c>
      <c r="O930" s="29" t="n">
        <v>0</v>
      </c>
      <c r="P930" s="29" t="n">
        <v>1639.88</v>
      </c>
      <c r="Q930" s="29" t="n">
        <v>0</v>
      </c>
      <c r="R930" s="29" t="n">
        <v>0</v>
      </c>
      <c r="S930" s="29" t="n">
        <v>0</v>
      </c>
      <c r="T930" t="inlineStr">
        <is>
          <t>42260702427026000901570040002014321020143293</t>
        </is>
      </c>
      <c r="U930" t="inlineStr">
        <is>
          <t>Sim</t>
        </is>
      </c>
    </row>
    <row r="931">
      <c r="A931" t="inlineStr">
        <is>
          <t>Frete de compra</t>
        </is>
      </c>
      <c r="B931" t="inlineStr">
        <is>
          <t>2.04.87 Frete sobre Compra</t>
        </is>
      </c>
      <c r="C931" s="30" t="n">
        <v>46204</v>
      </c>
      <c r="D931" t="inlineStr">
        <is>
          <t>Em 2026</t>
        </is>
      </c>
      <c r="E931" s="28" t="n">
        <v>46232</v>
      </c>
      <c r="F931" t="inlineStr">
        <is>
          <t>CT-e</t>
        </is>
      </c>
      <c r="G931" t="inlineStr">
        <is>
          <t>000201444</t>
        </is>
      </c>
      <c r="H931" t="inlineStr">
        <is>
          <t>ALIANCA NAVEGACAO E LOGISTICA LTDA</t>
        </is>
      </c>
      <c r="J931" s="29" t="n">
        <v>23424.13</v>
      </c>
      <c r="K931" s="29">
        <f>(1-ISNUMBER(SEARCH("556",M931)))*(O931*SUMIFS(Premissas!$C$5:$C$44,Premissas!$A$5:$A$44,$A931,Premissas!$B$5:$B$44,$B931)+P931*SUMIFS(Premissas!$D$5:$D$44,Premissas!$A$5:$A$44,$A931,Premissas!$B$5:$B$44,$B931))+R931*SUMIFS(Premissas!$E$5:$E$44,Premissas!$A$5:$A$44,$A931,Premissas!$B$5:$B$44,$B931)+S931*SUMIFS(Premissas!$F$5:$F$44,Premissas!$A$5:$A$44,$A931,Premissas!$B$5:$B$44,$B931)</f>
        <v/>
      </c>
      <c r="L931" s="29">
        <f>J931-K931</f>
        <v/>
      </c>
      <c r="M931" t="inlineStr">
        <is>
          <t>2.350</t>
        </is>
      </c>
      <c r="N931" t="inlineStr">
        <is>
          <t>Modalidade: 2 - Por conta de terceiros | Parte: CMPC Iguacu Embalagens Ltda (11.308.600/0008-04)</t>
        </is>
      </c>
      <c r="O931" s="29" t="n">
        <v>0</v>
      </c>
      <c r="P931" s="29" t="n">
        <v>1639.69</v>
      </c>
      <c r="Q931" s="29" t="n">
        <v>0</v>
      </c>
      <c r="R931" s="29" t="n">
        <v>0</v>
      </c>
      <c r="S931" s="29" t="n">
        <v>0</v>
      </c>
      <c r="T931" t="inlineStr">
        <is>
          <t>42260702427026000901570040002014441020144495</t>
        </is>
      </c>
      <c r="U931" t="inlineStr">
        <is>
          <t>Sim</t>
        </is>
      </c>
    </row>
    <row r="932">
      <c r="A932" t="inlineStr">
        <is>
          <t>Frete de compra</t>
        </is>
      </c>
      <c r="B932" t="inlineStr">
        <is>
          <t>2.04.87 Frete sobre Compra</t>
        </is>
      </c>
      <c r="C932" s="30" t="n">
        <v>46204</v>
      </c>
      <c r="D932" t="inlineStr">
        <is>
          <t>Em 2026</t>
        </is>
      </c>
      <c r="E932" s="28" t="n">
        <v>46234</v>
      </c>
      <c r="F932" t="inlineStr">
        <is>
          <t>CT-e</t>
        </is>
      </c>
      <c r="G932" t="inlineStr">
        <is>
          <t>000201593</t>
        </is>
      </c>
      <c r="H932" t="inlineStr">
        <is>
          <t>ALIANCA NAVEGACAO E LOGISTICA LTDA</t>
        </is>
      </c>
      <c r="J932" s="29" t="n">
        <v>23423.88</v>
      </c>
      <c r="K932" s="29">
        <f>(1-ISNUMBER(SEARCH("556",M932)))*(O932*SUMIFS(Premissas!$C$5:$C$44,Premissas!$A$5:$A$44,$A932,Premissas!$B$5:$B$44,$B932)+P932*SUMIFS(Premissas!$D$5:$D$44,Premissas!$A$5:$A$44,$A932,Premissas!$B$5:$B$44,$B932))+R932*SUMIFS(Premissas!$E$5:$E$44,Premissas!$A$5:$A$44,$A932,Premissas!$B$5:$B$44,$B932)+S932*SUMIFS(Premissas!$F$5:$F$44,Premissas!$A$5:$A$44,$A932,Premissas!$B$5:$B$44,$B932)</f>
        <v/>
      </c>
      <c r="L932" s="29">
        <f>J932-K932</f>
        <v/>
      </c>
      <c r="M932" t="inlineStr">
        <is>
          <t>2.350</t>
        </is>
      </c>
      <c r="N932" t="inlineStr">
        <is>
          <t>Modalidade: 1 - Por conta do destinatário | Parte: CMPC Iguacu Embalagens Ltda (11.308.600/0008-04)</t>
        </is>
      </c>
      <c r="O932" s="29" t="n">
        <v>0</v>
      </c>
      <c r="P932" s="29" t="n">
        <v>1639.67</v>
      </c>
      <c r="Q932" s="29" t="n">
        <v>0</v>
      </c>
      <c r="R932" s="29" t="n">
        <v>0</v>
      </c>
      <c r="S932" s="29" t="n">
        <v>0</v>
      </c>
      <c r="T932" t="inlineStr">
        <is>
          <t>42260702427026000901570040002015931020159395</t>
        </is>
      </c>
      <c r="U932" t="inlineStr">
        <is>
          <t>Sim</t>
        </is>
      </c>
    </row>
    <row r="933">
      <c r="A933" t="inlineStr">
        <is>
          <t>Frete de compra</t>
        </is>
      </c>
      <c r="B933" t="inlineStr">
        <is>
          <t>2.04.87 Frete sobre Compra</t>
        </is>
      </c>
      <c r="C933" s="30" t="n">
        <v>46204</v>
      </c>
      <c r="D933" t="inlineStr">
        <is>
          <t>Em 2026</t>
        </is>
      </c>
      <c r="E933" s="28" t="n">
        <v>46234</v>
      </c>
      <c r="F933" t="inlineStr">
        <is>
          <t>CT-e</t>
        </is>
      </c>
      <c r="G933" t="inlineStr">
        <is>
          <t>000201595</t>
        </is>
      </c>
      <c r="H933" t="inlineStr">
        <is>
          <t>ALIANCA NAVEGACAO E LOGISTICA LTDA</t>
        </is>
      </c>
      <c r="J933" s="29" t="n">
        <v>23425.89</v>
      </c>
      <c r="K933" s="29">
        <f>(1-ISNUMBER(SEARCH("556",M933)))*(O933*SUMIFS(Premissas!$C$5:$C$44,Premissas!$A$5:$A$44,$A933,Premissas!$B$5:$B$44,$B933)+P933*SUMIFS(Premissas!$D$5:$D$44,Premissas!$A$5:$A$44,$A933,Premissas!$B$5:$B$44,$B933))+R933*SUMIFS(Premissas!$E$5:$E$44,Premissas!$A$5:$A$44,$A933,Premissas!$B$5:$B$44,$B933)+S933*SUMIFS(Premissas!$F$5:$F$44,Premissas!$A$5:$A$44,$A933,Premissas!$B$5:$B$44,$B933)</f>
        <v/>
      </c>
      <c r="L933" s="29">
        <f>J933-K933</f>
        <v/>
      </c>
      <c r="M933" t="inlineStr">
        <is>
          <t>2.350</t>
        </is>
      </c>
      <c r="N933" t="inlineStr">
        <is>
          <t>Modalidade: 2 - Por conta de terceiros | Parte: CMPC Iguacu Embalagens Ltda (11.308.600/0008-04)</t>
        </is>
      </c>
      <c r="O933" s="29" t="n">
        <v>0</v>
      </c>
      <c r="P933" s="29" t="n">
        <v>1639.81</v>
      </c>
      <c r="Q933" s="29" t="n">
        <v>0</v>
      </c>
      <c r="R933" s="29" t="n">
        <v>0</v>
      </c>
      <c r="S933" s="29" t="n">
        <v>0</v>
      </c>
      <c r="T933" t="inlineStr">
        <is>
          <t>42260702427026000901570040002015951020159594</t>
        </is>
      </c>
      <c r="U933" t="inlineStr">
        <is>
          <t>Sim</t>
        </is>
      </c>
    </row>
    <row r="934">
      <c r="A934" t="inlineStr">
        <is>
          <t>Frete de compra</t>
        </is>
      </c>
      <c r="B934" t="inlineStr">
        <is>
          <t>2.04.87 Frete sobre Compra</t>
        </is>
      </c>
      <c r="C934" s="30" t="n">
        <v>46204</v>
      </c>
      <c r="D934" t="inlineStr">
        <is>
          <t>Em 2026</t>
        </is>
      </c>
      <c r="E934" s="28" t="n">
        <v>46234</v>
      </c>
      <c r="F934" t="inlineStr">
        <is>
          <t>CT-e</t>
        </is>
      </c>
      <c r="G934" t="inlineStr">
        <is>
          <t>000201605</t>
        </is>
      </c>
      <c r="H934" t="inlineStr">
        <is>
          <t>ALIANCA NAVEGACAO E LOGISTICA LTDA</t>
        </is>
      </c>
      <c r="J934" s="29" t="n">
        <v>23418.89</v>
      </c>
      <c r="K934" s="29">
        <f>(1-ISNUMBER(SEARCH("556",M934)))*(O934*SUMIFS(Premissas!$C$5:$C$44,Premissas!$A$5:$A$44,$A934,Premissas!$B$5:$B$44,$B934)+P934*SUMIFS(Premissas!$D$5:$D$44,Premissas!$A$5:$A$44,$A934,Premissas!$B$5:$B$44,$B934))+R934*SUMIFS(Premissas!$E$5:$E$44,Premissas!$A$5:$A$44,$A934,Premissas!$B$5:$B$44,$B934)+S934*SUMIFS(Premissas!$F$5:$F$44,Premissas!$A$5:$A$44,$A934,Premissas!$B$5:$B$44,$B934)</f>
        <v/>
      </c>
      <c r="L934" s="29">
        <f>J934-K934</f>
        <v/>
      </c>
      <c r="M934" t="inlineStr">
        <is>
          <t>2.350</t>
        </is>
      </c>
      <c r="N934" t="inlineStr">
        <is>
          <t>Modalidade: 2 - Por conta de terceiros | Parte: CMPC Iguacu Embalagens Ltda (11.308.600/0008-04)</t>
        </is>
      </c>
      <c r="O934" s="29" t="n">
        <v>0</v>
      </c>
      <c r="P934" s="29" t="n">
        <v>1639.32</v>
      </c>
      <c r="Q934" s="29" t="n">
        <v>0</v>
      </c>
      <c r="R934" s="29" t="n">
        <v>0</v>
      </c>
      <c r="S934" s="29" t="n">
        <v>0</v>
      </c>
      <c r="T934" t="inlineStr">
        <is>
          <t>42260702427026000901570040002016051020160590</t>
        </is>
      </c>
      <c r="U934" t="inlineStr">
        <is>
          <t>Sim</t>
        </is>
      </c>
    </row>
    <row r="935">
      <c r="A935" t="inlineStr">
        <is>
          <t>Frete de compra</t>
        </is>
      </c>
      <c r="B935" t="inlineStr">
        <is>
          <t>2.04.87 Frete sobre Compra</t>
        </is>
      </c>
      <c r="C935" s="30" t="n">
        <v>46235</v>
      </c>
      <c r="D935" t="inlineStr">
        <is>
          <t>Em 2026</t>
        </is>
      </c>
      <c r="E935" s="28" t="n">
        <v>46265</v>
      </c>
      <c r="F935" t="inlineStr">
        <is>
          <t>CT-e</t>
        </is>
      </c>
      <c r="G935" t="inlineStr">
        <is>
          <t>000203478</t>
        </is>
      </c>
      <c r="H935" t="inlineStr">
        <is>
          <t>ALIANCA NAVEGACAO E LOGISTICA LTDA</t>
        </is>
      </c>
      <c r="J935" s="29" t="n">
        <v>23324.05</v>
      </c>
      <c r="K935" s="29">
        <f>(1-ISNUMBER(SEARCH("556",M935)))*(O935*SUMIFS(Premissas!$C$5:$C$44,Premissas!$A$5:$A$44,$A935,Premissas!$B$5:$B$44,$B935)+P935*SUMIFS(Premissas!$D$5:$D$44,Premissas!$A$5:$A$44,$A935,Premissas!$B$5:$B$44,$B935))+R935*SUMIFS(Premissas!$E$5:$E$44,Premissas!$A$5:$A$44,$A935,Premissas!$B$5:$B$44,$B935)+S935*SUMIFS(Premissas!$F$5:$F$44,Premissas!$A$5:$A$44,$A935,Premissas!$B$5:$B$44,$B935)</f>
        <v/>
      </c>
      <c r="L935" s="29">
        <f>J935-K935</f>
        <v/>
      </c>
      <c r="M935" t="inlineStr">
        <is>
          <t>2.350</t>
        </is>
      </c>
      <c r="N935" t="inlineStr">
        <is>
          <t>Modalidade: 2 - Por conta de terceiros | Parte: CMPC Iguacu Embalagens Ltda (11.308.600/0008-04)</t>
        </is>
      </c>
      <c r="O935" s="29" t="n">
        <v>0</v>
      </c>
      <c r="P935" s="29" t="n">
        <v>1632.68</v>
      </c>
      <c r="Q935" s="29" t="n">
        <v>0</v>
      </c>
      <c r="R935" s="29" t="n">
        <v>0</v>
      </c>
      <c r="S935" s="29" t="n">
        <v>0</v>
      </c>
      <c r="T935" t="inlineStr">
        <is>
          <t>42260802427026000901570040002034781020347893</t>
        </is>
      </c>
      <c r="U935" t="inlineStr">
        <is>
          <t>Sim</t>
        </is>
      </c>
    </row>
    <row r="936">
      <c r="A936" t="inlineStr">
        <is>
          <t>Frete de compra</t>
        </is>
      </c>
      <c r="B936" t="inlineStr">
        <is>
          <t>2.04.87 Frete sobre Compra</t>
        </is>
      </c>
      <c r="C936" s="30" t="n">
        <v>46266</v>
      </c>
      <c r="D936" t="inlineStr">
        <is>
          <t>Em 2026</t>
        </is>
      </c>
      <c r="E936" s="28" t="n">
        <v>46266</v>
      </c>
      <c r="F936" t="inlineStr">
        <is>
          <t>CT-e</t>
        </is>
      </c>
      <c r="G936" t="inlineStr">
        <is>
          <t>000047229</t>
        </is>
      </c>
      <c r="H936" t="inlineStr">
        <is>
          <t>ALIANCA NAVEGACAO E LOGISTICA LTDA</t>
        </is>
      </c>
      <c r="J936" s="29" t="n">
        <v>15661.72</v>
      </c>
      <c r="K936" s="29">
        <f>(1-ISNUMBER(SEARCH("556",M936)))*(O936*SUMIFS(Premissas!$C$5:$C$44,Premissas!$A$5:$A$44,$A936,Premissas!$B$5:$B$44,$B936)+P936*SUMIFS(Premissas!$D$5:$D$44,Premissas!$A$5:$A$44,$A936,Premissas!$B$5:$B$44,$B936))+R936*SUMIFS(Premissas!$E$5:$E$44,Premissas!$A$5:$A$44,$A936,Premissas!$B$5:$B$44,$B936)+S936*SUMIFS(Premissas!$F$5:$F$44,Premissas!$A$5:$A$44,$A936,Premissas!$B$5:$B$44,$B936)</f>
        <v/>
      </c>
      <c r="L936" s="29">
        <f>J936-K936</f>
        <v/>
      </c>
      <c r="M936" t="inlineStr">
        <is>
          <t>2.350</t>
        </is>
      </c>
      <c r="N936" t="inlineStr">
        <is>
          <t>Modalidade: 2 - Por conta de terceiros | Parte: COCELPA CIA DE CEL. E PAPEL DO PARANA SA (76.487.651/0001-10)</t>
        </is>
      </c>
      <c r="O936" s="29" t="n">
        <v>0</v>
      </c>
      <c r="P936" s="29" t="n">
        <v>1096.32</v>
      </c>
      <c r="Q936" s="29" t="n">
        <v>0</v>
      </c>
      <c r="R936" s="29" t="n">
        <v>0</v>
      </c>
      <c r="S936" s="29" t="n">
        <v>0</v>
      </c>
      <c r="T936" t="inlineStr">
        <is>
          <t>41260902427026002432570040000472291004722996</t>
        </is>
      </c>
      <c r="U936" t="inlineStr">
        <is>
          <t>Sim</t>
        </is>
      </c>
    </row>
    <row r="937">
      <c r="A937" t="inlineStr">
        <is>
          <t>Frete de compra</t>
        </is>
      </c>
      <c r="B937" t="inlineStr">
        <is>
          <t>2.04.87 Frete sobre Compra</t>
        </is>
      </c>
      <c r="C937" s="30" t="n">
        <v>46266</v>
      </c>
      <c r="D937" t="inlineStr">
        <is>
          <t>Em 2026</t>
        </is>
      </c>
      <c r="E937" s="28" t="n">
        <v>46273</v>
      </c>
      <c r="F937" t="inlineStr">
        <is>
          <t>CT-e</t>
        </is>
      </c>
      <c r="G937" t="inlineStr">
        <is>
          <t>000047364</t>
        </is>
      </c>
      <c r="H937" t="inlineStr">
        <is>
          <t>ALIANCA NAVEGACAO E LOGISTICA LTDA</t>
        </is>
      </c>
      <c r="J937" s="29" t="n">
        <v>15642.23</v>
      </c>
      <c r="K937" s="29">
        <f>(1-ISNUMBER(SEARCH("556",M937)))*(O937*SUMIFS(Premissas!$C$5:$C$44,Premissas!$A$5:$A$44,$A937,Premissas!$B$5:$B$44,$B937)+P937*SUMIFS(Premissas!$D$5:$D$44,Premissas!$A$5:$A$44,$A937,Premissas!$B$5:$B$44,$B937))+R937*SUMIFS(Premissas!$E$5:$E$44,Premissas!$A$5:$A$44,$A937,Premissas!$B$5:$B$44,$B937)+S937*SUMIFS(Premissas!$F$5:$F$44,Premissas!$A$5:$A$44,$A937,Premissas!$B$5:$B$44,$B937)</f>
        <v/>
      </c>
      <c r="L937" s="29">
        <f>J937-K937</f>
        <v/>
      </c>
      <c r="M937" t="inlineStr">
        <is>
          <t>2.350</t>
        </is>
      </c>
      <c r="N937" t="inlineStr">
        <is>
          <t>Modalidade: 2 - Por conta de terceiros | Parte: COCELPA CIA DE CEL. E PAPEL DO PARANA SA (76.487.651/0001-10)</t>
        </is>
      </c>
      <c r="O937" s="29" t="n">
        <v>0</v>
      </c>
      <c r="P937" s="29" t="n">
        <v>1094.96</v>
      </c>
      <c r="Q937" s="29" t="n">
        <v>0</v>
      </c>
      <c r="R937" s="29" t="n">
        <v>0</v>
      </c>
      <c r="S937" s="29" t="n">
        <v>0</v>
      </c>
      <c r="T937" t="inlineStr">
        <is>
          <t>41260902427026002432570040000473641004736495</t>
        </is>
      </c>
      <c r="U937" t="inlineStr">
        <is>
          <t>Sim</t>
        </is>
      </c>
    </row>
    <row r="938">
      <c r="A938" t="inlineStr">
        <is>
          <t>Frete de compra</t>
        </is>
      </c>
      <c r="B938" t="inlineStr">
        <is>
          <t>2.04.87 Frete sobre Compra</t>
        </is>
      </c>
      <c r="C938" s="30" t="n">
        <v>46266</v>
      </c>
      <c r="D938" t="inlineStr">
        <is>
          <t>Em 2026</t>
        </is>
      </c>
      <c r="E938" s="28" t="n">
        <v>46273</v>
      </c>
      <c r="F938" t="inlineStr">
        <is>
          <t>CT-e</t>
        </is>
      </c>
      <c r="G938" t="inlineStr">
        <is>
          <t>000047365</t>
        </is>
      </c>
      <c r="H938" t="inlineStr">
        <is>
          <t>ALIANCA NAVEGACAO E LOGISTICA LTDA</t>
        </is>
      </c>
      <c r="J938" s="29" t="n">
        <v>15644.04</v>
      </c>
      <c r="K938" s="29">
        <f>(1-ISNUMBER(SEARCH("556",M938)))*(O938*SUMIFS(Premissas!$C$5:$C$44,Premissas!$A$5:$A$44,$A938,Premissas!$B$5:$B$44,$B938)+P938*SUMIFS(Premissas!$D$5:$D$44,Premissas!$A$5:$A$44,$A938,Premissas!$B$5:$B$44,$B938))+R938*SUMIFS(Premissas!$E$5:$E$44,Premissas!$A$5:$A$44,$A938,Premissas!$B$5:$B$44,$B938)+S938*SUMIFS(Premissas!$F$5:$F$44,Premissas!$A$5:$A$44,$A938,Premissas!$B$5:$B$44,$B938)</f>
        <v/>
      </c>
      <c r="L938" s="29">
        <f>J938-K938</f>
        <v/>
      </c>
      <c r="M938" t="inlineStr">
        <is>
          <t>2.350</t>
        </is>
      </c>
      <c r="N938" t="inlineStr">
        <is>
          <t>Modalidade: 1 - Por conta do destinatário | Parte: COCELPA CIA DE CEL. E PAPEL DO PARANA SA (76.487.651/0001-10)</t>
        </is>
      </c>
      <c r="O938" s="29" t="n">
        <v>0</v>
      </c>
      <c r="P938" s="29" t="n">
        <v>1095.08</v>
      </c>
      <c r="Q938" s="29" t="n">
        <v>0</v>
      </c>
      <c r="R938" s="29" t="n">
        <v>0</v>
      </c>
      <c r="S938" s="29" t="n">
        <v>0</v>
      </c>
      <c r="T938" t="inlineStr">
        <is>
          <t>41260902427026002432570040000473651004736590</t>
        </is>
      </c>
      <c r="U938" t="inlineStr">
        <is>
          <t>Sim</t>
        </is>
      </c>
    </row>
    <row r="939">
      <c r="A939" t="inlineStr">
        <is>
          <t>Frete de compra</t>
        </is>
      </c>
      <c r="B939" t="inlineStr">
        <is>
          <t>2.04.87 Frete sobre Compra</t>
        </is>
      </c>
      <c r="C939" s="30" t="n">
        <v>46266</v>
      </c>
      <c r="D939" t="inlineStr">
        <is>
          <t>Em 2026</t>
        </is>
      </c>
      <c r="E939" s="28" t="n">
        <v>46266</v>
      </c>
      <c r="F939" t="inlineStr">
        <is>
          <t>CT-e</t>
        </is>
      </c>
      <c r="G939" t="inlineStr">
        <is>
          <t>000203487</t>
        </is>
      </c>
      <c r="H939" t="inlineStr">
        <is>
          <t>ALIANCA NAVEGACAO E LOGISTICA LTDA</t>
        </is>
      </c>
      <c r="J939" s="29" t="n">
        <v>23331.29</v>
      </c>
      <c r="K939" s="29">
        <f>(1-ISNUMBER(SEARCH("556",M939)))*(O939*SUMIFS(Premissas!$C$5:$C$44,Premissas!$A$5:$A$44,$A939,Premissas!$B$5:$B$44,$B939)+P939*SUMIFS(Premissas!$D$5:$D$44,Premissas!$A$5:$A$44,$A939,Premissas!$B$5:$B$44,$B939))+R939*SUMIFS(Premissas!$E$5:$E$44,Premissas!$A$5:$A$44,$A939,Premissas!$B$5:$B$44,$B939)+S939*SUMIFS(Premissas!$F$5:$F$44,Premissas!$A$5:$A$44,$A939,Premissas!$B$5:$B$44,$B939)</f>
        <v/>
      </c>
      <c r="L939" s="29">
        <f>J939-K939</f>
        <v/>
      </c>
      <c r="M939" t="inlineStr">
        <is>
          <t>2.350</t>
        </is>
      </c>
      <c r="N939" t="inlineStr">
        <is>
          <t>Modalidade: 2 - Por conta de terceiros | Parte: CMPC Iguacu Embalagens Ltda (11.308.600/0008-04)</t>
        </is>
      </c>
      <c r="O939" s="29" t="n">
        <v>0</v>
      </c>
      <c r="P939" s="29" t="n">
        <v>1633.19</v>
      </c>
      <c r="Q939" s="29" t="n">
        <v>0</v>
      </c>
      <c r="R939" s="29" t="n">
        <v>0</v>
      </c>
      <c r="S939" s="29" t="n">
        <v>0</v>
      </c>
      <c r="T939" t="inlineStr">
        <is>
          <t>42260902427026000901570040002034871020348795</t>
        </is>
      </c>
      <c r="U939" t="inlineStr">
        <is>
          <t>Sim</t>
        </is>
      </c>
    </row>
    <row r="940">
      <c r="A940" t="inlineStr">
        <is>
          <t>Frete de compra</t>
        </is>
      </c>
      <c r="B940" t="inlineStr">
        <is>
          <t>2.04.87 Frete sobre Compra</t>
        </is>
      </c>
      <c r="C940" s="30" t="n">
        <v>46266</v>
      </c>
      <c r="D940" t="inlineStr">
        <is>
          <t>Em 2026</t>
        </is>
      </c>
      <c r="E940" s="28" t="n">
        <v>46273</v>
      </c>
      <c r="F940" t="inlineStr">
        <is>
          <t>CT-e</t>
        </is>
      </c>
      <c r="G940" t="inlineStr">
        <is>
          <t>000204124</t>
        </is>
      </c>
      <c r="H940" t="inlineStr">
        <is>
          <t>ALIANCA NAVEGACAO E LOGISTICA LTDA</t>
        </is>
      </c>
      <c r="J940" s="29" t="n">
        <v>23546.52</v>
      </c>
      <c r="K940" s="29">
        <f>(1-ISNUMBER(SEARCH("556",M940)))*(O940*SUMIFS(Premissas!$C$5:$C$44,Premissas!$A$5:$A$44,$A940,Premissas!$B$5:$B$44,$B940)+P940*SUMIFS(Premissas!$D$5:$D$44,Premissas!$A$5:$A$44,$A940,Premissas!$B$5:$B$44,$B940))+R940*SUMIFS(Premissas!$E$5:$E$44,Premissas!$A$5:$A$44,$A940,Premissas!$B$5:$B$44,$B940)+S940*SUMIFS(Premissas!$F$5:$F$44,Premissas!$A$5:$A$44,$A940,Premissas!$B$5:$B$44,$B940)</f>
        <v/>
      </c>
      <c r="L940" s="29">
        <f>J940-K940</f>
        <v/>
      </c>
      <c r="M940" t="inlineStr">
        <is>
          <t>2.350</t>
        </is>
      </c>
      <c r="N940" t="inlineStr">
        <is>
          <t>Modalidade: 2 - Por conta de terceiros | Parte: CMPC Iguacu Embalagens Ltda (11.308.600/0008-04)</t>
        </is>
      </c>
      <c r="O940" s="29" t="n">
        <v>0</v>
      </c>
      <c r="P940" s="29" t="n">
        <v>1648.26</v>
      </c>
      <c r="Q940" s="29" t="n">
        <v>0</v>
      </c>
      <c r="R940" s="29" t="n">
        <v>0</v>
      </c>
      <c r="S940" s="29" t="n">
        <v>0</v>
      </c>
      <c r="T940" t="inlineStr">
        <is>
          <t>42260902427026000901570040002041241020412491</t>
        </is>
      </c>
      <c r="U940" t="inlineStr">
        <is>
          <t>Sim</t>
        </is>
      </c>
    </row>
    <row r="941">
      <c r="A941" t="inlineStr">
        <is>
          <t>Frete de compra</t>
        </is>
      </c>
      <c r="B941" t="inlineStr">
        <is>
          <t>2.04.87 Frete sobre Compra</t>
        </is>
      </c>
      <c r="C941" s="30" t="n">
        <v>46266</v>
      </c>
      <c r="D941" t="inlineStr">
        <is>
          <t>Em 2026</t>
        </is>
      </c>
      <c r="E941" s="28" t="n">
        <v>46273</v>
      </c>
      <c r="F941" t="inlineStr">
        <is>
          <t>CT-e</t>
        </is>
      </c>
      <c r="G941" t="inlineStr">
        <is>
          <t>000204126</t>
        </is>
      </c>
      <c r="H941" t="inlineStr">
        <is>
          <t>ALIANCA NAVEGACAO E LOGISTICA LTDA</t>
        </is>
      </c>
      <c r="J941" s="29" t="n">
        <v>23543.89</v>
      </c>
      <c r="K941" s="29">
        <f>(1-ISNUMBER(SEARCH("556",M941)))*(O941*SUMIFS(Premissas!$C$5:$C$44,Premissas!$A$5:$A$44,$A941,Premissas!$B$5:$B$44,$B941)+P941*SUMIFS(Premissas!$D$5:$D$44,Premissas!$A$5:$A$44,$A941,Premissas!$B$5:$B$44,$B941))+R941*SUMIFS(Premissas!$E$5:$E$44,Premissas!$A$5:$A$44,$A941,Premissas!$B$5:$B$44,$B941)+S941*SUMIFS(Premissas!$F$5:$F$44,Premissas!$A$5:$A$44,$A941,Premissas!$B$5:$B$44,$B941)</f>
        <v/>
      </c>
      <c r="L941" s="29">
        <f>J941-K941</f>
        <v/>
      </c>
      <c r="M941" t="inlineStr">
        <is>
          <t>2.350</t>
        </is>
      </c>
      <c r="N941" t="inlineStr">
        <is>
          <t>Modalidade: 2 - Por conta de terceiros | Parte: CMPC Iguacu Embalagens Ltda (11.308.600/0008-04)</t>
        </is>
      </c>
      <c r="O941" s="29" t="n">
        <v>0</v>
      </c>
      <c r="P941" s="29" t="n">
        <v>1648.07</v>
      </c>
      <c r="Q941" s="29" t="n">
        <v>0</v>
      </c>
      <c r="R941" s="29" t="n">
        <v>0</v>
      </c>
      <c r="S941" s="29" t="n">
        <v>0</v>
      </c>
      <c r="T941" t="inlineStr">
        <is>
          <t>42260902427026000901570040002041261020412690</t>
        </is>
      </c>
      <c r="U941" t="inlineStr">
        <is>
          <t>Sim</t>
        </is>
      </c>
    </row>
    <row r="942">
      <c r="A942" t="inlineStr">
        <is>
          <t>Frete de venda</t>
        </is>
      </c>
      <c r="B942" t="inlineStr">
        <is>
          <t>1.01.01 Venda de Mercadoria Fabricadas</t>
        </is>
      </c>
      <c r="C942" t="inlineStr">
        <is>
          <t>Antes de 2026</t>
        </is>
      </c>
      <c r="D942" t="inlineStr">
        <is>
          <t>Antes de 2026</t>
        </is>
      </c>
      <c r="E942" s="28" t="n">
        <v>45582</v>
      </c>
      <c r="F942" t="inlineStr">
        <is>
          <t>CT-e</t>
        </is>
      </c>
      <c r="G942" t="inlineStr">
        <is>
          <t>000000056</t>
        </is>
      </c>
      <c r="H942" t="inlineStr">
        <is>
          <t>ADIL CARLOS DA SILVA</t>
        </is>
      </c>
      <c r="J942" s="29" t="n">
        <v>150</v>
      </c>
      <c r="K942" s="29">
        <f>(1-ISNUMBER(SEARCH("556",M942)))*(O942*SUMIFS(Premissas!$C$5:$C$44,Premissas!$A$5:$A$44,$A942,Premissas!$B$5:$B$44,$B942)+P942*SUMIFS(Premissas!$D$5:$D$44,Premissas!$A$5:$A$44,$A942,Premissas!$B$5:$B$44,$B942))+R942*SUMIFS(Premissas!$E$5:$E$44,Premissas!$A$5:$A$44,$A942,Premissas!$B$5:$B$44,$B942)+S942*SUMIFS(Premissas!$F$5:$F$44,Premissas!$A$5:$A$44,$A942,Premissas!$B$5:$B$44,$B942)</f>
        <v/>
      </c>
      <c r="L942" s="29">
        <f>J942-K942</f>
        <v/>
      </c>
      <c r="M942" t="inlineStr">
        <is>
          <t>2.350</t>
        </is>
      </c>
      <c r="N942" t="inlineStr">
        <is>
          <t>Modalidade: 0 - Por conta do remetente | Parte: M N L FLORENTINO LTDA (47.068.852/0001-84)</t>
        </is>
      </c>
      <c r="O942" s="29" t="n">
        <v>0</v>
      </c>
      <c r="P942" s="29" t="n">
        <v>0</v>
      </c>
      <c r="Q942" s="29" t="n">
        <v>0</v>
      </c>
      <c r="R942" s="29" t="n">
        <v>0</v>
      </c>
      <c r="S942" s="29" t="n">
        <v>0</v>
      </c>
      <c r="T942" t="inlineStr">
        <is>
          <t>25241034595800000114570010000000561000000561</t>
        </is>
      </c>
      <c r="U942" t="inlineStr">
        <is>
          <t>Não</t>
        </is>
      </c>
    </row>
    <row r="943">
      <c r="A943" t="inlineStr">
        <is>
          <t>Frete de venda</t>
        </is>
      </c>
      <c r="B943" t="inlineStr">
        <is>
          <t>1.01.01 Venda de Mercadoria Fabricadas</t>
        </is>
      </c>
      <c r="C943" t="inlineStr">
        <is>
          <t>Antes de 2026</t>
        </is>
      </c>
      <c r="D943" t="inlineStr">
        <is>
          <t>Antes de 2026</t>
        </is>
      </c>
      <c r="E943" s="28" t="n">
        <v>45591</v>
      </c>
      <c r="F943" t="inlineStr">
        <is>
          <t>CT-e</t>
        </is>
      </c>
      <c r="G943" t="inlineStr">
        <is>
          <t>000000058</t>
        </is>
      </c>
      <c r="H943" t="inlineStr">
        <is>
          <t>ADIL CARLOS DA SILVA</t>
        </is>
      </c>
      <c r="J943" s="29" t="n">
        <v>100</v>
      </c>
      <c r="K943" s="29">
        <f>(1-ISNUMBER(SEARCH("556",M943)))*(O943*SUMIFS(Premissas!$C$5:$C$44,Premissas!$A$5:$A$44,$A943,Premissas!$B$5:$B$44,$B943)+P943*SUMIFS(Premissas!$D$5:$D$44,Premissas!$A$5:$A$44,$A943,Premissas!$B$5:$B$44,$B943))+R943*SUMIFS(Premissas!$E$5:$E$44,Premissas!$A$5:$A$44,$A943,Premissas!$B$5:$B$44,$B943)+S943*SUMIFS(Premissas!$F$5:$F$44,Premissas!$A$5:$A$44,$A943,Premissas!$B$5:$B$44,$B943)</f>
        <v/>
      </c>
      <c r="L943" s="29">
        <f>J943-K943</f>
        <v/>
      </c>
      <c r="M943" t="inlineStr">
        <is>
          <t>2.350</t>
        </is>
      </c>
      <c r="N943" t="inlineStr">
        <is>
          <t>Modalidade: 0 - Por conta do remetente | Parte: FORTALI DISTRIBUIDORA DE ALIMENTOS LTDA. (09.317.318/0001-75)</t>
        </is>
      </c>
      <c r="O943" s="29" t="n">
        <v>0</v>
      </c>
      <c r="P943" s="29" t="n">
        <v>0</v>
      </c>
      <c r="Q943" s="29" t="n">
        <v>0</v>
      </c>
      <c r="R943" s="29" t="n">
        <v>0</v>
      </c>
      <c r="S943" s="29" t="n">
        <v>0</v>
      </c>
      <c r="T943" t="inlineStr">
        <is>
          <t>25241034595800000114570010000000581000000582</t>
        </is>
      </c>
      <c r="U943" t="inlineStr">
        <is>
          <t>Não</t>
        </is>
      </c>
    </row>
    <row r="944">
      <c r="A944" t="inlineStr">
        <is>
          <t>Frete de venda</t>
        </is>
      </c>
      <c r="B944" t="inlineStr">
        <is>
          <t>1.01.01 Venda de Mercadoria Fabricadas</t>
        </is>
      </c>
      <c r="C944" t="inlineStr">
        <is>
          <t>Antes de 2026</t>
        </is>
      </c>
      <c r="D944" t="inlineStr">
        <is>
          <t>Antes de 2026</t>
        </is>
      </c>
      <c r="E944" s="28" t="n">
        <v>45591</v>
      </c>
      <c r="F944" t="inlineStr">
        <is>
          <t>CT-e</t>
        </is>
      </c>
      <c r="G944" t="inlineStr">
        <is>
          <t>000000059</t>
        </is>
      </c>
      <c r="H944" t="inlineStr">
        <is>
          <t>ADIL CARLOS DA SILVA</t>
        </is>
      </c>
      <c r="J944" s="29" t="n">
        <v>100</v>
      </c>
      <c r="K944" s="29">
        <f>(1-ISNUMBER(SEARCH("556",M944)))*(O944*SUMIFS(Premissas!$C$5:$C$44,Premissas!$A$5:$A$44,$A944,Premissas!$B$5:$B$44,$B944)+P944*SUMIFS(Premissas!$D$5:$D$44,Premissas!$A$5:$A$44,$A944,Premissas!$B$5:$B$44,$B944))+R944*SUMIFS(Premissas!$E$5:$E$44,Premissas!$A$5:$A$44,$A944,Premissas!$B$5:$B$44,$B944)+S944*SUMIFS(Premissas!$F$5:$F$44,Premissas!$A$5:$A$44,$A944,Premissas!$B$5:$B$44,$B944)</f>
        <v/>
      </c>
      <c r="L944" s="29">
        <f>J944-K944</f>
        <v/>
      </c>
      <c r="M944" t="inlineStr">
        <is>
          <t>2.350</t>
        </is>
      </c>
      <c r="N944" t="inlineStr">
        <is>
          <t>Modalidade: 0 - Por conta do remetente | Parte: R L COMERCIO DE EMBALAGENS PLASTICAS LTDA (33.919.949/0001-49)</t>
        </is>
      </c>
      <c r="O944" s="29" t="n">
        <v>0</v>
      </c>
      <c r="P944" s="29" t="n">
        <v>0</v>
      </c>
      <c r="Q944" s="29" t="n">
        <v>0</v>
      </c>
      <c r="R944" s="29" t="n">
        <v>0</v>
      </c>
      <c r="S944" s="29" t="n">
        <v>0</v>
      </c>
      <c r="T944" t="inlineStr">
        <is>
          <t>25241034595800000114570010000000591000000598</t>
        </is>
      </c>
      <c r="U944" t="inlineStr">
        <is>
          <t>Não</t>
        </is>
      </c>
    </row>
    <row r="945">
      <c r="A945" t="inlineStr">
        <is>
          <t>Frete de venda</t>
        </is>
      </c>
      <c r="B945" t="inlineStr">
        <is>
          <t>1.01.01 Venda de Mercadoria Fabricadas</t>
        </is>
      </c>
      <c r="C945" t="inlineStr">
        <is>
          <t>Antes de 2026</t>
        </is>
      </c>
      <c r="D945" t="inlineStr">
        <is>
          <t>Antes de 2026</t>
        </is>
      </c>
      <c r="E945" s="28" t="n">
        <v>45591</v>
      </c>
      <c r="F945" t="inlineStr">
        <is>
          <t>CT-e</t>
        </is>
      </c>
      <c r="G945" t="inlineStr">
        <is>
          <t>000000060</t>
        </is>
      </c>
      <c r="H945" t="inlineStr">
        <is>
          <t>ADIL CARLOS DA SILVA</t>
        </is>
      </c>
      <c r="J945" s="29" t="n">
        <v>100</v>
      </c>
      <c r="K945" s="29">
        <f>(1-ISNUMBER(SEARCH("556",M945)))*(O945*SUMIFS(Premissas!$C$5:$C$44,Premissas!$A$5:$A$44,$A945,Premissas!$B$5:$B$44,$B945)+P945*SUMIFS(Premissas!$D$5:$D$44,Premissas!$A$5:$A$44,$A945,Premissas!$B$5:$B$44,$B945))+R945*SUMIFS(Premissas!$E$5:$E$44,Premissas!$A$5:$A$44,$A945,Premissas!$B$5:$B$44,$B945)+S945*SUMIFS(Premissas!$F$5:$F$44,Premissas!$A$5:$A$44,$A945,Premissas!$B$5:$B$44,$B945)</f>
        <v/>
      </c>
      <c r="L945" s="29">
        <f>J945-K945</f>
        <v/>
      </c>
      <c r="M945" t="inlineStr">
        <is>
          <t>2.350</t>
        </is>
      </c>
      <c r="N945" t="inlineStr">
        <is>
          <t>Modalidade: 0 - Por conta do remetente | Parte: JND DISTRIBUIDORA LTDA (36.332.668/0001-83)</t>
        </is>
      </c>
      <c r="O945" s="29" t="n">
        <v>0</v>
      </c>
      <c r="P945" s="29" t="n">
        <v>0</v>
      </c>
      <c r="Q945" s="29" t="n">
        <v>0</v>
      </c>
      <c r="R945" s="29" t="n">
        <v>0</v>
      </c>
      <c r="S945" s="29" t="n">
        <v>0</v>
      </c>
      <c r="T945" t="inlineStr">
        <is>
          <t>25241034595800000114570010000000601000000602</t>
        </is>
      </c>
      <c r="U945" t="inlineStr">
        <is>
          <t>Não</t>
        </is>
      </c>
    </row>
    <row r="946">
      <c r="A946" t="inlineStr">
        <is>
          <t>Frete de venda</t>
        </is>
      </c>
      <c r="B946" t="inlineStr">
        <is>
          <t>1.01.01 Venda de Mercadoria Fabricadas</t>
        </is>
      </c>
      <c r="C946" t="inlineStr">
        <is>
          <t>Antes de 2026</t>
        </is>
      </c>
      <c r="D946" t="inlineStr">
        <is>
          <t>Antes de 2026</t>
        </is>
      </c>
      <c r="E946" s="28" t="n">
        <v>45600</v>
      </c>
      <c r="F946" t="inlineStr">
        <is>
          <t>CT-e</t>
        </is>
      </c>
      <c r="G946" t="inlineStr">
        <is>
          <t>000000063</t>
        </is>
      </c>
      <c r="H946" t="inlineStr">
        <is>
          <t>ADIL CARLOS DA SILVA</t>
        </is>
      </c>
      <c r="J946" s="29" t="n">
        <v>10</v>
      </c>
      <c r="K946" s="29">
        <f>(1-ISNUMBER(SEARCH("556",M946)))*(O946*SUMIFS(Premissas!$C$5:$C$44,Premissas!$A$5:$A$44,$A946,Premissas!$B$5:$B$44,$B946)+P946*SUMIFS(Premissas!$D$5:$D$44,Premissas!$A$5:$A$44,$A946,Premissas!$B$5:$B$44,$B946))+R946*SUMIFS(Premissas!$E$5:$E$44,Premissas!$A$5:$A$44,$A946,Premissas!$B$5:$B$44,$B946)+S946*SUMIFS(Premissas!$F$5:$F$44,Premissas!$A$5:$A$44,$A946,Premissas!$B$5:$B$44,$B946)</f>
        <v/>
      </c>
      <c r="L946" s="29">
        <f>J946-K946</f>
        <v/>
      </c>
      <c r="M946" t="inlineStr">
        <is>
          <t>2.350</t>
        </is>
      </c>
      <c r="N946" t="inlineStr">
        <is>
          <t>Modalidade: 0 - Por conta do remetente | Parte: M N L FLORENTINO LTDA (47.068.852/0001-84)</t>
        </is>
      </c>
      <c r="O946" s="29" t="n">
        <v>0</v>
      </c>
      <c r="P946" s="29" t="n">
        <v>0</v>
      </c>
      <c r="Q946" s="29" t="n">
        <v>0</v>
      </c>
      <c r="R946" s="29" t="n">
        <v>0</v>
      </c>
      <c r="S946" s="29" t="n">
        <v>0</v>
      </c>
      <c r="T946" t="inlineStr">
        <is>
          <t>25241134595800000114570010000000631000000632</t>
        </is>
      </c>
      <c r="U946" t="inlineStr">
        <is>
          <t>Não</t>
        </is>
      </c>
    </row>
    <row r="947">
      <c r="A947" t="inlineStr">
        <is>
          <t>Frete de venda</t>
        </is>
      </c>
      <c r="B947" t="inlineStr">
        <is>
          <t>1.01.01 Venda de Mercadoria Fabricadas</t>
        </is>
      </c>
      <c r="C947" t="inlineStr">
        <is>
          <t>Antes de 2026</t>
        </is>
      </c>
      <c r="D947" t="inlineStr">
        <is>
          <t>Antes de 2026</t>
        </is>
      </c>
      <c r="E947" s="28" t="n">
        <v>45600</v>
      </c>
      <c r="F947" t="inlineStr">
        <is>
          <t>CT-e</t>
        </is>
      </c>
      <c r="G947" t="inlineStr">
        <is>
          <t>000000064</t>
        </is>
      </c>
      <c r="H947" t="inlineStr">
        <is>
          <t>ADIL CARLOS DA SILVA</t>
        </is>
      </c>
      <c r="J947" s="29" t="n">
        <v>10</v>
      </c>
      <c r="K947" s="29">
        <f>(1-ISNUMBER(SEARCH("556",M947)))*(O947*SUMIFS(Premissas!$C$5:$C$44,Premissas!$A$5:$A$44,$A947,Premissas!$B$5:$B$44,$B947)+P947*SUMIFS(Premissas!$D$5:$D$44,Premissas!$A$5:$A$44,$A947,Premissas!$B$5:$B$44,$B947))+R947*SUMIFS(Premissas!$E$5:$E$44,Premissas!$A$5:$A$44,$A947,Premissas!$B$5:$B$44,$B947)+S947*SUMIFS(Premissas!$F$5:$F$44,Premissas!$A$5:$A$44,$A947,Premissas!$B$5:$B$44,$B947)</f>
        <v/>
      </c>
      <c r="L947" s="29">
        <f>J947-K947</f>
        <v/>
      </c>
      <c r="M947" t="inlineStr">
        <is>
          <t>2.350</t>
        </is>
      </c>
      <c r="N947" t="inlineStr">
        <is>
          <t>Modalidade: 0 - Por conta do remetente | Parte: MARCOS NATANAEL DOS SANTOS ROCHA (14.727.584/0001-06)</t>
        </is>
      </c>
      <c r="O947" s="29" t="n">
        <v>0</v>
      </c>
      <c r="P947" s="29" t="n">
        <v>0</v>
      </c>
      <c r="Q947" s="29" t="n">
        <v>0</v>
      </c>
      <c r="R947" s="29" t="n">
        <v>0</v>
      </c>
      <c r="S947" s="29" t="n">
        <v>0</v>
      </c>
      <c r="T947" t="inlineStr">
        <is>
          <t>25241134595800000114570010000000641000000648</t>
        </is>
      </c>
      <c r="U947" t="inlineStr">
        <is>
          <t>Não</t>
        </is>
      </c>
    </row>
    <row r="948">
      <c r="A948" t="inlineStr">
        <is>
          <t>Frete de venda</t>
        </is>
      </c>
      <c r="B948" t="inlineStr">
        <is>
          <t>1.01.01 Venda de Mercadoria Fabricadas</t>
        </is>
      </c>
      <c r="C948" t="inlineStr">
        <is>
          <t>Antes de 2026</t>
        </is>
      </c>
      <c r="D948" t="inlineStr">
        <is>
          <t>Antes de 2026</t>
        </is>
      </c>
      <c r="E948" s="28" t="n">
        <v>45607</v>
      </c>
      <c r="F948" t="inlineStr">
        <is>
          <t>CT-e</t>
        </is>
      </c>
      <c r="G948" t="inlineStr">
        <is>
          <t>000000065</t>
        </is>
      </c>
      <c r="H948" t="inlineStr">
        <is>
          <t>ADIL CARLOS DA SILVA</t>
        </is>
      </c>
      <c r="J948" s="29" t="n">
        <v>10</v>
      </c>
      <c r="K948" s="29">
        <f>(1-ISNUMBER(SEARCH("556",M948)))*(O948*SUMIFS(Premissas!$C$5:$C$44,Premissas!$A$5:$A$44,$A948,Premissas!$B$5:$B$44,$B948)+P948*SUMIFS(Premissas!$D$5:$D$44,Premissas!$A$5:$A$44,$A948,Premissas!$B$5:$B$44,$B948))+R948*SUMIFS(Premissas!$E$5:$E$44,Premissas!$A$5:$A$44,$A948,Premissas!$B$5:$B$44,$B948)+S948*SUMIFS(Premissas!$F$5:$F$44,Premissas!$A$5:$A$44,$A948,Premissas!$B$5:$B$44,$B948)</f>
        <v/>
      </c>
      <c r="L948" s="29">
        <f>J948-K948</f>
        <v/>
      </c>
      <c r="M948" t="inlineStr">
        <is>
          <t>2.350</t>
        </is>
      </c>
      <c r="N948" t="inlineStr">
        <is>
          <t>Modalidade: 0 - Por conta do remetente | Parte: HEMANOEL MOISES SOARES DE SOUZA (11.038.014/0001-10)</t>
        </is>
      </c>
      <c r="O948" s="29" t="n">
        <v>0</v>
      </c>
      <c r="P948" s="29" t="n">
        <v>0</v>
      </c>
      <c r="Q948" s="29" t="n">
        <v>0</v>
      </c>
      <c r="R948" s="29" t="n">
        <v>0</v>
      </c>
      <c r="S948" s="29" t="n">
        <v>0</v>
      </c>
      <c r="T948" t="inlineStr">
        <is>
          <t>25241134595800000114570010000000651000000653</t>
        </is>
      </c>
      <c r="U948" t="inlineStr">
        <is>
          <t>Não</t>
        </is>
      </c>
    </row>
    <row r="949">
      <c r="A949" t="inlineStr">
        <is>
          <t>Frete de venda</t>
        </is>
      </c>
      <c r="B949" t="inlineStr">
        <is>
          <t>1.01.01 Venda de Mercadoria Fabricadas</t>
        </is>
      </c>
      <c r="C949" t="inlineStr">
        <is>
          <t>Antes de 2026</t>
        </is>
      </c>
      <c r="D949" t="inlineStr">
        <is>
          <t>Antes de 2026</t>
        </is>
      </c>
      <c r="E949" s="28" t="n">
        <v>45627</v>
      </c>
      <c r="F949" t="inlineStr">
        <is>
          <t>CT-e</t>
        </is>
      </c>
      <c r="G949" t="inlineStr">
        <is>
          <t>000000067</t>
        </is>
      </c>
      <c r="H949" t="inlineStr">
        <is>
          <t>ADIL CARLOS DA SILVA</t>
        </is>
      </c>
      <c r="J949" s="29" t="n">
        <v>10</v>
      </c>
      <c r="K949" s="29">
        <f>(1-ISNUMBER(SEARCH("556",M949)))*(O949*SUMIFS(Premissas!$C$5:$C$44,Premissas!$A$5:$A$44,$A949,Premissas!$B$5:$B$44,$B949)+P949*SUMIFS(Premissas!$D$5:$D$44,Premissas!$A$5:$A$44,$A949,Premissas!$B$5:$B$44,$B949))+R949*SUMIFS(Premissas!$E$5:$E$44,Premissas!$A$5:$A$44,$A949,Premissas!$B$5:$B$44,$B949)+S949*SUMIFS(Premissas!$F$5:$F$44,Premissas!$A$5:$A$44,$A949,Premissas!$B$5:$B$44,$B949)</f>
        <v/>
      </c>
      <c r="L949" s="29">
        <f>J949-K949</f>
        <v/>
      </c>
      <c r="M949" t="inlineStr">
        <is>
          <t>2.350</t>
        </is>
      </c>
      <c r="N949" t="inlineStr">
        <is>
          <t>Modalidade: 0 - Por conta do remetente | Parte: M N L FLORENTINO LTDA (47.068.852/0001-84)</t>
        </is>
      </c>
      <c r="O949" s="29" t="n">
        <v>0</v>
      </c>
      <c r="P949" s="29" t="n">
        <v>0</v>
      </c>
      <c r="Q949" s="29" t="n">
        <v>0</v>
      </c>
      <c r="R949" s="29" t="n">
        <v>0</v>
      </c>
      <c r="S949" s="29" t="n">
        <v>0</v>
      </c>
      <c r="T949" t="inlineStr">
        <is>
          <t>25241234595800000114570010000000671000000678</t>
        </is>
      </c>
      <c r="U949" t="inlineStr">
        <is>
          <t>Não</t>
        </is>
      </c>
    </row>
    <row r="950">
      <c r="A950" t="inlineStr">
        <is>
          <t>Frete de venda</t>
        </is>
      </c>
      <c r="B950" t="inlineStr">
        <is>
          <t>1.01.01 Venda de Mercadoria Fabricadas</t>
        </is>
      </c>
      <c r="C950" t="inlineStr">
        <is>
          <t>Antes de 2026</t>
        </is>
      </c>
      <c r="D950" t="inlineStr">
        <is>
          <t>Antes de 2026</t>
        </is>
      </c>
      <c r="E950" s="28" t="n">
        <v>45637</v>
      </c>
      <c r="F950" t="inlineStr">
        <is>
          <t>CT-e</t>
        </is>
      </c>
      <c r="G950" t="inlineStr">
        <is>
          <t>000000068</t>
        </is>
      </c>
      <c r="H950" t="inlineStr">
        <is>
          <t>ADIL CARLOS DA SILVA</t>
        </is>
      </c>
      <c r="J950" s="29" t="n">
        <v>10</v>
      </c>
      <c r="K950" s="29">
        <f>(1-ISNUMBER(SEARCH("556",M950)))*(O950*SUMIFS(Premissas!$C$5:$C$44,Premissas!$A$5:$A$44,$A950,Premissas!$B$5:$B$44,$B950)+P950*SUMIFS(Premissas!$D$5:$D$44,Premissas!$A$5:$A$44,$A950,Premissas!$B$5:$B$44,$B950))+R950*SUMIFS(Premissas!$E$5:$E$44,Premissas!$A$5:$A$44,$A950,Premissas!$B$5:$B$44,$B950)+S950*SUMIFS(Premissas!$F$5:$F$44,Premissas!$A$5:$A$44,$A950,Premissas!$B$5:$B$44,$B950)</f>
        <v/>
      </c>
      <c r="L950" s="29">
        <f>J950-K950</f>
        <v/>
      </c>
      <c r="M950" t="inlineStr">
        <is>
          <t>2.350</t>
        </is>
      </c>
      <c r="N950" t="inlineStr">
        <is>
          <t>Modalidade: 0 - Por conta do remetente | Parte: PV COMERCIO E SERVICOS LTDA (28.358.623/0001-50)</t>
        </is>
      </c>
      <c r="O950" s="29" t="n">
        <v>0</v>
      </c>
      <c r="P950" s="29" t="n">
        <v>0</v>
      </c>
      <c r="Q950" s="29" t="n">
        <v>0</v>
      </c>
      <c r="R950" s="29" t="n">
        <v>0</v>
      </c>
      <c r="S950" s="29" t="n">
        <v>0</v>
      </c>
      <c r="T950" t="inlineStr">
        <is>
          <t>25241234595800000114570010000000681000000683</t>
        </is>
      </c>
      <c r="U950" t="inlineStr">
        <is>
          <t>Não</t>
        </is>
      </c>
    </row>
    <row r="951">
      <c r="A951" t="inlineStr">
        <is>
          <t>Frete de venda</t>
        </is>
      </c>
      <c r="B951" t="inlineStr">
        <is>
          <t>1.01.01 Venda de Mercadoria Fabricadas</t>
        </is>
      </c>
      <c r="C951" t="inlineStr">
        <is>
          <t>Antes de 2026</t>
        </is>
      </c>
      <c r="D951" t="inlineStr">
        <is>
          <t>Antes de 2026</t>
        </is>
      </c>
      <c r="E951" s="28" t="n">
        <v>45637</v>
      </c>
      <c r="F951" t="inlineStr">
        <is>
          <t>CT-e</t>
        </is>
      </c>
      <c r="G951" t="inlineStr">
        <is>
          <t>000000069</t>
        </is>
      </c>
      <c r="H951" t="inlineStr">
        <is>
          <t>ADIL CARLOS DA SILVA</t>
        </is>
      </c>
      <c r="J951" s="29" t="n">
        <v>10</v>
      </c>
      <c r="K951" s="29">
        <f>(1-ISNUMBER(SEARCH("556",M951)))*(O951*SUMIFS(Premissas!$C$5:$C$44,Premissas!$A$5:$A$44,$A951,Premissas!$B$5:$B$44,$B951)+P951*SUMIFS(Premissas!$D$5:$D$44,Premissas!$A$5:$A$44,$A951,Premissas!$B$5:$B$44,$B951))+R951*SUMIFS(Premissas!$E$5:$E$44,Premissas!$A$5:$A$44,$A951,Premissas!$B$5:$B$44,$B951)+S951*SUMIFS(Premissas!$F$5:$F$44,Premissas!$A$5:$A$44,$A951,Premissas!$B$5:$B$44,$B951)</f>
        <v/>
      </c>
      <c r="L951" s="29">
        <f>J951-K951</f>
        <v/>
      </c>
      <c r="M951" t="inlineStr">
        <is>
          <t>2.350</t>
        </is>
      </c>
      <c r="N951" t="inlineStr">
        <is>
          <t>Modalidade: 0 - Por conta do remetente | Parte: M N L FLORENTINO LTDA (47.068.852/0001-84)</t>
        </is>
      </c>
      <c r="O951" s="29" t="n">
        <v>0</v>
      </c>
      <c r="P951" s="29" t="n">
        <v>0</v>
      </c>
      <c r="Q951" s="29" t="n">
        <v>0</v>
      </c>
      <c r="R951" s="29" t="n">
        <v>0</v>
      </c>
      <c r="S951" s="29" t="n">
        <v>0</v>
      </c>
      <c r="T951" t="inlineStr">
        <is>
          <t>25241234595800000114570010000000691000000699</t>
        </is>
      </c>
      <c r="U951" t="inlineStr">
        <is>
          <t>Não</t>
        </is>
      </c>
    </row>
    <row r="952">
      <c r="A952" t="inlineStr">
        <is>
          <t>Frete de venda</t>
        </is>
      </c>
      <c r="B952" t="inlineStr">
        <is>
          <t>1.01.01 Venda de Mercadoria Fabricadas</t>
        </is>
      </c>
      <c r="C952" t="inlineStr">
        <is>
          <t>Antes de 2026</t>
        </is>
      </c>
      <c r="D952" t="inlineStr">
        <is>
          <t>Antes de 2026</t>
        </is>
      </c>
      <c r="E952" s="28" t="n">
        <v>45587</v>
      </c>
      <c r="F952" t="inlineStr">
        <is>
          <t>CT-e</t>
        </is>
      </c>
      <c r="G952" t="inlineStr">
        <is>
          <t>000025156</t>
        </is>
      </c>
      <c r="H952" t="inlineStr">
        <is>
          <t>GLOBAL AIR CARGO LTDA</t>
        </is>
      </c>
      <c r="J952" s="29" t="n">
        <v>241.7</v>
      </c>
      <c r="K952" s="29">
        <f>(1-ISNUMBER(SEARCH("556",M952)))*(O952*SUMIFS(Premissas!$C$5:$C$44,Premissas!$A$5:$A$44,$A952,Premissas!$B$5:$B$44,$B952)+P952*SUMIFS(Premissas!$D$5:$D$44,Premissas!$A$5:$A$44,$A952,Premissas!$B$5:$B$44,$B952))+R952*SUMIFS(Premissas!$E$5:$E$44,Premissas!$A$5:$A$44,$A952,Premissas!$B$5:$B$44,$B952)+S952*SUMIFS(Premissas!$F$5:$F$44,Premissas!$A$5:$A$44,$A952,Premissas!$B$5:$B$44,$B952)</f>
        <v/>
      </c>
      <c r="L952" s="29">
        <f>J952-K952</f>
        <v/>
      </c>
      <c r="M952" t="inlineStr">
        <is>
          <t>2.350</t>
        </is>
      </c>
      <c r="N952" t="inlineStr">
        <is>
          <t>Modalidade: 1 - Por conta do destinatário | Parte: TECHPRINT FACAS INDUSTRIAIS (23.105.251/0001-36)</t>
        </is>
      </c>
      <c r="O952" s="29" t="n">
        <v>0</v>
      </c>
      <c r="P952" s="29" t="n">
        <v>16.92</v>
      </c>
      <c r="Q952" s="29" t="n">
        <v>0</v>
      </c>
      <c r="R952" s="29" t="n">
        <v>0</v>
      </c>
      <c r="S952" s="29" t="n">
        <v>0</v>
      </c>
      <c r="T952" t="inlineStr">
        <is>
          <t>35241000945958000155570060000251561847589112</t>
        </is>
      </c>
      <c r="U952" t="inlineStr">
        <is>
          <t>Não</t>
        </is>
      </c>
    </row>
    <row r="953">
      <c r="A953" t="inlineStr">
        <is>
          <t>Frete de venda</t>
        </is>
      </c>
      <c r="B953" t="inlineStr">
        <is>
          <t>1.01.01 Venda de Mercadoria Fabricadas</t>
        </is>
      </c>
      <c r="C953" t="inlineStr">
        <is>
          <t>Antes de 2026</t>
        </is>
      </c>
      <c r="D953" t="inlineStr">
        <is>
          <t>Antes de 2026</t>
        </is>
      </c>
      <c r="E953" s="28" t="n">
        <v>45637</v>
      </c>
      <c r="F953" t="inlineStr">
        <is>
          <t>CT-e</t>
        </is>
      </c>
      <c r="G953" t="inlineStr">
        <is>
          <t>000028691</t>
        </is>
      </c>
      <c r="H953" t="inlineStr">
        <is>
          <t>GLOBAL AIR CARGO LTDA</t>
        </is>
      </c>
      <c r="J953" s="29" t="n">
        <v>236.91</v>
      </c>
      <c r="K953" s="29">
        <f>(1-ISNUMBER(SEARCH("556",M953)))*(O953*SUMIFS(Premissas!$C$5:$C$44,Premissas!$A$5:$A$44,$A953,Premissas!$B$5:$B$44,$B953)+P953*SUMIFS(Premissas!$D$5:$D$44,Premissas!$A$5:$A$44,$A953,Premissas!$B$5:$B$44,$B953))+R953*SUMIFS(Premissas!$E$5:$E$44,Premissas!$A$5:$A$44,$A953,Premissas!$B$5:$B$44,$B953)+S953*SUMIFS(Premissas!$F$5:$F$44,Premissas!$A$5:$A$44,$A953,Premissas!$B$5:$B$44,$B953)</f>
        <v/>
      </c>
      <c r="L953" s="29">
        <f>J953-K953</f>
        <v/>
      </c>
      <c r="M953" t="inlineStr">
        <is>
          <t>2.350</t>
        </is>
      </c>
      <c r="N953" t="inlineStr">
        <is>
          <t>Modalidade: 1 - Por conta do destinatário | Parte: TECHPRINT FACAS INDUSTRIAIS (23.105.251/0001-36)</t>
        </is>
      </c>
      <c r="O953" s="29" t="n">
        <v>0</v>
      </c>
      <c r="P953" s="29" t="n">
        <v>16.58</v>
      </c>
      <c r="Q953" s="29" t="n">
        <v>0</v>
      </c>
      <c r="R953" s="29" t="n">
        <v>0</v>
      </c>
      <c r="S953" s="29" t="n">
        <v>0</v>
      </c>
      <c r="T953" t="inlineStr">
        <is>
          <t>35241200945958000155570060000286911641907221</t>
        </is>
      </c>
      <c r="U953" t="inlineStr">
        <is>
          <t>Não</t>
        </is>
      </c>
    </row>
    <row r="954">
      <c r="A954" t="inlineStr">
        <is>
          <t>Frete de venda</t>
        </is>
      </c>
      <c r="B954" t="inlineStr">
        <is>
          <t>1.01.01 Venda de Mercadoria Fabricadas</t>
        </is>
      </c>
      <c r="C954" t="inlineStr">
        <is>
          <t>Antes de 2026</t>
        </is>
      </c>
      <c r="D954" t="inlineStr">
        <is>
          <t>Antes de 2026</t>
        </is>
      </c>
      <c r="E954" s="28" t="n">
        <v>45625</v>
      </c>
      <c r="F954" t="inlineStr">
        <is>
          <t>CT-e</t>
        </is>
      </c>
      <c r="G954" t="inlineStr">
        <is>
          <t>000003323</t>
        </is>
      </c>
      <c r="H954" t="inlineStr">
        <is>
          <t>PICCOLI LOGISTICA E TRANSPORTES LTDA</t>
        </is>
      </c>
      <c r="J954" s="29" t="n">
        <v>1642.35</v>
      </c>
      <c r="K954" s="29">
        <f>(1-ISNUMBER(SEARCH("556",M954)))*(O954*SUMIFS(Premissas!$C$5:$C$44,Premissas!$A$5:$A$44,$A954,Premissas!$B$5:$B$44,$B954)+P954*SUMIFS(Premissas!$D$5:$D$44,Premissas!$A$5:$A$44,$A954,Premissas!$B$5:$B$44,$B954))+R954*SUMIFS(Premissas!$E$5:$E$44,Premissas!$A$5:$A$44,$A954,Premissas!$B$5:$B$44,$B954)+S954*SUMIFS(Premissas!$F$5:$F$44,Premissas!$A$5:$A$44,$A954,Premissas!$B$5:$B$44,$B954)</f>
        <v/>
      </c>
      <c r="L954" s="29">
        <f>J954-K954</f>
        <v/>
      </c>
      <c r="M954" t="inlineStr">
        <is>
          <t>2.350</t>
        </is>
      </c>
      <c r="N954" t="inlineStr">
        <is>
          <t>Modalidade: 0 - Por conta do remetente | Parte: PLASTEL EMBALAGENS LTDA (05.264.854/0001-07)</t>
        </is>
      </c>
      <c r="O954" s="29" t="n">
        <v>0</v>
      </c>
      <c r="P954" s="29" t="n">
        <v>114.96</v>
      </c>
      <c r="Q954" s="29" t="n">
        <v>0</v>
      </c>
      <c r="R954" s="29" t="n">
        <v>0</v>
      </c>
      <c r="S954" s="29" t="n">
        <v>0</v>
      </c>
      <c r="T954" t="inlineStr">
        <is>
          <t>35241156910992000149570010000033231003726515</t>
        </is>
      </c>
      <c r="U954" t="inlineStr">
        <is>
          <t>Não</t>
        </is>
      </c>
    </row>
    <row r="955">
      <c r="A955" t="inlineStr">
        <is>
          <t>Frete de venda</t>
        </is>
      </c>
      <c r="B955" t="inlineStr">
        <is>
          <t>1.01.01 Venda de Mercadoria Fabricadas</t>
        </is>
      </c>
      <c r="C955" t="inlineStr">
        <is>
          <t>Antes de 2026</t>
        </is>
      </c>
      <c r="D955" t="inlineStr">
        <is>
          <t>Antes de 2026</t>
        </is>
      </c>
      <c r="E955" s="28" t="n">
        <v>45625</v>
      </c>
      <c r="F955" t="inlineStr">
        <is>
          <t>CT-e</t>
        </is>
      </c>
      <c r="G955" t="inlineStr">
        <is>
          <t>000003324</t>
        </is>
      </c>
      <c r="H955" t="inlineStr">
        <is>
          <t>PICCOLI LOGISTICA E TRANSPORTES LTDA</t>
        </is>
      </c>
      <c r="J955" s="29" t="n">
        <v>1886.63</v>
      </c>
      <c r="K955" s="29">
        <f>(1-ISNUMBER(SEARCH("556",M955)))*(O955*SUMIFS(Premissas!$C$5:$C$44,Premissas!$A$5:$A$44,$A955,Premissas!$B$5:$B$44,$B955)+P955*SUMIFS(Premissas!$D$5:$D$44,Premissas!$A$5:$A$44,$A955,Premissas!$B$5:$B$44,$B955))+R955*SUMIFS(Premissas!$E$5:$E$44,Premissas!$A$5:$A$44,$A955,Premissas!$B$5:$B$44,$B955)+S955*SUMIFS(Premissas!$F$5:$F$44,Premissas!$A$5:$A$44,$A955,Premissas!$B$5:$B$44,$B955)</f>
        <v/>
      </c>
      <c r="L955" s="29">
        <f>J955-K955</f>
        <v/>
      </c>
      <c r="M955" t="inlineStr">
        <is>
          <t>2.350</t>
        </is>
      </c>
      <c r="N955" t="inlineStr">
        <is>
          <t>Modalidade: 0 - Por conta do remetente | Parte: NUNES, TAVARES e CIA LTDA (43.607.502/0001-98)</t>
        </is>
      </c>
      <c r="O955" s="29" t="n">
        <v>0</v>
      </c>
      <c r="P955" s="29" t="n">
        <v>132.06</v>
      </c>
      <c r="Q955" s="29" t="n">
        <v>0</v>
      </c>
      <c r="R955" s="29" t="n">
        <v>0</v>
      </c>
      <c r="S955" s="29" t="n">
        <v>0</v>
      </c>
      <c r="T955" t="inlineStr">
        <is>
          <t>35241156910992000149570010000033241003726520</t>
        </is>
      </c>
      <c r="U955" t="inlineStr">
        <is>
          <t>Não</t>
        </is>
      </c>
    </row>
    <row r="956">
      <c r="A956" t="inlineStr">
        <is>
          <t>Frete de venda</t>
        </is>
      </c>
      <c r="B956" t="inlineStr">
        <is>
          <t>1.01.01 Venda de Mercadoria Fabricadas</t>
        </is>
      </c>
      <c r="C956" t="inlineStr">
        <is>
          <t>Antes de 2026</t>
        </is>
      </c>
      <c r="D956" t="inlineStr">
        <is>
          <t>Antes de 2026</t>
        </is>
      </c>
      <c r="E956" s="28" t="n">
        <v>45625</v>
      </c>
      <c r="F956" t="inlineStr">
        <is>
          <t>CT-e</t>
        </is>
      </c>
      <c r="G956" t="inlineStr">
        <is>
          <t>001282219</t>
        </is>
      </c>
      <c r="H956" t="inlineStr">
        <is>
          <t>PICCOLI TRANSPORTES LTDA</t>
        </is>
      </c>
      <c r="J956" s="29" t="n">
        <v>825.97</v>
      </c>
      <c r="K956" s="29">
        <f>(1-ISNUMBER(SEARCH("556",M956)))*(O956*SUMIFS(Premissas!$C$5:$C$44,Premissas!$A$5:$A$44,$A956,Premissas!$B$5:$B$44,$B956)+P956*SUMIFS(Premissas!$D$5:$D$44,Premissas!$A$5:$A$44,$A956,Premissas!$B$5:$B$44,$B956))+R956*SUMIFS(Premissas!$E$5:$E$44,Premissas!$A$5:$A$44,$A956,Premissas!$B$5:$B$44,$B956)+S956*SUMIFS(Premissas!$F$5:$F$44,Premissas!$A$5:$A$44,$A956,Premissas!$B$5:$B$44,$B956)</f>
        <v/>
      </c>
      <c r="L956" s="29">
        <f>J956-K956</f>
        <v/>
      </c>
      <c r="M956" t="inlineStr">
        <is>
          <t>2.350</t>
        </is>
      </c>
      <c r="N956" t="inlineStr">
        <is>
          <t>Modalidade: 0 - Por conta do remetente | Parte: NOVA ROCHA DISTRIBUIDORA DE EMBALAGENS LTDA (25.175.820/0001-45)</t>
        </is>
      </c>
      <c r="O956" s="29" t="n">
        <v>0</v>
      </c>
      <c r="P956" s="29" t="n">
        <v>57.82</v>
      </c>
      <c r="Q956" s="29" t="n">
        <v>0</v>
      </c>
      <c r="R956" s="29" t="n">
        <v>0</v>
      </c>
      <c r="S956" s="29" t="n">
        <v>0</v>
      </c>
      <c r="T956" t="inlineStr">
        <is>
          <t>35241101496359000245570010012822191003726119</t>
        </is>
      </c>
      <c r="U956" t="inlineStr">
        <is>
          <t>Não</t>
        </is>
      </c>
    </row>
    <row r="957">
      <c r="A957" t="inlineStr">
        <is>
          <t>Frete de venda</t>
        </is>
      </c>
      <c r="B957" t="inlineStr">
        <is>
          <t>1.01.01 Venda de Mercadoria Fabricadas</t>
        </is>
      </c>
      <c r="C957" t="inlineStr">
        <is>
          <t>Antes de 2026</t>
        </is>
      </c>
      <c r="D957" t="inlineStr">
        <is>
          <t>Antes de 2026</t>
        </is>
      </c>
      <c r="E957" s="28" t="n">
        <v>45644</v>
      </c>
      <c r="F957" t="inlineStr">
        <is>
          <t>CT-e</t>
        </is>
      </c>
      <c r="G957" t="inlineStr">
        <is>
          <t>001288477</t>
        </is>
      </c>
      <c r="H957" t="inlineStr">
        <is>
          <t>PICCOLI TRANSPORTES LTDA</t>
        </is>
      </c>
      <c r="J957" s="29" t="n">
        <v>704.1900000000001</v>
      </c>
      <c r="K957" s="29">
        <f>(1-ISNUMBER(SEARCH("556",M957)))*(O957*SUMIFS(Premissas!$C$5:$C$44,Premissas!$A$5:$A$44,$A957,Premissas!$B$5:$B$44,$B957)+P957*SUMIFS(Premissas!$D$5:$D$44,Premissas!$A$5:$A$44,$A957,Premissas!$B$5:$B$44,$B957))+R957*SUMIFS(Premissas!$E$5:$E$44,Premissas!$A$5:$A$44,$A957,Premissas!$B$5:$B$44,$B957)+S957*SUMIFS(Premissas!$F$5:$F$44,Premissas!$A$5:$A$44,$A957,Premissas!$B$5:$B$44,$B957)</f>
        <v/>
      </c>
      <c r="L957" s="29">
        <f>J957-K957</f>
        <v/>
      </c>
      <c r="M957" t="inlineStr">
        <is>
          <t>2.350</t>
        </is>
      </c>
      <c r="N957" t="inlineStr">
        <is>
          <t>Modalidade: 0 - Por conta do remetente | Parte: MATOS EMBALAGENS COMERCIO LTDA (01.888.718/0001-29)</t>
        </is>
      </c>
      <c r="O957" s="29" t="n">
        <v>0</v>
      </c>
      <c r="P957" s="29" t="n">
        <v>49.29</v>
      </c>
      <c r="Q957" s="29" t="n">
        <v>0</v>
      </c>
      <c r="R957" s="29" t="n">
        <v>0</v>
      </c>
      <c r="S957" s="29" t="n">
        <v>0</v>
      </c>
      <c r="T957" t="inlineStr">
        <is>
          <t>35241201496359000245570010012884771003802066</t>
        </is>
      </c>
      <c r="U957" t="inlineStr">
        <is>
          <t>Não</t>
        </is>
      </c>
    </row>
    <row r="958">
      <c r="A958" t="inlineStr">
        <is>
          <t>Frete de venda</t>
        </is>
      </c>
      <c r="B958" t="inlineStr">
        <is>
          <t>1.01.01 Venda de Mercadoria Fabricadas</t>
        </is>
      </c>
      <c r="C958" t="inlineStr">
        <is>
          <t>Antes de 2026</t>
        </is>
      </c>
      <c r="D958" t="inlineStr">
        <is>
          <t>Antes de 2026</t>
        </is>
      </c>
      <c r="E958" s="28" t="n">
        <v>45644</v>
      </c>
      <c r="F958" t="inlineStr">
        <is>
          <t>CT-e</t>
        </is>
      </c>
      <c r="G958" t="inlineStr">
        <is>
          <t>001288478</t>
        </is>
      </c>
      <c r="H958" t="inlineStr">
        <is>
          <t>PICCOLI TRANSPORTES LTDA</t>
        </is>
      </c>
      <c r="J958" s="29" t="n">
        <v>892.17</v>
      </c>
      <c r="K958" s="29">
        <f>(1-ISNUMBER(SEARCH("556",M958)))*(O958*SUMIFS(Premissas!$C$5:$C$44,Premissas!$A$5:$A$44,$A958,Premissas!$B$5:$B$44,$B958)+P958*SUMIFS(Premissas!$D$5:$D$44,Premissas!$A$5:$A$44,$A958,Premissas!$B$5:$B$44,$B958))+R958*SUMIFS(Premissas!$E$5:$E$44,Premissas!$A$5:$A$44,$A958,Premissas!$B$5:$B$44,$B958)+S958*SUMIFS(Premissas!$F$5:$F$44,Premissas!$A$5:$A$44,$A958,Premissas!$B$5:$B$44,$B958)</f>
        <v/>
      </c>
      <c r="L958" s="29">
        <f>J958-K958</f>
        <v/>
      </c>
      <c r="M958" t="inlineStr">
        <is>
          <t>2.350</t>
        </is>
      </c>
      <c r="N958" t="inlineStr">
        <is>
          <t>Modalidade: 0 - Por conta do remetente | Parte: BIG EMBALAGENS COMERCIO LTDA (05.542.098/0001-22)</t>
        </is>
      </c>
      <c r="O958" s="29" t="n">
        <v>0</v>
      </c>
      <c r="P958" s="29" t="n">
        <v>62.45</v>
      </c>
      <c r="Q958" s="29" t="n">
        <v>0</v>
      </c>
      <c r="R958" s="29" t="n">
        <v>0</v>
      </c>
      <c r="S958" s="29" t="n">
        <v>0</v>
      </c>
      <c r="T958" t="inlineStr">
        <is>
          <t>35241201496359000245570010012884781003802071</t>
        </is>
      </c>
      <c r="U958" t="inlineStr">
        <is>
          <t>Não</t>
        </is>
      </c>
    </row>
    <row r="959">
      <c r="A959" t="inlineStr">
        <is>
          <t>Frete de venda</t>
        </is>
      </c>
      <c r="B959" t="inlineStr">
        <is>
          <t>1.01.01 Venda de Mercadoria Fabricadas</t>
        </is>
      </c>
      <c r="C959" t="inlineStr">
        <is>
          <t>Antes de 2026</t>
        </is>
      </c>
      <c r="D959" t="inlineStr">
        <is>
          <t>Antes de 2026</t>
        </is>
      </c>
      <c r="E959" s="28" t="n">
        <v>45644</v>
      </c>
      <c r="F959" t="inlineStr">
        <is>
          <t>CT-e</t>
        </is>
      </c>
      <c r="G959" t="inlineStr">
        <is>
          <t>001288479</t>
        </is>
      </c>
      <c r="H959" t="inlineStr">
        <is>
          <t>PICCOLI TRANSPORTES LTDA</t>
        </is>
      </c>
      <c r="J959" s="29" t="n">
        <v>445.2</v>
      </c>
      <c r="K959" s="29">
        <f>(1-ISNUMBER(SEARCH("556",M959)))*(O959*SUMIFS(Premissas!$C$5:$C$44,Premissas!$A$5:$A$44,$A959,Premissas!$B$5:$B$44,$B959)+P959*SUMIFS(Premissas!$D$5:$D$44,Premissas!$A$5:$A$44,$A959,Premissas!$B$5:$B$44,$B959))+R959*SUMIFS(Premissas!$E$5:$E$44,Premissas!$A$5:$A$44,$A959,Premissas!$B$5:$B$44,$B959)+S959*SUMIFS(Premissas!$F$5:$F$44,Premissas!$A$5:$A$44,$A959,Premissas!$B$5:$B$44,$B959)</f>
        <v/>
      </c>
      <c r="L959" s="29">
        <f>J959-K959</f>
        <v/>
      </c>
      <c r="M959" t="inlineStr">
        <is>
          <t>2.350</t>
        </is>
      </c>
      <c r="N959" t="inlineStr">
        <is>
          <t>Modalidade: 0 - Por conta do remetente | Parte: MATRIZ EMBALAGENS LTDA (31.077.637/0001-00)</t>
        </is>
      </c>
      <c r="O959" s="29" t="n">
        <v>0</v>
      </c>
      <c r="P959" s="29" t="n">
        <v>31.16</v>
      </c>
      <c r="Q959" s="29" t="n">
        <v>0</v>
      </c>
      <c r="R959" s="29" t="n">
        <v>0</v>
      </c>
      <c r="S959" s="29" t="n">
        <v>0</v>
      </c>
      <c r="T959" t="inlineStr">
        <is>
          <t>35241201496359000245570010012884791003802087</t>
        </is>
      </c>
      <c r="U959" t="inlineStr">
        <is>
          <t>Não</t>
        </is>
      </c>
    </row>
    <row r="960">
      <c r="A960" t="inlineStr">
        <is>
          <t>Frete de venda</t>
        </is>
      </c>
      <c r="B960" t="inlineStr">
        <is>
          <t>1.01.01 Venda de Mercadoria Fabricadas</t>
        </is>
      </c>
      <c r="C960" t="inlineStr">
        <is>
          <t>Antes de 2026</t>
        </is>
      </c>
      <c r="D960" t="inlineStr">
        <is>
          <t>Antes de 2026</t>
        </is>
      </c>
      <c r="E960" s="28" t="n">
        <v>45583</v>
      </c>
      <c r="F960" t="inlineStr">
        <is>
          <t>CT-e</t>
        </is>
      </c>
      <c r="G960" t="inlineStr">
        <is>
          <t>000002887</t>
        </is>
      </c>
      <c r="H960" t="inlineStr">
        <is>
          <t>R&amp;R TRANSPORTE E LOGISTICA</t>
        </is>
      </c>
      <c r="J960" s="29" t="n">
        <v>200</v>
      </c>
      <c r="K960" s="29">
        <f>(1-ISNUMBER(SEARCH("556",M960)))*(O960*SUMIFS(Premissas!$C$5:$C$44,Premissas!$A$5:$A$44,$A960,Premissas!$B$5:$B$44,$B960)+P960*SUMIFS(Premissas!$D$5:$D$44,Premissas!$A$5:$A$44,$A960,Premissas!$B$5:$B$44,$B960))+R960*SUMIFS(Premissas!$E$5:$E$44,Premissas!$A$5:$A$44,$A960,Premissas!$B$5:$B$44,$B960)+S960*SUMIFS(Premissas!$F$5:$F$44,Premissas!$A$5:$A$44,$A960,Premissas!$B$5:$B$44,$B960)</f>
        <v/>
      </c>
      <c r="L960" s="29">
        <f>J960-K960</f>
        <v/>
      </c>
      <c r="M960" t="inlineStr">
        <is>
          <t>1.350</t>
        </is>
      </c>
      <c r="N960" t="inlineStr">
        <is>
          <t>Modalidade: 0 - Por conta do remetente | Parte: WRFC EMBALAGENS LTDA (56.093.170/0001-12)</t>
        </is>
      </c>
      <c r="O960" s="29" t="n">
        <v>0</v>
      </c>
      <c r="P960" s="29" t="n">
        <v>0</v>
      </c>
      <c r="Q960" s="29" t="n">
        <v>0</v>
      </c>
      <c r="R960" s="29" t="n">
        <v>0</v>
      </c>
      <c r="S960" s="29" t="n">
        <v>0</v>
      </c>
      <c r="T960" t="inlineStr">
        <is>
          <t>25241026975620000130570010000028871000000003</t>
        </is>
      </c>
      <c r="U960" t="inlineStr">
        <is>
          <t>Não</t>
        </is>
      </c>
    </row>
    <row r="961">
      <c r="A961" t="inlineStr">
        <is>
          <t>Frete de venda</t>
        </is>
      </c>
      <c r="B961" t="inlineStr">
        <is>
          <t>1.01.01 Venda de Mercadoria Fabricadas</t>
        </is>
      </c>
      <c r="C961" t="inlineStr">
        <is>
          <t>Antes de 2026</t>
        </is>
      </c>
      <c r="D961" t="inlineStr">
        <is>
          <t>Antes de 2026</t>
        </is>
      </c>
      <c r="E961" s="28" t="n">
        <v>45583</v>
      </c>
      <c r="F961" t="inlineStr">
        <is>
          <t>CT-e</t>
        </is>
      </c>
      <c r="G961" t="inlineStr">
        <is>
          <t>000002888</t>
        </is>
      </c>
      <c r="H961" t="inlineStr">
        <is>
          <t>R&amp;R TRANSPORTE E LOGISTICA</t>
        </is>
      </c>
      <c r="J961" s="29" t="n">
        <v>91</v>
      </c>
      <c r="K961" s="29">
        <f>(1-ISNUMBER(SEARCH("556",M961)))*(O961*SUMIFS(Premissas!$C$5:$C$44,Premissas!$A$5:$A$44,$A961,Premissas!$B$5:$B$44,$B961)+P961*SUMIFS(Premissas!$D$5:$D$44,Premissas!$A$5:$A$44,$A961,Premissas!$B$5:$B$44,$B961))+R961*SUMIFS(Premissas!$E$5:$E$44,Premissas!$A$5:$A$44,$A961,Premissas!$B$5:$B$44,$B961)+S961*SUMIFS(Premissas!$F$5:$F$44,Premissas!$A$5:$A$44,$A961,Premissas!$B$5:$B$44,$B961)</f>
        <v/>
      </c>
      <c r="L961" s="29">
        <f>J961-K961</f>
        <v/>
      </c>
      <c r="M961" t="inlineStr">
        <is>
          <t>1.350</t>
        </is>
      </c>
      <c r="N961" t="inlineStr">
        <is>
          <t>Modalidade: 0 - Por conta do remetente | Parte: STAMP DISTRIBUIDORA DE EMBALAGENS DE PAPEL E DESCARTAVEI... (48.984.362/0001-90)</t>
        </is>
      </c>
      <c r="O961" s="29" t="n">
        <v>0</v>
      </c>
      <c r="P961" s="29" t="n">
        <v>0</v>
      </c>
      <c r="Q961" s="29" t="n">
        <v>0</v>
      </c>
      <c r="R961" s="29" t="n">
        <v>0</v>
      </c>
      <c r="S961" s="29" t="n">
        <v>0</v>
      </c>
      <c r="T961" t="inlineStr">
        <is>
          <t>25241026975620000130570010000028881000000000</t>
        </is>
      </c>
      <c r="U961" t="inlineStr">
        <is>
          <t>Não</t>
        </is>
      </c>
    </row>
    <row r="962">
      <c r="A962" t="inlineStr">
        <is>
          <t>Frete de venda</t>
        </is>
      </c>
      <c r="B962" t="inlineStr">
        <is>
          <t>1.01.01 Venda de Mercadoria Fabricadas</t>
        </is>
      </c>
      <c r="C962" t="inlineStr">
        <is>
          <t>Antes de 2026</t>
        </is>
      </c>
      <c r="D962" t="inlineStr">
        <is>
          <t>Antes de 2026</t>
        </is>
      </c>
      <c r="E962" s="28" t="n">
        <v>45583</v>
      </c>
      <c r="F962" t="inlineStr">
        <is>
          <t>CT-e</t>
        </is>
      </c>
      <c r="G962" t="inlineStr">
        <is>
          <t>000002889</t>
        </is>
      </c>
      <c r="H962" t="inlineStr">
        <is>
          <t>R&amp;R TRANSPORTE E LOGISTICA</t>
        </is>
      </c>
      <c r="J962" s="29" t="n">
        <v>102</v>
      </c>
      <c r="K962" s="29">
        <f>(1-ISNUMBER(SEARCH("556",M962)))*(O962*SUMIFS(Premissas!$C$5:$C$44,Premissas!$A$5:$A$44,$A962,Premissas!$B$5:$B$44,$B962)+P962*SUMIFS(Premissas!$D$5:$D$44,Premissas!$A$5:$A$44,$A962,Premissas!$B$5:$B$44,$B962))+R962*SUMIFS(Premissas!$E$5:$E$44,Premissas!$A$5:$A$44,$A962,Premissas!$B$5:$B$44,$B962)+S962*SUMIFS(Premissas!$F$5:$F$44,Premissas!$A$5:$A$44,$A962,Premissas!$B$5:$B$44,$B962)</f>
        <v/>
      </c>
      <c r="L962" s="29">
        <f>J962-K962</f>
        <v/>
      </c>
      <c r="M962" t="inlineStr">
        <is>
          <t>1.350</t>
        </is>
      </c>
      <c r="N962" t="inlineStr">
        <is>
          <t>Modalidade: 0 - Por conta do remetente | Parte: AMORIM e CIA LTDA. (08.291.637/0003-58)</t>
        </is>
      </c>
      <c r="O962" s="29" t="n">
        <v>0</v>
      </c>
      <c r="P962" s="29" t="n">
        <v>0</v>
      </c>
      <c r="Q962" s="29" t="n">
        <v>0</v>
      </c>
      <c r="R962" s="29" t="n">
        <v>0</v>
      </c>
      <c r="S962" s="29" t="n">
        <v>0</v>
      </c>
      <c r="T962" t="inlineStr">
        <is>
          <t>25241026975620000130570010000028891000000008</t>
        </is>
      </c>
      <c r="U962" t="inlineStr">
        <is>
          <t>Não</t>
        </is>
      </c>
    </row>
    <row r="963">
      <c r="A963" t="inlineStr">
        <is>
          <t>Frete de venda</t>
        </is>
      </c>
      <c r="B963" t="inlineStr">
        <is>
          <t>1.01.01 Venda de Mercadoria Fabricadas</t>
        </is>
      </c>
      <c r="C963" t="inlineStr">
        <is>
          <t>Antes de 2026</t>
        </is>
      </c>
      <c r="D963" t="inlineStr">
        <is>
          <t>Antes de 2026</t>
        </is>
      </c>
      <c r="E963" s="28" t="n">
        <v>45583</v>
      </c>
      <c r="F963" t="inlineStr">
        <is>
          <t>CT-e</t>
        </is>
      </c>
      <c r="G963" t="inlineStr">
        <is>
          <t>000002890</t>
        </is>
      </c>
      <c r="H963" t="inlineStr">
        <is>
          <t>R&amp;R TRANSPORTE E LOGISTICA</t>
        </is>
      </c>
      <c r="J963" s="29" t="n">
        <v>490</v>
      </c>
      <c r="K963" s="29">
        <f>(1-ISNUMBER(SEARCH("556",M963)))*(O963*SUMIFS(Premissas!$C$5:$C$44,Premissas!$A$5:$A$44,$A963,Premissas!$B$5:$B$44,$B963)+P963*SUMIFS(Premissas!$D$5:$D$44,Premissas!$A$5:$A$44,$A963,Premissas!$B$5:$B$44,$B963))+R963*SUMIFS(Premissas!$E$5:$E$44,Premissas!$A$5:$A$44,$A963,Premissas!$B$5:$B$44,$B963)+S963*SUMIFS(Premissas!$F$5:$F$44,Premissas!$A$5:$A$44,$A963,Premissas!$B$5:$B$44,$B963)</f>
        <v/>
      </c>
      <c r="L963" s="29">
        <f>J963-K963</f>
        <v/>
      </c>
      <c r="M963" t="inlineStr">
        <is>
          <t>1.350</t>
        </is>
      </c>
      <c r="N963" t="inlineStr">
        <is>
          <t>Modalidade: 0 - Por conta do remetente | Parte: VINCO DISTRIBUIDORA DE EMBALAGENS LTDA (55.333.385/0001-09)</t>
        </is>
      </c>
      <c r="O963" s="29" t="n">
        <v>0</v>
      </c>
      <c r="P963" s="29" t="n">
        <v>0</v>
      </c>
      <c r="Q963" s="29" t="n">
        <v>0</v>
      </c>
      <c r="R963" s="29" t="n">
        <v>0</v>
      </c>
      <c r="S963" s="29" t="n">
        <v>0</v>
      </c>
      <c r="T963" t="inlineStr">
        <is>
          <t>25241026975620000130570010000028901000000009</t>
        </is>
      </c>
      <c r="U963" t="inlineStr">
        <is>
          <t>Não</t>
        </is>
      </c>
    </row>
    <row r="964">
      <c r="A964" t="inlineStr">
        <is>
          <t>Frete de venda</t>
        </is>
      </c>
      <c r="B964" t="inlineStr">
        <is>
          <t>1.01.01 Venda de Mercadoria Fabricadas</t>
        </is>
      </c>
      <c r="C964" t="inlineStr">
        <is>
          <t>Antes de 2026</t>
        </is>
      </c>
      <c r="D964" t="inlineStr">
        <is>
          <t>Antes de 2026</t>
        </is>
      </c>
      <c r="E964" s="28" t="n">
        <v>45587</v>
      </c>
      <c r="F964" t="inlineStr">
        <is>
          <t>CT-e</t>
        </is>
      </c>
      <c r="G964" t="inlineStr">
        <is>
          <t>000002898</t>
        </is>
      </c>
      <c r="H964" t="inlineStr">
        <is>
          <t>R&amp;R TRANSPORTE E LOGISTICA</t>
        </is>
      </c>
      <c r="J964" s="29" t="n">
        <v>230</v>
      </c>
      <c r="K964" s="29">
        <f>(1-ISNUMBER(SEARCH("556",M964)))*(O964*SUMIFS(Premissas!$C$5:$C$44,Premissas!$A$5:$A$44,$A964,Premissas!$B$5:$B$44,$B964)+P964*SUMIFS(Premissas!$D$5:$D$44,Premissas!$A$5:$A$44,$A964,Premissas!$B$5:$B$44,$B964))+R964*SUMIFS(Premissas!$E$5:$E$44,Premissas!$A$5:$A$44,$A964,Premissas!$B$5:$B$44,$B964)+S964*SUMIFS(Premissas!$F$5:$F$44,Premissas!$A$5:$A$44,$A964,Premissas!$B$5:$B$44,$B964)</f>
        <v/>
      </c>
      <c r="L964" s="29">
        <f>J964-K964</f>
        <v/>
      </c>
      <c r="M964" t="inlineStr">
        <is>
          <t>1.350</t>
        </is>
      </c>
      <c r="N964" t="inlineStr">
        <is>
          <t>Modalidade: 0 - Por conta do remetente | Parte: GALPLAST EMBALAGENS LTDA (24.273.591/0001-39)</t>
        </is>
      </c>
      <c r="O964" s="29" t="n">
        <v>0</v>
      </c>
      <c r="P964" s="29" t="n">
        <v>0</v>
      </c>
      <c r="Q964" s="29" t="n">
        <v>0</v>
      </c>
      <c r="R964" s="29" t="n">
        <v>0</v>
      </c>
      <c r="S964" s="29" t="n">
        <v>0</v>
      </c>
      <c r="T964" t="inlineStr">
        <is>
          <t>25241026975620000130570010000028981000000007</t>
        </is>
      </c>
      <c r="U964" t="inlineStr">
        <is>
          <t>Não</t>
        </is>
      </c>
    </row>
    <row r="965">
      <c r="A965" t="inlineStr">
        <is>
          <t>Frete de venda</t>
        </is>
      </c>
      <c r="B965" t="inlineStr">
        <is>
          <t>1.01.01 Venda de Mercadoria Fabricadas</t>
        </is>
      </c>
      <c r="C965" t="inlineStr">
        <is>
          <t>Antes de 2026</t>
        </is>
      </c>
      <c r="D965" t="inlineStr">
        <is>
          <t>Antes de 2026</t>
        </is>
      </c>
      <c r="E965" s="28" t="n">
        <v>45587</v>
      </c>
      <c r="F965" t="inlineStr">
        <is>
          <t>CT-e</t>
        </is>
      </c>
      <c r="G965" t="inlineStr">
        <is>
          <t>000002899</t>
        </is>
      </c>
      <c r="H965" t="inlineStr">
        <is>
          <t>R&amp;R TRANSPORTE E LOGISTICA</t>
        </is>
      </c>
      <c r="J965" s="29" t="n">
        <v>230</v>
      </c>
      <c r="K965" s="29">
        <f>(1-ISNUMBER(SEARCH("556",M965)))*(O965*SUMIFS(Premissas!$C$5:$C$44,Premissas!$A$5:$A$44,$A965,Premissas!$B$5:$B$44,$B965)+P965*SUMIFS(Premissas!$D$5:$D$44,Premissas!$A$5:$A$44,$A965,Premissas!$B$5:$B$44,$B965))+R965*SUMIFS(Premissas!$E$5:$E$44,Premissas!$A$5:$A$44,$A965,Premissas!$B$5:$B$44,$B965)+S965*SUMIFS(Premissas!$F$5:$F$44,Premissas!$A$5:$A$44,$A965,Premissas!$B$5:$B$44,$B965)</f>
        <v/>
      </c>
      <c r="L965" s="29">
        <f>J965-K965</f>
        <v/>
      </c>
      <c r="M965" t="inlineStr">
        <is>
          <t>1.350</t>
        </is>
      </c>
      <c r="N965" t="inlineStr">
        <is>
          <t>Modalidade: 0 - Por conta do remetente | Parte: CELESTE ALIMENTOS E PANIFICACAO LTDA (12.808.484/0001-89)</t>
        </is>
      </c>
      <c r="O965" s="29" t="n">
        <v>0</v>
      </c>
      <c r="P965" s="29" t="n">
        <v>0</v>
      </c>
      <c r="Q965" s="29" t="n">
        <v>0</v>
      </c>
      <c r="R965" s="29" t="n">
        <v>0</v>
      </c>
      <c r="S965" s="29" t="n">
        <v>0</v>
      </c>
      <c r="T965" t="inlineStr">
        <is>
          <t>25241026975620000130570010000028991000000004</t>
        </is>
      </c>
      <c r="U965" t="inlineStr">
        <is>
          <t>Não</t>
        </is>
      </c>
    </row>
    <row r="966">
      <c r="A966" t="inlineStr">
        <is>
          <t>Frete de venda</t>
        </is>
      </c>
      <c r="B966" t="inlineStr">
        <is>
          <t>1.01.01 Venda de Mercadoria Fabricadas</t>
        </is>
      </c>
      <c r="C966" t="inlineStr">
        <is>
          <t>Antes de 2026</t>
        </is>
      </c>
      <c r="D966" t="inlineStr">
        <is>
          <t>Antes de 2026</t>
        </is>
      </c>
      <c r="E966" s="28" t="n">
        <v>45587</v>
      </c>
      <c r="F966" t="inlineStr">
        <is>
          <t>CT-e</t>
        </is>
      </c>
      <c r="G966" t="inlineStr">
        <is>
          <t>000002900</t>
        </is>
      </c>
      <c r="H966" t="inlineStr">
        <is>
          <t>R&amp;R TRANSPORTE E LOGISTICA</t>
        </is>
      </c>
      <c r="J966" s="29" t="n">
        <v>230</v>
      </c>
      <c r="K966" s="29">
        <f>(1-ISNUMBER(SEARCH("556",M966)))*(O966*SUMIFS(Premissas!$C$5:$C$44,Premissas!$A$5:$A$44,$A966,Premissas!$B$5:$B$44,$B966)+P966*SUMIFS(Premissas!$D$5:$D$44,Premissas!$A$5:$A$44,$A966,Premissas!$B$5:$B$44,$B966))+R966*SUMIFS(Premissas!$E$5:$E$44,Premissas!$A$5:$A$44,$A966,Premissas!$B$5:$B$44,$B966)+S966*SUMIFS(Premissas!$F$5:$F$44,Premissas!$A$5:$A$44,$A966,Premissas!$B$5:$B$44,$B966)</f>
        <v/>
      </c>
      <c r="L966" s="29">
        <f>J966-K966</f>
        <v/>
      </c>
      <c r="M966" t="inlineStr">
        <is>
          <t>1.350</t>
        </is>
      </c>
      <c r="N966" t="inlineStr">
        <is>
          <t>Modalidade: 0 - Por conta do remetente | Parte: CAEL DISTRIBUIDORA DE PRODUTOS DE HIGIENE E LIMPEZA LTDA (15.129.402/0001-68)</t>
        </is>
      </c>
      <c r="O966" s="29" t="n">
        <v>0</v>
      </c>
      <c r="P966" s="29" t="n">
        <v>0</v>
      </c>
      <c r="Q966" s="29" t="n">
        <v>0</v>
      </c>
      <c r="R966" s="29" t="n">
        <v>0</v>
      </c>
      <c r="S966" s="29" t="n">
        <v>0</v>
      </c>
      <c r="T966" t="inlineStr">
        <is>
          <t>25241026975620000130570010000029001000000007</t>
        </is>
      </c>
      <c r="U966" t="inlineStr">
        <is>
          <t>Não</t>
        </is>
      </c>
    </row>
    <row r="967">
      <c r="A967" t="inlineStr">
        <is>
          <t>Frete de venda</t>
        </is>
      </c>
      <c r="B967" t="inlineStr">
        <is>
          <t>1.01.01 Venda de Mercadoria Fabricadas</t>
        </is>
      </c>
      <c r="C967" t="inlineStr">
        <is>
          <t>Antes de 2026</t>
        </is>
      </c>
      <c r="D967" t="inlineStr">
        <is>
          <t>Antes de 2026</t>
        </is>
      </c>
      <c r="E967" s="28" t="n">
        <v>45587</v>
      </c>
      <c r="F967" t="inlineStr">
        <is>
          <t>CT-e</t>
        </is>
      </c>
      <c r="G967" t="inlineStr">
        <is>
          <t>000002901</t>
        </is>
      </c>
      <c r="H967" t="inlineStr">
        <is>
          <t>R&amp;R TRANSPORTE E LOGISTICA</t>
        </is>
      </c>
      <c r="J967" s="29" t="n">
        <v>230</v>
      </c>
      <c r="K967" s="29">
        <f>(1-ISNUMBER(SEARCH("556",M967)))*(O967*SUMIFS(Premissas!$C$5:$C$44,Premissas!$A$5:$A$44,$A967,Premissas!$B$5:$B$44,$B967)+P967*SUMIFS(Premissas!$D$5:$D$44,Premissas!$A$5:$A$44,$A967,Premissas!$B$5:$B$44,$B967))+R967*SUMIFS(Premissas!$E$5:$E$44,Premissas!$A$5:$A$44,$A967,Premissas!$B$5:$B$44,$B967)+S967*SUMIFS(Premissas!$F$5:$F$44,Premissas!$A$5:$A$44,$A967,Premissas!$B$5:$B$44,$B967)</f>
        <v/>
      </c>
      <c r="L967" s="29">
        <f>J967-K967</f>
        <v/>
      </c>
      <c r="M967" t="inlineStr">
        <is>
          <t>1.350</t>
        </is>
      </c>
      <c r="N967" t="inlineStr">
        <is>
          <t>Modalidade: 0 - Por conta do remetente | Parte: G L A RIBEIRO DE LIMA (52.343.782/0001-65)</t>
        </is>
      </c>
      <c r="O967" s="29" t="n">
        <v>0</v>
      </c>
      <c r="P967" s="29" t="n">
        <v>0</v>
      </c>
      <c r="Q967" s="29" t="n">
        <v>0</v>
      </c>
      <c r="R967" s="29" t="n">
        <v>0</v>
      </c>
      <c r="S967" s="29" t="n">
        <v>0</v>
      </c>
      <c r="T967" t="inlineStr">
        <is>
          <t>25241026975620000130570010000029011000000004</t>
        </is>
      </c>
      <c r="U967" t="inlineStr">
        <is>
          <t>Não</t>
        </is>
      </c>
    </row>
    <row r="968">
      <c r="A968" t="inlineStr">
        <is>
          <t>Frete de venda</t>
        </is>
      </c>
      <c r="B968" t="inlineStr">
        <is>
          <t>1.01.01 Venda de Mercadoria Fabricadas</t>
        </is>
      </c>
      <c r="C968" t="inlineStr">
        <is>
          <t>Antes de 2026</t>
        </is>
      </c>
      <c r="D968" t="inlineStr">
        <is>
          <t>Antes de 2026</t>
        </is>
      </c>
      <c r="E968" s="28" t="n">
        <v>45587</v>
      </c>
      <c r="F968" t="inlineStr">
        <is>
          <t>CT-e</t>
        </is>
      </c>
      <c r="G968" t="inlineStr">
        <is>
          <t>000002902</t>
        </is>
      </c>
      <c r="H968" t="inlineStr">
        <is>
          <t>R&amp;R TRANSPORTE E LOGISTICA</t>
        </is>
      </c>
      <c r="J968" s="29" t="n">
        <v>230</v>
      </c>
      <c r="K968" s="29">
        <f>(1-ISNUMBER(SEARCH("556",M968)))*(O968*SUMIFS(Premissas!$C$5:$C$44,Premissas!$A$5:$A$44,$A968,Premissas!$B$5:$B$44,$B968)+P968*SUMIFS(Premissas!$D$5:$D$44,Premissas!$A$5:$A$44,$A968,Premissas!$B$5:$B$44,$B968))+R968*SUMIFS(Premissas!$E$5:$E$44,Premissas!$A$5:$A$44,$A968,Premissas!$B$5:$B$44,$B968)+S968*SUMIFS(Premissas!$F$5:$F$44,Premissas!$A$5:$A$44,$A968,Premissas!$B$5:$B$44,$B968)</f>
        <v/>
      </c>
      <c r="L968" s="29">
        <f>J968-K968</f>
        <v/>
      </c>
      <c r="M968" t="inlineStr">
        <is>
          <t>1.350</t>
        </is>
      </c>
      <c r="N968" t="inlineStr">
        <is>
          <t>Modalidade: 0 - Por conta do remetente | Parte: COMERCIAL PROLAC LTDA. (07.182.763/0001-40)</t>
        </is>
      </c>
      <c r="O968" s="29" t="n">
        <v>0</v>
      </c>
      <c r="P968" s="29" t="n">
        <v>0</v>
      </c>
      <c r="Q968" s="29" t="n">
        <v>0</v>
      </c>
      <c r="R968" s="29" t="n">
        <v>0</v>
      </c>
      <c r="S968" s="29" t="n">
        <v>0</v>
      </c>
      <c r="T968" t="inlineStr">
        <is>
          <t>25241026975620000130570010000029021000000001</t>
        </is>
      </c>
      <c r="U968" t="inlineStr">
        <is>
          <t>Não</t>
        </is>
      </c>
    </row>
    <row r="969">
      <c r="A969" t="inlineStr">
        <is>
          <t>Frete de venda</t>
        </is>
      </c>
      <c r="B969" t="inlineStr">
        <is>
          <t>1.01.01 Venda de Mercadoria Fabricadas</t>
        </is>
      </c>
      <c r="C969" t="inlineStr">
        <is>
          <t>Antes de 2026</t>
        </is>
      </c>
      <c r="D969" t="inlineStr">
        <is>
          <t>Antes de 2026</t>
        </is>
      </c>
      <c r="E969" s="28" t="n">
        <v>45587</v>
      </c>
      <c r="F969" t="inlineStr">
        <is>
          <t>CT-e</t>
        </is>
      </c>
      <c r="G969" t="inlineStr">
        <is>
          <t>000002961</t>
        </is>
      </c>
      <c r="H969" t="inlineStr">
        <is>
          <t>R&amp;R TRANSPORTE E LOGISTICA</t>
        </is>
      </c>
      <c r="J969" s="29" t="n">
        <v>300</v>
      </c>
      <c r="K969" s="29">
        <f>(1-ISNUMBER(SEARCH("556",M969)))*(O969*SUMIFS(Premissas!$C$5:$C$44,Premissas!$A$5:$A$44,$A969,Premissas!$B$5:$B$44,$B969)+P969*SUMIFS(Premissas!$D$5:$D$44,Premissas!$A$5:$A$44,$A969,Premissas!$B$5:$B$44,$B969))+R969*SUMIFS(Premissas!$E$5:$E$44,Premissas!$A$5:$A$44,$A969,Premissas!$B$5:$B$44,$B969)+S969*SUMIFS(Premissas!$F$5:$F$44,Premissas!$A$5:$A$44,$A969,Premissas!$B$5:$B$44,$B969)</f>
        <v/>
      </c>
      <c r="L969" s="29">
        <f>J969-K969</f>
        <v/>
      </c>
      <c r="M969" t="inlineStr">
        <is>
          <t>1.350</t>
        </is>
      </c>
      <c r="N969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969" s="29" t="n">
        <v>0</v>
      </c>
      <c r="P969" s="29" t="n">
        <v>0</v>
      </c>
      <c r="Q969" s="29" t="n">
        <v>0</v>
      </c>
      <c r="R969" s="29" t="n">
        <v>0</v>
      </c>
      <c r="S969" s="29" t="n">
        <v>0</v>
      </c>
      <c r="T969" t="inlineStr">
        <is>
          <t>25241026975620000130570010000029611000000002</t>
        </is>
      </c>
      <c r="U969" t="inlineStr">
        <is>
          <t>Não</t>
        </is>
      </c>
    </row>
    <row r="970">
      <c r="A970" t="inlineStr">
        <is>
          <t>Frete de venda</t>
        </is>
      </c>
      <c r="B970" t="inlineStr">
        <is>
          <t>1.01.01 Venda de Mercadoria Fabricadas</t>
        </is>
      </c>
      <c r="C970" t="inlineStr">
        <is>
          <t>Antes de 2026</t>
        </is>
      </c>
      <c r="D970" t="inlineStr">
        <is>
          <t>Antes de 2026</t>
        </is>
      </c>
      <c r="E970" s="28" t="n">
        <v>45589</v>
      </c>
      <c r="F970" t="inlineStr">
        <is>
          <t>CT-e</t>
        </is>
      </c>
      <c r="G970" t="inlineStr">
        <is>
          <t>000002967</t>
        </is>
      </c>
      <c r="H970" t="inlineStr">
        <is>
          <t>R&amp;R TRANSPORTE E LOGISTICA</t>
        </is>
      </c>
      <c r="J970" s="29" t="n">
        <v>90</v>
      </c>
      <c r="K970" s="29">
        <f>(1-ISNUMBER(SEARCH("556",M970)))*(O970*SUMIFS(Premissas!$C$5:$C$44,Premissas!$A$5:$A$44,$A970,Premissas!$B$5:$B$44,$B970)+P970*SUMIFS(Premissas!$D$5:$D$44,Premissas!$A$5:$A$44,$A970,Premissas!$B$5:$B$44,$B970))+R970*SUMIFS(Premissas!$E$5:$E$44,Premissas!$A$5:$A$44,$A970,Premissas!$B$5:$B$44,$B970)+S970*SUMIFS(Premissas!$F$5:$F$44,Premissas!$A$5:$A$44,$A970,Premissas!$B$5:$B$44,$B970)</f>
        <v/>
      </c>
      <c r="L970" s="29">
        <f>J970-K970</f>
        <v/>
      </c>
      <c r="M970" t="inlineStr">
        <is>
          <t>1.350</t>
        </is>
      </c>
      <c r="N970" t="inlineStr">
        <is>
          <t>Modalidade: 0 - Por conta do remetente | Parte: SAL DA TERRA COMERCIO DESCARTAVEIS LTDA (12.076.153/0001-00)</t>
        </is>
      </c>
      <c r="O970" s="29" t="n">
        <v>0</v>
      </c>
      <c r="P970" s="29" t="n">
        <v>0</v>
      </c>
      <c r="Q970" s="29" t="n">
        <v>0</v>
      </c>
      <c r="R970" s="29" t="n">
        <v>0</v>
      </c>
      <c r="S970" s="29" t="n">
        <v>0</v>
      </c>
      <c r="T970" t="inlineStr">
        <is>
          <t>25241026975620000130570010000029671000000006</t>
        </is>
      </c>
      <c r="U970" t="inlineStr">
        <is>
          <t>Não</t>
        </is>
      </c>
    </row>
    <row r="971">
      <c r="A971" t="inlineStr">
        <is>
          <t>Frete de venda</t>
        </is>
      </c>
      <c r="B971" t="inlineStr">
        <is>
          <t>1.01.01 Venda de Mercadoria Fabricadas</t>
        </is>
      </c>
      <c r="C971" t="inlineStr">
        <is>
          <t>Antes de 2026</t>
        </is>
      </c>
      <c r="D971" t="inlineStr">
        <is>
          <t>Antes de 2026</t>
        </is>
      </c>
      <c r="E971" s="28" t="n">
        <v>45589</v>
      </c>
      <c r="F971" t="inlineStr">
        <is>
          <t>CT-e</t>
        </is>
      </c>
      <c r="G971" t="inlineStr">
        <is>
          <t>000002968</t>
        </is>
      </c>
      <c r="H971" t="inlineStr">
        <is>
          <t>R&amp;R TRANSPORTE E LOGISTICA</t>
        </is>
      </c>
      <c r="J971" s="29" t="n">
        <v>237</v>
      </c>
      <c r="K971" s="29">
        <f>(1-ISNUMBER(SEARCH("556",M971)))*(O971*SUMIFS(Premissas!$C$5:$C$44,Premissas!$A$5:$A$44,$A971,Premissas!$B$5:$B$44,$B971)+P971*SUMIFS(Premissas!$D$5:$D$44,Premissas!$A$5:$A$44,$A971,Premissas!$B$5:$B$44,$B971))+R971*SUMIFS(Premissas!$E$5:$E$44,Premissas!$A$5:$A$44,$A971,Premissas!$B$5:$B$44,$B971)+S971*SUMIFS(Premissas!$F$5:$F$44,Premissas!$A$5:$A$44,$A971,Premissas!$B$5:$B$44,$B971)</f>
        <v/>
      </c>
      <c r="L971" s="29">
        <f>J971-K971</f>
        <v/>
      </c>
      <c r="M971" t="inlineStr">
        <is>
          <t>1.350</t>
        </is>
      </c>
      <c r="N971" t="inlineStr">
        <is>
          <t>Modalidade: 0 - Por conta do remetente | Parte: RFC COMERCIO DE MIUDEZAS LTDA (26.514.797/0004-81)</t>
        </is>
      </c>
      <c r="O971" s="29" t="n">
        <v>0</v>
      </c>
      <c r="P971" s="29" t="n">
        <v>0</v>
      </c>
      <c r="Q971" s="29" t="n">
        <v>0</v>
      </c>
      <c r="R971" s="29" t="n">
        <v>0</v>
      </c>
      <c r="S971" s="29" t="n">
        <v>0</v>
      </c>
      <c r="T971" t="inlineStr">
        <is>
          <t>25241026975620000130570010000029681000000003</t>
        </is>
      </c>
      <c r="U971" t="inlineStr">
        <is>
          <t>Não</t>
        </is>
      </c>
    </row>
    <row r="972">
      <c r="A972" t="inlineStr">
        <is>
          <t>Frete de venda</t>
        </is>
      </c>
      <c r="B972" t="inlineStr">
        <is>
          <t>1.01.01 Venda de Mercadoria Fabricadas</t>
        </is>
      </c>
      <c r="C972" t="inlineStr">
        <is>
          <t>Antes de 2026</t>
        </is>
      </c>
      <c r="D972" t="inlineStr">
        <is>
          <t>Antes de 2026</t>
        </is>
      </c>
      <c r="E972" s="28" t="n">
        <v>45590</v>
      </c>
      <c r="F972" t="inlineStr">
        <is>
          <t>CT-e</t>
        </is>
      </c>
      <c r="G972" t="inlineStr">
        <is>
          <t>000002981</t>
        </is>
      </c>
      <c r="H972" t="inlineStr">
        <is>
          <t>R&amp;R TRANSPORTE E LOGISTICA</t>
        </is>
      </c>
      <c r="J972" s="29" t="n">
        <v>170</v>
      </c>
      <c r="K972" s="29">
        <f>(1-ISNUMBER(SEARCH("556",M972)))*(O972*SUMIFS(Premissas!$C$5:$C$44,Premissas!$A$5:$A$44,$A972,Premissas!$B$5:$B$44,$B972)+P972*SUMIFS(Premissas!$D$5:$D$44,Premissas!$A$5:$A$44,$A972,Premissas!$B$5:$B$44,$B972))+R972*SUMIFS(Premissas!$E$5:$E$44,Premissas!$A$5:$A$44,$A972,Premissas!$B$5:$B$44,$B972)+S972*SUMIFS(Premissas!$F$5:$F$44,Premissas!$A$5:$A$44,$A972,Premissas!$B$5:$B$44,$B972)</f>
        <v/>
      </c>
      <c r="L972" s="29">
        <f>J972-K972</f>
        <v/>
      </c>
      <c r="M972" t="inlineStr">
        <is>
          <t>1.350</t>
        </is>
      </c>
      <c r="N972" t="inlineStr">
        <is>
          <t>Modalidade: 0 - Por conta do remetente | Parte: VINCO DISTRIBUIDORA DE EMBALAGENS LTDA (55.333.385/0001-09)</t>
        </is>
      </c>
      <c r="O972" s="29" t="n">
        <v>0</v>
      </c>
      <c r="P972" s="29" t="n">
        <v>0</v>
      </c>
      <c r="Q972" s="29" t="n">
        <v>0</v>
      </c>
      <c r="R972" s="29" t="n">
        <v>0</v>
      </c>
      <c r="S972" s="29" t="n">
        <v>0</v>
      </c>
      <c r="T972" t="inlineStr">
        <is>
          <t>25241026975620000130570010000029811000000005</t>
        </is>
      </c>
      <c r="U972" t="inlineStr">
        <is>
          <t>Não</t>
        </is>
      </c>
    </row>
    <row r="973">
      <c r="A973" t="inlineStr">
        <is>
          <t>Frete de venda</t>
        </is>
      </c>
      <c r="B973" t="inlineStr">
        <is>
          <t>1.01.01 Venda de Mercadoria Fabricadas</t>
        </is>
      </c>
      <c r="C973" t="inlineStr">
        <is>
          <t>Antes de 2026</t>
        </is>
      </c>
      <c r="D973" t="inlineStr">
        <is>
          <t>Antes de 2026</t>
        </is>
      </c>
      <c r="E973" s="28" t="n">
        <v>45590</v>
      </c>
      <c r="F973" t="inlineStr">
        <is>
          <t>CT-e</t>
        </is>
      </c>
      <c r="G973" t="inlineStr">
        <is>
          <t>000002982</t>
        </is>
      </c>
      <c r="H973" t="inlineStr">
        <is>
          <t>R&amp;R TRANSPORTE E LOGISTICA</t>
        </is>
      </c>
      <c r="J973" s="29" t="n">
        <v>127</v>
      </c>
      <c r="K973" s="29">
        <f>(1-ISNUMBER(SEARCH("556",M973)))*(O973*SUMIFS(Premissas!$C$5:$C$44,Premissas!$A$5:$A$44,$A973,Premissas!$B$5:$B$44,$B973)+P973*SUMIFS(Premissas!$D$5:$D$44,Premissas!$A$5:$A$44,$A973,Premissas!$B$5:$B$44,$B973))+R973*SUMIFS(Premissas!$E$5:$E$44,Premissas!$A$5:$A$44,$A973,Premissas!$B$5:$B$44,$B973)+S973*SUMIFS(Premissas!$F$5:$F$44,Premissas!$A$5:$A$44,$A973,Premissas!$B$5:$B$44,$B973)</f>
        <v/>
      </c>
      <c r="L973" s="29">
        <f>J973-K973</f>
        <v/>
      </c>
      <c r="M973" t="inlineStr">
        <is>
          <t>1.350</t>
        </is>
      </c>
      <c r="N973" t="inlineStr">
        <is>
          <t>Modalidade: 0 - Por conta do remetente | Parte: DISTRIBUIDORA DE EMBALAGENS CASTROPIL LTDA. (08.961.274/0007-44)</t>
        </is>
      </c>
      <c r="O973" s="29" t="n">
        <v>0</v>
      </c>
      <c r="P973" s="29" t="n">
        <v>0</v>
      </c>
      <c r="Q973" s="29" t="n">
        <v>0</v>
      </c>
      <c r="R973" s="29" t="n">
        <v>0</v>
      </c>
      <c r="S973" s="29" t="n">
        <v>0</v>
      </c>
      <c r="T973" t="inlineStr">
        <is>
          <t>25241026975620000130570010000029821000000002</t>
        </is>
      </c>
      <c r="U973" t="inlineStr">
        <is>
          <t>Não</t>
        </is>
      </c>
    </row>
    <row r="974">
      <c r="A974" t="inlineStr">
        <is>
          <t>Frete de venda</t>
        </is>
      </c>
      <c r="B974" t="inlineStr">
        <is>
          <t>1.01.01 Venda de Mercadoria Fabricadas</t>
        </is>
      </c>
      <c r="C974" t="inlineStr">
        <is>
          <t>Antes de 2026</t>
        </is>
      </c>
      <c r="D974" t="inlineStr">
        <is>
          <t>Antes de 2026</t>
        </is>
      </c>
      <c r="E974" s="28" t="n">
        <v>45594</v>
      </c>
      <c r="F974" t="inlineStr">
        <is>
          <t>CT-e</t>
        </is>
      </c>
      <c r="G974" t="inlineStr">
        <is>
          <t>000002996</t>
        </is>
      </c>
      <c r="H974" t="inlineStr">
        <is>
          <t>R&amp;R TRANSPORTE E LOGISTICA</t>
        </is>
      </c>
      <c r="J974" s="29" t="n">
        <v>70</v>
      </c>
      <c r="K974" s="29">
        <f>(1-ISNUMBER(SEARCH("556",M974)))*(O974*SUMIFS(Premissas!$C$5:$C$44,Premissas!$A$5:$A$44,$A974,Premissas!$B$5:$B$44,$B974)+P974*SUMIFS(Premissas!$D$5:$D$44,Premissas!$A$5:$A$44,$A974,Premissas!$B$5:$B$44,$B974))+R974*SUMIFS(Premissas!$E$5:$E$44,Premissas!$A$5:$A$44,$A974,Premissas!$B$5:$B$44,$B974)+S974*SUMIFS(Premissas!$F$5:$F$44,Premissas!$A$5:$A$44,$A974,Premissas!$B$5:$B$44,$B974)</f>
        <v/>
      </c>
      <c r="L974" s="29">
        <f>J974-K974</f>
        <v/>
      </c>
      <c r="M974" t="inlineStr">
        <is>
          <t>1.350</t>
        </is>
      </c>
      <c r="N974" t="inlineStr">
        <is>
          <t>Modalidade: 0 - Por conta do remetente | Parte: PLASMAR COMERCIO DE PRODUTOS DESCARTAVEIS LTDA (09.354.922/0001-71)</t>
        </is>
      </c>
      <c r="O974" s="29" t="n">
        <v>0</v>
      </c>
      <c r="P974" s="29" t="n">
        <v>0</v>
      </c>
      <c r="Q974" s="29" t="n">
        <v>0</v>
      </c>
      <c r="R974" s="29" t="n">
        <v>0</v>
      </c>
      <c r="S974" s="29" t="n">
        <v>0</v>
      </c>
      <c r="T974" t="inlineStr">
        <is>
          <t>25241026975620000130570010000029961000000008</t>
        </is>
      </c>
      <c r="U974" t="inlineStr">
        <is>
          <t>Não</t>
        </is>
      </c>
    </row>
    <row r="975">
      <c r="A975" t="inlineStr">
        <is>
          <t>Frete de venda</t>
        </is>
      </c>
      <c r="B975" t="inlineStr">
        <is>
          <t>1.01.01 Venda de Mercadoria Fabricadas</t>
        </is>
      </c>
      <c r="C975" t="inlineStr">
        <is>
          <t>Antes de 2026</t>
        </is>
      </c>
      <c r="D975" t="inlineStr">
        <is>
          <t>Antes de 2026</t>
        </is>
      </c>
      <c r="E975" s="28" t="n">
        <v>45594</v>
      </c>
      <c r="F975" t="inlineStr">
        <is>
          <t>CT-e</t>
        </is>
      </c>
      <c r="G975" t="inlineStr">
        <is>
          <t>000002997</t>
        </is>
      </c>
      <c r="H975" t="inlineStr">
        <is>
          <t>R&amp;R TRANSPORTE E LOGISTICA</t>
        </is>
      </c>
      <c r="J975" s="29" t="n">
        <v>35</v>
      </c>
      <c r="K975" s="29">
        <f>(1-ISNUMBER(SEARCH("556",M975)))*(O975*SUMIFS(Premissas!$C$5:$C$44,Premissas!$A$5:$A$44,$A975,Premissas!$B$5:$B$44,$B975)+P975*SUMIFS(Premissas!$D$5:$D$44,Premissas!$A$5:$A$44,$A975,Premissas!$B$5:$B$44,$B975))+R975*SUMIFS(Premissas!$E$5:$E$44,Premissas!$A$5:$A$44,$A975,Premissas!$B$5:$B$44,$B975)+S975*SUMIFS(Premissas!$F$5:$F$44,Premissas!$A$5:$A$44,$A975,Premissas!$B$5:$B$44,$B975)</f>
        <v/>
      </c>
      <c r="L975" s="29">
        <f>J975-K975</f>
        <v/>
      </c>
      <c r="M975" t="inlineStr">
        <is>
          <t>1.350</t>
        </is>
      </c>
      <c r="N975" t="inlineStr">
        <is>
          <t>Modalidade: 0 - Por conta do remetente | Parte: PIAUI PLAST EIRELI (37.914.034/0001-00)</t>
        </is>
      </c>
      <c r="O975" s="29" t="n">
        <v>0</v>
      </c>
      <c r="P975" s="29" t="n">
        <v>0</v>
      </c>
      <c r="Q975" s="29" t="n">
        <v>0</v>
      </c>
      <c r="R975" s="29" t="n">
        <v>0</v>
      </c>
      <c r="S975" s="29" t="n">
        <v>0</v>
      </c>
      <c r="T975" t="inlineStr">
        <is>
          <t>25241026975620000130570010000029971000000005</t>
        </is>
      </c>
      <c r="U975" t="inlineStr">
        <is>
          <t>Não</t>
        </is>
      </c>
    </row>
    <row r="976">
      <c r="A976" t="inlineStr">
        <is>
          <t>Frete de venda</t>
        </is>
      </c>
      <c r="B976" t="inlineStr">
        <is>
          <t>1.01.01 Venda de Mercadoria Fabricadas</t>
        </is>
      </c>
      <c r="C976" t="inlineStr">
        <is>
          <t>Antes de 2026</t>
        </is>
      </c>
      <c r="D976" t="inlineStr">
        <is>
          <t>Antes de 2026</t>
        </is>
      </c>
      <c r="E976" s="28" t="n">
        <v>45594</v>
      </c>
      <c r="F976" t="inlineStr">
        <is>
          <t>CT-e</t>
        </is>
      </c>
      <c r="G976" t="inlineStr">
        <is>
          <t>000002998</t>
        </is>
      </c>
      <c r="H976" t="inlineStr">
        <is>
          <t>R&amp;R TRANSPORTE E LOGISTICA</t>
        </is>
      </c>
      <c r="J976" s="29" t="n">
        <v>21</v>
      </c>
      <c r="K976" s="29">
        <f>(1-ISNUMBER(SEARCH("556",M976)))*(O976*SUMIFS(Premissas!$C$5:$C$44,Premissas!$A$5:$A$44,$A976,Premissas!$B$5:$B$44,$B976)+P976*SUMIFS(Premissas!$D$5:$D$44,Premissas!$A$5:$A$44,$A976,Premissas!$B$5:$B$44,$B976))+R976*SUMIFS(Premissas!$E$5:$E$44,Premissas!$A$5:$A$44,$A976,Premissas!$B$5:$B$44,$B976)+S976*SUMIFS(Premissas!$F$5:$F$44,Premissas!$A$5:$A$44,$A976,Premissas!$B$5:$B$44,$B976)</f>
        <v/>
      </c>
      <c r="L976" s="29">
        <f>J976-K976</f>
        <v/>
      </c>
      <c r="M976" t="inlineStr">
        <is>
          <t>1.350</t>
        </is>
      </c>
      <c r="N976" t="inlineStr">
        <is>
          <t>Modalidade: 0 - Por conta do remetente | Parte: DUARTE COMERCIO VAREJISTA LTDA (37.590.240/0001-01)</t>
        </is>
      </c>
      <c r="O976" s="29" t="n">
        <v>0</v>
      </c>
      <c r="P976" s="29" t="n">
        <v>0</v>
      </c>
      <c r="Q976" s="29" t="n">
        <v>0</v>
      </c>
      <c r="R976" s="29" t="n">
        <v>0</v>
      </c>
      <c r="S976" s="29" t="n">
        <v>0</v>
      </c>
      <c r="T976" t="inlineStr">
        <is>
          <t>25241026975620000130570010000029981000000002</t>
        </is>
      </c>
      <c r="U976" t="inlineStr">
        <is>
          <t>Não</t>
        </is>
      </c>
    </row>
    <row r="977">
      <c r="A977" t="inlineStr">
        <is>
          <t>Frete de venda</t>
        </is>
      </c>
      <c r="B977" t="inlineStr">
        <is>
          <t>1.01.01 Venda de Mercadoria Fabricadas</t>
        </is>
      </c>
      <c r="C977" t="inlineStr">
        <is>
          <t>Antes de 2026</t>
        </is>
      </c>
      <c r="D977" t="inlineStr">
        <is>
          <t>Antes de 2026</t>
        </is>
      </c>
      <c r="E977" s="28" t="n">
        <v>45594</v>
      </c>
      <c r="F977" t="inlineStr">
        <is>
          <t>CT-e</t>
        </is>
      </c>
      <c r="G977" t="inlineStr">
        <is>
          <t>000002999</t>
        </is>
      </c>
      <c r="H977" t="inlineStr">
        <is>
          <t>R&amp;R TRANSPORTE E LOGISTICA</t>
        </is>
      </c>
      <c r="J977" s="29" t="n">
        <v>20</v>
      </c>
      <c r="K977" s="29">
        <f>(1-ISNUMBER(SEARCH("556",M977)))*(O977*SUMIFS(Premissas!$C$5:$C$44,Premissas!$A$5:$A$44,$A977,Premissas!$B$5:$B$44,$B977)+P977*SUMIFS(Premissas!$D$5:$D$44,Premissas!$A$5:$A$44,$A977,Premissas!$B$5:$B$44,$B977))+R977*SUMIFS(Premissas!$E$5:$E$44,Premissas!$A$5:$A$44,$A977,Premissas!$B$5:$B$44,$B977)+S977*SUMIFS(Premissas!$F$5:$F$44,Premissas!$A$5:$A$44,$A977,Premissas!$B$5:$B$44,$B977)</f>
        <v/>
      </c>
      <c r="L977" s="29">
        <f>J977-K977</f>
        <v/>
      </c>
      <c r="M977" t="inlineStr">
        <is>
          <t>1.350</t>
        </is>
      </c>
      <c r="N977" t="inlineStr">
        <is>
          <t>Modalidade: 0 - Por conta do remetente | Parte: K C O F DO NASCIMENTO (53.959.331/0001-10)</t>
        </is>
      </c>
      <c r="O977" s="29" t="n">
        <v>0</v>
      </c>
      <c r="P977" s="29" t="n">
        <v>0</v>
      </c>
      <c r="Q977" s="29" t="n">
        <v>0</v>
      </c>
      <c r="R977" s="29" t="n">
        <v>0</v>
      </c>
      <c r="S977" s="29" t="n">
        <v>0</v>
      </c>
      <c r="T977" t="inlineStr">
        <is>
          <t>25241026975620000130570010000029991000000000</t>
        </is>
      </c>
      <c r="U977" t="inlineStr">
        <is>
          <t>Não</t>
        </is>
      </c>
    </row>
    <row r="978">
      <c r="A978" t="inlineStr">
        <is>
          <t>Frete de venda</t>
        </is>
      </c>
      <c r="B978" t="inlineStr">
        <is>
          <t>1.01.01 Venda de Mercadoria Fabricadas</t>
        </is>
      </c>
      <c r="C978" t="inlineStr">
        <is>
          <t>Antes de 2026</t>
        </is>
      </c>
      <c r="D978" t="inlineStr">
        <is>
          <t>Antes de 2026</t>
        </is>
      </c>
      <c r="E978" s="28" t="n">
        <v>45594</v>
      </c>
      <c r="F978" t="inlineStr">
        <is>
          <t>CT-e</t>
        </is>
      </c>
      <c r="G978" t="inlineStr">
        <is>
          <t>000003000</t>
        </is>
      </c>
      <c r="H978" t="inlineStr">
        <is>
          <t>R&amp;R TRANSPORTE E LOGISTICA</t>
        </is>
      </c>
      <c r="J978" s="29" t="n">
        <v>27</v>
      </c>
      <c r="K978" s="29">
        <f>(1-ISNUMBER(SEARCH("556",M978)))*(O978*SUMIFS(Premissas!$C$5:$C$44,Premissas!$A$5:$A$44,$A978,Premissas!$B$5:$B$44,$B978)+P978*SUMIFS(Premissas!$D$5:$D$44,Premissas!$A$5:$A$44,$A978,Premissas!$B$5:$B$44,$B978))+R978*SUMIFS(Premissas!$E$5:$E$44,Premissas!$A$5:$A$44,$A978,Premissas!$B$5:$B$44,$B978)+S978*SUMIFS(Premissas!$F$5:$F$44,Premissas!$A$5:$A$44,$A978,Premissas!$B$5:$B$44,$B978)</f>
        <v/>
      </c>
      <c r="L978" s="29">
        <f>J978-K978</f>
        <v/>
      </c>
      <c r="M978" t="inlineStr">
        <is>
          <t>1.350</t>
        </is>
      </c>
      <c r="N978" t="inlineStr">
        <is>
          <t>Modalidade: 0 - Por conta do remetente | Parte: JAMES L. H. TOME e CIA LTDA (16.965.024/0001-15)</t>
        </is>
      </c>
      <c r="O978" s="29" t="n">
        <v>0</v>
      </c>
      <c r="P978" s="29" t="n">
        <v>0</v>
      </c>
      <c r="Q978" s="29" t="n">
        <v>0</v>
      </c>
      <c r="R978" s="29" t="n">
        <v>0</v>
      </c>
      <c r="S978" s="29" t="n">
        <v>0</v>
      </c>
      <c r="T978" t="inlineStr">
        <is>
          <t>25241026975620000130570010000030001000000002</t>
        </is>
      </c>
      <c r="U978" t="inlineStr">
        <is>
          <t>Não</t>
        </is>
      </c>
    </row>
    <row r="979">
      <c r="A979" t="inlineStr">
        <is>
          <t>Frete de venda</t>
        </is>
      </c>
      <c r="B979" t="inlineStr">
        <is>
          <t>1.01.01 Venda de Mercadoria Fabricadas</t>
        </is>
      </c>
      <c r="C979" t="inlineStr">
        <is>
          <t>Antes de 2026</t>
        </is>
      </c>
      <c r="D979" t="inlineStr">
        <is>
          <t>Antes de 2026</t>
        </is>
      </c>
      <c r="E979" s="28" t="n">
        <v>45594</v>
      </c>
      <c r="F979" t="inlineStr">
        <is>
          <t>CT-e</t>
        </is>
      </c>
      <c r="G979" t="inlineStr">
        <is>
          <t>000003001</t>
        </is>
      </c>
      <c r="H979" t="inlineStr">
        <is>
          <t>R&amp;R TRANSPORTE E LOGISTICA</t>
        </is>
      </c>
      <c r="J979" s="29" t="n">
        <v>35</v>
      </c>
      <c r="K979" s="29">
        <f>(1-ISNUMBER(SEARCH("556",M979)))*(O979*SUMIFS(Premissas!$C$5:$C$44,Premissas!$A$5:$A$44,$A979,Premissas!$B$5:$B$44,$B979)+P979*SUMIFS(Premissas!$D$5:$D$44,Premissas!$A$5:$A$44,$A979,Premissas!$B$5:$B$44,$B979))+R979*SUMIFS(Premissas!$E$5:$E$44,Premissas!$A$5:$A$44,$A979,Premissas!$B$5:$B$44,$B979)+S979*SUMIFS(Premissas!$F$5:$F$44,Premissas!$A$5:$A$44,$A979,Premissas!$B$5:$B$44,$B979)</f>
        <v/>
      </c>
      <c r="L979" s="29">
        <f>J979-K979</f>
        <v/>
      </c>
      <c r="M979" t="inlineStr">
        <is>
          <t>1.350</t>
        </is>
      </c>
      <c r="N979" t="inlineStr">
        <is>
          <t>Modalidade: 0 - Por conta do remetente | Parte: B A FONTES LTDA (23.108.379/0001-53)</t>
        </is>
      </c>
      <c r="O979" s="29" t="n">
        <v>0</v>
      </c>
      <c r="P979" s="29" t="n">
        <v>0</v>
      </c>
      <c r="Q979" s="29" t="n">
        <v>0</v>
      </c>
      <c r="R979" s="29" t="n">
        <v>0</v>
      </c>
      <c r="S979" s="29" t="n">
        <v>0</v>
      </c>
      <c r="T979" t="inlineStr">
        <is>
          <t>25241026975620000130570010000030011000000000</t>
        </is>
      </c>
      <c r="U979" t="inlineStr">
        <is>
          <t>Não</t>
        </is>
      </c>
    </row>
    <row r="980">
      <c r="A980" t="inlineStr">
        <is>
          <t>Frete de venda</t>
        </is>
      </c>
      <c r="B980" t="inlineStr">
        <is>
          <t>1.01.01 Venda de Mercadoria Fabricadas</t>
        </is>
      </c>
      <c r="C980" t="inlineStr">
        <is>
          <t>Antes de 2026</t>
        </is>
      </c>
      <c r="D980" t="inlineStr">
        <is>
          <t>Antes de 2026</t>
        </is>
      </c>
      <c r="E980" s="28" t="n">
        <v>45594</v>
      </c>
      <c r="F980" t="inlineStr">
        <is>
          <t>CT-e</t>
        </is>
      </c>
      <c r="G980" t="inlineStr">
        <is>
          <t>000003002</t>
        </is>
      </c>
      <c r="H980" t="inlineStr">
        <is>
          <t>R&amp;R TRANSPORTE E LOGISTICA</t>
        </is>
      </c>
      <c r="J980" s="29" t="n">
        <v>33</v>
      </c>
      <c r="K980" s="29">
        <f>(1-ISNUMBER(SEARCH("556",M980)))*(O980*SUMIFS(Premissas!$C$5:$C$44,Premissas!$A$5:$A$44,$A980,Premissas!$B$5:$B$44,$B980)+P980*SUMIFS(Premissas!$D$5:$D$44,Premissas!$A$5:$A$44,$A980,Premissas!$B$5:$B$44,$B980))+R980*SUMIFS(Premissas!$E$5:$E$44,Premissas!$A$5:$A$44,$A980,Premissas!$B$5:$B$44,$B980)+S980*SUMIFS(Premissas!$F$5:$F$44,Premissas!$A$5:$A$44,$A980,Premissas!$B$5:$B$44,$B980)</f>
        <v/>
      </c>
      <c r="L980" s="29">
        <f>J980-K980</f>
        <v/>
      </c>
      <c r="M980" t="inlineStr">
        <is>
          <t>1.350</t>
        </is>
      </c>
      <c r="N980" t="inlineStr">
        <is>
          <t>Modalidade: 0 - Por conta do remetente | Parte: A SARAIVA DA CRUZ COMERCIAL LTDA (01.342.240/0001-37)</t>
        </is>
      </c>
      <c r="O980" s="29" t="n">
        <v>0</v>
      </c>
      <c r="P980" s="29" t="n">
        <v>0</v>
      </c>
      <c r="Q980" s="29" t="n">
        <v>0</v>
      </c>
      <c r="R980" s="29" t="n">
        <v>0</v>
      </c>
      <c r="S980" s="29" t="n">
        <v>0</v>
      </c>
      <c r="T980" t="inlineStr">
        <is>
          <t>25241026975620000130570010000030021000000007</t>
        </is>
      </c>
      <c r="U980" t="inlineStr">
        <is>
          <t>Não</t>
        </is>
      </c>
    </row>
    <row r="981">
      <c r="A981" t="inlineStr">
        <is>
          <t>Frete de venda</t>
        </is>
      </c>
      <c r="B981" t="inlineStr">
        <is>
          <t>1.01.01 Venda de Mercadoria Fabricadas</t>
        </is>
      </c>
      <c r="C981" t="inlineStr">
        <is>
          <t>Antes de 2026</t>
        </is>
      </c>
      <c r="D981" t="inlineStr">
        <is>
          <t>Antes de 2026</t>
        </is>
      </c>
      <c r="E981" s="28" t="n">
        <v>45594</v>
      </c>
      <c r="F981" t="inlineStr">
        <is>
          <t>CT-e</t>
        </is>
      </c>
      <c r="G981" t="inlineStr">
        <is>
          <t>000003003</t>
        </is>
      </c>
      <c r="H981" t="inlineStr">
        <is>
          <t>R&amp;R TRANSPORTE E LOGISTICA</t>
        </is>
      </c>
      <c r="J981" s="29" t="n">
        <v>20</v>
      </c>
      <c r="K981" s="29">
        <f>(1-ISNUMBER(SEARCH("556",M981)))*(O981*SUMIFS(Premissas!$C$5:$C$44,Premissas!$A$5:$A$44,$A981,Premissas!$B$5:$B$44,$B981)+P981*SUMIFS(Premissas!$D$5:$D$44,Premissas!$A$5:$A$44,$A981,Premissas!$B$5:$B$44,$B981))+R981*SUMIFS(Premissas!$E$5:$E$44,Premissas!$A$5:$A$44,$A981,Premissas!$B$5:$B$44,$B981)+S981*SUMIFS(Premissas!$F$5:$F$44,Premissas!$A$5:$A$44,$A981,Premissas!$B$5:$B$44,$B981)</f>
        <v/>
      </c>
      <c r="L981" s="29">
        <f>J981-K981</f>
        <v/>
      </c>
      <c r="M981" t="inlineStr">
        <is>
          <t>1.350</t>
        </is>
      </c>
      <c r="N981" t="inlineStr">
        <is>
          <t>Modalidade: 0 - Por conta do remetente | Parte: JAMES L H TOME e CIA LTDA (16.965.024/0008-91)</t>
        </is>
      </c>
      <c r="O981" s="29" t="n">
        <v>0</v>
      </c>
      <c r="P981" s="29" t="n">
        <v>0</v>
      </c>
      <c r="Q981" s="29" t="n">
        <v>0</v>
      </c>
      <c r="R981" s="29" t="n">
        <v>0</v>
      </c>
      <c r="S981" s="29" t="n">
        <v>0</v>
      </c>
      <c r="T981" t="inlineStr">
        <is>
          <t>25241026975620000130570010000030031000000004</t>
        </is>
      </c>
      <c r="U981" t="inlineStr">
        <is>
          <t>Não</t>
        </is>
      </c>
    </row>
    <row r="982">
      <c r="A982" t="inlineStr">
        <is>
          <t>Frete de venda</t>
        </is>
      </c>
      <c r="B982" t="inlineStr">
        <is>
          <t>1.01.01 Venda de Mercadoria Fabricadas</t>
        </is>
      </c>
      <c r="C982" t="inlineStr">
        <is>
          <t>Antes de 2026</t>
        </is>
      </c>
      <c r="D982" t="inlineStr">
        <is>
          <t>Antes de 2026</t>
        </is>
      </c>
      <c r="E982" s="28" t="n">
        <v>45594</v>
      </c>
      <c r="F982" t="inlineStr">
        <is>
          <t>CT-e</t>
        </is>
      </c>
      <c r="G982" t="inlineStr">
        <is>
          <t>000003004</t>
        </is>
      </c>
      <c r="H982" t="inlineStr">
        <is>
          <t>R&amp;R TRANSPORTE E LOGISTICA</t>
        </is>
      </c>
      <c r="J982" s="29" t="n">
        <v>25</v>
      </c>
      <c r="K982" s="29">
        <f>(1-ISNUMBER(SEARCH("556",M982)))*(O982*SUMIFS(Premissas!$C$5:$C$44,Premissas!$A$5:$A$44,$A982,Premissas!$B$5:$B$44,$B982)+P982*SUMIFS(Premissas!$D$5:$D$44,Premissas!$A$5:$A$44,$A982,Premissas!$B$5:$B$44,$B982))+R982*SUMIFS(Premissas!$E$5:$E$44,Premissas!$A$5:$A$44,$A982,Premissas!$B$5:$B$44,$B982)+S982*SUMIFS(Premissas!$F$5:$F$44,Premissas!$A$5:$A$44,$A982,Premissas!$B$5:$B$44,$B982)</f>
        <v/>
      </c>
      <c r="L982" s="29">
        <f>J982-K982</f>
        <v/>
      </c>
      <c r="M982" t="inlineStr">
        <is>
          <t>1.350</t>
        </is>
      </c>
      <c r="N982" t="inlineStr">
        <is>
          <t>Modalidade: 0 - Por conta do remetente | Parte: CAVALCANTE E LAGES LTDA (06.120.924/0001-08)</t>
        </is>
      </c>
      <c r="O982" s="29" t="n">
        <v>0</v>
      </c>
      <c r="P982" s="29" t="n">
        <v>0</v>
      </c>
      <c r="Q982" s="29" t="n">
        <v>0</v>
      </c>
      <c r="R982" s="29" t="n">
        <v>0</v>
      </c>
      <c r="S982" s="29" t="n">
        <v>0</v>
      </c>
      <c r="T982" t="inlineStr">
        <is>
          <t>25241026975620000130570010000030041000000001</t>
        </is>
      </c>
      <c r="U982" t="inlineStr">
        <is>
          <t>Não</t>
        </is>
      </c>
    </row>
    <row r="983">
      <c r="A983" t="inlineStr">
        <is>
          <t>Frete de venda</t>
        </is>
      </c>
      <c r="B983" t="inlineStr">
        <is>
          <t>1.01.01 Venda de Mercadoria Fabricadas</t>
        </is>
      </c>
      <c r="C983" t="inlineStr">
        <is>
          <t>Antes de 2026</t>
        </is>
      </c>
      <c r="D983" t="inlineStr">
        <is>
          <t>Antes de 2026</t>
        </is>
      </c>
      <c r="E983" s="28" t="n">
        <v>45594</v>
      </c>
      <c r="F983" t="inlineStr">
        <is>
          <t>CT-e</t>
        </is>
      </c>
      <c r="G983" t="inlineStr">
        <is>
          <t>000003005</t>
        </is>
      </c>
      <c r="H983" t="inlineStr">
        <is>
          <t>R&amp;R TRANSPORTE E LOGISTICA</t>
        </is>
      </c>
      <c r="J983" s="29" t="n">
        <v>21</v>
      </c>
      <c r="K983" s="29">
        <f>(1-ISNUMBER(SEARCH("556",M983)))*(O983*SUMIFS(Premissas!$C$5:$C$44,Premissas!$A$5:$A$44,$A983,Premissas!$B$5:$B$44,$B983)+P983*SUMIFS(Premissas!$D$5:$D$44,Premissas!$A$5:$A$44,$A983,Premissas!$B$5:$B$44,$B983))+R983*SUMIFS(Premissas!$E$5:$E$44,Premissas!$A$5:$A$44,$A983,Premissas!$B$5:$B$44,$B983)+S983*SUMIFS(Premissas!$F$5:$F$44,Premissas!$A$5:$A$44,$A983,Premissas!$B$5:$B$44,$B983)</f>
        <v/>
      </c>
      <c r="L983" s="29">
        <f>J983-K983</f>
        <v/>
      </c>
      <c r="M983" t="inlineStr">
        <is>
          <t>1.350</t>
        </is>
      </c>
      <c r="N983" t="inlineStr">
        <is>
          <t>Modalidade: 0 - Por conta do remetente | Parte: IBIAPINA VARIEDADES LTDA (46.211.356/0001-75)</t>
        </is>
      </c>
      <c r="O983" s="29" t="n">
        <v>0</v>
      </c>
      <c r="P983" s="29" t="n">
        <v>0</v>
      </c>
      <c r="Q983" s="29" t="n">
        <v>0</v>
      </c>
      <c r="R983" s="29" t="n">
        <v>0</v>
      </c>
      <c r="S983" s="29" t="n">
        <v>0</v>
      </c>
      <c r="T983" t="inlineStr">
        <is>
          <t>25241026975620000130570010000030051000000009</t>
        </is>
      </c>
      <c r="U983" t="inlineStr">
        <is>
          <t>Não</t>
        </is>
      </c>
    </row>
    <row r="984">
      <c r="A984" t="inlineStr">
        <is>
          <t>Frete de venda</t>
        </is>
      </c>
      <c r="B984" t="inlineStr">
        <is>
          <t>1.01.01 Venda de Mercadoria Fabricadas</t>
        </is>
      </c>
      <c r="C984" t="inlineStr">
        <is>
          <t>Antes de 2026</t>
        </is>
      </c>
      <c r="D984" t="inlineStr">
        <is>
          <t>Antes de 2026</t>
        </is>
      </c>
      <c r="E984" s="28" t="n">
        <v>45594</v>
      </c>
      <c r="F984" t="inlineStr">
        <is>
          <t>CT-e</t>
        </is>
      </c>
      <c r="G984" t="inlineStr">
        <is>
          <t>000003006</t>
        </is>
      </c>
      <c r="H984" t="inlineStr">
        <is>
          <t>R&amp;R TRANSPORTE E LOGISTICA</t>
        </is>
      </c>
      <c r="J984" s="29" t="n">
        <v>20</v>
      </c>
      <c r="K984" s="29">
        <f>(1-ISNUMBER(SEARCH("556",M984)))*(O984*SUMIFS(Premissas!$C$5:$C$44,Premissas!$A$5:$A$44,$A984,Premissas!$B$5:$B$44,$B984)+P984*SUMIFS(Premissas!$D$5:$D$44,Premissas!$A$5:$A$44,$A984,Premissas!$B$5:$B$44,$B984))+R984*SUMIFS(Premissas!$E$5:$E$44,Premissas!$A$5:$A$44,$A984,Premissas!$B$5:$B$44,$B984)+S984*SUMIFS(Premissas!$F$5:$F$44,Premissas!$A$5:$A$44,$A984,Premissas!$B$5:$B$44,$B984)</f>
        <v/>
      </c>
      <c r="L984" s="29">
        <f>J984-K984</f>
        <v/>
      </c>
      <c r="M984" t="inlineStr">
        <is>
          <t>1.350</t>
        </is>
      </c>
      <c r="N984" t="inlineStr">
        <is>
          <t>Modalidade: 0 - Por conta do remetente | Parte: A. S. MALAMAO LTDA (18.965.796/0001-82)</t>
        </is>
      </c>
      <c r="O984" s="29" t="n">
        <v>0</v>
      </c>
      <c r="P984" s="29" t="n">
        <v>0</v>
      </c>
      <c r="Q984" s="29" t="n">
        <v>0</v>
      </c>
      <c r="R984" s="29" t="n">
        <v>0</v>
      </c>
      <c r="S984" s="29" t="n">
        <v>0</v>
      </c>
      <c r="T984" t="inlineStr">
        <is>
          <t>25241026975620000130570010000030061000000006</t>
        </is>
      </c>
      <c r="U984" t="inlineStr">
        <is>
          <t>Não</t>
        </is>
      </c>
    </row>
    <row r="985">
      <c r="A985" t="inlineStr">
        <is>
          <t>Frete de venda</t>
        </is>
      </c>
      <c r="B985" t="inlineStr">
        <is>
          <t>1.01.01 Venda de Mercadoria Fabricadas</t>
        </is>
      </c>
      <c r="C985" t="inlineStr">
        <is>
          <t>Antes de 2026</t>
        </is>
      </c>
      <c r="D985" t="inlineStr">
        <is>
          <t>Antes de 2026</t>
        </is>
      </c>
      <c r="E985" s="28" t="n">
        <v>45594</v>
      </c>
      <c r="F985" t="inlineStr">
        <is>
          <t>CT-e</t>
        </is>
      </c>
      <c r="G985" t="inlineStr">
        <is>
          <t>000003007</t>
        </is>
      </c>
      <c r="H985" t="inlineStr">
        <is>
          <t>R&amp;R TRANSPORTE E LOGISTICA</t>
        </is>
      </c>
      <c r="J985" s="29" t="n">
        <v>30</v>
      </c>
      <c r="K985" s="29">
        <f>(1-ISNUMBER(SEARCH("556",M985)))*(O985*SUMIFS(Premissas!$C$5:$C$44,Premissas!$A$5:$A$44,$A985,Premissas!$B$5:$B$44,$B985)+P985*SUMIFS(Premissas!$D$5:$D$44,Premissas!$A$5:$A$44,$A985,Premissas!$B$5:$B$44,$B985))+R985*SUMIFS(Premissas!$E$5:$E$44,Premissas!$A$5:$A$44,$A985,Premissas!$B$5:$B$44,$B985)+S985*SUMIFS(Premissas!$F$5:$F$44,Premissas!$A$5:$A$44,$A985,Premissas!$B$5:$B$44,$B985)</f>
        <v/>
      </c>
      <c r="L985" s="29">
        <f>J985-K985</f>
        <v/>
      </c>
      <c r="M985" t="inlineStr">
        <is>
          <t>1.350</t>
        </is>
      </c>
      <c r="N985" t="inlineStr">
        <is>
          <t>Modalidade: 0 - Por conta do remetente | Parte: LIDER INDUSTRIA E COMERCIO LTDA (45.762.979/0001-73)</t>
        </is>
      </c>
      <c r="O985" s="29" t="n">
        <v>0</v>
      </c>
      <c r="P985" s="29" t="n">
        <v>0</v>
      </c>
      <c r="Q985" s="29" t="n">
        <v>0</v>
      </c>
      <c r="R985" s="29" t="n">
        <v>0</v>
      </c>
      <c r="S985" s="29" t="n">
        <v>0</v>
      </c>
      <c r="T985" t="inlineStr">
        <is>
          <t>25241026975620000130570010000030071000000003</t>
        </is>
      </c>
      <c r="U985" t="inlineStr">
        <is>
          <t>Não</t>
        </is>
      </c>
    </row>
    <row r="986">
      <c r="A986" t="inlineStr">
        <is>
          <t>Frete de venda</t>
        </is>
      </c>
      <c r="B986" t="inlineStr">
        <is>
          <t>1.01.01 Venda de Mercadoria Fabricadas</t>
        </is>
      </c>
      <c r="C986" t="inlineStr">
        <is>
          <t>Antes de 2026</t>
        </is>
      </c>
      <c r="D986" t="inlineStr">
        <is>
          <t>Antes de 2026</t>
        </is>
      </c>
      <c r="E986" s="28" t="n">
        <v>45594</v>
      </c>
      <c r="F986" t="inlineStr">
        <is>
          <t>CT-e</t>
        </is>
      </c>
      <c r="G986" t="inlineStr">
        <is>
          <t>000003008</t>
        </is>
      </c>
      <c r="H986" t="inlineStr">
        <is>
          <t>R&amp;R TRANSPORTE E LOGISTICA</t>
        </is>
      </c>
      <c r="J986" s="29" t="n">
        <v>32</v>
      </c>
      <c r="K986" s="29">
        <f>(1-ISNUMBER(SEARCH("556",M986)))*(O986*SUMIFS(Premissas!$C$5:$C$44,Premissas!$A$5:$A$44,$A986,Premissas!$B$5:$B$44,$B986)+P986*SUMIFS(Premissas!$D$5:$D$44,Premissas!$A$5:$A$44,$A986,Premissas!$B$5:$B$44,$B986))+R986*SUMIFS(Premissas!$E$5:$E$44,Premissas!$A$5:$A$44,$A986,Premissas!$B$5:$B$44,$B986)+S986*SUMIFS(Premissas!$F$5:$F$44,Premissas!$A$5:$A$44,$A986,Premissas!$B$5:$B$44,$B986)</f>
        <v/>
      </c>
      <c r="L986" s="29">
        <f>J986-K986</f>
        <v/>
      </c>
      <c r="M986" t="inlineStr">
        <is>
          <t>1.350</t>
        </is>
      </c>
      <c r="N986" t="inlineStr">
        <is>
          <t>Modalidade: 0 - Por conta do remetente | Parte: I S S DA CUNHA COMERCIO DE DESCARTAVEIS (09.619.492/0001-72)</t>
        </is>
      </c>
      <c r="O986" s="29" t="n">
        <v>0</v>
      </c>
      <c r="P986" s="29" t="n">
        <v>0</v>
      </c>
      <c r="Q986" s="29" t="n">
        <v>0</v>
      </c>
      <c r="R986" s="29" t="n">
        <v>0</v>
      </c>
      <c r="S986" s="29" t="n">
        <v>0</v>
      </c>
      <c r="T986" t="inlineStr">
        <is>
          <t>25241026975620000130570010000030081000000000</t>
        </is>
      </c>
      <c r="U986" t="inlineStr">
        <is>
          <t>Não</t>
        </is>
      </c>
    </row>
    <row r="987">
      <c r="A987" t="inlineStr">
        <is>
          <t>Frete de venda</t>
        </is>
      </c>
      <c r="B987" t="inlineStr">
        <is>
          <t>1.01.01 Venda de Mercadoria Fabricadas</t>
        </is>
      </c>
      <c r="C987" t="inlineStr">
        <is>
          <t>Antes de 2026</t>
        </is>
      </c>
      <c r="D987" t="inlineStr">
        <is>
          <t>Antes de 2026</t>
        </is>
      </c>
      <c r="E987" s="28" t="n">
        <v>45594</v>
      </c>
      <c r="F987" t="inlineStr">
        <is>
          <t>CT-e</t>
        </is>
      </c>
      <c r="G987" t="inlineStr">
        <is>
          <t>000003009</t>
        </is>
      </c>
      <c r="H987" t="inlineStr">
        <is>
          <t>R&amp;R TRANSPORTE E LOGISTICA</t>
        </is>
      </c>
      <c r="J987" s="29" t="n">
        <v>27</v>
      </c>
      <c r="K987" s="29">
        <f>(1-ISNUMBER(SEARCH("556",M987)))*(O987*SUMIFS(Premissas!$C$5:$C$44,Premissas!$A$5:$A$44,$A987,Premissas!$B$5:$B$44,$B987)+P987*SUMIFS(Premissas!$D$5:$D$44,Premissas!$A$5:$A$44,$A987,Premissas!$B$5:$B$44,$B987))+R987*SUMIFS(Premissas!$E$5:$E$44,Premissas!$A$5:$A$44,$A987,Premissas!$B$5:$B$44,$B987)+S987*SUMIFS(Premissas!$F$5:$F$44,Premissas!$A$5:$A$44,$A987,Premissas!$B$5:$B$44,$B987)</f>
        <v/>
      </c>
      <c r="L987" s="29">
        <f>J987-K987</f>
        <v/>
      </c>
      <c r="M987" t="inlineStr">
        <is>
          <t>1.350</t>
        </is>
      </c>
      <c r="N987" t="inlineStr">
        <is>
          <t>Modalidade: 0 - Por conta do remetente | Parte: JAMES L. H. TOME e CIA LTDA (16.965.024/0006-20)</t>
        </is>
      </c>
      <c r="O987" s="29" t="n">
        <v>0</v>
      </c>
      <c r="P987" s="29" t="n">
        <v>0</v>
      </c>
      <c r="Q987" s="29" t="n">
        <v>0</v>
      </c>
      <c r="R987" s="29" t="n">
        <v>0</v>
      </c>
      <c r="S987" s="29" t="n">
        <v>0</v>
      </c>
      <c r="T987" t="inlineStr">
        <is>
          <t>25241026975620000130570010000030091000000008</t>
        </is>
      </c>
      <c r="U987" t="inlineStr">
        <is>
          <t>Não</t>
        </is>
      </c>
    </row>
    <row r="988">
      <c r="A988" t="inlineStr">
        <is>
          <t>Frete de venda</t>
        </is>
      </c>
      <c r="B988" t="inlineStr">
        <is>
          <t>1.01.01 Venda de Mercadoria Fabricadas</t>
        </is>
      </c>
      <c r="C988" t="inlineStr">
        <is>
          <t>Antes de 2026</t>
        </is>
      </c>
      <c r="D988" t="inlineStr">
        <is>
          <t>Antes de 2026</t>
        </is>
      </c>
      <c r="E988" s="28" t="n">
        <v>45594</v>
      </c>
      <c r="F988" t="inlineStr">
        <is>
          <t>CT-e</t>
        </is>
      </c>
      <c r="G988" t="inlineStr">
        <is>
          <t>000003010</t>
        </is>
      </c>
      <c r="H988" t="inlineStr">
        <is>
          <t>R&amp;R TRANSPORTE E LOGISTICA</t>
        </is>
      </c>
      <c r="J988" s="29" t="n">
        <v>55</v>
      </c>
      <c r="K988" s="29">
        <f>(1-ISNUMBER(SEARCH("556",M988)))*(O988*SUMIFS(Premissas!$C$5:$C$44,Premissas!$A$5:$A$44,$A988,Premissas!$B$5:$B$44,$B988)+P988*SUMIFS(Premissas!$D$5:$D$44,Premissas!$A$5:$A$44,$A988,Premissas!$B$5:$B$44,$B988))+R988*SUMIFS(Premissas!$E$5:$E$44,Premissas!$A$5:$A$44,$A988,Premissas!$B$5:$B$44,$B988)+S988*SUMIFS(Premissas!$F$5:$F$44,Premissas!$A$5:$A$44,$A988,Premissas!$B$5:$B$44,$B988)</f>
        <v/>
      </c>
      <c r="L988" s="29">
        <f>J988-K988</f>
        <v/>
      </c>
      <c r="M988" t="inlineStr">
        <is>
          <t>1.350</t>
        </is>
      </c>
      <c r="N988" t="inlineStr">
        <is>
          <t>Modalidade: 0 - Por conta do remetente | Parte: LIDER INDUSTRIA E COMERCIO LTDA (45.762.979/0001-73)</t>
        </is>
      </c>
      <c r="O988" s="29" t="n">
        <v>0</v>
      </c>
      <c r="P988" s="29" t="n">
        <v>0</v>
      </c>
      <c r="Q988" s="29" t="n">
        <v>0</v>
      </c>
      <c r="R988" s="29" t="n">
        <v>0</v>
      </c>
      <c r="S988" s="29" t="n">
        <v>0</v>
      </c>
      <c r="T988" t="inlineStr">
        <is>
          <t>25241026975620000130570010000030101000000009</t>
        </is>
      </c>
      <c r="U988" t="inlineStr">
        <is>
          <t>Não</t>
        </is>
      </c>
    </row>
    <row r="989">
      <c r="A989" t="inlineStr">
        <is>
          <t>Frete de venda</t>
        </is>
      </c>
      <c r="B989" t="inlineStr">
        <is>
          <t>1.01.01 Venda de Mercadoria Fabricadas</t>
        </is>
      </c>
      <c r="C989" t="inlineStr">
        <is>
          <t>Antes de 2026</t>
        </is>
      </c>
      <c r="D989" t="inlineStr">
        <is>
          <t>Antes de 2026</t>
        </is>
      </c>
      <c r="E989" s="28" t="n">
        <v>45594</v>
      </c>
      <c r="F989" t="inlineStr">
        <is>
          <t>CT-e</t>
        </is>
      </c>
      <c r="G989" t="inlineStr">
        <is>
          <t>000003011</t>
        </is>
      </c>
      <c r="H989" t="inlineStr">
        <is>
          <t>R&amp;R TRANSPORTE E LOGISTICA</t>
        </is>
      </c>
      <c r="J989" s="29" t="n">
        <v>40</v>
      </c>
      <c r="K989" s="29">
        <f>(1-ISNUMBER(SEARCH("556",M989)))*(O989*SUMIFS(Premissas!$C$5:$C$44,Premissas!$A$5:$A$44,$A989,Premissas!$B$5:$B$44,$B989)+P989*SUMIFS(Premissas!$D$5:$D$44,Premissas!$A$5:$A$44,$A989,Premissas!$B$5:$B$44,$B989))+R989*SUMIFS(Premissas!$E$5:$E$44,Premissas!$A$5:$A$44,$A989,Premissas!$B$5:$B$44,$B989)+S989*SUMIFS(Premissas!$F$5:$F$44,Premissas!$A$5:$A$44,$A989,Premissas!$B$5:$B$44,$B989)</f>
        <v/>
      </c>
      <c r="L989" s="29">
        <f>J989-K989</f>
        <v/>
      </c>
      <c r="M989" t="inlineStr">
        <is>
          <t>1.350</t>
        </is>
      </c>
      <c r="N989" t="inlineStr">
        <is>
          <t>Modalidade: 0 - Por conta do remetente | Parte: ARMARINHO CAMPEAO LTDA (38.065.759/0001-25)</t>
        </is>
      </c>
      <c r="O989" s="29" t="n">
        <v>0</v>
      </c>
      <c r="P989" s="29" t="n">
        <v>0</v>
      </c>
      <c r="Q989" s="29" t="n">
        <v>0</v>
      </c>
      <c r="R989" s="29" t="n">
        <v>0</v>
      </c>
      <c r="S989" s="29" t="n">
        <v>0</v>
      </c>
      <c r="T989" t="inlineStr">
        <is>
          <t>25241026975620000130570010000030111000000006</t>
        </is>
      </c>
      <c r="U989" t="inlineStr">
        <is>
          <t>Não</t>
        </is>
      </c>
    </row>
    <row r="990">
      <c r="A990" t="inlineStr">
        <is>
          <t>Frete de venda</t>
        </is>
      </c>
      <c r="B990" t="inlineStr">
        <is>
          <t>1.01.01 Venda de Mercadoria Fabricadas</t>
        </is>
      </c>
      <c r="C990" t="inlineStr">
        <is>
          <t>Antes de 2026</t>
        </is>
      </c>
      <c r="D990" t="inlineStr">
        <is>
          <t>Antes de 2026</t>
        </is>
      </c>
      <c r="E990" s="28" t="n">
        <v>45595</v>
      </c>
      <c r="F990" t="inlineStr">
        <is>
          <t>CT-e</t>
        </is>
      </c>
      <c r="G990" t="inlineStr">
        <is>
          <t>000003051</t>
        </is>
      </c>
      <c r="H990" t="inlineStr">
        <is>
          <t>R&amp;R TRANSPORTE E LOGISTICA</t>
        </is>
      </c>
      <c r="J990" s="29" t="n">
        <v>63</v>
      </c>
      <c r="K990" s="29">
        <f>(1-ISNUMBER(SEARCH("556",M990)))*(O990*SUMIFS(Premissas!$C$5:$C$44,Premissas!$A$5:$A$44,$A990,Premissas!$B$5:$B$44,$B990)+P990*SUMIFS(Premissas!$D$5:$D$44,Premissas!$A$5:$A$44,$A990,Premissas!$B$5:$B$44,$B990))+R990*SUMIFS(Premissas!$E$5:$E$44,Premissas!$A$5:$A$44,$A990,Premissas!$B$5:$B$44,$B990)+S990*SUMIFS(Premissas!$F$5:$F$44,Premissas!$A$5:$A$44,$A990,Premissas!$B$5:$B$44,$B990)</f>
        <v/>
      </c>
      <c r="L990" s="29">
        <f>J990-K990</f>
        <v/>
      </c>
      <c r="M990" t="inlineStr">
        <is>
          <t>1.350</t>
        </is>
      </c>
      <c r="N990" t="inlineStr">
        <is>
          <t>Modalidade: 0 - Por conta do remetente | Parte: NOVA SERRA PLAST COMERCIO DE EMBALAGENS, ALIMENTOS E UTI... (55.651.203/0001-30)</t>
        </is>
      </c>
      <c r="O990" s="29" t="n">
        <v>0</v>
      </c>
      <c r="P990" s="29" t="n">
        <v>0</v>
      </c>
      <c r="Q990" s="29" t="n">
        <v>0</v>
      </c>
      <c r="R990" s="29" t="n">
        <v>0</v>
      </c>
      <c r="S990" s="29" t="n">
        <v>0</v>
      </c>
      <c r="T990" t="inlineStr">
        <is>
          <t>25241026975620000130570010000030511000000001</t>
        </is>
      </c>
      <c r="U990" t="inlineStr">
        <is>
          <t>Não</t>
        </is>
      </c>
    </row>
    <row r="991">
      <c r="A991" t="inlineStr">
        <is>
          <t>Frete de venda</t>
        </is>
      </c>
      <c r="B991" t="inlineStr">
        <is>
          <t>1.01.01 Venda de Mercadoria Fabricadas</t>
        </is>
      </c>
      <c r="C991" t="inlineStr">
        <is>
          <t>Antes de 2026</t>
        </is>
      </c>
      <c r="D991" t="inlineStr">
        <is>
          <t>Antes de 2026</t>
        </is>
      </c>
      <c r="E991" s="28" t="n">
        <v>45595</v>
      </c>
      <c r="F991" t="inlineStr">
        <is>
          <t>CT-e</t>
        </is>
      </c>
      <c r="G991" t="inlineStr">
        <is>
          <t>000003052</t>
        </is>
      </c>
      <c r="H991" t="inlineStr">
        <is>
          <t>R&amp;R TRANSPORTE E LOGISTICA</t>
        </is>
      </c>
      <c r="J991" s="29" t="n">
        <v>160</v>
      </c>
      <c r="K991" s="29">
        <f>(1-ISNUMBER(SEARCH("556",M991)))*(O991*SUMIFS(Premissas!$C$5:$C$44,Premissas!$A$5:$A$44,$A991,Premissas!$B$5:$B$44,$B991)+P991*SUMIFS(Premissas!$D$5:$D$44,Premissas!$A$5:$A$44,$A991,Premissas!$B$5:$B$44,$B991))+R991*SUMIFS(Premissas!$E$5:$E$44,Premissas!$A$5:$A$44,$A991,Premissas!$B$5:$B$44,$B991)+S991*SUMIFS(Premissas!$F$5:$F$44,Premissas!$A$5:$A$44,$A991,Premissas!$B$5:$B$44,$B991)</f>
        <v/>
      </c>
      <c r="L991" s="29">
        <f>J991-K991</f>
        <v/>
      </c>
      <c r="M991" t="inlineStr">
        <is>
          <t>1.350</t>
        </is>
      </c>
      <c r="N991" t="inlineStr">
        <is>
          <t>Modalidade: 0 - Por conta do remetente | Parte: STILOS FESTAS E BEBIDAS LTDA (31.614.905/0001-85)</t>
        </is>
      </c>
      <c r="O991" s="29" t="n">
        <v>0</v>
      </c>
      <c r="P991" s="29" t="n">
        <v>0</v>
      </c>
      <c r="Q991" s="29" t="n">
        <v>0</v>
      </c>
      <c r="R991" s="29" t="n">
        <v>0</v>
      </c>
      <c r="S991" s="29" t="n">
        <v>0</v>
      </c>
      <c r="T991" t="inlineStr">
        <is>
          <t>25241026975620000130570010000030521000000009</t>
        </is>
      </c>
      <c r="U991" t="inlineStr">
        <is>
          <t>Não</t>
        </is>
      </c>
    </row>
    <row r="992">
      <c r="A992" t="inlineStr">
        <is>
          <t>Frete de venda</t>
        </is>
      </c>
      <c r="B992" t="inlineStr">
        <is>
          <t>1.01.01 Venda de Mercadoria Fabricadas</t>
        </is>
      </c>
      <c r="C992" t="inlineStr">
        <is>
          <t>Antes de 2026</t>
        </is>
      </c>
      <c r="D992" t="inlineStr">
        <is>
          <t>Antes de 2026</t>
        </is>
      </c>
      <c r="E992" s="28" t="n">
        <v>45595</v>
      </c>
      <c r="F992" t="inlineStr">
        <is>
          <t>CT-e</t>
        </is>
      </c>
      <c r="G992" t="inlineStr">
        <is>
          <t>000003053</t>
        </is>
      </c>
      <c r="H992" t="inlineStr">
        <is>
          <t>R&amp;R TRANSPORTE E LOGISTICA</t>
        </is>
      </c>
      <c r="J992" s="29" t="n">
        <v>85</v>
      </c>
      <c r="K992" s="29">
        <f>(1-ISNUMBER(SEARCH("556",M992)))*(O992*SUMIFS(Premissas!$C$5:$C$44,Premissas!$A$5:$A$44,$A992,Premissas!$B$5:$B$44,$B992)+P992*SUMIFS(Premissas!$D$5:$D$44,Premissas!$A$5:$A$44,$A992,Premissas!$B$5:$B$44,$B992))+R992*SUMIFS(Premissas!$E$5:$E$44,Premissas!$A$5:$A$44,$A992,Premissas!$B$5:$B$44,$B992)+S992*SUMIFS(Premissas!$F$5:$F$44,Premissas!$A$5:$A$44,$A992,Premissas!$B$5:$B$44,$B992)</f>
        <v/>
      </c>
      <c r="L992" s="29">
        <f>J992-K992</f>
        <v/>
      </c>
      <c r="M992" t="inlineStr">
        <is>
          <t>1.350</t>
        </is>
      </c>
      <c r="N992" t="inlineStr">
        <is>
          <t>Modalidade: 0 - Por conta do remetente | Parte: A P C DOS SANTOS DISTRIBUIDORA EM GERAL (19.872.821/0001-46)</t>
        </is>
      </c>
      <c r="O992" s="29" t="n">
        <v>0</v>
      </c>
      <c r="P992" s="29" t="n">
        <v>0</v>
      </c>
      <c r="Q992" s="29" t="n">
        <v>0</v>
      </c>
      <c r="R992" s="29" t="n">
        <v>0</v>
      </c>
      <c r="S992" s="29" t="n">
        <v>0</v>
      </c>
      <c r="T992" t="inlineStr">
        <is>
          <t>25241026975620000130570010000030531000000006</t>
        </is>
      </c>
      <c r="U992" t="inlineStr">
        <is>
          <t>Não</t>
        </is>
      </c>
    </row>
    <row r="993">
      <c r="A993" t="inlineStr">
        <is>
          <t>Frete de venda</t>
        </is>
      </c>
      <c r="B993" t="inlineStr">
        <is>
          <t>1.01.01 Venda de Mercadoria Fabricadas</t>
        </is>
      </c>
      <c r="C993" t="inlineStr">
        <is>
          <t>Antes de 2026</t>
        </is>
      </c>
      <c r="D993" t="inlineStr">
        <is>
          <t>Antes de 2026</t>
        </is>
      </c>
      <c r="E993" s="28" t="n">
        <v>45596</v>
      </c>
      <c r="F993" t="inlineStr">
        <is>
          <t>CT-e</t>
        </is>
      </c>
      <c r="G993" t="inlineStr">
        <is>
          <t>000003055</t>
        </is>
      </c>
      <c r="H993" t="inlineStr">
        <is>
          <t>R&amp;R TRANSPORTE E LOGISTICA</t>
        </is>
      </c>
      <c r="J993" s="29" t="n">
        <v>25</v>
      </c>
      <c r="K993" s="29">
        <f>(1-ISNUMBER(SEARCH("556",M993)))*(O993*SUMIFS(Premissas!$C$5:$C$44,Premissas!$A$5:$A$44,$A993,Premissas!$B$5:$B$44,$B993)+P993*SUMIFS(Premissas!$D$5:$D$44,Premissas!$A$5:$A$44,$A993,Premissas!$B$5:$B$44,$B993))+R993*SUMIFS(Premissas!$E$5:$E$44,Premissas!$A$5:$A$44,$A993,Premissas!$B$5:$B$44,$B993)+S993*SUMIFS(Premissas!$F$5:$F$44,Premissas!$A$5:$A$44,$A993,Premissas!$B$5:$B$44,$B993)</f>
        <v/>
      </c>
      <c r="L993" s="29">
        <f>J993-K993</f>
        <v/>
      </c>
      <c r="M993" t="inlineStr">
        <is>
          <t>1.350</t>
        </is>
      </c>
      <c r="N993" t="inlineStr">
        <is>
          <t>Modalidade: 0 - Por conta do remetente | Parte: CRISTAL NEWS ALIMENTOS E EMBALAGENS LTDA (04.067.045/0001-34)</t>
        </is>
      </c>
      <c r="O993" s="29" t="n">
        <v>0</v>
      </c>
      <c r="P993" s="29" t="n">
        <v>0</v>
      </c>
      <c r="Q993" s="29" t="n">
        <v>0</v>
      </c>
      <c r="R993" s="29" t="n">
        <v>0</v>
      </c>
      <c r="S993" s="29" t="n">
        <v>0</v>
      </c>
      <c r="T993" t="inlineStr">
        <is>
          <t>25241026975620000130570010000030551000000000</t>
        </is>
      </c>
      <c r="U993" t="inlineStr">
        <is>
          <t>Não</t>
        </is>
      </c>
    </row>
    <row r="994">
      <c r="A994" t="inlineStr">
        <is>
          <t>Frete de venda</t>
        </is>
      </c>
      <c r="B994" t="inlineStr">
        <is>
          <t>1.01.01 Venda de Mercadoria Fabricadas</t>
        </is>
      </c>
      <c r="C994" t="inlineStr">
        <is>
          <t>Antes de 2026</t>
        </is>
      </c>
      <c r="D994" t="inlineStr">
        <is>
          <t>Antes de 2026</t>
        </is>
      </c>
      <c r="E994" s="28" t="n">
        <v>45596</v>
      </c>
      <c r="F994" t="inlineStr">
        <is>
          <t>CT-e</t>
        </is>
      </c>
      <c r="G994" t="inlineStr">
        <is>
          <t>000003056</t>
        </is>
      </c>
      <c r="H994" t="inlineStr">
        <is>
          <t>R&amp;R TRANSPORTE E LOGISTICA</t>
        </is>
      </c>
      <c r="J994" s="29" t="n">
        <v>20</v>
      </c>
      <c r="K994" s="29">
        <f>(1-ISNUMBER(SEARCH("556",M994)))*(O994*SUMIFS(Premissas!$C$5:$C$44,Premissas!$A$5:$A$44,$A994,Premissas!$B$5:$B$44,$B994)+P994*SUMIFS(Premissas!$D$5:$D$44,Premissas!$A$5:$A$44,$A994,Premissas!$B$5:$B$44,$B994))+R994*SUMIFS(Premissas!$E$5:$E$44,Premissas!$A$5:$A$44,$A994,Premissas!$B$5:$B$44,$B994)+S994*SUMIFS(Premissas!$F$5:$F$44,Premissas!$A$5:$A$44,$A994,Premissas!$B$5:$B$44,$B994)</f>
        <v/>
      </c>
      <c r="L994" s="29">
        <f>J994-K994</f>
        <v/>
      </c>
      <c r="M994" t="inlineStr">
        <is>
          <t>1.350</t>
        </is>
      </c>
      <c r="N994" t="inlineStr">
        <is>
          <t>Modalidade: 0 - Por conta do remetente | Parte: R.J COMERCIO DE EMBALAGENS LTDA (38.204.536/0001-00)</t>
        </is>
      </c>
      <c r="O994" s="29" t="n">
        <v>0</v>
      </c>
      <c r="P994" s="29" t="n">
        <v>0</v>
      </c>
      <c r="Q994" s="29" t="n">
        <v>0</v>
      </c>
      <c r="R994" s="29" t="n">
        <v>0</v>
      </c>
      <c r="S994" s="29" t="n">
        <v>0</v>
      </c>
      <c r="T994" t="inlineStr">
        <is>
          <t>25241026975620000130570010000030561000000008</t>
        </is>
      </c>
      <c r="U994" t="inlineStr">
        <is>
          <t>Não</t>
        </is>
      </c>
    </row>
    <row r="995">
      <c r="A995" t="inlineStr">
        <is>
          <t>Frete de venda</t>
        </is>
      </c>
      <c r="B995" t="inlineStr">
        <is>
          <t>1.01.01 Venda de Mercadoria Fabricadas</t>
        </is>
      </c>
      <c r="C995" t="inlineStr">
        <is>
          <t>Antes de 2026</t>
        </is>
      </c>
      <c r="D995" t="inlineStr">
        <is>
          <t>Antes de 2026</t>
        </is>
      </c>
      <c r="E995" s="28" t="n">
        <v>45596</v>
      </c>
      <c r="F995" t="inlineStr">
        <is>
          <t>CT-e</t>
        </is>
      </c>
      <c r="G995" t="inlineStr">
        <is>
          <t>000003057</t>
        </is>
      </c>
      <c r="H995" t="inlineStr">
        <is>
          <t>R&amp;R TRANSPORTE E LOGISTICA</t>
        </is>
      </c>
      <c r="J995" s="29" t="n">
        <v>20</v>
      </c>
      <c r="K995" s="29">
        <f>(1-ISNUMBER(SEARCH("556",M995)))*(O995*SUMIFS(Premissas!$C$5:$C$44,Premissas!$A$5:$A$44,$A995,Premissas!$B$5:$B$44,$B995)+P995*SUMIFS(Premissas!$D$5:$D$44,Premissas!$A$5:$A$44,$A995,Premissas!$B$5:$B$44,$B995))+R995*SUMIFS(Premissas!$E$5:$E$44,Premissas!$A$5:$A$44,$A995,Premissas!$B$5:$B$44,$B995)+S995*SUMIFS(Premissas!$F$5:$F$44,Premissas!$A$5:$A$44,$A995,Premissas!$B$5:$B$44,$B995)</f>
        <v/>
      </c>
      <c r="L995" s="29">
        <f>J995-K995</f>
        <v/>
      </c>
      <c r="M995" t="inlineStr">
        <is>
          <t>1.350</t>
        </is>
      </c>
      <c r="N995" t="inlineStr">
        <is>
          <t>Modalidade: 0 - Por conta do remetente | Parte: VAREJAO DAS EMBALAGENS LTDA (02.853.159/0001-84)</t>
        </is>
      </c>
      <c r="O995" s="29" t="n">
        <v>0</v>
      </c>
      <c r="P995" s="29" t="n">
        <v>0</v>
      </c>
      <c r="Q995" s="29" t="n">
        <v>0</v>
      </c>
      <c r="R995" s="29" t="n">
        <v>0</v>
      </c>
      <c r="S995" s="29" t="n">
        <v>0</v>
      </c>
      <c r="T995" t="inlineStr">
        <is>
          <t>25241026975620000130570010000030571000000005</t>
        </is>
      </c>
      <c r="U995" t="inlineStr">
        <is>
          <t>Não</t>
        </is>
      </c>
    </row>
    <row r="996">
      <c r="A996" t="inlineStr">
        <is>
          <t>Frete de venda</t>
        </is>
      </c>
      <c r="B996" t="inlineStr">
        <is>
          <t>1.01.01 Venda de Mercadoria Fabricadas</t>
        </is>
      </c>
      <c r="C996" t="inlineStr">
        <is>
          <t>Antes de 2026</t>
        </is>
      </c>
      <c r="D996" t="inlineStr">
        <is>
          <t>Antes de 2026</t>
        </is>
      </c>
      <c r="E996" s="28" t="n">
        <v>45596</v>
      </c>
      <c r="F996" t="inlineStr">
        <is>
          <t>CT-e</t>
        </is>
      </c>
      <c r="G996" t="inlineStr">
        <is>
          <t>000003058</t>
        </is>
      </c>
      <c r="H996" t="inlineStr">
        <is>
          <t>R&amp;R TRANSPORTE E LOGISTICA</t>
        </is>
      </c>
      <c r="J996" s="29" t="n">
        <v>20</v>
      </c>
      <c r="K996" s="29">
        <f>(1-ISNUMBER(SEARCH("556",M996)))*(O996*SUMIFS(Premissas!$C$5:$C$44,Premissas!$A$5:$A$44,$A996,Premissas!$B$5:$B$44,$B996)+P996*SUMIFS(Premissas!$D$5:$D$44,Premissas!$A$5:$A$44,$A996,Premissas!$B$5:$B$44,$B996))+R996*SUMIFS(Premissas!$E$5:$E$44,Premissas!$A$5:$A$44,$A996,Premissas!$B$5:$B$44,$B996)+S996*SUMIFS(Premissas!$F$5:$F$44,Premissas!$A$5:$A$44,$A996,Premissas!$B$5:$B$44,$B996)</f>
        <v/>
      </c>
      <c r="L996" s="29">
        <f>J996-K996</f>
        <v/>
      </c>
      <c r="M996" t="inlineStr">
        <is>
          <t>1.350</t>
        </is>
      </c>
      <c r="N996" t="inlineStr">
        <is>
          <t>Modalidade: 0 - Por conta do remetente | Parte: JOANICE COMERCIAL DE EMBALAGENS E CONFEITARIA LTDA (50.350.203/0001-86)</t>
        </is>
      </c>
      <c r="O996" s="29" t="n">
        <v>0</v>
      </c>
      <c r="P996" s="29" t="n">
        <v>0</v>
      </c>
      <c r="Q996" s="29" t="n">
        <v>0</v>
      </c>
      <c r="R996" s="29" t="n">
        <v>0</v>
      </c>
      <c r="S996" s="29" t="n">
        <v>0</v>
      </c>
      <c r="T996" t="inlineStr">
        <is>
          <t>25241026975620000130570010000030581000000002</t>
        </is>
      </c>
      <c r="U996" t="inlineStr">
        <is>
          <t>Não</t>
        </is>
      </c>
    </row>
    <row r="997">
      <c r="A997" t="inlineStr">
        <is>
          <t>Frete de venda</t>
        </is>
      </c>
      <c r="B997" t="inlineStr">
        <is>
          <t>1.01.01 Venda de Mercadoria Fabricadas</t>
        </is>
      </c>
      <c r="C997" t="inlineStr">
        <is>
          <t>Antes de 2026</t>
        </is>
      </c>
      <c r="D997" t="inlineStr">
        <is>
          <t>Antes de 2026</t>
        </is>
      </c>
      <c r="E997" s="28" t="n">
        <v>45596</v>
      </c>
      <c r="F997" t="inlineStr">
        <is>
          <t>CT-e</t>
        </is>
      </c>
      <c r="G997" t="inlineStr">
        <is>
          <t>000003059</t>
        </is>
      </c>
      <c r="H997" t="inlineStr">
        <is>
          <t>R&amp;R TRANSPORTE E LOGISTICA</t>
        </is>
      </c>
      <c r="J997" s="29" t="n">
        <v>20</v>
      </c>
      <c r="K997" s="29">
        <f>(1-ISNUMBER(SEARCH("556",M997)))*(O997*SUMIFS(Premissas!$C$5:$C$44,Premissas!$A$5:$A$44,$A997,Premissas!$B$5:$B$44,$B997)+P997*SUMIFS(Premissas!$D$5:$D$44,Premissas!$A$5:$A$44,$A997,Premissas!$B$5:$B$44,$B997))+R997*SUMIFS(Premissas!$E$5:$E$44,Premissas!$A$5:$A$44,$A997,Premissas!$B$5:$B$44,$B997)+S997*SUMIFS(Premissas!$F$5:$F$44,Premissas!$A$5:$A$44,$A997,Premissas!$B$5:$B$44,$B997)</f>
        <v/>
      </c>
      <c r="L997" s="29">
        <f>J997-K997</f>
        <v/>
      </c>
      <c r="M997" t="inlineStr">
        <is>
          <t>1.350</t>
        </is>
      </c>
      <c r="N997" t="inlineStr">
        <is>
          <t>Modalidade: 0 - Por conta do remetente | Parte: BA EMBALAGENS COM ATACADISTA DE EMBALAGENS E BOMBONIERI (09.048.003/0001-70)</t>
        </is>
      </c>
      <c r="O997" s="29" t="n">
        <v>0</v>
      </c>
      <c r="P997" s="29" t="n">
        <v>0</v>
      </c>
      <c r="Q997" s="29" t="n">
        <v>0</v>
      </c>
      <c r="R997" s="29" t="n">
        <v>0</v>
      </c>
      <c r="S997" s="29" t="n">
        <v>0</v>
      </c>
      <c r="T997" t="inlineStr">
        <is>
          <t>25241026975620000130570010000030591000000000</t>
        </is>
      </c>
      <c r="U997" t="inlineStr">
        <is>
          <t>Não</t>
        </is>
      </c>
    </row>
    <row r="998">
      <c r="A998" t="inlineStr">
        <is>
          <t>Frete de venda</t>
        </is>
      </c>
      <c r="B998" t="inlineStr">
        <is>
          <t>1.01.01 Venda de Mercadoria Fabricadas</t>
        </is>
      </c>
      <c r="C998" t="inlineStr">
        <is>
          <t>Antes de 2026</t>
        </is>
      </c>
      <c r="D998" t="inlineStr">
        <is>
          <t>Antes de 2026</t>
        </is>
      </c>
      <c r="E998" s="28" t="n">
        <v>45596</v>
      </c>
      <c r="F998" t="inlineStr">
        <is>
          <t>CT-e</t>
        </is>
      </c>
      <c r="G998" t="inlineStr">
        <is>
          <t>000003060</t>
        </is>
      </c>
      <c r="H998" t="inlineStr">
        <is>
          <t>R&amp;R TRANSPORTE E LOGISTICA</t>
        </is>
      </c>
      <c r="J998" s="29" t="n">
        <v>18</v>
      </c>
      <c r="K998" s="29">
        <f>(1-ISNUMBER(SEARCH("556",M998)))*(O998*SUMIFS(Premissas!$C$5:$C$44,Premissas!$A$5:$A$44,$A998,Premissas!$B$5:$B$44,$B998)+P998*SUMIFS(Premissas!$D$5:$D$44,Premissas!$A$5:$A$44,$A998,Premissas!$B$5:$B$44,$B998))+R998*SUMIFS(Premissas!$E$5:$E$44,Premissas!$A$5:$A$44,$A998,Premissas!$B$5:$B$44,$B998)+S998*SUMIFS(Premissas!$F$5:$F$44,Premissas!$A$5:$A$44,$A998,Premissas!$B$5:$B$44,$B998)</f>
        <v/>
      </c>
      <c r="L998" s="29">
        <f>J998-K998</f>
        <v/>
      </c>
      <c r="M998" t="inlineStr">
        <is>
          <t>1.350</t>
        </is>
      </c>
      <c r="N998" t="inlineStr">
        <is>
          <t>Modalidade: 0 - Por conta do remetente | Parte: PSCP ATACADISTA, VAREJISTA DE EMBALAGENS, ALIMENTOS E VA... (00.139.108/0001-60)</t>
        </is>
      </c>
      <c r="O998" s="29" t="n">
        <v>0</v>
      </c>
      <c r="P998" s="29" t="n">
        <v>0</v>
      </c>
      <c r="Q998" s="29" t="n">
        <v>0</v>
      </c>
      <c r="R998" s="29" t="n">
        <v>0</v>
      </c>
      <c r="S998" s="29" t="n">
        <v>0</v>
      </c>
      <c r="T998" t="inlineStr">
        <is>
          <t>25241026975620000130570010000030601000000000</t>
        </is>
      </c>
      <c r="U998" t="inlineStr">
        <is>
          <t>Não</t>
        </is>
      </c>
    </row>
    <row r="999">
      <c r="A999" t="inlineStr">
        <is>
          <t>Frete de venda</t>
        </is>
      </c>
      <c r="B999" t="inlineStr">
        <is>
          <t>1.01.01 Venda de Mercadoria Fabricadas</t>
        </is>
      </c>
      <c r="C999" t="inlineStr">
        <is>
          <t>Antes de 2026</t>
        </is>
      </c>
      <c r="D999" t="inlineStr">
        <is>
          <t>Antes de 2026</t>
        </is>
      </c>
      <c r="E999" s="28" t="n">
        <v>45596</v>
      </c>
      <c r="F999" t="inlineStr">
        <is>
          <t>CT-e</t>
        </is>
      </c>
      <c r="G999" t="inlineStr">
        <is>
          <t>000003061</t>
        </is>
      </c>
      <c r="H999" t="inlineStr">
        <is>
          <t>R&amp;R TRANSPORTE E LOGISTICA</t>
        </is>
      </c>
      <c r="J999" s="29" t="n">
        <v>18</v>
      </c>
      <c r="K999" s="29">
        <f>(1-ISNUMBER(SEARCH("556",M999)))*(O999*SUMIFS(Premissas!$C$5:$C$44,Premissas!$A$5:$A$44,$A999,Premissas!$B$5:$B$44,$B999)+P999*SUMIFS(Premissas!$D$5:$D$44,Premissas!$A$5:$A$44,$A999,Premissas!$B$5:$B$44,$B999))+R999*SUMIFS(Premissas!$E$5:$E$44,Premissas!$A$5:$A$44,$A999,Premissas!$B$5:$B$44,$B999)+S999*SUMIFS(Premissas!$F$5:$F$44,Premissas!$A$5:$A$44,$A999,Premissas!$B$5:$B$44,$B999)</f>
        <v/>
      </c>
      <c r="L999" s="29">
        <f>J999-K999</f>
        <v/>
      </c>
      <c r="M999" t="inlineStr">
        <is>
          <t>1.350</t>
        </is>
      </c>
      <c r="N999" t="inlineStr">
        <is>
          <t>Modalidade: 0 - Por conta do remetente | Parte: 'CASA DA SACOLA LTDA (39.302.234/0001-29)</t>
        </is>
      </c>
      <c r="O999" s="29" t="n">
        <v>0</v>
      </c>
      <c r="P999" s="29" t="n">
        <v>0</v>
      </c>
      <c r="Q999" s="29" t="n">
        <v>0</v>
      </c>
      <c r="R999" s="29" t="n">
        <v>0</v>
      </c>
      <c r="S999" s="29" t="n">
        <v>0</v>
      </c>
      <c r="T999" t="inlineStr">
        <is>
          <t>25241026975620000130570010000030611000000008</t>
        </is>
      </c>
      <c r="U999" t="inlineStr">
        <is>
          <t>Não</t>
        </is>
      </c>
    </row>
    <row r="1000">
      <c r="A1000" t="inlineStr">
        <is>
          <t>Frete de venda</t>
        </is>
      </c>
      <c r="B1000" t="inlineStr">
        <is>
          <t>1.01.01 Venda de Mercadoria Fabricadas</t>
        </is>
      </c>
      <c r="C1000" t="inlineStr">
        <is>
          <t>Antes de 2026</t>
        </is>
      </c>
      <c r="D1000" t="inlineStr">
        <is>
          <t>Antes de 2026</t>
        </is>
      </c>
      <c r="E1000" s="28" t="n">
        <v>45596</v>
      </c>
      <c r="F1000" t="inlineStr">
        <is>
          <t>CT-e</t>
        </is>
      </c>
      <c r="G1000" t="inlineStr">
        <is>
          <t>000003062</t>
        </is>
      </c>
      <c r="H1000" t="inlineStr">
        <is>
          <t>R&amp;R TRANSPORTE E LOGISTICA</t>
        </is>
      </c>
      <c r="J1000" s="29" t="n">
        <v>17</v>
      </c>
      <c r="K1000" s="29">
        <f>(1-ISNUMBER(SEARCH("556",M1000)))*(O1000*SUMIFS(Premissas!$C$5:$C$44,Premissas!$A$5:$A$44,$A1000,Premissas!$B$5:$B$44,$B1000)+P1000*SUMIFS(Premissas!$D$5:$D$44,Premissas!$A$5:$A$44,$A1000,Premissas!$B$5:$B$44,$B1000))+R1000*SUMIFS(Premissas!$E$5:$E$44,Premissas!$A$5:$A$44,$A1000,Premissas!$B$5:$B$44,$B1000)+S1000*SUMIFS(Premissas!$F$5:$F$44,Premissas!$A$5:$A$44,$A1000,Premissas!$B$5:$B$44,$B1000)</f>
        <v/>
      </c>
      <c r="L1000" s="29">
        <f>J1000-K1000</f>
        <v/>
      </c>
      <c r="M1000" t="inlineStr">
        <is>
          <t>1.350</t>
        </is>
      </c>
      <c r="N1000" t="inlineStr">
        <is>
          <t>Modalidade: 0 - Por conta do remetente | Parte: CENTRAL COMERCIAL DE VARIEDADES LTDA (15.596.084/0001-45)</t>
        </is>
      </c>
      <c r="O1000" s="29" t="n">
        <v>0</v>
      </c>
      <c r="P1000" s="29" t="n">
        <v>0</v>
      </c>
      <c r="Q1000" s="29" t="n">
        <v>0</v>
      </c>
      <c r="R1000" s="29" t="n">
        <v>0</v>
      </c>
      <c r="S1000" s="29" t="n">
        <v>0</v>
      </c>
      <c r="T1000" t="inlineStr">
        <is>
          <t>25241026975620000130570010000030621000000005</t>
        </is>
      </c>
      <c r="U1000" t="inlineStr">
        <is>
          <t>Não</t>
        </is>
      </c>
    </row>
    <row r="1001">
      <c r="A1001" t="inlineStr">
        <is>
          <t>Frete de venda</t>
        </is>
      </c>
      <c r="B1001" t="inlineStr">
        <is>
          <t>1.01.01 Venda de Mercadoria Fabricadas</t>
        </is>
      </c>
      <c r="C1001" t="inlineStr">
        <is>
          <t>Antes de 2026</t>
        </is>
      </c>
      <c r="D1001" t="inlineStr">
        <is>
          <t>Antes de 2026</t>
        </is>
      </c>
      <c r="E1001" s="28" t="n">
        <v>45596</v>
      </c>
      <c r="F1001" t="inlineStr">
        <is>
          <t>CT-e</t>
        </is>
      </c>
      <c r="G1001" t="inlineStr">
        <is>
          <t>000003063</t>
        </is>
      </c>
      <c r="H1001" t="inlineStr">
        <is>
          <t>R&amp;R TRANSPORTE E LOGISTICA</t>
        </is>
      </c>
      <c r="J1001" s="29" t="n">
        <v>20</v>
      </c>
      <c r="K1001" s="29">
        <f>(1-ISNUMBER(SEARCH("556",M1001)))*(O1001*SUMIFS(Premissas!$C$5:$C$44,Premissas!$A$5:$A$44,$A1001,Premissas!$B$5:$B$44,$B1001)+P1001*SUMIFS(Premissas!$D$5:$D$44,Premissas!$A$5:$A$44,$A1001,Premissas!$B$5:$B$44,$B1001))+R1001*SUMIFS(Premissas!$E$5:$E$44,Premissas!$A$5:$A$44,$A1001,Premissas!$B$5:$B$44,$B1001)+S1001*SUMIFS(Premissas!$F$5:$F$44,Premissas!$A$5:$A$44,$A1001,Premissas!$B$5:$B$44,$B1001)</f>
        <v/>
      </c>
      <c r="L1001" s="29">
        <f>J1001-K1001</f>
        <v/>
      </c>
      <c r="M1001" t="inlineStr">
        <is>
          <t>1.350</t>
        </is>
      </c>
      <c r="N1001" t="inlineStr">
        <is>
          <t>Modalidade: 0 - Por conta do remetente | Parte: AILTON MARTINS DA SILVA (14.296.466/0001-90)</t>
        </is>
      </c>
      <c r="O1001" s="29" t="n">
        <v>0</v>
      </c>
      <c r="P1001" s="29" t="n">
        <v>0</v>
      </c>
      <c r="Q1001" s="29" t="n">
        <v>0</v>
      </c>
      <c r="R1001" s="29" t="n">
        <v>0</v>
      </c>
      <c r="S1001" s="29" t="n">
        <v>0</v>
      </c>
      <c r="T1001" t="inlineStr">
        <is>
          <t>25241026975620000130570010000030631000000002</t>
        </is>
      </c>
      <c r="U1001" t="inlineStr">
        <is>
          <t>Não</t>
        </is>
      </c>
    </row>
    <row r="1002">
      <c r="A1002" t="inlineStr">
        <is>
          <t>Frete de venda</t>
        </is>
      </c>
      <c r="B1002" t="inlineStr">
        <is>
          <t>1.01.01 Venda de Mercadoria Fabricadas</t>
        </is>
      </c>
      <c r="C1002" t="inlineStr">
        <is>
          <t>Antes de 2026</t>
        </is>
      </c>
      <c r="D1002" t="inlineStr">
        <is>
          <t>Antes de 2026</t>
        </is>
      </c>
      <c r="E1002" s="28" t="n">
        <v>45596</v>
      </c>
      <c r="F1002" t="inlineStr">
        <is>
          <t>CT-e</t>
        </is>
      </c>
      <c r="G1002" t="inlineStr">
        <is>
          <t>000003064</t>
        </is>
      </c>
      <c r="H1002" t="inlineStr">
        <is>
          <t>R&amp;R TRANSPORTE E LOGISTICA</t>
        </is>
      </c>
      <c r="J1002" s="29" t="n">
        <v>45</v>
      </c>
      <c r="K1002" s="29">
        <f>(1-ISNUMBER(SEARCH("556",M1002)))*(O1002*SUMIFS(Premissas!$C$5:$C$44,Premissas!$A$5:$A$44,$A1002,Premissas!$B$5:$B$44,$B1002)+P1002*SUMIFS(Premissas!$D$5:$D$44,Premissas!$A$5:$A$44,$A1002,Premissas!$B$5:$B$44,$B1002))+R1002*SUMIFS(Premissas!$E$5:$E$44,Premissas!$A$5:$A$44,$A1002,Premissas!$B$5:$B$44,$B1002)+S1002*SUMIFS(Premissas!$F$5:$F$44,Premissas!$A$5:$A$44,$A1002,Premissas!$B$5:$B$44,$B1002)</f>
        <v/>
      </c>
      <c r="L1002" s="29">
        <f>J1002-K1002</f>
        <v/>
      </c>
      <c r="M1002" t="inlineStr">
        <is>
          <t>1.350</t>
        </is>
      </c>
      <c r="N1002" t="inlineStr">
        <is>
          <t>Modalidade: 0 - Por conta do remetente | Parte: CASINHAPEL EMBALAGENS LTDA (13.190.805/0001-97)</t>
        </is>
      </c>
      <c r="O1002" s="29" t="n">
        <v>0</v>
      </c>
      <c r="P1002" s="29" t="n">
        <v>0</v>
      </c>
      <c r="Q1002" s="29" t="n">
        <v>0</v>
      </c>
      <c r="R1002" s="29" t="n">
        <v>0</v>
      </c>
      <c r="S1002" s="29" t="n">
        <v>0</v>
      </c>
      <c r="T1002" t="inlineStr">
        <is>
          <t>25241026975620000130570010000030641000000000</t>
        </is>
      </c>
      <c r="U1002" t="inlineStr">
        <is>
          <t>Não</t>
        </is>
      </c>
    </row>
    <row r="1003">
      <c r="A1003" t="inlineStr">
        <is>
          <t>Frete de venda</t>
        </is>
      </c>
      <c r="B1003" t="inlineStr">
        <is>
          <t>1.01.01 Venda de Mercadoria Fabricadas</t>
        </is>
      </c>
      <c r="C1003" t="inlineStr">
        <is>
          <t>Antes de 2026</t>
        </is>
      </c>
      <c r="D1003" t="inlineStr">
        <is>
          <t>Antes de 2026</t>
        </is>
      </c>
      <c r="E1003" s="28" t="n">
        <v>45597</v>
      </c>
      <c r="F1003" t="inlineStr">
        <is>
          <t>CT-e</t>
        </is>
      </c>
      <c r="G1003" t="inlineStr">
        <is>
          <t>000003076</t>
        </is>
      </c>
      <c r="H1003" t="inlineStr">
        <is>
          <t>R&amp;R TRANSPORTE E LOGISTICA</t>
        </is>
      </c>
      <c r="J1003" s="29" t="n">
        <v>80</v>
      </c>
      <c r="K1003" s="29">
        <f>(1-ISNUMBER(SEARCH("556",M1003)))*(O1003*SUMIFS(Premissas!$C$5:$C$44,Premissas!$A$5:$A$44,$A1003,Premissas!$B$5:$B$44,$B1003)+P1003*SUMIFS(Premissas!$D$5:$D$44,Premissas!$A$5:$A$44,$A1003,Premissas!$B$5:$B$44,$B1003))+R1003*SUMIFS(Premissas!$E$5:$E$44,Premissas!$A$5:$A$44,$A1003,Premissas!$B$5:$B$44,$B1003)+S1003*SUMIFS(Premissas!$F$5:$F$44,Premissas!$A$5:$A$44,$A1003,Premissas!$B$5:$B$44,$B1003)</f>
        <v/>
      </c>
      <c r="L1003" s="29">
        <f>J1003-K1003</f>
        <v/>
      </c>
      <c r="M1003" t="inlineStr">
        <is>
          <t>1.350</t>
        </is>
      </c>
      <c r="N1003" t="inlineStr">
        <is>
          <t>Modalidade: 0 - Por conta do remetente | Parte: MACROPAC PROTECAO E EMBALAGEM LTDA (11.840.014/0001-30)</t>
        </is>
      </c>
      <c r="O1003" s="29" t="n">
        <v>0</v>
      </c>
      <c r="P1003" s="29" t="n">
        <v>0</v>
      </c>
      <c r="Q1003" s="29" t="n">
        <v>0</v>
      </c>
      <c r="R1003" s="29" t="n">
        <v>0</v>
      </c>
      <c r="S1003" s="29" t="n">
        <v>0</v>
      </c>
      <c r="T1003" t="inlineStr">
        <is>
          <t>25241126975620000130570010000030761000000004</t>
        </is>
      </c>
      <c r="U1003" t="inlineStr">
        <is>
          <t>Não</t>
        </is>
      </c>
    </row>
    <row r="1004">
      <c r="A1004" t="inlineStr">
        <is>
          <t>Frete de venda</t>
        </is>
      </c>
      <c r="B1004" t="inlineStr">
        <is>
          <t>1.01.01 Venda de Mercadoria Fabricadas</t>
        </is>
      </c>
      <c r="C1004" t="inlineStr">
        <is>
          <t>Antes de 2026</t>
        </is>
      </c>
      <c r="D1004" t="inlineStr">
        <is>
          <t>Antes de 2026</t>
        </is>
      </c>
      <c r="E1004" s="28" t="n">
        <v>45597</v>
      </c>
      <c r="F1004" t="inlineStr">
        <is>
          <t>CT-e</t>
        </is>
      </c>
      <c r="G1004" t="inlineStr">
        <is>
          <t>000003077</t>
        </is>
      </c>
      <c r="H1004" t="inlineStr">
        <is>
          <t>R&amp;R TRANSPORTE E LOGISTICA</t>
        </is>
      </c>
      <c r="J1004" s="29" t="n">
        <v>95</v>
      </c>
      <c r="K1004" s="29">
        <f>(1-ISNUMBER(SEARCH("556",M1004)))*(O1004*SUMIFS(Premissas!$C$5:$C$44,Premissas!$A$5:$A$44,$A1004,Premissas!$B$5:$B$44,$B1004)+P1004*SUMIFS(Premissas!$D$5:$D$44,Premissas!$A$5:$A$44,$A1004,Premissas!$B$5:$B$44,$B1004))+R1004*SUMIFS(Premissas!$E$5:$E$44,Premissas!$A$5:$A$44,$A1004,Premissas!$B$5:$B$44,$B1004)+S1004*SUMIFS(Premissas!$F$5:$F$44,Premissas!$A$5:$A$44,$A1004,Premissas!$B$5:$B$44,$B1004)</f>
        <v/>
      </c>
      <c r="L1004" s="29">
        <f>J1004-K1004</f>
        <v/>
      </c>
      <c r="M1004" t="inlineStr">
        <is>
          <t>1.350</t>
        </is>
      </c>
      <c r="N1004" t="inlineStr">
        <is>
          <t>Modalidade: 0 - Por conta do remetente | Parte: DML DISTRIBUIDORA DE ALIMENTOS E EMBALAGENS LTDA (07.412.776/0001-68)</t>
        </is>
      </c>
      <c r="O1004" s="29" t="n">
        <v>0</v>
      </c>
      <c r="P1004" s="29" t="n">
        <v>0</v>
      </c>
      <c r="Q1004" s="29" t="n">
        <v>0</v>
      </c>
      <c r="R1004" s="29" t="n">
        <v>0</v>
      </c>
      <c r="S1004" s="29" t="n">
        <v>0</v>
      </c>
      <c r="T1004" t="inlineStr">
        <is>
          <t>25241126975620000130570010000030771000000001</t>
        </is>
      </c>
      <c r="U1004" t="inlineStr">
        <is>
          <t>Não</t>
        </is>
      </c>
    </row>
    <row r="1005">
      <c r="A1005" t="inlineStr">
        <is>
          <t>Frete de venda</t>
        </is>
      </c>
      <c r="B1005" t="inlineStr">
        <is>
          <t>1.01.01 Venda de Mercadoria Fabricadas</t>
        </is>
      </c>
      <c r="C1005" t="inlineStr">
        <is>
          <t>Antes de 2026</t>
        </is>
      </c>
      <c r="D1005" t="inlineStr">
        <is>
          <t>Antes de 2026</t>
        </is>
      </c>
      <c r="E1005" s="28" t="n">
        <v>45598</v>
      </c>
      <c r="F1005" t="inlineStr">
        <is>
          <t>CT-e</t>
        </is>
      </c>
      <c r="G1005" t="inlineStr">
        <is>
          <t>000003081</t>
        </is>
      </c>
      <c r="H1005" t="inlineStr">
        <is>
          <t>R&amp;R TRANSPORTE E LOGISTICA</t>
        </is>
      </c>
      <c r="J1005" s="29" t="n">
        <v>200</v>
      </c>
      <c r="K1005" s="29">
        <f>(1-ISNUMBER(SEARCH("556",M1005)))*(O1005*SUMIFS(Premissas!$C$5:$C$44,Premissas!$A$5:$A$44,$A1005,Premissas!$B$5:$B$44,$B1005)+P1005*SUMIFS(Premissas!$D$5:$D$44,Premissas!$A$5:$A$44,$A1005,Premissas!$B$5:$B$44,$B1005))+R1005*SUMIFS(Premissas!$E$5:$E$44,Premissas!$A$5:$A$44,$A1005,Premissas!$B$5:$B$44,$B1005)+S1005*SUMIFS(Premissas!$F$5:$F$44,Premissas!$A$5:$A$44,$A1005,Premissas!$B$5:$B$44,$B1005)</f>
        <v/>
      </c>
      <c r="L1005" s="29">
        <f>J1005-K1005</f>
        <v/>
      </c>
      <c r="M1005" t="inlineStr">
        <is>
          <t>1.350</t>
        </is>
      </c>
      <c r="N1005" t="inlineStr">
        <is>
          <t>Modalidade: 0 - Por conta do remetente | Parte: LJ COSTA REGO ARTIGOS PARA FESTA LTDA (10.788.933/0001-49)</t>
        </is>
      </c>
      <c r="O1005" s="29" t="n">
        <v>0</v>
      </c>
      <c r="P1005" s="29" t="n">
        <v>0</v>
      </c>
      <c r="Q1005" s="29" t="n">
        <v>0</v>
      </c>
      <c r="R1005" s="29" t="n">
        <v>0</v>
      </c>
      <c r="S1005" s="29" t="n">
        <v>0</v>
      </c>
      <c r="T1005" t="inlineStr">
        <is>
          <t>25241126975620000130570010000030811000000004</t>
        </is>
      </c>
      <c r="U1005" t="inlineStr">
        <is>
          <t>Não</t>
        </is>
      </c>
    </row>
    <row r="1006">
      <c r="A1006" t="inlineStr">
        <is>
          <t>Frete de venda</t>
        </is>
      </c>
      <c r="B1006" t="inlineStr">
        <is>
          <t>1.01.01 Venda de Mercadoria Fabricadas</t>
        </is>
      </c>
      <c r="C1006" t="inlineStr">
        <is>
          <t>Antes de 2026</t>
        </is>
      </c>
      <c r="D1006" t="inlineStr">
        <is>
          <t>Antes de 2026</t>
        </is>
      </c>
      <c r="E1006" s="28" t="n">
        <v>45598</v>
      </c>
      <c r="F1006" t="inlineStr">
        <is>
          <t>CT-e</t>
        </is>
      </c>
      <c r="G1006" t="inlineStr">
        <is>
          <t>000003082</t>
        </is>
      </c>
      <c r="H1006" t="inlineStr">
        <is>
          <t>R&amp;R TRANSPORTE E LOGISTICA</t>
        </is>
      </c>
      <c r="J1006" s="29" t="n">
        <v>250</v>
      </c>
      <c r="K1006" s="29">
        <f>(1-ISNUMBER(SEARCH("556",M1006)))*(O1006*SUMIFS(Premissas!$C$5:$C$44,Premissas!$A$5:$A$44,$A1006,Premissas!$B$5:$B$44,$B1006)+P1006*SUMIFS(Premissas!$D$5:$D$44,Premissas!$A$5:$A$44,$A1006,Premissas!$B$5:$B$44,$B1006))+R1006*SUMIFS(Premissas!$E$5:$E$44,Premissas!$A$5:$A$44,$A1006,Premissas!$B$5:$B$44,$B1006)+S1006*SUMIFS(Premissas!$F$5:$F$44,Premissas!$A$5:$A$44,$A1006,Premissas!$B$5:$B$44,$B1006)</f>
        <v/>
      </c>
      <c r="L1006" s="29">
        <f>J1006-K1006</f>
        <v/>
      </c>
      <c r="M1006" t="inlineStr">
        <is>
          <t>1.350</t>
        </is>
      </c>
      <c r="N1006" t="inlineStr">
        <is>
          <t>Modalidade: 0 - Por conta do remetente | Parte: IRMAOS HALULI LTDA (10.773.984/0001-05)</t>
        </is>
      </c>
      <c r="O1006" s="29" t="n">
        <v>0</v>
      </c>
      <c r="P1006" s="29" t="n">
        <v>0</v>
      </c>
      <c r="Q1006" s="29" t="n">
        <v>0</v>
      </c>
      <c r="R1006" s="29" t="n">
        <v>0</v>
      </c>
      <c r="S1006" s="29" t="n">
        <v>0</v>
      </c>
      <c r="T1006" t="inlineStr">
        <is>
          <t>25241126975620000130570010000030821000000001</t>
        </is>
      </c>
      <c r="U1006" t="inlineStr">
        <is>
          <t>Não</t>
        </is>
      </c>
    </row>
    <row r="1007">
      <c r="A1007" t="inlineStr">
        <is>
          <t>Frete de venda</t>
        </is>
      </c>
      <c r="B1007" t="inlineStr">
        <is>
          <t>1.01.01 Venda de Mercadoria Fabricadas</t>
        </is>
      </c>
      <c r="C1007" t="inlineStr">
        <is>
          <t>Antes de 2026</t>
        </is>
      </c>
      <c r="D1007" t="inlineStr">
        <is>
          <t>Antes de 2026</t>
        </is>
      </c>
      <c r="E1007" s="28" t="n">
        <v>45600</v>
      </c>
      <c r="F1007" t="inlineStr">
        <is>
          <t>CT-e</t>
        </is>
      </c>
      <c r="G1007" t="inlineStr">
        <is>
          <t>000003083</t>
        </is>
      </c>
      <c r="H1007" t="inlineStr">
        <is>
          <t>R&amp;R TRANSPORTE E LOGISTICA</t>
        </is>
      </c>
      <c r="J1007" s="29" t="n">
        <v>54</v>
      </c>
      <c r="K1007" s="29">
        <f>(1-ISNUMBER(SEARCH("556",M1007)))*(O1007*SUMIFS(Premissas!$C$5:$C$44,Premissas!$A$5:$A$44,$A1007,Premissas!$B$5:$B$44,$B1007)+P1007*SUMIFS(Premissas!$D$5:$D$44,Premissas!$A$5:$A$44,$A1007,Premissas!$B$5:$B$44,$B1007))+R1007*SUMIFS(Premissas!$E$5:$E$44,Premissas!$A$5:$A$44,$A1007,Premissas!$B$5:$B$44,$B1007)+S1007*SUMIFS(Premissas!$F$5:$F$44,Premissas!$A$5:$A$44,$A1007,Premissas!$B$5:$B$44,$B1007)</f>
        <v/>
      </c>
      <c r="L1007" s="29">
        <f>J1007-K1007</f>
        <v/>
      </c>
      <c r="M1007" t="inlineStr">
        <is>
          <t>1.350</t>
        </is>
      </c>
      <c r="N1007" t="inlineStr">
        <is>
          <t>Modalidade: 0 - Por conta do remetente | Parte: M. R. ARAUJO SOPRAN (07.444.901/0001-11)</t>
        </is>
      </c>
      <c r="O1007" s="29" t="n">
        <v>0</v>
      </c>
      <c r="P1007" s="29" t="n">
        <v>0</v>
      </c>
      <c r="Q1007" s="29" t="n">
        <v>0</v>
      </c>
      <c r="R1007" s="29" t="n">
        <v>0</v>
      </c>
      <c r="S1007" s="29" t="n">
        <v>0</v>
      </c>
      <c r="T1007" t="inlineStr">
        <is>
          <t>25241126975620000130570010000030831000000009</t>
        </is>
      </c>
      <c r="U1007" t="inlineStr">
        <is>
          <t>Não</t>
        </is>
      </c>
    </row>
    <row r="1008">
      <c r="A1008" t="inlineStr">
        <is>
          <t>Frete de venda</t>
        </is>
      </c>
      <c r="B1008" t="inlineStr">
        <is>
          <t>1.01.01 Venda de Mercadoria Fabricadas</t>
        </is>
      </c>
      <c r="C1008" t="inlineStr">
        <is>
          <t>Antes de 2026</t>
        </is>
      </c>
      <c r="D1008" t="inlineStr">
        <is>
          <t>Antes de 2026</t>
        </is>
      </c>
      <c r="E1008" s="28" t="n">
        <v>45600</v>
      </c>
      <c r="F1008" t="inlineStr">
        <is>
          <t>CT-e</t>
        </is>
      </c>
      <c r="G1008" t="inlineStr">
        <is>
          <t>000003084</t>
        </is>
      </c>
      <c r="H1008" t="inlineStr">
        <is>
          <t>R&amp;R TRANSPORTE E LOGISTICA</t>
        </is>
      </c>
      <c r="J1008" s="29" t="n">
        <v>45</v>
      </c>
      <c r="K1008" s="29">
        <f>(1-ISNUMBER(SEARCH("556",M1008)))*(O1008*SUMIFS(Premissas!$C$5:$C$44,Premissas!$A$5:$A$44,$A1008,Premissas!$B$5:$B$44,$B1008)+P1008*SUMIFS(Premissas!$D$5:$D$44,Premissas!$A$5:$A$44,$A1008,Premissas!$B$5:$B$44,$B1008))+R1008*SUMIFS(Premissas!$E$5:$E$44,Premissas!$A$5:$A$44,$A1008,Premissas!$B$5:$B$44,$B1008)+S1008*SUMIFS(Premissas!$F$5:$F$44,Premissas!$A$5:$A$44,$A1008,Premissas!$B$5:$B$44,$B1008)</f>
        <v/>
      </c>
      <c r="L1008" s="29">
        <f>J1008-K1008</f>
        <v/>
      </c>
      <c r="M1008" t="inlineStr">
        <is>
          <t>1.350</t>
        </is>
      </c>
      <c r="N1008" t="inlineStr">
        <is>
          <t>Modalidade: 0 - Por conta do remetente | Parte: MEGA FESTAS LTDA (07.064.216/0001-60)</t>
        </is>
      </c>
      <c r="O1008" s="29" t="n">
        <v>0</v>
      </c>
      <c r="P1008" s="29" t="n">
        <v>0</v>
      </c>
      <c r="Q1008" s="29" t="n">
        <v>0</v>
      </c>
      <c r="R1008" s="29" t="n">
        <v>0</v>
      </c>
      <c r="S1008" s="29" t="n">
        <v>0</v>
      </c>
      <c r="T1008" t="inlineStr">
        <is>
          <t>25241126975620000130570010000030841000000006</t>
        </is>
      </c>
      <c r="U1008" t="inlineStr">
        <is>
          <t>Não</t>
        </is>
      </c>
    </row>
    <row r="1009">
      <c r="A1009" t="inlineStr">
        <is>
          <t>Frete de venda</t>
        </is>
      </c>
      <c r="B1009" t="inlineStr">
        <is>
          <t>1.01.01 Venda de Mercadoria Fabricadas</t>
        </is>
      </c>
      <c r="C1009" t="inlineStr">
        <is>
          <t>Antes de 2026</t>
        </is>
      </c>
      <c r="D1009" t="inlineStr">
        <is>
          <t>Antes de 2026</t>
        </is>
      </c>
      <c r="E1009" s="28" t="n">
        <v>45600</v>
      </c>
      <c r="F1009" t="inlineStr">
        <is>
          <t>CT-e</t>
        </is>
      </c>
      <c r="G1009" t="inlineStr">
        <is>
          <t>000003085</t>
        </is>
      </c>
      <c r="H1009" t="inlineStr">
        <is>
          <t>R&amp;R TRANSPORTE E LOGISTICA</t>
        </is>
      </c>
      <c r="J1009" s="29" t="n">
        <v>34</v>
      </c>
      <c r="K1009" s="29">
        <f>(1-ISNUMBER(SEARCH("556",M1009)))*(O1009*SUMIFS(Premissas!$C$5:$C$44,Premissas!$A$5:$A$44,$A1009,Premissas!$B$5:$B$44,$B1009)+P1009*SUMIFS(Premissas!$D$5:$D$44,Premissas!$A$5:$A$44,$A1009,Premissas!$B$5:$B$44,$B1009))+R1009*SUMIFS(Premissas!$E$5:$E$44,Premissas!$A$5:$A$44,$A1009,Premissas!$B$5:$B$44,$B1009)+S1009*SUMIFS(Premissas!$F$5:$F$44,Premissas!$A$5:$A$44,$A1009,Premissas!$B$5:$B$44,$B1009)</f>
        <v/>
      </c>
      <c r="L1009" s="29">
        <f>J1009-K1009</f>
        <v/>
      </c>
      <c r="M1009" t="inlineStr">
        <is>
          <t>1.350</t>
        </is>
      </c>
      <c r="N1009" t="inlineStr">
        <is>
          <t>Modalidade: 0 - Por conta do remetente | Parte: PEPPERONI EMPREENDIMENTOS LTDA (19.288.223/0001-24)</t>
        </is>
      </c>
      <c r="O1009" s="29" t="n">
        <v>0</v>
      </c>
      <c r="P1009" s="29" t="n">
        <v>0</v>
      </c>
      <c r="Q1009" s="29" t="n">
        <v>0</v>
      </c>
      <c r="R1009" s="29" t="n">
        <v>0</v>
      </c>
      <c r="S1009" s="29" t="n">
        <v>0</v>
      </c>
      <c r="T1009" t="inlineStr">
        <is>
          <t>25241126975620000130570010000030851000000003</t>
        </is>
      </c>
      <c r="U1009" t="inlineStr">
        <is>
          <t>Não</t>
        </is>
      </c>
    </row>
    <row r="1010">
      <c r="A1010" t="inlineStr">
        <is>
          <t>Frete de venda</t>
        </is>
      </c>
      <c r="B1010" t="inlineStr">
        <is>
          <t>1.01.01 Venda de Mercadoria Fabricadas</t>
        </is>
      </c>
      <c r="C1010" t="inlineStr">
        <is>
          <t>Antes de 2026</t>
        </is>
      </c>
      <c r="D1010" t="inlineStr">
        <is>
          <t>Antes de 2026</t>
        </is>
      </c>
      <c r="E1010" s="28" t="n">
        <v>45600</v>
      </c>
      <c r="F1010" t="inlineStr">
        <is>
          <t>CT-e</t>
        </is>
      </c>
      <c r="G1010" t="inlineStr">
        <is>
          <t>000003086</t>
        </is>
      </c>
      <c r="H1010" t="inlineStr">
        <is>
          <t>R&amp;R TRANSPORTE E LOGISTICA</t>
        </is>
      </c>
      <c r="J1010" s="29" t="n">
        <v>33</v>
      </c>
      <c r="K1010" s="29">
        <f>(1-ISNUMBER(SEARCH("556",M1010)))*(O1010*SUMIFS(Premissas!$C$5:$C$44,Premissas!$A$5:$A$44,$A1010,Premissas!$B$5:$B$44,$B1010)+P1010*SUMIFS(Premissas!$D$5:$D$44,Premissas!$A$5:$A$44,$A1010,Premissas!$B$5:$B$44,$B1010))+R1010*SUMIFS(Premissas!$E$5:$E$44,Premissas!$A$5:$A$44,$A1010,Premissas!$B$5:$B$44,$B1010)+S1010*SUMIFS(Premissas!$F$5:$F$44,Premissas!$A$5:$A$44,$A1010,Premissas!$B$5:$B$44,$B1010)</f>
        <v/>
      </c>
      <c r="L1010" s="29">
        <f>J1010-K1010</f>
        <v/>
      </c>
      <c r="M1010" t="inlineStr">
        <is>
          <t>1.350</t>
        </is>
      </c>
      <c r="N1010" t="inlineStr">
        <is>
          <t>Modalidade: 0 - Por conta do remetente | Parte: TROPICAL FESTAS E EMBALAGENS - C. A. NOLETO DA COSTA (34.906.974/0001-50)</t>
        </is>
      </c>
      <c r="O1010" s="29" t="n">
        <v>0</v>
      </c>
      <c r="P1010" s="29" t="n">
        <v>0</v>
      </c>
      <c r="Q1010" s="29" t="n">
        <v>0</v>
      </c>
      <c r="R1010" s="29" t="n">
        <v>0</v>
      </c>
      <c r="S1010" s="29" t="n">
        <v>0</v>
      </c>
      <c r="T1010" t="inlineStr">
        <is>
          <t>25241126975620000130570010000030861000000000</t>
        </is>
      </c>
      <c r="U1010" t="inlineStr">
        <is>
          <t>Não</t>
        </is>
      </c>
    </row>
    <row r="1011">
      <c r="A1011" t="inlineStr">
        <is>
          <t>Frete de venda</t>
        </is>
      </c>
      <c r="B1011" t="inlineStr">
        <is>
          <t>1.01.01 Venda de Mercadoria Fabricadas</t>
        </is>
      </c>
      <c r="C1011" t="inlineStr">
        <is>
          <t>Antes de 2026</t>
        </is>
      </c>
      <c r="D1011" t="inlineStr">
        <is>
          <t>Antes de 2026</t>
        </is>
      </c>
      <c r="E1011" s="28" t="n">
        <v>45600</v>
      </c>
      <c r="F1011" t="inlineStr">
        <is>
          <t>CT-e</t>
        </is>
      </c>
      <c r="G1011" t="inlineStr">
        <is>
          <t>000003087</t>
        </is>
      </c>
      <c r="H1011" t="inlineStr">
        <is>
          <t>R&amp;R TRANSPORTE E LOGISTICA</t>
        </is>
      </c>
      <c r="J1011" s="29" t="n">
        <v>28</v>
      </c>
      <c r="K1011" s="29">
        <f>(1-ISNUMBER(SEARCH("556",M1011)))*(O1011*SUMIFS(Premissas!$C$5:$C$44,Premissas!$A$5:$A$44,$A1011,Premissas!$B$5:$B$44,$B1011)+P1011*SUMIFS(Premissas!$D$5:$D$44,Premissas!$A$5:$A$44,$A1011,Premissas!$B$5:$B$44,$B1011))+R1011*SUMIFS(Premissas!$E$5:$E$44,Premissas!$A$5:$A$44,$A1011,Premissas!$B$5:$B$44,$B1011)+S1011*SUMIFS(Premissas!$F$5:$F$44,Premissas!$A$5:$A$44,$A1011,Premissas!$B$5:$B$44,$B1011)</f>
        <v/>
      </c>
      <c r="L1011" s="29">
        <f>J1011-K1011</f>
        <v/>
      </c>
      <c r="M1011" t="inlineStr">
        <is>
          <t>1.350</t>
        </is>
      </c>
      <c r="N1011" t="inlineStr">
        <is>
          <t>Modalidade: 0 - Por conta do remetente | Parte: ELETRO MIX COMERCIO DE MATERIAIS PARA CONSTRUCAO LTDA (42.172.673/0001-79)</t>
        </is>
      </c>
      <c r="O1011" s="29" t="n">
        <v>0</v>
      </c>
      <c r="P1011" s="29" t="n">
        <v>0</v>
      </c>
      <c r="Q1011" s="29" t="n">
        <v>0</v>
      </c>
      <c r="R1011" s="29" t="n">
        <v>0</v>
      </c>
      <c r="S1011" s="29" t="n">
        <v>0</v>
      </c>
      <c r="T1011" t="inlineStr">
        <is>
          <t>25241126975620000130570010000030871000000008</t>
        </is>
      </c>
      <c r="U1011" t="inlineStr">
        <is>
          <t>Não</t>
        </is>
      </c>
    </row>
    <row r="1012">
      <c r="A1012" t="inlineStr">
        <is>
          <t>Frete de venda</t>
        </is>
      </c>
      <c r="B1012" t="inlineStr">
        <is>
          <t>1.01.01 Venda de Mercadoria Fabricadas</t>
        </is>
      </c>
      <c r="C1012" t="inlineStr">
        <is>
          <t>Antes de 2026</t>
        </is>
      </c>
      <c r="D1012" t="inlineStr">
        <is>
          <t>Antes de 2026</t>
        </is>
      </c>
      <c r="E1012" s="28" t="n">
        <v>45600</v>
      </c>
      <c r="F1012" t="inlineStr">
        <is>
          <t>CT-e</t>
        </is>
      </c>
      <c r="G1012" t="inlineStr">
        <is>
          <t>000003088</t>
        </is>
      </c>
      <c r="H1012" t="inlineStr">
        <is>
          <t>R&amp;R TRANSPORTE E LOGISTICA</t>
        </is>
      </c>
      <c r="J1012" s="29" t="n">
        <v>30</v>
      </c>
      <c r="K1012" s="29">
        <f>(1-ISNUMBER(SEARCH("556",M1012)))*(O1012*SUMIFS(Premissas!$C$5:$C$44,Premissas!$A$5:$A$44,$A1012,Premissas!$B$5:$B$44,$B1012)+P1012*SUMIFS(Premissas!$D$5:$D$44,Premissas!$A$5:$A$44,$A1012,Premissas!$B$5:$B$44,$B1012))+R1012*SUMIFS(Premissas!$E$5:$E$44,Premissas!$A$5:$A$44,$A1012,Premissas!$B$5:$B$44,$B1012)+S1012*SUMIFS(Premissas!$F$5:$F$44,Premissas!$A$5:$A$44,$A1012,Premissas!$B$5:$B$44,$B1012)</f>
        <v/>
      </c>
      <c r="L1012" s="29">
        <f>J1012-K1012</f>
        <v/>
      </c>
      <c r="M1012" t="inlineStr">
        <is>
          <t>1.350</t>
        </is>
      </c>
      <c r="N1012" t="inlineStr">
        <is>
          <t>Modalidade: 0 - Por conta do remetente | Parte: MG DE MORAIS FERREIRA LTDA (31.596.755/0001-24)</t>
        </is>
      </c>
      <c r="O1012" s="29" t="n">
        <v>0</v>
      </c>
      <c r="P1012" s="29" t="n">
        <v>0</v>
      </c>
      <c r="Q1012" s="29" t="n">
        <v>0</v>
      </c>
      <c r="R1012" s="29" t="n">
        <v>0</v>
      </c>
      <c r="S1012" s="29" t="n">
        <v>0</v>
      </c>
      <c r="T1012" t="inlineStr">
        <is>
          <t>25241126975620000130570010000030881000000005</t>
        </is>
      </c>
      <c r="U1012" t="inlineStr">
        <is>
          <t>Não</t>
        </is>
      </c>
    </row>
    <row r="1013">
      <c r="A1013" t="inlineStr">
        <is>
          <t>Frete de venda</t>
        </is>
      </c>
      <c r="B1013" t="inlineStr">
        <is>
          <t>1.01.01 Venda de Mercadoria Fabricadas</t>
        </is>
      </c>
      <c r="C1013" t="inlineStr">
        <is>
          <t>Antes de 2026</t>
        </is>
      </c>
      <c r="D1013" t="inlineStr">
        <is>
          <t>Antes de 2026</t>
        </is>
      </c>
      <c r="E1013" s="28" t="n">
        <v>45605</v>
      </c>
      <c r="F1013" t="inlineStr">
        <is>
          <t>CT-e</t>
        </is>
      </c>
      <c r="G1013" t="inlineStr">
        <is>
          <t>000003142</t>
        </is>
      </c>
      <c r="H1013" t="inlineStr">
        <is>
          <t>R&amp;R TRANSPORTE E LOGISTICA</t>
        </is>
      </c>
      <c r="J1013" s="29" t="n">
        <v>1100</v>
      </c>
      <c r="K1013" s="29">
        <f>(1-ISNUMBER(SEARCH("556",M1013)))*(O1013*SUMIFS(Premissas!$C$5:$C$44,Premissas!$A$5:$A$44,$A1013,Premissas!$B$5:$B$44,$B1013)+P1013*SUMIFS(Premissas!$D$5:$D$44,Premissas!$A$5:$A$44,$A1013,Premissas!$B$5:$B$44,$B1013))+R1013*SUMIFS(Premissas!$E$5:$E$44,Premissas!$A$5:$A$44,$A1013,Premissas!$B$5:$B$44,$B1013)+S1013*SUMIFS(Premissas!$F$5:$F$44,Premissas!$A$5:$A$44,$A1013,Premissas!$B$5:$B$44,$B1013)</f>
        <v/>
      </c>
      <c r="L1013" s="29">
        <f>J1013-K1013</f>
        <v/>
      </c>
      <c r="M1013" t="inlineStr">
        <is>
          <t>1.350</t>
        </is>
      </c>
      <c r="N1013" t="inlineStr">
        <is>
          <t>Modalidade: 0 - Por conta do remetente | Parte: SANDRA MARIA COSTA SANTOS (57.824.288/0001-36)</t>
        </is>
      </c>
      <c r="O1013" s="29" t="n">
        <v>0</v>
      </c>
      <c r="P1013" s="29" t="n">
        <v>0</v>
      </c>
      <c r="Q1013" s="29" t="n">
        <v>0</v>
      </c>
      <c r="R1013" s="29" t="n">
        <v>0</v>
      </c>
      <c r="S1013" s="29" t="n">
        <v>0</v>
      </c>
      <c r="T1013" t="inlineStr">
        <is>
          <t>25241126975620000130570010000031421000000001</t>
        </is>
      </c>
      <c r="U1013" t="inlineStr">
        <is>
          <t>Não</t>
        </is>
      </c>
    </row>
    <row r="1014">
      <c r="A1014" t="inlineStr">
        <is>
          <t>Frete de venda</t>
        </is>
      </c>
      <c r="B1014" t="inlineStr">
        <is>
          <t>1.01.01 Venda de Mercadoria Fabricadas</t>
        </is>
      </c>
      <c r="C1014" t="inlineStr">
        <is>
          <t>Antes de 2026</t>
        </is>
      </c>
      <c r="D1014" t="inlineStr">
        <is>
          <t>Antes de 2026</t>
        </is>
      </c>
      <c r="E1014" s="28" t="n">
        <v>45605</v>
      </c>
      <c r="F1014" t="inlineStr">
        <is>
          <t>CT-e</t>
        </is>
      </c>
      <c r="G1014" t="inlineStr">
        <is>
          <t>000003143</t>
        </is>
      </c>
      <c r="H1014" t="inlineStr">
        <is>
          <t>R&amp;R TRANSPORTE E LOGISTICA</t>
        </is>
      </c>
      <c r="J1014" s="29" t="n">
        <v>1100</v>
      </c>
      <c r="K1014" s="29">
        <f>(1-ISNUMBER(SEARCH("556",M1014)))*(O1014*SUMIFS(Premissas!$C$5:$C$44,Premissas!$A$5:$A$44,$A1014,Premissas!$B$5:$B$44,$B1014)+P1014*SUMIFS(Premissas!$D$5:$D$44,Premissas!$A$5:$A$44,$A1014,Premissas!$B$5:$B$44,$B1014))+R1014*SUMIFS(Premissas!$E$5:$E$44,Premissas!$A$5:$A$44,$A1014,Premissas!$B$5:$B$44,$B1014)+S1014*SUMIFS(Premissas!$F$5:$F$44,Premissas!$A$5:$A$44,$A1014,Premissas!$B$5:$B$44,$B1014)</f>
        <v/>
      </c>
      <c r="L1014" s="29">
        <f>J1014-K1014</f>
        <v/>
      </c>
      <c r="M1014" t="inlineStr">
        <is>
          <t>1.350</t>
        </is>
      </c>
      <c r="N1014" t="inlineStr">
        <is>
          <t>Modalidade: 0 - Por conta do remetente | Parte: ECONOMIZE COMERCIO DE DOCES E EMBALAGENS LTDA (08.587.163/0001-24)</t>
        </is>
      </c>
      <c r="O1014" s="29" t="n">
        <v>0</v>
      </c>
      <c r="P1014" s="29" t="n">
        <v>0</v>
      </c>
      <c r="Q1014" s="29" t="n">
        <v>0</v>
      </c>
      <c r="R1014" s="29" t="n">
        <v>0</v>
      </c>
      <c r="S1014" s="29" t="n">
        <v>0</v>
      </c>
      <c r="T1014" t="inlineStr">
        <is>
          <t>25241126975620000130570010000031431000000009</t>
        </is>
      </c>
      <c r="U1014" t="inlineStr">
        <is>
          <t>Não</t>
        </is>
      </c>
    </row>
    <row r="1015">
      <c r="A1015" t="inlineStr">
        <is>
          <t>Frete de venda</t>
        </is>
      </c>
      <c r="B1015" t="inlineStr">
        <is>
          <t>1.01.01 Venda de Mercadoria Fabricadas</t>
        </is>
      </c>
      <c r="C1015" t="inlineStr">
        <is>
          <t>Antes de 2026</t>
        </is>
      </c>
      <c r="D1015" t="inlineStr">
        <is>
          <t>Antes de 2026</t>
        </is>
      </c>
      <c r="E1015" s="28" t="n">
        <v>45608</v>
      </c>
      <c r="F1015" t="inlineStr">
        <is>
          <t>CT-e</t>
        </is>
      </c>
      <c r="G1015" t="inlineStr">
        <is>
          <t>000003146</t>
        </is>
      </c>
      <c r="H1015" t="inlineStr">
        <is>
          <t>R&amp;R TRANSPORTE E LOGISTICA</t>
        </is>
      </c>
      <c r="J1015" s="29" t="n">
        <v>287.5</v>
      </c>
      <c r="K1015" s="29">
        <f>(1-ISNUMBER(SEARCH("556",M1015)))*(O1015*SUMIFS(Premissas!$C$5:$C$44,Premissas!$A$5:$A$44,$A1015,Premissas!$B$5:$B$44,$B1015)+P1015*SUMIFS(Premissas!$D$5:$D$44,Premissas!$A$5:$A$44,$A1015,Premissas!$B$5:$B$44,$B1015))+R1015*SUMIFS(Premissas!$E$5:$E$44,Premissas!$A$5:$A$44,$A1015,Premissas!$B$5:$B$44,$B1015)+S1015*SUMIFS(Premissas!$F$5:$F$44,Premissas!$A$5:$A$44,$A1015,Premissas!$B$5:$B$44,$B1015)</f>
        <v/>
      </c>
      <c r="L1015" s="29">
        <f>J1015-K1015</f>
        <v/>
      </c>
      <c r="M1015" t="inlineStr">
        <is>
          <t>1.350</t>
        </is>
      </c>
      <c r="N1015" t="inlineStr">
        <is>
          <t>Modalidade: 0 - Por conta do remetente | Parte: JB COMERCIO DE EMBALAGENS, ARMAZENAGEM E LOGISTICA LTDA (30.725.245/0001-47)</t>
        </is>
      </c>
      <c r="O1015" s="29" t="n">
        <v>0</v>
      </c>
      <c r="P1015" s="29" t="n">
        <v>0</v>
      </c>
      <c r="Q1015" s="29" t="n">
        <v>0</v>
      </c>
      <c r="R1015" s="29" t="n">
        <v>0</v>
      </c>
      <c r="S1015" s="29" t="n">
        <v>0</v>
      </c>
      <c r="T1015" t="inlineStr">
        <is>
          <t>25241126975620000130570010000031461000000000</t>
        </is>
      </c>
      <c r="U1015" t="inlineStr">
        <is>
          <t>Não</t>
        </is>
      </c>
    </row>
    <row r="1016">
      <c r="A1016" t="inlineStr">
        <is>
          <t>Frete de venda</t>
        </is>
      </c>
      <c r="B1016" t="inlineStr">
        <is>
          <t>1.01.01 Venda de Mercadoria Fabricadas</t>
        </is>
      </c>
      <c r="C1016" t="inlineStr">
        <is>
          <t>Antes de 2026</t>
        </is>
      </c>
      <c r="D1016" t="inlineStr">
        <is>
          <t>Antes de 2026</t>
        </is>
      </c>
      <c r="E1016" s="28" t="n">
        <v>45608</v>
      </c>
      <c r="F1016" t="inlineStr">
        <is>
          <t>CT-e</t>
        </is>
      </c>
      <c r="G1016" t="inlineStr">
        <is>
          <t>000003147</t>
        </is>
      </c>
      <c r="H1016" t="inlineStr">
        <is>
          <t>R&amp;R TRANSPORTE E LOGISTICA</t>
        </is>
      </c>
      <c r="J1016" s="29" t="n">
        <v>287.5</v>
      </c>
      <c r="K1016" s="29">
        <f>(1-ISNUMBER(SEARCH("556",M1016)))*(O1016*SUMIFS(Premissas!$C$5:$C$44,Premissas!$A$5:$A$44,$A1016,Premissas!$B$5:$B$44,$B1016)+P1016*SUMIFS(Premissas!$D$5:$D$44,Premissas!$A$5:$A$44,$A1016,Premissas!$B$5:$B$44,$B1016))+R1016*SUMIFS(Premissas!$E$5:$E$44,Premissas!$A$5:$A$44,$A1016,Premissas!$B$5:$B$44,$B1016)+S1016*SUMIFS(Premissas!$F$5:$F$44,Premissas!$A$5:$A$44,$A1016,Premissas!$B$5:$B$44,$B1016)</f>
        <v/>
      </c>
      <c r="L1016" s="29">
        <f>J1016-K1016</f>
        <v/>
      </c>
      <c r="M1016" t="inlineStr">
        <is>
          <t>1.350</t>
        </is>
      </c>
      <c r="N1016" t="inlineStr">
        <is>
          <t>Modalidade: 0 - Por conta do remetente | Parte: COMERCIAL PROLAC LTDA. (07.182.763/0001-40)</t>
        </is>
      </c>
      <c r="O1016" s="29" t="n">
        <v>0</v>
      </c>
      <c r="P1016" s="29" t="n">
        <v>0</v>
      </c>
      <c r="Q1016" s="29" t="n">
        <v>0</v>
      </c>
      <c r="R1016" s="29" t="n">
        <v>0</v>
      </c>
      <c r="S1016" s="29" t="n">
        <v>0</v>
      </c>
      <c r="T1016" t="inlineStr">
        <is>
          <t>25241126975620000130570010000031471000000008</t>
        </is>
      </c>
      <c r="U1016" t="inlineStr">
        <is>
          <t>Não</t>
        </is>
      </c>
    </row>
    <row r="1017">
      <c r="A1017" t="inlineStr">
        <is>
          <t>Frete de venda</t>
        </is>
      </c>
      <c r="B1017" t="inlineStr">
        <is>
          <t>1.01.01 Venda de Mercadoria Fabricadas</t>
        </is>
      </c>
      <c r="C1017" t="inlineStr">
        <is>
          <t>Antes de 2026</t>
        </is>
      </c>
      <c r="D1017" t="inlineStr">
        <is>
          <t>Antes de 2026</t>
        </is>
      </c>
      <c r="E1017" s="28" t="n">
        <v>45608</v>
      </c>
      <c r="F1017" t="inlineStr">
        <is>
          <t>CT-e</t>
        </is>
      </c>
      <c r="G1017" t="inlineStr">
        <is>
          <t>000003148</t>
        </is>
      </c>
      <c r="H1017" t="inlineStr">
        <is>
          <t>R&amp;R TRANSPORTE E LOGISTICA</t>
        </is>
      </c>
      <c r="J1017" s="29" t="n">
        <v>287.5</v>
      </c>
      <c r="K1017" s="29">
        <f>(1-ISNUMBER(SEARCH("556",M1017)))*(O1017*SUMIFS(Premissas!$C$5:$C$44,Premissas!$A$5:$A$44,$A1017,Premissas!$B$5:$B$44,$B1017)+P1017*SUMIFS(Premissas!$D$5:$D$44,Premissas!$A$5:$A$44,$A1017,Premissas!$B$5:$B$44,$B1017))+R1017*SUMIFS(Premissas!$E$5:$E$44,Premissas!$A$5:$A$44,$A1017,Premissas!$B$5:$B$44,$B1017)+S1017*SUMIFS(Premissas!$F$5:$F$44,Premissas!$A$5:$A$44,$A1017,Premissas!$B$5:$B$44,$B1017)</f>
        <v/>
      </c>
      <c r="L1017" s="29">
        <f>J1017-K1017</f>
        <v/>
      </c>
      <c r="M1017" t="inlineStr">
        <is>
          <t>1.350</t>
        </is>
      </c>
      <c r="N1017" t="inlineStr">
        <is>
          <t>Modalidade: 0 - Por conta do remetente | Parte: BEZERRA ARTIGOS PARA FESTAS LTDA (19.010.824/0001-70)</t>
        </is>
      </c>
      <c r="O1017" s="29" t="n">
        <v>0</v>
      </c>
      <c r="P1017" s="29" t="n">
        <v>0</v>
      </c>
      <c r="Q1017" s="29" t="n">
        <v>0</v>
      </c>
      <c r="R1017" s="29" t="n">
        <v>0</v>
      </c>
      <c r="S1017" s="29" t="n">
        <v>0</v>
      </c>
      <c r="T1017" t="inlineStr">
        <is>
          <t>25241126975620000130570010000031481000000005</t>
        </is>
      </c>
      <c r="U1017" t="inlineStr">
        <is>
          <t>Não</t>
        </is>
      </c>
    </row>
    <row r="1018">
      <c r="A1018" t="inlineStr">
        <is>
          <t>Frete de venda</t>
        </is>
      </c>
      <c r="B1018" t="inlineStr">
        <is>
          <t>1.01.01 Venda de Mercadoria Fabricadas</t>
        </is>
      </c>
      <c r="C1018" t="inlineStr">
        <is>
          <t>Antes de 2026</t>
        </is>
      </c>
      <c r="D1018" t="inlineStr">
        <is>
          <t>Antes de 2026</t>
        </is>
      </c>
      <c r="E1018" s="28" t="n">
        <v>45608</v>
      </c>
      <c r="F1018" t="inlineStr">
        <is>
          <t>CT-e</t>
        </is>
      </c>
      <c r="G1018" t="inlineStr">
        <is>
          <t>000003149</t>
        </is>
      </c>
      <c r="H1018" t="inlineStr">
        <is>
          <t>R&amp;R TRANSPORTE E LOGISTICA</t>
        </is>
      </c>
      <c r="J1018" s="29" t="n">
        <v>287.5</v>
      </c>
      <c r="K1018" s="29">
        <f>(1-ISNUMBER(SEARCH("556",M1018)))*(O1018*SUMIFS(Premissas!$C$5:$C$44,Premissas!$A$5:$A$44,$A1018,Premissas!$B$5:$B$44,$B1018)+P1018*SUMIFS(Premissas!$D$5:$D$44,Premissas!$A$5:$A$44,$A1018,Premissas!$B$5:$B$44,$B1018))+R1018*SUMIFS(Premissas!$E$5:$E$44,Premissas!$A$5:$A$44,$A1018,Premissas!$B$5:$B$44,$B1018)+S1018*SUMIFS(Premissas!$F$5:$F$44,Premissas!$A$5:$A$44,$A1018,Premissas!$B$5:$B$44,$B1018)</f>
        <v/>
      </c>
      <c r="L1018" s="29">
        <f>J1018-K1018</f>
        <v/>
      </c>
      <c r="M1018" t="inlineStr">
        <is>
          <t>1.350</t>
        </is>
      </c>
      <c r="N1018" t="inlineStr">
        <is>
          <t>Modalidade: 0 - Por conta do remetente | Parte: 23.671.247 FERNANDA MARIA DE SA RODRIGUES BASTOS CORREIA (23.671.247/0001-35)</t>
        </is>
      </c>
      <c r="O1018" s="29" t="n">
        <v>0</v>
      </c>
      <c r="P1018" s="29" t="n">
        <v>0</v>
      </c>
      <c r="Q1018" s="29" t="n">
        <v>0</v>
      </c>
      <c r="R1018" s="29" t="n">
        <v>0</v>
      </c>
      <c r="S1018" s="29" t="n">
        <v>0</v>
      </c>
      <c r="T1018" t="inlineStr">
        <is>
          <t>25241126975620000130570010000031491000000002</t>
        </is>
      </c>
      <c r="U1018" t="inlineStr">
        <is>
          <t>Não</t>
        </is>
      </c>
    </row>
    <row r="1019">
      <c r="A1019" t="inlineStr">
        <is>
          <t>Frete de venda</t>
        </is>
      </c>
      <c r="B1019" t="inlineStr">
        <is>
          <t>1.01.01 Venda de Mercadoria Fabricadas</t>
        </is>
      </c>
      <c r="C1019" t="inlineStr">
        <is>
          <t>Antes de 2026</t>
        </is>
      </c>
      <c r="D1019" t="inlineStr">
        <is>
          <t>Antes de 2026</t>
        </is>
      </c>
      <c r="E1019" s="28" t="n">
        <v>45609</v>
      </c>
      <c r="F1019" t="inlineStr">
        <is>
          <t>CT-e</t>
        </is>
      </c>
      <c r="G1019" t="inlineStr">
        <is>
          <t>000003153</t>
        </is>
      </c>
      <c r="H1019" t="inlineStr">
        <is>
          <t>R&amp;R TRANSPORTE E LOGISTICA</t>
        </is>
      </c>
      <c r="J1019" s="29" t="n">
        <v>150</v>
      </c>
      <c r="K1019" s="29">
        <f>(1-ISNUMBER(SEARCH("556",M1019)))*(O1019*SUMIFS(Premissas!$C$5:$C$44,Premissas!$A$5:$A$44,$A1019,Premissas!$B$5:$B$44,$B1019)+P1019*SUMIFS(Premissas!$D$5:$D$44,Premissas!$A$5:$A$44,$A1019,Premissas!$B$5:$B$44,$B1019))+R1019*SUMIFS(Premissas!$E$5:$E$44,Premissas!$A$5:$A$44,$A1019,Premissas!$B$5:$B$44,$B1019)+S1019*SUMIFS(Premissas!$F$5:$F$44,Premissas!$A$5:$A$44,$A1019,Premissas!$B$5:$B$44,$B1019)</f>
        <v/>
      </c>
      <c r="L1019" s="29">
        <f>J1019-K1019</f>
        <v/>
      </c>
      <c r="M1019" t="inlineStr">
        <is>
          <t>1.350</t>
        </is>
      </c>
      <c r="N1019" t="inlineStr">
        <is>
          <t>Modalidade: 0 - Por conta do remetente | Parte: PRASO PLATAFORMA DE COMERCIO LTDA. (42.434.646/0003-99)</t>
        </is>
      </c>
      <c r="O1019" s="29" t="n">
        <v>0</v>
      </c>
      <c r="P1019" s="29" t="n">
        <v>0</v>
      </c>
      <c r="Q1019" s="29" t="n">
        <v>0</v>
      </c>
      <c r="R1019" s="29" t="n">
        <v>0</v>
      </c>
      <c r="S1019" s="29" t="n">
        <v>0</v>
      </c>
      <c r="T1019" t="inlineStr">
        <is>
          <t>25241126975620000130570010000031531000000005</t>
        </is>
      </c>
      <c r="U1019" t="inlineStr">
        <is>
          <t>Não</t>
        </is>
      </c>
    </row>
    <row r="1020">
      <c r="A1020" t="inlineStr">
        <is>
          <t>Frete de venda</t>
        </is>
      </c>
      <c r="B1020" t="inlineStr">
        <is>
          <t>1.01.01 Venda de Mercadoria Fabricadas</t>
        </is>
      </c>
      <c r="C1020" t="inlineStr">
        <is>
          <t>Antes de 2026</t>
        </is>
      </c>
      <c r="D1020" t="inlineStr">
        <is>
          <t>Antes de 2026</t>
        </is>
      </c>
      <c r="E1020" s="28" t="n">
        <v>45609</v>
      </c>
      <c r="F1020" t="inlineStr">
        <is>
          <t>CT-e</t>
        </is>
      </c>
      <c r="G1020" t="inlineStr">
        <is>
          <t>000003154</t>
        </is>
      </c>
      <c r="H1020" t="inlineStr">
        <is>
          <t>R&amp;R TRANSPORTE E LOGISTICA</t>
        </is>
      </c>
      <c r="J1020" s="29" t="n">
        <v>300</v>
      </c>
      <c r="K1020" s="29">
        <f>(1-ISNUMBER(SEARCH("556",M1020)))*(O1020*SUMIFS(Premissas!$C$5:$C$44,Premissas!$A$5:$A$44,$A1020,Premissas!$B$5:$B$44,$B1020)+P1020*SUMIFS(Premissas!$D$5:$D$44,Premissas!$A$5:$A$44,$A1020,Premissas!$B$5:$B$44,$B1020))+R1020*SUMIFS(Premissas!$E$5:$E$44,Premissas!$A$5:$A$44,$A1020,Premissas!$B$5:$B$44,$B1020)+S1020*SUMIFS(Premissas!$F$5:$F$44,Premissas!$A$5:$A$44,$A1020,Premissas!$B$5:$B$44,$B1020)</f>
        <v/>
      </c>
      <c r="L1020" s="29">
        <f>J1020-K1020</f>
        <v/>
      </c>
      <c r="M1020" t="inlineStr">
        <is>
          <t>1.350</t>
        </is>
      </c>
      <c r="N1020" t="inlineStr">
        <is>
          <t>Modalidade: 0 - Por conta do remetente | Parte: PRASO PLATAFORMA DE COMERCIO LTDA. (42.434.646/0003-99)</t>
        </is>
      </c>
      <c r="O1020" s="29" t="n">
        <v>0</v>
      </c>
      <c r="P1020" s="29" t="n">
        <v>0</v>
      </c>
      <c r="Q1020" s="29" t="n">
        <v>0</v>
      </c>
      <c r="R1020" s="29" t="n">
        <v>0</v>
      </c>
      <c r="S1020" s="29" t="n">
        <v>0</v>
      </c>
      <c r="T1020" t="inlineStr">
        <is>
          <t>25241126975620000130570010000031541000000002</t>
        </is>
      </c>
      <c r="U1020" t="inlineStr">
        <is>
          <t>Não</t>
        </is>
      </c>
    </row>
    <row r="1021">
      <c r="A1021" t="inlineStr">
        <is>
          <t>Frete de venda</t>
        </is>
      </c>
      <c r="B1021" t="inlineStr">
        <is>
          <t>1.01.01 Venda de Mercadoria Fabricadas</t>
        </is>
      </c>
      <c r="C1021" t="inlineStr">
        <is>
          <t>Antes de 2026</t>
        </is>
      </c>
      <c r="D1021" t="inlineStr">
        <is>
          <t>Antes de 2026</t>
        </is>
      </c>
      <c r="E1021" s="28" t="n">
        <v>45609</v>
      </c>
      <c r="F1021" t="inlineStr">
        <is>
          <t>CT-e</t>
        </is>
      </c>
      <c r="G1021" t="inlineStr">
        <is>
          <t>000003155</t>
        </is>
      </c>
      <c r="H1021" t="inlineStr">
        <is>
          <t>R&amp;R TRANSPORTE E LOGISTICA</t>
        </is>
      </c>
      <c r="J1021" s="29" t="n">
        <v>700</v>
      </c>
      <c r="K1021" s="29">
        <f>(1-ISNUMBER(SEARCH("556",M1021)))*(O1021*SUMIFS(Premissas!$C$5:$C$44,Premissas!$A$5:$A$44,$A1021,Premissas!$B$5:$B$44,$B1021)+P1021*SUMIFS(Premissas!$D$5:$D$44,Premissas!$A$5:$A$44,$A1021,Premissas!$B$5:$B$44,$B1021))+R1021*SUMIFS(Premissas!$E$5:$E$44,Premissas!$A$5:$A$44,$A1021,Premissas!$B$5:$B$44,$B1021)+S1021*SUMIFS(Premissas!$F$5:$F$44,Premissas!$A$5:$A$44,$A1021,Premissas!$B$5:$B$44,$B1021)</f>
        <v/>
      </c>
      <c r="L1021" s="29">
        <f>J1021-K1021</f>
        <v/>
      </c>
      <c r="M1021" t="inlineStr">
        <is>
          <t>1.350</t>
        </is>
      </c>
      <c r="N1021" t="inlineStr">
        <is>
          <t>Modalidade: 0 - Por conta do remetente | Parte: EMC2 DIST DE MAT DE PAPEIS E DESC - LEV PAPER (02.097.529/0001-09)</t>
        </is>
      </c>
      <c r="O1021" s="29" t="n">
        <v>0</v>
      </c>
      <c r="P1021" s="29" t="n">
        <v>0</v>
      </c>
      <c r="Q1021" s="29" t="n">
        <v>0</v>
      </c>
      <c r="R1021" s="29" t="n">
        <v>0</v>
      </c>
      <c r="S1021" s="29" t="n">
        <v>0</v>
      </c>
      <c r="T1021" t="inlineStr">
        <is>
          <t>25241126975620000130570010000031551000000000</t>
        </is>
      </c>
      <c r="U1021" t="inlineStr">
        <is>
          <t>Não</t>
        </is>
      </c>
    </row>
    <row r="1022">
      <c r="A1022" t="inlineStr">
        <is>
          <t>Frete de venda</t>
        </is>
      </c>
      <c r="B1022" t="inlineStr">
        <is>
          <t>1.01.01 Venda de Mercadoria Fabricadas</t>
        </is>
      </c>
      <c r="C1022" t="inlineStr">
        <is>
          <t>Antes de 2026</t>
        </is>
      </c>
      <c r="D1022" t="inlineStr">
        <is>
          <t>Antes de 2026</t>
        </is>
      </c>
      <c r="E1022" s="28" t="n">
        <v>45609</v>
      </c>
      <c r="F1022" t="inlineStr">
        <is>
          <t>CT-e</t>
        </is>
      </c>
      <c r="G1022" t="inlineStr">
        <is>
          <t>000003156</t>
        </is>
      </c>
      <c r="H1022" t="inlineStr">
        <is>
          <t>R&amp;R TRANSPORTE E LOGISTICA</t>
        </is>
      </c>
      <c r="J1022" s="29" t="n">
        <v>300</v>
      </c>
      <c r="K1022" s="29">
        <f>(1-ISNUMBER(SEARCH("556",M1022)))*(O1022*SUMIFS(Premissas!$C$5:$C$44,Premissas!$A$5:$A$44,$A1022,Premissas!$B$5:$B$44,$B1022)+P1022*SUMIFS(Premissas!$D$5:$D$44,Premissas!$A$5:$A$44,$A1022,Premissas!$B$5:$B$44,$B1022))+R1022*SUMIFS(Premissas!$E$5:$E$44,Premissas!$A$5:$A$44,$A1022,Premissas!$B$5:$B$44,$B1022)+S1022*SUMIFS(Premissas!$F$5:$F$44,Premissas!$A$5:$A$44,$A1022,Premissas!$B$5:$B$44,$B1022)</f>
        <v/>
      </c>
      <c r="L1022" s="29">
        <f>J1022-K1022</f>
        <v/>
      </c>
      <c r="M1022" t="inlineStr">
        <is>
          <t>1.350</t>
        </is>
      </c>
      <c r="N1022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1022" s="29" t="n">
        <v>0</v>
      </c>
      <c r="P1022" s="29" t="n">
        <v>0</v>
      </c>
      <c r="Q1022" s="29" t="n">
        <v>0</v>
      </c>
      <c r="R1022" s="29" t="n">
        <v>0</v>
      </c>
      <c r="S1022" s="29" t="n">
        <v>0</v>
      </c>
      <c r="T1022" t="inlineStr">
        <is>
          <t>25241126975620000130570010000031561000000007</t>
        </is>
      </c>
      <c r="U1022" t="inlineStr">
        <is>
          <t>Não</t>
        </is>
      </c>
    </row>
    <row r="1023">
      <c r="A1023" t="inlineStr">
        <is>
          <t>Frete de venda</t>
        </is>
      </c>
      <c r="B1023" t="inlineStr">
        <is>
          <t>1.01.01 Venda de Mercadoria Fabricadas</t>
        </is>
      </c>
      <c r="C1023" t="inlineStr">
        <is>
          <t>Antes de 2026</t>
        </is>
      </c>
      <c r="D1023" t="inlineStr">
        <is>
          <t>Antes de 2026</t>
        </is>
      </c>
      <c r="E1023" s="28" t="n">
        <v>45611</v>
      </c>
      <c r="F1023" t="inlineStr">
        <is>
          <t>CT-e</t>
        </is>
      </c>
      <c r="G1023" t="inlineStr">
        <is>
          <t>000003163</t>
        </is>
      </c>
      <c r="H1023" t="inlineStr">
        <is>
          <t>R&amp;R TRANSPORTE E LOGISTICA</t>
        </is>
      </c>
      <c r="J1023" s="29" t="n">
        <v>33</v>
      </c>
      <c r="K1023" s="29">
        <f>(1-ISNUMBER(SEARCH("556",M1023)))*(O1023*SUMIFS(Premissas!$C$5:$C$44,Premissas!$A$5:$A$44,$A1023,Premissas!$B$5:$B$44,$B1023)+P1023*SUMIFS(Premissas!$D$5:$D$44,Premissas!$A$5:$A$44,$A1023,Premissas!$B$5:$B$44,$B1023))+R1023*SUMIFS(Premissas!$E$5:$E$44,Premissas!$A$5:$A$44,$A1023,Premissas!$B$5:$B$44,$B1023)+S1023*SUMIFS(Premissas!$F$5:$F$44,Premissas!$A$5:$A$44,$A1023,Premissas!$B$5:$B$44,$B1023)</f>
        <v/>
      </c>
      <c r="L1023" s="29">
        <f>J1023-K1023</f>
        <v/>
      </c>
      <c r="M1023" t="inlineStr">
        <is>
          <t>1.350</t>
        </is>
      </c>
      <c r="N1023" t="inlineStr">
        <is>
          <t>Modalidade: 0 - Por conta do remetente | Parte: MULTI EMBALAGENS LTDA (04.407.489/0001-71)</t>
        </is>
      </c>
      <c r="O1023" s="29" t="n">
        <v>0</v>
      </c>
      <c r="P1023" s="29" t="n">
        <v>0</v>
      </c>
      <c r="Q1023" s="29" t="n">
        <v>0</v>
      </c>
      <c r="R1023" s="29" t="n">
        <v>0</v>
      </c>
      <c r="S1023" s="29" t="n">
        <v>0</v>
      </c>
      <c r="T1023" t="inlineStr">
        <is>
          <t>25241126975620000130570010000031631000000001</t>
        </is>
      </c>
      <c r="U1023" t="inlineStr">
        <is>
          <t>Não</t>
        </is>
      </c>
    </row>
    <row r="1024">
      <c r="A1024" t="inlineStr">
        <is>
          <t>Frete de venda</t>
        </is>
      </c>
      <c r="B1024" t="inlineStr">
        <is>
          <t>1.01.01 Venda de Mercadoria Fabricadas</t>
        </is>
      </c>
      <c r="C1024" t="inlineStr">
        <is>
          <t>Antes de 2026</t>
        </is>
      </c>
      <c r="D1024" t="inlineStr">
        <is>
          <t>Antes de 2026</t>
        </is>
      </c>
      <c r="E1024" s="28" t="n">
        <v>45611</v>
      </c>
      <c r="F1024" t="inlineStr">
        <is>
          <t>CT-e</t>
        </is>
      </c>
      <c r="G1024" t="inlineStr">
        <is>
          <t>000003164</t>
        </is>
      </c>
      <c r="H1024" t="inlineStr">
        <is>
          <t>R&amp;R TRANSPORTE E LOGISTICA</t>
        </is>
      </c>
      <c r="J1024" s="29" t="n">
        <v>34</v>
      </c>
      <c r="K1024" s="29">
        <f>(1-ISNUMBER(SEARCH("556",M1024)))*(O1024*SUMIFS(Premissas!$C$5:$C$44,Premissas!$A$5:$A$44,$A1024,Premissas!$B$5:$B$44,$B1024)+P1024*SUMIFS(Premissas!$D$5:$D$44,Premissas!$A$5:$A$44,$A1024,Premissas!$B$5:$B$44,$B1024))+R1024*SUMIFS(Premissas!$E$5:$E$44,Premissas!$A$5:$A$44,$A1024,Premissas!$B$5:$B$44,$B1024)+S1024*SUMIFS(Premissas!$F$5:$F$44,Premissas!$A$5:$A$44,$A1024,Premissas!$B$5:$B$44,$B1024)</f>
        <v/>
      </c>
      <c r="L1024" s="29">
        <f>J1024-K1024</f>
        <v/>
      </c>
      <c r="M1024" t="inlineStr">
        <is>
          <t>1.350</t>
        </is>
      </c>
      <c r="N1024" t="inlineStr">
        <is>
          <t>Modalidade: 0 - Por conta do remetente | Parte: JK EMBALAGENS LTDA (31.829.684/0001-62)</t>
        </is>
      </c>
      <c r="O1024" s="29" t="n">
        <v>0</v>
      </c>
      <c r="P1024" s="29" t="n">
        <v>0</v>
      </c>
      <c r="Q1024" s="29" t="n">
        <v>0</v>
      </c>
      <c r="R1024" s="29" t="n">
        <v>0</v>
      </c>
      <c r="S1024" s="29" t="n">
        <v>0</v>
      </c>
      <c r="T1024" t="inlineStr">
        <is>
          <t>25241126975620000130570010000031641000000009</t>
        </is>
      </c>
      <c r="U1024" t="inlineStr">
        <is>
          <t>Não</t>
        </is>
      </c>
    </row>
    <row r="1025">
      <c r="A1025" t="inlineStr">
        <is>
          <t>Frete de venda</t>
        </is>
      </c>
      <c r="B1025" t="inlineStr">
        <is>
          <t>1.01.01 Venda de Mercadoria Fabricadas</t>
        </is>
      </c>
      <c r="C1025" t="inlineStr">
        <is>
          <t>Antes de 2026</t>
        </is>
      </c>
      <c r="D1025" t="inlineStr">
        <is>
          <t>Antes de 2026</t>
        </is>
      </c>
      <c r="E1025" s="28" t="n">
        <v>45611</v>
      </c>
      <c r="F1025" t="inlineStr">
        <is>
          <t>CT-e</t>
        </is>
      </c>
      <c r="G1025" t="inlineStr">
        <is>
          <t>000003165</t>
        </is>
      </c>
      <c r="H1025" t="inlineStr">
        <is>
          <t>R&amp;R TRANSPORTE E LOGISTICA</t>
        </is>
      </c>
      <c r="J1025" s="29" t="n">
        <v>57</v>
      </c>
      <c r="K1025" s="29">
        <f>(1-ISNUMBER(SEARCH("556",M1025)))*(O1025*SUMIFS(Premissas!$C$5:$C$44,Premissas!$A$5:$A$44,$A1025,Premissas!$B$5:$B$44,$B1025)+P1025*SUMIFS(Premissas!$D$5:$D$44,Premissas!$A$5:$A$44,$A1025,Premissas!$B$5:$B$44,$B1025))+R1025*SUMIFS(Premissas!$E$5:$E$44,Premissas!$A$5:$A$44,$A1025,Premissas!$B$5:$B$44,$B1025)+S1025*SUMIFS(Premissas!$F$5:$F$44,Premissas!$A$5:$A$44,$A1025,Premissas!$B$5:$B$44,$B1025)</f>
        <v/>
      </c>
      <c r="L1025" s="29">
        <f>J1025-K1025</f>
        <v/>
      </c>
      <c r="M1025" t="inlineStr">
        <is>
          <t>1.350</t>
        </is>
      </c>
      <c r="N1025" t="inlineStr">
        <is>
          <t>Modalidade: 0 - Por conta do remetente | Parte: Você cons (57.214.482/0001-08)</t>
        </is>
      </c>
      <c r="O1025" s="29" t="n">
        <v>0</v>
      </c>
      <c r="P1025" s="29" t="n">
        <v>0</v>
      </c>
      <c r="Q1025" s="29" t="n">
        <v>0</v>
      </c>
      <c r="R1025" s="29" t="n">
        <v>0</v>
      </c>
      <c r="S1025" s="29" t="n">
        <v>0</v>
      </c>
      <c r="T1025" t="inlineStr">
        <is>
          <t>25241126975620000130570010000031651000000006</t>
        </is>
      </c>
      <c r="U1025" t="inlineStr">
        <is>
          <t>Não</t>
        </is>
      </c>
    </row>
    <row r="1026">
      <c r="A1026" t="inlineStr">
        <is>
          <t>Frete de venda</t>
        </is>
      </c>
      <c r="B1026" t="inlineStr">
        <is>
          <t>1.01.01 Venda de Mercadoria Fabricadas</t>
        </is>
      </c>
      <c r="C1026" t="inlineStr">
        <is>
          <t>Antes de 2026</t>
        </is>
      </c>
      <c r="D1026" t="inlineStr">
        <is>
          <t>Antes de 2026</t>
        </is>
      </c>
      <c r="E1026" s="28" t="n">
        <v>45611</v>
      </c>
      <c r="F1026" t="inlineStr">
        <is>
          <t>CT-e</t>
        </is>
      </c>
      <c r="G1026" t="inlineStr">
        <is>
          <t>000003166</t>
        </is>
      </c>
      <c r="H1026" t="inlineStr">
        <is>
          <t>R&amp;R TRANSPORTE E LOGISTICA</t>
        </is>
      </c>
      <c r="J1026" s="29" t="n">
        <v>55</v>
      </c>
      <c r="K1026" s="29">
        <f>(1-ISNUMBER(SEARCH("556",M1026)))*(O1026*SUMIFS(Premissas!$C$5:$C$44,Premissas!$A$5:$A$44,$A1026,Premissas!$B$5:$B$44,$B1026)+P1026*SUMIFS(Premissas!$D$5:$D$44,Premissas!$A$5:$A$44,$A1026,Premissas!$B$5:$B$44,$B1026))+R1026*SUMIFS(Premissas!$E$5:$E$44,Premissas!$A$5:$A$44,$A1026,Premissas!$B$5:$B$44,$B1026)+S1026*SUMIFS(Premissas!$F$5:$F$44,Premissas!$A$5:$A$44,$A1026,Premissas!$B$5:$B$44,$B1026)</f>
        <v/>
      </c>
      <c r="L1026" s="29">
        <f>J1026-K1026</f>
        <v/>
      </c>
      <c r="M1026" t="inlineStr">
        <is>
          <t>1.350</t>
        </is>
      </c>
      <c r="N1026" t="inlineStr">
        <is>
          <t>Modalidade: 0 - Por conta do remetente | Parte: IRMAOS TELES COMERCIAL LTDA (26.996.516/0001-21)</t>
        </is>
      </c>
      <c r="O1026" s="29" t="n">
        <v>0</v>
      </c>
      <c r="P1026" s="29" t="n">
        <v>0</v>
      </c>
      <c r="Q1026" s="29" t="n">
        <v>0</v>
      </c>
      <c r="R1026" s="29" t="n">
        <v>0</v>
      </c>
      <c r="S1026" s="29" t="n">
        <v>0</v>
      </c>
      <c r="T1026" t="inlineStr">
        <is>
          <t>25241126975620000130570010000031661000000003</t>
        </is>
      </c>
      <c r="U1026" t="inlineStr">
        <is>
          <t>Não</t>
        </is>
      </c>
    </row>
    <row r="1027">
      <c r="A1027" t="inlineStr">
        <is>
          <t>Frete de venda</t>
        </is>
      </c>
      <c r="B1027" t="inlineStr">
        <is>
          <t>1.01.01 Venda de Mercadoria Fabricadas</t>
        </is>
      </c>
      <c r="C1027" t="inlineStr">
        <is>
          <t>Antes de 2026</t>
        </is>
      </c>
      <c r="D1027" t="inlineStr">
        <is>
          <t>Antes de 2026</t>
        </is>
      </c>
      <c r="E1027" s="28" t="n">
        <v>45611</v>
      </c>
      <c r="F1027" t="inlineStr">
        <is>
          <t>CT-e</t>
        </is>
      </c>
      <c r="G1027" t="inlineStr">
        <is>
          <t>000003167</t>
        </is>
      </c>
      <c r="H1027" t="inlineStr">
        <is>
          <t>R&amp;R TRANSPORTE E LOGISTICA</t>
        </is>
      </c>
      <c r="J1027" s="29" t="n">
        <v>50</v>
      </c>
      <c r="K1027" s="29">
        <f>(1-ISNUMBER(SEARCH("556",M1027)))*(O1027*SUMIFS(Premissas!$C$5:$C$44,Premissas!$A$5:$A$44,$A1027,Premissas!$B$5:$B$44,$B1027)+P1027*SUMIFS(Premissas!$D$5:$D$44,Premissas!$A$5:$A$44,$A1027,Premissas!$B$5:$B$44,$B1027))+R1027*SUMIFS(Premissas!$E$5:$E$44,Premissas!$A$5:$A$44,$A1027,Premissas!$B$5:$B$44,$B1027)+S1027*SUMIFS(Premissas!$F$5:$F$44,Premissas!$A$5:$A$44,$A1027,Premissas!$B$5:$B$44,$B1027)</f>
        <v/>
      </c>
      <c r="L1027" s="29">
        <f>J1027-K1027</f>
        <v/>
      </c>
      <c r="M1027" t="inlineStr">
        <is>
          <t>1.350</t>
        </is>
      </c>
      <c r="N1027" t="inlineStr">
        <is>
          <t>Modalidade: 0 - Por conta do remetente | Parte: ROSANGELA ROSA DOS SANTOS (17.382.523/0001-42)</t>
        </is>
      </c>
      <c r="O1027" s="29" t="n">
        <v>0</v>
      </c>
      <c r="P1027" s="29" t="n">
        <v>0</v>
      </c>
      <c r="Q1027" s="29" t="n">
        <v>0</v>
      </c>
      <c r="R1027" s="29" t="n">
        <v>0</v>
      </c>
      <c r="S1027" s="29" t="n">
        <v>0</v>
      </c>
      <c r="T1027" t="inlineStr">
        <is>
          <t>25241126975620000130570010000031671000000000</t>
        </is>
      </c>
      <c r="U1027" t="inlineStr">
        <is>
          <t>Não</t>
        </is>
      </c>
    </row>
    <row r="1028">
      <c r="A1028" t="inlineStr">
        <is>
          <t>Frete de venda</t>
        </is>
      </c>
      <c r="B1028" t="inlineStr">
        <is>
          <t>1.01.01 Venda de Mercadoria Fabricadas</t>
        </is>
      </c>
      <c r="C1028" t="inlineStr">
        <is>
          <t>Antes de 2026</t>
        </is>
      </c>
      <c r="D1028" t="inlineStr">
        <is>
          <t>Antes de 2026</t>
        </is>
      </c>
      <c r="E1028" s="28" t="n">
        <v>45611</v>
      </c>
      <c r="F1028" t="inlineStr">
        <is>
          <t>CT-e</t>
        </is>
      </c>
      <c r="G1028" t="inlineStr">
        <is>
          <t>000003168</t>
        </is>
      </c>
      <c r="H1028" t="inlineStr">
        <is>
          <t>R&amp;R TRANSPORTE E LOGISTICA</t>
        </is>
      </c>
      <c r="J1028" s="29" t="n">
        <v>58</v>
      </c>
      <c r="K1028" s="29">
        <f>(1-ISNUMBER(SEARCH("556",M1028)))*(O1028*SUMIFS(Premissas!$C$5:$C$44,Premissas!$A$5:$A$44,$A1028,Premissas!$B$5:$B$44,$B1028)+P1028*SUMIFS(Premissas!$D$5:$D$44,Premissas!$A$5:$A$44,$A1028,Premissas!$B$5:$B$44,$B1028))+R1028*SUMIFS(Premissas!$E$5:$E$44,Premissas!$A$5:$A$44,$A1028,Premissas!$B$5:$B$44,$B1028)+S1028*SUMIFS(Premissas!$F$5:$F$44,Premissas!$A$5:$A$44,$A1028,Premissas!$B$5:$B$44,$B1028)</f>
        <v/>
      </c>
      <c r="L1028" s="29">
        <f>J1028-K1028</f>
        <v/>
      </c>
      <c r="M1028" t="inlineStr">
        <is>
          <t>1.350</t>
        </is>
      </c>
      <c r="N1028" t="inlineStr">
        <is>
          <t>Modalidade: 0 - Por conta do remetente | Parte: KING FRIOS COMERCIO DISTRIBUIDOR DE FRIOS LTDA (01.875.839/0001-36)</t>
        </is>
      </c>
      <c r="O1028" s="29" t="n">
        <v>0</v>
      </c>
      <c r="P1028" s="29" t="n">
        <v>0</v>
      </c>
      <c r="Q1028" s="29" t="n">
        <v>0</v>
      </c>
      <c r="R1028" s="29" t="n">
        <v>0</v>
      </c>
      <c r="S1028" s="29" t="n">
        <v>0</v>
      </c>
      <c r="T1028" t="inlineStr">
        <is>
          <t>25241126975620000130570010000031681000000008</t>
        </is>
      </c>
      <c r="U1028" t="inlineStr">
        <is>
          <t>Não</t>
        </is>
      </c>
    </row>
    <row r="1029">
      <c r="A1029" t="inlineStr">
        <is>
          <t>Frete de venda</t>
        </is>
      </c>
      <c r="B1029" t="inlineStr">
        <is>
          <t>1.01.01 Venda de Mercadoria Fabricadas</t>
        </is>
      </c>
      <c r="C1029" t="inlineStr">
        <is>
          <t>Antes de 2026</t>
        </is>
      </c>
      <c r="D1029" t="inlineStr">
        <is>
          <t>Antes de 2026</t>
        </is>
      </c>
      <c r="E1029" s="28" t="n">
        <v>45611</v>
      </c>
      <c r="F1029" t="inlineStr">
        <is>
          <t>CT-e</t>
        </is>
      </c>
      <c r="G1029" t="inlineStr">
        <is>
          <t>000003169</t>
        </is>
      </c>
      <c r="H1029" t="inlineStr">
        <is>
          <t>R&amp;R TRANSPORTE E LOGISTICA</t>
        </is>
      </c>
      <c r="J1029" s="29" t="n">
        <v>185</v>
      </c>
      <c r="K1029" s="29">
        <f>(1-ISNUMBER(SEARCH("556",M1029)))*(O1029*SUMIFS(Premissas!$C$5:$C$44,Premissas!$A$5:$A$44,$A1029,Premissas!$B$5:$B$44,$B1029)+P1029*SUMIFS(Premissas!$D$5:$D$44,Premissas!$A$5:$A$44,$A1029,Premissas!$B$5:$B$44,$B1029))+R1029*SUMIFS(Premissas!$E$5:$E$44,Premissas!$A$5:$A$44,$A1029,Premissas!$B$5:$B$44,$B1029)+S1029*SUMIFS(Premissas!$F$5:$F$44,Premissas!$A$5:$A$44,$A1029,Premissas!$B$5:$B$44,$B1029)</f>
        <v/>
      </c>
      <c r="L1029" s="29">
        <f>J1029-K1029</f>
        <v/>
      </c>
      <c r="M1029" t="inlineStr">
        <is>
          <t>1.350</t>
        </is>
      </c>
      <c r="N1029" t="inlineStr">
        <is>
          <t>Modalidade: 0 - Por conta do remetente | Parte: VILMA GOMES FREITAS DE OLIVEIRA LTDA (08.035.528/0001-08)</t>
        </is>
      </c>
      <c r="O1029" s="29" t="n">
        <v>0</v>
      </c>
      <c r="P1029" s="29" t="n">
        <v>0</v>
      </c>
      <c r="Q1029" s="29" t="n">
        <v>0</v>
      </c>
      <c r="R1029" s="29" t="n">
        <v>0</v>
      </c>
      <c r="S1029" s="29" t="n">
        <v>0</v>
      </c>
      <c r="T1029" t="inlineStr">
        <is>
          <t>25241126975620000130570010000031691000000005</t>
        </is>
      </c>
      <c r="U1029" t="inlineStr">
        <is>
          <t>Não</t>
        </is>
      </c>
    </row>
    <row r="1030">
      <c r="A1030" t="inlineStr">
        <is>
          <t>Frete de venda</t>
        </is>
      </c>
      <c r="B1030" t="inlineStr">
        <is>
          <t>1.01.01 Venda de Mercadoria Fabricadas</t>
        </is>
      </c>
      <c r="C1030" t="inlineStr">
        <is>
          <t>Antes de 2026</t>
        </is>
      </c>
      <c r="D1030" t="inlineStr">
        <is>
          <t>Antes de 2026</t>
        </is>
      </c>
      <c r="E1030" s="28" t="n">
        <v>45614</v>
      </c>
      <c r="F1030" t="inlineStr">
        <is>
          <t>CT-e</t>
        </is>
      </c>
      <c r="G1030" t="inlineStr">
        <is>
          <t>000003174</t>
        </is>
      </c>
      <c r="H1030" t="inlineStr">
        <is>
          <t>R&amp;R TRANSPORTE E LOGISTICA</t>
        </is>
      </c>
      <c r="J1030" s="29" t="n">
        <v>165</v>
      </c>
      <c r="K1030" s="29">
        <f>(1-ISNUMBER(SEARCH("556",M1030)))*(O1030*SUMIFS(Premissas!$C$5:$C$44,Premissas!$A$5:$A$44,$A1030,Premissas!$B$5:$B$44,$B1030)+P1030*SUMIFS(Premissas!$D$5:$D$44,Premissas!$A$5:$A$44,$A1030,Premissas!$B$5:$B$44,$B1030))+R1030*SUMIFS(Premissas!$E$5:$E$44,Premissas!$A$5:$A$44,$A1030,Premissas!$B$5:$B$44,$B1030)+S1030*SUMIFS(Premissas!$F$5:$F$44,Premissas!$A$5:$A$44,$A1030,Premissas!$B$5:$B$44,$B1030)</f>
        <v/>
      </c>
      <c r="L1030" s="29">
        <f>J1030-K1030</f>
        <v/>
      </c>
      <c r="M1030" t="inlineStr">
        <is>
          <t>1.350</t>
        </is>
      </c>
      <c r="N1030" t="inlineStr">
        <is>
          <t>Modalidade: 0 - Por conta do remetente | Parte: BRASIL DISTRIBUIDORA DE EMBALAGENS LTDA (30.411.824/0003-87)</t>
        </is>
      </c>
      <c r="O1030" s="29" t="n">
        <v>0</v>
      </c>
      <c r="P1030" s="29" t="n">
        <v>0</v>
      </c>
      <c r="Q1030" s="29" t="n">
        <v>0</v>
      </c>
      <c r="R1030" s="29" t="n">
        <v>0</v>
      </c>
      <c r="S1030" s="29" t="n">
        <v>0</v>
      </c>
      <c r="T1030" t="inlineStr">
        <is>
          <t>25241126975620000130570010000031741000000005</t>
        </is>
      </c>
      <c r="U1030" t="inlineStr">
        <is>
          <t>Não</t>
        </is>
      </c>
    </row>
    <row r="1031">
      <c r="A1031" t="inlineStr">
        <is>
          <t>Frete de venda</t>
        </is>
      </c>
      <c r="B1031" t="inlineStr">
        <is>
          <t>1.01.01 Venda de Mercadoria Fabricadas</t>
        </is>
      </c>
      <c r="C1031" t="inlineStr">
        <is>
          <t>Antes de 2026</t>
        </is>
      </c>
      <c r="D1031" t="inlineStr">
        <is>
          <t>Antes de 2026</t>
        </is>
      </c>
      <c r="E1031" s="28" t="n">
        <v>45609</v>
      </c>
      <c r="F1031" t="inlineStr">
        <is>
          <t>CT-e</t>
        </is>
      </c>
      <c r="G1031" t="inlineStr">
        <is>
          <t>000003227</t>
        </is>
      </c>
      <c r="H1031" t="inlineStr">
        <is>
          <t>R&amp;R TRANSPORTE E LOGISTICA</t>
        </is>
      </c>
      <c r="J1031" s="29" t="n">
        <v>390</v>
      </c>
      <c r="K1031" s="29">
        <f>(1-ISNUMBER(SEARCH("556",M1031)))*(O1031*SUMIFS(Premissas!$C$5:$C$44,Premissas!$A$5:$A$44,$A1031,Premissas!$B$5:$B$44,$B1031)+P1031*SUMIFS(Premissas!$D$5:$D$44,Premissas!$A$5:$A$44,$A1031,Premissas!$B$5:$B$44,$B1031))+R1031*SUMIFS(Premissas!$E$5:$E$44,Premissas!$A$5:$A$44,$A1031,Premissas!$B$5:$B$44,$B1031)+S1031*SUMIFS(Premissas!$F$5:$F$44,Premissas!$A$5:$A$44,$A1031,Premissas!$B$5:$B$44,$B1031)</f>
        <v/>
      </c>
      <c r="L1031" s="29">
        <f>J1031-K1031</f>
        <v/>
      </c>
      <c r="M1031" t="inlineStr">
        <is>
          <t>1.350</t>
        </is>
      </c>
      <c r="N1031" t="inlineStr">
        <is>
          <t>Transportadora de frete de venda, mas pela modalidade do frete a Vinco recebeu a carga | Modalidade: 1 - Por conta do destinatário | Parte: REQUIM PRODUTOS QUIMICOS LTDA (06.935.804/0001-69)</t>
        </is>
      </c>
      <c r="O1031" s="29" t="n">
        <v>0</v>
      </c>
      <c r="P1031" s="29" t="n">
        <v>0</v>
      </c>
      <c r="Q1031" s="29" t="n">
        <v>0</v>
      </c>
      <c r="R1031" s="29" t="n">
        <v>0</v>
      </c>
      <c r="S1031" s="29" t="n">
        <v>0</v>
      </c>
      <c r="T1031" t="inlineStr">
        <is>
          <t>25241126975620000130570010000032271000000000</t>
        </is>
      </c>
      <c r="U1031" t="inlineStr">
        <is>
          <t>Não</t>
        </is>
      </c>
    </row>
    <row r="1032">
      <c r="A1032" t="inlineStr">
        <is>
          <t>Frete de venda</t>
        </is>
      </c>
      <c r="B1032" t="inlineStr">
        <is>
          <t>1.01.01 Venda de Mercadoria Fabricadas</t>
        </is>
      </c>
      <c r="C1032" t="inlineStr">
        <is>
          <t>Antes de 2026</t>
        </is>
      </c>
      <c r="D1032" t="inlineStr">
        <is>
          <t>Antes de 2026</t>
        </is>
      </c>
      <c r="E1032" s="28" t="n">
        <v>45616</v>
      </c>
      <c r="F1032" t="inlineStr">
        <is>
          <t>CT-e</t>
        </is>
      </c>
      <c r="G1032" t="inlineStr">
        <is>
          <t>000003230</t>
        </is>
      </c>
      <c r="H1032" t="inlineStr">
        <is>
          <t>R&amp;R TRANSPORTE E LOGISTICA</t>
        </is>
      </c>
      <c r="J1032" s="29" t="n">
        <v>56</v>
      </c>
      <c r="K1032" s="29">
        <f>(1-ISNUMBER(SEARCH("556",M1032)))*(O1032*SUMIFS(Premissas!$C$5:$C$44,Premissas!$A$5:$A$44,$A1032,Premissas!$B$5:$B$44,$B1032)+P1032*SUMIFS(Premissas!$D$5:$D$44,Premissas!$A$5:$A$44,$A1032,Premissas!$B$5:$B$44,$B1032))+R1032*SUMIFS(Premissas!$E$5:$E$44,Premissas!$A$5:$A$44,$A1032,Premissas!$B$5:$B$44,$B1032)+S1032*SUMIFS(Premissas!$F$5:$F$44,Premissas!$A$5:$A$44,$A1032,Premissas!$B$5:$B$44,$B1032)</f>
        <v/>
      </c>
      <c r="L1032" s="29">
        <f>J1032-K1032</f>
        <v/>
      </c>
      <c r="M1032" t="inlineStr">
        <is>
          <t>1.350</t>
        </is>
      </c>
      <c r="N1032" t="inlineStr">
        <is>
          <t>Modalidade: 0 - Por conta do remetente | Parte: MACROPLAST COMERCIO DE MATERIAIS DESCARTAVEIS EIRELI (02.541.920/0001-42)</t>
        </is>
      </c>
      <c r="O1032" s="29" t="n">
        <v>0</v>
      </c>
      <c r="P1032" s="29" t="n">
        <v>0</v>
      </c>
      <c r="Q1032" s="29" t="n">
        <v>0</v>
      </c>
      <c r="R1032" s="29" t="n">
        <v>0</v>
      </c>
      <c r="S1032" s="29" t="n">
        <v>0</v>
      </c>
      <c r="T1032" t="inlineStr">
        <is>
          <t>25241126975620000130570010000032301000000006</t>
        </is>
      </c>
      <c r="U1032" t="inlineStr">
        <is>
          <t>Não</t>
        </is>
      </c>
    </row>
    <row r="1033">
      <c r="A1033" t="inlineStr">
        <is>
          <t>Frete de venda</t>
        </is>
      </c>
      <c r="B1033" t="inlineStr">
        <is>
          <t>1.01.01 Venda de Mercadoria Fabricadas</t>
        </is>
      </c>
      <c r="C1033" t="inlineStr">
        <is>
          <t>Antes de 2026</t>
        </is>
      </c>
      <c r="D1033" t="inlineStr">
        <is>
          <t>Antes de 2026</t>
        </is>
      </c>
      <c r="E1033" s="28" t="n">
        <v>45616</v>
      </c>
      <c r="F1033" t="inlineStr">
        <is>
          <t>CT-e</t>
        </is>
      </c>
      <c r="G1033" t="inlineStr">
        <is>
          <t>000003231</t>
        </is>
      </c>
      <c r="H1033" t="inlineStr">
        <is>
          <t>R&amp;R TRANSPORTE E LOGISTICA</t>
        </is>
      </c>
      <c r="J1033" s="29" t="n">
        <v>55</v>
      </c>
      <c r="K1033" s="29">
        <f>(1-ISNUMBER(SEARCH("556",M1033)))*(O1033*SUMIFS(Premissas!$C$5:$C$44,Premissas!$A$5:$A$44,$A1033,Premissas!$B$5:$B$44,$B1033)+P1033*SUMIFS(Premissas!$D$5:$D$44,Premissas!$A$5:$A$44,$A1033,Premissas!$B$5:$B$44,$B1033))+R1033*SUMIFS(Premissas!$E$5:$E$44,Premissas!$A$5:$A$44,$A1033,Premissas!$B$5:$B$44,$B1033)+S1033*SUMIFS(Premissas!$F$5:$F$44,Premissas!$A$5:$A$44,$A1033,Premissas!$B$5:$B$44,$B1033)</f>
        <v/>
      </c>
      <c r="L1033" s="29">
        <f>J1033-K1033</f>
        <v/>
      </c>
      <c r="M1033" t="inlineStr">
        <is>
          <t>1.350</t>
        </is>
      </c>
      <c r="N1033" t="inlineStr">
        <is>
          <t>Modalidade: 0 - Por conta do remetente | Parte: J A FRIOS COMERCIO DE ALIMENTOS LTDA (42.381.717/0002-51)</t>
        </is>
      </c>
      <c r="O1033" s="29" t="n">
        <v>0</v>
      </c>
      <c r="P1033" s="29" t="n">
        <v>0</v>
      </c>
      <c r="Q1033" s="29" t="n">
        <v>0</v>
      </c>
      <c r="R1033" s="29" t="n">
        <v>0</v>
      </c>
      <c r="S1033" s="29" t="n">
        <v>0</v>
      </c>
      <c r="T1033" t="inlineStr">
        <is>
          <t>25241126975620000130570010000032311000000003</t>
        </is>
      </c>
      <c r="U1033" t="inlineStr">
        <is>
          <t>Não</t>
        </is>
      </c>
    </row>
    <row r="1034">
      <c r="A1034" t="inlineStr">
        <is>
          <t>Frete de venda</t>
        </is>
      </c>
      <c r="B1034" t="inlineStr">
        <is>
          <t>1.01.01 Venda de Mercadoria Fabricadas</t>
        </is>
      </c>
      <c r="C1034" t="inlineStr">
        <is>
          <t>Antes de 2026</t>
        </is>
      </c>
      <c r="D1034" t="inlineStr">
        <is>
          <t>Antes de 2026</t>
        </is>
      </c>
      <c r="E1034" s="28" t="n">
        <v>45616</v>
      </c>
      <c r="F1034" t="inlineStr">
        <is>
          <t>CT-e</t>
        </is>
      </c>
      <c r="G1034" t="inlineStr">
        <is>
          <t>000003232</t>
        </is>
      </c>
      <c r="H1034" t="inlineStr">
        <is>
          <t>R&amp;R TRANSPORTE E LOGISTICA</t>
        </is>
      </c>
      <c r="J1034" s="29" t="n">
        <v>64</v>
      </c>
      <c r="K1034" s="29">
        <f>(1-ISNUMBER(SEARCH("556",M1034)))*(O1034*SUMIFS(Premissas!$C$5:$C$44,Premissas!$A$5:$A$44,$A1034,Premissas!$B$5:$B$44,$B1034)+P1034*SUMIFS(Premissas!$D$5:$D$44,Premissas!$A$5:$A$44,$A1034,Premissas!$B$5:$B$44,$B1034))+R1034*SUMIFS(Premissas!$E$5:$E$44,Premissas!$A$5:$A$44,$A1034,Premissas!$B$5:$B$44,$B1034)+S1034*SUMIFS(Premissas!$F$5:$F$44,Premissas!$A$5:$A$44,$A1034,Premissas!$B$5:$B$44,$B1034)</f>
        <v/>
      </c>
      <c r="L1034" s="29">
        <f>J1034-K1034</f>
        <v/>
      </c>
      <c r="M1034" t="inlineStr">
        <is>
          <t>1.350</t>
        </is>
      </c>
      <c r="N1034" t="inlineStr">
        <is>
          <t>Modalidade: 0 - Por conta do remetente | Parte: FORTALI DISTRIBUIDORA DE ALIMENTOS LTDA. (09.317.318/0001-75)</t>
        </is>
      </c>
      <c r="O1034" s="29" t="n">
        <v>0</v>
      </c>
      <c r="P1034" s="29" t="n">
        <v>0</v>
      </c>
      <c r="Q1034" s="29" t="n">
        <v>0</v>
      </c>
      <c r="R1034" s="29" t="n">
        <v>0</v>
      </c>
      <c r="S1034" s="29" t="n">
        <v>0</v>
      </c>
      <c r="T1034" t="inlineStr">
        <is>
          <t>25241126975620000130570010000032321000000000</t>
        </is>
      </c>
      <c r="U1034" t="inlineStr">
        <is>
          <t>Não</t>
        </is>
      </c>
    </row>
    <row r="1035">
      <c r="A1035" t="inlineStr">
        <is>
          <t>Frete de venda</t>
        </is>
      </c>
      <c r="B1035" t="inlineStr">
        <is>
          <t>1.01.01 Venda de Mercadoria Fabricadas</t>
        </is>
      </c>
      <c r="C1035" t="inlineStr">
        <is>
          <t>Antes de 2026</t>
        </is>
      </c>
      <c r="D1035" t="inlineStr">
        <is>
          <t>Antes de 2026</t>
        </is>
      </c>
      <c r="E1035" s="28" t="n">
        <v>45616</v>
      </c>
      <c r="F1035" t="inlineStr">
        <is>
          <t>CT-e</t>
        </is>
      </c>
      <c r="G1035" t="inlineStr">
        <is>
          <t>000003292</t>
        </is>
      </c>
      <c r="H1035" t="inlineStr">
        <is>
          <t>R&amp;R TRANSPORTE E LOGISTICA</t>
        </is>
      </c>
      <c r="J1035" s="29" t="n">
        <v>1150</v>
      </c>
      <c r="K1035" s="29">
        <f>(1-ISNUMBER(SEARCH("556",M1035)))*(O1035*SUMIFS(Premissas!$C$5:$C$44,Premissas!$A$5:$A$44,$A1035,Premissas!$B$5:$B$44,$B1035)+P1035*SUMIFS(Premissas!$D$5:$D$44,Premissas!$A$5:$A$44,$A1035,Premissas!$B$5:$B$44,$B1035))+R1035*SUMIFS(Premissas!$E$5:$E$44,Premissas!$A$5:$A$44,$A1035,Premissas!$B$5:$B$44,$B1035)+S1035*SUMIFS(Premissas!$F$5:$F$44,Premissas!$A$5:$A$44,$A1035,Premissas!$B$5:$B$44,$B1035)</f>
        <v/>
      </c>
      <c r="L1035" s="29">
        <f>J1035-K1035</f>
        <v/>
      </c>
      <c r="M1035" t="inlineStr">
        <is>
          <t>1.350</t>
        </is>
      </c>
      <c r="N1035" t="inlineStr">
        <is>
          <t>Modalidade: 0 - Por conta do remetente | Parte: C M OLIVEIRA ATACADO (41.098.526/0001-33)</t>
        </is>
      </c>
      <c r="O1035" s="29" t="n">
        <v>0</v>
      </c>
      <c r="P1035" s="29" t="n">
        <v>0</v>
      </c>
      <c r="Q1035" s="29" t="n">
        <v>0</v>
      </c>
      <c r="R1035" s="29" t="n">
        <v>0</v>
      </c>
      <c r="S1035" s="29" t="n">
        <v>0</v>
      </c>
      <c r="T1035" t="inlineStr">
        <is>
          <t>25241126975620000130570010000032921000000009</t>
        </is>
      </c>
      <c r="U1035" t="inlineStr">
        <is>
          <t>Não</t>
        </is>
      </c>
    </row>
    <row r="1036">
      <c r="A1036" t="inlineStr">
        <is>
          <t>Frete de venda</t>
        </is>
      </c>
      <c r="B1036" t="inlineStr">
        <is>
          <t>1.01.01 Venda de Mercadoria Fabricadas</t>
        </is>
      </c>
      <c r="C1036" t="inlineStr">
        <is>
          <t>Antes de 2026</t>
        </is>
      </c>
      <c r="D1036" t="inlineStr">
        <is>
          <t>Antes de 2026</t>
        </is>
      </c>
      <c r="E1036" s="28" t="n">
        <v>45617</v>
      </c>
      <c r="F1036" t="inlineStr">
        <is>
          <t>CT-e</t>
        </is>
      </c>
      <c r="G1036" t="inlineStr">
        <is>
          <t>000003293</t>
        </is>
      </c>
      <c r="H1036" t="inlineStr">
        <is>
          <t>R&amp;R TRANSPORTE E LOGISTICA</t>
        </is>
      </c>
      <c r="J1036" s="29" t="n">
        <v>160</v>
      </c>
      <c r="K1036" s="29">
        <f>(1-ISNUMBER(SEARCH("556",M1036)))*(O1036*SUMIFS(Premissas!$C$5:$C$44,Premissas!$A$5:$A$44,$A1036,Premissas!$B$5:$B$44,$B1036)+P1036*SUMIFS(Premissas!$D$5:$D$44,Premissas!$A$5:$A$44,$A1036,Premissas!$B$5:$B$44,$B1036))+R1036*SUMIFS(Premissas!$E$5:$E$44,Premissas!$A$5:$A$44,$A1036,Premissas!$B$5:$B$44,$B1036)+S1036*SUMIFS(Premissas!$F$5:$F$44,Premissas!$A$5:$A$44,$A1036,Premissas!$B$5:$B$44,$B1036)</f>
        <v/>
      </c>
      <c r="L1036" s="29">
        <f>J1036-K1036</f>
        <v/>
      </c>
      <c r="M1036" t="inlineStr">
        <is>
          <t>1.350</t>
        </is>
      </c>
      <c r="N1036" t="inlineStr">
        <is>
          <t>Modalidade: 0 - Por conta do remetente | Parte: R. VALE DOS SANTOS LTDA (21.585.699/0001-79)</t>
        </is>
      </c>
      <c r="O1036" s="29" t="n">
        <v>0</v>
      </c>
      <c r="P1036" s="29" t="n">
        <v>0</v>
      </c>
      <c r="Q1036" s="29" t="n">
        <v>0</v>
      </c>
      <c r="R1036" s="29" t="n">
        <v>0</v>
      </c>
      <c r="S1036" s="29" t="n">
        <v>0</v>
      </c>
      <c r="T1036" t="inlineStr">
        <is>
          <t>25241126975620000130570010000032931000000006</t>
        </is>
      </c>
      <c r="U1036" t="inlineStr">
        <is>
          <t>Não</t>
        </is>
      </c>
    </row>
    <row r="1037">
      <c r="A1037" t="inlineStr">
        <is>
          <t>Frete de venda</t>
        </is>
      </c>
      <c r="B1037" t="inlineStr">
        <is>
          <t>1.01.01 Venda de Mercadoria Fabricadas</t>
        </is>
      </c>
      <c r="C1037" t="inlineStr">
        <is>
          <t>Antes de 2026</t>
        </is>
      </c>
      <c r="D1037" t="inlineStr">
        <is>
          <t>Antes de 2026</t>
        </is>
      </c>
      <c r="E1037" s="28" t="n">
        <v>45618</v>
      </c>
      <c r="F1037" t="inlineStr">
        <is>
          <t>CT-e</t>
        </is>
      </c>
      <c r="G1037" t="inlineStr">
        <is>
          <t>000003305</t>
        </is>
      </c>
      <c r="H1037" t="inlineStr">
        <is>
          <t>R&amp;R TRANSPORTE E LOGISTICA</t>
        </is>
      </c>
      <c r="J1037" s="29" t="n">
        <v>48</v>
      </c>
      <c r="K1037" s="29">
        <f>(1-ISNUMBER(SEARCH("556",M1037)))*(O1037*SUMIFS(Premissas!$C$5:$C$44,Premissas!$A$5:$A$44,$A1037,Premissas!$B$5:$B$44,$B1037)+P1037*SUMIFS(Premissas!$D$5:$D$44,Premissas!$A$5:$A$44,$A1037,Premissas!$B$5:$B$44,$B1037))+R1037*SUMIFS(Premissas!$E$5:$E$44,Premissas!$A$5:$A$44,$A1037,Premissas!$B$5:$B$44,$B1037)+S1037*SUMIFS(Premissas!$F$5:$F$44,Premissas!$A$5:$A$44,$A1037,Premissas!$B$5:$B$44,$B1037)</f>
        <v/>
      </c>
      <c r="L1037" s="29">
        <f>J1037-K1037</f>
        <v/>
      </c>
      <c r="M1037" t="inlineStr">
        <is>
          <t>1.350</t>
        </is>
      </c>
      <c r="N1037" t="inlineStr">
        <is>
          <t>Modalidade: 0 - Por conta do remetente | Parte: LIPACK COMERCIO DE EMBALAGENS LTDA (25.229.896/0001-06)</t>
        </is>
      </c>
      <c r="O1037" s="29" t="n">
        <v>0</v>
      </c>
      <c r="P1037" s="29" t="n">
        <v>0</v>
      </c>
      <c r="Q1037" s="29" t="n">
        <v>0</v>
      </c>
      <c r="R1037" s="29" t="n">
        <v>0</v>
      </c>
      <c r="S1037" s="29" t="n">
        <v>0</v>
      </c>
      <c r="T1037" t="inlineStr">
        <is>
          <t>25241126975620000130570010000033051000000009</t>
        </is>
      </c>
      <c r="U1037" t="inlineStr">
        <is>
          <t>Não</t>
        </is>
      </c>
    </row>
    <row r="1038">
      <c r="A1038" t="inlineStr">
        <is>
          <t>Frete de venda</t>
        </is>
      </c>
      <c r="B1038" t="inlineStr">
        <is>
          <t>1.01.01 Venda de Mercadoria Fabricadas</t>
        </is>
      </c>
      <c r="C1038" t="inlineStr">
        <is>
          <t>Antes de 2026</t>
        </is>
      </c>
      <c r="D1038" t="inlineStr">
        <is>
          <t>Antes de 2026</t>
        </is>
      </c>
      <c r="E1038" s="28" t="n">
        <v>45618</v>
      </c>
      <c r="F1038" t="inlineStr">
        <is>
          <t>CT-e</t>
        </is>
      </c>
      <c r="G1038" t="inlineStr">
        <is>
          <t>000003306</t>
        </is>
      </c>
      <c r="H1038" t="inlineStr">
        <is>
          <t>R&amp;R TRANSPORTE E LOGISTICA</t>
        </is>
      </c>
      <c r="J1038" s="29" t="n">
        <v>51</v>
      </c>
      <c r="K1038" s="29">
        <f>(1-ISNUMBER(SEARCH("556",M1038)))*(O1038*SUMIFS(Premissas!$C$5:$C$44,Premissas!$A$5:$A$44,$A1038,Premissas!$B$5:$B$44,$B1038)+P1038*SUMIFS(Premissas!$D$5:$D$44,Premissas!$A$5:$A$44,$A1038,Premissas!$B$5:$B$44,$B1038))+R1038*SUMIFS(Premissas!$E$5:$E$44,Premissas!$A$5:$A$44,$A1038,Premissas!$B$5:$B$44,$B1038)+S1038*SUMIFS(Premissas!$F$5:$F$44,Premissas!$A$5:$A$44,$A1038,Premissas!$B$5:$B$44,$B1038)</f>
        <v/>
      </c>
      <c r="L1038" s="29">
        <f>J1038-K1038</f>
        <v/>
      </c>
      <c r="M1038" t="inlineStr">
        <is>
          <t>1.350</t>
        </is>
      </c>
      <c r="N1038" t="inlineStr">
        <is>
          <t>Modalidade: 0 - Por conta do remetente | Parte: FRONTEIRA EMBALAGENS LTDA (47.115.817/0001-79)</t>
        </is>
      </c>
      <c r="O1038" s="29" t="n">
        <v>0</v>
      </c>
      <c r="P1038" s="29" t="n">
        <v>0</v>
      </c>
      <c r="Q1038" s="29" t="n">
        <v>0</v>
      </c>
      <c r="R1038" s="29" t="n">
        <v>0</v>
      </c>
      <c r="S1038" s="29" t="n">
        <v>0</v>
      </c>
      <c r="T1038" t="inlineStr">
        <is>
          <t>25241126975620000130570010000033061000000006</t>
        </is>
      </c>
      <c r="U1038" t="inlineStr">
        <is>
          <t>Não</t>
        </is>
      </c>
    </row>
    <row r="1039">
      <c r="A1039" t="inlineStr">
        <is>
          <t>Frete de venda</t>
        </is>
      </c>
      <c r="B1039" t="inlineStr">
        <is>
          <t>1.01.01 Venda de Mercadoria Fabricadas</t>
        </is>
      </c>
      <c r="C1039" t="inlineStr">
        <is>
          <t>Antes de 2026</t>
        </is>
      </c>
      <c r="D1039" t="inlineStr">
        <is>
          <t>Antes de 2026</t>
        </is>
      </c>
      <c r="E1039" s="28" t="n">
        <v>45618</v>
      </c>
      <c r="F1039" t="inlineStr">
        <is>
          <t>CT-e</t>
        </is>
      </c>
      <c r="G1039" t="inlineStr">
        <is>
          <t>000003307</t>
        </is>
      </c>
      <c r="H1039" t="inlineStr">
        <is>
          <t>R&amp;R TRANSPORTE E LOGISTICA</t>
        </is>
      </c>
      <c r="J1039" s="29" t="n">
        <v>35</v>
      </c>
      <c r="K1039" s="29">
        <f>(1-ISNUMBER(SEARCH("556",M1039)))*(O1039*SUMIFS(Premissas!$C$5:$C$44,Premissas!$A$5:$A$44,$A1039,Premissas!$B$5:$B$44,$B1039)+P1039*SUMIFS(Premissas!$D$5:$D$44,Premissas!$A$5:$A$44,$A1039,Premissas!$B$5:$B$44,$B1039))+R1039*SUMIFS(Premissas!$E$5:$E$44,Premissas!$A$5:$A$44,$A1039,Premissas!$B$5:$B$44,$B1039)+S1039*SUMIFS(Premissas!$F$5:$F$44,Premissas!$A$5:$A$44,$A1039,Premissas!$B$5:$B$44,$B1039)</f>
        <v/>
      </c>
      <c r="L1039" s="29">
        <f>J1039-K1039</f>
        <v/>
      </c>
      <c r="M1039" t="inlineStr">
        <is>
          <t>1.350</t>
        </is>
      </c>
      <c r="N1039" t="inlineStr">
        <is>
          <t>Modalidade: 0 - Por conta do remetente | Parte: J. J. BASTOS EMBALAGENS E DESCARTAVEIS LTDA (30.376.127/0001-70)</t>
        </is>
      </c>
      <c r="O1039" s="29" t="n">
        <v>0</v>
      </c>
      <c r="P1039" s="29" t="n">
        <v>0</v>
      </c>
      <c r="Q1039" s="29" t="n">
        <v>0</v>
      </c>
      <c r="R1039" s="29" t="n">
        <v>0</v>
      </c>
      <c r="S1039" s="29" t="n">
        <v>0</v>
      </c>
      <c r="T1039" t="inlineStr">
        <is>
          <t>25241126975620000130570010000033071000000003</t>
        </is>
      </c>
      <c r="U1039" t="inlineStr">
        <is>
          <t>Não</t>
        </is>
      </c>
    </row>
    <row r="1040">
      <c r="A1040" t="inlineStr">
        <is>
          <t>Frete de venda</t>
        </is>
      </c>
      <c r="B1040" t="inlineStr">
        <is>
          <t>1.01.01 Venda de Mercadoria Fabricadas</t>
        </is>
      </c>
      <c r="C1040" t="inlineStr">
        <is>
          <t>Antes de 2026</t>
        </is>
      </c>
      <c r="D1040" t="inlineStr">
        <is>
          <t>Antes de 2026</t>
        </is>
      </c>
      <c r="E1040" s="28" t="n">
        <v>45618</v>
      </c>
      <c r="F1040" t="inlineStr">
        <is>
          <t>CT-e</t>
        </is>
      </c>
      <c r="G1040" t="inlineStr">
        <is>
          <t>000003308</t>
        </is>
      </c>
      <c r="H1040" t="inlineStr">
        <is>
          <t>R&amp;R TRANSPORTE E LOGISTICA</t>
        </is>
      </c>
      <c r="J1040" s="29" t="n">
        <v>44</v>
      </c>
      <c r="K1040" s="29">
        <f>(1-ISNUMBER(SEARCH("556",M1040)))*(O1040*SUMIFS(Premissas!$C$5:$C$44,Premissas!$A$5:$A$44,$A1040,Premissas!$B$5:$B$44,$B1040)+P1040*SUMIFS(Premissas!$D$5:$D$44,Premissas!$A$5:$A$44,$A1040,Premissas!$B$5:$B$44,$B1040))+R1040*SUMIFS(Premissas!$E$5:$E$44,Premissas!$A$5:$A$44,$A1040,Premissas!$B$5:$B$44,$B1040)+S1040*SUMIFS(Premissas!$F$5:$F$44,Premissas!$A$5:$A$44,$A1040,Premissas!$B$5:$B$44,$B1040)</f>
        <v/>
      </c>
      <c r="L1040" s="29">
        <f>J1040-K1040</f>
        <v/>
      </c>
      <c r="M1040" t="inlineStr">
        <is>
          <t>1.350</t>
        </is>
      </c>
      <c r="N1040" t="inlineStr">
        <is>
          <t>Modalidade: 0 - Por conta do remetente | Parte: A N R BARCELOS COMERCIO DE PAPELARIA, BAZAR, ARMARINHO E... (07.144.299/0001-05)</t>
        </is>
      </c>
      <c r="O1040" s="29" t="n">
        <v>0</v>
      </c>
      <c r="P1040" s="29" t="n">
        <v>0</v>
      </c>
      <c r="Q1040" s="29" t="n">
        <v>0</v>
      </c>
      <c r="R1040" s="29" t="n">
        <v>0</v>
      </c>
      <c r="S1040" s="29" t="n">
        <v>0</v>
      </c>
      <c r="T1040" t="inlineStr">
        <is>
          <t>25241126975620000130570010000033081000000000</t>
        </is>
      </c>
      <c r="U1040" t="inlineStr">
        <is>
          <t>Não</t>
        </is>
      </c>
    </row>
    <row r="1041">
      <c r="A1041" t="inlineStr">
        <is>
          <t>Frete de venda</t>
        </is>
      </c>
      <c r="B1041" t="inlineStr">
        <is>
          <t>1.01.01 Venda de Mercadoria Fabricadas</t>
        </is>
      </c>
      <c r="C1041" t="inlineStr">
        <is>
          <t>Antes de 2026</t>
        </is>
      </c>
      <c r="D1041" t="inlineStr">
        <is>
          <t>Antes de 2026</t>
        </is>
      </c>
      <c r="E1041" s="28" t="n">
        <v>45618</v>
      </c>
      <c r="F1041" t="inlineStr">
        <is>
          <t>CT-e</t>
        </is>
      </c>
      <c r="G1041" t="inlineStr">
        <is>
          <t>000003309</t>
        </is>
      </c>
      <c r="H1041" t="inlineStr">
        <is>
          <t>R&amp;R TRANSPORTE E LOGISTICA</t>
        </is>
      </c>
      <c r="J1041" s="29" t="n">
        <v>56</v>
      </c>
      <c r="K1041" s="29">
        <f>(1-ISNUMBER(SEARCH("556",M1041)))*(O1041*SUMIFS(Premissas!$C$5:$C$44,Premissas!$A$5:$A$44,$A1041,Premissas!$B$5:$B$44,$B1041)+P1041*SUMIFS(Premissas!$D$5:$D$44,Premissas!$A$5:$A$44,$A1041,Premissas!$B$5:$B$44,$B1041))+R1041*SUMIFS(Premissas!$E$5:$E$44,Premissas!$A$5:$A$44,$A1041,Premissas!$B$5:$B$44,$B1041)+S1041*SUMIFS(Premissas!$F$5:$F$44,Premissas!$A$5:$A$44,$A1041,Premissas!$B$5:$B$44,$B1041)</f>
        <v/>
      </c>
      <c r="L1041" s="29">
        <f>J1041-K1041</f>
        <v/>
      </c>
      <c r="M1041" t="inlineStr">
        <is>
          <t>1.350</t>
        </is>
      </c>
      <c r="N1041" t="inlineStr">
        <is>
          <t>Modalidade: 0 - Por conta do remetente | Parte: AL MOL COMERCIO DE EMBALAGENS LTDA (29.905.490/0001-57)</t>
        </is>
      </c>
      <c r="O1041" s="29" t="n">
        <v>0</v>
      </c>
      <c r="P1041" s="29" t="n">
        <v>0</v>
      </c>
      <c r="Q1041" s="29" t="n">
        <v>0</v>
      </c>
      <c r="R1041" s="29" t="n">
        <v>0</v>
      </c>
      <c r="S1041" s="29" t="n">
        <v>0</v>
      </c>
      <c r="T1041" t="inlineStr">
        <is>
          <t>25241126975620000130570010000033091000000008</t>
        </is>
      </c>
      <c r="U1041" t="inlineStr">
        <is>
          <t>Não</t>
        </is>
      </c>
    </row>
    <row r="1042">
      <c r="A1042" t="inlineStr">
        <is>
          <t>Frete de venda</t>
        </is>
      </c>
      <c r="B1042" t="inlineStr">
        <is>
          <t>1.01.01 Venda de Mercadoria Fabricadas</t>
        </is>
      </c>
      <c r="C1042" t="inlineStr">
        <is>
          <t>Antes de 2026</t>
        </is>
      </c>
      <c r="D1042" t="inlineStr">
        <is>
          <t>Antes de 2026</t>
        </is>
      </c>
      <c r="E1042" s="28" t="n">
        <v>45619</v>
      </c>
      <c r="F1042" t="inlineStr">
        <is>
          <t>CT-e</t>
        </is>
      </c>
      <c r="G1042" t="inlineStr">
        <is>
          <t>000003310</t>
        </is>
      </c>
      <c r="H1042" t="inlineStr">
        <is>
          <t>R&amp;R TRANSPORTE E LOGISTICA</t>
        </is>
      </c>
      <c r="J1042" s="29" t="n">
        <v>75</v>
      </c>
      <c r="K1042" s="29">
        <f>(1-ISNUMBER(SEARCH("556",M1042)))*(O1042*SUMIFS(Premissas!$C$5:$C$44,Premissas!$A$5:$A$44,$A1042,Premissas!$B$5:$B$44,$B1042)+P1042*SUMIFS(Premissas!$D$5:$D$44,Premissas!$A$5:$A$44,$A1042,Premissas!$B$5:$B$44,$B1042))+R1042*SUMIFS(Premissas!$E$5:$E$44,Premissas!$A$5:$A$44,$A1042,Premissas!$B$5:$B$44,$B1042)+S1042*SUMIFS(Premissas!$F$5:$F$44,Premissas!$A$5:$A$44,$A1042,Premissas!$B$5:$B$44,$B1042)</f>
        <v/>
      </c>
      <c r="L1042" s="29">
        <f>J1042-K1042</f>
        <v/>
      </c>
      <c r="M1042" t="inlineStr">
        <is>
          <t>1.350</t>
        </is>
      </c>
      <c r="N1042" t="inlineStr">
        <is>
          <t>Modalidade: 0 - Por conta do remetente | Parte: NOVA ROCHA DISTRIBUIDORA DE EMBALAGENS LTDA (25.175.820/0001-45)</t>
        </is>
      </c>
      <c r="O1042" s="29" t="n">
        <v>0</v>
      </c>
      <c r="P1042" s="29" t="n">
        <v>0</v>
      </c>
      <c r="Q1042" s="29" t="n">
        <v>0</v>
      </c>
      <c r="R1042" s="29" t="n">
        <v>0</v>
      </c>
      <c r="S1042" s="29" t="n">
        <v>0</v>
      </c>
      <c r="T1042" t="inlineStr">
        <is>
          <t>25241126975620000130570010000033101000000009</t>
        </is>
      </c>
      <c r="U1042" t="inlineStr">
        <is>
          <t>Não</t>
        </is>
      </c>
    </row>
    <row r="1043">
      <c r="A1043" t="inlineStr">
        <is>
          <t>Frete de venda</t>
        </is>
      </c>
      <c r="B1043" t="inlineStr">
        <is>
          <t>1.01.01 Venda de Mercadoria Fabricadas</t>
        </is>
      </c>
      <c r="C1043" t="inlineStr">
        <is>
          <t>Antes de 2026</t>
        </is>
      </c>
      <c r="D1043" t="inlineStr">
        <is>
          <t>Antes de 2026</t>
        </is>
      </c>
      <c r="E1043" s="28" t="n">
        <v>45619</v>
      </c>
      <c r="F1043" t="inlineStr">
        <is>
          <t>CT-e</t>
        </is>
      </c>
      <c r="G1043" t="inlineStr">
        <is>
          <t>000003311</t>
        </is>
      </c>
      <c r="H1043" t="inlineStr">
        <is>
          <t>R&amp;R TRANSPORTE E LOGISTICA</t>
        </is>
      </c>
      <c r="J1043" s="29" t="n">
        <v>90</v>
      </c>
      <c r="K1043" s="29">
        <f>(1-ISNUMBER(SEARCH("556",M1043)))*(O1043*SUMIFS(Premissas!$C$5:$C$44,Premissas!$A$5:$A$44,$A1043,Premissas!$B$5:$B$44,$B1043)+P1043*SUMIFS(Premissas!$D$5:$D$44,Premissas!$A$5:$A$44,$A1043,Premissas!$B$5:$B$44,$B1043))+R1043*SUMIFS(Premissas!$E$5:$E$44,Premissas!$A$5:$A$44,$A1043,Premissas!$B$5:$B$44,$B1043)+S1043*SUMIFS(Premissas!$F$5:$F$44,Premissas!$A$5:$A$44,$A1043,Premissas!$B$5:$B$44,$B1043)</f>
        <v/>
      </c>
      <c r="L1043" s="29">
        <f>J1043-K1043</f>
        <v/>
      </c>
      <c r="M1043" t="inlineStr">
        <is>
          <t>1.350</t>
        </is>
      </c>
      <c r="N1043" t="inlineStr">
        <is>
          <t>Modalidade: 0 - Por conta do remetente | Parte: DISTRIBUIDORA DE EMBALAGENS CASTROPIL LTDA. (08.961.274/0007-44)</t>
        </is>
      </c>
      <c r="O1043" s="29" t="n">
        <v>0</v>
      </c>
      <c r="P1043" s="29" t="n">
        <v>0</v>
      </c>
      <c r="Q1043" s="29" t="n">
        <v>0</v>
      </c>
      <c r="R1043" s="29" t="n">
        <v>0</v>
      </c>
      <c r="S1043" s="29" t="n">
        <v>0</v>
      </c>
      <c r="T1043" t="inlineStr">
        <is>
          <t>25241126975620000130570010000033111000000006</t>
        </is>
      </c>
      <c r="U1043" t="inlineStr">
        <is>
          <t>Não</t>
        </is>
      </c>
    </row>
    <row r="1044">
      <c r="A1044" t="inlineStr">
        <is>
          <t>Frete de venda</t>
        </is>
      </c>
      <c r="B1044" t="inlineStr">
        <is>
          <t>1.01.01 Venda de Mercadoria Fabricadas</t>
        </is>
      </c>
      <c r="C1044" t="inlineStr">
        <is>
          <t>Antes de 2026</t>
        </is>
      </c>
      <c r="D1044" t="inlineStr">
        <is>
          <t>Antes de 2026</t>
        </is>
      </c>
      <c r="E1044" s="28" t="n">
        <v>45619</v>
      </c>
      <c r="F1044" t="inlineStr">
        <is>
          <t>CT-e</t>
        </is>
      </c>
      <c r="G1044" t="inlineStr">
        <is>
          <t>000003312</t>
        </is>
      </c>
      <c r="H1044" t="inlineStr">
        <is>
          <t>R&amp;R TRANSPORTE E LOGISTICA</t>
        </is>
      </c>
      <c r="J1044" s="29" t="n">
        <v>64</v>
      </c>
      <c r="K1044" s="29">
        <f>(1-ISNUMBER(SEARCH("556",M1044)))*(O1044*SUMIFS(Premissas!$C$5:$C$44,Premissas!$A$5:$A$44,$A1044,Premissas!$B$5:$B$44,$B1044)+P1044*SUMIFS(Premissas!$D$5:$D$44,Premissas!$A$5:$A$44,$A1044,Premissas!$B$5:$B$44,$B1044))+R1044*SUMIFS(Premissas!$E$5:$E$44,Premissas!$A$5:$A$44,$A1044,Premissas!$B$5:$B$44,$B1044)+S1044*SUMIFS(Premissas!$F$5:$F$44,Premissas!$A$5:$A$44,$A1044,Premissas!$B$5:$B$44,$B1044)</f>
        <v/>
      </c>
      <c r="L1044" s="29">
        <f>J1044-K1044</f>
        <v/>
      </c>
      <c r="M1044" t="inlineStr">
        <is>
          <t>1.350</t>
        </is>
      </c>
      <c r="N1044" t="inlineStr">
        <is>
          <t>Modalidade: 0 - Por conta do remetente | Parte: IMPERADOR DISTRIBUIDOR DE EMBALAGENS LTDA (10.575.734/0001-52)</t>
        </is>
      </c>
      <c r="O1044" s="29" t="n">
        <v>0</v>
      </c>
      <c r="P1044" s="29" t="n">
        <v>0</v>
      </c>
      <c r="Q1044" s="29" t="n">
        <v>0</v>
      </c>
      <c r="R1044" s="29" t="n">
        <v>0</v>
      </c>
      <c r="S1044" s="29" t="n">
        <v>0</v>
      </c>
      <c r="T1044" t="inlineStr">
        <is>
          <t>25241126975620000130570010000033121000000003</t>
        </is>
      </c>
      <c r="U1044" t="inlineStr">
        <is>
          <t>Não</t>
        </is>
      </c>
    </row>
    <row r="1045">
      <c r="A1045" t="inlineStr">
        <is>
          <t>Frete de venda</t>
        </is>
      </c>
      <c r="B1045" t="inlineStr">
        <is>
          <t>1.01.01 Venda de Mercadoria Fabricadas</t>
        </is>
      </c>
      <c r="C1045" t="inlineStr">
        <is>
          <t>Antes de 2026</t>
        </is>
      </c>
      <c r="D1045" t="inlineStr">
        <is>
          <t>Antes de 2026</t>
        </is>
      </c>
      <c r="E1045" s="28" t="n">
        <v>45622</v>
      </c>
      <c r="F1045" t="inlineStr">
        <is>
          <t>CT-e</t>
        </is>
      </c>
      <c r="G1045" t="inlineStr">
        <is>
          <t>000003314</t>
        </is>
      </c>
      <c r="H1045" t="inlineStr">
        <is>
          <t>R&amp;R TRANSPORTE E LOGISTICA</t>
        </is>
      </c>
      <c r="J1045" s="29" t="n">
        <v>200</v>
      </c>
      <c r="K1045" s="29">
        <f>(1-ISNUMBER(SEARCH("556",M1045)))*(O1045*SUMIFS(Premissas!$C$5:$C$44,Premissas!$A$5:$A$44,$A1045,Premissas!$B$5:$B$44,$B1045)+P1045*SUMIFS(Premissas!$D$5:$D$44,Premissas!$A$5:$A$44,$A1045,Premissas!$B$5:$B$44,$B1045))+R1045*SUMIFS(Premissas!$E$5:$E$44,Premissas!$A$5:$A$44,$A1045,Premissas!$B$5:$B$44,$B1045)+S1045*SUMIFS(Premissas!$F$5:$F$44,Premissas!$A$5:$A$44,$A1045,Premissas!$B$5:$B$44,$B1045)</f>
        <v/>
      </c>
      <c r="L1045" s="29">
        <f>J1045-K1045</f>
        <v/>
      </c>
      <c r="M1045" t="inlineStr">
        <is>
          <t>1.350</t>
        </is>
      </c>
      <c r="N1045" t="inlineStr">
        <is>
          <t>Modalidade: 0 - Por conta do remetente | Parte: LOJAO DOS DESCARTAVEIS LTDA (08.368.983/0001-25)</t>
        </is>
      </c>
      <c r="O1045" s="29" t="n">
        <v>0</v>
      </c>
      <c r="P1045" s="29" t="n">
        <v>0</v>
      </c>
      <c r="Q1045" s="29" t="n">
        <v>0</v>
      </c>
      <c r="R1045" s="29" t="n">
        <v>0</v>
      </c>
      <c r="S1045" s="29" t="n">
        <v>0</v>
      </c>
      <c r="T1045" t="inlineStr">
        <is>
          <t>25241126975620000130570010000033141000000008</t>
        </is>
      </c>
      <c r="U1045" t="inlineStr">
        <is>
          <t>Não</t>
        </is>
      </c>
    </row>
    <row r="1046">
      <c r="A1046" t="inlineStr">
        <is>
          <t>Frete de venda</t>
        </is>
      </c>
      <c r="B1046" t="inlineStr">
        <is>
          <t>1.01.01 Venda de Mercadoria Fabricadas</t>
        </is>
      </c>
      <c r="C1046" t="inlineStr">
        <is>
          <t>Antes de 2026</t>
        </is>
      </c>
      <c r="D1046" t="inlineStr">
        <is>
          <t>Antes de 2026</t>
        </is>
      </c>
      <c r="E1046" s="28" t="n">
        <v>45622</v>
      </c>
      <c r="F1046" t="inlineStr">
        <is>
          <t>CT-e</t>
        </is>
      </c>
      <c r="G1046" t="inlineStr">
        <is>
          <t>000003316</t>
        </is>
      </c>
      <c r="H1046" t="inlineStr">
        <is>
          <t>R&amp;R TRANSPORTE E LOGISTICA</t>
        </is>
      </c>
      <c r="J1046" s="29" t="n">
        <v>87</v>
      </c>
      <c r="K1046" s="29">
        <f>(1-ISNUMBER(SEARCH("556",M1046)))*(O1046*SUMIFS(Premissas!$C$5:$C$44,Premissas!$A$5:$A$44,$A1046,Premissas!$B$5:$B$44,$B1046)+P1046*SUMIFS(Premissas!$D$5:$D$44,Premissas!$A$5:$A$44,$A1046,Premissas!$B$5:$B$44,$B1046))+R1046*SUMIFS(Premissas!$E$5:$E$44,Premissas!$A$5:$A$44,$A1046,Premissas!$B$5:$B$44,$B1046)+S1046*SUMIFS(Premissas!$F$5:$F$44,Premissas!$A$5:$A$44,$A1046,Premissas!$B$5:$B$44,$B1046)</f>
        <v/>
      </c>
      <c r="L1046" s="29">
        <f>J1046-K1046</f>
        <v/>
      </c>
      <c r="M1046" t="inlineStr">
        <is>
          <t>1.350</t>
        </is>
      </c>
      <c r="N1046" t="inlineStr">
        <is>
          <t>Modalidade: 0 - Por conta do remetente | Parte: ADILSON RAMOS DE MOURA LTDA (00.794.258/0001-07)</t>
        </is>
      </c>
      <c r="O1046" s="29" t="n">
        <v>0</v>
      </c>
      <c r="P1046" s="29" t="n">
        <v>0</v>
      </c>
      <c r="Q1046" s="29" t="n">
        <v>0</v>
      </c>
      <c r="R1046" s="29" t="n">
        <v>0</v>
      </c>
      <c r="S1046" s="29" t="n">
        <v>0</v>
      </c>
      <c r="T1046" t="inlineStr">
        <is>
          <t>25241126975620000130570010000033161000000002</t>
        </is>
      </c>
      <c r="U1046" t="inlineStr">
        <is>
          <t>Não</t>
        </is>
      </c>
    </row>
    <row r="1047">
      <c r="A1047" t="inlineStr">
        <is>
          <t>Frete de venda</t>
        </is>
      </c>
      <c r="B1047" t="inlineStr">
        <is>
          <t>1.01.01 Venda de Mercadoria Fabricadas</t>
        </is>
      </c>
      <c r="C1047" t="inlineStr">
        <is>
          <t>Antes de 2026</t>
        </is>
      </c>
      <c r="D1047" t="inlineStr">
        <is>
          <t>Antes de 2026</t>
        </is>
      </c>
      <c r="E1047" s="28" t="n">
        <v>45622</v>
      </c>
      <c r="F1047" t="inlineStr">
        <is>
          <t>CT-e</t>
        </is>
      </c>
      <c r="G1047" t="inlineStr">
        <is>
          <t>000003317</t>
        </is>
      </c>
      <c r="H1047" t="inlineStr">
        <is>
          <t>R&amp;R TRANSPORTE E LOGISTICA</t>
        </is>
      </c>
      <c r="J1047" s="29" t="n">
        <v>96</v>
      </c>
      <c r="K1047" s="29">
        <f>(1-ISNUMBER(SEARCH("556",M1047)))*(O1047*SUMIFS(Premissas!$C$5:$C$44,Premissas!$A$5:$A$44,$A1047,Premissas!$B$5:$B$44,$B1047)+P1047*SUMIFS(Premissas!$D$5:$D$44,Premissas!$A$5:$A$44,$A1047,Premissas!$B$5:$B$44,$B1047))+R1047*SUMIFS(Premissas!$E$5:$E$44,Premissas!$A$5:$A$44,$A1047,Premissas!$B$5:$B$44,$B1047)+S1047*SUMIFS(Premissas!$F$5:$F$44,Premissas!$A$5:$A$44,$A1047,Premissas!$B$5:$B$44,$B1047)</f>
        <v/>
      </c>
      <c r="L1047" s="29">
        <f>J1047-K1047</f>
        <v/>
      </c>
      <c r="M1047" t="inlineStr">
        <is>
          <t>1.350</t>
        </is>
      </c>
      <c r="N1047" t="inlineStr">
        <is>
          <t>Modalidade: 0 - Por conta do remetente | Parte: ATACAREJO GALEGO LATICINIOS COMERCIO DE ALIMENTOS LTDA (31.163.107/0001-84)</t>
        </is>
      </c>
      <c r="O1047" s="29" t="n">
        <v>0</v>
      </c>
      <c r="P1047" s="29" t="n">
        <v>0</v>
      </c>
      <c r="Q1047" s="29" t="n">
        <v>0</v>
      </c>
      <c r="R1047" s="29" t="n">
        <v>0</v>
      </c>
      <c r="S1047" s="29" t="n">
        <v>0</v>
      </c>
      <c r="T1047" t="inlineStr">
        <is>
          <t>25241126975620000130570010000033171000000000</t>
        </is>
      </c>
      <c r="U1047" t="inlineStr">
        <is>
          <t>Não</t>
        </is>
      </c>
    </row>
    <row r="1048">
      <c r="A1048" t="inlineStr">
        <is>
          <t>Frete de venda</t>
        </is>
      </c>
      <c r="B1048" t="inlineStr">
        <is>
          <t>1.01.01 Venda de Mercadoria Fabricadas</t>
        </is>
      </c>
      <c r="C1048" t="inlineStr">
        <is>
          <t>Antes de 2026</t>
        </is>
      </c>
      <c r="D1048" t="inlineStr">
        <is>
          <t>Antes de 2026</t>
        </is>
      </c>
      <c r="E1048" s="28" t="n">
        <v>45622</v>
      </c>
      <c r="F1048" t="inlineStr">
        <is>
          <t>CT-e</t>
        </is>
      </c>
      <c r="G1048" t="inlineStr">
        <is>
          <t>000003318</t>
        </is>
      </c>
      <c r="H1048" t="inlineStr">
        <is>
          <t>R&amp;R TRANSPORTE E LOGISTICA</t>
        </is>
      </c>
      <c r="J1048" s="29" t="n">
        <v>200</v>
      </c>
      <c r="K1048" s="29">
        <f>(1-ISNUMBER(SEARCH("556",M1048)))*(O1048*SUMIFS(Premissas!$C$5:$C$44,Premissas!$A$5:$A$44,$A1048,Premissas!$B$5:$B$44,$B1048)+P1048*SUMIFS(Premissas!$D$5:$D$44,Premissas!$A$5:$A$44,$A1048,Premissas!$B$5:$B$44,$B1048))+R1048*SUMIFS(Premissas!$E$5:$E$44,Premissas!$A$5:$A$44,$A1048,Premissas!$B$5:$B$44,$B1048)+S1048*SUMIFS(Premissas!$F$5:$F$44,Premissas!$A$5:$A$44,$A1048,Premissas!$B$5:$B$44,$B1048)</f>
        <v/>
      </c>
      <c r="L1048" s="29">
        <f>J1048-K1048</f>
        <v/>
      </c>
      <c r="M1048" t="inlineStr">
        <is>
          <t>1.350</t>
        </is>
      </c>
      <c r="N1048" t="inlineStr">
        <is>
          <t>Modalidade: 0 - Por conta do remetente | Parte: MACROPAC PROTECAO E EMBALAGEM LTDA (11.840.014/0001-30)</t>
        </is>
      </c>
      <c r="O1048" s="29" t="n">
        <v>0</v>
      </c>
      <c r="P1048" s="29" t="n">
        <v>0</v>
      </c>
      <c r="Q1048" s="29" t="n">
        <v>0</v>
      </c>
      <c r="R1048" s="29" t="n">
        <v>0</v>
      </c>
      <c r="S1048" s="29" t="n">
        <v>0</v>
      </c>
      <c r="T1048" t="inlineStr">
        <is>
          <t>25241126975620000130570010000033181000000007</t>
        </is>
      </c>
      <c r="U1048" t="inlineStr">
        <is>
          <t>Não</t>
        </is>
      </c>
    </row>
    <row r="1049">
      <c r="A1049" t="inlineStr">
        <is>
          <t>Frete de venda</t>
        </is>
      </c>
      <c r="B1049" t="inlineStr">
        <is>
          <t>1.01.01 Venda de Mercadoria Fabricadas</t>
        </is>
      </c>
      <c r="C1049" t="inlineStr">
        <is>
          <t>Antes de 2026</t>
        </is>
      </c>
      <c r="D1049" t="inlineStr">
        <is>
          <t>Antes de 2026</t>
        </is>
      </c>
      <c r="E1049" s="28" t="n">
        <v>45623</v>
      </c>
      <c r="F1049" t="inlineStr">
        <is>
          <t>CT-e</t>
        </is>
      </c>
      <c r="G1049" t="inlineStr">
        <is>
          <t>000003322</t>
        </is>
      </c>
      <c r="H1049" t="inlineStr">
        <is>
          <t>R&amp;R TRANSPORTE E LOGISTICA</t>
        </is>
      </c>
      <c r="J1049" s="29" t="n">
        <v>82</v>
      </c>
      <c r="K1049" s="29">
        <f>(1-ISNUMBER(SEARCH("556",M1049)))*(O1049*SUMIFS(Premissas!$C$5:$C$44,Premissas!$A$5:$A$44,$A1049,Premissas!$B$5:$B$44,$B1049)+P1049*SUMIFS(Premissas!$D$5:$D$44,Premissas!$A$5:$A$44,$A1049,Premissas!$B$5:$B$44,$B1049))+R1049*SUMIFS(Premissas!$E$5:$E$44,Premissas!$A$5:$A$44,$A1049,Premissas!$B$5:$B$44,$B1049)+S1049*SUMIFS(Premissas!$F$5:$F$44,Premissas!$A$5:$A$44,$A1049,Premissas!$B$5:$B$44,$B1049)</f>
        <v/>
      </c>
      <c r="L1049" s="29">
        <f>J1049-K1049</f>
        <v/>
      </c>
      <c r="M1049" t="inlineStr">
        <is>
          <t>1.350</t>
        </is>
      </c>
      <c r="N1049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049" s="29" t="n">
        <v>0</v>
      </c>
      <c r="P1049" s="29" t="n">
        <v>0</v>
      </c>
      <c r="Q1049" s="29" t="n">
        <v>0</v>
      </c>
      <c r="R1049" s="29" t="n">
        <v>0</v>
      </c>
      <c r="S1049" s="29" t="n">
        <v>0</v>
      </c>
      <c r="T1049" t="inlineStr">
        <is>
          <t>25241126975620000130570010000033221000000000</t>
        </is>
      </c>
      <c r="U1049" t="inlineStr">
        <is>
          <t>Não</t>
        </is>
      </c>
    </row>
    <row r="1050">
      <c r="A1050" t="inlineStr">
        <is>
          <t>Frete de venda</t>
        </is>
      </c>
      <c r="B1050" t="inlineStr">
        <is>
          <t>1.01.01 Venda de Mercadoria Fabricadas</t>
        </is>
      </c>
      <c r="C1050" t="inlineStr">
        <is>
          <t>Antes de 2026</t>
        </is>
      </c>
      <c r="D1050" t="inlineStr">
        <is>
          <t>Antes de 2026</t>
        </is>
      </c>
      <c r="E1050" s="28" t="n">
        <v>45623</v>
      </c>
      <c r="F1050" t="inlineStr">
        <is>
          <t>CT-e</t>
        </is>
      </c>
      <c r="G1050" t="inlineStr">
        <is>
          <t>000003323</t>
        </is>
      </c>
      <c r="H1050" t="inlineStr">
        <is>
          <t>R&amp;R TRANSPORTE E LOGISTICA</t>
        </is>
      </c>
      <c r="J1050" s="29" t="n">
        <v>80</v>
      </c>
      <c r="K1050" s="29">
        <f>(1-ISNUMBER(SEARCH("556",M1050)))*(O1050*SUMIFS(Premissas!$C$5:$C$44,Premissas!$A$5:$A$44,$A1050,Premissas!$B$5:$B$44,$B1050)+P1050*SUMIFS(Premissas!$D$5:$D$44,Premissas!$A$5:$A$44,$A1050,Premissas!$B$5:$B$44,$B1050))+R1050*SUMIFS(Premissas!$E$5:$E$44,Premissas!$A$5:$A$44,$A1050,Premissas!$B$5:$B$44,$B1050)+S1050*SUMIFS(Premissas!$F$5:$F$44,Premissas!$A$5:$A$44,$A1050,Premissas!$B$5:$B$44,$B1050)</f>
        <v/>
      </c>
      <c r="L1050" s="29">
        <f>J1050-K1050</f>
        <v/>
      </c>
      <c r="M1050" t="inlineStr">
        <is>
          <t>1.350</t>
        </is>
      </c>
      <c r="N1050" t="inlineStr">
        <is>
          <t>Modalidade: 0 - Por conta do remetente | Parte: VINCO DISTRIBUIDORA DE EMBALAGENS LTDA (55.333.385/0001-09)</t>
        </is>
      </c>
      <c r="O1050" s="29" t="n">
        <v>0</v>
      </c>
      <c r="P1050" s="29" t="n">
        <v>0</v>
      </c>
      <c r="Q1050" s="29" t="n">
        <v>0</v>
      </c>
      <c r="R1050" s="29" t="n">
        <v>0</v>
      </c>
      <c r="S1050" s="29" t="n">
        <v>0</v>
      </c>
      <c r="T1050" t="inlineStr">
        <is>
          <t>25241126975620000130570010000033231000000007</t>
        </is>
      </c>
      <c r="U1050" t="inlineStr">
        <is>
          <t>Não</t>
        </is>
      </c>
    </row>
    <row r="1051">
      <c r="A1051" t="inlineStr">
        <is>
          <t>Frete de venda</t>
        </is>
      </c>
      <c r="B1051" t="inlineStr">
        <is>
          <t>1.01.01 Venda de Mercadoria Fabricadas</t>
        </is>
      </c>
      <c r="C1051" t="inlineStr">
        <is>
          <t>Antes de 2026</t>
        </is>
      </c>
      <c r="D1051" t="inlineStr">
        <is>
          <t>Antes de 2026</t>
        </is>
      </c>
      <c r="E1051" s="28" t="n">
        <v>45625</v>
      </c>
      <c r="F1051" t="inlineStr">
        <is>
          <t>CT-e</t>
        </is>
      </c>
      <c r="G1051" t="inlineStr">
        <is>
          <t>000003325</t>
        </is>
      </c>
      <c r="H1051" t="inlineStr">
        <is>
          <t>R&amp;R TRANSPORTE E LOGISTICA</t>
        </is>
      </c>
      <c r="J1051" s="29" t="n">
        <v>31</v>
      </c>
      <c r="K1051" s="29">
        <f>(1-ISNUMBER(SEARCH("556",M1051)))*(O1051*SUMIFS(Premissas!$C$5:$C$44,Premissas!$A$5:$A$44,$A1051,Premissas!$B$5:$B$44,$B1051)+P1051*SUMIFS(Premissas!$D$5:$D$44,Premissas!$A$5:$A$44,$A1051,Premissas!$B$5:$B$44,$B1051))+R1051*SUMIFS(Premissas!$E$5:$E$44,Premissas!$A$5:$A$44,$A1051,Premissas!$B$5:$B$44,$B1051)+S1051*SUMIFS(Premissas!$F$5:$F$44,Premissas!$A$5:$A$44,$A1051,Premissas!$B$5:$B$44,$B1051)</f>
        <v/>
      </c>
      <c r="L1051" s="29">
        <f>J1051-K1051</f>
        <v/>
      </c>
      <c r="M1051" t="inlineStr">
        <is>
          <t>1.350</t>
        </is>
      </c>
      <c r="N1051" t="inlineStr">
        <is>
          <t>Modalidade: 0 - Por conta do remetente | Parte: EMBALE LIMPE EMBALAGENS, LIMPEZA E MERCEARIA LTDA (32.702.785/0001-30)</t>
        </is>
      </c>
      <c r="O1051" s="29" t="n">
        <v>0</v>
      </c>
      <c r="P1051" s="29" t="n">
        <v>0</v>
      </c>
      <c r="Q1051" s="29" t="n">
        <v>0</v>
      </c>
      <c r="R1051" s="29" t="n">
        <v>0</v>
      </c>
      <c r="S1051" s="29" t="n">
        <v>0</v>
      </c>
      <c r="T1051" t="inlineStr">
        <is>
          <t>25241126975620000130570010000033251000000001</t>
        </is>
      </c>
      <c r="U1051" t="inlineStr">
        <is>
          <t>Não</t>
        </is>
      </c>
    </row>
    <row r="1052">
      <c r="A1052" t="inlineStr">
        <is>
          <t>Frete de venda</t>
        </is>
      </c>
      <c r="B1052" t="inlineStr">
        <is>
          <t>1.01.01 Venda de Mercadoria Fabricadas</t>
        </is>
      </c>
      <c r="C1052" t="inlineStr">
        <is>
          <t>Antes de 2026</t>
        </is>
      </c>
      <c r="D1052" t="inlineStr">
        <is>
          <t>Antes de 2026</t>
        </is>
      </c>
      <c r="E1052" s="28" t="n">
        <v>45625</v>
      </c>
      <c r="F1052" t="inlineStr">
        <is>
          <t>CT-e</t>
        </is>
      </c>
      <c r="G1052" t="inlineStr">
        <is>
          <t>000003326</t>
        </is>
      </c>
      <c r="H1052" t="inlineStr">
        <is>
          <t>R&amp;R TRANSPORTE E LOGISTICA</t>
        </is>
      </c>
      <c r="J1052" s="29" t="n">
        <v>28</v>
      </c>
      <c r="K1052" s="29">
        <f>(1-ISNUMBER(SEARCH("556",M1052)))*(O1052*SUMIFS(Premissas!$C$5:$C$44,Premissas!$A$5:$A$44,$A1052,Premissas!$B$5:$B$44,$B1052)+P1052*SUMIFS(Premissas!$D$5:$D$44,Premissas!$A$5:$A$44,$A1052,Premissas!$B$5:$B$44,$B1052))+R1052*SUMIFS(Premissas!$E$5:$E$44,Premissas!$A$5:$A$44,$A1052,Premissas!$B$5:$B$44,$B1052)+S1052*SUMIFS(Premissas!$F$5:$F$44,Premissas!$A$5:$A$44,$A1052,Premissas!$B$5:$B$44,$B1052)</f>
        <v/>
      </c>
      <c r="L1052" s="29">
        <f>J1052-K1052</f>
        <v/>
      </c>
      <c r="M1052" t="inlineStr">
        <is>
          <t>1.350</t>
        </is>
      </c>
      <c r="N1052" t="inlineStr">
        <is>
          <t>Modalidade: 0 - Por conta do remetente | Parte: EMBALE LIMPE EMBALAGENS LIMPEZA E MERCEARIA LTDA (32.702.785/0002-11)</t>
        </is>
      </c>
      <c r="O1052" s="29" t="n">
        <v>0</v>
      </c>
      <c r="P1052" s="29" t="n">
        <v>0</v>
      </c>
      <c r="Q1052" s="29" t="n">
        <v>0</v>
      </c>
      <c r="R1052" s="29" t="n">
        <v>0</v>
      </c>
      <c r="S1052" s="29" t="n">
        <v>0</v>
      </c>
      <c r="T1052" t="inlineStr">
        <is>
          <t>25241126975620000130570010000033261000000009</t>
        </is>
      </c>
      <c r="U1052" t="inlineStr">
        <is>
          <t>Não</t>
        </is>
      </c>
    </row>
    <row r="1053">
      <c r="A1053" t="inlineStr">
        <is>
          <t>Frete de venda</t>
        </is>
      </c>
      <c r="B1053" t="inlineStr">
        <is>
          <t>1.01.01 Venda de Mercadoria Fabricadas</t>
        </is>
      </c>
      <c r="C1053" t="inlineStr">
        <is>
          <t>Antes de 2026</t>
        </is>
      </c>
      <c r="D1053" t="inlineStr">
        <is>
          <t>Antes de 2026</t>
        </is>
      </c>
      <c r="E1053" s="28" t="n">
        <v>45625</v>
      </c>
      <c r="F1053" t="inlineStr">
        <is>
          <t>CT-e</t>
        </is>
      </c>
      <c r="G1053" t="inlineStr">
        <is>
          <t>000003327</t>
        </is>
      </c>
      <c r="H1053" t="inlineStr">
        <is>
          <t>R&amp;R TRANSPORTE E LOGISTICA</t>
        </is>
      </c>
      <c r="J1053" s="29" t="n">
        <v>83</v>
      </c>
      <c r="K1053" s="29">
        <f>(1-ISNUMBER(SEARCH("556",M1053)))*(O1053*SUMIFS(Premissas!$C$5:$C$44,Premissas!$A$5:$A$44,$A1053,Premissas!$B$5:$B$44,$B1053)+P1053*SUMIFS(Premissas!$D$5:$D$44,Premissas!$A$5:$A$44,$A1053,Premissas!$B$5:$B$44,$B1053))+R1053*SUMIFS(Premissas!$E$5:$E$44,Premissas!$A$5:$A$44,$A1053,Premissas!$B$5:$B$44,$B1053)+S1053*SUMIFS(Premissas!$F$5:$F$44,Premissas!$A$5:$A$44,$A1053,Premissas!$B$5:$B$44,$B1053)</f>
        <v/>
      </c>
      <c r="L1053" s="29">
        <f>J1053-K1053</f>
        <v/>
      </c>
      <c r="M1053" t="inlineStr">
        <is>
          <t>1.350</t>
        </is>
      </c>
      <c r="N1053" t="inlineStr">
        <is>
          <t>Modalidade: 0 - Por conta do remetente | Parte: EMBALE DISTRIBUIDORA LTDA (33.193.258/0001-00)</t>
        </is>
      </c>
      <c r="O1053" s="29" t="n">
        <v>0</v>
      </c>
      <c r="P1053" s="29" t="n">
        <v>0</v>
      </c>
      <c r="Q1053" s="29" t="n">
        <v>0</v>
      </c>
      <c r="R1053" s="29" t="n">
        <v>0</v>
      </c>
      <c r="S1053" s="29" t="n">
        <v>0</v>
      </c>
      <c r="T1053" t="inlineStr">
        <is>
          <t>25241126975620000130570010000033271000000006</t>
        </is>
      </c>
      <c r="U1053" t="inlineStr">
        <is>
          <t>Não</t>
        </is>
      </c>
    </row>
    <row r="1054">
      <c r="A1054" t="inlineStr">
        <is>
          <t>Frete de venda</t>
        </is>
      </c>
      <c r="B1054" t="inlineStr">
        <is>
          <t>1.01.01 Venda de Mercadoria Fabricadas</t>
        </is>
      </c>
      <c r="C1054" t="inlineStr">
        <is>
          <t>Antes de 2026</t>
        </is>
      </c>
      <c r="D1054" t="inlineStr">
        <is>
          <t>Antes de 2026</t>
        </is>
      </c>
      <c r="E1054" s="28" t="n">
        <v>45625</v>
      </c>
      <c r="F1054" t="inlineStr">
        <is>
          <t>CT-e</t>
        </is>
      </c>
      <c r="G1054" t="inlineStr">
        <is>
          <t>000003328</t>
        </is>
      </c>
      <c r="H1054" t="inlineStr">
        <is>
          <t>R&amp;R TRANSPORTE E LOGISTICA</t>
        </is>
      </c>
      <c r="J1054" s="29" t="n">
        <v>76</v>
      </c>
      <c r="K1054" s="29">
        <f>(1-ISNUMBER(SEARCH("556",M1054)))*(O1054*SUMIFS(Premissas!$C$5:$C$44,Premissas!$A$5:$A$44,$A1054,Premissas!$B$5:$B$44,$B1054)+P1054*SUMIFS(Premissas!$D$5:$D$44,Premissas!$A$5:$A$44,$A1054,Premissas!$B$5:$B$44,$B1054))+R1054*SUMIFS(Premissas!$E$5:$E$44,Premissas!$A$5:$A$44,$A1054,Premissas!$B$5:$B$44,$B1054)+S1054*SUMIFS(Premissas!$F$5:$F$44,Premissas!$A$5:$A$44,$A1054,Premissas!$B$5:$B$44,$B1054)</f>
        <v/>
      </c>
      <c r="L1054" s="29">
        <f>J1054-K1054</f>
        <v/>
      </c>
      <c r="M1054" t="inlineStr">
        <is>
          <t>1.350</t>
        </is>
      </c>
      <c r="N1054" t="inlineStr">
        <is>
          <t>Modalidade: 0 - Por conta do remetente | Parte: CASA PACK DISTRIBUICAO DE EMBALAGENS LTDA (43.564.720/0001-92)</t>
        </is>
      </c>
      <c r="O1054" s="29" t="n">
        <v>0</v>
      </c>
      <c r="P1054" s="29" t="n">
        <v>0</v>
      </c>
      <c r="Q1054" s="29" t="n">
        <v>0</v>
      </c>
      <c r="R1054" s="29" t="n">
        <v>0</v>
      </c>
      <c r="S1054" s="29" t="n">
        <v>0</v>
      </c>
      <c r="T1054" t="inlineStr">
        <is>
          <t>25241126975620000130570010000033281000000003</t>
        </is>
      </c>
      <c r="U1054" t="inlineStr">
        <is>
          <t>Não</t>
        </is>
      </c>
    </row>
    <row r="1055">
      <c r="A1055" t="inlineStr">
        <is>
          <t>Frete de venda</t>
        </is>
      </c>
      <c r="B1055" t="inlineStr">
        <is>
          <t>1.01.01 Venda de Mercadoria Fabricadas</t>
        </is>
      </c>
      <c r="C1055" t="inlineStr">
        <is>
          <t>Antes de 2026</t>
        </is>
      </c>
      <c r="D1055" t="inlineStr">
        <is>
          <t>Antes de 2026</t>
        </is>
      </c>
      <c r="E1055" s="28" t="n">
        <v>45625</v>
      </c>
      <c r="F1055" t="inlineStr">
        <is>
          <t>CT-e</t>
        </is>
      </c>
      <c r="G1055" t="inlineStr">
        <is>
          <t>000003329</t>
        </is>
      </c>
      <c r="H1055" t="inlineStr">
        <is>
          <t>R&amp;R TRANSPORTE E LOGISTICA</t>
        </is>
      </c>
      <c r="J1055" s="29" t="n">
        <v>71</v>
      </c>
      <c r="K1055" s="29">
        <f>(1-ISNUMBER(SEARCH("556",M1055)))*(O1055*SUMIFS(Premissas!$C$5:$C$44,Premissas!$A$5:$A$44,$A1055,Premissas!$B$5:$B$44,$B1055)+P1055*SUMIFS(Premissas!$D$5:$D$44,Premissas!$A$5:$A$44,$A1055,Premissas!$B$5:$B$44,$B1055))+R1055*SUMIFS(Premissas!$E$5:$E$44,Premissas!$A$5:$A$44,$A1055,Premissas!$B$5:$B$44,$B1055)+S1055*SUMIFS(Premissas!$F$5:$F$44,Premissas!$A$5:$A$44,$A1055,Premissas!$B$5:$B$44,$B1055)</f>
        <v/>
      </c>
      <c r="L1055" s="29">
        <f>J1055-K1055</f>
        <v/>
      </c>
      <c r="M1055" t="inlineStr">
        <is>
          <t>1.350</t>
        </is>
      </c>
      <c r="N1055" t="inlineStr">
        <is>
          <t>Modalidade: 0 - Por conta do remetente | Parte: SAM EMBALAGENS ATACADO E VAREJO LTDA (48.944.969/0001-47)</t>
        </is>
      </c>
      <c r="O1055" s="29" t="n">
        <v>0</v>
      </c>
      <c r="P1055" s="29" t="n">
        <v>0</v>
      </c>
      <c r="Q1055" s="29" t="n">
        <v>0</v>
      </c>
      <c r="R1055" s="29" t="n">
        <v>0</v>
      </c>
      <c r="S1055" s="29" t="n">
        <v>0</v>
      </c>
      <c r="T1055" t="inlineStr">
        <is>
          <t>25241126975620000130570010000033291000000000</t>
        </is>
      </c>
      <c r="U1055" t="inlineStr">
        <is>
          <t>Não</t>
        </is>
      </c>
    </row>
    <row r="1056">
      <c r="A1056" t="inlineStr">
        <is>
          <t>Frete de venda</t>
        </is>
      </c>
      <c r="B1056" t="inlineStr">
        <is>
          <t>1.01.01 Venda de Mercadoria Fabricadas</t>
        </is>
      </c>
      <c r="C1056" t="inlineStr">
        <is>
          <t>Antes de 2026</t>
        </is>
      </c>
      <c r="D1056" t="inlineStr">
        <is>
          <t>Antes de 2026</t>
        </is>
      </c>
      <c r="E1056" s="28" t="n">
        <v>45625</v>
      </c>
      <c r="F1056" t="inlineStr">
        <is>
          <t>CT-e</t>
        </is>
      </c>
      <c r="G1056" t="inlineStr">
        <is>
          <t>000003330</t>
        </is>
      </c>
      <c r="H1056" t="inlineStr">
        <is>
          <t>R&amp;R TRANSPORTE E LOGISTICA</t>
        </is>
      </c>
      <c r="J1056" s="29" t="n">
        <v>109</v>
      </c>
      <c r="K1056" s="29">
        <f>(1-ISNUMBER(SEARCH("556",M1056)))*(O1056*SUMIFS(Premissas!$C$5:$C$44,Premissas!$A$5:$A$44,$A1056,Premissas!$B$5:$B$44,$B1056)+P1056*SUMIFS(Premissas!$D$5:$D$44,Premissas!$A$5:$A$44,$A1056,Premissas!$B$5:$B$44,$B1056))+R1056*SUMIFS(Premissas!$E$5:$E$44,Premissas!$A$5:$A$44,$A1056,Premissas!$B$5:$B$44,$B1056)+S1056*SUMIFS(Premissas!$F$5:$F$44,Premissas!$A$5:$A$44,$A1056,Premissas!$B$5:$B$44,$B1056)</f>
        <v/>
      </c>
      <c r="L1056" s="29">
        <f>J1056-K1056</f>
        <v/>
      </c>
      <c r="M1056" t="inlineStr">
        <is>
          <t>1.350</t>
        </is>
      </c>
      <c r="N1056" t="inlineStr">
        <is>
          <t>Modalidade: 0 - Por conta do remetente | Parte: SILVA DISTRIBUIDORA DE EMBALAGENS LTDA (31.362.906/0001-80)</t>
        </is>
      </c>
      <c r="O1056" s="29" t="n">
        <v>0</v>
      </c>
      <c r="P1056" s="29" t="n">
        <v>0</v>
      </c>
      <c r="Q1056" s="29" t="n">
        <v>0</v>
      </c>
      <c r="R1056" s="29" t="n">
        <v>0</v>
      </c>
      <c r="S1056" s="29" t="n">
        <v>0</v>
      </c>
      <c r="T1056" t="inlineStr">
        <is>
          <t>25241126975620000130570010000033301000000001</t>
        </is>
      </c>
      <c r="U1056" t="inlineStr">
        <is>
          <t>Não</t>
        </is>
      </c>
    </row>
    <row r="1057">
      <c r="A1057" t="inlineStr">
        <is>
          <t>Frete de venda</t>
        </is>
      </c>
      <c r="B1057" t="inlineStr">
        <is>
          <t>1.01.01 Venda de Mercadoria Fabricadas</t>
        </is>
      </c>
      <c r="C1057" t="inlineStr">
        <is>
          <t>Antes de 2026</t>
        </is>
      </c>
      <c r="D1057" t="inlineStr">
        <is>
          <t>Antes de 2026</t>
        </is>
      </c>
      <c r="E1057" s="28" t="n">
        <v>45625</v>
      </c>
      <c r="F1057" t="inlineStr">
        <is>
          <t>CT-e</t>
        </is>
      </c>
      <c r="G1057" t="inlineStr">
        <is>
          <t>000003339</t>
        </is>
      </c>
      <c r="H1057" t="inlineStr">
        <is>
          <t>R&amp;R TRANSPORTE E LOGISTICA</t>
        </is>
      </c>
      <c r="J1057" s="29" t="n">
        <v>200</v>
      </c>
      <c r="K1057" s="29">
        <f>(1-ISNUMBER(SEARCH("556",M1057)))*(O1057*SUMIFS(Premissas!$C$5:$C$44,Premissas!$A$5:$A$44,$A1057,Premissas!$B$5:$B$44,$B1057)+P1057*SUMIFS(Premissas!$D$5:$D$44,Premissas!$A$5:$A$44,$A1057,Premissas!$B$5:$B$44,$B1057))+R1057*SUMIFS(Premissas!$E$5:$E$44,Premissas!$A$5:$A$44,$A1057,Premissas!$B$5:$B$44,$B1057)+S1057*SUMIFS(Premissas!$F$5:$F$44,Premissas!$A$5:$A$44,$A1057,Premissas!$B$5:$B$44,$B1057)</f>
        <v/>
      </c>
      <c r="L1057" s="29">
        <f>J1057-K1057</f>
        <v/>
      </c>
      <c r="M1057" t="inlineStr">
        <is>
          <t>1.350</t>
        </is>
      </c>
      <c r="N1057" t="inlineStr">
        <is>
          <t>Modalidade: 0 - Por conta do remetente | Parte: CLAUDECI RAMOS DE OLIVEIRA (13.723.208/0001-80)</t>
        </is>
      </c>
      <c r="O1057" s="29" t="n">
        <v>0</v>
      </c>
      <c r="P1057" s="29" t="n">
        <v>0</v>
      </c>
      <c r="Q1057" s="29" t="n">
        <v>0</v>
      </c>
      <c r="R1057" s="29" t="n">
        <v>0</v>
      </c>
      <c r="S1057" s="29" t="n">
        <v>0</v>
      </c>
      <c r="T1057" t="inlineStr">
        <is>
          <t>25241126975620000130570010000033391000000007</t>
        </is>
      </c>
      <c r="U1057" t="inlineStr">
        <is>
          <t>Não</t>
        </is>
      </c>
    </row>
    <row r="1058">
      <c r="A1058" t="inlineStr">
        <is>
          <t>Frete de venda</t>
        </is>
      </c>
      <c r="B1058" t="inlineStr">
        <is>
          <t>1.01.01 Venda de Mercadoria Fabricadas</t>
        </is>
      </c>
      <c r="C1058" t="inlineStr">
        <is>
          <t>Antes de 2026</t>
        </is>
      </c>
      <c r="D1058" t="inlineStr">
        <is>
          <t>Antes de 2026</t>
        </is>
      </c>
      <c r="E1058" s="28" t="n">
        <v>45625</v>
      </c>
      <c r="F1058" t="inlineStr">
        <is>
          <t>CT-e</t>
        </is>
      </c>
      <c r="G1058" t="inlineStr">
        <is>
          <t>000003340</t>
        </is>
      </c>
      <c r="H1058" t="inlineStr">
        <is>
          <t>R&amp;R TRANSPORTE E LOGISTICA</t>
        </is>
      </c>
      <c r="J1058" s="29" t="n">
        <v>200</v>
      </c>
      <c r="K1058" s="29">
        <f>(1-ISNUMBER(SEARCH("556",M1058)))*(O1058*SUMIFS(Premissas!$C$5:$C$44,Premissas!$A$5:$A$44,$A1058,Premissas!$B$5:$B$44,$B1058)+P1058*SUMIFS(Premissas!$D$5:$D$44,Premissas!$A$5:$A$44,$A1058,Premissas!$B$5:$B$44,$B1058))+R1058*SUMIFS(Premissas!$E$5:$E$44,Premissas!$A$5:$A$44,$A1058,Premissas!$B$5:$B$44,$B1058)+S1058*SUMIFS(Premissas!$F$5:$F$44,Premissas!$A$5:$A$44,$A1058,Premissas!$B$5:$B$44,$B1058)</f>
        <v/>
      </c>
      <c r="L1058" s="29">
        <f>J1058-K1058</f>
        <v/>
      </c>
      <c r="M1058" t="inlineStr">
        <is>
          <t>1.350</t>
        </is>
      </c>
      <c r="N1058" t="inlineStr">
        <is>
          <t>Modalidade: 0 - Por conta do remetente | Parte: GALPLAST EMBALAGENS LTDA (24.273.591/0001-39)</t>
        </is>
      </c>
      <c r="O1058" s="29" t="n">
        <v>0</v>
      </c>
      <c r="P1058" s="29" t="n">
        <v>0</v>
      </c>
      <c r="Q1058" s="29" t="n">
        <v>0</v>
      </c>
      <c r="R1058" s="29" t="n">
        <v>0</v>
      </c>
      <c r="S1058" s="29" t="n">
        <v>0</v>
      </c>
      <c r="T1058" t="inlineStr">
        <is>
          <t>25241126975620000130570010000033401000000008</t>
        </is>
      </c>
      <c r="U1058" t="inlineStr">
        <is>
          <t>Não</t>
        </is>
      </c>
    </row>
    <row r="1059">
      <c r="A1059" t="inlineStr">
        <is>
          <t>Frete de venda</t>
        </is>
      </c>
      <c r="B1059" t="inlineStr">
        <is>
          <t>1.01.01 Venda de Mercadoria Fabricadas</t>
        </is>
      </c>
      <c r="C1059" t="inlineStr">
        <is>
          <t>Antes de 2026</t>
        </is>
      </c>
      <c r="D1059" t="inlineStr">
        <is>
          <t>Antes de 2026</t>
        </is>
      </c>
      <c r="E1059" s="28" t="n">
        <v>45626</v>
      </c>
      <c r="F1059" t="inlineStr">
        <is>
          <t>CT-e</t>
        </is>
      </c>
      <c r="G1059" t="inlineStr">
        <is>
          <t>000003342</t>
        </is>
      </c>
      <c r="H1059" t="inlineStr">
        <is>
          <t>R&amp;R TRANSPORTE E LOGISTICA</t>
        </is>
      </c>
      <c r="J1059" s="29" t="n">
        <v>385</v>
      </c>
      <c r="K1059" s="29">
        <f>(1-ISNUMBER(SEARCH("556",M1059)))*(O1059*SUMIFS(Premissas!$C$5:$C$44,Premissas!$A$5:$A$44,$A1059,Premissas!$B$5:$B$44,$B1059)+P1059*SUMIFS(Premissas!$D$5:$D$44,Premissas!$A$5:$A$44,$A1059,Premissas!$B$5:$B$44,$B1059))+R1059*SUMIFS(Premissas!$E$5:$E$44,Premissas!$A$5:$A$44,$A1059,Premissas!$B$5:$B$44,$B1059)+S1059*SUMIFS(Premissas!$F$5:$F$44,Premissas!$A$5:$A$44,$A1059,Premissas!$B$5:$B$44,$B1059)</f>
        <v/>
      </c>
      <c r="L1059" s="29">
        <f>J1059-K1059</f>
        <v/>
      </c>
      <c r="M1059" t="inlineStr">
        <is>
          <t>1.350</t>
        </is>
      </c>
      <c r="N1059" t="inlineStr">
        <is>
          <t>Modalidade: 0 - Por conta do remetente | Parte: PRASO PLATAFORMA DE COMERCIO LTDA. (42.434.646/0003-99)</t>
        </is>
      </c>
      <c r="O1059" s="29" t="n">
        <v>0</v>
      </c>
      <c r="P1059" s="29" t="n">
        <v>0</v>
      </c>
      <c r="Q1059" s="29" t="n">
        <v>0</v>
      </c>
      <c r="R1059" s="29" t="n">
        <v>0</v>
      </c>
      <c r="S1059" s="29" t="n">
        <v>0</v>
      </c>
      <c r="T1059" t="inlineStr">
        <is>
          <t>25241126975620000130570010000033421000000002</t>
        </is>
      </c>
      <c r="U1059" t="inlineStr">
        <is>
          <t>Não</t>
        </is>
      </c>
    </row>
    <row r="1060">
      <c r="A1060" t="inlineStr">
        <is>
          <t>Frete de venda</t>
        </is>
      </c>
      <c r="B1060" t="inlineStr">
        <is>
          <t>1.01.01 Venda de Mercadoria Fabricadas</t>
        </is>
      </c>
      <c r="C1060" t="inlineStr">
        <is>
          <t>Antes de 2026</t>
        </is>
      </c>
      <c r="D1060" t="inlineStr">
        <is>
          <t>Antes de 2026</t>
        </is>
      </c>
      <c r="E1060" s="28" t="n">
        <v>45626</v>
      </c>
      <c r="F1060" t="inlineStr">
        <is>
          <t>CT-e</t>
        </is>
      </c>
      <c r="G1060" t="inlineStr">
        <is>
          <t>000003343</t>
        </is>
      </c>
      <c r="H1060" t="inlineStr">
        <is>
          <t>R&amp;R TRANSPORTE E LOGISTICA</t>
        </is>
      </c>
      <c r="J1060" s="29" t="n">
        <v>383</v>
      </c>
      <c r="K1060" s="29">
        <f>(1-ISNUMBER(SEARCH("556",M1060)))*(O1060*SUMIFS(Premissas!$C$5:$C$44,Premissas!$A$5:$A$44,$A1060,Premissas!$B$5:$B$44,$B1060)+P1060*SUMIFS(Premissas!$D$5:$D$44,Premissas!$A$5:$A$44,$A1060,Premissas!$B$5:$B$44,$B1060))+R1060*SUMIFS(Premissas!$E$5:$E$44,Premissas!$A$5:$A$44,$A1060,Premissas!$B$5:$B$44,$B1060)+S1060*SUMIFS(Premissas!$F$5:$F$44,Premissas!$A$5:$A$44,$A1060,Premissas!$B$5:$B$44,$B1060)</f>
        <v/>
      </c>
      <c r="L1060" s="29">
        <f>J1060-K1060</f>
        <v/>
      </c>
      <c r="M1060" t="inlineStr">
        <is>
          <t>1.350</t>
        </is>
      </c>
      <c r="N1060" t="inlineStr">
        <is>
          <t>Modalidade: 0 - Por conta do remetente | Parte: G L A RIBEIRO DE LIMA (52.343.782/0001-65)</t>
        </is>
      </c>
      <c r="O1060" s="29" t="n">
        <v>0</v>
      </c>
      <c r="P1060" s="29" t="n">
        <v>0</v>
      </c>
      <c r="Q1060" s="29" t="n">
        <v>0</v>
      </c>
      <c r="R1060" s="29" t="n">
        <v>0</v>
      </c>
      <c r="S1060" s="29" t="n">
        <v>0</v>
      </c>
      <c r="T1060" t="inlineStr">
        <is>
          <t>25241126975620000130570010000033431000000000</t>
        </is>
      </c>
      <c r="U1060" t="inlineStr">
        <is>
          <t>Não</t>
        </is>
      </c>
    </row>
    <row r="1061">
      <c r="A1061" t="inlineStr">
        <is>
          <t>Frete de venda</t>
        </is>
      </c>
      <c r="B1061" t="inlineStr">
        <is>
          <t>1.01.01 Venda de Mercadoria Fabricadas</t>
        </is>
      </c>
      <c r="C1061" t="inlineStr">
        <is>
          <t>Antes de 2026</t>
        </is>
      </c>
      <c r="D1061" t="inlineStr">
        <is>
          <t>Antes de 2026</t>
        </is>
      </c>
      <c r="E1061" s="28" t="n">
        <v>45626</v>
      </c>
      <c r="F1061" t="inlineStr">
        <is>
          <t>CT-e</t>
        </is>
      </c>
      <c r="G1061" t="inlineStr">
        <is>
          <t>000003344</t>
        </is>
      </c>
      <c r="H1061" t="inlineStr">
        <is>
          <t>R&amp;R TRANSPORTE E LOGISTICA</t>
        </is>
      </c>
      <c r="J1061" s="29" t="n">
        <v>384</v>
      </c>
      <c r="K1061" s="29">
        <f>(1-ISNUMBER(SEARCH("556",M1061)))*(O1061*SUMIFS(Premissas!$C$5:$C$44,Premissas!$A$5:$A$44,$A1061,Premissas!$B$5:$B$44,$B1061)+P1061*SUMIFS(Premissas!$D$5:$D$44,Premissas!$A$5:$A$44,$A1061,Premissas!$B$5:$B$44,$B1061))+R1061*SUMIFS(Premissas!$E$5:$E$44,Premissas!$A$5:$A$44,$A1061,Premissas!$B$5:$B$44,$B1061)+S1061*SUMIFS(Premissas!$F$5:$F$44,Premissas!$A$5:$A$44,$A1061,Premissas!$B$5:$B$44,$B1061)</f>
        <v/>
      </c>
      <c r="L1061" s="29">
        <f>J1061-K1061</f>
        <v/>
      </c>
      <c r="M1061" t="inlineStr">
        <is>
          <t>1.350</t>
        </is>
      </c>
      <c r="N1061" t="inlineStr">
        <is>
          <t>Modalidade: 0 - Por conta do remetente | Parte: MILES GENUINO DA SILVA (34.701.027/0001-23)</t>
        </is>
      </c>
      <c r="O1061" s="29" t="n">
        <v>0</v>
      </c>
      <c r="P1061" s="29" t="n">
        <v>0</v>
      </c>
      <c r="Q1061" s="29" t="n">
        <v>0</v>
      </c>
      <c r="R1061" s="29" t="n">
        <v>0</v>
      </c>
      <c r="S1061" s="29" t="n">
        <v>0</v>
      </c>
      <c r="T1061" t="inlineStr">
        <is>
          <t>25241126975620000130570010000033441000000007</t>
        </is>
      </c>
      <c r="U1061" t="inlineStr">
        <is>
          <t>Não</t>
        </is>
      </c>
    </row>
    <row r="1062">
      <c r="A1062" t="inlineStr">
        <is>
          <t>Frete de venda</t>
        </is>
      </c>
      <c r="B1062" t="inlineStr">
        <is>
          <t>1.01.01 Venda de Mercadoria Fabricadas</t>
        </is>
      </c>
      <c r="C1062" t="inlineStr">
        <is>
          <t>Antes de 2026</t>
        </is>
      </c>
      <c r="D1062" t="inlineStr">
        <is>
          <t>Antes de 2026</t>
        </is>
      </c>
      <c r="E1062" s="28" t="n">
        <v>45626</v>
      </c>
      <c r="F1062" t="inlineStr">
        <is>
          <t>CT-e</t>
        </is>
      </c>
      <c r="G1062" t="inlineStr">
        <is>
          <t>000003345</t>
        </is>
      </c>
      <c r="H1062" t="inlineStr">
        <is>
          <t>R&amp;R TRANSPORTE E LOGISTICA</t>
        </is>
      </c>
      <c r="J1062" s="29" t="n">
        <v>415</v>
      </c>
      <c r="K1062" s="29">
        <f>(1-ISNUMBER(SEARCH("556",M1062)))*(O1062*SUMIFS(Premissas!$C$5:$C$44,Premissas!$A$5:$A$44,$A1062,Premissas!$B$5:$B$44,$B1062)+P1062*SUMIFS(Premissas!$D$5:$D$44,Premissas!$A$5:$A$44,$A1062,Premissas!$B$5:$B$44,$B1062))+R1062*SUMIFS(Premissas!$E$5:$E$44,Premissas!$A$5:$A$44,$A1062,Premissas!$B$5:$B$44,$B1062)+S1062*SUMIFS(Premissas!$F$5:$F$44,Premissas!$A$5:$A$44,$A1062,Premissas!$B$5:$B$44,$B1062)</f>
        <v/>
      </c>
      <c r="L1062" s="29">
        <f>J1062-K1062</f>
        <v/>
      </c>
      <c r="M1062" t="inlineStr">
        <is>
          <t>1.350</t>
        </is>
      </c>
      <c r="N1062" t="inlineStr">
        <is>
          <t>Modalidade: 0 - Por conta do remetente | Parte: DISTRIPACK DISTRIBUIDORA DE EMBALAGENS LTDA (11.043.375/0003-17)</t>
        </is>
      </c>
      <c r="O1062" s="29" t="n">
        <v>0</v>
      </c>
      <c r="P1062" s="29" t="n">
        <v>0</v>
      </c>
      <c r="Q1062" s="29" t="n">
        <v>0</v>
      </c>
      <c r="R1062" s="29" t="n">
        <v>0</v>
      </c>
      <c r="S1062" s="29" t="n">
        <v>0</v>
      </c>
      <c r="T1062" t="inlineStr">
        <is>
          <t>25241126975620000130570010000033451000000004</t>
        </is>
      </c>
      <c r="U1062" t="inlineStr">
        <is>
          <t>Não</t>
        </is>
      </c>
    </row>
    <row r="1063">
      <c r="A1063" t="inlineStr">
        <is>
          <t>Frete de venda</t>
        </is>
      </c>
      <c r="B1063" t="inlineStr">
        <is>
          <t>1.01.01 Venda de Mercadoria Fabricadas</t>
        </is>
      </c>
      <c r="C1063" t="inlineStr">
        <is>
          <t>Antes de 2026</t>
        </is>
      </c>
      <c r="D1063" t="inlineStr">
        <is>
          <t>Antes de 2026</t>
        </is>
      </c>
      <c r="E1063" s="28" t="n">
        <v>45628</v>
      </c>
      <c r="F1063" t="inlineStr">
        <is>
          <t>CT-e</t>
        </is>
      </c>
      <c r="G1063" t="inlineStr">
        <is>
          <t>000003348</t>
        </is>
      </c>
      <c r="H1063" t="inlineStr">
        <is>
          <t>R&amp;R TRANSPORTE E LOGISTICA</t>
        </is>
      </c>
      <c r="J1063" s="29" t="n">
        <v>121.5</v>
      </c>
      <c r="K1063" s="29">
        <f>(1-ISNUMBER(SEARCH("556",M1063)))*(O1063*SUMIFS(Premissas!$C$5:$C$44,Premissas!$A$5:$A$44,$A1063,Premissas!$B$5:$B$44,$B1063)+P1063*SUMIFS(Premissas!$D$5:$D$44,Premissas!$A$5:$A$44,$A1063,Premissas!$B$5:$B$44,$B1063))+R1063*SUMIFS(Premissas!$E$5:$E$44,Premissas!$A$5:$A$44,$A1063,Premissas!$B$5:$B$44,$B1063)+S1063*SUMIFS(Premissas!$F$5:$F$44,Premissas!$A$5:$A$44,$A1063,Premissas!$B$5:$B$44,$B1063)</f>
        <v/>
      </c>
      <c r="L1063" s="29">
        <f>J1063-K1063</f>
        <v/>
      </c>
      <c r="M1063" t="inlineStr">
        <is>
          <t>1.350</t>
        </is>
      </c>
      <c r="N1063" t="inlineStr">
        <is>
          <t>Modalidade: 0 - Por conta do remetente | Parte: JND DISTRIBUIDORA LTDA (36.332.668/0001-83)</t>
        </is>
      </c>
      <c r="O1063" s="29" t="n">
        <v>0</v>
      </c>
      <c r="P1063" s="29" t="n">
        <v>0</v>
      </c>
      <c r="Q1063" s="29" t="n">
        <v>0</v>
      </c>
      <c r="R1063" s="29" t="n">
        <v>0</v>
      </c>
      <c r="S1063" s="29" t="n">
        <v>0</v>
      </c>
      <c r="T1063" t="inlineStr">
        <is>
          <t>25241226975620000130570010000033481000000000</t>
        </is>
      </c>
      <c r="U1063" t="inlineStr">
        <is>
          <t>Não</t>
        </is>
      </c>
    </row>
    <row r="1064">
      <c r="A1064" t="inlineStr">
        <is>
          <t>Frete de venda</t>
        </is>
      </c>
      <c r="B1064" t="inlineStr">
        <is>
          <t>1.01.01 Venda de Mercadoria Fabricadas</t>
        </is>
      </c>
      <c r="C1064" t="inlineStr">
        <is>
          <t>Antes de 2026</t>
        </is>
      </c>
      <c r="D1064" t="inlineStr">
        <is>
          <t>Antes de 2026</t>
        </is>
      </c>
      <c r="E1064" s="28" t="n">
        <v>45628</v>
      </c>
      <c r="F1064" t="inlineStr">
        <is>
          <t>CT-e</t>
        </is>
      </c>
      <c r="G1064" t="inlineStr">
        <is>
          <t>000003349</t>
        </is>
      </c>
      <c r="H1064" t="inlineStr">
        <is>
          <t>R&amp;R TRANSPORTE E LOGISTICA</t>
        </is>
      </c>
      <c r="J1064" s="29" t="n">
        <v>126.45</v>
      </c>
      <c r="K1064" s="29">
        <f>(1-ISNUMBER(SEARCH("556",M1064)))*(O1064*SUMIFS(Premissas!$C$5:$C$44,Premissas!$A$5:$A$44,$A1064,Premissas!$B$5:$B$44,$B1064)+P1064*SUMIFS(Premissas!$D$5:$D$44,Premissas!$A$5:$A$44,$A1064,Premissas!$B$5:$B$44,$B1064))+R1064*SUMIFS(Premissas!$E$5:$E$44,Premissas!$A$5:$A$44,$A1064,Premissas!$B$5:$B$44,$B1064)+S1064*SUMIFS(Premissas!$F$5:$F$44,Premissas!$A$5:$A$44,$A1064,Premissas!$B$5:$B$44,$B1064)</f>
        <v/>
      </c>
      <c r="L1064" s="29">
        <f>J1064-K1064</f>
        <v/>
      </c>
      <c r="M1064" t="inlineStr">
        <is>
          <t>1.350</t>
        </is>
      </c>
      <c r="N1064" t="inlineStr">
        <is>
          <t>Modalidade: 0 - Por conta do remetente | Parte: FORTALI DISTRIBUIDORA DE ALIMENTOS LTDA. (09.317.318/0001-75)</t>
        </is>
      </c>
      <c r="O1064" s="29" t="n">
        <v>0</v>
      </c>
      <c r="P1064" s="29" t="n">
        <v>0</v>
      </c>
      <c r="Q1064" s="29" t="n">
        <v>0</v>
      </c>
      <c r="R1064" s="29" t="n">
        <v>0</v>
      </c>
      <c r="S1064" s="29" t="n">
        <v>0</v>
      </c>
      <c r="T1064" t="inlineStr">
        <is>
          <t>25241226975620000130570010000033491000000007</t>
        </is>
      </c>
      <c r="U1064" t="inlineStr">
        <is>
          <t>Não</t>
        </is>
      </c>
    </row>
    <row r="1065">
      <c r="A1065" t="inlineStr">
        <is>
          <t>Frete de venda</t>
        </is>
      </c>
      <c r="B1065" t="inlineStr">
        <is>
          <t>1.01.01 Venda de Mercadoria Fabricadas</t>
        </is>
      </c>
      <c r="C1065" t="inlineStr">
        <is>
          <t>Antes de 2026</t>
        </is>
      </c>
      <c r="D1065" t="inlineStr">
        <is>
          <t>Antes de 2026</t>
        </is>
      </c>
      <c r="E1065" s="28" t="n">
        <v>45629</v>
      </c>
      <c r="F1065" t="inlineStr">
        <is>
          <t>CT-e</t>
        </is>
      </c>
      <c r="G1065" t="inlineStr">
        <is>
          <t>000003353</t>
        </is>
      </c>
      <c r="H1065" t="inlineStr">
        <is>
          <t>R&amp;R TRANSPORTE E LOGISTICA</t>
        </is>
      </c>
      <c r="J1065" s="29" t="n">
        <v>385</v>
      </c>
      <c r="K1065" s="29">
        <f>(1-ISNUMBER(SEARCH("556",M1065)))*(O1065*SUMIFS(Premissas!$C$5:$C$44,Premissas!$A$5:$A$44,$A1065,Premissas!$B$5:$B$44,$B1065)+P1065*SUMIFS(Premissas!$D$5:$D$44,Premissas!$A$5:$A$44,$A1065,Premissas!$B$5:$B$44,$B1065))+R1065*SUMIFS(Premissas!$E$5:$E$44,Premissas!$A$5:$A$44,$A1065,Premissas!$B$5:$B$44,$B1065)+S1065*SUMIFS(Premissas!$F$5:$F$44,Premissas!$A$5:$A$44,$A1065,Premissas!$B$5:$B$44,$B1065)</f>
        <v/>
      </c>
      <c r="L1065" s="29">
        <f>J1065-K1065</f>
        <v/>
      </c>
      <c r="M1065" t="inlineStr">
        <is>
          <t>1.350</t>
        </is>
      </c>
      <c r="N1065" t="inlineStr">
        <is>
          <t>Modalidade: 0 - Por conta do remetente | Parte: COMERCIAL PROLAC LTDA. (07.182.763/0001-40)</t>
        </is>
      </c>
      <c r="O1065" s="29" t="n">
        <v>0</v>
      </c>
      <c r="P1065" s="29" t="n">
        <v>0</v>
      </c>
      <c r="Q1065" s="29" t="n">
        <v>0</v>
      </c>
      <c r="R1065" s="29" t="n">
        <v>0</v>
      </c>
      <c r="S1065" s="29" t="n">
        <v>0</v>
      </c>
      <c r="T1065" t="inlineStr">
        <is>
          <t>25241226975620000130570010000033531000000000</t>
        </is>
      </c>
      <c r="U1065" t="inlineStr">
        <is>
          <t>Não</t>
        </is>
      </c>
    </row>
    <row r="1066">
      <c r="A1066" t="inlineStr">
        <is>
          <t>Frete de venda</t>
        </is>
      </c>
      <c r="B1066" t="inlineStr">
        <is>
          <t>1.01.01 Venda de Mercadoria Fabricadas</t>
        </is>
      </c>
      <c r="C1066" t="inlineStr">
        <is>
          <t>Antes de 2026</t>
        </is>
      </c>
      <c r="D1066" t="inlineStr">
        <is>
          <t>Antes de 2026</t>
        </is>
      </c>
      <c r="E1066" s="28" t="n">
        <v>45629</v>
      </c>
      <c r="F1066" t="inlineStr">
        <is>
          <t>CT-e</t>
        </is>
      </c>
      <c r="G1066" t="inlineStr">
        <is>
          <t>000003354</t>
        </is>
      </c>
      <c r="H1066" t="inlineStr">
        <is>
          <t>R&amp;R TRANSPORTE E LOGISTICA</t>
        </is>
      </c>
      <c r="J1066" s="29" t="n">
        <v>385</v>
      </c>
      <c r="K1066" s="29">
        <f>(1-ISNUMBER(SEARCH("556",M1066)))*(O1066*SUMIFS(Premissas!$C$5:$C$44,Premissas!$A$5:$A$44,$A1066,Premissas!$B$5:$B$44,$B1066)+P1066*SUMIFS(Premissas!$D$5:$D$44,Premissas!$A$5:$A$44,$A1066,Premissas!$B$5:$B$44,$B1066))+R1066*SUMIFS(Premissas!$E$5:$E$44,Premissas!$A$5:$A$44,$A1066,Premissas!$B$5:$B$44,$B1066)+S1066*SUMIFS(Premissas!$F$5:$F$44,Premissas!$A$5:$A$44,$A1066,Premissas!$B$5:$B$44,$B1066)</f>
        <v/>
      </c>
      <c r="L1066" s="29">
        <f>J1066-K1066</f>
        <v/>
      </c>
      <c r="M1066" t="inlineStr">
        <is>
          <t>1.350</t>
        </is>
      </c>
      <c r="N1066" t="inlineStr">
        <is>
          <t>Modalidade: 0 - Por conta do remetente | Parte: MUNDO DOS DESCARTAVEIS LTDA (40.211.407/0001-82)</t>
        </is>
      </c>
      <c r="O1066" s="29" t="n">
        <v>0</v>
      </c>
      <c r="P1066" s="29" t="n">
        <v>0</v>
      </c>
      <c r="Q1066" s="29" t="n">
        <v>0</v>
      </c>
      <c r="R1066" s="29" t="n">
        <v>0</v>
      </c>
      <c r="S1066" s="29" t="n">
        <v>0</v>
      </c>
      <c r="T1066" t="inlineStr">
        <is>
          <t>25241226975620000130570010000033541000000007</t>
        </is>
      </c>
      <c r="U1066" t="inlineStr">
        <is>
          <t>Não</t>
        </is>
      </c>
    </row>
    <row r="1067">
      <c r="A1067" t="inlineStr">
        <is>
          <t>Frete de venda</t>
        </is>
      </c>
      <c r="B1067" t="inlineStr">
        <is>
          <t>1.01.01 Venda de Mercadoria Fabricadas</t>
        </is>
      </c>
      <c r="C1067" t="inlineStr">
        <is>
          <t>Antes de 2026</t>
        </is>
      </c>
      <c r="D1067" t="inlineStr">
        <is>
          <t>Antes de 2026</t>
        </is>
      </c>
      <c r="E1067" s="28" t="n">
        <v>45629</v>
      </c>
      <c r="F1067" t="inlineStr">
        <is>
          <t>CT-e</t>
        </is>
      </c>
      <c r="G1067" t="inlineStr">
        <is>
          <t>000003355</t>
        </is>
      </c>
      <c r="H1067" t="inlineStr">
        <is>
          <t>R&amp;R TRANSPORTE E LOGISTICA</t>
        </is>
      </c>
      <c r="J1067" s="29" t="n">
        <v>385</v>
      </c>
      <c r="K1067" s="29">
        <f>(1-ISNUMBER(SEARCH("556",M1067)))*(O1067*SUMIFS(Premissas!$C$5:$C$44,Premissas!$A$5:$A$44,$A1067,Premissas!$B$5:$B$44,$B1067)+P1067*SUMIFS(Premissas!$D$5:$D$44,Premissas!$A$5:$A$44,$A1067,Premissas!$B$5:$B$44,$B1067))+R1067*SUMIFS(Premissas!$E$5:$E$44,Premissas!$A$5:$A$44,$A1067,Premissas!$B$5:$B$44,$B1067)+S1067*SUMIFS(Premissas!$F$5:$F$44,Premissas!$A$5:$A$44,$A1067,Premissas!$B$5:$B$44,$B1067)</f>
        <v/>
      </c>
      <c r="L1067" s="29">
        <f>J1067-K1067</f>
        <v/>
      </c>
      <c r="M1067" t="inlineStr">
        <is>
          <t>1.350</t>
        </is>
      </c>
      <c r="N1067" t="inlineStr">
        <is>
          <t>Modalidade: 0 - Por conta do remetente | Parte: PRAZERES FESTAS LTDA (44.307.271/0001-60)</t>
        </is>
      </c>
      <c r="O1067" s="29" t="n">
        <v>0</v>
      </c>
      <c r="P1067" s="29" t="n">
        <v>0</v>
      </c>
      <c r="Q1067" s="29" t="n">
        <v>0</v>
      </c>
      <c r="R1067" s="29" t="n">
        <v>0</v>
      </c>
      <c r="S1067" s="29" t="n">
        <v>0</v>
      </c>
      <c r="T1067" t="inlineStr">
        <is>
          <t>25241226975620000130570010000033551000000004</t>
        </is>
      </c>
      <c r="U1067" t="inlineStr">
        <is>
          <t>Não</t>
        </is>
      </c>
    </row>
    <row r="1068">
      <c r="A1068" t="inlineStr">
        <is>
          <t>Frete de venda</t>
        </is>
      </c>
      <c r="B1068" t="inlineStr">
        <is>
          <t>1.01.01 Venda de Mercadoria Fabricadas</t>
        </is>
      </c>
      <c r="C1068" t="inlineStr">
        <is>
          <t>Antes de 2026</t>
        </is>
      </c>
      <c r="D1068" t="inlineStr">
        <is>
          <t>Antes de 2026</t>
        </is>
      </c>
      <c r="E1068" s="28" t="n">
        <v>45630</v>
      </c>
      <c r="F1068" t="inlineStr">
        <is>
          <t>CT-e</t>
        </is>
      </c>
      <c r="G1068" t="inlineStr">
        <is>
          <t>000003356</t>
        </is>
      </c>
      <c r="H1068" t="inlineStr">
        <is>
          <t>R&amp;R TRANSPORTE E LOGISTICA</t>
        </is>
      </c>
      <c r="J1068" s="29" t="n">
        <v>690</v>
      </c>
      <c r="K1068" s="29">
        <f>(1-ISNUMBER(SEARCH("556",M1068)))*(O1068*SUMIFS(Premissas!$C$5:$C$44,Premissas!$A$5:$A$44,$A1068,Premissas!$B$5:$B$44,$B1068)+P1068*SUMIFS(Premissas!$D$5:$D$44,Premissas!$A$5:$A$44,$A1068,Premissas!$B$5:$B$44,$B1068))+R1068*SUMIFS(Premissas!$E$5:$E$44,Premissas!$A$5:$A$44,$A1068,Premissas!$B$5:$B$44,$B1068)+S1068*SUMIFS(Premissas!$F$5:$F$44,Premissas!$A$5:$A$44,$A1068,Premissas!$B$5:$B$44,$B1068)</f>
        <v/>
      </c>
      <c r="L1068" s="29">
        <f>J1068-K1068</f>
        <v/>
      </c>
      <c r="M1068" t="inlineStr">
        <is>
          <t>1.350</t>
        </is>
      </c>
      <c r="N1068" t="inlineStr">
        <is>
          <t>Transportadora de frete de venda, mas pela modalidade do frete a Vinco recebeu a carga | Modalidade: 1 - Por conta do destinatário | Parte: REQUIM PRODUTOS QUIMICOS LTDA (06.935.804/0001-69)</t>
        </is>
      </c>
      <c r="O1068" s="29" t="n">
        <v>0</v>
      </c>
      <c r="P1068" s="29" t="n">
        <v>0</v>
      </c>
      <c r="Q1068" s="29" t="n">
        <v>0</v>
      </c>
      <c r="R1068" s="29" t="n">
        <v>0</v>
      </c>
      <c r="S1068" s="29" t="n">
        <v>0</v>
      </c>
      <c r="T1068" t="inlineStr">
        <is>
          <t>25241226975620000130570010000033561000000001</t>
        </is>
      </c>
      <c r="U1068" t="inlineStr">
        <is>
          <t>Não</t>
        </is>
      </c>
    </row>
    <row r="1069">
      <c r="A1069" t="inlineStr">
        <is>
          <t>Frete de venda</t>
        </is>
      </c>
      <c r="B1069" t="inlineStr">
        <is>
          <t>1.01.01 Venda de Mercadoria Fabricadas</t>
        </is>
      </c>
      <c r="C1069" t="inlineStr">
        <is>
          <t>Antes de 2026</t>
        </is>
      </c>
      <c r="D1069" t="inlineStr">
        <is>
          <t>Antes de 2026</t>
        </is>
      </c>
      <c r="E1069" s="28" t="n">
        <v>45631</v>
      </c>
      <c r="F1069" t="inlineStr">
        <is>
          <t>CT-e</t>
        </is>
      </c>
      <c r="G1069" t="inlineStr">
        <is>
          <t>000003361</t>
        </is>
      </c>
      <c r="H1069" t="inlineStr">
        <is>
          <t>R&amp;R TRANSPORTE E LOGISTICA</t>
        </is>
      </c>
      <c r="J1069" s="29" t="n">
        <v>38</v>
      </c>
      <c r="K1069" s="29">
        <f>(1-ISNUMBER(SEARCH("556",M1069)))*(O1069*SUMIFS(Premissas!$C$5:$C$44,Premissas!$A$5:$A$44,$A1069,Premissas!$B$5:$B$44,$B1069)+P1069*SUMIFS(Premissas!$D$5:$D$44,Premissas!$A$5:$A$44,$A1069,Premissas!$B$5:$B$44,$B1069))+R1069*SUMIFS(Premissas!$E$5:$E$44,Premissas!$A$5:$A$44,$A1069,Premissas!$B$5:$B$44,$B1069)+S1069*SUMIFS(Premissas!$F$5:$F$44,Premissas!$A$5:$A$44,$A1069,Premissas!$B$5:$B$44,$B1069)</f>
        <v/>
      </c>
      <c r="L1069" s="29">
        <f>J1069-K1069</f>
        <v/>
      </c>
      <c r="M1069" t="inlineStr">
        <is>
          <t>1.350</t>
        </is>
      </c>
      <c r="N1069" t="inlineStr">
        <is>
          <t>Modalidade: 0 - Por conta do remetente | Parte: RM FRIOS (39.405.968/0001-33)</t>
        </is>
      </c>
      <c r="O1069" s="29" t="n">
        <v>0</v>
      </c>
      <c r="P1069" s="29" t="n">
        <v>0</v>
      </c>
      <c r="Q1069" s="29" t="n">
        <v>0</v>
      </c>
      <c r="R1069" s="29" t="n">
        <v>0</v>
      </c>
      <c r="S1069" s="29" t="n">
        <v>0</v>
      </c>
      <c r="T1069" t="inlineStr">
        <is>
          <t>25241226975620000130570010000033611000000001</t>
        </is>
      </c>
      <c r="U1069" t="inlineStr">
        <is>
          <t>Não</t>
        </is>
      </c>
    </row>
    <row r="1070">
      <c r="A1070" t="inlineStr">
        <is>
          <t>Frete de venda</t>
        </is>
      </c>
      <c r="B1070" t="inlineStr">
        <is>
          <t>1.01.01 Venda de Mercadoria Fabricadas</t>
        </is>
      </c>
      <c r="C1070" t="inlineStr">
        <is>
          <t>Antes de 2026</t>
        </is>
      </c>
      <c r="D1070" t="inlineStr">
        <is>
          <t>Antes de 2026</t>
        </is>
      </c>
      <c r="E1070" s="28" t="n">
        <v>45631</v>
      </c>
      <c r="F1070" t="inlineStr">
        <is>
          <t>CT-e</t>
        </is>
      </c>
      <c r="G1070" t="inlineStr">
        <is>
          <t>000003362</t>
        </is>
      </c>
      <c r="H1070" t="inlineStr">
        <is>
          <t>R&amp;R TRANSPORTE E LOGISTICA</t>
        </is>
      </c>
      <c r="J1070" s="29" t="n">
        <v>46</v>
      </c>
      <c r="K1070" s="29">
        <f>(1-ISNUMBER(SEARCH("556",M1070)))*(O1070*SUMIFS(Premissas!$C$5:$C$44,Premissas!$A$5:$A$44,$A1070,Premissas!$B$5:$B$44,$B1070)+P1070*SUMIFS(Premissas!$D$5:$D$44,Premissas!$A$5:$A$44,$A1070,Premissas!$B$5:$B$44,$B1070))+R1070*SUMIFS(Premissas!$E$5:$E$44,Premissas!$A$5:$A$44,$A1070,Premissas!$B$5:$B$44,$B1070)+S1070*SUMIFS(Premissas!$F$5:$F$44,Premissas!$A$5:$A$44,$A1070,Premissas!$B$5:$B$44,$B1070)</f>
        <v/>
      </c>
      <c r="L1070" s="29">
        <f>J1070-K1070</f>
        <v/>
      </c>
      <c r="M1070" t="inlineStr">
        <is>
          <t>1.350</t>
        </is>
      </c>
      <c r="N1070" t="inlineStr">
        <is>
          <t>Modalidade: 0 - Por conta do remetente | Parte: ALMEIDA CARDOSO EMBALAGENS LTDA (17.514.242/0001-04)</t>
        </is>
      </c>
      <c r="O1070" s="29" t="n">
        <v>0</v>
      </c>
      <c r="P1070" s="29" t="n">
        <v>0</v>
      </c>
      <c r="Q1070" s="29" t="n">
        <v>0</v>
      </c>
      <c r="R1070" s="29" t="n">
        <v>0</v>
      </c>
      <c r="S1070" s="29" t="n">
        <v>0</v>
      </c>
      <c r="T1070" t="inlineStr">
        <is>
          <t>25241226975620000130570010000033621000000009</t>
        </is>
      </c>
      <c r="U1070" t="inlineStr">
        <is>
          <t>Não</t>
        </is>
      </c>
    </row>
    <row r="1071">
      <c r="A1071" t="inlineStr">
        <is>
          <t>Frete de venda</t>
        </is>
      </c>
      <c r="B1071" t="inlineStr">
        <is>
          <t>1.01.01 Venda de Mercadoria Fabricadas</t>
        </is>
      </c>
      <c r="C1071" t="inlineStr">
        <is>
          <t>Antes de 2026</t>
        </is>
      </c>
      <c r="D1071" t="inlineStr">
        <is>
          <t>Antes de 2026</t>
        </is>
      </c>
      <c r="E1071" s="28" t="n">
        <v>45631</v>
      </c>
      <c r="F1071" t="inlineStr">
        <is>
          <t>CT-e</t>
        </is>
      </c>
      <c r="G1071" t="inlineStr">
        <is>
          <t>000003363</t>
        </is>
      </c>
      <c r="H1071" t="inlineStr">
        <is>
          <t>R&amp;R TRANSPORTE E LOGISTICA</t>
        </is>
      </c>
      <c r="J1071" s="29" t="n">
        <v>42</v>
      </c>
      <c r="K1071" s="29">
        <f>(1-ISNUMBER(SEARCH("556",M1071)))*(O1071*SUMIFS(Premissas!$C$5:$C$44,Premissas!$A$5:$A$44,$A1071,Premissas!$B$5:$B$44,$B1071)+P1071*SUMIFS(Premissas!$D$5:$D$44,Premissas!$A$5:$A$44,$A1071,Premissas!$B$5:$B$44,$B1071))+R1071*SUMIFS(Premissas!$E$5:$E$44,Premissas!$A$5:$A$44,$A1071,Premissas!$B$5:$B$44,$B1071)+S1071*SUMIFS(Premissas!$F$5:$F$44,Premissas!$A$5:$A$44,$A1071,Premissas!$B$5:$B$44,$B1071)</f>
        <v/>
      </c>
      <c r="L1071" s="29">
        <f>J1071-K1071</f>
        <v/>
      </c>
      <c r="M1071" t="inlineStr">
        <is>
          <t>1.350</t>
        </is>
      </c>
      <c r="N1071" t="inlineStr">
        <is>
          <t>Modalidade: 0 - Por conta do remetente | Parte: VITOR HUGO DE CASTRO MARTINS e CIA LTDA (00.599.864/0001-71)</t>
        </is>
      </c>
      <c r="O1071" s="29" t="n">
        <v>0</v>
      </c>
      <c r="P1071" s="29" t="n">
        <v>0</v>
      </c>
      <c r="Q1071" s="29" t="n">
        <v>0</v>
      </c>
      <c r="R1071" s="29" t="n">
        <v>0</v>
      </c>
      <c r="S1071" s="29" t="n">
        <v>0</v>
      </c>
      <c r="T1071" t="inlineStr">
        <is>
          <t>25241226975620000130570010000033631000000006</t>
        </is>
      </c>
      <c r="U1071" t="inlineStr">
        <is>
          <t>Não</t>
        </is>
      </c>
    </row>
    <row r="1072">
      <c r="A1072" t="inlineStr">
        <is>
          <t>Frete de venda</t>
        </is>
      </c>
      <c r="B1072" t="inlineStr">
        <is>
          <t>1.01.01 Venda de Mercadoria Fabricadas</t>
        </is>
      </c>
      <c r="C1072" t="inlineStr">
        <is>
          <t>Antes de 2026</t>
        </is>
      </c>
      <c r="D1072" t="inlineStr">
        <is>
          <t>Antes de 2026</t>
        </is>
      </c>
      <c r="E1072" s="28" t="n">
        <v>45631</v>
      </c>
      <c r="F1072" t="inlineStr">
        <is>
          <t>CT-e</t>
        </is>
      </c>
      <c r="G1072" t="inlineStr">
        <is>
          <t>000003364</t>
        </is>
      </c>
      <c r="H1072" t="inlineStr">
        <is>
          <t>R&amp;R TRANSPORTE E LOGISTICA</t>
        </is>
      </c>
      <c r="J1072" s="29" t="n">
        <v>32</v>
      </c>
      <c r="K1072" s="29">
        <f>(1-ISNUMBER(SEARCH("556",M1072)))*(O1072*SUMIFS(Premissas!$C$5:$C$44,Premissas!$A$5:$A$44,$A1072,Premissas!$B$5:$B$44,$B1072)+P1072*SUMIFS(Premissas!$D$5:$D$44,Premissas!$A$5:$A$44,$A1072,Premissas!$B$5:$B$44,$B1072))+R1072*SUMIFS(Premissas!$E$5:$E$44,Premissas!$A$5:$A$44,$A1072,Premissas!$B$5:$B$44,$B1072)+S1072*SUMIFS(Premissas!$F$5:$F$44,Premissas!$A$5:$A$44,$A1072,Premissas!$B$5:$B$44,$B1072)</f>
        <v/>
      </c>
      <c r="L1072" s="29">
        <f>J1072-K1072</f>
        <v/>
      </c>
      <c r="M1072" t="inlineStr">
        <is>
          <t>1.350</t>
        </is>
      </c>
      <c r="N1072" t="inlineStr">
        <is>
          <t>Modalidade: 0 - Por conta do remetente | Parte: M.A.S CARNEIRO COMERCIO DE EMBALAGENS LTDA (35.926.019/0001-48)</t>
        </is>
      </c>
      <c r="O1072" s="29" t="n">
        <v>0</v>
      </c>
      <c r="P1072" s="29" t="n">
        <v>0</v>
      </c>
      <c r="Q1072" s="29" t="n">
        <v>0</v>
      </c>
      <c r="R1072" s="29" t="n">
        <v>0</v>
      </c>
      <c r="S1072" s="29" t="n">
        <v>0</v>
      </c>
      <c r="T1072" t="inlineStr">
        <is>
          <t>25241226975620000130570010000033641000000003</t>
        </is>
      </c>
      <c r="U1072" t="inlineStr">
        <is>
          <t>Não</t>
        </is>
      </c>
    </row>
    <row r="1073">
      <c r="A1073" t="inlineStr">
        <is>
          <t>Frete de venda</t>
        </is>
      </c>
      <c r="B1073" t="inlineStr">
        <is>
          <t>1.01.01 Venda de Mercadoria Fabricadas</t>
        </is>
      </c>
      <c r="C1073" t="inlineStr">
        <is>
          <t>Antes de 2026</t>
        </is>
      </c>
      <c r="D1073" t="inlineStr">
        <is>
          <t>Antes de 2026</t>
        </is>
      </c>
      <c r="E1073" s="28" t="n">
        <v>45631</v>
      </c>
      <c r="F1073" t="inlineStr">
        <is>
          <t>CT-e</t>
        </is>
      </c>
      <c r="G1073" t="inlineStr">
        <is>
          <t>000003365</t>
        </is>
      </c>
      <c r="H1073" t="inlineStr">
        <is>
          <t>R&amp;R TRANSPORTE E LOGISTICA</t>
        </is>
      </c>
      <c r="J1073" s="29" t="n">
        <v>30</v>
      </c>
      <c r="K1073" s="29">
        <f>(1-ISNUMBER(SEARCH("556",M1073)))*(O1073*SUMIFS(Premissas!$C$5:$C$44,Premissas!$A$5:$A$44,$A1073,Premissas!$B$5:$B$44,$B1073)+P1073*SUMIFS(Premissas!$D$5:$D$44,Premissas!$A$5:$A$44,$A1073,Premissas!$B$5:$B$44,$B1073))+R1073*SUMIFS(Premissas!$E$5:$E$44,Premissas!$A$5:$A$44,$A1073,Premissas!$B$5:$B$44,$B1073)+S1073*SUMIFS(Premissas!$F$5:$F$44,Premissas!$A$5:$A$44,$A1073,Premissas!$B$5:$B$44,$B1073)</f>
        <v/>
      </c>
      <c r="L1073" s="29">
        <f>J1073-K1073</f>
        <v/>
      </c>
      <c r="M1073" t="inlineStr">
        <is>
          <t>1.350</t>
        </is>
      </c>
      <c r="N1073" t="inlineStr">
        <is>
          <t>Modalidade: 0 - Por conta do remetente | Parte: NOVA OPCAO EMBALAGEM LTDA (33.611.115/0001-71)</t>
        </is>
      </c>
      <c r="O1073" s="29" t="n">
        <v>0</v>
      </c>
      <c r="P1073" s="29" t="n">
        <v>0</v>
      </c>
      <c r="Q1073" s="29" t="n">
        <v>0</v>
      </c>
      <c r="R1073" s="29" t="n">
        <v>0</v>
      </c>
      <c r="S1073" s="29" t="n">
        <v>0</v>
      </c>
      <c r="T1073" t="inlineStr">
        <is>
          <t>25241226975620000130570010000033651000000000</t>
        </is>
      </c>
      <c r="U1073" t="inlineStr">
        <is>
          <t>Não</t>
        </is>
      </c>
    </row>
    <row r="1074">
      <c r="A1074" t="inlineStr">
        <is>
          <t>Frete de venda</t>
        </is>
      </c>
      <c r="B1074" t="inlineStr">
        <is>
          <t>1.01.01 Venda de Mercadoria Fabricadas</t>
        </is>
      </c>
      <c r="C1074" t="inlineStr">
        <is>
          <t>Antes de 2026</t>
        </is>
      </c>
      <c r="D1074" t="inlineStr">
        <is>
          <t>Antes de 2026</t>
        </is>
      </c>
      <c r="E1074" s="28" t="n">
        <v>45631</v>
      </c>
      <c r="F1074" t="inlineStr">
        <is>
          <t>CT-e</t>
        </is>
      </c>
      <c r="G1074" t="inlineStr">
        <is>
          <t>000003366</t>
        </is>
      </c>
      <c r="H1074" t="inlineStr">
        <is>
          <t>R&amp;R TRANSPORTE E LOGISTICA</t>
        </is>
      </c>
      <c r="J1074" s="29" t="n">
        <v>54</v>
      </c>
      <c r="K1074" s="29">
        <f>(1-ISNUMBER(SEARCH("556",M1074)))*(O1074*SUMIFS(Premissas!$C$5:$C$44,Premissas!$A$5:$A$44,$A1074,Premissas!$B$5:$B$44,$B1074)+P1074*SUMIFS(Premissas!$D$5:$D$44,Premissas!$A$5:$A$44,$A1074,Premissas!$B$5:$B$44,$B1074))+R1074*SUMIFS(Premissas!$E$5:$E$44,Premissas!$A$5:$A$44,$A1074,Premissas!$B$5:$B$44,$B1074)+S1074*SUMIFS(Premissas!$F$5:$F$44,Premissas!$A$5:$A$44,$A1074,Premissas!$B$5:$B$44,$B1074)</f>
        <v/>
      </c>
      <c r="L1074" s="29">
        <f>J1074-K1074</f>
        <v/>
      </c>
      <c r="M1074" t="inlineStr">
        <is>
          <t>1.350</t>
        </is>
      </c>
      <c r="N1074" t="inlineStr">
        <is>
          <t>Modalidade: 0 - Por conta do remetente | Parte: SAO JOSE INDUSTRIA E COMERCIO DE PLASTICOS LTDA (14.894.445/0001-77)</t>
        </is>
      </c>
      <c r="O1074" s="29" t="n">
        <v>0</v>
      </c>
      <c r="P1074" s="29" t="n">
        <v>0</v>
      </c>
      <c r="Q1074" s="29" t="n">
        <v>0</v>
      </c>
      <c r="R1074" s="29" t="n">
        <v>0</v>
      </c>
      <c r="S1074" s="29" t="n">
        <v>0</v>
      </c>
      <c r="T1074" t="inlineStr">
        <is>
          <t>25241226975620000130570010000033661000000008</t>
        </is>
      </c>
      <c r="U1074" t="inlineStr">
        <is>
          <t>Não</t>
        </is>
      </c>
    </row>
    <row r="1075">
      <c r="A1075" t="inlineStr">
        <is>
          <t>Frete de venda</t>
        </is>
      </c>
      <c r="B1075" t="inlineStr">
        <is>
          <t>1.01.01 Venda de Mercadoria Fabricadas</t>
        </is>
      </c>
      <c r="C1075" t="inlineStr">
        <is>
          <t>Antes de 2026</t>
        </is>
      </c>
      <c r="D1075" t="inlineStr">
        <is>
          <t>Antes de 2026</t>
        </is>
      </c>
      <c r="E1075" s="28" t="n">
        <v>45632</v>
      </c>
      <c r="F1075" t="inlineStr">
        <is>
          <t>CT-e</t>
        </is>
      </c>
      <c r="G1075" t="inlineStr">
        <is>
          <t>000003369</t>
        </is>
      </c>
      <c r="H1075" t="inlineStr">
        <is>
          <t>R&amp;R TRANSPORTE E LOGISTICA</t>
        </is>
      </c>
      <c r="J1075" s="29" t="n">
        <v>65</v>
      </c>
      <c r="K1075" s="29">
        <f>(1-ISNUMBER(SEARCH("556",M1075)))*(O1075*SUMIFS(Premissas!$C$5:$C$44,Premissas!$A$5:$A$44,$A1075,Premissas!$B$5:$B$44,$B1075)+P1075*SUMIFS(Premissas!$D$5:$D$44,Premissas!$A$5:$A$44,$A1075,Premissas!$B$5:$B$44,$B1075))+R1075*SUMIFS(Premissas!$E$5:$E$44,Premissas!$A$5:$A$44,$A1075,Premissas!$B$5:$B$44,$B1075)+S1075*SUMIFS(Premissas!$F$5:$F$44,Premissas!$A$5:$A$44,$A1075,Premissas!$B$5:$B$44,$B1075)</f>
        <v/>
      </c>
      <c r="L1075" s="29">
        <f>J1075-K1075</f>
        <v/>
      </c>
      <c r="M1075" t="inlineStr">
        <is>
          <t>1.350</t>
        </is>
      </c>
      <c r="N1075" t="inlineStr">
        <is>
          <t>Modalidade: 0 - Por conta do remetente | Parte: F. B. A. EMBALAGENS, DESCARTAVEIS E PAPELARIA LTDA (97.546.680/0002-66)</t>
        </is>
      </c>
      <c r="O1075" s="29" t="n">
        <v>0</v>
      </c>
      <c r="P1075" s="29" t="n">
        <v>0</v>
      </c>
      <c r="Q1075" s="29" t="n">
        <v>0</v>
      </c>
      <c r="R1075" s="29" t="n">
        <v>0</v>
      </c>
      <c r="S1075" s="29" t="n">
        <v>0</v>
      </c>
      <c r="T1075" t="inlineStr">
        <is>
          <t>25241226975620000130570010000033691000000000</t>
        </is>
      </c>
      <c r="U1075" t="inlineStr">
        <is>
          <t>Não</t>
        </is>
      </c>
    </row>
    <row r="1076">
      <c r="A1076" t="inlineStr">
        <is>
          <t>Frete de venda</t>
        </is>
      </c>
      <c r="B1076" t="inlineStr">
        <is>
          <t>1.01.01 Venda de Mercadoria Fabricadas</t>
        </is>
      </c>
      <c r="C1076" t="inlineStr">
        <is>
          <t>Antes de 2026</t>
        </is>
      </c>
      <c r="D1076" t="inlineStr">
        <is>
          <t>Antes de 2026</t>
        </is>
      </c>
      <c r="E1076" s="28" t="n">
        <v>45632</v>
      </c>
      <c r="F1076" t="inlineStr">
        <is>
          <t>CT-e</t>
        </is>
      </c>
      <c r="G1076" t="inlineStr">
        <is>
          <t>000003370</t>
        </is>
      </c>
      <c r="H1076" t="inlineStr">
        <is>
          <t>R&amp;R TRANSPORTE E LOGISTICA</t>
        </is>
      </c>
      <c r="J1076" s="29" t="n">
        <v>68</v>
      </c>
      <c r="K1076" s="29">
        <f>(1-ISNUMBER(SEARCH("556",M1076)))*(O1076*SUMIFS(Premissas!$C$5:$C$44,Premissas!$A$5:$A$44,$A1076,Premissas!$B$5:$B$44,$B1076)+P1076*SUMIFS(Premissas!$D$5:$D$44,Premissas!$A$5:$A$44,$A1076,Premissas!$B$5:$B$44,$B1076))+R1076*SUMIFS(Premissas!$E$5:$E$44,Premissas!$A$5:$A$44,$A1076,Premissas!$B$5:$B$44,$B1076)+S1076*SUMIFS(Premissas!$F$5:$F$44,Premissas!$A$5:$A$44,$A1076,Premissas!$B$5:$B$44,$B1076)</f>
        <v/>
      </c>
      <c r="L1076" s="29">
        <f>J1076-K1076</f>
        <v/>
      </c>
      <c r="M1076" t="inlineStr">
        <is>
          <t>1.350</t>
        </is>
      </c>
      <c r="N1076" t="inlineStr">
        <is>
          <t>Modalidade: 0 - Por conta do remetente | Parte: BENTO ATACADO E VAREJO LTDA (17.531.075/0001-00)</t>
        </is>
      </c>
      <c r="O1076" s="29" t="n">
        <v>0</v>
      </c>
      <c r="P1076" s="29" t="n">
        <v>0</v>
      </c>
      <c r="Q1076" s="29" t="n">
        <v>0</v>
      </c>
      <c r="R1076" s="29" t="n">
        <v>0</v>
      </c>
      <c r="S1076" s="29" t="n">
        <v>0</v>
      </c>
      <c r="T1076" t="inlineStr">
        <is>
          <t>25241226975620000130570010000033701000000000</t>
        </is>
      </c>
      <c r="U1076" t="inlineStr">
        <is>
          <t>Não</t>
        </is>
      </c>
    </row>
    <row r="1077">
      <c r="A1077" t="inlineStr">
        <is>
          <t>Frete de venda</t>
        </is>
      </c>
      <c r="B1077" t="inlineStr">
        <is>
          <t>1.01.01 Venda de Mercadoria Fabricadas</t>
        </is>
      </c>
      <c r="C1077" t="inlineStr">
        <is>
          <t>Antes de 2026</t>
        </is>
      </c>
      <c r="D1077" t="inlineStr">
        <is>
          <t>Antes de 2026</t>
        </is>
      </c>
      <c r="E1077" s="28" t="n">
        <v>45632</v>
      </c>
      <c r="F1077" t="inlineStr">
        <is>
          <t>CT-e</t>
        </is>
      </c>
      <c r="G1077" t="inlineStr">
        <is>
          <t>000003371</t>
        </is>
      </c>
      <c r="H1077" t="inlineStr">
        <is>
          <t>R&amp;R TRANSPORTE E LOGISTICA</t>
        </is>
      </c>
      <c r="J1077" s="29" t="n">
        <v>101</v>
      </c>
      <c r="K1077" s="29">
        <f>(1-ISNUMBER(SEARCH("556",M1077)))*(O1077*SUMIFS(Premissas!$C$5:$C$44,Premissas!$A$5:$A$44,$A1077,Premissas!$B$5:$B$44,$B1077)+P1077*SUMIFS(Premissas!$D$5:$D$44,Premissas!$A$5:$A$44,$A1077,Premissas!$B$5:$B$44,$B1077))+R1077*SUMIFS(Premissas!$E$5:$E$44,Premissas!$A$5:$A$44,$A1077,Premissas!$B$5:$B$44,$B1077)+S1077*SUMIFS(Premissas!$F$5:$F$44,Premissas!$A$5:$A$44,$A1077,Premissas!$B$5:$B$44,$B1077)</f>
        <v/>
      </c>
      <c r="L1077" s="29">
        <f>J1077-K1077</f>
        <v/>
      </c>
      <c r="M1077" t="inlineStr">
        <is>
          <t>1.350</t>
        </is>
      </c>
      <c r="N1077" t="inlineStr">
        <is>
          <t>Modalidade: 0 - Por conta do remetente | Parte: SIMAO DISTRIBUIDORA DE EMBALAGENS DESCARTAVEIS LTDA (10.649.489/0001-80)</t>
        </is>
      </c>
      <c r="O1077" s="29" t="n">
        <v>0</v>
      </c>
      <c r="P1077" s="29" t="n">
        <v>0</v>
      </c>
      <c r="Q1077" s="29" t="n">
        <v>0</v>
      </c>
      <c r="R1077" s="29" t="n">
        <v>0</v>
      </c>
      <c r="S1077" s="29" t="n">
        <v>0</v>
      </c>
      <c r="T1077" t="inlineStr">
        <is>
          <t>25241226975620000130570010000033711000000008</t>
        </is>
      </c>
      <c r="U1077" t="inlineStr">
        <is>
          <t>Não</t>
        </is>
      </c>
    </row>
    <row r="1078">
      <c r="A1078" t="inlineStr">
        <is>
          <t>Frete de venda</t>
        </is>
      </c>
      <c r="B1078" t="inlineStr">
        <is>
          <t>1.01.01 Venda de Mercadoria Fabricadas</t>
        </is>
      </c>
      <c r="C1078" t="inlineStr">
        <is>
          <t>Antes de 2026</t>
        </is>
      </c>
      <c r="D1078" t="inlineStr">
        <is>
          <t>Antes de 2026</t>
        </is>
      </c>
      <c r="E1078" s="28" t="n">
        <v>45632</v>
      </c>
      <c r="F1078" t="inlineStr">
        <is>
          <t>CT-e</t>
        </is>
      </c>
      <c r="G1078" t="inlineStr">
        <is>
          <t>000003372</t>
        </is>
      </c>
      <c r="H1078" t="inlineStr">
        <is>
          <t>R&amp;R TRANSPORTE E LOGISTICA</t>
        </is>
      </c>
      <c r="J1078" s="29" t="n">
        <v>56</v>
      </c>
      <c r="K1078" s="29">
        <f>(1-ISNUMBER(SEARCH("556",M1078)))*(O1078*SUMIFS(Premissas!$C$5:$C$44,Premissas!$A$5:$A$44,$A1078,Premissas!$B$5:$B$44,$B1078)+P1078*SUMIFS(Premissas!$D$5:$D$44,Premissas!$A$5:$A$44,$A1078,Premissas!$B$5:$B$44,$B1078))+R1078*SUMIFS(Premissas!$E$5:$E$44,Premissas!$A$5:$A$44,$A1078,Premissas!$B$5:$B$44,$B1078)+S1078*SUMIFS(Premissas!$F$5:$F$44,Premissas!$A$5:$A$44,$A1078,Premissas!$B$5:$B$44,$B1078)</f>
        <v/>
      </c>
      <c r="L1078" s="29">
        <f>J1078-K1078</f>
        <v/>
      </c>
      <c r="M1078" t="inlineStr">
        <is>
          <t>1.350</t>
        </is>
      </c>
      <c r="N1078" t="inlineStr">
        <is>
          <t>Modalidade: 0 - Por conta do remetente | Parte: CAITTO PALHARES DA SILVA 05668249735 (26.647.620/0001-00)</t>
        </is>
      </c>
      <c r="O1078" s="29" t="n">
        <v>0</v>
      </c>
      <c r="P1078" s="29" t="n">
        <v>0</v>
      </c>
      <c r="Q1078" s="29" t="n">
        <v>0</v>
      </c>
      <c r="R1078" s="29" t="n">
        <v>0</v>
      </c>
      <c r="S1078" s="29" t="n">
        <v>0</v>
      </c>
      <c r="T1078" t="inlineStr">
        <is>
          <t>25241226975620000130570010000033721000000005</t>
        </is>
      </c>
      <c r="U1078" t="inlineStr">
        <is>
          <t>Não</t>
        </is>
      </c>
    </row>
    <row r="1079">
      <c r="A1079" t="inlineStr">
        <is>
          <t>Frete de venda</t>
        </is>
      </c>
      <c r="B1079" t="inlineStr">
        <is>
          <t>1.01.01 Venda de Mercadoria Fabricadas</t>
        </is>
      </c>
      <c r="C1079" t="inlineStr">
        <is>
          <t>Antes de 2026</t>
        </is>
      </c>
      <c r="D1079" t="inlineStr">
        <is>
          <t>Antes de 2026</t>
        </is>
      </c>
      <c r="E1079" s="28" t="n">
        <v>45632</v>
      </c>
      <c r="F1079" t="inlineStr">
        <is>
          <t>CT-e</t>
        </is>
      </c>
      <c r="G1079" t="inlineStr">
        <is>
          <t>000003374</t>
        </is>
      </c>
      <c r="H1079" t="inlineStr">
        <is>
          <t>R&amp;R TRANSPORTE E LOGISTICA</t>
        </is>
      </c>
      <c r="J1079" s="29" t="n">
        <v>98</v>
      </c>
      <c r="K1079" s="29">
        <f>(1-ISNUMBER(SEARCH("556",M1079)))*(O1079*SUMIFS(Premissas!$C$5:$C$44,Premissas!$A$5:$A$44,$A1079,Premissas!$B$5:$B$44,$B1079)+P1079*SUMIFS(Premissas!$D$5:$D$44,Premissas!$A$5:$A$44,$A1079,Premissas!$B$5:$B$44,$B1079))+R1079*SUMIFS(Premissas!$E$5:$E$44,Premissas!$A$5:$A$44,$A1079,Premissas!$B$5:$B$44,$B1079)+S1079*SUMIFS(Premissas!$F$5:$F$44,Premissas!$A$5:$A$44,$A1079,Premissas!$B$5:$B$44,$B1079)</f>
        <v/>
      </c>
      <c r="L1079" s="29">
        <f>J1079-K1079</f>
        <v/>
      </c>
      <c r="M1079" t="inlineStr">
        <is>
          <t>1.350</t>
        </is>
      </c>
      <c r="N1079" t="inlineStr">
        <is>
          <t>Modalidade: 0 - Por conta do remetente | Parte: E. S. DA SILVA - DISTRIBUIDOR DE EMBALAGENS E FRIOS (07.005.316/0001-15)</t>
        </is>
      </c>
      <c r="O1079" s="29" t="n">
        <v>0</v>
      </c>
      <c r="P1079" s="29" t="n">
        <v>0</v>
      </c>
      <c r="Q1079" s="29" t="n">
        <v>0</v>
      </c>
      <c r="R1079" s="29" t="n">
        <v>0</v>
      </c>
      <c r="S1079" s="29" t="n">
        <v>0</v>
      </c>
      <c r="T1079" t="inlineStr">
        <is>
          <t>25241226975620000130570010000033741000000000</t>
        </is>
      </c>
      <c r="U1079" t="inlineStr">
        <is>
          <t>Não</t>
        </is>
      </c>
    </row>
    <row r="1080">
      <c r="A1080" t="inlineStr">
        <is>
          <t>Frete de venda</t>
        </is>
      </c>
      <c r="B1080" t="inlineStr">
        <is>
          <t>1.01.01 Venda de Mercadoria Fabricadas</t>
        </is>
      </c>
      <c r="C1080" t="inlineStr">
        <is>
          <t>Antes de 2026</t>
        </is>
      </c>
      <c r="D1080" t="inlineStr">
        <is>
          <t>Antes de 2026</t>
        </is>
      </c>
      <c r="E1080" s="28" t="n">
        <v>45632</v>
      </c>
      <c r="F1080" t="inlineStr">
        <is>
          <t>CT-e</t>
        </is>
      </c>
      <c r="G1080" t="inlineStr">
        <is>
          <t>000003375</t>
        </is>
      </c>
      <c r="H1080" t="inlineStr">
        <is>
          <t>R&amp;R TRANSPORTE E LOGISTICA</t>
        </is>
      </c>
      <c r="J1080" s="29" t="n">
        <v>110</v>
      </c>
      <c r="K1080" s="29">
        <f>(1-ISNUMBER(SEARCH("556",M1080)))*(O1080*SUMIFS(Premissas!$C$5:$C$44,Premissas!$A$5:$A$44,$A1080,Premissas!$B$5:$B$44,$B1080)+P1080*SUMIFS(Premissas!$D$5:$D$44,Premissas!$A$5:$A$44,$A1080,Premissas!$B$5:$B$44,$B1080))+R1080*SUMIFS(Premissas!$E$5:$E$44,Premissas!$A$5:$A$44,$A1080,Premissas!$B$5:$B$44,$B1080)+S1080*SUMIFS(Premissas!$F$5:$F$44,Premissas!$A$5:$A$44,$A1080,Premissas!$B$5:$B$44,$B1080)</f>
        <v/>
      </c>
      <c r="L1080" s="29">
        <f>J1080-K1080</f>
        <v/>
      </c>
      <c r="M1080" t="inlineStr">
        <is>
          <t>1.350</t>
        </is>
      </c>
      <c r="N1080" t="inlineStr">
        <is>
          <t>Modalidade: 0 - Por conta do remetente | Parte: VIDEIRA COMERCIO DESCARTAVEIS LTDA (12.079.452/0001-90)</t>
        </is>
      </c>
      <c r="O1080" s="29" t="n">
        <v>0</v>
      </c>
      <c r="P1080" s="29" t="n">
        <v>0</v>
      </c>
      <c r="Q1080" s="29" t="n">
        <v>0</v>
      </c>
      <c r="R1080" s="29" t="n">
        <v>0</v>
      </c>
      <c r="S1080" s="29" t="n">
        <v>0</v>
      </c>
      <c r="T1080" t="inlineStr">
        <is>
          <t>25241226975620000130570010000033751000000007</t>
        </is>
      </c>
      <c r="U1080" t="inlineStr">
        <is>
          <t>Não</t>
        </is>
      </c>
    </row>
    <row r="1081">
      <c r="A1081" t="inlineStr">
        <is>
          <t>Frete de venda</t>
        </is>
      </c>
      <c r="B1081" t="inlineStr">
        <is>
          <t>1.01.01 Venda de Mercadoria Fabricadas</t>
        </is>
      </c>
      <c r="C1081" t="inlineStr">
        <is>
          <t>Antes de 2026</t>
        </is>
      </c>
      <c r="D1081" t="inlineStr">
        <is>
          <t>Antes de 2026</t>
        </is>
      </c>
      <c r="E1081" s="28" t="n">
        <v>45636</v>
      </c>
      <c r="F1081" t="inlineStr">
        <is>
          <t>CT-e</t>
        </is>
      </c>
      <c r="G1081" t="inlineStr">
        <is>
          <t>000003382</t>
        </is>
      </c>
      <c r="H1081" t="inlineStr">
        <is>
          <t>R&amp;R TRANSPORTE E LOGISTICA</t>
        </is>
      </c>
      <c r="J1081" s="29" t="n">
        <v>458</v>
      </c>
      <c r="K1081" s="29">
        <f>(1-ISNUMBER(SEARCH("556",M1081)))*(O1081*SUMIFS(Premissas!$C$5:$C$44,Premissas!$A$5:$A$44,$A1081,Premissas!$B$5:$B$44,$B1081)+P1081*SUMIFS(Premissas!$D$5:$D$44,Premissas!$A$5:$A$44,$A1081,Premissas!$B$5:$B$44,$B1081))+R1081*SUMIFS(Premissas!$E$5:$E$44,Premissas!$A$5:$A$44,$A1081,Premissas!$B$5:$B$44,$B1081)+S1081*SUMIFS(Premissas!$F$5:$F$44,Premissas!$A$5:$A$44,$A1081,Premissas!$B$5:$B$44,$B1081)</f>
        <v/>
      </c>
      <c r="L1081" s="29">
        <f>J1081-K1081</f>
        <v/>
      </c>
      <c r="M1081" t="inlineStr">
        <is>
          <t>1.350</t>
        </is>
      </c>
      <c r="N1081" t="inlineStr">
        <is>
          <t>Modalidade: 0 - Por conta do remetente | Parte: DISTRIPACK DISTRIBUIDORA DE EMBALAGENS LTDA (11.043.375/0002-36)</t>
        </is>
      </c>
      <c r="O1081" s="29" t="n">
        <v>0</v>
      </c>
      <c r="P1081" s="29" t="n">
        <v>0</v>
      </c>
      <c r="Q1081" s="29" t="n">
        <v>0</v>
      </c>
      <c r="R1081" s="29" t="n">
        <v>0</v>
      </c>
      <c r="S1081" s="29" t="n">
        <v>0</v>
      </c>
      <c r="T1081" t="inlineStr">
        <is>
          <t>25241226975620000130570010000033821000000001</t>
        </is>
      </c>
      <c r="U1081" t="inlineStr">
        <is>
          <t>Não</t>
        </is>
      </c>
    </row>
    <row r="1082">
      <c r="A1082" t="inlineStr">
        <is>
          <t>Frete de venda</t>
        </is>
      </c>
      <c r="B1082" t="inlineStr">
        <is>
          <t>1.01.01 Venda de Mercadoria Fabricadas</t>
        </is>
      </c>
      <c r="C1082" t="inlineStr">
        <is>
          <t>Antes de 2026</t>
        </is>
      </c>
      <c r="D1082" t="inlineStr">
        <is>
          <t>Antes de 2026</t>
        </is>
      </c>
      <c r="E1082" s="28" t="n">
        <v>45638</v>
      </c>
      <c r="F1082" t="inlineStr">
        <is>
          <t>CT-e</t>
        </is>
      </c>
      <c r="G1082" t="inlineStr">
        <is>
          <t>000003383</t>
        </is>
      </c>
      <c r="H1082" t="inlineStr">
        <is>
          <t>R&amp;R TRANSPORTE E LOGISTICA</t>
        </is>
      </c>
      <c r="J1082" s="29" t="n">
        <v>168.07</v>
      </c>
      <c r="K1082" s="29">
        <f>(1-ISNUMBER(SEARCH("556",M1082)))*(O1082*SUMIFS(Premissas!$C$5:$C$44,Premissas!$A$5:$A$44,$A1082,Premissas!$B$5:$B$44,$B1082)+P1082*SUMIFS(Premissas!$D$5:$D$44,Premissas!$A$5:$A$44,$A1082,Premissas!$B$5:$B$44,$B1082))+R1082*SUMIFS(Premissas!$E$5:$E$44,Premissas!$A$5:$A$44,$A1082,Premissas!$B$5:$B$44,$B1082)+S1082*SUMIFS(Premissas!$F$5:$F$44,Premissas!$A$5:$A$44,$A1082,Premissas!$B$5:$B$44,$B1082)</f>
        <v/>
      </c>
      <c r="L1082" s="29">
        <f>J1082-K1082</f>
        <v/>
      </c>
      <c r="M1082" t="inlineStr">
        <is>
          <t>1.350</t>
        </is>
      </c>
      <c r="N1082" t="inlineStr">
        <is>
          <t>Modalidade: 0 - Por conta do remetente | Parte: NOVA FOODS INDUSTRIA DE ALIMENTOS LTDA (20.538.970/0001-52)</t>
        </is>
      </c>
      <c r="O1082" s="29" t="n">
        <v>0</v>
      </c>
      <c r="P1082" s="29" t="n">
        <v>0</v>
      </c>
      <c r="Q1082" s="29" t="n">
        <v>0</v>
      </c>
      <c r="R1082" s="29" t="n">
        <v>0</v>
      </c>
      <c r="S1082" s="29" t="n">
        <v>0</v>
      </c>
      <c r="T1082" t="inlineStr">
        <is>
          <t>25241226975620000130570010000033831000000009</t>
        </is>
      </c>
      <c r="U1082" t="inlineStr">
        <is>
          <t>Não</t>
        </is>
      </c>
    </row>
    <row r="1083">
      <c r="A1083" t="inlineStr">
        <is>
          <t>Frete de venda</t>
        </is>
      </c>
      <c r="B1083" t="inlineStr">
        <is>
          <t>1.01.01 Venda de Mercadoria Fabricadas</t>
        </is>
      </c>
      <c r="C1083" t="inlineStr">
        <is>
          <t>Antes de 2026</t>
        </is>
      </c>
      <c r="D1083" t="inlineStr">
        <is>
          <t>Antes de 2026</t>
        </is>
      </c>
      <c r="E1083" s="28" t="n">
        <v>45638</v>
      </c>
      <c r="F1083" t="inlineStr">
        <is>
          <t>CT-e</t>
        </is>
      </c>
      <c r="G1083" t="inlineStr">
        <is>
          <t>000003384</t>
        </is>
      </c>
      <c r="H1083" t="inlineStr">
        <is>
          <t>R&amp;R TRANSPORTE E LOGISTICA</t>
        </is>
      </c>
      <c r="J1083" s="29" t="n">
        <v>37.37</v>
      </c>
      <c r="K1083" s="29">
        <f>(1-ISNUMBER(SEARCH("556",M1083)))*(O1083*SUMIFS(Premissas!$C$5:$C$44,Premissas!$A$5:$A$44,$A1083,Premissas!$B$5:$B$44,$B1083)+P1083*SUMIFS(Premissas!$D$5:$D$44,Premissas!$A$5:$A$44,$A1083,Premissas!$B$5:$B$44,$B1083))+R1083*SUMIFS(Premissas!$E$5:$E$44,Premissas!$A$5:$A$44,$A1083,Premissas!$B$5:$B$44,$B1083)+S1083*SUMIFS(Premissas!$F$5:$F$44,Premissas!$A$5:$A$44,$A1083,Premissas!$B$5:$B$44,$B1083)</f>
        <v/>
      </c>
      <c r="L1083" s="29">
        <f>J1083-K1083</f>
        <v/>
      </c>
      <c r="M1083" t="inlineStr">
        <is>
          <t>1.350</t>
        </is>
      </c>
      <c r="N1083" t="inlineStr">
        <is>
          <t>Modalidade: 0 - Por conta do remetente | Parte: PLASMAR COMERCIO DE PRODUTOS DESCARTAVEIS LTDA (09.354.922/0001-71)</t>
        </is>
      </c>
      <c r="O1083" s="29" t="n">
        <v>0</v>
      </c>
      <c r="P1083" s="29" t="n">
        <v>0</v>
      </c>
      <c r="Q1083" s="29" t="n">
        <v>0</v>
      </c>
      <c r="R1083" s="29" t="n">
        <v>0</v>
      </c>
      <c r="S1083" s="29" t="n">
        <v>0</v>
      </c>
      <c r="T1083" t="inlineStr">
        <is>
          <t>25241226975620000130570010000033841000000006</t>
        </is>
      </c>
      <c r="U1083" t="inlineStr">
        <is>
          <t>Não</t>
        </is>
      </c>
    </row>
    <row r="1084">
      <c r="A1084" t="inlineStr">
        <is>
          <t>Frete de venda</t>
        </is>
      </c>
      <c r="B1084" t="inlineStr">
        <is>
          <t>1.01.01 Venda de Mercadoria Fabricadas</t>
        </is>
      </c>
      <c r="C1084" t="inlineStr">
        <is>
          <t>Antes de 2026</t>
        </is>
      </c>
      <c r="D1084" t="inlineStr">
        <is>
          <t>Antes de 2026</t>
        </is>
      </c>
      <c r="E1084" s="28" t="n">
        <v>45638</v>
      </c>
      <c r="F1084" t="inlineStr">
        <is>
          <t>CT-e</t>
        </is>
      </c>
      <c r="G1084" t="inlineStr">
        <is>
          <t>000003385</t>
        </is>
      </c>
      <c r="H1084" t="inlineStr">
        <is>
          <t>R&amp;R TRANSPORTE E LOGISTICA</t>
        </is>
      </c>
      <c r="J1084" s="29" t="n">
        <v>29.68</v>
      </c>
      <c r="K1084" s="29">
        <f>(1-ISNUMBER(SEARCH("556",M1084)))*(O1084*SUMIFS(Premissas!$C$5:$C$44,Premissas!$A$5:$A$44,$A1084,Premissas!$B$5:$B$44,$B1084)+P1084*SUMIFS(Premissas!$D$5:$D$44,Premissas!$A$5:$A$44,$A1084,Premissas!$B$5:$B$44,$B1084))+R1084*SUMIFS(Premissas!$E$5:$E$44,Premissas!$A$5:$A$44,$A1084,Premissas!$B$5:$B$44,$B1084)+S1084*SUMIFS(Premissas!$F$5:$F$44,Premissas!$A$5:$A$44,$A1084,Premissas!$B$5:$B$44,$B1084)</f>
        <v/>
      </c>
      <c r="L1084" s="29">
        <f>J1084-K1084</f>
        <v/>
      </c>
      <c r="M1084" t="inlineStr">
        <is>
          <t>1.350</t>
        </is>
      </c>
      <c r="N1084" t="inlineStr">
        <is>
          <t>Modalidade: 0 - Por conta do remetente | Parte: HAPPY FESTAS LTDA (24.626.452/0001-41)</t>
        </is>
      </c>
      <c r="O1084" s="29" t="n">
        <v>0</v>
      </c>
      <c r="P1084" s="29" t="n">
        <v>0</v>
      </c>
      <c r="Q1084" s="29" t="n">
        <v>0</v>
      </c>
      <c r="R1084" s="29" t="n">
        <v>0</v>
      </c>
      <c r="S1084" s="29" t="n">
        <v>0</v>
      </c>
      <c r="T1084" t="inlineStr">
        <is>
          <t>25241226975620000130570010000033851000000003</t>
        </is>
      </c>
      <c r="U1084" t="inlineStr">
        <is>
          <t>Não</t>
        </is>
      </c>
    </row>
    <row r="1085">
      <c r="A1085" t="inlineStr">
        <is>
          <t>Frete de venda</t>
        </is>
      </c>
      <c r="B1085" t="inlineStr">
        <is>
          <t>1.01.01 Venda de Mercadoria Fabricadas</t>
        </is>
      </c>
      <c r="C1085" t="inlineStr">
        <is>
          <t>Antes de 2026</t>
        </is>
      </c>
      <c r="D1085" t="inlineStr">
        <is>
          <t>Antes de 2026</t>
        </is>
      </c>
      <c r="E1085" s="28" t="n">
        <v>45638</v>
      </c>
      <c r="F1085" t="inlineStr">
        <is>
          <t>CT-e</t>
        </is>
      </c>
      <c r="G1085" t="inlineStr">
        <is>
          <t>000003386</t>
        </is>
      </c>
      <c r="H1085" t="inlineStr">
        <is>
          <t>R&amp;R TRANSPORTE E LOGISTICA</t>
        </is>
      </c>
      <c r="J1085" s="29" t="n">
        <v>42.77</v>
      </c>
      <c r="K1085" s="29">
        <f>(1-ISNUMBER(SEARCH("556",M1085)))*(O1085*SUMIFS(Premissas!$C$5:$C$44,Premissas!$A$5:$A$44,$A1085,Premissas!$B$5:$B$44,$B1085)+P1085*SUMIFS(Premissas!$D$5:$D$44,Premissas!$A$5:$A$44,$A1085,Premissas!$B$5:$B$44,$B1085))+R1085*SUMIFS(Premissas!$E$5:$E$44,Premissas!$A$5:$A$44,$A1085,Premissas!$B$5:$B$44,$B1085)+S1085*SUMIFS(Premissas!$F$5:$F$44,Premissas!$A$5:$A$44,$A1085,Premissas!$B$5:$B$44,$B1085)</f>
        <v/>
      </c>
      <c r="L1085" s="29">
        <f>J1085-K1085</f>
        <v/>
      </c>
      <c r="M1085" t="inlineStr">
        <is>
          <t>1.350</t>
        </is>
      </c>
      <c r="N1085" t="inlineStr">
        <is>
          <t>Modalidade: 0 - Por conta do remetente | Parte: M. N. ROCHA DE SOUSA LTDA (52.989.831/0001-31)</t>
        </is>
      </c>
      <c r="O1085" s="29" t="n">
        <v>0</v>
      </c>
      <c r="P1085" s="29" t="n">
        <v>0</v>
      </c>
      <c r="Q1085" s="29" t="n">
        <v>0</v>
      </c>
      <c r="R1085" s="29" t="n">
        <v>0</v>
      </c>
      <c r="S1085" s="29" t="n">
        <v>0</v>
      </c>
      <c r="T1085" t="inlineStr">
        <is>
          <t>25241226975620000130570010000033861000000000</t>
        </is>
      </c>
      <c r="U1085" t="inlineStr">
        <is>
          <t>Não</t>
        </is>
      </c>
    </row>
    <row r="1086">
      <c r="A1086" t="inlineStr">
        <is>
          <t>Frete de venda</t>
        </is>
      </c>
      <c r="B1086" t="inlineStr">
        <is>
          <t>1.01.01 Venda de Mercadoria Fabricadas</t>
        </is>
      </c>
      <c r="C1086" t="inlineStr">
        <is>
          <t>Antes de 2026</t>
        </is>
      </c>
      <c r="D1086" t="inlineStr">
        <is>
          <t>Antes de 2026</t>
        </is>
      </c>
      <c r="E1086" s="28" t="n">
        <v>45638</v>
      </c>
      <c r="F1086" t="inlineStr">
        <is>
          <t>CT-e</t>
        </is>
      </c>
      <c r="G1086" t="inlineStr">
        <is>
          <t>000003387</t>
        </is>
      </c>
      <c r="H1086" t="inlineStr">
        <is>
          <t>R&amp;R TRANSPORTE E LOGISTICA</t>
        </is>
      </c>
      <c r="J1086" s="29" t="n">
        <v>44.02</v>
      </c>
      <c r="K1086" s="29">
        <f>(1-ISNUMBER(SEARCH("556",M1086)))*(O1086*SUMIFS(Premissas!$C$5:$C$44,Premissas!$A$5:$A$44,$A1086,Premissas!$B$5:$B$44,$B1086)+P1086*SUMIFS(Premissas!$D$5:$D$44,Premissas!$A$5:$A$44,$A1086,Premissas!$B$5:$B$44,$B1086))+R1086*SUMIFS(Premissas!$E$5:$E$44,Premissas!$A$5:$A$44,$A1086,Premissas!$B$5:$B$44,$B1086)+S1086*SUMIFS(Premissas!$F$5:$F$44,Premissas!$A$5:$A$44,$A1086,Premissas!$B$5:$B$44,$B1086)</f>
        <v/>
      </c>
      <c r="L1086" s="29">
        <f>J1086-K1086</f>
        <v/>
      </c>
      <c r="M1086" t="inlineStr">
        <is>
          <t>1.350</t>
        </is>
      </c>
      <c r="N1086" t="inlineStr">
        <is>
          <t>Modalidade: 0 - Por conta do remetente | Parte: R ALBUQUERQUE COMERCIO DE ARTIGOS DE ARMARINHO LTDA (57.701.763/0001-87)</t>
        </is>
      </c>
      <c r="O1086" s="29" t="n">
        <v>0</v>
      </c>
      <c r="P1086" s="29" t="n">
        <v>0</v>
      </c>
      <c r="Q1086" s="29" t="n">
        <v>0</v>
      </c>
      <c r="R1086" s="29" t="n">
        <v>0</v>
      </c>
      <c r="S1086" s="29" t="n">
        <v>0</v>
      </c>
      <c r="T1086" t="inlineStr">
        <is>
          <t>25241226975620000130570010000033871000000008</t>
        </is>
      </c>
      <c r="U1086" t="inlineStr">
        <is>
          <t>Não</t>
        </is>
      </c>
    </row>
    <row r="1087">
      <c r="A1087" t="inlineStr">
        <is>
          <t>Frete de venda</t>
        </is>
      </c>
      <c r="B1087" t="inlineStr">
        <is>
          <t>1.01.01 Venda de Mercadoria Fabricadas</t>
        </is>
      </c>
      <c r="C1087" t="inlineStr">
        <is>
          <t>Antes de 2026</t>
        </is>
      </c>
      <c r="D1087" t="inlineStr">
        <is>
          <t>Antes de 2026</t>
        </is>
      </c>
      <c r="E1087" s="28" t="n">
        <v>45638</v>
      </c>
      <c r="F1087" t="inlineStr">
        <is>
          <t>CT-e</t>
        </is>
      </c>
      <c r="G1087" t="inlineStr">
        <is>
          <t>000003388</t>
        </is>
      </c>
      <c r="H1087" t="inlineStr">
        <is>
          <t>R&amp;R TRANSPORTE E LOGISTICA</t>
        </is>
      </c>
      <c r="J1087" s="29" t="n">
        <v>36.62</v>
      </c>
      <c r="K1087" s="29">
        <f>(1-ISNUMBER(SEARCH("556",M1087)))*(O1087*SUMIFS(Premissas!$C$5:$C$44,Premissas!$A$5:$A$44,$A1087,Premissas!$B$5:$B$44,$B1087)+P1087*SUMIFS(Premissas!$D$5:$D$44,Premissas!$A$5:$A$44,$A1087,Premissas!$B$5:$B$44,$B1087))+R1087*SUMIFS(Premissas!$E$5:$E$44,Premissas!$A$5:$A$44,$A1087,Premissas!$B$5:$B$44,$B1087)+S1087*SUMIFS(Premissas!$F$5:$F$44,Premissas!$A$5:$A$44,$A1087,Premissas!$B$5:$B$44,$B1087)</f>
        <v/>
      </c>
      <c r="L1087" s="29">
        <f>J1087-K1087</f>
        <v/>
      </c>
      <c r="M1087" t="inlineStr">
        <is>
          <t>1.350</t>
        </is>
      </c>
      <c r="N1087" t="inlineStr">
        <is>
          <t>Modalidade: 0 - Por conta do remetente | Parte: LIDER INDUSTRIA E COMERCIO LTDA (45.762.979/0001-73)</t>
        </is>
      </c>
      <c r="O1087" s="29" t="n">
        <v>0</v>
      </c>
      <c r="P1087" s="29" t="n">
        <v>0</v>
      </c>
      <c r="Q1087" s="29" t="n">
        <v>0</v>
      </c>
      <c r="R1087" s="29" t="n">
        <v>0</v>
      </c>
      <c r="S1087" s="29" t="n">
        <v>0</v>
      </c>
      <c r="T1087" t="inlineStr">
        <is>
          <t>25241226975620000130570010000033881000000005</t>
        </is>
      </c>
      <c r="U1087" t="inlineStr">
        <is>
          <t>Não</t>
        </is>
      </c>
    </row>
    <row r="1088">
      <c r="A1088" t="inlineStr">
        <is>
          <t>Frete de venda</t>
        </is>
      </c>
      <c r="B1088" t="inlineStr">
        <is>
          <t>1.01.01 Venda de Mercadoria Fabricadas</t>
        </is>
      </c>
      <c r="C1088" t="inlineStr">
        <is>
          <t>Antes de 2026</t>
        </is>
      </c>
      <c r="D1088" t="inlineStr">
        <is>
          <t>Antes de 2026</t>
        </is>
      </c>
      <c r="E1088" s="28" t="n">
        <v>45638</v>
      </c>
      <c r="F1088" t="inlineStr">
        <is>
          <t>CT-e</t>
        </is>
      </c>
      <c r="G1088" t="inlineStr">
        <is>
          <t>000003389</t>
        </is>
      </c>
      <c r="H1088" t="inlineStr">
        <is>
          <t>R&amp;R TRANSPORTE E LOGISTICA</t>
        </is>
      </c>
      <c r="J1088" s="29" t="n">
        <v>23.03</v>
      </c>
      <c r="K1088" s="29">
        <f>(1-ISNUMBER(SEARCH("556",M1088)))*(O1088*SUMIFS(Premissas!$C$5:$C$44,Premissas!$A$5:$A$44,$A1088,Premissas!$B$5:$B$44,$B1088)+P1088*SUMIFS(Premissas!$D$5:$D$44,Premissas!$A$5:$A$44,$A1088,Premissas!$B$5:$B$44,$B1088))+R1088*SUMIFS(Premissas!$E$5:$E$44,Premissas!$A$5:$A$44,$A1088,Premissas!$B$5:$B$44,$B1088)+S1088*SUMIFS(Premissas!$F$5:$F$44,Premissas!$A$5:$A$44,$A1088,Premissas!$B$5:$B$44,$B1088)</f>
        <v/>
      </c>
      <c r="L1088" s="29">
        <f>J1088-K1088</f>
        <v/>
      </c>
      <c r="M1088" t="inlineStr">
        <is>
          <t>1.350</t>
        </is>
      </c>
      <c r="N1088" t="inlineStr">
        <is>
          <t>Modalidade: 0 - Por conta do remetente | Parte: NEW PLASTICOS DISTRIBUIDORA LTDA (38.438.642/0001-40)</t>
        </is>
      </c>
      <c r="O1088" s="29" t="n">
        <v>0</v>
      </c>
      <c r="P1088" s="29" t="n">
        <v>0</v>
      </c>
      <c r="Q1088" s="29" t="n">
        <v>0</v>
      </c>
      <c r="R1088" s="29" t="n">
        <v>0</v>
      </c>
      <c r="S1088" s="29" t="n">
        <v>0</v>
      </c>
      <c r="T1088" t="inlineStr">
        <is>
          <t>25241226975620000130570010000033891000000002</t>
        </is>
      </c>
      <c r="U1088" t="inlineStr">
        <is>
          <t>Não</t>
        </is>
      </c>
    </row>
    <row r="1089">
      <c r="A1089" t="inlineStr">
        <is>
          <t>Frete de venda</t>
        </is>
      </c>
      <c r="B1089" t="inlineStr">
        <is>
          <t>1.01.01 Venda de Mercadoria Fabricadas</t>
        </is>
      </c>
      <c r="C1089" t="inlineStr">
        <is>
          <t>Antes de 2026</t>
        </is>
      </c>
      <c r="D1089" t="inlineStr">
        <is>
          <t>Antes de 2026</t>
        </is>
      </c>
      <c r="E1089" s="28" t="n">
        <v>45638</v>
      </c>
      <c r="F1089" t="inlineStr">
        <is>
          <t>CT-e</t>
        </is>
      </c>
      <c r="G1089" t="inlineStr">
        <is>
          <t>000003390</t>
        </is>
      </c>
      <c r="H1089" t="inlineStr">
        <is>
          <t>R&amp;R TRANSPORTE E LOGISTICA</t>
        </is>
      </c>
      <c r="J1089" s="29" t="n">
        <v>44.73</v>
      </c>
      <c r="K1089" s="29">
        <f>(1-ISNUMBER(SEARCH("556",M1089)))*(O1089*SUMIFS(Premissas!$C$5:$C$44,Premissas!$A$5:$A$44,$A1089,Premissas!$B$5:$B$44,$B1089)+P1089*SUMIFS(Premissas!$D$5:$D$44,Premissas!$A$5:$A$44,$A1089,Premissas!$B$5:$B$44,$B1089))+R1089*SUMIFS(Premissas!$E$5:$E$44,Premissas!$A$5:$A$44,$A1089,Premissas!$B$5:$B$44,$B1089)+S1089*SUMIFS(Premissas!$F$5:$F$44,Premissas!$A$5:$A$44,$A1089,Premissas!$B$5:$B$44,$B1089)</f>
        <v/>
      </c>
      <c r="L1089" s="29">
        <f>J1089-K1089</f>
        <v/>
      </c>
      <c r="M1089" t="inlineStr">
        <is>
          <t>1.350</t>
        </is>
      </c>
      <c r="N1089" t="inlineStr">
        <is>
          <t>Modalidade: 0 - Por conta do remetente | Parte: IBIAPINA VARIEDADES LTDA (46.211.356/0001-75)</t>
        </is>
      </c>
      <c r="O1089" s="29" t="n">
        <v>0</v>
      </c>
      <c r="P1089" s="29" t="n">
        <v>0</v>
      </c>
      <c r="Q1089" s="29" t="n">
        <v>0</v>
      </c>
      <c r="R1089" s="29" t="n">
        <v>0</v>
      </c>
      <c r="S1089" s="29" t="n">
        <v>0</v>
      </c>
      <c r="T1089" t="inlineStr">
        <is>
          <t>25241226975620000130570010000033901000000003</t>
        </is>
      </c>
      <c r="U1089" t="inlineStr">
        <is>
          <t>Não</t>
        </is>
      </c>
    </row>
    <row r="1090">
      <c r="A1090" t="inlineStr">
        <is>
          <t>Frete de venda</t>
        </is>
      </c>
      <c r="B1090" t="inlineStr">
        <is>
          <t>1.01.01 Venda de Mercadoria Fabricadas</t>
        </is>
      </c>
      <c r="C1090" t="inlineStr">
        <is>
          <t>Antes de 2026</t>
        </is>
      </c>
      <c r="D1090" t="inlineStr">
        <is>
          <t>Antes de 2026</t>
        </is>
      </c>
      <c r="E1090" s="28" t="n">
        <v>45638</v>
      </c>
      <c r="F1090" t="inlineStr">
        <is>
          <t>CT-e</t>
        </is>
      </c>
      <c r="G1090" t="inlineStr">
        <is>
          <t>000003391</t>
        </is>
      </c>
      <c r="H1090" t="inlineStr">
        <is>
          <t>R&amp;R TRANSPORTE E LOGISTICA</t>
        </is>
      </c>
      <c r="J1090" s="29" t="n">
        <v>32.13</v>
      </c>
      <c r="K1090" s="29">
        <f>(1-ISNUMBER(SEARCH("556",M1090)))*(O1090*SUMIFS(Premissas!$C$5:$C$44,Premissas!$A$5:$A$44,$A1090,Premissas!$B$5:$B$44,$B1090)+P1090*SUMIFS(Premissas!$D$5:$D$44,Premissas!$A$5:$A$44,$A1090,Premissas!$B$5:$B$44,$B1090))+R1090*SUMIFS(Premissas!$E$5:$E$44,Premissas!$A$5:$A$44,$A1090,Premissas!$B$5:$B$44,$B1090)+S1090*SUMIFS(Premissas!$F$5:$F$44,Premissas!$A$5:$A$44,$A1090,Premissas!$B$5:$B$44,$B1090)</f>
        <v/>
      </c>
      <c r="L1090" s="29">
        <f>J1090-K1090</f>
        <v/>
      </c>
      <c r="M1090" t="inlineStr">
        <is>
          <t>1.350</t>
        </is>
      </c>
      <c r="N1090" t="inlineStr">
        <is>
          <t>Modalidade: 0 - Por conta do remetente | Parte: JAMES L. H. TOME e CIA LTDA (16.965.024/0001-15)</t>
        </is>
      </c>
      <c r="O1090" s="29" t="n">
        <v>0</v>
      </c>
      <c r="P1090" s="29" t="n">
        <v>0</v>
      </c>
      <c r="Q1090" s="29" t="n">
        <v>0</v>
      </c>
      <c r="R1090" s="29" t="n">
        <v>0</v>
      </c>
      <c r="S1090" s="29" t="n">
        <v>0</v>
      </c>
      <c r="T1090" t="inlineStr">
        <is>
          <t>25241226975620000130570010000033911000000000</t>
        </is>
      </c>
      <c r="U1090" t="inlineStr">
        <is>
          <t>Não</t>
        </is>
      </c>
    </row>
    <row r="1091">
      <c r="A1091" t="inlineStr">
        <is>
          <t>Frete de venda</t>
        </is>
      </c>
      <c r="B1091" t="inlineStr">
        <is>
          <t>1.01.01 Venda de Mercadoria Fabricadas</t>
        </is>
      </c>
      <c r="C1091" t="inlineStr">
        <is>
          <t>Antes de 2026</t>
        </is>
      </c>
      <c r="D1091" t="inlineStr">
        <is>
          <t>Antes de 2026</t>
        </is>
      </c>
      <c r="E1091" s="28" t="n">
        <v>45638</v>
      </c>
      <c r="F1091" t="inlineStr">
        <is>
          <t>CT-e</t>
        </is>
      </c>
      <c r="G1091" t="inlineStr">
        <is>
          <t>000003392</t>
        </is>
      </c>
      <c r="H1091" t="inlineStr">
        <is>
          <t>R&amp;R TRANSPORTE E LOGISTICA</t>
        </is>
      </c>
      <c r="J1091" s="29" t="n">
        <v>35.54</v>
      </c>
      <c r="K1091" s="29">
        <f>(1-ISNUMBER(SEARCH("556",M1091)))*(O1091*SUMIFS(Premissas!$C$5:$C$44,Premissas!$A$5:$A$44,$A1091,Premissas!$B$5:$B$44,$B1091)+P1091*SUMIFS(Premissas!$D$5:$D$44,Premissas!$A$5:$A$44,$A1091,Premissas!$B$5:$B$44,$B1091))+R1091*SUMIFS(Premissas!$E$5:$E$44,Premissas!$A$5:$A$44,$A1091,Premissas!$B$5:$B$44,$B1091)+S1091*SUMIFS(Premissas!$F$5:$F$44,Premissas!$A$5:$A$44,$A1091,Premissas!$B$5:$B$44,$B1091)</f>
        <v/>
      </c>
      <c r="L1091" s="29">
        <f>J1091-K1091</f>
        <v/>
      </c>
      <c r="M1091" t="inlineStr">
        <is>
          <t>1.350</t>
        </is>
      </c>
      <c r="N1091" t="inlineStr">
        <is>
          <t>Modalidade: 0 - Por conta do remetente | Parte: JAMES L. H. TOME e CIA LTDA (16.965.024/0007-00)</t>
        </is>
      </c>
      <c r="O1091" s="29" t="n">
        <v>0</v>
      </c>
      <c r="P1091" s="29" t="n">
        <v>0</v>
      </c>
      <c r="Q1091" s="29" t="n">
        <v>0</v>
      </c>
      <c r="R1091" s="29" t="n">
        <v>0</v>
      </c>
      <c r="S1091" s="29" t="n">
        <v>0</v>
      </c>
      <c r="T1091" t="inlineStr">
        <is>
          <t>25241226975620000130570010000033921000000008</t>
        </is>
      </c>
      <c r="U1091" t="inlineStr">
        <is>
          <t>Não</t>
        </is>
      </c>
    </row>
    <row r="1092">
      <c r="A1092" t="inlineStr">
        <is>
          <t>Frete de venda</t>
        </is>
      </c>
      <c r="B1092" t="inlineStr">
        <is>
          <t>1.01.01 Venda de Mercadoria Fabricadas</t>
        </is>
      </c>
      <c r="C1092" t="inlineStr">
        <is>
          <t>Antes de 2026</t>
        </is>
      </c>
      <c r="D1092" t="inlineStr">
        <is>
          <t>Antes de 2026</t>
        </is>
      </c>
      <c r="E1092" s="28" t="n">
        <v>45638</v>
      </c>
      <c r="F1092" t="inlineStr">
        <is>
          <t>CT-e</t>
        </is>
      </c>
      <c r="G1092" t="inlineStr">
        <is>
          <t>000003393</t>
        </is>
      </c>
      <c r="H1092" t="inlineStr">
        <is>
          <t>R&amp;R TRANSPORTE E LOGISTICA</t>
        </is>
      </c>
      <c r="J1092" s="29" t="n">
        <v>28.18</v>
      </c>
      <c r="K1092" s="29">
        <f>(1-ISNUMBER(SEARCH("556",M1092)))*(O1092*SUMIFS(Premissas!$C$5:$C$44,Premissas!$A$5:$A$44,$A1092,Premissas!$B$5:$B$44,$B1092)+P1092*SUMIFS(Premissas!$D$5:$D$44,Premissas!$A$5:$A$44,$A1092,Premissas!$B$5:$B$44,$B1092))+R1092*SUMIFS(Premissas!$E$5:$E$44,Premissas!$A$5:$A$44,$A1092,Premissas!$B$5:$B$44,$B1092)+S1092*SUMIFS(Premissas!$F$5:$F$44,Premissas!$A$5:$A$44,$A1092,Premissas!$B$5:$B$44,$B1092)</f>
        <v/>
      </c>
      <c r="L1092" s="29">
        <f>J1092-K1092</f>
        <v/>
      </c>
      <c r="M1092" t="inlineStr">
        <is>
          <t>1.350</t>
        </is>
      </c>
      <c r="N1092" t="inlineStr">
        <is>
          <t>Modalidade: 0 - Por conta do remetente | Parte: JAMES L. H. TOME e CIA LTDA (16.965.024/0006-20)</t>
        </is>
      </c>
      <c r="O1092" s="29" t="n">
        <v>0</v>
      </c>
      <c r="P1092" s="29" t="n">
        <v>0</v>
      </c>
      <c r="Q1092" s="29" t="n">
        <v>0</v>
      </c>
      <c r="R1092" s="29" t="n">
        <v>0</v>
      </c>
      <c r="S1092" s="29" t="n">
        <v>0</v>
      </c>
      <c r="T1092" t="inlineStr">
        <is>
          <t>25241226975620000130570010000033931000000005</t>
        </is>
      </c>
      <c r="U1092" t="inlineStr">
        <is>
          <t>Não</t>
        </is>
      </c>
    </row>
    <row r="1093">
      <c r="A1093" t="inlineStr">
        <is>
          <t>Frete de venda</t>
        </is>
      </c>
      <c r="B1093" t="inlineStr">
        <is>
          <t>1.01.01 Venda de Mercadoria Fabricadas</t>
        </is>
      </c>
      <c r="C1093" t="inlineStr">
        <is>
          <t>Antes de 2026</t>
        </is>
      </c>
      <c r="D1093" t="inlineStr">
        <is>
          <t>Antes de 2026</t>
        </is>
      </c>
      <c r="E1093" s="28" t="n">
        <v>45638</v>
      </c>
      <c r="F1093" t="inlineStr">
        <is>
          <t>CT-e</t>
        </is>
      </c>
      <c r="G1093" t="inlineStr">
        <is>
          <t>000003394</t>
        </is>
      </c>
      <c r="H1093" t="inlineStr">
        <is>
          <t>R&amp;R TRANSPORTE E LOGISTICA</t>
        </is>
      </c>
      <c r="J1093" s="29" t="n">
        <v>32.5</v>
      </c>
      <c r="K1093" s="29">
        <f>(1-ISNUMBER(SEARCH("556",M1093)))*(O1093*SUMIFS(Premissas!$C$5:$C$44,Premissas!$A$5:$A$44,$A1093,Premissas!$B$5:$B$44,$B1093)+P1093*SUMIFS(Premissas!$D$5:$D$44,Premissas!$A$5:$A$44,$A1093,Premissas!$B$5:$B$44,$B1093))+R1093*SUMIFS(Premissas!$E$5:$E$44,Premissas!$A$5:$A$44,$A1093,Premissas!$B$5:$B$44,$B1093)+S1093*SUMIFS(Premissas!$F$5:$F$44,Premissas!$A$5:$A$44,$A1093,Premissas!$B$5:$B$44,$B1093)</f>
        <v/>
      </c>
      <c r="L1093" s="29">
        <f>J1093-K1093</f>
        <v/>
      </c>
      <c r="M1093" t="inlineStr">
        <is>
          <t>1.350</t>
        </is>
      </c>
      <c r="N1093" t="inlineStr">
        <is>
          <t>Modalidade: 0 - Por conta do remetente | Parte: JAMES L. H. TOME e CIA LTDA (16.965.024/0002-04)</t>
        </is>
      </c>
      <c r="O1093" s="29" t="n">
        <v>0</v>
      </c>
      <c r="P1093" s="29" t="n">
        <v>0</v>
      </c>
      <c r="Q1093" s="29" t="n">
        <v>0</v>
      </c>
      <c r="R1093" s="29" t="n">
        <v>0</v>
      </c>
      <c r="S1093" s="29" t="n">
        <v>0</v>
      </c>
      <c r="T1093" t="inlineStr">
        <is>
          <t>25241226975620000130570010000033941000000002</t>
        </is>
      </c>
      <c r="U1093" t="inlineStr">
        <is>
          <t>Não</t>
        </is>
      </c>
    </row>
    <row r="1094">
      <c r="A1094" t="inlineStr">
        <is>
          <t>Frete de venda</t>
        </is>
      </c>
      <c r="B1094" t="inlineStr">
        <is>
          <t>1.01.01 Venda de Mercadoria Fabricadas</t>
        </is>
      </c>
      <c r="C1094" t="inlineStr">
        <is>
          <t>Antes de 2026</t>
        </is>
      </c>
      <c r="D1094" t="inlineStr">
        <is>
          <t>Antes de 2026</t>
        </is>
      </c>
      <c r="E1094" s="28" t="n">
        <v>45639</v>
      </c>
      <c r="F1094" t="inlineStr">
        <is>
          <t>CT-e</t>
        </is>
      </c>
      <c r="G1094" t="inlineStr">
        <is>
          <t>000003401</t>
        </is>
      </c>
      <c r="H1094" t="inlineStr">
        <is>
          <t>R&amp;R TRANSPORTE E LOGISTICA</t>
        </is>
      </c>
      <c r="J1094" s="29" t="n">
        <v>66</v>
      </c>
      <c r="K1094" s="29">
        <f>(1-ISNUMBER(SEARCH("556",M1094)))*(O1094*SUMIFS(Premissas!$C$5:$C$44,Premissas!$A$5:$A$44,$A1094,Premissas!$B$5:$B$44,$B1094)+P1094*SUMIFS(Premissas!$D$5:$D$44,Premissas!$A$5:$A$44,$A1094,Premissas!$B$5:$B$44,$B1094))+R1094*SUMIFS(Premissas!$E$5:$E$44,Premissas!$A$5:$A$44,$A1094,Premissas!$B$5:$B$44,$B1094)+S1094*SUMIFS(Premissas!$F$5:$F$44,Premissas!$A$5:$A$44,$A1094,Premissas!$B$5:$B$44,$B1094)</f>
        <v/>
      </c>
      <c r="L1094" s="29">
        <f>J1094-K1094</f>
        <v/>
      </c>
      <c r="M1094" t="inlineStr">
        <is>
          <t>1.350</t>
        </is>
      </c>
      <c r="N1094" t="inlineStr">
        <is>
          <t>Modalidade: 0 - Por conta do remetente | Parte: DISTRIBUIDORA DE EMBALAGENS CASTROPIL LTDA. (08.961.274/0007-44)</t>
        </is>
      </c>
      <c r="O1094" s="29" t="n">
        <v>0</v>
      </c>
      <c r="P1094" s="29" t="n">
        <v>0</v>
      </c>
      <c r="Q1094" s="29" t="n">
        <v>0</v>
      </c>
      <c r="R1094" s="29" t="n">
        <v>0</v>
      </c>
      <c r="S1094" s="29" t="n">
        <v>0</v>
      </c>
      <c r="T1094" t="inlineStr">
        <is>
          <t>25241226975620000130570010000034011000000009</t>
        </is>
      </c>
      <c r="U1094" t="inlineStr">
        <is>
          <t>Não</t>
        </is>
      </c>
    </row>
    <row r="1095">
      <c r="A1095" t="inlineStr">
        <is>
          <t>Frete de venda</t>
        </is>
      </c>
      <c r="B1095" t="inlineStr">
        <is>
          <t>1.01.01 Venda de Mercadoria Fabricadas</t>
        </is>
      </c>
      <c r="C1095" t="inlineStr">
        <is>
          <t>Antes de 2026</t>
        </is>
      </c>
      <c r="D1095" t="inlineStr">
        <is>
          <t>Antes de 2026</t>
        </is>
      </c>
      <c r="E1095" s="28" t="n">
        <v>45639</v>
      </c>
      <c r="F1095" t="inlineStr">
        <is>
          <t>CT-e</t>
        </is>
      </c>
      <c r="G1095" t="inlineStr">
        <is>
          <t>000003402</t>
        </is>
      </c>
      <c r="H1095" t="inlineStr">
        <is>
          <t>R&amp;R TRANSPORTE E LOGISTICA</t>
        </is>
      </c>
      <c r="J1095" s="29" t="n">
        <v>36</v>
      </c>
      <c r="K1095" s="29">
        <f>(1-ISNUMBER(SEARCH("556",M1095)))*(O1095*SUMIFS(Premissas!$C$5:$C$44,Premissas!$A$5:$A$44,$A1095,Premissas!$B$5:$B$44,$B1095)+P1095*SUMIFS(Premissas!$D$5:$D$44,Premissas!$A$5:$A$44,$A1095,Premissas!$B$5:$B$44,$B1095))+R1095*SUMIFS(Premissas!$E$5:$E$44,Premissas!$A$5:$A$44,$A1095,Premissas!$B$5:$B$44,$B1095)+S1095*SUMIFS(Premissas!$F$5:$F$44,Premissas!$A$5:$A$44,$A1095,Premissas!$B$5:$B$44,$B1095)</f>
        <v/>
      </c>
      <c r="L1095" s="29">
        <f>J1095-K1095</f>
        <v/>
      </c>
      <c r="M1095" t="inlineStr">
        <is>
          <t>1.350</t>
        </is>
      </c>
      <c r="N1095" t="inlineStr">
        <is>
          <t>Modalidade: 0 - Por conta do remetente | Parte: MATRIZ EMBALAGENS LTDA (31.077.637/0001-00)</t>
        </is>
      </c>
      <c r="O1095" s="29" t="n">
        <v>0</v>
      </c>
      <c r="P1095" s="29" t="n">
        <v>0</v>
      </c>
      <c r="Q1095" s="29" t="n">
        <v>0</v>
      </c>
      <c r="R1095" s="29" t="n">
        <v>0</v>
      </c>
      <c r="S1095" s="29" t="n">
        <v>0</v>
      </c>
      <c r="T1095" t="inlineStr">
        <is>
          <t>25241226975620000130570010000034021000000006</t>
        </is>
      </c>
      <c r="U1095" t="inlineStr">
        <is>
          <t>Não</t>
        </is>
      </c>
    </row>
    <row r="1096">
      <c r="A1096" t="inlineStr">
        <is>
          <t>Frete de venda</t>
        </is>
      </c>
      <c r="B1096" t="inlineStr">
        <is>
          <t>1.01.01 Venda de Mercadoria Fabricadas</t>
        </is>
      </c>
      <c r="C1096" t="inlineStr">
        <is>
          <t>Antes de 2026</t>
        </is>
      </c>
      <c r="D1096" t="inlineStr">
        <is>
          <t>Antes de 2026</t>
        </is>
      </c>
      <c r="E1096" s="28" t="n">
        <v>45639</v>
      </c>
      <c r="F1096" t="inlineStr">
        <is>
          <t>CT-e</t>
        </is>
      </c>
      <c r="G1096" t="inlineStr">
        <is>
          <t>000003403</t>
        </is>
      </c>
      <c r="H1096" t="inlineStr">
        <is>
          <t>R&amp;R TRANSPORTE E LOGISTICA</t>
        </is>
      </c>
      <c r="J1096" s="29" t="n">
        <v>54</v>
      </c>
      <c r="K1096" s="29">
        <f>(1-ISNUMBER(SEARCH("556",M1096)))*(O1096*SUMIFS(Premissas!$C$5:$C$44,Premissas!$A$5:$A$44,$A1096,Premissas!$B$5:$B$44,$B1096)+P1096*SUMIFS(Premissas!$D$5:$D$44,Premissas!$A$5:$A$44,$A1096,Premissas!$B$5:$B$44,$B1096))+R1096*SUMIFS(Premissas!$E$5:$E$44,Premissas!$A$5:$A$44,$A1096,Premissas!$B$5:$B$44,$B1096)+S1096*SUMIFS(Premissas!$F$5:$F$44,Premissas!$A$5:$A$44,$A1096,Premissas!$B$5:$B$44,$B1096)</f>
        <v/>
      </c>
      <c r="L1096" s="29">
        <f>J1096-K1096</f>
        <v/>
      </c>
      <c r="M1096" t="inlineStr">
        <is>
          <t>1.350</t>
        </is>
      </c>
      <c r="N1096" t="inlineStr">
        <is>
          <t>Modalidade: 0 - Por conta do remetente | Parte: BIG EMBALAGENS COMERCIO LTDA (05.542.098/0001-22)</t>
        </is>
      </c>
      <c r="O1096" s="29" t="n">
        <v>0</v>
      </c>
      <c r="P1096" s="29" t="n">
        <v>0</v>
      </c>
      <c r="Q1096" s="29" t="n">
        <v>0</v>
      </c>
      <c r="R1096" s="29" t="n">
        <v>0</v>
      </c>
      <c r="S1096" s="29" t="n">
        <v>0</v>
      </c>
      <c r="T1096" t="inlineStr">
        <is>
          <t>25241226975620000130570010000034031000000003</t>
        </is>
      </c>
      <c r="U1096" t="inlineStr">
        <is>
          <t>Não</t>
        </is>
      </c>
    </row>
    <row r="1097">
      <c r="A1097" t="inlineStr">
        <is>
          <t>Frete de venda</t>
        </is>
      </c>
      <c r="B1097" t="inlineStr">
        <is>
          <t>1.01.01 Venda de Mercadoria Fabricadas</t>
        </is>
      </c>
      <c r="C1097" t="inlineStr">
        <is>
          <t>Antes de 2026</t>
        </is>
      </c>
      <c r="D1097" t="inlineStr">
        <is>
          <t>Antes de 2026</t>
        </is>
      </c>
      <c r="E1097" s="28" t="n">
        <v>45639</v>
      </c>
      <c r="F1097" t="inlineStr">
        <is>
          <t>CT-e</t>
        </is>
      </c>
      <c r="G1097" t="inlineStr">
        <is>
          <t>000003404</t>
        </is>
      </c>
      <c r="H1097" t="inlineStr">
        <is>
          <t>R&amp;R TRANSPORTE E LOGISTICA</t>
        </is>
      </c>
      <c r="J1097" s="29" t="n">
        <v>33</v>
      </c>
      <c r="K1097" s="29">
        <f>(1-ISNUMBER(SEARCH("556",M1097)))*(O1097*SUMIFS(Premissas!$C$5:$C$44,Premissas!$A$5:$A$44,$A1097,Premissas!$B$5:$B$44,$B1097)+P1097*SUMIFS(Premissas!$D$5:$D$44,Premissas!$A$5:$A$44,$A1097,Premissas!$B$5:$B$44,$B1097))+R1097*SUMIFS(Premissas!$E$5:$E$44,Premissas!$A$5:$A$44,$A1097,Premissas!$B$5:$B$44,$B1097)+S1097*SUMIFS(Premissas!$F$5:$F$44,Premissas!$A$5:$A$44,$A1097,Premissas!$B$5:$B$44,$B1097)</f>
        <v/>
      </c>
      <c r="L1097" s="29">
        <f>J1097-K1097</f>
        <v/>
      </c>
      <c r="M1097" t="inlineStr">
        <is>
          <t>1.350</t>
        </is>
      </c>
      <c r="N1097" t="inlineStr">
        <is>
          <t>Modalidade: 0 - Por conta do remetente | Parte: UNIVERSO EMBALAGENS LTDA (31.512.910/0001-87)</t>
        </is>
      </c>
      <c r="O1097" s="29" t="n">
        <v>0</v>
      </c>
      <c r="P1097" s="29" t="n">
        <v>0</v>
      </c>
      <c r="Q1097" s="29" t="n">
        <v>0</v>
      </c>
      <c r="R1097" s="29" t="n">
        <v>0</v>
      </c>
      <c r="S1097" s="29" t="n">
        <v>0</v>
      </c>
      <c r="T1097" t="inlineStr">
        <is>
          <t>25241226975620000130570010000034041000000000</t>
        </is>
      </c>
      <c r="U1097" t="inlineStr">
        <is>
          <t>Não</t>
        </is>
      </c>
    </row>
    <row r="1098">
      <c r="A1098" t="inlineStr">
        <is>
          <t>Frete de venda</t>
        </is>
      </c>
      <c r="B1098" t="inlineStr">
        <is>
          <t>1.01.01 Venda de Mercadoria Fabricadas</t>
        </is>
      </c>
      <c r="C1098" t="inlineStr">
        <is>
          <t>Antes de 2026</t>
        </is>
      </c>
      <c r="D1098" t="inlineStr">
        <is>
          <t>Antes de 2026</t>
        </is>
      </c>
      <c r="E1098" s="28" t="n">
        <v>45639</v>
      </c>
      <c r="F1098" t="inlineStr">
        <is>
          <t>CT-e</t>
        </is>
      </c>
      <c r="G1098" t="inlineStr">
        <is>
          <t>000003405</t>
        </is>
      </c>
      <c r="H1098" t="inlineStr">
        <is>
          <t>R&amp;R TRANSPORTE E LOGISTICA</t>
        </is>
      </c>
      <c r="J1098" s="29" t="n">
        <v>32</v>
      </c>
      <c r="K1098" s="29">
        <f>(1-ISNUMBER(SEARCH("556",M1098)))*(O1098*SUMIFS(Premissas!$C$5:$C$44,Premissas!$A$5:$A$44,$A1098,Premissas!$B$5:$B$44,$B1098)+P1098*SUMIFS(Premissas!$D$5:$D$44,Premissas!$A$5:$A$44,$A1098,Premissas!$B$5:$B$44,$B1098))+R1098*SUMIFS(Premissas!$E$5:$E$44,Premissas!$A$5:$A$44,$A1098,Premissas!$B$5:$B$44,$B1098)+S1098*SUMIFS(Premissas!$F$5:$F$44,Premissas!$A$5:$A$44,$A1098,Premissas!$B$5:$B$44,$B1098)</f>
        <v/>
      </c>
      <c r="L1098" s="29">
        <f>J1098-K1098</f>
        <v/>
      </c>
      <c r="M1098" t="inlineStr">
        <is>
          <t>1.350</t>
        </is>
      </c>
      <c r="N1098" t="inlineStr">
        <is>
          <t>Modalidade: 0 - Por conta do remetente | Parte: COMERCIO DE ALIMENTOS ANHANDUI LTDA (10.602.507/0001-79)</t>
        </is>
      </c>
      <c r="O1098" s="29" t="n">
        <v>0</v>
      </c>
      <c r="P1098" s="29" t="n">
        <v>0</v>
      </c>
      <c r="Q1098" s="29" t="n">
        <v>0</v>
      </c>
      <c r="R1098" s="29" t="n">
        <v>0</v>
      </c>
      <c r="S1098" s="29" t="n">
        <v>0</v>
      </c>
      <c r="T1098" t="inlineStr">
        <is>
          <t>25241226975620000130570010000034051000000008</t>
        </is>
      </c>
      <c r="U1098" t="inlineStr">
        <is>
          <t>Não</t>
        </is>
      </c>
    </row>
    <row r="1099">
      <c r="A1099" t="inlineStr">
        <is>
          <t>Frete de venda</t>
        </is>
      </c>
      <c r="B1099" t="inlineStr">
        <is>
          <t>1.01.01 Venda de Mercadoria Fabricadas</t>
        </is>
      </c>
      <c r="C1099" t="inlineStr">
        <is>
          <t>Antes de 2026</t>
        </is>
      </c>
      <c r="D1099" t="inlineStr">
        <is>
          <t>Antes de 2026</t>
        </is>
      </c>
      <c r="E1099" s="28" t="n">
        <v>45639</v>
      </c>
      <c r="F1099" t="inlineStr">
        <is>
          <t>CT-e</t>
        </is>
      </c>
      <c r="G1099" t="inlineStr">
        <is>
          <t>000003406</t>
        </is>
      </c>
      <c r="H1099" t="inlineStr">
        <is>
          <t>R&amp;R TRANSPORTE E LOGISTICA</t>
        </is>
      </c>
      <c r="J1099" s="29" t="n">
        <v>39</v>
      </c>
      <c r="K1099" s="29">
        <f>(1-ISNUMBER(SEARCH("556",M1099)))*(O1099*SUMIFS(Premissas!$C$5:$C$44,Premissas!$A$5:$A$44,$A1099,Premissas!$B$5:$B$44,$B1099)+P1099*SUMIFS(Premissas!$D$5:$D$44,Premissas!$A$5:$A$44,$A1099,Premissas!$B$5:$B$44,$B1099))+R1099*SUMIFS(Premissas!$E$5:$E$44,Premissas!$A$5:$A$44,$A1099,Premissas!$B$5:$B$44,$B1099)+S1099*SUMIFS(Premissas!$F$5:$F$44,Premissas!$A$5:$A$44,$A1099,Premissas!$B$5:$B$44,$B1099)</f>
        <v/>
      </c>
      <c r="L1099" s="29">
        <f>J1099-K1099</f>
        <v/>
      </c>
      <c r="M1099" t="inlineStr">
        <is>
          <t>1.350</t>
        </is>
      </c>
      <c r="N1099" t="inlineStr">
        <is>
          <t>Modalidade: 0 - Por conta do remetente | Parte: MATOS EMBALAGENS COMERCIO LTDA (01.888.718/0001-29)</t>
        </is>
      </c>
      <c r="O1099" s="29" t="n">
        <v>0</v>
      </c>
      <c r="P1099" s="29" t="n">
        <v>0</v>
      </c>
      <c r="Q1099" s="29" t="n">
        <v>0</v>
      </c>
      <c r="R1099" s="29" t="n">
        <v>0</v>
      </c>
      <c r="S1099" s="29" t="n">
        <v>0</v>
      </c>
      <c r="T1099" t="inlineStr">
        <is>
          <t>25241226975620000130570010000034061000000005</t>
        </is>
      </c>
      <c r="U1099" t="inlineStr">
        <is>
          <t>Não</t>
        </is>
      </c>
    </row>
    <row r="1100">
      <c r="A1100" t="inlineStr">
        <is>
          <t>Frete de venda</t>
        </is>
      </c>
      <c r="B1100" t="inlineStr">
        <is>
          <t>1.01.01 Venda de Mercadoria Fabricadas</t>
        </is>
      </c>
      <c r="C1100" t="inlineStr">
        <is>
          <t>Antes de 2026</t>
        </is>
      </c>
      <c r="D1100" t="inlineStr">
        <is>
          <t>Antes de 2026</t>
        </is>
      </c>
      <c r="E1100" s="28" t="n">
        <v>45639</v>
      </c>
      <c r="F1100" t="inlineStr">
        <is>
          <t>CT-e</t>
        </is>
      </c>
      <c r="G1100" t="inlineStr">
        <is>
          <t>000003407</t>
        </is>
      </c>
      <c r="H1100" t="inlineStr">
        <is>
          <t>R&amp;R TRANSPORTE E LOGISTICA</t>
        </is>
      </c>
      <c r="J1100" s="29" t="n">
        <v>37</v>
      </c>
      <c r="K1100" s="29">
        <f>(1-ISNUMBER(SEARCH("556",M1100)))*(O1100*SUMIFS(Premissas!$C$5:$C$44,Premissas!$A$5:$A$44,$A1100,Premissas!$B$5:$B$44,$B1100)+P1100*SUMIFS(Premissas!$D$5:$D$44,Premissas!$A$5:$A$44,$A1100,Premissas!$B$5:$B$44,$B1100))+R1100*SUMIFS(Premissas!$E$5:$E$44,Premissas!$A$5:$A$44,$A1100,Premissas!$B$5:$B$44,$B1100)+S1100*SUMIFS(Premissas!$F$5:$F$44,Premissas!$A$5:$A$44,$A1100,Premissas!$B$5:$B$44,$B1100)</f>
        <v/>
      </c>
      <c r="L1100" s="29">
        <f>J1100-K1100</f>
        <v/>
      </c>
      <c r="M1100" t="inlineStr">
        <is>
          <t>1.350</t>
        </is>
      </c>
      <c r="N1100" t="inlineStr">
        <is>
          <t>Modalidade: 0 - Por conta do remetente | Parte: PLASPEL COMERCIO DE EMBALAGENS LTDA (43.498.579/0001-77)</t>
        </is>
      </c>
      <c r="O1100" s="29" t="n">
        <v>0</v>
      </c>
      <c r="P1100" s="29" t="n">
        <v>0</v>
      </c>
      <c r="Q1100" s="29" t="n">
        <v>0</v>
      </c>
      <c r="R1100" s="29" t="n">
        <v>0</v>
      </c>
      <c r="S1100" s="29" t="n">
        <v>0</v>
      </c>
      <c r="T1100" t="inlineStr">
        <is>
          <t>25241226975620000130570010000034071000000002</t>
        </is>
      </c>
      <c r="U1100" t="inlineStr">
        <is>
          <t>Não</t>
        </is>
      </c>
    </row>
    <row r="1101">
      <c r="A1101" t="inlineStr">
        <is>
          <t>Frete de venda</t>
        </is>
      </c>
      <c r="B1101" t="inlineStr">
        <is>
          <t>1.01.01 Venda de Mercadoria Fabricadas</t>
        </is>
      </c>
      <c r="C1101" t="inlineStr">
        <is>
          <t>Antes de 2026</t>
        </is>
      </c>
      <c r="D1101" t="inlineStr">
        <is>
          <t>Antes de 2026</t>
        </is>
      </c>
      <c r="E1101" s="28" t="n">
        <v>45639</v>
      </c>
      <c r="F1101" t="inlineStr">
        <is>
          <t>CT-e</t>
        </is>
      </c>
      <c r="G1101" t="inlineStr">
        <is>
          <t>000003408</t>
        </is>
      </c>
      <c r="H1101" t="inlineStr">
        <is>
          <t>R&amp;R TRANSPORTE E LOGISTICA</t>
        </is>
      </c>
      <c r="J1101" s="29" t="n">
        <v>28</v>
      </c>
      <c r="K1101" s="29">
        <f>(1-ISNUMBER(SEARCH("556",M1101)))*(O1101*SUMIFS(Premissas!$C$5:$C$44,Premissas!$A$5:$A$44,$A1101,Premissas!$B$5:$B$44,$B1101)+P1101*SUMIFS(Premissas!$D$5:$D$44,Premissas!$A$5:$A$44,$A1101,Premissas!$B$5:$B$44,$B1101))+R1101*SUMIFS(Premissas!$E$5:$E$44,Premissas!$A$5:$A$44,$A1101,Premissas!$B$5:$B$44,$B1101)+S1101*SUMIFS(Premissas!$F$5:$F$44,Premissas!$A$5:$A$44,$A1101,Premissas!$B$5:$B$44,$B1101)</f>
        <v/>
      </c>
      <c r="L1101" s="29">
        <f>J1101-K1101</f>
        <v/>
      </c>
      <c r="M1101" t="inlineStr">
        <is>
          <t>1.350</t>
        </is>
      </c>
      <c r="N1101" t="inlineStr">
        <is>
          <t>Modalidade: 0 - Por conta do remetente | Parte: L J DE FREITAS e CIA LTDA (30.158.988/0001-82)</t>
        </is>
      </c>
      <c r="O1101" s="29" t="n">
        <v>0</v>
      </c>
      <c r="P1101" s="29" t="n">
        <v>0</v>
      </c>
      <c r="Q1101" s="29" t="n">
        <v>0</v>
      </c>
      <c r="R1101" s="29" t="n">
        <v>0</v>
      </c>
      <c r="S1101" s="29" t="n">
        <v>0</v>
      </c>
      <c r="T1101" t="inlineStr">
        <is>
          <t>25241226975620000130570010000034081000000000</t>
        </is>
      </c>
      <c r="U1101" t="inlineStr">
        <is>
          <t>Não</t>
        </is>
      </c>
    </row>
    <row r="1102">
      <c r="A1102" t="inlineStr">
        <is>
          <t>Frete de venda</t>
        </is>
      </c>
      <c r="B1102" t="inlineStr">
        <is>
          <t>1.01.01 Venda de Mercadoria Fabricadas</t>
        </is>
      </c>
      <c r="C1102" t="inlineStr">
        <is>
          <t>Antes de 2026</t>
        </is>
      </c>
      <c r="D1102" t="inlineStr">
        <is>
          <t>Antes de 2026</t>
        </is>
      </c>
      <c r="E1102" s="28" t="n">
        <v>45640</v>
      </c>
      <c r="F1102" t="inlineStr">
        <is>
          <t>CT-e</t>
        </is>
      </c>
      <c r="G1102" t="inlineStr">
        <is>
          <t>000003410</t>
        </is>
      </c>
      <c r="H1102" t="inlineStr">
        <is>
          <t>R&amp;R TRANSPORTE E LOGISTICA</t>
        </is>
      </c>
      <c r="J1102" s="29" t="n">
        <v>109</v>
      </c>
      <c r="K1102" s="29">
        <f>(1-ISNUMBER(SEARCH("556",M1102)))*(O1102*SUMIFS(Premissas!$C$5:$C$44,Premissas!$A$5:$A$44,$A1102,Premissas!$B$5:$B$44,$B1102)+P1102*SUMIFS(Premissas!$D$5:$D$44,Premissas!$A$5:$A$44,$A1102,Premissas!$B$5:$B$44,$B1102))+R1102*SUMIFS(Premissas!$E$5:$E$44,Premissas!$A$5:$A$44,$A1102,Premissas!$B$5:$B$44,$B1102)+S1102*SUMIFS(Premissas!$F$5:$F$44,Premissas!$A$5:$A$44,$A1102,Premissas!$B$5:$B$44,$B1102)</f>
        <v/>
      </c>
      <c r="L1102" s="29">
        <f>J1102-K1102</f>
        <v/>
      </c>
      <c r="M1102" t="inlineStr">
        <is>
          <t>1.350</t>
        </is>
      </c>
      <c r="N1102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02" s="29" t="n">
        <v>0</v>
      </c>
      <c r="P1102" s="29" t="n">
        <v>0</v>
      </c>
      <c r="Q1102" s="29" t="n">
        <v>0</v>
      </c>
      <c r="R1102" s="29" t="n">
        <v>0</v>
      </c>
      <c r="S1102" s="29" t="n">
        <v>0</v>
      </c>
      <c r="T1102" t="inlineStr">
        <is>
          <t>25241226975620000130570010000034101000000008</t>
        </is>
      </c>
      <c r="U1102" t="inlineStr">
        <is>
          <t>Não</t>
        </is>
      </c>
    </row>
    <row r="1103">
      <c r="A1103" t="inlineStr">
        <is>
          <t>Frete de venda</t>
        </is>
      </c>
      <c r="B1103" t="inlineStr">
        <is>
          <t>1.01.01 Venda de Mercadoria Fabricadas</t>
        </is>
      </c>
      <c r="C1103" t="inlineStr">
        <is>
          <t>Antes de 2026</t>
        </is>
      </c>
      <c r="D1103" t="inlineStr">
        <is>
          <t>Antes de 2026</t>
        </is>
      </c>
      <c r="E1103" s="28" t="n">
        <v>45640</v>
      </c>
      <c r="F1103" t="inlineStr">
        <is>
          <t>CT-e</t>
        </is>
      </c>
      <c r="G1103" t="inlineStr">
        <is>
          <t>000003411</t>
        </is>
      </c>
      <c r="H1103" t="inlineStr">
        <is>
          <t>R&amp;R TRANSPORTE E LOGISTICA</t>
        </is>
      </c>
      <c r="J1103" s="29" t="n">
        <v>62</v>
      </c>
      <c r="K1103" s="29">
        <f>(1-ISNUMBER(SEARCH("556",M1103)))*(O1103*SUMIFS(Premissas!$C$5:$C$44,Premissas!$A$5:$A$44,$A1103,Premissas!$B$5:$B$44,$B1103)+P1103*SUMIFS(Premissas!$D$5:$D$44,Premissas!$A$5:$A$44,$A1103,Premissas!$B$5:$B$44,$B1103))+R1103*SUMIFS(Premissas!$E$5:$E$44,Premissas!$A$5:$A$44,$A1103,Premissas!$B$5:$B$44,$B1103)+S1103*SUMIFS(Premissas!$F$5:$F$44,Premissas!$A$5:$A$44,$A1103,Premissas!$B$5:$B$44,$B1103)</f>
        <v/>
      </c>
      <c r="L1103" s="29">
        <f>J1103-K1103</f>
        <v/>
      </c>
      <c r="M1103" t="inlineStr">
        <is>
          <t>1.350</t>
        </is>
      </c>
      <c r="N1103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03" s="29" t="n">
        <v>0</v>
      </c>
      <c r="P1103" s="29" t="n">
        <v>0</v>
      </c>
      <c r="Q1103" s="29" t="n">
        <v>0</v>
      </c>
      <c r="R1103" s="29" t="n">
        <v>0</v>
      </c>
      <c r="S1103" s="29" t="n">
        <v>0</v>
      </c>
      <c r="T1103" t="inlineStr">
        <is>
          <t>25241226975620000130570010000034111000000005</t>
        </is>
      </c>
      <c r="U1103" t="inlineStr">
        <is>
          <t>Não</t>
        </is>
      </c>
    </row>
    <row r="1104">
      <c r="A1104" t="inlineStr">
        <is>
          <t>Frete de venda</t>
        </is>
      </c>
      <c r="B1104" t="inlineStr">
        <is>
          <t>1.01.01 Venda de Mercadoria Fabricadas</t>
        </is>
      </c>
      <c r="C1104" t="inlineStr">
        <is>
          <t>Antes de 2026</t>
        </is>
      </c>
      <c r="D1104" t="inlineStr">
        <is>
          <t>Antes de 2026</t>
        </is>
      </c>
      <c r="E1104" s="28" t="n">
        <v>45640</v>
      </c>
      <c r="F1104" t="inlineStr">
        <is>
          <t>CT-e</t>
        </is>
      </c>
      <c r="G1104" t="inlineStr">
        <is>
          <t>000003412</t>
        </is>
      </c>
      <c r="H1104" t="inlineStr">
        <is>
          <t>R&amp;R TRANSPORTE E LOGISTICA</t>
        </is>
      </c>
      <c r="J1104" s="29" t="n">
        <v>437.5</v>
      </c>
      <c r="K1104" s="29">
        <f>(1-ISNUMBER(SEARCH("556",M1104)))*(O1104*SUMIFS(Premissas!$C$5:$C$44,Premissas!$A$5:$A$44,$A1104,Premissas!$B$5:$B$44,$B1104)+P1104*SUMIFS(Premissas!$D$5:$D$44,Premissas!$A$5:$A$44,$A1104,Premissas!$B$5:$B$44,$B1104))+R1104*SUMIFS(Premissas!$E$5:$E$44,Premissas!$A$5:$A$44,$A1104,Premissas!$B$5:$B$44,$B1104)+S1104*SUMIFS(Premissas!$F$5:$F$44,Premissas!$A$5:$A$44,$A1104,Premissas!$B$5:$B$44,$B1104)</f>
        <v/>
      </c>
      <c r="L1104" s="29">
        <f>J1104-K1104</f>
        <v/>
      </c>
      <c r="M1104" t="inlineStr">
        <is>
          <t>1.350</t>
        </is>
      </c>
      <c r="N1104" t="inlineStr">
        <is>
          <t>Modalidade: 0 - Por conta do remetente | Parte: STAMP DISTRIBUIDORA DE EMBALAGENS DE PAPEL E DESCARTAVEIS LT (27.707.575/0003-67)</t>
        </is>
      </c>
      <c r="O1104" s="29" t="n">
        <v>0</v>
      </c>
      <c r="P1104" s="29" t="n">
        <v>0</v>
      </c>
      <c r="Q1104" s="29" t="n">
        <v>0</v>
      </c>
      <c r="R1104" s="29" t="n">
        <v>0</v>
      </c>
      <c r="S1104" s="29" t="n">
        <v>0</v>
      </c>
      <c r="T1104" t="inlineStr">
        <is>
          <t>25241226975620000130570010000034121000000002</t>
        </is>
      </c>
      <c r="U1104" t="inlineStr">
        <is>
          <t>Não</t>
        </is>
      </c>
    </row>
    <row r="1105">
      <c r="A1105" t="inlineStr">
        <is>
          <t>Frete de venda</t>
        </is>
      </c>
      <c r="B1105" t="inlineStr">
        <is>
          <t>1.01.01 Venda de Mercadoria Fabricadas</t>
        </is>
      </c>
      <c r="C1105" t="inlineStr">
        <is>
          <t>Antes de 2026</t>
        </is>
      </c>
      <c r="D1105" t="inlineStr">
        <is>
          <t>Antes de 2026</t>
        </is>
      </c>
      <c r="E1105" s="28" t="n">
        <v>45643</v>
      </c>
      <c r="F1105" t="inlineStr">
        <is>
          <t>CT-e</t>
        </is>
      </c>
      <c r="G1105" t="inlineStr">
        <is>
          <t>000003420</t>
        </is>
      </c>
      <c r="H1105" t="inlineStr">
        <is>
          <t>R&amp;R TRANSPORTE E LOGISTICA</t>
        </is>
      </c>
      <c r="J1105" s="29" t="n">
        <v>59</v>
      </c>
      <c r="K1105" s="29">
        <f>(1-ISNUMBER(SEARCH("556",M1105)))*(O1105*SUMIFS(Premissas!$C$5:$C$44,Premissas!$A$5:$A$44,$A1105,Premissas!$B$5:$B$44,$B1105)+P1105*SUMIFS(Premissas!$D$5:$D$44,Premissas!$A$5:$A$44,$A1105,Premissas!$B$5:$B$44,$B1105))+R1105*SUMIFS(Premissas!$E$5:$E$44,Premissas!$A$5:$A$44,$A1105,Premissas!$B$5:$B$44,$B1105)+S1105*SUMIFS(Premissas!$F$5:$F$44,Premissas!$A$5:$A$44,$A1105,Premissas!$B$5:$B$44,$B1105)</f>
        <v/>
      </c>
      <c r="L1105" s="29">
        <f>J1105-K1105</f>
        <v/>
      </c>
      <c r="M1105" t="inlineStr">
        <is>
          <t>1.350</t>
        </is>
      </c>
      <c r="N1105" t="inlineStr">
        <is>
          <t>Modalidade: 0 - Por conta do remetente | Parte: VIDEIRA COMERCIO DESCARTAVEIS LTDA (12.079.452/0001-90)</t>
        </is>
      </c>
      <c r="O1105" s="29" t="n">
        <v>0</v>
      </c>
      <c r="P1105" s="29" t="n">
        <v>0</v>
      </c>
      <c r="Q1105" s="29" t="n">
        <v>0</v>
      </c>
      <c r="R1105" s="29" t="n">
        <v>0</v>
      </c>
      <c r="S1105" s="29" t="n">
        <v>0</v>
      </c>
      <c r="T1105" t="inlineStr">
        <is>
          <t>25241226975620000130570010000034201000000004</t>
        </is>
      </c>
      <c r="U1105" t="inlineStr">
        <is>
          <t>Não</t>
        </is>
      </c>
    </row>
    <row r="1106">
      <c r="A1106" t="inlineStr">
        <is>
          <t>Frete de venda</t>
        </is>
      </c>
      <c r="B1106" t="inlineStr">
        <is>
          <t>1.01.01 Venda de Mercadoria Fabricadas</t>
        </is>
      </c>
      <c r="C1106" t="inlineStr">
        <is>
          <t>Antes de 2026</t>
        </is>
      </c>
      <c r="D1106" t="inlineStr">
        <is>
          <t>Antes de 2026</t>
        </is>
      </c>
      <c r="E1106" s="28" t="n">
        <v>45643</v>
      </c>
      <c r="F1106" t="inlineStr">
        <is>
          <t>CT-e</t>
        </is>
      </c>
      <c r="G1106" t="inlineStr">
        <is>
          <t>000003421</t>
        </is>
      </c>
      <c r="H1106" t="inlineStr">
        <is>
          <t>R&amp;R TRANSPORTE E LOGISTICA</t>
        </is>
      </c>
      <c r="J1106" s="29" t="n">
        <v>112</v>
      </c>
      <c r="K1106" s="29">
        <f>(1-ISNUMBER(SEARCH("556",M1106)))*(O1106*SUMIFS(Premissas!$C$5:$C$44,Premissas!$A$5:$A$44,$A1106,Premissas!$B$5:$B$44,$B1106)+P1106*SUMIFS(Premissas!$D$5:$D$44,Premissas!$A$5:$A$44,$A1106,Premissas!$B$5:$B$44,$B1106))+R1106*SUMIFS(Premissas!$E$5:$E$44,Premissas!$A$5:$A$44,$A1106,Premissas!$B$5:$B$44,$B1106)+S1106*SUMIFS(Premissas!$F$5:$F$44,Premissas!$A$5:$A$44,$A1106,Premissas!$B$5:$B$44,$B1106)</f>
        <v/>
      </c>
      <c r="L1106" s="29">
        <f>J1106-K1106</f>
        <v/>
      </c>
      <c r="M1106" t="inlineStr">
        <is>
          <t>1.350</t>
        </is>
      </c>
      <c r="N1106" t="inlineStr">
        <is>
          <t>Modalidade: 0 - Por conta do remetente | Parte: RFC COMERCIO DE MIUDEZAS LTDA (26.514.797/0004-81)</t>
        </is>
      </c>
      <c r="O1106" s="29" t="n">
        <v>0</v>
      </c>
      <c r="P1106" s="29" t="n">
        <v>0</v>
      </c>
      <c r="Q1106" s="29" t="n">
        <v>0</v>
      </c>
      <c r="R1106" s="29" t="n">
        <v>0</v>
      </c>
      <c r="S1106" s="29" t="n">
        <v>0</v>
      </c>
      <c r="T1106" t="inlineStr">
        <is>
          <t>25241226975620000130570010000034211000000001</t>
        </is>
      </c>
      <c r="U1106" t="inlineStr">
        <is>
          <t>Não</t>
        </is>
      </c>
    </row>
    <row r="1107">
      <c r="A1107" t="inlineStr">
        <is>
          <t>Frete de venda</t>
        </is>
      </c>
      <c r="B1107" t="inlineStr">
        <is>
          <t>1.01.01 Venda de Mercadoria Fabricadas</t>
        </is>
      </c>
      <c r="C1107" t="inlineStr">
        <is>
          <t>Antes de 2026</t>
        </is>
      </c>
      <c r="D1107" t="inlineStr">
        <is>
          <t>Antes de 2026</t>
        </is>
      </c>
      <c r="E1107" s="28" t="n">
        <v>45643</v>
      </c>
      <c r="F1107" t="inlineStr">
        <is>
          <t>CT-e</t>
        </is>
      </c>
      <c r="G1107" t="inlineStr">
        <is>
          <t>000003422</t>
        </is>
      </c>
      <c r="H1107" t="inlineStr">
        <is>
          <t>R&amp;R TRANSPORTE E LOGISTICA</t>
        </is>
      </c>
      <c r="J1107" s="29" t="n">
        <v>52</v>
      </c>
      <c r="K1107" s="29">
        <f>(1-ISNUMBER(SEARCH("556",M1107)))*(O1107*SUMIFS(Premissas!$C$5:$C$44,Premissas!$A$5:$A$44,$A1107,Premissas!$B$5:$B$44,$B1107)+P1107*SUMIFS(Premissas!$D$5:$D$44,Premissas!$A$5:$A$44,$A1107,Premissas!$B$5:$B$44,$B1107))+R1107*SUMIFS(Premissas!$E$5:$E$44,Premissas!$A$5:$A$44,$A1107,Premissas!$B$5:$B$44,$B1107)+S1107*SUMIFS(Premissas!$F$5:$F$44,Premissas!$A$5:$A$44,$A1107,Premissas!$B$5:$B$44,$B1107)</f>
        <v/>
      </c>
      <c r="L1107" s="29">
        <f>J1107-K1107</f>
        <v/>
      </c>
      <c r="M1107" t="inlineStr">
        <is>
          <t>1.350</t>
        </is>
      </c>
      <c r="N1107" t="inlineStr">
        <is>
          <t>Modalidade: 0 - Por conta do remetente | Parte: CAMPEAO 2010 DAS EMBALAGENS LTDA (12.039.358/0002-98)</t>
        </is>
      </c>
      <c r="O1107" s="29" t="n">
        <v>0</v>
      </c>
      <c r="P1107" s="29" t="n">
        <v>0</v>
      </c>
      <c r="Q1107" s="29" t="n">
        <v>0</v>
      </c>
      <c r="R1107" s="29" t="n">
        <v>0</v>
      </c>
      <c r="S1107" s="29" t="n">
        <v>0</v>
      </c>
      <c r="T1107" t="inlineStr">
        <is>
          <t>25241226975620000130570010000034221000000009</t>
        </is>
      </c>
      <c r="U1107" t="inlineStr">
        <is>
          <t>Não</t>
        </is>
      </c>
    </row>
    <row r="1108">
      <c r="A1108" t="inlineStr">
        <is>
          <t>Frete de venda</t>
        </is>
      </c>
      <c r="B1108" t="inlineStr">
        <is>
          <t>1.01.01 Venda de Mercadoria Fabricadas</t>
        </is>
      </c>
      <c r="C1108" t="inlineStr">
        <is>
          <t>Antes de 2026</t>
        </is>
      </c>
      <c r="D1108" t="inlineStr">
        <is>
          <t>Antes de 2026</t>
        </is>
      </c>
      <c r="E1108" s="28" t="n">
        <v>45643</v>
      </c>
      <c r="F1108" t="inlineStr">
        <is>
          <t>CT-e</t>
        </is>
      </c>
      <c r="G1108" t="inlineStr">
        <is>
          <t>000003423</t>
        </is>
      </c>
      <c r="H1108" t="inlineStr">
        <is>
          <t>R&amp;R TRANSPORTE E LOGISTICA</t>
        </is>
      </c>
      <c r="J1108" s="29" t="n">
        <v>36</v>
      </c>
      <c r="K1108" s="29">
        <f>(1-ISNUMBER(SEARCH("556",M1108)))*(O1108*SUMIFS(Premissas!$C$5:$C$44,Premissas!$A$5:$A$44,$A1108,Premissas!$B$5:$B$44,$B1108)+P1108*SUMIFS(Premissas!$D$5:$D$44,Premissas!$A$5:$A$44,$A1108,Premissas!$B$5:$B$44,$B1108))+R1108*SUMIFS(Premissas!$E$5:$E$44,Premissas!$A$5:$A$44,$A1108,Premissas!$B$5:$B$44,$B1108)+S1108*SUMIFS(Premissas!$F$5:$F$44,Premissas!$A$5:$A$44,$A1108,Premissas!$B$5:$B$44,$B1108)</f>
        <v/>
      </c>
      <c r="L1108" s="29">
        <f>J1108-K1108</f>
        <v/>
      </c>
      <c r="M1108" t="inlineStr">
        <is>
          <t>1.350</t>
        </is>
      </c>
      <c r="N1108" t="inlineStr">
        <is>
          <t>Modalidade: 0 - Por conta do remetente | Parte: DISTRIBUIDORA RIO UTILIDADES FESTAS E ALIMENTOS LTDA (40.961.436/0001-61)</t>
        </is>
      </c>
      <c r="O1108" s="29" t="n">
        <v>0</v>
      </c>
      <c r="P1108" s="29" t="n">
        <v>0</v>
      </c>
      <c r="Q1108" s="29" t="n">
        <v>0</v>
      </c>
      <c r="R1108" s="29" t="n">
        <v>0</v>
      </c>
      <c r="S1108" s="29" t="n">
        <v>0</v>
      </c>
      <c r="T1108" t="inlineStr">
        <is>
          <t>25241226975620000130570010000034231000000006</t>
        </is>
      </c>
      <c r="U1108" t="inlineStr">
        <is>
          <t>Não</t>
        </is>
      </c>
    </row>
    <row r="1109">
      <c r="A1109" t="inlineStr">
        <is>
          <t>Frete de venda</t>
        </is>
      </c>
      <c r="B1109" t="inlineStr">
        <is>
          <t>1.01.01 Venda de Mercadoria Fabricadas</t>
        </is>
      </c>
      <c r="C1109" t="inlineStr">
        <is>
          <t>Antes de 2026</t>
        </is>
      </c>
      <c r="D1109" t="inlineStr">
        <is>
          <t>Antes de 2026</t>
        </is>
      </c>
      <c r="E1109" s="28" t="n">
        <v>45644</v>
      </c>
      <c r="F1109" t="inlineStr">
        <is>
          <t>CT-e</t>
        </is>
      </c>
      <c r="G1109" t="inlineStr">
        <is>
          <t>000003425</t>
        </is>
      </c>
      <c r="H1109" t="inlineStr">
        <is>
          <t>R&amp;R TRANSPORTE E LOGISTICA</t>
        </is>
      </c>
      <c r="J1109" s="29" t="n">
        <v>177.96</v>
      </c>
      <c r="K1109" s="29">
        <f>(1-ISNUMBER(SEARCH("556",M1109)))*(O1109*SUMIFS(Premissas!$C$5:$C$44,Premissas!$A$5:$A$44,$A1109,Premissas!$B$5:$B$44,$B1109)+P1109*SUMIFS(Premissas!$D$5:$D$44,Premissas!$A$5:$A$44,$A1109,Premissas!$B$5:$B$44,$B1109))+R1109*SUMIFS(Premissas!$E$5:$E$44,Premissas!$A$5:$A$44,$A1109,Premissas!$B$5:$B$44,$B1109)+S1109*SUMIFS(Premissas!$F$5:$F$44,Premissas!$A$5:$A$44,$A1109,Premissas!$B$5:$B$44,$B1109)</f>
        <v/>
      </c>
      <c r="L1109" s="29">
        <f>J1109-K1109</f>
        <v/>
      </c>
      <c r="M1109" t="inlineStr">
        <is>
          <t>1.350</t>
        </is>
      </c>
      <c r="N1109" t="inlineStr">
        <is>
          <t>Modalidade: 0 - Por conta do remetente | Parte: AMORIM e CIA LTDA. (08.291.637/0003-58)</t>
        </is>
      </c>
      <c r="O1109" s="29" t="n">
        <v>0</v>
      </c>
      <c r="P1109" s="29" t="n">
        <v>0</v>
      </c>
      <c r="Q1109" s="29" t="n">
        <v>0</v>
      </c>
      <c r="R1109" s="29" t="n">
        <v>0</v>
      </c>
      <c r="S1109" s="29" t="n">
        <v>0</v>
      </c>
      <c r="T1109" t="inlineStr">
        <is>
          <t>25241226975620000130570010000034251000000000</t>
        </is>
      </c>
      <c r="U1109" t="inlineStr">
        <is>
          <t>Não</t>
        </is>
      </c>
    </row>
    <row r="1110">
      <c r="A1110" t="inlineStr">
        <is>
          <t>Frete de venda</t>
        </is>
      </c>
      <c r="B1110" t="inlineStr">
        <is>
          <t>1.01.01 Venda de Mercadoria Fabricadas</t>
        </is>
      </c>
      <c r="C1110" t="inlineStr">
        <is>
          <t>Antes de 2026</t>
        </is>
      </c>
      <c r="D1110" t="inlineStr">
        <is>
          <t>Antes de 2026</t>
        </is>
      </c>
      <c r="E1110" s="28" t="n">
        <v>45644</v>
      </c>
      <c r="F1110" t="inlineStr">
        <is>
          <t>CT-e</t>
        </is>
      </c>
      <c r="G1110" t="inlineStr">
        <is>
          <t>000003426</t>
        </is>
      </c>
      <c r="H1110" t="inlineStr">
        <is>
          <t>R&amp;R TRANSPORTE E LOGISTICA</t>
        </is>
      </c>
      <c r="J1110" s="29" t="n">
        <v>225</v>
      </c>
      <c r="K1110" s="29">
        <f>(1-ISNUMBER(SEARCH("556",M1110)))*(O1110*SUMIFS(Premissas!$C$5:$C$44,Premissas!$A$5:$A$44,$A1110,Premissas!$B$5:$B$44,$B1110)+P1110*SUMIFS(Premissas!$D$5:$D$44,Premissas!$A$5:$A$44,$A1110,Premissas!$B$5:$B$44,$B1110))+R1110*SUMIFS(Premissas!$E$5:$E$44,Premissas!$A$5:$A$44,$A1110,Premissas!$B$5:$B$44,$B1110)+S1110*SUMIFS(Premissas!$F$5:$F$44,Premissas!$A$5:$A$44,$A1110,Premissas!$B$5:$B$44,$B1110)</f>
        <v/>
      </c>
      <c r="L1110" s="29">
        <f>J1110-K1110</f>
        <v/>
      </c>
      <c r="M1110" t="inlineStr">
        <is>
          <t>1.350</t>
        </is>
      </c>
      <c r="N1110" t="inlineStr">
        <is>
          <t>Modalidade: 0 - Por conta do remetente | Parte: PRASO PLATAFORMA DE COMERCIO LTDA. (42.434.646/0003-99)</t>
        </is>
      </c>
      <c r="O1110" s="29" t="n">
        <v>0</v>
      </c>
      <c r="P1110" s="29" t="n">
        <v>0</v>
      </c>
      <c r="Q1110" s="29" t="n">
        <v>0</v>
      </c>
      <c r="R1110" s="29" t="n">
        <v>0</v>
      </c>
      <c r="S1110" s="29" t="n">
        <v>0</v>
      </c>
      <c r="T1110" t="inlineStr">
        <is>
          <t>25241226975620000130570010000034261000000008</t>
        </is>
      </c>
      <c r="U1110" t="inlineStr">
        <is>
          <t>Não</t>
        </is>
      </c>
    </row>
    <row r="1111">
      <c r="A1111" t="inlineStr">
        <is>
          <t>Frete de venda</t>
        </is>
      </c>
      <c r="B1111" t="inlineStr">
        <is>
          <t>1.01.01 Venda de Mercadoria Fabricadas</t>
        </is>
      </c>
      <c r="C1111" t="inlineStr">
        <is>
          <t>Antes de 2026</t>
        </is>
      </c>
      <c r="D1111" t="inlineStr">
        <is>
          <t>Antes de 2026</t>
        </is>
      </c>
      <c r="E1111" s="28" t="n">
        <v>45644</v>
      </c>
      <c r="F1111" t="inlineStr">
        <is>
          <t>CT-e</t>
        </is>
      </c>
      <c r="G1111" t="inlineStr">
        <is>
          <t>000003427</t>
        </is>
      </c>
      <c r="H1111" t="inlineStr">
        <is>
          <t>R&amp;R TRANSPORTE E LOGISTICA</t>
        </is>
      </c>
      <c r="J1111" s="29" t="n">
        <v>225</v>
      </c>
      <c r="K1111" s="29">
        <f>(1-ISNUMBER(SEARCH("556",M1111)))*(O1111*SUMIFS(Premissas!$C$5:$C$44,Premissas!$A$5:$A$44,$A1111,Premissas!$B$5:$B$44,$B1111)+P1111*SUMIFS(Premissas!$D$5:$D$44,Premissas!$A$5:$A$44,$A1111,Premissas!$B$5:$B$44,$B1111))+R1111*SUMIFS(Premissas!$E$5:$E$44,Premissas!$A$5:$A$44,$A1111,Premissas!$B$5:$B$44,$B1111)+S1111*SUMIFS(Premissas!$F$5:$F$44,Premissas!$A$5:$A$44,$A1111,Premissas!$B$5:$B$44,$B1111)</f>
        <v/>
      </c>
      <c r="L1111" s="29">
        <f>J1111-K1111</f>
        <v/>
      </c>
      <c r="M1111" t="inlineStr">
        <is>
          <t>1.350</t>
        </is>
      </c>
      <c r="N1111" t="inlineStr">
        <is>
          <t>Modalidade: 0 - Por conta do remetente | Parte: JR EMBALAGENS LTDA (05.441.117/0001-24)</t>
        </is>
      </c>
      <c r="O1111" s="29" t="n">
        <v>0</v>
      </c>
      <c r="P1111" s="29" t="n">
        <v>0</v>
      </c>
      <c r="Q1111" s="29" t="n">
        <v>0</v>
      </c>
      <c r="R1111" s="29" t="n">
        <v>0</v>
      </c>
      <c r="S1111" s="29" t="n">
        <v>0</v>
      </c>
      <c r="T1111" t="inlineStr">
        <is>
          <t>25241226975620000130570010000034271000000005</t>
        </is>
      </c>
      <c r="U1111" t="inlineStr">
        <is>
          <t>Não</t>
        </is>
      </c>
    </row>
    <row r="1112">
      <c r="A1112" t="inlineStr">
        <is>
          <t>Frete de venda</t>
        </is>
      </c>
      <c r="B1112" t="inlineStr">
        <is>
          <t>1.01.01 Venda de Mercadoria Fabricadas</t>
        </is>
      </c>
      <c r="C1112" t="inlineStr">
        <is>
          <t>Antes de 2026</t>
        </is>
      </c>
      <c r="D1112" t="inlineStr">
        <is>
          <t>Antes de 2026</t>
        </is>
      </c>
      <c r="E1112" s="28" t="n">
        <v>45644</v>
      </c>
      <c r="F1112" t="inlineStr">
        <is>
          <t>CT-e</t>
        </is>
      </c>
      <c r="G1112" t="inlineStr">
        <is>
          <t>000003428</t>
        </is>
      </c>
      <c r="H1112" t="inlineStr">
        <is>
          <t>R&amp;R TRANSPORTE E LOGISTICA</t>
        </is>
      </c>
      <c r="J1112" s="29" t="n">
        <v>225</v>
      </c>
      <c r="K1112" s="29">
        <f>(1-ISNUMBER(SEARCH("556",M1112)))*(O1112*SUMIFS(Premissas!$C$5:$C$44,Premissas!$A$5:$A$44,$A1112,Premissas!$B$5:$B$44,$B1112)+P1112*SUMIFS(Premissas!$D$5:$D$44,Premissas!$A$5:$A$44,$A1112,Premissas!$B$5:$B$44,$B1112))+R1112*SUMIFS(Premissas!$E$5:$E$44,Premissas!$A$5:$A$44,$A1112,Premissas!$B$5:$B$44,$B1112)+S1112*SUMIFS(Premissas!$F$5:$F$44,Premissas!$A$5:$A$44,$A1112,Premissas!$B$5:$B$44,$B1112)</f>
        <v/>
      </c>
      <c r="L1112" s="29">
        <f>J1112-K1112</f>
        <v/>
      </c>
      <c r="M1112" t="inlineStr">
        <is>
          <t>1.350</t>
        </is>
      </c>
      <c r="N1112" t="inlineStr">
        <is>
          <t>Modalidade: 0 - Por conta do remetente | Parte: JR DISTRIBUICAO LTDA (00.680.755/0002-65)</t>
        </is>
      </c>
      <c r="O1112" s="29" t="n">
        <v>0</v>
      </c>
      <c r="P1112" s="29" t="n">
        <v>0</v>
      </c>
      <c r="Q1112" s="29" t="n">
        <v>0</v>
      </c>
      <c r="R1112" s="29" t="n">
        <v>0</v>
      </c>
      <c r="S1112" s="29" t="n">
        <v>0</v>
      </c>
      <c r="T1112" t="inlineStr">
        <is>
          <t>25241226975620000130570010000034281000000002</t>
        </is>
      </c>
      <c r="U1112" t="inlineStr">
        <is>
          <t>Não</t>
        </is>
      </c>
    </row>
    <row r="1113">
      <c r="A1113" t="inlineStr">
        <is>
          <t>Frete de venda</t>
        </is>
      </c>
      <c r="B1113" t="inlineStr">
        <is>
          <t>1.01.01 Venda de Mercadoria Fabricadas</t>
        </is>
      </c>
      <c r="C1113" t="inlineStr">
        <is>
          <t>Antes de 2026</t>
        </is>
      </c>
      <c r="D1113" t="inlineStr">
        <is>
          <t>Antes de 2026</t>
        </is>
      </c>
      <c r="E1113" s="28" t="n">
        <v>45644</v>
      </c>
      <c r="F1113" t="inlineStr">
        <is>
          <t>CT-e</t>
        </is>
      </c>
      <c r="G1113" t="inlineStr">
        <is>
          <t>000003429</t>
        </is>
      </c>
      <c r="H1113" t="inlineStr">
        <is>
          <t>R&amp;R TRANSPORTE E LOGISTICA</t>
        </is>
      </c>
      <c r="J1113" s="29" t="n">
        <v>225</v>
      </c>
      <c r="K1113" s="29">
        <f>(1-ISNUMBER(SEARCH("556",M1113)))*(O1113*SUMIFS(Premissas!$C$5:$C$44,Premissas!$A$5:$A$44,$A1113,Premissas!$B$5:$B$44,$B1113)+P1113*SUMIFS(Premissas!$D$5:$D$44,Premissas!$A$5:$A$44,$A1113,Premissas!$B$5:$B$44,$B1113))+R1113*SUMIFS(Premissas!$E$5:$E$44,Premissas!$A$5:$A$44,$A1113,Premissas!$B$5:$B$44,$B1113)+S1113*SUMIFS(Premissas!$F$5:$F$44,Premissas!$A$5:$A$44,$A1113,Premissas!$B$5:$B$44,$B1113)</f>
        <v/>
      </c>
      <c r="L1113" s="29">
        <f>J1113-K1113</f>
        <v/>
      </c>
      <c r="M1113" t="inlineStr">
        <is>
          <t>1.350</t>
        </is>
      </c>
      <c r="N1113" t="inlineStr">
        <is>
          <t>Modalidade: 0 - Por conta do remetente | Parte: KM EMBALAGENS LTDA (29.525.745/0001-56)</t>
        </is>
      </c>
      <c r="O1113" s="29" t="n">
        <v>0</v>
      </c>
      <c r="P1113" s="29" t="n">
        <v>0</v>
      </c>
      <c r="Q1113" s="29" t="n">
        <v>0</v>
      </c>
      <c r="R1113" s="29" t="n">
        <v>0</v>
      </c>
      <c r="S1113" s="29" t="n">
        <v>0</v>
      </c>
      <c r="T1113" t="inlineStr">
        <is>
          <t>25241226975620000130570010000034291000000000</t>
        </is>
      </c>
      <c r="U1113" t="inlineStr">
        <is>
          <t>Não</t>
        </is>
      </c>
    </row>
    <row r="1114">
      <c r="A1114" t="inlineStr">
        <is>
          <t>Frete de venda</t>
        </is>
      </c>
      <c r="B1114" t="inlineStr">
        <is>
          <t>1.01.01 Venda de Mercadoria Fabricadas</t>
        </is>
      </c>
      <c r="C1114" t="inlineStr">
        <is>
          <t>Antes de 2026</t>
        </is>
      </c>
      <c r="D1114" t="inlineStr">
        <is>
          <t>Antes de 2026</t>
        </is>
      </c>
      <c r="E1114" s="28" t="n">
        <v>45644</v>
      </c>
      <c r="F1114" t="inlineStr">
        <is>
          <t>CT-e</t>
        </is>
      </c>
      <c r="G1114" t="inlineStr">
        <is>
          <t>000003430</t>
        </is>
      </c>
      <c r="H1114" t="inlineStr">
        <is>
          <t>R&amp;R TRANSPORTE E LOGISTICA</t>
        </is>
      </c>
      <c r="J1114" s="29" t="n">
        <v>300</v>
      </c>
      <c r="K1114" s="29">
        <f>(1-ISNUMBER(SEARCH("556",M1114)))*(O1114*SUMIFS(Premissas!$C$5:$C$44,Premissas!$A$5:$A$44,$A1114,Premissas!$B$5:$B$44,$B1114)+P1114*SUMIFS(Premissas!$D$5:$D$44,Premissas!$A$5:$A$44,$A1114,Premissas!$B$5:$B$44,$B1114))+R1114*SUMIFS(Premissas!$E$5:$E$44,Premissas!$A$5:$A$44,$A1114,Premissas!$B$5:$B$44,$B1114)+S1114*SUMIFS(Premissas!$F$5:$F$44,Premissas!$A$5:$A$44,$A1114,Premissas!$B$5:$B$44,$B1114)</f>
        <v/>
      </c>
      <c r="L1114" s="29">
        <f>J1114-K1114</f>
        <v/>
      </c>
      <c r="M1114" t="inlineStr">
        <is>
          <t>1.350</t>
        </is>
      </c>
      <c r="N1114" t="inlineStr">
        <is>
          <t>Modalidade: 0 - Por conta do remetente | Parte: CAEL DISTRIBUIDORA DE PRODUTOS DE HIGIENE E LIMPEZA LTDA (15.129.402/0001-68)</t>
        </is>
      </c>
      <c r="O1114" s="29" t="n">
        <v>0</v>
      </c>
      <c r="P1114" s="29" t="n">
        <v>0</v>
      </c>
      <c r="Q1114" s="29" t="n">
        <v>0</v>
      </c>
      <c r="R1114" s="29" t="n">
        <v>0</v>
      </c>
      <c r="S1114" s="29" t="n">
        <v>0</v>
      </c>
      <c r="T1114" t="inlineStr">
        <is>
          <t>25241226975620000130570010000034301000000000</t>
        </is>
      </c>
      <c r="U1114" t="inlineStr">
        <is>
          <t>Não</t>
        </is>
      </c>
    </row>
    <row r="1115">
      <c r="A1115" t="inlineStr">
        <is>
          <t>Frete de venda</t>
        </is>
      </c>
      <c r="B1115" t="inlineStr">
        <is>
          <t>1.01.01 Venda de Mercadoria Fabricadas</t>
        </is>
      </c>
      <c r="C1115" t="inlineStr">
        <is>
          <t>Antes de 2026</t>
        </is>
      </c>
      <c r="D1115" t="inlineStr">
        <is>
          <t>Antes de 2026</t>
        </is>
      </c>
      <c r="E1115" s="28" t="n">
        <v>45645</v>
      </c>
      <c r="F1115" t="inlineStr">
        <is>
          <t>CT-e</t>
        </is>
      </c>
      <c r="G1115" t="inlineStr">
        <is>
          <t>000003433</t>
        </is>
      </c>
      <c r="H1115" t="inlineStr">
        <is>
          <t>R&amp;R TRANSPORTE E LOGISTICA</t>
        </is>
      </c>
      <c r="J1115" s="29" t="n">
        <v>82.92</v>
      </c>
      <c r="K1115" s="29">
        <f>(1-ISNUMBER(SEARCH("556",M1115)))*(O1115*SUMIFS(Premissas!$C$5:$C$44,Premissas!$A$5:$A$44,$A1115,Premissas!$B$5:$B$44,$B1115)+P1115*SUMIFS(Premissas!$D$5:$D$44,Premissas!$A$5:$A$44,$A1115,Premissas!$B$5:$B$44,$B1115))+R1115*SUMIFS(Premissas!$E$5:$E$44,Premissas!$A$5:$A$44,$A1115,Premissas!$B$5:$B$44,$B1115)+S1115*SUMIFS(Premissas!$F$5:$F$44,Premissas!$A$5:$A$44,$A1115,Premissas!$B$5:$B$44,$B1115)</f>
        <v/>
      </c>
      <c r="L1115" s="29">
        <f>J1115-K1115</f>
        <v/>
      </c>
      <c r="M1115" t="inlineStr">
        <is>
          <t>1.350</t>
        </is>
      </c>
      <c r="N1115" t="inlineStr">
        <is>
          <t>Modalidade: 0 - Por conta do remetente | Parte: R L COMERCIO DE EMBALAGENS PLASTICAS LTDA (33.919.949/0001-49)</t>
        </is>
      </c>
      <c r="O1115" s="29" t="n">
        <v>0</v>
      </c>
      <c r="P1115" s="29" t="n">
        <v>0</v>
      </c>
      <c r="Q1115" s="29" t="n">
        <v>0</v>
      </c>
      <c r="R1115" s="29" t="n">
        <v>0</v>
      </c>
      <c r="S1115" s="29" t="n">
        <v>0</v>
      </c>
      <c r="T1115" t="inlineStr">
        <is>
          <t>25241226975620000130570010000034331000000002</t>
        </is>
      </c>
      <c r="U1115" t="inlineStr">
        <is>
          <t>Não</t>
        </is>
      </c>
    </row>
    <row r="1116">
      <c r="A1116" t="inlineStr">
        <is>
          <t>Frete de venda</t>
        </is>
      </c>
      <c r="B1116" t="inlineStr">
        <is>
          <t>1.01.01 Venda de Mercadoria Fabricadas</t>
        </is>
      </c>
      <c r="C1116" t="inlineStr">
        <is>
          <t>Antes de 2026</t>
        </is>
      </c>
      <c r="D1116" t="inlineStr">
        <is>
          <t>Antes de 2026</t>
        </is>
      </c>
      <c r="E1116" s="28" t="n">
        <v>45645</v>
      </c>
      <c r="F1116" t="inlineStr">
        <is>
          <t>CT-e</t>
        </is>
      </c>
      <c r="G1116" t="inlineStr">
        <is>
          <t>000003434</t>
        </is>
      </c>
      <c r="H1116" t="inlineStr">
        <is>
          <t>R&amp;R TRANSPORTE E LOGISTICA</t>
        </is>
      </c>
      <c r="J1116" s="29" t="n">
        <v>90.86</v>
      </c>
      <c r="K1116" s="29">
        <f>(1-ISNUMBER(SEARCH("556",M1116)))*(O1116*SUMIFS(Premissas!$C$5:$C$44,Premissas!$A$5:$A$44,$A1116,Premissas!$B$5:$B$44,$B1116)+P1116*SUMIFS(Premissas!$D$5:$D$44,Premissas!$A$5:$A$44,$A1116,Premissas!$B$5:$B$44,$B1116))+R1116*SUMIFS(Premissas!$E$5:$E$44,Premissas!$A$5:$A$44,$A1116,Premissas!$B$5:$B$44,$B1116)+S1116*SUMIFS(Premissas!$F$5:$F$44,Premissas!$A$5:$A$44,$A1116,Premissas!$B$5:$B$44,$B1116)</f>
        <v/>
      </c>
      <c r="L1116" s="29">
        <f>J1116-K1116</f>
        <v/>
      </c>
      <c r="M1116" t="inlineStr">
        <is>
          <t>1.350</t>
        </is>
      </c>
      <c r="N1116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16" s="29" t="n">
        <v>0</v>
      </c>
      <c r="P1116" s="29" t="n">
        <v>0</v>
      </c>
      <c r="Q1116" s="29" t="n">
        <v>0</v>
      </c>
      <c r="R1116" s="29" t="n">
        <v>0</v>
      </c>
      <c r="S1116" s="29" t="n">
        <v>0</v>
      </c>
      <c r="T1116" t="inlineStr">
        <is>
          <t>25241226975620000130570010000034341000000000</t>
        </is>
      </c>
      <c r="U1116" t="inlineStr">
        <is>
          <t>Não</t>
        </is>
      </c>
    </row>
    <row r="1117">
      <c r="A1117" t="inlineStr">
        <is>
          <t>Frete de venda</t>
        </is>
      </c>
      <c r="B1117" t="inlineStr">
        <is>
          <t>1.01.01 Venda de Mercadoria Fabricadas</t>
        </is>
      </c>
      <c r="C1117" t="inlineStr">
        <is>
          <t>Antes de 2026</t>
        </is>
      </c>
      <c r="D1117" t="inlineStr">
        <is>
          <t>Antes de 2026</t>
        </is>
      </c>
      <c r="E1117" s="28" t="n">
        <v>45646</v>
      </c>
      <c r="F1117" t="inlineStr">
        <is>
          <t>CT-e</t>
        </is>
      </c>
      <c r="G1117" t="inlineStr">
        <is>
          <t>000003439</t>
        </is>
      </c>
      <c r="H1117" t="inlineStr">
        <is>
          <t>R&amp;R TRANSPORTE E LOGISTICA</t>
        </is>
      </c>
      <c r="J1117" s="29" t="n">
        <v>45.3</v>
      </c>
      <c r="K1117" s="29">
        <f>(1-ISNUMBER(SEARCH("556",M1117)))*(O1117*SUMIFS(Premissas!$C$5:$C$44,Premissas!$A$5:$A$44,$A1117,Premissas!$B$5:$B$44,$B1117)+P1117*SUMIFS(Premissas!$D$5:$D$44,Premissas!$A$5:$A$44,$A1117,Premissas!$B$5:$B$44,$B1117))+R1117*SUMIFS(Premissas!$E$5:$E$44,Premissas!$A$5:$A$44,$A1117,Premissas!$B$5:$B$44,$B1117)+S1117*SUMIFS(Premissas!$F$5:$F$44,Premissas!$A$5:$A$44,$A1117,Premissas!$B$5:$B$44,$B1117)</f>
        <v/>
      </c>
      <c r="L1117" s="29">
        <f>J1117-K1117</f>
        <v/>
      </c>
      <c r="M1117" t="inlineStr">
        <is>
          <t>1.350</t>
        </is>
      </c>
      <c r="N1117" t="inlineStr">
        <is>
          <t>Modalidade: 0 - Por conta do remetente | Parte: Você cons (57.214.482/0001-08)</t>
        </is>
      </c>
      <c r="O1117" s="29" t="n">
        <v>0</v>
      </c>
      <c r="P1117" s="29" t="n">
        <v>0</v>
      </c>
      <c r="Q1117" s="29" t="n">
        <v>0</v>
      </c>
      <c r="R1117" s="29" t="n">
        <v>0</v>
      </c>
      <c r="S1117" s="29" t="n">
        <v>0</v>
      </c>
      <c r="T1117" t="inlineStr">
        <is>
          <t>25241226975620000130570010000034391000000006</t>
        </is>
      </c>
      <c r="U1117" t="inlineStr">
        <is>
          <t>Não</t>
        </is>
      </c>
    </row>
    <row r="1118">
      <c r="A1118" t="inlineStr">
        <is>
          <t>Frete de venda</t>
        </is>
      </c>
      <c r="B1118" t="inlineStr">
        <is>
          <t>1.01.01 Venda de Mercadoria Fabricadas</t>
        </is>
      </c>
      <c r="C1118" t="inlineStr">
        <is>
          <t>Antes de 2026</t>
        </is>
      </c>
      <c r="D1118" t="inlineStr">
        <is>
          <t>Antes de 2026</t>
        </is>
      </c>
      <c r="E1118" s="28" t="n">
        <v>45646</v>
      </c>
      <c r="F1118" t="inlineStr">
        <is>
          <t>CT-e</t>
        </is>
      </c>
      <c r="G1118" t="inlineStr">
        <is>
          <t>000003440</t>
        </is>
      </c>
      <c r="H1118" t="inlineStr">
        <is>
          <t>R&amp;R TRANSPORTE E LOGISTICA</t>
        </is>
      </c>
      <c r="J1118" s="29" t="n">
        <v>56.74</v>
      </c>
      <c r="K1118" s="29">
        <f>(1-ISNUMBER(SEARCH("556",M1118)))*(O1118*SUMIFS(Premissas!$C$5:$C$44,Premissas!$A$5:$A$44,$A1118,Premissas!$B$5:$B$44,$B1118)+P1118*SUMIFS(Premissas!$D$5:$D$44,Premissas!$A$5:$A$44,$A1118,Premissas!$B$5:$B$44,$B1118))+R1118*SUMIFS(Premissas!$E$5:$E$44,Premissas!$A$5:$A$44,$A1118,Premissas!$B$5:$B$44,$B1118)+S1118*SUMIFS(Premissas!$F$5:$F$44,Premissas!$A$5:$A$44,$A1118,Premissas!$B$5:$B$44,$B1118)</f>
        <v/>
      </c>
      <c r="L1118" s="29">
        <f>J1118-K1118</f>
        <v/>
      </c>
      <c r="M1118" t="inlineStr">
        <is>
          <t>1.350</t>
        </is>
      </c>
      <c r="N1118" t="inlineStr">
        <is>
          <t>Modalidade: 0 - Por conta do remetente | Parte: AGM PLASTICOS LTDA (19.429.803/0001-94)</t>
        </is>
      </c>
      <c r="O1118" s="29" t="n">
        <v>0</v>
      </c>
      <c r="P1118" s="29" t="n">
        <v>0</v>
      </c>
      <c r="Q1118" s="29" t="n">
        <v>0</v>
      </c>
      <c r="R1118" s="29" t="n">
        <v>0</v>
      </c>
      <c r="S1118" s="29" t="n">
        <v>0</v>
      </c>
      <c r="T1118" t="inlineStr">
        <is>
          <t>25241226975620000130570010000034401000000007</t>
        </is>
      </c>
      <c r="U1118" t="inlineStr">
        <is>
          <t>Não</t>
        </is>
      </c>
    </row>
    <row r="1119">
      <c r="A1119" t="inlineStr">
        <is>
          <t>Frete de venda</t>
        </is>
      </c>
      <c r="B1119" t="inlineStr">
        <is>
          <t>1.01.01 Venda de Mercadoria Fabricadas</t>
        </is>
      </c>
      <c r="C1119" t="inlineStr">
        <is>
          <t>Antes de 2026</t>
        </is>
      </c>
      <c r="D1119" t="inlineStr">
        <is>
          <t>Antes de 2026</t>
        </is>
      </c>
      <c r="E1119" s="28" t="n">
        <v>45646</v>
      </c>
      <c r="F1119" t="inlineStr">
        <is>
          <t>CT-e</t>
        </is>
      </c>
      <c r="G1119" t="inlineStr">
        <is>
          <t>000003441</t>
        </is>
      </c>
      <c r="H1119" t="inlineStr">
        <is>
          <t>R&amp;R TRANSPORTE E LOGISTICA</t>
        </is>
      </c>
      <c r="J1119" s="29" t="n">
        <v>48.81</v>
      </c>
      <c r="K1119" s="29">
        <f>(1-ISNUMBER(SEARCH("556",M1119)))*(O1119*SUMIFS(Premissas!$C$5:$C$44,Premissas!$A$5:$A$44,$A1119,Premissas!$B$5:$B$44,$B1119)+P1119*SUMIFS(Premissas!$D$5:$D$44,Premissas!$A$5:$A$44,$A1119,Premissas!$B$5:$B$44,$B1119))+R1119*SUMIFS(Premissas!$E$5:$E$44,Premissas!$A$5:$A$44,$A1119,Premissas!$B$5:$B$44,$B1119)+S1119*SUMIFS(Premissas!$F$5:$F$44,Premissas!$A$5:$A$44,$A1119,Premissas!$B$5:$B$44,$B1119)</f>
        <v/>
      </c>
      <c r="L1119" s="29">
        <f>J1119-K1119</f>
        <v/>
      </c>
      <c r="M1119" t="inlineStr">
        <is>
          <t>1.350</t>
        </is>
      </c>
      <c r="N1119" t="inlineStr">
        <is>
          <t>Modalidade: 0 - Por conta do remetente | Parte: R DAS N SANTANA (16.643.337/0001-57)</t>
        </is>
      </c>
      <c r="O1119" s="29" t="n">
        <v>0</v>
      </c>
      <c r="P1119" s="29" t="n">
        <v>0</v>
      </c>
      <c r="Q1119" s="29" t="n">
        <v>0</v>
      </c>
      <c r="R1119" s="29" t="n">
        <v>0</v>
      </c>
      <c r="S1119" s="29" t="n">
        <v>0</v>
      </c>
      <c r="T1119" t="inlineStr">
        <is>
          <t>25241226975620000130570010000034411000000004</t>
        </is>
      </c>
      <c r="U1119" t="inlineStr">
        <is>
          <t>Não</t>
        </is>
      </c>
    </row>
    <row r="1120">
      <c r="A1120" t="inlineStr">
        <is>
          <t>Frete de venda</t>
        </is>
      </c>
      <c r="B1120" t="inlineStr">
        <is>
          <t>1.01.01 Venda de Mercadoria Fabricadas</t>
        </is>
      </c>
      <c r="C1120" t="inlineStr">
        <is>
          <t>Antes de 2026</t>
        </is>
      </c>
      <c r="D1120" t="inlineStr">
        <is>
          <t>Antes de 2026</t>
        </is>
      </c>
      <c r="E1120" s="28" t="n">
        <v>45646</v>
      </c>
      <c r="F1120" t="inlineStr">
        <is>
          <t>CT-e</t>
        </is>
      </c>
      <c r="G1120" t="inlineStr">
        <is>
          <t>000003442</t>
        </is>
      </c>
      <c r="H1120" t="inlineStr">
        <is>
          <t>R&amp;R TRANSPORTE E LOGISTICA</t>
        </is>
      </c>
      <c r="J1120" s="29" t="n">
        <v>63.07</v>
      </c>
      <c r="K1120" s="29">
        <f>(1-ISNUMBER(SEARCH("556",M1120)))*(O1120*SUMIFS(Premissas!$C$5:$C$44,Premissas!$A$5:$A$44,$A1120,Premissas!$B$5:$B$44,$B1120)+P1120*SUMIFS(Premissas!$D$5:$D$44,Premissas!$A$5:$A$44,$A1120,Premissas!$B$5:$B$44,$B1120))+R1120*SUMIFS(Premissas!$E$5:$E$44,Premissas!$A$5:$A$44,$A1120,Premissas!$B$5:$B$44,$B1120)+S1120*SUMIFS(Premissas!$F$5:$F$44,Premissas!$A$5:$A$44,$A1120,Premissas!$B$5:$B$44,$B1120)</f>
        <v/>
      </c>
      <c r="L1120" s="29">
        <f>J1120-K1120</f>
        <v/>
      </c>
      <c r="M1120" t="inlineStr">
        <is>
          <t>1.350</t>
        </is>
      </c>
      <c r="N1120" t="inlineStr">
        <is>
          <t>Modalidade: 0 - Por conta do remetente | Parte: R3 SUPRIMENTOS CORPORATIVOS LTDA (10.641.901/0001-16)</t>
        </is>
      </c>
      <c r="O1120" s="29" t="n">
        <v>0</v>
      </c>
      <c r="P1120" s="29" t="n">
        <v>0</v>
      </c>
      <c r="Q1120" s="29" t="n">
        <v>0</v>
      </c>
      <c r="R1120" s="29" t="n">
        <v>0</v>
      </c>
      <c r="S1120" s="29" t="n">
        <v>0</v>
      </c>
      <c r="T1120" t="inlineStr">
        <is>
          <t>25241226975620000130570010000034421000000001</t>
        </is>
      </c>
      <c r="U1120" t="inlineStr">
        <is>
          <t>Não</t>
        </is>
      </c>
    </row>
    <row r="1121">
      <c r="A1121" t="inlineStr">
        <is>
          <t>Frete de venda</t>
        </is>
      </c>
      <c r="B1121" t="inlineStr">
        <is>
          <t>1.01.01 Venda de Mercadoria Fabricadas</t>
        </is>
      </c>
      <c r="C1121" t="inlineStr">
        <is>
          <t>Antes de 2026</t>
        </is>
      </c>
      <c r="D1121" t="inlineStr">
        <is>
          <t>Antes de 2026</t>
        </is>
      </c>
      <c r="E1121" s="28" t="n">
        <v>45646</v>
      </c>
      <c r="F1121" t="inlineStr">
        <is>
          <t>CT-e</t>
        </is>
      </c>
      <c r="G1121" t="inlineStr">
        <is>
          <t>000003447</t>
        </is>
      </c>
      <c r="H1121" t="inlineStr">
        <is>
          <t>R&amp;R TRANSPORTE E LOGISTICA</t>
        </is>
      </c>
      <c r="J1121" s="29" t="n">
        <v>43.01</v>
      </c>
      <c r="K1121" s="29">
        <f>(1-ISNUMBER(SEARCH("556",M1121)))*(O1121*SUMIFS(Premissas!$C$5:$C$44,Premissas!$A$5:$A$44,$A1121,Premissas!$B$5:$B$44,$B1121)+P1121*SUMIFS(Premissas!$D$5:$D$44,Premissas!$A$5:$A$44,$A1121,Premissas!$B$5:$B$44,$B1121))+R1121*SUMIFS(Premissas!$E$5:$E$44,Premissas!$A$5:$A$44,$A1121,Premissas!$B$5:$B$44,$B1121)+S1121*SUMIFS(Premissas!$F$5:$F$44,Premissas!$A$5:$A$44,$A1121,Premissas!$B$5:$B$44,$B1121)</f>
        <v/>
      </c>
      <c r="L1121" s="29">
        <f>J1121-K1121</f>
        <v/>
      </c>
      <c r="M1121" t="inlineStr">
        <is>
          <t>1.350</t>
        </is>
      </c>
      <c r="N1121" t="inlineStr">
        <is>
          <t>Modalidade: 0 - Por conta do remetente | Parte: JND DISTRIBUIDORA LTDA (36.332.668/0001-83)</t>
        </is>
      </c>
      <c r="O1121" s="29" t="n">
        <v>0</v>
      </c>
      <c r="P1121" s="29" t="n">
        <v>0</v>
      </c>
      <c r="Q1121" s="29" t="n">
        <v>0</v>
      </c>
      <c r="R1121" s="29" t="n">
        <v>0</v>
      </c>
      <c r="S1121" s="29" t="n">
        <v>0</v>
      </c>
      <c r="T1121" t="inlineStr">
        <is>
          <t>25241226975620000130570010000034471000000008</t>
        </is>
      </c>
      <c r="U1121" t="inlineStr">
        <is>
          <t>Não</t>
        </is>
      </c>
    </row>
    <row r="1122">
      <c r="A1122" t="inlineStr">
        <is>
          <t>Frete de venda</t>
        </is>
      </c>
      <c r="B1122" t="inlineStr">
        <is>
          <t>1.01.01 Venda de Mercadoria Fabricadas</t>
        </is>
      </c>
      <c r="C1122" t="inlineStr">
        <is>
          <t>Antes de 2026</t>
        </is>
      </c>
      <c r="D1122" t="inlineStr">
        <is>
          <t>Antes de 2026</t>
        </is>
      </c>
      <c r="E1122" s="28" t="n">
        <v>45646</v>
      </c>
      <c r="F1122" t="inlineStr">
        <is>
          <t>CT-e</t>
        </is>
      </c>
      <c r="G1122" t="inlineStr">
        <is>
          <t>000003448</t>
        </is>
      </c>
      <c r="H1122" t="inlineStr">
        <is>
          <t>R&amp;R TRANSPORTE E LOGISTICA</t>
        </is>
      </c>
      <c r="J1122" s="29" t="n">
        <v>41.54</v>
      </c>
      <c r="K1122" s="29">
        <f>(1-ISNUMBER(SEARCH("556",M1122)))*(O1122*SUMIFS(Premissas!$C$5:$C$44,Premissas!$A$5:$A$44,$A1122,Premissas!$B$5:$B$44,$B1122)+P1122*SUMIFS(Premissas!$D$5:$D$44,Premissas!$A$5:$A$44,$A1122,Premissas!$B$5:$B$44,$B1122))+R1122*SUMIFS(Premissas!$E$5:$E$44,Premissas!$A$5:$A$44,$A1122,Premissas!$B$5:$B$44,$B1122)+S1122*SUMIFS(Premissas!$F$5:$F$44,Premissas!$A$5:$A$44,$A1122,Premissas!$B$5:$B$44,$B1122)</f>
        <v/>
      </c>
      <c r="L1122" s="29">
        <f>J1122-K1122</f>
        <v/>
      </c>
      <c r="M1122" t="inlineStr">
        <is>
          <t>1.350</t>
        </is>
      </c>
      <c r="N1122" t="inlineStr">
        <is>
          <t>Modalidade: 0 - Por conta do remetente | Parte: MARIA DE FATIMA PEREIRA SILVA PLASTICOS EPP (02.716.995/0001-17)</t>
        </is>
      </c>
      <c r="O1122" s="29" t="n">
        <v>0</v>
      </c>
      <c r="P1122" s="29" t="n">
        <v>0</v>
      </c>
      <c r="Q1122" s="29" t="n">
        <v>0</v>
      </c>
      <c r="R1122" s="29" t="n">
        <v>0</v>
      </c>
      <c r="S1122" s="29" t="n">
        <v>0</v>
      </c>
      <c r="T1122" t="inlineStr">
        <is>
          <t>25241226975620000130570010000034481000000005</t>
        </is>
      </c>
      <c r="U1122" t="inlineStr">
        <is>
          <t>Não</t>
        </is>
      </c>
    </row>
    <row r="1123">
      <c r="A1123" t="inlineStr">
        <is>
          <t>Frete de venda</t>
        </is>
      </c>
      <c r="B1123" t="inlineStr">
        <is>
          <t>1.01.01 Venda de Mercadoria Fabricadas</t>
        </is>
      </c>
      <c r="C1123" t="inlineStr">
        <is>
          <t>Antes de 2026</t>
        </is>
      </c>
      <c r="D1123" t="inlineStr">
        <is>
          <t>Antes de 2026</t>
        </is>
      </c>
      <c r="E1123" s="28" t="n">
        <v>45646</v>
      </c>
      <c r="F1123" t="inlineStr">
        <is>
          <t>CT-e</t>
        </is>
      </c>
      <c r="G1123" t="inlineStr">
        <is>
          <t>000003449</t>
        </is>
      </c>
      <c r="H1123" t="inlineStr">
        <is>
          <t>R&amp;R TRANSPORTE E LOGISTICA</t>
        </is>
      </c>
      <c r="J1123" s="29" t="n">
        <v>41.09</v>
      </c>
      <c r="K1123" s="29">
        <f>(1-ISNUMBER(SEARCH("556",M1123)))*(O1123*SUMIFS(Premissas!$C$5:$C$44,Premissas!$A$5:$A$44,$A1123,Premissas!$B$5:$B$44,$B1123)+P1123*SUMIFS(Premissas!$D$5:$D$44,Premissas!$A$5:$A$44,$A1123,Premissas!$B$5:$B$44,$B1123))+R1123*SUMIFS(Premissas!$E$5:$E$44,Premissas!$A$5:$A$44,$A1123,Premissas!$B$5:$B$44,$B1123)+S1123*SUMIFS(Premissas!$F$5:$F$44,Premissas!$A$5:$A$44,$A1123,Premissas!$B$5:$B$44,$B1123)</f>
        <v/>
      </c>
      <c r="L1123" s="29">
        <f>J1123-K1123</f>
        <v/>
      </c>
      <c r="M1123" t="inlineStr">
        <is>
          <t>1.350</t>
        </is>
      </c>
      <c r="N1123" t="inlineStr">
        <is>
          <t>Modalidade: 0 - Por conta do remetente | Parte: DOCA COMERCIO DE PRODUTOS ALIMENTICIOS LTDA (15.258.788/0001-08)</t>
        </is>
      </c>
      <c r="O1123" s="29" t="n">
        <v>0</v>
      </c>
      <c r="P1123" s="29" t="n">
        <v>0</v>
      </c>
      <c r="Q1123" s="29" t="n">
        <v>0</v>
      </c>
      <c r="R1123" s="29" t="n">
        <v>0</v>
      </c>
      <c r="S1123" s="29" t="n">
        <v>0</v>
      </c>
      <c r="T1123" t="inlineStr">
        <is>
          <t>25241226975620000130570010000034491000000002</t>
        </is>
      </c>
      <c r="U1123" t="inlineStr">
        <is>
          <t>Não</t>
        </is>
      </c>
    </row>
    <row r="1124">
      <c r="A1124" t="inlineStr">
        <is>
          <t>Frete de venda</t>
        </is>
      </c>
      <c r="B1124" t="inlineStr">
        <is>
          <t>1.01.01 Venda de Mercadoria Fabricadas</t>
        </is>
      </c>
      <c r="C1124" t="inlineStr">
        <is>
          <t>Antes de 2026</t>
        </is>
      </c>
      <c r="D1124" t="inlineStr">
        <is>
          <t>Antes de 2026</t>
        </is>
      </c>
      <c r="E1124" s="28" t="n">
        <v>45646</v>
      </c>
      <c r="F1124" t="inlineStr">
        <is>
          <t>CT-e</t>
        </is>
      </c>
      <c r="G1124" t="inlineStr">
        <is>
          <t>000003450</t>
        </is>
      </c>
      <c r="H1124" t="inlineStr">
        <is>
          <t>R&amp;R TRANSPORTE E LOGISTICA</t>
        </is>
      </c>
      <c r="J1124" s="29" t="n">
        <v>46.34</v>
      </c>
      <c r="K1124" s="29">
        <f>(1-ISNUMBER(SEARCH("556",M1124)))*(O1124*SUMIFS(Premissas!$C$5:$C$44,Premissas!$A$5:$A$44,$A1124,Premissas!$B$5:$B$44,$B1124)+P1124*SUMIFS(Premissas!$D$5:$D$44,Premissas!$A$5:$A$44,$A1124,Premissas!$B$5:$B$44,$B1124))+R1124*SUMIFS(Premissas!$E$5:$E$44,Premissas!$A$5:$A$44,$A1124,Premissas!$B$5:$B$44,$B1124)+S1124*SUMIFS(Premissas!$F$5:$F$44,Premissas!$A$5:$A$44,$A1124,Premissas!$B$5:$B$44,$B1124)</f>
        <v/>
      </c>
      <c r="L1124" s="29">
        <f>J1124-K1124</f>
        <v/>
      </c>
      <c r="M1124" t="inlineStr">
        <is>
          <t>1.350</t>
        </is>
      </c>
      <c r="N1124" t="inlineStr">
        <is>
          <t>Modalidade: 0 - Por conta do remetente | Parte: FORTALI DISTRIBUIDORA DE ALIMENTOS LTDA. (09.317.318/0001-75)</t>
        </is>
      </c>
      <c r="O1124" s="29" t="n">
        <v>0</v>
      </c>
      <c r="P1124" s="29" t="n">
        <v>0</v>
      </c>
      <c r="Q1124" s="29" t="n">
        <v>0</v>
      </c>
      <c r="R1124" s="29" t="n">
        <v>0</v>
      </c>
      <c r="S1124" s="29" t="n">
        <v>0</v>
      </c>
      <c r="T1124" t="inlineStr">
        <is>
          <t>25241226975620000130570010000034501000000003</t>
        </is>
      </c>
      <c r="U1124" t="inlineStr">
        <is>
          <t>Não</t>
        </is>
      </c>
    </row>
    <row r="1125">
      <c r="A1125" t="inlineStr">
        <is>
          <t>Frete de venda</t>
        </is>
      </c>
      <c r="B1125" t="inlineStr">
        <is>
          <t>1.01.01 Venda de Mercadoria Fabricadas</t>
        </is>
      </c>
      <c r="C1125" t="inlineStr">
        <is>
          <t>Antes de 2026</t>
        </is>
      </c>
      <c r="D1125" t="inlineStr">
        <is>
          <t>Antes de 2026</t>
        </is>
      </c>
      <c r="E1125" s="28" t="n">
        <v>45647</v>
      </c>
      <c r="F1125" t="inlineStr">
        <is>
          <t>CT-e</t>
        </is>
      </c>
      <c r="G1125" t="inlineStr">
        <is>
          <t>000003453</t>
        </is>
      </c>
      <c r="H1125" t="inlineStr">
        <is>
          <t>R&amp;R TRANSPORTE E LOGISTICA</t>
        </is>
      </c>
      <c r="J1125" s="29" t="n">
        <v>42</v>
      </c>
      <c r="K1125" s="29">
        <f>(1-ISNUMBER(SEARCH("556",M1125)))*(O1125*SUMIFS(Premissas!$C$5:$C$44,Premissas!$A$5:$A$44,$A1125,Premissas!$B$5:$B$44,$B1125)+P1125*SUMIFS(Premissas!$D$5:$D$44,Premissas!$A$5:$A$44,$A1125,Premissas!$B$5:$B$44,$B1125))+R1125*SUMIFS(Premissas!$E$5:$E$44,Premissas!$A$5:$A$44,$A1125,Premissas!$B$5:$B$44,$B1125)+S1125*SUMIFS(Premissas!$F$5:$F$44,Premissas!$A$5:$A$44,$A1125,Premissas!$B$5:$B$44,$B1125)</f>
        <v/>
      </c>
      <c r="L1125" s="29">
        <f>J1125-K1125</f>
        <v/>
      </c>
      <c r="M1125" t="inlineStr">
        <is>
          <t>1.350</t>
        </is>
      </c>
      <c r="N1125" t="inlineStr">
        <is>
          <t>Modalidade: 0 - Por conta do remetente | Parte: MAVI ATACADISTA DE EMBALAGENS LTDA (57.506.378/0001-89)</t>
        </is>
      </c>
      <c r="O1125" s="29" t="n">
        <v>0</v>
      </c>
      <c r="P1125" s="29" t="n">
        <v>0</v>
      </c>
      <c r="Q1125" s="29" t="n">
        <v>0</v>
      </c>
      <c r="R1125" s="29" t="n">
        <v>0</v>
      </c>
      <c r="S1125" s="29" t="n">
        <v>0</v>
      </c>
      <c r="T1125" t="inlineStr">
        <is>
          <t>25241226975620000130570010000034531000000005</t>
        </is>
      </c>
      <c r="U1125" t="inlineStr">
        <is>
          <t>Não</t>
        </is>
      </c>
    </row>
    <row r="1126">
      <c r="A1126" t="inlineStr">
        <is>
          <t>Frete de venda</t>
        </is>
      </c>
      <c r="B1126" t="inlineStr">
        <is>
          <t>1.01.01 Venda de Mercadoria Fabricadas</t>
        </is>
      </c>
      <c r="C1126" t="inlineStr">
        <is>
          <t>Antes de 2026</t>
        </is>
      </c>
      <c r="D1126" t="inlineStr">
        <is>
          <t>Antes de 2026</t>
        </is>
      </c>
      <c r="E1126" s="28" t="n">
        <v>45647</v>
      </c>
      <c r="F1126" t="inlineStr">
        <is>
          <t>CT-e</t>
        </is>
      </c>
      <c r="G1126" t="inlineStr">
        <is>
          <t>000003454</t>
        </is>
      </c>
      <c r="H1126" t="inlineStr">
        <is>
          <t>R&amp;R TRANSPORTE E LOGISTICA</t>
        </is>
      </c>
      <c r="J1126" s="29" t="n">
        <v>25</v>
      </c>
      <c r="K1126" s="29">
        <f>(1-ISNUMBER(SEARCH("556",M1126)))*(O1126*SUMIFS(Premissas!$C$5:$C$44,Premissas!$A$5:$A$44,$A1126,Premissas!$B$5:$B$44,$B1126)+P1126*SUMIFS(Premissas!$D$5:$D$44,Premissas!$A$5:$A$44,$A1126,Premissas!$B$5:$B$44,$B1126))+R1126*SUMIFS(Premissas!$E$5:$E$44,Premissas!$A$5:$A$44,$A1126,Premissas!$B$5:$B$44,$B1126)+S1126*SUMIFS(Premissas!$F$5:$F$44,Premissas!$A$5:$A$44,$A1126,Premissas!$B$5:$B$44,$B1126)</f>
        <v/>
      </c>
      <c r="L1126" s="29">
        <f>J1126-K1126</f>
        <v/>
      </c>
      <c r="M1126" t="inlineStr">
        <is>
          <t>1.350</t>
        </is>
      </c>
      <c r="N1126" t="inlineStr">
        <is>
          <t>Modalidade: 0 - Por conta do remetente | Parte: PJ RIO E-COMMERCE EM DESCARTAVEIS E PRODUTOS DE LIMPEZA ... (55.555.448/0001-63)</t>
        </is>
      </c>
      <c r="O1126" s="29" t="n">
        <v>0</v>
      </c>
      <c r="P1126" s="29" t="n">
        <v>0</v>
      </c>
      <c r="Q1126" s="29" t="n">
        <v>0</v>
      </c>
      <c r="R1126" s="29" t="n">
        <v>0</v>
      </c>
      <c r="S1126" s="29" t="n">
        <v>0</v>
      </c>
      <c r="T1126" t="inlineStr">
        <is>
          <t>25241226975620000130570010000034541000000002</t>
        </is>
      </c>
      <c r="U1126" t="inlineStr">
        <is>
          <t>Não</t>
        </is>
      </c>
    </row>
    <row r="1127">
      <c r="A1127" t="inlineStr">
        <is>
          <t>Frete de venda</t>
        </is>
      </c>
      <c r="B1127" t="inlineStr">
        <is>
          <t>1.01.01 Venda de Mercadoria Fabricadas</t>
        </is>
      </c>
      <c r="C1127" t="inlineStr">
        <is>
          <t>Antes de 2026</t>
        </is>
      </c>
      <c r="D1127" t="inlineStr">
        <is>
          <t>Antes de 2026</t>
        </is>
      </c>
      <c r="E1127" s="28" t="n">
        <v>45647</v>
      </c>
      <c r="F1127" t="inlineStr">
        <is>
          <t>CT-e</t>
        </is>
      </c>
      <c r="G1127" t="inlineStr">
        <is>
          <t>000003455</t>
        </is>
      </c>
      <c r="H1127" t="inlineStr">
        <is>
          <t>R&amp;R TRANSPORTE E LOGISTICA</t>
        </is>
      </c>
      <c r="J1127" s="29" t="n">
        <v>33</v>
      </c>
      <c r="K1127" s="29">
        <f>(1-ISNUMBER(SEARCH("556",M1127)))*(O1127*SUMIFS(Premissas!$C$5:$C$44,Premissas!$A$5:$A$44,$A1127,Premissas!$B$5:$B$44,$B1127)+P1127*SUMIFS(Premissas!$D$5:$D$44,Premissas!$A$5:$A$44,$A1127,Premissas!$B$5:$B$44,$B1127))+R1127*SUMIFS(Premissas!$E$5:$E$44,Premissas!$A$5:$A$44,$A1127,Premissas!$B$5:$B$44,$B1127)+S1127*SUMIFS(Premissas!$F$5:$F$44,Premissas!$A$5:$A$44,$A1127,Premissas!$B$5:$B$44,$B1127)</f>
        <v/>
      </c>
      <c r="L1127" s="29">
        <f>J1127-K1127</f>
        <v/>
      </c>
      <c r="M1127" t="inlineStr">
        <is>
          <t>1.350</t>
        </is>
      </c>
      <c r="N1127" t="inlineStr">
        <is>
          <t>Modalidade: 0 - Por conta do remetente | Parte: PRODESC BENFICA EMBALAGENS LTDA (06.058.769/0001-47)</t>
        </is>
      </c>
      <c r="O1127" s="29" t="n">
        <v>0</v>
      </c>
      <c r="P1127" s="29" t="n">
        <v>0</v>
      </c>
      <c r="Q1127" s="29" t="n">
        <v>0</v>
      </c>
      <c r="R1127" s="29" t="n">
        <v>0</v>
      </c>
      <c r="S1127" s="29" t="n">
        <v>0</v>
      </c>
      <c r="T1127" t="inlineStr">
        <is>
          <t>25241226975620000130570010000034551000000000</t>
        </is>
      </c>
      <c r="U1127" t="inlineStr">
        <is>
          <t>Não</t>
        </is>
      </c>
    </row>
    <row r="1128">
      <c r="A1128" t="inlineStr">
        <is>
          <t>Frete de venda</t>
        </is>
      </c>
      <c r="B1128" t="inlineStr">
        <is>
          <t>1.01.01 Venda de Mercadoria Fabricadas</t>
        </is>
      </c>
      <c r="C1128" t="inlineStr">
        <is>
          <t>Antes de 2026</t>
        </is>
      </c>
      <c r="D1128" t="inlineStr">
        <is>
          <t>Antes de 2026</t>
        </is>
      </c>
      <c r="E1128" s="28" t="n">
        <v>45647</v>
      </c>
      <c r="F1128" t="inlineStr">
        <is>
          <t>CT-e</t>
        </is>
      </c>
      <c r="G1128" t="inlineStr">
        <is>
          <t>000003456</t>
        </is>
      </c>
      <c r="H1128" t="inlineStr">
        <is>
          <t>R&amp;R TRANSPORTE E LOGISTICA</t>
        </is>
      </c>
      <c r="J1128" s="29" t="n">
        <v>32</v>
      </c>
      <c r="K1128" s="29">
        <f>(1-ISNUMBER(SEARCH("556",M1128)))*(O1128*SUMIFS(Premissas!$C$5:$C$44,Premissas!$A$5:$A$44,$A1128,Premissas!$B$5:$B$44,$B1128)+P1128*SUMIFS(Premissas!$D$5:$D$44,Premissas!$A$5:$A$44,$A1128,Premissas!$B$5:$B$44,$B1128))+R1128*SUMIFS(Premissas!$E$5:$E$44,Premissas!$A$5:$A$44,$A1128,Premissas!$B$5:$B$44,$B1128)+S1128*SUMIFS(Premissas!$F$5:$F$44,Premissas!$A$5:$A$44,$A1128,Premissas!$B$5:$B$44,$B1128)</f>
        <v/>
      </c>
      <c r="L1128" s="29">
        <f>J1128-K1128</f>
        <v/>
      </c>
      <c r="M1128" t="inlineStr">
        <is>
          <t>1.350</t>
        </is>
      </c>
      <c r="N1128" t="inlineStr">
        <is>
          <t>Modalidade: 0 - Por conta do remetente | Parte: PJ RIO EMBALAGENS LTDA (45.915.682/0001-09)</t>
        </is>
      </c>
      <c r="O1128" s="29" t="n">
        <v>0</v>
      </c>
      <c r="P1128" s="29" t="n">
        <v>0</v>
      </c>
      <c r="Q1128" s="29" t="n">
        <v>0</v>
      </c>
      <c r="R1128" s="29" t="n">
        <v>0</v>
      </c>
      <c r="S1128" s="29" t="n">
        <v>0</v>
      </c>
      <c r="T1128" t="inlineStr">
        <is>
          <t>25241226975620000130570010000034561000000007</t>
        </is>
      </c>
      <c r="U1128" t="inlineStr">
        <is>
          <t>Não</t>
        </is>
      </c>
    </row>
    <row r="1129">
      <c r="A1129" t="inlineStr">
        <is>
          <t>Frete de venda</t>
        </is>
      </c>
      <c r="B1129" t="inlineStr">
        <is>
          <t>1.01.01 Venda de Mercadoria Fabricadas</t>
        </is>
      </c>
      <c r="C1129" t="inlineStr">
        <is>
          <t>Antes de 2026</t>
        </is>
      </c>
      <c r="D1129" t="inlineStr">
        <is>
          <t>Antes de 2026</t>
        </is>
      </c>
      <c r="E1129" s="28" t="n">
        <v>45647</v>
      </c>
      <c r="F1129" t="inlineStr">
        <is>
          <t>CT-e</t>
        </is>
      </c>
      <c r="G1129" t="inlineStr">
        <is>
          <t>000003457</t>
        </is>
      </c>
      <c r="H1129" t="inlineStr">
        <is>
          <t>R&amp;R TRANSPORTE E LOGISTICA</t>
        </is>
      </c>
      <c r="J1129" s="29" t="n">
        <v>38</v>
      </c>
      <c r="K1129" s="29">
        <f>(1-ISNUMBER(SEARCH("556",M1129)))*(O1129*SUMIFS(Premissas!$C$5:$C$44,Premissas!$A$5:$A$44,$A1129,Premissas!$B$5:$B$44,$B1129)+P1129*SUMIFS(Premissas!$D$5:$D$44,Premissas!$A$5:$A$44,$A1129,Premissas!$B$5:$B$44,$B1129))+R1129*SUMIFS(Premissas!$E$5:$E$44,Premissas!$A$5:$A$44,$A1129,Premissas!$B$5:$B$44,$B1129)+S1129*SUMIFS(Premissas!$F$5:$F$44,Premissas!$A$5:$A$44,$A1129,Premissas!$B$5:$B$44,$B1129)</f>
        <v/>
      </c>
      <c r="L1129" s="29">
        <f>J1129-K1129</f>
        <v/>
      </c>
      <c r="M1129" t="inlineStr">
        <is>
          <t>1.350</t>
        </is>
      </c>
      <c r="N1129" t="inlineStr">
        <is>
          <t>Modalidade: 0 - Por conta do remetente | Parte: AL MOL COMERCIO DE EMBALAGENS LTDA (29.905.490/0001-57)</t>
        </is>
      </c>
      <c r="O1129" s="29" t="n">
        <v>0</v>
      </c>
      <c r="P1129" s="29" t="n">
        <v>0</v>
      </c>
      <c r="Q1129" s="29" t="n">
        <v>0</v>
      </c>
      <c r="R1129" s="29" t="n">
        <v>0</v>
      </c>
      <c r="S1129" s="29" t="n">
        <v>0</v>
      </c>
      <c r="T1129" t="inlineStr">
        <is>
          <t>25241226975620000130570010000034571000000004</t>
        </is>
      </c>
      <c r="U1129" t="inlineStr">
        <is>
          <t>Não</t>
        </is>
      </c>
    </row>
    <row r="1130">
      <c r="A1130" t="inlineStr">
        <is>
          <t>Frete de venda</t>
        </is>
      </c>
      <c r="B1130" t="inlineStr">
        <is>
          <t>1.01.01 Venda de Mercadoria Fabricadas</t>
        </is>
      </c>
      <c r="C1130" t="inlineStr">
        <is>
          <t>Antes de 2026</t>
        </is>
      </c>
      <c r="D1130" t="inlineStr">
        <is>
          <t>Antes de 2026</t>
        </is>
      </c>
      <c r="E1130" s="28" t="n">
        <v>45647</v>
      </c>
      <c r="F1130" t="inlineStr">
        <is>
          <t>CT-e</t>
        </is>
      </c>
      <c r="G1130" t="inlineStr">
        <is>
          <t>000003458</t>
        </is>
      </c>
      <c r="H1130" t="inlineStr">
        <is>
          <t>R&amp;R TRANSPORTE E LOGISTICA</t>
        </is>
      </c>
      <c r="J1130" s="29" t="n">
        <v>37</v>
      </c>
      <c r="K1130" s="29">
        <f>(1-ISNUMBER(SEARCH("556",M1130)))*(O1130*SUMIFS(Premissas!$C$5:$C$44,Premissas!$A$5:$A$44,$A1130,Premissas!$B$5:$B$44,$B1130)+P1130*SUMIFS(Premissas!$D$5:$D$44,Premissas!$A$5:$A$44,$A1130,Premissas!$B$5:$B$44,$B1130))+R1130*SUMIFS(Premissas!$E$5:$E$44,Premissas!$A$5:$A$44,$A1130,Premissas!$B$5:$B$44,$B1130)+S1130*SUMIFS(Premissas!$F$5:$F$44,Premissas!$A$5:$A$44,$A1130,Premissas!$B$5:$B$44,$B1130)</f>
        <v/>
      </c>
      <c r="L1130" s="29">
        <f>J1130-K1130</f>
        <v/>
      </c>
      <c r="M1130" t="inlineStr">
        <is>
          <t>1.350</t>
        </is>
      </c>
      <c r="N1130" t="inlineStr">
        <is>
          <t>Modalidade: 0 - Por conta do remetente | Parte: LIPACK COMERCIO DE EMBALAGENS LTDA (25.229.896/0001-06)</t>
        </is>
      </c>
      <c r="O1130" s="29" t="n">
        <v>0</v>
      </c>
      <c r="P1130" s="29" t="n">
        <v>0</v>
      </c>
      <c r="Q1130" s="29" t="n">
        <v>0</v>
      </c>
      <c r="R1130" s="29" t="n">
        <v>0</v>
      </c>
      <c r="S1130" s="29" t="n">
        <v>0</v>
      </c>
      <c r="T1130" t="inlineStr">
        <is>
          <t>25241226975620000130570010000034581000000001</t>
        </is>
      </c>
      <c r="U1130" t="inlineStr">
        <is>
          <t>Não</t>
        </is>
      </c>
    </row>
    <row r="1131">
      <c r="A1131" t="inlineStr">
        <is>
          <t>Frete de venda</t>
        </is>
      </c>
      <c r="B1131" t="inlineStr">
        <is>
          <t>1.01.01 Venda de Mercadoria Fabricadas</t>
        </is>
      </c>
      <c r="C1131" t="inlineStr">
        <is>
          <t>Antes de 2026</t>
        </is>
      </c>
      <c r="D1131" t="inlineStr">
        <is>
          <t>Antes de 2026</t>
        </is>
      </c>
      <c r="E1131" s="28" t="n">
        <v>45647</v>
      </c>
      <c r="F1131" t="inlineStr">
        <is>
          <t>CT-e</t>
        </is>
      </c>
      <c r="G1131" t="inlineStr">
        <is>
          <t>000003459</t>
        </is>
      </c>
      <c r="H1131" t="inlineStr">
        <is>
          <t>R&amp;R TRANSPORTE E LOGISTICA</t>
        </is>
      </c>
      <c r="J1131" s="29" t="n">
        <v>30</v>
      </c>
      <c r="K1131" s="29">
        <f>(1-ISNUMBER(SEARCH("556",M1131)))*(O1131*SUMIFS(Premissas!$C$5:$C$44,Premissas!$A$5:$A$44,$A1131,Premissas!$B$5:$B$44,$B1131)+P1131*SUMIFS(Premissas!$D$5:$D$44,Premissas!$A$5:$A$44,$A1131,Premissas!$B$5:$B$44,$B1131))+R1131*SUMIFS(Premissas!$E$5:$E$44,Premissas!$A$5:$A$44,$A1131,Premissas!$B$5:$B$44,$B1131)+S1131*SUMIFS(Premissas!$F$5:$F$44,Premissas!$A$5:$A$44,$A1131,Premissas!$B$5:$B$44,$B1131)</f>
        <v/>
      </c>
      <c r="L1131" s="29">
        <f>J1131-K1131</f>
        <v/>
      </c>
      <c r="M1131" t="inlineStr">
        <is>
          <t>1.350</t>
        </is>
      </c>
      <c r="N1131" t="inlineStr">
        <is>
          <t>Modalidade: 0 - Por conta do remetente | Parte: AMERICA ATACADISTA ALIMENTOS E EMBALAGENS LTDA (51.238.409/0001-81)</t>
        </is>
      </c>
      <c r="O1131" s="29" t="n">
        <v>0</v>
      </c>
      <c r="P1131" s="29" t="n">
        <v>0</v>
      </c>
      <c r="Q1131" s="29" t="n">
        <v>0</v>
      </c>
      <c r="R1131" s="29" t="n">
        <v>0</v>
      </c>
      <c r="S1131" s="29" t="n">
        <v>0</v>
      </c>
      <c r="T1131" t="inlineStr">
        <is>
          <t>25241226975620000130570010000034591000000009</t>
        </is>
      </c>
      <c r="U1131" t="inlineStr">
        <is>
          <t>Não</t>
        </is>
      </c>
    </row>
    <row r="1132">
      <c r="A1132" t="inlineStr">
        <is>
          <t>Frete de venda</t>
        </is>
      </c>
      <c r="B1132" t="inlineStr">
        <is>
          <t>1.01.01 Venda de Mercadoria Fabricadas</t>
        </is>
      </c>
      <c r="C1132" t="inlineStr">
        <is>
          <t>Antes de 2026</t>
        </is>
      </c>
      <c r="D1132" t="inlineStr">
        <is>
          <t>Antes de 2026</t>
        </is>
      </c>
      <c r="E1132" s="28" t="n">
        <v>45647</v>
      </c>
      <c r="F1132" t="inlineStr">
        <is>
          <t>CT-e</t>
        </is>
      </c>
      <c r="G1132" t="inlineStr">
        <is>
          <t>000003460</t>
        </is>
      </c>
      <c r="H1132" t="inlineStr">
        <is>
          <t>R&amp;R TRANSPORTE E LOGISTICA</t>
        </is>
      </c>
      <c r="J1132" s="29" t="n">
        <v>34</v>
      </c>
      <c r="K1132" s="29">
        <f>(1-ISNUMBER(SEARCH("556",M1132)))*(O1132*SUMIFS(Premissas!$C$5:$C$44,Premissas!$A$5:$A$44,$A1132,Premissas!$B$5:$B$44,$B1132)+P1132*SUMIFS(Premissas!$D$5:$D$44,Premissas!$A$5:$A$44,$A1132,Premissas!$B$5:$B$44,$B1132))+R1132*SUMIFS(Premissas!$E$5:$E$44,Premissas!$A$5:$A$44,$A1132,Premissas!$B$5:$B$44,$B1132)+S1132*SUMIFS(Premissas!$F$5:$F$44,Premissas!$A$5:$A$44,$A1132,Premissas!$B$5:$B$44,$B1132)</f>
        <v/>
      </c>
      <c r="L1132" s="29">
        <f>J1132-K1132</f>
        <v/>
      </c>
      <c r="M1132" t="inlineStr">
        <is>
          <t>1.350</t>
        </is>
      </c>
      <c r="N1132" t="inlineStr">
        <is>
          <t>Modalidade: 0 - Por conta do remetente | Parte: WELLINGTON PEREIRA DE SOUZA (13.354.012/0001-66)</t>
        </is>
      </c>
      <c r="O1132" s="29" t="n">
        <v>0</v>
      </c>
      <c r="P1132" s="29" t="n">
        <v>0</v>
      </c>
      <c r="Q1132" s="29" t="n">
        <v>0</v>
      </c>
      <c r="R1132" s="29" t="n">
        <v>0</v>
      </c>
      <c r="S1132" s="29" t="n">
        <v>0</v>
      </c>
      <c r="T1132" t="inlineStr">
        <is>
          <t>25241226975620000130570010000034601000000000</t>
        </is>
      </c>
      <c r="U1132" t="inlineStr">
        <is>
          <t>Não</t>
        </is>
      </c>
    </row>
    <row r="1133">
      <c r="A1133" t="inlineStr">
        <is>
          <t>Frete de venda</t>
        </is>
      </c>
      <c r="B1133" t="inlineStr">
        <is>
          <t>1.01.01 Venda de Mercadoria Fabricadas</t>
        </is>
      </c>
      <c r="C1133" t="inlineStr">
        <is>
          <t>Antes de 2026</t>
        </is>
      </c>
      <c r="D1133" t="inlineStr">
        <is>
          <t>Antes de 2026</t>
        </is>
      </c>
      <c r="E1133" s="28" t="n">
        <v>45649</v>
      </c>
      <c r="F1133" t="inlineStr">
        <is>
          <t>CT-e</t>
        </is>
      </c>
      <c r="G1133" t="inlineStr">
        <is>
          <t>000003462</t>
        </is>
      </c>
      <c r="H1133" t="inlineStr">
        <is>
          <t>R&amp;R TRANSPORTE E LOGISTICA</t>
        </is>
      </c>
      <c r="J1133" s="29" t="n">
        <v>43</v>
      </c>
      <c r="K1133" s="29">
        <f>(1-ISNUMBER(SEARCH("556",M1133)))*(O1133*SUMIFS(Premissas!$C$5:$C$44,Premissas!$A$5:$A$44,$A1133,Premissas!$B$5:$B$44,$B1133)+P1133*SUMIFS(Premissas!$D$5:$D$44,Premissas!$A$5:$A$44,$A1133,Premissas!$B$5:$B$44,$B1133))+R1133*SUMIFS(Premissas!$E$5:$E$44,Premissas!$A$5:$A$44,$A1133,Premissas!$B$5:$B$44,$B1133)+S1133*SUMIFS(Premissas!$F$5:$F$44,Premissas!$A$5:$A$44,$A1133,Premissas!$B$5:$B$44,$B1133)</f>
        <v/>
      </c>
      <c r="L1133" s="29">
        <f>J1133-K1133</f>
        <v/>
      </c>
      <c r="M1133" t="inlineStr">
        <is>
          <t>1.350</t>
        </is>
      </c>
      <c r="N1133" t="inlineStr">
        <is>
          <t>Modalidade: 0 - Por conta do remetente | Parte: DOCA COMERCIO DE PRODUTOS ALIMENTICIOS LTDA (15.258.788/0001-08)</t>
        </is>
      </c>
      <c r="O1133" s="29" t="n">
        <v>0</v>
      </c>
      <c r="P1133" s="29" t="n">
        <v>0</v>
      </c>
      <c r="Q1133" s="29" t="n">
        <v>0</v>
      </c>
      <c r="R1133" s="29" t="n">
        <v>0</v>
      </c>
      <c r="S1133" s="29" t="n">
        <v>0</v>
      </c>
      <c r="T1133" t="inlineStr">
        <is>
          <t>25241226975620000130570010000034621000000004</t>
        </is>
      </c>
      <c r="U1133" t="inlineStr">
        <is>
          <t>Não</t>
        </is>
      </c>
    </row>
    <row r="1134">
      <c r="A1134" t="inlineStr">
        <is>
          <t>Frete de venda</t>
        </is>
      </c>
      <c r="B1134" t="inlineStr">
        <is>
          <t>1.01.01 Venda de Mercadoria Fabricadas</t>
        </is>
      </c>
      <c r="C1134" t="inlineStr">
        <is>
          <t>Antes de 2026</t>
        </is>
      </c>
      <c r="D1134" t="inlineStr">
        <is>
          <t>Antes de 2026</t>
        </is>
      </c>
      <c r="E1134" s="28" t="n">
        <v>45649</v>
      </c>
      <c r="F1134" t="inlineStr">
        <is>
          <t>CT-e</t>
        </is>
      </c>
      <c r="G1134" t="inlineStr">
        <is>
          <t>000003466</t>
        </is>
      </c>
      <c r="H1134" t="inlineStr">
        <is>
          <t>R&amp;R TRANSPORTE E LOGISTICA</t>
        </is>
      </c>
      <c r="J1134" s="29" t="n">
        <v>250</v>
      </c>
      <c r="K1134" s="29">
        <f>(1-ISNUMBER(SEARCH("556",M1134)))*(O1134*SUMIFS(Premissas!$C$5:$C$44,Premissas!$A$5:$A$44,$A1134,Premissas!$B$5:$B$44,$B1134)+P1134*SUMIFS(Premissas!$D$5:$D$44,Premissas!$A$5:$A$44,$A1134,Premissas!$B$5:$B$44,$B1134))+R1134*SUMIFS(Premissas!$E$5:$E$44,Premissas!$A$5:$A$44,$A1134,Premissas!$B$5:$B$44,$B1134)+S1134*SUMIFS(Premissas!$F$5:$F$44,Premissas!$A$5:$A$44,$A1134,Premissas!$B$5:$B$44,$B1134)</f>
        <v/>
      </c>
      <c r="L1134" s="29">
        <f>J1134-K1134</f>
        <v/>
      </c>
      <c r="M1134" t="inlineStr">
        <is>
          <t>1.350</t>
        </is>
      </c>
      <c r="N1134" t="inlineStr">
        <is>
          <t>Modalidade: 0 - Por conta do remetente | Parte: WRFC EMBALAGENS LTDA (56.093.170/0001-12)</t>
        </is>
      </c>
      <c r="O1134" s="29" t="n">
        <v>0</v>
      </c>
      <c r="P1134" s="29" t="n">
        <v>0</v>
      </c>
      <c r="Q1134" s="29" t="n">
        <v>0</v>
      </c>
      <c r="R1134" s="29" t="n">
        <v>0</v>
      </c>
      <c r="S1134" s="29" t="n">
        <v>0</v>
      </c>
      <c r="T1134" t="inlineStr">
        <is>
          <t>25241226975620000130570010000034661000000003</t>
        </is>
      </c>
      <c r="U1134" t="inlineStr">
        <is>
          <t>Não</t>
        </is>
      </c>
    </row>
    <row r="1135">
      <c r="A1135" t="inlineStr">
        <is>
          <t>Frete de venda</t>
        </is>
      </c>
      <c r="B1135" t="inlineStr">
        <is>
          <t>1.01.01 Venda de Mercadoria Fabricadas</t>
        </is>
      </c>
      <c r="C1135" t="inlineStr">
        <is>
          <t>Antes de 2026</t>
        </is>
      </c>
      <c r="D1135" t="inlineStr">
        <is>
          <t>Antes de 2026</t>
        </is>
      </c>
      <c r="E1135" s="28" t="n">
        <v>45653</v>
      </c>
      <c r="F1135" t="inlineStr">
        <is>
          <t>CT-e</t>
        </is>
      </c>
      <c r="G1135" t="inlineStr">
        <is>
          <t>000003473</t>
        </is>
      </c>
      <c r="H1135" t="inlineStr">
        <is>
          <t>R&amp;R TRANSPORTE E LOGISTICA</t>
        </is>
      </c>
      <c r="J1135" s="29" t="n">
        <v>114</v>
      </c>
      <c r="K1135" s="29">
        <f>(1-ISNUMBER(SEARCH("556",M1135)))*(O1135*SUMIFS(Premissas!$C$5:$C$44,Premissas!$A$5:$A$44,$A1135,Premissas!$B$5:$B$44,$B1135)+P1135*SUMIFS(Premissas!$D$5:$D$44,Premissas!$A$5:$A$44,$A1135,Premissas!$B$5:$B$44,$B1135))+R1135*SUMIFS(Premissas!$E$5:$E$44,Premissas!$A$5:$A$44,$A1135,Premissas!$B$5:$B$44,$B1135)+S1135*SUMIFS(Premissas!$F$5:$F$44,Premissas!$A$5:$A$44,$A1135,Premissas!$B$5:$B$44,$B1135)</f>
        <v/>
      </c>
      <c r="L1135" s="29">
        <f>J1135-K1135</f>
        <v/>
      </c>
      <c r="M1135" t="inlineStr">
        <is>
          <t>1.350</t>
        </is>
      </c>
      <c r="N1135" t="inlineStr">
        <is>
          <t>Modalidade: 0 - Por conta do remetente | Parte: STAMP DISTRIBUIDORA DE EMBALAGENS DE PAPEL E DESCARTAVEI... (48.984.362/0001-90)</t>
        </is>
      </c>
      <c r="O1135" s="29" t="n">
        <v>0</v>
      </c>
      <c r="P1135" s="29" t="n">
        <v>0</v>
      </c>
      <c r="Q1135" s="29" t="n">
        <v>0</v>
      </c>
      <c r="R1135" s="29" t="n">
        <v>0</v>
      </c>
      <c r="S1135" s="29" t="n">
        <v>0</v>
      </c>
      <c r="T1135" t="inlineStr">
        <is>
          <t>25241226975620000130570010000034731000000008</t>
        </is>
      </c>
      <c r="U1135" t="inlineStr">
        <is>
          <t>Não</t>
        </is>
      </c>
    </row>
    <row r="1136">
      <c r="A1136" t="inlineStr">
        <is>
          <t>Frete de venda</t>
        </is>
      </c>
      <c r="B1136" t="inlineStr">
        <is>
          <t>1.01.01 Venda de Mercadoria Fabricadas</t>
        </is>
      </c>
      <c r="C1136" t="inlineStr">
        <is>
          <t>Antes de 2026</t>
        </is>
      </c>
      <c r="D1136" t="inlineStr">
        <is>
          <t>Antes de 2026</t>
        </is>
      </c>
      <c r="E1136" s="28" t="n">
        <v>45653</v>
      </c>
      <c r="F1136" t="inlineStr">
        <is>
          <t>CT-e</t>
        </is>
      </c>
      <c r="G1136" t="inlineStr">
        <is>
          <t>000003474</t>
        </is>
      </c>
      <c r="H1136" t="inlineStr">
        <is>
          <t>R&amp;R TRANSPORTE E LOGISTICA</t>
        </is>
      </c>
      <c r="J1136" s="29" t="n">
        <v>91</v>
      </c>
      <c r="K1136" s="29">
        <f>(1-ISNUMBER(SEARCH("556",M1136)))*(O1136*SUMIFS(Premissas!$C$5:$C$44,Premissas!$A$5:$A$44,$A1136,Premissas!$B$5:$B$44,$B1136)+P1136*SUMIFS(Premissas!$D$5:$D$44,Premissas!$A$5:$A$44,$A1136,Premissas!$B$5:$B$44,$B1136))+R1136*SUMIFS(Premissas!$E$5:$E$44,Premissas!$A$5:$A$44,$A1136,Premissas!$B$5:$B$44,$B1136)+S1136*SUMIFS(Premissas!$F$5:$F$44,Premissas!$A$5:$A$44,$A1136,Premissas!$B$5:$B$44,$B1136)</f>
        <v/>
      </c>
      <c r="L1136" s="29">
        <f>J1136-K1136</f>
        <v/>
      </c>
      <c r="M1136" t="inlineStr">
        <is>
          <t>1.350</t>
        </is>
      </c>
      <c r="N1136" t="inlineStr">
        <is>
          <t>Modalidade: 0 - Por conta do remetente | Parte: BRASIL DISTRIBUIDORA DE EMBALAGENS LTDA (30.411.824/0003-87)</t>
        </is>
      </c>
      <c r="O1136" s="29" t="n">
        <v>0</v>
      </c>
      <c r="P1136" s="29" t="n">
        <v>0</v>
      </c>
      <c r="Q1136" s="29" t="n">
        <v>0</v>
      </c>
      <c r="R1136" s="29" t="n">
        <v>0</v>
      </c>
      <c r="S1136" s="29" t="n">
        <v>0</v>
      </c>
      <c r="T1136" t="inlineStr">
        <is>
          <t>25241226975620000130570010000034741000000005</t>
        </is>
      </c>
      <c r="U1136" t="inlineStr">
        <is>
          <t>Não</t>
        </is>
      </c>
    </row>
    <row r="1137">
      <c r="A1137" t="inlineStr">
        <is>
          <t>Frete de venda</t>
        </is>
      </c>
      <c r="B1137" t="inlineStr">
        <is>
          <t>1.01.01 Venda de Mercadoria Fabricadas</t>
        </is>
      </c>
      <c r="C1137" t="inlineStr">
        <is>
          <t>Antes de 2026</t>
        </is>
      </c>
      <c r="D1137" t="inlineStr">
        <is>
          <t>Antes de 2026</t>
        </is>
      </c>
      <c r="E1137" s="28" t="n">
        <v>45653</v>
      </c>
      <c r="F1137" t="inlineStr">
        <is>
          <t>CT-e</t>
        </is>
      </c>
      <c r="G1137" t="inlineStr">
        <is>
          <t>000003476</t>
        </is>
      </c>
      <c r="H1137" t="inlineStr">
        <is>
          <t>R&amp;R TRANSPORTE E LOGISTICA</t>
        </is>
      </c>
      <c r="J1137" s="29" t="n">
        <v>3800</v>
      </c>
      <c r="K1137" s="29">
        <f>(1-ISNUMBER(SEARCH("556",M1137)))*(O1137*SUMIFS(Premissas!$C$5:$C$44,Premissas!$A$5:$A$44,$A1137,Premissas!$B$5:$B$44,$B1137)+P1137*SUMIFS(Premissas!$D$5:$D$44,Premissas!$A$5:$A$44,$A1137,Premissas!$B$5:$B$44,$B1137))+R1137*SUMIFS(Premissas!$E$5:$E$44,Premissas!$A$5:$A$44,$A1137,Premissas!$B$5:$B$44,$B1137)+S1137*SUMIFS(Premissas!$F$5:$F$44,Premissas!$A$5:$A$44,$A1137,Premissas!$B$5:$B$44,$B1137)</f>
        <v/>
      </c>
      <c r="L1137" s="29">
        <f>J1137-K1137</f>
        <v/>
      </c>
      <c r="M1137" t="inlineStr">
        <is>
          <t>1.350</t>
        </is>
      </c>
      <c r="N1137" t="inlineStr">
        <is>
          <t>Modalidade: 0 - Por conta do remetente | Parte: COMERCIAL DE ALIMENTOS VERDE MAR LTDA (10.385.741/0001-91)</t>
        </is>
      </c>
      <c r="O1137" s="29" t="n">
        <v>0</v>
      </c>
      <c r="P1137" s="29" t="n">
        <v>0</v>
      </c>
      <c r="Q1137" s="29" t="n">
        <v>0</v>
      </c>
      <c r="R1137" s="29" t="n">
        <v>0</v>
      </c>
      <c r="S1137" s="29" t="n">
        <v>0</v>
      </c>
      <c r="T1137" t="inlineStr">
        <is>
          <t>25241226975620000130570010000034761000000000</t>
        </is>
      </c>
      <c r="U1137" t="inlineStr">
        <is>
          <t>Não</t>
        </is>
      </c>
    </row>
    <row r="1138">
      <c r="A1138" t="inlineStr">
        <is>
          <t>Frete de venda</t>
        </is>
      </c>
      <c r="B1138" t="inlineStr">
        <is>
          <t>1.01.01 Venda de Mercadoria Fabricadas</t>
        </is>
      </c>
      <c r="C1138" t="inlineStr">
        <is>
          <t>Antes de 2026</t>
        </is>
      </c>
      <c r="D1138" t="inlineStr">
        <is>
          <t>Antes de 2026</t>
        </is>
      </c>
      <c r="E1138" s="28" t="n">
        <v>45653</v>
      </c>
      <c r="F1138" t="inlineStr">
        <is>
          <t>CT-e</t>
        </is>
      </c>
      <c r="G1138" t="inlineStr">
        <is>
          <t>000003477</t>
        </is>
      </c>
      <c r="H1138" t="inlineStr">
        <is>
          <t>R&amp;R TRANSPORTE E LOGISTICA</t>
        </is>
      </c>
      <c r="J1138" s="29" t="n">
        <v>174.61</v>
      </c>
      <c r="K1138" s="29">
        <f>(1-ISNUMBER(SEARCH("556",M1138)))*(O1138*SUMIFS(Premissas!$C$5:$C$44,Premissas!$A$5:$A$44,$A1138,Premissas!$B$5:$B$44,$B1138)+P1138*SUMIFS(Premissas!$D$5:$D$44,Premissas!$A$5:$A$44,$A1138,Premissas!$B$5:$B$44,$B1138))+R1138*SUMIFS(Premissas!$E$5:$E$44,Premissas!$A$5:$A$44,$A1138,Premissas!$B$5:$B$44,$B1138)+S1138*SUMIFS(Premissas!$F$5:$F$44,Premissas!$A$5:$A$44,$A1138,Premissas!$B$5:$B$44,$B1138)</f>
        <v/>
      </c>
      <c r="L1138" s="29">
        <f>J1138-K1138</f>
        <v/>
      </c>
      <c r="M1138" t="inlineStr">
        <is>
          <t>1.350</t>
        </is>
      </c>
      <c r="N1138" t="inlineStr">
        <is>
          <t>Modalidade: 0 - Por conta do remetente | Parte: VILMA GOMES FREITAS DE OLIVEIRA LTDA (08.035.528/0001-08)</t>
        </is>
      </c>
      <c r="O1138" s="29" t="n">
        <v>0</v>
      </c>
      <c r="P1138" s="29" t="n">
        <v>0</v>
      </c>
      <c r="Q1138" s="29" t="n">
        <v>0</v>
      </c>
      <c r="R1138" s="29" t="n">
        <v>0</v>
      </c>
      <c r="S1138" s="29" t="n">
        <v>0</v>
      </c>
      <c r="T1138" t="inlineStr">
        <is>
          <t>25241226975620000130570010000034771000000007</t>
        </is>
      </c>
      <c r="U1138" t="inlineStr">
        <is>
          <t>Não</t>
        </is>
      </c>
    </row>
    <row r="1139">
      <c r="A1139" t="inlineStr">
        <is>
          <t>Frete de venda</t>
        </is>
      </c>
      <c r="B1139" t="inlineStr">
        <is>
          <t>1.01.01 Venda de Mercadoria Fabricadas</t>
        </is>
      </c>
      <c r="C1139" t="inlineStr">
        <is>
          <t>Antes de 2026</t>
        </is>
      </c>
      <c r="D1139" t="inlineStr">
        <is>
          <t>Antes de 2026</t>
        </is>
      </c>
      <c r="E1139" s="28" t="n">
        <v>45661</v>
      </c>
      <c r="F1139" t="inlineStr">
        <is>
          <t>CT-e</t>
        </is>
      </c>
      <c r="G1139" t="inlineStr">
        <is>
          <t>000003493</t>
        </is>
      </c>
      <c r="H1139" t="inlineStr">
        <is>
          <t>R&amp;R TRANSPORTE E LOGISTICA</t>
        </is>
      </c>
      <c r="J1139" s="29" t="n">
        <v>109</v>
      </c>
      <c r="K1139" s="29">
        <f>(1-ISNUMBER(SEARCH("556",M1139)))*(O1139*SUMIFS(Premissas!$C$5:$C$44,Premissas!$A$5:$A$44,$A1139,Premissas!$B$5:$B$44,$B1139)+P1139*SUMIFS(Premissas!$D$5:$D$44,Premissas!$A$5:$A$44,$A1139,Premissas!$B$5:$B$44,$B1139))+R1139*SUMIFS(Premissas!$E$5:$E$44,Premissas!$A$5:$A$44,$A1139,Premissas!$B$5:$B$44,$B1139)+S1139*SUMIFS(Premissas!$F$5:$F$44,Premissas!$A$5:$A$44,$A1139,Premissas!$B$5:$B$44,$B1139)</f>
        <v/>
      </c>
      <c r="L1139" s="29">
        <f>J1139-K1139</f>
        <v/>
      </c>
      <c r="M1139" t="inlineStr">
        <is>
          <t>1.350</t>
        </is>
      </c>
      <c r="N1139" t="inlineStr">
        <is>
          <t>Modalidade: 0 - Por conta do remetente | Parte: NOVA FENIX EMBALAGENS E MATERIAL LIMPEZA LTDA (14.616.883/0001-73)</t>
        </is>
      </c>
      <c r="O1139" s="29" t="n">
        <v>0</v>
      </c>
      <c r="P1139" s="29" t="n">
        <v>0</v>
      </c>
      <c r="Q1139" s="29" t="n">
        <v>0</v>
      </c>
      <c r="R1139" s="29" t="n">
        <v>0</v>
      </c>
      <c r="S1139" s="29" t="n">
        <v>0</v>
      </c>
      <c r="T1139" t="inlineStr">
        <is>
          <t>25250126975620000130570010000034931000000006</t>
        </is>
      </c>
      <c r="U1139" t="inlineStr">
        <is>
          <t>Não</t>
        </is>
      </c>
    </row>
    <row r="1140">
      <c r="A1140" t="inlineStr">
        <is>
          <t>Frete de venda</t>
        </is>
      </c>
      <c r="B1140" t="inlineStr">
        <is>
          <t>1.01.01 Venda de Mercadoria Fabricadas</t>
        </is>
      </c>
      <c r="C1140" t="inlineStr">
        <is>
          <t>Antes de 2026</t>
        </is>
      </c>
      <c r="D1140" t="inlineStr">
        <is>
          <t>Antes de 2026</t>
        </is>
      </c>
      <c r="E1140" s="28" t="n">
        <v>45661</v>
      </c>
      <c r="F1140" t="inlineStr">
        <is>
          <t>CT-e</t>
        </is>
      </c>
      <c r="G1140" t="inlineStr">
        <is>
          <t>000003494</t>
        </is>
      </c>
      <c r="H1140" t="inlineStr">
        <is>
          <t>R&amp;R TRANSPORTE E LOGISTICA</t>
        </is>
      </c>
      <c r="J1140" s="29" t="n">
        <v>109</v>
      </c>
      <c r="K1140" s="29">
        <f>(1-ISNUMBER(SEARCH("556",M1140)))*(O1140*SUMIFS(Premissas!$C$5:$C$44,Premissas!$A$5:$A$44,$A1140,Premissas!$B$5:$B$44,$B1140)+P1140*SUMIFS(Premissas!$D$5:$D$44,Premissas!$A$5:$A$44,$A1140,Premissas!$B$5:$B$44,$B1140))+R1140*SUMIFS(Premissas!$E$5:$E$44,Premissas!$A$5:$A$44,$A1140,Premissas!$B$5:$B$44,$B1140)+S1140*SUMIFS(Premissas!$F$5:$F$44,Premissas!$A$5:$A$44,$A1140,Premissas!$B$5:$B$44,$B1140)</f>
        <v/>
      </c>
      <c r="L1140" s="29">
        <f>J1140-K1140</f>
        <v/>
      </c>
      <c r="M1140" t="inlineStr">
        <is>
          <t>1.350</t>
        </is>
      </c>
      <c r="N1140" t="inlineStr">
        <is>
          <t>Modalidade: 0 - Por conta do remetente | Parte: BRAGA e BARCELOS LTDA (11.109.167/0003-73)</t>
        </is>
      </c>
      <c r="O1140" s="29" t="n">
        <v>0</v>
      </c>
      <c r="P1140" s="29" t="n">
        <v>0</v>
      </c>
      <c r="Q1140" s="29" t="n">
        <v>0</v>
      </c>
      <c r="R1140" s="29" t="n">
        <v>0</v>
      </c>
      <c r="S1140" s="29" t="n">
        <v>0</v>
      </c>
      <c r="T1140" t="inlineStr">
        <is>
          <t>25250126975620000130570010000034941000000003</t>
        </is>
      </c>
      <c r="U1140" t="inlineStr">
        <is>
          <t>Não</t>
        </is>
      </c>
    </row>
    <row r="1141">
      <c r="A1141" t="inlineStr">
        <is>
          <t>Frete de venda</t>
        </is>
      </c>
      <c r="B1141" t="inlineStr">
        <is>
          <t>1.01.01 Venda de Mercadoria Fabricadas</t>
        </is>
      </c>
      <c r="C1141" t="inlineStr">
        <is>
          <t>Antes de 2026</t>
        </is>
      </c>
      <c r="D1141" t="inlineStr">
        <is>
          <t>Antes de 2026</t>
        </is>
      </c>
      <c r="E1141" s="28" t="n">
        <v>45661</v>
      </c>
      <c r="F1141" t="inlineStr">
        <is>
          <t>CT-e</t>
        </is>
      </c>
      <c r="G1141" t="inlineStr">
        <is>
          <t>000003495</t>
        </is>
      </c>
      <c r="H1141" t="inlineStr">
        <is>
          <t>R&amp;R TRANSPORTE E LOGISTICA</t>
        </is>
      </c>
      <c r="J1141" s="29" t="n">
        <v>97</v>
      </c>
      <c r="K1141" s="29">
        <f>(1-ISNUMBER(SEARCH("556",M1141)))*(O1141*SUMIFS(Premissas!$C$5:$C$44,Premissas!$A$5:$A$44,$A1141,Premissas!$B$5:$B$44,$B1141)+P1141*SUMIFS(Premissas!$D$5:$D$44,Premissas!$A$5:$A$44,$A1141,Premissas!$B$5:$B$44,$B1141))+R1141*SUMIFS(Premissas!$E$5:$E$44,Premissas!$A$5:$A$44,$A1141,Premissas!$B$5:$B$44,$B1141)+S1141*SUMIFS(Premissas!$F$5:$F$44,Premissas!$A$5:$A$44,$A1141,Premissas!$B$5:$B$44,$B1141)</f>
        <v/>
      </c>
      <c r="L1141" s="29">
        <f>J1141-K1141</f>
        <v/>
      </c>
      <c r="M1141" t="inlineStr">
        <is>
          <t>1.350</t>
        </is>
      </c>
      <c r="N1141" t="inlineStr">
        <is>
          <t>Modalidade: 0 - Por conta do remetente | Parte: BRAGA e BARCELOS LTDA (11.109.167/0001-01)</t>
        </is>
      </c>
      <c r="O1141" s="29" t="n">
        <v>0</v>
      </c>
      <c r="P1141" s="29" t="n">
        <v>0</v>
      </c>
      <c r="Q1141" s="29" t="n">
        <v>0</v>
      </c>
      <c r="R1141" s="29" t="n">
        <v>0</v>
      </c>
      <c r="S1141" s="29" t="n">
        <v>0</v>
      </c>
      <c r="T1141" t="inlineStr">
        <is>
          <t>25250126975620000130570010000034951000000000</t>
        </is>
      </c>
      <c r="U1141" t="inlineStr">
        <is>
          <t>Não</t>
        </is>
      </c>
    </row>
    <row r="1142">
      <c r="A1142" t="inlineStr">
        <is>
          <t>Frete de venda</t>
        </is>
      </c>
      <c r="B1142" t="inlineStr">
        <is>
          <t>1.01.01 Venda de Mercadoria Fabricadas</t>
        </is>
      </c>
      <c r="C1142" t="inlineStr">
        <is>
          <t>Antes de 2026</t>
        </is>
      </c>
      <c r="D1142" t="inlineStr">
        <is>
          <t>Antes de 2026</t>
        </is>
      </c>
      <c r="E1142" s="28" t="n">
        <v>45661</v>
      </c>
      <c r="F1142" t="inlineStr">
        <is>
          <t>CT-e</t>
        </is>
      </c>
      <c r="G1142" t="inlineStr">
        <is>
          <t>000003496</t>
        </is>
      </c>
      <c r="H1142" t="inlineStr">
        <is>
          <t>R&amp;R TRANSPORTE E LOGISTICA</t>
        </is>
      </c>
      <c r="J1142" s="29" t="n">
        <v>166</v>
      </c>
      <c r="K1142" s="29">
        <f>(1-ISNUMBER(SEARCH("556",M1142)))*(O1142*SUMIFS(Premissas!$C$5:$C$44,Premissas!$A$5:$A$44,$A1142,Premissas!$B$5:$B$44,$B1142)+P1142*SUMIFS(Premissas!$D$5:$D$44,Premissas!$A$5:$A$44,$A1142,Premissas!$B$5:$B$44,$B1142))+R1142*SUMIFS(Premissas!$E$5:$E$44,Premissas!$A$5:$A$44,$A1142,Premissas!$B$5:$B$44,$B1142)+S1142*SUMIFS(Premissas!$F$5:$F$44,Premissas!$A$5:$A$44,$A1142,Premissas!$B$5:$B$44,$B1142)</f>
        <v/>
      </c>
      <c r="L1142" s="29">
        <f>J1142-K1142</f>
        <v/>
      </c>
      <c r="M1142" t="inlineStr">
        <is>
          <t>1.350</t>
        </is>
      </c>
      <c r="N1142" t="inlineStr">
        <is>
          <t>Modalidade: 0 - Por conta do remetente | Parte: H B COMERCIO DE EMBALAGENS LTDA (05.488.166/0001-12)</t>
        </is>
      </c>
      <c r="O1142" s="29" t="n">
        <v>0</v>
      </c>
      <c r="P1142" s="29" t="n">
        <v>0</v>
      </c>
      <c r="Q1142" s="29" t="n">
        <v>0</v>
      </c>
      <c r="R1142" s="29" t="n">
        <v>0</v>
      </c>
      <c r="S1142" s="29" t="n">
        <v>0</v>
      </c>
      <c r="T1142" t="inlineStr">
        <is>
          <t>25250126975620000130570010000034961000000008</t>
        </is>
      </c>
      <c r="U1142" t="inlineStr">
        <is>
          <t>Não</t>
        </is>
      </c>
    </row>
    <row r="1143">
      <c r="A1143" t="inlineStr">
        <is>
          <t>Frete de venda</t>
        </is>
      </c>
      <c r="B1143" t="inlineStr">
        <is>
          <t>1.01.01 Venda de Mercadoria Fabricadas</t>
        </is>
      </c>
      <c r="C1143" t="inlineStr">
        <is>
          <t>Antes de 2026</t>
        </is>
      </c>
      <c r="D1143" t="inlineStr">
        <is>
          <t>Antes de 2026</t>
        </is>
      </c>
      <c r="E1143" s="28" t="n">
        <v>45661</v>
      </c>
      <c r="F1143" t="inlineStr">
        <is>
          <t>CT-e</t>
        </is>
      </c>
      <c r="G1143" t="inlineStr">
        <is>
          <t>000003497</t>
        </is>
      </c>
      <c r="H1143" t="inlineStr">
        <is>
          <t>R&amp;R TRANSPORTE E LOGISTICA</t>
        </is>
      </c>
      <c r="J1143" s="29" t="n">
        <v>300</v>
      </c>
      <c r="K1143" s="29">
        <f>(1-ISNUMBER(SEARCH("556",M1143)))*(O1143*SUMIFS(Premissas!$C$5:$C$44,Premissas!$A$5:$A$44,$A1143,Premissas!$B$5:$B$44,$B1143)+P1143*SUMIFS(Premissas!$D$5:$D$44,Premissas!$A$5:$A$44,$A1143,Premissas!$B$5:$B$44,$B1143))+R1143*SUMIFS(Premissas!$E$5:$E$44,Premissas!$A$5:$A$44,$A1143,Premissas!$B$5:$B$44,$B1143)+S1143*SUMIFS(Premissas!$F$5:$F$44,Premissas!$A$5:$A$44,$A1143,Premissas!$B$5:$B$44,$B1143)</f>
        <v/>
      </c>
      <c r="L1143" s="29">
        <f>J1143-K1143</f>
        <v/>
      </c>
      <c r="M1143" t="inlineStr">
        <is>
          <t>1.350</t>
        </is>
      </c>
      <c r="N1143" t="inlineStr">
        <is>
          <t>Modalidade: 0 - Por conta do remetente | Parte: COMERCIAL DE ALIMENTOS VERDE MAR LTDA (10.385.741/0001-91)</t>
        </is>
      </c>
      <c r="O1143" s="29" t="n">
        <v>0</v>
      </c>
      <c r="P1143" s="29" t="n">
        <v>0</v>
      </c>
      <c r="Q1143" s="29" t="n">
        <v>0</v>
      </c>
      <c r="R1143" s="29" t="n">
        <v>0</v>
      </c>
      <c r="S1143" s="29" t="n">
        <v>0</v>
      </c>
      <c r="T1143" t="inlineStr">
        <is>
          <t>25250126975620000130570010000034971000000005</t>
        </is>
      </c>
      <c r="U1143" t="inlineStr">
        <is>
          <t>Não</t>
        </is>
      </c>
    </row>
    <row r="1144">
      <c r="A1144" t="inlineStr">
        <is>
          <t>Frete de venda</t>
        </is>
      </c>
      <c r="B1144" t="inlineStr">
        <is>
          <t>1.01.01 Venda de Mercadoria Fabricadas</t>
        </is>
      </c>
      <c r="C1144" t="inlineStr">
        <is>
          <t>Antes de 2026</t>
        </is>
      </c>
      <c r="D1144" t="inlineStr">
        <is>
          <t>Antes de 2026</t>
        </is>
      </c>
      <c r="E1144" s="28" t="n">
        <v>45664</v>
      </c>
      <c r="F1144" t="inlineStr">
        <is>
          <t>CT-e</t>
        </is>
      </c>
      <c r="G1144" t="inlineStr">
        <is>
          <t>000003501</t>
        </is>
      </c>
      <c r="H1144" t="inlineStr">
        <is>
          <t>R&amp;R TRANSPORTE E LOGISTICA</t>
        </is>
      </c>
      <c r="J1144" s="29" t="n">
        <v>88</v>
      </c>
      <c r="K1144" s="29">
        <f>(1-ISNUMBER(SEARCH("556",M1144)))*(O1144*SUMIFS(Premissas!$C$5:$C$44,Premissas!$A$5:$A$44,$A1144,Premissas!$B$5:$B$44,$B1144)+P1144*SUMIFS(Premissas!$D$5:$D$44,Premissas!$A$5:$A$44,$A1144,Premissas!$B$5:$B$44,$B1144))+R1144*SUMIFS(Premissas!$E$5:$E$44,Premissas!$A$5:$A$44,$A1144,Premissas!$B$5:$B$44,$B1144)+S1144*SUMIFS(Premissas!$F$5:$F$44,Premissas!$A$5:$A$44,$A1144,Premissas!$B$5:$B$44,$B1144)</f>
        <v/>
      </c>
      <c r="L1144" s="29">
        <f>J1144-K1144</f>
        <v/>
      </c>
      <c r="M1144" t="inlineStr">
        <is>
          <t>1.350</t>
        </is>
      </c>
      <c r="N1144" t="inlineStr">
        <is>
          <t>Modalidade: 0 - Por conta do remetente | Parte: MERCOPAIVA COMERCIAL LTDA (45.016.002/0001-07)</t>
        </is>
      </c>
      <c r="O1144" s="29" t="n">
        <v>0</v>
      </c>
      <c r="P1144" s="29" t="n">
        <v>0</v>
      </c>
      <c r="Q1144" s="29" t="n">
        <v>0</v>
      </c>
      <c r="R1144" s="29" t="n">
        <v>0</v>
      </c>
      <c r="S1144" s="29" t="n">
        <v>0</v>
      </c>
      <c r="T1144" t="inlineStr">
        <is>
          <t>25250126975620000130570010000035011000000000</t>
        </is>
      </c>
      <c r="U1144" t="inlineStr">
        <is>
          <t>Não</t>
        </is>
      </c>
    </row>
    <row r="1145">
      <c r="A1145" t="inlineStr">
        <is>
          <t>Frete de venda</t>
        </is>
      </c>
      <c r="B1145" t="inlineStr">
        <is>
          <t>1.01.01 Venda de Mercadoria Fabricadas</t>
        </is>
      </c>
      <c r="C1145" t="inlineStr">
        <is>
          <t>Antes de 2026</t>
        </is>
      </c>
      <c r="D1145" t="inlineStr">
        <is>
          <t>Antes de 2026</t>
        </is>
      </c>
      <c r="E1145" s="28" t="n">
        <v>45664</v>
      </c>
      <c r="F1145" t="inlineStr">
        <is>
          <t>CT-e</t>
        </is>
      </c>
      <c r="G1145" t="inlineStr">
        <is>
          <t>000003502</t>
        </is>
      </c>
      <c r="H1145" t="inlineStr">
        <is>
          <t>R&amp;R TRANSPORTE E LOGISTICA</t>
        </is>
      </c>
      <c r="J1145" s="29" t="n">
        <v>103</v>
      </c>
      <c r="K1145" s="29">
        <f>(1-ISNUMBER(SEARCH("556",M1145)))*(O1145*SUMIFS(Premissas!$C$5:$C$44,Premissas!$A$5:$A$44,$A1145,Premissas!$B$5:$B$44,$B1145)+P1145*SUMIFS(Premissas!$D$5:$D$44,Premissas!$A$5:$A$44,$A1145,Premissas!$B$5:$B$44,$B1145))+R1145*SUMIFS(Premissas!$E$5:$E$44,Premissas!$A$5:$A$44,$A1145,Premissas!$B$5:$B$44,$B1145)+S1145*SUMIFS(Premissas!$F$5:$F$44,Premissas!$A$5:$A$44,$A1145,Premissas!$B$5:$B$44,$B1145)</f>
        <v/>
      </c>
      <c r="L1145" s="29">
        <f>J1145-K1145</f>
        <v/>
      </c>
      <c r="M1145" t="inlineStr">
        <is>
          <t>1.350</t>
        </is>
      </c>
      <c r="N1145" t="inlineStr">
        <is>
          <t>Modalidade: 0 - Por conta do remetente | Parte: STAMP DISTRIBUIDORA DE EMBALAGENS DE PAPEL E DESCARTAVEI... (48.984.362/0001-90)</t>
        </is>
      </c>
      <c r="O1145" s="29" t="n">
        <v>0</v>
      </c>
      <c r="P1145" s="29" t="n">
        <v>0</v>
      </c>
      <c r="Q1145" s="29" t="n">
        <v>0</v>
      </c>
      <c r="R1145" s="29" t="n">
        <v>0</v>
      </c>
      <c r="S1145" s="29" t="n">
        <v>0</v>
      </c>
      <c r="T1145" t="inlineStr">
        <is>
          <t>25250126975620000130570010000035021000000007</t>
        </is>
      </c>
      <c r="U1145" t="inlineStr">
        <is>
          <t>Não</t>
        </is>
      </c>
    </row>
    <row r="1146">
      <c r="A1146" t="inlineStr">
        <is>
          <t>Frete de venda</t>
        </is>
      </c>
      <c r="B1146" t="inlineStr">
        <is>
          <t>2.01.01 Frete Galpão Produto Acabado</t>
        </is>
      </c>
      <c r="C1146" t="inlineStr">
        <is>
          <t>Antes de 2026</t>
        </is>
      </c>
      <c r="D1146" t="inlineStr">
        <is>
          <t>Antes de 2026</t>
        </is>
      </c>
      <c r="E1146" s="28" t="n">
        <v>45667</v>
      </c>
      <c r="F1146" t="inlineStr">
        <is>
          <t>CT-e</t>
        </is>
      </c>
      <c r="G1146" t="inlineStr">
        <is>
          <t>000000071</t>
        </is>
      </c>
      <c r="H1146" t="inlineStr">
        <is>
          <t>ADIL CARLOS DA SILVA</t>
        </is>
      </c>
      <c r="J1146" s="29" t="n">
        <v>10</v>
      </c>
      <c r="K1146" s="29">
        <f>(1-ISNUMBER(SEARCH("556",M1146)))*(O1146*SUMIFS(Premissas!$C$5:$C$44,Premissas!$A$5:$A$44,$A1146,Premissas!$B$5:$B$44,$B1146)+P1146*SUMIFS(Premissas!$D$5:$D$44,Premissas!$A$5:$A$44,$A1146,Premissas!$B$5:$B$44,$B1146))+R1146*SUMIFS(Premissas!$E$5:$E$44,Premissas!$A$5:$A$44,$A1146,Premissas!$B$5:$B$44,$B1146)+S1146*SUMIFS(Premissas!$F$5:$F$44,Premissas!$A$5:$A$44,$A1146,Premissas!$B$5:$B$44,$B1146)</f>
        <v/>
      </c>
      <c r="L1146" s="29">
        <f>J1146-K1146</f>
        <v/>
      </c>
      <c r="M1146" t="inlineStr">
        <is>
          <t>2.350</t>
        </is>
      </c>
      <c r="N1146" t="inlineStr">
        <is>
          <t>Modalidade: 0 - Por conta do remetente | Parte: TREVO COMERCIO DE EMBALAGENS LTDA (08.178.510/0001-65)</t>
        </is>
      </c>
      <c r="O1146" s="29" t="n">
        <v>0</v>
      </c>
      <c r="P1146" s="29" t="n">
        <v>0</v>
      </c>
      <c r="Q1146" s="29" t="n">
        <v>0</v>
      </c>
      <c r="R1146" s="29" t="n">
        <v>0</v>
      </c>
      <c r="S1146" s="29" t="n">
        <v>0</v>
      </c>
      <c r="T1146" t="inlineStr">
        <is>
          <t>25250134595800000114570010000000711000000714</t>
        </is>
      </c>
      <c r="U1146" t="inlineStr">
        <is>
          <t>Não</t>
        </is>
      </c>
    </row>
    <row r="1147">
      <c r="A1147" t="inlineStr">
        <is>
          <t>Frete de venda</t>
        </is>
      </c>
      <c r="B1147" t="inlineStr">
        <is>
          <t>2.01.01 Frete Galpão Produto Acabado</t>
        </is>
      </c>
      <c r="C1147" t="inlineStr">
        <is>
          <t>Antes de 2026</t>
        </is>
      </c>
      <c r="D1147" t="inlineStr">
        <is>
          <t>Antes de 2026</t>
        </is>
      </c>
      <c r="E1147" s="28" t="n">
        <v>45667</v>
      </c>
      <c r="F1147" t="inlineStr">
        <is>
          <t>CT-e</t>
        </is>
      </c>
      <c r="G1147" t="inlineStr">
        <is>
          <t>000000072</t>
        </is>
      </c>
      <c r="H1147" t="inlineStr">
        <is>
          <t>ADIL CARLOS DA SILVA</t>
        </is>
      </c>
      <c r="J1147" s="29" t="n">
        <v>10</v>
      </c>
      <c r="K1147" s="29">
        <f>(1-ISNUMBER(SEARCH("556",M1147)))*(O1147*SUMIFS(Premissas!$C$5:$C$44,Premissas!$A$5:$A$44,$A1147,Premissas!$B$5:$B$44,$B1147)+P1147*SUMIFS(Premissas!$D$5:$D$44,Premissas!$A$5:$A$44,$A1147,Premissas!$B$5:$B$44,$B1147))+R1147*SUMIFS(Premissas!$E$5:$E$44,Premissas!$A$5:$A$44,$A1147,Premissas!$B$5:$B$44,$B1147)+S1147*SUMIFS(Premissas!$F$5:$F$44,Premissas!$A$5:$A$44,$A1147,Premissas!$B$5:$B$44,$B1147)</f>
        <v/>
      </c>
      <c r="L1147" s="29">
        <f>J1147-K1147</f>
        <v/>
      </c>
      <c r="M1147" t="inlineStr">
        <is>
          <t>2.350</t>
        </is>
      </c>
      <c r="N1147" t="inlineStr">
        <is>
          <t>Modalidade: 0 - Por conta do remetente | Parte: JOSE REZENDE DOS SANTOS JUNIOR FESTAS ME (22.216.142/0001-23)</t>
        </is>
      </c>
      <c r="O1147" s="29" t="n">
        <v>0</v>
      </c>
      <c r="P1147" s="29" t="n">
        <v>0</v>
      </c>
      <c r="Q1147" s="29" t="n">
        <v>0</v>
      </c>
      <c r="R1147" s="29" t="n">
        <v>0</v>
      </c>
      <c r="S1147" s="29" t="n">
        <v>0</v>
      </c>
      <c r="T1147" t="inlineStr">
        <is>
          <t>25250134595800000114570010000000721000000720</t>
        </is>
      </c>
      <c r="U1147" t="inlineStr">
        <is>
          <t>Não</t>
        </is>
      </c>
    </row>
    <row r="1148">
      <c r="A1148" t="inlineStr">
        <is>
          <t>Frete de venda</t>
        </is>
      </c>
      <c r="B1148" t="inlineStr">
        <is>
          <t>2.01.01 Frete Galpão Produto Acabado</t>
        </is>
      </c>
      <c r="C1148" t="inlineStr">
        <is>
          <t>Antes de 2026</t>
        </is>
      </c>
      <c r="D1148" t="inlineStr">
        <is>
          <t>Antes de 2026</t>
        </is>
      </c>
      <c r="E1148" s="28" t="n">
        <v>45667</v>
      </c>
      <c r="F1148" t="inlineStr">
        <is>
          <t>CT-e</t>
        </is>
      </c>
      <c r="G1148" t="inlineStr">
        <is>
          <t>000000073</t>
        </is>
      </c>
      <c r="H1148" t="inlineStr">
        <is>
          <t>ADIL CARLOS DA SILVA</t>
        </is>
      </c>
      <c r="J1148" s="29" t="n">
        <v>10</v>
      </c>
      <c r="K1148" s="29">
        <f>(1-ISNUMBER(SEARCH("556",M1148)))*(O1148*SUMIFS(Premissas!$C$5:$C$44,Premissas!$A$5:$A$44,$A1148,Premissas!$B$5:$B$44,$B1148)+P1148*SUMIFS(Premissas!$D$5:$D$44,Premissas!$A$5:$A$44,$A1148,Premissas!$B$5:$B$44,$B1148))+R1148*SUMIFS(Premissas!$E$5:$E$44,Premissas!$A$5:$A$44,$A1148,Premissas!$B$5:$B$44,$B1148)+S1148*SUMIFS(Premissas!$F$5:$F$44,Premissas!$A$5:$A$44,$A1148,Premissas!$B$5:$B$44,$B1148)</f>
        <v/>
      </c>
      <c r="L1148" s="29">
        <f>J1148-K1148</f>
        <v/>
      </c>
      <c r="M1148" t="inlineStr">
        <is>
          <t>2.350</t>
        </is>
      </c>
      <c r="N1148" t="inlineStr">
        <is>
          <t>Modalidade: 0 - Por conta do remetente | Parte: BA EMBALAGENS COM ATACADISTA DE EMBALAGENS E BOMBONIERI (09.048.003/0001-70)</t>
        </is>
      </c>
      <c r="O1148" s="29" t="n">
        <v>0</v>
      </c>
      <c r="P1148" s="29" t="n">
        <v>0</v>
      </c>
      <c r="Q1148" s="29" t="n">
        <v>0</v>
      </c>
      <c r="R1148" s="29" t="n">
        <v>0</v>
      </c>
      <c r="S1148" s="29" t="n">
        <v>0</v>
      </c>
      <c r="T1148" t="inlineStr">
        <is>
          <t>25250134595800000114570010000000731000000735</t>
        </is>
      </c>
      <c r="U1148" t="inlineStr">
        <is>
          <t>Não</t>
        </is>
      </c>
    </row>
    <row r="1149">
      <c r="A1149" t="inlineStr">
        <is>
          <t>Frete de venda</t>
        </is>
      </c>
      <c r="B1149" t="inlineStr">
        <is>
          <t>2.01.01 Frete Galpão Produto Acabado</t>
        </is>
      </c>
      <c r="C1149" t="inlineStr">
        <is>
          <t>Antes de 2026</t>
        </is>
      </c>
      <c r="D1149" t="inlineStr">
        <is>
          <t>Antes de 2026</t>
        </is>
      </c>
      <c r="E1149" s="28" t="n">
        <v>45675</v>
      </c>
      <c r="F1149" t="inlineStr">
        <is>
          <t>CT-e</t>
        </is>
      </c>
      <c r="G1149" t="inlineStr">
        <is>
          <t>000000074</t>
        </is>
      </c>
      <c r="H1149" t="inlineStr">
        <is>
          <t>ADIL CARLOS DA SILVA</t>
        </is>
      </c>
      <c r="J1149" s="29" t="n">
        <v>10</v>
      </c>
      <c r="K1149" s="29">
        <f>(1-ISNUMBER(SEARCH("556",M1149)))*(O1149*SUMIFS(Premissas!$C$5:$C$44,Premissas!$A$5:$A$44,$A1149,Premissas!$B$5:$B$44,$B1149)+P1149*SUMIFS(Premissas!$D$5:$D$44,Premissas!$A$5:$A$44,$A1149,Premissas!$B$5:$B$44,$B1149))+R1149*SUMIFS(Premissas!$E$5:$E$44,Premissas!$A$5:$A$44,$A1149,Premissas!$B$5:$B$44,$B1149)+S1149*SUMIFS(Premissas!$F$5:$F$44,Premissas!$A$5:$A$44,$A1149,Premissas!$B$5:$B$44,$B1149)</f>
        <v/>
      </c>
      <c r="L1149" s="29">
        <f>J1149-K1149</f>
        <v/>
      </c>
      <c r="M1149" t="inlineStr">
        <is>
          <t>2.350</t>
        </is>
      </c>
      <c r="N1149" t="inlineStr">
        <is>
          <t>Modalidade: 0 - Por conta do remetente | Parte: MACROPLAST COMERCIO DE MATERIAIS DESCARTAVEIS EIRELI (02.541.920/0001-42)</t>
        </is>
      </c>
      <c r="O1149" s="29" t="n">
        <v>0</v>
      </c>
      <c r="P1149" s="29" t="n">
        <v>0</v>
      </c>
      <c r="Q1149" s="29" t="n">
        <v>0</v>
      </c>
      <c r="R1149" s="29" t="n">
        <v>0</v>
      </c>
      <c r="S1149" s="29" t="n">
        <v>0</v>
      </c>
      <c r="T1149" t="inlineStr">
        <is>
          <t>25250134595800000114570010000000741000000740</t>
        </is>
      </c>
      <c r="U1149" t="inlineStr">
        <is>
          <t>Não</t>
        </is>
      </c>
    </row>
    <row r="1150">
      <c r="A1150" t="inlineStr">
        <is>
          <t>Frete de venda</t>
        </is>
      </c>
      <c r="B1150" t="inlineStr">
        <is>
          <t>2.01.01 Frete Galpão Produto Acabado</t>
        </is>
      </c>
      <c r="C1150" t="inlineStr">
        <is>
          <t>Antes de 2026</t>
        </is>
      </c>
      <c r="D1150" t="inlineStr">
        <is>
          <t>Antes de 2026</t>
        </is>
      </c>
      <c r="E1150" s="28" t="n">
        <v>45729</v>
      </c>
      <c r="F1150" t="inlineStr">
        <is>
          <t>CT-e</t>
        </is>
      </c>
      <c r="G1150" t="inlineStr">
        <is>
          <t>000000079</t>
        </is>
      </c>
      <c r="H1150" t="inlineStr">
        <is>
          <t>ADIL CARLOS DA SILVA</t>
        </is>
      </c>
      <c r="J1150" s="29" t="n">
        <v>10</v>
      </c>
      <c r="K1150" s="29">
        <f>(1-ISNUMBER(SEARCH("556",M1150)))*(O1150*SUMIFS(Premissas!$C$5:$C$44,Premissas!$A$5:$A$44,$A1150,Premissas!$B$5:$B$44,$B1150)+P1150*SUMIFS(Premissas!$D$5:$D$44,Premissas!$A$5:$A$44,$A1150,Premissas!$B$5:$B$44,$B1150))+R1150*SUMIFS(Premissas!$E$5:$E$44,Premissas!$A$5:$A$44,$A1150,Premissas!$B$5:$B$44,$B1150)+S1150*SUMIFS(Premissas!$F$5:$F$44,Premissas!$A$5:$A$44,$A1150,Premissas!$B$5:$B$44,$B1150)</f>
        <v/>
      </c>
      <c r="L1150" s="29">
        <f>J1150-K1150</f>
        <v/>
      </c>
      <c r="M1150" t="inlineStr">
        <is>
          <t>2.350</t>
        </is>
      </c>
      <c r="N1150" t="inlineStr">
        <is>
          <t>Modalidade: 0 - Por conta do remetente | Parte: E FESTA DISTRIBUIDORA LTDA (53.859.940/0001-05)</t>
        </is>
      </c>
      <c r="O1150" s="29" t="n">
        <v>0</v>
      </c>
      <c r="P1150" s="29" t="n">
        <v>0</v>
      </c>
      <c r="Q1150" s="29" t="n">
        <v>0</v>
      </c>
      <c r="R1150" s="29" t="n">
        <v>0</v>
      </c>
      <c r="S1150" s="29" t="n">
        <v>0</v>
      </c>
      <c r="T1150" t="inlineStr">
        <is>
          <t>25250334595800000114570010000000791000000795</t>
        </is>
      </c>
      <c r="U1150" t="inlineStr">
        <is>
          <t>Não</t>
        </is>
      </c>
    </row>
    <row r="1151">
      <c r="A1151" t="inlineStr">
        <is>
          <t>Frete de venda</t>
        </is>
      </c>
      <c r="B1151" t="inlineStr">
        <is>
          <t>2.01.01 Frete Galpão Produto Acabado</t>
        </is>
      </c>
      <c r="C1151" t="inlineStr">
        <is>
          <t>Antes de 2026</t>
        </is>
      </c>
      <c r="D1151" t="inlineStr">
        <is>
          <t>Antes de 2026</t>
        </is>
      </c>
      <c r="E1151" s="28" t="n">
        <v>45729</v>
      </c>
      <c r="F1151" t="inlineStr">
        <is>
          <t>CT-e</t>
        </is>
      </c>
      <c r="G1151" t="inlineStr">
        <is>
          <t>000000080</t>
        </is>
      </c>
      <c r="H1151" t="inlineStr">
        <is>
          <t>ADIL CARLOS DA SILVA</t>
        </is>
      </c>
      <c r="J1151" s="29" t="n">
        <v>10</v>
      </c>
      <c r="K1151" s="29">
        <f>(1-ISNUMBER(SEARCH("556",M1151)))*(O1151*SUMIFS(Premissas!$C$5:$C$44,Premissas!$A$5:$A$44,$A1151,Premissas!$B$5:$B$44,$B1151)+P1151*SUMIFS(Premissas!$D$5:$D$44,Premissas!$A$5:$A$44,$A1151,Premissas!$B$5:$B$44,$B1151))+R1151*SUMIFS(Premissas!$E$5:$E$44,Premissas!$A$5:$A$44,$A1151,Premissas!$B$5:$B$44,$B1151)+S1151*SUMIFS(Premissas!$F$5:$F$44,Premissas!$A$5:$A$44,$A1151,Premissas!$B$5:$B$44,$B1151)</f>
        <v/>
      </c>
      <c r="L1151" s="29">
        <f>J1151-K1151</f>
        <v/>
      </c>
      <c r="M1151" t="inlineStr">
        <is>
          <t>2.350</t>
        </is>
      </c>
      <c r="N1151" t="inlineStr">
        <is>
          <t>Modalidade: 0 - Por conta do remetente | Parte: R L COMERCIO DE EMBALAGENS PLASTICAS LTDA (33.919.949/0001-49)</t>
        </is>
      </c>
      <c r="O1151" s="29" t="n">
        <v>0</v>
      </c>
      <c r="P1151" s="29" t="n">
        <v>0</v>
      </c>
      <c r="Q1151" s="29" t="n">
        <v>0</v>
      </c>
      <c r="R1151" s="29" t="n">
        <v>0</v>
      </c>
      <c r="S1151" s="29" t="n">
        <v>0</v>
      </c>
      <c r="T1151" t="inlineStr">
        <is>
          <t>25250334595800000114570010000000801000000800</t>
        </is>
      </c>
      <c r="U1151" t="inlineStr">
        <is>
          <t>Não</t>
        </is>
      </c>
    </row>
    <row r="1152">
      <c r="A1152" t="inlineStr">
        <is>
          <t>Frete de venda</t>
        </is>
      </c>
      <c r="B1152" t="inlineStr">
        <is>
          <t>2.01.01 Frete Galpão Produto Acabado</t>
        </is>
      </c>
      <c r="C1152" t="inlineStr">
        <is>
          <t>Antes de 2026</t>
        </is>
      </c>
      <c r="D1152" t="inlineStr">
        <is>
          <t>Antes de 2026</t>
        </is>
      </c>
      <c r="E1152" s="28" t="n">
        <v>45730</v>
      </c>
      <c r="F1152" t="inlineStr">
        <is>
          <t>CT-e</t>
        </is>
      </c>
      <c r="G1152" t="inlineStr">
        <is>
          <t>000000081</t>
        </is>
      </c>
      <c r="H1152" t="inlineStr">
        <is>
          <t>ADIL CARLOS DA SILVA</t>
        </is>
      </c>
      <c r="J1152" s="29" t="n">
        <v>10</v>
      </c>
      <c r="K1152" s="29">
        <f>(1-ISNUMBER(SEARCH("556",M1152)))*(O1152*SUMIFS(Premissas!$C$5:$C$44,Premissas!$A$5:$A$44,$A1152,Premissas!$B$5:$B$44,$B1152)+P1152*SUMIFS(Premissas!$D$5:$D$44,Premissas!$A$5:$A$44,$A1152,Premissas!$B$5:$B$44,$B1152))+R1152*SUMIFS(Premissas!$E$5:$E$44,Premissas!$A$5:$A$44,$A1152,Premissas!$B$5:$B$44,$B1152)+S1152*SUMIFS(Premissas!$F$5:$F$44,Premissas!$A$5:$A$44,$A1152,Premissas!$B$5:$B$44,$B1152)</f>
        <v/>
      </c>
      <c r="L1152" s="29">
        <f>J1152-K1152</f>
        <v/>
      </c>
      <c r="M1152" t="inlineStr">
        <is>
          <t>2.350</t>
        </is>
      </c>
      <c r="N1152" t="inlineStr">
        <is>
          <t>Modalidade: 0 - Por conta do remetente | Parte: DOCA COMERCIO DE PRODUTOS ALIMENTICIOS LTDA (15.258.788/0003-70)</t>
        </is>
      </c>
      <c r="O1152" s="29" t="n">
        <v>0</v>
      </c>
      <c r="P1152" s="29" t="n">
        <v>0</v>
      </c>
      <c r="Q1152" s="29" t="n">
        <v>0</v>
      </c>
      <c r="R1152" s="29" t="n">
        <v>0</v>
      </c>
      <c r="S1152" s="29" t="n">
        <v>0</v>
      </c>
      <c r="T1152" t="inlineStr">
        <is>
          <t>25250334595800000114570010000000811000000815</t>
        </is>
      </c>
      <c r="U1152" t="inlineStr">
        <is>
          <t>Não</t>
        </is>
      </c>
    </row>
    <row r="1153">
      <c r="A1153" t="inlineStr">
        <is>
          <t>Frete de venda</t>
        </is>
      </c>
      <c r="B1153" t="inlineStr">
        <is>
          <t>2.01.01 Frete Galpão Produto Acabado</t>
        </is>
      </c>
      <c r="C1153" t="inlineStr">
        <is>
          <t>Antes de 2026</t>
        </is>
      </c>
      <c r="D1153" t="inlineStr">
        <is>
          <t>Antes de 2026</t>
        </is>
      </c>
      <c r="E1153" s="28" t="n">
        <v>45685</v>
      </c>
      <c r="F1153" t="inlineStr">
        <is>
          <t>CT-e</t>
        </is>
      </c>
      <c r="G1153" t="inlineStr">
        <is>
          <t>000106092</t>
        </is>
      </c>
      <c r="H1153" t="inlineStr">
        <is>
          <t>BOMFIM CARGAS E ENCOMENDAS LTDA</t>
        </is>
      </c>
      <c r="J1153" s="29" t="n">
        <v>553.45</v>
      </c>
      <c r="K1153" s="29">
        <f>(1-ISNUMBER(SEARCH("556",M1153)))*(O1153*SUMIFS(Premissas!$C$5:$C$44,Premissas!$A$5:$A$44,$A1153,Premissas!$B$5:$B$44,$B1153)+P1153*SUMIFS(Premissas!$D$5:$D$44,Premissas!$A$5:$A$44,$A1153,Premissas!$B$5:$B$44,$B1153))+R1153*SUMIFS(Premissas!$E$5:$E$44,Premissas!$A$5:$A$44,$A1153,Premissas!$B$5:$B$44,$B1153)+S1153*SUMIFS(Premissas!$F$5:$F$44,Premissas!$A$5:$A$44,$A1153,Premissas!$B$5:$B$44,$B1153)</f>
        <v/>
      </c>
      <c r="L1153" s="29">
        <f>J1153-K1153</f>
        <v/>
      </c>
      <c r="M1153" t="inlineStr">
        <is>
          <t>1.556</t>
        </is>
      </c>
      <c r="N1153" t="inlineStr">
        <is>
          <t>Transportadora fora da lista de frete de venda, mas pela modalidade a Vinco enviou a carga | Modalidade: 0 - Por conta do remetente | Parte: FEIJAO e SOARES EMBALAGENS LTDA (14.812.790/0001-14)</t>
        </is>
      </c>
      <c r="O1153" s="29" t="n">
        <v>0</v>
      </c>
      <c r="P1153" s="29" t="n">
        <v>66.41</v>
      </c>
      <c r="Q1153" s="29" t="n">
        <v>0</v>
      </c>
      <c r="R1153" s="29" t="n">
        <v>0</v>
      </c>
      <c r="S1153" s="29" t="n">
        <v>0</v>
      </c>
      <c r="T1153" t="inlineStr">
        <is>
          <t>25250132808669001768570020001060921000525180</t>
        </is>
      </c>
      <c r="U1153" t="inlineStr">
        <is>
          <t>Não</t>
        </is>
      </c>
    </row>
    <row r="1154">
      <c r="A1154" t="inlineStr">
        <is>
          <t>Frete de venda</t>
        </is>
      </c>
      <c r="B1154" t="inlineStr">
        <is>
          <t>2.01.01 Frete Galpão Produto Acabado</t>
        </is>
      </c>
      <c r="C1154" t="inlineStr">
        <is>
          <t>Antes de 2026</t>
        </is>
      </c>
      <c r="D1154" t="inlineStr">
        <is>
          <t>Antes de 2026</t>
        </is>
      </c>
      <c r="E1154" s="28" t="n">
        <v>45685</v>
      </c>
      <c r="F1154" t="inlineStr">
        <is>
          <t>CT-e</t>
        </is>
      </c>
      <c r="G1154" t="inlineStr">
        <is>
          <t>000106093</t>
        </is>
      </c>
      <c r="H1154" t="inlineStr">
        <is>
          <t>BOMFIM CARGAS E ENCOMENDAS LTDA</t>
        </is>
      </c>
      <c r="J1154" s="29" t="n">
        <v>597.1799999999999</v>
      </c>
      <c r="K1154" s="29">
        <f>(1-ISNUMBER(SEARCH("556",M1154)))*(O1154*SUMIFS(Premissas!$C$5:$C$44,Premissas!$A$5:$A$44,$A1154,Premissas!$B$5:$B$44,$B1154)+P1154*SUMIFS(Premissas!$D$5:$D$44,Premissas!$A$5:$A$44,$A1154,Premissas!$B$5:$B$44,$B1154))+R1154*SUMIFS(Premissas!$E$5:$E$44,Premissas!$A$5:$A$44,$A1154,Premissas!$B$5:$B$44,$B1154)+S1154*SUMIFS(Premissas!$F$5:$F$44,Premissas!$A$5:$A$44,$A1154,Premissas!$B$5:$B$44,$B1154)</f>
        <v/>
      </c>
      <c r="L1154" s="29">
        <f>J1154-K1154</f>
        <v/>
      </c>
      <c r="M1154" t="inlineStr">
        <is>
          <t>1.556</t>
        </is>
      </c>
      <c r="N1154" t="inlineStr">
        <is>
          <t>Transportadora fora da lista de frete de venda, mas pela modalidade a Vinco enviou a carga | Modalidade: 0 - Por conta do remetente | Parte: VLAJ EMBALAGENS LTDA (54.099.220/0001-43)</t>
        </is>
      </c>
      <c r="O1154" s="29" t="n">
        <v>0</v>
      </c>
      <c r="P1154" s="29" t="n">
        <v>71.66</v>
      </c>
      <c r="Q1154" s="29" t="n">
        <v>0</v>
      </c>
      <c r="R1154" s="29" t="n">
        <v>0</v>
      </c>
      <c r="S1154" s="29" t="n">
        <v>0</v>
      </c>
      <c r="T1154" t="inlineStr">
        <is>
          <t>25250132808669001768570020001060931000525250</t>
        </is>
      </c>
      <c r="U1154" t="inlineStr">
        <is>
          <t>Não</t>
        </is>
      </c>
    </row>
    <row r="1155">
      <c r="A1155" t="inlineStr">
        <is>
          <t>Frete de venda</t>
        </is>
      </c>
      <c r="B1155" t="inlineStr">
        <is>
          <t>2.01.01 Frete Galpão Produto Acabado</t>
        </is>
      </c>
      <c r="C1155" t="inlineStr">
        <is>
          <t>Antes de 2026</t>
        </is>
      </c>
      <c r="D1155" t="inlineStr">
        <is>
          <t>Antes de 2026</t>
        </is>
      </c>
      <c r="E1155" s="28" t="n">
        <v>45666</v>
      </c>
      <c r="F1155" t="inlineStr">
        <is>
          <t>CT-e</t>
        </is>
      </c>
      <c r="G1155" t="inlineStr">
        <is>
          <t>000003506</t>
        </is>
      </c>
      <c r="H1155" t="inlineStr">
        <is>
          <t>R&amp;R TRANSPORTE E LOGISTICA</t>
        </is>
      </c>
      <c r="J1155" s="29" t="n">
        <v>89.45</v>
      </c>
      <c r="K1155" s="29">
        <f>(1-ISNUMBER(SEARCH("556",M1155)))*(O1155*SUMIFS(Premissas!$C$5:$C$44,Premissas!$A$5:$A$44,$A1155,Premissas!$B$5:$B$44,$B1155)+P1155*SUMIFS(Premissas!$D$5:$D$44,Premissas!$A$5:$A$44,$A1155,Premissas!$B$5:$B$44,$B1155))+R1155*SUMIFS(Premissas!$E$5:$E$44,Premissas!$A$5:$A$44,$A1155,Premissas!$B$5:$B$44,$B1155)+S1155*SUMIFS(Premissas!$F$5:$F$44,Premissas!$A$5:$A$44,$A1155,Premissas!$B$5:$B$44,$B1155)</f>
        <v/>
      </c>
      <c r="L1155" s="29">
        <f>J1155-K1155</f>
        <v/>
      </c>
      <c r="M1155" t="inlineStr">
        <is>
          <t>1.350</t>
        </is>
      </c>
      <c r="N1155" t="inlineStr">
        <is>
          <t>Modalidade: 0 - Por conta do remetente | Parte: BAZAR LUZ DO MUNDO LTDA (35.344.689/0001-56)</t>
        </is>
      </c>
      <c r="O1155" s="29" t="n">
        <v>0</v>
      </c>
      <c r="P1155" s="29" t="n">
        <v>0</v>
      </c>
      <c r="Q1155" s="29" t="n">
        <v>0</v>
      </c>
      <c r="R1155" s="29" t="n">
        <v>0</v>
      </c>
      <c r="S1155" s="29" t="n">
        <v>0</v>
      </c>
      <c r="T1155" t="inlineStr">
        <is>
          <t>25250126975620000130570010000035061000000006</t>
        </is>
      </c>
      <c r="U1155" t="inlineStr">
        <is>
          <t>Não</t>
        </is>
      </c>
    </row>
    <row r="1156">
      <c r="A1156" t="inlineStr">
        <is>
          <t>Frete de venda</t>
        </is>
      </c>
      <c r="B1156" t="inlineStr">
        <is>
          <t>2.01.01 Frete Galpão Produto Acabado</t>
        </is>
      </c>
      <c r="C1156" t="inlineStr">
        <is>
          <t>Antes de 2026</t>
        </is>
      </c>
      <c r="D1156" t="inlineStr">
        <is>
          <t>Antes de 2026</t>
        </is>
      </c>
      <c r="E1156" s="28" t="n">
        <v>45666</v>
      </c>
      <c r="F1156" t="inlineStr">
        <is>
          <t>CT-e</t>
        </is>
      </c>
      <c r="G1156" t="inlineStr">
        <is>
          <t>000003508</t>
        </is>
      </c>
      <c r="H1156" t="inlineStr">
        <is>
          <t>R&amp;R TRANSPORTE E LOGISTICA</t>
        </is>
      </c>
      <c r="J1156" s="29" t="n">
        <v>62</v>
      </c>
      <c r="K1156" s="29">
        <f>(1-ISNUMBER(SEARCH("556",M1156)))*(O1156*SUMIFS(Premissas!$C$5:$C$44,Premissas!$A$5:$A$44,$A1156,Premissas!$B$5:$B$44,$B1156)+P1156*SUMIFS(Premissas!$D$5:$D$44,Premissas!$A$5:$A$44,$A1156,Premissas!$B$5:$B$44,$B1156))+R1156*SUMIFS(Premissas!$E$5:$E$44,Premissas!$A$5:$A$44,$A1156,Premissas!$B$5:$B$44,$B1156)+S1156*SUMIFS(Premissas!$F$5:$F$44,Premissas!$A$5:$A$44,$A1156,Premissas!$B$5:$B$44,$B1156)</f>
        <v/>
      </c>
      <c r="L1156" s="29">
        <f>J1156-K1156</f>
        <v/>
      </c>
      <c r="M1156" t="inlineStr">
        <is>
          <t>1.350</t>
        </is>
      </c>
      <c r="N1156" t="inlineStr">
        <is>
          <t>Modalidade: 0 - Por conta do remetente | Parte: NOVA SERRA PLAST COMERCIO DE EMBALAGENS, ALIMENTOS E UTI... (55.651.203/0001-30)</t>
        </is>
      </c>
      <c r="O1156" s="29" t="n">
        <v>0</v>
      </c>
      <c r="P1156" s="29" t="n">
        <v>0</v>
      </c>
      <c r="Q1156" s="29" t="n">
        <v>0</v>
      </c>
      <c r="R1156" s="29" t="n">
        <v>0</v>
      </c>
      <c r="S1156" s="29" t="n">
        <v>0</v>
      </c>
      <c r="T1156" t="inlineStr">
        <is>
          <t>25250126975620000130570010000035081000000000</t>
        </is>
      </c>
      <c r="U1156" t="inlineStr">
        <is>
          <t>Não</t>
        </is>
      </c>
    </row>
    <row r="1157">
      <c r="A1157" t="inlineStr">
        <is>
          <t>Frete de venda</t>
        </is>
      </c>
      <c r="B1157" t="inlineStr">
        <is>
          <t>2.01.01 Frete Galpão Produto Acabado</t>
        </is>
      </c>
      <c r="C1157" t="inlineStr">
        <is>
          <t>Antes de 2026</t>
        </is>
      </c>
      <c r="D1157" t="inlineStr">
        <is>
          <t>Antes de 2026</t>
        </is>
      </c>
      <c r="E1157" s="28" t="n">
        <v>45666</v>
      </c>
      <c r="F1157" t="inlineStr">
        <is>
          <t>CT-e</t>
        </is>
      </c>
      <c r="G1157" t="inlineStr">
        <is>
          <t>000003509</t>
        </is>
      </c>
      <c r="H1157" t="inlineStr">
        <is>
          <t>R&amp;R TRANSPORTE E LOGISTICA</t>
        </is>
      </c>
      <c r="J1157" s="29" t="n">
        <v>34</v>
      </c>
      <c r="K1157" s="29">
        <f>(1-ISNUMBER(SEARCH("556",M1157)))*(O1157*SUMIFS(Premissas!$C$5:$C$44,Premissas!$A$5:$A$44,$A1157,Premissas!$B$5:$B$44,$B1157)+P1157*SUMIFS(Premissas!$D$5:$D$44,Premissas!$A$5:$A$44,$A1157,Premissas!$B$5:$B$44,$B1157))+R1157*SUMIFS(Premissas!$E$5:$E$44,Premissas!$A$5:$A$44,$A1157,Premissas!$B$5:$B$44,$B1157)+S1157*SUMIFS(Premissas!$F$5:$F$44,Premissas!$A$5:$A$44,$A1157,Premissas!$B$5:$B$44,$B1157)</f>
        <v/>
      </c>
      <c r="L1157" s="29">
        <f>J1157-K1157</f>
        <v/>
      </c>
      <c r="M1157" t="inlineStr">
        <is>
          <t>1.350</t>
        </is>
      </c>
      <c r="N1157" t="inlineStr">
        <is>
          <t>Modalidade: 0 - Por conta do remetente | Parte: AMERICA ATACADISTA ALIMENTOS E EMBALAGENS LTDA (51.238.409/0001-81)</t>
        </is>
      </c>
      <c r="O1157" s="29" t="n">
        <v>0</v>
      </c>
      <c r="P1157" s="29" t="n">
        <v>0</v>
      </c>
      <c r="Q1157" s="29" t="n">
        <v>0</v>
      </c>
      <c r="R1157" s="29" t="n">
        <v>0</v>
      </c>
      <c r="S1157" s="29" t="n">
        <v>0</v>
      </c>
      <c r="T1157" t="inlineStr">
        <is>
          <t>25250126975620000130570010000035091000000008</t>
        </is>
      </c>
      <c r="U1157" t="inlineStr">
        <is>
          <t>Não</t>
        </is>
      </c>
    </row>
    <row r="1158">
      <c r="A1158" t="inlineStr">
        <is>
          <t>Frete de venda</t>
        </is>
      </c>
      <c r="B1158" t="inlineStr">
        <is>
          <t>2.01.01 Frete Galpão Produto Acabado</t>
        </is>
      </c>
      <c r="C1158" t="inlineStr">
        <is>
          <t>Antes de 2026</t>
        </is>
      </c>
      <c r="D1158" t="inlineStr">
        <is>
          <t>Antes de 2026</t>
        </is>
      </c>
      <c r="E1158" s="28" t="n">
        <v>45666</v>
      </c>
      <c r="F1158" t="inlineStr">
        <is>
          <t>CT-e</t>
        </is>
      </c>
      <c r="G1158" t="inlineStr">
        <is>
          <t>000003510</t>
        </is>
      </c>
      <c r="H1158" t="inlineStr">
        <is>
          <t>R&amp;R TRANSPORTE E LOGISTICA</t>
        </is>
      </c>
      <c r="J1158" s="29" t="n">
        <v>106</v>
      </c>
      <c r="K1158" s="29">
        <f>(1-ISNUMBER(SEARCH("556",M1158)))*(O1158*SUMIFS(Premissas!$C$5:$C$44,Premissas!$A$5:$A$44,$A1158,Premissas!$B$5:$B$44,$B1158)+P1158*SUMIFS(Premissas!$D$5:$D$44,Premissas!$A$5:$A$44,$A1158,Premissas!$B$5:$B$44,$B1158))+R1158*SUMIFS(Premissas!$E$5:$E$44,Premissas!$A$5:$A$44,$A1158,Premissas!$B$5:$B$44,$B1158)+S1158*SUMIFS(Premissas!$F$5:$F$44,Premissas!$A$5:$A$44,$A1158,Premissas!$B$5:$B$44,$B1158)</f>
        <v/>
      </c>
      <c r="L1158" s="29">
        <f>J1158-K1158</f>
        <v/>
      </c>
      <c r="M1158" t="inlineStr">
        <is>
          <t>1.350</t>
        </is>
      </c>
      <c r="N1158" t="inlineStr">
        <is>
          <t>Modalidade: 0 - Por conta do remetente | Parte: DISTRIBUIDORA RIO BULLY LTDA (44.965.583/0001-60)</t>
        </is>
      </c>
      <c r="O1158" s="29" t="n">
        <v>0</v>
      </c>
      <c r="P1158" s="29" t="n">
        <v>0</v>
      </c>
      <c r="Q1158" s="29" t="n">
        <v>0</v>
      </c>
      <c r="R1158" s="29" t="n">
        <v>0</v>
      </c>
      <c r="S1158" s="29" t="n">
        <v>0</v>
      </c>
      <c r="T1158" t="inlineStr">
        <is>
          <t>25250126975620000130570010000035101000000009</t>
        </is>
      </c>
      <c r="U1158" t="inlineStr">
        <is>
          <t>Não</t>
        </is>
      </c>
    </row>
    <row r="1159">
      <c r="A1159" t="inlineStr">
        <is>
          <t>Frete de venda</t>
        </is>
      </c>
      <c r="B1159" t="inlineStr">
        <is>
          <t>2.01.01 Frete Galpão Produto Acabado</t>
        </is>
      </c>
      <c r="C1159" t="inlineStr">
        <is>
          <t>Antes de 2026</t>
        </is>
      </c>
      <c r="D1159" t="inlineStr">
        <is>
          <t>Antes de 2026</t>
        </is>
      </c>
      <c r="E1159" s="28" t="n">
        <v>45671</v>
      </c>
      <c r="F1159" t="inlineStr">
        <is>
          <t>CT-e</t>
        </is>
      </c>
      <c r="G1159" t="inlineStr">
        <is>
          <t>000003517</t>
        </is>
      </c>
      <c r="H1159" t="inlineStr">
        <is>
          <t>R&amp;R TRANSPORTE E LOGISTICA</t>
        </is>
      </c>
      <c r="J1159" s="29" t="n">
        <v>181</v>
      </c>
      <c r="K1159" s="29">
        <f>(1-ISNUMBER(SEARCH("556",M1159)))*(O1159*SUMIFS(Premissas!$C$5:$C$44,Premissas!$A$5:$A$44,$A1159,Premissas!$B$5:$B$44,$B1159)+P1159*SUMIFS(Premissas!$D$5:$D$44,Premissas!$A$5:$A$44,$A1159,Premissas!$B$5:$B$44,$B1159))+R1159*SUMIFS(Premissas!$E$5:$E$44,Premissas!$A$5:$A$44,$A1159,Premissas!$B$5:$B$44,$B1159)+S1159*SUMIFS(Premissas!$F$5:$F$44,Premissas!$A$5:$A$44,$A1159,Premissas!$B$5:$B$44,$B1159)</f>
        <v/>
      </c>
      <c r="L1159" s="29">
        <f>J1159-K1159</f>
        <v/>
      </c>
      <c r="M1159" t="inlineStr">
        <is>
          <t>1.350</t>
        </is>
      </c>
      <c r="N1159" t="inlineStr">
        <is>
          <t>Modalidade: 0 - Por conta do remetente | Parte: FORTALI DISTRIBUIDORA DE ALIMENTOS LTDA. (09.317.318/0001-75)</t>
        </is>
      </c>
      <c r="O1159" s="29" t="n">
        <v>0</v>
      </c>
      <c r="P1159" s="29" t="n">
        <v>0</v>
      </c>
      <c r="Q1159" s="29" t="n">
        <v>0</v>
      </c>
      <c r="R1159" s="29" t="n">
        <v>0</v>
      </c>
      <c r="S1159" s="29" t="n">
        <v>0</v>
      </c>
      <c r="T1159" t="inlineStr">
        <is>
          <t>25250126975620000130570010000035171000000000</t>
        </is>
      </c>
      <c r="U1159" t="inlineStr">
        <is>
          <t>Não</t>
        </is>
      </c>
    </row>
    <row r="1160">
      <c r="A1160" t="inlineStr">
        <is>
          <t>Frete de venda</t>
        </is>
      </c>
      <c r="B1160" t="inlineStr">
        <is>
          <t>2.01.01 Frete Galpão Produto Acabado</t>
        </is>
      </c>
      <c r="C1160" t="inlineStr">
        <is>
          <t>Antes de 2026</t>
        </is>
      </c>
      <c r="D1160" t="inlineStr">
        <is>
          <t>Antes de 2026</t>
        </is>
      </c>
      <c r="E1160" s="28" t="n">
        <v>45672</v>
      </c>
      <c r="F1160" t="inlineStr">
        <is>
          <t>CT-e</t>
        </is>
      </c>
      <c r="G1160" t="inlineStr">
        <is>
          <t>000003523</t>
        </is>
      </c>
      <c r="H1160" t="inlineStr">
        <is>
          <t>R&amp;R TRANSPORTE E LOGISTICA</t>
        </is>
      </c>
      <c r="J1160" s="29" t="n">
        <v>41.27</v>
      </c>
      <c r="K1160" s="29">
        <f>(1-ISNUMBER(SEARCH("556",M1160)))*(O1160*SUMIFS(Premissas!$C$5:$C$44,Premissas!$A$5:$A$44,$A1160,Premissas!$B$5:$B$44,$B1160)+P1160*SUMIFS(Premissas!$D$5:$D$44,Premissas!$A$5:$A$44,$A1160,Premissas!$B$5:$B$44,$B1160))+R1160*SUMIFS(Premissas!$E$5:$E$44,Premissas!$A$5:$A$44,$A1160,Premissas!$B$5:$B$44,$B1160)+S1160*SUMIFS(Premissas!$F$5:$F$44,Premissas!$A$5:$A$44,$A1160,Premissas!$B$5:$B$44,$B1160)</f>
        <v/>
      </c>
      <c r="L1160" s="29">
        <f>J1160-K1160</f>
        <v/>
      </c>
      <c r="M1160" t="inlineStr">
        <is>
          <t>1.350</t>
        </is>
      </c>
      <c r="N1160" t="inlineStr">
        <is>
          <t>Modalidade: 0 - Por conta do remetente | Parte: J. ROQUE COMERCIO DE ARTIGOS DE CONFEITARIA E GASTRONOMI... (09.356.903/0001-84)</t>
        </is>
      </c>
      <c r="O1160" s="29" t="n">
        <v>0</v>
      </c>
      <c r="P1160" s="29" t="n">
        <v>0</v>
      </c>
      <c r="Q1160" s="29" t="n">
        <v>0</v>
      </c>
      <c r="R1160" s="29" t="n">
        <v>0</v>
      </c>
      <c r="S1160" s="29" t="n">
        <v>0</v>
      </c>
      <c r="T1160" t="inlineStr">
        <is>
          <t>25250126975620000130570010000035231000000007</t>
        </is>
      </c>
      <c r="U1160" t="inlineStr">
        <is>
          <t>Não</t>
        </is>
      </c>
    </row>
    <row r="1161">
      <c r="A1161" t="inlineStr">
        <is>
          <t>Frete de venda</t>
        </is>
      </c>
      <c r="B1161" t="inlineStr">
        <is>
          <t>2.01.01 Frete Galpão Produto Acabado</t>
        </is>
      </c>
      <c r="C1161" t="inlineStr">
        <is>
          <t>Antes de 2026</t>
        </is>
      </c>
      <c r="D1161" t="inlineStr">
        <is>
          <t>Antes de 2026</t>
        </is>
      </c>
      <c r="E1161" s="28" t="n">
        <v>45672</v>
      </c>
      <c r="F1161" t="inlineStr">
        <is>
          <t>CT-e</t>
        </is>
      </c>
      <c r="G1161" t="inlineStr">
        <is>
          <t>000003524</t>
        </is>
      </c>
      <c r="H1161" t="inlineStr">
        <is>
          <t>R&amp;R TRANSPORTE E LOGISTICA</t>
        </is>
      </c>
      <c r="J1161" s="29" t="n">
        <v>46.03</v>
      </c>
      <c r="K1161" s="29">
        <f>(1-ISNUMBER(SEARCH("556",M1161)))*(O1161*SUMIFS(Premissas!$C$5:$C$44,Premissas!$A$5:$A$44,$A1161,Premissas!$B$5:$B$44,$B1161)+P1161*SUMIFS(Premissas!$D$5:$D$44,Premissas!$A$5:$A$44,$A1161,Premissas!$B$5:$B$44,$B1161))+R1161*SUMIFS(Premissas!$E$5:$E$44,Premissas!$A$5:$A$44,$A1161,Premissas!$B$5:$B$44,$B1161)+S1161*SUMIFS(Premissas!$F$5:$F$44,Premissas!$A$5:$A$44,$A1161,Premissas!$B$5:$B$44,$B1161)</f>
        <v/>
      </c>
      <c r="L1161" s="29">
        <f>J1161-K1161</f>
        <v/>
      </c>
      <c r="M1161" t="inlineStr">
        <is>
          <t>1.350</t>
        </is>
      </c>
      <c r="N1161" t="inlineStr">
        <is>
          <t>Modalidade: 0 - Por conta do remetente | Parte: FEDERAL COMERCIO DE EMBALAGENS LTDA (24.014.377/0001-68)</t>
        </is>
      </c>
      <c r="O1161" s="29" t="n">
        <v>0</v>
      </c>
      <c r="P1161" s="29" t="n">
        <v>0</v>
      </c>
      <c r="Q1161" s="29" t="n">
        <v>0</v>
      </c>
      <c r="R1161" s="29" t="n">
        <v>0</v>
      </c>
      <c r="S1161" s="29" t="n">
        <v>0</v>
      </c>
      <c r="T1161" t="inlineStr">
        <is>
          <t>25250126975620000130570010000035241000000004</t>
        </is>
      </c>
      <c r="U1161" t="inlineStr">
        <is>
          <t>Não</t>
        </is>
      </c>
    </row>
    <row r="1162">
      <c r="A1162" t="inlineStr">
        <is>
          <t>Frete de venda</t>
        </is>
      </c>
      <c r="B1162" t="inlineStr">
        <is>
          <t>2.01.01 Frete Galpão Produto Acabado</t>
        </is>
      </c>
      <c r="C1162" t="inlineStr">
        <is>
          <t>Antes de 2026</t>
        </is>
      </c>
      <c r="D1162" t="inlineStr">
        <is>
          <t>Antes de 2026</t>
        </is>
      </c>
      <c r="E1162" s="28" t="n">
        <v>45672</v>
      </c>
      <c r="F1162" t="inlineStr">
        <is>
          <t>CT-e</t>
        </is>
      </c>
      <c r="G1162" t="inlineStr">
        <is>
          <t>000003525</t>
        </is>
      </c>
      <c r="H1162" t="inlineStr">
        <is>
          <t>R&amp;R TRANSPORTE E LOGISTICA</t>
        </is>
      </c>
      <c r="J1162" s="29" t="n">
        <v>40.61</v>
      </c>
      <c r="K1162" s="29">
        <f>(1-ISNUMBER(SEARCH("556",M1162)))*(O1162*SUMIFS(Premissas!$C$5:$C$44,Premissas!$A$5:$A$44,$A1162,Premissas!$B$5:$B$44,$B1162)+P1162*SUMIFS(Premissas!$D$5:$D$44,Premissas!$A$5:$A$44,$A1162,Premissas!$B$5:$B$44,$B1162))+R1162*SUMIFS(Premissas!$E$5:$E$44,Premissas!$A$5:$A$44,$A1162,Premissas!$B$5:$B$44,$B1162)+S1162*SUMIFS(Premissas!$F$5:$F$44,Premissas!$A$5:$A$44,$A1162,Premissas!$B$5:$B$44,$B1162)</f>
        <v/>
      </c>
      <c r="L1162" s="29">
        <f>J1162-K1162</f>
        <v/>
      </c>
      <c r="M1162" t="inlineStr">
        <is>
          <t>1.350</t>
        </is>
      </c>
      <c r="N1162" t="inlineStr">
        <is>
          <t>Modalidade: 0 - Por conta do remetente | Parte: GOL COMERCIO VAREJISTA DE EMBALAGENS LTDA (38.304.923/0001-00)</t>
        </is>
      </c>
      <c r="O1162" s="29" t="n">
        <v>0</v>
      </c>
      <c r="P1162" s="29" t="n">
        <v>0</v>
      </c>
      <c r="Q1162" s="29" t="n">
        <v>0</v>
      </c>
      <c r="R1162" s="29" t="n">
        <v>0</v>
      </c>
      <c r="S1162" s="29" t="n">
        <v>0</v>
      </c>
      <c r="T1162" t="inlineStr">
        <is>
          <t>25250126975620000130570010000035251000000001</t>
        </is>
      </c>
      <c r="U1162" t="inlineStr">
        <is>
          <t>Não</t>
        </is>
      </c>
    </row>
    <row r="1163">
      <c r="A1163" t="inlineStr">
        <is>
          <t>Frete de venda</t>
        </is>
      </c>
      <c r="B1163" t="inlineStr">
        <is>
          <t>2.01.01 Frete Galpão Produto Acabado</t>
        </is>
      </c>
      <c r="C1163" t="inlineStr">
        <is>
          <t>Antes de 2026</t>
        </is>
      </c>
      <c r="D1163" t="inlineStr">
        <is>
          <t>Antes de 2026</t>
        </is>
      </c>
      <c r="E1163" s="28" t="n">
        <v>45672</v>
      </c>
      <c r="F1163" t="inlineStr">
        <is>
          <t>CT-e</t>
        </is>
      </c>
      <c r="G1163" t="inlineStr">
        <is>
          <t>000003526</t>
        </is>
      </c>
      <c r="H1163" t="inlineStr">
        <is>
          <t>R&amp;R TRANSPORTE E LOGISTICA</t>
        </is>
      </c>
      <c r="J1163" s="29" t="n">
        <v>41.02</v>
      </c>
      <c r="K1163" s="29">
        <f>(1-ISNUMBER(SEARCH("556",M1163)))*(O1163*SUMIFS(Premissas!$C$5:$C$44,Premissas!$A$5:$A$44,$A1163,Premissas!$B$5:$B$44,$B1163)+P1163*SUMIFS(Premissas!$D$5:$D$44,Premissas!$A$5:$A$44,$A1163,Premissas!$B$5:$B$44,$B1163))+R1163*SUMIFS(Premissas!$E$5:$E$44,Premissas!$A$5:$A$44,$A1163,Premissas!$B$5:$B$44,$B1163)+S1163*SUMIFS(Premissas!$F$5:$F$44,Premissas!$A$5:$A$44,$A1163,Premissas!$B$5:$B$44,$B1163)</f>
        <v/>
      </c>
      <c r="L1163" s="29">
        <f>J1163-K1163</f>
        <v/>
      </c>
      <c r="M1163" t="inlineStr">
        <is>
          <t>1.350</t>
        </is>
      </c>
      <c r="N1163" t="inlineStr">
        <is>
          <t>Modalidade: 0 - Por conta do remetente | Parte: EMBALAGENS TANAKA E CIA LTDA (02.611.929/0001-82)</t>
        </is>
      </c>
      <c r="O1163" s="29" t="n">
        <v>0</v>
      </c>
      <c r="P1163" s="29" t="n">
        <v>0</v>
      </c>
      <c r="Q1163" s="29" t="n">
        <v>0</v>
      </c>
      <c r="R1163" s="29" t="n">
        <v>0</v>
      </c>
      <c r="S1163" s="29" t="n">
        <v>0</v>
      </c>
      <c r="T1163" t="inlineStr">
        <is>
          <t>25250126975620000130570010000035261000000009</t>
        </is>
      </c>
      <c r="U1163" t="inlineStr">
        <is>
          <t>Não</t>
        </is>
      </c>
    </row>
    <row r="1164">
      <c r="A1164" t="inlineStr">
        <is>
          <t>Frete de venda</t>
        </is>
      </c>
      <c r="B1164" t="inlineStr">
        <is>
          <t>2.01.01 Frete Galpão Produto Acabado</t>
        </is>
      </c>
      <c r="C1164" t="inlineStr">
        <is>
          <t>Antes de 2026</t>
        </is>
      </c>
      <c r="D1164" t="inlineStr">
        <is>
          <t>Antes de 2026</t>
        </is>
      </c>
      <c r="E1164" s="28" t="n">
        <v>45672</v>
      </c>
      <c r="F1164" t="inlineStr">
        <is>
          <t>CT-e</t>
        </is>
      </c>
      <c r="G1164" t="inlineStr">
        <is>
          <t>000003527</t>
        </is>
      </c>
      <c r="H1164" t="inlineStr">
        <is>
          <t>R&amp;R TRANSPORTE E LOGISTICA</t>
        </is>
      </c>
      <c r="J1164" s="29" t="n">
        <v>33.13</v>
      </c>
      <c r="K1164" s="29">
        <f>(1-ISNUMBER(SEARCH("556",M1164)))*(O1164*SUMIFS(Premissas!$C$5:$C$44,Premissas!$A$5:$A$44,$A1164,Premissas!$B$5:$B$44,$B1164)+P1164*SUMIFS(Premissas!$D$5:$D$44,Premissas!$A$5:$A$44,$A1164,Premissas!$B$5:$B$44,$B1164))+R1164*SUMIFS(Premissas!$E$5:$E$44,Premissas!$A$5:$A$44,$A1164,Premissas!$B$5:$B$44,$B1164)+S1164*SUMIFS(Premissas!$F$5:$F$44,Premissas!$A$5:$A$44,$A1164,Premissas!$B$5:$B$44,$B1164)</f>
        <v/>
      </c>
      <c r="L1164" s="29">
        <f>J1164-K1164</f>
        <v/>
      </c>
      <c r="M1164" t="inlineStr">
        <is>
          <t>1.350</t>
        </is>
      </c>
      <c r="N1164" t="inlineStr">
        <is>
          <t>Modalidade: 0 - Por conta do remetente | Parte: ROSILEIDE DE SOUZA ALVES MRM FRIOS (29.921.695/0001-26)</t>
        </is>
      </c>
      <c r="O1164" s="29" t="n">
        <v>0</v>
      </c>
      <c r="P1164" s="29" t="n">
        <v>0</v>
      </c>
      <c r="Q1164" s="29" t="n">
        <v>0</v>
      </c>
      <c r="R1164" s="29" t="n">
        <v>0</v>
      </c>
      <c r="S1164" s="29" t="n">
        <v>0</v>
      </c>
      <c r="T1164" t="inlineStr">
        <is>
          <t>25250126975620000130570010000035271000000006</t>
        </is>
      </c>
      <c r="U1164" t="inlineStr">
        <is>
          <t>Não</t>
        </is>
      </c>
    </row>
    <row r="1165">
      <c r="A1165" t="inlineStr">
        <is>
          <t>Frete de venda</t>
        </is>
      </c>
      <c r="B1165" t="inlineStr">
        <is>
          <t>2.01.01 Frete Galpão Produto Acabado</t>
        </is>
      </c>
      <c r="C1165" t="inlineStr">
        <is>
          <t>Antes de 2026</t>
        </is>
      </c>
      <c r="D1165" t="inlineStr">
        <is>
          <t>Antes de 2026</t>
        </is>
      </c>
      <c r="E1165" s="28" t="n">
        <v>45672</v>
      </c>
      <c r="F1165" t="inlineStr">
        <is>
          <t>CT-e</t>
        </is>
      </c>
      <c r="G1165" t="inlineStr">
        <is>
          <t>000003528</t>
        </is>
      </c>
      <c r="H1165" t="inlineStr">
        <is>
          <t>R&amp;R TRANSPORTE E LOGISTICA</t>
        </is>
      </c>
      <c r="J1165" s="29" t="n">
        <v>42.55</v>
      </c>
      <c r="K1165" s="29">
        <f>(1-ISNUMBER(SEARCH("556",M1165)))*(O1165*SUMIFS(Premissas!$C$5:$C$44,Premissas!$A$5:$A$44,$A1165,Premissas!$B$5:$B$44,$B1165)+P1165*SUMIFS(Premissas!$D$5:$D$44,Premissas!$A$5:$A$44,$A1165,Premissas!$B$5:$B$44,$B1165))+R1165*SUMIFS(Premissas!$E$5:$E$44,Premissas!$A$5:$A$44,$A1165,Premissas!$B$5:$B$44,$B1165)+S1165*SUMIFS(Premissas!$F$5:$F$44,Premissas!$A$5:$A$44,$A1165,Premissas!$B$5:$B$44,$B1165)</f>
        <v/>
      </c>
      <c r="L1165" s="29">
        <f>J1165-K1165</f>
        <v/>
      </c>
      <c r="M1165" t="inlineStr">
        <is>
          <t>1.350</t>
        </is>
      </c>
      <c r="N1165" t="inlineStr">
        <is>
          <t>Modalidade: 0 - Por conta do remetente | Parte: RODRIGUES E CIA LTDA (26.144.570/0001-49)</t>
        </is>
      </c>
      <c r="O1165" s="29" t="n">
        <v>0</v>
      </c>
      <c r="P1165" s="29" t="n">
        <v>0</v>
      </c>
      <c r="Q1165" s="29" t="n">
        <v>0</v>
      </c>
      <c r="R1165" s="29" t="n">
        <v>0</v>
      </c>
      <c r="S1165" s="29" t="n">
        <v>0</v>
      </c>
      <c r="T1165" t="inlineStr">
        <is>
          <t>25250126975620000130570010000035281000000003</t>
        </is>
      </c>
      <c r="U1165" t="inlineStr">
        <is>
          <t>Não</t>
        </is>
      </c>
    </row>
    <row r="1166">
      <c r="A1166" t="inlineStr">
        <is>
          <t>Frete de venda</t>
        </is>
      </c>
      <c r="B1166" t="inlineStr">
        <is>
          <t>2.01.01 Frete Galpão Produto Acabado</t>
        </is>
      </c>
      <c r="C1166" t="inlineStr">
        <is>
          <t>Antes de 2026</t>
        </is>
      </c>
      <c r="D1166" t="inlineStr">
        <is>
          <t>Antes de 2026</t>
        </is>
      </c>
      <c r="E1166" s="28" t="n">
        <v>45673</v>
      </c>
      <c r="F1166" t="inlineStr">
        <is>
          <t>CT-e</t>
        </is>
      </c>
      <c r="G1166" t="inlineStr">
        <is>
          <t>000003529</t>
        </is>
      </c>
      <c r="H1166" t="inlineStr">
        <is>
          <t>R&amp;R TRANSPORTE E LOGISTICA</t>
        </is>
      </c>
      <c r="J1166" s="29" t="n">
        <v>67.54000000000001</v>
      </c>
      <c r="K1166" s="29">
        <f>(1-ISNUMBER(SEARCH("556",M1166)))*(O1166*SUMIFS(Premissas!$C$5:$C$44,Premissas!$A$5:$A$44,$A1166,Premissas!$B$5:$B$44,$B1166)+P1166*SUMIFS(Premissas!$D$5:$D$44,Premissas!$A$5:$A$44,$A1166,Premissas!$B$5:$B$44,$B1166))+R1166*SUMIFS(Premissas!$E$5:$E$44,Premissas!$A$5:$A$44,$A1166,Premissas!$B$5:$B$44,$B1166)+S1166*SUMIFS(Premissas!$F$5:$F$44,Premissas!$A$5:$A$44,$A1166,Premissas!$B$5:$B$44,$B1166)</f>
        <v/>
      </c>
      <c r="L1166" s="29">
        <f>J1166-K1166</f>
        <v/>
      </c>
      <c r="M1166" t="inlineStr">
        <is>
          <t>1.350</t>
        </is>
      </c>
      <c r="N1166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66" s="29" t="n">
        <v>0</v>
      </c>
      <c r="P1166" s="29" t="n">
        <v>0</v>
      </c>
      <c r="Q1166" s="29" t="n">
        <v>0</v>
      </c>
      <c r="R1166" s="29" t="n">
        <v>0</v>
      </c>
      <c r="S1166" s="29" t="n">
        <v>0</v>
      </c>
      <c r="T1166" t="inlineStr">
        <is>
          <t>25250126975620000130570010000035291000000000</t>
        </is>
      </c>
      <c r="U1166" t="inlineStr">
        <is>
          <t>Não</t>
        </is>
      </c>
    </row>
    <row r="1167">
      <c r="A1167" t="inlineStr">
        <is>
          <t>Frete de venda</t>
        </is>
      </c>
      <c r="B1167" t="inlineStr">
        <is>
          <t>2.01.01 Frete Galpão Produto Acabado</t>
        </is>
      </c>
      <c r="C1167" t="inlineStr">
        <is>
          <t>Antes de 2026</t>
        </is>
      </c>
      <c r="D1167" t="inlineStr">
        <is>
          <t>Antes de 2026</t>
        </is>
      </c>
      <c r="E1167" s="28" t="n">
        <v>45673</v>
      </c>
      <c r="F1167" t="inlineStr">
        <is>
          <t>CT-e</t>
        </is>
      </c>
      <c r="G1167" t="inlineStr">
        <is>
          <t>000003530</t>
        </is>
      </c>
      <c r="H1167" t="inlineStr">
        <is>
          <t>R&amp;R TRANSPORTE E LOGISTICA</t>
        </is>
      </c>
      <c r="J1167" s="29" t="n">
        <v>68.15000000000001</v>
      </c>
      <c r="K1167" s="29">
        <f>(1-ISNUMBER(SEARCH("556",M1167)))*(O1167*SUMIFS(Premissas!$C$5:$C$44,Premissas!$A$5:$A$44,$A1167,Premissas!$B$5:$B$44,$B1167)+P1167*SUMIFS(Premissas!$D$5:$D$44,Premissas!$A$5:$A$44,$A1167,Premissas!$B$5:$B$44,$B1167))+R1167*SUMIFS(Premissas!$E$5:$E$44,Premissas!$A$5:$A$44,$A1167,Premissas!$B$5:$B$44,$B1167)+S1167*SUMIFS(Premissas!$F$5:$F$44,Premissas!$A$5:$A$44,$A1167,Premissas!$B$5:$B$44,$B1167)</f>
        <v/>
      </c>
      <c r="L1167" s="29">
        <f>J1167-K1167</f>
        <v/>
      </c>
      <c r="M1167" t="inlineStr">
        <is>
          <t>1.350</t>
        </is>
      </c>
      <c r="N1167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67" s="29" t="n">
        <v>0</v>
      </c>
      <c r="P1167" s="29" t="n">
        <v>0</v>
      </c>
      <c r="Q1167" s="29" t="n">
        <v>0</v>
      </c>
      <c r="R1167" s="29" t="n">
        <v>0</v>
      </c>
      <c r="S1167" s="29" t="n">
        <v>0</v>
      </c>
      <c r="T1167" t="inlineStr">
        <is>
          <t>25250126975620000130570010000035301000000001</t>
        </is>
      </c>
      <c r="U1167" t="inlineStr">
        <is>
          <t>Não</t>
        </is>
      </c>
    </row>
    <row r="1168">
      <c r="A1168" t="inlineStr">
        <is>
          <t>Frete de venda</t>
        </is>
      </c>
      <c r="B1168" t="inlineStr">
        <is>
          <t>2.01.01 Frete Galpão Produto Acabado</t>
        </is>
      </c>
      <c r="C1168" t="inlineStr">
        <is>
          <t>Antes de 2026</t>
        </is>
      </c>
      <c r="D1168" t="inlineStr">
        <is>
          <t>Antes de 2026</t>
        </is>
      </c>
      <c r="E1168" s="28" t="n">
        <v>45673</v>
      </c>
      <c r="F1168" t="inlineStr">
        <is>
          <t>CT-e</t>
        </is>
      </c>
      <c r="G1168" t="inlineStr">
        <is>
          <t>000003531</t>
        </is>
      </c>
      <c r="H1168" t="inlineStr">
        <is>
          <t>R&amp;R TRANSPORTE E LOGISTICA</t>
        </is>
      </c>
      <c r="J1168" s="29" t="n">
        <v>55.24</v>
      </c>
      <c r="K1168" s="29">
        <f>(1-ISNUMBER(SEARCH("556",M1168)))*(O1168*SUMIFS(Premissas!$C$5:$C$44,Premissas!$A$5:$A$44,$A1168,Premissas!$B$5:$B$44,$B1168)+P1168*SUMIFS(Premissas!$D$5:$D$44,Premissas!$A$5:$A$44,$A1168,Premissas!$B$5:$B$44,$B1168))+R1168*SUMIFS(Premissas!$E$5:$E$44,Premissas!$A$5:$A$44,$A1168,Premissas!$B$5:$B$44,$B1168)+S1168*SUMIFS(Premissas!$F$5:$F$44,Premissas!$A$5:$A$44,$A1168,Premissas!$B$5:$B$44,$B1168)</f>
        <v/>
      </c>
      <c r="L1168" s="29">
        <f>J1168-K1168</f>
        <v/>
      </c>
      <c r="M1168" t="inlineStr">
        <is>
          <t>1.350</t>
        </is>
      </c>
      <c r="N1168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68" s="29" t="n">
        <v>0</v>
      </c>
      <c r="P1168" s="29" t="n">
        <v>0</v>
      </c>
      <c r="Q1168" s="29" t="n">
        <v>0</v>
      </c>
      <c r="R1168" s="29" t="n">
        <v>0</v>
      </c>
      <c r="S1168" s="29" t="n">
        <v>0</v>
      </c>
      <c r="T1168" t="inlineStr">
        <is>
          <t>25250126975620000130570010000035311000000009</t>
        </is>
      </c>
      <c r="U1168" t="inlineStr">
        <is>
          <t>Não</t>
        </is>
      </c>
    </row>
    <row r="1169">
      <c r="A1169" t="inlineStr">
        <is>
          <t>Frete de venda</t>
        </is>
      </c>
      <c r="B1169" t="inlineStr">
        <is>
          <t>2.01.01 Frete Galpão Produto Acabado</t>
        </is>
      </c>
      <c r="C1169" t="inlineStr">
        <is>
          <t>Antes de 2026</t>
        </is>
      </c>
      <c r="D1169" t="inlineStr">
        <is>
          <t>Antes de 2026</t>
        </is>
      </c>
      <c r="E1169" s="28" t="n">
        <v>45673</v>
      </c>
      <c r="F1169" t="inlineStr">
        <is>
          <t>CT-e</t>
        </is>
      </c>
      <c r="G1169" t="inlineStr">
        <is>
          <t>000003532</t>
        </is>
      </c>
      <c r="H1169" t="inlineStr">
        <is>
          <t>R&amp;R TRANSPORTE E LOGISTICA</t>
        </is>
      </c>
      <c r="J1169" s="29" t="n">
        <v>53.96</v>
      </c>
      <c r="K1169" s="29">
        <f>(1-ISNUMBER(SEARCH("556",M1169)))*(O1169*SUMIFS(Premissas!$C$5:$C$44,Premissas!$A$5:$A$44,$A1169,Premissas!$B$5:$B$44,$B1169)+P1169*SUMIFS(Premissas!$D$5:$D$44,Premissas!$A$5:$A$44,$A1169,Premissas!$B$5:$B$44,$B1169))+R1169*SUMIFS(Premissas!$E$5:$E$44,Premissas!$A$5:$A$44,$A1169,Premissas!$B$5:$B$44,$B1169)+S1169*SUMIFS(Premissas!$F$5:$F$44,Premissas!$A$5:$A$44,$A1169,Premissas!$B$5:$B$44,$B1169)</f>
        <v/>
      </c>
      <c r="L1169" s="29">
        <f>J1169-K1169</f>
        <v/>
      </c>
      <c r="M1169" t="inlineStr">
        <is>
          <t>1.350</t>
        </is>
      </c>
      <c r="N1169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69" s="29" t="n">
        <v>0</v>
      </c>
      <c r="P1169" s="29" t="n">
        <v>0</v>
      </c>
      <c r="Q1169" s="29" t="n">
        <v>0</v>
      </c>
      <c r="R1169" s="29" t="n">
        <v>0</v>
      </c>
      <c r="S1169" s="29" t="n">
        <v>0</v>
      </c>
      <c r="T1169" t="inlineStr">
        <is>
          <t>25250126975620000130570010000035321000000006</t>
        </is>
      </c>
      <c r="U1169" t="inlineStr">
        <is>
          <t>Não</t>
        </is>
      </c>
    </row>
    <row r="1170">
      <c r="A1170" t="inlineStr">
        <is>
          <t>Frete de venda</t>
        </is>
      </c>
      <c r="B1170" t="inlineStr">
        <is>
          <t>2.01.01 Frete Galpão Produto Acabado</t>
        </is>
      </c>
      <c r="C1170" t="inlineStr">
        <is>
          <t>Antes de 2026</t>
        </is>
      </c>
      <c r="D1170" t="inlineStr">
        <is>
          <t>Antes de 2026</t>
        </is>
      </c>
      <c r="E1170" s="28" t="n">
        <v>45674</v>
      </c>
      <c r="F1170" t="inlineStr">
        <is>
          <t>CT-e</t>
        </is>
      </c>
      <c r="G1170" t="inlineStr">
        <is>
          <t>000003540</t>
        </is>
      </c>
      <c r="H1170" t="inlineStr">
        <is>
          <t>R&amp;R TRANSPORTE E LOGISTICA</t>
        </is>
      </c>
      <c r="J1170" s="29" t="n">
        <v>596.29</v>
      </c>
      <c r="K1170" s="29">
        <f>(1-ISNUMBER(SEARCH("556",M1170)))*(O1170*SUMIFS(Premissas!$C$5:$C$44,Premissas!$A$5:$A$44,$A1170,Premissas!$B$5:$B$44,$B1170)+P1170*SUMIFS(Premissas!$D$5:$D$44,Premissas!$A$5:$A$44,$A1170,Premissas!$B$5:$B$44,$B1170))+R1170*SUMIFS(Premissas!$E$5:$E$44,Premissas!$A$5:$A$44,$A1170,Premissas!$B$5:$B$44,$B1170)+S1170*SUMIFS(Premissas!$F$5:$F$44,Premissas!$A$5:$A$44,$A1170,Premissas!$B$5:$B$44,$B1170)</f>
        <v/>
      </c>
      <c r="L1170" s="29">
        <f>J1170-K1170</f>
        <v/>
      </c>
      <c r="M1170" t="inlineStr">
        <is>
          <t>1.350</t>
        </is>
      </c>
      <c r="N1170" t="inlineStr">
        <is>
          <t>Modalidade: 0 - Por conta do remetente | Parte: VINCO DISTRIBUIDORA DE EMBALAGENS LTDA (55.333.385/0001-09)</t>
        </is>
      </c>
      <c r="O1170" s="29" t="n">
        <v>0</v>
      </c>
      <c r="P1170" s="29" t="n">
        <v>0</v>
      </c>
      <c r="Q1170" s="29" t="n">
        <v>0</v>
      </c>
      <c r="R1170" s="29" t="n">
        <v>0</v>
      </c>
      <c r="S1170" s="29" t="n">
        <v>0</v>
      </c>
      <c r="T1170" t="inlineStr">
        <is>
          <t>25250126975620000130570010000035401000000008</t>
        </is>
      </c>
      <c r="U1170" t="inlineStr">
        <is>
          <t>Não</t>
        </is>
      </c>
    </row>
    <row r="1171">
      <c r="A1171" t="inlineStr">
        <is>
          <t>Frete de venda</t>
        </is>
      </c>
      <c r="B1171" t="inlineStr">
        <is>
          <t>2.01.01 Frete Galpão Produto Acabado</t>
        </is>
      </c>
      <c r="C1171" t="inlineStr">
        <is>
          <t>Antes de 2026</t>
        </is>
      </c>
      <c r="D1171" t="inlineStr">
        <is>
          <t>Antes de 2026</t>
        </is>
      </c>
      <c r="E1171" s="28" t="n">
        <v>45675</v>
      </c>
      <c r="F1171" t="inlineStr">
        <is>
          <t>CT-e</t>
        </is>
      </c>
      <c r="G1171" t="inlineStr">
        <is>
          <t>000003541</t>
        </is>
      </c>
      <c r="H1171" t="inlineStr">
        <is>
          <t>R&amp;R TRANSPORTE E LOGISTICA</t>
        </is>
      </c>
      <c r="J1171" s="29" t="n">
        <v>43</v>
      </c>
      <c r="K1171" s="29">
        <f>(1-ISNUMBER(SEARCH("556",M1171)))*(O1171*SUMIFS(Premissas!$C$5:$C$44,Premissas!$A$5:$A$44,$A1171,Premissas!$B$5:$B$44,$B1171)+P1171*SUMIFS(Premissas!$D$5:$D$44,Premissas!$A$5:$A$44,$A1171,Premissas!$B$5:$B$44,$B1171))+R1171*SUMIFS(Premissas!$E$5:$E$44,Premissas!$A$5:$A$44,$A1171,Premissas!$B$5:$B$44,$B1171)+S1171*SUMIFS(Premissas!$F$5:$F$44,Premissas!$A$5:$A$44,$A1171,Premissas!$B$5:$B$44,$B1171)</f>
        <v/>
      </c>
      <c r="L1171" s="29">
        <f>J1171-K1171</f>
        <v/>
      </c>
      <c r="M1171" t="inlineStr">
        <is>
          <t>1.350</t>
        </is>
      </c>
      <c r="N1171" t="inlineStr">
        <is>
          <t>Modalidade: 0 - Por conta do remetente | Parte: CENTRO EMBALAGENS LTDA (51.354.532/0001-68)</t>
        </is>
      </c>
      <c r="O1171" s="29" t="n">
        <v>0</v>
      </c>
      <c r="P1171" s="29" t="n">
        <v>0</v>
      </c>
      <c r="Q1171" s="29" t="n">
        <v>0</v>
      </c>
      <c r="R1171" s="29" t="n">
        <v>0</v>
      </c>
      <c r="S1171" s="29" t="n">
        <v>0</v>
      </c>
      <c r="T1171" t="inlineStr">
        <is>
          <t>25250126975620000130570010000035411000000005</t>
        </is>
      </c>
      <c r="U1171" t="inlineStr">
        <is>
          <t>Não</t>
        </is>
      </c>
    </row>
    <row r="1172">
      <c r="A1172" t="inlineStr">
        <is>
          <t>Frete de venda</t>
        </is>
      </c>
      <c r="B1172" t="inlineStr">
        <is>
          <t>2.01.01 Frete Galpão Produto Acabado</t>
        </is>
      </c>
      <c r="C1172" t="inlineStr">
        <is>
          <t>Antes de 2026</t>
        </is>
      </c>
      <c r="D1172" t="inlineStr">
        <is>
          <t>Antes de 2026</t>
        </is>
      </c>
      <c r="E1172" s="28" t="n">
        <v>45675</v>
      </c>
      <c r="F1172" t="inlineStr">
        <is>
          <t>CT-e</t>
        </is>
      </c>
      <c r="G1172" t="inlineStr">
        <is>
          <t>000003542</t>
        </is>
      </c>
      <c r="H1172" t="inlineStr">
        <is>
          <t>R&amp;R TRANSPORTE E LOGISTICA</t>
        </is>
      </c>
      <c r="J1172" s="29" t="n">
        <v>106</v>
      </c>
      <c r="K1172" s="29">
        <f>(1-ISNUMBER(SEARCH("556",M1172)))*(O1172*SUMIFS(Premissas!$C$5:$C$44,Premissas!$A$5:$A$44,$A1172,Premissas!$B$5:$B$44,$B1172)+P1172*SUMIFS(Premissas!$D$5:$D$44,Premissas!$A$5:$A$44,$A1172,Premissas!$B$5:$B$44,$B1172))+R1172*SUMIFS(Premissas!$E$5:$E$44,Premissas!$A$5:$A$44,$A1172,Premissas!$B$5:$B$44,$B1172)+S1172*SUMIFS(Premissas!$F$5:$F$44,Premissas!$A$5:$A$44,$A1172,Premissas!$B$5:$B$44,$B1172)</f>
        <v/>
      </c>
      <c r="L1172" s="29">
        <f>J1172-K1172</f>
        <v/>
      </c>
      <c r="M1172" t="inlineStr">
        <is>
          <t>1.350</t>
        </is>
      </c>
      <c r="N1172" t="inlineStr">
        <is>
          <t>Modalidade: 0 - Por conta do remetente | Parte: ISABELA COMERCIO DE ALIMENTOS LTDA (07.712.197/0001-30)</t>
        </is>
      </c>
      <c r="O1172" s="29" t="n">
        <v>0</v>
      </c>
      <c r="P1172" s="29" t="n">
        <v>0</v>
      </c>
      <c r="Q1172" s="29" t="n">
        <v>0</v>
      </c>
      <c r="R1172" s="29" t="n">
        <v>0</v>
      </c>
      <c r="S1172" s="29" t="n">
        <v>0</v>
      </c>
      <c r="T1172" t="inlineStr">
        <is>
          <t>25250126975620000130570010000035421000000002</t>
        </is>
      </c>
      <c r="U1172" t="inlineStr">
        <is>
          <t>Não</t>
        </is>
      </c>
    </row>
    <row r="1173">
      <c r="A1173" t="inlineStr">
        <is>
          <t>Frete de venda</t>
        </is>
      </c>
      <c r="B1173" t="inlineStr">
        <is>
          <t>2.01.01 Frete Galpão Produto Acabado</t>
        </is>
      </c>
      <c r="C1173" t="inlineStr">
        <is>
          <t>Antes de 2026</t>
        </is>
      </c>
      <c r="D1173" t="inlineStr">
        <is>
          <t>Antes de 2026</t>
        </is>
      </c>
      <c r="E1173" s="28" t="n">
        <v>45675</v>
      </c>
      <c r="F1173" t="inlineStr">
        <is>
          <t>CT-e</t>
        </is>
      </c>
      <c r="G1173" t="inlineStr">
        <is>
          <t>000003543</t>
        </is>
      </c>
      <c r="H1173" t="inlineStr">
        <is>
          <t>R&amp;R TRANSPORTE E LOGISTICA</t>
        </is>
      </c>
      <c r="J1173" s="29" t="n">
        <v>94</v>
      </c>
      <c r="K1173" s="29">
        <f>(1-ISNUMBER(SEARCH("556",M1173)))*(O1173*SUMIFS(Premissas!$C$5:$C$44,Premissas!$A$5:$A$44,$A1173,Premissas!$B$5:$B$44,$B1173)+P1173*SUMIFS(Premissas!$D$5:$D$44,Premissas!$A$5:$A$44,$A1173,Premissas!$B$5:$B$44,$B1173))+R1173*SUMIFS(Premissas!$E$5:$E$44,Premissas!$A$5:$A$44,$A1173,Premissas!$B$5:$B$44,$B1173)+S1173*SUMIFS(Premissas!$F$5:$F$44,Premissas!$A$5:$A$44,$A1173,Premissas!$B$5:$B$44,$B1173)</f>
        <v/>
      </c>
      <c r="L1173" s="29">
        <f>J1173-K1173</f>
        <v/>
      </c>
      <c r="M1173" t="inlineStr">
        <is>
          <t>1.350</t>
        </is>
      </c>
      <c r="N1173" t="inlineStr">
        <is>
          <t>Modalidade: 0 - Por conta do remetente | Parte: DISTRIBUIDORA DE EMBALAGENS CASTROPIL LTDA. (08.961.274/0007-44)</t>
        </is>
      </c>
      <c r="O1173" s="29" t="n">
        <v>0</v>
      </c>
      <c r="P1173" s="29" t="n">
        <v>0</v>
      </c>
      <c r="Q1173" s="29" t="n">
        <v>0</v>
      </c>
      <c r="R1173" s="29" t="n">
        <v>0</v>
      </c>
      <c r="S1173" s="29" t="n">
        <v>0</v>
      </c>
      <c r="T1173" t="inlineStr">
        <is>
          <t>25250126975620000130570010000035431000000000</t>
        </is>
      </c>
      <c r="U1173" t="inlineStr">
        <is>
          <t>Não</t>
        </is>
      </c>
    </row>
    <row r="1174">
      <c r="A1174" t="inlineStr">
        <is>
          <t>Frete de venda</t>
        </is>
      </c>
      <c r="B1174" t="inlineStr">
        <is>
          <t>2.01.01 Frete Galpão Produto Acabado</t>
        </is>
      </c>
      <c r="C1174" t="inlineStr">
        <is>
          <t>Antes de 2026</t>
        </is>
      </c>
      <c r="D1174" t="inlineStr">
        <is>
          <t>Antes de 2026</t>
        </is>
      </c>
      <c r="E1174" s="28" t="n">
        <v>45674</v>
      </c>
      <c r="F1174" t="inlineStr">
        <is>
          <t>CT-e</t>
        </is>
      </c>
      <c r="G1174" t="inlineStr">
        <is>
          <t>000003544</t>
        </is>
      </c>
      <c r="H1174" t="inlineStr">
        <is>
          <t>R&amp;R TRANSPORTE E LOGISTICA</t>
        </is>
      </c>
      <c r="J1174" s="29" t="n">
        <v>75</v>
      </c>
      <c r="K1174" s="29">
        <f>(1-ISNUMBER(SEARCH("556",M1174)))*(O1174*SUMIFS(Premissas!$C$5:$C$44,Premissas!$A$5:$A$44,$A1174,Premissas!$B$5:$B$44,$B1174)+P1174*SUMIFS(Premissas!$D$5:$D$44,Premissas!$A$5:$A$44,$A1174,Premissas!$B$5:$B$44,$B1174))+R1174*SUMIFS(Premissas!$E$5:$E$44,Premissas!$A$5:$A$44,$A1174,Premissas!$B$5:$B$44,$B1174)+S1174*SUMIFS(Premissas!$F$5:$F$44,Premissas!$A$5:$A$44,$A1174,Premissas!$B$5:$B$44,$B1174)</f>
        <v/>
      </c>
      <c r="L1174" s="29">
        <f>J1174-K1174</f>
        <v/>
      </c>
      <c r="M1174" t="inlineStr">
        <is>
          <t>1.350</t>
        </is>
      </c>
      <c r="N1174" t="inlineStr">
        <is>
          <t>Modalidade: 0 - Por conta do remetente | Parte: CALIXTO DA SILVA E CIA LTDA (10.680.919/0001-27)</t>
        </is>
      </c>
      <c r="O1174" s="29" t="n">
        <v>0</v>
      </c>
      <c r="P1174" s="29" t="n">
        <v>0</v>
      </c>
      <c r="Q1174" s="29" t="n">
        <v>0</v>
      </c>
      <c r="R1174" s="29" t="n">
        <v>0</v>
      </c>
      <c r="S1174" s="29" t="n">
        <v>0</v>
      </c>
      <c r="T1174" t="inlineStr">
        <is>
          <t>25250126975620000130570010000035441000000007</t>
        </is>
      </c>
      <c r="U1174" t="inlineStr">
        <is>
          <t>Não</t>
        </is>
      </c>
    </row>
    <row r="1175">
      <c r="A1175" t="inlineStr">
        <is>
          <t>Frete de venda</t>
        </is>
      </c>
      <c r="B1175" t="inlineStr">
        <is>
          <t>2.01.01 Frete Galpão Produto Acabado</t>
        </is>
      </c>
      <c r="C1175" t="inlineStr">
        <is>
          <t>Antes de 2026</t>
        </is>
      </c>
      <c r="D1175" t="inlineStr">
        <is>
          <t>Antes de 2026</t>
        </is>
      </c>
      <c r="E1175" s="28" t="n">
        <v>45678</v>
      </c>
      <c r="F1175" t="inlineStr">
        <is>
          <t>CT-e</t>
        </is>
      </c>
      <c r="G1175" t="inlineStr">
        <is>
          <t>000003557</t>
        </is>
      </c>
      <c r="H1175" t="inlineStr">
        <is>
          <t>R&amp;R TRANSPORTE E LOGISTICA</t>
        </is>
      </c>
      <c r="J1175" s="29" t="n">
        <v>35</v>
      </c>
      <c r="K1175" s="29">
        <f>(1-ISNUMBER(SEARCH("556",M1175)))*(O1175*SUMIFS(Premissas!$C$5:$C$44,Premissas!$A$5:$A$44,$A1175,Premissas!$B$5:$B$44,$B1175)+P1175*SUMIFS(Premissas!$D$5:$D$44,Premissas!$A$5:$A$44,$A1175,Premissas!$B$5:$B$44,$B1175))+R1175*SUMIFS(Premissas!$E$5:$E$44,Premissas!$A$5:$A$44,$A1175,Premissas!$B$5:$B$44,$B1175)+S1175*SUMIFS(Premissas!$F$5:$F$44,Premissas!$A$5:$A$44,$A1175,Premissas!$B$5:$B$44,$B1175)</f>
        <v/>
      </c>
      <c r="L1175" s="29">
        <f>J1175-K1175</f>
        <v/>
      </c>
      <c r="M1175" t="inlineStr">
        <is>
          <t>1.350</t>
        </is>
      </c>
      <c r="N1175" t="inlineStr">
        <is>
          <t>Modalidade: 0 - Por conta do remetente | Parte: R A DOS SANTOS BARBOSA LTDA (02.444.236/0001-42)</t>
        </is>
      </c>
      <c r="O1175" s="29" t="n">
        <v>0</v>
      </c>
      <c r="P1175" s="29" t="n">
        <v>0</v>
      </c>
      <c r="Q1175" s="29" t="n">
        <v>0</v>
      </c>
      <c r="R1175" s="29" t="n">
        <v>0</v>
      </c>
      <c r="S1175" s="29" t="n">
        <v>0</v>
      </c>
      <c r="T1175" t="inlineStr">
        <is>
          <t>25250126975620000130570010000035571000000005</t>
        </is>
      </c>
      <c r="U1175" t="inlineStr">
        <is>
          <t>Não</t>
        </is>
      </c>
    </row>
    <row r="1176">
      <c r="A1176" t="inlineStr">
        <is>
          <t>Frete de venda</t>
        </is>
      </c>
      <c r="B1176" t="inlineStr">
        <is>
          <t>2.01.01 Frete Galpão Produto Acabado</t>
        </is>
      </c>
      <c r="C1176" t="inlineStr">
        <is>
          <t>Antes de 2026</t>
        </is>
      </c>
      <c r="D1176" t="inlineStr">
        <is>
          <t>Antes de 2026</t>
        </is>
      </c>
      <c r="E1176" s="28" t="n">
        <v>45678</v>
      </c>
      <c r="F1176" t="inlineStr">
        <is>
          <t>CT-e</t>
        </is>
      </c>
      <c r="G1176" t="inlineStr">
        <is>
          <t>000003558</t>
        </is>
      </c>
      <c r="H1176" t="inlineStr">
        <is>
          <t>R&amp;R TRANSPORTE E LOGISTICA</t>
        </is>
      </c>
      <c r="J1176" s="29" t="n">
        <v>25</v>
      </c>
      <c r="K1176" s="29">
        <f>(1-ISNUMBER(SEARCH("556",M1176)))*(O1176*SUMIFS(Premissas!$C$5:$C$44,Premissas!$A$5:$A$44,$A1176,Premissas!$B$5:$B$44,$B1176)+P1176*SUMIFS(Premissas!$D$5:$D$44,Premissas!$A$5:$A$44,$A1176,Premissas!$B$5:$B$44,$B1176))+R1176*SUMIFS(Premissas!$E$5:$E$44,Premissas!$A$5:$A$44,$A1176,Premissas!$B$5:$B$44,$B1176)+S1176*SUMIFS(Premissas!$F$5:$F$44,Premissas!$A$5:$A$44,$A1176,Premissas!$B$5:$B$44,$B1176)</f>
        <v/>
      </c>
      <c r="L1176" s="29">
        <f>J1176-K1176</f>
        <v/>
      </c>
      <c r="M1176" t="inlineStr">
        <is>
          <t>1.350</t>
        </is>
      </c>
      <c r="N1176" t="inlineStr">
        <is>
          <t>Modalidade: 0 - Por conta do remetente | Parte: P3 DESCARTAVEIS ATACADO e VAREJO LTDA (12.040.681/0001-09)</t>
        </is>
      </c>
      <c r="O1176" s="29" t="n">
        <v>0</v>
      </c>
      <c r="P1176" s="29" t="n">
        <v>0</v>
      </c>
      <c r="Q1176" s="29" t="n">
        <v>0</v>
      </c>
      <c r="R1176" s="29" t="n">
        <v>0</v>
      </c>
      <c r="S1176" s="29" t="n">
        <v>0</v>
      </c>
      <c r="T1176" t="inlineStr">
        <is>
          <t>25250126975620000130570010000035581000000002</t>
        </is>
      </c>
      <c r="U1176" t="inlineStr">
        <is>
          <t>Não</t>
        </is>
      </c>
    </row>
    <row r="1177">
      <c r="A1177" t="inlineStr">
        <is>
          <t>Frete de venda</t>
        </is>
      </c>
      <c r="B1177" t="inlineStr">
        <is>
          <t>2.01.01 Frete Galpão Produto Acabado</t>
        </is>
      </c>
      <c r="C1177" t="inlineStr">
        <is>
          <t>Antes de 2026</t>
        </is>
      </c>
      <c r="D1177" t="inlineStr">
        <is>
          <t>Antes de 2026</t>
        </is>
      </c>
      <c r="E1177" s="28" t="n">
        <v>45678</v>
      </c>
      <c r="F1177" t="inlineStr">
        <is>
          <t>CT-e</t>
        </is>
      </c>
      <c r="G1177" t="inlineStr">
        <is>
          <t>000003559</t>
        </is>
      </c>
      <c r="H1177" t="inlineStr">
        <is>
          <t>R&amp;R TRANSPORTE E LOGISTICA</t>
        </is>
      </c>
      <c r="J1177" s="29" t="n">
        <v>60</v>
      </c>
      <c r="K1177" s="29">
        <f>(1-ISNUMBER(SEARCH("556",M1177)))*(O1177*SUMIFS(Premissas!$C$5:$C$44,Premissas!$A$5:$A$44,$A1177,Premissas!$B$5:$B$44,$B1177)+P1177*SUMIFS(Premissas!$D$5:$D$44,Premissas!$A$5:$A$44,$A1177,Premissas!$B$5:$B$44,$B1177))+R1177*SUMIFS(Premissas!$E$5:$E$44,Premissas!$A$5:$A$44,$A1177,Premissas!$B$5:$B$44,$B1177)+S1177*SUMIFS(Premissas!$F$5:$F$44,Premissas!$A$5:$A$44,$A1177,Premissas!$B$5:$B$44,$B1177)</f>
        <v/>
      </c>
      <c r="L1177" s="29">
        <f>J1177-K1177</f>
        <v/>
      </c>
      <c r="M1177" t="inlineStr">
        <is>
          <t>1.350</t>
        </is>
      </c>
      <c r="N1177" t="inlineStr">
        <is>
          <t>Modalidade: 0 - Por conta do remetente | Parte: LIDER INDUSTRIA E COMERCIO LTDA (45.762.979/0001-73)</t>
        </is>
      </c>
      <c r="O1177" s="29" t="n">
        <v>0</v>
      </c>
      <c r="P1177" s="29" t="n">
        <v>0</v>
      </c>
      <c r="Q1177" s="29" t="n">
        <v>0</v>
      </c>
      <c r="R1177" s="29" t="n">
        <v>0</v>
      </c>
      <c r="S1177" s="29" t="n">
        <v>0</v>
      </c>
      <c r="T1177" t="inlineStr">
        <is>
          <t>25250126975620000130570010000035591000000000</t>
        </is>
      </c>
      <c r="U1177" t="inlineStr">
        <is>
          <t>Não</t>
        </is>
      </c>
    </row>
    <row r="1178">
      <c r="A1178" t="inlineStr">
        <is>
          <t>Frete de venda</t>
        </is>
      </c>
      <c r="B1178" t="inlineStr">
        <is>
          <t>2.01.01 Frete Galpão Produto Acabado</t>
        </is>
      </c>
      <c r="C1178" t="inlineStr">
        <is>
          <t>Antes de 2026</t>
        </is>
      </c>
      <c r="D1178" t="inlineStr">
        <is>
          <t>Antes de 2026</t>
        </is>
      </c>
      <c r="E1178" s="28" t="n">
        <v>45678</v>
      </c>
      <c r="F1178" t="inlineStr">
        <is>
          <t>CT-e</t>
        </is>
      </c>
      <c r="G1178" t="inlineStr">
        <is>
          <t>000003560</t>
        </is>
      </c>
      <c r="H1178" t="inlineStr">
        <is>
          <t>R&amp;R TRANSPORTE E LOGISTICA</t>
        </is>
      </c>
      <c r="J1178" s="29" t="n">
        <v>40</v>
      </c>
      <c r="K1178" s="29">
        <f>(1-ISNUMBER(SEARCH("556",M1178)))*(O1178*SUMIFS(Premissas!$C$5:$C$44,Premissas!$A$5:$A$44,$A1178,Premissas!$B$5:$B$44,$B1178)+P1178*SUMIFS(Premissas!$D$5:$D$44,Premissas!$A$5:$A$44,$A1178,Premissas!$B$5:$B$44,$B1178))+R1178*SUMIFS(Premissas!$E$5:$E$44,Premissas!$A$5:$A$44,$A1178,Premissas!$B$5:$B$44,$B1178)+S1178*SUMIFS(Premissas!$F$5:$F$44,Premissas!$A$5:$A$44,$A1178,Premissas!$B$5:$B$44,$B1178)</f>
        <v/>
      </c>
      <c r="L1178" s="29">
        <f>J1178-K1178</f>
        <v/>
      </c>
      <c r="M1178" t="inlineStr">
        <is>
          <t>1.350</t>
        </is>
      </c>
      <c r="N1178" t="inlineStr">
        <is>
          <t>Modalidade: 0 - Por conta do remetente | Parte: B A FONTES LTDA (23.108.379/0001-53)</t>
        </is>
      </c>
      <c r="O1178" s="29" t="n">
        <v>0</v>
      </c>
      <c r="P1178" s="29" t="n">
        <v>0</v>
      </c>
      <c r="Q1178" s="29" t="n">
        <v>0</v>
      </c>
      <c r="R1178" s="29" t="n">
        <v>0</v>
      </c>
      <c r="S1178" s="29" t="n">
        <v>0</v>
      </c>
      <c r="T1178" t="inlineStr">
        <is>
          <t>25250126975620000130570010000035601000000000</t>
        </is>
      </c>
      <c r="U1178" t="inlineStr">
        <is>
          <t>Não</t>
        </is>
      </c>
    </row>
    <row r="1179">
      <c r="A1179" t="inlineStr">
        <is>
          <t>Frete de venda</t>
        </is>
      </c>
      <c r="B1179" t="inlineStr">
        <is>
          <t>2.01.01 Frete Galpão Produto Acabado</t>
        </is>
      </c>
      <c r="C1179" t="inlineStr">
        <is>
          <t>Antes de 2026</t>
        </is>
      </c>
      <c r="D1179" t="inlineStr">
        <is>
          <t>Antes de 2026</t>
        </is>
      </c>
      <c r="E1179" s="28" t="n">
        <v>45678</v>
      </c>
      <c r="F1179" t="inlineStr">
        <is>
          <t>CT-e</t>
        </is>
      </c>
      <c r="G1179" t="inlineStr">
        <is>
          <t>000003561</t>
        </is>
      </c>
      <c r="H1179" t="inlineStr">
        <is>
          <t>R&amp;R TRANSPORTE E LOGISTICA</t>
        </is>
      </c>
      <c r="J1179" s="29" t="n">
        <v>28</v>
      </c>
      <c r="K1179" s="29">
        <f>(1-ISNUMBER(SEARCH("556",M1179)))*(O1179*SUMIFS(Premissas!$C$5:$C$44,Premissas!$A$5:$A$44,$A1179,Premissas!$B$5:$B$44,$B1179)+P1179*SUMIFS(Premissas!$D$5:$D$44,Premissas!$A$5:$A$44,$A1179,Premissas!$B$5:$B$44,$B1179))+R1179*SUMIFS(Premissas!$E$5:$E$44,Premissas!$A$5:$A$44,$A1179,Premissas!$B$5:$B$44,$B1179)+S1179*SUMIFS(Premissas!$F$5:$F$44,Premissas!$A$5:$A$44,$A1179,Premissas!$B$5:$B$44,$B1179)</f>
        <v/>
      </c>
      <c r="L1179" s="29">
        <f>J1179-K1179</f>
        <v/>
      </c>
      <c r="M1179" t="inlineStr">
        <is>
          <t>1.350</t>
        </is>
      </c>
      <c r="N1179" t="inlineStr">
        <is>
          <t>Modalidade: 0 - Por conta do remetente | Parte: A SARAIVA DA CRUZ COMERCIAL LTDA (01.342.240/0001-37)</t>
        </is>
      </c>
      <c r="O1179" s="29" t="n">
        <v>0</v>
      </c>
      <c r="P1179" s="29" t="n">
        <v>0</v>
      </c>
      <c r="Q1179" s="29" t="n">
        <v>0</v>
      </c>
      <c r="R1179" s="29" t="n">
        <v>0</v>
      </c>
      <c r="S1179" s="29" t="n">
        <v>0</v>
      </c>
      <c r="T1179" t="inlineStr">
        <is>
          <t>25250126975620000130570010000035611000000008</t>
        </is>
      </c>
      <c r="U1179" t="inlineStr">
        <is>
          <t>Não</t>
        </is>
      </c>
    </row>
    <row r="1180">
      <c r="A1180" t="inlineStr">
        <is>
          <t>Frete de venda</t>
        </is>
      </c>
      <c r="B1180" t="inlineStr">
        <is>
          <t>2.01.01 Frete Galpão Produto Acabado</t>
        </is>
      </c>
      <c r="C1180" t="inlineStr">
        <is>
          <t>Antes de 2026</t>
        </is>
      </c>
      <c r="D1180" t="inlineStr">
        <is>
          <t>Antes de 2026</t>
        </is>
      </c>
      <c r="E1180" s="28" t="n">
        <v>45678</v>
      </c>
      <c r="F1180" t="inlineStr">
        <is>
          <t>CT-e</t>
        </is>
      </c>
      <c r="G1180" t="inlineStr">
        <is>
          <t>000003562</t>
        </is>
      </c>
      <c r="H1180" t="inlineStr">
        <is>
          <t>R&amp;R TRANSPORTE E LOGISTICA</t>
        </is>
      </c>
      <c r="J1180" s="29" t="n">
        <v>41</v>
      </c>
      <c r="K1180" s="29">
        <f>(1-ISNUMBER(SEARCH("556",M1180)))*(O1180*SUMIFS(Premissas!$C$5:$C$44,Premissas!$A$5:$A$44,$A1180,Premissas!$B$5:$B$44,$B1180)+P1180*SUMIFS(Premissas!$D$5:$D$44,Premissas!$A$5:$A$44,$A1180,Premissas!$B$5:$B$44,$B1180))+R1180*SUMIFS(Premissas!$E$5:$E$44,Premissas!$A$5:$A$44,$A1180,Premissas!$B$5:$B$44,$B1180)+S1180*SUMIFS(Premissas!$F$5:$F$44,Premissas!$A$5:$A$44,$A1180,Premissas!$B$5:$B$44,$B1180)</f>
        <v/>
      </c>
      <c r="L1180" s="29">
        <f>J1180-K1180</f>
        <v/>
      </c>
      <c r="M1180" t="inlineStr">
        <is>
          <t>1.350</t>
        </is>
      </c>
      <c r="N1180" t="inlineStr">
        <is>
          <t>Modalidade: 0 - Por conta do remetente | Parte: PORTUGAL COMERCIO DE PRODUTOS DESCARTAVEIS LTDA (83.349.563/0001-17)</t>
        </is>
      </c>
      <c r="O1180" s="29" t="n">
        <v>0</v>
      </c>
      <c r="P1180" s="29" t="n">
        <v>0</v>
      </c>
      <c r="Q1180" s="29" t="n">
        <v>0</v>
      </c>
      <c r="R1180" s="29" t="n">
        <v>0</v>
      </c>
      <c r="S1180" s="29" t="n">
        <v>0</v>
      </c>
      <c r="T1180" t="inlineStr">
        <is>
          <t>25250126975620000130570010000035621000000005</t>
        </is>
      </c>
      <c r="U1180" t="inlineStr">
        <is>
          <t>Não</t>
        </is>
      </c>
    </row>
    <row r="1181">
      <c r="A1181" t="inlineStr">
        <is>
          <t>Frete de venda</t>
        </is>
      </c>
      <c r="B1181" t="inlineStr">
        <is>
          <t>2.01.01 Frete Galpão Produto Acabado</t>
        </is>
      </c>
      <c r="C1181" t="inlineStr">
        <is>
          <t>Antes de 2026</t>
        </is>
      </c>
      <c r="D1181" t="inlineStr">
        <is>
          <t>Antes de 2026</t>
        </is>
      </c>
      <c r="E1181" s="28" t="n">
        <v>45678</v>
      </c>
      <c r="F1181" t="inlineStr">
        <is>
          <t>CT-e</t>
        </is>
      </c>
      <c r="G1181" t="inlineStr">
        <is>
          <t>000003563</t>
        </is>
      </c>
      <c r="H1181" t="inlineStr">
        <is>
          <t>R&amp;R TRANSPORTE E LOGISTICA</t>
        </is>
      </c>
      <c r="J1181" s="29" t="n">
        <v>27</v>
      </c>
      <c r="K1181" s="29">
        <f>(1-ISNUMBER(SEARCH("556",M1181)))*(O1181*SUMIFS(Premissas!$C$5:$C$44,Premissas!$A$5:$A$44,$A1181,Premissas!$B$5:$B$44,$B1181)+P1181*SUMIFS(Premissas!$D$5:$D$44,Premissas!$A$5:$A$44,$A1181,Premissas!$B$5:$B$44,$B1181))+R1181*SUMIFS(Premissas!$E$5:$E$44,Premissas!$A$5:$A$44,$A1181,Premissas!$B$5:$B$44,$B1181)+S1181*SUMIFS(Premissas!$F$5:$F$44,Premissas!$A$5:$A$44,$A1181,Premissas!$B$5:$B$44,$B1181)</f>
        <v/>
      </c>
      <c r="L1181" s="29">
        <f>J1181-K1181</f>
        <v/>
      </c>
      <c r="M1181" t="inlineStr">
        <is>
          <t>1.350</t>
        </is>
      </c>
      <c r="N1181" t="inlineStr">
        <is>
          <t>Modalidade: 0 - Por conta do remetente | Parte: JAMES L H TOME e CIA LTDA (16.965.024/0008-91)</t>
        </is>
      </c>
      <c r="O1181" s="29" t="n">
        <v>0</v>
      </c>
      <c r="P1181" s="29" t="n">
        <v>0</v>
      </c>
      <c r="Q1181" s="29" t="n">
        <v>0</v>
      </c>
      <c r="R1181" s="29" t="n">
        <v>0</v>
      </c>
      <c r="S1181" s="29" t="n">
        <v>0</v>
      </c>
      <c r="T1181" t="inlineStr">
        <is>
          <t>25250126975620000130570010000035631000000002</t>
        </is>
      </c>
      <c r="U1181" t="inlineStr">
        <is>
          <t>Não</t>
        </is>
      </c>
    </row>
    <row r="1182">
      <c r="A1182" t="inlineStr">
        <is>
          <t>Frete de venda</t>
        </is>
      </c>
      <c r="B1182" t="inlineStr">
        <is>
          <t>2.01.01 Frete Galpão Produto Acabado</t>
        </is>
      </c>
      <c r="C1182" t="inlineStr">
        <is>
          <t>Antes de 2026</t>
        </is>
      </c>
      <c r="D1182" t="inlineStr">
        <is>
          <t>Antes de 2026</t>
        </is>
      </c>
      <c r="E1182" s="28" t="n">
        <v>45678</v>
      </c>
      <c r="F1182" t="inlineStr">
        <is>
          <t>CT-e</t>
        </is>
      </c>
      <c r="G1182" t="inlineStr">
        <is>
          <t>000003564</t>
        </is>
      </c>
      <c r="H1182" t="inlineStr">
        <is>
          <t>R&amp;R TRANSPORTE E LOGISTICA</t>
        </is>
      </c>
      <c r="J1182" s="29" t="n">
        <v>30</v>
      </c>
      <c r="K1182" s="29">
        <f>(1-ISNUMBER(SEARCH("556",M1182)))*(O1182*SUMIFS(Premissas!$C$5:$C$44,Premissas!$A$5:$A$44,$A1182,Premissas!$B$5:$B$44,$B1182)+P1182*SUMIFS(Premissas!$D$5:$D$44,Premissas!$A$5:$A$44,$A1182,Premissas!$B$5:$B$44,$B1182))+R1182*SUMIFS(Premissas!$E$5:$E$44,Premissas!$A$5:$A$44,$A1182,Premissas!$B$5:$B$44,$B1182)+S1182*SUMIFS(Premissas!$F$5:$F$44,Premissas!$A$5:$A$44,$A1182,Premissas!$B$5:$B$44,$B1182)</f>
        <v/>
      </c>
      <c r="L1182" s="29">
        <f>J1182-K1182</f>
        <v/>
      </c>
      <c r="M1182" t="inlineStr">
        <is>
          <t>1.350</t>
        </is>
      </c>
      <c r="N1182" t="inlineStr">
        <is>
          <t>Modalidade: 0 - Por conta do remetente | Parte: JAMES L. H. TOME e CIA LTDA (16.965.024/0003-87)</t>
        </is>
      </c>
      <c r="O1182" s="29" t="n">
        <v>0</v>
      </c>
      <c r="P1182" s="29" t="n">
        <v>0</v>
      </c>
      <c r="Q1182" s="29" t="n">
        <v>0</v>
      </c>
      <c r="R1182" s="29" t="n">
        <v>0</v>
      </c>
      <c r="S1182" s="29" t="n">
        <v>0</v>
      </c>
      <c r="T1182" t="inlineStr">
        <is>
          <t>25250126975620000130570010000035641000000000</t>
        </is>
      </c>
      <c r="U1182" t="inlineStr">
        <is>
          <t>Não</t>
        </is>
      </c>
    </row>
    <row r="1183">
      <c r="A1183" t="inlineStr">
        <is>
          <t>Frete de venda</t>
        </is>
      </c>
      <c r="B1183" t="inlineStr">
        <is>
          <t>2.01.01 Frete Galpão Produto Acabado</t>
        </is>
      </c>
      <c r="C1183" t="inlineStr">
        <is>
          <t>Antes de 2026</t>
        </is>
      </c>
      <c r="D1183" t="inlineStr">
        <is>
          <t>Antes de 2026</t>
        </is>
      </c>
      <c r="E1183" s="28" t="n">
        <v>45678</v>
      </c>
      <c r="F1183" t="inlineStr">
        <is>
          <t>CT-e</t>
        </is>
      </c>
      <c r="G1183" t="inlineStr">
        <is>
          <t>000003565</t>
        </is>
      </c>
      <c r="H1183" t="inlineStr">
        <is>
          <t>R&amp;R TRANSPORTE E LOGISTICA</t>
        </is>
      </c>
      <c r="J1183" s="29" t="n">
        <v>34</v>
      </c>
      <c r="K1183" s="29">
        <f>(1-ISNUMBER(SEARCH("556",M1183)))*(O1183*SUMIFS(Premissas!$C$5:$C$44,Premissas!$A$5:$A$44,$A1183,Premissas!$B$5:$B$44,$B1183)+P1183*SUMIFS(Premissas!$D$5:$D$44,Premissas!$A$5:$A$44,$A1183,Premissas!$B$5:$B$44,$B1183))+R1183*SUMIFS(Premissas!$E$5:$E$44,Premissas!$A$5:$A$44,$A1183,Premissas!$B$5:$B$44,$B1183)+S1183*SUMIFS(Premissas!$F$5:$F$44,Premissas!$A$5:$A$44,$A1183,Premissas!$B$5:$B$44,$B1183)</f>
        <v/>
      </c>
      <c r="L1183" s="29">
        <f>J1183-K1183</f>
        <v/>
      </c>
      <c r="M1183" t="inlineStr">
        <is>
          <t>1.350</t>
        </is>
      </c>
      <c r="N1183" t="inlineStr">
        <is>
          <t>Modalidade: 0 - Por conta do remetente | Parte: JAMES L. H. TOME e CIA LTDA (16.965.024/0002-04)</t>
        </is>
      </c>
      <c r="O1183" s="29" t="n">
        <v>0</v>
      </c>
      <c r="P1183" s="29" t="n">
        <v>0</v>
      </c>
      <c r="Q1183" s="29" t="n">
        <v>0</v>
      </c>
      <c r="R1183" s="29" t="n">
        <v>0</v>
      </c>
      <c r="S1183" s="29" t="n">
        <v>0</v>
      </c>
      <c r="T1183" t="inlineStr">
        <is>
          <t>25250126975620000130570010000035651000000007</t>
        </is>
      </c>
      <c r="U1183" t="inlineStr">
        <is>
          <t>Não</t>
        </is>
      </c>
    </row>
    <row r="1184">
      <c r="A1184" t="inlineStr">
        <is>
          <t>Frete de venda</t>
        </is>
      </c>
      <c r="B1184" t="inlineStr">
        <is>
          <t>2.01.01 Frete Galpão Produto Acabado</t>
        </is>
      </c>
      <c r="C1184" t="inlineStr">
        <is>
          <t>Antes de 2026</t>
        </is>
      </c>
      <c r="D1184" t="inlineStr">
        <is>
          <t>Antes de 2026</t>
        </is>
      </c>
      <c r="E1184" s="28" t="n">
        <v>45678</v>
      </c>
      <c r="F1184" t="inlineStr">
        <is>
          <t>CT-e</t>
        </is>
      </c>
      <c r="G1184" t="inlineStr">
        <is>
          <t>000003566</t>
        </is>
      </c>
      <c r="H1184" t="inlineStr">
        <is>
          <t>R&amp;R TRANSPORTE E LOGISTICA</t>
        </is>
      </c>
      <c r="J1184" s="29" t="n">
        <v>33</v>
      </c>
      <c r="K1184" s="29">
        <f>(1-ISNUMBER(SEARCH("556",M1184)))*(O1184*SUMIFS(Premissas!$C$5:$C$44,Premissas!$A$5:$A$44,$A1184,Premissas!$B$5:$B$44,$B1184)+P1184*SUMIFS(Premissas!$D$5:$D$44,Premissas!$A$5:$A$44,$A1184,Premissas!$B$5:$B$44,$B1184))+R1184*SUMIFS(Premissas!$E$5:$E$44,Premissas!$A$5:$A$44,$A1184,Premissas!$B$5:$B$44,$B1184)+S1184*SUMIFS(Premissas!$F$5:$F$44,Premissas!$A$5:$A$44,$A1184,Premissas!$B$5:$B$44,$B1184)</f>
        <v/>
      </c>
      <c r="L1184" s="29">
        <f>J1184-K1184</f>
        <v/>
      </c>
      <c r="M1184" t="inlineStr">
        <is>
          <t>1.350</t>
        </is>
      </c>
      <c r="N1184" t="inlineStr">
        <is>
          <t>Modalidade: 0 - Por conta do remetente | Parte: JAMES L. H. TOME e CIA LTDA (16.965.024/0001-15)</t>
        </is>
      </c>
      <c r="O1184" s="29" t="n">
        <v>0</v>
      </c>
      <c r="P1184" s="29" t="n">
        <v>0</v>
      </c>
      <c r="Q1184" s="29" t="n">
        <v>0</v>
      </c>
      <c r="R1184" s="29" t="n">
        <v>0</v>
      </c>
      <c r="S1184" s="29" t="n">
        <v>0</v>
      </c>
      <c r="T1184" t="inlineStr">
        <is>
          <t>25250126975620000130570010000035661000000004</t>
        </is>
      </c>
      <c r="U1184" t="inlineStr">
        <is>
          <t>Não</t>
        </is>
      </c>
    </row>
    <row r="1185">
      <c r="A1185" t="inlineStr">
        <is>
          <t>Frete de venda</t>
        </is>
      </c>
      <c r="B1185" t="inlineStr">
        <is>
          <t>2.01.01 Frete Galpão Produto Acabado</t>
        </is>
      </c>
      <c r="C1185" t="inlineStr">
        <is>
          <t>Antes de 2026</t>
        </is>
      </c>
      <c r="D1185" t="inlineStr">
        <is>
          <t>Antes de 2026</t>
        </is>
      </c>
      <c r="E1185" s="28" t="n">
        <v>45678</v>
      </c>
      <c r="F1185" t="inlineStr">
        <is>
          <t>CT-e</t>
        </is>
      </c>
      <c r="G1185" t="inlineStr">
        <is>
          <t>000003567</t>
        </is>
      </c>
      <c r="H1185" t="inlineStr">
        <is>
          <t>R&amp;R TRANSPORTE E LOGISTICA</t>
        </is>
      </c>
      <c r="J1185" s="29" t="n">
        <v>88</v>
      </c>
      <c r="K1185" s="29">
        <f>(1-ISNUMBER(SEARCH("556",M1185)))*(O1185*SUMIFS(Premissas!$C$5:$C$44,Premissas!$A$5:$A$44,$A1185,Premissas!$B$5:$B$44,$B1185)+P1185*SUMIFS(Premissas!$D$5:$D$44,Premissas!$A$5:$A$44,$A1185,Premissas!$B$5:$B$44,$B1185))+R1185*SUMIFS(Premissas!$E$5:$E$44,Premissas!$A$5:$A$44,$A1185,Premissas!$B$5:$B$44,$B1185)+S1185*SUMIFS(Premissas!$F$5:$F$44,Premissas!$A$5:$A$44,$A1185,Premissas!$B$5:$B$44,$B1185)</f>
        <v/>
      </c>
      <c r="L1185" s="29">
        <f>J1185-K1185</f>
        <v/>
      </c>
      <c r="M1185" t="inlineStr">
        <is>
          <t>1.350</t>
        </is>
      </c>
      <c r="N1185" t="inlineStr">
        <is>
          <t>Modalidade: 0 - Por conta do remetente | Parte: R ALBUQUERQUE COMERCIO DE ARTIGOS DE ARMARINHO LTDA (57.701.763/0001-87)</t>
        </is>
      </c>
      <c r="O1185" s="29" t="n">
        <v>0</v>
      </c>
      <c r="P1185" s="29" t="n">
        <v>0</v>
      </c>
      <c r="Q1185" s="29" t="n">
        <v>0</v>
      </c>
      <c r="R1185" s="29" t="n">
        <v>0</v>
      </c>
      <c r="S1185" s="29" t="n">
        <v>0</v>
      </c>
      <c r="T1185" t="inlineStr">
        <is>
          <t>25250126975620000130570010000035671000000001</t>
        </is>
      </c>
      <c r="U1185" t="inlineStr">
        <is>
          <t>Não</t>
        </is>
      </c>
    </row>
    <row r="1186">
      <c r="A1186" t="inlineStr">
        <is>
          <t>Frete de venda</t>
        </is>
      </c>
      <c r="B1186" t="inlineStr">
        <is>
          <t>2.01.01 Frete Galpão Produto Acabado</t>
        </is>
      </c>
      <c r="C1186" t="inlineStr">
        <is>
          <t>Antes de 2026</t>
        </is>
      </c>
      <c r="D1186" t="inlineStr">
        <is>
          <t>Antes de 2026</t>
        </is>
      </c>
      <c r="E1186" s="28" t="n">
        <v>45678</v>
      </c>
      <c r="F1186" t="inlineStr">
        <is>
          <t>CT-e</t>
        </is>
      </c>
      <c r="G1186" t="inlineStr">
        <is>
          <t>000003568</t>
        </is>
      </c>
      <c r="H1186" t="inlineStr">
        <is>
          <t>R&amp;R TRANSPORTE E LOGISTICA</t>
        </is>
      </c>
      <c r="J1186" s="29" t="n">
        <v>66</v>
      </c>
      <c r="K1186" s="29">
        <f>(1-ISNUMBER(SEARCH("556",M1186)))*(O1186*SUMIFS(Premissas!$C$5:$C$44,Premissas!$A$5:$A$44,$A1186,Premissas!$B$5:$B$44,$B1186)+P1186*SUMIFS(Premissas!$D$5:$D$44,Premissas!$A$5:$A$44,$A1186,Premissas!$B$5:$B$44,$B1186))+R1186*SUMIFS(Premissas!$E$5:$E$44,Premissas!$A$5:$A$44,$A1186,Premissas!$B$5:$B$44,$B1186)+S1186*SUMIFS(Premissas!$F$5:$F$44,Premissas!$A$5:$A$44,$A1186,Premissas!$B$5:$B$44,$B1186)</f>
        <v/>
      </c>
      <c r="L1186" s="29">
        <f>J1186-K1186</f>
        <v/>
      </c>
      <c r="M1186" t="inlineStr">
        <is>
          <t>1.350</t>
        </is>
      </c>
      <c r="N1186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86" s="29" t="n">
        <v>0</v>
      </c>
      <c r="P1186" s="29" t="n">
        <v>0</v>
      </c>
      <c r="Q1186" s="29" t="n">
        <v>0</v>
      </c>
      <c r="R1186" s="29" t="n">
        <v>0</v>
      </c>
      <c r="S1186" s="29" t="n">
        <v>0</v>
      </c>
      <c r="T1186" t="inlineStr">
        <is>
          <t>25250126975620000130570010000035681000000009</t>
        </is>
      </c>
      <c r="U1186" t="inlineStr">
        <is>
          <t>Não</t>
        </is>
      </c>
    </row>
    <row r="1187">
      <c r="A1187" t="inlineStr">
        <is>
          <t>Frete de venda</t>
        </is>
      </c>
      <c r="B1187" t="inlineStr">
        <is>
          <t>2.01.01 Frete Galpão Produto Acabado</t>
        </is>
      </c>
      <c r="C1187" t="inlineStr">
        <is>
          <t>Antes de 2026</t>
        </is>
      </c>
      <c r="D1187" t="inlineStr">
        <is>
          <t>Antes de 2026</t>
        </is>
      </c>
      <c r="E1187" s="28" t="n">
        <v>45680</v>
      </c>
      <c r="F1187" t="inlineStr">
        <is>
          <t>CT-e</t>
        </is>
      </c>
      <c r="G1187" t="inlineStr">
        <is>
          <t>000003571</t>
        </is>
      </c>
      <c r="H1187" t="inlineStr">
        <is>
          <t>R&amp;R TRANSPORTE E LOGISTICA</t>
        </is>
      </c>
      <c r="J1187" s="29" t="n">
        <v>97</v>
      </c>
      <c r="K1187" s="29">
        <f>(1-ISNUMBER(SEARCH("556",M1187)))*(O1187*SUMIFS(Premissas!$C$5:$C$44,Premissas!$A$5:$A$44,$A1187,Premissas!$B$5:$B$44,$B1187)+P1187*SUMIFS(Premissas!$D$5:$D$44,Premissas!$A$5:$A$44,$A1187,Premissas!$B$5:$B$44,$B1187))+R1187*SUMIFS(Premissas!$E$5:$E$44,Premissas!$A$5:$A$44,$A1187,Premissas!$B$5:$B$44,$B1187)+S1187*SUMIFS(Premissas!$F$5:$F$44,Premissas!$A$5:$A$44,$A1187,Premissas!$B$5:$B$44,$B1187)</f>
        <v/>
      </c>
      <c r="L1187" s="29">
        <f>J1187-K1187</f>
        <v/>
      </c>
      <c r="M1187" t="inlineStr">
        <is>
          <t>1.350</t>
        </is>
      </c>
      <c r="N1187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187" s="29" t="n">
        <v>0</v>
      </c>
      <c r="P1187" s="29" t="n">
        <v>0</v>
      </c>
      <c r="Q1187" s="29" t="n">
        <v>0</v>
      </c>
      <c r="R1187" s="29" t="n">
        <v>0</v>
      </c>
      <c r="S1187" s="29" t="n">
        <v>0</v>
      </c>
      <c r="T1187" t="inlineStr">
        <is>
          <t>25250126975620000130570010000035711000000004</t>
        </is>
      </c>
      <c r="U1187" t="inlineStr">
        <is>
          <t>Não</t>
        </is>
      </c>
    </row>
    <row r="1188">
      <c r="A1188" t="inlineStr">
        <is>
          <t>Frete de venda</t>
        </is>
      </c>
      <c r="B1188" t="inlineStr">
        <is>
          <t>2.01.01 Frete Galpão Produto Acabado</t>
        </is>
      </c>
      <c r="C1188" t="inlineStr">
        <is>
          <t>Antes de 2026</t>
        </is>
      </c>
      <c r="D1188" t="inlineStr">
        <is>
          <t>Antes de 2026</t>
        </is>
      </c>
      <c r="E1188" s="28" t="n">
        <v>45680</v>
      </c>
      <c r="F1188" t="inlineStr">
        <is>
          <t>CT-e</t>
        </is>
      </c>
      <c r="G1188" t="inlineStr">
        <is>
          <t>000003572</t>
        </is>
      </c>
      <c r="H1188" t="inlineStr">
        <is>
          <t>R&amp;R TRANSPORTE E LOGISTICA</t>
        </is>
      </c>
      <c r="J1188" s="29" t="n">
        <v>110</v>
      </c>
      <c r="K1188" s="29">
        <f>(1-ISNUMBER(SEARCH("556",M1188)))*(O1188*SUMIFS(Premissas!$C$5:$C$44,Premissas!$A$5:$A$44,$A1188,Premissas!$B$5:$B$44,$B1188)+P1188*SUMIFS(Premissas!$D$5:$D$44,Premissas!$A$5:$A$44,$A1188,Premissas!$B$5:$B$44,$B1188))+R1188*SUMIFS(Premissas!$E$5:$E$44,Premissas!$A$5:$A$44,$A1188,Premissas!$B$5:$B$44,$B1188)+S1188*SUMIFS(Premissas!$F$5:$F$44,Premissas!$A$5:$A$44,$A1188,Premissas!$B$5:$B$44,$B1188)</f>
        <v/>
      </c>
      <c r="L1188" s="29">
        <f>J1188-K1188</f>
        <v/>
      </c>
      <c r="M1188" t="inlineStr">
        <is>
          <t>1.350</t>
        </is>
      </c>
      <c r="N1188" t="inlineStr">
        <is>
          <t>Modalidade: 0 - Por conta do remetente | Parte: DESTAK EMBALAGEM EIRELI (30.820.528/0001-78)</t>
        </is>
      </c>
      <c r="O1188" s="29" t="n">
        <v>0</v>
      </c>
      <c r="P1188" s="29" t="n">
        <v>0</v>
      </c>
      <c r="Q1188" s="29" t="n">
        <v>0</v>
      </c>
      <c r="R1188" s="29" t="n">
        <v>0</v>
      </c>
      <c r="S1188" s="29" t="n">
        <v>0</v>
      </c>
      <c r="T1188" t="inlineStr">
        <is>
          <t>25250126975620000130570010000035721000000001</t>
        </is>
      </c>
      <c r="U1188" t="inlineStr">
        <is>
          <t>Não</t>
        </is>
      </c>
    </row>
    <row r="1189">
      <c r="A1189" t="inlineStr">
        <is>
          <t>Frete de venda</t>
        </is>
      </c>
      <c r="B1189" t="inlineStr">
        <is>
          <t>2.01.01 Frete Galpão Produto Acabado</t>
        </is>
      </c>
      <c r="C1189" t="inlineStr">
        <is>
          <t>Antes de 2026</t>
        </is>
      </c>
      <c r="D1189" t="inlineStr">
        <is>
          <t>Antes de 2026</t>
        </is>
      </c>
      <c r="E1189" s="28" t="n">
        <v>45680</v>
      </c>
      <c r="F1189" t="inlineStr">
        <is>
          <t>CT-e</t>
        </is>
      </c>
      <c r="G1189" t="inlineStr">
        <is>
          <t>000003574</t>
        </is>
      </c>
      <c r="H1189" t="inlineStr">
        <is>
          <t>R&amp;R TRANSPORTE E LOGISTICA</t>
        </is>
      </c>
      <c r="J1189" s="29" t="n">
        <v>300</v>
      </c>
      <c r="K1189" s="29">
        <f>(1-ISNUMBER(SEARCH("556",M1189)))*(O1189*SUMIFS(Premissas!$C$5:$C$44,Premissas!$A$5:$A$44,$A1189,Premissas!$B$5:$B$44,$B1189)+P1189*SUMIFS(Premissas!$D$5:$D$44,Premissas!$A$5:$A$44,$A1189,Premissas!$B$5:$B$44,$B1189))+R1189*SUMIFS(Premissas!$E$5:$E$44,Premissas!$A$5:$A$44,$A1189,Premissas!$B$5:$B$44,$B1189)+S1189*SUMIFS(Premissas!$F$5:$F$44,Premissas!$A$5:$A$44,$A1189,Premissas!$B$5:$B$44,$B1189)</f>
        <v/>
      </c>
      <c r="L1189" s="29">
        <f>J1189-K1189</f>
        <v/>
      </c>
      <c r="M1189" t="inlineStr">
        <is>
          <t>1.350</t>
        </is>
      </c>
      <c r="N1189" t="inlineStr">
        <is>
          <t>Modalidade: 0 - Por conta do remetente | Parte: CAEL DISTRIBUIDORA DE PRODUTOS DE HIGIENE E LIMPEZA LTDA (15.129.402/0001-68)</t>
        </is>
      </c>
      <c r="O1189" s="29" t="n">
        <v>0</v>
      </c>
      <c r="P1189" s="29" t="n">
        <v>0</v>
      </c>
      <c r="Q1189" s="29" t="n">
        <v>0</v>
      </c>
      <c r="R1189" s="29" t="n">
        <v>0</v>
      </c>
      <c r="S1189" s="29" t="n">
        <v>0</v>
      </c>
      <c r="T1189" t="inlineStr">
        <is>
          <t>25250126975620000130570010000035741000000006</t>
        </is>
      </c>
      <c r="U1189" t="inlineStr">
        <is>
          <t>Não</t>
        </is>
      </c>
    </row>
    <row r="1190">
      <c r="A1190" t="inlineStr">
        <is>
          <t>Frete de venda</t>
        </is>
      </c>
      <c r="B1190" t="inlineStr">
        <is>
          <t>2.01.01 Frete Galpão Produto Acabado</t>
        </is>
      </c>
      <c r="C1190" t="inlineStr">
        <is>
          <t>Antes de 2026</t>
        </is>
      </c>
      <c r="D1190" t="inlineStr">
        <is>
          <t>Antes de 2026</t>
        </is>
      </c>
      <c r="E1190" s="28" t="n">
        <v>45680</v>
      </c>
      <c r="F1190" t="inlineStr">
        <is>
          <t>CT-e</t>
        </is>
      </c>
      <c r="G1190" t="inlineStr">
        <is>
          <t>000003575</t>
        </is>
      </c>
      <c r="H1190" t="inlineStr">
        <is>
          <t>R&amp;R TRANSPORTE E LOGISTICA</t>
        </is>
      </c>
      <c r="J1190" s="29" t="n">
        <v>300</v>
      </c>
      <c r="K1190" s="29">
        <f>(1-ISNUMBER(SEARCH("556",M1190)))*(O1190*SUMIFS(Premissas!$C$5:$C$44,Premissas!$A$5:$A$44,$A1190,Premissas!$B$5:$B$44,$B1190)+P1190*SUMIFS(Premissas!$D$5:$D$44,Premissas!$A$5:$A$44,$A1190,Premissas!$B$5:$B$44,$B1190))+R1190*SUMIFS(Premissas!$E$5:$E$44,Premissas!$A$5:$A$44,$A1190,Premissas!$B$5:$B$44,$B1190)+S1190*SUMIFS(Premissas!$F$5:$F$44,Premissas!$A$5:$A$44,$A1190,Premissas!$B$5:$B$44,$B1190)</f>
        <v/>
      </c>
      <c r="L1190" s="29">
        <f>J1190-K1190</f>
        <v/>
      </c>
      <c r="M1190" t="inlineStr">
        <is>
          <t>1.350</t>
        </is>
      </c>
      <c r="N1190" t="inlineStr">
        <is>
          <t>Modalidade: 0 - Por conta do remetente | Parte: LJ COSTA REGO ARTIGOS PARA FESTA LTDA (10.788.933/0001-49)</t>
        </is>
      </c>
      <c r="O1190" s="29" t="n">
        <v>0</v>
      </c>
      <c r="P1190" s="29" t="n">
        <v>0</v>
      </c>
      <c r="Q1190" s="29" t="n">
        <v>0</v>
      </c>
      <c r="R1190" s="29" t="n">
        <v>0</v>
      </c>
      <c r="S1190" s="29" t="n">
        <v>0</v>
      </c>
      <c r="T1190" t="inlineStr">
        <is>
          <t>25250126975620000130570010000035751000000003</t>
        </is>
      </c>
      <c r="U1190" t="inlineStr">
        <is>
          <t>Não</t>
        </is>
      </c>
    </row>
    <row r="1191">
      <c r="A1191" t="inlineStr">
        <is>
          <t>Frete de venda</t>
        </is>
      </c>
      <c r="B1191" t="inlineStr">
        <is>
          <t>2.01.01 Frete Galpão Produto Acabado</t>
        </is>
      </c>
      <c r="C1191" t="inlineStr">
        <is>
          <t>Antes de 2026</t>
        </is>
      </c>
      <c r="D1191" t="inlineStr">
        <is>
          <t>Antes de 2026</t>
        </is>
      </c>
      <c r="E1191" s="28" t="n">
        <v>45680</v>
      </c>
      <c r="F1191" t="inlineStr">
        <is>
          <t>CT-e</t>
        </is>
      </c>
      <c r="G1191" t="inlineStr">
        <is>
          <t>000003576</t>
        </is>
      </c>
      <c r="H1191" t="inlineStr">
        <is>
          <t>R&amp;R TRANSPORTE E LOGISTICA</t>
        </is>
      </c>
      <c r="J1191" s="29" t="n">
        <v>300</v>
      </c>
      <c r="K1191" s="29">
        <f>(1-ISNUMBER(SEARCH("556",M1191)))*(O1191*SUMIFS(Premissas!$C$5:$C$44,Premissas!$A$5:$A$44,$A1191,Premissas!$B$5:$B$44,$B1191)+P1191*SUMIFS(Premissas!$D$5:$D$44,Premissas!$A$5:$A$44,$A1191,Premissas!$B$5:$B$44,$B1191))+R1191*SUMIFS(Premissas!$E$5:$E$44,Premissas!$A$5:$A$44,$A1191,Premissas!$B$5:$B$44,$B1191)+S1191*SUMIFS(Premissas!$F$5:$F$44,Premissas!$A$5:$A$44,$A1191,Premissas!$B$5:$B$44,$B1191)</f>
        <v/>
      </c>
      <c r="L1191" s="29">
        <f>J1191-K1191</f>
        <v/>
      </c>
      <c r="M1191" t="inlineStr">
        <is>
          <t>1.350</t>
        </is>
      </c>
      <c r="N1191" t="inlineStr">
        <is>
          <t>Modalidade: 0 - Por conta do remetente | Parte: COMERCIAL PROLAC LTDA. (07.182.763/0001-40)</t>
        </is>
      </c>
      <c r="O1191" s="29" t="n">
        <v>0</v>
      </c>
      <c r="P1191" s="29" t="n">
        <v>0</v>
      </c>
      <c r="Q1191" s="29" t="n">
        <v>0</v>
      </c>
      <c r="R1191" s="29" t="n">
        <v>0</v>
      </c>
      <c r="S1191" s="29" t="n">
        <v>0</v>
      </c>
      <c r="T1191" t="inlineStr">
        <is>
          <t>25250126975620000130570010000035761000000000</t>
        </is>
      </c>
      <c r="U1191" t="inlineStr">
        <is>
          <t>Não</t>
        </is>
      </c>
    </row>
    <row r="1192">
      <c r="A1192" t="inlineStr">
        <is>
          <t>Frete de venda</t>
        </is>
      </c>
      <c r="B1192" t="inlineStr">
        <is>
          <t>2.01.01 Frete Galpão Produto Acabado</t>
        </is>
      </c>
      <c r="C1192" t="inlineStr">
        <is>
          <t>Antes de 2026</t>
        </is>
      </c>
      <c r="D1192" t="inlineStr">
        <is>
          <t>Antes de 2026</t>
        </is>
      </c>
      <c r="E1192" s="28" t="n">
        <v>45680</v>
      </c>
      <c r="F1192" t="inlineStr">
        <is>
          <t>CT-e</t>
        </is>
      </c>
      <c r="G1192" t="inlineStr">
        <is>
          <t>000003577</t>
        </is>
      </c>
      <c r="H1192" t="inlineStr">
        <is>
          <t>R&amp;R TRANSPORTE E LOGISTICA</t>
        </is>
      </c>
      <c r="J1192" s="29" t="n">
        <v>300</v>
      </c>
      <c r="K1192" s="29">
        <f>(1-ISNUMBER(SEARCH("556",M1192)))*(O1192*SUMIFS(Premissas!$C$5:$C$44,Premissas!$A$5:$A$44,$A1192,Premissas!$B$5:$B$44,$B1192)+P1192*SUMIFS(Premissas!$D$5:$D$44,Premissas!$A$5:$A$44,$A1192,Premissas!$B$5:$B$44,$B1192))+R1192*SUMIFS(Premissas!$E$5:$E$44,Premissas!$A$5:$A$44,$A1192,Premissas!$B$5:$B$44,$B1192)+S1192*SUMIFS(Premissas!$F$5:$F$44,Premissas!$A$5:$A$44,$A1192,Premissas!$B$5:$B$44,$B1192)</f>
        <v/>
      </c>
      <c r="L1192" s="29">
        <f>J1192-K1192</f>
        <v/>
      </c>
      <c r="M1192" t="inlineStr">
        <is>
          <t>1.350</t>
        </is>
      </c>
      <c r="N1192" t="inlineStr">
        <is>
          <t>Modalidade: 0 - Por conta do remetente | Parte: MACROPAC PROTECAO E EMBALAGEM LTDA (11.840.014/0001-30)</t>
        </is>
      </c>
      <c r="O1192" s="29" t="n">
        <v>0</v>
      </c>
      <c r="P1192" s="29" t="n">
        <v>0</v>
      </c>
      <c r="Q1192" s="29" t="n">
        <v>0</v>
      </c>
      <c r="R1192" s="29" t="n">
        <v>0</v>
      </c>
      <c r="S1192" s="29" t="n">
        <v>0</v>
      </c>
      <c r="T1192" t="inlineStr">
        <is>
          <t>25250126975620000130570010000035771000000008</t>
        </is>
      </c>
      <c r="U1192" t="inlineStr">
        <is>
          <t>Não</t>
        </is>
      </c>
    </row>
    <row r="1193">
      <c r="A1193" t="inlineStr">
        <is>
          <t>Frete de venda</t>
        </is>
      </c>
      <c r="B1193" t="inlineStr">
        <is>
          <t>2.01.01 Frete Galpão Produto Acabado</t>
        </is>
      </c>
      <c r="C1193" t="inlineStr">
        <is>
          <t>Antes de 2026</t>
        </is>
      </c>
      <c r="D1193" t="inlineStr">
        <is>
          <t>Antes de 2026</t>
        </is>
      </c>
      <c r="E1193" s="28" t="n">
        <v>45685</v>
      </c>
      <c r="F1193" t="inlineStr">
        <is>
          <t>CT-e</t>
        </is>
      </c>
      <c r="G1193" t="inlineStr">
        <is>
          <t>000003587</t>
        </is>
      </c>
      <c r="H1193" t="inlineStr">
        <is>
          <t>R&amp;R TRANSPORTE E LOGISTICA</t>
        </is>
      </c>
      <c r="J1193" s="29" t="n">
        <v>444.37</v>
      </c>
      <c r="K1193" s="29">
        <f>(1-ISNUMBER(SEARCH("556",M1193)))*(O1193*SUMIFS(Premissas!$C$5:$C$44,Premissas!$A$5:$A$44,$A1193,Premissas!$B$5:$B$44,$B1193)+P1193*SUMIFS(Premissas!$D$5:$D$44,Premissas!$A$5:$A$44,$A1193,Premissas!$B$5:$B$44,$B1193))+R1193*SUMIFS(Premissas!$E$5:$E$44,Premissas!$A$5:$A$44,$A1193,Premissas!$B$5:$B$44,$B1193)+S1193*SUMIFS(Premissas!$F$5:$F$44,Premissas!$A$5:$A$44,$A1193,Premissas!$B$5:$B$44,$B1193)</f>
        <v/>
      </c>
      <c r="L1193" s="29">
        <f>J1193-K1193</f>
        <v/>
      </c>
      <c r="M1193" t="inlineStr">
        <is>
          <t>1.350</t>
        </is>
      </c>
      <c r="N1193" t="inlineStr">
        <is>
          <t>Modalidade: 0 - Por conta do remetente | Parte: VINCO DISTRIBUIDORA DE EMBALAGENS LTDA (55.333.385/0001-09)</t>
        </is>
      </c>
      <c r="O1193" s="29" t="n">
        <v>0</v>
      </c>
      <c r="P1193" s="29" t="n">
        <v>0</v>
      </c>
      <c r="Q1193" s="29" t="n">
        <v>0</v>
      </c>
      <c r="R1193" s="29" t="n">
        <v>0</v>
      </c>
      <c r="S1193" s="29" t="n">
        <v>0</v>
      </c>
      <c r="T1193" t="inlineStr">
        <is>
          <t>25250126975620000130570010000035871000000004</t>
        </is>
      </c>
      <c r="U1193" t="inlineStr">
        <is>
          <t>Não</t>
        </is>
      </c>
    </row>
    <row r="1194">
      <c r="A1194" t="inlineStr">
        <is>
          <t>Frete de venda</t>
        </is>
      </c>
      <c r="B1194" t="inlineStr">
        <is>
          <t>2.01.01 Frete Galpão Produto Acabado</t>
        </is>
      </c>
      <c r="C1194" t="inlineStr">
        <is>
          <t>Antes de 2026</t>
        </is>
      </c>
      <c r="D1194" t="inlineStr">
        <is>
          <t>Antes de 2026</t>
        </is>
      </c>
      <c r="E1194" s="28" t="n">
        <v>45685</v>
      </c>
      <c r="F1194" t="inlineStr">
        <is>
          <t>CT-e</t>
        </is>
      </c>
      <c r="G1194" t="inlineStr">
        <is>
          <t>000003588</t>
        </is>
      </c>
      <c r="H1194" t="inlineStr">
        <is>
          <t>R&amp;R TRANSPORTE E LOGISTICA</t>
        </is>
      </c>
      <c r="J1194" s="29" t="n">
        <v>42.8</v>
      </c>
      <c r="K1194" s="29">
        <f>(1-ISNUMBER(SEARCH("556",M1194)))*(O1194*SUMIFS(Premissas!$C$5:$C$44,Premissas!$A$5:$A$44,$A1194,Premissas!$B$5:$B$44,$B1194)+P1194*SUMIFS(Premissas!$D$5:$D$44,Premissas!$A$5:$A$44,$A1194,Premissas!$B$5:$B$44,$B1194))+R1194*SUMIFS(Premissas!$E$5:$E$44,Premissas!$A$5:$A$44,$A1194,Premissas!$B$5:$B$44,$B1194)+S1194*SUMIFS(Premissas!$F$5:$F$44,Premissas!$A$5:$A$44,$A1194,Premissas!$B$5:$B$44,$B1194)</f>
        <v/>
      </c>
      <c r="L1194" s="29">
        <f>J1194-K1194</f>
        <v/>
      </c>
      <c r="M1194" t="inlineStr">
        <is>
          <t>1.350</t>
        </is>
      </c>
      <c r="N1194" t="inlineStr">
        <is>
          <t>Modalidade: 0 - Por conta do remetente | Parte: GALLA DESCARTAVEIS LTDA (08.020.416/0001-83)</t>
        </is>
      </c>
      <c r="O1194" s="29" t="n">
        <v>0</v>
      </c>
      <c r="P1194" s="29" t="n">
        <v>0</v>
      </c>
      <c r="Q1194" s="29" t="n">
        <v>0</v>
      </c>
      <c r="R1194" s="29" t="n">
        <v>0</v>
      </c>
      <c r="S1194" s="29" t="n">
        <v>0</v>
      </c>
      <c r="T1194" t="inlineStr">
        <is>
          <t>25250126975620000130570010000035881000000001</t>
        </is>
      </c>
      <c r="U1194" t="inlineStr">
        <is>
          <t>Não</t>
        </is>
      </c>
    </row>
    <row r="1195">
      <c r="A1195" t="inlineStr">
        <is>
          <t>Frete de venda</t>
        </is>
      </c>
      <c r="B1195" t="inlineStr">
        <is>
          <t>2.01.01 Frete Galpão Produto Acabado</t>
        </is>
      </c>
      <c r="C1195" t="inlineStr">
        <is>
          <t>Antes de 2026</t>
        </is>
      </c>
      <c r="D1195" t="inlineStr">
        <is>
          <t>Antes de 2026</t>
        </is>
      </c>
      <c r="E1195" s="28" t="n">
        <v>45685</v>
      </c>
      <c r="F1195" t="inlineStr">
        <is>
          <t>CT-e</t>
        </is>
      </c>
      <c r="G1195" t="inlineStr">
        <is>
          <t>000003589</t>
        </is>
      </c>
      <c r="H1195" t="inlineStr">
        <is>
          <t>R&amp;R TRANSPORTE E LOGISTICA</t>
        </is>
      </c>
      <c r="J1195" s="29" t="n">
        <v>34.92</v>
      </c>
      <c r="K1195" s="29">
        <f>(1-ISNUMBER(SEARCH("556",M1195)))*(O1195*SUMIFS(Premissas!$C$5:$C$44,Premissas!$A$5:$A$44,$A1195,Premissas!$B$5:$B$44,$B1195)+P1195*SUMIFS(Premissas!$D$5:$D$44,Premissas!$A$5:$A$44,$A1195,Premissas!$B$5:$B$44,$B1195))+R1195*SUMIFS(Premissas!$E$5:$E$44,Premissas!$A$5:$A$44,$A1195,Premissas!$B$5:$B$44,$B1195)+S1195*SUMIFS(Premissas!$F$5:$F$44,Premissas!$A$5:$A$44,$A1195,Premissas!$B$5:$B$44,$B1195)</f>
        <v/>
      </c>
      <c r="L1195" s="29">
        <f>J1195-K1195</f>
        <v/>
      </c>
      <c r="M1195" t="inlineStr">
        <is>
          <t>1.350</t>
        </is>
      </c>
      <c r="N1195" t="inlineStr">
        <is>
          <t>Modalidade: 0 - Por conta do remetente | Parte: DE AMORIM ALIMENTOS LTDA (02.519.769/0001-46)</t>
        </is>
      </c>
      <c r="O1195" s="29" t="n">
        <v>0</v>
      </c>
      <c r="P1195" s="29" t="n">
        <v>0</v>
      </c>
      <c r="Q1195" s="29" t="n">
        <v>0</v>
      </c>
      <c r="R1195" s="29" t="n">
        <v>0</v>
      </c>
      <c r="S1195" s="29" t="n">
        <v>0</v>
      </c>
      <c r="T1195" t="inlineStr">
        <is>
          <t>25250126975620000130570010000035891000000009</t>
        </is>
      </c>
      <c r="U1195" t="inlineStr">
        <is>
          <t>Não</t>
        </is>
      </c>
    </row>
    <row r="1196">
      <c r="A1196" t="inlineStr">
        <is>
          <t>Frete de venda</t>
        </is>
      </c>
      <c r="B1196" t="inlineStr">
        <is>
          <t>2.01.01 Frete Galpão Produto Acabado</t>
        </is>
      </c>
      <c r="C1196" t="inlineStr">
        <is>
          <t>Antes de 2026</t>
        </is>
      </c>
      <c r="D1196" t="inlineStr">
        <is>
          <t>Antes de 2026</t>
        </is>
      </c>
      <c r="E1196" s="28" t="n">
        <v>45685</v>
      </c>
      <c r="F1196" t="inlineStr">
        <is>
          <t>CT-e</t>
        </is>
      </c>
      <c r="G1196" t="inlineStr">
        <is>
          <t>000003590</t>
        </is>
      </c>
      <c r="H1196" t="inlineStr">
        <is>
          <t>R&amp;R TRANSPORTE E LOGISTICA</t>
        </is>
      </c>
      <c r="J1196" s="29" t="n">
        <v>43.07</v>
      </c>
      <c r="K1196" s="29">
        <f>(1-ISNUMBER(SEARCH("556",M1196)))*(O1196*SUMIFS(Premissas!$C$5:$C$44,Premissas!$A$5:$A$44,$A1196,Premissas!$B$5:$B$44,$B1196)+P1196*SUMIFS(Premissas!$D$5:$D$44,Premissas!$A$5:$A$44,$A1196,Premissas!$B$5:$B$44,$B1196))+R1196*SUMIFS(Premissas!$E$5:$E$44,Premissas!$A$5:$A$44,$A1196,Premissas!$B$5:$B$44,$B1196)+S1196*SUMIFS(Premissas!$F$5:$F$44,Premissas!$A$5:$A$44,$A1196,Premissas!$B$5:$B$44,$B1196)</f>
        <v/>
      </c>
      <c r="L1196" s="29">
        <f>J1196-K1196</f>
        <v/>
      </c>
      <c r="M1196" t="inlineStr">
        <is>
          <t>1.350</t>
        </is>
      </c>
      <c r="N1196" t="inlineStr">
        <is>
          <t>Modalidade: 0 - Por conta do remetente | Parte: COMERCIAL BRESSAN LTDA (20.446.006/0001-02)</t>
        </is>
      </c>
      <c r="O1196" s="29" t="n">
        <v>0</v>
      </c>
      <c r="P1196" s="29" t="n">
        <v>0</v>
      </c>
      <c r="Q1196" s="29" t="n">
        <v>0</v>
      </c>
      <c r="R1196" s="29" t="n">
        <v>0</v>
      </c>
      <c r="S1196" s="29" t="n">
        <v>0</v>
      </c>
      <c r="T1196" t="inlineStr">
        <is>
          <t>25250126975620000130570010000035901000000000</t>
        </is>
      </c>
      <c r="U1196" t="inlineStr">
        <is>
          <t>Não</t>
        </is>
      </c>
    </row>
    <row r="1197">
      <c r="A1197" t="inlineStr">
        <is>
          <t>Frete de venda</t>
        </is>
      </c>
      <c r="B1197" t="inlineStr">
        <is>
          <t>2.01.01 Frete Galpão Produto Acabado</t>
        </is>
      </c>
      <c r="C1197" t="inlineStr">
        <is>
          <t>Antes de 2026</t>
        </is>
      </c>
      <c r="D1197" t="inlineStr">
        <is>
          <t>Antes de 2026</t>
        </is>
      </c>
      <c r="E1197" s="28" t="n">
        <v>45685</v>
      </c>
      <c r="F1197" t="inlineStr">
        <is>
          <t>CT-e</t>
        </is>
      </c>
      <c r="G1197" t="inlineStr">
        <is>
          <t>000003591</t>
        </is>
      </c>
      <c r="H1197" t="inlineStr">
        <is>
          <t>R&amp;R TRANSPORTE E LOGISTICA</t>
        </is>
      </c>
      <c r="J1197" s="29" t="n">
        <v>57.52</v>
      </c>
      <c r="K1197" s="29">
        <f>(1-ISNUMBER(SEARCH("556",M1197)))*(O1197*SUMIFS(Premissas!$C$5:$C$44,Premissas!$A$5:$A$44,$A1197,Premissas!$B$5:$B$44,$B1197)+P1197*SUMIFS(Premissas!$D$5:$D$44,Premissas!$A$5:$A$44,$A1197,Premissas!$B$5:$B$44,$B1197))+R1197*SUMIFS(Premissas!$E$5:$E$44,Premissas!$A$5:$A$44,$A1197,Premissas!$B$5:$B$44,$B1197)+S1197*SUMIFS(Premissas!$F$5:$F$44,Premissas!$A$5:$A$44,$A1197,Premissas!$B$5:$B$44,$B1197)</f>
        <v/>
      </c>
      <c r="L1197" s="29">
        <f>J1197-K1197</f>
        <v/>
      </c>
      <c r="M1197" t="inlineStr">
        <is>
          <t>1.350</t>
        </is>
      </c>
      <c r="N1197" t="inlineStr">
        <is>
          <t>Modalidade: 0 - Por conta do remetente | Parte: KR DISTRIBUIDORA LTDA (22.108.289/0001-08)</t>
        </is>
      </c>
      <c r="O1197" s="29" t="n">
        <v>0</v>
      </c>
      <c r="P1197" s="29" t="n">
        <v>0</v>
      </c>
      <c r="Q1197" s="29" t="n">
        <v>0</v>
      </c>
      <c r="R1197" s="29" t="n">
        <v>0</v>
      </c>
      <c r="S1197" s="29" t="n">
        <v>0</v>
      </c>
      <c r="T1197" t="inlineStr">
        <is>
          <t>25250126975620000130570010000035911000000007</t>
        </is>
      </c>
      <c r="U1197" t="inlineStr">
        <is>
          <t>Não</t>
        </is>
      </c>
    </row>
    <row r="1198">
      <c r="A1198" t="inlineStr">
        <is>
          <t>Frete de venda</t>
        </is>
      </c>
      <c r="B1198" t="inlineStr">
        <is>
          <t>2.01.01 Frete Galpão Produto Acabado</t>
        </is>
      </c>
      <c r="C1198" t="inlineStr">
        <is>
          <t>Antes de 2026</t>
        </is>
      </c>
      <c r="D1198" t="inlineStr">
        <is>
          <t>Antes de 2026</t>
        </is>
      </c>
      <c r="E1198" s="28" t="n">
        <v>45685</v>
      </c>
      <c r="F1198" t="inlineStr">
        <is>
          <t>CT-e</t>
        </is>
      </c>
      <c r="G1198" t="inlineStr">
        <is>
          <t>000003592</t>
        </is>
      </c>
      <c r="H1198" t="inlineStr">
        <is>
          <t>R&amp;R TRANSPORTE E LOGISTICA</t>
        </is>
      </c>
      <c r="J1198" s="29" t="n">
        <v>70.72</v>
      </c>
      <c r="K1198" s="29">
        <f>(1-ISNUMBER(SEARCH("556",M1198)))*(O1198*SUMIFS(Premissas!$C$5:$C$44,Premissas!$A$5:$A$44,$A1198,Premissas!$B$5:$B$44,$B1198)+P1198*SUMIFS(Premissas!$D$5:$D$44,Premissas!$A$5:$A$44,$A1198,Premissas!$B$5:$B$44,$B1198))+R1198*SUMIFS(Premissas!$E$5:$E$44,Premissas!$A$5:$A$44,$A1198,Premissas!$B$5:$B$44,$B1198)+S1198*SUMIFS(Premissas!$F$5:$F$44,Premissas!$A$5:$A$44,$A1198,Premissas!$B$5:$B$44,$B1198)</f>
        <v/>
      </c>
      <c r="L1198" s="29">
        <f>J1198-K1198</f>
        <v/>
      </c>
      <c r="M1198" t="inlineStr">
        <is>
          <t>1.350</t>
        </is>
      </c>
      <c r="N1198" t="inlineStr">
        <is>
          <t>Modalidade: 0 - Por conta do remetente | Parte: ZANETTI SILVA COMERCIO DE EMBALAGENS LTDA (43.625.930/0001-43)</t>
        </is>
      </c>
      <c r="O1198" s="29" t="n">
        <v>0</v>
      </c>
      <c r="P1198" s="29" t="n">
        <v>0</v>
      </c>
      <c r="Q1198" s="29" t="n">
        <v>0</v>
      </c>
      <c r="R1198" s="29" t="n">
        <v>0</v>
      </c>
      <c r="S1198" s="29" t="n">
        <v>0</v>
      </c>
      <c r="T1198" t="inlineStr">
        <is>
          <t>25250126975620000130570010000035921000000004</t>
        </is>
      </c>
      <c r="U1198" t="inlineStr">
        <is>
          <t>Não</t>
        </is>
      </c>
    </row>
    <row r="1199">
      <c r="A1199" t="inlineStr">
        <is>
          <t>Frete de venda</t>
        </is>
      </c>
      <c r="B1199" t="inlineStr">
        <is>
          <t>2.01.01 Frete Galpão Produto Acabado</t>
        </is>
      </c>
      <c r="C1199" t="inlineStr">
        <is>
          <t>Antes de 2026</t>
        </is>
      </c>
      <c r="D1199" t="inlineStr">
        <is>
          <t>Antes de 2026</t>
        </is>
      </c>
      <c r="E1199" s="28" t="n">
        <v>45686</v>
      </c>
      <c r="F1199" t="inlineStr">
        <is>
          <t>CT-e</t>
        </is>
      </c>
      <c r="G1199" t="inlineStr">
        <is>
          <t>000003593</t>
        </is>
      </c>
      <c r="H1199" t="inlineStr">
        <is>
          <t>R&amp;R TRANSPORTE E LOGISTICA</t>
        </is>
      </c>
      <c r="J1199" s="29" t="n">
        <v>299.45</v>
      </c>
      <c r="K1199" s="29">
        <f>(1-ISNUMBER(SEARCH("556",M1199)))*(O1199*SUMIFS(Premissas!$C$5:$C$44,Premissas!$A$5:$A$44,$A1199,Premissas!$B$5:$B$44,$B1199)+P1199*SUMIFS(Premissas!$D$5:$D$44,Premissas!$A$5:$A$44,$A1199,Premissas!$B$5:$B$44,$B1199))+R1199*SUMIFS(Premissas!$E$5:$E$44,Premissas!$A$5:$A$44,$A1199,Premissas!$B$5:$B$44,$B1199)+S1199*SUMIFS(Premissas!$F$5:$F$44,Premissas!$A$5:$A$44,$A1199,Premissas!$B$5:$B$44,$B1199)</f>
        <v/>
      </c>
      <c r="L1199" s="29">
        <f>J1199-K1199</f>
        <v/>
      </c>
      <c r="M1199" t="inlineStr">
        <is>
          <t>1.350</t>
        </is>
      </c>
      <c r="N1199" t="inlineStr">
        <is>
          <t>Modalidade: 0 - Por conta do remetente | Parte: STAMP DISTRIBUIDORA DE EMBALAGENS DE PAPEL E DESCARTAVEIS LT (27.707.575/0003-67)</t>
        </is>
      </c>
      <c r="O1199" s="29" t="n">
        <v>0</v>
      </c>
      <c r="P1199" s="29" t="n">
        <v>0</v>
      </c>
      <c r="Q1199" s="29" t="n">
        <v>0</v>
      </c>
      <c r="R1199" s="29" t="n">
        <v>0</v>
      </c>
      <c r="S1199" s="29" t="n">
        <v>0</v>
      </c>
      <c r="T1199" t="inlineStr">
        <is>
          <t>25250126975620000130570010000035931000000001</t>
        </is>
      </c>
      <c r="U1199" t="inlineStr">
        <is>
          <t>Não</t>
        </is>
      </c>
    </row>
    <row r="1200">
      <c r="A1200" t="inlineStr">
        <is>
          <t>Frete de venda</t>
        </is>
      </c>
      <c r="B1200" t="inlineStr">
        <is>
          <t>2.01.01 Frete Galpão Produto Acabado</t>
        </is>
      </c>
      <c r="C1200" t="inlineStr">
        <is>
          <t>Antes de 2026</t>
        </is>
      </c>
      <c r="D1200" t="inlineStr">
        <is>
          <t>Antes de 2026</t>
        </is>
      </c>
      <c r="E1200" s="28" t="n">
        <v>45686</v>
      </c>
      <c r="F1200" t="inlineStr">
        <is>
          <t>CT-e</t>
        </is>
      </c>
      <c r="G1200" t="inlineStr">
        <is>
          <t>000003594</t>
        </is>
      </c>
      <c r="H1200" t="inlineStr">
        <is>
          <t>R&amp;R TRANSPORTE E LOGISTICA</t>
        </is>
      </c>
      <c r="J1200" s="29" t="n">
        <v>174.66</v>
      </c>
      <c r="K1200" s="29">
        <f>(1-ISNUMBER(SEARCH("556",M1200)))*(O1200*SUMIFS(Premissas!$C$5:$C$44,Premissas!$A$5:$A$44,$A1200,Premissas!$B$5:$B$44,$B1200)+P1200*SUMIFS(Premissas!$D$5:$D$44,Premissas!$A$5:$A$44,$A1200,Premissas!$B$5:$B$44,$B1200))+R1200*SUMIFS(Premissas!$E$5:$E$44,Premissas!$A$5:$A$44,$A1200,Premissas!$B$5:$B$44,$B1200)+S1200*SUMIFS(Premissas!$F$5:$F$44,Premissas!$A$5:$A$44,$A1200,Premissas!$B$5:$B$44,$B1200)</f>
        <v/>
      </c>
      <c r="L1200" s="29">
        <f>J1200-K1200</f>
        <v/>
      </c>
      <c r="M1200" t="inlineStr">
        <is>
          <t>1.350</t>
        </is>
      </c>
      <c r="N1200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00" s="29" t="n">
        <v>0</v>
      </c>
      <c r="P1200" s="29" t="n">
        <v>0</v>
      </c>
      <c r="Q1200" s="29" t="n">
        <v>0</v>
      </c>
      <c r="R1200" s="29" t="n">
        <v>0</v>
      </c>
      <c r="S1200" s="29" t="n">
        <v>0</v>
      </c>
      <c r="T1200" t="inlineStr">
        <is>
          <t>25250126975620000130570010000035941000000009</t>
        </is>
      </c>
      <c r="U1200" t="inlineStr">
        <is>
          <t>Não</t>
        </is>
      </c>
    </row>
    <row r="1201">
      <c r="A1201" t="inlineStr">
        <is>
          <t>Frete de venda</t>
        </is>
      </c>
      <c r="B1201" t="inlineStr">
        <is>
          <t>2.01.01 Frete Galpão Produto Acabado</t>
        </is>
      </c>
      <c r="C1201" t="inlineStr">
        <is>
          <t>Antes de 2026</t>
        </is>
      </c>
      <c r="D1201" t="inlineStr">
        <is>
          <t>Antes de 2026</t>
        </is>
      </c>
      <c r="E1201" s="28" t="n">
        <v>45686</v>
      </c>
      <c r="F1201" t="inlineStr">
        <is>
          <t>CT-e</t>
        </is>
      </c>
      <c r="G1201" t="inlineStr">
        <is>
          <t>000003595</t>
        </is>
      </c>
      <c r="H1201" t="inlineStr">
        <is>
          <t>R&amp;R TRANSPORTE E LOGISTICA</t>
        </is>
      </c>
      <c r="J1201" s="29" t="n">
        <v>125.74</v>
      </c>
      <c r="K1201" s="29">
        <f>(1-ISNUMBER(SEARCH("556",M1201)))*(O1201*SUMIFS(Premissas!$C$5:$C$44,Premissas!$A$5:$A$44,$A1201,Premissas!$B$5:$B$44,$B1201)+P1201*SUMIFS(Premissas!$D$5:$D$44,Premissas!$A$5:$A$44,$A1201,Premissas!$B$5:$B$44,$B1201))+R1201*SUMIFS(Premissas!$E$5:$E$44,Premissas!$A$5:$A$44,$A1201,Premissas!$B$5:$B$44,$B1201)+S1201*SUMIFS(Premissas!$F$5:$F$44,Premissas!$A$5:$A$44,$A1201,Premissas!$B$5:$B$44,$B1201)</f>
        <v/>
      </c>
      <c r="L1201" s="29">
        <f>J1201-K1201</f>
        <v/>
      </c>
      <c r="M1201" t="inlineStr">
        <is>
          <t>1.350</t>
        </is>
      </c>
      <c r="N1201" t="inlineStr">
        <is>
          <t>Modalidade: 0 - Por conta do remetente | Parte: STAMP DISTRIBUIDORA DE EMBALAGENS DE PAPEL E DESCARTAVEIS LT (27.707.575/0003-67)</t>
        </is>
      </c>
      <c r="O1201" s="29" t="n">
        <v>0</v>
      </c>
      <c r="P1201" s="29" t="n">
        <v>0</v>
      </c>
      <c r="Q1201" s="29" t="n">
        <v>0</v>
      </c>
      <c r="R1201" s="29" t="n">
        <v>0</v>
      </c>
      <c r="S1201" s="29" t="n">
        <v>0</v>
      </c>
      <c r="T1201" t="inlineStr">
        <is>
          <t>25250126975620000130570010000035951000000006</t>
        </is>
      </c>
      <c r="U1201" t="inlineStr">
        <is>
          <t>Não</t>
        </is>
      </c>
    </row>
    <row r="1202">
      <c r="A1202" t="inlineStr">
        <is>
          <t>Frete de venda</t>
        </is>
      </c>
      <c r="B1202" t="inlineStr">
        <is>
          <t>2.01.01 Frete Galpão Produto Acabado</t>
        </is>
      </c>
      <c r="C1202" t="inlineStr">
        <is>
          <t>Antes de 2026</t>
        </is>
      </c>
      <c r="D1202" t="inlineStr">
        <is>
          <t>Antes de 2026</t>
        </is>
      </c>
      <c r="E1202" s="28" t="n">
        <v>45686</v>
      </c>
      <c r="F1202" t="inlineStr">
        <is>
          <t>CT-e</t>
        </is>
      </c>
      <c r="G1202" t="inlineStr">
        <is>
          <t>000003600</t>
        </is>
      </c>
      <c r="H1202" t="inlineStr">
        <is>
          <t>R&amp;R TRANSPORTE E LOGISTICA</t>
        </is>
      </c>
      <c r="J1202" s="29" t="n">
        <v>1400</v>
      </c>
      <c r="K1202" s="29">
        <f>(1-ISNUMBER(SEARCH("556",M1202)))*(O1202*SUMIFS(Premissas!$C$5:$C$44,Premissas!$A$5:$A$44,$A1202,Premissas!$B$5:$B$44,$B1202)+P1202*SUMIFS(Premissas!$D$5:$D$44,Premissas!$A$5:$A$44,$A1202,Premissas!$B$5:$B$44,$B1202))+R1202*SUMIFS(Premissas!$E$5:$E$44,Premissas!$A$5:$A$44,$A1202,Premissas!$B$5:$B$44,$B1202)+S1202*SUMIFS(Premissas!$F$5:$F$44,Premissas!$A$5:$A$44,$A1202,Premissas!$B$5:$B$44,$B1202)</f>
        <v/>
      </c>
      <c r="L1202" s="29">
        <f>J1202-K1202</f>
        <v/>
      </c>
      <c r="M1202" t="inlineStr">
        <is>
          <t>1.350</t>
        </is>
      </c>
      <c r="N1202" t="inlineStr">
        <is>
          <t>Modalidade: 0 - Por conta do remetente | Parte: VILMA GOMES FREITAS DE OLIVEIRA LTDA (08.035.528/0001-08)</t>
        </is>
      </c>
      <c r="O1202" s="29" t="n">
        <v>0</v>
      </c>
      <c r="P1202" s="29" t="n">
        <v>0</v>
      </c>
      <c r="Q1202" s="29" t="n">
        <v>0</v>
      </c>
      <c r="R1202" s="29" t="n">
        <v>0</v>
      </c>
      <c r="S1202" s="29" t="n">
        <v>0</v>
      </c>
      <c r="T1202" t="inlineStr">
        <is>
          <t>25250126975620000130570010000036001000000008</t>
        </is>
      </c>
      <c r="U1202" t="inlineStr">
        <is>
          <t>Não</t>
        </is>
      </c>
    </row>
    <row r="1203">
      <c r="A1203" t="inlineStr">
        <is>
          <t>Frete de venda</t>
        </is>
      </c>
      <c r="B1203" t="inlineStr">
        <is>
          <t>2.01.01 Frete Galpão Produto Acabado</t>
        </is>
      </c>
      <c r="C1203" t="inlineStr">
        <is>
          <t>Antes de 2026</t>
        </is>
      </c>
      <c r="D1203" t="inlineStr">
        <is>
          <t>Antes de 2026</t>
        </is>
      </c>
      <c r="E1203" s="28" t="n">
        <v>45687</v>
      </c>
      <c r="F1203" t="inlineStr">
        <is>
          <t>CT-e</t>
        </is>
      </c>
      <c r="G1203" t="inlineStr">
        <is>
          <t>000003601</t>
        </is>
      </c>
      <c r="H1203" t="inlineStr">
        <is>
          <t>R&amp;R TRANSPORTE E LOGISTICA</t>
        </is>
      </c>
      <c r="J1203" s="29" t="n">
        <v>35</v>
      </c>
      <c r="K1203" s="29">
        <f>(1-ISNUMBER(SEARCH("556",M1203)))*(O1203*SUMIFS(Premissas!$C$5:$C$44,Premissas!$A$5:$A$44,$A1203,Premissas!$B$5:$B$44,$B1203)+P1203*SUMIFS(Premissas!$D$5:$D$44,Premissas!$A$5:$A$44,$A1203,Premissas!$B$5:$B$44,$B1203))+R1203*SUMIFS(Premissas!$E$5:$E$44,Premissas!$A$5:$A$44,$A1203,Premissas!$B$5:$B$44,$B1203)+S1203*SUMIFS(Premissas!$F$5:$F$44,Premissas!$A$5:$A$44,$A1203,Premissas!$B$5:$B$44,$B1203)</f>
        <v/>
      </c>
      <c r="L1203" s="29">
        <f>J1203-K1203</f>
        <v/>
      </c>
      <c r="M1203" t="inlineStr">
        <is>
          <t>1.350</t>
        </is>
      </c>
      <c r="N1203" t="inlineStr">
        <is>
          <t>Modalidade: 0 - Por conta do remetente | Parte: FREITAS COMERCIO DE EMBALAGENS LTDA (17.024.400/0001-30)</t>
        </is>
      </c>
      <c r="O1203" s="29" t="n">
        <v>0</v>
      </c>
      <c r="P1203" s="29" t="n">
        <v>0</v>
      </c>
      <c r="Q1203" s="29" t="n">
        <v>0</v>
      </c>
      <c r="R1203" s="29" t="n">
        <v>0</v>
      </c>
      <c r="S1203" s="29" t="n">
        <v>0</v>
      </c>
      <c r="T1203" t="inlineStr">
        <is>
          <t>25250126975620000130570010000036011000000005</t>
        </is>
      </c>
      <c r="U1203" t="inlineStr">
        <is>
          <t>Não</t>
        </is>
      </c>
    </row>
    <row r="1204">
      <c r="A1204" t="inlineStr">
        <is>
          <t>Frete de venda</t>
        </is>
      </c>
      <c r="B1204" t="inlineStr">
        <is>
          <t>2.01.01 Frete Galpão Produto Acabado</t>
        </is>
      </c>
      <c r="C1204" t="inlineStr">
        <is>
          <t>Antes de 2026</t>
        </is>
      </c>
      <c r="D1204" t="inlineStr">
        <is>
          <t>Antes de 2026</t>
        </is>
      </c>
      <c r="E1204" s="28" t="n">
        <v>45687</v>
      </c>
      <c r="F1204" t="inlineStr">
        <is>
          <t>CT-e</t>
        </is>
      </c>
      <c r="G1204" t="inlineStr">
        <is>
          <t>000003602</t>
        </is>
      </c>
      <c r="H1204" t="inlineStr">
        <is>
          <t>R&amp;R TRANSPORTE E LOGISTICA</t>
        </is>
      </c>
      <c r="J1204" s="29" t="n">
        <v>53</v>
      </c>
      <c r="K1204" s="29">
        <f>(1-ISNUMBER(SEARCH("556",M1204)))*(O1204*SUMIFS(Premissas!$C$5:$C$44,Premissas!$A$5:$A$44,$A1204,Premissas!$B$5:$B$44,$B1204)+P1204*SUMIFS(Premissas!$D$5:$D$44,Premissas!$A$5:$A$44,$A1204,Premissas!$B$5:$B$44,$B1204))+R1204*SUMIFS(Premissas!$E$5:$E$44,Premissas!$A$5:$A$44,$A1204,Premissas!$B$5:$B$44,$B1204)+S1204*SUMIFS(Premissas!$F$5:$F$44,Premissas!$A$5:$A$44,$A1204,Premissas!$B$5:$B$44,$B1204)</f>
        <v/>
      </c>
      <c r="L1204" s="29">
        <f>J1204-K1204</f>
        <v/>
      </c>
      <c r="M1204" t="inlineStr">
        <is>
          <t>1.350</t>
        </is>
      </c>
      <c r="N1204" t="inlineStr">
        <is>
          <t>Modalidade: 0 - Por conta do remetente | Parte: RONI ALIMENTOS LTDA (37.626.043/0001-97)</t>
        </is>
      </c>
      <c r="O1204" s="29" t="n">
        <v>0</v>
      </c>
      <c r="P1204" s="29" t="n">
        <v>0</v>
      </c>
      <c r="Q1204" s="29" t="n">
        <v>0</v>
      </c>
      <c r="R1204" s="29" t="n">
        <v>0</v>
      </c>
      <c r="S1204" s="29" t="n">
        <v>0</v>
      </c>
      <c r="T1204" t="inlineStr">
        <is>
          <t>25250126975620000130570010000036021000000002</t>
        </is>
      </c>
      <c r="U1204" t="inlineStr">
        <is>
          <t>Não</t>
        </is>
      </c>
    </row>
    <row r="1205">
      <c r="A1205" t="inlineStr">
        <is>
          <t>Frete de venda</t>
        </is>
      </c>
      <c r="B1205" t="inlineStr">
        <is>
          <t>2.01.01 Frete Galpão Produto Acabado</t>
        </is>
      </c>
      <c r="C1205" t="inlineStr">
        <is>
          <t>Antes de 2026</t>
        </is>
      </c>
      <c r="D1205" t="inlineStr">
        <is>
          <t>Antes de 2026</t>
        </is>
      </c>
      <c r="E1205" s="28" t="n">
        <v>45687</v>
      </c>
      <c r="F1205" t="inlineStr">
        <is>
          <t>CT-e</t>
        </is>
      </c>
      <c r="G1205" t="inlineStr">
        <is>
          <t>000003603</t>
        </is>
      </c>
      <c r="H1205" t="inlineStr">
        <is>
          <t>R&amp;R TRANSPORTE E LOGISTICA</t>
        </is>
      </c>
      <c r="J1205" s="29" t="n">
        <v>37</v>
      </c>
      <c r="K1205" s="29">
        <f>(1-ISNUMBER(SEARCH("556",M1205)))*(O1205*SUMIFS(Premissas!$C$5:$C$44,Premissas!$A$5:$A$44,$A1205,Premissas!$B$5:$B$44,$B1205)+P1205*SUMIFS(Premissas!$D$5:$D$44,Premissas!$A$5:$A$44,$A1205,Premissas!$B$5:$B$44,$B1205))+R1205*SUMIFS(Premissas!$E$5:$E$44,Premissas!$A$5:$A$44,$A1205,Premissas!$B$5:$B$44,$B1205)+S1205*SUMIFS(Premissas!$F$5:$F$44,Premissas!$A$5:$A$44,$A1205,Premissas!$B$5:$B$44,$B1205)</f>
        <v/>
      </c>
      <c r="L1205" s="29">
        <f>J1205-K1205</f>
        <v/>
      </c>
      <c r="M1205" t="inlineStr">
        <is>
          <t>1.350</t>
        </is>
      </c>
      <c r="N1205" t="inlineStr">
        <is>
          <t>Modalidade: 0 - Por conta do remetente | Parte: CASA DA EMBALAGEM COMERCIO DE EMBALAGENS LTDA (36.826.570/0001-82)</t>
        </is>
      </c>
      <c r="O1205" s="29" t="n">
        <v>0</v>
      </c>
      <c r="P1205" s="29" t="n">
        <v>0</v>
      </c>
      <c r="Q1205" s="29" t="n">
        <v>0</v>
      </c>
      <c r="R1205" s="29" t="n">
        <v>0</v>
      </c>
      <c r="S1205" s="29" t="n">
        <v>0</v>
      </c>
      <c r="T1205" t="inlineStr">
        <is>
          <t>25250126975620000130570010000036031000000000</t>
        </is>
      </c>
      <c r="U1205" t="inlineStr">
        <is>
          <t>Não</t>
        </is>
      </c>
    </row>
    <row r="1206">
      <c r="A1206" t="inlineStr">
        <is>
          <t>Frete de venda</t>
        </is>
      </c>
      <c r="B1206" t="inlineStr">
        <is>
          <t>2.01.01 Frete Galpão Produto Acabado</t>
        </is>
      </c>
      <c r="C1206" t="inlineStr">
        <is>
          <t>Antes de 2026</t>
        </is>
      </c>
      <c r="D1206" t="inlineStr">
        <is>
          <t>Antes de 2026</t>
        </is>
      </c>
      <c r="E1206" s="28" t="n">
        <v>45687</v>
      </c>
      <c r="F1206" t="inlineStr">
        <is>
          <t>CT-e</t>
        </is>
      </c>
      <c r="G1206" t="inlineStr">
        <is>
          <t>000003604</t>
        </is>
      </c>
      <c r="H1206" t="inlineStr">
        <is>
          <t>R&amp;R TRANSPORTE E LOGISTICA</t>
        </is>
      </c>
      <c r="J1206" s="29" t="n">
        <v>36</v>
      </c>
      <c r="K1206" s="29">
        <f>(1-ISNUMBER(SEARCH("556",M1206)))*(O1206*SUMIFS(Premissas!$C$5:$C$44,Premissas!$A$5:$A$44,$A1206,Premissas!$B$5:$B$44,$B1206)+P1206*SUMIFS(Premissas!$D$5:$D$44,Premissas!$A$5:$A$44,$A1206,Premissas!$B$5:$B$44,$B1206))+R1206*SUMIFS(Premissas!$E$5:$E$44,Premissas!$A$5:$A$44,$A1206,Premissas!$B$5:$B$44,$B1206)+S1206*SUMIFS(Premissas!$F$5:$F$44,Premissas!$A$5:$A$44,$A1206,Premissas!$B$5:$B$44,$B1206)</f>
        <v/>
      </c>
      <c r="L1206" s="29">
        <f>J1206-K1206</f>
        <v/>
      </c>
      <c r="M1206" t="inlineStr">
        <is>
          <t>1.350</t>
        </is>
      </c>
      <c r="N1206" t="inlineStr">
        <is>
          <t>Modalidade: 0 - Por conta do remetente | Parte: EMBALAGENS PARREIRA LTDA (24.780.871/0001-33)</t>
        </is>
      </c>
      <c r="O1206" s="29" t="n">
        <v>0</v>
      </c>
      <c r="P1206" s="29" t="n">
        <v>0</v>
      </c>
      <c r="Q1206" s="29" t="n">
        <v>0</v>
      </c>
      <c r="R1206" s="29" t="n">
        <v>0</v>
      </c>
      <c r="S1206" s="29" t="n">
        <v>0</v>
      </c>
      <c r="T1206" t="inlineStr">
        <is>
          <t>25250126975620000130570010000036041000000007</t>
        </is>
      </c>
      <c r="U1206" t="inlineStr">
        <is>
          <t>Não</t>
        </is>
      </c>
    </row>
    <row r="1207">
      <c r="A1207" t="inlineStr">
        <is>
          <t>Frete de venda</t>
        </is>
      </c>
      <c r="B1207" t="inlineStr">
        <is>
          <t>2.01.01 Frete Galpão Produto Acabado</t>
        </is>
      </c>
      <c r="C1207" t="inlineStr">
        <is>
          <t>Antes de 2026</t>
        </is>
      </c>
      <c r="D1207" t="inlineStr">
        <is>
          <t>Antes de 2026</t>
        </is>
      </c>
      <c r="E1207" s="28" t="n">
        <v>45687</v>
      </c>
      <c r="F1207" t="inlineStr">
        <is>
          <t>CT-e</t>
        </is>
      </c>
      <c r="G1207" t="inlineStr">
        <is>
          <t>000003605</t>
        </is>
      </c>
      <c r="H1207" t="inlineStr">
        <is>
          <t>R&amp;R TRANSPORTE E LOGISTICA</t>
        </is>
      </c>
      <c r="J1207" s="29" t="n">
        <v>26</v>
      </c>
      <c r="K1207" s="29">
        <f>(1-ISNUMBER(SEARCH("556",M1207)))*(O1207*SUMIFS(Premissas!$C$5:$C$44,Premissas!$A$5:$A$44,$A1207,Premissas!$B$5:$B$44,$B1207)+P1207*SUMIFS(Premissas!$D$5:$D$44,Premissas!$A$5:$A$44,$A1207,Premissas!$B$5:$B$44,$B1207))+R1207*SUMIFS(Premissas!$E$5:$E$44,Premissas!$A$5:$A$44,$A1207,Premissas!$B$5:$B$44,$B1207)+S1207*SUMIFS(Premissas!$F$5:$F$44,Premissas!$A$5:$A$44,$A1207,Premissas!$B$5:$B$44,$B1207)</f>
        <v/>
      </c>
      <c r="L1207" s="29">
        <f>J1207-K1207</f>
        <v/>
      </c>
      <c r="M1207" t="inlineStr">
        <is>
          <t>1.350</t>
        </is>
      </c>
      <c r="N1207" t="inlineStr">
        <is>
          <t>Modalidade: 0 - Por conta do remetente | Parte: EMBALAGENS K. G. M. LTDA (01.881.938/0001-20)</t>
        </is>
      </c>
      <c r="O1207" s="29" t="n">
        <v>0</v>
      </c>
      <c r="P1207" s="29" t="n">
        <v>0</v>
      </c>
      <c r="Q1207" s="29" t="n">
        <v>0</v>
      </c>
      <c r="R1207" s="29" t="n">
        <v>0</v>
      </c>
      <c r="S1207" s="29" t="n">
        <v>0</v>
      </c>
      <c r="T1207" t="inlineStr">
        <is>
          <t>25250126975620000130570010000036051000000004</t>
        </is>
      </c>
      <c r="U1207" t="inlineStr">
        <is>
          <t>Não</t>
        </is>
      </c>
    </row>
    <row r="1208">
      <c r="A1208" t="inlineStr">
        <is>
          <t>Frete de venda</t>
        </is>
      </c>
      <c r="B1208" t="inlineStr">
        <is>
          <t>2.01.01 Frete Galpão Produto Acabado</t>
        </is>
      </c>
      <c r="C1208" t="inlineStr">
        <is>
          <t>Antes de 2026</t>
        </is>
      </c>
      <c r="D1208" t="inlineStr">
        <is>
          <t>Antes de 2026</t>
        </is>
      </c>
      <c r="E1208" s="28" t="n">
        <v>45687</v>
      </c>
      <c r="F1208" t="inlineStr">
        <is>
          <t>CT-e</t>
        </is>
      </c>
      <c r="G1208" t="inlineStr">
        <is>
          <t>000003606</t>
        </is>
      </c>
      <c r="H1208" t="inlineStr">
        <is>
          <t>R&amp;R TRANSPORTE E LOGISTICA</t>
        </is>
      </c>
      <c r="J1208" s="29" t="n">
        <v>35</v>
      </c>
      <c r="K1208" s="29">
        <f>(1-ISNUMBER(SEARCH("556",M1208)))*(O1208*SUMIFS(Premissas!$C$5:$C$44,Premissas!$A$5:$A$44,$A1208,Premissas!$B$5:$B$44,$B1208)+P1208*SUMIFS(Premissas!$D$5:$D$44,Premissas!$A$5:$A$44,$A1208,Premissas!$B$5:$B$44,$B1208))+R1208*SUMIFS(Premissas!$E$5:$E$44,Premissas!$A$5:$A$44,$A1208,Premissas!$B$5:$B$44,$B1208)+S1208*SUMIFS(Premissas!$F$5:$F$44,Premissas!$A$5:$A$44,$A1208,Premissas!$B$5:$B$44,$B1208)</f>
        <v/>
      </c>
      <c r="L1208" s="29">
        <f>J1208-K1208</f>
        <v/>
      </c>
      <c r="M1208" t="inlineStr">
        <is>
          <t>1.350</t>
        </is>
      </c>
      <c r="N1208" t="inlineStr">
        <is>
          <t>Modalidade: 0 - Por conta do remetente | Parte: JANETE APARECIDA PEREIRA LTDA (46.227.305/0001-31)</t>
        </is>
      </c>
      <c r="O1208" s="29" t="n">
        <v>0</v>
      </c>
      <c r="P1208" s="29" t="n">
        <v>0</v>
      </c>
      <c r="Q1208" s="29" t="n">
        <v>0</v>
      </c>
      <c r="R1208" s="29" t="n">
        <v>0</v>
      </c>
      <c r="S1208" s="29" t="n">
        <v>0</v>
      </c>
      <c r="T1208" t="inlineStr">
        <is>
          <t>25250126975620000130570010000036061000000001</t>
        </is>
      </c>
      <c r="U1208" t="inlineStr">
        <is>
          <t>Não</t>
        </is>
      </c>
    </row>
    <row r="1209">
      <c r="A1209" t="inlineStr">
        <is>
          <t>Frete de venda</t>
        </is>
      </c>
      <c r="B1209" t="inlineStr">
        <is>
          <t>2.01.01 Frete Galpão Produto Acabado</t>
        </is>
      </c>
      <c r="C1209" t="inlineStr">
        <is>
          <t>Antes de 2026</t>
        </is>
      </c>
      <c r="D1209" t="inlineStr">
        <is>
          <t>Antes de 2026</t>
        </is>
      </c>
      <c r="E1209" s="28" t="n">
        <v>45687</v>
      </c>
      <c r="F1209" t="inlineStr">
        <is>
          <t>CT-e</t>
        </is>
      </c>
      <c r="G1209" t="inlineStr">
        <is>
          <t>000003608</t>
        </is>
      </c>
      <c r="H1209" t="inlineStr">
        <is>
          <t>R&amp;R TRANSPORTE E LOGISTICA</t>
        </is>
      </c>
      <c r="J1209" s="29" t="n">
        <v>25</v>
      </c>
      <c r="K1209" s="29">
        <f>(1-ISNUMBER(SEARCH("556",M1209)))*(O1209*SUMIFS(Premissas!$C$5:$C$44,Premissas!$A$5:$A$44,$A1209,Premissas!$B$5:$B$44,$B1209)+P1209*SUMIFS(Premissas!$D$5:$D$44,Premissas!$A$5:$A$44,$A1209,Premissas!$B$5:$B$44,$B1209))+R1209*SUMIFS(Premissas!$E$5:$E$44,Premissas!$A$5:$A$44,$A1209,Premissas!$B$5:$B$44,$B1209)+S1209*SUMIFS(Premissas!$F$5:$F$44,Premissas!$A$5:$A$44,$A1209,Premissas!$B$5:$B$44,$B1209)</f>
        <v/>
      </c>
      <c r="L1209" s="29">
        <f>J1209-K1209</f>
        <v/>
      </c>
      <c r="M1209" t="inlineStr">
        <is>
          <t>1.350</t>
        </is>
      </c>
      <c r="N1209" t="inlineStr">
        <is>
          <t>Modalidade: 0 - Por conta do remetente | Parte: HPLAST COMERCIO DE EMBALAGENS LTDA (32.549.410/0001-82)</t>
        </is>
      </c>
      <c r="O1209" s="29" t="n">
        <v>0</v>
      </c>
      <c r="P1209" s="29" t="n">
        <v>0</v>
      </c>
      <c r="Q1209" s="29" t="n">
        <v>0</v>
      </c>
      <c r="R1209" s="29" t="n">
        <v>0</v>
      </c>
      <c r="S1209" s="29" t="n">
        <v>0</v>
      </c>
      <c r="T1209" t="inlineStr">
        <is>
          <t>25250126975620000130570010000036081000000006</t>
        </is>
      </c>
      <c r="U1209" t="inlineStr">
        <is>
          <t>Não</t>
        </is>
      </c>
    </row>
    <row r="1210">
      <c r="A1210" t="inlineStr">
        <is>
          <t>Frete de venda</t>
        </is>
      </c>
      <c r="B1210" t="inlineStr">
        <is>
          <t>2.01.01 Frete Galpão Produto Acabado</t>
        </is>
      </c>
      <c r="C1210" t="inlineStr">
        <is>
          <t>Antes de 2026</t>
        </is>
      </c>
      <c r="D1210" t="inlineStr">
        <is>
          <t>Antes de 2026</t>
        </is>
      </c>
      <c r="E1210" s="28" t="n">
        <v>45687</v>
      </c>
      <c r="F1210" t="inlineStr">
        <is>
          <t>CT-e</t>
        </is>
      </c>
      <c r="G1210" t="inlineStr">
        <is>
          <t>000003609</t>
        </is>
      </c>
      <c r="H1210" t="inlineStr">
        <is>
          <t>R&amp;R TRANSPORTE E LOGISTICA</t>
        </is>
      </c>
      <c r="J1210" s="29" t="n">
        <v>25</v>
      </c>
      <c r="K1210" s="29">
        <f>(1-ISNUMBER(SEARCH("556",M1210)))*(O1210*SUMIFS(Premissas!$C$5:$C$44,Premissas!$A$5:$A$44,$A1210,Premissas!$B$5:$B$44,$B1210)+P1210*SUMIFS(Premissas!$D$5:$D$44,Premissas!$A$5:$A$44,$A1210,Premissas!$B$5:$B$44,$B1210))+R1210*SUMIFS(Premissas!$E$5:$E$44,Premissas!$A$5:$A$44,$A1210,Premissas!$B$5:$B$44,$B1210)+S1210*SUMIFS(Premissas!$F$5:$F$44,Premissas!$A$5:$A$44,$A1210,Premissas!$B$5:$B$44,$B1210)</f>
        <v/>
      </c>
      <c r="L1210" s="29">
        <f>J1210-K1210</f>
        <v/>
      </c>
      <c r="M1210" t="inlineStr">
        <is>
          <t>1.350</t>
        </is>
      </c>
      <c r="N1210" t="inlineStr">
        <is>
          <t>Modalidade: 0 - Por conta do remetente | Parte: COMERCIAL 510 SUL LTDA (54.694.269/0001-44)</t>
        </is>
      </c>
      <c r="O1210" s="29" t="n">
        <v>0</v>
      </c>
      <c r="P1210" s="29" t="n">
        <v>0</v>
      </c>
      <c r="Q1210" s="29" t="n">
        <v>0</v>
      </c>
      <c r="R1210" s="29" t="n">
        <v>0</v>
      </c>
      <c r="S1210" s="29" t="n">
        <v>0</v>
      </c>
      <c r="T1210" t="inlineStr">
        <is>
          <t>25250126975620000130570010000036091000000003</t>
        </is>
      </c>
      <c r="U1210" t="inlineStr">
        <is>
          <t>Não</t>
        </is>
      </c>
    </row>
    <row r="1211">
      <c r="A1211" t="inlineStr">
        <is>
          <t>Frete de venda</t>
        </is>
      </c>
      <c r="B1211" t="inlineStr">
        <is>
          <t>2.01.01 Frete Galpão Produto Acabado</t>
        </is>
      </c>
      <c r="C1211" t="inlineStr">
        <is>
          <t>Antes de 2026</t>
        </is>
      </c>
      <c r="D1211" t="inlineStr">
        <is>
          <t>Antes de 2026</t>
        </is>
      </c>
      <c r="E1211" s="28" t="n">
        <v>45687</v>
      </c>
      <c r="F1211" t="inlineStr">
        <is>
          <t>CT-e</t>
        </is>
      </c>
      <c r="G1211" t="inlineStr">
        <is>
          <t>000003613</t>
        </is>
      </c>
      <c r="H1211" t="inlineStr">
        <is>
          <t>R&amp;R TRANSPORTE E LOGISTICA</t>
        </is>
      </c>
      <c r="J1211" s="29" t="n">
        <v>1150</v>
      </c>
      <c r="K1211" s="29">
        <f>(1-ISNUMBER(SEARCH("556",M1211)))*(O1211*SUMIFS(Premissas!$C$5:$C$44,Premissas!$A$5:$A$44,$A1211,Premissas!$B$5:$B$44,$B1211)+P1211*SUMIFS(Premissas!$D$5:$D$44,Premissas!$A$5:$A$44,$A1211,Premissas!$B$5:$B$44,$B1211))+R1211*SUMIFS(Premissas!$E$5:$E$44,Premissas!$A$5:$A$44,$A1211,Premissas!$B$5:$B$44,$B1211)+S1211*SUMIFS(Premissas!$F$5:$F$44,Premissas!$A$5:$A$44,$A1211,Premissas!$B$5:$B$44,$B1211)</f>
        <v/>
      </c>
      <c r="L1211" s="29">
        <f>J1211-K1211</f>
        <v/>
      </c>
      <c r="M1211" t="inlineStr">
        <is>
          <t>1.350</t>
        </is>
      </c>
      <c r="N1211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1211" s="29" t="n">
        <v>0</v>
      </c>
      <c r="P1211" s="29" t="n">
        <v>0</v>
      </c>
      <c r="Q1211" s="29" t="n">
        <v>0</v>
      </c>
      <c r="R1211" s="29" t="n">
        <v>0</v>
      </c>
      <c r="S1211" s="29" t="n">
        <v>0</v>
      </c>
      <c r="T1211" t="inlineStr">
        <is>
          <t>25250126975620000130570010000036131000000006</t>
        </is>
      </c>
      <c r="U1211" t="inlineStr">
        <is>
          <t>Não</t>
        </is>
      </c>
    </row>
    <row r="1212">
      <c r="A1212" t="inlineStr">
        <is>
          <t>Frete de venda</t>
        </is>
      </c>
      <c r="B1212" t="inlineStr">
        <is>
          <t>2.01.01 Frete Galpão Produto Acabado</t>
        </is>
      </c>
      <c r="C1212" t="inlineStr">
        <is>
          <t>Antes de 2026</t>
        </is>
      </c>
      <c r="D1212" t="inlineStr">
        <is>
          <t>Antes de 2026</t>
        </is>
      </c>
      <c r="E1212" s="28" t="n">
        <v>45687</v>
      </c>
      <c r="F1212" t="inlineStr">
        <is>
          <t>CT-e</t>
        </is>
      </c>
      <c r="G1212" t="inlineStr">
        <is>
          <t>000003616</t>
        </is>
      </c>
      <c r="H1212" t="inlineStr">
        <is>
          <t>R&amp;R TRANSPORTE E LOGISTICA</t>
        </is>
      </c>
      <c r="J1212" s="29" t="n">
        <v>208</v>
      </c>
      <c r="K1212" s="29">
        <f>(1-ISNUMBER(SEARCH("556",M1212)))*(O1212*SUMIFS(Premissas!$C$5:$C$44,Premissas!$A$5:$A$44,$A1212,Premissas!$B$5:$B$44,$B1212)+P1212*SUMIFS(Premissas!$D$5:$D$44,Premissas!$A$5:$A$44,$A1212,Premissas!$B$5:$B$44,$B1212))+R1212*SUMIFS(Premissas!$E$5:$E$44,Premissas!$A$5:$A$44,$A1212,Premissas!$B$5:$B$44,$B1212)+S1212*SUMIFS(Premissas!$F$5:$F$44,Premissas!$A$5:$A$44,$A1212,Premissas!$B$5:$B$44,$B1212)</f>
        <v/>
      </c>
      <c r="L1212" s="29">
        <f>J1212-K1212</f>
        <v/>
      </c>
      <c r="M1212" t="inlineStr">
        <is>
          <t>1.350</t>
        </is>
      </c>
      <c r="N1212" t="inlineStr">
        <is>
          <t>Modalidade: 0 - Por conta do remetente | Parte: JB COMERCIO DE EMBALAGENS, ARMAZENAGEM E LOGISTICA LTDA (30.725.245/0002-28)</t>
        </is>
      </c>
      <c r="O1212" s="29" t="n">
        <v>0</v>
      </c>
      <c r="P1212" s="29" t="n">
        <v>0</v>
      </c>
      <c r="Q1212" s="29" t="n">
        <v>0</v>
      </c>
      <c r="R1212" s="29" t="n">
        <v>0</v>
      </c>
      <c r="S1212" s="29" t="n">
        <v>0</v>
      </c>
      <c r="T1212" t="inlineStr">
        <is>
          <t>25250126975620000130570010000036161000000008</t>
        </is>
      </c>
      <c r="U1212" t="inlineStr">
        <is>
          <t>Não</t>
        </is>
      </c>
    </row>
    <row r="1213">
      <c r="A1213" t="inlineStr">
        <is>
          <t>Frete de venda</t>
        </is>
      </c>
      <c r="B1213" t="inlineStr">
        <is>
          <t>2.01.01 Frete Galpão Produto Acabado</t>
        </is>
      </c>
      <c r="C1213" t="inlineStr">
        <is>
          <t>Antes de 2026</t>
        </is>
      </c>
      <c r="D1213" t="inlineStr">
        <is>
          <t>Antes de 2026</t>
        </is>
      </c>
      <c r="E1213" s="28" t="n">
        <v>45688</v>
      </c>
      <c r="F1213" t="inlineStr">
        <is>
          <t>CT-e</t>
        </is>
      </c>
      <c r="G1213" t="inlineStr">
        <is>
          <t>000003624</t>
        </is>
      </c>
      <c r="H1213" t="inlineStr">
        <is>
          <t>R&amp;R TRANSPORTE E LOGISTICA</t>
        </is>
      </c>
      <c r="J1213" s="29" t="n">
        <v>470</v>
      </c>
      <c r="K1213" s="29">
        <f>(1-ISNUMBER(SEARCH("556",M1213)))*(O1213*SUMIFS(Premissas!$C$5:$C$44,Premissas!$A$5:$A$44,$A1213,Premissas!$B$5:$B$44,$B1213)+P1213*SUMIFS(Premissas!$D$5:$D$44,Premissas!$A$5:$A$44,$A1213,Premissas!$B$5:$B$44,$B1213))+R1213*SUMIFS(Premissas!$E$5:$E$44,Premissas!$A$5:$A$44,$A1213,Premissas!$B$5:$B$44,$B1213)+S1213*SUMIFS(Premissas!$F$5:$F$44,Premissas!$A$5:$A$44,$A1213,Premissas!$B$5:$B$44,$B1213)</f>
        <v/>
      </c>
      <c r="L1213" s="29">
        <f>J1213-K1213</f>
        <v/>
      </c>
      <c r="M1213" t="inlineStr">
        <is>
          <t>1.350</t>
        </is>
      </c>
      <c r="N1213" t="inlineStr">
        <is>
          <t>Modalidade: 0 - Por conta do remetente | Parte: RFC COMERCIO DE MIUDEZAS LTDA (26.514.797/0004-81)</t>
        </is>
      </c>
      <c r="O1213" s="29" t="n">
        <v>0</v>
      </c>
      <c r="P1213" s="29" t="n">
        <v>0</v>
      </c>
      <c r="Q1213" s="29" t="n">
        <v>0</v>
      </c>
      <c r="R1213" s="29" t="n">
        <v>0</v>
      </c>
      <c r="S1213" s="29" t="n">
        <v>0</v>
      </c>
      <c r="T1213" t="inlineStr">
        <is>
          <t>25250126975620000130570010000036241000000000</t>
        </is>
      </c>
      <c r="U1213" t="inlineStr">
        <is>
          <t>Não</t>
        </is>
      </c>
    </row>
    <row r="1214">
      <c r="A1214" t="inlineStr">
        <is>
          <t>Frete de venda</t>
        </is>
      </c>
      <c r="B1214" t="inlineStr">
        <is>
          <t>2.01.01 Frete Galpão Produto Acabado</t>
        </is>
      </c>
      <c r="C1214" t="inlineStr">
        <is>
          <t>Antes de 2026</t>
        </is>
      </c>
      <c r="D1214" t="inlineStr">
        <is>
          <t>Antes de 2026</t>
        </is>
      </c>
      <c r="E1214" s="28" t="n">
        <v>45688</v>
      </c>
      <c r="F1214" t="inlineStr">
        <is>
          <t>CT-e</t>
        </is>
      </c>
      <c r="G1214" t="inlineStr">
        <is>
          <t>000003625</t>
        </is>
      </c>
      <c r="H1214" t="inlineStr">
        <is>
          <t>R&amp;R TRANSPORTE E LOGISTICA</t>
        </is>
      </c>
      <c r="J1214" s="29" t="n">
        <v>825</v>
      </c>
      <c r="K1214" s="29">
        <f>(1-ISNUMBER(SEARCH("556",M1214)))*(O1214*SUMIFS(Premissas!$C$5:$C$44,Premissas!$A$5:$A$44,$A1214,Premissas!$B$5:$B$44,$B1214)+P1214*SUMIFS(Premissas!$D$5:$D$44,Premissas!$A$5:$A$44,$A1214,Premissas!$B$5:$B$44,$B1214))+R1214*SUMIFS(Premissas!$E$5:$E$44,Premissas!$A$5:$A$44,$A1214,Premissas!$B$5:$B$44,$B1214)+S1214*SUMIFS(Premissas!$F$5:$F$44,Premissas!$A$5:$A$44,$A1214,Premissas!$B$5:$B$44,$B1214)</f>
        <v/>
      </c>
      <c r="L1214" s="29">
        <f>J1214-K1214</f>
        <v/>
      </c>
      <c r="M1214" t="inlineStr">
        <is>
          <t>1.350</t>
        </is>
      </c>
      <c r="N1214" t="inlineStr">
        <is>
          <t>Modalidade: 0 - Por conta do remetente | Parte: STAMP DISTRIBUIDORA DE EMBALAGENS DE PAPEL E DESCARTAVEI... (48.984.362/0001-90)</t>
        </is>
      </c>
      <c r="O1214" s="29" t="n">
        <v>0</v>
      </c>
      <c r="P1214" s="29" t="n">
        <v>0</v>
      </c>
      <c r="Q1214" s="29" t="n">
        <v>0</v>
      </c>
      <c r="R1214" s="29" t="n">
        <v>0</v>
      </c>
      <c r="S1214" s="29" t="n">
        <v>0</v>
      </c>
      <c r="T1214" t="inlineStr">
        <is>
          <t>25250126975620000130570010000036251000000007</t>
        </is>
      </c>
      <c r="U1214" t="inlineStr">
        <is>
          <t>Não</t>
        </is>
      </c>
    </row>
    <row r="1215">
      <c r="A1215" t="inlineStr">
        <is>
          <t>Frete de venda</t>
        </is>
      </c>
      <c r="B1215" t="inlineStr">
        <is>
          <t>2.01.01 Frete Galpão Produto Acabado</t>
        </is>
      </c>
      <c r="C1215" t="inlineStr">
        <is>
          <t>Antes de 2026</t>
        </is>
      </c>
      <c r="D1215" t="inlineStr">
        <is>
          <t>Antes de 2026</t>
        </is>
      </c>
      <c r="E1215" s="28" t="n">
        <v>45688</v>
      </c>
      <c r="F1215" t="inlineStr">
        <is>
          <t>CT-e</t>
        </is>
      </c>
      <c r="G1215" t="inlineStr">
        <is>
          <t>000003626</t>
        </is>
      </c>
      <c r="H1215" t="inlineStr">
        <is>
          <t>R&amp;R TRANSPORTE E LOGISTICA</t>
        </is>
      </c>
      <c r="J1215" s="29" t="n">
        <v>825</v>
      </c>
      <c r="K1215" s="29">
        <f>(1-ISNUMBER(SEARCH("556",M1215)))*(O1215*SUMIFS(Premissas!$C$5:$C$44,Premissas!$A$5:$A$44,$A1215,Premissas!$B$5:$B$44,$B1215)+P1215*SUMIFS(Premissas!$D$5:$D$44,Premissas!$A$5:$A$44,$A1215,Premissas!$B$5:$B$44,$B1215))+R1215*SUMIFS(Premissas!$E$5:$E$44,Premissas!$A$5:$A$44,$A1215,Premissas!$B$5:$B$44,$B1215)+S1215*SUMIFS(Premissas!$F$5:$F$44,Premissas!$A$5:$A$44,$A1215,Premissas!$B$5:$B$44,$B1215)</f>
        <v/>
      </c>
      <c r="L1215" s="29">
        <f>J1215-K1215</f>
        <v/>
      </c>
      <c r="M1215" t="inlineStr">
        <is>
          <t>1.350</t>
        </is>
      </c>
      <c r="N1215" t="inlineStr">
        <is>
          <t>Modalidade: 0 - Por conta do remetente | Parte: AMORIM e CIA LTDA. (08.291.637/0003-58)</t>
        </is>
      </c>
      <c r="O1215" s="29" t="n">
        <v>0</v>
      </c>
      <c r="P1215" s="29" t="n">
        <v>0</v>
      </c>
      <c r="Q1215" s="29" t="n">
        <v>0</v>
      </c>
      <c r="R1215" s="29" t="n">
        <v>0</v>
      </c>
      <c r="S1215" s="29" t="n">
        <v>0</v>
      </c>
      <c r="T1215" t="inlineStr">
        <is>
          <t>25250126975620000130570010000036261000000004</t>
        </is>
      </c>
      <c r="U1215" t="inlineStr">
        <is>
          <t>Não</t>
        </is>
      </c>
    </row>
    <row r="1216">
      <c r="A1216" t="inlineStr">
        <is>
          <t>Frete de venda</t>
        </is>
      </c>
      <c r="B1216" t="inlineStr">
        <is>
          <t>2.01.01 Frete Galpão Produto Acabado</t>
        </is>
      </c>
      <c r="C1216" t="inlineStr">
        <is>
          <t>Antes de 2026</t>
        </is>
      </c>
      <c r="D1216" t="inlineStr">
        <is>
          <t>Antes de 2026</t>
        </is>
      </c>
      <c r="E1216" s="28" t="n">
        <v>45694</v>
      </c>
      <c r="F1216" t="inlineStr">
        <is>
          <t>CT-e</t>
        </is>
      </c>
      <c r="G1216" t="inlineStr">
        <is>
          <t>000003636</t>
        </is>
      </c>
      <c r="H1216" t="inlineStr">
        <is>
          <t>R&amp;R TRANSPORTE E LOGISTICA</t>
        </is>
      </c>
      <c r="J1216" s="29" t="n">
        <v>45.27</v>
      </c>
      <c r="K1216" s="29">
        <f>(1-ISNUMBER(SEARCH("556",M1216)))*(O1216*SUMIFS(Premissas!$C$5:$C$44,Premissas!$A$5:$A$44,$A1216,Premissas!$B$5:$B$44,$B1216)+P1216*SUMIFS(Premissas!$D$5:$D$44,Premissas!$A$5:$A$44,$A1216,Premissas!$B$5:$B$44,$B1216))+R1216*SUMIFS(Premissas!$E$5:$E$44,Premissas!$A$5:$A$44,$A1216,Premissas!$B$5:$B$44,$B1216)+S1216*SUMIFS(Premissas!$F$5:$F$44,Premissas!$A$5:$A$44,$A1216,Premissas!$B$5:$B$44,$B1216)</f>
        <v/>
      </c>
      <c r="L1216" s="29">
        <f>J1216-K1216</f>
        <v/>
      </c>
      <c r="M1216" t="inlineStr">
        <is>
          <t>1.350</t>
        </is>
      </c>
      <c r="N1216" t="inlineStr">
        <is>
          <t>Modalidade: 0 - Por conta do remetente | Parte: SHALOM COMERCIO DE EMBALAGENS LTDA (30.935.496/0001-56)</t>
        </is>
      </c>
      <c r="O1216" s="29" t="n">
        <v>0</v>
      </c>
      <c r="P1216" s="29" t="n">
        <v>0</v>
      </c>
      <c r="Q1216" s="29" t="n">
        <v>0</v>
      </c>
      <c r="R1216" s="29" t="n">
        <v>0</v>
      </c>
      <c r="S1216" s="29" t="n">
        <v>0</v>
      </c>
      <c r="T1216" t="inlineStr">
        <is>
          <t>25250226975620000130570010000036361000000004</t>
        </is>
      </c>
      <c r="U1216" t="inlineStr">
        <is>
          <t>Não</t>
        </is>
      </c>
    </row>
    <row r="1217">
      <c r="A1217" t="inlineStr">
        <is>
          <t>Frete de venda</t>
        </is>
      </c>
      <c r="B1217" t="inlineStr">
        <is>
          <t>2.01.01 Frete Galpão Produto Acabado</t>
        </is>
      </c>
      <c r="C1217" t="inlineStr">
        <is>
          <t>Antes de 2026</t>
        </is>
      </c>
      <c r="D1217" t="inlineStr">
        <is>
          <t>Antes de 2026</t>
        </is>
      </c>
      <c r="E1217" s="28" t="n">
        <v>45694</v>
      </c>
      <c r="F1217" t="inlineStr">
        <is>
          <t>CT-e</t>
        </is>
      </c>
      <c r="G1217" t="inlineStr">
        <is>
          <t>000003637</t>
        </is>
      </c>
      <c r="H1217" t="inlineStr">
        <is>
          <t>R&amp;R TRANSPORTE E LOGISTICA</t>
        </is>
      </c>
      <c r="J1217" s="29" t="n">
        <v>71.56</v>
      </c>
      <c r="K1217" s="29">
        <f>(1-ISNUMBER(SEARCH("556",M1217)))*(O1217*SUMIFS(Premissas!$C$5:$C$44,Premissas!$A$5:$A$44,$A1217,Premissas!$B$5:$B$44,$B1217)+P1217*SUMIFS(Premissas!$D$5:$D$44,Premissas!$A$5:$A$44,$A1217,Premissas!$B$5:$B$44,$B1217))+R1217*SUMIFS(Premissas!$E$5:$E$44,Premissas!$A$5:$A$44,$A1217,Premissas!$B$5:$B$44,$B1217)+S1217*SUMIFS(Premissas!$F$5:$F$44,Premissas!$A$5:$A$44,$A1217,Premissas!$B$5:$B$44,$B1217)</f>
        <v/>
      </c>
      <c r="L1217" s="29">
        <f>J1217-K1217</f>
        <v/>
      </c>
      <c r="M1217" t="inlineStr">
        <is>
          <t>1.350</t>
        </is>
      </c>
      <c r="N1217" t="inlineStr">
        <is>
          <t>Modalidade: 0 - Por conta do remetente | Parte: J S COMERCIO DE ARTIGOS PARA FESTAS LTDA (27.644.641/0001-35)</t>
        </is>
      </c>
      <c r="O1217" s="29" t="n">
        <v>0</v>
      </c>
      <c r="P1217" s="29" t="n">
        <v>0</v>
      </c>
      <c r="Q1217" s="29" t="n">
        <v>0</v>
      </c>
      <c r="R1217" s="29" t="n">
        <v>0</v>
      </c>
      <c r="S1217" s="29" t="n">
        <v>0</v>
      </c>
      <c r="T1217" t="inlineStr">
        <is>
          <t>25250226975620000130570010000036371000000001</t>
        </is>
      </c>
      <c r="U1217" t="inlineStr">
        <is>
          <t>Não</t>
        </is>
      </c>
    </row>
    <row r="1218">
      <c r="A1218" t="inlineStr">
        <is>
          <t>Frete de venda</t>
        </is>
      </c>
      <c r="B1218" t="inlineStr">
        <is>
          <t>2.01.01 Frete Galpão Produto Acabado</t>
        </is>
      </c>
      <c r="C1218" t="inlineStr">
        <is>
          <t>Antes de 2026</t>
        </is>
      </c>
      <c r="D1218" t="inlineStr">
        <is>
          <t>Antes de 2026</t>
        </is>
      </c>
      <c r="E1218" s="28" t="n">
        <v>45694</v>
      </c>
      <c r="F1218" t="inlineStr">
        <is>
          <t>CT-e</t>
        </is>
      </c>
      <c r="G1218" t="inlineStr">
        <is>
          <t>000003638</t>
        </is>
      </c>
      <c r="H1218" t="inlineStr">
        <is>
          <t>R&amp;R TRANSPORTE E LOGISTICA</t>
        </is>
      </c>
      <c r="J1218" s="29" t="n">
        <v>117.35</v>
      </c>
      <c r="K1218" s="29">
        <f>(1-ISNUMBER(SEARCH("556",M1218)))*(O1218*SUMIFS(Premissas!$C$5:$C$44,Premissas!$A$5:$A$44,$A1218,Premissas!$B$5:$B$44,$B1218)+P1218*SUMIFS(Premissas!$D$5:$D$44,Premissas!$A$5:$A$44,$A1218,Premissas!$B$5:$B$44,$B1218))+R1218*SUMIFS(Premissas!$E$5:$E$44,Premissas!$A$5:$A$44,$A1218,Premissas!$B$5:$B$44,$B1218)+S1218*SUMIFS(Premissas!$F$5:$F$44,Premissas!$A$5:$A$44,$A1218,Premissas!$B$5:$B$44,$B1218)</f>
        <v/>
      </c>
      <c r="L1218" s="29">
        <f>J1218-K1218</f>
        <v/>
      </c>
      <c r="M1218" t="inlineStr">
        <is>
          <t>1.350</t>
        </is>
      </c>
      <c r="N1218" t="inlineStr">
        <is>
          <t>Modalidade: 0 - Por conta do remetente | Parte: SIMAO DISTRIBUIDORA DE EMBALAGENS DESCARTAVEIS LTDA (10.649.489/0001-80)</t>
        </is>
      </c>
      <c r="O1218" s="29" t="n">
        <v>0</v>
      </c>
      <c r="P1218" s="29" t="n">
        <v>0</v>
      </c>
      <c r="Q1218" s="29" t="n">
        <v>0</v>
      </c>
      <c r="R1218" s="29" t="n">
        <v>0</v>
      </c>
      <c r="S1218" s="29" t="n">
        <v>0</v>
      </c>
      <c r="T1218" t="inlineStr">
        <is>
          <t>25250226975620000130570010000036381000000009</t>
        </is>
      </c>
      <c r="U1218" t="inlineStr">
        <is>
          <t>Não</t>
        </is>
      </c>
    </row>
    <row r="1219">
      <c r="A1219" t="inlineStr">
        <is>
          <t>Frete de venda</t>
        </is>
      </c>
      <c r="B1219" t="inlineStr">
        <is>
          <t>2.01.01 Frete Galpão Produto Acabado</t>
        </is>
      </c>
      <c r="C1219" t="inlineStr">
        <is>
          <t>Antes de 2026</t>
        </is>
      </c>
      <c r="D1219" t="inlineStr">
        <is>
          <t>Antes de 2026</t>
        </is>
      </c>
      <c r="E1219" s="28" t="n">
        <v>45694</v>
      </c>
      <c r="F1219" t="inlineStr">
        <is>
          <t>CT-e</t>
        </is>
      </c>
      <c r="G1219" t="inlineStr">
        <is>
          <t>000003639</t>
        </is>
      </c>
      <c r="H1219" t="inlineStr">
        <is>
          <t>R&amp;R TRANSPORTE E LOGISTICA</t>
        </is>
      </c>
      <c r="J1219" s="29" t="n">
        <v>32.98</v>
      </c>
      <c r="K1219" s="29">
        <f>(1-ISNUMBER(SEARCH("556",M1219)))*(O1219*SUMIFS(Premissas!$C$5:$C$44,Premissas!$A$5:$A$44,$A1219,Premissas!$B$5:$B$44,$B1219)+P1219*SUMIFS(Premissas!$D$5:$D$44,Premissas!$A$5:$A$44,$A1219,Premissas!$B$5:$B$44,$B1219))+R1219*SUMIFS(Premissas!$E$5:$E$44,Premissas!$A$5:$A$44,$A1219,Premissas!$B$5:$B$44,$B1219)+S1219*SUMIFS(Premissas!$F$5:$F$44,Premissas!$A$5:$A$44,$A1219,Premissas!$B$5:$B$44,$B1219)</f>
        <v/>
      </c>
      <c r="L1219" s="29">
        <f>J1219-K1219</f>
        <v/>
      </c>
      <c r="M1219" t="inlineStr">
        <is>
          <t>1.350</t>
        </is>
      </c>
      <c r="N1219" t="inlineStr">
        <is>
          <t>Modalidade: 0 - Por conta do remetente | Parte: ALL CLEAN COMERCIO DE PRODUTOS DE LIMPEZA E DESCARTAVEIS... (19.719.607/0001-54)</t>
        </is>
      </c>
      <c r="O1219" s="29" t="n">
        <v>0</v>
      </c>
      <c r="P1219" s="29" t="n">
        <v>0</v>
      </c>
      <c r="Q1219" s="29" t="n">
        <v>0</v>
      </c>
      <c r="R1219" s="29" t="n">
        <v>0</v>
      </c>
      <c r="S1219" s="29" t="n">
        <v>0</v>
      </c>
      <c r="T1219" t="inlineStr">
        <is>
          <t>25250226975620000130570010000036391000000006</t>
        </is>
      </c>
      <c r="U1219" t="inlineStr">
        <is>
          <t>Não</t>
        </is>
      </c>
    </row>
    <row r="1220">
      <c r="A1220" t="inlineStr">
        <is>
          <t>Frete de venda</t>
        </is>
      </c>
      <c r="B1220" t="inlineStr">
        <is>
          <t>2.01.01 Frete Galpão Produto Acabado</t>
        </is>
      </c>
      <c r="C1220" t="inlineStr">
        <is>
          <t>Antes de 2026</t>
        </is>
      </c>
      <c r="D1220" t="inlineStr">
        <is>
          <t>Antes de 2026</t>
        </is>
      </c>
      <c r="E1220" s="28" t="n">
        <v>45694</v>
      </c>
      <c r="F1220" t="inlineStr">
        <is>
          <t>CT-e</t>
        </is>
      </c>
      <c r="G1220" t="inlineStr">
        <is>
          <t>000003640</t>
        </is>
      </c>
      <c r="H1220" t="inlineStr">
        <is>
          <t>R&amp;R TRANSPORTE E LOGISTICA</t>
        </is>
      </c>
      <c r="J1220" s="29" t="n">
        <v>48.68</v>
      </c>
      <c r="K1220" s="29">
        <f>(1-ISNUMBER(SEARCH("556",M1220)))*(O1220*SUMIFS(Premissas!$C$5:$C$44,Premissas!$A$5:$A$44,$A1220,Premissas!$B$5:$B$44,$B1220)+P1220*SUMIFS(Premissas!$D$5:$D$44,Premissas!$A$5:$A$44,$A1220,Premissas!$B$5:$B$44,$B1220))+R1220*SUMIFS(Premissas!$E$5:$E$44,Premissas!$A$5:$A$44,$A1220,Premissas!$B$5:$B$44,$B1220)+S1220*SUMIFS(Premissas!$F$5:$F$44,Premissas!$A$5:$A$44,$A1220,Premissas!$B$5:$B$44,$B1220)</f>
        <v/>
      </c>
      <c r="L1220" s="29">
        <f>J1220-K1220</f>
        <v/>
      </c>
      <c r="M1220" t="inlineStr">
        <is>
          <t>1.350</t>
        </is>
      </c>
      <c r="N1220" t="inlineStr">
        <is>
          <t>Modalidade: 0 - Por conta do remetente | Parte: LHP PRODUTOS DE LIMPEZA E DESCARTAVEIS EM GERAL LTDA (33.533.256/0001-13)</t>
        </is>
      </c>
      <c r="O1220" s="29" t="n">
        <v>0</v>
      </c>
      <c r="P1220" s="29" t="n">
        <v>0</v>
      </c>
      <c r="Q1220" s="29" t="n">
        <v>0</v>
      </c>
      <c r="R1220" s="29" t="n">
        <v>0</v>
      </c>
      <c r="S1220" s="29" t="n">
        <v>0</v>
      </c>
      <c r="T1220" t="inlineStr">
        <is>
          <t>25250226975620000130570010000036401000000007</t>
        </is>
      </c>
      <c r="U1220" t="inlineStr">
        <is>
          <t>Não</t>
        </is>
      </c>
    </row>
    <row r="1221">
      <c r="A1221" t="inlineStr">
        <is>
          <t>Frete de venda</t>
        </is>
      </c>
      <c r="B1221" t="inlineStr">
        <is>
          <t>2.01.01 Frete Galpão Produto Acabado</t>
        </is>
      </c>
      <c r="C1221" t="inlineStr">
        <is>
          <t>Antes de 2026</t>
        </is>
      </c>
      <c r="D1221" t="inlineStr">
        <is>
          <t>Antes de 2026</t>
        </is>
      </c>
      <c r="E1221" s="28" t="n">
        <v>45694</v>
      </c>
      <c r="F1221" t="inlineStr">
        <is>
          <t>CT-e</t>
        </is>
      </c>
      <c r="G1221" t="inlineStr">
        <is>
          <t>000003641</t>
        </is>
      </c>
      <c r="H1221" t="inlineStr">
        <is>
          <t>R&amp;R TRANSPORTE E LOGISTICA</t>
        </is>
      </c>
      <c r="J1221" s="29" t="n">
        <v>42.85</v>
      </c>
      <c r="K1221" s="29">
        <f>(1-ISNUMBER(SEARCH("556",M1221)))*(O1221*SUMIFS(Premissas!$C$5:$C$44,Premissas!$A$5:$A$44,$A1221,Premissas!$B$5:$B$44,$B1221)+P1221*SUMIFS(Premissas!$D$5:$D$44,Premissas!$A$5:$A$44,$A1221,Premissas!$B$5:$B$44,$B1221))+R1221*SUMIFS(Premissas!$E$5:$E$44,Premissas!$A$5:$A$44,$A1221,Premissas!$B$5:$B$44,$B1221)+S1221*SUMIFS(Premissas!$F$5:$F$44,Premissas!$A$5:$A$44,$A1221,Premissas!$B$5:$B$44,$B1221)</f>
        <v/>
      </c>
      <c r="L1221" s="29">
        <f>J1221-K1221</f>
        <v/>
      </c>
      <c r="M1221" t="inlineStr">
        <is>
          <t>1.350</t>
        </is>
      </c>
      <c r="N1221" t="inlineStr">
        <is>
          <t>Modalidade: 0 - Por conta do remetente | Parte: CASINHAPEL EMBALAGENS LTDA (13.190.805/0001-97)</t>
        </is>
      </c>
      <c r="O1221" s="29" t="n">
        <v>0</v>
      </c>
      <c r="P1221" s="29" t="n">
        <v>0</v>
      </c>
      <c r="Q1221" s="29" t="n">
        <v>0</v>
      </c>
      <c r="R1221" s="29" t="n">
        <v>0</v>
      </c>
      <c r="S1221" s="29" t="n">
        <v>0</v>
      </c>
      <c r="T1221" t="inlineStr">
        <is>
          <t>25250226975620000130570010000036411000000004</t>
        </is>
      </c>
      <c r="U1221" t="inlineStr">
        <is>
          <t>Não</t>
        </is>
      </c>
    </row>
    <row r="1222">
      <c r="A1222" t="inlineStr">
        <is>
          <t>Frete de venda</t>
        </is>
      </c>
      <c r="B1222" t="inlineStr">
        <is>
          <t>2.01.01 Frete Galpão Produto Acabado</t>
        </is>
      </c>
      <c r="C1222" t="inlineStr">
        <is>
          <t>Antes de 2026</t>
        </is>
      </c>
      <c r="D1222" t="inlineStr">
        <is>
          <t>Antes de 2026</t>
        </is>
      </c>
      <c r="E1222" s="28" t="n">
        <v>45695</v>
      </c>
      <c r="F1222" t="inlineStr">
        <is>
          <t>CT-e</t>
        </is>
      </c>
      <c r="G1222" t="inlineStr">
        <is>
          <t>000003643</t>
        </is>
      </c>
      <c r="H1222" t="inlineStr">
        <is>
          <t>R&amp;R TRANSPORTE E LOGISTICA</t>
        </is>
      </c>
      <c r="J1222" s="29" t="n">
        <v>66</v>
      </c>
      <c r="K1222" s="29">
        <f>(1-ISNUMBER(SEARCH("556",M1222)))*(O1222*SUMIFS(Premissas!$C$5:$C$44,Premissas!$A$5:$A$44,$A1222,Premissas!$B$5:$B$44,$B1222)+P1222*SUMIFS(Premissas!$D$5:$D$44,Premissas!$A$5:$A$44,$A1222,Premissas!$B$5:$B$44,$B1222))+R1222*SUMIFS(Premissas!$E$5:$E$44,Premissas!$A$5:$A$44,$A1222,Premissas!$B$5:$B$44,$B1222)+S1222*SUMIFS(Premissas!$F$5:$F$44,Premissas!$A$5:$A$44,$A1222,Premissas!$B$5:$B$44,$B1222)</f>
        <v/>
      </c>
      <c r="L1222" s="29">
        <f>J1222-K1222</f>
        <v/>
      </c>
      <c r="M1222" t="inlineStr">
        <is>
          <t>1.350</t>
        </is>
      </c>
      <c r="N1222" t="inlineStr">
        <is>
          <t>Modalidade: 0 - Por conta do remetente | Parte: J O FERREIRA FELIPE COMERCIO DE EMBALAGENS LTDA (13.051.003/0001-04)</t>
        </is>
      </c>
      <c r="O1222" s="29" t="n">
        <v>0</v>
      </c>
      <c r="P1222" s="29" t="n">
        <v>0</v>
      </c>
      <c r="Q1222" s="29" t="n">
        <v>0</v>
      </c>
      <c r="R1222" s="29" t="n">
        <v>0</v>
      </c>
      <c r="S1222" s="29" t="n">
        <v>0</v>
      </c>
      <c r="T1222" t="inlineStr">
        <is>
          <t>25250226975620000130570010000036431000000009</t>
        </is>
      </c>
      <c r="U1222" t="inlineStr">
        <is>
          <t>Não</t>
        </is>
      </c>
    </row>
    <row r="1223">
      <c r="A1223" t="inlineStr">
        <is>
          <t>Frete de venda</t>
        </is>
      </c>
      <c r="B1223" t="inlineStr">
        <is>
          <t>2.01.01 Frete Galpão Produto Acabado</t>
        </is>
      </c>
      <c r="C1223" t="inlineStr">
        <is>
          <t>Antes de 2026</t>
        </is>
      </c>
      <c r="D1223" t="inlineStr">
        <is>
          <t>Antes de 2026</t>
        </is>
      </c>
      <c r="E1223" s="28" t="n">
        <v>45695</v>
      </c>
      <c r="F1223" t="inlineStr">
        <is>
          <t>CT-e</t>
        </is>
      </c>
      <c r="G1223" t="inlineStr">
        <is>
          <t>000003644</t>
        </is>
      </c>
      <c r="H1223" t="inlineStr">
        <is>
          <t>R&amp;R TRANSPORTE E LOGISTICA</t>
        </is>
      </c>
      <c r="J1223" s="29" t="n">
        <v>72</v>
      </c>
      <c r="K1223" s="29">
        <f>(1-ISNUMBER(SEARCH("556",M1223)))*(O1223*SUMIFS(Premissas!$C$5:$C$44,Premissas!$A$5:$A$44,$A1223,Premissas!$B$5:$B$44,$B1223)+P1223*SUMIFS(Premissas!$D$5:$D$44,Premissas!$A$5:$A$44,$A1223,Premissas!$B$5:$B$44,$B1223))+R1223*SUMIFS(Premissas!$E$5:$E$44,Premissas!$A$5:$A$44,$A1223,Premissas!$B$5:$B$44,$B1223)+S1223*SUMIFS(Premissas!$F$5:$F$44,Premissas!$A$5:$A$44,$A1223,Premissas!$B$5:$B$44,$B1223)</f>
        <v/>
      </c>
      <c r="L1223" s="29">
        <f>J1223-K1223</f>
        <v/>
      </c>
      <c r="M1223" t="inlineStr">
        <is>
          <t>1.350</t>
        </is>
      </c>
      <c r="N1223" t="inlineStr">
        <is>
          <t>Modalidade: 0 - Por conta do remetente | Parte: JND DISTRIBUIDORA LTDA (36.332.668/0001-83)</t>
        </is>
      </c>
      <c r="O1223" s="29" t="n">
        <v>0</v>
      </c>
      <c r="P1223" s="29" t="n">
        <v>0</v>
      </c>
      <c r="Q1223" s="29" t="n">
        <v>0</v>
      </c>
      <c r="R1223" s="29" t="n">
        <v>0</v>
      </c>
      <c r="S1223" s="29" t="n">
        <v>0</v>
      </c>
      <c r="T1223" t="inlineStr">
        <is>
          <t>25250226975620000130570010000036441000000006</t>
        </is>
      </c>
      <c r="U1223" t="inlineStr">
        <is>
          <t>Não</t>
        </is>
      </c>
    </row>
    <row r="1224">
      <c r="A1224" t="inlineStr">
        <is>
          <t>Frete de venda</t>
        </is>
      </c>
      <c r="B1224" t="inlineStr">
        <is>
          <t>2.01.01 Frete Galpão Produto Acabado</t>
        </is>
      </c>
      <c r="C1224" t="inlineStr">
        <is>
          <t>Antes de 2026</t>
        </is>
      </c>
      <c r="D1224" t="inlineStr">
        <is>
          <t>Antes de 2026</t>
        </is>
      </c>
      <c r="E1224" s="28" t="n">
        <v>45695</v>
      </c>
      <c r="F1224" t="inlineStr">
        <is>
          <t>CT-e</t>
        </is>
      </c>
      <c r="G1224" t="inlineStr">
        <is>
          <t>000003645</t>
        </is>
      </c>
      <c r="H1224" t="inlineStr">
        <is>
          <t>R&amp;R TRANSPORTE E LOGISTICA</t>
        </is>
      </c>
      <c r="J1224" s="29" t="n">
        <v>66</v>
      </c>
      <c r="K1224" s="29">
        <f>(1-ISNUMBER(SEARCH("556",M1224)))*(O1224*SUMIFS(Premissas!$C$5:$C$44,Premissas!$A$5:$A$44,$A1224,Premissas!$B$5:$B$44,$B1224)+P1224*SUMIFS(Premissas!$D$5:$D$44,Premissas!$A$5:$A$44,$A1224,Premissas!$B$5:$B$44,$B1224))+R1224*SUMIFS(Premissas!$E$5:$E$44,Premissas!$A$5:$A$44,$A1224,Premissas!$B$5:$B$44,$B1224)+S1224*SUMIFS(Premissas!$F$5:$F$44,Premissas!$A$5:$A$44,$A1224,Premissas!$B$5:$B$44,$B1224)</f>
        <v/>
      </c>
      <c r="L1224" s="29">
        <f>J1224-K1224</f>
        <v/>
      </c>
      <c r="M1224" t="inlineStr">
        <is>
          <t>1.350</t>
        </is>
      </c>
      <c r="N1224" t="inlineStr">
        <is>
          <t>Modalidade: 0 - Por conta do remetente | Parte: VIP DISTRIBUIDORA DE EMBALAGENS LTDA (51.987.110/0001-20)</t>
        </is>
      </c>
      <c r="O1224" s="29" t="n">
        <v>0</v>
      </c>
      <c r="P1224" s="29" t="n">
        <v>0</v>
      </c>
      <c r="Q1224" s="29" t="n">
        <v>0</v>
      </c>
      <c r="R1224" s="29" t="n">
        <v>0</v>
      </c>
      <c r="S1224" s="29" t="n">
        <v>0</v>
      </c>
      <c r="T1224" t="inlineStr">
        <is>
          <t>25250226975620000130570010000036451000000003</t>
        </is>
      </c>
      <c r="U1224" t="inlineStr">
        <is>
          <t>Não</t>
        </is>
      </c>
    </row>
    <row r="1225">
      <c r="A1225" t="inlineStr">
        <is>
          <t>Frete de venda</t>
        </is>
      </c>
      <c r="B1225" t="inlineStr">
        <is>
          <t>2.01.01 Frete Galpão Produto Acabado</t>
        </is>
      </c>
      <c r="C1225" t="inlineStr">
        <is>
          <t>Antes de 2026</t>
        </is>
      </c>
      <c r="D1225" t="inlineStr">
        <is>
          <t>Antes de 2026</t>
        </is>
      </c>
      <c r="E1225" s="28" t="n">
        <v>45696</v>
      </c>
      <c r="F1225" t="inlineStr">
        <is>
          <t>CT-e</t>
        </is>
      </c>
      <c r="G1225" t="inlineStr">
        <is>
          <t>000003650</t>
        </is>
      </c>
      <c r="H1225" t="inlineStr">
        <is>
          <t>R&amp;R TRANSPORTE E LOGISTICA</t>
        </is>
      </c>
      <c r="J1225" s="29" t="n">
        <v>5000</v>
      </c>
      <c r="K1225" s="29">
        <f>(1-ISNUMBER(SEARCH("556",M1225)))*(O1225*SUMIFS(Premissas!$C$5:$C$44,Premissas!$A$5:$A$44,$A1225,Premissas!$B$5:$B$44,$B1225)+P1225*SUMIFS(Premissas!$D$5:$D$44,Premissas!$A$5:$A$44,$A1225,Premissas!$B$5:$B$44,$B1225))+R1225*SUMIFS(Premissas!$E$5:$E$44,Premissas!$A$5:$A$44,$A1225,Premissas!$B$5:$B$44,$B1225)+S1225*SUMIFS(Premissas!$F$5:$F$44,Premissas!$A$5:$A$44,$A1225,Premissas!$B$5:$B$44,$B1225)</f>
        <v/>
      </c>
      <c r="L1225" s="29">
        <f>J1225-K1225</f>
        <v/>
      </c>
      <c r="M1225" t="inlineStr">
        <is>
          <t>1.350</t>
        </is>
      </c>
      <c r="N1225" t="inlineStr">
        <is>
          <t>Modalidade: 0 - Por conta do remetente | Parte: MARCOS NATANAEL DOS SANTOS ROCHA (14.727.584/0001-06)</t>
        </is>
      </c>
      <c r="O1225" s="29" t="n">
        <v>0</v>
      </c>
      <c r="P1225" s="29" t="n">
        <v>0</v>
      </c>
      <c r="Q1225" s="29" t="n">
        <v>0</v>
      </c>
      <c r="R1225" s="29" t="n">
        <v>0</v>
      </c>
      <c r="S1225" s="29" t="n">
        <v>0</v>
      </c>
      <c r="T1225" t="inlineStr">
        <is>
          <t>25250226975620000130570010000036501000000003</t>
        </is>
      </c>
      <c r="U1225" t="inlineStr">
        <is>
          <t>Não</t>
        </is>
      </c>
    </row>
    <row r="1226">
      <c r="A1226" t="inlineStr">
        <is>
          <t>Frete de venda</t>
        </is>
      </c>
      <c r="B1226" t="inlineStr">
        <is>
          <t>2.01.01 Frete Galpão Produto Acabado</t>
        </is>
      </c>
      <c r="C1226" t="inlineStr">
        <is>
          <t>Antes de 2026</t>
        </is>
      </c>
      <c r="D1226" t="inlineStr">
        <is>
          <t>Antes de 2026</t>
        </is>
      </c>
      <c r="E1226" s="28" t="n">
        <v>45698</v>
      </c>
      <c r="F1226" t="inlineStr">
        <is>
          <t>CT-e</t>
        </is>
      </c>
      <c r="G1226" t="inlineStr">
        <is>
          <t>000003652</t>
        </is>
      </c>
      <c r="H1226" t="inlineStr">
        <is>
          <t>R&amp;R TRANSPORTE E LOGISTICA</t>
        </is>
      </c>
      <c r="J1226" s="29" t="n">
        <v>400</v>
      </c>
      <c r="K1226" s="29">
        <f>(1-ISNUMBER(SEARCH("556",M1226)))*(O1226*SUMIFS(Premissas!$C$5:$C$44,Premissas!$A$5:$A$44,$A1226,Premissas!$B$5:$B$44,$B1226)+P1226*SUMIFS(Premissas!$D$5:$D$44,Premissas!$A$5:$A$44,$A1226,Premissas!$B$5:$B$44,$B1226))+R1226*SUMIFS(Premissas!$E$5:$E$44,Premissas!$A$5:$A$44,$A1226,Premissas!$B$5:$B$44,$B1226)+S1226*SUMIFS(Premissas!$F$5:$F$44,Premissas!$A$5:$A$44,$A1226,Premissas!$B$5:$B$44,$B1226)</f>
        <v/>
      </c>
      <c r="L1226" s="29">
        <f>J1226-K1226</f>
        <v/>
      </c>
      <c r="M1226" t="inlineStr">
        <is>
          <t>1.350</t>
        </is>
      </c>
      <c r="N1226" t="inlineStr">
        <is>
          <t>Modalidade: 0 - Por conta do remetente | Parte: MARCOS NATANAEL DOS SANTOS ROCHA (14.727.584/0001-06)</t>
        </is>
      </c>
      <c r="O1226" s="29" t="n">
        <v>0</v>
      </c>
      <c r="P1226" s="29" t="n">
        <v>0</v>
      </c>
      <c r="Q1226" s="29" t="n">
        <v>0</v>
      </c>
      <c r="R1226" s="29" t="n">
        <v>0</v>
      </c>
      <c r="S1226" s="29" t="n">
        <v>0</v>
      </c>
      <c r="T1226" t="inlineStr">
        <is>
          <t>25250226975620000130570010000036521000000008</t>
        </is>
      </c>
      <c r="U1226" t="inlineStr">
        <is>
          <t>Não</t>
        </is>
      </c>
    </row>
    <row r="1227">
      <c r="A1227" t="inlineStr">
        <is>
          <t>Frete de venda</t>
        </is>
      </c>
      <c r="B1227" t="inlineStr">
        <is>
          <t>2.01.01 Frete Galpão Produto Acabado</t>
        </is>
      </c>
      <c r="C1227" t="inlineStr">
        <is>
          <t>Antes de 2026</t>
        </is>
      </c>
      <c r="D1227" t="inlineStr">
        <is>
          <t>Antes de 2026</t>
        </is>
      </c>
      <c r="E1227" s="28" t="n">
        <v>45701</v>
      </c>
      <c r="F1227" t="inlineStr">
        <is>
          <t>CT-e</t>
        </is>
      </c>
      <c r="G1227" t="inlineStr">
        <is>
          <t>000003663</t>
        </is>
      </c>
      <c r="H1227" t="inlineStr">
        <is>
          <t>R&amp;R TRANSPORTE E LOGISTICA</t>
        </is>
      </c>
      <c r="J1227" s="29" t="n">
        <v>87</v>
      </c>
      <c r="K1227" s="29">
        <f>(1-ISNUMBER(SEARCH("556",M1227)))*(O1227*SUMIFS(Premissas!$C$5:$C$44,Premissas!$A$5:$A$44,$A1227,Premissas!$B$5:$B$44,$B1227)+P1227*SUMIFS(Premissas!$D$5:$D$44,Premissas!$A$5:$A$44,$A1227,Premissas!$B$5:$B$44,$B1227))+R1227*SUMIFS(Premissas!$E$5:$E$44,Premissas!$A$5:$A$44,$A1227,Premissas!$B$5:$B$44,$B1227)+S1227*SUMIFS(Premissas!$F$5:$F$44,Premissas!$A$5:$A$44,$A1227,Premissas!$B$5:$B$44,$B1227)</f>
        <v/>
      </c>
      <c r="L1227" s="29">
        <f>J1227-K1227</f>
        <v/>
      </c>
      <c r="M1227" t="inlineStr">
        <is>
          <t>1.350</t>
        </is>
      </c>
      <c r="N1227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27" s="29" t="n">
        <v>0</v>
      </c>
      <c r="P1227" s="29" t="n">
        <v>0</v>
      </c>
      <c r="Q1227" s="29" t="n">
        <v>0</v>
      </c>
      <c r="R1227" s="29" t="n">
        <v>0</v>
      </c>
      <c r="S1227" s="29" t="n">
        <v>0</v>
      </c>
      <c r="T1227" t="inlineStr">
        <is>
          <t>25250226975620000130570010000036631000000001</t>
        </is>
      </c>
      <c r="U1227" t="inlineStr">
        <is>
          <t>Não</t>
        </is>
      </c>
    </row>
    <row r="1228">
      <c r="A1228" t="inlineStr">
        <is>
          <t>Frete de venda</t>
        </is>
      </c>
      <c r="B1228" t="inlineStr">
        <is>
          <t>2.01.01 Frete Galpão Produto Acabado</t>
        </is>
      </c>
      <c r="C1228" t="inlineStr">
        <is>
          <t>Antes de 2026</t>
        </is>
      </c>
      <c r="D1228" t="inlineStr">
        <is>
          <t>Antes de 2026</t>
        </is>
      </c>
      <c r="E1228" s="28" t="n">
        <v>45701</v>
      </c>
      <c r="F1228" t="inlineStr">
        <is>
          <t>CT-e</t>
        </is>
      </c>
      <c r="G1228" t="inlineStr">
        <is>
          <t>000003664</t>
        </is>
      </c>
      <c r="H1228" t="inlineStr">
        <is>
          <t>R&amp;R TRANSPORTE E LOGISTICA</t>
        </is>
      </c>
      <c r="J1228" s="29" t="n">
        <v>44</v>
      </c>
      <c r="K1228" s="29">
        <f>(1-ISNUMBER(SEARCH("556",M1228)))*(O1228*SUMIFS(Premissas!$C$5:$C$44,Premissas!$A$5:$A$44,$A1228,Premissas!$B$5:$B$44,$B1228)+P1228*SUMIFS(Premissas!$D$5:$D$44,Premissas!$A$5:$A$44,$A1228,Premissas!$B$5:$B$44,$B1228))+R1228*SUMIFS(Premissas!$E$5:$E$44,Premissas!$A$5:$A$44,$A1228,Premissas!$B$5:$B$44,$B1228)+S1228*SUMIFS(Premissas!$F$5:$F$44,Premissas!$A$5:$A$44,$A1228,Premissas!$B$5:$B$44,$B1228)</f>
        <v/>
      </c>
      <c r="L1228" s="29">
        <f>J1228-K1228</f>
        <v/>
      </c>
      <c r="M1228" t="inlineStr">
        <is>
          <t>1.350</t>
        </is>
      </c>
      <c r="N1228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28" s="29" t="n">
        <v>0</v>
      </c>
      <c r="P1228" s="29" t="n">
        <v>0</v>
      </c>
      <c r="Q1228" s="29" t="n">
        <v>0</v>
      </c>
      <c r="R1228" s="29" t="n">
        <v>0</v>
      </c>
      <c r="S1228" s="29" t="n">
        <v>0</v>
      </c>
      <c r="T1228" t="inlineStr">
        <is>
          <t>25250226975620000130570010000036641000000009</t>
        </is>
      </c>
      <c r="U1228" t="inlineStr">
        <is>
          <t>Não</t>
        </is>
      </c>
    </row>
    <row r="1229">
      <c r="A1229" t="inlineStr">
        <is>
          <t>Frete de venda</t>
        </is>
      </c>
      <c r="B1229" t="inlineStr">
        <is>
          <t>2.01.01 Frete Galpão Produto Acabado</t>
        </is>
      </c>
      <c r="C1229" t="inlineStr">
        <is>
          <t>Antes de 2026</t>
        </is>
      </c>
      <c r="D1229" t="inlineStr">
        <is>
          <t>Antes de 2026</t>
        </is>
      </c>
      <c r="E1229" s="28" t="n">
        <v>45701</v>
      </c>
      <c r="F1229" t="inlineStr">
        <is>
          <t>CT-e</t>
        </is>
      </c>
      <c r="G1229" t="inlineStr">
        <is>
          <t>000003665</t>
        </is>
      </c>
      <c r="H1229" t="inlineStr">
        <is>
          <t>R&amp;R TRANSPORTE E LOGISTICA</t>
        </is>
      </c>
      <c r="J1229" s="29" t="n">
        <v>57</v>
      </c>
      <c r="K1229" s="29">
        <f>(1-ISNUMBER(SEARCH("556",M1229)))*(O1229*SUMIFS(Premissas!$C$5:$C$44,Premissas!$A$5:$A$44,$A1229,Premissas!$B$5:$B$44,$B1229)+P1229*SUMIFS(Premissas!$D$5:$D$44,Premissas!$A$5:$A$44,$A1229,Premissas!$B$5:$B$44,$B1229))+R1229*SUMIFS(Premissas!$E$5:$E$44,Premissas!$A$5:$A$44,$A1229,Premissas!$B$5:$B$44,$B1229)+S1229*SUMIFS(Premissas!$F$5:$F$44,Premissas!$A$5:$A$44,$A1229,Premissas!$B$5:$B$44,$B1229)</f>
        <v/>
      </c>
      <c r="L1229" s="29">
        <f>J1229-K1229</f>
        <v/>
      </c>
      <c r="M1229" t="inlineStr">
        <is>
          <t>1.350</t>
        </is>
      </c>
      <c r="N1229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29" s="29" t="n">
        <v>0</v>
      </c>
      <c r="P1229" s="29" t="n">
        <v>0</v>
      </c>
      <c r="Q1229" s="29" t="n">
        <v>0</v>
      </c>
      <c r="R1229" s="29" t="n">
        <v>0</v>
      </c>
      <c r="S1229" s="29" t="n">
        <v>0</v>
      </c>
      <c r="T1229" t="inlineStr">
        <is>
          <t>25250226975620000130570010000036651000000006</t>
        </is>
      </c>
      <c r="U1229" t="inlineStr">
        <is>
          <t>Não</t>
        </is>
      </c>
    </row>
    <row r="1230">
      <c r="A1230" t="inlineStr">
        <is>
          <t>Frete de venda</t>
        </is>
      </c>
      <c r="B1230" t="inlineStr">
        <is>
          <t>2.01.01 Frete Galpão Produto Acabado</t>
        </is>
      </c>
      <c r="C1230" t="inlineStr">
        <is>
          <t>Antes de 2026</t>
        </is>
      </c>
      <c r="D1230" t="inlineStr">
        <is>
          <t>Antes de 2026</t>
        </is>
      </c>
      <c r="E1230" s="28" t="n">
        <v>45701</v>
      </c>
      <c r="F1230" t="inlineStr">
        <is>
          <t>CT-e</t>
        </is>
      </c>
      <c r="G1230" t="inlineStr">
        <is>
          <t>000003666</t>
        </is>
      </c>
      <c r="H1230" t="inlineStr">
        <is>
          <t>R&amp;R TRANSPORTE E LOGISTICA</t>
        </is>
      </c>
      <c r="J1230" s="29" t="n">
        <v>48</v>
      </c>
      <c r="K1230" s="29">
        <f>(1-ISNUMBER(SEARCH("556",M1230)))*(O1230*SUMIFS(Premissas!$C$5:$C$44,Premissas!$A$5:$A$44,$A1230,Premissas!$B$5:$B$44,$B1230)+P1230*SUMIFS(Premissas!$D$5:$D$44,Premissas!$A$5:$A$44,$A1230,Premissas!$B$5:$B$44,$B1230))+R1230*SUMIFS(Premissas!$E$5:$E$44,Premissas!$A$5:$A$44,$A1230,Premissas!$B$5:$B$44,$B1230)+S1230*SUMIFS(Premissas!$F$5:$F$44,Premissas!$A$5:$A$44,$A1230,Premissas!$B$5:$B$44,$B1230)</f>
        <v/>
      </c>
      <c r="L1230" s="29">
        <f>J1230-K1230</f>
        <v/>
      </c>
      <c r="M1230" t="inlineStr">
        <is>
          <t>1.350</t>
        </is>
      </c>
      <c r="N1230" t="inlineStr">
        <is>
          <t>Modalidade: 0 - Por conta do remetente | Parte: A C M DA SILVA COMERCIO (15.485.160/0001-45)</t>
        </is>
      </c>
      <c r="O1230" s="29" t="n">
        <v>0</v>
      </c>
      <c r="P1230" s="29" t="n">
        <v>0</v>
      </c>
      <c r="Q1230" s="29" t="n">
        <v>0</v>
      </c>
      <c r="R1230" s="29" t="n">
        <v>0</v>
      </c>
      <c r="S1230" s="29" t="n">
        <v>0</v>
      </c>
      <c r="T1230" t="inlineStr">
        <is>
          <t>25250226975620000130570010000036661000000003</t>
        </is>
      </c>
      <c r="U1230" t="inlineStr">
        <is>
          <t>Não</t>
        </is>
      </c>
    </row>
    <row r="1231">
      <c r="A1231" t="inlineStr">
        <is>
          <t>Frete de venda</t>
        </is>
      </c>
      <c r="B1231" t="inlineStr">
        <is>
          <t>2.01.01 Frete Galpão Produto Acabado</t>
        </is>
      </c>
      <c r="C1231" t="inlineStr">
        <is>
          <t>Antes de 2026</t>
        </is>
      </c>
      <c r="D1231" t="inlineStr">
        <is>
          <t>Antes de 2026</t>
        </is>
      </c>
      <c r="E1231" s="28" t="n">
        <v>45701</v>
      </c>
      <c r="F1231" t="inlineStr">
        <is>
          <t>CT-e</t>
        </is>
      </c>
      <c r="G1231" t="inlineStr">
        <is>
          <t>000003667</t>
        </is>
      </c>
      <c r="H1231" t="inlineStr">
        <is>
          <t>R&amp;R TRANSPORTE E LOGISTICA</t>
        </is>
      </c>
      <c r="J1231" s="29" t="n">
        <v>44</v>
      </c>
      <c r="K1231" s="29">
        <f>(1-ISNUMBER(SEARCH("556",M1231)))*(O1231*SUMIFS(Premissas!$C$5:$C$44,Premissas!$A$5:$A$44,$A1231,Premissas!$B$5:$B$44,$B1231)+P1231*SUMIFS(Premissas!$D$5:$D$44,Premissas!$A$5:$A$44,$A1231,Premissas!$B$5:$B$44,$B1231))+R1231*SUMIFS(Premissas!$E$5:$E$44,Premissas!$A$5:$A$44,$A1231,Premissas!$B$5:$B$44,$B1231)+S1231*SUMIFS(Premissas!$F$5:$F$44,Premissas!$A$5:$A$44,$A1231,Premissas!$B$5:$B$44,$B1231)</f>
        <v/>
      </c>
      <c r="L1231" s="29">
        <f>J1231-K1231</f>
        <v/>
      </c>
      <c r="M1231" t="inlineStr">
        <is>
          <t>1.350</t>
        </is>
      </c>
      <c r="N1231" t="inlineStr">
        <is>
          <t>Modalidade: 0 - Por conta do remetente | Parte: J. B. BORGES e CIA LTDA (08.018.936/0001-51)</t>
        </is>
      </c>
      <c r="O1231" s="29" t="n">
        <v>0</v>
      </c>
      <c r="P1231" s="29" t="n">
        <v>0</v>
      </c>
      <c r="Q1231" s="29" t="n">
        <v>0</v>
      </c>
      <c r="R1231" s="29" t="n">
        <v>0</v>
      </c>
      <c r="S1231" s="29" t="n">
        <v>0</v>
      </c>
      <c r="T1231" t="inlineStr">
        <is>
          <t>25250226975620000130570010000036671000000000</t>
        </is>
      </c>
      <c r="U1231" t="inlineStr">
        <is>
          <t>Não</t>
        </is>
      </c>
    </row>
    <row r="1232">
      <c r="A1232" t="inlineStr">
        <is>
          <t>Frete de venda</t>
        </is>
      </c>
      <c r="B1232" t="inlineStr">
        <is>
          <t>2.01.01 Frete Galpão Produto Acabado</t>
        </is>
      </c>
      <c r="C1232" t="inlineStr">
        <is>
          <t>Antes de 2026</t>
        </is>
      </c>
      <c r="D1232" t="inlineStr">
        <is>
          <t>Antes de 2026</t>
        </is>
      </c>
      <c r="E1232" s="28" t="n">
        <v>45701</v>
      </c>
      <c r="F1232" t="inlineStr">
        <is>
          <t>CT-e</t>
        </is>
      </c>
      <c r="G1232" t="inlineStr">
        <is>
          <t>000003668</t>
        </is>
      </c>
      <c r="H1232" t="inlineStr">
        <is>
          <t>R&amp;R TRANSPORTE E LOGISTICA</t>
        </is>
      </c>
      <c r="J1232" s="29" t="n">
        <v>42</v>
      </c>
      <c r="K1232" s="29">
        <f>(1-ISNUMBER(SEARCH("556",M1232)))*(O1232*SUMIFS(Premissas!$C$5:$C$44,Premissas!$A$5:$A$44,$A1232,Premissas!$B$5:$B$44,$B1232)+P1232*SUMIFS(Premissas!$D$5:$D$44,Premissas!$A$5:$A$44,$A1232,Premissas!$B$5:$B$44,$B1232))+R1232*SUMIFS(Premissas!$E$5:$E$44,Premissas!$A$5:$A$44,$A1232,Premissas!$B$5:$B$44,$B1232)+S1232*SUMIFS(Premissas!$F$5:$F$44,Premissas!$A$5:$A$44,$A1232,Premissas!$B$5:$B$44,$B1232)</f>
        <v/>
      </c>
      <c r="L1232" s="29">
        <f>J1232-K1232</f>
        <v/>
      </c>
      <c r="M1232" t="inlineStr">
        <is>
          <t>1.350</t>
        </is>
      </c>
      <c r="N1232" t="inlineStr">
        <is>
          <t>Modalidade: 0 - Por conta do remetente | Parte: PEPPERONI EMPREENDIMENTOS LTDA (19.288.223/0001-24)</t>
        </is>
      </c>
      <c r="O1232" s="29" t="n">
        <v>0</v>
      </c>
      <c r="P1232" s="29" t="n">
        <v>0</v>
      </c>
      <c r="Q1232" s="29" t="n">
        <v>0</v>
      </c>
      <c r="R1232" s="29" t="n">
        <v>0</v>
      </c>
      <c r="S1232" s="29" t="n">
        <v>0</v>
      </c>
      <c r="T1232" t="inlineStr">
        <is>
          <t>25250226975620000130570010000036681000000008</t>
        </is>
      </c>
      <c r="U1232" t="inlineStr">
        <is>
          <t>Não</t>
        </is>
      </c>
    </row>
    <row r="1233">
      <c r="A1233" t="inlineStr">
        <is>
          <t>Frete de venda</t>
        </is>
      </c>
      <c r="B1233" t="inlineStr">
        <is>
          <t>2.01.01 Frete Galpão Produto Acabado</t>
        </is>
      </c>
      <c r="C1233" t="inlineStr">
        <is>
          <t>Antes de 2026</t>
        </is>
      </c>
      <c r="D1233" t="inlineStr">
        <is>
          <t>Antes de 2026</t>
        </is>
      </c>
      <c r="E1233" s="28" t="n">
        <v>45701</v>
      </c>
      <c r="F1233" t="inlineStr">
        <is>
          <t>CT-e</t>
        </is>
      </c>
      <c r="G1233" t="inlineStr">
        <is>
          <t>000003669</t>
        </is>
      </c>
      <c r="H1233" t="inlineStr">
        <is>
          <t>R&amp;R TRANSPORTE E LOGISTICA</t>
        </is>
      </c>
      <c r="J1233" s="29" t="n">
        <v>650</v>
      </c>
      <c r="K1233" s="29">
        <f>(1-ISNUMBER(SEARCH("556",M1233)))*(O1233*SUMIFS(Premissas!$C$5:$C$44,Premissas!$A$5:$A$44,$A1233,Premissas!$B$5:$B$44,$B1233)+P1233*SUMIFS(Premissas!$D$5:$D$44,Premissas!$A$5:$A$44,$A1233,Premissas!$B$5:$B$44,$B1233))+R1233*SUMIFS(Premissas!$E$5:$E$44,Premissas!$A$5:$A$44,$A1233,Premissas!$B$5:$B$44,$B1233)+S1233*SUMIFS(Premissas!$F$5:$F$44,Premissas!$A$5:$A$44,$A1233,Premissas!$B$5:$B$44,$B1233)</f>
        <v/>
      </c>
      <c r="L1233" s="29">
        <f>J1233-K1233</f>
        <v/>
      </c>
      <c r="M1233" t="inlineStr">
        <is>
          <t>1.350</t>
        </is>
      </c>
      <c r="N1233" t="inlineStr">
        <is>
          <t>Modalidade: 0 - Por conta do remetente | Parte: CAEL DISTRIBUIDORA DE PRODUTOS DE HIGIENE E LIMPEZA LTDA (15.129.402/0001-68)</t>
        </is>
      </c>
      <c r="O1233" s="29" t="n">
        <v>0</v>
      </c>
      <c r="P1233" s="29" t="n">
        <v>0</v>
      </c>
      <c r="Q1233" s="29" t="n">
        <v>0</v>
      </c>
      <c r="R1233" s="29" t="n">
        <v>0</v>
      </c>
      <c r="S1233" s="29" t="n">
        <v>0</v>
      </c>
      <c r="T1233" t="inlineStr">
        <is>
          <t>25250226975620000130570010000036691000000005</t>
        </is>
      </c>
      <c r="U1233" t="inlineStr">
        <is>
          <t>Não</t>
        </is>
      </c>
    </row>
    <row r="1234">
      <c r="A1234" t="inlineStr">
        <is>
          <t>Frete de venda</t>
        </is>
      </c>
      <c r="B1234" t="inlineStr">
        <is>
          <t>2.01.01 Frete Galpão Produto Acabado</t>
        </is>
      </c>
      <c r="C1234" t="inlineStr">
        <is>
          <t>Antes de 2026</t>
        </is>
      </c>
      <c r="D1234" t="inlineStr">
        <is>
          <t>Antes de 2026</t>
        </is>
      </c>
      <c r="E1234" s="28" t="n">
        <v>45701</v>
      </c>
      <c r="F1234" t="inlineStr">
        <is>
          <t>CT-e</t>
        </is>
      </c>
      <c r="G1234" t="inlineStr">
        <is>
          <t>000003670</t>
        </is>
      </c>
      <c r="H1234" t="inlineStr">
        <is>
          <t>R&amp;R TRANSPORTE E LOGISTICA</t>
        </is>
      </c>
      <c r="J1234" s="29" t="n">
        <v>500</v>
      </c>
      <c r="K1234" s="29">
        <f>(1-ISNUMBER(SEARCH("556",M1234)))*(O1234*SUMIFS(Premissas!$C$5:$C$44,Premissas!$A$5:$A$44,$A1234,Premissas!$B$5:$B$44,$B1234)+P1234*SUMIFS(Premissas!$D$5:$D$44,Premissas!$A$5:$A$44,$A1234,Premissas!$B$5:$B$44,$B1234))+R1234*SUMIFS(Premissas!$E$5:$E$44,Premissas!$A$5:$A$44,$A1234,Premissas!$B$5:$B$44,$B1234)+S1234*SUMIFS(Premissas!$F$5:$F$44,Premissas!$A$5:$A$44,$A1234,Premissas!$B$5:$B$44,$B1234)</f>
        <v/>
      </c>
      <c r="L1234" s="29">
        <f>J1234-K1234</f>
        <v/>
      </c>
      <c r="M1234" t="inlineStr">
        <is>
          <t>1.350</t>
        </is>
      </c>
      <c r="N1234" t="inlineStr">
        <is>
          <t>Modalidade: 0 - Por conta do remetente | Parte: WRFC EMBALAGENS LTDA (56.093.170/0001-12)</t>
        </is>
      </c>
      <c r="O1234" s="29" t="n">
        <v>0</v>
      </c>
      <c r="P1234" s="29" t="n">
        <v>0</v>
      </c>
      <c r="Q1234" s="29" t="n">
        <v>0</v>
      </c>
      <c r="R1234" s="29" t="n">
        <v>0</v>
      </c>
      <c r="S1234" s="29" t="n">
        <v>0</v>
      </c>
      <c r="T1234" t="inlineStr">
        <is>
          <t>25250226975620000130570010000036701000000006</t>
        </is>
      </c>
      <c r="U1234" t="inlineStr">
        <is>
          <t>Não</t>
        </is>
      </c>
    </row>
    <row r="1235">
      <c r="A1235" t="inlineStr">
        <is>
          <t>Frete de venda</t>
        </is>
      </c>
      <c r="B1235" t="inlineStr">
        <is>
          <t>2.01.01 Frete Galpão Produto Acabado</t>
        </is>
      </c>
      <c r="C1235" t="inlineStr">
        <is>
          <t>Antes de 2026</t>
        </is>
      </c>
      <c r="D1235" t="inlineStr">
        <is>
          <t>Antes de 2026</t>
        </is>
      </c>
      <c r="E1235" s="28" t="n">
        <v>45702</v>
      </c>
      <c r="F1235" t="inlineStr">
        <is>
          <t>CT-e</t>
        </is>
      </c>
      <c r="G1235" t="inlineStr">
        <is>
          <t>000003671</t>
        </is>
      </c>
      <c r="H1235" t="inlineStr">
        <is>
          <t>R&amp;R TRANSPORTE E LOGISTICA</t>
        </is>
      </c>
      <c r="J1235" s="29" t="n">
        <v>550</v>
      </c>
      <c r="K1235" s="29">
        <f>(1-ISNUMBER(SEARCH("556",M1235)))*(O1235*SUMIFS(Premissas!$C$5:$C$44,Premissas!$A$5:$A$44,$A1235,Premissas!$B$5:$B$44,$B1235)+P1235*SUMIFS(Premissas!$D$5:$D$44,Premissas!$A$5:$A$44,$A1235,Premissas!$B$5:$B$44,$B1235))+R1235*SUMIFS(Premissas!$E$5:$E$44,Premissas!$A$5:$A$44,$A1235,Premissas!$B$5:$B$44,$B1235)+S1235*SUMIFS(Premissas!$F$5:$F$44,Premissas!$A$5:$A$44,$A1235,Premissas!$B$5:$B$44,$B1235)</f>
        <v/>
      </c>
      <c r="L1235" s="29">
        <f>J1235-K1235</f>
        <v/>
      </c>
      <c r="M1235" t="inlineStr">
        <is>
          <t>1.350</t>
        </is>
      </c>
      <c r="N1235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1235" s="29" t="n">
        <v>0</v>
      </c>
      <c r="P1235" s="29" t="n">
        <v>0</v>
      </c>
      <c r="Q1235" s="29" t="n">
        <v>0</v>
      </c>
      <c r="R1235" s="29" t="n">
        <v>0</v>
      </c>
      <c r="S1235" s="29" t="n">
        <v>0</v>
      </c>
      <c r="T1235" t="inlineStr">
        <is>
          <t>25250226975620000130570010000036711000000003</t>
        </is>
      </c>
      <c r="U1235" t="inlineStr">
        <is>
          <t>Não</t>
        </is>
      </c>
    </row>
    <row r="1236">
      <c r="A1236" t="inlineStr">
        <is>
          <t>Frete de venda</t>
        </is>
      </c>
      <c r="B1236" t="inlineStr">
        <is>
          <t>2.01.01 Frete Galpão Produto Acabado</t>
        </is>
      </c>
      <c r="C1236" t="inlineStr">
        <is>
          <t>Antes de 2026</t>
        </is>
      </c>
      <c r="D1236" t="inlineStr">
        <is>
          <t>Antes de 2026</t>
        </is>
      </c>
      <c r="E1236" s="28" t="n">
        <v>45702</v>
      </c>
      <c r="F1236" t="inlineStr">
        <is>
          <t>CT-e</t>
        </is>
      </c>
      <c r="G1236" t="inlineStr">
        <is>
          <t>000003673</t>
        </is>
      </c>
      <c r="H1236" t="inlineStr">
        <is>
          <t>R&amp;R TRANSPORTE E LOGISTICA</t>
        </is>
      </c>
      <c r="J1236" s="29" t="n">
        <v>129.81</v>
      </c>
      <c r="K1236" s="29">
        <f>(1-ISNUMBER(SEARCH("556",M1236)))*(O1236*SUMIFS(Premissas!$C$5:$C$44,Premissas!$A$5:$A$44,$A1236,Premissas!$B$5:$B$44,$B1236)+P1236*SUMIFS(Premissas!$D$5:$D$44,Premissas!$A$5:$A$44,$A1236,Premissas!$B$5:$B$44,$B1236))+R1236*SUMIFS(Premissas!$E$5:$E$44,Premissas!$A$5:$A$44,$A1236,Premissas!$B$5:$B$44,$B1236)+S1236*SUMIFS(Premissas!$F$5:$F$44,Premissas!$A$5:$A$44,$A1236,Premissas!$B$5:$B$44,$B1236)</f>
        <v/>
      </c>
      <c r="L1236" s="29">
        <f>J1236-K1236</f>
        <v/>
      </c>
      <c r="M1236" t="inlineStr">
        <is>
          <t>1.350</t>
        </is>
      </c>
      <c r="N1236" t="inlineStr">
        <is>
          <t>Modalidade: 0 - Por conta do remetente | Parte: VIDEIRA COMERCIO DESCARTAVEIS LTDA (12.079.452/0001-90)</t>
        </is>
      </c>
      <c r="O1236" s="29" t="n">
        <v>0</v>
      </c>
      <c r="P1236" s="29" t="n">
        <v>0</v>
      </c>
      <c r="Q1236" s="29" t="n">
        <v>0</v>
      </c>
      <c r="R1236" s="29" t="n">
        <v>0</v>
      </c>
      <c r="S1236" s="29" t="n">
        <v>0</v>
      </c>
      <c r="T1236" t="inlineStr">
        <is>
          <t>25250226975620000130570010000036731000000008</t>
        </is>
      </c>
      <c r="U1236" t="inlineStr">
        <is>
          <t>Não</t>
        </is>
      </c>
    </row>
    <row r="1237">
      <c r="A1237" t="inlineStr">
        <is>
          <t>Frete de venda</t>
        </is>
      </c>
      <c r="B1237" t="inlineStr">
        <is>
          <t>2.01.01 Frete Galpão Produto Acabado</t>
        </is>
      </c>
      <c r="C1237" t="inlineStr">
        <is>
          <t>Antes de 2026</t>
        </is>
      </c>
      <c r="D1237" t="inlineStr">
        <is>
          <t>Antes de 2026</t>
        </is>
      </c>
      <c r="E1237" s="28" t="n">
        <v>45702</v>
      </c>
      <c r="F1237" t="inlineStr">
        <is>
          <t>CT-e</t>
        </is>
      </c>
      <c r="G1237" t="inlineStr">
        <is>
          <t>000003674</t>
        </is>
      </c>
      <c r="H1237" t="inlineStr">
        <is>
          <t>R&amp;R TRANSPORTE E LOGISTICA</t>
        </is>
      </c>
      <c r="J1237" s="29" t="n">
        <v>65.09</v>
      </c>
      <c r="K1237" s="29">
        <f>(1-ISNUMBER(SEARCH("556",M1237)))*(O1237*SUMIFS(Premissas!$C$5:$C$44,Premissas!$A$5:$A$44,$A1237,Premissas!$B$5:$B$44,$B1237)+P1237*SUMIFS(Premissas!$D$5:$D$44,Premissas!$A$5:$A$44,$A1237,Premissas!$B$5:$B$44,$B1237))+R1237*SUMIFS(Premissas!$E$5:$E$44,Premissas!$A$5:$A$44,$A1237,Premissas!$B$5:$B$44,$B1237)+S1237*SUMIFS(Premissas!$F$5:$F$44,Premissas!$A$5:$A$44,$A1237,Premissas!$B$5:$B$44,$B1237)</f>
        <v/>
      </c>
      <c r="L1237" s="29">
        <f>J1237-K1237</f>
        <v/>
      </c>
      <c r="M1237" t="inlineStr">
        <is>
          <t>1.350</t>
        </is>
      </c>
      <c r="N1237" t="inlineStr">
        <is>
          <t>Modalidade: 0 - Por conta do remetente | Parte: MARIALVA COMERCIO DE EMBALAGENS LTDA (29.039.466/0001-82)</t>
        </is>
      </c>
      <c r="O1237" s="29" t="n">
        <v>0</v>
      </c>
      <c r="P1237" s="29" t="n">
        <v>0</v>
      </c>
      <c r="Q1237" s="29" t="n">
        <v>0</v>
      </c>
      <c r="R1237" s="29" t="n">
        <v>0</v>
      </c>
      <c r="S1237" s="29" t="n">
        <v>0</v>
      </c>
      <c r="T1237" t="inlineStr">
        <is>
          <t>25250226975620000130570010000036741000000005</t>
        </is>
      </c>
      <c r="U1237" t="inlineStr">
        <is>
          <t>Não</t>
        </is>
      </c>
    </row>
    <row r="1238">
      <c r="A1238" t="inlineStr">
        <is>
          <t>Frete de venda</t>
        </is>
      </c>
      <c r="B1238" t="inlineStr">
        <is>
          <t>2.01.01 Frete Galpão Produto Acabado</t>
        </is>
      </c>
      <c r="C1238" t="inlineStr">
        <is>
          <t>Antes de 2026</t>
        </is>
      </c>
      <c r="D1238" t="inlineStr">
        <is>
          <t>Antes de 2026</t>
        </is>
      </c>
      <c r="E1238" s="28" t="n">
        <v>45702</v>
      </c>
      <c r="F1238" t="inlineStr">
        <is>
          <t>CT-e</t>
        </is>
      </c>
      <c r="G1238" t="inlineStr">
        <is>
          <t>000003675</t>
        </is>
      </c>
      <c r="H1238" t="inlineStr">
        <is>
          <t>R&amp;R TRANSPORTE E LOGISTICA</t>
        </is>
      </c>
      <c r="J1238" s="29" t="n">
        <v>53.96</v>
      </c>
      <c r="K1238" s="29">
        <f>(1-ISNUMBER(SEARCH("556",M1238)))*(O1238*SUMIFS(Premissas!$C$5:$C$44,Premissas!$A$5:$A$44,$A1238,Premissas!$B$5:$B$44,$B1238)+P1238*SUMIFS(Premissas!$D$5:$D$44,Premissas!$A$5:$A$44,$A1238,Premissas!$B$5:$B$44,$B1238))+R1238*SUMIFS(Premissas!$E$5:$E$44,Premissas!$A$5:$A$44,$A1238,Premissas!$B$5:$B$44,$B1238)+S1238*SUMIFS(Premissas!$F$5:$F$44,Premissas!$A$5:$A$44,$A1238,Premissas!$B$5:$B$44,$B1238)</f>
        <v/>
      </c>
      <c r="L1238" s="29">
        <f>J1238-K1238</f>
        <v/>
      </c>
      <c r="M1238" t="inlineStr">
        <is>
          <t>1.350</t>
        </is>
      </c>
      <c r="N1238" t="inlineStr">
        <is>
          <t>Modalidade: 0 - Por conta do remetente | Parte: ELIANE EMBALAGEM LTDA (46.840.612/0001-93)</t>
        </is>
      </c>
      <c r="O1238" s="29" t="n">
        <v>0</v>
      </c>
      <c r="P1238" s="29" t="n">
        <v>0</v>
      </c>
      <c r="Q1238" s="29" t="n">
        <v>0</v>
      </c>
      <c r="R1238" s="29" t="n">
        <v>0</v>
      </c>
      <c r="S1238" s="29" t="n">
        <v>0</v>
      </c>
      <c r="T1238" t="inlineStr">
        <is>
          <t>25250226975620000130570010000036751000000002</t>
        </is>
      </c>
      <c r="U1238" t="inlineStr">
        <is>
          <t>Não</t>
        </is>
      </c>
    </row>
    <row r="1239">
      <c r="A1239" t="inlineStr">
        <is>
          <t>Frete de venda</t>
        </is>
      </c>
      <c r="B1239" t="inlineStr">
        <is>
          <t>2.01.01 Frete Galpão Produto Acabado</t>
        </is>
      </c>
      <c r="C1239" t="inlineStr">
        <is>
          <t>Antes de 2026</t>
        </is>
      </c>
      <c r="D1239" t="inlineStr">
        <is>
          <t>Antes de 2026</t>
        </is>
      </c>
      <c r="E1239" s="28" t="n">
        <v>45702</v>
      </c>
      <c r="F1239" t="inlineStr">
        <is>
          <t>CT-e</t>
        </is>
      </c>
      <c r="G1239" t="inlineStr">
        <is>
          <t>000003676</t>
        </is>
      </c>
      <c r="H1239" t="inlineStr">
        <is>
          <t>R&amp;R TRANSPORTE E LOGISTICA</t>
        </is>
      </c>
      <c r="J1239" s="29" t="n">
        <v>96.16</v>
      </c>
      <c r="K1239" s="29">
        <f>(1-ISNUMBER(SEARCH("556",M1239)))*(O1239*SUMIFS(Premissas!$C$5:$C$44,Premissas!$A$5:$A$44,$A1239,Premissas!$B$5:$B$44,$B1239)+P1239*SUMIFS(Premissas!$D$5:$D$44,Premissas!$A$5:$A$44,$A1239,Premissas!$B$5:$B$44,$B1239))+R1239*SUMIFS(Premissas!$E$5:$E$44,Premissas!$A$5:$A$44,$A1239,Premissas!$B$5:$B$44,$B1239)+S1239*SUMIFS(Premissas!$F$5:$F$44,Premissas!$A$5:$A$44,$A1239,Premissas!$B$5:$B$44,$B1239)</f>
        <v/>
      </c>
      <c r="L1239" s="29">
        <f>J1239-K1239</f>
        <v/>
      </c>
      <c r="M1239" t="inlineStr">
        <is>
          <t>1.350</t>
        </is>
      </c>
      <c r="N1239" t="inlineStr">
        <is>
          <t>Modalidade: 0 - Por conta do remetente | Parte: GR DOCES E EMBALAGENS LTDA (42.338.637/0001-32)</t>
        </is>
      </c>
      <c r="O1239" s="29" t="n">
        <v>0</v>
      </c>
      <c r="P1239" s="29" t="n">
        <v>0</v>
      </c>
      <c r="Q1239" s="29" t="n">
        <v>0</v>
      </c>
      <c r="R1239" s="29" t="n">
        <v>0</v>
      </c>
      <c r="S1239" s="29" t="n">
        <v>0</v>
      </c>
      <c r="T1239" t="inlineStr">
        <is>
          <t>25250226975620000130570010000036761000000000</t>
        </is>
      </c>
      <c r="U1239" t="inlineStr">
        <is>
          <t>Não</t>
        </is>
      </c>
    </row>
    <row r="1240">
      <c r="A1240" t="inlineStr">
        <is>
          <t>Frete de venda</t>
        </is>
      </c>
      <c r="B1240" t="inlineStr">
        <is>
          <t>2.01.01 Frete Galpão Produto Acabado</t>
        </is>
      </c>
      <c r="C1240" t="inlineStr">
        <is>
          <t>Antes de 2026</t>
        </is>
      </c>
      <c r="D1240" t="inlineStr">
        <is>
          <t>Antes de 2026</t>
        </is>
      </c>
      <c r="E1240" s="28" t="n">
        <v>45703</v>
      </c>
      <c r="F1240" t="inlineStr">
        <is>
          <t>CT-e</t>
        </is>
      </c>
      <c r="G1240" t="inlineStr">
        <is>
          <t>000003677</t>
        </is>
      </c>
      <c r="H1240" t="inlineStr">
        <is>
          <t>R&amp;R TRANSPORTE E LOGISTICA</t>
        </is>
      </c>
      <c r="J1240" s="29" t="n">
        <v>220</v>
      </c>
      <c r="K1240" s="29">
        <f>(1-ISNUMBER(SEARCH("556",M1240)))*(O1240*SUMIFS(Premissas!$C$5:$C$44,Premissas!$A$5:$A$44,$A1240,Premissas!$B$5:$B$44,$B1240)+P1240*SUMIFS(Premissas!$D$5:$D$44,Premissas!$A$5:$A$44,$A1240,Premissas!$B$5:$B$44,$B1240))+R1240*SUMIFS(Premissas!$E$5:$E$44,Premissas!$A$5:$A$44,$A1240,Premissas!$B$5:$B$44,$B1240)+S1240*SUMIFS(Premissas!$F$5:$F$44,Premissas!$A$5:$A$44,$A1240,Premissas!$B$5:$B$44,$B1240)</f>
        <v/>
      </c>
      <c r="L1240" s="29">
        <f>J1240-K1240</f>
        <v/>
      </c>
      <c r="M1240" t="inlineStr">
        <is>
          <t>1.350</t>
        </is>
      </c>
      <c r="N1240" t="inlineStr">
        <is>
          <t>Modalidade: 0 - Por conta do remetente | Parte: FORTALI DISTRIBUIDORA DE ALIMENTOS LTDA. (09.317.318/0001-75)</t>
        </is>
      </c>
      <c r="O1240" s="29" t="n">
        <v>0</v>
      </c>
      <c r="P1240" s="29" t="n">
        <v>0</v>
      </c>
      <c r="Q1240" s="29" t="n">
        <v>0</v>
      </c>
      <c r="R1240" s="29" t="n">
        <v>0</v>
      </c>
      <c r="S1240" s="29" t="n">
        <v>0</v>
      </c>
      <c r="T1240" t="inlineStr">
        <is>
          <t>25250226975620000130570010000036771000000007</t>
        </is>
      </c>
      <c r="U1240" t="inlineStr">
        <is>
          <t>Não</t>
        </is>
      </c>
    </row>
    <row r="1241">
      <c r="A1241" t="inlineStr">
        <is>
          <t>Frete de venda</t>
        </is>
      </c>
      <c r="B1241" t="inlineStr">
        <is>
          <t>2.01.01 Frete Galpão Produto Acabado</t>
        </is>
      </c>
      <c r="C1241" t="inlineStr">
        <is>
          <t>Antes de 2026</t>
        </is>
      </c>
      <c r="D1241" t="inlineStr">
        <is>
          <t>Antes de 2026</t>
        </is>
      </c>
      <c r="E1241" s="28" t="n">
        <v>45704</v>
      </c>
      <c r="F1241" t="inlineStr">
        <is>
          <t>CT-e</t>
        </is>
      </c>
      <c r="G1241" t="inlineStr">
        <is>
          <t>000003683</t>
        </is>
      </c>
      <c r="H1241" t="inlineStr">
        <is>
          <t>R&amp;R TRANSPORTE E LOGISTICA</t>
        </is>
      </c>
      <c r="J1241" s="29" t="n">
        <v>600</v>
      </c>
      <c r="K1241" s="29">
        <f>(1-ISNUMBER(SEARCH("556",M1241)))*(O1241*SUMIFS(Premissas!$C$5:$C$44,Premissas!$A$5:$A$44,$A1241,Premissas!$B$5:$B$44,$B1241)+P1241*SUMIFS(Premissas!$D$5:$D$44,Premissas!$A$5:$A$44,$A1241,Premissas!$B$5:$B$44,$B1241))+R1241*SUMIFS(Premissas!$E$5:$E$44,Premissas!$A$5:$A$44,$A1241,Premissas!$B$5:$B$44,$B1241)+S1241*SUMIFS(Premissas!$F$5:$F$44,Premissas!$A$5:$A$44,$A1241,Premissas!$B$5:$B$44,$B1241)</f>
        <v/>
      </c>
      <c r="L1241" s="29">
        <f>J1241-K1241</f>
        <v/>
      </c>
      <c r="M1241" t="inlineStr">
        <is>
          <t>1.350</t>
        </is>
      </c>
      <c r="N1241" t="inlineStr">
        <is>
          <t>Modalidade: 0 - Por conta do remetente | Parte: RR ARMAZENAGEM E COMERCIO LTDA (05.030.348/0001-45)</t>
        </is>
      </c>
      <c r="O1241" s="29" t="n">
        <v>0</v>
      </c>
      <c r="P1241" s="29" t="n">
        <v>0</v>
      </c>
      <c r="Q1241" s="29" t="n">
        <v>0</v>
      </c>
      <c r="R1241" s="29" t="n">
        <v>0</v>
      </c>
      <c r="S1241" s="29" t="n">
        <v>0</v>
      </c>
      <c r="T1241" t="inlineStr">
        <is>
          <t>25250226975620000130570010000036831000000004</t>
        </is>
      </c>
      <c r="U1241" t="inlineStr">
        <is>
          <t>Não</t>
        </is>
      </c>
    </row>
    <row r="1242">
      <c r="A1242" t="inlineStr">
        <is>
          <t>Frete de venda</t>
        </is>
      </c>
      <c r="B1242" t="inlineStr">
        <is>
          <t>2.01.01 Frete Galpão Produto Acabado</t>
        </is>
      </c>
      <c r="C1242" t="inlineStr">
        <is>
          <t>Antes de 2026</t>
        </is>
      </c>
      <c r="D1242" t="inlineStr">
        <is>
          <t>Antes de 2026</t>
        </is>
      </c>
      <c r="E1242" s="28" t="n">
        <v>45704</v>
      </c>
      <c r="F1242" t="inlineStr">
        <is>
          <t>CT-e</t>
        </is>
      </c>
      <c r="G1242" t="inlineStr">
        <is>
          <t>000003684</t>
        </is>
      </c>
      <c r="H1242" t="inlineStr">
        <is>
          <t>R&amp;R TRANSPORTE E LOGISTICA</t>
        </is>
      </c>
      <c r="J1242" s="29" t="n">
        <v>600</v>
      </c>
      <c r="K1242" s="29">
        <f>(1-ISNUMBER(SEARCH("556",M1242)))*(O1242*SUMIFS(Premissas!$C$5:$C$44,Premissas!$A$5:$A$44,$A1242,Premissas!$B$5:$B$44,$B1242)+P1242*SUMIFS(Premissas!$D$5:$D$44,Premissas!$A$5:$A$44,$A1242,Premissas!$B$5:$B$44,$B1242))+R1242*SUMIFS(Premissas!$E$5:$E$44,Premissas!$A$5:$A$44,$A1242,Premissas!$B$5:$B$44,$B1242)+S1242*SUMIFS(Premissas!$F$5:$F$44,Premissas!$A$5:$A$44,$A1242,Premissas!$B$5:$B$44,$B1242)</f>
        <v/>
      </c>
      <c r="L1242" s="29">
        <f>J1242-K1242</f>
        <v/>
      </c>
      <c r="M1242" t="inlineStr">
        <is>
          <t>1.350</t>
        </is>
      </c>
      <c r="N1242" t="inlineStr">
        <is>
          <t>Modalidade: 0 - Por conta do remetente | Parte: VILA COMERCIO DE FRIOS LTDA (33.787.186/0001-20)</t>
        </is>
      </c>
      <c r="O1242" s="29" t="n">
        <v>0</v>
      </c>
      <c r="P1242" s="29" t="n">
        <v>0</v>
      </c>
      <c r="Q1242" s="29" t="n">
        <v>0</v>
      </c>
      <c r="R1242" s="29" t="n">
        <v>0</v>
      </c>
      <c r="S1242" s="29" t="n">
        <v>0</v>
      </c>
      <c r="T1242" t="inlineStr">
        <is>
          <t>25250226975620000130570010000036841000000001</t>
        </is>
      </c>
      <c r="U1242" t="inlineStr">
        <is>
          <t>Não</t>
        </is>
      </c>
    </row>
    <row r="1243">
      <c r="A1243" t="inlineStr">
        <is>
          <t>Frete de venda</t>
        </is>
      </c>
      <c r="B1243" t="inlineStr">
        <is>
          <t>2.01.01 Frete Galpão Produto Acabado</t>
        </is>
      </c>
      <c r="C1243" t="inlineStr">
        <is>
          <t>Antes de 2026</t>
        </is>
      </c>
      <c r="D1243" t="inlineStr">
        <is>
          <t>Antes de 2026</t>
        </is>
      </c>
      <c r="E1243" s="28" t="n">
        <v>45707</v>
      </c>
      <c r="F1243" t="inlineStr">
        <is>
          <t>CT-e</t>
        </is>
      </c>
      <c r="G1243" t="inlineStr">
        <is>
          <t>000003702</t>
        </is>
      </c>
      <c r="H1243" t="inlineStr">
        <is>
          <t>R&amp;R TRANSPORTE E LOGISTICA</t>
        </is>
      </c>
      <c r="J1243" s="29" t="n">
        <v>55</v>
      </c>
      <c r="K1243" s="29">
        <f>(1-ISNUMBER(SEARCH("556",M1243)))*(O1243*SUMIFS(Premissas!$C$5:$C$44,Premissas!$A$5:$A$44,$A1243,Premissas!$B$5:$B$44,$B1243)+P1243*SUMIFS(Premissas!$D$5:$D$44,Premissas!$A$5:$A$44,$A1243,Premissas!$B$5:$B$44,$B1243))+R1243*SUMIFS(Premissas!$E$5:$E$44,Premissas!$A$5:$A$44,$A1243,Premissas!$B$5:$B$44,$B1243)+S1243*SUMIFS(Premissas!$F$5:$F$44,Premissas!$A$5:$A$44,$A1243,Premissas!$B$5:$B$44,$B1243)</f>
        <v/>
      </c>
      <c r="L1243" s="29">
        <f>J1243-K1243</f>
        <v/>
      </c>
      <c r="M1243" t="inlineStr">
        <is>
          <t>1.350</t>
        </is>
      </c>
      <c r="N1243" t="inlineStr">
        <is>
          <t>Modalidade: 0 - Por conta do remetente | Parte: Você cons (57.214.482/0001-08)</t>
        </is>
      </c>
      <c r="O1243" s="29" t="n">
        <v>0</v>
      </c>
      <c r="P1243" s="29" t="n">
        <v>0</v>
      </c>
      <c r="Q1243" s="29" t="n">
        <v>0</v>
      </c>
      <c r="R1243" s="29" t="n">
        <v>0</v>
      </c>
      <c r="S1243" s="29" t="n">
        <v>0</v>
      </c>
      <c r="T1243" t="inlineStr">
        <is>
          <t>25250226975620000130570010000037021000000001</t>
        </is>
      </c>
      <c r="U1243" t="inlineStr">
        <is>
          <t>Não</t>
        </is>
      </c>
    </row>
    <row r="1244">
      <c r="A1244" t="inlineStr">
        <is>
          <t>Frete de venda</t>
        </is>
      </c>
      <c r="B1244" t="inlineStr">
        <is>
          <t>2.01.01 Frete Galpão Produto Acabado</t>
        </is>
      </c>
      <c r="C1244" t="inlineStr">
        <is>
          <t>Antes de 2026</t>
        </is>
      </c>
      <c r="D1244" t="inlineStr">
        <is>
          <t>Antes de 2026</t>
        </is>
      </c>
      <c r="E1244" s="28" t="n">
        <v>45707</v>
      </c>
      <c r="F1244" t="inlineStr">
        <is>
          <t>CT-e</t>
        </is>
      </c>
      <c r="G1244" t="inlineStr">
        <is>
          <t>000003703</t>
        </is>
      </c>
      <c r="H1244" t="inlineStr">
        <is>
          <t>R&amp;R TRANSPORTE E LOGISTICA</t>
        </is>
      </c>
      <c r="J1244" s="29" t="n">
        <v>86</v>
      </c>
      <c r="K1244" s="29">
        <f>(1-ISNUMBER(SEARCH("556",M1244)))*(O1244*SUMIFS(Premissas!$C$5:$C$44,Premissas!$A$5:$A$44,$A1244,Premissas!$B$5:$B$44,$B1244)+P1244*SUMIFS(Premissas!$D$5:$D$44,Premissas!$A$5:$A$44,$A1244,Premissas!$B$5:$B$44,$B1244))+R1244*SUMIFS(Premissas!$E$5:$E$44,Premissas!$A$5:$A$44,$A1244,Premissas!$B$5:$B$44,$B1244)+S1244*SUMIFS(Premissas!$F$5:$F$44,Premissas!$A$5:$A$44,$A1244,Premissas!$B$5:$B$44,$B1244)</f>
        <v/>
      </c>
      <c r="L1244" s="29">
        <f>J1244-K1244</f>
        <v/>
      </c>
      <c r="M1244" t="inlineStr">
        <is>
          <t>1.350</t>
        </is>
      </c>
      <c r="N1244" t="inlineStr">
        <is>
          <t>Modalidade: 0 - Por conta do remetente | Parte: SANTO EXPEDITO COM DE PROD E UTENSILIOS LTDA (10.310.603/0001-43)</t>
        </is>
      </c>
      <c r="O1244" s="29" t="n">
        <v>0</v>
      </c>
      <c r="P1244" s="29" t="n">
        <v>0</v>
      </c>
      <c r="Q1244" s="29" t="n">
        <v>0</v>
      </c>
      <c r="R1244" s="29" t="n">
        <v>0</v>
      </c>
      <c r="S1244" s="29" t="n">
        <v>0</v>
      </c>
      <c r="T1244" t="inlineStr">
        <is>
          <t>25250226975620000130570010000037031000000009</t>
        </is>
      </c>
      <c r="U1244" t="inlineStr">
        <is>
          <t>Não</t>
        </is>
      </c>
    </row>
    <row r="1245">
      <c r="A1245" t="inlineStr">
        <is>
          <t>Frete de venda</t>
        </is>
      </c>
      <c r="B1245" t="inlineStr">
        <is>
          <t>2.01.01 Frete Galpão Produto Acabado</t>
        </is>
      </c>
      <c r="C1245" t="inlineStr">
        <is>
          <t>Antes de 2026</t>
        </is>
      </c>
      <c r="D1245" t="inlineStr">
        <is>
          <t>Antes de 2026</t>
        </is>
      </c>
      <c r="E1245" s="28" t="n">
        <v>45707</v>
      </c>
      <c r="F1245" t="inlineStr">
        <is>
          <t>CT-e</t>
        </is>
      </c>
      <c r="G1245" t="inlineStr">
        <is>
          <t>000003704</t>
        </is>
      </c>
      <c r="H1245" t="inlineStr">
        <is>
          <t>R&amp;R TRANSPORTE E LOGISTICA</t>
        </is>
      </c>
      <c r="J1245" s="29" t="n">
        <v>49</v>
      </c>
      <c r="K1245" s="29">
        <f>(1-ISNUMBER(SEARCH("556",M1245)))*(O1245*SUMIFS(Premissas!$C$5:$C$44,Premissas!$A$5:$A$44,$A1245,Premissas!$B$5:$B$44,$B1245)+P1245*SUMIFS(Premissas!$D$5:$D$44,Premissas!$A$5:$A$44,$A1245,Premissas!$B$5:$B$44,$B1245))+R1245*SUMIFS(Premissas!$E$5:$E$44,Premissas!$A$5:$A$44,$A1245,Premissas!$B$5:$B$44,$B1245)+S1245*SUMIFS(Premissas!$F$5:$F$44,Premissas!$A$5:$A$44,$A1245,Premissas!$B$5:$B$44,$B1245)</f>
        <v/>
      </c>
      <c r="L1245" s="29">
        <f>J1245-K1245</f>
        <v/>
      </c>
      <c r="M1245" t="inlineStr">
        <is>
          <t>1.350</t>
        </is>
      </c>
      <c r="N1245" t="inlineStr">
        <is>
          <t>Modalidade: 0 - Por conta do remetente | Parte: SILVA e BORGES DISTRIBUIDORA DE BEBIDAS LTDA (07.252.963/0001-21)</t>
        </is>
      </c>
      <c r="O1245" s="29" t="n">
        <v>0</v>
      </c>
      <c r="P1245" s="29" t="n">
        <v>0</v>
      </c>
      <c r="Q1245" s="29" t="n">
        <v>0</v>
      </c>
      <c r="R1245" s="29" t="n">
        <v>0</v>
      </c>
      <c r="S1245" s="29" t="n">
        <v>0</v>
      </c>
      <c r="T1245" t="inlineStr">
        <is>
          <t>25250226975620000130570010000037041000000006</t>
        </is>
      </c>
      <c r="U1245" t="inlineStr">
        <is>
          <t>Não</t>
        </is>
      </c>
    </row>
    <row r="1246">
      <c r="A1246" t="inlineStr">
        <is>
          <t>Frete de venda</t>
        </is>
      </c>
      <c r="B1246" t="inlineStr">
        <is>
          <t>2.01.01 Frete Galpão Produto Acabado</t>
        </is>
      </c>
      <c r="C1246" t="inlineStr">
        <is>
          <t>Antes de 2026</t>
        </is>
      </c>
      <c r="D1246" t="inlineStr">
        <is>
          <t>Antes de 2026</t>
        </is>
      </c>
      <c r="E1246" s="28" t="n">
        <v>45707</v>
      </c>
      <c r="F1246" t="inlineStr">
        <is>
          <t>CT-e</t>
        </is>
      </c>
      <c r="G1246" t="inlineStr">
        <is>
          <t>000003705</t>
        </is>
      </c>
      <c r="H1246" t="inlineStr">
        <is>
          <t>R&amp;R TRANSPORTE E LOGISTICA</t>
        </is>
      </c>
      <c r="J1246" s="29" t="n">
        <v>47</v>
      </c>
      <c r="K1246" s="29">
        <f>(1-ISNUMBER(SEARCH("556",M1246)))*(O1246*SUMIFS(Premissas!$C$5:$C$44,Premissas!$A$5:$A$44,$A1246,Premissas!$B$5:$B$44,$B1246)+P1246*SUMIFS(Premissas!$D$5:$D$44,Premissas!$A$5:$A$44,$A1246,Premissas!$B$5:$B$44,$B1246))+R1246*SUMIFS(Premissas!$E$5:$E$44,Premissas!$A$5:$A$44,$A1246,Premissas!$B$5:$B$44,$B1246)+S1246*SUMIFS(Premissas!$F$5:$F$44,Premissas!$A$5:$A$44,$A1246,Premissas!$B$5:$B$44,$B1246)</f>
        <v/>
      </c>
      <c r="L1246" s="29">
        <f>J1246-K1246</f>
        <v/>
      </c>
      <c r="M1246" t="inlineStr">
        <is>
          <t>1.350</t>
        </is>
      </c>
      <c r="N1246" t="inlineStr">
        <is>
          <t>Modalidade: 0 - Por conta do remetente | Parte: BARBOSA EMBALAGENS LTDA (14.913.229/0001-21)</t>
        </is>
      </c>
      <c r="O1246" s="29" t="n">
        <v>0</v>
      </c>
      <c r="P1246" s="29" t="n">
        <v>0</v>
      </c>
      <c r="Q1246" s="29" t="n">
        <v>0</v>
      </c>
      <c r="R1246" s="29" t="n">
        <v>0</v>
      </c>
      <c r="S1246" s="29" t="n">
        <v>0</v>
      </c>
      <c r="T1246" t="inlineStr">
        <is>
          <t>25250226975620000130570010000037051000000003</t>
        </is>
      </c>
      <c r="U1246" t="inlineStr">
        <is>
          <t>Não</t>
        </is>
      </c>
    </row>
    <row r="1247">
      <c r="A1247" t="inlineStr">
        <is>
          <t>Frete de venda</t>
        </is>
      </c>
      <c r="B1247" t="inlineStr">
        <is>
          <t>2.01.01 Frete Galpão Produto Acabado</t>
        </is>
      </c>
      <c r="C1247" t="inlineStr">
        <is>
          <t>Antes de 2026</t>
        </is>
      </c>
      <c r="D1247" t="inlineStr">
        <is>
          <t>Antes de 2026</t>
        </is>
      </c>
      <c r="E1247" s="28" t="n">
        <v>45707</v>
      </c>
      <c r="F1247" t="inlineStr">
        <is>
          <t>CT-e</t>
        </is>
      </c>
      <c r="G1247" t="inlineStr">
        <is>
          <t>000003706</t>
        </is>
      </c>
      <c r="H1247" t="inlineStr">
        <is>
          <t>R&amp;R TRANSPORTE E LOGISTICA</t>
        </is>
      </c>
      <c r="J1247" s="29" t="n">
        <v>58</v>
      </c>
      <c r="K1247" s="29">
        <f>(1-ISNUMBER(SEARCH("556",M1247)))*(O1247*SUMIFS(Premissas!$C$5:$C$44,Premissas!$A$5:$A$44,$A1247,Premissas!$B$5:$B$44,$B1247)+P1247*SUMIFS(Premissas!$D$5:$D$44,Premissas!$A$5:$A$44,$A1247,Premissas!$B$5:$B$44,$B1247))+R1247*SUMIFS(Premissas!$E$5:$E$44,Premissas!$A$5:$A$44,$A1247,Premissas!$B$5:$B$44,$B1247)+S1247*SUMIFS(Premissas!$F$5:$F$44,Premissas!$A$5:$A$44,$A1247,Premissas!$B$5:$B$44,$B1247)</f>
        <v/>
      </c>
      <c r="L1247" s="29">
        <f>J1247-K1247</f>
        <v/>
      </c>
      <c r="M1247" t="inlineStr">
        <is>
          <t>1.350</t>
        </is>
      </c>
      <c r="N1247" t="inlineStr">
        <is>
          <t>Modalidade: 0 - Por conta do remetente | Parte: BRASSACO EMBALAGENS LTDA (32.907.479/0001-30)</t>
        </is>
      </c>
      <c r="O1247" s="29" t="n">
        <v>0</v>
      </c>
      <c r="P1247" s="29" t="n">
        <v>0</v>
      </c>
      <c r="Q1247" s="29" t="n">
        <v>0</v>
      </c>
      <c r="R1247" s="29" t="n">
        <v>0</v>
      </c>
      <c r="S1247" s="29" t="n">
        <v>0</v>
      </c>
      <c r="T1247" t="inlineStr">
        <is>
          <t>25250226975620000130570010000037061000000000</t>
        </is>
      </c>
      <c r="U1247" t="inlineStr">
        <is>
          <t>Não</t>
        </is>
      </c>
    </row>
    <row r="1248">
      <c r="A1248" t="inlineStr">
        <is>
          <t>Frete de venda</t>
        </is>
      </c>
      <c r="B1248" t="inlineStr">
        <is>
          <t>2.01.01 Frete Galpão Produto Acabado</t>
        </is>
      </c>
      <c r="C1248" t="inlineStr">
        <is>
          <t>Antes de 2026</t>
        </is>
      </c>
      <c r="D1248" t="inlineStr">
        <is>
          <t>Antes de 2026</t>
        </is>
      </c>
      <c r="E1248" s="28" t="n">
        <v>45707</v>
      </c>
      <c r="F1248" t="inlineStr">
        <is>
          <t>CT-e</t>
        </is>
      </c>
      <c r="G1248" t="inlineStr">
        <is>
          <t>000003708</t>
        </is>
      </c>
      <c r="H1248" t="inlineStr">
        <is>
          <t>R&amp;R TRANSPORTE E LOGISTICA</t>
        </is>
      </c>
      <c r="J1248" s="29" t="n">
        <v>50.94</v>
      </c>
      <c r="K1248" s="29">
        <f>(1-ISNUMBER(SEARCH("556",M1248)))*(O1248*SUMIFS(Premissas!$C$5:$C$44,Premissas!$A$5:$A$44,$A1248,Premissas!$B$5:$B$44,$B1248)+P1248*SUMIFS(Premissas!$D$5:$D$44,Premissas!$A$5:$A$44,$A1248,Premissas!$B$5:$B$44,$B1248))+R1248*SUMIFS(Premissas!$E$5:$E$44,Premissas!$A$5:$A$44,$A1248,Premissas!$B$5:$B$44,$B1248)+S1248*SUMIFS(Premissas!$F$5:$F$44,Premissas!$A$5:$A$44,$A1248,Premissas!$B$5:$B$44,$B1248)</f>
        <v/>
      </c>
      <c r="L1248" s="29">
        <f>J1248-K1248</f>
        <v/>
      </c>
      <c r="M1248" t="inlineStr">
        <is>
          <t>1.350</t>
        </is>
      </c>
      <c r="N1248" t="inlineStr">
        <is>
          <t>Modalidade: 0 - Por conta do remetente | Parte: IBR DISTRIBUIDOR LTDA (45.671.082/0001-34)</t>
        </is>
      </c>
      <c r="O1248" s="29" t="n">
        <v>0</v>
      </c>
      <c r="P1248" s="29" t="n">
        <v>0</v>
      </c>
      <c r="Q1248" s="29" t="n">
        <v>0</v>
      </c>
      <c r="R1248" s="29" t="n">
        <v>0</v>
      </c>
      <c r="S1248" s="29" t="n">
        <v>0</v>
      </c>
      <c r="T1248" t="inlineStr">
        <is>
          <t>25250226975620000130570010000037081000000005</t>
        </is>
      </c>
      <c r="U1248" t="inlineStr">
        <is>
          <t>Não</t>
        </is>
      </c>
    </row>
    <row r="1249">
      <c r="A1249" t="inlineStr">
        <is>
          <t>Frete de venda</t>
        </is>
      </c>
      <c r="B1249" t="inlineStr">
        <is>
          <t>2.01.01 Frete Galpão Produto Acabado</t>
        </is>
      </c>
      <c r="C1249" t="inlineStr">
        <is>
          <t>Antes de 2026</t>
        </is>
      </c>
      <c r="D1249" t="inlineStr">
        <is>
          <t>Antes de 2026</t>
        </is>
      </c>
      <c r="E1249" s="28" t="n">
        <v>45707</v>
      </c>
      <c r="F1249" t="inlineStr">
        <is>
          <t>CT-e</t>
        </is>
      </c>
      <c r="G1249" t="inlineStr">
        <is>
          <t>000003709</t>
        </is>
      </c>
      <c r="H1249" t="inlineStr">
        <is>
          <t>R&amp;R TRANSPORTE E LOGISTICA</t>
        </is>
      </c>
      <c r="J1249" s="29" t="n">
        <v>49.49</v>
      </c>
      <c r="K1249" s="29">
        <f>(1-ISNUMBER(SEARCH("556",M1249)))*(O1249*SUMIFS(Premissas!$C$5:$C$44,Premissas!$A$5:$A$44,$A1249,Premissas!$B$5:$B$44,$B1249)+P1249*SUMIFS(Premissas!$D$5:$D$44,Premissas!$A$5:$A$44,$A1249,Premissas!$B$5:$B$44,$B1249))+R1249*SUMIFS(Premissas!$E$5:$E$44,Premissas!$A$5:$A$44,$A1249,Premissas!$B$5:$B$44,$B1249)+S1249*SUMIFS(Premissas!$F$5:$F$44,Premissas!$A$5:$A$44,$A1249,Premissas!$B$5:$B$44,$B1249)</f>
        <v/>
      </c>
      <c r="L1249" s="29">
        <f>J1249-K1249</f>
        <v/>
      </c>
      <c r="M1249" t="inlineStr">
        <is>
          <t>1.350</t>
        </is>
      </c>
      <c r="N1249" t="inlineStr">
        <is>
          <t>Modalidade: 0 - Por conta do remetente | Parte: J. TRINDADE SOUZA LTDA (21.924.013/0001-27)</t>
        </is>
      </c>
      <c r="O1249" s="29" t="n">
        <v>0</v>
      </c>
      <c r="P1249" s="29" t="n">
        <v>0</v>
      </c>
      <c r="Q1249" s="29" t="n">
        <v>0</v>
      </c>
      <c r="R1249" s="29" t="n">
        <v>0</v>
      </c>
      <c r="S1249" s="29" t="n">
        <v>0</v>
      </c>
      <c r="T1249" t="inlineStr">
        <is>
          <t>25250226975620000130570010000037091000000002</t>
        </is>
      </c>
      <c r="U1249" t="inlineStr">
        <is>
          <t>Não</t>
        </is>
      </c>
    </row>
    <row r="1250">
      <c r="A1250" t="inlineStr">
        <is>
          <t>Frete de venda</t>
        </is>
      </c>
      <c r="B1250" t="inlineStr">
        <is>
          <t>2.01.01 Frete Galpão Produto Acabado</t>
        </is>
      </c>
      <c r="C1250" t="inlineStr">
        <is>
          <t>Antes de 2026</t>
        </is>
      </c>
      <c r="D1250" t="inlineStr">
        <is>
          <t>Antes de 2026</t>
        </is>
      </c>
      <c r="E1250" s="28" t="n">
        <v>45707</v>
      </c>
      <c r="F1250" t="inlineStr">
        <is>
          <t>CT-e</t>
        </is>
      </c>
      <c r="G1250" t="inlineStr">
        <is>
          <t>000003710</t>
        </is>
      </c>
      <c r="H1250" t="inlineStr">
        <is>
          <t>R&amp;R TRANSPORTE E LOGISTICA</t>
        </is>
      </c>
      <c r="J1250" s="29" t="n">
        <v>96.78</v>
      </c>
      <c r="K1250" s="29">
        <f>(1-ISNUMBER(SEARCH("556",M1250)))*(O1250*SUMIFS(Premissas!$C$5:$C$44,Premissas!$A$5:$A$44,$A1250,Premissas!$B$5:$B$44,$B1250)+P1250*SUMIFS(Premissas!$D$5:$D$44,Premissas!$A$5:$A$44,$A1250,Premissas!$B$5:$B$44,$B1250))+R1250*SUMIFS(Premissas!$E$5:$E$44,Premissas!$A$5:$A$44,$A1250,Premissas!$B$5:$B$44,$B1250)+S1250*SUMIFS(Premissas!$F$5:$F$44,Premissas!$A$5:$A$44,$A1250,Premissas!$B$5:$B$44,$B1250)</f>
        <v/>
      </c>
      <c r="L1250" s="29">
        <f>J1250-K1250</f>
        <v/>
      </c>
      <c r="M1250" t="inlineStr">
        <is>
          <t>1.350</t>
        </is>
      </c>
      <c r="N1250" t="inlineStr">
        <is>
          <t>Modalidade: 0 - Por conta do remetente | Parte: SUPER PACK COMERCIO IMPORTACAO E EXPORTACAO LTDA (24.982.773/0001-89)</t>
        </is>
      </c>
      <c r="O1250" s="29" t="n">
        <v>0</v>
      </c>
      <c r="P1250" s="29" t="n">
        <v>0</v>
      </c>
      <c r="Q1250" s="29" t="n">
        <v>0</v>
      </c>
      <c r="R1250" s="29" t="n">
        <v>0</v>
      </c>
      <c r="S1250" s="29" t="n">
        <v>0</v>
      </c>
      <c r="T1250" t="inlineStr">
        <is>
          <t>25250226975620000130570010000037101000000003</t>
        </is>
      </c>
      <c r="U1250" t="inlineStr">
        <is>
          <t>Não</t>
        </is>
      </c>
    </row>
    <row r="1251">
      <c r="A1251" t="inlineStr">
        <is>
          <t>Frete de venda</t>
        </is>
      </c>
      <c r="B1251" t="inlineStr">
        <is>
          <t>2.01.01 Frete Galpão Produto Acabado</t>
        </is>
      </c>
      <c r="C1251" t="inlineStr">
        <is>
          <t>Antes de 2026</t>
        </is>
      </c>
      <c r="D1251" t="inlineStr">
        <is>
          <t>Antes de 2026</t>
        </is>
      </c>
      <c r="E1251" s="28" t="n">
        <v>45707</v>
      </c>
      <c r="F1251" t="inlineStr">
        <is>
          <t>CT-e</t>
        </is>
      </c>
      <c r="G1251" t="inlineStr">
        <is>
          <t>000003711</t>
        </is>
      </c>
      <c r="H1251" t="inlineStr">
        <is>
          <t>R&amp;R TRANSPORTE E LOGISTICA</t>
        </is>
      </c>
      <c r="J1251" s="29" t="n">
        <v>66.39</v>
      </c>
      <c r="K1251" s="29">
        <f>(1-ISNUMBER(SEARCH("556",M1251)))*(O1251*SUMIFS(Premissas!$C$5:$C$44,Premissas!$A$5:$A$44,$A1251,Premissas!$B$5:$B$44,$B1251)+P1251*SUMIFS(Premissas!$D$5:$D$44,Premissas!$A$5:$A$44,$A1251,Premissas!$B$5:$B$44,$B1251))+R1251*SUMIFS(Premissas!$E$5:$E$44,Premissas!$A$5:$A$44,$A1251,Premissas!$B$5:$B$44,$B1251)+S1251*SUMIFS(Premissas!$F$5:$F$44,Premissas!$A$5:$A$44,$A1251,Premissas!$B$5:$B$44,$B1251)</f>
        <v/>
      </c>
      <c r="L1251" s="29">
        <f>J1251-K1251</f>
        <v/>
      </c>
      <c r="M1251" t="inlineStr">
        <is>
          <t>1.350</t>
        </is>
      </c>
      <c r="N1251" t="inlineStr">
        <is>
          <t>Modalidade: 0 - Por conta do remetente | Parte: DANIEL HENRIQUE SILVA BORGES E PIRES LTDA (06.901.586/0001-41)</t>
        </is>
      </c>
      <c r="O1251" s="29" t="n">
        <v>0</v>
      </c>
      <c r="P1251" s="29" t="n">
        <v>0</v>
      </c>
      <c r="Q1251" s="29" t="n">
        <v>0</v>
      </c>
      <c r="R1251" s="29" t="n">
        <v>0</v>
      </c>
      <c r="S1251" s="29" t="n">
        <v>0</v>
      </c>
      <c r="T1251" t="inlineStr">
        <is>
          <t>25250226975620000130570010000037111000000000</t>
        </is>
      </c>
      <c r="U1251" t="inlineStr">
        <is>
          <t>Não</t>
        </is>
      </c>
    </row>
    <row r="1252">
      <c r="A1252" t="inlineStr">
        <is>
          <t>Frete de venda</t>
        </is>
      </c>
      <c r="B1252" t="inlineStr">
        <is>
          <t>2.01.01 Frete Galpão Produto Acabado</t>
        </is>
      </c>
      <c r="C1252" t="inlineStr">
        <is>
          <t>Antes de 2026</t>
        </is>
      </c>
      <c r="D1252" t="inlineStr">
        <is>
          <t>Antes de 2026</t>
        </is>
      </c>
      <c r="E1252" s="28" t="n">
        <v>45707</v>
      </c>
      <c r="F1252" t="inlineStr">
        <is>
          <t>CT-e</t>
        </is>
      </c>
      <c r="G1252" t="inlineStr">
        <is>
          <t>000003712</t>
        </is>
      </c>
      <c r="H1252" t="inlineStr">
        <is>
          <t>R&amp;R TRANSPORTE E LOGISTICA</t>
        </is>
      </c>
      <c r="J1252" s="29" t="n">
        <v>55.99</v>
      </c>
      <c r="K1252" s="29">
        <f>(1-ISNUMBER(SEARCH("556",M1252)))*(O1252*SUMIFS(Premissas!$C$5:$C$44,Premissas!$A$5:$A$44,$A1252,Premissas!$B$5:$B$44,$B1252)+P1252*SUMIFS(Premissas!$D$5:$D$44,Premissas!$A$5:$A$44,$A1252,Premissas!$B$5:$B$44,$B1252))+R1252*SUMIFS(Premissas!$E$5:$E$44,Premissas!$A$5:$A$44,$A1252,Premissas!$B$5:$B$44,$B1252)+S1252*SUMIFS(Premissas!$F$5:$F$44,Premissas!$A$5:$A$44,$A1252,Premissas!$B$5:$B$44,$B1252)</f>
        <v/>
      </c>
      <c r="L1252" s="29">
        <f>J1252-K1252</f>
        <v/>
      </c>
      <c r="M1252" t="inlineStr">
        <is>
          <t>1.350</t>
        </is>
      </c>
      <c r="N1252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52" s="29" t="n">
        <v>0</v>
      </c>
      <c r="P1252" s="29" t="n">
        <v>0</v>
      </c>
      <c r="Q1252" s="29" t="n">
        <v>0</v>
      </c>
      <c r="R1252" s="29" t="n">
        <v>0</v>
      </c>
      <c r="S1252" s="29" t="n">
        <v>0</v>
      </c>
      <c r="T1252" t="inlineStr">
        <is>
          <t>25250226975620000130570010000037121000000008</t>
        </is>
      </c>
      <c r="U1252" t="inlineStr">
        <is>
          <t>Não</t>
        </is>
      </c>
    </row>
    <row r="1253">
      <c r="A1253" t="inlineStr">
        <is>
          <t>Frete de venda</t>
        </is>
      </c>
      <c r="B1253" t="inlineStr">
        <is>
          <t>2.01.01 Frete Galpão Produto Acabado</t>
        </is>
      </c>
      <c r="C1253" t="inlineStr">
        <is>
          <t>Antes de 2026</t>
        </is>
      </c>
      <c r="D1253" t="inlineStr">
        <is>
          <t>Antes de 2026</t>
        </is>
      </c>
      <c r="E1253" s="28" t="n">
        <v>45707</v>
      </c>
      <c r="F1253" t="inlineStr">
        <is>
          <t>CT-e</t>
        </is>
      </c>
      <c r="G1253" t="inlineStr">
        <is>
          <t>000003713</t>
        </is>
      </c>
      <c r="H1253" t="inlineStr">
        <is>
          <t>R&amp;R TRANSPORTE E LOGISTICA</t>
        </is>
      </c>
      <c r="J1253" s="29" t="n">
        <v>47.23</v>
      </c>
      <c r="K1253" s="29">
        <f>(1-ISNUMBER(SEARCH("556",M1253)))*(O1253*SUMIFS(Premissas!$C$5:$C$44,Premissas!$A$5:$A$44,$A1253,Premissas!$B$5:$B$44,$B1253)+P1253*SUMIFS(Premissas!$D$5:$D$44,Premissas!$A$5:$A$44,$A1253,Premissas!$B$5:$B$44,$B1253))+R1253*SUMIFS(Premissas!$E$5:$E$44,Premissas!$A$5:$A$44,$A1253,Premissas!$B$5:$B$44,$B1253)+S1253*SUMIFS(Premissas!$F$5:$F$44,Premissas!$A$5:$A$44,$A1253,Premissas!$B$5:$B$44,$B1253)</f>
        <v/>
      </c>
      <c r="L1253" s="29">
        <f>J1253-K1253</f>
        <v/>
      </c>
      <c r="M1253" t="inlineStr">
        <is>
          <t>1.350</t>
        </is>
      </c>
      <c r="N1253" t="inlineStr">
        <is>
          <t>Modalidade: 0 - Por conta do remetente | Parte: VITOR HUGO DE CASTRO MARTINS e CIA LTDA (00.599.864/0001-71)</t>
        </is>
      </c>
      <c r="O1253" s="29" t="n">
        <v>0</v>
      </c>
      <c r="P1253" s="29" t="n">
        <v>0</v>
      </c>
      <c r="Q1253" s="29" t="n">
        <v>0</v>
      </c>
      <c r="R1253" s="29" t="n">
        <v>0</v>
      </c>
      <c r="S1253" s="29" t="n">
        <v>0</v>
      </c>
      <c r="T1253" t="inlineStr">
        <is>
          <t>25250226975620000130570010000037131000000005</t>
        </is>
      </c>
      <c r="U1253" t="inlineStr">
        <is>
          <t>Não</t>
        </is>
      </c>
    </row>
    <row r="1254">
      <c r="A1254" t="inlineStr">
        <is>
          <t>Frete de venda</t>
        </is>
      </c>
      <c r="B1254" t="inlineStr">
        <is>
          <t>2.01.01 Frete Galpão Produto Acabado</t>
        </is>
      </c>
      <c r="C1254" t="inlineStr">
        <is>
          <t>Antes de 2026</t>
        </is>
      </c>
      <c r="D1254" t="inlineStr">
        <is>
          <t>Antes de 2026</t>
        </is>
      </c>
      <c r="E1254" s="28" t="n">
        <v>45707</v>
      </c>
      <c r="F1254" t="inlineStr">
        <is>
          <t>CT-e</t>
        </is>
      </c>
      <c r="G1254" t="inlineStr">
        <is>
          <t>000003714</t>
        </is>
      </c>
      <c r="H1254" t="inlineStr">
        <is>
          <t>R&amp;R TRANSPORTE E LOGISTICA</t>
        </is>
      </c>
      <c r="J1254" s="29" t="n">
        <v>39.69</v>
      </c>
      <c r="K1254" s="29">
        <f>(1-ISNUMBER(SEARCH("556",M1254)))*(O1254*SUMIFS(Premissas!$C$5:$C$44,Premissas!$A$5:$A$44,$A1254,Premissas!$B$5:$B$44,$B1254)+P1254*SUMIFS(Premissas!$D$5:$D$44,Premissas!$A$5:$A$44,$A1254,Premissas!$B$5:$B$44,$B1254))+R1254*SUMIFS(Premissas!$E$5:$E$44,Premissas!$A$5:$A$44,$A1254,Premissas!$B$5:$B$44,$B1254)+S1254*SUMIFS(Premissas!$F$5:$F$44,Premissas!$A$5:$A$44,$A1254,Premissas!$B$5:$B$44,$B1254)</f>
        <v/>
      </c>
      <c r="L1254" s="29">
        <f>J1254-K1254</f>
        <v/>
      </c>
      <c r="M1254" t="inlineStr">
        <is>
          <t>1.350</t>
        </is>
      </c>
      <c r="N1254" t="inlineStr">
        <is>
          <t>Modalidade: 0 - Por conta do remetente | Parte: VILELA PACK LTDA (41.590.533/0001-58)</t>
        </is>
      </c>
      <c r="O1254" s="29" t="n">
        <v>0</v>
      </c>
      <c r="P1254" s="29" t="n">
        <v>0</v>
      </c>
      <c r="Q1254" s="29" t="n">
        <v>0</v>
      </c>
      <c r="R1254" s="29" t="n">
        <v>0</v>
      </c>
      <c r="S1254" s="29" t="n">
        <v>0</v>
      </c>
      <c r="T1254" t="inlineStr">
        <is>
          <t>25250226975620000130570010000037141000000002</t>
        </is>
      </c>
      <c r="U1254" t="inlineStr">
        <is>
          <t>Não</t>
        </is>
      </c>
    </row>
    <row r="1255">
      <c r="A1255" t="inlineStr">
        <is>
          <t>Frete de venda</t>
        </is>
      </c>
      <c r="B1255" t="inlineStr">
        <is>
          <t>2.01.01 Frete Galpão Produto Acabado</t>
        </is>
      </c>
      <c r="C1255" t="inlineStr">
        <is>
          <t>Antes de 2026</t>
        </is>
      </c>
      <c r="D1255" t="inlineStr">
        <is>
          <t>Antes de 2026</t>
        </is>
      </c>
      <c r="E1255" s="28" t="n">
        <v>45707</v>
      </c>
      <c r="F1255" t="inlineStr">
        <is>
          <t>CT-e</t>
        </is>
      </c>
      <c r="G1255" t="inlineStr">
        <is>
          <t>000003715</t>
        </is>
      </c>
      <c r="H1255" t="inlineStr">
        <is>
          <t>R&amp;R TRANSPORTE E LOGISTICA</t>
        </is>
      </c>
      <c r="J1255" s="29" t="n">
        <v>64.65000000000001</v>
      </c>
      <c r="K1255" s="29">
        <f>(1-ISNUMBER(SEARCH("556",M1255)))*(O1255*SUMIFS(Premissas!$C$5:$C$44,Premissas!$A$5:$A$44,$A1255,Premissas!$B$5:$B$44,$B1255)+P1255*SUMIFS(Premissas!$D$5:$D$44,Premissas!$A$5:$A$44,$A1255,Premissas!$B$5:$B$44,$B1255))+R1255*SUMIFS(Premissas!$E$5:$E$44,Premissas!$A$5:$A$44,$A1255,Premissas!$B$5:$B$44,$B1255)+S1255*SUMIFS(Premissas!$F$5:$F$44,Premissas!$A$5:$A$44,$A1255,Premissas!$B$5:$B$44,$B1255)</f>
        <v/>
      </c>
      <c r="L1255" s="29">
        <f>J1255-K1255</f>
        <v/>
      </c>
      <c r="M1255" t="inlineStr">
        <is>
          <t>1.350</t>
        </is>
      </c>
      <c r="N1255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55" s="29" t="n">
        <v>0</v>
      </c>
      <c r="P1255" s="29" t="n">
        <v>0</v>
      </c>
      <c r="Q1255" s="29" t="n">
        <v>0</v>
      </c>
      <c r="R1255" s="29" t="n">
        <v>0</v>
      </c>
      <c r="S1255" s="29" t="n">
        <v>0</v>
      </c>
      <c r="T1255" t="inlineStr">
        <is>
          <t>25250226975620000130570010000037151000000000</t>
        </is>
      </c>
      <c r="U1255" t="inlineStr">
        <is>
          <t>Não</t>
        </is>
      </c>
    </row>
    <row r="1256">
      <c r="A1256" t="inlineStr">
        <is>
          <t>Frete de venda</t>
        </is>
      </c>
      <c r="B1256" t="inlineStr">
        <is>
          <t>2.01.01 Frete Galpão Produto Acabado</t>
        </is>
      </c>
      <c r="C1256" t="inlineStr">
        <is>
          <t>Antes de 2026</t>
        </is>
      </c>
      <c r="D1256" t="inlineStr">
        <is>
          <t>Antes de 2026</t>
        </is>
      </c>
      <c r="E1256" s="28" t="n">
        <v>45707</v>
      </c>
      <c r="F1256" t="inlineStr">
        <is>
          <t>CT-e</t>
        </is>
      </c>
      <c r="G1256" t="inlineStr">
        <is>
          <t>000003716</t>
        </is>
      </c>
      <c r="H1256" t="inlineStr">
        <is>
          <t>R&amp;R TRANSPORTE E LOGISTICA</t>
        </is>
      </c>
      <c r="J1256" s="29" t="n">
        <v>81.87</v>
      </c>
      <c r="K1256" s="29">
        <f>(1-ISNUMBER(SEARCH("556",M1256)))*(O1256*SUMIFS(Premissas!$C$5:$C$44,Premissas!$A$5:$A$44,$A1256,Premissas!$B$5:$B$44,$B1256)+P1256*SUMIFS(Premissas!$D$5:$D$44,Premissas!$A$5:$A$44,$A1256,Premissas!$B$5:$B$44,$B1256))+R1256*SUMIFS(Premissas!$E$5:$E$44,Premissas!$A$5:$A$44,$A1256,Premissas!$B$5:$B$44,$B1256)+S1256*SUMIFS(Premissas!$F$5:$F$44,Premissas!$A$5:$A$44,$A1256,Premissas!$B$5:$B$44,$B1256)</f>
        <v/>
      </c>
      <c r="L1256" s="29">
        <f>J1256-K1256</f>
        <v/>
      </c>
      <c r="M1256" t="inlineStr">
        <is>
          <t>1.350</t>
        </is>
      </c>
      <c r="N1256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56" s="29" t="n">
        <v>0</v>
      </c>
      <c r="P1256" s="29" t="n">
        <v>0</v>
      </c>
      <c r="Q1256" s="29" t="n">
        <v>0</v>
      </c>
      <c r="R1256" s="29" t="n">
        <v>0</v>
      </c>
      <c r="S1256" s="29" t="n">
        <v>0</v>
      </c>
      <c r="T1256" t="inlineStr">
        <is>
          <t>25250226975620000130570010000037161000000007</t>
        </is>
      </c>
      <c r="U1256" t="inlineStr">
        <is>
          <t>Não</t>
        </is>
      </c>
    </row>
    <row r="1257">
      <c r="A1257" t="inlineStr">
        <is>
          <t>Frete de venda</t>
        </is>
      </c>
      <c r="B1257" t="inlineStr">
        <is>
          <t>2.01.01 Frete Galpão Produto Acabado</t>
        </is>
      </c>
      <c r="C1257" t="inlineStr">
        <is>
          <t>Antes de 2026</t>
        </is>
      </c>
      <c r="D1257" t="inlineStr">
        <is>
          <t>Antes de 2026</t>
        </is>
      </c>
      <c r="E1257" s="28" t="n">
        <v>45709</v>
      </c>
      <c r="F1257" t="inlineStr">
        <is>
          <t>CT-e</t>
        </is>
      </c>
      <c r="G1257" t="inlineStr">
        <is>
          <t>000003728</t>
        </is>
      </c>
      <c r="H1257" t="inlineStr">
        <is>
          <t>R&amp;R TRANSPORTE E LOGISTICA</t>
        </is>
      </c>
      <c r="J1257" s="29" t="n">
        <v>37.99</v>
      </c>
      <c r="K1257" s="29">
        <f>(1-ISNUMBER(SEARCH("556",M1257)))*(O1257*SUMIFS(Premissas!$C$5:$C$44,Premissas!$A$5:$A$44,$A1257,Premissas!$B$5:$B$44,$B1257)+P1257*SUMIFS(Premissas!$D$5:$D$44,Premissas!$A$5:$A$44,$A1257,Premissas!$B$5:$B$44,$B1257))+R1257*SUMIFS(Premissas!$E$5:$E$44,Premissas!$A$5:$A$44,$A1257,Premissas!$B$5:$B$44,$B1257)+S1257*SUMIFS(Premissas!$F$5:$F$44,Premissas!$A$5:$A$44,$A1257,Premissas!$B$5:$B$44,$B1257)</f>
        <v/>
      </c>
      <c r="L1257" s="29">
        <f>J1257-K1257</f>
        <v/>
      </c>
      <c r="M1257" t="inlineStr">
        <is>
          <t>1.350</t>
        </is>
      </c>
      <c r="N1257" t="inlineStr">
        <is>
          <t>Modalidade: 0 - Por conta do remetente | Parte: LIDERPACK EMBALAGENS LTDA (46.994.972/0001-40)</t>
        </is>
      </c>
      <c r="O1257" s="29" t="n">
        <v>0</v>
      </c>
      <c r="P1257" s="29" t="n">
        <v>0</v>
      </c>
      <c r="Q1257" s="29" t="n">
        <v>0</v>
      </c>
      <c r="R1257" s="29" t="n">
        <v>0</v>
      </c>
      <c r="S1257" s="29" t="n">
        <v>0</v>
      </c>
      <c r="T1257" t="inlineStr">
        <is>
          <t>25250226975620000130570010000037281000000008</t>
        </is>
      </c>
      <c r="U1257" t="inlineStr">
        <is>
          <t>Não</t>
        </is>
      </c>
    </row>
    <row r="1258">
      <c r="A1258" t="inlineStr">
        <is>
          <t>Frete de venda</t>
        </is>
      </c>
      <c r="B1258" t="inlineStr">
        <is>
          <t>2.01.01 Frete Galpão Produto Acabado</t>
        </is>
      </c>
      <c r="C1258" t="inlineStr">
        <is>
          <t>Antes de 2026</t>
        </is>
      </c>
      <c r="D1258" t="inlineStr">
        <is>
          <t>Antes de 2026</t>
        </is>
      </c>
      <c r="E1258" s="28" t="n">
        <v>45709</v>
      </c>
      <c r="F1258" t="inlineStr">
        <is>
          <t>CT-e</t>
        </is>
      </c>
      <c r="G1258" t="inlineStr">
        <is>
          <t>000003729</t>
        </is>
      </c>
      <c r="H1258" t="inlineStr">
        <is>
          <t>R&amp;R TRANSPORTE E LOGISTICA</t>
        </is>
      </c>
      <c r="J1258" s="29" t="n">
        <v>36.76</v>
      </c>
      <c r="K1258" s="29">
        <f>(1-ISNUMBER(SEARCH("556",M1258)))*(O1258*SUMIFS(Premissas!$C$5:$C$44,Premissas!$A$5:$A$44,$A1258,Premissas!$B$5:$B$44,$B1258)+P1258*SUMIFS(Premissas!$D$5:$D$44,Premissas!$A$5:$A$44,$A1258,Premissas!$B$5:$B$44,$B1258))+R1258*SUMIFS(Premissas!$E$5:$E$44,Premissas!$A$5:$A$44,$A1258,Premissas!$B$5:$B$44,$B1258)+S1258*SUMIFS(Premissas!$F$5:$F$44,Premissas!$A$5:$A$44,$A1258,Premissas!$B$5:$B$44,$B1258)</f>
        <v/>
      </c>
      <c r="L1258" s="29">
        <f>J1258-K1258</f>
        <v/>
      </c>
      <c r="M1258" t="inlineStr">
        <is>
          <t>1.350</t>
        </is>
      </c>
      <c r="N1258" t="inlineStr">
        <is>
          <t>Modalidade: 0 - Por conta do remetente | Parte: LD DISTRIBUIDORA DE EMBALAGENS LTDA (54.582.388/0001-05)</t>
        </is>
      </c>
      <c r="O1258" s="29" t="n">
        <v>0</v>
      </c>
      <c r="P1258" s="29" t="n">
        <v>0</v>
      </c>
      <c r="Q1258" s="29" t="n">
        <v>0</v>
      </c>
      <c r="R1258" s="29" t="n">
        <v>0</v>
      </c>
      <c r="S1258" s="29" t="n">
        <v>0</v>
      </c>
      <c r="T1258" t="inlineStr">
        <is>
          <t>25250226975620000130570010000037291000000005</t>
        </is>
      </c>
      <c r="U1258" t="inlineStr">
        <is>
          <t>Não</t>
        </is>
      </c>
    </row>
    <row r="1259">
      <c r="A1259" t="inlineStr">
        <is>
          <t>Frete de venda</t>
        </is>
      </c>
      <c r="B1259" t="inlineStr">
        <is>
          <t>2.01.01 Frete Galpão Produto Acabado</t>
        </is>
      </c>
      <c r="C1259" t="inlineStr">
        <is>
          <t>Antes de 2026</t>
        </is>
      </c>
      <c r="D1259" t="inlineStr">
        <is>
          <t>Antes de 2026</t>
        </is>
      </c>
      <c r="E1259" s="28" t="n">
        <v>45709</v>
      </c>
      <c r="F1259" t="inlineStr">
        <is>
          <t>CT-e</t>
        </is>
      </c>
      <c r="G1259" t="inlineStr">
        <is>
          <t>000003730</t>
        </is>
      </c>
      <c r="H1259" t="inlineStr">
        <is>
          <t>R&amp;R TRANSPORTE E LOGISTICA</t>
        </is>
      </c>
      <c r="J1259" s="29" t="n">
        <v>38</v>
      </c>
      <c r="K1259" s="29">
        <f>(1-ISNUMBER(SEARCH("556",M1259)))*(O1259*SUMIFS(Premissas!$C$5:$C$44,Premissas!$A$5:$A$44,$A1259,Premissas!$B$5:$B$44,$B1259)+P1259*SUMIFS(Premissas!$D$5:$D$44,Premissas!$A$5:$A$44,$A1259,Premissas!$B$5:$B$44,$B1259))+R1259*SUMIFS(Premissas!$E$5:$E$44,Premissas!$A$5:$A$44,$A1259,Premissas!$B$5:$B$44,$B1259)+S1259*SUMIFS(Premissas!$F$5:$F$44,Premissas!$A$5:$A$44,$A1259,Premissas!$B$5:$B$44,$B1259)</f>
        <v/>
      </c>
      <c r="L1259" s="29">
        <f>J1259-K1259</f>
        <v/>
      </c>
      <c r="M1259" t="inlineStr">
        <is>
          <t>1.350</t>
        </is>
      </c>
      <c r="N1259" t="inlineStr">
        <is>
          <t>Modalidade: 0 - Por conta do remetente | Parte: DEO PRIME COMERCIO DE PRODUTOS DE HIGIENE E LIMPEZA LTDA (41.843.812/0001-86)</t>
        </is>
      </c>
      <c r="O1259" s="29" t="n">
        <v>0</v>
      </c>
      <c r="P1259" s="29" t="n">
        <v>0</v>
      </c>
      <c r="Q1259" s="29" t="n">
        <v>0</v>
      </c>
      <c r="R1259" s="29" t="n">
        <v>0</v>
      </c>
      <c r="S1259" s="29" t="n">
        <v>0</v>
      </c>
      <c r="T1259" t="inlineStr">
        <is>
          <t>25250226975620000130570010000037301000000006</t>
        </is>
      </c>
      <c r="U1259" t="inlineStr">
        <is>
          <t>Não</t>
        </is>
      </c>
    </row>
    <row r="1260">
      <c r="A1260" t="inlineStr">
        <is>
          <t>Frete de venda</t>
        </is>
      </c>
      <c r="B1260" t="inlineStr">
        <is>
          <t>2.01.01 Frete Galpão Produto Acabado</t>
        </is>
      </c>
      <c r="C1260" t="inlineStr">
        <is>
          <t>Antes de 2026</t>
        </is>
      </c>
      <c r="D1260" t="inlineStr">
        <is>
          <t>Antes de 2026</t>
        </is>
      </c>
      <c r="E1260" s="28" t="n">
        <v>45709</v>
      </c>
      <c r="F1260" t="inlineStr">
        <is>
          <t>CT-e</t>
        </is>
      </c>
      <c r="G1260" t="inlineStr">
        <is>
          <t>000003731</t>
        </is>
      </c>
      <c r="H1260" t="inlineStr">
        <is>
          <t>R&amp;R TRANSPORTE E LOGISTICA</t>
        </is>
      </c>
      <c r="J1260" s="29" t="n">
        <v>44.17</v>
      </c>
      <c r="K1260" s="29">
        <f>(1-ISNUMBER(SEARCH("556",M1260)))*(O1260*SUMIFS(Premissas!$C$5:$C$44,Premissas!$A$5:$A$44,$A1260,Premissas!$B$5:$B$44,$B1260)+P1260*SUMIFS(Premissas!$D$5:$D$44,Premissas!$A$5:$A$44,$A1260,Premissas!$B$5:$B$44,$B1260))+R1260*SUMIFS(Premissas!$E$5:$E$44,Premissas!$A$5:$A$44,$A1260,Premissas!$B$5:$B$44,$B1260)+S1260*SUMIFS(Premissas!$F$5:$F$44,Premissas!$A$5:$A$44,$A1260,Premissas!$B$5:$B$44,$B1260)</f>
        <v/>
      </c>
      <c r="L1260" s="29">
        <f>J1260-K1260</f>
        <v/>
      </c>
      <c r="M1260" t="inlineStr">
        <is>
          <t>1.350</t>
        </is>
      </c>
      <c r="N1260" t="inlineStr">
        <is>
          <t>Modalidade: 0 - Por conta do remetente | Parte: PADUA EMBALAGENS E DESCARTAVEIS LTDA (29.312.016/0001-11)</t>
        </is>
      </c>
      <c r="O1260" s="29" t="n">
        <v>0</v>
      </c>
      <c r="P1260" s="29" t="n">
        <v>0</v>
      </c>
      <c r="Q1260" s="29" t="n">
        <v>0</v>
      </c>
      <c r="R1260" s="29" t="n">
        <v>0</v>
      </c>
      <c r="S1260" s="29" t="n">
        <v>0</v>
      </c>
      <c r="T1260" t="inlineStr">
        <is>
          <t>25250226975620000130570010000037311000000003</t>
        </is>
      </c>
      <c r="U1260" t="inlineStr">
        <is>
          <t>Não</t>
        </is>
      </c>
    </row>
    <row r="1261">
      <c r="A1261" t="inlineStr">
        <is>
          <t>Frete de venda</t>
        </is>
      </c>
      <c r="B1261" t="inlineStr">
        <is>
          <t>2.01.01 Frete Galpão Produto Acabado</t>
        </is>
      </c>
      <c r="C1261" t="inlineStr">
        <is>
          <t>Antes de 2026</t>
        </is>
      </c>
      <c r="D1261" t="inlineStr">
        <is>
          <t>Antes de 2026</t>
        </is>
      </c>
      <c r="E1261" s="28" t="n">
        <v>45709</v>
      </c>
      <c r="F1261" t="inlineStr">
        <is>
          <t>CT-e</t>
        </is>
      </c>
      <c r="G1261" t="inlineStr">
        <is>
          <t>000003732</t>
        </is>
      </c>
      <c r="H1261" t="inlineStr">
        <is>
          <t>R&amp;R TRANSPORTE E LOGISTICA</t>
        </is>
      </c>
      <c r="J1261" s="29" t="n">
        <v>30.82</v>
      </c>
      <c r="K1261" s="29">
        <f>(1-ISNUMBER(SEARCH("556",M1261)))*(O1261*SUMIFS(Premissas!$C$5:$C$44,Premissas!$A$5:$A$44,$A1261,Premissas!$B$5:$B$44,$B1261)+P1261*SUMIFS(Premissas!$D$5:$D$44,Premissas!$A$5:$A$44,$A1261,Premissas!$B$5:$B$44,$B1261))+R1261*SUMIFS(Premissas!$E$5:$E$44,Premissas!$A$5:$A$44,$A1261,Premissas!$B$5:$B$44,$B1261)+S1261*SUMIFS(Premissas!$F$5:$F$44,Premissas!$A$5:$A$44,$A1261,Premissas!$B$5:$B$44,$B1261)</f>
        <v/>
      </c>
      <c r="L1261" s="29">
        <f>J1261-K1261</f>
        <v/>
      </c>
      <c r="M1261" t="inlineStr">
        <is>
          <t>1.350</t>
        </is>
      </c>
      <c r="N1261" t="inlineStr">
        <is>
          <t>Modalidade: 0 - Por conta do remetente | Parte: JOMIG LTDA (19.991.629/0001-79)</t>
        </is>
      </c>
      <c r="O1261" s="29" t="n">
        <v>0</v>
      </c>
      <c r="P1261" s="29" t="n">
        <v>0</v>
      </c>
      <c r="Q1261" s="29" t="n">
        <v>0</v>
      </c>
      <c r="R1261" s="29" t="n">
        <v>0</v>
      </c>
      <c r="S1261" s="29" t="n">
        <v>0</v>
      </c>
      <c r="T1261" t="inlineStr">
        <is>
          <t>25250226975620000130570010000037321000000000</t>
        </is>
      </c>
      <c r="U1261" t="inlineStr">
        <is>
          <t>Não</t>
        </is>
      </c>
    </row>
    <row r="1262">
      <c r="A1262" t="inlineStr">
        <is>
          <t>Frete de venda</t>
        </is>
      </c>
      <c r="B1262" t="inlineStr">
        <is>
          <t>2.01.01 Frete Galpão Produto Acabado</t>
        </is>
      </c>
      <c r="C1262" t="inlineStr">
        <is>
          <t>Antes de 2026</t>
        </is>
      </c>
      <c r="D1262" t="inlineStr">
        <is>
          <t>Antes de 2026</t>
        </is>
      </c>
      <c r="E1262" s="28" t="n">
        <v>45709</v>
      </c>
      <c r="F1262" t="inlineStr">
        <is>
          <t>CT-e</t>
        </is>
      </c>
      <c r="G1262" t="inlineStr">
        <is>
          <t>000003733</t>
        </is>
      </c>
      <c r="H1262" t="inlineStr">
        <is>
          <t>R&amp;R TRANSPORTE E LOGISTICA</t>
        </is>
      </c>
      <c r="J1262" s="29" t="n">
        <v>43.22</v>
      </c>
      <c r="K1262" s="29">
        <f>(1-ISNUMBER(SEARCH("556",M1262)))*(O1262*SUMIFS(Premissas!$C$5:$C$44,Premissas!$A$5:$A$44,$A1262,Premissas!$B$5:$B$44,$B1262)+P1262*SUMIFS(Premissas!$D$5:$D$44,Premissas!$A$5:$A$44,$A1262,Premissas!$B$5:$B$44,$B1262))+R1262*SUMIFS(Premissas!$E$5:$E$44,Premissas!$A$5:$A$44,$A1262,Premissas!$B$5:$B$44,$B1262)+S1262*SUMIFS(Premissas!$F$5:$F$44,Premissas!$A$5:$A$44,$A1262,Premissas!$B$5:$B$44,$B1262)</f>
        <v/>
      </c>
      <c r="L1262" s="29">
        <f>J1262-K1262</f>
        <v/>
      </c>
      <c r="M1262" t="inlineStr">
        <is>
          <t>1.350</t>
        </is>
      </c>
      <c r="N1262" t="inlineStr">
        <is>
          <t>Modalidade: 0 - Por conta do remetente | Parte: ANGULO EMBALAGENS LTDA (09.100.586/0001-30)</t>
        </is>
      </c>
      <c r="O1262" s="29" t="n">
        <v>0</v>
      </c>
      <c r="P1262" s="29" t="n">
        <v>0</v>
      </c>
      <c r="Q1262" s="29" t="n">
        <v>0</v>
      </c>
      <c r="R1262" s="29" t="n">
        <v>0</v>
      </c>
      <c r="S1262" s="29" t="n">
        <v>0</v>
      </c>
      <c r="T1262" t="inlineStr">
        <is>
          <t>25250226975620000130570010000037331000000008</t>
        </is>
      </c>
      <c r="U1262" t="inlineStr">
        <is>
          <t>Não</t>
        </is>
      </c>
    </row>
    <row r="1263">
      <c r="A1263" t="inlineStr">
        <is>
          <t>Frete de venda</t>
        </is>
      </c>
      <c r="B1263" t="inlineStr">
        <is>
          <t>2.01.01 Frete Galpão Produto Acabado</t>
        </is>
      </c>
      <c r="C1263" t="inlineStr">
        <is>
          <t>Antes de 2026</t>
        </is>
      </c>
      <c r="D1263" t="inlineStr">
        <is>
          <t>Antes de 2026</t>
        </is>
      </c>
      <c r="E1263" s="28" t="n">
        <v>45709</v>
      </c>
      <c r="F1263" t="inlineStr">
        <is>
          <t>CT-e</t>
        </is>
      </c>
      <c r="G1263" t="inlineStr">
        <is>
          <t>000003734</t>
        </is>
      </c>
      <c r="H1263" t="inlineStr">
        <is>
          <t>R&amp;R TRANSPORTE E LOGISTICA</t>
        </is>
      </c>
      <c r="J1263" s="29" t="n">
        <v>28.36</v>
      </c>
      <c r="K1263" s="29">
        <f>(1-ISNUMBER(SEARCH("556",M1263)))*(O1263*SUMIFS(Premissas!$C$5:$C$44,Premissas!$A$5:$A$44,$A1263,Premissas!$B$5:$B$44,$B1263)+P1263*SUMIFS(Premissas!$D$5:$D$44,Premissas!$A$5:$A$44,$A1263,Premissas!$B$5:$B$44,$B1263))+R1263*SUMIFS(Premissas!$E$5:$E$44,Premissas!$A$5:$A$44,$A1263,Premissas!$B$5:$B$44,$B1263)+S1263*SUMIFS(Premissas!$F$5:$F$44,Premissas!$A$5:$A$44,$A1263,Premissas!$B$5:$B$44,$B1263)</f>
        <v/>
      </c>
      <c r="L1263" s="29">
        <f>J1263-K1263</f>
        <v/>
      </c>
      <c r="M1263" t="inlineStr">
        <is>
          <t>1.350</t>
        </is>
      </c>
      <c r="N1263" t="inlineStr">
        <is>
          <t>Modalidade: 0 - Por conta do remetente | Parte: MP DESCARTAVEIS LTDA (45.018.069/0001-80)</t>
        </is>
      </c>
      <c r="O1263" s="29" t="n">
        <v>0</v>
      </c>
      <c r="P1263" s="29" t="n">
        <v>0</v>
      </c>
      <c r="Q1263" s="29" t="n">
        <v>0</v>
      </c>
      <c r="R1263" s="29" t="n">
        <v>0</v>
      </c>
      <c r="S1263" s="29" t="n">
        <v>0</v>
      </c>
      <c r="T1263" t="inlineStr">
        <is>
          <t>25250226975620000130570010000037341000000005</t>
        </is>
      </c>
      <c r="U1263" t="inlineStr">
        <is>
          <t>Não</t>
        </is>
      </c>
    </row>
    <row r="1264">
      <c r="A1264" t="inlineStr">
        <is>
          <t>Frete de venda</t>
        </is>
      </c>
      <c r="B1264" t="inlineStr">
        <is>
          <t>2.01.01 Frete Galpão Produto Acabado</t>
        </is>
      </c>
      <c r="C1264" t="inlineStr">
        <is>
          <t>Antes de 2026</t>
        </is>
      </c>
      <c r="D1264" t="inlineStr">
        <is>
          <t>Antes de 2026</t>
        </is>
      </c>
      <c r="E1264" s="28" t="n">
        <v>45710</v>
      </c>
      <c r="F1264" t="inlineStr">
        <is>
          <t>CT-e</t>
        </is>
      </c>
      <c r="G1264" t="inlineStr">
        <is>
          <t>000003737</t>
        </is>
      </c>
      <c r="H1264" t="inlineStr">
        <is>
          <t>R&amp;R TRANSPORTE E LOGISTICA</t>
        </is>
      </c>
      <c r="J1264" s="29" t="n">
        <v>30</v>
      </c>
      <c r="K1264" s="29">
        <f>(1-ISNUMBER(SEARCH("556",M1264)))*(O1264*SUMIFS(Premissas!$C$5:$C$44,Premissas!$A$5:$A$44,$A1264,Premissas!$B$5:$B$44,$B1264)+P1264*SUMIFS(Premissas!$D$5:$D$44,Premissas!$A$5:$A$44,$A1264,Premissas!$B$5:$B$44,$B1264))+R1264*SUMIFS(Premissas!$E$5:$E$44,Premissas!$A$5:$A$44,$A1264,Premissas!$B$5:$B$44,$B1264)+S1264*SUMIFS(Premissas!$F$5:$F$44,Premissas!$A$5:$A$44,$A1264,Premissas!$B$5:$B$44,$B1264)</f>
        <v/>
      </c>
      <c r="L1264" s="29">
        <f>J1264-K1264</f>
        <v/>
      </c>
      <c r="M1264" t="inlineStr">
        <is>
          <t>1.350</t>
        </is>
      </c>
      <c r="N1264" t="inlineStr">
        <is>
          <t>Modalidade: 0 - Por conta do remetente | Parte: MC DE FARIAS EMBALAGENS LTDA (58.422.575/0001-82)</t>
        </is>
      </c>
      <c r="O1264" s="29" t="n">
        <v>0</v>
      </c>
      <c r="P1264" s="29" t="n">
        <v>0</v>
      </c>
      <c r="Q1264" s="29" t="n">
        <v>0</v>
      </c>
      <c r="R1264" s="29" t="n">
        <v>0</v>
      </c>
      <c r="S1264" s="29" t="n">
        <v>0</v>
      </c>
      <c r="T1264" t="inlineStr">
        <is>
          <t>25250226975620000130570010000037371000000007</t>
        </is>
      </c>
      <c r="U1264" t="inlineStr">
        <is>
          <t>Não</t>
        </is>
      </c>
    </row>
    <row r="1265">
      <c r="A1265" t="inlineStr">
        <is>
          <t>Frete de venda</t>
        </is>
      </c>
      <c r="B1265" t="inlineStr">
        <is>
          <t>2.01.01 Frete Galpão Produto Acabado</t>
        </is>
      </c>
      <c r="C1265" t="inlineStr">
        <is>
          <t>Antes de 2026</t>
        </is>
      </c>
      <c r="D1265" t="inlineStr">
        <is>
          <t>Antes de 2026</t>
        </is>
      </c>
      <c r="E1265" s="28" t="n">
        <v>45710</v>
      </c>
      <c r="F1265" t="inlineStr">
        <is>
          <t>CT-e</t>
        </is>
      </c>
      <c r="G1265" t="inlineStr">
        <is>
          <t>000003738</t>
        </is>
      </c>
      <c r="H1265" t="inlineStr">
        <is>
          <t>R&amp;R TRANSPORTE E LOGISTICA</t>
        </is>
      </c>
      <c r="J1265" s="29" t="n">
        <v>30</v>
      </c>
      <c r="K1265" s="29">
        <f>(1-ISNUMBER(SEARCH("556",M1265)))*(O1265*SUMIFS(Premissas!$C$5:$C$44,Premissas!$A$5:$A$44,$A1265,Premissas!$B$5:$B$44,$B1265)+P1265*SUMIFS(Premissas!$D$5:$D$44,Premissas!$A$5:$A$44,$A1265,Premissas!$B$5:$B$44,$B1265))+R1265*SUMIFS(Premissas!$E$5:$E$44,Premissas!$A$5:$A$44,$A1265,Premissas!$B$5:$B$44,$B1265)+S1265*SUMIFS(Premissas!$F$5:$F$44,Premissas!$A$5:$A$44,$A1265,Premissas!$B$5:$B$44,$B1265)</f>
        <v/>
      </c>
      <c r="L1265" s="29">
        <f>J1265-K1265</f>
        <v/>
      </c>
      <c r="M1265" t="inlineStr">
        <is>
          <t>1.350</t>
        </is>
      </c>
      <c r="N1265" t="inlineStr">
        <is>
          <t>Modalidade: 0 - Por conta do remetente | Parte: AL DESCARTAVEIS COMERCIO ATACADISTA LTDA (20.761.196/0001-44)</t>
        </is>
      </c>
      <c r="O1265" s="29" t="n">
        <v>0</v>
      </c>
      <c r="P1265" s="29" t="n">
        <v>0</v>
      </c>
      <c r="Q1265" s="29" t="n">
        <v>0</v>
      </c>
      <c r="R1265" s="29" t="n">
        <v>0</v>
      </c>
      <c r="S1265" s="29" t="n">
        <v>0</v>
      </c>
      <c r="T1265" t="inlineStr">
        <is>
          <t>25250226975620000130570010000037381000000004</t>
        </is>
      </c>
      <c r="U1265" t="inlineStr">
        <is>
          <t>Não</t>
        </is>
      </c>
    </row>
    <row r="1266">
      <c r="A1266" t="inlineStr">
        <is>
          <t>Frete de venda</t>
        </is>
      </c>
      <c r="B1266" t="inlineStr">
        <is>
          <t>2.01.01 Frete Galpão Produto Acabado</t>
        </is>
      </c>
      <c r="C1266" t="inlineStr">
        <is>
          <t>Antes de 2026</t>
        </is>
      </c>
      <c r="D1266" t="inlineStr">
        <is>
          <t>Antes de 2026</t>
        </is>
      </c>
      <c r="E1266" s="28" t="n">
        <v>45710</v>
      </c>
      <c r="F1266" t="inlineStr">
        <is>
          <t>CT-e</t>
        </is>
      </c>
      <c r="G1266" t="inlineStr">
        <is>
          <t>000003739</t>
        </is>
      </c>
      <c r="H1266" t="inlineStr">
        <is>
          <t>R&amp;R TRANSPORTE E LOGISTICA</t>
        </is>
      </c>
      <c r="J1266" s="29" t="n">
        <v>30</v>
      </c>
      <c r="K1266" s="29">
        <f>(1-ISNUMBER(SEARCH("556",M1266)))*(O1266*SUMIFS(Premissas!$C$5:$C$44,Premissas!$A$5:$A$44,$A1266,Premissas!$B$5:$B$44,$B1266)+P1266*SUMIFS(Premissas!$D$5:$D$44,Premissas!$A$5:$A$44,$A1266,Premissas!$B$5:$B$44,$B1266))+R1266*SUMIFS(Premissas!$E$5:$E$44,Premissas!$A$5:$A$44,$A1266,Premissas!$B$5:$B$44,$B1266)+S1266*SUMIFS(Premissas!$F$5:$F$44,Premissas!$A$5:$A$44,$A1266,Premissas!$B$5:$B$44,$B1266)</f>
        <v/>
      </c>
      <c r="L1266" s="29">
        <f>J1266-K1266</f>
        <v/>
      </c>
      <c r="M1266" t="inlineStr">
        <is>
          <t>1.350</t>
        </is>
      </c>
      <c r="N1266" t="inlineStr">
        <is>
          <t>Modalidade: 0 - Por conta do remetente | Parte: ROLLEMBERG LIRA COMERCIO E SERVICOS LTDA (32.739.849/0001-78)</t>
        </is>
      </c>
      <c r="O1266" s="29" t="n">
        <v>0</v>
      </c>
      <c r="P1266" s="29" t="n">
        <v>0</v>
      </c>
      <c r="Q1266" s="29" t="n">
        <v>0</v>
      </c>
      <c r="R1266" s="29" t="n">
        <v>0</v>
      </c>
      <c r="S1266" s="29" t="n">
        <v>0</v>
      </c>
      <c r="T1266" t="inlineStr">
        <is>
          <t>25250226975620000130570010000037391000000001</t>
        </is>
      </c>
      <c r="U1266" t="inlineStr">
        <is>
          <t>Não</t>
        </is>
      </c>
    </row>
    <row r="1267">
      <c r="A1267" t="inlineStr">
        <is>
          <t>Frete de venda</t>
        </is>
      </c>
      <c r="B1267" t="inlineStr">
        <is>
          <t>2.01.01 Frete Galpão Produto Acabado</t>
        </is>
      </c>
      <c r="C1267" t="inlineStr">
        <is>
          <t>Antes de 2026</t>
        </is>
      </c>
      <c r="D1267" t="inlineStr">
        <is>
          <t>Antes de 2026</t>
        </is>
      </c>
      <c r="E1267" s="28" t="n">
        <v>45710</v>
      </c>
      <c r="F1267" t="inlineStr">
        <is>
          <t>CT-e</t>
        </is>
      </c>
      <c r="G1267" t="inlineStr">
        <is>
          <t>000003740</t>
        </is>
      </c>
      <c r="H1267" t="inlineStr">
        <is>
          <t>R&amp;R TRANSPORTE E LOGISTICA</t>
        </is>
      </c>
      <c r="J1267" s="29" t="n">
        <v>30</v>
      </c>
      <c r="K1267" s="29">
        <f>(1-ISNUMBER(SEARCH("556",M1267)))*(O1267*SUMIFS(Premissas!$C$5:$C$44,Premissas!$A$5:$A$44,$A1267,Premissas!$B$5:$B$44,$B1267)+P1267*SUMIFS(Premissas!$D$5:$D$44,Premissas!$A$5:$A$44,$A1267,Premissas!$B$5:$B$44,$B1267))+R1267*SUMIFS(Premissas!$E$5:$E$44,Premissas!$A$5:$A$44,$A1267,Premissas!$B$5:$B$44,$B1267)+S1267*SUMIFS(Premissas!$F$5:$F$44,Premissas!$A$5:$A$44,$A1267,Premissas!$B$5:$B$44,$B1267)</f>
        <v/>
      </c>
      <c r="L1267" s="29">
        <f>J1267-K1267</f>
        <v/>
      </c>
      <c r="M1267" t="inlineStr">
        <is>
          <t>1.350</t>
        </is>
      </c>
      <c r="N1267" t="inlineStr">
        <is>
          <t>Modalidade: 0 - Por conta do remetente | Parte: ALBUQUERQUE DISTRIBUIDORA DE ALIMENTOS LTDA (29.295.287/0001-06)</t>
        </is>
      </c>
      <c r="O1267" s="29" t="n">
        <v>0</v>
      </c>
      <c r="P1267" s="29" t="n">
        <v>0</v>
      </c>
      <c r="Q1267" s="29" t="n">
        <v>0</v>
      </c>
      <c r="R1267" s="29" t="n">
        <v>0</v>
      </c>
      <c r="S1267" s="29" t="n">
        <v>0</v>
      </c>
      <c r="T1267" t="inlineStr">
        <is>
          <t>25250226975620000130570010000037401000000002</t>
        </is>
      </c>
      <c r="U1267" t="inlineStr">
        <is>
          <t>Não</t>
        </is>
      </c>
    </row>
    <row r="1268">
      <c r="A1268" t="inlineStr">
        <is>
          <t>Frete de venda</t>
        </is>
      </c>
      <c r="B1268" t="inlineStr">
        <is>
          <t>2.01.01 Frete Galpão Produto Acabado</t>
        </is>
      </c>
      <c r="C1268" t="inlineStr">
        <is>
          <t>Antes de 2026</t>
        </is>
      </c>
      <c r="D1268" t="inlineStr">
        <is>
          <t>Antes de 2026</t>
        </is>
      </c>
      <c r="E1268" s="28" t="n">
        <v>45710</v>
      </c>
      <c r="F1268" t="inlineStr">
        <is>
          <t>CT-e</t>
        </is>
      </c>
      <c r="G1268" t="inlineStr">
        <is>
          <t>000003741</t>
        </is>
      </c>
      <c r="H1268" t="inlineStr">
        <is>
          <t>R&amp;R TRANSPORTE E LOGISTICA</t>
        </is>
      </c>
      <c r="J1268" s="29" t="n">
        <v>30</v>
      </c>
      <c r="K1268" s="29">
        <f>(1-ISNUMBER(SEARCH("556",M1268)))*(O1268*SUMIFS(Premissas!$C$5:$C$44,Premissas!$A$5:$A$44,$A1268,Premissas!$B$5:$B$44,$B1268)+P1268*SUMIFS(Premissas!$D$5:$D$44,Premissas!$A$5:$A$44,$A1268,Premissas!$B$5:$B$44,$B1268))+R1268*SUMIFS(Premissas!$E$5:$E$44,Premissas!$A$5:$A$44,$A1268,Premissas!$B$5:$B$44,$B1268)+S1268*SUMIFS(Premissas!$F$5:$F$44,Premissas!$A$5:$A$44,$A1268,Premissas!$B$5:$B$44,$B1268)</f>
        <v/>
      </c>
      <c r="L1268" s="29">
        <f>J1268-K1268</f>
        <v/>
      </c>
      <c r="M1268" t="inlineStr">
        <is>
          <t>1.350</t>
        </is>
      </c>
      <c r="N1268" t="inlineStr">
        <is>
          <t>Modalidade: 0 - Por conta do remetente | Parte: TREVO COMERCIO DE EMBALAGENS LTDA (08.178.510/0001-65)</t>
        </is>
      </c>
      <c r="O1268" s="29" t="n">
        <v>0</v>
      </c>
      <c r="P1268" s="29" t="n">
        <v>0</v>
      </c>
      <c r="Q1268" s="29" t="n">
        <v>0</v>
      </c>
      <c r="R1268" s="29" t="n">
        <v>0</v>
      </c>
      <c r="S1268" s="29" t="n">
        <v>0</v>
      </c>
      <c r="T1268" t="inlineStr">
        <is>
          <t>25250226975620000130570010000037411000000000</t>
        </is>
      </c>
      <c r="U1268" t="inlineStr">
        <is>
          <t>Não</t>
        </is>
      </c>
    </row>
    <row r="1269">
      <c r="A1269" t="inlineStr">
        <is>
          <t>Frete de venda</t>
        </is>
      </c>
      <c r="B1269" t="inlineStr">
        <is>
          <t>2.01.01 Frete Galpão Produto Acabado</t>
        </is>
      </c>
      <c r="C1269" t="inlineStr">
        <is>
          <t>Antes de 2026</t>
        </is>
      </c>
      <c r="D1269" t="inlineStr">
        <is>
          <t>Antes de 2026</t>
        </is>
      </c>
      <c r="E1269" s="28" t="n">
        <v>45710</v>
      </c>
      <c r="F1269" t="inlineStr">
        <is>
          <t>CT-e</t>
        </is>
      </c>
      <c r="G1269" t="inlineStr">
        <is>
          <t>000003742</t>
        </is>
      </c>
      <c r="H1269" t="inlineStr">
        <is>
          <t>R&amp;R TRANSPORTE E LOGISTICA</t>
        </is>
      </c>
      <c r="J1269" s="29" t="n">
        <v>30</v>
      </c>
      <c r="K1269" s="29">
        <f>(1-ISNUMBER(SEARCH("556",M1269)))*(O1269*SUMIFS(Premissas!$C$5:$C$44,Premissas!$A$5:$A$44,$A1269,Premissas!$B$5:$B$44,$B1269)+P1269*SUMIFS(Premissas!$D$5:$D$44,Premissas!$A$5:$A$44,$A1269,Premissas!$B$5:$B$44,$B1269))+R1269*SUMIFS(Premissas!$E$5:$E$44,Premissas!$A$5:$A$44,$A1269,Premissas!$B$5:$B$44,$B1269)+S1269*SUMIFS(Premissas!$F$5:$F$44,Premissas!$A$5:$A$44,$A1269,Premissas!$B$5:$B$44,$B1269)</f>
        <v/>
      </c>
      <c r="L1269" s="29">
        <f>J1269-K1269</f>
        <v/>
      </c>
      <c r="M1269" t="inlineStr">
        <is>
          <t>1.350</t>
        </is>
      </c>
      <c r="N1269" t="inlineStr">
        <is>
          <t>Modalidade: 0 - Por conta do remetente | Parte: ALBUQUERQUE E FREIRE LTDA (09.358.347/0001-85)</t>
        </is>
      </c>
      <c r="O1269" s="29" t="n">
        <v>0</v>
      </c>
      <c r="P1269" s="29" t="n">
        <v>0</v>
      </c>
      <c r="Q1269" s="29" t="n">
        <v>0</v>
      </c>
      <c r="R1269" s="29" t="n">
        <v>0</v>
      </c>
      <c r="S1269" s="29" t="n">
        <v>0</v>
      </c>
      <c r="T1269" t="inlineStr">
        <is>
          <t>25250226975620000130570010000037421000000007</t>
        </is>
      </c>
      <c r="U1269" t="inlineStr">
        <is>
          <t>Não</t>
        </is>
      </c>
    </row>
    <row r="1270">
      <c r="A1270" t="inlineStr">
        <is>
          <t>Frete de venda</t>
        </is>
      </c>
      <c r="B1270" t="inlineStr">
        <is>
          <t>2.01.01 Frete Galpão Produto Acabado</t>
        </is>
      </c>
      <c r="C1270" t="inlineStr">
        <is>
          <t>Antes de 2026</t>
        </is>
      </c>
      <c r="D1270" t="inlineStr">
        <is>
          <t>Antes de 2026</t>
        </is>
      </c>
      <c r="E1270" s="28" t="n">
        <v>45710</v>
      </c>
      <c r="F1270" t="inlineStr">
        <is>
          <t>CT-e</t>
        </is>
      </c>
      <c r="G1270" t="inlineStr">
        <is>
          <t>000003743</t>
        </is>
      </c>
      <c r="H1270" t="inlineStr">
        <is>
          <t>R&amp;R TRANSPORTE E LOGISTICA</t>
        </is>
      </c>
      <c r="J1270" s="29" t="n">
        <v>30</v>
      </c>
      <c r="K1270" s="29">
        <f>(1-ISNUMBER(SEARCH("556",M1270)))*(O1270*SUMIFS(Premissas!$C$5:$C$44,Premissas!$A$5:$A$44,$A1270,Premissas!$B$5:$B$44,$B1270)+P1270*SUMIFS(Premissas!$D$5:$D$44,Premissas!$A$5:$A$44,$A1270,Premissas!$B$5:$B$44,$B1270))+R1270*SUMIFS(Premissas!$E$5:$E$44,Premissas!$A$5:$A$44,$A1270,Premissas!$B$5:$B$44,$B1270)+S1270*SUMIFS(Premissas!$F$5:$F$44,Premissas!$A$5:$A$44,$A1270,Premissas!$B$5:$B$44,$B1270)</f>
        <v/>
      </c>
      <c r="L1270" s="29">
        <f>J1270-K1270</f>
        <v/>
      </c>
      <c r="M1270" t="inlineStr">
        <is>
          <t>1.350</t>
        </is>
      </c>
      <c r="N1270" t="inlineStr">
        <is>
          <t>Modalidade: 0 - Por conta do remetente | Parte: ALBUQUERQUE E FREIRE LTDA (09.358.347/0002-66)</t>
        </is>
      </c>
      <c r="O1270" s="29" t="n">
        <v>0</v>
      </c>
      <c r="P1270" s="29" t="n">
        <v>0</v>
      </c>
      <c r="Q1270" s="29" t="n">
        <v>0</v>
      </c>
      <c r="R1270" s="29" t="n">
        <v>0</v>
      </c>
      <c r="S1270" s="29" t="n">
        <v>0</v>
      </c>
      <c r="T1270" t="inlineStr">
        <is>
          <t>25250226975620000130570010000037431000000004</t>
        </is>
      </c>
      <c r="U1270" t="inlineStr">
        <is>
          <t>Não</t>
        </is>
      </c>
    </row>
    <row r="1271">
      <c r="A1271" t="inlineStr">
        <is>
          <t>Frete de venda</t>
        </is>
      </c>
      <c r="B1271" t="inlineStr">
        <is>
          <t>2.01.01 Frete Galpão Produto Acabado</t>
        </is>
      </c>
      <c r="C1271" t="inlineStr">
        <is>
          <t>Antes de 2026</t>
        </is>
      </c>
      <c r="D1271" t="inlineStr">
        <is>
          <t>Antes de 2026</t>
        </is>
      </c>
      <c r="E1271" s="28" t="n">
        <v>45713</v>
      </c>
      <c r="F1271" t="inlineStr">
        <is>
          <t>CT-e</t>
        </is>
      </c>
      <c r="G1271" t="inlineStr">
        <is>
          <t>000003746</t>
        </is>
      </c>
      <c r="H1271" t="inlineStr">
        <is>
          <t>R&amp;R TRANSPORTE E LOGISTICA</t>
        </is>
      </c>
      <c r="J1271" s="29" t="n">
        <v>112.81</v>
      </c>
      <c r="K1271" s="29">
        <f>(1-ISNUMBER(SEARCH("556",M1271)))*(O1271*SUMIFS(Premissas!$C$5:$C$44,Premissas!$A$5:$A$44,$A1271,Premissas!$B$5:$B$44,$B1271)+P1271*SUMIFS(Premissas!$D$5:$D$44,Premissas!$A$5:$A$44,$A1271,Premissas!$B$5:$B$44,$B1271))+R1271*SUMIFS(Premissas!$E$5:$E$44,Premissas!$A$5:$A$44,$A1271,Premissas!$B$5:$B$44,$B1271)+S1271*SUMIFS(Premissas!$F$5:$F$44,Premissas!$A$5:$A$44,$A1271,Premissas!$B$5:$B$44,$B1271)</f>
        <v/>
      </c>
      <c r="L1271" s="29">
        <f>J1271-K1271</f>
        <v/>
      </c>
      <c r="M1271" t="inlineStr">
        <is>
          <t>1.350</t>
        </is>
      </c>
      <c r="N1271" t="inlineStr">
        <is>
          <t>Modalidade: 0 - Por conta do remetente | Parte: SOUTO EMBALAGENS E FESTAS LTDA (57.158.488/0001-05)</t>
        </is>
      </c>
      <c r="O1271" s="29" t="n">
        <v>0</v>
      </c>
      <c r="P1271" s="29" t="n">
        <v>0</v>
      </c>
      <c r="Q1271" s="29" t="n">
        <v>0</v>
      </c>
      <c r="R1271" s="29" t="n">
        <v>0</v>
      </c>
      <c r="S1271" s="29" t="n">
        <v>0</v>
      </c>
      <c r="T1271" t="inlineStr">
        <is>
          <t>25250226975620000130570010000037461000000006</t>
        </is>
      </c>
      <c r="U1271" t="inlineStr">
        <is>
          <t>Não</t>
        </is>
      </c>
    </row>
    <row r="1272">
      <c r="A1272" t="inlineStr">
        <is>
          <t>Frete de venda</t>
        </is>
      </c>
      <c r="B1272" t="inlineStr">
        <is>
          <t>2.01.01 Frete Galpão Produto Acabado</t>
        </is>
      </c>
      <c r="C1272" t="inlineStr">
        <is>
          <t>Antes de 2026</t>
        </is>
      </c>
      <c r="D1272" t="inlineStr">
        <is>
          <t>Antes de 2026</t>
        </is>
      </c>
      <c r="E1272" s="28" t="n">
        <v>45713</v>
      </c>
      <c r="F1272" t="inlineStr">
        <is>
          <t>CT-e</t>
        </is>
      </c>
      <c r="G1272" t="inlineStr">
        <is>
          <t>000003747</t>
        </is>
      </c>
      <c r="H1272" t="inlineStr">
        <is>
          <t>R&amp;R TRANSPORTE E LOGISTICA</t>
        </is>
      </c>
      <c r="J1272" s="29" t="n">
        <v>74.73999999999999</v>
      </c>
      <c r="K1272" s="29">
        <f>(1-ISNUMBER(SEARCH("556",M1272)))*(O1272*SUMIFS(Premissas!$C$5:$C$44,Premissas!$A$5:$A$44,$A1272,Premissas!$B$5:$B$44,$B1272)+P1272*SUMIFS(Premissas!$D$5:$D$44,Premissas!$A$5:$A$44,$A1272,Premissas!$B$5:$B$44,$B1272))+R1272*SUMIFS(Premissas!$E$5:$E$44,Premissas!$A$5:$A$44,$A1272,Premissas!$B$5:$B$44,$B1272)+S1272*SUMIFS(Premissas!$F$5:$F$44,Premissas!$A$5:$A$44,$A1272,Premissas!$B$5:$B$44,$B1272)</f>
        <v/>
      </c>
      <c r="L1272" s="29">
        <f>J1272-K1272</f>
        <v/>
      </c>
      <c r="M1272" t="inlineStr">
        <is>
          <t>1.350</t>
        </is>
      </c>
      <c r="N1272" t="inlineStr">
        <is>
          <t>Modalidade: 0 - Por conta do remetente | Parte: CELEBRAR E EMBALAR LTDA (58.433.179/0001-50)</t>
        </is>
      </c>
      <c r="O1272" s="29" t="n">
        <v>0</v>
      </c>
      <c r="P1272" s="29" t="n">
        <v>0</v>
      </c>
      <c r="Q1272" s="29" t="n">
        <v>0</v>
      </c>
      <c r="R1272" s="29" t="n">
        <v>0</v>
      </c>
      <c r="S1272" s="29" t="n">
        <v>0</v>
      </c>
      <c r="T1272" t="inlineStr">
        <is>
          <t>25250226975620000130570010000037471000000003</t>
        </is>
      </c>
      <c r="U1272" t="inlineStr">
        <is>
          <t>Não</t>
        </is>
      </c>
    </row>
    <row r="1273">
      <c r="A1273" t="inlineStr">
        <is>
          <t>Frete de venda</t>
        </is>
      </c>
      <c r="B1273" t="inlineStr">
        <is>
          <t>2.01.01 Frete Galpão Produto Acabado</t>
        </is>
      </c>
      <c r="C1273" t="inlineStr">
        <is>
          <t>Antes de 2026</t>
        </is>
      </c>
      <c r="D1273" t="inlineStr">
        <is>
          <t>Antes de 2026</t>
        </is>
      </c>
      <c r="E1273" s="28" t="n">
        <v>45713</v>
      </c>
      <c r="F1273" t="inlineStr">
        <is>
          <t>CT-e</t>
        </is>
      </c>
      <c r="G1273" t="inlineStr">
        <is>
          <t>000003748</t>
        </is>
      </c>
      <c r="H1273" t="inlineStr">
        <is>
          <t>R&amp;R TRANSPORTE E LOGISTICA</t>
        </is>
      </c>
      <c r="J1273" s="29" t="n">
        <v>66.64</v>
      </c>
      <c r="K1273" s="29">
        <f>(1-ISNUMBER(SEARCH("556",M1273)))*(O1273*SUMIFS(Premissas!$C$5:$C$44,Premissas!$A$5:$A$44,$A1273,Premissas!$B$5:$B$44,$B1273)+P1273*SUMIFS(Premissas!$D$5:$D$44,Premissas!$A$5:$A$44,$A1273,Premissas!$B$5:$B$44,$B1273))+R1273*SUMIFS(Premissas!$E$5:$E$44,Premissas!$A$5:$A$44,$A1273,Premissas!$B$5:$B$44,$B1273)+S1273*SUMIFS(Premissas!$F$5:$F$44,Premissas!$A$5:$A$44,$A1273,Premissas!$B$5:$B$44,$B1273)</f>
        <v/>
      </c>
      <c r="L1273" s="29">
        <f>J1273-K1273</f>
        <v/>
      </c>
      <c r="M1273" t="inlineStr">
        <is>
          <t>1.350</t>
        </is>
      </c>
      <c r="N1273" t="inlineStr">
        <is>
          <t>Modalidade: 0 - Por conta do remetente | Parte: REDE FRIOS FOOD SERVICE LTDA (37.862.035/0001-40)</t>
        </is>
      </c>
      <c r="O1273" s="29" t="n">
        <v>0</v>
      </c>
      <c r="P1273" s="29" t="n">
        <v>0</v>
      </c>
      <c r="Q1273" s="29" t="n">
        <v>0</v>
      </c>
      <c r="R1273" s="29" t="n">
        <v>0</v>
      </c>
      <c r="S1273" s="29" t="n">
        <v>0</v>
      </c>
      <c r="T1273" t="inlineStr">
        <is>
          <t>25250226975620000130570010000037481000000000</t>
        </is>
      </c>
      <c r="U1273" t="inlineStr">
        <is>
          <t>Não</t>
        </is>
      </c>
    </row>
    <row r="1274">
      <c r="A1274" t="inlineStr">
        <is>
          <t>Frete de venda</t>
        </is>
      </c>
      <c r="B1274" t="inlineStr">
        <is>
          <t>2.01.01 Frete Galpão Produto Acabado</t>
        </is>
      </c>
      <c r="C1274" t="inlineStr">
        <is>
          <t>Antes de 2026</t>
        </is>
      </c>
      <c r="D1274" t="inlineStr">
        <is>
          <t>Antes de 2026</t>
        </is>
      </c>
      <c r="E1274" s="28" t="n">
        <v>45714</v>
      </c>
      <c r="F1274" t="inlineStr">
        <is>
          <t>CT-e</t>
        </is>
      </c>
      <c r="G1274" t="inlineStr">
        <is>
          <t>000003750</t>
        </is>
      </c>
      <c r="H1274" t="inlineStr">
        <is>
          <t>R&amp;R TRANSPORTE E LOGISTICA</t>
        </is>
      </c>
      <c r="J1274" s="29" t="n">
        <v>89.17</v>
      </c>
      <c r="K1274" s="29">
        <f>(1-ISNUMBER(SEARCH("556",M1274)))*(O1274*SUMIFS(Premissas!$C$5:$C$44,Premissas!$A$5:$A$44,$A1274,Premissas!$B$5:$B$44,$B1274)+P1274*SUMIFS(Premissas!$D$5:$D$44,Premissas!$A$5:$A$44,$A1274,Premissas!$B$5:$B$44,$B1274))+R1274*SUMIFS(Premissas!$E$5:$E$44,Premissas!$A$5:$A$44,$A1274,Premissas!$B$5:$B$44,$B1274)+S1274*SUMIFS(Premissas!$F$5:$F$44,Premissas!$A$5:$A$44,$A1274,Premissas!$B$5:$B$44,$B1274)</f>
        <v/>
      </c>
      <c r="L1274" s="29">
        <f>J1274-K1274</f>
        <v/>
      </c>
      <c r="M1274" t="inlineStr">
        <is>
          <t>1.350</t>
        </is>
      </c>
      <c r="N1274" t="inlineStr">
        <is>
          <t>Modalidade: 0 - Por conta do remetente | Parte: ROSSET EMBALAGENS E PAPELARIA LTDA (50.656.847/0001-05)</t>
        </is>
      </c>
      <c r="O1274" s="29" t="n">
        <v>0</v>
      </c>
      <c r="P1274" s="29" t="n">
        <v>0</v>
      </c>
      <c r="Q1274" s="29" t="n">
        <v>0</v>
      </c>
      <c r="R1274" s="29" t="n">
        <v>0</v>
      </c>
      <c r="S1274" s="29" t="n">
        <v>0</v>
      </c>
      <c r="T1274" t="inlineStr">
        <is>
          <t>25250226975620000130570010000037501000000009</t>
        </is>
      </c>
      <c r="U1274" t="inlineStr">
        <is>
          <t>Não</t>
        </is>
      </c>
    </row>
    <row r="1275">
      <c r="A1275" t="inlineStr">
        <is>
          <t>Frete de venda</t>
        </is>
      </c>
      <c r="B1275" t="inlineStr">
        <is>
          <t>2.01.01 Frete Galpão Produto Acabado</t>
        </is>
      </c>
      <c r="C1275" t="inlineStr">
        <is>
          <t>Antes de 2026</t>
        </is>
      </c>
      <c r="D1275" t="inlineStr">
        <is>
          <t>Antes de 2026</t>
        </is>
      </c>
      <c r="E1275" s="28" t="n">
        <v>45714</v>
      </c>
      <c r="F1275" t="inlineStr">
        <is>
          <t>CT-e</t>
        </is>
      </c>
      <c r="G1275" t="inlineStr">
        <is>
          <t>000003751</t>
        </is>
      </c>
      <c r="H1275" t="inlineStr">
        <is>
          <t>R&amp;R TRANSPORTE E LOGISTICA</t>
        </is>
      </c>
      <c r="J1275" s="29" t="n">
        <v>46.08</v>
      </c>
      <c r="K1275" s="29">
        <f>(1-ISNUMBER(SEARCH("556",M1275)))*(O1275*SUMIFS(Premissas!$C$5:$C$44,Premissas!$A$5:$A$44,$A1275,Premissas!$B$5:$B$44,$B1275)+P1275*SUMIFS(Premissas!$D$5:$D$44,Premissas!$A$5:$A$44,$A1275,Premissas!$B$5:$B$44,$B1275))+R1275*SUMIFS(Premissas!$E$5:$E$44,Premissas!$A$5:$A$44,$A1275,Premissas!$B$5:$B$44,$B1275)+S1275*SUMIFS(Premissas!$F$5:$F$44,Premissas!$A$5:$A$44,$A1275,Premissas!$B$5:$B$44,$B1275)</f>
        <v/>
      </c>
      <c r="L1275" s="29">
        <f>J1275-K1275</f>
        <v/>
      </c>
      <c r="M1275" t="inlineStr">
        <is>
          <t>1.350</t>
        </is>
      </c>
      <c r="N1275" t="inlineStr">
        <is>
          <t>Modalidade: 0 - Por conta do remetente | Parte: FEDRIGO COMERCIO DE EMBALAGENS LTDA (10.414.045/0001-66)</t>
        </is>
      </c>
      <c r="O1275" s="29" t="n">
        <v>0</v>
      </c>
      <c r="P1275" s="29" t="n">
        <v>0</v>
      </c>
      <c r="Q1275" s="29" t="n">
        <v>0</v>
      </c>
      <c r="R1275" s="29" t="n">
        <v>0</v>
      </c>
      <c r="S1275" s="29" t="n">
        <v>0</v>
      </c>
      <c r="T1275" t="inlineStr">
        <is>
          <t>25250226975620000130570010000037511000000006</t>
        </is>
      </c>
      <c r="U1275" t="inlineStr">
        <is>
          <t>Não</t>
        </is>
      </c>
    </row>
    <row r="1276">
      <c r="A1276" t="inlineStr">
        <is>
          <t>Frete de venda</t>
        </is>
      </c>
      <c r="B1276" t="inlineStr">
        <is>
          <t>2.01.01 Frete Galpão Produto Acabado</t>
        </is>
      </c>
      <c r="C1276" t="inlineStr">
        <is>
          <t>Antes de 2026</t>
        </is>
      </c>
      <c r="D1276" t="inlineStr">
        <is>
          <t>Antes de 2026</t>
        </is>
      </c>
      <c r="E1276" s="28" t="n">
        <v>45714</v>
      </c>
      <c r="F1276" t="inlineStr">
        <is>
          <t>CT-e</t>
        </is>
      </c>
      <c r="G1276" t="inlineStr">
        <is>
          <t>000003752</t>
        </is>
      </c>
      <c r="H1276" t="inlineStr">
        <is>
          <t>R&amp;R TRANSPORTE E LOGISTICA</t>
        </is>
      </c>
      <c r="J1276" s="29" t="n">
        <v>48.88</v>
      </c>
      <c r="K1276" s="29">
        <f>(1-ISNUMBER(SEARCH("556",M1276)))*(O1276*SUMIFS(Premissas!$C$5:$C$44,Premissas!$A$5:$A$44,$A1276,Premissas!$B$5:$B$44,$B1276)+P1276*SUMIFS(Premissas!$D$5:$D$44,Premissas!$A$5:$A$44,$A1276,Premissas!$B$5:$B$44,$B1276))+R1276*SUMIFS(Premissas!$E$5:$E$44,Premissas!$A$5:$A$44,$A1276,Premissas!$B$5:$B$44,$B1276)+S1276*SUMIFS(Premissas!$F$5:$F$44,Premissas!$A$5:$A$44,$A1276,Premissas!$B$5:$B$44,$B1276)</f>
        <v/>
      </c>
      <c r="L1276" s="29">
        <f>J1276-K1276</f>
        <v/>
      </c>
      <c r="M1276" t="inlineStr">
        <is>
          <t>1.350</t>
        </is>
      </c>
      <c r="N1276" t="inlineStr">
        <is>
          <t>Modalidade: 0 - Por conta do remetente | Parte: FRANCIELLI BOLICO PASSAIA 87756773004 (47.822.532/0001-78)</t>
        </is>
      </c>
      <c r="O1276" s="29" t="n">
        <v>0</v>
      </c>
      <c r="P1276" s="29" t="n">
        <v>0</v>
      </c>
      <c r="Q1276" s="29" t="n">
        <v>0</v>
      </c>
      <c r="R1276" s="29" t="n">
        <v>0</v>
      </c>
      <c r="S1276" s="29" t="n">
        <v>0</v>
      </c>
      <c r="T1276" t="inlineStr">
        <is>
          <t>25250226975620000130570010000037521000000003</t>
        </is>
      </c>
      <c r="U1276" t="inlineStr">
        <is>
          <t>Não</t>
        </is>
      </c>
    </row>
    <row r="1277">
      <c r="A1277" t="inlineStr">
        <is>
          <t>Frete de venda</t>
        </is>
      </c>
      <c r="B1277" t="inlineStr">
        <is>
          <t>2.01.01 Frete Galpão Produto Acabado</t>
        </is>
      </c>
      <c r="C1277" t="inlineStr">
        <is>
          <t>Antes de 2026</t>
        </is>
      </c>
      <c r="D1277" t="inlineStr">
        <is>
          <t>Antes de 2026</t>
        </is>
      </c>
      <c r="E1277" s="28" t="n">
        <v>45714</v>
      </c>
      <c r="F1277" t="inlineStr">
        <is>
          <t>CT-e</t>
        </is>
      </c>
      <c r="G1277" t="inlineStr">
        <is>
          <t>000003753</t>
        </is>
      </c>
      <c r="H1277" t="inlineStr">
        <is>
          <t>R&amp;R TRANSPORTE E LOGISTICA</t>
        </is>
      </c>
      <c r="J1277" s="29" t="n">
        <v>60.48</v>
      </c>
      <c r="K1277" s="29">
        <f>(1-ISNUMBER(SEARCH("556",M1277)))*(O1277*SUMIFS(Premissas!$C$5:$C$44,Premissas!$A$5:$A$44,$A1277,Premissas!$B$5:$B$44,$B1277)+P1277*SUMIFS(Premissas!$D$5:$D$44,Premissas!$A$5:$A$44,$A1277,Premissas!$B$5:$B$44,$B1277))+R1277*SUMIFS(Premissas!$E$5:$E$44,Premissas!$A$5:$A$44,$A1277,Premissas!$B$5:$B$44,$B1277)+S1277*SUMIFS(Premissas!$F$5:$F$44,Premissas!$A$5:$A$44,$A1277,Premissas!$B$5:$B$44,$B1277)</f>
        <v/>
      </c>
      <c r="L1277" s="29">
        <f>J1277-K1277</f>
        <v/>
      </c>
      <c r="M1277" t="inlineStr">
        <is>
          <t>1.350</t>
        </is>
      </c>
      <c r="N1277" t="inlineStr">
        <is>
          <t>Modalidade: 0 - Por conta do remetente | Parte: THIAGO CORREA GUEDES (41.758.138/0001-31)</t>
        </is>
      </c>
      <c r="O1277" s="29" t="n">
        <v>0</v>
      </c>
      <c r="P1277" s="29" t="n">
        <v>0</v>
      </c>
      <c r="Q1277" s="29" t="n">
        <v>0</v>
      </c>
      <c r="R1277" s="29" t="n">
        <v>0</v>
      </c>
      <c r="S1277" s="29" t="n">
        <v>0</v>
      </c>
      <c r="T1277" t="inlineStr">
        <is>
          <t>25250226975620000130570010000037531000000000</t>
        </is>
      </c>
      <c r="U1277" t="inlineStr">
        <is>
          <t>Não</t>
        </is>
      </c>
    </row>
    <row r="1278">
      <c r="A1278" t="inlineStr">
        <is>
          <t>Frete de venda</t>
        </is>
      </c>
      <c r="B1278" t="inlineStr">
        <is>
          <t>2.01.01 Frete Galpão Produto Acabado</t>
        </is>
      </c>
      <c r="C1278" t="inlineStr">
        <is>
          <t>Antes de 2026</t>
        </is>
      </c>
      <c r="D1278" t="inlineStr">
        <is>
          <t>Antes de 2026</t>
        </is>
      </c>
      <c r="E1278" s="28" t="n">
        <v>45714</v>
      </c>
      <c r="F1278" t="inlineStr">
        <is>
          <t>CT-e</t>
        </is>
      </c>
      <c r="G1278" t="inlineStr">
        <is>
          <t>000003754</t>
        </is>
      </c>
      <c r="H1278" t="inlineStr">
        <is>
          <t>R&amp;R TRANSPORTE E LOGISTICA</t>
        </is>
      </c>
      <c r="J1278" s="29" t="n">
        <v>46.06</v>
      </c>
      <c r="K1278" s="29">
        <f>(1-ISNUMBER(SEARCH("556",M1278)))*(O1278*SUMIFS(Premissas!$C$5:$C$44,Premissas!$A$5:$A$44,$A1278,Premissas!$B$5:$B$44,$B1278)+P1278*SUMIFS(Premissas!$D$5:$D$44,Premissas!$A$5:$A$44,$A1278,Premissas!$B$5:$B$44,$B1278))+R1278*SUMIFS(Premissas!$E$5:$E$44,Premissas!$A$5:$A$44,$A1278,Premissas!$B$5:$B$44,$B1278)+S1278*SUMIFS(Premissas!$F$5:$F$44,Premissas!$A$5:$A$44,$A1278,Premissas!$B$5:$B$44,$B1278)</f>
        <v/>
      </c>
      <c r="L1278" s="29">
        <f>J1278-K1278</f>
        <v/>
      </c>
      <c r="M1278" t="inlineStr">
        <is>
          <t>1.350</t>
        </is>
      </c>
      <c r="N1278" t="inlineStr">
        <is>
          <t>Modalidade: 0 - Por conta do remetente | Parte: REGINALDO CONSTANTE DA SILVA (13.631.251/0001-16)</t>
        </is>
      </c>
      <c r="O1278" s="29" t="n">
        <v>0</v>
      </c>
      <c r="P1278" s="29" t="n">
        <v>0</v>
      </c>
      <c r="Q1278" s="29" t="n">
        <v>0</v>
      </c>
      <c r="R1278" s="29" t="n">
        <v>0</v>
      </c>
      <c r="S1278" s="29" t="n">
        <v>0</v>
      </c>
      <c r="T1278" t="inlineStr">
        <is>
          <t>25250226975620000130570010000037541000000008</t>
        </is>
      </c>
      <c r="U1278" t="inlineStr">
        <is>
          <t>Não</t>
        </is>
      </c>
    </row>
    <row r="1279">
      <c r="A1279" t="inlineStr">
        <is>
          <t>Frete de venda</t>
        </is>
      </c>
      <c r="B1279" t="inlineStr">
        <is>
          <t>2.01.01 Frete Galpão Produto Acabado</t>
        </is>
      </c>
      <c r="C1279" t="inlineStr">
        <is>
          <t>Antes de 2026</t>
        </is>
      </c>
      <c r="D1279" t="inlineStr">
        <is>
          <t>Antes de 2026</t>
        </is>
      </c>
      <c r="E1279" s="28" t="n">
        <v>45714</v>
      </c>
      <c r="F1279" t="inlineStr">
        <is>
          <t>CT-e</t>
        </is>
      </c>
      <c r="G1279" t="inlineStr">
        <is>
          <t>000003755</t>
        </is>
      </c>
      <c r="H1279" t="inlineStr">
        <is>
          <t>R&amp;R TRANSPORTE E LOGISTICA</t>
        </is>
      </c>
      <c r="J1279" s="29" t="n">
        <v>24.57</v>
      </c>
      <c r="K1279" s="29">
        <f>(1-ISNUMBER(SEARCH("556",M1279)))*(O1279*SUMIFS(Premissas!$C$5:$C$44,Premissas!$A$5:$A$44,$A1279,Premissas!$B$5:$B$44,$B1279)+P1279*SUMIFS(Premissas!$D$5:$D$44,Premissas!$A$5:$A$44,$A1279,Premissas!$B$5:$B$44,$B1279))+R1279*SUMIFS(Premissas!$E$5:$E$44,Premissas!$A$5:$A$44,$A1279,Premissas!$B$5:$B$44,$B1279)+S1279*SUMIFS(Premissas!$F$5:$F$44,Premissas!$A$5:$A$44,$A1279,Premissas!$B$5:$B$44,$B1279)</f>
        <v/>
      </c>
      <c r="L1279" s="29">
        <f>J1279-K1279</f>
        <v/>
      </c>
      <c r="M1279" t="inlineStr">
        <is>
          <t>1.350</t>
        </is>
      </c>
      <c r="N1279" t="inlineStr">
        <is>
          <t>Modalidade: 0 - Por conta do remetente | Parte: DAC DOCES E FESTAS LTDA (58.160.628/0001-34)</t>
        </is>
      </c>
      <c r="O1279" s="29" t="n">
        <v>0</v>
      </c>
      <c r="P1279" s="29" t="n">
        <v>0</v>
      </c>
      <c r="Q1279" s="29" t="n">
        <v>0</v>
      </c>
      <c r="R1279" s="29" t="n">
        <v>0</v>
      </c>
      <c r="S1279" s="29" t="n">
        <v>0</v>
      </c>
      <c r="T1279" t="inlineStr">
        <is>
          <t>25250226975620000130570010000037551000000005</t>
        </is>
      </c>
      <c r="U1279" t="inlineStr">
        <is>
          <t>Não</t>
        </is>
      </c>
    </row>
    <row r="1280">
      <c r="A1280" t="inlineStr">
        <is>
          <t>Frete de venda</t>
        </is>
      </c>
      <c r="B1280" t="inlineStr">
        <is>
          <t>2.01.01 Frete Galpão Produto Acabado</t>
        </is>
      </c>
      <c r="C1280" t="inlineStr">
        <is>
          <t>Antes de 2026</t>
        </is>
      </c>
      <c r="D1280" t="inlineStr">
        <is>
          <t>Antes de 2026</t>
        </is>
      </c>
      <c r="E1280" s="28" t="n">
        <v>45714</v>
      </c>
      <c r="F1280" t="inlineStr">
        <is>
          <t>CT-e</t>
        </is>
      </c>
      <c r="G1280" t="inlineStr">
        <is>
          <t>000003756</t>
        </is>
      </c>
      <c r="H1280" t="inlineStr">
        <is>
          <t>R&amp;R TRANSPORTE E LOGISTICA</t>
        </is>
      </c>
      <c r="J1280" s="29" t="n">
        <v>24.75</v>
      </c>
      <c r="K1280" s="29">
        <f>(1-ISNUMBER(SEARCH("556",M1280)))*(O1280*SUMIFS(Premissas!$C$5:$C$44,Premissas!$A$5:$A$44,$A1280,Premissas!$B$5:$B$44,$B1280)+P1280*SUMIFS(Premissas!$D$5:$D$44,Premissas!$A$5:$A$44,$A1280,Premissas!$B$5:$B$44,$B1280))+R1280*SUMIFS(Premissas!$E$5:$E$44,Premissas!$A$5:$A$44,$A1280,Premissas!$B$5:$B$44,$B1280)+S1280*SUMIFS(Premissas!$F$5:$F$44,Premissas!$A$5:$A$44,$A1280,Premissas!$B$5:$B$44,$B1280)</f>
        <v/>
      </c>
      <c r="L1280" s="29">
        <f>J1280-K1280</f>
        <v/>
      </c>
      <c r="M1280" t="inlineStr">
        <is>
          <t>1.350</t>
        </is>
      </c>
      <c r="N1280" t="inlineStr">
        <is>
          <t>Modalidade: 0 - Por conta do remetente | Parte: COMERCIAL DE ALIMENTOS PAO QUENTE LTDA (79.395.661/0001-13)</t>
        </is>
      </c>
      <c r="O1280" s="29" t="n">
        <v>0</v>
      </c>
      <c r="P1280" s="29" t="n">
        <v>0</v>
      </c>
      <c r="Q1280" s="29" t="n">
        <v>0</v>
      </c>
      <c r="R1280" s="29" t="n">
        <v>0</v>
      </c>
      <c r="S1280" s="29" t="n">
        <v>0</v>
      </c>
      <c r="T1280" t="inlineStr">
        <is>
          <t>25250226975620000130570010000037561000000002</t>
        </is>
      </c>
      <c r="U1280" t="inlineStr">
        <is>
          <t>Não</t>
        </is>
      </c>
    </row>
    <row r="1281">
      <c r="A1281" t="inlineStr">
        <is>
          <t>Frete de venda</t>
        </is>
      </c>
      <c r="B1281" t="inlineStr">
        <is>
          <t>2.01.01 Frete Galpão Produto Acabado</t>
        </is>
      </c>
      <c r="C1281" t="inlineStr">
        <is>
          <t>Antes de 2026</t>
        </is>
      </c>
      <c r="D1281" t="inlineStr">
        <is>
          <t>Antes de 2026</t>
        </is>
      </c>
      <c r="E1281" s="28" t="n">
        <v>45714</v>
      </c>
      <c r="F1281" t="inlineStr">
        <is>
          <t>CT-e</t>
        </is>
      </c>
      <c r="G1281" t="inlineStr">
        <is>
          <t>000003757</t>
        </is>
      </c>
      <c r="H1281" t="inlineStr">
        <is>
          <t>R&amp;R TRANSPORTE E LOGISTICA</t>
        </is>
      </c>
      <c r="J1281" s="29" t="n">
        <v>27.01</v>
      </c>
      <c r="K1281" s="29">
        <f>(1-ISNUMBER(SEARCH("556",M1281)))*(O1281*SUMIFS(Premissas!$C$5:$C$44,Premissas!$A$5:$A$44,$A1281,Premissas!$B$5:$B$44,$B1281)+P1281*SUMIFS(Premissas!$D$5:$D$44,Premissas!$A$5:$A$44,$A1281,Premissas!$B$5:$B$44,$B1281))+R1281*SUMIFS(Premissas!$E$5:$E$44,Premissas!$A$5:$A$44,$A1281,Premissas!$B$5:$B$44,$B1281)+S1281*SUMIFS(Premissas!$F$5:$F$44,Premissas!$A$5:$A$44,$A1281,Premissas!$B$5:$B$44,$B1281)</f>
        <v/>
      </c>
      <c r="L1281" s="29">
        <f>J1281-K1281</f>
        <v/>
      </c>
      <c r="M1281" t="inlineStr">
        <is>
          <t>1.350</t>
        </is>
      </c>
      <c r="N1281" t="inlineStr">
        <is>
          <t>Modalidade: 0 - Por conta do remetente | Parte: JB AGGIO LTDA (95.420.758/0001-95)</t>
        </is>
      </c>
      <c r="O1281" s="29" t="n">
        <v>0</v>
      </c>
      <c r="P1281" s="29" t="n">
        <v>0</v>
      </c>
      <c r="Q1281" s="29" t="n">
        <v>0</v>
      </c>
      <c r="R1281" s="29" t="n">
        <v>0</v>
      </c>
      <c r="S1281" s="29" t="n">
        <v>0</v>
      </c>
      <c r="T1281" t="inlineStr">
        <is>
          <t>25250226975620000130570010000037571000000000</t>
        </is>
      </c>
      <c r="U1281" t="inlineStr">
        <is>
          <t>Não</t>
        </is>
      </c>
    </row>
    <row r="1282">
      <c r="A1282" t="inlineStr">
        <is>
          <t>Frete de venda</t>
        </is>
      </c>
      <c r="B1282" t="inlineStr">
        <is>
          <t>2.01.01 Frete Galpão Produto Acabado</t>
        </is>
      </c>
      <c r="C1282" t="inlineStr">
        <is>
          <t>Antes de 2026</t>
        </is>
      </c>
      <c r="D1282" t="inlineStr">
        <is>
          <t>Antes de 2026</t>
        </is>
      </c>
      <c r="E1282" s="28" t="n">
        <v>45714</v>
      </c>
      <c r="F1282" t="inlineStr">
        <is>
          <t>CT-e</t>
        </is>
      </c>
      <c r="G1282" t="inlineStr">
        <is>
          <t>000003758</t>
        </is>
      </c>
      <c r="H1282" t="inlineStr">
        <is>
          <t>R&amp;R TRANSPORTE E LOGISTICA</t>
        </is>
      </c>
      <c r="J1282" s="29" t="n">
        <v>462</v>
      </c>
      <c r="K1282" s="29">
        <f>(1-ISNUMBER(SEARCH("556",M1282)))*(O1282*SUMIFS(Premissas!$C$5:$C$44,Premissas!$A$5:$A$44,$A1282,Premissas!$B$5:$B$44,$B1282)+P1282*SUMIFS(Premissas!$D$5:$D$44,Premissas!$A$5:$A$44,$A1282,Premissas!$B$5:$B$44,$B1282))+R1282*SUMIFS(Premissas!$E$5:$E$44,Premissas!$A$5:$A$44,$A1282,Premissas!$B$5:$B$44,$B1282)+S1282*SUMIFS(Premissas!$F$5:$F$44,Premissas!$A$5:$A$44,$A1282,Premissas!$B$5:$B$44,$B1282)</f>
        <v/>
      </c>
      <c r="L1282" s="29">
        <f>J1282-K1282</f>
        <v/>
      </c>
      <c r="M1282" t="inlineStr">
        <is>
          <t>1.350</t>
        </is>
      </c>
      <c r="N1282" t="inlineStr">
        <is>
          <t>Modalidade: 0 - Por conta do remetente | Parte: VINCO DISTRIBUIDORA DE EMBALAGENS LTDA (55.333.385/0001-09)</t>
        </is>
      </c>
      <c r="O1282" s="29" t="n">
        <v>0</v>
      </c>
      <c r="P1282" s="29" t="n">
        <v>0</v>
      </c>
      <c r="Q1282" s="29" t="n">
        <v>0</v>
      </c>
      <c r="R1282" s="29" t="n">
        <v>0</v>
      </c>
      <c r="S1282" s="29" t="n">
        <v>0</v>
      </c>
      <c r="T1282" t="inlineStr">
        <is>
          <t>25250226975620000130570010000037581000000007</t>
        </is>
      </c>
      <c r="U1282" t="inlineStr">
        <is>
          <t>Não</t>
        </is>
      </c>
    </row>
    <row r="1283">
      <c r="A1283" t="inlineStr">
        <is>
          <t>Frete de venda</t>
        </is>
      </c>
      <c r="B1283" t="inlineStr">
        <is>
          <t>2.01.01 Frete Galpão Produto Acabado</t>
        </is>
      </c>
      <c r="C1283" t="inlineStr">
        <is>
          <t>Antes de 2026</t>
        </is>
      </c>
      <c r="D1283" t="inlineStr">
        <is>
          <t>Antes de 2026</t>
        </is>
      </c>
      <c r="E1283" s="28" t="n">
        <v>45715</v>
      </c>
      <c r="F1283" t="inlineStr">
        <is>
          <t>CT-e</t>
        </is>
      </c>
      <c r="G1283" t="inlineStr">
        <is>
          <t>000003762</t>
        </is>
      </c>
      <c r="H1283" t="inlineStr">
        <is>
          <t>R&amp;R TRANSPORTE E LOGISTICA</t>
        </is>
      </c>
      <c r="J1283" s="29" t="n">
        <v>105.32</v>
      </c>
      <c r="K1283" s="29">
        <f>(1-ISNUMBER(SEARCH("556",M1283)))*(O1283*SUMIFS(Premissas!$C$5:$C$44,Premissas!$A$5:$A$44,$A1283,Premissas!$B$5:$B$44,$B1283)+P1283*SUMIFS(Premissas!$D$5:$D$44,Premissas!$A$5:$A$44,$A1283,Premissas!$B$5:$B$44,$B1283))+R1283*SUMIFS(Premissas!$E$5:$E$44,Premissas!$A$5:$A$44,$A1283,Premissas!$B$5:$B$44,$B1283)+S1283*SUMIFS(Premissas!$F$5:$F$44,Premissas!$A$5:$A$44,$A1283,Premissas!$B$5:$B$44,$B1283)</f>
        <v/>
      </c>
      <c r="L1283" s="29">
        <f>J1283-K1283</f>
        <v/>
      </c>
      <c r="M1283" t="inlineStr">
        <is>
          <t>1.350</t>
        </is>
      </c>
      <c r="N1283" t="inlineStr">
        <is>
          <t>Modalidade: 0 - Por conta do remetente | Parte: LEANDRO DELFINO DE SOUSA (26.593.516/0001-80)</t>
        </is>
      </c>
      <c r="O1283" s="29" t="n">
        <v>0</v>
      </c>
      <c r="P1283" s="29" t="n">
        <v>0</v>
      </c>
      <c r="Q1283" s="29" t="n">
        <v>0</v>
      </c>
      <c r="R1283" s="29" t="n">
        <v>0</v>
      </c>
      <c r="S1283" s="29" t="n">
        <v>0</v>
      </c>
      <c r="T1283" t="inlineStr">
        <is>
          <t>25250226975620000130570010000037621000000000</t>
        </is>
      </c>
      <c r="U1283" t="inlineStr">
        <is>
          <t>Não</t>
        </is>
      </c>
    </row>
    <row r="1284">
      <c r="A1284" t="inlineStr">
        <is>
          <t>Frete de venda</t>
        </is>
      </c>
      <c r="B1284" t="inlineStr">
        <is>
          <t>2.01.01 Frete Galpão Produto Acabado</t>
        </is>
      </c>
      <c r="C1284" t="inlineStr">
        <is>
          <t>Antes de 2026</t>
        </is>
      </c>
      <c r="D1284" t="inlineStr">
        <is>
          <t>Antes de 2026</t>
        </is>
      </c>
      <c r="E1284" s="28" t="n">
        <v>45715</v>
      </c>
      <c r="F1284" t="inlineStr">
        <is>
          <t>CT-e</t>
        </is>
      </c>
      <c r="G1284" t="inlineStr">
        <is>
          <t>000003763</t>
        </is>
      </c>
      <c r="H1284" t="inlineStr">
        <is>
          <t>R&amp;R TRANSPORTE E LOGISTICA</t>
        </is>
      </c>
      <c r="J1284" s="29" t="n">
        <v>111.7</v>
      </c>
      <c r="K1284" s="29">
        <f>(1-ISNUMBER(SEARCH("556",M1284)))*(O1284*SUMIFS(Premissas!$C$5:$C$44,Premissas!$A$5:$A$44,$A1284,Premissas!$B$5:$B$44,$B1284)+P1284*SUMIFS(Premissas!$D$5:$D$44,Premissas!$A$5:$A$44,$A1284,Premissas!$B$5:$B$44,$B1284))+R1284*SUMIFS(Premissas!$E$5:$E$44,Premissas!$A$5:$A$44,$A1284,Premissas!$B$5:$B$44,$B1284)+S1284*SUMIFS(Premissas!$F$5:$F$44,Premissas!$A$5:$A$44,$A1284,Premissas!$B$5:$B$44,$B1284)</f>
        <v/>
      </c>
      <c r="L1284" s="29">
        <f>J1284-K1284</f>
        <v/>
      </c>
      <c r="M1284" t="inlineStr">
        <is>
          <t>1.350</t>
        </is>
      </c>
      <c r="N1284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284" s="29" t="n">
        <v>0</v>
      </c>
      <c r="P1284" s="29" t="n">
        <v>0</v>
      </c>
      <c r="Q1284" s="29" t="n">
        <v>0</v>
      </c>
      <c r="R1284" s="29" t="n">
        <v>0</v>
      </c>
      <c r="S1284" s="29" t="n">
        <v>0</v>
      </c>
      <c r="T1284" t="inlineStr">
        <is>
          <t>25250226975620000130570010000037631000000007</t>
        </is>
      </c>
      <c r="U1284" t="inlineStr">
        <is>
          <t>Não</t>
        </is>
      </c>
    </row>
    <row r="1285">
      <c r="A1285" t="inlineStr">
        <is>
          <t>Frete de venda</t>
        </is>
      </c>
      <c r="B1285" t="inlineStr">
        <is>
          <t>2.01.01 Frete Galpão Produto Acabado</t>
        </is>
      </c>
      <c r="C1285" t="inlineStr">
        <is>
          <t>Antes de 2026</t>
        </is>
      </c>
      <c r="D1285" t="inlineStr">
        <is>
          <t>Antes de 2026</t>
        </is>
      </c>
      <c r="E1285" s="28" t="n">
        <v>45715</v>
      </c>
      <c r="F1285" t="inlineStr">
        <is>
          <t>CT-e</t>
        </is>
      </c>
      <c r="G1285" t="inlineStr">
        <is>
          <t>000003764</t>
        </is>
      </c>
      <c r="H1285" t="inlineStr">
        <is>
          <t>R&amp;R TRANSPORTE E LOGISTICA</t>
        </is>
      </c>
      <c r="J1285" s="29" t="n">
        <v>63.58</v>
      </c>
      <c r="K1285" s="29">
        <f>(1-ISNUMBER(SEARCH("556",M1285)))*(O1285*SUMIFS(Premissas!$C$5:$C$44,Premissas!$A$5:$A$44,$A1285,Premissas!$B$5:$B$44,$B1285)+P1285*SUMIFS(Premissas!$D$5:$D$44,Premissas!$A$5:$A$44,$A1285,Premissas!$B$5:$B$44,$B1285))+R1285*SUMIFS(Premissas!$E$5:$E$44,Premissas!$A$5:$A$44,$A1285,Premissas!$B$5:$B$44,$B1285)+S1285*SUMIFS(Premissas!$F$5:$F$44,Premissas!$A$5:$A$44,$A1285,Premissas!$B$5:$B$44,$B1285)</f>
        <v/>
      </c>
      <c r="L1285" s="29">
        <f>J1285-K1285</f>
        <v/>
      </c>
      <c r="M1285" t="inlineStr">
        <is>
          <t>1.350</t>
        </is>
      </c>
      <c r="N1285" t="inlineStr">
        <is>
          <t>Modalidade: 0 - Por conta do remetente | Parte: B RIBAS COMERCIO LTDA (01.403.594/0001-44)</t>
        </is>
      </c>
      <c r="O1285" s="29" t="n">
        <v>0</v>
      </c>
      <c r="P1285" s="29" t="n">
        <v>0</v>
      </c>
      <c r="Q1285" s="29" t="n">
        <v>0</v>
      </c>
      <c r="R1285" s="29" t="n">
        <v>0</v>
      </c>
      <c r="S1285" s="29" t="n">
        <v>0</v>
      </c>
      <c r="T1285" t="inlineStr">
        <is>
          <t>25250226975620000130570010000037641000000004</t>
        </is>
      </c>
      <c r="U1285" t="inlineStr">
        <is>
          <t>Não</t>
        </is>
      </c>
    </row>
    <row r="1286">
      <c r="A1286" t="inlineStr">
        <is>
          <t>Frete de venda</t>
        </is>
      </c>
      <c r="B1286" t="inlineStr">
        <is>
          <t>2.01.01 Frete Galpão Produto Acabado</t>
        </is>
      </c>
      <c r="C1286" t="inlineStr">
        <is>
          <t>Antes de 2026</t>
        </is>
      </c>
      <c r="D1286" t="inlineStr">
        <is>
          <t>Antes de 2026</t>
        </is>
      </c>
      <c r="E1286" s="28" t="n">
        <v>45716</v>
      </c>
      <c r="F1286" t="inlineStr">
        <is>
          <t>CT-e</t>
        </is>
      </c>
      <c r="G1286" t="inlineStr">
        <is>
          <t>000003765</t>
        </is>
      </c>
      <c r="H1286" t="inlineStr">
        <is>
          <t>R&amp;R TRANSPORTE E LOGISTICA</t>
        </is>
      </c>
      <c r="J1286" s="29" t="n">
        <v>75.54000000000001</v>
      </c>
      <c r="K1286" s="29">
        <f>(1-ISNUMBER(SEARCH("556",M1286)))*(O1286*SUMIFS(Premissas!$C$5:$C$44,Premissas!$A$5:$A$44,$A1286,Premissas!$B$5:$B$44,$B1286)+P1286*SUMIFS(Premissas!$D$5:$D$44,Premissas!$A$5:$A$44,$A1286,Premissas!$B$5:$B$44,$B1286))+R1286*SUMIFS(Premissas!$E$5:$E$44,Premissas!$A$5:$A$44,$A1286,Premissas!$B$5:$B$44,$B1286)+S1286*SUMIFS(Premissas!$F$5:$F$44,Premissas!$A$5:$A$44,$A1286,Premissas!$B$5:$B$44,$B1286)</f>
        <v/>
      </c>
      <c r="L1286" s="29">
        <f>J1286-K1286</f>
        <v/>
      </c>
      <c r="M1286" t="inlineStr">
        <is>
          <t>1.350</t>
        </is>
      </c>
      <c r="N1286" t="inlineStr">
        <is>
          <t>Modalidade: 0 - Por conta do remetente | Parte: VIDEIRA COMERCIO DESCARTAVEIS LTDA (12.079.452/0001-90)</t>
        </is>
      </c>
      <c r="O1286" s="29" t="n">
        <v>0</v>
      </c>
      <c r="P1286" s="29" t="n">
        <v>0</v>
      </c>
      <c r="Q1286" s="29" t="n">
        <v>0</v>
      </c>
      <c r="R1286" s="29" t="n">
        <v>0</v>
      </c>
      <c r="S1286" s="29" t="n">
        <v>0</v>
      </c>
      <c r="T1286" t="inlineStr">
        <is>
          <t>25250226975620000130570010000037651000000001</t>
        </is>
      </c>
      <c r="U1286" t="inlineStr">
        <is>
          <t>Não</t>
        </is>
      </c>
    </row>
    <row r="1287">
      <c r="A1287" t="inlineStr">
        <is>
          <t>Frete de venda</t>
        </is>
      </c>
      <c r="B1287" t="inlineStr">
        <is>
          <t>2.01.01 Frete Galpão Produto Acabado</t>
        </is>
      </c>
      <c r="C1287" t="inlineStr">
        <is>
          <t>Antes de 2026</t>
        </is>
      </c>
      <c r="D1287" t="inlineStr">
        <is>
          <t>Antes de 2026</t>
        </is>
      </c>
      <c r="E1287" s="28" t="n">
        <v>45716</v>
      </c>
      <c r="F1287" t="inlineStr">
        <is>
          <t>CT-e</t>
        </is>
      </c>
      <c r="G1287" t="inlineStr">
        <is>
          <t>000003766</t>
        </is>
      </c>
      <c r="H1287" t="inlineStr">
        <is>
          <t>R&amp;R TRANSPORTE E LOGISTICA</t>
        </is>
      </c>
      <c r="J1287" s="29" t="n">
        <v>70.17</v>
      </c>
      <c r="K1287" s="29">
        <f>(1-ISNUMBER(SEARCH("556",M1287)))*(O1287*SUMIFS(Premissas!$C$5:$C$44,Premissas!$A$5:$A$44,$A1287,Premissas!$B$5:$B$44,$B1287)+P1287*SUMIFS(Premissas!$D$5:$D$44,Premissas!$A$5:$A$44,$A1287,Premissas!$B$5:$B$44,$B1287))+R1287*SUMIFS(Premissas!$E$5:$E$44,Premissas!$A$5:$A$44,$A1287,Premissas!$B$5:$B$44,$B1287)+S1287*SUMIFS(Premissas!$F$5:$F$44,Premissas!$A$5:$A$44,$A1287,Premissas!$B$5:$B$44,$B1287)</f>
        <v/>
      </c>
      <c r="L1287" s="29">
        <f>J1287-K1287</f>
        <v/>
      </c>
      <c r="M1287" t="inlineStr">
        <is>
          <t>1.350</t>
        </is>
      </c>
      <c r="N1287" t="inlineStr">
        <is>
          <t>Modalidade: 0 - Por conta do remetente | Parte: AP SACARIA EMBALAGENS LTDA (20.402.088/0001-85)</t>
        </is>
      </c>
      <c r="O1287" s="29" t="n">
        <v>0</v>
      </c>
      <c r="P1287" s="29" t="n">
        <v>0</v>
      </c>
      <c r="Q1287" s="29" t="n">
        <v>0</v>
      </c>
      <c r="R1287" s="29" t="n">
        <v>0</v>
      </c>
      <c r="S1287" s="29" t="n">
        <v>0</v>
      </c>
      <c r="T1287" t="inlineStr">
        <is>
          <t>25250226975620000130570010000037661000000009</t>
        </is>
      </c>
      <c r="U1287" t="inlineStr">
        <is>
          <t>Não</t>
        </is>
      </c>
    </row>
    <row r="1288">
      <c r="A1288" t="inlineStr">
        <is>
          <t>Frete de venda</t>
        </is>
      </c>
      <c r="B1288" t="inlineStr">
        <is>
          <t>2.01.01 Frete Galpão Produto Acabado</t>
        </is>
      </c>
      <c r="C1288" t="inlineStr">
        <is>
          <t>Antes de 2026</t>
        </is>
      </c>
      <c r="D1288" t="inlineStr">
        <is>
          <t>Antes de 2026</t>
        </is>
      </c>
      <c r="E1288" s="28" t="n">
        <v>45716</v>
      </c>
      <c r="F1288" t="inlineStr">
        <is>
          <t>CT-e</t>
        </is>
      </c>
      <c r="G1288" t="inlineStr">
        <is>
          <t>000003767</t>
        </is>
      </c>
      <c r="H1288" t="inlineStr">
        <is>
          <t>R&amp;R TRANSPORTE E LOGISTICA</t>
        </is>
      </c>
      <c r="J1288" s="29" t="n">
        <v>269.04</v>
      </c>
      <c r="K1288" s="29">
        <f>(1-ISNUMBER(SEARCH("556",M1288)))*(O1288*SUMIFS(Premissas!$C$5:$C$44,Premissas!$A$5:$A$44,$A1288,Premissas!$B$5:$B$44,$B1288)+P1288*SUMIFS(Premissas!$D$5:$D$44,Premissas!$A$5:$A$44,$A1288,Premissas!$B$5:$B$44,$B1288))+R1288*SUMIFS(Premissas!$E$5:$E$44,Premissas!$A$5:$A$44,$A1288,Premissas!$B$5:$B$44,$B1288)+S1288*SUMIFS(Premissas!$F$5:$F$44,Premissas!$A$5:$A$44,$A1288,Premissas!$B$5:$B$44,$B1288)</f>
        <v/>
      </c>
      <c r="L1288" s="29">
        <f>J1288-K1288</f>
        <v/>
      </c>
      <c r="M1288" t="inlineStr">
        <is>
          <t>1.350</t>
        </is>
      </c>
      <c r="N1288" t="inlineStr">
        <is>
          <t>Modalidade: 0 - Por conta do remetente | Parte: RFC COMERCIO DE MIUDEZAS LTDA (26.514.797/0004-81)</t>
        </is>
      </c>
      <c r="O1288" s="29" t="n">
        <v>0</v>
      </c>
      <c r="P1288" s="29" t="n">
        <v>0</v>
      </c>
      <c r="Q1288" s="29" t="n">
        <v>0</v>
      </c>
      <c r="R1288" s="29" t="n">
        <v>0</v>
      </c>
      <c r="S1288" s="29" t="n">
        <v>0</v>
      </c>
      <c r="T1288" t="inlineStr">
        <is>
          <t>25250226975620000130570010000037671000000006</t>
        </is>
      </c>
      <c r="U1288" t="inlineStr">
        <is>
          <t>Não</t>
        </is>
      </c>
    </row>
    <row r="1289">
      <c r="A1289" t="inlineStr">
        <is>
          <t>Frete de venda</t>
        </is>
      </c>
      <c r="B1289" t="inlineStr">
        <is>
          <t>2.01.01 Frete Galpão Produto Acabado</t>
        </is>
      </c>
      <c r="C1289" t="inlineStr">
        <is>
          <t>Antes de 2026</t>
        </is>
      </c>
      <c r="D1289" t="inlineStr">
        <is>
          <t>Antes de 2026</t>
        </is>
      </c>
      <c r="E1289" s="28" t="n">
        <v>45717</v>
      </c>
      <c r="F1289" t="inlineStr">
        <is>
          <t>CT-e</t>
        </is>
      </c>
      <c r="G1289" t="inlineStr">
        <is>
          <t>000003768</t>
        </is>
      </c>
      <c r="H1289" t="inlineStr">
        <is>
          <t>R&amp;R TRANSPORTE E LOGISTICA</t>
        </is>
      </c>
      <c r="J1289" s="29" t="n">
        <v>18</v>
      </c>
      <c r="K1289" s="29">
        <f>(1-ISNUMBER(SEARCH("556",M1289)))*(O1289*SUMIFS(Premissas!$C$5:$C$44,Premissas!$A$5:$A$44,$A1289,Premissas!$B$5:$B$44,$B1289)+P1289*SUMIFS(Premissas!$D$5:$D$44,Premissas!$A$5:$A$44,$A1289,Premissas!$B$5:$B$44,$B1289))+R1289*SUMIFS(Premissas!$E$5:$E$44,Premissas!$A$5:$A$44,$A1289,Premissas!$B$5:$B$44,$B1289)+S1289*SUMIFS(Premissas!$F$5:$F$44,Premissas!$A$5:$A$44,$A1289,Premissas!$B$5:$B$44,$B1289)</f>
        <v/>
      </c>
      <c r="L1289" s="29">
        <f>J1289-K1289</f>
        <v/>
      </c>
      <c r="M1289" t="inlineStr">
        <is>
          <t>1.350</t>
        </is>
      </c>
      <c r="N1289" t="inlineStr">
        <is>
          <t>Modalidade: 0 - Por conta do remetente | Parte: SOUTO EMBALAGENS E FESTAS LTDA (57.158.488/0001-05)</t>
        </is>
      </c>
      <c r="O1289" s="29" t="n">
        <v>0</v>
      </c>
      <c r="P1289" s="29" t="n">
        <v>0</v>
      </c>
      <c r="Q1289" s="29" t="n">
        <v>0</v>
      </c>
      <c r="R1289" s="29" t="n">
        <v>0</v>
      </c>
      <c r="S1289" s="29" t="n">
        <v>0</v>
      </c>
      <c r="T1289" t="inlineStr">
        <is>
          <t>25250326975620000130570010000037681000000007</t>
        </is>
      </c>
      <c r="U1289" t="inlineStr">
        <is>
          <t>Não</t>
        </is>
      </c>
    </row>
    <row r="1290">
      <c r="A1290" t="inlineStr">
        <is>
          <t>Frete de venda</t>
        </is>
      </c>
      <c r="B1290" t="inlineStr">
        <is>
          <t>2.01.01 Frete Galpão Produto Acabado</t>
        </is>
      </c>
      <c r="C1290" t="inlineStr">
        <is>
          <t>Antes de 2026</t>
        </is>
      </c>
      <c r="D1290" t="inlineStr">
        <is>
          <t>Antes de 2026</t>
        </is>
      </c>
      <c r="E1290" s="28" t="n">
        <v>45717</v>
      </c>
      <c r="F1290" t="inlineStr">
        <is>
          <t>CT-e</t>
        </is>
      </c>
      <c r="G1290" t="inlineStr">
        <is>
          <t>000003769</t>
        </is>
      </c>
      <c r="H1290" t="inlineStr">
        <is>
          <t>R&amp;R TRANSPORTE E LOGISTICA</t>
        </is>
      </c>
      <c r="J1290" s="29" t="n">
        <v>22</v>
      </c>
      <c r="K1290" s="29">
        <f>(1-ISNUMBER(SEARCH("556",M1290)))*(O1290*SUMIFS(Premissas!$C$5:$C$44,Premissas!$A$5:$A$44,$A1290,Premissas!$B$5:$B$44,$B1290)+P1290*SUMIFS(Premissas!$D$5:$D$44,Premissas!$A$5:$A$44,$A1290,Premissas!$B$5:$B$44,$B1290))+R1290*SUMIFS(Premissas!$E$5:$E$44,Premissas!$A$5:$A$44,$A1290,Premissas!$B$5:$B$44,$B1290)+S1290*SUMIFS(Premissas!$F$5:$F$44,Premissas!$A$5:$A$44,$A1290,Premissas!$B$5:$B$44,$B1290)</f>
        <v/>
      </c>
      <c r="L1290" s="29">
        <f>J1290-K1290</f>
        <v/>
      </c>
      <c r="M1290" t="inlineStr">
        <is>
          <t>1.350</t>
        </is>
      </c>
      <c r="N1290" t="inlineStr">
        <is>
          <t>Modalidade: 0 - Por conta do remetente | Parte: SOUTO EMBALAGENS E FESTAS LTDA (57.158.488/0001-05)</t>
        </is>
      </c>
      <c r="O1290" s="29" t="n">
        <v>0</v>
      </c>
      <c r="P1290" s="29" t="n">
        <v>0</v>
      </c>
      <c r="Q1290" s="29" t="n">
        <v>0</v>
      </c>
      <c r="R1290" s="29" t="n">
        <v>0</v>
      </c>
      <c r="S1290" s="29" t="n">
        <v>0</v>
      </c>
      <c r="T1290" t="inlineStr">
        <is>
          <t>25250326975620000130570010000037691000000004</t>
        </is>
      </c>
      <c r="U1290" t="inlineStr">
        <is>
          <t>Não</t>
        </is>
      </c>
    </row>
    <row r="1291">
      <c r="A1291" t="inlineStr">
        <is>
          <t>Frete de venda</t>
        </is>
      </c>
      <c r="B1291" t="inlineStr">
        <is>
          <t>2.01.01 Frete Galpão Produto Acabado</t>
        </is>
      </c>
      <c r="C1291" t="inlineStr">
        <is>
          <t>Antes de 2026</t>
        </is>
      </c>
      <c r="D1291" t="inlineStr">
        <is>
          <t>Antes de 2026</t>
        </is>
      </c>
      <c r="E1291" s="28" t="n">
        <v>45717</v>
      </c>
      <c r="F1291" t="inlineStr">
        <is>
          <t>CT-e</t>
        </is>
      </c>
      <c r="G1291" t="inlineStr">
        <is>
          <t>000003770</t>
        </is>
      </c>
      <c r="H1291" t="inlineStr">
        <is>
          <t>R&amp;R TRANSPORTE E LOGISTICA</t>
        </is>
      </c>
      <c r="J1291" s="29" t="n">
        <v>67</v>
      </c>
      <c r="K1291" s="29">
        <f>(1-ISNUMBER(SEARCH("556",M1291)))*(O1291*SUMIFS(Premissas!$C$5:$C$44,Premissas!$A$5:$A$44,$A1291,Premissas!$B$5:$B$44,$B1291)+P1291*SUMIFS(Premissas!$D$5:$D$44,Premissas!$A$5:$A$44,$A1291,Premissas!$B$5:$B$44,$B1291))+R1291*SUMIFS(Premissas!$E$5:$E$44,Premissas!$A$5:$A$44,$A1291,Premissas!$B$5:$B$44,$B1291)+S1291*SUMIFS(Premissas!$F$5:$F$44,Premissas!$A$5:$A$44,$A1291,Premissas!$B$5:$B$44,$B1291)</f>
        <v/>
      </c>
      <c r="L1291" s="29">
        <f>J1291-K1291</f>
        <v/>
      </c>
      <c r="M1291" t="inlineStr">
        <is>
          <t>1.350</t>
        </is>
      </c>
      <c r="N1291" t="inlineStr">
        <is>
          <t>Modalidade: 0 - Por conta do remetente | Parte: EMBRAMINAS EMBALAGENS BRASIL MINAS LTDA (03.061.564/0001-22)</t>
        </is>
      </c>
      <c r="O1291" s="29" t="n">
        <v>0</v>
      </c>
      <c r="P1291" s="29" t="n">
        <v>0</v>
      </c>
      <c r="Q1291" s="29" t="n">
        <v>0</v>
      </c>
      <c r="R1291" s="29" t="n">
        <v>0</v>
      </c>
      <c r="S1291" s="29" t="n">
        <v>0</v>
      </c>
      <c r="T1291" t="inlineStr">
        <is>
          <t>25250326975620000130570010000037701000000005</t>
        </is>
      </c>
      <c r="U1291" t="inlineStr">
        <is>
          <t>Não</t>
        </is>
      </c>
    </row>
    <row r="1292">
      <c r="A1292" t="inlineStr">
        <is>
          <t>Frete de venda</t>
        </is>
      </c>
      <c r="B1292" t="inlineStr">
        <is>
          <t>2.01.01 Frete Galpão Produto Acabado</t>
        </is>
      </c>
      <c r="C1292" t="inlineStr">
        <is>
          <t>Antes de 2026</t>
        </is>
      </c>
      <c r="D1292" t="inlineStr">
        <is>
          <t>Antes de 2026</t>
        </is>
      </c>
      <c r="E1292" s="28" t="n">
        <v>45717</v>
      </c>
      <c r="F1292" t="inlineStr">
        <is>
          <t>CT-e</t>
        </is>
      </c>
      <c r="G1292" t="inlineStr">
        <is>
          <t>000003771</t>
        </is>
      </c>
      <c r="H1292" t="inlineStr">
        <is>
          <t>R&amp;R TRANSPORTE E LOGISTICA</t>
        </is>
      </c>
      <c r="J1292" s="29" t="n">
        <v>18</v>
      </c>
      <c r="K1292" s="29">
        <f>(1-ISNUMBER(SEARCH("556",M1292)))*(O1292*SUMIFS(Premissas!$C$5:$C$44,Premissas!$A$5:$A$44,$A1292,Premissas!$B$5:$B$44,$B1292)+P1292*SUMIFS(Premissas!$D$5:$D$44,Premissas!$A$5:$A$44,$A1292,Premissas!$B$5:$B$44,$B1292))+R1292*SUMIFS(Premissas!$E$5:$E$44,Premissas!$A$5:$A$44,$A1292,Premissas!$B$5:$B$44,$B1292)+S1292*SUMIFS(Premissas!$F$5:$F$44,Premissas!$A$5:$A$44,$A1292,Premissas!$B$5:$B$44,$B1292)</f>
        <v/>
      </c>
      <c r="L1292" s="29">
        <f>J1292-K1292</f>
        <v/>
      </c>
      <c r="M1292" t="inlineStr">
        <is>
          <t>1.350</t>
        </is>
      </c>
      <c r="N1292" t="inlineStr">
        <is>
          <t>Modalidade: 0 - Por conta do remetente | Parte: DISTRIBUIDORA NACIONAL DE PAPEL E EMBALAGENS LTDA (22.043.046/0001-20)</t>
        </is>
      </c>
      <c r="O1292" s="29" t="n">
        <v>0</v>
      </c>
      <c r="P1292" s="29" t="n">
        <v>0</v>
      </c>
      <c r="Q1292" s="29" t="n">
        <v>0</v>
      </c>
      <c r="R1292" s="29" t="n">
        <v>0</v>
      </c>
      <c r="S1292" s="29" t="n">
        <v>0</v>
      </c>
      <c r="T1292" t="inlineStr">
        <is>
          <t>25250326975620000130570010000037711000000002</t>
        </is>
      </c>
      <c r="U1292" t="inlineStr">
        <is>
          <t>Não</t>
        </is>
      </c>
    </row>
    <row r="1293">
      <c r="A1293" t="inlineStr">
        <is>
          <t>Frete de venda</t>
        </is>
      </c>
      <c r="B1293" t="inlineStr">
        <is>
          <t>2.01.01 Frete Galpão Produto Acabado</t>
        </is>
      </c>
      <c r="C1293" t="inlineStr">
        <is>
          <t>Antes de 2026</t>
        </is>
      </c>
      <c r="D1293" t="inlineStr">
        <is>
          <t>Antes de 2026</t>
        </is>
      </c>
      <c r="E1293" s="28" t="n">
        <v>45717</v>
      </c>
      <c r="F1293" t="inlineStr">
        <is>
          <t>CT-e</t>
        </is>
      </c>
      <c r="G1293" t="inlineStr">
        <is>
          <t>000003772</t>
        </is>
      </c>
      <c r="H1293" t="inlineStr">
        <is>
          <t>R&amp;R TRANSPORTE E LOGISTICA</t>
        </is>
      </c>
      <c r="J1293" s="29" t="n">
        <v>33</v>
      </c>
      <c r="K1293" s="29">
        <f>(1-ISNUMBER(SEARCH("556",M1293)))*(O1293*SUMIFS(Premissas!$C$5:$C$44,Premissas!$A$5:$A$44,$A1293,Premissas!$B$5:$B$44,$B1293)+P1293*SUMIFS(Premissas!$D$5:$D$44,Premissas!$A$5:$A$44,$A1293,Premissas!$B$5:$B$44,$B1293))+R1293*SUMIFS(Premissas!$E$5:$E$44,Premissas!$A$5:$A$44,$A1293,Premissas!$B$5:$B$44,$B1293)+S1293*SUMIFS(Premissas!$F$5:$F$44,Premissas!$A$5:$A$44,$A1293,Premissas!$B$5:$B$44,$B1293)</f>
        <v/>
      </c>
      <c r="L1293" s="29">
        <f>J1293-K1293</f>
        <v/>
      </c>
      <c r="M1293" t="inlineStr">
        <is>
          <t>1.350</t>
        </is>
      </c>
      <c r="N1293" t="inlineStr">
        <is>
          <t>Modalidade: 0 - Por conta do remetente | Parte: DISTRIBUIDORA NACIONAL DE PAPEL E EMBALAGENS LTDA (22.043.046/0001-20)</t>
        </is>
      </c>
      <c r="O1293" s="29" t="n">
        <v>0</v>
      </c>
      <c r="P1293" s="29" t="n">
        <v>0</v>
      </c>
      <c r="Q1293" s="29" t="n">
        <v>0</v>
      </c>
      <c r="R1293" s="29" t="n">
        <v>0</v>
      </c>
      <c r="S1293" s="29" t="n">
        <v>0</v>
      </c>
      <c r="T1293" t="inlineStr">
        <is>
          <t>25250326975620000130570010000037721000000000</t>
        </is>
      </c>
      <c r="U1293" t="inlineStr">
        <is>
          <t>Não</t>
        </is>
      </c>
    </row>
    <row r="1294">
      <c r="A1294" t="inlineStr">
        <is>
          <t>Frete de venda</t>
        </is>
      </c>
      <c r="B1294" t="inlineStr">
        <is>
          <t>2.01.01 Frete Galpão Produto Acabado</t>
        </is>
      </c>
      <c r="C1294" t="inlineStr">
        <is>
          <t>Antes de 2026</t>
        </is>
      </c>
      <c r="D1294" t="inlineStr">
        <is>
          <t>Antes de 2026</t>
        </is>
      </c>
      <c r="E1294" s="28" t="n">
        <v>45717</v>
      </c>
      <c r="F1294" t="inlineStr">
        <is>
          <t>CT-e</t>
        </is>
      </c>
      <c r="G1294" t="inlineStr">
        <is>
          <t>000003773</t>
        </is>
      </c>
      <c r="H1294" t="inlineStr">
        <is>
          <t>R&amp;R TRANSPORTE E LOGISTICA</t>
        </is>
      </c>
      <c r="J1294" s="29" t="n">
        <v>21</v>
      </c>
      <c r="K1294" s="29">
        <f>(1-ISNUMBER(SEARCH("556",M1294)))*(O1294*SUMIFS(Premissas!$C$5:$C$44,Premissas!$A$5:$A$44,$A1294,Premissas!$B$5:$B$44,$B1294)+P1294*SUMIFS(Premissas!$D$5:$D$44,Premissas!$A$5:$A$44,$A1294,Premissas!$B$5:$B$44,$B1294))+R1294*SUMIFS(Premissas!$E$5:$E$44,Premissas!$A$5:$A$44,$A1294,Premissas!$B$5:$B$44,$B1294)+S1294*SUMIFS(Premissas!$F$5:$F$44,Premissas!$A$5:$A$44,$A1294,Premissas!$B$5:$B$44,$B1294)</f>
        <v/>
      </c>
      <c r="L1294" s="29">
        <f>J1294-K1294</f>
        <v/>
      </c>
      <c r="M1294" t="inlineStr">
        <is>
          <t>1.350</t>
        </is>
      </c>
      <c r="N1294" t="inlineStr">
        <is>
          <t>Modalidade: 0 - Por conta do remetente | Parte: DISTRIBUIDORA JULIANA LTDA (07.276.402/0001-62)</t>
        </is>
      </c>
      <c r="O1294" s="29" t="n">
        <v>0</v>
      </c>
      <c r="P1294" s="29" t="n">
        <v>0</v>
      </c>
      <c r="Q1294" s="29" t="n">
        <v>0</v>
      </c>
      <c r="R1294" s="29" t="n">
        <v>0</v>
      </c>
      <c r="S1294" s="29" t="n">
        <v>0</v>
      </c>
      <c r="T1294" t="inlineStr">
        <is>
          <t>25250326975620000130570010000037731000000007</t>
        </is>
      </c>
      <c r="U1294" t="inlineStr">
        <is>
          <t>Não</t>
        </is>
      </c>
    </row>
    <row r="1295">
      <c r="A1295" t="inlineStr">
        <is>
          <t>Frete de venda</t>
        </is>
      </c>
      <c r="B1295" t="inlineStr">
        <is>
          <t>2.01.01 Frete Galpão Produto Acabado</t>
        </is>
      </c>
      <c r="C1295" t="inlineStr">
        <is>
          <t>Antes de 2026</t>
        </is>
      </c>
      <c r="D1295" t="inlineStr">
        <is>
          <t>Antes de 2026</t>
        </is>
      </c>
      <c r="E1295" s="28" t="n">
        <v>45717</v>
      </c>
      <c r="F1295" t="inlineStr">
        <is>
          <t>CT-e</t>
        </is>
      </c>
      <c r="G1295" t="inlineStr">
        <is>
          <t>000003774</t>
        </is>
      </c>
      <c r="H1295" t="inlineStr">
        <is>
          <t>R&amp;R TRANSPORTE E LOGISTICA</t>
        </is>
      </c>
      <c r="J1295" s="29" t="n">
        <v>70</v>
      </c>
      <c r="K1295" s="29">
        <f>(1-ISNUMBER(SEARCH("556",M1295)))*(O1295*SUMIFS(Premissas!$C$5:$C$44,Premissas!$A$5:$A$44,$A1295,Premissas!$B$5:$B$44,$B1295)+P1295*SUMIFS(Premissas!$D$5:$D$44,Premissas!$A$5:$A$44,$A1295,Premissas!$B$5:$B$44,$B1295))+R1295*SUMIFS(Premissas!$E$5:$E$44,Premissas!$A$5:$A$44,$A1295,Premissas!$B$5:$B$44,$B1295)+S1295*SUMIFS(Premissas!$F$5:$F$44,Premissas!$A$5:$A$44,$A1295,Premissas!$B$5:$B$44,$B1295)</f>
        <v/>
      </c>
      <c r="L1295" s="29">
        <f>J1295-K1295</f>
        <v/>
      </c>
      <c r="M1295" t="inlineStr">
        <is>
          <t>1.350</t>
        </is>
      </c>
      <c r="N1295" t="inlineStr">
        <is>
          <t>Modalidade: 0 - Por conta do remetente | Parte: DISTRIBUIDORA JULIANA LTDA (07.276.402/0001-62)</t>
        </is>
      </c>
      <c r="O1295" s="29" t="n">
        <v>0</v>
      </c>
      <c r="P1295" s="29" t="n">
        <v>0</v>
      </c>
      <c r="Q1295" s="29" t="n">
        <v>0</v>
      </c>
      <c r="R1295" s="29" t="n">
        <v>0</v>
      </c>
      <c r="S1295" s="29" t="n">
        <v>0</v>
      </c>
      <c r="T1295" t="inlineStr">
        <is>
          <t>25250326975620000130570010000037741000000004</t>
        </is>
      </c>
      <c r="U1295" t="inlineStr">
        <is>
          <t>Não</t>
        </is>
      </c>
    </row>
    <row r="1296">
      <c r="A1296" t="inlineStr">
        <is>
          <t>Frete de venda</t>
        </is>
      </c>
      <c r="B1296" t="inlineStr">
        <is>
          <t>2.01.01 Frete Galpão Produto Acabado</t>
        </is>
      </c>
      <c r="C1296" t="inlineStr">
        <is>
          <t>Antes de 2026</t>
        </is>
      </c>
      <c r="D1296" t="inlineStr">
        <is>
          <t>Antes de 2026</t>
        </is>
      </c>
      <c r="E1296" s="28" t="n">
        <v>45717</v>
      </c>
      <c r="F1296" t="inlineStr">
        <is>
          <t>CT-e</t>
        </is>
      </c>
      <c r="G1296" t="inlineStr">
        <is>
          <t>000003775</t>
        </is>
      </c>
      <c r="H1296" t="inlineStr">
        <is>
          <t>R&amp;R TRANSPORTE E LOGISTICA</t>
        </is>
      </c>
      <c r="J1296" s="29" t="n">
        <v>21</v>
      </c>
      <c r="K1296" s="29">
        <f>(1-ISNUMBER(SEARCH("556",M1296)))*(O1296*SUMIFS(Premissas!$C$5:$C$44,Premissas!$A$5:$A$44,$A1296,Premissas!$B$5:$B$44,$B1296)+P1296*SUMIFS(Premissas!$D$5:$D$44,Premissas!$A$5:$A$44,$A1296,Premissas!$B$5:$B$44,$B1296))+R1296*SUMIFS(Premissas!$E$5:$E$44,Premissas!$A$5:$A$44,$A1296,Premissas!$B$5:$B$44,$B1296)+S1296*SUMIFS(Premissas!$F$5:$F$44,Premissas!$A$5:$A$44,$A1296,Premissas!$B$5:$B$44,$B1296)</f>
        <v/>
      </c>
      <c r="L1296" s="29">
        <f>J1296-K1296</f>
        <v/>
      </c>
      <c r="M1296" t="inlineStr">
        <is>
          <t>1.350</t>
        </is>
      </c>
      <c r="N1296" t="inlineStr">
        <is>
          <t>Modalidade: 0 - Por conta do remetente | Parte: EMBRAMINAS EMBALAGENS BRASIL MINAS LTDA (03.061.564/0001-22)</t>
        </is>
      </c>
      <c r="O1296" s="29" t="n">
        <v>0</v>
      </c>
      <c r="P1296" s="29" t="n">
        <v>0</v>
      </c>
      <c r="Q1296" s="29" t="n">
        <v>0</v>
      </c>
      <c r="R1296" s="29" t="n">
        <v>0</v>
      </c>
      <c r="S1296" s="29" t="n">
        <v>0</v>
      </c>
      <c r="T1296" t="inlineStr">
        <is>
          <t>25250326975620000130570010000037751000000001</t>
        </is>
      </c>
      <c r="U1296" t="inlineStr">
        <is>
          <t>Não</t>
        </is>
      </c>
    </row>
    <row r="1297">
      <c r="A1297" t="inlineStr">
        <is>
          <t>Frete de venda</t>
        </is>
      </c>
      <c r="B1297" t="inlineStr">
        <is>
          <t>2.01.01 Frete Galpão Produto Acabado</t>
        </is>
      </c>
      <c r="C1297" t="inlineStr">
        <is>
          <t>Antes de 2026</t>
        </is>
      </c>
      <c r="D1297" t="inlineStr">
        <is>
          <t>Antes de 2026</t>
        </is>
      </c>
      <c r="E1297" s="28" t="n">
        <v>45717</v>
      </c>
      <c r="F1297" t="inlineStr">
        <is>
          <t>CT-e</t>
        </is>
      </c>
      <c r="G1297" t="inlineStr">
        <is>
          <t>000003776</t>
        </is>
      </c>
      <c r="H1297" t="inlineStr">
        <is>
          <t>R&amp;R TRANSPORTE E LOGISTICA</t>
        </is>
      </c>
      <c r="J1297" s="29" t="n">
        <v>47</v>
      </c>
      <c r="K1297" s="29">
        <f>(1-ISNUMBER(SEARCH("556",M1297)))*(O1297*SUMIFS(Premissas!$C$5:$C$44,Premissas!$A$5:$A$44,$A1297,Premissas!$B$5:$B$44,$B1297)+P1297*SUMIFS(Premissas!$D$5:$D$44,Premissas!$A$5:$A$44,$A1297,Premissas!$B$5:$B$44,$B1297))+R1297*SUMIFS(Premissas!$E$5:$E$44,Premissas!$A$5:$A$44,$A1297,Premissas!$B$5:$B$44,$B1297)+S1297*SUMIFS(Premissas!$F$5:$F$44,Premissas!$A$5:$A$44,$A1297,Premissas!$B$5:$B$44,$B1297)</f>
        <v/>
      </c>
      <c r="L1297" s="29">
        <f>J1297-K1297</f>
        <v/>
      </c>
      <c r="M1297" t="inlineStr">
        <is>
          <t>1.350</t>
        </is>
      </c>
      <c r="N1297" t="inlineStr">
        <is>
          <t>Modalidade: 0 - Por conta do remetente | Parte: BAZAR LUZ DO MUNDO LTDA (35.344.689/0001-56)</t>
        </is>
      </c>
      <c r="O1297" s="29" t="n">
        <v>0</v>
      </c>
      <c r="P1297" s="29" t="n">
        <v>0</v>
      </c>
      <c r="Q1297" s="29" t="n">
        <v>0</v>
      </c>
      <c r="R1297" s="29" t="n">
        <v>0</v>
      </c>
      <c r="S1297" s="29" t="n">
        <v>0</v>
      </c>
      <c r="T1297" t="inlineStr">
        <is>
          <t>25250326975620000130570010000037761000000009</t>
        </is>
      </c>
      <c r="U1297" t="inlineStr">
        <is>
          <t>Não</t>
        </is>
      </c>
    </row>
    <row r="1298">
      <c r="A1298" t="inlineStr">
        <is>
          <t>Frete de venda</t>
        </is>
      </c>
      <c r="B1298" t="inlineStr">
        <is>
          <t>2.01.01 Frete Galpão Produto Acabado</t>
        </is>
      </c>
      <c r="C1298" t="inlineStr">
        <is>
          <t>Antes de 2026</t>
        </is>
      </c>
      <c r="D1298" t="inlineStr">
        <is>
          <t>Antes de 2026</t>
        </is>
      </c>
      <c r="E1298" s="28" t="n">
        <v>45717</v>
      </c>
      <c r="F1298" t="inlineStr">
        <is>
          <t>CT-e</t>
        </is>
      </c>
      <c r="G1298" t="inlineStr">
        <is>
          <t>000003777</t>
        </is>
      </c>
      <c r="H1298" t="inlineStr">
        <is>
          <t>R&amp;R TRANSPORTE E LOGISTICA</t>
        </is>
      </c>
      <c r="J1298" s="29" t="n">
        <v>19</v>
      </c>
      <c r="K1298" s="29">
        <f>(1-ISNUMBER(SEARCH("556",M1298)))*(O1298*SUMIFS(Premissas!$C$5:$C$44,Premissas!$A$5:$A$44,$A1298,Premissas!$B$5:$B$44,$B1298)+P1298*SUMIFS(Premissas!$D$5:$D$44,Premissas!$A$5:$A$44,$A1298,Premissas!$B$5:$B$44,$B1298))+R1298*SUMIFS(Premissas!$E$5:$E$44,Premissas!$A$5:$A$44,$A1298,Premissas!$B$5:$B$44,$B1298)+S1298*SUMIFS(Premissas!$F$5:$F$44,Premissas!$A$5:$A$44,$A1298,Premissas!$B$5:$B$44,$B1298)</f>
        <v/>
      </c>
      <c r="L1298" s="29">
        <f>J1298-K1298</f>
        <v/>
      </c>
      <c r="M1298" t="inlineStr">
        <is>
          <t>1.350</t>
        </is>
      </c>
      <c r="N1298" t="inlineStr">
        <is>
          <t>Modalidade: 0 - Por conta do remetente | Parte: BAZAR LUZ DO MUNDO LTDA (35.344.689/0001-56)</t>
        </is>
      </c>
      <c r="O1298" s="29" t="n">
        <v>0</v>
      </c>
      <c r="P1298" s="29" t="n">
        <v>0</v>
      </c>
      <c r="Q1298" s="29" t="n">
        <v>0</v>
      </c>
      <c r="R1298" s="29" t="n">
        <v>0</v>
      </c>
      <c r="S1298" s="29" t="n">
        <v>0</v>
      </c>
      <c r="T1298" t="inlineStr">
        <is>
          <t>25250326975620000130570010000037771000000006</t>
        </is>
      </c>
      <c r="U1298" t="inlineStr">
        <is>
          <t>Não</t>
        </is>
      </c>
    </row>
    <row r="1299">
      <c r="A1299" t="inlineStr">
        <is>
          <t>Frete de venda</t>
        </is>
      </c>
      <c r="B1299" t="inlineStr">
        <is>
          <t>2.01.01 Frete Galpão Produto Acabado</t>
        </is>
      </c>
      <c r="C1299" t="inlineStr">
        <is>
          <t>Antes de 2026</t>
        </is>
      </c>
      <c r="D1299" t="inlineStr">
        <is>
          <t>Antes de 2026</t>
        </is>
      </c>
      <c r="E1299" s="28" t="n">
        <v>45717</v>
      </c>
      <c r="F1299" t="inlineStr">
        <is>
          <t>CT-e</t>
        </is>
      </c>
      <c r="G1299" t="inlineStr">
        <is>
          <t>000003778</t>
        </is>
      </c>
      <c r="H1299" t="inlineStr">
        <is>
          <t>R&amp;R TRANSPORTE E LOGISTICA</t>
        </is>
      </c>
      <c r="J1299" s="29" t="n">
        <v>27</v>
      </c>
      <c r="K1299" s="29">
        <f>(1-ISNUMBER(SEARCH("556",M1299)))*(O1299*SUMIFS(Premissas!$C$5:$C$44,Premissas!$A$5:$A$44,$A1299,Premissas!$B$5:$B$44,$B1299)+P1299*SUMIFS(Premissas!$D$5:$D$44,Premissas!$A$5:$A$44,$A1299,Premissas!$B$5:$B$44,$B1299))+R1299*SUMIFS(Premissas!$E$5:$E$44,Premissas!$A$5:$A$44,$A1299,Premissas!$B$5:$B$44,$B1299)+S1299*SUMIFS(Premissas!$F$5:$F$44,Premissas!$A$5:$A$44,$A1299,Premissas!$B$5:$B$44,$B1299)</f>
        <v/>
      </c>
      <c r="L1299" s="29">
        <f>J1299-K1299</f>
        <v/>
      </c>
      <c r="M1299" t="inlineStr">
        <is>
          <t>1.350</t>
        </is>
      </c>
      <c r="N1299" t="inlineStr">
        <is>
          <t>Modalidade: 0 - Por conta do remetente | Parte: F A MEDEIROS DISTRIBUIDORA DE BALAS E EMBALAGENS LTDA (06.923.717/0001-91)</t>
        </is>
      </c>
      <c r="O1299" s="29" t="n">
        <v>0</v>
      </c>
      <c r="P1299" s="29" t="n">
        <v>0</v>
      </c>
      <c r="Q1299" s="29" t="n">
        <v>0</v>
      </c>
      <c r="R1299" s="29" t="n">
        <v>0</v>
      </c>
      <c r="S1299" s="29" t="n">
        <v>0</v>
      </c>
      <c r="T1299" t="inlineStr">
        <is>
          <t>25250326975620000130570010000037781000000003</t>
        </is>
      </c>
      <c r="U1299" t="inlineStr">
        <is>
          <t>Não</t>
        </is>
      </c>
    </row>
    <row r="1300">
      <c r="A1300" t="inlineStr">
        <is>
          <t>Frete de venda</t>
        </is>
      </c>
      <c r="B1300" t="inlineStr">
        <is>
          <t>2.01.01 Frete Galpão Produto Acabado</t>
        </is>
      </c>
      <c r="C1300" t="inlineStr">
        <is>
          <t>Antes de 2026</t>
        </is>
      </c>
      <c r="D1300" t="inlineStr">
        <is>
          <t>Antes de 2026</t>
        </is>
      </c>
      <c r="E1300" s="28" t="n">
        <v>45717</v>
      </c>
      <c r="F1300" t="inlineStr">
        <is>
          <t>CT-e</t>
        </is>
      </c>
      <c r="G1300" t="inlineStr">
        <is>
          <t>000003779</t>
        </is>
      </c>
      <c r="H1300" t="inlineStr">
        <is>
          <t>R&amp;R TRANSPORTE E LOGISTICA</t>
        </is>
      </c>
      <c r="J1300" s="29" t="n">
        <v>52</v>
      </c>
      <c r="K1300" s="29">
        <f>(1-ISNUMBER(SEARCH("556",M1300)))*(O1300*SUMIFS(Premissas!$C$5:$C$44,Premissas!$A$5:$A$44,$A1300,Premissas!$B$5:$B$44,$B1300)+P1300*SUMIFS(Premissas!$D$5:$D$44,Premissas!$A$5:$A$44,$A1300,Premissas!$B$5:$B$44,$B1300))+R1300*SUMIFS(Premissas!$E$5:$E$44,Premissas!$A$5:$A$44,$A1300,Premissas!$B$5:$B$44,$B1300)+S1300*SUMIFS(Premissas!$F$5:$F$44,Premissas!$A$5:$A$44,$A1300,Premissas!$B$5:$B$44,$B1300)</f>
        <v/>
      </c>
      <c r="L1300" s="29">
        <f>J1300-K1300</f>
        <v/>
      </c>
      <c r="M1300" t="inlineStr">
        <is>
          <t>1.350</t>
        </is>
      </c>
      <c r="N1300" t="inlineStr">
        <is>
          <t>Modalidade: 0 - Por conta do remetente | Parte: INDUSTRIAL E COMERCIAL ALMEIDA LTDA (02.623.537/0010-24)</t>
        </is>
      </c>
      <c r="O1300" s="29" t="n">
        <v>0</v>
      </c>
      <c r="P1300" s="29" t="n">
        <v>0</v>
      </c>
      <c r="Q1300" s="29" t="n">
        <v>0</v>
      </c>
      <c r="R1300" s="29" t="n">
        <v>0</v>
      </c>
      <c r="S1300" s="29" t="n">
        <v>0</v>
      </c>
      <c r="T1300" t="inlineStr">
        <is>
          <t>25250326975620000130570010000037791000000000</t>
        </is>
      </c>
      <c r="U1300" t="inlineStr">
        <is>
          <t>Não</t>
        </is>
      </c>
    </row>
    <row r="1301">
      <c r="A1301" t="inlineStr">
        <is>
          <t>Frete de venda</t>
        </is>
      </c>
      <c r="B1301" t="inlineStr">
        <is>
          <t>2.01.01 Frete Galpão Produto Acabado</t>
        </is>
      </c>
      <c r="C1301" t="inlineStr">
        <is>
          <t>Antes de 2026</t>
        </is>
      </c>
      <c r="D1301" t="inlineStr">
        <is>
          <t>Antes de 2026</t>
        </is>
      </c>
      <c r="E1301" s="28" t="n">
        <v>45717</v>
      </c>
      <c r="F1301" t="inlineStr">
        <is>
          <t>CT-e</t>
        </is>
      </c>
      <c r="G1301" t="inlineStr">
        <is>
          <t>000003780</t>
        </is>
      </c>
      <c r="H1301" t="inlineStr">
        <is>
          <t>R&amp;R TRANSPORTE E LOGISTICA</t>
        </is>
      </c>
      <c r="J1301" s="29" t="n">
        <v>19</v>
      </c>
      <c r="K1301" s="29">
        <f>(1-ISNUMBER(SEARCH("556",M1301)))*(O1301*SUMIFS(Premissas!$C$5:$C$44,Premissas!$A$5:$A$44,$A1301,Premissas!$B$5:$B$44,$B1301)+P1301*SUMIFS(Premissas!$D$5:$D$44,Premissas!$A$5:$A$44,$A1301,Premissas!$B$5:$B$44,$B1301))+R1301*SUMIFS(Premissas!$E$5:$E$44,Premissas!$A$5:$A$44,$A1301,Premissas!$B$5:$B$44,$B1301)+S1301*SUMIFS(Premissas!$F$5:$F$44,Premissas!$A$5:$A$44,$A1301,Premissas!$B$5:$B$44,$B1301)</f>
        <v/>
      </c>
      <c r="L1301" s="29">
        <f>J1301-K1301</f>
        <v/>
      </c>
      <c r="M1301" t="inlineStr">
        <is>
          <t>1.350</t>
        </is>
      </c>
      <c r="N1301" t="inlineStr">
        <is>
          <t>Modalidade: 0 - Por conta do remetente | Parte: INDUSTRIAL E COMERCIAL ALMEIDA LTDA (02.623.537/0010-24)</t>
        </is>
      </c>
      <c r="O1301" s="29" t="n">
        <v>0</v>
      </c>
      <c r="P1301" s="29" t="n">
        <v>0</v>
      </c>
      <c r="Q1301" s="29" t="n">
        <v>0</v>
      </c>
      <c r="R1301" s="29" t="n">
        <v>0</v>
      </c>
      <c r="S1301" s="29" t="n">
        <v>0</v>
      </c>
      <c r="T1301" t="inlineStr">
        <is>
          <t>25250326975620000130570010000037801000000001</t>
        </is>
      </c>
      <c r="U1301" t="inlineStr">
        <is>
          <t>Não</t>
        </is>
      </c>
    </row>
    <row r="1302">
      <c r="A1302" t="inlineStr">
        <is>
          <t>Frete de venda</t>
        </is>
      </c>
      <c r="B1302" t="inlineStr">
        <is>
          <t>2.01.01 Frete Galpão Produto Acabado</t>
        </is>
      </c>
      <c r="C1302" t="inlineStr">
        <is>
          <t>Antes de 2026</t>
        </is>
      </c>
      <c r="D1302" t="inlineStr">
        <is>
          <t>Antes de 2026</t>
        </is>
      </c>
      <c r="E1302" s="28" t="n">
        <v>45721</v>
      </c>
      <c r="F1302" t="inlineStr">
        <is>
          <t>CT-e</t>
        </is>
      </c>
      <c r="G1302" t="inlineStr">
        <is>
          <t>000003781</t>
        </is>
      </c>
      <c r="H1302" t="inlineStr">
        <is>
          <t>R&amp;R TRANSPORTE E LOGISTICA</t>
        </is>
      </c>
      <c r="J1302" s="29" t="n">
        <v>51</v>
      </c>
      <c r="K1302" s="29">
        <f>(1-ISNUMBER(SEARCH("556",M1302)))*(O1302*SUMIFS(Premissas!$C$5:$C$44,Premissas!$A$5:$A$44,$A1302,Premissas!$B$5:$B$44,$B1302)+P1302*SUMIFS(Premissas!$D$5:$D$44,Premissas!$A$5:$A$44,$A1302,Premissas!$B$5:$B$44,$B1302))+R1302*SUMIFS(Premissas!$E$5:$E$44,Premissas!$A$5:$A$44,$A1302,Premissas!$B$5:$B$44,$B1302)+S1302*SUMIFS(Premissas!$F$5:$F$44,Premissas!$A$5:$A$44,$A1302,Premissas!$B$5:$B$44,$B1302)</f>
        <v/>
      </c>
      <c r="L1302" s="29">
        <f>J1302-K1302</f>
        <v/>
      </c>
      <c r="M1302" t="inlineStr">
        <is>
          <t>1.350</t>
        </is>
      </c>
      <c r="N1302" t="inlineStr">
        <is>
          <t>Modalidade: 0 - Por conta do remetente | Parte: DISTRIBUIDORA DE DOCES E MERCADO FRIOS FESTA LTDA (17.431.095/0001-09)</t>
        </is>
      </c>
      <c r="O1302" s="29" t="n">
        <v>0</v>
      </c>
      <c r="P1302" s="29" t="n">
        <v>0</v>
      </c>
      <c r="Q1302" s="29" t="n">
        <v>0</v>
      </c>
      <c r="R1302" s="29" t="n">
        <v>0</v>
      </c>
      <c r="S1302" s="29" t="n">
        <v>0</v>
      </c>
      <c r="T1302" t="inlineStr">
        <is>
          <t>25250326975620000130570010000037811000000009</t>
        </is>
      </c>
      <c r="U1302" t="inlineStr">
        <is>
          <t>Não</t>
        </is>
      </c>
    </row>
    <row r="1303">
      <c r="A1303" t="inlineStr">
        <is>
          <t>Frete de venda</t>
        </is>
      </c>
      <c r="B1303" t="inlineStr">
        <is>
          <t>2.01.01 Frete Galpão Produto Acabado</t>
        </is>
      </c>
      <c r="C1303" t="inlineStr">
        <is>
          <t>Antes de 2026</t>
        </is>
      </c>
      <c r="D1303" t="inlineStr">
        <is>
          <t>Antes de 2026</t>
        </is>
      </c>
      <c r="E1303" s="28" t="n">
        <v>45721</v>
      </c>
      <c r="F1303" t="inlineStr">
        <is>
          <t>CT-e</t>
        </is>
      </c>
      <c r="G1303" t="inlineStr">
        <is>
          <t>000003782</t>
        </is>
      </c>
      <c r="H1303" t="inlineStr">
        <is>
          <t>R&amp;R TRANSPORTE E LOGISTICA</t>
        </is>
      </c>
      <c r="J1303" s="29" t="n">
        <v>42</v>
      </c>
      <c r="K1303" s="29">
        <f>(1-ISNUMBER(SEARCH("556",M1303)))*(O1303*SUMIFS(Premissas!$C$5:$C$44,Premissas!$A$5:$A$44,$A1303,Premissas!$B$5:$B$44,$B1303)+P1303*SUMIFS(Premissas!$D$5:$D$44,Premissas!$A$5:$A$44,$A1303,Premissas!$B$5:$B$44,$B1303))+R1303*SUMIFS(Premissas!$E$5:$E$44,Premissas!$A$5:$A$44,$A1303,Premissas!$B$5:$B$44,$B1303)+S1303*SUMIFS(Premissas!$F$5:$F$44,Premissas!$A$5:$A$44,$A1303,Premissas!$B$5:$B$44,$B1303)</f>
        <v/>
      </c>
      <c r="L1303" s="29">
        <f>J1303-K1303</f>
        <v/>
      </c>
      <c r="M1303" t="inlineStr">
        <is>
          <t>1.350</t>
        </is>
      </c>
      <c r="N1303" t="inlineStr">
        <is>
          <t>Modalidade: 0 - Por conta do remetente | Parte: DOCE MEL EMBALAGENS E FESTAS (10.989.624/0001-37)</t>
        </is>
      </c>
      <c r="O1303" s="29" t="n">
        <v>0</v>
      </c>
      <c r="P1303" s="29" t="n">
        <v>0</v>
      </c>
      <c r="Q1303" s="29" t="n">
        <v>0</v>
      </c>
      <c r="R1303" s="29" t="n">
        <v>0</v>
      </c>
      <c r="S1303" s="29" t="n">
        <v>0</v>
      </c>
      <c r="T1303" t="inlineStr">
        <is>
          <t>25250326975620000130570010000037821000000006</t>
        </is>
      </c>
      <c r="U1303" t="inlineStr">
        <is>
          <t>Não</t>
        </is>
      </c>
    </row>
    <row r="1304">
      <c r="A1304" t="inlineStr">
        <is>
          <t>Frete de venda</t>
        </is>
      </c>
      <c r="B1304" t="inlineStr">
        <is>
          <t>2.01.01 Frete Galpão Produto Acabado</t>
        </is>
      </c>
      <c r="C1304" t="inlineStr">
        <is>
          <t>Antes de 2026</t>
        </is>
      </c>
      <c r="D1304" t="inlineStr">
        <is>
          <t>Antes de 2026</t>
        </is>
      </c>
      <c r="E1304" s="28" t="n">
        <v>45721</v>
      </c>
      <c r="F1304" t="inlineStr">
        <is>
          <t>CT-e</t>
        </is>
      </c>
      <c r="G1304" t="inlineStr">
        <is>
          <t>000003783</t>
        </is>
      </c>
      <c r="H1304" t="inlineStr">
        <is>
          <t>R&amp;R TRANSPORTE E LOGISTICA</t>
        </is>
      </c>
      <c r="J1304" s="29" t="n">
        <v>48</v>
      </c>
      <c r="K1304" s="29">
        <f>(1-ISNUMBER(SEARCH("556",M1304)))*(O1304*SUMIFS(Premissas!$C$5:$C$44,Premissas!$A$5:$A$44,$A1304,Premissas!$B$5:$B$44,$B1304)+P1304*SUMIFS(Premissas!$D$5:$D$44,Premissas!$A$5:$A$44,$A1304,Premissas!$B$5:$B$44,$B1304))+R1304*SUMIFS(Premissas!$E$5:$E$44,Premissas!$A$5:$A$44,$A1304,Premissas!$B$5:$B$44,$B1304)+S1304*SUMIFS(Premissas!$F$5:$F$44,Premissas!$A$5:$A$44,$A1304,Premissas!$B$5:$B$44,$B1304)</f>
        <v/>
      </c>
      <c r="L1304" s="29">
        <f>J1304-K1304</f>
        <v/>
      </c>
      <c r="M1304" t="inlineStr">
        <is>
          <t>1.350</t>
        </is>
      </c>
      <c r="N1304" t="inlineStr">
        <is>
          <t>Modalidade: 0 - Por conta do remetente | Parte: ROTA 040 EMBALAGENS LTDA (40.498.051/0001-00)</t>
        </is>
      </c>
      <c r="O1304" s="29" t="n">
        <v>0</v>
      </c>
      <c r="P1304" s="29" t="n">
        <v>0</v>
      </c>
      <c r="Q1304" s="29" t="n">
        <v>0</v>
      </c>
      <c r="R1304" s="29" t="n">
        <v>0</v>
      </c>
      <c r="S1304" s="29" t="n">
        <v>0</v>
      </c>
      <c r="T1304" t="inlineStr">
        <is>
          <t>25250326975620000130570010000037831000000003</t>
        </is>
      </c>
      <c r="U1304" t="inlineStr">
        <is>
          <t>Não</t>
        </is>
      </c>
    </row>
    <row r="1305">
      <c r="A1305" t="inlineStr">
        <is>
          <t>Frete de venda</t>
        </is>
      </c>
      <c r="B1305" t="inlineStr">
        <is>
          <t>2.01.01 Frete Galpão Produto Acabado</t>
        </is>
      </c>
      <c r="C1305" t="inlineStr">
        <is>
          <t>Antes de 2026</t>
        </is>
      </c>
      <c r="D1305" t="inlineStr">
        <is>
          <t>Antes de 2026</t>
        </is>
      </c>
      <c r="E1305" s="28" t="n">
        <v>45721</v>
      </c>
      <c r="F1305" t="inlineStr">
        <is>
          <t>CT-e</t>
        </is>
      </c>
      <c r="G1305" t="inlineStr">
        <is>
          <t>000003784</t>
        </is>
      </c>
      <c r="H1305" t="inlineStr">
        <is>
          <t>R&amp;R TRANSPORTE E LOGISTICA</t>
        </is>
      </c>
      <c r="J1305" s="29" t="n">
        <v>52</v>
      </c>
      <c r="K1305" s="29">
        <f>(1-ISNUMBER(SEARCH("556",M1305)))*(O1305*SUMIFS(Premissas!$C$5:$C$44,Premissas!$A$5:$A$44,$A1305,Premissas!$B$5:$B$44,$B1305)+P1305*SUMIFS(Premissas!$D$5:$D$44,Premissas!$A$5:$A$44,$A1305,Premissas!$B$5:$B$44,$B1305))+R1305*SUMIFS(Premissas!$E$5:$E$44,Premissas!$A$5:$A$44,$A1305,Premissas!$B$5:$B$44,$B1305)+S1305*SUMIFS(Premissas!$F$5:$F$44,Premissas!$A$5:$A$44,$A1305,Premissas!$B$5:$B$44,$B1305)</f>
        <v/>
      </c>
      <c r="L1305" s="29">
        <f>J1305-K1305</f>
        <v/>
      </c>
      <c r="M1305" t="inlineStr">
        <is>
          <t>1.350</t>
        </is>
      </c>
      <c r="N1305" t="inlineStr">
        <is>
          <t>Modalidade: 0 - Por conta do remetente | Parte: M C PACHECO (17.808.645/0001-58)</t>
        </is>
      </c>
      <c r="O1305" s="29" t="n">
        <v>0</v>
      </c>
      <c r="P1305" s="29" t="n">
        <v>0</v>
      </c>
      <c r="Q1305" s="29" t="n">
        <v>0</v>
      </c>
      <c r="R1305" s="29" t="n">
        <v>0</v>
      </c>
      <c r="S1305" s="29" t="n">
        <v>0</v>
      </c>
      <c r="T1305" t="inlineStr">
        <is>
          <t>25250326975620000130570010000037841000000000</t>
        </is>
      </c>
      <c r="U1305" t="inlineStr">
        <is>
          <t>Não</t>
        </is>
      </c>
    </row>
    <row r="1306">
      <c r="A1306" t="inlineStr">
        <is>
          <t>Frete de venda</t>
        </is>
      </c>
      <c r="B1306" t="inlineStr">
        <is>
          <t>2.01.01 Frete Galpão Produto Acabado</t>
        </is>
      </c>
      <c r="C1306" t="inlineStr">
        <is>
          <t>Antes de 2026</t>
        </is>
      </c>
      <c r="D1306" t="inlineStr">
        <is>
          <t>Antes de 2026</t>
        </is>
      </c>
      <c r="E1306" s="28" t="n">
        <v>45721</v>
      </c>
      <c r="F1306" t="inlineStr">
        <is>
          <t>CT-e</t>
        </is>
      </c>
      <c r="G1306" t="inlineStr">
        <is>
          <t>000003785</t>
        </is>
      </c>
      <c r="H1306" t="inlineStr">
        <is>
          <t>R&amp;R TRANSPORTE E LOGISTICA</t>
        </is>
      </c>
      <c r="J1306" s="29" t="n">
        <v>43</v>
      </c>
      <c r="K1306" s="29">
        <f>(1-ISNUMBER(SEARCH("556",M1306)))*(O1306*SUMIFS(Premissas!$C$5:$C$44,Premissas!$A$5:$A$44,$A1306,Premissas!$B$5:$B$44,$B1306)+P1306*SUMIFS(Premissas!$D$5:$D$44,Premissas!$A$5:$A$44,$A1306,Premissas!$B$5:$B$44,$B1306))+R1306*SUMIFS(Premissas!$E$5:$E$44,Premissas!$A$5:$A$44,$A1306,Premissas!$B$5:$B$44,$B1306)+S1306*SUMIFS(Premissas!$F$5:$F$44,Premissas!$A$5:$A$44,$A1306,Premissas!$B$5:$B$44,$B1306)</f>
        <v/>
      </c>
      <c r="L1306" s="29">
        <f>J1306-K1306</f>
        <v/>
      </c>
      <c r="M1306" t="inlineStr">
        <is>
          <t>1.350</t>
        </is>
      </c>
      <c r="N1306" t="inlineStr">
        <is>
          <t>Modalidade: 0 - Por conta do remetente | Parte: MARTINS e REIS LTDA (05.397.481/0001-34)</t>
        </is>
      </c>
      <c r="O1306" s="29" t="n">
        <v>0</v>
      </c>
      <c r="P1306" s="29" t="n">
        <v>0</v>
      </c>
      <c r="Q1306" s="29" t="n">
        <v>0</v>
      </c>
      <c r="R1306" s="29" t="n">
        <v>0</v>
      </c>
      <c r="S1306" s="29" t="n">
        <v>0</v>
      </c>
      <c r="T1306" t="inlineStr">
        <is>
          <t>25250326975620000130570010000037851000000008</t>
        </is>
      </c>
      <c r="U1306" t="inlineStr">
        <is>
          <t>Não</t>
        </is>
      </c>
    </row>
    <row r="1307">
      <c r="A1307" t="inlineStr">
        <is>
          <t>Frete de venda</t>
        </is>
      </c>
      <c r="B1307" t="inlineStr">
        <is>
          <t>2.01.01 Frete Galpão Produto Acabado</t>
        </is>
      </c>
      <c r="C1307" t="inlineStr">
        <is>
          <t>Antes de 2026</t>
        </is>
      </c>
      <c r="D1307" t="inlineStr">
        <is>
          <t>Antes de 2026</t>
        </is>
      </c>
      <c r="E1307" s="28" t="n">
        <v>45721</v>
      </c>
      <c r="F1307" t="inlineStr">
        <is>
          <t>CT-e</t>
        </is>
      </c>
      <c r="G1307" t="inlineStr">
        <is>
          <t>000003786</t>
        </is>
      </c>
      <c r="H1307" t="inlineStr">
        <is>
          <t>R&amp;R TRANSPORTE E LOGISTICA</t>
        </is>
      </c>
      <c r="J1307" s="29" t="n">
        <v>44</v>
      </c>
      <c r="K1307" s="29">
        <f>(1-ISNUMBER(SEARCH("556",M1307)))*(O1307*SUMIFS(Premissas!$C$5:$C$44,Premissas!$A$5:$A$44,$A1307,Premissas!$B$5:$B$44,$B1307)+P1307*SUMIFS(Premissas!$D$5:$D$44,Premissas!$A$5:$A$44,$A1307,Premissas!$B$5:$B$44,$B1307))+R1307*SUMIFS(Premissas!$E$5:$E$44,Premissas!$A$5:$A$44,$A1307,Premissas!$B$5:$B$44,$B1307)+S1307*SUMIFS(Premissas!$F$5:$F$44,Premissas!$A$5:$A$44,$A1307,Premissas!$B$5:$B$44,$B1307)</f>
        <v/>
      </c>
      <c r="L1307" s="29">
        <f>J1307-K1307</f>
        <v/>
      </c>
      <c r="M1307" t="inlineStr">
        <is>
          <t>1.350</t>
        </is>
      </c>
      <c r="N1307" t="inlineStr">
        <is>
          <t>Modalidade: 0 - Por conta do remetente | Parte: COMERCIAL DE DOCES E BEBIDAS KALAHARI LTDA (72.651.524/0001-53)</t>
        </is>
      </c>
      <c r="O1307" s="29" t="n">
        <v>0</v>
      </c>
      <c r="P1307" s="29" t="n">
        <v>0</v>
      </c>
      <c r="Q1307" s="29" t="n">
        <v>0</v>
      </c>
      <c r="R1307" s="29" t="n">
        <v>0</v>
      </c>
      <c r="S1307" s="29" t="n">
        <v>0</v>
      </c>
      <c r="T1307" t="inlineStr">
        <is>
          <t>25250326975620000130570010000037861000000005</t>
        </is>
      </c>
      <c r="U1307" t="inlineStr">
        <is>
          <t>Não</t>
        </is>
      </c>
    </row>
    <row r="1308">
      <c r="A1308" t="inlineStr">
        <is>
          <t>Frete de venda</t>
        </is>
      </c>
      <c r="B1308" t="inlineStr">
        <is>
          <t>2.01.01 Frete Galpão Produto Acabado</t>
        </is>
      </c>
      <c r="C1308" t="inlineStr">
        <is>
          <t>Antes de 2026</t>
        </is>
      </c>
      <c r="D1308" t="inlineStr">
        <is>
          <t>Antes de 2026</t>
        </is>
      </c>
      <c r="E1308" s="28" t="n">
        <v>45722</v>
      </c>
      <c r="F1308" t="inlineStr">
        <is>
          <t>CT-e</t>
        </is>
      </c>
      <c r="G1308" t="inlineStr">
        <is>
          <t>000003796</t>
        </is>
      </c>
      <c r="H1308" t="inlineStr">
        <is>
          <t>R&amp;R TRANSPORTE E LOGISTICA</t>
        </is>
      </c>
      <c r="J1308" s="29" t="n">
        <v>1000</v>
      </c>
      <c r="K1308" s="29">
        <f>(1-ISNUMBER(SEARCH("556",M1308)))*(O1308*SUMIFS(Premissas!$C$5:$C$44,Premissas!$A$5:$A$44,$A1308,Premissas!$B$5:$B$44,$B1308)+P1308*SUMIFS(Premissas!$D$5:$D$44,Premissas!$A$5:$A$44,$A1308,Premissas!$B$5:$B$44,$B1308))+R1308*SUMIFS(Premissas!$E$5:$E$44,Premissas!$A$5:$A$44,$A1308,Premissas!$B$5:$B$44,$B1308)+S1308*SUMIFS(Premissas!$F$5:$F$44,Premissas!$A$5:$A$44,$A1308,Premissas!$B$5:$B$44,$B1308)</f>
        <v/>
      </c>
      <c r="L1308" s="29">
        <f>J1308-K1308</f>
        <v/>
      </c>
      <c r="M1308" t="inlineStr">
        <is>
          <t>1.350</t>
        </is>
      </c>
      <c r="N1308" t="inlineStr">
        <is>
          <t>Modalidade: 0 - Por conta do remetente | Parte: STAMP DISTRIBUIDORA DE EMBALAGENS DE PAPEL E DESCARTAVEI... (48.984.362/0001-90)</t>
        </is>
      </c>
      <c r="O1308" s="29" t="n">
        <v>0</v>
      </c>
      <c r="P1308" s="29" t="n">
        <v>0</v>
      </c>
      <c r="Q1308" s="29" t="n">
        <v>0</v>
      </c>
      <c r="R1308" s="29" t="n">
        <v>0</v>
      </c>
      <c r="S1308" s="29" t="n">
        <v>0</v>
      </c>
      <c r="T1308" t="inlineStr">
        <is>
          <t>25250326975620000130570010000037961000000001</t>
        </is>
      </c>
      <c r="U1308" t="inlineStr">
        <is>
          <t>Não</t>
        </is>
      </c>
    </row>
    <row r="1309">
      <c r="A1309" t="inlineStr">
        <is>
          <t>Frete de venda</t>
        </is>
      </c>
      <c r="B1309" t="inlineStr">
        <is>
          <t>2.01.01 Frete Galpão Produto Acabado</t>
        </is>
      </c>
      <c r="C1309" t="inlineStr">
        <is>
          <t>Antes de 2026</t>
        </is>
      </c>
      <c r="D1309" t="inlineStr">
        <is>
          <t>Antes de 2026</t>
        </is>
      </c>
      <c r="E1309" s="28" t="n">
        <v>45721</v>
      </c>
      <c r="F1309" t="inlineStr">
        <is>
          <t>CT-e</t>
        </is>
      </c>
      <c r="G1309" t="inlineStr">
        <is>
          <t>000003797</t>
        </is>
      </c>
      <c r="H1309" t="inlineStr">
        <is>
          <t>R&amp;R TRANSPORTE E LOGISTICA</t>
        </is>
      </c>
      <c r="J1309" s="29" t="n">
        <v>1000</v>
      </c>
      <c r="K1309" s="29">
        <f>(1-ISNUMBER(SEARCH("556",M1309)))*(O1309*SUMIFS(Premissas!$C$5:$C$44,Premissas!$A$5:$A$44,$A1309,Premissas!$B$5:$B$44,$B1309)+P1309*SUMIFS(Premissas!$D$5:$D$44,Premissas!$A$5:$A$44,$A1309,Premissas!$B$5:$B$44,$B1309))+R1309*SUMIFS(Premissas!$E$5:$E$44,Premissas!$A$5:$A$44,$A1309,Premissas!$B$5:$B$44,$B1309)+S1309*SUMIFS(Premissas!$F$5:$F$44,Premissas!$A$5:$A$44,$A1309,Premissas!$B$5:$B$44,$B1309)</f>
        <v/>
      </c>
      <c r="L1309" s="29">
        <f>J1309-K1309</f>
        <v/>
      </c>
      <c r="M1309" t="inlineStr">
        <is>
          <t>1.350</t>
        </is>
      </c>
      <c r="N1309" t="inlineStr">
        <is>
          <t>Modalidade: 0 - Por conta do remetente | Parte: AMORIM e CIA LTDA. (08.291.637/0003-58)</t>
        </is>
      </c>
      <c r="O1309" s="29" t="n">
        <v>0</v>
      </c>
      <c r="P1309" s="29" t="n">
        <v>0</v>
      </c>
      <c r="Q1309" s="29" t="n">
        <v>0</v>
      </c>
      <c r="R1309" s="29" t="n">
        <v>0</v>
      </c>
      <c r="S1309" s="29" t="n">
        <v>0</v>
      </c>
      <c r="T1309" t="inlineStr">
        <is>
          <t>25250326975620000130570010000037971000000009</t>
        </is>
      </c>
      <c r="U1309" t="inlineStr">
        <is>
          <t>Não</t>
        </is>
      </c>
    </row>
    <row r="1310">
      <c r="A1310" t="inlineStr">
        <is>
          <t>Frete de venda</t>
        </is>
      </c>
      <c r="B1310" t="inlineStr">
        <is>
          <t>2.01.01 Frete Galpão Produto Acabado</t>
        </is>
      </c>
      <c r="C1310" t="inlineStr">
        <is>
          <t>Antes de 2026</t>
        </is>
      </c>
      <c r="D1310" t="inlineStr">
        <is>
          <t>Antes de 2026</t>
        </is>
      </c>
      <c r="E1310" s="28" t="n">
        <v>45723</v>
      </c>
      <c r="F1310" t="inlineStr">
        <is>
          <t>CT-e</t>
        </is>
      </c>
      <c r="G1310" t="inlineStr">
        <is>
          <t>000003802</t>
        </is>
      </c>
      <c r="H1310" t="inlineStr">
        <is>
          <t>R&amp;R TRANSPORTE E LOGISTICA</t>
        </is>
      </c>
      <c r="J1310" s="29" t="n">
        <v>671.24</v>
      </c>
      <c r="K1310" s="29">
        <f>(1-ISNUMBER(SEARCH("556",M1310)))*(O1310*SUMIFS(Premissas!$C$5:$C$44,Premissas!$A$5:$A$44,$A1310,Premissas!$B$5:$B$44,$B1310)+P1310*SUMIFS(Premissas!$D$5:$D$44,Premissas!$A$5:$A$44,$A1310,Premissas!$B$5:$B$44,$B1310))+R1310*SUMIFS(Premissas!$E$5:$E$44,Premissas!$A$5:$A$44,$A1310,Premissas!$B$5:$B$44,$B1310)+S1310*SUMIFS(Premissas!$F$5:$F$44,Premissas!$A$5:$A$44,$A1310,Premissas!$B$5:$B$44,$B1310)</f>
        <v/>
      </c>
      <c r="L1310" s="29">
        <f>J1310-K1310</f>
        <v/>
      </c>
      <c r="M1310" t="inlineStr">
        <is>
          <t>1.350</t>
        </is>
      </c>
      <c r="N1310" t="inlineStr">
        <is>
          <t>Modalidade: 0 - Por conta do remetente | Parte: VINCO DISTRIBUIDORA DE EMBALAGENS LTDA (55.333.385/0001-09)</t>
        </is>
      </c>
      <c r="O1310" s="29" t="n">
        <v>0</v>
      </c>
      <c r="P1310" s="29" t="n">
        <v>0</v>
      </c>
      <c r="Q1310" s="29" t="n">
        <v>0</v>
      </c>
      <c r="R1310" s="29" t="n">
        <v>0</v>
      </c>
      <c r="S1310" s="29" t="n">
        <v>0</v>
      </c>
      <c r="T1310" t="inlineStr">
        <is>
          <t>25250326975620000130570010000038021000000000</t>
        </is>
      </c>
      <c r="U1310" t="inlineStr">
        <is>
          <t>Não</t>
        </is>
      </c>
    </row>
    <row r="1311">
      <c r="A1311" t="inlineStr">
        <is>
          <t>Frete de venda</t>
        </is>
      </c>
      <c r="B1311" t="inlineStr">
        <is>
          <t>2.01.01 Frete Galpão Produto Acabado</t>
        </is>
      </c>
      <c r="C1311" t="inlineStr">
        <is>
          <t>Antes de 2026</t>
        </is>
      </c>
      <c r="D1311" t="inlineStr">
        <is>
          <t>Antes de 2026</t>
        </is>
      </c>
      <c r="E1311" s="28" t="n">
        <v>45723</v>
      </c>
      <c r="F1311" t="inlineStr">
        <is>
          <t>CT-e</t>
        </is>
      </c>
      <c r="G1311" t="inlineStr">
        <is>
          <t>000003803</t>
        </is>
      </c>
      <c r="H1311" t="inlineStr">
        <is>
          <t>R&amp;R TRANSPORTE E LOGISTICA</t>
        </is>
      </c>
      <c r="J1311" s="29" t="n">
        <v>190.38</v>
      </c>
      <c r="K1311" s="29">
        <f>(1-ISNUMBER(SEARCH("556",M1311)))*(O1311*SUMIFS(Premissas!$C$5:$C$44,Premissas!$A$5:$A$44,$A1311,Premissas!$B$5:$B$44,$B1311)+P1311*SUMIFS(Premissas!$D$5:$D$44,Premissas!$A$5:$A$44,$A1311,Premissas!$B$5:$B$44,$B1311))+R1311*SUMIFS(Premissas!$E$5:$E$44,Premissas!$A$5:$A$44,$A1311,Premissas!$B$5:$B$44,$B1311)+S1311*SUMIFS(Premissas!$F$5:$F$44,Premissas!$A$5:$A$44,$A1311,Premissas!$B$5:$B$44,$B1311)</f>
        <v/>
      </c>
      <c r="L1311" s="29">
        <f>J1311-K1311</f>
        <v/>
      </c>
      <c r="M1311" t="inlineStr">
        <is>
          <t>1.350</t>
        </is>
      </c>
      <c r="N1311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311" s="29" t="n">
        <v>0</v>
      </c>
      <c r="P1311" s="29" t="n">
        <v>0</v>
      </c>
      <c r="Q1311" s="29" t="n">
        <v>0</v>
      </c>
      <c r="R1311" s="29" t="n">
        <v>0</v>
      </c>
      <c r="S1311" s="29" t="n">
        <v>0</v>
      </c>
      <c r="T1311" t="inlineStr">
        <is>
          <t>25250326975620000130570010000038031000000008</t>
        </is>
      </c>
      <c r="U1311" t="inlineStr">
        <is>
          <t>Não</t>
        </is>
      </c>
    </row>
    <row r="1312">
      <c r="A1312" t="inlineStr">
        <is>
          <t>Frete de venda</t>
        </is>
      </c>
      <c r="B1312" t="inlineStr">
        <is>
          <t>2.01.01 Frete Galpão Produto Acabado</t>
        </is>
      </c>
      <c r="C1312" t="inlineStr">
        <is>
          <t>Antes de 2026</t>
        </is>
      </c>
      <c r="D1312" t="inlineStr">
        <is>
          <t>Antes de 2026</t>
        </is>
      </c>
      <c r="E1312" s="28" t="n">
        <v>45724</v>
      </c>
      <c r="F1312" t="inlineStr">
        <is>
          <t>CT-e</t>
        </is>
      </c>
      <c r="G1312" t="inlineStr">
        <is>
          <t>000003805</t>
        </is>
      </c>
      <c r="H1312" t="inlineStr">
        <is>
          <t>R&amp;R TRANSPORTE E LOGISTICA</t>
        </is>
      </c>
      <c r="J1312" s="29" t="n">
        <v>100</v>
      </c>
      <c r="K1312" s="29">
        <f>(1-ISNUMBER(SEARCH("556",M1312)))*(O1312*SUMIFS(Premissas!$C$5:$C$44,Premissas!$A$5:$A$44,$A1312,Premissas!$B$5:$B$44,$B1312)+P1312*SUMIFS(Premissas!$D$5:$D$44,Premissas!$A$5:$A$44,$A1312,Premissas!$B$5:$B$44,$B1312))+R1312*SUMIFS(Premissas!$E$5:$E$44,Premissas!$A$5:$A$44,$A1312,Premissas!$B$5:$B$44,$B1312)+S1312*SUMIFS(Premissas!$F$5:$F$44,Premissas!$A$5:$A$44,$A1312,Premissas!$B$5:$B$44,$B1312)</f>
        <v/>
      </c>
      <c r="L1312" s="29">
        <f>J1312-K1312</f>
        <v/>
      </c>
      <c r="M1312" t="inlineStr">
        <is>
          <t>1.350</t>
        </is>
      </c>
      <c r="N1312" t="inlineStr">
        <is>
          <t>Modalidade: 0 - Por conta do remetente | Parte: VINCO DISTRIBUIDORA DE EMBALAGENS LTDA (55.333.385/0001-09)</t>
        </is>
      </c>
      <c r="O1312" s="29" t="n">
        <v>0</v>
      </c>
      <c r="P1312" s="29" t="n">
        <v>0</v>
      </c>
      <c r="Q1312" s="29" t="n">
        <v>0</v>
      </c>
      <c r="R1312" s="29" t="n">
        <v>0</v>
      </c>
      <c r="S1312" s="29" t="n">
        <v>0</v>
      </c>
      <c r="T1312" t="inlineStr">
        <is>
          <t>25250326975620000130570010000038051000000002</t>
        </is>
      </c>
      <c r="U1312" t="inlineStr">
        <is>
          <t>Não</t>
        </is>
      </c>
    </row>
    <row r="1313">
      <c r="A1313" t="inlineStr">
        <is>
          <t>Frete de venda</t>
        </is>
      </c>
      <c r="B1313" t="inlineStr">
        <is>
          <t>2.01.01 Frete Galpão Produto Acabado</t>
        </is>
      </c>
      <c r="C1313" t="inlineStr">
        <is>
          <t>Antes de 2026</t>
        </is>
      </c>
      <c r="D1313" t="inlineStr">
        <is>
          <t>Antes de 2026</t>
        </is>
      </c>
      <c r="E1313" s="28" t="n">
        <v>45730</v>
      </c>
      <c r="F1313" t="inlineStr">
        <is>
          <t>CT-e</t>
        </is>
      </c>
      <c r="G1313" t="inlineStr">
        <is>
          <t>000003823</t>
        </is>
      </c>
      <c r="H1313" t="inlineStr">
        <is>
          <t>R&amp;R TRANSPORTE E LOGISTICA</t>
        </is>
      </c>
      <c r="J1313" s="29" t="n">
        <v>269.83</v>
      </c>
      <c r="K1313" s="29">
        <f>(1-ISNUMBER(SEARCH("556",M1313)))*(O1313*SUMIFS(Premissas!$C$5:$C$44,Premissas!$A$5:$A$44,$A1313,Premissas!$B$5:$B$44,$B1313)+P1313*SUMIFS(Premissas!$D$5:$D$44,Premissas!$A$5:$A$44,$A1313,Premissas!$B$5:$B$44,$B1313))+R1313*SUMIFS(Premissas!$E$5:$E$44,Premissas!$A$5:$A$44,$A1313,Premissas!$B$5:$B$44,$B1313)+S1313*SUMIFS(Premissas!$F$5:$F$44,Premissas!$A$5:$A$44,$A1313,Premissas!$B$5:$B$44,$B1313)</f>
        <v/>
      </c>
      <c r="L1313" s="29">
        <f>J1313-K1313</f>
        <v/>
      </c>
      <c r="M1313" t="inlineStr">
        <is>
          <t>1.350</t>
        </is>
      </c>
      <c r="N1313" t="inlineStr">
        <is>
          <t>Modalidade: 0 - Por conta do remetente | Parte: EMBALAGENS RAYA COMERCIO E DISTRIBUICAO LTDA (42.748.520/0001-27)</t>
        </is>
      </c>
      <c r="O1313" s="29" t="n">
        <v>0</v>
      </c>
      <c r="P1313" s="29" t="n">
        <v>0</v>
      </c>
      <c r="Q1313" s="29" t="n">
        <v>0</v>
      </c>
      <c r="R1313" s="29" t="n">
        <v>0</v>
      </c>
      <c r="S1313" s="29" t="n">
        <v>0</v>
      </c>
      <c r="T1313" t="inlineStr">
        <is>
          <t>25250326975620000130570010000038231000000000</t>
        </is>
      </c>
      <c r="U1313" t="inlineStr">
        <is>
          <t>Não</t>
        </is>
      </c>
    </row>
    <row r="1314">
      <c r="A1314" t="inlineStr">
        <is>
          <t>Frete de venda</t>
        </is>
      </c>
      <c r="B1314" t="inlineStr">
        <is>
          <t>2.01.01 Frete Galpão Produto Acabado</t>
        </is>
      </c>
      <c r="C1314" t="inlineStr">
        <is>
          <t>Antes de 2026</t>
        </is>
      </c>
      <c r="D1314" t="inlineStr">
        <is>
          <t>Antes de 2026</t>
        </is>
      </c>
      <c r="E1314" s="28" t="n">
        <v>45730</v>
      </c>
      <c r="F1314" t="inlineStr">
        <is>
          <t>CT-e</t>
        </is>
      </c>
      <c r="G1314" t="inlineStr">
        <is>
          <t>000003824</t>
        </is>
      </c>
      <c r="H1314" t="inlineStr">
        <is>
          <t>R&amp;R TRANSPORTE E LOGISTICA</t>
        </is>
      </c>
      <c r="J1314" s="29" t="n">
        <v>105.8</v>
      </c>
      <c r="K1314" s="29">
        <f>(1-ISNUMBER(SEARCH("556",M1314)))*(O1314*SUMIFS(Premissas!$C$5:$C$44,Premissas!$A$5:$A$44,$A1314,Premissas!$B$5:$B$44,$B1314)+P1314*SUMIFS(Premissas!$D$5:$D$44,Premissas!$A$5:$A$44,$A1314,Premissas!$B$5:$B$44,$B1314))+R1314*SUMIFS(Premissas!$E$5:$E$44,Premissas!$A$5:$A$44,$A1314,Premissas!$B$5:$B$44,$B1314)+S1314*SUMIFS(Premissas!$F$5:$F$44,Premissas!$A$5:$A$44,$A1314,Premissas!$B$5:$B$44,$B1314)</f>
        <v/>
      </c>
      <c r="L1314" s="29">
        <f>J1314-K1314</f>
        <v/>
      </c>
      <c r="M1314" t="inlineStr">
        <is>
          <t>1.350</t>
        </is>
      </c>
      <c r="N1314" t="inlineStr">
        <is>
          <t>Modalidade: 0 - Por conta do remetente | Parte: TAIS DA ROCHA FARIA LTDA (30.778.066/0001-78)</t>
        </is>
      </c>
      <c r="O1314" s="29" t="n">
        <v>0</v>
      </c>
      <c r="P1314" s="29" t="n">
        <v>0</v>
      </c>
      <c r="Q1314" s="29" t="n">
        <v>0</v>
      </c>
      <c r="R1314" s="29" t="n">
        <v>0</v>
      </c>
      <c r="S1314" s="29" t="n">
        <v>0</v>
      </c>
      <c r="T1314" t="inlineStr">
        <is>
          <t>25250326975620000130570010000038241000000008</t>
        </is>
      </c>
      <c r="U1314" t="inlineStr">
        <is>
          <t>Não</t>
        </is>
      </c>
    </row>
    <row r="1315">
      <c r="A1315" t="inlineStr">
        <is>
          <t>Frete de venda</t>
        </is>
      </c>
      <c r="B1315" t="inlineStr">
        <is>
          <t>2.01.01 Frete Galpão Produto Acabado</t>
        </is>
      </c>
      <c r="C1315" t="inlineStr">
        <is>
          <t>Antes de 2026</t>
        </is>
      </c>
      <c r="D1315" t="inlineStr">
        <is>
          <t>Antes de 2026</t>
        </is>
      </c>
      <c r="E1315" s="28" t="n">
        <v>45730</v>
      </c>
      <c r="F1315" t="inlineStr">
        <is>
          <t>CT-e</t>
        </is>
      </c>
      <c r="G1315" t="inlineStr">
        <is>
          <t>000003827</t>
        </is>
      </c>
      <c r="H1315" t="inlineStr">
        <is>
          <t>R&amp;R TRANSPORTE E LOGISTICA</t>
        </is>
      </c>
      <c r="J1315" s="29" t="n">
        <v>38.32</v>
      </c>
      <c r="K1315" s="29">
        <f>(1-ISNUMBER(SEARCH("556",M1315)))*(O1315*SUMIFS(Premissas!$C$5:$C$44,Premissas!$A$5:$A$44,$A1315,Premissas!$B$5:$B$44,$B1315)+P1315*SUMIFS(Premissas!$D$5:$D$44,Premissas!$A$5:$A$44,$A1315,Premissas!$B$5:$B$44,$B1315))+R1315*SUMIFS(Premissas!$E$5:$E$44,Premissas!$A$5:$A$44,$A1315,Premissas!$B$5:$B$44,$B1315)+S1315*SUMIFS(Premissas!$F$5:$F$44,Premissas!$A$5:$A$44,$A1315,Premissas!$B$5:$B$44,$B1315)</f>
        <v/>
      </c>
      <c r="L1315" s="29">
        <f>J1315-K1315</f>
        <v/>
      </c>
      <c r="M1315" t="inlineStr">
        <is>
          <t>1.350</t>
        </is>
      </c>
      <c r="N1315" t="inlineStr">
        <is>
          <t>Modalidade: 0 - Por conta do remetente | Parte: VIDEIRA COMERCIO DESCARTAVEIS LTDA (12.079.452/0001-90)</t>
        </is>
      </c>
      <c r="O1315" s="29" t="n">
        <v>0</v>
      </c>
      <c r="P1315" s="29" t="n">
        <v>0</v>
      </c>
      <c r="Q1315" s="29" t="n">
        <v>0</v>
      </c>
      <c r="R1315" s="29" t="n">
        <v>0</v>
      </c>
      <c r="S1315" s="29" t="n">
        <v>0</v>
      </c>
      <c r="T1315" t="inlineStr">
        <is>
          <t>25250326975620000130570010000038271000000000</t>
        </is>
      </c>
      <c r="U1315" t="inlineStr">
        <is>
          <t>Não</t>
        </is>
      </c>
    </row>
    <row r="1316">
      <c r="A1316" t="inlineStr">
        <is>
          <t>Frete de venda</t>
        </is>
      </c>
      <c r="B1316" t="inlineStr">
        <is>
          <t>2.01.01 Frete Galpão Produto Acabado</t>
        </is>
      </c>
      <c r="C1316" t="inlineStr">
        <is>
          <t>Antes de 2026</t>
        </is>
      </c>
      <c r="D1316" t="inlineStr">
        <is>
          <t>Antes de 2026</t>
        </is>
      </c>
      <c r="E1316" s="28" t="n">
        <v>45730</v>
      </c>
      <c r="F1316" t="inlineStr">
        <is>
          <t>CT-e</t>
        </is>
      </c>
      <c r="G1316" t="inlineStr">
        <is>
          <t>000003828</t>
        </is>
      </c>
      <c r="H1316" t="inlineStr">
        <is>
          <t>R&amp;R TRANSPORTE E LOGISTICA</t>
        </is>
      </c>
      <c r="J1316" s="29" t="n">
        <v>39.25</v>
      </c>
      <c r="K1316" s="29">
        <f>(1-ISNUMBER(SEARCH("556",M1316)))*(O1316*SUMIFS(Premissas!$C$5:$C$44,Premissas!$A$5:$A$44,$A1316,Premissas!$B$5:$B$44,$B1316)+P1316*SUMIFS(Premissas!$D$5:$D$44,Premissas!$A$5:$A$44,$A1316,Premissas!$B$5:$B$44,$B1316))+R1316*SUMIFS(Premissas!$E$5:$E$44,Premissas!$A$5:$A$44,$A1316,Premissas!$B$5:$B$44,$B1316)+S1316*SUMIFS(Premissas!$F$5:$F$44,Premissas!$A$5:$A$44,$A1316,Premissas!$B$5:$B$44,$B1316)</f>
        <v/>
      </c>
      <c r="L1316" s="29">
        <f>J1316-K1316</f>
        <v/>
      </c>
      <c r="M1316" t="inlineStr">
        <is>
          <t>1.350</t>
        </is>
      </c>
      <c r="N1316" t="inlineStr">
        <is>
          <t>Modalidade: 0 - Por conta do remetente | Parte: FACILITA EMBALAGENS E DESCARTAVEIS LTDA (51.588.750/0001-67)</t>
        </is>
      </c>
      <c r="O1316" s="29" t="n">
        <v>0</v>
      </c>
      <c r="P1316" s="29" t="n">
        <v>0</v>
      </c>
      <c r="Q1316" s="29" t="n">
        <v>0</v>
      </c>
      <c r="R1316" s="29" t="n">
        <v>0</v>
      </c>
      <c r="S1316" s="29" t="n">
        <v>0</v>
      </c>
      <c r="T1316" t="inlineStr">
        <is>
          <t>25250326975620000130570010000038281000000007</t>
        </is>
      </c>
      <c r="U1316" t="inlineStr">
        <is>
          <t>Não</t>
        </is>
      </c>
    </row>
    <row r="1317">
      <c r="A1317" t="inlineStr">
        <is>
          <t>Frete de venda</t>
        </is>
      </c>
      <c r="B1317" t="inlineStr">
        <is>
          <t>2.01.01 Frete Galpão Produto Acabado</t>
        </is>
      </c>
      <c r="C1317" t="inlineStr">
        <is>
          <t>Antes de 2026</t>
        </is>
      </c>
      <c r="D1317" t="inlineStr">
        <is>
          <t>Antes de 2026</t>
        </is>
      </c>
      <c r="E1317" s="28" t="n">
        <v>45730</v>
      </c>
      <c r="F1317" t="inlineStr">
        <is>
          <t>CT-e</t>
        </is>
      </c>
      <c r="G1317" t="inlineStr">
        <is>
          <t>000003829</t>
        </is>
      </c>
      <c r="H1317" t="inlineStr">
        <is>
          <t>R&amp;R TRANSPORTE E LOGISTICA</t>
        </is>
      </c>
      <c r="J1317" s="29" t="n">
        <v>75.53</v>
      </c>
      <c r="K1317" s="29">
        <f>(1-ISNUMBER(SEARCH("556",M1317)))*(O1317*SUMIFS(Premissas!$C$5:$C$44,Premissas!$A$5:$A$44,$A1317,Premissas!$B$5:$B$44,$B1317)+P1317*SUMIFS(Premissas!$D$5:$D$44,Premissas!$A$5:$A$44,$A1317,Premissas!$B$5:$B$44,$B1317))+R1317*SUMIFS(Premissas!$E$5:$E$44,Premissas!$A$5:$A$44,$A1317,Premissas!$B$5:$B$44,$B1317)+S1317*SUMIFS(Premissas!$F$5:$F$44,Premissas!$A$5:$A$44,$A1317,Premissas!$B$5:$B$44,$B1317)</f>
        <v/>
      </c>
      <c r="L1317" s="29">
        <f>J1317-K1317</f>
        <v/>
      </c>
      <c r="M1317" t="inlineStr">
        <is>
          <t>1.350</t>
        </is>
      </c>
      <c r="N1317" t="inlineStr">
        <is>
          <t>Modalidade: 0 - Por conta do remetente | Parte: LIPACK COMERCIO DE EMBALAGENS LTDA (25.229.896/0001-06)</t>
        </is>
      </c>
      <c r="O1317" s="29" t="n">
        <v>0</v>
      </c>
      <c r="P1317" s="29" t="n">
        <v>0</v>
      </c>
      <c r="Q1317" s="29" t="n">
        <v>0</v>
      </c>
      <c r="R1317" s="29" t="n">
        <v>0</v>
      </c>
      <c r="S1317" s="29" t="n">
        <v>0</v>
      </c>
      <c r="T1317" t="inlineStr">
        <is>
          <t>25250326975620000130570010000038291000000004</t>
        </is>
      </c>
      <c r="U1317" t="inlineStr">
        <is>
          <t>Não</t>
        </is>
      </c>
    </row>
    <row r="1318">
      <c r="A1318" t="inlineStr">
        <is>
          <t>Frete de venda</t>
        </is>
      </c>
      <c r="B1318" t="inlineStr">
        <is>
          <t>2.01.01 Frete Galpão Produto Acabado</t>
        </is>
      </c>
      <c r="C1318" t="inlineStr">
        <is>
          <t>Antes de 2026</t>
        </is>
      </c>
      <c r="D1318" t="inlineStr">
        <is>
          <t>Antes de 2026</t>
        </is>
      </c>
      <c r="E1318" s="28" t="n">
        <v>45730</v>
      </c>
      <c r="F1318" t="inlineStr">
        <is>
          <t>CT-e</t>
        </is>
      </c>
      <c r="G1318" t="inlineStr">
        <is>
          <t>000003830</t>
        </is>
      </c>
      <c r="H1318" t="inlineStr">
        <is>
          <t>R&amp;R TRANSPORTE E LOGISTICA</t>
        </is>
      </c>
      <c r="J1318" s="29" t="n">
        <v>78.28</v>
      </c>
      <c r="K1318" s="29">
        <f>(1-ISNUMBER(SEARCH("556",M1318)))*(O1318*SUMIFS(Premissas!$C$5:$C$44,Premissas!$A$5:$A$44,$A1318,Premissas!$B$5:$B$44,$B1318)+P1318*SUMIFS(Premissas!$D$5:$D$44,Premissas!$A$5:$A$44,$A1318,Premissas!$B$5:$B$44,$B1318))+R1318*SUMIFS(Premissas!$E$5:$E$44,Premissas!$A$5:$A$44,$A1318,Premissas!$B$5:$B$44,$B1318)+S1318*SUMIFS(Premissas!$F$5:$F$44,Premissas!$A$5:$A$44,$A1318,Premissas!$B$5:$B$44,$B1318)</f>
        <v/>
      </c>
      <c r="L1318" s="29">
        <f>J1318-K1318</f>
        <v/>
      </c>
      <c r="M1318" t="inlineStr">
        <is>
          <t>1.350</t>
        </is>
      </c>
      <c r="N1318" t="inlineStr">
        <is>
          <t>Modalidade: 0 - Por conta do remetente | Parte: AMERICA ATACADISTA ALIMENTOS E EMBALAGENS LTDA (51.238.409/0001-81)</t>
        </is>
      </c>
      <c r="O1318" s="29" t="n">
        <v>0</v>
      </c>
      <c r="P1318" s="29" t="n">
        <v>0</v>
      </c>
      <c r="Q1318" s="29" t="n">
        <v>0</v>
      </c>
      <c r="R1318" s="29" t="n">
        <v>0</v>
      </c>
      <c r="S1318" s="29" t="n">
        <v>0</v>
      </c>
      <c r="T1318" t="inlineStr">
        <is>
          <t>25250326975620000130570010000038301000000005</t>
        </is>
      </c>
      <c r="U1318" t="inlineStr">
        <is>
          <t>Não</t>
        </is>
      </c>
    </row>
    <row r="1319">
      <c r="A1319" t="inlineStr">
        <is>
          <t>Frete de venda</t>
        </is>
      </c>
      <c r="B1319" t="inlineStr">
        <is>
          <t>2.01.01 Frete Galpão Produto Acabado</t>
        </is>
      </c>
      <c r="C1319" t="inlineStr">
        <is>
          <t>Antes de 2026</t>
        </is>
      </c>
      <c r="D1319" t="inlineStr">
        <is>
          <t>Antes de 2026</t>
        </is>
      </c>
      <c r="E1319" s="28" t="n">
        <v>45730</v>
      </c>
      <c r="F1319" t="inlineStr">
        <is>
          <t>CT-e</t>
        </is>
      </c>
      <c r="G1319" t="inlineStr">
        <is>
          <t>000003831</t>
        </is>
      </c>
      <c r="H1319" t="inlineStr">
        <is>
          <t>R&amp;R TRANSPORTE E LOGISTICA</t>
        </is>
      </c>
      <c r="J1319" s="29" t="n">
        <v>44.59</v>
      </c>
      <c r="K1319" s="29">
        <f>(1-ISNUMBER(SEARCH("556",M1319)))*(O1319*SUMIFS(Premissas!$C$5:$C$44,Premissas!$A$5:$A$44,$A1319,Premissas!$B$5:$B$44,$B1319)+P1319*SUMIFS(Premissas!$D$5:$D$44,Premissas!$A$5:$A$44,$A1319,Premissas!$B$5:$B$44,$B1319))+R1319*SUMIFS(Premissas!$E$5:$E$44,Premissas!$A$5:$A$44,$A1319,Premissas!$B$5:$B$44,$B1319)+S1319*SUMIFS(Premissas!$F$5:$F$44,Premissas!$A$5:$A$44,$A1319,Premissas!$B$5:$B$44,$B1319)</f>
        <v/>
      </c>
      <c r="L1319" s="29">
        <f>J1319-K1319</f>
        <v/>
      </c>
      <c r="M1319" t="inlineStr">
        <is>
          <t>1.350</t>
        </is>
      </c>
      <c r="N1319" t="inlineStr">
        <is>
          <t>Modalidade: 0 - Por conta do remetente | Parte: PORTUGAL COMERCIO DE PRODUTOS DESCARTAVEIS LTDA (83.349.563/0001-17)</t>
        </is>
      </c>
      <c r="O1319" s="29" t="n">
        <v>0</v>
      </c>
      <c r="P1319" s="29" t="n">
        <v>0</v>
      </c>
      <c r="Q1319" s="29" t="n">
        <v>0</v>
      </c>
      <c r="R1319" s="29" t="n">
        <v>0</v>
      </c>
      <c r="S1319" s="29" t="n">
        <v>0</v>
      </c>
      <c r="T1319" t="inlineStr">
        <is>
          <t>25250326975620000130570010000038311000000002</t>
        </is>
      </c>
      <c r="U1319" t="inlineStr">
        <is>
          <t>Não</t>
        </is>
      </c>
    </row>
    <row r="1320">
      <c r="A1320" t="inlineStr">
        <is>
          <t>Frete de venda</t>
        </is>
      </c>
      <c r="B1320" t="inlineStr">
        <is>
          <t>2.01.01 Frete Galpão Produto Acabado</t>
        </is>
      </c>
      <c r="C1320" t="inlineStr">
        <is>
          <t>Antes de 2026</t>
        </is>
      </c>
      <c r="D1320" t="inlineStr">
        <is>
          <t>Antes de 2026</t>
        </is>
      </c>
      <c r="E1320" s="28" t="n">
        <v>45730</v>
      </c>
      <c r="F1320" t="inlineStr">
        <is>
          <t>CT-e</t>
        </is>
      </c>
      <c r="G1320" t="inlineStr">
        <is>
          <t>000003832</t>
        </is>
      </c>
      <c r="H1320" t="inlineStr">
        <is>
          <t>R&amp;R TRANSPORTE E LOGISTICA</t>
        </is>
      </c>
      <c r="J1320" s="29" t="n">
        <v>24.63</v>
      </c>
      <c r="K1320" s="29">
        <f>(1-ISNUMBER(SEARCH("556",M1320)))*(O1320*SUMIFS(Premissas!$C$5:$C$44,Premissas!$A$5:$A$44,$A1320,Premissas!$B$5:$B$44,$B1320)+P1320*SUMIFS(Premissas!$D$5:$D$44,Premissas!$A$5:$A$44,$A1320,Premissas!$B$5:$B$44,$B1320))+R1320*SUMIFS(Premissas!$E$5:$E$44,Premissas!$A$5:$A$44,$A1320,Premissas!$B$5:$B$44,$B1320)+S1320*SUMIFS(Premissas!$F$5:$F$44,Premissas!$A$5:$A$44,$A1320,Premissas!$B$5:$B$44,$B1320)</f>
        <v/>
      </c>
      <c r="L1320" s="29">
        <f>J1320-K1320</f>
        <v/>
      </c>
      <c r="M1320" t="inlineStr">
        <is>
          <t>1.350</t>
        </is>
      </c>
      <c r="N1320" t="inlineStr">
        <is>
          <t>Modalidade: 0 - Por conta do remetente | Parte: JAMES L H TOME e CIA LTDA (16.965.024/0008-91)</t>
        </is>
      </c>
      <c r="O1320" s="29" t="n">
        <v>0</v>
      </c>
      <c r="P1320" s="29" t="n">
        <v>0</v>
      </c>
      <c r="Q1320" s="29" t="n">
        <v>0</v>
      </c>
      <c r="R1320" s="29" t="n">
        <v>0</v>
      </c>
      <c r="S1320" s="29" t="n">
        <v>0</v>
      </c>
      <c r="T1320" t="inlineStr">
        <is>
          <t>25250326975620000130570010000038321000000000</t>
        </is>
      </c>
      <c r="U1320" t="inlineStr">
        <is>
          <t>Não</t>
        </is>
      </c>
    </row>
    <row r="1321">
      <c r="A1321" t="inlineStr">
        <is>
          <t>Frete de venda</t>
        </is>
      </c>
      <c r="B1321" t="inlineStr">
        <is>
          <t>2.01.01 Frete Galpão Produto Acabado</t>
        </is>
      </c>
      <c r="C1321" t="inlineStr">
        <is>
          <t>Antes de 2026</t>
        </is>
      </c>
      <c r="D1321" t="inlineStr">
        <is>
          <t>Antes de 2026</t>
        </is>
      </c>
      <c r="E1321" s="28" t="n">
        <v>45730</v>
      </c>
      <c r="F1321" t="inlineStr">
        <is>
          <t>CT-e</t>
        </is>
      </c>
      <c r="G1321" t="inlineStr">
        <is>
          <t>000003833</t>
        </is>
      </c>
      <c r="H1321" t="inlineStr">
        <is>
          <t>R&amp;R TRANSPORTE E LOGISTICA</t>
        </is>
      </c>
      <c r="J1321" s="29" t="n">
        <v>33.84</v>
      </c>
      <c r="K1321" s="29">
        <f>(1-ISNUMBER(SEARCH("556",M1321)))*(O1321*SUMIFS(Premissas!$C$5:$C$44,Premissas!$A$5:$A$44,$A1321,Premissas!$B$5:$B$44,$B1321)+P1321*SUMIFS(Premissas!$D$5:$D$44,Premissas!$A$5:$A$44,$A1321,Premissas!$B$5:$B$44,$B1321))+R1321*SUMIFS(Premissas!$E$5:$E$44,Premissas!$A$5:$A$44,$A1321,Premissas!$B$5:$B$44,$B1321)+S1321*SUMIFS(Premissas!$F$5:$F$44,Premissas!$A$5:$A$44,$A1321,Premissas!$B$5:$B$44,$B1321)</f>
        <v/>
      </c>
      <c r="L1321" s="29">
        <f>J1321-K1321</f>
        <v/>
      </c>
      <c r="M1321" t="inlineStr">
        <is>
          <t>1.350</t>
        </is>
      </c>
      <c r="N1321" t="inlineStr">
        <is>
          <t>Modalidade: 0 - Por conta do remetente | Parte: JAMES L. H. TOME e CIA LTDA (16.965.024/0007-00)</t>
        </is>
      </c>
      <c r="O1321" s="29" t="n">
        <v>0</v>
      </c>
      <c r="P1321" s="29" t="n">
        <v>0</v>
      </c>
      <c r="Q1321" s="29" t="n">
        <v>0</v>
      </c>
      <c r="R1321" s="29" t="n">
        <v>0</v>
      </c>
      <c r="S1321" s="29" t="n">
        <v>0</v>
      </c>
      <c r="T1321" t="inlineStr">
        <is>
          <t>25250326975620000130570010000038331000000007</t>
        </is>
      </c>
      <c r="U1321" t="inlineStr">
        <is>
          <t>Não</t>
        </is>
      </c>
    </row>
    <row r="1322">
      <c r="A1322" t="inlineStr">
        <is>
          <t>Frete de venda</t>
        </is>
      </c>
      <c r="B1322" t="inlineStr">
        <is>
          <t>2.01.01 Frete Galpão Produto Acabado</t>
        </is>
      </c>
      <c r="C1322" t="inlineStr">
        <is>
          <t>Antes de 2026</t>
        </is>
      </c>
      <c r="D1322" t="inlineStr">
        <is>
          <t>Antes de 2026</t>
        </is>
      </c>
      <c r="E1322" s="28" t="n">
        <v>45730</v>
      </c>
      <c r="F1322" t="inlineStr">
        <is>
          <t>CT-e</t>
        </is>
      </c>
      <c r="G1322" t="inlineStr">
        <is>
          <t>000003834</t>
        </is>
      </c>
      <c r="H1322" t="inlineStr">
        <is>
          <t>R&amp;R TRANSPORTE E LOGISTICA</t>
        </is>
      </c>
      <c r="J1322" s="29" t="n">
        <v>37.77</v>
      </c>
      <c r="K1322" s="29">
        <f>(1-ISNUMBER(SEARCH("556",M1322)))*(O1322*SUMIFS(Premissas!$C$5:$C$44,Premissas!$A$5:$A$44,$A1322,Premissas!$B$5:$B$44,$B1322)+P1322*SUMIFS(Premissas!$D$5:$D$44,Premissas!$A$5:$A$44,$A1322,Premissas!$B$5:$B$44,$B1322))+R1322*SUMIFS(Premissas!$E$5:$E$44,Premissas!$A$5:$A$44,$A1322,Premissas!$B$5:$B$44,$B1322)+S1322*SUMIFS(Premissas!$F$5:$F$44,Premissas!$A$5:$A$44,$A1322,Premissas!$B$5:$B$44,$B1322)</f>
        <v/>
      </c>
      <c r="L1322" s="29">
        <f>J1322-K1322</f>
        <v/>
      </c>
      <c r="M1322" t="inlineStr">
        <is>
          <t>1.350</t>
        </is>
      </c>
      <c r="N1322" t="inlineStr">
        <is>
          <t>Modalidade: 0 - Por conta do remetente | Parte: JAMES L. H. TOME e CIA LTDA (16.965.024/0001-15)</t>
        </is>
      </c>
      <c r="O1322" s="29" t="n">
        <v>0</v>
      </c>
      <c r="P1322" s="29" t="n">
        <v>0</v>
      </c>
      <c r="Q1322" s="29" t="n">
        <v>0</v>
      </c>
      <c r="R1322" s="29" t="n">
        <v>0</v>
      </c>
      <c r="S1322" s="29" t="n">
        <v>0</v>
      </c>
      <c r="T1322" t="inlineStr">
        <is>
          <t>25250326975620000130570010000038341000000004</t>
        </is>
      </c>
      <c r="U1322" t="inlineStr">
        <is>
          <t>Não</t>
        </is>
      </c>
    </row>
    <row r="1323">
      <c r="A1323" t="inlineStr">
        <is>
          <t>Frete de venda</t>
        </is>
      </c>
      <c r="B1323" t="inlineStr">
        <is>
          <t>2.01.01 Frete Galpão Produto Acabado</t>
        </is>
      </c>
      <c r="C1323" t="inlineStr">
        <is>
          <t>Antes de 2026</t>
        </is>
      </c>
      <c r="D1323" t="inlineStr">
        <is>
          <t>Antes de 2026</t>
        </is>
      </c>
      <c r="E1323" s="28" t="n">
        <v>45730</v>
      </c>
      <c r="F1323" t="inlineStr">
        <is>
          <t>CT-e</t>
        </is>
      </c>
      <c r="G1323" t="inlineStr">
        <is>
          <t>000003835</t>
        </is>
      </c>
      <c r="H1323" t="inlineStr">
        <is>
          <t>R&amp;R TRANSPORTE E LOGISTICA</t>
        </is>
      </c>
      <c r="J1323" s="29" t="n">
        <v>25.18</v>
      </c>
      <c r="K1323" s="29">
        <f>(1-ISNUMBER(SEARCH("556",M1323)))*(O1323*SUMIFS(Premissas!$C$5:$C$44,Premissas!$A$5:$A$44,$A1323,Premissas!$B$5:$B$44,$B1323)+P1323*SUMIFS(Premissas!$D$5:$D$44,Premissas!$A$5:$A$44,$A1323,Premissas!$B$5:$B$44,$B1323))+R1323*SUMIFS(Premissas!$E$5:$E$44,Premissas!$A$5:$A$44,$A1323,Premissas!$B$5:$B$44,$B1323)+S1323*SUMIFS(Premissas!$F$5:$F$44,Premissas!$A$5:$A$44,$A1323,Premissas!$B$5:$B$44,$B1323)</f>
        <v/>
      </c>
      <c r="L1323" s="29">
        <f>J1323-K1323</f>
        <v/>
      </c>
      <c r="M1323" t="inlineStr">
        <is>
          <t>1.350</t>
        </is>
      </c>
      <c r="N1323" t="inlineStr">
        <is>
          <t>Modalidade: 0 - Por conta do remetente | Parte: K C O F DO NASCIMENTO (53.959.331/0001-10)</t>
        </is>
      </c>
      <c r="O1323" s="29" t="n">
        <v>0</v>
      </c>
      <c r="P1323" s="29" t="n">
        <v>0</v>
      </c>
      <c r="Q1323" s="29" t="n">
        <v>0</v>
      </c>
      <c r="R1323" s="29" t="n">
        <v>0</v>
      </c>
      <c r="S1323" s="29" t="n">
        <v>0</v>
      </c>
      <c r="T1323" t="inlineStr">
        <is>
          <t>25250326975620000130570010000038351000000001</t>
        </is>
      </c>
      <c r="U1323" t="inlineStr">
        <is>
          <t>Não</t>
        </is>
      </c>
    </row>
    <row r="1324">
      <c r="A1324" t="inlineStr">
        <is>
          <t>Frete de venda</t>
        </is>
      </c>
      <c r="B1324" t="inlineStr">
        <is>
          <t>2.01.01 Frete Galpão Produto Acabado</t>
        </is>
      </c>
      <c r="C1324" t="inlineStr">
        <is>
          <t>Antes de 2026</t>
        </is>
      </c>
      <c r="D1324" t="inlineStr">
        <is>
          <t>Antes de 2026</t>
        </is>
      </c>
      <c r="E1324" s="28" t="n">
        <v>45730</v>
      </c>
      <c r="F1324" t="inlineStr">
        <is>
          <t>CT-e</t>
        </is>
      </c>
      <c r="G1324" t="inlineStr">
        <is>
          <t>000003836</t>
        </is>
      </c>
      <c r="H1324" t="inlineStr">
        <is>
          <t>R&amp;R TRANSPORTE E LOGISTICA</t>
        </is>
      </c>
      <c r="J1324" s="29" t="n">
        <v>34.72</v>
      </c>
      <c r="K1324" s="29">
        <f>(1-ISNUMBER(SEARCH("556",M1324)))*(O1324*SUMIFS(Premissas!$C$5:$C$44,Premissas!$A$5:$A$44,$A1324,Premissas!$B$5:$B$44,$B1324)+P1324*SUMIFS(Premissas!$D$5:$D$44,Premissas!$A$5:$A$44,$A1324,Premissas!$B$5:$B$44,$B1324))+R1324*SUMIFS(Premissas!$E$5:$E$44,Premissas!$A$5:$A$44,$A1324,Premissas!$B$5:$B$44,$B1324)+S1324*SUMIFS(Premissas!$F$5:$F$44,Premissas!$A$5:$A$44,$A1324,Premissas!$B$5:$B$44,$B1324)</f>
        <v/>
      </c>
      <c r="L1324" s="29">
        <f>J1324-K1324</f>
        <v/>
      </c>
      <c r="M1324" t="inlineStr">
        <is>
          <t>1.350</t>
        </is>
      </c>
      <c r="N1324" t="inlineStr">
        <is>
          <t>Modalidade: 0 - Por conta do remetente | Parte: NEW PLASTICOS DISTRIBUIDORA LTDA (38.438.642/0001-40)</t>
        </is>
      </c>
      <c r="O1324" s="29" t="n">
        <v>0</v>
      </c>
      <c r="P1324" s="29" t="n">
        <v>0</v>
      </c>
      <c r="Q1324" s="29" t="n">
        <v>0</v>
      </c>
      <c r="R1324" s="29" t="n">
        <v>0</v>
      </c>
      <c r="S1324" s="29" t="n">
        <v>0</v>
      </c>
      <c r="T1324" t="inlineStr">
        <is>
          <t>25250326975620000130570010000038361000000009</t>
        </is>
      </c>
      <c r="U1324" t="inlineStr">
        <is>
          <t>Não</t>
        </is>
      </c>
    </row>
    <row r="1325">
      <c r="A1325" t="inlineStr">
        <is>
          <t>Frete de venda</t>
        </is>
      </c>
      <c r="B1325" t="inlineStr">
        <is>
          <t>2.01.01 Frete Galpão Produto Acabado</t>
        </is>
      </c>
      <c r="C1325" t="inlineStr">
        <is>
          <t>Antes de 2026</t>
        </is>
      </c>
      <c r="D1325" t="inlineStr">
        <is>
          <t>Antes de 2026</t>
        </is>
      </c>
      <c r="E1325" s="28" t="n">
        <v>45730</v>
      </c>
      <c r="F1325" t="inlineStr">
        <is>
          <t>CT-e</t>
        </is>
      </c>
      <c r="G1325" t="inlineStr">
        <is>
          <t>000003837</t>
        </is>
      </c>
      <c r="H1325" t="inlineStr">
        <is>
          <t>R&amp;R TRANSPORTE E LOGISTICA</t>
        </is>
      </c>
      <c r="J1325" s="29" t="n">
        <v>27.47</v>
      </c>
      <c r="K1325" s="29">
        <f>(1-ISNUMBER(SEARCH("556",M1325)))*(O1325*SUMIFS(Premissas!$C$5:$C$44,Premissas!$A$5:$A$44,$A1325,Premissas!$B$5:$B$44,$B1325)+P1325*SUMIFS(Premissas!$D$5:$D$44,Premissas!$A$5:$A$44,$A1325,Premissas!$B$5:$B$44,$B1325))+R1325*SUMIFS(Premissas!$E$5:$E$44,Premissas!$A$5:$A$44,$A1325,Premissas!$B$5:$B$44,$B1325)+S1325*SUMIFS(Premissas!$F$5:$F$44,Premissas!$A$5:$A$44,$A1325,Premissas!$B$5:$B$44,$B1325)</f>
        <v/>
      </c>
      <c r="L1325" s="29">
        <f>J1325-K1325</f>
        <v/>
      </c>
      <c r="M1325" t="inlineStr">
        <is>
          <t>1.350</t>
        </is>
      </c>
      <c r="N1325" t="inlineStr">
        <is>
          <t>Modalidade: 0 - Por conta do remetente | Parte: JAMES L. H. TOME e CIA LTDA (16.965.024/0006-20)</t>
        </is>
      </c>
      <c r="O1325" s="29" t="n">
        <v>0</v>
      </c>
      <c r="P1325" s="29" t="n">
        <v>0</v>
      </c>
      <c r="Q1325" s="29" t="n">
        <v>0</v>
      </c>
      <c r="R1325" s="29" t="n">
        <v>0</v>
      </c>
      <c r="S1325" s="29" t="n">
        <v>0</v>
      </c>
      <c r="T1325" t="inlineStr">
        <is>
          <t>25250326975620000130570010000038371000000006</t>
        </is>
      </c>
      <c r="U1325" t="inlineStr">
        <is>
          <t>Não</t>
        </is>
      </c>
    </row>
    <row r="1326">
      <c r="A1326" t="inlineStr">
        <is>
          <t>Frete de venda</t>
        </is>
      </c>
      <c r="B1326" t="inlineStr">
        <is>
          <t>2.01.01 Frete Galpão Produto Acabado</t>
        </is>
      </c>
      <c r="C1326" t="inlineStr">
        <is>
          <t>Antes de 2026</t>
        </is>
      </c>
      <c r="D1326" t="inlineStr">
        <is>
          <t>Antes de 2026</t>
        </is>
      </c>
      <c r="E1326" s="28" t="n">
        <v>45730</v>
      </c>
      <c r="F1326" t="inlineStr">
        <is>
          <t>CT-e</t>
        </is>
      </c>
      <c r="G1326" t="inlineStr">
        <is>
          <t>000003838</t>
        </is>
      </c>
      <c r="H1326" t="inlineStr">
        <is>
          <t>R&amp;R TRANSPORTE E LOGISTICA</t>
        </is>
      </c>
      <c r="J1326" s="29" t="n">
        <v>33.16</v>
      </c>
      <c r="K1326" s="29">
        <f>(1-ISNUMBER(SEARCH("556",M1326)))*(O1326*SUMIFS(Premissas!$C$5:$C$44,Premissas!$A$5:$A$44,$A1326,Premissas!$B$5:$B$44,$B1326)+P1326*SUMIFS(Premissas!$D$5:$D$44,Premissas!$A$5:$A$44,$A1326,Premissas!$B$5:$B$44,$B1326))+R1326*SUMIFS(Premissas!$E$5:$E$44,Premissas!$A$5:$A$44,$A1326,Premissas!$B$5:$B$44,$B1326)+S1326*SUMIFS(Premissas!$F$5:$F$44,Premissas!$A$5:$A$44,$A1326,Premissas!$B$5:$B$44,$B1326)</f>
        <v/>
      </c>
      <c r="L1326" s="29">
        <f>J1326-K1326</f>
        <v/>
      </c>
      <c r="M1326" t="inlineStr">
        <is>
          <t>1.350</t>
        </is>
      </c>
      <c r="N1326" t="inlineStr">
        <is>
          <t>Modalidade: 0 - Por conta do remetente | Parte: PORTUGAL COMERCIO DE PRODUTOS DESCARTAVEIS LTDA (83.349.563/0003-89)</t>
        </is>
      </c>
      <c r="O1326" s="29" t="n">
        <v>0</v>
      </c>
      <c r="P1326" s="29" t="n">
        <v>0</v>
      </c>
      <c r="Q1326" s="29" t="n">
        <v>0</v>
      </c>
      <c r="R1326" s="29" t="n">
        <v>0</v>
      </c>
      <c r="S1326" s="29" t="n">
        <v>0</v>
      </c>
      <c r="T1326" t="inlineStr">
        <is>
          <t>25250326975620000130570010000038381000000003</t>
        </is>
      </c>
      <c r="U1326" t="inlineStr">
        <is>
          <t>Não</t>
        </is>
      </c>
    </row>
    <row r="1327">
      <c r="A1327" t="inlineStr">
        <is>
          <t>Frete de venda</t>
        </is>
      </c>
      <c r="B1327" t="inlineStr">
        <is>
          <t>2.01.01 Frete Galpão Produto Acabado</t>
        </is>
      </c>
      <c r="C1327" t="inlineStr">
        <is>
          <t>Antes de 2026</t>
        </is>
      </c>
      <c r="D1327" t="inlineStr">
        <is>
          <t>Antes de 2026</t>
        </is>
      </c>
      <c r="E1327" s="28" t="n">
        <v>45730</v>
      </c>
      <c r="F1327" t="inlineStr">
        <is>
          <t>CT-e</t>
        </is>
      </c>
      <c r="G1327" t="inlineStr">
        <is>
          <t>000003839</t>
        </is>
      </c>
      <c r="H1327" t="inlineStr">
        <is>
          <t>R&amp;R TRANSPORTE E LOGISTICA</t>
        </is>
      </c>
      <c r="J1327" s="29" t="n">
        <v>30.96</v>
      </c>
      <c r="K1327" s="29">
        <f>(1-ISNUMBER(SEARCH("556",M1327)))*(O1327*SUMIFS(Premissas!$C$5:$C$44,Premissas!$A$5:$A$44,$A1327,Premissas!$B$5:$B$44,$B1327)+P1327*SUMIFS(Premissas!$D$5:$D$44,Premissas!$A$5:$A$44,$A1327,Premissas!$B$5:$B$44,$B1327))+R1327*SUMIFS(Premissas!$E$5:$E$44,Premissas!$A$5:$A$44,$A1327,Premissas!$B$5:$B$44,$B1327)+S1327*SUMIFS(Premissas!$F$5:$F$44,Premissas!$A$5:$A$44,$A1327,Premissas!$B$5:$B$44,$B1327)</f>
        <v/>
      </c>
      <c r="L1327" s="29">
        <f>J1327-K1327</f>
        <v/>
      </c>
      <c r="M1327" t="inlineStr">
        <is>
          <t>1.350</t>
        </is>
      </c>
      <c r="N1327" t="inlineStr">
        <is>
          <t>Modalidade: 0 - Por conta do remetente | Parte: CAVALCANTE E LAGES LTDA (06.120.924/0001-08)</t>
        </is>
      </c>
      <c r="O1327" s="29" t="n">
        <v>0</v>
      </c>
      <c r="P1327" s="29" t="n">
        <v>0</v>
      </c>
      <c r="Q1327" s="29" t="n">
        <v>0</v>
      </c>
      <c r="R1327" s="29" t="n">
        <v>0</v>
      </c>
      <c r="S1327" s="29" t="n">
        <v>0</v>
      </c>
      <c r="T1327" t="inlineStr">
        <is>
          <t>25250326975620000130570010000038391000000000</t>
        </is>
      </c>
      <c r="U1327" t="inlineStr">
        <is>
          <t>Não</t>
        </is>
      </c>
    </row>
    <row r="1328">
      <c r="A1328" t="inlineStr">
        <is>
          <t>Frete de venda</t>
        </is>
      </c>
      <c r="B1328" t="inlineStr">
        <is>
          <t>2.01.01 Frete Galpão Produto Acabado</t>
        </is>
      </c>
      <c r="C1328" t="inlineStr">
        <is>
          <t>Antes de 2026</t>
        </is>
      </c>
      <c r="D1328" t="inlineStr">
        <is>
          <t>Antes de 2026</t>
        </is>
      </c>
      <c r="E1328" s="28" t="n">
        <v>45730</v>
      </c>
      <c r="F1328" t="inlineStr">
        <is>
          <t>CT-e</t>
        </is>
      </c>
      <c r="G1328" t="inlineStr">
        <is>
          <t>000003840</t>
        </is>
      </c>
      <c r="H1328" t="inlineStr">
        <is>
          <t>R&amp;R TRANSPORTE E LOGISTICA</t>
        </is>
      </c>
      <c r="J1328" s="29" t="n">
        <v>25.17</v>
      </c>
      <c r="K1328" s="29">
        <f>(1-ISNUMBER(SEARCH("556",M1328)))*(O1328*SUMIFS(Premissas!$C$5:$C$44,Premissas!$A$5:$A$44,$A1328,Premissas!$B$5:$B$44,$B1328)+P1328*SUMIFS(Premissas!$D$5:$D$44,Premissas!$A$5:$A$44,$A1328,Premissas!$B$5:$B$44,$B1328))+R1328*SUMIFS(Premissas!$E$5:$E$44,Premissas!$A$5:$A$44,$A1328,Premissas!$B$5:$B$44,$B1328)+S1328*SUMIFS(Premissas!$F$5:$F$44,Premissas!$A$5:$A$44,$A1328,Premissas!$B$5:$B$44,$B1328)</f>
        <v/>
      </c>
      <c r="L1328" s="29">
        <f>J1328-K1328</f>
        <v/>
      </c>
      <c r="M1328" t="inlineStr">
        <is>
          <t>1.350</t>
        </is>
      </c>
      <c r="N1328" t="inlineStr">
        <is>
          <t>Modalidade: 0 - Por conta do remetente | Parte: M R DA S COMERCIO DE PLASTICOS LTDA (46.906.495/0001-13)</t>
        </is>
      </c>
      <c r="O1328" s="29" t="n">
        <v>0</v>
      </c>
      <c r="P1328" s="29" t="n">
        <v>0</v>
      </c>
      <c r="Q1328" s="29" t="n">
        <v>0</v>
      </c>
      <c r="R1328" s="29" t="n">
        <v>0</v>
      </c>
      <c r="S1328" s="29" t="n">
        <v>0</v>
      </c>
      <c r="T1328" t="inlineStr">
        <is>
          <t>25250326975620000130570010000038401000000001</t>
        </is>
      </c>
      <c r="U1328" t="inlineStr">
        <is>
          <t>Não</t>
        </is>
      </c>
    </row>
    <row r="1329">
      <c r="A1329" t="inlineStr">
        <is>
          <t>Frete de venda</t>
        </is>
      </c>
      <c r="B1329" t="inlineStr">
        <is>
          <t>2.01.01 Frete Galpão Produto Acabado</t>
        </is>
      </c>
      <c r="C1329" t="inlineStr">
        <is>
          <t>Antes de 2026</t>
        </is>
      </c>
      <c r="D1329" t="inlineStr">
        <is>
          <t>Antes de 2026</t>
        </is>
      </c>
      <c r="E1329" s="28" t="n">
        <v>45730</v>
      </c>
      <c r="F1329" t="inlineStr">
        <is>
          <t>CT-e</t>
        </is>
      </c>
      <c r="G1329" t="inlineStr">
        <is>
          <t>000003841</t>
        </is>
      </c>
      <c r="H1329" t="inlineStr">
        <is>
          <t>R&amp;R TRANSPORTE E LOGISTICA</t>
        </is>
      </c>
      <c r="J1329" s="29" t="n">
        <v>33.71</v>
      </c>
      <c r="K1329" s="29">
        <f>(1-ISNUMBER(SEARCH("556",M1329)))*(O1329*SUMIFS(Premissas!$C$5:$C$44,Premissas!$A$5:$A$44,$A1329,Premissas!$B$5:$B$44,$B1329)+P1329*SUMIFS(Premissas!$D$5:$D$44,Premissas!$A$5:$A$44,$A1329,Premissas!$B$5:$B$44,$B1329))+R1329*SUMIFS(Premissas!$E$5:$E$44,Premissas!$A$5:$A$44,$A1329,Premissas!$B$5:$B$44,$B1329)+S1329*SUMIFS(Premissas!$F$5:$F$44,Premissas!$A$5:$A$44,$A1329,Premissas!$B$5:$B$44,$B1329)</f>
        <v/>
      </c>
      <c r="L1329" s="29">
        <f>J1329-K1329</f>
        <v/>
      </c>
      <c r="M1329" t="inlineStr">
        <is>
          <t>1.350</t>
        </is>
      </c>
      <c r="N1329" t="inlineStr">
        <is>
          <t>Modalidade: 0 - Por conta do remetente | Parte: IBIAPINA VARIEDADES LTDA (46.211.356/0001-75)</t>
        </is>
      </c>
      <c r="O1329" s="29" t="n">
        <v>0</v>
      </c>
      <c r="P1329" s="29" t="n">
        <v>0</v>
      </c>
      <c r="Q1329" s="29" t="n">
        <v>0</v>
      </c>
      <c r="R1329" s="29" t="n">
        <v>0</v>
      </c>
      <c r="S1329" s="29" t="n">
        <v>0</v>
      </c>
      <c r="T1329" t="inlineStr">
        <is>
          <t>25250326975620000130570010000038411000000009</t>
        </is>
      </c>
      <c r="U1329" t="inlineStr">
        <is>
          <t>Não</t>
        </is>
      </c>
    </row>
    <row r="1330">
      <c r="A1330" t="inlineStr">
        <is>
          <t>Frete de venda</t>
        </is>
      </c>
      <c r="B1330" t="inlineStr">
        <is>
          <t>2.01.01 Frete Galpão Produto Acabado</t>
        </is>
      </c>
      <c r="C1330" t="inlineStr">
        <is>
          <t>Antes de 2026</t>
        </is>
      </c>
      <c r="D1330" t="inlineStr">
        <is>
          <t>Antes de 2026</t>
        </is>
      </c>
      <c r="E1330" s="28" t="n">
        <v>45730</v>
      </c>
      <c r="F1330" t="inlineStr">
        <is>
          <t>CT-e</t>
        </is>
      </c>
      <c r="G1330" t="inlineStr">
        <is>
          <t>000003842</t>
        </is>
      </c>
      <c r="H1330" t="inlineStr">
        <is>
          <t>R&amp;R TRANSPORTE E LOGISTICA</t>
        </is>
      </c>
      <c r="J1330" s="29" t="n">
        <v>23.85</v>
      </c>
      <c r="K1330" s="29">
        <f>(1-ISNUMBER(SEARCH("556",M1330)))*(O1330*SUMIFS(Premissas!$C$5:$C$44,Premissas!$A$5:$A$44,$A1330,Premissas!$B$5:$B$44,$B1330)+P1330*SUMIFS(Premissas!$D$5:$D$44,Premissas!$A$5:$A$44,$A1330,Premissas!$B$5:$B$44,$B1330))+R1330*SUMIFS(Premissas!$E$5:$E$44,Premissas!$A$5:$A$44,$A1330,Premissas!$B$5:$B$44,$B1330)+S1330*SUMIFS(Premissas!$F$5:$F$44,Premissas!$A$5:$A$44,$A1330,Premissas!$B$5:$B$44,$B1330)</f>
        <v/>
      </c>
      <c r="L1330" s="29">
        <f>J1330-K1330</f>
        <v/>
      </c>
      <c r="M1330" t="inlineStr">
        <is>
          <t>1.350</t>
        </is>
      </c>
      <c r="N1330" t="inlineStr">
        <is>
          <t>Modalidade: 0 - Por conta do remetente | Parte: F. P. BRINGEL COMERCIO (09.142.152/0001-01)</t>
        </is>
      </c>
      <c r="O1330" s="29" t="n">
        <v>0</v>
      </c>
      <c r="P1330" s="29" t="n">
        <v>0</v>
      </c>
      <c r="Q1330" s="29" t="n">
        <v>0</v>
      </c>
      <c r="R1330" s="29" t="n">
        <v>0</v>
      </c>
      <c r="S1330" s="29" t="n">
        <v>0</v>
      </c>
      <c r="T1330" t="inlineStr">
        <is>
          <t>25250326975620000130570010000038421000000006</t>
        </is>
      </c>
      <c r="U1330" t="inlineStr">
        <is>
          <t>Não</t>
        </is>
      </c>
    </row>
    <row r="1331">
      <c r="A1331" t="inlineStr">
        <is>
          <t>Frete de venda</t>
        </is>
      </c>
      <c r="B1331" t="inlineStr">
        <is>
          <t>2.01.01 Frete Galpão Produto Acabado</t>
        </is>
      </c>
      <c r="C1331" t="inlineStr">
        <is>
          <t>Antes de 2026</t>
        </is>
      </c>
      <c r="D1331" t="inlineStr">
        <is>
          <t>Antes de 2026</t>
        </is>
      </c>
      <c r="E1331" s="28" t="n">
        <v>45736</v>
      </c>
      <c r="F1331" t="inlineStr">
        <is>
          <t>CT-e</t>
        </is>
      </c>
      <c r="G1331" t="inlineStr">
        <is>
          <t>000003869</t>
        </is>
      </c>
      <c r="H1331" t="inlineStr">
        <is>
          <t>R&amp;R TRANSPORTE E LOGISTICA</t>
        </is>
      </c>
      <c r="J1331" s="29" t="n">
        <v>28.28</v>
      </c>
      <c r="K1331" s="29">
        <f>(1-ISNUMBER(SEARCH("556",M1331)))*(O1331*SUMIFS(Premissas!$C$5:$C$44,Premissas!$A$5:$A$44,$A1331,Premissas!$B$5:$B$44,$B1331)+P1331*SUMIFS(Premissas!$D$5:$D$44,Premissas!$A$5:$A$44,$A1331,Premissas!$B$5:$B$44,$B1331))+R1331*SUMIFS(Premissas!$E$5:$E$44,Premissas!$A$5:$A$44,$A1331,Premissas!$B$5:$B$44,$B1331)+S1331*SUMIFS(Premissas!$F$5:$F$44,Premissas!$A$5:$A$44,$A1331,Premissas!$B$5:$B$44,$B1331)</f>
        <v/>
      </c>
      <c r="L1331" s="29">
        <f>J1331-K1331</f>
        <v/>
      </c>
      <c r="M1331" t="inlineStr">
        <is>
          <t>1.350</t>
        </is>
      </c>
      <c r="N1331" t="inlineStr">
        <is>
          <t>Modalidade: 0 - Por conta do remetente | Parte: IRACI ROSA DA CUNHA LTDA (01.180.241/0001-22)</t>
        </is>
      </c>
      <c r="O1331" s="29" t="n">
        <v>0</v>
      </c>
      <c r="P1331" s="29" t="n">
        <v>0</v>
      </c>
      <c r="Q1331" s="29" t="n">
        <v>0</v>
      </c>
      <c r="R1331" s="29" t="n">
        <v>0</v>
      </c>
      <c r="S1331" s="29" t="n">
        <v>0</v>
      </c>
      <c r="T1331" t="inlineStr">
        <is>
          <t>25250326975620000130570010000038691000000000</t>
        </is>
      </c>
      <c r="U1331" t="inlineStr">
        <is>
          <t>Não</t>
        </is>
      </c>
    </row>
    <row r="1332">
      <c r="A1332" t="inlineStr">
        <is>
          <t>Frete de venda</t>
        </is>
      </c>
      <c r="B1332" t="inlineStr">
        <is>
          <t>2.01.01 Frete Galpão Produto Acabado</t>
        </is>
      </c>
      <c r="C1332" t="inlineStr">
        <is>
          <t>Antes de 2026</t>
        </is>
      </c>
      <c r="D1332" t="inlineStr">
        <is>
          <t>Antes de 2026</t>
        </is>
      </c>
      <c r="E1332" s="28" t="n">
        <v>45736</v>
      </c>
      <c r="F1332" t="inlineStr">
        <is>
          <t>CT-e</t>
        </is>
      </c>
      <c r="G1332" t="inlineStr">
        <is>
          <t>000003870</t>
        </is>
      </c>
      <c r="H1332" t="inlineStr">
        <is>
          <t>R&amp;R TRANSPORTE E LOGISTICA</t>
        </is>
      </c>
      <c r="J1332" s="29" t="n">
        <v>47.93</v>
      </c>
      <c r="K1332" s="29">
        <f>(1-ISNUMBER(SEARCH("556",M1332)))*(O1332*SUMIFS(Premissas!$C$5:$C$44,Premissas!$A$5:$A$44,$A1332,Premissas!$B$5:$B$44,$B1332)+P1332*SUMIFS(Premissas!$D$5:$D$44,Premissas!$A$5:$A$44,$A1332,Premissas!$B$5:$B$44,$B1332))+R1332*SUMIFS(Premissas!$E$5:$E$44,Premissas!$A$5:$A$44,$A1332,Premissas!$B$5:$B$44,$B1332)+S1332*SUMIFS(Premissas!$F$5:$F$44,Premissas!$A$5:$A$44,$A1332,Premissas!$B$5:$B$44,$B1332)</f>
        <v/>
      </c>
      <c r="L1332" s="29">
        <f>J1332-K1332</f>
        <v/>
      </c>
      <c r="M1332" t="inlineStr">
        <is>
          <t>1.350</t>
        </is>
      </c>
      <c r="N1332" t="inlineStr">
        <is>
          <t>Modalidade: 0 - Por conta do remetente | Parte: CASA DO PIT DOG SUPERMERCADO LTDA (33.456.636/0001-00)</t>
        </is>
      </c>
      <c r="O1332" s="29" t="n">
        <v>0</v>
      </c>
      <c r="P1332" s="29" t="n">
        <v>0</v>
      </c>
      <c r="Q1332" s="29" t="n">
        <v>0</v>
      </c>
      <c r="R1332" s="29" t="n">
        <v>0</v>
      </c>
      <c r="S1332" s="29" t="n">
        <v>0</v>
      </c>
      <c r="T1332" t="inlineStr">
        <is>
          <t>25250326975620000130570010000038701000000000</t>
        </is>
      </c>
      <c r="U1332" t="inlineStr">
        <is>
          <t>Não</t>
        </is>
      </c>
    </row>
    <row r="1333">
      <c r="A1333" t="inlineStr">
        <is>
          <t>Frete de venda</t>
        </is>
      </c>
      <c r="B1333" t="inlineStr">
        <is>
          <t>2.01.01 Frete Galpão Produto Acabado</t>
        </is>
      </c>
      <c r="C1333" t="inlineStr">
        <is>
          <t>Antes de 2026</t>
        </is>
      </c>
      <c r="D1333" t="inlineStr">
        <is>
          <t>Antes de 2026</t>
        </is>
      </c>
      <c r="E1333" s="28" t="n">
        <v>45736</v>
      </c>
      <c r="F1333" t="inlineStr">
        <is>
          <t>CT-e</t>
        </is>
      </c>
      <c r="G1333" t="inlineStr">
        <is>
          <t>000003871</t>
        </is>
      </c>
      <c r="H1333" t="inlineStr">
        <is>
          <t>R&amp;R TRANSPORTE E LOGISTICA</t>
        </is>
      </c>
      <c r="J1333" s="29" t="n">
        <v>40.59</v>
      </c>
      <c r="K1333" s="29">
        <f>(1-ISNUMBER(SEARCH("556",M1333)))*(O1333*SUMIFS(Premissas!$C$5:$C$44,Premissas!$A$5:$A$44,$A1333,Premissas!$B$5:$B$44,$B1333)+P1333*SUMIFS(Premissas!$D$5:$D$44,Premissas!$A$5:$A$44,$A1333,Premissas!$B$5:$B$44,$B1333))+R1333*SUMIFS(Premissas!$E$5:$E$44,Premissas!$A$5:$A$44,$A1333,Premissas!$B$5:$B$44,$B1333)+S1333*SUMIFS(Premissas!$F$5:$F$44,Premissas!$A$5:$A$44,$A1333,Premissas!$B$5:$B$44,$B1333)</f>
        <v/>
      </c>
      <c r="L1333" s="29">
        <f>J1333-K1333</f>
        <v/>
      </c>
      <c r="M1333" t="inlineStr">
        <is>
          <t>1.350</t>
        </is>
      </c>
      <c r="N1333" t="inlineStr">
        <is>
          <t>Modalidade: 0 - Por conta do remetente | Parte: PALHOCA O SEU SUPERMERCADO LTDA (00.393.873/0001-01)</t>
        </is>
      </c>
      <c r="O1333" s="29" t="n">
        <v>0</v>
      </c>
      <c r="P1333" s="29" t="n">
        <v>0</v>
      </c>
      <c r="Q1333" s="29" t="n">
        <v>0</v>
      </c>
      <c r="R1333" s="29" t="n">
        <v>0</v>
      </c>
      <c r="S1333" s="29" t="n">
        <v>0</v>
      </c>
      <c r="T1333" t="inlineStr">
        <is>
          <t>25250326975620000130570010000038711000000008</t>
        </is>
      </c>
      <c r="U1333" t="inlineStr">
        <is>
          <t>Não</t>
        </is>
      </c>
    </row>
    <row r="1334">
      <c r="A1334" t="inlineStr">
        <is>
          <t>Frete de venda</t>
        </is>
      </c>
      <c r="B1334" t="inlineStr">
        <is>
          <t>2.01.01 Frete Galpão Produto Acabado</t>
        </is>
      </c>
      <c r="C1334" t="inlineStr">
        <is>
          <t>Antes de 2026</t>
        </is>
      </c>
      <c r="D1334" t="inlineStr">
        <is>
          <t>Antes de 2026</t>
        </is>
      </c>
      <c r="E1334" s="28" t="n">
        <v>45736</v>
      </c>
      <c r="F1334" t="inlineStr">
        <is>
          <t>CT-e</t>
        </is>
      </c>
      <c r="G1334" t="inlineStr">
        <is>
          <t>000003872</t>
        </is>
      </c>
      <c r="H1334" t="inlineStr">
        <is>
          <t>R&amp;R TRANSPORTE E LOGISTICA</t>
        </is>
      </c>
      <c r="J1334" s="29" t="n">
        <v>37.68</v>
      </c>
      <c r="K1334" s="29">
        <f>(1-ISNUMBER(SEARCH("556",M1334)))*(O1334*SUMIFS(Premissas!$C$5:$C$44,Premissas!$A$5:$A$44,$A1334,Premissas!$B$5:$B$44,$B1334)+P1334*SUMIFS(Premissas!$D$5:$D$44,Premissas!$A$5:$A$44,$A1334,Premissas!$B$5:$B$44,$B1334))+R1334*SUMIFS(Premissas!$E$5:$E$44,Premissas!$A$5:$A$44,$A1334,Premissas!$B$5:$B$44,$B1334)+S1334*SUMIFS(Premissas!$F$5:$F$44,Premissas!$A$5:$A$44,$A1334,Premissas!$B$5:$B$44,$B1334)</f>
        <v/>
      </c>
      <c r="L1334" s="29">
        <f>J1334-K1334</f>
        <v/>
      </c>
      <c r="M1334" t="inlineStr">
        <is>
          <t>1.350</t>
        </is>
      </c>
      <c r="N1334" t="inlineStr">
        <is>
          <t>Modalidade: 0 - Por conta do remetente | Parte: SILVA DISTRIBUIDORA DE EMBALAGENS LTDA (31.362.906/0001-80)</t>
        </is>
      </c>
      <c r="O1334" s="29" t="n">
        <v>0</v>
      </c>
      <c r="P1334" s="29" t="n">
        <v>0</v>
      </c>
      <c r="Q1334" s="29" t="n">
        <v>0</v>
      </c>
      <c r="R1334" s="29" t="n">
        <v>0</v>
      </c>
      <c r="S1334" s="29" t="n">
        <v>0</v>
      </c>
      <c r="T1334" t="inlineStr">
        <is>
          <t>25250326975620000130570010000038721000000005</t>
        </is>
      </c>
      <c r="U1334" t="inlineStr">
        <is>
          <t>Não</t>
        </is>
      </c>
    </row>
    <row r="1335">
      <c r="A1335" t="inlineStr">
        <is>
          <t>Frete de venda</t>
        </is>
      </c>
      <c r="B1335" t="inlineStr">
        <is>
          <t>2.01.01 Frete Galpão Produto Acabado</t>
        </is>
      </c>
      <c r="C1335" t="inlineStr">
        <is>
          <t>Antes de 2026</t>
        </is>
      </c>
      <c r="D1335" t="inlineStr">
        <is>
          <t>Antes de 2026</t>
        </is>
      </c>
      <c r="E1335" s="28" t="n">
        <v>45736</v>
      </c>
      <c r="F1335" t="inlineStr">
        <is>
          <t>CT-e</t>
        </is>
      </c>
      <c r="G1335" t="inlineStr">
        <is>
          <t>000003873</t>
        </is>
      </c>
      <c r="H1335" t="inlineStr">
        <is>
          <t>R&amp;R TRANSPORTE E LOGISTICA</t>
        </is>
      </c>
      <c r="J1335" s="29" t="n">
        <v>82.26000000000001</v>
      </c>
      <c r="K1335" s="29">
        <f>(1-ISNUMBER(SEARCH("556",M1335)))*(O1335*SUMIFS(Premissas!$C$5:$C$44,Premissas!$A$5:$A$44,$A1335,Premissas!$B$5:$B$44,$B1335)+P1335*SUMIFS(Premissas!$D$5:$D$44,Premissas!$A$5:$A$44,$A1335,Premissas!$B$5:$B$44,$B1335))+R1335*SUMIFS(Premissas!$E$5:$E$44,Premissas!$A$5:$A$44,$A1335,Premissas!$B$5:$B$44,$B1335)+S1335*SUMIFS(Premissas!$F$5:$F$44,Premissas!$A$5:$A$44,$A1335,Premissas!$B$5:$B$44,$B1335)</f>
        <v/>
      </c>
      <c r="L1335" s="29">
        <f>J1335-K1335</f>
        <v/>
      </c>
      <c r="M1335" t="inlineStr">
        <is>
          <t>1.350</t>
        </is>
      </c>
      <c r="N1335" t="inlineStr">
        <is>
          <t>Modalidade: 0 - Por conta do remetente | Parte: AGM PLASTICOS LTDA (19.429.803/0001-94)</t>
        </is>
      </c>
      <c r="O1335" s="29" t="n">
        <v>0</v>
      </c>
      <c r="P1335" s="29" t="n">
        <v>0</v>
      </c>
      <c r="Q1335" s="29" t="n">
        <v>0</v>
      </c>
      <c r="R1335" s="29" t="n">
        <v>0</v>
      </c>
      <c r="S1335" s="29" t="n">
        <v>0</v>
      </c>
      <c r="T1335" t="inlineStr">
        <is>
          <t>25250326975620000130570010000038731000000002</t>
        </is>
      </c>
      <c r="U1335" t="inlineStr">
        <is>
          <t>Não</t>
        </is>
      </c>
    </row>
    <row r="1336">
      <c r="A1336" t="inlineStr">
        <is>
          <t>Frete de venda</t>
        </is>
      </c>
      <c r="B1336" t="inlineStr">
        <is>
          <t>2.01.01 Frete Galpão Produto Acabado</t>
        </is>
      </c>
      <c r="C1336" t="inlineStr">
        <is>
          <t>Antes de 2026</t>
        </is>
      </c>
      <c r="D1336" t="inlineStr">
        <is>
          <t>Antes de 2026</t>
        </is>
      </c>
      <c r="E1336" s="28" t="n">
        <v>45736</v>
      </c>
      <c r="F1336" t="inlineStr">
        <is>
          <t>CT-e</t>
        </is>
      </c>
      <c r="G1336" t="inlineStr">
        <is>
          <t>000003874</t>
        </is>
      </c>
      <c r="H1336" t="inlineStr">
        <is>
          <t>R&amp;R TRANSPORTE E LOGISTICA</t>
        </is>
      </c>
      <c r="J1336" s="29" t="n">
        <v>37.68</v>
      </c>
      <c r="K1336" s="29">
        <f>(1-ISNUMBER(SEARCH("556",M1336)))*(O1336*SUMIFS(Premissas!$C$5:$C$44,Premissas!$A$5:$A$44,$A1336,Premissas!$B$5:$B$44,$B1336)+P1336*SUMIFS(Premissas!$D$5:$D$44,Premissas!$A$5:$A$44,$A1336,Premissas!$B$5:$B$44,$B1336))+R1336*SUMIFS(Premissas!$E$5:$E$44,Premissas!$A$5:$A$44,$A1336,Premissas!$B$5:$B$44,$B1336)+S1336*SUMIFS(Premissas!$F$5:$F$44,Premissas!$A$5:$A$44,$A1336,Premissas!$B$5:$B$44,$B1336)</f>
        <v/>
      </c>
      <c r="L1336" s="29">
        <f>J1336-K1336</f>
        <v/>
      </c>
      <c r="M1336" t="inlineStr">
        <is>
          <t>1.350</t>
        </is>
      </c>
      <c r="N1336" t="inlineStr">
        <is>
          <t>Modalidade: 0 - Por conta do remetente | Parte: SILVA DISTRIBUIDORA DE EMBALAGENS LTDA (31.362.906/0001-80)</t>
        </is>
      </c>
      <c r="O1336" s="29" t="n">
        <v>0</v>
      </c>
      <c r="P1336" s="29" t="n">
        <v>0</v>
      </c>
      <c r="Q1336" s="29" t="n">
        <v>0</v>
      </c>
      <c r="R1336" s="29" t="n">
        <v>0</v>
      </c>
      <c r="S1336" s="29" t="n">
        <v>0</v>
      </c>
      <c r="T1336" t="inlineStr">
        <is>
          <t>25250326975620000130570010000038741000000000</t>
        </is>
      </c>
      <c r="U1336" t="inlineStr">
        <is>
          <t>Não</t>
        </is>
      </c>
    </row>
    <row r="1337">
      <c r="A1337" t="inlineStr">
        <is>
          <t>Frete de venda</t>
        </is>
      </c>
      <c r="B1337" t="inlineStr">
        <is>
          <t>2.01.01 Frete Galpão Produto Acabado</t>
        </is>
      </c>
      <c r="C1337" t="inlineStr">
        <is>
          <t>Antes de 2026</t>
        </is>
      </c>
      <c r="D1337" t="inlineStr">
        <is>
          <t>Antes de 2026</t>
        </is>
      </c>
      <c r="E1337" s="28" t="n">
        <v>45736</v>
      </c>
      <c r="F1337" t="inlineStr">
        <is>
          <t>CT-e</t>
        </is>
      </c>
      <c r="G1337" t="inlineStr">
        <is>
          <t>000003875</t>
        </is>
      </c>
      <c r="H1337" t="inlineStr">
        <is>
          <t>R&amp;R TRANSPORTE E LOGISTICA</t>
        </is>
      </c>
      <c r="J1337" s="29" t="n">
        <v>29.55</v>
      </c>
      <c r="K1337" s="29">
        <f>(1-ISNUMBER(SEARCH("556",M1337)))*(O1337*SUMIFS(Premissas!$C$5:$C$44,Premissas!$A$5:$A$44,$A1337,Premissas!$B$5:$B$44,$B1337)+P1337*SUMIFS(Premissas!$D$5:$D$44,Premissas!$A$5:$A$44,$A1337,Premissas!$B$5:$B$44,$B1337))+R1337*SUMIFS(Premissas!$E$5:$E$44,Premissas!$A$5:$A$44,$A1337,Premissas!$B$5:$B$44,$B1337)+S1337*SUMIFS(Premissas!$F$5:$F$44,Premissas!$A$5:$A$44,$A1337,Premissas!$B$5:$B$44,$B1337)</f>
        <v/>
      </c>
      <c r="L1337" s="29">
        <f>J1337-K1337</f>
        <v/>
      </c>
      <c r="M1337" t="inlineStr">
        <is>
          <t>1.350</t>
        </is>
      </c>
      <c r="N1337" t="inlineStr">
        <is>
          <t>Modalidade: 0 - Por conta do remetente | Parte: RAMON MENDES PITANGUI FRANCA (19.862.602/0001-86)</t>
        </is>
      </c>
      <c r="O1337" s="29" t="n">
        <v>0</v>
      </c>
      <c r="P1337" s="29" t="n">
        <v>0</v>
      </c>
      <c r="Q1337" s="29" t="n">
        <v>0</v>
      </c>
      <c r="R1337" s="29" t="n">
        <v>0</v>
      </c>
      <c r="S1337" s="29" t="n">
        <v>0</v>
      </c>
      <c r="T1337" t="inlineStr">
        <is>
          <t>25250326975620000130570010000038751000000007</t>
        </is>
      </c>
      <c r="U1337" t="inlineStr">
        <is>
          <t>Não</t>
        </is>
      </c>
    </row>
    <row r="1338">
      <c r="A1338" t="inlineStr">
        <is>
          <t>Frete de venda</t>
        </is>
      </c>
      <c r="B1338" t="inlineStr">
        <is>
          <t>2.01.01 Frete Galpão Produto Acabado</t>
        </is>
      </c>
      <c r="C1338" t="inlineStr">
        <is>
          <t>Antes de 2026</t>
        </is>
      </c>
      <c r="D1338" t="inlineStr">
        <is>
          <t>Antes de 2026</t>
        </is>
      </c>
      <c r="E1338" s="28" t="n">
        <v>45736</v>
      </c>
      <c r="F1338" t="inlineStr">
        <is>
          <t>CT-e</t>
        </is>
      </c>
      <c r="G1338" t="inlineStr">
        <is>
          <t>000003876</t>
        </is>
      </c>
      <c r="H1338" t="inlineStr">
        <is>
          <t>R&amp;R TRANSPORTE E LOGISTICA</t>
        </is>
      </c>
      <c r="J1338" s="29" t="n">
        <v>33.85</v>
      </c>
      <c r="K1338" s="29">
        <f>(1-ISNUMBER(SEARCH("556",M1338)))*(O1338*SUMIFS(Premissas!$C$5:$C$44,Premissas!$A$5:$A$44,$A1338,Premissas!$B$5:$B$44,$B1338)+P1338*SUMIFS(Premissas!$D$5:$D$44,Premissas!$A$5:$A$44,$A1338,Premissas!$B$5:$B$44,$B1338))+R1338*SUMIFS(Premissas!$E$5:$E$44,Premissas!$A$5:$A$44,$A1338,Premissas!$B$5:$B$44,$B1338)+S1338*SUMIFS(Premissas!$F$5:$F$44,Premissas!$A$5:$A$44,$A1338,Premissas!$B$5:$B$44,$B1338)</f>
        <v/>
      </c>
      <c r="L1338" s="29">
        <f>J1338-K1338</f>
        <v/>
      </c>
      <c r="M1338" t="inlineStr">
        <is>
          <t>1.350</t>
        </is>
      </c>
      <c r="N1338" t="inlineStr">
        <is>
          <t>Modalidade: 0 - Por conta do remetente | Parte: ATACADAO DAS EMBALAGENS LTDA (29.788.159/0001-02)</t>
        </is>
      </c>
      <c r="O1338" s="29" t="n">
        <v>0</v>
      </c>
      <c r="P1338" s="29" t="n">
        <v>0</v>
      </c>
      <c r="Q1338" s="29" t="n">
        <v>0</v>
      </c>
      <c r="R1338" s="29" t="n">
        <v>0</v>
      </c>
      <c r="S1338" s="29" t="n">
        <v>0</v>
      </c>
      <c r="T1338" t="inlineStr">
        <is>
          <t>25250326975620000130570010000038761000000004</t>
        </is>
      </c>
      <c r="U1338" t="inlineStr">
        <is>
          <t>Não</t>
        </is>
      </c>
    </row>
    <row r="1339">
      <c r="A1339" t="inlineStr">
        <is>
          <t>Frete de venda</t>
        </is>
      </c>
      <c r="B1339" t="inlineStr">
        <is>
          <t>2.01.01 Frete Galpão Produto Acabado</t>
        </is>
      </c>
      <c r="C1339" t="inlineStr">
        <is>
          <t>Antes de 2026</t>
        </is>
      </c>
      <c r="D1339" t="inlineStr">
        <is>
          <t>Antes de 2026</t>
        </is>
      </c>
      <c r="E1339" s="28" t="n">
        <v>45736</v>
      </c>
      <c r="F1339" t="inlineStr">
        <is>
          <t>CT-e</t>
        </is>
      </c>
      <c r="G1339" t="inlineStr">
        <is>
          <t>000003877</t>
        </is>
      </c>
      <c r="H1339" t="inlineStr">
        <is>
          <t>R&amp;R TRANSPORTE E LOGISTICA</t>
        </is>
      </c>
      <c r="J1339" s="29" t="n">
        <v>26.91</v>
      </c>
      <c r="K1339" s="29">
        <f>(1-ISNUMBER(SEARCH("556",M1339)))*(O1339*SUMIFS(Premissas!$C$5:$C$44,Premissas!$A$5:$A$44,$A1339,Premissas!$B$5:$B$44,$B1339)+P1339*SUMIFS(Premissas!$D$5:$D$44,Premissas!$A$5:$A$44,$A1339,Premissas!$B$5:$B$44,$B1339))+R1339*SUMIFS(Premissas!$E$5:$E$44,Premissas!$A$5:$A$44,$A1339,Premissas!$B$5:$B$44,$B1339)+S1339*SUMIFS(Premissas!$F$5:$F$44,Premissas!$A$5:$A$44,$A1339,Premissas!$B$5:$B$44,$B1339)</f>
        <v/>
      </c>
      <c r="L1339" s="29">
        <f>J1339-K1339</f>
        <v/>
      </c>
      <c r="M1339" t="inlineStr">
        <is>
          <t>1.350</t>
        </is>
      </c>
      <c r="N1339" t="inlineStr">
        <is>
          <t>Modalidade: 0 - Por conta do remetente | Parte: SANTO EXPEDITO COM DE PROD E UTENSILIOS LTDA (10.310.603/0001-43)</t>
        </is>
      </c>
      <c r="O1339" s="29" t="n">
        <v>0</v>
      </c>
      <c r="P1339" s="29" t="n">
        <v>0</v>
      </c>
      <c r="Q1339" s="29" t="n">
        <v>0</v>
      </c>
      <c r="R1339" s="29" t="n">
        <v>0</v>
      </c>
      <c r="S1339" s="29" t="n">
        <v>0</v>
      </c>
      <c r="T1339" t="inlineStr">
        <is>
          <t>25250326975620000130570010000038771000000001</t>
        </is>
      </c>
      <c r="U1339" t="inlineStr">
        <is>
          <t>Não</t>
        </is>
      </c>
    </row>
    <row r="1340">
      <c r="A1340" t="inlineStr">
        <is>
          <t>Frete de venda</t>
        </is>
      </c>
      <c r="B1340" t="inlineStr">
        <is>
          <t>2.01.01 Frete Galpão Produto Acabado</t>
        </is>
      </c>
      <c r="C1340" t="inlineStr">
        <is>
          <t>Antes de 2026</t>
        </is>
      </c>
      <c r="D1340" t="inlineStr">
        <is>
          <t>Antes de 2026</t>
        </is>
      </c>
      <c r="E1340" s="28" t="n">
        <v>45736</v>
      </c>
      <c r="F1340" t="inlineStr">
        <is>
          <t>CT-e</t>
        </is>
      </c>
      <c r="G1340" t="inlineStr">
        <is>
          <t>000003878</t>
        </is>
      </c>
      <c r="H1340" t="inlineStr">
        <is>
          <t>R&amp;R TRANSPORTE E LOGISTICA</t>
        </is>
      </c>
      <c r="J1340" s="29" t="n">
        <v>29.01</v>
      </c>
      <c r="K1340" s="29">
        <f>(1-ISNUMBER(SEARCH("556",M1340)))*(O1340*SUMIFS(Premissas!$C$5:$C$44,Premissas!$A$5:$A$44,$A1340,Premissas!$B$5:$B$44,$B1340)+P1340*SUMIFS(Premissas!$D$5:$D$44,Premissas!$A$5:$A$44,$A1340,Premissas!$B$5:$B$44,$B1340))+R1340*SUMIFS(Premissas!$E$5:$E$44,Premissas!$A$5:$A$44,$A1340,Premissas!$B$5:$B$44,$B1340)+S1340*SUMIFS(Premissas!$F$5:$F$44,Premissas!$A$5:$A$44,$A1340,Premissas!$B$5:$B$44,$B1340)</f>
        <v/>
      </c>
      <c r="L1340" s="29">
        <f>J1340-K1340</f>
        <v/>
      </c>
      <c r="M1340" t="inlineStr">
        <is>
          <t>1.350</t>
        </is>
      </c>
      <c r="N1340" t="inlineStr">
        <is>
          <t>Modalidade: 0 - Por conta do remetente | Parte: LUCINEIDE SA DE MENEZES GUIMARAES (01.791.289/0001-77)</t>
        </is>
      </c>
      <c r="O1340" s="29" t="n">
        <v>0</v>
      </c>
      <c r="P1340" s="29" t="n">
        <v>0</v>
      </c>
      <c r="Q1340" s="29" t="n">
        <v>0</v>
      </c>
      <c r="R1340" s="29" t="n">
        <v>0</v>
      </c>
      <c r="S1340" s="29" t="n">
        <v>0</v>
      </c>
      <c r="T1340" t="inlineStr">
        <is>
          <t>25250326975620000130570010000038781000000009</t>
        </is>
      </c>
      <c r="U1340" t="inlineStr">
        <is>
          <t>Não</t>
        </is>
      </c>
    </row>
    <row r="1341">
      <c r="A1341" t="inlineStr">
        <is>
          <t>Frete de venda</t>
        </is>
      </c>
      <c r="B1341" t="inlineStr">
        <is>
          <t>2.01.01 Frete Galpão Produto Acabado</t>
        </is>
      </c>
      <c r="C1341" t="inlineStr">
        <is>
          <t>Antes de 2026</t>
        </is>
      </c>
      <c r="D1341" t="inlineStr">
        <is>
          <t>Antes de 2026</t>
        </is>
      </c>
      <c r="E1341" s="28" t="n">
        <v>45736</v>
      </c>
      <c r="F1341" t="inlineStr">
        <is>
          <t>CT-e</t>
        </is>
      </c>
      <c r="G1341" t="inlineStr">
        <is>
          <t>000003879</t>
        </is>
      </c>
      <c r="H1341" t="inlineStr">
        <is>
          <t>R&amp;R TRANSPORTE E LOGISTICA</t>
        </is>
      </c>
      <c r="J1341" s="29" t="n">
        <v>30.17</v>
      </c>
      <c r="K1341" s="29">
        <f>(1-ISNUMBER(SEARCH("556",M1341)))*(O1341*SUMIFS(Premissas!$C$5:$C$44,Premissas!$A$5:$A$44,$A1341,Premissas!$B$5:$B$44,$B1341)+P1341*SUMIFS(Premissas!$D$5:$D$44,Premissas!$A$5:$A$44,$A1341,Premissas!$B$5:$B$44,$B1341))+R1341*SUMIFS(Premissas!$E$5:$E$44,Premissas!$A$5:$A$44,$A1341,Premissas!$B$5:$B$44,$B1341)+S1341*SUMIFS(Premissas!$F$5:$F$44,Premissas!$A$5:$A$44,$A1341,Premissas!$B$5:$B$44,$B1341)</f>
        <v/>
      </c>
      <c r="L1341" s="29">
        <f>J1341-K1341</f>
        <v/>
      </c>
      <c r="M1341" t="inlineStr">
        <is>
          <t>1.350</t>
        </is>
      </c>
      <c r="N1341" t="inlineStr">
        <is>
          <t>Modalidade: 0 - Por conta do remetente | Parte: S B C DE OLIVEIRA COMERCIO DE DESCARTAVEIS (05.668.708/0001-39)</t>
        </is>
      </c>
      <c r="O1341" s="29" t="n">
        <v>0</v>
      </c>
      <c r="P1341" s="29" t="n">
        <v>0</v>
      </c>
      <c r="Q1341" s="29" t="n">
        <v>0</v>
      </c>
      <c r="R1341" s="29" t="n">
        <v>0</v>
      </c>
      <c r="S1341" s="29" t="n">
        <v>0</v>
      </c>
      <c r="T1341" t="inlineStr">
        <is>
          <t>25250326975620000130570010000038791000000006</t>
        </is>
      </c>
      <c r="U1341" t="inlineStr">
        <is>
          <t>Não</t>
        </is>
      </c>
    </row>
    <row r="1342">
      <c r="A1342" t="inlineStr">
        <is>
          <t>Frete de venda</t>
        </is>
      </c>
      <c r="B1342" t="inlineStr">
        <is>
          <t>2.01.01 Frete Galpão Produto Acabado</t>
        </is>
      </c>
      <c r="C1342" t="inlineStr">
        <is>
          <t>Antes de 2026</t>
        </is>
      </c>
      <c r="D1342" t="inlineStr">
        <is>
          <t>Antes de 2026</t>
        </is>
      </c>
      <c r="E1342" s="28" t="n">
        <v>45736</v>
      </c>
      <c r="F1342" t="inlineStr">
        <is>
          <t>CT-e</t>
        </is>
      </c>
      <c r="G1342" t="inlineStr">
        <is>
          <t>000003880</t>
        </is>
      </c>
      <c r="H1342" t="inlineStr">
        <is>
          <t>R&amp;R TRANSPORTE E LOGISTICA</t>
        </is>
      </c>
      <c r="J1342" s="29" t="n">
        <v>68.08</v>
      </c>
      <c r="K1342" s="29">
        <f>(1-ISNUMBER(SEARCH("556",M1342)))*(O1342*SUMIFS(Premissas!$C$5:$C$44,Premissas!$A$5:$A$44,$A1342,Premissas!$B$5:$B$44,$B1342)+P1342*SUMIFS(Premissas!$D$5:$D$44,Premissas!$A$5:$A$44,$A1342,Premissas!$B$5:$B$44,$B1342))+R1342*SUMIFS(Premissas!$E$5:$E$44,Premissas!$A$5:$A$44,$A1342,Premissas!$B$5:$B$44,$B1342)+S1342*SUMIFS(Premissas!$F$5:$F$44,Premissas!$A$5:$A$44,$A1342,Premissas!$B$5:$B$44,$B1342)</f>
        <v/>
      </c>
      <c r="L1342" s="29">
        <f>J1342-K1342</f>
        <v/>
      </c>
      <c r="M1342" t="inlineStr">
        <is>
          <t>1.350</t>
        </is>
      </c>
      <c r="N1342" t="inlineStr">
        <is>
          <t>Modalidade: 0 - Por conta do remetente | Parte: MARIA DE FATIMA MOTA SANTOS COMERCIO DE EMBALAGENS LTDA (41.074.543/0002-11)</t>
        </is>
      </c>
      <c r="O1342" s="29" t="n">
        <v>0</v>
      </c>
      <c r="P1342" s="29" t="n">
        <v>0</v>
      </c>
      <c r="Q1342" s="29" t="n">
        <v>0</v>
      </c>
      <c r="R1342" s="29" t="n">
        <v>0</v>
      </c>
      <c r="S1342" s="29" t="n">
        <v>0</v>
      </c>
      <c r="T1342" t="inlineStr">
        <is>
          <t>25250326975620000130570010000038801000000007</t>
        </is>
      </c>
      <c r="U1342" t="inlineStr">
        <is>
          <t>Não</t>
        </is>
      </c>
    </row>
    <row r="1343">
      <c r="A1343" t="inlineStr">
        <is>
          <t>Frete de venda</t>
        </is>
      </c>
      <c r="B1343" t="inlineStr">
        <is>
          <t>2.01.01 Frete Galpão Produto Acabado</t>
        </is>
      </c>
      <c r="C1343" t="inlineStr">
        <is>
          <t>Antes de 2026</t>
        </is>
      </c>
      <c r="D1343" t="inlineStr">
        <is>
          <t>Antes de 2026</t>
        </is>
      </c>
      <c r="E1343" s="28" t="n">
        <v>45736</v>
      </c>
      <c r="F1343" t="inlineStr">
        <is>
          <t>CT-e</t>
        </is>
      </c>
      <c r="G1343" t="inlineStr">
        <is>
          <t>000003881</t>
        </is>
      </c>
      <c r="H1343" t="inlineStr">
        <is>
          <t>R&amp;R TRANSPORTE E LOGISTICA</t>
        </is>
      </c>
      <c r="J1343" s="29" t="n">
        <v>64.09999999999999</v>
      </c>
      <c r="K1343" s="29">
        <f>(1-ISNUMBER(SEARCH("556",M1343)))*(O1343*SUMIFS(Premissas!$C$5:$C$44,Premissas!$A$5:$A$44,$A1343,Premissas!$B$5:$B$44,$B1343)+P1343*SUMIFS(Premissas!$D$5:$D$44,Premissas!$A$5:$A$44,$A1343,Premissas!$B$5:$B$44,$B1343))+R1343*SUMIFS(Premissas!$E$5:$E$44,Premissas!$A$5:$A$44,$A1343,Premissas!$B$5:$B$44,$B1343)+S1343*SUMIFS(Premissas!$F$5:$F$44,Premissas!$A$5:$A$44,$A1343,Premissas!$B$5:$B$44,$B1343)</f>
        <v/>
      </c>
      <c r="L1343" s="29">
        <f>J1343-K1343</f>
        <v/>
      </c>
      <c r="M1343" t="inlineStr">
        <is>
          <t>1.350</t>
        </is>
      </c>
      <c r="N1343" t="inlineStr">
        <is>
          <t>Modalidade: 0 - Por conta do remetente | Parte: J N N COMERCIO DE EMBALAGENS LTDA (42.158.613/0001-00)</t>
        </is>
      </c>
      <c r="O1343" s="29" t="n">
        <v>0</v>
      </c>
      <c r="P1343" s="29" t="n">
        <v>0</v>
      </c>
      <c r="Q1343" s="29" t="n">
        <v>0</v>
      </c>
      <c r="R1343" s="29" t="n">
        <v>0</v>
      </c>
      <c r="S1343" s="29" t="n">
        <v>0</v>
      </c>
      <c r="T1343" t="inlineStr">
        <is>
          <t>25250326975620000130570010000038811000000004</t>
        </is>
      </c>
      <c r="U1343" t="inlineStr">
        <is>
          <t>Não</t>
        </is>
      </c>
    </row>
    <row r="1344">
      <c r="A1344" t="inlineStr">
        <is>
          <t>Frete de venda</t>
        </is>
      </c>
      <c r="B1344" t="inlineStr">
        <is>
          <t>2.01.01 Frete Galpão Produto Acabado</t>
        </is>
      </c>
      <c r="C1344" t="inlineStr">
        <is>
          <t>Antes de 2026</t>
        </is>
      </c>
      <c r="D1344" t="inlineStr">
        <is>
          <t>Antes de 2026</t>
        </is>
      </c>
      <c r="E1344" s="28" t="n">
        <v>45736</v>
      </c>
      <c r="F1344" t="inlineStr">
        <is>
          <t>CT-e</t>
        </is>
      </c>
      <c r="G1344" t="inlineStr">
        <is>
          <t>000003882</t>
        </is>
      </c>
      <c r="H1344" t="inlineStr">
        <is>
          <t>R&amp;R TRANSPORTE E LOGISTICA</t>
        </is>
      </c>
      <c r="J1344" s="29" t="n">
        <v>64.52</v>
      </c>
      <c r="K1344" s="29">
        <f>(1-ISNUMBER(SEARCH("556",M1344)))*(O1344*SUMIFS(Premissas!$C$5:$C$44,Premissas!$A$5:$A$44,$A1344,Premissas!$B$5:$B$44,$B1344)+P1344*SUMIFS(Premissas!$D$5:$D$44,Premissas!$A$5:$A$44,$A1344,Premissas!$B$5:$B$44,$B1344))+R1344*SUMIFS(Premissas!$E$5:$E$44,Premissas!$A$5:$A$44,$A1344,Premissas!$B$5:$B$44,$B1344)+S1344*SUMIFS(Premissas!$F$5:$F$44,Premissas!$A$5:$A$44,$A1344,Premissas!$B$5:$B$44,$B1344)</f>
        <v/>
      </c>
      <c r="L1344" s="29">
        <f>J1344-K1344</f>
        <v/>
      </c>
      <c r="M1344" t="inlineStr">
        <is>
          <t>1.350</t>
        </is>
      </c>
      <c r="N1344" t="inlineStr">
        <is>
          <t>Modalidade: 0 - Por conta do remetente | Parte: VITOR HUGO GOMES LIMA (08.968.419/0001-43)</t>
        </is>
      </c>
      <c r="O1344" s="29" t="n">
        <v>0</v>
      </c>
      <c r="P1344" s="29" t="n">
        <v>0</v>
      </c>
      <c r="Q1344" s="29" t="n">
        <v>0</v>
      </c>
      <c r="R1344" s="29" t="n">
        <v>0</v>
      </c>
      <c r="S1344" s="29" t="n">
        <v>0</v>
      </c>
      <c r="T1344" t="inlineStr">
        <is>
          <t>25250326975620000130570010000038821000000001</t>
        </is>
      </c>
      <c r="U1344" t="inlineStr">
        <is>
          <t>Não</t>
        </is>
      </c>
    </row>
    <row r="1345">
      <c r="A1345" t="inlineStr">
        <is>
          <t>Frete de venda</t>
        </is>
      </c>
      <c r="B1345" t="inlineStr">
        <is>
          <t>2.01.01 Frete Galpão Produto Acabado</t>
        </is>
      </c>
      <c r="C1345" t="inlineStr">
        <is>
          <t>Antes de 2026</t>
        </is>
      </c>
      <c r="D1345" t="inlineStr">
        <is>
          <t>Antes de 2026</t>
        </is>
      </c>
      <c r="E1345" s="28" t="n">
        <v>45738</v>
      </c>
      <c r="F1345" t="inlineStr">
        <is>
          <t>CT-e</t>
        </is>
      </c>
      <c r="G1345" t="inlineStr">
        <is>
          <t>000003890</t>
        </is>
      </c>
      <c r="H1345" t="inlineStr">
        <is>
          <t>R&amp;R TRANSPORTE E LOGISTICA</t>
        </is>
      </c>
      <c r="J1345" s="29" t="n">
        <v>52</v>
      </c>
      <c r="K1345" s="29">
        <f>(1-ISNUMBER(SEARCH("556",M1345)))*(O1345*SUMIFS(Premissas!$C$5:$C$44,Premissas!$A$5:$A$44,$A1345,Premissas!$B$5:$B$44,$B1345)+P1345*SUMIFS(Premissas!$D$5:$D$44,Premissas!$A$5:$A$44,$A1345,Premissas!$B$5:$B$44,$B1345))+R1345*SUMIFS(Premissas!$E$5:$E$44,Premissas!$A$5:$A$44,$A1345,Premissas!$B$5:$B$44,$B1345)+S1345*SUMIFS(Premissas!$F$5:$F$44,Premissas!$A$5:$A$44,$A1345,Premissas!$B$5:$B$44,$B1345)</f>
        <v/>
      </c>
      <c r="L1345" s="29">
        <f>J1345-K1345</f>
        <v/>
      </c>
      <c r="M1345" t="inlineStr">
        <is>
          <t>1.350</t>
        </is>
      </c>
      <c r="N1345" t="inlineStr">
        <is>
          <t>Modalidade: 0 - Por conta do remetente | Parte: VIP DISTRIBUIDORA DE EMBALAGENS LTDA (51.987.110/0001-20)</t>
        </is>
      </c>
      <c r="O1345" s="29" t="n">
        <v>0</v>
      </c>
      <c r="P1345" s="29" t="n">
        <v>0</v>
      </c>
      <c r="Q1345" s="29" t="n">
        <v>0</v>
      </c>
      <c r="R1345" s="29" t="n">
        <v>0</v>
      </c>
      <c r="S1345" s="29" t="n">
        <v>0</v>
      </c>
      <c r="T1345" t="inlineStr">
        <is>
          <t>25250326975620000130570010000038901000000003</t>
        </is>
      </c>
      <c r="U1345" t="inlineStr">
        <is>
          <t>Não</t>
        </is>
      </c>
    </row>
    <row r="1346">
      <c r="A1346" t="inlineStr">
        <is>
          <t>Frete de venda</t>
        </is>
      </c>
      <c r="B1346" t="inlineStr">
        <is>
          <t>2.01.01 Frete Galpão Produto Acabado</t>
        </is>
      </c>
      <c r="C1346" t="inlineStr">
        <is>
          <t>Antes de 2026</t>
        </is>
      </c>
      <c r="D1346" t="inlineStr">
        <is>
          <t>Antes de 2026</t>
        </is>
      </c>
      <c r="E1346" s="28" t="n">
        <v>45738</v>
      </c>
      <c r="F1346" t="inlineStr">
        <is>
          <t>CT-e</t>
        </is>
      </c>
      <c r="G1346" t="inlineStr">
        <is>
          <t>000003891</t>
        </is>
      </c>
      <c r="H1346" t="inlineStr">
        <is>
          <t>R&amp;R TRANSPORTE E LOGISTICA</t>
        </is>
      </c>
      <c r="J1346" s="29" t="n">
        <v>71</v>
      </c>
      <c r="K1346" s="29">
        <f>(1-ISNUMBER(SEARCH("556",M1346)))*(O1346*SUMIFS(Premissas!$C$5:$C$44,Premissas!$A$5:$A$44,$A1346,Premissas!$B$5:$B$44,$B1346)+P1346*SUMIFS(Premissas!$D$5:$D$44,Premissas!$A$5:$A$44,$A1346,Premissas!$B$5:$B$44,$B1346))+R1346*SUMIFS(Premissas!$E$5:$E$44,Premissas!$A$5:$A$44,$A1346,Premissas!$B$5:$B$44,$B1346)+S1346*SUMIFS(Premissas!$F$5:$F$44,Premissas!$A$5:$A$44,$A1346,Premissas!$B$5:$B$44,$B1346)</f>
        <v/>
      </c>
      <c r="L1346" s="29">
        <f>J1346-K1346</f>
        <v/>
      </c>
      <c r="M1346" t="inlineStr">
        <is>
          <t>1.350</t>
        </is>
      </c>
      <c r="N1346" t="inlineStr">
        <is>
          <t>Modalidade: 0 - Por conta do remetente | Parte: FORTALI DISTRIBUIDORA DE ALIMENTOS LTDA. (09.317.318/0001-75)</t>
        </is>
      </c>
      <c r="O1346" s="29" t="n">
        <v>0</v>
      </c>
      <c r="P1346" s="29" t="n">
        <v>0</v>
      </c>
      <c r="Q1346" s="29" t="n">
        <v>0</v>
      </c>
      <c r="R1346" s="29" t="n">
        <v>0</v>
      </c>
      <c r="S1346" s="29" t="n">
        <v>0</v>
      </c>
      <c r="T1346" t="inlineStr">
        <is>
          <t>25250326975620000130570010000038911000000000</t>
        </is>
      </c>
      <c r="U1346" t="inlineStr">
        <is>
          <t>Não</t>
        </is>
      </c>
    </row>
    <row r="1347">
      <c r="A1347" t="inlineStr">
        <is>
          <t>Frete de venda</t>
        </is>
      </c>
      <c r="B1347" t="inlineStr">
        <is>
          <t>2.01.01 Frete Galpão Produto Acabado</t>
        </is>
      </c>
      <c r="C1347" t="inlineStr">
        <is>
          <t>Antes de 2026</t>
        </is>
      </c>
      <c r="D1347" t="inlineStr">
        <is>
          <t>Antes de 2026</t>
        </is>
      </c>
      <c r="E1347" s="28" t="n">
        <v>45738</v>
      </c>
      <c r="F1347" t="inlineStr">
        <is>
          <t>CT-e</t>
        </is>
      </c>
      <c r="G1347" t="inlineStr">
        <is>
          <t>000003892</t>
        </is>
      </c>
      <c r="H1347" t="inlineStr">
        <is>
          <t>R&amp;R TRANSPORTE E LOGISTICA</t>
        </is>
      </c>
      <c r="J1347" s="29" t="n">
        <v>54</v>
      </c>
      <c r="K1347" s="29">
        <f>(1-ISNUMBER(SEARCH("556",M1347)))*(O1347*SUMIFS(Premissas!$C$5:$C$44,Premissas!$A$5:$A$44,$A1347,Premissas!$B$5:$B$44,$B1347)+P1347*SUMIFS(Premissas!$D$5:$D$44,Premissas!$A$5:$A$44,$A1347,Premissas!$B$5:$B$44,$B1347))+R1347*SUMIFS(Premissas!$E$5:$E$44,Premissas!$A$5:$A$44,$A1347,Premissas!$B$5:$B$44,$B1347)+S1347*SUMIFS(Premissas!$F$5:$F$44,Premissas!$A$5:$A$44,$A1347,Premissas!$B$5:$B$44,$B1347)</f>
        <v/>
      </c>
      <c r="L1347" s="29">
        <f>J1347-K1347</f>
        <v/>
      </c>
      <c r="M1347" t="inlineStr">
        <is>
          <t>1.350</t>
        </is>
      </c>
      <c r="N1347" t="inlineStr">
        <is>
          <t>Modalidade: 0 - Por conta do remetente | Parte: BM - JACKSON JEAN OLIVEIRA (32.079.958/0001-06)</t>
        </is>
      </c>
      <c r="O1347" s="29" t="n">
        <v>0</v>
      </c>
      <c r="P1347" s="29" t="n">
        <v>0</v>
      </c>
      <c r="Q1347" s="29" t="n">
        <v>0</v>
      </c>
      <c r="R1347" s="29" t="n">
        <v>0</v>
      </c>
      <c r="S1347" s="29" t="n">
        <v>0</v>
      </c>
      <c r="T1347" t="inlineStr">
        <is>
          <t>25250326975620000130570010000038921000000008</t>
        </is>
      </c>
      <c r="U1347" t="inlineStr">
        <is>
          <t>Não</t>
        </is>
      </c>
    </row>
    <row r="1348">
      <c r="A1348" t="inlineStr">
        <is>
          <t>Frete de venda</t>
        </is>
      </c>
      <c r="B1348" t="inlineStr">
        <is>
          <t>2.01.01 Frete Galpão Produto Acabado</t>
        </is>
      </c>
      <c r="C1348" t="inlineStr">
        <is>
          <t>Antes de 2026</t>
        </is>
      </c>
      <c r="D1348" t="inlineStr">
        <is>
          <t>Antes de 2026</t>
        </is>
      </c>
      <c r="E1348" s="28" t="n">
        <v>45738</v>
      </c>
      <c r="F1348" t="inlineStr">
        <is>
          <t>CT-e</t>
        </is>
      </c>
      <c r="G1348" t="inlineStr">
        <is>
          <t>000003893</t>
        </is>
      </c>
      <c r="H1348" t="inlineStr">
        <is>
          <t>R&amp;R TRANSPORTE E LOGISTICA</t>
        </is>
      </c>
      <c r="J1348" s="29" t="n">
        <v>52</v>
      </c>
      <c r="K1348" s="29">
        <f>(1-ISNUMBER(SEARCH("556",M1348)))*(O1348*SUMIFS(Premissas!$C$5:$C$44,Premissas!$A$5:$A$44,$A1348,Premissas!$B$5:$B$44,$B1348)+P1348*SUMIFS(Premissas!$D$5:$D$44,Premissas!$A$5:$A$44,$A1348,Premissas!$B$5:$B$44,$B1348))+R1348*SUMIFS(Premissas!$E$5:$E$44,Premissas!$A$5:$A$44,$A1348,Premissas!$B$5:$B$44,$B1348)+S1348*SUMIFS(Premissas!$F$5:$F$44,Premissas!$A$5:$A$44,$A1348,Premissas!$B$5:$B$44,$B1348)</f>
        <v/>
      </c>
      <c r="L1348" s="29">
        <f>J1348-K1348</f>
        <v/>
      </c>
      <c r="M1348" t="inlineStr">
        <is>
          <t>1.350</t>
        </is>
      </c>
      <c r="N1348" t="inlineStr">
        <is>
          <t>Modalidade: 0 - Por conta do remetente | Parte: ESTOCK DISTRIBUIDORA DE EMBALAGENS LTDA (42.003.982/0001-15)</t>
        </is>
      </c>
      <c r="O1348" s="29" t="n">
        <v>0</v>
      </c>
      <c r="P1348" s="29" t="n">
        <v>0</v>
      </c>
      <c r="Q1348" s="29" t="n">
        <v>0</v>
      </c>
      <c r="R1348" s="29" t="n">
        <v>0</v>
      </c>
      <c r="S1348" s="29" t="n">
        <v>0</v>
      </c>
      <c r="T1348" t="inlineStr">
        <is>
          <t>25250326975620000130570010000038931000000005</t>
        </is>
      </c>
      <c r="U1348" t="inlineStr">
        <is>
          <t>Não</t>
        </is>
      </c>
    </row>
    <row r="1349">
      <c r="A1349" t="inlineStr">
        <is>
          <t>Frete de venda</t>
        </is>
      </c>
      <c r="B1349" t="inlineStr">
        <is>
          <t>2.01.01 Frete Galpão Produto Acabado</t>
        </is>
      </c>
      <c r="C1349" t="inlineStr">
        <is>
          <t>Antes de 2026</t>
        </is>
      </c>
      <c r="D1349" t="inlineStr">
        <is>
          <t>Antes de 2026</t>
        </is>
      </c>
      <c r="E1349" s="28" t="n">
        <v>45738</v>
      </c>
      <c r="F1349" t="inlineStr">
        <is>
          <t>CT-e</t>
        </is>
      </c>
      <c r="G1349" t="inlineStr">
        <is>
          <t>000001376</t>
        </is>
      </c>
      <c r="H1349" t="inlineStr">
        <is>
          <t>REBECA EMÍLIA DA SILVA</t>
        </is>
      </c>
      <c r="J1349" s="29" t="n">
        <v>1800</v>
      </c>
      <c r="K1349" s="29">
        <f>(1-ISNUMBER(SEARCH("556",M1349)))*(O1349*SUMIFS(Premissas!$C$5:$C$44,Premissas!$A$5:$A$44,$A1349,Premissas!$B$5:$B$44,$B1349)+P1349*SUMIFS(Premissas!$D$5:$D$44,Premissas!$A$5:$A$44,$A1349,Premissas!$B$5:$B$44,$B1349))+R1349*SUMIFS(Premissas!$E$5:$E$44,Premissas!$A$5:$A$44,$A1349,Premissas!$B$5:$B$44,$B1349)+S1349*SUMIFS(Premissas!$F$5:$F$44,Premissas!$A$5:$A$44,$A1349,Premissas!$B$5:$B$44,$B1349)</f>
        <v/>
      </c>
      <c r="L1349" s="29">
        <f>J1349-K1349</f>
        <v/>
      </c>
      <c r="M1349" t="inlineStr">
        <is>
          <t>1.556</t>
        </is>
      </c>
      <c r="N1349" t="inlineStr">
        <is>
          <t>Transportadora fora da lista de frete de venda, mas pela modalidade a Vinco enviou a carga | Modalidade: 0 - Por conta do remetente | Parte: DIRAN COMERCIO VAREJISTA DE EMBALAGENS LTDA (27.489.893/0001-37)</t>
        </is>
      </c>
      <c r="O1349" s="29" t="n">
        <v>0</v>
      </c>
      <c r="P1349" s="29" t="n">
        <v>0</v>
      </c>
      <c r="Q1349" s="29" t="n">
        <v>0</v>
      </c>
      <c r="R1349" s="29" t="n">
        <v>0</v>
      </c>
      <c r="S1349" s="29" t="n">
        <v>0</v>
      </c>
      <c r="T1349" t="inlineStr">
        <is>
          <t>25250345337412000150570010000013761000000008</t>
        </is>
      </c>
      <c r="U1349" t="inlineStr">
        <is>
          <t>Não</t>
        </is>
      </c>
    </row>
    <row r="1350">
      <c r="A1350" t="inlineStr">
        <is>
          <t>Frete de venda</t>
        </is>
      </c>
      <c r="B1350" t="inlineStr">
        <is>
          <t>2.01.01 Frete Galpão Produto Acabado</t>
        </is>
      </c>
      <c r="C1350" t="inlineStr">
        <is>
          <t>Antes de 2026</t>
        </is>
      </c>
      <c r="D1350" t="inlineStr">
        <is>
          <t>Antes de 2026</t>
        </is>
      </c>
      <c r="E1350" s="28" t="n">
        <v>45738</v>
      </c>
      <c r="F1350" t="inlineStr">
        <is>
          <t>CT-e</t>
        </is>
      </c>
      <c r="G1350" t="inlineStr">
        <is>
          <t>000001377</t>
        </is>
      </c>
      <c r="H1350" t="inlineStr">
        <is>
          <t>REBECA EMÍLIA DA SILVA</t>
        </is>
      </c>
      <c r="J1350" s="29" t="n">
        <v>3000</v>
      </c>
      <c r="K1350" s="29">
        <f>(1-ISNUMBER(SEARCH("556",M1350)))*(O1350*SUMIFS(Premissas!$C$5:$C$44,Premissas!$A$5:$A$44,$A1350,Premissas!$B$5:$B$44,$B1350)+P1350*SUMIFS(Premissas!$D$5:$D$44,Premissas!$A$5:$A$44,$A1350,Premissas!$B$5:$B$44,$B1350))+R1350*SUMIFS(Premissas!$E$5:$E$44,Premissas!$A$5:$A$44,$A1350,Premissas!$B$5:$B$44,$B1350)+S1350*SUMIFS(Premissas!$F$5:$F$44,Premissas!$A$5:$A$44,$A1350,Premissas!$B$5:$B$44,$B1350)</f>
        <v/>
      </c>
      <c r="L1350" s="29">
        <f>J1350-K1350</f>
        <v/>
      </c>
      <c r="M1350" t="inlineStr">
        <is>
          <t>1.556</t>
        </is>
      </c>
      <c r="N1350" t="inlineStr">
        <is>
          <t>Transportadora fora da lista de frete de venda, mas pela modalidade a Vinco enviou a carga | Modalidade: 0 - Por conta do remetente | Parte: M N L FLORENTINO LTDA (47.068.852/0001-84)</t>
        </is>
      </c>
      <c r="O1350" s="29" t="n">
        <v>0</v>
      </c>
      <c r="P1350" s="29" t="n">
        <v>0</v>
      </c>
      <c r="Q1350" s="29" t="n">
        <v>0</v>
      </c>
      <c r="R1350" s="29" t="n">
        <v>0</v>
      </c>
      <c r="S1350" s="29" t="n">
        <v>0</v>
      </c>
      <c r="T1350" t="inlineStr">
        <is>
          <t>25250345337412000150570010000013771000000005</t>
        </is>
      </c>
      <c r="U1350" t="inlineStr">
        <is>
          <t>Não</t>
        </is>
      </c>
    </row>
    <row r="1351">
      <c r="A1351" t="inlineStr">
        <is>
          <t>Frete de venda</t>
        </is>
      </c>
      <c r="B1351" t="inlineStr">
        <is>
          <t>2.01.02 Frete sobre Vendas</t>
        </is>
      </c>
      <c r="C1351" t="inlineStr">
        <is>
          <t>Antes de 2026</t>
        </is>
      </c>
      <c r="D1351" t="inlineStr">
        <is>
          <t>Antes de 2026</t>
        </is>
      </c>
      <c r="E1351" s="28" t="n">
        <v>45790</v>
      </c>
      <c r="F1351" t="inlineStr">
        <is>
          <t>CT-e</t>
        </is>
      </c>
      <c r="G1351" t="inlineStr">
        <is>
          <t>000018329</t>
        </is>
      </c>
      <c r="H1351" t="inlineStr">
        <is>
          <t>A D A CARVALHO - TRANSPORTES FILIAL CE</t>
        </is>
      </c>
      <c r="J1351" s="29" t="n">
        <v>50</v>
      </c>
      <c r="K1351" s="29">
        <f>(1-ISNUMBER(SEARCH("556",M1351)))*(O1351*SUMIFS(Premissas!$C$5:$C$44,Premissas!$A$5:$A$44,$A1351,Premissas!$B$5:$B$44,$B1351)+P1351*SUMIFS(Premissas!$D$5:$D$44,Premissas!$A$5:$A$44,$A1351,Premissas!$B$5:$B$44,$B1351))+R1351*SUMIFS(Premissas!$E$5:$E$44,Premissas!$A$5:$A$44,$A1351,Premissas!$B$5:$B$44,$B1351)+S1351*SUMIFS(Premissas!$F$5:$F$44,Premissas!$A$5:$A$44,$A1351,Premissas!$B$5:$B$44,$B1351)</f>
        <v/>
      </c>
      <c r="L1351" s="29">
        <f>J1351-K1351</f>
        <v/>
      </c>
      <c r="M1351" t="inlineStr">
        <is>
          <t>1.556</t>
        </is>
      </c>
      <c r="N1351" t="inlineStr">
        <is>
          <t>Transportadora fora da lista de frete de venda, mas pela modalidade a Vinco enviou a carga | Modalidade: 0 - Por conta do remetente | Parte: E FESTA DISTRIBUIDORA LTDA (53.859.940/0001-05)</t>
        </is>
      </c>
      <c r="O1351" s="29" t="n">
        <v>0</v>
      </c>
      <c r="P1351" s="29" t="n">
        <v>0</v>
      </c>
      <c r="Q1351" s="29" t="n">
        <v>0</v>
      </c>
      <c r="R1351" s="29" t="n">
        <v>0</v>
      </c>
      <c r="S1351" s="29" t="n">
        <v>0</v>
      </c>
      <c r="T1351" t="inlineStr">
        <is>
          <t>23250527831658000282570020000183291100183296</t>
        </is>
      </c>
      <c r="U1351" t="inlineStr">
        <is>
          <t>Não</t>
        </is>
      </c>
    </row>
    <row r="1352">
      <c r="A1352" t="inlineStr">
        <is>
          <t>Frete de venda</t>
        </is>
      </c>
      <c r="B1352" t="inlineStr">
        <is>
          <t>2.01.02 Frete sobre Vendas</t>
        </is>
      </c>
      <c r="C1352" t="inlineStr">
        <is>
          <t>Antes de 2026</t>
        </is>
      </c>
      <c r="D1352" t="inlineStr">
        <is>
          <t>Antes de 2026</t>
        </is>
      </c>
      <c r="E1352" s="28" t="n">
        <v>45782</v>
      </c>
      <c r="F1352" t="inlineStr">
        <is>
          <t>CT-e</t>
        </is>
      </c>
      <c r="G1352" t="inlineStr">
        <is>
          <t>000000094</t>
        </is>
      </c>
      <c r="H1352" t="inlineStr">
        <is>
          <t>ADIL CARLOS DA SILVA</t>
        </is>
      </c>
      <c r="J1352" s="29" t="n">
        <v>10</v>
      </c>
      <c r="K1352" s="29">
        <f>(1-ISNUMBER(SEARCH("556",M1352)))*(O1352*SUMIFS(Premissas!$C$5:$C$44,Premissas!$A$5:$A$44,$A1352,Premissas!$B$5:$B$44,$B1352)+P1352*SUMIFS(Premissas!$D$5:$D$44,Premissas!$A$5:$A$44,$A1352,Premissas!$B$5:$B$44,$B1352))+R1352*SUMIFS(Premissas!$E$5:$E$44,Premissas!$A$5:$A$44,$A1352,Premissas!$B$5:$B$44,$B1352)+S1352*SUMIFS(Premissas!$F$5:$F$44,Premissas!$A$5:$A$44,$A1352,Premissas!$B$5:$B$44,$B1352)</f>
        <v/>
      </c>
      <c r="L1352" s="29">
        <f>J1352-K1352</f>
        <v/>
      </c>
      <c r="M1352" t="inlineStr">
        <is>
          <t>2.350</t>
        </is>
      </c>
      <c r="N1352" t="inlineStr">
        <is>
          <t>Modalidade: 0 - Por conta do remetente | Parte: MACROPLAST COMERCIO DE MATERIAIS DESCARTAVEIS EIRELI (02.541.920/0001-42)</t>
        </is>
      </c>
      <c r="O1352" s="29" t="n">
        <v>0</v>
      </c>
      <c r="P1352" s="29" t="n">
        <v>0</v>
      </c>
      <c r="Q1352" s="29" t="n">
        <v>0</v>
      </c>
      <c r="R1352" s="29" t="n">
        <v>0</v>
      </c>
      <c r="S1352" s="29" t="n">
        <v>0</v>
      </c>
      <c r="T1352" t="inlineStr">
        <is>
          <t>25250534595800000114570010000000941000000942</t>
        </is>
      </c>
      <c r="U1352" t="inlineStr">
        <is>
          <t>Não</t>
        </is>
      </c>
    </row>
    <row r="1353">
      <c r="A1353" t="inlineStr">
        <is>
          <t>Frete de venda</t>
        </is>
      </c>
      <c r="B1353" t="inlineStr">
        <is>
          <t>2.01.02 Frete sobre Vendas</t>
        </is>
      </c>
      <c r="C1353" t="inlineStr">
        <is>
          <t>Antes de 2026</t>
        </is>
      </c>
      <c r="D1353" t="inlineStr">
        <is>
          <t>Antes de 2026</t>
        </is>
      </c>
      <c r="E1353" s="28" t="n">
        <v>45782</v>
      </c>
      <c r="F1353" t="inlineStr">
        <is>
          <t>CT-e</t>
        </is>
      </c>
      <c r="G1353" t="inlineStr">
        <is>
          <t>000000095</t>
        </is>
      </c>
      <c r="H1353" t="inlineStr">
        <is>
          <t>ADIL CARLOS DA SILVA</t>
        </is>
      </c>
      <c r="J1353" s="29" t="n">
        <v>10</v>
      </c>
      <c r="K1353" s="29">
        <f>(1-ISNUMBER(SEARCH("556",M1353)))*(O1353*SUMIFS(Premissas!$C$5:$C$44,Premissas!$A$5:$A$44,$A1353,Premissas!$B$5:$B$44,$B1353)+P1353*SUMIFS(Premissas!$D$5:$D$44,Premissas!$A$5:$A$44,$A1353,Premissas!$B$5:$B$44,$B1353))+R1353*SUMIFS(Premissas!$E$5:$E$44,Premissas!$A$5:$A$44,$A1353,Premissas!$B$5:$B$44,$B1353)+S1353*SUMIFS(Premissas!$F$5:$F$44,Premissas!$A$5:$A$44,$A1353,Premissas!$B$5:$B$44,$B1353)</f>
        <v/>
      </c>
      <c r="L1353" s="29">
        <f>J1353-K1353</f>
        <v/>
      </c>
      <c r="M1353" t="inlineStr">
        <is>
          <t>2.350</t>
        </is>
      </c>
      <c r="N1353" t="inlineStr">
        <is>
          <t>Modalidade: 0 - Por conta do remetente | Parte: AMORIM e CIA LTDA. (08.291.637/0003-58)</t>
        </is>
      </c>
      <c r="O1353" s="29" t="n">
        <v>0</v>
      </c>
      <c r="P1353" s="29" t="n">
        <v>0</v>
      </c>
      <c r="Q1353" s="29" t="n">
        <v>0</v>
      </c>
      <c r="R1353" s="29" t="n">
        <v>0</v>
      </c>
      <c r="S1353" s="29" t="n">
        <v>0</v>
      </c>
      <c r="T1353" t="inlineStr">
        <is>
          <t>25250534595800000114570010000000951000000958</t>
        </is>
      </c>
      <c r="U1353" t="inlineStr">
        <is>
          <t>Não</t>
        </is>
      </c>
    </row>
    <row r="1354">
      <c r="A1354" t="inlineStr">
        <is>
          <t>Frete de venda</t>
        </is>
      </c>
      <c r="B1354" t="inlineStr">
        <is>
          <t>2.01.02 Frete sobre Vendas</t>
        </is>
      </c>
      <c r="C1354" t="inlineStr">
        <is>
          <t>Antes de 2026</t>
        </is>
      </c>
      <c r="D1354" t="inlineStr">
        <is>
          <t>Antes de 2026</t>
        </is>
      </c>
      <c r="E1354" s="28" t="n">
        <v>45789</v>
      </c>
      <c r="F1354" t="inlineStr">
        <is>
          <t>CT-e</t>
        </is>
      </c>
      <c r="G1354" t="inlineStr">
        <is>
          <t>000000096</t>
        </is>
      </c>
      <c r="H1354" t="inlineStr">
        <is>
          <t>ADIL CARLOS DA SILVA</t>
        </is>
      </c>
      <c r="J1354" s="29" t="n">
        <v>10</v>
      </c>
      <c r="K1354" s="29">
        <f>(1-ISNUMBER(SEARCH("556",M1354)))*(O1354*SUMIFS(Premissas!$C$5:$C$44,Premissas!$A$5:$A$44,$A1354,Premissas!$B$5:$B$44,$B1354)+P1354*SUMIFS(Premissas!$D$5:$D$44,Premissas!$A$5:$A$44,$A1354,Premissas!$B$5:$B$44,$B1354))+R1354*SUMIFS(Premissas!$E$5:$E$44,Premissas!$A$5:$A$44,$A1354,Premissas!$B$5:$B$44,$B1354)+S1354*SUMIFS(Premissas!$F$5:$F$44,Premissas!$A$5:$A$44,$A1354,Premissas!$B$5:$B$44,$B1354)</f>
        <v/>
      </c>
      <c r="L1354" s="29">
        <f>J1354-K1354</f>
        <v/>
      </c>
      <c r="M1354" t="inlineStr">
        <is>
          <t>2.350</t>
        </is>
      </c>
      <c r="N1354" t="inlineStr">
        <is>
          <t>Modalidade: 0 - Por conta do remetente | Parte: JND DISTRIBUIDORA LTDA (36.332.668/0001-83)</t>
        </is>
      </c>
      <c r="O1354" s="29" t="n">
        <v>0</v>
      </c>
      <c r="P1354" s="29" t="n">
        <v>0</v>
      </c>
      <c r="Q1354" s="29" t="n">
        <v>0</v>
      </c>
      <c r="R1354" s="29" t="n">
        <v>0</v>
      </c>
      <c r="S1354" s="29" t="n">
        <v>0</v>
      </c>
      <c r="T1354" t="inlineStr">
        <is>
          <t>25250534595800000114570010000000961000000963</t>
        </is>
      </c>
      <c r="U1354" t="inlineStr">
        <is>
          <t>Não</t>
        </is>
      </c>
    </row>
    <row r="1355">
      <c r="A1355" t="inlineStr">
        <is>
          <t>Frete de venda</t>
        </is>
      </c>
      <c r="B1355" t="inlineStr">
        <is>
          <t>2.01.02 Frete sobre Vendas</t>
        </is>
      </c>
      <c r="C1355" t="inlineStr">
        <is>
          <t>Antes de 2026</t>
        </is>
      </c>
      <c r="D1355" t="inlineStr">
        <is>
          <t>Antes de 2026</t>
        </is>
      </c>
      <c r="E1355" s="28" t="n">
        <v>45789</v>
      </c>
      <c r="F1355" t="inlineStr">
        <is>
          <t>CT-e</t>
        </is>
      </c>
      <c r="G1355" t="inlineStr">
        <is>
          <t>000000097</t>
        </is>
      </c>
      <c r="H1355" t="inlineStr">
        <is>
          <t>ADIL CARLOS DA SILVA</t>
        </is>
      </c>
      <c r="J1355" s="29" t="n">
        <v>10</v>
      </c>
      <c r="K1355" s="29">
        <f>(1-ISNUMBER(SEARCH("556",M1355)))*(O1355*SUMIFS(Premissas!$C$5:$C$44,Premissas!$A$5:$A$44,$A1355,Premissas!$B$5:$B$44,$B1355)+P1355*SUMIFS(Premissas!$D$5:$D$44,Premissas!$A$5:$A$44,$A1355,Premissas!$B$5:$B$44,$B1355))+R1355*SUMIFS(Premissas!$E$5:$E$44,Premissas!$A$5:$A$44,$A1355,Premissas!$B$5:$B$44,$B1355)+S1355*SUMIFS(Premissas!$F$5:$F$44,Premissas!$A$5:$A$44,$A1355,Premissas!$B$5:$B$44,$B1355)</f>
        <v/>
      </c>
      <c r="L1355" s="29">
        <f>J1355-K1355</f>
        <v/>
      </c>
      <c r="M1355" t="inlineStr">
        <is>
          <t>2.350</t>
        </is>
      </c>
      <c r="N1355" t="inlineStr">
        <is>
          <t>Modalidade: 0 - Por conta do remetente | Parte: FORTALI DISTRIBUIDORA DE ALIMENTOS LTDA. (09.317.318/0001-75)</t>
        </is>
      </c>
      <c r="O1355" s="29" t="n">
        <v>0</v>
      </c>
      <c r="P1355" s="29" t="n">
        <v>0</v>
      </c>
      <c r="Q1355" s="29" t="n">
        <v>0</v>
      </c>
      <c r="R1355" s="29" t="n">
        <v>0</v>
      </c>
      <c r="S1355" s="29" t="n">
        <v>0</v>
      </c>
      <c r="T1355" t="inlineStr">
        <is>
          <t>25250534595800000114570010000000971000000979</t>
        </is>
      </c>
      <c r="U1355" t="inlineStr">
        <is>
          <t>Não</t>
        </is>
      </c>
    </row>
    <row r="1356">
      <c r="A1356" t="inlineStr">
        <is>
          <t>Frete de venda</t>
        </is>
      </c>
      <c r="B1356" t="inlineStr">
        <is>
          <t>2.01.02 Frete sobre Vendas</t>
        </is>
      </c>
      <c r="C1356" t="inlineStr">
        <is>
          <t>Antes de 2026</t>
        </is>
      </c>
      <c r="D1356" t="inlineStr">
        <is>
          <t>Antes de 2026</t>
        </is>
      </c>
      <c r="E1356" s="28" t="n">
        <v>45789</v>
      </c>
      <c r="F1356" t="inlineStr">
        <is>
          <t>CT-e</t>
        </is>
      </c>
      <c r="G1356" t="inlineStr">
        <is>
          <t>000000098</t>
        </is>
      </c>
      <c r="H1356" t="inlineStr">
        <is>
          <t>ADIL CARLOS DA SILVA</t>
        </is>
      </c>
      <c r="J1356" s="29" t="n">
        <v>10</v>
      </c>
      <c r="K1356" s="29">
        <f>(1-ISNUMBER(SEARCH("556",M1356)))*(O1356*SUMIFS(Premissas!$C$5:$C$44,Premissas!$A$5:$A$44,$A1356,Premissas!$B$5:$B$44,$B1356)+P1356*SUMIFS(Premissas!$D$5:$D$44,Premissas!$A$5:$A$44,$A1356,Premissas!$B$5:$B$44,$B1356))+R1356*SUMIFS(Premissas!$E$5:$E$44,Premissas!$A$5:$A$44,$A1356,Premissas!$B$5:$B$44,$B1356)+S1356*SUMIFS(Premissas!$F$5:$F$44,Premissas!$A$5:$A$44,$A1356,Premissas!$B$5:$B$44,$B1356)</f>
        <v/>
      </c>
      <c r="L1356" s="29">
        <f>J1356-K1356</f>
        <v/>
      </c>
      <c r="M1356" t="inlineStr">
        <is>
          <t>2.350</t>
        </is>
      </c>
      <c r="N1356" t="inlineStr">
        <is>
          <t>Modalidade: 0 - Por conta do remetente | Parte: E FESTA DISTRIBUIDORA LTDA (53.859.940/0001-05)</t>
        </is>
      </c>
      <c r="O1356" s="29" t="n">
        <v>0</v>
      </c>
      <c r="P1356" s="29" t="n">
        <v>0</v>
      </c>
      <c r="Q1356" s="29" t="n">
        <v>0</v>
      </c>
      <c r="R1356" s="29" t="n">
        <v>0</v>
      </c>
      <c r="S1356" s="29" t="n">
        <v>0</v>
      </c>
      <c r="T1356" t="inlineStr">
        <is>
          <t>25250534595800000114570010000000981000000984</t>
        </is>
      </c>
      <c r="U1356" t="inlineStr">
        <is>
          <t>Não</t>
        </is>
      </c>
    </row>
    <row r="1357">
      <c r="A1357" t="inlineStr">
        <is>
          <t>Frete de venda</t>
        </is>
      </c>
      <c r="B1357" t="inlineStr">
        <is>
          <t>2.01.02 Frete sobre Vendas</t>
        </is>
      </c>
      <c r="C1357" t="inlineStr">
        <is>
          <t>Antes de 2026</t>
        </is>
      </c>
      <c r="D1357" t="inlineStr">
        <is>
          <t>Antes de 2026</t>
        </is>
      </c>
      <c r="E1357" s="28" t="n">
        <v>45916</v>
      </c>
      <c r="F1357" t="inlineStr">
        <is>
          <t>CT-e</t>
        </is>
      </c>
      <c r="G1357" t="inlineStr">
        <is>
          <t>000000383</t>
        </is>
      </c>
      <c r="H1357" t="inlineStr">
        <is>
          <t>ADIL CARLOS DA SILVA</t>
        </is>
      </c>
      <c r="J1357" s="29" t="n">
        <v>1</v>
      </c>
      <c r="K1357" s="29">
        <f>(1-ISNUMBER(SEARCH("556",M1357)))*(O1357*SUMIFS(Premissas!$C$5:$C$44,Premissas!$A$5:$A$44,$A1357,Premissas!$B$5:$B$44,$B1357)+P1357*SUMIFS(Premissas!$D$5:$D$44,Premissas!$A$5:$A$44,$A1357,Premissas!$B$5:$B$44,$B1357))+R1357*SUMIFS(Premissas!$E$5:$E$44,Premissas!$A$5:$A$44,$A1357,Premissas!$B$5:$B$44,$B1357)+S1357*SUMIFS(Premissas!$F$5:$F$44,Premissas!$A$5:$A$44,$A1357,Premissas!$B$5:$B$44,$B1357)</f>
        <v/>
      </c>
      <c r="L1357" s="29">
        <f>J1357-K1357</f>
        <v/>
      </c>
      <c r="M1357" t="inlineStr">
        <is>
          <t>2.350</t>
        </is>
      </c>
      <c r="N1357" t="inlineStr">
        <is>
          <t>Modalidade: 0 - Por conta do remetente | Parte: FORTALI DISTRIBUIDORA DE ALIMENTOS LTDA. (09.317.318/0001-75)</t>
        </is>
      </c>
      <c r="O1357" s="29" t="n">
        <v>0</v>
      </c>
      <c r="P1357" s="29" t="n">
        <v>0</v>
      </c>
      <c r="Q1357" s="29" t="n">
        <v>0</v>
      </c>
      <c r="R1357" s="29" t="n">
        <v>0</v>
      </c>
      <c r="S1357" s="29" t="n">
        <v>0</v>
      </c>
      <c r="T1357" t="inlineStr">
        <is>
          <t>25250934595800000114570010000003831000003833</t>
        </is>
      </c>
      <c r="U1357" t="inlineStr">
        <is>
          <t>Não</t>
        </is>
      </c>
    </row>
    <row r="1358">
      <c r="A1358" t="inlineStr">
        <is>
          <t>Frete de venda</t>
        </is>
      </c>
      <c r="B1358" t="inlineStr">
        <is>
          <t>2.01.02 Frete sobre Vendas</t>
        </is>
      </c>
      <c r="C1358" t="inlineStr">
        <is>
          <t>Antes de 2026</t>
        </is>
      </c>
      <c r="D1358" t="inlineStr">
        <is>
          <t>Antes de 2026</t>
        </is>
      </c>
      <c r="E1358" s="28" t="n">
        <v>45916</v>
      </c>
      <c r="F1358" t="inlineStr">
        <is>
          <t>CT-e</t>
        </is>
      </c>
      <c r="G1358" t="inlineStr">
        <is>
          <t>000000384</t>
        </is>
      </c>
      <c r="H1358" t="inlineStr">
        <is>
          <t>ADIL CARLOS DA SILVA</t>
        </is>
      </c>
      <c r="J1358" s="29" t="n">
        <v>1</v>
      </c>
      <c r="K1358" s="29">
        <f>(1-ISNUMBER(SEARCH("556",M1358)))*(O1358*SUMIFS(Premissas!$C$5:$C$44,Premissas!$A$5:$A$44,$A1358,Premissas!$B$5:$B$44,$B1358)+P1358*SUMIFS(Premissas!$D$5:$D$44,Premissas!$A$5:$A$44,$A1358,Premissas!$B$5:$B$44,$B1358))+R1358*SUMIFS(Premissas!$E$5:$E$44,Premissas!$A$5:$A$44,$A1358,Premissas!$B$5:$B$44,$B1358)+S1358*SUMIFS(Premissas!$F$5:$F$44,Premissas!$A$5:$A$44,$A1358,Premissas!$B$5:$B$44,$B1358)</f>
        <v/>
      </c>
      <c r="L1358" s="29">
        <f>J1358-K1358</f>
        <v/>
      </c>
      <c r="M1358" t="inlineStr">
        <is>
          <t>2.350</t>
        </is>
      </c>
      <c r="N1358" t="inlineStr">
        <is>
          <t>Modalidade: 0 - Por conta do remetente | Parte: JND DISTRIBUIDORA LTDA (36.332.668/0001-83)</t>
        </is>
      </c>
      <c r="O1358" s="29" t="n">
        <v>0</v>
      </c>
      <c r="P1358" s="29" t="n">
        <v>0</v>
      </c>
      <c r="Q1358" s="29" t="n">
        <v>0</v>
      </c>
      <c r="R1358" s="29" t="n">
        <v>0</v>
      </c>
      <c r="S1358" s="29" t="n">
        <v>0</v>
      </c>
      <c r="T1358" t="inlineStr">
        <is>
          <t>25250934595800000114570010000003841000003849</t>
        </is>
      </c>
      <c r="U1358" t="inlineStr">
        <is>
          <t>Não</t>
        </is>
      </c>
    </row>
    <row r="1359">
      <c r="A1359" t="inlineStr">
        <is>
          <t>Frete de venda</t>
        </is>
      </c>
      <c r="B1359" t="inlineStr">
        <is>
          <t>2.01.02 Frete sobre Vendas</t>
        </is>
      </c>
      <c r="C1359" t="inlineStr">
        <is>
          <t>Antes de 2026</t>
        </is>
      </c>
      <c r="D1359" t="inlineStr">
        <is>
          <t>Antes de 2026</t>
        </is>
      </c>
      <c r="E1359" s="28" t="n">
        <v>45916</v>
      </c>
      <c r="F1359" t="inlineStr">
        <is>
          <t>CT-e</t>
        </is>
      </c>
      <c r="G1359" t="inlineStr">
        <is>
          <t>000000385</t>
        </is>
      </c>
      <c r="H1359" t="inlineStr">
        <is>
          <t>ADIL CARLOS DA SILVA</t>
        </is>
      </c>
      <c r="J1359" s="29" t="n">
        <v>1</v>
      </c>
      <c r="K1359" s="29">
        <f>(1-ISNUMBER(SEARCH("556",M1359)))*(O1359*SUMIFS(Premissas!$C$5:$C$44,Premissas!$A$5:$A$44,$A1359,Premissas!$B$5:$B$44,$B1359)+P1359*SUMIFS(Premissas!$D$5:$D$44,Premissas!$A$5:$A$44,$A1359,Premissas!$B$5:$B$44,$B1359))+R1359*SUMIFS(Premissas!$E$5:$E$44,Premissas!$A$5:$A$44,$A1359,Premissas!$B$5:$B$44,$B1359)+S1359*SUMIFS(Premissas!$F$5:$F$44,Premissas!$A$5:$A$44,$A1359,Premissas!$B$5:$B$44,$B1359)</f>
        <v/>
      </c>
      <c r="L1359" s="29">
        <f>J1359-K1359</f>
        <v/>
      </c>
      <c r="M1359" t="inlineStr">
        <is>
          <t>2.350</t>
        </is>
      </c>
      <c r="N1359" t="inlineStr">
        <is>
          <t>Modalidade: 0 - Por conta do remetente | Parte: ESTOCK DISTRIBUIDORA DE EMBALAGENS LTDA (42.003.982/0001-15)</t>
        </is>
      </c>
      <c r="O1359" s="29" t="n">
        <v>0</v>
      </c>
      <c r="P1359" s="29" t="n">
        <v>0</v>
      </c>
      <c r="Q1359" s="29" t="n">
        <v>0</v>
      </c>
      <c r="R1359" s="29" t="n">
        <v>0</v>
      </c>
      <c r="S1359" s="29" t="n">
        <v>0</v>
      </c>
      <c r="T1359" t="inlineStr">
        <is>
          <t>25250934595800000114570010000003851000003854</t>
        </is>
      </c>
      <c r="U1359" t="inlineStr">
        <is>
          <t>Não</t>
        </is>
      </c>
    </row>
    <row r="1360">
      <c r="A1360" t="inlineStr">
        <is>
          <t>Frete de venda</t>
        </is>
      </c>
      <c r="B1360" t="inlineStr">
        <is>
          <t>2.01.02 Frete sobre Vendas</t>
        </is>
      </c>
      <c r="C1360" t="inlineStr">
        <is>
          <t>Antes de 2026</t>
        </is>
      </c>
      <c r="D1360" t="inlineStr">
        <is>
          <t>Antes de 2026</t>
        </is>
      </c>
      <c r="E1360" s="28" t="n">
        <v>45919</v>
      </c>
      <c r="F1360" t="inlineStr">
        <is>
          <t>CT-e</t>
        </is>
      </c>
      <c r="G1360" t="inlineStr">
        <is>
          <t>000000392</t>
        </is>
      </c>
      <c r="H1360" t="inlineStr">
        <is>
          <t>ADIL CARLOS DA SILVA</t>
        </is>
      </c>
      <c r="J1360" s="29" t="n">
        <v>1</v>
      </c>
      <c r="K1360" s="29">
        <f>(1-ISNUMBER(SEARCH("556",M1360)))*(O1360*SUMIFS(Premissas!$C$5:$C$44,Premissas!$A$5:$A$44,$A1360,Premissas!$B$5:$B$44,$B1360)+P1360*SUMIFS(Premissas!$D$5:$D$44,Premissas!$A$5:$A$44,$A1360,Premissas!$B$5:$B$44,$B1360))+R1360*SUMIFS(Premissas!$E$5:$E$44,Premissas!$A$5:$A$44,$A1360,Premissas!$B$5:$B$44,$B1360)+S1360*SUMIFS(Premissas!$F$5:$F$44,Premissas!$A$5:$A$44,$A1360,Premissas!$B$5:$B$44,$B1360)</f>
        <v/>
      </c>
      <c r="L1360" s="29">
        <f>J1360-K1360</f>
        <v/>
      </c>
      <c r="M1360" t="inlineStr">
        <is>
          <t>2.350</t>
        </is>
      </c>
      <c r="N1360" t="inlineStr">
        <is>
          <t>Modalidade: 0 - Por conta do remetente | Parte: AMORIM e CIA LTDA. (08.291.637/0003-58)</t>
        </is>
      </c>
      <c r="O1360" s="29" t="n">
        <v>0</v>
      </c>
      <c r="P1360" s="29" t="n">
        <v>0</v>
      </c>
      <c r="Q1360" s="29" t="n">
        <v>0</v>
      </c>
      <c r="R1360" s="29" t="n">
        <v>0</v>
      </c>
      <c r="S1360" s="29" t="n">
        <v>0</v>
      </c>
      <c r="T1360" t="inlineStr">
        <is>
          <t>25250934595800000114570010000003921000003921</t>
        </is>
      </c>
      <c r="U1360" t="inlineStr">
        <is>
          <t>Não</t>
        </is>
      </c>
    </row>
    <row r="1361">
      <c r="A1361" t="inlineStr">
        <is>
          <t>Frete de venda</t>
        </is>
      </c>
      <c r="B1361" t="inlineStr">
        <is>
          <t>2.01.02 Frete sobre Vendas</t>
        </is>
      </c>
      <c r="C1361" t="inlineStr">
        <is>
          <t>Antes de 2026</t>
        </is>
      </c>
      <c r="D1361" t="inlineStr">
        <is>
          <t>Antes de 2026</t>
        </is>
      </c>
      <c r="E1361" s="28" t="n">
        <v>45941</v>
      </c>
      <c r="F1361" t="inlineStr">
        <is>
          <t>CT-e</t>
        </is>
      </c>
      <c r="G1361" t="inlineStr">
        <is>
          <t>000000474</t>
        </is>
      </c>
      <c r="H1361" t="inlineStr">
        <is>
          <t>ADIL CARLOS DA SILVA</t>
        </is>
      </c>
      <c r="J1361" s="29" t="n">
        <v>150</v>
      </c>
      <c r="K1361" s="29">
        <f>(1-ISNUMBER(SEARCH("556",M1361)))*(O1361*SUMIFS(Premissas!$C$5:$C$44,Premissas!$A$5:$A$44,$A1361,Premissas!$B$5:$B$44,$B1361)+P1361*SUMIFS(Premissas!$D$5:$D$44,Premissas!$A$5:$A$44,$A1361,Premissas!$B$5:$B$44,$B1361))+R1361*SUMIFS(Premissas!$E$5:$E$44,Premissas!$A$5:$A$44,$A1361,Premissas!$B$5:$B$44,$B1361)+S1361*SUMIFS(Premissas!$F$5:$F$44,Premissas!$A$5:$A$44,$A1361,Premissas!$B$5:$B$44,$B1361)</f>
        <v/>
      </c>
      <c r="L1361" s="29">
        <f>J1361-K1361</f>
        <v/>
      </c>
      <c r="M1361" t="inlineStr">
        <is>
          <t>2.350</t>
        </is>
      </c>
      <c r="N1361" t="inlineStr">
        <is>
          <t>Modalidade: 0 - Por conta do remetente | Parte: FORTALI DISTRIBUIDORA DE ALIMENTOS LTDA. (09.317.318/0001-75)</t>
        </is>
      </c>
      <c r="O1361" s="29" t="n">
        <v>0</v>
      </c>
      <c r="P1361" s="29" t="n">
        <v>0</v>
      </c>
      <c r="Q1361" s="29" t="n">
        <v>0</v>
      </c>
      <c r="R1361" s="29" t="n">
        <v>0</v>
      </c>
      <c r="S1361" s="29" t="n">
        <v>0</v>
      </c>
      <c r="T1361" t="inlineStr">
        <is>
          <t>25251034595800000114570010000004741000004747</t>
        </is>
      </c>
      <c r="U1361" t="inlineStr">
        <is>
          <t>Não</t>
        </is>
      </c>
    </row>
    <row r="1362">
      <c r="A1362" t="inlineStr">
        <is>
          <t>Frete de venda</t>
        </is>
      </c>
      <c r="B1362" t="inlineStr">
        <is>
          <t>2.01.02 Frete sobre Vendas</t>
        </is>
      </c>
      <c r="C1362" t="inlineStr">
        <is>
          <t>Antes de 2026</t>
        </is>
      </c>
      <c r="D1362" t="inlineStr">
        <is>
          <t>Antes de 2026</t>
        </is>
      </c>
      <c r="E1362" s="28" t="n">
        <v>45944</v>
      </c>
      <c r="F1362" t="inlineStr">
        <is>
          <t>CT-e</t>
        </is>
      </c>
      <c r="G1362" t="inlineStr">
        <is>
          <t>000000484</t>
        </is>
      </c>
      <c r="H1362" t="inlineStr">
        <is>
          <t>ADIL CARLOS DA SILVA</t>
        </is>
      </c>
      <c r="J1362" s="29" t="n">
        <v>1</v>
      </c>
      <c r="K1362" s="29">
        <f>(1-ISNUMBER(SEARCH("556",M1362)))*(O1362*SUMIFS(Premissas!$C$5:$C$44,Premissas!$A$5:$A$44,$A1362,Premissas!$B$5:$B$44,$B1362)+P1362*SUMIFS(Premissas!$D$5:$D$44,Premissas!$A$5:$A$44,$A1362,Premissas!$B$5:$B$44,$B1362))+R1362*SUMIFS(Premissas!$E$5:$E$44,Premissas!$A$5:$A$44,$A1362,Premissas!$B$5:$B$44,$B1362)+S1362*SUMIFS(Premissas!$F$5:$F$44,Premissas!$A$5:$A$44,$A1362,Premissas!$B$5:$B$44,$B1362)</f>
        <v/>
      </c>
      <c r="L1362" s="29">
        <f>J1362-K1362</f>
        <v/>
      </c>
      <c r="M1362" t="inlineStr">
        <is>
          <t>2.350</t>
        </is>
      </c>
      <c r="N1362" t="inlineStr">
        <is>
          <t>Transportadora de frete de venda, mas pela modalidade do frete a Vinco recebeu a carga | Modalidade: 1 - Por conta do destinatário | Parte: FORTALI DISTRIBUIDORA DE ALIMENTOS LTDA. (09.317.318/0001-75)</t>
        </is>
      </c>
      <c r="O1362" s="29" t="n">
        <v>0</v>
      </c>
      <c r="P1362" s="29" t="n">
        <v>0</v>
      </c>
      <c r="Q1362" s="29" t="n">
        <v>0</v>
      </c>
      <c r="R1362" s="29" t="n">
        <v>0</v>
      </c>
      <c r="S1362" s="29" t="n">
        <v>0</v>
      </c>
      <c r="T1362" t="inlineStr">
        <is>
          <t>25251034595800000114570010000004841000004840</t>
        </is>
      </c>
      <c r="U1362" t="inlineStr">
        <is>
          <t>Não</t>
        </is>
      </c>
    </row>
    <row r="1363">
      <c r="A1363" t="inlineStr">
        <is>
          <t>Frete de venda</t>
        </is>
      </c>
      <c r="B1363" t="inlineStr">
        <is>
          <t>2.01.02 Frete sobre Vendas</t>
        </is>
      </c>
      <c r="C1363" t="inlineStr">
        <is>
          <t>Antes de 2026</t>
        </is>
      </c>
      <c r="D1363" t="inlineStr">
        <is>
          <t>Antes de 2026</t>
        </is>
      </c>
      <c r="E1363" s="28" t="n">
        <v>45784</v>
      </c>
      <c r="F1363" t="inlineStr">
        <is>
          <t>CT-e</t>
        </is>
      </c>
      <c r="G1363" t="inlineStr">
        <is>
          <t>000002558</t>
        </is>
      </c>
      <c r="H1363" t="inlineStr">
        <is>
          <t>C L TRANSPORTES LTDA - IDEALIZA TRANSP</t>
        </is>
      </c>
      <c r="J1363" s="29" t="n">
        <v>213.85</v>
      </c>
      <c r="K1363" s="29">
        <f>(1-ISNUMBER(SEARCH("556",M1363)))*(O1363*SUMIFS(Premissas!$C$5:$C$44,Premissas!$A$5:$A$44,$A1363,Premissas!$B$5:$B$44,$B1363)+P1363*SUMIFS(Premissas!$D$5:$D$44,Premissas!$A$5:$A$44,$A1363,Premissas!$B$5:$B$44,$B1363))+R1363*SUMIFS(Premissas!$E$5:$E$44,Premissas!$A$5:$A$44,$A1363,Premissas!$B$5:$B$44,$B1363)+S1363*SUMIFS(Premissas!$F$5:$F$44,Premissas!$A$5:$A$44,$A1363,Premissas!$B$5:$B$44,$B1363)</f>
        <v/>
      </c>
      <c r="L1363" s="29">
        <f>J1363-K1363</f>
        <v/>
      </c>
      <c r="M1363" t="inlineStr">
        <is>
          <t>1.556</t>
        </is>
      </c>
      <c r="N1363" t="inlineStr">
        <is>
          <t>Transportadora fora da lista de frete de venda, mas pela modalidade a Vinco enviou a carga | Modalidade: 0 - Por conta do remetente | Parte: JAMES L. H. TOME e CIA LTDA (16.965.024/0006-20)</t>
        </is>
      </c>
      <c r="O1363" s="29" t="n">
        <v>0</v>
      </c>
      <c r="P1363" s="29" t="n">
        <v>0</v>
      </c>
      <c r="Q1363" s="29" t="n">
        <v>0</v>
      </c>
      <c r="R1363" s="29" t="n">
        <v>0</v>
      </c>
      <c r="S1363" s="29" t="n">
        <v>0</v>
      </c>
      <c r="T1363" t="inlineStr">
        <is>
          <t>15250555591837000144570020000025581000096745</t>
        </is>
      </c>
      <c r="U1363" t="inlineStr">
        <is>
          <t>Não</t>
        </is>
      </c>
    </row>
    <row r="1364">
      <c r="A1364" t="inlineStr">
        <is>
          <t>Frete de venda</t>
        </is>
      </c>
      <c r="B1364" t="inlineStr">
        <is>
          <t>2.01.02 Frete sobre Vendas</t>
        </is>
      </c>
      <c r="C1364" t="inlineStr">
        <is>
          <t>Antes de 2026</t>
        </is>
      </c>
      <c r="D1364" t="inlineStr">
        <is>
          <t>Antes de 2026</t>
        </is>
      </c>
      <c r="E1364" s="28" t="n">
        <v>45784</v>
      </c>
      <c r="F1364" t="inlineStr">
        <is>
          <t>CT-e</t>
        </is>
      </c>
      <c r="G1364" t="inlineStr">
        <is>
          <t>000002559</t>
        </is>
      </c>
      <c r="H1364" t="inlineStr">
        <is>
          <t>C L TRANSPORTES LTDA - IDEALIZA TRANSP</t>
        </is>
      </c>
      <c r="J1364" s="29" t="n">
        <v>422.45</v>
      </c>
      <c r="K1364" s="29">
        <f>(1-ISNUMBER(SEARCH("556",M1364)))*(O1364*SUMIFS(Premissas!$C$5:$C$44,Premissas!$A$5:$A$44,$A1364,Premissas!$B$5:$B$44,$B1364)+P1364*SUMIFS(Premissas!$D$5:$D$44,Premissas!$A$5:$A$44,$A1364,Premissas!$B$5:$B$44,$B1364))+R1364*SUMIFS(Premissas!$E$5:$E$44,Premissas!$A$5:$A$44,$A1364,Premissas!$B$5:$B$44,$B1364)+S1364*SUMIFS(Premissas!$F$5:$F$44,Premissas!$A$5:$A$44,$A1364,Premissas!$B$5:$B$44,$B1364)</f>
        <v/>
      </c>
      <c r="L1364" s="29">
        <f>J1364-K1364</f>
        <v/>
      </c>
      <c r="M1364" t="inlineStr">
        <is>
          <t>1.556</t>
        </is>
      </c>
      <c r="N1364" t="inlineStr">
        <is>
          <t>Transportadora fora da lista de frete de venda, mas pela modalidade a Vinco enviou a carga | Modalidade: 0 - Por conta do remetente | Parte: JAMES L. H. TOME e CIA LTDA (16.965.024/0001-15)</t>
        </is>
      </c>
      <c r="O1364" s="29" t="n">
        <v>0</v>
      </c>
      <c r="P1364" s="29" t="n">
        <v>0</v>
      </c>
      <c r="Q1364" s="29" t="n">
        <v>0</v>
      </c>
      <c r="R1364" s="29" t="n">
        <v>0</v>
      </c>
      <c r="S1364" s="29" t="n">
        <v>0</v>
      </c>
      <c r="T1364" t="inlineStr">
        <is>
          <t>15250555591837000144570020000025591000096750</t>
        </is>
      </c>
      <c r="U1364" t="inlineStr">
        <is>
          <t>Não</t>
        </is>
      </c>
    </row>
    <row r="1365">
      <c r="A1365" t="inlineStr">
        <is>
          <t>Frete de venda</t>
        </is>
      </c>
      <c r="B1365" t="inlineStr">
        <is>
          <t>2.01.02 Frete sobre Vendas</t>
        </is>
      </c>
      <c r="C1365" t="inlineStr">
        <is>
          <t>Antes de 2026</t>
        </is>
      </c>
      <c r="D1365" t="inlineStr">
        <is>
          <t>Antes de 2026</t>
        </is>
      </c>
      <c r="E1365" s="28" t="n">
        <v>45784</v>
      </c>
      <c r="F1365" t="inlineStr">
        <is>
          <t>CT-e</t>
        </is>
      </c>
      <c r="G1365" t="inlineStr">
        <is>
          <t>000002560</t>
        </is>
      </c>
      <c r="H1365" t="inlineStr">
        <is>
          <t>C L TRANSPORTES LTDA - IDEALIZA TRANSP</t>
        </is>
      </c>
      <c r="J1365" s="29" t="n">
        <v>302.4</v>
      </c>
      <c r="K1365" s="29">
        <f>(1-ISNUMBER(SEARCH("556",M1365)))*(O1365*SUMIFS(Premissas!$C$5:$C$44,Premissas!$A$5:$A$44,$A1365,Premissas!$B$5:$B$44,$B1365)+P1365*SUMIFS(Premissas!$D$5:$D$44,Premissas!$A$5:$A$44,$A1365,Premissas!$B$5:$B$44,$B1365))+R1365*SUMIFS(Premissas!$E$5:$E$44,Premissas!$A$5:$A$44,$A1365,Premissas!$B$5:$B$44,$B1365)+S1365*SUMIFS(Premissas!$F$5:$F$44,Premissas!$A$5:$A$44,$A1365,Premissas!$B$5:$B$44,$B1365)</f>
        <v/>
      </c>
      <c r="L1365" s="29">
        <f>J1365-K1365</f>
        <v/>
      </c>
      <c r="M1365" t="inlineStr">
        <is>
          <t>1.556</t>
        </is>
      </c>
      <c r="N1365" t="inlineStr">
        <is>
          <t>Transportadora fora da lista de frete de venda, mas pela modalidade a Vinco enviou a carga | Modalidade: 0 - Por conta do remetente | Parte: A SARAIVA DA CRUZ COMERCIAL LTDA (01.342.240/0001-37)</t>
        </is>
      </c>
      <c r="O1365" s="29" t="n">
        <v>0</v>
      </c>
      <c r="P1365" s="29" t="n">
        <v>0</v>
      </c>
      <c r="Q1365" s="29" t="n">
        <v>0</v>
      </c>
      <c r="R1365" s="29" t="n">
        <v>0</v>
      </c>
      <c r="S1365" s="29" t="n">
        <v>0</v>
      </c>
      <c r="T1365" t="inlineStr">
        <is>
          <t>15250555591837000144570020000025601000096760</t>
        </is>
      </c>
      <c r="U1365" t="inlineStr">
        <is>
          <t>Não</t>
        </is>
      </c>
    </row>
    <row r="1366">
      <c r="A1366" t="inlineStr">
        <is>
          <t>Frete de venda</t>
        </is>
      </c>
      <c r="B1366" t="inlineStr">
        <is>
          <t>2.01.02 Frete sobre Vendas</t>
        </is>
      </c>
      <c r="C1366" t="inlineStr">
        <is>
          <t>Antes de 2026</t>
        </is>
      </c>
      <c r="D1366" t="inlineStr">
        <is>
          <t>Antes de 2026</t>
        </is>
      </c>
      <c r="E1366" s="28" t="n">
        <v>45791</v>
      </c>
      <c r="F1366" t="inlineStr">
        <is>
          <t>CT-e</t>
        </is>
      </c>
      <c r="G1366" t="inlineStr">
        <is>
          <t>000002663</t>
        </is>
      </c>
      <c r="H1366" t="inlineStr">
        <is>
          <t>C L TRANSPORTES LTDA - IDEALIZA TRANSP</t>
        </is>
      </c>
      <c r="J1366" s="29" t="n">
        <v>267.05</v>
      </c>
      <c r="K1366" s="29">
        <f>(1-ISNUMBER(SEARCH("556",M1366)))*(O1366*SUMIFS(Premissas!$C$5:$C$44,Premissas!$A$5:$A$44,$A1366,Premissas!$B$5:$B$44,$B1366)+P1366*SUMIFS(Premissas!$D$5:$D$44,Premissas!$A$5:$A$44,$A1366,Premissas!$B$5:$B$44,$B1366))+R1366*SUMIFS(Premissas!$E$5:$E$44,Premissas!$A$5:$A$44,$A1366,Premissas!$B$5:$B$44,$B1366)+S1366*SUMIFS(Premissas!$F$5:$F$44,Premissas!$A$5:$A$44,$A1366,Premissas!$B$5:$B$44,$B1366)</f>
        <v/>
      </c>
      <c r="L1366" s="29">
        <f>J1366-K1366</f>
        <v/>
      </c>
      <c r="M1366" t="inlineStr">
        <is>
          <t>1.556</t>
        </is>
      </c>
      <c r="N1366" t="inlineStr">
        <is>
          <t>Transportadora fora da lista de frete de venda, mas pela modalidade a Vinco enviou a carga | Modalidade: 0 - Por conta do remetente | Parte: POPULAR COMERCIO DE MERCADORIAS EM GERAL LTDA (32.323.706/0001-80)</t>
        </is>
      </c>
      <c r="O1366" s="29" t="n">
        <v>0</v>
      </c>
      <c r="P1366" s="29" t="n">
        <v>0</v>
      </c>
      <c r="Q1366" s="29" t="n">
        <v>0</v>
      </c>
      <c r="R1366" s="29" t="n">
        <v>0</v>
      </c>
      <c r="S1366" s="29" t="n">
        <v>0</v>
      </c>
      <c r="T1366" t="inlineStr">
        <is>
          <t>15250555591837000144570020000026631000101221</t>
        </is>
      </c>
      <c r="U1366" t="inlineStr">
        <is>
          <t>Não</t>
        </is>
      </c>
    </row>
    <row r="1367">
      <c r="A1367" t="inlineStr">
        <is>
          <t>Frete de venda</t>
        </is>
      </c>
      <c r="B1367" t="inlineStr">
        <is>
          <t>2.01.02 Frete sobre Vendas</t>
        </is>
      </c>
      <c r="C1367" t="inlineStr">
        <is>
          <t>Antes de 2026</t>
        </is>
      </c>
      <c r="D1367" t="inlineStr">
        <is>
          <t>Antes de 2026</t>
        </is>
      </c>
      <c r="E1367" s="28" t="n">
        <v>45791</v>
      </c>
      <c r="F1367" t="inlineStr">
        <is>
          <t>CT-e</t>
        </is>
      </c>
      <c r="G1367" t="inlineStr">
        <is>
          <t>000002664</t>
        </is>
      </c>
      <c r="H1367" t="inlineStr">
        <is>
          <t>C L TRANSPORTES LTDA - IDEALIZA TRANSP</t>
        </is>
      </c>
      <c r="J1367" s="29" t="n">
        <v>308.35</v>
      </c>
      <c r="K1367" s="29">
        <f>(1-ISNUMBER(SEARCH("556",M1367)))*(O1367*SUMIFS(Premissas!$C$5:$C$44,Premissas!$A$5:$A$44,$A1367,Premissas!$B$5:$B$44,$B1367)+P1367*SUMIFS(Premissas!$D$5:$D$44,Premissas!$A$5:$A$44,$A1367,Premissas!$B$5:$B$44,$B1367))+R1367*SUMIFS(Premissas!$E$5:$E$44,Premissas!$A$5:$A$44,$A1367,Premissas!$B$5:$B$44,$B1367)+S1367*SUMIFS(Premissas!$F$5:$F$44,Premissas!$A$5:$A$44,$A1367,Premissas!$B$5:$B$44,$B1367)</f>
        <v/>
      </c>
      <c r="L1367" s="29">
        <f>J1367-K1367</f>
        <v/>
      </c>
      <c r="M1367" t="inlineStr">
        <is>
          <t>1.556</t>
        </is>
      </c>
      <c r="N1367" t="inlineStr">
        <is>
          <t>Transportadora fora da lista de frete de venda, mas pela modalidade a Vinco enviou a carga | Modalidade: 0 - Por conta do remetente | Parte: R ALBUQUERQUE COMERCIO DE ARTIGOS DE ARMARINHO LTDA (57.701.763/0001-87)</t>
        </is>
      </c>
      <c r="O1367" s="29" t="n">
        <v>0</v>
      </c>
      <c r="P1367" s="29" t="n">
        <v>0</v>
      </c>
      <c r="Q1367" s="29" t="n">
        <v>0</v>
      </c>
      <c r="R1367" s="29" t="n">
        <v>0</v>
      </c>
      <c r="S1367" s="29" t="n">
        <v>0</v>
      </c>
      <c r="T1367" t="inlineStr">
        <is>
          <t>15250555591837000144570020000026641000101237</t>
        </is>
      </c>
      <c r="U1367" t="inlineStr">
        <is>
          <t>Não</t>
        </is>
      </c>
    </row>
    <row r="1368">
      <c r="A1368" t="inlineStr">
        <is>
          <t>Frete de venda</t>
        </is>
      </c>
      <c r="B1368" t="inlineStr">
        <is>
          <t>2.01.02 Frete sobre Vendas</t>
        </is>
      </c>
      <c r="C1368" t="inlineStr">
        <is>
          <t>Antes de 2026</t>
        </is>
      </c>
      <c r="D1368" t="inlineStr">
        <is>
          <t>Antes de 2026</t>
        </is>
      </c>
      <c r="E1368" s="28" t="n">
        <v>45791</v>
      </c>
      <c r="F1368" t="inlineStr">
        <is>
          <t>CT-e</t>
        </is>
      </c>
      <c r="G1368" t="inlineStr">
        <is>
          <t>000002665</t>
        </is>
      </c>
      <c r="H1368" t="inlineStr">
        <is>
          <t>C L TRANSPORTES LTDA - IDEALIZA TRANSP</t>
        </is>
      </c>
      <c r="J1368" s="29" t="n">
        <v>169.05</v>
      </c>
      <c r="K1368" s="29">
        <f>(1-ISNUMBER(SEARCH("556",M1368)))*(O1368*SUMIFS(Premissas!$C$5:$C$44,Premissas!$A$5:$A$44,$A1368,Premissas!$B$5:$B$44,$B1368)+P1368*SUMIFS(Premissas!$D$5:$D$44,Premissas!$A$5:$A$44,$A1368,Premissas!$B$5:$B$44,$B1368))+R1368*SUMIFS(Premissas!$E$5:$E$44,Premissas!$A$5:$A$44,$A1368,Premissas!$B$5:$B$44,$B1368)+S1368*SUMIFS(Premissas!$F$5:$F$44,Premissas!$A$5:$A$44,$A1368,Premissas!$B$5:$B$44,$B1368)</f>
        <v/>
      </c>
      <c r="L1368" s="29">
        <f>J1368-K1368</f>
        <v/>
      </c>
      <c r="M1368" t="inlineStr">
        <is>
          <t>1.556</t>
        </is>
      </c>
      <c r="N1368" t="inlineStr">
        <is>
          <t>Transportadora fora da lista de frete de venda, mas pela modalidade a Vinco enviou a carga | Modalidade: 0 - Por conta do remetente | Parte: K C O F DO NASCIMENTO (53.959.331/0001-10)</t>
        </is>
      </c>
      <c r="O1368" s="29" t="n">
        <v>0</v>
      </c>
      <c r="P1368" s="29" t="n">
        <v>0</v>
      </c>
      <c r="Q1368" s="29" t="n">
        <v>0</v>
      </c>
      <c r="R1368" s="29" t="n">
        <v>0</v>
      </c>
      <c r="S1368" s="29" t="n">
        <v>0</v>
      </c>
      <c r="T1368" t="inlineStr">
        <is>
          <t>15250555591837000144570020000026651000101242</t>
        </is>
      </c>
      <c r="U1368" t="inlineStr">
        <is>
          <t>Não</t>
        </is>
      </c>
    </row>
    <row r="1369">
      <c r="A1369" t="inlineStr">
        <is>
          <t>Frete de venda</t>
        </is>
      </c>
      <c r="B1369" t="inlineStr">
        <is>
          <t>2.01.02 Frete sobre Vendas</t>
        </is>
      </c>
      <c r="C1369" t="inlineStr">
        <is>
          <t>Antes de 2026</t>
        </is>
      </c>
      <c r="D1369" t="inlineStr">
        <is>
          <t>Antes de 2026</t>
        </is>
      </c>
      <c r="E1369" s="28" t="n">
        <v>45791</v>
      </c>
      <c r="F1369" t="inlineStr">
        <is>
          <t>CT-e</t>
        </is>
      </c>
      <c r="G1369" t="inlineStr">
        <is>
          <t>000002666</t>
        </is>
      </c>
      <c r="H1369" t="inlineStr">
        <is>
          <t>C L TRANSPORTES LTDA - IDEALIZA TRANSP</t>
        </is>
      </c>
      <c r="J1369" s="29" t="n">
        <v>420</v>
      </c>
      <c r="K1369" s="29">
        <f>(1-ISNUMBER(SEARCH("556",M1369)))*(O1369*SUMIFS(Premissas!$C$5:$C$44,Premissas!$A$5:$A$44,$A1369,Premissas!$B$5:$B$44,$B1369)+P1369*SUMIFS(Premissas!$D$5:$D$44,Premissas!$A$5:$A$44,$A1369,Premissas!$B$5:$B$44,$B1369))+R1369*SUMIFS(Premissas!$E$5:$E$44,Premissas!$A$5:$A$44,$A1369,Premissas!$B$5:$B$44,$B1369)+S1369*SUMIFS(Premissas!$F$5:$F$44,Premissas!$A$5:$A$44,$A1369,Premissas!$B$5:$B$44,$B1369)</f>
        <v/>
      </c>
      <c r="L1369" s="29">
        <f>J1369-K1369</f>
        <v/>
      </c>
      <c r="M1369" t="inlineStr">
        <is>
          <t>1.556</t>
        </is>
      </c>
      <c r="N1369" t="inlineStr">
        <is>
          <t>Transportadora fora da lista de frete de venda, mas pela modalidade a Vinco enviou a carga | Modalidade: 0 - Por conta do remetente | Parte: B A FONTES LTDA (23.108.379/0001-53)</t>
        </is>
      </c>
      <c r="O1369" s="29" t="n">
        <v>0</v>
      </c>
      <c r="P1369" s="29" t="n">
        <v>0</v>
      </c>
      <c r="Q1369" s="29" t="n">
        <v>0</v>
      </c>
      <c r="R1369" s="29" t="n">
        <v>0</v>
      </c>
      <c r="S1369" s="29" t="n">
        <v>0</v>
      </c>
      <c r="T1369" t="inlineStr">
        <is>
          <t>15250555591837000144570020000026661000101258</t>
        </is>
      </c>
      <c r="U1369" t="inlineStr">
        <is>
          <t>Não</t>
        </is>
      </c>
    </row>
    <row r="1370">
      <c r="A1370" t="inlineStr">
        <is>
          <t>Frete de venda</t>
        </is>
      </c>
      <c r="B1370" t="inlineStr">
        <is>
          <t>2.01.02 Frete sobre Vendas</t>
        </is>
      </c>
      <c r="C1370" t="inlineStr">
        <is>
          <t>Antes de 2026</t>
        </is>
      </c>
      <c r="D1370" t="inlineStr">
        <is>
          <t>Antes de 2026</t>
        </is>
      </c>
      <c r="E1370" s="28" t="n">
        <v>45791</v>
      </c>
      <c r="F1370" t="inlineStr">
        <is>
          <t>CT-e</t>
        </is>
      </c>
      <c r="G1370" t="inlineStr">
        <is>
          <t>000002667</t>
        </is>
      </c>
      <c r="H1370" t="inlineStr">
        <is>
          <t>C L TRANSPORTES LTDA - IDEALIZA TRANSP</t>
        </is>
      </c>
      <c r="J1370" s="29" t="n">
        <v>165.55</v>
      </c>
      <c r="K1370" s="29">
        <f>(1-ISNUMBER(SEARCH("556",M1370)))*(O1370*SUMIFS(Premissas!$C$5:$C$44,Premissas!$A$5:$A$44,$A1370,Premissas!$B$5:$B$44,$B1370)+P1370*SUMIFS(Premissas!$D$5:$D$44,Premissas!$A$5:$A$44,$A1370,Premissas!$B$5:$B$44,$B1370))+R1370*SUMIFS(Premissas!$E$5:$E$44,Premissas!$A$5:$A$44,$A1370,Premissas!$B$5:$B$44,$B1370)+S1370*SUMIFS(Premissas!$F$5:$F$44,Premissas!$A$5:$A$44,$A1370,Premissas!$B$5:$B$44,$B1370)</f>
        <v/>
      </c>
      <c r="L1370" s="29">
        <f>J1370-K1370</f>
        <v/>
      </c>
      <c r="M1370" t="inlineStr">
        <is>
          <t>1.556</t>
        </is>
      </c>
      <c r="N1370" t="inlineStr">
        <is>
          <t>Transportadora fora da lista de frete de venda, mas pela modalidade a Vinco enviou a carga | Modalidade: 0 - Por conta do remetente | Parte: PORTUGAL COMERCIO DE PRODUTOS DESCARTAVEIS LTDA (83.349.563/0003-89)</t>
        </is>
      </c>
      <c r="O1370" s="29" t="n">
        <v>0</v>
      </c>
      <c r="P1370" s="29" t="n">
        <v>0</v>
      </c>
      <c r="Q1370" s="29" t="n">
        <v>0</v>
      </c>
      <c r="R1370" s="29" t="n">
        <v>0</v>
      </c>
      <c r="S1370" s="29" t="n">
        <v>0</v>
      </c>
      <c r="T1370" t="inlineStr">
        <is>
          <t>15250555591837000144570020000026671000101263</t>
        </is>
      </c>
      <c r="U1370" t="inlineStr">
        <is>
          <t>Não</t>
        </is>
      </c>
    </row>
    <row r="1371">
      <c r="A1371" t="inlineStr">
        <is>
          <t>Frete de venda</t>
        </is>
      </c>
      <c r="B1371" t="inlineStr">
        <is>
          <t>2.01.02 Frete sobre Vendas</t>
        </is>
      </c>
      <c r="C1371" t="inlineStr">
        <is>
          <t>Antes de 2026</t>
        </is>
      </c>
      <c r="D1371" t="inlineStr">
        <is>
          <t>Antes de 2026</t>
        </is>
      </c>
      <c r="E1371" s="28" t="n">
        <v>45791</v>
      </c>
      <c r="F1371" t="inlineStr">
        <is>
          <t>CT-e</t>
        </is>
      </c>
      <c r="G1371" t="inlineStr">
        <is>
          <t>000002668</t>
        </is>
      </c>
      <c r="H1371" t="inlineStr">
        <is>
          <t>C L TRANSPORTES LTDA - IDEALIZA TRANSP</t>
        </is>
      </c>
      <c r="J1371" s="29" t="n">
        <v>208.95</v>
      </c>
      <c r="K1371" s="29">
        <f>(1-ISNUMBER(SEARCH("556",M1371)))*(O1371*SUMIFS(Premissas!$C$5:$C$44,Premissas!$A$5:$A$44,$A1371,Premissas!$B$5:$B$44,$B1371)+P1371*SUMIFS(Premissas!$D$5:$D$44,Premissas!$A$5:$A$44,$A1371,Premissas!$B$5:$B$44,$B1371))+R1371*SUMIFS(Premissas!$E$5:$E$44,Premissas!$A$5:$A$44,$A1371,Premissas!$B$5:$B$44,$B1371)+S1371*SUMIFS(Premissas!$F$5:$F$44,Premissas!$A$5:$A$44,$A1371,Premissas!$B$5:$B$44,$B1371)</f>
        <v/>
      </c>
      <c r="L1371" s="29">
        <f>J1371-K1371</f>
        <v/>
      </c>
      <c r="M1371" t="inlineStr">
        <is>
          <t>1.556</t>
        </is>
      </c>
      <c r="N1371" t="inlineStr">
        <is>
          <t>Transportadora fora da lista de frete de venda, mas pela modalidade a Vinco enviou a carga | Modalidade: 0 - Por conta do remetente | Parte: PORTUGAL COMERCIO DE PRODUTOS DESCARTAVEIS LTDA (83.349.563/0001-17)</t>
        </is>
      </c>
      <c r="O1371" s="29" t="n">
        <v>0</v>
      </c>
      <c r="P1371" s="29" t="n">
        <v>0</v>
      </c>
      <c r="Q1371" s="29" t="n">
        <v>0</v>
      </c>
      <c r="R1371" s="29" t="n">
        <v>0</v>
      </c>
      <c r="S1371" s="29" t="n">
        <v>0</v>
      </c>
      <c r="T1371" t="inlineStr">
        <is>
          <t>15250555591837000144570020000026681000101279</t>
        </is>
      </c>
      <c r="U1371" t="inlineStr">
        <is>
          <t>Não</t>
        </is>
      </c>
    </row>
    <row r="1372">
      <c r="A1372" t="inlineStr">
        <is>
          <t>Frete de venda</t>
        </is>
      </c>
      <c r="B1372" t="inlineStr">
        <is>
          <t>2.01.02 Frete sobre Vendas</t>
        </is>
      </c>
      <c r="C1372" t="inlineStr">
        <is>
          <t>Antes de 2026</t>
        </is>
      </c>
      <c r="D1372" t="inlineStr">
        <is>
          <t>Antes de 2026</t>
        </is>
      </c>
      <c r="E1372" s="28" t="n">
        <v>45791</v>
      </c>
      <c r="F1372" t="inlineStr">
        <is>
          <t>CT-e</t>
        </is>
      </c>
      <c r="G1372" t="inlineStr">
        <is>
          <t>000002669</t>
        </is>
      </c>
      <c r="H1372" t="inlineStr">
        <is>
          <t>C L TRANSPORTES LTDA - IDEALIZA TRANSP</t>
        </is>
      </c>
      <c r="J1372" s="29" t="n">
        <v>286.65</v>
      </c>
      <c r="K1372" s="29">
        <f>(1-ISNUMBER(SEARCH("556",M1372)))*(O1372*SUMIFS(Premissas!$C$5:$C$44,Premissas!$A$5:$A$44,$A1372,Premissas!$B$5:$B$44,$B1372)+P1372*SUMIFS(Premissas!$D$5:$D$44,Premissas!$A$5:$A$44,$A1372,Premissas!$B$5:$B$44,$B1372))+R1372*SUMIFS(Premissas!$E$5:$E$44,Premissas!$A$5:$A$44,$A1372,Premissas!$B$5:$B$44,$B1372)+S1372*SUMIFS(Premissas!$F$5:$F$44,Premissas!$A$5:$A$44,$A1372,Premissas!$B$5:$B$44,$B1372)</f>
        <v/>
      </c>
      <c r="L1372" s="29">
        <f>J1372-K1372</f>
        <v/>
      </c>
      <c r="M1372" t="inlineStr">
        <is>
          <t>1.556</t>
        </is>
      </c>
      <c r="N1372" t="inlineStr">
        <is>
          <t>Transportadora fora da lista de frete de venda, mas pela modalidade a Vinco enviou a carga | Modalidade: 0 - Por conta do remetente | Parte: NEW PLASTICOS DISTRIBUIDORA LTDA (38.438.642/0001-40)</t>
        </is>
      </c>
      <c r="O1372" s="29" t="n">
        <v>0</v>
      </c>
      <c r="P1372" s="29" t="n">
        <v>0</v>
      </c>
      <c r="Q1372" s="29" t="n">
        <v>0</v>
      </c>
      <c r="R1372" s="29" t="n">
        <v>0</v>
      </c>
      <c r="S1372" s="29" t="n">
        <v>0</v>
      </c>
      <c r="T1372" t="inlineStr">
        <is>
          <t>15250555591837000144570020000026691000101284</t>
        </is>
      </c>
      <c r="U1372" t="inlineStr">
        <is>
          <t>Não</t>
        </is>
      </c>
    </row>
    <row r="1373">
      <c r="A1373" t="inlineStr">
        <is>
          <t>Frete de venda</t>
        </is>
      </c>
      <c r="B1373" t="inlineStr">
        <is>
          <t>2.01.02 Frete sobre Vendas</t>
        </is>
      </c>
      <c r="C1373" t="inlineStr">
        <is>
          <t>Antes de 2026</t>
        </is>
      </c>
      <c r="D1373" t="inlineStr">
        <is>
          <t>Antes de 2026</t>
        </is>
      </c>
      <c r="E1373" s="28" t="n">
        <v>45791</v>
      </c>
      <c r="F1373" t="inlineStr">
        <is>
          <t>CT-e</t>
        </is>
      </c>
      <c r="G1373" t="inlineStr">
        <is>
          <t>000002670</t>
        </is>
      </c>
      <c r="H1373" t="inlineStr">
        <is>
          <t>C L TRANSPORTES LTDA - IDEALIZA TRANSP</t>
        </is>
      </c>
      <c r="J1373" s="29" t="n">
        <v>205.53</v>
      </c>
      <c r="K1373" s="29">
        <f>(1-ISNUMBER(SEARCH("556",M1373)))*(O1373*SUMIFS(Premissas!$C$5:$C$44,Premissas!$A$5:$A$44,$A1373,Premissas!$B$5:$B$44,$B1373)+P1373*SUMIFS(Premissas!$D$5:$D$44,Premissas!$A$5:$A$44,$A1373,Premissas!$B$5:$B$44,$B1373))+R1373*SUMIFS(Premissas!$E$5:$E$44,Premissas!$A$5:$A$44,$A1373,Premissas!$B$5:$B$44,$B1373)+S1373*SUMIFS(Premissas!$F$5:$F$44,Premissas!$A$5:$A$44,$A1373,Premissas!$B$5:$B$44,$B1373)</f>
        <v/>
      </c>
      <c r="L1373" s="29">
        <f>J1373-K1373</f>
        <v/>
      </c>
      <c r="M1373" t="inlineStr">
        <is>
          <t>1.556</t>
        </is>
      </c>
      <c r="N1373" t="inlineStr">
        <is>
          <t>Transportadora fora da lista de frete de venda, mas pela modalidade a Vinco enviou a carga | Modalidade: 0 - Por conta do remetente | Parte: GALERIA DESCARTAVEIS E FERRAGENS LTDA (15.151.041/0001-56)</t>
        </is>
      </c>
      <c r="O1373" s="29" t="n">
        <v>0</v>
      </c>
      <c r="P1373" s="29" t="n">
        <v>0</v>
      </c>
      <c r="Q1373" s="29" t="n">
        <v>0</v>
      </c>
      <c r="R1373" s="29" t="n">
        <v>0</v>
      </c>
      <c r="S1373" s="29" t="n">
        <v>0</v>
      </c>
      <c r="T1373" t="inlineStr">
        <is>
          <t>15250555591837000144570020000026701000101293</t>
        </is>
      </c>
      <c r="U1373" t="inlineStr">
        <is>
          <t>Não</t>
        </is>
      </c>
    </row>
    <row r="1374">
      <c r="A1374" t="inlineStr">
        <is>
          <t>Frete de venda</t>
        </is>
      </c>
      <c r="B1374" t="inlineStr">
        <is>
          <t>2.01.02 Frete sobre Vendas</t>
        </is>
      </c>
      <c r="C1374" t="inlineStr">
        <is>
          <t>Antes de 2026</t>
        </is>
      </c>
      <c r="D1374" t="inlineStr">
        <is>
          <t>Antes de 2026</t>
        </is>
      </c>
      <c r="E1374" s="28" t="n">
        <v>45828</v>
      </c>
      <c r="F1374" t="inlineStr">
        <is>
          <t>CT-e</t>
        </is>
      </c>
      <c r="G1374" t="inlineStr">
        <is>
          <t>000003250</t>
        </is>
      </c>
      <c r="H1374" t="inlineStr">
        <is>
          <t>C L TRANSPORTES LTDA - IDEALIZA TRANSP</t>
        </is>
      </c>
      <c r="J1374" s="29" t="n">
        <v>855.34</v>
      </c>
      <c r="K1374" s="29">
        <f>(1-ISNUMBER(SEARCH("556",M1374)))*(O1374*SUMIFS(Premissas!$C$5:$C$44,Premissas!$A$5:$A$44,$A1374,Premissas!$B$5:$B$44,$B1374)+P1374*SUMIFS(Premissas!$D$5:$D$44,Premissas!$A$5:$A$44,$A1374,Premissas!$B$5:$B$44,$B1374))+R1374*SUMIFS(Premissas!$E$5:$E$44,Premissas!$A$5:$A$44,$A1374,Premissas!$B$5:$B$44,$B1374)+S1374*SUMIFS(Premissas!$F$5:$F$44,Premissas!$A$5:$A$44,$A1374,Premissas!$B$5:$B$44,$B1374)</f>
        <v/>
      </c>
      <c r="L1374" s="29">
        <f>J1374-K1374</f>
        <v/>
      </c>
      <c r="M1374" t="inlineStr">
        <is>
          <t>1.556</t>
        </is>
      </c>
      <c r="N1374" t="inlineStr">
        <is>
          <t>Transportadora fora da lista de frete de venda, mas pela modalidade a Vinco enviou a carga | Modalidade: 0 - Por conta do remetente | Parte: CAVALCANTE E LAGES LTDA (06.120.924/0001-08)</t>
        </is>
      </c>
      <c r="O1374" s="29" t="n">
        <v>0</v>
      </c>
      <c r="P1374" s="29" t="n">
        <v>0</v>
      </c>
      <c r="Q1374" s="29" t="n">
        <v>0</v>
      </c>
      <c r="R1374" s="29" t="n">
        <v>0</v>
      </c>
      <c r="S1374" s="29" t="n">
        <v>0</v>
      </c>
      <c r="T1374" t="inlineStr">
        <is>
          <t>15250655591837000144570020000032501000121158</t>
        </is>
      </c>
      <c r="U1374" t="inlineStr">
        <is>
          <t>Não</t>
        </is>
      </c>
    </row>
    <row r="1375">
      <c r="A1375" t="inlineStr">
        <is>
          <t>Frete de venda</t>
        </is>
      </c>
      <c r="B1375" t="inlineStr">
        <is>
          <t>2.01.02 Frete sobre Vendas</t>
        </is>
      </c>
      <c r="C1375" t="inlineStr">
        <is>
          <t>Antes de 2026</t>
        </is>
      </c>
      <c r="D1375" t="inlineStr">
        <is>
          <t>Antes de 2026</t>
        </is>
      </c>
      <c r="E1375" s="28" t="n">
        <v>45828</v>
      </c>
      <c r="F1375" t="inlineStr">
        <is>
          <t>CT-e</t>
        </is>
      </c>
      <c r="G1375" t="inlineStr">
        <is>
          <t>000003261</t>
        </is>
      </c>
      <c r="H1375" t="inlineStr">
        <is>
          <t>C L TRANSPORTES LTDA - IDEALIZA TRANSP</t>
        </is>
      </c>
      <c r="J1375" s="29" t="n">
        <v>240.31</v>
      </c>
      <c r="K1375" s="29">
        <f>(1-ISNUMBER(SEARCH("556",M1375)))*(O1375*SUMIFS(Premissas!$C$5:$C$44,Premissas!$A$5:$A$44,$A1375,Premissas!$B$5:$B$44,$B1375)+P1375*SUMIFS(Premissas!$D$5:$D$44,Premissas!$A$5:$A$44,$A1375,Premissas!$B$5:$B$44,$B1375))+R1375*SUMIFS(Premissas!$E$5:$E$44,Premissas!$A$5:$A$44,$A1375,Premissas!$B$5:$B$44,$B1375)+S1375*SUMIFS(Premissas!$F$5:$F$44,Premissas!$A$5:$A$44,$A1375,Premissas!$B$5:$B$44,$B1375)</f>
        <v/>
      </c>
      <c r="L1375" s="29">
        <f>J1375-K1375</f>
        <v/>
      </c>
      <c r="M1375" t="inlineStr">
        <is>
          <t>1.556</t>
        </is>
      </c>
      <c r="N1375" t="inlineStr">
        <is>
          <t>Transportadora fora da lista de frete de venda, mas pela modalidade a Vinco enviou a carga | Modalidade: 0 - Por conta do remetente | Parte: PORTUGAL COMERCIO DE PRODUTOS DESCARTAVEIS LTDA (83.349.563/0001-17)</t>
        </is>
      </c>
      <c r="O1375" s="29" t="n">
        <v>0</v>
      </c>
      <c r="P1375" s="29" t="n">
        <v>0</v>
      </c>
      <c r="Q1375" s="29" t="n">
        <v>0</v>
      </c>
      <c r="R1375" s="29" t="n">
        <v>0</v>
      </c>
      <c r="S1375" s="29" t="n">
        <v>0</v>
      </c>
      <c r="T1375" t="inlineStr">
        <is>
          <t>15250655591837000144570020000032611000121267</t>
        </is>
      </c>
      <c r="U1375" t="inlineStr">
        <is>
          <t>Não</t>
        </is>
      </c>
    </row>
    <row r="1376">
      <c r="A1376" t="inlineStr">
        <is>
          <t>Frete de venda</t>
        </is>
      </c>
      <c r="B1376" t="inlineStr">
        <is>
          <t>2.01.02 Frete sobre Vendas</t>
        </is>
      </c>
      <c r="C1376" t="inlineStr">
        <is>
          <t>Antes de 2026</t>
        </is>
      </c>
      <c r="D1376" t="inlineStr">
        <is>
          <t>Antes de 2026</t>
        </is>
      </c>
      <c r="E1376" s="28" t="n">
        <v>45828</v>
      </c>
      <c r="F1376" t="inlineStr">
        <is>
          <t>CT-e</t>
        </is>
      </c>
      <c r="G1376" t="inlineStr">
        <is>
          <t>000003262</t>
        </is>
      </c>
      <c r="H1376" t="inlineStr">
        <is>
          <t>C L TRANSPORTES LTDA - IDEALIZA TRANSP</t>
        </is>
      </c>
      <c r="J1376" s="29" t="n">
        <v>158.2</v>
      </c>
      <c r="K1376" s="29">
        <f>(1-ISNUMBER(SEARCH("556",M1376)))*(O1376*SUMIFS(Premissas!$C$5:$C$44,Premissas!$A$5:$A$44,$A1376,Premissas!$B$5:$B$44,$B1376)+P1376*SUMIFS(Premissas!$D$5:$D$44,Premissas!$A$5:$A$44,$A1376,Premissas!$B$5:$B$44,$B1376))+R1376*SUMIFS(Premissas!$E$5:$E$44,Premissas!$A$5:$A$44,$A1376,Premissas!$B$5:$B$44,$B1376)+S1376*SUMIFS(Premissas!$F$5:$F$44,Premissas!$A$5:$A$44,$A1376,Premissas!$B$5:$B$44,$B1376)</f>
        <v/>
      </c>
      <c r="L1376" s="29">
        <f>J1376-K1376</f>
        <v/>
      </c>
      <c r="M1376" t="inlineStr">
        <is>
          <t>1.556</t>
        </is>
      </c>
      <c r="N1376" t="inlineStr">
        <is>
          <t>Transportadora fora da lista de frete de venda, mas pela modalidade a Vinco enviou a carga | Modalidade: 0 - Por conta do remetente | Parte: JAMES L H TOME e CIA LTDA (16.965.024/0008-91)</t>
        </is>
      </c>
      <c r="O1376" s="29" t="n">
        <v>0</v>
      </c>
      <c r="P1376" s="29" t="n">
        <v>0</v>
      </c>
      <c r="Q1376" s="29" t="n">
        <v>0</v>
      </c>
      <c r="R1376" s="29" t="n">
        <v>0</v>
      </c>
      <c r="S1376" s="29" t="n">
        <v>0</v>
      </c>
      <c r="T1376" t="inlineStr">
        <is>
          <t>15250655591837000144570020000032621000121272</t>
        </is>
      </c>
      <c r="U1376" t="inlineStr">
        <is>
          <t>Não</t>
        </is>
      </c>
    </row>
    <row r="1377">
      <c r="A1377" t="inlineStr">
        <is>
          <t>Frete de venda</t>
        </is>
      </c>
      <c r="B1377" t="inlineStr">
        <is>
          <t>2.01.02 Frete sobre Vendas</t>
        </is>
      </c>
      <c r="C1377" t="inlineStr">
        <is>
          <t>Antes de 2026</t>
        </is>
      </c>
      <c r="D1377" t="inlineStr">
        <is>
          <t>Antes de 2026</t>
        </is>
      </c>
      <c r="E1377" s="28" t="n">
        <v>45828</v>
      </c>
      <c r="F1377" t="inlineStr">
        <is>
          <t>CT-e</t>
        </is>
      </c>
      <c r="G1377" t="inlineStr">
        <is>
          <t>000003263</t>
        </is>
      </c>
      <c r="H1377" t="inlineStr">
        <is>
          <t>C L TRANSPORTES LTDA - IDEALIZA TRANSP</t>
        </is>
      </c>
      <c r="J1377" s="29" t="n">
        <v>479.5</v>
      </c>
      <c r="K1377" s="29">
        <f>(1-ISNUMBER(SEARCH("556",M1377)))*(O1377*SUMIFS(Premissas!$C$5:$C$44,Premissas!$A$5:$A$44,$A1377,Premissas!$B$5:$B$44,$B1377)+P1377*SUMIFS(Premissas!$D$5:$D$44,Premissas!$A$5:$A$44,$A1377,Premissas!$B$5:$B$44,$B1377))+R1377*SUMIFS(Premissas!$E$5:$E$44,Premissas!$A$5:$A$44,$A1377,Premissas!$B$5:$B$44,$B1377)+S1377*SUMIFS(Premissas!$F$5:$F$44,Premissas!$A$5:$A$44,$A1377,Premissas!$B$5:$B$44,$B1377)</f>
        <v/>
      </c>
      <c r="L1377" s="29">
        <f>J1377-K1377</f>
        <v/>
      </c>
      <c r="M1377" t="inlineStr">
        <is>
          <t>1.556</t>
        </is>
      </c>
      <c r="N1377" t="inlineStr">
        <is>
          <t>Transportadora fora da lista de frete de venda, mas pela modalidade a Vinco enviou a carga | Modalidade: 0 - Por conta do remetente | Parte: JAMES L. H. TOME e CIA LTDA (16.965.024/0001-15)</t>
        </is>
      </c>
      <c r="O1377" s="29" t="n">
        <v>0</v>
      </c>
      <c r="P1377" s="29" t="n">
        <v>0</v>
      </c>
      <c r="Q1377" s="29" t="n">
        <v>0</v>
      </c>
      <c r="R1377" s="29" t="n">
        <v>0</v>
      </c>
      <c r="S1377" s="29" t="n">
        <v>0</v>
      </c>
      <c r="T1377" t="inlineStr">
        <is>
          <t>15250655591837000144570020000032631000121288</t>
        </is>
      </c>
      <c r="U1377" t="inlineStr">
        <is>
          <t>Não</t>
        </is>
      </c>
    </row>
    <row r="1378">
      <c r="A1378" t="inlineStr">
        <is>
          <t>Frete de venda</t>
        </is>
      </c>
      <c r="B1378" t="inlineStr">
        <is>
          <t>2.01.02 Frete sobre Vendas</t>
        </is>
      </c>
      <c r="C1378" t="inlineStr">
        <is>
          <t>Antes de 2026</t>
        </is>
      </c>
      <c r="D1378" t="inlineStr">
        <is>
          <t>Antes de 2026</t>
        </is>
      </c>
      <c r="E1378" s="28" t="n">
        <v>45828</v>
      </c>
      <c r="F1378" t="inlineStr">
        <is>
          <t>CT-e</t>
        </is>
      </c>
      <c r="G1378" t="inlineStr">
        <is>
          <t>000003264</t>
        </is>
      </c>
      <c r="H1378" t="inlineStr">
        <is>
          <t>C L TRANSPORTES LTDA - IDEALIZA TRANSP</t>
        </is>
      </c>
      <c r="J1378" s="29" t="n">
        <v>521.15</v>
      </c>
      <c r="K1378" s="29">
        <f>(1-ISNUMBER(SEARCH("556",M1378)))*(O1378*SUMIFS(Premissas!$C$5:$C$44,Premissas!$A$5:$A$44,$A1378,Premissas!$B$5:$B$44,$B1378)+P1378*SUMIFS(Premissas!$D$5:$D$44,Premissas!$A$5:$A$44,$A1378,Premissas!$B$5:$B$44,$B1378))+R1378*SUMIFS(Premissas!$E$5:$E$44,Premissas!$A$5:$A$44,$A1378,Premissas!$B$5:$B$44,$B1378)+S1378*SUMIFS(Premissas!$F$5:$F$44,Premissas!$A$5:$A$44,$A1378,Premissas!$B$5:$B$44,$B1378)</f>
        <v/>
      </c>
      <c r="L1378" s="29">
        <f>J1378-K1378</f>
        <v/>
      </c>
      <c r="M1378" t="inlineStr">
        <is>
          <t>1.556</t>
        </is>
      </c>
      <c r="N1378" t="inlineStr">
        <is>
          <t>Transportadora fora da lista de frete de venda, mas pela modalidade a Vinco enviou a carga | Modalidade: 0 - Por conta do remetente | Parte: JAMES L. H. TOME e CIA LTDA (16.965.024/0007-00)</t>
        </is>
      </c>
      <c r="O1378" s="29" t="n">
        <v>0</v>
      </c>
      <c r="P1378" s="29" t="n">
        <v>0</v>
      </c>
      <c r="Q1378" s="29" t="n">
        <v>0</v>
      </c>
      <c r="R1378" s="29" t="n">
        <v>0</v>
      </c>
      <c r="S1378" s="29" t="n">
        <v>0</v>
      </c>
      <c r="T1378" t="inlineStr">
        <is>
          <t>15250655591837000144570020000032641000121293</t>
        </is>
      </c>
      <c r="U1378" t="inlineStr">
        <is>
          <t>Não</t>
        </is>
      </c>
    </row>
    <row r="1379">
      <c r="A1379" t="inlineStr">
        <is>
          <t>Frete de venda</t>
        </is>
      </c>
      <c r="B1379" t="inlineStr">
        <is>
          <t>2.01.02 Frete sobre Vendas</t>
        </is>
      </c>
      <c r="C1379" t="inlineStr">
        <is>
          <t>Antes de 2026</t>
        </is>
      </c>
      <c r="D1379" t="inlineStr">
        <is>
          <t>Antes de 2026</t>
        </is>
      </c>
      <c r="E1379" s="28" t="n">
        <v>45828</v>
      </c>
      <c r="F1379" t="inlineStr">
        <is>
          <t>CT-e</t>
        </is>
      </c>
      <c r="G1379" t="inlineStr">
        <is>
          <t>000003265</t>
        </is>
      </c>
      <c r="H1379" t="inlineStr">
        <is>
          <t>C L TRANSPORTES LTDA - IDEALIZA TRANSP</t>
        </is>
      </c>
      <c r="J1379" s="29" t="n">
        <v>442.05</v>
      </c>
      <c r="K1379" s="29">
        <f>(1-ISNUMBER(SEARCH("556",M1379)))*(O1379*SUMIFS(Premissas!$C$5:$C$44,Premissas!$A$5:$A$44,$A1379,Premissas!$B$5:$B$44,$B1379)+P1379*SUMIFS(Premissas!$D$5:$D$44,Premissas!$A$5:$A$44,$A1379,Premissas!$B$5:$B$44,$B1379))+R1379*SUMIFS(Premissas!$E$5:$E$44,Premissas!$A$5:$A$44,$A1379,Premissas!$B$5:$B$44,$B1379)+S1379*SUMIFS(Premissas!$F$5:$F$44,Premissas!$A$5:$A$44,$A1379,Premissas!$B$5:$B$44,$B1379)</f>
        <v/>
      </c>
      <c r="L1379" s="29">
        <f>J1379-K1379</f>
        <v/>
      </c>
      <c r="M1379" t="inlineStr">
        <is>
          <t>1.556</t>
        </is>
      </c>
      <c r="N1379" t="inlineStr">
        <is>
          <t>Transportadora fora da lista de frete de venda, mas pela modalidade a Vinco enviou a carga | Modalidade: 0 - Por conta do remetente | Parte: JAMES L. H. TOME e CIA LTDA (16.965.024/0003-87)</t>
        </is>
      </c>
      <c r="O1379" s="29" t="n">
        <v>0</v>
      </c>
      <c r="P1379" s="29" t="n">
        <v>0</v>
      </c>
      <c r="Q1379" s="29" t="n">
        <v>0</v>
      </c>
      <c r="R1379" s="29" t="n">
        <v>0</v>
      </c>
      <c r="S1379" s="29" t="n">
        <v>0</v>
      </c>
      <c r="T1379" t="inlineStr">
        <is>
          <t>15250655591837000144570020000032651000121304</t>
        </is>
      </c>
      <c r="U1379" t="inlineStr">
        <is>
          <t>Não</t>
        </is>
      </c>
    </row>
    <row r="1380">
      <c r="A1380" t="inlineStr">
        <is>
          <t>Frete de venda</t>
        </is>
      </c>
      <c r="B1380" t="inlineStr">
        <is>
          <t>2.01.02 Frete sobre Vendas</t>
        </is>
      </c>
      <c r="C1380" t="inlineStr">
        <is>
          <t>Antes de 2026</t>
        </is>
      </c>
      <c r="D1380" t="inlineStr">
        <is>
          <t>Antes de 2026</t>
        </is>
      </c>
      <c r="E1380" s="28" t="n">
        <v>45820</v>
      </c>
      <c r="F1380" t="inlineStr">
        <is>
          <t>CT-e</t>
        </is>
      </c>
      <c r="G1380" t="inlineStr">
        <is>
          <t>000000057</t>
        </is>
      </c>
      <c r="H1380" t="inlineStr">
        <is>
          <t>CARGO WAY TRANSPORTE E ARMAZENAGEM LTDA</t>
        </is>
      </c>
      <c r="J1380" s="29" t="n">
        <v>5805.61</v>
      </c>
      <c r="K1380" s="29">
        <f>(1-ISNUMBER(SEARCH("556",M1380)))*(O1380*SUMIFS(Premissas!$C$5:$C$44,Premissas!$A$5:$A$44,$A1380,Premissas!$B$5:$B$44,$B1380)+P1380*SUMIFS(Premissas!$D$5:$D$44,Premissas!$A$5:$A$44,$A1380,Premissas!$B$5:$B$44,$B1380))+R1380*SUMIFS(Premissas!$E$5:$E$44,Premissas!$A$5:$A$44,$A1380,Premissas!$B$5:$B$44,$B1380)+S1380*SUMIFS(Premissas!$F$5:$F$44,Premissas!$A$5:$A$44,$A1380,Premissas!$B$5:$B$44,$B1380)</f>
        <v/>
      </c>
      <c r="L1380" s="29">
        <f>J1380-K1380</f>
        <v/>
      </c>
      <c r="M1380" t="inlineStr">
        <is>
          <t>1.556</t>
        </is>
      </c>
      <c r="N1380" t="inlineStr">
        <is>
          <t>Transportadora fora da lista de frete de venda, mas pela modalidade a Vinco enviou a carga | Modalidade: 0 - Por conta do remetente | Parte: STAMP DISTRIBUIDORA DE EMBALAGENS DE PAPEL E DESCARTAVEIS LT (27.707.575/0003-67)</t>
        </is>
      </c>
      <c r="O1380" s="29" t="n">
        <v>0</v>
      </c>
      <c r="P1380" s="29" t="n">
        <v>696.67</v>
      </c>
      <c r="Q1380" s="29" t="n">
        <v>0</v>
      </c>
      <c r="R1380" s="29" t="n">
        <v>0</v>
      </c>
      <c r="S1380" s="29" t="n">
        <v>0</v>
      </c>
      <c r="T1380" t="inlineStr">
        <is>
          <t>43250619950594000120570010000000571782069410</t>
        </is>
      </c>
      <c r="U1380" t="inlineStr">
        <is>
          <t>Não</t>
        </is>
      </c>
    </row>
    <row r="1381">
      <c r="A1381" t="inlineStr">
        <is>
          <t>Frete de venda</t>
        </is>
      </c>
      <c r="B1381" t="inlineStr">
        <is>
          <t>2.01.02 Frete sobre Vendas</t>
        </is>
      </c>
      <c r="C1381" t="inlineStr">
        <is>
          <t>Antes de 2026</t>
        </is>
      </c>
      <c r="D1381" t="inlineStr">
        <is>
          <t>Antes de 2026</t>
        </is>
      </c>
      <c r="E1381" s="28" t="n">
        <v>45820</v>
      </c>
      <c r="F1381" t="inlineStr">
        <is>
          <t>CT-e</t>
        </is>
      </c>
      <c r="G1381" t="inlineStr">
        <is>
          <t>000005858</t>
        </is>
      </c>
      <c r="H1381" t="inlineStr">
        <is>
          <t>CARGO WAY TRANSPORTE E ARMAZENAGEM LTDA</t>
        </is>
      </c>
      <c r="J1381" s="29" t="n">
        <v>568.17</v>
      </c>
      <c r="K1381" s="29">
        <f>(1-ISNUMBER(SEARCH("556",M1381)))*(O1381*SUMIFS(Premissas!$C$5:$C$44,Premissas!$A$5:$A$44,$A1381,Premissas!$B$5:$B$44,$B1381)+P1381*SUMIFS(Premissas!$D$5:$D$44,Premissas!$A$5:$A$44,$A1381,Premissas!$B$5:$B$44,$B1381))+R1381*SUMIFS(Premissas!$E$5:$E$44,Premissas!$A$5:$A$44,$A1381,Premissas!$B$5:$B$44,$B1381)+S1381*SUMIFS(Premissas!$F$5:$F$44,Premissas!$A$5:$A$44,$A1381,Premissas!$B$5:$B$44,$B1381)</f>
        <v/>
      </c>
      <c r="L1381" s="29">
        <f>J1381-K1381</f>
        <v/>
      </c>
      <c r="M1381" t="inlineStr">
        <is>
          <t>1.556</t>
        </is>
      </c>
      <c r="N1381" t="inlineStr">
        <is>
          <t>Transportadora fora da lista de frete de venda, mas pela modalidade a Vinco enviou a carga | Modalidade: 0 - Por conta do remetente | Parte: STAMP DISTRIBUIDORA DE EMBALAGENS DE PAPEL E DESCARTAVEIS LT (27.707.575/0003-67)</t>
        </is>
      </c>
      <c r="O1381" s="29" t="n">
        <v>0</v>
      </c>
      <c r="P1381" s="29" t="n">
        <v>68.17</v>
      </c>
      <c r="Q1381" s="29" t="n">
        <v>0</v>
      </c>
      <c r="R1381" s="29" t="n">
        <v>0</v>
      </c>
      <c r="S1381" s="29" t="n">
        <v>0</v>
      </c>
      <c r="T1381" t="inlineStr">
        <is>
          <t>43250619950594000120570000000058581000444917</t>
        </is>
      </c>
      <c r="U1381" t="inlineStr">
        <is>
          <t>Não</t>
        </is>
      </c>
    </row>
    <row r="1382">
      <c r="A1382" t="inlineStr">
        <is>
          <t>Frete de venda</t>
        </is>
      </c>
      <c r="B1382" t="inlineStr">
        <is>
          <t>2.01.02 Frete sobre Vendas</t>
        </is>
      </c>
      <c r="C1382" t="inlineStr">
        <is>
          <t>Antes de 2026</t>
        </is>
      </c>
      <c r="D1382" t="inlineStr">
        <is>
          <t>Antes de 2026</t>
        </is>
      </c>
      <c r="E1382" s="28" t="n">
        <v>46017</v>
      </c>
      <c r="F1382" t="inlineStr">
        <is>
          <t>CT-e</t>
        </is>
      </c>
      <c r="G1382" t="inlineStr">
        <is>
          <t>000082932</t>
        </is>
      </c>
      <c r="H1382" t="inlineStr">
        <is>
          <t>CRUZ DE MALTA TRANSPORTES LTDA</t>
        </is>
      </c>
      <c r="J1382" s="29" t="n">
        <v>350</v>
      </c>
      <c r="K1382" s="29">
        <f>(1-ISNUMBER(SEARCH("556",M1382)))*(O1382*SUMIFS(Premissas!$C$5:$C$44,Premissas!$A$5:$A$44,$A1382,Premissas!$B$5:$B$44,$B1382)+P1382*SUMIFS(Premissas!$D$5:$D$44,Premissas!$A$5:$A$44,$A1382,Premissas!$B$5:$B$44,$B1382))+R1382*SUMIFS(Premissas!$E$5:$E$44,Premissas!$A$5:$A$44,$A1382,Premissas!$B$5:$B$44,$B1382)+S1382*SUMIFS(Premissas!$F$5:$F$44,Premissas!$A$5:$A$44,$A1382,Premissas!$B$5:$B$44,$B1382)</f>
        <v/>
      </c>
      <c r="L1382" s="29">
        <f>J1382-K1382</f>
        <v/>
      </c>
      <c r="M1382" t="inlineStr">
        <is>
          <t>1.350</t>
        </is>
      </c>
      <c r="N1382" t="inlineStr">
        <is>
          <t>Transportadora fora da lista de frete de venda, mas pela modalidade a Vinco enviou a carga | Modalidade: 0 - Por conta do remetente | Parte: M. A. DE A. LIMA CARDOSO (34.425.813/0001-45)</t>
        </is>
      </c>
      <c r="O1382" s="29" t="n">
        <v>0</v>
      </c>
      <c r="P1382" s="29" t="n">
        <v>66.5</v>
      </c>
      <c r="Q1382" s="29" t="n">
        <v>0</v>
      </c>
      <c r="R1382" s="29" t="n">
        <v>0</v>
      </c>
      <c r="S1382" s="29" t="n">
        <v>0</v>
      </c>
      <c r="T1382" t="inlineStr">
        <is>
          <t>15251203547982000124570010000829321522325843</t>
        </is>
      </c>
      <c r="U1382" t="inlineStr">
        <is>
          <t>Sim</t>
        </is>
      </c>
    </row>
    <row r="1383">
      <c r="A1383" t="inlineStr">
        <is>
          <t>Frete de venda</t>
        </is>
      </c>
      <c r="B1383" t="inlineStr">
        <is>
          <t>2.01.02 Frete sobre Vendas</t>
        </is>
      </c>
      <c r="C1383" t="inlineStr">
        <is>
          <t>Antes de 2026</t>
        </is>
      </c>
      <c r="D1383" t="inlineStr">
        <is>
          <t>Antes de 2026</t>
        </is>
      </c>
      <c r="E1383" s="28" t="n">
        <v>46017</v>
      </c>
      <c r="F1383" t="inlineStr">
        <is>
          <t>CT-e</t>
        </is>
      </c>
      <c r="G1383" t="inlineStr">
        <is>
          <t>000082933</t>
        </is>
      </c>
      <c r="H1383" t="inlineStr">
        <is>
          <t>CRUZ DE MALTA TRANSPORTES LTDA</t>
        </is>
      </c>
      <c r="J1383" s="29" t="n">
        <v>350</v>
      </c>
      <c r="K1383" s="29">
        <f>(1-ISNUMBER(SEARCH("556",M1383)))*(O1383*SUMIFS(Premissas!$C$5:$C$44,Premissas!$A$5:$A$44,$A1383,Premissas!$B$5:$B$44,$B1383)+P1383*SUMIFS(Premissas!$D$5:$D$44,Premissas!$A$5:$A$44,$A1383,Premissas!$B$5:$B$44,$B1383))+R1383*SUMIFS(Premissas!$E$5:$E$44,Premissas!$A$5:$A$44,$A1383,Premissas!$B$5:$B$44,$B1383)+S1383*SUMIFS(Premissas!$F$5:$F$44,Premissas!$A$5:$A$44,$A1383,Premissas!$B$5:$B$44,$B1383)</f>
        <v/>
      </c>
      <c r="L1383" s="29">
        <f>J1383-K1383</f>
        <v/>
      </c>
      <c r="M1383" t="inlineStr">
        <is>
          <t>1.350</t>
        </is>
      </c>
      <c r="N1383" t="inlineStr">
        <is>
          <t>Transportadora fora da lista de frete de venda, mas pela modalidade a Vinco enviou a carga | Modalidade: 0 - Por conta do remetente | Parte: A SARAIVA DA CRUZ COMERCIAL LTDA (01.342.240/0001-37)</t>
        </is>
      </c>
      <c r="O1383" s="29" t="n">
        <v>0</v>
      </c>
      <c r="P1383" s="29" t="n">
        <v>66.5</v>
      </c>
      <c r="Q1383" s="29" t="n">
        <v>0</v>
      </c>
      <c r="R1383" s="29" t="n">
        <v>0</v>
      </c>
      <c r="S1383" s="29" t="n">
        <v>0</v>
      </c>
      <c r="T1383" t="inlineStr">
        <is>
          <t>15251203547982000124570010000829331110965087</t>
        </is>
      </c>
      <c r="U1383" t="inlineStr">
        <is>
          <t>Sim</t>
        </is>
      </c>
    </row>
    <row r="1384">
      <c r="A1384" t="inlineStr">
        <is>
          <t>Frete de venda</t>
        </is>
      </c>
      <c r="B1384" t="inlineStr">
        <is>
          <t>2.01.02 Frete sobre Vendas</t>
        </is>
      </c>
      <c r="C1384" t="inlineStr">
        <is>
          <t>Antes de 2026</t>
        </is>
      </c>
      <c r="D1384" t="inlineStr">
        <is>
          <t>Antes de 2026</t>
        </is>
      </c>
      <c r="E1384" s="28" t="n">
        <v>46017</v>
      </c>
      <c r="F1384" t="inlineStr">
        <is>
          <t>CT-e</t>
        </is>
      </c>
      <c r="G1384" t="inlineStr">
        <is>
          <t>000082934</t>
        </is>
      </c>
      <c r="H1384" t="inlineStr">
        <is>
          <t>CRUZ DE MALTA TRANSPORTES LTDA</t>
        </is>
      </c>
      <c r="J1384" s="29" t="n">
        <v>1200</v>
      </c>
      <c r="K1384" s="29">
        <f>(1-ISNUMBER(SEARCH("556",M1384)))*(O1384*SUMIFS(Premissas!$C$5:$C$44,Premissas!$A$5:$A$44,$A1384,Premissas!$B$5:$B$44,$B1384)+P1384*SUMIFS(Premissas!$D$5:$D$44,Premissas!$A$5:$A$44,$A1384,Premissas!$B$5:$B$44,$B1384))+R1384*SUMIFS(Premissas!$E$5:$E$44,Premissas!$A$5:$A$44,$A1384,Premissas!$B$5:$B$44,$B1384)+S1384*SUMIFS(Premissas!$F$5:$F$44,Premissas!$A$5:$A$44,$A1384,Premissas!$B$5:$B$44,$B1384)</f>
        <v/>
      </c>
      <c r="L1384" s="29">
        <f>J1384-K1384</f>
        <v/>
      </c>
      <c r="M1384" t="inlineStr">
        <is>
          <t>1.350</t>
        </is>
      </c>
      <c r="N1384" t="inlineStr">
        <is>
          <t>Transportadora fora da lista de frete de venda, mas pela modalidade a Vinco enviou a carga | Modalidade: 0 - Por conta do remetente | Parte: J. B. BORGES e CIA LTDA (08.018.936/0001-51)</t>
        </is>
      </c>
      <c r="O1384" s="29" t="n">
        <v>0</v>
      </c>
      <c r="P1384" s="29" t="n">
        <v>228</v>
      </c>
      <c r="Q1384" s="29" t="n">
        <v>0</v>
      </c>
      <c r="R1384" s="29" t="n">
        <v>0</v>
      </c>
      <c r="S1384" s="29" t="n">
        <v>0</v>
      </c>
      <c r="T1384" t="inlineStr">
        <is>
          <t>15251203547982000124570010000829341934063190</t>
        </is>
      </c>
      <c r="U1384" t="inlineStr">
        <is>
          <t>Sim</t>
        </is>
      </c>
    </row>
    <row r="1385">
      <c r="A1385" t="inlineStr">
        <is>
          <t>Frete de venda</t>
        </is>
      </c>
      <c r="B1385" t="inlineStr">
        <is>
          <t>2.01.02 Frete sobre Vendas</t>
        </is>
      </c>
      <c r="C1385" t="inlineStr">
        <is>
          <t>Antes de 2026</t>
        </is>
      </c>
      <c r="D1385" t="inlineStr">
        <is>
          <t>Antes de 2026</t>
        </is>
      </c>
      <c r="E1385" s="28" t="n">
        <v>46017</v>
      </c>
      <c r="F1385" t="inlineStr">
        <is>
          <t>CT-e</t>
        </is>
      </c>
      <c r="G1385" t="inlineStr">
        <is>
          <t>000082937</t>
        </is>
      </c>
      <c r="H1385" t="inlineStr">
        <is>
          <t>CRUZ DE MALTA TRANSPORTES LTDA</t>
        </is>
      </c>
      <c r="J1385" s="29" t="n">
        <v>600</v>
      </c>
      <c r="K1385" s="29">
        <f>(1-ISNUMBER(SEARCH("556",M1385)))*(O1385*SUMIFS(Premissas!$C$5:$C$44,Premissas!$A$5:$A$44,$A1385,Premissas!$B$5:$B$44,$B1385)+P1385*SUMIFS(Premissas!$D$5:$D$44,Premissas!$A$5:$A$44,$A1385,Premissas!$B$5:$B$44,$B1385))+R1385*SUMIFS(Premissas!$E$5:$E$44,Premissas!$A$5:$A$44,$A1385,Premissas!$B$5:$B$44,$B1385)+S1385*SUMIFS(Premissas!$F$5:$F$44,Premissas!$A$5:$A$44,$A1385,Premissas!$B$5:$B$44,$B1385)</f>
        <v/>
      </c>
      <c r="L1385" s="29">
        <f>J1385-K1385</f>
        <v/>
      </c>
      <c r="M1385" t="inlineStr">
        <is>
          <t>1.350</t>
        </is>
      </c>
      <c r="N1385" t="inlineStr">
        <is>
          <t>Transportadora fora da lista de frete de venda, mas pela modalidade a Vinco enviou a carga | Modalidade: 0 - Por conta do remetente | Parte: ALFA EMBALAGENS LTDA (24.091.529/0001-26)</t>
        </is>
      </c>
      <c r="O1385" s="29" t="n">
        <v>0</v>
      </c>
      <c r="P1385" s="29" t="n">
        <v>114</v>
      </c>
      <c r="Q1385" s="29" t="n">
        <v>0</v>
      </c>
      <c r="R1385" s="29" t="n">
        <v>0</v>
      </c>
      <c r="S1385" s="29" t="n">
        <v>0</v>
      </c>
      <c r="T1385" t="inlineStr">
        <is>
          <t>15251203547982000124570010000829371872008525</t>
        </is>
      </c>
      <c r="U1385" t="inlineStr">
        <is>
          <t>Sim</t>
        </is>
      </c>
    </row>
    <row r="1386">
      <c r="A1386" t="inlineStr">
        <is>
          <t>Frete de venda</t>
        </is>
      </c>
      <c r="B1386" t="inlineStr">
        <is>
          <t>2.01.02 Frete sobre Vendas</t>
        </is>
      </c>
      <c r="C1386" t="inlineStr">
        <is>
          <t>Antes de 2026</t>
        </is>
      </c>
      <c r="D1386" t="inlineStr">
        <is>
          <t>Antes de 2026</t>
        </is>
      </c>
      <c r="E1386" s="28" t="n">
        <v>46017</v>
      </c>
      <c r="F1386" t="inlineStr">
        <is>
          <t>CT-e</t>
        </is>
      </c>
      <c r="G1386" t="inlineStr">
        <is>
          <t>000082938</t>
        </is>
      </c>
      <c r="H1386" t="inlineStr">
        <is>
          <t>CRUZ DE MALTA TRANSPORTES LTDA</t>
        </is>
      </c>
      <c r="J1386" s="29" t="n">
        <v>1600</v>
      </c>
      <c r="K1386" s="29">
        <f>(1-ISNUMBER(SEARCH("556",M1386)))*(O1386*SUMIFS(Premissas!$C$5:$C$44,Premissas!$A$5:$A$44,$A1386,Premissas!$B$5:$B$44,$B1386)+P1386*SUMIFS(Premissas!$D$5:$D$44,Premissas!$A$5:$A$44,$A1386,Premissas!$B$5:$B$44,$B1386))+R1386*SUMIFS(Premissas!$E$5:$E$44,Premissas!$A$5:$A$44,$A1386,Premissas!$B$5:$B$44,$B1386)+S1386*SUMIFS(Premissas!$F$5:$F$44,Premissas!$A$5:$A$44,$A1386,Premissas!$B$5:$B$44,$B1386)</f>
        <v/>
      </c>
      <c r="L1386" s="29">
        <f>J1386-K1386</f>
        <v/>
      </c>
      <c r="M1386" t="inlineStr">
        <is>
          <t>1.350</t>
        </is>
      </c>
      <c r="N1386" t="inlineStr">
        <is>
          <t>Transportadora fora da lista de frete de venda, mas pela modalidade a Vinco enviou a carga | Modalidade: 0 - Por conta do remetente | Parte: PEPPERONI EMPREENDIMENTOS LTDA (19.288.223/0001-24)</t>
        </is>
      </c>
      <c r="O1386" s="29" t="n">
        <v>0</v>
      </c>
      <c r="P1386" s="29" t="n">
        <v>304</v>
      </c>
      <c r="Q1386" s="29" t="n">
        <v>0</v>
      </c>
      <c r="R1386" s="29" t="n">
        <v>0</v>
      </c>
      <c r="S1386" s="29" t="n">
        <v>0</v>
      </c>
      <c r="T1386" t="inlineStr">
        <is>
          <t>15251203547982000124570010000829381564931753</t>
        </is>
      </c>
      <c r="U1386" t="inlineStr">
        <is>
          <t>Sim</t>
        </is>
      </c>
    </row>
    <row r="1387">
      <c r="A1387" t="inlineStr">
        <is>
          <t>Frete de venda</t>
        </is>
      </c>
      <c r="B1387" t="inlineStr">
        <is>
          <t>2.01.02 Frete sobre Vendas</t>
        </is>
      </c>
      <c r="C1387" t="inlineStr">
        <is>
          <t>Antes de 2026</t>
        </is>
      </c>
      <c r="D1387" t="inlineStr">
        <is>
          <t>Antes de 2026</t>
        </is>
      </c>
      <c r="E1387" s="28" t="n">
        <v>46017</v>
      </c>
      <c r="F1387" t="inlineStr">
        <is>
          <t>CT-e</t>
        </is>
      </c>
      <c r="G1387" t="inlineStr">
        <is>
          <t>000082939</t>
        </is>
      </c>
      <c r="H1387" t="inlineStr">
        <is>
          <t>CRUZ DE MALTA TRANSPORTES LTDA</t>
        </is>
      </c>
      <c r="J1387" s="29" t="n">
        <v>250</v>
      </c>
      <c r="K1387" s="29">
        <f>(1-ISNUMBER(SEARCH("556",M1387)))*(O1387*SUMIFS(Premissas!$C$5:$C$44,Premissas!$A$5:$A$44,$A1387,Premissas!$B$5:$B$44,$B1387)+P1387*SUMIFS(Premissas!$D$5:$D$44,Premissas!$A$5:$A$44,$A1387,Premissas!$B$5:$B$44,$B1387))+R1387*SUMIFS(Premissas!$E$5:$E$44,Premissas!$A$5:$A$44,$A1387,Premissas!$B$5:$B$44,$B1387)+S1387*SUMIFS(Premissas!$F$5:$F$44,Premissas!$A$5:$A$44,$A1387,Premissas!$B$5:$B$44,$B1387)</f>
        <v/>
      </c>
      <c r="L1387" s="29">
        <f>J1387-K1387</f>
        <v/>
      </c>
      <c r="M1387" t="inlineStr">
        <is>
          <t>1.350</t>
        </is>
      </c>
      <c r="N1387" t="inlineStr">
        <is>
          <t>Transportadora fora da lista de frete de venda, mas pela modalidade a Vinco enviou a carga | Modalidade: 0 - Por conta do remetente | Parte: GALERIA DESCARTAVEIS E FERRAGENS LTDA (15.151.041/0001-56)</t>
        </is>
      </c>
      <c r="O1387" s="29" t="n">
        <v>0</v>
      </c>
      <c r="P1387" s="29" t="n">
        <v>47.5</v>
      </c>
      <c r="Q1387" s="29" t="n">
        <v>0</v>
      </c>
      <c r="R1387" s="29" t="n">
        <v>0</v>
      </c>
      <c r="S1387" s="29" t="n">
        <v>0</v>
      </c>
      <c r="T1387" t="inlineStr">
        <is>
          <t>15251203547982000124570010000829391677345865</t>
        </is>
      </c>
      <c r="U1387" t="inlineStr">
        <is>
          <t>Sim</t>
        </is>
      </c>
    </row>
    <row r="1388">
      <c r="A1388" t="inlineStr">
        <is>
          <t>Frete de venda</t>
        </is>
      </c>
      <c r="B1388" t="inlineStr">
        <is>
          <t>2.01.02 Frete sobre Vendas</t>
        </is>
      </c>
      <c r="C1388" t="inlineStr">
        <is>
          <t>Antes de 2026</t>
        </is>
      </c>
      <c r="D1388" t="inlineStr">
        <is>
          <t>Antes de 2026</t>
        </is>
      </c>
      <c r="E1388" s="28" t="n">
        <v>46017</v>
      </c>
      <c r="F1388" t="inlineStr">
        <is>
          <t>CT-e</t>
        </is>
      </c>
      <c r="G1388" t="inlineStr">
        <is>
          <t>000082940</t>
        </is>
      </c>
      <c r="H1388" t="inlineStr">
        <is>
          <t>CRUZ DE MALTA TRANSPORTES LTDA</t>
        </is>
      </c>
      <c r="J1388" s="29" t="n">
        <v>1100</v>
      </c>
      <c r="K1388" s="29">
        <f>(1-ISNUMBER(SEARCH("556",M1388)))*(O1388*SUMIFS(Premissas!$C$5:$C$44,Premissas!$A$5:$A$44,$A1388,Premissas!$B$5:$B$44,$B1388)+P1388*SUMIFS(Premissas!$D$5:$D$44,Premissas!$A$5:$A$44,$A1388,Premissas!$B$5:$B$44,$B1388))+R1388*SUMIFS(Premissas!$E$5:$E$44,Premissas!$A$5:$A$44,$A1388,Premissas!$B$5:$B$44,$B1388)+S1388*SUMIFS(Premissas!$F$5:$F$44,Premissas!$A$5:$A$44,$A1388,Premissas!$B$5:$B$44,$B1388)</f>
        <v/>
      </c>
      <c r="L1388" s="29">
        <f>J1388-K1388</f>
        <v/>
      </c>
      <c r="M1388" t="inlineStr">
        <is>
          <t>1.350</t>
        </is>
      </c>
      <c r="N1388" t="inlineStr">
        <is>
          <t>Transportadora fora da lista de frete de venda, mas pela modalidade a Vinco enviou a carga | Modalidade: 0 - Por conta do remetente | Parte: R ALBUQUERQUE COMERCIO DE ARTIGOS DE ARMARINHO LTDA (57.701.763/0001-87)</t>
        </is>
      </c>
      <c r="O1388" s="29" t="n">
        <v>0</v>
      </c>
      <c r="P1388" s="29" t="n">
        <v>209</v>
      </c>
      <c r="Q1388" s="29" t="n">
        <v>0</v>
      </c>
      <c r="R1388" s="29" t="n">
        <v>0</v>
      </c>
      <c r="S1388" s="29" t="n">
        <v>0</v>
      </c>
      <c r="T1388" t="inlineStr">
        <is>
          <t>15251203547982000124570010000829401300955222</t>
        </is>
      </c>
      <c r="U1388" t="inlineStr">
        <is>
          <t>Sim</t>
        </is>
      </c>
    </row>
    <row r="1389">
      <c r="A1389" t="inlineStr">
        <is>
          <t>Frete de venda</t>
        </is>
      </c>
      <c r="B1389" t="inlineStr">
        <is>
          <t>2.01.02 Frete sobre Vendas</t>
        </is>
      </c>
      <c r="C1389" t="inlineStr">
        <is>
          <t>Antes de 2026</t>
        </is>
      </c>
      <c r="D1389" t="inlineStr">
        <is>
          <t>Antes de 2026</t>
        </is>
      </c>
      <c r="E1389" s="28" t="n">
        <v>46017</v>
      </c>
      <c r="F1389" t="inlineStr">
        <is>
          <t>CT-e</t>
        </is>
      </c>
      <c r="G1389" t="inlineStr">
        <is>
          <t>000082941</t>
        </is>
      </c>
      <c r="H1389" t="inlineStr">
        <is>
          <t>CRUZ DE MALTA TRANSPORTES LTDA</t>
        </is>
      </c>
      <c r="J1389" s="29" t="n">
        <v>700</v>
      </c>
      <c r="K1389" s="29">
        <f>(1-ISNUMBER(SEARCH("556",M1389)))*(O1389*SUMIFS(Premissas!$C$5:$C$44,Premissas!$A$5:$A$44,$A1389,Premissas!$B$5:$B$44,$B1389)+P1389*SUMIFS(Premissas!$D$5:$D$44,Premissas!$A$5:$A$44,$A1389,Premissas!$B$5:$B$44,$B1389))+R1389*SUMIFS(Premissas!$E$5:$E$44,Premissas!$A$5:$A$44,$A1389,Premissas!$B$5:$B$44,$B1389)+S1389*SUMIFS(Premissas!$F$5:$F$44,Premissas!$A$5:$A$44,$A1389,Premissas!$B$5:$B$44,$B1389)</f>
        <v/>
      </c>
      <c r="L1389" s="29">
        <f>J1389-K1389</f>
        <v/>
      </c>
      <c r="M1389" t="inlineStr">
        <is>
          <t>1.350</t>
        </is>
      </c>
      <c r="N1389" t="inlineStr">
        <is>
          <t>Transportadora fora da lista de frete de venda, mas pela modalidade a Vinco enviou a carga | Modalidade: 0 - Por conta do remetente | Parte: PORTUGAL COMERCIO DE PRODUTOS DESCARTAVEIS LTDA (83.349.563/0003-89)</t>
        </is>
      </c>
      <c r="O1389" s="29" t="n">
        <v>0</v>
      </c>
      <c r="P1389" s="29" t="n">
        <v>133</v>
      </c>
      <c r="Q1389" s="29" t="n">
        <v>0</v>
      </c>
      <c r="R1389" s="29" t="n">
        <v>0</v>
      </c>
      <c r="S1389" s="29" t="n">
        <v>0</v>
      </c>
      <c r="T1389" t="inlineStr">
        <is>
          <t>15251203547982000124570010000829411067038991</t>
        </is>
      </c>
      <c r="U1389" t="inlineStr">
        <is>
          <t>Sim</t>
        </is>
      </c>
    </row>
    <row r="1390">
      <c r="A1390" t="inlineStr">
        <is>
          <t>Frete de venda</t>
        </is>
      </c>
      <c r="B1390" t="inlineStr">
        <is>
          <t>2.01.02 Frete sobre Vendas</t>
        </is>
      </c>
      <c r="C1390" t="inlineStr">
        <is>
          <t>Antes de 2026</t>
        </is>
      </c>
      <c r="D1390" t="inlineStr">
        <is>
          <t>Antes de 2026</t>
        </is>
      </c>
      <c r="E1390" s="28" t="n">
        <v>46017</v>
      </c>
      <c r="F1390" t="inlineStr">
        <is>
          <t>CT-e</t>
        </is>
      </c>
      <c r="G1390" t="inlineStr">
        <is>
          <t>000082942</t>
        </is>
      </c>
      <c r="H1390" t="inlineStr">
        <is>
          <t>CRUZ DE MALTA TRANSPORTES LTDA</t>
        </is>
      </c>
      <c r="J1390" s="29" t="n">
        <v>500</v>
      </c>
      <c r="K1390" s="29">
        <f>(1-ISNUMBER(SEARCH("556",M1390)))*(O1390*SUMIFS(Premissas!$C$5:$C$44,Premissas!$A$5:$A$44,$A1390,Premissas!$B$5:$B$44,$B1390)+P1390*SUMIFS(Premissas!$D$5:$D$44,Premissas!$A$5:$A$44,$A1390,Premissas!$B$5:$B$44,$B1390))+R1390*SUMIFS(Premissas!$E$5:$E$44,Premissas!$A$5:$A$44,$A1390,Premissas!$B$5:$B$44,$B1390)+S1390*SUMIFS(Premissas!$F$5:$F$44,Premissas!$A$5:$A$44,$A1390,Premissas!$B$5:$B$44,$B1390)</f>
        <v/>
      </c>
      <c r="L1390" s="29">
        <f>J1390-K1390</f>
        <v/>
      </c>
      <c r="M1390" t="inlineStr">
        <is>
          <t>1.350</t>
        </is>
      </c>
      <c r="N1390" t="inlineStr">
        <is>
          <t>Transportadora fora da lista de frete de venda, mas pela modalidade a Vinco enviou a carga | Modalidade: 0 - Por conta do remetente | Parte: NEW PLASTICOS DISTRIBUIDORA LTDA (38.438.642/0001-40)</t>
        </is>
      </c>
      <c r="O1390" s="29" t="n">
        <v>0</v>
      </c>
      <c r="P1390" s="29" t="n">
        <v>95</v>
      </c>
      <c r="Q1390" s="29" t="n">
        <v>0</v>
      </c>
      <c r="R1390" s="29" t="n">
        <v>0</v>
      </c>
      <c r="S1390" s="29" t="n">
        <v>0</v>
      </c>
      <c r="T1390" t="inlineStr">
        <is>
          <t>15251203547982000124570010000829421571557864</t>
        </is>
      </c>
      <c r="U1390" t="inlineStr">
        <is>
          <t>Sim</t>
        </is>
      </c>
    </row>
    <row r="1391">
      <c r="A1391" t="inlineStr">
        <is>
          <t>Frete de venda</t>
        </is>
      </c>
      <c r="B1391" t="inlineStr">
        <is>
          <t>2.01.02 Frete sobre Vendas</t>
        </is>
      </c>
      <c r="C1391" t="inlineStr">
        <is>
          <t>Antes de 2026</t>
        </is>
      </c>
      <c r="D1391" t="inlineStr">
        <is>
          <t>Antes de 2026</t>
        </is>
      </c>
      <c r="E1391" s="28" t="n">
        <v>46017</v>
      </c>
      <c r="F1391" t="inlineStr">
        <is>
          <t>CT-e</t>
        </is>
      </c>
      <c r="G1391" t="inlineStr">
        <is>
          <t>000082943</t>
        </is>
      </c>
      <c r="H1391" t="inlineStr">
        <is>
          <t>CRUZ DE MALTA TRANSPORTES LTDA</t>
        </is>
      </c>
      <c r="J1391" s="29" t="n">
        <v>700</v>
      </c>
      <c r="K1391" s="29">
        <f>(1-ISNUMBER(SEARCH("556",M1391)))*(O1391*SUMIFS(Premissas!$C$5:$C$44,Premissas!$A$5:$A$44,$A1391,Premissas!$B$5:$B$44,$B1391)+P1391*SUMIFS(Premissas!$D$5:$D$44,Premissas!$A$5:$A$44,$A1391,Premissas!$B$5:$B$44,$B1391))+R1391*SUMIFS(Premissas!$E$5:$E$44,Premissas!$A$5:$A$44,$A1391,Premissas!$B$5:$B$44,$B1391)+S1391*SUMIFS(Premissas!$F$5:$F$44,Premissas!$A$5:$A$44,$A1391,Premissas!$B$5:$B$44,$B1391)</f>
        <v/>
      </c>
      <c r="L1391" s="29">
        <f>J1391-K1391</f>
        <v/>
      </c>
      <c r="M1391" t="inlineStr">
        <is>
          <t>1.350</t>
        </is>
      </c>
      <c r="N1391" t="inlineStr">
        <is>
          <t>Transportadora fora da lista de frete de venda, mas pela modalidade a Vinco enviou a carga | Modalidade: 0 - Por conta do remetente | Parte: PORTUGAL COMERCIO DE PRODUTOS DESCARTAVEIS LTDA (83.349.563/0001-17)</t>
        </is>
      </c>
      <c r="O1391" s="29" t="n">
        <v>0</v>
      </c>
      <c r="P1391" s="29" t="n">
        <v>133</v>
      </c>
      <c r="Q1391" s="29" t="n">
        <v>0</v>
      </c>
      <c r="R1391" s="29" t="n">
        <v>0</v>
      </c>
      <c r="S1391" s="29" t="n">
        <v>0</v>
      </c>
      <c r="T1391" t="inlineStr">
        <is>
          <t>15251203547982000124570010000829431900609564</t>
        </is>
      </c>
      <c r="U1391" t="inlineStr">
        <is>
          <t>Sim</t>
        </is>
      </c>
    </row>
    <row r="1392">
      <c r="A1392" t="inlineStr">
        <is>
          <t>Frete de venda</t>
        </is>
      </c>
      <c r="B1392" t="inlineStr">
        <is>
          <t>2.01.02 Frete sobre Vendas</t>
        </is>
      </c>
      <c r="C1392" t="inlineStr">
        <is>
          <t>Antes de 2026</t>
        </is>
      </c>
      <c r="D1392" t="inlineStr">
        <is>
          <t>Antes de 2026</t>
        </is>
      </c>
      <c r="E1392" s="28" t="n">
        <v>45942</v>
      </c>
      <c r="F1392" t="inlineStr">
        <is>
          <t>CT-e</t>
        </is>
      </c>
      <c r="G1392" t="inlineStr">
        <is>
          <t>000000004</t>
        </is>
      </c>
      <c r="H1392" t="inlineStr">
        <is>
          <t>FF TRANSPORTES</t>
        </is>
      </c>
      <c r="J1392" s="29" t="n">
        <v>250</v>
      </c>
      <c r="K1392" s="29">
        <f>(1-ISNUMBER(SEARCH("556",M1392)))*(O1392*SUMIFS(Premissas!$C$5:$C$44,Premissas!$A$5:$A$44,$A1392,Premissas!$B$5:$B$44,$B1392)+P1392*SUMIFS(Premissas!$D$5:$D$44,Premissas!$A$5:$A$44,$A1392,Premissas!$B$5:$B$44,$B1392))+R1392*SUMIFS(Premissas!$E$5:$E$44,Premissas!$A$5:$A$44,$A1392,Premissas!$B$5:$B$44,$B1392)+S1392*SUMIFS(Premissas!$F$5:$F$44,Premissas!$A$5:$A$44,$A1392,Premissas!$B$5:$B$44,$B1392)</f>
        <v/>
      </c>
      <c r="L1392" s="29">
        <f>J1392-K1392</f>
        <v/>
      </c>
      <c r="M1392" t="inlineStr">
        <is>
          <t>1.556</t>
        </is>
      </c>
      <c r="N1392" t="inlineStr">
        <is>
          <t>Transportadora fora da lista de frete de venda, mas pela modalidade a Vinco enviou a carga | Modalidade: 0 - Por conta do remetente | Parte: FORTALI DISTRIBUIDORA DE ALIMENTOS LTDA. (09.317.318/0001-75)</t>
        </is>
      </c>
      <c r="O1392" s="29" t="n">
        <v>0</v>
      </c>
      <c r="P1392" s="29" t="n">
        <v>0</v>
      </c>
      <c r="Q1392" s="29" t="n">
        <v>0</v>
      </c>
      <c r="R1392" s="29" t="n">
        <v>0</v>
      </c>
      <c r="S1392" s="29" t="n">
        <v>0</v>
      </c>
      <c r="T1392" t="inlineStr">
        <is>
          <t>25251054434389000102570010000000041556537136</t>
        </is>
      </c>
      <c r="U1392" t="inlineStr">
        <is>
          <t>Não</t>
        </is>
      </c>
    </row>
    <row r="1393">
      <c r="A1393" t="inlineStr">
        <is>
          <t>Frete de venda</t>
        </is>
      </c>
      <c r="B1393" t="inlineStr">
        <is>
          <t>2.01.02 Frete sobre Vendas</t>
        </is>
      </c>
      <c r="C1393" t="inlineStr">
        <is>
          <t>Antes de 2026</t>
        </is>
      </c>
      <c r="D1393" t="inlineStr">
        <is>
          <t>Antes de 2026</t>
        </is>
      </c>
      <c r="E1393" s="28" t="n">
        <v>45942</v>
      </c>
      <c r="F1393" t="inlineStr">
        <is>
          <t>CT-e</t>
        </is>
      </c>
      <c r="G1393" t="inlineStr">
        <is>
          <t>000000005</t>
        </is>
      </c>
      <c r="H1393" t="inlineStr">
        <is>
          <t>FF TRANSPORTES</t>
        </is>
      </c>
      <c r="J1393" s="29" t="n">
        <v>700</v>
      </c>
      <c r="K1393" s="29">
        <f>(1-ISNUMBER(SEARCH("556",M1393)))*(O1393*SUMIFS(Premissas!$C$5:$C$44,Premissas!$A$5:$A$44,$A1393,Premissas!$B$5:$B$44,$B1393)+P1393*SUMIFS(Premissas!$D$5:$D$44,Premissas!$A$5:$A$44,$A1393,Premissas!$B$5:$B$44,$B1393))+R1393*SUMIFS(Premissas!$E$5:$E$44,Premissas!$A$5:$A$44,$A1393,Premissas!$B$5:$B$44,$B1393)+S1393*SUMIFS(Premissas!$F$5:$F$44,Premissas!$A$5:$A$44,$A1393,Premissas!$B$5:$B$44,$B1393)</f>
        <v/>
      </c>
      <c r="L1393" s="29">
        <f>J1393-K1393</f>
        <v/>
      </c>
      <c r="M1393" t="inlineStr">
        <is>
          <t>1.556</t>
        </is>
      </c>
      <c r="N1393" t="inlineStr">
        <is>
          <t>Transportadora fora da lista de frete de venda, mas pela modalidade a Vinco enviou a carga | Modalidade: 0 - Por conta do remetente | Parte: FORTALI DISTRIBUIDORA DE ALIMENTOS LTDA. (09.317.318/0001-75)</t>
        </is>
      </c>
      <c r="O1393" s="29" t="n">
        <v>0</v>
      </c>
      <c r="P1393" s="29" t="n">
        <v>0</v>
      </c>
      <c r="Q1393" s="29" t="n">
        <v>0</v>
      </c>
      <c r="R1393" s="29" t="n">
        <v>0</v>
      </c>
      <c r="S1393" s="29" t="n">
        <v>0</v>
      </c>
      <c r="T1393" t="inlineStr">
        <is>
          <t>25251054434389000102570010000000051838904079</t>
        </is>
      </c>
      <c r="U1393" t="inlineStr">
        <is>
          <t>Não</t>
        </is>
      </c>
    </row>
    <row r="1394">
      <c r="A1394" t="inlineStr">
        <is>
          <t>Frete de venda</t>
        </is>
      </c>
      <c r="B1394" t="inlineStr">
        <is>
          <t>2.01.02 Frete sobre Vendas</t>
        </is>
      </c>
      <c r="C1394" t="inlineStr">
        <is>
          <t>Antes de 2026</t>
        </is>
      </c>
      <c r="D1394" t="inlineStr">
        <is>
          <t>Antes de 2026</t>
        </is>
      </c>
      <c r="E1394" s="28" t="n">
        <v>45877</v>
      </c>
      <c r="F1394" t="inlineStr">
        <is>
          <t>CT-e</t>
        </is>
      </c>
      <c r="G1394" t="inlineStr">
        <is>
          <t>000318598</t>
        </is>
      </c>
      <c r="H1394" t="inlineStr">
        <is>
          <t>GO TRANSPORTES E ENCOMENDAS LTDA</t>
        </is>
      </c>
      <c r="J1394" s="29" t="n">
        <v>258.69</v>
      </c>
      <c r="K1394" s="29">
        <f>(1-ISNUMBER(SEARCH("556",M1394)))*(O1394*SUMIFS(Premissas!$C$5:$C$44,Premissas!$A$5:$A$44,$A1394,Premissas!$B$5:$B$44,$B1394)+P1394*SUMIFS(Premissas!$D$5:$D$44,Premissas!$A$5:$A$44,$A1394,Premissas!$B$5:$B$44,$B1394))+R1394*SUMIFS(Premissas!$E$5:$E$44,Premissas!$A$5:$A$44,$A1394,Premissas!$B$5:$B$44,$B1394)+S1394*SUMIFS(Premissas!$F$5:$F$44,Premissas!$A$5:$A$44,$A1394,Premissas!$B$5:$B$44,$B1394)</f>
        <v/>
      </c>
      <c r="L1394" s="29">
        <f>J1394-K1394</f>
        <v/>
      </c>
      <c r="M1394" t="inlineStr">
        <is>
          <t>1.556</t>
        </is>
      </c>
      <c r="N1394" t="inlineStr">
        <is>
          <t>Transportadora fora da lista de frete de venda, mas pela modalidade a Vinco enviou a carga | Modalidade: 0 - Por conta do remetente | Parte: PEREIRA e RABELO LTDA (14.924.495/0001-50)</t>
        </is>
      </c>
      <c r="O1394" s="29" t="n">
        <v>0</v>
      </c>
      <c r="P1394" s="29" t="n">
        <v>49.15</v>
      </c>
      <c r="Q1394" s="29" t="n">
        <v>0</v>
      </c>
      <c r="R1394" s="29" t="n">
        <v>0</v>
      </c>
      <c r="S1394" s="29" t="n">
        <v>0</v>
      </c>
      <c r="T1394" t="inlineStr">
        <is>
          <t>52250841716870000149570010003185981000500240</t>
        </is>
      </c>
      <c r="U1394" t="inlineStr">
        <is>
          <t>Não</t>
        </is>
      </c>
    </row>
    <row r="1395">
      <c r="A1395" t="inlineStr">
        <is>
          <t>Frete de venda</t>
        </is>
      </c>
      <c r="B1395" t="inlineStr">
        <is>
          <t>2.01.02 Frete sobre Vendas</t>
        </is>
      </c>
      <c r="C1395" t="inlineStr">
        <is>
          <t>Antes de 2026</t>
        </is>
      </c>
      <c r="D1395" t="inlineStr">
        <is>
          <t>Antes de 2026</t>
        </is>
      </c>
      <c r="E1395" s="28" t="n">
        <v>45896</v>
      </c>
      <c r="F1395" t="inlineStr">
        <is>
          <t>CT-e</t>
        </is>
      </c>
      <c r="G1395" t="inlineStr">
        <is>
          <t>000321671</t>
        </is>
      </c>
      <c r="H1395" t="inlineStr">
        <is>
          <t>GO TRANSPORTES E ENCOMENDAS LTDA</t>
        </is>
      </c>
      <c r="J1395" s="29" t="n">
        <v>218.65</v>
      </c>
      <c r="K1395" s="29">
        <f>(1-ISNUMBER(SEARCH("556",M1395)))*(O1395*SUMIFS(Premissas!$C$5:$C$44,Premissas!$A$5:$A$44,$A1395,Premissas!$B$5:$B$44,$B1395)+P1395*SUMIFS(Premissas!$D$5:$D$44,Premissas!$A$5:$A$44,$A1395,Premissas!$B$5:$B$44,$B1395))+R1395*SUMIFS(Premissas!$E$5:$E$44,Premissas!$A$5:$A$44,$A1395,Premissas!$B$5:$B$44,$B1395)+S1395*SUMIFS(Premissas!$F$5:$F$44,Premissas!$A$5:$A$44,$A1395,Premissas!$B$5:$B$44,$B1395)</f>
        <v/>
      </c>
      <c r="L1395" s="29">
        <f>J1395-K1395</f>
        <v/>
      </c>
      <c r="M1395" t="inlineStr">
        <is>
          <t>1.556</t>
        </is>
      </c>
      <c r="N1395" t="inlineStr">
        <is>
          <t>Transportadora fora da lista de frete de venda, mas pela modalidade a Vinco enviou a carga | Modalidade: 0 - Por conta do remetente | Parte: SUPER MEGA VARIEDADES LTDA (02.409.637/0001-61)</t>
        </is>
      </c>
      <c r="O1395" s="29" t="n">
        <v>0</v>
      </c>
      <c r="P1395" s="29" t="n">
        <v>41.54</v>
      </c>
      <c r="Q1395" s="29" t="n">
        <v>0</v>
      </c>
      <c r="R1395" s="29" t="n">
        <v>0</v>
      </c>
      <c r="S1395" s="29" t="n">
        <v>0</v>
      </c>
      <c r="T1395" t="inlineStr">
        <is>
          <t>52250841716870000149570010003216711000532359</t>
        </is>
      </c>
      <c r="U1395" t="inlineStr">
        <is>
          <t>Não</t>
        </is>
      </c>
    </row>
    <row r="1396">
      <c r="A1396" t="inlineStr">
        <is>
          <t>Frete de venda</t>
        </is>
      </c>
      <c r="B1396" t="inlineStr">
        <is>
          <t>2.01.02 Frete sobre Vendas</t>
        </is>
      </c>
      <c r="C1396" t="inlineStr">
        <is>
          <t>Antes de 2026</t>
        </is>
      </c>
      <c r="D1396" t="inlineStr">
        <is>
          <t>Antes de 2026</t>
        </is>
      </c>
      <c r="E1396" s="28" t="n">
        <v>45896</v>
      </c>
      <c r="F1396" t="inlineStr">
        <is>
          <t>CT-e</t>
        </is>
      </c>
      <c r="G1396" t="inlineStr">
        <is>
          <t>000321676</t>
        </is>
      </c>
      <c r="H1396" t="inlineStr">
        <is>
          <t>GO TRANSPORTES E ENCOMENDAS LTDA</t>
        </is>
      </c>
      <c r="J1396" s="29" t="n">
        <v>383.7</v>
      </c>
      <c r="K1396" s="29">
        <f>(1-ISNUMBER(SEARCH("556",M1396)))*(O1396*SUMIFS(Premissas!$C$5:$C$44,Premissas!$A$5:$A$44,$A1396,Premissas!$B$5:$B$44,$B1396)+P1396*SUMIFS(Premissas!$D$5:$D$44,Premissas!$A$5:$A$44,$A1396,Premissas!$B$5:$B$44,$B1396))+R1396*SUMIFS(Premissas!$E$5:$E$44,Premissas!$A$5:$A$44,$A1396,Premissas!$B$5:$B$44,$B1396)+S1396*SUMIFS(Premissas!$F$5:$F$44,Premissas!$A$5:$A$44,$A1396,Premissas!$B$5:$B$44,$B1396)</f>
        <v/>
      </c>
      <c r="L1396" s="29">
        <f>J1396-K1396</f>
        <v/>
      </c>
      <c r="M1396" t="inlineStr">
        <is>
          <t>1.556</t>
        </is>
      </c>
      <c r="N1396" t="inlineStr">
        <is>
          <t>Transportadora fora da lista de frete de venda, mas pela modalidade a Vinco enviou a carga | Modalidade: 0 - Por conta do remetente | Parte: TRES RIOS COMERCIO ATACADISTA E DISTRIBUIDORA LTDA (20.475.473/0001-52)</t>
        </is>
      </c>
      <c r="O1396" s="29" t="n">
        <v>0</v>
      </c>
      <c r="P1396" s="29" t="n">
        <v>72.90000000000001</v>
      </c>
      <c r="Q1396" s="29" t="n">
        <v>0</v>
      </c>
      <c r="R1396" s="29" t="n">
        <v>0</v>
      </c>
      <c r="S1396" s="29" t="n">
        <v>0</v>
      </c>
      <c r="T1396" t="inlineStr">
        <is>
          <t>52250841716870000149570010003216761000532401</t>
        </is>
      </c>
      <c r="U1396" t="inlineStr">
        <is>
          <t>Não</t>
        </is>
      </c>
    </row>
    <row r="1397">
      <c r="A1397" t="inlineStr">
        <is>
          <t>Frete de venda</t>
        </is>
      </c>
      <c r="B1397" t="inlineStr">
        <is>
          <t>2.01.02 Frete sobre Vendas</t>
        </is>
      </c>
      <c r="C1397" t="inlineStr">
        <is>
          <t>Antes de 2026</t>
        </is>
      </c>
      <c r="D1397" t="inlineStr">
        <is>
          <t>Antes de 2026</t>
        </is>
      </c>
      <c r="E1397" s="28" t="n">
        <v>45926</v>
      </c>
      <c r="F1397" t="inlineStr">
        <is>
          <t>CT-e</t>
        </is>
      </c>
      <c r="G1397" t="inlineStr">
        <is>
          <t>000325833</t>
        </is>
      </c>
      <c r="H1397" t="inlineStr">
        <is>
          <t>GO TRANSPORTES E ENCOMENDAS LTDA</t>
        </is>
      </c>
      <c r="J1397" s="29" t="n">
        <v>282.76</v>
      </c>
      <c r="K1397" s="29">
        <f>(1-ISNUMBER(SEARCH("556",M1397)))*(O1397*SUMIFS(Premissas!$C$5:$C$44,Premissas!$A$5:$A$44,$A1397,Premissas!$B$5:$B$44,$B1397)+P1397*SUMIFS(Premissas!$D$5:$D$44,Premissas!$A$5:$A$44,$A1397,Premissas!$B$5:$B$44,$B1397))+R1397*SUMIFS(Premissas!$E$5:$E$44,Premissas!$A$5:$A$44,$A1397,Premissas!$B$5:$B$44,$B1397)+S1397*SUMIFS(Premissas!$F$5:$F$44,Premissas!$A$5:$A$44,$A1397,Premissas!$B$5:$B$44,$B1397)</f>
        <v/>
      </c>
      <c r="L1397" s="29">
        <f>J1397-K1397</f>
        <v/>
      </c>
      <c r="M1397" t="inlineStr">
        <is>
          <t>1.556</t>
        </is>
      </c>
      <c r="N1397" t="inlineStr">
        <is>
          <t>Transportadora fora da lista de frete de venda, mas pela modalidade a Vinco enviou a carga | Modalidade: 0 - Por conta do remetente | Parte: PEREIRA e RABELO LTDA (14.924.495/0001-50)</t>
        </is>
      </c>
      <c r="O1397" s="29" t="n">
        <v>0</v>
      </c>
      <c r="P1397" s="29" t="n">
        <v>53.72</v>
      </c>
      <c r="Q1397" s="29" t="n">
        <v>0</v>
      </c>
      <c r="R1397" s="29" t="n">
        <v>0</v>
      </c>
      <c r="S1397" s="29" t="n">
        <v>0</v>
      </c>
      <c r="T1397" t="inlineStr">
        <is>
          <t>52250941716870000149570010003258331000576951</t>
        </is>
      </c>
      <c r="U1397" t="inlineStr">
        <is>
          <t>Não</t>
        </is>
      </c>
    </row>
    <row r="1398">
      <c r="A1398" t="inlineStr">
        <is>
          <t>Frete de venda</t>
        </is>
      </c>
      <c r="B1398" t="inlineStr">
        <is>
          <t>2.01.02 Frete sobre Vendas</t>
        </is>
      </c>
      <c r="C1398" t="inlineStr">
        <is>
          <t>Antes de 2026</t>
        </is>
      </c>
      <c r="D1398" t="inlineStr">
        <is>
          <t>Antes de 2026</t>
        </is>
      </c>
      <c r="E1398" s="28" t="n">
        <v>45926</v>
      </c>
      <c r="F1398" t="inlineStr">
        <is>
          <t>CT-e</t>
        </is>
      </c>
      <c r="G1398" t="inlineStr">
        <is>
          <t>000325834</t>
        </is>
      </c>
      <c r="H1398" t="inlineStr">
        <is>
          <t>GO TRANSPORTES E ENCOMENDAS LTDA</t>
        </is>
      </c>
      <c r="J1398" s="29" t="n">
        <v>240.64</v>
      </c>
      <c r="K1398" s="29">
        <f>(1-ISNUMBER(SEARCH("556",M1398)))*(O1398*SUMIFS(Premissas!$C$5:$C$44,Premissas!$A$5:$A$44,$A1398,Premissas!$B$5:$B$44,$B1398)+P1398*SUMIFS(Premissas!$D$5:$D$44,Premissas!$A$5:$A$44,$A1398,Premissas!$B$5:$B$44,$B1398))+R1398*SUMIFS(Premissas!$E$5:$E$44,Premissas!$A$5:$A$44,$A1398,Premissas!$B$5:$B$44,$B1398)+S1398*SUMIFS(Premissas!$F$5:$F$44,Premissas!$A$5:$A$44,$A1398,Premissas!$B$5:$B$44,$B1398)</f>
        <v/>
      </c>
      <c r="L1398" s="29">
        <f>J1398-K1398</f>
        <v/>
      </c>
      <c r="M1398" t="inlineStr">
        <is>
          <t>1.556</t>
        </is>
      </c>
      <c r="N1398" t="inlineStr">
        <is>
          <t>Transportadora fora da lista de frete de venda, mas pela modalidade a Vinco enviou a carga | Modalidade: 0 - Por conta do remetente | Parte: BIG COMPACTA EMBALAGENS E FESTAS LTDA (24.932.814/0001-22)</t>
        </is>
      </c>
      <c r="O1398" s="29" t="n">
        <v>0</v>
      </c>
      <c r="P1398" s="29" t="n">
        <v>45.72</v>
      </c>
      <c r="Q1398" s="29" t="n">
        <v>0</v>
      </c>
      <c r="R1398" s="29" t="n">
        <v>0</v>
      </c>
      <c r="S1398" s="29" t="n">
        <v>0</v>
      </c>
      <c r="T1398" t="inlineStr">
        <is>
          <t>52250941716870000149570010003258341000576967</t>
        </is>
      </c>
      <c r="U1398" t="inlineStr">
        <is>
          <t>Não</t>
        </is>
      </c>
    </row>
    <row r="1399">
      <c r="A1399" t="inlineStr">
        <is>
          <t>Frete de venda</t>
        </is>
      </c>
      <c r="B1399" t="inlineStr">
        <is>
          <t>2.01.02 Frete sobre Vendas</t>
        </is>
      </c>
      <c r="C1399" t="inlineStr">
        <is>
          <t>Antes de 2026</t>
        </is>
      </c>
      <c r="D1399" t="inlineStr">
        <is>
          <t>Antes de 2026</t>
        </is>
      </c>
      <c r="E1399" s="28" t="n">
        <v>46021</v>
      </c>
      <c r="F1399" t="inlineStr">
        <is>
          <t>CT-e</t>
        </is>
      </c>
      <c r="G1399" t="inlineStr">
        <is>
          <t>000004566</t>
        </is>
      </c>
      <c r="H1399" t="inlineStr">
        <is>
          <t>PAJEU TRANSPORTES RODOVIARIOS DE CARGAS LTDA</t>
        </is>
      </c>
      <c r="J1399" s="29" t="n">
        <v>996.2</v>
      </c>
      <c r="K1399" s="29">
        <f>(1-ISNUMBER(SEARCH("556",M1399)))*(O1399*SUMIFS(Premissas!$C$5:$C$44,Premissas!$A$5:$A$44,$A1399,Premissas!$B$5:$B$44,$B1399)+P1399*SUMIFS(Premissas!$D$5:$D$44,Premissas!$A$5:$A$44,$A1399,Premissas!$B$5:$B$44,$B1399))+R1399*SUMIFS(Premissas!$E$5:$E$44,Premissas!$A$5:$A$44,$A1399,Premissas!$B$5:$B$44,$B1399)+S1399*SUMIFS(Premissas!$F$5:$F$44,Premissas!$A$5:$A$44,$A1399,Premissas!$B$5:$B$44,$B1399)</f>
        <v/>
      </c>
      <c r="L1399" s="29">
        <f>J1399-K1399</f>
        <v/>
      </c>
      <c r="M1399" t="inlineStr">
        <is>
          <t>1.350</t>
        </is>
      </c>
      <c r="N1399" t="inlineStr">
        <is>
          <t>Transportadora fora da lista de frete de venda, mas pela modalidade a Vinco enviou a carga | Modalidade: 0 - Por conta do remetente | Parte: VITOR HUGO GOMES LIMA (08.968.419/0001-43)</t>
        </is>
      </c>
      <c r="O1399" s="29" t="n">
        <v>0</v>
      </c>
      <c r="P1399" s="29" t="n">
        <v>0</v>
      </c>
      <c r="Q1399" s="29" t="n">
        <v>0</v>
      </c>
      <c r="R1399" s="29" t="n">
        <v>0</v>
      </c>
      <c r="S1399" s="29" t="n">
        <v>0</v>
      </c>
      <c r="T1399" t="inlineStr">
        <is>
          <t>26251225683209000209570010000045661547311556</t>
        </is>
      </c>
      <c r="U1399" t="inlineStr">
        <is>
          <t>Sim</t>
        </is>
      </c>
    </row>
    <row r="1400">
      <c r="A1400" t="inlineStr">
        <is>
          <t>Frete de venda</t>
        </is>
      </c>
      <c r="B1400" t="inlineStr">
        <is>
          <t>2.01.02 Frete sobre Vendas</t>
        </is>
      </c>
      <c r="C1400" t="inlineStr">
        <is>
          <t>Antes de 2026</t>
        </is>
      </c>
      <c r="D1400" t="inlineStr">
        <is>
          <t>Antes de 2026</t>
        </is>
      </c>
      <c r="E1400" s="28" t="n">
        <v>46002</v>
      </c>
      <c r="F1400" t="inlineStr">
        <is>
          <t>CT-e</t>
        </is>
      </c>
      <c r="G1400" t="inlineStr">
        <is>
          <t>000023266</t>
        </is>
      </c>
      <c r="H1400" t="inlineStr">
        <is>
          <t>PICCOLI LOGISTICA E TRANSPORTES LTDA</t>
        </is>
      </c>
      <c r="J1400" s="29" t="n">
        <v>0.1</v>
      </c>
      <c r="K1400" s="29">
        <f>(1-ISNUMBER(SEARCH("556",M1400)))*(O1400*SUMIFS(Premissas!$C$5:$C$44,Premissas!$A$5:$A$44,$A1400,Premissas!$B$5:$B$44,$B1400)+P1400*SUMIFS(Premissas!$D$5:$D$44,Premissas!$A$5:$A$44,$A1400,Premissas!$B$5:$B$44,$B1400))+R1400*SUMIFS(Premissas!$E$5:$E$44,Premissas!$A$5:$A$44,$A1400,Premissas!$B$5:$B$44,$B1400)+S1400*SUMIFS(Premissas!$F$5:$F$44,Premissas!$A$5:$A$44,$A1400,Premissas!$B$5:$B$44,$B1400)</f>
        <v/>
      </c>
      <c r="L1400" s="29">
        <f>J1400-K1400</f>
        <v/>
      </c>
      <c r="M1400" t="inlineStr">
        <is>
          <t>2.350</t>
        </is>
      </c>
      <c r="N1400" t="inlineStr">
        <is>
          <t>Modalidade: 0 - Por conta do remetente | Parte: ANDRE FERREIRA DE ARAUJO (16.954.088/0001-10)</t>
        </is>
      </c>
      <c r="O1400" s="29" t="n">
        <v>0</v>
      </c>
      <c r="P1400" s="29" t="n">
        <v>0.01</v>
      </c>
      <c r="Q1400" s="29" t="n">
        <v>0</v>
      </c>
      <c r="R1400" s="29" t="n">
        <v>0</v>
      </c>
      <c r="S1400" s="29" t="n">
        <v>0</v>
      </c>
      <c r="T1400" t="inlineStr">
        <is>
          <t>35251256910992000149570010000232661005096114</t>
        </is>
      </c>
      <c r="U1400" t="inlineStr">
        <is>
          <t>Não</t>
        </is>
      </c>
    </row>
    <row r="1401">
      <c r="A1401" t="inlineStr">
        <is>
          <t>Frete de venda</t>
        </is>
      </c>
      <c r="B1401" t="inlineStr">
        <is>
          <t>2.01.02 Frete sobre Vendas</t>
        </is>
      </c>
      <c r="C1401" t="inlineStr">
        <is>
          <t>Antes de 2026</t>
        </is>
      </c>
      <c r="D1401" t="inlineStr">
        <is>
          <t>Antes de 2026</t>
        </is>
      </c>
      <c r="E1401" s="28" t="n">
        <v>46014</v>
      </c>
      <c r="F1401" t="inlineStr">
        <is>
          <t>CT-e</t>
        </is>
      </c>
      <c r="G1401" t="inlineStr">
        <is>
          <t>000023853</t>
        </is>
      </c>
      <c r="H1401" t="inlineStr">
        <is>
          <t>PICCOLI LOGISTICA E TRANSPORTES LTDA</t>
        </is>
      </c>
      <c r="J1401" s="29" t="n">
        <v>147.7</v>
      </c>
      <c r="K1401" s="29">
        <f>(1-ISNUMBER(SEARCH("556",M1401)))*(O1401*SUMIFS(Premissas!$C$5:$C$44,Premissas!$A$5:$A$44,$A1401,Premissas!$B$5:$B$44,$B1401)+P1401*SUMIFS(Premissas!$D$5:$D$44,Premissas!$A$5:$A$44,$A1401,Premissas!$B$5:$B$44,$B1401))+R1401*SUMIFS(Premissas!$E$5:$E$44,Premissas!$A$5:$A$44,$A1401,Premissas!$B$5:$B$44,$B1401)+S1401*SUMIFS(Premissas!$F$5:$F$44,Premissas!$A$5:$A$44,$A1401,Premissas!$B$5:$B$44,$B1401)</f>
        <v/>
      </c>
      <c r="L1401" s="29">
        <f>J1401-K1401</f>
        <v/>
      </c>
      <c r="M1401" t="inlineStr">
        <is>
          <t>1.350</t>
        </is>
      </c>
      <c r="N1401" t="inlineStr">
        <is>
          <t>Modalidade: 0 - Por conta do remetente | Parte: DISTRIBUIDORA CENTRAL EMBALAGENS LTDA (08.726.563/0001-73)</t>
        </is>
      </c>
      <c r="O1401" s="29" t="n">
        <v>0</v>
      </c>
      <c r="P1401" s="29" t="n">
        <v>10.34</v>
      </c>
      <c r="Q1401" s="29" t="n">
        <v>0</v>
      </c>
      <c r="R1401" s="29" t="n">
        <v>0</v>
      </c>
      <c r="S1401" s="29" t="n">
        <v>0</v>
      </c>
      <c r="T1401" t="inlineStr">
        <is>
          <t>35251256910992000149570010000238531005137389</t>
        </is>
      </c>
      <c r="U1401" t="inlineStr">
        <is>
          <t>Sim</t>
        </is>
      </c>
    </row>
    <row r="1402">
      <c r="A1402" t="inlineStr">
        <is>
          <t>Frete de venda</t>
        </is>
      </c>
      <c r="B1402" t="inlineStr">
        <is>
          <t>2.01.02 Frete sobre Vendas</t>
        </is>
      </c>
      <c r="C1402" t="inlineStr">
        <is>
          <t>Antes de 2026</t>
        </is>
      </c>
      <c r="D1402" t="inlineStr">
        <is>
          <t>Antes de 2026</t>
        </is>
      </c>
      <c r="E1402" s="28" t="n">
        <v>46007</v>
      </c>
      <c r="F1402" t="inlineStr">
        <is>
          <t>CT-e</t>
        </is>
      </c>
      <c r="G1402" t="inlineStr">
        <is>
          <t>001394759</t>
        </is>
      </c>
      <c r="H1402" t="inlineStr">
        <is>
          <t>PICCOLI TRANSPORTES LTDA</t>
        </is>
      </c>
      <c r="J1402" s="29" t="n">
        <v>645.16</v>
      </c>
      <c r="K1402" s="29">
        <f>(1-ISNUMBER(SEARCH("556",M1402)))*(O1402*SUMIFS(Premissas!$C$5:$C$44,Premissas!$A$5:$A$44,$A1402,Premissas!$B$5:$B$44,$B1402)+P1402*SUMIFS(Premissas!$D$5:$D$44,Premissas!$A$5:$A$44,$A1402,Premissas!$B$5:$B$44,$B1402))+R1402*SUMIFS(Premissas!$E$5:$E$44,Premissas!$A$5:$A$44,$A1402,Premissas!$B$5:$B$44,$B1402)+S1402*SUMIFS(Premissas!$F$5:$F$44,Premissas!$A$5:$A$44,$A1402,Premissas!$B$5:$B$44,$B1402)</f>
        <v/>
      </c>
      <c r="L1402" s="29">
        <f>J1402-K1402</f>
        <v/>
      </c>
      <c r="M1402" t="inlineStr">
        <is>
          <t>1.350</t>
        </is>
      </c>
      <c r="N1402" t="inlineStr">
        <is>
          <t>Modalidade: 0 - Por conta do remetente | Parte: INDUSTRIAL E COMERCIAL ALMEIDA LTDA (02.623.537/0010-24)</t>
        </is>
      </c>
      <c r="O1402" s="29" t="n">
        <v>0</v>
      </c>
      <c r="P1402" s="29" t="n">
        <v>45.16</v>
      </c>
      <c r="Q1402" s="29" t="n">
        <v>0</v>
      </c>
      <c r="R1402" s="29" t="n">
        <v>0</v>
      </c>
      <c r="S1402" s="29" t="n">
        <v>0</v>
      </c>
      <c r="T1402" t="inlineStr">
        <is>
          <t>35251201496359000245570010013947591005107193</t>
        </is>
      </c>
      <c r="U1402" t="inlineStr">
        <is>
          <t>Sim</t>
        </is>
      </c>
    </row>
    <row r="1403">
      <c r="A1403" t="inlineStr">
        <is>
          <t>Frete de venda</t>
        </is>
      </c>
      <c r="B1403" t="inlineStr">
        <is>
          <t>2.01.02 Frete sobre Vendas</t>
        </is>
      </c>
      <c r="C1403" t="inlineStr">
        <is>
          <t>Antes de 2026</t>
        </is>
      </c>
      <c r="D1403" t="inlineStr">
        <is>
          <t>Antes de 2026</t>
        </is>
      </c>
      <c r="E1403" s="28" t="n">
        <v>45771</v>
      </c>
      <c r="F1403" t="inlineStr">
        <is>
          <t>CT-e</t>
        </is>
      </c>
      <c r="G1403" t="inlineStr">
        <is>
          <t>000004080</t>
        </is>
      </c>
      <c r="H1403" t="inlineStr">
        <is>
          <t>R&amp;R TRANSPORTE E LOGISTICA</t>
        </is>
      </c>
      <c r="J1403" s="29" t="n">
        <v>97.16</v>
      </c>
      <c r="K1403" s="29">
        <f>(1-ISNUMBER(SEARCH("556",M1403)))*(O1403*SUMIFS(Premissas!$C$5:$C$44,Premissas!$A$5:$A$44,$A1403,Premissas!$B$5:$B$44,$B1403)+P1403*SUMIFS(Premissas!$D$5:$D$44,Premissas!$A$5:$A$44,$A1403,Premissas!$B$5:$B$44,$B1403))+R1403*SUMIFS(Premissas!$E$5:$E$44,Premissas!$A$5:$A$44,$A1403,Premissas!$B$5:$B$44,$B1403)+S1403*SUMIFS(Premissas!$F$5:$F$44,Premissas!$A$5:$A$44,$A1403,Premissas!$B$5:$B$44,$B1403)</f>
        <v/>
      </c>
      <c r="L1403" s="29">
        <f>J1403-K1403</f>
        <v/>
      </c>
      <c r="M1403" t="inlineStr">
        <is>
          <t>1.350</t>
        </is>
      </c>
      <c r="N1403" t="inlineStr">
        <is>
          <t>Modalidade: 0 - Por conta do remetente | Parte: DOCA COMERCIO DE PRODUTOS ALIMENTICIOS LTDA (15.258.788/0003-70)</t>
        </is>
      </c>
      <c r="O1403" s="29" t="n">
        <v>0</v>
      </c>
      <c r="P1403" s="29" t="n">
        <v>0</v>
      </c>
      <c r="Q1403" s="29" t="n">
        <v>0</v>
      </c>
      <c r="R1403" s="29" t="n">
        <v>0</v>
      </c>
      <c r="S1403" s="29" t="n">
        <v>0</v>
      </c>
      <c r="T1403" t="inlineStr">
        <is>
          <t>25250426975620000130570010000040801000000001</t>
        </is>
      </c>
      <c r="U1403" t="inlineStr">
        <is>
          <t>Não</t>
        </is>
      </c>
    </row>
    <row r="1404">
      <c r="A1404" t="inlineStr">
        <is>
          <t>Frete de venda</t>
        </is>
      </c>
      <c r="B1404" t="inlineStr">
        <is>
          <t>2.01.02 Frete sobre Vendas</t>
        </is>
      </c>
      <c r="C1404" t="inlineStr">
        <is>
          <t>Antes de 2026</t>
        </is>
      </c>
      <c r="D1404" t="inlineStr">
        <is>
          <t>Antes de 2026</t>
        </is>
      </c>
      <c r="E1404" s="28" t="n">
        <v>45771</v>
      </c>
      <c r="F1404" t="inlineStr">
        <is>
          <t>CT-e</t>
        </is>
      </c>
      <c r="G1404" t="inlineStr">
        <is>
          <t>000004081</t>
        </is>
      </c>
      <c r="H1404" t="inlineStr">
        <is>
          <t>R&amp;R TRANSPORTE E LOGISTICA</t>
        </is>
      </c>
      <c r="J1404" s="29" t="n">
        <v>98.76000000000001</v>
      </c>
      <c r="K1404" s="29">
        <f>(1-ISNUMBER(SEARCH("556",M1404)))*(O1404*SUMIFS(Premissas!$C$5:$C$44,Premissas!$A$5:$A$44,$A1404,Premissas!$B$5:$B$44,$B1404)+P1404*SUMIFS(Premissas!$D$5:$D$44,Premissas!$A$5:$A$44,$A1404,Premissas!$B$5:$B$44,$B1404))+R1404*SUMIFS(Premissas!$E$5:$E$44,Premissas!$A$5:$A$44,$A1404,Premissas!$B$5:$B$44,$B1404)+S1404*SUMIFS(Premissas!$F$5:$F$44,Premissas!$A$5:$A$44,$A1404,Premissas!$B$5:$B$44,$B1404)</f>
        <v/>
      </c>
      <c r="L1404" s="29">
        <f>J1404-K1404</f>
        <v/>
      </c>
      <c r="M1404" t="inlineStr">
        <is>
          <t>1.350</t>
        </is>
      </c>
      <c r="N1404" t="inlineStr">
        <is>
          <t>Modalidade: 0 - Por conta do remetente | Parte: JND DISTRIBUIDORA LTDA (36.332.668/0001-83)</t>
        </is>
      </c>
      <c r="O1404" s="29" t="n">
        <v>0</v>
      </c>
      <c r="P1404" s="29" t="n">
        <v>0</v>
      </c>
      <c r="Q1404" s="29" t="n">
        <v>0</v>
      </c>
      <c r="R1404" s="29" t="n">
        <v>0</v>
      </c>
      <c r="S1404" s="29" t="n">
        <v>0</v>
      </c>
      <c r="T1404" t="inlineStr">
        <is>
          <t>25250426975620000130570010000040811000000009</t>
        </is>
      </c>
      <c r="U1404" t="inlineStr">
        <is>
          <t>Não</t>
        </is>
      </c>
    </row>
    <row r="1405">
      <c r="A1405" t="inlineStr">
        <is>
          <t>Frete de venda</t>
        </is>
      </c>
      <c r="B1405" t="inlineStr">
        <is>
          <t>2.01.02 Frete sobre Vendas</t>
        </is>
      </c>
      <c r="C1405" t="inlineStr">
        <is>
          <t>Antes de 2026</t>
        </is>
      </c>
      <c r="D1405" t="inlineStr">
        <is>
          <t>Antes de 2026</t>
        </is>
      </c>
      <c r="E1405" s="28" t="n">
        <v>45772</v>
      </c>
      <c r="F1405" t="inlineStr">
        <is>
          <t>CT-e</t>
        </is>
      </c>
      <c r="G1405" t="inlineStr">
        <is>
          <t>000004083</t>
        </is>
      </c>
      <c r="H1405" t="inlineStr">
        <is>
          <t>R&amp;R TRANSPORTE E LOGISTICA</t>
        </is>
      </c>
      <c r="J1405" s="29" t="n">
        <v>700</v>
      </c>
      <c r="K1405" s="29">
        <f>(1-ISNUMBER(SEARCH("556",M1405)))*(O1405*SUMIFS(Premissas!$C$5:$C$44,Premissas!$A$5:$A$44,$A1405,Premissas!$B$5:$B$44,$B1405)+P1405*SUMIFS(Premissas!$D$5:$D$44,Premissas!$A$5:$A$44,$A1405,Premissas!$B$5:$B$44,$B1405))+R1405*SUMIFS(Premissas!$E$5:$E$44,Premissas!$A$5:$A$44,$A1405,Premissas!$B$5:$B$44,$B1405)+S1405*SUMIFS(Premissas!$F$5:$F$44,Premissas!$A$5:$A$44,$A1405,Premissas!$B$5:$B$44,$B1405)</f>
        <v/>
      </c>
      <c r="L1405" s="29">
        <f>J1405-K1405</f>
        <v/>
      </c>
      <c r="M1405" t="inlineStr">
        <is>
          <t>1.350</t>
        </is>
      </c>
      <c r="N1405" t="inlineStr">
        <is>
          <t>Modalidade: 0 - Por conta do remetente | Parte: CAEL DISTRIBUIDORA DE PRODUTOS DE HIGIENE E LIMPEZA LTDA (15.129.402/0001-68)</t>
        </is>
      </c>
      <c r="O1405" s="29" t="n">
        <v>0</v>
      </c>
      <c r="P1405" s="29" t="n">
        <v>0</v>
      </c>
      <c r="Q1405" s="29" t="n">
        <v>0</v>
      </c>
      <c r="R1405" s="29" t="n">
        <v>0</v>
      </c>
      <c r="S1405" s="29" t="n">
        <v>0</v>
      </c>
      <c r="T1405" t="inlineStr">
        <is>
          <t>25250426975620000130570010000040831000000003</t>
        </is>
      </c>
      <c r="U1405" t="inlineStr">
        <is>
          <t>Não</t>
        </is>
      </c>
    </row>
    <row r="1406">
      <c r="A1406" t="inlineStr">
        <is>
          <t>Frete de venda</t>
        </is>
      </c>
      <c r="B1406" t="inlineStr">
        <is>
          <t>2.01.02 Frete sobre Vendas</t>
        </is>
      </c>
      <c r="C1406" t="inlineStr">
        <is>
          <t>Antes de 2026</t>
        </is>
      </c>
      <c r="D1406" t="inlineStr">
        <is>
          <t>Antes de 2026</t>
        </is>
      </c>
      <c r="E1406" s="28" t="n">
        <v>45772</v>
      </c>
      <c r="F1406" t="inlineStr">
        <is>
          <t>CT-e</t>
        </is>
      </c>
      <c r="G1406" t="inlineStr">
        <is>
          <t>000004084</t>
        </is>
      </c>
      <c r="H1406" t="inlineStr">
        <is>
          <t>R&amp;R TRANSPORTE E LOGISTICA</t>
        </is>
      </c>
      <c r="J1406" s="29" t="n">
        <v>700</v>
      </c>
      <c r="K1406" s="29">
        <f>(1-ISNUMBER(SEARCH("556",M1406)))*(O1406*SUMIFS(Premissas!$C$5:$C$44,Premissas!$A$5:$A$44,$A1406,Premissas!$B$5:$B$44,$B1406)+P1406*SUMIFS(Premissas!$D$5:$D$44,Premissas!$A$5:$A$44,$A1406,Premissas!$B$5:$B$44,$B1406))+R1406*SUMIFS(Premissas!$E$5:$E$44,Premissas!$A$5:$A$44,$A1406,Premissas!$B$5:$B$44,$B1406)+S1406*SUMIFS(Premissas!$F$5:$F$44,Premissas!$A$5:$A$44,$A1406,Premissas!$B$5:$B$44,$B1406)</f>
        <v/>
      </c>
      <c r="L1406" s="29">
        <f>J1406-K1406</f>
        <v/>
      </c>
      <c r="M1406" t="inlineStr">
        <is>
          <t>1.350</t>
        </is>
      </c>
      <c r="N1406" t="inlineStr">
        <is>
          <t>Modalidade: 0 - Por conta do remetente | Parte: JR DISTRIBUICAO LTDA (00.680.755/0002-65)</t>
        </is>
      </c>
      <c r="O1406" s="29" t="n">
        <v>0</v>
      </c>
      <c r="P1406" s="29" t="n">
        <v>0</v>
      </c>
      <c r="Q1406" s="29" t="n">
        <v>0</v>
      </c>
      <c r="R1406" s="29" t="n">
        <v>0</v>
      </c>
      <c r="S1406" s="29" t="n">
        <v>0</v>
      </c>
      <c r="T1406" t="inlineStr">
        <is>
          <t>25250426975620000130570010000040841000000000</t>
        </is>
      </c>
      <c r="U1406" t="inlineStr">
        <is>
          <t>Não</t>
        </is>
      </c>
    </row>
    <row r="1407">
      <c r="A1407" t="inlineStr">
        <is>
          <t>Frete de venda</t>
        </is>
      </c>
      <c r="B1407" t="inlineStr">
        <is>
          <t>2.01.02 Frete sobre Vendas</t>
        </is>
      </c>
      <c r="C1407" t="inlineStr">
        <is>
          <t>Antes de 2026</t>
        </is>
      </c>
      <c r="D1407" t="inlineStr">
        <is>
          <t>Antes de 2026</t>
        </is>
      </c>
      <c r="E1407" s="28" t="n">
        <v>45775</v>
      </c>
      <c r="F1407" t="inlineStr">
        <is>
          <t>CT-e</t>
        </is>
      </c>
      <c r="G1407" t="inlineStr">
        <is>
          <t>000004087</t>
        </is>
      </c>
      <c r="H1407" t="inlineStr">
        <is>
          <t>R&amp;R TRANSPORTE E LOGISTICA</t>
        </is>
      </c>
      <c r="J1407" s="29" t="n">
        <v>37.24</v>
      </c>
      <c r="K1407" s="29">
        <f>(1-ISNUMBER(SEARCH("556",M1407)))*(O1407*SUMIFS(Premissas!$C$5:$C$44,Premissas!$A$5:$A$44,$A1407,Premissas!$B$5:$B$44,$B1407)+P1407*SUMIFS(Premissas!$D$5:$D$44,Premissas!$A$5:$A$44,$A1407,Premissas!$B$5:$B$44,$B1407))+R1407*SUMIFS(Premissas!$E$5:$E$44,Premissas!$A$5:$A$44,$A1407,Premissas!$B$5:$B$44,$B1407)+S1407*SUMIFS(Premissas!$F$5:$F$44,Premissas!$A$5:$A$44,$A1407,Premissas!$B$5:$B$44,$B1407)</f>
        <v/>
      </c>
      <c r="L1407" s="29">
        <f>J1407-K1407</f>
        <v/>
      </c>
      <c r="M1407" t="inlineStr">
        <is>
          <t>1.350</t>
        </is>
      </c>
      <c r="N1407" t="inlineStr">
        <is>
          <t>Modalidade: 0 - Por conta do remetente | Parte: R M DE SOUSA LOPES COMERCIO DE EMBALAGENS LTDA (05.268.279/0001-02)</t>
        </is>
      </c>
      <c r="O1407" s="29" t="n">
        <v>0</v>
      </c>
      <c r="P1407" s="29" t="n">
        <v>0</v>
      </c>
      <c r="Q1407" s="29" t="n">
        <v>0</v>
      </c>
      <c r="R1407" s="29" t="n">
        <v>0</v>
      </c>
      <c r="S1407" s="29" t="n">
        <v>0</v>
      </c>
      <c r="T1407" t="inlineStr">
        <is>
          <t>25250426975620000130570010000040871000000002</t>
        </is>
      </c>
      <c r="U1407" t="inlineStr">
        <is>
          <t>Não</t>
        </is>
      </c>
    </row>
    <row r="1408">
      <c r="A1408" t="inlineStr">
        <is>
          <t>Frete de venda</t>
        </is>
      </c>
      <c r="B1408" t="inlineStr">
        <is>
          <t>2.01.02 Frete sobre Vendas</t>
        </is>
      </c>
      <c r="C1408" t="inlineStr">
        <is>
          <t>Antes de 2026</t>
        </is>
      </c>
      <c r="D1408" t="inlineStr">
        <is>
          <t>Antes de 2026</t>
        </is>
      </c>
      <c r="E1408" s="28" t="n">
        <v>45775</v>
      </c>
      <c r="F1408" t="inlineStr">
        <is>
          <t>CT-e</t>
        </is>
      </c>
      <c r="G1408" t="inlineStr">
        <is>
          <t>000004088</t>
        </is>
      </c>
      <c r="H1408" t="inlineStr">
        <is>
          <t>R&amp;R TRANSPORTE E LOGISTICA</t>
        </is>
      </c>
      <c r="J1408" s="29" t="n">
        <v>35.31</v>
      </c>
      <c r="K1408" s="29">
        <f>(1-ISNUMBER(SEARCH("556",M1408)))*(O1408*SUMIFS(Premissas!$C$5:$C$44,Premissas!$A$5:$A$44,$A1408,Premissas!$B$5:$B$44,$B1408)+P1408*SUMIFS(Premissas!$D$5:$D$44,Premissas!$A$5:$A$44,$A1408,Premissas!$B$5:$B$44,$B1408))+R1408*SUMIFS(Premissas!$E$5:$E$44,Premissas!$A$5:$A$44,$A1408,Premissas!$B$5:$B$44,$B1408)+S1408*SUMIFS(Premissas!$F$5:$F$44,Premissas!$A$5:$A$44,$A1408,Premissas!$B$5:$B$44,$B1408)</f>
        <v/>
      </c>
      <c r="L1408" s="29">
        <f>J1408-K1408</f>
        <v/>
      </c>
      <c r="M1408" t="inlineStr">
        <is>
          <t>1.350</t>
        </is>
      </c>
      <c r="N1408" t="inlineStr">
        <is>
          <t>Modalidade: 0 - Por conta do remetente | Parte: A MOTA COMERCIO DE EMBALAGENS E REPRESENTACOES LTDA (52.274.765/0001-13)</t>
        </is>
      </c>
      <c r="O1408" s="29" t="n">
        <v>0</v>
      </c>
      <c r="P1408" s="29" t="n">
        <v>0</v>
      </c>
      <c r="Q1408" s="29" t="n">
        <v>0</v>
      </c>
      <c r="R1408" s="29" t="n">
        <v>0</v>
      </c>
      <c r="S1408" s="29" t="n">
        <v>0</v>
      </c>
      <c r="T1408" t="inlineStr">
        <is>
          <t>25250426975620000130570010000040881000000000</t>
        </is>
      </c>
      <c r="U1408" t="inlineStr">
        <is>
          <t>Não</t>
        </is>
      </c>
    </row>
    <row r="1409">
      <c r="A1409" t="inlineStr">
        <is>
          <t>Frete de venda</t>
        </is>
      </c>
      <c r="B1409" t="inlineStr">
        <is>
          <t>2.01.02 Frete sobre Vendas</t>
        </is>
      </c>
      <c r="C1409" t="inlineStr">
        <is>
          <t>Antes de 2026</t>
        </is>
      </c>
      <c r="D1409" t="inlineStr">
        <is>
          <t>Antes de 2026</t>
        </is>
      </c>
      <c r="E1409" s="28" t="n">
        <v>45775</v>
      </c>
      <c r="F1409" t="inlineStr">
        <is>
          <t>CT-e</t>
        </is>
      </c>
      <c r="G1409" t="inlineStr">
        <is>
          <t>000004089</t>
        </is>
      </c>
      <c r="H1409" t="inlineStr">
        <is>
          <t>R&amp;R TRANSPORTE E LOGISTICA</t>
        </is>
      </c>
      <c r="J1409" s="29" t="n">
        <v>35.82</v>
      </c>
      <c r="K1409" s="29">
        <f>(1-ISNUMBER(SEARCH("556",M1409)))*(O1409*SUMIFS(Premissas!$C$5:$C$44,Premissas!$A$5:$A$44,$A1409,Premissas!$B$5:$B$44,$B1409)+P1409*SUMIFS(Premissas!$D$5:$D$44,Premissas!$A$5:$A$44,$A1409,Premissas!$B$5:$B$44,$B1409))+R1409*SUMIFS(Premissas!$E$5:$E$44,Premissas!$A$5:$A$44,$A1409,Premissas!$B$5:$B$44,$B1409)+S1409*SUMIFS(Premissas!$F$5:$F$44,Premissas!$A$5:$A$44,$A1409,Premissas!$B$5:$B$44,$B1409)</f>
        <v/>
      </c>
      <c r="L1409" s="29">
        <f>J1409-K1409</f>
        <v/>
      </c>
      <c r="M1409" t="inlineStr">
        <is>
          <t>1.350</t>
        </is>
      </c>
      <c r="N1409" t="inlineStr">
        <is>
          <t>Modalidade: 0 - Por conta do remetente | Parte: P3 DESCARTAVEIS ATACADO e VAREJO LTDA (12.040.681/0001-09)</t>
        </is>
      </c>
      <c r="O1409" s="29" t="n">
        <v>0</v>
      </c>
      <c r="P1409" s="29" t="n">
        <v>0</v>
      </c>
      <c r="Q1409" s="29" t="n">
        <v>0</v>
      </c>
      <c r="R1409" s="29" t="n">
        <v>0</v>
      </c>
      <c r="S1409" s="29" t="n">
        <v>0</v>
      </c>
      <c r="T1409" t="inlineStr">
        <is>
          <t>25250426975620000130570010000040891000000007</t>
        </is>
      </c>
      <c r="U1409" t="inlineStr">
        <is>
          <t>Não</t>
        </is>
      </c>
    </row>
    <row r="1410">
      <c r="A1410" t="inlineStr">
        <is>
          <t>Frete de venda</t>
        </is>
      </c>
      <c r="B1410" t="inlineStr">
        <is>
          <t>2.01.02 Frete sobre Vendas</t>
        </is>
      </c>
      <c r="C1410" t="inlineStr">
        <is>
          <t>Antes de 2026</t>
        </is>
      </c>
      <c r="D1410" t="inlineStr">
        <is>
          <t>Antes de 2026</t>
        </is>
      </c>
      <c r="E1410" s="28" t="n">
        <v>45775</v>
      </c>
      <c r="F1410" t="inlineStr">
        <is>
          <t>CT-e</t>
        </is>
      </c>
      <c r="G1410" t="inlineStr">
        <is>
          <t>000004090</t>
        </is>
      </c>
      <c r="H1410" t="inlineStr">
        <is>
          <t>R&amp;R TRANSPORTE E LOGISTICA</t>
        </is>
      </c>
      <c r="J1410" s="29" t="n">
        <v>46.32</v>
      </c>
      <c r="K1410" s="29">
        <f>(1-ISNUMBER(SEARCH("556",M1410)))*(O1410*SUMIFS(Premissas!$C$5:$C$44,Premissas!$A$5:$A$44,$A1410,Premissas!$B$5:$B$44,$B1410)+P1410*SUMIFS(Premissas!$D$5:$D$44,Premissas!$A$5:$A$44,$A1410,Premissas!$B$5:$B$44,$B1410))+R1410*SUMIFS(Premissas!$E$5:$E$44,Premissas!$A$5:$A$44,$A1410,Premissas!$B$5:$B$44,$B1410)+S1410*SUMIFS(Premissas!$F$5:$F$44,Premissas!$A$5:$A$44,$A1410,Premissas!$B$5:$B$44,$B1410)</f>
        <v/>
      </c>
      <c r="L1410" s="29">
        <f>J1410-K1410</f>
        <v/>
      </c>
      <c r="M1410" t="inlineStr">
        <is>
          <t>1.350</t>
        </is>
      </c>
      <c r="N1410" t="inlineStr">
        <is>
          <t>Modalidade: 0 - Por conta do remetente | Parte: PLASMAR COMERCIO DE PRODUTOS DESCARTAVEIS LTDA (09.354.922/0001-71)</t>
        </is>
      </c>
      <c r="O1410" s="29" t="n">
        <v>0</v>
      </c>
      <c r="P1410" s="29" t="n">
        <v>0</v>
      </c>
      <c r="Q1410" s="29" t="n">
        <v>0</v>
      </c>
      <c r="R1410" s="29" t="n">
        <v>0</v>
      </c>
      <c r="S1410" s="29" t="n">
        <v>0</v>
      </c>
      <c r="T1410" t="inlineStr">
        <is>
          <t>25250426975620000130570010000040901000000008</t>
        </is>
      </c>
      <c r="U1410" t="inlineStr">
        <is>
          <t>Não</t>
        </is>
      </c>
    </row>
    <row r="1411">
      <c r="A1411" t="inlineStr">
        <is>
          <t>Frete de venda</t>
        </is>
      </c>
      <c r="B1411" t="inlineStr">
        <is>
          <t>2.01.02 Frete sobre Vendas</t>
        </is>
      </c>
      <c r="C1411" t="inlineStr">
        <is>
          <t>Antes de 2026</t>
        </is>
      </c>
      <c r="D1411" t="inlineStr">
        <is>
          <t>Antes de 2026</t>
        </is>
      </c>
      <c r="E1411" s="28" t="n">
        <v>45775</v>
      </c>
      <c r="F1411" t="inlineStr">
        <is>
          <t>CT-e</t>
        </is>
      </c>
      <c r="G1411" t="inlineStr">
        <is>
          <t>000004091</t>
        </is>
      </c>
      <c r="H1411" t="inlineStr">
        <is>
          <t>R&amp;R TRANSPORTE E LOGISTICA</t>
        </is>
      </c>
      <c r="J1411" s="29" t="n">
        <v>52.41</v>
      </c>
      <c r="K1411" s="29">
        <f>(1-ISNUMBER(SEARCH("556",M1411)))*(O1411*SUMIFS(Premissas!$C$5:$C$44,Premissas!$A$5:$A$44,$A1411,Premissas!$B$5:$B$44,$B1411)+P1411*SUMIFS(Premissas!$D$5:$D$44,Premissas!$A$5:$A$44,$A1411,Premissas!$B$5:$B$44,$B1411))+R1411*SUMIFS(Premissas!$E$5:$E$44,Premissas!$A$5:$A$44,$A1411,Premissas!$B$5:$B$44,$B1411)+S1411*SUMIFS(Premissas!$F$5:$F$44,Premissas!$A$5:$A$44,$A1411,Premissas!$B$5:$B$44,$B1411)</f>
        <v/>
      </c>
      <c r="L1411" s="29">
        <f>J1411-K1411</f>
        <v/>
      </c>
      <c r="M1411" t="inlineStr">
        <is>
          <t>1.350</t>
        </is>
      </c>
      <c r="N1411" t="inlineStr">
        <is>
          <t>Modalidade: 0 - Por conta do remetente | Parte: J. S. DA SILVA LTDA (00.393.164/0001-26)</t>
        </is>
      </c>
      <c r="O1411" s="29" t="n">
        <v>0</v>
      </c>
      <c r="P1411" s="29" t="n">
        <v>0</v>
      </c>
      <c r="Q1411" s="29" t="n">
        <v>0</v>
      </c>
      <c r="R1411" s="29" t="n">
        <v>0</v>
      </c>
      <c r="S1411" s="29" t="n">
        <v>0</v>
      </c>
      <c r="T1411" t="inlineStr">
        <is>
          <t>25250426975620000130570010000040911000000005</t>
        </is>
      </c>
      <c r="U1411" t="inlineStr">
        <is>
          <t>Não</t>
        </is>
      </c>
    </row>
    <row r="1412">
      <c r="A1412" t="inlineStr">
        <is>
          <t>Frete de venda</t>
        </is>
      </c>
      <c r="B1412" t="inlineStr">
        <is>
          <t>2.01.02 Frete sobre Vendas</t>
        </is>
      </c>
      <c r="C1412" t="inlineStr">
        <is>
          <t>Antes de 2026</t>
        </is>
      </c>
      <c r="D1412" t="inlineStr">
        <is>
          <t>Antes de 2026</t>
        </is>
      </c>
      <c r="E1412" s="28" t="n">
        <v>45775</v>
      </c>
      <c r="F1412" t="inlineStr">
        <is>
          <t>CT-e</t>
        </is>
      </c>
      <c r="G1412" t="inlineStr">
        <is>
          <t>000004092</t>
        </is>
      </c>
      <c r="H1412" t="inlineStr">
        <is>
          <t>R&amp;R TRANSPORTE E LOGISTICA</t>
        </is>
      </c>
      <c r="J1412" s="29" t="n">
        <v>42.16</v>
      </c>
      <c r="K1412" s="29">
        <f>(1-ISNUMBER(SEARCH("556",M1412)))*(O1412*SUMIFS(Premissas!$C$5:$C$44,Premissas!$A$5:$A$44,$A1412,Premissas!$B$5:$B$44,$B1412)+P1412*SUMIFS(Premissas!$D$5:$D$44,Premissas!$A$5:$A$44,$A1412,Premissas!$B$5:$B$44,$B1412))+R1412*SUMIFS(Premissas!$E$5:$E$44,Premissas!$A$5:$A$44,$A1412,Premissas!$B$5:$B$44,$B1412)+S1412*SUMIFS(Premissas!$F$5:$F$44,Premissas!$A$5:$A$44,$A1412,Premissas!$B$5:$B$44,$B1412)</f>
        <v/>
      </c>
      <c r="L1412" s="29">
        <f>J1412-K1412</f>
        <v/>
      </c>
      <c r="M1412" t="inlineStr">
        <is>
          <t>1.350</t>
        </is>
      </c>
      <c r="N1412" t="inlineStr">
        <is>
          <t>Modalidade: 0 - Por conta do remetente | Parte: D. R. B. DE J. MALAMAO LTDA (31.155.347/0001-37)</t>
        </is>
      </c>
      <c r="O1412" s="29" t="n">
        <v>0</v>
      </c>
      <c r="P1412" s="29" t="n">
        <v>0</v>
      </c>
      <c r="Q1412" s="29" t="n">
        <v>0</v>
      </c>
      <c r="R1412" s="29" t="n">
        <v>0</v>
      </c>
      <c r="S1412" s="29" t="n">
        <v>0</v>
      </c>
      <c r="T1412" t="inlineStr">
        <is>
          <t>25250426975620000130570010000040921000000002</t>
        </is>
      </c>
      <c r="U1412" t="inlineStr">
        <is>
          <t>Não</t>
        </is>
      </c>
    </row>
    <row r="1413">
      <c r="A1413" t="inlineStr">
        <is>
          <t>Frete de venda</t>
        </is>
      </c>
      <c r="B1413" t="inlineStr">
        <is>
          <t>2.01.02 Frete sobre Vendas</t>
        </is>
      </c>
      <c r="C1413" t="inlineStr">
        <is>
          <t>Antes de 2026</t>
        </is>
      </c>
      <c r="D1413" t="inlineStr">
        <is>
          <t>Antes de 2026</t>
        </is>
      </c>
      <c r="E1413" s="28" t="n">
        <v>45775</v>
      </c>
      <c r="F1413" t="inlineStr">
        <is>
          <t>CT-e</t>
        </is>
      </c>
      <c r="G1413" t="inlineStr">
        <is>
          <t>000004093</t>
        </is>
      </c>
      <c r="H1413" t="inlineStr">
        <is>
          <t>R&amp;R TRANSPORTE E LOGISTICA</t>
        </is>
      </c>
      <c r="J1413" s="29" t="n">
        <v>50.91</v>
      </c>
      <c r="K1413" s="29">
        <f>(1-ISNUMBER(SEARCH("556",M1413)))*(O1413*SUMIFS(Premissas!$C$5:$C$44,Premissas!$A$5:$A$44,$A1413,Premissas!$B$5:$B$44,$B1413)+P1413*SUMIFS(Premissas!$D$5:$D$44,Premissas!$A$5:$A$44,$A1413,Premissas!$B$5:$B$44,$B1413))+R1413*SUMIFS(Premissas!$E$5:$E$44,Premissas!$A$5:$A$44,$A1413,Premissas!$B$5:$B$44,$B1413)+S1413*SUMIFS(Premissas!$F$5:$F$44,Premissas!$A$5:$A$44,$A1413,Premissas!$B$5:$B$44,$B1413)</f>
        <v/>
      </c>
      <c r="L1413" s="29">
        <f>J1413-K1413</f>
        <v/>
      </c>
      <c r="M1413" t="inlineStr">
        <is>
          <t>1.350</t>
        </is>
      </c>
      <c r="N1413" t="inlineStr">
        <is>
          <t>Modalidade: 0 - Por conta do remetente | Parte: A SARAIVA DA CRUZ COMERCIAL LTDA (01.342.240/0001-37)</t>
        </is>
      </c>
      <c r="O1413" s="29" t="n">
        <v>0</v>
      </c>
      <c r="P1413" s="29" t="n">
        <v>0</v>
      </c>
      <c r="Q1413" s="29" t="n">
        <v>0</v>
      </c>
      <c r="R1413" s="29" t="n">
        <v>0</v>
      </c>
      <c r="S1413" s="29" t="n">
        <v>0</v>
      </c>
      <c r="T1413" t="inlineStr">
        <is>
          <t>25250426975620000130570010000040931000000000</t>
        </is>
      </c>
      <c r="U1413" t="inlineStr">
        <is>
          <t>Não</t>
        </is>
      </c>
    </row>
    <row r="1414">
      <c r="A1414" t="inlineStr">
        <is>
          <t>Frete de venda</t>
        </is>
      </c>
      <c r="B1414" t="inlineStr">
        <is>
          <t>2.01.02 Frete sobre Vendas</t>
        </is>
      </c>
      <c r="C1414" t="inlineStr">
        <is>
          <t>Antes de 2026</t>
        </is>
      </c>
      <c r="D1414" t="inlineStr">
        <is>
          <t>Antes de 2026</t>
        </is>
      </c>
      <c r="E1414" s="28" t="n">
        <v>45775</v>
      </c>
      <c r="F1414" t="inlineStr">
        <is>
          <t>CT-e</t>
        </is>
      </c>
      <c r="G1414" t="inlineStr">
        <is>
          <t>000004094</t>
        </is>
      </c>
      <c r="H1414" t="inlineStr">
        <is>
          <t>R&amp;R TRANSPORTE E LOGISTICA</t>
        </is>
      </c>
      <c r="J1414" s="29" t="n">
        <v>75.25</v>
      </c>
      <c r="K1414" s="29">
        <f>(1-ISNUMBER(SEARCH("556",M1414)))*(O1414*SUMIFS(Premissas!$C$5:$C$44,Premissas!$A$5:$A$44,$A1414,Premissas!$B$5:$B$44,$B1414)+P1414*SUMIFS(Premissas!$D$5:$D$44,Premissas!$A$5:$A$44,$A1414,Premissas!$B$5:$B$44,$B1414))+R1414*SUMIFS(Premissas!$E$5:$E$44,Premissas!$A$5:$A$44,$A1414,Premissas!$B$5:$B$44,$B1414)+S1414*SUMIFS(Premissas!$F$5:$F$44,Premissas!$A$5:$A$44,$A1414,Premissas!$B$5:$B$44,$B1414)</f>
        <v/>
      </c>
      <c r="L1414" s="29">
        <f>J1414-K1414</f>
        <v/>
      </c>
      <c r="M1414" t="inlineStr">
        <is>
          <t>1.350</t>
        </is>
      </c>
      <c r="N1414" t="inlineStr">
        <is>
          <t>Modalidade: 0 - Por conta do remetente | Parte: JAMES L. H. TOME e CIA LTDA (16.965.024/0001-15)</t>
        </is>
      </c>
      <c r="O1414" s="29" t="n">
        <v>0</v>
      </c>
      <c r="P1414" s="29" t="n">
        <v>0</v>
      </c>
      <c r="Q1414" s="29" t="n">
        <v>0</v>
      </c>
      <c r="R1414" s="29" t="n">
        <v>0</v>
      </c>
      <c r="S1414" s="29" t="n">
        <v>0</v>
      </c>
      <c r="T1414" t="inlineStr">
        <is>
          <t>25250426975620000130570010000040941000000007</t>
        </is>
      </c>
      <c r="U1414" t="inlineStr">
        <is>
          <t>Não</t>
        </is>
      </c>
    </row>
    <row r="1415">
      <c r="A1415" t="inlineStr">
        <is>
          <t>Frete de venda</t>
        </is>
      </c>
      <c r="B1415" t="inlineStr">
        <is>
          <t>2.01.02 Frete sobre Vendas</t>
        </is>
      </c>
      <c r="C1415" t="inlineStr">
        <is>
          <t>Antes de 2026</t>
        </is>
      </c>
      <c r="D1415" t="inlineStr">
        <is>
          <t>Antes de 2026</t>
        </is>
      </c>
      <c r="E1415" s="28" t="n">
        <v>45775</v>
      </c>
      <c r="F1415" t="inlineStr">
        <is>
          <t>CT-e</t>
        </is>
      </c>
      <c r="G1415" t="inlineStr">
        <is>
          <t>000004096</t>
        </is>
      </c>
      <c r="H1415" t="inlineStr">
        <is>
          <t>R&amp;R TRANSPORTE E LOGISTICA</t>
        </is>
      </c>
      <c r="J1415" s="29" t="n">
        <v>38</v>
      </c>
      <c r="K1415" s="29">
        <f>(1-ISNUMBER(SEARCH("556",M1415)))*(O1415*SUMIFS(Premissas!$C$5:$C$44,Premissas!$A$5:$A$44,$A1415,Premissas!$B$5:$B$44,$B1415)+P1415*SUMIFS(Premissas!$D$5:$D$44,Premissas!$A$5:$A$44,$A1415,Premissas!$B$5:$B$44,$B1415))+R1415*SUMIFS(Premissas!$E$5:$E$44,Premissas!$A$5:$A$44,$A1415,Premissas!$B$5:$B$44,$B1415)+S1415*SUMIFS(Premissas!$F$5:$F$44,Premissas!$A$5:$A$44,$A1415,Premissas!$B$5:$B$44,$B1415)</f>
        <v/>
      </c>
      <c r="L1415" s="29">
        <f>J1415-K1415</f>
        <v/>
      </c>
      <c r="M1415" t="inlineStr">
        <is>
          <t>1.350</t>
        </is>
      </c>
      <c r="N1415" t="inlineStr">
        <is>
          <t>Modalidade: 0 - Por conta do remetente | Parte: JAMES L. H. TOME e CIA LTDA (16.965.024/0001-15)</t>
        </is>
      </c>
      <c r="O1415" s="29" t="n">
        <v>0</v>
      </c>
      <c r="P1415" s="29" t="n">
        <v>0</v>
      </c>
      <c r="Q1415" s="29" t="n">
        <v>0</v>
      </c>
      <c r="R1415" s="29" t="n">
        <v>0</v>
      </c>
      <c r="S1415" s="29" t="n">
        <v>0</v>
      </c>
      <c r="T1415" t="inlineStr">
        <is>
          <t>25250426975620000130570010000040961000000001</t>
        </is>
      </c>
      <c r="U1415" t="inlineStr">
        <is>
          <t>Não</t>
        </is>
      </c>
    </row>
    <row r="1416">
      <c r="A1416" t="inlineStr">
        <is>
          <t>Frete de venda</t>
        </is>
      </c>
      <c r="B1416" t="inlineStr">
        <is>
          <t>2.01.02 Frete sobre Vendas</t>
        </is>
      </c>
      <c r="C1416" t="inlineStr">
        <is>
          <t>Antes de 2026</t>
        </is>
      </c>
      <c r="D1416" t="inlineStr">
        <is>
          <t>Antes de 2026</t>
        </is>
      </c>
      <c r="E1416" s="28" t="n">
        <v>45775</v>
      </c>
      <c r="F1416" t="inlineStr">
        <is>
          <t>CT-e</t>
        </is>
      </c>
      <c r="G1416" t="inlineStr">
        <is>
          <t>000004097</t>
        </is>
      </c>
      <c r="H1416" t="inlineStr">
        <is>
          <t>R&amp;R TRANSPORTE E LOGISTICA</t>
        </is>
      </c>
      <c r="J1416" s="29" t="n">
        <v>38</v>
      </c>
      <c r="K1416" s="29">
        <f>(1-ISNUMBER(SEARCH("556",M1416)))*(O1416*SUMIFS(Premissas!$C$5:$C$44,Premissas!$A$5:$A$44,$A1416,Premissas!$B$5:$B$44,$B1416)+P1416*SUMIFS(Premissas!$D$5:$D$44,Premissas!$A$5:$A$44,$A1416,Premissas!$B$5:$B$44,$B1416))+R1416*SUMIFS(Premissas!$E$5:$E$44,Premissas!$A$5:$A$44,$A1416,Premissas!$B$5:$B$44,$B1416)+S1416*SUMIFS(Premissas!$F$5:$F$44,Premissas!$A$5:$A$44,$A1416,Premissas!$B$5:$B$44,$B1416)</f>
        <v/>
      </c>
      <c r="L1416" s="29">
        <f>J1416-K1416</f>
        <v/>
      </c>
      <c r="M1416" t="inlineStr">
        <is>
          <t>1.350</t>
        </is>
      </c>
      <c r="N1416" t="inlineStr">
        <is>
          <t>Modalidade: 0 - Por conta do remetente | Parte: JAMES L. H. TOME e CIA LTDA (16.965.024/0006-20)</t>
        </is>
      </c>
      <c r="O1416" s="29" t="n">
        <v>0</v>
      </c>
      <c r="P1416" s="29" t="n">
        <v>0</v>
      </c>
      <c r="Q1416" s="29" t="n">
        <v>0</v>
      </c>
      <c r="R1416" s="29" t="n">
        <v>0</v>
      </c>
      <c r="S1416" s="29" t="n">
        <v>0</v>
      </c>
      <c r="T1416" t="inlineStr">
        <is>
          <t>25250426975620000130570010000040971000000009</t>
        </is>
      </c>
      <c r="U1416" t="inlineStr">
        <is>
          <t>Não</t>
        </is>
      </c>
    </row>
    <row r="1417">
      <c r="A1417" t="inlineStr">
        <is>
          <t>Frete de venda</t>
        </is>
      </c>
      <c r="B1417" t="inlineStr">
        <is>
          <t>2.01.02 Frete sobre Vendas</t>
        </is>
      </c>
      <c r="C1417" t="inlineStr">
        <is>
          <t>Antes de 2026</t>
        </is>
      </c>
      <c r="D1417" t="inlineStr">
        <is>
          <t>Antes de 2026</t>
        </is>
      </c>
      <c r="E1417" s="28" t="n">
        <v>45775</v>
      </c>
      <c r="F1417" t="inlineStr">
        <is>
          <t>CT-e</t>
        </is>
      </c>
      <c r="G1417" t="inlineStr">
        <is>
          <t>000004102</t>
        </is>
      </c>
      <c r="H1417" t="inlineStr">
        <is>
          <t>R&amp;R TRANSPORTE E LOGISTICA</t>
        </is>
      </c>
      <c r="J1417" s="29" t="n">
        <v>1</v>
      </c>
      <c r="K1417" s="29">
        <f>(1-ISNUMBER(SEARCH("556",M1417)))*(O1417*SUMIFS(Premissas!$C$5:$C$44,Premissas!$A$5:$A$44,$A1417,Premissas!$B$5:$B$44,$B1417)+P1417*SUMIFS(Premissas!$D$5:$D$44,Premissas!$A$5:$A$44,$A1417,Premissas!$B$5:$B$44,$B1417))+R1417*SUMIFS(Premissas!$E$5:$E$44,Premissas!$A$5:$A$44,$A1417,Premissas!$B$5:$B$44,$B1417)+S1417*SUMIFS(Premissas!$F$5:$F$44,Premissas!$A$5:$A$44,$A1417,Premissas!$B$5:$B$44,$B1417)</f>
        <v/>
      </c>
      <c r="L1417" s="29">
        <f>J1417-K1417</f>
        <v/>
      </c>
      <c r="M1417" t="inlineStr">
        <is>
          <t>1.350</t>
        </is>
      </c>
      <c r="N1417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417" s="29" t="n">
        <v>0</v>
      </c>
      <c r="P1417" s="29" t="n">
        <v>0</v>
      </c>
      <c r="Q1417" s="29" t="n">
        <v>0</v>
      </c>
      <c r="R1417" s="29" t="n">
        <v>0</v>
      </c>
      <c r="S1417" s="29" t="n">
        <v>0</v>
      </c>
      <c r="T1417" t="inlineStr">
        <is>
          <t>25250426975620000130570010000041021000000000</t>
        </is>
      </c>
      <c r="U1417" t="inlineStr">
        <is>
          <t>Não</t>
        </is>
      </c>
    </row>
    <row r="1418">
      <c r="A1418" t="inlineStr">
        <is>
          <t>Frete de venda</t>
        </is>
      </c>
      <c r="B1418" t="inlineStr">
        <is>
          <t>2.01.02 Frete sobre Vendas</t>
        </is>
      </c>
      <c r="C1418" t="inlineStr">
        <is>
          <t>Antes de 2026</t>
        </is>
      </c>
      <c r="D1418" t="inlineStr">
        <is>
          <t>Antes de 2026</t>
        </is>
      </c>
      <c r="E1418" s="28" t="n">
        <v>45776</v>
      </c>
      <c r="F1418" t="inlineStr">
        <is>
          <t>CT-e</t>
        </is>
      </c>
      <c r="G1418" t="inlineStr">
        <is>
          <t>000004105</t>
        </is>
      </c>
      <c r="H1418" t="inlineStr">
        <is>
          <t>R&amp;R TRANSPORTE E LOGISTICA</t>
        </is>
      </c>
      <c r="J1418" s="29" t="n">
        <v>700</v>
      </c>
      <c r="K1418" s="29">
        <f>(1-ISNUMBER(SEARCH("556",M1418)))*(O1418*SUMIFS(Premissas!$C$5:$C$44,Premissas!$A$5:$A$44,$A1418,Premissas!$B$5:$B$44,$B1418)+P1418*SUMIFS(Premissas!$D$5:$D$44,Premissas!$A$5:$A$44,$A1418,Premissas!$B$5:$B$44,$B1418))+R1418*SUMIFS(Premissas!$E$5:$E$44,Premissas!$A$5:$A$44,$A1418,Premissas!$B$5:$B$44,$B1418)+S1418*SUMIFS(Premissas!$F$5:$F$44,Premissas!$A$5:$A$44,$A1418,Premissas!$B$5:$B$44,$B1418)</f>
        <v/>
      </c>
      <c r="L1418" s="29">
        <f>J1418-K1418</f>
        <v/>
      </c>
      <c r="M1418" t="inlineStr">
        <is>
          <t>1.350</t>
        </is>
      </c>
      <c r="N1418" t="inlineStr">
        <is>
          <t>Modalidade: 0 - Por conta do remetente | Parte: VILMA GOMES FREITAS DE OLIVEIRA LTDA (08.035.528/0001-08)</t>
        </is>
      </c>
      <c r="O1418" s="29" t="n">
        <v>0</v>
      </c>
      <c r="P1418" s="29" t="n">
        <v>0</v>
      </c>
      <c r="Q1418" s="29" t="n">
        <v>0</v>
      </c>
      <c r="R1418" s="29" t="n">
        <v>0</v>
      </c>
      <c r="S1418" s="29" t="n">
        <v>0</v>
      </c>
      <c r="T1418" t="inlineStr">
        <is>
          <t>25250426975620000130570010000041051000000002</t>
        </is>
      </c>
      <c r="U1418" t="inlineStr">
        <is>
          <t>Não</t>
        </is>
      </c>
    </row>
    <row r="1419">
      <c r="A1419" t="inlineStr">
        <is>
          <t>Frete de venda</t>
        </is>
      </c>
      <c r="B1419" t="inlineStr">
        <is>
          <t>2.01.02 Frete sobre Vendas</t>
        </is>
      </c>
      <c r="C1419" t="inlineStr">
        <is>
          <t>Antes de 2026</t>
        </is>
      </c>
      <c r="D1419" t="inlineStr">
        <is>
          <t>Antes de 2026</t>
        </is>
      </c>
      <c r="E1419" s="28" t="n">
        <v>45776</v>
      </c>
      <c r="F1419" t="inlineStr">
        <is>
          <t>CT-e</t>
        </is>
      </c>
      <c r="G1419" t="inlineStr">
        <is>
          <t>000004106</t>
        </is>
      </c>
      <c r="H1419" t="inlineStr">
        <is>
          <t>R&amp;R TRANSPORTE E LOGISTICA</t>
        </is>
      </c>
      <c r="J1419" s="29" t="n">
        <v>700</v>
      </c>
      <c r="K1419" s="29">
        <f>(1-ISNUMBER(SEARCH("556",M1419)))*(O1419*SUMIFS(Premissas!$C$5:$C$44,Premissas!$A$5:$A$44,$A1419,Premissas!$B$5:$B$44,$B1419)+P1419*SUMIFS(Premissas!$D$5:$D$44,Premissas!$A$5:$A$44,$A1419,Premissas!$B$5:$B$44,$B1419))+R1419*SUMIFS(Premissas!$E$5:$E$44,Premissas!$A$5:$A$44,$A1419,Premissas!$B$5:$B$44,$B1419)+S1419*SUMIFS(Premissas!$F$5:$F$44,Premissas!$A$5:$A$44,$A1419,Premissas!$B$5:$B$44,$B1419)</f>
        <v/>
      </c>
      <c r="L1419" s="29">
        <f>J1419-K1419</f>
        <v/>
      </c>
      <c r="M1419" t="inlineStr">
        <is>
          <t>1.350</t>
        </is>
      </c>
      <c r="N1419" t="inlineStr">
        <is>
          <t>Modalidade: 0 - Por conta do remetente | Parte: C M OLIVEIRA ATACADO (41.098.526/0001-33)</t>
        </is>
      </c>
      <c r="O1419" s="29" t="n">
        <v>0</v>
      </c>
      <c r="P1419" s="29" t="n">
        <v>0</v>
      </c>
      <c r="Q1419" s="29" t="n">
        <v>0</v>
      </c>
      <c r="R1419" s="29" t="n">
        <v>0</v>
      </c>
      <c r="S1419" s="29" t="n">
        <v>0</v>
      </c>
      <c r="T1419" t="inlineStr">
        <is>
          <t>25250426975620000130570010000041061000000000</t>
        </is>
      </c>
      <c r="U1419" t="inlineStr">
        <is>
          <t>Não</t>
        </is>
      </c>
    </row>
    <row r="1420">
      <c r="A1420" t="inlineStr">
        <is>
          <t>Frete de venda</t>
        </is>
      </c>
      <c r="B1420" t="inlineStr">
        <is>
          <t>2.01.02 Frete sobre Vendas</t>
        </is>
      </c>
      <c r="C1420" t="inlineStr">
        <is>
          <t>Antes de 2026</t>
        </is>
      </c>
      <c r="D1420" t="inlineStr">
        <is>
          <t>Antes de 2026</t>
        </is>
      </c>
      <c r="E1420" s="28" t="n">
        <v>45776</v>
      </c>
      <c r="F1420" t="inlineStr">
        <is>
          <t>CT-e</t>
        </is>
      </c>
      <c r="G1420" t="inlineStr">
        <is>
          <t>000004108</t>
        </is>
      </c>
      <c r="H1420" t="inlineStr">
        <is>
          <t>R&amp;R TRANSPORTE E LOGISTICA</t>
        </is>
      </c>
      <c r="J1420" s="29" t="n">
        <v>58.92</v>
      </c>
      <c r="K1420" s="29">
        <f>(1-ISNUMBER(SEARCH("556",M1420)))*(O1420*SUMIFS(Premissas!$C$5:$C$44,Premissas!$A$5:$A$44,$A1420,Premissas!$B$5:$B$44,$B1420)+P1420*SUMIFS(Premissas!$D$5:$D$44,Premissas!$A$5:$A$44,$A1420,Premissas!$B$5:$B$44,$B1420))+R1420*SUMIFS(Premissas!$E$5:$E$44,Premissas!$A$5:$A$44,$A1420,Premissas!$B$5:$B$44,$B1420)+S1420*SUMIFS(Premissas!$F$5:$F$44,Premissas!$A$5:$A$44,$A1420,Premissas!$B$5:$B$44,$B1420)</f>
        <v/>
      </c>
      <c r="L1420" s="29">
        <f>J1420-K1420</f>
        <v/>
      </c>
      <c r="M1420" t="inlineStr">
        <is>
          <t>1.350</t>
        </is>
      </c>
      <c r="N1420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420" s="29" t="n">
        <v>0</v>
      </c>
      <c r="P1420" s="29" t="n">
        <v>0</v>
      </c>
      <c r="Q1420" s="29" t="n">
        <v>0</v>
      </c>
      <c r="R1420" s="29" t="n">
        <v>0</v>
      </c>
      <c r="S1420" s="29" t="n">
        <v>0</v>
      </c>
      <c r="T1420" t="inlineStr">
        <is>
          <t>25250426975620000130570010000041081000000004</t>
        </is>
      </c>
      <c r="U1420" t="inlineStr">
        <is>
          <t>Não</t>
        </is>
      </c>
    </row>
    <row r="1421">
      <c r="A1421" t="inlineStr">
        <is>
          <t>Frete de venda</t>
        </is>
      </c>
      <c r="B1421" t="inlineStr">
        <is>
          <t>2.01.02 Frete sobre Vendas</t>
        </is>
      </c>
      <c r="C1421" t="inlineStr">
        <is>
          <t>Antes de 2026</t>
        </is>
      </c>
      <c r="D1421" t="inlineStr">
        <is>
          <t>Antes de 2026</t>
        </is>
      </c>
      <c r="E1421" s="28" t="n">
        <v>45776</v>
      </c>
      <c r="F1421" t="inlineStr">
        <is>
          <t>CT-e</t>
        </is>
      </c>
      <c r="G1421" t="inlineStr">
        <is>
          <t>000004109</t>
        </is>
      </c>
      <c r="H1421" t="inlineStr">
        <is>
          <t>R&amp;R TRANSPORTE E LOGISTICA</t>
        </is>
      </c>
      <c r="J1421" s="29" t="n">
        <v>51.17</v>
      </c>
      <c r="K1421" s="29">
        <f>(1-ISNUMBER(SEARCH("556",M1421)))*(O1421*SUMIFS(Premissas!$C$5:$C$44,Premissas!$A$5:$A$44,$A1421,Premissas!$B$5:$B$44,$B1421)+P1421*SUMIFS(Premissas!$D$5:$D$44,Premissas!$A$5:$A$44,$A1421,Premissas!$B$5:$B$44,$B1421))+R1421*SUMIFS(Premissas!$E$5:$E$44,Premissas!$A$5:$A$44,$A1421,Premissas!$B$5:$B$44,$B1421)+S1421*SUMIFS(Premissas!$F$5:$F$44,Premissas!$A$5:$A$44,$A1421,Premissas!$B$5:$B$44,$B1421)</f>
        <v/>
      </c>
      <c r="L1421" s="29">
        <f>J1421-K1421</f>
        <v/>
      </c>
      <c r="M1421" t="inlineStr">
        <is>
          <t>1.350</t>
        </is>
      </c>
      <c r="N1421" t="inlineStr">
        <is>
          <t>Modalidade: 0 - Por conta do remetente | Parte: SHALOM COMERCIO DE EMBALAGENS LTDA (30.935.496/0001-56)</t>
        </is>
      </c>
      <c r="O1421" s="29" t="n">
        <v>0</v>
      </c>
      <c r="P1421" s="29" t="n">
        <v>0</v>
      </c>
      <c r="Q1421" s="29" t="n">
        <v>0</v>
      </c>
      <c r="R1421" s="29" t="n">
        <v>0</v>
      </c>
      <c r="S1421" s="29" t="n">
        <v>0</v>
      </c>
      <c r="T1421" t="inlineStr">
        <is>
          <t>25250426975620000130570010000041091000000001</t>
        </is>
      </c>
      <c r="U1421" t="inlineStr">
        <is>
          <t>Não</t>
        </is>
      </c>
    </row>
    <row r="1422">
      <c r="A1422" t="inlineStr">
        <is>
          <t>Frete de venda</t>
        </is>
      </c>
      <c r="B1422" t="inlineStr">
        <is>
          <t>2.01.02 Frete sobre Vendas</t>
        </is>
      </c>
      <c r="C1422" t="inlineStr">
        <is>
          <t>Antes de 2026</t>
        </is>
      </c>
      <c r="D1422" t="inlineStr">
        <is>
          <t>Antes de 2026</t>
        </is>
      </c>
      <c r="E1422" s="28" t="n">
        <v>45776</v>
      </c>
      <c r="F1422" t="inlineStr">
        <is>
          <t>CT-e</t>
        </is>
      </c>
      <c r="G1422" t="inlineStr">
        <is>
          <t>000004110</t>
        </is>
      </c>
      <c r="H1422" t="inlineStr">
        <is>
          <t>R&amp;R TRANSPORTE E LOGISTICA</t>
        </is>
      </c>
      <c r="J1422" s="29" t="n">
        <v>51.17</v>
      </c>
      <c r="K1422" s="29">
        <f>(1-ISNUMBER(SEARCH("556",M1422)))*(O1422*SUMIFS(Premissas!$C$5:$C$44,Premissas!$A$5:$A$44,$A1422,Premissas!$B$5:$B$44,$B1422)+P1422*SUMIFS(Premissas!$D$5:$D$44,Premissas!$A$5:$A$44,$A1422,Premissas!$B$5:$B$44,$B1422))+R1422*SUMIFS(Premissas!$E$5:$E$44,Premissas!$A$5:$A$44,$A1422,Premissas!$B$5:$B$44,$B1422)+S1422*SUMIFS(Premissas!$F$5:$F$44,Premissas!$A$5:$A$44,$A1422,Premissas!$B$5:$B$44,$B1422)</f>
        <v/>
      </c>
      <c r="L1422" s="29">
        <f>J1422-K1422</f>
        <v/>
      </c>
      <c r="M1422" t="inlineStr">
        <is>
          <t>1.350</t>
        </is>
      </c>
      <c r="N1422" t="inlineStr">
        <is>
          <t>Modalidade: 0 - Por conta do remetente | Parte: PJ RIO EMBALAGENS LTDA (45.915.682/0001-09)</t>
        </is>
      </c>
      <c r="O1422" s="29" t="n">
        <v>0</v>
      </c>
      <c r="P1422" s="29" t="n">
        <v>0</v>
      </c>
      <c r="Q1422" s="29" t="n">
        <v>0</v>
      </c>
      <c r="R1422" s="29" t="n">
        <v>0</v>
      </c>
      <c r="S1422" s="29" t="n">
        <v>0</v>
      </c>
      <c r="T1422" t="inlineStr">
        <is>
          <t>25250426975620000130570010000041101000000002</t>
        </is>
      </c>
      <c r="U1422" t="inlineStr">
        <is>
          <t>Não</t>
        </is>
      </c>
    </row>
    <row r="1423">
      <c r="A1423" t="inlineStr">
        <is>
          <t>Frete de venda</t>
        </is>
      </c>
      <c r="B1423" t="inlineStr">
        <is>
          <t>2.01.02 Frete sobre Vendas</t>
        </is>
      </c>
      <c r="C1423" t="inlineStr">
        <is>
          <t>Antes de 2026</t>
        </is>
      </c>
      <c r="D1423" t="inlineStr">
        <is>
          <t>Antes de 2026</t>
        </is>
      </c>
      <c r="E1423" s="28" t="n">
        <v>45776</v>
      </c>
      <c r="F1423" t="inlineStr">
        <is>
          <t>CT-e</t>
        </is>
      </c>
      <c r="G1423" t="inlineStr">
        <is>
          <t>000004111</t>
        </is>
      </c>
      <c r="H1423" t="inlineStr">
        <is>
          <t>R&amp;R TRANSPORTE E LOGISTICA</t>
        </is>
      </c>
      <c r="J1423" s="29" t="n">
        <v>130.38</v>
      </c>
      <c r="K1423" s="29">
        <f>(1-ISNUMBER(SEARCH("556",M1423)))*(O1423*SUMIFS(Premissas!$C$5:$C$44,Premissas!$A$5:$A$44,$A1423,Premissas!$B$5:$B$44,$B1423)+P1423*SUMIFS(Premissas!$D$5:$D$44,Premissas!$A$5:$A$44,$A1423,Premissas!$B$5:$B$44,$B1423))+R1423*SUMIFS(Premissas!$E$5:$E$44,Premissas!$A$5:$A$44,$A1423,Premissas!$B$5:$B$44,$B1423)+S1423*SUMIFS(Premissas!$F$5:$F$44,Premissas!$A$5:$A$44,$A1423,Premissas!$B$5:$B$44,$B1423)</f>
        <v/>
      </c>
      <c r="L1423" s="29">
        <f>J1423-K1423</f>
        <v/>
      </c>
      <c r="M1423" t="inlineStr">
        <is>
          <t>1.350</t>
        </is>
      </c>
      <c r="N1423" t="inlineStr">
        <is>
          <t>Modalidade: 0 - Por conta do remetente | Parte: CENTRAL RJ COMERCIO DE EMBALAGENS LTDA (19.875.807/0001-04)</t>
        </is>
      </c>
      <c r="O1423" s="29" t="n">
        <v>0</v>
      </c>
      <c r="P1423" s="29" t="n">
        <v>0</v>
      </c>
      <c r="Q1423" s="29" t="n">
        <v>0</v>
      </c>
      <c r="R1423" s="29" t="n">
        <v>0</v>
      </c>
      <c r="S1423" s="29" t="n">
        <v>0</v>
      </c>
      <c r="T1423" t="inlineStr">
        <is>
          <t>25250426975620000130570010000041111000000000</t>
        </is>
      </c>
      <c r="U1423" t="inlineStr">
        <is>
          <t>Não</t>
        </is>
      </c>
    </row>
    <row r="1424">
      <c r="A1424" t="inlineStr">
        <is>
          <t>Frete de venda</t>
        </is>
      </c>
      <c r="B1424" t="inlineStr">
        <is>
          <t>2.01.02 Frete sobre Vendas</t>
        </is>
      </c>
      <c r="C1424" t="inlineStr">
        <is>
          <t>Antes de 2026</t>
        </is>
      </c>
      <c r="D1424" t="inlineStr">
        <is>
          <t>Antes de 2026</t>
        </is>
      </c>
      <c r="E1424" s="28" t="n">
        <v>45776</v>
      </c>
      <c r="F1424" t="inlineStr">
        <is>
          <t>CT-e</t>
        </is>
      </c>
      <c r="G1424" t="inlineStr">
        <is>
          <t>000004112</t>
        </is>
      </c>
      <c r="H1424" t="inlineStr">
        <is>
          <t>R&amp;R TRANSPORTE E LOGISTICA</t>
        </is>
      </c>
      <c r="J1424" s="29" t="n">
        <v>43.11</v>
      </c>
      <c r="K1424" s="29">
        <f>(1-ISNUMBER(SEARCH("556",M1424)))*(O1424*SUMIFS(Premissas!$C$5:$C$44,Premissas!$A$5:$A$44,$A1424,Premissas!$B$5:$B$44,$B1424)+P1424*SUMIFS(Premissas!$D$5:$D$44,Premissas!$A$5:$A$44,$A1424,Premissas!$B$5:$B$44,$B1424))+R1424*SUMIFS(Premissas!$E$5:$E$44,Premissas!$A$5:$A$44,$A1424,Premissas!$B$5:$B$44,$B1424)+S1424*SUMIFS(Premissas!$F$5:$F$44,Premissas!$A$5:$A$44,$A1424,Premissas!$B$5:$B$44,$B1424)</f>
        <v/>
      </c>
      <c r="L1424" s="29">
        <f>J1424-K1424</f>
        <v/>
      </c>
      <c r="M1424" t="inlineStr">
        <is>
          <t>1.350</t>
        </is>
      </c>
      <c r="N1424" t="inlineStr">
        <is>
          <t>Modalidade: 0 - Por conta do remetente | Parte: OLEPLASTIC EMBALAGENS DESCARTAVEIS LTDA (11.671.970/0001-35)</t>
        </is>
      </c>
      <c r="O1424" s="29" t="n">
        <v>0</v>
      </c>
      <c r="P1424" s="29" t="n">
        <v>0</v>
      </c>
      <c r="Q1424" s="29" t="n">
        <v>0</v>
      </c>
      <c r="R1424" s="29" t="n">
        <v>0</v>
      </c>
      <c r="S1424" s="29" t="n">
        <v>0</v>
      </c>
      <c r="T1424" t="inlineStr">
        <is>
          <t>25250426975620000130570010000041121000000007</t>
        </is>
      </c>
      <c r="U1424" t="inlineStr">
        <is>
          <t>Não</t>
        </is>
      </c>
    </row>
    <row r="1425">
      <c r="A1425" t="inlineStr">
        <is>
          <t>Frete de venda</t>
        </is>
      </c>
      <c r="B1425" t="inlineStr">
        <is>
          <t>2.01.02 Frete sobre Vendas</t>
        </is>
      </c>
      <c r="C1425" t="inlineStr">
        <is>
          <t>Antes de 2026</t>
        </is>
      </c>
      <c r="D1425" t="inlineStr">
        <is>
          <t>Antes de 2026</t>
        </is>
      </c>
      <c r="E1425" s="28" t="n">
        <v>45776</v>
      </c>
      <c r="F1425" t="inlineStr">
        <is>
          <t>CT-e</t>
        </is>
      </c>
      <c r="G1425" t="inlineStr">
        <is>
          <t>000004113</t>
        </is>
      </c>
      <c r="H1425" t="inlineStr">
        <is>
          <t>R&amp;R TRANSPORTE E LOGISTICA</t>
        </is>
      </c>
      <c r="J1425" s="29" t="n">
        <v>51.4</v>
      </c>
      <c r="K1425" s="29">
        <f>(1-ISNUMBER(SEARCH("556",M1425)))*(O1425*SUMIFS(Premissas!$C$5:$C$44,Premissas!$A$5:$A$44,$A1425,Premissas!$B$5:$B$44,$B1425)+P1425*SUMIFS(Premissas!$D$5:$D$44,Premissas!$A$5:$A$44,$A1425,Premissas!$B$5:$B$44,$B1425))+R1425*SUMIFS(Premissas!$E$5:$E$44,Premissas!$A$5:$A$44,$A1425,Premissas!$B$5:$B$44,$B1425)+S1425*SUMIFS(Premissas!$F$5:$F$44,Premissas!$A$5:$A$44,$A1425,Premissas!$B$5:$B$44,$B1425)</f>
        <v/>
      </c>
      <c r="L1425" s="29">
        <f>J1425-K1425</f>
        <v/>
      </c>
      <c r="M1425" t="inlineStr">
        <is>
          <t>1.350</t>
        </is>
      </c>
      <c r="N1425" t="inlineStr">
        <is>
          <t>Modalidade: 0 - Por conta do remetente | Parte: P. S. CUNHA COMERCIO DE EMBALAGENS E ALIMENTOS LTDA (44.414.358/0002-17)</t>
        </is>
      </c>
      <c r="O1425" s="29" t="n">
        <v>0</v>
      </c>
      <c r="P1425" s="29" t="n">
        <v>0</v>
      </c>
      <c r="Q1425" s="29" t="n">
        <v>0</v>
      </c>
      <c r="R1425" s="29" t="n">
        <v>0</v>
      </c>
      <c r="S1425" s="29" t="n">
        <v>0</v>
      </c>
      <c r="T1425" t="inlineStr">
        <is>
          <t>25250426975620000130570010000041131000000004</t>
        </is>
      </c>
      <c r="U1425" t="inlineStr">
        <is>
          <t>Não</t>
        </is>
      </c>
    </row>
    <row r="1426">
      <c r="A1426" t="inlineStr">
        <is>
          <t>Frete de venda</t>
        </is>
      </c>
      <c r="B1426" t="inlineStr">
        <is>
          <t>2.01.02 Frete sobre Vendas</t>
        </is>
      </c>
      <c r="C1426" t="inlineStr">
        <is>
          <t>Antes de 2026</t>
        </is>
      </c>
      <c r="D1426" t="inlineStr">
        <is>
          <t>Antes de 2026</t>
        </is>
      </c>
      <c r="E1426" s="28" t="n">
        <v>45778</v>
      </c>
      <c r="F1426" t="inlineStr">
        <is>
          <t>CT-e</t>
        </is>
      </c>
      <c r="G1426" t="inlineStr">
        <is>
          <t>000004114</t>
        </is>
      </c>
      <c r="H1426" t="inlineStr">
        <is>
          <t>R&amp;R TRANSPORTE E LOGISTICA</t>
        </is>
      </c>
      <c r="J1426" s="29" t="n">
        <v>215</v>
      </c>
      <c r="K1426" s="29">
        <f>(1-ISNUMBER(SEARCH("556",M1426)))*(O1426*SUMIFS(Premissas!$C$5:$C$44,Premissas!$A$5:$A$44,$A1426,Premissas!$B$5:$B$44,$B1426)+P1426*SUMIFS(Premissas!$D$5:$D$44,Premissas!$A$5:$A$44,$A1426,Premissas!$B$5:$B$44,$B1426))+R1426*SUMIFS(Premissas!$E$5:$E$44,Premissas!$A$5:$A$44,$A1426,Premissas!$B$5:$B$44,$B1426)+S1426*SUMIFS(Premissas!$F$5:$F$44,Premissas!$A$5:$A$44,$A1426,Premissas!$B$5:$B$44,$B1426)</f>
        <v/>
      </c>
      <c r="L1426" s="29">
        <f>J1426-K1426</f>
        <v/>
      </c>
      <c r="M1426" t="inlineStr">
        <is>
          <t>1.350</t>
        </is>
      </c>
      <c r="N1426" t="inlineStr">
        <is>
          <t>Modalidade: 0 - Por conta do remetente | Parte: DV COMERCIO DE DOCES E EMBALAGENS LTDA (55.004.644/0001-40)</t>
        </is>
      </c>
      <c r="O1426" s="29" t="n">
        <v>0</v>
      </c>
      <c r="P1426" s="29" t="n">
        <v>0</v>
      </c>
      <c r="Q1426" s="29" t="n">
        <v>0</v>
      </c>
      <c r="R1426" s="29" t="n">
        <v>0</v>
      </c>
      <c r="S1426" s="29" t="n">
        <v>0</v>
      </c>
      <c r="T1426" t="inlineStr">
        <is>
          <t>25250526975620000130570010000041141000000005</t>
        </is>
      </c>
      <c r="U1426" t="inlineStr">
        <is>
          <t>Não</t>
        </is>
      </c>
    </row>
    <row r="1427">
      <c r="A1427" t="inlineStr">
        <is>
          <t>Frete de venda</t>
        </is>
      </c>
      <c r="B1427" t="inlineStr">
        <is>
          <t>2.01.02 Frete sobre Vendas</t>
        </is>
      </c>
      <c r="C1427" t="inlineStr">
        <is>
          <t>Antes de 2026</t>
        </is>
      </c>
      <c r="D1427" t="inlineStr">
        <is>
          <t>Antes de 2026</t>
        </is>
      </c>
      <c r="E1427" s="28" t="n">
        <v>45778</v>
      </c>
      <c r="F1427" t="inlineStr">
        <is>
          <t>CT-e</t>
        </is>
      </c>
      <c r="G1427" t="inlineStr">
        <is>
          <t>000004115</t>
        </is>
      </c>
      <c r="H1427" t="inlineStr">
        <is>
          <t>R&amp;R TRANSPORTE E LOGISTICA</t>
        </is>
      </c>
      <c r="J1427" s="29" t="n">
        <v>215</v>
      </c>
      <c r="K1427" s="29">
        <f>(1-ISNUMBER(SEARCH("556",M1427)))*(O1427*SUMIFS(Premissas!$C$5:$C$44,Premissas!$A$5:$A$44,$A1427,Premissas!$B$5:$B$44,$B1427)+P1427*SUMIFS(Premissas!$D$5:$D$44,Premissas!$A$5:$A$44,$A1427,Premissas!$B$5:$B$44,$B1427))+R1427*SUMIFS(Premissas!$E$5:$E$44,Premissas!$A$5:$A$44,$A1427,Premissas!$B$5:$B$44,$B1427)+S1427*SUMIFS(Premissas!$F$5:$F$44,Premissas!$A$5:$A$44,$A1427,Premissas!$B$5:$B$44,$B1427)</f>
        <v/>
      </c>
      <c r="L1427" s="29">
        <f>J1427-K1427</f>
        <v/>
      </c>
      <c r="M1427" t="inlineStr">
        <is>
          <t>1.350</t>
        </is>
      </c>
      <c r="N1427" t="inlineStr">
        <is>
          <t>Modalidade: 0 - Por conta do remetente | Parte: MICHELLE DOS SANTOS SILVA (20.066.611/0001-40)</t>
        </is>
      </c>
      <c r="O1427" s="29" t="n">
        <v>0</v>
      </c>
      <c r="P1427" s="29" t="n">
        <v>0</v>
      </c>
      <c r="Q1427" s="29" t="n">
        <v>0</v>
      </c>
      <c r="R1427" s="29" t="n">
        <v>0</v>
      </c>
      <c r="S1427" s="29" t="n">
        <v>0</v>
      </c>
      <c r="T1427" t="inlineStr">
        <is>
          <t>25250526975620000130570010000041151000000002</t>
        </is>
      </c>
      <c r="U1427" t="inlineStr">
        <is>
          <t>Não</t>
        </is>
      </c>
    </row>
    <row r="1428">
      <c r="A1428" t="inlineStr">
        <is>
          <t>Frete de venda</t>
        </is>
      </c>
      <c r="B1428" t="inlineStr">
        <is>
          <t>2.01.02 Frete sobre Vendas</t>
        </is>
      </c>
      <c r="C1428" t="inlineStr">
        <is>
          <t>Antes de 2026</t>
        </is>
      </c>
      <c r="D1428" t="inlineStr">
        <is>
          <t>Antes de 2026</t>
        </is>
      </c>
      <c r="E1428" s="28" t="n">
        <v>45778</v>
      </c>
      <c r="F1428" t="inlineStr">
        <is>
          <t>CT-e</t>
        </is>
      </c>
      <c r="G1428" t="inlineStr">
        <is>
          <t>000004116</t>
        </is>
      </c>
      <c r="H1428" t="inlineStr">
        <is>
          <t>R&amp;R TRANSPORTE E LOGISTICA</t>
        </is>
      </c>
      <c r="J1428" s="29" t="n">
        <v>215</v>
      </c>
      <c r="K1428" s="29">
        <f>(1-ISNUMBER(SEARCH("556",M1428)))*(O1428*SUMIFS(Premissas!$C$5:$C$44,Premissas!$A$5:$A$44,$A1428,Premissas!$B$5:$B$44,$B1428)+P1428*SUMIFS(Premissas!$D$5:$D$44,Premissas!$A$5:$A$44,$A1428,Premissas!$B$5:$B$44,$B1428))+R1428*SUMIFS(Premissas!$E$5:$E$44,Premissas!$A$5:$A$44,$A1428,Premissas!$B$5:$B$44,$B1428)+S1428*SUMIFS(Premissas!$F$5:$F$44,Premissas!$A$5:$A$44,$A1428,Premissas!$B$5:$B$44,$B1428)</f>
        <v/>
      </c>
      <c r="L1428" s="29">
        <f>J1428-K1428</f>
        <v/>
      </c>
      <c r="M1428" t="inlineStr">
        <is>
          <t>1.350</t>
        </is>
      </c>
      <c r="N1428" t="inlineStr">
        <is>
          <t>Modalidade: 0 - Por conta do remetente | Parte: UNIAO COMERCIO DE EMBALAGENS E BEBIDAS LTDA (04.342.646/0001-08)</t>
        </is>
      </c>
      <c r="O1428" s="29" t="n">
        <v>0</v>
      </c>
      <c r="P1428" s="29" t="n">
        <v>0</v>
      </c>
      <c r="Q1428" s="29" t="n">
        <v>0</v>
      </c>
      <c r="R1428" s="29" t="n">
        <v>0</v>
      </c>
      <c r="S1428" s="29" t="n">
        <v>0</v>
      </c>
      <c r="T1428" t="inlineStr">
        <is>
          <t>25250526975620000130570010000041161000000000</t>
        </is>
      </c>
      <c r="U1428" t="inlineStr">
        <is>
          <t>Não</t>
        </is>
      </c>
    </row>
    <row r="1429">
      <c r="A1429" t="inlineStr">
        <is>
          <t>Frete de venda</t>
        </is>
      </c>
      <c r="B1429" t="inlineStr">
        <is>
          <t>2.01.02 Frete sobre Vendas</t>
        </is>
      </c>
      <c r="C1429" t="inlineStr">
        <is>
          <t>Antes de 2026</t>
        </is>
      </c>
      <c r="D1429" t="inlineStr">
        <is>
          <t>Antes de 2026</t>
        </is>
      </c>
      <c r="E1429" s="28" t="n">
        <v>45778</v>
      </c>
      <c r="F1429" t="inlineStr">
        <is>
          <t>CT-e</t>
        </is>
      </c>
      <c r="G1429" t="inlineStr">
        <is>
          <t>000004117</t>
        </is>
      </c>
      <c r="H1429" t="inlineStr">
        <is>
          <t>R&amp;R TRANSPORTE E LOGISTICA</t>
        </is>
      </c>
      <c r="J1429" s="29" t="n">
        <v>215</v>
      </c>
      <c r="K1429" s="29">
        <f>(1-ISNUMBER(SEARCH("556",M1429)))*(O1429*SUMIFS(Premissas!$C$5:$C$44,Premissas!$A$5:$A$44,$A1429,Premissas!$B$5:$B$44,$B1429)+P1429*SUMIFS(Premissas!$D$5:$D$44,Premissas!$A$5:$A$44,$A1429,Premissas!$B$5:$B$44,$B1429))+R1429*SUMIFS(Premissas!$E$5:$E$44,Premissas!$A$5:$A$44,$A1429,Premissas!$B$5:$B$44,$B1429)+S1429*SUMIFS(Premissas!$F$5:$F$44,Premissas!$A$5:$A$44,$A1429,Premissas!$B$5:$B$44,$B1429)</f>
        <v/>
      </c>
      <c r="L1429" s="29">
        <f>J1429-K1429</f>
        <v/>
      </c>
      <c r="M1429" t="inlineStr">
        <is>
          <t>1.350</t>
        </is>
      </c>
      <c r="N1429" t="inlineStr">
        <is>
          <t>Modalidade: 0 - Por conta do remetente | Parte: 56.303.728 THIAGO LIBORIO DE JESUS (56.303.728/0001-47)</t>
        </is>
      </c>
      <c r="O1429" s="29" t="n">
        <v>0</v>
      </c>
      <c r="P1429" s="29" t="n">
        <v>0</v>
      </c>
      <c r="Q1429" s="29" t="n">
        <v>0</v>
      </c>
      <c r="R1429" s="29" t="n">
        <v>0</v>
      </c>
      <c r="S1429" s="29" t="n">
        <v>0</v>
      </c>
      <c r="T1429" t="inlineStr">
        <is>
          <t>25250526975620000130570010000041171000000007</t>
        </is>
      </c>
      <c r="U1429" t="inlineStr">
        <is>
          <t>Não</t>
        </is>
      </c>
    </row>
    <row r="1430">
      <c r="A1430" t="inlineStr">
        <is>
          <t>Frete de venda</t>
        </is>
      </c>
      <c r="B1430" t="inlineStr">
        <is>
          <t>2.01.02 Frete sobre Vendas</t>
        </is>
      </c>
      <c r="C1430" t="inlineStr">
        <is>
          <t>Antes de 2026</t>
        </is>
      </c>
      <c r="D1430" t="inlineStr">
        <is>
          <t>Antes de 2026</t>
        </is>
      </c>
      <c r="E1430" s="28" t="n">
        <v>45778</v>
      </c>
      <c r="F1430" t="inlineStr">
        <is>
          <t>CT-e</t>
        </is>
      </c>
      <c r="G1430" t="inlineStr">
        <is>
          <t>000004118</t>
        </is>
      </c>
      <c r="H1430" t="inlineStr">
        <is>
          <t>R&amp;R TRANSPORTE E LOGISTICA</t>
        </is>
      </c>
      <c r="J1430" s="29" t="n">
        <v>215</v>
      </c>
      <c r="K1430" s="29">
        <f>(1-ISNUMBER(SEARCH("556",M1430)))*(O1430*SUMIFS(Premissas!$C$5:$C$44,Premissas!$A$5:$A$44,$A1430,Premissas!$B$5:$B$44,$B1430)+P1430*SUMIFS(Premissas!$D$5:$D$44,Premissas!$A$5:$A$44,$A1430,Premissas!$B$5:$B$44,$B1430))+R1430*SUMIFS(Premissas!$E$5:$E$44,Premissas!$A$5:$A$44,$A1430,Premissas!$B$5:$B$44,$B1430)+S1430*SUMIFS(Premissas!$F$5:$F$44,Premissas!$A$5:$A$44,$A1430,Premissas!$B$5:$B$44,$B1430)</f>
        <v/>
      </c>
      <c r="L1430" s="29">
        <f>J1430-K1430</f>
        <v/>
      </c>
      <c r="M1430" t="inlineStr">
        <is>
          <t>1.350</t>
        </is>
      </c>
      <c r="N1430" t="inlineStr">
        <is>
          <t>Modalidade: 0 - Por conta do remetente | Parte: EMBALACENTER COMERCIO E REPRESENTACOES DE EMBALAGENS DE ... (07.351.681/0002-62)</t>
        </is>
      </c>
      <c r="O1430" s="29" t="n">
        <v>0</v>
      </c>
      <c r="P1430" s="29" t="n">
        <v>0</v>
      </c>
      <c r="Q1430" s="29" t="n">
        <v>0</v>
      </c>
      <c r="R1430" s="29" t="n">
        <v>0</v>
      </c>
      <c r="S1430" s="29" t="n">
        <v>0</v>
      </c>
      <c r="T1430" t="inlineStr">
        <is>
          <t>25250526975620000130570010000041181000000004</t>
        </is>
      </c>
      <c r="U1430" t="inlineStr">
        <is>
          <t>Não</t>
        </is>
      </c>
    </row>
    <row r="1431">
      <c r="A1431" t="inlineStr">
        <is>
          <t>Frete de venda</t>
        </is>
      </c>
      <c r="B1431" t="inlineStr">
        <is>
          <t>2.01.02 Frete sobre Vendas</t>
        </is>
      </c>
      <c r="C1431" t="inlineStr">
        <is>
          <t>Antes de 2026</t>
        </is>
      </c>
      <c r="D1431" t="inlineStr">
        <is>
          <t>Antes de 2026</t>
        </is>
      </c>
      <c r="E1431" s="28" t="n">
        <v>45778</v>
      </c>
      <c r="F1431" t="inlineStr">
        <is>
          <t>CT-e</t>
        </is>
      </c>
      <c r="G1431" t="inlineStr">
        <is>
          <t>000004119</t>
        </is>
      </c>
      <c r="H1431" t="inlineStr">
        <is>
          <t>R&amp;R TRANSPORTE E LOGISTICA</t>
        </is>
      </c>
      <c r="J1431" s="29" t="n">
        <v>215</v>
      </c>
      <c r="K1431" s="29">
        <f>(1-ISNUMBER(SEARCH("556",M1431)))*(O1431*SUMIFS(Premissas!$C$5:$C$44,Premissas!$A$5:$A$44,$A1431,Premissas!$B$5:$B$44,$B1431)+P1431*SUMIFS(Premissas!$D$5:$D$44,Premissas!$A$5:$A$44,$A1431,Premissas!$B$5:$B$44,$B1431))+R1431*SUMIFS(Premissas!$E$5:$E$44,Premissas!$A$5:$A$44,$A1431,Premissas!$B$5:$B$44,$B1431)+S1431*SUMIFS(Premissas!$F$5:$F$44,Premissas!$A$5:$A$44,$A1431,Premissas!$B$5:$B$44,$B1431)</f>
        <v/>
      </c>
      <c r="L1431" s="29">
        <f>J1431-K1431</f>
        <v/>
      </c>
      <c r="M1431" t="inlineStr">
        <is>
          <t>1.350</t>
        </is>
      </c>
      <c r="N1431" t="inlineStr">
        <is>
          <t>Modalidade: 0 - Por conta do remetente | Parte: TREVO COMERCIO DE EMBALAGENS LTDA (08.178.510/0001-65)</t>
        </is>
      </c>
      <c r="O1431" s="29" t="n">
        <v>0</v>
      </c>
      <c r="P1431" s="29" t="n">
        <v>0</v>
      </c>
      <c r="Q1431" s="29" t="n">
        <v>0</v>
      </c>
      <c r="R1431" s="29" t="n">
        <v>0</v>
      </c>
      <c r="S1431" s="29" t="n">
        <v>0</v>
      </c>
      <c r="T1431" t="inlineStr">
        <is>
          <t>25250526975620000130570010000041191000000001</t>
        </is>
      </c>
      <c r="U1431" t="inlineStr">
        <is>
          <t>Não</t>
        </is>
      </c>
    </row>
    <row r="1432">
      <c r="A1432" t="inlineStr">
        <is>
          <t>Frete de venda</t>
        </is>
      </c>
      <c r="B1432" t="inlineStr">
        <is>
          <t>2.01.02 Frete sobre Vendas</t>
        </is>
      </c>
      <c r="C1432" t="inlineStr">
        <is>
          <t>Antes de 2026</t>
        </is>
      </c>
      <c r="D1432" t="inlineStr">
        <is>
          <t>Antes de 2026</t>
        </is>
      </c>
      <c r="E1432" s="28" t="n">
        <v>45778</v>
      </c>
      <c r="F1432" t="inlineStr">
        <is>
          <t>CT-e</t>
        </is>
      </c>
      <c r="G1432" t="inlineStr">
        <is>
          <t>000004120</t>
        </is>
      </c>
      <c r="H1432" t="inlineStr">
        <is>
          <t>R&amp;R TRANSPORTE E LOGISTICA</t>
        </is>
      </c>
      <c r="J1432" s="29" t="n">
        <v>43</v>
      </c>
      <c r="K1432" s="29">
        <f>(1-ISNUMBER(SEARCH("556",M1432)))*(O1432*SUMIFS(Premissas!$C$5:$C$44,Premissas!$A$5:$A$44,$A1432,Premissas!$B$5:$B$44,$B1432)+P1432*SUMIFS(Premissas!$D$5:$D$44,Premissas!$A$5:$A$44,$A1432,Premissas!$B$5:$B$44,$B1432))+R1432*SUMIFS(Premissas!$E$5:$E$44,Premissas!$A$5:$A$44,$A1432,Premissas!$B$5:$B$44,$B1432)+S1432*SUMIFS(Premissas!$F$5:$F$44,Premissas!$A$5:$A$44,$A1432,Premissas!$B$5:$B$44,$B1432)</f>
        <v/>
      </c>
      <c r="L1432" s="29">
        <f>J1432-K1432</f>
        <v/>
      </c>
      <c r="M1432" t="inlineStr">
        <is>
          <t>1.350</t>
        </is>
      </c>
      <c r="N1432" t="inlineStr">
        <is>
          <t>Modalidade: 0 - Por conta do remetente | Parte: J.R. COMERCIO DE EMBALAGENS LTDA (23.099.779/0001-40)</t>
        </is>
      </c>
      <c r="O1432" s="29" t="n">
        <v>0</v>
      </c>
      <c r="P1432" s="29" t="n">
        <v>0</v>
      </c>
      <c r="Q1432" s="29" t="n">
        <v>0</v>
      </c>
      <c r="R1432" s="29" t="n">
        <v>0</v>
      </c>
      <c r="S1432" s="29" t="n">
        <v>0</v>
      </c>
      <c r="T1432" t="inlineStr">
        <is>
          <t>25250526975620000130570010000041201000000002</t>
        </is>
      </c>
      <c r="U1432" t="inlineStr">
        <is>
          <t>Não</t>
        </is>
      </c>
    </row>
    <row r="1433">
      <c r="A1433" t="inlineStr">
        <is>
          <t>Frete de venda</t>
        </is>
      </c>
      <c r="B1433" t="inlineStr">
        <is>
          <t>2.01.02 Frete sobre Vendas</t>
        </is>
      </c>
      <c r="C1433" t="inlineStr">
        <is>
          <t>Antes de 2026</t>
        </is>
      </c>
      <c r="D1433" t="inlineStr">
        <is>
          <t>Antes de 2026</t>
        </is>
      </c>
      <c r="E1433" s="28" t="n">
        <v>45778</v>
      </c>
      <c r="F1433" t="inlineStr">
        <is>
          <t>CT-e</t>
        </is>
      </c>
      <c r="G1433" t="inlineStr">
        <is>
          <t>000004121</t>
        </is>
      </c>
      <c r="H1433" t="inlineStr">
        <is>
          <t>R&amp;R TRANSPORTE E LOGISTICA</t>
        </is>
      </c>
      <c r="J1433" s="29" t="n">
        <v>48</v>
      </c>
      <c r="K1433" s="29">
        <f>(1-ISNUMBER(SEARCH("556",M1433)))*(O1433*SUMIFS(Premissas!$C$5:$C$44,Premissas!$A$5:$A$44,$A1433,Premissas!$B$5:$B$44,$B1433)+P1433*SUMIFS(Premissas!$D$5:$D$44,Premissas!$A$5:$A$44,$A1433,Premissas!$B$5:$B$44,$B1433))+R1433*SUMIFS(Premissas!$E$5:$E$44,Premissas!$A$5:$A$44,$A1433,Premissas!$B$5:$B$44,$B1433)+S1433*SUMIFS(Premissas!$F$5:$F$44,Premissas!$A$5:$A$44,$A1433,Premissas!$B$5:$B$44,$B1433)</f>
        <v/>
      </c>
      <c r="L1433" s="29">
        <f>J1433-K1433</f>
        <v/>
      </c>
      <c r="M1433" t="inlineStr">
        <is>
          <t>1.350</t>
        </is>
      </c>
      <c r="N1433" t="inlineStr">
        <is>
          <t>Modalidade: 0 - Por conta do remetente | Parte: CRISTAL NEWS ALIMENTOS E EMBALAGENS LTDA (04.067.045/0001-34)</t>
        </is>
      </c>
      <c r="O1433" s="29" t="n">
        <v>0</v>
      </c>
      <c r="P1433" s="29" t="n">
        <v>0</v>
      </c>
      <c r="Q1433" s="29" t="n">
        <v>0</v>
      </c>
      <c r="R1433" s="29" t="n">
        <v>0</v>
      </c>
      <c r="S1433" s="29" t="n">
        <v>0</v>
      </c>
      <c r="T1433" t="inlineStr">
        <is>
          <t>25250526975620000130570010000041211000000000</t>
        </is>
      </c>
      <c r="U1433" t="inlineStr">
        <is>
          <t>Não</t>
        </is>
      </c>
    </row>
    <row r="1434">
      <c r="A1434" t="inlineStr">
        <is>
          <t>Frete de venda</t>
        </is>
      </c>
      <c r="B1434" t="inlineStr">
        <is>
          <t>2.01.02 Frete sobre Vendas</t>
        </is>
      </c>
      <c r="C1434" t="inlineStr">
        <is>
          <t>Antes de 2026</t>
        </is>
      </c>
      <c r="D1434" t="inlineStr">
        <is>
          <t>Antes de 2026</t>
        </is>
      </c>
      <c r="E1434" s="28" t="n">
        <v>45778</v>
      </c>
      <c r="F1434" t="inlineStr">
        <is>
          <t>CT-e</t>
        </is>
      </c>
      <c r="G1434" t="inlineStr">
        <is>
          <t>000004122</t>
        </is>
      </c>
      <c r="H1434" t="inlineStr">
        <is>
          <t>R&amp;R TRANSPORTE E LOGISTICA</t>
        </is>
      </c>
      <c r="J1434" s="29" t="n">
        <v>52</v>
      </c>
      <c r="K1434" s="29">
        <f>(1-ISNUMBER(SEARCH("556",M1434)))*(O1434*SUMIFS(Premissas!$C$5:$C$44,Premissas!$A$5:$A$44,$A1434,Premissas!$B$5:$B$44,$B1434)+P1434*SUMIFS(Premissas!$D$5:$D$44,Premissas!$A$5:$A$44,$A1434,Premissas!$B$5:$B$44,$B1434))+R1434*SUMIFS(Premissas!$E$5:$E$44,Premissas!$A$5:$A$44,$A1434,Premissas!$B$5:$B$44,$B1434)+S1434*SUMIFS(Premissas!$F$5:$F$44,Premissas!$A$5:$A$44,$A1434,Premissas!$B$5:$B$44,$B1434)</f>
        <v/>
      </c>
      <c r="L1434" s="29">
        <f>J1434-K1434</f>
        <v/>
      </c>
      <c r="M1434" t="inlineStr">
        <is>
          <t>1.350</t>
        </is>
      </c>
      <c r="N1434" t="inlineStr">
        <is>
          <t>Modalidade: 0 - Por conta do remetente | Parte: GABRIEL ROCHA DA CRUZ (53.721.083/0001-74)</t>
        </is>
      </c>
      <c r="O1434" s="29" t="n">
        <v>0</v>
      </c>
      <c r="P1434" s="29" t="n">
        <v>0</v>
      </c>
      <c r="Q1434" s="29" t="n">
        <v>0</v>
      </c>
      <c r="R1434" s="29" t="n">
        <v>0</v>
      </c>
      <c r="S1434" s="29" t="n">
        <v>0</v>
      </c>
      <c r="T1434" t="inlineStr">
        <is>
          <t>25250526975620000130570010000041221000000007</t>
        </is>
      </c>
      <c r="U1434" t="inlineStr">
        <is>
          <t>Não</t>
        </is>
      </c>
    </row>
    <row r="1435">
      <c r="A1435" t="inlineStr">
        <is>
          <t>Frete de venda</t>
        </is>
      </c>
      <c r="B1435" t="inlineStr">
        <is>
          <t>2.01.02 Frete sobre Vendas</t>
        </is>
      </c>
      <c r="C1435" t="inlineStr">
        <is>
          <t>Antes de 2026</t>
        </is>
      </c>
      <c r="D1435" t="inlineStr">
        <is>
          <t>Antes de 2026</t>
        </is>
      </c>
      <c r="E1435" s="28" t="n">
        <v>45778</v>
      </c>
      <c r="F1435" t="inlineStr">
        <is>
          <t>CT-e</t>
        </is>
      </c>
      <c r="G1435" t="inlineStr">
        <is>
          <t>000004123</t>
        </is>
      </c>
      <c r="H1435" t="inlineStr">
        <is>
          <t>R&amp;R TRANSPORTE E LOGISTICA</t>
        </is>
      </c>
      <c r="J1435" s="29" t="n">
        <v>44.5</v>
      </c>
      <c r="K1435" s="29">
        <f>(1-ISNUMBER(SEARCH("556",M1435)))*(O1435*SUMIFS(Premissas!$C$5:$C$44,Premissas!$A$5:$A$44,$A1435,Premissas!$B$5:$B$44,$B1435)+P1435*SUMIFS(Premissas!$D$5:$D$44,Premissas!$A$5:$A$44,$A1435,Premissas!$B$5:$B$44,$B1435))+R1435*SUMIFS(Premissas!$E$5:$E$44,Premissas!$A$5:$A$44,$A1435,Premissas!$B$5:$B$44,$B1435)+S1435*SUMIFS(Premissas!$F$5:$F$44,Premissas!$A$5:$A$44,$A1435,Premissas!$B$5:$B$44,$B1435)</f>
        <v/>
      </c>
      <c r="L1435" s="29">
        <f>J1435-K1435</f>
        <v/>
      </c>
      <c r="M1435" t="inlineStr">
        <is>
          <t>1.350</t>
        </is>
      </c>
      <c r="N1435" t="inlineStr">
        <is>
          <t>Modalidade: 0 - Por conta do remetente | Parte: BA EMBALAGENS COM ATACADISTA DE EMBALAGENS E BOMBONIERI (09.048.003/0001-70)</t>
        </is>
      </c>
      <c r="O1435" s="29" t="n">
        <v>0</v>
      </c>
      <c r="P1435" s="29" t="n">
        <v>0</v>
      </c>
      <c r="Q1435" s="29" t="n">
        <v>0</v>
      </c>
      <c r="R1435" s="29" t="n">
        <v>0</v>
      </c>
      <c r="S1435" s="29" t="n">
        <v>0</v>
      </c>
      <c r="T1435" t="inlineStr">
        <is>
          <t>25250526975620000130570010000041231000000004</t>
        </is>
      </c>
      <c r="U1435" t="inlineStr">
        <is>
          <t>Não</t>
        </is>
      </c>
    </row>
    <row r="1436">
      <c r="A1436" t="inlineStr">
        <is>
          <t>Frete de venda</t>
        </is>
      </c>
      <c r="B1436" t="inlineStr">
        <is>
          <t>2.01.02 Frete sobre Vendas</t>
        </is>
      </c>
      <c r="C1436" t="inlineStr">
        <is>
          <t>Antes de 2026</t>
        </is>
      </c>
      <c r="D1436" t="inlineStr">
        <is>
          <t>Antes de 2026</t>
        </is>
      </c>
      <c r="E1436" s="28" t="n">
        <v>45778</v>
      </c>
      <c r="F1436" t="inlineStr">
        <is>
          <t>CT-e</t>
        </is>
      </c>
      <c r="G1436" t="inlineStr">
        <is>
          <t>000004124</t>
        </is>
      </c>
      <c r="H1436" t="inlineStr">
        <is>
          <t>R&amp;R TRANSPORTE E LOGISTICA</t>
        </is>
      </c>
      <c r="J1436" s="29" t="n">
        <v>41.5</v>
      </c>
      <c r="K1436" s="29">
        <f>(1-ISNUMBER(SEARCH("556",M1436)))*(O1436*SUMIFS(Premissas!$C$5:$C$44,Premissas!$A$5:$A$44,$A1436,Premissas!$B$5:$B$44,$B1436)+P1436*SUMIFS(Premissas!$D$5:$D$44,Premissas!$A$5:$A$44,$A1436,Premissas!$B$5:$B$44,$B1436))+R1436*SUMIFS(Premissas!$E$5:$E$44,Premissas!$A$5:$A$44,$A1436,Premissas!$B$5:$B$44,$B1436)+S1436*SUMIFS(Premissas!$F$5:$F$44,Premissas!$A$5:$A$44,$A1436,Premissas!$B$5:$B$44,$B1436)</f>
        <v/>
      </c>
      <c r="L1436" s="29">
        <f>J1436-K1436</f>
        <v/>
      </c>
      <c r="M1436" t="inlineStr">
        <is>
          <t>1.350</t>
        </is>
      </c>
      <c r="N1436" t="inlineStr">
        <is>
          <t>Modalidade: 0 - Por conta do remetente | Parte: LA SERAFIM COMERCIO DE EMBALAGENS LTDA (07.797.641/0001-68)</t>
        </is>
      </c>
      <c r="O1436" s="29" t="n">
        <v>0</v>
      </c>
      <c r="P1436" s="29" t="n">
        <v>0</v>
      </c>
      <c r="Q1436" s="29" t="n">
        <v>0</v>
      </c>
      <c r="R1436" s="29" t="n">
        <v>0</v>
      </c>
      <c r="S1436" s="29" t="n">
        <v>0</v>
      </c>
      <c r="T1436" t="inlineStr">
        <is>
          <t>25250526975620000130570010000041241000000001</t>
        </is>
      </c>
      <c r="U1436" t="inlineStr">
        <is>
          <t>Não</t>
        </is>
      </c>
    </row>
    <row r="1437">
      <c r="A1437" t="inlineStr">
        <is>
          <t>Frete de venda</t>
        </is>
      </c>
      <c r="B1437" t="inlineStr">
        <is>
          <t>2.01.02 Frete sobre Vendas</t>
        </is>
      </c>
      <c r="C1437" t="inlineStr">
        <is>
          <t>Antes de 2026</t>
        </is>
      </c>
      <c r="D1437" t="inlineStr">
        <is>
          <t>Antes de 2026</t>
        </is>
      </c>
      <c r="E1437" s="28" t="n">
        <v>45779</v>
      </c>
      <c r="F1437" t="inlineStr">
        <is>
          <t>CT-e</t>
        </is>
      </c>
      <c r="G1437" t="inlineStr">
        <is>
          <t>000004129</t>
        </is>
      </c>
      <c r="H1437" t="inlineStr">
        <is>
          <t>R&amp;R TRANSPORTE E LOGISTICA</t>
        </is>
      </c>
      <c r="J1437" s="29" t="n">
        <v>70</v>
      </c>
      <c r="K1437" s="29">
        <f>(1-ISNUMBER(SEARCH("556",M1437)))*(O1437*SUMIFS(Premissas!$C$5:$C$44,Premissas!$A$5:$A$44,$A1437,Premissas!$B$5:$B$44,$B1437)+P1437*SUMIFS(Premissas!$D$5:$D$44,Premissas!$A$5:$A$44,$A1437,Premissas!$B$5:$B$44,$B1437))+R1437*SUMIFS(Premissas!$E$5:$E$44,Premissas!$A$5:$A$44,$A1437,Premissas!$B$5:$B$44,$B1437)+S1437*SUMIFS(Premissas!$F$5:$F$44,Premissas!$A$5:$A$44,$A1437,Premissas!$B$5:$B$44,$B1437)</f>
        <v/>
      </c>
      <c r="L1437" s="29">
        <f>J1437-K1437</f>
        <v/>
      </c>
      <c r="M1437" t="inlineStr">
        <is>
          <t>1.350</t>
        </is>
      </c>
      <c r="N1437" t="inlineStr">
        <is>
          <t>Modalidade: 0 - Por conta do remetente | Parte: M N L FLORENTINO LTDA (47.068.852/0001-84)</t>
        </is>
      </c>
      <c r="O1437" s="29" t="n">
        <v>0</v>
      </c>
      <c r="P1437" s="29" t="n">
        <v>0</v>
      </c>
      <c r="Q1437" s="29" t="n">
        <v>0</v>
      </c>
      <c r="R1437" s="29" t="n">
        <v>0</v>
      </c>
      <c r="S1437" s="29" t="n">
        <v>0</v>
      </c>
      <c r="T1437" t="inlineStr">
        <is>
          <t>25250526975620000130570010000041291000000008</t>
        </is>
      </c>
      <c r="U1437" t="inlineStr">
        <is>
          <t>Não</t>
        </is>
      </c>
    </row>
    <row r="1438">
      <c r="A1438" t="inlineStr">
        <is>
          <t>Frete de venda</t>
        </is>
      </c>
      <c r="B1438" t="inlineStr">
        <is>
          <t>2.01.02 Frete sobre Vendas</t>
        </is>
      </c>
      <c r="C1438" t="inlineStr">
        <is>
          <t>Antes de 2026</t>
        </is>
      </c>
      <c r="D1438" t="inlineStr">
        <is>
          <t>Antes de 2026</t>
        </is>
      </c>
      <c r="E1438" s="28" t="n">
        <v>45779</v>
      </c>
      <c r="F1438" t="inlineStr">
        <is>
          <t>CT-e</t>
        </is>
      </c>
      <c r="G1438" t="inlineStr">
        <is>
          <t>000004130</t>
        </is>
      </c>
      <c r="H1438" t="inlineStr">
        <is>
          <t>R&amp;R TRANSPORTE E LOGISTICA</t>
        </is>
      </c>
      <c r="J1438" s="29" t="n">
        <v>88</v>
      </c>
      <c r="K1438" s="29">
        <f>(1-ISNUMBER(SEARCH("556",M1438)))*(O1438*SUMIFS(Premissas!$C$5:$C$44,Premissas!$A$5:$A$44,$A1438,Premissas!$B$5:$B$44,$B1438)+P1438*SUMIFS(Premissas!$D$5:$D$44,Premissas!$A$5:$A$44,$A1438,Premissas!$B$5:$B$44,$B1438))+R1438*SUMIFS(Premissas!$E$5:$E$44,Premissas!$A$5:$A$44,$A1438,Premissas!$B$5:$B$44,$B1438)+S1438*SUMIFS(Premissas!$F$5:$F$44,Premissas!$A$5:$A$44,$A1438,Premissas!$B$5:$B$44,$B1438)</f>
        <v/>
      </c>
      <c r="L1438" s="29">
        <f>J1438-K1438</f>
        <v/>
      </c>
      <c r="M1438" t="inlineStr">
        <is>
          <t>1.350</t>
        </is>
      </c>
      <c r="N1438" t="inlineStr">
        <is>
          <t>Modalidade: 0 - Por conta do remetente | Parte: MARCOS NATANAEL DOS SANTOS ROCHA (14.727.584/0001-06)</t>
        </is>
      </c>
      <c r="O1438" s="29" t="n">
        <v>0</v>
      </c>
      <c r="P1438" s="29" t="n">
        <v>0</v>
      </c>
      <c r="Q1438" s="29" t="n">
        <v>0</v>
      </c>
      <c r="R1438" s="29" t="n">
        <v>0</v>
      </c>
      <c r="S1438" s="29" t="n">
        <v>0</v>
      </c>
      <c r="T1438" t="inlineStr">
        <is>
          <t>25250526975620000130570010000041301000000009</t>
        </is>
      </c>
      <c r="U1438" t="inlineStr">
        <is>
          <t>Não</t>
        </is>
      </c>
    </row>
    <row r="1439">
      <c r="A1439" t="inlineStr">
        <is>
          <t>Frete de venda</t>
        </is>
      </c>
      <c r="B1439" t="inlineStr">
        <is>
          <t>2.01.02 Frete sobre Vendas</t>
        </is>
      </c>
      <c r="C1439" t="inlineStr">
        <is>
          <t>Antes de 2026</t>
        </is>
      </c>
      <c r="D1439" t="inlineStr">
        <is>
          <t>Antes de 2026</t>
        </is>
      </c>
      <c r="E1439" s="28" t="n">
        <v>45779</v>
      </c>
      <c r="F1439" t="inlineStr">
        <is>
          <t>CT-e</t>
        </is>
      </c>
      <c r="G1439" t="inlineStr">
        <is>
          <t>000004131</t>
        </is>
      </c>
      <c r="H1439" t="inlineStr">
        <is>
          <t>R&amp;R TRANSPORTE E LOGISTICA</t>
        </is>
      </c>
      <c r="J1439" s="29" t="n">
        <v>66</v>
      </c>
      <c r="K1439" s="29">
        <f>(1-ISNUMBER(SEARCH("556",M1439)))*(O1439*SUMIFS(Premissas!$C$5:$C$44,Premissas!$A$5:$A$44,$A1439,Premissas!$B$5:$B$44,$B1439)+P1439*SUMIFS(Premissas!$D$5:$D$44,Premissas!$A$5:$A$44,$A1439,Premissas!$B$5:$B$44,$B1439))+R1439*SUMIFS(Premissas!$E$5:$E$44,Premissas!$A$5:$A$44,$A1439,Premissas!$B$5:$B$44,$B1439)+S1439*SUMIFS(Premissas!$F$5:$F$44,Premissas!$A$5:$A$44,$A1439,Premissas!$B$5:$B$44,$B1439)</f>
        <v/>
      </c>
      <c r="L1439" s="29">
        <f>J1439-K1439</f>
        <v/>
      </c>
      <c r="M1439" t="inlineStr">
        <is>
          <t>1.350</t>
        </is>
      </c>
      <c r="N1439" t="inlineStr">
        <is>
          <t>Modalidade: 0 - Por conta do remetente | Parte: EMBALAMIX COMERCIO DE EMBALAGENS E DESCARTAVEIS LTDA (14.166.061/0001-38)</t>
        </is>
      </c>
      <c r="O1439" s="29" t="n">
        <v>0</v>
      </c>
      <c r="P1439" s="29" t="n">
        <v>0</v>
      </c>
      <c r="Q1439" s="29" t="n">
        <v>0</v>
      </c>
      <c r="R1439" s="29" t="n">
        <v>0</v>
      </c>
      <c r="S1439" s="29" t="n">
        <v>0</v>
      </c>
      <c r="T1439" t="inlineStr">
        <is>
          <t>25250526975620000130570010000041311000000006</t>
        </is>
      </c>
      <c r="U1439" t="inlineStr">
        <is>
          <t>Não</t>
        </is>
      </c>
    </row>
    <row r="1440">
      <c r="A1440" t="inlineStr">
        <is>
          <t>Frete de venda</t>
        </is>
      </c>
      <c r="B1440" t="inlineStr">
        <is>
          <t>2.01.02 Frete sobre Vendas</t>
        </is>
      </c>
      <c r="C1440" t="inlineStr">
        <is>
          <t>Antes de 2026</t>
        </is>
      </c>
      <c r="D1440" t="inlineStr">
        <is>
          <t>Antes de 2026</t>
        </is>
      </c>
      <c r="E1440" s="28" t="n">
        <v>45782</v>
      </c>
      <c r="F1440" t="inlineStr">
        <is>
          <t>CT-e</t>
        </is>
      </c>
      <c r="G1440" t="inlineStr">
        <is>
          <t>000004133</t>
        </is>
      </c>
      <c r="H1440" t="inlineStr">
        <is>
          <t>R&amp;R TRANSPORTE E LOGISTICA</t>
        </is>
      </c>
      <c r="J1440" s="29" t="n">
        <v>365</v>
      </c>
      <c r="K1440" s="29">
        <f>(1-ISNUMBER(SEARCH("556",M1440)))*(O1440*SUMIFS(Premissas!$C$5:$C$44,Premissas!$A$5:$A$44,$A1440,Premissas!$B$5:$B$44,$B1440)+P1440*SUMIFS(Premissas!$D$5:$D$44,Premissas!$A$5:$A$44,$A1440,Premissas!$B$5:$B$44,$B1440))+R1440*SUMIFS(Premissas!$E$5:$E$44,Premissas!$A$5:$A$44,$A1440,Premissas!$B$5:$B$44,$B1440)+S1440*SUMIFS(Premissas!$F$5:$F$44,Premissas!$A$5:$A$44,$A1440,Premissas!$B$5:$B$44,$B1440)</f>
        <v/>
      </c>
      <c r="L1440" s="29">
        <f>J1440-K1440</f>
        <v/>
      </c>
      <c r="M1440" t="inlineStr">
        <is>
          <t>1.350</t>
        </is>
      </c>
      <c r="N1440" t="inlineStr">
        <is>
          <t>Modalidade: 0 - Por conta do remetente | Parte: JR DISTRIBUICAO LTDA (00.680.755/0002-65)</t>
        </is>
      </c>
      <c r="O1440" s="29" t="n">
        <v>0</v>
      </c>
      <c r="P1440" s="29" t="n">
        <v>0</v>
      </c>
      <c r="Q1440" s="29" t="n">
        <v>0</v>
      </c>
      <c r="R1440" s="29" t="n">
        <v>0</v>
      </c>
      <c r="S1440" s="29" t="n">
        <v>0</v>
      </c>
      <c r="T1440" t="inlineStr">
        <is>
          <t>25250526975620000130570010000041331000000000</t>
        </is>
      </c>
      <c r="U1440" t="inlineStr">
        <is>
          <t>Não</t>
        </is>
      </c>
    </row>
    <row r="1441">
      <c r="A1441" t="inlineStr">
        <is>
          <t>Frete de venda</t>
        </is>
      </c>
      <c r="B1441" t="inlineStr">
        <is>
          <t>2.01.02 Frete sobre Vendas</t>
        </is>
      </c>
      <c r="C1441" t="inlineStr">
        <is>
          <t>Antes de 2026</t>
        </is>
      </c>
      <c r="D1441" t="inlineStr">
        <is>
          <t>Antes de 2026</t>
        </is>
      </c>
      <c r="E1441" s="28" t="n">
        <v>45782</v>
      </c>
      <c r="F1441" t="inlineStr">
        <is>
          <t>CT-e</t>
        </is>
      </c>
      <c r="G1441" t="inlineStr">
        <is>
          <t>000004134</t>
        </is>
      </c>
      <c r="H1441" t="inlineStr">
        <is>
          <t>R&amp;R TRANSPORTE E LOGISTICA</t>
        </is>
      </c>
      <c r="J1441" s="29" t="n">
        <v>550</v>
      </c>
      <c r="K1441" s="29">
        <f>(1-ISNUMBER(SEARCH("556",M1441)))*(O1441*SUMIFS(Premissas!$C$5:$C$44,Premissas!$A$5:$A$44,$A1441,Premissas!$B$5:$B$44,$B1441)+P1441*SUMIFS(Premissas!$D$5:$D$44,Premissas!$A$5:$A$44,$A1441,Premissas!$B$5:$B$44,$B1441))+R1441*SUMIFS(Premissas!$E$5:$E$44,Premissas!$A$5:$A$44,$A1441,Premissas!$B$5:$B$44,$B1441)+S1441*SUMIFS(Premissas!$F$5:$F$44,Premissas!$A$5:$A$44,$A1441,Premissas!$B$5:$B$44,$B1441)</f>
        <v/>
      </c>
      <c r="L1441" s="29">
        <f>J1441-K1441</f>
        <v/>
      </c>
      <c r="M1441" t="inlineStr">
        <is>
          <t>1.350</t>
        </is>
      </c>
      <c r="N1441" t="inlineStr">
        <is>
          <t>Modalidade: 0 - Por conta do remetente | Parte: VILMA GOMES FREITAS DE OLIVEIRA LTDA (08.035.528/0001-08)</t>
        </is>
      </c>
      <c r="O1441" s="29" t="n">
        <v>0</v>
      </c>
      <c r="P1441" s="29" t="n">
        <v>0</v>
      </c>
      <c r="Q1441" s="29" t="n">
        <v>0</v>
      </c>
      <c r="R1441" s="29" t="n">
        <v>0</v>
      </c>
      <c r="S1441" s="29" t="n">
        <v>0</v>
      </c>
      <c r="T1441" t="inlineStr">
        <is>
          <t>25250526975620000130570010000041341000000008</t>
        </is>
      </c>
      <c r="U1441" t="inlineStr">
        <is>
          <t>Não</t>
        </is>
      </c>
    </row>
    <row r="1442">
      <c r="A1442" t="inlineStr">
        <is>
          <t>Frete de venda</t>
        </is>
      </c>
      <c r="B1442" t="inlineStr">
        <is>
          <t>2.01.02 Frete sobre Vendas</t>
        </is>
      </c>
      <c r="C1442" t="inlineStr">
        <is>
          <t>Antes de 2026</t>
        </is>
      </c>
      <c r="D1442" t="inlineStr">
        <is>
          <t>Antes de 2026</t>
        </is>
      </c>
      <c r="E1442" s="28" t="n">
        <v>45783</v>
      </c>
      <c r="F1442" t="inlineStr">
        <is>
          <t>CT-e</t>
        </is>
      </c>
      <c r="G1442" t="inlineStr">
        <is>
          <t>000004139</t>
        </is>
      </c>
      <c r="H1442" t="inlineStr">
        <is>
          <t>R&amp;R TRANSPORTE E LOGISTICA</t>
        </is>
      </c>
      <c r="J1442" s="29" t="n">
        <v>36.43</v>
      </c>
      <c r="K1442" s="29">
        <f>(1-ISNUMBER(SEARCH("556",M1442)))*(O1442*SUMIFS(Premissas!$C$5:$C$44,Premissas!$A$5:$A$44,$A1442,Premissas!$B$5:$B$44,$B1442)+P1442*SUMIFS(Premissas!$D$5:$D$44,Premissas!$A$5:$A$44,$A1442,Premissas!$B$5:$B$44,$B1442))+R1442*SUMIFS(Premissas!$E$5:$E$44,Premissas!$A$5:$A$44,$A1442,Premissas!$B$5:$B$44,$B1442)+S1442*SUMIFS(Premissas!$F$5:$F$44,Premissas!$A$5:$A$44,$A1442,Premissas!$B$5:$B$44,$B1442)</f>
        <v/>
      </c>
      <c r="L1442" s="29">
        <f>J1442-K1442</f>
        <v/>
      </c>
      <c r="M1442" t="inlineStr">
        <is>
          <t>1.350</t>
        </is>
      </c>
      <c r="N1442" t="inlineStr">
        <is>
          <t>Modalidade: 0 - Por conta do remetente | Parte: DISTRIBUIDORA DE FRIOS IRMAOS MARTINS LTDA (35.027.845/0001-55)</t>
        </is>
      </c>
      <c r="O1442" s="29" t="n">
        <v>0</v>
      </c>
      <c r="P1442" s="29" t="n">
        <v>0</v>
      </c>
      <c r="Q1442" s="29" t="n">
        <v>0</v>
      </c>
      <c r="R1442" s="29" t="n">
        <v>0</v>
      </c>
      <c r="S1442" s="29" t="n">
        <v>0</v>
      </c>
      <c r="T1442" t="inlineStr">
        <is>
          <t>25250526975620000130570010000041391000000004</t>
        </is>
      </c>
      <c r="U1442" t="inlineStr">
        <is>
          <t>Não</t>
        </is>
      </c>
    </row>
    <row r="1443">
      <c r="A1443" t="inlineStr">
        <is>
          <t>Frete de venda</t>
        </is>
      </c>
      <c r="B1443" t="inlineStr">
        <is>
          <t>2.01.02 Frete sobre Vendas</t>
        </is>
      </c>
      <c r="C1443" t="inlineStr">
        <is>
          <t>Antes de 2026</t>
        </is>
      </c>
      <c r="D1443" t="inlineStr">
        <is>
          <t>Antes de 2026</t>
        </is>
      </c>
      <c r="E1443" s="28" t="n">
        <v>45783</v>
      </c>
      <c r="F1443" t="inlineStr">
        <is>
          <t>CT-e</t>
        </is>
      </c>
      <c r="G1443" t="inlineStr">
        <is>
          <t>000004140</t>
        </is>
      </c>
      <c r="H1443" t="inlineStr">
        <is>
          <t>R&amp;R TRANSPORTE E LOGISTICA</t>
        </is>
      </c>
      <c r="J1443" s="29" t="n">
        <v>22.46</v>
      </c>
      <c r="K1443" s="29">
        <f>(1-ISNUMBER(SEARCH("556",M1443)))*(O1443*SUMIFS(Premissas!$C$5:$C$44,Premissas!$A$5:$A$44,$A1443,Premissas!$B$5:$B$44,$B1443)+P1443*SUMIFS(Premissas!$D$5:$D$44,Premissas!$A$5:$A$44,$A1443,Premissas!$B$5:$B$44,$B1443))+R1443*SUMIFS(Premissas!$E$5:$E$44,Premissas!$A$5:$A$44,$A1443,Premissas!$B$5:$B$44,$B1443)+S1443*SUMIFS(Premissas!$F$5:$F$44,Premissas!$A$5:$A$44,$A1443,Premissas!$B$5:$B$44,$B1443)</f>
        <v/>
      </c>
      <c r="L1443" s="29">
        <f>J1443-K1443</f>
        <v/>
      </c>
      <c r="M1443" t="inlineStr">
        <is>
          <t>1.350</t>
        </is>
      </c>
      <c r="N1443" t="inlineStr">
        <is>
          <t>Modalidade: 0 - Por conta do remetente | Parte: MEGA FRIOS DE FRUTAL LTDA (08.357.829/0001-58)</t>
        </is>
      </c>
      <c r="O1443" s="29" t="n">
        <v>0</v>
      </c>
      <c r="P1443" s="29" t="n">
        <v>0</v>
      </c>
      <c r="Q1443" s="29" t="n">
        <v>0</v>
      </c>
      <c r="R1443" s="29" t="n">
        <v>0</v>
      </c>
      <c r="S1443" s="29" t="n">
        <v>0</v>
      </c>
      <c r="T1443" t="inlineStr">
        <is>
          <t>25250526975620000130570010000041401000000005</t>
        </is>
      </c>
      <c r="U1443" t="inlineStr">
        <is>
          <t>Não</t>
        </is>
      </c>
    </row>
    <row r="1444">
      <c r="A1444" t="inlineStr">
        <is>
          <t>Frete de venda</t>
        </is>
      </c>
      <c r="B1444" t="inlineStr">
        <is>
          <t>2.01.02 Frete sobre Vendas</t>
        </is>
      </c>
      <c r="C1444" t="inlineStr">
        <is>
          <t>Antes de 2026</t>
        </is>
      </c>
      <c r="D1444" t="inlineStr">
        <is>
          <t>Antes de 2026</t>
        </is>
      </c>
      <c r="E1444" s="28" t="n">
        <v>45783</v>
      </c>
      <c r="F1444" t="inlineStr">
        <is>
          <t>CT-e</t>
        </is>
      </c>
      <c r="G1444" t="inlineStr">
        <is>
          <t>000004141</t>
        </is>
      </c>
      <c r="H1444" t="inlineStr">
        <is>
          <t>R&amp;R TRANSPORTE E LOGISTICA</t>
        </is>
      </c>
      <c r="J1444" s="29" t="n">
        <v>19.23</v>
      </c>
      <c r="K1444" s="29">
        <f>(1-ISNUMBER(SEARCH("556",M1444)))*(O1444*SUMIFS(Premissas!$C$5:$C$44,Premissas!$A$5:$A$44,$A1444,Premissas!$B$5:$B$44,$B1444)+P1444*SUMIFS(Premissas!$D$5:$D$44,Premissas!$A$5:$A$44,$A1444,Premissas!$B$5:$B$44,$B1444))+R1444*SUMIFS(Premissas!$E$5:$E$44,Premissas!$A$5:$A$44,$A1444,Premissas!$B$5:$B$44,$B1444)+S1444*SUMIFS(Premissas!$F$5:$F$44,Premissas!$A$5:$A$44,$A1444,Premissas!$B$5:$B$44,$B1444)</f>
        <v/>
      </c>
      <c r="L1444" s="29">
        <f>J1444-K1444</f>
        <v/>
      </c>
      <c r="M1444" t="inlineStr">
        <is>
          <t>1.350</t>
        </is>
      </c>
      <c r="N1444" t="inlineStr">
        <is>
          <t>Modalidade: 0 - Por conta do remetente | Parte: JB FRIOS INDUSTRIA E COMERCIO LTDA (41.966.857/0001-48)</t>
        </is>
      </c>
      <c r="O1444" s="29" t="n">
        <v>0</v>
      </c>
      <c r="P1444" s="29" t="n">
        <v>0</v>
      </c>
      <c r="Q1444" s="29" t="n">
        <v>0</v>
      </c>
      <c r="R1444" s="29" t="n">
        <v>0</v>
      </c>
      <c r="S1444" s="29" t="n">
        <v>0</v>
      </c>
      <c r="T1444" t="inlineStr">
        <is>
          <t>25250526975620000130570010000041411000000002</t>
        </is>
      </c>
      <c r="U1444" t="inlineStr">
        <is>
          <t>Não</t>
        </is>
      </c>
    </row>
    <row r="1445">
      <c r="A1445" t="inlineStr">
        <is>
          <t>Frete de venda</t>
        </is>
      </c>
      <c r="B1445" t="inlineStr">
        <is>
          <t>2.01.02 Frete sobre Vendas</t>
        </is>
      </c>
      <c r="C1445" t="inlineStr">
        <is>
          <t>Antes de 2026</t>
        </is>
      </c>
      <c r="D1445" t="inlineStr">
        <is>
          <t>Antes de 2026</t>
        </is>
      </c>
      <c r="E1445" s="28" t="n">
        <v>45783</v>
      </c>
      <c r="F1445" t="inlineStr">
        <is>
          <t>CT-e</t>
        </is>
      </c>
      <c r="G1445" t="inlineStr">
        <is>
          <t>000004143</t>
        </is>
      </c>
      <c r="H1445" t="inlineStr">
        <is>
          <t>R&amp;R TRANSPORTE E LOGISTICA</t>
        </is>
      </c>
      <c r="J1445" s="29" t="n">
        <v>27.4</v>
      </c>
      <c r="K1445" s="29">
        <f>(1-ISNUMBER(SEARCH("556",M1445)))*(O1445*SUMIFS(Premissas!$C$5:$C$44,Premissas!$A$5:$A$44,$A1445,Premissas!$B$5:$B$44,$B1445)+P1445*SUMIFS(Premissas!$D$5:$D$44,Premissas!$A$5:$A$44,$A1445,Premissas!$B$5:$B$44,$B1445))+R1445*SUMIFS(Premissas!$E$5:$E$44,Premissas!$A$5:$A$44,$A1445,Premissas!$B$5:$B$44,$B1445)+S1445*SUMIFS(Premissas!$F$5:$F$44,Premissas!$A$5:$A$44,$A1445,Premissas!$B$5:$B$44,$B1445)</f>
        <v/>
      </c>
      <c r="L1445" s="29">
        <f>J1445-K1445</f>
        <v/>
      </c>
      <c r="M1445" t="inlineStr">
        <is>
          <t>1.350</t>
        </is>
      </c>
      <c r="N1445" t="inlineStr">
        <is>
          <t>Modalidade: 0 - Por conta do remetente | Parte: PADUA EMBALAGENS E DESCARTAVEIS LTDA (29.312.016/0001-11)</t>
        </is>
      </c>
      <c r="O1445" s="29" t="n">
        <v>0</v>
      </c>
      <c r="P1445" s="29" t="n">
        <v>0</v>
      </c>
      <c r="Q1445" s="29" t="n">
        <v>0</v>
      </c>
      <c r="R1445" s="29" t="n">
        <v>0</v>
      </c>
      <c r="S1445" s="29" t="n">
        <v>0</v>
      </c>
      <c r="T1445" t="inlineStr">
        <is>
          <t>25250526975620000130570010000041431000000007</t>
        </is>
      </c>
      <c r="U1445" t="inlineStr">
        <is>
          <t>Não</t>
        </is>
      </c>
    </row>
    <row r="1446">
      <c r="A1446" t="inlineStr">
        <is>
          <t>Frete de venda</t>
        </is>
      </c>
      <c r="B1446" t="inlineStr">
        <is>
          <t>2.01.02 Frete sobre Vendas</t>
        </is>
      </c>
      <c r="C1446" t="inlineStr">
        <is>
          <t>Antes de 2026</t>
        </is>
      </c>
      <c r="D1446" t="inlineStr">
        <is>
          <t>Antes de 2026</t>
        </is>
      </c>
      <c r="E1446" s="28" t="n">
        <v>45783</v>
      </c>
      <c r="F1446" t="inlineStr">
        <is>
          <t>CT-e</t>
        </is>
      </c>
      <c r="G1446" t="inlineStr">
        <is>
          <t>000004144</t>
        </is>
      </c>
      <c r="H1446" t="inlineStr">
        <is>
          <t>R&amp;R TRANSPORTE E LOGISTICA</t>
        </is>
      </c>
      <c r="J1446" s="29" t="n">
        <v>32.05</v>
      </c>
      <c r="K1446" s="29">
        <f>(1-ISNUMBER(SEARCH("556",M1446)))*(O1446*SUMIFS(Premissas!$C$5:$C$44,Premissas!$A$5:$A$44,$A1446,Premissas!$B$5:$B$44,$B1446)+P1446*SUMIFS(Premissas!$D$5:$D$44,Premissas!$A$5:$A$44,$A1446,Premissas!$B$5:$B$44,$B1446))+R1446*SUMIFS(Premissas!$E$5:$E$44,Premissas!$A$5:$A$44,$A1446,Premissas!$B$5:$B$44,$B1446)+S1446*SUMIFS(Premissas!$F$5:$F$44,Premissas!$A$5:$A$44,$A1446,Premissas!$B$5:$B$44,$B1446)</f>
        <v/>
      </c>
      <c r="L1446" s="29">
        <f>J1446-K1446</f>
        <v/>
      </c>
      <c r="M1446" t="inlineStr">
        <is>
          <t>1.350</t>
        </is>
      </c>
      <c r="N1446" t="inlineStr">
        <is>
          <t>Modalidade: 0 - Por conta do remetente | Parte: BIG COMPACTA EMBALAGENS E FESTAS LTDA (24.932.814/0001-22)</t>
        </is>
      </c>
      <c r="O1446" s="29" t="n">
        <v>0</v>
      </c>
      <c r="P1446" s="29" t="n">
        <v>0</v>
      </c>
      <c r="Q1446" s="29" t="n">
        <v>0</v>
      </c>
      <c r="R1446" s="29" t="n">
        <v>0</v>
      </c>
      <c r="S1446" s="29" t="n">
        <v>0</v>
      </c>
      <c r="T1446" t="inlineStr">
        <is>
          <t>25250526975620000130570010000041441000000004</t>
        </is>
      </c>
      <c r="U1446" t="inlineStr">
        <is>
          <t>Não</t>
        </is>
      </c>
    </row>
    <row r="1447">
      <c r="A1447" t="inlineStr">
        <is>
          <t>Frete de venda</t>
        </is>
      </c>
      <c r="B1447" t="inlineStr">
        <is>
          <t>2.01.02 Frete sobre Vendas</t>
        </is>
      </c>
      <c r="C1447" t="inlineStr">
        <is>
          <t>Antes de 2026</t>
        </is>
      </c>
      <c r="D1447" t="inlineStr">
        <is>
          <t>Antes de 2026</t>
        </is>
      </c>
      <c r="E1447" s="28" t="n">
        <v>45783</v>
      </c>
      <c r="F1447" t="inlineStr">
        <is>
          <t>CT-e</t>
        </is>
      </c>
      <c r="G1447" t="inlineStr">
        <is>
          <t>000004145</t>
        </is>
      </c>
      <c r="H1447" t="inlineStr">
        <is>
          <t>R&amp;R TRANSPORTE E LOGISTICA</t>
        </is>
      </c>
      <c r="J1447" s="29" t="n">
        <v>48.43</v>
      </c>
      <c r="K1447" s="29">
        <f>(1-ISNUMBER(SEARCH("556",M1447)))*(O1447*SUMIFS(Premissas!$C$5:$C$44,Premissas!$A$5:$A$44,$A1447,Premissas!$B$5:$B$44,$B1447)+P1447*SUMIFS(Premissas!$D$5:$D$44,Premissas!$A$5:$A$44,$A1447,Premissas!$B$5:$B$44,$B1447))+R1447*SUMIFS(Premissas!$E$5:$E$44,Premissas!$A$5:$A$44,$A1447,Premissas!$B$5:$B$44,$B1447)+S1447*SUMIFS(Premissas!$F$5:$F$44,Premissas!$A$5:$A$44,$A1447,Premissas!$B$5:$B$44,$B1447)</f>
        <v/>
      </c>
      <c r="L1447" s="29">
        <f>J1447-K1447</f>
        <v/>
      </c>
      <c r="M1447" t="inlineStr">
        <is>
          <t>1.350</t>
        </is>
      </c>
      <c r="N1447" t="inlineStr">
        <is>
          <t>Modalidade: 0 - Por conta do remetente | Parte: TRES RIOS COMERCIO ATACADISTA E DISTRIBUIDORA LTDA (20.475.473/0001-52)</t>
        </is>
      </c>
      <c r="O1447" s="29" t="n">
        <v>0</v>
      </c>
      <c r="P1447" s="29" t="n">
        <v>0</v>
      </c>
      <c r="Q1447" s="29" t="n">
        <v>0</v>
      </c>
      <c r="R1447" s="29" t="n">
        <v>0</v>
      </c>
      <c r="S1447" s="29" t="n">
        <v>0</v>
      </c>
      <c r="T1447" t="inlineStr">
        <is>
          <t>25250526975620000130570010000041451000000001</t>
        </is>
      </c>
      <c r="U1447" t="inlineStr">
        <is>
          <t>Não</t>
        </is>
      </c>
    </row>
    <row r="1448">
      <c r="A1448" t="inlineStr">
        <is>
          <t>Frete de venda</t>
        </is>
      </c>
      <c r="B1448" t="inlineStr">
        <is>
          <t>2.01.02 Frete sobre Vendas</t>
        </is>
      </c>
      <c r="C1448" t="inlineStr">
        <is>
          <t>Antes de 2026</t>
        </is>
      </c>
      <c r="D1448" t="inlineStr">
        <is>
          <t>Antes de 2026</t>
        </is>
      </c>
      <c r="E1448" s="28" t="n">
        <v>45783</v>
      </c>
      <c r="F1448" t="inlineStr">
        <is>
          <t>CT-e</t>
        </is>
      </c>
      <c r="G1448" t="inlineStr">
        <is>
          <t>000004146</t>
        </is>
      </c>
      <c r="H1448" t="inlineStr">
        <is>
          <t>R&amp;R TRANSPORTE E LOGISTICA</t>
        </is>
      </c>
      <c r="J1448" s="29" t="n">
        <v>23.92</v>
      </c>
      <c r="K1448" s="29">
        <f>(1-ISNUMBER(SEARCH("556",M1448)))*(O1448*SUMIFS(Premissas!$C$5:$C$44,Premissas!$A$5:$A$44,$A1448,Premissas!$B$5:$B$44,$B1448)+P1448*SUMIFS(Premissas!$D$5:$D$44,Premissas!$A$5:$A$44,$A1448,Premissas!$B$5:$B$44,$B1448))+R1448*SUMIFS(Premissas!$E$5:$E$44,Premissas!$A$5:$A$44,$A1448,Premissas!$B$5:$B$44,$B1448)+S1448*SUMIFS(Premissas!$F$5:$F$44,Premissas!$A$5:$A$44,$A1448,Premissas!$B$5:$B$44,$B1448)</f>
        <v/>
      </c>
      <c r="L1448" s="29">
        <f>J1448-K1448</f>
        <v/>
      </c>
      <c r="M1448" t="inlineStr">
        <is>
          <t>1.350</t>
        </is>
      </c>
      <c r="N1448" t="inlineStr">
        <is>
          <t>Modalidade: 0 - Por conta do remetente | Parte: EMBALATUDO EMBALAGENS LTDA (04.123.070/0001-98)</t>
        </is>
      </c>
      <c r="O1448" s="29" t="n">
        <v>0</v>
      </c>
      <c r="P1448" s="29" t="n">
        <v>0</v>
      </c>
      <c r="Q1448" s="29" t="n">
        <v>0</v>
      </c>
      <c r="R1448" s="29" t="n">
        <v>0</v>
      </c>
      <c r="S1448" s="29" t="n">
        <v>0</v>
      </c>
      <c r="T1448" t="inlineStr">
        <is>
          <t>25250526975620000130570010000041461000000009</t>
        </is>
      </c>
      <c r="U1448" t="inlineStr">
        <is>
          <t>Não</t>
        </is>
      </c>
    </row>
    <row r="1449">
      <c r="A1449" t="inlineStr">
        <is>
          <t>Frete de venda</t>
        </is>
      </c>
      <c r="B1449" t="inlineStr">
        <is>
          <t>2.01.02 Frete sobre Vendas</t>
        </is>
      </c>
      <c r="C1449" t="inlineStr">
        <is>
          <t>Antes de 2026</t>
        </is>
      </c>
      <c r="D1449" t="inlineStr">
        <is>
          <t>Antes de 2026</t>
        </is>
      </c>
      <c r="E1449" s="28" t="n">
        <v>45783</v>
      </c>
      <c r="F1449" t="inlineStr">
        <is>
          <t>CT-e</t>
        </is>
      </c>
      <c r="G1449" t="inlineStr">
        <is>
          <t>000004147</t>
        </is>
      </c>
      <c r="H1449" t="inlineStr">
        <is>
          <t>R&amp;R TRANSPORTE E LOGISTICA</t>
        </is>
      </c>
      <c r="J1449" s="29" t="n">
        <v>24.46</v>
      </c>
      <c r="K1449" s="29">
        <f>(1-ISNUMBER(SEARCH("556",M1449)))*(O1449*SUMIFS(Premissas!$C$5:$C$44,Premissas!$A$5:$A$44,$A1449,Premissas!$B$5:$B$44,$B1449)+P1449*SUMIFS(Premissas!$D$5:$D$44,Premissas!$A$5:$A$44,$A1449,Premissas!$B$5:$B$44,$B1449))+R1449*SUMIFS(Premissas!$E$5:$E$44,Premissas!$A$5:$A$44,$A1449,Premissas!$B$5:$B$44,$B1449)+S1449*SUMIFS(Premissas!$F$5:$F$44,Premissas!$A$5:$A$44,$A1449,Premissas!$B$5:$B$44,$B1449)</f>
        <v/>
      </c>
      <c r="L1449" s="29">
        <f>J1449-K1449</f>
        <v/>
      </c>
      <c r="M1449" t="inlineStr">
        <is>
          <t>1.350</t>
        </is>
      </c>
      <c r="N1449" t="inlineStr">
        <is>
          <t>Modalidade: 0 - Por conta do remetente | Parte: JME - COMERCIO VAREJISTA DE EMBALAGENS LTDA (26.428.844/0001-21)</t>
        </is>
      </c>
      <c r="O1449" s="29" t="n">
        <v>0</v>
      </c>
      <c r="P1449" s="29" t="n">
        <v>0</v>
      </c>
      <c r="Q1449" s="29" t="n">
        <v>0</v>
      </c>
      <c r="R1449" s="29" t="n">
        <v>0</v>
      </c>
      <c r="S1449" s="29" t="n">
        <v>0</v>
      </c>
      <c r="T1449" t="inlineStr">
        <is>
          <t>25250526975620000130570010000041471000000006</t>
        </is>
      </c>
      <c r="U1449" t="inlineStr">
        <is>
          <t>Não</t>
        </is>
      </c>
    </row>
    <row r="1450">
      <c r="A1450" t="inlineStr">
        <is>
          <t>Frete de venda</t>
        </is>
      </c>
      <c r="B1450" t="inlineStr">
        <is>
          <t>2.01.02 Frete sobre Vendas</t>
        </is>
      </c>
      <c r="C1450" t="inlineStr">
        <is>
          <t>Antes de 2026</t>
        </is>
      </c>
      <c r="D1450" t="inlineStr">
        <is>
          <t>Antes de 2026</t>
        </is>
      </c>
      <c r="E1450" s="28" t="n">
        <v>45783</v>
      </c>
      <c r="F1450" t="inlineStr">
        <is>
          <t>CT-e</t>
        </is>
      </c>
      <c r="G1450" t="inlineStr">
        <is>
          <t>000004148</t>
        </is>
      </c>
      <c r="H1450" t="inlineStr">
        <is>
          <t>R&amp;R TRANSPORTE E LOGISTICA</t>
        </is>
      </c>
      <c r="J1450" s="29" t="n">
        <v>23.48</v>
      </c>
      <c r="K1450" s="29">
        <f>(1-ISNUMBER(SEARCH("556",M1450)))*(O1450*SUMIFS(Premissas!$C$5:$C$44,Premissas!$A$5:$A$44,$A1450,Premissas!$B$5:$B$44,$B1450)+P1450*SUMIFS(Premissas!$D$5:$D$44,Premissas!$A$5:$A$44,$A1450,Premissas!$B$5:$B$44,$B1450))+R1450*SUMIFS(Premissas!$E$5:$E$44,Premissas!$A$5:$A$44,$A1450,Premissas!$B$5:$B$44,$B1450)+S1450*SUMIFS(Premissas!$F$5:$F$44,Premissas!$A$5:$A$44,$A1450,Premissas!$B$5:$B$44,$B1450)</f>
        <v/>
      </c>
      <c r="L1450" s="29">
        <f>J1450-K1450</f>
        <v/>
      </c>
      <c r="M1450" t="inlineStr">
        <is>
          <t>1.350</t>
        </is>
      </c>
      <c r="N1450" t="inlineStr">
        <is>
          <t>Modalidade: 0 - Por conta do remetente | Parte: ROSILEIDE DE SOUZA ALVES MRM FRIOS (29.921.695/0001-26)</t>
        </is>
      </c>
      <c r="O1450" s="29" t="n">
        <v>0</v>
      </c>
      <c r="P1450" s="29" t="n">
        <v>0</v>
      </c>
      <c r="Q1450" s="29" t="n">
        <v>0</v>
      </c>
      <c r="R1450" s="29" t="n">
        <v>0</v>
      </c>
      <c r="S1450" s="29" t="n">
        <v>0</v>
      </c>
      <c r="T1450" t="inlineStr">
        <is>
          <t>25250526975620000130570010000041481000000003</t>
        </is>
      </c>
      <c r="U1450" t="inlineStr">
        <is>
          <t>Não</t>
        </is>
      </c>
    </row>
    <row r="1451">
      <c r="A1451" t="inlineStr">
        <is>
          <t>Frete de venda</t>
        </is>
      </c>
      <c r="B1451" t="inlineStr">
        <is>
          <t>2.01.02 Frete sobre Vendas</t>
        </is>
      </c>
      <c r="C1451" t="inlineStr">
        <is>
          <t>Antes de 2026</t>
        </is>
      </c>
      <c r="D1451" t="inlineStr">
        <is>
          <t>Antes de 2026</t>
        </is>
      </c>
      <c r="E1451" s="28" t="n">
        <v>45783</v>
      </c>
      <c r="F1451" t="inlineStr">
        <is>
          <t>CT-e</t>
        </is>
      </c>
      <c r="G1451" t="inlineStr">
        <is>
          <t>000004149</t>
        </is>
      </c>
      <c r="H1451" t="inlineStr">
        <is>
          <t>R&amp;R TRANSPORTE E LOGISTICA</t>
        </is>
      </c>
      <c r="J1451" s="29" t="n">
        <v>34.29</v>
      </c>
      <c r="K1451" s="29">
        <f>(1-ISNUMBER(SEARCH("556",M1451)))*(O1451*SUMIFS(Premissas!$C$5:$C$44,Premissas!$A$5:$A$44,$A1451,Premissas!$B$5:$B$44,$B1451)+P1451*SUMIFS(Premissas!$D$5:$D$44,Premissas!$A$5:$A$44,$A1451,Premissas!$B$5:$B$44,$B1451))+R1451*SUMIFS(Premissas!$E$5:$E$44,Premissas!$A$5:$A$44,$A1451,Premissas!$B$5:$B$44,$B1451)+S1451*SUMIFS(Premissas!$F$5:$F$44,Premissas!$A$5:$A$44,$A1451,Premissas!$B$5:$B$44,$B1451)</f>
        <v/>
      </c>
      <c r="L1451" s="29">
        <f>J1451-K1451</f>
        <v/>
      </c>
      <c r="M1451" t="inlineStr">
        <is>
          <t>1.350</t>
        </is>
      </c>
      <c r="N1451" t="inlineStr">
        <is>
          <t>Modalidade: 0 - Por conta do remetente | Parte: KI FESTAO CONFEITARIA LTDA (02.730.992/0001-38)</t>
        </is>
      </c>
      <c r="O1451" s="29" t="n">
        <v>0</v>
      </c>
      <c r="P1451" s="29" t="n">
        <v>0</v>
      </c>
      <c r="Q1451" s="29" t="n">
        <v>0</v>
      </c>
      <c r="R1451" s="29" t="n">
        <v>0</v>
      </c>
      <c r="S1451" s="29" t="n">
        <v>0</v>
      </c>
      <c r="T1451" t="inlineStr">
        <is>
          <t>25250526975620000130570010000041491000000000</t>
        </is>
      </c>
      <c r="U1451" t="inlineStr">
        <is>
          <t>Não</t>
        </is>
      </c>
    </row>
    <row r="1452">
      <c r="A1452" t="inlineStr">
        <is>
          <t>Frete de venda</t>
        </is>
      </c>
      <c r="B1452" t="inlineStr">
        <is>
          <t>2.01.02 Frete sobre Vendas</t>
        </is>
      </c>
      <c r="C1452" t="inlineStr">
        <is>
          <t>Antes de 2026</t>
        </is>
      </c>
      <c r="D1452" t="inlineStr">
        <is>
          <t>Antes de 2026</t>
        </is>
      </c>
      <c r="E1452" s="28" t="n">
        <v>45783</v>
      </c>
      <c r="F1452" t="inlineStr">
        <is>
          <t>CT-e</t>
        </is>
      </c>
      <c r="G1452" t="inlineStr">
        <is>
          <t>000004150</t>
        </is>
      </c>
      <c r="H1452" t="inlineStr">
        <is>
          <t>R&amp;R TRANSPORTE E LOGISTICA</t>
        </is>
      </c>
      <c r="J1452" s="29" t="n">
        <v>32.78</v>
      </c>
      <c r="K1452" s="29">
        <f>(1-ISNUMBER(SEARCH("556",M1452)))*(O1452*SUMIFS(Premissas!$C$5:$C$44,Premissas!$A$5:$A$44,$A1452,Premissas!$B$5:$B$44,$B1452)+P1452*SUMIFS(Premissas!$D$5:$D$44,Premissas!$A$5:$A$44,$A1452,Premissas!$B$5:$B$44,$B1452))+R1452*SUMIFS(Premissas!$E$5:$E$44,Premissas!$A$5:$A$44,$A1452,Premissas!$B$5:$B$44,$B1452)+S1452*SUMIFS(Premissas!$F$5:$F$44,Premissas!$A$5:$A$44,$A1452,Premissas!$B$5:$B$44,$B1452)</f>
        <v/>
      </c>
      <c r="L1452" s="29">
        <f>J1452-K1452</f>
        <v/>
      </c>
      <c r="M1452" t="inlineStr">
        <is>
          <t>1.350</t>
        </is>
      </c>
      <c r="N1452" t="inlineStr">
        <is>
          <t>Modalidade: 0 - Por conta do remetente | Parte: MeL UTILIDADES DO LAR LTDA (52.927.112/0001-96)</t>
        </is>
      </c>
      <c r="O1452" s="29" t="n">
        <v>0</v>
      </c>
      <c r="P1452" s="29" t="n">
        <v>0</v>
      </c>
      <c r="Q1452" s="29" t="n">
        <v>0</v>
      </c>
      <c r="R1452" s="29" t="n">
        <v>0</v>
      </c>
      <c r="S1452" s="29" t="n">
        <v>0</v>
      </c>
      <c r="T1452" t="inlineStr">
        <is>
          <t>25250526975620000130570010000041501000000001</t>
        </is>
      </c>
      <c r="U1452" t="inlineStr">
        <is>
          <t>Não</t>
        </is>
      </c>
    </row>
    <row r="1453">
      <c r="A1453" t="inlineStr">
        <is>
          <t>Frete de venda</t>
        </is>
      </c>
      <c r="B1453" t="inlineStr">
        <is>
          <t>2.01.02 Frete sobre Vendas</t>
        </is>
      </c>
      <c r="C1453" t="inlineStr">
        <is>
          <t>Antes de 2026</t>
        </is>
      </c>
      <c r="D1453" t="inlineStr">
        <is>
          <t>Antes de 2026</t>
        </is>
      </c>
      <c r="E1453" s="28" t="n">
        <v>45783</v>
      </c>
      <c r="F1453" t="inlineStr">
        <is>
          <t>CT-e</t>
        </is>
      </c>
      <c r="G1453" t="inlineStr">
        <is>
          <t>000004151</t>
        </is>
      </c>
      <c r="H1453" t="inlineStr">
        <is>
          <t>R&amp;R TRANSPORTE E LOGISTICA</t>
        </is>
      </c>
      <c r="J1453" s="29" t="n">
        <v>41.98</v>
      </c>
      <c r="K1453" s="29">
        <f>(1-ISNUMBER(SEARCH("556",M1453)))*(O1453*SUMIFS(Premissas!$C$5:$C$44,Premissas!$A$5:$A$44,$A1453,Premissas!$B$5:$B$44,$B1453)+P1453*SUMIFS(Premissas!$D$5:$D$44,Premissas!$A$5:$A$44,$A1453,Premissas!$B$5:$B$44,$B1453))+R1453*SUMIFS(Premissas!$E$5:$E$44,Premissas!$A$5:$A$44,$A1453,Premissas!$B$5:$B$44,$B1453)+S1453*SUMIFS(Premissas!$F$5:$F$44,Premissas!$A$5:$A$44,$A1453,Premissas!$B$5:$B$44,$B1453)</f>
        <v/>
      </c>
      <c r="L1453" s="29">
        <f>J1453-K1453</f>
        <v/>
      </c>
      <c r="M1453" t="inlineStr">
        <is>
          <t>1.350</t>
        </is>
      </c>
      <c r="N1453" t="inlineStr">
        <is>
          <t>Modalidade: 0 - Por conta do remetente | Parte: PINGO EMBALAGENS LTDA (02.959.832/0001-65)</t>
        </is>
      </c>
      <c r="O1453" s="29" t="n">
        <v>0</v>
      </c>
      <c r="P1453" s="29" t="n">
        <v>0</v>
      </c>
      <c r="Q1453" s="29" t="n">
        <v>0</v>
      </c>
      <c r="R1453" s="29" t="n">
        <v>0</v>
      </c>
      <c r="S1453" s="29" t="n">
        <v>0</v>
      </c>
      <c r="T1453" t="inlineStr">
        <is>
          <t>25250526975620000130570010000041511000000009</t>
        </is>
      </c>
      <c r="U1453" t="inlineStr">
        <is>
          <t>Não</t>
        </is>
      </c>
    </row>
    <row r="1454">
      <c r="A1454" t="inlineStr">
        <is>
          <t>Frete de venda</t>
        </is>
      </c>
      <c r="B1454" t="inlineStr">
        <is>
          <t>2.01.02 Frete sobre Vendas</t>
        </is>
      </c>
      <c r="C1454" t="inlineStr">
        <is>
          <t>Antes de 2026</t>
        </is>
      </c>
      <c r="D1454" t="inlineStr">
        <is>
          <t>Antes de 2026</t>
        </is>
      </c>
      <c r="E1454" s="28" t="n">
        <v>45783</v>
      </c>
      <c r="F1454" t="inlineStr">
        <is>
          <t>CT-e</t>
        </is>
      </c>
      <c r="G1454" t="inlineStr">
        <is>
          <t>000004152</t>
        </is>
      </c>
      <c r="H1454" t="inlineStr">
        <is>
          <t>R&amp;R TRANSPORTE E LOGISTICA</t>
        </is>
      </c>
      <c r="J1454" s="29" t="n">
        <v>18.66</v>
      </c>
      <c r="K1454" s="29">
        <f>(1-ISNUMBER(SEARCH("556",M1454)))*(O1454*SUMIFS(Premissas!$C$5:$C$44,Premissas!$A$5:$A$44,$A1454,Premissas!$B$5:$B$44,$B1454)+P1454*SUMIFS(Premissas!$D$5:$D$44,Premissas!$A$5:$A$44,$A1454,Premissas!$B$5:$B$44,$B1454))+R1454*SUMIFS(Premissas!$E$5:$E$44,Premissas!$A$5:$A$44,$A1454,Premissas!$B$5:$B$44,$B1454)+S1454*SUMIFS(Premissas!$F$5:$F$44,Premissas!$A$5:$A$44,$A1454,Premissas!$B$5:$B$44,$B1454)</f>
        <v/>
      </c>
      <c r="L1454" s="29">
        <f>J1454-K1454</f>
        <v/>
      </c>
      <c r="M1454" t="inlineStr">
        <is>
          <t>1.350</t>
        </is>
      </c>
      <c r="N1454" t="inlineStr">
        <is>
          <t>Modalidade: 0 - Por conta do remetente | Parte: LBS COMERCIO DE EMBALAGNES LTDA (60.065.852/0001-99)</t>
        </is>
      </c>
      <c r="O1454" s="29" t="n">
        <v>0</v>
      </c>
      <c r="P1454" s="29" t="n">
        <v>0</v>
      </c>
      <c r="Q1454" s="29" t="n">
        <v>0</v>
      </c>
      <c r="R1454" s="29" t="n">
        <v>0</v>
      </c>
      <c r="S1454" s="29" t="n">
        <v>0</v>
      </c>
      <c r="T1454" t="inlineStr">
        <is>
          <t>25250526975620000130570010000041521000000006</t>
        </is>
      </c>
      <c r="U1454" t="inlineStr">
        <is>
          <t>Não</t>
        </is>
      </c>
    </row>
    <row r="1455">
      <c r="A1455" t="inlineStr">
        <is>
          <t>Frete de venda</t>
        </is>
      </c>
      <c r="B1455" t="inlineStr">
        <is>
          <t>2.01.02 Frete sobre Vendas</t>
        </is>
      </c>
      <c r="C1455" t="inlineStr">
        <is>
          <t>Antes de 2026</t>
        </is>
      </c>
      <c r="D1455" t="inlineStr">
        <is>
          <t>Antes de 2026</t>
        </is>
      </c>
      <c r="E1455" s="28" t="n">
        <v>45783</v>
      </c>
      <c r="F1455" t="inlineStr">
        <is>
          <t>CT-e</t>
        </is>
      </c>
      <c r="G1455" t="inlineStr">
        <is>
          <t>000004153</t>
        </is>
      </c>
      <c r="H1455" t="inlineStr">
        <is>
          <t>R&amp;R TRANSPORTE E LOGISTICA</t>
        </is>
      </c>
      <c r="J1455" s="29" t="n">
        <v>27.77</v>
      </c>
      <c r="K1455" s="29">
        <f>(1-ISNUMBER(SEARCH("556",M1455)))*(O1455*SUMIFS(Premissas!$C$5:$C$44,Premissas!$A$5:$A$44,$A1455,Premissas!$B$5:$B$44,$B1455)+P1455*SUMIFS(Premissas!$D$5:$D$44,Premissas!$A$5:$A$44,$A1455,Premissas!$B$5:$B$44,$B1455))+R1455*SUMIFS(Premissas!$E$5:$E$44,Premissas!$A$5:$A$44,$A1455,Premissas!$B$5:$B$44,$B1455)+S1455*SUMIFS(Premissas!$F$5:$F$44,Premissas!$A$5:$A$44,$A1455,Premissas!$B$5:$B$44,$B1455)</f>
        <v/>
      </c>
      <c r="L1455" s="29">
        <f>J1455-K1455</f>
        <v/>
      </c>
      <c r="M1455" t="inlineStr">
        <is>
          <t>1.350</t>
        </is>
      </c>
      <c r="N1455" t="inlineStr">
        <is>
          <t>Modalidade: 0 - Por conta do remetente | Parte: DEO PRIME COMERCIO DE PRODUTOS DE HIGIENE E LIMPEZA LTDA (41.843.812/0001-86)</t>
        </is>
      </c>
      <c r="O1455" s="29" t="n">
        <v>0</v>
      </c>
      <c r="P1455" s="29" t="n">
        <v>0</v>
      </c>
      <c r="Q1455" s="29" t="n">
        <v>0</v>
      </c>
      <c r="R1455" s="29" t="n">
        <v>0</v>
      </c>
      <c r="S1455" s="29" t="n">
        <v>0</v>
      </c>
      <c r="T1455" t="inlineStr">
        <is>
          <t>25250526975620000130570010000041531000000003</t>
        </is>
      </c>
      <c r="U1455" t="inlineStr">
        <is>
          <t>Não</t>
        </is>
      </c>
    </row>
    <row r="1456">
      <c r="A1456" t="inlineStr">
        <is>
          <t>Frete de venda</t>
        </is>
      </c>
      <c r="B1456" t="inlineStr">
        <is>
          <t>2.01.02 Frete sobre Vendas</t>
        </is>
      </c>
      <c r="C1456" t="inlineStr">
        <is>
          <t>Antes de 2026</t>
        </is>
      </c>
      <c r="D1456" t="inlineStr">
        <is>
          <t>Antes de 2026</t>
        </is>
      </c>
      <c r="E1456" s="28" t="n">
        <v>45784</v>
      </c>
      <c r="F1456" t="inlineStr">
        <is>
          <t>CT-e</t>
        </is>
      </c>
      <c r="G1456" t="inlineStr">
        <is>
          <t>000004155</t>
        </is>
      </c>
      <c r="H1456" t="inlineStr">
        <is>
          <t>R&amp;R TRANSPORTE E LOGISTICA</t>
        </is>
      </c>
      <c r="J1456" s="29" t="n">
        <v>51.39</v>
      </c>
      <c r="K1456" s="29">
        <f>(1-ISNUMBER(SEARCH("556",M1456)))*(O1456*SUMIFS(Premissas!$C$5:$C$44,Premissas!$A$5:$A$44,$A1456,Premissas!$B$5:$B$44,$B1456)+P1456*SUMIFS(Premissas!$D$5:$D$44,Premissas!$A$5:$A$44,$A1456,Premissas!$B$5:$B$44,$B1456))+R1456*SUMIFS(Premissas!$E$5:$E$44,Premissas!$A$5:$A$44,$A1456,Premissas!$B$5:$B$44,$B1456)+S1456*SUMIFS(Premissas!$F$5:$F$44,Premissas!$A$5:$A$44,$A1456,Premissas!$B$5:$B$44,$B1456)</f>
        <v/>
      </c>
      <c r="L1456" s="29">
        <f>J1456-K1456</f>
        <v/>
      </c>
      <c r="M1456" t="inlineStr">
        <is>
          <t>1.350</t>
        </is>
      </c>
      <c r="N1456" t="inlineStr">
        <is>
          <t>Modalidade: 0 - Por conta do remetente | Parte: POPULAR COMERCIO DE MERCADORIAS EM GERAL LTDA (32.323.706/0001-80)</t>
        </is>
      </c>
      <c r="O1456" s="29" t="n">
        <v>0</v>
      </c>
      <c r="P1456" s="29" t="n">
        <v>0</v>
      </c>
      <c r="Q1456" s="29" t="n">
        <v>0</v>
      </c>
      <c r="R1456" s="29" t="n">
        <v>0</v>
      </c>
      <c r="S1456" s="29" t="n">
        <v>0</v>
      </c>
      <c r="T1456" t="inlineStr">
        <is>
          <t>25250526975620000130570010000041551000000008</t>
        </is>
      </c>
      <c r="U1456" t="inlineStr">
        <is>
          <t>Não</t>
        </is>
      </c>
    </row>
    <row r="1457">
      <c r="A1457" t="inlineStr">
        <is>
          <t>Frete de venda</t>
        </is>
      </c>
      <c r="B1457" t="inlineStr">
        <is>
          <t>2.01.02 Frete sobre Vendas</t>
        </is>
      </c>
      <c r="C1457" t="inlineStr">
        <is>
          <t>Antes de 2026</t>
        </is>
      </c>
      <c r="D1457" t="inlineStr">
        <is>
          <t>Antes de 2026</t>
        </is>
      </c>
      <c r="E1457" s="28" t="n">
        <v>45784</v>
      </c>
      <c r="F1457" t="inlineStr">
        <is>
          <t>CT-e</t>
        </is>
      </c>
      <c r="G1457" t="inlineStr">
        <is>
          <t>000004156</t>
        </is>
      </c>
      <c r="H1457" t="inlineStr">
        <is>
          <t>R&amp;R TRANSPORTE E LOGISTICA</t>
        </is>
      </c>
      <c r="J1457" s="29" t="n">
        <v>59.97</v>
      </c>
      <c r="K1457" s="29">
        <f>(1-ISNUMBER(SEARCH("556",M1457)))*(O1457*SUMIFS(Premissas!$C$5:$C$44,Premissas!$A$5:$A$44,$A1457,Premissas!$B$5:$B$44,$B1457)+P1457*SUMIFS(Premissas!$D$5:$D$44,Premissas!$A$5:$A$44,$A1457,Premissas!$B$5:$B$44,$B1457))+R1457*SUMIFS(Premissas!$E$5:$E$44,Premissas!$A$5:$A$44,$A1457,Premissas!$B$5:$B$44,$B1457)+S1457*SUMIFS(Premissas!$F$5:$F$44,Premissas!$A$5:$A$44,$A1457,Premissas!$B$5:$B$44,$B1457)</f>
        <v/>
      </c>
      <c r="L1457" s="29">
        <f>J1457-K1457</f>
        <v/>
      </c>
      <c r="M1457" t="inlineStr">
        <is>
          <t>1.350</t>
        </is>
      </c>
      <c r="N1457" t="inlineStr">
        <is>
          <t>Modalidade: 0 - Por conta do remetente | Parte: R ALBUQUERQUE COMERCIO DE ARTIGOS DE ARMARINHO LTDA (57.701.763/0001-87)</t>
        </is>
      </c>
      <c r="O1457" s="29" t="n">
        <v>0</v>
      </c>
      <c r="P1457" s="29" t="n">
        <v>0</v>
      </c>
      <c r="Q1457" s="29" t="n">
        <v>0</v>
      </c>
      <c r="R1457" s="29" t="n">
        <v>0</v>
      </c>
      <c r="S1457" s="29" t="n">
        <v>0</v>
      </c>
      <c r="T1457" t="inlineStr">
        <is>
          <t>25250526975620000130570010000041561000000005</t>
        </is>
      </c>
      <c r="U1457" t="inlineStr">
        <is>
          <t>Não</t>
        </is>
      </c>
    </row>
    <row r="1458">
      <c r="A1458" t="inlineStr">
        <is>
          <t>Frete de venda</t>
        </is>
      </c>
      <c r="B1458" t="inlineStr">
        <is>
          <t>2.01.02 Frete sobre Vendas</t>
        </is>
      </c>
      <c r="C1458" t="inlineStr">
        <is>
          <t>Antes de 2026</t>
        </is>
      </c>
      <c r="D1458" t="inlineStr">
        <is>
          <t>Antes de 2026</t>
        </is>
      </c>
      <c r="E1458" s="28" t="n">
        <v>45784</v>
      </c>
      <c r="F1458" t="inlineStr">
        <is>
          <t>CT-e</t>
        </is>
      </c>
      <c r="G1458" t="inlineStr">
        <is>
          <t>000004157</t>
        </is>
      </c>
      <c r="H1458" t="inlineStr">
        <is>
          <t>R&amp;R TRANSPORTE E LOGISTICA</t>
        </is>
      </c>
      <c r="J1458" s="29" t="n">
        <v>49.49</v>
      </c>
      <c r="K1458" s="29">
        <f>(1-ISNUMBER(SEARCH("556",M1458)))*(O1458*SUMIFS(Premissas!$C$5:$C$44,Premissas!$A$5:$A$44,$A1458,Premissas!$B$5:$B$44,$B1458)+P1458*SUMIFS(Premissas!$D$5:$D$44,Premissas!$A$5:$A$44,$A1458,Premissas!$B$5:$B$44,$B1458))+R1458*SUMIFS(Premissas!$E$5:$E$44,Premissas!$A$5:$A$44,$A1458,Premissas!$B$5:$B$44,$B1458)+S1458*SUMIFS(Premissas!$F$5:$F$44,Premissas!$A$5:$A$44,$A1458,Premissas!$B$5:$B$44,$B1458)</f>
        <v/>
      </c>
      <c r="L1458" s="29">
        <f>J1458-K1458</f>
        <v/>
      </c>
      <c r="M1458" t="inlineStr">
        <is>
          <t>1.350</t>
        </is>
      </c>
      <c r="N1458" t="inlineStr">
        <is>
          <t>Modalidade: 0 - Por conta do remetente | Parte: NEW PLASTICOS DISTRIBUIDORA LTDA (38.438.642/0001-40)</t>
        </is>
      </c>
      <c r="O1458" s="29" t="n">
        <v>0</v>
      </c>
      <c r="P1458" s="29" t="n">
        <v>0</v>
      </c>
      <c r="Q1458" s="29" t="n">
        <v>0</v>
      </c>
      <c r="R1458" s="29" t="n">
        <v>0</v>
      </c>
      <c r="S1458" s="29" t="n">
        <v>0</v>
      </c>
      <c r="T1458" t="inlineStr">
        <is>
          <t>25250526975620000130570010000041571000000002</t>
        </is>
      </c>
      <c r="U1458" t="inlineStr">
        <is>
          <t>Não</t>
        </is>
      </c>
    </row>
    <row r="1459">
      <c r="A1459" t="inlineStr">
        <is>
          <t>Frete de venda</t>
        </is>
      </c>
      <c r="B1459" t="inlineStr">
        <is>
          <t>2.01.02 Frete sobre Vendas</t>
        </is>
      </c>
      <c r="C1459" t="inlineStr">
        <is>
          <t>Antes de 2026</t>
        </is>
      </c>
      <c r="D1459" t="inlineStr">
        <is>
          <t>Antes de 2026</t>
        </is>
      </c>
      <c r="E1459" s="28" t="n">
        <v>45784</v>
      </c>
      <c r="F1459" t="inlineStr">
        <is>
          <t>CT-e</t>
        </is>
      </c>
      <c r="G1459" t="inlineStr">
        <is>
          <t>000004158</t>
        </is>
      </c>
      <c r="H1459" t="inlineStr">
        <is>
          <t>R&amp;R TRANSPORTE E LOGISTICA</t>
        </is>
      </c>
      <c r="J1459" s="29" t="n">
        <v>38.92</v>
      </c>
      <c r="K1459" s="29">
        <f>(1-ISNUMBER(SEARCH("556",M1459)))*(O1459*SUMIFS(Premissas!$C$5:$C$44,Premissas!$A$5:$A$44,$A1459,Premissas!$B$5:$B$44,$B1459)+P1459*SUMIFS(Premissas!$D$5:$D$44,Premissas!$A$5:$A$44,$A1459,Premissas!$B$5:$B$44,$B1459))+R1459*SUMIFS(Premissas!$E$5:$E$44,Premissas!$A$5:$A$44,$A1459,Premissas!$B$5:$B$44,$B1459)+S1459*SUMIFS(Premissas!$F$5:$F$44,Premissas!$A$5:$A$44,$A1459,Premissas!$B$5:$B$44,$B1459)</f>
        <v/>
      </c>
      <c r="L1459" s="29">
        <f>J1459-K1459</f>
        <v/>
      </c>
      <c r="M1459" t="inlineStr">
        <is>
          <t>1.350</t>
        </is>
      </c>
      <c r="N1459" t="inlineStr">
        <is>
          <t>Modalidade: 0 - Por conta do remetente | Parte: K C O F DO NASCIMENTO (53.959.331/0001-10)</t>
        </is>
      </c>
      <c r="O1459" s="29" t="n">
        <v>0</v>
      </c>
      <c r="P1459" s="29" t="n">
        <v>0</v>
      </c>
      <c r="Q1459" s="29" t="n">
        <v>0</v>
      </c>
      <c r="R1459" s="29" t="n">
        <v>0</v>
      </c>
      <c r="S1459" s="29" t="n">
        <v>0</v>
      </c>
      <c r="T1459" t="inlineStr">
        <is>
          <t>25250526975620000130570010000041581000000000</t>
        </is>
      </c>
      <c r="U1459" t="inlineStr">
        <is>
          <t>Não</t>
        </is>
      </c>
    </row>
    <row r="1460">
      <c r="A1460" t="inlineStr">
        <is>
          <t>Frete de venda</t>
        </is>
      </c>
      <c r="B1460" t="inlineStr">
        <is>
          <t>2.01.02 Frete sobre Vendas</t>
        </is>
      </c>
      <c r="C1460" t="inlineStr">
        <is>
          <t>Antes de 2026</t>
        </is>
      </c>
      <c r="D1460" t="inlineStr">
        <is>
          <t>Antes de 2026</t>
        </is>
      </c>
      <c r="E1460" s="28" t="n">
        <v>45784</v>
      </c>
      <c r="F1460" t="inlineStr">
        <is>
          <t>CT-e</t>
        </is>
      </c>
      <c r="G1460" t="inlineStr">
        <is>
          <t>000004159</t>
        </is>
      </c>
      <c r="H1460" t="inlineStr">
        <is>
          <t>R&amp;R TRANSPORTE E LOGISTICA</t>
        </is>
      </c>
      <c r="J1460" s="29" t="n">
        <v>62.09</v>
      </c>
      <c r="K1460" s="29">
        <f>(1-ISNUMBER(SEARCH("556",M1460)))*(O1460*SUMIFS(Premissas!$C$5:$C$44,Premissas!$A$5:$A$44,$A1460,Premissas!$B$5:$B$44,$B1460)+P1460*SUMIFS(Premissas!$D$5:$D$44,Premissas!$A$5:$A$44,$A1460,Premissas!$B$5:$B$44,$B1460))+R1460*SUMIFS(Premissas!$E$5:$E$44,Premissas!$A$5:$A$44,$A1460,Premissas!$B$5:$B$44,$B1460)+S1460*SUMIFS(Premissas!$F$5:$F$44,Premissas!$A$5:$A$44,$A1460,Premissas!$B$5:$B$44,$B1460)</f>
        <v/>
      </c>
      <c r="L1460" s="29">
        <f>J1460-K1460</f>
        <v/>
      </c>
      <c r="M1460" t="inlineStr">
        <is>
          <t>1.350</t>
        </is>
      </c>
      <c r="N1460" t="inlineStr">
        <is>
          <t>Modalidade: 0 - Por conta do remetente | Parte: GALERIA DESCARTAVEIS E FERRAGENS LTDA (15.151.041/0001-56)</t>
        </is>
      </c>
      <c r="O1460" s="29" t="n">
        <v>0</v>
      </c>
      <c r="P1460" s="29" t="n">
        <v>0</v>
      </c>
      <c r="Q1460" s="29" t="n">
        <v>0</v>
      </c>
      <c r="R1460" s="29" t="n">
        <v>0</v>
      </c>
      <c r="S1460" s="29" t="n">
        <v>0</v>
      </c>
      <c r="T1460" t="inlineStr">
        <is>
          <t>25250526975620000130570010000041591000000007</t>
        </is>
      </c>
      <c r="U1460" t="inlineStr">
        <is>
          <t>Não</t>
        </is>
      </c>
    </row>
    <row r="1461">
      <c r="A1461" t="inlineStr">
        <is>
          <t>Frete de venda</t>
        </is>
      </c>
      <c r="B1461" t="inlineStr">
        <is>
          <t>2.01.02 Frete sobre Vendas</t>
        </is>
      </c>
      <c r="C1461" t="inlineStr">
        <is>
          <t>Antes de 2026</t>
        </is>
      </c>
      <c r="D1461" t="inlineStr">
        <is>
          <t>Antes de 2026</t>
        </is>
      </c>
      <c r="E1461" s="28" t="n">
        <v>45784</v>
      </c>
      <c r="F1461" t="inlineStr">
        <is>
          <t>CT-e</t>
        </is>
      </c>
      <c r="G1461" t="inlineStr">
        <is>
          <t>000004160</t>
        </is>
      </c>
      <c r="H1461" t="inlineStr">
        <is>
          <t>R&amp;R TRANSPORTE E LOGISTICA</t>
        </is>
      </c>
      <c r="J1461" s="29" t="n">
        <v>62.09</v>
      </c>
      <c r="K1461" s="29">
        <f>(1-ISNUMBER(SEARCH("556",M1461)))*(O1461*SUMIFS(Premissas!$C$5:$C$44,Premissas!$A$5:$A$44,$A1461,Premissas!$B$5:$B$44,$B1461)+P1461*SUMIFS(Premissas!$D$5:$D$44,Premissas!$A$5:$A$44,$A1461,Premissas!$B$5:$B$44,$B1461))+R1461*SUMIFS(Premissas!$E$5:$E$44,Premissas!$A$5:$A$44,$A1461,Premissas!$B$5:$B$44,$B1461)+S1461*SUMIFS(Premissas!$F$5:$F$44,Premissas!$A$5:$A$44,$A1461,Premissas!$B$5:$B$44,$B1461)</f>
        <v/>
      </c>
      <c r="L1461" s="29">
        <f>J1461-K1461</f>
        <v/>
      </c>
      <c r="M1461" t="inlineStr">
        <is>
          <t>1.350</t>
        </is>
      </c>
      <c r="N1461" t="inlineStr">
        <is>
          <t>Modalidade: 0 - Por conta do remetente | Parte: B A FONTES LTDA (23.108.379/0001-53)</t>
        </is>
      </c>
      <c r="O1461" s="29" t="n">
        <v>0</v>
      </c>
      <c r="P1461" s="29" t="n">
        <v>0</v>
      </c>
      <c r="Q1461" s="29" t="n">
        <v>0</v>
      </c>
      <c r="R1461" s="29" t="n">
        <v>0</v>
      </c>
      <c r="S1461" s="29" t="n">
        <v>0</v>
      </c>
      <c r="T1461" t="inlineStr">
        <is>
          <t>25250526975620000130570010000041601000000008</t>
        </is>
      </c>
      <c r="U1461" t="inlineStr">
        <is>
          <t>Não</t>
        </is>
      </c>
    </row>
    <row r="1462">
      <c r="A1462" t="inlineStr">
        <is>
          <t>Frete de venda</t>
        </is>
      </c>
      <c r="B1462" t="inlineStr">
        <is>
          <t>2.01.02 Frete sobre Vendas</t>
        </is>
      </c>
      <c r="C1462" t="inlineStr">
        <is>
          <t>Antes de 2026</t>
        </is>
      </c>
      <c r="D1462" t="inlineStr">
        <is>
          <t>Antes de 2026</t>
        </is>
      </c>
      <c r="E1462" s="28" t="n">
        <v>45784</v>
      </c>
      <c r="F1462" t="inlineStr">
        <is>
          <t>CT-e</t>
        </is>
      </c>
      <c r="G1462" t="inlineStr">
        <is>
          <t>000004161</t>
        </is>
      </c>
      <c r="H1462" t="inlineStr">
        <is>
          <t>R&amp;R TRANSPORTE E LOGISTICA</t>
        </is>
      </c>
      <c r="J1462" s="29" t="n">
        <v>40.74</v>
      </c>
      <c r="K1462" s="29">
        <f>(1-ISNUMBER(SEARCH("556",M1462)))*(O1462*SUMIFS(Premissas!$C$5:$C$44,Premissas!$A$5:$A$44,$A1462,Premissas!$B$5:$B$44,$B1462)+P1462*SUMIFS(Premissas!$D$5:$D$44,Premissas!$A$5:$A$44,$A1462,Premissas!$B$5:$B$44,$B1462))+R1462*SUMIFS(Premissas!$E$5:$E$44,Premissas!$A$5:$A$44,$A1462,Premissas!$B$5:$B$44,$B1462)+S1462*SUMIFS(Premissas!$F$5:$F$44,Premissas!$A$5:$A$44,$A1462,Premissas!$B$5:$B$44,$B1462)</f>
        <v/>
      </c>
      <c r="L1462" s="29">
        <f>J1462-K1462</f>
        <v/>
      </c>
      <c r="M1462" t="inlineStr">
        <is>
          <t>1.350</t>
        </is>
      </c>
      <c r="N1462" t="inlineStr">
        <is>
          <t>Modalidade: 0 - Por conta do remetente | Parte: PORTUGAL COMERCIO DE PRODUTOS DESCARTAVEIS LTDA (83.349.563/0003-89)</t>
        </is>
      </c>
      <c r="O1462" s="29" t="n">
        <v>0</v>
      </c>
      <c r="P1462" s="29" t="n">
        <v>0</v>
      </c>
      <c r="Q1462" s="29" t="n">
        <v>0</v>
      </c>
      <c r="R1462" s="29" t="n">
        <v>0</v>
      </c>
      <c r="S1462" s="29" t="n">
        <v>0</v>
      </c>
      <c r="T1462" t="inlineStr">
        <is>
          <t>25250526975620000130570010000041611000000005</t>
        </is>
      </c>
      <c r="U1462" t="inlineStr">
        <is>
          <t>Não</t>
        </is>
      </c>
    </row>
    <row r="1463">
      <c r="A1463" t="inlineStr">
        <is>
          <t>Frete de venda</t>
        </is>
      </c>
      <c r="B1463" t="inlineStr">
        <is>
          <t>2.01.02 Frete sobre Vendas</t>
        </is>
      </c>
      <c r="C1463" t="inlineStr">
        <is>
          <t>Antes de 2026</t>
        </is>
      </c>
      <c r="D1463" t="inlineStr">
        <is>
          <t>Antes de 2026</t>
        </is>
      </c>
      <c r="E1463" s="28" t="n">
        <v>45784</v>
      </c>
      <c r="F1463" t="inlineStr">
        <is>
          <t>CT-e</t>
        </is>
      </c>
      <c r="G1463" t="inlineStr">
        <is>
          <t>000004162</t>
        </is>
      </c>
      <c r="H1463" t="inlineStr">
        <is>
          <t>R&amp;R TRANSPORTE E LOGISTICA</t>
        </is>
      </c>
      <c r="J1463" s="29" t="n">
        <v>46.56</v>
      </c>
      <c r="K1463" s="29">
        <f>(1-ISNUMBER(SEARCH("556",M1463)))*(O1463*SUMIFS(Premissas!$C$5:$C$44,Premissas!$A$5:$A$44,$A1463,Premissas!$B$5:$B$44,$B1463)+P1463*SUMIFS(Premissas!$D$5:$D$44,Premissas!$A$5:$A$44,$A1463,Premissas!$B$5:$B$44,$B1463))+R1463*SUMIFS(Premissas!$E$5:$E$44,Premissas!$A$5:$A$44,$A1463,Premissas!$B$5:$B$44,$B1463)+S1463*SUMIFS(Premissas!$F$5:$F$44,Premissas!$A$5:$A$44,$A1463,Premissas!$B$5:$B$44,$B1463)</f>
        <v/>
      </c>
      <c r="L1463" s="29">
        <f>J1463-K1463</f>
        <v/>
      </c>
      <c r="M1463" t="inlineStr">
        <is>
          <t>1.350</t>
        </is>
      </c>
      <c r="N1463" t="inlineStr">
        <is>
          <t>Modalidade: 0 - Por conta do remetente | Parte: PORTUGAL COMERCIO DE PRODUTOS DESCARTAVEIS LTDA (83.349.563/0001-17)</t>
        </is>
      </c>
      <c r="O1463" s="29" t="n">
        <v>0</v>
      </c>
      <c r="P1463" s="29" t="n">
        <v>0</v>
      </c>
      <c r="Q1463" s="29" t="n">
        <v>0</v>
      </c>
      <c r="R1463" s="29" t="n">
        <v>0</v>
      </c>
      <c r="S1463" s="29" t="n">
        <v>0</v>
      </c>
      <c r="T1463" t="inlineStr">
        <is>
          <t>25250526975620000130570010000041621000000002</t>
        </is>
      </c>
      <c r="U1463" t="inlineStr">
        <is>
          <t>Não</t>
        </is>
      </c>
    </row>
    <row r="1464">
      <c r="A1464" t="inlineStr">
        <is>
          <t>Frete de venda</t>
        </is>
      </c>
      <c r="B1464" t="inlineStr">
        <is>
          <t>2.01.02 Frete sobre Vendas</t>
        </is>
      </c>
      <c r="C1464" t="inlineStr">
        <is>
          <t>Antes de 2026</t>
        </is>
      </c>
      <c r="D1464" t="inlineStr">
        <is>
          <t>Antes de 2026</t>
        </is>
      </c>
      <c r="E1464" s="28" t="n">
        <v>45784</v>
      </c>
      <c r="F1464" t="inlineStr">
        <is>
          <t>CT-e</t>
        </is>
      </c>
      <c r="G1464" t="inlineStr">
        <is>
          <t>000004163</t>
        </is>
      </c>
      <c r="H1464" t="inlineStr">
        <is>
          <t>R&amp;R TRANSPORTE E LOGISTICA</t>
        </is>
      </c>
      <c r="J1464" s="29" t="n">
        <v>1118.92</v>
      </c>
      <c r="K1464" s="29">
        <f>(1-ISNUMBER(SEARCH("556",M1464)))*(O1464*SUMIFS(Premissas!$C$5:$C$44,Premissas!$A$5:$A$44,$A1464,Premissas!$B$5:$B$44,$B1464)+P1464*SUMIFS(Premissas!$D$5:$D$44,Premissas!$A$5:$A$44,$A1464,Premissas!$B$5:$B$44,$B1464))+R1464*SUMIFS(Premissas!$E$5:$E$44,Premissas!$A$5:$A$44,$A1464,Premissas!$B$5:$B$44,$B1464)+S1464*SUMIFS(Premissas!$F$5:$F$44,Premissas!$A$5:$A$44,$A1464,Premissas!$B$5:$B$44,$B1464)</f>
        <v/>
      </c>
      <c r="L1464" s="29">
        <f>J1464-K1464</f>
        <v/>
      </c>
      <c r="M1464" t="inlineStr">
        <is>
          <t>1.350</t>
        </is>
      </c>
      <c r="N1464" t="inlineStr">
        <is>
          <t>Modalidade: 0 - Por conta do remetente | Parte: VINCO DISTRIBUIDORA DE EMBALAGENS LTDA (55.333.385/0001-09)</t>
        </is>
      </c>
      <c r="O1464" s="29" t="n">
        <v>0</v>
      </c>
      <c r="P1464" s="29" t="n">
        <v>0</v>
      </c>
      <c r="Q1464" s="29" t="n">
        <v>0</v>
      </c>
      <c r="R1464" s="29" t="n">
        <v>0</v>
      </c>
      <c r="S1464" s="29" t="n">
        <v>0</v>
      </c>
      <c r="T1464" t="inlineStr">
        <is>
          <t>25250526975620000130570010000041631000000000</t>
        </is>
      </c>
      <c r="U1464" t="inlineStr">
        <is>
          <t>Não</t>
        </is>
      </c>
    </row>
    <row r="1465">
      <c r="A1465" t="inlineStr">
        <is>
          <t>Frete de venda</t>
        </is>
      </c>
      <c r="B1465" t="inlineStr">
        <is>
          <t>2.01.02 Frete sobre Vendas</t>
        </is>
      </c>
      <c r="C1465" t="inlineStr">
        <is>
          <t>Antes de 2026</t>
        </is>
      </c>
      <c r="D1465" t="inlineStr">
        <is>
          <t>Antes de 2026</t>
        </is>
      </c>
      <c r="E1465" s="28" t="n">
        <v>45784</v>
      </c>
      <c r="F1465" t="inlineStr">
        <is>
          <t>CT-e</t>
        </is>
      </c>
      <c r="G1465" t="inlineStr">
        <is>
          <t>000004164</t>
        </is>
      </c>
      <c r="H1465" t="inlineStr">
        <is>
          <t>R&amp;R TRANSPORTE E LOGISTICA</t>
        </is>
      </c>
      <c r="J1465" s="29" t="n">
        <v>16.55</v>
      </c>
      <c r="K1465" s="29">
        <f>(1-ISNUMBER(SEARCH("556",M1465)))*(O1465*SUMIFS(Premissas!$C$5:$C$44,Premissas!$A$5:$A$44,$A1465,Premissas!$B$5:$B$44,$B1465)+P1465*SUMIFS(Premissas!$D$5:$D$44,Premissas!$A$5:$A$44,$A1465,Premissas!$B$5:$B$44,$B1465))+R1465*SUMIFS(Premissas!$E$5:$E$44,Premissas!$A$5:$A$44,$A1465,Premissas!$B$5:$B$44,$B1465)+S1465*SUMIFS(Premissas!$F$5:$F$44,Premissas!$A$5:$A$44,$A1465,Premissas!$B$5:$B$44,$B1465)</f>
        <v/>
      </c>
      <c r="L1465" s="29">
        <f>J1465-K1465</f>
        <v/>
      </c>
      <c r="M1465" t="inlineStr">
        <is>
          <t>1.350</t>
        </is>
      </c>
      <c r="N1465" t="inlineStr">
        <is>
          <t>Modalidade: 0 - Por conta do remetente | Parte: LIDER INDUSTRIA E COMERCIO LTDA (45.762.979/0001-73)</t>
        </is>
      </c>
      <c r="O1465" s="29" t="n">
        <v>0</v>
      </c>
      <c r="P1465" s="29" t="n">
        <v>0</v>
      </c>
      <c r="Q1465" s="29" t="n">
        <v>0</v>
      </c>
      <c r="R1465" s="29" t="n">
        <v>0</v>
      </c>
      <c r="S1465" s="29" t="n">
        <v>0</v>
      </c>
      <c r="T1465" t="inlineStr">
        <is>
          <t>25250526975620000130570010000041641000000007</t>
        </is>
      </c>
      <c r="U1465" t="inlineStr">
        <is>
          <t>Não</t>
        </is>
      </c>
    </row>
    <row r="1466">
      <c r="A1466" t="inlineStr">
        <is>
          <t>Frete de venda</t>
        </is>
      </c>
      <c r="B1466" t="inlineStr">
        <is>
          <t>2.01.02 Frete sobre Vendas</t>
        </is>
      </c>
      <c r="C1466" t="inlineStr">
        <is>
          <t>Antes de 2026</t>
        </is>
      </c>
      <c r="D1466" t="inlineStr">
        <is>
          <t>Antes de 2026</t>
        </is>
      </c>
      <c r="E1466" s="28" t="n">
        <v>45786</v>
      </c>
      <c r="F1466" t="inlineStr">
        <is>
          <t>CT-e</t>
        </is>
      </c>
      <c r="G1466" t="inlineStr">
        <is>
          <t>000004169</t>
        </is>
      </c>
      <c r="H1466" t="inlineStr">
        <is>
          <t>R&amp;R TRANSPORTE E LOGISTICA</t>
        </is>
      </c>
      <c r="J1466" s="29" t="n">
        <v>58.77</v>
      </c>
      <c r="K1466" s="29">
        <f>(1-ISNUMBER(SEARCH("556",M1466)))*(O1466*SUMIFS(Premissas!$C$5:$C$44,Premissas!$A$5:$A$44,$A1466,Premissas!$B$5:$B$44,$B1466)+P1466*SUMIFS(Premissas!$D$5:$D$44,Premissas!$A$5:$A$44,$A1466,Premissas!$B$5:$B$44,$B1466))+R1466*SUMIFS(Premissas!$E$5:$E$44,Premissas!$A$5:$A$44,$A1466,Premissas!$B$5:$B$44,$B1466)+S1466*SUMIFS(Premissas!$F$5:$F$44,Premissas!$A$5:$A$44,$A1466,Premissas!$B$5:$B$44,$B1466)</f>
        <v/>
      </c>
      <c r="L1466" s="29">
        <f>J1466-K1466</f>
        <v/>
      </c>
      <c r="M1466" t="inlineStr">
        <is>
          <t>1.350</t>
        </is>
      </c>
      <c r="N1466" t="inlineStr">
        <is>
          <t>Modalidade: 0 - Por conta do remetente | Parte: WELLINGTON PEREIRA DE SOUZA (13.354.012/0001-66)</t>
        </is>
      </c>
      <c r="O1466" s="29" t="n">
        <v>0</v>
      </c>
      <c r="P1466" s="29" t="n">
        <v>0</v>
      </c>
      <c r="Q1466" s="29" t="n">
        <v>0</v>
      </c>
      <c r="R1466" s="29" t="n">
        <v>0</v>
      </c>
      <c r="S1466" s="29" t="n">
        <v>0</v>
      </c>
      <c r="T1466" t="inlineStr">
        <is>
          <t>25250526975620000130570010000041691000000003</t>
        </is>
      </c>
      <c r="U1466" t="inlineStr">
        <is>
          <t>Não</t>
        </is>
      </c>
    </row>
    <row r="1467">
      <c r="A1467" t="inlineStr">
        <is>
          <t>Frete de venda</t>
        </is>
      </c>
      <c r="B1467" t="inlineStr">
        <is>
          <t>2.01.02 Frete sobre Vendas</t>
        </is>
      </c>
      <c r="C1467" t="inlineStr">
        <is>
          <t>Antes de 2026</t>
        </is>
      </c>
      <c r="D1467" t="inlineStr">
        <is>
          <t>Antes de 2026</t>
        </is>
      </c>
      <c r="E1467" s="28" t="n">
        <v>45786</v>
      </c>
      <c r="F1467" t="inlineStr">
        <is>
          <t>CT-e</t>
        </is>
      </c>
      <c r="G1467" t="inlineStr">
        <is>
          <t>000004170</t>
        </is>
      </c>
      <c r="H1467" t="inlineStr">
        <is>
          <t>R&amp;R TRANSPORTE E LOGISTICA</t>
        </is>
      </c>
      <c r="J1467" s="29" t="n">
        <v>55.35</v>
      </c>
      <c r="K1467" s="29">
        <f>(1-ISNUMBER(SEARCH("556",M1467)))*(O1467*SUMIFS(Premissas!$C$5:$C$44,Premissas!$A$5:$A$44,$A1467,Premissas!$B$5:$B$44,$B1467)+P1467*SUMIFS(Premissas!$D$5:$D$44,Premissas!$A$5:$A$44,$A1467,Premissas!$B$5:$B$44,$B1467))+R1467*SUMIFS(Premissas!$E$5:$E$44,Premissas!$A$5:$A$44,$A1467,Premissas!$B$5:$B$44,$B1467)+S1467*SUMIFS(Premissas!$F$5:$F$44,Premissas!$A$5:$A$44,$A1467,Premissas!$B$5:$B$44,$B1467)</f>
        <v/>
      </c>
      <c r="L1467" s="29">
        <f>J1467-K1467</f>
        <v/>
      </c>
      <c r="M1467" t="inlineStr">
        <is>
          <t>1.350</t>
        </is>
      </c>
      <c r="N1467" t="inlineStr">
        <is>
          <t>Modalidade: 0 - Por conta do remetente | Parte: QUEIROZ E SANTOS EMBALAGENS DESCARTAVEIS LTDA (16.971.797/0001-04)</t>
        </is>
      </c>
      <c r="O1467" s="29" t="n">
        <v>0</v>
      </c>
      <c r="P1467" s="29" t="n">
        <v>0</v>
      </c>
      <c r="Q1467" s="29" t="n">
        <v>0</v>
      </c>
      <c r="R1467" s="29" t="n">
        <v>0</v>
      </c>
      <c r="S1467" s="29" t="n">
        <v>0</v>
      </c>
      <c r="T1467" t="inlineStr">
        <is>
          <t>25250526975620000130570010000041701000000004</t>
        </is>
      </c>
      <c r="U1467" t="inlineStr">
        <is>
          <t>Não</t>
        </is>
      </c>
    </row>
    <row r="1468">
      <c r="A1468" t="inlineStr">
        <is>
          <t>Frete de venda</t>
        </is>
      </c>
      <c r="B1468" t="inlineStr">
        <is>
          <t>2.01.02 Frete sobre Vendas</t>
        </is>
      </c>
      <c r="C1468" t="inlineStr">
        <is>
          <t>Antes de 2026</t>
        </is>
      </c>
      <c r="D1468" t="inlineStr">
        <is>
          <t>Antes de 2026</t>
        </is>
      </c>
      <c r="E1468" s="28" t="n">
        <v>45786</v>
      </c>
      <c r="F1468" t="inlineStr">
        <is>
          <t>CT-e</t>
        </is>
      </c>
      <c r="G1468" t="inlineStr">
        <is>
          <t>000004171</t>
        </is>
      </c>
      <c r="H1468" t="inlineStr">
        <is>
          <t>R&amp;R TRANSPORTE E LOGISTICA</t>
        </is>
      </c>
      <c r="J1468" s="29" t="n">
        <v>64.63</v>
      </c>
      <c r="K1468" s="29">
        <f>(1-ISNUMBER(SEARCH("556",M1468)))*(O1468*SUMIFS(Premissas!$C$5:$C$44,Premissas!$A$5:$A$44,$A1468,Premissas!$B$5:$B$44,$B1468)+P1468*SUMIFS(Premissas!$D$5:$D$44,Premissas!$A$5:$A$44,$A1468,Premissas!$B$5:$B$44,$B1468))+R1468*SUMIFS(Premissas!$E$5:$E$44,Premissas!$A$5:$A$44,$A1468,Premissas!$B$5:$B$44,$B1468)+S1468*SUMIFS(Premissas!$F$5:$F$44,Premissas!$A$5:$A$44,$A1468,Premissas!$B$5:$B$44,$B1468)</f>
        <v/>
      </c>
      <c r="L1468" s="29">
        <f>J1468-K1468</f>
        <v/>
      </c>
      <c r="M1468" t="inlineStr">
        <is>
          <t>1.350</t>
        </is>
      </c>
      <c r="N1468" t="inlineStr">
        <is>
          <t>Modalidade: 0 - Por conta do remetente | Parte: FIO FORTE SJB COMERCIO DE MATERIAL DE CONSTRUCAO LTDA (44.806.116/0003-50)</t>
        </is>
      </c>
      <c r="O1468" s="29" t="n">
        <v>0</v>
      </c>
      <c r="P1468" s="29" t="n">
        <v>0</v>
      </c>
      <c r="Q1468" s="29" t="n">
        <v>0</v>
      </c>
      <c r="R1468" s="29" t="n">
        <v>0</v>
      </c>
      <c r="S1468" s="29" t="n">
        <v>0</v>
      </c>
      <c r="T1468" t="inlineStr">
        <is>
          <t>25250526975620000130570010000041711000000001</t>
        </is>
      </c>
      <c r="U1468" t="inlineStr">
        <is>
          <t>Não</t>
        </is>
      </c>
    </row>
    <row r="1469">
      <c r="A1469" t="inlineStr">
        <is>
          <t>Frete de venda</t>
        </is>
      </c>
      <c r="B1469" t="inlineStr">
        <is>
          <t>2.01.02 Frete sobre Vendas</t>
        </is>
      </c>
      <c r="C1469" t="inlineStr">
        <is>
          <t>Antes de 2026</t>
        </is>
      </c>
      <c r="D1469" t="inlineStr">
        <is>
          <t>Antes de 2026</t>
        </is>
      </c>
      <c r="E1469" s="28" t="n">
        <v>45786</v>
      </c>
      <c r="F1469" t="inlineStr">
        <is>
          <t>CT-e</t>
        </is>
      </c>
      <c r="G1469" t="inlineStr">
        <is>
          <t>000004172</t>
        </is>
      </c>
      <c r="H1469" t="inlineStr">
        <is>
          <t>R&amp;R TRANSPORTE E LOGISTICA</t>
        </is>
      </c>
      <c r="J1469" s="29" t="n">
        <v>62.91</v>
      </c>
      <c r="K1469" s="29">
        <f>(1-ISNUMBER(SEARCH("556",M1469)))*(O1469*SUMIFS(Premissas!$C$5:$C$44,Premissas!$A$5:$A$44,$A1469,Premissas!$B$5:$B$44,$B1469)+P1469*SUMIFS(Premissas!$D$5:$D$44,Premissas!$A$5:$A$44,$A1469,Premissas!$B$5:$B$44,$B1469))+R1469*SUMIFS(Premissas!$E$5:$E$44,Premissas!$A$5:$A$44,$A1469,Premissas!$B$5:$B$44,$B1469)+S1469*SUMIFS(Premissas!$F$5:$F$44,Premissas!$A$5:$A$44,$A1469,Premissas!$B$5:$B$44,$B1469)</f>
        <v/>
      </c>
      <c r="L1469" s="29">
        <f>J1469-K1469</f>
        <v/>
      </c>
      <c r="M1469" t="inlineStr">
        <is>
          <t>1.350</t>
        </is>
      </c>
      <c r="N1469" t="inlineStr">
        <is>
          <t>Modalidade: 0 - Por conta do remetente | Parte: ALL CLEAN COMERCIO DE PRODUTOS DE LIMPEZA E DESCARTAVEIS... (19.719.607/0001-54)</t>
        </is>
      </c>
      <c r="O1469" s="29" t="n">
        <v>0</v>
      </c>
      <c r="P1469" s="29" t="n">
        <v>0</v>
      </c>
      <c r="Q1469" s="29" t="n">
        <v>0</v>
      </c>
      <c r="R1469" s="29" t="n">
        <v>0</v>
      </c>
      <c r="S1469" s="29" t="n">
        <v>0</v>
      </c>
      <c r="T1469" t="inlineStr">
        <is>
          <t>25250526975620000130570010000041721000000009</t>
        </is>
      </c>
      <c r="U1469" t="inlineStr">
        <is>
          <t>Não</t>
        </is>
      </c>
    </row>
    <row r="1470">
      <c r="A1470" t="inlineStr">
        <is>
          <t>Frete de venda</t>
        </is>
      </c>
      <c r="B1470" t="inlineStr">
        <is>
          <t>2.01.02 Frete sobre Vendas</t>
        </is>
      </c>
      <c r="C1470" t="inlineStr">
        <is>
          <t>Antes de 2026</t>
        </is>
      </c>
      <c r="D1470" t="inlineStr">
        <is>
          <t>Antes de 2026</t>
        </is>
      </c>
      <c r="E1470" s="28" t="n">
        <v>45788</v>
      </c>
      <c r="F1470" t="inlineStr">
        <is>
          <t>CT-e</t>
        </is>
      </c>
      <c r="G1470" t="inlineStr">
        <is>
          <t>000004175</t>
        </is>
      </c>
      <c r="H1470" t="inlineStr">
        <is>
          <t>R&amp;R TRANSPORTE E LOGISTICA</t>
        </is>
      </c>
      <c r="J1470" s="29" t="n">
        <v>150</v>
      </c>
      <c r="K1470" s="29">
        <f>(1-ISNUMBER(SEARCH("556",M1470)))*(O1470*SUMIFS(Premissas!$C$5:$C$44,Premissas!$A$5:$A$44,$A1470,Premissas!$B$5:$B$44,$B1470)+P1470*SUMIFS(Premissas!$D$5:$D$44,Premissas!$A$5:$A$44,$A1470,Premissas!$B$5:$B$44,$B1470))+R1470*SUMIFS(Premissas!$E$5:$E$44,Premissas!$A$5:$A$44,$A1470,Premissas!$B$5:$B$44,$B1470)+S1470*SUMIFS(Premissas!$F$5:$F$44,Premissas!$A$5:$A$44,$A1470,Premissas!$B$5:$B$44,$B1470)</f>
        <v/>
      </c>
      <c r="L1470" s="29">
        <f>J1470-K1470</f>
        <v/>
      </c>
      <c r="M1470" t="inlineStr">
        <is>
          <t>1.350</t>
        </is>
      </c>
      <c r="N1470" t="inlineStr">
        <is>
          <t>Modalidade: 0 - Por conta do remetente | Parte: C. H. DA SILVA COMERCIO E ATACADO DAS EMBALAGENS LTDA (31.205.146/0001-05)</t>
        </is>
      </c>
      <c r="O1470" s="29" t="n">
        <v>0</v>
      </c>
      <c r="P1470" s="29" t="n">
        <v>0</v>
      </c>
      <c r="Q1470" s="29" t="n">
        <v>0</v>
      </c>
      <c r="R1470" s="29" t="n">
        <v>0</v>
      </c>
      <c r="S1470" s="29" t="n">
        <v>0</v>
      </c>
      <c r="T1470" t="inlineStr">
        <is>
          <t>25250526975620000130570010000041751000000000</t>
        </is>
      </c>
      <c r="U1470" t="inlineStr">
        <is>
          <t>Não</t>
        </is>
      </c>
    </row>
    <row r="1471">
      <c r="A1471" t="inlineStr">
        <is>
          <t>Frete de venda</t>
        </is>
      </c>
      <c r="B1471" t="inlineStr">
        <is>
          <t>2.01.02 Frete sobre Vendas</t>
        </is>
      </c>
      <c r="C1471" t="inlineStr">
        <is>
          <t>Antes de 2026</t>
        </is>
      </c>
      <c r="D1471" t="inlineStr">
        <is>
          <t>Antes de 2026</t>
        </is>
      </c>
      <c r="E1471" s="28" t="n">
        <v>45788</v>
      </c>
      <c r="F1471" t="inlineStr">
        <is>
          <t>CT-e</t>
        </is>
      </c>
      <c r="G1471" t="inlineStr">
        <is>
          <t>000004176</t>
        </is>
      </c>
      <c r="H1471" t="inlineStr">
        <is>
          <t>R&amp;R TRANSPORTE E LOGISTICA</t>
        </is>
      </c>
      <c r="J1471" s="29" t="n">
        <v>150</v>
      </c>
      <c r="K1471" s="29">
        <f>(1-ISNUMBER(SEARCH("556",M1471)))*(O1471*SUMIFS(Premissas!$C$5:$C$44,Premissas!$A$5:$A$44,$A1471,Premissas!$B$5:$B$44,$B1471)+P1471*SUMIFS(Premissas!$D$5:$D$44,Premissas!$A$5:$A$44,$A1471,Premissas!$B$5:$B$44,$B1471))+R1471*SUMIFS(Premissas!$E$5:$E$44,Premissas!$A$5:$A$44,$A1471,Premissas!$B$5:$B$44,$B1471)+S1471*SUMIFS(Premissas!$F$5:$F$44,Premissas!$A$5:$A$44,$A1471,Premissas!$B$5:$B$44,$B1471)</f>
        <v/>
      </c>
      <c r="L1471" s="29">
        <f>J1471-K1471</f>
        <v/>
      </c>
      <c r="M1471" t="inlineStr">
        <is>
          <t>1.350</t>
        </is>
      </c>
      <c r="N1471" t="inlineStr">
        <is>
          <t>Modalidade: 0 - Por conta do remetente | Parte: GALPLAST EMBALAGENS LTDA (24.273.591/0001-39)</t>
        </is>
      </c>
      <c r="O1471" s="29" t="n">
        <v>0</v>
      </c>
      <c r="P1471" s="29" t="n">
        <v>0</v>
      </c>
      <c r="Q1471" s="29" t="n">
        <v>0</v>
      </c>
      <c r="R1471" s="29" t="n">
        <v>0</v>
      </c>
      <c r="S1471" s="29" t="n">
        <v>0</v>
      </c>
      <c r="T1471" t="inlineStr">
        <is>
          <t>25250526975620000130570010000041761000000008</t>
        </is>
      </c>
      <c r="U1471" t="inlineStr">
        <is>
          <t>Não</t>
        </is>
      </c>
    </row>
    <row r="1472">
      <c r="A1472" t="inlineStr">
        <is>
          <t>Frete de venda</t>
        </is>
      </c>
      <c r="B1472" t="inlineStr">
        <is>
          <t>2.01.02 Frete sobre Vendas</t>
        </is>
      </c>
      <c r="C1472" t="inlineStr">
        <is>
          <t>Antes de 2026</t>
        </is>
      </c>
      <c r="D1472" t="inlineStr">
        <is>
          <t>Antes de 2026</t>
        </is>
      </c>
      <c r="E1472" s="28" t="n">
        <v>45788</v>
      </c>
      <c r="F1472" t="inlineStr">
        <is>
          <t>CT-e</t>
        </is>
      </c>
      <c r="G1472" t="inlineStr">
        <is>
          <t>000004177</t>
        </is>
      </c>
      <c r="H1472" t="inlineStr">
        <is>
          <t>R&amp;R TRANSPORTE E LOGISTICA</t>
        </is>
      </c>
      <c r="J1472" s="29" t="n">
        <v>400</v>
      </c>
      <c r="K1472" s="29">
        <f>(1-ISNUMBER(SEARCH("556",M1472)))*(O1472*SUMIFS(Premissas!$C$5:$C$44,Premissas!$A$5:$A$44,$A1472,Premissas!$B$5:$B$44,$B1472)+P1472*SUMIFS(Premissas!$D$5:$D$44,Premissas!$A$5:$A$44,$A1472,Premissas!$B$5:$B$44,$B1472))+R1472*SUMIFS(Premissas!$E$5:$E$44,Premissas!$A$5:$A$44,$A1472,Premissas!$B$5:$B$44,$B1472)+S1472*SUMIFS(Premissas!$F$5:$F$44,Premissas!$A$5:$A$44,$A1472,Premissas!$B$5:$B$44,$B1472)</f>
        <v/>
      </c>
      <c r="L1472" s="29">
        <f>J1472-K1472</f>
        <v/>
      </c>
      <c r="M1472" t="inlineStr">
        <is>
          <t>1.350</t>
        </is>
      </c>
      <c r="N1472" t="inlineStr">
        <is>
          <t>Modalidade: 0 - Por conta do remetente | Parte: CAEL DISTRIBUIDORA DE PRODUTOS DE HIGIENE E LIMPEZA LTDA (15.129.402/0001-68)</t>
        </is>
      </c>
      <c r="O1472" s="29" t="n">
        <v>0</v>
      </c>
      <c r="P1472" s="29" t="n">
        <v>0</v>
      </c>
      <c r="Q1472" s="29" t="n">
        <v>0</v>
      </c>
      <c r="R1472" s="29" t="n">
        <v>0</v>
      </c>
      <c r="S1472" s="29" t="n">
        <v>0</v>
      </c>
      <c r="T1472" t="inlineStr">
        <is>
          <t>25250526975620000130570010000041771000000005</t>
        </is>
      </c>
      <c r="U1472" t="inlineStr">
        <is>
          <t>Não</t>
        </is>
      </c>
    </row>
    <row r="1473">
      <c r="A1473" t="inlineStr">
        <is>
          <t>Frete de venda</t>
        </is>
      </c>
      <c r="B1473" t="inlineStr">
        <is>
          <t>2.01.02 Frete sobre Vendas</t>
        </is>
      </c>
      <c r="C1473" t="inlineStr">
        <is>
          <t>Antes de 2026</t>
        </is>
      </c>
      <c r="D1473" t="inlineStr">
        <is>
          <t>Antes de 2026</t>
        </is>
      </c>
      <c r="E1473" s="28" t="n">
        <v>45789</v>
      </c>
      <c r="F1473" t="inlineStr">
        <is>
          <t>CT-e</t>
        </is>
      </c>
      <c r="G1473" t="inlineStr">
        <is>
          <t>000004178</t>
        </is>
      </c>
      <c r="H1473" t="inlineStr">
        <is>
          <t>R&amp;R TRANSPORTE E LOGISTICA</t>
        </is>
      </c>
      <c r="J1473" s="29" t="n">
        <v>2484</v>
      </c>
      <c r="K1473" s="29">
        <f>(1-ISNUMBER(SEARCH("556",M1473)))*(O1473*SUMIFS(Premissas!$C$5:$C$44,Premissas!$A$5:$A$44,$A1473,Premissas!$B$5:$B$44,$B1473)+P1473*SUMIFS(Premissas!$D$5:$D$44,Premissas!$A$5:$A$44,$A1473,Premissas!$B$5:$B$44,$B1473))+R1473*SUMIFS(Premissas!$E$5:$E$44,Premissas!$A$5:$A$44,$A1473,Premissas!$B$5:$B$44,$B1473)+S1473*SUMIFS(Premissas!$F$5:$F$44,Premissas!$A$5:$A$44,$A1473,Premissas!$B$5:$B$44,$B1473)</f>
        <v/>
      </c>
      <c r="L1473" s="29">
        <f>J1473-K1473</f>
        <v/>
      </c>
      <c r="M1473" t="inlineStr">
        <is>
          <t>1.350</t>
        </is>
      </c>
      <c r="N1473" t="inlineStr">
        <is>
          <t>Modalidade: 0 - Por conta do remetente | Parte: TREVO COMERCIO DE EMBALAGENS LTDA (08.178.510/0001-65)</t>
        </is>
      </c>
      <c r="O1473" s="29" t="n">
        <v>0</v>
      </c>
      <c r="P1473" s="29" t="n">
        <v>0</v>
      </c>
      <c r="Q1473" s="29" t="n">
        <v>0</v>
      </c>
      <c r="R1473" s="29" t="n">
        <v>0</v>
      </c>
      <c r="S1473" s="29" t="n">
        <v>0</v>
      </c>
      <c r="T1473" t="inlineStr">
        <is>
          <t>25250526975620000130570010000041781000000002</t>
        </is>
      </c>
      <c r="U1473" t="inlineStr">
        <is>
          <t>Não</t>
        </is>
      </c>
    </row>
    <row r="1474">
      <c r="A1474" t="inlineStr">
        <is>
          <t>Frete de venda</t>
        </is>
      </c>
      <c r="B1474" t="inlineStr">
        <is>
          <t>2.01.02 Frete sobre Vendas</t>
        </is>
      </c>
      <c r="C1474" t="inlineStr">
        <is>
          <t>Antes de 2026</t>
        </is>
      </c>
      <c r="D1474" t="inlineStr">
        <is>
          <t>Antes de 2026</t>
        </is>
      </c>
      <c r="E1474" s="28" t="n">
        <v>45789</v>
      </c>
      <c r="F1474" t="inlineStr">
        <is>
          <t>CT-e</t>
        </is>
      </c>
      <c r="G1474" t="inlineStr">
        <is>
          <t>000004179</t>
        </is>
      </c>
      <c r="H1474" t="inlineStr">
        <is>
          <t>R&amp;R TRANSPORTE E LOGISTICA</t>
        </is>
      </c>
      <c r="J1474" s="29" t="n">
        <v>140</v>
      </c>
      <c r="K1474" s="29">
        <f>(1-ISNUMBER(SEARCH("556",M1474)))*(O1474*SUMIFS(Premissas!$C$5:$C$44,Premissas!$A$5:$A$44,$A1474,Premissas!$B$5:$B$44,$B1474)+P1474*SUMIFS(Premissas!$D$5:$D$44,Premissas!$A$5:$A$44,$A1474,Premissas!$B$5:$B$44,$B1474))+R1474*SUMIFS(Premissas!$E$5:$E$44,Premissas!$A$5:$A$44,$A1474,Premissas!$B$5:$B$44,$B1474)+S1474*SUMIFS(Premissas!$F$5:$F$44,Premissas!$A$5:$A$44,$A1474,Premissas!$B$5:$B$44,$B1474)</f>
        <v/>
      </c>
      <c r="L1474" s="29">
        <f>J1474-K1474</f>
        <v/>
      </c>
      <c r="M1474" t="inlineStr">
        <is>
          <t>1.350</t>
        </is>
      </c>
      <c r="N1474" t="inlineStr">
        <is>
          <t>Modalidade: 0 - Por conta do remetente | Parte: CAEL DISTRIBUIDORA DE PRODUTOS DE HIGIENE E LIMPEZA LTDA (15.129.402/0001-68)</t>
        </is>
      </c>
      <c r="O1474" s="29" t="n">
        <v>0</v>
      </c>
      <c r="P1474" s="29" t="n">
        <v>0</v>
      </c>
      <c r="Q1474" s="29" t="n">
        <v>0</v>
      </c>
      <c r="R1474" s="29" t="n">
        <v>0</v>
      </c>
      <c r="S1474" s="29" t="n">
        <v>0</v>
      </c>
      <c r="T1474" t="inlineStr">
        <is>
          <t>25250526975620000130570010000041791000000000</t>
        </is>
      </c>
      <c r="U1474" t="inlineStr">
        <is>
          <t>Não</t>
        </is>
      </c>
    </row>
    <row r="1475">
      <c r="A1475" t="inlineStr">
        <is>
          <t>Frete de venda</t>
        </is>
      </c>
      <c r="B1475" t="inlineStr">
        <is>
          <t>2.01.02 Frete sobre Vendas</t>
        </is>
      </c>
      <c r="C1475" t="inlineStr">
        <is>
          <t>Antes de 2026</t>
        </is>
      </c>
      <c r="D1475" t="inlineStr">
        <is>
          <t>Antes de 2026</t>
        </is>
      </c>
      <c r="E1475" s="28" t="n">
        <v>45789</v>
      </c>
      <c r="F1475" t="inlineStr">
        <is>
          <t>CT-e</t>
        </is>
      </c>
      <c r="G1475" t="inlineStr">
        <is>
          <t>000004181</t>
        </is>
      </c>
      <c r="H1475" t="inlineStr">
        <is>
          <t>R&amp;R TRANSPORTE E LOGISTICA</t>
        </is>
      </c>
      <c r="J1475" s="29" t="n">
        <v>1400</v>
      </c>
      <c r="K1475" s="29">
        <f>(1-ISNUMBER(SEARCH("556",M1475)))*(O1475*SUMIFS(Premissas!$C$5:$C$44,Premissas!$A$5:$A$44,$A1475,Premissas!$B$5:$B$44,$B1475)+P1475*SUMIFS(Premissas!$D$5:$D$44,Premissas!$A$5:$A$44,$A1475,Premissas!$B$5:$B$44,$B1475))+R1475*SUMIFS(Premissas!$E$5:$E$44,Premissas!$A$5:$A$44,$A1475,Premissas!$B$5:$B$44,$B1475)+S1475*SUMIFS(Premissas!$F$5:$F$44,Premissas!$A$5:$A$44,$A1475,Premissas!$B$5:$B$44,$B1475)</f>
        <v/>
      </c>
      <c r="L1475" s="29">
        <f>J1475-K1475</f>
        <v/>
      </c>
      <c r="M1475" t="inlineStr">
        <is>
          <t>1.350</t>
        </is>
      </c>
      <c r="N1475" t="inlineStr">
        <is>
          <t>Modalidade: 0 - Por conta do remetente | Parte: DML DISTRIBUIDORA DE ALIMENTOS E EMBALAGENS LTDA (07.412.776/0001-68)</t>
        </is>
      </c>
      <c r="O1475" s="29" t="n">
        <v>0</v>
      </c>
      <c r="P1475" s="29" t="n">
        <v>0</v>
      </c>
      <c r="Q1475" s="29" t="n">
        <v>0</v>
      </c>
      <c r="R1475" s="29" t="n">
        <v>0</v>
      </c>
      <c r="S1475" s="29" t="n">
        <v>0</v>
      </c>
      <c r="T1475" t="inlineStr">
        <is>
          <t>25250526975620000130570010000041811000000008</t>
        </is>
      </c>
      <c r="U1475" t="inlineStr">
        <is>
          <t>Não</t>
        </is>
      </c>
    </row>
    <row r="1476">
      <c r="A1476" t="inlineStr">
        <is>
          <t>Frete de venda</t>
        </is>
      </c>
      <c r="B1476" t="inlineStr">
        <is>
          <t>2.01.02 Frete sobre Vendas</t>
        </is>
      </c>
      <c r="C1476" t="inlineStr">
        <is>
          <t>Antes de 2026</t>
        </is>
      </c>
      <c r="D1476" t="inlineStr">
        <is>
          <t>Antes de 2026</t>
        </is>
      </c>
      <c r="E1476" s="28" t="n">
        <v>45790</v>
      </c>
      <c r="F1476" t="inlineStr">
        <is>
          <t>CT-e</t>
        </is>
      </c>
      <c r="G1476" t="inlineStr">
        <is>
          <t>000004198</t>
        </is>
      </c>
      <c r="H1476" t="inlineStr">
        <is>
          <t>R&amp;R TRANSPORTE E LOGISTICA</t>
        </is>
      </c>
      <c r="J1476" s="29" t="n">
        <v>19.94</v>
      </c>
      <c r="K1476" s="29">
        <f>(1-ISNUMBER(SEARCH("556",M1476)))*(O1476*SUMIFS(Premissas!$C$5:$C$44,Premissas!$A$5:$A$44,$A1476,Premissas!$B$5:$B$44,$B1476)+P1476*SUMIFS(Premissas!$D$5:$D$44,Premissas!$A$5:$A$44,$A1476,Premissas!$B$5:$B$44,$B1476))+R1476*SUMIFS(Premissas!$E$5:$E$44,Premissas!$A$5:$A$44,$A1476,Premissas!$B$5:$B$44,$B1476)+S1476*SUMIFS(Premissas!$F$5:$F$44,Premissas!$A$5:$A$44,$A1476,Premissas!$B$5:$B$44,$B1476)</f>
        <v/>
      </c>
      <c r="L1476" s="29">
        <f>J1476-K1476</f>
        <v/>
      </c>
      <c r="M1476" t="inlineStr">
        <is>
          <t>1.350</t>
        </is>
      </c>
      <c r="N1476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476" s="29" t="n">
        <v>0</v>
      </c>
      <c r="P1476" s="29" t="n">
        <v>0</v>
      </c>
      <c r="Q1476" s="29" t="n">
        <v>0</v>
      </c>
      <c r="R1476" s="29" t="n">
        <v>0</v>
      </c>
      <c r="S1476" s="29" t="n">
        <v>0</v>
      </c>
      <c r="T1476" t="inlineStr">
        <is>
          <t>25250526975620000130570010000041981000000005</t>
        </is>
      </c>
      <c r="U1476" t="inlineStr">
        <is>
          <t>Não</t>
        </is>
      </c>
    </row>
    <row r="1477">
      <c r="A1477" t="inlineStr">
        <is>
          <t>Frete de venda</t>
        </is>
      </c>
      <c r="B1477" t="inlineStr">
        <is>
          <t>2.01.02 Frete sobre Vendas</t>
        </is>
      </c>
      <c r="C1477" t="inlineStr">
        <is>
          <t>Antes de 2026</t>
        </is>
      </c>
      <c r="D1477" t="inlineStr">
        <is>
          <t>Antes de 2026</t>
        </is>
      </c>
      <c r="E1477" s="28" t="n">
        <v>45790</v>
      </c>
      <c r="F1477" t="inlineStr">
        <is>
          <t>CT-e</t>
        </is>
      </c>
      <c r="G1477" t="inlineStr">
        <is>
          <t>000004199</t>
        </is>
      </c>
      <c r="H1477" t="inlineStr">
        <is>
          <t>R&amp;R TRANSPORTE E LOGISTICA</t>
        </is>
      </c>
      <c r="J1477" s="29" t="n">
        <v>23.21</v>
      </c>
      <c r="K1477" s="29">
        <f>(1-ISNUMBER(SEARCH("556",M1477)))*(O1477*SUMIFS(Premissas!$C$5:$C$44,Premissas!$A$5:$A$44,$A1477,Premissas!$B$5:$B$44,$B1477)+P1477*SUMIFS(Premissas!$D$5:$D$44,Premissas!$A$5:$A$44,$A1477,Premissas!$B$5:$B$44,$B1477))+R1477*SUMIFS(Premissas!$E$5:$E$44,Premissas!$A$5:$A$44,$A1477,Premissas!$B$5:$B$44,$B1477)+S1477*SUMIFS(Premissas!$F$5:$F$44,Premissas!$A$5:$A$44,$A1477,Premissas!$B$5:$B$44,$B1477)</f>
        <v/>
      </c>
      <c r="L1477" s="29">
        <f>J1477-K1477</f>
        <v/>
      </c>
      <c r="M1477" t="inlineStr">
        <is>
          <t>1.350</t>
        </is>
      </c>
      <c r="N1477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477" s="29" t="n">
        <v>0</v>
      </c>
      <c r="P1477" s="29" t="n">
        <v>0</v>
      </c>
      <c r="Q1477" s="29" t="n">
        <v>0</v>
      </c>
      <c r="R1477" s="29" t="n">
        <v>0</v>
      </c>
      <c r="S1477" s="29" t="n">
        <v>0</v>
      </c>
      <c r="T1477" t="inlineStr">
        <is>
          <t>25250526975620000130570010000041991000000002</t>
        </is>
      </c>
      <c r="U1477" t="inlineStr">
        <is>
          <t>Não</t>
        </is>
      </c>
    </row>
    <row r="1478">
      <c r="A1478" t="inlineStr">
        <is>
          <t>Frete de venda</t>
        </is>
      </c>
      <c r="B1478" t="inlineStr">
        <is>
          <t>2.01.02 Frete sobre Vendas</t>
        </is>
      </c>
      <c r="C1478" t="inlineStr">
        <is>
          <t>Antes de 2026</t>
        </is>
      </c>
      <c r="D1478" t="inlineStr">
        <is>
          <t>Antes de 2026</t>
        </is>
      </c>
      <c r="E1478" s="28" t="n">
        <v>45790</v>
      </c>
      <c r="F1478" t="inlineStr">
        <is>
          <t>CT-e</t>
        </is>
      </c>
      <c r="G1478" t="inlineStr">
        <is>
          <t>000004200</t>
        </is>
      </c>
      <c r="H1478" t="inlineStr">
        <is>
          <t>R&amp;R TRANSPORTE E LOGISTICA</t>
        </is>
      </c>
      <c r="J1478" s="29" t="n">
        <v>35.64</v>
      </c>
      <c r="K1478" s="29">
        <f>(1-ISNUMBER(SEARCH("556",M1478)))*(O1478*SUMIFS(Premissas!$C$5:$C$44,Premissas!$A$5:$A$44,$A1478,Premissas!$B$5:$B$44,$B1478)+P1478*SUMIFS(Premissas!$D$5:$D$44,Premissas!$A$5:$A$44,$A1478,Premissas!$B$5:$B$44,$B1478))+R1478*SUMIFS(Premissas!$E$5:$E$44,Premissas!$A$5:$A$44,$A1478,Premissas!$B$5:$B$44,$B1478)+S1478*SUMIFS(Premissas!$F$5:$F$44,Premissas!$A$5:$A$44,$A1478,Premissas!$B$5:$B$44,$B1478)</f>
        <v/>
      </c>
      <c r="L1478" s="29">
        <f>J1478-K1478</f>
        <v/>
      </c>
      <c r="M1478" t="inlineStr">
        <is>
          <t>1.350</t>
        </is>
      </c>
      <c r="N1478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478" s="29" t="n">
        <v>0</v>
      </c>
      <c r="P1478" s="29" t="n">
        <v>0</v>
      </c>
      <c r="Q1478" s="29" t="n">
        <v>0</v>
      </c>
      <c r="R1478" s="29" t="n">
        <v>0</v>
      </c>
      <c r="S1478" s="29" t="n">
        <v>0</v>
      </c>
      <c r="T1478" t="inlineStr">
        <is>
          <t>25250526975620000130570010000042001000000005</t>
        </is>
      </c>
      <c r="U1478" t="inlineStr">
        <is>
          <t>Não</t>
        </is>
      </c>
    </row>
    <row r="1479">
      <c r="A1479" t="inlineStr">
        <is>
          <t>Frete de venda</t>
        </is>
      </c>
      <c r="B1479" t="inlineStr">
        <is>
          <t>2.01.02 Frete sobre Vendas</t>
        </is>
      </c>
      <c r="C1479" t="inlineStr">
        <is>
          <t>Antes de 2026</t>
        </is>
      </c>
      <c r="D1479" t="inlineStr">
        <is>
          <t>Antes de 2026</t>
        </is>
      </c>
      <c r="E1479" s="28" t="n">
        <v>45790</v>
      </c>
      <c r="F1479" t="inlineStr">
        <is>
          <t>CT-e</t>
        </is>
      </c>
      <c r="G1479" t="inlineStr">
        <is>
          <t>000004201</t>
        </is>
      </c>
      <c r="H1479" t="inlineStr">
        <is>
          <t>R&amp;R TRANSPORTE E LOGISTICA</t>
        </is>
      </c>
      <c r="J1479" s="29" t="n">
        <v>26.5</v>
      </c>
      <c r="K1479" s="29">
        <f>(1-ISNUMBER(SEARCH("556",M1479)))*(O1479*SUMIFS(Premissas!$C$5:$C$44,Premissas!$A$5:$A$44,$A1479,Premissas!$B$5:$B$44,$B1479)+P1479*SUMIFS(Premissas!$D$5:$D$44,Premissas!$A$5:$A$44,$A1479,Premissas!$B$5:$B$44,$B1479))+R1479*SUMIFS(Premissas!$E$5:$E$44,Premissas!$A$5:$A$44,$A1479,Premissas!$B$5:$B$44,$B1479)+S1479*SUMIFS(Premissas!$F$5:$F$44,Premissas!$A$5:$A$44,$A1479,Premissas!$B$5:$B$44,$B1479)</f>
        <v/>
      </c>
      <c r="L1479" s="29">
        <f>J1479-K1479</f>
        <v/>
      </c>
      <c r="M1479" t="inlineStr">
        <is>
          <t>1.350</t>
        </is>
      </c>
      <c r="N1479" t="inlineStr">
        <is>
          <t>Modalidade: 0 - Por conta do remetente | Parte: ZANETTI SILVA COMERCIO DE EMBALAGENS LTDA (43.625.930/0001-43)</t>
        </is>
      </c>
      <c r="O1479" s="29" t="n">
        <v>0</v>
      </c>
      <c r="P1479" s="29" t="n">
        <v>0</v>
      </c>
      <c r="Q1479" s="29" t="n">
        <v>0</v>
      </c>
      <c r="R1479" s="29" t="n">
        <v>0</v>
      </c>
      <c r="S1479" s="29" t="n">
        <v>0</v>
      </c>
      <c r="T1479" t="inlineStr">
        <is>
          <t>25250526975620000130570010000042011000000002</t>
        </is>
      </c>
      <c r="U1479" t="inlineStr">
        <is>
          <t>Não</t>
        </is>
      </c>
    </row>
    <row r="1480">
      <c r="A1480" t="inlineStr">
        <is>
          <t>Frete de venda</t>
        </is>
      </c>
      <c r="B1480" t="inlineStr">
        <is>
          <t>2.01.02 Frete sobre Vendas</t>
        </is>
      </c>
      <c r="C1480" t="inlineStr">
        <is>
          <t>Antes de 2026</t>
        </is>
      </c>
      <c r="D1480" t="inlineStr">
        <is>
          <t>Antes de 2026</t>
        </is>
      </c>
      <c r="E1480" s="28" t="n">
        <v>45790</v>
      </c>
      <c r="F1480" t="inlineStr">
        <is>
          <t>CT-e</t>
        </is>
      </c>
      <c r="G1480" t="inlineStr">
        <is>
          <t>000004202</t>
        </is>
      </c>
      <c r="H1480" t="inlineStr">
        <is>
          <t>R&amp;R TRANSPORTE E LOGISTICA</t>
        </is>
      </c>
      <c r="J1480" s="29" t="n">
        <v>45.53</v>
      </c>
      <c r="K1480" s="29">
        <f>(1-ISNUMBER(SEARCH("556",M1480)))*(O1480*SUMIFS(Premissas!$C$5:$C$44,Premissas!$A$5:$A$44,$A1480,Premissas!$B$5:$B$44,$B1480)+P1480*SUMIFS(Premissas!$D$5:$D$44,Premissas!$A$5:$A$44,$A1480,Premissas!$B$5:$B$44,$B1480))+R1480*SUMIFS(Premissas!$E$5:$E$44,Premissas!$A$5:$A$44,$A1480,Premissas!$B$5:$B$44,$B1480)+S1480*SUMIFS(Premissas!$F$5:$F$44,Premissas!$A$5:$A$44,$A1480,Premissas!$B$5:$B$44,$B1480)</f>
        <v/>
      </c>
      <c r="L1480" s="29">
        <f>J1480-K1480</f>
        <v/>
      </c>
      <c r="M1480" t="inlineStr">
        <is>
          <t>1.350</t>
        </is>
      </c>
      <c r="N1480" t="inlineStr">
        <is>
          <t>Modalidade: 0 - Por conta do remetente | Parte: ROSSET EMBALAGENS E PAPELARIA LTDA (50.656.847/0001-05)</t>
        </is>
      </c>
      <c r="O1480" s="29" t="n">
        <v>0</v>
      </c>
      <c r="P1480" s="29" t="n">
        <v>0</v>
      </c>
      <c r="Q1480" s="29" t="n">
        <v>0</v>
      </c>
      <c r="R1480" s="29" t="n">
        <v>0</v>
      </c>
      <c r="S1480" s="29" t="n">
        <v>0</v>
      </c>
      <c r="T1480" t="inlineStr">
        <is>
          <t>25250526975620000130570010000042021000000000</t>
        </is>
      </c>
      <c r="U1480" t="inlineStr">
        <is>
          <t>Não</t>
        </is>
      </c>
    </row>
    <row r="1481">
      <c r="A1481" t="inlineStr">
        <is>
          <t>Frete de venda</t>
        </is>
      </c>
      <c r="B1481" t="inlineStr">
        <is>
          <t>2.01.02 Frete sobre Vendas</t>
        </is>
      </c>
      <c r="C1481" t="inlineStr">
        <is>
          <t>Antes de 2026</t>
        </is>
      </c>
      <c r="D1481" t="inlineStr">
        <is>
          <t>Antes de 2026</t>
        </is>
      </c>
      <c r="E1481" s="28" t="n">
        <v>45790</v>
      </c>
      <c r="F1481" t="inlineStr">
        <is>
          <t>CT-e</t>
        </is>
      </c>
      <c r="G1481" t="inlineStr">
        <is>
          <t>000004203</t>
        </is>
      </c>
      <c r="H1481" t="inlineStr">
        <is>
          <t>R&amp;R TRANSPORTE E LOGISTICA</t>
        </is>
      </c>
      <c r="J1481" s="29" t="n">
        <v>31.4</v>
      </c>
      <c r="K1481" s="29">
        <f>(1-ISNUMBER(SEARCH("556",M1481)))*(O1481*SUMIFS(Premissas!$C$5:$C$44,Premissas!$A$5:$A$44,$A1481,Premissas!$B$5:$B$44,$B1481)+P1481*SUMIFS(Premissas!$D$5:$D$44,Premissas!$A$5:$A$44,$A1481,Premissas!$B$5:$B$44,$B1481))+R1481*SUMIFS(Premissas!$E$5:$E$44,Premissas!$A$5:$A$44,$A1481,Premissas!$B$5:$B$44,$B1481)+S1481*SUMIFS(Premissas!$F$5:$F$44,Premissas!$A$5:$A$44,$A1481,Premissas!$B$5:$B$44,$B1481)</f>
        <v/>
      </c>
      <c r="L1481" s="29">
        <f>J1481-K1481</f>
        <v/>
      </c>
      <c r="M1481" t="inlineStr">
        <is>
          <t>1.350</t>
        </is>
      </c>
      <c r="N1481" t="inlineStr">
        <is>
          <t>Modalidade: 0 - Por conta do remetente | Parte: COMERCIAL CATARINENSE DE ARMARINHO EM GERAL LTDA (16.715.374/0001-23)</t>
        </is>
      </c>
      <c r="O1481" s="29" t="n">
        <v>0</v>
      </c>
      <c r="P1481" s="29" t="n">
        <v>0</v>
      </c>
      <c r="Q1481" s="29" t="n">
        <v>0</v>
      </c>
      <c r="R1481" s="29" t="n">
        <v>0</v>
      </c>
      <c r="S1481" s="29" t="n">
        <v>0</v>
      </c>
      <c r="T1481" t="inlineStr">
        <is>
          <t>25250526975620000130570010000042031000000007</t>
        </is>
      </c>
      <c r="U1481" t="inlineStr">
        <is>
          <t>Não</t>
        </is>
      </c>
    </row>
    <row r="1482">
      <c r="A1482" t="inlineStr">
        <is>
          <t>Frete de venda</t>
        </is>
      </c>
      <c r="B1482" t="inlineStr">
        <is>
          <t>2.01.02 Frete sobre Vendas</t>
        </is>
      </c>
      <c r="C1482" t="inlineStr">
        <is>
          <t>Antes de 2026</t>
        </is>
      </c>
      <c r="D1482" t="inlineStr">
        <is>
          <t>Antes de 2026</t>
        </is>
      </c>
      <c r="E1482" s="28" t="n">
        <v>45790</v>
      </c>
      <c r="F1482" t="inlineStr">
        <is>
          <t>CT-e</t>
        </is>
      </c>
      <c r="G1482" t="inlineStr">
        <is>
          <t>000004204</t>
        </is>
      </c>
      <c r="H1482" t="inlineStr">
        <is>
          <t>R&amp;R TRANSPORTE E LOGISTICA</t>
        </is>
      </c>
      <c r="J1482" s="29" t="n">
        <v>20.72</v>
      </c>
      <c r="K1482" s="29">
        <f>(1-ISNUMBER(SEARCH("556",M1482)))*(O1482*SUMIFS(Premissas!$C$5:$C$44,Premissas!$A$5:$A$44,$A1482,Premissas!$B$5:$B$44,$B1482)+P1482*SUMIFS(Premissas!$D$5:$D$44,Premissas!$A$5:$A$44,$A1482,Premissas!$B$5:$B$44,$B1482))+R1482*SUMIFS(Premissas!$E$5:$E$44,Premissas!$A$5:$A$44,$A1482,Premissas!$B$5:$B$44,$B1482)+S1482*SUMIFS(Premissas!$F$5:$F$44,Premissas!$A$5:$A$44,$A1482,Premissas!$B$5:$B$44,$B1482)</f>
        <v/>
      </c>
      <c r="L1482" s="29">
        <f>J1482-K1482</f>
        <v/>
      </c>
      <c r="M1482" t="inlineStr">
        <is>
          <t>1.350</t>
        </is>
      </c>
      <c r="N1482" t="inlineStr">
        <is>
          <t>Modalidade: 0 - Por conta do remetente | Parte: MEIRE F. P. LOURENCO (11.719.420/0001-49)</t>
        </is>
      </c>
      <c r="O1482" s="29" t="n">
        <v>0</v>
      </c>
      <c r="P1482" s="29" t="n">
        <v>0</v>
      </c>
      <c r="Q1482" s="29" t="n">
        <v>0</v>
      </c>
      <c r="R1482" s="29" t="n">
        <v>0</v>
      </c>
      <c r="S1482" s="29" t="n">
        <v>0</v>
      </c>
      <c r="T1482" t="inlineStr">
        <is>
          <t>25250526975620000130570010000042041000000004</t>
        </is>
      </c>
      <c r="U1482" t="inlineStr">
        <is>
          <t>Não</t>
        </is>
      </c>
    </row>
    <row r="1483">
      <c r="A1483" t="inlineStr">
        <is>
          <t>Frete de venda</t>
        </is>
      </c>
      <c r="B1483" t="inlineStr">
        <is>
          <t>2.01.02 Frete sobre Vendas</t>
        </is>
      </c>
      <c r="C1483" t="inlineStr">
        <is>
          <t>Antes de 2026</t>
        </is>
      </c>
      <c r="D1483" t="inlineStr">
        <is>
          <t>Antes de 2026</t>
        </is>
      </c>
      <c r="E1483" s="28" t="n">
        <v>45790</v>
      </c>
      <c r="F1483" t="inlineStr">
        <is>
          <t>CT-e</t>
        </is>
      </c>
      <c r="G1483" t="inlineStr">
        <is>
          <t>000004205</t>
        </is>
      </c>
      <c r="H1483" t="inlineStr">
        <is>
          <t>R&amp;R TRANSPORTE E LOGISTICA</t>
        </is>
      </c>
      <c r="J1483" s="29" t="n">
        <v>38.6</v>
      </c>
      <c r="K1483" s="29">
        <f>(1-ISNUMBER(SEARCH("556",M1483)))*(O1483*SUMIFS(Premissas!$C$5:$C$44,Premissas!$A$5:$A$44,$A1483,Premissas!$B$5:$B$44,$B1483)+P1483*SUMIFS(Premissas!$D$5:$D$44,Premissas!$A$5:$A$44,$A1483,Premissas!$B$5:$B$44,$B1483))+R1483*SUMIFS(Premissas!$E$5:$E$44,Premissas!$A$5:$A$44,$A1483,Premissas!$B$5:$B$44,$B1483)+S1483*SUMIFS(Premissas!$F$5:$F$44,Premissas!$A$5:$A$44,$A1483,Premissas!$B$5:$B$44,$B1483)</f>
        <v/>
      </c>
      <c r="L1483" s="29">
        <f>J1483-K1483</f>
        <v/>
      </c>
      <c r="M1483" t="inlineStr">
        <is>
          <t>1.350</t>
        </is>
      </c>
      <c r="N1483" t="inlineStr">
        <is>
          <t>Modalidade: 0 - Por conta do remetente | Parte: COLMEIA DISTRIBUIDORA LTDA (01.090.123/0001-23)</t>
        </is>
      </c>
      <c r="O1483" s="29" t="n">
        <v>0</v>
      </c>
      <c r="P1483" s="29" t="n">
        <v>0</v>
      </c>
      <c r="Q1483" s="29" t="n">
        <v>0</v>
      </c>
      <c r="R1483" s="29" t="n">
        <v>0</v>
      </c>
      <c r="S1483" s="29" t="n">
        <v>0</v>
      </c>
      <c r="T1483" t="inlineStr">
        <is>
          <t>25250526975620000130570010000042051000000001</t>
        </is>
      </c>
      <c r="U1483" t="inlineStr">
        <is>
          <t>Não</t>
        </is>
      </c>
    </row>
    <row r="1484">
      <c r="A1484" t="inlineStr">
        <is>
          <t>Frete de venda</t>
        </is>
      </c>
      <c r="B1484" t="inlineStr">
        <is>
          <t>2.01.02 Frete sobre Vendas</t>
        </is>
      </c>
      <c r="C1484" t="inlineStr">
        <is>
          <t>Antes de 2026</t>
        </is>
      </c>
      <c r="D1484" t="inlineStr">
        <is>
          <t>Antes de 2026</t>
        </is>
      </c>
      <c r="E1484" s="28" t="n">
        <v>45790</v>
      </c>
      <c r="F1484" t="inlineStr">
        <is>
          <t>CT-e</t>
        </is>
      </c>
      <c r="G1484" t="inlineStr">
        <is>
          <t>000004206</t>
        </is>
      </c>
      <c r="H1484" t="inlineStr">
        <is>
          <t>R&amp;R TRANSPORTE E LOGISTICA</t>
        </is>
      </c>
      <c r="J1484" s="29" t="n">
        <v>30</v>
      </c>
      <c r="K1484" s="29">
        <f>(1-ISNUMBER(SEARCH("556",M1484)))*(O1484*SUMIFS(Premissas!$C$5:$C$44,Premissas!$A$5:$A$44,$A1484,Premissas!$B$5:$B$44,$B1484)+P1484*SUMIFS(Premissas!$D$5:$D$44,Premissas!$A$5:$A$44,$A1484,Premissas!$B$5:$B$44,$B1484))+R1484*SUMIFS(Premissas!$E$5:$E$44,Premissas!$A$5:$A$44,$A1484,Premissas!$B$5:$B$44,$B1484)+S1484*SUMIFS(Premissas!$F$5:$F$44,Premissas!$A$5:$A$44,$A1484,Premissas!$B$5:$B$44,$B1484)</f>
        <v/>
      </c>
      <c r="L1484" s="29">
        <f>J1484-K1484</f>
        <v/>
      </c>
      <c r="M1484" t="inlineStr">
        <is>
          <t>1.350</t>
        </is>
      </c>
      <c r="N1484" t="inlineStr">
        <is>
          <t>Modalidade: 0 - Por conta do remetente | Parte: M SLONIK COMERCIO E DISTRIBUICAO DE PRODUTOS ALIMENTICIOS (11.855.144/0001-46)</t>
        </is>
      </c>
      <c r="O1484" s="29" t="n">
        <v>0</v>
      </c>
      <c r="P1484" s="29" t="n">
        <v>0</v>
      </c>
      <c r="Q1484" s="29" t="n">
        <v>0</v>
      </c>
      <c r="R1484" s="29" t="n">
        <v>0</v>
      </c>
      <c r="S1484" s="29" t="n">
        <v>0</v>
      </c>
      <c r="T1484" t="inlineStr">
        <is>
          <t>25250526975620000130570010000042061000000009</t>
        </is>
      </c>
      <c r="U1484" t="inlineStr">
        <is>
          <t>Não</t>
        </is>
      </c>
    </row>
    <row r="1485">
      <c r="A1485" t="inlineStr">
        <is>
          <t>Frete de venda</t>
        </is>
      </c>
      <c r="B1485" t="inlineStr">
        <is>
          <t>2.01.02 Frete sobre Vendas</t>
        </is>
      </c>
      <c r="C1485" t="inlineStr">
        <is>
          <t>Antes de 2026</t>
        </is>
      </c>
      <c r="D1485" t="inlineStr">
        <is>
          <t>Antes de 2026</t>
        </is>
      </c>
      <c r="E1485" s="28" t="n">
        <v>45790</v>
      </c>
      <c r="F1485" t="inlineStr">
        <is>
          <t>CT-e</t>
        </is>
      </c>
      <c r="G1485" t="inlineStr">
        <is>
          <t>000004207</t>
        </is>
      </c>
      <c r="H1485" t="inlineStr">
        <is>
          <t>R&amp;R TRANSPORTE E LOGISTICA</t>
        </is>
      </c>
      <c r="J1485" s="29" t="n">
        <v>19.12</v>
      </c>
      <c r="K1485" s="29">
        <f>(1-ISNUMBER(SEARCH("556",M1485)))*(O1485*SUMIFS(Premissas!$C$5:$C$44,Premissas!$A$5:$A$44,$A1485,Premissas!$B$5:$B$44,$B1485)+P1485*SUMIFS(Premissas!$D$5:$D$44,Premissas!$A$5:$A$44,$A1485,Premissas!$B$5:$B$44,$B1485))+R1485*SUMIFS(Premissas!$E$5:$E$44,Premissas!$A$5:$A$44,$A1485,Premissas!$B$5:$B$44,$B1485)+S1485*SUMIFS(Premissas!$F$5:$F$44,Premissas!$A$5:$A$44,$A1485,Premissas!$B$5:$B$44,$B1485)</f>
        <v/>
      </c>
      <c r="L1485" s="29">
        <f>J1485-K1485</f>
        <v/>
      </c>
      <c r="M1485" t="inlineStr">
        <is>
          <t>1.350</t>
        </is>
      </c>
      <c r="N1485" t="inlineStr">
        <is>
          <t>Modalidade: 0 - Por conta do remetente | Parte: CENTRAL DA EMBALAGEM LTDA (40.409.557/0001-03)</t>
        </is>
      </c>
      <c r="O1485" s="29" t="n">
        <v>0</v>
      </c>
      <c r="P1485" s="29" t="n">
        <v>0</v>
      </c>
      <c r="Q1485" s="29" t="n">
        <v>0</v>
      </c>
      <c r="R1485" s="29" t="n">
        <v>0</v>
      </c>
      <c r="S1485" s="29" t="n">
        <v>0</v>
      </c>
      <c r="T1485" t="inlineStr">
        <is>
          <t>25250526975620000130570010000042071000000006</t>
        </is>
      </c>
      <c r="U1485" t="inlineStr">
        <is>
          <t>Não</t>
        </is>
      </c>
    </row>
    <row r="1486">
      <c r="A1486" t="inlineStr">
        <is>
          <t>Frete de venda</t>
        </is>
      </c>
      <c r="B1486" t="inlineStr">
        <is>
          <t>2.01.02 Frete sobre Vendas</t>
        </is>
      </c>
      <c r="C1486" t="inlineStr">
        <is>
          <t>Antes de 2026</t>
        </is>
      </c>
      <c r="D1486" t="inlineStr">
        <is>
          <t>Antes de 2026</t>
        </is>
      </c>
      <c r="E1486" s="28" t="n">
        <v>45790</v>
      </c>
      <c r="F1486" t="inlineStr">
        <is>
          <t>CT-e</t>
        </is>
      </c>
      <c r="G1486" t="inlineStr">
        <is>
          <t>000004208</t>
        </is>
      </c>
      <c r="H1486" t="inlineStr">
        <is>
          <t>R&amp;R TRANSPORTE E LOGISTICA</t>
        </is>
      </c>
      <c r="J1486" s="29" t="n">
        <v>40.95</v>
      </c>
      <c r="K1486" s="29">
        <f>(1-ISNUMBER(SEARCH("556",M1486)))*(O1486*SUMIFS(Premissas!$C$5:$C$44,Premissas!$A$5:$A$44,$A1486,Premissas!$B$5:$B$44,$B1486)+P1486*SUMIFS(Premissas!$D$5:$D$44,Premissas!$A$5:$A$44,$A1486,Premissas!$B$5:$B$44,$B1486))+R1486*SUMIFS(Premissas!$E$5:$E$44,Premissas!$A$5:$A$44,$A1486,Premissas!$B$5:$B$44,$B1486)+S1486*SUMIFS(Premissas!$F$5:$F$44,Premissas!$A$5:$A$44,$A1486,Premissas!$B$5:$B$44,$B1486)</f>
        <v/>
      </c>
      <c r="L1486" s="29">
        <f>J1486-K1486</f>
        <v/>
      </c>
      <c r="M1486" t="inlineStr">
        <is>
          <t>1.350</t>
        </is>
      </c>
      <c r="N1486" t="inlineStr">
        <is>
          <t>Modalidade: 0 - Por conta do remetente | Parte: EMERSON CARNEIRO SOUZA - EMBALAGENS (01.627.130/0001-11)</t>
        </is>
      </c>
      <c r="O1486" s="29" t="n">
        <v>0</v>
      </c>
      <c r="P1486" s="29" t="n">
        <v>0</v>
      </c>
      <c r="Q1486" s="29" t="n">
        <v>0</v>
      </c>
      <c r="R1486" s="29" t="n">
        <v>0</v>
      </c>
      <c r="S1486" s="29" t="n">
        <v>0</v>
      </c>
      <c r="T1486" t="inlineStr">
        <is>
          <t>25250526975620000130570010000042081000000003</t>
        </is>
      </c>
      <c r="U1486" t="inlineStr">
        <is>
          <t>Não</t>
        </is>
      </c>
    </row>
    <row r="1487">
      <c r="A1487" t="inlineStr">
        <is>
          <t>Frete de venda</t>
        </is>
      </c>
      <c r="B1487" t="inlineStr">
        <is>
          <t>2.01.02 Frete sobre Vendas</t>
        </is>
      </c>
      <c r="C1487" t="inlineStr">
        <is>
          <t>Antes de 2026</t>
        </is>
      </c>
      <c r="D1487" t="inlineStr">
        <is>
          <t>Antes de 2026</t>
        </is>
      </c>
      <c r="E1487" s="28" t="n">
        <v>45790</v>
      </c>
      <c r="F1487" t="inlineStr">
        <is>
          <t>CT-e</t>
        </is>
      </c>
      <c r="G1487" t="inlineStr">
        <is>
          <t>000004209</t>
        </is>
      </c>
      <c r="H1487" t="inlineStr">
        <is>
          <t>R&amp;R TRANSPORTE E LOGISTICA</t>
        </is>
      </c>
      <c r="J1487" s="29" t="n">
        <v>29.82</v>
      </c>
      <c r="K1487" s="29">
        <f>(1-ISNUMBER(SEARCH("556",M1487)))*(O1487*SUMIFS(Premissas!$C$5:$C$44,Premissas!$A$5:$A$44,$A1487,Premissas!$B$5:$B$44,$B1487)+P1487*SUMIFS(Premissas!$D$5:$D$44,Premissas!$A$5:$A$44,$A1487,Premissas!$B$5:$B$44,$B1487))+R1487*SUMIFS(Premissas!$E$5:$E$44,Premissas!$A$5:$A$44,$A1487,Premissas!$B$5:$B$44,$B1487)+S1487*SUMIFS(Premissas!$F$5:$F$44,Premissas!$A$5:$A$44,$A1487,Premissas!$B$5:$B$44,$B1487)</f>
        <v/>
      </c>
      <c r="L1487" s="29">
        <f>J1487-K1487</f>
        <v/>
      </c>
      <c r="M1487" t="inlineStr">
        <is>
          <t>1.350</t>
        </is>
      </c>
      <c r="N1487" t="inlineStr">
        <is>
          <t>Modalidade: 0 - Por conta do remetente | Parte: S. DO ROCIO BOAVENTURA ROSA LTDA (40.655.682/0001-95)</t>
        </is>
      </c>
      <c r="O1487" s="29" t="n">
        <v>0</v>
      </c>
      <c r="P1487" s="29" t="n">
        <v>0</v>
      </c>
      <c r="Q1487" s="29" t="n">
        <v>0</v>
      </c>
      <c r="R1487" s="29" t="n">
        <v>0</v>
      </c>
      <c r="S1487" s="29" t="n">
        <v>0</v>
      </c>
      <c r="T1487" t="inlineStr">
        <is>
          <t>25250526975620000130570010000042091000000000</t>
        </is>
      </c>
      <c r="U1487" t="inlineStr">
        <is>
          <t>Não</t>
        </is>
      </c>
    </row>
    <row r="1488">
      <c r="A1488" t="inlineStr">
        <is>
          <t>Frete de venda</t>
        </is>
      </c>
      <c r="B1488" t="inlineStr">
        <is>
          <t>2.01.02 Frete sobre Vendas</t>
        </is>
      </c>
      <c r="C1488" t="inlineStr">
        <is>
          <t>Antes de 2026</t>
        </is>
      </c>
      <c r="D1488" t="inlineStr">
        <is>
          <t>Antes de 2026</t>
        </is>
      </c>
      <c r="E1488" s="28" t="n">
        <v>45790</v>
      </c>
      <c r="F1488" t="inlineStr">
        <is>
          <t>CT-e</t>
        </is>
      </c>
      <c r="G1488" t="inlineStr">
        <is>
          <t>000004210</t>
        </is>
      </c>
      <c r="H1488" t="inlineStr">
        <is>
          <t>R&amp;R TRANSPORTE E LOGISTICA</t>
        </is>
      </c>
      <c r="J1488" s="29" t="n">
        <v>22.31</v>
      </c>
      <c r="K1488" s="29">
        <f>(1-ISNUMBER(SEARCH("556",M1488)))*(O1488*SUMIFS(Premissas!$C$5:$C$44,Premissas!$A$5:$A$44,$A1488,Premissas!$B$5:$B$44,$B1488)+P1488*SUMIFS(Premissas!$D$5:$D$44,Premissas!$A$5:$A$44,$A1488,Premissas!$B$5:$B$44,$B1488))+R1488*SUMIFS(Premissas!$E$5:$E$44,Premissas!$A$5:$A$44,$A1488,Premissas!$B$5:$B$44,$B1488)+S1488*SUMIFS(Premissas!$F$5:$F$44,Premissas!$A$5:$A$44,$A1488,Premissas!$B$5:$B$44,$B1488)</f>
        <v/>
      </c>
      <c r="L1488" s="29">
        <f>J1488-K1488</f>
        <v/>
      </c>
      <c r="M1488" t="inlineStr">
        <is>
          <t>1.350</t>
        </is>
      </c>
      <c r="N1488" t="inlineStr">
        <is>
          <t>Modalidade: 0 - Por conta do remetente | Parte: PLASGI EMBALAGENS LTDA (80.361.579/0001-57)</t>
        </is>
      </c>
      <c r="O1488" s="29" t="n">
        <v>0</v>
      </c>
      <c r="P1488" s="29" t="n">
        <v>0</v>
      </c>
      <c r="Q1488" s="29" t="n">
        <v>0</v>
      </c>
      <c r="R1488" s="29" t="n">
        <v>0</v>
      </c>
      <c r="S1488" s="29" t="n">
        <v>0</v>
      </c>
      <c r="T1488" t="inlineStr">
        <is>
          <t>25250526975620000130570010000042101000000001</t>
        </is>
      </c>
      <c r="U1488" t="inlineStr">
        <is>
          <t>Não</t>
        </is>
      </c>
    </row>
    <row r="1489">
      <c r="A1489" t="inlineStr">
        <is>
          <t>Frete de venda</t>
        </is>
      </c>
      <c r="B1489" t="inlineStr">
        <is>
          <t>2.01.02 Frete sobre Vendas</t>
        </is>
      </c>
      <c r="C1489" t="inlineStr">
        <is>
          <t>Antes de 2026</t>
        </is>
      </c>
      <c r="D1489" t="inlineStr">
        <is>
          <t>Antes de 2026</t>
        </is>
      </c>
      <c r="E1489" s="28" t="n">
        <v>45790</v>
      </c>
      <c r="F1489" t="inlineStr">
        <is>
          <t>CT-e</t>
        </is>
      </c>
      <c r="G1489" t="inlineStr">
        <is>
          <t>000004211</t>
        </is>
      </c>
      <c r="H1489" t="inlineStr">
        <is>
          <t>R&amp;R TRANSPORTE E LOGISTICA</t>
        </is>
      </c>
      <c r="J1489" s="29" t="n">
        <v>21.86</v>
      </c>
      <c r="K1489" s="29">
        <f>(1-ISNUMBER(SEARCH("556",M1489)))*(O1489*SUMIFS(Premissas!$C$5:$C$44,Premissas!$A$5:$A$44,$A1489,Premissas!$B$5:$B$44,$B1489)+P1489*SUMIFS(Premissas!$D$5:$D$44,Premissas!$A$5:$A$44,$A1489,Premissas!$B$5:$B$44,$B1489))+R1489*SUMIFS(Premissas!$E$5:$E$44,Premissas!$A$5:$A$44,$A1489,Premissas!$B$5:$B$44,$B1489)+S1489*SUMIFS(Premissas!$F$5:$F$44,Premissas!$A$5:$A$44,$A1489,Premissas!$B$5:$B$44,$B1489)</f>
        <v/>
      </c>
      <c r="L1489" s="29">
        <f>J1489-K1489</f>
        <v/>
      </c>
      <c r="M1489" t="inlineStr">
        <is>
          <t>1.350</t>
        </is>
      </c>
      <c r="N1489" t="inlineStr">
        <is>
          <t>Modalidade: 0 - Por conta do remetente | Parte: CAETANO PLASTICOS EMBALAGENS LTDA (37.295.717/0001-18)</t>
        </is>
      </c>
      <c r="O1489" s="29" t="n">
        <v>0</v>
      </c>
      <c r="P1489" s="29" t="n">
        <v>0</v>
      </c>
      <c r="Q1489" s="29" t="n">
        <v>0</v>
      </c>
      <c r="R1489" s="29" t="n">
        <v>0</v>
      </c>
      <c r="S1489" s="29" t="n">
        <v>0</v>
      </c>
      <c r="T1489" t="inlineStr">
        <is>
          <t>25250526975620000130570010000042111000000009</t>
        </is>
      </c>
      <c r="U1489" t="inlineStr">
        <is>
          <t>Não</t>
        </is>
      </c>
    </row>
    <row r="1490">
      <c r="A1490" t="inlineStr">
        <is>
          <t>Frete de venda</t>
        </is>
      </c>
      <c r="B1490" t="inlineStr">
        <is>
          <t>2.01.02 Frete sobre Vendas</t>
        </is>
      </c>
      <c r="C1490" t="inlineStr">
        <is>
          <t>Antes de 2026</t>
        </is>
      </c>
      <c r="D1490" t="inlineStr">
        <is>
          <t>Antes de 2026</t>
        </is>
      </c>
      <c r="E1490" s="28" t="n">
        <v>45790</v>
      </c>
      <c r="F1490" t="inlineStr">
        <is>
          <t>CT-e</t>
        </is>
      </c>
      <c r="G1490" t="inlineStr">
        <is>
          <t>000004212</t>
        </is>
      </c>
      <c r="H1490" t="inlineStr">
        <is>
          <t>R&amp;R TRANSPORTE E LOGISTICA</t>
        </is>
      </c>
      <c r="J1490" s="29" t="n">
        <v>21.32</v>
      </c>
      <c r="K1490" s="29">
        <f>(1-ISNUMBER(SEARCH("556",M1490)))*(O1490*SUMIFS(Premissas!$C$5:$C$44,Premissas!$A$5:$A$44,$A1490,Premissas!$B$5:$B$44,$B1490)+P1490*SUMIFS(Premissas!$D$5:$D$44,Premissas!$A$5:$A$44,$A1490,Premissas!$B$5:$B$44,$B1490))+R1490*SUMIFS(Premissas!$E$5:$E$44,Premissas!$A$5:$A$44,$A1490,Premissas!$B$5:$B$44,$B1490)+S1490*SUMIFS(Premissas!$F$5:$F$44,Premissas!$A$5:$A$44,$A1490,Premissas!$B$5:$B$44,$B1490)</f>
        <v/>
      </c>
      <c r="L1490" s="29">
        <f>J1490-K1490</f>
        <v/>
      </c>
      <c r="M1490" t="inlineStr">
        <is>
          <t>1.350</t>
        </is>
      </c>
      <c r="N1490" t="inlineStr">
        <is>
          <t>Modalidade: 0 - Por conta do remetente | Parte: KIMURA E CANTO LTDA (38.392.308/0001-00)</t>
        </is>
      </c>
      <c r="O1490" s="29" t="n">
        <v>0</v>
      </c>
      <c r="P1490" s="29" t="n">
        <v>0</v>
      </c>
      <c r="Q1490" s="29" t="n">
        <v>0</v>
      </c>
      <c r="R1490" s="29" t="n">
        <v>0</v>
      </c>
      <c r="S1490" s="29" t="n">
        <v>0</v>
      </c>
      <c r="T1490" t="inlineStr">
        <is>
          <t>25250526975620000130570010000042121000000006</t>
        </is>
      </c>
      <c r="U1490" t="inlineStr">
        <is>
          <t>Não</t>
        </is>
      </c>
    </row>
    <row r="1491">
      <c r="A1491" t="inlineStr">
        <is>
          <t>Frete de venda</t>
        </is>
      </c>
      <c r="B1491" t="inlineStr">
        <is>
          <t>2.01.02 Frete sobre Vendas</t>
        </is>
      </c>
      <c r="C1491" t="inlineStr">
        <is>
          <t>Antes de 2026</t>
        </is>
      </c>
      <c r="D1491" t="inlineStr">
        <is>
          <t>Antes de 2026</t>
        </is>
      </c>
      <c r="E1491" s="28" t="n">
        <v>45790</v>
      </c>
      <c r="F1491" t="inlineStr">
        <is>
          <t>CT-e</t>
        </is>
      </c>
      <c r="G1491" t="inlineStr">
        <is>
          <t>000004213</t>
        </is>
      </c>
      <c r="H1491" t="inlineStr">
        <is>
          <t>R&amp;R TRANSPORTE E LOGISTICA</t>
        </is>
      </c>
      <c r="J1491" s="29" t="n">
        <v>19.97</v>
      </c>
      <c r="K1491" s="29">
        <f>(1-ISNUMBER(SEARCH("556",M1491)))*(O1491*SUMIFS(Premissas!$C$5:$C$44,Premissas!$A$5:$A$44,$A1491,Premissas!$B$5:$B$44,$B1491)+P1491*SUMIFS(Premissas!$D$5:$D$44,Premissas!$A$5:$A$44,$A1491,Premissas!$B$5:$B$44,$B1491))+R1491*SUMIFS(Premissas!$E$5:$E$44,Premissas!$A$5:$A$44,$A1491,Premissas!$B$5:$B$44,$B1491)+S1491*SUMIFS(Premissas!$F$5:$F$44,Premissas!$A$5:$A$44,$A1491,Premissas!$B$5:$B$44,$B1491)</f>
        <v/>
      </c>
      <c r="L1491" s="29">
        <f>J1491-K1491</f>
        <v/>
      </c>
      <c r="M1491" t="inlineStr">
        <is>
          <t>1.350</t>
        </is>
      </c>
      <c r="N1491" t="inlineStr">
        <is>
          <t>Modalidade: 0 - Por conta do remetente | Parte: PADRAO COMERCIO DE EMBALAGENS LTDA (03.480.813/0001-14)</t>
        </is>
      </c>
      <c r="O1491" s="29" t="n">
        <v>0</v>
      </c>
      <c r="P1491" s="29" t="n">
        <v>0</v>
      </c>
      <c r="Q1491" s="29" t="n">
        <v>0</v>
      </c>
      <c r="R1491" s="29" t="n">
        <v>0</v>
      </c>
      <c r="S1491" s="29" t="n">
        <v>0</v>
      </c>
      <c r="T1491" t="inlineStr">
        <is>
          <t>25250526975620000130570010000042131000000003</t>
        </is>
      </c>
      <c r="U1491" t="inlineStr">
        <is>
          <t>Não</t>
        </is>
      </c>
    </row>
    <row r="1492">
      <c r="A1492" t="inlineStr">
        <is>
          <t>Frete de venda</t>
        </is>
      </c>
      <c r="B1492" t="inlineStr">
        <is>
          <t>2.01.02 Frete sobre Vendas</t>
        </is>
      </c>
      <c r="C1492" t="inlineStr">
        <is>
          <t>Antes de 2026</t>
        </is>
      </c>
      <c r="D1492" t="inlineStr">
        <is>
          <t>Antes de 2026</t>
        </is>
      </c>
      <c r="E1492" s="28" t="n">
        <v>45790</v>
      </c>
      <c r="F1492" t="inlineStr">
        <is>
          <t>CT-e</t>
        </is>
      </c>
      <c r="G1492" t="inlineStr">
        <is>
          <t>000004214</t>
        </is>
      </c>
      <c r="H1492" t="inlineStr">
        <is>
          <t>R&amp;R TRANSPORTE E LOGISTICA</t>
        </is>
      </c>
      <c r="J1492" s="29" t="n">
        <v>47.5</v>
      </c>
      <c r="K1492" s="29">
        <f>(1-ISNUMBER(SEARCH("556",M1492)))*(O1492*SUMIFS(Premissas!$C$5:$C$44,Premissas!$A$5:$A$44,$A1492,Premissas!$B$5:$B$44,$B1492)+P1492*SUMIFS(Premissas!$D$5:$D$44,Premissas!$A$5:$A$44,$A1492,Premissas!$B$5:$B$44,$B1492))+R1492*SUMIFS(Premissas!$E$5:$E$44,Premissas!$A$5:$A$44,$A1492,Premissas!$B$5:$B$44,$B1492)+S1492*SUMIFS(Premissas!$F$5:$F$44,Premissas!$A$5:$A$44,$A1492,Premissas!$B$5:$B$44,$B1492)</f>
        <v/>
      </c>
      <c r="L1492" s="29">
        <f>J1492-K1492</f>
        <v/>
      </c>
      <c r="M1492" t="inlineStr">
        <is>
          <t>1.350</t>
        </is>
      </c>
      <c r="N1492" t="inlineStr">
        <is>
          <t>Modalidade: 0 - Por conta do remetente | Parte: AP SACARIA EMBALAGENS LTDA (20.402.088/0001-85)</t>
        </is>
      </c>
      <c r="O1492" s="29" t="n">
        <v>0</v>
      </c>
      <c r="P1492" s="29" t="n">
        <v>0</v>
      </c>
      <c r="Q1492" s="29" t="n">
        <v>0</v>
      </c>
      <c r="R1492" s="29" t="n">
        <v>0</v>
      </c>
      <c r="S1492" s="29" t="n">
        <v>0</v>
      </c>
      <c r="T1492" t="inlineStr">
        <is>
          <t>25250526975620000130570010000042141000000000</t>
        </is>
      </c>
      <c r="U1492" t="inlineStr">
        <is>
          <t>Não</t>
        </is>
      </c>
    </row>
    <row r="1493">
      <c r="A1493" t="inlineStr">
        <is>
          <t>Frete de venda</t>
        </is>
      </c>
      <c r="B1493" t="inlineStr">
        <is>
          <t>2.01.02 Frete sobre Vendas</t>
        </is>
      </c>
      <c r="C1493" t="inlineStr">
        <is>
          <t>Antes de 2026</t>
        </is>
      </c>
      <c r="D1493" t="inlineStr">
        <is>
          <t>Antes de 2026</t>
        </is>
      </c>
      <c r="E1493" s="28" t="n">
        <v>45790</v>
      </c>
      <c r="F1493" t="inlineStr">
        <is>
          <t>CT-e</t>
        </is>
      </c>
      <c r="G1493" t="inlineStr">
        <is>
          <t>000004215</t>
        </is>
      </c>
      <c r="H1493" t="inlineStr">
        <is>
          <t>R&amp;R TRANSPORTE E LOGISTICA</t>
        </is>
      </c>
      <c r="J1493" s="29" t="n">
        <v>51.81</v>
      </c>
      <c r="K1493" s="29">
        <f>(1-ISNUMBER(SEARCH("556",M1493)))*(O1493*SUMIFS(Premissas!$C$5:$C$44,Premissas!$A$5:$A$44,$A1493,Premissas!$B$5:$B$44,$B1493)+P1493*SUMIFS(Premissas!$D$5:$D$44,Premissas!$A$5:$A$44,$A1493,Premissas!$B$5:$B$44,$B1493))+R1493*SUMIFS(Premissas!$E$5:$E$44,Premissas!$A$5:$A$44,$A1493,Premissas!$B$5:$B$44,$B1493)+S1493*SUMIFS(Premissas!$F$5:$F$44,Premissas!$A$5:$A$44,$A1493,Premissas!$B$5:$B$44,$B1493)</f>
        <v/>
      </c>
      <c r="L1493" s="29">
        <f>J1493-K1493</f>
        <v/>
      </c>
      <c r="M1493" t="inlineStr">
        <is>
          <t>1.350</t>
        </is>
      </c>
      <c r="N1493" t="inlineStr">
        <is>
          <t>Modalidade: 0 - Por conta do remetente | Parte: FRONTEIRA EMBALAGENS LTDA (47.115.817/0001-79)</t>
        </is>
      </c>
      <c r="O1493" s="29" t="n">
        <v>0</v>
      </c>
      <c r="P1493" s="29" t="n">
        <v>0</v>
      </c>
      <c r="Q1493" s="29" t="n">
        <v>0</v>
      </c>
      <c r="R1493" s="29" t="n">
        <v>0</v>
      </c>
      <c r="S1493" s="29" t="n">
        <v>0</v>
      </c>
      <c r="T1493" t="inlineStr">
        <is>
          <t>25250526975620000130570010000042151000000008</t>
        </is>
      </c>
      <c r="U1493" t="inlineStr">
        <is>
          <t>Não</t>
        </is>
      </c>
    </row>
    <row r="1494">
      <c r="A1494" t="inlineStr">
        <is>
          <t>Frete de venda</t>
        </is>
      </c>
      <c r="B1494" t="inlineStr">
        <is>
          <t>2.01.02 Frete sobre Vendas</t>
        </is>
      </c>
      <c r="C1494" t="inlineStr">
        <is>
          <t>Antes de 2026</t>
        </is>
      </c>
      <c r="D1494" t="inlineStr">
        <is>
          <t>Antes de 2026</t>
        </is>
      </c>
      <c r="E1494" s="28" t="n">
        <v>45790</v>
      </c>
      <c r="F1494" t="inlineStr">
        <is>
          <t>CT-e</t>
        </is>
      </c>
      <c r="G1494" t="inlineStr">
        <is>
          <t>000004216</t>
        </is>
      </c>
      <c r="H1494" t="inlineStr">
        <is>
          <t>R&amp;R TRANSPORTE E LOGISTICA</t>
        </is>
      </c>
      <c r="J1494" s="29" t="n">
        <v>51.68</v>
      </c>
      <c r="K1494" s="29">
        <f>(1-ISNUMBER(SEARCH("556",M1494)))*(O1494*SUMIFS(Premissas!$C$5:$C$44,Premissas!$A$5:$A$44,$A1494,Premissas!$B$5:$B$44,$B1494)+P1494*SUMIFS(Premissas!$D$5:$D$44,Premissas!$A$5:$A$44,$A1494,Premissas!$B$5:$B$44,$B1494))+R1494*SUMIFS(Premissas!$E$5:$E$44,Premissas!$A$5:$A$44,$A1494,Premissas!$B$5:$B$44,$B1494)+S1494*SUMIFS(Premissas!$F$5:$F$44,Premissas!$A$5:$A$44,$A1494,Premissas!$B$5:$B$44,$B1494)</f>
        <v/>
      </c>
      <c r="L1494" s="29">
        <f>J1494-K1494</f>
        <v/>
      </c>
      <c r="M1494" t="inlineStr">
        <is>
          <t>1.350</t>
        </is>
      </c>
      <c r="N1494" t="inlineStr">
        <is>
          <t>Modalidade: 0 - Por conta do remetente | Parte: NOVA PAPOO DISTRIBUIDORA LTDA (45.779.798/0001-50)</t>
        </is>
      </c>
      <c r="O1494" s="29" t="n">
        <v>0</v>
      </c>
      <c r="P1494" s="29" t="n">
        <v>0</v>
      </c>
      <c r="Q1494" s="29" t="n">
        <v>0</v>
      </c>
      <c r="R1494" s="29" t="n">
        <v>0</v>
      </c>
      <c r="S1494" s="29" t="n">
        <v>0</v>
      </c>
      <c r="T1494" t="inlineStr">
        <is>
          <t>25250526975620000130570010000042161000000005</t>
        </is>
      </c>
      <c r="U1494" t="inlineStr">
        <is>
          <t>Não</t>
        </is>
      </c>
    </row>
    <row r="1495">
      <c r="A1495" t="inlineStr">
        <is>
          <t>Frete de venda</t>
        </is>
      </c>
      <c r="B1495" t="inlineStr">
        <is>
          <t>2.01.02 Frete sobre Vendas</t>
        </is>
      </c>
      <c r="C1495" t="inlineStr">
        <is>
          <t>Antes de 2026</t>
        </is>
      </c>
      <c r="D1495" t="inlineStr">
        <is>
          <t>Antes de 2026</t>
        </is>
      </c>
      <c r="E1495" s="28" t="n">
        <v>45790</v>
      </c>
      <c r="F1495" t="inlineStr">
        <is>
          <t>CT-e</t>
        </is>
      </c>
      <c r="G1495" t="inlineStr">
        <is>
          <t>000004217</t>
        </is>
      </c>
      <c r="H1495" t="inlineStr">
        <is>
          <t>R&amp;R TRANSPORTE E LOGISTICA</t>
        </is>
      </c>
      <c r="J1495" s="29" t="n">
        <v>43.35</v>
      </c>
      <c r="K1495" s="29">
        <f>(1-ISNUMBER(SEARCH("556",M1495)))*(O1495*SUMIFS(Premissas!$C$5:$C$44,Premissas!$A$5:$A$44,$A1495,Premissas!$B$5:$B$44,$B1495)+P1495*SUMIFS(Premissas!$D$5:$D$44,Premissas!$A$5:$A$44,$A1495,Premissas!$B$5:$B$44,$B1495))+R1495*SUMIFS(Premissas!$E$5:$E$44,Premissas!$A$5:$A$44,$A1495,Premissas!$B$5:$B$44,$B1495)+S1495*SUMIFS(Premissas!$F$5:$F$44,Premissas!$A$5:$A$44,$A1495,Premissas!$B$5:$B$44,$B1495)</f>
        <v/>
      </c>
      <c r="L1495" s="29">
        <f>J1495-K1495</f>
        <v/>
      </c>
      <c r="M1495" t="inlineStr">
        <is>
          <t>1.350</t>
        </is>
      </c>
      <c r="N1495" t="inlineStr">
        <is>
          <t>Modalidade: 0 - Por conta do remetente | Parte: DONA MARIA FOOD LTDA (25.087.540/0001-85)</t>
        </is>
      </c>
      <c r="O1495" s="29" t="n">
        <v>0</v>
      </c>
      <c r="P1495" s="29" t="n">
        <v>0</v>
      </c>
      <c r="Q1495" s="29" t="n">
        <v>0</v>
      </c>
      <c r="R1495" s="29" t="n">
        <v>0</v>
      </c>
      <c r="S1495" s="29" t="n">
        <v>0</v>
      </c>
      <c r="T1495" t="inlineStr">
        <is>
          <t>25250526975620000130570010000042171000000002</t>
        </is>
      </c>
      <c r="U1495" t="inlineStr">
        <is>
          <t>Não</t>
        </is>
      </c>
    </row>
    <row r="1496">
      <c r="A1496" t="inlineStr">
        <is>
          <t>Frete de venda</t>
        </is>
      </c>
      <c r="B1496" t="inlineStr">
        <is>
          <t>2.01.02 Frete sobre Vendas</t>
        </is>
      </c>
      <c r="C1496" t="inlineStr">
        <is>
          <t>Antes de 2026</t>
        </is>
      </c>
      <c r="D1496" t="inlineStr">
        <is>
          <t>Antes de 2026</t>
        </is>
      </c>
      <c r="E1496" s="28" t="n">
        <v>45790</v>
      </c>
      <c r="F1496" t="inlineStr">
        <is>
          <t>CT-e</t>
        </is>
      </c>
      <c r="G1496" t="inlineStr">
        <is>
          <t>000004218</t>
        </is>
      </c>
      <c r="H1496" t="inlineStr">
        <is>
          <t>R&amp;R TRANSPORTE E LOGISTICA</t>
        </is>
      </c>
      <c r="J1496" s="29" t="n">
        <v>36.35</v>
      </c>
      <c r="K1496" s="29">
        <f>(1-ISNUMBER(SEARCH("556",M1496)))*(O1496*SUMIFS(Premissas!$C$5:$C$44,Premissas!$A$5:$A$44,$A1496,Premissas!$B$5:$B$44,$B1496)+P1496*SUMIFS(Premissas!$D$5:$D$44,Premissas!$A$5:$A$44,$A1496,Premissas!$B$5:$B$44,$B1496))+R1496*SUMIFS(Premissas!$E$5:$E$44,Premissas!$A$5:$A$44,$A1496,Premissas!$B$5:$B$44,$B1496)+S1496*SUMIFS(Premissas!$F$5:$F$44,Premissas!$A$5:$A$44,$A1496,Premissas!$B$5:$B$44,$B1496)</f>
        <v/>
      </c>
      <c r="L1496" s="29">
        <f>J1496-K1496</f>
        <v/>
      </c>
      <c r="M1496" t="inlineStr">
        <is>
          <t>1.350</t>
        </is>
      </c>
      <c r="N1496" t="inlineStr">
        <is>
          <t>Modalidade: 0 - Por conta do remetente | Parte: LD DISTRIBUIDORA DE EMBALAGENS LTDA (54.582.388/0001-05)</t>
        </is>
      </c>
      <c r="O1496" s="29" t="n">
        <v>0</v>
      </c>
      <c r="P1496" s="29" t="n">
        <v>0</v>
      </c>
      <c r="Q1496" s="29" t="n">
        <v>0</v>
      </c>
      <c r="R1496" s="29" t="n">
        <v>0</v>
      </c>
      <c r="S1496" s="29" t="n">
        <v>0</v>
      </c>
      <c r="T1496" t="inlineStr">
        <is>
          <t>25250526975620000130570010000042181000000000</t>
        </is>
      </c>
      <c r="U1496" t="inlineStr">
        <is>
          <t>Não</t>
        </is>
      </c>
    </row>
    <row r="1497">
      <c r="A1497" t="inlineStr">
        <is>
          <t>Frete de venda</t>
        </is>
      </c>
      <c r="B1497" t="inlineStr">
        <is>
          <t>2.01.02 Frete sobre Vendas</t>
        </is>
      </c>
      <c r="C1497" t="inlineStr">
        <is>
          <t>Antes de 2026</t>
        </is>
      </c>
      <c r="D1497" t="inlineStr">
        <is>
          <t>Antes de 2026</t>
        </is>
      </c>
      <c r="E1497" s="28" t="n">
        <v>45790</v>
      </c>
      <c r="F1497" t="inlineStr">
        <is>
          <t>CT-e</t>
        </is>
      </c>
      <c r="G1497" t="inlineStr">
        <is>
          <t>000004219</t>
        </is>
      </c>
      <c r="H1497" t="inlineStr">
        <is>
          <t>R&amp;R TRANSPORTE E LOGISTICA</t>
        </is>
      </c>
      <c r="J1497" s="29" t="n">
        <v>37.92</v>
      </c>
      <c r="K1497" s="29">
        <f>(1-ISNUMBER(SEARCH("556",M1497)))*(O1497*SUMIFS(Premissas!$C$5:$C$44,Premissas!$A$5:$A$44,$A1497,Premissas!$B$5:$B$44,$B1497)+P1497*SUMIFS(Premissas!$D$5:$D$44,Premissas!$A$5:$A$44,$A1497,Premissas!$B$5:$B$44,$B1497))+R1497*SUMIFS(Premissas!$E$5:$E$44,Premissas!$A$5:$A$44,$A1497,Premissas!$B$5:$B$44,$B1497)+S1497*SUMIFS(Premissas!$F$5:$F$44,Premissas!$A$5:$A$44,$A1497,Premissas!$B$5:$B$44,$B1497)</f>
        <v/>
      </c>
      <c r="L1497" s="29">
        <f>J1497-K1497</f>
        <v/>
      </c>
      <c r="M1497" t="inlineStr">
        <is>
          <t>1.350</t>
        </is>
      </c>
      <c r="N1497" t="inlineStr">
        <is>
          <t>Modalidade: 0 - Por conta do remetente | Parte: LIDERPACK EMBALAGENS LTDA (46.994.972/0001-40)</t>
        </is>
      </c>
      <c r="O1497" s="29" t="n">
        <v>0</v>
      </c>
      <c r="P1497" s="29" t="n">
        <v>0</v>
      </c>
      <c r="Q1497" s="29" t="n">
        <v>0</v>
      </c>
      <c r="R1497" s="29" t="n">
        <v>0</v>
      </c>
      <c r="S1497" s="29" t="n">
        <v>0</v>
      </c>
      <c r="T1497" t="inlineStr">
        <is>
          <t>25250526975620000130570010000042191000000007</t>
        </is>
      </c>
      <c r="U1497" t="inlineStr">
        <is>
          <t>Não</t>
        </is>
      </c>
    </row>
    <row r="1498">
      <c r="A1498" t="inlineStr">
        <is>
          <t>Frete de venda</t>
        </is>
      </c>
      <c r="B1498" t="inlineStr">
        <is>
          <t>2.01.02 Frete sobre Vendas</t>
        </is>
      </c>
      <c r="C1498" t="inlineStr">
        <is>
          <t>Antes de 2026</t>
        </is>
      </c>
      <c r="D1498" t="inlineStr">
        <is>
          <t>Antes de 2026</t>
        </is>
      </c>
      <c r="E1498" s="28" t="n">
        <v>45791</v>
      </c>
      <c r="F1498" t="inlineStr">
        <is>
          <t>CT-e</t>
        </is>
      </c>
      <c r="G1498" t="inlineStr">
        <is>
          <t>000004221</t>
        </is>
      </c>
      <c r="H1498" t="inlineStr">
        <is>
          <t>R&amp;R TRANSPORTE E LOGISTICA</t>
        </is>
      </c>
      <c r="J1498" s="29" t="n">
        <v>55.26</v>
      </c>
      <c r="K1498" s="29">
        <f>(1-ISNUMBER(SEARCH("556",M1498)))*(O1498*SUMIFS(Premissas!$C$5:$C$44,Premissas!$A$5:$A$44,$A1498,Premissas!$B$5:$B$44,$B1498)+P1498*SUMIFS(Premissas!$D$5:$D$44,Premissas!$A$5:$A$44,$A1498,Premissas!$B$5:$B$44,$B1498))+R1498*SUMIFS(Premissas!$E$5:$E$44,Premissas!$A$5:$A$44,$A1498,Premissas!$B$5:$B$44,$B1498)+S1498*SUMIFS(Premissas!$F$5:$F$44,Premissas!$A$5:$A$44,$A1498,Premissas!$B$5:$B$44,$B1498)</f>
        <v/>
      </c>
      <c r="L1498" s="29">
        <f>J1498-K1498</f>
        <v/>
      </c>
      <c r="M1498" t="inlineStr">
        <is>
          <t>1.350</t>
        </is>
      </c>
      <c r="N1498" t="inlineStr">
        <is>
          <t>Modalidade: 0 - Por conta do remetente | Parte: BICALHO DISTRIBUIDORA E COMERCIO DE EMBALAGENS LTDA (51.048.448/0001-16)</t>
        </is>
      </c>
      <c r="O1498" s="29" t="n">
        <v>0</v>
      </c>
      <c r="P1498" s="29" t="n">
        <v>0</v>
      </c>
      <c r="Q1498" s="29" t="n">
        <v>0</v>
      </c>
      <c r="R1498" s="29" t="n">
        <v>0</v>
      </c>
      <c r="S1498" s="29" t="n">
        <v>0</v>
      </c>
      <c r="T1498" t="inlineStr">
        <is>
          <t>25250526975620000130570010000042211000000005</t>
        </is>
      </c>
      <c r="U1498" t="inlineStr">
        <is>
          <t>Não</t>
        </is>
      </c>
    </row>
    <row r="1499">
      <c r="A1499" t="inlineStr">
        <is>
          <t>Frete de venda</t>
        </is>
      </c>
      <c r="B1499" t="inlineStr">
        <is>
          <t>2.01.02 Frete sobre Vendas</t>
        </is>
      </c>
      <c r="C1499" t="inlineStr">
        <is>
          <t>Antes de 2026</t>
        </is>
      </c>
      <c r="D1499" t="inlineStr">
        <is>
          <t>Antes de 2026</t>
        </is>
      </c>
      <c r="E1499" s="28" t="n">
        <v>45791</v>
      </c>
      <c r="F1499" t="inlineStr">
        <is>
          <t>CT-e</t>
        </is>
      </c>
      <c r="G1499" t="inlineStr">
        <is>
          <t>000004222</t>
        </is>
      </c>
      <c r="H1499" t="inlineStr">
        <is>
          <t>R&amp;R TRANSPORTE E LOGISTICA</t>
        </is>
      </c>
      <c r="J1499" s="29" t="n">
        <v>49.73</v>
      </c>
      <c r="K1499" s="29">
        <f>(1-ISNUMBER(SEARCH("556",M1499)))*(O1499*SUMIFS(Premissas!$C$5:$C$44,Premissas!$A$5:$A$44,$A1499,Premissas!$B$5:$B$44,$B1499)+P1499*SUMIFS(Premissas!$D$5:$D$44,Premissas!$A$5:$A$44,$A1499,Premissas!$B$5:$B$44,$B1499))+R1499*SUMIFS(Premissas!$E$5:$E$44,Premissas!$A$5:$A$44,$A1499,Premissas!$B$5:$B$44,$B1499)+S1499*SUMIFS(Premissas!$F$5:$F$44,Premissas!$A$5:$A$44,$A1499,Premissas!$B$5:$B$44,$B1499)</f>
        <v/>
      </c>
      <c r="L1499" s="29">
        <f>J1499-K1499</f>
        <v/>
      </c>
      <c r="M1499" t="inlineStr">
        <is>
          <t>1.350</t>
        </is>
      </c>
      <c r="N1499" t="inlineStr">
        <is>
          <t>Modalidade: 0 - Por conta do remetente | Parte: Você cons (57.214.482/0001-08)</t>
        </is>
      </c>
      <c r="O1499" s="29" t="n">
        <v>0</v>
      </c>
      <c r="P1499" s="29" t="n">
        <v>0</v>
      </c>
      <c r="Q1499" s="29" t="n">
        <v>0</v>
      </c>
      <c r="R1499" s="29" t="n">
        <v>0</v>
      </c>
      <c r="S1499" s="29" t="n">
        <v>0</v>
      </c>
      <c r="T1499" t="inlineStr">
        <is>
          <t>25250526975620000130570010000042221000000002</t>
        </is>
      </c>
      <c r="U1499" t="inlineStr">
        <is>
          <t>Não</t>
        </is>
      </c>
    </row>
    <row r="1500">
      <c r="A1500" t="inlineStr">
        <is>
          <t>Frete de venda</t>
        </is>
      </c>
      <c r="B1500" t="inlineStr">
        <is>
          <t>2.01.02 Frete sobre Vendas</t>
        </is>
      </c>
      <c r="C1500" t="inlineStr">
        <is>
          <t>Antes de 2026</t>
        </is>
      </c>
      <c r="D1500" t="inlineStr">
        <is>
          <t>Antes de 2026</t>
        </is>
      </c>
      <c r="E1500" s="28" t="n">
        <v>45791</v>
      </c>
      <c r="F1500" t="inlineStr">
        <is>
          <t>CT-e</t>
        </is>
      </c>
      <c r="G1500" t="inlineStr">
        <is>
          <t>000004223</t>
        </is>
      </c>
      <c r="H1500" t="inlineStr">
        <is>
          <t>R&amp;R TRANSPORTE E LOGISTICA</t>
        </is>
      </c>
      <c r="J1500" s="29" t="n">
        <v>35.84</v>
      </c>
      <c r="K1500" s="29">
        <f>(1-ISNUMBER(SEARCH("556",M1500)))*(O1500*SUMIFS(Premissas!$C$5:$C$44,Premissas!$A$5:$A$44,$A1500,Premissas!$B$5:$B$44,$B1500)+P1500*SUMIFS(Premissas!$D$5:$D$44,Premissas!$A$5:$A$44,$A1500,Premissas!$B$5:$B$44,$B1500))+R1500*SUMIFS(Premissas!$E$5:$E$44,Premissas!$A$5:$A$44,$A1500,Premissas!$B$5:$B$44,$B1500)+S1500*SUMIFS(Premissas!$F$5:$F$44,Premissas!$A$5:$A$44,$A1500,Premissas!$B$5:$B$44,$B1500)</f>
        <v/>
      </c>
      <c r="L1500" s="29">
        <f>J1500-K1500</f>
        <v/>
      </c>
      <c r="M1500" t="inlineStr">
        <is>
          <t>1.350</t>
        </is>
      </c>
      <c r="N1500" t="inlineStr">
        <is>
          <t>Modalidade: 0 - Por conta do remetente | Parte: TEM DE TUDO EMBALAGENS E FESTA LTDA (17.932.921/0001-95)</t>
        </is>
      </c>
      <c r="O1500" s="29" t="n">
        <v>0</v>
      </c>
      <c r="P1500" s="29" t="n">
        <v>0</v>
      </c>
      <c r="Q1500" s="29" t="n">
        <v>0</v>
      </c>
      <c r="R1500" s="29" t="n">
        <v>0</v>
      </c>
      <c r="S1500" s="29" t="n">
        <v>0</v>
      </c>
      <c r="T1500" t="inlineStr">
        <is>
          <t>25250526975620000130570010000042231000000000</t>
        </is>
      </c>
      <c r="U1500" t="inlineStr">
        <is>
          <t>Não</t>
        </is>
      </c>
    </row>
    <row r="1501">
      <c r="A1501" t="inlineStr">
        <is>
          <t>Frete de venda</t>
        </is>
      </c>
      <c r="B1501" t="inlineStr">
        <is>
          <t>2.01.02 Frete sobre Vendas</t>
        </is>
      </c>
      <c r="C1501" t="inlineStr">
        <is>
          <t>Antes de 2026</t>
        </is>
      </c>
      <c r="D1501" t="inlineStr">
        <is>
          <t>Antes de 2026</t>
        </is>
      </c>
      <c r="E1501" s="28" t="n">
        <v>45791</v>
      </c>
      <c r="F1501" t="inlineStr">
        <is>
          <t>CT-e</t>
        </is>
      </c>
      <c r="G1501" t="inlineStr">
        <is>
          <t>000004224</t>
        </is>
      </c>
      <c r="H1501" t="inlineStr">
        <is>
          <t>R&amp;R TRANSPORTE E LOGISTICA</t>
        </is>
      </c>
      <c r="J1501" s="29" t="n">
        <v>46.61</v>
      </c>
      <c r="K1501" s="29">
        <f>(1-ISNUMBER(SEARCH("556",M1501)))*(O1501*SUMIFS(Premissas!$C$5:$C$44,Premissas!$A$5:$A$44,$A1501,Premissas!$B$5:$B$44,$B1501)+P1501*SUMIFS(Premissas!$D$5:$D$44,Premissas!$A$5:$A$44,$A1501,Premissas!$B$5:$B$44,$B1501))+R1501*SUMIFS(Premissas!$E$5:$E$44,Premissas!$A$5:$A$44,$A1501,Premissas!$B$5:$B$44,$B1501)+S1501*SUMIFS(Premissas!$F$5:$F$44,Premissas!$A$5:$A$44,$A1501,Premissas!$B$5:$B$44,$B1501)</f>
        <v/>
      </c>
      <c r="L1501" s="29">
        <f>J1501-K1501</f>
        <v/>
      </c>
      <c r="M1501" t="inlineStr">
        <is>
          <t>1.350</t>
        </is>
      </c>
      <c r="N1501" t="inlineStr">
        <is>
          <t>Modalidade: 0 - Por conta do remetente | Parte: DANIEL HENRIQUE SILVA BORGES E PIRES LTDA (06.901.586/0001-41)</t>
        </is>
      </c>
      <c r="O1501" s="29" t="n">
        <v>0</v>
      </c>
      <c r="P1501" s="29" t="n">
        <v>0</v>
      </c>
      <c r="Q1501" s="29" t="n">
        <v>0</v>
      </c>
      <c r="R1501" s="29" t="n">
        <v>0</v>
      </c>
      <c r="S1501" s="29" t="n">
        <v>0</v>
      </c>
      <c r="T1501" t="inlineStr">
        <is>
          <t>25250526975620000130570010000042241000000007</t>
        </is>
      </c>
      <c r="U1501" t="inlineStr">
        <is>
          <t>Não</t>
        </is>
      </c>
    </row>
    <row r="1502">
      <c r="A1502" t="inlineStr">
        <is>
          <t>Frete de venda</t>
        </is>
      </c>
      <c r="B1502" t="inlineStr">
        <is>
          <t>2.01.02 Frete sobre Vendas</t>
        </is>
      </c>
      <c r="C1502" t="inlineStr">
        <is>
          <t>Antes de 2026</t>
        </is>
      </c>
      <c r="D1502" t="inlineStr">
        <is>
          <t>Antes de 2026</t>
        </is>
      </c>
      <c r="E1502" s="28" t="n">
        <v>45791</v>
      </c>
      <c r="F1502" t="inlineStr">
        <is>
          <t>CT-e</t>
        </is>
      </c>
      <c r="G1502" t="inlineStr">
        <is>
          <t>000004225</t>
        </is>
      </c>
      <c r="H1502" t="inlineStr">
        <is>
          <t>R&amp;R TRANSPORTE E LOGISTICA</t>
        </is>
      </c>
      <c r="J1502" s="29" t="n">
        <v>46.56</v>
      </c>
      <c r="K1502" s="29">
        <f>(1-ISNUMBER(SEARCH("556",M1502)))*(O1502*SUMIFS(Premissas!$C$5:$C$44,Premissas!$A$5:$A$44,$A1502,Premissas!$B$5:$B$44,$B1502)+P1502*SUMIFS(Premissas!$D$5:$D$44,Premissas!$A$5:$A$44,$A1502,Premissas!$B$5:$B$44,$B1502))+R1502*SUMIFS(Premissas!$E$5:$E$44,Premissas!$A$5:$A$44,$A1502,Premissas!$B$5:$B$44,$B1502)+S1502*SUMIFS(Premissas!$F$5:$F$44,Premissas!$A$5:$A$44,$A1502,Premissas!$B$5:$B$44,$B1502)</f>
        <v/>
      </c>
      <c r="L1502" s="29">
        <f>J1502-K1502</f>
        <v/>
      </c>
      <c r="M1502" t="inlineStr">
        <is>
          <t>1.350</t>
        </is>
      </c>
      <c r="N1502" t="inlineStr">
        <is>
          <t>Modalidade: 0 - Por conta do remetente | Parte: M C PACHECO (17.808.645/0001-58)</t>
        </is>
      </c>
      <c r="O1502" s="29" t="n">
        <v>0</v>
      </c>
      <c r="P1502" s="29" t="n">
        <v>0</v>
      </c>
      <c r="Q1502" s="29" t="n">
        <v>0</v>
      </c>
      <c r="R1502" s="29" t="n">
        <v>0</v>
      </c>
      <c r="S1502" s="29" t="n">
        <v>0</v>
      </c>
      <c r="T1502" t="inlineStr">
        <is>
          <t>25250526975620000130570010000042251000000004</t>
        </is>
      </c>
      <c r="U1502" t="inlineStr">
        <is>
          <t>Não</t>
        </is>
      </c>
    </row>
    <row r="1503">
      <c r="A1503" t="inlineStr">
        <is>
          <t>Frete de venda</t>
        </is>
      </c>
      <c r="B1503" t="inlineStr">
        <is>
          <t>2.01.02 Frete sobre Vendas</t>
        </is>
      </c>
      <c r="C1503" t="inlineStr">
        <is>
          <t>Antes de 2026</t>
        </is>
      </c>
      <c r="D1503" t="inlineStr">
        <is>
          <t>Antes de 2026</t>
        </is>
      </c>
      <c r="E1503" s="28" t="n">
        <v>45791</v>
      </c>
      <c r="F1503" t="inlineStr">
        <is>
          <t>CT-e</t>
        </is>
      </c>
      <c r="G1503" t="inlineStr">
        <is>
          <t>000004226</t>
        </is>
      </c>
      <c r="H1503" t="inlineStr">
        <is>
          <t>R&amp;R TRANSPORTE E LOGISTICA</t>
        </is>
      </c>
      <c r="J1503" s="29" t="n">
        <v>46.61</v>
      </c>
      <c r="K1503" s="29">
        <f>(1-ISNUMBER(SEARCH("556",M1503)))*(O1503*SUMIFS(Premissas!$C$5:$C$44,Premissas!$A$5:$A$44,$A1503,Premissas!$B$5:$B$44,$B1503)+P1503*SUMIFS(Premissas!$D$5:$D$44,Premissas!$A$5:$A$44,$A1503,Premissas!$B$5:$B$44,$B1503))+R1503*SUMIFS(Premissas!$E$5:$E$44,Premissas!$A$5:$A$44,$A1503,Premissas!$B$5:$B$44,$B1503)+S1503*SUMIFS(Premissas!$F$5:$F$44,Premissas!$A$5:$A$44,$A1503,Premissas!$B$5:$B$44,$B1503)</f>
        <v/>
      </c>
      <c r="L1503" s="29">
        <f>J1503-K1503</f>
        <v/>
      </c>
      <c r="M1503" t="inlineStr">
        <is>
          <t>1.350</t>
        </is>
      </c>
      <c r="N1503" t="inlineStr">
        <is>
          <t>Modalidade: 0 - Por conta do remetente | Parte: VASCONCELOS E RIBEIRO COMERCIO LTDA (03.802.334/0001-77)</t>
        </is>
      </c>
      <c r="O1503" s="29" t="n">
        <v>0</v>
      </c>
      <c r="P1503" s="29" t="n">
        <v>0</v>
      </c>
      <c r="Q1503" s="29" t="n">
        <v>0</v>
      </c>
      <c r="R1503" s="29" t="n">
        <v>0</v>
      </c>
      <c r="S1503" s="29" t="n">
        <v>0</v>
      </c>
      <c r="T1503" t="inlineStr">
        <is>
          <t>25250526975620000130570010000042261000000001</t>
        </is>
      </c>
      <c r="U1503" t="inlineStr">
        <is>
          <t>Não</t>
        </is>
      </c>
    </row>
    <row r="1504">
      <c r="A1504" t="inlineStr">
        <is>
          <t>Frete de venda</t>
        </is>
      </c>
      <c r="B1504" t="inlineStr">
        <is>
          <t>2.01.02 Frete sobre Vendas</t>
        </is>
      </c>
      <c r="C1504" t="inlineStr">
        <is>
          <t>Antes de 2026</t>
        </is>
      </c>
      <c r="D1504" t="inlineStr">
        <is>
          <t>Antes de 2026</t>
        </is>
      </c>
      <c r="E1504" s="28" t="n">
        <v>45792</v>
      </c>
      <c r="F1504" t="inlineStr">
        <is>
          <t>CT-e</t>
        </is>
      </c>
      <c r="G1504" t="inlineStr">
        <is>
          <t>000004228</t>
        </is>
      </c>
      <c r="H1504" t="inlineStr">
        <is>
          <t>R&amp;R TRANSPORTE E LOGISTICA</t>
        </is>
      </c>
      <c r="J1504" s="29" t="n">
        <v>950</v>
      </c>
      <c r="K1504" s="29">
        <f>(1-ISNUMBER(SEARCH("556",M1504)))*(O1504*SUMIFS(Premissas!$C$5:$C$44,Premissas!$A$5:$A$44,$A1504,Premissas!$B$5:$B$44,$B1504)+P1504*SUMIFS(Premissas!$D$5:$D$44,Premissas!$A$5:$A$44,$A1504,Premissas!$B$5:$B$44,$B1504))+R1504*SUMIFS(Premissas!$E$5:$E$44,Premissas!$A$5:$A$44,$A1504,Premissas!$B$5:$B$44,$B1504)+S1504*SUMIFS(Premissas!$F$5:$F$44,Premissas!$A$5:$A$44,$A1504,Premissas!$B$5:$B$44,$B1504)</f>
        <v/>
      </c>
      <c r="L1504" s="29">
        <f>J1504-K1504</f>
        <v/>
      </c>
      <c r="M1504" t="inlineStr">
        <is>
          <t>1.350</t>
        </is>
      </c>
      <c r="N1504" t="inlineStr">
        <is>
          <t>Modalidade: 0 - Por conta do remetente | Parte: STAMP DISTRIBUIDORA DE EMBALAGENS DE PAPEL E DESCARTAVEI... (48.984.362/0001-90)</t>
        </is>
      </c>
      <c r="O1504" s="29" t="n">
        <v>0</v>
      </c>
      <c r="P1504" s="29" t="n">
        <v>0</v>
      </c>
      <c r="Q1504" s="29" t="n">
        <v>0</v>
      </c>
      <c r="R1504" s="29" t="n">
        <v>0</v>
      </c>
      <c r="S1504" s="29" t="n">
        <v>0</v>
      </c>
      <c r="T1504" t="inlineStr">
        <is>
          <t>25250526975620000130570010000042281000000006</t>
        </is>
      </c>
      <c r="U1504" t="inlineStr">
        <is>
          <t>Não</t>
        </is>
      </c>
    </row>
    <row r="1505">
      <c r="A1505" t="inlineStr">
        <is>
          <t>Frete de venda</t>
        </is>
      </c>
      <c r="B1505" t="inlineStr">
        <is>
          <t>2.01.02 Frete sobre Vendas</t>
        </is>
      </c>
      <c r="C1505" t="inlineStr">
        <is>
          <t>Antes de 2026</t>
        </is>
      </c>
      <c r="D1505" t="inlineStr">
        <is>
          <t>Antes de 2026</t>
        </is>
      </c>
      <c r="E1505" s="28" t="n">
        <v>45792</v>
      </c>
      <c r="F1505" t="inlineStr">
        <is>
          <t>CT-e</t>
        </is>
      </c>
      <c r="G1505" t="inlineStr">
        <is>
          <t>000004229</t>
        </is>
      </c>
      <c r="H1505" t="inlineStr">
        <is>
          <t>R&amp;R TRANSPORTE E LOGISTICA</t>
        </is>
      </c>
      <c r="J1505" s="29" t="n">
        <v>700</v>
      </c>
      <c r="K1505" s="29">
        <f>(1-ISNUMBER(SEARCH("556",M1505)))*(O1505*SUMIFS(Premissas!$C$5:$C$44,Premissas!$A$5:$A$44,$A1505,Premissas!$B$5:$B$44,$B1505)+P1505*SUMIFS(Premissas!$D$5:$D$44,Premissas!$A$5:$A$44,$A1505,Premissas!$B$5:$B$44,$B1505))+R1505*SUMIFS(Premissas!$E$5:$E$44,Premissas!$A$5:$A$44,$A1505,Premissas!$B$5:$B$44,$B1505)+S1505*SUMIFS(Premissas!$F$5:$F$44,Premissas!$A$5:$A$44,$A1505,Premissas!$B$5:$B$44,$B1505)</f>
        <v/>
      </c>
      <c r="L1505" s="29">
        <f>J1505-K1505</f>
        <v/>
      </c>
      <c r="M1505" t="inlineStr">
        <is>
          <t>1.350</t>
        </is>
      </c>
      <c r="N1505" t="inlineStr">
        <is>
          <t>Modalidade: 0 - Por conta do remetente | Parte: MERCOPAIVA COMERCIAL LTDA (45.016.002/0001-07)</t>
        </is>
      </c>
      <c r="O1505" s="29" t="n">
        <v>0</v>
      </c>
      <c r="P1505" s="29" t="n">
        <v>0</v>
      </c>
      <c r="Q1505" s="29" t="n">
        <v>0</v>
      </c>
      <c r="R1505" s="29" t="n">
        <v>0</v>
      </c>
      <c r="S1505" s="29" t="n">
        <v>0</v>
      </c>
      <c r="T1505" t="inlineStr">
        <is>
          <t>25250526975620000130570010000042291000000003</t>
        </is>
      </c>
      <c r="U1505" t="inlineStr">
        <is>
          <t>Não</t>
        </is>
      </c>
    </row>
    <row r="1506">
      <c r="A1506" t="inlineStr">
        <is>
          <t>Frete de venda</t>
        </is>
      </c>
      <c r="B1506" t="inlineStr">
        <is>
          <t>2.01.02 Frete sobre Vendas</t>
        </is>
      </c>
      <c r="C1506" t="inlineStr">
        <is>
          <t>Antes de 2026</t>
        </is>
      </c>
      <c r="D1506" t="inlineStr">
        <is>
          <t>Antes de 2026</t>
        </is>
      </c>
      <c r="E1506" s="28" t="n">
        <v>45793</v>
      </c>
      <c r="F1506" t="inlineStr">
        <is>
          <t>CT-e</t>
        </is>
      </c>
      <c r="G1506" t="inlineStr">
        <is>
          <t>000004236</t>
        </is>
      </c>
      <c r="H1506" t="inlineStr">
        <is>
          <t>R&amp;R TRANSPORTE E LOGISTICA</t>
        </is>
      </c>
      <c r="J1506" s="29" t="n">
        <v>140</v>
      </c>
      <c r="K1506" s="29">
        <f>(1-ISNUMBER(SEARCH("556",M1506)))*(O1506*SUMIFS(Premissas!$C$5:$C$44,Premissas!$A$5:$A$44,$A1506,Premissas!$B$5:$B$44,$B1506)+P1506*SUMIFS(Premissas!$D$5:$D$44,Premissas!$A$5:$A$44,$A1506,Premissas!$B$5:$B$44,$B1506))+R1506*SUMIFS(Premissas!$E$5:$E$44,Premissas!$A$5:$A$44,$A1506,Premissas!$B$5:$B$44,$B1506)+S1506*SUMIFS(Premissas!$F$5:$F$44,Premissas!$A$5:$A$44,$A1506,Premissas!$B$5:$B$44,$B1506)</f>
        <v/>
      </c>
      <c r="L1506" s="29">
        <f>J1506-K1506</f>
        <v/>
      </c>
      <c r="M1506" t="inlineStr">
        <is>
          <t>1.350</t>
        </is>
      </c>
      <c r="N1506" t="inlineStr">
        <is>
          <t>Modalidade: 0 - Por conta do remetente | Parte: CAEL DISTRIBUIDORA DE PRODUTOS DE HIGIENE E LIMPEZA LTDA (15.129.402/0001-68)</t>
        </is>
      </c>
      <c r="O1506" s="29" t="n">
        <v>0</v>
      </c>
      <c r="P1506" s="29" t="n">
        <v>0</v>
      </c>
      <c r="Q1506" s="29" t="n">
        <v>0</v>
      </c>
      <c r="R1506" s="29" t="n">
        <v>0</v>
      </c>
      <c r="S1506" s="29" t="n">
        <v>0</v>
      </c>
      <c r="T1506" t="inlineStr">
        <is>
          <t>25250526975620000130570010000042361000000008</t>
        </is>
      </c>
      <c r="U1506" t="inlineStr">
        <is>
          <t>Não</t>
        </is>
      </c>
    </row>
    <row r="1507">
      <c r="A1507" t="inlineStr">
        <is>
          <t>Frete de venda</t>
        </is>
      </c>
      <c r="B1507" t="inlineStr">
        <is>
          <t>2.01.02 Frete sobre Vendas</t>
        </is>
      </c>
      <c r="C1507" t="inlineStr">
        <is>
          <t>Antes de 2026</t>
        </is>
      </c>
      <c r="D1507" t="inlineStr">
        <is>
          <t>Antes de 2026</t>
        </is>
      </c>
      <c r="E1507" s="28" t="n">
        <v>45793</v>
      </c>
      <c r="F1507" t="inlineStr">
        <is>
          <t>CT-e</t>
        </is>
      </c>
      <c r="G1507" t="inlineStr">
        <is>
          <t>000004237</t>
        </is>
      </c>
      <c r="H1507" t="inlineStr">
        <is>
          <t>R&amp;R TRANSPORTE E LOGISTICA</t>
        </is>
      </c>
      <c r="J1507" s="29" t="n">
        <v>558</v>
      </c>
      <c r="K1507" s="29">
        <f>(1-ISNUMBER(SEARCH("556",M1507)))*(O1507*SUMIFS(Premissas!$C$5:$C$44,Premissas!$A$5:$A$44,$A1507,Premissas!$B$5:$B$44,$B1507)+P1507*SUMIFS(Premissas!$D$5:$D$44,Premissas!$A$5:$A$44,$A1507,Premissas!$B$5:$B$44,$B1507))+R1507*SUMIFS(Premissas!$E$5:$E$44,Premissas!$A$5:$A$44,$A1507,Premissas!$B$5:$B$44,$B1507)+S1507*SUMIFS(Premissas!$F$5:$F$44,Premissas!$A$5:$A$44,$A1507,Premissas!$B$5:$B$44,$B1507)</f>
        <v/>
      </c>
      <c r="L1507" s="29">
        <f>J1507-K1507</f>
        <v/>
      </c>
      <c r="M1507" t="inlineStr">
        <is>
          <t>1.350</t>
        </is>
      </c>
      <c r="N1507" t="inlineStr">
        <is>
          <t>Modalidade: 0 - Por conta do remetente | Parte: DML DISTRIBUIDORA DE ALIMENTOS E EMBALAGENS LTDA (07.412.776/0001-68)</t>
        </is>
      </c>
      <c r="O1507" s="29" t="n">
        <v>0</v>
      </c>
      <c r="P1507" s="29" t="n">
        <v>0</v>
      </c>
      <c r="Q1507" s="29" t="n">
        <v>0</v>
      </c>
      <c r="R1507" s="29" t="n">
        <v>0</v>
      </c>
      <c r="S1507" s="29" t="n">
        <v>0</v>
      </c>
      <c r="T1507" t="inlineStr">
        <is>
          <t>25250526975620000130570010000042371000000005</t>
        </is>
      </c>
      <c r="U1507" t="inlineStr">
        <is>
          <t>Não</t>
        </is>
      </c>
    </row>
    <row r="1508">
      <c r="A1508" t="inlineStr">
        <is>
          <t>Frete de venda</t>
        </is>
      </c>
      <c r="B1508" t="inlineStr">
        <is>
          <t>2.01.02 Frete sobre Vendas</t>
        </is>
      </c>
      <c r="C1508" t="inlineStr">
        <is>
          <t>Antes de 2026</t>
        </is>
      </c>
      <c r="D1508" t="inlineStr">
        <is>
          <t>Antes de 2026</t>
        </is>
      </c>
      <c r="E1508" s="28" t="n">
        <v>45793</v>
      </c>
      <c r="F1508" t="inlineStr">
        <is>
          <t>CT-e</t>
        </is>
      </c>
      <c r="G1508" t="inlineStr">
        <is>
          <t>000004238</t>
        </is>
      </c>
      <c r="H1508" t="inlineStr">
        <is>
          <t>R&amp;R TRANSPORTE E LOGISTICA</t>
        </is>
      </c>
      <c r="J1508" s="29" t="n">
        <v>307</v>
      </c>
      <c r="K1508" s="29">
        <f>(1-ISNUMBER(SEARCH("556",M1508)))*(O1508*SUMIFS(Premissas!$C$5:$C$44,Premissas!$A$5:$A$44,$A1508,Premissas!$B$5:$B$44,$B1508)+P1508*SUMIFS(Premissas!$D$5:$D$44,Premissas!$A$5:$A$44,$A1508,Premissas!$B$5:$B$44,$B1508))+R1508*SUMIFS(Premissas!$E$5:$E$44,Premissas!$A$5:$A$44,$A1508,Premissas!$B$5:$B$44,$B1508)+S1508*SUMIFS(Premissas!$F$5:$F$44,Premissas!$A$5:$A$44,$A1508,Premissas!$B$5:$B$44,$B1508)</f>
        <v/>
      </c>
      <c r="L1508" s="29">
        <f>J1508-K1508</f>
        <v/>
      </c>
      <c r="M1508" t="inlineStr">
        <is>
          <t>1.350</t>
        </is>
      </c>
      <c r="N1508" t="inlineStr">
        <is>
          <t>Modalidade: 0 - Por conta do remetente | Parte: STAMP DISTRIBUIDORA DE EMBALAGENS DE PAPEL E DESCARTAVEI... (48.984.362/0001-90)</t>
        </is>
      </c>
      <c r="O1508" s="29" t="n">
        <v>0</v>
      </c>
      <c r="P1508" s="29" t="n">
        <v>0</v>
      </c>
      <c r="Q1508" s="29" t="n">
        <v>0</v>
      </c>
      <c r="R1508" s="29" t="n">
        <v>0</v>
      </c>
      <c r="S1508" s="29" t="n">
        <v>0</v>
      </c>
      <c r="T1508" t="inlineStr">
        <is>
          <t>25250526975620000130570010000042381000000002</t>
        </is>
      </c>
      <c r="U1508" t="inlineStr">
        <is>
          <t>Não</t>
        </is>
      </c>
    </row>
    <row r="1509">
      <c r="A1509" t="inlineStr">
        <is>
          <t>Frete de venda</t>
        </is>
      </c>
      <c r="B1509" t="inlineStr">
        <is>
          <t>2.01.02 Frete sobre Vendas</t>
        </is>
      </c>
      <c r="C1509" t="inlineStr">
        <is>
          <t>Antes de 2026</t>
        </is>
      </c>
      <c r="D1509" t="inlineStr">
        <is>
          <t>Antes de 2026</t>
        </is>
      </c>
      <c r="E1509" s="28" t="n">
        <v>45793</v>
      </c>
      <c r="F1509" t="inlineStr">
        <is>
          <t>CT-e</t>
        </is>
      </c>
      <c r="G1509" t="inlineStr">
        <is>
          <t>000004239</t>
        </is>
      </c>
      <c r="H1509" t="inlineStr">
        <is>
          <t>R&amp;R TRANSPORTE E LOGISTICA</t>
        </is>
      </c>
      <c r="J1509" s="29" t="n">
        <v>34.6</v>
      </c>
      <c r="K1509" s="29">
        <f>(1-ISNUMBER(SEARCH("556",M1509)))*(O1509*SUMIFS(Premissas!$C$5:$C$44,Premissas!$A$5:$A$44,$A1509,Premissas!$B$5:$B$44,$B1509)+P1509*SUMIFS(Premissas!$D$5:$D$44,Premissas!$A$5:$A$44,$A1509,Premissas!$B$5:$B$44,$B1509))+R1509*SUMIFS(Premissas!$E$5:$E$44,Premissas!$A$5:$A$44,$A1509,Premissas!$B$5:$B$44,$B1509)+S1509*SUMIFS(Premissas!$F$5:$F$44,Premissas!$A$5:$A$44,$A1509,Premissas!$B$5:$B$44,$B1509)</f>
        <v/>
      </c>
      <c r="L1509" s="29">
        <f>J1509-K1509</f>
        <v/>
      </c>
      <c r="M1509" t="inlineStr">
        <is>
          <t>1.350</t>
        </is>
      </c>
      <c r="N1509" t="inlineStr">
        <is>
          <t>Modalidade: 0 - Por conta do remetente | Parte: JOANICE COMERCIAL DE EMBALAGENS E CONFEITARIA LTDA (50.350.203/0001-86)</t>
        </is>
      </c>
      <c r="O1509" s="29" t="n">
        <v>0</v>
      </c>
      <c r="P1509" s="29" t="n">
        <v>0</v>
      </c>
      <c r="Q1509" s="29" t="n">
        <v>0</v>
      </c>
      <c r="R1509" s="29" t="n">
        <v>0</v>
      </c>
      <c r="S1509" s="29" t="n">
        <v>0</v>
      </c>
      <c r="T1509" t="inlineStr">
        <is>
          <t>25250526975620000130570010000042391000000000</t>
        </is>
      </c>
      <c r="U1509" t="inlineStr">
        <is>
          <t>Não</t>
        </is>
      </c>
    </row>
    <row r="1510">
      <c r="A1510" t="inlineStr">
        <is>
          <t>Frete de venda</t>
        </is>
      </c>
      <c r="B1510" t="inlineStr">
        <is>
          <t>2.01.02 Frete sobre Vendas</t>
        </is>
      </c>
      <c r="C1510" t="inlineStr">
        <is>
          <t>Antes de 2026</t>
        </is>
      </c>
      <c r="D1510" t="inlineStr">
        <is>
          <t>Antes de 2026</t>
        </is>
      </c>
      <c r="E1510" s="28" t="n">
        <v>45793</v>
      </c>
      <c r="F1510" t="inlineStr">
        <is>
          <t>CT-e</t>
        </is>
      </c>
      <c r="G1510" t="inlineStr">
        <is>
          <t>000004240</t>
        </is>
      </c>
      <c r="H1510" t="inlineStr">
        <is>
          <t>R&amp;R TRANSPORTE E LOGISTICA</t>
        </is>
      </c>
      <c r="J1510" s="29" t="n">
        <v>31.9</v>
      </c>
      <c r="K1510" s="29">
        <f>(1-ISNUMBER(SEARCH("556",M1510)))*(O1510*SUMIFS(Premissas!$C$5:$C$44,Premissas!$A$5:$A$44,$A1510,Premissas!$B$5:$B$44,$B1510)+P1510*SUMIFS(Premissas!$D$5:$D$44,Premissas!$A$5:$A$44,$A1510,Premissas!$B$5:$B$44,$B1510))+R1510*SUMIFS(Premissas!$E$5:$E$44,Premissas!$A$5:$A$44,$A1510,Premissas!$B$5:$B$44,$B1510)+S1510*SUMIFS(Premissas!$F$5:$F$44,Premissas!$A$5:$A$44,$A1510,Premissas!$B$5:$B$44,$B1510)</f>
        <v/>
      </c>
      <c r="L1510" s="29">
        <f>J1510-K1510</f>
        <v/>
      </c>
      <c r="M1510" t="inlineStr">
        <is>
          <t>1.350</t>
        </is>
      </c>
      <c r="N1510" t="inlineStr">
        <is>
          <t>Modalidade: 0 - Por conta do remetente | Parte: J A COMERCIO DE EMBALAGENS E ARTIGOS PARA FESTA LTDA (54.763.304/0001-30)</t>
        </is>
      </c>
      <c r="O1510" s="29" t="n">
        <v>0</v>
      </c>
      <c r="P1510" s="29" t="n">
        <v>0</v>
      </c>
      <c r="Q1510" s="29" t="n">
        <v>0</v>
      </c>
      <c r="R1510" s="29" t="n">
        <v>0</v>
      </c>
      <c r="S1510" s="29" t="n">
        <v>0</v>
      </c>
      <c r="T1510" t="inlineStr">
        <is>
          <t>25250526975620000130570010000042401000000000</t>
        </is>
      </c>
      <c r="U1510" t="inlineStr">
        <is>
          <t>Não</t>
        </is>
      </c>
    </row>
    <row r="1511">
      <c r="A1511" t="inlineStr">
        <is>
          <t>Frete de venda</t>
        </is>
      </c>
      <c r="B1511" t="inlineStr">
        <is>
          <t>2.01.02 Frete sobre Vendas</t>
        </is>
      </c>
      <c r="C1511" t="inlineStr">
        <is>
          <t>Antes de 2026</t>
        </is>
      </c>
      <c r="D1511" t="inlineStr">
        <is>
          <t>Antes de 2026</t>
        </is>
      </c>
      <c r="E1511" s="28" t="n">
        <v>45793</v>
      </c>
      <c r="F1511" t="inlineStr">
        <is>
          <t>CT-e</t>
        </is>
      </c>
      <c r="G1511" t="inlineStr">
        <is>
          <t>000004241</t>
        </is>
      </c>
      <c r="H1511" t="inlineStr">
        <is>
          <t>R&amp;R TRANSPORTE E LOGISTICA</t>
        </is>
      </c>
      <c r="J1511" s="29" t="n">
        <v>37.4</v>
      </c>
      <c r="K1511" s="29">
        <f>(1-ISNUMBER(SEARCH("556",M1511)))*(O1511*SUMIFS(Premissas!$C$5:$C$44,Premissas!$A$5:$A$44,$A1511,Premissas!$B$5:$B$44,$B1511)+P1511*SUMIFS(Premissas!$D$5:$D$44,Premissas!$A$5:$A$44,$A1511,Premissas!$B$5:$B$44,$B1511))+R1511*SUMIFS(Premissas!$E$5:$E$44,Premissas!$A$5:$A$44,$A1511,Premissas!$B$5:$B$44,$B1511)+S1511*SUMIFS(Premissas!$F$5:$F$44,Premissas!$A$5:$A$44,$A1511,Premissas!$B$5:$B$44,$B1511)</f>
        <v/>
      </c>
      <c r="L1511" s="29">
        <f>J1511-K1511</f>
        <v/>
      </c>
      <c r="M1511" t="inlineStr">
        <is>
          <t>1.350</t>
        </is>
      </c>
      <c r="N1511" t="inlineStr">
        <is>
          <t>Modalidade: 0 - Por conta do remetente | Parte: G7 GASTRONOMIA COMERCIO DE ALIMENTOS LTDA (60.481.693/0001-03)</t>
        </is>
      </c>
      <c r="O1511" s="29" t="n">
        <v>0</v>
      </c>
      <c r="P1511" s="29" t="n">
        <v>0</v>
      </c>
      <c r="Q1511" s="29" t="n">
        <v>0</v>
      </c>
      <c r="R1511" s="29" t="n">
        <v>0</v>
      </c>
      <c r="S1511" s="29" t="n">
        <v>0</v>
      </c>
      <c r="T1511" t="inlineStr">
        <is>
          <t>25250526975620000130570010000042411000000008</t>
        </is>
      </c>
      <c r="U1511" t="inlineStr">
        <is>
          <t>Não</t>
        </is>
      </c>
    </row>
    <row r="1512">
      <c r="A1512" t="inlineStr">
        <is>
          <t>Frete de venda</t>
        </is>
      </c>
      <c r="B1512" t="inlineStr">
        <is>
          <t>2.01.02 Frete sobre Vendas</t>
        </is>
      </c>
      <c r="C1512" t="inlineStr">
        <is>
          <t>Antes de 2026</t>
        </is>
      </c>
      <c r="D1512" t="inlineStr">
        <is>
          <t>Antes de 2026</t>
        </is>
      </c>
      <c r="E1512" s="28" t="n">
        <v>45793</v>
      </c>
      <c r="F1512" t="inlineStr">
        <is>
          <t>CT-e</t>
        </is>
      </c>
      <c r="G1512" t="inlineStr">
        <is>
          <t>000004242</t>
        </is>
      </c>
      <c r="H1512" t="inlineStr">
        <is>
          <t>R&amp;R TRANSPORTE E LOGISTICA</t>
        </is>
      </c>
      <c r="J1512" s="29" t="n">
        <v>31.3</v>
      </c>
      <c r="K1512" s="29">
        <f>(1-ISNUMBER(SEARCH("556",M1512)))*(O1512*SUMIFS(Premissas!$C$5:$C$44,Premissas!$A$5:$A$44,$A1512,Premissas!$B$5:$B$44,$B1512)+P1512*SUMIFS(Premissas!$D$5:$D$44,Premissas!$A$5:$A$44,$A1512,Premissas!$B$5:$B$44,$B1512))+R1512*SUMIFS(Premissas!$E$5:$E$44,Premissas!$A$5:$A$44,$A1512,Premissas!$B$5:$B$44,$B1512)+S1512*SUMIFS(Premissas!$F$5:$F$44,Premissas!$A$5:$A$44,$A1512,Premissas!$B$5:$B$44,$B1512)</f>
        <v/>
      </c>
      <c r="L1512" s="29">
        <f>J1512-K1512</f>
        <v/>
      </c>
      <c r="M1512" t="inlineStr">
        <is>
          <t>1.350</t>
        </is>
      </c>
      <c r="N1512" t="inlineStr">
        <is>
          <t>Modalidade: 0 - Por conta do remetente | Parte: GRACILIANO QUEIROZ PEREIRA DE MELO (02.604.364/0001-06)</t>
        </is>
      </c>
      <c r="O1512" s="29" t="n">
        <v>0</v>
      </c>
      <c r="P1512" s="29" t="n">
        <v>0</v>
      </c>
      <c r="Q1512" s="29" t="n">
        <v>0</v>
      </c>
      <c r="R1512" s="29" t="n">
        <v>0</v>
      </c>
      <c r="S1512" s="29" t="n">
        <v>0</v>
      </c>
      <c r="T1512" t="inlineStr">
        <is>
          <t>25250526975620000130570010000042421000000005</t>
        </is>
      </c>
      <c r="U1512" t="inlineStr">
        <is>
          <t>Não</t>
        </is>
      </c>
    </row>
    <row r="1513">
      <c r="A1513" t="inlineStr">
        <is>
          <t>Frete de venda</t>
        </is>
      </c>
      <c r="B1513" t="inlineStr">
        <is>
          <t>2.01.02 Frete sobre Vendas</t>
        </is>
      </c>
      <c r="C1513" t="inlineStr">
        <is>
          <t>Antes de 2026</t>
        </is>
      </c>
      <c r="D1513" t="inlineStr">
        <is>
          <t>Antes de 2026</t>
        </is>
      </c>
      <c r="E1513" s="28" t="n">
        <v>45793</v>
      </c>
      <c r="F1513" t="inlineStr">
        <is>
          <t>CT-e</t>
        </is>
      </c>
      <c r="G1513" t="inlineStr">
        <is>
          <t>000004243</t>
        </is>
      </c>
      <c r="H1513" t="inlineStr">
        <is>
          <t>R&amp;R TRANSPORTE E LOGISTICA</t>
        </is>
      </c>
      <c r="J1513" s="29" t="n">
        <v>31.65</v>
      </c>
      <c r="K1513" s="29">
        <f>(1-ISNUMBER(SEARCH("556",M1513)))*(O1513*SUMIFS(Premissas!$C$5:$C$44,Premissas!$A$5:$A$44,$A1513,Premissas!$B$5:$B$44,$B1513)+P1513*SUMIFS(Premissas!$D$5:$D$44,Premissas!$A$5:$A$44,$A1513,Premissas!$B$5:$B$44,$B1513))+R1513*SUMIFS(Premissas!$E$5:$E$44,Premissas!$A$5:$A$44,$A1513,Premissas!$B$5:$B$44,$B1513)+S1513*SUMIFS(Premissas!$F$5:$F$44,Premissas!$A$5:$A$44,$A1513,Premissas!$B$5:$B$44,$B1513)</f>
        <v/>
      </c>
      <c r="L1513" s="29">
        <f>J1513-K1513</f>
        <v/>
      </c>
      <c r="M1513" t="inlineStr">
        <is>
          <t>1.350</t>
        </is>
      </c>
      <c r="N1513" t="inlineStr">
        <is>
          <t>Modalidade: 0 - Por conta do remetente | Parte: LUIS HENRIQUE CERQUEIRA DA SILVA (26.119.129/0001-07)</t>
        </is>
      </c>
      <c r="O1513" s="29" t="n">
        <v>0</v>
      </c>
      <c r="P1513" s="29" t="n">
        <v>0</v>
      </c>
      <c r="Q1513" s="29" t="n">
        <v>0</v>
      </c>
      <c r="R1513" s="29" t="n">
        <v>0</v>
      </c>
      <c r="S1513" s="29" t="n">
        <v>0</v>
      </c>
      <c r="T1513" t="inlineStr">
        <is>
          <t>25250526975620000130570010000042431000000002</t>
        </is>
      </c>
      <c r="U1513" t="inlineStr">
        <is>
          <t>Não</t>
        </is>
      </c>
    </row>
    <row r="1514">
      <c r="A1514" t="inlineStr">
        <is>
          <t>Frete de venda</t>
        </is>
      </c>
      <c r="B1514" t="inlineStr">
        <is>
          <t>2.01.02 Frete sobre Vendas</t>
        </is>
      </c>
      <c r="C1514" t="inlineStr">
        <is>
          <t>Antes de 2026</t>
        </is>
      </c>
      <c r="D1514" t="inlineStr">
        <is>
          <t>Antes de 2026</t>
        </is>
      </c>
      <c r="E1514" s="28" t="n">
        <v>45793</v>
      </c>
      <c r="F1514" t="inlineStr">
        <is>
          <t>CT-e</t>
        </is>
      </c>
      <c r="G1514" t="inlineStr">
        <is>
          <t>000004244</t>
        </is>
      </c>
      <c r="H1514" t="inlineStr">
        <is>
          <t>R&amp;R TRANSPORTE E LOGISTICA</t>
        </is>
      </c>
      <c r="J1514" s="29" t="n">
        <v>32.5</v>
      </c>
      <c r="K1514" s="29">
        <f>(1-ISNUMBER(SEARCH("556",M1514)))*(O1514*SUMIFS(Premissas!$C$5:$C$44,Premissas!$A$5:$A$44,$A1514,Premissas!$B$5:$B$44,$B1514)+P1514*SUMIFS(Premissas!$D$5:$D$44,Premissas!$A$5:$A$44,$A1514,Premissas!$B$5:$B$44,$B1514))+R1514*SUMIFS(Premissas!$E$5:$E$44,Premissas!$A$5:$A$44,$A1514,Premissas!$B$5:$B$44,$B1514)+S1514*SUMIFS(Premissas!$F$5:$F$44,Premissas!$A$5:$A$44,$A1514,Premissas!$B$5:$B$44,$B1514)</f>
        <v/>
      </c>
      <c r="L1514" s="29">
        <f>J1514-K1514</f>
        <v/>
      </c>
      <c r="M1514" t="inlineStr">
        <is>
          <t>1.350</t>
        </is>
      </c>
      <c r="N1514" t="inlineStr">
        <is>
          <t>Modalidade: 0 - Por conta do remetente | Parte: COMERCIO DE MIX E ACAI DO VALLE LTDA (36.951.535/0001-95)</t>
        </is>
      </c>
      <c r="O1514" s="29" t="n">
        <v>0</v>
      </c>
      <c r="P1514" s="29" t="n">
        <v>0</v>
      </c>
      <c r="Q1514" s="29" t="n">
        <v>0</v>
      </c>
      <c r="R1514" s="29" t="n">
        <v>0</v>
      </c>
      <c r="S1514" s="29" t="n">
        <v>0</v>
      </c>
      <c r="T1514" t="inlineStr">
        <is>
          <t>25250526975620000130570010000042441000000000</t>
        </is>
      </c>
      <c r="U1514" t="inlineStr">
        <is>
          <t>Não</t>
        </is>
      </c>
    </row>
    <row r="1515">
      <c r="A1515" t="inlineStr">
        <is>
          <t>Frete de venda</t>
        </is>
      </c>
      <c r="B1515" t="inlineStr">
        <is>
          <t>2.01.02 Frete sobre Vendas</t>
        </is>
      </c>
      <c r="C1515" t="inlineStr">
        <is>
          <t>Antes de 2026</t>
        </is>
      </c>
      <c r="D1515" t="inlineStr">
        <is>
          <t>Antes de 2026</t>
        </is>
      </c>
      <c r="E1515" s="28" t="n">
        <v>45797</v>
      </c>
      <c r="F1515" t="inlineStr">
        <is>
          <t>CT-e</t>
        </is>
      </c>
      <c r="G1515" t="inlineStr">
        <is>
          <t>000004247</t>
        </is>
      </c>
      <c r="H1515" t="inlineStr">
        <is>
          <t>R&amp;R TRANSPORTE E LOGISTICA</t>
        </is>
      </c>
      <c r="J1515" s="29" t="n">
        <v>194.67</v>
      </c>
      <c r="K1515" s="29">
        <f>(1-ISNUMBER(SEARCH("556",M1515)))*(O1515*SUMIFS(Premissas!$C$5:$C$44,Premissas!$A$5:$A$44,$A1515,Premissas!$B$5:$B$44,$B1515)+P1515*SUMIFS(Premissas!$D$5:$D$44,Premissas!$A$5:$A$44,$A1515,Premissas!$B$5:$B$44,$B1515))+R1515*SUMIFS(Premissas!$E$5:$E$44,Premissas!$A$5:$A$44,$A1515,Premissas!$B$5:$B$44,$B1515)+S1515*SUMIFS(Premissas!$F$5:$F$44,Premissas!$A$5:$A$44,$A1515,Premissas!$B$5:$B$44,$B1515)</f>
        <v/>
      </c>
      <c r="L1515" s="29">
        <f>J1515-K1515</f>
        <v/>
      </c>
      <c r="M1515" t="inlineStr">
        <is>
          <t>1.350</t>
        </is>
      </c>
      <c r="N1515" t="inlineStr">
        <is>
          <t>Modalidade: 0 - Por conta do remetente | Parte: JND DISTRIBUIDORA LTDA (36.332.668/0001-83)</t>
        </is>
      </c>
      <c r="O1515" s="29" t="n">
        <v>0</v>
      </c>
      <c r="P1515" s="29" t="n">
        <v>0</v>
      </c>
      <c r="Q1515" s="29" t="n">
        <v>0</v>
      </c>
      <c r="R1515" s="29" t="n">
        <v>0</v>
      </c>
      <c r="S1515" s="29" t="n">
        <v>0</v>
      </c>
      <c r="T1515" t="inlineStr">
        <is>
          <t>25250526975620000130570010000042471000000001</t>
        </is>
      </c>
      <c r="U1515" t="inlineStr">
        <is>
          <t>Não</t>
        </is>
      </c>
    </row>
    <row r="1516">
      <c r="A1516" t="inlineStr">
        <is>
          <t>Frete de venda</t>
        </is>
      </c>
      <c r="B1516" t="inlineStr">
        <is>
          <t>2.01.02 Frete sobre Vendas</t>
        </is>
      </c>
      <c r="C1516" t="inlineStr">
        <is>
          <t>Antes de 2026</t>
        </is>
      </c>
      <c r="D1516" t="inlineStr">
        <is>
          <t>Antes de 2026</t>
        </is>
      </c>
      <c r="E1516" s="28" t="n">
        <v>45800</v>
      </c>
      <c r="F1516" t="inlineStr">
        <is>
          <t>CT-e</t>
        </is>
      </c>
      <c r="G1516" t="inlineStr">
        <is>
          <t>000004267</t>
        </is>
      </c>
      <c r="H1516" t="inlineStr">
        <is>
          <t>R&amp;R TRANSPORTE E LOGISTICA</t>
        </is>
      </c>
      <c r="J1516" s="29" t="n">
        <v>34.88</v>
      </c>
      <c r="K1516" s="29">
        <f>(1-ISNUMBER(SEARCH("556",M1516)))*(O1516*SUMIFS(Premissas!$C$5:$C$44,Premissas!$A$5:$A$44,$A1516,Premissas!$B$5:$B$44,$B1516)+P1516*SUMIFS(Premissas!$D$5:$D$44,Premissas!$A$5:$A$44,$A1516,Premissas!$B$5:$B$44,$B1516))+R1516*SUMIFS(Premissas!$E$5:$E$44,Premissas!$A$5:$A$44,$A1516,Premissas!$B$5:$B$44,$B1516)+S1516*SUMIFS(Premissas!$F$5:$F$44,Premissas!$A$5:$A$44,$A1516,Premissas!$B$5:$B$44,$B1516)</f>
        <v/>
      </c>
      <c r="L1516" s="29">
        <f>J1516-K1516</f>
        <v/>
      </c>
      <c r="M1516" t="inlineStr">
        <is>
          <t>1.350</t>
        </is>
      </c>
      <c r="N1516" t="inlineStr">
        <is>
          <t>Modalidade: 0 - Por conta do remetente | Parte: EDIVAL FRANCISCO TAVARES LTDA (47.351.368/0001-68)</t>
        </is>
      </c>
      <c r="O1516" s="29" t="n">
        <v>0</v>
      </c>
      <c r="P1516" s="29" t="n">
        <v>0</v>
      </c>
      <c r="Q1516" s="29" t="n">
        <v>0</v>
      </c>
      <c r="R1516" s="29" t="n">
        <v>0</v>
      </c>
      <c r="S1516" s="29" t="n">
        <v>0</v>
      </c>
      <c r="T1516" t="inlineStr">
        <is>
          <t>25250526975620000130570010000042671000000004</t>
        </is>
      </c>
      <c r="U1516" t="inlineStr">
        <is>
          <t>Não</t>
        </is>
      </c>
    </row>
    <row r="1517">
      <c r="A1517" t="inlineStr">
        <is>
          <t>Frete de venda</t>
        </is>
      </c>
      <c r="B1517" t="inlineStr">
        <is>
          <t>2.01.02 Frete sobre Vendas</t>
        </is>
      </c>
      <c r="C1517" t="inlineStr">
        <is>
          <t>Antes de 2026</t>
        </is>
      </c>
      <c r="D1517" t="inlineStr">
        <is>
          <t>Antes de 2026</t>
        </is>
      </c>
      <c r="E1517" s="28" t="n">
        <v>45800</v>
      </c>
      <c r="F1517" t="inlineStr">
        <is>
          <t>CT-e</t>
        </is>
      </c>
      <c r="G1517" t="inlineStr">
        <is>
          <t>000004268</t>
        </is>
      </c>
      <c r="H1517" t="inlineStr">
        <is>
          <t>R&amp;R TRANSPORTE E LOGISTICA</t>
        </is>
      </c>
      <c r="J1517" s="29" t="n">
        <v>40.58</v>
      </c>
      <c r="K1517" s="29">
        <f>(1-ISNUMBER(SEARCH("556",M1517)))*(O1517*SUMIFS(Premissas!$C$5:$C$44,Premissas!$A$5:$A$44,$A1517,Premissas!$B$5:$B$44,$B1517)+P1517*SUMIFS(Premissas!$D$5:$D$44,Premissas!$A$5:$A$44,$A1517,Premissas!$B$5:$B$44,$B1517))+R1517*SUMIFS(Premissas!$E$5:$E$44,Premissas!$A$5:$A$44,$A1517,Premissas!$B$5:$B$44,$B1517)+S1517*SUMIFS(Premissas!$F$5:$F$44,Premissas!$A$5:$A$44,$A1517,Premissas!$B$5:$B$44,$B1517)</f>
        <v/>
      </c>
      <c r="L1517" s="29">
        <f>J1517-K1517</f>
        <v/>
      </c>
      <c r="M1517" t="inlineStr">
        <is>
          <t>1.350</t>
        </is>
      </c>
      <c r="N1517" t="inlineStr">
        <is>
          <t>Modalidade: 0 - Por conta do remetente | Parte: COMERCIO DE ALIMENTOS ANHANDUI LTDA (10.602.507/0001-79)</t>
        </is>
      </c>
      <c r="O1517" s="29" t="n">
        <v>0</v>
      </c>
      <c r="P1517" s="29" t="n">
        <v>0</v>
      </c>
      <c r="Q1517" s="29" t="n">
        <v>0</v>
      </c>
      <c r="R1517" s="29" t="n">
        <v>0</v>
      </c>
      <c r="S1517" s="29" t="n">
        <v>0</v>
      </c>
      <c r="T1517" t="inlineStr">
        <is>
          <t>25250526975620000130570010000042681000000001</t>
        </is>
      </c>
      <c r="U1517" t="inlineStr">
        <is>
          <t>Não</t>
        </is>
      </c>
    </row>
    <row r="1518">
      <c r="A1518" t="inlineStr">
        <is>
          <t>Frete de venda</t>
        </is>
      </c>
      <c r="B1518" t="inlineStr">
        <is>
          <t>2.01.02 Frete sobre Vendas</t>
        </is>
      </c>
      <c r="C1518" t="inlineStr">
        <is>
          <t>Antes de 2026</t>
        </is>
      </c>
      <c r="D1518" t="inlineStr">
        <is>
          <t>Antes de 2026</t>
        </is>
      </c>
      <c r="E1518" s="28" t="n">
        <v>45800</v>
      </c>
      <c r="F1518" t="inlineStr">
        <is>
          <t>CT-e</t>
        </is>
      </c>
      <c r="G1518" t="inlineStr">
        <is>
          <t>000004269</t>
        </is>
      </c>
      <c r="H1518" t="inlineStr">
        <is>
          <t>R&amp;R TRANSPORTE E LOGISTICA</t>
        </is>
      </c>
      <c r="J1518" s="29" t="n">
        <v>140.43</v>
      </c>
      <c r="K1518" s="29">
        <f>(1-ISNUMBER(SEARCH("556",M1518)))*(O1518*SUMIFS(Premissas!$C$5:$C$44,Premissas!$A$5:$A$44,$A1518,Premissas!$B$5:$B$44,$B1518)+P1518*SUMIFS(Premissas!$D$5:$D$44,Premissas!$A$5:$A$44,$A1518,Premissas!$B$5:$B$44,$B1518))+R1518*SUMIFS(Premissas!$E$5:$E$44,Premissas!$A$5:$A$44,$A1518,Premissas!$B$5:$B$44,$B1518)+S1518*SUMIFS(Premissas!$F$5:$F$44,Premissas!$A$5:$A$44,$A1518,Premissas!$B$5:$B$44,$B1518)</f>
        <v/>
      </c>
      <c r="L1518" s="29">
        <f>J1518-K1518</f>
        <v/>
      </c>
      <c r="M1518" t="inlineStr">
        <is>
          <t>1.350</t>
        </is>
      </c>
      <c r="N1518" t="inlineStr">
        <is>
          <t>Modalidade: 0 - Por conta do remetente | Parte: DISTRIBUIDORA DE EMBALAGENS CASTROPIL LTDA. (08.961.274/0007-44)</t>
        </is>
      </c>
      <c r="O1518" s="29" t="n">
        <v>0</v>
      </c>
      <c r="P1518" s="29" t="n">
        <v>0</v>
      </c>
      <c r="Q1518" s="29" t="n">
        <v>0</v>
      </c>
      <c r="R1518" s="29" t="n">
        <v>0</v>
      </c>
      <c r="S1518" s="29" t="n">
        <v>0</v>
      </c>
      <c r="T1518" t="inlineStr">
        <is>
          <t>25250526975620000130570010000042691000000009</t>
        </is>
      </c>
      <c r="U1518" t="inlineStr">
        <is>
          <t>Não</t>
        </is>
      </c>
    </row>
    <row r="1519">
      <c r="A1519" t="inlineStr">
        <is>
          <t>Frete de venda</t>
        </is>
      </c>
      <c r="B1519" t="inlineStr">
        <is>
          <t>2.01.02 Frete sobre Vendas</t>
        </is>
      </c>
      <c r="C1519" t="inlineStr">
        <is>
          <t>Antes de 2026</t>
        </is>
      </c>
      <c r="D1519" t="inlineStr">
        <is>
          <t>Antes de 2026</t>
        </is>
      </c>
      <c r="E1519" s="28" t="n">
        <v>45800</v>
      </c>
      <c r="F1519" t="inlineStr">
        <is>
          <t>CT-e</t>
        </is>
      </c>
      <c r="G1519" t="inlineStr">
        <is>
          <t>000004270</t>
        </is>
      </c>
      <c r="H1519" t="inlineStr">
        <is>
          <t>R&amp;R TRANSPORTE E LOGISTICA</t>
        </is>
      </c>
      <c r="J1519" s="29" t="n">
        <v>48.65</v>
      </c>
      <c r="K1519" s="29">
        <f>(1-ISNUMBER(SEARCH("556",M1519)))*(O1519*SUMIFS(Premissas!$C$5:$C$44,Premissas!$A$5:$A$44,$A1519,Premissas!$B$5:$B$44,$B1519)+P1519*SUMIFS(Premissas!$D$5:$D$44,Premissas!$A$5:$A$44,$A1519,Premissas!$B$5:$B$44,$B1519))+R1519*SUMIFS(Premissas!$E$5:$E$44,Premissas!$A$5:$A$44,$A1519,Premissas!$B$5:$B$44,$B1519)+S1519*SUMIFS(Premissas!$F$5:$F$44,Premissas!$A$5:$A$44,$A1519,Premissas!$B$5:$B$44,$B1519)</f>
        <v/>
      </c>
      <c r="L1519" s="29">
        <f>J1519-K1519</f>
        <v/>
      </c>
      <c r="M1519" t="inlineStr">
        <is>
          <t>1.350</t>
        </is>
      </c>
      <c r="N1519" t="inlineStr">
        <is>
          <t>Modalidade: 0 - Por conta do remetente | Parte: SHALOM COMERCIO DE EMBALAGENS LTDA (30.935.496/0001-56)</t>
        </is>
      </c>
      <c r="O1519" s="29" t="n">
        <v>0</v>
      </c>
      <c r="P1519" s="29" t="n">
        <v>0</v>
      </c>
      <c r="Q1519" s="29" t="n">
        <v>0</v>
      </c>
      <c r="R1519" s="29" t="n">
        <v>0</v>
      </c>
      <c r="S1519" s="29" t="n">
        <v>0</v>
      </c>
      <c r="T1519" t="inlineStr">
        <is>
          <t>25250526975620000130570010000042701000000000</t>
        </is>
      </c>
      <c r="U1519" t="inlineStr">
        <is>
          <t>Não</t>
        </is>
      </c>
    </row>
    <row r="1520">
      <c r="A1520" t="inlineStr">
        <is>
          <t>Frete de venda</t>
        </is>
      </c>
      <c r="B1520" t="inlineStr">
        <is>
          <t>2.01.02 Frete sobre Vendas</t>
        </is>
      </c>
      <c r="C1520" t="inlineStr">
        <is>
          <t>Antes de 2026</t>
        </is>
      </c>
      <c r="D1520" t="inlineStr">
        <is>
          <t>Antes de 2026</t>
        </is>
      </c>
      <c r="E1520" s="28" t="n">
        <v>45800</v>
      </c>
      <c r="F1520" t="inlineStr">
        <is>
          <t>CT-e</t>
        </is>
      </c>
      <c r="G1520" t="inlineStr">
        <is>
          <t>000004271</t>
        </is>
      </c>
      <c r="H1520" t="inlineStr">
        <is>
          <t>R&amp;R TRANSPORTE E LOGISTICA</t>
        </is>
      </c>
      <c r="J1520" s="29" t="n">
        <v>45.08</v>
      </c>
      <c r="K1520" s="29">
        <f>(1-ISNUMBER(SEARCH("556",M1520)))*(O1520*SUMIFS(Premissas!$C$5:$C$44,Premissas!$A$5:$A$44,$A1520,Premissas!$B$5:$B$44,$B1520)+P1520*SUMIFS(Premissas!$D$5:$D$44,Premissas!$A$5:$A$44,$A1520,Premissas!$B$5:$B$44,$B1520))+R1520*SUMIFS(Premissas!$E$5:$E$44,Premissas!$A$5:$A$44,$A1520,Premissas!$B$5:$B$44,$B1520)+S1520*SUMIFS(Premissas!$F$5:$F$44,Premissas!$A$5:$A$44,$A1520,Premissas!$B$5:$B$44,$B1520)</f>
        <v/>
      </c>
      <c r="L1520" s="29">
        <f>J1520-K1520</f>
        <v/>
      </c>
      <c r="M1520" t="inlineStr">
        <is>
          <t>1.350</t>
        </is>
      </c>
      <c r="N1520" t="inlineStr">
        <is>
          <t>Modalidade: 0 - Por conta do remetente | Parte: PRODESC BENFICA EMBALAGENS LTDA (06.058.769/0001-47)</t>
        </is>
      </c>
      <c r="O1520" s="29" t="n">
        <v>0</v>
      </c>
      <c r="P1520" s="29" t="n">
        <v>0</v>
      </c>
      <c r="Q1520" s="29" t="n">
        <v>0</v>
      </c>
      <c r="R1520" s="29" t="n">
        <v>0</v>
      </c>
      <c r="S1520" s="29" t="n">
        <v>0</v>
      </c>
      <c r="T1520" t="inlineStr">
        <is>
          <t>25250526975620000130570010000042711000000007</t>
        </is>
      </c>
      <c r="U1520" t="inlineStr">
        <is>
          <t>Não</t>
        </is>
      </c>
    </row>
    <row r="1521">
      <c r="A1521" t="inlineStr">
        <is>
          <t>Frete de venda</t>
        </is>
      </c>
      <c r="B1521" t="inlineStr">
        <is>
          <t>2.01.02 Frete sobre Vendas</t>
        </is>
      </c>
      <c r="C1521" t="inlineStr">
        <is>
          <t>Antes de 2026</t>
        </is>
      </c>
      <c r="D1521" t="inlineStr">
        <is>
          <t>Antes de 2026</t>
        </is>
      </c>
      <c r="E1521" s="28" t="n">
        <v>45800</v>
      </c>
      <c r="F1521" t="inlineStr">
        <is>
          <t>CT-e</t>
        </is>
      </c>
      <c r="G1521" t="inlineStr">
        <is>
          <t>000004272</t>
        </is>
      </c>
      <c r="H1521" t="inlineStr">
        <is>
          <t>R&amp;R TRANSPORTE E LOGISTICA</t>
        </is>
      </c>
      <c r="J1521" s="29" t="n">
        <v>46.92</v>
      </c>
      <c r="K1521" s="29">
        <f>(1-ISNUMBER(SEARCH("556",M1521)))*(O1521*SUMIFS(Premissas!$C$5:$C$44,Premissas!$A$5:$A$44,$A1521,Premissas!$B$5:$B$44,$B1521)+P1521*SUMIFS(Premissas!$D$5:$D$44,Premissas!$A$5:$A$44,$A1521,Premissas!$B$5:$B$44,$B1521))+R1521*SUMIFS(Premissas!$E$5:$E$44,Premissas!$A$5:$A$44,$A1521,Premissas!$B$5:$B$44,$B1521)+S1521*SUMIFS(Premissas!$F$5:$F$44,Premissas!$A$5:$A$44,$A1521,Premissas!$B$5:$B$44,$B1521)</f>
        <v/>
      </c>
      <c r="L1521" s="29">
        <f>J1521-K1521</f>
        <v/>
      </c>
      <c r="M1521" t="inlineStr">
        <is>
          <t>1.350</t>
        </is>
      </c>
      <c r="N1521" t="inlineStr">
        <is>
          <t>Modalidade: 0 - Por conta do remetente | Parte: A PREFERIDA DE MACAE ON LINE UTILIDADES LTDA (54.387.461/0001-98)</t>
        </is>
      </c>
      <c r="O1521" s="29" t="n">
        <v>0</v>
      </c>
      <c r="P1521" s="29" t="n">
        <v>0</v>
      </c>
      <c r="Q1521" s="29" t="n">
        <v>0</v>
      </c>
      <c r="R1521" s="29" t="n">
        <v>0</v>
      </c>
      <c r="S1521" s="29" t="n">
        <v>0</v>
      </c>
      <c r="T1521" t="inlineStr">
        <is>
          <t>25250526975620000130570010000042721000000004</t>
        </is>
      </c>
      <c r="U1521" t="inlineStr">
        <is>
          <t>Não</t>
        </is>
      </c>
    </row>
    <row r="1522">
      <c r="A1522" t="inlineStr">
        <is>
          <t>Frete de venda</t>
        </is>
      </c>
      <c r="B1522" t="inlineStr">
        <is>
          <t>2.01.02 Frete sobre Vendas</t>
        </is>
      </c>
      <c r="C1522" t="inlineStr">
        <is>
          <t>Antes de 2026</t>
        </is>
      </c>
      <c r="D1522" t="inlineStr">
        <is>
          <t>Antes de 2026</t>
        </is>
      </c>
      <c r="E1522" s="28" t="n">
        <v>45800</v>
      </c>
      <c r="F1522" t="inlineStr">
        <is>
          <t>CT-e</t>
        </is>
      </c>
      <c r="G1522" t="inlineStr">
        <is>
          <t>000004273</t>
        </is>
      </c>
      <c r="H1522" t="inlineStr">
        <is>
          <t>R&amp;R TRANSPORTE E LOGISTICA</t>
        </is>
      </c>
      <c r="J1522" s="29" t="n">
        <v>35.83</v>
      </c>
      <c r="K1522" s="29">
        <f>(1-ISNUMBER(SEARCH("556",M1522)))*(O1522*SUMIFS(Premissas!$C$5:$C$44,Premissas!$A$5:$A$44,$A1522,Premissas!$B$5:$B$44,$B1522)+P1522*SUMIFS(Premissas!$D$5:$D$44,Premissas!$A$5:$A$44,$A1522,Premissas!$B$5:$B$44,$B1522))+R1522*SUMIFS(Premissas!$E$5:$E$44,Premissas!$A$5:$A$44,$A1522,Premissas!$B$5:$B$44,$B1522)+S1522*SUMIFS(Premissas!$F$5:$F$44,Premissas!$A$5:$A$44,$A1522,Premissas!$B$5:$B$44,$B1522)</f>
        <v/>
      </c>
      <c r="L1522" s="29">
        <f>J1522-K1522</f>
        <v/>
      </c>
      <c r="M1522" t="inlineStr">
        <is>
          <t>1.350</t>
        </is>
      </c>
      <c r="N1522" t="inlineStr">
        <is>
          <t>Modalidade: 0 - Por conta do remetente | Parte: PROPACK COMERCIAL LTDA (43.437.401/0001-16)</t>
        </is>
      </c>
      <c r="O1522" s="29" t="n">
        <v>0</v>
      </c>
      <c r="P1522" s="29" t="n">
        <v>0</v>
      </c>
      <c r="Q1522" s="29" t="n">
        <v>0</v>
      </c>
      <c r="R1522" s="29" t="n">
        <v>0</v>
      </c>
      <c r="S1522" s="29" t="n">
        <v>0</v>
      </c>
      <c r="T1522" t="inlineStr">
        <is>
          <t>25250526975620000130570010000042731000000001</t>
        </is>
      </c>
      <c r="U1522" t="inlineStr">
        <is>
          <t>Não</t>
        </is>
      </c>
    </row>
    <row r="1523">
      <c r="A1523" t="inlineStr">
        <is>
          <t>Frete de venda</t>
        </is>
      </c>
      <c r="B1523" t="inlineStr">
        <is>
          <t>2.01.02 Frete sobre Vendas</t>
        </is>
      </c>
      <c r="C1523" t="inlineStr">
        <is>
          <t>Antes de 2026</t>
        </is>
      </c>
      <c r="D1523" t="inlineStr">
        <is>
          <t>Antes de 2026</t>
        </is>
      </c>
      <c r="E1523" s="28" t="n">
        <v>45800</v>
      </c>
      <c r="F1523" t="inlineStr">
        <is>
          <t>CT-e</t>
        </is>
      </c>
      <c r="G1523" t="inlineStr">
        <is>
          <t>000004274</t>
        </is>
      </c>
      <c r="H1523" t="inlineStr">
        <is>
          <t>R&amp;R TRANSPORTE E LOGISTICA</t>
        </is>
      </c>
      <c r="J1523" s="29" t="n">
        <v>40.43</v>
      </c>
      <c r="K1523" s="29">
        <f>(1-ISNUMBER(SEARCH("556",M1523)))*(O1523*SUMIFS(Premissas!$C$5:$C$44,Premissas!$A$5:$A$44,$A1523,Premissas!$B$5:$B$44,$B1523)+P1523*SUMIFS(Premissas!$D$5:$D$44,Premissas!$A$5:$A$44,$A1523,Premissas!$B$5:$B$44,$B1523))+R1523*SUMIFS(Premissas!$E$5:$E$44,Premissas!$A$5:$A$44,$A1523,Premissas!$B$5:$B$44,$B1523)+S1523*SUMIFS(Premissas!$F$5:$F$44,Premissas!$A$5:$A$44,$A1523,Premissas!$B$5:$B$44,$B1523)</f>
        <v/>
      </c>
      <c r="L1523" s="29">
        <f>J1523-K1523</f>
        <v/>
      </c>
      <c r="M1523" t="inlineStr">
        <is>
          <t>1.350</t>
        </is>
      </c>
      <c r="N1523" t="inlineStr">
        <is>
          <t>Modalidade: 0 - Por conta do remetente | Parte: NOVA SERRA PLAST COMERCIO DE EMBALAGENS, ALIMENTOS E UTI... (55.651.203/0001-30)</t>
        </is>
      </c>
      <c r="O1523" s="29" t="n">
        <v>0</v>
      </c>
      <c r="P1523" s="29" t="n">
        <v>0</v>
      </c>
      <c r="Q1523" s="29" t="n">
        <v>0</v>
      </c>
      <c r="R1523" s="29" t="n">
        <v>0</v>
      </c>
      <c r="S1523" s="29" t="n">
        <v>0</v>
      </c>
      <c r="T1523" t="inlineStr">
        <is>
          <t>25250526975620000130570010000042741000000009</t>
        </is>
      </c>
      <c r="U1523" t="inlineStr">
        <is>
          <t>Não</t>
        </is>
      </c>
    </row>
    <row r="1524">
      <c r="A1524" t="inlineStr">
        <is>
          <t>Frete de venda</t>
        </is>
      </c>
      <c r="B1524" t="inlineStr">
        <is>
          <t>2.01.02 Frete sobre Vendas</t>
        </is>
      </c>
      <c r="C1524" t="inlineStr">
        <is>
          <t>Antes de 2026</t>
        </is>
      </c>
      <c r="D1524" t="inlineStr">
        <is>
          <t>Antes de 2026</t>
        </is>
      </c>
      <c r="E1524" s="28" t="n">
        <v>45803</v>
      </c>
      <c r="F1524" t="inlineStr">
        <is>
          <t>CT-e</t>
        </is>
      </c>
      <c r="G1524" t="inlineStr">
        <is>
          <t>000004282</t>
        </is>
      </c>
      <c r="H1524" t="inlineStr">
        <is>
          <t>R&amp;R TRANSPORTE E LOGISTICA</t>
        </is>
      </c>
      <c r="J1524" s="29" t="n">
        <v>1230</v>
      </c>
      <c r="K1524" s="29">
        <f>(1-ISNUMBER(SEARCH("556",M1524)))*(O1524*SUMIFS(Premissas!$C$5:$C$44,Premissas!$A$5:$A$44,$A1524,Premissas!$B$5:$B$44,$B1524)+P1524*SUMIFS(Premissas!$D$5:$D$44,Premissas!$A$5:$A$44,$A1524,Premissas!$B$5:$B$44,$B1524))+R1524*SUMIFS(Premissas!$E$5:$E$44,Premissas!$A$5:$A$44,$A1524,Premissas!$B$5:$B$44,$B1524)+S1524*SUMIFS(Premissas!$F$5:$F$44,Premissas!$A$5:$A$44,$A1524,Premissas!$B$5:$B$44,$B1524)</f>
        <v/>
      </c>
      <c r="L1524" s="29">
        <f>J1524-K1524</f>
        <v/>
      </c>
      <c r="M1524" t="inlineStr">
        <is>
          <t>1.350</t>
        </is>
      </c>
      <c r="N1524" t="inlineStr">
        <is>
          <t>Modalidade: 0 - Por conta do remetente | Parte: COMERCIO DE MIX E ACAI DO VALLE LTDA (36.951.535/0001-95)</t>
        </is>
      </c>
      <c r="O1524" s="29" t="n">
        <v>0</v>
      </c>
      <c r="P1524" s="29" t="n">
        <v>0</v>
      </c>
      <c r="Q1524" s="29" t="n">
        <v>0</v>
      </c>
      <c r="R1524" s="29" t="n">
        <v>0</v>
      </c>
      <c r="S1524" s="29" t="n">
        <v>0</v>
      </c>
      <c r="T1524" t="inlineStr">
        <is>
          <t>25250526975620000130570010000042821000000000</t>
        </is>
      </c>
      <c r="U1524" t="inlineStr">
        <is>
          <t>Não</t>
        </is>
      </c>
    </row>
    <row r="1525">
      <c r="A1525" t="inlineStr">
        <is>
          <t>Frete de venda</t>
        </is>
      </c>
      <c r="B1525" t="inlineStr">
        <is>
          <t>2.01.02 Frete sobre Vendas</t>
        </is>
      </c>
      <c r="C1525" t="inlineStr">
        <is>
          <t>Antes de 2026</t>
        </is>
      </c>
      <c r="D1525" t="inlineStr">
        <is>
          <t>Antes de 2026</t>
        </is>
      </c>
      <c r="E1525" s="28" t="n">
        <v>45803</v>
      </c>
      <c r="F1525" t="inlineStr">
        <is>
          <t>CT-e</t>
        </is>
      </c>
      <c r="G1525" t="inlineStr">
        <is>
          <t>000004283</t>
        </is>
      </c>
      <c r="H1525" t="inlineStr">
        <is>
          <t>R&amp;R TRANSPORTE E LOGISTICA</t>
        </is>
      </c>
      <c r="J1525" s="29" t="n">
        <v>180</v>
      </c>
      <c r="K1525" s="29">
        <f>(1-ISNUMBER(SEARCH("556",M1525)))*(O1525*SUMIFS(Premissas!$C$5:$C$44,Premissas!$A$5:$A$44,$A1525,Premissas!$B$5:$B$44,$B1525)+P1525*SUMIFS(Premissas!$D$5:$D$44,Premissas!$A$5:$A$44,$A1525,Premissas!$B$5:$B$44,$B1525))+R1525*SUMIFS(Premissas!$E$5:$E$44,Premissas!$A$5:$A$44,$A1525,Premissas!$B$5:$B$44,$B1525)+S1525*SUMIFS(Premissas!$F$5:$F$44,Premissas!$A$5:$A$44,$A1525,Premissas!$B$5:$B$44,$B1525)</f>
        <v/>
      </c>
      <c r="L1525" s="29">
        <f>J1525-K1525</f>
        <v/>
      </c>
      <c r="M1525" t="inlineStr">
        <is>
          <t>1.350</t>
        </is>
      </c>
      <c r="N1525" t="inlineStr">
        <is>
          <t>Modalidade: 0 - Por conta do remetente | Parte: M N L FLORENTINO LTDA (47.068.852/0001-84)</t>
        </is>
      </c>
      <c r="O1525" s="29" t="n">
        <v>0</v>
      </c>
      <c r="P1525" s="29" t="n">
        <v>0</v>
      </c>
      <c r="Q1525" s="29" t="n">
        <v>0</v>
      </c>
      <c r="R1525" s="29" t="n">
        <v>0</v>
      </c>
      <c r="S1525" s="29" t="n">
        <v>0</v>
      </c>
      <c r="T1525" t="inlineStr">
        <is>
          <t>25250526975620000130570010000042831000000008</t>
        </is>
      </c>
      <c r="U1525" t="inlineStr">
        <is>
          <t>Não</t>
        </is>
      </c>
    </row>
    <row r="1526">
      <c r="A1526" t="inlineStr">
        <is>
          <t>Frete de venda</t>
        </is>
      </c>
      <c r="B1526" t="inlineStr">
        <is>
          <t>2.01.02 Frete sobre Vendas</t>
        </is>
      </c>
      <c r="C1526" t="inlineStr">
        <is>
          <t>Antes de 2026</t>
        </is>
      </c>
      <c r="D1526" t="inlineStr">
        <is>
          <t>Antes de 2026</t>
        </is>
      </c>
      <c r="E1526" s="28" t="n">
        <v>45804</v>
      </c>
      <c r="F1526" t="inlineStr">
        <is>
          <t>CT-e</t>
        </is>
      </c>
      <c r="G1526" t="inlineStr">
        <is>
          <t>000004285</t>
        </is>
      </c>
      <c r="H1526" t="inlineStr">
        <is>
          <t>R&amp;R TRANSPORTE E LOGISTICA</t>
        </is>
      </c>
      <c r="J1526" s="29" t="n">
        <v>1400</v>
      </c>
      <c r="K1526" s="29">
        <f>(1-ISNUMBER(SEARCH("556",M1526)))*(O1526*SUMIFS(Premissas!$C$5:$C$44,Premissas!$A$5:$A$44,$A1526,Premissas!$B$5:$B$44,$B1526)+P1526*SUMIFS(Premissas!$D$5:$D$44,Premissas!$A$5:$A$44,$A1526,Premissas!$B$5:$B$44,$B1526))+R1526*SUMIFS(Premissas!$E$5:$E$44,Premissas!$A$5:$A$44,$A1526,Premissas!$B$5:$B$44,$B1526)+S1526*SUMIFS(Premissas!$F$5:$F$44,Premissas!$A$5:$A$44,$A1526,Premissas!$B$5:$B$44,$B1526)</f>
        <v/>
      </c>
      <c r="L1526" s="29">
        <f>J1526-K1526</f>
        <v/>
      </c>
      <c r="M1526" t="inlineStr">
        <is>
          <t>1.350</t>
        </is>
      </c>
      <c r="N1526" t="inlineStr">
        <is>
          <t>Modalidade: 0 - Por conta do remetente | Parte: VILMA GOMES FREITAS DE OLIVEIRA LTDA (08.035.528/0001-08)</t>
        </is>
      </c>
      <c r="O1526" s="29" t="n">
        <v>0</v>
      </c>
      <c r="P1526" s="29" t="n">
        <v>0</v>
      </c>
      <c r="Q1526" s="29" t="n">
        <v>0</v>
      </c>
      <c r="R1526" s="29" t="n">
        <v>0</v>
      </c>
      <c r="S1526" s="29" t="n">
        <v>0</v>
      </c>
      <c r="T1526" t="inlineStr">
        <is>
          <t>25250526975620000130570010000042851000000002</t>
        </is>
      </c>
      <c r="U1526" t="inlineStr">
        <is>
          <t>Não</t>
        </is>
      </c>
    </row>
    <row r="1527">
      <c r="A1527" t="inlineStr">
        <is>
          <t>Frete de venda</t>
        </is>
      </c>
      <c r="B1527" t="inlineStr">
        <is>
          <t>2.01.02 Frete sobre Vendas</t>
        </is>
      </c>
      <c r="C1527" t="inlineStr">
        <is>
          <t>Antes de 2026</t>
        </is>
      </c>
      <c r="D1527" t="inlineStr">
        <is>
          <t>Antes de 2026</t>
        </is>
      </c>
      <c r="E1527" s="28" t="n">
        <v>45804</v>
      </c>
      <c r="F1527" t="inlineStr">
        <is>
          <t>CT-e</t>
        </is>
      </c>
      <c r="G1527" t="inlineStr">
        <is>
          <t>000004286</t>
        </is>
      </c>
      <c r="H1527" t="inlineStr">
        <is>
          <t>R&amp;R TRANSPORTE E LOGISTICA</t>
        </is>
      </c>
      <c r="J1527" s="29" t="n">
        <v>87.04000000000001</v>
      </c>
      <c r="K1527" s="29">
        <f>(1-ISNUMBER(SEARCH("556",M1527)))*(O1527*SUMIFS(Premissas!$C$5:$C$44,Premissas!$A$5:$A$44,$A1527,Premissas!$B$5:$B$44,$B1527)+P1527*SUMIFS(Premissas!$D$5:$D$44,Premissas!$A$5:$A$44,$A1527,Premissas!$B$5:$B$44,$B1527))+R1527*SUMIFS(Premissas!$E$5:$E$44,Premissas!$A$5:$A$44,$A1527,Premissas!$B$5:$B$44,$B1527)+S1527*SUMIFS(Premissas!$F$5:$F$44,Premissas!$A$5:$A$44,$A1527,Premissas!$B$5:$B$44,$B1527)</f>
        <v/>
      </c>
      <c r="L1527" s="29">
        <f>J1527-K1527</f>
        <v/>
      </c>
      <c r="M1527" t="inlineStr">
        <is>
          <t>1.350</t>
        </is>
      </c>
      <c r="N1527" t="inlineStr">
        <is>
          <t>Modalidade: 0 - Por conta do remetente | Parte: HAPPY FESTAS LTDA (24.626.452/0001-41)</t>
        </is>
      </c>
      <c r="O1527" s="29" t="n">
        <v>0</v>
      </c>
      <c r="P1527" s="29" t="n">
        <v>0</v>
      </c>
      <c r="Q1527" s="29" t="n">
        <v>0</v>
      </c>
      <c r="R1527" s="29" t="n">
        <v>0</v>
      </c>
      <c r="S1527" s="29" t="n">
        <v>0</v>
      </c>
      <c r="T1527" t="inlineStr">
        <is>
          <t>25250526975620000130570010000042861000000000</t>
        </is>
      </c>
      <c r="U1527" t="inlineStr">
        <is>
          <t>Não</t>
        </is>
      </c>
    </row>
    <row r="1528">
      <c r="A1528" t="inlineStr">
        <is>
          <t>Frete de venda</t>
        </is>
      </c>
      <c r="B1528" t="inlineStr">
        <is>
          <t>2.01.02 Frete sobre Vendas</t>
        </is>
      </c>
      <c r="C1528" t="inlineStr">
        <is>
          <t>Antes de 2026</t>
        </is>
      </c>
      <c r="D1528" t="inlineStr">
        <is>
          <t>Antes de 2026</t>
        </is>
      </c>
      <c r="E1528" s="28" t="n">
        <v>45804</v>
      </c>
      <c r="F1528" t="inlineStr">
        <is>
          <t>CT-e</t>
        </is>
      </c>
      <c r="G1528" t="inlineStr">
        <is>
          <t>000004287</t>
        </is>
      </c>
      <c r="H1528" t="inlineStr">
        <is>
          <t>R&amp;R TRANSPORTE E LOGISTICA</t>
        </is>
      </c>
      <c r="J1528" s="29" t="n">
        <v>73.29000000000001</v>
      </c>
      <c r="K1528" s="29">
        <f>(1-ISNUMBER(SEARCH("556",M1528)))*(O1528*SUMIFS(Premissas!$C$5:$C$44,Premissas!$A$5:$A$44,$A1528,Premissas!$B$5:$B$44,$B1528)+P1528*SUMIFS(Premissas!$D$5:$D$44,Premissas!$A$5:$A$44,$A1528,Premissas!$B$5:$B$44,$B1528))+R1528*SUMIFS(Premissas!$E$5:$E$44,Premissas!$A$5:$A$44,$A1528,Premissas!$B$5:$B$44,$B1528)+S1528*SUMIFS(Premissas!$F$5:$F$44,Premissas!$A$5:$A$44,$A1528,Premissas!$B$5:$B$44,$B1528)</f>
        <v/>
      </c>
      <c r="L1528" s="29">
        <f>J1528-K1528</f>
        <v/>
      </c>
      <c r="M1528" t="inlineStr">
        <is>
          <t>1.350</t>
        </is>
      </c>
      <c r="N1528" t="inlineStr">
        <is>
          <t>Modalidade: 0 - Por conta do remetente | Parte: PLASMAR COMERCIO DE PRODUTOS DESCARTAVEIS LTDA (09.354.922/0001-71)</t>
        </is>
      </c>
      <c r="O1528" s="29" t="n">
        <v>0</v>
      </c>
      <c r="P1528" s="29" t="n">
        <v>0</v>
      </c>
      <c r="Q1528" s="29" t="n">
        <v>0</v>
      </c>
      <c r="R1528" s="29" t="n">
        <v>0</v>
      </c>
      <c r="S1528" s="29" t="n">
        <v>0</v>
      </c>
      <c r="T1528" t="inlineStr">
        <is>
          <t>25250526975620000130570010000042871000000007</t>
        </is>
      </c>
      <c r="U1528" t="inlineStr">
        <is>
          <t>Não</t>
        </is>
      </c>
    </row>
    <row r="1529">
      <c r="A1529" t="inlineStr">
        <is>
          <t>Frete de venda</t>
        </is>
      </c>
      <c r="B1529" t="inlineStr">
        <is>
          <t>2.01.02 Frete sobre Vendas</t>
        </is>
      </c>
      <c r="C1529" t="inlineStr">
        <is>
          <t>Antes de 2026</t>
        </is>
      </c>
      <c r="D1529" t="inlineStr">
        <is>
          <t>Antes de 2026</t>
        </is>
      </c>
      <c r="E1529" s="28" t="n">
        <v>45804</v>
      </c>
      <c r="F1529" t="inlineStr">
        <is>
          <t>CT-e</t>
        </is>
      </c>
      <c r="G1529" t="inlineStr">
        <is>
          <t>000004288</t>
        </is>
      </c>
      <c r="H1529" t="inlineStr">
        <is>
          <t>R&amp;R TRANSPORTE E LOGISTICA</t>
        </is>
      </c>
      <c r="J1529" s="29" t="n">
        <v>105.05</v>
      </c>
      <c r="K1529" s="29">
        <f>(1-ISNUMBER(SEARCH("556",M1529)))*(O1529*SUMIFS(Premissas!$C$5:$C$44,Premissas!$A$5:$A$44,$A1529,Premissas!$B$5:$B$44,$B1529)+P1529*SUMIFS(Premissas!$D$5:$D$44,Premissas!$A$5:$A$44,$A1529,Premissas!$B$5:$B$44,$B1529))+R1529*SUMIFS(Premissas!$E$5:$E$44,Premissas!$A$5:$A$44,$A1529,Premissas!$B$5:$B$44,$B1529)+S1529*SUMIFS(Premissas!$F$5:$F$44,Premissas!$A$5:$A$44,$A1529,Premissas!$B$5:$B$44,$B1529)</f>
        <v/>
      </c>
      <c r="L1529" s="29">
        <f>J1529-K1529</f>
        <v/>
      </c>
      <c r="M1529" t="inlineStr">
        <is>
          <t>1.350</t>
        </is>
      </c>
      <c r="N1529" t="inlineStr">
        <is>
          <t>Modalidade: 0 - Por conta do remetente | Parte: IBIAPINA VARIEDADES LTDA (46.211.356/0001-75)</t>
        </is>
      </c>
      <c r="O1529" s="29" t="n">
        <v>0</v>
      </c>
      <c r="P1529" s="29" t="n">
        <v>0</v>
      </c>
      <c r="Q1529" s="29" t="n">
        <v>0</v>
      </c>
      <c r="R1529" s="29" t="n">
        <v>0</v>
      </c>
      <c r="S1529" s="29" t="n">
        <v>0</v>
      </c>
      <c r="T1529" t="inlineStr">
        <is>
          <t>25250526975620000130570010000042881000000004</t>
        </is>
      </c>
      <c r="U1529" t="inlineStr">
        <is>
          <t>Não</t>
        </is>
      </c>
    </row>
    <row r="1530">
      <c r="A1530" t="inlineStr">
        <is>
          <t>Frete de venda</t>
        </is>
      </c>
      <c r="B1530" t="inlineStr">
        <is>
          <t>2.01.02 Frete sobre Vendas</t>
        </is>
      </c>
      <c r="C1530" t="inlineStr">
        <is>
          <t>Antes de 2026</t>
        </is>
      </c>
      <c r="D1530" t="inlineStr">
        <is>
          <t>Antes de 2026</t>
        </is>
      </c>
      <c r="E1530" s="28" t="n">
        <v>45804</v>
      </c>
      <c r="F1530" t="inlineStr">
        <is>
          <t>CT-e</t>
        </is>
      </c>
      <c r="G1530" t="inlineStr">
        <is>
          <t>000004289</t>
        </is>
      </c>
      <c r="H1530" t="inlineStr">
        <is>
          <t>R&amp;R TRANSPORTE E LOGISTICA</t>
        </is>
      </c>
      <c r="J1530" s="29" t="n">
        <v>88.29000000000001</v>
      </c>
      <c r="K1530" s="29">
        <f>(1-ISNUMBER(SEARCH("556",M1530)))*(O1530*SUMIFS(Premissas!$C$5:$C$44,Premissas!$A$5:$A$44,$A1530,Premissas!$B$5:$B$44,$B1530)+P1530*SUMIFS(Premissas!$D$5:$D$44,Premissas!$A$5:$A$44,$A1530,Premissas!$B$5:$B$44,$B1530))+R1530*SUMIFS(Premissas!$E$5:$E$44,Premissas!$A$5:$A$44,$A1530,Premissas!$B$5:$B$44,$B1530)+S1530*SUMIFS(Premissas!$F$5:$F$44,Premissas!$A$5:$A$44,$A1530,Premissas!$B$5:$B$44,$B1530)</f>
        <v/>
      </c>
      <c r="L1530" s="29">
        <f>J1530-K1530</f>
        <v/>
      </c>
      <c r="M1530" t="inlineStr">
        <is>
          <t>1.350</t>
        </is>
      </c>
      <c r="N1530" t="inlineStr">
        <is>
          <t>Modalidade: 0 - Por conta do remetente | Parte: LIDER INDUSTRIA E COMERCIO LTDA (45.762.979/0001-73)</t>
        </is>
      </c>
      <c r="O1530" s="29" t="n">
        <v>0</v>
      </c>
      <c r="P1530" s="29" t="n">
        <v>0</v>
      </c>
      <c r="Q1530" s="29" t="n">
        <v>0</v>
      </c>
      <c r="R1530" s="29" t="n">
        <v>0</v>
      </c>
      <c r="S1530" s="29" t="n">
        <v>0</v>
      </c>
      <c r="T1530" t="inlineStr">
        <is>
          <t>25250526975620000130570010000042891000000001</t>
        </is>
      </c>
      <c r="U1530" t="inlineStr">
        <is>
          <t>Não</t>
        </is>
      </c>
    </row>
    <row r="1531">
      <c r="A1531" t="inlineStr">
        <is>
          <t>Frete de venda</t>
        </is>
      </c>
      <c r="B1531" t="inlineStr">
        <is>
          <t>2.01.02 Frete sobre Vendas</t>
        </is>
      </c>
      <c r="C1531" t="inlineStr">
        <is>
          <t>Antes de 2026</t>
        </is>
      </c>
      <c r="D1531" t="inlineStr">
        <is>
          <t>Antes de 2026</t>
        </is>
      </c>
      <c r="E1531" s="28" t="n">
        <v>45805</v>
      </c>
      <c r="F1531" t="inlineStr">
        <is>
          <t>CT-e</t>
        </is>
      </c>
      <c r="G1531" t="inlineStr">
        <is>
          <t>000004298</t>
        </is>
      </c>
      <c r="H1531" t="inlineStr">
        <is>
          <t>R&amp;R TRANSPORTE E LOGISTICA</t>
        </is>
      </c>
      <c r="J1531" s="29" t="n">
        <v>104</v>
      </c>
      <c r="K1531" s="29">
        <f>(1-ISNUMBER(SEARCH("556",M1531)))*(O1531*SUMIFS(Premissas!$C$5:$C$44,Premissas!$A$5:$A$44,$A1531,Premissas!$B$5:$B$44,$B1531)+P1531*SUMIFS(Premissas!$D$5:$D$44,Premissas!$A$5:$A$44,$A1531,Premissas!$B$5:$B$44,$B1531))+R1531*SUMIFS(Premissas!$E$5:$E$44,Premissas!$A$5:$A$44,$A1531,Premissas!$B$5:$B$44,$B1531)+S1531*SUMIFS(Premissas!$F$5:$F$44,Premissas!$A$5:$A$44,$A1531,Premissas!$B$5:$B$44,$B1531)</f>
        <v/>
      </c>
      <c r="L1531" s="29">
        <f>J1531-K1531</f>
        <v/>
      </c>
      <c r="M1531" t="inlineStr">
        <is>
          <t>1.350</t>
        </is>
      </c>
      <c r="N1531" t="inlineStr">
        <is>
          <t>Modalidade: 0 - Por conta do remetente | Parte: TORRES DISTRIBUIDORA ATACADISTA DE EMBALAGENS PLASTICAS ... (26.748.294/0001-28)</t>
        </is>
      </c>
      <c r="O1531" s="29" t="n">
        <v>0</v>
      </c>
      <c r="P1531" s="29" t="n">
        <v>0</v>
      </c>
      <c r="Q1531" s="29" t="n">
        <v>0</v>
      </c>
      <c r="R1531" s="29" t="n">
        <v>0</v>
      </c>
      <c r="S1531" s="29" t="n">
        <v>0</v>
      </c>
      <c r="T1531" t="inlineStr">
        <is>
          <t>25250526975620000130570010000042981000000000</t>
        </is>
      </c>
      <c r="U1531" t="inlineStr">
        <is>
          <t>Não</t>
        </is>
      </c>
    </row>
    <row r="1532">
      <c r="A1532" t="inlineStr">
        <is>
          <t>Frete de venda</t>
        </is>
      </c>
      <c r="B1532" t="inlineStr">
        <is>
          <t>2.01.02 Frete sobre Vendas</t>
        </is>
      </c>
      <c r="C1532" t="inlineStr">
        <is>
          <t>Antes de 2026</t>
        </is>
      </c>
      <c r="D1532" t="inlineStr">
        <is>
          <t>Antes de 2026</t>
        </is>
      </c>
      <c r="E1532" s="28" t="n">
        <v>45805</v>
      </c>
      <c r="F1532" t="inlineStr">
        <is>
          <t>CT-e</t>
        </is>
      </c>
      <c r="G1532" t="inlineStr">
        <is>
          <t>000004299</t>
        </is>
      </c>
      <c r="H1532" t="inlineStr">
        <is>
          <t>R&amp;R TRANSPORTE E LOGISTICA</t>
        </is>
      </c>
      <c r="J1532" s="29" t="n">
        <v>94.15000000000001</v>
      </c>
      <c r="K1532" s="29">
        <f>(1-ISNUMBER(SEARCH("556",M1532)))*(O1532*SUMIFS(Premissas!$C$5:$C$44,Premissas!$A$5:$A$44,$A1532,Premissas!$B$5:$B$44,$B1532)+P1532*SUMIFS(Premissas!$D$5:$D$44,Premissas!$A$5:$A$44,$A1532,Premissas!$B$5:$B$44,$B1532))+R1532*SUMIFS(Premissas!$E$5:$E$44,Premissas!$A$5:$A$44,$A1532,Premissas!$B$5:$B$44,$B1532)+S1532*SUMIFS(Premissas!$F$5:$F$44,Premissas!$A$5:$A$44,$A1532,Premissas!$B$5:$B$44,$B1532)</f>
        <v/>
      </c>
      <c r="L1532" s="29">
        <f>J1532-K1532</f>
        <v/>
      </c>
      <c r="M1532" t="inlineStr">
        <is>
          <t>1.350</t>
        </is>
      </c>
      <c r="N1532" t="inlineStr">
        <is>
          <t>Modalidade: 0 - Por conta do remetente | Parte: ESTOCK DISTRIBUIDORA DE EMBALAGENS LTDA (42.003.982/0001-15)</t>
        </is>
      </c>
      <c r="O1532" s="29" t="n">
        <v>0</v>
      </c>
      <c r="P1532" s="29" t="n">
        <v>0</v>
      </c>
      <c r="Q1532" s="29" t="n">
        <v>0</v>
      </c>
      <c r="R1532" s="29" t="n">
        <v>0</v>
      </c>
      <c r="S1532" s="29" t="n">
        <v>0</v>
      </c>
      <c r="T1532" t="inlineStr">
        <is>
          <t>25250526975620000130570010000042991000000008</t>
        </is>
      </c>
      <c r="U1532" t="inlineStr">
        <is>
          <t>Não</t>
        </is>
      </c>
    </row>
    <row r="1533">
      <c r="A1533" t="inlineStr">
        <is>
          <t>Frete de venda</t>
        </is>
      </c>
      <c r="B1533" t="inlineStr">
        <is>
          <t>2.01.02 Frete sobre Vendas</t>
        </is>
      </c>
      <c r="C1533" t="inlineStr">
        <is>
          <t>Antes de 2026</t>
        </is>
      </c>
      <c r="D1533" t="inlineStr">
        <is>
          <t>Antes de 2026</t>
        </is>
      </c>
      <c r="E1533" s="28" t="n">
        <v>45805</v>
      </c>
      <c r="F1533" t="inlineStr">
        <is>
          <t>CT-e</t>
        </is>
      </c>
      <c r="G1533" t="inlineStr">
        <is>
          <t>000004300</t>
        </is>
      </c>
      <c r="H1533" t="inlineStr">
        <is>
          <t>R&amp;R TRANSPORTE E LOGISTICA</t>
        </is>
      </c>
      <c r="J1533" s="29" t="n">
        <v>5</v>
      </c>
      <c r="K1533" s="29">
        <f>(1-ISNUMBER(SEARCH("556",M1533)))*(O1533*SUMIFS(Premissas!$C$5:$C$44,Premissas!$A$5:$A$44,$A1533,Premissas!$B$5:$B$44,$B1533)+P1533*SUMIFS(Premissas!$D$5:$D$44,Premissas!$A$5:$A$44,$A1533,Premissas!$B$5:$B$44,$B1533))+R1533*SUMIFS(Premissas!$E$5:$E$44,Premissas!$A$5:$A$44,$A1533,Premissas!$B$5:$B$44,$B1533)+S1533*SUMIFS(Premissas!$F$5:$F$44,Premissas!$A$5:$A$44,$A1533,Premissas!$B$5:$B$44,$B1533)</f>
        <v/>
      </c>
      <c r="L1533" s="29">
        <f>J1533-K1533</f>
        <v/>
      </c>
      <c r="M1533" t="inlineStr">
        <is>
          <t>1.350</t>
        </is>
      </c>
      <c r="N1533" t="inlineStr">
        <is>
          <t>Modalidade: 0 - Por conta do remetente | Parte: DOCA COMERCIO DE PRODUTOS ALIMENTICIOS LTDA (15.258.788/0002-99)</t>
        </is>
      </c>
      <c r="O1533" s="29" t="n">
        <v>0</v>
      </c>
      <c r="P1533" s="29" t="n">
        <v>0</v>
      </c>
      <c r="Q1533" s="29" t="n">
        <v>0</v>
      </c>
      <c r="R1533" s="29" t="n">
        <v>0</v>
      </c>
      <c r="S1533" s="29" t="n">
        <v>0</v>
      </c>
      <c r="T1533" t="inlineStr">
        <is>
          <t>25250526975620000130570010000043001000000000</t>
        </is>
      </c>
      <c r="U1533" t="inlineStr">
        <is>
          <t>Não</t>
        </is>
      </c>
    </row>
    <row r="1534">
      <c r="A1534" t="inlineStr">
        <is>
          <t>Frete de venda</t>
        </is>
      </c>
      <c r="B1534" t="inlineStr">
        <is>
          <t>2.01.02 Frete sobre Vendas</t>
        </is>
      </c>
      <c r="C1534" t="inlineStr">
        <is>
          <t>Antes de 2026</t>
        </is>
      </c>
      <c r="D1534" t="inlineStr">
        <is>
          <t>Antes de 2026</t>
        </is>
      </c>
      <c r="E1534" s="28" t="n">
        <v>45805</v>
      </c>
      <c r="F1534" t="inlineStr">
        <is>
          <t>CT-e</t>
        </is>
      </c>
      <c r="G1534" t="inlineStr">
        <is>
          <t>000004311</t>
        </is>
      </c>
      <c r="H1534" t="inlineStr">
        <is>
          <t>R&amp;R TRANSPORTE E LOGISTICA</t>
        </is>
      </c>
      <c r="J1534" s="29" t="n">
        <v>64.81999999999999</v>
      </c>
      <c r="K1534" s="29">
        <f>(1-ISNUMBER(SEARCH("556",M1534)))*(O1534*SUMIFS(Premissas!$C$5:$C$44,Premissas!$A$5:$A$44,$A1534,Premissas!$B$5:$B$44,$B1534)+P1534*SUMIFS(Premissas!$D$5:$D$44,Premissas!$A$5:$A$44,$A1534,Premissas!$B$5:$B$44,$B1534))+R1534*SUMIFS(Premissas!$E$5:$E$44,Premissas!$A$5:$A$44,$A1534,Premissas!$B$5:$B$44,$B1534)+S1534*SUMIFS(Premissas!$F$5:$F$44,Premissas!$A$5:$A$44,$A1534,Premissas!$B$5:$B$44,$B1534)</f>
        <v/>
      </c>
      <c r="L1534" s="29">
        <f>J1534-K1534</f>
        <v/>
      </c>
      <c r="M1534" t="inlineStr">
        <is>
          <t>1.350</t>
        </is>
      </c>
      <c r="N1534" t="inlineStr">
        <is>
          <t>Modalidade: 0 - Por conta do remetente | Parte: IMPRESART GRAFICA E EDITORA LTDA (05.138.123/0001-07)</t>
        </is>
      </c>
      <c r="O1534" s="29" t="n">
        <v>0</v>
      </c>
      <c r="P1534" s="29" t="n">
        <v>0</v>
      </c>
      <c r="Q1534" s="29" t="n">
        <v>0</v>
      </c>
      <c r="R1534" s="29" t="n">
        <v>0</v>
      </c>
      <c r="S1534" s="29" t="n">
        <v>0</v>
      </c>
      <c r="T1534" t="inlineStr">
        <is>
          <t>25250526975620000130570010000043111000000004</t>
        </is>
      </c>
      <c r="U1534" t="inlineStr">
        <is>
          <t>Não</t>
        </is>
      </c>
    </row>
    <row r="1535">
      <c r="A1535" t="inlineStr">
        <is>
          <t>Frete de venda</t>
        </is>
      </c>
      <c r="B1535" t="inlineStr">
        <is>
          <t>2.01.02 Frete sobre Vendas</t>
        </is>
      </c>
      <c r="C1535" t="inlineStr">
        <is>
          <t>Antes de 2026</t>
        </is>
      </c>
      <c r="D1535" t="inlineStr">
        <is>
          <t>Antes de 2026</t>
        </is>
      </c>
      <c r="E1535" s="28" t="n">
        <v>45805</v>
      </c>
      <c r="F1535" t="inlineStr">
        <is>
          <t>CT-e</t>
        </is>
      </c>
      <c r="G1535" t="inlineStr">
        <is>
          <t>000004312</t>
        </is>
      </c>
      <c r="H1535" t="inlineStr">
        <is>
          <t>R&amp;R TRANSPORTE E LOGISTICA</t>
        </is>
      </c>
      <c r="J1535" s="29" t="n">
        <v>67.27</v>
      </c>
      <c r="K1535" s="29">
        <f>(1-ISNUMBER(SEARCH("556",M1535)))*(O1535*SUMIFS(Premissas!$C$5:$C$44,Premissas!$A$5:$A$44,$A1535,Premissas!$B$5:$B$44,$B1535)+P1535*SUMIFS(Premissas!$D$5:$D$44,Premissas!$A$5:$A$44,$A1535,Premissas!$B$5:$B$44,$B1535))+R1535*SUMIFS(Premissas!$E$5:$E$44,Premissas!$A$5:$A$44,$A1535,Premissas!$B$5:$B$44,$B1535)+S1535*SUMIFS(Premissas!$F$5:$F$44,Premissas!$A$5:$A$44,$A1535,Premissas!$B$5:$B$44,$B1535)</f>
        <v/>
      </c>
      <c r="L1535" s="29">
        <f>J1535-K1535</f>
        <v/>
      </c>
      <c r="M1535" t="inlineStr">
        <is>
          <t>1.350</t>
        </is>
      </c>
      <c r="N1535" t="inlineStr">
        <is>
          <t>Modalidade: 0 - Por conta do remetente | Parte: PLASTIPEL EMBALAGENS E DESCARTAVEIS (36.091.781/0001-14)</t>
        </is>
      </c>
      <c r="O1535" s="29" t="n">
        <v>0</v>
      </c>
      <c r="P1535" s="29" t="n">
        <v>0</v>
      </c>
      <c r="Q1535" s="29" t="n">
        <v>0</v>
      </c>
      <c r="R1535" s="29" t="n">
        <v>0</v>
      </c>
      <c r="S1535" s="29" t="n">
        <v>0</v>
      </c>
      <c r="T1535" t="inlineStr">
        <is>
          <t>25250526975620000130570010000043121000000001</t>
        </is>
      </c>
      <c r="U1535" t="inlineStr">
        <is>
          <t>Não</t>
        </is>
      </c>
    </row>
    <row r="1536">
      <c r="A1536" t="inlineStr">
        <is>
          <t>Frete de venda</t>
        </is>
      </c>
      <c r="B1536" t="inlineStr">
        <is>
          <t>2.01.02 Frete sobre Vendas</t>
        </is>
      </c>
      <c r="C1536" t="inlineStr">
        <is>
          <t>Antes de 2026</t>
        </is>
      </c>
      <c r="D1536" t="inlineStr">
        <is>
          <t>Antes de 2026</t>
        </is>
      </c>
      <c r="E1536" s="28" t="n">
        <v>45805</v>
      </c>
      <c r="F1536" t="inlineStr">
        <is>
          <t>CT-e</t>
        </is>
      </c>
      <c r="G1536" t="inlineStr">
        <is>
          <t>000004313</t>
        </is>
      </c>
      <c r="H1536" t="inlineStr">
        <is>
          <t>R&amp;R TRANSPORTE E LOGISTICA</t>
        </is>
      </c>
      <c r="J1536" s="29" t="n">
        <v>75.48</v>
      </c>
      <c r="K1536" s="29">
        <f>(1-ISNUMBER(SEARCH("556",M1536)))*(O1536*SUMIFS(Premissas!$C$5:$C$44,Premissas!$A$5:$A$44,$A1536,Premissas!$B$5:$B$44,$B1536)+P1536*SUMIFS(Premissas!$D$5:$D$44,Premissas!$A$5:$A$44,$A1536,Premissas!$B$5:$B$44,$B1536))+R1536*SUMIFS(Premissas!$E$5:$E$44,Premissas!$A$5:$A$44,$A1536,Premissas!$B$5:$B$44,$B1536)+S1536*SUMIFS(Premissas!$F$5:$F$44,Premissas!$A$5:$A$44,$A1536,Premissas!$B$5:$B$44,$B1536)</f>
        <v/>
      </c>
      <c r="L1536" s="29">
        <f>J1536-K1536</f>
        <v/>
      </c>
      <c r="M1536" t="inlineStr">
        <is>
          <t>1.350</t>
        </is>
      </c>
      <c r="N1536" t="inlineStr">
        <is>
          <t>Modalidade: 0 - Por conta do remetente | Parte: EMBALAR DISTRIBUIDORA DE EMBALAGENS LTDA (10.347.424/0001-80)</t>
        </is>
      </c>
      <c r="O1536" s="29" t="n">
        <v>0</v>
      </c>
      <c r="P1536" s="29" t="n">
        <v>0</v>
      </c>
      <c r="Q1536" s="29" t="n">
        <v>0</v>
      </c>
      <c r="R1536" s="29" t="n">
        <v>0</v>
      </c>
      <c r="S1536" s="29" t="n">
        <v>0</v>
      </c>
      <c r="T1536" t="inlineStr">
        <is>
          <t>25250526975620000130570010000043131000000009</t>
        </is>
      </c>
      <c r="U1536" t="inlineStr">
        <is>
          <t>Não</t>
        </is>
      </c>
    </row>
    <row r="1537">
      <c r="A1537" t="inlineStr">
        <is>
          <t>Frete de venda</t>
        </is>
      </c>
      <c r="B1537" t="inlineStr">
        <is>
          <t>2.01.02 Frete sobre Vendas</t>
        </is>
      </c>
      <c r="C1537" t="inlineStr">
        <is>
          <t>Antes de 2026</t>
        </is>
      </c>
      <c r="D1537" t="inlineStr">
        <is>
          <t>Antes de 2026</t>
        </is>
      </c>
      <c r="E1537" s="28" t="n">
        <v>45806</v>
      </c>
      <c r="F1537" t="inlineStr">
        <is>
          <t>CT-e</t>
        </is>
      </c>
      <c r="G1537" t="inlineStr">
        <is>
          <t>000004318</t>
        </is>
      </c>
      <c r="H1537" t="inlineStr">
        <is>
          <t>R&amp;R TRANSPORTE E LOGISTICA</t>
        </is>
      </c>
      <c r="J1537" s="29" t="n">
        <v>23.53</v>
      </c>
      <c r="K1537" s="29">
        <f>(1-ISNUMBER(SEARCH("556",M1537)))*(O1537*SUMIFS(Premissas!$C$5:$C$44,Premissas!$A$5:$A$44,$A1537,Premissas!$B$5:$B$44,$B1537)+P1537*SUMIFS(Premissas!$D$5:$D$44,Premissas!$A$5:$A$44,$A1537,Premissas!$B$5:$B$44,$B1537))+R1537*SUMIFS(Premissas!$E$5:$E$44,Premissas!$A$5:$A$44,$A1537,Premissas!$B$5:$B$44,$B1537)+S1537*SUMIFS(Premissas!$F$5:$F$44,Premissas!$A$5:$A$44,$A1537,Premissas!$B$5:$B$44,$B1537)</f>
        <v/>
      </c>
      <c r="L1537" s="29">
        <f>J1537-K1537</f>
        <v/>
      </c>
      <c r="M1537" t="inlineStr">
        <is>
          <t>1.350</t>
        </is>
      </c>
      <c r="N1537" t="inlineStr">
        <is>
          <t>Modalidade: 0 - Por conta do remetente | Parte: BAIXINHO EMBALAGENS LTDA (49.023.382/0001-68)</t>
        </is>
      </c>
      <c r="O1537" s="29" t="n">
        <v>0</v>
      </c>
      <c r="P1537" s="29" t="n">
        <v>0</v>
      </c>
      <c r="Q1537" s="29" t="n">
        <v>0</v>
      </c>
      <c r="R1537" s="29" t="n">
        <v>0</v>
      </c>
      <c r="S1537" s="29" t="n">
        <v>0</v>
      </c>
      <c r="T1537" t="inlineStr">
        <is>
          <t>25250526975620000130570010000043181000000005</t>
        </is>
      </c>
      <c r="U1537" t="inlineStr">
        <is>
          <t>Não</t>
        </is>
      </c>
    </row>
    <row r="1538">
      <c r="A1538" t="inlineStr">
        <is>
          <t>Frete de venda</t>
        </is>
      </c>
      <c r="B1538" t="inlineStr">
        <is>
          <t>2.01.02 Frete sobre Vendas</t>
        </is>
      </c>
      <c r="C1538" t="inlineStr">
        <is>
          <t>Antes de 2026</t>
        </is>
      </c>
      <c r="D1538" t="inlineStr">
        <is>
          <t>Antes de 2026</t>
        </is>
      </c>
      <c r="E1538" s="28" t="n">
        <v>45806</v>
      </c>
      <c r="F1538" t="inlineStr">
        <is>
          <t>CT-e</t>
        </is>
      </c>
      <c r="G1538" t="inlineStr">
        <is>
          <t>000004319</t>
        </is>
      </c>
      <c r="H1538" t="inlineStr">
        <is>
          <t>R&amp;R TRANSPORTE E LOGISTICA</t>
        </is>
      </c>
      <c r="J1538" s="29" t="n">
        <v>30.18</v>
      </c>
      <c r="K1538" s="29">
        <f>(1-ISNUMBER(SEARCH("556",M1538)))*(O1538*SUMIFS(Premissas!$C$5:$C$44,Premissas!$A$5:$A$44,$A1538,Premissas!$B$5:$B$44,$B1538)+P1538*SUMIFS(Premissas!$D$5:$D$44,Premissas!$A$5:$A$44,$A1538,Premissas!$B$5:$B$44,$B1538))+R1538*SUMIFS(Premissas!$E$5:$E$44,Premissas!$A$5:$A$44,$A1538,Premissas!$B$5:$B$44,$B1538)+S1538*SUMIFS(Premissas!$F$5:$F$44,Premissas!$A$5:$A$44,$A1538,Premissas!$B$5:$B$44,$B1538)</f>
        <v/>
      </c>
      <c r="L1538" s="29">
        <f>J1538-K1538</f>
        <v/>
      </c>
      <c r="M1538" t="inlineStr">
        <is>
          <t>1.350</t>
        </is>
      </c>
      <c r="N1538" t="inlineStr">
        <is>
          <t>Modalidade: 0 - Por conta do remetente | Parte: ERINALDO VIEIRA LTDA (03.176.141/0002-39)</t>
        </is>
      </c>
      <c r="O1538" s="29" t="n">
        <v>0</v>
      </c>
      <c r="P1538" s="29" t="n">
        <v>0</v>
      </c>
      <c r="Q1538" s="29" t="n">
        <v>0</v>
      </c>
      <c r="R1538" s="29" t="n">
        <v>0</v>
      </c>
      <c r="S1538" s="29" t="n">
        <v>0</v>
      </c>
      <c r="T1538" t="inlineStr">
        <is>
          <t>25250526975620000130570010000043191000000002</t>
        </is>
      </c>
      <c r="U1538" t="inlineStr">
        <is>
          <t>Não</t>
        </is>
      </c>
    </row>
    <row r="1539">
      <c r="A1539" t="inlineStr">
        <is>
          <t>Frete de venda</t>
        </is>
      </c>
      <c r="B1539" t="inlineStr">
        <is>
          <t>2.01.02 Frete sobre Vendas</t>
        </is>
      </c>
      <c r="C1539" t="inlineStr">
        <is>
          <t>Antes de 2026</t>
        </is>
      </c>
      <c r="D1539" t="inlineStr">
        <is>
          <t>Antes de 2026</t>
        </is>
      </c>
      <c r="E1539" s="28" t="n">
        <v>45806</v>
      </c>
      <c r="F1539" t="inlineStr">
        <is>
          <t>CT-e</t>
        </is>
      </c>
      <c r="G1539" t="inlineStr">
        <is>
          <t>000004320</t>
        </is>
      </c>
      <c r="H1539" t="inlineStr">
        <is>
          <t>R&amp;R TRANSPORTE E LOGISTICA</t>
        </is>
      </c>
      <c r="J1539" s="29" t="n">
        <v>21.87</v>
      </c>
      <c r="K1539" s="29">
        <f>(1-ISNUMBER(SEARCH("556",M1539)))*(O1539*SUMIFS(Premissas!$C$5:$C$44,Premissas!$A$5:$A$44,$A1539,Premissas!$B$5:$B$44,$B1539)+P1539*SUMIFS(Premissas!$D$5:$D$44,Premissas!$A$5:$A$44,$A1539,Premissas!$B$5:$B$44,$B1539))+R1539*SUMIFS(Premissas!$E$5:$E$44,Premissas!$A$5:$A$44,$A1539,Premissas!$B$5:$B$44,$B1539)+S1539*SUMIFS(Premissas!$F$5:$F$44,Premissas!$A$5:$A$44,$A1539,Premissas!$B$5:$B$44,$B1539)</f>
        <v/>
      </c>
      <c r="L1539" s="29">
        <f>J1539-K1539</f>
        <v/>
      </c>
      <c r="M1539" t="inlineStr">
        <is>
          <t>1.350</t>
        </is>
      </c>
      <c r="N1539" t="inlineStr">
        <is>
          <t>Modalidade: 0 - Por conta do remetente | Parte: MARIA JOSINEIA SANTOS QUADROS COSTA (04.124.797/0001-90)</t>
        </is>
      </c>
      <c r="O1539" s="29" t="n">
        <v>0</v>
      </c>
      <c r="P1539" s="29" t="n">
        <v>0</v>
      </c>
      <c r="Q1539" s="29" t="n">
        <v>0</v>
      </c>
      <c r="R1539" s="29" t="n">
        <v>0</v>
      </c>
      <c r="S1539" s="29" t="n">
        <v>0</v>
      </c>
      <c r="T1539" t="inlineStr">
        <is>
          <t>25250526975620000130570010000043201000000003</t>
        </is>
      </c>
      <c r="U1539" t="inlineStr">
        <is>
          <t>Não</t>
        </is>
      </c>
    </row>
    <row r="1540">
      <c r="A1540" t="inlineStr">
        <is>
          <t>Frete de venda</t>
        </is>
      </c>
      <c r="B1540" t="inlineStr">
        <is>
          <t>2.01.02 Frete sobre Vendas</t>
        </is>
      </c>
      <c r="C1540" t="inlineStr">
        <is>
          <t>Antes de 2026</t>
        </is>
      </c>
      <c r="D1540" t="inlineStr">
        <is>
          <t>Antes de 2026</t>
        </is>
      </c>
      <c r="E1540" s="28" t="n">
        <v>45806</v>
      </c>
      <c r="F1540" t="inlineStr">
        <is>
          <t>CT-e</t>
        </is>
      </c>
      <c r="G1540" t="inlineStr">
        <is>
          <t>000004321</t>
        </is>
      </c>
      <c r="H1540" t="inlineStr">
        <is>
          <t>R&amp;R TRANSPORTE E LOGISTICA</t>
        </is>
      </c>
      <c r="J1540" s="29" t="n">
        <v>25.1</v>
      </c>
      <c r="K1540" s="29">
        <f>(1-ISNUMBER(SEARCH("556",M1540)))*(O1540*SUMIFS(Premissas!$C$5:$C$44,Premissas!$A$5:$A$44,$A1540,Premissas!$B$5:$B$44,$B1540)+P1540*SUMIFS(Premissas!$D$5:$D$44,Premissas!$A$5:$A$44,$A1540,Premissas!$B$5:$B$44,$B1540))+R1540*SUMIFS(Premissas!$E$5:$E$44,Premissas!$A$5:$A$44,$A1540,Premissas!$B$5:$B$44,$B1540)+S1540*SUMIFS(Premissas!$F$5:$F$44,Premissas!$A$5:$A$44,$A1540,Premissas!$B$5:$B$44,$B1540)</f>
        <v/>
      </c>
      <c r="L1540" s="29">
        <f>J1540-K1540</f>
        <v/>
      </c>
      <c r="M1540" t="inlineStr">
        <is>
          <t>1.350</t>
        </is>
      </c>
      <c r="N1540" t="inlineStr">
        <is>
          <t>Modalidade: 0 - Por conta do remetente | Parte: EMBALLA MIX COMERCIO DE EMBALAGENS GERAIS LTDA (46.508.295/0001-02)</t>
        </is>
      </c>
      <c r="O1540" s="29" t="n">
        <v>0</v>
      </c>
      <c r="P1540" s="29" t="n">
        <v>0</v>
      </c>
      <c r="Q1540" s="29" t="n">
        <v>0</v>
      </c>
      <c r="R1540" s="29" t="n">
        <v>0</v>
      </c>
      <c r="S1540" s="29" t="n">
        <v>0</v>
      </c>
      <c r="T1540" t="inlineStr">
        <is>
          <t>25250526975620000130570010000043211000000000</t>
        </is>
      </c>
      <c r="U1540" t="inlineStr">
        <is>
          <t>Não</t>
        </is>
      </c>
    </row>
    <row r="1541">
      <c r="A1541" t="inlineStr">
        <is>
          <t>Frete de venda</t>
        </is>
      </c>
      <c r="B1541" t="inlineStr">
        <is>
          <t>2.01.02 Frete sobre Vendas</t>
        </is>
      </c>
      <c r="C1541" t="inlineStr">
        <is>
          <t>Antes de 2026</t>
        </is>
      </c>
      <c r="D1541" t="inlineStr">
        <is>
          <t>Antes de 2026</t>
        </is>
      </c>
      <c r="E1541" s="28" t="n">
        <v>45806</v>
      </c>
      <c r="F1541" t="inlineStr">
        <is>
          <t>CT-e</t>
        </is>
      </c>
      <c r="G1541" t="inlineStr">
        <is>
          <t>000004322</t>
        </is>
      </c>
      <c r="H1541" t="inlineStr">
        <is>
          <t>R&amp;R TRANSPORTE E LOGISTICA</t>
        </is>
      </c>
      <c r="J1541" s="29" t="n">
        <v>24</v>
      </c>
      <c r="K1541" s="29">
        <f>(1-ISNUMBER(SEARCH("556",M1541)))*(O1541*SUMIFS(Premissas!$C$5:$C$44,Premissas!$A$5:$A$44,$A1541,Premissas!$B$5:$B$44,$B1541)+P1541*SUMIFS(Premissas!$D$5:$D$44,Premissas!$A$5:$A$44,$A1541,Premissas!$B$5:$B$44,$B1541))+R1541*SUMIFS(Premissas!$E$5:$E$44,Premissas!$A$5:$A$44,$A1541,Premissas!$B$5:$B$44,$B1541)+S1541*SUMIFS(Premissas!$F$5:$F$44,Premissas!$A$5:$A$44,$A1541,Premissas!$B$5:$B$44,$B1541)</f>
        <v/>
      </c>
      <c r="L1541" s="29">
        <f>J1541-K1541</f>
        <v/>
      </c>
      <c r="M1541" t="inlineStr">
        <is>
          <t>1.350</t>
        </is>
      </c>
      <c r="N1541" t="inlineStr">
        <is>
          <t>Modalidade: 0 - Por conta do remetente | Parte: LA SERAFIM COMERCIO DE EMBALAGENS LTDA (07.797.641/0001-68)</t>
        </is>
      </c>
      <c r="O1541" s="29" t="n">
        <v>0</v>
      </c>
      <c r="P1541" s="29" t="n">
        <v>0</v>
      </c>
      <c r="Q1541" s="29" t="n">
        <v>0</v>
      </c>
      <c r="R1541" s="29" t="n">
        <v>0</v>
      </c>
      <c r="S1541" s="29" t="n">
        <v>0</v>
      </c>
      <c r="T1541" t="inlineStr">
        <is>
          <t>25250526975620000130570010000043221000000008</t>
        </is>
      </c>
      <c r="U1541" t="inlineStr">
        <is>
          <t>Não</t>
        </is>
      </c>
    </row>
    <row r="1542">
      <c r="A1542" t="inlineStr">
        <is>
          <t>Frete de venda</t>
        </is>
      </c>
      <c r="B1542" t="inlineStr">
        <is>
          <t>2.01.02 Frete sobre Vendas</t>
        </is>
      </c>
      <c r="C1542" t="inlineStr">
        <is>
          <t>Antes de 2026</t>
        </is>
      </c>
      <c r="D1542" t="inlineStr">
        <is>
          <t>Antes de 2026</t>
        </is>
      </c>
      <c r="E1542" s="28" t="n">
        <v>45806</v>
      </c>
      <c r="F1542" t="inlineStr">
        <is>
          <t>CT-e</t>
        </is>
      </c>
      <c r="G1542" t="inlineStr">
        <is>
          <t>000004323</t>
        </is>
      </c>
      <c r="H1542" t="inlineStr">
        <is>
          <t>R&amp;R TRANSPORTE E LOGISTICA</t>
        </is>
      </c>
      <c r="J1542" s="29" t="n">
        <v>28.92</v>
      </c>
      <c r="K1542" s="29">
        <f>(1-ISNUMBER(SEARCH("556",M1542)))*(O1542*SUMIFS(Premissas!$C$5:$C$44,Premissas!$A$5:$A$44,$A1542,Premissas!$B$5:$B$44,$B1542)+P1542*SUMIFS(Premissas!$D$5:$D$44,Premissas!$A$5:$A$44,$A1542,Premissas!$B$5:$B$44,$B1542))+R1542*SUMIFS(Premissas!$E$5:$E$44,Premissas!$A$5:$A$44,$A1542,Premissas!$B$5:$B$44,$B1542)+S1542*SUMIFS(Premissas!$F$5:$F$44,Premissas!$A$5:$A$44,$A1542,Premissas!$B$5:$B$44,$B1542)</f>
        <v/>
      </c>
      <c r="L1542" s="29">
        <f>J1542-K1542</f>
        <v/>
      </c>
      <c r="M1542" t="inlineStr">
        <is>
          <t>1.350</t>
        </is>
      </c>
      <c r="N1542" t="inlineStr">
        <is>
          <t>Modalidade: 0 - Por conta do remetente | Parte: CARLOS ANTONIO ALVES REBOUCAS (29.143.422/0001-06)</t>
        </is>
      </c>
      <c r="O1542" s="29" t="n">
        <v>0</v>
      </c>
      <c r="P1542" s="29" t="n">
        <v>0</v>
      </c>
      <c r="Q1542" s="29" t="n">
        <v>0</v>
      </c>
      <c r="R1542" s="29" t="n">
        <v>0</v>
      </c>
      <c r="S1542" s="29" t="n">
        <v>0</v>
      </c>
      <c r="T1542" t="inlineStr">
        <is>
          <t>25250526975620000130570010000043231000000005</t>
        </is>
      </c>
      <c r="U1542" t="inlineStr">
        <is>
          <t>Não</t>
        </is>
      </c>
    </row>
    <row r="1543">
      <c r="A1543" t="inlineStr">
        <is>
          <t>Frete de venda</t>
        </is>
      </c>
      <c r="B1543" t="inlineStr">
        <is>
          <t>2.01.02 Frete sobre Vendas</t>
        </is>
      </c>
      <c r="C1543" t="inlineStr">
        <is>
          <t>Antes de 2026</t>
        </is>
      </c>
      <c r="D1543" t="inlineStr">
        <is>
          <t>Antes de 2026</t>
        </is>
      </c>
      <c r="E1543" s="28" t="n">
        <v>45806</v>
      </c>
      <c r="F1543" t="inlineStr">
        <is>
          <t>CT-e</t>
        </is>
      </c>
      <c r="G1543" t="inlineStr">
        <is>
          <t>000004324</t>
        </is>
      </c>
      <c r="H1543" t="inlineStr">
        <is>
          <t>R&amp;R TRANSPORTE E LOGISTICA</t>
        </is>
      </c>
      <c r="J1543" s="29" t="n">
        <v>24.18</v>
      </c>
      <c r="K1543" s="29">
        <f>(1-ISNUMBER(SEARCH("556",M1543)))*(O1543*SUMIFS(Premissas!$C$5:$C$44,Premissas!$A$5:$A$44,$A1543,Premissas!$B$5:$B$44,$B1543)+P1543*SUMIFS(Premissas!$D$5:$D$44,Premissas!$A$5:$A$44,$A1543,Premissas!$B$5:$B$44,$B1543))+R1543*SUMIFS(Premissas!$E$5:$E$44,Premissas!$A$5:$A$44,$A1543,Premissas!$B$5:$B$44,$B1543)+S1543*SUMIFS(Premissas!$F$5:$F$44,Premissas!$A$5:$A$44,$A1543,Premissas!$B$5:$B$44,$B1543)</f>
        <v/>
      </c>
      <c r="L1543" s="29">
        <f>J1543-K1543</f>
        <v/>
      </c>
      <c r="M1543" t="inlineStr">
        <is>
          <t>1.350</t>
        </is>
      </c>
      <c r="N1543" t="inlineStr">
        <is>
          <t>Modalidade: 0 - Por conta do remetente | Parte: J A COMERCIO DE EMBALAGENS E ARTIGOS PARA FESTA LTDA (54.763.304/0001-30)</t>
        </is>
      </c>
      <c r="O1543" s="29" t="n">
        <v>0</v>
      </c>
      <c r="P1543" s="29" t="n">
        <v>0</v>
      </c>
      <c r="Q1543" s="29" t="n">
        <v>0</v>
      </c>
      <c r="R1543" s="29" t="n">
        <v>0</v>
      </c>
      <c r="S1543" s="29" t="n">
        <v>0</v>
      </c>
      <c r="T1543" t="inlineStr">
        <is>
          <t>25250526975620000130570010000043241000000002</t>
        </is>
      </c>
      <c r="U1543" t="inlineStr">
        <is>
          <t>Não</t>
        </is>
      </c>
    </row>
    <row r="1544">
      <c r="A1544" t="inlineStr">
        <is>
          <t>Frete de venda</t>
        </is>
      </c>
      <c r="B1544" t="inlineStr">
        <is>
          <t>2.01.02 Frete sobre Vendas</t>
        </is>
      </c>
      <c r="C1544" t="inlineStr">
        <is>
          <t>Antes de 2026</t>
        </is>
      </c>
      <c r="D1544" t="inlineStr">
        <is>
          <t>Antes de 2026</t>
        </is>
      </c>
      <c r="E1544" s="28" t="n">
        <v>45806</v>
      </c>
      <c r="F1544" t="inlineStr">
        <is>
          <t>CT-e</t>
        </is>
      </c>
      <c r="G1544" t="inlineStr">
        <is>
          <t>000004325</t>
        </is>
      </c>
      <c r="H1544" t="inlineStr">
        <is>
          <t>R&amp;R TRANSPORTE E LOGISTICA</t>
        </is>
      </c>
      <c r="J1544" s="29" t="n">
        <v>39.73</v>
      </c>
      <c r="K1544" s="29">
        <f>(1-ISNUMBER(SEARCH("556",M1544)))*(O1544*SUMIFS(Premissas!$C$5:$C$44,Premissas!$A$5:$A$44,$A1544,Premissas!$B$5:$B$44,$B1544)+P1544*SUMIFS(Premissas!$D$5:$D$44,Premissas!$A$5:$A$44,$A1544,Premissas!$B$5:$B$44,$B1544))+R1544*SUMIFS(Premissas!$E$5:$E$44,Premissas!$A$5:$A$44,$A1544,Premissas!$B$5:$B$44,$B1544)+S1544*SUMIFS(Premissas!$F$5:$F$44,Premissas!$A$5:$A$44,$A1544,Premissas!$B$5:$B$44,$B1544)</f>
        <v/>
      </c>
      <c r="L1544" s="29">
        <f>J1544-K1544</f>
        <v/>
      </c>
      <c r="M1544" t="inlineStr">
        <is>
          <t>1.350</t>
        </is>
      </c>
      <c r="N1544" t="inlineStr">
        <is>
          <t>Modalidade: 0 - Por conta do remetente | Parte: REGINA SARRAF COMERCIO DE EMBALAGENS LTDA (05.331.173/0001-06)</t>
        </is>
      </c>
      <c r="O1544" s="29" t="n">
        <v>0</v>
      </c>
      <c r="P1544" s="29" t="n">
        <v>0</v>
      </c>
      <c r="Q1544" s="29" t="n">
        <v>0</v>
      </c>
      <c r="R1544" s="29" t="n">
        <v>0</v>
      </c>
      <c r="S1544" s="29" t="n">
        <v>0</v>
      </c>
      <c r="T1544" t="inlineStr">
        <is>
          <t>25250526975620000130570010000043251000000000</t>
        </is>
      </c>
      <c r="U1544" t="inlineStr">
        <is>
          <t>Não</t>
        </is>
      </c>
    </row>
    <row r="1545">
      <c r="A1545" t="inlineStr">
        <is>
          <t>Frete de venda</t>
        </is>
      </c>
      <c r="B1545" t="inlineStr">
        <is>
          <t>2.01.02 Frete sobre Vendas</t>
        </is>
      </c>
      <c r="C1545" t="inlineStr">
        <is>
          <t>Antes de 2026</t>
        </is>
      </c>
      <c r="D1545" t="inlineStr">
        <is>
          <t>Antes de 2026</t>
        </is>
      </c>
      <c r="E1545" s="28" t="n">
        <v>45806</v>
      </c>
      <c r="F1545" t="inlineStr">
        <is>
          <t>CT-e</t>
        </is>
      </c>
      <c r="G1545" t="inlineStr">
        <is>
          <t>000004326</t>
        </is>
      </c>
      <c r="H1545" t="inlineStr">
        <is>
          <t>R&amp;R TRANSPORTE E LOGISTICA</t>
        </is>
      </c>
      <c r="J1545" s="29" t="n">
        <v>46.8</v>
      </c>
      <c r="K1545" s="29">
        <f>(1-ISNUMBER(SEARCH("556",M1545)))*(O1545*SUMIFS(Premissas!$C$5:$C$44,Premissas!$A$5:$A$44,$A1545,Premissas!$B$5:$B$44,$B1545)+P1545*SUMIFS(Premissas!$D$5:$D$44,Premissas!$A$5:$A$44,$A1545,Premissas!$B$5:$B$44,$B1545))+R1545*SUMIFS(Premissas!$E$5:$E$44,Premissas!$A$5:$A$44,$A1545,Premissas!$B$5:$B$44,$B1545)+S1545*SUMIFS(Premissas!$F$5:$F$44,Premissas!$A$5:$A$44,$A1545,Premissas!$B$5:$B$44,$B1545)</f>
        <v/>
      </c>
      <c r="L1545" s="29">
        <f>J1545-K1545</f>
        <v/>
      </c>
      <c r="M1545" t="inlineStr">
        <is>
          <t>1.350</t>
        </is>
      </c>
      <c r="N1545" t="inlineStr">
        <is>
          <t>Modalidade: 0 - Por conta do remetente | Parte: EMEK DISTRIBUIDORA DE DOCES LTDA (09.206.720/0001-82)</t>
        </is>
      </c>
      <c r="O1545" s="29" t="n">
        <v>0</v>
      </c>
      <c r="P1545" s="29" t="n">
        <v>0</v>
      </c>
      <c r="Q1545" s="29" t="n">
        <v>0</v>
      </c>
      <c r="R1545" s="29" t="n">
        <v>0</v>
      </c>
      <c r="S1545" s="29" t="n">
        <v>0</v>
      </c>
      <c r="T1545" t="inlineStr">
        <is>
          <t>25250526975620000130570010000043261000000007</t>
        </is>
      </c>
      <c r="U1545" t="inlineStr">
        <is>
          <t>Não</t>
        </is>
      </c>
    </row>
    <row r="1546">
      <c r="A1546" t="inlineStr">
        <is>
          <t>Frete de venda</t>
        </is>
      </c>
      <c r="B1546" t="inlineStr">
        <is>
          <t>2.01.02 Frete sobre Vendas</t>
        </is>
      </c>
      <c r="C1546" t="inlineStr">
        <is>
          <t>Antes de 2026</t>
        </is>
      </c>
      <c r="D1546" t="inlineStr">
        <is>
          <t>Antes de 2026</t>
        </is>
      </c>
      <c r="E1546" s="28" t="n">
        <v>45806</v>
      </c>
      <c r="F1546" t="inlineStr">
        <is>
          <t>CT-e</t>
        </is>
      </c>
      <c r="G1546" t="inlineStr">
        <is>
          <t>000004327</t>
        </is>
      </c>
      <c r="H1546" t="inlineStr">
        <is>
          <t>R&amp;R TRANSPORTE E LOGISTICA</t>
        </is>
      </c>
      <c r="J1546" s="29" t="n">
        <v>345</v>
      </c>
      <c r="K1546" s="29">
        <f>(1-ISNUMBER(SEARCH("556",M1546)))*(O1546*SUMIFS(Premissas!$C$5:$C$44,Premissas!$A$5:$A$44,$A1546,Premissas!$B$5:$B$44,$B1546)+P1546*SUMIFS(Premissas!$D$5:$D$44,Premissas!$A$5:$A$44,$A1546,Premissas!$B$5:$B$44,$B1546))+R1546*SUMIFS(Premissas!$E$5:$E$44,Premissas!$A$5:$A$44,$A1546,Premissas!$B$5:$B$44,$B1546)+S1546*SUMIFS(Premissas!$F$5:$F$44,Premissas!$A$5:$A$44,$A1546,Premissas!$B$5:$B$44,$B1546)</f>
        <v/>
      </c>
      <c r="L1546" s="29">
        <f>J1546-K1546</f>
        <v/>
      </c>
      <c r="M1546" t="inlineStr">
        <is>
          <t>1.350</t>
        </is>
      </c>
      <c r="N1546" t="inlineStr">
        <is>
          <t>Modalidade: 0 - Por conta do remetente | Parte: VILMA GOMES FREITAS DE OLIVEIRA LTDA (08.035.528/0001-08)</t>
        </is>
      </c>
      <c r="O1546" s="29" t="n">
        <v>0</v>
      </c>
      <c r="P1546" s="29" t="n">
        <v>0</v>
      </c>
      <c r="Q1546" s="29" t="n">
        <v>0</v>
      </c>
      <c r="R1546" s="29" t="n">
        <v>0</v>
      </c>
      <c r="S1546" s="29" t="n">
        <v>0</v>
      </c>
      <c r="T1546" t="inlineStr">
        <is>
          <t>25250526975620000130570010000043271000000004</t>
        </is>
      </c>
      <c r="U1546" t="inlineStr">
        <is>
          <t>Não</t>
        </is>
      </c>
    </row>
    <row r="1547">
      <c r="A1547" t="inlineStr">
        <is>
          <t>Frete de venda</t>
        </is>
      </c>
      <c r="B1547" t="inlineStr">
        <is>
          <t>2.01.02 Frete sobre Vendas</t>
        </is>
      </c>
      <c r="C1547" t="inlineStr">
        <is>
          <t>Antes de 2026</t>
        </is>
      </c>
      <c r="D1547" t="inlineStr">
        <is>
          <t>Antes de 2026</t>
        </is>
      </c>
      <c r="E1547" s="28" t="n">
        <v>45806</v>
      </c>
      <c r="F1547" t="inlineStr">
        <is>
          <t>CT-e</t>
        </is>
      </c>
      <c r="G1547" t="inlineStr">
        <is>
          <t>000004329</t>
        </is>
      </c>
      <c r="H1547" t="inlineStr">
        <is>
          <t>R&amp;R TRANSPORTE E LOGISTICA</t>
        </is>
      </c>
      <c r="J1547" s="29" t="n">
        <v>21.1</v>
      </c>
      <c r="K1547" s="29">
        <f>(1-ISNUMBER(SEARCH("556",M1547)))*(O1547*SUMIFS(Premissas!$C$5:$C$44,Premissas!$A$5:$A$44,$A1547,Premissas!$B$5:$B$44,$B1547)+P1547*SUMIFS(Premissas!$D$5:$D$44,Premissas!$A$5:$A$44,$A1547,Premissas!$B$5:$B$44,$B1547))+R1547*SUMIFS(Premissas!$E$5:$E$44,Premissas!$A$5:$A$44,$A1547,Premissas!$B$5:$B$44,$B1547)+S1547*SUMIFS(Premissas!$F$5:$F$44,Premissas!$A$5:$A$44,$A1547,Premissas!$B$5:$B$44,$B1547)</f>
        <v/>
      </c>
      <c r="L1547" s="29">
        <f>J1547-K1547</f>
        <v/>
      </c>
      <c r="M1547" t="inlineStr">
        <is>
          <t>1.350</t>
        </is>
      </c>
      <c r="N1547" t="inlineStr">
        <is>
          <t>Modalidade: 0 - Por conta do remetente | Parte: STAMP DISTRIBUIDORA DE EMBALAGENS DE PAPEL E DESCARTAVEIS LT (27.707.575/0003-67)</t>
        </is>
      </c>
      <c r="O1547" s="29" t="n">
        <v>0</v>
      </c>
      <c r="P1547" s="29" t="n">
        <v>0</v>
      </c>
      <c r="Q1547" s="29" t="n">
        <v>0</v>
      </c>
      <c r="R1547" s="29" t="n">
        <v>0</v>
      </c>
      <c r="S1547" s="29" t="n">
        <v>0</v>
      </c>
      <c r="T1547" t="inlineStr">
        <is>
          <t>25250526975620000130570010000043291000000009</t>
        </is>
      </c>
      <c r="U1547" t="inlineStr">
        <is>
          <t>Não</t>
        </is>
      </c>
    </row>
    <row r="1548">
      <c r="A1548" t="inlineStr">
        <is>
          <t>Frete de venda</t>
        </is>
      </c>
      <c r="B1548" t="inlineStr">
        <is>
          <t>2.01.02 Frete sobre Vendas</t>
        </is>
      </c>
      <c r="C1548" t="inlineStr">
        <is>
          <t>Antes de 2026</t>
        </is>
      </c>
      <c r="D1548" t="inlineStr">
        <is>
          <t>Antes de 2026</t>
        </is>
      </c>
      <c r="E1548" s="28" t="n">
        <v>45806</v>
      </c>
      <c r="F1548" t="inlineStr">
        <is>
          <t>CT-e</t>
        </is>
      </c>
      <c r="G1548" t="inlineStr">
        <is>
          <t>000004330</t>
        </is>
      </c>
      <c r="H1548" t="inlineStr">
        <is>
          <t>R&amp;R TRANSPORTE E LOGISTICA</t>
        </is>
      </c>
      <c r="J1548" s="29" t="n">
        <v>825</v>
      </c>
      <c r="K1548" s="29">
        <f>(1-ISNUMBER(SEARCH("556",M1548)))*(O1548*SUMIFS(Premissas!$C$5:$C$44,Premissas!$A$5:$A$44,$A1548,Premissas!$B$5:$B$44,$B1548)+P1548*SUMIFS(Premissas!$D$5:$D$44,Premissas!$A$5:$A$44,$A1548,Premissas!$B$5:$B$44,$B1548))+R1548*SUMIFS(Premissas!$E$5:$E$44,Premissas!$A$5:$A$44,$A1548,Premissas!$B$5:$B$44,$B1548)+S1548*SUMIFS(Premissas!$F$5:$F$44,Premissas!$A$5:$A$44,$A1548,Premissas!$B$5:$B$44,$B1548)</f>
        <v/>
      </c>
      <c r="L1548" s="29">
        <f>J1548-K1548</f>
        <v/>
      </c>
      <c r="M1548" t="inlineStr">
        <is>
          <t>1.350</t>
        </is>
      </c>
      <c r="N1548" t="inlineStr">
        <is>
          <t>Modalidade: 0 - Por conta do remetente | Parte: STAMP DISTRIBUIDORA DE EMBALAGENS DE PAPEL E DESCARTAVEI... (48.984.362/0001-90)</t>
        </is>
      </c>
      <c r="O1548" s="29" t="n">
        <v>0</v>
      </c>
      <c r="P1548" s="29" t="n">
        <v>0</v>
      </c>
      <c r="Q1548" s="29" t="n">
        <v>0</v>
      </c>
      <c r="R1548" s="29" t="n">
        <v>0</v>
      </c>
      <c r="S1548" s="29" t="n">
        <v>0</v>
      </c>
      <c r="T1548" t="inlineStr">
        <is>
          <t>25250526975620000130570010000043301000000000</t>
        </is>
      </c>
      <c r="U1548" t="inlineStr">
        <is>
          <t>Não</t>
        </is>
      </c>
    </row>
    <row r="1549">
      <c r="A1549" t="inlineStr">
        <is>
          <t>Frete de venda</t>
        </is>
      </c>
      <c r="B1549" t="inlineStr">
        <is>
          <t>2.01.02 Frete sobre Vendas</t>
        </is>
      </c>
      <c r="C1549" t="inlineStr">
        <is>
          <t>Antes de 2026</t>
        </is>
      </c>
      <c r="D1549" t="inlineStr">
        <is>
          <t>Antes de 2026</t>
        </is>
      </c>
      <c r="E1549" s="28" t="n">
        <v>45806</v>
      </c>
      <c r="F1549" t="inlineStr">
        <is>
          <t>CT-e</t>
        </is>
      </c>
      <c r="G1549" t="inlineStr">
        <is>
          <t>000004331</t>
        </is>
      </c>
      <c r="H1549" t="inlineStr">
        <is>
          <t>R&amp;R TRANSPORTE E LOGISTICA</t>
        </is>
      </c>
      <c r="J1549" s="29" t="n">
        <v>825</v>
      </c>
      <c r="K1549" s="29">
        <f>(1-ISNUMBER(SEARCH("556",M1549)))*(O1549*SUMIFS(Premissas!$C$5:$C$44,Premissas!$A$5:$A$44,$A1549,Premissas!$B$5:$B$44,$B1549)+P1549*SUMIFS(Premissas!$D$5:$D$44,Premissas!$A$5:$A$44,$A1549,Premissas!$B$5:$B$44,$B1549))+R1549*SUMIFS(Premissas!$E$5:$E$44,Premissas!$A$5:$A$44,$A1549,Premissas!$B$5:$B$44,$B1549)+S1549*SUMIFS(Premissas!$F$5:$F$44,Premissas!$A$5:$A$44,$A1549,Premissas!$B$5:$B$44,$B1549)</f>
        <v/>
      </c>
      <c r="L1549" s="29">
        <f>J1549-K1549</f>
        <v/>
      </c>
      <c r="M1549" t="inlineStr">
        <is>
          <t>1.350</t>
        </is>
      </c>
      <c r="N1549" t="inlineStr">
        <is>
          <t>Modalidade: 0 - Por conta do remetente | Parte: AMORIM e CIA LTDA. (08.291.637/0003-58)</t>
        </is>
      </c>
      <c r="O1549" s="29" t="n">
        <v>0</v>
      </c>
      <c r="P1549" s="29" t="n">
        <v>0</v>
      </c>
      <c r="Q1549" s="29" t="n">
        <v>0</v>
      </c>
      <c r="R1549" s="29" t="n">
        <v>0</v>
      </c>
      <c r="S1549" s="29" t="n">
        <v>0</v>
      </c>
      <c r="T1549" t="inlineStr">
        <is>
          <t>25250526975620000130570010000043311000000007</t>
        </is>
      </c>
      <c r="U1549" t="inlineStr">
        <is>
          <t>Não</t>
        </is>
      </c>
    </row>
    <row r="1550">
      <c r="A1550" t="inlineStr">
        <is>
          <t>Frete de venda</t>
        </is>
      </c>
      <c r="B1550" t="inlineStr">
        <is>
          <t>2.01.02 Frete sobre Vendas</t>
        </is>
      </c>
      <c r="C1550" t="inlineStr">
        <is>
          <t>Antes de 2026</t>
        </is>
      </c>
      <c r="D1550" t="inlineStr">
        <is>
          <t>Antes de 2026</t>
        </is>
      </c>
      <c r="E1550" s="28" t="n">
        <v>45807</v>
      </c>
      <c r="F1550" t="inlineStr">
        <is>
          <t>CT-e</t>
        </is>
      </c>
      <c r="G1550" t="inlineStr">
        <is>
          <t>000004332</t>
        </is>
      </c>
      <c r="H1550" t="inlineStr">
        <is>
          <t>R&amp;R TRANSPORTE E LOGISTICA</t>
        </is>
      </c>
      <c r="J1550" s="29" t="n">
        <v>77.77</v>
      </c>
      <c r="K1550" s="29">
        <f>(1-ISNUMBER(SEARCH("556",M1550)))*(O1550*SUMIFS(Premissas!$C$5:$C$44,Premissas!$A$5:$A$44,$A1550,Premissas!$B$5:$B$44,$B1550)+P1550*SUMIFS(Premissas!$D$5:$D$44,Premissas!$A$5:$A$44,$A1550,Premissas!$B$5:$B$44,$B1550))+R1550*SUMIFS(Premissas!$E$5:$E$44,Premissas!$A$5:$A$44,$A1550,Premissas!$B$5:$B$44,$B1550)+S1550*SUMIFS(Premissas!$F$5:$F$44,Premissas!$A$5:$A$44,$A1550,Premissas!$B$5:$B$44,$B1550)</f>
        <v/>
      </c>
      <c r="L1550" s="29">
        <f>J1550-K1550</f>
        <v/>
      </c>
      <c r="M1550" t="inlineStr">
        <is>
          <t>1.350</t>
        </is>
      </c>
      <c r="N1550" t="inlineStr">
        <is>
          <t>Modalidade: 0 - Por conta do remetente | Parte: COMERCIAL DE UTILIDADES MULT MATOS LTDA (35.027.191/0001-60)</t>
        </is>
      </c>
      <c r="O1550" s="29" t="n">
        <v>0</v>
      </c>
      <c r="P1550" s="29" t="n">
        <v>0</v>
      </c>
      <c r="Q1550" s="29" t="n">
        <v>0</v>
      </c>
      <c r="R1550" s="29" t="n">
        <v>0</v>
      </c>
      <c r="S1550" s="29" t="n">
        <v>0</v>
      </c>
      <c r="T1550" t="inlineStr">
        <is>
          <t>25250526975620000130570010000043321000000004</t>
        </is>
      </c>
      <c r="U1550" t="inlineStr">
        <is>
          <t>Não</t>
        </is>
      </c>
    </row>
    <row r="1551">
      <c r="A1551" t="inlineStr">
        <is>
          <t>Frete de venda</t>
        </is>
      </c>
      <c r="B1551" t="inlineStr">
        <is>
          <t>2.01.02 Frete sobre Vendas</t>
        </is>
      </c>
      <c r="C1551" t="inlineStr">
        <is>
          <t>Antes de 2026</t>
        </is>
      </c>
      <c r="D1551" t="inlineStr">
        <is>
          <t>Antes de 2026</t>
        </is>
      </c>
      <c r="E1551" s="28" t="n">
        <v>45807</v>
      </c>
      <c r="F1551" t="inlineStr">
        <is>
          <t>CT-e</t>
        </is>
      </c>
      <c r="G1551" t="inlineStr">
        <is>
          <t>000004333</t>
        </is>
      </c>
      <c r="H1551" t="inlineStr">
        <is>
          <t>R&amp;R TRANSPORTE E LOGISTICA</t>
        </is>
      </c>
      <c r="J1551" s="29" t="n">
        <v>69.93000000000001</v>
      </c>
      <c r="K1551" s="29">
        <f>(1-ISNUMBER(SEARCH("556",M1551)))*(O1551*SUMIFS(Premissas!$C$5:$C$44,Premissas!$A$5:$A$44,$A1551,Premissas!$B$5:$B$44,$B1551)+P1551*SUMIFS(Premissas!$D$5:$D$44,Premissas!$A$5:$A$44,$A1551,Premissas!$B$5:$B$44,$B1551))+R1551*SUMIFS(Premissas!$E$5:$E$44,Premissas!$A$5:$A$44,$A1551,Premissas!$B$5:$B$44,$B1551)+S1551*SUMIFS(Premissas!$F$5:$F$44,Premissas!$A$5:$A$44,$A1551,Premissas!$B$5:$B$44,$B1551)</f>
        <v/>
      </c>
      <c r="L1551" s="29">
        <f>J1551-K1551</f>
        <v/>
      </c>
      <c r="M1551" t="inlineStr">
        <is>
          <t>1.350</t>
        </is>
      </c>
      <c r="N1551" t="inlineStr">
        <is>
          <t>Modalidade: 0 - Por conta do remetente | Parte: DISTRIBUIDORA BHF EMGALAGENS E FATIADOS (52.088.370/0001-26)</t>
        </is>
      </c>
      <c r="O1551" s="29" t="n">
        <v>0</v>
      </c>
      <c r="P1551" s="29" t="n">
        <v>0</v>
      </c>
      <c r="Q1551" s="29" t="n">
        <v>0</v>
      </c>
      <c r="R1551" s="29" t="n">
        <v>0</v>
      </c>
      <c r="S1551" s="29" t="n">
        <v>0</v>
      </c>
      <c r="T1551" t="inlineStr">
        <is>
          <t>25250526975620000130570010000043331000000001</t>
        </is>
      </c>
      <c r="U1551" t="inlineStr">
        <is>
          <t>Não</t>
        </is>
      </c>
    </row>
    <row r="1552">
      <c r="A1552" t="inlineStr">
        <is>
          <t>Frete de venda</t>
        </is>
      </c>
      <c r="B1552" t="inlineStr">
        <is>
          <t>2.01.02 Frete sobre Vendas</t>
        </is>
      </c>
      <c r="C1552" t="inlineStr">
        <is>
          <t>Antes de 2026</t>
        </is>
      </c>
      <c r="D1552" t="inlineStr">
        <is>
          <t>Antes de 2026</t>
        </is>
      </c>
      <c r="E1552" s="28" t="n">
        <v>45807</v>
      </c>
      <c r="F1552" t="inlineStr">
        <is>
          <t>CT-e</t>
        </is>
      </c>
      <c r="G1552" t="inlineStr">
        <is>
          <t>000004334</t>
        </is>
      </c>
      <c r="H1552" t="inlineStr">
        <is>
          <t>R&amp;R TRANSPORTE E LOGISTICA</t>
        </is>
      </c>
      <c r="J1552" s="29" t="n">
        <v>150.94</v>
      </c>
      <c r="K1552" s="29">
        <f>(1-ISNUMBER(SEARCH("556",M1552)))*(O1552*SUMIFS(Premissas!$C$5:$C$44,Premissas!$A$5:$A$44,$A1552,Premissas!$B$5:$B$44,$B1552)+P1552*SUMIFS(Premissas!$D$5:$D$44,Premissas!$A$5:$A$44,$A1552,Premissas!$B$5:$B$44,$B1552))+R1552*SUMIFS(Premissas!$E$5:$E$44,Premissas!$A$5:$A$44,$A1552,Premissas!$B$5:$B$44,$B1552)+S1552*SUMIFS(Premissas!$F$5:$F$44,Premissas!$A$5:$A$44,$A1552,Premissas!$B$5:$B$44,$B1552)</f>
        <v/>
      </c>
      <c r="L1552" s="29">
        <f>J1552-K1552</f>
        <v/>
      </c>
      <c r="M1552" t="inlineStr">
        <is>
          <t>1.350</t>
        </is>
      </c>
      <c r="N1552" t="inlineStr">
        <is>
          <t>Modalidade: 0 - Por conta do remetente | Parte: RODRIGUES e DIAS COMERCIO DE HORTIFRUTI GRANJEIROS LTDA (09.143.905/0001-95)</t>
        </is>
      </c>
      <c r="O1552" s="29" t="n">
        <v>0</v>
      </c>
      <c r="P1552" s="29" t="n">
        <v>0</v>
      </c>
      <c r="Q1552" s="29" t="n">
        <v>0</v>
      </c>
      <c r="R1552" s="29" t="n">
        <v>0</v>
      </c>
      <c r="S1552" s="29" t="n">
        <v>0</v>
      </c>
      <c r="T1552" t="inlineStr">
        <is>
          <t>25250526975620000130570010000043341000000009</t>
        </is>
      </c>
      <c r="U1552" t="inlineStr">
        <is>
          <t>Não</t>
        </is>
      </c>
    </row>
    <row r="1553">
      <c r="A1553" t="inlineStr">
        <is>
          <t>Frete de venda</t>
        </is>
      </c>
      <c r="B1553" t="inlineStr">
        <is>
          <t>2.01.02 Frete sobre Vendas</t>
        </is>
      </c>
      <c r="C1553" t="inlineStr">
        <is>
          <t>Antes de 2026</t>
        </is>
      </c>
      <c r="D1553" t="inlineStr">
        <is>
          <t>Antes de 2026</t>
        </is>
      </c>
      <c r="E1553" s="28" t="n">
        <v>45807</v>
      </c>
      <c r="F1553" t="inlineStr">
        <is>
          <t>CT-e</t>
        </is>
      </c>
      <c r="G1553" t="inlineStr">
        <is>
          <t>000004335</t>
        </is>
      </c>
      <c r="H1553" t="inlineStr">
        <is>
          <t>R&amp;R TRANSPORTE E LOGISTICA</t>
        </is>
      </c>
      <c r="J1553" s="29" t="n">
        <v>51.64</v>
      </c>
      <c r="K1553" s="29">
        <f>(1-ISNUMBER(SEARCH("556",M1553)))*(O1553*SUMIFS(Premissas!$C$5:$C$44,Premissas!$A$5:$A$44,$A1553,Premissas!$B$5:$B$44,$B1553)+P1553*SUMIFS(Premissas!$D$5:$D$44,Premissas!$A$5:$A$44,$A1553,Premissas!$B$5:$B$44,$B1553))+R1553*SUMIFS(Premissas!$E$5:$E$44,Premissas!$A$5:$A$44,$A1553,Premissas!$B$5:$B$44,$B1553)+S1553*SUMIFS(Premissas!$F$5:$F$44,Premissas!$A$5:$A$44,$A1553,Premissas!$B$5:$B$44,$B1553)</f>
        <v/>
      </c>
      <c r="L1553" s="29">
        <f>J1553-K1553</f>
        <v/>
      </c>
      <c r="M1553" t="inlineStr">
        <is>
          <t>1.350</t>
        </is>
      </c>
      <c r="N1553" t="inlineStr">
        <is>
          <t>Modalidade: 0 - Por conta do remetente | Parte: GONCALVES E CECILIO LTDA (02.635.681/0001-90)</t>
        </is>
      </c>
      <c r="O1553" s="29" t="n">
        <v>0</v>
      </c>
      <c r="P1553" s="29" t="n">
        <v>0</v>
      </c>
      <c r="Q1553" s="29" t="n">
        <v>0</v>
      </c>
      <c r="R1553" s="29" t="n">
        <v>0</v>
      </c>
      <c r="S1553" s="29" t="n">
        <v>0</v>
      </c>
      <c r="T1553" t="inlineStr">
        <is>
          <t>25250526975620000130570010000043351000000006</t>
        </is>
      </c>
      <c r="U1553" t="inlineStr">
        <is>
          <t>Não</t>
        </is>
      </c>
    </row>
    <row r="1554">
      <c r="A1554" t="inlineStr">
        <is>
          <t>Frete de venda</t>
        </is>
      </c>
      <c r="B1554" t="inlineStr">
        <is>
          <t>2.01.02 Frete sobre Vendas</t>
        </is>
      </c>
      <c r="C1554" t="inlineStr">
        <is>
          <t>Antes de 2026</t>
        </is>
      </c>
      <c r="D1554" t="inlineStr">
        <is>
          <t>Antes de 2026</t>
        </is>
      </c>
      <c r="E1554" s="28" t="n">
        <v>45807</v>
      </c>
      <c r="F1554" t="inlineStr">
        <is>
          <t>CT-e</t>
        </is>
      </c>
      <c r="G1554" t="inlineStr">
        <is>
          <t>000004337</t>
        </is>
      </c>
      <c r="H1554" t="inlineStr">
        <is>
          <t>R&amp;R TRANSPORTE E LOGISTICA</t>
        </is>
      </c>
      <c r="J1554" s="29" t="n">
        <v>27.82</v>
      </c>
      <c r="K1554" s="29">
        <f>(1-ISNUMBER(SEARCH("556",M1554)))*(O1554*SUMIFS(Premissas!$C$5:$C$44,Premissas!$A$5:$A$44,$A1554,Premissas!$B$5:$B$44,$B1554)+P1554*SUMIFS(Premissas!$D$5:$D$44,Premissas!$A$5:$A$44,$A1554,Premissas!$B$5:$B$44,$B1554))+R1554*SUMIFS(Premissas!$E$5:$E$44,Premissas!$A$5:$A$44,$A1554,Premissas!$B$5:$B$44,$B1554)+S1554*SUMIFS(Premissas!$F$5:$F$44,Premissas!$A$5:$A$44,$A1554,Premissas!$B$5:$B$44,$B1554)</f>
        <v/>
      </c>
      <c r="L1554" s="29">
        <f>J1554-K1554</f>
        <v/>
      </c>
      <c r="M1554" t="inlineStr">
        <is>
          <t>1.350</t>
        </is>
      </c>
      <c r="N1554" t="inlineStr">
        <is>
          <t>Modalidade: 0 - Por conta do remetente | Parte: EDSON G DE CARVALHO COMERCIAL DE ALIMENTOS (22.027.295/0001-22)</t>
        </is>
      </c>
      <c r="O1554" s="29" t="n">
        <v>0</v>
      </c>
      <c r="P1554" s="29" t="n">
        <v>0</v>
      </c>
      <c r="Q1554" s="29" t="n">
        <v>0</v>
      </c>
      <c r="R1554" s="29" t="n">
        <v>0</v>
      </c>
      <c r="S1554" s="29" t="n">
        <v>0</v>
      </c>
      <c r="T1554" t="inlineStr">
        <is>
          <t>25250526975620000130570010000043371000000000</t>
        </is>
      </c>
      <c r="U1554" t="inlineStr">
        <is>
          <t>Não</t>
        </is>
      </c>
    </row>
    <row r="1555">
      <c r="A1555" t="inlineStr">
        <is>
          <t>Frete de venda</t>
        </is>
      </c>
      <c r="B1555" t="inlineStr">
        <is>
          <t>2.01.02 Frete sobre Vendas</t>
        </is>
      </c>
      <c r="C1555" t="inlineStr">
        <is>
          <t>Antes de 2026</t>
        </is>
      </c>
      <c r="D1555" t="inlineStr">
        <is>
          <t>Antes de 2026</t>
        </is>
      </c>
      <c r="E1555" s="28" t="n">
        <v>45807</v>
      </c>
      <c r="F1555" t="inlineStr">
        <is>
          <t>CT-e</t>
        </is>
      </c>
      <c r="G1555" t="inlineStr">
        <is>
          <t>000004338</t>
        </is>
      </c>
      <c r="H1555" t="inlineStr">
        <is>
          <t>R&amp;R TRANSPORTE E LOGISTICA</t>
        </is>
      </c>
      <c r="J1555" s="29" t="n">
        <v>37.48</v>
      </c>
      <c r="K1555" s="29">
        <f>(1-ISNUMBER(SEARCH("556",M1555)))*(O1555*SUMIFS(Premissas!$C$5:$C$44,Premissas!$A$5:$A$44,$A1555,Premissas!$B$5:$B$44,$B1555)+P1555*SUMIFS(Premissas!$D$5:$D$44,Premissas!$A$5:$A$44,$A1555,Premissas!$B$5:$B$44,$B1555))+R1555*SUMIFS(Premissas!$E$5:$E$44,Premissas!$A$5:$A$44,$A1555,Premissas!$B$5:$B$44,$B1555)+S1555*SUMIFS(Premissas!$F$5:$F$44,Premissas!$A$5:$A$44,$A1555,Premissas!$B$5:$B$44,$B1555)</f>
        <v/>
      </c>
      <c r="L1555" s="29">
        <f>J1555-K1555</f>
        <v/>
      </c>
      <c r="M1555" t="inlineStr">
        <is>
          <t>1.350</t>
        </is>
      </c>
      <c r="N1555" t="inlineStr">
        <is>
          <t>Modalidade: 0 - Por conta do remetente | Parte: DM EMBALAGENS LTDA (42.711.510/0001-17)</t>
        </is>
      </c>
      <c r="O1555" s="29" t="n">
        <v>0</v>
      </c>
      <c r="P1555" s="29" t="n">
        <v>0</v>
      </c>
      <c r="Q1555" s="29" t="n">
        <v>0</v>
      </c>
      <c r="R1555" s="29" t="n">
        <v>0</v>
      </c>
      <c r="S1555" s="29" t="n">
        <v>0</v>
      </c>
      <c r="T1555" t="inlineStr">
        <is>
          <t>25250526975620000130570010000043381000000008</t>
        </is>
      </c>
      <c r="U1555" t="inlineStr">
        <is>
          <t>Não</t>
        </is>
      </c>
    </row>
    <row r="1556">
      <c r="A1556" t="inlineStr">
        <is>
          <t>Frete de venda</t>
        </is>
      </c>
      <c r="B1556" t="inlineStr">
        <is>
          <t>2.01.02 Frete sobre Vendas</t>
        </is>
      </c>
      <c r="C1556" t="inlineStr">
        <is>
          <t>Antes de 2026</t>
        </is>
      </c>
      <c r="D1556" t="inlineStr">
        <is>
          <t>Antes de 2026</t>
        </is>
      </c>
      <c r="E1556" s="28" t="n">
        <v>45807</v>
      </c>
      <c r="F1556" t="inlineStr">
        <is>
          <t>CT-e</t>
        </is>
      </c>
      <c r="G1556" t="inlineStr">
        <is>
          <t>000004339</t>
        </is>
      </c>
      <c r="H1556" t="inlineStr">
        <is>
          <t>R&amp;R TRANSPORTE E LOGISTICA</t>
        </is>
      </c>
      <c r="J1556" s="29" t="n">
        <v>21.99</v>
      </c>
      <c r="K1556" s="29">
        <f>(1-ISNUMBER(SEARCH("556",M1556)))*(O1556*SUMIFS(Premissas!$C$5:$C$44,Premissas!$A$5:$A$44,$A1556,Premissas!$B$5:$B$44,$B1556)+P1556*SUMIFS(Premissas!$D$5:$D$44,Premissas!$A$5:$A$44,$A1556,Premissas!$B$5:$B$44,$B1556))+R1556*SUMIFS(Premissas!$E$5:$E$44,Premissas!$A$5:$A$44,$A1556,Premissas!$B$5:$B$44,$B1556)+S1556*SUMIFS(Premissas!$F$5:$F$44,Premissas!$A$5:$A$44,$A1556,Premissas!$B$5:$B$44,$B1556)</f>
        <v/>
      </c>
      <c r="L1556" s="29">
        <f>J1556-K1556</f>
        <v/>
      </c>
      <c r="M1556" t="inlineStr">
        <is>
          <t>1.350</t>
        </is>
      </c>
      <c r="N1556" t="inlineStr">
        <is>
          <t>Modalidade: 0 - Por conta do remetente | Parte: GARRA COMERCIO ATACADISTA DE ALIMENTOS LTDA (04.140.756/0006-00)</t>
        </is>
      </c>
      <c r="O1556" s="29" t="n">
        <v>0</v>
      </c>
      <c r="P1556" s="29" t="n">
        <v>0</v>
      </c>
      <c r="Q1556" s="29" t="n">
        <v>0</v>
      </c>
      <c r="R1556" s="29" t="n">
        <v>0</v>
      </c>
      <c r="S1556" s="29" t="n">
        <v>0</v>
      </c>
      <c r="T1556" t="inlineStr">
        <is>
          <t>25250526975620000130570010000043391000000005</t>
        </is>
      </c>
      <c r="U1556" t="inlineStr">
        <is>
          <t>Não</t>
        </is>
      </c>
    </row>
    <row r="1557">
      <c r="A1557" t="inlineStr">
        <is>
          <t>Frete de venda</t>
        </is>
      </c>
      <c r="B1557" t="inlineStr">
        <is>
          <t>2.01.02 Frete sobre Vendas</t>
        </is>
      </c>
      <c r="C1557" t="inlineStr">
        <is>
          <t>Antes de 2026</t>
        </is>
      </c>
      <c r="D1557" t="inlineStr">
        <is>
          <t>Antes de 2026</t>
        </is>
      </c>
      <c r="E1557" s="28" t="n">
        <v>45807</v>
      </c>
      <c r="F1557" t="inlineStr">
        <is>
          <t>CT-e</t>
        </is>
      </c>
      <c r="G1557" t="inlineStr">
        <is>
          <t>000004340</t>
        </is>
      </c>
      <c r="H1557" t="inlineStr">
        <is>
          <t>R&amp;R TRANSPORTE E LOGISTICA</t>
        </is>
      </c>
      <c r="J1557" s="29" t="n">
        <v>27.05</v>
      </c>
      <c r="K1557" s="29">
        <f>(1-ISNUMBER(SEARCH("556",M1557)))*(O1557*SUMIFS(Premissas!$C$5:$C$44,Premissas!$A$5:$A$44,$A1557,Premissas!$B$5:$B$44,$B1557)+P1557*SUMIFS(Premissas!$D$5:$D$44,Premissas!$A$5:$A$44,$A1557,Premissas!$B$5:$B$44,$B1557))+R1557*SUMIFS(Premissas!$E$5:$E$44,Premissas!$A$5:$A$44,$A1557,Premissas!$B$5:$B$44,$B1557)+S1557*SUMIFS(Premissas!$F$5:$F$44,Premissas!$A$5:$A$44,$A1557,Premissas!$B$5:$B$44,$B1557)</f>
        <v/>
      </c>
      <c r="L1557" s="29">
        <f>J1557-K1557</f>
        <v/>
      </c>
      <c r="M1557" t="inlineStr">
        <is>
          <t>1.350</t>
        </is>
      </c>
      <c r="N1557" t="inlineStr">
        <is>
          <t>Modalidade: 0 - Por conta do remetente | Parte: JAB IMPORTACAO E EXPORTACAO LTDA (21.938.705/0002-05)</t>
        </is>
      </c>
      <c r="O1557" s="29" t="n">
        <v>0</v>
      </c>
      <c r="P1557" s="29" t="n">
        <v>0</v>
      </c>
      <c r="Q1557" s="29" t="n">
        <v>0</v>
      </c>
      <c r="R1557" s="29" t="n">
        <v>0</v>
      </c>
      <c r="S1557" s="29" t="n">
        <v>0</v>
      </c>
      <c r="T1557" t="inlineStr">
        <is>
          <t>25250526975620000130570010000043401000000006</t>
        </is>
      </c>
      <c r="U1557" t="inlineStr">
        <is>
          <t>Não</t>
        </is>
      </c>
    </row>
    <row r="1558">
      <c r="A1558" t="inlineStr">
        <is>
          <t>Frete de venda</t>
        </is>
      </c>
      <c r="B1558" t="inlineStr">
        <is>
          <t>2.01.02 Frete sobre Vendas</t>
        </is>
      </c>
      <c r="C1558" t="inlineStr">
        <is>
          <t>Antes de 2026</t>
        </is>
      </c>
      <c r="D1558" t="inlineStr">
        <is>
          <t>Antes de 2026</t>
        </is>
      </c>
      <c r="E1558" s="28" t="n">
        <v>45807</v>
      </c>
      <c r="F1558" t="inlineStr">
        <is>
          <t>CT-e</t>
        </is>
      </c>
      <c r="G1558" t="inlineStr">
        <is>
          <t>000004341</t>
        </is>
      </c>
      <c r="H1558" t="inlineStr">
        <is>
          <t>R&amp;R TRANSPORTE E LOGISTICA</t>
        </is>
      </c>
      <c r="J1558" s="29" t="n">
        <v>26.65</v>
      </c>
      <c r="K1558" s="29">
        <f>(1-ISNUMBER(SEARCH("556",M1558)))*(O1558*SUMIFS(Premissas!$C$5:$C$44,Premissas!$A$5:$A$44,$A1558,Premissas!$B$5:$B$44,$B1558)+P1558*SUMIFS(Premissas!$D$5:$D$44,Premissas!$A$5:$A$44,$A1558,Premissas!$B$5:$B$44,$B1558))+R1558*SUMIFS(Premissas!$E$5:$E$44,Premissas!$A$5:$A$44,$A1558,Premissas!$B$5:$B$44,$B1558)+S1558*SUMIFS(Premissas!$F$5:$F$44,Premissas!$A$5:$A$44,$A1558,Premissas!$B$5:$B$44,$B1558)</f>
        <v/>
      </c>
      <c r="L1558" s="29">
        <f>J1558-K1558</f>
        <v/>
      </c>
      <c r="M1558" t="inlineStr">
        <is>
          <t>1.350</t>
        </is>
      </c>
      <c r="N1558" t="inlineStr">
        <is>
          <t>Modalidade: 0 - Por conta do remetente | Parte: BENEDITO DE OLIVEIRA BATISTA (63.262.216/0001-45)</t>
        </is>
      </c>
      <c r="O1558" s="29" t="n">
        <v>0</v>
      </c>
      <c r="P1558" s="29" t="n">
        <v>0</v>
      </c>
      <c r="Q1558" s="29" t="n">
        <v>0</v>
      </c>
      <c r="R1558" s="29" t="n">
        <v>0</v>
      </c>
      <c r="S1558" s="29" t="n">
        <v>0</v>
      </c>
      <c r="T1558" t="inlineStr">
        <is>
          <t>25250526975620000130570010000043411000000003</t>
        </is>
      </c>
      <c r="U1558" t="inlineStr">
        <is>
          <t>Não</t>
        </is>
      </c>
    </row>
    <row r="1559">
      <c r="A1559" t="inlineStr">
        <is>
          <t>Frete de venda</t>
        </is>
      </c>
      <c r="B1559" t="inlineStr">
        <is>
          <t>2.01.02 Frete sobre Vendas</t>
        </is>
      </c>
      <c r="C1559" t="inlineStr">
        <is>
          <t>Antes de 2026</t>
        </is>
      </c>
      <c r="D1559" t="inlineStr">
        <is>
          <t>Antes de 2026</t>
        </is>
      </c>
      <c r="E1559" s="28" t="n">
        <v>45807</v>
      </c>
      <c r="F1559" t="inlineStr">
        <is>
          <t>CT-e</t>
        </is>
      </c>
      <c r="G1559" t="inlineStr">
        <is>
          <t>000004342</t>
        </is>
      </c>
      <c r="H1559" t="inlineStr">
        <is>
          <t>R&amp;R TRANSPORTE E LOGISTICA</t>
        </is>
      </c>
      <c r="J1559" s="29" t="n">
        <v>35.55</v>
      </c>
      <c r="K1559" s="29">
        <f>(1-ISNUMBER(SEARCH("556",M1559)))*(O1559*SUMIFS(Premissas!$C$5:$C$44,Premissas!$A$5:$A$44,$A1559,Premissas!$B$5:$B$44,$B1559)+P1559*SUMIFS(Premissas!$D$5:$D$44,Premissas!$A$5:$A$44,$A1559,Premissas!$B$5:$B$44,$B1559))+R1559*SUMIFS(Premissas!$E$5:$E$44,Premissas!$A$5:$A$44,$A1559,Premissas!$B$5:$B$44,$B1559)+S1559*SUMIFS(Premissas!$F$5:$F$44,Premissas!$A$5:$A$44,$A1559,Premissas!$B$5:$B$44,$B1559)</f>
        <v/>
      </c>
      <c r="L1559" s="29">
        <f>J1559-K1559</f>
        <v/>
      </c>
      <c r="M1559" t="inlineStr">
        <is>
          <t>1.350</t>
        </is>
      </c>
      <c r="N1559" t="inlineStr">
        <is>
          <t>Modalidade: 0 - Por conta do remetente | Parte: J. I. DE LIMA DISTRIBUIDORA DE EMBALAGENS E FRIOS (05.267.473/0001-73)</t>
        </is>
      </c>
      <c r="O1559" s="29" t="n">
        <v>0</v>
      </c>
      <c r="P1559" s="29" t="n">
        <v>0</v>
      </c>
      <c r="Q1559" s="29" t="n">
        <v>0</v>
      </c>
      <c r="R1559" s="29" t="n">
        <v>0</v>
      </c>
      <c r="S1559" s="29" t="n">
        <v>0</v>
      </c>
      <c r="T1559" t="inlineStr">
        <is>
          <t>25250526975620000130570010000043421000000000</t>
        </is>
      </c>
      <c r="U1559" t="inlineStr">
        <is>
          <t>Não</t>
        </is>
      </c>
    </row>
    <row r="1560">
      <c r="A1560" t="inlineStr">
        <is>
          <t>Frete de venda</t>
        </is>
      </c>
      <c r="B1560" t="inlineStr">
        <is>
          <t>2.01.02 Frete sobre Vendas</t>
        </is>
      </c>
      <c r="C1560" t="inlineStr">
        <is>
          <t>Antes de 2026</t>
        </is>
      </c>
      <c r="D1560" t="inlineStr">
        <is>
          <t>Antes de 2026</t>
        </is>
      </c>
      <c r="E1560" s="28" t="n">
        <v>45807</v>
      </c>
      <c r="F1560" t="inlineStr">
        <is>
          <t>CT-e</t>
        </is>
      </c>
      <c r="G1560" t="inlineStr">
        <is>
          <t>000004343</t>
        </is>
      </c>
      <c r="H1560" t="inlineStr">
        <is>
          <t>R&amp;R TRANSPORTE E LOGISTICA</t>
        </is>
      </c>
      <c r="J1560" s="29" t="n">
        <v>28.4</v>
      </c>
      <c r="K1560" s="29">
        <f>(1-ISNUMBER(SEARCH("556",M1560)))*(O1560*SUMIFS(Premissas!$C$5:$C$44,Premissas!$A$5:$A$44,$A1560,Premissas!$B$5:$B$44,$B1560)+P1560*SUMIFS(Premissas!$D$5:$D$44,Premissas!$A$5:$A$44,$A1560,Premissas!$B$5:$B$44,$B1560))+R1560*SUMIFS(Premissas!$E$5:$E$44,Premissas!$A$5:$A$44,$A1560,Premissas!$B$5:$B$44,$B1560)+S1560*SUMIFS(Premissas!$F$5:$F$44,Premissas!$A$5:$A$44,$A1560,Premissas!$B$5:$B$44,$B1560)</f>
        <v/>
      </c>
      <c r="L1560" s="29">
        <f>J1560-K1560</f>
        <v/>
      </c>
      <c r="M1560" t="inlineStr">
        <is>
          <t>1.350</t>
        </is>
      </c>
      <c r="N1560" t="inlineStr">
        <is>
          <t>Modalidade: 0 - Por conta do remetente | Parte: LEPETTI DOCES BSB LTDA (27.023.179/0001-59)</t>
        </is>
      </c>
      <c r="O1560" s="29" t="n">
        <v>0</v>
      </c>
      <c r="P1560" s="29" t="n">
        <v>0</v>
      </c>
      <c r="Q1560" s="29" t="n">
        <v>0</v>
      </c>
      <c r="R1560" s="29" t="n">
        <v>0</v>
      </c>
      <c r="S1560" s="29" t="n">
        <v>0</v>
      </c>
      <c r="T1560" t="inlineStr">
        <is>
          <t>25250526975620000130570010000043431000000008</t>
        </is>
      </c>
      <c r="U1560" t="inlineStr">
        <is>
          <t>Não</t>
        </is>
      </c>
    </row>
    <row r="1561">
      <c r="A1561" t="inlineStr">
        <is>
          <t>Frete de venda</t>
        </is>
      </c>
      <c r="B1561" t="inlineStr">
        <is>
          <t>2.01.02 Frete sobre Vendas</t>
        </is>
      </c>
      <c r="C1561" t="inlineStr">
        <is>
          <t>Antes de 2026</t>
        </is>
      </c>
      <c r="D1561" t="inlineStr">
        <is>
          <t>Antes de 2026</t>
        </is>
      </c>
      <c r="E1561" s="28" t="n">
        <v>45807</v>
      </c>
      <c r="F1561" t="inlineStr">
        <is>
          <t>CT-e</t>
        </is>
      </c>
      <c r="G1561" t="inlineStr">
        <is>
          <t>000004344</t>
        </is>
      </c>
      <c r="H1561" t="inlineStr">
        <is>
          <t>R&amp;R TRANSPORTE E LOGISTICA</t>
        </is>
      </c>
      <c r="J1561" s="29" t="n">
        <v>46.44</v>
      </c>
      <c r="K1561" s="29">
        <f>(1-ISNUMBER(SEARCH("556",M1561)))*(O1561*SUMIFS(Premissas!$C$5:$C$44,Premissas!$A$5:$A$44,$A1561,Premissas!$B$5:$B$44,$B1561)+P1561*SUMIFS(Premissas!$D$5:$D$44,Premissas!$A$5:$A$44,$A1561,Premissas!$B$5:$B$44,$B1561))+R1561*SUMIFS(Premissas!$E$5:$E$44,Premissas!$A$5:$A$44,$A1561,Premissas!$B$5:$B$44,$B1561)+S1561*SUMIFS(Premissas!$F$5:$F$44,Premissas!$A$5:$A$44,$A1561,Premissas!$B$5:$B$44,$B1561)</f>
        <v/>
      </c>
      <c r="L1561" s="29">
        <f>J1561-K1561</f>
        <v/>
      </c>
      <c r="M1561" t="inlineStr">
        <is>
          <t>1.350</t>
        </is>
      </c>
      <c r="N1561" t="inlineStr">
        <is>
          <t>Modalidade: 0 - Por conta do remetente | Parte: RODRIGUES E CIA LTDA (26.144.570/0001-49)</t>
        </is>
      </c>
      <c r="O1561" s="29" t="n">
        <v>0</v>
      </c>
      <c r="P1561" s="29" t="n">
        <v>0</v>
      </c>
      <c r="Q1561" s="29" t="n">
        <v>0</v>
      </c>
      <c r="R1561" s="29" t="n">
        <v>0</v>
      </c>
      <c r="S1561" s="29" t="n">
        <v>0</v>
      </c>
      <c r="T1561" t="inlineStr">
        <is>
          <t>25250526975620000130570010000043441000000005</t>
        </is>
      </c>
      <c r="U1561" t="inlineStr">
        <is>
          <t>Não</t>
        </is>
      </c>
    </row>
    <row r="1562">
      <c r="A1562" t="inlineStr">
        <is>
          <t>Frete de venda</t>
        </is>
      </c>
      <c r="B1562" t="inlineStr">
        <is>
          <t>2.01.02 Frete sobre Vendas</t>
        </is>
      </c>
      <c r="C1562" t="inlineStr">
        <is>
          <t>Antes de 2026</t>
        </is>
      </c>
      <c r="D1562" t="inlineStr">
        <is>
          <t>Antes de 2026</t>
        </is>
      </c>
      <c r="E1562" s="28" t="n">
        <v>45807</v>
      </c>
      <c r="F1562" t="inlineStr">
        <is>
          <t>CT-e</t>
        </is>
      </c>
      <c r="G1562" t="inlineStr">
        <is>
          <t>000004345</t>
        </is>
      </c>
      <c r="H1562" t="inlineStr">
        <is>
          <t>R&amp;R TRANSPORTE E LOGISTICA</t>
        </is>
      </c>
      <c r="J1562" s="29" t="n">
        <v>41.33</v>
      </c>
      <c r="K1562" s="29">
        <f>(1-ISNUMBER(SEARCH("556",M1562)))*(O1562*SUMIFS(Premissas!$C$5:$C$44,Premissas!$A$5:$A$44,$A1562,Premissas!$B$5:$B$44,$B1562)+P1562*SUMIFS(Premissas!$D$5:$D$44,Premissas!$A$5:$A$44,$A1562,Premissas!$B$5:$B$44,$B1562))+R1562*SUMIFS(Premissas!$E$5:$E$44,Premissas!$A$5:$A$44,$A1562,Premissas!$B$5:$B$44,$B1562)+S1562*SUMIFS(Premissas!$F$5:$F$44,Premissas!$A$5:$A$44,$A1562,Premissas!$B$5:$B$44,$B1562)</f>
        <v/>
      </c>
      <c r="L1562" s="29">
        <f>J1562-K1562</f>
        <v/>
      </c>
      <c r="M1562" t="inlineStr">
        <is>
          <t>1.350</t>
        </is>
      </c>
      <c r="N1562" t="inlineStr">
        <is>
          <t>Modalidade: 0 - Por conta do remetente | Parte: COMERCIAL DE DOCES E BEBIDAS CENTRAL LTDA (02.830.640/0001-54)</t>
        </is>
      </c>
      <c r="O1562" s="29" t="n">
        <v>0</v>
      </c>
      <c r="P1562" s="29" t="n">
        <v>0</v>
      </c>
      <c r="Q1562" s="29" t="n">
        <v>0</v>
      </c>
      <c r="R1562" s="29" t="n">
        <v>0</v>
      </c>
      <c r="S1562" s="29" t="n">
        <v>0</v>
      </c>
      <c r="T1562" t="inlineStr">
        <is>
          <t>25250526975620000130570010000043451000000002</t>
        </is>
      </c>
      <c r="U1562" t="inlineStr">
        <is>
          <t>Não</t>
        </is>
      </c>
    </row>
    <row r="1563">
      <c r="A1563" t="inlineStr">
        <is>
          <t>Frete de venda</t>
        </is>
      </c>
      <c r="B1563" t="inlineStr">
        <is>
          <t>2.01.02 Frete sobre Vendas</t>
        </is>
      </c>
      <c r="C1563" t="inlineStr">
        <is>
          <t>Antes de 2026</t>
        </is>
      </c>
      <c r="D1563" t="inlineStr">
        <is>
          <t>Antes de 2026</t>
        </is>
      </c>
      <c r="E1563" s="28" t="n">
        <v>45807</v>
      </c>
      <c r="F1563" t="inlineStr">
        <is>
          <t>CT-e</t>
        </is>
      </c>
      <c r="G1563" t="inlineStr">
        <is>
          <t>000004346</t>
        </is>
      </c>
      <c r="H1563" t="inlineStr">
        <is>
          <t>R&amp;R TRANSPORTE E LOGISTICA</t>
        </is>
      </c>
      <c r="J1563" s="29" t="n">
        <v>28.83</v>
      </c>
      <c r="K1563" s="29">
        <f>(1-ISNUMBER(SEARCH("556",M1563)))*(O1563*SUMIFS(Premissas!$C$5:$C$44,Premissas!$A$5:$A$44,$A1563,Premissas!$B$5:$B$44,$B1563)+P1563*SUMIFS(Premissas!$D$5:$D$44,Premissas!$A$5:$A$44,$A1563,Premissas!$B$5:$B$44,$B1563))+R1563*SUMIFS(Premissas!$E$5:$E$44,Premissas!$A$5:$A$44,$A1563,Premissas!$B$5:$B$44,$B1563)+S1563*SUMIFS(Premissas!$F$5:$F$44,Premissas!$A$5:$A$44,$A1563,Premissas!$B$5:$B$44,$B1563)</f>
        <v/>
      </c>
      <c r="L1563" s="29">
        <f>J1563-K1563</f>
        <v/>
      </c>
      <c r="M1563" t="inlineStr">
        <is>
          <t>1.350</t>
        </is>
      </c>
      <c r="N1563" t="inlineStr">
        <is>
          <t>Modalidade: 0 - Por conta do remetente | Parte: LUCINEIDE SA DE MENEZES GUIMARAES (01.791.289/0001-77)</t>
        </is>
      </c>
      <c r="O1563" s="29" t="n">
        <v>0</v>
      </c>
      <c r="P1563" s="29" t="n">
        <v>0</v>
      </c>
      <c r="Q1563" s="29" t="n">
        <v>0</v>
      </c>
      <c r="R1563" s="29" t="n">
        <v>0</v>
      </c>
      <c r="S1563" s="29" t="n">
        <v>0</v>
      </c>
      <c r="T1563" t="inlineStr">
        <is>
          <t>25250526975620000130570010000043461000000000</t>
        </is>
      </c>
      <c r="U1563" t="inlineStr">
        <is>
          <t>Não</t>
        </is>
      </c>
    </row>
    <row r="1564">
      <c r="A1564" t="inlineStr">
        <is>
          <t>Frete de venda</t>
        </is>
      </c>
      <c r="B1564" t="inlineStr">
        <is>
          <t>2.01.02 Frete sobre Vendas</t>
        </is>
      </c>
      <c r="C1564" t="inlineStr">
        <is>
          <t>Antes de 2026</t>
        </is>
      </c>
      <c r="D1564" t="inlineStr">
        <is>
          <t>Antes de 2026</t>
        </is>
      </c>
      <c r="E1564" s="28" t="n">
        <v>45807</v>
      </c>
      <c r="F1564" t="inlineStr">
        <is>
          <t>CT-e</t>
        </is>
      </c>
      <c r="G1564" t="inlineStr">
        <is>
          <t>000004347</t>
        </is>
      </c>
      <c r="H1564" t="inlineStr">
        <is>
          <t>R&amp;R TRANSPORTE E LOGISTICA</t>
        </is>
      </c>
      <c r="J1564" s="29" t="n">
        <v>58.05</v>
      </c>
      <c r="K1564" s="29">
        <f>(1-ISNUMBER(SEARCH("556",M1564)))*(O1564*SUMIFS(Premissas!$C$5:$C$44,Premissas!$A$5:$A$44,$A1564,Premissas!$B$5:$B$44,$B1564)+P1564*SUMIFS(Premissas!$D$5:$D$44,Premissas!$A$5:$A$44,$A1564,Premissas!$B$5:$B$44,$B1564))+R1564*SUMIFS(Premissas!$E$5:$E$44,Premissas!$A$5:$A$44,$A1564,Premissas!$B$5:$B$44,$B1564)+S1564*SUMIFS(Premissas!$F$5:$F$44,Premissas!$A$5:$A$44,$A1564,Premissas!$B$5:$B$44,$B1564)</f>
        <v/>
      </c>
      <c r="L1564" s="29">
        <f>J1564-K1564</f>
        <v/>
      </c>
      <c r="M1564" t="inlineStr">
        <is>
          <t>1.350</t>
        </is>
      </c>
      <c r="N1564" t="inlineStr">
        <is>
          <t>Modalidade: 0 - Por conta do remetente | Parte: RODRIGUES E CIA LTDA (26.144.570/0001-49)</t>
        </is>
      </c>
      <c r="O1564" s="29" t="n">
        <v>0</v>
      </c>
      <c r="P1564" s="29" t="n">
        <v>0</v>
      </c>
      <c r="Q1564" s="29" t="n">
        <v>0</v>
      </c>
      <c r="R1564" s="29" t="n">
        <v>0</v>
      </c>
      <c r="S1564" s="29" t="n">
        <v>0</v>
      </c>
      <c r="T1564" t="inlineStr">
        <is>
          <t>25250526975620000130570010000043471000000007</t>
        </is>
      </c>
      <c r="U1564" t="inlineStr">
        <is>
          <t>Não</t>
        </is>
      </c>
    </row>
    <row r="1565">
      <c r="A1565" t="inlineStr">
        <is>
          <t>Frete de venda</t>
        </is>
      </c>
      <c r="B1565" t="inlineStr">
        <is>
          <t>2.01.02 Frete sobre Vendas</t>
        </is>
      </c>
      <c r="C1565" t="inlineStr">
        <is>
          <t>Antes de 2026</t>
        </is>
      </c>
      <c r="D1565" t="inlineStr">
        <is>
          <t>Antes de 2026</t>
        </is>
      </c>
      <c r="E1565" s="28" t="n">
        <v>45808</v>
      </c>
      <c r="F1565" t="inlineStr">
        <is>
          <t>CT-e</t>
        </is>
      </c>
      <c r="G1565" t="inlineStr">
        <is>
          <t>000004353</t>
        </is>
      </c>
      <c r="H1565" t="inlineStr">
        <is>
          <t>R&amp;R TRANSPORTE E LOGISTICA</t>
        </is>
      </c>
      <c r="J1565" s="29" t="n">
        <v>330</v>
      </c>
      <c r="K1565" s="29">
        <f>(1-ISNUMBER(SEARCH("556",M1565)))*(O1565*SUMIFS(Premissas!$C$5:$C$44,Premissas!$A$5:$A$44,$A1565,Premissas!$B$5:$B$44,$B1565)+P1565*SUMIFS(Premissas!$D$5:$D$44,Premissas!$A$5:$A$44,$A1565,Premissas!$B$5:$B$44,$B1565))+R1565*SUMIFS(Premissas!$E$5:$E$44,Premissas!$A$5:$A$44,$A1565,Premissas!$B$5:$B$44,$B1565)+S1565*SUMIFS(Premissas!$F$5:$F$44,Premissas!$A$5:$A$44,$A1565,Premissas!$B$5:$B$44,$B1565)</f>
        <v/>
      </c>
      <c r="L1565" s="29">
        <f>J1565-K1565</f>
        <v/>
      </c>
      <c r="M1565" t="inlineStr">
        <is>
          <t>1.350</t>
        </is>
      </c>
      <c r="N1565" t="inlineStr">
        <is>
          <t>Modalidade: 0 - Por conta do remetente | Parte: STAMP DISTRIBUIDORA DE EMBALAGENS DE PAPEL E DESCARTAVEI... (48.984.362/0001-90)</t>
        </is>
      </c>
      <c r="O1565" s="29" t="n">
        <v>0</v>
      </c>
      <c r="P1565" s="29" t="n">
        <v>0</v>
      </c>
      <c r="Q1565" s="29" t="n">
        <v>0</v>
      </c>
      <c r="R1565" s="29" t="n">
        <v>0</v>
      </c>
      <c r="S1565" s="29" t="n">
        <v>0</v>
      </c>
      <c r="T1565" t="inlineStr">
        <is>
          <t>25250526975620000130570010000043531000000004</t>
        </is>
      </c>
      <c r="U1565" t="inlineStr">
        <is>
          <t>Não</t>
        </is>
      </c>
    </row>
    <row r="1566">
      <c r="A1566" t="inlineStr">
        <is>
          <t>Frete de venda</t>
        </is>
      </c>
      <c r="B1566" t="inlineStr">
        <is>
          <t>2.01.02 Frete sobre Vendas</t>
        </is>
      </c>
      <c r="C1566" t="inlineStr">
        <is>
          <t>Antes de 2026</t>
        </is>
      </c>
      <c r="D1566" t="inlineStr">
        <is>
          <t>Antes de 2026</t>
        </is>
      </c>
      <c r="E1566" s="28" t="n">
        <v>45808</v>
      </c>
      <c r="F1566" t="inlineStr">
        <is>
          <t>CT-e</t>
        </is>
      </c>
      <c r="G1566" t="inlineStr">
        <is>
          <t>000004354</t>
        </is>
      </c>
      <c r="H1566" t="inlineStr">
        <is>
          <t>R&amp;R TRANSPORTE E LOGISTICA</t>
        </is>
      </c>
      <c r="J1566" s="29" t="n">
        <v>96</v>
      </c>
      <c r="K1566" s="29">
        <f>(1-ISNUMBER(SEARCH("556",M1566)))*(O1566*SUMIFS(Premissas!$C$5:$C$44,Premissas!$A$5:$A$44,$A1566,Premissas!$B$5:$B$44,$B1566)+P1566*SUMIFS(Premissas!$D$5:$D$44,Premissas!$A$5:$A$44,$A1566,Premissas!$B$5:$B$44,$B1566))+R1566*SUMIFS(Premissas!$E$5:$E$44,Premissas!$A$5:$A$44,$A1566,Premissas!$B$5:$B$44,$B1566)+S1566*SUMIFS(Premissas!$F$5:$F$44,Premissas!$A$5:$A$44,$A1566,Premissas!$B$5:$B$44,$B1566)</f>
        <v/>
      </c>
      <c r="L1566" s="29">
        <f>J1566-K1566</f>
        <v/>
      </c>
      <c r="M1566" t="inlineStr">
        <is>
          <t>1.350</t>
        </is>
      </c>
      <c r="N1566" t="inlineStr">
        <is>
          <t>Modalidade: 0 - Por conta do remetente | Parte: BM - JACKSON JEAN OLIVEIRA (32.079.958/0001-06)</t>
        </is>
      </c>
      <c r="O1566" s="29" t="n">
        <v>0</v>
      </c>
      <c r="P1566" s="29" t="n">
        <v>0</v>
      </c>
      <c r="Q1566" s="29" t="n">
        <v>0</v>
      </c>
      <c r="R1566" s="29" t="n">
        <v>0</v>
      </c>
      <c r="S1566" s="29" t="n">
        <v>0</v>
      </c>
      <c r="T1566" t="inlineStr">
        <is>
          <t>25250526975620000130570010000043541000000001</t>
        </is>
      </c>
      <c r="U1566" t="inlineStr">
        <is>
          <t>Não</t>
        </is>
      </c>
    </row>
    <row r="1567">
      <c r="A1567" t="inlineStr">
        <is>
          <t>Frete de venda</t>
        </is>
      </c>
      <c r="B1567" t="inlineStr">
        <is>
          <t>2.01.02 Frete sobre Vendas</t>
        </is>
      </c>
      <c r="C1567" t="inlineStr">
        <is>
          <t>Antes de 2026</t>
        </is>
      </c>
      <c r="D1567" t="inlineStr">
        <is>
          <t>Antes de 2026</t>
        </is>
      </c>
      <c r="E1567" s="28" t="n">
        <v>45808</v>
      </c>
      <c r="F1567" t="inlineStr">
        <is>
          <t>CT-e</t>
        </is>
      </c>
      <c r="G1567" t="inlineStr">
        <is>
          <t>000004355</t>
        </is>
      </c>
      <c r="H1567" t="inlineStr">
        <is>
          <t>R&amp;R TRANSPORTE E LOGISTICA</t>
        </is>
      </c>
      <c r="J1567" s="29" t="n">
        <v>106</v>
      </c>
      <c r="K1567" s="29">
        <f>(1-ISNUMBER(SEARCH("556",M1567)))*(O1567*SUMIFS(Premissas!$C$5:$C$44,Premissas!$A$5:$A$44,$A1567,Premissas!$B$5:$B$44,$B1567)+P1567*SUMIFS(Premissas!$D$5:$D$44,Premissas!$A$5:$A$44,$A1567,Premissas!$B$5:$B$44,$B1567))+R1567*SUMIFS(Premissas!$E$5:$E$44,Premissas!$A$5:$A$44,$A1567,Premissas!$B$5:$B$44,$B1567)+S1567*SUMIFS(Premissas!$F$5:$F$44,Premissas!$A$5:$A$44,$A1567,Premissas!$B$5:$B$44,$B1567)</f>
        <v/>
      </c>
      <c r="L1567" s="29">
        <f>J1567-K1567</f>
        <v/>
      </c>
      <c r="M1567" t="inlineStr">
        <is>
          <t>1.350</t>
        </is>
      </c>
      <c r="N1567" t="inlineStr">
        <is>
          <t>Modalidade: 0 - Por conta do remetente | Parte: FORTALI DISTRIBUIDORA DE ALIMENTOS LTDA. (09.317.318/0001-75)</t>
        </is>
      </c>
      <c r="O1567" s="29" t="n">
        <v>0</v>
      </c>
      <c r="P1567" s="29" t="n">
        <v>0</v>
      </c>
      <c r="Q1567" s="29" t="n">
        <v>0</v>
      </c>
      <c r="R1567" s="29" t="n">
        <v>0</v>
      </c>
      <c r="S1567" s="29" t="n">
        <v>0</v>
      </c>
      <c r="T1567" t="inlineStr">
        <is>
          <t>25250526975620000130570010000043551000000009</t>
        </is>
      </c>
      <c r="U1567" t="inlineStr">
        <is>
          <t>Não</t>
        </is>
      </c>
    </row>
    <row r="1568">
      <c r="A1568" t="inlineStr">
        <is>
          <t>Frete de venda</t>
        </is>
      </c>
      <c r="B1568" t="inlineStr">
        <is>
          <t>2.01.02 Frete sobre Vendas</t>
        </is>
      </c>
      <c r="C1568" t="inlineStr">
        <is>
          <t>Antes de 2026</t>
        </is>
      </c>
      <c r="D1568" t="inlineStr">
        <is>
          <t>Antes de 2026</t>
        </is>
      </c>
      <c r="E1568" s="28" t="n">
        <v>45810</v>
      </c>
      <c r="F1568" t="inlineStr">
        <is>
          <t>CT-e</t>
        </is>
      </c>
      <c r="G1568" t="inlineStr">
        <is>
          <t>000004363</t>
        </is>
      </c>
      <c r="H1568" t="inlineStr">
        <is>
          <t>R&amp;R TRANSPORTE E LOGISTICA</t>
        </is>
      </c>
      <c r="J1568" s="29" t="n">
        <v>700</v>
      </c>
      <c r="K1568" s="29">
        <f>(1-ISNUMBER(SEARCH("556",M1568)))*(O1568*SUMIFS(Premissas!$C$5:$C$44,Premissas!$A$5:$A$44,$A1568,Premissas!$B$5:$B$44,$B1568)+P1568*SUMIFS(Premissas!$D$5:$D$44,Premissas!$A$5:$A$44,$A1568,Premissas!$B$5:$B$44,$B1568))+R1568*SUMIFS(Premissas!$E$5:$E$44,Premissas!$A$5:$A$44,$A1568,Premissas!$B$5:$B$44,$B1568)+S1568*SUMIFS(Premissas!$F$5:$F$44,Premissas!$A$5:$A$44,$A1568,Premissas!$B$5:$B$44,$B1568)</f>
        <v/>
      </c>
      <c r="L1568" s="29">
        <f>J1568-K1568</f>
        <v/>
      </c>
      <c r="M1568" t="inlineStr">
        <is>
          <t>1.350</t>
        </is>
      </c>
      <c r="N1568" t="inlineStr">
        <is>
          <t>Modalidade: 0 - Por conta do remetente | Parte: JB COMERCIO DE EMBALAGENS, ARMAZENAGEM E LOGISTICA LTDA (30.725.245/0001-47)</t>
        </is>
      </c>
      <c r="O1568" s="29" t="n">
        <v>0</v>
      </c>
      <c r="P1568" s="29" t="n">
        <v>0</v>
      </c>
      <c r="Q1568" s="29" t="n">
        <v>0</v>
      </c>
      <c r="R1568" s="29" t="n">
        <v>0</v>
      </c>
      <c r="S1568" s="29" t="n">
        <v>0</v>
      </c>
      <c r="T1568" t="inlineStr">
        <is>
          <t>25250626975620000130570010000043631000000004</t>
        </is>
      </c>
      <c r="U1568" t="inlineStr">
        <is>
          <t>Não</t>
        </is>
      </c>
    </row>
    <row r="1569">
      <c r="A1569" t="inlineStr">
        <is>
          <t>Frete de venda</t>
        </is>
      </c>
      <c r="B1569" t="inlineStr">
        <is>
          <t>2.01.02 Frete sobre Vendas</t>
        </is>
      </c>
      <c r="C1569" t="inlineStr">
        <is>
          <t>Antes de 2026</t>
        </is>
      </c>
      <c r="D1569" t="inlineStr">
        <is>
          <t>Antes de 2026</t>
        </is>
      </c>
      <c r="E1569" s="28" t="n">
        <v>45810</v>
      </c>
      <c r="F1569" t="inlineStr">
        <is>
          <t>CT-e</t>
        </is>
      </c>
      <c r="G1569" t="inlineStr">
        <is>
          <t>000004364</t>
        </is>
      </c>
      <c r="H1569" t="inlineStr">
        <is>
          <t>R&amp;R TRANSPORTE E LOGISTICA</t>
        </is>
      </c>
      <c r="J1569" s="29" t="n">
        <v>700</v>
      </c>
      <c r="K1569" s="29">
        <f>(1-ISNUMBER(SEARCH("556",M1569)))*(O1569*SUMIFS(Premissas!$C$5:$C$44,Premissas!$A$5:$A$44,$A1569,Premissas!$B$5:$B$44,$B1569)+P1569*SUMIFS(Premissas!$D$5:$D$44,Premissas!$A$5:$A$44,$A1569,Premissas!$B$5:$B$44,$B1569))+R1569*SUMIFS(Premissas!$E$5:$E$44,Premissas!$A$5:$A$44,$A1569,Premissas!$B$5:$B$44,$B1569)+S1569*SUMIFS(Premissas!$F$5:$F$44,Premissas!$A$5:$A$44,$A1569,Premissas!$B$5:$B$44,$B1569)</f>
        <v/>
      </c>
      <c r="L1569" s="29">
        <f>J1569-K1569</f>
        <v/>
      </c>
      <c r="M1569" t="inlineStr">
        <is>
          <t>1.350</t>
        </is>
      </c>
      <c r="N1569" t="inlineStr">
        <is>
          <t>Modalidade: 0 - Por conta do remetente | Parte: C M OLIVEIRA ATACADO (41.098.526/0001-33)</t>
        </is>
      </c>
      <c r="O1569" s="29" t="n">
        <v>0</v>
      </c>
      <c r="P1569" s="29" t="n">
        <v>0</v>
      </c>
      <c r="Q1569" s="29" t="n">
        <v>0</v>
      </c>
      <c r="R1569" s="29" t="n">
        <v>0</v>
      </c>
      <c r="S1569" s="29" t="n">
        <v>0</v>
      </c>
      <c r="T1569" t="inlineStr">
        <is>
          <t>25250626975620000130570010000043641000000001</t>
        </is>
      </c>
      <c r="U1569" t="inlineStr">
        <is>
          <t>Não</t>
        </is>
      </c>
    </row>
    <row r="1570">
      <c r="A1570" t="inlineStr">
        <is>
          <t>Frete de venda</t>
        </is>
      </c>
      <c r="B1570" t="inlineStr">
        <is>
          <t>2.01.02 Frete sobre Vendas</t>
        </is>
      </c>
      <c r="C1570" t="inlineStr">
        <is>
          <t>Antes de 2026</t>
        </is>
      </c>
      <c r="D1570" t="inlineStr">
        <is>
          <t>Antes de 2026</t>
        </is>
      </c>
      <c r="E1570" s="28" t="n">
        <v>45812</v>
      </c>
      <c r="F1570" t="inlineStr">
        <is>
          <t>CT-e</t>
        </is>
      </c>
      <c r="G1570" t="inlineStr">
        <is>
          <t>000004372</t>
        </is>
      </c>
      <c r="H1570" t="inlineStr">
        <is>
          <t>R&amp;R TRANSPORTE E LOGISTICA</t>
        </is>
      </c>
      <c r="J1570" s="29" t="n">
        <v>44.7</v>
      </c>
      <c r="K1570" s="29">
        <f>(1-ISNUMBER(SEARCH("556",M1570)))*(O1570*SUMIFS(Premissas!$C$5:$C$44,Premissas!$A$5:$A$44,$A1570,Premissas!$B$5:$B$44,$B1570)+P1570*SUMIFS(Premissas!$D$5:$D$44,Premissas!$A$5:$A$44,$A1570,Premissas!$B$5:$B$44,$B1570))+R1570*SUMIFS(Premissas!$E$5:$E$44,Premissas!$A$5:$A$44,$A1570,Premissas!$B$5:$B$44,$B1570)+S1570*SUMIFS(Premissas!$F$5:$F$44,Premissas!$A$5:$A$44,$A1570,Premissas!$B$5:$B$44,$B1570)</f>
        <v/>
      </c>
      <c r="L1570" s="29">
        <f>J1570-K1570</f>
        <v/>
      </c>
      <c r="M1570" t="inlineStr">
        <is>
          <t>1.350</t>
        </is>
      </c>
      <c r="N1570" t="inlineStr">
        <is>
          <t>Modalidade: 0 - Por conta do remetente | Parte: DEO PRIME COMERCIO DE PRODUTOS DE HIGIENE E LIMPEZA LTDA (41.843.812/0001-86)</t>
        </is>
      </c>
      <c r="O1570" s="29" t="n">
        <v>0</v>
      </c>
      <c r="P1570" s="29" t="n">
        <v>0</v>
      </c>
      <c r="Q1570" s="29" t="n">
        <v>0</v>
      </c>
      <c r="R1570" s="29" t="n">
        <v>0</v>
      </c>
      <c r="S1570" s="29" t="n">
        <v>0</v>
      </c>
      <c r="T1570" t="inlineStr">
        <is>
          <t>25250626975620000130570010000043721000000003</t>
        </is>
      </c>
      <c r="U1570" t="inlineStr">
        <is>
          <t>Não</t>
        </is>
      </c>
    </row>
    <row r="1571">
      <c r="A1571" t="inlineStr">
        <is>
          <t>Frete de venda</t>
        </is>
      </c>
      <c r="B1571" t="inlineStr">
        <is>
          <t>2.01.02 Frete sobre Vendas</t>
        </is>
      </c>
      <c r="C1571" t="inlineStr">
        <is>
          <t>Antes de 2026</t>
        </is>
      </c>
      <c r="D1571" t="inlineStr">
        <is>
          <t>Antes de 2026</t>
        </is>
      </c>
      <c r="E1571" s="28" t="n">
        <v>45812</v>
      </c>
      <c r="F1571" t="inlineStr">
        <is>
          <t>CT-e</t>
        </is>
      </c>
      <c r="G1571" t="inlineStr">
        <is>
          <t>000004373</t>
        </is>
      </c>
      <c r="H1571" t="inlineStr">
        <is>
          <t>R&amp;R TRANSPORTE E LOGISTICA</t>
        </is>
      </c>
      <c r="J1571" s="29" t="n">
        <v>24.31</v>
      </c>
      <c r="K1571" s="29">
        <f>(1-ISNUMBER(SEARCH("556",M1571)))*(O1571*SUMIFS(Premissas!$C$5:$C$44,Premissas!$A$5:$A$44,$A1571,Premissas!$B$5:$B$44,$B1571)+P1571*SUMIFS(Premissas!$D$5:$D$44,Premissas!$A$5:$A$44,$A1571,Premissas!$B$5:$B$44,$B1571))+R1571*SUMIFS(Premissas!$E$5:$E$44,Premissas!$A$5:$A$44,$A1571,Premissas!$B$5:$B$44,$B1571)+S1571*SUMIFS(Premissas!$F$5:$F$44,Premissas!$A$5:$A$44,$A1571,Premissas!$B$5:$B$44,$B1571)</f>
        <v/>
      </c>
      <c r="L1571" s="29">
        <f>J1571-K1571</f>
        <v/>
      </c>
      <c r="M1571" t="inlineStr">
        <is>
          <t>1.350</t>
        </is>
      </c>
      <c r="N1571" t="inlineStr">
        <is>
          <t>Modalidade: 0 - Por conta do remetente | Parte: JOELMA XAVIER LTDA (46.882.996/0003-79)</t>
        </is>
      </c>
      <c r="O1571" s="29" t="n">
        <v>0</v>
      </c>
      <c r="P1571" s="29" t="n">
        <v>0</v>
      </c>
      <c r="Q1571" s="29" t="n">
        <v>0</v>
      </c>
      <c r="R1571" s="29" t="n">
        <v>0</v>
      </c>
      <c r="S1571" s="29" t="n">
        <v>0</v>
      </c>
      <c r="T1571" t="inlineStr">
        <is>
          <t>25250626975620000130570010000043731000000000</t>
        </is>
      </c>
      <c r="U1571" t="inlineStr">
        <is>
          <t>Não</t>
        </is>
      </c>
    </row>
    <row r="1572">
      <c r="A1572" t="inlineStr">
        <is>
          <t>Frete de venda</t>
        </is>
      </c>
      <c r="B1572" t="inlineStr">
        <is>
          <t>2.01.02 Frete sobre Vendas</t>
        </is>
      </c>
      <c r="C1572" t="inlineStr">
        <is>
          <t>Antes de 2026</t>
        </is>
      </c>
      <c r="D1572" t="inlineStr">
        <is>
          <t>Antes de 2026</t>
        </is>
      </c>
      <c r="E1572" s="28" t="n">
        <v>45812</v>
      </c>
      <c r="F1572" t="inlineStr">
        <is>
          <t>CT-e</t>
        </is>
      </c>
      <c r="G1572" t="inlineStr">
        <is>
          <t>000004374</t>
        </is>
      </c>
      <c r="H1572" t="inlineStr">
        <is>
          <t>R&amp;R TRANSPORTE E LOGISTICA</t>
        </is>
      </c>
      <c r="J1572" s="29" t="n">
        <v>56.51</v>
      </c>
      <c r="K1572" s="29">
        <f>(1-ISNUMBER(SEARCH("556",M1572)))*(O1572*SUMIFS(Premissas!$C$5:$C$44,Premissas!$A$5:$A$44,$A1572,Premissas!$B$5:$B$44,$B1572)+P1572*SUMIFS(Premissas!$D$5:$D$44,Premissas!$A$5:$A$44,$A1572,Premissas!$B$5:$B$44,$B1572))+R1572*SUMIFS(Premissas!$E$5:$E$44,Premissas!$A$5:$A$44,$A1572,Premissas!$B$5:$B$44,$B1572)+S1572*SUMIFS(Premissas!$F$5:$F$44,Premissas!$A$5:$A$44,$A1572,Premissas!$B$5:$B$44,$B1572)</f>
        <v/>
      </c>
      <c r="L1572" s="29">
        <f>J1572-K1572</f>
        <v/>
      </c>
      <c r="M1572" t="inlineStr">
        <is>
          <t>1.350</t>
        </is>
      </c>
      <c r="N1572" t="inlineStr">
        <is>
          <t>Modalidade: 0 - Por conta do remetente | Parte: EMBALAGENS HUBNER TRES DE MAIO LTDA (44.330.178/0001-76)</t>
        </is>
      </c>
      <c r="O1572" s="29" t="n">
        <v>0</v>
      </c>
      <c r="P1572" s="29" t="n">
        <v>0</v>
      </c>
      <c r="Q1572" s="29" t="n">
        <v>0</v>
      </c>
      <c r="R1572" s="29" t="n">
        <v>0</v>
      </c>
      <c r="S1572" s="29" t="n">
        <v>0</v>
      </c>
      <c r="T1572" t="inlineStr">
        <is>
          <t>25250626975620000130570010000043741000000008</t>
        </is>
      </c>
      <c r="U1572" t="inlineStr">
        <is>
          <t>Não</t>
        </is>
      </c>
    </row>
    <row r="1573">
      <c r="A1573" t="inlineStr">
        <is>
          <t>Frete de venda</t>
        </is>
      </c>
      <c r="B1573" t="inlineStr">
        <is>
          <t>2.01.02 Frete sobre Vendas</t>
        </is>
      </c>
      <c r="C1573" t="inlineStr">
        <is>
          <t>Antes de 2026</t>
        </is>
      </c>
      <c r="D1573" t="inlineStr">
        <is>
          <t>Antes de 2026</t>
        </is>
      </c>
      <c r="E1573" s="28" t="n">
        <v>45812</v>
      </c>
      <c r="F1573" t="inlineStr">
        <is>
          <t>CT-e</t>
        </is>
      </c>
      <c r="G1573" t="inlineStr">
        <is>
          <t>000004375</t>
        </is>
      </c>
      <c r="H1573" t="inlineStr">
        <is>
          <t>R&amp;R TRANSPORTE E LOGISTICA</t>
        </is>
      </c>
      <c r="J1573" s="29" t="n">
        <v>19.99</v>
      </c>
      <c r="K1573" s="29">
        <f>(1-ISNUMBER(SEARCH("556",M1573)))*(O1573*SUMIFS(Premissas!$C$5:$C$44,Premissas!$A$5:$A$44,$A1573,Premissas!$B$5:$B$44,$B1573)+P1573*SUMIFS(Premissas!$D$5:$D$44,Premissas!$A$5:$A$44,$A1573,Premissas!$B$5:$B$44,$B1573))+R1573*SUMIFS(Premissas!$E$5:$E$44,Premissas!$A$5:$A$44,$A1573,Premissas!$B$5:$B$44,$B1573)+S1573*SUMIFS(Premissas!$F$5:$F$44,Premissas!$A$5:$A$44,$A1573,Premissas!$B$5:$B$44,$B1573)</f>
        <v/>
      </c>
      <c r="L1573" s="29">
        <f>J1573-K1573</f>
        <v/>
      </c>
      <c r="M1573" t="inlineStr">
        <is>
          <t>1.350</t>
        </is>
      </c>
      <c r="N1573" t="inlineStr">
        <is>
          <t>Modalidade: 0 - Por conta do remetente | Parte: ROSSET EMBALAGENS E PAPELARIA LTDA (50.656.847/0001-05)</t>
        </is>
      </c>
      <c r="O1573" s="29" t="n">
        <v>0</v>
      </c>
      <c r="P1573" s="29" t="n">
        <v>0</v>
      </c>
      <c r="Q1573" s="29" t="n">
        <v>0</v>
      </c>
      <c r="R1573" s="29" t="n">
        <v>0</v>
      </c>
      <c r="S1573" s="29" t="n">
        <v>0</v>
      </c>
      <c r="T1573" t="inlineStr">
        <is>
          <t>25250626975620000130570010000043751000000005</t>
        </is>
      </c>
      <c r="U1573" t="inlineStr">
        <is>
          <t>Não</t>
        </is>
      </c>
    </row>
    <row r="1574">
      <c r="A1574" t="inlineStr">
        <is>
          <t>Frete de venda</t>
        </is>
      </c>
      <c r="B1574" t="inlineStr">
        <is>
          <t>2.01.02 Frete sobre Vendas</t>
        </is>
      </c>
      <c r="C1574" t="inlineStr">
        <is>
          <t>Antes de 2026</t>
        </is>
      </c>
      <c r="D1574" t="inlineStr">
        <is>
          <t>Antes de 2026</t>
        </is>
      </c>
      <c r="E1574" s="28" t="n">
        <v>45812</v>
      </c>
      <c r="F1574" t="inlineStr">
        <is>
          <t>CT-e</t>
        </is>
      </c>
      <c r="G1574" t="inlineStr">
        <is>
          <t>000004376</t>
        </is>
      </c>
      <c r="H1574" t="inlineStr">
        <is>
          <t>R&amp;R TRANSPORTE E LOGISTICA</t>
        </is>
      </c>
      <c r="J1574" s="29" t="n">
        <v>30.66</v>
      </c>
      <c r="K1574" s="29">
        <f>(1-ISNUMBER(SEARCH("556",M1574)))*(O1574*SUMIFS(Premissas!$C$5:$C$44,Premissas!$A$5:$A$44,$A1574,Premissas!$B$5:$B$44,$B1574)+P1574*SUMIFS(Premissas!$D$5:$D$44,Premissas!$A$5:$A$44,$A1574,Premissas!$B$5:$B$44,$B1574))+R1574*SUMIFS(Premissas!$E$5:$E$44,Premissas!$A$5:$A$44,$A1574,Premissas!$B$5:$B$44,$B1574)+S1574*SUMIFS(Premissas!$F$5:$F$44,Premissas!$A$5:$A$44,$A1574,Premissas!$B$5:$B$44,$B1574)</f>
        <v/>
      </c>
      <c r="L1574" s="29">
        <f>J1574-K1574</f>
        <v/>
      </c>
      <c r="M1574" t="inlineStr">
        <is>
          <t>1.350</t>
        </is>
      </c>
      <c r="N1574" t="inlineStr">
        <is>
          <t>Modalidade: 0 - Por conta do remetente | Parte: R J COMERCIO DE EMBALAGENS LTDA (22.418.490/0001-83)</t>
        </is>
      </c>
      <c r="O1574" s="29" t="n">
        <v>0</v>
      </c>
      <c r="P1574" s="29" t="n">
        <v>0</v>
      </c>
      <c r="Q1574" s="29" t="n">
        <v>0</v>
      </c>
      <c r="R1574" s="29" t="n">
        <v>0</v>
      </c>
      <c r="S1574" s="29" t="n">
        <v>0</v>
      </c>
      <c r="T1574" t="inlineStr">
        <is>
          <t>25250626975620000130570010000043761000000002</t>
        </is>
      </c>
      <c r="U1574" t="inlineStr">
        <is>
          <t>Não</t>
        </is>
      </c>
    </row>
    <row r="1575">
      <c r="A1575" t="inlineStr">
        <is>
          <t>Frete de venda</t>
        </is>
      </c>
      <c r="B1575" t="inlineStr">
        <is>
          <t>2.01.02 Frete sobre Vendas</t>
        </is>
      </c>
      <c r="C1575" t="inlineStr">
        <is>
          <t>Antes de 2026</t>
        </is>
      </c>
      <c r="D1575" t="inlineStr">
        <is>
          <t>Antes de 2026</t>
        </is>
      </c>
      <c r="E1575" s="28" t="n">
        <v>45812</v>
      </c>
      <c r="F1575" t="inlineStr">
        <is>
          <t>CT-e</t>
        </is>
      </c>
      <c r="G1575" t="inlineStr">
        <is>
          <t>000004377</t>
        </is>
      </c>
      <c r="H1575" t="inlineStr">
        <is>
          <t>R&amp;R TRANSPORTE E LOGISTICA</t>
        </is>
      </c>
      <c r="J1575" s="29" t="n">
        <v>62.79</v>
      </c>
      <c r="K1575" s="29">
        <f>(1-ISNUMBER(SEARCH("556",M1575)))*(O1575*SUMIFS(Premissas!$C$5:$C$44,Premissas!$A$5:$A$44,$A1575,Premissas!$B$5:$B$44,$B1575)+P1575*SUMIFS(Premissas!$D$5:$D$44,Premissas!$A$5:$A$44,$A1575,Premissas!$B$5:$B$44,$B1575))+R1575*SUMIFS(Premissas!$E$5:$E$44,Premissas!$A$5:$A$44,$A1575,Premissas!$B$5:$B$44,$B1575)+S1575*SUMIFS(Premissas!$F$5:$F$44,Premissas!$A$5:$A$44,$A1575,Premissas!$B$5:$B$44,$B1575)</f>
        <v/>
      </c>
      <c r="L1575" s="29">
        <f>J1575-K1575</f>
        <v/>
      </c>
      <c r="M1575" t="inlineStr">
        <is>
          <t>1.350</t>
        </is>
      </c>
      <c r="N1575" t="inlineStr">
        <is>
          <t>Modalidade: 0 - Por conta do remetente | Parte: REINALDO CASSIANO TABONI (28.524.883/0001-58)</t>
        </is>
      </c>
      <c r="O1575" s="29" t="n">
        <v>0</v>
      </c>
      <c r="P1575" s="29" t="n">
        <v>0</v>
      </c>
      <c r="Q1575" s="29" t="n">
        <v>0</v>
      </c>
      <c r="R1575" s="29" t="n">
        <v>0</v>
      </c>
      <c r="S1575" s="29" t="n">
        <v>0</v>
      </c>
      <c r="T1575" t="inlineStr">
        <is>
          <t>25250626975620000130570010000043771000000000</t>
        </is>
      </c>
      <c r="U1575" t="inlineStr">
        <is>
          <t>Não</t>
        </is>
      </c>
    </row>
    <row r="1576">
      <c r="A1576" t="inlineStr">
        <is>
          <t>Frete de venda</t>
        </is>
      </c>
      <c r="B1576" t="inlineStr">
        <is>
          <t>2.01.02 Frete sobre Vendas</t>
        </is>
      </c>
      <c r="C1576" t="inlineStr">
        <is>
          <t>Antes de 2026</t>
        </is>
      </c>
      <c r="D1576" t="inlineStr">
        <is>
          <t>Antes de 2026</t>
        </is>
      </c>
      <c r="E1576" s="28" t="n">
        <v>45812</v>
      </c>
      <c r="F1576" t="inlineStr">
        <is>
          <t>CT-e</t>
        </is>
      </c>
      <c r="G1576" t="inlineStr">
        <is>
          <t>000004378</t>
        </is>
      </c>
      <c r="H1576" t="inlineStr">
        <is>
          <t>R&amp;R TRANSPORTE E LOGISTICA</t>
        </is>
      </c>
      <c r="J1576" s="29" t="n">
        <v>23</v>
      </c>
      <c r="K1576" s="29">
        <f>(1-ISNUMBER(SEARCH("556",M1576)))*(O1576*SUMIFS(Premissas!$C$5:$C$44,Premissas!$A$5:$A$44,$A1576,Premissas!$B$5:$B$44,$B1576)+P1576*SUMIFS(Premissas!$D$5:$D$44,Premissas!$A$5:$A$44,$A1576,Premissas!$B$5:$B$44,$B1576))+R1576*SUMIFS(Premissas!$E$5:$E$44,Premissas!$A$5:$A$44,$A1576,Premissas!$B$5:$B$44,$B1576)+S1576*SUMIFS(Premissas!$F$5:$F$44,Premissas!$A$5:$A$44,$A1576,Premissas!$B$5:$B$44,$B1576)</f>
        <v/>
      </c>
      <c r="L1576" s="29">
        <f>J1576-K1576</f>
        <v/>
      </c>
      <c r="M1576" t="inlineStr">
        <is>
          <t>1.350</t>
        </is>
      </c>
      <c r="N1576" t="inlineStr">
        <is>
          <t>Modalidade: 0 - Por conta do remetente | Parte: SIDRO EMBALAGENS LTDA (11.897.285/0001-21)</t>
        </is>
      </c>
      <c r="O1576" s="29" t="n">
        <v>0</v>
      </c>
      <c r="P1576" s="29" t="n">
        <v>0</v>
      </c>
      <c r="Q1576" s="29" t="n">
        <v>0</v>
      </c>
      <c r="R1576" s="29" t="n">
        <v>0</v>
      </c>
      <c r="S1576" s="29" t="n">
        <v>0</v>
      </c>
      <c r="T1576" t="inlineStr">
        <is>
          <t>25250626975620000130570010000043781000000007</t>
        </is>
      </c>
      <c r="U1576" t="inlineStr">
        <is>
          <t>Não</t>
        </is>
      </c>
    </row>
    <row r="1577">
      <c r="A1577" t="inlineStr">
        <is>
          <t>Frete de venda</t>
        </is>
      </c>
      <c r="B1577" t="inlineStr">
        <is>
          <t>2.01.02 Frete sobre Vendas</t>
        </is>
      </c>
      <c r="C1577" t="inlineStr">
        <is>
          <t>Antes de 2026</t>
        </is>
      </c>
      <c r="D1577" t="inlineStr">
        <is>
          <t>Antes de 2026</t>
        </is>
      </c>
      <c r="E1577" s="28" t="n">
        <v>45812</v>
      </c>
      <c r="F1577" t="inlineStr">
        <is>
          <t>CT-e</t>
        </is>
      </c>
      <c r="G1577" t="inlineStr">
        <is>
          <t>000004379</t>
        </is>
      </c>
      <c r="H1577" t="inlineStr">
        <is>
          <t>R&amp;R TRANSPORTE E LOGISTICA</t>
        </is>
      </c>
      <c r="J1577" s="29" t="n">
        <v>19.61</v>
      </c>
      <c r="K1577" s="29">
        <f>(1-ISNUMBER(SEARCH("556",M1577)))*(O1577*SUMIFS(Premissas!$C$5:$C$44,Premissas!$A$5:$A$44,$A1577,Premissas!$B$5:$B$44,$B1577)+P1577*SUMIFS(Premissas!$D$5:$D$44,Premissas!$A$5:$A$44,$A1577,Premissas!$B$5:$B$44,$B1577))+R1577*SUMIFS(Premissas!$E$5:$E$44,Premissas!$A$5:$A$44,$A1577,Premissas!$B$5:$B$44,$B1577)+S1577*SUMIFS(Premissas!$F$5:$F$44,Premissas!$A$5:$A$44,$A1577,Premissas!$B$5:$B$44,$B1577)</f>
        <v/>
      </c>
      <c r="L1577" s="29">
        <f>J1577-K1577</f>
        <v/>
      </c>
      <c r="M1577" t="inlineStr">
        <is>
          <t>1.350</t>
        </is>
      </c>
      <c r="N1577" t="inlineStr">
        <is>
          <t>Modalidade: 0 - Por conta do remetente | Parte: ROFO QUEIROZ SUPERMERCADO LTDA (56.429.650/0001-01)</t>
        </is>
      </c>
      <c r="O1577" s="29" t="n">
        <v>0</v>
      </c>
      <c r="P1577" s="29" t="n">
        <v>0</v>
      </c>
      <c r="Q1577" s="29" t="n">
        <v>0</v>
      </c>
      <c r="R1577" s="29" t="n">
        <v>0</v>
      </c>
      <c r="S1577" s="29" t="n">
        <v>0</v>
      </c>
      <c r="T1577" t="inlineStr">
        <is>
          <t>25250626975620000130570010000043791000000004</t>
        </is>
      </c>
      <c r="U1577" t="inlineStr">
        <is>
          <t>Não</t>
        </is>
      </c>
    </row>
    <row r="1578">
      <c r="A1578" t="inlineStr">
        <is>
          <t>Frete de venda</t>
        </is>
      </c>
      <c r="B1578" t="inlineStr">
        <is>
          <t>2.01.02 Frete sobre Vendas</t>
        </is>
      </c>
      <c r="C1578" t="inlineStr">
        <is>
          <t>Antes de 2026</t>
        </is>
      </c>
      <c r="D1578" t="inlineStr">
        <is>
          <t>Antes de 2026</t>
        </is>
      </c>
      <c r="E1578" s="28" t="n">
        <v>45812</v>
      </c>
      <c r="F1578" t="inlineStr">
        <is>
          <t>CT-e</t>
        </is>
      </c>
      <c r="G1578" t="inlineStr">
        <is>
          <t>000004380</t>
        </is>
      </c>
      <c r="H1578" t="inlineStr">
        <is>
          <t>R&amp;R TRANSPORTE E LOGISTICA</t>
        </is>
      </c>
      <c r="J1578" s="29" t="n">
        <v>18.29</v>
      </c>
      <c r="K1578" s="29">
        <f>(1-ISNUMBER(SEARCH("556",M1578)))*(O1578*SUMIFS(Premissas!$C$5:$C$44,Premissas!$A$5:$A$44,$A1578,Premissas!$B$5:$B$44,$B1578)+P1578*SUMIFS(Premissas!$D$5:$D$44,Premissas!$A$5:$A$44,$A1578,Premissas!$B$5:$B$44,$B1578))+R1578*SUMIFS(Premissas!$E$5:$E$44,Premissas!$A$5:$A$44,$A1578,Premissas!$B$5:$B$44,$B1578)+S1578*SUMIFS(Premissas!$F$5:$F$44,Premissas!$A$5:$A$44,$A1578,Premissas!$B$5:$B$44,$B1578)</f>
        <v/>
      </c>
      <c r="L1578" s="29">
        <f>J1578-K1578</f>
        <v/>
      </c>
      <c r="M1578" t="inlineStr">
        <is>
          <t>1.350</t>
        </is>
      </c>
      <c r="N1578" t="inlineStr">
        <is>
          <t>Modalidade: 0 - Por conta do remetente | Parte: CARLOS ANTONIO ALVES REBOUCAS (29.143.422/0001-06)</t>
        </is>
      </c>
      <c r="O1578" s="29" t="n">
        <v>0</v>
      </c>
      <c r="P1578" s="29" t="n">
        <v>0</v>
      </c>
      <c r="Q1578" s="29" t="n">
        <v>0</v>
      </c>
      <c r="R1578" s="29" t="n">
        <v>0</v>
      </c>
      <c r="S1578" s="29" t="n">
        <v>0</v>
      </c>
      <c r="T1578" t="inlineStr">
        <is>
          <t>25250626975620000130570010000043801000000005</t>
        </is>
      </c>
      <c r="U1578" t="inlineStr">
        <is>
          <t>Não</t>
        </is>
      </c>
    </row>
    <row r="1579">
      <c r="A1579" t="inlineStr">
        <is>
          <t>Frete de venda</t>
        </is>
      </c>
      <c r="B1579" t="inlineStr">
        <is>
          <t>2.01.02 Frete sobre Vendas</t>
        </is>
      </c>
      <c r="C1579" t="inlineStr">
        <is>
          <t>Antes de 2026</t>
        </is>
      </c>
      <c r="D1579" t="inlineStr">
        <is>
          <t>Antes de 2026</t>
        </is>
      </c>
      <c r="E1579" s="28" t="n">
        <v>45812</v>
      </c>
      <c r="F1579" t="inlineStr">
        <is>
          <t>CT-e</t>
        </is>
      </c>
      <c r="G1579" t="inlineStr">
        <is>
          <t>000004381</t>
        </is>
      </c>
      <c r="H1579" t="inlineStr">
        <is>
          <t>R&amp;R TRANSPORTE E LOGISTICA</t>
        </is>
      </c>
      <c r="J1579" s="29" t="n">
        <v>23.52</v>
      </c>
      <c r="K1579" s="29">
        <f>(1-ISNUMBER(SEARCH("556",M1579)))*(O1579*SUMIFS(Premissas!$C$5:$C$44,Premissas!$A$5:$A$44,$A1579,Premissas!$B$5:$B$44,$B1579)+P1579*SUMIFS(Premissas!$D$5:$D$44,Premissas!$A$5:$A$44,$A1579,Premissas!$B$5:$B$44,$B1579))+R1579*SUMIFS(Premissas!$E$5:$E$44,Premissas!$A$5:$A$44,$A1579,Premissas!$B$5:$B$44,$B1579)+S1579*SUMIFS(Premissas!$F$5:$F$44,Premissas!$A$5:$A$44,$A1579,Premissas!$B$5:$B$44,$B1579)</f>
        <v/>
      </c>
      <c r="L1579" s="29">
        <f>J1579-K1579</f>
        <v/>
      </c>
      <c r="M1579" t="inlineStr">
        <is>
          <t>1.350</t>
        </is>
      </c>
      <c r="N1579" t="inlineStr">
        <is>
          <t>Modalidade: 0 - Por conta do remetente | Parte: PYTHA EMBALAGENS E ADESIVOS LTDA (86.834.751/0001-29)</t>
        </is>
      </c>
      <c r="O1579" s="29" t="n">
        <v>0</v>
      </c>
      <c r="P1579" s="29" t="n">
        <v>0</v>
      </c>
      <c r="Q1579" s="29" t="n">
        <v>0</v>
      </c>
      <c r="R1579" s="29" t="n">
        <v>0</v>
      </c>
      <c r="S1579" s="29" t="n">
        <v>0</v>
      </c>
      <c r="T1579" t="inlineStr">
        <is>
          <t>25250626975620000130570010000043811000000002</t>
        </is>
      </c>
      <c r="U1579" t="inlineStr">
        <is>
          <t>Não</t>
        </is>
      </c>
    </row>
    <row r="1580">
      <c r="A1580" t="inlineStr">
        <is>
          <t>Frete de venda</t>
        </is>
      </c>
      <c r="B1580" t="inlineStr">
        <is>
          <t>2.01.02 Frete sobre Vendas</t>
        </is>
      </c>
      <c r="C1580" t="inlineStr">
        <is>
          <t>Antes de 2026</t>
        </is>
      </c>
      <c r="D1580" t="inlineStr">
        <is>
          <t>Antes de 2026</t>
        </is>
      </c>
      <c r="E1580" s="28" t="n">
        <v>45813</v>
      </c>
      <c r="F1580" t="inlineStr">
        <is>
          <t>CT-e</t>
        </is>
      </c>
      <c r="G1580" t="inlineStr">
        <is>
          <t>000004382</t>
        </is>
      </c>
      <c r="H1580" t="inlineStr">
        <is>
          <t>R&amp;R TRANSPORTE E LOGISTICA</t>
        </is>
      </c>
      <c r="J1580" s="29" t="n">
        <v>67.56999999999999</v>
      </c>
      <c r="K1580" s="29">
        <f>(1-ISNUMBER(SEARCH("556",M1580)))*(O1580*SUMIFS(Premissas!$C$5:$C$44,Premissas!$A$5:$A$44,$A1580,Premissas!$B$5:$B$44,$B1580)+P1580*SUMIFS(Premissas!$D$5:$D$44,Premissas!$A$5:$A$44,$A1580,Premissas!$B$5:$B$44,$B1580))+R1580*SUMIFS(Premissas!$E$5:$E$44,Premissas!$A$5:$A$44,$A1580,Premissas!$B$5:$B$44,$B1580)+S1580*SUMIFS(Premissas!$F$5:$F$44,Premissas!$A$5:$A$44,$A1580,Premissas!$B$5:$B$44,$B1580)</f>
        <v/>
      </c>
      <c r="L1580" s="29">
        <f>J1580-K1580</f>
        <v/>
      </c>
      <c r="M1580" t="inlineStr">
        <is>
          <t>1.350</t>
        </is>
      </c>
      <c r="N1580" t="inlineStr">
        <is>
          <t>Modalidade: 0 - Por conta do remetente | Parte: DOCE MEL EMBALAGENS E FESTAS (10.989.624/0001-37)</t>
        </is>
      </c>
      <c r="O1580" s="29" t="n">
        <v>0</v>
      </c>
      <c r="P1580" s="29" t="n">
        <v>0</v>
      </c>
      <c r="Q1580" s="29" t="n">
        <v>0</v>
      </c>
      <c r="R1580" s="29" t="n">
        <v>0</v>
      </c>
      <c r="S1580" s="29" t="n">
        <v>0</v>
      </c>
      <c r="T1580" t="inlineStr">
        <is>
          <t>25250626975620000130570010000043821000000000</t>
        </is>
      </c>
      <c r="U1580" t="inlineStr">
        <is>
          <t>Não</t>
        </is>
      </c>
    </row>
    <row r="1581">
      <c r="A1581" t="inlineStr">
        <is>
          <t>Frete de venda</t>
        </is>
      </c>
      <c r="B1581" t="inlineStr">
        <is>
          <t>2.01.02 Frete sobre Vendas</t>
        </is>
      </c>
      <c r="C1581" t="inlineStr">
        <is>
          <t>Antes de 2026</t>
        </is>
      </c>
      <c r="D1581" t="inlineStr">
        <is>
          <t>Antes de 2026</t>
        </is>
      </c>
      <c r="E1581" s="28" t="n">
        <v>45813</v>
      </c>
      <c r="F1581" t="inlineStr">
        <is>
          <t>CT-e</t>
        </is>
      </c>
      <c r="G1581" t="inlineStr">
        <is>
          <t>000004383</t>
        </is>
      </c>
      <c r="H1581" t="inlineStr">
        <is>
          <t>R&amp;R TRANSPORTE E LOGISTICA</t>
        </is>
      </c>
      <c r="J1581" s="29" t="n">
        <v>42.37</v>
      </c>
      <c r="K1581" s="29">
        <f>(1-ISNUMBER(SEARCH("556",M1581)))*(O1581*SUMIFS(Premissas!$C$5:$C$44,Premissas!$A$5:$A$44,$A1581,Premissas!$B$5:$B$44,$B1581)+P1581*SUMIFS(Premissas!$D$5:$D$44,Premissas!$A$5:$A$44,$A1581,Premissas!$B$5:$B$44,$B1581))+R1581*SUMIFS(Premissas!$E$5:$E$44,Premissas!$A$5:$A$44,$A1581,Premissas!$B$5:$B$44,$B1581)+S1581*SUMIFS(Premissas!$F$5:$F$44,Premissas!$A$5:$A$44,$A1581,Premissas!$B$5:$B$44,$B1581)</f>
        <v/>
      </c>
      <c r="L1581" s="29">
        <f>J1581-K1581</f>
        <v/>
      </c>
      <c r="M1581" t="inlineStr">
        <is>
          <t>1.350</t>
        </is>
      </c>
      <c r="N1581" t="inlineStr">
        <is>
          <t>Modalidade: 0 - Por conta do remetente | Parte: TEM DE TUDO EMBALAGENS E FESTA LTDA (17.932.921/0001-95)</t>
        </is>
      </c>
      <c r="O1581" s="29" t="n">
        <v>0</v>
      </c>
      <c r="P1581" s="29" t="n">
        <v>0</v>
      </c>
      <c r="Q1581" s="29" t="n">
        <v>0</v>
      </c>
      <c r="R1581" s="29" t="n">
        <v>0</v>
      </c>
      <c r="S1581" s="29" t="n">
        <v>0</v>
      </c>
      <c r="T1581" t="inlineStr">
        <is>
          <t>25250626975620000130570010000043831000000007</t>
        </is>
      </c>
      <c r="U1581" t="inlineStr">
        <is>
          <t>Não</t>
        </is>
      </c>
    </row>
    <row r="1582">
      <c r="A1582" t="inlineStr">
        <is>
          <t>Frete de venda</t>
        </is>
      </c>
      <c r="B1582" t="inlineStr">
        <is>
          <t>2.01.02 Frete sobre Vendas</t>
        </is>
      </c>
      <c r="C1582" t="inlineStr">
        <is>
          <t>Antes de 2026</t>
        </is>
      </c>
      <c r="D1582" t="inlineStr">
        <is>
          <t>Antes de 2026</t>
        </is>
      </c>
      <c r="E1582" s="28" t="n">
        <v>45813</v>
      </c>
      <c r="F1582" t="inlineStr">
        <is>
          <t>CT-e</t>
        </is>
      </c>
      <c r="G1582" t="inlineStr">
        <is>
          <t>000004384</t>
        </is>
      </c>
      <c r="H1582" t="inlineStr">
        <is>
          <t>R&amp;R TRANSPORTE E LOGISTICA</t>
        </is>
      </c>
      <c r="J1582" s="29" t="n">
        <v>173.32</v>
      </c>
      <c r="K1582" s="29">
        <f>(1-ISNUMBER(SEARCH("556",M1582)))*(O1582*SUMIFS(Premissas!$C$5:$C$44,Premissas!$A$5:$A$44,$A1582,Premissas!$B$5:$B$44,$B1582)+P1582*SUMIFS(Premissas!$D$5:$D$44,Premissas!$A$5:$A$44,$A1582,Premissas!$B$5:$B$44,$B1582))+R1582*SUMIFS(Premissas!$E$5:$E$44,Premissas!$A$5:$A$44,$A1582,Premissas!$B$5:$B$44,$B1582)+S1582*SUMIFS(Premissas!$F$5:$F$44,Premissas!$A$5:$A$44,$A1582,Premissas!$B$5:$B$44,$B1582)</f>
        <v/>
      </c>
      <c r="L1582" s="29">
        <f>J1582-K1582</f>
        <v/>
      </c>
      <c r="M1582" t="inlineStr">
        <is>
          <t>1.350</t>
        </is>
      </c>
      <c r="N1582" t="inlineStr">
        <is>
          <t>Modalidade: 0 - Por conta do remetente | Parte: NOVA FENIX EMBALAGENS E MATERIAL LIMPEZA LTDA (14.616.883/0001-73)</t>
        </is>
      </c>
      <c r="O1582" s="29" t="n">
        <v>0</v>
      </c>
      <c r="P1582" s="29" t="n">
        <v>0</v>
      </c>
      <c r="Q1582" s="29" t="n">
        <v>0</v>
      </c>
      <c r="R1582" s="29" t="n">
        <v>0</v>
      </c>
      <c r="S1582" s="29" t="n">
        <v>0</v>
      </c>
      <c r="T1582" t="inlineStr">
        <is>
          <t>25250626975620000130570010000043841000000004</t>
        </is>
      </c>
      <c r="U1582" t="inlineStr">
        <is>
          <t>Não</t>
        </is>
      </c>
    </row>
    <row r="1583">
      <c r="A1583" t="inlineStr">
        <is>
          <t>Frete de venda</t>
        </is>
      </c>
      <c r="B1583" t="inlineStr">
        <is>
          <t>2.01.02 Frete sobre Vendas</t>
        </is>
      </c>
      <c r="C1583" t="inlineStr">
        <is>
          <t>Antes de 2026</t>
        </is>
      </c>
      <c r="D1583" t="inlineStr">
        <is>
          <t>Antes de 2026</t>
        </is>
      </c>
      <c r="E1583" s="28" t="n">
        <v>45813</v>
      </c>
      <c r="F1583" t="inlineStr">
        <is>
          <t>CT-e</t>
        </is>
      </c>
      <c r="G1583" t="inlineStr">
        <is>
          <t>000004385</t>
        </is>
      </c>
      <c r="H1583" t="inlineStr">
        <is>
          <t>R&amp;R TRANSPORTE E LOGISTICA</t>
        </is>
      </c>
      <c r="J1583" s="29" t="n">
        <v>172.67</v>
      </c>
      <c r="K1583" s="29">
        <f>(1-ISNUMBER(SEARCH("556",M1583)))*(O1583*SUMIFS(Premissas!$C$5:$C$44,Premissas!$A$5:$A$44,$A1583,Premissas!$B$5:$B$44,$B1583)+P1583*SUMIFS(Premissas!$D$5:$D$44,Premissas!$A$5:$A$44,$A1583,Premissas!$B$5:$B$44,$B1583))+R1583*SUMIFS(Premissas!$E$5:$E$44,Premissas!$A$5:$A$44,$A1583,Premissas!$B$5:$B$44,$B1583)+S1583*SUMIFS(Premissas!$F$5:$F$44,Premissas!$A$5:$A$44,$A1583,Premissas!$B$5:$B$44,$B1583)</f>
        <v/>
      </c>
      <c r="L1583" s="29">
        <f>J1583-K1583</f>
        <v/>
      </c>
      <c r="M1583" t="inlineStr">
        <is>
          <t>1.350</t>
        </is>
      </c>
      <c r="N1583" t="inlineStr">
        <is>
          <t>Modalidade: 0 - Por conta do remetente | Parte: BRAGA e BARCELOS LTDA (11.109.167/0003-73)</t>
        </is>
      </c>
      <c r="O1583" s="29" t="n">
        <v>0</v>
      </c>
      <c r="P1583" s="29" t="n">
        <v>0</v>
      </c>
      <c r="Q1583" s="29" t="n">
        <v>0</v>
      </c>
      <c r="R1583" s="29" t="n">
        <v>0</v>
      </c>
      <c r="S1583" s="29" t="n">
        <v>0</v>
      </c>
      <c r="T1583" t="inlineStr">
        <is>
          <t>25250626975620000130570010000043851000000001</t>
        </is>
      </c>
      <c r="U1583" t="inlineStr">
        <is>
          <t>Não</t>
        </is>
      </c>
    </row>
    <row r="1584">
      <c r="A1584" t="inlineStr">
        <is>
          <t>Frete de venda</t>
        </is>
      </c>
      <c r="B1584" t="inlineStr">
        <is>
          <t>2.01.02 Frete sobre Vendas</t>
        </is>
      </c>
      <c r="C1584" t="inlineStr">
        <is>
          <t>Antes de 2026</t>
        </is>
      </c>
      <c r="D1584" t="inlineStr">
        <is>
          <t>Antes de 2026</t>
        </is>
      </c>
      <c r="E1584" s="28" t="n">
        <v>45813</v>
      </c>
      <c r="F1584" t="inlineStr">
        <is>
          <t>CT-e</t>
        </is>
      </c>
      <c r="G1584" t="inlineStr">
        <is>
          <t>000004386</t>
        </is>
      </c>
      <c r="H1584" t="inlineStr">
        <is>
          <t>R&amp;R TRANSPORTE E LOGISTICA</t>
        </is>
      </c>
      <c r="J1584" s="29" t="n">
        <v>168.99</v>
      </c>
      <c r="K1584" s="29">
        <f>(1-ISNUMBER(SEARCH("556",M1584)))*(O1584*SUMIFS(Premissas!$C$5:$C$44,Premissas!$A$5:$A$44,$A1584,Premissas!$B$5:$B$44,$B1584)+P1584*SUMIFS(Premissas!$D$5:$D$44,Premissas!$A$5:$A$44,$A1584,Premissas!$B$5:$B$44,$B1584))+R1584*SUMIFS(Premissas!$E$5:$E$44,Premissas!$A$5:$A$44,$A1584,Premissas!$B$5:$B$44,$B1584)+S1584*SUMIFS(Premissas!$F$5:$F$44,Premissas!$A$5:$A$44,$A1584,Premissas!$B$5:$B$44,$B1584)</f>
        <v/>
      </c>
      <c r="L1584" s="29">
        <f>J1584-K1584</f>
        <v/>
      </c>
      <c r="M1584" t="inlineStr">
        <is>
          <t>1.350</t>
        </is>
      </c>
      <c r="N1584" t="inlineStr">
        <is>
          <t>Modalidade: 0 - Por conta do remetente | Parte: H B COMERCIO DE EMBALAGENS LTDA (05.488.166/0001-12)</t>
        </is>
      </c>
      <c r="O1584" s="29" t="n">
        <v>0</v>
      </c>
      <c r="P1584" s="29" t="n">
        <v>0</v>
      </c>
      <c r="Q1584" s="29" t="n">
        <v>0</v>
      </c>
      <c r="R1584" s="29" t="n">
        <v>0</v>
      </c>
      <c r="S1584" s="29" t="n">
        <v>0</v>
      </c>
      <c r="T1584" t="inlineStr">
        <is>
          <t>25250626975620000130570010000043861000000009</t>
        </is>
      </c>
      <c r="U1584" t="inlineStr">
        <is>
          <t>Não</t>
        </is>
      </c>
    </row>
    <row r="1585">
      <c r="A1585" t="inlineStr">
        <is>
          <t>Frete de venda</t>
        </is>
      </c>
      <c r="B1585" t="inlineStr">
        <is>
          <t>2.01.02 Frete sobre Vendas</t>
        </is>
      </c>
      <c r="C1585" t="inlineStr">
        <is>
          <t>Antes de 2026</t>
        </is>
      </c>
      <c r="D1585" t="inlineStr">
        <is>
          <t>Antes de 2026</t>
        </is>
      </c>
      <c r="E1585" s="28" t="n">
        <v>45813</v>
      </c>
      <c r="F1585" t="inlineStr">
        <is>
          <t>CT-e</t>
        </is>
      </c>
      <c r="G1585" t="inlineStr">
        <is>
          <t>000004387</t>
        </is>
      </c>
      <c r="H1585" t="inlineStr">
        <is>
          <t>R&amp;R TRANSPORTE E LOGISTICA</t>
        </is>
      </c>
      <c r="J1585" s="29" t="n">
        <v>650</v>
      </c>
      <c r="K1585" s="29">
        <f>(1-ISNUMBER(SEARCH("556",M1585)))*(O1585*SUMIFS(Premissas!$C$5:$C$44,Premissas!$A$5:$A$44,$A1585,Premissas!$B$5:$B$44,$B1585)+P1585*SUMIFS(Premissas!$D$5:$D$44,Premissas!$A$5:$A$44,$A1585,Premissas!$B$5:$B$44,$B1585))+R1585*SUMIFS(Premissas!$E$5:$E$44,Premissas!$A$5:$A$44,$A1585,Premissas!$B$5:$B$44,$B1585)+S1585*SUMIFS(Premissas!$F$5:$F$44,Premissas!$A$5:$A$44,$A1585,Premissas!$B$5:$B$44,$B1585)</f>
        <v/>
      </c>
      <c r="L1585" s="29">
        <f>J1585-K1585</f>
        <v/>
      </c>
      <c r="M1585" t="inlineStr">
        <is>
          <t>1.350</t>
        </is>
      </c>
      <c r="N1585" t="inlineStr">
        <is>
          <t>Transportadora de frete de venda, mas pela modalidade do frete a Vinco recebeu a carga | Modalidade: 1 - Por conta do destinatário | Parte: COLAMID (04.781.666/0001-85)</t>
        </is>
      </c>
      <c r="O1585" s="29" t="n">
        <v>0</v>
      </c>
      <c r="P1585" s="29" t="n">
        <v>0</v>
      </c>
      <c r="Q1585" s="29" t="n">
        <v>0</v>
      </c>
      <c r="R1585" s="29" t="n">
        <v>0</v>
      </c>
      <c r="S1585" s="29" t="n">
        <v>0</v>
      </c>
      <c r="T1585" t="inlineStr">
        <is>
          <t>25250626975620000130570010000043871000000006</t>
        </is>
      </c>
      <c r="U1585" t="inlineStr">
        <is>
          <t>Não</t>
        </is>
      </c>
    </row>
    <row r="1586">
      <c r="A1586" t="inlineStr">
        <is>
          <t>Frete de venda</t>
        </is>
      </c>
      <c r="B1586" t="inlineStr">
        <is>
          <t>2.01.02 Frete sobre Vendas</t>
        </is>
      </c>
      <c r="C1586" t="inlineStr">
        <is>
          <t>Antes de 2026</t>
        </is>
      </c>
      <c r="D1586" t="inlineStr">
        <is>
          <t>Antes de 2026</t>
        </is>
      </c>
      <c r="E1586" s="28" t="n">
        <v>45814</v>
      </c>
      <c r="F1586" t="inlineStr">
        <is>
          <t>CT-e</t>
        </is>
      </c>
      <c r="G1586" t="inlineStr">
        <is>
          <t>000004388</t>
        </is>
      </c>
      <c r="H1586" t="inlineStr">
        <is>
          <t>R&amp;R TRANSPORTE E LOGISTICA</t>
        </is>
      </c>
      <c r="J1586" s="29" t="n">
        <v>400</v>
      </c>
      <c r="K1586" s="29">
        <f>(1-ISNUMBER(SEARCH("556",M1586)))*(O1586*SUMIFS(Premissas!$C$5:$C$44,Premissas!$A$5:$A$44,$A1586,Premissas!$B$5:$B$44,$B1586)+P1586*SUMIFS(Premissas!$D$5:$D$44,Premissas!$A$5:$A$44,$A1586,Premissas!$B$5:$B$44,$B1586))+R1586*SUMIFS(Premissas!$E$5:$E$44,Premissas!$A$5:$A$44,$A1586,Premissas!$B$5:$B$44,$B1586)+S1586*SUMIFS(Premissas!$F$5:$F$44,Premissas!$A$5:$A$44,$A1586,Premissas!$B$5:$B$44,$B1586)</f>
        <v/>
      </c>
      <c r="L1586" s="29">
        <f>J1586-K1586</f>
        <v/>
      </c>
      <c r="M1586" t="inlineStr">
        <is>
          <t>1.350</t>
        </is>
      </c>
      <c r="N1586" t="inlineStr">
        <is>
          <t>Modalidade: 0 - Por conta do remetente | Parte: WRFC EMBALAGENS LTDA (56.093.170/0001-12)</t>
        </is>
      </c>
      <c r="O1586" s="29" t="n">
        <v>0</v>
      </c>
      <c r="P1586" s="29" t="n">
        <v>0</v>
      </c>
      <c r="Q1586" s="29" t="n">
        <v>0</v>
      </c>
      <c r="R1586" s="29" t="n">
        <v>0</v>
      </c>
      <c r="S1586" s="29" t="n">
        <v>0</v>
      </c>
      <c r="T1586" t="inlineStr">
        <is>
          <t>25250626975620000130570010000043881000000003</t>
        </is>
      </c>
      <c r="U1586" t="inlineStr">
        <is>
          <t>Não</t>
        </is>
      </c>
    </row>
    <row r="1587">
      <c r="A1587" t="inlineStr">
        <is>
          <t>Frete de venda</t>
        </is>
      </c>
      <c r="B1587" t="inlineStr">
        <is>
          <t>2.01.02 Frete sobre Vendas</t>
        </is>
      </c>
      <c r="C1587" t="inlineStr">
        <is>
          <t>Antes de 2026</t>
        </is>
      </c>
      <c r="D1587" t="inlineStr">
        <is>
          <t>Antes de 2026</t>
        </is>
      </c>
      <c r="E1587" s="28" t="n">
        <v>45814</v>
      </c>
      <c r="F1587" t="inlineStr">
        <is>
          <t>CT-e</t>
        </is>
      </c>
      <c r="G1587" t="inlineStr">
        <is>
          <t>000004389</t>
        </is>
      </c>
      <c r="H1587" t="inlineStr">
        <is>
          <t>R&amp;R TRANSPORTE E LOGISTICA</t>
        </is>
      </c>
      <c r="J1587" s="29" t="n">
        <v>1000</v>
      </c>
      <c r="K1587" s="29">
        <f>(1-ISNUMBER(SEARCH("556",M1587)))*(O1587*SUMIFS(Premissas!$C$5:$C$44,Premissas!$A$5:$A$44,$A1587,Premissas!$B$5:$B$44,$B1587)+P1587*SUMIFS(Premissas!$D$5:$D$44,Premissas!$A$5:$A$44,$A1587,Premissas!$B$5:$B$44,$B1587))+R1587*SUMIFS(Premissas!$E$5:$E$44,Premissas!$A$5:$A$44,$A1587,Premissas!$B$5:$B$44,$B1587)+S1587*SUMIFS(Premissas!$F$5:$F$44,Premissas!$A$5:$A$44,$A1587,Premissas!$B$5:$B$44,$B1587)</f>
        <v/>
      </c>
      <c r="L1587" s="29">
        <f>J1587-K1587</f>
        <v/>
      </c>
      <c r="M1587" t="inlineStr">
        <is>
          <t>1.350</t>
        </is>
      </c>
      <c r="N1587" t="inlineStr">
        <is>
          <t>Modalidade: 0 - Por conta do remetente | Parte: CAEL DISTRIBUIDORA DE PRODUTOS DE HIGIENE E LIMPEZA LTDA (15.129.402/0001-68)</t>
        </is>
      </c>
      <c r="O1587" s="29" t="n">
        <v>0</v>
      </c>
      <c r="P1587" s="29" t="n">
        <v>0</v>
      </c>
      <c r="Q1587" s="29" t="n">
        <v>0</v>
      </c>
      <c r="R1587" s="29" t="n">
        <v>0</v>
      </c>
      <c r="S1587" s="29" t="n">
        <v>0</v>
      </c>
      <c r="T1587" t="inlineStr">
        <is>
          <t>25250626975620000130570010000043891000000000</t>
        </is>
      </c>
      <c r="U1587" t="inlineStr">
        <is>
          <t>Não</t>
        </is>
      </c>
    </row>
    <row r="1588">
      <c r="A1588" t="inlineStr">
        <is>
          <t>Frete de venda</t>
        </is>
      </c>
      <c r="B1588" t="inlineStr">
        <is>
          <t>2.01.02 Frete sobre Vendas</t>
        </is>
      </c>
      <c r="C1588" t="inlineStr">
        <is>
          <t>Antes de 2026</t>
        </is>
      </c>
      <c r="D1588" t="inlineStr">
        <is>
          <t>Antes de 2026</t>
        </is>
      </c>
      <c r="E1588" s="28" t="n">
        <v>45817</v>
      </c>
      <c r="F1588" t="inlineStr">
        <is>
          <t>CT-e</t>
        </is>
      </c>
      <c r="G1588" t="inlineStr">
        <is>
          <t>000004393</t>
        </is>
      </c>
      <c r="H1588" t="inlineStr">
        <is>
          <t>R&amp;R TRANSPORTE E LOGISTICA</t>
        </is>
      </c>
      <c r="J1588" s="29" t="n">
        <v>1044</v>
      </c>
      <c r="K1588" s="29">
        <f>(1-ISNUMBER(SEARCH("556",M1588)))*(O1588*SUMIFS(Premissas!$C$5:$C$44,Premissas!$A$5:$A$44,$A1588,Premissas!$B$5:$B$44,$B1588)+P1588*SUMIFS(Premissas!$D$5:$D$44,Premissas!$A$5:$A$44,$A1588,Premissas!$B$5:$B$44,$B1588))+R1588*SUMIFS(Premissas!$E$5:$E$44,Premissas!$A$5:$A$44,$A1588,Premissas!$B$5:$B$44,$B1588)+S1588*SUMIFS(Premissas!$F$5:$F$44,Premissas!$A$5:$A$44,$A1588,Premissas!$B$5:$B$44,$B1588)</f>
        <v/>
      </c>
      <c r="L1588" s="29">
        <f>J1588-K1588</f>
        <v/>
      </c>
      <c r="M1588" t="inlineStr">
        <is>
          <t>1.350</t>
        </is>
      </c>
      <c r="N1588" t="inlineStr">
        <is>
          <t>Modalidade: 0 - Por conta do remetente | Parte: VINCO DISTRIBUIDORA DE EMBALAGENS LTDA (55.333.385/0001-09)</t>
        </is>
      </c>
      <c r="O1588" s="29" t="n">
        <v>0</v>
      </c>
      <c r="P1588" s="29" t="n">
        <v>0</v>
      </c>
      <c r="Q1588" s="29" t="n">
        <v>0</v>
      </c>
      <c r="R1588" s="29" t="n">
        <v>0</v>
      </c>
      <c r="S1588" s="29" t="n">
        <v>0</v>
      </c>
      <c r="T1588" t="inlineStr">
        <is>
          <t>25250626975620000130570010000043931000000003</t>
        </is>
      </c>
      <c r="U1588" t="inlineStr">
        <is>
          <t>Não</t>
        </is>
      </c>
    </row>
    <row r="1589">
      <c r="A1589" t="inlineStr">
        <is>
          <t>Frete de venda</t>
        </is>
      </c>
      <c r="B1589" t="inlineStr">
        <is>
          <t>2.01.02 Frete sobre Vendas</t>
        </is>
      </c>
      <c r="C1589" t="inlineStr">
        <is>
          <t>Antes de 2026</t>
        </is>
      </c>
      <c r="D1589" t="inlineStr">
        <is>
          <t>Antes de 2026</t>
        </is>
      </c>
      <c r="E1589" s="28" t="n">
        <v>45818</v>
      </c>
      <c r="F1589" t="inlineStr">
        <is>
          <t>CT-e</t>
        </is>
      </c>
      <c r="G1589" t="inlineStr">
        <is>
          <t>000004403</t>
        </is>
      </c>
      <c r="H1589" t="inlineStr">
        <is>
          <t>R&amp;R TRANSPORTE E LOGISTICA</t>
        </is>
      </c>
      <c r="J1589" s="29" t="n">
        <v>47</v>
      </c>
      <c r="K1589" s="29">
        <f>(1-ISNUMBER(SEARCH("556",M1589)))*(O1589*SUMIFS(Premissas!$C$5:$C$44,Premissas!$A$5:$A$44,$A1589,Premissas!$B$5:$B$44,$B1589)+P1589*SUMIFS(Premissas!$D$5:$D$44,Premissas!$A$5:$A$44,$A1589,Premissas!$B$5:$B$44,$B1589))+R1589*SUMIFS(Premissas!$E$5:$E$44,Premissas!$A$5:$A$44,$A1589,Premissas!$B$5:$B$44,$B1589)+S1589*SUMIFS(Premissas!$F$5:$F$44,Premissas!$A$5:$A$44,$A1589,Premissas!$B$5:$B$44,$B1589)</f>
        <v/>
      </c>
      <c r="L1589" s="29">
        <f>J1589-K1589</f>
        <v/>
      </c>
      <c r="M1589" t="inlineStr">
        <is>
          <t>1.350</t>
        </is>
      </c>
      <c r="N1589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589" s="29" t="n">
        <v>0</v>
      </c>
      <c r="P1589" s="29" t="n">
        <v>0</v>
      </c>
      <c r="Q1589" s="29" t="n">
        <v>0</v>
      </c>
      <c r="R1589" s="29" t="n">
        <v>0</v>
      </c>
      <c r="S1589" s="29" t="n">
        <v>0</v>
      </c>
      <c r="T1589" t="inlineStr">
        <is>
          <t>25250626975620000130570010000044031000000001</t>
        </is>
      </c>
      <c r="U1589" t="inlineStr">
        <is>
          <t>Não</t>
        </is>
      </c>
    </row>
    <row r="1590">
      <c r="A1590" t="inlineStr">
        <is>
          <t>Frete de venda</t>
        </is>
      </c>
      <c r="B1590" t="inlineStr">
        <is>
          <t>2.01.02 Frete sobre Vendas</t>
        </is>
      </c>
      <c r="C1590" t="inlineStr">
        <is>
          <t>Antes de 2026</t>
        </is>
      </c>
      <c r="D1590" t="inlineStr">
        <is>
          <t>Antes de 2026</t>
        </is>
      </c>
      <c r="E1590" s="28" t="n">
        <v>45818</v>
      </c>
      <c r="F1590" t="inlineStr">
        <is>
          <t>CT-e</t>
        </is>
      </c>
      <c r="G1590" t="inlineStr">
        <is>
          <t>000004404</t>
        </is>
      </c>
      <c r="H1590" t="inlineStr">
        <is>
          <t>R&amp;R TRANSPORTE E LOGISTICA</t>
        </is>
      </c>
      <c r="J1590" s="29" t="n">
        <v>47</v>
      </c>
      <c r="K1590" s="29">
        <f>(1-ISNUMBER(SEARCH("556",M1590)))*(O1590*SUMIFS(Premissas!$C$5:$C$44,Premissas!$A$5:$A$44,$A1590,Premissas!$B$5:$B$44,$B1590)+P1590*SUMIFS(Premissas!$D$5:$D$44,Premissas!$A$5:$A$44,$A1590,Premissas!$B$5:$B$44,$B1590))+R1590*SUMIFS(Premissas!$E$5:$E$44,Premissas!$A$5:$A$44,$A1590,Premissas!$B$5:$B$44,$B1590)+S1590*SUMIFS(Premissas!$F$5:$F$44,Premissas!$A$5:$A$44,$A1590,Premissas!$B$5:$B$44,$B1590)</f>
        <v/>
      </c>
      <c r="L1590" s="29">
        <f>J1590-K1590</f>
        <v/>
      </c>
      <c r="M1590" t="inlineStr">
        <is>
          <t>1.350</t>
        </is>
      </c>
      <c r="N1590" t="inlineStr">
        <is>
          <t>Modalidade: 0 - Por conta do remetente | Parte: JND DISTRIBUIDORA LTDA (36.332.668/0001-83)</t>
        </is>
      </c>
      <c r="O1590" s="29" t="n">
        <v>0</v>
      </c>
      <c r="P1590" s="29" t="n">
        <v>0</v>
      </c>
      <c r="Q1590" s="29" t="n">
        <v>0</v>
      </c>
      <c r="R1590" s="29" t="n">
        <v>0</v>
      </c>
      <c r="S1590" s="29" t="n">
        <v>0</v>
      </c>
      <c r="T1590" t="inlineStr">
        <is>
          <t>25250626975620000130570010000044041000000009</t>
        </is>
      </c>
      <c r="U1590" t="inlineStr">
        <is>
          <t>Não</t>
        </is>
      </c>
    </row>
    <row r="1591">
      <c r="A1591" t="inlineStr">
        <is>
          <t>Frete de venda</t>
        </is>
      </c>
      <c r="B1591" t="inlineStr">
        <is>
          <t>2.01.02 Frete sobre Vendas</t>
        </is>
      </c>
      <c r="C1591" t="inlineStr">
        <is>
          <t>Antes de 2026</t>
        </is>
      </c>
      <c r="D1591" t="inlineStr">
        <is>
          <t>Antes de 2026</t>
        </is>
      </c>
      <c r="E1591" s="28" t="n">
        <v>45818</v>
      </c>
      <c r="F1591" t="inlineStr">
        <is>
          <t>CT-e</t>
        </is>
      </c>
      <c r="G1591" t="inlineStr">
        <is>
          <t>000004405</t>
        </is>
      </c>
      <c r="H1591" t="inlineStr">
        <is>
          <t>R&amp;R TRANSPORTE E LOGISTICA</t>
        </is>
      </c>
      <c r="J1591" s="29" t="n">
        <v>48</v>
      </c>
      <c r="K1591" s="29">
        <f>(1-ISNUMBER(SEARCH("556",M1591)))*(O1591*SUMIFS(Premissas!$C$5:$C$44,Premissas!$A$5:$A$44,$A1591,Premissas!$B$5:$B$44,$B1591)+P1591*SUMIFS(Premissas!$D$5:$D$44,Premissas!$A$5:$A$44,$A1591,Premissas!$B$5:$B$44,$B1591))+R1591*SUMIFS(Premissas!$E$5:$E$44,Premissas!$A$5:$A$44,$A1591,Premissas!$B$5:$B$44,$B1591)+S1591*SUMIFS(Premissas!$F$5:$F$44,Premissas!$A$5:$A$44,$A1591,Premissas!$B$5:$B$44,$B1591)</f>
        <v/>
      </c>
      <c r="L1591" s="29">
        <f>J1591-K1591</f>
        <v/>
      </c>
      <c r="M1591" t="inlineStr">
        <is>
          <t>1.350</t>
        </is>
      </c>
      <c r="N1591" t="inlineStr">
        <is>
          <t>Modalidade: 0 - Por conta do remetente | Parte: MACROPLAST COMERCIO DE MATERIAIS DESCARTAVEIS EIRELI (02.541.920/0001-42)</t>
        </is>
      </c>
      <c r="O1591" s="29" t="n">
        <v>0</v>
      </c>
      <c r="P1591" s="29" t="n">
        <v>0</v>
      </c>
      <c r="Q1591" s="29" t="n">
        <v>0</v>
      </c>
      <c r="R1591" s="29" t="n">
        <v>0</v>
      </c>
      <c r="S1591" s="29" t="n">
        <v>0</v>
      </c>
      <c r="T1591" t="inlineStr">
        <is>
          <t>25250626975620000130570010000044051000000006</t>
        </is>
      </c>
      <c r="U1591" t="inlineStr">
        <is>
          <t>Não</t>
        </is>
      </c>
    </row>
    <row r="1592">
      <c r="A1592" t="inlineStr">
        <is>
          <t>Frete de venda</t>
        </is>
      </c>
      <c r="B1592" t="inlineStr">
        <is>
          <t>2.01.02 Frete sobre Vendas</t>
        </is>
      </c>
      <c r="C1592" t="inlineStr">
        <is>
          <t>Antes de 2026</t>
        </is>
      </c>
      <c r="D1592" t="inlineStr">
        <is>
          <t>Antes de 2026</t>
        </is>
      </c>
      <c r="E1592" s="28" t="n">
        <v>45818</v>
      </c>
      <c r="F1592" t="inlineStr">
        <is>
          <t>CT-e</t>
        </is>
      </c>
      <c r="G1592" t="inlineStr">
        <is>
          <t>000004406</t>
        </is>
      </c>
      <c r="H1592" t="inlineStr">
        <is>
          <t>R&amp;R TRANSPORTE E LOGISTICA</t>
        </is>
      </c>
      <c r="J1592" s="29" t="n">
        <v>52</v>
      </c>
      <c r="K1592" s="29">
        <f>(1-ISNUMBER(SEARCH("556",M1592)))*(O1592*SUMIFS(Premissas!$C$5:$C$44,Premissas!$A$5:$A$44,$A1592,Premissas!$B$5:$B$44,$B1592)+P1592*SUMIFS(Premissas!$D$5:$D$44,Premissas!$A$5:$A$44,$A1592,Premissas!$B$5:$B$44,$B1592))+R1592*SUMIFS(Premissas!$E$5:$E$44,Premissas!$A$5:$A$44,$A1592,Premissas!$B$5:$B$44,$B1592)+S1592*SUMIFS(Premissas!$F$5:$F$44,Premissas!$A$5:$A$44,$A1592,Premissas!$B$5:$B$44,$B1592)</f>
        <v/>
      </c>
      <c r="L1592" s="29">
        <f>J1592-K1592</f>
        <v/>
      </c>
      <c r="M1592" t="inlineStr">
        <is>
          <t>1.350</t>
        </is>
      </c>
      <c r="N1592" t="inlineStr">
        <is>
          <t>Modalidade: 0 - Por conta do remetente | Parte: GRUPO BD DISTRIBUIDORA LTDA (27.414.338/0001-46)</t>
        </is>
      </c>
      <c r="O1592" s="29" t="n">
        <v>0</v>
      </c>
      <c r="P1592" s="29" t="n">
        <v>0</v>
      </c>
      <c r="Q1592" s="29" t="n">
        <v>0</v>
      </c>
      <c r="R1592" s="29" t="n">
        <v>0</v>
      </c>
      <c r="S1592" s="29" t="n">
        <v>0</v>
      </c>
      <c r="T1592" t="inlineStr">
        <is>
          <t>25250626975620000130570010000044061000000003</t>
        </is>
      </c>
      <c r="U1592" t="inlineStr">
        <is>
          <t>Não</t>
        </is>
      </c>
    </row>
    <row r="1593">
      <c r="A1593" t="inlineStr">
        <is>
          <t>Frete de venda</t>
        </is>
      </c>
      <c r="B1593" t="inlineStr">
        <is>
          <t>2.01.02 Frete sobre Vendas</t>
        </is>
      </c>
      <c r="C1593" t="inlineStr">
        <is>
          <t>Antes de 2026</t>
        </is>
      </c>
      <c r="D1593" t="inlineStr">
        <is>
          <t>Antes de 2026</t>
        </is>
      </c>
      <c r="E1593" s="28" t="n">
        <v>45818</v>
      </c>
      <c r="F1593" t="inlineStr">
        <is>
          <t>CT-e</t>
        </is>
      </c>
      <c r="G1593" t="inlineStr">
        <is>
          <t>000004408</t>
        </is>
      </c>
      <c r="H1593" t="inlineStr">
        <is>
          <t>R&amp;R TRANSPORTE E LOGISTICA</t>
        </is>
      </c>
      <c r="J1593" s="29" t="n">
        <v>150</v>
      </c>
      <c r="K1593" s="29">
        <f>(1-ISNUMBER(SEARCH("556",M1593)))*(O1593*SUMIFS(Premissas!$C$5:$C$44,Premissas!$A$5:$A$44,$A1593,Premissas!$B$5:$B$44,$B1593)+P1593*SUMIFS(Premissas!$D$5:$D$44,Premissas!$A$5:$A$44,$A1593,Premissas!$B$5:$B$44,$B1593))+R1593*SUMIFS(Premissas!$E$5:$E$44,Premissas!$A$5:$A$44,$A1593,Premissas!$B$5:$B$44,$B1593)+S1593*SUMIFS(Premissas!$F$5:$F$44,Premissas!$A$5:$A$44,$A1593,Premissas!$B$5:$B$44,$B1593)</f>
        <v/>
      </c>
      <c r="L1593" s="29">
        <f>J1593-K1593</f>
        <v/>
      </c>
      <c r="M1593" t="inlineStr">
        <is>
          <t>1.350</t>
        </is>
      </c>
      <c r="N1593" t="inlineStr">
        <is>
          <t>Modalidade: 0 - Por conta do remetente | Parte: CAEL DISTRIBUIDORA DE PRODUTOS DE HIGIENE E LIMPEZA LTDA (15.129.402/0001-68)</t>
        </is>
      </c>
      <c r="O1593" s="29" t="n">
        <v>0</v>
      </c>
      <c r="P1593" s="29" t="n">
        <v>0</v>
      </c>
      <c r="Q1593" s="29" t="n">
        <v>0</v>
      </c>
      <c r="R1593" s="29" t="n">
        <v>0</v>
      </c>
      <c r="S1593" s="29" t="n">
        <v>0</v>
      </c>
      <c r="T1593" t="inlineStr">
        <is>
          <t>25250626975620000130570010000044081000000008</t>
        </is>
      </c>
      <c r="U1593" t="inlineStr">
        <is>
          <t>Não</t>
        </is>
      </c>
    </row>
    <row r="1594">
      <c r="A1594" t="inlineStr">
        <is>
          <t>Frete de venda</t>
        </is>
      </c>
      <c r="B1594" t="inlineStr">
        <is>
          <t>2.01.02 Frete sobre Vendas</t>
        </is>
      </c>
      <c r="C1594" t="inlineStr">
        <is>
          <t>Antes de 2026</t>
        </is>
      </c>
      <c r="D1594" t="inlineStr">
        <is>
          <t>Antes de 2026</t>
        </is>
      </c>
      <c r="E1594" s="28" t="n">
        <v>45820</v>
      </c>
      <c r="F1594" t="inlineStr">
        <is>
          <t>CT-e</t>
        </is>
      </c>
      <c r="G1594" t="inlineStr">
        <is>
          <t>000004416</t>
        </is>
      </c>
      <c r="H1594" t="inlineStr">
        <is>
          <t>R&amp;R TRANSPORTE E LOGISTICA</t>
        </is>
      </c>
      <c r="J1594" s="29" t="n">
        <v>44.9</v>
      </c>
      <c r="K1594" s="29">
        <f>(1-ISNUMBER(SEARCH("556",M1594)))*(O1594*SUMIFS(Premissas!$C$5:$C$44,Premissas!$A$5:$A$44,$A1594,Premissas!$B$5:$B$44,$B1594)+P1594*SUMIFS(Premissas!$D$5:$D$44,Premissas!$A$5:$A$44,$A1594,Premissas!$B$5:$B$44,$B1594))+R1594*SUMIFS(Premissas!$E$5:$E$44,Premissas!$A$5:$A$44,$A1594,Premissas!$B$5:$B$44,$B1594)+S1594*SUMIFS(Premissas!$F$5:$F$44,Premissas!$A$5:$A$44,$A1594,Premissas!$B$5:$B$44,$B1594)</f>
        <v/>
      </c>
      <c r="L1594" s="29">
        <f>J1594-K1594</f>
        <v/>
      </c>
      <c r="M1594" t="inlineStr">
        <is>
          <t>1.350</t>
        </is>
      </c>
      <c r="N1594" t="inlineStr">
        <is>
          <t>Modalidade: 0 - Por conta do remetente | Parte: CAVALCANTE E LAGES LTDA (06.120.924/0001-08)</t>
        </is>
      </c>
      <c r="O1594" s="29" t="n">
        <v>0</v>
      </c>
      <c r="P1594" s="29" t="n">
        <v>0</v>
      </c>
      <c r="Q1594" s="29" t="n">
        <v>0</v>
      </c>
      <c r="R1594" s="29" t="n">
        <v>0</v>
      </c>
      <c r="S1594" s="29" t="n">
        <v>0</v>
      </c>
      <c r="T1594" t="inlineStr">
        <is>
          <t>25250626975620000130570010000044161000000000</t>
        </is>
      </c>
      <c r="U1594" t="inlineStr">
        <is>
          <t>Não</t>
        </is>
      </c>
    </row>
    <row r="1595">
      <c r="A1595" t="inlineStr">
        <is>
          <t>Frete de venda</t>
        </is>
      </c>
      <c r="B1595" t="inlineStr">
        <is>
          <t>2.01.02 Frete sobre Vendas</t>
        </is>
      </c>
      <c r="C1595" t="inlineStr">
        <is>
          <t>Antes de 2026</t>
        </is>
      </c>
      <c r="D1595" t="inlineStr">
        <is>
          <t>Antes de 2026</t>
        </is>
      </c>
      <c r="E1595" s="28" t="n">
        <v>45820</v>
      </c>
      <c r="F1595" t="inlineStr">
        <is>
          <t>CT-e</t>
        </is>
      </c>
      <c r="G1595" t="inlineStr">
        <is>
          <t>000004417</t>
        </is>
      </c>
      <c r="H1595" t="inlineStr">
        <is>
          <t>R&amp;R TRANSPORTE E LOGISTICA</t>
        </is>
      </c>
      <c r="J1595" s="29" t="n">
        <v>60.45</v>
      </c>
      <c r="K1595" s="29">
        <f>(1-ISNUMBER(SEARCH("556",M1595)))*(O1595*SUMIFS(Premissas!$C$5:$C$44,Premissas!$A$5:$A$44,$A1595,Premissas!$B$5:$B$44,$B1595)+P1595*SUMIFS(Premissas!$D$5:$D$44,Premissas!$A$5:$A$44,$A1595,Premissas!$B$5:$B$44,$B1595))+R1595*SUMIFS(Premissas!$E$5:$E$44,Premissas!$A$5:$A$44,$A1595,Premissas!$B$5:$B$44,$B1595)+S1595*SUMIFS(Premissas!$F$5:$F$44,Premissas!$A$5:$A$44,$A1595,Premissas!$B$5:$B$44,$B1595)</f>
        <v/>
      </c>
      <c r="L1595" s="29">
        <f>J1595-K1595</f>
        <v/>
      </c>
      <c r="M1595" t="inlineStr">
        <is>
          <t>1.350</t>
        </is>
      </c>
      <c r="N1595" t="inlineStr">
        <is>
          <t>Modalidade: 0 - Por conta do remetente | Parte: JAMES L. H. TOME e CIA LTDA (16.965.024/0003-87)</t>
        </is>
      </c>
      <c r="O1595" s="29" t="n">
        <v>0</v>
      </c>
      <c r="P1595" s="29" t="n">
        <v>0</v>
      </c>
      <c r="Q1595" s="29" t="n">
        <v>0</v>
      </c>
      <c r="R1595" s="29" t="n">
        <v>0</v>
      </c>
      <c r="S1595" s="29" t="n">
        <v>0</v>
      </c>
      <c r="T1595" t="inlineStr">
        <is>
          <t>25250626975620000130570010000044171000000007</t>
        </is>
      </c>
      <c r="U1595" t="inlineStr">
        <is>
          <t>Não</t>
        </is>
      </c>
    </row>
    <row r="1596">
      <c r="A1596" t="inlineStr">
        <is>
          <t>Frete de venda</t>
        </is>
      </c>
      <c r="B1596" t="inlineStr">
        <is>
          <t>2.01.02 Frete sobre Vendas</t>
        </is>
      </c>
      <c r="C1596" t="inlineStr">
        <is>
          <t>Antes de 2026</t>
        </is>
      </c>
      <c r="D1596" t="inlineStr">
        <is>
          <t>Antes de 2026</t>
        </is>
      </c>
      <c r="E1596" s="28" t="n">
        <v>45820</v>
      </c>
      <c r="F1596" t="inlineStr">
        <is>
          <t>CT-e</t>
        </is>
      </c>
      <c r="G1596" t="inlineStr">
        <is>
          <t>000004418</t>
        </is>
      </c>
      <c r="H1596" t="inlineStr">
        <is>
          <t>R&amp;R TRANSPORTE E LOGISTICA</t>
        </is>
      </c>
      <c r="J1596" s="29" t="n">
        <v>34.9</v>
      </c>
      <c r="K1596" s="29">
        <f>(1-ISNUMBER(SEARCH("556",M1596)))*(O1596*SUMIFS(Premissas!$C$5:$C$44,Premissas!$A$5:$A$44,$A1596,Premissas!$B$5:$B$44,$B1596)+P1596*SUMIFS(Premissas!$D$5:$D$44,Premissas!$A$5:$A$44,$A1596,Premissas!$B$5:$B$44,$B1596))+R1596*SUMIFS(Premissas!$E$5:$E$44,Premissas!$A$5:$A$44,$A1596,Premissas!$B$5:$B$44,$B1596)+S1596*SUMIFS(Premissas!$F$5:$F$44,Premissas!$A$5:$A$44,$A1596,Premissas!$B$5:$B$44,$B1596)</f>
        <v/>
      </c>
      <c r="L1596" s="29">
        <f>J1596-K1596</f>
        <v/>
      </c>
      <c r="M1596" t="inlineStr">
        <is>
          <t>1.350</t>
        </is>
      </c>
      <c r="N1596" t="inlineStr">
        <is>
          <t>Modalidade: 0 - Por conta do remetente | Parte: QUERO EMBALAGENS COM DE EMBALAGENS EM GERAL LTDA (57.632.874/0001-89)</t>
        </is>
      </c>
      <c r="O1596" s="29" t="n">
        <v>0</v>
      </c>
      <c r="P1596" s="29" t="n">
        <v>0</v>
      </c>
      <c r="Q1596" s="29" t="n">
        <v>0</v>
      </c>
      <c r="R1596" s="29" t="n">
        <v>0</v>
      </c>
      <c r="S1596" s="29" t="n">
        <v>0</v>
      </c>
      <c r="T1596" t="inlineStr">
        <is>
          <t>25250626975620000130570010000044181000000004</t>
        </is>
      </c>
      <c r="U1596" t="inlineStr">
        <is>
          <t>Não</t>
        </is>
      </c>
    </row>
    <row r="1597">
      <c r="A1597" t="inlineStr">
        <is>
          <t>Frete de venda</t>
        </is>
      </c>
      <c r="B1597" t="inlineStr">
        <is>
          <t>2.01.02 Frete sobre Vendas</t>
        </is>
      </c>
      <c r="C1597" t="inlineStr">
        <is>
          <t>Antes de 2026</t>
        </is>
      </c>
      <c r="D1597" t="inlineStr">
        <is>
          <t>Antes de 2026</t>
        </is>
      </c>
      <c r="E1597" s="28" t="n">
        <v>45820</v>
      </c>
      <c r="F1597" t="inlineStr">
        <is>
          <t>CT-e</t>
        </is>
      </c>
      <c r="G1597" t="inlineStr">
        <is>
          <t>000004419</t>
        </is>
      </c>
      <c r="H1597" t="inlineStr">
        <is>
          <t>R&amp;R TRANSPORTE E LOGISTICA</t>
        </is>
      </c>
      <c r="J1597" s="29" t="n">
        <v>65</v>
      </c>
      <c r="K1597" s="29">
        <f>(1-ISNUMBER(SEARCH("556",M1597)))*(O1597*SUMIFS(Premissas!$C$5:$C$44,Premissas!$A$5:$A$44,$A1597,Premissas!$B$5:$B$44,$B1597)+P1597*SUMIFS(Premissas!$D$5:$D$44,Premissas!$A$5:$A$44,$A1597,Premissas!$B$5:$B$44,$B1597))+R1597*SUMIFS(Premissas!$E$5:$E$44,Premissas!$A$5:$A$44,$A1597,Premissas!$B$5:$B$44,$B1597)+S1597*SUMIFS(Premissas!$F$5:$F$44,Premissas!$A$5:$A$44,$A1597,Premissas!$B$5:$B$44,$B1597)</f>
        <v/>
      </c>
      <c r="L1597" s="29">
        <f>J1597-K1597</f>
        <v/>
      </c>
      <c r="M1597" t="inlineStr">
        <is>
          <t>1.350</t>
        </is>
      </c>
      <c r="N1597" t="inlineStr">
        <is>
          <t>Modalidade: 0 - Por conta do remetente | Parte: JAMES L. H. TOME e CIA LTDA (16.965.024/0007-00)</t>
        </is>
      </c>
      <c r="O1597" s="29" t="n">
        <v>0</v>
      </c>
      <c r="P1597" s="29" t="n">
        <v>0</v>
      </c>
      <c r="Q1597" s="29" t="n">
        <v>0</v>
      </c>
      <c r="R1597" s="29" t="n">
        <v>0</v>
      </c>
      <c r="S1597" s="29" t="n">
        <v>0</v>
      </c>
      <c r="T1597" t="inlineStr">
        <is>
          <t>25250626975620000130570010000044191000000001</t>
        </is>
      </c>
      <c r="U1597" t="inlineStr">
        <is>
          <t>Não</t>
        </is>
      </c>
    </row>
    <row r="1598">
      <c r="A1598" t="inlineStr">
        <is>
          <t>Frete de venda</t>
        </is>
      </c>
      <c r="B1598" t="inlineStr">
        <is>
          <t>2.01.02 Frete sobre Vendas</t>
        </is>
      </c>
      <c r="C1598" t="inlineStr">
        <is>
          <t>Antes de 2026</t>
        </is>
      </c>
      <c r="D1598" t="inlineStr">
        <is>
          <t>Antes de 2026</t>
        </is>
      </c>
      <c r="E1598" s="28" t="n">
        <v>45820</v>
      </c>
      <c r="F1598" t="inlineStr">
        <is>
          <t>CT-e</t>
        </is>
      </c>
      <c r="G1598" t="inlineStr">
        <is>
          <t>000004420</t>
        </is>
      </c>
      <c r="H1598" t="inlineStr">
        <is>
          <t>R&amp;R TRANSPORTE E LOGISTICA</t>
        </is>
      </c>
      <c r="J1598" s="29" t="n">
        <v>60.15</v>
      </c>
      <c r="K1598" s="29">
        <f>(1-ISNUMBER(SEARCH("556",M1598)))*(O1598*SUMIFS(Premissas!$C$5:$C$44,Premissas!$A$5:$A$44,$A1598,Premissas!$B$5:$B$44,$B1598)+P1598*SUMIFS(Premissas!$D$5:$D$44,Premissas!$A$5:$A$44,$A1598,Premissas!$B$5:$B$44,$B1598))+R1598*SUMIFS(Premissas!$E$5:$E$44,Premissas!$A$5:$A$44,$A1598,Premissas!$B$5:$B$44,$B1598)+S1598*SUMIFS(Premissas!$F$5:$F$44,Premissas!$A$5:$A$44,$A1598,Premissas!$B$5:$B$44,$B1598)</f>
        <v/>
      </c>
      <c r="L1598" s="29">
        <f>J1598-K1598</f>
        <v/>
      </c>
      <c r="M1598" t="inlineStr">
        <is>
          <t>1.350</t>
        </is>
      </c>
      <c r="N1598" t="inlineStr">
        <is>
          <t>Modalidade: 0 - Por conta do remetente | Parte: JAMES L. H. TOME e CIA LTDA (16.965.024/0001-15)</t>
        </is>
      </c>
      <c r="O1598" s="29" t="n">
        <v>0</v>
      </c>
      <c r="P1598" s="29" t="n">
        <v>0</v>
      </c>
      <c r="Q1598" s="29" t="n">
        <v>0</v>
      </c>
      <c r="R1598" s="29" t="n">
        <v>0</v>
      </c>
      <c r="S1598" s="29" t="n">
        <v>0</v>
      </c>
      <c r="T1598" t="inlineStr">
        <is>
          <t>25250626975620000130570010000044201000000002</t>
        </is>
      </c>
      <c r="U1598" t="inlineStr">
        <is>
          <t>Não</t>
        </is>
      </c>
    </row>
    <row r="1599">
      <c r="A1599" t="inlineStr">
        <is>
          <t>Frete de venda</t>
        </is>
      </c>
      <c r="B1599" t="inlineStr">
        <is>
          <t>2.01.02 Frete sobre Vendas</t>
        </is>
      </c>
      <c r="C1599" t="inlineStr">
        <is>
          <t>Antes de 2026</t>
        </is>
      </c>
      <c r="D1599" t="inlineStr">
        <is>
          <t>Antes de 2026</t>
        </is>
      </c>
      <c r="E1599" s="28" t="n">
        <v>45820</v>
      </c>
      <c r="F1599" t="inlineStr">
        <is>
          <t>CT-e</t>
        </is>
      </c>
      <c r="G1599" t="inlineStr">
        <is>
          <t>000004421</t>
        </is>
      </c>
      <c r="H1599" t="inlineStr">
        <is>
          <t>R&amp;R TRANSPORTE E LOGISTICA</t>
        </is>
      </c>
      <c r="J1599" s="29" t="n">
        <v>38</v>
      </c>
      <c r="K1599" s="29">
        <f>(1-ISNUMBER(SEARCH("556",M1599)))*(O1599*SUMIFS(Premissas!$C$5:$C$44,Premissas!$A$5:$A$44,$A1599,Premissas!$B$5:$B$44,$B1599)+P1599*SUMIFS(Premissas!$D$5:$D$44,Premissas!$A$5:$A$44,$A1599,Premissas!$B$5:$B$44,$B1599))+R1599*SUMIFS(Premissas!$E$5:$E$44,Premissas!$A$5:$A$44,$A1599,Premissas!$B$5:$B$44,$B1599)+S1599*SUMIFS(Premissas!$F$5:$F$44,Premissas!$A$5:$A$44,$A1599,Premissas!$B$5:$B$44,$B1599)</f>
        <v/>
      </c>
      <c r="L1599" s="29">
        <f>J1599-K1599</f>
        <v/>
      </c>
      <c r="M1599" t="inlineStr">
        <is>
          <t>1.350</t>
        </is>
      </c>
      <c r="N1599" t="inlineStr">
        <is>
          <t>Modalidade: 0 - Por conta do remetente | Parte: JAMES L H TOME e CIA LTDA (16.965.024/0008-91)</t>
        </is>
      </c>
      <c r="O1599" s="29" t="n">
        <v>0</v>
      </c>
      <c r="P1599" s="29" t="n">
        <v>0</v>
      </c>
      <c r="Q1599" s="29" t="n">
        <v>0</v>
      </c>
      <c r="R1599" s="29" t="n">
        <v>0</v>
      </c>
      <c r="S1599" s="29" t="n">
        <v>0</v>
      </c>
      <c r="T1599" t="inlineStr">
        <is>
          <t>25250626975620000130570010000044211000000000</t>
        </is>
      </c>
      <c r="U1599" t="inlineStr">
        <is>
          <t>Não</t>
        </is>
      </c>
    </row>
    <row r="1600">
      <c r="A1600" t="inlineStr">
        <is>
          <t>Frete de venda</t>
        </is>
      </c>
      <c r="B1600" t="inlineStr">
        <is>
          <t>2.01.02 Frete sobre Vendas</t>
        </is>
      </c>
      <c r="C1600" t="inlineStr">
        <is>
          <t>Antes de 2026</t>
        </is>
      </c>
      <c r="D1600" t="inlineStr">
        <is>
          <t>Antes de 2026</t>
        </is>
      </c>
      <c r="E1600" s="28" t="n">
        <v>45820</v>
      </c>
      <c r="F1600" t="inlineStr">
        <is>
          <t>CT-e</t>
        </is>
      </c>
      <c r="G1600" t="inlineStr">
        <is>
          <t>000004422</t>
        </is>
      </c>
      <c r="H1600" t="inlineStr">
        <is>
          <t>R&amp;R TRANSPORTE E LOGISTICA</t>
        </is>
      </c>
      <c r="J1600" s="29" t="n">
        <v>36</v>
      </c>
      <c r="K1600" s="29">
        <f>(1-ISNUMBER(SEARCH("556",M1600)))*(O1600*SUMIFS(Premissas!$C$5:$C$44,Premissas!$A$5:$A$44,$A1600,Premissas!$B$5:$B$44,$B1600)+P1600*SUMIFS(Premissas!$D$5:$D$44,Premissas!$A$5:$A$44,$A1600,Premissas!$B$5:$B$44,$B1600))+R1600*SUMIFS(Premissas!$E$5:$E$44,Premissas!$A$5:$A$44,$A1600,Premissas!$B$5:$B$44,$B1600)+S1600*SUMIFS(Premissas!$F$5:$F$44,Premissas!$A$5:$A$44,$A1600,Premissas!$B$5:$B$44,$B1600)</f>
        <v/>
      </c>
      <c r="L1600" s="29">
        <f>J1600-K1600</f>
        <v/>
      </c>
      <c r="M1600" t="inlineStr">
        <is>
          <t>1.350</t>
        </is>
      </c>
      <c r="N1600" t="inlineStr">
        <is>
          <t>Modalidade: 0 - Por conta do remetente | Parte: PORTUGAL COMERCIO DE PRODUTOS DESCARTAVEIS LTDA (83.349.563/0001-17)</t>
        </is>
      </c>
      <c r="O1600" s="29" t="n">
        <v>0</v>
      </c>
      <c r="P1600" s="29" t="n">
        <v>0</v>
      </c>
      <c r="Q1600" s="29" t="n">
        <v>0</v>
      </c>
      <c r="R1600" s="29" t="n">
        <v>0</v>
      </c>
      <c r="S1600" s="29" t="n">
        <v>0</v>
      </c>
      <c r="T1600" t="inlineStr">
        <is>
          <t>25250626975620000130570010000044221000000007</t>
        </is>
      </c>
      <c r="U1600" t="inlineStr">
        <is>
          <t>Não</t>
        </is>
      </c>
    </row>
    <row r="1601">
      <c r="A1601" t="inlineStr">
        <is>
          <t>Frete de venda</t>
        </is>
      </c>
      <c r="B1601" t="inlineStr">
        <is>
          <t>2.01.02 Frete sobre Vendas</t>
        </is>
      </c>
      <c r="C1601" t="inlineStr">
        <is>
          <t>Antes de 2026</t>
        </is>
      </c>
      <c r="D1601" t="inlineStr">
        <is>
          <t>Antes de 2026</t>
        </is>
      </c>
      <c r="E1601" s="28" t="n">
        <v>45820</v>
      </c>
      <c r="F1601" t="inlineStr">
        <is>
          <t>CT-e</t>
        </is>
      </c>
      <c r="G1601" t="inlineStr">
        <is>
          <t>000004423</t>
        </is>
      </c>
      <c r="H1601" t="inlineStr">
        <is>
          <t>R&amp;R TRANSPORTE E LOGISTICA</t>
        </is>
      </c>
      <c r="J1601" s="29" t="n">
        <v>333</v>
      </c>
      <c r="K1601" s="29">
        <f>(1-ISNUMBER(SEARCH("556",M1601)))*(O1601*SUMIFS(Premissas!$C$5:$C$44,Premissas!$A$5:$A$44,$A1601,Premissas!$B$5:$B$44,$B1601)+P1601*SUMIFS(Premissas!$D$5:$D$44,Premissas!$A$5:$A$44,$A1601,Premissas!$B$5:$B$44,$B1601))+R1601*SUMIFS(Premissas!$E$5:$E$44,Premissas!$A$5:$A$44,$A1601,Premissas!$B$5:$B$44,$B1601)+S1601*SUMIFS(Premissas!$F$5:$F$44,Premissas!$A$5:$A$44,$A1601,Premissas!$B$5:$B$44,$B1601)</f>
        <v/>
      </c>
      <c r="L1601" s="29">
        <f>J1601-K1601</f>
        <v/>
      </c>
      <c r="M1601" t="inlineStr">
        <is>
          <t>1.350</t>
        </is>
      </c>
      <c r="N1601" t="inlineStr">
        <is>
          <t>Modalidade: 0 - Por conta do remetente | Parte: DURA MAIS TRANSPORTES LTDA (59.256.389/0002-64)</t>
        </is>
      </c>
      <c r="O1601" s="29" t="n">
        <v>0</v>
      </c>
      <c r="P1601" s="29" t="n">
        <v>0</v>
      </c>
      <c r="Q1601" s="29" t="n">
        <v>0</v>
      </c>
      <c r="R1601" s="29" t="n">
        <v>0</v>
      </c>
      <c r="S1601" s="29" t="n">
        <v>0</v>
      </c>
      <c r="T1601" t="inlineStr">
        <is>
          <t>25250626975620000130570010000044231000000004</t>
        </is>
      </c>
      <c r="U1601" t="inlineStr">
        <is>
          <t>Não</t>
        </is>
      </c>
    </row>
    <row r="1602">
      <c r="A1602" t="inlineStr">
        <is>
          <t>Frete de venda</t>
        </is>
      </c>
      <c r="B1602" t="inlineStr">
        <is>
          <t>2.01.02 Frete sobre Vendas</t>
        </is>
      </c>
      <c r="C1602" t="inlineStr">
        <is>
          <t>Antes de 2026</t>
        </is>
      </c>
      <c r="D1602" t="inlineStr">
        <is>
          <t>Antes de 2026</t>
        </is>
      </c>
      <c r="E1602" s="28" t="n">
        <v>45821</v>
      </c>
      <c r="F1602" t="inlineStr">
        <is>
          <t>CT-e</t>
        </is>
      </c>
      <c r="G1602" t="inlineStr">
        <is>
          <t>000004427</t>
        </is>
      </c>
      <c r="H1602" t="inlineStr">
        <is>
          <t>R&amp;R TRANSPORTE E LOGISTICA</t>
        </is>
      </c>
      <c r="J1602" s="29" t="n">
        <v>10</v>
      </c>
      <c r="K1602" s="29">
        <f>(1-ISNUMBER(SEARCH("556",M1602)))*(O1602*SUMIFS(Premissas!$C$5:$C$44,Premissas!$A$5:$A$44,$A1602,Premissas!$B$5:$B$44,$B1602)+P1602*SUMIFS(Premissas!$D$5:$D$44,Premissas!$A$5:$A$44,$A1602,Premissas!$B$5:$B$44,$B1602))+R1602*SUMIFS(Premissas!$E$5:$E$44,Premissas!$A$5:$A$44,$A1602,Premissas!$B$5:$B$44,$B1602)+S1602*SUMIFS(Premissas!$F$5:$F$44,Premissas!$A$5:$A$44,$A1602,Premissas!$B$5:$B$44,$B1602)</f>
        <v/>
      </c>
      <c r="L1602" s="29">
        <f>J1602-K1602</f>
        <v/>
      </c>
      <c r="M1602" t="inlineStr">
        <is>
          <t>1.350</t>
        </is>
      </c>
      <c r="N1602" t="inlineStr">
        <is>
          <t>Modalidade: 0 - Por conta do remetente | Parte: DURA MAIS RECICLA LTDA (57.707.032/0001-49)</t>
        </is>
      </c>
      <c r="O1602" s="29" t="n">
        <v>0</v>
      </c>
      <c r="P1602" s="29" t="n">
        <v>0</v>
      </c>
      <c r="Q1602" s="29" t="n">
        <v>0</v>
      </c>
      <c r="R1602" s="29" t="n">
        <v>0</v>
      </c>
      <c r="S1602" s="29" t="n">
        <v>0</v>
      </c>
      <c r="T1602" t="inlineStr">
        <is>
          <t>25250626975620000130570010000044271000000003</t>
        </is>
      </c>
      <c r="U1602" t="inlineStr">
        <is>
          <t>Não</t>
        </is>
      </c>
    </row>
    <row r="1603">
      <c r="A1603" t="inlineStr">
        <is>
          <t>Frete de venda</t>
        </is>
      </c>
      <c r="B1603" t="inlineStr">
        <is>
          <t>2.01.02 Frete sobre Vendas</t>
        </is>
      </c>
      <c r="C1603" t="inlineStr">
        <is>
          <t>Antes de 2026</t>
        </is>
      </c>
      <c r="D1603" t="inlineStr">
        <is>
          <t>Antes de 2026</t>
        </is>
      </c>
      <c r="E1603" s="28" t="n">
        <v>45821</v>
      </c>
      <c r="F1603" t="inlineStr">
        <is>
          <t>CT-e</t>
        </is>
      </c>
      <c r="G1603" t="inlineStr">
        <is>
          <t>000004428</t>
        </is>
      </c>
      <c r="H1603" t="inlineStr">
        <is>
          <t>R&amp;R TRANSPORTE E LOGISTICA</t>
        </is>
      </c>
      <c r="J1603" s="29" t="n">
        <v>10</v>
      </c>
      <c r="K1603" s="29">
        <f>(1-ISNUMBER(SEARCH("556",M1603)))*(O1603*SUMIFS(Premissas!$C$5:$C$44,Premissas!$A$5:$A$44,$A1603,Premissas!$B$5:$B$44,$B1603)+P1603*SUMIFS(Premissas!$D$5:$D$44,Premissas!$A$5:$A$44,$A1603,Premissas!$B$5:$B$44,$B1603))+R1603*SUMIFS(Premissas!$E$5:$E$44,Premissas!$A$5:$A$44,$A1603,Premissas!$B$5:$B$44,$B1603)+S1603*SUMIFS(Premissas!$F$5:$F$44,Premissas!$A$5:$A$44,$A1603,Premissas!$B$5:$B$44,$B1603)</f>
        <v/>
      </c>
      <c r="L1603" s="29">
        <f>J1603-K1603</f>
        <v/>
      </c>
      <c r="M1603" t="inlineStr">
        <is>
          <t>1.350</t>
        </is>
      </c>
      <c r="N1603" t="inlineStr">
        <is>
          <t>Modalidade: 0 - Por conta do remetente | Parte: DURA MAIS RECICLA LTDA (57.707.032/0001-49)</t>
        </is>
      </c>
      <c r="O1603" s="29" t="n">
        <v>0</v>
      </c>
      <c r="P1603" s="29" t="n">
        <v>0</v>
      </c>
      <c r="Q1603" s="29" t="n">
        <v>0</v>
      </c>
      <c r="R1603" s="29" t="n">
        <v>0</v>
      </c>
      <c r="S1603" s="29" t="n">
        <v>0</v>
      </c>
      <c r="T1603" t="inlineStr">
        <is>
          <t>25250626975620000130570010000044281000000000</t>
        </is>
      </c>
      <c r="U1603" t="inlineStr">
        <is>
          <t>Não</t>
        </is>
      </c>
    </row>
    <row r="1604">
      <c r="A1604" t="inlineStr">
        <is>
          <t>Frete de venda</t>
        </is>
      </c>
      <c r="B1604" t="inlineStr">
        <is>
          <t>2.01.02 Frete sobre Vendas</t>
        </is>
      </c>
      <c r="C1604" t="inlineStr">
        <is>
          <t>Antes de 2026</t>
        </is>
      </c>
      <c r="D1604" t="inlineStr">
        <is>
          <t>Antes de 2026</t>
        </is>
      </c>
      <c r="E1604" s="28" t="n">
        <v>45824</v>
      </c>
      <c r="F1604" t="inlineStr">
        <is>
          <t>CT-e</t>
        </is>
      </c>
      <c r="G1604" t="inlineStr">
        <is>
          <t>000004432</t>
        </is>
      </c>
      <c r="H1604" t="inlineStr">
        <is>
          <t>R&amp;R TRANSPORTE E LOGISTICA</t>
        </is>
      </c>
      <c r="J1604" s="29" t="n">
        <v>35.9</v>
      </c>
      <c r="K1604" s="29">
        <f>(1-ISNUMBER(SEARCH("556",M1604)))*(O1604*SUMIFS(Premissas!$C$5:$C$44,Premissas!$A$5:$A$44,$A1604,Premissas!$B$5:$B$44,$B1604)+P1604*SUMIFS(Premissas!$D$5:$D$44,Premissas!$A$5:$A$44,$A1604,Premissas!$B$5:$B$44,$B1604))+R1604*SUMIFS(Premissas!$E$5:$E$44,Premissas!$A$5:$A$44,$A1604,Premissas!$B$5:$B$44,$B1604)+S1604*SUMIFS(Premissas!$F$5:$F$44,Premissas!$A$5:$A$44,$A1604,Premissas!$B$5:$B$44,$B1604)</f>
        <v/>
      </c>
      <c r="L1604" s="29">
        <f>J1604-K1604</f>
        <v/>
      </c>
      <c r="M1604" t="inlineStr">
        <is>
          <t>1.350</t>
        </is>
      </c>
      <c r="N1604" t="inlineStr">
        <is>
          <t>Modalidade: 0 - Por conta do remetente | Parte: ALBUQUERQUE E FREIRE LTDA (09.358.347/0001-85)</t>
        </is>
      </c>
      <c r="O1604" s="29" t="n">
        <v>0</v>
      </c>
      <c r="P1604" s="29" t="n">
        <v>0</v>
      </c>
      <c r="Q1604" s="29" t="n">
        <v>0</v>
      </c>
      <c r="R1604" s="29" t="n">
        <v>0</v>
      </c>
      <c r="S1604" s="29" t="n">
        <v>0</v>
      </c>
      <c r="T1604" t="inlineStr">
        <is>
          <t>25250626975620000130570010000044321000000003</t>
        </is>
      </c>
      <c r="U1604" t="inlineStr">
        <is>
          <t>Não</t>
        </is>
      </c>
    </row>
    <row r="1605">
      <c r="A1605" t="inlineStr">
        <is>
          <t>Frete de venda</t>
        </is>
      </c>
      <c r="B1605" t="inlineStr">
        <is>
          <t>2.01.02 Frete sobre Vendas</t>
        </is>
      </c>
      <c r="C1605" t="inlineStr">
        <is>
          <t>Antes de 2026</t>
        </is>
      </c>
      <c r="D1605" t="inlineStr">
        <is>
          <t>Antes de 2026</t>
        </is>
      </c>
      <c r="E1605" s="28" t="n">
        <v>45824</v>
      </c>
      <c r="F1605" t="inlineStr">
        <is>
          <t>CT-e</t>
        </is>
      </c>
      <c r="G1605" t="inlineStr">
        <is>
          <t>000004433</t>
        </is>
      </c>
      <c r="H1605" t="inlineStr">
        <is>
          <t>R&amp;R TRANSPORTE E LOGISTICA</t>
        </is>
      </c>
      <c r="J1605" s="29" t="n">
        <v>40.25</v>
      </c>
      <c r="K1605" s="29">
        <f>(1-ISNUMBER(SEARCH("556",M1605)))*(O1605*SUMIFS(Premissas!$C$5:$C$44,Premissas!$A$5:$A$44,$A1605,Premissas!$B$5:$B$44,$B1605)+P1605*SUMIFS(Premissas!$D$5:$D$44,Premissas!$A$5:$A$44,$A1605,Premissas!$B$5:$B$44,$B1605))+R1605*SUMIFS(Premissas!$E$5:$E$44,Premissas!$A$5:$A$44,$A1605,Premissas!$B$5:$B$44,$B1605)+S1605*SUMIFS(Premissas!$F$5:$F$44,Premissas!$A$5:$A$44,$A1605,Premissas!$B$5:$B$44,$B1605)</f>
        <v/>
      </c>
      <c r="L1605" s="29">
        <f>J1605-K1605</f>
        <v/>
      </c>
      <c r="M1605" t="inlineStr">
        <is>
          <t>1.350</t>
        </is>
      </c>
      <c r="N1605" t="inlineStr">
        <is>
          <t>Modalidade: 0 - Por conta do remetente | Parte: ALBUQUERQUE E FREIRE LTDA (09.358.347/0002-66)</t>
        </is>
      </c>
      <c r="O1605" s="29" t="n">
        <v>0</v>
      </c>
      <c r="P1605" s="29" t="n">
        <v>0</v>
      </c>
      <c r="Q1605" s="29" t="n">
        <v>0</v>
      </c>
      <c r="R1605" s="29" t="n">
        <v>0</v>
      </c>
      <c r="S1605" s="29" t="n">
        <v>0</v>
      </c>
      <c r="T1605" t="inlineStr">
        <is>
          <t>25250626975620000130570010000044331000000000</t>
        </is>
      </c>
      <c r="U1605" t="inlineStr">
        <is>
          <t>Não</t>
        </is>
      </c>
    </row>
    <row r="1606">
      <c r="A1606" t="inlineStr">
        <is>
          <t>Frete de venda</t>
        </is>
      </c>
      <c r="B1606" t="inlineStr">
        <is>
          <t>2.01.02 Frete sobre Vendas</t>
        </is>
      </c>
      <c r="C1606" t="inlineStr">
        <is>
          <t>Antes de 2026</t>
        </is>
      </c>
      <c r="D1606" t="inlineStr">
        <is>
          <t>Antes de 2026</t>
        </is>
      </c>
      <c r="E1606" s="28" t="n">
        <v>45824</v>
      </c>
      <c r="F1606" t="inlineStr">
        <is>
          <t>CT-e</t>
        </is>
      </c>
      <c r="G1606" t="inlineStr">
        <is>
          <t>000004434</t>
        </is>
      </c>
      <c r="H1606" t="inlineStr">
        <is>
          <t>R&amp;R TRANSPORTE E LOGISTICA</t>
        </is>
      </c>
      <c r="J1606" s="29" t="n">
        <v>27.45</v>
      </c>
      <c r="K1606" s="29">
        <f>(1-ISNUMBER(SEARCH("556",M1606)))*(O1606*SUMIFS(Premissas!$C$5:$C$44,Premissas!$A$5:$A$44,$A1606,Premissas!$B$5:$B$44,$B1606)+P1606*SUMIFS(Premissas!$D$5:$D$44,Premissas!$A$5:$A$44,$A1606,Premissas!$B$5:$B$44,$B1606))+R1606*SUMIFS(Premissas!$E$5:$E$44,Premissas!$A$5:$A$44,$A1606,Premissas!$B$5:$B$44,$B1606)+S1606*SUMIFS(Premissas!$F$5:$F$44,Premissas!$A$5:$A$44,$A1606,Premissas!$B$5:$B$44,$B1606)</f>
        <v/>
      </c>
      <c r="L1606" s="29">
        <f>J1606-K1606</f>
        <v/>
      </c>
      <c r="M1606" t="inlineStr">
        <is>
          <t>1.350</t>
        </is>
      </c>
      <c r="N1606" t="inlineStr">
        <is>
          <t>Modalidade: 0 - Por conta do remetente | Parte: AL DESCARTAVEIS COMERCIO ATACADISTA LTDA (20.761.196/0001-44)</t>
        </is>
      </c>
      <c r="O1606" s="29" t="n">
        <v>0</v>
      </c>
      <c r="P1606" s="29" t="n">
        <v>0</v>
      </c>
      <c r="Q1606" s="29" t="n">
        <v>0</v>
      </c>
      <c r="R1606" s="29" t="n">
        <v>0</v>
      </c>
      <c r="S1606" s="29" t="n">
        <v>0</v>
      </c>
      <c r="T1606" t="inlineStr">
        <is>
          <t>25250626975620000130570010000044341000000008</t>
        </is>
      </c>
      <c r="U1606" t="inlineStr">
        <is>
          <t>Não</t>
        </is>
      </c>
    </row>
    <row r="1607">
      <c r="A1607" t="inlineStr">
        <is>
          <t>Frete de venda</t>
        </is>
      </c>
      <c r="B1607" t="inlineStr">
        <is>
          <t>2.01.02 Frete sobre Vendas</t>
        </is>
      </c>
      <c r="C1607" t="inlineStr">
        <is>
          <t>Antes de 2026</t>
        </is>
      </c>
      <c r="D1607" t="inlineStr">
        <is>
          <t>Antes de 2026</t>
        </is>
      </c>
      <c r="E1607" s="28" t="n">
        <v>45824</v>
      </c>
      <c r="F1607" t="inlineStr">
        <is>
          <t>CT-e</t>
        </is>
      </c>
      <c r="G1607" t="inlineStr">
        <is>
          <t>000004435</t>
        </is>
      </c>
      <c r="H1607" t="inlineStr">
        <is>
          <t>R&amp;R TRANSPORTE E LOGISTICA</t>
        </is>
      </c>
      <c r="J1607" s="29" t="n">
        <v>43.9</v>
      </c>
      <c r="K1607" s="29">
        <f>(1-ISNUMBER(SEARCH("556",M1607)))*(O1607*SUMIFS(Premissas!$C$5:$C$44,Premissas!$A$5:$A$44,$A1607,Premissas!$B$5:$B$44,$B1607)+P1607*SUMIFS(Premissas!$D$5:$D$44,Premissas!$A$5:$A$44,$A1607,Premissas!$B$5:$B$44,$B1607))+R1607*SUMIFS(Premissas!$E$5:$E$44,Premissas!$A$5:$A$44,$A1607,Premissas!$B$5:$B$44,$B1607)+S1607*SUMIFS(Premissas!$F$5:$F$44,Premissas!$A$5:$A$44,$A1607,Premissas!$B$5:$B$44,$B1607)</f>
        <v/>
      </c>
      <c r="L1607" s="29">
        <f>J1607-K1607</f>
        <v/>
      </c>
      <c r="M1607" t="inlineStr">
        <is>
          <t>1.350</t>
        </is>
      </c>
      <c r="N1607" t="inlineStr">
        <is>
          <t>Modalidade: 0 - Por conta do remetente | Parte: EMBALAR DISTRIBUIDORA DE EMBALAGENS LTDA (10.347.424/0001-80)</t>
        </is>
      </c>
      <c r="O1607" s="29" t="n">
        <v>0</v>
      </c>
      <c r="P1607" s="29" t="n">
        <v>0</v>
      </c>
      <c r="Q1607" s="29" t="n">
        <v>0</v>
      </c>
      <c r="R1607" s="29" t="n">
        <v>0</v>
      </c>
      <c r="S1607" s="29" t="n">
        <v>0</v>
      </c>
      <c r="T1607" t="inlineStr">
        <is>
          <t>25250626975620000130570010000044351000000005</t>
        </is>
      </c>
      <c r="U1607" t="inlineStr">
        <is>
          <t>Não</t>
        </is>
      </c>
    </row>
    <row r="1608">
      <c r="A1608" t="inlineStr">
        <is>
          <t>Frete de venda</t>
        </is>
      </c>
      <c r="B1608" t="inlineStr">
        <is>
          <t>2.01.02 Frete sobre Vendas</t>
        </is>
      </c>
      <c r="C1608" t="inlineStr">
        <is>
          <t>Antes de 2026</t>
        </is>
      </c>
      <c r="D1608" t="inlineStr">
        <is>
          <t>Antes de 2026</t>
        </is>
      </c>
      <c r="E1608" s="28" t="n">
        <v>45824</v>
      </c>
      <c r="F1608" t="inlineStr">
        <is>
          <t>CT-e</t>
        </is>
      </c>
      <c r="G1608" t="inlineStr">
        <is>
          <t>000004436</t>
        </is>
      </c>
      <c r="H1608" t="inlineStr">
        <is>
          <t>R&amp;R TRANSPORTE E LOGISTICA</t>
        </is>
      </c>
      <c r="J1608" s="29" t="n">
        <v>27.8</v>
      </c>
      <c r="K1608" s="29">
        <f>(1-ISNUMBER(SEARCH("556",M1608)))*(O1608*SUMIFS(Premissas!$C$5:$C$44,Premissas!$A$5:$A$44,$A1608,Premissas!$B$5:$B$44,$B1608)+P1608*SUMIFS(Premissas!$D$5:$D$44,Premissas!$A$5:$A$44,$A1608,Premissas!$B$5:$B$44,$B1608))+R1608*SUMIFS(Premissas!$E$5:$E$44,Premissas!$A$5:$A$44,$A1608,Premissas!$B$5:$B$44,$B1608)+S1608*SUMIFS(Premissas!$F$5:$F$44,Premissas!$A$5:$A$44,$A1608,Premissas!$B$5:$B$44,$B1608)</f>
        <v/>
      </c>
      <c r="L1608" s="29">
        <f>J1608-K1608</f>
        <v/>
      </c>
      <c r="M1608" t="inlineStr">
        <is>
          <t>1.350</t>
        </is>
      </c>
      <c r="N1608" t="inlineStr">
        <is>
          <t>Modalidade: 0 - Por conta do remetente | Parte: JOSE VALDSON LEITE DA MOTA (07.101.277/0001-50)</t>
        </is>
      </c>
      <c r="O1608" s="29" t="n">
        <v>0</v>
      </c>
      <c r="P1608" s="29" t="n">
        <v>0</v>
      </c>
      <c r="Q1608" s="29" t="n">
        <v>0</v>
      </c>
      <c r="R1608" s="29" t="n">
        <v>0</v>
      </c>
      <c r="S1608" s="29" t="n">
        <v>0</v>
      </c>
      <c r="T1608" t="inlineStr">
        <is>
          <t>25250626975620000130570010000044361000000002</t>
        </is>
      </c>
      <c r="U1608" t="inlineStr">
        <is>
          <t>Não</t>
        </is>
      </c>
    </row>
    <row r="1609">
      <c r="A1609" t="inlineStr">
        <is>
          <t>Frete de venda</t>
        </is>
      </c>
      <c r="B1609" t="inlineStr">
        <is>
          <t>2.01.02 Frete sobre Vendas</t>
        </is>
      </c>
      <c r="C1609" t="inlineStr">
        <is>
          <t>Antes de 2026</t>
        </is>
      </c>
      <c r="D1609" t="inlineStr">
        <is>
          <t>Antes de 2026</t>
        </is>
      </c>
      <c r="E1609" s="28" t="n">
        <v>45824</v>
      </c>
      <c r="F1609" t="inlineStr">
        <is>
          <t>CT-e</t>
        </is>
      </c>
      <c r="G1609" t="inlineStr">
        <is>
          <t>000004437</t>
        </is>
      </c>
      <c r="H1609" t="inlineStr">
        <is>
          <t>R&amp;R TRANSPORTE E LOGISTICA</t>
        </is>
      </c>
      <c r="J1609" s="29" t="n">
        <v>32</v>
      </c>
      <c r="K1609" s="29">
        <f>(1-ISNUMBER(SEARCH("556",M1609)))*(O1609*SUMIFS(Premissas!$C$5:$C$44,Premissas!$A$5:$A$44,$A1609,Premissas!$B$5:$B$44,$B1609)+P1609*SUMIFS(Premissas!$D$5:$D$44,Premissas!$A$5:$A$44,$A1609,Premissas!$B$5:$B$44,$B1609))+R1609*SUMIFS(Premissas!$E$5:$E$44,Premissas!$A$5:$A$44,$A1609,Premissas!$B$5:$B$44,$B1609)+S1609*SUMIFS(Premissas!$F$5:$F$44,Premissas!$A$5:$A$44,$A1609,Premissas!$B$5:$B$44,$B1609)</f>
        <v/>
      </c>
      <c r="L1609" s="29">
        <f>J1609-K1609</f>
        <v/>
      </c>
      <c r="M1609" t="inlineStr">
        <is>
          <t>1.350</t>
        </is>
      </c>
      <c r="N1609" t="inlineStr">
        <is>
          <t>Modalidade: 0 - Por conta do remetente | Parte: TREVO COMERCIO DE EMBALAGENS LTDA (08.178.510/0001-65)</t>
        </is>
      </c>
      <c r="O1609" s="29" t="n">
        <v>0</v>
      </c>
      <c r="P1609" s="29" t="n">
        <v>0</v>
      </c>
      <c r="Q1609" s="29" t="n">
        <v>0</v>
      </c>
      <c r="R1609" s="29" t="n">
        <v>0</v>
      </c>
      <c r="S1609" s="29" t="n">
        <v>0</v>
      </c>
      <c r="T1609" t="inlineStr">
        <is>
          <t>25250626975620000130570010000044371000000000</t>
        </is>
      </c>
      <c r="U1609" t="inlineStr">
        <is>
          <t>Não</t>
        </is>
      </c>
    </row>
    <row r="1610">
      <c r="A1610" t="inlineStr">
        <is>
          <t>Frete de venda</t>
        </is>
      </c>
      <c r="B1610" t="inlineStr">
        <is>
          <t>2.01.02 Frete sobre Vendas</t>
        </is>
      </c>
      <c r="C1610" t="inlineStr">
        <is>
          <t>Antes de 2026</t>
        </is>
      </c>
      <c r="D1610" t="inlineStr">
        <is>
          <t>Antes de 2026</t>
        </is>
      </c>
      <c r="E1610" s="28" t="n">
        <v>45824</v>
      </c>
      <c r="F1610" t="inlineStr">
        <is>
          <t>CT-e</t>
        </is>
      </c>
      <c r="G1610" t="inlineStr">
        <is>
          <t>000004438</t>
        </is>
      </c>
      <c r="H1610" t="inlineStr">
        <is>
          <t>R&amp;R TRANSPORTE E LOGISTICA</t>
        </is>
      </c>
      <c r="J1610" s="29" t="n">
        <v>29.55</v>
      </c>
      <c r="K1610" s="29">
        <f>(1-ISNUMBER(SEARCH("556",M1610)))*(O1610*SUMIFS(Premissas!$C$5:$C$44,Premissas!$A$5:$A$44,$A1610,Premissas!$B$5:$B$44,$B1610)+P1610*SUMIFS(Premissas!$D$5:$D$44,Premissas!$A$5:$A$44,$A1610,Premissas!$B$5:$B$44,$B1610))+R1610*SUMIFS(Premissas!$E$5:$E$44,Premissas!$A$5:$A$44,$A1610,Premissas!$B$5:$B$44,$B1610)+S1610*SUMIFS(Premissas!$F$5:$F$44,Premissas!$A$5:$A$44,$A1610,Premissas!$B$5:$B$44,$B1610)</f>
        <v/>
      </c>
      <c r="L1610" s="29">
        <f>J1610-K1610</f>
        <v/>
      </c>
      <c r="M1610" t="inlineStr">
        <is>
          <t>1.350</t>
        </is>
      </c>
      <c r="N1610" t="inlineStr">
        <is>
          <t>Modalidade: 0 - Por conta do remetente | Parte: MIRAILDE MAZZE PEREIRA LTDA (55.507.471/0001-82)</t>
        </is>
      </c>
      <c r="O1610" s="29" t="n">
        <v>0</v>
      </c>
      <c r="P1610" s="29" t="n">
        <v>0</v>
      </c>
      <c r="Q1610" s="29" t="n">
        <v>0</v>
      </c>
      <c r="R1610" s="29" t="n">
        <v>0</v>
      </c>
      <c r="S1610" s="29" t="n">
        <v>0</v>
      </c>
      <c r="T1610" t="inlineStr">
        <is>
          <t>25250626975620000130570010000044381000000007</t>
        </is>
      </c>
      <c r="U1610" t="inlineStr">
        <is>
          <t>Não</t>
        </is>
      </c>
    </row>
    <row r="1611">
      <c r="A1611" t="inlineStr">
        <is>
          <t>Frete de venda</t>
        </is>
      </c>
      <c r="B1611" t="inlineStr">
        <is>
          <t>2.01.02 Frete sobre Vendas</t>
        </is>
      </c>
      <c r="C1611" t="inlineStr">
        <is>
          <t>Antes de 2026</t>
        </is>
      </c>
      <c r="D1611" t="inlineStr">
        <is>
          <t>Antes de 2026</t>
        </is>
      </c>
      <c r="E1611" s="28" t="n">
        <v>45825</v>
      </c>
      <c r="F1611" t="inlineStr">
        <is>
          <t>CT-e</t>
        </is>
      </c>
      <c r="G1611" t="inlineStr">
        <is>
          <t>000004439</t>
        </is>
      </c>
      <c r="H1611" t="inlineStr">
        <is>
          <t>R&amp;R TRANSPORTE E LOGISTICA</t>
        </is>
      </c>
      <c r="J1611" s="29" t="n">
        <v>41.25</v>
      </c>
      <c r="K1611" s="29">
        <f>(1-ISNUMBER(SEARCH("556",M1611)))*(O1611*SUMIFS(Premissas!$C$5:$C$44,Premissas!$A$5:$A$44,$A1611,Premissas!$B$5:$B$44,$B1611)+P1611*SUMIFS(Premissas!$D$5:$D$44,Premissas!$A$5:$A$44,$A1611,Premissas!$B$5:$B$44,$B1611))+R1611*SUMIFS(Premissas!$E$5:$E$44,Premissas!$A$5:$A$44,$A1611,Premissas!$B$5:$B$44,$B1611)+S1611*SUMIFS(Premissas!$F$5:$F$44,Premissas!$A$5:$A$44,$A1611,Premissas!$B$5:$B$44,$B1611)</f>
        <v/>
      </c>
      <c r="L1611" s="29">
        <f>J1611-K1611</f>
        <v/>
      </c>
      <c r="M1611" t="inlineStr">
        <is>
          <t>1.350</t>
        </is>
      </c>
      <c r="N1611" t="inlineStr">
        <is>
          <t>Modalidade: 0 - Por conta do remetente | Parte: IMPERIO EMBALAGENS LTDA (29.088.541/0001-03)</t>
        </is>
      </c>
      <c r="O1611" s="29" t="n">
        <v>0</v>
      </c>
      <c r="P1611" s="29" t="n">
        <v>0</v>
      </c>
      <c r="Q1611" s="29" t="n">
        <v>0</v>
      </c>
      <c r="R1611" s="29" t="n">
        <v>0</v>
      </c>
      <c r="S1611" s="29" t="n">
        <v>0</v>
      </c>
      <c r="T1611" t="inlineStr">
        <is>
          <t>25250626975620000130570010000044391000000004</t>
        </is>
      </c>
      <c r="U1611" t="inlineStr">
        <is>
          <t>Não</t>
        </is>
      </c>
    </row>
    <row r="1612">
      <c r="A1612" t="inlineStr">
        <is>
          <t>Frete de venda</t>
        </is>
      </c>
      <c r="B1612" t="inlineStr">
        <is>
          <t>2.01.02 Frete sobre Vendas</t>
        </is>
      </c>
      <c r="C1612" t="inlineStr">
        <is>
          <t>Antes de 2026</t>
        </is>
      </c>
      <c r="D1612" t="inlineStr">
        <is>
          <t>Antes de 2026</t>
        </is>
      </c>
      <c r="E1612" s="28" t="n">
        <v>45825</v>
      </c>
      <c r="F1612" t="inlineStr">
        <is>
          <t>CT-e</t>
        </is>
      </c>
      <c r="G1612" t="inlineStr">
        <is>
          <t>000004440</t>
        </is>
      </c>
      <c r="H1612" t="inlineStr">
        <is>
          <t>R&amp;R TRANSPORTE E LOGISTICA</t>
        </is>
      </c>
      <c r="J1612" s="29" t="n">
        <v>37</v>
      </c>
      <c r="K1612" s="29">
        <f>(1-ISNUMBER(SEARCH("556",M1612)))*(O1612*SUMIFS(Premissas!$C$5:$C$44,Premissas!$A$5:$A$44,$A1612,Premissas!$B$5:$B$44,$B1612)+P1612*SUMIFS(Premissas!$D$5:$D$44,Premissas!$A$5:$A$44,$A1612,Premissas!$B$5:$B$44,$B1612))+R1612*SUMIFS(Premissas!$E$5:$E$44,Premissas!$A$5:$A$44,$A1612,Premissas!$B$5:$B$44,$B1612)+S1612*SUMIFS(Premissas!$F$5:$F$44,Premissas!$A$5:$A$44,$A1612,Premissas!$B$5:$B$44,$B1612)</f>
        <v/>
      </c>
      <c r="L1612" s="29">
        <f>J1612-K1612</f>
        <v/>
      </c>
      <c r="M1612" t="inlineStr">
        <is>
          <t>1.350</t>
        </is>
      </c>
      <c r="N1612" t="inlineStr">
        <is>
          <t>Modalidade: 0 - Por conta do remetente | Parte: LA SERAFIM COMERCIO DE EMBALAGENS LTDA (07.797.641/0001-68)</t>
        </is>
      </c>
      <c r="O1612" s="29" t="n">
        <v>0</v>
      </c>
      <c r="P1612" s="29" t="n">
        <v>0</v>
      </c>
      <c r="Q1612" s="29" t="n">
        <v>0</v>
      </c>
      <c r="R1612" s="29" t="n">
        <v>0</v>
      </c>
      <c r="S1612" s="29" t="n">
        <v>0</v>
      </c>
      <c r="T1612" t="inlineStr">
        <is>
          <t>25250626975620000130570010000044401000000005</t>
        </is>
      </c>
      <c r="U1612" t="inlineStr">
        <is>
          <t>Não</t>
        </is>
      </c>
    </row>
    <row r="1613">
      <c r="A1613" t="inlineStr">
        <is>
          <t>Frete de venda</t>
        </is>
      </c>
      <c r="B1613" t="inlineStr">
        <is>
          <t>2.01.02 Frete sobre Vendas</t>
        </is>
      </c>
      <c r="C1613" t="inlineStr">
        <is>
          <t>Antes de 2026</t>
        </is>
      </c>
      <c r="D1613" t="inlineStr">
        <is>
          <t>Antes de 2026</t>
        </is>
      </c>
      <c r="E1613" s="28" t="n">
        <v>45825</v>
      </c>
      <c r="F1613" t="inlineStr">
        <is>
          <t>CT-e</t>
        </is>
      </c>
      <c r="G1613" t="inlineStr">
        <is>
          <t>000004441</t>
        </is>
      </c>
      <c r="H1613" t="inlineStr">
        <is>
          <t>R&amp;R TRANSPORTE E LOGISTICA</t>
        </is>
      </c>
      <c r="J1613" s="29" t="n">
        <v>37.25</v>
      </c>
      <c r="K1613" s="29">
        <f>(1-ISNUMBER(SEARCH("556",M1613)))*(O1613*SUMIFS(Premissas!$C$5:$C$44,Premissas!$A$5:$A$44,$A1613,Premissas!$B$5:$B$44,$B1613)+P1613*SUMIFS(Premissas!$D$5:$D$44,Premissas!$A$5:$A$44,$A1613,Premissas!$B$5:$B$44,$B1613))+R1613*SUMIFS(Premissas!$E$5:$E$44,Premissas!$A$5:$A$44,$A1613,Premissas!$B$5:$B$44,$B1613)+S1613*SUMIFS(Premissas!$F$5:$F$44,Premissas!$A$5:$A$44,$A1613,Premissas!$B$5:$B$44,$B1613)</f>
        <v/>
      </c>
      <c r="L1613" s="29">
        <f>J1613-K1613</f>
        <v/>
      </c>
      <c r="M1613" t="inlineStr">
        <is>
          <t>1.350</t>
        </is>
      </c>
      <c r="N1613" t="inlineStr">
        <is>
          <t>Modalidade: 0 - Por conta do remetente | Parte: BA EMBALAGENS COM ATACADISTA DE EMBALAGENS E BOMBONIERI (09.048.003/0001-70)</t>
        </is>
      </c>
      <c r="O1613" s="29" t="n">
        <v>0</v>
      </c>
      <c r="P1613" s="29" t="n">
        <v>0</v>
      </c>
      <c r="Q1613" s="29" t="n">
        <v>0</v>
      </c>
      <c r="R1613" s="29" t="n">
        <v>0</v>
      </c>
      <c r="S1613" s="29" t="n">
        <v>0</v>
      </c>
      <c r="T1613" t="inlineStr">
        <is>
          <t>25250626975620000130570010000044411000000002</t>
        </is>
      </c>
      <c r="U1613" t="inlineStr">
        <is>
          <t>Não</t>
        </is>
      </c>
    </row>
    <row r="1614">
      <c r="A1614" t="inlineStr">
        <is>
          <t>Frete de venda</t>
        </is>
      </c>
      <c r="B1614" t="inlineStr">
        <is>
          <t>2.01.02 Frete sobre Vendas</t>
        </is>
      </c>
      <c r="C1614" t="inlineStr">
        <is>
          <t>Antes de 2026</t>
        </is>
      </c>
      <c r="D1614" t="inlineStr">
        <is>
          <t>Antes de 2026</t>
        </is>
      </c>
      <c r="E1614" s="28" t="n">
        <v>45825</v>
      </c>
      <c r="F1614" t="inlineStr">
        <is>
          <t>CT-e</t>
        </is>
      </c>
      <c r="G1614" t="inlineStr">
        <is>
          <t>000004442</t>
        </is>
      </c>
      <c r="H1614" t="inlineStr">
        <is>
          <t>R&amp;R TRANSPORTE E LOGISTICA</t>
        </is>
      </c>
      <c r="J1614" s="29" t="n">
        <v>40</v>
      </c>
      <c r="K1614" s="29">
        <f>(1-ISNUMBER(SEARCH("556",M1614)))*(O1614*SUMIFS(Premissas!$C$5:$C$44,Premissas!$A$5:$A$44,$A1614,Premissas!$B$5:$B$44,$B1614)+P1614*SUMIFS(Premissas!$D$5:$D$44,Premissas!$A$5:$A$44,$A1614,Premissas!$B$5:$B$44,$B1614))+R1614*SUMIFS(Premissas!$E$5:$E$44,Premissas!$A$5:$A$44,$A1614,Premissas!$B$5:$B$44,$B1614)+S1614*SUMIFS(Premissas!$F$5:$F$44,Premissas!$A$5:$A$44,$A1614,Premissas!$B$5:$B$44,$B1614)</f>
        <v/>
      </c>
      <c r="L1614" s="29">
        <f>J1614-K1614</f>
        <v/>
      </c>
      <c r="M1614" t="inlineStr">
        <is>
          <t>1.350</t>
        </is>
      </c>
      <c r="N1614" t="inlineStr">
        <is>
          <t>Modalidade: 0 - Por conta do remetente | Parte: COMERCIO DE MIX E ACAI DO VALLE LTDA (36.951.535/0001-95)</t>
        </is>
      </c>
      <c r="O1614" s="29" t="n">
        <v>0</v>
      </c>
      <c r="P1614" s="29" t="n">
        <v>0</v>
      </c>
      <c r="Q1614" s="29" t="n">
        <v>0</v>
      </c>
      <c r="R1614" s="29" t="n">
        <v>0</v>
      </c>
      <c r="S1614" s="29" t="n">
        <v>0</v>
      </c>
      <c r="T1614" t="inlineStr">
        <is>
          <t>25250626975620000130570010000044421000000000</t>
        </is>
      </c>
      <c r="U1614" t="inlineStr">
        <is>
          <t>Não</t>
        </is>
      </c>
    </row>
    <row r="1615">
      <c r="A1615" t="inlineStr">
        <is>
          <t>Frete de venda</t>
        </is>
      </c>
      <c r="B1615" t="inlineStr">
        <is>
          <t>2.01.02 Frete sobre Vendas</t>
        </is>
      </c>
      <c r="C1615" t="inlineStr">
        <is>
          <t>Antes de 2026</t>
        </is>
      </c>
      <c r="D1615" t="inlineStr">
        <is>
          <t>Antes de 2026</t>
        </is>
      </c>
      <c r="E1615" s="28" t="n">
        <v>45825</v>
      </c>
      <c r="F1615" t="inlineStr">
        <is>
          <t>CT-e</t>
        </is>
      </c>
      <c r="G1615" t="inlineStr">
        <is>
          <t>000004443</t>
        </is>
      </c>
      <c r="H1615" t="inlineStr">
        <is>
          <t>R&amp;R TRANSPORTE E LOGISTICA</t>
        </is>
      </c>
      <c r="J1615" s="29" t="n">
        <v>47</v>
      </c>
      <c r="K1615" s="29">
        <f>(1-ISNUMBER(SEARCH("556",M1615)))*(O1615*SUMIFS(Premissas!$C$5:$C$44,Premissas!$A$5:$A$44,$A1615,Premissas!$B$5:$B$44,$B1615)+P1615*SUMIFS(Premissas!$D$5:$D$44,Premissas!$A$5:$A$44,$A1615,Premissas!$B$5:$B$44,$B1615))+R1615*SUMIFS(Premissas!$E$5:$E$44,Premissas!$A$5:$A$44,$A1615,Premissas!$B$5:$B$44,$B1615)+S1615*SUMIFS(Premissas!$F$5:$F$44,Premissas!$A$5:$A$44,$A1615,Premissas!$B$5:$B$44,$B1615)</f>
        <v/>
      </c>
      <c r="L1615" s="29">
        <f>J1615-K1615</f>
        <v/>
      </c>
      <c r="M1615" t="inlineStr">
        <is>
          <t>1.350</t>
        </is>
      </c>
      <c r="N1615" t="inlineStr">
        <is>
          <t>Modalidade: 0 - Por conta do remetente | Parte: AURIZETE BEZERRA DE CERQUEIRA ANDRADE (05.459.500/0001-00)</t>
        </is>
      </c>
      <c r="O1615" s="29" t="n">
        <v>0</v>
      </c>
      <c r="P1615" s="29" t="n">
        <v>0</v>
      </c>
      <c r="Q1615" s="29" t="n">
        <v>0</v>
      </c>
      <c r="R1615" s="29" t="n">
        <v>0</v>
      </c>
      <c r="S1615" s="29" t="n">
        <v>0</v>
      </c>
      <c r="T1615" t="inlineStr">
        <is>
          <t>25250626975620000130570010000044431000000007</t>
        </is>
      </c>
      <c r="U1615" t="inlineStr">
        <is>
          <t>Não</t>
        </is>
      </c>
    </row>
    <row r="1616">
      <c r="A1616" t="inlineStr">
        <is>
          <t>Frete de venda</t>
        </is>
      </c>
      <c r="B1616" t="inlineStr">
        <is>
          <t>2.01.02 Frete sobre Vendas</t>
        </is>
      </c>
      <c r="C1616" t="inlineStr">
        <is>
          <t>Antes de 2026</t>
        </is>
      </c>
      <c r="D1616" t="inlineStr">
        <is>
          <t>Antes de 2026</t>
        </is>
      </c>
      <c r="E1616" s="28" t="n">
        <v>45826</v>
      </c>
      <c r="F1616" t="inlineStr">
        <is>
          <t>CT-e</t>
        </is>
      </c>
      <c r="G1616" t="inlineStr">
        <is>
          <t>000004454</t>
        </is>
      </c>
      <c r="H1616" t="inlineStr">
        <is>
          <t>R&amp;R TRANSPORTE E LOGISTICA</t>
        </is>
      </c>
      <c r="J1616" s="29" t="n">
        <v>195.54</v>
      </c>
      <c r="K1616" s="29">
        <f>(1-ISNUMBER(SEARCH("556",M1616)))*(O1616*SUMIFS(Premissas!$C$5:$C$44,Premissas!$A$5:$A$44,$A1616,Premissas!$B$5:$B$44,$B1616)+P1616*SUMIFS(Premissas!$D$5:$D$44,Premissas!$A$5:$A$44,$A1616,Premissas!$B$5:$B$44,$B1616))+R1616*SUMIFS(Premissas!$E$5:$E$44,Premissas!$A$5:$A$44,$A1616,Premissas!$B$5:$B$44,$B1616)+S1616*SUMIFS(Premissas!$F$5:$F$44,Premissas!$A$5:$A$44,$A1616,Premissas!$B$5:$B$44,$B1616)</f>
        <v/>
      </c>
      <c r="L1616" s="29">
        <f>J1616-K1616</f>
        <v/>
      </c>
      <c r="M1616" t="inlineStr">
        <is>
          <t>1.350</t>
        </is>
      </c>
      <c r="N1616" t="inlineStr">
        <is>
          <t>Modalidade: 0 - Por conta do remetente | Parte: M N L FLORENTINO LTDA (47.068.852/0001-84)</t>
        </is>
      </c>
      <c r="O1616" s="29" t="n">
        <v>0</v>
      </c>
      <c r="P1616" s="29" t="n">
        <v>0</v>
      </c>
      <c r="Q1616" s="29" t="n">
        <v>0</v>
      </c>
      <c r="R1616" s="29" t="n">
        <v>0</v>
      </c>
      <c r="S1616" s="29" t="n">
        <v>0</v>
      </c>
      <c r="T1616" t="inlineStr">
        <is>
          <t>25250626975620000130570010000044541000000000</t>
        </is>
      </c>
      <c r="U1616" t="inlineStr">
        <is>
          <t>Não</t>
        </is>
      </c>
    </row>
    <row r="1617">
      <c r="A1617" t="inlineStr">
        <is>
          <t>Frete de venda</t>
        </is>
      </c>
      <c r="B1617" t="inlineStr">
        <is>
          <t>2.01.02 Frete sobre Vendas</t>
        </is>
      </c>
      <c r="C1617" t="inlineStr">
        <is>
          <t>Antes de 2026</t>
        </is>
      </c>
      <c r="D1617" t="inlineStr">
        <is>
          <t>Antes de 2026</t>
        </is>
      </c>
      <c r="E1617" s="28" t="n">
        <v>45827</v>
      </c>
      <c r="F1617" t="inlineStr">
        <is>
          <t>CT-e</t>
        </is>
      </c>
      <c r="G1617" t="inlineStr">
        <is>
          <t>000004456</t>
        </is>
      </c>
      <c r="H1617" t="inlineStr">
        <is>
          <t>R&amp;R TRANSPORTE E LOGISTICA</t>
        </is>
      </c>
      <c r="J1617" s="29" t="n">
        <v>61</v>
      </c>
      <c r="K1617" s="29">
        <f>(1-ISNUMBER(SEARCH("556",M1617)))*(O1617*SUMIFS(Premissas!$C$5:$C$44,Premissas!$A$5:$A$44,$A1617,Premissas!$B$5:$B$44,$B1617)+P1617*SUMIFS(Premissas!$D$5:$D$44,Premissas!$A$5:$A$44,$A1617,Premissas!$B$5:$B$44,$B1617))+R1617*SUMIFS(Premissas!$E$5:$E$44,Premissas!$A$5:$A$44,$A1617,Premissas!$B$5:$B$44,$B1617)+S1617*SUMIFS(Premissas!$F$5:$F$44,Premissas!$A$5:$A$44,$A1617,Premissas!$B$5:$B$44,$B1617)</f>
        <v/>
      </c>
      <c r="L1617" s="29">
        <f>J1617-K1617</f>
        <v/>
      </c>
      <c r="M1617" t="inlineStr">
        <is>
          <t>1.350</t>
        </is>
      </c>
      <c r="N1617" t="inlineStr">
        <is>
          <t>Modalidade: 0 - Por conta do remetente | Parte: DOCA COMERCIO DE PRODUTOS ALIMENTICIOS LTDA (15.258.788/0003-70)</t>
        </is>
      </c>
      <c r="O1617" s="29" t="n">
        <v>0</v>
      </c>
      <c r="P1617" s="29" t="n">
        <v>0</v>
      </c>
      <c r="Q1617" s="29" t="n">
        <v>0</v>
      </c>
      <c r="R1617" s="29" t="n">
        <v>0</v>
      </c>
      <c r="S1617" s="29" t="n">
        <v>0</v>
      </c>
      <c r="T1617" t="inlineStr">
        <is>
          <t>25250626975620000130570010000044561000000005</t>
        </is>
      </c>
      <c r="U1617" t="inlineStr">
        <is>
          <t>Não</t>
        </is>
      </c>
    </row>
    <row r="1618">
      <c r="A1618" t="inlineStr">
        <is>
          <t>Frete de venda</t>
        </is>
      </c>
      <c r="B1618" t="inlineStr">
        <is>
          <t>2.01.02 Frete sobre Vendas</t>
        </is>
      </c>
      <c r="C1618" t="inlineStr">
        <is>
          <t>Antes de 2026</t>
        </is>
      </c>
      <c r="D1618" t="inlineStr">
        <is>
          <t>Antes de 2026</t>
        </is>
      </c>
      <c r="E1618" s="28" t="n">
        <v>45827</v>
      </c>
      <c r="F1618" t="inlineStr">
        <is>
          <t>CT-e</t>
        </is>
      </c>
      <c r="G1618" t="inlineStr">
        <is>
          <t>000004457</t>
        </is>
      </c>
      <c r="H1618" t="inlineStr">
        <is>
          <t>R&amp;R TRANSPORTE E LOGISTICA</t>
        </is>
      </c>
      <c r="J1618" s="29" t="n">
        <v>63</v>
      </c>
      <c r="K1618" s="29">
        <f>(1-ISNUMBER(SEARCH("556",M1618)))*(O1618*SUMIFS(Premissas!$C$5:$C$44,Premissas!$A$5:$A$44,$A1618,Premissas!$B$5:$B$44,$B1618)+P1618*SUMIFS(Premissas!$D$5:$D$44,Premissas!$A$5:$A$44,$A1618,Premissas!$B$5:$B$44,$B1618))+R1618*SUMIFS(Premissas!$E$5:$E$44,Premissas!$A$5:$A$44,$A1618,Premissas!$B$5:$B$44,$B1618)+S1618*SUMIFS(Premissas!$F$5:$F$44,Premissas!$A$5:$A$44,$A1618,Premissas!$B$5:$B$44,$B1618)</f>
        <v/>
      </c>
      <c r="L1618" s="29">
        <f>J1618-K1618</f>
        <v/>
      </c>
      <c r="M1618" t="inlineStr">
        <is>
          <t>1.350</t>
        </is>
      </c>
      <c r="N1618" t="inlineStr">
        <is>
          <t>Modalidade: 0 - Por conta do remetente | Parte: DOCA COMERCIO DE PRODUTOS ALIMENTICIOS LTDA (15.258.788/0001-08)</t>
        </is>
      </c>
      <c r="O1618" s="29" t="n">
        <v>0</v>
      </c>
      <c r="P1618" s="29" t="n">
        <v>0</v>
      </c>
      <c r="Q1618" s="29" t="n">
        <v>0</v>
      </c>
      <c r="R1618" s="29" t="n">
        <v>0</v>
      </c>
      <c r="S1618" s="29" t="n">
        <v>0</v>
      </c>
      <c r="T1618" t="inlineStr">
        <is>
          <t>25250626975620000130570010000044571000000002</t>
        </is>
      </c>
      <c r="U1618" t="inlineStr">
        <is>
          <t>Não</t>
        </is>
      </c>
    </row>
    <row r="1619">
      <c r="A1619" t="inlineStr">
        <is>
          <t>Frete de venda</t>
        </is>
      </c>
      <c r="B1619" t="inlineStr">
        <is>
          <t>2.01.02 Frete sobre Vendas</t>
        </is>
      </c>
      <c r="C1619" t="inlineStr">
        <is>
          <t>Antes de 2026</t>
        </is>
      </c>
      <c r="D1619" t="inlineStr">
        <is>
          <t>Antes de 2026</t>
        </is>
      </c>
      <c r="E1619" s="28" t="n">
        <v>45827</v>
      </c>
      <c r="F1619" t="inlineStr">
        <is>
          <t>CT-e</t>
        </is>
      </c>
      <c r="G1619" t="inlineStr">
        <is>
          <t>000004458</t>
        </is>
      </c>
      <c r="H1619" t="inlineStr">
        <is>
          <t>R&amp;R TRANSPORTE E LOGISTICA</t>
        </is>
      </c>
      <c r="J1619" s="29" t="n">
        <v>64.40000000000001</v>
      </c>
      <c r="K1619" s="29">
        <f>(1-ISNUMBER(SEARCH("556",M1619)))*(O1619*SUMIFS(Premissas!$C$5:$C$44,Premissas!$A$5:$A$44,$A1619,Premissas!$B$5:$B$44,$B1619)+P1619*SUMIFS(Premissas!$D$5:$D$44,Premissas!$A$5:$A$44,$A1619,Premissas!$B$5:$B$44,$B1619))+R1619*SUMIFS(Premissas!$E$5:$E$44,Premissas!$A$5:$A$44,$A1619,Premissas!$B$5:$B$44,$B1619)+S1619*SUMIFS(Premissas!$F$5:$F$44,Premissas!$A$5:$A$44,$A1619,Premissas!$B$5:$B$44,$B1619)</f>
        <v/>
      </c>
      <c r="L1619" s="29">
        <f>J1619-K1619</f>
        <v/>
      </c>
      <c r="M1619" t="inlineStr">
        <is>
          <t>1.350</t>
        </is>
      </c>
      <c r="N1619" t="inlineStr">
        <is>
          <t>Modalidade: 0 - Por conta do remetente | Parte: JND DISTRIBUIDORA LTDA (36.332.668/0001-83)</t>
        </is>
      </c>
      <c r="O1619" s="29" t="n">
        <v>0</v>
      </c>
      <c r="P1619" s="29" t="n">
        <v>0</v>
      </c>
      <c r="Q1619" s="29" t="n">
        <v>0</v>
      </c>
      <c r="R1619" s="29" t="n">
        <v>0</v>
      </c>
      <c r="S1619" s="29" t="n">
        <v>0</v>
      </c>
      <c r="T1619" t="inlineStr">
        <is>
          <t>25250626975620000130570010000044581000000000</t>
        </is>
      </c>
      <c r="U1619" t="inlineStr">
        <is>
          <t>Não</t>
        </is>
      </c>
    </row>
    <row r="1620">
      <c r="A1620" t="inlineStr">
        <is>
          <t>Frete de venda</t>
        </is>
      </c>
      <c r="B1620" t="inlineStr">
        <is>
          <t>2.01.02 Frete sobre Vendas</t>
        </is>
      </c>
      <c r="C1620" t="inlineStr">
        <is>
          <t>Antes de 2026</t>
        </is>
      </c>
      <c r="D1620" t="inlineStr">
        <is>
          <t>Antes de 2026</t>
        </is>
      </c>
      <c r="E1620" s="28" t="n">
        <v>45831</v>
      </c>
      <c r="F1620" t="inlineStr">
        <is>
          <t>CT-e</t>
        </is>
      </c>
      <c r="G1620" t="inlineStr">
        <is>
          <t>000004473</t>
        </is>
      </c>
      <c r="H1620" t="inlineStr">
        <is>
          <t>R&amp;R TRANSPORTE E LOGISTICA</t>
        </is>
      </c>
      <c r="J1620" s="29" t="n">
        <v>41.55</v>
      </c>
      <c r="K1620" s="29">
        <f>(1-ISNUMBER(SEARCH("556",M1620)))*(O1620*SUMIFS(Premissas!$C$5:$C$44,Premissas!$A$5:$A$44,$A1620,Premissas!$B$5:$B$44,$B1620)+P1620*SUMIFS(Premissas!$D$5:$D$44,Premissas!$A$5:$A$44,$A1620,Premissas!$B$5:$B$44,$B1620))+R1620*SUMIFS(Premissas!$E$5:$E$44,Premissas!$A$5:$A$44,$A1620,Premissas!$B$5:$B$44,$B1620)+S1620*SUMIFS(Premissas!$F$5:$F$44,Premissas!$A$5:$A$44,$A1620,Premissas!$B$5:$B$44,$B1620)</f>
        <v/>
      </c>
      <c r="L1620" s="29">
        <f>J1620-K1620</f>
        <v/>
      </c>
      <c r="M1620" t="inlineStr">
        <is>
          <t>1.350</t>
        </is>
      </c>
      <c r="N1620" t="inlineStr">
        <is>
          <t>Modalidade: 0 - Por conta do remetente | Parte: BEBIFRIOS COMERCIAL LTDA (05.796.195/0001-41)</t>
        </is>
      </c>
      <c r="O1620" s="29" t="n">
        <v>0</v>
      </c>
      <c r="P1620" s="29" t="n">
        <v>0</v>
      </c>
      <c r="Q1620" s="29" t="n">
        <v>0</v>
      </c>
      <c r="R1620" s="29" t="n">
        <v>0</v>
      </c>
      <c r="S1620" s="29" t="n">
        <v>0</v>
      </c>
      <c r="T1620" t="inlineStr">
        <is>
          <t>25250626975620000130570010000044731000000006</t>
        </is>
      </c>
      <c r="U1620" t="inlineStr">
        <is>
          <t>Não</t>
        </is>
      </c>
    </row>
    <row r="1621">
      <c r="A1621" t="inlineStr">
        <is>
          <t>Frete de venda</t>
        </is>
      </c>
      <c r="B1621" t="inlineStr">
        <is>
          <t>2.01.02 Frete sobre Vendas</t>
        </is>
      </c>
      <c r="C1621" t="inlineStr">
        <is>
          <t>Antes de 2026</t>
        </is>
      </c>
      <c r="D1621" t="inlineStr">
        <is>
          <t>Antes de 2026</t>
        </is>
      </c>
      <c r="E1621" s="28" t="n">
        <v>45831</v>
      </c>
      <c r="F1621" t="inlineStr">
        <is>
          <t>CT-e</t>
        </is>
      </c>
      <c r="G1621" t="inlineStr">
        <is>
          <t>000004474</t>
        </is>
      </c>
      <c r="H1621" t="inlineStr">
        <is>
          <t>R&amp;R TRANSPORTE E LOGISTICA</t>
        </is>
      </c>
      <c r="J1621" s="29" t="n">
        <v>41.21</v>
      </c>
      <c r="K1621" s="29">
        <f>(1-ISNUMBER(SEARCH("556",M1621)))*(O1621*SUMIFS(Premissas!$C$5:$C$44,Premissas!$A$5:$A$44,$A1621,Premissas!$B$5:$B$44,$B1621)+P1621*SUMIFS(Premissas!$D$5:$D$44,Premissas!$A$5:$A$44,$A1621,Premissas!$B$5:$B$44,$B1621))+R1621*SUMIFS(Premissas!$E$5:$E$44,Premissas!$A$5:$A$44,$A1621,Premissas!$B$5:$B$44,$B1621)+S1621*SUMIFS(Premissas!$F$5:$F$44,Premissas!$A$5:$A$44,$A1621,Premissas!$B$5:$B$44,$B1621)</f>
        <v/>
      </c>
      <c r="L1621" s="29">
        <f>J1621-K1621</f>
        <v/>
      </c>
      <c r="M1621" t="inlineStr">
        <is>
          <t>1.350</t>
        </is>
      </c>
      <c r="N1621" t="inlineStr">
        <is>
          <t>Modalidade: 0 - Por conta do remetente | Parte: J.M.N DA SILVA (07.790.026/0001-20)</t>
        </is>
      </c>
      <c r="O1621" s="29" t="n">
        <v>0</v>
      </c>
      <c r="P1621" s="29" t="n">
        <v>0</v>
      </c>
      <c r="Q1621" s="29" t="n">
        <v>0</v>
      </c>
      <c r="R1621" s="29" t="n">
        <v>0</v>
      </c>
      <c r="S1621" s="29" t="n">
        <v>0</v>
      </c>
      <c r="T1621" t="inlineStr">
        <is>
          <t>25250626975620000130570010000044741000000003</t>
        </is>
      </c>
      <c r="U1621" t="inlineStr">
        <is>
          <t>Não</t>
        </is>
      </c>
    </row>
    <row r="1622">
      <c r="A1622" t="inlineStr">
        <is>
          <t>Frete de venda</t>
        </is>
      </c>
      <c r="B1622" t="inlineStr">
        <is>
          <t>2.01.02 Frete sobre Vendas</t>
        </is>
      </c>
      <c r="C1622" t="inlineStr">
        <is>
          <t>Antes de 2026</t>
        </is>
      </c>
      <c r="D1622" t="inlineStr">
        <is>
          <t>Antes de 2026</t>
        </is>
      </c>
      <c r="E1622" s="28" t="n">
        <v>45831</v>
      </c>
      <c r="F1622" t="inlineStr">
        <is>
          <t>CT-e</t>
        </is>
      </c>
      <c r="G1622" t="inlineStr">
        <is>
          <t>000004475</t>
        </is>
      </c>
      <c r="H1622" t="inlineStr">
        <is>
          <t>R&amp;R TRANSPORTE E LOGISTICA</t>
        </is>
      </c>
      <c r="J1622" s="29" t="n">
        <v>39.82</v>
      </c>
      <c r="K1622" s="29">
        <f>(1-ISNUMBER(SEARCH("556",M1622)))*(O1622*SUMIFS(Premissas!$C$5:$C$44,Premissas!$A$5:$A$44,$A1622,Premissas!$B$5:$B$44,$B1622)+P1622*SUMIFS(Premissas!$D$5:$D$44,Premissas!$A$5:$A$44,$A1622,Premissas!$B$5:$B$44,$B1622))+R1622*SUMIFS(Premissas!$E$5:$E$44,Premissas!$A$5:$A$44,$A1622,Premissas!$B$5:$B$44,$B1622)+S1622*SUMIFS(Premissas!$F$5:$F$44,Premissas!$A$5:$A$44,$A1622,Premissas!$B$5:$B$44,$B1622)</f>
        <v/>
      </c>
      <c r="L1622" s="29">
        <f>J1622-K1622</f>
        <v/>
      </c>
      <c r="M1622" t="inlineStr">
        <is>
          <t>1.350</t>
        </is>
      </c>
      <c r="N1622" t="inlineStr">
        <is>
          <t>Modalidade: 0 - Por conta do remetente | Parte: JF EMBALAGENS LTDA (56.001.427/0001-69)</t>
        </is>
      </c>
      <c r="O1622" s="29" t="n">
        <v>0</v>
      </c>
      <c r="P1622" s="29" t="n">
        <v>0</v>
      </c>
      <c r="Q1622" s="29" t="n">
        <v>0</v>
      </c>
      <c r="R1622" s="29" t="n">
        <v>0</v>
      </c>
      <c r="S1622" s="29" t="n">
        <v>0</v>
      </c>
      <c r="T1622" t="inlineStr">
        <is>
          <t>25250626975620000130570010000044751000000000</t>
        </is>
      </c>
      <c r="U1622" t="inlineStr">
        <is>
          <t>Não</t>
        </is>
      </c>
    </row>
    <row r="1623">
      <c r="A1623" t="inlineStr">
        <is>
          <t>Frete de venda</t>
        </is>
      </c>
      <c r="B1623" t="inlineStr">
        <is>
          <t>2.01.02 Frete sobre Vendas</t>
        </is>
      </c>
      <c r="C1623" t="inlineStr">
        <is>
          <t>Antes de 2026</t>
        </is>
      </c>
      <c r="D1623" t="inlineStr">
        <is>
          <t>Antes de 2026</t>
        </is>
      </c>
      <c r="E1623" s="28" t="n">
        <v>45831</v>
      </c>
      <c r="F1623" t="inlineStr">
        <is>
          <t>CT-e</t>
        </is>
      </c>
      <c r="G1623" t="inlineStr">
        <is>
          <t>000004476</t>
        </is>
      </c>
      <c r="H1623" t="inlineStr">
        <is>
          <t>R&amp;R TRANSPORTE E LOGISTICA</t>
        </is>
      </c>
      <c r="J1623" s="29" t="n">
        <v>41.25</v>
      </c>
      <c r="K1623" s="29">
        <f>(1-ISNUMBER(SEARCH("556",M1623)))*(O1623*SUMIFS(Premissas!$C$5:$C$44,Premissas!$A$5:$A$44,$A1623,Premissas!$B$5:$B$44,$B1623)+P1623*SUMIFS(Premissas!$D$5:$D$44,Premissas!$A$5:$A$44,$A1623,Premissas!$B$5:$B$44,$B1623))+R1623*SUMIFS(Premissas!$E$5:$E$44,Premissas!$A$5:$A$44,$A1623,Premissas!$B$5:$B$44,$B1623)+S1623*SUMIFS(Premissas!$F$5:$F$44,Premissas!$A$5:$A$44,$A1623,Premissas!$B$5:$B$44,$B1623)</f>
        <v/>
      </c>
      <c r="L1623" s="29">
        <f>J1623-K1623</f>
        <v/>
      </c>
      <c r="M1623" t="inlineStr">
        <is>
          <t>1.350</t>
        </is>
      </c>
      <c r="N1623" t="inlineStr">
        <is>
          <t>Modalidade: 0 - Por conta do remetente | Parte: LUCIANA DINIZ FERREIRA ZANINI (30.190.040/0001-04)</t>
        </is>
      </c>
      <c r="O1623" s="29" t="n">
        <v>0</v>
      </c>
      <c r="P1623" s="29" t="n">
        <v>0</v>
      </c>
      <c r="Q1623" s="29" t="n">
        <v>0</v>
      </c>
      <c r="R1623" s="29" t="n">
        <v>0</v>
      </c>
      <c r="S1623" s="29" t="n">
        <v>0</v>
      </c>
      <c r="T1623" t="inlineStr">
        <is>
          <t>25250626975620000130570010000044761000000008</t>
        </is>
      </c>
      <c r="U1623" t="inlineStr">
        <is>
          <t>Não</t>
        </is>
      </c>
    </row>
    <row r="1624">
      <c r="A1624" t="inlineStr">
        <is>
          <t>Frete de venda</t>
        </is>
      </c>
      <c r="B1624" t="inlineStr">
        <is>
          <t>2.01.02 Frete sobre Vendas</t>
        </is>
      </c>
      <c r="C1624" t="inlineStr">
        <is>
          <t>Antes de 2026</t>
        </is>
      </c>
      <c r="D1624" t="inlineStr">
        <is>
          <t>Antes de 2026</t>
        </is>
      </c>
      <c r="E1624" s="28" t="n">
        <v>45831</v>
      </c>
      <c r="F1624" t="inlineStr">
        <is>
          <t>CT-e</t>
        </is>
      </c>
      <c r="G1624" t="inlineStr">
        <is>
          <t>000004477</t>
        </is>
      </c>
      <c r="H1624" t="inlineStr">
        <is>
          <t>R&amp;R TRANSPORTE E LOGISTICA</t>
        </is>
      </c>
      <c r="J1624" s="29" t="n">
        <v>25.21</v>
      </c>
      <c r="K1624" s="29">
        <f>(1-ISNUMBER(SEARCH("556",M1624)))*(O1624*SUMIFS(Premissas!$C$5:$C$44,Premissas!$A$5:$A$44,$A1624,Premissas!$B$5:$B$44,$B1624)+P1624*SUMIFS(Premissas!$D$5:$D$44,Premissas!$A$5:$A$44,$A1624,Premissas!$B$5:$B$44,$B1624))+R1624*SUMIFS(Premissas!$E$5:$E$44,Premissas!$A$5:$A$44,$A1624,Premissas!$B$5:$B$44,$B1624)+S1624*SUMIFS(Premissas!$F$5:$F$44,Premissas!$A$5:$A$44,$A1624,Premissas!$B$5:$B$44,$B1624)</f>
        <v/>
      </c>
      <c r="L1624" s="29">
        <f>J1624-K1624</f>
        <v/>
      </c>
      <c r="M1624" t="inlineStr">
        <is>
          <t>1.350</t>
        </is>
      </c>
      <c r="N1624" t="inlineStr">
        <is>
          <t>Modalidade: 0 - Por conta do remetente | Parte: ARMAZEM E FRUTEIRA CAMEL LTDA (90.317.611/0001-50)</t>
        </is>
      </c>
      <c r="O1624" s="29" t="n">
        <v>0</v>
      </c>
      <c r="P1624" s="29" t="n">
        <v>0</v>
      </c>
      <c r="Q1624" s="29" t="n">
        <v>0</v>
      </c>
      <c r="R1624" s="29" t="n">
        <v>0</v>
      </c>
      <c r="S1624" s="29" t="n">
        <v>0</v>
      </c>
      <c r="T1624" t="inlineStr">
        <is>
          <t>25250626975620000130570010000044771000000005</t>
        </is>
      </c>
      <c r="U1624" t="inlineStr">
        <is>
          <t>Não</t>
        </is>
      </c>
    </row>
    <row r="1625">
      <c r="A1625" t="inlineStr">
        <is>
          <t>Frete de venda</t>
        </is>
      </c>
      <c r="B1625" t="inlineStr">
        <is>
          <t>2.01.02 Frete sobre Vendas</t>
        </is>
      </c>
      <c r="C1625" t="inlineStr">
        <is>
          <t>Antes de 2026</t>
        </is>
      </c>
      <c r="D1625" t="inlineStr">
        <is>
          <t>Antes de 2026</t>
        </is>
      </c>
      <c r="E1625" s="28" t="n">
        <v>45831</v>
      </c>
      <c r="F1625" t="inlineStr">
        <is>
          <t>CT-e</t>
        </is>
      </c>
      <c r="G1625" t="inlineStr">
        <is>
          <t>000004478</t>
        </is>
      </c>
      <c r="H1625" t="inlineStr">
        <is>
          <t>R&amp;R TRANSPORTE E LOGISTICA</t>
        </is>
      </c>
      <c r="J1625" s="29" t="n">
        <v>37.52</v>
      </c>
      <c r="K1625" s="29">
        <f>(1-ISNUMBER(SEARCH("556",M1625)))*(O1625*SUMIFS(Premissas!$C$5:$C$44,Premissas!$A$5:$A$44,$A1625,Premissas!$B$5:$B$44,$B1625)+P1625*SUMIFS(Premissas!$D$5:$D$44,Premissas!$A$5:$A$44,$A1625,Premissas!$B$5:$B$44,$B1625))+R1625*SUMIFS(Premissas!$E$5:$E$44,Premissas!$A$5:$A$44,$A1625,Premissas!$B$5:$B$44,$B1625)+S1625*SUMIFS(Premissas!$F$5:$F$44,Premissas!$A$5:$A$44,$A1625,Premissas!$B$5:$B$44,$B1625)</f>
        <v/>
      </c>
      <c r="L1625" s="29">
        <f>J1625-K1625</f>
        <v/>
      </c>
      <c r="M1625" t="inlineStr">
        <is>
          <t>1.350</t>
        </is>
      </c>
      <c r="N1625" t="inlineStr">
        <is>
          <t>Modalidade: 0 - Por conta do remetente | Parte: COMERCIAL CARAPA DE SECOS E MOLHADOS LTDA (03.790.904/0002-37)</t>
        </is>
      </c>
      <c r="O1625" s="29" t="n">
        <v>0</v>
      </c>
      <c r="P1625" s="29" t="n">
        <v>0</v>
      </c>
      <c r="Q1625" s="29" t="n">
        <v>0</v>
      </c>
      <c r="R1625" s="29" t="n">
        <v>0</v>
      </c>
      <c r="S1625" s="29" t="n">
        <v>0</v>
      </c>
      <c r="T1625" t="inlineStr">
        <is>
          <t>25250626975620000130570010000044781000000002</t>
        </is>
      </c>
      <c r="U1625" t="inlineStr">
        <is>
          <t>Não</t>
        </is>
      </c>
    </row>
    <row r="1626">
      <c r="A1626" t="inlineStr">
        <is>
          <t>Frete de venda</t>
        </is>
      </c>
      <c r="B1626" t="inlineStr">
        <is>
          <t>2.01.02 Frete sobre Vendas</t>
        </is>
      </c>
      <c r="C1626" t="inlineStr">
        <is>
          <t>Antes de 2026</t>
        </is>
      </c>
      <c r="D1626" t="inlineStr">
        <is>
          <t>Antes de 2026</t>
        </is>
      </c>
      <c r="E1626" s="28" t="n">
        <v>45831</v>
      </c>
      <c r="F1626" t="inlineStr">
        <is>
          <t>CT-e</t>
        </is>
      </c>
      <c r="G1626" t="inlineStr">
        <is>
          <t>000004479</t>
        </is>
      </c>
      <c r="H1626" t="inlineStr">
        <is>
          <t>R&amp;R TRANSPORTE E LOGISTICA</t>
        </is>
      </c>
      <c r="J1626" s="29" t="n">
        <v>47.05</v>
      </c>
      <c r="K1626" s="29">
        <f>(1-ISNUMBER(SEARCH("556",M1626)))*(O1626*SUMIFS(Premissas!$C$5:$C$44,Premissas!$A$5:$A$44,$A1626,Premissas!$B$5:$B$44,$B1626)+P1626*SUMIFS(Premissas!$D$5:$D$44,Premissas!$A$5:$A$44,$A1626,Premissas!$B$5:$B$44,$B1626))+R1626*SUMIFS(Premissas!$E$5:$E$44,Premissas!$A$5:$A$44,$A1626,Premissas!$B$5:$B$44,$B1626)+S1626*SUMIFS(Premissas!$F$5:$F$44,Premissas!$A$5:$A$44,$A1626,Premissas!$B$5:$B$44,$B1626)</f>
        <v/>
      </c>
      <c r="L1626" s="29">
        <f>J1626-K1626</f>
        <v/>
      </c>
      <c r="M1626" t="inlineStr">
        <is>
          <t>1.350</t>
        </is>
      </c>
      <c r="N1626" t="inlineStr">
        <is>
          <t>Modalidade: 0 - Por conta do remetente | Parte: INDUSTRIAL E COMERCIAL ALMEIDA LTDA (02.623.537/0010-24)</t>
        </is>
      </c>
      <c r="O1626" s="29" t="n">
        <v>0</v>
      </c>
      <c r="P1626" s="29" t="n">
        <v>0</v>
      </c>
      <c r="Q1626" s="29" t="n">
        <v>0</v>
      </c>
      <c r="R1626" s="29" t="n">
        <v>0</v>
      </c>
      <c r="S1626" s="29" t="n">
        <v>0</v>
      </c>
      <c r="T1626" t="inlineStr">
        <is>
          <t>25250626975620000130570010000044791000000000</t>
        </is>
      </c>
      <c r="U1626" t="inlineStr">
        <is>
          <t>Não</t>
        </is>
      </c>
    </row>
    <row r="1627">
      <c r="A1627" t="inlineStr">
        <is>
          <t>Frete de venda</t>
        </is>
      </c>
      <c r="B1627" t="inlineStr">
        <is>
          <t>2.01.02 Frete sobre Vendas</t>
        </is>
      </c>
      <c r="C1627" t="inlineStr">
        <is>
          <t>Antes de 2026</t>
        </is>
      </c>
      <c r="D1627" t="inlineStr">
        <is>
          <t>Antes de 2026</t>
        </is>
      </c>
      <c r="E1627" s="28" t="n">
        <v>45831</v>
      </c>
      <c r="F1627" t="inlineStr">
        <is>
          <t>CT-e</t>
        </is>
      </c>
      <c r="G1627" t="inlineStr">
        <is>
          <t>000004480</t>
        </is>
      </c>
      <c r="H1627" t="inlineStr">
        <is>
          <t>R&amp;R TRANSPORTE E LOGISTICA</t>
        </is>
      </c>
      <c r="J1627" s="29" t="n">
        <v>47.03</v>
      </c>
      <c r="K1627" s="29">
        <f>(1-ISNUMBER(SEARCH("556",M1627)))*(O1627*SUMIFS(Premissas!$C$5:$C$44,Premissas!$A$5:$A$44,$A1627,Premissas!$B$5:$B$44,$B1627)+P1627*SUMIFS(Premissas!$D$5:$D$44,Premissas!$A$5:$A$44,$A1627,Premissas!$B$5:$B$44,$B1627))+R1627*SUMIFS(Premissas!$E$5:$E$44,Premissas!$A$5:$A$44,$A1627,Premissas!$B$5:$B$44,$B1627)+S1627*SUMIFS(Premissas!$F$5:$F$44,Premissas!$A$5:$A$44,$A1627,Premissas!$B$5:$B$44,$B1627)</f>
        <v/>
      </c>
      <c r="L1627" s="29">
        <f>J1627-K1627</f>
        <v/>
      </c>
      <c r="M1627" t="inlineStr">
        <is>
          <t>1.350</t>
        </is>
      </c>
      <c r="N1627" t="inlineStr">
        <is>
          <t>Modalidade: 0 - Por conta do remetente | Parte: MURY EMBALAGENS LTDA (60.603.128/0001-71)</t>
        </is>
      </c>
      <c r="O1627" s="29" t="n">
        <v>0</v>
      </c>
      <c r="P1627" s="29" t="n">
        <v>0</v>
      </c>
      <c r="Q1627" s="29" t="n">
        <v>0</v>
      </c>
      <c r="R1627" s="29" t="n">
        <v>0</v>
      </c>
      <c r="S1627" s="29" t="n">
        <v>0</v>
      </c>
      <c r="T1627" t="inlineStr">
        <is>
          <t>25250626975620000130570010000044801000000000</t>
        </is>
      </c>
      <c r="U1627" t="inlineStr">
        <is>
          <t>Não</t>
        </is>
      </c>
    </row>
    <row r="1628">
      <c r="A1628" t="inlineStr">
        <is>
          <t>Frete de venda</t>
        </is>
      </c>
      <c r="B1628" t="inlineStr">
        <is>
          <t>2.01.02 Frete sobre Vendas</t>
        </is>
      </c>
      <c r="C1628" t="inlineStr">
        <is>
          <t>Antes de 2026</t>
        </is>
      </c>
      <c r="D1628" t="inlineStr">
        <is>
          <t>Antes de 2026</t>
        </is>
      </c>
      <c r="E1628" s="28" t="n">
        <v>45831</v>
      </c>
      <c r="F1628" t="inlineStr">
        <is>
          <t>CT-e</t>
        </is>
      </c>
      <c r="G1628" t="inlineStr">
        <is>
          <t>000004481</t>
        </is>
      </c>
      <c r="H1628" t="inlineStr">
        <is>
          <t>R&amp;R TRANSPORTE E LOGISTICA</t>
        </is>
      </c>
      <c r="J1628" s="29" t="n">
        <v>23.82</v>
      </c>
      <c r="K1628" s="29">
        <f>(1-ISNUMBER(SEARCH("556",M1628)))*(O1628*SUMIFS(Premissas!$C$5:$C$44,Premissas!$A$5:$A$44,$A1628,Premissas!$B$5:$B$44,$B1628)+P1628*SUMIFS(Premissas!$D$5:$D$44,Premissas!$A$5:$A$44,$A1628,Premissas!$B$5:$B$44,$B1628))+R1628*SUMIFS(Premissas!$E$5:$E$44,Premissas!$A$5:$A$44,$A1628,Premissas!$B$5:$B$44,$B1628)+S1628*SUMIFS(Premissas!$F$5:$F$44,Premissas!$A$5:$A$44,$A1628,Premissas!$B$5:$B$44,$B1628)</f>
        <v/>
      </c>
      <c r="L1628" s="29">
        <f>J1628-K1628</f>
        <v/>
      </c>
      <c r="M1628" t="inlineStr">
        <is>
          <t>1.350</t>
        </is>
      </c>
      <c r="N1628" t="inlineStr">
        <is>
          <t>Modalidade: 0 - Por conta do remetente | Parte: D CLINICA COMERCIAL LTDA (85.081.909/0001-74)</t>
        </is>
      </c>
      <c r="O1628" s="29" t="n">
        <v>0</v>
      </c>
      <c r="P1628" s="29" t="n">
        <v>0</v>
      </c>
      <c r="Q1628" s="29" t="n">
        <v>0</v>
      </c>
      <c r="R1628" s="29" t="n">
        <v>0</v>
      </c>
      <c r="S1628" s="29" t="n">
        <v>0</v>
      </c>
      <c r="T1628" t="inlineStr">
        <is>
          <t>25250626975620000130570010000044811000000008</t>
        </is>
      </c>
      <c r="U1628" t="inlineStr">
        <is>
          <t>Não</t>
        </is>
      </c>
    </row>
    <row r="1629">
      <c r="A1629" t="inlineStr">
        <is>
          <t>Frete de venda</t>
        </is>
      </c>
      <c r="B1629" t="inlineStr">
        <is>
          <t>2.01.02 Frete sobre Vendas</t>
        </is>
      </c>
      <c r="C1629" t="inlineStr">
        <is>
          <t>Antes de 2026</t>
        </is>
      </c>
      <c r="D1629" t="inlineStr">
        <is>
          <t>Antes de 2026</t>
        </is>
      </c>
      <c r="E1629" s="28" t="n">
        <v>45831</v>
      </c>
      <c r="F1629" t="inlineStr">
        <is>
          <t>CT-e</t>
        </is>
      </c>
      <c r="G1629" t="inlineStr">
        <is>
          <t>000004482</t>
        </is>
      </c>
      <c r="H1629" t="inlineStr">
        <is>
          <t>R&amp;R TRANSPORTE E LOGISTICA</t>
        </is>
      </c>
      <c r="J1629" s="29" t="n">
        <v>13.93</v>
      </c>
      <c r="K1629" s="29">
        <f>(1-ISNUMBER(SEARCH("556",M1629)))*(O1629*SUMIFS(Premissas!$C$5:$C$44,Premissas!$A$5:$A$44,$A1629,Premissas!$B$5:$B$44,$B1629)+P1629*SUMIFS(Premissas!$D$5:$D$44,Premissas!$A$5:$A$44,$A1629,Premissas!$B$5:$B$44,$B1629))+R1629*SUMIFS(Premissas!$E$5:$E$44,Premissas!$A$5:$A$44,$A1629,Premissas!$B$5:$B$44,$B1629)+S1629*SUMIFS(Premissas!$F$5:$F$44,Premissas!$A$5:$A$44,$A1629,Premissas!$B$5:$B$44,$B1629)</f>
        <v/>
      </c>
      <c r="L1629" s="29">
        <f>J1629-K1629</f>
        <v/>
      </c>
      <c r="M1629" t="inlineStr">
        <is>
          <t>1.350</t>
        </is>
      </c>
      <c r="N1629" t="inlineStr">
        <is>
          <t>Modalidade: 0 - Por conta do remetente | Parte: H.R. DESCARTAVEIS LTDA (22.391.574/0001-70)</t>
        </is>
      </c>
      <c r="O1629" s="29" t="n">
        <v>0</v>
      </c>
      <c r="P1629" s="29" t="n">
        <v>0</v>
      </c>
      <c r="Q1629" s="29" t="n">
        <v>0</v>
      </c>
      <c r="R1629" s="29" t="n">
        <v>0</v>
      </c>
      <c r="S1629" s="29" t="n">
        <v>0</v>
      </c>
      <c r="T1629" t="inlineStr">
        <is>
          <t>25250626975620000130570010000044821000000005</t>
        </is>
      </c>
      <c r="U1629" t="inlineStr">
        <is>
          <t>Não</t>
        </is>
      </c>
    </row>
    <row r="1630">
      <c r="A1630" t="inlineStr">
        <is>
          <t>Frete de venda</t>
        </is>
      </c>
      <c r="B1630" t="inlineStr">
        <is>
          <t>2.01.02 Frete sobre Vendas</t>
        </is>
      </c>
      <c r="C1630" t="inlineStr">
        <is>
          <t>Antes de 2026</t>
        </is>
      </c>
      <c r="D1630" t="inlineStr">
        <is>
          <t>Antes de 2026</t>
        </is>
      </c>
      <c r="E1630" s="28" t="n">
        <v>45831</v>
      </c>
      <c r="F1630" t="inlineStr">
        <is>
          <t>CT-e</t>
        </is>
      </c>
      <c r="G1630" t="inlineStr">
        <is>
          <t>000004483</t>
        </is>
      </c>
      <c r="H1630" t="inlineStr">
        <is>
          <t>R&amp;R TRANSPORTE E LOGISTICA</t>
        </is>
      </c>
      <c r="J1630" s="29" t="n">
        <v>14.09</v>
      </c>
      <c r="K1630" s="29">
        <f>(1-ISNUMBER(SEARCH("556",M1630)))*(O1630*SUMIFS(Premissas!$C$5:$C$44,Premissas!$A$5:$A$44,$A1630,Premissas!$B$5:$B$44,$B1630)+P1630*SUMIFS(Premissas!$D$5:$D$44,Premissas!$A$5:$A$44,$A1630,Premissas!$B$5:$B$44,$B1630))+R1630*SUMIFS(Premissas!$E$5:$E$44,Premissas!$A$5:$A$44,$A1630,Premissas!$B$5:$B$44,$B1630)+S1630*SUMIFS(Premissas!$F$5:$F$44,Premissas!$A$5:$A$44,$A1630,Premissas!$B$5:$B$44,$B1630)</f>
        <v/>
      </c>
      <c r="L1630" s="29">
        <f>J1630-K1630</f>
        <v/>
      </c>
      <c r="M1630" t="inlineStr">
        <is>
          <t>1.350</t>
        </is>
      </c>
      <c r="N1630" t="inlineStr">
        <is>
          <t>Modalidade: 0 - Por conta do remetente | Parte: EMBALAGENS SILVA COMERCIO DE PRODUTOS DE LIMPEZA LTDA (05.766.337/0001-28)</t>
        </is>
      </c>
      <c r="O1630" s="29" t="n">
        <v>0</v>
      </c>
      <c r="P1630" s="29" t="n">
        <v>0</v>
      </c>
      <c r="Q1630" s="29" t="n">
        <v>0</v>
      </c>
      <c r="R1630" s="29" t="n">
        <v>0</v>
      </c>
      <c r="S1630" s="29" t="n">
        <v>0</v>
      </c>
      <c r="T1630" t="inlineStr">
        <is>
          <t>25250626975620000130570010000044831000000002</t>
        </is>
      </c>
      <c r="U1630" t="inlineStr">
        <is>
          <t>Não</t>
        </is>
      </c>
    </row>
    <row r="1631">
      <c r="A1631" t="inlineStr">
        <is>
          <t>Frete de venda</t>
        </is>
      </c>
      <c r="B1631" t="inlineStr">
        <is>
          <t>2.01.02 Frete sobre Vendas</t>
        </is>
      </c>
      <c r="C1631" t="inlineStr">
        <is>
          <t>Antes de 2026</t>
        </is>
      </c>
      <c r="D1631" t="inlineStr">
        <is>
          <t>Antes de 2026</t>
        </is>
      </c>
      <c r="E1631" s="28" t="n">
        <v>45831</v>
      </c>
      <c r="F1631" t="inlineStr">
        <is>
          <t>CT-e</t>
        </is>
      </c>
      <c r="G1631" t="inlineStr">
        <is>
          <t>000004484</t>
        </is>
      </c>
      <c r="H1631" t="inlineStr">
        <is>
          <t>R&amp;R TRANSPORTE E LOGISTICA</t>
        </is>
      </c>
      <c r="J1631" s="29" t="n">
        <v>14.16</v>
      </c>
      <c r="K1631" s="29">
        <f>(1-ISNUMBER(SEARCH("556",M1631)))*(O1631*SUMIFS(Premissas!$C$5:$C$44,Premissas!$A$5:$A$44,$A1631,Premissas!$B$5:$B$44,$B1631)+P1631*SUMIFS(Premissas!$D$5:$D$44,Premissas!$A$5:$A$44,$A1631,Premissas!$B$5:$B$44,$B1631))+R1631*SUMIFS(Premissas!$E$5:$E$44,Premissas!$A$5:$A$44,$A1631,Premissas!$B$5:$B$44,$B1631)+S1631*SUMIFS(Premissas!$F$5:$F$44,Premissas!$A$5:$A$44,$A1631,Premissas!$B$5:$B$44,$B1631)</f>
        <v/>
      </c>
      <c r="L1631" s="29">
        <f>J1631-K1631</f>
        <v/>
      </c>
      <c r="M1631" t="inlineStr">
        <is>
          <t>1.350</t>
        </is>
      </c>
      <c r="N1631" t="inlineStr">
        <is>
          <t>Modalidade: 0 - Por conta do remetente | Parte: MORETO TRANSPORTES E COMERCIO LTDA (38.024.793/0002-32)</t>
        </is>
      </c>
      <c r="O1631" s="29" t="n">
        <v>0</v>
      </c>
      <c r="P1631" s="29" t="n">
        <v>0</v>
      </c>
      <c r="Q1631" s="29" t="n">
        <v>0</v>
      </c>
      <c r="R1631" s="29" t="n">
        <v>0</v>
      </c>
      <c r="S1631" s="29" t="n">
        <v>0</v>
      </c>
      <c r="T1631" t="inlineStr">
        <is>
          <t>25250626975620000130570010000044841000000000</t>
        </is>
      </c>
      <c r="U1631" t="inlineStr">
        <is>
          <t>Não</t>
        </is>
      </c>
    </row>
    <row r="1632">
      <c r="A1632" t="inlineStr">
        <is>
          <t>Frete de venda</t>
        </is>
      </c>
      <c r="B1632" t="inlineStr">
        <is>
          <t>2.01.02 Frete sobre Vendas</t>
        </is>
      </c>
      <c r="C1632" t="inlineStr">
        <is>
          <t>Antes de 2026</t>
        </is>
      </c>
      <c r="D1632" t="inlineStr">
        <is>
          <t>Antes de 2026</t>
        </is>
      </c>
      <c r="E1632" s="28" t="n">
        <v>45831</v>
      </c>
      <c r="F1632" t="inlineStr">
        <is>
          <t>CT-e</t>
        </is>
      </c>
      <c r="G1632" t="inlineStr">
        <is>
          <t>000004485</t>
        </is>
      </c>
      <c r="H1632" t="inlineStr">
        <is>
          <t>R&amp;R TRANSPORTE E LOGISTICA</t>
        </is>
      </c>
      <c r="J1632" s="29" t="n">
        <v>19.9</v>
      </c>
      <c r="K1632" s="29">
        <f>(1-ISNUMBER(SEARCH("556",M1632)))*(O1632*SUMIFS(Premissas!$C$5:$C$44,Premissas!$A$5:$A$44,$A1632,Premissas!$B$5:$B$44,$B1632)+P1632*SUMIFS(Premissas!$D$5:$D$44,Premissas!$A$5:$A$44,$A1632,Premissas!$B$5:$B$44,$B1632))+R1632*SUMIFS(Premissas!$E$5:$E$44,Premissas!$A$5:$A$44,$A1632,Premissas!$B$5:$B$44,$B1632)+S1632*SUMIFS(Premissas!$F$5:$F$44,Premissas!$A$5:$A$44,$A1632,Premissas!$B$5:$B$44,$B1632)</f>
        <v/>
      </c>
      <c r="L1632" s="29">
        <f>J1632-K1632</f>
        <v/>
      </c>
      <c r="M1632" t="inlineStr">
        <is>
          <t>1.350</t>
        </is>
      </c>
      <c r="N1632" t="inlineStr">
        <is>
          <t>Modalidade: 0 - Por conta do remetente | Parte: MARIA JOSINA DE FREITAS (02.010.967/0001-80)</t>
        </is>
      </c>
      <c r="O1632" s="29" t="n">
        <v>0</v>
      </c>
      <c r="P1632" s="29" t="n">
        <v>0</v>
      </c>
      <c r="Q1632" s="29" t="n">
        <v>0</v>
      </c>
      <c r="R1632" s="29" t="n">
        <v>0</v>
      </c>
      <c r="S1632" s="29" t="n">
        <v>0</v>
      </c>
      <c r="T1632" t="inlineStr">
        <is>
          <t>25250626975620000130570010000044851000000007</t>
        </is>
      </c>
      <c r="U1632" t="inlineStr">
        <is>
          <t>Não</t>
        </is>
      </c>
    </row>
    <row r="1633">
      <c r="A1633" t="inlineStr">
        <is>
          <t>Frete de venda</t>
        </is>
      </c>
      <c r="B1633" t="inlineStr">
        <is>
          <t>2.01.02 Frete sobre Vendas</t>
        </is>
      </c>
      <c r="C1633" t="inlineStr">
        <is>
          <t>Antes de 2026</t>
        </is>
      </c>
      <c r="D1633" t="inlineStr">
        <is>
          <t>Antes de 2026</t>
        </is>
      </c>
      <c r="E1633" s="28" t="n">
        <v>45831</v>
      </c>
      <c r="F1633" t="inlineStr">
        <is>
          <t>CT-e</t>
        </is>
      </c>
      <c r="G1633" t="inlineStr">
        <is>
          <t>000004486</t>
        </is>
      </c>
      <c r="H1633" t="inlineStr">
        <is>
          <t>R&amp;R TRANSPORTE E LOGISTICA</t>
        </is>
      </c>
      <c r="J1633" s="29" t="n">
        <v>25.78</v>
      </c>
      <c r="K1633" s="29">
        <f>(1-ISNUMBER(SEARCH("556",M1633)))*(O1633*SUMIFS(Premissas!$C$5:$C$44,Premissas!$A$5:$A$44,$A1633,Premissas!$B$5:$B$44,$B1633)+P1633*SUMIFS(Premissas!$D$5:$D$44,Premissas!$A$5:$A$44,$A1633,Premissas!$B$5:$B$44,$B1633))+R1633*SUMIFS(Premissas!$E$5:$E$44,Premissas!$A$5:$A$44,$A1633,Premissas!$B$5:$B$44,$B1633)+S1633*SUMIFS(Premissas!$F$5:$F$44,Premissas!$A$5:$A$44,$A1633,Premissas!$B$5:$B$44,$B1633)</f>
        <v/>
      </c>
      <c r="L1633" s="29">
        <f>J1633-K1633</f>
        <v/>
      </c>
      <c r="M1633" t="inlineStr">
        <is>
          <t>1.350</t>
        </is>
      </c>
      <c r="N1633" t="inlineStr">
        <is>
          <t>Modalidade: 0 - Por conta do remetente | Parte: CASA DO SORVETEIRO LTDA (49.595.431/0001-37)</t>
        </is>
      </c>
      <c r="O1633" s="29" t="n">
        <v>0</v>
      </c>
      <c r="P1633" s="29" t="n">
        <v>0</v>
      </c>
      <c r="Q1633" s="29" t="n">
        <v>0</v>
      </c>
      <c r="R1633" s="29" t="n">
        <v>0</v>
      </c>
      <c r="S1633" s="29" t="n">
        <v>0</v>
      </c>
      <c r="T1633" t="inlineStr">
        <is>
          <t>25250626975620000130570010000044861000000004</t>
        </is>
      </c>
      <c r="U1633" t="inlineStr">
        <is>
          <t>Não</t>
        </is>
      </c>
    </row>
    <row r="1634">
      <c r="A1634" t="inlineStr">
        <is>
          <t>Frete de venda</t>
        </is>
      </c>
      <c r="B1634" t="inlineStr">
        <is>
          <t>2.01.02 Frete sobre Vendas</t>
        </is>
      </c>
      <c r="C1634" t="inlineStr">
        <is>
          <t>Antes de 2026</t>
        </is>
      </c>
      <c r="D1634" t="inlineStr">
        <is>
          <t>Antes de 2026</t>
        </is>
      </c>
      <c r="E1634" s="28" t="n">
        <v>45831</v>
      </c>
      <c r="F1634" t="inlineStr">
        <is>
          <t>CT-e</t>
        </is>
      </c>
      <c r="G1634" t="inlineStr">
        <is>
          <t>000004487</t>
        </is>
      </c>
      <c r="H1634" t="inlineStr">
        <is>
          <t>R&amp;R TRANSPORTE E LOGISTICA</t>
        </is>
      </c>
      <c r="J1634" s="29" t="n">
        <v>7.83</v>
      </c>
      <c r="K1634" s="29">
        <f>(1-ISNUMBER(SEARCH("556",M1634)))*(O1634*SUMIFS(Premissas!$C$5:$C$44,Premissas!$A$5:$A$44,$A1634,Premissas!$B$5:$B$44,$B1634)+P1634*SUMIFS(Premissas!$D$5:$D$44,Premissas!$A$5:$A$44,$A1634,Premissas!$B$5:$B$44,$B1634))+R1634*SUMIFS(Premissas!$E$5:$E$44,Premissas!$A$5:$A$44,$A1634,Premissas!$B$5:$B$44,$B1634)+S1634*SUMIFS(Premissas!$F$5:$F$44,Premissas!$A$5:$A$44,$A1634,Premissas!$B$5:$B$44,$B1634)</f>
        <v/>
      </c>
      <c r="L1634" s="29">
        <f>J1634-K1634</f>
        <v/>
      </c>
      <c r="M1634" t="inlineStr">
        <is>
          <t>1.350</t>
        </is>
      </c>
      <c r="N1634" t="inlineStr">
        <is>
          <t>Modalidade: 0 - Por conta do remetente | Parte: MORETO TRANSPORTES E COMERCIO LTDA (38.024.793/0002-32)</t>
        </is>
      </c>
      <c r="O1634" s="29" t="n">
        <v>0</v>
      </c>
      <c r="P1634" s="29" t="n">
        <v>0</v>
      </c>
      <c r="Q1634" s="29" t="n">
        <v>0</v>
      </c>
      <c r="R1634" s="29" t="n">
        <v>0</v>
      </c>
      <c r="S1634" s="29" t="n">
        <v>0</v>
      </c>
      <c r="T1634" t="inlineStr">
        <is>
          <t>25250626975620000130570010000044871000000001</t>
        </is>
      </c>
      <c r="U1634" t="inlineStr">
        <is>
          <t>Não</t>
        </is>
      </c>
    </row>
    <row r="1635">
      <c r="A1635" t="inlineStr">
        <is>
          <t>Frete de venda</t>
        </is>
      </c>
      <c r="B1635" t="inlineStr">
        <is>
          <t>2.01.02 Frete sobre Vendas</t>
        </is>
      </c>
      <c r="C1635" t="inlineStr">
        <is>
          <t>Antes de 2026</t>
        </is>
      </c>
      <c r="D1635" t="inlineStr">
        <is>
          <t>Antes de 2026</t>
        </is>
      </c>
      <c r="E1635" s="28" t="n">
        <v>45831</v>
      </c>
      <c r="F1635" t="inlineStr">
        <is>
          <t>CT-e</t>
        </is>
      </c>
      <c r="G1635" t="inlineStr">
        <is>
          <t>000004488</t>
        </is>
      </c>
      <c r="H1635" t="inlineStr">
        <is>
          <t>R&amp;R TRANSPORTE E LOGISTICA</t>
        </is>
      </c>
      <c r="J1635" s="29" t="n">
        <v>14.31</v>
      </c>
      <c r="K1635" s="29">
        <f>(1-ISNUMBER(SEARCH("556",M1635)))*(O1635*SUMIFS(Premissas!$C$5:$C$44,Premissas!$A$5:$A$44,$A1635,Premissas!$B$5:$B$44,$B1635)+P1635*SUMIFS(Premissas!$D$5:$D$44,Premissas!$A$5:$A$44,$A1635,Premissas!$B$5:$B$44,$B1635))+R1635*SUMIFS(Premissas!$E$5:$E$44,Premissas!$A$5:$A$44,$A1635,Premissas!$B$5:$B$44,$B1635)+S1635*SUMIFS(Premissas!$F$5:$F$44,Premissas!$A$5:$A$44,$A1635,Premissas!$B$5:$B$44,$B1635)</f>
        <v/>
      </c>
      <c r="L1635" s="29">
        <f>J1635-K1635</f>
        <v/>
      </c>
      <c r="M1635" t="inlineStr">
        <is>
          <t>1.350</t>
        </is>
      </c>
      <c r="N1635" t="inlineStr">
        <is>
          <t>Modalidade: 0 - Por conta do remetente | Parte: SORVEPANI- COMERCIO DE PRODUTOS DE PANIFICACAO E SORVETERIA (10.927.794/0001-97)</t>
        </is>
      </c>
      <c r="O1635" s="29" t="n">
        <v>0</v>
      </c>
      <c r="P1635" s="29" t="n">
        <v>0</v>
      </c>
      <c r="Q1635" s="29" t="n">
        <v>0</v>
      </c>
      <c r="R1635" s="29" t="n">
        <v>0</v>
      </c>
      <c r="S1635" s="29" t="n">
        <v>0</v>
      </c>
      <c r="T1635" t="inlineStr">
        <is>
          <t>25250626975620000130570010000044881000000009</t>
        </is>
      </c>
      <c r="U1635" t="inlineStr">
        <is>
          <t>Não</t>
        </is>
      </c>
    </row>
    <row r="1636">
      <c r="A1636" t="inlineStr">
        <is>
          <t>Frete de venda</t>
        </is>
      </c>
      <c r="B1636" t="inlineStr">
        <is>
          <t>2.01.02 Frete sobre Vendas</t>
        </is>
      </c>
      <c r="C1636" t="inlineStr">
        <is>
          <t>Antes de 2026</t>
        </is>
      </c>
      <c r="D1636" t="inlineStr">
        <is>
          <t>Antes de 2026</t>
        </is>
      </c>
      <c r="E1636" s="28" t="n">
        <v>45831</v>
      </c>
      <c r="F1636" t="inlineStr">
        <is>
          <t>CT-e</t>
        </is>
      </c>
      <c r="G1636" t="inlineStr">
        <is>
          <t>000004489</t>
        </is>
      </c>
      <c r="H1636" t="inlineStr">
        <is>
          <t>R&amp;R TRANSPORTE E LOGISTICA</t>
        </is>
      </c>
      <c r="J1636" s="29" t="n">
        <v>20.25</v>
      </c>
      <c r="K1636" s="29">
        <f>(1-ISNUMBER(SEARCH("556",M1636)))*(O1636*SUMIFS(Premissas!$C$5:$C$44,Premissas!$A$5:$A$44,$A1636,Premissas!$B$5:$B$44,$B1636)+P1636*SUMIFS(Premissas!$D$5:$D$44,Premissas!$A$5:$A$44,$A1636,Premissas!$B$5:$B$44,$B1636))+R1636*SUMIFS(Premissas!$E$5:$E$44,Premissas!$A$5:$A$44,$A1636,Premissas!$B$5:$B$44,$B1636)+S1636*SUMIFS(Premissas!$F$5:$F$44,Premissas!$A$5:$A$44,$A1636,Premissas!$B$5:$B$44,$B1636)</f>
        <v/>
      </c>
      <c r="L1636" s="29">
        <f>J1636-K1636</f>
        <v/>
      </c>
      <c r="M1636" t="inlineStr">
        <is>
          <t>1.350</t>
        </is>
      </c>
      <c r="N1636" t="inlineStr">
        <is>
          <t>Modalidade: 0 - Por conta do remetente | Parte: E PIANHO LTDA (81.725.970/0001-56)</t>
        </is>
      </c>
      <c r="O1636" s="29" t="n">
        <v>0</v>
      </c>
      <c r="P1636" s="29" t="n">
        <v>0</v>
      </c>
      <c r="Q1636" s="29" t="n">
        <v>0</v>
      </c>
      <c r="R1636" s="29" t="n">
        <v>0</v>
      </c>
      <c r="S1636" s="29" t="n">
        <v>0</v>
      </c>
      <c r="T1636" t="inlineStr">
        <is>
          <t>25250626975620000130570010000044891000000006</t>
        </is>
      </c>
      <c r="U1636" t="inlineStr">
        <is>
          <t>Não</t>
        </is>
      </c>
    </row>
    <row r="1637">
      <c r="A1637" t="inlineStr">
        <is>
          <t>Frete de venda</t>
        </is>
      </c>
      <c r="B1637" t="inlineStr">
        <is>
          <t>2.01.02 Frete sobre Vendas</t>
        </is>
      </c>
      <c r="C1637" t="inlineStr">
        <is>
          <t>Antes de 2026</t>
        </is>
      </c>
      <c r="D1637" t="inlineStr">
        <is>
          <t>Antes de 2026</t>
        </is>
      </c>
      <c r="E1637" s="28" t="n">
        <v>45831</v>
      </c>
      <c r="F1637" t="inlineStr">
        <is>
          <t>CT-e</t>
        </is>
      </c>
      <c r="G1637" t="inlineStr">
        <is>
          <t>000004490</t>
        </is>
      </c>
      <c r="H1637" t="inlineStr">
        <is>
          <t>R&amp;R TRANSPORTE E LOGISTICA</t>
        </is>
      </c>
      <c r="J1637" s="29" t="n">
        <v>14.01</v>
      </c>
      <c r="K1637" s="29">
        <f>(1-ISNUMBER(SEARCH("556",M1637)))*(O1637*SUMIFS(Premissas!$C$5:$C$44,Premissas!$A$5:$A$44,$A1637,Premissas!$B$5:$B$44,$B1637)+P1637*SUMIFS(Premissas!$D$5:$D$44,Premissas!$A$5:$A$44,$A1637,Premissas!$B$5:$B$44,$B1637))+R1637*SUMIFS(Premissas!$E$5:$E$44,Premissas!$A$5:$A$44,$A1637,Premissas!$B$5:$B$44,$B1637)+S1637*SUMIFS(Premissas!$F$5:$F$44,Premissas!$A$5:$A$44,$A1637,Premissas!$B$5:$B$44,$B1637)</f>
        <v/>
      </c>
      <c r="L1637" s="29">
        <f>J1637-K1637</f>
        <v/>
      </c>
      <c r="M1637" t="inlineStr">
        <is>
          <t>1.350</t>
        </is>
      </c>
      <c r="N1637" t="inlineStr">
        <is>
          <t>Modalidade: 0 - Por conta do remetente | Parte: CENTRAL DA EMBALAGEM LTDA (40.409.557/0001-03)</t>
        </is>
      </c>
      <c r="O1637" s="29" t="n">
        <v>0</v>
      </c>
      <c r="P1637" s="29" t="n">
        <v>0</v>
      </c>
      <c r="Q1637" s="29" t="n">
        <v>0</v>
      </c>
      <c r="R1637" s="29" t="n">
        <v>0</v>
      </c>
      <c r="S1637" s="29" t="n">
        <v>0</v>
      </c>
      <c r="T1637" t="inlineStr">
        <is>
          <t>25250626975620000130570010000044901000000007</t>
        </is>
      </c>
      <c r="U1637" t="inlineStr">
        <is>
          <t>Não</t>
        </is>
      </c>
    </row>
    <row r="1638">
      <c r="A1638" t="inlineStr">
        <is>
          <t>Frete de venda</t>
        </is>
      </c>
      <c r="B1638" t="inlineStr">
        <is>
          <t>2.01.02 Frete sobre Vendas</t>
        </is>
      </c>
      <c r="C1638" t="inlineStr">
        <is>
          <t>Antes de 2026</t>
        </is>
      </c>
      <c r="D1638" t="inlineStr">
        <is>
          <t>Antes de 2026</t>
        </is>
      </c>
      <c r="E1638" s="28" t="n">
        <v>45831</v>
      </c>
      <c r="F1638" t="inlineStr">
        <is>
          <t>CT-e</t>
        </is>
      </c>
      <c r="G1638" t="inlineStr">
        <is>
          <t>000004491</t>
        </is>
      </c>
      <c r="H1638" t="inlineStr">
        <is>
          <t>R&amp;R TRANSPORTE E LOGISTICA</t>
        </is>
      </c>
      <c r="J1638" s="29" t="n">
        <v>19.5</v>
      </c>
      <c r="K1638" s="29">
        <f>(1-ISNUMBER(SEARCH("556",M1638)))*(O1638*SUMIFS(Premissas!$C$5:$C$44,Premissas!$A$5:$A$44,$A1638,Premissas!$B$5:$B$44,$B1638)+P1638*SUMIFS(Premissas!$D$5:$D$44,Premissas!$A$5:$A$44,$A1638,Premissas!$B$5:$B$44,$B1638))+R1638*SUMIFS(Premissas!$E$5:$E$44,Premissas!$A$5:$A$44,$A1638,Premissas!$B$5:$B$44,$B1638)+S1638*SUMIFS(Premissas!$F$5:$F$44,Premissas!$A$5:$A$44,$A1638,Premissas!$B$5:$B$44,$B1638)</f>
        <v/>
      </c>
      <c r="L1638" s="29">
        <f>J1638-K1638</f>
        <v/>
      </c>
      <c r="M1638" t="inlineStr">
        <is>
          <t>1.350</t>
        </is>
      </c>
      <c r="N1638" t="inlineStr">
        <is>
          <t>Modalidade: 0 - Por conta do remetente | Parte: TRIUNFO COMERCIO DE PRODUTOS ALIMENTICIOS E LATICINIOS LTDA (14.173.693/0001-29)</t>
        </is>
      </c>
      <c r="O1638" s="29" t="n">
        <v>0</v>
      </c>
      <c r="P1638" s="29" t="n">
        <v>0</v>
      </c>
      <c r="Q1638" s="29" t="n">
        <v>0</v>
      </c>
      <c r="R1638" s="29" t="n">
        <v>0</v>
      </c>
      <c r="S1638" s="29" t="n">
        <v>0</v>
      </c>
      <c r="T1638" t="inlineStr">
        <is>
          <t>25250626975620000130570010000044911000000004</t>
        </is>
      </c>
      <c r="U1638" t="inlineStr">
        <is>
          <t>Não</t>
        </is>
      </c>
    </row>
    <row r="1639">
      <c r="A1639" t="inlineStr">
        <is>
          <t>Frete de venda</t>
        </is>
      </c>
      <c r="B1639" t="inlineStr">
        <is>
          <t>2.01.02 Frete sobre Vendas</t>
        </is>
      </c>
      <c r="C1639" t="inlineStr">
        <is>
          <t>Antes de 2026</t>
        </is>
      </c>
      <c r="D1639" t="inlineStr">
        <is>
          <t>Antes de 2026</t>
        </is>
      </c>
      <c r="E1639" s="28" t="n">
        <v>45831</v>
      </c>
      <c r="F1639" t="inlineStr">
        <is>
          <t>CT-e</t>
        </is>
      </c>
      <c r="G1639" t="inlineStr">
        <is>
          <t>000004492</t>
        </is>
      </c>
      <c r="H1639" t="inlineStr">
        <is>
          <t>R&amp;R TRANSPORTE E LOGISTICA</t>
        </is>
      </c>
      <c r="J1639" s="29" t="n">
        <v>14.21</v>
      </c>
      <c r="K1639" s="29">
        <f>(1-ISNUMBER(SEARCH("556",M1639)))*(O1639*SUMIFS(Premissas!$C$5:$C$44,Premissas!$A$5:$A$44,$A1639,Premissas!$B$5:$B$44,$B1639)+P1639*SUMIFS(Premissas!$D$5:$D$44,Premissas!$A$5:$A$44,$A1639,Premissas!$B$5:$B$44,$B1639))+R1639*SUMIFS(Premissas!$E$5:$E$44,Premissas!$A$5:$A$44,$A1639,Premissas!$B$5:$B$44,$B1639)+S1639*SUMIFS(Premissas!$F$5:$F$44,Premissas!$A$5:$A$44,$A1639,Premissas!$B$5:$B$44,$B1639)</f>
        <v/>
      </c>
      <c r="L1639" s="29">
        <f>J1639-K1639</f>
        <v/>
      </c>
      <c r="M1639" t="inlineStr">
        <is>
          <t>1.350</t>
        </is>
      </c>
      <c r="N1639" t="inlineStr">
        <is>
          <t>Modalidade: 0 - Por conta do remetente | Parte: MERCADO OSTERNACK LTDA (26.297.171/0001-18)</t>
        </is>
      </c>
      <c r="O1639" s="29" t="n">
        <v>0</v>
      </c>
      <c r="P1639" s="29" t="n">
        <v>0</v>
      </c>
      <c r="Q1639" s="29" t="n">
        <v>0</v>
      </c>
      <c r="R1639" s="29" t="n">
        <v>0</v>
      </c>
      <c r="S1639" s="29" t="n">
        <v>0</v>
      </c>
      <c r="T1639" t="inlineStr">
        <is>
          <t>25250626975620000130570010000044921000000001</t>
        </is>
      </c>
      <c r="U1639" t="inlineStr">
        <is>
          <t>Não</t>
        </is>
      </c>
    </row>
    <row r="1640">
      <c r="A1640" t="inlineStr">
        <is>
          <t>Frete de venda</t>
        </is>
      </c>
      <c r="B1640" t="inlineStr">
        <is>
          <t>2.01.02 Frete sobre Vendas</t>
        </is>
      </c>
      <c r="C1640" t="inlineStr">
        <is>
          <t>Antes de 2026</t>
        </is>
      </c>
      <c r="D1640" t="inlineStr">
        <is>
          <t>Antes de 2026</t>
        </is>
      </c>
      <c r="E1640" s="28" t="n">
        <v>45831</v>
      </c>
      <c r="F1640" t="inlineStr">
        <is>
          <t>CT-e</t>
        </is>
      </c>
      <c r="G1640" t="inlineStr">
        <is>
          <t>000004493</t>
        </is>
      </c>
      <c r="H1640" t="inlineStr">
        <is>
          <t>R&amp;R TRANSPORTE E LOGISTICA</t>
        </is>
      </c>
      <c r="J1640" s="29" t="n">
        <v>15.4</v>
      </c>
      <c r="K1640" s="29">
        <f>(1-ISNUMBER(SEARCH("556",M1640)))*(O1640*SUMIFS(Premissas!$C$5:$C$44,Premissas!$A$5:$A$44,$A1640,Premissas!$B$5:$B$44,$B1640)+P1640*SUMIFS(Premissas!$D$5:$D$44,Premissas!$A$5:$A$44,$A1640,Premissas!$B$5:$B$44,$B1640))+R1640*SUMIFS(Premissas!$E$5:$E$44,Premissas!$A$5:$A$44,$A1640,Premissas!$B$5:$B$44,$B1640)+S1640*SUMIFS(Premissas!$F$5:$F$44,Premissas!$A$5:$A$44,$A1640,Premissas!$B$5:$B$44,$B1640)</f>
        <v/>
      </c>
      <c r="L1640" s="29">
        <f>J1640-K1640</f>
        <v/>
      </c>
      <c r="M1640" t="inlineStr">
        <is>
          <t>1.350</t>
        </is>
      </c>
      <c r="N1640" t="inlineStr">
        <is>
          <t>Modalidade: 0 - Por conta do remetente | Parte: HJM DISTRIBUICAO DE FRIOS LTDA (15.491.554/0001-06)</t>
        </is>
      </c>
      <c r="O1640" s="29" t="n">
        <v>0</v>
      </c>
      <c r="P1640" s="29" t="n">
        <v>0</v>
      </c>
      <c r="Q1640" s="29" t="n">
        <v>0</v>
      </c>
      <c r="R1640" s="29" t="n">
        <v>0</v>
      </c>
      <c r="S1640" s="29" t="n">
        <v>0</v>
      </c>
      <c r="T1640" t="inlineStr">
        <is>
          <t>25250626975620000130570010000044931000000009</t>
        </is>
      </c>
      <c r="U1640" t="inlineStr">
        <is>
          <t>Não</t>
        </is>
      </c>
    </row>
    <row r="1641">
      <c r="A1641" t="inlineStr">
        <is>
          <t>Frete de venda</t>
        </is>
      </c>
      <c r="B1641" t="inlineStr">
        <is>
          <t>2.01.02 Frete sobre Vendas</t>
        </is>
      </c>
      <c r="C1641" t="inlineStr">
        <is>
          <t>Antes de 2026</t>
        </is>
      </c>
      <c r="D1641" t="inlineStr">
        <is>
          <t>Antes de 2026</t>
        </is>
      </c>
      <c r="E1641" s="28" t="n">
        <v>45831</v>
      </c>
      <c r="F1641" t="inlineStr">
        <is>
          <t>CT-e</t>
        </is>
      </c>
      <c r="G1641" t="inlineStr">
        <is>
          <t>000004494</t>
        </is>
      </c>
      <c r="H1641" t="inlineStr">
        <is>
          <t>R&amp;R TRANSPORTE E LOGISTICA</t>
        </is>
      </c>
      <c r="J1641" s="29" t="n">
        <v>14.29</v>
      </c>
      <c r="K1641" s="29">
        <f>(1-ISNUMBER(SEARCH("556",M1641)))*(O1641*SUMIFS(Premissas!$C$5:$C$44,Premissas!$A$5:$A$44,$A1641,Premissas!$B$5:$B$44,$B1641)+P1641*SUMIFS(Premissas!$D$5:$D$44,Premissas!$A$5:$A$44,$A1641,Premissas!$B$5:$B$44,$B1641))+R1641*SUMIFS(Premissas!$E$5:$E$44,Premissas!$A$5:$A$44,$A1641,Premissas!$B$5:$B$44,$B1641)+S1641*SUMIFS(Premissas!$F$5:$F$44,Premissas!$A$5:$A$44,$A1641,Premissas!$B$5:$B$44,$B1641)</f>
        <v/>
      </c>
      <c r="L1641" s="29">
        <f>J1641-K1641</f>
        <v/>
      </c>
      <c r="M1641" t="inlineStr">
        <is>
          <t>1.350</t>
        </is>
      </c>
      <c r="N1641" t="inlineStr">
        <is>
          <t>Modalidade: 0 - Por conta do remetente | Parte: MERCADO LEONEL LTDA - EPP (82.008.087/0001-08)</t>
        </is>
      </c>
      <c r="O1641" s="29" t="n">
        <v>0</v>
      </c>
      <c r="P1641" s="29" t="n">
        <v>0</v>
      </c>
      <c r="Q1641" s="29" t="n">
        <v>0</v>
      </c>
      <c r="R1641" s="29" t="n">
        <v>0</v>
      </c>
      <c r="S1641" s="29" t="n">
        <v>0</v>
      </c>
      <c r="T1641" t="inlineStr">
        <is>
          <t>25250626975620000130570010000044941000000006</t>
        </is>
      </c>
      <c r="U1641" t="inlineStr">
        <is>
          <t>Não</t>
        </is>
      </c>
    </row>
    <row r="1642">
      <c r="A1642" t="inlineStr">
        <is>
          <t>Frete de venda</t>
        </is>
      </c>
      <c r="B1642" t="inlineStr">
        <is>
          <t>2.01.02 Frete sobre Vendas</t>
        </is>
      </c>
      <c r="C1642" t="inlineStr">
        <is>
          <t>Antes de 2026</t>
        </is>
      </c>
      <c r="D1642" t="inlineStr">
        <is>
          <t>Antes de 2026</t>
        </is>
      </c>
      <c r="E1642" s="28" t="n">
        <v>45831</v>
      </c>
      <c r="F1642" t="inlineStr">
        <is>
          <t>CT-e</t>
        </is>
      </c>
      <c r="G1642" t="inlineStr">
        <is>
          <t>000004495</t>
        </is>
      </c>
      <c r="H1642" t="inlineStr">
        <is>
          <t>R&amp;R TRANSPORTE E LOGISTICA</t>
        </is>
      </c>
      <c r="J1642" s="29" t="n">
        <v>17.41</v>
      </c>
      <c r="K1642" s="29">
        <f>(1-ISNUMBER(SEARCH("556",M1642)))*(O1642*SUMIFS(Premissas!$C$5:$C$44,Premissas!$A$5:$A$44,$A1642,Premissas!$B$5:$B$44,$B1642)+P1642*SUMIFS(Premissas!$D$5:$D$44,Premissas!$A$5:$A$44,$A1642,Premissas!$B$5:$B$44,$B1642))+R1642*SUMIFS(Premissas!$E$5:$E$44,Premissas!$A$5:$A$44,$A1642,Premissas!$B$5:$B$44,$B1642)+S1642*SUMIFS(Premissas!$F$5:$F$44,Premissas!$A$5:$A$44,$A1642,Premissas!$B$5:$B$44,$B1642)</f>
        <v/>
      </c>
      <c r="L1642" s="29">
        <f>J1642-K1642</f>
        <v/>
      </c>
      <c r="M1642" t="inlineStr">
        <is>
          <t>1.350</t>
        </is>
      </c>
      <c r="N1642" t="inlineStr">
        <is>
          <t>Modalidade: 0 - Por conta do remetente | Parte: DISTRIBUIDORA FACIL COMERCIO DE SECOS LTDA (47.027.814/0001-83)</t>
        </is>
      </c>
      <c r="O1642" s="29" t="n">
        <v>0</v>
      </c>
      <c r="P1642" s="29" t="n">
        <v>0</v>
      </c>
      <c r="Q1642" s="29" t="n">
        <v>0</v>
      </c>
      <c r="R1642" s="29" t="n">
        <v>0</v>
      </c>
      <c r="S1642" s="29" t="n">
        <v>0</v>
      </c>
      <c r="T1642" t="inlineStr">
        <is>
          <t>25250626975620000130570010000044951000000003</t>
        </is>
      </c>
      <c r="U1642" t="inlineStr">
        <is>
          <t>Não</t>
        </is>
      </c>
    </row>
    <row r="1643">
      <c r="A1643" t="inlineStr">
        <is>
          <t>Frete de venda</t>
        </is>
      </c>
      <c r="B1643" t="inlineStr">
        <is>
          <t>2.01.02 Frete sobre Vendas</t>
        </is>
      </c>
      <c r="C1643" t="inlineStr">
        <is>
          <t>Antes de 2026</t>
        </is>
      </c>
      <c r="D1643" t="inlineStr">
        <is>
          <t>Antes de 2026</t>
        </is>
      </c>
      <c r="E1643" s="28" t="n">
        <v>45831</v>
      </c>
      <c r="F1643" t="inlineStr">
        <is>
          <t>CT-e</t>
        </is>
      </c>
      <c r="G1643" t="inlineStr">
        <is>
          <t>000004496</t>
        </is>
      </c>
      <c r="H1643" t="inlineStr">
        <is>
          <t>R&amp;R TRANSPORTE E LOGISTICA</t>
        </is>
      </c>
      <c r="J1643" s="29" t="n">
        <v>18.52</v>
      </c>
      <c r="K1643" s="29">
        <f>(1-ISNUMBER(SEARCH("556",M1643)))*(O1643*SUMIFS(Premissas!$C$5:$C$44,Premissas!$A$5:$A$44,$A1643,Premissas!$B$5:$B$44,$B1643)+P1643*SUMIFS(Premissas!$D$5:$D$44,Premissas!$A$5:$A$44,$A1643,Premissas!$B$5:$B$44,$B1643))+R1643*SUMIFS(Premissas!$E$5:$E$44,Premissas!$A$5:$A$44,$A1643,Premissas!$B$5:$B$44,$B1643)+S1643*SUMIFS(Premissas!$F$5:$F$44,Premissas!$A$5:$A$44,$A1643,Premissas!$B$5:$B$44,$B1643)</f>
        <v/>
      </c>
      <c r="L1643" s="29">
        <f>J1643-K1643</f>
        <v/>
      </c>
      <c r="M1643" t="inlineStr">
        <is>
          <t>1.350</t>
        </is>
      </c>
      <c r="N1643" t="inlineStr">
        <is>
          <t>Modalidade: 0 - Por conta do remetente | Parte: MARECO SCHNEIDER COMERCIO DE EMBALAGENS LTDA (19.221.172/0001-13)</t>
        </is>
      </c>
      <c r="O1643" s="29" t="n">
        <v>0</v>
      </c>
      <c r="P1643" s="29" t="n">
        <v>0</v>
      </c>
      <c r="Q1643" s="29" t="n">
        <v>0</v>
      </c>
      <c r="R1643" s="29" t="n">
        <v>0</v>
      </c>
      <c r="S1643" s="29" t="n">
        <v>0</v>
      </c>
      <c r="T1643" t="inlineStr">
        <is>
          <t>25250626975620000130570010000044961000000000</t>
        </is>
      </c>
      <c r="U1643" t="inlineStr">
        <is>
          <t>Não</t>
        </is>
      </c>
    </row>
    <row r="1644">
      <c r="A1644" t="inlineStr">
        <is>
          <t>Frete de venda</t>
        </is>
      </c>
      <c r="B1644" t="inlineStr">
        <is>
          <t>2.01.02 Frete sobre Vendas</t>
        </is>
      </c>
      <c r="C1644" t="inlineStr">
        <is>
          <t>Antes de 2026</t>
        </is>
      </c>
      <c r="D1644" t="inlineStr">
        <is>
          <t>Antes de 2026</t>
        </is>
      </c>
      <c r="E1644" s="28" t="n">
        <v>45831</v>
      </c>
      <c r="F1644" t="inlineStr">
        <is>
          <t>CT-e</t>
        </is>
      </c>
      <c r="G1644" t="inlineStr">
        <is>
          <t>000004497</t>
        </is>
      </c>
      <c r="H1644" t="inlineStr">
        <is>
          <t>R&amp;R TRANSPORTE E LOGISTICA</t>
        </is>
      </c>
      <c r="J1644" s="29" t="n">
        <v>20.16</v>
      </c>
      <c r="K1644" s="29">
        <f>(1-ISNUMBER(SEARCH("556",M1644)))*(O1644*SUMIFS(Premissas!$C$5:$C$44,Premissas!$A$5:$A$44,$A1644,Premissas!$B$5:$B$44,$B1644)+P1644*SUMIFS(Premissas!$D$5:$D$44,Premissas!$A$5:$A$44,$A1644,Premissas!$B$5:$B$44,$B1644))+R1644*SUMIFS(Premissas!$E$5:$E$44,Premissas!$A$5:$A$44,$A1644,Premissas!$B$5:$B$44,$B1644)+S1644*SUMIFS(Premissas!$F$5:$F$44,Premissas!$A$5:$A$44,$A1644,Premissas!$B$5:$B$44,$B1644)</f>
        <v/>
      </c>
      <c r="L1644" s="29">
        <f>J1644-K1644</f>
        <v/>
      </c>
      <c r="M1644" t="inlineStr">
        <is>
          <t>1.350</t>
        </is>
      </c>
      <c r="N1644" t="inlineStr">
        <is>
          <t>Modalidade: 0 - Por conta do remetente | Parte: MATEUS LOURENCO LTDA (81.035.735/0001-52)</t>
        </is>
      </c>
      <c r="O1644" s="29" t="n">
        <v>0</v>
      </c>
      <c r="P1644" s="29" t="n">
        <v>0</v>
      </c>
      <c r="Q1644" s="29" t="n">
        <v>0</v>
      </c>
      <c r="R1644" s="29" t="n">
        <v>0</v>
      </c>
      <c r="S1644" s="29" t="n">
        <v>0</v>
      </c>
      <c r="T1644" t="inlineStr">
        <is>
          <t>25250626975620000130570010000044971000000008</t>
        </is>
      </c>
      <c r="U1644" t="inlineStr">
        <is>
          <t>Não</t>
        </is>
      </c>
    </row>
    <row r="1645">
      <c r="A1645" t="inlineStr">
        <is>
          <t>Frete de venda</t>
        </is>
      </c>
      <c r="B1645" t="inlineStr">
        <is>
          <t>2.01.02 Frete sobre Vendas</t>
        </is>
      </c>
      <c r="C1645" t="inlineStr">
        <is>
          <t>Antes de 2026</t>
        </is>
      </c>
      <c r="D1645" t="inlineStr">
        <is>
          <t>Antes de 2026</t>
        </is>
      </c>
      <c r="E1645" s="28" t="n">
        <v>45831</v>
      </c>
      <c r="F1645" t="inlineStr">
        <is>
          <t>CT-e</t>
        </is>
      </c>
      <c r="G1645" t="inlineStr">
        <is>
          <t>000004498</t>
        </is>
      </c>
      <c r="H1645" t="inlineStr">
        <is>
          <t>R&amp;R TRANSPORTE E LOGISTICA</t>
        </is>
      </c>
      <c r="J1645" s="29" t="n">
        <v>21.79</v>
      </c>
      <c r="K1645" s="29">
        <f>(1-ISNUMBER(SEARCH("556",M1645)))*(O1645*SUMIFS(Premissas!$C$5:$C$44,Premissas!$A$5:$A$44,$A1645,Premissas!$B$5:$B$44,$B1645)+P1645*SUMIFS(Premissas!$D$5:$D$44,Premissas!$A$5:$A$44,$A1645,Premissas!$B$5:$B$44,$B1645))+R1645*SUMIFS(Premissas!$E$5:$E$44,Premissas!$A$5:$A$44,$A1645,Premissas!$B$5:$B$44,$B1645)+S1645*SUMIFS(Premissas!$F$5:$F$44,Premissas!$A$5:$A$44,$A1645,Premissas!$B$5:$B$44,$B1645)</f>
        <v/>
      </c>
      <c r="L1645" s="29">
        <f>J1645-K1645</f>
        <v/>
      </c>
      <c r="M1645" t="inlineStr">
        <is>
          <t>1.350</t>
        </is>
      </c>
      <c r="N1645" t="inlineStr">
        <is>
          <t>Modalidade: 0 - Por conta do remetente | Parte: CAMPOPLASTIC ATACADO LTDA. (30.385.394/0001-04)</t>
        </is>
      </c>
      <c r="O1645" s="29" t="n">
        <v>0</v>
      </c>
      <c r="P1645" s="29" t="n">
        <v>0</v>
      </c>
      <c r="Q1645" s="29" t="n">
        <v>0</v>
      </c>
      <c r="R1645" s="29" t="n">
        <v>0</v>
      </c>
      <c r="S1645" s="29" t="n">
        <v>0</v>
      </c>
      <c r="T1645" t="inlineStr">
        <is>
          <t>25250626975620000130570010000044981000000005</t>
        </is>
      </c>
      <c r="U1645" t="inlineStr">
        <is>
          <t>Não</t>
        </is>
      </c>
    </row>
    <row r="1646">
      <c r="A1646" t="inlineStr">
        <is>
          <t>Frete de venda</t>
        </is>
      </c>
      <c r="B1646" t="inlineStr">
        <is>
          <t>2.01.02 Frete sobre Vendas</t>
        </is>
      </c>
      <c r="C1646" t="inlineStr">
        <is>
          <t>Antes de 2026</t>
        </is>
      </c>
      <c r="D1646" t="inlineStr">
        <is>
          <t>Antes de 2026</t>
        </is>
      </c>
      <c r="E1646" s="28" t="n">
        <v>45831</v>
      </c>
      <c r="F1646" t="inlineStr">
        <is>
          <t>CT-e</t>
        </is>
      </c>
      <c r="G1646" t="inlineStr">
        <is>
          <t>000004499</t>
        </is>
      </c>
      <c r="H1646" t="inlineStr">
        <is>
          <t>R&amp;R TRANSPORTE E LOGISTICA</t>
        </is>
      </c>
      <c r="J1646" s="29" t="n">
        <v>25.49</v>
      </c>
      <c r="K1646" s="29">
        <f>(1-ISNUMBER(SEARCH("556",M1646)))*(O1646*SUMIFS(Premissas!$C$5:$C$44,Premissas!$A$5:$A$44,$A1646,Premissas!$B$5:$B$44,$B1646)+P1646*SUMIFS(Premissas!$D$5:$D$44,Premissas!$A$5:$A$44,$A1646,Premissas!$B$5:$B$44,$B1646))+R1646*SUMIFS(Premissas!$E$5:$E$44,Premissas!$A$5:$A$44,$A1646,Premissas!$B$5:$B$44,$B1646)+S1646*SUMIFS(Premissas!$F$5:$F$44,Premissas!$A$5:$A$44,$A1646,Premissas!$B$5:$B$44,$B1646)</f>
        <v/>
      </c>
      <c r="L1646" s="29">
        <f>J1646-K1646</f>
        <v/>
      </c>
      <c r="M1646" t="inlineStr">
        <is>
          <t>1.350</t>
        </is>
      </c>
      <c r="N1646" t="inlineStr">
        <is>
          <t>Modalidade: 0 - Por conta do remetente | Parte: CIAPEL - COMERCIO DE PAPEIS E EMBALAGENS LTDA (79.701.744/0001-93)</t>
        </is>
      </c>
      <c r="O1646" s="29" t="n">
        <v>0</v>
      </c>
      <c r="P1646" s="29" t="n">
        <v>0</v>
      </c>
      <c r="Q1646" s="29" t="n">
        <v>0</v>
      </c>
      <c r="R1646" s="29" t="n">
        <v>0</v>
      </c>
      <c r="S1646" s="29" t="n">
        <v>0</v>
      </c>
      <c r="T1646" t="inlineStr">
        <is>
          <t>25250626975620000130570010000044991000000002</t>
        </is>
      </c>
      <c r="U1646" t="inlineStr">
        <is>
          <t>Não</t>
        </is>
      </c>
    </row>
    <row r="1647">
      <c r="A1647" t="inlineStr">
        <is>
          <t>Frete de venda</t>
        </is>
      </c>
      <c r="B1647" t="inlineStr">
        <is>
          <t>2.01.02 Frete sobre Vendas</t>
        </is>
      </c>
      <c r="C1647" t="inlineStr">
        <is>
          <t>Antes de 2026</t>
        </is>
      </c>
      <c r="D1647" t="inlineStr">
        <is>
          <t>Antes de 2026</t>
        </is>
      </c>
      <c r="E1647" s="28" t="n">
        <v>45832</v>
      </c>
      <c r="F1647" t="inlineStr">
        <is>
          <t>CT-e</t>
        </is>
      </c>
      <c r="G1647" t="inlineStr">
        <is>
          <t>000004500</t>
        </is>
      </c>
      <c r="H1647" t="inlineStr">
        <is>
          <t>R&amp;R TRANSPORTE E LOGISTICA</t>
        </is>
      </c>
      <c r="J1647" s="29" t="n">
        <v>2160</v>
      </c>
      <c r="K1647" s="29">
        <f>(1-ISNUMBER(SEARCH("556",M1647)))*(O1647*SUMIFS(Premissas!$C$5:$C$44,Premissas!$A$5:$A$44,$A1647,Premissas!$B$5:$B$44,$B1647)+P1647*SUMIFS(Premissas!$D$5:$D$44,Premissas!$A$5:$A$44,$A1647,Premissas!$B$5:$B$44,$B1647))+R1647*SUMIFS(Premissas!$E$5:$E$44,Premissas!$A$5:$A$44,$A1647,Premissas!$B$5:$B$44,$B1647)+S1647*SUMIFS(Premissas!$F$5:$F$44,Premissas!$A$5:$A$44,$A1647,Premissas!$B$5:$B$44,$B1647)</f>
        <v/>
      </c>
      <c r="L1647" s="29">
        <f>J1647-K1647</f>
        <v/>
      </c>
      <c r="M1647" t="inlineStr">
        <is>
          <t>1.350</t>
        </is>
      </c>
      <c r="N1647" t="inlineStr">
        <is>
          <t>Modalidade: 0 - Por conta do remetente | Parte: TREVO COMERCIO DE EMBALAGENS LTDA (08.178.510/0001-65)</t>
        </is>
      </c>
      <c r="O1647" s="29" t="n">
        <v>0</v>
      </c>
      <c r="P1647" s="29" t="n">
        <v>0</v>
      </c>
      <c r="Q1647" s="29" t="n">
        <v>0</v>
      </c>
      <c r="R1647" s="29" t="n">
        <v>0</v>
      </c>
      <c r="S1647" s="29" t="n">
        <v>0</v>
      </c>
      <c r="T1647" t="inlineStr">
        <is>
          <t>25250626975620000130570010000045001000000005</t>
        </is>
      </c>
      <c r="U1647" t="inlineStr">
        <is>
          <t>Não</t>
        </is>
      </c>
    </row>
    <row r="1648">
      <c r="A1648" t="inlineStr">
        <is>
          <t>Frete de venda</t>
        </is>
      </c>
      <c r="B1648" t="inlineStr">
        <is>
          <t>2.01.02 Frete sobre Vendas</t>
        </is>
      </c>
      <c r="C1648" t="inlineStr">
        <is>
          <t>Antes de 2026</t>
        </is>
      </c>
      <c r="D1648" t="inlineStr">
        <is>
          <t>Antes de 2026</t>
        </is>
      </c>
      <c r="E1648" s="28" t="n">
        <v>45832</v>
      </c>
      <c r="F1648" t="inlineStr">
        <is>
          <t>CT-e</t>
        </is>
      </c>
      <c r="G1648" t="inlineStr">
        <is>
          <t>000004501</t>
        </is>
      </c>
      <c r="H1648" t="inlineStr">
        <is>
          <t>R&amp;R TRANSPORTE E LOGISTICA</t>
        </is>
      </c>
      <c r="J1648" s="29" t="n">
        <v>3950</v>
      </c>
      <c r="K1648" s="29">
        <f>(1-ISNUMBER(SEARCH("556",M1648)))*(O1648*SUMIFS(Premissas!$C$5:$C$44,Premissas!$A$5:$A$44,$A1648,Premissas!$B$5:$B$44,$B1648)+P1648*SUMIFS(Premissas!$D$5:$D$44,Premissas!$A$5:$A$44,$A1648,Premissas!$B$5:$B$44,$B1648))+R1648*SUMIFS(Premissas!$E$5:$E$44,Premissas!$A$5:$A$44,$A1648,Premissas!$B$5:$B$44,$B1648)+S1648*SUMIFS(Premissas!$F$5:$F$44,Premissas!$A$5:$A$44,$A1648,Premissas!$B$5:$B$44,$B1648)</f>
        <v/>
      </c>
      <c r="L1648" s="29">
        <f>J1648-K1648</f>
        <v/>
      </c>
      <c r="M1648" t="inlineStr">
        <is>
          <t>1.350</t>
        </is>
      </c>
      <c r="N1648" t="inlineStr">
        <is>
          <t>Modalidade: 0 - Por conta do remetente | Parte: ALBUQUERQUE E FREIRE LTDA (09.358.347/0002-66)</t>
        </is>
      </c>
      <c r="O1648" s="29" t="n">
        <v>0</v>
      </c>
      <c r="P1648" s="29" t="n">
        <v>0</v>
      </c>
      <c r="Q1648" s="29" t="n">
        <v>0</v>
      </c>
      <c r="R1648" s="29" t="n">
        <v>0</v>
      </c>
      <c r="S1648" s="29" t="n">
        <v>0</v>
      </c>
      <c r="T1648" t="inlineStr">
        <is>
          <t>25250626975620000130570010000045011000000002</t>
        </is>
      </c>
      <c r="U1648" t="inlineStr">
        <is>
          <t>Não</t>
        </is>
      </c>
    </row>
    <row r="1649">
      <c r="A1649" t="inlineStr">
        <is>
          <t>Frete de venda</t>
        </is>
      </c>
      <c r="B1649" t="inlineStr">
        <is>
          <t>2.01.02 Frete sobre Vendas</t>
        </is>
      </c>
      <c r="C1649" t="inlineStr">
        <is>
          <t>Antes de 2026</t>
        </is>
      </c>
      <c r="D1649" t="inlineStr">
        <is>
          <t>Antes de 2026</t>
        </is>
      </c>
      <c r="E1649" s="28" t="n">
        <v>45833</v>
      </c>
      <c r="F1649" t="inlineStr">
        <is>
          <t>CT-e</t>
        </is>
      </c>
      <c r="G1649" t="inlineStr">
        <is>
          <t>000004503</t>
        </is>
      </c>
      <c r="H1649" t="inlineStr">
        <is>
          <t>R&amp;R TRANSPORTE E LOGISTICA</t>
        </is>
      </c>
      <c r="J1649" s="29" t="n">
        <v>40.61</v>
      </c>
      <c r="K1649" s="29">
        <f>(1-ISNUMBER(SEARCH("556",M1649)))*(O1649*SUMIFS(Premissas!$C$5:$C$44,Premissas!$A$5:$A$44,$A1649,Premissas!$B$5:$B$44,$B1649)+P1649*SUMIFS(Premissas!$D$5:$D$44,Premissas!$A$5:$A$44,$A1649,Premissas!$B$5:$B$44,$B1649))+R1649*SUMIFS(Premissas!$E$5:$E$44,Premissas!$A$5:$A$44,$A1649,Premissas!$B$5:$B$44,$B1649)+S1649*SUMIFS(Premissas!$F$5:$F$44,Premissas!$A$5:$A$44,$A1649,Premissas!$B$5:$B$44,$B1649)</f>
        <v/>
      </c>
      <c r="L1649" s="29">
        <f>J1649-K1649</f>
        <v/>
      </c>
      <c r="M1649" t="inlineStr">
        <is>
          <t>1.350</t>
        </is>
      </c>
      <c r="N1649" t="inlineStr">
        <is>
          <t>Modalidade: 0 - Por conta do remetente | Parte: PJ RIO E-COMMERCE EM DESCARTAVEIS E PRODUTOS DE LIMPEZA ... (55.555.448/0001-63)</t>
        </is>
      </c>
      <c r="O1649" s="29" t="n">
        <v>0</v>
      </c>
      <c r="P1649" s="29" t="n">
        <v>0</v>
      </c>
      <c r="Q1649" s="29" t="n">
        <v>0</v>
      </c>
      <c r="R1649" s="29" t="n">
        <v>0</v>
      </c>
      <c r="S1649" s="29" t="n">
        <v>0</v>
      </c>
      <c r="T1649" t="inlineStr">
        <is>
          <t>25250626975620000130570010000045031000000007</t>
        </is>
      </c>
      <c r="U1649" t="inlineStr">
        <is>
          <t>Não</t>
        </is>
      </c>
    </row>
    <row r="1650">
      <c r="A1650" t="inlineStr">
        <is>
          <t>Frete de venda</t>
        </is>
      </c>
      <c r="B1650" t="inlineStr">
        <is>
          <t>2.01.02 Frete sobre Vendas</t>
        </is>
      </c>
      <c r="C1650" t="inlineStr">
        <is>
          <t>Antes de 2026</t>
        </is>
      </c>
      <c r="D1650" t="inlineStr">
        <is>
          <t>Antes de 2026</t>
        </is>
      </c>
      <c r="E1650" s="28" t="n">
        <v>45833</v>
      </c>
      <c r="F1650" t="inlineStr">
        <is>
          <t>CT-e</t>
        </is>
      </c>
      <c r="G1650" t="inlineStr">
        <is>
          <t>000004504</t>
        </is>
      </c>
      <c r="H1650" t="inlineStr">
        <is>
          <t>R&amp;R TRANSPORTE E LOGISTICA</t>
        </is>
      </c>
      <c r="J1650" s="29" t="n">
        <v>26.14</v>
      </c>
      <c r="K1650" s="29">
        <f>(1-ISNUMBER(SEARCH("556",M1650)))*(O1650*SUMIFS(Premissas!$C$5:$C$44,Premissas!$A$5:$A$44,$A1650,Premissas!$B$5:$B$44,$B1650)+P1650*SUMIFS(Premissas!$D$5:$D$44,Premissas!$A$5:$A$44,$A1650,Premissas!$B$5:$B$44,$B1650))+R1650*SUMIFS(Premissas!$E$5:$E$44,Premissas!$A$5:$A$44,$A1650,Premissas!$B$5:$B$44,$B1650)+S1650*SUMIFS(Premissas!$F$5:$F$44,Premissas!$A$5:$A$44,$A1650,Premissas!$B$5:$B$44,$B1650)</f>
        <v/>
      </c>
      <c r="L1650" s="29">
        <f>J1650-K1650</f>
        <v/>
      </c>
      <c r="M1650" t="inlineStr">
        <is>
          <t>1.350</t>
        </is>
      </c>
      <c r="N1650" t="inlineStr">
        <is>
          <t>Modalidade: 0 - Por conta do remetente | Parte: DISTRIBUIDORA RIO UTILIDADES FESTAS E ALIMENTOS LTDA (40.961.436/0001-61)</t>
        </is>
      </c>
      <c r="O1650" s="29" t="n">
        <v>0</v>
      </c>
      <c r="P1650" s="29" t="n">
        <v>0</v>
      </c>
      <c r="Q1650" s="29" t="n">
        <v>0</v>
      </c>
      <c r="R1650" s="29" t="n">
        <v>0</v>
      </c>
      <c r="S1650" s="29" t="n">
        <v>0</v>
      </c>
      <c r="T1650" t="inlineStr">
        <is>
          <t>25250626975620000130570010000045041000000004</t>
        </is>
      </c>
      <c r="U1650" t="inlineStr">
        <is>
          <t>Não</t>
        </is>
      </c>
    </row>
    <row r="1651">
      <c r="A1651" t="inlineStr">
        <is>
          <t>Frete de venda</t>
        </is>
      </c>
      <c r="B1651" t="inlineStr">
        <is>
          <t>2.01.02 Frete sobre Vendas</t>
        </is>
      </c>
      <c r="C1651" t="inlineStr">
        <is>
          <t>Antes de 2026</t>
        </is>
      </c>
      <c r="D1651" t="inlineStr">
        <is>
          <t>Antes de 2026</t>
        </is>
      </c>
      <c r="E1651" s="28" t="n">
        <v>45833</v>
      </c>
      <c r="F1651" t="inlineStr">
        <is>
          <t>CT-e</t>
        </is>
      </c>
      <c r="G1651" t="inlineStr">
        <is>
          <t>000004505</t>
        </is>
      </c>
      <c r="H1651" t="inlineStr">
        <is>
          <t>R&amp;R TRANSPORTE E LOGISTICA</t>
        </is>
      </c>
      <c r="J1651" s="29" t="n">
        <v>40.4</v>
      </c>
      <c r="K1651" s="29">
        <f>(1-ISNUMBER(SEARCH("556",M1651)))*(O1651*SUMIFS(Premissas!$C$5:$C$44,Premissas!$A$5:$A$44,$A1651,Premissas!$B$5:$B$44,$B1651)+P1651*SUMIFS(Premissas!$D$5:$D$44,Premissas!$A$5:$A$44,$A1651,Premissas!$B$5:$B$44,$B1651))+R1651*SUMIFS(Premissas!$E$5:$E$44,Premissas!$A$5:$A$44,$A1651,Premissas!$B$5:$B$44,$B1651)+S1651*SUMIFS(Premissas!$F$5:$F$44,Premissas!$A$5:$A$44,$A1651,Premissas!$B$5:$B$44,$B1651)</f>
        <v/>
      </c>
      <c r="L1651" s="29">
        <f>J1651-K1651</f>
        <v/>
      </c>
      <c r="M1651" t="inlineStr">
        <is>
          <t>1.350</t>
        </is>
      </c>
      <c r="N1651" t="inlineStr">
        <is>
          <t>Modalidade: 0 - Por conta do remetente | Parte: SHALOM COMERCIO DE EMBALAGENS LTDA (30.935.496/0001-56)</t>
        </is>
      </c>
      <c r="O1651" s="29" t="n">
        <v>0</v>
      </c>
      <c r="P1651" s="29" t="n">
        <v>0</v>
      </c>
      <c r="Q1651" s="29" t="n">
        <v>0</v>
      </c>
      <c r="R1651" s="29" t="n">
        <v>0</v>
      </c>
      <c r="S1651" s="29" t="n">
        <v>0</v>
      </c>
      <c r="T1651" t="inlineStr">
        <is>
          <t>25250626975620000130570010000045051000000001</t>
        </is>
      </c>
      <c r="U1651" t="inlineStr">
        <is>
          <t>Não</t>
        </is>
      </c>
    </row>
    <row r="1652">
      <c r="A1652" t="inlineStr">
        <is>
          <t>Frete de venda</t>
        </is>
      </c>
      <c r="B1652" t="inlineStr">
        <is>
          <t>2.01.02 Frete sobre Vendas</t>
        </is>
      </c>
      <c r="C1652" t="inlineStr">
        <is>
          <t>Antes de 2026</t>
        </is>
      </c>
      <c r="D1652" t="inlineStr">
        <is>
          <t>Antes de 2026</t>
        </is>
      </c>
      <c r="E1652" s="28" t="n">
        <v>45833</v>
      </c>
      <c r="F1652" t="inlineStr">
        <is>
          <t>CT-e</t>
        </is>
      </c>
      <c r="G1652" t="inlineStr">
        <is>
          <t>000004506</t>
        </is>
      </c>
      <c r="H1652" t="inlineStr">
        <is>
          <t>R&amp;R TRANSPORTE E LOGISTICA</t>
        </is>
      </c>
      <c r="J1652" s="29" t="n">
        <v>30.83</v>
      </c>
      <c r="K1652" s="29">
        <f>(1-ISNUMBER(SEARCH("556",M1652)))*(O1652*SUMIFS(Premissas!$C$5:$C$44,Premissas!$A$5:$A$44,$A1652,Premissas!$B$5:$B$44,$B1652)+P1652*SUMIFS(Premissas!$D$5:$D$44,Premissas!$A$5:$A$44,$A1652,Premissas!$B$5:$B$44,$B1652))+R1652*SUMIFS(Premissas!$E$5:$E$44,Premissas!$A$5:$A$44,$A1652,Premissas!$B$5:$B$44,$B1652)+S1652*SUMIFS(Premissas!$F$5:$F$44,Premissas!$A$5:$A$44,$A1652,Premissas!$B$5:$B$44,$B1652)</f>
        <v/>
      </c>
      <c r="L1652" s="29">
        <f>J1652-K1652</f>
        <v/>
      </c>
      <c r="M1652" t="inlineStr">
        <is>
          <t>1.350</t>
        </is>
      </c>
      <c r="N1652" t="inlineStr">
        <is>
          <t>Modalidade: 0 - Por conta do remetente | Parte: NOVA ALIANCA SAQUAREMA BAZAR E EMBALAGENS LTDA (50.217.471/0001-24)</t>
        </is>
      </c>
      <c r="O1652" s="29" t="n">
        <v>0</v>
      </c>
      <c r="P1652" s="29" t="n">
        <v>0</v>
      </c>
      <c r="Q1652" s="29" t="n">
        <v>0</v>
      </c>
      <c r="R1652" s="29" t="n">
        <v>0</v>
      </c>
      <c r="S1652" s="29" t="n">
        <v>0</v>
      </c>
      <c r="T1652" t="inlineStr">
        <is>
          <t>25250626975620000130570010000045061000000009</t>
        </is>
      </c>
      <c r="U1652" t="inlineStr">
        <is>
          <t>Não</t>
        </is>
      </c>
    </row>
    <row r="1653">
      <c r="A1653" t="inlineStr">
        <is>
          <t>Frete de venda</t>
        </is>
      </c>
      <c r="B1653" t="inlineStr">
        <is>
          <t>2.01.02 Frete sobre Vendas</t>
        </is>
      </c>
      <c r="C1653" t="inlineStr">
        <is>
          <t>Antes de 2026</t>
        </is>
      </c>
      <c r="D1653" t="inlineStr">
        <is>
          <t>Antes de 2026</t>
        </is>
      </c>
      <c r="E1653" s="28" t="n">
        <v>45833</v>
      </c>
      <c r="F1653" t="inlineStr">
        <is>
          <t>CT-e</t>
        </is>
      </c>
      <c r="G1653" t="inlineStr">
        <is>
          <t>000004507</t>
        </is>
      </c>
      <c r="H1653" t="inlineStr">
        <is>
          <t>R&amp;R TRANSPORTE E LOGISTICA</t>
        </is>
      </c>
      <c r="J1653" s="29" t="n">
        <v>35.08</v>
      </c>
      <c r="K1653" s="29">
        <f>(1-ISNUMBER(SEARCH("556",M1653)))*(O1653*SUMIFS(Premissas!$C$5:$C$44,Premissas!$A$5:$A$44,$A1653,Premissas!$B$5:$B$44,$B1653)+P1653*SUMIFS(Premissas!$D$5:$D$44,Premissas!$A$5:$A$44,$A1653,Premissas!$B$5:$B$44,$B1653))+R1653*SUMIFS(Premissas!$E$5:$E$44,Premissas!$A$5:$A$44,$A1653,Premissas!$B$5:$B$44,$B1653)+S1653*SUMIFS(Premissas!$F$5:$F$44,Premissas!$A$5:$A$44,$A1653,Premissas!$B$5:$B$44,$B1653)</f>
        <v/>
      </c>
      <c r="L1653" s="29">
        <f>J1653-K1653</f>
        <v/>
      </c>
      <c r="M1653" t="inlineStr">
        <is>
          <t>1.350</t>
        </is>
      </c>
      <c r="N1653" t="inlineStr">
        <is>
          <t>Modalidade: 0 - Por conta do remetente | Parte: BIEL e NIEL MERCEARIA LTDA. (08.969.758/0001-44)</t>
        </is>
      </c>
      <c r="O1653" s="29" t="n">
        <v>0</v>
      </c>
      <c r="P1653" s="29" t="n">
        <v>0</v>
      </c>
      <c r="Q1653" s="29" t="n">
        <v>0</v>
      </c>
      <c r="R1653" s="29" t="n">
        <v>0</v>
      </c>
      <c r="S1653" s="29" t="n">
        <v>0</v>
      </c>
      <c r="T1653" t="inlineStr">
        <is>
          <t>25250626975620000130570010000045071000000006</t>
        </is>
      </c>
      <c r="U1653" t="inlineStr">
        <is>
          <t>Não</t>
        </is>
      </c>
    </row>
    <row r="1654">
      <c r="A1654" t="inlineStr">
        <is>
          <t>Frete de venda</t>
        </is>
      </c>
      <c r="B1654" t="inlineStr">
        <is>
          <t>2.01.02 Frete sobre Vendas</t>
        </is>
      </c>
      <c r="C1654" t="inlineStr">
        <is>
          <t>Antes de 2026</t>
        </is>
      </c>
      <c r="D1654" t="inlineStr">
        <is>
          <t>Antes de 2026</t>
        </is>
      </c>
      <c r="E1654" s="28" t="n">
        <v>45833</v>
      </c>
      <c r="F1654" t="inlineStr">
        <is>
          <t>CT-e</t>
        </is>
      </c>
      <c r="G1654" t="inlineStr">
        <is>
          <t>000004508</t>
        </is>
      </c>
      <c r="H1654" t="inlineStr">
        <is>
          <t>R&amp;R TRANSPORTE E LOGISTICA</t>
        </is>
      </c>
      <c r="J1654" s="29" t="n">
        <v>39.51</v>
      </c>
      <c r="K1654" s="29">
        <f>(1-ISNUMBER(SEARCH("556",M1654)))*(O1654*SUMIFS(Premissas!$C$5:$C$44,Premissas!$A$5:$A$44,$A1654,Premissas!$B$5:$B$44,$B1654)+P1654*SUMIFS(Premissas!$D$5:$D$44,Premissas!$A$5:$A$44,$A1654,Premissas!$B$5:$B$44,$B1654))+R1654*SUMIFS(Premissas!$E$5:$E$44,Premissas!$A$5:$A$44,$A1654,Premissas!$B$5:$B$44,$B1654)+S1654*SUMIFS(Premissas!$F$5:$F$44,Premissas!$A$5:$A$44,$A1654,Premissas!$B$5:$B$44,$B1654)</f>
        <v/>
      </c>
      <c r="L1654" s="29">
        <f>J1654-K1654</f>
        <v/>
      </c>
      <c r="M1654" t="inlineStr">
        <is>
          <t>1.350</t>
        </is>
      </c>
      <c r="N1654" t="inlineStr">
        <is>
          <t>Modalidade: 0 - Por conta do remetente | Parte: AMERICA ATACADISTA ALIMENTOS E EMBALAGENS LTDA (51.238.409/0001-81)</t>
        </is>
      </c>
      <c r="O1654" s="29" t="n">
        <v>0</v>
      </c>
      <c r="P1654" s="29" t="n">
        <v>0</v>
      </c>
      <c r="Q1654" s="29" t="n">
        <v>0</v>
      </c>
      <c r="R1654" s="29" t="n">
        <v>0</v>
      </c>
      <c r="S1654" s="29" t="n">
        <v>0</v>
      </c>
      <c r="T1654" t="inlineStr">
        <is>
          <t>25250626975620000130570010000045081000000003</t>
        </is>
      </c>
      <c r="U1654" t="inlineStr">
        <is>
          <t>Não</t>
        </is>
      </c>
    </row>
    <row r="1655">
      <c r="A1655" t="inlineStr">
        <is>
          <t>Frete de venda</t>
        </is>
      </c>
      <c r="B1655" t="inlineStr">
        <is>
          <t>2.01.02 Frete sobre Vendas</t>
        </is>
      </c>
      <c r="C1655" t="inlineStr">
        <is>
          <t>Antes de 2026</t>
        </is>
      </c>
      <c r="D1655" t="inlineStr">
        <is>
          <t>Antes de 2026</t>
        </is>
      </c>
      <c r="E1655" s="28" t="n">
        <v>45833</v>
      </c>
      <c r="F1655" t="inlineStr">
        <is>
          <t>CT-e</t>
        </is>
      </c>
      <c r="G1655" t="inlineStr">
        <is>
          <t>000004509</t>
        </is>
      </c>
      <c r="H1655" t="inlineStr">
        <is>
          <t>R&amp;R TRANSPORTE E LOGISTICA</t>
        </is>
      </c>
      <c r="J1655" s="29" t="n">
        <v>26.43</v>
      </c>
      <c r="K1655" s="29">
        <f>(1-ISNUMBER(SEARCH("556",M1655)))*(O1655*SUMIFS(Premissas!$C$5:$C$44,Premissas!$A$5:$A$44,$A1655,Premissas!$B$5:$B$44,$B1655)+P1655*SUMIFS(Premissas!$D$5:$D$44,Premissas!$A$5:$A$44,$A1655,Premissas!$B$5:$B$44,$B1655))+R1655*SUMIFS(Premissas!$E$5:$E$44,Premissas!$A$5:$A$44,$A1655,Premissas!$B$5:$B$44,$B1655)+S1655*SUMIFS(Premissas!$F$5:$F$44,Premissas!$A$5:$A$44,$A1655,Premissas!$B$5:$B$44,$B1655)</f>
        <v/>
      </c>
      <c r="L1655" s="29">
        <f>J1655-K1655</f>
        <v/>
      </c>
      <c r="M1655" t="inlineStr">
        <is>
          <t>1.350</t>
        </is>
      </c>
      <c r="N1655" t="inlineStr">
        <is>
          <t>Modalidade: 0 - Por conta do remetente | Parte: PLASTEMB COMERCIO DE EMBALAGENS LTDA (01.129.260/0001-24)</t>
        </is>
      </c>
      <c r="O1655" s="29" t="n">
        <v>0</v>
      </c>
      <c r="P1655" s="29" t="n">
        <v>0</v>
      </c>
      <c r="Q1655" s="29" t="n">
        <v>0</v>
      </c>
      <c r="R1655" s="29" t="n">
        <v>0</v>
      </c>
      <c r="S1655" s="29" t="n">
        <v>0</v>
      </c>
      <c r="T1655" t="inlineStr">
        <is>
          <t>25250626975620000130570010000045091000000000</t>
        </is>
      </c>
      <c r="U1655" t="inlineStr">
        <is>
          <t>Não</t>
        </is>
      </c>
    </row>
    <row r="1656">
      <c r="A1656" t="inlineStr">
        <is>
          <t>Frete de venda</t>
        </is>
      </c>
      <c r="B1656" t="inlineStr">
        <is>
          <t>2.01.02 Frete sobre Vendas</t>
        </is>
      </c>
      <c r="C1656" t="inlineStr">
        <is>
          <t>Antes de 2026</t>
        </is>
      </c>
      <c r="D1656" t="inlineStr">
        <is>
          <t>Antes de 2026</t>
        </is>
      </c>
      <c r="E1656" s="28" t="n">
        <v>45833</v>
      </c>
      <c r="F1656" t="inlineStr">
        <is>
          <t>CT-e</t>
        </is>
      </c>
      <c r="G1656" t="inlineStr">
        <is>
          <t>000004510</t>
        </is>
      </c>
      <c r="H1656" t="inlineStr">
        <is>
          <t>R&amp;R TRANSPORTE E LOGISTICA</t>
        </is>
      </c>
      <c r="J1656" s="29" t="n">
        <v>25.49</v>
      </c>
      <c r="K1656" s="29">
        <f>(1-ISNUMBER(SEARCH("556",M1656)))*(O1656*SUMIFS(Premissas!$C$5:$C$44,Premissas!$A$5:$A$44,$A1656,Premissas!$B$5:$B$44,$B1656)+P1656*SUMIFS(Premissas!$D$5:$D$44,Premissas!$A$5:$A$44,$A1656,Premissas!$B$5:$B$44,$B1656))+R1656*SUMIFS(Premissas!$E$5:$E$44,Premissas!$A$5:$A$44,$A1656,Premissas!$B$5:$B$44,$B1656)+S1656*SUMIFS(Premissas!$F$5:$F$44,Premissas!$A$5:$A$44,$A1656,Premissas!$B$5:$B$44,$B1656)</f>
        <v/>
      </c>
      <c r="L1656" s="29">
        <f>J1656-K1656</f>
        <v/>
      </c>
      <c r="M1656" t="inlineStr">
        <is>
          <t>1.350</t>
        </is>
      </c>
      <c r="N1656" t="inlineStr">
        <is>
          <t>Modalidade: 0 - Por conta do remetente | Parte: DISTRIBUIDORA MEGAPLAST LTDA (46.202.367/0001-99)</t>
        </is>
      </c>
      <c r="O1656" s="29" t="n">
        <v>0</v>
      </c>
      <c r="P1656" s="29" t="n">
        <v>0</v>
      </c>
      <c r="Q1656" s="29" t="n">
        <v>0</v>
      </c>
      <c r="R1656" s="29" t="n">
        <v>0</v>
      </c>
      <c r="S1656" s="29" t="n">
        <v>0</v>
      </c>
      <c r="T1656" t="inlineStr">
        <is>
          <t>25250626975620000130570010000045101000000001</t>
        </is>
      </c>
      <c r="U1656" t="inlineStr">
        <is>
          <t>Não</t>
        </is>
      </c>
    </row>
    <row r="1657">
      <c r="A1657" t="inlineStr">
        <is>
          <t>Frete de venda</t>
        </is>
      </c>
      <c r="B1657" t="inlineStr">
        <is>
          <t>2.01.02 Frete sobre Vendas</t>
        </is>
      </c>
      <c r="C1657" t="inlineStr">
        <is>
          <t>Antes de 2026</t>
        </is>
      </c>
      <c r="D1657" t="inlineStr">
        <is>
          <t>Antes de 2026</t>
        </is>
      </c>
      <c r="E1657" s="28" t="n">
        <v>45833</v>
      </c>
      <c r="F1657" t="inlineStr">
        <is>
          <t>CT-e</t>
        </is>
      </c>
      <c r="G1657" t="inlineStr">
        <is>
          <t>000004511</t>
        </is>
      </c>
      <c r="H1657" t="inlineStr">
        <is>
          <t>R&amp;R TRANSPORTE E LOGISTICA</t>
        </is>
      </c>
      <c r="J1657" s="29" t="n">
        <v>30.02</v>
      </c>
      <c r="K1657" s="29">
        <f>(1-ISNUMBER(SEARCH("556",M1657)))*(O1657*SUMIFS(Premissas!$C$5:$C$44,Premissas!$A$5:$A$44,$A1657,Premissas!$B$5:$B$44,$B1657)+P1657*SUMIFS(Premissas!$D$5:$D$44,Premissas!$A$5:$A$44,$A1657,Premissas!$B$5:$B$44,$B1657))+R1657*SUMIFS(Premissas!$E$5:$E$44,Premissas!$A$5:$A$44,$A1657,Premissas!$B$5:$B$44,$B1657)+S1657*SUMIFS(Premissas!$F$5:$F$44,Premissas!$A$5:$A$44,$A1657,Premissas!$B$5:$B$44,$B1657)</f>
        <v/>
      </c>
      <c r="L1657" s="29">
        <f>J1657-K1657</f>
        <v/>
      </c>
      <c r="M1657" t="inlineStr">
        <is>
          <t>1.350</t>
        </is>
      </c>
      <c r="N1657" t="inlineStr">
        <is>
          <t>Modalidade: 0 - Por conta do remetente | Parte: LIPACK COMERCIO DE EMBALAGENS LTDA (25.229.896/0001-06)</t>
        </is>
      </c>
      <c r="O1657" s="29" t="n">
        <v>0</v>
      </c>
      <c r="P1657" s="29" t="n">
        <v>0</v>
      </c>
      <c r="Q1657" s="29" t="n">
        <v>0</v>
      </c>
      <c r="R1657" s="29" t="n">
        <v>0</v>
      </c>
      <c r="S1657" s="29" t="n">
        <v>0</v>
      </c>
      <c r="T1657" t="inlineStr">
        <is>
          <t>25250626975620000130570010000045111000000009</t>
        </is>
      </c>
      <c r="U1657" t="inlineStr">
        <is>
          <t>Não</t>
        </is>
      </c>
    </row>
    <row r="1658">
      <c r="A1658" t="inlineStr">
        <is>
          <t>Frete de venda</t>
        </is>
      </c>
      <c r="B1658" t="inlineStr">
        <is>
          <t>2.01.02 Frete sobre Vendas</t>
        </is>
      </c>
      <c r="C1658" t="inlineStr">
        <is>
          <t>Antes de 2026</t>
        </is>
      </c>
      <c r="D1658" t="inlineStr">
        <is>
          <t>Antes de 2026</t>
        </is>
      </c>
      <c r="E1658" s="28" t="n">
        <v>45834</v>
      </c>
      <c r="F1658" t="inlineStr">
        <is>
          <t>CT-e</t>
        </is>
      </c>
      <c r="G1658" t="inlineStr">
        <is>
          <t>000004517</t>
        </is>
      </c>
      <c r="H1658" t="inlineStr">
        <is>
          <t>R&amp;R TRANSPORTE E LOGISTICA</t>
        </is>
      </c>
      <c r="J1658" s="29" t="n">
        <v>1400</v>
      </c>
      <c r="K1658" s="29">
        <f>(1-ISNUMBER(SEARCH("556",M1658)))*(O1658*SUMIFS(Premissas!$C$5:$C$44,Premissas!$A$5:$A$44,$A1658,Premissas!$B$5:$B$44,$B1658)+P1658*SUMIFS(Premissas!$D$5:$D$44,Premissas!$A$5:$A$44,$A1658,Premissas!$B$5:$B$44,$B1658))+R1658*SUMIFS(Premissas!$E$5:$E$44,Premissas!$A$5:$A$44,$A1658,Premissas!$B$5:$B$44,$B1658)+S1658*SUMIFS(Premissas!$F$5:$F$44,Premissas!$A$5:$A$44,$A1658,Premissas!$B$5:$B$44,$B1658)</f>
        <v/>
      </c>
      <c r="L1658" s="29">
        <f>J1658-K1658</f>
        <v/>
      </c>
      <c r="M1658" t="inlineStr">
        <is>
          <t>1.350</t>
        </is>
      </c>
      <c r="N1658" t="inlineStr">
        <is>
          <t>Transportadora de frete de venda, mas pela modalidade do frete a Vinco recebeu a carga | Modalidade: 1 - Por conta do destinatário | Parte: CELESTE ALIMENTOS E PANIFICACAO LTDA (12.808.484/0001-89)</t>
        </is>
      </c>
      <c r="O1658" s="29" t="n">
        <v>0</v>
      </c>
      <c r="P1658" s="29" t="n">
        <v>0</v>
      </c>
      <c r="Q1658" s="29" t="n">
        <v>0</v>
      </c>
      <c r="R1658" s="29" t="n">
        <v>0</v>
      </c>
      <c r="S1658" s="29" t="n">
        <v>0</v>
      </c>
      <c r="T1658" t="inlineStr">
        <is>
          <t>25250626975620000130570010000045171000000002</t>
        </is>
      </c>
      <c r="U1658" t="inlineStr">
        <is>
          <t>Não</t>
        </is>
      </c>
    </row>
    <row r="1659">
      <c r="A1659" t="inlineStr">
        <is>
          <t>Frete de venda</t>
        </is>
      </c>
      <c r="B1659" t="inlineStr">
        <is>
          <t>2.01.02 Frete sobre Vendas</t>
        </is>
      </c>
      <c r="C1659" t="inlineStr">
        <is>
          <t>Antes de 2026</t>
        </is>
      </c>
      <c r="D1659" t="inlineStr">
        <is>
          <t>Antes de 2026</t>
        </is>
      </c>
      <c r="E1659" s="28" t="n">
        <v>45835</v>
      </c>
      <c r="F1659" t="inlineStr">
        <is>
          <t>CT-e</t>
        </is>
      </c>
      <c r="G1659" t="inlineStr">
        <is>
          <t>000004520</t>
        </is>
      </c>
      <c r="H1659" t="inlineStr">
        <is>
          <t>R&amp;R TRANSPORTE E LOGISTICA</t>
        </is>
      </c>
      <c r="J1659" s="29" t="n">
        <v>51.15</v>
      </c>
      <c r="K1659" s="29">
        <f>(1-ISNUMBER(SEARCH("556",M1659)))*(O1659*SUMIFS(Premissas!$C$5:$C$44,Premissas!$A$5:$A$44,$A1659,Premissas!$B$5:$B$44,$B1659)+P1659*SUMIFS(Premissas!$D$5:$D$44,Premissas!$A$5:$A$44,$A1659,Premissas!$B$5:$B$44,$B1659))+R1659*SUMIFS(Premissas!$E$5:$E$44,Premissas!$A$5:$A$44,$A1659,Premissas!$B$5:$B$44,$B1659)+S1659*SUMIFS(Premissas!$F$5:$F$44,Premissas!$A$5:$A$44,$A1659,Premissas!$B$5:$B$44,$B1659)</f>
        <v/>
      </c>
      <c r="L1659" s="29">
        <f>J1659-K1659</f>
        <v/>
      </c>
      <c r="M1659" t="inlineStr">
        <is>
          <t>1.350</t>
        </is>
      </c>
      <c r="N1659" t="inlineStr">
        <is>
          <t>Modalidade: 0 - Por conta do remetente | Parte: ROBSON ADRIANO CUNHA - KIKA FRIOS E EMBALAGENS (28.064.596/0001-02)</t>
        </is>
      </c>
      <c r="O1659" s="29" t="n">
        <v>0</v>
      </c>
      <c r="P1659" s="29" t="n">
        <v>0</v>
      </c>
      <c r="Q1659" s="29" t="n">
        <v>0</v>
      </c>
      <c r="R1659" s="29" t="n">
        <v>0</v>
      </c>
      <c r="S1659" s="29" t="n">
        <v>0</v>
      </c>
      <c r="T1659" t="inlineStr">
        <is>
          <t>25250626975620000130570010000045201000000008</t>
        </is>
      </c>
      <c r="U1659" t="inlineStr">
        <is>
          <t>Não</t>
        </is>
      </c>
    </row>
    <row r="1660">
      <c r="A1660" t="inlineStr">
        <is>
          <t>Frete de venda</t>
        </is>
      </c>
      <c r="B1660" t="inlineStr">
        <is>
          <t>2.01.02 Frete sobre Vendas</t>
        </is>
      </c>
      <c r="C1660" t="inlineStr">
        <is>
          <t>Antes de 2026</t>
        </is>
      </c>
      <c r="D1660" t="inlineStr">
        <is>
          <t>Antes de 2026</t>
        </is>
      </c>
      <c r="E1660" s="28" t="n">
        <v>45835</v>
      </c>
      <c r="F1660" t="inlineStr">
        <is>
          <t>CT-e</t>
        </is>
      </c>
      <c r="G1660" t="inlineStr">
        <is>
          <t>000004521</t>
        </is>
      </c>
      <c r="H1660" t="inlineStr">
        <is>
          <t>R&amp;R TRANSPORTE E LOGISTICA</t>
        </is>
      </c>
      <c r="J1660" s="29" t="n">
        <v>31.76</v>
      </c>
      <c r="K1660" s="29">
        <f>(1-ISNUMBER(SEARCH("556",M1660)))*(O1660*SUMIFS(Premissas!$C$5:$C$44,Premissas!$A$5:$A$44,$A1660,Premissas!$B$5:$B$44,$B1660)+P1660*SUMIFS(Premissas!$D$5:$D$44,Premissas!$A$5:$A$44,$A1660,Premissas!$B$5:$B$44,$B1660))+R1660*SUMIFS(Premissas!$E$5:$E$44,Premissas!$A$5:$A$44,$A1660,Premissas!$B$5:$B$44,$B1660)+S1660*SUMIFS(Premissas!$F$5:$F$44,Premissas!$A$5:$A$44,$A1660,Premissas!$B$5:$B$44,$B1660)</f>
        <v/>
      </c>
      <c r="L1660" s="29">
        <f>J1660-K1660</f>
        <v/>
      </c>
      <c r="M1660" t="inlineStr">
        <is>
          <t>1.350</t>
        </is>
      </c>
      <c r="N1660" t="inlineStr">
        <is>
          <t>Modalidade: 0 - Por conta do remetente | Parte: DANIEL HENRIQUE SILVA BORGES E PIRES LTDA (06.901.586/0001-41)</t>
        </is>
      </c>
      <c r="O1660" s="29" t="n">
        <v>0</v>
      </c>
      <c r="P1660" s="29" t="n">
        <v>0</v>
      </c>
      <c r="Q1660" s="29" t="n">
        <v>0</v>
      </c>
      <c r="R1660" s="29" t="n">
        <v>0</v>
      </c>
      <c r="S1660" s="29" t="n">
        <v>0</v>
      </c>
      <c r="T1660" t="inlineStr">
        <is>
          <t>25250626975620000130570010000045211000000005</t>
        </is>
      </c>
      <c r="U1660" t="inlineStr">
        <is>
          <t>Não</t>
        </is>
      </c>
    </row>
    <row r="1661">
      <c r="A1661" t="inlineStr">
        <is>
          <t>Frete de venda</t>
        </is>
      </c>
      <c r="B1661" t="inlineStr">
        <is>
          <t>2.01.02 Frete sobre Vendas</t>
        </is>
      </c>
      <c r="C1661" t="inlineStr">
        <is>
          <t>Antes de 2026</t>
        </is>
      </c>
      <c r="D1661" t="inlineStr">
        <is>
          <t>Antes de 2026</t>
        </is>
      </c>
      <c r="E1661" s="28" t="n">
        <v>45835</v>
      </c>
      <c r="F1661" t="inlineStr">
        <is>
          <t>CT-e</t>
        </is>
      </c>
      <c r="G1661" t="inlineStr">
        <is>
          <t>000004522</t>
        </is>
      </c>
      <c r="H1661" t="inlineStr">
        <is>
          <t>R&amp;R TRANSPORTE E LOGISTICA</t>
        </is>
      </c>
      <c r="J1661" s="29" t="n">
        <v>35.98</v>
      </c>
      <c r="K1661" s="29">
        <f>(1-ISNUMBER(SEARCH("556",M1661)))*(O1661*SUMIFS(Premissas!$C$5:$C$44,Premissas!$A$5:$A$44,$A1661,Premissas!$B$5:$B$44,$B1661)+P1661*SUMIFS(Premissas!$D$5:$D$44,Premissas!$A$5:$A$44,$A1661,Premissas!$B$5:$B$44,$B1661))+R1661*SUMIFS(Premissas!$E$5:$E$44,Premissas!$A$5:$A$44,$A1661,Premissas!$B$5:$B$44,$B1661)+S1661*SUMIFS(Premissas!$F$5:$F$44,Premissas!$A$5:$A$44,$A1661,Premissas!$B$5:$B$44,$B1661)</f>
        <v/>
      </c>
      <c r="L1661" s="29">
        <f>J1661-K1661</f>
        <v/>
      </c>
      <c r="M1661" t="inlineStr">
        <is>
          <t>1.350</t>
        </is>
      </c>
      <c r="N1661" t="inlineStr">
        <is>
          <t>Modalidade: 0 - Por conta do remetente | Parte: RONI ALIMENTOS LTDA (37.626.043/0001-97)</t>
        </is>
      </c>
      <c r="O1661" s="29" t="n">
        <v>0</v>
      </c>
      <c r="P1661" s="29" t="n">
        <v>0</v>
      </c>
      <c r="Q1661" s="29" t="n">
        <v>0</v>
      </c>
      <c r="R1661" s="29" t="n">
        <v>0</v>
      </c>
      <c r="S1661" s="29" t="n">
        <v>0</v>
      </c>
      <c r="T1661" t="inlineStr">
        <is>
          <t>25250626975620000130570010000045221000000002</t>
        </is>
      </c>
      <c r="U1661" t="inlineStr">
        <is>
          <t>Não</t>
        </is>
      </c>
    </row>
    <row r="1662">
      <c r="A1662" t="inlineStr">
        <is>
          <t>Frete de venda</t>
        </is>
      </c>
      <c r="B1662" t="inlineStr">
        <is>
          <t>2.01.02 Frete sobre Vendas</t>
        </is>
      </c>
      <c r="C1662" t="inlineStr">
        <is>
          <t>Antes de 2026</t>
        </is>
      </c>
      <c r="D1662" t="inlineStr">
        <is>
          <t>Antes de 2026</t>
        </is>
      </c>
      <c r="E1662" s="28" t="n">
        <v>45835</v>
      </c>
      <c r="F1662" t="inlineStr">
        <is>
          <t>CT-e</t>
        </is>
      </c>
      <c r="G1662" t="inlineStr">
        <is>
          <t>000004523</t>
        </is>
      </c>
      <c r="H1662" t="inlineStr">
        <is>
          <t>R&amp;R TRANSPORTE E LOGISTICA</t>
        </is>
      </c>
      <c r="J1662" s="29" t="n">
        <v>59.06</v>
      </c>
      <c r="K1662" s="29">
        <f>(1-ISNUMBER(SEARCH("556",M1662)))*(O1662*SUMIFS(Premissas!$C$5:$C$44,Premissas!$A$5:$A$44,$A1662,Premissas!$B$5:$B$44,$B1662)+P1662*SUMIFS(Premissas!$D$5:$D$44,Premissas!$A$5:$A$44,$A1662,Premissas!$B$5:$B$44,$B1662))+R1662*SUMIFS(Premissas!$E$5:$E$44,Premissas!$A$5:$A$44,$A1662,Premissas!$B$5:$B$44,$B1662)+S1662*SUMIFS(Premissas!$F$5:$F$44,Premissas!$A$5:$A$44,$A1662,Premissas!$B$5:$B$44,$B1662)</f>
        <v/>
      </c>
      <c r="L1662" s="29">
        <f>J1662-K1662</f>
        <v/>
      </c>
      <c r="M1662" t="inlineStr">
        <is>
          <t>1.350</t>
        </is>
      </c>
      <c r="N1662" t="inlineStr">
        <is>
          <t>Modalidade: 0 - Por conta do remetente | Parte: ROSANGELA ROSA DOS SANTOS (17.382.523/0001-42)</t>
        </is>
      </c>
      <c r="O1662" s="29" t="n">
        <v>0</v>
      </c>
      <c r="P1662" s="29" t="n">
        <v>0</v>
      </c>
      <c r="Q1662" s="29" t="n">
        <v>0</v>
      </c>
      <c r="R1662" s="29" t="n">
        <v>0</v>
      </c>
      <c r="S1662" s="29" t="n">
        <v>0</v>
      </c>
      <c r="T1662" t="inlineStr">
        <is>
          <t>25250626975620000130570010000045231000000000</t>
        </is>
      </c>
      <c r="U1662" t="inlineStr">
        <is>
          <t>Não</t>
        </is>
      </c>
    </row>
    <row r="1663">
      <c r="A1663" t="inlineStr">
        <is>
          <t>Frete de venda</t>
        </is>
      </c>
      <c r="B1663" t="inlineStr">
        <is>
          <t>2.01.02 Frete sobre Vendas</t>
        </is>
      </c>
      <c r="C1663" t="inlineStr">
        <is>
          <t>Antes de 2026</t>
        </is>
      </c>
      <c r="D1663" t="inlineStr">
        <is>
          <t>Antes de 2026</t>
        </is>
      </c>
      <c r="E1663" s="28" t="n">
        <v>45835</v>
      </c>
      <c r="F1663" t="inlineStr">
        <is>
          <t>CT-e</t>
        </is>
      </c>
      <c r="G1663" t="inlineStr">
        <is>
          <t>000004524</t>
        </is>
      </c>
      <c r="H1663" t="inlineStr">
        <is>
          <t>R&amp;R TRANSPORTE E LOGISTICA</t>
        </is>
      </c>
      <c r="J1663" s="29" t="n">
        <v>29.66</v>
      </c>
      <c r="K1663" s="29">
        <f>(1-ISNUMBER(SEARCH("556",M1663)))*(O1663*SUMIFS(Premissas!$C$5:$C$44,Premissas!$A$5:$A$44,$A1663,Premissas!$B$5:$B$44,$B1663)+P1663*SUMIFS(Premissas!$D$5:$D$44,Premissas!$A$5:$A$44,$A1663,Premissas!$B$5:$B$44,$B1663))+R1663*SUMIFS(Premissas!$E$5:$E$44,Premissas!$A$5:$A$44,$A1663,Premissas!$B$5:$B$44,$B1663)+S1663*SUMIFS(Premissas!$F$5:$F$44,Premissas!$A$5:$A$44,$A1663,Premissas!$B$5:$B$44,$B1663)</f>
        <v/>
      </c>
      <c r="L1663" s="29">
        <f>J1663-K1663</f>
        <v/>
      </c>
      <c r="M1663" t="inlineStr">
        <is>
          <t>1.350</t>
        </is>
      </c>
      <c r="N1663" t="inlineStr">
        <is>
          <t>Modalidade: 0 - Por conta do remetente | Parte: CENTROSUL EMBALAGENS LTDA (37.758.715/0001-18)</t>
        </is>
      </c>
      <c r="O1663" s="29" t="n">
        <v>0</v>
      </c>
      <c r="P1663" s="29" t="n">
        <v>0</v>
      </c>
      <c r="Q1663" s="29" t="n">
        <v>0</v>
      </c>
      <c r="R1663" s="29" t="n">
        <v>0</v>
      </c>
      <c r="S1663" s="29" t="n">
        <v>0</v>
      </c>
      <c r="T1663" t="inlineStr">
        <is>
          <t>25250626975620000130570010000045241000000007</t>
        </is>
      </c>
      <c r="U1663" t="inlineStr">
        <is>
          <t>Não</t>
        </is>
      </c>
    </row>
    <row r="1664">
      <c r="A1664" t="inlineStr">
        <is>
          <t>Frete de venda</t>
        </is>
      </c>
      <c r="B1664" t="inlineStr">
        <is>
          <t>2.01.02 Frete sobre Vendas</t>
        </is>
      </c>
      <c r="C1664" t="inlineStr">
        <is>
          <t>Antes de 2026</t>
        </is>
      </c>
      <c r="D1664" t="inlineStr">
        <is>
          <t>Antes de 2026</t>
        </is>
      </c>
      <c r="E1664" s="28" t="n">
        <v>45835</v>
      </c>
      <c r="F1664" t="inlineStr">
        <is>
          <t>CT-e</t>
        </is>
      </c>
      <c r="G1664" t="inlineStr">
        <is>
          <t>000004525</t>
        </is>
      </c>
      <c r="H1664" t="inlineStr">
        <is>
          <t>R&amp;R TRANSPORTE E LOGISTICA</t>
        </is>
      </c>
      <c r="J1664" s="29" t="n">
        <v>28.43</v>
      </c>
      <c r="K1664" s="29">
        <f>(1-ISNUMBER(SEARCH("556",M1664)))*(O1664*SUMIFS(Premissas!$C$5:$C$44,Premissas!$A$5:$A$44,$A1664,Premissas!$B$5:$B$44,$B1664)+P1664*SUMIFS(Premissas!$D$5:$D$44,Premissas!$A$5:$A$44,$A1664,Premissas!$B$5:$B$44,$B1664))+R1664*SUMIFS(Premissas!$E$5:$E$44,Premissas!$A$5:$A$44,$A1664,Premissas!$B$5:$B$44,$B1664)+S1664*SUMIFS(Premissas!$F$5:$F$44,Premissas!$A$5:$A$44,$A1664,Premissas!$B$5:$B$44,$B1664)</f>
        <v/>
      </c>
      <c r="L1664" s="29">
        <f>J1664-K1664</f>
        <v/>
      </c>
      <c r="M1664" t="inlineStr">
        <is>
          <t>1.350</t>
        </is>
      </c>
      <c r="N1664" t="inlineStr">
        <is>
          <t>Modalidade: 0 - Por conta do remetente | Parte: IRMAOS BATISTA REZENDE LTDA (13.916.629/0001-28)</t>
        </is>
      </c>
      <c r="O1664" s="29" t="n">
        <v>0</v>
      </c>
      <c r="P1664" s="29" t="n">
        <v>0</v>
      </c>
      <c r="Q1664" s="29" t="n">
        <v>0</v>
      </c>
      <c r="R1664" s="29" t="n">
        <v>0</v>
      </c>
      <c r="S1664" s="29" t="n">
        <v>0</v>
      </c>
      <c r="T1664" t="inlineStr">
        <is>
          <t>25250626975620000130570010000045251000000004</t>
        </is>
      </c>
      <c r="U1664" t="inlineStr">
        <is>
          <t>Não</t>
        </is>
      </c>
    </row>
    <row r="1665">
      <c r="A1665" t="inlineStr">
        <is>
          <t>Frete de venda</t>
        </is>
      </c>
      <c r="B1665" t="inlineStr">
        <is>
          <t>2.01.02 Frete sobre Vendas</t>
        </is>
      </c>
      <c r="C1665" t="inlineStr">
        <is>
          <t>Antes de 2026</t>
        </is>
      </c>
      <c r="D1665" t="inlineStr">
        <is>
          <t>Antes de 2026</t>
        </is>
      </c>
      <c r="E1665" s="28" t="n">
        <v>45835</v>
      </c>
      <c r="F1665" t="inlineStr">
        <is>
          <t>CT-e</t>
        </is>
      </c>
      <c r="G1665" t="inlineStr">
        <is>
          <t>000004526</t>
        </is>
      </c>
      <c r="H1665" t="inlineStr">
        <is>
          <t>R&amp;R TRANSPORTE E LOGISTICA</t>
        </is>
      </c>
      <c r="J1665" s="29" t="n">
        <v>70.34999999999999</v>
      </c>
      <c r="K1665" s="29">
        <f>(1-ISNUMBER(SEARCH("556",M1665)))*(O1665*SUMIFS(Premissas!$C$5:$C$44,Premissas!$A$5:$A$44,$A1665,Premissas!$B$5:$B$44,$B1665)+P1665*SUMIFS(Premissas!$D$5:$D$44,Premissas!$A$5:$A$44,$A1665,Premissas!$B$5:$B$44,$B1665))+R1665*SUMIFS(Premissas!$E$5:$E$44,Premissas!$A$5:$A$44,$A1665,Premissas!$B$5:$B$44,$B1665)+S1665*SUMIFS(Premissas!$F$5:$F$44,Premissas!$A$5:$A$44,$A1665,Premissas!$B$5:$B$44,$B1665)</f>
        <v/>
      </c>
      <c r="L1665" s="29">
        <f>J1665-K1665</f>
        <v/>
      </c>
      <c r="M1665" t="inlineStr">
        <is>
          <t>1.350</t>
        </is>
      </c>
      <c r="N1665" t="inlineStr">
        <is>
          <t>Modalidade: 0 - Por conta do remetente | Parte: EMBALE DISTRIBUIDORA LTDA (33.193.258/0001-00)</t>
        </is>
      </c>
      <c r="O1665" s="29" t="n">
        <v>0</v>
      </c>
      <c r="P1665" s="29" t="n">
        <v>0</v>
      </c>
      <c r="Q1665" s="29" t="n">
        <v>0</v>
      </c>
      <c r="R1665" s="29" t="n">
        <v>0</v>
      </c>
      <c r="S1665" s="29" t="n">
        <v>0</v>
      </c>
      <c r="T1665" t="inlineStr">
        <is>
          <t>25250626975620000130570010000045261000000001</t>
        </is>
      </c>
      <c r="U1665" t="inlineStr">
        <is>
          <t>Não</t>
        </is>
      </c>
    </row>
    <row r="1666">
      <c r="A1666" t="inlineStr">
        <is>
          <t>Frete de venda</t>
        </is>
      </c>
      <c r="B1666" t="inlineStr">
        <is>
          <t>2.01.02 Frete sobre Vendas</t>
        </is>
      </c>
      <c r="C1666" t="inlineStr">
        <is>
          <t>Antes de 2026</t>
        </is>
      </c>
      <c r="D1666" t="inlineStr">
        <is>
          <t>Antes de 2026</t>
        </is>
      </c>
      <c r="E1666" s="28" t="n">
        <v>45835</v>
      </c>
      <c r="F1666" t="inlineStr">
        <is>
          <t>CT-e</t>
        </is>
      </c>
      <c r="G1666" t="inlineStr">
        <is>
          <t>000004527</t>
        </is>
      </c>
      <c r="H1666" t="inlineStr">
        <is>
          <t>R&amp;R TRANSPORTE E LOGISTICA</t>
        </is>
      </c>
      <c r="J1666" s="29" t="n">
        <v>32.28</v>
      </c>
      <c r="K1666" s="29">
        <f>(1-ISNUMBER(SEARCH("556",M1666)))*(O1666*SUMIFS(Premissas!$C$5:$C$44,Premissas!$A$5:$A$44,$A1666,Premissas!$B$5:$B$44,$B1666)+P1666*SUMIFS(Premissas!$D$5:$D$44,Premissas!$A$5:$A$44,$A1666,Premissas!$B$5:$B$44,$B1666))+R1666*SUMIFS(Premissas!$E$5:$E$44,Premissas!$A$5:$A$44,$A1666,Premissas!$B$5:$B$44,$B1666)+S1666*SUMIFS(Premissas!$F$5:$F$44,Premissas!$A$5:$A$44,$A1666,Premissas!$B$5:$B$44,$B1666)</f>
        <v/>
      </c>
      <c r="L1666" s="29">
        <f>J1666-K1666</f>
        <v/>
      </c>
      <c r="M1666" t="inlineStr">
        <is>
          <t>1.350</t>
        </is>
      </c>
      <c r="N1666" t="inlineStr">
        <is>
          <t>Modalidade: 0 - Por conta do remetente | Parte: GS DISTRIBUIDORA DE EMBALAGENS LTDA (24.473.097/0001-18)</t>
        </is>
      </c>
      <c r="O1666" s="29" t="n">
        <v>0</v>
      </c>
      <c r="P1666" s="29" t="n">
        <v>0</v>
      </c>
      <c r="Q1666" s="29" t="n">
        <v>0</v>
      </c>
      <c r="R1666" s="29" t="n">
        <v>0</v>
      </c>
      <c r="S1666" s="29" t="n">
        <v>0</v>
      </c>
      <c r="T1666" t="inlineStr">
        <is>
          <t>25250626975620000130570010000045271000000009</t>
        </is>
      </c>
      <c r="U1666" t="inlineStr">
        <is>
          <t>Não</t>
        </is>
      </c>
    </row>
    <row r="1667">
      <c r="A1667" t="inlineStr">
        <is>
          <t>Frete de venda</t>
        </is>
      </c>
      <c r="B1667" t="inlineStr">
        <is>
          <t>2.01.02 Frete sobre Vendas</t>
        </is>
      </c>
      <c r="C1667" t="inlineStr">
        <is>
          <t>Antes de 2026</t>
        </is>
      </c>
      <c r="D1667" t="inlineStr">
        <is>
          <t>Antes de 2026</t>
        </is>
      </c>
      <c r="E1667" s="28" t="n">
        <v>45835</v>
      </c>
      <c r="F1667" t="inlineStr">
        <is>
          <t>CT-e</t>
        </is>
      </c>
      <c r="G1667" t="inlineStr">
        <is>
          <t>000004528</t>
        </is>
      </c>
      <c r="H1667" t="inlineStr">
        <is>
          <t>R&amp;R TRANSPORTE E LOGISTICA</t>
        </is>
      </c>
      <c r="J1667" s="29" t="n">
        <v>32.16</v>
      </c>
      <c r="K1667" s="29">
        <f>(1-ISNUMBER(SEARCH("556",M1667)))*(O1667*SUMIFS(Premissas!$C$5:$C$44,Premissas!$A$5:$A$44,$A1667,Premissas!$B$5:$B$44,$B1667)+P1667*SUMIFS(Premissas!$D$5:$D$44,Premissas!$A$5:$A$44,$A1667,Premissas!$B$5:$B$44,$B1667))+R1667*SUMIFS(Premissas!$E$5:$E$44,Premissas!$A$5:$A$44,$A1667,Premissas!$B$5:$B$44,$B1667)+S1667*SUMIFS(Premissas!$F$5:$F$44,Premissas!$A$5:$A$44,$A1667,Premissas!$B$5:$B$44,$B1667)</f>
        <v/>
      </c>
      <c r="L1667" s="29">
        <f>J1667-K1667</f>
        <v/>
      </c>
      <c r="M1667" t="inlineStr">
        <is>
          <t>1.350</t>
        </is>
      </c>
      <c r="N1667" t="inlineStr">
        <is>
          <t>Modalidade: 0 - Por conta do remetente | Parte: HIPER MIAMI COMERCIO DE ARMARINHO LTDA (24.636.007/0001-62)</t>
        </is>
      </c>
      <c r="O1667" s="29" t="n">
        <v>0</v>
      </c>
      <c r="P1667" s="29" t="n">
        <v>0</v>
      </c>
      <c r="Q1667" s="29" t="n">
        <v>0</v>
      </c>
      <c r="R1667" s="29" t="n">
        <v>0</v>
      </c>
      <c r="S1667" s="29" t="n">
        <v>0</v>
      </c>
      <c r="T1667" t="inlineStr">
        <is>
          <t>25250626975620000130570010000045281000000006</t>
        </is>
      </c>
      <c r="U1667" t="inlineStr">
        <is>
          <t>Não</t>
        </is>
      </c>
    </row>
    <row r="1668">
      <c r="A1668" t="inlineStr">
        <is>
          <t>Frete de venda</t>
        </is>
      </c>
      <c r="B1668" t="inlineStr">
        <is>
          <t>2.01.02 Frete sobre Vendas</t>
        </is>
      </c>
      <c r="C1668" t="inlineStr">
        <is>
          <t>Antes de 2026</t>
        </is>
      </c>
      <c r="D1668" t="inlineStr">
        <is>
          <t>Antes de 2026</t>
        </is>
      </c>
      <c r="E1668" s="28" t="n">
        <v>45835</v>
      </c>
      <c r="F1668" t="inlineStr">
        <is>
          <t>CT-e</t>
        </is>
      </c>
      <c r="G1668" t="inlineStr">
        <is>
          <t>000004529</t>
        </is>
      </c>
      <c r="H1668" t="inlineStr">
        <is>
          <t>R&amp;R TRANSPORTE E LOGISTICA</t>
        </is>
      </c>
      <c r="J1668" s="29" t="n">
        <v>52.76</v>
      </c>
      <c r="K1668" s="29">
        <f>(1-ISNUMBER(SEARCH("556",M1668)))*(O1668*SUMIFS(Premissas!$C$5:$C$44,Premissas!$A$5:$A$44,$A1668,Premissas!$B$5:$B$44,$B1668)+P1668*SUMIFS(Premissas!$D$5:$D$44,Premissas!$A$5:$A$44,$A1668,Premissas!$B$5:$B$44,$B1668))+R1668*SUMIFS(Premissas!$E$5:$E$44,Premissas!$A$5:$A$44,$A1668,Premissas!$B$5:$B$44,$B1668)+S1668*SUMIFS(Premissas!$F$5:$F$44,Premissas!$A$5:$A$44,$A1668,Premissas!$B$5:$B$44,$B1668)</f>
        <v/>
      </c>
      <c r="L1668" s="29">
        <f>J1668-K1668</f>
        <v/>
      </c>
      <c r="M1668" t="inlineStr">
        <is>
          <t>1.350</t>
        </is>
      </c>
      <c r="N1668" t="inlineStr">
        <is>
          <t>Modalidade: 0 - Por conta do remetente | Parte: SANTO EXPEDITO COM DE PROD E UTENSILIOS LTDA (10.310.603/0001-43)</t>
        </is>
      </c>
      <c r="O1668" s="29" t="n">
        <v>0</v>
      </c>
      <c r="P1668" s="29" t="n">
        <v>0</v>
      </c>
      <c r="Q1668" s="29" t="n">
        <v>0</v>
      </c>
      <c r="R1668" s="29" t="n">
        <v>0</v>
      </c>
      <c r="S1668" s="29" t="n">
        <v>0</v>
      </c>
      <c r="T1668" t="inlineStr">
        <is>
          <t>25250626975620000130570010000045291000000003</t>
        </is>
      </c>
      <c r="U1668" t="inlineStr">
        <is>
          <t>Não</t>
        </is>
      </c>
    </row>
    <row r="1669">
      <c r="A1669" t="inlineStr">
        <is>
          <t>Frete de venda</t>
        </is>
      </c>
      <c r="B1669" t="inlineStr">
        <is>
          <t>2.01.02 Frete sobre Vendas</t>
        </is>
      </c>
      <c r="C1669" t="inlineStr">
        <is>
          <t>Antes de 2026</t>
        </is>
      </c>
      <c r="D1669" t="inlineStr">
        <is>
          <t>Antes de 2026</t>
        </is>
      </c>
      <c r="E1669" s="28" t="n">
        <v>45835</v>
      </c>
      <c r="F1669" t="inlineStr">
        <is>
          <t>CT-e</t>
        </is>
      </c>
      <c r="G1669" t="inlineStr">
        <is>
          <t>000004531</t>
        </is>
      </c>
      <c r="H1669" t="inlineStr">
        <is>
          <t>R&amp;R TRANSPORTE E LOGISTICA</t>
        </is>
      </c>
      <c r="J1669" s="29" t="n">
        <v>23.48</v>
      </c>
      <c r="K1669" s="29">
        <f>(1-ISNUMBER(SEARCH("556",M1669)))*(O1669*SUMIFS(Premissas!$C$5:$C$44,Premissas!$A$5:$A$44,$A1669,Premissas!$B$5:$B$44,$B1669)+P1669*SUMIFS(Premissas!$D$5:$D$44,Premissas!$A$5:$A$44,$A1669,Premissas!$B$5:$B$44,$B1669))+R1669*SUMIFS(Premissas!$E$5:$E$44,Premissas!$A$5:$A$44,$A1669,Premissas!$B$5:$B$44,$B1669)+S1669*SUMIFS(Premissas!$F$5:$F$44,Premissas!$A$5:$A$44,$A1669,Premissas!$B$5:$B$44,$B1669)</f>
        <v/>
      </c>
      <c r="L1669" s="29">
        <f>J1669-K1669</f>
        <v/>
      </c>
      <c r="M1669" t="inlineStr">
        <is>
          <t>1.350</t>
        </is>
      </c>
      <c r="N1669" t="inlineStr">
        <is>
          <t>Modalidade: 0 - Por conta do remetente | Parte: J. ROQUE COMERCIO DE ARTIGOS DE CONFEITARIA E GASTRONOMI... (09.356.903/0001-84)</t>
        </is>
      </c>
      <c r="O1669" s="29" t="n">
        <v>0</v>
      </c>
      <c r="P1669" s="29" t="n">
        <v>0</v>
      </c>
      <c r="Q1669" s="29" t="n">
        <v>0</v>
      </c>
      <c r="R1669" s="29" t="n">
        <v>0</v>
      </c>
      <c r="S1669" s="29" t="n">
        <v>0</v>
      </c>
      <c r="T1669" t="inlineStr">
        <is>
          <t>25250626975620000130570010000045311000000001</t>
        </is>
      </c>
      <c r="U1669" t="inlineStr">
        <is>
          <t>Não</t>
        </is>
      </c>
    </row>
    <row r="1670">
      <c r="A1670" t="inlineStr">
        <is>
          <t>Frete de venda</t>
        </is>
      </c>
      <c r="B1670" t="inlineStr">
        <is>
          <t>2.01.02 Frete sobre Vendas</t>
        </is>
      </c>
      <c r="C1670" t="inlineStr">
        <is>
          <t>Antes de 2026</t>
        </is>
      </c>
      <c r="D1670" t="inlineStr">
        <is>
          <t>Antes de 2026</t>
        </is>
      </c>
      <c r="E1670" s="28" t="n">
        <v>45835</v>
      </c>
      <c r="F1670" t="inlineStr">
        <is>
          <t>CT-e</t>
        </is>
      </c>
      <c r="G1670" t="inlineStr">
        <is>
          <t>000004532</t>
        </is>
      </c>
      <c r="H1670" t="inlineStr">
        <is>
          <t>R&amp;R TRANSPORTE E LOGISTICA</t>
        </is>
      </c>
      <c r="J1670" s="29" t="n">
        <v>31.62</v>
      </c>
      <c r="K1670" s="29">
        <f>(1-ISNUMBER(SEARCH("556",M1670)))*(O1670*SUMIFS(Premissas!$C$5:$C$44,Premissas!$A$5:$A$44,$A1670,Premissas!$B$5:$B$44,$B1670)+P1670*SUMIFS(Premissas!$D$5:$D$44,Premissas!$A$5:$A$44,$A1670,Premissas!$B$5:$B$44,$B1670))+R1670*SUMIFS(Premissas!$E$5:$E$44,Premissas!$A$5:$A$44,$A1670,Premissas!$B$5:$B$44,$B1670)+S1670*SUMIFS(Premissas!$F$5:$F$44,Premissas!$A$5:$A$44,$A1670,Premissas!$B$5:$B$44,$B1670)</f>
        <v/>
      </c>
      <c r="L1670" s="29">
        <f>J1670-K1670</f>
        <v/>
      </c>
      <c r="M1670" t="inlineStr">
        <is>
          <t>1.350</t>
        </is>
      </c>
      <c r="N1670" t="inlineStr">
        <is>
          <t>Modalidade: 0 - Por conta do remetente | Parte: FEDERAL COMERCIO DE EMBALAGENS LTDA (24.014.377/0001-68)</t>
        </is>
      </c>
      <c r="O1670" s="29" t="n">
        <v>0</v>
      </c>
      <c r="P1670" s="29" t="n">
        <v>0</v>
      </c>
      <c r="Q1670" s="29" t="n">
        <v>0</v>
      </c>
      <c r="R1670" s="29" t="n">
        <v>0</v>
      </c>
      <c r="S1670" s="29" t="n">
        <v>0</v>
      </c>
      <c r="T1670" t="inlineStr">
        <is>
          <t>25250626975620000130570010000045321000000009</t>
        </is>
      </c>
      <c r="U1670" t="inlineStr">
        <is>
          <t>Não</t>
        </is>
      </c>
    </row>
    <row r="1671">
      <c r="A1671" t="inlineStr">
        <is>
          <t>Frete de venda</t>
        </is>
      </c>
      <c r="B1671" t="inlineStr">
        <is>
          <t>2.01.02 Frete sobre Vendas</t>
        </is>
      </c>
      <c r="C1671" t="inlineStr">
        <is>
          <t>Antes de 2026</t>
        </is>
      </c>
      <c r="D1671" t="inlineStr">
        <is>
          <t>Antes de 2026</t>
        </is>
      </c>
      <c r="E1671" s="28" t="n">
        <v>45835</v>
      </c>
      <c r="F1671" t="inlineStr">
        <is>
          <t>CT-e</t>
        </is>
      </c>
      <c r="G1671" t="inlineStr">
        <is>
          <t>000004533</t>
        </is>
      </c>
      <c r="H1671" t="inlineStr">
        <is>
          <t>R&amp;R TRANSPORTE E LOGISTICA</t>
        </is>
      </c>
      <c r="J1671" s="29" t="n">
        <v>23.18</v>
      </c>
      <c r="K1671" s="29">
        <f>(1-ISNUMBER(SEARCH("556",M1671)))*(O1671*SUMIFS(Premissas!$C$5:$C$44,Premissas!$A$5:$A$44,$A1671,Premissas!$B$5:$B$44,$B1671)+P1671*SUMIFS(Premissas!$D$5:$D$44,Premissas!$A$5:$A$44,$A1671,Premissas!$B$5:$B$44,$B1671))+R1671*SUMIFS(Premissas!$E$5:$E$44,Premissas!$A$5:$A$44,$A1671,Premissas!$B$5:$B$44,$B1671)+S1671*SUMIFS(Premissas!$F$5:$F$44,Premissas!$A$5:$A$44,$A1671,Premissas!$B$5:$B$44,$B1671)</f>
        <v/>
      </c>
      <c r="L1671" s="29">
        <f>J1671-K1671</f>
        <v/>
      </c>
      <c r="M1671" t="inlineStr">
        <is>
          <t>1.350</t>
        </is>
      </c>
      <c r="N1671" t="inlineStr">
        <is>
          <t>Modalidade: 0 - Por conta do remetente | Parte: ROSILEIDE DE SOUZA ALVES MRM FRIOS (29.921.695/0001-26)</t>
        </is>
      </c>
      <c r="O1671" s="29" t="n">
        <v>0</v>
      </c>
      <c r="P1671" s="29" t="n">
        <v>0</v>
      </c>
      <c r="Q1671" s="29" t="n">
        <v>0</v>
      </c>
      <c r="R1671" s="29" t="n">
        <v>0</v>
      </c>
      <c r="S1671" s="29" t="n">
        <v>0</v>
      </c>
      <c r="T1671" t="inlineStr">
        <is>
          <t>25250626975620000130570010000045331000000006</t>
        </is>
      </c>
      <c r="U1671" t="inlineStr">
        <is>
          <t>Não</t>
        </is>
      </c>
    </row>
    <row r="1672">
      <c r="A1672" t="inlineStr">
        <is>
          <t>Frete de venda</t>
        </is>
      </c>
      <c r="B1672" t="inlineStr">
        <is>
          <t>2.01.02 Frete sobre Vendas</t>
        </is>
      </c>
      <c r="C1672" t="inlineStr">
        <is>
          <t>Antes de 2026</t>
        </is>
      </c>
      <c r="D1672" t="inlineStr">
        <is>
          <t>Antes de 2026</t>
        </is>
      </c>
      <c r="E1672" s="28" t="n">
        <v>45835</v>
      </c>
      <c r="F1672" t="inlineStr">
        <is>
          <t>CT-e</t>
        </is>
      </c>
      <c r="G1672" t="inlineStr">
        <is>
          <t>000004534</t>
        </is>
      </c>
      <c r="H1672" t="inlineStr">
        <is>
          <t>R&amp;R TRANSPORTE E LOGISTICA</t>
        </is>
      </c>
      <c r="J1672" s="29" t="n">
        <v>56.24</v>
      </c>
      <c r="K1672" s="29">
        <f>(1-ISNUMBER(SEARCH("556",M1672)))*(O1672*SUMIFS(Premissas!$C$5:$C$44,Premissas!$A$5:$A$44,$A1672,Premissas!$B$5:$B$44,$B1672)+P1672*SUMIFS(Premissas!$D$5:$D$44,Premissas!$A$5:$A$44,$A1672,Premissas!$B$5:$B$44,$B1672))+R1672*SUMIFS(Premissas!$E$5:$E$44,Premissas!$A$5:$A$44,$A1672,Premissas!$B$5:$B$44,$B1672)+S1672*SUMIFS(Premissas!$F$5:$F$44,Premissas!$A$5:$A$44,$A1672,Premissas!$B$5:$B$44,$B1672)</f>
        <v/>
      </c>
      <c r="L1672" s="29">
        <f>J1672-K1672</f>
        <v/>
      </c>
      <c r="M1672" t="inlineStr">
        <is>
          <t>1.350</t>
        </is>
      </c>
      <c r="N1672" t="inlineStr">
        <is>
          <t>Modalidade: 0 - Por conta do remetente | Parte: CASA PACK DISTRIBUICAO DE EMBALAGENS LTDA (43.564.720/0001-92)</t>
        </is>
      </c>
      <c r="O1672" s="29" t="n">
        <v>0</v>
      </c>
      <c r="P1672" s="29" t="n">
        <v>0</v>
      </c>
      <c r="Q1672" s="29" t="n">
        <v>0</v>
      </c>
      <c r="R1672" s="29" t="n">
        <v>0</v>
      </c>
      <c r="S1672" s="29" t="n">
        <v>0</v>
      </c>
      <c r="T1672" t="inlineStr">
        <is>
          <t>25250626975620000130570010000045341000000003</t>
        </is>
      </c>
      <c r="U1672" t="inlineStr">
        <is>
          <t>Não</t>
        </is>
      </c>
    </row>
    <row r="1673">
      <c r="A1673" t="inlineStr">
        <is>
          <t>Frete de venda</t>
        </is>
      </c>
      <c r="B1673" t="inlineStr">
        <is>
          <t>2.01.02 Frete sobre Vendas</t>
        </is>
      </c>
      <c r="C1673" t="inlineStr">
        <is>
          <t>Antes de 2026</t>
        </is>
      </c>
      <c r="D1673" t="inlineStr">
        <is>
          <t>Antes de 2026</t>
        </is>
      </c>
      <c r="E1673" s="28" t="n">
        <v>45836</v>
      </c>
      <c r="F1673" t="inlineStr">
        <is>
          <t>CT-e</t>
        </is>
      </c>
      <c r="G1673" t="inlineStr">
        <is>
          <t>000004538</t>
        </is>
      </c>
      <c r="H1673" t="inlineStr">
        <is>
          <t>R&amp;R TRANSPORTE E LOGISTICA</t>
        </is>
      </c>
      <c r="J1673" s="29" t="n">
        <v>32</v>
      </c>
      <c r="K1673" s="29">
        <f>(1-ISNUMBER(SEARCH("556",M1673)))*(O1673*SUMIFS(Premissas!$C$5:$C$44,Premissas!$A$5:$A$44,$A1673,Premissas!$B$5:$B$44,$B1673)+P1673*SUMIFS(Premissas!$D$5:$D$44,Premissas!$A$5:$A$44,$A1673,Premissas!$B$5:$B$44,$B1673))+R1673*SUMIFS(Premissas!$E$5:$E$44,Premissas!$A$5:$A$44,$A1673,Premissas!$B$5:$B$44,$B1673)+S1673*SUMIFS(Premissas!$F$5:$F$44,Premissas!$A$5:$A$44,$A1673,Premissas!$B$5:$B$44,$B1673)</f>
        <v/>
      </c>
      <c r="L1673" s="29">
        <f>J1673-K1673</f>
        <v/>
      </c>
      <c r="M1673" t="inlineStr">
        <is>
          <t>1.350</t>
        </is>
      </c>
      <c r="N1673" t="inlineStr">
        <is>
          <t>Modalidade: 0 - Por conta do remetente | Parte: IEG COMERCIO DE PRODUTOS ALIMENTICIOS LTDA (05.260.493/0001-12)</t>
        </is>
      </c>
      <c r="O1673" s="29" t="n">
        <v>0</v>
      </c>
      <c r="P1673" s="29" t="n">
        <v>0</v>
      </c>
      <c r="Q1673" s="29" t="n">
        <v>0</v>
      </c>
      <c r="R1673" s="29" t="n">
        <v>0</v>
      </c>
      <c r="S1673" s="29" t="n">
        <v>0</v>
      </c>
      <c r="T1673" t="inlineStr">
        <is>
          <t>25250626975620000130570010000045381000000002</t>
        </is>
      </c>
      <c r="U1673" t="inlineStr">
        <is>
          <t>Não</t>
        </is>
      </c>
    </row>
    <row r="1674">
      <c r="A1674" t="inlineStr">
        <is>
          <t>Frete de venda</t>
        </is>
      </c>
      <c r="B1674" t="inlineStr">
        <is>
          <t>2.01.02 Frete sobre Vendas</t>
        </is>
      </c>
      <c r="C1674" t="inlineStr">
        <is>
          <t>Antes de 2026</t>
        </is>
      </c>
      <c r="D1674" t="inlineStr">
        <is>
          <t>Antes de 2026</t>
        </is>
      </c>
      <c r="E1674" s="28" t="n">
        <v>45836</v>
      </c>
      <c r="F1674" t="inlineStr">
        <is>
          <t>CT-e</t>
        </is>
      </c>
      <c r="G1674" t="inlineStr">
        <is>
          <t>000004539</t>
        </is>
      </c>
      <c r="H1674" t="inlineStr">
        <is>
          <t>R&amp;R TRANSPORTE E LOGISTICA</t>
        </is>
      </c>
      <c r="J1674" s="29" t="n">
        <v>28.2</v>
      </c>
      <c r="K1674" s="29">
        <f>(1-ISNUMBER(SEARCH("556",M1674)))*(O1674*SUMIFS(Premissas!$C$5:$C$44,Premissas!$A$5:$A$44,$A1674,Premissas!$B$5:$B$44,$B1674)+P1674*SUMIFS(Premissas!$D$5:$D$44,Premissas!$A$5:$A$44,$A1674,Premissas!$B$5:$B$44,$B1674))+R1674*SUMIFS(Premissas!$E$5:$E$44,Premissas!$A$5:$A$44,$A1674,Premissas!$B$5:$B$44,$B1674)+S1674*SUMIFS(Premissas!$F$5:$F$44,Premissas!$A$5:$A$44,$A1674,Premissas!$B$5:$B$44,$B1674)</f>
        <v/>
      </c>
      <c r="L1674" s="29">
        <f>J1674-K1674</f>
        <v/>
      </c>
      <c r="M1674" t="inlineStr">
        <is>
          <t>1.350</t>
        </is>
      </c>
      <c r="N1674" t="inlineStr">
        <is>
          <t>Modalidade: 0 - Por conta do remetente | Parte: CRISTAL NEWS ALIMENTOS E EMBALAGENS LTDA (04.067.045/0001-34)</t>
        </is>
      </c>
      <c r="O1674" s="29" t="n">
        <v>0</v>
      </c>
      <c r="P1674" s="29" t="n">
        <v>0</v>
      </c>
      <c r="Q1674" s="29" t="n">
        <v>0</v>
      </c>
      <c r="R1674" s="29" t="n">
        <v>0</v>
      </c>
      <c r="S1674" s="29" t="n">
        <v>0</v>
      </c>
      <c r="T1674" t="inlineStr">
        <is>
          <t>25250626975620000130570010000045391000000000</t>
        </is>
      </c>
      <c r="U1674" t="inlineStr">
        <is>
          <t>Não</t>
        </is>
      </c>
    </row>
    <row r="1675">
      <c r="A1675" t="inlineStr">
        <is>
          <t>Frete de venda</t>
        </is>
      </c>
      <c r="B1675" t="inlineStr">
        <is>
          <t>2.01.02 Frete sobre Vendas</t>
        </is>
      </c>
      <c r="C1675" t="inlineStr">
        <is>
          <t>Antes de 2026</t>
        </is>
      </c>
      <c r="D1675" t="inlineStr">
        <is>
          <t>Antes de 2026</t>
        </is>
      </c>
      <c r="E1675" s="28" t="n">
        <v>45836</v>
      </c>
      <c r="F1675" t="inlineStr">
        <is>
          <t>CT-e</t>
        </is>
      </c>
      <c r="G1675" t="inlineStr">
        <is>
          <t>000004540</t>
        </is>
      </c>
      <c r="H1675" t="inlineStr">
        <is>
          <t>R&amp;R TRANSPORTE E LOGISTICA</t>
        </is>
      </c>
      <c r="J1675" s="29" t="n">
        <v>35</v>
      </c>
      <c r="K1675" s="29">
        <f>(1-ISNUMBER(SEARCH("556",M1675)))*(O1675*SUMIFS(Premissas!$C$5:$C$44,Premissas!$A$5:$A$44,$A1675,Premissas!$B$5:$B$44,$B1675)+P1675*SUMIFS(Premissas!$D$5:$D$44,Premissas!$A$5:$A$44,$A1675,Premissas!$B$5:$B$44,$B1675))+R1675*SUMIFS(Premissas!$E$5:$E$44,Premissas!$A$5:$A$44,$A1675,Premissas!$B$5:$B$44,$B1675)+S1675*SUMIFS(Premissas!$F$5:$F$44,Premissas!$A$5:$A$44,$A1675,Premissas!$B$5:$B$44,$B1675)</f>
        <v/>
      </c>
      <c r="L1675" s="29">
        <f>J1675-K1675</f>
        <v/>
      </c>
      <c r="M1675" t="inlineStr">
        <is>
          <t>1.350</t>
        </is>
      </c>
      <c r="N1675" t="inlineStr">
        <is>
          <t>Modalidade: 0 - Por conta do remetente | Parte: GABRIEL ROCHA DA CRUZ (53.721.083/0001-74)</t>
        </is>
      </c>
      <c r="O1675" s="29" t="n">
        <v>0</v>
      </c>
      <c r="P1675" s="29" t="n">
        <v>0</v>
      </c>
      <c r="Q1675" s="29" t="n">
        <v>0</v>
      </c>
      <c r="R1675" s="29" t="n">
        <v>0</v>
      </c>
      <c r="S1675" s="29" t="n">
        <v>0</v>
      </c>
      <c r="T1675" t="inlineStr">
        <is>
          <t>25250626975620000130570010000045401000000000</t>
        </is>
      </c>
      <c r="U1675" t="inlineStr">
        <is>
          <t>Não</t>
        </is>
      </c>
    </row>
    <row r="1676">
      <c r="A1676" t="inlineStr">
        <is>
          <t>Frete de venda</t>
        </is>
      </c>
      <c r="B1676" t="inlineStr">
        <is>
          <t>2.01.02 Frete sobre Vendas</t>
        </is>
      </c>
      <c r="C1676" t="inlineStr">
        <is>
          <t>Antes de 2026</t>
        </is>
      </c>
      <c r="D1676" t="inlineStr">
        <is>
          <t>Antes de 2026</t>
        </is>
      </c>
      <c r="E1676" s="28" t="n">
        <v>45836</v>
      </c>
      <c r="F1676" t="inlineStr">
        <is>
          <t>CT-e</t>
        </is>
      </c>
      <c r="G1676" t="inlineStr">
        <is>
          <t>000004541</t>
        </is>
      </c>
      <c r="H1676" t="inlineStr">
        <is>
          <t>R&amp;R TRANSPORTE E LOGISTICA</t>
        </is>
      </c>
      <c r="J1676" s="29" t="n">
        <v>30</v>
      </c>
      <c r="K1676" s="29">
        <f>(1-ISNUMBER(SEARCH("556",M1676)))*(O1676*SUMIFS(Premissas!$C$5:$C$44,Premissas!$A$5:$A$44,$A1676,Premissas!$B$5:$B$44,$B1676)+P1676*SUMIFS(Premissas!$D$5:$D$44,Premissas!$A$5:$A$44,$A1676,Premissas!$B$5:$B$44,$B1676))+R1676*SUMIFS(Premissas!$E$5:$E$44,Premissas!$A$5:$A$44,$A1676,Premissas!$B$5:$B$44,$B1676)+S1676*SUMIFS(Premissas!$F$5:$F$44,Premissas!$A$5:$A$44,$A1676,Premissas!$B$5:$B$44,$B1676)</f>
        <v/>
      </c>
      <c r="L1676" s="29">
        <f>J1676-K1676</f>
        <v/>
      </c>
      <c r="M1676" t="inlineStr">
        <is>
          <t>1.350</t>
        </is>
      </c>
      <c r="N1676" t="inlineStr">
        <is>
          <t>Modalidade: 0 - Por conta do remetente | Parte: DISTRIBUIDORA JULIANA LTDA (07.276.402/0001-62)</t>
        </is>
      </c>
      <c r="O1676" s="29" t="n">
        <v>0</v>
      </c>
      <c r="P1676" s="29" t="n">
        <v>0</v>
      </c>
      <c r="Q1676" s="29" t="n">
        <v>0</v>
      </c>
      <c r="R1676" s="29" t="n">
        <v>0</v>
      </c>
      <c r="S1676" s="29" t="n">
        <v>0</v>
      </c>
      <c r="T1676" t="inlineStr">
        <is>
          <t>25250626975620000130570010000045411000000008</t>
        </is>
      </c>
      <c r="U1676" t="inlineStr">
        <is>
          <t>Não</t>
        </is>
      </c>
    </row>
    <row r="1677">
      <c r="A1677" t="inlineStr">
        <is>
          <t>Frete de venda</t>
        </is>
      </c>
      <c r="B1677" t="inlineStr">
        <is>
          <t>2.01.02 Frete sobre Vendas</t>
        </is>
      </c>
      <c r="C1677" t="inlineStr">
        <is>
          <t>Antes de 2026</t>
        </is>
      </c>
      <c r="D1677" t="inlineStr">
        <is>
          <t>Antes de 2026</t>
        </is>
      </c>
      <c r="E1677" s="28" t="n">
        <v>45836</v>
      </c>
      <c r="F1677" t="inlineStr">
        <is>
          <t>CT-e</t>
        </is>
      </c>
      <c r="G1677" t="inlineStr">
        <is>
          <t>000004542</t>
        </is>
      </c>
      <c r="H1677" t="inlineStr">
        <is>
          <t>R&amp;R TRANSPORTE E LOGISTICA</t>
        </is>
      </c>
      <c r="J1677" s="29" t="n">
        <v>27</v>
      </c>
      <c r="K1677" s="29">
        <f>(1-ISNUMBER(SEARCH("556",M1677)))*(O1677*SUMIFS(Premissas!$C$5:$C$44,Premissas!$A$5:$A$44,$A1677,Premissas!$B$5:$B$44,$B1677)+P1677*SUMIFS(Premissas!$D$5:$D$44,Premissas!$A$5:$A$44,$A1677,Premissas!$B$5:$B$44,$B1677))+R1677*SUMIFS(Premissas!$E$5:$E$44,Premissas!$A$5:$A$44,$A1677,Premissas!$B$5:$B$44,$B1677)+S1677*SUMIFS(Premissas!$F$5:$F$44,Premissas!$A$5:$A$44,$A1677,Premissas!$B$5:$B$44,$B1677)</f>
        <v/>
      </c>
      <c r="L1677" s="29">
        <f>J1677-K1677</f>
        <v/>
      </c>
      <c r="M1677" t="inlineStr">
        <is>
          <t>1.350</t>
        </is>
      </c>
      <c r="N1677" t="inlineStr">
        <is>
          <t>Modalidade: 0 - Por conta do remetente | Parte: J.R. COMERCIO DE EMBALAGENS LTDA (23.099.779/0001-40)</t>
        </is>
      </c>
      <c r="O1677" s="29" t="n">
        <v>0</v>
      </c>
      <c r="P1677" s="29" t="n">
        <v>0</v>
      </c>
      <c r="Q1677" s="29" t="n">
        <v>0</v>
      </c>
      <c r="R1677" s="29" t="n">
        <v>0</v>
      </c>
      <c r="S1677" s="29" t="n">
        <v>0</v>
      </c>
      <c r="T1677" t="inlineStr">
        <is>
          <t>25250626975620000130570010000045421000000005</t>
        </is>
      </c>
      <c r="U1677" t="inlineStr">
        <is>
          <t>Não</t>
        </is>
      </c>
    </row>
    <row r="1678">
      <c r="A1678" t="inlineStr">
        <is>
          <t>Frete de venda</t>
        </is>
      </c>
      <c r="B1678" t="inlineStr">
        <is>
          <t>2.01.02 Frete sobre Vendas</t>
        </is>
      </c>
      <c r="C1678" t="inlineStr">
        <is>
          <t>Antes de 2026</t>
        </is>
      </c>
      <c r="D1678" t="inlineStr">
        <is>
          <t>Antes de 2026</t>
        </is>
      </c>
      <c r="E1678" s="28" t="n">
        <v>45836</v>
      </c>
      <c r="F1678" t="inlineStr">
        <is>
          <t>CT-e</t>
        </is>
      </c>
      <c r="G1678" t="inlineStr">
        <is>
          <t>000004543</t>
        </is>
      </c>
      <c r="H1678" t="inlineStr">
        <is>
          <t>R&amp;R TRANSPORTE E LOGISTICA</t>
        </is>
      </c>
      <c r="J1678" s="29" t="n">
        <v>25</v>
      </c>
      <c r="K1678" s="29">
        <f>(1-ISNUMBER(SEARCH("556",M1678)))*(O1678*SUMIFS(Premissas!$C$5:$C$44,Premissas!$A$5:$A$44,$A1678,Premissas!$B$5:$B$44,$B1678)+P1678*SUMIFS(Premissas!$D$5:$D$44,Premissas!$A$5:$A$44,$A1678,Premissas!$B$5:$B$44,$B1678))+R1678*SUMIFS(Premissas!$E$5:$E$44,Premissas!$A$5:$A$44,$A1678,Premissas!$B$5:$B$44,$B1678)+S1678*SUMIFS(Premissas!$F$5:$F$44,Premissas!$A$5:$A$44,$A1678,Premissas!$B$5:$B$44,$B1678)</f>
        <v/>
      </c>
      <c r="L1678" s="29">
        <f>J1678-K1678</f>
        <v/>
      </c>
      <c r="M1678" t="inlineStr">
        <is>
          <t>1.350</t>
        </is>
      </c>
      <c r="N1678" t="inlineStr">
        <is>
          <t>Modalidade: 0 - Por conta do remetente | Parte: CENTRAL COMERCIAL DE VARIEDADES LTDA (15.596.084/0001-45)</t>
        </is>
      </c>
      <c r="O1678" s="29" t="n">
        <v>0</v>
      </c>
      <c r="P1678" s="29" t="n">
        <v>0</v>
      </c>
      <c r="Q1678" s="29" t="n">
        <v>0</v>
      </c>
      <c r="R1678" s="29" t="n">
        <v>0</v>
      </c>
      <c r="S1678" s="29" t="n">
        <v>0</v>
      </c>
      <c r="T1678" t="inlineStr">
        <is>
          <t>25250626975620000130570010000045431000000002</t>
        </is>
      </c>
      <c r="U1678" t="inlineStr">
        <is>
          <t>Não</t>
        </is>
      </c>
    </row>
    <row r="1679">
      <c r="A1679" t="inlineStr">
        <is>
          <t>Frete de venda</t>
        </is>
      </c>
      <c r="B1679" t="inlineStr">
        <is>
          <t>2.01.02 Frete sobre Vendas</t>
        </is>
      </c>
      <c r="C1679" t="inlineStr">
        <is>
          <t>Antes de 2026</t>
        </is>
      </c>
      <c r="D1679" t="inlineStr">
        <is>
          <t>Antes de 2026</t>
        </is>
      </c>
      <c r="E1679" s="28" t="n">
        <v>45836</v>
      </c>
      <c r="F1679" t="inlineStr">
        <is>
          <t>CT-e</t>
        </is>
      </c>
      <c r="G1679" t="inlineStr">
        <is>
          <t>000004544</t>
        </is>
      </c>
      <c r="H1679" t="inlineStr">
        <is>
          <t>R&amp;R TRANSPORTE E LOGISTICA</t>
        </is>
      </c>
      <c r="J1679" s="29" t="n">
        <v>35.5</v>
      </c>
      <c r="K1679" s="29">
        <f>(1-ISNUMBER(SEARCH("556",M1679)))*(O1679*SUMIFS(Premissas!$C$5:$C$44,Premissas!$A$5:$A$44,$A1679,Premissas!$B$5:$B$44,$B1679)+P1679*SUMIFS(Premissas!$D$5:$D$44,Premissas!$A$5:$A$44,$A1679,Premissas!$B$5:$B$44,$B1679))+R1679*SUMIFS(Premissas!$E$5:$E$44,Premissas!$A$5:$A$44,$A1679,Premissas!$B$5:$B$44,$B1679)+S1679*SUMIFS(Premissas!$F$5:$F$44,Premissas!$A$5:$A$44,$A1679,Premissas!$B$5:$B$44,$B1679)</f>
        <v/>
      </c>
      <c r="L1679" s="29">
        <f>J1679-K1679</f>
        <v/>
      </c>
      <c r="M1679" t="inlineStr">
        <is>
          <t>1.350</t>
        </is>
      </c>
      <c r="N1679" t="inlineStr">
        <is>
          <t>Modalidade: 0 - Por conta do remetente | Parte: PATRICK COUTO DISTRIBUICAO LTDA (54.833.808/0001-89)</t>
        </is>
      </c>
      <c r="O1679" s="29" t="n">
        <v>0</v>
      </c>
      <c r="P1679" s="29" t="n">
        <v>0</v>
      </c>
      <c r="Q1679" s="29" t="n">
        <v>0</v>
      </c>
      <c r="R1679" s="29" t="n">
        <v>0</v>
      </c>
      <c r="S1679" s="29" t="n">
        <v>0</v>
      </c>
      <c r="T1679" t="inlineStr">
        <is>
          <t>25250626975620000130570010000045441000000000</t>
        </is>
      </c>
      <c r="U1679" t="inlineStr">
        <is>
          <t>Não</t>
        </is>
      </c>
    </row>
    <row r="1680">
      <c r="A1680" t="inlineStr">
        <is>
          <t>Frete de venda</t>
        </is>
      </c>
      <c r="B1680" t="inlineStr">
        <is>
          <t>2.01.02 Frete sobre Vendas</t>
        </is>
      </c>
      <c r="C1680" t="inlineStr">
        <is>
          <t>Antes de 2026</t>
        </is>
      </c>
      <c r="D1680" t="inlineStr">
        <is>
          <t>Antes de 2026</t>
        </is>
      </c>
      <c r="E1680" s="28" t="n">
        <v>45836</v>
      </c>
      <c r="F1680" t="inlineStr">
        <is>
          <t>CT-e</t>
        </is>
      </c>
      <c r="G1680" t="inlineStr">
        <is>
          <t>000004545</t>
        </is>
      </c>
      <c r="H1680" t="inlineStr">
        <is>
          <t>R&amp;R TRANSPORTE E LOGISTICA</t>
        </is>
      </c>
      <c r="J1680" s="29" t="n">
        <v>34.8</v>
      </c>
      <c r="K1680" s="29">
        <f>(1-ISNUMBER(SEARCH("556",M1680)))*(O1680*SUMIFS(Premissas!$C$5:$C$44,Premissas!$A$5:$A$44,$A1680,Premissas!$B$5:$B$44,$B1680)+P1680*SUMIFS(Premissas!$D$5:$D$44,Premissas!$A$5:$A$44,$A1680,Premissas!$B$5:$B$44,$B1680))+R1680*SUMIFS(Premissas!$E$5:$E$44,Premissas!$A$5:$A$44,$A1680,Premissas!$B$5:$B$44,$B1680)+S1680*SUMIFS(Premissas!$F$5:$F$44,Premissas!$A$5:$A$44,$A1680,Premissas!$B$5:$B$44,$B1680)</f>
        <v/>
      </c>
      <c r="L1680" s="29">
        <f>J1680-K1680</f>
        <v/>
      </c>
      <c r="M1680" t="inlineStr">
        <is>
          <t>1.350</t>
        </is>
      </c>
      <c r="N1680" t="inlineStr">
        <is>
          <t>Modalidade: 0 - Por conta do remetente | Parte: IEG COMERCIO DE PRODUTOS ALIMENTICIOS LTDA (05.260.493/0001-12)</t>
        </is>
      </c>
      <c r="O1680" s="29" t="n">
        <v>0</v>
      </c>
      <c r="P1680" s="29" t="n">
        <v>0</v>
      </c>
      <c r="Q1680" s="29" t="n">
        <v>0</v>
      </c>
      <c r="R1680" s="29" t="n">
        <v>0</v>
      </c>
      <c r="S1680" s="29" t="n">
        <v>0</v>
      </c>
      <c r="T1680" t="inlineStr">
        <is>
          <t>25250626975620000130570010000045451000000007</t>
        </is>
      </c>
      <c r="U1680" t="inlineStr">
        <is>
          <t>Não</t>
        </is>
      </c>
    </row>
    <row r="1681">
      <c r="A1681" t="inlineStr">
        <is>
          <t>Frete de venda</t>
        </is>
      </c>
      <c r="B1681" t="inlineStr">
        <is>
          <t>2.01.02 Frete sobre Vendas</t>
        </is>
      </c>
      <c r="C1681" t="inlineStr">
        <is>
          <t>Antes de 2026</t>
        </is>
      </c>
      <c r="D1681" t="inlineStr">
        <is>
          <t>Antes de 2026</t>
        </is>
      </c>
      <c r="E1681" s="28" t="n">
        <v>45838</v>
      </c>
      <c r="F1681" t="inlineStr">
        <is>
          <t>CT-e</t>
        </is>
      </c>
      <c r="G1681" t="inlineStr">
        <is>
          <t>000004551</t>
        </is>
      </c>
      <c r="H1681" t="inlineStr">
        <is>
          <t>R&amp;R TRANSPORTE E LOGISTICA</t>
        </is>
      </c>
      <c r="J1681" s="29" t="n">
        <v>1650</v>
      </c>
      <c r="K1681" s="29">
        <f>(1-ISNUMBER(SEARCH("556",M1681)))*(O1681*SUMIFS(Premissas!$C$5:$C$44,Premissas!$A$5:$A$44,$A1681,Premissas!$B$5:$B$44,$B1681)+P1681*SUMIFS(Premissas!$D$5:$D$44,Premissas!$A$5:$A$44,$A1681,Premissas!$B$5:$B$44,$B1681))+R1681*SUMIFS(Premissas!$E$5:$E$44,Premissas!$A$5:$A$44,$A1681,Premissas!$B$5:$B$44,$B1681)+S1681*SUMIFS(Premissas!$F$5:$F$44,Premissas!$A$5:$A$44,$A1681,Premissas!$B$5:$B$44,$B1681)</f>
        <v/>
      </c>
      <c r="L1681" s="29">
        <f>J1681-K1681</f>
        <v/>
      </c>
      <c r="M1681" t="inlineStr">
        <is>
          <t>1.350</t>
        </is>
      </c>
      <c r="N1681" t="inlineStr">
        <is>
          <t>Modalidade: 0 - Por conta do remetente | Parte: AMORIM e CIA LTDA. (08.291.637/0003-58)</t>
        </is>
      </c>
      <c r="O1681" s="29" t="n">
        <v>0</v>
      </c>
      <c r="P1681" s="29" t="n">
        <v>0</v>
      </c>
      <c r="Q1681" s="29" t="n">
        <v>0</v>
      </c>
      <c r="R1681" s="29" t="n">
        <v>0</v>
      </c>
      <c r="S1681" s="29" t="n">
        <v>0</v>
      </c>
      <c r="T1681" t="inlineStr">
        <is>
          <t>25250626975620000130570010000045511000000004</t>
        </is>
      </c>
      <c r="U1681" t="inlineStr">
        <is>
          <t>Não</t>
        </is>
      </c>
    </row>
    <row r="1682">
      <c r="A1682" t="inlineStr">
        <is>
          <t>Frete de venda</t>
        </is>
      </c>
      <c r="B1682" t="inlineStr">
        <is>
          <t>2.01.02 Frete sobre Vendas</t>
        </is>
      </c>
      <c r="C1682" t="inlineStr">
        <is>
          <t>Antes de 2026</t>
        </is>
      </c>
      <c r="D1682" t="inlineStr">
        <is>
          <t>Antes de 2026</t>
        </is>
      </c>
      <c r="E1682" s="28" t="n">
        <v>45839</v>
      </c>
      <c r="F1682" t="inlineStr">
        <is>
          <t>CT-e</t>
        </is>
      </c>
      <c r="G1682" t="inlineStr">
        <is>
          <t>000004552</t>
        </is>
      </c>
      <c r="H1682" t="inlineStr">
        <is>
          <t>R&amp;R TRANSPORTE E LOGISTICA</t>
        </is>
      </c>
      <c r="J1682" s="29" t="n">
        <v>339</v>
      </c>
      <c r="K1682" s="29">
        <f>(1-ISNUMBER(SEARCH("556",M1682)))*(O1682*SUMIFS(Premissas!$C$5:$C$44,Premissas!$A$5:$A$44,$A1682,Premissas!$B$5:$B$44,$B1682)+P1682*SUMIFS(Premissas!$D$5:$D$44,Premissas!$A$5:$A$44,$A1682,Premissas!$B$5:$B$44,$B1682))+R1682*SUMIFS(Premissas!$E$5:$E$44,Premissas!$A$5:$A$44,$A1682,Premissas!$B$5:$B$44,$B1682)+S1682*SUMIFS(Premissas!$F$5:$F$44,Premissas!$A$5:$A$44,$A1682,Premissas!$B$5:$B$44,$B1682)</f>
        <v/>
      </c>
      <c r="L1682" s="29">
        <f>J1682-K1682</f>
        <v/>
      </c>
      <c r="M1682" t="inlineStr">
        <is>
          <t>1.350</t>
        </is>
      </c>
      <c r="N1682" t="inlineStr">
        <is>
          <t>Transportadora de frete de venda, mas pela modalidade do frete a Vinco recebeu a carga | Modalidade: 1 - Por conta do destinatário | Parte: CELESTE ALIMENTOS E PANIFICACAO LTDA (12.808.484/0001-89)</t>
        </is>
      </c>
      <c r="O1682" s="29" t="n">
        <v>0</v>
      </c>
      <c r="P1682" s="29" t="n">
        <v>0</v>
      </c>
      <c r="Q1682" s="29" t="n">
        <v>0</v>
      </c>
      <c r="R1682" s="29" t="n">
        <v>0</v>
      </c>
      <c r="S1682" s="29" t="n">
        <v>0</v>
      </c>
      <c r="T1682" t="inlineStr">
        <is>
          <t>25250726975620000130570010000045521000000005</t>
        </is>
      </c>
      <c r="U1682" t="inlineStr">
        <is>
          <t>Não</t>
        </is>
      </c>
    </row>
    <row r="1683">
      <c r="A1683" t="inlineStr">
        <is>
          <t>Frete de venda</t>
        </is>
      </c>
      <c r="B1683" t="inlineStr">
        <is>
          <t>2.01.02 Frete sobre Vendas</t>
        </is>
      </c>
      <c r="C1683" t="inlineStr">
        <is>
          <t>Antes de 2026</t>
        </is>
      </c>
      <c r="D1683" t="inlineStr">
        <is>
          <t>Antes de 2026</t>
        </is>
      </c>
      <c r="E1683" s="28" t="n">
        <v>45839</v>
      </c>
      <c r="F1683" t="inlineStr">
        <is>
          <t>CT-e</t>
        </is>
      </c>
      <c r="G1683" t="inlineStr">
        <is>
          <t>000004555</t>
        </is>
      </c>
      <c r="H1683" t="inlineStr">
        <is>
          <t>R&amp;R TRANSPORTE E LOGISTICA</t>
        </is>
      </c>
      <c r="J1683" s="29" t="n">
        <v>276</v>
      </c>
      <c r="K1683" s="29">
        <f>(1-ISNUMBER(SEARCH("556",M1683)))*(O1683*SUMIFS(Premissas!$C$5:$C$44,Premissas!$A$5:$A$44,$A1683,Premissas!$B$5:$B$44,$B1683)+P1683*SUMIFS(Premissas!$D$5:$D$44,Premissas!$A$5:$A$44,$A1683,Premissas!$B$5:$B$44,$B1683))+R1683*SUMIFS(Premissas!$E$5:$E$44,Premissas!$A$5:$A$44,$A1683,Premissas!$B$5:$B$44,$B1683)+S1683*SUMIFS(Premissas!$F$5:$F$44,Premissas!$A$5:$A$44,$A1683,Premissas!$B$5:$B$44,$B1683)</f>
        <v/>
      </c>
      <c r="L1683" s="29">
        <f>J1683-K1683</f>
        <v/>
      </c>
      <c r="M1683" t="inlineStr">
        <is>
          <t>1.350</t>
        </is>
      </c>
      <c r="N1683" t="inlineStr">
        <is>
          <t>Modalidade: 0 - Por conta do remetente | Parte: AMORIM e CIA LTDA. (08.291.637/0003-58)</t>
        </is>
      </c>
      <c r="O1683" s="29" t="n">
        <v>0</v>
      </c>
      <c r="P1683" s="29" t="n">
        <v>0</v>
      </c>
      <c r="Q1683" s="29" t="n">
        <v>0</v>
      </c>
      <c r="R1683" s="29" t="n">
        <v>0</v>
      </c>
      <c r="S1683" s="29" t="n">
        <v>0</v>
      </c>
      <c r="T1683" t="inlineStr">
        <is>
          <t>25250726975620000130570010000045551000000007</t>
        </is>
      </c>
      <c r="U1683" t="inlineStr">
        <is>
          <t>Não</t>
        </is>
      </c>
    </row>
    <row r="1684">
      <c r="A1684" t="inlineStr">
        <is>
          <t>Frete de venda</t>
        </is>
      </c>
      <c r="B1684" t="inlineStr">
        <is>
          <t>2.01.02 Frete sobre Vendas</t>
        </is>
      </c>
      <c r="C1684" t="inlineStr">
        <is>
          <t>Antes de 2026</t>
        </is>
      </c>
      <c r="D1684" t="inlineStr">
        <is>
          <t>Antes de 2026</t>
        </is>
      </c>
      <c r="E1684" s="28" t="n">
        <v>45840</v>
      </c>
      <c r="F1684" t="inlineStr">
        <is>
          <t>CT-e</t>
        </is>
      </c>
      <c r="G1684" t="inlineStr">
        <is>
          <t>000004560</t>
        </is>
      </c>
      <c r="H1684" t="inlineStr">
        <is>
          <t>R&amp;R TRANSPORTE E LOGISTICA</t>
        </is>
      </c>
      <c r="J1684" s="29" t="n">
        <v>15</v>
      </c>
      <c r="K1684" s="29">
        <f>(1-ISNUMBER(SEARCH("556",M1684)))*(O1684*SUMIFS(Premissas!$C$5:$C$44,Premissas!$A$5:$A$44,$A1684,Premissas!$B$5:$B$44,$B1684)+P1684*SUMIFS(Premissas!$D$5:$D$44,Premissas!$A$5:$A$44,$A1684,Premissas!$B$5:$B$44,$B1684))+R1684*SUMIFS(Premissas!$E$5:$E$44,Premissas!$A$5:$A$44,$A1684,Premissas!$B$5:$B$44,$B1684)+S1684*SUMIFS(Premissas!$F$5:$F$44,Premissas!$A$5:$A$44,$A1684,Premissas!$B$5:$B$44,$B1684)</f>
        <v/>
      </c>
      <c r="L1684" s="29">
        <f>J1684-K1684</f>
        <v/>
      </c>
      <c r="M1684" t="inlineStr">
        <is>
          <t>1.350</t>
        </is>
      </c>
      <c r="N1684" t="inlineStr">
        <is>
          <t>Modalidade: 0 - Por conta do remetente | Parte: DURA MAIS RECICLA LTDA (57.707.032/0001-49)</t>
        </is>
      </c>
      <c r="O1684" s="29" t="n">
        <v>0</v>
      </c>
      <c r="P1684" s="29" t="n">
        <v>0</v>
      </c>
      <c r="Q1684" s="29" t="n">
        <v>0</v>
      </c>
      <c r="R1684" s="29" t="n">
        <v>0</v>
      </c>
      <c r="S1684" s="29" t="n">
        <v>0</v>
      </c>
      <c r="T1684" t="inlineStr">
        <is>
          <t>25250726975620000130570010000045601000000007</t>
        </is>
      </c>
      <c r="U1684" t="inlineStr">
        <is>
          <t>Não</t>
        </is>
      </c>
    </row>
    <row r="1685">
      <c r="A1685" t="inlineStr">
        <is>
          <t>Frete de venda</t>
        </is>
      </c>
      <c r="B1685" t="inlineStr">
        <is>
          <t>2.01.02 Frete sobre Vendas</t>
        </is>
      </c>
      <c r="C1685" t="inlineStr">
        <is>
          <t>Antes de 2026</t>
        </is>
      </c>
      <c r="D1685" t="inlineStr">
        <is>
          <t>Antes de 2026</t>
        </is>
      </c>
      <c r="E1685" s="28" t="n">
        <v>45840</v>
      </c>
      <c r="F1685" t="inlineStr">
        <is>
          <t>CT-e</t>
        </is>
      </c>
      <c r="G1685" t="inlineStr">
        <is>
          <t>000004561</t>
        </is>
      </c>
      <c r="H1685" t="inlineStr">
        <is>
          <t>R&amp;R TRANSPORTE E LOGISTICA</t>
        </is>
      </c>
      <c r="J1685" s="29" t="n">
        <v>15</v>
      </c>
      <c r="K1685" s="29">
        <f>(1-ISNUMBER(SEARCH("556",M1685)))*(O1685*SUMIFS(Premissas!$C$5:$C$44,Premissas!$A$5:$A$44,$A1685,Premissas!$B$5:$B$44,$B1685)+P1685*SUMIFS(Premissas!$D$5:$D$44,Premissas!$A$5:$A$44,$A1685,Premissas!$B$5:$B$44,$B1685))+R1685*SUMIFS(Premissas!$E$5:$E$44,Premissas!$A$5:$A$44,$A1685,Premissas!$B$5:$B$44,$B1685)+S1685*SUMIFS(Premissas!$F$5:$F$44,Premissas!$A$5:$A$44,$A1685,Premissas!$B$5:$B$44,$B1685)</f>
        <v/>
      </c>
      <c r="L1685" s="29">
        <f>J1685-K1685</f>
        <v/>
      </c>
      <c r="M1685" t="inlineStr">
        <is>
          <t>1.350</t>
        </is>
      </c>
      <c r="N1685" t="inlineStr">
        <is>
          <t>Modalidade: 0 - Por conta do remetente | Parte: DURA MAIS RECICLA LTDA (57.707.032/0001-49)</t>
        </is>
      </c>
      <c r="O1685" s="29" t="n">
        <v>0</v>
      </c>
      <c r="P1685" s="29" t="n">
        <v>0</v>
      </c>
      <c r="Q1685" s="29" t="n">
        <v>0</v>
      </c>
      <c r="R1685" s="29" t="n">
        <v>0</v>
      </c>
      <c r="S1685" s="29" t="n">
        <v>0</v>
      </c>
      <c r="T1685" t="inlineStr">
        <is>
          <t>25250726975620000130570010000045611000000004</t>
        </is>
      </c>
      <c r="U1685" t="inlineStr">
        <is>
          <t>Não</t>
        </is>
      </c>
    </row>
    <row r="1686">
      <c r="A1686" t="inlineStr">
        <is>
          <t>Frete de venda</t>
        </is>
      </c>
      <c r="B1686" t="inlineStr">
        <is>
          <t>2.01.02 Frete sobre Vendas</t>
        </is>
      </c>
      <c r="C1686" t="inlineStr">
        <is>
          <t>Antes de 2026</t>
        </is>
      </c>
      <c r="D1686" t="inlineStr">
        <is>
          <t>Antes de 2026</t>
        </is>
      </c>
      <c r="E1686" s="28" t="n">
        <v>45841</v>
      </c>
      <c r="F1686" t="inlineStr">
        <is>
          <t>CT-e</t>
        </is>
      </c>
      <c r="G1686" t="inlineStr">
        <is>
          <t>000004569</t>
        </is>
      </c>
      <c r="H1686" t="inlineStr">
        <is>
          <t>R&amp;R TRANSPORTE E LOGISTICA</t>
        </is>
      </c>
      <c r="J1686" s="29" t="n">
        <v>67.09999999999999</v>
      </c>
      <c r="K1686" s="29">
        <f>(1-ISNUMBER(SEARCH("556",M1686)))*(O1686*SUMIFS(Premissas!$C$5:$C$44,Premissas!$A$5:$A$44,$A1686,Premissas!$B$5:$B$44,$B1686)+P1686*SUMIFS(Premissas!$D$5:$D$44,Premissas!$A$5:$A$44,$A1686,Premissas!$B$5:$B$44,$B1686))+R1686*SUMIFS(Premissas!$E$5:$E$44,Premissas!$A$5:$A$44,$A1686,Premissas!$B$5:$B$44,$B1686)+S1686*SUMIFS(Premissas!$F$5:$F$44,Premissas!$A$5:$A$44,$A1686,Premissas!$B$5:$B$44,$B1686)</f>
        <v/>
      </c>
      <c r="L1686" s="29">
        <f>J1686-K1686</f>
        <v/>
      </c>
      <c r="M1686" t="inlineStr">
        <is>
          <t>1.350</t>
        </is>
      </c>
      <c r="N1686" t="inlineStr">
        <is>
          <t>Modalidade: 0 - Por conta do remetente | Parte: ATACADO NASCAR HIPICA LTDA (04.886.589/0001-28)</t>
        </is>
      </c>
      <c r="O1686" s="29" t="n">
        <v>0</v>
      </c>
      <c r="P1686" s="29" t="n">
        <v>0</v>
      </c>
      <c r="Q1686" s="29" t="n">
        <v>0</v>
      </c>
      <c r="R1686" s="29" t="n">
        <v>0</v>
      </c>
      <c r="S1686" s="29" t="n">
        <v>0</v>
      </c>
      <c r="T1686" t="inlineStr">
        <is>
          <t>25250726975620000130570010000045691000000002</t>
        </is>
      </c>
      <c r="U1686" t="inlineStr">
        <is>
          <t>Não</t>
        </is>
      </c>
    </row>
    <row r="1687">
      <c r="A1687" t="inlineStr">
        <is>
          <t>Frete de venda</t>
        </is>
      </c>
      <c r="B1687" t="inlineStr">
        <is>
          <t>2.01.02 Frete sobre Vendas</t>
        </is>
      </c>
      <c r="C1687" t="inlineStr">
        <is>
          <t>Antes de 2026</t>
        </is>
      </c>
      <c r="D1687" t="inlineStr">
        <is>
          <t>Antes de 2026</t>
        </is>
      </c>
      <c r="E1687" s="28" t="n">
        <v>45841</v>
      </c>
      <c r="F1687" t="inlineStr">
        <is>
          <t>CT-e</t>
        </is>
      </c>
      <c r="G1687" t="inlineStr">
        <is>
          <t>000004570</t>
        </is>
      </c>
      <c r="H1687" t="inlineStr">
        <is>
          <t>R&amp;R TRANSPORTE E LOGISTICA</t>
        </is>
      </c>
      <c r="J1687" s="29" t="n">
        <v>53.41</v>
      </c>
      <c r="K1687" s="29">
        <f>(1-ISNUMBER(SEARCH("556",M1687)))*(O1687*SUMIFS(Premissas!$C$5:$C$44,Premissas!$A$5:$A$44,$A1687,Premissas!$B$5:$B$44,$B1687)+P1687*SUMIFS(Premissas!$D$5:$D$44,Premissas!$A$5:$A$44,$A1687,Premissas!$B$5:$B$44,$B1687))+R1687*SUMIFS(Premissas!$E$5:$E$44,Premissas!$A$5:$A$44,$A1687,Premissas!$B$5:$B$44,$B1687)+S1687*SUMIFS(Premissas!$F$5:$F$44,Premissas!$A$5:$A$44,$A1687,Premissas!$B$5:$B$44,$B1687)</f>
        <v/>
      </c>
      <c r="L1687" s="29">
        <f>J1687-K1687</f>
        <v/>
      </c>
      <c r="M1687" t="inlineStr">
        <is>
          <t>1.350</t>
        </is>
      </c>
      <c r="N1687" t="inlineStr">
        <is>
          <t>Modalidade: 0 - Por conta do remetente | Parte: ROSA SUL ATACADO LTDA (11.579.934/0004-99)</t>
        </is>
      </c>
      <c r="O1687" s="29" t="n">
        <v>0</v>
      </c>
      <c r="P1687" s="29" t="n">
        <v>0</v>
      </c>
      <c r="Q1687" s="29" t="n">
        <v>0</v>
      </c>
      <c r="R1687" s="29" t="n">
        <v>0</v>
      </c>
      <c r="S1687" s="29" t="n">
        <v>0</v>
      </c>
      <c r="T1687" t="inlineStr">
        <is>
          <t>25250726975620000130570010000045701000000003</t>
        </is>
      </c>
      <c r="U1687" t="inlineStr">
        <is>
          <t>Não</t>
        </is>
      </c>
    </row>
    <row r="1688">
      <c r="A1688" t="inlineStr">
        <is>
          <t>Frete de venda</t>
        </is>
      </c>
      <c r="B1688" t="inlineStr">
        <is>
          <t>2.01.02 Frete sobre Vendas</t>
        </is>
      </c>
      <c r="C1688" t="inlineStr">
        <is>
          <t>Antes de 2026</t>
        </is>
      </c>
      <c r="D1688" t="inlineStr">
        <is>
          <t>Antes de 2026</t>
        </is>
      </c>
      <c r="E1688" s="28" t="n">
        <v>45841</v>
      </c>
      <c r="F1688" t="inlineStr">
        <is>
          <t>CT-e</t>
        </is>
      </c>
      <c r="G1688" t="inlineStr">
        <is>
          <t>000004571</t>
        </is>
      </c>
      <c r="H1688" t="inlineStr">
        <is>
          <t>R&amp;R TRANSPORTE E LOGISTICA</t>
        </is>
      </c>
      <c r="J1688" s="29" t="n">
        <v>59.22</v>
      </c>
      <c r="K1688" s="29">
        <f>(1-ISNUMBER(SEARCH("556",M1688)))*(O1688*SUMIFS(Premissas!$C$5:$C$44,Premissas!$A$5:$A$44,$A1688,Premissas!$B$5:$B$44,$B1688)+P1688*SUMIFS(Premissas!$D$5:$D$44,Premissas!$A$5:$A$44,$A1688,Premissas!$B$5:$B$44,$B1688))+R1688*SUMIFS(Premissas!$E$5:$E$44,Premissas!$A$5:$A$44,$A1688,Premissas!$B$5:$B$44,$B1688)+S1688*SUMIFS(Premissas!$F$5:$F$44,Premissas!$A$5:$A$44,$A1688,Premissas!$B$5:$B$44,$B1688)</f>
        <v/>
      </c>
      <c r="L1688" s="29">
        <f>J1688-K1688</f>
        <v/>
      </c>
      <c r="M1688" t="inlineStr">
        <is>
          <t>1.350</t>
        </is>
      </c>
      <c r="N1688" t="inlineStr">
        <is>
          <t>Modalidade: 0 - Por conta do remetente | Parte: ZANETTI SILVA COMERCIO DE EMBALAGENS LTDA (43.625.930/0001-43)</t>
        </is>
      </c>
      <c r="O1688" s="29" t="n">
        <v>0</v>
      </c>
      <c r="P1688" s="29" t="n">
        <v>0</v>
      </c>
      <c r="Q1688" s="29" t="n">
        <v>0</v>
      </c>
      <c r="R1688" s="29" t="n">
        <v>0</v>
      </c>
      <c r="S1688" s="29" t="n">
        <v>0</v>
      </c>
      <c r="T1688" t="inlineStr">
        <is>
          <t>25250726975620000130570010000045711000000000</t>
        </is>
      </c>
      <c r="U1688" t="inlineStr">
        <is>
          <t>Não</t>
        </is>
      </c>
    </row>
    <row r="1689">
      <c r="A1689" t="inlineStr">
        <is>
          <t>Frete de venda</t>
        </is>
      </c>
      <c r="B1689" t="inlineStr">
        <is>
          <t>2.01.02 Frete sobre Vendas</t>
        </is>
      </c>
      <c r="C1689" t="inlineStr">
        <is>
          <t>Antes de 2026</t>
        </is>
      </c>
      <c r="D1689" t="inlineStr">
        <is>
          <t>Antes de 2026</t>
        </is>
      </c>
      <c r="E1689" s="28" t="n">
        <v>45841</v>
      </c>
      <c r="F1689" t="inlineStr">
        <is>
          <t>CT-e</t>
        </is>
      </c>
      <c r="G1689" t="inlineStr">
        <is>
          <t>000004572</t>
        </is>
      </c>
      <c r="H1689" t="inlineStr">
        <is>
          <t>R&amp;R TRANSPORTE E LOGISTICA</t>
        </is>
      </c>
      <c r="J1689" s="29" t="n">
        <v>46.77</v>
      </c>
      <c r="K1689" s="29">
        <f>(1-ISNUMBER(SEARCH("556",M1689)))*(O1689*SUMIFS(Premissas!$C$5:$C$44,Premissas!$A$5:$A$44,$A1689,Premissas!$B$5:$B$44,$B1689)+P1689*SUMIFS(Premissas!$D$5:$D$44,Premissas!$A$5:$A$44,$A1689,Premissas!$B$5:$B$44,$B1689))+R1689*SUMIFS(Premissas!$E$5:$E$44,Premissas!$A$5:$A$44,$A1689,Premissas!$B$5:$B$44,$B1689)+S1689*SUMIFS(Premissas!$F$5:$F$44,Premissas!$A$5:$A$44,$A1689,Premissas!$B$5:$B$44,$B1689)</f>
        <v/>
      </c>
      <c r="L1689" s="29">
        <f>J1689-K1689</f>
        <v/>
      </c>
      <c r="M1689" t="inlineStr">
        <is>
          <t>1.350</t>
        </is>
      </c>
      <c r="N1689" t="inlineStr">
        <is>
          <t>Modalidade: 0 - Por conta do remetente | Parte: CASA DA BOLEIRA LTDA (23.487.447/0001-32)</t>
        </is>
      </c>
      <c r="O1689" s="29" t="n">
        <v>0</v>
      </c>
      <c r="P1689" s="29" t="n">
        <v>0</v>
      </c>
      <c r="Q1689" s="29" t="n">
        <v>0</v>
      </c>
      <c r="R1689" s="29" t="n">
        <v>0</v>
      </c>
      <c r="S1689" s="29" t="n">
        <v>0</v>
      </c>
      <c r="T1689" t="inlineStr">
        <is>
          <t>25250726975620000130570010000045721000000008</t>
        </is>
      </c>
      <c r="U1689" t="inlineStr">
        <is>
          <t>Não</t>
        </is>
      </c>
    </row>
    <row r="1690">
      <c r="A1690" t="inlineStr">
        <is>
          <t>Frete de venda</t>
        </is>
      </c>
      <c r="B1690" t="inlineStr">
        <is>
          <t>2.01.02 Frete sobre Vendas</t>
        </is>
      </c>
      <c r="C1690" t="inlineStr">
        <is>
          <t>Antes de 2026</t>
        </is>
      </c>
      <c r="D1690" t="inlineStr">
        <is>
          <t>Antes de 2026</t>
        </is>
      </c>
      <c r="E1690" s="28" t="n">
        <v>45841</v>
      </c>
      <c r="F1690" t="inlineStr">
        <is>
          <t>CT-e</t>
        </is>
      </c>
      <c r="G1690" t="inlineStr">
        <is>
          <t>000004573</t>
        </is>
      </c>
      <c r="H1690" t="inlineStr">
        <is>
          <t>R&amp;R TRANSPORTE E LOGISTICA</t>
        </is>
      </c>
      <c r="J1690" s="29" t="n">
        <v>34.79</v>
      </c>
      <c r="K1690" s="29">
        <f>(1-ISNUMBER(SEARCH("556",M1690)))*(O1690*SUMIFS(Premissas!$C$5:$C$44,Premissas!$A$5:$A$44,$A1690,Premissas!$B$5:$B$44,$B1690)+P1690*SUMIFS(Premissas!$D$5:$D$44,Premissas!$A$5:$A$44,$A1690,Premissas!$B$5:$B$44,$B1690))+R1690*SUMIFS(Premissas!$E$5:$E$44,Premissas!$A$5:$A$44,$A1690,Premissas!$B$5:$B$44,$B1690)+S1690*SUMIFS(Premissas!$F$5:$F$44,Premissas!$A$5:$A$44,$A1690,Premissas!$B$5:$B$44,$B1690)</f>
        <v/>
      </c>
      <c r="L1690" s="29">
        <f>J1690-K1690</f>
        <v/>
      </c>
      <c r="M1690" t="inlineStr">
        <is>
          <t>1.350</t>
        </is>
      </c>
      <c r="N1690" t="inlineStr">
        <is>
          <t>Modalidade: 0 - Por conta do remetente | Parte: NOVA EMPORIO PALU LTDA (54.085.178/0001-01)</t>
        </is>
      </c>
      <c r="O1690" s="29" t="n">
        <v>0</v>
      </c>
      <c r="P1690" s="29" t="n">
        <v>0</v>
      </c>
      <c r="Q1690" s="29" t="n">
        <v>0</v>
      </c>
      <c r="R1690" s="29" t="n">
        <v>0</v>
      </c>
      <c r="S1690" s="29" t="n">
        <v>0</v>
      </c>
      <c r="T1690" t="inlineStr">
        <is>
          <t>25250726975620000130570010000045731000000005</t>
        </is>
      </c>
      <c r="U1690" t="inlineStr">
        <is>
          <t>Não</t>
        </is>
      </c>
    </row>
    <row r="1691">
      <c r="A1691" t="inlineStr">
        <is>
          <t>Frete de venda</t>
        </is>
      </c>
      <c r="B1691" t="inlineStr">
        <is>
          <t>2.01.02 Frete sobre Vendas</t>
        </is>
      </c>
      <c r="C1691" t="inlineStr">
        <is>
          <t>Antes de 2026</t>
        </is>
      </c>
      <c r="D1691" t="inlineStr">
        <is>
          <t>Antes de 2026</t>
        </is>
      </c>
      <c r="E1691" s="28" t="n">
        <v>45841</v>
      </c>
      <c r="F1691" t="inlineStr">
        <is>
          <t>CT-e</t>
        </is>
      </c>
      <c r="G1691" t="inlineStr">
        <is>
          <t>000004574</t>
        </is>
      </c>
      <c r="H1691" t="inlineStr">
        <is>
          <t>R&amp;R TRANSPORTE E LOGISTICA</t>
        </is>
      </c>
      <c r="J1691" s="29" t="n">
        <v>36.27</v>
      </c>
      <c r="K1691" s="29">
        <f>(1-ISNUMBER(SEARCH("556",M1691)))*(O1691*SUMIFS(Premissas!$C$5:$C$44,Premissas!$A$5:$A$44,$A1691,Premissas!$B$5:$B$44,$B1691)+P1691*SUMIFS(Premissas!$D$5:$D$44,Premissas!$A$5:$A$44,$A1691,Premissas!$B$5:$B$44,$B1691))+R1691*SUMIFS(Premissas!$E$5:$E$44,Premissas!$A$5:$A$44,$A1691,Premissas!$B$5:$B$44,$B1691)+S1691*SUMIFS(Premissas!$F$5:$F$44,Premissas!$A$5:$A$44,$A1691,Premissas!$B$5:$B$44,$B1691)</f>
        <v/>
      </c>
      <c r="L1691" s="29">
        <f>J1691-K1691</f>
        <v/>
      </c>
      <c r="M1691" t="inlineStr">
        <is>
          <t>1.350</t>
        </is>
      </c>
      <c r="N1691" t="inlineStr">
        <is>
          <t>Modalidade: 0 - Por conta do remetente | Parte: LOJA MATIAS UNIDADE LAMENHA LTDA (11.634.617/0001-85)</t>
        </is>
      </c>
      <c r="O1691" s="29" t="n">
        <v>0</v>
      </c>
      <c r="P1691" s="29" t="n">
        <v>0</v>
      </c>
      <c r="Q1691" s="29" t="n">
        <v>0</v>
      </c>
      <c r="R1691" s="29" t="n">
        <v>0</v>
      </c>
      <c r="S1691" s="29" t="n">
        <v>0</v>
      </c>
      <c r="T1691" t="inlineStr">
        <is>
          <t>25250726975620000130570010000045741000000002</t>
        </is>
      </c>
      <c r="U1691" t="inlineStr">
        <is>
          <t>Não</t>
        </is>
      </c>
    </row>
    <row r="1692">
      <c r="A1692" t="inlineStr">
        <is>
          <t>Frete de venda</t>
        </is>
      </c>
      <c r="B1692" t="inlineStr">
        <is>
          <t>2.01.02 Frete sobre Vendas</t>
        </is>
      </c>
      <c r="C1692" t="inlineStr">
        <is>
          <t>Antes de 2026</t>
        </is>
      </c>
      <c r="D1692" t="inlineStr">
        <is>
          <t>Antes de 2026</t>
        </is>
      </c>
      <c r="E1692" s="28" t="n">
        <v>45841</v>
      </c>
      <c r="F1692" t="inlineStr">
        <is>
          <t>CT-e</t>
        </is>
      </c>
      <c r="G1692" t="inlineStr">
        <is>
          <t>000004575</t>
        </is>
      </c>
      <c r="H1692" t="inlineStr">
        <is>
          <t>R&amp;R TRANSPORTE E LOGISTICA</t>
        </is>
      </c>
      <c r="J1692" s="29" t="n">
        <v>41.23</v>
      </c>
      <c r="K1692" s="29">
        <f>(1-ISNUMBER(SEARCH("556",M1692)))*(O1692*SUMIFS(Premissas!$C$5:$C$44,Premissas!$A$5:$A$44,$A1692,Premissas!$B$5:$B$44,$B1692)+P1692*SUMIFS(Premissas!$D$5:$D$44,Premissas!$A$5:$A$44,$A1692,Premissas!$B$5:$B$44,$B1692))+R1692*SUMIFS(Premissas!$E$5:$E$44,Premissas!$A$5:$A$44,$A1692,Premissas!$B$5:$B$44,$B1692)+S1692*SUMIFS(Premissas!$F$5:$F$44,Premissas!$A$5:$A$44,$A1692,Premissas!$B$5:$B$44,$B1692)</f>
        <v/>
      </c>
      <c r="L1692" s="29">
        <f>J1692-K1692</f>
        <v/>
      </c>
      <c r="M1692" t="inlineStr">
        <is>
          <t>1.350</t>
        </is>
      </c>
      <c r="N1692" t="inlineStr">
        <is>
          <t>Modalidade: 0 - Por conta do remetente | Parte: FRIOSETE COMERCIO DE FRIOS LTDA (97.426.472/0001-42)</t>
        </is>
      </c>
      <c r="O1692" s="29" t="n">
        <v>0</v>
      </c>
      <c r="P1692" s="29" t="n">
        <v>0</v>
      </c>
      <c r="Q1692" s="29" t="n">
        <v>0</v>
      </c>
      <c r="R1692" s="29" t="n">
        <v>0</v>
      </c>
      <c r="S1692" s="29" t="n">
        <v>0</v>
      </c>
      <c r="T1692" t="inlineStr">
        <is>
          <t>25250726975620000130570010000045751000000000</t>
        </is>
      </c>
      <c r="U1692" t="inlineStr">
        <is>
          <t>Não</t>
        </is>
      </c>
    </row>
    <row r="1693">
      <c r="A1693" t="inlineStr">
        <is>
          <t>Frete de venda</t>
        </is>
      </c>
      <c r="B1693" t="inlineStr">
        <is>
          <t>2.01.02 Frete sobre Vendas</t>
        </is>
      </c>
      <c r="C1693" t="inlineStr">
        <is>
          <t>Antes de 2026</t>
        </is>
      </c>
      <c r="D1693" t="inlineStr">
        <is>
          <t>Antes de 2026</t>
        </is>
      </c>
      <c r="E1693" s="28" t="n">
        <v>45842</v>
      </c>
      <c r="F1693" t="inlineStr">
        <is>
          <t>CT-e</t>
        </is>
      </c>
      <c r="G1693" t="inlineStr">
        <is>
          <t>000004576</t>
        </is>
      </c>
      <c r="H1693" t="inlineStr">
        <is>
          <t>R&amp;R TRANSPORTE E LOGISTICA</t>
        </is>
      </c>
      <c r="J1693" s="29" t="n">
        <v>114.13</v>
      </c>
      <c r="K1693" s="29">
        <f>(1-ISNUMBER(SEARCH("556",M1693)))*(O1693*SUMIFS(Premissas!$C$5:$C$44,Premissas!$A$5:$A$44,$A1693,Premissas!$B$5:$B$44,$B1693)+P1693*SUMIFS(Premissas!$D$5:$D$44,Premissas!$A$5:$A$44,$A1693,Premissas!$B$5:$B$44,$B1693))+R1693*SUMIFS(Premissas!$E$5:$E$44,Premissas!$A$5:$A$44,$A1693,Premissas!$B$5:$B$44,$B1693)+S1693*SUMIFS(Premissas!$F$5:$F$44,Premissas!$A$5:$A$44,$A1693,Premissas!$B$5:$B$44,$B1693)</f>
        <v/>
      </c>
      <c r="L1693" s="29">
        <f>J1693-K1693</f>
        <v/>
      </c>
      <c r="M1693" t="inlineStr">
        <is>
          <t>1.350</t>
        </is>
      </c>
      <c r="N1693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693" s="29" t="n">
        <v>0</v>
      </c>
      <c r="P1693" s="29" t="n">
        <v>0</v>
      </c>
      <c r="Q1693" s="29" t="n">
        <v>0</v>
      </c>
      <c r="R1693" s="29" t="n">
        <v>0</v>
      </c>
      <c r="S1693" s="29" t="n">
        <v>0</v>
      </c>
      <c r="T1693" t="inlineStr">
        <is>
          <t>25250726975620000130570010000045761000000007</t>
        </is>
      </c>
      <c r="U1693" t="inlineStr">
        <is>
          <t>Não</t>
        </is>
      </c>
    </row>
    <row r="1694">
      <c r="A1694" t="inlineStr">
        <is>
          <t>Frete de venda</t>
        </is>
      </c>
      <c r="B1694" t="inlineStr">
        <is>
          <t>2.01.02 Frete sobre Vendas</t>
        </is>
      </c>
      <c r="C1694" t="inlineStr">
        <is>
          <t>Antes de 2026</t>
        </is>
      </c>
      <c r="D1694" t="inlineStr">
        <is>
          <t>Antes de 2026</t>
        </is>
      </c>
      <c r="E1694" s="28" t="n">
        <v>45842</v>
      </c>
      <c r="F1694" t="inlineStr">
        <is>
          <t>CT-e</t>
        </is>
      </c>
      <c r="G1694" t="inlineStr">
        <is>
          <t>000004581</t>
        </is>
      </c>
      <c r="H1694" t="inlineStr">
        <is>
          <t>R&amp;R TRANSPORTE E LOGISTICA</t>
        </is>
      </c>
      <c r="J1694" s="29" t="n">
        <v>483</v>
      </c>
      <c r="K1694" s="29">
        <f>(1-ISNUMBER(SEARCH("556",M1694)))*(O1694*SUMIFS(Premissas!$C$5:$C$44,Premissas!$A$5:$A$44,$A1694,Premissas!$B$5:$B$44,$B1694)+P1694*SUMIFS(Premissas!$D$5:$D$44,Premissas!$A$5:$A$44,$A1694,Premissas!$B$5:$B$44,$B1694))+R1694*SUMIFS(Premissas!$E$5:$E$44,Premissas!$A$5:$A$44,$A1694,Premissas!$B$5:$B$44,$B1694)+S1694*SUMIFS(Premissas!$F$5:$F$44,Premissas!$A$5:$A$44,$A1694,Premissas!$B$5:$B$44,$B1694)</f>
        <v/>
      </c>
      <c r="L1694" s="29">
        <f>J1694-K1694</f>
        <v/>
      </c>
      <c r="M1694" t="inlineStr">
        <is>
          <t>1.350</t>
        </is>
      </c>
      <c r="N1694" t="inlineStr">
        <is>
          <t>Modalidade: 0 - Por conta do remetente | Parte: DURA MAIS TRANSPORTES LTDA (59.256.389/0002-64)</t>
        </is>
      </c>
      <c r="O1694" s="29" t="n">
        <v>0</v>
      </c>
      <c r="P1694" s="29" t="n">
        <v>0</v>
      </c>
      <c r="Q1694" s="29" t="n">
        <v>0</v>
      </c>
      <c r="R1694" s="29" t="n">
        <v>0</v>
      </c>
      <c r="S1694" s="29" t="n">
        <v>0</v>
      </c>
      <c r="T1694" t="inlineStr">
        <is>
          <t>25250726975620000130570010000045811000000007</t>
        </is>
      </c>
      <c r="U1694" t="inlineStr">
        <is>
          <t>Não</t>
        </is>
      </c>
    </row>
    <row r="1695">
      <c r="A1695" t="inlineStr">
        <is>
          <t>Frete de venda</t>
        </is>
      </c>
      <c r="B1695" t="inlineStr">
        <is>
          <t>2.01.02 Frete sobre Vendas</t>
        </is>
      </c>
      <c r="C1695" t="inlineStr">
        <is>
          <t>Antes de 2026</t>
        </is>
      </c>
      <c r="D1695" t="inlineStr">
        <is>
          <t>Antes de 2026</t>
        </is>
      </c>
      <c r="E1695" s="28" t="n">
        <v>45842</v>
      </c>
      <c r="F1695" t="inlineStr">
        <is>
          <t>CT-e</t>
        </is>
      </c>
      <c r="G1695" t="inlineStr">
        <is>
          <t>000004582</t>
        </is>
      </c>
      <c r="H1695" t="inlineStr">
        <is>
          <t>R&amp;R TRANSPORTE E LOGISTICA</t>
        </is>
      </c>
      <c r="J1695" s="29" t="n">
        <v>30.31</v>
      </c>
      <c r="K1695" s="29">
        <f>(1-ISNUMBER(SEARCH("556",M1695)))*(O1695*SUMIFS(Premissas!$C$5:$C$44,Premissas!$A$5:$A$44,$A1695,Premissas!$B$5:$B$44,$B1695)+P1695*SUMIFS(Premissas!$D$5:$D$44,Premissas!$A$5:$A$44,$A1695,Premissas!$B$5:$B$44,$B1695))+R1695*SUMIFS(Premissas!$E$5:$E$44,Premissas!$A$5:$A$44,$A1695,Premissas!$B$5:$B$44,$B1695)+S1695*SUMIFS(Premissas!$F$5:$F$44,Premissas!$A$5:$A$44,$A1695,Premissas!$B$5:$B$44,$B1695)</f>
        <v/>
      </c>
      <c r="L1695" s="29">
        <f>J1695-K1695</f>
        <v/>
      </c>
      <c r="M1695" t="inlineStr">
        <is>
          <t>1.350</t>
        </is>
      </c>
      <c r="N1695" t="inlineStr">
        <is>
          <t>Modalidade: 0 - Por conta do remetente | Parte: IBIAPINA VARIEDADES LTDA (46.211.356/0001-75)</t>
        </is>
      </c>
      <c r="O1695" s="29" t="n">
        <v>0</v>
      </c>
      <c r="P1695" s="29" t="n">
        <v>0</v>
      </c>
      <c r="Q1695" s="29" t="n">
        <v>0</v>
      </c>
      <c r="R1695" s="29" t="n">
        <v>0</v>
      </c>
      <c r="S1695" s="29" t="n">
        <v>0</v>
      </c>
      <c r="T1695" t="inlineStr">
        <is>
          <t>25250726975620000130570010000045821000000004</t>
        </is>
      </c>
      <c r="U1695" t="inlineStr">
        <is>
          <t>Não</t>
        </is>
      </c>
    </row>
    <row r="1696">
      <c r="A1696" t="inlineStr">
        <is>
          <t>Frete de venda</t>
        </is>
      </c>
      <c r="B1696" t="inlineStr">
        <is>
          <t>2.01.02 Frete sobre Vendas</t>
        </is>
      </c>
      <c r="C1696" t="inlineStr">
        <is>
          <t>Antes de 2026</t>
        </is>
      </c>
      <c r="D1696" t="inlineStr">
        <is>
          <t>Antes de 2026</t>
        </is>
      </c>
      <c r="E1696" s="28" t="n">
        <v>45842</v>
      </c>
      <c r="F1696" t="inlineStr">
        <is>
          <t>CT-e</t>
        </is>
      </c>
      <c r="G1696" t="inlineStr">
        <is>
          <t>000004583</t>
        </is>
      </c>
      <c r="H1696" t="inlineStr">
        <is>
          <t>R&amp;R TRANSPORTE E LOGISTICA</t>
        </is>
      </c>
      <c r="J1696" s="29" t="n">
        <v>99.84999999999999</v>
      </c>
      <c r="K1696" s="29">
        <f>(1-ISNUMBER(SEARCH("556",M1696)))*(O1696*SUMIFS(Premissas!$C$5:$C$44,Premissas!$A$5:$A$44,$A1696,Premissas!$B$5:$B$44,$B1696)+P1696*SUMIFS(Premissas!$D$5:$D$44,Premissas!$A$5:$A$44,$A1696,Premissas!$B$5:$B$44,$B1696))+R1696*SUMIFS(Premissas!$E$5:$E$44,Premissas!$A$5:$A$44,$A1696,Premissas!$B$5:$B$44,$B1696)+S1696*SUMIFS(Premissas!$F$5:$F$44,Premissas!$A$5:$A$44,$A1696,Premissas!$B$5:$B$44,$B1696)</f>
        <v/>
      </c>
      <c r="L1696" s="29">
        <f>J1696-K1696</f>
        <v/>
      </c>
      <c r="M1696" t="inlineStr">
        <is>
          <t>1.350</t>
        </is>
      </c>
      <c r="N1696" t="inlineStr">
        <is>
          <t>Modalidade: 0 - Por conta do remetente | Parte: LIDER INDUSTRIA E COMERCIO LTDA (45.762.979/0001-73)</t>
        </is>
      </c>
      <c r="O1696" s="29" t="n">
        <v>0</v>
      </c>
      <c r="P1696" s="29" t="n">
        <v>0</v>
      </c>
      <c r="Q1696" s="29" t="n">
        <v>0</v>
      </c>
      <c r="R1696" s="29" t="n">
        <v>0</v>
      </c>
      <c r="S1696" s="29" t="n">
        <v>0</v>
      </c>
      <c r="T1696" t="inlineStr">
        <is>
          <t>25250726975620000130570010000045831000000001</t>
        </is>
      </c>
      <c r="U1696" t="inlineStr">
        <is>
          <t>Não</t>
        </is>
      </c>
    </row>
    <row r="1697">
      <c r="A1697" t="inlineStr">
        <is>
          <t>Frete de venda</t>
        </is>
      </c>
      <c r="B1697" t="inlineStr">
        <is>
          <t>2.01.02 Frete sobre Vendas</t>
        </is>
      </c>
      <c r="C1697" t="inlineStr">
        <is>
          <t>Antes de 2026</t>
        </is>
      </c>
      <c r="D1697" t="inlineStr">
        <is>
          <t>Antes de 2026</t>
        </is>
      </c>
      <c r="E1697" s="28" t="n">
        <v>45842</v>
      </c>
      <c r="F1697" t="inlineStr">
        <is>
          <t>CT-e</t>
        </is>
      </c>
      <c r="G1697" t="inlineStr">
        <is>
          <t>000004584</t>
        </is>
      </c>
      <c r="H1697" t="inlineStr">
        <is>
          <t>R&amp;R TRANSPORTE E LOGISTICA</t>
        </is>
      </c>
      <c r="J1697" s="29" t="n">
        <v>25.14</v>
      </c>
      <c r="K1697" s="29">
        <f>(1-ISNUMBER(SEARCH("556",M1697)))*(O1697*SUMIFS(Premissas!$C$5:$C$44,Premissas!$A$5:$A$44,$A1697,Premissas!$B$5:$B$44,$B1697)+P1697*SUMIFS(Premissas!$D$5:$D$44,Premissas!$A$5:$A$44,$A1697,Premissas!$B$5:$B$44,$B1697))+R1697*SUMIFS(Premissas!$E$5:$E$44,Premissas!$A$5:$A$44,$A1697,Premissas!$B$5:$B$44,$B1697)+S1697*SUMIFS(Premissas!$F$5:$F$44,Premissas!$A$5:$A$44,$A1697,Premissas!$B$5:$B$44,$B1697)</f>
        <v/>
      </c>
      <c r="L1697" s="29">
        <f>J1697-K1697</f>
        <v/>
      </c>
      <c r="M1697" t="inlineStr">
        <is>
          <t>1.350</t>
        </is>
      </c>
      <c r="N1697" t="inlineStr">
        <is>
          <t>Modalidade: 0 - Por conta do remetente | Parte: D. R. B. DE J. MALAMAO LTDA (31.155.347/0001-37)</t>
        </is>
      </c>
      <c r="O1697" s="29" t="n">
        <v>0</v>
      </c>
      <c r="P1697" s="29" t="n">
        <v>0</v>
      </c>
      <c r="Q1697" s="29" t="n">
        <v>0</v>
      </c>
      <c r="R1697" s="29" t="n">
        <v>0</v>
      </c>
      <c r="S1697" s="29" t="n">
        <v>0</v>
      </c>
      <c r="T1697" t="inlineStr">
        <is>
          <t>25250726975620000130570010000045841000000009</t>
        </is>
      </c>
      <c r="U1697" t="inlineStr">
        <is>
          <t>Não</t>
        </is>
      </c>
    </row>
    <row r="1698">
      <c r="A1698" t="inlineStr">
        <is>
          <t>Frete de venda</t>
        </is>
      </c>
      <c r="B1698" t="inlineStr">
        <is>
          <t>2.01.02 Frete sobre Vendas</t>
        </is>
      </c>
      <c r="C1698" t="inlineStr">
        <is>
          <t>Antes de 2026</t>
        </is>
      </c>
      <c r="D1698" t="inlineStr">
        <is>
          <t>Antes de 2026</t>
        </is>
      </c>
      <c r="E1698" s="28" t="n">
        <v>45842</v>
      </c>
      <c r="F1698" t="inlineStr">
        <is>
          <t>CT-e</t>
        </is>
      </c>
      <c r="G1698" t="inlineStr">
        <is>
          <t>000004588</t>
        </is>
      </c>
      <c r="H1698" t="inlineStr">
        <is>
          <t>R&amp;R TRANSPORTE E LOGISTICA</t>
        </is>
      </c>
      <c r="J1698" s="29" t="n">
        <v>20.4</v>
      </c>
      <c r="K1698" s="29">
        <f>(1-ISNUMBER(SEARCH("556",M1698)))*(O1698*SUMIFS(Premissas!$C$5:$C$44,Premissas!$A$5:$A$44,$A1698,Premissas!$B$5:$B$44,$B1698)+P1698*SUMIFS(Premissas!$D$5:$D$44,Premissas!$A$5:$A$44,$A1698,Premissas!$B$5:$B$44,$B1698))+R1698*SUMIFS(Premissas!$E$5:$E$44,Premissas!$A$5:$A$44,$A1698,Premissas!$B$5:$B$44,$B1698)+S1698*SUMIFS(Premissas!$F$5:$F$44,Premissas!$A$5:$A$44,$A1698,Premissas!$B$5:$B$44,$B1698)</f>
        <v/>
      </c>
      <c r="L1698" s="29">
        <f>J1698-K1698</f>
        <v/>
      </c>
      <c r="M1698" t="inlineStr">
        <is>
          <t>1.350</t>
        </is>
      </c>
      <c r="N1698" t="inlineStr">
        <is>
          <t>Modalidade: 0 - Por conta do remetente | Parte: C DA S C BULCAO COMERCIO DE BIJUTERIAS E VARIEDADES (28.720.855/0001-06)</t>
        </is>
      </c>
      <c r="O1698" s="29" t="n">
        <v>0</v>
      </c>
      <c r="P1698" s="29" t="n">
        <v>0</v>
      </c>
      <c r="Q1698" s="29" t="n">
        <v>0</v>
      </c>
      <c r="R1698" s="29" t="n">
        <v>0</v>
      </c>
      <c r="S1698" s="29" t="n">
        <v>0</v>
      </c>
      <c r="T1698" t="inlineStr">
        <is>
          <t>25250726975620000130570010000045881000000008</t>
        </is>
      </c>
      <c r="U1698" t="inlineStr">
        <is>
          <t>Não</t>
        </is>
      </c>
    </row>
    <row r="1699">
      <c r="A1699" t="inlineStr">
        <is>
          <t>Frete de venda</t>
        </is>
      </c>
      <c r="B1699" t="inlineStr">
        <is>
          <t>2.01.02 Frete sobre Vendas</t>
        </is>
      </c>
      <c r="C1699" t="inlineStr">
        <is>
          <t>Antes de 2026</t>
        </is>
      </c>
      <c r="D1699" t="inlineStr">
        <is>
          <t>Antes de 2026</t>
        </is>
      </c>
      <c r="E1699" s="28" t="n">
        <v>45842</v>
      </c>
      <c r="F1699" t="inlineStr">
        <is>
          <t>CT-e</t>
        </is>
      </c>
      <c r="G1699" t="inlineStr">
        <is>
          <t>000004589</t>
        </is>
      </c>
      <c r="H1699" t="inlineStr">
        <is>
          <t>R&amp;R TRANSPORTE E LOGISTICA</t>
        </is>
      </c>
      <c r="J1699" s="29" t="n">
        <v>30.38</v>
      </c>
      <c r="K1699" s="29">
        <f>(1-ISNUMBER(SEARCH("556",M1699)))*(O1699*SUMIFS(Premissas!$C$5:$C$44,Premissas!$A$5:$A$44,$A1699,Premissas!$B$5:$B$44,$B1699)+P1699*SUMIFS(Premissas!$D$5:$D$44,Premissas!$A$5:$A$44,$A1699,Premissas!$B$5:$B$44,$B1699))+R1699*SUMIFS(Premissas!$E$5:$E$44,Premissas!$A$5:$A$44,$A1699,Premissas!$B$5:$B$44,$B1699)+S1699*SUMIFS(Premissas!$F$5:$F$44,Premissas!$A$5:$A$44,$A1699,Premissas!$B$5:$B$44,$B1699)</f>
        <v/>
      </c>
      <c r="L1699" s="29">
        <f>J1699-K1699</f>
        <v/>
      </c>
      <c r="M1699" t="inlineStr">
        <is>
          <t>1.350</t>
        </is>
      </c>
      <c r="N1699" t="inlineStr">
        <is>
          <t>Modalidade: 0 - Por conta do remetente | Parte: DISTRIBUIDORA MARANHENSE PLASTICO LTDA (58.458.739/0001-21)</t>
        </is>
      </c>
      <c r="O1699" s="29" t="n">
        <v>0</v>
      </c>
      <c r="P1699" s="29" t="n">
        <v>0</v>
      </c>
      <c r="Q1699" s="29" t="n">
        <v>0</v>
      </c>
      <c r="R1699" s="29" t="n">
        <v>0</v>
      </c>
      <c r="S1699" s="29" t="n">
        <v>0</v>
      </c>
      <c r="T1699" t="inlineStr">
        <is>
          <t>25250726975620000130570010000045891000000005</t>
        </is>
      </c>
      <c r="U1699" t="inlineStr">
        <is>
          <t>Não</t>
        </is>
      </c>
    </row>
    <row r="1700">
      <c r="A1700" t="inlineStr">
        <is>
          <t>Frete de venda</t>
        </is>
      </c>
      <c r="B1700" t="inlineStr">
        <is>
          <t>2.01.02 Frete sobre Vendas</t>
        </is>
      </c>
      <c r="C1700" t="inlineStr">
        <is>
          <t>Antes de 2026</t>
        </is>
      </c>
      <c r="D1700" t="inlineStr">
        <is>
          <t>Antes de 2026</t>
        </is>
      </c>
      <c r="E1700" s="28" t="n">
        <v>45842</v>
      </c>
      <c r="F1700" t="inlineStr">
        <is>
          <t>CT-e</t>
        </is>
      </c>
      <c r="G1700" t="inlineStr">
        <is>
          <t>000004590</t>
        </is>
      </c>
      <c r="H1700" t="inlineStr">
        <is>
          <t>R&amp;R TRANSPORTE E LOGISTICA</t>
        </is>
      </c>
      <c r="J1700" s="29" t="n">
        <v>24.29</v>
      </c>
      <c r="K1700" s="29">
        <f>(1-ISNUMBER(SEARCH("556",M1700)))*(O1700*SUMIFS(Premissas!$C$5:$C$44,Premissas!$A$5:$A$44,$A1700,Premissas!$B$5:$B$44,$B1700)+P1700*SUMIFS(Premissas!$D$5:$D$44,Premissas!$A$5:$A$44,$A1700,Premissas!$B$5:$B$44,$B1700))+R1700*SUMIFS(Premissas!$E$5:$E$44,Premissas!$A$5:$A$44,$A1700,Premissas!$B$5:$B$44,$B1700)+S1700*SUMIFS(Premissas!$F$5:$F$44,Premissas!$A$5:$A$44,$A1700,Premissas!$B$5:$B$44,$B1700)</f>
        <v/>
      </c>
      <c r="L1700" s="29">
        <f>J1700-K1700</f>
        <v/>
      </c>
      <c r="M1700" t="inlineStr">
        <is>
          <t>1.350</t>
        </is>
      </c>
      <c r="N1700" t="inlineStr">
        <is>
          <t>Modalidade: 0 - Por conta do remetente | Parte: DICASA PRESENTES E VARIEDADES LTDA (56.322.907/0001-21)</t>
        </is>
      </c>
      <c r="O1700" s="29" t="n">
        <v>0</v>
      </c>
      <c r="P1700" s="29" t="n">
        <v>0</v>
      </c>
      <c r="Q1700" s="29" t="n">
        <v>0</v>
      </c>
      <c r="R1700" s="29" t="n">
        <v>0</v>
      </c>
      <c r="S1700" s="29" t="n">
        <v>0</v>
      </c>
      <c r="T1700" t="inlineStr">
        <is>
          <t>25250726975620000130570010000045901000000006</t>
        </is>
      </c>
      <c r="U1700" t="inlineStr">
        <is>
          <t>Não</t>
        </is>
      </c>
    </row>
    <row r="1701">
      <c r="A1701" t="inlineStr">
        <is>
          <t>Frete de venda</t>
        </is>
      </c>
      <c r="B1701" t="inlineStr">
        <is>
          <t>2.01.02 Frete sobre Vendas</t>
        </is>
      </c>
      <c r="C1701" t="inlineStr">
        <is>
          <t>Antes de 2026</t>
        </is>
      </c>
      <c r="D1701" t="inlineStr">
        <is>
          <t>Antes de 2026</t>
        </is>
      </c>
      <c r="E1701" s="28" t="n">
        <v>45842</v>
      </c>
      <c r="F1701" t="inlineStr">
        <is>
          <t>CT-e</t>
        </is>
      </c>
      <c r="G1701" t="inlineStr">
        <is>
          <t>000004591</t>
        </is>
      </c>
      <c r="H1701" t="inlineStr">
        <is>
          <t>R&amp;R TRANSPORTE E LOGISTICA</t>
        </is>
      </c>
      <c r="J1701" s="29" t="n">
        <v>33.75</v>
      </c>
      <c r="K1701" s="29">
        <f>(1-ISNUMBER(SEARCH("556",M1701)))*(O1701*SUMIFS(Premissas!$C$5:$C$44,Premissas!$A$5:$A$44,$A1701,Premissas!$B$5:$B$44,$B1701)+P1701*SUMIFS(Premissas!$D$5:$D$44,Premissas!$A$5:$A$44,$A1701,Premissas!$B$5:$B$44,$B1701))+R1701*SUMIFS(Premissas!$E$5:$E$44,Premissas!$A$5:$A$44,$A1701,Premissas!$B$5:$B$44,$B1701)+S1701*SUMIFS(Premissas!$F$5:$F$44,Premissas!$A$5:$A$44,$A1701,Premissas!$B$5:$B$44,$B1701)</f>
        <v/>
      </c>
      <c r="L1701" s="29">
        <f>J1701-K1701</f>
        <v/>
      </c>
      <c r="M1701" t="inlineStr">
        <is>
          <t>1.350</t>
        </is>
      </c>
      <c r="N1701" t="inlineStr">
        <is>
          <t>Modalidade: 0 - Por conta do remetente | Parte: CASA VERDE LTDA (04.708.874/0001-59)</t>
        </is>
      </c>
      <c r="O1701" s="29" t="n">
        <v>0</v>
      </c>
      <c r="P1701" s="29" t="n">
        <v>0</v>
      </c>
      <c r="Q1701" s="29" t="n">
        <v>0</v>
      </c>
      <c r="R1701" s="29" t="n">
        <v>0</v>
      </c>
      <c r="S1701" s="29" t="n">
        <v>0</v>
      </c>
      <c r="T1701" t="inlineStr">
        <is>
          <t>25250726975620000130570010000045911000000003</t>
        </is>
      </c>
      <c r="U1701" t="inlineStr">
        <is>
          <t>Não</t>
        </is>
      </c>
    </row>
    <row r="1702">
      <c r="A1702" t="inlineStr">
        <is>
          <t>Frete de venda</t>
        </is>
      </c>
      <c r="B1702" t="inlineStr">
        <is>
          <t>2.01.02 Frete sobre Vendas</t>
        </is>
      </c>
      <c r="C1702" t="inlineStr">
        <is>
          <t>Antes de 2026</t>
        </is>
      </c>
      <c r="D1702" t="inlineStr">
        <is>
          <t>Antes de 2026</t>
        </is>
      </c>
      <c r="E1702" s="28" t="n">
        <v>45842</v>
      </c>
      <c r="F1702" t="inlineStr">
        <is>
          <t>CT-e</t>
        </is>
      </c>
      <c r="G1702" t="inlineStr">
        <is>
          <t>000004592</t>
        </is>
      </c>
      <c r="H1702" t="inlineStr">
        <is>
          <t>R&amp;R TRANSPORTE E LOGISTICA</t>
        </is>
      </c>
      <c r="J1702" s="29" t="n">
        <v>25.32</v>
      </c>
      <c r="K1702" s="29">
        <f>(1-ISNUMBER(SEARCH("556",M1702)))*(O1702*SUMIFS(Premissas!$C$5:$C$44,Premissas!$A$5:$A$44,$A1702,Premissas!$B$5:$B$44,$B1702)+P1702*SUMIFS(Premissas!$D$5:$D$44,Premissas!$A$5:$A$44,$A1702,Premissas!$B$5:$B$44,$B1702))+R1702*SUMIFS(Premissas!$E$5:$E$44,Premissas!$A$5:$A$44,$A1702,Premissas!$B$5:$B$44,$B1702)+S1702*SUMIFS(Premissas!$F$5:$F$44,Premissas!$A$5:$A$44,$A1702,Premissas!$B$5:$B$44,$B1702)</f>
        <v/>
      </c>
      <c r="L1702" s="29">
        <f>J1702-K1702</f>
        <v/>
      </c>
      <c r="M1702" t="inlineStr">
        <is>
          <t>1.350</t>
        </is>
      </c>
      <c r="N1702" t="inlineStr">
        <is>
          <t>Modalidade: 0 - Por conta do remetente | Parte: M R DA S COMERCIO DE PLASTICOS LTDA (46.906.495/0001-13)</t>
        </is>
      </c>
      <c r="O1702" s="29" t="n">
        <v>0</v>
      </c>
      <c r="P1702" s="29" t="n">
        <v>0</v>
      </c>
      <c r="Q1702" s="29" t="n">
        <v>0</v>
      </c>
      <c r="R1702" s="29" t="n">
        <v>0</v>
      </c>
      <c r="S1702" s="29" t="n">
        <v>0</v>
      </c>
      <c r="T1702" t="inlineStr">
        <is>
          <t>25250726975620000130570010000045921000000000</t>
        </is>
      </c>
      <c r="U1702" t="inlineStr">
        <is>
          <t>Não</t>
        </is>
      </c>
    </row>
    <row r="1703">
      <c r="A1703" t="inlineStr">
        <is>
          <t>Frete de venda</t>
        </is>
      </c>
      <c r="B1703" t="inlineStr">
        <is>
          <t>2.01.02 Frete sobre Vendas</t>
        </is>
      </c>
      <c r="C1703" t="inlineStr">
        <is>
          <t>Antes de 2026</t>
        </is>
      </c>
      <c r="D1703" t="inlineStr">
        <is>
          <t>Antes de 2026</t>
        </is>
      </c>
      <c r="E1703" s="28" t="n">
        <v>45842</v>
      </c>
      <c r="F1703" t="inlineStr">
        <is>
          <t>CT-e</t>
        </is>
      </c>
      <c r="G1703" t="inlineStr">
        <is>
          <t>000004593</t>
        </is>
      </c>
      <c r="H1703" t="inlineStr">
        <is>
          <t>R&amp;R TRANSPORTE E LOGISTICA</t>
        </is>
      </c>
      <c r="J1703" s="29" t="n">
        <v>40.72</v>
      </c>
      <c r="K1703" s="29">
        <f>(1-ISNUMBER(SEARCH("556",M1703)))*(O1703*SUMIFS(Premissas!$C$5:$C$44,Premissas!$A$5:$A$44,$A1703,Premissas!$B$5:$B$44,$B1703)+P1703*SUMIFS(Premissas!$D$5:$D$44,Premissas!$A$5:$A$44,$A1703,Premissas!$B$5:$B$44,$B1703))+R1703*SUMIFS(Premissas!$E$5:$E$44,Premissas!$A$5:$A$44,$A1703,Premissas!$B$5:$B$44,$B1703)+S1703*SUMIFS(Premissas!$F$5:$F$44,Premissas!$A$5:$A$44,$A1703,Premissas!$B$5:$B$44,$B1703)</f>
        <v/>
      </c>
      <c r="L1703" s="29">
        <f>J1703-K1703</f>
        <v/>
      </c>
      <c r="M1703" t="inlineStr">
        <is>
          <t>1.350</t>
        </is>
      </c>
      <c r="N1703" t="inlineStr">
        <is>
          <t>Modalidade: 0 - Por conta do remetente | Parte: MEGA FESTAS LTDA (07.064.216/0001-60)</t>
        </is>
      </c>
      <c r="O1703" s="29" t="n">
        <v>0</v>
      </c>
      <c r="P1703" s="29" t="n">
        <v>0</v>
      </c>
      <c r="Q1703" s="29" t="n">
        <v>0</v>
      </c>
      <c r="R1703" s="29" t="n">
        <v>0</v>
      </c>
      <c r="S1703" s="29" t="n">
        <v>0</v>
      </c>
      <c r="T1703" t="inlineStr">
        <is>
          <t>25250726975620000130570010000045931000000008</t>
        </is>
      </c>
      <c r="U1703" t="inlineStr">
        <is>
          <t>Não</t>
        </is>
      </c>
    </row>
    <row r="1704">
      <c r="A1704" t="inlineStr">
        <is>
          <t>Frete de venda</t>
        </is>
      </c>
      <c r="B1704" t="inlineStr">
        <is>
          <t>2.01.02 Frete sobre Vendas</t>
        </is>
      </c>
      <c r="C1704" t="inlineStr">
        <is>
          <t>Antes de 2026</t>
        </is>
      </c>
      <c r="D1704" t="inlineStr">
        <is>
          <t>Antes de 2026</t>
        </is>
      </c>
      <c r="E1704" s="28" t="n">
        <v>45842</v>
      </c>
      <c r="F1704" t="inlineStr">
        <is>
          <t>CT-e</t>
        </is>
      </c>
      <c r="G1704" t="inlineStr">
        <is>
          <t>000004594</t>
        </is>
      </c>
      <c r="H1704" t="inlineStr">
        <is>
          <t>R&amp;R TRANSPORTE E LOGISTICA</t>
        </is>
      </c>
      <c r="J1704" s="29" t="n">
        <v>33</v>
      </c>
      <c r="K1704" s="29">
        <f>(1-ISNUMBER(SEARCH("556",M1704)))*(O1704*SUMIFS(Premissas!$C$5:$C$44,Premissas!$A$5:$A$44,$A1704,Premissas!$B$5:$B$44,$B1704)+P1704*SUMIFS(Premissas!$D$5:$D$44,Premissas!$A$5:$A$44,$A1704,Premissas!$B$5:$B$44,$B1704))+R1704*SUMIFS(Premissas!$E$5:$E$44,Premissas!$A$5:$A$44,$A1704,Premissas!$B$5:$B$44,$B1704)+S1704*SUMIFS(Premissas!$F$5:$F$44,Premissas!$A$5:$A$44,$A1704,Premissas!$B$5:$B$44,$B1704)</f>
        <v/>
      </c>
      <c r="L1704" s="29">
        <f>J1704-K1704</f>
        <v/>
      </c>
      <c r="M1704" t="inlineStr">
        <is>
          <t>1.350</t>
        </is>
      </c>
      <c r="N1704" t="inlineStr">
        <is>
          <t>Modalidade: 0 - Por conta do remetente | Parte: POPULAR COMERCIO DE MERCADORIAS EM GERAL LTDA (32.323.706/0001-80)</t>
        </is>
      </c>
      <c r="O1704" s="29" t="n">
        <v>0</v>
      </c>
      <c r="P1704" s="29" t="n">
        <v>0</v>
      </c>
      <c r="Q1704" s="29" t="n">
        <v>0</v>
      </c>
      <c r="R1704" s="29" t="n">
        <v>0</v>
      </c>
      <c r="S1704" s="29" t="n">
        <v>0</v>
      </c>
      <c r="T1704" t="inlineStr">
        <is>
          <t>25250726975620000130570010000045941000000005</t>
        </is>
      </c>
      <c r="U1704" t="inlineStr">
        <is>
          <t>Não</t>
        </is>
      </c>
    </row>
    <row r="1705">
      <c r="A1705" t="inlineStr">
        <is>
          <t>Frete de venda</t>
        </is>
      </c>
      <c r="B1705" t="inlineStr">
        <is>
          <t>2.01.02 Frete sobre Vendas</t>
        </is>
      </c>
      <c r="C1705" t="inlineStr">
        <is>
          <t>Antes de 2026</t>
        </is>
      </c>
      <c r="D1705" t="inlineStr">
        <is>
          <t>Antes de 2026</t>
        </is>
      </c>
      <c r="E1705" s="28" t="n">
        <v>45842</v>
      </c>
      <c r="F1705" t="inlineStr">
        <is>
          <t>CT-e</t>
        </is>
      </c>
      <c r="G1705" t="inlineStr">
        <is>
          <t>000004595</t>
        </is>
      </c>
      <c r="H1705" t="inlineStr">
        <is>
          <t>R&amp;R TRANSPORTE E LOGISTICA</t>
        </is>
      </c>
      <c r="J1705" s="29" t="n">
        <v>41.15</v>
      </c>
      <c r="K1705" s="29">
        <f>(1-ISNUMBER(SEARCH("556",M1705)))*(O1705*SUMIFS(Premissas!$C$5:$C$44,Premissas!$A$5:$A$44,$A1705,Premissas!$B$5:$B$44,$B1705)+P1705*SUMIFS(Premissas!$D$5:$D$44,Premissas!$A$5:$A$44,$A1705,Premissas!$B$5:$B$44,$B1705))+R1705*SUMIFS(Premissas!$E$5:$E$44,Premissas!$A$5:$A$44,$A1705,Premissas!$B$5:$B$44,$B1705)+S1705*SUMIFS(Premissas!$F$5:$F$44,Premissas!$A$5:$A$44,$A1705,Premissas!$B$5:$B$44,$B1705)</f>
        <v/>
      </c>
      <c r="L1705" s="29">
        <f>J1705-K1705</f>
        <v/>
      </c>
      <c r="M1705" t="inlineStr">
        <is>
          <t>1.350</t>
        </is>
      </c>
      <c r="N1705" t="inlineStr">
        <is>
          <t>Modalidade: 0 - Por conta do remetente | Parte: JAMES L. H. TOME e CIA LTDA (16.965.024/0001-15)</t>
        </is>
      </c>
      <c r="O1705" s="29" t="n">
        <v>0</v>
      </c>
      <c r="P1705" s="29" t="n">
        <v>0</v>
      </c>
      <c r="Q1705" s="29" t="n">
        <v>0</v>
      </c>
      <c r="R1705" s="29" t="n">
        <v>0</v>
      </c>
      <c r="S1705" s="29" t="n">
        <v>0</v>
      </c>
      <c r="T1705" t="inlineStr">
        <is>
          <t>25250726975620000130570010000045951000000002</t>
        </is>
      </c>
      <c r="U1705" t="inlineStr">
        <is>
          <t>Não</t>
        </is>
      </c>
    </row>
    <row r="1706">
      <c r="A1706" t="inlineStr">
        <is>
          <t>Frete de venda</t>
        </is>
      </c>
      <c r="B1706" t="inlineStr">
        <is>
          <t>2.01.02 Frete sobre Vendas</t>
        </is>
      </c>
      <c r="C1706" t="inlineStr">
        <is>
          <t>Antes de 2026</t>
        </is>
      </c>
      <c r="D1706" t="inlineStr">
        <is>
          <t>Antes de 2026</t>
        </is>
      </c>
      <c r="E1706" s="28" t="n">
        <v>45843</v>
      </c>
      <c r="F1706" t="inlineStr">
        <is>
          <t>CT-e</t>
        </is>
      </c>
      <c r="G1706" t="inlineStr">
        <is>
          <t>000004596</t>
        </is>
      </c>
      <c r="H1706" t="inlineStr">
        <is>
          <t>R&amp;R TRANSPORTE E LOGISTICA</t>
        </is>
      </c>
      <c r="J1706" s="29" t="n">
        <v>100.7</v>
      </c>
      <c r="K1706" s="29">
        <f>(1-ISNUMBER(SEARCH("556",M1706)))*(O1706*SUMIFS(Premissas!$C$5:$C$44,Premissas!$A$5:$A$44,$A1706,Premissas!$B$5:$B$44,$B1706)+P1706*SUMIFS(Premissas!$D$5:$D$44,Premissas!$A$5:$A$44,$A1706,Premissas!$B$5:$B$44,$B1706))+R1706*SUMIFS(Premissas!$E$5:$E$44,Premissas!$A$5:$A$44,$A1706,Premissas!$B$5:$B$44,$B1706)+S1706*SUMIFS(Premissas!$F$5:$F$44,Premissas!$A$5:$A$44,$A1706,Premissas!$B$5:$B$44,$B1706)</f>
        <v/>
      </c>
      <c r="L1706" s="29">
        <f>J1706-K1706</f>
        <v/>
      </c>
      <c r="M1706" t="inlineStr">
        <is>
          <t>1.350</t>
        </is>
      </c>
      <c r="N1706" t="inlineStr">
        <is>
          <t>Modalidade: 0 - Por conta do remetente | Parte: DISTRIBUIDORA DE EMBALAGENS CASTROPIL LTDA. (08.961.274/0007-44)</t>
        </is>
      </c>
      <c r="O1706" s="29" t="n">
        <v>0</v>
      </c>
      <c r="P1706" s="29" t="n">
        <v>0</v>
      </c>
      <c r="Q1706" s="29" t="n">
        <v>0</v>
      </c>
      <c r="R1706" s="29" t="n">
        <v>0</v>
      </c>
      <c r="S1706" s="29" t="n">
        <v>0</v>
      </c>
      <c r="T1706" t="inlineStr">
        <is>
          <t>25250726975620000130570010000045961000000000</t>
        </is>
      </c>
      <c r="U1706" t="inlineStr">
        <is>
          <t>Não</t>
        </is>
      </c>
    </row>
    <row r="1707">
      <c r="A1707" t="inlineStr">
        <is>
          <t>Frete de venda</t>
        </is>
      </c>
      <c r="B1707" t="inlineStr">
        <is>
          <t>2.01.02 Frete sobre Vendas</t>
        </is>
      </c>
      <c r="C1707" t="inlineStr">
        <is>
          <t>Antes de 2026</t>
        </is>
      </c>
      <c r="D1707" t="inlineStr">
        <is>
          <t>Antes de 2026</t>
        </is>
      </c>
      <c r="E1707" s="28" t="n">
        <v>45843</v>
      </c>
      <c r="F1707" t="inlineStr">
        <is>
          <t>CT-e</t>
        </is>
      </c>
      <c r="G1707" t="inlineStr">
        <is>
          <t>000004598</t>
        </is>
      </c>
      <c r="H1707" t="inlineStr">
        <is>
          <t>R&amp;R TRANSPORTE E LOGISTICA</t>
        </is>
      </c>
      <c r="J1707" s="29" t="n">
        <v>53</v>
      </c>
      <c r="K1707" s="29">
        <f>(1-ISNUMBER(SEARCH("556",M1707)))*(O1707*SUMIFS(Premissas!$C$5:$C$44,Premissas!$A$5:$A$44,$A1707,Premissas!$B$5:$B$44,$B1707)+P1707*SUMIFS(Premissas!$D$5:$D$44,Premissas!$A$5:$A$44,$A1707,Premissas!$B$5:$B$44,$B1707))+R1707*SUMIFS(Premissas!$E$5:$E$44,Premissas!$A$5:$A$44,$A1707,Premissas!$B$5:$B$44,$B1707)+S1707*SUMIFS(Premissas!$F$5:$F$44,Premissas!$A$5:$A$44,$A1707,Premissas!$B$5:$B$44,$B1707)</f>
        <v/>
      </c>
      <c r="L1707" s="29">
        <f>J1707-K1707</f>
        <v/>
      </c>
      <c r="M1707" t="inlineStr">
        <is>
          <t>1.350</t>
        </is>
      </c>
      <c r="N1707" t="inlineStr">
        <is>
          <t>Modalidade: 0 - Por conta do remetente | Parte: AP SACARIA EMBALAGENS LTDA (20.402.088/0001-85)</t>
        </is>
      </c>
      <c r="O1707" s="29" t="n">
        <v>0</v>
      </c>
      <c r="P1707" s="29" t="n">
        <v>0</v>
      </c>
      <c r="Q1707" s="29" t="n">
        <v>0</v>
      </c>
      <c r="R1707" s="29" t="n">
        <v>0</v>
      </c>
      <c r="S1707" s="29" t="n">
        <v>0</v>
      </c>
      <c r="T1707" t="inlineStr">
        <is>
          <t>25250726975620000130570010000045981000000004</t>
        </is>
      </c>
      <c r="U1707" t="inlineStr">
        <is>
          <t>Não</t>
        </is>
      </c>
    </row>
    <row r="1708">
      <c r="A1708" t="inlineStr">
        <is>
          <t>Frete de venda</t>
        </is>
      </c>
      <c r="B1708" t="inlineStr">
        <is>
          <t>2.01.02 Frete sobre Vendas</t>
        </is>
      </c>
      <c r="C1708" t="inlineStr">
        <is>
          <t>Antes de 2026</t>
        </is>
      </c>
      <c r="D1708" t="inlineStr">
        <is>
          <t>Antes de 2026</t>
        </is>
      </c>
      <c r="E1708" s="28" t="n">
        <v>45843</v>
      </c>
      <c r="F1708" t="inlineStr">
        <is>
          <t>CT-e</t>
        </is>
      </c>
      <c r="G1708" t="inlineStr">
        <is>
          <t>000004599</t>
        </is>
      </c>
      <c r="H1708" t="inlineStr">
        <is>
          <t>R&amp;R TRANSPORTE E LOGISTICA</t>
        </is>
      </c>
      <c r="J1708" s="29" t="n">
        <v>131</v>
      </c>
      <c r="K1708" s="29">
        <f>(1-ISNUMBER(SEARCH("556",M1708)))*(O1708*SUMIFS(Premissas!$C$5:$C$44,Premissas!$A$5:$A$44,$A1708,Premissas!$B$5:$B$44,$B1708)+P1708*SUMIFS(Premissas!$D$5:$D$44,Premissas!$A$5:$A$44,$A1708,Premissas!$B$5:$B$44,$B1708))+R1708*SUMIFS(Premissas!$E$5:$E$44,Premissas!$A$5:$A$44,$A1708,Premissas!$B$5:$B$44,$B1708)+S1708*SUMIFS(Premissas!$F$5:$F$44,Premissas!$A$5:$A$44,$A1708,Premissas!$B$5:$B$44,$B1708)</f>
        <v/>
      </c>
      <c r="L1708" s="29">
        <f>J1708-K1708</f>
        <v/>
      </c>
      <c r="M1708" t="inlineStr">
        <is>
          <t>1.350</t>
        </is>
      </c>
      <c r="N1708" t="inlineStr">
        <is>
          <t>Modalidade: 0 - Por conta do remetente | Parte: VIDEIRA COMERCIO DESCARTAVEIS LTDA (12.079.452/0001-90)</t>
        </is>
      </c>
      <c r="O1708" s="29" t="n">
        <v>0</v>
      </c>
      <c r="P1708" s="29" t="n">
        <v>0</v>
      </c>
      <c r="Q1708" s="29" t="n">
        <v>0</v>
      </c>
      <c r="R1708" s="29" t="n">
        <v>0</v>
      </c>
      <c r="S1708" s="29" t="n">
        <v>0</v>
      </c>
      <c r="T1708" t="inlineStr">
        <is>
          <t>25250726975620000130570010000045991000000001</t>
        </is>
      </c>
      <c r="U1708" t="inlineStr">
        <is>
          <t>Não</t>
        </is>
      </c>
    </row>
    <row r="1709">
      <c r="A1709" t="inlineStr">
        <is>
          <t>Frete de venda</t>
        </is>
      </c>
      <c r="B1709" t="inlineStr">
        <is>
          <t>2.01.02 Frete sobre Vendas</t>
        </is>
      </c>
      <c r="C1709" t="inlineStr">
        <is>
          <t>Antes de 2026</t>
        </is>
      </c>
      <c r="D1709" t="inlineStr">
        <is>
          <t>Antes de 2026</t>
        </is>
      </c>
      <c r="E1709" s="28" t="n">
        <v>45843</v>
      </c>
      <c r="F1709" t="inlineStr">
        <is>
          <t>CT-e</t>
        </is>
      </c>
      <c r="G1709" t="inlineStr">
        <is>
          <t>000004600</t>
        </is>
      </c>
      <c r="H1709" t="inlineStr">
        <is>
          <t>R&amp;R TRANSPORTE E LOGISTICA</t>
        </is>
      </c>
      <c r="J1709" s="29" t="n">
        <v>55.5</v>
      </c>
      <c r="K1709" s="29">
        <f>(1-ISNUMBER(SEARCH("556",M1709)))*(O1709*SUMIFS(Premissas!$C$5:$C$44,Premissas!$A$5:$A$44,$A1709,Premissas!$B$5:$B$44,$B1709)+P1709*SUMIFS(Premissas!$D$5:$D$44,Premissas!$A$5:$A$44,$A1709,Premissas!$B$5:$B$44,$B1709))+R1709*SUMIFS(Premissas!$E$5:$E$44,Premissas!$A$5:$A$44,$A1709,Premissas!$B$5:$B$44,$B1709)+S1709*SUMIFS(Premissas!$F$5:$F$44,Premissas!$A$5:$A$44,$A1709,Premissas!$B$5:$B$44,$B1709)</f>
        <v/>
      </c>
      <c r="L1709" s="29">
        <f>J1709-K1709</f>
        <v/>
      </c>
      <c r="M1709" t="inlineStr">
        <is>
          <t>1.350</t>
        </is>
      </c>
      <c r="N1709" t="inlineStr">
        <is>
          <t>Modalidade: 0 - Por conta do remetente | Parte: FRONTEIRA EMBALAGENS LTDA (47.115.817/0001-79)</t>
        </is>
      </c>
      <c r="O1709" s="29" t="n">
        <v>0</v>
      </c>
      <c r="P1709" s="29" t="n">
        <v>0</v>
      </c>
      <c r="Q1709" s="29" t="n">
        <v>0</v>
      </c>
      <c r="R1709" s="29" t="n">
        <v>0</v>
      </c>
      <c r="S1709" s="29" t="n">
        <v>0</v>
      </c>
      <c r="T1709" t="inlineStr">
        <is>
          <t>25250726975620000130570010000046001000000004</t>
        </is>
      </c>
      <c r="U1709" t="inlineStr">
        <is>
          <t>Não</t>
        </is>
      </c>
    </row>
    <row r="1710">
      <c r="A1710" t="inlineStr">
        <is>
          <t>Frete de venda</t>
        </is>
      </c>
      <c r="B1710" t="inlineStr">
        <is>
          <t>2.01.02 Frete sobre Vendas</t>
        </is>
      </c>
      <c r="C1710" t="inlineStr">
        <is>
          <t>Antes de 2026</t>
        </is>
      </c>
      <c r="D1710" t="inlineStr">
        <is>
          <t>Antes de 2026</t>
        </is>
      </c>
      <c r="E1710" s="28" t="n">
        <v>45845</v>
      </c>
      <c r="F1710" t="inlineStr">
        <is>
          <t>CT-e</t>
        </is>
      </c>
      <c r="G1710" t="inlineStr">
        <is>
          <t>000004607</t>
        </is>
      </c>
      <c r="H1710" t="inlineStr">
        <is>
          <t>R&amp;R TRANSPORTE E LOGISTICA</t>
        </is>
      </c>
      <c r="J1710" s="29" t="n">
        <v>1050</v>
      </c>
      <c r="K1710" s="29">
        <f>(1-ISNUMBER(SEARCH("556",M1710)))*(O1710*SUMIFS(Premissas!$C$5:$C$44,Premissas!$A$5:$A$44,$A1710,Premissas!$B$5:$B$44,$B1710)+P1710*SUMIFS(Premissas!$D$5:$D$44,Premissas!$A$5:$A$44,$A1710,Premissas!$B$5:$B$44,$B1710))+R1710*SUMIFS(Premissas!$E$5:$E$44,Premissas!$A$5:$A$44,$A1710,Premissas!$B$5:$B$44,$B1710)+S1710*SUMIFS(Premissas!$F$5:$F$44,Premissas!$A$5:$A$44,$A1710,Premissas!$B$5:$B$44,$B1710)</f>
        <v/>
      </c>
      <c r="L1710" s="29">
        <f>J1710-K1710</f>
        <v/>
      </c>
      <c r="M1710" t="inlineStr">
        <is>
          <t>1.350</t>
        </is>
      </c>
      <c r="N1710" t="inlineStr">
        <is>
          <t>Modalidade: 0 - Por conta do remetente | Parte: H C COMERCIO DE EMBALAGENS PLASTICA LTDA (69.708.436/0001-36)</t>
        </is>
      </c>
      <c r="O1710" s="29" t="n">
        <v>0</v>
      </c>
      <c r="P1710" s="29" t="n">
        <v>0</v>
      </c>
      <c r="Q1710" s="29" t="n">
        <v>0</v>
      </c>
      <c r="R1710" s="29" t="n">
        <v>0</v>
      </c>
      <c r="S1710" s="29" t="n">
        <v>0</v>
      </c>
      <c r="T1710" t="inlineStr">
        <is>
          <t>25250726975620000130570010000046071000000005</t>
        </is>
      </c>
      <c r="U1710" t="inlineStr">
        <is>
          <t>Não</t>
        </is>
      </c>
    </row>
    <row r="1711">
      <c r="A1711" t="inlineStr">
        <is>
          <t>Frete de venda</t>
        </is>
      </c>
      <c r="B1711" t="inlineStr">
        <is>
          <t>2.01.02 Frete sobre Vendas</t>
        </is>
      </c>
      <c r="C1711" t="inlineStr">
        <is>
          <t>Antes de 2026</t>
        </is>
      </c>
      <c r="D1711" t="inlineStr">
        <is>
          <t>Antes de 2026</t>
        </is>
      </c>
      <c r="E1711" s="28" t="n">
        <v>45845</v>
      </c>
      <c r="F1711" t="inlineStr">
        <is>
          <t>CT-e</t>
        </is>
      </c>
      <c r="G1711" t="inlineStr">
        <is>
          <t>000004608</t>
        </is>
      </c>
      <c r="H1711" t="inlineStr">
        <is>
          <t>R&amp;R TRANSPORTE E LOGISTICA</t>
        </is>
      </c>
      <c r="J1711" s="29" t="n">
        <v>1050</v>
      </c>
      <c r="K1711" s="29">
        <f>(1-ISNUMBER(SEARCH("556",M1711)))*(O1711*SUMIFS(Premissas!$C$5:$C$44,Premissas!$A$5:$A$44,$A1711,Premissas!$B$5:$B$44,$B1711)+P1711*SUMIFS(Premissas!$D$5:$D$44,Premissas!$A$5:$A$44,$A1711,Premissas!$B$5:$B$44,$B1711))+R1711*SUMIFS(Premissas!$E$5:$E$44,Premissas!$A$5:$A$44,$A1711,Premissas!$B$5:$B$44,$B1711)+S1711*SUMIFS(Premissas!$F$5:$F$44,Premissas!$A$5:$A$44,$A1711,Premissas!$B$5:$B$44,$B1711)</f>
        <v/>
      </c>
      <c r="L1711" s="29">
        <f>J1711-K1711</f>
        <v/>
      </c>
      <c r="M1711" t="inlineStr">
        <is>
          <t>1.350</t>
        </is>
      </c>
      <c r="N1711" t="inlineStr">
        <is>
          <t>Modalidade: 0 - Por conta do remetente | Parte: FORTALI DISTRIBUIDORA DE ALIMENTOS LTDA. (09.317.318/0001-75)</t>
        </is>
      </c>
      <c r="O1711" s="29" t="n">
        <v>0</v>
      </c>
      <c r="P1711" s="29" t="n">
        <v>0</v>
      </c>
      <c r="Q1711" s="29" t="n">
        <v>0</v>
      </c>
      <c r="R1711" s="29" t="n">
        <v>0</v>
      </c>
      <c r="S1711" s="29" t="n">
        <v>0</v>
      </c>
      <c r="T1711" t="inlineStr">
        <is>
          <t>25250726975620000130570010000046081000000002</t>
        </is>
      </c>
      <c r="U1711" t="inlineStr">
        <is>
          <t>Não</t>
        </is>
      </c>
    </row>
    <row r="1712">
      <c r="A1712" t="inlineStr">
        <is>
          <t>Frete de venda</t>
        </is>
      </c>
      <c r="B1712" t="inlineStr">
        <is>
          <t>2.01.02 Frete sobre Vendas</t>
        </is>
      </c>
      <c r="C1712" t="inlineStr">
        <is>
          <t>Antes de 2026</t>
        </is>
      </c>
      <c r="D1712" t="inlineStr">
        <is>
          <t>Antes de 2026</t>
        </is>
      </c>
      <c r="E1712" s="28" t="n">
        <v>45845</v>
      </c>
      <c r="F1712" t="inlineStr">
        <is>
          <t>CT-e</t>
        </is>
      </c>
      <c r="G1712" t="inlineStr">
        <is>
          <t>000004609</t>
        </is>
      </c>
      <c r="H1712" t="inlineStr">
        <is>
          <t>R&amp;R TRANSPORTE E LOGISTICA</t>
        </is>
      </c>
      <c r="J1712" s="29" t="n">
        <v>1050</v>
      </c>
      <c r="K1712" s="29">
        <f>(1-ISNUMBER(SEARCH("556",M1712)))*(O1712*SUMIFS(Premissas!$C$5:$C$44,Premissas!$A$5:$A$44,$A1712,Premissas!$B$5:$B$44,$B1712)+P1712*SUMIFS(Premissas!$D$5:$D$44,Premissas!$A$5:$A$44,$A1712,Premissas!$B$5:$B$44,$B1712))+R1712*SUMIFS(Premissas!$E$5:$E$44,Premissas!$A$5:$A$44,$A1712,Premissas!$B$5:$B$44,$B1712)+S1712*SUMIFS(Premissas!$F$5:$F$44,Premissas!$A$5:$A$44,$A1712,Premissas!$B$5:$B$44,$B1712)</f>
        <v/>
      </c>
      <c r="L1712" s="29">
        <f>J1712-K1712</f>
        <v/>
      </c>
      <c r="M1712" t="inlineStr">
        <is>
          <t>1.350</t>
        </is>
      </c>
      <c r="N1712" t="inlineStr">
        <is>
          <t>Modalidade: 0 - Por conta do remetente | Parte: PRASO PLATAFORMA DE COMERCIO LTDA. (42.434.646/0007-12)</t>
        </is>
      </c>
      <c r="O1712" s="29" t="n">
        <v>0</v>
      </c>
      <c r="P1712" s="29" t="n">
        <v>0</v>
      </c>
      <c r="Q1712" s="29" t="n">
        <v>0</v>
      </c>
      <c r="R1712" s="29" t="n">
        <v>0</v>
      </c>
      <c r="S1712" s="29" t="n">
        <v>0</v>
      </c>
      <c r="T1712" t="inlineStr">
        <is>
          <t>25250726975620000130570010000046091000000000</t>
        </is>
      </c>
      <c r="U1712" t="inlineStr">
        <is>
          <t>Não</t>
        </is>
      </c>
    </row>
    <row r="1713">
      <c r="A1713" t="inlineStr">
        <is>
          <t>Frete de venda</t>
        </is>
      </c>
      <c r="B1713" t="inlineStr">
        <is>
          <t>2.01.02 Frete sobre Vendas</t>
        </is>
      </c>
      <c r="C1713" t="inlineStr">
        <is>
          <t>Antes de 2026</t>
        </is>
      </c>
      <c r="D1713" t="inlineStr">
        <is>
          <t>Antes de 2026</t>
        </is>
      </c>
      <c r="E1713" s="28" t="n">
        <v>45845</v>
      </c>
      <c r="F1713" t="inlineStr">
        <is>
          <t>CT-e</t>
        </is>
      </c>
      <c r="G1713" t="inlineStr">
        <is>
          <t>000004610</t>
        </is>
      </c>
      <c r="H1713" t="inlineStr">
        <is>
          <t>R&amp;R TRANSPORTE E LOGISTICA</t>
        </is>
      </c>
      <c r="J1713" s="29" t="n">
        <v>1050</v>
      </c>
      <c r="K1713" s="29">
        <f>(1-ISNUMBER(SEARCH("556",M1713)))*(O1713*SUMIFS(Premissas!$C$5:$C$44,Premissas!$A$5:$A$44,$A1713,Premissas!$B$5:$B$44,$B1713)+P1713*SUMIFS(Premissas!$D$5:$D$44,Premissas!$A$5:$A$44,$A1713,Premissas!$B$5:$B$44,$B1713))+R1713*SUMIFS(Premissas!$E$5:$E$44,Premissas!$A$5:$A$44,$A1713,Premissas!$B$5:$B$44,$B1713)+S1713*SUMIFS(Premissas!$F$5:$F$44,Premissas!$A$5:$A$44,$A1713,Premissas!$B$5:$B$44,$B1713)</f>
        <v/>
      </c>
      <c r="L1713" s="29">
        <f>J1713-K1713</f>
        <v/>
      </c>
      <c r="M1713" t="inlineStr">
        <is>
          <t>1.350</t>
        </is>
      </c>
      <c r="N1713" t="inlineStr">
        <is>
          <t>Modalidade: 0 - Por conta do remetente | Parte: VIP DISTRIBUIDORA DE EMBALAGENS LTDA (51.987.110/0001-20)</t>
        </is>
      </c>
      <c r="O1713" s="29" t="n">
        <v>0</v>
      </c>
      <c r="P1713" s="29" t="n">
        <v>0</v>
      </c>
      <c r="Q1713" s="29" t="n">
        <v>0</v>
      </c>
      <c r="R1713" s="29" t="n">
        <v>0</v>
      </c>
      <c r="S1713" s="29" t="n">
        <v>0</v>
      </c>
      <c r="T1713" t="inlineStr">
        <is>
          <t>25250726975620000130570010000046101000000000</t>
        </is>
      </c>
      <c r="U1713" t="inlineStr">
        <is>
          <t>Não</t>
        </is>
      </c>
    </row>
    <row r="1714">
      <c r="A1714" t="inlineStr">
        <is>
          <t>Frete de venda</t>
        </is>
      </c>
      <c r="B1714" t="inlineStr">
        <is>
          <t>2.01.02 Frete sobre Vendas</t>
        </is>
      </c>
      <c r="C1714" t="inlineStr">
        <is>
          <t>Antes de 2026</t>
        </is>
      </c>
      <c r="D1714" t="inlineStr">
        <is>
          <t>Antes de 2026</t>
        </is>
      </c>
      <c r="E1714" s="28" t="n">
        <v>45847</v>
      </c>
      <c r="F1714" t="inlineStr">
        <is>
          <t>CT-e</t>
        </is>
      </c>
      <c r="G1714" t="inlineStr">
        <is>
          <t>000004618</t>
        </is>
      </c>
      <c r="H1714" t="inlineStr">
        <is>
          <t>R&amp;R TRANSPORTE E LOGISTICA</t>
        </is>
      </c>
      <c r="J1714" s="29" t="n">
        <v>1036.92</v>
      </c>
      <c r="K1714" s="29">
        <f>(1-ISNUMBER(SEARCH("556",M1714)))*(O1714*SUMIFS(Premissas!$C$5:$C$44,Premissas!$A$5:$A$44,$A1714,Premissas!$B$5:$B$44,$B1714)+P1714*SUMIFS(Premissas!$D$5:$D$44,Premissas!$A$5:$A$44,$A1714,Premissas!$B$5:$B$44,$B1714))+R1714*SUMIFS(Premissas!$E$5:$E$44,Premissas!$A$5:$A$44,$A1714,Premissas!$B$5:$B$44,$B1714)+S1714*SUMIFS(Premissas!$F$5:$F$44,Premissas!$A$5:$A$44,$A1714,Premissas!$B$5:$B$44,$B1714)</f>
        <v/>
      </c>
      <c r="L1714" s="29">
        <f>J1714-K1714</f>
        <v/>
      </c>
      <c r="M1714" t="inlineStr">
        <is>
          <t>1.350</t>
        </is>
      </c>
      <c r="N1714" t="inlineStr">
        <is>
          <t>Modalidade: 0 - Por conta do remetente | Parte: VINCO DISTRIBUIDORA DE EMBALAGENS LTDA (55.333.385/0001-09)</t>
        </is>
      </c>
      <c r="O1714" s="29" t="n">
        <v>0</v>
      </c>
      <c r="P1714" s="29" t="n">
        <v>0</v>
      </c>
      <c r="Q1714" s="29" t="n">
        <v>0</v>
      </c>
      <c r="R1714" s="29" t="n">
        <v>0</v>
      </c>
      <c r="S1714" s="29" t="n">
        <v>0</v>
      </c>
      <c r="T1714" t="inlineStr">
        <is>
          <t>25250726975620000130570010000046181000000009</t>
        </is>
      </c>
      <c r="U1714" t="inlineStr">
        <is>
          <t>Não</t>
        </is>
      </c>
    </row>
    <row r="1715">
      <c r="A1715" t="inlineStr">
        <is>
          <t>Frete de venda</t>
        </is>
      </c>
      <c r="B1715" t="inlineStr">
        <is>
          <t>2.01.02 Frete sobre Vendas</t>
        </is>
      </c>
      <c r="C1715" t="inlineStr">
        <is>
          <t>Antes de 2026</t>
        </is>
      </c>
      <c r="D1715" t="inlineStr">
        <is>
          <t>Antes de 2026</t>
        </is>
      </c>
      <c r="E1715" s="28" t="n">
        <v>45848</v>
      </c>
      <c r="F1715" t="inlineStr">
        <is>
          <t>CT-e</t>
        </is>
      </c>
      <c r="G1715" t="inlineStr">
        <is>
          <t>000004619</t>
        </is>
      </c>
      <c r="H1715" t="inlineStr">
        <is>
          <t>R&amp;R TRANSPORTE E LOGISTICA</t>
        </is>
      </c>
      <c r="J1715" s="29" t="n">
        <v>176.32</v>
      </c>
      <c r="K1715" s="29">
        <f>(1-ISNUMBER(SEARCH("556",M1715)))*(O1715*SUMIFS(Premissas!$C$5:$C$44,Premissas!$A$5:$A$44,$A1715,Premissas!$B$5:$B$44,$B1715)+P1715*SUMIFS(Premissas!$D$5:$D$44,Premissas!$A$5:$A$44,$A1715,Premissas!$B$5:$B$44,$B1715))+R1715*SUMIFS(Premissas!$E$5:$E$44,Premissas!$A$5:$A$44,$A1715,Premissas!$B$5:$B$44,$B1715)+S1715*SUMIFS(Premissas!$F$5:$F$44,Premissas!$A$5:$A$44,$A1715,Premissas!$B$5:$B$44,$B1715)</f>
        <v/>
      </c>
      <c r="L1715" s="29">
        <f>J1715-K1715</f>
        <v/>
      </c>
      <c r="M1715" t="inlineStr">
        <is>
          <t>1.350</t>
        </is>
      </c>
      <c r="N1715" t="inlineStr">
        <is>
          <t>Modalidade: 0 - Por conta do remetente | Parte: NUNES, TAVARES e CIA LTDA (43.607.502/0001-98)</t>
        </is>
      </c>
      <c r="O1715" s="29" t="n">
        <v>0</v>
      </c>
      <c r="P1715" s="29" t="n">
        <v>0</v>
      </c>
      <c r="Q1715" s="29" t="n">
        <v>0</v>
      </c>
      <c r="R1715" s="29" t="n">
        <v>0</v>
      </c>
      <c r="S1715" s="29" t="n">
        <v>0</v>
      </c>
      <c r="T1715" t="inlineStr">
        <is>
          <t>25250726975620000130570010000046191000000006</t>
        </is>
      </c>
      <c r="U1715" t="inlineStr">
        <is>
          <t>Não</t>
        </is>
      </c>
    </row>
    <row r="1716">
      <c r="A1716" t="inlineStr">
        <is>
          <t>Frete de venda</t>
        </is>
      </c>
      <c r="B1716" t="inlineStr">
        <is>
          <t>2.01.02 Frete sobre Vendas</t>
        </is>
      </c>
      <c r="C1716" t="inlineStr">
        <is>
          <t>Antes de 2026</t>
        </is>
      </c>
      <c r="D1716" t="inlineStr">
        <is>
          <t>Antes de 2026</t>
        </is>
      </c>
      <c r="E1716" s="28" t="n">
        <v>45848</v>
      </c>
      <c r="F1716" t="inlineStr">
        <is>
          <t>CT-e</t>
        </is>
      </c>
      <c r="G1716" t="inlineStr">
        <is>
          <t>000004620</t>
        </is>
      </c>
      <c r="H1716" t="inlineStr">
        <is>
          <t>R&amp;R TRANSPORTE E LOGISTICA</t>
        </is>
      </c>
      <c r="J1716" s="29" t="n">
        <v>80.53</v>
      </c>
      <c r="K1716" s="29">
        <f>(1-ISNUMBER(SEARCH("556",M1716)))*(O1716*SUMIFS(Premissas!$C$5:$C$44,Premissas!$A$5:$A$44,$A1716,Premissas!$B$5:$B$44,$B1716)+P1716*SUMIFS(Premissas!$D$5:$D$44,Premissas!$A$5:$A$44,$A1716,Premissas!$B$5:$B$44,$B1716))+R1716*SUMIFS(Premissas!$E$5:$E$44,Premissas!$A$5:$A$44,$A1716,Premissas!$B$5:$B$44,$B1716)+S1716*SUMIFS(Premissas!$F$5:$F$44,Premissas!$A$5:$A$44,$A1716,Premissas!$B$5:$B$44,$B1716)</f>
        <v/>
      </c>
      <c r="L1716" s="29">
        <f>J1716-K1716</f>
        <v/>
      </c>
      <c r="M1716" t="inlineStr">
        <is>
          <t>1.350</t>
        </is>
      </c>
      <c r="N1716" t="inlineStr">
        <is>
          <t>Modalidade: 0 - Por conta do remetente | Parte: MATOS EMBALAGENS COMERCIO LTDA (01.888.718/0001-29)</t>
        </is>
      </c>
      <c r="O1716" s="29" t="n">
        <v>0</v>
      </c>
      <c r="P1716" s="29" t="n">
        <v>0</v>
      </c>
      <c r="Q1716" s="29" t="n">
        <v>0</v>
      </c>
      <c r="R1716" s="29" t="n">
        <v>0</v>
      </c>
      <c r="S1716" s="29" t="n">
        <v>0</v>
      </c>
      <c r="T1716" t="inlineStr">
        <is>
          <t>25250726975620000130570010000046201000000007</t>
        </is>
      </c>
      <c r="U1716" t="inlineStr">
        <is>
          <t>Não</t>
        </is>
      </c>
    </row>
    <row r="1717">
      <c r="A1717" t="inlineStr">
        <is>
          <t>Frete de venda</t>
        </is>
      </c>
      <c r="B1717" t="inlineStr">
        <is>
          <t>2.01.02 Frete sobre Vendas</t>
        </is>
      </c>
      <c r="C1717" t="inlineStr">
        <is>
          <t>Antes de 2026</t>
        </is>
      </c>
      <c r="D1717" t="inlineStr">
        <is>
          <t>Antes de 2026</t>
        </is>
      </c>
      <c r="E1717" s="28" t="n">
        <v>45848</v>
      </c>
      <c r="F1717" t="inlineStr">
        <is>
          <t>CT-e</t>
        </is>
      </c>
      <c r="G1717" t="inlineStr">
        <is>
          <t>000004621</t>
        </is>
      </c>
      <c r="H1717" t="inlineStr">
        <is>
          <t>R&amp;R TRANSPORTE E LOGISTICA</t>
        </is>
      </c>
      <c r="J1717" s="29" t="n">
        <v>81.40000000000001</v>
      </c>
      <c r="K1717" s="29">
        <f>(1-ISNUMBER(SEARCH("556",M1717)))*(O1717*SUMIFS(Premissas!$C$5:$C$44,Premissas!$A$5:$A$44,$A1717,Premissas!$B$5:$B$44,$B1717)+P1717*SUMIFS(Premissas!$D$5:$D$44,Premissas!$A$5:$A$44,$A1717,Premissas!$B$5:$B$44,$B1717))+R1717*SUMIFS(Premissas!$E$5:$E$44,Premissas!$A$5:$A$44,$A1717,Premissas!$B$5:$B$44,$B1717)+S1717*SUMIFS(Premissas!$F$5:$F$44,Premissas!$A$5:$A$44,$A1717,Premissas!$B$5:$B$44,$B1717)</f>
        <v/>
      </c>
      <c r="L1717" s="29">
        <f>J1717-K1717</f>
        <v/>
      </c>
      <c r="M1717" t="inlineStr">
        <is>
          <t>1.350</t>
        </is>
      </c>
      <c r="N1717" t="inlineStr">
        <is>
          <t>Modalidade: 0 - Por conta do remetente | Parte: CALIXTO DA SILVA E CIA LTDA (10.680.919/0001-27)</t>
        </is>
      </c>
      <c r="O1717" s="29" t="n">
        <v>0</v>
      </c>
      <c r="P1717" s="29" t="n">
        <v>0</v>
      </c>
      <c r="Q1717" s="29" t="n">
        <v>0</v>
      </c>
      <c r="R1717" s="29" t="n">
        <v>0</v>
      </c>
      <c r="S1717" s="29" t="n">
        <v>0</v>
      </c>
      <c r="T1717" t="inlineStr">
        <is>
          <t>25250726975620000130570010000046211000000004</t>
        </is>
      </c>
      <c r="U1717" t="inlineStr">
        <is>
          <t>Não</t>
        </is>
      </c>
    </row>
    <row r="1718">
      <c r="A1718" t="inlineStr">
        <is>
          <t>Frete de venda</t>
        </is>
      </c>
      <c r="B1718" t="inlineStr">
        <is>
          <t>2.01.02 Frete sobre Vendas</t>
        </is>
      </c>
      <c r="C1718" t="inlineStr">
        <is>
          <t>Antes de 2026</t>
        </is>
      </c>
      <c r="D1718" t="inlineStr">
        <is>
          <t>Antes de 2026</t>
        </is>
      </c>
      <c r="E1718" s="28" t="n">
        <v>45848</v>
      </c>
      <c r="F1718" t="inlineStr">
        <is>
          <t>CT-e</t>
        </is>
      </c>
      <c r="G1718" t="inlineStr">
        <is>
          <t>000004622</t>
        </is>
      </c>
      <c r="H1718" t="inlineStr">
        <is>
          <t>R&amp;R TRANSPORTE E LOGISTICA</t>
        </is>
      </c>
      <c r="J1718" s="29" t="n">
        <v>600</v>
      </c>
      <c r="K1718" s="29">
        <f>(1-ISNUMBER(SEARCH("556",M1718)))*(O1718*SUMIFS(Premissas!$C$5:$C$44,Premissas!$A$5:$A$44,$A1718,Premissas!$B$5:$B$44,$B1718)+P1718*SUMIFS(Premissas!$D$5:$D$44,Premissas!$A$5:$A$44,$A1718,Premissas!$B$5:$B$44,$B1718))+R1718*SUMIFS(Premissas!$E$5:$E$44,Premissas!$A$5:$A$44,$A1718,Premissas!$B$5:$B$44,$B1718)+S1718*SUMIFS(Premissas!$F$5:$F$44,Premissas!$A$5:$A$44,$A1718,Premissas!$B$5:$B$44,$B1718)</f>
        <v/>
      </c>
      <c r="L1718" s="29">
        <f>J1718-K1718</f>
        <v/>
      </c>
      <c r="M1718" t="inlineStr">
        <is>
          <t>1.350</t>
        </is>
      </c>
      <c r="N1718" t="inlineStr">
        <is>
          <t>Modalidade: 0 - Por conta do remetente | Parte: PRASO PLATAFORMA DE COMERCIO LTDA. (42.434.646/0007-12)</t>
        </is>
      </c>
      <c r="O1718" s="29" t="n">
        <v>0</v>
      </c>
      <c r="P1718" s="29" t="n">
        <v>0</v>
      </c>
      <c r="Q1718" s="29" t="n">
        <v>0</v>
      </c>
      <c r="R1718" s="29" t="n">
        <v>0</v>
      </c>
      <c r="S1718" s="29" t="n">
        <v>0</v>
      </c>
      <c r="T1718" t="inlineStr">
        <is>
          <t>25250726975620000130570010000046221000000001</t>
        </is>
      </c>
      <c r="U1718" t="inlineStr">
        <is>
          <t>Não</t>
        </is>
      </c>
    </row>
    <row r="1719">
      <c r="A1719" t="inlineStr">
        <is>
          <t>Frete de venda</t>
        </is>
      </c>
      <c r="B1719" t="inlineStr">
        <is>
          <t>2.01.02 Frete sobre Vendas</t>
        </is>
      </c>
      <c r="C1719" t="inlineStr">
        <is>
          <t>Antes de 2026</t>
        </is>
      </c>
      <c r="D1719" t="inlineStr">
        <is>
          <t>Antes de 2026</t>
        </is>
      </c>
      <c r="E1719" s="28" t="n">
        <v>45850</v>
      </c>
      <c r="F1719" t="inlineStr">
        <is>
          <t>CT-e</t>
        </is>
      </c>
      <c r="G1719" t="inlineStr">
        <is>
          <t>000004626</t>
        </is>
      </c>
      <c r="H1719" t="inlineStr">
        <is>
          <t>R&amp;R TRANSPORTE E LOGISTICA</t>
        </is>
      </c>
      <c r="J1719" s="29" t="n">
        <v>57.16</v>
      </c>
      <c r="K1719" s="29">
        <f>(1-ISNUMBER(SEARCH("556",M1719)))*(O1719*SUMIFS(Premissas!$C$5:$C$44,Premissas!$A$5:$A$44,$A1719,Premissas!$B$5:$B$44,$B1719)+P1719*SUMIFS(Premissas!$D$5:$D$44,Premissas!$A$5:$A$44,$A1719,Premissas!$B$5:$B$44,$B1719))+R1719*SUMIFS(Premissas!$E$5:$E$44,Premissas!$A$5:$A$44,$A1719,Premissas!$B$5:$B$44,$B1719)+S1719*SUMIFS(Premissas!$F$5:$F$44,Premissas!$A$5:$A$44,$A1719,Premissas!$B$5:$B$44,$B1719)</f>
        <v/>
      </c>
      <c r="L1719" s="29">
        <f>J1719-K1719</f>
        <v/>
      </c>
      <c r="M1719" t="inlineStr">
        <is>
          <t>1.350</t>
        </is>
      </c>
      <c r="N1719" t="inlineStr">
        <is>
          <t>Modalidade: 0 - Por conta do remetente | Parte: EDIVALDO BATISTA DOS SANTOS EMBALAGENS LTDA (03.624.188/0001-37)</t>
        </is>
      </c>
      <c r="O1719" s="29" t="n">
        <v>0</v>
      </c>
      <c r="P1719" s="29" t="n">
        <v>0</v>
      </c>
      <c r="Q1719" s="29" t="n">
        <v>0</v>
      </c>
      <c r="R1719" s="29" t="n">
        <v>0</v>
      </c>
      <c r="S1719" s="29" t="n">
        <v>0</v>
      </c>
      <c r="T1719" t="inlineStr">
        <is>
          <t>25250726975620000130570010000046261000000000</t>
        </is>
      </c>
      <c r="U1719" t="inlineStr">
        <is>
          <t>Não</t>
        </is>
      </c>
    </row>
    <row r="1720">
      <c r="A1720" t="inlineStr">
        <is>
          <t>Frete de venda</t>
        </is>
      </c>
      <c r="B1720" t="inlineStr">
        <is>
          <t>2.01.02 Frete sobre Vendas</t>
        </is>
      </c>
      <c r="C1720" t="inlineStr">
        <is>
          <t>Antes de 2026</t>
        </is>
      </c>
      <c r="D1720" t="inlineStr">
        <is>
          <t>Antes de 2026</t>
        </is>
      </c>
      <c r="E1720" s="28" t="n">
        <v>45850</v>
      </c>
      <c r="F1720" t="inlineStr">
        <is>
          <t>CT-e</t>
        </is>
      </c>
      <c r="G1720" t="inlineStr">
        <is>
          <t>000004627</t>
        </is>
      </c>
      <c r="H1720" t="inlineStr">
        <is>
          <t>R&amp;R TRANSPORTE E LOGISTICA</t>
        </is>
      </c>
      <c r="J1720" s="29" t="n">
        <v>28.88</v>
      </c>
      <c r="K1720" s="29">
        <f>(1-ISNUMBER(SEARCH("556",M1720)))*(O1720*SUMIFS(Premissas!$C$5:$C$44,Premissas!$A$5:$A$44,$A1720,Premissas!$B$5:$B$44,$B1720)+P1720*SUMIFS(Premissas!$D$5:$D$44,Premissas!$A$5:$A$44,$A1720,Premissas!$B$5:$B$44,$B1720))+R1720*SUMIFS(Premissas!$E$5:$E$44,Premissas!$A$5:$A$44,$A1720,Premissas!$B$5:$B$44,$B1720)+S1720*SUMIFS(Premissas!$F$5:$F$44,Premissas!$A$5:$A$44,$A1720,Premissas!$B$5:$B$44,$B1720)</f>
        <v/>
      </c>
      <c r="L1720" s="29">
        <f>J1720-K1720</f>
        <v/>
      </c>
      <c r="M1720" t="inlineStr">
        <is>
          <t>1.350</t>
        </is>
      </c>
      <c r="N1720" t="inlineStr">
        <is>
          <t>Modalidade: 0 - Por conta do remetente | Parte: E.S. BRANDAO FERNANDES (10.341.001/0001-53)</t>
        </is>
      </c>
      <c r="O1720" s="29" t="n">
        <v>0</v>
      </c>
      <c r="P1720" s="29" t="n">
        <v>0</v>
      </c>
      <c r="Q1720" s="29" t="n">
        <v>0</v>
      </c>
      <c r="R1720" s="29" t="n">
        <v>0</v>
      </c>
      <c r="S1720" s="29" t="n">
        <v>0</v>
      </c>
      <c r="T1720" t="inlineStr">
        <is>
          <t>25250726975620000130570010000046271000000008</t>
        </is>
      </c>
      <c r="U1720" t="inlineStr">
        <is>
          <t>Não</t>
        </is>
      </c>
    </row>
    <row r="1721">
      <c r="A1721" t="inlineStr">
        <is>
          <t>Frete de venda</t>
        </is>
      </c>
      <c r="B1721" t="inlineStr">
        <is>
          <t>2.01.02 Frete sobre Vendas</t>
        </is>
      </c>
      <c r="C1721" t="inlineStr">
        <is>
          <t>Antes de 2026</t>
        </is>
      </c>
      <c r="D1721" t="inlineStr">
        <is>
          <t>Antes de 2026</t>
        </is>
      </c>
      <c r="E1721" s="28" t="n">
        <v>45850</v>
      </c>
      <c r="F1721" t="inlineStr">
        <is>
          <t>CT-e</t>
        </is>
      </c>
      <c r="G1721" t="inlineStr">
        <is>
          <t>000004628</t>
        </is>
      </c>
      <c r="H1721" t="inlineStr">
        <is>
          <t>R&amp;R TRANSPORTE E LOGISTICA</t>
        </is>
      </c>
      <c r="J1721" s="29" t="n">
        <v>21.2</v>
      </c>
      <c r="K1721" s="29">
        <f>(1-ISNUMBER(SEARCH("556",M1721)))*(O1721*SUMIFS(Premissas!$C$5:$C$44,Premissas!$A$5:$A$44,$A1721,Premissas!$B$5:$B$44,$B1721)+P1721*SUMIFS(Premissas!$D$5:$D$44,Premissas!$A$5:$A$44,$A1721,Premissas!$B$5:$B$44,$B1721))+R1721*SUMIFS(Premissas!$E$5:$E$44,Premissas!$A$5:$A$44,$A1721,Premissas!$B$5:$B$44,$B1721)+S1721*SUMIFS(Premissas!$F$5:$F$44,Premissas!$A$5:$A$44,$A1721,Premissas!$B$5:$B$44,$B1721)</f>
        <v/>
      </c>
      <c r="L1721" s="29">
        <f>J1721-K1721</f>
        <v/>
      </c>
      <c r="M1721" t="inlineStr">
        <is>
          <t>1.350</t>
        </is>
      </c>
      <c r="N1721" t="inlineStr">
        <is>
          <t>Modalidade: 0 - Por conta do remetente | Parte: GRACILIANO QUEIROZ PEREIRA DE MELO (02.604.364/0001-06)</t>
        </is>
      </c>
      <c r="O1721" s="29" t="n">
        <v>0</v>
      </c>
      <c r="P1721" s="29" t="n">
        <v>0</v>
      </c>
      <c r="Q1721" s="29" t="n">
        <v>0</v>
      </c>
      <c r="R1721" s="29" t="n">
        <v>0</v>
      </c>
      <c r="S1721" s="29" t="n">
        <v>0</v>
      </c>
      <c r="T1721" t="inlineStr">
        <is>
          <t>25250726975620000130570010000046281000000005</t>
        </is>
      </c>
      <c r="U1721" t="inlineStr">
        <is>
          <t>Não</t>
        </is>
      </c>
    </row>
    <row r="1722">
      <c r="A1722" t="inlineStr">
        <is>
          <t>Frete de venda</t>
        </is>
      </c>
      <c r="B1722" t="inlineStr">
        <is>
          <t>2.01.02 Frete sobre Vendas</t>
        </is>
      </c>
      <c r="C1722" t="inlineStr">
        <is>
          <t>Antes de 2026</t>
        </is>
      </c>
      <c r="D1722" t="inlineStr">
        <is>
          <t>Antes de 2026</t>
        </is>
      </c>
      <c r="E1722" s="28" t="n">
        <v>45850</v>
      </c>
      <c r="F1722" t="inlineStr">
        <is>
          <t>CT-e</t>
        </is>
      </c>
      <c r="G1722" t="inlineStr">
        <is>
          <t>000004629</t>
        </is>
      </c>
      <c r="H1722" t="inlineStr">
        <is>
          <t>R&amp;R TRANSPORTE E LOGISTICA</t>
        </is>
      </c>
      <c r="J1722" s="29" t="n">
        <v>21.44</v>
      </c>
      <c r="K1722" s="29">
        <f>(1-ISNUMBER(SEARCH("556",M1722)))*(O1722*SUMIFS(Premissas!$C$5:$C$44,Premissas!$A$5:$A$44,$A1722,Premissas!$B$5:$B$44,$B1722)+P1722*SUMIFS(Premissas!$D$5:$D$44,Premissas!$A$5:$A$44,$A1722,Premissas!$B$5:$B$44,$B1722))+R1722*SUMIFS(Premissas!$E$5:$E$44,Premissas!$A$5:$A$44,$A1722,Premissas!$B$5:$B$44,$B1722)+S1722*SUMIFS(Premissas!$F$5:$F$44,Premissas!$A$5:$A$44,$A1722,Premissas!$B$5:$B$44,$B1722)</f>
        <v/>
      </c>
      <c r="L1722" s="29">
        <f>J1722-K1722</f>
        <v/>
      </c>
      <c r="M1722" t="inlineStr">
        <is>
          <t>1.350</t>
        </is>
      </c>
      <c r="N1722" t="inlineStr">
        <is>
          <t>Modalidade: 0 - Por conta do remetente | Parte: REDE FRIOS FOOD SERVICE LTDA (37.862.035/0001-40)</t>
        </is>
      </c>
      <c r="O1722" s="29" t="n">
        <v>0</v>
      </c>
      <c r="P1722" s="29" t="n">
        <v>0</v>
      </c>
      <c r="Q1722" s="29" t="n">
        <v>0</v>
      </c>
      <c r="R1722" s="29" t="n">
        <v>0</v>
      </c>
      <c r="S1722" s="29" t="n">
        <v>0</v>
      </c>
      <c r="T1722" t="inlineStr">
        <is>
          <t>25250726975620000130570010000046291000000002</t>
        </is>
      </c>
      <c r="U1722" t="inlineStr">
        <is>
          <t>Não</t>
        </is>
      </c>
    </row>
    <row r="1723">
      <c r="A1723" t="inlineStr">
        <is>
          <t>Frete de venda</t>
        </is>
      </c>
      <c r="B1723" t="inlineStr">
        <is>
          <t>2.01.02 Frete sobre Vendas</t>
        </is>
      </c>
      <c r="C1723" t="inlineStr">
        <is>
          <t>Antes de 2026</t>
        </is>
      </c>
      <c r="D1723" t="inlineStr">
        <is>
          <t>Antes de 2026</t>
        </is>
      </c>
      <c r="E1723" s="28" t="n">
        <v>45850</v>
      </c>
      <c r="F1723" t="inlineStr">
        <is>
          <t>CT-e</t>
        </is>
      </c>
      <c r="G1723" t="inlineStr">
        <is>
          <t>000004630</t>
        </is>
      </c>
      <c r="H1723" t="inlineStr">
        <is>
          <t>R&amp;R TRANSPORTE E LOGISTICA</t>
        </is>
      </c>
      <c r="J1723" s="29" t="n">
        <v>24.81</v>
      </c>
      <c r="K1723" s="29">
        <f>(1-ISNUMBER(SEARCH("556",M1723)))*(O1723*SUMIFS(Premissas!$C$5:$C$44,Premissas!$A$5:$A$44,$A1723,Premissas!$B$5:$B$44,$B1723)+P1723*SUMIFS(Premissas!$D$5:$D$44,Premissas!$A$5:$A$44,$A1723,Premissas!$B$5:$B$44,$B1723))+R1723*SUMIFS(Premissas!$E$5:$E$44,Premissas!$A$5:$A$44,$A1723,Premissas!$B$5:$B$44,$B1723)+S1723*SUMIFS(Premissas!$F$5:$F$44,Premissas!$A$5:$A$44,$A1723,Premissas!$B$5:$B$44,$B1723)</f>
        <v/>
      </c>
      <c r="L1723" s="29">
        <f>J1723-K1723</f>
        <v/>
      </c>
      <c r="M1723" t="inlineStr">
        <is>
          <t>1.350</t>
        </is>
      </c>
      <c r="N1723" t="inlineStr">
        <is>
          <t>Modalidade: 0 - Por conta do remetente | Parte: E.S. BRANDAO FERNANDES (10.341.001/0002-34)</t>
        </is>
      </c>
      <c r="O1723" s="29" t="n">
        <v>0</v>
      </c>
      <c r="P1723" s="29" t="n">
        <v>0</v>
      </c>
      <c r="Q1723" s="29" t="n">
        <v>0</v>
      </c>
      <c r="R1723" s="29" t="n">
        <v>0</v>
      </c>
      <c r="S1723" s="29" t="n">
        <v>0</v>
      </c>
      <c r="T1723" t="inlineStr">
        <is>
          <t>25250726975620000130570010000046301000000003</t>
        </is>
      </c>
      <c r="U1723" t="inlineStr">
        <is>
          <t>Não</t>
        </is>
      </c>
    </row>
    <row r="1724">
      <c r="A1724" t="inlineStr">
        <is>
          <t>Frete de venda</t>
        </is>
      </c>
      <c r="B1724" t="inlineStr">
        <is>
          <t>2.01.02 Frete sobre Vendas</t>
        </is>
      </c>
      <c r="C1724" t="inlineStr">
        <is>
          <t>Antes de 2026</t>
        </is>
      </c>
      <c r="D1724" t="inlineStr">
        <is>
          <t>Antes de 2026</t>
        </is>
      </c>
      <c r="E1724" s="28" t="n">
        <v>45850</v>
      </c>
      <c r="F1724" t="inlineStr">
        <is>
          <t>CT-e</t>
        </is>
      </c>
      <c r="G1724" t="inlineStr">
        <is>
          <t>000004631</t>
        </is>
      </c>
      <c r="H1724" t="inlineStr">
        <is>
          <t>R&amp;R TRANSPORTE E LOGISTICA</t>
        </is>
      </c>
      <c r="J1724" s="29" t="n">
        <v>27.19</v>
      </c>
      <c r="K1724" s="29">
        <f>(1-ISNUMBER(SEARCH("556",M1724)))*(O1724*SUMIFS(Premissas!$C$5:$C$44,Premissas!$A$5:$A$44,$A1724,Premissas!$B$5:$B$44,$B1724)+P1724*SUMIFS(Premissas!$D$5:$D$44,Premissas!$A$5:$A$44,$A1724,Premissas!$B$5:$B$44,$B1724))+R1724*SUMIFS(Premissas!$E$5:$E$44,Premissas!$A$5:$A$44,$A1724,Premissas!$B$5:$B$44,$B1724)+S1724*SUMIFS(Premissas!$F$5:$F$44,Premissas!$A$5:$A$44,$A1724,Premissas!$B$5:$B$44,$B1724)</f>
        <v/>
      </c>
      <c r="L1724" s="29">
        <f>J1724-K1724</f>
        <v/>
      </c>
      <c r="M1724" t="inlineStr">
        <is>
          <t>1.350</t>
        </is>
      </c>
      <c r="N1724" t="inlineStr">
        <is>
          <t>Modalidade: 0 - Por conta do remetente | Parte: TREVO COMERCIO DE EMBALAGENS LTDA (08.178.510/0001-65)</t>
        </is>
      </c>
      <c r="O1724" s="29" t="n">
        <v>0</v>
      </c>
      <c r="P1724" s="29" t="n">
        <v>0</v>
      </c>
      <c r="Q1724" s="29" t="n">
        <v>0</v>
      </c>
      <c r="R1724" s="29" t="n">
        <v>0</v>
      </c>
      <c r="S1724" s="29" t="n">
        <v>0</v>
      </c>
      <c r="T1724" t="inlineStr">
        <is>
          <t>25250726975620000130570010000046311000000000</t>
        </is>
      </c>
      <c r="U1724" t="inlineStr">
        <is>
          <t>Não</t>
        </is>
      </c>
    </row>
    <row r="1725">
      <c r="A1725" t="inlineStr">
        <is>
          <t>Frete de venda</t>
        </is>
      </c>
      <c r="B1725" t="inlineStr">
        <is>
          <t>2.01.02 Frete sobre Vendas</t>
        </is>
      </c>
      <c r="C1725" t="inlineStr">
        <is>
          <t>Antes de 2026</t>
        </is>
      </c>
      <c r="D1725" t="inlineStr">
        <is>
          <t>Antes de 2026</t>
        </is>
      </c>
      <c r="E1725" s="28" t="n">
        <v>45850</v>
      </c>
      <c r="F1725" t="inlineStr">
        <is>
          <t>CT-e</t>
        </is>
      </c>
      <c r="G1725" t="inlineStr">
        <is>
          <t>000004632</t>
        </is>
      </c>
      <c r="H1725" t="inlineStr">
        <is>
          <t>R&amp;R TRANSPORTE E LOGISTICA</t>
        </is>
      </c>
      <c r="J1725" s="29" t="n">
        <v>25.42</v>
      </c>
      <c r="K1725" s="29">
        <f>(1-ISNUMBER(SEARCH("556",M1725)))*(O1725*SUMIFS(Premissas!$C$5:$C$44,Premissas!$A$5:$A$44,$A1725,Premissas!$B$5:$B$44,$B1725)+P1725*SUMIFS(Premissas!$D$5:$D$44,Premissas!$A$5:$A$44,$A1725,Premissas!$B$5:$B$44,$B1725))+R1725*SUMIFS(Premissas!$E$5:$E$44,Premissas!$A$5:$A$44,$A1725,Premissas!$B$5:$B$44,$B1725)+S1725*SUMIFS(Premissas!$F$5:$F$44,Premissas!$A$5:$A$44,$A1725,Premissas!$B$5:$B$44,$B1725)</f>
        <v/>
      </c>
      <c r="L1725" s="29">
        <f>J1725-K1725</f>
        <v/>
      </c>
      <c r="M1725" t="inlineStr">
        <is>
          <t>1.350</t>
        </is>
      </c>
      <c r="N1725" t="inlineStr">
        <is>
          <t>Modalidade: 0 - Por conta do remetente | Parte: IDEAL COMERCIO DE EMBALAGENS LTDA (09.485.481/0001-47)</t>
        </is>
      </c>
      <c r="O1725" s="29" t="n">
        <v>0</v>
      </c>
      <c r="P1725" s="29" t="n">
        <v>0</v>
      </c>
      <c r="Q1725" s="29" t="n">
        <v>0</v>
      </c>
      <c r="R1725" s="29" t="n">
        <v>0</v>
      </c>
      <c r="S1725" s="29" t="n">
        <v>0</v>
      </c>
      <c r="T1725" t="inlineStr">
        <is>
          <t>25250726975620000130570010000046321000000008</t>
        </is>
      </c>
      <c r="U1725" t="inlineStr">
        <is>
          <t>Não</t>
        </is>
      </c>
    </row>
    <row r="1726">
      <c r="A1726" t="inlineStr">
        <is>
          <t>Frete de venda</t>
        </is>
      </c>
      <c r="B1726" t="inlineStr">
        <is>
          <t>2.01.02 Frete sobre Vendas</t>
        </is>
      </c>
      <c r="C1726" t="inlineStr">
        <is>
          <t>Antes de 2026</t>
        </is>
      </c>
      <c r="D1726" t="inlineStr">
        <is>
          <t>Antes de 2026</t>
        </is>
      </c>
      <c r="E1726" s="28" t="n">
        <v>45850</v>
      </c>
      <c r="F1726" t="inlineStr">
        <is>
          <t>CT-e</t>
        </is>
      </c>
      <c r="G1726" t="inlineStr">
        <is>
          <t>000004633</t>
        </is>
      </c>
      <c r="H1726" t="inlineStr">
        <is>
          <t>R&amp;R TRANSPORTE E LOGISTICA</t>
        </is>
      </c>
      <c r="J1726" s="29" t="n">
        <v>21.73</v>
      </c>
      <c r="K1726" s="29">
        <f>(1-ISNUMBER(SEARCH("556",M1726)))*(O1726*SUMIFS(Premissas!$C$5:$C$44,Premissas!$A$5:$A$44,$A1726,Premissas!$B$5:$B$44,$B1726)+P1726*SUMIFS(Premissas!$D$5:$D$44,Premissas!$A$5:$A$44,$A1726,Premissas!$B$5:$B$44,$B1726))+R1726*SUMIFS(Premissas!$E$5:$E$44,Premissas!$A$5:$A$44,$A1726,Premissas!$B$5:$B$44,$B1726)+S1726*SUMIFS(Premissas!$F$5:$F$44,Premissas!$A$5:$A$44,$A1726,Premissas!$B$5:$B$44,$B1726)</f>
        <v/>
      </c>
      <c r="L1726" s="29">
        <f>J1726-K1726</f>
        <v/>
      </c>
      <c r="M1726" t="inlineStr">
        <is>
          <t>1.350</t>
        </is>
      </c>
      <c r="N1726" t="inlineStr">
        <is>
          <t>Modalidade: 0 - Por conta do remetente | Parte: MS BEZERRA COMERCIAL LTDA (26.039.606/0001-24)</t>
        </is>
      </c>
      <c r="O1726" s="29" t="n">
        <v>0</v>
      </c>
      <c r="P1726" s="29" t="n">
        <v>0</v>
      </c>
      <c r="Q1726" s="29" t="n">
        <v>0</v>
      </c>
      <c r="R1726" s="29" t="n">
        <v>0</v>
      </c>
      <c r="S1726" s="29" t="n">
        <v>0</v>
      </c>
      <c r="T1726" t="inlineStr">
        <is>
          <t>25250726975620000130570010000046331000000005</t>
        </is>
      </c>
      <c r="U1726" t="inlineStr">
        <is>
          <t>Não</t>
        </is>
      </c>
    </row>
    <row r="1727">
      <c r="A1727" t="inlineStr">
        <is>
          <t>Frete de venda</t>
        </is>
      </c>
      <c r="B1727" t="inlineStr">
        <is>
          <t>2.01.02 Frete sobre Vendas</t>
        </is>
      </c>
      <c r="C1727" t="inlineStr">
        <is>
          <t>Antes de 2026</t>
        </is>
      </c>
      <c r="D1727" t="inlineStr">
        <is>
          <t>Antes de 2026</t>
        </is>
      </c>
      <c r="E1727" s="28" t="n">
        <v>45850</v>
      </c>
      <c r="F1727" t="inlineStr">
        <is>
          <t>CT-e</t>
        </is>
      </c>
      <c r="G1727" t="inlineStr">
        <is>
          <t>000004634</t>
        </is>
      </c>
      <c r="H1727" t="inlineStr">
        <is>
          <t>R&amp;R TRANSPORTE E LOGISTICA</t>
        </is>
      </c>
      <c r="J1727" s="29" t="n">
        <v>21.17</v>
      </c>
      <c r="K1727" s="29">
        <f>(1-ISNUMBER(SEARCH("556",M1727)))*(O1727*SUMIFS(Premissas!$C$5:$C$44,Premissas!$A$5:$A$44,$A1727,Premissas!$B$5:$B$44,$B1727)+P1727*SUMIFS(Premissas!$D$5:$D$44,Premissas!$A$5:$A$44,$A1727,Premissas!$B$5:$B$44,$B1727))+R1727*SUMIFS(Premissas!$E$5:$E$44,Premissas!$A$5:$A$44,$A1727,Premissas!$B$5:$B$44,$B1727)+S1727*SUMIFS(Premissas!$F$5:$F$44,Premissas!$A$5:$A$44,$A1727,Premissas!$B$5:$B$44,$B1727)</f>
        <v/>
      </c>
      <c r="L1727" s="29">
        <f>J1727-K1727</f>
        <v/>
      </c>
      <c r="M1727" t="inlineStr">
        <is>
          <t>1.350</t>
        </is>
      </c>
      <c r="N1727" t="inlineStr">
        <is>
          <t>Modalidade: 0 - Por conta do remetente | Parte: 56.303.728 THIAGO LIBORIO DE JESUS (56.303.728/0001-47)</t>
        </is>
      </c>
      <c r="O1727" s="29" t="n">
        <v>0</v>
      </c>
      <c r="P1727" s="29" t="n">
        <v>0</v>
      </c>
      <c r="Q1727" s="29" t="n">
        <v>0</v>
      </c>
      <c r="R1727" s="29" t="n">
        <v>0</v>
      </c>
      <c r="S1727" s="29" t="n">
        <v>0</v>
      </c>
      <c r="T1727" t="inlineStr">
        <is>
          <t>25250726975620000130570010000046341000000002</t>
        </is>
      </c>
      <c r="U1727" t="inlineStr">
        <is>
          <t>Não</t>
        </is>
      </c>
    </row>
    <row r="1728">
      <c r="A1728" t="inlineStr">
        <is>
          <t>Frete de venda</t>
        </is>
      </c>
      <c r="B1728" t="inlineStr">
        <is>
          <t>2.01.02 Frete sobre Vendas</t>
        </is>
      </c>
      <c r="C1728" t="inlineStr">
        <is>
          <t>Antes de 2026</t>
        </is>
      </c>
      <c r="D1728" t="inlineStr">
        <is>
          <t>Antes de 2026</t>
        </is>
      </c>
      <c r="E1728" s="28" t="n">
        <v>45853</v>
      </c>
      <c r="F1728" t="inlineStr">
        <is>
          <t>CT-e</t>
        </is>
      </c>
      <c r="G1728" t="inlineStr">
        <is>
          <t>000004640</t>
        </is>
      </c>
      <c r="H1728" t="inlineStr">
        <is>
          <t>R&amp;R TRANSPORTE E LOGISTICA</t>
        </is>
      </c>
      <c r="J1728" s="29" t="n">
        <v>93.31</v>
      </c>
      <c r="K1728" s="29">
        <f>(1-ISNUMBER(SEARCH("556",M1728)))*(O1728*SUMIFS(Premissas!$C$5:$C$44,Premissas!$A$5:$A$44,$A1728,Premissas!$B$5:$B$44,$B1728)+P1728*SUMIFS(Premissas!$D$5:$D$44,Premissas!$A$5:$A$44,$A1728,Premissas!$B$5:$B$44,$B1728))+R1728*SUMIFS(Premissas!$E$5:$E$44,Premissas!$A$5:$A$44,$A1728,Premissas!$B$5:$B$44,$B1728)+S1728*SUMIFS(Premissas!$F$5:$F$44,Premissas!$A$5:$A$44,$A1728,Premissas!$B$5:$B$44,$B1728)</f>
        <v/>
      </c>
      <c r="L1728" s="29">
        <f>J1728-K1728</f>
        <v/>
      </c>
      <c r="M1728" t="inlineStr">
        <is>
          <t>1.350</t>
        </is>
      </c>
      <c r="N1728" t="inlineStr">
        <is>
          <t>Modalidade: 0 - Por conta do remetente | Parte: M N L FLORENTINO LTDA (47.068.852/0001-84)</t>
        </is>
      </c>
      <c r="O1728" s="29" t="n">
        <v>0</v>
      </c>
      <c r="P1728" s="29" t="n">
        <v>0</v>
      </c>
      <c r="Q1728" s="29" t="n">
        <v>0</v>
      </c>
      <c r="R1728" s="29" t="n">
        <v>0</v>
      </c>
      <c r="S1728" s="29" t="n">
        <v>0</v>
      </c>
      <c r="T1728" t="inlineStr">
        <is>
          <t>25250726975620000130570010000046401000000000</t>
        </is>
      </c>
      <c r="U1728" t="inlineStr">
        <is>
          <t>Não</t>
        </is>
      </c>
    </row>
    <row r="1729">
      <c r="A1729" t="inlineStr">
        <is>
          <t>Frete de venda</t>
        </is>
      </c>
      <c r="B1729" t="inlineStr">
        <is>
          <t>2.01.02 Frete sobre Vendas</t>
        </is>
      </c>
      <c r="C1729" t="inlineStr">
        <is>
          <t>Antes de 2026</t>
        </is>
      </c>
      <c r="D1729" t="inlineStr">
        <is>
          <t>Antes de 2026</t>
        </is>
      </c>
      <c r="E1729" s="28" t="n">
        <v>45853</v>
      </c>
      <c r="F1729" t="inlineStr">
        <is>
          <t>CT-e</t>
        </is>
      </c>
      <c r="G1729" t="inlineStr">
        <is>
          <t>000004641</t>
        </is>
      </c>
      <c r="H1729" t="inlineStr">
        <is>
          <t>R&amp;R TRANSPORTE E LOGISTICA</t>
        </is>
      </c>
      <c r="J1729" s="29" t="n">
        <v>98.94</v>
      </c>
      <c r="K1729" s="29">
        <f>(1-ISNUMBER(SEARCH("556",M1729)))*(O1729*SUMIFS(Premissas!$C$5:$C$44,Premissas!$A$5:$A$44,$A1729,Premissas!$B$5:$B$44,$B1729)+P1729*SUMIFS(Premissas!$D$5:$D$44,Premissas!$A$5:$A$44,$A1729,Premissas!$B$5:$B$44,$B1729))+R1729*SUMIFS(Premissas!$E$5:$E$44,Premissas!$A$5:$A$44,$A1729,Premissas!$B$5:$B$44,$B1729)+S1729*SUMIFS(Premissas!$F$5:$F$44,Premissas!$A$5:$A$44,$A1729,Premissas!$B$5:$B$44,$B1729)</f>
        <v/>
      </c>
      <c r="L1729" s="29">
        <f>J1729-K1729</f>
        <v/>
      </c>
      <c r="M1729" t="inlineStr">
        <is>
          <t>1.350</t>
        </is>
      </c>
      <c r="N1729" t="inlineStr">
        <is>
          <t>Modalidade: 0 - Por conta do remetente | Parte: FABIANO MOTA DE SOUZA (63.542.864/0001-55)</t>
        </is>
      </c>
      <c r="O1729" s="29" t="n">
        <v>0</v>
      </c>
      <c r="P1729" s="29" t="n">
        <v>0</v>
      </c>
      <c r="Q1729" s="29" t="n">
        <v>0</v>
      </c>
      <c r="R1729" s="29" t="n">
        <v>0</v>
      </c>
      <c r="S1729" s="29" t="n">
        <v>0</v>
      </c>
      <c r="T1729" t="inlineStr">
        <is>
          <t>25250726975620000130570010000046411000000007</t>
        </is>
      </c>
      <c r="U1729" t="inlineStr">
        <is>
          <t>Não</t>
        </is>
      </c>
    </row>
    <row r="1730">
      <c r="A1730" t="inlineStr">
        <is>
          <t>Frete de venda</t>
        </is>
      </c>
      <c r="B1730" t="inlineStr">
        <is>
          <t>2.01.02 Frete sobre Vendas</t>
        </is>
      </c>
      <c r="C1730" t="inlineStr">
        <is>
          <t>Antes de 2026</t>
        </is>
      </c>
      <c r="D1730" t="inlineStr">
        <is>
          <t>Antes de 2026</t>
        </is>
      </c>
      <c r="E1730" s="28" t="n">
        <v>45854</v>
      </c>
      <c r="F1730" t="inlineStr">
        <is>
          <t>CT-e</t>
        </is>
      </c>
      <c r="G1730" t="inlineStr">
        <is>
          <t>000004646</t>
        </is>
      </c>
      <c r="H1730" t="inlineStr">
        <is>
          <t>R&amp;R TRANSPORTE E LOGISTICA</t>
        </is>
      </c>
      <c r="J1730" s="29" t="n">
        <v>235</v>
      </c>
      <c r="K1730" s="29">
        <f>(1-ISNUMBER(SEARCH("556",M1730)))*(O1730*SUMIFS(Premissas!$C$5:$C$44,Premissas!$A$5:$A$44,$A1730,Premissas!$B$5:$B$44,$B1730)+P1730*SUMIFS(Premissas!$D$5:$D$44,Premissas!$A$5:$A$44,$A1730,Premissas!$B$5:$B$44,$B1730))+R1730*SUMIFS(Premissas!$E$5:$E$44,Premissas!$A$5:$A$44,$A1730,Premissas!$B$5:$B$44,$B1730)+S1730*SUMIFS(Premissas!$F$5:$F$44,Premissas!$A$5:$A$44,$A1730,Premissas!$B$5:$B$44,$B1730)</f>
        <v/>
      </c>
      <c r="L1730" s="29">
        <f>J1730-K1730</f>
        <v/>
      </c>
      <c r="M1730" t="inlineStr">
        <is>
          <t>1.350</t>
        </is>
      </c>
      <c r="N1730" t="inlineStr">
        <is>
          <t>Modalidade: 0 - Por conta do remetente | Parte: KATIA CILENE ARAUJO FARIAS COMERCIO (02.991.231/0001-30)</t>
        </is>
      </c>
      <c r="O1730" s="29" t="n">
        <v>0</v>
      </c>
      <c r="P1730" s="29" t="n">
        <v>0</v>
      </c>
      <c r="Q1730" s="29" t="n">
        <v>0</v>
      </c>
      <c r="R1730" s="29" t="n">
        <v>0</v>
      </c>
      <c r="S1730" s="29" t="n">
        <v>0</v>
      </c>
      <c r="T1730" t="inlineStr">
        <is>
          <t>25250726975620000130570010000046461000000003</t>
        </is>
      </c>
      <c r="U1730" t="inlineStr">
        <is>
          <t>Não</t>
        </is>
      </c>
    </row>
    <row r="1731">
      <c r="A1731" t="inlineStr">
        <is>
          <t>Frete de venda</t>
        </is>
      </c>
      <c r="B1731" t="inlineStr">
        <is>
          <t>2.01.02 Frete sobre Vendas</t>
        </is>
      </c>
      <c r="C1731" t="inlineStr">
        <is>
          <t>Antes de 2026</t>
        </is>
      </c>
      <c r="D1731" t="inlineStr">
        <is>
          <t>Antes de 2026</t>
        </is>
      </c>
      <c r="E1731" s="28" t="n">
        <v>45854</v>
      </c>
      <c r="F1731" t="inlineStr">
        <is>
          <t>CT-e</t>
        </is>
      </c>
      <c r="G1731" t="inlineStr">
        <is>
          <t>000004647</t>
        </is>
      </c>
      <c r="H1731" t="inlineStr">
        <is>
          <t>R&amp;R TRANSPORTE E LOGISTICA</t>
        </is>
      </c>
      <c r="J1731" s="29" t="n">
        <v>235</v>
      </c>
      <c r="K1731" s="29">
        <f>(1-ISNUMBER(SEARCH("556",M1731)))*(O1731*SUMIFS(Premissas!$C$5:$C$44,Premissas!$A$5:$A$44,$A1731,Premissas!$B$5:$B$44,$B1731)+P1731*SUMIFS(Premissas!$D$5:$D$44,Premissas!$A$5:$A$44,$A1731,Premissas!$B$5:$B$44,$B1731))+R1731*SUMIFS(Premissas!$E$5:$E$44,Premissas!$A$5:$A$44,$A1731,Premissas!$B$5:$B$44,$B1731)+S1731*SUMIFS(Premissas!$F$5:$F$44,Premissas!$A$5:$A$44,$A1731,Premissas!$B$5:$B$44,$B1731)</f>
        <v/>
      </c>
      <c r="L1731" s="29">
        <f>J1731-K1731</f>
        <v/>
      </c>
      <c r="M1731" t="inlineStr">
        <is>
          <t>1.350</t>
        </is>
      </c>
      <c r="N1731" t="inlineStr">
        <is>
          <t>Modalidade: 0 - Por conta do remetente | Parte: EMC2 DIST DE MAT DE PAPEIS E DESC - LEV PAPER (02.097.529/0001-09)</t>
        </is>
      </c>
      <c r="O1731" s="29" t="n">
        <v>0</v>
      </c>
      <c r="P1731" s="29" t="n">
        <v>0</v>
      </c>
      <c r="Q1731" s="29" t="n">
        <v>0</v>
      </c>
      <c r="R1731" s="29" t="n">
        <v>0</v>
      </c>
      <c r="S1731" s="29" t="n">
        <v>0</v>
      </c>
      <c r="T1731" t="inlineStr">
        <is>
          <t>25250726975620000130570010000046471000000000</t>
        </is>
      </c>
      <c r="U1731" t="inlineStr">
        <is>
          <t>Não</t>
        </is>
      </c>
    </row>
    <row r="1732">
      <c r="A1732" t="inlineStr">
        <is>
          <t>Frete de venda</t>
        </is>
      </c>
      <c r="B1732" t="inlineStr">
        <is>
          <t>2.01.02 Frete sobre Vendas</t>
        </is>
      </c>
      <c r="C1732" t="inlineStr">
        <is>
          <t>Antes de 2026</t>
        </is>
      </c>
      <c r="D1732" t="inlineStr">
        <is>
          <t>Antes de 2026</t>
        </is>
      </c>
      <c r="E1732" s="28" t="n">
        <v>45854</v>
      </c>
      <c r="F1732" t="inlineStr">
        <is>
          <t>CT-e</t>
        </is>
      </c>
      <c r="G1732" t="inlineStr">
        <is>
          <t>000004648</t>
        </is>
      </c>
      <c r="H1732" t="inlineStr">
        <is>
          <t>R&amp;R TRANSPORTE E LOGISTICA</t>
        </is>
      </c>
      <c r="J1732" s="29" t="n">
        <v>235</v>
      </c>
      <c r="K1732" s="29">
        <f>(1-ISNUMBER(SEARCH("556",M1732)))*(O1732*SUMIFS(Premissas!$C$5:$C$44,Premissas!$A$5:$A$44,$A1732,Premissas!$B$5:$B$44,$B1732)+P1732*SUMIFS(Premissas!$D$5:$D$44,Premissas!$A$5:$A$44,$A1732,Premissas!$B$5:$B$44,$B1732))+R1732*SUMIFS(Premissas!$E$5:$E$44,Premissas!$A$5:$A$44,$A1732,Premissas!$B$5:$B$44,$B1732)+S1732*SUMIFS(Premissas!$F$5:$F$44,Premissas!$A$5:$A$44,$A1732,Premissas!$B$5:$B$44,$B1732)</f>
        <v/>
      </c>
      <c r="L1732" s="29">
        <f>J1732-K1732</f>
        <v/>
      </c>
      <c r="M1732" t="inlineStr">
        <is>
          <t>1.350</t>
        </is>
      </c>
      <c r="N1732" t="inlineStr">
        <is>
          <t>Modalidade: 0 - Por conta do remetente | Parte: G L A RIBEIRO DE LIMA (52.343.782/0001-65)</t>
        </is>
      </c>
      <c r="O1732" s="29" t="n">
        <v>0</v>
      </c>
      <c r="P1732" s="29" t="n">
        <v>0</v>
      </c>
      <c r="Q1732" s="29" t="n">
        <v>0</v>
      </c>
      <c r="R1732" s="29" t="n">
        <v>0</v>
      </c>
      <c r="S1732" s="29" t="n">
        <v>0</v>
      </c>
      <c r="T1732" t="inlineStr">
        <is>
          <t>25250726975620000130570010000046481000000008</t>
        </is>
      </c>
      <c r="U1732" t="inlineStr">
        <is>
          <t>Não</t>
        </is>
      </c>
    </row>
    <row r="1733">
      <c r="A1733" t="inlineStr">
        <is>
          <t>Frete de venda</t>
        </is>
      </c>
      <c r="B1733" t="inlineStr">
        <is>
          <t>2.01.02 Frete sobre Vendas</t>
        </is>
      </c>
      <c r="C1733" t="inlineStr">
        <is>
          <t>Antes de 2026</t>
        </is>
      </c>
      <c r="D1733" t="inlineStr">
        <is>
          <t>Antes de 2026</t>
        </is>
      </c>
      <c r="E1733" s="28" t="n">
        <v>45855</v>
      </c>
      <c r="F1733" t="inlineStr">
        <is>
          <t>CT-e</t>
        </is>
      </c>
      <c r="G1733" t="inlineStr">
        <is>
          <t>000004664</t>
        </is>
      </c>
      <c r="H1733" t="inlineStr">
        <is>
          <t>R&amp;R TRANSPORTE E LOGISTICA</t>
        </is>
      </c>
      <c r="J1733" s="29" t="n">
        <v>150</v>
      </c>
      <c r="K1733" s="29">
        <f>(1-ISNUMBER(SEARCH("556",M1733)))*(O1733*SUMIFS(Premissas!$C$5:$C$44,Premissas!$A$5:$A$44,$A1733,Premissas!$B$5:$B$44,$B1733)+P1733*SUMIFS(Premissas!$D$5:$D$44,Premissas!$A$5:$A$44,$A1733,Premissas!$B$5:$B$44,$B1733))+R1733*SUMIFS(Premissas!$E$5:$E$44,Premissas!$A$5:$A$44,$A1733,Premissas!$B$5:$B$44,$B1733)+S1733*SUMIFS(Premissas!$F$5:$F$44,Premissas!$A$5:$A$44,$A1733,Premissas!$B$5:$B$44,$B1733)</f>
        <v/>
      </c>
      <c r="L1733" s="29">
        <f>J1733-K1733</f>
        <v/>
      </c>
      <c r="M1733" t="inlineStr">
        <is>
          <t>1.350</t>
        </is>
      </c>
      <c r="N1733" t="inlineStr">
        <is>
          <t>Modalidade: 0 - Por conta do remetente | Parte: G L A RIBEIRO DE LIMA (52.343.782/0001-65)</t>
        </is>
      </c>
      <c r="O1733" s="29" t="n">
        <v>0</v>
      </c>
      <c r="P1733" s="29" t="n">
        <v>0</v>
      </c>
      <c r="Q1733" s="29" t="n">
        <v>0</v>
      </c>
      <c r="R1733" s="29" t="n">
        <v>0</v>
      </c>
      <c r="S1733" s="29" t="n">
        <v>0</v>
      </c>
      <c r="T1733" t="inlineStr">
        <is>
          <t>25250726975620000130570010000046641000000001</t>
        </is>
      </c>
      <c r="U1733" t="inlineStr">
        <is>
          <t>Não</t>
        </is>
      </c>
    </row>
    <row r="1734">
      <c r="A1734" t="inlineStr">
        <is>
          <t>Frete de venda</t>
        </is>
      </c>
      <c r="B1734" t="inlineStr">
        <is>
          <t>2.01.02 Frete sobre Vendas</t>
        </is>
      </c>
      <c r="C1734" t="inlineStr">
        <is>
          <t>Antes de 2026</t>
        </is>
      </c>
      <c r="D1734" t="inlineStr">
        <is>
          <t>Antes de 2026</t>
        </is>
      </c>
      <c r="E1734" s="28" t="n">
        <v>45855</v>
      </c>
      <c r="F1734" t="inlineStr">
        <is>
          <t>CT-e</t>
        </is>
      </c>
      <c r="G1734" t="inlineStr">
        <is>
          <t>000004665</t>
        </is>
      </c>
      <c r="H1734" t="inlineStr">
        <is>
          <t>R&amp;R TRANSPORTE E LOGISTICA</t>
        </is>
      </c>
      <c r="J1734" s="29" t="n">
        <v>31.58</v>
      </c>
      <c r="K1734" s="29">
        <f>(1-ISNUMBER(SEARCH("556",M1734)))*(O1734*SUMIFS(Premissas!$C$5:$C$44,Premissas!$A$5:$A$44,$A1734,Premissas!$B$5:$B$44,$B1734)+P1734*SUMIFS(Premissas!$D$5:$D$44,Premissas!$A$5:$A$44,$A1734,Premissas!$B$5:$B$44,$B1734))+R1734*SUMIFS(Premissas!$E$5:$E$44,Premissas!$A$5:$A$44,$A1734,Premissas!$B$5:$B$44,$B1734)+S1734*SUMIFS(Premissas!$F$5:$F$44,Premissas!$A$5:$A$44,$A1734,Premissas!$B$5:$B$44,$B1734)</f>
        <v/>
      </c>
      <c r="L1734" s="29">
        <f>J1734-K1734</f>
        <v/>
      </c>
      <c r="M1734" t="inlineStr">
        <is>
          <t>1.350</t>
        </is>
      </c>
      <c r="N1734" t="inlineStr">
        <is>
          <t>Modalidade: 0 - Por conta do remetente | Parte: SHALLON EMBALAGENS LTDA (49.431.842/0001-97)</t>
        </is>
      </c>
      <c r="O1734" s="29" t="n">
        <v>0</v>
      </c>
      <c r="P1734" s="29" t="n">
        <v>0</v>
      </c>
      <c r="Q1734" s="29" t="n">
        <v>0</v>
      </c>
      <c r="R1734" s="29" t="n">
        <v>0</v>
      </c>
      <c r="S1734" s="29" t="n">
        <v>0</v>
      </c>
      <c r="T1734" t="inlineStr">
        <is>
          <t>25250726975620000130570010000046651000000009</t>
        </is>
      </c>
      <c r="U1734" t="inlineStr">
        <is>
          <t>Não</t>
        </is>
      </c>
    </row>
    <row r="1735">
      <c r="A1735" t="inlineStr">
        <is>
          <t>Frete de venda</t>
        </is>
      </c>
      <c r="B1735" t="inlineStr">
        <is>
          <t>2.01.02 Frete sobre Vendas</t>
        </is>
      </c>
      <c r="C1735" t="inlineStr">
        <is>
          <t>Antes de 2026</t>
        </is>
      </c>
      <c r="D1735" t="inlineStr">
        <is>
          <t>Antes de 2026</t>
        </is>
      </c>
      <c r="E1735" s="28" t="n">
        <v>45855</v>
      </c>
      <c r="F1735" t="inlineStr">
        <is>
          <t>CT-e</t>
        </is>
      </c>
      <c r="G1735" t="inlineStr">
        <is>
          <t>000004666</t>
        </is>
      </c>
      <c r="H1735" t="inlineStr">
        <is>
          <t>R&amp;R TRANSPORTE E LOGISTICA</t>
        </is>
      </c>
      <c r="J1735" s="29" t="n">
        <v>18.41</v>
      </c>
      <c r="K1735" s="29">
        <f>(1-ISNUMBER(SEARCH("556",M1735)))*(O1735*SUMIFS(Premissas!$C$5:$C$44,Premissas!$A$5:$A$44,$A1735,Premissas!$B$5:$B$44,$B1735)+P1735*SUMIFS(Premissas!$D$5:$D$44,Premissas!$A$5:$A$44,$A1735,Premissas!$B$5:$B$44,$B1735))+R1735*SUMIFS(Premissas!$E$5:$E$44,Premissas!$A$5:$A$44,$A1735,Premissas!$B$5:$B$44,$B1735)+S1735*SUMIFS(Premissas!$F$5:$F$44,Premissas!$A$5:$A$44,$A1735,Premissas!$B$5:$B$44,$B1735)</f>
        <v/>
      </c>
      <c r="L1735" s="29">
        <f>J1735-K1735</f>
        <v/>
      </c>
      <c r="M1735" t="inlineStr">
        <is>
          <t>1.350</t>
        </is>
      </c>
      <c r="N1735" t="inlineStr">
        <is>
          <t>Modalidade: 0 - Por conta do remetente | Parte: A G EMBALAGENS LTDA (46.013.924/0001-23)</t>
        </is>
      </c>
      <c r="O1735" s="29" t="n">
        <v>0</v>
      </c>
      <c r="P1735" s="29" t="n">
        <v>0</v>
      </c>
      <c r="Q1735" s="29" t="n">
        <v>0</v>
      </c>
      <c r="R1735" s="29" t="n">
        <v>0</v>
      </c>
      <c r="S1735" s="29" t="n">
        <v>0</v>
      </c>
      <c r="T1735" t="inlineStr">
        <is>
          <t>25250726975620000130570010000046661000000006</t>
        </is>
      </c>
      <c r="U1735" t="inlineStr">
        <is>
          <t>Não</t>
        </is>
      </c>
    </row>
    <row r="1736">
      <c r="A1736" t="inlineStr">
        <is>
          <t>Frete de venda</t>
        </is>
      </c>
      <c r="B1736" t="inlineStr">
        <is>
          <t>2.01.02 Frete sobre Vendas</t>
        </is>
      </c>
      <c r="C1736" t="inlineStr">
        <is>
          <t>Antes de 2026</t>
        </is>
      </c>
      <c r="D1736" t="inlineStr">
        <is>
          <t>Antes de 2026</t>
        </is>
      </c>
      <c r="E1736" s="28" t="n">
        <v>45855</v>
      </c>
      <c r="F1736" t="inlineStr">
        <is>
          <t>CT-e</t>
        </is>
      </c>
      <c r="G1736" t="inlineStr">
        <is>
          <t>000004667</t>
        </is>
      </c>
      <c r="H1736" t="inlineStr">
        <is>
          <t>R&amp;R TRANSPORTE E LOGISTICA</t>
        </is>
      </c>
      <c r="J1736" s="29" t="n">
        <v>38.35</v>
      </c>
      <c r="K1736" s="29">
        <f>(1-ISNUMBER(SEARCH("556",M1736)))*(O1736*SUMIFS(Premissas!$C$5:$C$44,Premissas!$A$5:$A$44,$A1736,Premissas!$B$5:$B$44,$B1736)+P1736*SUMIFS(Premissas!$D$5:$D$44,Premissas!$A$5:$A$44,$A1736,Premissas!$B$5:$B$44,$B1736))+R1736*SUMIFS(Premissas!$E$5:$E$44,Premissas!$A$5:$A$44,$A1736,Premissas!$B$5:$B$44,$B1736)+S1736*SUMIFS(Premissas!$F$5:$F$44,Premissas!$A$5:$A$44,$A1736,Premissas!$B$5:$B$44,$B1736)</f>
        <v/>
      </c>
      <c r="L1736" s="29">
        <f>J1736-K1736</f>
        <v/>
      </c>
      <c r="M1736" t="inlineStr">
        <is>
          <t>1.350</t>
        </is>
      </c>
      <c r="N1736" t="inlineStr">
        <is>
          <t>Modalidade: 0 - Por conta do remetente | Parte: SK EMBALAGENS LTDA (04.867.112/0001-03)</t>
        </is>
      </c>
      <c r="O1736" s="29" t="n">
        <v>0</v>
      </c>
      <c r="P1736" s="29" t="n">
        <v>0</v>
      </c>
      <c r="Q1736" s="29" t="n">
        <v>0</v>
      </c>
      <c r="R1736" s="29" t="n">
        <v>0</v>
      </c>
      <c r="S1736" s="29" t="n">
        <v>0</v>
      </c>
      <c r="T1736" t="inlineStr">
        <is>
          <t>25250726975620000130570010000046671000000003</t>
        </is>
      </c>
      <c r="U1736" t="inlineStr">
        <is>
          <t>Não</t>
        </is>
      </c>
    </row>
    <row r="1737">
      <c r="A1737" t="inlineStr">
        <is>
          <t>Frete de venda</t>
        </is>
      </c>
      <c r="B1737" t="inlineStr">
        <is>
          <t>2.01.02 Frete sobre Vendas</t>
        </is>
      </c>
      <c r="C1737" t="inlineStr">
        <is>
          <t>Antes de 2026</t>
        </is>
      </c>
      <c r="D1737" t="inlineStr">
        <is>
          <t>Antes de 2026</t>
        </is>
      </c>
      <c r="E1737" s="28" t="n">
        <v>45855</v>
      </c>
      <c r="F1737" t="inlineStr">
        <is>
          <t>CT-e</t>
        </is>
      </c>
      <c r="G1737" t="inlineStr">
        <is>
          <t>000004668</t>
        </is>
      </c>
      <c r="H1737" t="inlineStr">
        <is>
          <t>R&amp;R TRANSPORTE E LOGISTICA</t>
        </is>
      </c>
      <c r="J1737" s="29" t="n">
        <v>25.43</v>
      </c>
      <c r="K1737" s="29">
        <f>(1-ISNUMBER(SEARCH("556",M1737)))*(O1737*SUMIFS(Premissas!$C$5:$C$44,Premissas!$A$5:$A$44,$A1737,Premissas!$B$5:$B$44,$B1737)+P1737*SUMIFS(Premissas!$D$5:$D$44,Premissas!$A$5:$A$44,$A1737,Premissas!$B$5:$B$44,$B1737))+R1737*SUMIFS(Premissas!$E$5:$E$44,Premissas!$A$5:$A$44,$A1737,Premissas!$B$5:$B$44,$B1737)+S1737*SUMIFS(Premissas!$F$5:$F$44,Premissas!$A$5:$A$44,$A1737,Premissas!$B$5:$B$44,$B1737)</f>
        <v/>
      </c>
      <c r="L1737" s="29">
        <f>J1737-K1737</f>
        <v/>
      </c>
      <c r="M1737" t="inlineStr">
        <is>
          <t>1.350</t>
        </is>
      </c>
      <c r="N1737" t="inlineStr">
        <is>
          <t>Modalidade: 0 - Por conta do remetente | Parte: FRIOS FESTA UTILIDADES LTDA (48.196.330/0001-20)</t>
        </is>
      </c>
      <c r="O1737" s="29" t="n">
        <v>0</v>
      </c>
      <c r="P1737" s="29" t="n">
        <v>0</v>
      </c>
      <c r="Q1737" s="29" t="n">
        <v>0</v>
      </c>
      <c r="R1737" s="29" t="n">
        <v>0</v>
      </c>
      <c r="S1737" s="29" t="n">
        <v>0</v>
      </c>
      <c r="T1737" t="inlineStr">
        <is>
          <t>25250726975620000130570010000046681000000000</t>
        </is>
      </c>
      <c r="U1737" t="inlineStr">
        <is>
          <t>Não</t>
        </is>
      </c>
    </row>
    <row r="1738">
      <c r="A1738" t="inlineStr">
        <is>
          <t>Frete de venda</t>
        </is>
      </c>
      <c r="B1738" t="inlineStr">
        <is>
          <t>2.01.02 Frete sobre Vendas</t>
        </is>
      </c>
      <c r="C1738" t="inlineStr">
        <is>
          <t>Antes de 2026</t>
        </is>
      </c>
      <c r="D1738" t="inlineStr">
        <is>
          <t>Antes de 2026</t>
        </is>
      </c>
      <c r="E1738" s="28" t="n">
        <v>45855</v>
      </c>
      <c r="F1738" t="inlineStr">
        <is>
          <t>CT-e</t>
        </is>
      </c>
      <c r="G1738" t="inlineStr">
        <is>
          <t>000004669</t>
        </is>
      </c>
      <c r="H1738" t="inlineStr">
        <is>
          <t>R&amp;R TRANSPORTE E LOGISTICA</t>
        </is>
      </c>
      <c r="J1738" s="29" t="n">
        <v>44.18</v>
      </c>
      <c r="K1738" s="29">
        <f>(1-ISNUMBER(SEARCH("556",M1738)))*(O1738*SUMIFS(Premissas!$C$5:$C$44,Premissas!$A$5:$A$44,$A1738,Premissas!$B$5:$B$44,$B1738)+P1738*SUMIFS(Premissas!$D$5:$D$44,Premissas!$A$5:$A$44,$A1738,Premissas!$B$5:$B$44,$B1738))+R1738*SUMIFS(Premissas!$E$5:$E$44,Premissas!$A$5:$A$44,$A1738,Premissas!$B$5:$B$44,$B1738)+S1738*SUMIFS(Premissas!$F$5:$F$44,Premissas!$A$5:$A$44,$A1738,Premissas!$B$5:$B$44,$B1738)</f>
        <v/>
      </c>
      <c r="L1738" s="29">
        <f>J1738-K1738</f>
        <v/>
      </c>
      <c r="M1738" t="inlineStr">
        <is>
          <t>1.350</t>
        </is>
      </c>
      <c r="N1738" t="inlineStr">
        <is>
          <t>Modalidade: 0 - Por conta do remetente | Parte: DOCE MEL EMBALAGENS E FESTAS (10.989.624/0001-37)</t>
        </is>
      </c>
      <c r="O1738" s="29" t="n">
        <v>0</v>
      </c>
      <c r="P1738" s="29" t="n">
        <v>0</v>
      </c>
      <c r="Q1738" s="29" t="n">
        <v>0</v>
      </c>
      <c r="R1738" s="29" t="n">
        <v>0</v>
      </c>
      <c r="S1738" s="29" t="n">
        <v>0</v>
      </c>
      <c r="T1738" t="inlineStr">
        <is>
          <t>25250726975620000130570010000046691000000008</t>
        </is>
      </c>
      <c r="U1738" t="inlineStr">
        <is>
          <t>Não</t>
        </is>
      </c>
    </row>
    <row r="1739">
      <c r="A1739" t="inlineStr">
        <is>
          <t>Frete de venda</t>
        </is>
      </c>
      <c r="B1739" t="inlineStr">
        <is>
          <t>2.01.02 Frete sobre Vendas</t>
        </is>
      </c>
      <c r="C1739" t="inlineStr">
        <is>
          <t>Antes de 2026</t>
        </is>
      </c>
      <c r="D1739" t="inlineStr">
        <is>
          <t>Antes de 2026</t>
        </is>
      </c>
      <c r="E1739" s="28" t="n">
        <v>45855</v>
      </c>
      <c r="F1739" t="inlineStr">
        <is>
          <t>CT-e</t>
        </is>
      </c>
      <c r="G1739" t="inlineStr">
        <is>
          <t>000004670</t>
        </is>
      </c>
      <c r="H1739" t="inlineStr">
        <is>
          <t>R&amp;R TRANSPORTE E LOGISTICA</t>
        </is>
      </c>
      <c r="J1739" s="29" t="n">
        <v>46.88</v>
      </c>
      <c r="K1739" s="29">
        <f>(1-ISNUMBER(SEARCH("556",M1739)))*(O1739*SUMIFS(Premissas!$C$5:$C$44,Premissas!$A$5:$A$44,$A1739,Premissas!$B$5:$B$44,$B1739)+P1739*SUMIFS(Premissas!$D$5:$D$44,Premissas!$A$5:$A$44,$A1739,Premissas!$B$5:$B$44,$B1739))+R1739*SUMIFS(Premissas!$E$5:$E$44,Premissas!$A$5:$A$44,$A1739,Premissas!$B$5:$B$44,$B1739)+S1739*SUMIFS(Premissas!$F$5:$F$44,Premissas!$A$5:$A$44,$A1739,Premissas!$B$5:$B$44,$B1739)</f>
        <v/>
      </c>
      <c r="L1739" s="29">
        <f>J1739-K1739</f>
        <v/>
      </c>
      <c r="M1739" t="inlineStr">
        <is>
          <t>1.350</t>
        </is>
      </c>
      <c r="N1739" t="inlineStr">
        <is>
          <t>Modalidade: 0 - Por conta do remetente | Parte: VASCONCELOS E RIBEIRO COMERCIO LTDA (03.802.334/0001-77)</t>
        </is>
      </c>
      <c r="O1739" s="29" t="n">
        <v>0</v>
      </c>
      <c r="P1739" s="29" t="n">
        <v>0</v>
      </c>
      <c r="Q1739" s="29" t="n">
        <v>0</v>
      </c>
      <c r="R1739" s="29" t="n">
        <v>0</v>
      </c>
      <c r="S1739" s="29" t="n">
        <v>0</v>
      </c>
      <c r="T1739" t="inlineStr">
        <is>
          <t>25250726975620000130570010000046701000000009</t>
        </is>
      </c>
      <c r="U1739" t="inlineStr">
        <is>
          <t>Não</t>
        </is>
      </c>
    </row>
    <row r="1740">
      <c r="A1740" t="inlineStr">
        <is>
          <t>Frete de venda</t>
        </is>
      </c>
      <c r="B1740" t="inlineStr">
        <is>
          <t>2.01.02 Frete sobre Vendas</t>
        </is>
      </c>
      <c r="C1740" t="inlineStr">
        <is>
          <t>Antes de 2026</t>
        </is>
      </c>
      <c r="D1740" t="inlineStr">
        <is>
          <t>Antes de 2026</t>
        </is>
      </c>
      <c r="E1740" s="28" t="n">
        <v>45855</v>
      </c>
      <c r="F1740" t="inlineStr">
        <is>
          <t>CT-e</t>
        </is>
      </c>
      <c r="G1740" t="inlineStr">
        <is>
          <t>000004671</t>
        </is>
      </c>
      <c r="H1740" t="inlineStr">
        <is>
          <t>R&amp;R TRANSPORTE E LOGISTICA</t>
        </is>
      </c>
      <c r="J1740" s="29" t="n">
        <v>47.04</v>
      </c>
      <c r="K1740" s="29">
        <f>(1-ISNUMBER(SEARCH("556",M1740)))*(O1740*SUMIFS(Premissas!$C$5:$C$44,Premissas!$A$5:$A$44,$A1740,Premissas!$B$5:$B$44,$B1740)+P1740*SUMIFS(Premissas!$D$5:$D$44,Premissas!$A$5:$A$44,$A1740,Premissas!$B$5:$B$44,$B1740))+R1740*SUMIFS(Premissas!$E$5:$E$44,Premissas!$A$5:$A$44,$A1740,Premissas!$B$5:$B$44,$B1740)+S1740*SUMIFS(Premissas!$F$5:$F$44,Premissas!$A$5:$A$44,$A1740,Premissas!$B$5:$B$44,$B1740)</f>
        <v/>
      </c>
      <c r="L1740" s="29">
        <f>J1740-K1740</f>
        <v/>
      </c>
      <c r="M1740" t="inlineStr">
        <is>
          <t>1.350</t>
        </is>
      </c>
      <c r="N1740" t="inlineStr">
        <is>
          <t>Modalidade: 0 - Por conta do remetente | Parte: RM FRIOS (39.405.968/0001-33)</t>
        </is>
      </c>
      <c r="O1740" s="29" t="n">
        <v>0</v>
      </c>
      <c r="P1740" s="29" t="n">
        <v>0</v>
      </c>
      <c r="Q1740" s="29" t="n">
        <v>0</v>
      </c>
      <c r="R1740" s="29" t="n">
        <v>0</v>
      </c>
      <c r="S1740" s="29" t="n">
        <v>0</v>
      </c>
      <c r="T1740" t="inlineStr">
        <is>
          <t>25250726975620000130570010000046711000000006</t>
        </is>
      </c>
      <c r="U1740" t="inlineStr">
        <is>
          <t>Não</t>
        </is>
      </c>
    </row>
    <row r="1741">
      <c r="A1741" t="inlineStr">
        <is>
          <t>Frete de venda</t>
        </is>
      </c>
      <c r="B1741" t="inlineStr">
        <is>
          <t>2.01.02 Frete sobre Vendas</t>
        </is>
      </c>
      <c r="C1741" t="inlineStr">
        <is>
          <t>Antes de 2026</t>
        </is>
      </c>
      <c r="D1741" t="inlineStr">
        <is>
          <t>Antes de 2026</t>
        </is>
      </c>
      <c r="E1741" s="28" t="n">
        <v>45855</v>
      </c>
      <c r="F1741" t="inlineStr">
        <is>
          <t>CT-e</t>
        </is>
      </c>
      <c r="G1741" t="inlineStr">
        <is>
          <t>000004672</t>
        </is>
      </c>
      <c r="H1741" t="inlineStr">
        <is>
          <t>R&amp;R TRANSPORTE E LOGISTICA</t>
        </is>
      </c>
      <c r="J1741" s="29" t="n">
        <v>27.3</v>
      </c>
      <c r="K1741" s="29">
        <f>(1-ISNUMBER(SEARCH("556",M1741)))*(O1741*SUMIFS(Premissas!$C$5:$C$44,Premissas!$A$5:$A$44,$A1741,Premissas!$B$5:$B$44,$B1741)+P1741*SUMIFS(Premissas!$D$5:$D$44,Premissas!$A$5:$A$44,$A1741,Premissas!$B$5:$B$44,$B1741))+R1741*SUMIFS(Premissas!$E$5:$E$44,Premissas!$A$5:$A$44,$A1741,Premissas!$B$5:$B$44,$B1741)+S1741*SUMIFS(Premissas!$F$5:$F$44,Premissas!$A$5:$A$44,$A1741,Premissas!$B$5:$B$44,$B1741)</f>
        <v/>
      </c>
      <c r="L1741" s="29">
        <f>J1741-K1741</f>
        <v/>
      </c>
      <c r="M1741" t="inlineStr">
        <is>
          <t>1.350</t>
        </is>
      </c>
      <c r="N1741" t="inlineStr">
        <is>
          <t>Modalidade: 0 - Por conta do remetente | Parte: LUCINEIDE SA DE MENEZES GUIMARAES (01.791.289/0001-77)</t>
        </is>
      </c>
      <c r="O1741" s="29" t="n">
        <v>0</v>
      </c>
      <c r="P1741" s="29" t="n">
        <v>0</v>
      </c>
      <c r="Q1741" s="29" t="n">
        <v>0</v>
      </c>
      <c r="R1741" s="29" t="n">
        <v>0</v>
      </c>
      <c r="S1741" s="29" t="n">
        <v>0</v>
      </c>
      <c r="T1741" t="inlineStr">
        <is>
          <t>25250726975620000130570010000046721000000003</t>
        </is>
      </c>
      <c r="U1741" t="inlineStr">
        <is>
          <t>Não</t>
        </is>
      </c>
    </row>
    <row r="1742">
      <c r="A1742" t="inlineStr">
        <is>
          <t>Frete de venda</t>
        </is>
      </c>
      <c r="B1742" t="inlineStr">
        <is>
          <t>2.01.02 Frete sobre Vendas</t>
        </is>
      </c>
      <c r="C1742" t="inlineStr">
        <is>
          <t>Antes de 2026</t>
        </is>
      </c>
      <c r="D1742" t="inlineStr">
        <is>
          <t>Antes de 2026</t>
        </is>
      </c>
      <c r="E1742" s="28" t="n">
        <v>45855</v>
      </c>
      <c r="F1742" t="inlineStr">
        <is>
          <t>CT-e</t>
        </is>
      </c>
      <c r="G1742" t="inlineStr">
        <is>
          <t>000004673</t>
        </is>
      </c>
      <c r="H1742" t="inlineStr">
        <is>
          <t>R&amp;R TRANSPORTE E LOGISTICA</t>
        </is>
      </c>
      <c r="J1742" s="29" t="n">
        <v>24.25</v>
      </c>
      <c r="K1742" s="29">
        <f>(1-ISNUMBER(SEARCH("556",M1742)))*(O1742*SUMIFS(Premissas!$C$5:$C$44,Premissas!$A$5:$A$44,$A1742,Premissas!$B$5:$B$44,$B1742)+P1742*SUMIFS(Premissas!$D$5:$D$44,Premissas!$A$5:$A$44,$A1742,Premissas!$B$5:$B$44,$B1742))+R1742*SUMIFS(Premissas!$E$5:$E$44,Premissas!$A$5:$A$44,$A1742,Premissas!$B$5:$B$44,$B1742)+S1742*SUMIFS(Premissas!$F$5:$F$44,Premissas!$A$5:$A$44,$A1742,Premissas!$B$5:$B$44,$B1742)</f>
        <v/>
      </c>
      <c r="L1742" s="29">
        <f>J1742-K1742</f>
        <v/>
      </c>
      <c r="M1742" t="inlineStr">
        <is>
          <t>1.350</t>
        </is>
      </c>
      <c r="N1742" t="inlineStr">
        <is>
          <t>Modalidade: 0 - Por conta do remetente | Parte: HPLAST COMERCIO DE EMBALAGENS LTDA (32.549.410/0001-82)</t>
        </is>
      </c>
      <c r="O1742" s="29" t="n">
        <v>0</v>
      </c>
      <c r="P1742" s="29" t="n">
        <v>0</v>
      </c>
      <c r="Q1742" s="29" t="n">
        <v>0</v>
      </c>
      <c r="R1742" s="29" t="n">
        <v>0</v>
      </c>
      <c r="S1742" s="29" t="n">
        <v>0</v>
      </c>
      <c r="T1742" t="inlineStr">
        <is>
          <t>25250726975620000130570010000046731000000000</t>
        </is>
      </c>
      <c r="U1742" t="inlineStr">
        <is>
          <t>Não</t>
        </is>
      </c>
    </row>
    <row r="1743">
      <c r="A1743" t="inlineStr">
        <is>
          <t>Frete de venda</t>
        </is>
      </c>
      <c r="B1743" t="inlineStr">
        <is>
          <t>2.01.02 Frete sobre Vendas</t>
        </is>
      </c>
      <c r="C1743" t="inlineStr">
        <is>
          <t>Antes de 2026</t>
        </is>
      </c>
      <c r="D1743" t="inlineStr">
        <is>
          <t>Antes de 2026</t>
        </is>
      </c>
      <c r="E1743" s="28" t="n">
        <v>45855</v>
      </c>
      <c r="F1743" t="inlineStr">
        <is>
          <t>CT-e</t>
        </is>
      </c>
      <c r="G1743" t="inlineStr">
        <is>
          <t>000004674</t>
        </is>
      </c>
      <c r="H1743" t="inlineStr">
        <is>
          <t>R&amp;R TRANSPORTE E LOGISTICA</t>
        </is>
      </c>
      <c r="J1743" s="29" t="n">
        <v>23.74</v>
      </c>
      <c r="K1743" s="29">
        <f>(1-ISNUMBER(SEARCH("556",M1743)))*(O1743*SUMIFS(Premissas!$C$5:$C$44,Premissas!$A$5:$A$44,$A1743,Premissas!$B$5:$B$44,$B1743)+P1743*SUMIFS(Premissas!$D$5:$D$44,Premissas!$A$5:$A$44,$A1743,Premissas!$B$5:$B$44,$B1743))+R1743*SUMIFS(Premissas!$E$5:$E$44,Premissas!$A$5:$A$44,$A1743,Premissas!$B$5:$B$44,$B1743)+S1743*SUMIFS(Premissas!$F$5:$F$44,Premissas!$A$5:$A$44,$A1743,Premissas!$B$5:$B$44,$B1743)</f>
        <v/>
      </c>
      <c r="L1743" s="29">
        <f>J1743-K1743</f>
        <v/>
      </c>
      <c r="M1743" t="inlineStr">
        <is>
          <t>1.350</t>
        </is>
      </c>
      <c r="N1743" t="inlineStr">
        <is>
          <t>Modalidade: 0 - Por conta do remetente | Parte: MARUJO COMERCIO DE EMBALAGENS E UTILIDADES LTDA. (53.599.094/0001-23)</t>
        </is>
      </c>
      <c r="O1743" s="29" t="n">
        <v>0</v>
      </c>
      <c r="P1743" s="29" t="n">
        <v>0</v>
      </c>
      <c r="Q1743" s="29" t="n">
        <v>0</v>
      </c>
      <c r="R1743" s="29" t="n">
        <v>0</v>
      </c>
      <c r="S1743" s="29" t="n">
        <v>0</v>
      </c>
      <c r="T1743" t="inlineStr">
        <is>
          <t>25250726975620000130570010000046741000000008</t>
        </is>
      </c>
      <c r="U1743" t="inlineStr">
        <is>
          <t>Não</t>
        </is>
      </c>
    </row>
    <row r="1744">
      <c r="A1744" t="inlineStr">
        <is>
          <t>Frete de venda</t>
        </is>
      </c>
      <c r="B1744" t="inlineStr">
        <is>
          <t>2.01.02 Frete sobre Vendas</t>
        </is>
      </c>
      <c r="C1744" t="inlineStr">
        <is>
          <t>Antes de 2026</t>
        </is>
      </c>
      <c r="D1744" t="inlineStr">
        <is>
          <t>Antes de 2026</t>
        </is>
      </c>
      <c r="E1744" s="28" t="n">
        <v>45855</v>
      </c>
      <c r="F1744" t="inlineStr">
        <is>
          <t>CT-e</t>
        </is>
      </c>
      <c r="G1744" t="inlineStr">
        <is>
          <t>000004675</t>
        </is>
      </c>
      <c r="H1744" t="inlineStr">
        <is>
          <t>R&amp;R TRANSPORTE E LOGISTICA</t>
        </is>
      </c>
      <c r="J1744" s="29" t="n">
        <v>25.44</v>
      </c>
      <c r="K1744" s="29">
        <f>(1-ISNUMBER(SEARCH("556",M1744)))*(O1744*SUMIFS(Premissas!$C$5:$C$44,Premissas!$A$5:$A$44,$A1744,Premissas!$B$5:$B$44,$B1744)+P1744*SUMIFS(Premissas!$D$5:$D$44,Premissas!$A$5:$A$44,$A1744,Premissas!$B$5:$B$44,$B1744))+R1744*SUMIFS(Premissas!$E$5:$E$44,Premissas!$A$5:$A$44,$A1744,Premissas!$B$5:$B$44,$B1744)+S1744*SUMIFS(Premissas!$F$5:$F$44,Premissas!$A$5:$A$44,$A1744,Premissas!$B$5:$B$44,$B1744)</f>
        <v/>
      </c>
      <c r="L1744" s="29">
        <f>J1744-K1744</f>
        <v/>
      </c>
      <c r="M1744" t="inlineStr">
        <is>
          <t>1.350</t>
        </is>
      </c>
      <c r="N1744" t="inlineStr">
        <is>
          <t>Modalidade: 0 - Por conta do remetente | Parte: JAB IMPORTACAO E EXPORTACAO LTDA (21.938.705/0002-05)</t>
        </is>
      </c>
      <c r="O1744" s="29" t="n">
        <v>0</v>
      </c>
      <c r="P1744" s="29" t="n">
        <v>0</v>
      </c>
      <c r="Q1744" s="29" t="n">
        <v>0</v>
      </c>
      <c r="R1744" s="29" t="n">
        <v>0</v>
      </c>
      <c r="S1744" s="29" t="n">
        <v>0</v>
      </c>
      <c r="T1744" t="inlineStr">
        <is>
          <t>25250726975620000130570010000046751000000005</t>
        </is>
      </c>
      <c r="U1744" t="inlineStr">
        <is>
          <t>Não</t>
        </is>
      </c>
    </row>
    <row r="1745">
      <c r="A1745" t="inlineStr">
        <is>
          <t>Frete de venda</t>
        </is>
      </c>
      <c r="B1745" t="inlineStr">
        <is>
          <t>2.01.02 Frete sobre Vendas</t>
        </is>
      </c>
      <c r="C1745" t="inlineStr">
        <is>
          <t>Antes de 2026</t>
        </is>
      </c>
      <c r="D1745" t="inlineStr">
        <is>
          <t>Antes de 2026</t>
        </is>
      </c>
      <c r="E1745" s="28" t="n">
        <v>45855</v>
      </c>
      <c r="F1745" t="inlineStr">
        <is>
          <t>CT-e</t>
        </is>
      </c>
      <c r="G1745" t="inlineStr">
        <is>
          <t>000004676</t>
        </is>
      </c>
      <c r="H1745" t="inlineStr">
        <is>
          <t>R&amp;R TRANSPORTE E LOGISTICA</t>
        </is>
      </c>
      <c r="J1745" s="29" t="n">
        <v>26.39</v>
      </c>
      <c r="K1745" s="29">
        <f>(1-ISNUMBER(SEARCH("556",M1745)))*(O1745*SUMIFS(Premissas!$C$5:$C$44,Premissas!$A$5:$A$44,$A1745,Premissas!$B$5:$B$44,$B1745)+P1745*SUMIFS(Premissas!$D$5:$D$44,Premissas!$A$5:$A$44,$A1745,Premissas!$B$5:$B$44,$B1745))+R1745*SUMIFS(Premissas!$E$5:$E$44,Premissas!$A$5:$A$44,$A1745,Premissas!$B$5:$B$44,$B1745)+S1745*SUMIFS(Premissas!$F$5:$F$44,Premissas!$A$5:$A$44,$A1745,Premissas!$B$5:$B$44,$B1745)</f>
        <v/>
      </c>
      <c r="L1745" s="29">
        <f>J1745-K1745</f>
        <v/>
      </c>
      <c r="M1745" t="inlineStr">
        <is>
          <t>1.350</t>
        </is>
      </c>
      <c r="N1745" t="inlineStr">
        <is>
          <t>Modalidade: 0 - Por conta do remetente | Parte: BHS DISTRIBUICAO LTDA (34.416.212/0001-76)</t>
        </is>
      </c>
      <c r="O1745" s="29" t="n">
        <v>0</v>
      </c>
      <c r="P1745" s="29" t="n">
        <v>0</v>
      </c>
      <c r="Q1745" s="29" t="n">
        <v>0</v>
      </c>
      <c r="R1745" s="29" t="n">
        <v>0</v>
      </c>
      <c r="S1745" s="29" t="n">
        <v>0</v>
      </c>
      <c r="T1745" t="inlineStr">
        <is>
          <t>25250726975620000130570010000046761000000002</t>
        </is>
      </c>
      <c r="U1745" t="inlineStr">
        <is>
          <t>Não</t>
        </is>
      </c>
    </row>
    <row r="1746">
      <c r="A1746" t="inlineStr">
        <is>
          <t>Frete de venda</t>
        </is>
      </c>
      <c r="B1746" t="inlineStr">
        <is>
          <t>2.01.02 Frete sobre Vendas</t>
        </is>
      </c>
      <c r="C1746" t="inlineStr">
        <is>
          <t>Antes de 2026</t>
        </is>
      </c>
      <c r="D1746" t="inlineStr">
        <is>
          <t>Antes de 2026</t>
        </is>
      </c>
      <c r="E1746" s="28" t="n">
        <v>45856</v>
      </c>
      <c r="F1746" t="inlineStr">
        <is>
          <t>CT-e</t>
        </is>
      </c>
      <c r="G1746" t="inlineStr">
        <is>
          <t>000004678</t>
        </is>
      </c>
      <c r="H1746" t="inlineStr">
        <is>
          <t>R&amp;R TRANSPORTE E LOGISTICA</t>
        </is>
      </c>
      <c r="J1746" s="29" t="n">
        <v>24.77</v>
      </c>
      <c r="K1746" s="29">
        <f>(1-ISNUMBER(SEARCH("556",M1746)))*(O1746*SUMIFS(Premissas!$C$5:$C$44,Premissas!$A$5:$A$44,$A1746,Premissas!$B$5:$B$44,$B1746)+P1746*SUMIFS(Premissas!$D$5:$D$44,Premissas!$A$5:$A$44,$A1746,Premissas!$B$5:$B$44,$B1746))+R1746*SUMIFS(Premissas!$E$5:$E$44,Premissas!$A$5:$A$44,$A1746,Premissas!$B$5:$B$44,$B1746)+S1746*SUMIFS(Premissas!$F$5:$F$44,Premissas!$A$5:$A$44,$A1746,Premissas!$B$5:$B$44,$B1746)</f>
        <v/>
      </c>
      <c r="L1746" s="29">
        <f>J1746-K1746</f>
        <v/>
      </c>
      <c r="M1746" t="inlineStr">
        <is>
          <t>1.350</t>
        </is>
      </c>
      <c r="N1746" t="inlineStr">
        <is>
          <t>Modalidade: 0 - Por conta do remetente | Parte: EMPORIO DO FERMENTO COMERCIO DE PRODUTOS ALIMENTICIOS LTDA (53.999.883/0001-51)</t>
        </is>
      </c>
      <c r="O1746" s="29" t="n">
        <v>0</v>
      </c>
      <c r="P1746" s="29" t="n">
        <v>0</v>
      </c>
      <c r="Q1746" s="29" t="n">
        <v>0</v>
      </c>
      <c r="R1746" s="29" t="n">
        <v>0</v>
      </c>
      <c r="S1746" s="29" t="n">
        <v>0</v>
      </c>
      <c r="T1746" t="inlineStr">
        <is>
          <t>25250726975620000130570010000046781000000007</t>
        </is>
      </c>
      <c r="U1746" t="inlineStr">
        <is>
          <t>Não</t>
        </is>
      </c>
    </row>
    <row r="1747">
      <c r="A1747" t="inlineStr">
        <is>
          <t>Frete de venda</t>
        </is>
      </c>
      <c r="B1747" t="inlineStr">
        <is>
          <t>2.01.02 Frete sobre Vendas</t>
        </is>
      </c>
      <c r="C1747" t="inlineStr">
        <is>
          <t>Antes de 2026</t>
        </is>
      </c>
      <c r="D1747" t="inlineStr">
        <is>
          <t>Antes de 2026</t>
        </is>
      </c>
      <c r="E1747" s="28" t="n">
        <v>45856</v>
      </c>
      <c r="F1747" t="inlineStr">
        <is>
          <t>CT-e</t>
        </is>
      </c>
      <c r="G1747" t="inlineStr">
        <is>
          <t>000004679</t>
        </is>
      </c>
      <c r="H1747" t="inlineStr">
        <is>
          <t>R&amp;R TRANSPORTE E LOGISTICA</t>
        </is>
      </c>
      <c r="J1747" s="29" t="n">
        <v>30.97</v>
      </c>
      <c r="K1747" s="29">
        <f>(1-ISNUMBER(SEARCH("556",M1747)))*(O1747*SUMIFS(Premissas!$C$5:$C$44,Premissas!$A$5:$A$44,$A1747,Premissas!$B$5:$B$44,$B1747)+P1747*SUMIFS(Premissas!$D$5:$D$44,Premissas!$A$5:$A$44,$A1747,Premissas!$B$5:$B$44,$B1747))+R1747*SUMIFS(Premissas!$E$5:$E$44,Premissas!$A$5:$A$44,$A1747,Premissas!$B$5:$B$44,$B1747)+S1747*SUMIFS(Premissas!$F$5:$F$44,Premissas!$A$5:$A$44,$A1747,Premissas!$B$5:$B$44,$B1747)</f>
        <v/>
      </c>
      <c r="L1747" s="29">
        <f>J1747-K1747</f>
        <v/>
      </c>
      <c r="M1747" t="inlineStr">
        <is>
          <t>1.350</t>
        </is>
      </c>
      <c r="N1747" t="inlineStr">
        <is>
          <t>Modalidade: 0 - Por conta do remetente | Parte: ALMIRO CASSURIAGA COMERCIO DE EMBALAGENS LTDA (74.741.745/0001-48)</t>
        </is>
      </c>
      <c r="O1747" s="29" t="n">
        <v>0</v>
      </c>
      <c r="P1747" s="29" t="n">
        <v>0</v>
      </c>
      <c r="Q1747" s="29" t="n">
        <v>0</v>
      </c>
      <c r="R1747" s="29" t="n">
        <v>0</v>
      </c>
      <c r="S1747" s="29" t="n">
        <v>0</v>
      </c>
      <c r="T1747" t="inlineStr">
        <is>
          <t>25250726975620000130570010000046791000000004</t>
        </is>
      </c>
      <c r="U1747" t="inlineStr">
        <is>
          <t>Não</t>
        </is>
      </c>
    </row>
    <row r="1748">
      <c r="A1748" t="inlineStr">
        <is>
          <t>Frete de venda</t>
        </is>
      </c>
      <c r="B1748" t="inlineStr">
        <is>
          <t>2.01.02 Frete sobre Vendas</t>
        </is>
      </c>
      <c r="C1748" t="inlineStr">
        <is>
          <t>Antes de 2026</t>
        </is>
      </c>
      <c r="D1748" t="inlineStr">
        <is>
          <t>Antes de 2026</t>
        </is>
      </c>
      <c r="E1748" s="28" t="n">
        <v>45856</v>
      </c>
      <c r="F1748" t="inlineStr">
        <is>
          <t>CT-e</t>
        </is>
      </c>
      <c r="G1748" t="inlineStr">
        <is>
          <t>000004680</t>
        </is>
      </c>
      <c r="H1748" t="inlineStr">
        <is>
          <t>R&amp;R TRANSPORTE E LOGISTICA</t>
        </is>
      </c>
      <c r="J1748" s="29" t="n">
        <v>22.56</v>
      </c>
      <c r="K1748" s="29">
        <f>(1-ISNUMBER(SEARCH("556",M1748)))*(O1748*SUMIFS(Premissas!$C$5:$C$44,Premissas!$A$5:$A$44,$A1748,Premissas!$B$5:$B$44,$B1748)+P1748*SUMIFS(Premissas!$D$5:$D$44,Premissas!$A$5:$A$44,$A1748,Premissas!$B$5:$B$44,$B1748))+R1748*SUMIFS(Premissas!$E$5:$E$44,Premissas!$A$5:$A$44,$A1748,Premissas!$B$5:$B$44,$B1748)+S1748*SUMIFS(Premissas!$F$5:$F$44,Premissas!$A$5:$A$44,$A1748,Premissas!$B$5:$B$44,$B1748)</f>
        <v/>
      </c>
      <c r="L1748" s="29">
        <f>J1748-K1748</f>
        <v/>
      </c>
      <c r="M1748" t="inlineStr">
        <is>
          <t>1.350</t>
        </is>
      </c>
      <c r="N1748" t="inlineStr">
        <is>
          <t>Modalidade: 0 - Por conta do remetente | Parte: PIPPI e DINIZ LTDA (08.733.613/0001-40)</t>
        </is>
      </c>
      <c r="O1748" s="29" t="n">
        <v>0</v>
      </c>
      <c r="P1748" s="29" t="n">
        <v>0</v>
      </c>
      <c r="Q1748" s="29" t="n">
        <v>0</v>
      </c>
      <c r="R1748" s="29" t="n">
        <v>0</v>
      </c>
      <c r="S1748" s="29" t="n">
        <v>0</v>
      </c>
      <c r="T1748" t="inlineStr">
        <is>
          <t>25250726975620000130570010000046801000000005</t>
        </is>
      </c>
      <c r="U1748" t="inlineStr">
        <is>
          <t>Não</t>
        </is>
      </c>
    </row>
    <row r="1749">
      <c r="A1749" t="inlineStr">
        <is>
          <t>Frete de venda</t>
        </is>
      </c>
      <c r="B1749" t="inlineStr">
        <is>
          <t>2.01.02 Frete sobre Vendas</t>
        </is>
      </c>
      <c r="C1749" t="inlineStr">
        <is>
          <t>Antes de 2026</t>
        </is>
      </c>
      <c r="D1749" t="inlineStr">
        <is>
          <t>Antes de 2026</t>
        </is>
      </c>
      <c r="E1749" s="28" t="n">
        <v>45856</v>
      </c>
      <c r="F1749" t="inlineStr">
        <is>
          <t>CT-e</t>
        </is>
      </c>
      <c r="G1749" t="inlineStr">
        <is>
          <t>000004681</t>
        </is>
      </c>
      <c r="H1749" t="inlineStr">
        <is>
          <t>R&amp;R TRANSPORTE E LOGISTICA</t>
        </is>
      </c>
      <c r="J1749" s="29" t="n">
        <v>36.91</v>
      </c>
      <c r="K1749" s="29">
        <f>(1-ISNUMBER(SEARCH("556",M1749)))*(O1749*SUMIFS(Premissas!$C$5:$C$44,Premissas!$A$5:$A$44,$A1749,Premissas!$B$5:$B$44,$B1749)+P1749*SUMIFS(Premissas!$D$5:$D$44,Premissas!$A$5:$A$44,$A1749,Premissas!$B$5:$B$44,$B1749))+R1749*SUMIFS(Premissas!$E$5:$E$44,Premissas!$A$5:$A$44,$A1749,Premissas!$B$5:$B$44,$B1749)+S1749*SUMIFS(Premissas!$F$5:$F$44,Premissas!$A$5:$A$44,$A1749,Premissas!$B$5:$B$44,$B1749)</f>
        <v/>
      </c>
      <c r="L1749" s="29">
        <f>J1749-K1749</f>
        <v/>
      </c>
      <c r="M1749" t="inlineStr">
        <is>
          <t>1.350</t>
        </is>
      </c>
      <c r="N1749" t="inlineStr">
        <is>
          <t>Modalidade: 0 - Por conta do remetente | Parte: MARIA DE FATIMA MACHADO SEVERO e CIA LTDA (94.672.557/0001-12)</t>
        </is>
      </c>
      <c r="O1749" s="29" t="n">
        <v>0</v>
      </c>
      <c r="P1749" s="29" t="n">
        <v>0</v>
      </c>
      <c r="Q1749" s="29" t="n">
        <v>0</v>
      </c>
      <c r="R1749" s="29" t="n">
        <v>0</v>
      </c>
      <c r="S1749" s="29" t="n">
        <v>0</v>
      </c>
      <c r="T1749" t="inlineStr">
        <is>
          <t>25250726975620000130570010000046811000000002</t>
        </is>
      </c>
      <c r="U1749" t="inlineStr">
        <is>
          <t>Não</t>
        </is>
      </c>
    </row>
    <row r="1750">
      <c r="A1750" t="inlineStr">
        <is>
          <t>Frete de venda</t>
        </is>
      </c>
      <c r="B1750" t="inlineStr">
        <is>
          <t>2.01.02 Frete sobre Vendas</t>
        </is>
      </c>
      <c r="C1750" t="inlineStr">
        <is>
          <t>Antes de 2026</t>
        </is>
      </c>
      <c r="D1750" t="inlineStr">
        <is>
          <t>Antes de 2026</t>
        </is>
      </c>
      <c r="E1750" s="28" t="n">
        <v>45856</v>
      </c>
      <c r="F1750" t="inlineStr">
        <is>
          <t>CT-e</t>
        </is>
      </c>
      <c r="G1750" t="inlineStr">
        <is>
          <t>000004682</t>
        </is>
      </c>
      <c r="H1750" t="inlineStr">
        <is>
          <t>R&amp;R TRANSPORTE E LOGISTICA</t>
        </is>
      </c>
      <c r="J1750" s="29" t="n">
        <v>22.1</v>
      </c>
      <c r="K1750" s="29">
        <f>(1-ISNUMBER(SEARCH("556",M1750)))*(O1750*SUMIFS(Premissas!$C$5:$C$44,Premissas!$A$5:$A$44,$A1750,Premissas!$B$5:$B$44,$B1750)+P1750*SUMIFS(Premissas!$D$5:$D$44,Premissas!$A$5:$A$44,$A1750,Premissas!$B$5:$B$44,$B1750))+R1750*SUMIFS(Premissas!$E$5:$E$44,Premissas!$A$5:$A$44,$A1750,Premissas!$B$5:$B$44,$B1750)+S1750*SUMIFS(Premissas!$F$5:$F$44,Premissas!$A$5:$A$44,$A1750,Premissas!$B$5:$B$44,$B1750)</f>
        <v/>
      </c>
      <c r="L1750" s="29">
        <f>J1750-K1750</f>
        <v/>
      </c>
      <c r="M1750" t="inlineStr">
        <is>
          <t>1.350</t>
        </is>
      </c>
      <c r="N1750" t="inlineStr">
        <is>
          <t>Modalidade: 0 - Por conta do remetente | Parte: CESTAS e CESTAS LTDA (07.221.167/0001-21)</t>
        </is>
      </c>
      <c r="O1750" s="29" t="n">
        <v>0</v>
      </c>
      <c r="P1750" s="29" t="n">
        <v>0</v>
      </c>
      <c r="Q1750" s="29" t="n">
        <v>0</v>
      </c>
      <c r="R1750" s="29" t="n">
        <v>0</v>
      </c>
      <c r="S1750" s="29" t="n">
        <v>0</v>
      </c>
      <c r="T1750" t="inlineStr">
        <is>
          <t>25250726975620000130570010000046821000000000</t>
        </is>
      </c>
      <c r="U1750" t="inlineStr">
        <is>
          <t>Não</t>
        </is>
      </c>
    </row>
    <row r="1751">
      <c r="A1751" t="inlineStr">
        <is>
          <t>Frete de venda</t>
        </is>
      </c>
      <c r="B1751" t="inlineStr">
        <is>
          <t>2.01.02 Frete sobre Vendas</t>
        </is>
      </c>
      <c r="C1751" t="inlineStr">
        <is>
          <t>Antes de 2026</t>
        </is>
      </c>
      <c r="D1751" t="inlineStr">
        <is>
          <t>Antes de 2026</t>
        </is>
      </c>
      <c r="E1751" s="28" t="n">
        <v>45856</v>
      </c>
      <c r="F1751" t="inlineStr">
        <is>
          <t>CT-e</t>
        </is>
      </c>
      <c r="G1751" t="inlineStr">
        <is>
          <t>000004683</t>
        </is>
      </c>
      <c r="H1751" t="inlineStr">
        <is>
          <t>R&amp;R TRANSPORTE E LOGISTICA</t>
        </is>
      </c>
      <c r="J1751" s="29" t="n">
        <v>20.15</v>
      </c>
      <c r="K1751" s="29">
        <f>(1-ISNUMBER(SEARCH("556",M1751)))*(O1751*SUMIFS(Premissas!$C$5:$C$44,Premissas!$A$5:$A$44,$A1751,Premissas!$B$5:$B$44,$B1751)+P1751*SUMIFS(Premissas!$D$5:$D$44,Premissas!$A$5:$A$44,$A1751,Premissas!$B$5:$B$44,$B1751))+R1751*SUMIFS(Premissas!$E$5:$E$44,Premissas!$A$5:$A$44,$A1751,Premissas!$B$5:$B$44,$B1751)+S1751*SUMIFS(Premissas!$F$5:$F$44,Premissas!$A$5:$A$44,$A1751,Premissas!$B$5:$B$44,$B1751)</f>
        <v/>
      </c>
      <c r="L1751" s="29">
        <f>J1751-K1751</f>
        <v/>
      </c>
      <c r="M1751" t="inlineStr">
        <is>
          <t>1.350</t>
        </is>
      </c>
      <c r="N1751" t="inlineStr">
        <is>
          <t>Modalidade: 0 - Por conta do remetente | Parte: AURIO BEN ROOS JUNIOR (40.729.174/0001-04)</t>
        </is>
      </c>
      <c r="O1751" s="29" t="n">
        <v>0</v>
      </c>
      <c r="P1751" s="29" t="n">
        <v>0</v>
      </c>
      <c r="Q1751" s="29" t="n">
        <v>0</v>
      </c>
      <c r="R1751" s="29" t="n">
        <v>0</v>
      </c>
      <c r="S1751" s="29" t="n">
        <v>0</v>
      </c>
      <c r="T1751" t="inlineStr">
        <is>
          <t>25250726975620000130570010000046831000000007</t>
        </is>
      </c>
      <c r="U1751" t="inlineStr">
        <is>
          <t>Não</t>
        </is>
      </c>
    </row>
    <row r="1752">
      <c r="A1752" t="inlineStr">
        <is>
          <t>Frete de venda</t>
        </is>
      </c>
      <c r="B1752" t="inlineStr">
        <is>
          <t>2.01.02 Frete sobre Vendas</t>
        </is>
      </c>
      <c r="C1752" t="inlineStr">
        <is>
          <t>Antes de 2026</t>
        </is>
      </c>
      <c r="D1752" t="inlineStr">
        <is>
          <t>Antes de 2026</t>
        </is>
      </c>
      <c r="E1752" s="28" t="n">
        <v>45856</v>
      </c>
      <c r="F1752" t="inlineStr">
        <is>
          <t>CT-e</t>
        </is>
      </c>
      <c r="G1752" t="inlineStr">
        <is>
          <t>000004684</t>
        </is>
      </c>
      <c r="H1752" t="inlineStr">
        <is>
          <t>R&amp;R TRANSPORTE E LOGISTICA</t>
        </is>
      </c>
      <c r="J1752" s="29" t="n">
        <v>30.38</v>
      </c>
      <c r="K1752" s="29">
        <f>(1-ISNUMBER(SEARCH("556",M1752)))*(O1752*SUMIFS(Premissas!$C$5:$C$44,Premissas!$A$5:$A$44,$A1752,Premissas!$B$5:$B$44,$B1752)+P1752*SUMIFS(Premissas!$D$5:$D$44,Premissas!$A$5:$A$44,$A1752,Premissas!$B$5:$B$44,$B1752))+R1752*SUMIFS(Premissas!$E$5:$E$44,Premissas!$A$5:$A$44,$A1752,Premissas!$B$5:$B$44,$B1752)+S1752*SUMIFS(Premissas!$F$5:$F$44,Premissas!$A$5:$A$44,$A1752,Premissas!$B$5:$B$44,$B1752)</f>
        <v/>
      </c>
      <c r="L1752" s="29">
        <f>J1752-K1752</f>
        <v/>
      </c>
      <c r="M1752" t="inlineStr">
        <is>
          <t>1.350</t>
        </is>
      </c>
      <c r="N1752" t="inlineStr">
        <is>
          <t>Modalidade: 0 - Por conta do remetente | Parte: RJ SILVEIRA LTDA (11.378.222/0001-69)</t>
        </is>
      </c>
      <c r="O1752" s="29" t="n">
        <v>0</v>
      </c>
      <c r="P1752" s="29" t="n">
        <v>0</v>
      </c>
      <c r="Q1752" s="29" t="n">
        <v>0</v>
      </c>
      <c r="R1752" s="29" t="n">
        <v>0</v>
      </c>
      <c r="S1752" s="29" t="n">
        <v>0</v>
      </c>
      <c r="T1752" t="inlineStr">
        <is>
          <t>25250726975620000130570010000046841000000004</t>
        </is>
      </c>
      <c r="U1752" t="inlineStr">
        <is>
          <t>Não</t>
        </is>
      </c>
    </row>
    <row r="1753">
      <c r="A1753" t="inlineStr">
        <is>
          <t>Frete de venda</t>
        </is>
      </c>
      <c r="B1753" t="inlineStr">
        <is>
          <t>2.01.02 Frete sobre Vendas</t>
        </is>
      </c>
      <c r="C1753" t="inlineStr">
        <is>
          <t>Antes de 2026</t>
        </is>
      </c>
      <c r="D1753" t="inlineStr">
        <is>
          <t>Antes de 2026</t>
        </is>
      </c>
      <c r="E1753" s="28" t="n">
        <v>45856</v>
      </c>
      <c r="F1753" t="inlineStr">
        <is>
          <t>CT-e</t>
        </is>
      </c>
      <c r="G1753" t="inlineStr">
        <is>
          <t>000004685</t>
        </is>
      </c>
      <c r="H1753" t="inlineStr">
        <is>
          <t>R&amp;R TRANSPORTE E LOGISTICA</t>
        </is>
      </c>
      <c r="J1753" s="29" t="n">
        <v>20.54</v>
      </c>
      <c r="K1753" s="29">
        <f>(1-ISNUMBER(SEARCH("556",M1753)))*(O1753*SUMIFS(Premissas!$C$5:$C$44,Premissas!$A$5:$A$44,$A1753,Premissas!$B$5:$B$44,$B1753)+P1753*SUMIFS(Premissas!$D$5:$D$44,Premissas!$A$5:$A$44,$A1753,Premissas!$B$5:$B$44,$B1753))+R1753*SUMIFS(Premissas!$E$5:$E$44,Premissas!$A$5:$A$44,$A1753,Premissas!$B$5:$B$44,$B1753)+S1753*SUMIFS(Premissas!$F$5:$F$44,Premissas!$A$5:$A$44,$A1753,Premissas!$B$5:$B$44,$B1753)</f>
        <v/>
      </c>
      <c r="L1753" s="29">
        <f>J1753-K1753</f>
        <v/>
      </c>
      <c r="M1753" t="inlineStr">
        <is>
          <t>1.350</t>
        </is>
      </c>
      <c r="N1753" t="inlineStr">
        <is>
          <t>Modalidade: 0 - Por conta do remetente | Parte: Embalagens Campoplastic Ltda (05.060.677/0001-39)</t>
        </is>
      </c>
      <c r="O1753" s="29" t="n">
        <v>0</v>
      </c>
      <c r="P1753" s="29" t="n">
        <v>0</v>
      </c>
      <c r="Q1753" s="29" t="n">
        <v>0</v>
      </c>
      <c r="R1753" s="29" t="n">
        <v>0</v>
      </c>
      <c r="S1753" s="29" t="n">
        <v>0</v>
      </c>
      <c r="T1753" t="inlineStr">
        <is>
          <t>25250726975620000130570010000046851000000001</t>
        </is>
      </c>
      <c r="U1753" t="inlineStr">
        <is>
          <t>Não</t>
        </is>
      </c>
    </row>
    <row r="1754">
      <c r="A1754" t="inlineStr">
        <is>
          <t>Frete de venda</t>
        </is>
      </c>
      <c r="B1754" t="inlineStr">
        <is>
          <t>2.01.02 Frete sobre Vendas</t>
        </is>
      </c>
      <c r="C1754" t="inlineStr">
        <is>
          <t>Antes de 2026</t>
        </is>
      </c>
      <c r="D1754" t="inlineStr">
        <is>
          <t>Antes de 2026</t>
        </is>
      </c>
      <c r="E1754" s="28" t="n">
        <v>45856</v>
      </c>
      <c r="F1754" t="inlineStr">
        <is>
          <t>CT-e</t>
        </is>
      </c>
      <c r="G1754" t="inlineStr">
        <is>
          <t>000004686</t>
        </is>
      </c>
      <c r="H1754" t="inlineStr">
        <is>
          <t>R&amp;R TRANSPORTE E LOGISTICA</t>
        </is>
      </c>
      <c r="J1754" s="29" t="n">
        <v>21.68</v>
      </c>
      <c r="K1754" s="29">
        <f>(1-ISNUMBER(SEARCH("556",M1754)))*(O1754*SUMIFS(Premissas!$C$5:$C$44,Premissas!$A$5:$A$44,$A1754,Premissas!$B$5:$B$44,$B1754)+P1754*SUMIFS(Premissas!$D$5:$D$44,Premissas!$A$5:$A$44,$A1754,Premissas!$B$5:$B$44,$B1754))+R1754*SUMIFS(Premissas!$E$5:$E$44,Premissas!$A$5:$A$44,$A1754,Premissas!$B$5:$B$44,$B1754)+S1754*SUMIFS(Premissas!$F$5:$F$44,Premissas!$A$5:$A$44,$A1754,Premissas!$B$5:$B$44,$B1754)</f>
        <v/>
      </c>
      <c r="L1754" s="29">
        <f>J1754-K1754</f>
        <v/>
      </c>
      <c r="M1754" t="inlineStr">
        <is>
          <t>1.350</t>
        </is>
      </c>
      <c r="N1754" t="inlineStr">
        <is>
          <t>Modalidade: 0 - Por conta do remetente | Parte: DISTRIBUIDORA FACIL COMERCIO DE SECOS LTDA (47.027.814/0001-83)</t>
        </is>
      </c>
      <c r="O1754" s="29" t="n">
        <v>0</v>
      </c>
      <c r="P1754" s="29" t="n">
        <v>0</v>
      </c>
      <c r="Q1754" s="29" t="n">
        <v>0</v>
      </c>
      <c r="R1754" s="29" t="n">
        <v>0</v>
      </c>
      <c r="S1754" s="29" t="n">
        <v>0</v>
      </c>
      <c r="T1754" t="inlineStr">
        <is>
          <t>25250726975620000130570010000046861000000009</t>
        </is>
      </c>
      <c r="U1754" t="inlineStr">
        <is>
          <t>Não</t>
        </is>
      </c>
    </row>
    <row r="1755">
      <c r="A1755" t="inlineStr">
        <is>
          <t>Frete de venda</t>
        </is>
      </c>
      <c r="B1755" t="inlineStr">
        <is>
          <t>2.01.02 Frete sobre Vendas</t>
        </is>
      </c>
      <c r="C1755" t="inlineStr">
        <is>
          <t>Antes de 2026</t>
        </is>
      </c>
      <c r="D1755" t="inlineStr">
        <is>
          <t>Antes de 2026</t>
        </is>
      </c>
      <c r="E1755" s="28" t="n">
        <v>45856</v>
      </c>
      <c r="F1755" t="inlineStr">
        <is>
          <t>CT-e</t>
        </is>
      </c>
      <c r="G1755" t="inlineStr">
        <is>
          <t>000004687</t>
        </is>
      </c>
      <c r="H1755" t="inlineStr">
        <is>
          <t>R&amp;R TRANSPORTE E LOGISTICA</t>
        </is>
      </c>
      <c r="J1755" s="29" t="n">
        <v>26.48</v>
      </c>
      <c r="K1755" s="29">
        <f>(1-ISNUMBER(SEARCH("556",M1755)))*(O1755*SUMIFS(Premissas!$C$5:$C$44,Premissas!$A$5:$A$44,$A1755,Premissas!$B$5:$B$44,$B1755)+P1755*SUMIFS(Premissas!$D$5:$D$44,Premissas!$A$5:$A$44,$A1755,Premissas!$B$5:$B$44,$B1755))+R1755*SUMIFS(Premissas!$E$5:$E$44,Premissas!$A$5:$A$44,$A1755,Premissas!$B$5:$B$44,$B1755)+S1755*SUMIFS(Premissas!$F$5:$F$44,Premissas!$A$5:$A$44,$A1755,Premissas!$B$5:$B$44,$B1755)</f>
        <v/>
      </c>
      <c r="L1755" s="29">
        <f>J1755-K1755</f>
        <v/>
      </c>
      <c r="M1755" t="inlineStr">
        <is>
          <t>1.350</t>
        </is>
      </c>
      <c r="N1755" t="inlineStr">
        <is>
          <t>Modalidade: 0 - Por conta do remetente | Parte: BEV DISTRIBUIDORA LTDA (54.949.786/0001-17)</t>
        </is>
      </c>
      <c r="O1755" s="29" t="n">
        <v>0</v>
      </c>
      <c r="P1755" s="29" t="n">
        <v>0</v>
      </c>
      <c r="Q1755" s="29" t="n">
        <v>0</v>
      </c>
      <c r="R1755" s="29" t="n">
        <v>0</v>
      </c>
      <c r="S1755" s="29" t="n">
        <v>0</v>
      </c>
      <c r="T1755" t="inlineStr">
        <is>
          <t>25250726975620000130570010000046871000000006</t>
        </is>
      </c>
      <c r="U1755" t="inlineStr">
        <is>
          <t>Não</t>
        </is>
      </c>
    </row>
    <row r="1756">
      <c r="A1756" t="inlineStr">
        <is>
          <t>Frete de venda</t>
        </is>
      </c>
      <c r="B1756" t="inlineStr">
        <is>
          <t>2.01.02 Frete sobre Vendas</t>
        </is>
      </c>
      <c r="C1756" t="inlineStr">
        <is>
          <t>Antes de 2026</t>
        </is>
      </c>
      <c r="D1756" t="inlineStr">
        <is>
          <t>Antes de 2026</t>
        </is>
      </c>
      <c r="E1756" s="28" t="n">
        <v>45856</v>
      </c>
      <c r="F1756" t="inlineStr">
        <is>
          <t>CT-e</t>
        </is>
      </c>
      <c r="G1756" t="inlineStr">
        <is>
          <t>000004688</t>
        </is>
      </c>
      <c r="H1756" t="inlineStr">
        <is>
          <t>R&amp;R TRANSPORTE E LOGISTICA</t>
        </is>
      </c>
      <c r="J1756" s="29" t="n">
        <v>19.32</v>
      </c>
      <c r="K1756" s="29">
        <f>(1-ISNUMBER(SEARCH("556",M1756)))*(O1756*SUMIFS(Premissas!$C$5:$C$44,Premissas!$A$5:$A$44,$A1756,Premissas!$B$5:$B$44,$B1756)+P1756*SUMIFS(Premissas!$D$5:$D$44,Premissas!$A$5:$A$44,$A1756,Premissas!$B$5:$B$44,$B1756))+R1756*SUMIFS(Premissas!$E$5:$E$44,Premissas!$A$5:$A$44,$A1756,Premissas!$B$5:$B$44,$B1756)+S1756*SUMIFS(Premissas!$F$5:$F$44,Premissas!$A$5:$A$44,$A1756,Premissas!$B$5:$B$44,$B1756)</f>
        <v/>
      </c>
      <c r="L1756" s="29">
        <f>J1756-K1756</f>
        <v/>
      </c>
      <c r="M1756" t="inlineStr">
        <is>
          <t>1.350</t>
        </is>
      </c>
      <c r="N1756" t="inlineStr">
        <is>
          <t>Modalidade: 0 - Por conta do remetente | Parte: MIL COMERCIO DE EMBALAGENS LTDA (03.000.441/0001-81)</t>
        </is>
      </c>
      <c r="O1756" s="29" t="n">
        <v>0</v>
      </c>
      <c r="P1756" s="29" t="n">
        <v>0</v>
      </c>
      <c r="Q1756" s="29" t="n">
        <v>0</v>
      </c>
      <c r="R1756" s="29" t="n">
        <v>0</v>
      </c>
      <c r="S1756" s="29" t="n">
        <v>0</v>
      </c>
      <c r="T1756" t="inlineStr">
        <is>
          <t>25250726975620000130570010000046881000000003</t>
        </is>
      </c>
      <c r="U1756" t="inlineStr">
        <is>
          <t>Não</t>
        </is>
      </c>
    </row>
    <row r="1757">
      <c r="A1757" t="inlineStr">
        <is>
          <t>Frete de venda</t>
        </is>
      </c>
      <c r="B1757" t="inlineStr">
        <is>
          <t>2.01.02 Frete sobre Vendas</t>
        </is>
      </c>
      <c r="C1757" t="inlineStr">
        <is>
          <t>Antes de 2026</t>
        </is>
      </c>
      <c r="D1757" t="inlineStr">
        <is>
          <t>Antes de 2026</t>
        </is>
      </c>
      <c r="E1757" s="28" t="n">
        <v>45856</v>
      </c>
      <c r="F1757" t="inlineStr">
        <is>
          <t>CT-e</t>
        </is>
      </c>
      <c r="G1757" t="inlineStr">
        <is>
          <t>000004689</t>
        </is>
      </c>
      <c r="H1757" t="inlineStr">
        <is>
          <t>R&amp;R TRANSPORTE E LOGISTICA</t>
        </is>
      </c>
      <c r="J1757" s="29" t="n">
        <v>41</v>
      </c>
      <c r="K1757" s="29">
        <f>(1-ISNUMBER(SEARCH("556",M1757)))*(O1757*SUMIFS(Premissas!$C$5:$C$44,Premissas!$A$5:$A$44,$A1757,Premissas!$B$5:$B$44,$B1757)+P1757*SUMIFS(Premissas!$D$5:$D$44,Premissas!$A$5:$A$44,$A1757,Premissas!$B$5:$B$44,$B1757))+R1757*SUMIFS(Premissas!$E$5:$E$44,Premissas!$A$5:$A$44,$A1757,Premissas!$B$5:$B$44,$B1757)+S1757*SUMIFS(Premissas!$F$5:$F$44,Premissas!$A$5:$A$44,$A1757,Premissas!$B$5:$B$44,$B1757)</f>
        <v/>
      </c>
      <c r="L1757" s="29">
        <f>J1757-K1757</f>
        <v/>
      </c>
      <c r="M1757" t="inlineStr">
        <is>
          <t>1.350</t>
        </is>
      </c>
      <c r="N1757" t="inlineStr">
        <is>
          <t>Modalidade: 0 - Por conta do remetente | Parte: BEBIFRIOS COMERCIAL LTDA (05.796.195/0001-41)</t>
        </is>
      </c>
      <c r="O1757" s="29" t="n">
        <v>0</v>
      </c>
      <c r="P1757" s="29" t="n">
        <v>0</v>
      </c>
      <c r="Q1757" s="29" t="n">
        <v>0</v>
      </c>
      <c r="R1757" s="29" t="n">
        <v>0</v>
      </c>
      <c r="S1757" s="29" t="n">
        <v>0</v>
      </c>
      <c r="T1757" t="inlineStr">
        <is>
          <t>25250726975620000130570010000046891000000000</t>
        </is>
      </c>
      <c r="U1757" t="inlineStr">
        <is>
          <t>Não</t>
        </is>
      </c>
    </row>
    <row r="1758">
      <c r="A1758" t="inlineStr">
        <is>
          <t>Frete de venda</t>
        </is>
      </c>
      <c r="B1758" t="inlineStr">
        <is>
          <t>2.01.02 Frete sobre Vendas</t>
        </is>
      </c>
      <c r="C1758" t="inlineStr">
        <is>
          <t>Antes de 2026</t>
        </is>
      </c>
      <c r="D1758" t="inlineStr">
        <is>
          <t>Antes de 2026</t>
        </is>
      </c>
      <c r="E1758" s="28" t="n">
        <v>45856</v>
      </c>
      <c r="F1758" t="inlineStr">
        <is>
          <t>CT-e</t>
        </is>
      </c>
      <c r="G1758" t="inlineStr">
        <is>
          <t>000004690</t>
        </is>
      </c>
      <c r="H1758" t="inlineStr">
        <is>
          <t>R&amp;R TRANSPORTE E LOGISTICA</t>
        </is>
      </c>
      <c r="J1758" s="29" t="n">
        <v>19.97</v>
      </c>
      <c r="K1758" s="29">
        <f>(1-ISNUMBER(SEARCH("556",M1758)))*(O1758*SUMIFS(Premissas!$C$5:$C$44,Premissas!$A$5:$A$44,$A1758,Premissas!$B$5:$B$44,$B1758)+P1758*SUMIFS(Premissas!$D$5:$D$44,Premissas!$A$5:$A$44,$A1758,Premissas!$B$5:$B$44,$B1758))+R1758*SUMIFS(Premissas!$E$5:$E$44,Premissas!$A$5:$A$44,$A1758,Premissas!$B$5:$B$44,$B1758)+S1758*SUMIFS(Premissas!$F$5:$F$44,Premissas!$A$5:$A$44,$A1758,Premissas!$B$5:$B$44,$B1758)</f>
        <v/>
      </c>
      <c r="L1758" s="29">
        <f>J1758-K1758</f>
        <v/>
      </c>
      <c r="M1758" t="inlineStr">
        <is>
          <t>1.350</t>
        </is>
      </c>
      <c r="N1758" t="inlineStr">
        <is>
          <t>Modalidade: 0 - Por conta do remetente | Parte: HJM DISTRIBUICAO DE FRIOS LTDA (15.491.554/0001-06)</t>
        </is>
      </c>
      <c r="O1758" s="29" t="n">
        <v>0</v>
      </c>
      <c r="P1758" s="29" t="n">
        <v>0</v>
      </c>
      <c r="Q1758" s="29" t="n">
        <v>0</v>
      </c>
      <c r="R1758" s="29" t="n">
        <v>0</v>
      </c>
      <c r="S1758" s="29" t="n">
        <v>0</v>
      </c>
      <c r="T1758" t="inlineStr">
        <is>
          <t>25250726975620000130570010000046901000000001</t>
        </is>
      </c>
      <c r="U1758" t="inlineStr">
        <is>
          <t>Não</t>
        </is>
      </c>
    </row>
    <row r="1759">
      <c r="A1759" t="inlineStr">
        <is>
          <t>Frete de venda</t>
        </is>
      </c>
      <c r="B1759" t="inlineStr">
        <is>
          <t>2.01.02 Frete sobre Vendas</t>
        </is>
      </c>
      <c r="C1759" t="inlineStr">
        <is>
          <t>Antes de 2026</t>
        </is>
      </c>
      <c r="D1759" t="inlineStr">
        <is>
          <t>Antes de 2026</t>
        </is>
      </c>
      <c r="E1759" s="28" t="n">
        <v>45856</v>
      </c>
      <c r="F1759" t="inlineStr">
        <is>
          <t>CT-e</t>
        </is>
      </c>
      <c r="G1759" t="inlineStr">
        <is>
          <t>000004691</t>
        </is>
      </c>
      <c r="H1759" t="inlineStr">
        <is>
          <t>R&amp;R TRANSPORTE E LOGISTICA</t>
        </is>
      </c>
      <c r="J1759" s="29" t="n">
        <v>24.95</v>
      </c>
      <c r="K1759" s="29">
        <f>(1-ISNUMBER(SEARCH("556",M1759)))*(O1759*SUMIFS(Premissas!$C$5:$C$44,Premissas!$A$5:$A$44,$A1759,Premissas!$B$5:$B$44,$B1759)+P1759*SUMIFS(Premissas!$D$5:$D$44,Premissas!$A$5:$A$44,$A1759,Premissas!$B$5:$B$44,$B1759))+R1759*SUMIFS(Premissas!$E$5:$E$44,Premissas!$A$5:$A$44,$A1759,Premissas!$B$5:$B$44,$B1759)+S1759*SUMIFS(Premissas!$F$5:$F$44,Premissas!$A$5:$A$44,$A1759,Premissas!$B$5:$B$44,$B1759)</f>
        <v/>
      </c>
      <c r="L1759" s="29">
        <f>J1759-K1759</f>
        <v/>
      </c>
      <c r="M1759" t="inlineStr">
        <is>
          <t>1.350</t>
        </is>
      </c>
      <c r="N1759" t="inlineStr">
        <is>
          <t>Modalidade: 0 - Por conta do remetente | Parte: MOYSA COMERCIO DE EMBALAGENS PLASTICAS LTDA (79.201.935/0001-96)</t>
        </is>
      </c>
      <c r="O1759" s="29" t="n">
        <v>0</v>
      </c>
      <c r="P1759" s="29" t="n">
        <v>0</v>
      </c>
      <c r="Q1759" s="29" t="n">
        <v>0</v>
      </c>
      <c r="R1759" s="29" t="n">
        <v>0</v>
      </c>
      <c r="S1759" s="29" t="n">
        <v>0</v>
      </c>
      <c r="T1759" t="inlineStr">
        <is>
          <t>25250726975620000130570010000046911000000009</t>
        </is>
      </c>
      <c r="U1759" t="inlineStr">
        <is>
          <t>Não</t>
        </is>
      </c>
    </row>
    <row r="1760">
      <c r="A1760" t="inlineStr">
        <is>
          <t>Frete de venda</t>
        </is>
      </c>
      <c r="B1760" t="inlineStr">
        <is>
          <t>2.01.02 Frete sobre Vendas</t>
        </is>
      </c>
      <c r="C1760" t="inlineStr">
        <is>
          <t>Antes de 2026</t>
        </is>
      </c>
      <c r="D1760" t="inlineStr">
        <is>
          <t>Antes de 2026</t>
        </is>
      </c>
      <c r="E1760" s="28" t="n">
        <v>45856</v>
      </c>
      <c r="F1760" t="inlineStr">
        <is>
          <t>CT-e</t>
        </is>
      </c>
      <c r="G1760" t="inlineStr">
        <is>
          <t>000004692</t>
        </is>
      </c>
      <c r="H1760" t="inlineStr">
        <is>
          <t>R&amp;R TRANSPORTE E LOGISTICA</t>
        </is>
      </c>
      <c r="J1760" s="29" t="n">
        <v>23.08</v>
      </c>
      <c r="K1760" s="29">
        <f>(1-ISNUMBER(SEARCH("556",M1760)))*(O1760*SUMIFS(Premissas!$C$5:$C$44,Premissas!$A$5:$A$44,$A1760,Premissas!$B$5:$B$44,$B1760)+P1760*SUMIFS(Premissas!$D$5:$D$44,Premissas!$A$5:$A$44,$A1760,Premissas!$B$5:$B$44,$B1760))+R1760*SUMIFS(Premissas!$E$5:$E$44,Premissas!$A$5:$A$44,$A1760,Premissas!$B$5:$B$44,$B1760)+S1760*SUMIFS(Premissas!$F$5:$F$44,Premissas!$A$5:$A$44,$A1760,Premissas!$B$5:$B$44,$B1760)</f>
        <v/>
      </c>
      <c r="L1760" s="29">
        <f>J1760-K1760</f>
        <v/>
      </c>
      <c r="M1760" t="inlineStr">
        <is>
          <t>1.350</t>
        </is>
      </c>
      <c r="N1760" t="inlineStr">
        <is>
          <t>Modalidade: 0 - Por conta do remetente | Parte: EMBALAGENS JUPITER LTDA (10.907.773/0001-00)</t>
        </is>
      </c>
      <c r="O1760" s="29" t="n">
        <v>0</v>
      </c>
      <c r="P1760" s="29" t="n">
        <v>0</v>
      </c>
      <c r="Q1760" s="29" t="n">
        <v>0</v>
      </c>
      <c r="R1760" s="29" t="n">
        <v>0</v>
      </c>
      <c r="S1760" s="29" t="n">
        <v>0</v>
      </c>
      <c r="T1760" t="inlineStr">
        <is>
          <t>25250726975620000130570010000046921000000006</t>
        </is>
      </c>
      <c r="U1760" t="inlineStr">
        <is>
          <t>Não</t>
        </is>
      </c>
    </row>
    <row r="1761">
      <c r="A1761" t="inlineStr">
        <is>
          <t>Frete de venda</t>
        </is>
      </c>
      <c r="B1761" t="inlineStr">
        <is>
          <t>2.01.02 Frete sobre Vendas</t>
        </is>
      </c>
      <c r="C1761" t="inlineStr">
        <is>
          <t>Antes de 2026</t>
        </is>
      </c>
      <c r="D1761" t="inlineStr">
        <is>
          <t>Antes de 2026</t>
        </is>
      </c>
      <c r="E1761" s="28" t="n">
        <v>45856</v>
      </c>
      <c r="F1761" t="inlineStr">
        <is>
          <t>CT-e</t>
        </is>
      </c>
      <c r="G1761" t="inlineStr">
        <is>
          <t>000004693</t>
        </is>
      </c>
      <c r="H1761" t="inlineStr">
        <is>
          <t>R&amp;R TRANSPORTE E LOGISTICA</t>
        </is>
      </c>
      <c r="J1761" s="29" t="n">
        <v>33.36</v>
      </c>
      <c r="K1761" s="29">
        <f>(1-ISNUMBER(SEARCH("556",M1761)))*(O1761*SUMIFS(Premissas!$C$5:$C$44,Premissas!$A$5:$A$44,$A1761,Premissas!$B$5:$B$44,$B1761)+P1761*SUMIFS(Premissas!$D$5:$D$44,Premissas!$A$5:$A$44,$A1761,Premissas!$B$5:$B$44,$B1761))+R1761*SUMIFS(Premissas!$E$5:$E$44,Premissas!$A$5:$A$44,$A1761,Premissas!$B$5:$B$44,$B1761)+S1761*SUMIFS(Premissas!$F$5:$F$44,Premissas!$A$5:$A$44,$A1761,Premissas!$B$5:$B$44,$B1761)</f>
        <v/>
      </c>
      <c r="L1761" s="29">
        <f>J1761-K1761</f>
        <v/>
      </c>
      <c r="M1761" t="inlineStr">
        <is>
          <t>1.350</t>
        </is>
      </c>
      <c r="N1761" t="inlineStr">
        <is>
          <t>Modalidade: 0 - Por conta do remetente | Parte: DISTRIBUIDORA DE EMBALAGENS SUACUI LTDA (10.560.122/0001-96)</t>
        </is>
      </c>
      <c r="O1761" s="29" t="n">
        <v>0</v>
      </c>
      <c r="P1761" s="29" t="n">
        <v>0</v>
      </c>
      <c r="Q1761" s="29" t="n">
        <v>0</v>
      </c>
      <c r="R1761" s="29" t="n">
        <v>0</v>
      </c>
      <c r="S1761" s="29" t="n">
        <v>0</v>
      </c>
      <c r="T1761" t="inlineStr">
        <is>
          <t>25250726975620000130570010000046931000000003</t>
        </is>
      </c>
      <c r="U1761" t="inlineStr">
        <is>
          <t>Não</t>
        </is>
      </c>
    </row>
    <row r="1762">
      <c r="A1762" t="inlineStr">
        <is>
          <t>Frete de venda</t>
        </is>
      </c>
      <c r="B1762" t="inlineStr">
        <is>
          <t>2.01.02 Frete sobre Vendas</t>
        </is>
      </c>
      <c r="C1762" t="inlineStr">
        <is>
          <t>Antes de 2026</t>
        </is>
      </c>
      <c r="D1762" t="inlineStr">
        <is>
          <t>Antes de 2026</t>
        </is>
      </c>
      <c r="E1762" s="28" t="n">
        <v>45860</v>
      </c>
      <c r="F1762" t="inlineStr">
        <is>
          <t>CT-e</t>
        </is>
      </c>
      <c r="G1762" t="inlineStr">
        <is>
          <t>000004697</t>
        </is>
      </c>
      <c r="H1762" t="inlineStr">
        <is>
          <t>R&amp;R TRANSPORTE E LOGISTICA</t>
        </is>
      </c>
      <c r="J1762" s="29" t="n">
        <v>1250</v>
      </c>
      <c r="K1762" s="29">
        <f>(1-ISNUMBER(SEARCH("556",M1762)))*(O1762*SUMIFS(Premissas!$C$5:$C$44,Premissas!$A$5:$A$44,$A1762,Premissas!$B$5:$B$44,$B1762)+P1762*SUMIFS(Premissas!$D$5:$D$44,Premissas!$A$5:$A$44,$A1762,Premissas!$B$5:$B$44,$B1762))+R1762*SUMIFS(Premissas!$E$5:$E$44,Premissas!$A$5:$A$44,$A1762,Premissas!$B$5:$B$44,$B1762)+S1762*SUMIFS(Premissas!$F$5:$F$44,Premissas!$A$5:$A$44,$A1762,Premissas!$B$5:$B$44,$B1762)</f>
        <v/>
      </c>
      <c r="L1762" s="29">
        <f>J1762-K1762</f>
        <v/>
      </c>
      <c r="M1762" t="inlineStr">
        <is>
          <t>1.350</t>
        </is>
      </c>
      <c r="N1762" t="inlineStr">
        <is>
          <t>Modalidade: 0 - Por conta do remetente | Parte: PARAIBA INDUSTRIA E COMERCIO DE EMBALAGENS LTDA (48.656.358/0001-01)</t>
        </is>
      </c>
      <c r="O1762" s="29" t="n">
        <v>0</v>
      </c>
      <c r="P1762" s="29" t="n">
        <v>0</v>
      </c>
      <c r="Q1762" s="29" t="n">
        <v>0</v>
      </c>
      <c r="R1762" s="29" t="n">
        <v>0</v>
      </c>
      <c r="S1762" s="29" t="n">
        <v>0</v>
      </c>
      <c r="T1762" t="inlineStr">
        <is>
          <t>25250726975620000130570010000046971000000002</t>
        </is>
      </c>
      <c r="U1762" t="inlineStr">
        <is>
          <t>Não</t>
        </is>
      </c>
    </row>
    <row r="1763">
      <c r="A1763" t="inlineStr">
        <is>
          <t>Frete de venda</t>
        </is>
      </c>
      <c r="B1763" t="inlineStr">
        <is>
          <t>2.01.02 Frete sobre Vendas</t>
        </is>
      </c>
      <c r="C1763" t="inlineStr">
        <is>
          <t>Antes de 2026</t>
        </is>
      </c>
      <c r="D1763" t="inlineStr">
        <is>
          <t>Antes de 2026</t>
        </is>
      </c>
      <c r="E1763" s="28" t="n">
        <v>45860</v>
      </c>
      <c r="F1763" t="inlineStr">
        <is>
          <t>CT-e</t>
        </is>
      </c>
      <c r="G1763" t="inlineStr">
        <is>
          <t>000004698</t>
        </is>
      </c>
      <c r="H1763" t="inlineStr">
        <is>
          <t>R&amp;R TRANSPORTE E LOGISTICA</t>
        </is>
      </c>
      <c r="J1763" s="29" t="n">
        <v>1250</v>
      </c>
      <c r="K1763" s="29">
        <f>(1-ISNUMBER(SEARCH("556",M1763)))*(O1763*SUMIFS(Premissas!$C$5:$C$44,Premissas!$A$5:$A$44,$A1763,Premissas!$B$5:$B$44,$B1763)+P1763*SUMIFS(Premissas!$D$5:$D$44,Premissas!$A$5:$A$44,$A1763,Premissas!$B$5:$B$44,$B1763))+R1763*SUMIFS(Premissas!$E$5:$E$44,Premissas!$A$5:$A$44,$A1763,Premissas!$B$5:$B$44,$B1763)+S1763*SUMIFS(Premissas!$F$5:$F$44,Premissas!$A$5:$A$44,$A1763,Premissas!$B$5:$B$44,$B1763)</f>
        <v/>
      </c>
      <c r="L1763" s="29">
        <f>J1763-K1763</f>
        <v/>
      </c>
      <c r="M1763" t="inlineStr">
        <is>
          <t>1.350</t>
        </is>
      </c>
      <c r="N1763" t="inlineStr">
        <is>
          <t>Modalidade: 0 - Por conta do remetente | Parte: E FESTA DISTRIBUIDORA LTDA (53.859.940/0001-05)</t>
        </is>
      </c>
      <c r="O1763" s="29" t="n">
        <v>0</v>
      </c>
      <c r="P1763" s="29" t="n">
        <v>0</v>
      </c>
      <c r="Q1763" s="29" t="n">
        <v>0</v>
      </c>
      <c r="R1763" s="29" t="n">
        <v>0</v>
      </c>
      <c r="S1763" s="29" t="n">
        <v>0</v>
      </c>
      <c r="T1763" t="inlineStr">
        <is>
          <t>25250726975620000130570010000046981000000000</t>
        </is>
      </c>
      <c r="U1763" t="inlineStr">
        <is>
          <t>Não</t>
        </is>
      </c>
    </row>
    <row r="1764">
      <c r="A1764" t="inlineStr">
        <is>
          <t>Frete de venda</t>
        </is>
      </c>
      <c r="B1764" t="inlineStr">
        <is>
          <t>2.01.02 Frete sobre Vendas</t>
        </is>
      </c>
      <c r="C1764" t="inlineStr">
        <is>
          <t>Antes de 2026</t>
        </is>
      </c>
      <c r="D1764" t="inlineStr">
        <is>
          <t>Antes de 2026</t>
        </is>
      </c>
      <c r="E1764" s="28" t="n">
        <v>45860</v>
      </c>
      <c r="F1764" t="inlineStr">
        <is>
          <t>CT-e</t>
        </is>
      </c>
      <c r="G1764" t="inlineStr">
        <is>
          <t>000004699</t>
        </is>
      </c>
      <c r="H1764" t="inlineStr">
        <is>
          <t>R&amp;R TRANSPORTE E LOGISTICA</t>
        </is>
      </c>
      <c r="J1764" s="29" t="n">
        <v>1250</v>
      </c>
      <c r="K1764" s="29">
        <f>(1-ISNUMBER(SEARCH("556",M1764)))*(O1764*SUMIFS(Premissas!$C$5:$C$44,Premissas!$A$5:$A$44,$A1764,Premissas!$B$5:$B$44,$B1764)+P1764*SUMIFS(Premissas!$D$5:$D$44,Premissas!$A$5:$A$44,$A1764,Premissas!$B$5:$B$44,$B1764))+R1764*SUMIFS(Premissas!$E$5:$E$44,Premissas!$A$5:$A$44,$A1764,Premissas!$B$5:$B$44,$B1764)+S1764*SUMIFS(Premissas!$F$5:$F$44,Premissas!$A$5:$A$44,$A1764,Premissas!$B$5:$B$44,$B1764)</f>
        <v/>
      </c>
      <c r="L1764" s="29">
        <f>J1764-K1764</f>
        <v/>
      </c>
      <c r="M1764" t="inlineStr">
        <is>
          <t>1.350</t>
        </is>
      </c>
      <c r="N1764" t="inlineStr">
        <is>
          <t>Modalidade: 0 - Por conta do remetente | Parte: JND DISTRIBUIDORA LTDA (36.332.668/0001-83)</t>
        </is>
      </c>
      <c r="O1764" s="29" t="n">
        <v>0</v>
      </c>
      <c r="P1764" s="29" t="n">
        <v>0</v>
      </c>
      <c r="Q1764" s="29" t="n">
        <v>0</v>
      </c>
      <c r="R1764" s="29" t="n">
        <v>0</v>
      </c>
      <c r="S1764" s="29" t="n">
        <v>0</v>
      </c>
      <c r="T1764" t="inlineStr">
        <is>
          <t>25250726975620000130570010000046991000000007</t>
        </is>
      </c>
      <c r="U1764" t="inlineStr">
        <is>
          <t>Não</t>
        </is>
      </c>
    </row>
    <row r="1765">
      <c r="A1765" t="inlineStr">
        <is>
          <t>Frete de venda</t>
        </is>
      </c>
      <c r="B1765" t="inlineStr">
        <is>
          <t>2.01.02 Frete sobre Vendas</t>
        </is>
      </c>
      <c r="C1765" t="inlineStr">
        <is>
          <t>Antes de 2026</t>
        </is>
      </c>
      <c r="D1765" t="inlineStr">
        <is>
          <t>Antes de 2026</t>
        </is>
      </c>
      <c r="E1765" s="28" t="n">
        <v>45860</v>
      </c>
      <c r="F1765" t="inlineStr">
        <is>
          <t>CT-e</t>
        </is>
      </c>
      <c r="G1765" t="inlineStr">
        <is>
          <t>000004700</t>
        </is>
      </c>
      <c r="H1765" t="inlineStr">
        <is>
          <t>R&amp;R TRANSPORTE E LOGISTICA</t>
        </is>
      </c>
      <c r="J1765" s="29" t="n">
        <v>1250</v>
      </c>
      <c r="K1765" s="29">
        <f>(1-ISNUMBER(SEARCH("556",M1765)))*(O1765*SUMIFS(Premissas!$C$5:$C$44,Premissas!$A$5:$A$44,$A1765,Premissas!$B$5:$B$44,$B1765)+P1765*SUMIFS(Premissas!$D$5:$D$44,Premissas!$A$5:$A$44,$A1765,Premissas!$B$5:$B$44,$B1765))+R1765*SUMIFS(Premissas!$E$5:$E$44,Premissas!$A$5:$A$44,$A1765,Premissas!$B$5:$B$44,$B1765)+S1765*SUMIFS(Premissas!$F$5:$F$44,Premissas!$A$5:$A$44,$A1765,Premissas!$B$5:$B$44,$B1765)</f>
        <v/>
      </c>
      <c r="L1765" s="29">
        <f>J1765-K1765</f>
        <v/>
      </c>
      <c r="M1765" t="inlineStr">
        <is>
          <t>1.350</t>
        </is>
      </c>
      <c r="N1765" t="inlineStr">
        <is>
          <t>Modalidade: 0 - Por conta do remetente | Parte: TORRES DISTRIBUIDORA ATACADISTA DE EMBALAGENS PLASTICAS ... (26.748.294/0001-28)</t>
        </is>
      </c>
      <c r="O1765" s="29" t="n">
        <v>0</v>
      </c>
      <c r="P1765" s="29" t="n">
        <v>0</v>
      </c>
      <c r="Q1765" s="29" t="n">
        <v>0</v>
      </c>
      <c r="R1765" s="29" t="n">
        <v>0</v>
      </c>
      <c r="S1765" s="29" t="n">
        <v>0</v>
      </c>
      <c r="T1765" t="inlineStr">
        <is>
          <t>25250726975620000130570010000047001000000000</t>
        </is>
      </c>
      <c r="U1765" t="inlineStr">
        <is>
          <t>Não</t>
        </is>
      </c>
    </row>
    <row r="1766">
      <c r="A1766" t="inlineStr">
        <is>
          <t>Frete de venda</t>
        </is>
      </c>
      <c r="B1766" t="inlineStr">
        <is>
          <t>2.01.02 Frete sobre Vendas</t>
        </is>
      </c>
      <c r="C1766" t="inlineStr">
        <is>
          <t>Antes de 2026</t>
        </is>
      </c>
      <c r="D1766" t="inlineStr">
        <is>
          <t>Antes de 2026</t>
        </is>
      </c>
      <c r="E1766" s="28" t="n">
        <v>45860</v>
      </c>
      <c r="F1766" t="inlineStr">
        <is>
          <t>CT-e</t>
        </is>
      </c>
      <c r="G1766" t="inlineStr">
        <is>
          <t>000004706</t>
        </is>
      </c>
      <c r="H1766" t="inlineStr">
        <is>
          <t>R&amp;R TRANSPORTE E LOGISTICA</t>
        </is>
      </c>
      <c r="J1766" s="29" t="n">
        <v>31.76</v>
      </c>
      <c r="K1766" s="29">
        <f>(1-ISNUMBER(SEARCH("556",M1766)))*(O1766*SUMIFS(Premissas!$C$5:$C$44,Premissas!$A$5:$A$44,$A1766,Premissas!$B$5:$B$44,$B1766)+P1766*SUMIFS(Premissas!$D$5:$D$44,Premissas!$A$5:$A$44,$A1766,Premissas!$B$5:$B$44,$B1766))+R1766*SUMIFS(Premissas!$E$5:$E$44,Premissas!$A$5:$A$44,$A1766,Premissas!$B$5:$B$44,$B1766)+S1766*SUMIFS(Premissas!$F$5:$F$44,Premissas!$A$5:$A$44,$A1766,Premissas!$B$5:$B$44,$B1766)</f>
        <v/>
      </c>
      <c r="L1766" s="29">
        <f>J1766-K1766</f>
        <v/>
      </c>
      <c r="M1766" t="inlineStr">
        <is>
          <t>1.350</t>
        </is>
      </c>
      <c r="N1766" t="inlineStr">
        <is>
          <t>Modalidade: 0 - Por conta do remetente | Parte: LR SUPERMERCADO LTDA (08.223.226/0002-44)</t>
        </is>
      </c>
      <c r="O1766" s="29" t="n">
        <v>0</v>
      </c>
      <c r="P1766" s="29" t="n">
        <v>0</v>
      </c>
      <c r="Q1766" s="29" t="n">
        <v>0</v>
      </c>
      <c r="R1766" s="29" t="n">
        <v>0</v>
      </c>
      <c r="S1766" s="29" t="n">
        <v>0</v>
      </c>
      <c r="T1766" t="inlineStr">
        <is>
          <t>25250726975620000130570010000047061000000003</t>
        </is>
      </c>
      <c r="U1766" t="inlineStr">
        <is>
          <t>Não</t>
        </is>
      </c>
    </row>
    <row r="1767">
      <c r="A1767" t="inlineStr">
        <is>
          <t>Frete de venda</t>
        </is>
      </c>
      <c r="B1767" t="inlineStr">
        <is>
          <t>2.01.02 Frete sobre Vendas</t>
        </is>
      </c>
      <c r="C1767" t="inlineStr">
        <is>
          <t>Antes de 2026</t>
        </is>
      </c>
      <c r="D1767" t="inlineStr">
        <is>
          <t>Antes de 2026</t>
        </is>
      </c>
      <c r="E1767" s="28" t="n">
        <v>45860</v>
      </c>
      <c r="F1767" t="inlineStr">
        <is>
          <t>CT-e</t>
        </is>
      </c>
      <c r="G1767" t="inlineStr">
        <is>
          <t>000004707</t>
        </is>
      </c>
      <c r="H1767" t="inlineStr">
        <is>
          <t>R&amp;R TRANSPORTE E LOGISTICA</t>
        </is>
      </c>
      <c r="J1767" s="29" t="n">
        <v>31.32</v>
      </c>
      <c r="K1767" s="29">
        <f>(1-ISNUMBER(SEARCH("556",M1767)))*(O1767*SUMIFS(Premissas!$C$5:$C$44,Premissas!$A$5:$A$44,$A1767,Premissas!$B$5:$B$44,$B1767)+P1767*SUMIFS(Premissas!$D$5:$D$44,Premissas!$A$5:$A$44,$A1767,Premissas!$B$5:$B$44,$B1767))+R1767*SUMIFS(Premissas!$E$5:$E$44,Premissas!$A$5:$A$44,$A1767,Premissas!$B$5:$B$44,$B1767)+S1767*SUMIFS(Premissas!$F$5:$F$44,Premissas!$A$5:$A$44,$A1767,Premissas!$B$5:$B$44,$B1767)</f>
        <v/>
      </c>
      <c r="L1767" s="29">
        <f>J1767-K1767</f>
        <v/>
      </c>
      <c r="M1767" t="inlineStr">
        <is>
          <t>1.350</t>
        </is>
      </c>
      <c r="N1767" t="inlineStr">
        <is>
          <t>Modalidade: 0 - Por conta do remetente | Parte: CLG DESCARTAVEIS E EQUIPAMENTOS LTDA (28.182.666/0001-27)</t>
        </is>
      </c>
      <c r="O1767" s="29" t="n">
        <v>0</v>
      </c>
      <c r="P1767" s="29" t="n">
        <v>0</v>
      </c>
      <c r="Q1767" s="29" t="n">
        <v>0</v>
      </c>
      <c r="R1767" s="29" t="n">
        <v>0</v>
      </c>
      <c r="S1767" s="29" t="n">
        <v>0</v>
      </c>
      <c r="T1767" t="inlineStr">
        <is>
          <t>25250726975620000130570010000047071000000000</t>
        </is>
      </c>
      <c r="U1767" t="inlineStr">
        <is>
          <t>Não</t>
        </is>
      </c>
    </row>
    <row r="1768">
      <c r="A1768" t="inlineStr">
        <is>
          <t>Frete de venda</t>
        </is>
      </c>
      <c r="B1768" t="inlineStr">
        <is>
          <t>2.01.02 Frete sobre Vendas</t>
        </is>
      </c>
      <c r="C1768" t="inlineStr">
        <is>
          <t>Antes de 2026</t>
        </is>
      </c>
      <c r="D1768" t="inlineStr">
        <is>
          <t>Antes de 2026</t>
        </is>
      </c>
      <c r="E1768" s="28" t="n">
        <v>45860</v>
      </c>
      <c r="F1768" t="inlineStr">
        <is>
          <t>CT-e</t>
        </is>
      </c>
      <c r="G1768" t="inlineStr">
        <is>
          <t>000004708</t>
        </is>
      </c>
      <c r="H1768" t="inlineStr">
        <is>
          <t>R&amp;R TRANSPORTE E LOGISTICA</t>
        </is>
      </c>
      <c r="J1768" s="29" t="n">
        <v>30.95</v>
      </c>
      <c r="K1768" s="29">
        <f>(1-ISNUMBER(SEARCH("556",M1768)))*(O1768*SUMIFS(Premissas!$C$5:$C$44,Premissas!$A$5:$A$44,$A1768,Premissas!$B$5:$B$44,$B1768)+P1768*SUMIFS(Premissas!$D$5:$D$44,Premissas!$A$5:$A$44,$A1768,Premissas!$B$5:$B$44,$B1768))+R1768*SUMIFS(Premissas!$E$5:$E$44,Premissas!$A$5:$A$44,$A1768,Premissas!$B$5:$B$44,$B1768)+S1768*SUMIFS(Premissas!$F$5:$F$44,Premissas!$A$5:$A$44,$A1768,Premissas!$B$5:$B$44,$B1768)</f>
        <v/>
      </c>
      <c r="L1768" s="29">
        <f>J1768-K1768</f>
        <v/>
      </c>
      <c r="M1768" t="inlineStr">
        <is>
          <t>1.350</t>
        </is>
      </c>
      <c r="N1768" t="inlineStr">
        <is>
          <t>Modalidade: 0 - Por conta do remetente | Parte: LIDERPACK EMBALAGENS LTDA (46.994.972/0001-40)</t>
        </is>
      </c>
      <c r="O1768" s="29" t="n">
        <v>0</v>
      </c>
      <c r="P1768" s="29" t="n">
        <v>0</v>
      </c>
      <c r="Q1768" s="29" t="n">
        <v>0</v>
      </c>
      <c r="R1768" s="29" t="n">
        <v>0</v>
      </c>
      <c r="S1768" s="29" t="n">
        <v>0</v>
      </c>
      <c r="T1768" t="inlineStr">
        <is>
          <t>25250726975620000130570010000047081000000008</t>
        </is>
      </c>
      <c r="U1768" t="inlineStr">
        <is>
          <t>Não</t>
        </is>
      </c>
    </row>
    <row r="1769">
      <c r="A1769" t="inlineStr">
        <is>
          <t>Frete de venda</t>
        </is>
      </c>
      <c r="B1769" t="inlineStr">
        <is>
          <t>2.01.02 Frete sobre Vendas</t>
        </is>
      </c>
      <c r="C1769" t="inlineStr">
        <is>
          <t>Antes de 2026</t>
        </is>
      </c>
      <c r="D1769" t="inlineStr">
        <is>
          <t>Antes de 2026</t>
        </is>
      </c>
      <c r="E1769" s="28" t="n">
        <v>45860</v>
      </c>
      <c r="F1769" t="inlineStr">
        <is>
          <t>CT-e</t>
        </is>
      </c>
      <c r="G1769" t="inlineStr">
        <is>
          <t>000004709</t>
        </is>
      </c>
      <c r="H1769" t="inlineStr">
        <is>
          <t>R&amp;R TRANSPORTE E LOGISTICA</t>
        </is>
      </c>
      <c r="J1769" s="29" t="n">
        <v>26.47</v>
      </c>
      <c r="K1769" s="29">
        <f>(1-ISNUMBER(SEARCH("556",M1769)))*(O1769*SUMIFS(Premissas!$C$5:$C$44,Premissas!$A$5:$A$44,$A1769,Premissas!$B$5:$B$44,$B1769)+P1769*SUMIFS(Premissas!$D$5:$D$44,Premissas!$A$5:$A$44,$A1769,Premissas!$B$5:$B$44,$B1769))+R1769*SUMIFS(Premissas!$E$5:$E$44,Premissas!$A$5:$A$44,$A1769,Premissas!$B$5:$B$44,$B1769)+S1769*SUMIFS(Premissas!$F$5:$F$44,Premissas!$A$5:$A$44,$A1769,Premissas!$B$5:$B$44,$B1769)</f>
        <v/>
      </c>
      <c r="L1769" s="29">
        <f>J1769-K1769</f>
        <v/>
      </c>
      <c r="M1769" t="inlineStr">
        <is>
          <t>1.350</t>
        </is>
      </c>
      <c r="N1769" t="inlineStr">
        <is>
          <t>Modalidade: 0 - Por conta do remetente | Parte: CASA DEIR FERRAGENS E FERRAMENTAS LTDA (22.904.166/0001-75)</t>
        </is>
      </c>
      <c r="O1769" s="29" t="n">
        <v>0</v>
      </c>
      <c r="P1769" s="29" t="n">
        <v>0</v>
      </c>
      <c r="Q1769" s="29" t="n">
        <v>0</v>
      </c>
      <c r="R1769" s="29" t="n">
        <v>0</v>
      </c>
      <c r="S1769" s="29" t="n">
        <v>0</v>
      </c>
      <c r="T1769" t="inlineStr">
        <is>
          <t>25250726975620000130570010000047091000000005</t>
        </is>
      </c>
      <c r="U1769" t="inlineStr">
        <is>
          <t>Não</t>
        </is>
      </c>
    </row>
    <row r="1770">
      <c r="A1770" t="inlineStr">
        <is>
          <t>Frete de venda</t>
        </is>
      </c>
      <c r="B1770" t="inlineStr">
        <is>
          <t>2.01.02 Frete sobre Vendas</t>
        </is>
      </c>
      <c r="C1770" t="inlineStr">
        <is>
          <t>Antes de 2026</t>
        </is>
      </c>
      <c r="D1770" t="inlineStr">
        <is>
          <t>Antes de 2026</t>
        </is>
      </c>
      <c r="E1770" s="28" t="n">
        <v>45860</v>
      </c>
      <c r="F1770" t="inlineStr">
        <is>
          <t>CT-e</t>
        </is>
      </c>
      <c r="G1770" t="inlineStr">
        <is>
          <t>000004710</t>
        </is>
      </c>
      <c r="H1770" t="inlineStr">
        <is>
          <t>R&amp;R TRANSPORTE E LOGISTICA</t>
        </is>
      </c>
      <c r="J1770" s="29" t="n">
        <v>26.91</v>
      </c>
      <c r="K1770" s="29">
        <f>(1-ISNUMBER(SEARCH("556",M1770)))*(O1770*SUMIFS(Premissas!$C$5:$C$44,Premissas!$A$5:$A$44,$A1770,Premissas!$B$5:$B$44,$B1770)+P1770*SUMIFS(Premissas!$D$5:$D$44,Premissas!$A$5:$A$44,$A1770,Premissas!$B$5:$B$44,$B1770))+R1770*SUMIFS(Premissas!$E$5:$E$44,Premissas!$A$5:$A$44,$A1770,Premissas!$B$5:$B$44,$B1770)+S1770*SUMIFS(Premissas!$F$5:$F$44,Premissas!$A$5:$A$44,$A1770,Premissas!$B$5:$B$44,$B1770)</f>
        <v/>
      </c>
      <c r="L1770" s="29">
        <f>J1770-K1770</f>
        <v/>
      </c>
      <c r="M1770" t="inlineStr">
        <is>
          <t>1.350</t>
        </is>
      </c>
      <c r="N1770" t="inlineStr">
        <is>
          <t>Modalidade: 0 - Por conta do remetente | Parte: GUILHERME DE PAULA SOARES ALVES BARBOSA (33.533.915/0001-11)</t>
        </is>
      </c>
      <c r="O1770" s="29" t="n">
        <v>0</v>
      </c>
      <c r="P1770" s="29" t="n">
        <v>0</v>
      </c>
      <c r="Q1770" s="29" t="n">
        <v>0</v>
      </c>
      <c r="R1770" s="29" t="n">
        <v>0</v>
      </c>
      <c r="S1770" s="29" t="n">
        <v>0</v>
      </c>
      <c r="T1770" t="inlineStr">
        <is>
          <t>25250726975620000130570010000047101000000006</t>
        </is>
      </c>
      <c r="U1770" t="inlineStr">
        <is>
          <t>Não</t>
        </is>
      </c>
    </row>
    <row r="1771">
      <c r="A1771" t="inlineStr">
        <is>
          <t>Frete de venda</t>
        </is>
      </c>
      <c r="B1771" t="inlineStr">
        <is>
          <t>2.01.02 Frete sobre Vendas</t>
        </is>
      </c>
      <c r="C1771" t="inlineStr">
        <is>
          <t>Antes de 2026</t>
        </is>
      </c>
      <c r="D1771" t="inlineStr">
        <is>
          <t>Antes de 2026</t>
        </is>
      </c>
      <c r="E1771" s="28" t="n">
        <v>45860</v>
      </c>
      <c r="F1771" t="inlineStr">
        <is>
          <t>CT-e</t>
        </is>
      </c>
      <c r="G1771" t="inlineStr">
        <is>
          <t>000004711</t>
        </is>
      </c>
      <c r="H1771" t="inlineStr">
        <is>
          <t>R&amp;R TRANSPORTE E LOGISTICA</t>
        </is>
      </c>
      <c r="J1771" s="29" t="n">
        <v>31.38</v>
      </c>
      <c r="K1771" s="29">
        <f>(1-ISNUMBER(SEARCH("556",M1771)))*(O1771*SUMIFS(Premissas!$C$5:$C$44,Premissas!$A$5:$A$44,$A1771,Premissas!$B$5:$B$44,$B1771)+P1771*SUMIFS(Premissas!$D$5:$D$44,Premissas!$A$5:$A$44,$A1771,Premissas!$B$5:$B$44,$B1771))+R1771*SUMIFS(Premissas!$E$5:$E$44,Premissas!$A$5:$A$44,$A1771,Premissas!$B$5:$B$44,$B1771)+S1771*SUMIFS(Premissas!$F$5:$F$44,Premissas!$A$5:$A$44,$A1771,Premissas!$B$5:$B$44,$B1771)</f>
        <v/>
      </c>
      <c r="L1771" s="29">
        <f>J1771-K1771</f>
        <v/>
      </c>
      <c r="M1771" t="inlineStr">
        <is>
          <t>1.350</t>
        </is>
      </c>
      <c r="N1771" t="inlineStr">
        <is>
          <t>Modalidade: 0 - Por conta do remetente | Parte: PADUA EMBALAGENS E DESCARTAVEIS LTDA (29.312.016/0001-11)</t>
        </is>
      </c>
      <c r="O1771" s="29" t="n">
        <v>0</v>
      </c>
      <c r="P1771" s="29" t="n">
        <v>0</v>
      </c>
      <c r="Q1771" s="29" t="n">
        <v>0</v>
      </c>
      <c r="R1771" s="29" t="n">
        <v>0</v>
      </c>
      <c r="S1771" s="29" t="n">
        <v>0</v>
      </c>
      <c r="T1771" t="inlineStr">
        <is>
          <t>25250726975620000130570010000047111000000003</t>
        </is>
      </c>
      <c r="U1771" t="inlineStr">
        <is>
          <t>Não</t>
        </is>
      </c>
    </row>
    <row r="1772">
      <c r="A1772" t="inlineStr">
        <is>
          <t>Frete de venda</t>
        </is>
      </c>
      <c r="B1772" t="inlineStr">
        <is>
          <t>2.01.02 Frete sobre Vendas</t>
        </is>
      </c>
      <c r="C1772" t="inlineStr">
        <is>
          <t>Antes de 2026</t>
        </is>
      </c>
      <c r="D1772" t="inlineStr">
        <is>
          <t>Antes de 2026</t>
        </is>
      </c>
      <c r="E1772" s="28" t="n">
        <v>45860</v>
      </c>
      <c r="F1772" t="inlineStr">
        <is>
          <t>CT-e</t>
        </is>
      </c>
      <c r="G1772" t="inlineStr">
        <is>
          <t>000004712</t>
        </is>
      </c>
      <c r="H1772" t="inlineStr">
        <is>
          <t>R&amp;R TRANSPORTE E LOGISTICA</t>
        </is>
      </c>
      <c r="J1772" s="29" t="n">
        <v>28.77</v>
      </c>
      <c r="K1772" s="29">
        <f>(1-ISNUMBER(SEARCH("556",M1772)))*(O1772*SUMIFS(Premissas!$C$5:$C$44,Premissas!$A$5:$A$44,$A1772,Premissas!$B$5:$B$44,$B1772)+P1772*SUMIFS(Premissas!$D$5:$D$44,Premissas!$A$5:$A$44,$A1772,Premissas!$B$5:$B$44,$B1772))+R1772*SUMIFS(Premissas!$E$5:$E$44,Premissas!$A$5:$A$44,$A1772,Premissas!$B$5:$B$44,$B1772)+S1772*SUMIFS(Premissas!$F$5:$F$44,Premissas!$A$5:$A$44,$A1772,Premissas!$B$5:$B$44,$B1772)</f>
        <v/>
      </c>
      <c r="L1772" s="29">
        <f>J1772-K1772</f>
        <v/>
      </c>
      <c r="M1772" t="inlineStr">
        <is>
          <t>1.350</t>
        </is>
      </c>
      <c r="N1772" t="inlineStr">
        <is>
          <t>Modalidade: 0 - Por conta do remetente | Parte: LD DISTRIBUIDORA DE EMBALAGENS LTDA (54.582.388/0001-05)</t>
        </is>
      </c>
      <c r="O1772" s="29" t="n">
        <v>0</v>
      </c>
      <c r="P1772" s="29" t="n">
        <v>0</v>
      </c>
      <c r="Q1772" s="29" t="n">
        <v>0</v>
      </c>
      <c r="R1772" s="29" t="n">
        <v>0</v>
      </c>
      <c r="S1772" s="29" t="n">
        <v>0</v>
      </c>
      <c r="T1772" t="inlineStr">
        <is>
          <t>25250726975620000130570010000047121000000000</t>
        </is>
      </c>
      <c r="U1772" t="inlineStr">
        <is>
          <t>Não</t>
        </is>
      </c>
    </row>
    <row r="1773">
      <c r="A1773" t="inlineStr">
        <is>
          <t>Frete de venda</t>
        </is>
      </c>
      <c r="B1773" t="inlineStr">
        <is>
          <t>2.01.02 Frete sobre Vendas</t>
        </is>
      </c>
      <c r="C1773" t="inlineStr">
        <is>
          <t>Antes de 2026</t>
        </is>
      </c>
      <c r="D1773" t="inlineStr">
        <is>
          <t>Antes de 2026</t>
        </is>
      </c>
      <c r="E1773" s="28" t="n">
        <v>45860</v>
      </c>
      <c r="F1773" t="inlineStr">
        <is>
          <t>CT-e</t>
        </is>
      </c>
      <c r="G1773" t="inlineStr">
        <is>
          <t>000004713</t>
        </is>
      </c>
      <c r="H1773" t="inlineStr">
        <is>
          <t>R&amp;R TRANSPORTE E LOGISTICA</t>
        </is>
      </c>
      <c r="J1773" s="29" t="n">
        <v>32.86</v>
      </c>
      <c r="K1773" s="29">
        <f>(1-ISNUMBER(SEARCH("556",M1773)))*(O1773*SUMIFS(Premissas!$C$5:$C$44,Premissas!$A$5:$A$44,$A1773,Premissas!$B$5:$B$44,$B1773)+P1773*SUMIFS(Premissas!$D$5:$D$44,Premissas!$A$5:$A$44,$A1773,Premissas!$B$5:$B$44,$B1773))+R1773*SUMIFS(Premissas!$E$5:$E$44,Premissas!$A$5:$A$44,$A1773,Premissas!$B$5:$B$44,$B1773)+S1773*SUMIFS(Premissas!$F$5:$F$44,Premissas!$A$5:$A$44,$A1773,Premissas!$B$5:$B$44,$B1773)</f>
        <v/>
      </c>
      <c r="L1773" s="29">
        <f>J1773-K1773</f>
        <v/>
      </c>
      <c r="M1773" t="inlineStr">
        <is>
          <t>1.350</t>
        </is>
      </c>
      <c r="N1773" t="inlineStr">
        <is>
          <t>Modalidade: 0 - Por conta do remetente | Parte: CASA DAS EMBALAGENS OLIVEIRA LTDA (09.016.431/0001-10)</t>
        </is>
      </c>
      <c r="O1773" s="29" t="n">
        <v>0</v>
      </c>
      <c r="P1773" s="29" t="n">
        <v>0</v>
      </c>
      <c r="Q1773" s="29" t="n">
        <v>0</v>
      </c>
      <c r="R1773" s="29" t="n">
        <v>0</v>
      </c>
      <c r="S1773" s="29" t="n">
        <v>0</v>
      </c>
      <c r="T1773" t="inlineStr">
        <is>
          <t>25250726975620000130570010000047131000000008</t>
        </is>
      </c>
      <c r="U1773" t="inlineStr">
        <is>
          <t>Não</t>
        </is>
      </c>
    </row>
    <row r="1774">
      <c r="A1774" t="inlineStr">
        <is>
          <t>Frete de venda</t>
        </is>
      </c>
      <c r="B1774" t="inlineStr">
        <is>
          <t>2.01.02 Frete sobre Vendas</t>
        </is>
      </c>
      <c r="C1774" t="inlineStr">
        <is>
          <t>Antes de 2026</t>
        </is>
      </c>
      <c r="D1774" t="inlineStr">
        <is>
          <t>Antes de 2026</t>
        </is>
      </c>
      <c r="E1774" s="28" t="n">
        <v>45861</v>
      </c>
      <c r="F1774" t="inlineStr">
        <is>
          <t>CT-e</t>
        </is>
      </c>
      <c r="G1774" t="inlineStr">
        <is>
          <t>000004717</t>
        </is>
      </c>
      <c r="H1774" t="inlineStr">
        <is>
          <t>R&amp;R TRANSPORTE E LOGISTICA</t>
        </is>
      </c>
      <c r="J1774" s="29" t="n">
        <v>450</v>
      </c>
      <c r="K1774" s="29">
        <f>(1-ISNUMBER(SEARCH("556",M1774)))*(O1774*SUMIFS(Premissas!$C$5:$C$44,Premissas!$A$5:$A$44,$A1774,Premissas!$B$5:$B$44,$B1774)+P1774*SUMIFS(Premissas!$D$5:$D$44,Premissas!$A$5:$A$44,$A1774,Premissas!$B$5:$B$44,$B1774))+R1774*SUMIFS(Premissas!$E$5:$E$44,Premissas!$A$5:$A$44,$A1774,Premissas!$B$5:$B$44,$B1774)+S1774*SUMIFS(Premissas!$F$5:$F$44,Premissas!$A$5:$A$44,$A1774,Premissas!$B$5:$B$44,$B1774)</f>
        <v/>
      </c>
      <c r="L1774" s="29">
        <f>J1774-K1774</f>
        <v/>
      </c>
      <c r="M1774" t="inlineStr">
        <is>
          <t>1.350</t>
        </is>
      </c>
      <c r="N1774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1774" s="29" t="n">
        <v>0</v>
      </c>
      <c r="P1774" s="29" t="n">
        <v>0</v>
      </c>
      <c r="Q1774" s="29" t="n">
        <v>0</v>
      </c>
      <c r="R1774" s="29" t="n">
        <v>0</v>
      </c>
      <c r="S1774" s="29" t="n">
        <v>0</v>
      </c>
      <c r="T1774" t="inlineStr">
        <is>
          <t>25250726975620000130570010000047171000000007</t>
        </is>
      </c>
      <c r="U1774" t="inlineStr">
        <is>
          <t>Não</t>
        </is>
      </c>
    </row>
    <row r="1775">
      <c r="A1775" t="inlineStr">
        <is>
          <t>Frete de venda</t>
        </is>
      </c>
      <c r="B1775" t="inlineStr">
        <is>
          <t>2.01.02 Frete sobre Vendas</t>
        </is>
      </c>
      <c r="C1775" t="inlineStr">
        <is>
          <t>Antes de 2026</t>
        </is>
      </c>
      <c r="D1775" t="inlineStr">
        <is>
          <t>Antes de 2026</t>
        </is>
      </c>
      <c r="E1775" s="28" t="n">
        <v>45861</v>
      </c>
      <c r="F1775" t="inlineStr">
        <is>
          <t>CT-e</t>
        </is>
      </c>
      <c r="G1775" t="inlineStr">
        <is>
          <t>000004718</t>
        </is>
      </c>
      <c r="H1775" t="inlineStr">
        <is>
          <t>R&amp;R TRANSPORTE E LOGISTICA</t>
        </is>
      </c>
      <c r="J1775" s="29" t="n">
        <v>139.78</v>
      </c>
      <c r="K1775" s="29">
        <f>(1-ISNUMBER(SEARCH("556",M1775)))*(O1775*SUMIFS(Premissas!$C$5:$C$44,Premissas!$A$5:$A$44,$A1775,Premissas!$B$5:$B$44,$B1775)+P1775*SUMIFS(Premissas!$D$5:$D$44,Premissas!$A$5:$A$44,$A1775,Premissas!$B$5:$B$44,$B1775))+R1775*SUMIFS(Premissas!$E$5:$E$44,Premissas!$A$5:$A$44,$A1775,Premissas!$B$5:$B$44,$B1775)+S1775*SUMIFS(Premissas!$F$5:$F$44,Premissas!$A$5:$A$44,$A1775,Premissas!$B$5:$B$44,$B1775)</f>
        <v/>
      </c>
      <c r="L1775" s="29">
        <f>J1775-K1775</f>
        <v/>
      </c>
      <c r="M1775" t="inlineStr">
        <is>
          <t>1.350</t>
        </is>
      </c>
      <c r="N1775" t="inlineStr">
        <is>
          <t>Modalidade: 0 - Por conta do remetente | Parte: RFC COMERCIO DE MIUDEZAS LTDA (26.514.797/0004-81)</t>
        </is>
      </c>
      <c r="O1775" s="29" t="n">
        <v>0</v>
      </c>
      <c r="P1775" s="29" t="n">
        <v>0</v>
      </c>
      <c r="Q1775" s="29" t="n">
        <v>0</v>
      </c>
      <c r="R1775" s="29" t="n">
        <v>0</v>
      </c>
      <c r="S1775" s="29" t="n">
        <v>0</v>
      </c>
      <c r="T1775" t="inlineStr">
        <is>
          <t>25250726975620000130570010000047181000000004</t>
        </is>
      </c>
      <c r="U1775" t="inlineStr">
        <is>
          <t>Não</t>
        </is>
      </c>
    </row>
    <row r="1776">
      <c r="A1776" t="inlineStr">
        <is>
          <t>Frete de venda</t>
        </is>
      </c>
      <c r="B1776" t="inlineStr">
        <is>
          <t>2.01.02 Frete sobre Vendas</t>
        </is>
      </c>
      <c r="C1776" t="inlineStr">
        <is>
          <t>Antes de 2026</t>
        </is>
      </c>
      <c r="D1776" t="inlineStr">
        <is>
          <t>Antes de 2026</t>
        </is>
      </c>
      <c r="E1776" s="28" t="n">
        <v>45861</v>
      </c>
      <c r="F1776" t="inlineStr">
        <is>
          <t>CT-e</t>
        </is>
      </c>
      <c r="G1776" t="inlineStr">
        <is>
          <t>000004719</t>
        </is>
      </c>
      <c r="H1776" t="inlineStr">
        <is>
          <t>R&amp;R TRANSPORTE E LOGISTICA</t>
        </is>
      </c>
      <c r="J1776" s="29" t="n">
        <v>55.67</v>
      </c>
      <c r="K1776" s="29">
        <f>(1-ISNUMBER(SEARCH("556",M1776)))*(O1776*SUMIFS(Premissas!$C$5:$C$44,Premissas!$A$5:$A$44,$A1776,Premissas!$B$5:$B$44,$B1776)+P1776*SUMIFS(Premissas!$D$5:$D$44,Premissas!$A$5:$A$44,$A1776,Premissas!$B$5:$B$44,$B1776))+R1776*SUMIFS(Premissas!$E$5:$E$44,Premissas!$A$5:$A$44,$A1776,Premissas!$B$5:$B$44,$B1776)+S1776*SUMIFS(Premissas!$F$5:$F$44,Premissas!$A$5:$A$44,$A1776,Premissas!$B$5:$B$44,$B1776)</f>
        <v/>
      </c>
      <c r="L1776" s="29">
        <f>J1776-K1776</f>
        <v/>
      </c>
      <c r="M1776" t="inlineStr">
        <is>
          <t>1.350</t>
        </is>
      </c>
      <c r="N1776" t="inlineStr">
        <is>
          <t>Modalidade: 0 - Por conta do remetente | Parte: A C CAMPOS SOARES VIANA LTDA (01.513.007/0001-70)</t>
        </is>
      </c>
      <c r="O1776" s="29" t="n">
        <v>0</v>
      </c>
      <c r="P1776" s="29" t="n">
        <v>0</v>
      </c>
      <c r="Q1776" s="29" t="n">
        <v>0</v>
      </c>
      <c r="R1776" s="29" t="n">
        <v>0</v>
      </c>
      <c r="S1776" s="29" t="n">
        <v>0</v>
      </c>
      <c r="T1776" t="inlineStr">
        <is>
          <t>25250726975620000130570010000047191000000001</t>
        </is>
      </c>
      <c r="U1776" t="inlineStr">
        <is>
          <t>Não</t>
        </is>
      </c>
    </row>
    <row r="1777">
      <c r="A1777" t="inlineStr">
        <is>
          <t>Frete de venda</t>
        </is>
      </c>
      <c r="B1777" t="inlineStr">
        <is>
          <t>2.01.02 Frete sobre Vendas</t>
        </is>
      </c>
      <c r="C1777" t="inlineStr">
        <is>
          <t>Antes de 2026</t>
        </is>
      </c>
      <c r="D1777" t="inlineStr">
        <is>
          <t>Antes de 2026</t>
        </is>
      </c>
      <c r="E1777" s="28" t="n">
        <v>45861</v>
      </c>
      <c r="F1777" t="inlineStr">
        <is>
          <t>CT-e</t>
        </is>
      </c>
      <c r="G1777" t="inlineStr">
        <is>
          <t>000004720</t>
        </is>
      </c>
      <c r="H1777" t="inlineStr">
        <is>
          <t>R&amp;R TRANSPORTE E LOGISTICA</t>
        </is>
      </c>
      <c r="J1777" s="29" t="n">
        <v>58.04</v>
      </c>
      <c r="K1777" s="29">
        <f>(1-ISNUMBER(SEARCH("556",M1777)))*(O1777*SUMIFS(Premissas!$C$5:$C$44,Premissas!$A$5:$A$44,$A1777,Premissas!$B$5:$B$44,$B1777)+P1777*SUMIFS(Premissas!$D$5:$D$44,Premissas!$A$5:$A$44,$A1777,Premissas!$B$5:$B$44,$B1777))+R1777*SUMIFS(Premissas!$E$5:$E$44,Premissas!$A$5:$A$44,$A1777,Premissas!$B$5:$B$44,$B1777)+S1777*SUMIFS(Premissas!$F$5:$F$44,Premissas!$A$5:$A$44,$A1777,Premissas!$B$5:$B$44,$B1777)</f>
        <v/>
      </c>
      <c r="L1777" s="29">
        <f>J1777-K1777</f>
        <v/>
      </c>
      <c r="M1777" t="inlineStr">
        <is>
          <t>1.350</t>
        </is>
      </c>
      <c r="N1777" t="inlineStr">
        <is>
          <t>Modalidade: 0 - Por conta do remetente | Parte: CAMPEAO 2010 DAS EMBALAGENS LTDA (12.039.358/0002-98)</t>
        </is>
      </c>
      <c r="O1777" s="29" t="n">
        <v>0</v>
      </c>
      <c r="P1777" s="29" t="n">
        <v>0</v>
      </c>
      <c r="Q1777" s="29" t="n">
        <v>0</v>
      </c>
      <c r="R1777" s="29" t="n">
        <v>0</v>
      </c>
      <c r="S1777" s="29" t="n">
        <v>0</v>
      </c>
      <c r="T1777" t="inlineStr">
        <is>
          <t>25250726975620000130570010000047201000000002</t>
        </is>
      </c>
      <c r="U1777" t="inlineStr">
        <is>
          <t>Não</t>
        </is>
      </c>
    </row>
    <row r="1778">
      <c r="A1778" t="inlineStr">
        <is>
          <t>Frete de venda</t>
        </is>
      </c>
      <c r="B1778" t="inlineStr">
        <is>
          <t>2.01.02 Frete sobre Vendas</t>
        </is>
      </c>
      <c r="C1778" t="inlineStr">
        <is>
          <t>Antes de 2026</t>
        </is>
      </c>
      <c r="D1778" t="inlineStr">
        <is>
          <t>Antes de 2026</t>
        </is>
      </c>
      <c r="E1778" s="28" t="n">
        <v>45861</v>
      </c>
      <c r="F1778" t="inlineStr">
        <is>
          <t>CT-e</t>
        </is>
      </c>
      <c r="G1778" t="inlineStr">
        <is>
          <t>000004721</t>
        </is>
      </c>
      <c r="H1778" t="inlineStr">
        <is>
          <t>R&amp;R TRANSPORTE E LOGISTICA</t>
        </is>
      </c>
      <c r="J1778" s="29" t="n">
        <v>46.87</v>
      </c>
      <c r="K1778" s="29">
        <f>(1-ISNUMBER(SEARCH("556",M1778)))*(O1778*SUMIFS(Premissas!$C$5:$C$44,Premissas!$A$5:$A$44,$A1778,Premissas!$B$5:$B$44,$B1778)+P1778*SUMIFS(Premissas!$D$5:$D$44,Premissas!$A$5:$A$44,$A1778,Premissas!$B$5:$B$44,$B1778))+R1778*SUMIFS(Premissas!$E$5:$E$44,Premissas!$A$5:$A$44,$A1778,Premissas!$B$5:$B$44,$B1778)+S1778*SUMIFS(Premissas!$F$5:$F$44,Premissas!$A$5:$A$44,$A1778,Premissas!$B$5:$B$44,$B1778)</f>
        <v/>
      </c>
      <c r="L1778" s="29">
        <f>J1778-K1778</f>
        <v/>
      </c>
      <c r="M1778" t="inlineStr">
        <is>
          <t>1.350</t>
        </is>
      </c>
      <c r="N1778" t="inlineStr">
        <is>
          <t>Modalidade: 0 - Por conta do remetente | Parte: CACUIA COMERCIO DE PRODUTOS DESCARTAVEIS E MERCEARIA LTDA (39.798.441/0001-16)</t>
        </is>
      </c>
      <c r="O1778" s="29" t="n">
        <v>0</v>
      </c>
      <c r="P1778" s="29" t="n">
        <v>0</v>
      </c>
      <c r="Q1778" s="29" t="n">
        <v>0</v>
      </c>
      <c r="R1778" s="29" t="n">
        <v>0</v>
      </c>
      <c r="S1778" s="29" t="n">
        <v>0</v>
      </c>
      <c r="T1778" t="inlineStr">
        <is>
          <t>25250726975620000130570010000047211000000000</t>
        </is>
      </c>
      <c r="U1778" t="inlineStr">
        <is>
          <t>Não</t>
        </is>
      </c>
    </row>
    <row r="1779">
      <c r="A1779" t="inlineStr">
        <is>
          <t>Frete de venda</t>
        </is>
      </c>
      <c r="B1779" t="inlineStr">
        <is>
          <t>2.01.02 Frete sobre Vendas</t>
        </is>
      </c>
      <c r="C1779" t="inlineStr">
        <is>
          <t>Antes de 2026</t>
        </is>
      </c>
      <c r="D1779" t="inlineStr">
        <is>
          <t>Antes de 2026</t>
        </is>
      </c>
      <c r="E1779" s="28" t="n">
        <v>45861</v>
      </c>
      <c r="F1779" t="inlineStr">
        <is>
          <t>CT-e</t>
        </is>
      </c>
      <c r="G1779" t="inlineStr">
        <is>
          <t>000004722</t>
        </is>
      </c>
      <c r="H1779" t="inlineStr">
        <is>
          <t>R&amp;R TRANSPORTE E LOGISTICA</t>
        </is>
      </c>
      <c r="J1779" s="29" t="n">
        <v>49.73</v>
      </c>
      <c r="K1779" s="29">
        <f>(1-ISNUMBER(SEARCH("556",M1779)))*(O1779*SUMIFS(Premissas!$C$5:$C$44,Premissas!$A$5:$A$44,$A1779,Premissas!$B$5:$B$44,$B1779)+P1779*SUMIFS(Premissas!$D$5:$D$44,Premissas!$A$5:$A$44,$A1779,Premissas!$B$5:$B$44,$B1779))+R1779*SUMIFS(Premissas!$E$5:$E$44,Premissas!$A$5:$A$44,$A1779,Premissas!$B$5:$B$44,$B1779)+S1779*SUMIFS(Premissas!$F$5:$F$44,Premissas!$A$5:$A$44,$A1779,Premissas!$B$5:$B$44,$B1779)</f>
        <v/>
      </c>
      <c r="L1779" s="29">
        <f>J1779-K1779</f>
        <v/>
      </c>
      <c r="M1779" t="inlineStr">
        <is>
          <t>1.350</t>
        </is>
      </c>
      <c r="N1779" t="inlineStr">
        <is>
          <t>Modalidade: 0 - Por conta do remetente | Parte: MATRIX UNIVERSAL LTDA (10.637.293/0001-76)</t>
        </is>
      </c>
      <c r="O1779" s="29" t="n">
        <v>0</v>
      </c>
      <c r="P1779" s="29" t="n">
        <v>0</v>
      </c>
      <c r="Q1779" s="29" t="n">
        <v>0</v>
      </c>
      <c r="R1779" s="29" t="n">
        <v>0</v>
      </c>
      <c r="S1779" s="29" t="n">
        <v>0</v>
      </c>
      <c r="T1779" t="inlineStr">
        <is>
          <t>25250726975620000130570010000047221000000007</t>
        </is>
      </c>
      <c r="U1779" t="inlineStr">
        <is>
          <t>Não</t>
        </is>
      </c>
    </row>
    <row r="1780">
      <c r="A1780" t="inlineStr">
        <is>
          <t>Frete de venda</t>
        </is>
      </c>
      <c r="B1780" t="inlineStr">
        <is>
          <t>2.01.02 Frete sobre Vendas</t>
        </is>
      </c>
      <c r="C1780" t="inlineStr">
        <is>
          <t>Antes de 2026</t>
        </is>
      </c>
      <c r="D1780" t="inlineStr">
        <is>
          <t>Antes de 2026</t>
        </is>
      </c>
      <c r="E1780" s="28" t="n">
        <v>45862</v>
      </c>
      <c r="F1780" t="inlineStr">
        <is>
          <t>CT-e</t>
        </is>
      </c>
      <c r="G1780" t="inlineStr">
        <is>
          <t>000004729</t>
        </is>
      </c>
      <c r="H1780" t="inlineStr">
        <is>
          <t>R&amp;R TRANSPORTE E LOGISTICA</t>
        </is>
      </c>
      <c r="J1780" s="29" t="n">
        <v>30</v>
      </c>
      <c r="K1780" s="29">
        <f>(1-ISNUMBER(SEARCH("556",M1780)))*(O1780*SUMIFS(Premissas!$C$5:$C$44,Premissas!$A$5:$A$44,$A1780,Premissas!$B$5:$B$44,$B1780)+P1780*SUMIFS(Premissas!$D$5:$D$44,Premissas!$A$5:$A$44,$A1780,Premissas!$B$5:$B$44,$B1780))+R1780*SUMIFS(Premissas!$E$5:$E$44,Premissas!$A$5:$A$44,$A1780,Premissas!$B$5:$B$44,$B1780)+S1780*SUMIFS(Premissas!$F$5:$F$44,Premissas!$A$5:$A$44,$A1780,Premissas!$B$5:$B$44,$B1780)</f>
        <v/>
      </c>
      <c r="L1780" s="29">
        <f>J1780-K1780</f>
        <v/>
      </c>
      <c r="M1780" t="inlineStr">
        <is>
          <t>1.350</t>
        </is>
      </c>
      <c r="N1780" t="inlineStr">
        <is>
          <t>Modalidade: 0 - Por conta do remetente | Parte: VLE COMERCIO DE EMBALAGENS E MATERIAL DE LIMPEZA LTDA (52.682.999/0001-08)</t>
        </is>
      </c>
      <c r="O1780" s="29" t="n">
        <v>0</v>
      </c>
      <c r="P1780" s="29" t="n">
        <v>0</v>
      </c>
      <c r="Q1780" s="29" t="n">
        <v>0</v>
      </c>
      <c r="R1780" s="29" t="n">
        <v>0</v>
      </c>
      <c r="S1780" s="29" t="n">
        <v>0</v>
      </c>
      <c r="T1780" t="inlineStr">
        <is>
          <t>25250726975620000130570010000047291000000008</t>
        </is>
      </c>
      <c r="U1780" t="inlineStr">
        <is>
          <t>Não</t>
        </is>
      </c>
    </row>
    <row r="1781">
      <c r="A1781" t="inlineStr">
        <is>
          <t>Frete de venda</t>
        </is>
      </c>
      <c r="B1781" t="inlineStr">
        <is>
          <t>2.01.02 Frete sobre Vendas</t>
        </is>
      </c>
      <c r="C1781" t="inlineStr">
        <is>
          <t>Antes de 2026</t>
        </is>
      </c>
      <c r="D1781" t="inlineStr">
        <is>
          <t>Antes de 2026</t>
        </is>
      </c>
      <c r="E1781" s="28" t="n">
        <v>45862</v>
      </c>
      <c r="F1781" t="inlineStr">
        <is>
          <t>CT-e</t>
        </is>
      </c>
      <c r="G1781" t="inlineStr">
        <is>
          <t>000004730</t>
        </is>
      </c>
      <c r="H1781" t="inlineStr">
        <is>
          <t>R&amp;R TRANSPORTE E LOGISTICA</t>
        </is>
      </c>
      <c r="J1781" s="29" t="n">
        <v>26</v>
      </c>
      <c r="K1781" s="29">
        <f>(1-ISNUMBER(SEARCH("556",M1781)))*(O1781*SUMIFS(Premissas!$C$5:$C$44,Premissas!$A$5:$A$44,$A1781,Premissas!$B$5:$B$44,$B1781)+P1781*SUMIFS(Premissas!$D$5:$D$44,Premissas!$A$5:$A$44,$A1781,Premissas!$B$5:$B$44,$B1781))+R1781*SUMIFS(Premissas!$E$5:$E$44,Premissas!$A$5:$A$44,$A1781,Premissas!$B$5:$B$44,$B1781)+S1781*SUMIFS(Premissas!$F$5:$F$44,Premissas!$A$5:$A$44,$A1781,Premissas!$B$5:$B$44,$B1781)</f>
        <v/>
      </c>
      <c r="L1781" s="29">
        <f>J1781-K1781</f>
        <v/>
      </c>
      <c r="M1781" t="inlineStr">
        <is>
          <t>1.350</t>
        </is>
      </c>
      <c r="N1781" t="inlineStr">
        <is>
          <t>Modalidade: 0 - Por conta do remetente | Parte: ALTO GIRO VALENTE EMBALAGENS E UTILIDADES LTDA (55.077.172/0001-55)</t>
        </is>
      </c>
      <c r="O1781" s="29" t="n">
        <v>0</v>
      </c>
      <c r="P1781" s="29" t="n">
        <v>0</v>
      </c>
      <c r="Q1781" s="29" t="n">
        <v>0</v>
      </c>
      <c r="R1781" s="29" t="n">
        <v>0</v>
      </c>
      <c r="S1781" s="29" t="n">
        <v>0</v>
      </c>
      <c r="T1781" t="inlineStr">
        <is>
          <t>25250726975620000130570010000047301000000009</t>
        </is>
      </c>
      <c r="U1781" t="inlineStr">
        <is>
          <t>Não</t>
        </is>
      </c>
    </row>
    <row r="1782">
      <c r="A1782" t="inlineStr">
        <is>
          <t>Frete de venda</t>
        </is>
      </c>
      <c r="B1782" t="inlineStr">
        <is>
          <t>2.01.02 Frete sobre Vendas</t>
        </is>
      </c>
      <c r="C1782" t="inlineStr">
        <is>
          <t>Antes de 2026</t>
        </is>
      </c>
      <c r="D1782" t="inlineStr">
        <is>
          <t>Antes de 2026</t>
        </is>
      </c>
      <c r="E1782" s="28" t="n">
        <v>45862</v>
      </c>
      <c r="F1782" t="inlineStr">
        <is>
          <t>CT-e</t>
        </is>
      </c>
      <c r="G1782" t="inlineStr">
        <is>
          <t>000004731</t>
        </is>
      </c>
      <c r="H1782" t="inlineStr">
        <is>
          <t>R&amp;R TRANSPORTE E LOGISTICA</t>
        </is>
      </c>
      <c r="J1782" s="29" t="n">
        <v>29</v>
      </c>
      <c r="K1782" s="29">
        <f>(1-ISNUMBER(SEARCH("556",M1782)))*(O1782*SUMIFS(Premissas!$C$5:$C$44,Premissas!$A$5:$A$44,$A1782,Premissas!$B$5:$B$44,$B1782)+P1782*SUMIFS(Premissas!$D$5:$D$44,Premissas!$A$5:$A$44,$A1782,Premissas!$B$5:$B$44,$B1782))+R1782*SUMIFS(Premissas!$E$5:$E$44,Premissas!$A$5:$A$44,$A1782,Premissas!$B$5:$B$44,$B1782)+S1782*SUMIFS(Premissas!$F$5:$F$44,Premissas!$A$5:$A$44,$A1782,Premissas!$B$5:$B$44,$B1782)</f>
        <v/>
      </c>
      <c r="L1782" s="29">
        <f>J1782-K1782</f>
        <v/>
      </c>
      <c r="M1782" t="inlineStr">
        <is>
          <t>1.350</t>
        </is>
      </c>
      <c r="N1782" t="inlineStr">
        <is>
          <t>Modalidade: 0 - Por conta do remetente | Parte: JOANICE COMERCIAL DE EMBALAGENS E CONFEITARIA LTDA (50.350.203/0001-86)</t>
        </is>
      </c>
      <c r="O1782" s="29" t="n">
        <v>0</v>
      </c>
      <c r="P1782" s="29" t="n">
        <v>0</v>
      </c>
      <c r="Q1782" s="29" t="n">
        <v>0</v>
      </c>
      <c r="R1782" s="29" t="n">
        <v>0</v>
      </c>
      <c r="S1782" s="29" t="n">
        <v>0</v>
      </c>
      <c r="T1782" t="inlineStr">
        <is>
          <t>25250726975620000130570010000047311000000006</t>
        </is>
      </c>
      <c r="U1782" t="inlineStr">
        <is>
          <t>Não</t>
        </is>
      </c>
    </row>
    <row r="1783">
      <c r="A1783" t="inlineStr">
        <is>
          <t>Frete de venda</t>
        </is>
      </c>
      <c r="B1783" t="inlineStr">
        <is>
          <t>2.01.02 Frete sobre Vendas</t>
        </is>
      </c>
      <c r="C1783" t="inlineStr">
        <is>
          <t>Antes de 2026</t>
        </is>
      </c>
      <c r="D1783" t="inlineStr">
        <is>
          <t>Antes de 2026</t>
        </is>
      </c>
      <c r="E1783" s="28" t="n">
        <v>45862</v>
      </c>
      <c r="F1783" t="inlineStr">
        <is>
          <t>CT-e</t>
        </is>
      </c>
      <c r="G1783" t="inlineStr">
        <is>
          <t>000004732</t>
        </is>
      </c>
      <c r="H1783" t="inlineStr">
        <is>
          <t>R&amp;R TRANSPORTE E LOGISTICA</t>
        </is>
      </c>
      <c r="J1783" s="29" t="n">
        <v>28</v>
      </c>
      <c r="K1783" s="29">
        <f>(1-ISNUMBER(SEARCH("556",M1783)))*(O1783*SUMIFS(Premissas!$C$5:$C$44,Premissas!$A$5:$A$44,$A1783,Premissas!$B$5:$B$44,$B1783)+P1783*SUMIFS(Premissas!$D$5:$D$44,Premissas!$A$5:$A$44,$A1783,Premissas!$B$5:$B$44,$B1783))+R1783*SUMIFS(Premissas!$E$5:$E$44,Premissas!$A$5:$A$44,$A1783,Premissas!$B$5:$B$44,$B1783)+S1783*SUMIFS(Premissas!$F$5:$F$44,Premissas!$A$5:$A$44,$A1783,Premissas!$B$5:$B$44,$B1783)</f>
        <v/>
      </c>
      <c r="L1783" s="29">
        <f>J1783-K1783</f>
        <v/>
      </c>
      <c r="M1783" t="inlineStr">
        <is>
          <t>1.350</t>
        </is>
      </c>
      <c r="N1783" t="inlineStr">
        <is>
          <t>Modalidade: 0 - Por conta do remetente | Parte: PSCP ATACADISTA, VAREJISTA DE EMBALAGENS, ALIMENTOS E VA... (00.139.108/0001-60)</t>
        </is>
      </c>
      <c r="O1783" s="29" t="n">
        <v>0</v>
      </c>
      <c r="P1783" s="29" t="n">
        <v>0</v>
      </c>
      <c r="Q1783" s="29" t="n">
        <v>0</v>
      </c>
      <c r="R1783" s="29" t="n">
        <v>0</v>
      </c>
      <c r="S1783" s="29" t="n">
        <v>0</v>
      </c>
      <c r="T1783" t="inlineStr">
        <is>
          <t>25250726975620000130570010000047321000000003</t>
        </is>
      </c>
      <c r="U1783" t="inlineStr">
        <is>
          <t>Não</t>
        </is>
      </c>
    </row>
    <row r="1784">
      <c r="A1784" t="inlineStr">
        <is>
          <t>Frete de venda</t>
        </is>
      </c>
      <c r="B1784" t="inlineStr">
        <is>
          <t>2.01.02 Frete sobre Vendas</t>
        </is>
      </c>
      <c r="C1784" t="inlineStr">
        <is>
          <t>Antes de 2026</t>
        </is>
      </c>
      <c r="D1784" t="inlineStr">
        <is>
          <t>Antes de 2026</t>
        </is>
      </c>
      <c r="E1784" s="28" t="n">
        <v>45862</v>
      </c>
      <c r="F1784" t="inlineStr">
        <is>
          <t>CT-e</t>
        </is>
      </c>
      <c r="G1784" t="inlineStr">
        <is>
          <t>000004733</t>
        </is>
      </c>
      <c r="H1784" t="inlineStr">
        <is>
          <t>R&amp;R TRANSPORTE E LOGISTICA</t>
        </is>
      </c>
      <c r="J1784" s="29" t="n">
        <v>25.45</v>
      </c>
      <c r="K1784" s="29">
        <f>(1-ISNUMBER(SEARCH("556",M1784)))*(O1784*SUMIFS(Premissas!$C$5:$C$44,Premissas!$A$5:$A$44,$A1784,Premissas!$B$5:$B$44,$B1784)+P1784*SUMIFS(Premissas!$D$5:$D$44,Premissas!$A$5:$A$44,$A1784,Premissas!$B$5:$B$44,$B1784))+R1784*SUMIFS(Premissas!$E$5:$E$44,Premissas!$A$5:$A$44,$A1784,Premissas!$B$5:$B$44,$B1784)+S1784*SUMIFS(Premissas!$F$5:$F$44,Premissas!$A$5:$A$44,$A1784,Premissas!$B$5:$B$44,$B1784)</f>
        <v/>
      </c>
      <c r="L1784" s="29">
        <f>J1784-K1784</f>
        <v/>
      </c>
      <c r="M1784" t="inlineStr">
        <is>
          <t>1.350</t>
        </is>
      </c>
      <c r="N1784" t="inlineStr">
        <is>
          <t>Modalidade: 0 - Por conta do remetente | Parte: BA EMBALAGENS COM ATACADISTA DE EMBALAGENS E BOMBONIERI (09.048.003/0001-70)</t>
        </is>
      </c>
      <c r="O1784" s="29" t="n">
        <v>0</v>
      </c>
      <c r="P1784" s="29" t="n">
        <v>0</v>
      </c>
      <c r="Q1784" s="29" t="n">
        <v>0</v>
      </c>
      <c r="R1784" s="29" t="n">
        <v>0</v>
      </c>
      <c r="S1784" s="29" t="n">
        <v>0</v>
      </c>
      <c r="T1784" t="inlineStr">
        <is>
          <t>25250726975620000130570010000047331000000000</t>
        </is>
      </c>
      <c r="U1784" t="inlineStr">
        <is>
          <t>Não</t>
        </is>
      </c>
    </row>
    <row r="1785">
      <c r="A1785" t="inlineStr">
        <is>
          <t>Frete de venda</t>
        </is>
      </c>
      <c r="B1785" t="inlineStr">
        <is>
          <t>2.01.02 Frete sobre Vendas</t>
        </is>
      </c>
      <c r="C1785" t="inlineStr">
        <is>
          <t>Antes de 2026</t>
        </is>
      </c>
      <c r="D1785" t="inlineStr">
        <is>
          <t>Antes de 2026</t>
        </is>
      </c>
      <c r="E1785" s="28" t="n">
        <v>45862</v>
      </c>
      <c r="F1785" t="inlineStr">
        <is>
          <t>CT-e</t>
        </is>
      </c>
      <c r="G1785" t="inlineStr">
        <is>
          <t>000004734</t>
        </is>
      </c>
      <c r="H1785" t="inlineStr">
        <is>
          <t>R&amp;R TRANSPORTE E LOGISTICA</t>
        </is>
      </c>
      <c r="J1785" s="29" t="n">
        <v>39</v>
      </c>
      <c r="K1785" s="29">
        <f>(1-ISNUMBER(SEARCH("556",M1785)))*(O1785*SUMIFS(Premissas!$C$5:$C$44,Premissas!$A$5:$A$44,$A1785,Premissas!$B$5:$B$44,$B1785)+P1785*SUMIFS(Premissas!$D$5:$D$44,Premissas!$A$5:$A$44,$A1785,Premissas!$B$5:$B$44,$B1785))+R1785*SUMIFS(Premissas!$E$5:$E$44,Premissas!$A$5:$A$44,$A1785,Premissas!$B$5:$B$44,$B1785)+S1785*SUMIFS(Premissas!$F$5:$F$44,Premissas!$A$5:$A$44,$A1785,Premissas!$B$5:$B$44,$B1785)</f>
        <v/>
      </c>
      <c r="L1785" s="29">
        <f>J1785-K1785</f>
        <v/>
      </c>
      <c r="M1785" t="inlineStr">
        <is>
          <t>1.350</t>
        </is>
      </c>
      <c r="N1785" t="inlineStr">
        <is>
          <t>Modalidade: 0 - Por conta do remetente | Parte: ANA CAROL FESTAS LTDA (04.102.707/0001-60)</t>
        </is>
      </c>
      <c r="O1785" s="29" t="n">
        <v>0</v>
      </c>
      <c r="P1785" s="29" t="n">
        <v>0</v>
      </c>
      <c r="Q1785" s="29" t="n">
        <v>0</v>
      </c>
      <c r="R1785" s="29" t="n">
        <v>0</v>
      </c>
      <c r="S1785" s="29" t="n">
        <v>0</v>
      </c>
      <c r="T1785" t="inlineStr">
        <is>
          <t>25250726975620000130570010000047341000000008</t>
        </is>
      </c>
      <c r="U1785" t="inlineStr">
        <is>
          <t>Não</t>
        </is>
      </c>
    </row>
    <row r="1786">
      <c r="A1786" t="inlineStr">
        <is>
          <t>Frete de venda</t>
        </is>
      </c>
      <c r="B1786" t="inlineStr">
        <is>
          <t>2.01.02 Frete sobre Vendas</t>
        </is>
      </c>
      <c r="C1786" t="inlineStr">
        <is>
          <t>Antes de 2026</t>
        </is>
      </c>
      <c r="D1786" t="inlineStr">
        <is>
          <t>Antes de 2026</t>
        </is>
      </c>
      <c r="E1786" s="28" t="n">
        <v>45862</v>
      </c>
      <c r="F1786" t="inlineStr">
        <is>
          <t>CT-e</t>
        </is>
      </c>
      <c r="G1786" t="inlineStr">
        <is>
          <t>000004735</t>
        </is>
      </c>
      <c r="H1786" t="inlineStr">
        <is>
          <t>R&amp;R TRANSPORTE E LOGISTICA</t>
        </is>
      </c>
      <c r="J1786" s="29" t="n">
        <v>38</v>
      </c>
      <c r="K1786" s="29">
        <f>(1-ISNUMBER(SEARCH("556",M1786)))*(O1786*SUMIFS(Premissas!$C$5:$C$44,Premissas!$A$5:$A$44,$A1786,Premissas!$B$5:$B$44,$B1786)+P1786*SUMIFS(Premissas!$D$5:$D$44,Premissas!$A$5:$A$44,$A1786,Premissas!$B$5:$B$44,$B1786))+R1786*SUMIFS(Premissas!$E$5:$E$44,Premissas!$A$5:$A$44,$A1786,Premissas!$B$5:$B$44,$B1786)+S1786*SUMIFS(Premissas!$F$5:$F$44,Premissas!$A$5:$A$44,$A1786,Premissas!$B$5:$B$44,$B1786)</f>
        <v/>
      </c>
      <c r="L1786" s="29">
        <f>J1786-K1786</f>
        <v/>
      </c>
      <c r="M1786" t="inlineStr">
        <is>
          <t>1.350</t>
        </is>
      </c>
      <c r="N1786" t="inlineStr">
        <is>
          <t>Modalidade: 0 - Por conta do remetente | Parte: Confete artigos de festas ltda (50.469.373/0001-84)</t>
        </is>
      </c>
      <c r="O1786" s="29" t="n">
        <v>0</v>
      </c>
      <c r="P1786" s="29" t="n">
        <v>0</v>
      </c>
      <c r="Q1786" s="29" t="n">
        <v>0</v>
      </c>
      <c r="R1786" s="29" t="n">
        <v>0</v>
      </c>
      <c r="S1786" s="29" t="n">
        <v>0</v>
      </c>
      <c r="T1786" t="inlineStr">
        <is>
          <t>25250726975620000130570010000047351000000005</t>
        </is>
      </c>
      <c r="U1786" t="inlineStr">
        <is>
          <t>Não</t>
        </is>
      </c>
    </row>
    <row r="1787">
      <c r="A1787" t="inlineStr">
        <is>
          <t>Frete de venda</t>
        </is>
      </c>
      <c r="B1787" t="inlineStr">
        <is>
          <t>2.01.02 Frete sobre Vendas</t>
        </is>
      </c>
      <c r="C1787" t="inlineStr">
        <is>
          <t>Antes de 2026</t>
        </is>
      </c>
      <c r="D1787" t="inlineStr">
        <is>
          <t>Antes de 2026</t>
        </is>
      </c>
      <c r="E1787" s="28" t="n">
        <v>45862</v>
      </c>
      <c r="F1787" t="inlineStr">
        <is>
          <t>CT-e</t>
        </is>
      </c>
      <c r="G1787" t="inlineStr">
        <is>
          <t>000004736</t>
        </is>
      </c>
      <c r="H1787" t="inlineStr">
        <is>
          <t>R&amp;R TRANSPORTE E LOGISTICA</t>
        </is>
      </c>
      <c r="J1787" s="29" t="n">
        <v>37</v>
      </c>
      <c r="K1787" s="29">
        <f>(1-ISNUMBER(SEARCH("556",M1787)))*(O1787*SUMIFS(Premissas!$C$5:$C$44,Premissas!$A$5:$A$44,$A1787,Premissas!$B$5:$B$44,$B1787)+P1787*SUMIFS(Premissas!$D$5:$D$44,Premissas!$A$5:$A$44,$A1787,Premissas!$B$5:$B$44,$B1787))+R1787*SUMIFS(Premissas!$E$5:$E$44,Premissas!$A$5:$A$44,$A1787,Premissas!$B$5:$B$44,$B1787)+S1787*SUMIFS(Premissas!$F$5:$F$44,Premissas!$A$5:$A$44,$A1787,Premissas!$B$5:$B$44,$B1787)</f>
        <v/>
      </c>
      <c r="L1787" s="29">
        <f>J1787-K1787</f>
        <v/>
      </c>
      <c r="M1787" t="inlineStr">
        <is>
          <t>1.350</t>
        </is>
      </c>
      <c r="N1787" t="inlineStr">
        <is>
          <t>Modalidade: 0 - Por conta do remetente | Parte: E PEREIRA FELIX LTDA (42.909.364/0001-39)</t>
        </is>
      </c>
      <c r="O1787" s="29" t="n">
        <v>0</v>
      </c>
      <c r="P1787" s="29" t="n">
        <v>0</v>
      </c>
      <c r="Q1787" s="29" t="n">
        <v>0</v>
      </c>
      <c r="R1787" s="29" t="n">
        <v>0</v>
      </c>
      <c r="S1787" s="29" t="n">
        <v>0</v>
      </c>
      <c r="T1787" t="inlineStr">
        <is>
          <t>25250726975620000130570010000047361000000002</t>
        </is>
      </c>
      <c r="U1787" t="inlineStr">
        <is>
          <t>Não</t>
        </is>
      </c>
    </row>
    <row r="1788">
      <c r="A1788" t="inlineStr">
        <is>
          <t>Frete de venda</t>
        </is>
      </c>
      <c r="B1788" t="inlineStr">
        <is>
          <t>2.01.02 Frete sobre Vendas</t>
        </is>
      </c>
      <c r="C1788" t="inlineStr">
        <is>
          <t>Antes de 2026</t>
        </is>
      </c>
      <c r="D1788" t="inlineStr">
        <is>
          <t>Antes de 2026</t>
        </is>
      </c>
      <c r="E1788" s="28" t="n">
        <v>45863</v>
      </c>
      <c r="F1788" t="inlineStr">
        <is>
          <t>CT-e</t>
        </is>
      </c>
      <c r="G1788" t="inlineStr">
        <is>
          <t>000004737</t>
        </is>
      </c>
      <c r="H1788" t="inlineStr">
        <is>
          <t>R&amp;R TRANSPORTE E LOGISTICA</t>
        </is>
      </c>
      <c r="J1788" s="29" t="n">
        <v>46.4</v>
      </c>
      <c r="K1788" s="29">
        <f>(1-ISNUMBER(SEARCH("556",M1788)))*(O1788*SUMIFS(Premissas!$C$5:$C$44,Premissas!$A$5:$A$44,$A1788,Premissas!$B$5:$B$44,$B1788)+P1788*SUMIFS(Premissas!$D$5:$D$44,Premissas!$A$5:$A$44,$A1788,Premissas!$B$5:$B$44,$B1788))+R1788*SUMIFS(Premissas!$E$5:$E$44,Premissas!$A$5:$A$44,$A1788,Premissas!$B$5:$B$44,$B1788)+S1788*SUMIFS(Premissas!$F$5:$F$44,Premissas!$A$5:$A$44,$A1788,Premissas!$B$5:$B$44,$B1788)</f>
        <v/>
      </c>
      <c r="L1788" s="29">
        <f>J1788-K1788</f>
        <v/>
      </c>
      <c r="M1788" t="inlineStr">
        <is>
          <t>1.350</t>
        </is>
      </c>
      <c r="N1788" t="inlineStr">
        <is>
          <t>Modalidade: 0 - Por conta do remetente | Parte: ERINALDO VIEIRA LTDA (03.176.141/0002-39)</t>
        </is>
      </c>
      <c r="O1788" s="29" t="n">
        <v>0</v>
      </c>
      <c r="P1788" s="29" t="n">
        <v>0</v>
      </c>
      <c r="Q1788" s="29" t="n">
        <v>0</v>
      </c>
      <c r="R1788" s="29" t="n">
        <v>0</v>
      </c>
      <c r="S1788" s="29" t="n">
        <v>0</v>
      </c>
      <c r="T1788" t="inlineStr">
        <is>
          <t>25250726975620000130570010000047371000000000</t>
        </is>
      </c>
      <c r="U1788" t="inlineStr">
        <is>
          <t>Não</t>
        </is>
      </c>
    </row>
    <row r="1789">
      <c r="A1789" t="inlineStr">
        <is>
          <t>Frete de venda</t>
        </is>
      </c>
      <c r="B1789" t="inlineStr">
        <is>
          <t>2.01.02 Frete sobre Vendas</t>
        </is>
      </c>
      <c r="C1789" t="inlineStr">
        <is>
          <t>Antes de 2026</t>
        </is>
      </c>
      <c r="D1789" t="inlineStr">
        <is>
          <t>Antes de 2026</t>
        </is>
      </c>
      <c r="E1789" s="28" t="n">
        <v>45863</v>
      </c>
      <c r="F1789" t="inlineStr">
        <is>
          <t>CT-e</t>
        </is>
      </c>
      <c r="G1789" t="inlineStr">
        <is>
          <t>000004738</t>
        </is>
      </c>
      <c r="H1789" t="inlineStr">
        <is>
          <t>R&amp;R TRANSPORTE E LOGISTICA</t>
        </is>
      </c>
      <c r="J1789" s="29" t="n">
        <v>31.51</v>
      </c>
      <c r="K1789" s="29">
        <f>(1-ISNUMBER(SEARCH("556",M1789)))*(O1789*SUMIFS(Premissas!$C$5:$C$44,Premissas!$A$5:$A$44,$A1789,Premissas!$B$5:$B$44,$B1789)+P1789*SUMIFS(Premissas!$D$5:$D$44,Premissas!$A$5:$A$44,$A1789,Premissas!$B$5:$B$44,$B1789))+R1789*SUMIFS(Premissas!$E$5:$E$44,Premissas!$A$5:$A$44,$A1789,Premissas!$B$5:$B$44,$B1789)+S1789*SUMIFS(Premissas!$F$5:$F$44,Premissas!$A$5:$A$44,$A1789,Premissas!$B$5:$B$44,$B1789)</f>
        <v/>
      </c>
      <c r="L1789" s="29">
        <f>J1789-K1789</f>
        <v/>
      </c>
      <c r="M1789" t="inlineStr">
        <is>
          <t>1.350</t>
        </is>
      </c>
      <c r="N1789" t="inlineStr">
        <is>
          <t>Modalidade: 0 - Por conta do remetente | Parte: Reicosta comercio de embalagens e alimentos ltda (26.112.407/0001-02)</t>
        </is>
      </c>
      <c r="O1789" s="29" t="n">
        <v>0</v>
      </c>
      <c r="P1789" s="29" t="n">
        <v>0</v>
      </c>
      <c r="Q1789" s="29" t="n">
        <v>0</v>
      </c>
      <c r="R1789" s="29" t="n">
        <v>0</v>
      </c>
      <c r="S1789" s="29" t="n">
        <v>0</v>
      </c>
      <c r="T1789" t="inlineStr">
        <is>
          <t>25250726975620000130570010000047381000000007</t>
        </is>
      </c>
      <c r="U1789" t="inlineStr">
        <is>
          <t>Não</t>
        </is>
      </c>
    </row>
    <row r="1790">
      <c r="A1790" t="inlineStr">
        <is>
          <t>Frete de venda</t>
        </is>
      </c>
      <c r="B1790" t="inlineStr">
        <is>
          <t>2.01.02 Frete sobre Vendas</t>
        </is>
      </c>
      <c r="C1790" t="inlineStr">
        <is>
          <t>Antes de 2026</t>
        </is>
      </c>
      <c r="D1790" t="inlineStr">
        <is>
          <t>Antes de 2026</t>
        </is>
      </c>
      <c r="E1790" s="28" t="n">
        <v>45863</v>
      </c>
      <c r="F1790" t="inlineStr">
        <is>
          <t>CT-e</t>
        </is>
      </c>
      <c r="G1790" t="inlineStr">
        <is>
          <t>000004740</t>
        </is>
      </c>
      <c r="H1790" t="inlineStr">
        <is>
          <t>R&amp;R TRANSPORTE E LOGISTICA</t>
        </is>
      </c>
      <c r="J1790" s="29" t="n">
        <v>29.54</v>
      </c>
      <c r="K1790" s="29">
        <f>(1-ISNUMBER(SEARCH("556",M1790)))*(O1790*SUMIFS(Premissas!$C$5:$C$44,Premissas!$A$5:$A$44,$A1790,Premissas!$B$5:$B$44,$B1790)+P1790*SUMIFS(Premissas!$D$5:$D$44,Premissas!$A$5:$A$44,$A1790,Premissas!$B$5:$B$44,$B1790))+R1790*SUMIFS(Premissas!$E$5:$E$44,Premissas!$A$5:$A$44,$A1790,Premissas!$B$5:$B$44,$B1790)+S1790*SUMIFS(Premissas!$F$5:$F$44,Premissas!$A$5:$A$44,$A1790,Premissas!$B$5:$B$44,$B1790)</f>
        <v/>
      </c>
      <c r="L1790" s="29">
        <f>J1790-K1790</f>
        <v/>
      </c>
      <c r="M1790" t="inlineStr">
        <is>
          <t>1.350</t>
        </is>
      </c>
      <c r="N1790" t="inlineStr">
        <is>
          <t>Modalidade: 0 - Por conta do remetente | Parte: COMERCIAL LAPA LTDA (12.192.417/0001-82)</t>
        </is>
      </c>
      <c r="O1790" s="29" t="n">
        <v>0</v>
      </c>
      <c r="P1790" s="29" t="n">
        <v>0</v>
      </c>
      <c r="Q1790" s="29" t="n">
        <v>0</v>
      </c>
      <c r="R1790" s="29" t="n">
        <v>0</v>
      </c>
      <c r="S1790" s="29" t="n">
        <v>0</v>
      </c>
      <c r="T1790" t="inlineStr">
        <is>
          <t>25250726975620000130570010000047401000000005</t>
        </is>
      </c>
      <c r="U1790" t="inlineStr">
        <is>
          <t>Não</t>
        </is>
      </c>
    </row>
    <row r="1791">
      <c r="A1791" t="inlineStr">
        <is>
          <t>Frete de venda</t>
        </is>
      </c>
      <c r="B1791" t="inlineStr">
        <is>
          <t>2.01.02 Frete sobre Vendas</t>
        </is>
      </c>
      <c r="C1791" t="inlineStr">
        <is>
          <t>Antes de 2026</t>
        </is>
      </c>
      <c r="D1791" t="inlineStr">
        <is>
          <t>Antes de 2026</t>
        </is>
      </c>
      <c r="E1791" s="28" t="n">
        <v>45863</v>
      </c>
      <c r="F1791" t="inlineStr">
        <is>
          <t>CT-e</t>
        </is>
      </c>
      <c r="G1791" t="inlineStr">
        <is>
          <t>000004741</t>
        </is>
      </c>
      <c r="H1791" t="inlineStr">
        <is>
          <t>R&amp;R TRANSPORTE E LOGISTICA</t>
        </is>
      </c>
      <c r="J1791" s="29" t="n">
        <v>30.39</v>
      </c>
      <c r="K1791" s="29">
        <f>(1-ISNUMBER(SEARCH("556",M1791)))*(O1791*SUMIFS(Premissas!$C$5:$C$44,Premissas!$A$5:$A$44,$A1791,Premissas!$B$5:$B$44,$B1791)+P1791*SUMIFS(Premissas!$D$5:$D$44,Premissas!$A$5:$A$44,$A1791,Premissas!$B$5:$B$44,$B1791))+R1791*SUMIFS(Premissas!$E$5:$E$44,Premissas!$A$5:$A$44,$A1791,Premissas!$B$5:$B$44,$B1791)+S1791*SUMIFS(Premissas!$F$5:$F$44,Premissas!$A$5:$A$44,$A1791,Premissas!$B$5:$B$44,$B1791)</f>
        <v/>
      </c>
      <c r="L1791" s="29">
        <f>J1791-K1791</f>
        <v/>
      </c>
      <c r="M1791" t="inlineStr">
        <is>
          <t>1.350</t>
        </is>
      </c>
      <c r="N1791" t="inlineStr">
        <is>
          <t>Modalidade: 0 - Por conta do remetente | Parte: CARLOS SOARES DE ABREU (52.158.824/0001-98)</t>
        </is>
      </c>
      <c r="O1791" s="29" t="n">
        <v>0</v>
      </c>
      <c r="P1791" s="29" t="n">
        <v>0</v>
      </c>
      <c r="Q1791" s="29" t="n">
        <v>0</v>
      </c>
      <c r="R1791" s="29" t="n">
        <v>0</v>
      </c>
      <c r="S1791" s="29" t="n">
        <v>0</v>
      </c>
      <c r="T1791" t="inlineStr">
        <is>
          <t>25250726975620000130570010000047411000000002</t>
        </is>
      </c>
      <c r="U1791" t="inlineStr">
        <is>
          <t>Não</t>
        </is>
      </c>
    </row>
    <row r="1792">
      <c r="A1792" t="inlineStr">
        <is>
          <t>Frete de venda</t>
        </is>
      </c>
      <c r="B1792" t="inlineStr">
        <is>
          <t>2.01.02 Frete sobre Vendas</t>
        </is>
      </c>
      <c r="C1792" t="inlineStr">
        <is>
          <t>Antes de 2026</t>
        </is>
      </c>
      <c r="D1792" t="inlineStr">
        <is>
          <t>Antes de 2026</t>
        </is>
      </c>
      <c r="E1792" s="28" t="n">
        <v>45863</v>
      </c>
      <c r="F1792" t="inlineStr">
        <is>
          <t>CT-e</t>
        </is>
      </c>
      <c r="G1792" t="inlineStr">
        <is>
          <t>000004742</t>
        </is>
      </c>
      <c r="H1792" t="inlineStr">
        <is>
          <t>R&amp;R TRANSPORTE E LOGISTICA</t>
        </is>
      </c>
      <c r="J1792" s="29" t="n">
        <v>40.16</v>
      </c>
      <c r="K1792" s="29">
        <f>(1-ISNUMBER(SEARCH("556",M1792)))*(O1792*SUMIFS(Premissas!$C$5:$C$44,Premissas!$A$5:$A$44,$A1792,Premissas!$B$5:$B$44,$B1792)+P1792*SUMIFS(Premissas!$D$5:$D$44,Premissas!$A$5:$A$44,$A1792,Premissas!$B$5:$B$44,$B1792))+R1792*SUMIFS(Premissas!$E$5:$E$44,Premissas!$A$5:$A$44,$A1792,Premissas!$B$5:$B$44,$B1792)+S1792*SUMIFS(Premissas!$F$5:$F$44,Premissas!$A$5:$A$44,$A1792,Premissas!$B$5:$B$44,$B1792)</f>
        <v/>
      </c>
      <c r="L1792" s="29">
        <f>J1792-K1792</f>
        <v/>
      </c>
      <c r="M1792" t="inlineStr">
        <is>
          <t>1.350</t>
        </is>
      </c>
      <c r="N1792" t="inlineStr">
        <is>
          <t>Modalidade: 0 - Por conta do remetente | Parte: EDINALDO MATOS SANTA ROSA (30.651.989/0001-64)</t>
        </is>
      </c>
      <c r="O1792" s="29" t="n">
        <v>0</v>
      </c>
      <c r="P1792" s="29" t="n">
        <v>0</v>
      </c>
      <c r="Q1792" s="29" t="n">
        <v>0</v>
      </c>
      <c r="R1792" s="29" t="n">
        <v>0</v>
      </c>
      <c r="S1792" s="29" t="n">
        <v>0</v>
      </c>
      <c r="T1792" t="inlineStr">
        <is>
          <t>25250726975620000130570010000047421000000000</t>
        </is>
      </c>
      <c r="U1792" t="inlineStr">
        <is>
          <t>Não</t>
        </is>
      </c>
    </row>
    <row r="1793">
      <c r="A1793" t="inlineStr">
        <is>
          <t>Frete de venda</t>
        </is>
      </c>
      <c r="B1793" t="inlineStr">
        <is>
          <t>2.01.02 Frete sobre Vendas</t>
        </is>
      </c>
      <c r="C1793" t="inlineStr">
        <is>
          <t>Antes de 2026</t>
        </is>
      </c>
      <c r="D1793" t="inlineStr">
        <is>
          <t>Antes de 2026</t>
        </is>
      </c>
      <c r="E1793" s="28" t="n">
        <v>45863</v>
      </c>
      <c r="F1793" t="inlineStr">
        <is>
          <t>CT-e</t>
        </is>
      </c>
      <c r="G1793" t="inlineStr">
        <is>
          <t>000004743</t>
        </is>
      </c>
      <c r="H1793" t="inlineStr">
        <is>
          <t>R&amp;R TRANSPORTE E LOGISTICA</t>
        </is>
      </c>
      <c r="J1793" s="29" t="n">
        <v>32.56</v>
      </c>
      <c r="K1793" s="29">
        <f>(1-ISNUMBER(SEARCH("556",M1793)))*(O1793*SUMIFS(Premissas!$C$5:$C$44,Premissas!$A$5:$A$44,$A1793,Premissas!$B$5:$B$44,$B1793)+P1793*SUMIFS(Premissas!$D$5:$D$44,Premissas!$A$5:$A$44,$A1793,Premissas!$B$5:$B$44,$B1793))+R1793*SUMIFS(Premissas!$E$5:$E$44,Premissas!$A$5:$A$44,$A1793,Premissas!$B$5:$B$44,$B1793)+S1793*SUMIFS(Premissas!$F$5:$F$44,Premissas!$A$5:$A$44,$A1793,Premissas!$B$5:$B$44,$B1793)</f>
        <v/>
      </c>
      <c r="L1793" s="29">
        <f>J1793-K1793</f>
        <v/>
      </c>
      <c r="M1793" t="inlineStr">
        <is>
          <t>1.350</t>
        </is>
      </c>
      <c r="N1793" t="inlineStr">
        <is>
          <t>Modalidade: 0 - Por conta do remetente | Parte: AMAURI APARECIDO FERREIRA (20.834.686/0001-23)</t>
        </is>
      </c>
      <c r="O1793" s="29" t="n">
        <v>0</v>
      </c>
      <c r="P1793" s="29" t="n">
        <v>0</v>
      </c>
      <c r="Q1793" s="29" t="n">
        <v>0</v>
      </c>
      <c r="R1793" s="29" t="n">
        <v>0</v>
      </c>
      <c r="S1793" s="29" t="n">
        <v>0</v>
      </c>
      <c r="T1793" t="inlineStr">
        <is>
          <t>25250726975620000130570010000047431000000007</t>
        </is>
      </c>
      <c r="U1793" t="inlineStr">
        <is>
          <t>Não</t>
        </is>
      </c>
    </row>
    <row r="1794">
      <c r="A1794" t="inlineStr">
        <is>
          <t>Frete de venda</t>
        </is>
      </c>
      <c r="B1794" t="inlineStr">
        <is>
          <t>2.01.02 Frete sobre Vendas</t>
        </is>
      </c>
      <c r="C1794" t="inlineStr">
        <is>
          <t>Antes de 2026</t>
        </is>
      </c>
      <c r="D1794" t="inlineStr">
        <is>
          <t>Antes de 2026</t>
        </is>
      </c>
      <c r="E1794" s="28" t="n">
        <v>45863</v>
      </c>
      <c r="F1794" t="inlineStr">
        <is>
          <t>CT-e</t>
        </is>
      </c>
      <c r="G1794" t="inlineStr">
        <is>
          <t>000004744</t>
        </is>
      </c>
      <c r="H1794" t="inlineStr">
        <is>
          <t>R&amp;R TRANSPORTE E LOGISTICA</t>
        </is>
      </c>
      <c r="J1794" s="29" t="n">
        <v>30.49</v>
      </c>
      <c r="K1794" s="29">
        <f>(1-ISNUMBER(SEARCH("556",M1794)))*(O1794*SUMIFS(Premissas!$C$5:$C$44,Premissas!$A$5:$A$44,$A1794,Premissas!$B$5:$B$44,$B1794)+P1794*SUMIFS(Premissas!$D$5:$D$44,Premissas!$A$5:$A$44,$A1794,Premissas!$B$5:$B$44,$B1794))+R1794*SUMIFS(Premissas!$E$5:$E$44,Premissas!$A$5:$A$44,$A1794,Premissas!$B$5:$B$44,$B1794)+S1794*SUMIFS(Premissas!$F$5:$F$44,Premissas!$A$5:$A$44,$A1794,Premissas!$B$5:$B$44,$B1794)</f>
        <v/>
      </c>
      <c r="L1794" s="29">
        <f>J1794-K1794</f>
        <v/>
      </c>
      <c r="M1794" t="inlineStr">
        <is>
          <t>1.350</t>
        </is>
      </c>
      <c r="N1794" t="inlineStr">
        <is>
          <t>Modalidade: 0 - Por conta do remetente | Parte: LUIS HENRIQUE CERQUEIRA DA SILVA (26.119.129/0001-07)</t>
        </is>
      </c>
      <c r="O1794" s="29" t="n">
        <v>0</v>
      </c>
      <c r="P1794" s="29" t="n">
        <v>0</v>
      </c>
      <c r="Q1794" s="29" t="n">
        <v>0</v>
      </c>
      <c r="R1794" s="29" t="n">
        <v>0</v>
      </c>
      <c r="S1794" s="29" t="n">
        <v>0</v>
      </c>
      <c r="T1794" t="inlineStr">
        <is>
          <t>25250726975620000130570010000047441000000004</t>
        </is>
      </c>
      <c r="U1794" t="inlineStr">
        <is>
          <t>Não</t>
        </is>
      </c>
    </row>
    <row r="1795">
      <c r="A1795" t="inlineStr">
        <is>
          <t>Frete de venda</t>
        </is>
      </c>
      <c r="B1795" t="inlineStr">
        <is>
          <t>2.01.02 Frete sobre Vendas</t>
        </is>
      </c>
      <c r="C1795" t="inlineStr">
        <is>
          <t>Antes de 2026</t>
        </is>
      </c>
      <c r="D1795" t="inlineStr">
        <is>
          <t>Antes de 2026</t>
        </is>
      </c>
      <c r="E1795" s="28" t="n">
        <v>45864</v>
      </c>
      <c r="F1795" t="inlineStr">
        <is>
          <t>CT-e</t>
        </is>
      </c>
      <c r="G1795" t="inlineStr">
        <is>
          <t>000004748</t>
        </is>
      </c>
      <c r="H1795" t="inlineStr">
        <is>
          <t>R&amp;R TRANSPORTE E LOGISTICA</t>
        </is>
      </c>
      <c r="J1795" s="29" t="n">
        <v>700</v>
      </c>
      <c r="K1795" s="29">
        <f>(1-ISNUMBER(SEARCH("556",M1795)))*(O1795*SUMIFS(Premissas!$C$5:$C$44,Premissas!$A$5:$A$44,$A1795,Premissas!$B$5:$B$44,$B1795)+P1795*SUMIFS(Premissas!$D$5:$D$44,Premissas!$A$5:$A$44,$A1795,Premissas!$B$5:$B$44,$B1795))+R1795*SUMIFS(Premissas!$E$5:$E$44,Premissas!$A$5:$A$44,$A1795,Premissas!$B$5:$B$44,$B1795)+S1795*SUMIFS(Premissas!$F$5:$F$44,Premissas!$A$5:$A$44,$A1795,Premissas!$B$5:$B$44,$B1795)</f>
        <v/>
      </c>
      <c r="L1795" s="29">
        <f>J1795-K1795</f>
        <v/>
      </c>
      <c r="M1795" t="inlineStr">
        <is>
          <t>1.350</t>
        </is>
      </c>
      <c r="N1795" t="inlineStr">
        <is>
          <t>Modalidade: 0 - Por conta do remetente | Parte: C M OLIVEIRA ATACADO (41.098.526/0001-33)</t>
        </is>
      </c>
      <c r="O1795" s="29" t="n">
        <v>0</v>
      </c>
      <c r="P1795" s="29" t="n">
        <v>0</v>
      </c>
      <c r="Q1795" s="29" t="n">
        <v>0</v>
      </c>
      <c r="R1795" s="29" t="n">
        <v>0</v>
      </c>
      <c r="S1795" s="29" t="n">
        <v>0</v>
      </c>
      <c r="T1795" t="inlineStr">
        <is>
          <t>25250726975620000130570010000047481000000003</t>
        </is>
      </c>
      <c r="U1795" t="inlineStr">
        <is>
          <t>Não</t>
        </is>
      </c>
    </row>
    <row r="1796">
      <c r="A1796" t="inlineStr">
        <is>
          <t>Frete de venda</t>
        </is>
      </c>
      <c r="B1796" t="inlineStr">
        <is>
          <t>2.01.02 Frete sobre Vendas</t>
        </is>
      </c>
      <c r="C1796" t="inlineStr">
        <is>
          <t>Antes de 2026</t>
        </is>
      </c>
      <c r="D1796" t="inlineStr">
        <is>
          <t>Antes de 2026</t>
        </is>
      </c>
      <c r="E1796" s="28" t="n">
        <v>45864</v>
      </c>
      <c r="F1796" t="inlineStr">
        <is>
          <t>CT-e</t>
        </is>
      </c>
      <c r="G1796" t="inlineStr">
        <is>
          <t>000004749</t>
        </is>
      </c>
      <c r="H1796" t="inlineStr">
        <is>
          <t>R&amp;R TRANSPORTE E LOGISTICA</t>
        </is>
      </c>
      <c r="J1796" s="29" t="n">
        <v>700</v>
      </c>
      <c r="K1796" s="29">
        <f>(1-ISNUMBER(SEARCH("556",M1796)))*(O1796*SUMIFS(Premissas!$C$5:$C$44,Premissas!$A$5:$A$44,$A1796,Premissas!$B$5:$B$44,$B1796)+P1796*SUMIFS(Premissas!$D$5:$D$44,Premissas!$A$5:$A$44,$A1796,Premissas!$B$5:$B$44,$B1796))+R1796*SUMIFS(Premissas!$E$5:$E$44,Premissas!$A$5:$A$44,$A1796,Premissas!$B$5:$B$44,$B1796)+S1796*SUMIFS(Premissas!$F$5:$F$44,Premissas!$A$5:$A$44,$A1796,Premissas!$B$5:$B$44,$B1796)</f>
        <v/>
      </c>
      <c r="L1796" s="29">
        <f>J1796-K1796</f>
        <v/>
      </c>
      <c r="M1796" t="inlineStr">
        <is>
          <t>1.350</t>
        </is>
      </c>
      <c r="N1796" t="inlineStr">
        <is>
          <t>Modalidade: 0 - Por conta do remetente | Parte: VILMA GOMES FREITAS DE OLIVEIRA LTDA (08.035.528/0001-08)</t>
        </is>
      </c>
      <c r="O1796" s="29" t="n">
        <v>0</v>
      </c>
      <c r="P1796" s="29" t="n">
        <v>0</v>
      </c>
      <c r="Q1796" s="29" t="n">
        <v>0</v>
      </c>
      <c r="R1796" s="29" t="n">
        <v>0</v>
      </c>
      <c r="S1796" s="29" t="n">
        <v>0</v>
      </c>
      <c r="T1796" t="inlineStr">
        <is>
          <t>25250726975620000130570010000047491000000000</t>
        </is>
      </c>
      <c r="U1796" t="inlineStr">
        <is>
          <t>Não</t>
        </is>
      </c>
    </row>
    <row r="1797">
      <c r="A1797" t="inlineStr">
        <is>
          <t>Frete de venda</t>
        </is>
      </c>
      <c r="B1797" t="inlineStr">
        <is>
          <t>2.01.02 Frete sobre Vendas</t>
        </is>
      </c>
      <c r="C1797" t="inlineStr">
        <is>
          <t>Antes de 2026</t>
        </is>
      </c>
      <c r="D1797" t="inlineStr">
        <is>
          <t>Antes de 2026</t>
        </is>
      </c>
      <c r="E1797" s="28" t="n">
        <v>45864</v>
      </c>
      <c r="F1797" t="inlineStr">
        <is>
          <t>CT-e</t>
        </is>
      </c>
      <c r="G1797" t="inlineStr">
        <is>
          <t>000004750</t>
        </is>
      </c>
      <c r="H1797" t="inlineStr">
        <is>
          <t>R&amp;R TRANSPORTE E LOGISTICA</t>
        </is>
      </c>
      <c r="J1797" s="29" t="n">
        <v>1150</v>
      </c>
      <c r="K1797" s="29">
        <f>(1-ISNUMBER(SEARCH("556",M1797)))*(O1797*SUMIFS(Premissas!$C$5:$C$44,Premissas!$A$5:$A$44,$A1797,Premissas!$B$5:$B$44,$B1797)+P1797*SUMIFS(Premissas!$D$5:$D$44,Premissas!$A$5:$A$44,$A1797,Premissas!$B$5:$B$44,$B1797))+R1797*SUMIFS(Premissas!$E$5:$E$44,Premissas!$A$5:$A$44,$A1797,Premissas!$B$5:$B$44,$B1797)+S1797*SUMIFS(Premissas!$F$5:$F$44,Premissas!$A$5:$A$44,$A1797,Premissas!$B$5:$B$44,$B1797)</f>
        <v/>
      </c>
      <c r="L1797" s="29">
        <f>J1797-K1797</f>
        <v/>
      </c>
      <c r="M1797" t="inlineStr">
        <is>
          <t>1.350</t>
        </is>
      </c>
      <c r="N1797" t="inlineStr">
        <is>
          <t>Modalidade: 0 - Por conta do remetente | Parte: TORRES DISTRIBUIDORA ATACADISTA DE EMBALAGENS PLASTICAS ... (26.748.294/0001-28)</t>
        </is>
      </c>
      <c r="O1797" s="29" t="n">
        <v>0</v>
      </c>
      <c r="P1797" s="29" t="n">
        <v>0</v>
      </c>
      <c r="Q1797" s="29" t="n">
        <v>0</v>
      </c>
      <c r="R1797" s="29" t="n">
        <v>0</v>
      </c>
      <c r="S1797" s="29" t="n">
        <v>0</v>
      </c>
      <c r="T1797" t="inlineStr">
        <is>
          <t>25250726975620000130570010000047501000000001</t>
        </is>
      </c>
      <c r="U1797" t="inlineStr">
        <is>
          <t>Não</t>
        </is>
      </c>
    </row>
    <row r="1798">
      <c r="A1798" t="inlineStr">
        <is>
          <t>Frete de venda</t>
        </is>
      </c>
      <c r="B1798" t="inlineStr">
        <is>
          <t>2.01.02 Frete sobre Vendas</t>
        </is>
      </c>
      <c r="C1798" t="inlineStr">
        <is>
          <t>Antes de 2026</t>
        </is>
      </c>
      <c r="D1798" t="inlineStr">
        <is>
          <t>Antes de 2026</t>
        </is>
      </c>
      <c r="E1798" s="28" t="n">
        <v>45866</v>
      </c>
      <c r="F1798" t="inlineStr">
        <is>
          <t>CT-e</t>
        </is>
      </c>
      <c r="G1798" t="inlineStr">
        <is>
          <t>000004753</t>
        </is>
      </c>
      <c r="H1798" t="inlineStr">
        <is>
          <t>R&amp;R TRANSPORTE E LOGISTICA</t>
        </is>
      </c>
      <c r="J1798" s="29" t="n">
        <v>320</v>
      </c>
      <c r="K1798" s="29">
        <f>(1-ISNUMBER(SEARCH("556",M1798)))*(O1798*SUMIFS(Premissas!$C$5:$C$44,Premissas!$A$5:$A$44,$A1798,Premissas!$B$5:$B$44,$B1798)+P1798*SUMIFS(Premissas!$D$5:$D$44,Premissas!$A$5:$A$44,$A1798,Premissas!$B$5:$B$44,$B1798))+R1798*SUMIFS(Premissas!$E$5:$E$44,Premissas!$A$5:$A$44,$A1798,Premissas!$B$5:$B$44,$B1798)+S1798*SUMIFS(Premissas!$F$5:$F$44,Premissas!$A$5:$A$44,$A1798,Premissas!$B$5:$B$44,$B1798)</f>
        <v/>
      </c>
      <c r="L1798" s="29">
        <f>J1798-K1798</f>
        <v/>
      </c>
      <c r="M1798" t="inlineStr">
        <is>
          <t>1.350</t>
        </is>
      </c>
      <c r="N1798" t="inlineStr">
        <is>
          <t>Modalidade: 0 - Por conta do remetente | Parte: C M OLIVEIRA ATACADO (41.098.526/0001-33)</t>
        </is>
      </c>
      <c r="O1798" s="29" t="n">
        <v>0</v>
      </c>
      <c r="P1798" s="29" t="n">
        <v>0</v>
      </c>
      <c r="Q1798" s="29" t="n">
        <v>0</v>
      </c>
      <c r="R1798" s="29" t="n">
        <v>0</v>
      </c>
      <c r="S1798" s="29" t="n">
        <v>0</v>
      </c>
      <c r="T1798" t="inlineStr">
        <is>
          <t>25250726975620000130570010000047531000000003</t>
        </is>
      </c>
      <c r="U1798" t="inlineStr">
        <is>
          <t>Não</t>
        </is>
      </c>
    </row>
    <row r="1799">
      <c r="A1799" t="inlineStr">
        <is>
          <t>Frete de venda</t>
        </is>
      </c>
      <c r="B1799" t="inlineStr">
        <is>
          <t>2.01.02 Frete sobre Vendas</t>
        </is>
      </c>
      <c r="C1799" t="inlineStr">
        <is>
          <t>Antes de 2026</t>
        </is>
      </c>
      <c r="D1799" t="inlineStr">
        <is>
          <t>Antes de 2026</t>
        </is>
      </c>
      <c r="E1799" s="28" t="n">
        <v>45866</v>
      </c>
      <c r="F1799" t="inlineStr">
        <is>
          <t>CT-e</t>
        </is>
      </c>
      <c r="G1799" t="inlineStr">
        <is>
          <t>000004754</t>
        </is>
      </c>
      <c r="H1799" t="inlineStr">
        <is>
          <t>R&amp;R TRANSPORTE E LOGISTICA</t>
        </is>
      </c>
      <c r="J1799" s="29" t="n">
        <v>350</v>
      </c>
      <c r="K1799" s="29">
        <f>(1-ISNUMBER(SEARCH("556",M1799)))*(O1799*SUMIFS(Premissas!$C$5:$C$44,Premissas!$A$5:$A$44,$A1799,Premissas!$B$5:$B$44,$B1799)+P1799*SUMIFS(Premissas!$D$5:$D$44,Premissas!$A$5:$A$44,$A1799,Premissas!$B$5:$B$44,$B1799))+R1799*SUMIFS(Premissas!$E$5:$E$44,Premissas!$A$5:$A$44,$A1799,Premissas!$B$5:$B$44,$B1799)+S1799*SUMIFS(Premissas!$F$5:$F$44,Premissas!$A$5:$A$44,$A1799,Premissas!$B$5:$B$44,$B1799)</f>
        <v/>
      </c>
      <c r="L1799" s="29">
        <f>J1799-K1799</f>
        <v/>
      </c>
      <c r="M1799" t="inlineStr">
        <is>
          <t>1.350</t>
        </is>
      </c>
      <c r="N1799" t="inlineStr">
        <is>
          <t>Transportadora de frete de venda, mas pela modalidade do frete a Vinco recebeu a carga | Modalidade: 1 - Por conta do destinatário | Parte: COLAMID (04.781.666/0001-85)</t>
        </is>
      </c>
      <c r="O1799" s="29" t="n">
        <v>0</v>
      </c>
      <c r="P1799" s="29" t="n">
        <v>0</v>
      </c>
      <c r="Q1799" s="29" t="n">
        <v>0</v>
      </c>
      <c r="R1799" s="29" t="n">
        <v>0</v>
      </c>
      <c r="S1799" s="29" t="n">
        <v>0</v>
      </c>
      <c r="T1799" t="inlineStr">
        <is>
          <t>25250726975620000130570010000047541000000000</t>
        </is>
      </c>
      <c r="U1799" t="inlineStr">
        <is>
          <t>Não</t>
        </is>
      </c>
    </row>
    <row r="1800">
      <c r="A1800" t="inlineStr">
        <is>
          <t>Frete de venda</t>
        </is>
      </c>
      <c r="B1800" t="inlineStr">
        <is>
          <t>2.01.02 Frete sobre Vendas</t>
        </is>
      </c>
      <c r="C1800" t="inlineStr">
        <is>
          <t>Antes de 2026</t>
        </is>
      </c>
      <c r="D1800" t="inlineStr">
        <is>
          <t>Antes de 2026</t>
        </is>
      </c>
      <c r="E1800" s="28" t="n">
        <v>45867</v>
      </c>
      <c r="F1800" t="inlineStr">
        <is>
          <t>CT-e</t>
        </is>
      </c>
      <c r="G1800" t="inlineStr">
        <is>
          <t>000004768</t>
        </is>
      </c>
      <c r="H1800" t="inlineStr">
        <is>
          <t>R&amp;R TRANSPORTE E LOGISTICA</t>
        </is>
      </c>
      <c r="J1800" s="29" t="n">
        <v>691.1900000000001</v>
      </c>
      <c r="K1800" s="29">
        <f>(1-ISNUMBER(SEARCH("556",M1800)))*(O1800*SUMIFS(Premissas!$C$5:$C$44,Premissas!$A$5:$A$44,$A1800,Premissas!$B$5:$B$44,$B1800)+P1800*SUMIFS(Premissas!$D$5:$D$44,Premissas!$A$5:$A$44,$A1800,Premissas!$B$5:$B$44,$B1800))+R1800*SUMIFS(Premissas!$E$5:$E$44,Premissas!$A$5:$A$44,$A1800,Premissas!$B$5:$B$44,$B1800)+S1800*SUMIFS(Premissas!$F$5:$F$44,Premissas!$A$5:$A$44,$A1800,Premissas!$B$5:$B$44,$B1800)</f>
        <v/>
      </c>
      <c r="L1800" s="29">
        <f>J1800-K1800</f>
        <v/>
      </c>
      <c r="M1800" t="inlineStr">
        <is>
          <t>1.350</t>
        </is>
      </c>
      <c r="N1800" t="inlineStr">
        <is>
          <t>Modalidade: 0 - Por conta do remetente | Parte: VITOR HUGO GOMES LIMA (08.968.419/0001-43)</t>
        </is>
      </c>
      <c r="O1800" s="29" t="n">
        <v>0</v>
      </c>
      <c r="P1800" s="29" t="n">
        <v>0</v>
      </c>
      <c r="Q1800" s="29" t="n">
        <v>0</v>
      </c>
      <c r="R1800" s="29" t="n">
        <v>0</v>
      </c>
      <c r="S1800" s="29" t="n">
        <v>0</v>
      </c>
      <c r="T1800" t="inlineStr">
        <is>
          <t>25250726975620000130570010000047681000000006</t>
        </is>
      </c>
      <c r="U1800" t="inlineStr">
        <is>
          <t>Não</t>
        </is>
      </c>
    </row>
    <row r="1801">
      <c r="A1801" t="inlineStr">
        <is>
          <t>Frete de venda</t>
        </is>
      </c>
      <c r="B1801" t="inlineStr">
        <is>
          <t>2.01.02 Frete sobre Vendas</t>
        </is>
      </c>
      <c r="C1801" t="inlineStr">
        <is>
          <t>Antes de 2026</t>
        </is>
      </c>
      <c r="D1801" t="inlineStr">
        <is>
          <t>Antes de 2026</t>
        </is>
      </c>
      <c r="E1801" s="28" t="n">
        <v>45867</v>
      </c>
      <c r="F1801" t="inlineStr">
        <is>
          <t>CT-e</t>
        </is>
      </c>
      <c r="G1801" t="inlineStr">
        <is>
          <t>000004769</t>
        </is>
      </c>
      <c r="H1801" t="inlineStr">
        <is>
          <t>R&amp;R TRANSPORTE E LOGISTICA</t>
        </is>
      </c>
      <c r="J1801" s="29" t="n">
        <v>694.51</v>
      </c>
      <c r="K1801" s="29">
        <f>(1-ISNUMBER(SEARCH("556",M1801)))*(O1801*SUMIFS(Premissas!$C$5:$C$44,Premissas!$A$5:$A$44,$A1801,Premissas!$B$5:$B$44,$B1801)+P1801*SUMIFS(Premissas!$D$5:$D$44,Premissas!$A$5:$A$44,$A1801,Premissas!$B$5:$B$44,$B1801))+R1801*SUMIFS(Premissas!$E$5:$E$44,Premissas!$A$5:$A$44,$A1801,Premissas!$B$5:$B$44,$B1801)+S1801*SUMIFS(Premissas!$F$5:$F$44,Premissas!$A$5:$A$44,$A1801,Premissas!$B$5:$B$44,$B1801)</f>
        <v/>
      </c>
      <c r="L1801" s="29">
        <f>J1801-K1801</f>
        <v/>
      </c>
      <c r="M1801" t="inlineStr">
        <is>
          <t>1.350</t>
        </is>
      </c>
      <c r="N1801" t="inlineStr">
        <is>
          <t>Modalidade: 0 - Por conta do remetente | Parte: IDEAL COMERCIO VAREJISTA DE PRODUTOS ALIMENTICIOS LTDA (48.886.229/0001-00)</t>
        </is>
      </c>
      <c r="O1801" s="29" t="n">
        <v>0</v>
      </c>
      <c r="P1801" s="29" t="n">
        <v>0</v>
      </c>
      <c r="Q1801" s="29" t="n">
        <v>0</v>
      </c>
      <c r="R1801" s="29" t="n">
        <v>0</v>
      </c>
      <c r="S1801" s="29" t="n">
        <v>0</v>
      </c>
      <c r="T1801" t="inlineStr">
        <is>
          <t>25250726975620000130570010000047691000000003</t>
        </is>
      </c>
      <c r="U1801" t="inlineStr">
        <is>
          <t>Não</t>
        </is>
      </c>
    </row>
    <row r="1802">
      <c r="A1802" t="inlineStr">
        <is>
          <t>Frete de venda</t>
        </is>
      </c>
      <c r="B1802" t="inlineStr">
        <is>
          <t>2.01.02 Frete sobre Vendas</t>
        </is>
      </c>
      <c r="C1802" t="inlineStr">
        <is>
          <t>Antes de 2026</t>
        </is>
      </c>
      <c r="D1802" t="inlineStr">
        <is>
          <t>Antes de 2026</t>
        </is>
      </c>
      <c r="E1802" s="28" t="n">
        <v>45867</v>
      </c>
      <c r="F1802" t="inlineStr">
        <is>
          <t>CT-e</t>
        </is>
      </c>
      <c r="G1802" t="inlineStr">
        <is>
          <t>000004770</t>
        </is>
      </c>
      <c r="H1802" t="inlineStr">
        <is>
          <t>R&amp;R TRANSPORTE E LOGISTICA</t>
        </is>
      </c>
      <c r="J1802" s="29" t="n">
        <v>689.97</v>
      </c>
      <c r="K1802" s="29">
        <f>(1-ISNUMBER(SEARCH("556",M1802)))*(O1802*SUMIFS(Premissas!$C$5:$C$44,Premissas!$A$5:$A$44,$A1802,Premissas!$B$5:$B$44,$B1802)+P1802*SUMIFS(Premissas!$D$5:$D$44,Premissas!$A$5:$A$44,$A1802,Premissas!$B$5:$B$44,$B1802))+R1802*SUMIFS(Premissas!$E$5:$E$44,Premissas!$A$5:$A$44,$A1802,Premissas!$B$5:$B$44,$B1802)+S1802*SUMIFS(Premissas!$F$5:$F$44,Premissas!$A$5:$A$44,$A1802,Premissas!$B$5:$B$44,$B1802)</f>
        <v/>
      </c>
      <c r="L1802" s="29">
        <f>J1802-K1802</f>
        <v/>
      </c>
      <c r="M1802" t="inlineStr">
        <is>
          <t>1.350</t>
        </is>
      </c>
      <c r="N1802" t="inlineStr">
        <is>
          <t>Modalidade: 0 - Por conta do remetente | Parte: EMBALAMIX COMERCIO DE EMBALAGENS E DESCARTAVEIS LTDA (14.166.061/0001-38)</t>
        </is>
      </c>
      <c r="O1802" s="29" t="n">
        <v>0</v>
      </c>
      <c r="P1802" s="29" t="n">
        <v>0</v>
      </c>
      <c r="Q1802" s="29" t="n">
        <v>0</v>
      </c>
      <c r="R1802" s="29" t="n">
        <v>0</v>
      </c>
      <c r="S1802" s="29" t="n">
        <v>0</v>
      </c>
      <c r="T1802" t="inlineStr">
        <is>
          <t>25250726975620000130570010000047701000000004</t>
        </is>
      </c>
      <c r="U1802" t="inlineStr">
        <is>
          <t>Não</t>
        </is>
      </c>
    </row>
    <row r="1803">
      <c r="A1803" t="inlineStr">
        <is>
          <t>Frete de venda</t>
        </is>
      </c>
      <c r="B1803" t="inlineStr">
        <is>
          <t>2.01.02 Frete sobre Vendas</t>
        </is>
      </c>
      <c r="C1803" t="inlineStr">
        <is>
          <t>Antes de 2026</t>
        </is>
      </c>
      <c r="D1803" t="inlineStr">
        <is>
          <t>Antes de 2026</t>
        </is>
      </c>
      <c r="E1803" s="28" t="n">
        <v>45867</v>
      </c>
      <c r="F1803" t="inlineStr">
        <is>
          <t>CT-e</t>
        </is>
      </c>
      <c r="G1803" t="inlineStr">
        <is>
          <t>000004771</t>
        </is>
      </c>
      <c r="H1803" t="inlineStr">
        <is>
          <t>R&amp;R TRANSPORTE E LOGISTICA</t>
        </is>
      </c>
      <c r="J1803" s="29" t="n">
        <v>692.26</v>
      </c>
      <c r="K1803" s="29">
        <f>(1-ISNUMBER(SEARCH("556",M1803)))*(O1803*SUMIFS(Premissas!$C$5:$C$44,Premissas!$A$5:$A$44,$A1803,Premissas!$B$5:$B$44,$B1803)+P1803*SUMIFS(Premissas!$D$5:$D$44,Premissas!$A$5:$A$44,$A1803,Premissas!$B$5:$B$44,$B1803))+R1803*SUMIFS(Premissas!$E$5:$E$44,Premissas!$A$5:$A$44,$A1803,Premissas!$B$5:$B$44,$B1803)+S1803*SUMIFS(Premissas!$F$5:$F$44,Premissas!$A$5:$A$44,$A1803,Premissas!$B$5:$B$44,$B1803)</f>
        <v/>
      </c>
      <c r="L1803" s="29">
        <f>J1803-K1803</f>
        <v/>
      </c>
      <c r="M1803" t="inlineStr">
        <is>
          <t>1.350</t>
        </is>
      </c>
      <c r="N1803" t="inlineStr">
        <is>
          <t>Modalidade: 0 - Por conta do remetente | Parte: JOSE WILDES MARTINS (08.883.532/0002-07)</t>
        </is>
      </c>
      <c r="O1803" s="29" t="n">
        <v>0</v>
      </c>
      <c r="P1803" s="29" t="n">
        <v>0</v>
      </c>
      <c r="Q1803" s="29" t="n">
        <v>0</v>
      </c>
      <c r="R1803" s="29" t="n">
        <v>0</v>
      </c>
      <c r="S1803" s="29" t="n">
        <v>0</v>
      </c>
      <c r="T1803" t="inlineStr">
        <is>
          <t>25250726975620000130570010000047711000000001</t>
        </is>
      </c>
      <c r="U1803" t="inlineStr">
        <is>
          <t>Não</t>
        </is>
      </c>
    </row>
    <row r="1804">
      <c r="A1804" t="inlineStr">
        <is>
          <t>Frete de venda</t>
        </is>
      </c>
      <c r="B1804" t="inlineStr">
        <is>
          <t>2.01.02 Frete sobre Vendas</t>
        </is>
      </c>
      <c r="C1804" t="inlineStr">
        <is>
          <t>Antes de 2026</t>
        </is>
      </c>
      <c r="D1804" t="inlineStr">
        <is>
          <t>Antes de 2026</t>
        </is>
      </c>
      <c r="E1804" s="28" t="n">
        <v>45867</v>
      </c>
      <c r="F1804" t="inlineStr">
        <is>
          <t>CT-e</t>
        </is>
      </c>
      <c r="G1804" t="inlineStr">
        <is>
          <t>000004772</t>
        </is>
      </c>
      <c r="H1804" t="inlineStr">
        <is>
          <t>R&amp;R TRANSPORTE E LOGISTICA</t>
        </is>
      </c>
      <c r="J1804" s="29" t="n">
        <v>692.51</v>
      </c>
      <c r="K1804" s="29">
        <f>(1-ISNUMBER(SEARCH("556",M1804)))*(O1804*SUMIFS(Premissas!$C$5:$C$44,Premissas!$A$5:$A$44,$A1804,Premissas!$B$5:$B$44,$B1804)+P1804*SUMIFS(Premissas!$D$5:$D$44,Premissas!$A$5:$A$44,$A1804,Premissas!$B$5:$B$44,$B1804))+R1804*SUMIFS(Premissas!$E$5:$E$44,Premissas!$A$5:$A$44,$A1804,Premissas!$B$5:$B$44,$B1804)+S1804*SUMIFS(Premissas!$F$5:$F$44,Premissas!$A$5:$A$44,$A1804,Premissas!$B$5:$B$44,$B1804)</f>
        <v/>
      </c>
      <c r="L1804" s="29">
        <f>J1804-K1804</f>
        <v/>
      </c>
      <c r="M1804" t="inlineStr">
        <is>
          <t>1.350</t>
        </is>
      </c>
      <c r="N1804" t="inlineStr">
        <is>
          <t>Modalidade: 0 - Por conta do remetente | Parte: S M ALVES DE OLIVEIRA CORDEIRO (03.498.608/0001-86)</t>
        </is>
      </c>
      <c r="O1804" s="29" t="n">
        <v>0</v>
      </c>
      <c r="P1804" s="29" t="n">
        <v>0</v>
      </c>
      <c r="Q1804" s="29" t="n">
        <v>0</v>
      </c>
      <c r="R1804" s="29" t="n">
        <v>0</v>
      </c>
      <c r="S1804" s="29" t="n">
        <v>0</v>
      </c>
      <c r="T1804" t="inlineStr">
        <is>
          <t>25250726975620000130570010000047721000000009</t>
        </is>
      </c>
      <c r="U1804" t="inlineStr">
        <is>
          <t>Não</t>
        </is>
      </c>
    </row>
    <row r="1805">
      <c r="A1805" t="inlineStr">
        <is>
          <t>Frete de venda</t>
        </is>
      </c>
      <c r="B1805" t="inlineStr">
        <is>
          <t>2.01.02 Frete sobre Vendas</t>
        </is>
      </c>
      <c r="C1805" t="inlineStr">
        <is>
          <t>Antes de 2026</t>
        </is>
      </c>
      <c r="D1805" t="inlineStr">
        <is>
          <t>Antes de 2026</t>
        </is>
      </c>
      <c r="E1805" s="28" t="n">
        <v>45867</v>
      </c>
      <c r="F1805" t="inlineStr">
        <is>
          <t>CT-e</t>
        </is>
      </c>
      <c r="G1805" t="inlineStr">
        <is>
          <t>000004773</t>
        </is>
      </c>
      <c r="H1805" t="inlineStr">
        <is>
          <t>R&amp;R TRANSPORTE E LOGISTICA</t>
        </is>
      </c>
      <c r="J1805" s="29" t="n">
        <v>689.41</v>
      </c>
      <c r="K1805" s="29">
        <f>(1-ISNUMBER(SEARCH("556",M1805)))*(O1805*SUMIFS(Premissas!$C$5:$C$44,Premissas!$A$5:$A$44,$A1805,Premissas!$B$5:$B$44,$B1805)+P1805*SUMIFS(Premissas!$D$5:$D$44,Premissas!$A$5:$A$44,$A1805,Premissas!$B$5:$B$44,$B1805))+R1805*SUMIFS(Premissas!$E$5:$E$44,Premissas!$A$5:$A$44,$A1805,Premissas!$B$5:$B$44,$B1805)+S1805*SUMIFS(Premissas!$F$5:$F$44,Premissas!$A$5:$A$44,$A1805,Premissas!$B$5:$B$44,$B1805)</f>
        <v/>
      </c>
      <c r="L1805" s="29">
        <f>J1805-K1805</f>
        <v/>
      </c>
      <c r="M1805" t="inlineStr">
        <is>
          <t>1.350</t>
        </is>
      </c>
      <c r="N1805" t="inlineStr">
        <is>
          <t>Modalidade: 0 - Por conta do remetente | Parte: J N N COMERCIO DE EMBALAGENS LTDA (42.158.613/0001-00)</t>
        </is>
      </c>
      <c r="O1805" s="29" t="n">
        <v>0</v>
      </c>
      <c r="P1805" s="29" t="n">
        <v>0</v>
      </c>
      <c r="Q1805" s="29" t="n">
        <v>0</v>
      </c>
      <c r="R1805" s="29" t="n">
        <v>0</v>
      </c>
      <c r="S1805" s="29" t="n">
        <v>0</v>
      </c>
      <c r="T1805" t="inlineStr">
        <is>
          <t>25250726975620000130570010000047731000000006</t>
        </is>
      </c>
      <c r="U1805" t="inlineStr">
        <is>
          <t>Não</t>
        </is>
      </c>
    </row>
    <row r="1806">
      <c r="A1806" t="inlineStr">
        <is>
          <t>Frete de venda</t>
        </is>
      </c>
      <c r="B1806" t="inlineStr">
        <is>
          <t>2.01.02 Frete sobre Vendas</t>
        </is>
      </c>
      <c r="C1806" t="inlineStr">
        <is>
          <t>Antes de 2026</t>
        </is>
      </c>
      <c r="D1806" t="inlineStr">
        <is>
          <t>Antes de 2026</t>
        </is>
      </c>
      <c r="E1806" s="28" t="n">
        <v>45867</v>
      </c>
      <c r="F1806" t="inlineStr">
        <is>
          <t>CT-e</t>
        </is>
      </c>
      <c r="G1806" t="inlineStr">
        <is>
          <t>000004774</t>
        </is>
      </c>
      <c r="H1806" t="inlineStr">
        <is>
          <t>R&amp;R TRANSPORTE E LOGISTICA</t>
        </is>
      </c>
      <c r="J1806" s="29" t="n">
        <v>690.85</v>
      </c>
      <c r="K1806" s="29">
        <f>(1-ISNUMBER(SEARCH("556",M1806)))*(O1806*SUMIFS(Premissas!$C$5:$C$44,Premissas!$A$5:$A$44,$A1806,Premissas!$B$5:$B$44,$B1806)+P1806*SUMIFS(Premissas!$D$5:$D$44,Premissas!$A$5:$A$44,$A1806,Premissas!$B$5:$B$44,$B1806))+R1806*SUMIFS(Premissas!$E$5:$E$44,Premissas!$A$5:$A$44,$A1806,Premissas!$B$5:$B$44,$B1806)+S1806*SUMIFS(Premissas!$F$5:$F$44,Premissas!$A$5:$A$44,$A1806,Premissas!$B$5:$B$44,$B1806)</f>
        <v/>
      </c>
      <c r="L1806" s="29">
        <f>J1806-K1806</f>
        <v/>
      </c>
      <c r="M1806" t="inlineStr">
        <is>
          <t>1.350</t>
        </is>
      </c>
      <c r="N1806" t="inlineStr">
        <is>
          <t>Modalidade: 0 - Por conta do remetente | Parte: BARBOSA EMBALAGEM LTDA (47.717.809/0001-00)</t>
        </is>
      </c>
      <c r="O1806" s="29" t="n">
        <v>0</v>
      </c>
      <c r="P1806" s="29" t="n">
        <v>0</v>
      </c>
      <c r="Q1806" s="29" t="n">
        <v>0</v>
      </c>
      <c r="R1806" s="29" t="n">
        <v>0</v>
      </c>
      <c r="S1806" s="29" t="n">
        <v>0</v>
      </c>
      <c r="T1806" t="inlineStr">
        <is>
          <t>25250726975620000130570010000047741000000003</t>
        </is>
      </c>
      <c r="U1806" t="inlineStr">
        <is>
          <t>Não</t>
        </is>
      </c>
    </row>
    <row r="1807">
      <c r="A1807" t="inlineStr">
        <is>
          <t>Frete de venda</t>
        </is>
      </c>
      <c r="B1807" t="inlineStr">
        <is>
          <t>2.01.02 Frete sobre Vendas</t>
        </is>
      </c>
      <c r="C1807" t="inlineStr">
        <is>
          <t>Antes de 2026</t>
        </is>
      </c>
      <c r="D1807" t="inlineStr">
        <is>
          <t>Antes de 2026</t>
        </is>
      </c>
      <c r="E1807" s="28" t="n">
        <v>45867</v>
      </c>
      <c r="F1807" t="inlineStr">
        <is>
          <t>CT-e</t>
        </is>
      </c>
      <c r="G1807" t="inlineStr">
        <is>
          <t>000004775</t>
        </is>
      </c>
      <c r="H1807" t="inlineStr">
        <is>
          <t>R&amp;R TRANSPORTE E LOGISTICA</t>
        </is>
      </c>
      <c r="J1807" s="29" t="n">
        <v>689.21</v>
      </c>
      <c r="K1807" s="29">
        <f>(1-ISNUMBER(SEARCH("556",M1807)))*(O1807*SUMIFS(Premissas!$C$5:$C$44,Premissas!$A$5:$A$44,$A1807,Premissas!$B$5:$B$44,$B1807)+P1807*SUMIFS(Premissas!$D$5:$D$44,Premissas!$A$5:$A$44,$A1807,Premissas!$B$5:$B$44,$B1807))+R1807*SUMIFS(Premissas!$E$5:$E$44,Premissas!$A$5:$A$44,$A1807,Premissas!$B$5:$B$44,$B1807)+S1807*SUMIFS(Premissas!$F$5:$F$44,Premissas!$A$5:$A$44,$A1807,Premissas!$B$5:$B$44,$B1807)</f>
        <v/>
      </c>
      <c r="L1807" s="29">
        <f>J1807-K1807</f>
        <v/>
      </c>
      <c r="M1807" t="inlineStr">
        <is>
          <t>1.350</t>
        </is>
      </c>
      <c r="N1807" t="inlineStr">
        <is>
          <t>Modalidade: 0 - Por conta do remetente | Parte: EMBALAMIX COMERCIO DE EMBALAGENS E DESCARTAVEIS LTDA (14.166.061/0001-38)</t>
        </is>
      </c>
      <c r="O1807" s="29" t="n">
        <v>0</v>
      </c>
      <c r="P1807" s="29" t="n">
        <v>0</v>
      </c>
      <c r="Q1807" s="29" t="n">
        <v>0</v>
      </c>
      <c r="R1807" s="29" t="n">
        <v>0</v>
      </c>
      <c r="S1807" s="29" t="n">
        <v>0</v>
      </c>
      <c r="T1807" t="inlineStr">
        <is>
          <t>25250726975620000130570010000047751000000000</t>
        </is>
      </c>
      <c r="U1807" t="inlineStr">
        <is>
          <t>Não</t>
        </is>
      </c>
    </row>
    <row r="1808">
      <c r="A1808" t="inlineStr">
        <is>
          <t>Frete de venda</t>
        </is>
      </c>
      <c r="B1808" t="inlineStr">
        <is>
          <t>2.01.02 Frete sobre Vendas</t>
        </is>
      </c>
      <c r="C1808" t="inlineStr">
        <is>
          <t>Antes de 2026</t>
        </is>
      </c>
      <c r="D1808" t="inlineStr">
        <is>
          <t>Antes de 2026</t>
        </is>
      </c>
      <c r="E1808" s="28" t="n">
        <v>45867</v>
      </c>
      <c r="F1808" t="inlineStr">
        <is>
          <t>CT-e</t>
        </is>
      </c>
      <c r="G1808" t="inlineStr">
        <is>
          <t>000004776</t>
        </is>
      </c>
      <c r="H1808" t="inlineStr">
        <is>
          <t>R&amp;R TRANSPORTE E LOGISTICA</t>
        </is>
      </c>
      <c r="J1808" s="29" t="n">
        <v>696.0700000000001</v>
      </c>
      <c r="K1808" s="29">
        <f>(1-ISNUMBER(SEARCH("556",M1808)))*(O1808*SUMIFS(Premissas!$C$5:$C$44,Premissas!$A$5:$A$44,$A1808,Premissas!$B$5:$B$44,$B1808)+P1808*SUMIFS(Premissas!$D$5:$D$44,Premissas!$A$5:$A$44,$A1808,Premissas!$B$5:$B$44,$B1808))+R1808*SUMIFS(Premissas!$E$5:$E$44,Premissas!$A$5:$A$44,$A1808,Premissas!$B$5:$B$44,$B1808)+S1808*SUMIFS(Premissas!$F$5:$F$44,Premissas!$A$5:$A$44,$A1808,Premissas!$B$5:$B$44,$B1808)</f>
        <v/>
      </c>
      <c r="L1808" s="29">
        <f>J1808-K1808</f>
        <v/>
      </c>
      <c r="M1808" t="inlineStr">
        <is>
          <t>1.350</t>
        </is>
      </c>
      <c r="N1808" t="inlineStr">
        <is>
          <t>Modalidade: 0 - Por conta do remetente | Parte: DESTAK EMBALAGENS LTDA (14.187.040/0001-07)</t>
        </is>
      </c>
      <c r="O1808" s="29" t="n">
        <v>0</v>
      </c>
      <c r="P1808" s="29" t="n">
        <v>0</v>
      </c>
      <c r="Q1808" s="29" t="n">
        <v>0</v>
      </c>
      <c r="R1808" s="29" t="n">
        <v>0</v>
      </c>
      <c r="S1808" s="29" t="n">
        <v>0</v>
      </c>
      <c r="T1808" t="inlineStr">
        <is>
          <t>25250726975620000130570010000047761000000008</t>
        </is>
      </c>
      <c r="U1808" t="inlineStr">
        <is>
          <t>Não</t>
        </is>
      </c>
    </row>
    <row r="1809">
      <c r="A1809" t="inlineStr">
        <is>
          <t>Frete de venda</t>
        </is>
      </c>
      <c r="B1809" t="inlineStr">
        <is>
          <t>2.01.02 Frete sobre Vendas</t>
        </is>
      </c>
      <c r="C1809" t="inlineStr">
        <is>
          <t>Antes de 2026</t>
        </is>
      </c>
      <c r="D1809" t="inlineStr">
        <is>
          <t>Antes de 2026</t>
        </is>
      </c>
      <c r="E1809" s="28" t="n">
        <v>45868</v>
      </c>
      <c r="F1809" t="inlineStr">
        <is>
          <t>CT-e</t>
        </is>
      </c>
      <c r="G1809" t="inlineStr">
        <is>
          <t>000004780</t>
        </is>
      </c>
      <c r="H1809" t="inlineStr">
        <is>
          <t>R&amp;R TRANSPORTE E LOGISTICA</t>
        </is>
      </c>
      <c r="J1809" s="29" t="n">
        <v>33.09</v>
      </c>
      <c r="K1809" s="29">
        <f>(1-ISNUMBER(SEARCH("556",M1809)))*(O1809*SUMIFS(Premissas!$C$5:$C$44,Premissas!$A$5:$A$44,$A1809,Premissas!$B$5:$B$44,$B1809)+P1809*SUMIFS(Premissas!$D$5:$D$44,Premissas!$A$5:$A$44,$A1809,Premissas!$B$5:$B$44,$B1809))+R1809*SUMIFS(Premissas!$E$5:$E$44,Premissas!$A$5:$A$44,$A1809,Premissas!$B$5:$B$44,$B1809)+S1809*SUMIFS(Premissas!$F$5:$F$44,Premissas!$A$5:$A$44,$A1809,Premissas!$B$5:$B$44,$B1809)</f>
        <v/>
      </c>
      <c r="L1809" s="29">
        <f>J1809-K1809</f>
        <v/>
      </c>
      <c r="M1809" t="inlineStr">
        <is>
          <t>1.350</t>
        </is>
      </c>
      <c r="N1809" t="inlineStr">
        <is>
          <t>Modalidade: 0 - Por conta do remetente | Parte: EMBALAGENS PARREIRA LTDA (24.780.871/0001-33)</t>
        </is>
      </c>
      <c r="O1809" s="29" t="n">
        <v>0</v>
      </c>
      <c r="P1809" s="29" t="n">
        <v>0</v>
      </c>
      <c r="Q1809" s="29" t="n">
        <v>0</v>
      </c>
      <c r="R1809" s="29" t="n">
        <v>0</v>
      </c>
      <c r="S1809" s="29" t="n">
        <v>0</v>
      </c>
      <c r="T1809" t="inlineStr">
        <is>
          <t>25250726975620000130570010000047801000000000</t>
        </is>
      </c>
      <c r="U1809" t="inlineStr">
        <is>
          <t>Não</t>
        </is>
      </c>
    </row>
    <row r="1810">
      <c r="A1810" t="inlineStr">
        <is>
          <t>Frete de venda</t>
        </is>
      </c>
      <c r="B1810" t="inlineStr">
        <is>
          <t>2.01.02 Frete sobre Vendas</t>
        </is>
      </c>
      <c r="C1810" t="inlineStr">
        <is>
          <t>Antes de 2026</t>
        </is>
      </c>
      <c r="D1810" t="inlineStr">
        <is>
          <t>Antes de 2026</t>
        </is>
      </c>
      <c r="E1810" s="28" t="n">
        <v>45868</v>
      </c>
      <c r="F1810" t="inlineStr">
        <is>
          <t>CT-e</t>
        </is>
      </c>
      <c r="G1810" t="inlineStr">
        <is>
          <t>000004781</t>
        </is>
      </c>
      <c r="H1810" t="inlineStr">
        <is>
          <t>R&amp;R TRANSPORTE E LOGISTICA</t>
        </is>
      </c>
      <c r="J1810" s="29" t="n">
        <v>39.57</v>
      </c>
      <c r="K1810" s="29">
        <f>(1-ISNUMBER(SEARCH("556",M1810)))*(O1810*SUMIFS(Premissas!$C$5:$C$44,Premissas!$A$5:$A$44,$A1810,Premissas!$B$5:$B$44,$B1810)+P1810*SUMIFS(Premissas!$D$5:$D$44,Premissas!$A$5:$A$44,$A1810,Premissas!$B$5:$B$44,$B1810))+R1810*SUMIFS(Premissas!$E$5:$E$44,Premissas!$A$5:$A$44,$A1810,Premissas!$B$5:$B$44,$B1810)+S1810*SUMIFS(Premissas!$F$5:$F$44,Premissas!$A$5:$A$44,$A1810,Premissas!$B$5:$B$44,$B1810)</f>
        <v/>
      </c>
      <c r="L1810" s="29">
        <f>J1810-K1810</f>
        <v/>
      </c>
      <c r="M1810" t="inlineStr">
        <is>
          <t>1.350</t>
        </is>
      </c>
      <c r="N1810" t="inlineStr">
        <is>
          <t>Modalidade: 0 - Por conta do remetente | Parte: ALMEIDA CARDOSO EMBALAGENS LTDA (17.514.242/0001-04)</t>
        </is>
      </c>
      <c r="O1810" s="29" t="n">
        <v>0</v>
      </c>
      <c r="P1810" s="29" t="n">
        <v>0</v>
      </c>
      <c r="Q1810" s="29" t="n">
        <v>0</v>
      </c>
      <c r="R1810" s="29" t="n">
        <v>0</v>
      </c>
      <c r="S1810" s="29" t="n">
        <v>0</v>
      </c>
      <c r="T1810" t="inlineStr">
        <is>
          <t>25250726975620000130570010000047811000000008</t>
        </is>
      </c>
      <c r="U1810" t="inlineStr">
        <is>
          <t>Não</t>
        </is>
      </c>
    </row>
    <row r="1811">
      <c r="A1811" t="inlineStr">
        <is>
          <t>Frete de venda</t>
        </is>
      </c>
      <c r="B1811" t="inlineStr">
        <is>
          <t>2.01.02 Frete sobre Vendas</t>
        </is>
      </c>
      <c r="C1811" t="inlineStr">
        <is>
          <t>Antes de 2026</t>
        </is>
      </c>
      <c r="D1811" t="inlineStr">
        <is>
          <t>Antes de 2026</t>
        </is>
      </c>
      <c r="E1811" s="28" t="n">
        <v>45868</v>
      </c>
      <c r="F1811" t="inlineStr">
        <is>
          <t>CT-e</t>
        </is>
      </c>
      <c r="G1811" t="inlineStr">
        <is>
          <t>000004782</t>
        </is>
      </c>
      <c r="H1811" t="inlineStr">
        <is>
          <t>R&amp;R TRANSPORTE E LOGISTICA</t>
        </is>
      </c>
      <c r="J1811" s="29" t="n">
        <v>26.48</v>
      </c>
      <c r="K1811" s="29">
        <f>(1-ISNUMBER(SEARCH("556",M1811)))*(O1811*SUMIFS(Premissas!$C$5:$C$44,Premissas!$A$5:$A$44,$A1811,Premissas!$B$5:$B$44,$B1811)+P1811*SUMIFS(Premissas!$D$5:$D$44,Premissas!$A$5:$A$44,$A1811,Premissas!$B$5:$B$44,$B1811))+R1811*SUMIFS(Premissas!$E$5:$E$44,Premissas!$A$5:$A$44,$A1811,Premissas!$B$5:$B$44,$B1811)+S1811*SUMIFS(Premissas!$F$5:$F$44,Premissas!$A$5:$A$44,$A1811,Premissas!$B$5:$B$44,$B1811)</f>
        <v/>
      </c>
      <c r="L1811" s="29">
        <f>J1811-K1811</f>
        <v/>
      </c>
      <c r="M1811" t="inlineStr">
        <is>
          <t>1.350</t>
        </is>
      </c>
      <c r="N1811" t="inlineStr">
        <is>
          <t>Modalidade: 0 - Por conta do remetente | Parte: JL COMERCIO DE EMBALAGENS LTDA (44.623.770/0001-66)</t>
        </is>
      </c>
      <c r="O1811" s="29" t="n">
        <v>0</v>
      </c>
      <c r="P1811" s="29" t="n">
        <v>0</v>
      </c>
      <c r="Q1811" s="29" t="n">
        <v>0</v>
      </c>
      <c r="R1811" s="29" t="n">
        <v>0</v>
      </c>
      <c r="S1811" s="29" t="n">
        <v>0</v>
      </c>
      <c r="T1811" t="inlineStr">
        <is>
          <t>25250726975620000130570010000047821000000005</t>
        </is>
      </c>
      <c r="U1811" t="inlineStr">
        <is>
          <t>Não</t>
        </is>
      </c>
    </row>
    <row r="1812">
      <c r="A1812" t="inlineStr">
        <is>
          <t>Frete de venda</t>
        </is>
      </c>
      <c r="B1812" t="inlineStr">
        <is>
          <t>2.01.02 Frete sobre Vendas</t>
        </is>
      </c>
      <c r="C1812" t="inlineStr">
        <is>
          <t>Antes de 2026</t>
        </is>
      </c>
      <c r="D1812" t="inlineStr">
        <is>
          <t>Antes de 2026</t>
        </is>
      </c>
      <c r="E1812" s="28" t="n">
        <v>45868</v>
      </c>
      <c r="F1812" t="inlineStr">
        <is>
          <t>CT-e</t>
        </is>
      </c>
      <c r="G1812" t="inlineStr">
        <is>
          <t>000004783</t>
        </is>
      </c>
      <c r="H1812" t="inlineStr">
        <is>
          <t>R&amp;R TRANSPORTE E LOGISTICA</t>
        </is>
      </c>
      <c r="J1812" s="29" t="n">
        <v>31.03</v>
      </c>
      <c r="K1812" s="29">
        <f>(1-ISNUMBER(SEARCH("556",M1812)))*(O1812*SUMIFS(Premissas!$C$5:$C$44,Premissas!$A$5:$A$44,$A1812,Premissas!$B$5:$B$44,$B1812)+P1812*SUMIFS(Premissas!$D$5:$D$44,Premissas!$A$5:$A$44,$A1812,Premissas!$B$5:$B$44,$B1812))+R1812*SUMIFS(Premissas!$E$5:$E$44,Premissas!$A$5:$A$44,$A1812,Premissas!$B$5:$B$44,$B1812)+S1812*SUMIFS(Premissas!$F$5:$F$44,Premissas!$A$5:$A$44,$A1812,Premissas!$B$5:$B$44,$B1812)</f>
        <v/>
      </c>
      <c r="L1812" s="29">
        <f>J1812-K1812</f>
        <v/>
      </c>
      <c r="M1812" t="inlineStr">
        <is>
          <t>1.350</t>
        </is>
      </c>
      <c r="N1812" t="inlineStr">
        <is>
          <t>Modalidade: 0 - Por conta do remetente | Parte: ATACADAO DOS FRIOS LTDA (15.659.135/0001-30)</t>
        </is>
      </c>
      <c r="O1812" s="29" t="n">
        <v>0</v>
      </c>
      <c r="P1812" s="29" t="n">
        <v>0</v>
      </c>
      <c r="Q1812" s="29" t="n">
        <v>0</v>
      </c>
      <c r="R1812" s="29" t="n">
        <v>0</v>
      </c>
      <c r="S1812" s="29" t="n">
        <v>0</v>
      </c>
      <c r="T1812" t="inlineStr">
        <is>
          <t>25250726975620000130570010000047831000000002</t>
        </is>
      </c>
      <c r="U1812" t="inlineStr">
        <is>
          <t>Não</t>
        </is>
      </c>
    </row>
    <row r="1813">
      <c r="A1813" t="inlineStr">
        <is>
          <t>Frete de venda</t>
        </is>
      </c>
      <c r="B1813" t="inlineStr">
        <is>
          <t>2.01.02 Frete sobre Vendas</t>
        </is>
      </c>
      <c r="C1813" t="inlineStr">
        <is>
          <t>Antes de 2026</t>
        </is>
      </c>
      <c r="D1813" t="inlineStr">
        <is>
          <t>Antes de 2026</t>
        </is>
      </c>
      <c r="E1813" s="28" t="n">
        <v>45868</v>
      </c>
      <c r="F1813" t="inlineStr">
        <is>
          <t>CT-e</t>
        </is>
      </c>
      <c r="G1813" t="inlineStr">
        <is>
          <t>000004784</t>
        </is>
      </c>
      <c r="H1813" t="inlineStr">
        <is>
          <t>R&amp;R TRANSPORTE E LOGISTICA</t>
        </is>
      </c>
      <c r="J1813" s="29" t="n">
        <v>32.17</v>
      </c>
      <c r="K1813" s="29">
        <f>(1-ISNUMBER(SEARCH("556",M1813)))*(O1813*SUMIFS(Premissas!$C$5:$C$44,Premissas!$A$5:$A$44,$A1813,Premissas!$B$5:$B$44,$B1813)+P1813*SUMIFS(Premissas!$D$5:$D$44,Premissas!$A$5:$A$44,$A1813,Premissas!$B$5:$B$44,$B1813))+R1813*SUMIFS(Premissas!$E$5:$E$44,Premissas!$A$5:$A$44,$A1813,Premissas!$B$5:$B$44,$B1813)+S1813*SUMIFS(Premissas!$F$5:$F$44,Premissas!$A$5:$A$44,$A1813,Premissas!$B$5:$B$44,$B1813)</f>
        <v/>
      </c>
      <c r="L1813" s="29">
        <f>J1813-K1813</f>
        <v/>
      </c>
      <c r="M1813" t="inlineStr">
        <is>
          <t>1.350</t>
        </is>
      </c>
      <c r="N1813" t="inlineStr">
        <is>
          <t>Modalidade: 0 - Por conta do remetente | Parte: PEREIRA e RABELO LTDA (14.924.495/0001-50)</t>
        </is>
      </c>
      <c r="O1813" s="29" t="n">
        <v>0</v>
      </c>
      <c r="P1813" s="29" t="n">
        <v>0</v>
      </c>
      <c r="Q1813" s="29" t="n">
        <v>0</v>
      </c>
      <c r="R1813" s="29" t="n">
        <v>0</v>
      </c>
      <c r="S1813" s="29" t="n">
        <v>0</v>
      </c>
      <c r="T1813" t="inlineStr">
        <is>
          <t>25250726975620000130570010000047841000000000</t>
        </is>
      </c>
      <c r="U1813" t="inlineStr">
        <is>
          <t>Não</t>
        </is>
      </c>
    </row>
    <row r="1814">
      <c r="A1814" t="inlineStr">
        <is>
          <t>Frete de venda</t>
        </is>
      </c>
      <c r="B1814" t="inlineStr">
        <is>
          <t>2.01.02 Frete sobre Vendas</t>
        </is>
      </c>
      <c r="C1814" t="inlineStr">
        <is>
          <t>Antes de 2026</t>
        </is>
      </c>
      <c r="D1814" t="inlineStr">
        <is>
          <t>Antes de 2026</t>
        </is>
      </c>
      <c r="E1814" s="28" t="n">
        <v>45868</v>
      </c>
      <c r="F1814" t="inlineStr">
        <is>
          <t>CT-e</t>
        </is>
      </c>
      <c r="G1814" t="inlineStr">
        <is>
          <t>000004785</t>
        </is>
      </c>
      <c r="H1814" t="inlineStr">
        <is>
          <t>R&amp;R TRANSPORTE E LOGISTICA</t>
        </is>
      </c>
      <c r="J1814" s="29" t="n">
        <v>31.77</v>
      </c>
      <c r="K1814" s="29">
        <f>(1-ISNUMBER(SEARCH("556",M1814)))*(O1814*SUMIFS(Premissas!$C$5:$C$44,Premissas!$A$5:$A$44,$A1814,Premissas!$B$5:$B$44,$B1814)+P1814*SUMIFS(Premissas!$D$5:$D$44,Premissas!$A$5:$A$44,$A1814,Premissas!$B$5:$B$44,$B1814))+R1814*SUMIFS(Premissas!$E$5:$E$44,Premissas!$A$5:$A$44,$A1814,Premissas!$B$5:$B$44,$B1814)+S1814*SUMIFS(Premissas!$F$5:$F$44,Premissas!$A$5:$A$44,$A1814,Premissas!$B$5:$B$44,$B1814)</f>
        <v/>
      </c>
      <c r="L1814" s="29">
        <f>J1814-K1814</f>
        <v/>
      </c>
      <c r="M1814" t="inlineStr">
        <is>
          <t>1.350</t>
        </is>
      </c>
      <c r="N1814" t="inlineStr">
        <is>
          <t>Modalidade: 0 - Por conta do remetente | Parte: COMERCIAL DE DOCES E BEBIDAS CENTRAL LTDA (02.830.640/0001-54)</t>
        </is>
      </c>
      <c r="O1814" s="29" t="n">
        <v>0</v>
      </c>
      <c r="P1814" s="29" t="n">
        <v>0</v>
      </c>
      <c r="Q1814" s="29" t="n">
        <v>0</v>
      </c>
      <c r="R1814" s="29" t="n">
        <v>0</v>
      </c>
      <c r="S1814" s="29" t="n">
        <v>0</v>
      </c>
      <c r="T1814" t="inlineStr">
        <is>
          <t>25250726975620000130570010000047851000000007</t>
        </is>
      </c>
      <c r="U1814" t="inlineStr">
        <is>
          <t>Não</t>
        </is>
      </c>
    </row>
    <row r="1815">
      <c r="A1815" t="inlineStr">
        <is>
          <t>Frete de venda</t>
        </is>
      </c>
      <c r="B1815" t="inlineStr">
        <is>
          <t>2.01.02 Frete sobre Vendas</t>
        </is>
      </c>
      <c r="C1815" t="inlineStr">
        <is>
          <t>Antes de 2026</t>
        </is>
      </c>
      <c r="D1815" t="inlineStr">
        <is>
          <t>Antes de 2026</t>
        </is>
      </c>
      <c r="E1815" s="28" t="n">
        <v>45868</v>
      </c>
      <c r="F1815" t="inlineStr">
        <is>
          <t>CT-e</t>
        </is>
      </c>
      <c r="G1815" t="inlineStr">
        <is>
          <t>000004786</t>
        </is>
      </c>
      <c r="H1815" t="inlineStr">
        <is>
          <t>R&amp;R TRANSPORTE E LOGISTICA</t>
        </is>
      </c>
      <c r="J1815" s="29" t="n">
        <v>33.13</v>
      </c>
      <c r="K1815" s="29">
        <f>(1-ISNUMBER(SEARCH("556",M1815)))*(O1815*SUMIFS(Premissas!$C$5:$C$44,Premissas!$A$5:$A$44,$A1815,Premissas!$B$5:$B$44,$B1815)+P1815*SUMIFS(Premissas!$D$5:$D$44,Premissas!$A$5:$A$44,$A1815,Premissas!$B$5:$B$44,$B1815))+R1815*SUMIFS(Premissas!$E$5:$E$44,Premissas!$A$5:$A$44,$A1815,Premissas!$B$5:$B$44,$B1815)+S1815*SUMIFS(Premissas!$F$5:$F$44,Premissas!$A$5:$A$44,$A1815,Premissas!$B$5:$B$44,$B1815)</f>
        <v/>
      </c>
      <c r="L1815" s="29">
        <f>J1815-K1815</f>
        <v/>
      </c>
      <c r="M1815" t="inlineStr">
        <is>
          <t>1.350</t>
        </is>
      </c>
      <c r="N1815" t="inlineStr">
        <is>
          <t>Modalidade: 0 - Por conta do remetente | Parte: MARISA MEGUMI TANAKA (43.152.921/0001-82)</t>
        </is>
      </c>
      <c r="O1815" s="29" t="n">
        <v>0</v>
      </c>
      <c r="P1815" s="29" t="n">
        <v>0</v>
      </c>
      <c r="Q1815" s="29" t="n">
        <v>0</v>
      </c>
      <c r="R1815" s="29" t="n">
        <v>0</v>
      </c>
      <c r="S1815" s="29" t="n">
        <v>0</v>
      </c>
      <c r="T1815" t="inlineStr">
        <is>
          <t>25250726975620000130570010000047861000000004</t>
        </is>
      </c>
      <c r="U1815" t="inlineStr">
        <is>
          <t>Não</t>
        </is>
      </c>
    </row>
    <row r="1816">
      <c r="A1816" t="inlineStr">
        <is>
          <t>Frete de venda</t>
        </is>
      </c>
      <c r="B1816" t="inlineStr">
        <is>
          <t>2.01.02 Frete sobre Vendas</t>
        </is>
      </c>
      <c r="C1816" t="inlineStr">
        <is>
          <t>Antes de 2026</t>
        </is>
      </c>
      <c r="D1816" t="inlineStr">
        <is>
          <t>Antes de 2026</t>
        </is>
      </c>
      <c r="E1816" s="28" t="n">
        <v>45868</v>
      </c>
      <c r="F1816" t="inlineStr">
        <is>
          <t>CT-e</t>
        </is>
      </c>
      <c r="G1816" t="inlineStr">
        <is>
          <t>000004787</t>
        </is>
      </c>
      <c r="H1816" t="inlineStr">
        <is>
          <t>R&amp;R TRANSPORTE E LOGISTICA</t>
        </is>
      </c>
      <c r="J1816" s="29" t="n">
        <v>124.47</v>
      </c>
      <c r="K1816" s="29">
        <f>(1-ISNUMBER(SEARCH("556",M1816)))*(O1816*SUMIFS(Premissas!$C$5:$C$44,Premissas!$A$5:$A$44,$A1816,Premissas!$B$5:$B$44,$B1816)+P1816*SUMIFS(Premissas!$D$5:$D$44,Premissas!$A$5:$A$44,$A1816,Premissas!$B$5:$B$44,$B1816))+R1816*SUMIFS(Premissas!$E$5:$E$44,Premissas!$A$5:$A$44,$A1816,Premissas!$B$5:$B$44,$B1816)+S1816*SUMIFS(Premissas!$F$5:$F$44,Premissas!$A$5:$A$44,$A1816,Premissas!$B$5:$B$44,$B1816)</f>
        <v/>
      </c>
      <c r="L1816" s="29">
        <f>J1816-K1816</f>
        <v/>
      </c>
      <c r="M1816" t="inlineStr">
        <is>
          <t>1.350</t>
        </is>
      </c>
      <c r="N1816" t="inlineStr">
        <is>
          <t>Modalidade: 0 - Por conta do remetente | Parte: RODRIGUES E CIA LTDA (26.144.570/0001-49)</t>
        </is>
      </c>
      <c r="O1816" s="29" t="n">
        <v>0</v>
      </c>
      <c r="P1816" s="29" t="n">
        <v>0</v>
      </c>
      <c r="Q1816" s="29" t="n">
        <v>0</v>
      </c>
      <c r="R1816" s="29" t="n">
        <v>0</v>
      </c>
      <c r="S1816" s="29" t="n">
        <v>0</v>
      </c>
      <c r="T1816" t="inlineStr">
        <is>
          <t>25250726975620000130570010000047871000000001</t>
        </is>
      </c>
      <c r="U1816" t="inlineStr">
        <is>
          <t>Não</t>
        </is>
      </c>
    </row>
    <row r="1817">
      <c r="A1817" t="inlineStr">
        <is>
          <t>Frete de venda</t>
        </is>
      </c>
      <c r="B1817" t="inlineStr">
        <is>
          <t>2.01.02 Frete sobre Vendas</t>
        </is>
      </c>
      <c r="C1817" t="inlineStr">
        <is>
          <t>Antes de 2026</t>
        </is>
      </c>
      <c r="D1817" t="inlineStr">
        <is>
          <t>Antes de 2026</t>
        </is>
      </c>
      <c r="E1817" s="28" t="n">
        <v>45869</v>
      </c>
      <c r="F1817" t="inlineStr">
        <is>
          <t>CT-e</t>
        </is>
      </c>
      <c r="G1817" t="inlineStr">
        <is>
          <t>000004796</t>
        </is>
      </c>
      <c r="H1817" t="inlineStr">
        <is>
          <t>R&amp;R TRANSPORTE E LOGISTICA</t>
        </is>
      </c>
      <c r="J1817" s="29" t="n">
        <v>58.06</v>
      </c>
      <c r="K1817" s="29">
        <f>(1-ISNUMBER(SEARCH("556",M1817)))*(O1817*SUMIFS(Premissas!$C$5:$C$44,Premissas!$A$5:$A$44,$A1817,Premissas!$B$5:$B$44,$B1817)+P1817*SUMIFS(Premissas!$D$5:$D$44,Premissas!$A$5:$A$44,$A1817,Premissas!$B$5:$B$44,$B1817))+R1817*SUMIFS(Premissas!$E$5:$E$44,Premissas!$A$5:$A$44,$A1817,Premissas!$B$5:$B$44,$B1817)+S1817*SUMIFS(Premissas!$F$5:$F$44,Premissas!$A$5:$A$44,$A1817,Premissas!$B$5:$B$44,$B1817)</f>
        <v/>
      </c>
      <c r="L1817" s="29">
        <f>J1817-K1817</f>
        <v/>
      </c>
      <c r="M1817" t="inlineStr">
        <is>
          <t>1.350</t>
        </is>
      </c>
      <c r="N1817" t="inlineStr">
        <is>
          <t>Modalidade: 0 - Por conta do remetente | Parte: CASINHAPEL EMBALAGENS LTDA (13.190.805/0001-97)</t>
        </is>
      </c>
      <c r="O1817" s="29" t="n">
        <v>0</v>
      </c>
      <c r="P1817" s="29" t="n">
        <v>0</v>
      </c>
      <c r="Q1817" s="29" t="n">
        <v>0</v>
      </c>
      <c r="R1817" s="29" t="n">
        <v>0</v>
      </c>
      <c r="S1817" s="29" t="n">
        <v>0</v>
      </c>
      <c r="T1817" t="inlineStr">
        <is>
          <t>25250726975620000130570010000047961000000000</t>
        </is>
      </c>
      <c r="U1817" t="inlineStr">
        <is>
          <t>Não</t>
        </is>
      </c>
    </row>
    <row r="1818">
      <c r="A1818" t="inlineStr">
        <is>
          <t>Frete de venda</t>
        </is>
      </c>
      <c r="B1818" t="inlineStr">
        <is>
          <t>2.01.02 Frete sobre Vendas</t>
        </is>
      </c>
      <c r="C1818" t="inlineStr">
        <is>
          <t>Antes de 2026</t>
        </is>
      </c>
      <c r="D1818" t="inlineStr">
        <is>
          <t>Antes de 2026</t>
        </is>
      </c>
      <c r="E1818" s="28" t="n">
        <v>45869</v>
      </c>
      <c r="F1818" t="inlineStr">
        <is>
          <t>CT-e</t>
        </is>
      </c>
      <c r="G1818" t="inlineStr">
        <is>
          <t>000004797</t>
        </is>
      </c>
      <c r="H1818" t="inlineStr">
        <is>
          <t>R&amp;R TRANSPORTE E LOGISTICA</t>
        </is>
      </c>
      <c r="J1818" s="29" t="n">
        <v>49.86</v>
      </c>
      <c r="K1818" s="29">
        <f>(1-ISNUMBER(SEARCH("556",M1818)))*(O1818*SUMIFS(Premissas!$C$5:$C$44,Premissas!$A$5:$A$44,$A1818,Premissas!$B$5:$B$44,$B1818)+P1818*SUMIFS(Premissas!$D$5:$D$44,Premissas!$A$5:$A$44,$A1818,Premissas!$B$5:$B$44,$B1818))+R1818*SUMIFS(Premissas!$E$5:$E$44,Premissas!$A$5:$A$44,$A1818,Premissas!$B$5:$B$44,$B1818)+S1818*SUMIFS(Premissas!$F$5:$F$44,Premissas!$A$5:$A$44,$A1818,Premissas!$B$5:$B$44,$B1818)</f>
        <v/>
      </c>
      <c r="L1818" s="29">
        <f>J1818-K1818</f>
        <v/>
      </c>
      <c r="M1818" t="inlineStr">
        <is>
          <t>1.350</t>
        </is>
      </c>
      <c r="N1818" t="inlineStr">
        <is>
          <t>Modalidade: 0 - Por conta do remetente | Parte: MULTI-EMBALAGENS (02.034.889/0001-53)</t>
        </is>
      </c>
      <c r="O1818" s="29" t="n">
        <v>0</v>
      </c>
      <c r="P1818" s="29" t="n">
        <v>0</v>
      </c>
      <c r="Q1818" s="29" t="n">
        <v>0</v>
      </c>
      <c r="R1818" s="29" t="n">
        <v>0</v>
      </c>
      <c r="S1818" s="29" t="n">
        <v>0</v>
      </c>
      <c r="T1818" t="inlineStr">
        <is>
          <t>25250726975620000130570010000047971000000008</t>
        </is>
      </c>
      <c r="U1818" t="inlineStr">
        <is>
          <t>Não</t>
        </is>
      </c>
    </row>
    <row r="1819">
      <c r="A1819" t="inlineStr">
        <is>
          <t>Frete de venda</t>
        </is>
      </c>
      <c r="B1819" t="inlineStr">
        <is>
          <t>2.01.02 Frete sobre Vendas</t>
        </is>
      </c>
      <c r="C1819" t="inlineStr">
        <is>
          <t>Antes de 2026</t>
        </is>
      </c>
      <c r="D1819" t="inlineStr">
        <is>
          <t>Antes de 2026</t>
        </is>
      </c>
      <c r="E1819" s="28" t="n">
        <v>45869</v>
      </c>
      <c r="F1819" t="inlineStr">
        <is>
          <t>CT-e</t>
        </is>
      </c>
      <c r="G1819" t="inlineStr">
        <is>
          <t>000004798</t>
        </is>
      </c>
      <c r="H1819" t="inlineStr">
        <is>
          <t>R&amp;R TRANSPORTE E LOGISTICA</t>
        </is>
      </c>
      <c r="J1819" s="29" t="n">
        <v>227.76</v>
      </c>
      <c r="K1819" s="29">
        <f>(1-ISNUMBER(SEARCH("556",M1819)))*(O1819*SUMIFS(Premissas!$C$5:$C$44,Premissas!$A$5:$A$44,$A1819,Premissas!$B$5:$B$44,$B1819)+P1819*SUMIFS(Premissas!$D$5:$D$44,Premissas!$A$5:$A$44,$A1819,Premissas!$B$5:$B$44,$B1819))+R1819*SUMIFS(Premissas!$E$5:$E$44,Premissas!$A$5:$A$44,$A1819,Premissas!$B$5:$B$44,$B1819)+S1819*SUMIFS(Premissas!$F$5:$F$44,Premissas!$A$5:$A$44,$A1819,Premissas!$B$5:$B$44,$B1819)</f>
        <v/>
      </c>
      <c r="L1819" s="29">
        <f>J1819-K1819</f>
        <v/>
      </c>
      <c r="M1819" t="inlineStr">
        <is>
          <t>1.350</t>
        </is>
      </c>
      <c r="N1819" t="inlineStr">
        <is>
          <t>Modalidade: 0 - Por conta do remetente | Parte: RODRIGUES e DIAS COMERCIO DE HORTIFRUTI GRANJEIROS LTDA (09.143.905/0001-95)</t>
        </is>
      </c>
      <c r="O1819" s="29" t="n">
        <v>0</v>
      </c>
      <c r="P1819" s="29" t="n">
        <v>0</v>
      </c>
      <c r="Q1819" s="29" t="n">
        <v>0</v>
      </c>
      <c r="R1819" s="29" t="n">
        <v>0</v>
      </c>
      <c r="S1819" s="29" t="n">
        <v>0</v>
      </c>
      <c r="T1819" t="inlineStr">
        <is>
          <t>25250726975620000130570010000047981000000005</t>
        </is>
      </c>
      <c r="U1819" t="inlineStr">
        <is>
          <t>Não</t>
        </is>
      </c>
    </row>
    <row r="1820">
      <c r="A1820" t="inlineStr">
        <is>
          <t>Frete de venda</t>
        </is>
      </c>
      <c r="B1820" t="inlineStr">
        <is>
          <t>2.01.02 Frete sobre Vendas</t>
        </is>
      </c>
      <c r="C1820" t="inlineStr">
        <is>
          <t>Antes de 2026</t>
        </is>
      </c>
      <c r="D1820" t="inlineStr">
        <is>
          <t>Antes de 2026</t>
        </is>
      </c>
      <c r="E1820" s="28" t="n">
        <v>45870</v>
      </c>
      <c r="F1820" t="inlineStr">
        <is>
          <t>CT-e</t>
        </is>
      </c>
      <c r="G1820" t="inlineStr">
        <is>
          <t>000004806</t>
        </is>
      </c>
      <c r="H1820" t="inlineStr">
        <is>
          <t>R&amp;R TRANSPORTE E LOGISTICA</t>
        </is>
      </c>
      <c r="J1820" s="29" t="n">
        <v>42.02</v>
      </c>
      <c r="K1820" s="29">
        <f>(1-ISNUMBER(SEARCH("556",M1820)))*(O1820*SUMIFS(Premissas!$C$5:$C$44,Premissas!$A$5:$A$44,$A1820,Premissas!$B$5:$B$44,$B1820)+P1820*SUMIFS(Premissas!$D$5:$D$44,Premissas!$A$5:$A$44,$A1820,Premissas!$B$5:$B$44,$B1820))+R1820*SUMIFS(Premissas!$E$5:$E$44,Premissas!$A$5:$A$44,$A1820,Premissas!$B$5:$B$44,$B1820)+S1820*SUMIFS(Premissas!$F$5:$F$44,Premissas!$A$5:$A$44,$A1820,Premissas!$B$5:$B$44,$B1820)</f>
        <v/>
      </c>
      <c r="L1820" s="29">
        <f>J1820-K1820</f>
        <v/>
      </c>
      <c r="M1820" t="inlineStr">
        <is>
          <t>1.350</t>
        </is>
      </c>
      <c r="N1820" t="inlineStr">
        <is>
          <t>Modalidade: 0 - Por conta do remetente | Parte: GDR ATACADO E VAREJO LTDA (55.727.510/0001-57)</t>
        </is>
      </c>
      <c r="O1820" s="29" t="n">
        <v>0</v>
      </c>
      <c r="P1820" s="29" t="n">
        <v>0</v>
      </c>
      <c r="Q1820" s="29" t="n">
        <v>0</v>
      </c>
      <c r="R1820" s="29" t="n">
        <v>0</v>
      </c>
      <c r="S1820" s="29" t="n">
        <v>0</v>
      </c>
      <c r="T1820" t="inlineStr">
        <is>
          <t>25250826975620000130570010000048061000000002</t>
        </is>
      </c>
      <c r="U1820" t="inlineStr">
        <is>
          <t>Não</t>
        </is>
      </c>
    </row>
    <row r="1821">
      <c r="A1821" t="inlineStr">
        <is>
          <t>Frete de venda</t>
        </is>
      </c>
      <c r="B1821" t="inlineStr">
        <is>
          <t>2.01.02 Frete sobre Vendas</t>
        </is>
      </c>
      <c r="C1821" t="inlineStr">
        <is>
          <t>Antes de 2026</t>
        </is>
      </c>
      <c r="D1821" t="inlineStr">
        <is>
          <t>Antes de 2026</t>
        </is>
      </c>
      <c r="E1821" s="28" t="n">
        <v>45870</v>
      </c>
      <c r="F1821" t="inlineStr">
        <is>
          <t>CT-e</t>
        </is>
      </c>
      <c r="G1821" t="inlineStr">
        <is>
          <t>000004807</t>
        </is>
      </c>
      <c r="H1821" t="inlineStr">
        <is>
          <t>R&amp;R TRANSPORTE E LOGISTICA</t>
        </is>
      </c>
      <c r="J1821" s="29" t="n">
        <v>27.21</v>
      </c>
      <c r="K1821" s="29">
        <f>(1-ISNUMBER(SEARCH("556",M1821)))*(O1821*SUMIFS(Premissas!$C$5:$C$44,Premissas!$A$5:$A$44,$A1821,Premissas!$B$5:$B$44,$B1821)+P1821*SUMIFS(Premissas!$D$5:$D$44,Premissas!$A$5:$A$44,$A1821,Premissas!$B$5:$B$44,$B1821))+R1821*SUMIFS(Premissas!$E$5:$E$44,Premissas!$A$5:$A$44,$A1821,Premissas!$B$5:$B$44,$B1821)+S1821*SUMIFS(Premissas!$F$5:$F$44,Premissas!$A$5:$A$44,$A1821,Premissas!$B$5:$B$44,$B1821)</f>
        <v/>
      </c>
      <c r="L1821" s="29">
        <f>J1821-K1821</f>
        <v/>
      </c>
      <c r="M1821" t="inlineStr">
        <is>
          <t>1.350</t>
        </is>
      </c>
      <c r="N1821" t="inlineStr">
        <is>
          <t>Modalidade: 0 - Por conta do remetente | Parte: PRIMEPACK EMBALAGENS LTDA (49.581.750/0002-74)</t>
        </is>
      </c>
      <c r="O1821" s="29" t="n">
        <v>0</v>
      </c>
      <c r="P1821" s="29" t="n">
        <v>0</v>
      </c>
      <c r="Q1821" s="29" t="n">
        <v>0</v>
      </c>
      <c r="R1821" s="29" t="n">
        <v>0</v>
      </c>
      <c r="S1821" s="29" t="n">
        <v>0</v>
      </c>
      <c r="T1821" t="inlineStr">
        <is>
          <t>25250826975620000130570010000048071000000000</t>
        </is>
      </c>
      <c r="U1821" t="inlineStr">
        <is>
          <t>Não</t>
        </is>
      </c>
    </row>
    <row r="1822">
      <c r="A1822" t="inlineStr">
        <is>
          <t>Frete de venda</t>
        </is>
      </c>
      <c r="B1822" t="inlineStr">
        <is>
          <t>2.01.02 Frete sobre Vendas</t>
        </is>
      </c>
      <c r="C1822" t="inlineStr">
        <is>
          <t>Antes de 2026</t>
        </is>
      </c>
      <c r="D1822" t="inlineStr">
        <is>
          <t>Antes de 2026</t>
        </is>
      </c>
      <c r="E1822" s="28" t="n">
        <v>45870</v>
      </c>
      <c r="F1822" t="inlineStr">
        <is>
          <t>CT-e</t>
        </is>
      </c>
      <c r="G1822" t="inlineStr">
        <is>
          <t>000004808</t>
        </is>
      </c>
      <c r="H1822" t="inlineStr">
        <is>
          <t>R&amp;R TRANSPORTE E LOGISTICA</t>
        </is>
      </c>
      <c r="J1822" s="29" t="n">
        <v>17.84</v>
      </c>
      <c r="K1822" s="29">
        <f>(1-ISNUMBER(SEARCH("556",M1822)))*(O1822*SUMIFS(Premissas!$C$5:$C$44,Premissas!$A$5:$A$44,$A1822,Premissas!$B$5:$B$44,$B1822)+P1822*SUMIFS(Premissas!$D$5:$D$44,Premissas!$A$5:$A$44,$A1822,Premissas!$B$5:$B$44,$B1822))+R1822*SUMIFS(Premissas!$E$5:$E$44,Premissas!$A$5:$A$44,$A1822,Premissas!$B$5:$B$44,$B1822)+S1822*SUMIFS(Premissas!$F$5:$F$44,Premissas!$A$5:$A$44,$A1822,Premissas!$B$5:$B$44,$B1822)</f>
        <v/>
      </c>
      <c r="L1822" s="29">
        <f>J1822-K1822</f>
        <v/>
      </c>
      <c r="M1822" t="inlineStr">
        <is>
          <t>1.350</t>
        </is>
      </c>
      <c r="N1822" t="inlineStr">
        <is>
          <t>Modalidade: 0 - Por conta do remetente | Parte: R J COMERCIO DE EMBALAGENS LTDA (22.418.490/0001-83)</t>
        </is>
      </c>
      <c r="O1822" s="29" t="n">
        <v>0</v>
      </c>
      <c r="P1822" s="29" t="n">
        <v>0</v>
      </c>
      <c r="Q1822" s="29" t="n">
        <v>0</v>
      </c>
      <c r="R1822" s="29" t="n">
        <v>0</v>
      </c>
      <c r="S1822" s="29" t="n">
        <v>0</v>
      </c>
      <c r="T1822" t="inlineStr">
        <is>
          <t>25250826975620000130570010000048081000000007</t>
        </is>
      </c>
      <c r="U1822" t="inlineStr">
        <is>
          <t>Não</t>
        </is>
      </c>
    </row>
    <row r="1823">
      <c r="A1823" t="inlineStr">
        <is>
          <t>Frete de venda</t>
        </is>
      </c>
      <c r="B1823" t="inlineStr">
        <is>
          <t>2.01.02 Frete sobre Vendas</t>
        </is>
      </c>
      <c r="C1823" t="inlineStr">
        <is>
          <t>Antes de 2026</t>
        </is>
      </c>
      <c r="D1823" t="inlineStr">
        <is>
          <t>Antes de 2026</t>
        </is>
      </c>
      <c r="E1823" s="28" t="n">
        <v>45870</v>
      </c>
      <c r="F1823" t="inlineStr">
        <is>
          <t>CT-e</t>
        </is>
      </c>
      <c r="G1823" t="inlineStr">
        <is>
          <t>000004809</t>
        </is>
      </c>
      <c r="H1823" t="inlineStr">
        <is>
          <t>R&amp;R TRANSPORTE E LOGISTICA</t>
        </is>
      </c>
      <c r="J1823" s="29" t="n">
        <v>22.12</v>
      </c>
      <c r="K1823" s="29">
        <f>(1-ISNUMBER(SEARCH("556",M1823)))*(O1823*SUMIFS(Premissas!$C$5:$C$44,Premissas!$A$5:$A$44,$A1823,Premissas!$B$5:$B$44,$B1823)+P1823*SUMIFS(Premissas!$D$5:$D$44,Premissas!$A$5:$A$44,$A1823,Premissas!$B$5:$B$44,$B1823))+R1823*SUMIFS(Premissas!$E$5:$E$44,Premissas!$A$5:$A$44,$A1823,Premissas!$B$5:$B$44,$B1823)+S1823*SUMIFS(Premissas!$F$5:$F$44,Premissas!$A$5:$A$44,$A1823,Premissas!$B$5:$B$44,$B1823)</f>
        <v/>
      </c>
      <c r="L1823" s="29">
        <f>J1823-K1823</f>
        <v/>
      </c>
      <c r="M1823" t="inlineStr">
        <is>
          <t>1.350</t>
        </is>
      </c>
      <c r="N1823" t="inlineStr">
        <is>
          <t>Modalidade: 0 - Por conta do remetente | Parte: TC COMERCIO DE EMBALAGENS LTDA (97.193.502/0001-18)</t>
        </is>
      </c>
      <c r="O1823" s="29" t="n">
        <v>0</v>
      </c>
      <c r="P1823" s="29" t="n">
        <v>0</v>
      </c>
      <c r="Q1823" s="29" t="n">
        <v>0</v>
      </c>
      <c r="R1823" s="29" t="n">
        <v>0</v>
      </c>
      <c r="S1823" s="29" t="n">
        <v>0</v>
      </c>
      <c r="T1823" t="inlineStr">
        <is>
          <t>25250826975620000130570010000048091000000004</t>
        </is>
      </c>
      <c r="U1823" t="inlineStr">
        <is>
          <t>Não</t>
        </is>
      </c>
    </row>
    <row r="1824">
      <c r="A1824" t="inlineStr">
        <is>
          <t>Frete de venda</t>
        </is>
      </c>
      <c r="B1824" t="inlineStr">
        <is>
          <t>2.01.02 Frete sobre Vendas</t>
        </is>
      </c>
      <c r="C1824" t="inlineStr">
        <is>
          <t>Antes de 2026</t>
        </is>
      </c>
      <c r="D1824" t="inlineStr">
        <is>
          <t>Antes de 2026</t>
        </is>
      </c>
      <c r="E1824" s="28" t="n">
        <v>45870</v>
      </c>
      <c r="F1824" t="inlineStr">
        <is>
          <t>CT-e</t>
        </is>
      </c>
      <c r="G1824" t="inlineStr">
        <is>
          <t>000004810</t>
        </is>
      </c>
      <c r="H1824" t="inlineStr">
        <is>
          <t>R&amp;R TRANSPORTE E LOGISTICA</t>
        </is>
      </c>
      <c r="J1824" s="29" t="n">
        <v>44.28</v>
      </c>
      <c r="K1824" s="29">
        <f>(1-ISNUMBER(SEARCH("556",M1824)))*(O1824*SUMIFS(Premissas!$C$5:$C$44,Premissas!$A$5:$A$44,$A1824,Premissas!$B$5:$B$44,$B1824)+P1824*SUMIFS(Premissas!$D$5:$D$44,Premissas!$A$5:$A$44,$A1824,Premissas!$B$5:$B$44,$B1824))+R1824*SUMIFS(Premissas!$E$5:$E$44,Premissas!$A$5:$A$44,$A1824,Premissas!$B$5:$B$44,$B1824)+S1824*SUMIFS(Premissas!$F$5:$F$44,Premissas!$A$5:$A$44,$A1824,Premissas!$B$5:$B$44,$B1824)</f>
        <v/>
      </c>
      <c r="L1824" s="29">
        <f>J1824-K1824</f>
        <v/>
      </c>
      <c r="M1824" t="inlineStr">
        <is>
          <t>1.350</t>
        </is>
      </c>
      <c r="N1824" t="inlineStr">
        <is>
          <t>Modalidade: 0 - Por conta do remetente | Parte: ELTON DIEGO SOARES DE CASTRO LTDA (28.176.668/0001-03)</t>
        </is>
      </c>
      <c r="O1824" s="29" t="n">
        <v>0</v>
      </c>
      <c r="P1824" s="29" t="n">
        <v>0</v>
      </c>
      <c r="Q1824" s="29" t="n">
        <v>0</v>
      </c>
      <c r="R1824" s="29" t="n">
        <v>0</v>
      </c>
      <c r="S1824" s="29" t="n">
        <v>0</v>
      </c>
      <c r="T1824" t="inlineStr">
        <is>
          <t>25250826975620000130570010000048101000000005</t>
        </is>
      </c>
      <c r="U1824" t="inlineStr">
        <is>
          <t>Não</t>
        </is>
      </c>
    </row>
    <row r="1825">
      <c r="A1825" t="inlineStr">
        <is>
          <t>Frete de venda</t>
        </is>
      </c>
      <c r="B1825" t="inlineStr">
        <is>
          <t>2.01.02 Frete sobre Vendas</t>
        </is>
      </c>
      <c r="C1825" t="inlineStr">
        <is>
          <t>Antes de 2026</t>
        </is>
      </c>
      <c r="D1825" t="inlineStr">
        <is>
          <t>Antes de 2026</t>
        </is>
      </c>
      <c r="E1825" s="28" t="n">
        <v>45870</v>
      </c>
      <c r="F1825" t="inlineStr">
        <is>
          <t>CT-e</t>
        </is>
      </c>
      <c r="G1825" t="inlineStr">
        <is>
          <t>000004811</t>
        </is>
      </c>
      <c r="H1825" t="inlineStr">
        <is>
          <t>R&amp;R TRANSPORTE E LOGISTICA</t>
        </is>
      </c>
      <c r="J1825" s="29" t="n">
        <v>25.86</v>
      </c>
      <c r="K1825" s="29">
        <f>(1-ISNUMBER(SEARCH("556",M1825)))*(O1825*SUMIFS(Premissas!$C$5:$C$44,Premissas!$A$5:$A$44,$A1825,Premissas!$B$5:$B$44,$B1825)+P1825*SUMIFS(Premissas!$D$5:$D$44,Premissas!$A$5:$A$44,$A1825,Premissas!$B$5:$B$44,$B1825))+R1825*SUMIFS(Premissas!$E$5:$E$44,Premissas!$A$5:$A$44,$A1825,Premissas!$B$5:$B$44,$B1825)+S1825*SUMIFS(Premissas!$F$5:$F$44,Premissas!$A$5:$A$44,$A1825,Premissas!$B$5:$B$44,$B1825)</f>
        <v/>
      </c>
      <c r="L1825" s="29">
        <f>J1825-K1825</f>
        <v/>
      </c>
      <c r="M1825" t="inlineStr">
        <is>
          <t>1.350</t>
        </is>
      </c>
      <c r="N1825" t="inlineStr">
        <is>
          <t>Modalidade: 0 - Por conta do remetente | Parte: COSTA E LIMA COMERCIO E REPRESENTACOES LTDA (42.323.364/0001-52)</t>
        </is>
      </c>
      <c r="O1825" s="29" t="n">
        <v>0</v>
      </c>
      <c r="P1825" s="29" t="n">
        <v>0</v>
      </c>
      <c r="Q1825" s="29" t="n">
        <v>0</v>
      </c>
      <c r="R1825" s="29" t="n">
        <v>0</v>
      </c>
      <c r="S1825" s="29" t="n">
        <v>0</v>
      </c>
      <c r="T1825" t="inlineStr">
        <is>
          <t>25250826975620000130570010000048111000000002</t>
        </is>
      </c>
      <c r="U1825" t="inlineStr">
        <is>
          <t>Não</t>
        </is>
      </c>
    </row>
    <row r="1826">
      <c r="A1826" t="inlineStr">
        <is>
          <t>Frete de venda</t>
        </is>
      </c>
      <c r="B1826" t="inlineStr">
        <is>
          <t>2.01.02 Frete sobre Vendas</t>
        </is>
      </c>
      <c r="C1826" t="inlineStr">
        <is>
          <t>Antes de 2026</t>
        </is>
      </c>
      <c r="D1826" t="inlineStr">
        <is>
          <t>Antes de 2026</t>
        </is>
      </c>
      <c r="E1826" s="28" t="n">
        <v>45870</v>
      </c>
      <c r="F1826" t="inlineStr">
        <is>
          <t>CT-e</t>
        </is>
      </c>
      <c r="G1826" t="inlineStr">
        <is>
          <t>000004812</t>
        </is>
      </c>
      <c r="H1826" t="inlineStr">
        <is>
          <t>R&amp;R TRANSPORTE E LOGISTICA</t>
        </is>
      </c>
      <c r="J1826" s="29" t="n">
        <v>44.22</v>
      </c>
      <c r="K1826" s="29">
        <f>(1-ISNUMBER(SEARCH("556",M1826)))*(O1826*SUMIFS(Premissas!$C$5:$C$44,Premissas!$A$5:$A$44,$A1826,Premissas!$B$5:$B$44,$B1826)+P1826*SUMIFS(Premissas!$D$5:$D$44,Premissas!$A$5:$A$44,$A1826,Premissas!$B$5:$B$44,$B1826))+R1826*SUMIFS(Premissas!$E$5:$E$44,Premissas!$A$5:$A$44,$A1826,Premissas!$B$5:$B$44,$B1826)+S1826*SUMIFS(Premissas!$F$5:$F$44,Premissas!$A$5:$A$44,$A1826,Premissas!$B$5:$B$44,$B1826)</f>
        <v/>
      </c>
      <c r="L1826" s="29">
        <f>J1826-K1826</f>
        <v/>
      </c>
      <c r="M1826" t="inlineStr">
        <is>
          <t>1.350</t>
        </is>
      </c>
      <c r="N1826" t="inlineStr">
        <is>
          <t>Modalidade: 0 - Por conta do remetente | Parte: RBL PLASTICOS LTDA (04.328.070/0001-24)</t>
        </is>
      </c>
      <c r="O1826" s="29" t="n">
        <v>0</v>
      </c>
      <c r="P1826" s="29" t="n">
        <v>0</v>
      </c>
      <c r="Q1826" s="29" t="n">
        <v>0</v>
      </c>
      <c r="R1826" s="29" t="n">
        <v>0</v>
      </c>
      <c r="S1826" s="29" t="n">
        <v>0</v>
      </c>
      <c r="T1826" t="inlineStr">
        <is>
          <t>25250826975620000130570010000048121000000000</t>
        </is>
      </c>
      <c r="U1826" t="inlineStr">
        <is>
          <t>Não</t>
        </is>
      </c>
    </row>
    <row r="1827">
      <c r="A1827" t="inlineStr">
        <is>
          <t>Frete de venda</t>
        </is>
      </c>
      <c r="B1827" t="inlineStr">
        <is>
          <t>2.01.02 Frete sobre Vendas</t>
        </is>
      </c>
      <c r="C1827" t="inlineStr">
        <is>
          <t>Antes de 2026</t>
        </is>
      </c>
      <c r="D1827" t="inlineStr">
        <is>
          <t>Antes de 2026</t>
        </is>
      </c>
      <c r="E1827" s="28" t="n">
        <v>45870</v>
      </c>
      <c r="F1827" t="inlineStr">
        <is>
          <t>CT-e</t>
        </is>
      </c>
      <c r="G1827" t="inlineStr">
        <is>
          <t>000004813</t>
        </is>
      </c>
      <c r="H1827" t="inlineStr">
        <is>
          <t>R&amp;R TRANSPORTE E LOGISTICA</t>
        </is>
      </c>
      <c r="J1827" s="29" t="n">
        <v>59.14</v>
      </c>
      <c r="K1827" s="29">
        <f>(1-ISNUMBER(SEARCH("556",M1827)))*(O1827*SUMIFS(Premissas!$C$5:$C$44,Premissas!$A$5:$A$44,$A1827,Premissas!$B$5:$B$44,$B1827)+P1827*SUMIFS(Premissas!$D$5:$D$44,Premissas!$A$5:$A$44,$A1827,Premissas!$B$5:$B$44,$B1827))+R1827*SUMIFS(Premissas!$E$5:$E$44,Premissas!$A$5:$A$44,$A1827,Premissas!$B$5:$B$44,$B1827)+S1827*SUMIFS(Premissas!$F$5:$F$44,Premissas!$A$5:$A$44,$A1827,Premissas!$B$5:$B$44,$B1827)</f>
        <v/>
      </c>
      <c r="L1827" s="29">
        <f>J1827-K1827</f>
        <v/>
      </c>
      <c r="M1827" t="inlineStr">
        <is>
          <t>1.350</t>
        </is>
      </c>
      <c r="N1827" t="inlineStr">
        <is>
          <t>Modalidade: 0 - Por conta do remetente | Parte: ATACADO NASCAR HIPICA LTDA (04.886.589/0001-28)</t>
        </is>
      </c>
      <c r="O1827" s="29" t="n">
        <v>0</v>
      </c>
      <c r="P1827" s="29" t="n">
        <v>0</v>
      </c>
      <c r="Q1827" s="29" t="n">
        <v>0</v>
      </c>
      <c r="R1827" s="29" t="n">
        <v>0</v>
      </c>
      <c r="S1827" s="29" t="n">
        <v>0</v>
      </c>
      <c r="T1827" t="inlineStr">
        <is>
          <t>25250826975620000130570010000048131000000007</t>
        </is>
      </c>
      <c r="U1827" t="inlineStr">
        <is>
          <t>Não</t>
        </is>
      </c>
    </row>
    <row r="1828">
      <c r="A1828" t="inlineStr">
        <is>
          <t>Frete de venda</t>
        </is>
      </c>
      <c r="B1828" t="inlineStr">
        <is>
          <t>2.01.02 Frete sobre Vendas</t>
        </is>
      </c>
      <c r="C1828" t="inlineStr">
        <is>
          <t>Antes de 2026</t>
        </is>
      </c>
      <c r="D1828" t="inlineStr">
        <is>
          <t>Antes de 2026</t>
        </is>
      </c>
      <c r="E1828" s="28" t="n">
        <v>45870</v>
      </c>
      <c r="F1828" t="inlineStr">
        <is>
          <t>CT-e</t>
        </is>
      </c>
      <c r="G1828" t="inlineStr">
        <is>
          <t>000004814</t>
        </is>
      </c>
      <c r="H1828" t="inlineStr">
        <is>
          <t>R&amp;R TRANSPORTE E LOGISTICA</t>
        </is>
      </c>
      <c r="J1828" s="29" t="n">
        <v>22.42</v>
      </c>
      <c r="K1828" s="29">
        <f>(1-ISNUMBER(SEARCH("556",M1828)))*(O1828*SUMIFS(Premissas!$C$5:$C$44,Premissas!$A$5:$A$44,$A1828,Premissas!$B$5:$B$44,$B1828)+P1828*SUMIFS(Premissas!$D$5:$D$44,Premissas!$A$5:$A$44,$A1828,Premissas!$B$5:$B$44,$B1828))+R1828*SUMIFS(Premissas!$E$5:$E$44,Premissas!$A$5:$A$44,$A1828,Premissas!$B$5:$B$44,$B1828)+S1828*SUMIFS(Premissas!$F$5:$F$44,Premissas!$A$5:$A$44,$A1828,Premissas!$B$5:$B$44,$B1828)</f>
        <v/>
      </c>
      <c r="L1828" s="29">
        <f>J1828-K1828</f>
        <v/>
      </c>
      <c r="M1828" t="inlineStr">
        <is>
          <t>1.350</t>
        </is>
      </c>
      <c r="N1828" t="inlineStr">
        <is>
          <t>Modalidade: 0 - Por conta do remetente | Parte: ISABELA COMERCIO DE ALIMENTOS LTDA (07.712.197/0001-30)</t>
        </is>
      </c>
      <c r="O1828" s="29" t="n">
        <v>0</v>
      </c>
      <c r="P1828" s="29" t="n">
        <v>0</v>
      </c>
      <c r="Q1828" s="29" t="n">
        <v>0</v>
      </c>
      <c r="R1828" s="29" t="n">
        <v>0</v>
      </c>
      <c r="S1828" s="29" t="n">
        <v>0</v>
      </c>
      <c r="T1828" t="inlineStr">
        <is>
          <t>25250826975620000130570010000048141000000004</t>
        </is>
      </c>
      <c r="U1828" t="inlineStr">
        <is>
          <t>Não</t>
        </is>
      </c>
    </row>
    <row r="1829">
      <c r="A1829" t="inlineStr">
        <is>
          <t>Frete de venda</t>
        </is>
      </c>
      <c r="B1829" t="inlineStr">
        <is>
          <t>2.01.02 Frete sobre Vendas</t>
        </is>
      </c>
      <c r="C1829" t="inlineStr">
        <is>
          <t>Antes de 2026</t>
        </is>
      </c>
      <c r="D1829" t="inlineStr">
        <is>
          <t>Antes de 2026</t>
        </is>
      </c>
      <c r="E1829" s="28" t="n">
        <v>45870</v>
      </c>
      <c r="F1829" t="inlineStr">
        <is>
          <t>CT-e</t>
        </is>
      </c>
      <c r="G1829" t="inlineStr">
        <is>
          <t>000004815</t>
        </is>
      </c>
      <c r="H1829" t="inlineStr">
        <is>
          <t>R&amp;R TRANSPORTE E LOGISTICA</t>
        </is>
      </c>
      <c r="J1829" s="29" t="n">
        <v>26.94</v>
      </c>
      <c r="K1829" s="29">
        <f>(1-ISNUMBER(SEARCH("556",M1829)))*(O1829*SUMIFS(Premissas!$C$5:$C$44,Premissas!$A$5:$A$44,$A1829,Premissas!$B$5:$B$44,$B1829)+P1829*SUMIFS(Premissas!$D$5:$D$44,Premissas!$A$5:$A$44,$A1829,Premissas!$B$5:$B$44,$B1829))+R1829*SUMIFS(Premissas!$E$5:$E$44,Premissas!$A$5:$A$44,$A1829,Premissas!$B$5:$B$44,$B1829)+S1829*SUMIFS(Premissas!$F$5:$F$44,Premissas!$A$5:$A$44,$A1829,Premissas!$B$5:$B$44,$B1829)</f>
        <v/>
      </c>
      <c r="L1829" s="29">
        <f>J1829-K1829</f>
        <v/>
      </c>
      <c r="M1829" t="inlineStr">
        <is>
          <t>1.350</t>
        </is>
      </c>
      <c r="N1829" t="inlineStr">
        <is>
          <t>Modalidade: 0 - Por conta do remetente | Parte: PLANETTA DISTRIBUIDORA LTDA (56.152.948/0001-17)</t>
        </is>
      </c>
      <c r="O1829" s="29" t="n">
        <v>0</v>
      </c>
      <c r="P1829" s="29" t="n">
        <v>0</v>
      </c>
      <c r="Q1829" s="29" t="n">
        <v>0</v>
      </c>
      <c r="R1829" s="29" t="n">
        <v>0</v>
      </c>
      <c r="S1829" s="29" t="n">
        <v>0</v>
      </c>
      <c r="T1829" t="inlineStr">
        <is>
          <t>25250826975620000130570010000048151000000001</t>
        </is>
      </c>
      <c r="U1829" t="inlineStr">
        <is>
          <t>Não</t>
        </is>
      </c>
    </row>
    <row r="1830">
      <c r="A1830" t="inlineStr">
        <is>
          <t>Frete de venda</t>
        </is>
      </c>
      <c r="B1830" t="inlineStr">
        <is>
          <t>2.01.02 Frete sobre Vendas</t>
        </is>
      </c>
      <c r="C1830" t="inlineStr">
        <is>
          <t>Antes de 2026</t>
        </is>
      </c>
      <c r="D1830" t="inlineStr">
        <is>
          <t>Antes de 2026</t>
        </is>
      </c>
      <c r="E1830" s="28" t="n">
        <v>45870</v>
      </c>
      <c r="F1830" t="inlineStr">
        <is>
          <t>CT-e</t>
        </is>
      </c>
      <c r="G1830" t="inlineStr">
        <is>
          <t>000004816</t>
        </is>
      </c>
      <c r="H1830" t="inlineStr">
        <is>
          <t>R&amp;R TRANSPORTE E LOGISTICA</t>
        </is>
      </c>
      <c r="J1830" s="29" t="n">
        <v>16.76</v>
      </c>
      <c r="K1830" s="29">
        <f>(1-ISNUMBER(SEARCH("556",M1830)))*(O1830*SUMIFS(Premissas!$C$5:$C$44,Premissas!$A$5:$A$44,$A1830,Premissas!$B$5:$B$44,$B1830)+P1830*SUMIFS(Premissas!$D$5:$D$44,Premissas!$A$5:$A$44,$A1830,Premissas!$B$5:$B$44,$B1830))+R1830*SUMIFS(Premissas!$E$5:$E$44,Premissas!$A$5:$A$44,$A1830,Premissas!$B$5:$B$44,$B1830)+S1830*SUMIFS(Premissas!$F$5:$F$44,Premissas!$A$5:$A$44,$A1830,Premissas!$B$5:$B$44,$B1830)</f>
        <v/>
      </c>
      <c r="L1830" s="29">
        <f>J1830-K1830</f>
        <v/>
      </c>
      <c r="M1830" t="inlineStr">
        <is>
          <t>1.350</t>
        </is>
      </c>
      <c r="N1830" t="inlineStr">
        <is>
          <t>Modalidade: 0 - Por conta do remetente | Parte: MORETO TRANSPORTES E COMERCIO LTDA (38.024.793/0002-32)</t>
        </is>
      </c>
      <c r="O1830" s="29" t="n">
        <v>0</v>
      </c>
      <c r="P1830" s="29" t="n">
        <v>0</v>
      </c>
      <c r="Q1830" s="29" t="n">
        <v>0</v>
      </c>
      <c r="R1830" s="29" t="n">
        <v>0</v>
      </c>
      <c r="S1830" s="29" t="n">
        <v>0</v>
      </c>
      <c r="T1830" t="inlineStr">
        <is>
          <t>25250826975620000130570010000048161000000009</t>
        </is>
      </c>
      <c r="U1830" t="inlineStr">
        <is>
          <t>Não</t>
        </is>
      </c>
    </row>
    <row r="1831">
      <c r="A1831" t="inlineStr">
        <is>
          <t>Frete de venda</t>
        </is>
      </c>
      <c r="B1831" t="inlineStr">
        <is>
          <t>2.01.02 Frete sobre Vendas</t>
        </is>
      </c>
      <c r="C1831" t="inlineStr">
        <is>
          <t>Antes de 2026</t>
        </is>
      </c>
      <c r="D1831" t="inlineStr">
        <is>
          <t>Antes de 2026</t>
        </is>
      </c>
      <c r="E1831" s="28" t="n">
        <v>45870</v>
      </c>
      <c r="F1831" t="inlineStr">
        <is>
          <t>CT-e</t>
        </is>
      </c>
      <c r="G1831" t="inlineStr">
        <is>
          <t>000004817</t>
        </is>
      </c>
      <c r="H1831" t="inlineStr">
        <is>
          <t>R&amp;R TRANSPORTE E LOGISTICA</t>
        </is>
      </c>
      <c r="J1831" s="29" t="n">
        <v>23.47</v>
      </c>
      <c r="K1831" s="29">
        <f>(1-ISNUMBER(SEARCH("556",M1831)))*(O1831*SUMIFS(Premissas!$C$5:$C$44,Premissas!$A$5:$A$44,$A1831,Premissas!$B$5:$B$44,$B1831)+P1831*SUMIFS(Premissas!$D$5:$D$44,Premissas!$A$5:$A$44,$A1831,Premissas!$B$5:$B$44,$B1831))+R1831*SUMIFS(Premissas!$E$5:$E$44,Premissas!$A$5:$A$44,$A1831,Premissas!$B$5:$B$44,$B1831)+S1831*SUMIFS(Premissas!$F$5:$F$44,Premissas!$A$5:$A$44,$A1831,Premissas!$B$5:$B$44,$B1831)</f>
        <v/>
      </c>
      <c r="L1831" s="29">
        <f>J1831-K1831</f>
        <v/>
      </c>
      <c r="M1831" t="inlineStr">
        <is>
          <t>1.350</t>
        </is>
      </c>
      <c r="N1831" t="inlineStr">
        <is>
          <t>Modalidade: 0 - Por conta do remetente | Parte: MIRAEL INDUSTRIA E COMERCIO DE EMBALAGENS LTDA (26.177.150/0001-69)</t>
        </is>
      </c>
      <c r="O1831" s="29" t="n">
        <v>0</v>
      </c>
      <c r="P1831" s="29" t="n">
        <v>0</v>
      </c>
      <c r="Q1831" s="29" t="n">
        <v>0</v>
      </c>
      <c r="R1831" s="29" t="n">
        <v>0</v>
      </c>
      <c r="S1831" s="29" t="n">
        <v>0</v>
      </c>
      <c r="T1831" t="inlineStr">
        <is>
          <t>25250826975620000130570010000048171000000006</t>
        </is>
      </c>
      <c r="U1831" t="inlineStr">
        <is>
          <t>Não</t>
        </is>
      </c>
    </row>
    <row r="1832">
      <c r="A1832" t="inlineStr">
        <is>
          <t>Frete de venda</t>
        </is>
      </c>
      <c r="B1832" t="inlineStr">
        <is>
          <t>2.01.02 Frete sobre Vendas</t>
        </is>
      </c>
      <c r="C1832" t="inlineStr">
        <is>
          <t>Antes de 2026</t>
        </is>
      </c>
      <c r="D1832" t="inlineStr">
        <is>
          <t>Antes de 2026</t>
        </is>
      </c>
      <c r="E1832" s="28" t="n">
        <v>45870</v>
      </c>
      <c r="F1832" t="inlineStr">
        <is>
          <t>CT-e</t>
        </is>
      </c>
      <c r="G1832" t="inlineStr">
        <is>
          <t>000004818</t>
        </is>
      </c>
      <c r="H1832" t="inlineStr">
        <is>
          <t>R&amp;R TRANSPORTE E LOGISTICA</t>
        </is>
      </c>
      <c r="J1832" s="29" t="n">
        <v>17.93</v>
      </c>
      <c r="K1832" s="29">
        <f>(1-ISNUMBER(SEARCH("556",M1832)))*(O1832*SUMIFS(Premissas!$C$5:$C$44,Premissas!$A$5:$A$44,$A1832,Premissas!$B$5:$B$44,$B1832)+P1832*SUMIFS(Premissas!$D$5:$D$44,Premissas!$A$5:$A$44,$A1832,Premissas!$B$5:$B$44,$B1832))+R1832*SUMIFS(Premissas!$E$5:$E$44,Premissas!$A$5:$A$44,$A1832,Premissas!$B$5:$B$44,$B1832)+S1832*SUMIFS(Premissas!$F$5:$F$44,Premissas!$A$5:$A$44,$A1832,Premissas!$B$5:$B$44,$B1832)</f>
        <v/>
      </c>
      <c r="L1832" s="29">
        <f>J1832-K1832</f>
        <v/>
      </c>
      <c r="M1832" t="inlineStr">
        <is>
          <t>1.350</t>
        </is>
      </c>
      <c r="N1832" t="inlineStr">
        <is>
          <t>Modalidade: 0 - Por conta do remetente | Parte: H E DISTRIBUIDORA LTDA (11.464.860/0001-00)</t>
        </is>
      </c>
      <c r="O1832" s="29" t="n">
        <v>0</v>
      </c>
      <c r="P1832" s="29" t="n">
        <v>0</v>
      </c>
      <c r="Q1832" s="29" t="n">
        <v>0</v>
      </c>
      <c r="R1832" s="29" t="n">
        <v>0</v>
      </c>
      <c r="S1832" s="29" t="n">
        <v>0</v>
      </c>
      <c r="T1832" t="inlineStr">
        <is>
          <t>25250826975620000130570010000048181000000003</t>
        </is>
      </c>
      <c r="U1832" t="inlineStr">
        <is>
          <t>Não</t>
        </is>
      </c>
    </row>
    <row r="1833">
      <c r="A1833" t="inlineStr">
        <is>
          <t>Frete de venda</t>
        </is>
      </c>
      <c r="B1833" t="inlineStr">
        <is>
          <t>2.01.02 Frete sobre Vendas</t>
        </is>
      </c>
      <c r="C1833" t="inlineStr">
        <is>
          <t>Antes de 2026</t>
        </is>
      </c>
      <c r="D1833" t="inlineStr">
        <is>
          <t>Antes de 2026</t>
        </is>
      </c>
      <c r="E1833" s="28" t="n">
        <v>45870</v>
      </c>
      <c r="F1833" t="inlineStr">
        <is>
          <t>CT-e</t>
        </is>
      </c>
      <c r="G1833" t="inlineStr">
        <is>
          <t>000004819</t>
        </is>
      </c>
      <c r="H1833" t="inlineStr">
        <is>
          <t>R&amp;R TRANSPORTE E LOGISTICA</t>
        </is>
      </c>
      <c r="J1833" s="29" t="n">
        <v>73.66</v>
      </c>
      <c r="K1833" s="29">
        <f>(1-ISNUMBER(SEARCH("556",M1833)))*(O1833*SUMIFS(Premissas!$C$5:$C$44,Premissas!$A$5:$A$44,$A1833,Premissas!$B$5:$B$44,$B1833)+P1833*SUMIFS(Premissas!$D$5:$D$44,Premissas!$A$5:$A$44,$A1833,Premissas!$B$5:$B$44,$B1833))+R1833*SUMIFS(Premissas!$E$5:$E$44,Premissas!$A$5:$A$44,$A1833,Premissas!$B$5:$B$44,$B1833)+S1833*SUMIFS(Premissas!$F$5:$F$44,Premissas!$A$5:$A$44,$A1833,Premissas!$B$5:$B$44,$B1833)</f>
        <v/>
      </c>
      <c r="L1833" s="29">
        <f>J1833-K1833</f>
        <v/>
      </c>
      <c r="M1833" t="inlineStr">
        <is>
          <t>1.350</t>
        </is>
      </c>
      <c r="N1833" t="inlineStr">
        <is>
          <t>Modalidade: 0 - Por conta do remetente | Parte: AMAFE FESTAS LTDA (57.492.281/0001-64)</t>
        </is>
      </c>
      <c r="O1833" s="29" t="n">
        <v>0</v>
      </c>
      <c r="P1833" s="29" t="n">
        <v>0</v>
      </c>
      <c r="Q1833" s="29" t="n">
        <v>0</v>
      </c>
      <c r="R1833" s="29" t="n">
        <v>0</v>
      </c>
      <c r="S1833" s="29" t="n">
        <v>0</v>
      </c>
      <c r="T1833" t="inlineStr">
        <is>
          <t>25250826975620000130570010000048191000000000</t>
        </is>
      </c>
      <c r="U1833" t="inlineStr">
        <is>
          <t>Não</t>
        </is>
      </c>
    </row>
    <row r="1834">
      <c r="A1834" t="inlineStr">
        <is>
          <t>Frete de venda</t>
        </is>
      </c>
      <c r="B1834" t="inlineStr">
        <is>
          <t>2.01.02 Frete sobre Vendas</t>
        </is>
      </c>
      <c r="C1834" t="inlineStr">
        <is>
          <t>Antes de 2026</t>
        </is>
      </c>
      <c r="D1834" t="inlineStr">
        <is>
          <t>Antes de 2026</t>
        </is>
      </c>
      <c r="E1834" s="28" t="n">
        <v>45870</v>
      </c>
      <c r="F1834" t="inlineStr">
        <is>
          <t>CT-e</t>
        </is>
      </c>
      <c r="G1834" t="inlineStr">
        <is>
          <t>000004820</t>
        </is>
      </c>
      <c r="H1834" t="inlineStr">
        <is>
          <t>R&amp;R TRANSPORTE E LOGISTICA</t>
        </is>
      </c>
      <c r="J1834" s="29" t="n">
        <v>15.92</v>
      </c>
      <c r="K1834" s="29">
        <f>(1-ISNUMBER(SEARCH("556",M1834)))*(O1834*SUMIFS(Premissas!$C$5:$C$44,Premissas!$A$5:$A$44,$A1834,Premissas!$B$5:$B$44,$B1834)+P1834*SUMIFS(Premissas!$D$5:$D$44,Premissas!$A$5:$A$44,$A1834,Premissas!$B$5:$B$44,$B1834))+R1834*SUMIFS(Premissas!$E$5:$E$44,Premissas!$A$5:$A$44,$A1834,Premissas!$B$5:$B$44,$B1834)+S1834*SUMIFS(Premissas!$F$5:$F$44,Premissas!$A$5:$A$44,$A1834,Premissas!$B$5:$B$44,$B1834)</f>
        <v/>
      </c>
      <c r="L1834" s="29">
        <f>J1834-K1834</f>
        <v/>
      </c>
      <c r="M1834" t="inlineStr">
        <is>
          <t>1.350</t>
        </is>
      </c>
      <c r="N1834" t="inlineStr">
        <is>
          <t>Modalidade: 0 - Por conta do remetente | Parte: AMIL ATACADO LTDA (23.358.540/0001-47)</t>
        </is>
      </c>
      <c r="O1834" s="29" t="n">
        <v>0</v>
      </c>
      <c r="P1834" s="29" t="n">
        <v>0</v>
      </c>
      <c r="Q1834" s="29" t="n">
        <v>0</v>
      </c>
      <c r="R1834" s="29" t="n">
        <v>0</v>
      </c>
      <c r="S1834" s="29" t="n">
        <v>0</v>
      </c>
      <c r="T1834" t="inlineStr">
        <is>
          <t>25250826975620000130570010000048201000000001</t>
        </is>
      </c>
      <c r="U1834" t="inlineStr">
        <is>
          <t>Não</t>
        </is>
      </c>
    </row>
    <row r="1835">
      <c r="A1835" t="inlineStr">
        <is>
          <t>Frete de venda</t>
        </is>
      </c>
      <c r="B1835" t="inlineStr">
        <is>
          <t>2.01.02 Frete sobre Vendas</t>
        </is>
      </c>
      <c r="C1835" t="inlineStr">
        <is>
          <t>Antes de 2026</t>
        </is>
      </c>
      <c r="D1835" t="inlineStr">
        <is>
          <t>Antes de 2026</t>
        </is>
      </c>
      <c r="E1835" s="28" t="n">
        <v>45870</v>
      </c>
      <c r="F1835" t="inlineStr">
        <is>
          <t>CT-e</t>
        </is>
      </c>
      <c r="G1835" t="inlineStr">
        <is>
          <t>000004821</t>
        </is>
      </c>
      <c r="H1835" t="inlineStr">
        <is>
          <t>R&amp;R TRANSPORTE E LOGISTICA</t>
        </is>
      </c>
      <c r="J1835" s="29" t="n">
        <v>39.21</v>
      </c>
      <c r="K1835" s="29">
        <f>(1-ISNUMBER(SEARCH("556",M1835)))*(O1835*SUMIFS(Premissas!$C$5:$C$44,Premissas!$A$5:$A$44,$A1835,Premissas!$B$5:$B$44,$B1835)+P1835*SUMIFS(Premissas!$D$5:$D$44,Premissas!$A$5:$A$44,$A1835,Premissas!$B$5:$B$44,$B1835))+R1835*SUMIFS(Premissas!$E$5:$E$44,Premissas!$A$5:$A$44,$A1835,Premissas!$B$5:$B$44,$B1835)+S1835*SUMIFS(Premissas!$F$5:$F$44,Premissas!$A$5:$A$44,$A1835,Premissas!$B$5:$B$44,$B1835)</f>
        <v/>
      </c>
      <c r="L1835" s="29">
        <f>J1835-K1835</f>
        <v/>
      </c>
      <c r="M1835" t="inlineStr">
        <is>
          <t>1.350</t>
        </is>
      </c>
      <c r="N1835" t="inlineStr">
        <is>
          <t>Modalidade: 0 - Por conta do remetente | Parte: COMERCIO DE EMBALAGENS CACADOR LTDA (85.384.725/0001-83)</t>
        </is>
      </c>
      <c r="O1835" s="29" t="n">
        <v>0</v>
      </c>
      <c r="P1835" s="29" t="n">
        <v>0</v>
      </c>
      <c r="Q1835" s="29" t="n">
        <v>0</v>
      </c>
      <c r="R1835" s="29" t="n">
        <v>0</v>
      </c>
      <c r="S1835" s="29" t="n">
        <v>0</v>
      </c>
      <c r="T1835" t="inlineStr">
        <is>
          <t>25250826975620000130570010000048211000000009</t>
        </is>
      </c>
      <c r="U1835" t="inlineStr">
        <is>
          <t>Não</t>
        </is>
      </c>
    </row>
    <row r="1836">
      <c r="A1836" t="inlineStr">
        <is>
          <t>Frete de venda</t>
        </is>
      </c>
      <c r="B1836" t="inlineStr">
        <is>
          <t>2.01.02 Frete sobre Vendas</t>
        </is>
      </c>
      <c r="C1836" t="inlineStr">
        <is>
          <t>Antes de 2026</t>
        </is>
      </c>
      <c r="D1836" t="inlineStr">
        <is>
          <t>Antes de 2026</t>
        </is>
      </c>
      <c r="E1836" s="28" t="n">
        <v>45870</v>
      </c>
      <c r="F1836" t="inlineStr">
        <is>
          <t>CT-e</t>
        </is>
      </c>
      <c r="G1836" t="inlineStr">
        <is>
          <t>000004822</t>
        </is>
      </c>
      <c r="H1836" t="inlineStr">
        <is>
          <t>R&amp;R TRANSPORTE E LOGISTICA</t>
        </is>
      </c>
      <c r="J1836" s="29" t="n">
        <v>13.12</v>
      </c>
      <c r="K1836" s="29">
        <f>(1-ISNUMBER(SEARCH("556",M1836)))*(O1836*SUMIFS(Premissas!$C$5:$C$44,Premissas!$A$5:$A$44,$A1836,Premissas!$B$5:$B$44,$B1836)+P1836*SUMIFS(Premissas!$D$5:$D$44,Premissas!$A$5:$A$44,$A1836,Premissas!$B$5:$B$44,$B1836))+R1836*SUMIFS(Premissas!$E$5:$E$44,Premissas!$A$5:$A$44,$A1836,Premissas!$B$5:$B$44,$B1836)+S1836*SUMIFS(Premissas!$F$5:$F$44,Premissas!$A$5:$A$44,$A1836,Premissas!$B$5:$B$44,$B1836)</f>
        <v/>
      </c>
      <c r="L1836" s="29">
        <f>J1836-K1836</f>
        <v/>
      </c>
      <c r="M1836" t="inlineStr">
        <is>
          <t>1.350</t>
        </is>
      </c>
      <c r="N1836" t="inlineStr">
        <is>
          <t>Modalidade: 0 - Por conta do remetente | Parte: COMERCIAL CATARINENSE DE ARMARINHO EM GERAL LTDA (16.715.374/0001-23)</t>
        </is>
      </c>
      <c r="O1836" s="29" t="n">
        <v>0</v>
      </c>
      <c r="P1836" s="29" t="n">
        <v>0</v>
      </c>
      <c r="Q1836" s="29" t="n">
        <v>0</v>
      </c>
      <c r="R1836" s="29" t="n">
        <v>0</v>
      </c>
      <c r="S1836" s="29" t="n">
        <v>0</v>
      </c>
      <c r="T1836" t="inlineStr">
        <is>
          <t>25250826975620000130570010000048221000000006</t>
        </is>
      </c>
      <c r="U1836" t="inlineStr">
        <is>
          <t>Não</t>
        </is>
      </c>
    </row>
    <row r="1837">
      <c r="A1837" t="inlineStr">
        <is>
          <t>Frete de venda</t>
        </is>
      </c>
      <c r="B1837" t="inlineStr">
        <is>
          <t>2.01.02 Frete sobre Vendas</t>
        </is>
      </c>
      <c r="C1837" t="inlineStr">
        <is>
          <t>Antes de 2026</t>
        </is>
      </c>
      <c r="D1837" t="inlineStr">
        <is>
          <t>Antes de 2026</t>
        </is>
      </c>
      <c r="E1837" s="28" t="n">
        <v>45870</v>
      </c>
      <c r="F1837" t="inlineStr">
        <is>
          <t>CT-e</t>
        </is>
      </c>
      <c r="G1837" t="inlineStr">
        <is>
          <t>000004823</t>
        </is>
      </c>
      <c r="H1837" t="inlineStr">
        <is>
          <t>R&amp;R TRANSPORTE E LOGISTICA</t>
        </is>
      </c>
      <c r="J1837" s="29" t="n">
        <v>30.45</v>
      </c>
      <c r="K1837" s="29">
        <f>(1-ISNUMBER(SEARCH("556",M1837)))*(O1837*SUMIFS(Premissas!$C$5:$C$44,Premissas!$A$5:$A$44,$A1837,Premissas!$B$5:$B$44,$B1837)+P1837*SUMIFS(Premissas!$D$5:$D$44,Premissas!$A$5:$A$44,$A1837,Premissas!$B$5:$B$44,$B1837))+R1837*SUMIFS(Premissas!$E$5:$E$44,Premissas!$A$5:$A$44,$A1837,Premissas!$B$5:$B$44,$B1837)+S1837*SUMIFS(Premissas!$F$5:$F$44,Premissas!$A$5:$A$44,$A1837,Premissas!$B$5:$B$44,$B1837)</f>
        <v/>
      </c>
      <c r="L1837" s="29">
        <f>J1837-K1837</f>
        <v/>
      </c>
      <c r="M1837" t="inlineStr">
        <is>
          <t>1.350</t>
        </is>
      </c>
      <c r="N1837" t="inlineStr">
        <is>
          <t>Modalidade: 0 - Por conta do remetente | Parte: FAT GUYS HAMBURGERS FLORIANOPOLIS LTDA (19.055.365/0001-41)</t>
        </is>
      </c>
      <c r="O1837" s="29" t="n">
        <v>0</v>
      </c>
      <c r="P1837" s="29" t="n">
        <v>0</v>
      </c>
      <c r="Q1837" s="29" t="n">
        <v>0</v>
      </c>
      <c r="R1837" s="29" t="n">
        <v>0</v>
      </c>
      <c r="S1837" s="29" t="n">
        <v>0</v>
      </c>
      <c r="T1837" t="inlineStr">
        <is>
          <t>25250826975620000130570010000048231000000003</t>
        </is>
      </c>
      <c r="U1837" t="inlineStr">
        <is>
          <t>Não</t>
        </is>
      </c>
    </row>
    <row r="1838">
      <c r="A1838" t="inlineStr">
        <is>
          <t>Frete de venda</t>
        </is>
      </c>
      <c r="B1838" t="inlineStr">
        <is>
          <t>2.01.02 Frete sobre Vendas</t>
        </is>
      </c>
      <c r="C1838" t="inlineStr">
        <is>
          <t>Antes de 2026</t>
        </is>
      </c>
      <c r="D1838" t="inlineStr">
        <is>
          <t>Antes de 2026</t>
        </is>
      </c>
      <c r="E1838" s="28" t="n">
        <v>45870</v>
      </c>
      <c r="F1838" t="inlineStr">
        <is>
          <t>CT-e</t>
        </is>
      </c>
      <c r="G1838" t="inlineStr">
        <is>
          <t>000004824</t>
        </is>
      </c>
      <c r="H1838" t="inlineStr">
        <is>
          <t>R&amp;R TRANSPORTE E LOGISTICA</t>
        </is>
      </c>
      <c r="J1838" s="29" t="n">
        <v>20.97</v>
      </c>
      <c r="K1838" s="29">
        <f>(1-ISNUMBER(SEARCH("556",M1838)))*(O1838*SUMIFS(Premissas!$C$5:$C$44,Premissas!$A$5:$A$44,$A1838,Premissas!$B$5:$B$44,$B1838)+P1838*SUMIFS(Premissas!$D$5:$D$44,Premissas!$A$5:$A$44,$A1838,Premissas!$B$5:$B$44,$B1838))+R1838*SUMIFS(Premissas!$E$5:$E$44,Premissas!$A$5:$A$44,$A1838,Premissas!$B$5:$B$44,$B1838)+S1838*SUMIFS(Premissas!$F$5:$F$44,Premissas!$A$5:$A$44,$A1838,Premissas!$B$5:$B$44,$B1838)</f>
        <v/>
      </c>
      <c r="L1838" s="29">
        <f>J1838-K1838</f>
        <v/>
      </c>
      <c r="M1838" t="inlineStr">
        <is>
          <t>1.350</t>
        </is>
      </c>
      <c r="N1838" t="inlineStr">
        <is>
          <t>Modalidade: 0 - Por conta do remetente | Parte: PLASLE EMBALAGENS LTDA (03.548.425/0001-28)</t>
        </is>
      </c>
      <c r="O1838" s="29" t="n">
        <v>0</v>
      </c>
      <c r="P1838" s="29" t="n">
        <v>0</v>
      </c>
      <c r="Q1838" s="29" t="n">
        <v>0</v>
      </c>
      <c r="R1838" s="29" t="n">
        <v>0</v>
      </c>
      <c r="S1838" s="29" t="n">
        <v>0</v>
      </c>
      <c r="T1838" t="inlineStr">
        <is>
          <t>25250826975620000130570010000048241000000000</t>
        </is>
      </c>
      <c r="U1838" t="inlineStr">
        <is>
          <t>Não</t>
        </is>
      </c>
    </row>
    <row r="1839">
      <c r="A1839" t="inlineStr">
        <is>
          <t>Frete de venda</t>
        </is>
      </c>
      <c r="B1839" t="inlineStr">
        <is>
          <t>2.01.02 Frete sobre Vendas</t>
        </is>
      </c>
      <c r="C1839" t="inlineStr">
        <is>
          <t>Antes de 2026</t>
        </is>
      </c>
      <c r="D1839" t="inlineStr">
        <is>
          <t>Antes de 2026</t>
        </is>
      </c>
      <c r="E1839" s="28" t="n">
        <v>45870</v>
      </c>
      <c r="F1839" t="inlineStr">
        <is>
          <t>CT-e</t>
        </is>
      </c>
      <c r="G1839" t="inlineStr">
        <is>
          <t>000004825</t>
        </is>
      </c>
      <c r="H1839" t="inlineStr">
        <is>
          <t>R&amp;R TRANSPORTE E LOGISTICA</t>
        </is>
      </c>
      <c r="J1839" s="29" t="n">
        <v>15.54</v>
      </c>
      <c r="K1839" s="29">
        <f>(1-ISNUMBER(SEARCH("556",M1839)))*(O1839*SUMIFS(Premissas!$C$5:$C$44,Premissas!$A$5:$A$44,$A1839,Premissas!$B$5:$B$44,$B1839)+P1839*SUMIFS(Premissas!$D$5:$D$44,Premissas!$A$5:$A$44,$A1839,Premissas!$B$5:$B$44,$B1839))+R1839*SUMIFS(Premissas!$E$5:$E$44,Premissas!$A$5:$A$44,$A1839,Premissas!$B$5:$B$44,$B1839)+S1839*SUMIFS(Premissas!$F$5:$F$44,Premissas!$A$5:$A$44,$A1839,Premissas!$B$5:$B$44,$B1839)</f>
        <v/>
      </c>
      <c r="L1839" s="29">
        <f>J1839-K1839</f>
        <v/>
      </c>
      <c r="M1839" t="inlineStr">
        <is>
          <t>1.350</t>
        </is>
      </c>
      <c r="N1839" t="inlineStr">
        <is>
          <t>Modalidade: 0 - Por conta do remetente | Parte: MEIRE F. P. LOURENCO (11.719.420/0001-49)</t>
        </is>
      </c>
      <c r="O1839" s="29" t="n">
        <v>0</v>
      </c>
      <c r="P1839" s="29" t="n">
        <v>0</v>
      </c>
      <c r="Q1839" s="29" t="n">
        <v>0</v>
      </c>
      <c r="R1839" s="29" t="n">
        <v>0</v>
      </c>
      <c r="S1839" s="29" t="n">
        <v>0</v>
      </c>
      <c r="T1839" t="inlineStr">
        <is>
          <t>25250826975620000130570010000048251000000008</t>
        </is>
      </c>
      <c r="U1839" t="inlineStr">
        <is>
          <t>Não</t>
        </is>
      </c>
    </row>
    <row r="1840">
      <c r="A1840" t="inlineStr">
        <is>
          <t>Frete de venda</t>
        </is>
      </c>
      <c r="B1840" t="inlineStr">
        <is>
          <t>2.01.02 Frete sobre Vendas</t>
        </is>
      </c>
      <c r="C1840" t="inlineStr">
        <is>
          <t>Antes de 2026</t>
        </is>
      </c>
      <c r="D1840" t="inlineStr">
        <is>
          <t>Antes de 2026</t>
        </is>
      </c>
      <c r="E1840" s="28" t="n">
        <v>45870</v>
      </c>
      <c r="F1840" t="inlineStr">
        <is>
          <t>CT-e</t>
        </is>
      </c>
      <c r="G1840" t="inlineStr">
        <is>
          <t>000004826</t>
        </is>
      </c>
      <c r="H1840" t="inlineStr">
        <is>
          <t>R&amp;R TRANSPORTE E LOGISTICA</t>
        </is>
      </c>
      <c r="J1840" s="29" t="n">
        <v>34.08</v>
      </c>
      <c r="K1840" s="29">
        <f>(1-ISNUMBER(SEARCH("556",M1840)))*(O1840*SUMIFS(Premissas!$C$5:$C$44,Premissas!$A$5:$A$44,$A1840,Premissas!$B$5:$B$44,$B1840)+P1840*SUMIFS(Premissas!$D$5:$D$44,Premissas!$A$5:$A$44,$A1840,Premissas!$B$5:$B$44,$B1840))+R1840*SUMIFS(Premissas!$E$5:$E$44,Premissas!$A$5:$A$44,$A1840,Premissas!$B$5:$B$44,$B1840)+S1840*SUMIFS(Premissas!$F$5:$F$44,Premissas!$A$5:$A$44,$A1840,Premissas!$B$5:$B$44,$B1840)</f>
        <v/>
      </c>
      <c r="L1840" s="29">
        <f>J1840-K1840</f>
        <v/>
      </c>
      <c r="M1840" t="inlineStr">
        <is>
          <t>1.350</t>
        </is>
      </c>
      <c r="N1840" t="inlineStr">
        <is>
          <t>Modalidade: 0 - Por conta do remetente | Parte: VIZETO COMERCIO DE EMBALAGENS LTDA. (04.078.174/0001-28)</t>
        </is>
      </c>
      <c r="O1840" s="29" t="n">
        <v>0</v>
      </c>
      <c r="P1840" s="29" t="n">
        <v>0</v>
      </c>
      <c r="Q1840" s="29" t="n">
        <v>0</v>
      </c>
      <c r="R1840" s="29" t="n">
        <v>0</v>
      </c>
      <c r="S1840" s="29" t="n">
        <v>0</v>
      </c>
      <c r="T1840" t="inlineStr">
        <is>
          <t>25250826975620000130570010000048261000000005</t>
        </is>
      </c>
      <c r="U1840" t="inlineStr">
        <is>
          <t>Não</t>
        </is>
      </c>
    </row>
    <row r="1841">
      <c r="A1841" t="inlineStr">
        <is>
          <t>Frete de venda</t>
        </is>
      </c>
      <c r="B1841" t="inlineStr">
        <is>
          <t>2.01.02 Frete sobre Vendas</t>
        </is>
      </c>
      <c r="C1841" t="inlineStr">
        <is>
          <t>Antes de 2026</t>
        </is>
      </c>
      <c r="D1841" t="inlineStr">
        <is>
          <t>Antes de 2026</t>
        </is>
      </c>
      <c r="E1841" s="28" t="n">
        <v>45870</v>
      </c>
      <c r="F1841" t="inlineStr">
        <is>
          <t>CT-e</t>
        </is>
      </c>
      <c r="G1841" t="inlineStr">
        <is>
          <t>000004827</t>
        </is>
      </c>
      <c r="H1841" t="inlineStr">
        <is>
          <t>R&amp;R TRANSPORTE E LOGISTICA</t>
        </is>
      </c>
      <c r="J1841" s="29" t="n">
        <v>15.12</v>
      </c>
      <c r="K1841" s="29">
        <f>(1-ISNUMBER(SEARCH("556",M1841)))*(O1841*SUMIFS(Premissas!$C$5:$C$44,Premissas!$A$5:$A$44,$A1841,Premissas!$B$5:$B$44,$B1841)+P1841*SUMIFS(Premissas!$D$5:$D$44,Premissas!$A$5:$A$44,$A1841,Premissas!$B$5:$B$44,$B1841))+R1841*SUMIFS(Premissas!$E$5:$E$44,Premissas!$A$5:$A$44,$A1841,Premissas!$B$5:$B$44,$B1841)+S1841*SUMIFS(Premissas!$F$5:$F$44,Premissas!$A$5:$A$44,$A1841,Premissas!$B$5:$B$44,$B1841)</f>
        <v/>
      </c>
      <c r="L1841" s="29">
        <f>J1841-K1841</f>
        <v/>
      </c>
      <c r="M1841" t="inlineStr">
        <is>
          <t>1.350</t>
        </is>
      </c>
      <c r="N1841" t="inlineStr">
        <is>
          <t>Modalidade: 0 - Por conta do remetente | Parte: MULTIPEL EMBALAGENS UMUARAMA LTDA (45.733.992/0001-02)</t>
        </is>
      </c>
      <c r="O1841" s="29" t="n">
        <v>0</v>
      </c>
      <c r="P1841" s="29" t="n">
        <v>0</v>
      </c>
      <c r="Q1841" s="29" t="n">
        <v>0</v>
      </c>
      <c r="R1841" s="29" t="n">
        <v>0</v>
      </c>
      <c r="S1841" s="29" t="n">
        <v>0</v>
      </c>
      <c r="T1841" t="inlineStr">
        <is>
          <t>25250826975620000130570010000048271000000002</t>
        </is>
      </c>
      <c r="U1841" t="inlineStr">
        <is>
          <t>Não</t>
        </is>
      </c>
    </row>
    <row r="1842">
      <c r="A1842" t="inlineStr">
        <is>
          <t>Frete de venda</t>
        </is>
      </c>
      <c r="B1842" t="inlineStr">
        <is>
          <t>2.01.02 Frete sobre Vendas</t>
        </is>
      </c>
      <c r="C1842" t="inlineStr">
        <is>
          <t>Antes de 2026</t>
        </is>
      </c>
      <c r="D1842" t="inlineStr">
        <is>
          <t>Antes de 2026</t>
        </is>
      </c>
      <c r="E1842" s="28" t="n">
        <v>45870</v>
      </c>
      <c r="F1842" t="inlineStr">
        <is>
          <t>CT-e</t>
        </is>
      </c>
      <c r="G1842" t="inlineStr">
        <is>
          <t>000004828</t>
        </is>
      </c>
      <c r="H1842" t="inlineStr">
        <is>
          <t>R&amp;R TRANSPORTE E LOGISTICA</t>
        </is>
      </c>
      <c r="J1842" s="29" t="n">
        <v>46.76</v>
      </c>
      <c r="K1842" s="29">
        <f>(1-ISNUMBER(SEARCH("556",M1842)))*(O1842*SUMIFS(Premissas!$C$5:$C$44,Premissas!$A$5:$A$44,$A1842,Premissas!$B$5:$B$44,$B1842)+P1842*SUMIFS(Premissas!$D$5:$D$44,Premissas!$A$5:$A$44,$A1842,Premissas!$B$5:$B$44,$B1842))+R1842*SUMIFS(Premissas!$E$5:$E$44,Premissas!$A$5:$A$44,$A1842,Premissas!$B$5:$B$44,$B1842)+S1842*SUMIFS(Premissas!$F$5:$F$44,Premissas!$A$5:$A$44,$A1842,Premissas!$B$5:$B$44,$B1842)</f>
        <v/>
      </c>
      <c r="L1842" s="29">
        <f>J1842-K1842</f>
        <v/>
      </c>
      <c r="M1842" t="inlineStr">
        <is>
          <t>1.350</t>
        </is>
      </c>
      <c r="N1842" t="inlineStr">
        <is>
          <t>Modalidade: 0 - Por conta do remetente | Parte: JONATAN SCREMIN COMERCIO E DISTRIBUICAO DE FRIOS (36.612.674/0001-94)</t>
        </is>
      </c>
      <c r="O1842" s="29" t="n">
        <v>0</v>
      </c>
      <c r="P1842" s="29" t="n">
        <v>0</v>
      </c>
      <c r="Q1842" s="29" t="n">
        <v>0</v>
      </c>
      <c r="R1842" s="29" t="n">
        <v>0</v>
      </c>
      <c r="S1842" s="29" t="n">
        <v>0</v>
      </c>
      <c r="T1842" t="inlineStr">
        <is>
          <t>25250826975620000130570010000048281000000000</t>
        </is>
      </c>
      <c r="U1842" t="inlineStr">
        <is>
          <t>Não</t>
        </is>
      </c>
    </row>
    <row r="1843">
      <c r="A1843" t="inlineStr">
        <is>
          <t>Frete de venda</t>
        </is>
      </c>
      <c r="B1843" t="inlineStr">
        <is>
          <t>2.01.02 Frete sobre Vendas</t>
        </is>
      </c>
      <c r="C1843" t="inlineStr">
        <is>
          <t>Antes de 2026</t>
        </is>
      </c>
      <c r="D1843" t="inlineStr">
        <is>
          <t>Antes de 2026</t>
        </is>
      </c>
      <c r="E1843" s="28" t="n">
        <v>45870</v>
      </c>
      <c r="F1843" t="inlineStr">
        <is>
          <t>CT-e</t>
        </is>
      </c>
      <c r="G1843" t="inlineStr">
        <is>
          <t>000004829</t>
        </is>
      </c>
      <c r="H1843" t="inlineStr">
        <is>
          <t>R&amp;R TRANSPORTE E LOGISTICA</t>
        </is>
      </c>
      <c r="J1843" s="29" t="n">
        <v>13.7</v>
      </c>
      <c r="K1843" s="29">
        <f>(1-ISNUMBER(SEARCH("556",M1843)))*(O1843*SUMIFS(Premissas!$C$5:$C$44,Premissas!$A$5:$A$44,$A1843,Premissas!$B$5:$B$44,$B1843)+P1843*SUMIFS(Premissas!$D$5:$D$44,Premissas!$A$5:$A$44,$A1843,Premissas!$B$5:$B$44,$B1843))+R1843*SUMIFS(Premissas!$E$5:$E$44,Premissas!$A$5:$A$44,$A1843,Premissas!$B$5:$B$44,$B1843)+S1843*SUMIFS(Premissas!$F$5:$F$44,Premissas!$A$5:$A$44,$A1843,Premissas!$B$5:$B$44,$B1843)</f>
        <v/>
      </c>
      <c r="L1843" s="29">
        <f>J1843-K1843</f>
        <v/>
      </c>
      <c r="M1843" t="inlineStr">
        <is>
          <t>1.350</t>
        </is>
      </c>
      <c r="N1843" t="inlineStr">
        <is>
          <t>Modalidade: 0 - Por conta do remetente | Parte: JTEM COMERCIAL LTDA (17.118.520/0001-04)</t>
        </is>
      </c>
      <c r="O1843" s="29" t="n">
        <v>0</v>
      </c>
      <c r="P1843" s="29" t="n">
        <v>0</v>
      </c>
      <c r="Q1843" s="29" t="n">
        <v>0</v>
      </c>
      <c r="R1843" s="29" t="n">
        <v>0</v>
      </c>
      <c r="S1843" s="29" t="n">
        <v>0</v>
      </c>
      <c r="T1843" t="inlineStr">
        <is>
          <t>25250826975620000130570010000048291000000007</t>
        </is>
      </c>
      <c r="U1843" t="inlineStr">
        <is>
          <t>Não</t>
        </is>
      </c>
    </row>
    <row r="1844">
      <c r="A1844" t="inlineStr">
        <is>
          <t>Frete de venda</t>
        </is>
      </c>
      <c r="B1844" t="inlineStr">
        <is>
          <t>2.01.02 Frete sobre Vendas</t>
        </is>
      </c>
      <c r="C1844" t="inlineStr">
        <is>
          <t>Antes de 2026</t>
        </is>
      </c>
      <c r="D1844" t="inlineStr">
        <is>
          <t>Antes de 2026</t>
        </is>
      </c>
      <c r="E1844" s="28" t="n">
        <v>45870</v>
      </c>
      <c r="F1844" t="inlineStr">
        <is>
          <t>CT-e</t>
        </is>
      </c>
      <c r="G1844" t="inlineStr">
        <is>
          <t>000004830</t>
        </is>
      </c>
      <c r="H1844" t="inlineStr">
        <is>
          <t>R&amp;R TRANSPORTE E LOGISTICA</t>
        </is>
      </c>
      <c r="J1844" s="29" t="n">
        <v>13.87</v>
      </c>
      <c r="K1844" s="29">
        <f>(1-ISNUMBER(SEARCH("556",M1844)))*(O1844*SUMIFS(Premissas!$C$5:$C$44,Premissas!$A$5:$A$44,$A1844,Premissas!$B$5:$B$44,$B1844)+P1844*SUMIFS(Premissas!$D$5:$D$44,Premissas!$A$5:$A$44,$A1844,Premissas!$B$5:$B$44,$B1844))+R1844*SUMIFS(Premissas!$E$5:$E$44,Premissas!$A$5:$A$44,$A1844,Premissas!$B$5:$B$44,$B1844)+S1844*SUMIFS(Premissas!$F$5:$F$44,Premissas!$A$5:$A$44,$A1844,Premissas!$B$5:$B$44,$B1844)</f>
        <v/>
      </c>
      <c r="L1844" s="29">
        <f>J1844-K1844</f>
        <v/>
      </c>
      <c r="M1844" t="inlineStr">
        <is>
          <t>1.350</t>
        </is>
      </c>
      <c r="N1844" t="inlineStr">
        <is>
          <t>Modalidade: 0 - Por conta do remetente | Parte: MERCADO LEONEL LTDA - EPP (82.008.087/0001-08)</t>
        </is>
      </c>
      <c r="O1844" s="29" t="n">
        <v>0</v>
      </c>
      <c r="P1844" s="29" t="n">
        <v>0</v>
      </c>
      <c r="Q1844" s="29" t="n">
        <v>0</v>
      </c>
      <c r="R1844" s="29" t="n">
        <v>0</v>
      </c>
      <c r="S1844" s="29" t="n">
        <v>0</v>
      </c>
      <c r="T1844" t="inlineStr">
        <is>
          <t>25250826975620000130570010000048301000000008</t>
        </is>
      </c>
      <c r="U1844" t="inlineStr">
        <is>
          <t>Não</t>
        </is>
      </c>
    </row>
    <row r="1845">
      <c r="A1845" t="inlineStr">
        <is>
          <t>Frete de venda</t>
        </is>
      </c>
      <c r="B1845" t="inlineStr">
        <is>
          <t>2.01.02 Frete sobre Vendas</t>
        </is>
      </c>
      <c r="C1845" t="inlineStr">
        <is>
          <t>Antes de 2026</t>
        </is>
      </c>
      <c r="D1845" t="inlineStr">
        <is>
          <t>Antes de 2026</t>
        </is>
      </c>
      <c r="E1845" s="28" t="n">
        <v>45870</v>
      </c>
      <c r="F1845" t="inlineStr">
        <is>
          <t>CT-e</t>
        </is>
      </c>
      <c r="G1845" t="inlineStr">
        <is>
          <t>000004831</t>
        </is>
      </c>
      <c r="H1845" t="inlineStr">
        <is>
          <t>R&amp;R TRANSPORTE E LOGISTICA</t>
        </is>
      </c>
      <c r="J1845" s="29" t="n">
        <v>17.27</v>
      </c>
      <c r="K1845" s="29">
        <f>(1-ISNUMBER(SEARCH("556",M1845)))*(O1845*SUMIFS(Premissas!$C$5:$C$44,Premissas!$A$5:$A$44,$A1845,Premissas!$B$5:$B$44,$B1845)+P1845*SUMIFS(Premissas!$D$5:$D$44,Premissas!$A$5:$A$44,$A1845,Premissas!$B$5:$B$44,$B1845))+R1845*SUMIFS(Premissas!$E$5:$E$44,Premissas!$A$5:$A$44,$A1845,Premissas!$B$5:$B$44,$B1845)+S1845*SUMIFS(Premissas!$F$5:$F$44,Premissas!$A$5:$A$44,$A1845,Premissas!$B$5:$B$44,$B1845)</f>
        <v/>
      </c>
      <c r="L1845" s="29">
        <f>J1845-K1845</f>
        <v/>
      </c>
      <c r="M1845" t="inlineStr">
        <is>
          <t>1.350</t>
        </is>
      </c>
      <c r="N1845" t="inlineStr">
        <is>
          <t>Modalidade: 0 - Por conta do remetente | Parte: COMANDULLI COMERCIO DE EMBALAGENS LTDA (85.033.066/0001-30)</t>
        </is>
      </c>
      <c r="O1845" s="29" t="n">
        <v>0</v>
      </c>
      <c r="P1845" s="29" t="n">
        <v>0</v>
      </c>
      <c r="Q1845" s="29" t="n">
        <v>0</v>
      </c>
      <c r="R1845" s="29" t="n">
        <v>0</v>
      </c>
      <c r="S1845" s="29" t="n">
        <v>0</v>
      </c>
      <c r="T1845" t="inlineStr">
        <is>
          <t>25250826975620000130570010000048311000000005</t>
        </is>
      </c>
      <c r="U1845" t="inlineStr">
        <is>
          <t>Não</t>
        </is>
      </c>
    </row>
    <row r="1846">
      <c r="A1846" t="inlineStr">
        <is>
          <t>Frete de venda</t>
        </is>
      </c>
      <c r="B1846" t="inlineStr">
        <is>
          <t>2.01.02 Frete sobre Vendas</t>
        </is>
      </c>
      <c r="C1846" t="inlineStr">
        <is>
          <t>Antes de 2026</t>
        </is>
      </c>
      <c r="D1846" t="inlineStr">
        <is>
          <t>Antes de 2026</t>
        </is>
      </c>
      <c r="E1846" s="28" t="n">
        <v>45870</v>
      </c>
      <c r="F1846" t="inlineStr">
        <is>
          <t>CT-e</t>
        </is>
      </c>
      <c r="G1846" t="inlineStr">
        <is>
          <t>000004832</t>
        </is>
      </c>
      <c r="H1846" t="inlineStr">
        <is>
          <t>R&amp;R TRANSPORTE E LOGISTICA</t>
        </is>
      </c>
      <c r="J1846" s="29" t="n">
        <v>16.06</v>
      </c>
      <c r="K1846" s="29">
        <f>(1-ISNUMBER(SEARCH("556",M1846)))*(O1846*SUMIFS(Premissas!$C$5:$C$44,Premissas!$A$5:$A$44,$A1846,Premissas!$B$5:$B$44,$B1846)+P1846*SUMIFS(Premissas!$D$5:$D$44,Premissas!$A$5:$A$44,$A1846,Premissas!$B$5:$B$44,$B1846))+R1846*SUMIFS(Premissas!$E$5:$E$44,Premissas!$A$5:$A$44,$A1846,Premissas!$B$5:$B$44,$B1846)+S1846*SUMIFS(Premissas!$F$5:$F$44,Premissas!$A$5:$A$44,$A1846,Premissas!$B$5:$B$44,$B1846)</f>
        <v/>
      </c>
      <c r="L1846" s="29">
        <f>J1846-K1846</f>
        <v/>
      </c>
      <c r="M1846" t="inlineStr">
        <is>
          <t>1.350</t>
        </is>
      </c>
      <c r="N1846" t="inlineStr">
        <is>
          <t>Modalidade: 0 - Por conta do remetente | Parte: BEBIFRIOS COMERCIAL LTDA (05.796.195/0001-41)</t>
        </is>
      </c>
      <c r="O1846" s="29" t="n">
        <v>0</v>
      </c>
      <c r="P1846" s="29" t="n">
        <v>0</v>
      </c>
      <c r="Q1846" s="29" t="n">
        <v>0</v>
      </c>
      <c r="R1846" s="29" t="n">
        <v>0</v>
      </c>
      <c r="S1846" s="29" t="n">
        <v>0</v>
      </c>
      <c r="T1846" t="inlineStr">
        <is>
          <t>25250826975620000130570010000048321000000002</t>
        </is>
      </c>
      <c r="U1846" t="inlineStr">
        <is>
          <t>Não</t>
        </is>
      </c>
    </row>
    <row r="1847">
      <c r="A1847" t="inlineStr">
        <is>
          <t>Frete de venda</t>
        </is>
      </c>
      <c r="B1847" t="inlineStr">
        <is>
          <t>2.01.02 Frete sobre Vendas</t>
        </is>
      </c>
      <c r="C1847" t="inlineStr">
        <is>
          <t>Antes de 2026</t>
        </is>
      </c>
      <c r="D1847" t="inlineStr">
        <is>
          <t>Antes de 2026</t>
        </is>
      </c>
      <c r="E1847" s="28" t="n">
        <v>45873</v>
      </c>
      <c r="F1847" t="inlineStr">
        <is>
          <t>CT-e</t>
        </is>
      </c>
      <c r="G1847" t="inlineStr">
        <is>
          <t>000004838</t>
        </is>
      </c>
      <c r="H1847" t="inlineStr">
        <is>
          <t>R&amp;R TRANSPORTE E LOGISTICA</t>
        </is>
      </c>
      <c r="J1847" s="29" t="n">
        <v>860</v>
      </c>
      <c r="K1847" s="29">
        <f>(1-ISNUMBER(SEARCH("556",M1847)))*(O1847*SUMIFS(Premissas!$C$5:$C$44,Premissas!$A$5:$A$44,$A1847,Premissas!$B$5:$B$44,$B1847)+P1847*SUMIFS(Premissas!$D$5:$D$44,Premissas!$A$5:$A$44,$A1847,Premissas!$B$5:$B$44,$B1847))+R1847*SUMIFS(Premissas!$E$5:$E$44,Premissas!$A$5:$A$44,$A1847,Premissas!$B$5:$B$44,$B1847)+S1847*SUMIFS(Premissas!$F$5:$F$44,Premissas!$A$5:$A$44,$A1847,Premissas!$B$5:$B$44,$B1847)</f>
        <v/>
      </c>
      <c r="L1847" s="29">
        <f>J1847-K1847</f>
        <v/>
      </c>
      <c r="M1847" t="inlineStr">
        <is>
          <t>1.350</t>
        </is>
      </c>
      <c r="N1847" t="inlineStr">
        <is>
          <t>Modalidade: 0 - Por conta do remetente | Parte: EMBALAMIX COMERCIO DE EMBALAGENS E DESCARTAVEIS LTDA (14.166.061/0001-38)</t>
        </is>
      </c>
      <c r="O1847" s="29" t="n">
        <v>0</v>
      </c>
      <c r="P1847" s="29" t="n">
        <v>0</v>
      </c>
      <c r="Q1847" s="29" t="n">
        <v>0</v>
      </c>
      <c r="R1847" s="29" t="n">
        <v>0</v>
      </c>
      <c r="S1847" s="29" t="n">
        <v>0</v>
      </c>
      <c r="T1847" t="inlineStr">
        <is>
          <t>25250826975620000130570010000048381000000006</t>
        </is>
      </c>
      <c r="U1847" t="inlineStr">
        <is>
          <t>Não</t>
        </is>
      </c>
    </row>
    <row r="1848">
      <c r="A1848" t="inlineStr">
        <is>
          <t>Frete de venda</t>
        </is>
      </c>
      <c r="B1848" t="inlineStr">
        <is>
          <t>2.01.02 Frete sobre Vendas</t>
        </is>
      </c>
      <c r="C1848" t="inlineStr">
        <is>
          <t>Antes de 2026</t>
        </is>
      </c>
      <c r="D1848" t="inlineStr">
        <is>
          <t>Antes de 2026</t>
        </is>
      </c>
      <c r="E1848" s="28" t="n">
        <v>45874</v>
      </c>
      <c r="F1848" t="inlineStr">
        <is>
          <t>CT-e</t>
        </is>
      </c>
      <c r="G1848" t="inlineStr">
        <is>
          <t>000004844</t>
        </is>
      </c>
      <c r="H1848" t="inlineStr">
        <is>
          <t>R&amp;R TRANSPORTE E LOGISTICA</t>
        </is>
      </c>
      <c r="J1848" s="29" t="n">
        <v>350</v>
      </c>
      <c r="K1848" s="29">
        <f>(1-ISNUMBER(SEARCH("556",M1848)))*(O1848*SUMIFS(Premissas!$C$5:$C$44,Premissas!$A$5:$A$44,$A1848,Premissas!$B$5:$B$44,$B1848)+P1848*SUMIFS(Premissas!$D$5:$D$44,Premissas!$A$5:$A$44,$A1848,Premissas!$B$5:$B$44,$B1848))+R1848*SUMIFS(Premissas!$E$5:$E$44,Premissas!$A$5:$A$44,$A1848,Premissas!$B$5:$B$44,$B1848)+S1848*SUMIFS(Premissas!$F$5:$F$44,Premissas!$A$5:$A$44,$A1848,Premissas!$B$5:$B$44,$B1848)</f>
        <v/>
      </c>
      <c r="L1848" s="29">
        <f>J1848-K1848</f>
        <v/>
      </c>
      <c r="M1848" t="inlineStr">
        <is>
          <t>1.350</t>
        </is>
      </c>
      <c r="N1848" t="inlineStr">
        <is>
          <t>Modalidade: 0 - Por conta do remetente | Parte: COMERCIAL PROLAC LTDA. (07.182.763/0001-40)</t>
        </is>
      </c>
      <c r="O1848" s="29" t="n">
        <v>0</v>
      </c>
      <c r="P1848" s="29" t="n">
        <v>0</v>
      </c>
      <c r="Q1848" s="29" t="n">
        <v>0</v>
      </c>
      <c r="R1848" s="29" t="n">
        <v>0</v>
      </c>
      <c r="S1848" s="29" t="n">
        <v>0</v>
      </c>
      <c r="T1848" t="inlineStr">
        <is>
          <t>25250826975620000130570010000048441000000003</t>
        </is>
      </c>
      <c r="U1848" t="inlineStr">
        <is>
          <t>Não</t>
        </is>
      </c>
    </row>
    <row r="1849">
      <c r="A1849" t="inlineStr">
        <is>
          <t>Frete de venda</t>
        </is>
      </c>
      <c r="B1849" t="inlineStr">
        <is>
          <t>2.01.02 Frete sobre Vendas</t>
        </is>
      </c>
      <c r="C1849" t="inlineStr">
        <is>
          <t>Antes de 2026</t>
        </is>
      </c>
      <c r="D1849" t="inlineStr">
        <is>
          <t>Antes de 2026</t>
        </is>
      </c>
      <c r="E1849" s="28" t="n">
        <v>45874</v>
      </c>
      <c r="F1849" t="inlineStr">
        <is>
          <t>CT-e</t>
        </is>
      </c>
      <c r="G1849" t="inlineStr">
        <is>
          <t>000004845</t>
        </is>
      </c>
      <c r="H1849" t="inlineStr">
        <is>
          <t>R&amp;R TRANSPORTE E LOGISTICA</t>
        </is>
      </c>
      <c r="J1849" s="29" t="n">
        <v>350</v>
      </c>
      <c r="K1849" s="29">
        <f>(1-ISNUMBER(SEARCH("556",M1849)))*(O1849*SUMIFS(Premissas!$C$5:$C$44,Premissas!$A$5:$A$44,$A1849,Premissas!$B$5:$B$44,$B1849)+P1849*SUMIFS(Premissas!$D$5:$D$44,Premissas!$A$5:$A$44,$A1849,Premissas!$B$5:$B$44,$B1849))+R1849*SUMIFS(Premissas!$E$5:$E$44,Premissas!$A$5:$A$44,$A1849,Premissas!$B$5:$B$44,$B1849)+S1849*SUMIFS(Premissas!$F$5:$F$44,Premissas!$A$5:$A$44,$A1849,Premissas!$B$5:$B$44,$B1849)</f>
        <v/>
      </c>
      <c r="L1849" s="29">
        <f>J1849-K1849</f>
        <v/>
      </c>
      <c r="M1849" t="inlineStr">
        <is>
          <t>1.350</t>
        </is>
      </c>
      <c r="N1849" t="inlineStr">
        <is>
          <t>Modalidade: 0 - Por conta do remetente | Parte: JR DISTRIBUICAO LTDA (00.680.755/0002-65)</t>
        </is>
      </c>
      <c r="O1849" s="29" t="n">
        <v>0</v>
      </c>
      <c r="P1849" s="29" t="n">
        <v>0</v>
      </c>
      <c r="Q1849" s="29" t="n">
        <v>0</v>
      </c>
      <c r="R1849" s="29" t="n">
        <v>0</v>
      </c>
      <c r="S1849" s="29" t="n">
        <v>0</v>
      </c>
      <c r="T1849" t="inlineStr">
        <is>
          <t>25250826975620000130570010000048451000000000</t>
        </is>
      </c>
      <c r="U1849" t="inlineStr">
        <is>
          <t>Não</t>
        </is>
      </c>
    </row>
    <row r="1850">
      <c r="A1850" t="inlineStr">
        <is>
          <t>Frete de venda</t>
        </is>
      </c>
      <c r="B1850" t="inlineStr">
        <is>
          <t>2.01.02 Frete sobre Vendas</t>
        </is>
      </c>
      <c r="C1850" t="inlineStr">
        <is>
          <t>Antes de 2026</t>
        </is>
      </c>
      <c r="D1850" t="inlineStr">
        <is>
          <t>Antes de 2026</t>
        </is>
      </c>
      <c r="E1850" s="28" t="n">
        <v>45874</v>
      </c>
      <c r="F1850" t="inlineStr">
        <is>
          <t>CT-e</t>
        </is>
      </c>
      <c r="G1850" t="inlineStr">
        <is>
          <t>000004846</t>
        </is>
      </c>
      <c r="H1850" t="inlineStr">
        <is>
          <t>R&amp;R TRANSPORTE E LOGISTICA</t>
        </is>
      </c>
      <c r="J1850" s="29" t="n">
        <v>350</v>
      </c>
      <c r="K1850" s="29">
        <f>(1-ISNUMBER(SEARCH("556",M1850)))*(O1850*SUMIFS(Premissas!$C$5:$C$44,Premissas!$A$5:$A$44,$A1850,Premissas!$B$5:$B$44,$B1850)+P1850*SUMIFS(Premissas!$D$5:$D$44,Premissas!$A$5:$A$44,$A1850,Premissas!$B$5:$B$44,$B1850))+R1850*SUMIFS(Premissas!$E$5:$E$44,Premissas!$A$5:$A$44,$A1850,Premissas!$B$5:$B$44,$B1850)+S1850*SUMIFS(Premissas!$F$5:$F$44,Premissas!$A$5:$A$44,$A1850,Premissas!$B$5:$B$44,$B1850)</f>
        <v/>
      </c>
      <c r="L1850" s="29">
        <f>J1850-K1850</f>
        <v/>
      </c>
      <c r="M1850" t="inlineStr">
        <is>
          <t>1.350</t>
        </is>
      </c>
      <c r="N1850" t="inlineStr">
        <is>
          <t>Modalidade: 0 - Por conta do remetente | Parte: DML DISTRIBUIDORA DE ALIMENTOS E EMBALAGENS LTDA (07.412.776/0001-68)</t>
        </is>
      </c>
      <c r="O1850" s="29" t="n">
        <v>0</v>
      </c>
      <c r="P1850" s="29" t="n">
        <v>0</v>
      </c>
      <c r="Q1850" s="29" t="n">
        <v>0</v>
      </c>
      <c r="R1850" s="29" t="n">
        <v>0</v>
      </c>
      <c r="S1850" s="29" t="n">
        <v>0</v>
      </c>
      <c r="T1850" t="inlineStr">
        <is>
          <t>25250826975620000130570010000048461000000008</t>
        </is>
      </c>
      <c r="U1850" t="inlineStr">
        <is>
          <t>Não</t>
        </is>
      </c>
    </row>
    <row r="1851">
      <c r="A1851" t="inlineStr">
        <is>
          <t>Frete de venda</t>
        </is>
      </c>
      <c r="B1851" t="inlineStr">
        <is>
          <t>2.01.02 Frete sobre Vendas</t>
        </is>
      </c>
      <c r="C1851" t="inlineStr">
        <is>
          <t>Antes de 2026</t>
        </is>
      </c>
      <c r="D1851" t="inlineStr">
        <is>
          <t>Antes de 2026</t>
        </is>
      </c>
      <c r="E1851" s="28" t="n">
        <v>45874</v>
      </c>
      <c r="F1851" t="inlineStr">
        <is>
          <t>CT-e</t>
        </is>
      </c>
      <c r="G1851" t="inlineStr">
        <is>
          <t>000004847</t>
        </is>
      </c>
      <c r="H1851" t="inlineStr">
        <is>
          <t>R&amp;R TRANSPORTE E LOGISTICA</t>
        </is>
      </c>
      <c r="J1851" s="29" t="n">
        <v>350</v>
      </c>
      <c r="K1851" s="29">
        <f>(1-ISNUMBER(SEARCH("556",M1851)))*(O1851*SUMIFS(Premissas!$C$5:$C$44,Premissas!$A$5:$A$44,$A1851,Premissas!$B$5:$B$44,$B1851)+P1851*SUMIFS(Premissas!$D$5:$D$44,Premissas!$A$5:$A$44,$A1851,Premissas!$B$5:$B$44,$B1851))+R1851*SUMIFS(Premissas!$E$5:$E$44,Premissas!$A$5:$A$44,$A1851,Premissas!$B$5:$B$44,$B1851)+S1851*SUMIFS(Premissas!$F$5:$F$44,Premissas!$A$5:$A$44,$A1851,Premissas!$B$5:$B$44,$B1851)</f>
        <v/>
      </c>
      <c r="L1851" s="29">
        <f>J1851-K1851</f>
        <v/>
      </c>
      <c r="M1851" t="inlineStr">
        <is>
          <t>1.350</t>
        </is>
      </c>
      <c r="N1851" t="inlineStr">
        <is>
          <t>Modalidade: 0 - Por conta do remetente | Parte: WRFC EMBALAGENS LTDA (56.093.170/0001-12)</t>
        </is>
      </c>
      <c r="O1851" s="29" t="n">
        <v>0</v>
      </c>
      <c r="P1851" s="29" t="n">
        <v>0</v>
      </c>
      <c r="Q1851" s="29" t="n">
        <v>0</v>
      </c>
      <c r="R1851" s="29" t="n">
        <v>0</v>
      </c>
      <c r="S1851" s="29" t="n">
        <v>0</v>
      </c>
      <c r="T1851" t="inlineStr">
        <is>
          <t>25250826975620000130570010000048471000000005</t>
        </is>
      </c>
      <c r="U1851" t="inlineStr">
        <is>
          <t>Não</t>
        </is>
      </c>
    </row>
    <row r="1852">
      <c r="A1852" t="inlineStr">
        <is>
          <t>Frete de venda</t>
        </is>
      </c>
      <c r="B1852" t="inlineStr">
        <is>
          <t>2.01.02 Frete sobre Vendas</t>
        </is>
      </c>
      <c r="C1852" t="inlineStr">
        <is>
          <t>Antes de 2026</t>
        </is>
      </c>
      <c r="D1852" t="inlineStr">
        <is>
          <t>Antes de 2026</t>
        </is>
      </c>
      <c r="E1852" s="28" t="n">
        <v>45874</v>
      </c>
      <c r="F1852" t="inlineStr">
        <is>
          <t>CT-e</t>
        </is>
      </c>
      <c r="G1852" t="inlineStr">
        <is>
          <t>000004848</t>
        </is>
      </c>
      <c r="H1852" t="inlineStr">
        <is>
          <t>R&amp;R TRANSPORTE E LOGISTICA</t>
        </is>
      </c>
      <c r="J1852" s="29" t="n">
        <v>600</v>
      </c>
      <c r="K1852" s="29">
        <f>(1-ISNUMBER(SEARCH("556",M1852)))*(O1852*SUMIFS(Premissas!$C$5:$C$44,Premissas!$A$5:$A$44,$A1852,Premissas!$B$5:$B$44,$B1852)+P1852*SUMIFS(Premissas!$D$5:$D$44,Premissas!$A$5:$A$44,$A1852,Premissas!$B$5:$B$44,$B1852))+R1852*SUMIFS(Premissas!$E$5:$E$44,Premissas!$A$5:$A$44,$A1852,Premissas!$B$5:$B$44,$B1852)+S1852*SUMIFS(Premissas!$F$5:$F$44,Premissas!$A$5:$A$44,$A1852,Premissas!$B$5:$B$44,$B1852)</f>
        <v/>
      </c>
      <c r="L1852" s="29">
        <f>J1852-K1852</f>
        <v/>
      </c>
      <c r="M1852" t="inlineStr">
        <is>
          <t>1.350</t>
        </is>
      </c>
      <c r="N1852" t="inlineStr">
        <is>
          <t>Transportadora de frete de venda, mas pela modalidade do frete a Vinco recebeu a carga | Modalidade: 1 - Por conta do destinatário | Parte: COLAMID (04.781.666/0001-85)</t>
        </is>
      </c>
      <c r="O1852" s="29" t="n">
        <v>0</v>
      </c>
      <c r="P1852" s="29" t="n">
        <v>0</v>
      </c>
      <c r="Q1852" s="29" t="n">
        <v>0</v>
      </c>
      <c r="R1852" s="29" t="n">
        <v>0</v>
      </c>
      <c r="S1852" s="29" t="n">
        <v>0</v>
      </c>
      <c r="T1852" t="inlineStr">
        <is>
          <t>25250826975620000130570010000048481000000002</t>
        </is>
      </c>
      <c r="U1852" t="inlineStr">
        <is>
          <t>Não</t>
        </is>
      </c>
    </row>
    <row r="1853">
      <c r="A1853" t="inlineStr">
        <is>
          <t>Frete de venda</t>
        </is>
      </c>
      <c r="B1853" t="inlineStr">
        <is>
          <t>2.01.02 Frete sobre Vendas</t>
        </is>
      </c>
      <c r="C1853" t="inlineStr">
        <is>
          <t>Antes de 2026</t>
        </is>
      </c>
      <c r="D1853" t="inlineStr">
        <is>
          <t>Antes de 2026</t>
        </is>
      </c>
      <c r="E1853" s="28" t="n">
        <v>45875</v>
      </c>
      <c r="F1853" t="inlineStr">
        <is>
          <t>CT-e</t>
        </is>
      </c>
      <c r="G1853" t="inlineStr">
        <is>
          <t>000004850</t>
        </is>
      </c>
      <c r="H1853" t="inlineStr">
        <is>
          <t>R&amp;R TRANSPORTE E LOGISTICA</t>
        </is>
      </c>
      <c r="J1853" s="29" t="n">
        <v>15</v>
      </c>
      <c r="K1853" s="29">
        <f>(1-ISNUMBER(SEARCH("556",M1853)))*(O1853*SUMIFS(Premissas!$C$5:$C$44,Premissas!$A$5:$A$44,$A1853,Premissas!$B$5:$B$44,$B1853)+P1853*SUMIFS(Premissas!$D$5:$D$44,Premissas!$A$5:$A$44,$A1853,Premissas!$B$5:$B$44,$B1853))+R1853*SUMIFS(Premissas!$E$5:$E$44,Premissas!$A$5:$A$44,$A1853,Premissas!$B$5:$B$44,$B1853)+S1853*SUMIFS(Premissas!$F$5:$F$44,Premissas!$A$5:$A$44,$A1853,Premissas!$B$5:$B$44,$B1853)</f>
        <v/>
      </c>
      <c r="L1853" s="29">
        <f>J1853-K1853</f>
        <v/>
      </c>
      <c r="M1853" t="inlineStr">
        <is>
          <t>1.350</t>
        </is>
      </c>
      <c r="N1853" t="inlineStr">
        <is>
          <t>Modalidade: 0 - Por conta do remetente | Parte: DURA MAIS RECICLA LTDA (57.707.032/0001-49)</t>
        </is>
      </c>
      <c r="O1853" s="29" t="n">
        <v>0</v>
      </c>
      <c r="P1853" s="29" t="n">
        <v>0</v>
      </c>
      <c r="Q1853" s="29" t="n">
        <v>0</v>
      </c>
      <c r="R1853" s="29" t="n">
        <v>0</v>
      </c>
      <c r="S1853" s="29" t="n">
        <v>0</v>
      </c>
      <c r="T1853" t="inlineStr">
        <is>
          <t>25250826975620000130570010000048501000000000</t>
        </is>
      </c>
      <c r="U1853" t="inlineStr">
        <is>
          <t>Não</t>
        </is>
      </c>
    </row>
    <row r="1854">
      <c r="A1854" t="inlineStr">
        <is>
          <t>Frete de venda</t>
        </is>
      </c>
      <c r="B1854" t="inlineStr">
        <is>
          <t>2.01.02 Frete sobre Vendas</t>
        </is>
      </c>
      <c r="C1854" t="inlineStr">
        <is>
          <t>Antes de 2026</t>
        </is>
      </c>
      <c r="D1854" t="inlineStr">
        <is>
          <t>Antes de 2026</t>
        </is>
      </c>
      <c r="E1854" s="28" t="n">
        <v>45875</v>
      </c>
      <c r="F1854" t="inlineStr">
        <is>
          <t>CT-e</t>
        </is>
      </c>
      <c r="G1854" t="inlineStr">
        <is>
          <t>000004851</t>
        </is>
      </c>
      <c r="H1854" t="inlineStr">
        <is>
          <t>R&amp;R TRANSPORTE E LOGISTICA</t>
        </is>
      </c>
      <c r="J1854" s="29" t="n">
        <v>107.89</v>
      </c>
      <c r="K1854" s="29">
        <f>(1-ISNUMBER(SEARCH("556",M1854)))*(O1854*SUMIFS(Premissas!$C$5:$C$44,Premissas!$A$5:$A$44,$A1854,Premissas!$B$5:$B$44,$B1854)+P1854*SUMIFS(Premissas!$D$5:$D$44,Premissas!$A$5:$A$44,$A1854,Premissas!$B$5:$B$44,$B1854))+R1854*SUMIFS(Premissas!$E$5:$E$44,Premissas!$A$5:$A$44,$A1854,Premissas!$B$5:$B$44,$B1854)+S1854*SUMIFS(Premissas!$F$5:$F$44,Premissas!$A$5:$A$44,$A1854,Premissas!$B$5:$B$44,$B1854)</f>
        <v/>
      </c>
      <c r="L1854" s="29">
        <f>J1854-K1854</f>
        <v/>
      </c>
      <c r="M1854" t="inlineStr">
        <is>
          <t>1.350</t>
        </is>
      </c>
      <c r="N1854" t="inlineStr">
        <is>
          <t>Modalidade: 0 - Por conta do remetente | Parte: P. S. CUNHA COMERCIO DE EMBALAGENS E ALIMENTOS LTDA (44.414.358/0002-17)</t>
        </is>
      </c>
      <c r="O1854" s="29" t="n">
        <v>0</v>
      </c>
      <c r="P1854" s="29" t="n">
        <v>0</v>
      </c>
      <c r="Q1854" s="29" t="n">
        <v>0</v>
      </c>
      <c r="R1854" s="29" t="n">
        <v>0</v>
      </c>
      <c r="S1854" s="29" t="n">
        <v>0</v>
      </c>
      <c r="T1854" t="inlineStr">
        <is>
          <t>25250826975620000130570010000048511000000008</t>
        </is>
      </c>
      <c r="U1854" t="inlineStr">
        <is>
          <t>Não</t>
        </is>
      </c>
    </row>
    <row r="1855">
      <c r="A1855" t="inlineStr">
        <is>
          <t>Frete de venda</t>
        </is>
      </c>
      <c r="B1855" t="inlineStr">
        <is>
          <t>2.01.02 Frete sobre Vendas</t>
        </is>
      </c>
      <c r="C1855" t="inlineStr">
        <is>
          <t>Antes de 2026</t>
        </is>
      </c>
      <c r="D1855" t="inlineStr">
        <is>
          <t>Antes de 2026</t>
        </is>
      </c>
      <c r="E1855" s="28" t="n">
        <v>45875</v>
      </c>
      <c r="F1855" t="inlineStr">
        <is>
          <t>CT-e</t>
        </is>
      </c>
      <c r="G1855" t="inlineStr">
        <is>
          <t>000004852</t>
        </is>
      </c>
      <c r="H1855" t="inlineStr">
        <is>
          <t>R&amp;R TRANSPORTE E LOGISTICA</t>
        </is>
      </c>
      <c r="J1855" s="29" t="n">
        <v>469.3</v>
      </c>
      <c r="K1855" s="29">
        <f>(1-ISNUMBER(SEARCH("556",M1855)))*(O1855*SUMIFS(Premissas!$C$5:$C$44,Premissas!$A$5:$A$44,$A1855,Premissas!$B$5:$B$44,$B1855)+P1855*SUMIFS(Premissas!$D$5:$D$44,Premissas!$A$5:$A$44,$A1855,Premissas!$B$5:$B$44,$B1855))+R1855*SUMIFS(Premissas!$E$5:$E$44,Premissas!$A$5:$A$44,$A1855,Premissas!$B$5:$B$44,$B1855)+S1855*SUMIFS(Premissas!$F$5:$F$44,Premissas!$A$5:$A$44,$A1855,Premissas!$B$5:$B$44,$B1855)</f>
        <v/>
      </c>
      <c r="L1855" s="29">
        <f>J1855-K1855</f>
        <v/>
      </c>
      <c r="M1855" t="inlineStr">
        <is>
          <t>1.350</t>
        </is>
      </c>
      <c r="N1855" t="inlineStr">
        <is>
          <t>Modalidade: 0 - Por conta do remetente | Parte: RFC COMERCIO DE MIUDEZAS LTDA (26.514.797/0004-81)</t>
        </is>
      </c>
      <c r="O1855" s="29" t="n">
        <v>0</v>
      </c>
      <c r="P1855" s="29" t="n">
        <v>0</v>
      </c>
      <c r="Q1855" s="29" t="n">
        <v>0</v>
      </c>
      <c r="R1855" s="29" t="n">
        <v>0</v>
      </c>
      <c r="S1855" s="29" t="n">
        <v>0</v>
      </c>
      <c r="T1855" t="inlineStr">
        <is>
          <t>25250826975620000130570010000048521000000005</t>
        </is>
      </c>
      <c r="U1855" t="inlineStr">
        <is>
          <t>Não</t>
        </is>
      </c>
    </row>
    <row r="1856">
      <c r="A1856" t="inlineStr">
        <is>
          <t>Frete de venda</t>
        </is>
      </c>
      <c r="B1856" t="inlineStr">
        <is>
          <t>2.01.02 Frete sobre Vendas</t>
        </is>
      </c>
      <c r="C1856" t="inlineStr">
        <is>
          <t>Antes de 2026</t>
        </is>
      </c>
      <c r="D1856" t="inlineStr">
        <is>
          <t>Antes de 2026</t>
        </is>
      </c>
      <c r="E1856" s="28" t="n">
        <v>45877</v>
      </c>
      <c r="F1856" t="inlineStr">
        <is>
          <t>CT-e</t>
        </is>
      </c>
      <c r="G1856" t="inlineStr">
        <is>
          <t>000004861</t>
        </is>
      </c>
      <c r="H1856" t="inlineStr">
        <is>
          <t>R&amp;R TRANSPORTE E LOGISTICA</t>
        </is>
      </c>
      <c r="J1856" s="29" t="n">
        <v>29.9</v>
      </c>
      <c r="K1856" s="29">
        <f>(1-ISNUMBER(SEARCH("556",M1856)))*(O1856*SUMIFS(Premissas!$C$5:$C$44,Premissas!$A$5:$A$44,$A1856,Premissas!$B$5:$B$44,$B1856)+P1856*SUMIFS(Premissas!$D$5:$D$44,Premissas!$A$5:$A$44,$A1856,Premissas!$B$5:$B$44,$B1856))+R1856*SUMIFS(Premissas!$E$5:$E$44,Premissas!$A$5:$A$44,$A1856,Premissas!$B$5:$B$44,$B1856)+S1856*SUMIFS(Premissas!$F$5:$F$44,Premissas!$A$5:$A$44,$A1856,Premissas!$B$5:$B$44,$B1856)</f>
        <v/>
      </c>
      <c r="L1856" s="29">
        <f>J1856-K1856</f>
        <v/>
      </c>
      <c r="M1856" t="inlineStr">
        <is>
          <t>1.350</t>
        </is>
      </c>
      <c r="N1856" t="inlineStr">
        <is>
          <t>Modalidade: 0 - Por conta do remetente | Parte: TAIS DA ROCHA FARIA LTDA (30.778.066/0001-78)</t>
        </is>
      </c>
      <c r="O1856" s="29" t="n">
        <v>0</v>
      </c>
      <c r="P1856" s="29" t="n">
        <v>0</v>
      </c>
      <c r="Q1856" s="29" t="n">
        <v>0</v>
      </c>
      <c r="R1856" s="29" t="n">
        <v>0</v>
      </c>
      <c r="S1856" s="29" t="n">
        <v>0</v>
      </c>
      <c r="T1856" t="inlineStr">
        <is>
          <t>25250826975620000130570010000048611000000004</t>
        </is>
      </c>
      <c r="U1856" t="inlineStr">
        <is>
          <t>Não</t>
        </is>
      </c>
    </row>
    <row r="1857">
      <c r="A1857" t="inlineStr">
        <is>
          <t>Frete de venda</t>
        </is>
      </c>
      <c r="B1857" t="inlineStr">
        <is>
          <t>2.01.02 Frete sobre Vendas</t>
        </is>
      </c>
      <c r="C1857" t="inlineStr">
        <is>
          <t>Antes de 2026</t>
        </is>
      </c>
      <c r="D1857" t="inlineStr">
        <is>
          <t>Antes de 2026</t>
        </is>
      </c>
      <c r="E1857" s="28" t="n">
        <v>45877</v>
      </c>
      <c r="F1857" t="inlineStr">
        <is>
          <t>CT-e</t>
        </is>
      </c>
      <c r="G1857" t="inlineStr">
        <is>
          <t>000004862</t>
        </is>
      </c>
      <c r="H1857" t="inlineStr">
        <is>
          <t>R&amp;R TRANSPORTE E LOGISTICA</t>
        </is>
      </c>
      <c r="J1857" s="29" t="n">
        <v>92.7</v>
      </c>
      <c r="K1857" s="29">
        <f>(1-ISNUMBER(SEARCH("556",M1857)))*(O1857*SUMIFS(Premissas!$C$5:$C$44,Premissas!$A$5:$A$44,$A1857,Premissas!$B$5:$B$44,$B1857)+P1857*SUMIFS(Premissas!$D$5:$D$44,Premissas!$A$5:$A$44,$A1857,Premissas!$B$5:$B$44,$B1857))+R1857*SUMIFS(Premissas!$E$5:$E$44,Premissas!$A$5:$A$44,$A1857,Premissas!$B$5:$B$44,$B1857)+S1857*SUMIFS(Premissas!$F$5:$F$44,Premissas!$A$5:$A$44,$A1857,Premissas!$B$5:$B$44,$B1857)</f>
        <v/>
      </c>
      <c r="L1857" s="29">
        <f>J1857-K1857</f>
        <v/>
      </c>
      <c r="M1857" t="inlineStr">
        <is>
          <t>1.350</t>
        </is>
      </c>
      <c r="N1857" t="inlineStr">
        <is>
          <t>Modalidade: 0 - Por conta do remetente | Parte: EMBRAMINAS EMBALAGENS BRASIL MINAS LTDA (03.061.564/0001-22)</t>
        </is>
      </c>
      <c r="O1857" s="29" t="n">
        <v>0</v>
      </c>
      <c r="P1857" s="29" t="n">
        <v>0</v>
      </c>
      <c r="Q1857" s="29" t="n">
        <v>0</v>
      </c>
      <c r="R1857" s="29" t="n">
        <v>0</v>
      </c>
      <c r="S1857" s="29" t="n">
        <v>0</v>
      </c>
      <c r="T1857" t="inlineStr">
        <is>
          <t>25250826975620000130570010000048621000000001</t>
        </is>
      </c>
      <c r="U1857" t="inlineStr">
        <is>
          <t>Não</t>
        </is>
      </c>
    </row>
    <row r="1858">
      <c r="A1858" t="inlineStr">
        <is>
          <t>Frete de venda</t>
        </is>
      </c>
      <c r="B1858" t="inlineStr">
        <is>
          <t>2.01.02 Frete sobre Vendas</t>
        </is>
      </c>
      <c r="C1858" t="inlineStr">
        <is>
          <t>Antes de 2026</t>
        </is>
      </c>
      <c r="D1858" t="inlineStr">
        <is>
          <t>Antes de 2026</t>
        </is>
      </c>
      <c r="E1858" s="28" t="n">
        <v>45877</v>
      </c>
      <c r="F1858" t="inlineStr">
        <is>
          <t>CT-e</t>
        </is>
      </c>
      <c r="G1858" t="inlineStr">
        <is>
          <t>000004863</t>
        </is>
      </c>
      <c r="H1858" t="inlineStr">
        <is>
          <t>R&amp;R TRANSPORTE E LOGISTICA</t>
        </is>
      </c>
      <c r="J1858" s="29" t="n">
        <v>39.03</v>
      </c>
      <c r="K1858" s="29">
        <f>(1-ISNUMBER(SEARCH("556",M1858)))*(O1858*SUMIFS(Premissas!$C$5:$C$44,Premissas!$A$5:$A$44,$A1858,Premissas!$B$5:$B$44,$B1858)+P1858*SUMIFS(Premissas!$D$5:$D$44,Premissas!$A$5:$A$44,$A1858,Premissas!$B$5:$B$44,$B1858))+R1858*SUMIFS(Premissas!$E$5:$E$44,Premissas!$A$5:$A$44,$A1858,Premissas!$B$5:$B$44,$B1858)+S1858*SUMIFS(Premissas!$F$5:$F$44,Premissas!$A$5:$A$44,$A1858,Premissas!$B$5:$B$44,$B1858)</f>
        <v/>
      </c>
      <c r="L1858" s="29">
        <f>J1858-K1858</f>
        <v/>
      </c>
      <c r="M1858" t="inlineStr">
        <is>
          <t>1.350</t>
        </is>
      </c>
      <c r="N1858" t="inlineStr">
        <is>
          <t>Modalidade: 0 - Por conta do remetente | Parte: EMBALAGENS ARAUJO LTDA (46.034.653/0001-92)</t>
        </is>
      </c>
      <c r="O1858" s="29" t="n">
        <v>0</v>
      </c>
      <c r="P1858" s="29" t="n">
        <v>0</v>
      </c>
      <c r="Q1858" s="29" t="n">
        <v>0</v>
      </c>
      <c r="R1858" s="29" t="n">
        <v>0</v>
      </c>
      <c r="S1858" s="29" t="n">
        <v>0</v>
      </c>
      <c r="T1858" t="inlineStr">
        <is>
          <t>25250826975620000130570010000048631000000009</t>
        </is>
      </c>
      <c r="U1858" t="inlineStr">
        <is>
          <t>Não</t>
        </is>
      </c>
    </row>
    <row r="1859">
      <c r="A1859" t="inlineStr">
        <is>
          <t>Frete de venda</t>
        </is>
      </c>
      <c r="B1859" t="inlineStr">
        <is>
          <t>2.01.02 Frete sobre Vendas</t>
        </is>
      </c>
      <c r="C1859" t="inlineStr">
        <is>
          <t>Antes de 2026</t>
        </is>
      </c>
      <c r="D1859" t="inlineStr">
        <is>
          <t>Antes de 2026</t>
        </is>
      </c>
      <c r="E1859" s="28" t="n">
        <v>45877</v>
      </c>
      <c r="F1859" t="inlineStr">
        <is>
          <t>CT-e</t>
        </is>
      </c>
      <c r="G1859" t="inlineStr">
        <is>
          <t>000004864</t>
        </is>
      </c>
      <c r="H1859" t="inlineStr">
        <is>
          <t>R&amp;R TRANSPORTE E LOGISTICA</t>
        </is>
      </c>
      <c r="J1859" s="29" t="n">
        <v>35.16</v>
      </c>
      <c r="K1859" s="29">
        <f>(1-ISNUMBER(SEARCH("556",M1859)))*(O1859*SUMIFS(Premissas!$C$5:$C$44,Premissas!$A$5:$A$44,$A1859,Premissas!$B$5:$B$44,$B1859)+P1859*SUMIFS(Premissas!$D$5:$D$44,Premissas!$A$5:$A$44,$A1859,Premissas!$B$5:$B$44,$B1859))+R1859*SUMIFS(Premissas!$E$5:$E$44,Premissas!$A$5:$A$44,$A1859,Premissas!$B$5:$B$44,$B1859)+S1859*SUMIFS(Premissas!$F$5:$F$44,Premissas!$A$5:$A$44,$A1859,Premissas!$B$5:$B$44,$B1859)</f>
        <v/>
      </c>
      <c r="L1859" s="29">
        <f>J1859-K1859</f>
        <v/>
      </c>
      <c r="M1859" t="inlineStr">
        <is>
          <t>1.350</t>
        </is>
      </c>
      <c r="N1859" t="inlineStr">
        <is>
          <t>Modalidade: 0 - Por conta do remetente | Parte: ERG DISTRIBUIDORA LTDA (11.302.754/0001-12)</t>
        </is>
      </c>
      <c r="O1859" s="29" t="n">
        <v>0</v>
      </c>
      <c r="P1859" s="29" t="n">
        <v>0</v>
      </c>
      <c r="Q1859" s="29" t="n">
        <v>0</v>
      </c>
      <c r="R1859" s="29" t="n">
        <v>0</v>
      </c>
      <c r="S1859" s="29" t="n">
        <v>0</v>
      </c>
      <c r="T1859" t="inlineStr">
        <is>
          <t>25250826975620000130570010000048641000000006</t>
        </is>
      </c>
      <c r="U1859" t="inlineStr">
        <is>
          <t>Não</t>
        </is>
      </c>
    </row>
    <row r="1860">
      <c r="A1860" t="inlineStr">
        <is>
          <t>Frete de venda</t>
        </is>
      </c>
      <c r="B1860" t="inlineStr">
        <is>
          <t>2.01.02 Frete sobre Vendas</t>
        </is>
      </c>
      <c r="C1860" t="inlineStr">
        <is>
          <t>Antes de 2026</t>
        </is>
      </c>
      <c r="D1860" t="inlineStr">
        <is>
          <t>Antes de 2026</t>
        </is>
      </c>
      <c r="E1860" s="28" t="n">
        <v>45877</v>
      </c>
      <c r="F1860" t="inlineStr">
        <is>
          <t>CT-e</t>
        </is>
      </c>
      <c r="G1860" t="inlineStr">
        <is>
          <t>000004865</t>
        </is>
      </c>
      <c r="H1860" t="inlineStr">
        <is>
          <t>R&amp;R TRANSPORTE E LOGISTICA</t>
        </is>
      </c>
      <c r="J1860" s="29" t="n">
        <v>38.11</v>
      </c>
      <c r="K1860" s="29">
        <f>(1-ISNUMBER(SEARCH("556",M1860)))*(O1860*SUMIFS(Premissas!$C$5:$C$44,Premissas!$A$5:$A$44,$A1860,Premissas!$B$5:$B$44,$B1860)+P1860*SUMIFS(Premissas!$D$5:$D$44,Premissas!$A$5:$A$44,$A1860,Premissas!$B$5:$B$44,$B1860))+R1860*SUMIFS(Premissas!$E$5:$E$44,Premissas!$A$5:$A$44,$A1860,Premissas!$B$5:$B$44,$B1860)+S1860*SUMIFS(Premissas!$F$5:$F$44,Premissas!$A$5:$A$44,$A1860,Premissas!$B$5:$B$44,$B1860)</f>
        <v/>
      </c>
      <c r="L1860" s="29">
        <f>J1860-K1860</f>
        <v/>
      </c>
      <c r="M1860" t="inlineStr">
        <is>
          <t>1.350</t>
        </is>
      </c>
      <c r="N1860" t="inlineStr">
        <is>
          <t>Modalidade: 0 - Por conta do remetente | Parte: DISTRIBUIDORA BHF EMGALAGENS E FATIADOS (52.088.370/0001-26)</t>
        </is>
      </c>
      <c r="O1860" s="29" t="n">
        <v>0</v>
      </c>
      <c r="P1860" s="29" t="n">
        <v>0</v>
      </c>
      <c r="Q1860" s="29" t="n">
        <v>0</v>
      </c>
      <c r="R1860" s="29" t="n">
        <v>0</v>
      </c>
      <c r="S1860" s="29" t="n">
        <v>0</v>
      </c>
      <c r="T1860" t="inlineStr">
        <is>
          <t>25250826975620000130570010000048651000000003</t>
        </is>
      </c>
      <c r="U1860" t="inlineStr">
        <is>
          <t>Não</t>
        </is>
      </c>
    </row>
    <row r="1861">
      <c r="A1861" t="inlineStr">
        <is>
          <t>Frete de venda</t>
        </is>
      </c>
      <c r="B1861" t="inlineStr">
        <is>
          <t>2.01.02 Frete sobre Vendas</t>
        </is>
      </c>
      <c r="C1861" t="inlineStr">
        <is>
          <t>Antes de 2026</t>
        </is>
      </c>
      <c r="D1861" t="inlineStr">
        <is>
          <t>Antes de 2026</t>
        </is>
      </c>
      <c r="E1861" s="28" t="n">
        <v>45877</v>
      </c>
      <c r="F1861" t="inlineStr">
        <is>
          <t>CT-e</t>
        </is>
      </c>
      <c r="G1861" t="inlineStr">
        <is>
          <t>000004866</t>
        </is>
      </c>
      <c r="H1861" t="inlineStr">
        <is>
          <t>R&amp;R TRANSPORTE E LOGISTICA</t>
        </is>
      </c>
      <c r="J1861" s="29" t="n">
        <v>116.41</v>
      </c>
      <c r="K1861" s="29">
        <f>(1-ISNUMBER(SEARCH("556",M1861)))*(O1861*SUMIFS(Premissas!$C$5:$C$44,Premissas!$A$5:$A$44,$A1861,Premissas!$B$5:$B$44,$B1861)+P1861*SUMIFS(Premissas!$D$5:$D$44,Premissas!$A$5:$A$44,$A1861,Premissas!$B$5:$B$44,$B1861))+R1861*SUMIFS(Premissas!$E$5:$E$44,Premissas!$A$5:$A$44,$A1861,Premissas!$B$5:$B$44,$B1861)+S1861*SUMIFS(Premissas!$F$5:$F$44,Premissas!$A$5:$A$44,$A1861,Premissas!$B$5:$B$44,$B1861)</f>
        <v/>
      </c>
      <c r="L1861" s="29">
        <f>J1861-K1861</f>
        <v/>
      </c>
      <c r="M1861" t="inlineStr">
        <is>
          <t>1.350</t>
        </is>
      </c>
      <c r="N1861" t="inlineStr">
        <is>
          <t>Modalidade: 0 - Por conta do remetente | Parte: INDUSTRIAL E COMERCIAL ALMEIDA LTDA (02.623.537/0010-24)</t>
        </is>
      </c>
      <c r="O1861" s="29" t="n">
        <v>0</v>
      </c>
      <c r="P1861" s="29" t="n">
        <v>0</v>
      </c>
      <c r="Q1861" s="29" t="n">
        <v>0</v>
      </c>
      <c r="R1861" s="29" t="n">
        <v>0</v>
      </c>
      <c r="S1861" s="29" t="n">
        <v>0</v>
      </c>
      <c r="T1861" t="inlineStr">
        <is>
          <t>25250826975620000130570010000048661000000000</t>
        </is>
      </c>
      <c r="U1861" t="inlineStr">
        <is>
          <t>Não</t>
        </is>
      </c>
    </row>
    <row r="1862">
      <c r="A1862" t="inlineStr">
        <is>
          <t>Frete de venda</t>
        </is>
      </c>
      <c r="B1862" t="inlineStr">
        <is>
          <t>2.01.02 Frete sobre Vendas</t>
        </is>
      </c>
      <c r="C1862" t="inlineStr">
        <is>
          <t>Antes de 2026</t>
        </is>
      </c>
      <c r="D1862" t="inlineStr">
        <is>
          <t>Antes de 2026</t>
        </is>
      </c>
      <c r="E1862" s="28" t="n">
        <v>45877</v>
      </c>
      <c r="F1862" t="inlineStr">
        <is>
          <t>CT-e</t>
        </is>
      </c>
      <c r="G1862" t="inlineStr">
        <is>
          <t>000004867</t>
        </is>
      </c>
      <c r="H1862" t="inlineStr">
        <is>
          <t>R&amp;R TRANSPORTE E LOGISTICA</t>
        </is>
      </c>
      <c r="J1862" s="29" t="n">
        <v>22.92</v>
      </c>
      <c r="K1862" s="29">
        <f>(1-ISNUMBER(SEARCH("556",M1862)))*(O1862*SUMIFS(Premissas!$C$5:$C$44,Premissas!$A$5:$A$44,$A1862,Premissas!$B$5:$B$44,$B1862)+P1862*SUMIFS(Premissas!$D$5:$D$44,Premissas!$A$5:$A$44,$A1862,Premissas!$B$5:$B$44,$B1862))+R1862*SUMIFS(Premissas!$E$5:$E$44,Premissas!$A$5:$A$44,$A1862,Premissas!$B$5:$B$44,$B1862)+S1862*SUMIFS(Premissas!$F$5:$F$44,Premissas!$A$5:$A$44,$A1862,Premissas!$B$5:$B$44,$B1862)</f>
        <v/>
      </c>
      <c r="L1862" s="29">
        <f>J1862-K1862</f>
        <v/>
      </c>
      <c r="M1862" t="inlineStr">
        <is>
          <t>1.350</t>
        </is>
      </c>
      <c r="N1862" t="inlineStr">
        <is>
          <t>Modalidade: 0 - Por conta do remetente | Parte: IMPERADOR DISTRIBUIDOR DE EMBALAGENS LTDA (10.575.734/0001-52)</t>
        </is>
      </c>
      <c r="O1862" s="29" t="n">
        <v>0</v>
      </c>
      <c r="P1862" s="29" t="n">
        <v>0</v>
      </c>
      <c r="Q1862" s="29" t="n">
        <v>0</v>
      </c>
      <c r="R1862" s="29" t="n">
        <v>0</v>
      </c>
      <c r="S1862" s="29" t="n">
        <v>0</v>
      </c>
      <c r="T1862" t="inlineStr">
        <is>
          <t>25250826975620000130570010000048671000000008</t>
        </is>
      </c>
      <c r="U1862" t="inlineStr">
        <is>
          <t>Não</t>
        </is>
      </c>
    </row>
    <row r="1863">
      <c r="A1863" t="inlineStr">
        <is>
          <t>Frete de venda</t>
        </is>
      </c>
      <c r="B1863" t="inlineStr">
        <is>
          <t>2.01.02 Frete sobre Vendas</t>
        </is>
      </c>
      <c r="C1863" t="inlineStr">
        <is>
          <t>Antes de 2026</t>
        </is>
      </c>
      <c r="D1863" t="inlineStr">
        <is>
          <t>Antes de 2026</t>
        </is>
      </c>
      <c r="E1863" s="28" t="n">
        <v>45877</v>
      </c>
      <c r="F1863" t="inlineStr">
        <is>
          <t>CT-e</t>
        </is>
      </c>
      <c r="G1863" t="inlineStr">
        <is>
          <t>000004868</t>
        </is>
      </c>
      <c r="H1863" t="inlineStr">
        <is>
          <t>R&amp;R TRANSPORTE E LOGISTICA</t>
        </is>
      </c>
      <c r="J1863" s="29" t="n">
        <v>22.93</v>
      </c>
      <c r="K1863" s="29">
        <f>(1-ISNUMBER(SEARCH("556",M1863)))*(O1863*SUMIFS(Premissas!$C$5:$C$44,Premissas!$A$5:$A$44,$A1863,Premissas!$B$5:$B$44,$B1863)+P1863*SUMIFS(Premissas!$D$5:$D$44,Premissas!$A$5:$A$44,$A1863,Premissas!$B$5:$B$44,$B1863))+R1863*SUMIFS(Premissas!$E$5:$E$44,Premissas!$A$5:$A$44,$A1863,Premissas!$B$5:$B$44,$B1863)+S1863*SUMIFS(Premissas!$F$5:$F$44,Premissas!$A$5:$A$44,$A1863,Premissas!$B$5:$B$44,$B1863)</f>
        <v/>
      </c>
      <c r="L1863" s="29">
        <f>J1863-K1863</f>
        <v/>
      </c>
      <c r="M1863" t="inlineStr">
        <is>
          <t>1.350</t>
        </is>
      </c>
      <c r="N1863" t="inlineStr">
        <is>
          <t>Modalidade: 0 - Por conta do remetente | Parte: A DE O LEMOS NETO LTDA (50.569.720/0001-40)</t>
        </is>
      </c>
      <c r="O1863" s="29" t="n">
        <v>0</v>
      </c>
      <c r="P1863" s="29" t="n">
        <v>0</v>
      </c>
      <c r="Q1863" s="29" t="n">
        <v>0</v>
      </c>
      <c r="R1863" s="29" t="n">
        <v>0</v>
      </c>
      <c r="S1863" s="29" t="n">
        <v>0</v>
      </c>
      <c r="T1863" t="inlineStr">
        <is>
          <t>25250826975620000130570010000048681000000005</t>
        </is>
      </c>
      <c r="U1863" t="inlineStr">
        <is>
          <t>Não</t>
        </is>
      </c>
    </row>
    <row r="1864">
      <c r="A1864" t="inlineStr">
        <is>
          <t>Frete de venda</t>
        </is>
      </c>
      <c r="B1864" t="inlineStr">
        <is>
          <t>2.01.02 Frete sobre Vendas</t>
        </is>
      </c>
      <c r="C1864" t="inlineStr">
        <is>
          <t>Antes de 2026</t>
        </is>
      </c>
      <c r="D1864" t="inlineStr">
        <is>
          <t>Antes de 2026</t>
        </is>
      </c>
      <c r="E1864" s="28" t="n">
        <v>45877</v>
      </c>
      <c r="F1864" t="inlineStr">
        <is>
          <t>CT-e</t>
        </is>
      </c>
      <c r="G1864" t="inlineStr">
        <is>
          <t>000004869</t>
        </is>
      </c>
      <c r="H1864" t="inlineStr">
        <is>
          <t>R&amp;R TRANSPORTE E LOGISTICA</t>
        </is>
      </c>
      <c r="J1864" s="29" t="n">
        <v>27.47</v>
      </c>
      <c r="K1864" s="29">
        <f>(1-ISNUMBER(SEARCH("556",M1864)))*(O1864*SUMIFS(Premissas!$C$5:$C$44,Premissas!$A$5:$A$44,$A1864,Premissas!$B$5:$B$44,$B1864)+P1864*SUMIFS(Premissas!$D$5:$D$44,Premissas!$A$5:$A$44,$A1864,Premissas!$B$5:$B$44,$B1864))+R1864*SUMIFS(Premissas!$E$5:$E$44,Premissas!$A$5:$A$44,$A1864,Premissas!$B$5:$B$44,$B1864)+S1864*SUMIFS(Premissas!$F$5:$F$44,Premissas!$A$5:$A$44,$A1864,Premissas!$B$5:$B$44,$B1864)</f>
        <v/>
      </c>
      <c r="L1864" s="29">
        <f>J1864-K1864</f>
        <v/>
      </c>
      <c r="M1864" t="inlineStr">
        <is>
          <t>1.350</t>
        </is>
      </c>
      <c r="N1864" t="inlineStr">
        <is>
          <t>Modalidade: 0 - Por conta do remetente | Parte: MARIA CLEIDE RAMOS LTDA (42.968.790/0001-43)</t>
        </is>
      </c>
      <c r="O1864" s="29" t="n">
        <v>0</v>
      </c>
      <c r="P1864" s="29" t="n">
        <v>0</v>
      </c>
      <c r="Q1864" s="29" t="n">
        <v>0</v>
      </c>
      <c r="R1864" s="29" t="n">
        <v>0</v>
      </c>
      <c r="S1864" s="29" t="n">
        <v>0</v>
      </c>
      <c r="T1864" t="inlineStr">
        <is>
          <t>25250826975620000130570010000048691000000002</t>
        </is>
      </c>
      <c r="U1864" t="inlineStr">
        <is>
          <t>Não</t>
        </is>
      </c>
    </row>
    <row r="1865">
      <c r="A1865" t="inlineStr">
        <is>
          <t>Frete de venda</t>
        </is>
      </c>
      <c r="B1865" t="inlineStr">
        <is>
          <t>2.01.02 Frete sobre Vendas</t>
        </is>
      </c>
      <c r="C1865" t="inlineStr">
        <is>
          <t>Antes de 2026</t>
        </is>
      </c>
      <c r="D1865" t="inlineStr">
        <is>
          <t>Antes de 2026</t>
        </is>
      </c>
      <c r="E1865" s="28" t="n">
        <v>45877</v>
      </c>
      <c r="F1865" t="inlineStr">
        <is>
          <t>CT-e</t>
        </is>
      </c>
      <c r="G1865" t="inlineStr">
        <is>
          <t>000004870</t>
        </is>
      </c>
      <c r="H1865" t="inlineStr">
        <is>
          <t>R&amp;R TRANSPORTE E LOGISTICA</t>
        </is>
      </c>
      <c r="J1865" s="29" t="n">
        <v>40.03</v>
      </c>
      <c r="K1865" s="29">
        <f>(1-ISNUMBER(SEARCH("556",M1865)))*(O1865*SUMIFS(Premissas!$C$5:$C$44,Premissas!$A$5:$A$44,$A1865,Premissas!$B$5:$B$44,$B1865)+P1865*SUMIFS(Premissas!$D$5:$D$44,Premissas!$A$5:$A$44,$A1865,Premissas!$B$5:$B$44,$B1865))+R1865*SUMIFS(Premissas!$E$5:$E$44,Premissas!$A$5:$A$44,$A1865,Premissas!$B$5:$B$44,$B1865)+S1865*SUMIFS(Premissas!$F$5:$F$44,Premissas!$A$5:$A$44,$A1865,Premissas!$B$5:$B$44,$B1865)</f>
        <v/>
      </c>
      <c r="L1865" s="29">
        <f>J1865-K1865</f>
        <v/>
      </c>
      <c r="M1865" t="inlineStr">
        <is>
          <t>1.350</t>
        </is>
      </c>
      <c r="N1865" t="inlineStr">
        <is>
          <t>Modalidade: 0 - Por conta do remetente | Parte: PLASPEL COMERCIO DE EMBALAGENS LTDA (43.498.579/0001-77)</t>
        </is>
      </c>
      <c r="O1865" s="29" t="n">
        <v>0</v>
      </c>
      <c r="P1865" s="29" t="n">
        <v>0</v>
      </c>
      <c r="Q1865" s="29" t="n">
        <v>0</v>
      </c>
      <c r="R1865" s="29" t="n">
        <v>0</v>
      </c>
      <c r="S1865" s="29" t="n">
        <v>0</v>
      </c>
      <c r="T1865" t="inlineStr">
        <is>
          <t>25250826975620000130570010000048701000000003</t>
        </is>
      </c>
      <c r="U1865" t="inlineStr">
        <is>
          <t>Não</t>
        </is>
      </c>
    </row>
    <row r="1866">
      <c r="A1866" t="inlineStr">
        <is>
          <t>Frete de venda</t>
        </is>
      </c>
      <c r="B1866" t="inlineStr">
        <is>
          <t>2.01.02 Frete sobre Vendas</t>
        </is>
      </c>
      <c r="C1866" t="inlineStr">
        <is>
          <t>Antes de 2026</t>
        </is>
      </c>
      <c r="D1866" t="inlineStr">
        <is>
          <t>Antes de 2026</t>
        </is>
      </c>
      <c r="E1866" s="28" t="n">
        <v>45877</v>
      </c>
      <c r="F1866" t="inlineStr">
        <is>
          <t>CT-e</t>
        </is>
      </c>
      <c r="G1866" t="inlineStr">
        <is>
          <t>000004871</t>
        </is>
      </c>
      <c r="H1866" t="inlineStr">
        <is>
          <t>R&amp;R TRANSPORTE E LOGISTICA</t>
        </is>
      </c>
      <c r="J1866" s="29" t="n">
        <v>22.18</v>
      </c>
      <c r="K1866" s="29">
        <f>(1-ISNUMBER(SEARCH("556",M1866)))*(O1866*SUMIFS(Premissas!$C$5:$C$44,Premissas!$A$5:$A$44,$A1866,Premissas!$B$5:$B$44,$B1866)+P1866*SUMIFS(Premissas!$D$5:$D$44,Premissas!$A$5:$A$44,$A1866,Premissas!$B$5:$B$44,$B1866))+R1866*SUMIFS(Premissas!$E$5:$E$44,Premissas!$A$5:$A$44,$A1866,Premissas!$B$5:$B$44,$B1866)+S1866*SUMIFS(Premissas!$F$5:$F$44,Premissas!$A$5:$A$44,$A1866,Premissas!$B$5:$B$44,$B1866)</f>
        <v/>
      </c>
      <c r="L1866" s="29">
        <f>J1866-K1866</f>
        <v/>
      </c>
      <c r="M1866" t="inlineStr">
        <is>
          <t>1.350</t>
        </is>
      </c>
      <c r="N1866" t="inlineStr">
        <is>
          <t>Modalidade: 0 - Por conta do remetente | Parte: JB FRIOS INDUSTRIA E COMERCIO LTDA (41.966.857/0001-48)</t>
        </is>
      </c>
      <c r="O1866" s="29" t="n">
        <v>0</v>
      </c>
      <c r="P1866" s="29" t="n">
        <v>0</v>
      </c>
      <c r="Q1866" s="29" t="n">
        <v>0</v>
      </c>
      <c r="R1866" s="29" t="n">
        <v>0</v>
      </c>
      <c r="S1866" s="29" t="n">
        <v>0</v>
      </c>
      <c r="T1866" t="inlineStr">
        <is>
          <t>25250826975620000130570010000048711000000000</t>
        </is>
      </c>
      <c r="U1866" t="inlineStr">
        <is>
          <t>Não</t>
        </is>
      </c>
    </row>
    <row r="1867">
      <c r="A1867" t="inlineStr">
        <is>
          <t>Frete de venda</t>
        </is>
      </c>
      <c r="B1867" t="inlineStr">
        <is>
          <t>2.01.02 Frete sobre Vendas</t>
        </is>
      </c>
      <c r="C1867" t="inlineStr">
        <is>
          <t>Antes de 2026</t>
        </is>
      </c>
      <c r="D1867" t="inlineStr">
        <is>
          <t>Antes de 2026</t>
        </is>
      </c>
      <c r="E1867" s="28" t="n">
        <v>45877</v>
      </c>
      <c r="F1867" t="inlineStr">
        <is>
          <t>CT-e</t>
        </is>
      </c>
      <c r="G1867" t="inlineStr">
        <is>
          <t>000004873</t>
        </is>
      </c>
      <c r="H1867" t="inlineStr">
        <is>
          <t>R&amp;R TRANSPORTE E LOGISTICA</t>
        </is>
      </c>
      <c r="J1867" s="29" t="n">
        <v>478</v>
      </c>
      <c r="K1867" s="29">
        <f>(1-ISNUMBER(SEARCH("556",M1867)))*(O1867*SUMIFS(Premissas!$C$5:$C$44,Premissas!$A$5:$A$44,$A1867,Premissas!$B$5:$B$44,$B1867)+P1867*SUMIFS(Premissas!$D$5:$D$44,Premissas!$A$5:$A$44,$A1867,Premissas!$B$5:$B$44,$B1867))+R1867*SUMIFS(Premissas!$E$5:$E$44,Premissas!$A$5:$A$44,$A1867,Premissas!$B$5:$B$44,$B1867)+S1867*SUMIFS(Premissas!$F$5:$F$44,Premissas!$A$5:$A$44,$A1867,Premissas!$B$5:$B$44,$B1867)</f>
        <v/>
      </c>
      <c r="L1867" s="29">
        <f>J1867-K1867</f>
        <v/>
      </c>
      <c r="M1867" t="inlineStr">
        <is>
          <t>1.350</t>
        </is>
      </c>
      <c r="N1867" t="inlineStr">
        <is>
          <t>Modalidade: 0 - Por conta do remetente | Parte: COMERCIAL PROLAC LTDA. (07.182.763/0001-40)</t>
        </is>
      </c>
      <c r="O1867" s="29" t="n">
        <v>0</v>
      </c>
      <c r="P1867" s="29" t="n">
        <v>0</v>
      </c>
      <c r="Q1867" s="29" t="n">
        <v>0</v>
      </c>
      <c r="R1867" s="29" t="n">
        <v>0</v>
      </c>
      <c r="S1867" s="29" t="n">
        <v>0</v>
      </c>
      <c r="T1867" t="inlineStr">
        <is>
          <t>25250826975620000130570010000048731000000005</t>
        </is>
      </c>
      <c r="U1867" t="inlineStr">
        <is>
          <t>Não</t>
        </is>
      </c>
    </row>
    <row r="1868">
      <c r="A1868" t="inlineStr">
        <is>
          <t>Frete de venda</t>
        </is>
      </c>
      <c r="B1868" t="inlineStr">
        <is>
          <t>2.01.02 Frete sobre Vendas</t>
        </is>
      </c>
      <c r="C1868" t="inlineStr">
        <is>
          <t>Antes de 2026</t>
        </is>
      </c>
      <c r="D1868" t="inlineStr">
        <is>
          <t>Antes de 2026</t>
        </is>
      </c>
      <c r="E1868" s="28" t="n">
        <v>45880</v>
      </c>
      <c r="F1868" t="inlineStr">
        <is>
          <t>CT-e</t>
        </is>
      </c>
      <c r="G1868" t="inlineStr">
        <is>
          <t>000004890</t>
        </is>
      </c>
      <c r="H1868" t="inlineStr">
        <is>
          <t>R&amp;R TRANSPORTE E LOGISTICA</t>
        </is>
      </c>
      <c r="J1868" s="29" t="n">
        <v>1100</v>
      </c>
      <c r="K1868" s="29">
        <f>(1-ISNUMBER(SEARCH("556",M1868)))*(O1868*SUMIFS(Premissas!$C$5:$C$44,Premissas!$A$5:$A$44,$A1868,Premissas!$B$5:$B$44,$B1868)+P1868*SUMIFS(Premissas!$D$5:$D$44,Premissas!$A$5:$A$44,$A1868,Premissas!$B$5:$B$44,$B1868))+R1868*SUMIFS(Premissas!$E$5:$E$44,Premissas!$A$5:$A$44,$A1868,Premissas!$B$5:$B$44,$B1868)+S1868*SUMIFS(Premissas!$F$5:$F$44,Premissas!$A$5:$A$44,$A1868,Premissas!$B$5:$B$44,$B1868)</f>
        <v/>
      </c>
      <c r="L1868" s="29">
        <f>J1868-K1868</f>
        <v/>
      </c>
      <c r="M1868" t="inlineStr">
        <is>
          <t>1.350</t>
        </is>
      </c>
      <c r="N1868" t="inlineStr">
        <is>
          <t>Modalidade: 0 - Por conta do remetente | Parte: DOCA COMERCIO DE PRODUTOS ALIMENTICIOS LTDA (15.258.788/0003-70)</t>
        </is>
      </c>
      <c r="O1868" s="29" t="n">
        <v>0</v>
      </c>
      <c r="P1868" s="29" t="n">
        <v>0</v>
      </c>
      <c r="Q1868" s="29" t="n">
        <v>0</v>
      </c>
      <c r="R1868" s="29" t="n">
        <v>0</v>
      </c>
      <c r="S1868" s="29" t="n">
        <v>0</v>
      </c>
      <c r="T1868" t="inlineStr">
        <is>
          <t>25250826975620000130570010000048901000000006</t>
        </is>
      </c>
      <c r="U1868" t="inlineStr">
        <is>
          <t>Não</t>
        </is>
      </c>
    </row>
    <row r="1869">
      <c r="A1869" t="inlineStr">
        <is>
          <t>Frete de venda</t>
        </is>
      </c>
      <c r="B1869" t="inlineStr">
        <is>
          <t>2.01.02 Frete sobre Vendas</t>
        </is>
      </c>
      <c r="C1869" t="inlineStr">
        <is>
          <t>Antes de 2026</t>
        </is>
      </c>
      <c r="D1869" t="inlineStr">
        <is>
          <t>Antes de 2026</t>
        </is>
      </c>
      <c r="E1869" s="28" t="n">
        <v>45880</v>
      </c>
      <c r="F1869" t="inlineStr">
        <is>
          <t>CT-e</t>
        </is>
      </c>
      <c r="G1869" t="inlineStr">
        <is>
          <t>000004891</t>
        </is>
      </c>
      <c r="H1869" t="inlineStr">
        <is>
          <t>R&amp;R TRANSPORTE E LOGISTICA</t>
        </is>
      </c>
      <c r="J1869" s="29" t="n">
        <v>1100</v>
      </c>
      <c r="K1869" s="29">
        <f>(1-ISNUMBER(SEARCH("556",M1869)))*(O1869*SUMIFS(Premissas!$C$5:$C$44,Premissas!$A$5:$A$44,$A1869,Premissas!$B$5:$B$44,$B1869)+P1869*SUMIFS(Premissas!$D$5:$D$44,Premissas!$A$5:$A$44,$A1869,Premissas!$B$5:$B$44,$B1869))+R1869*SUMIFS(Premissas!$E$5:$E$44,Premissas!$A$5:$A$44,$A1869,Premissas!$B$5:$B$44,$B1869)+S1869*SUMIFS(Premissas!$F$5:$F$44,Premissas!$A$5:$A$44,$A1869,Premissas!$B$5:$B$44,$B1869)</f>
        <v/>
      </c>
      <c r="L1869" s="29">
        <f>J1869-K1869</f>
        <v/>
      </c>
      <c r="M1869" t="inlineStr">
        <is>
          <t>1.350</t>
        </is>
      </c>
      <c r="N1869" t="inlineStr">
        <is>
          <t>Modalidade: 0 - Por conta do remetente | Parte: PRASO PLATAFORMA DE COMERCIO LTDA. (42.434.646/0007-12)</t>
        </is>
      </c>
      <c r="O1869" s="29" t="n">
        <v>0</v>
      </c>
      <c r="P1869" s="29" t="n">
        <v>0</v>
      </c>
      <c r="Q1869" s="29" t="n">
        <v>0</v>
      </c>
      <c r="R1869" s="29" t="n">
        <v>0</v>
      </c>
      <c r="S1869" s="29" t="n">
        <v>0</v>
      </c>
      <c r="T1869" t="inlineStr">
        <is>
          <t>25250826975620000130570010000048911000000003</t>
        </is>
      </c>
      <c r="U1869" t="inlineStr">
        <is>
          <t>Não</t>
        </is>
      </c>
    </row>
    <row r="1870">
      <c r="A1870" t="inlineStr">
        <is>
          <t>Frete de venda</t>
        </is>
      </c>
      <c r="B1870" t="inlineStr">
        <is>
          <t>2.01.02 Frete sobre Vendas</t>
        </is>
      </c>
      <c r="C1870" t="inlineStr">
        <is>
          <t>Antes de 2026</t>
        </is>
      </c>
      <c r="D1870" t="inlineStr">
        <is>
          <t>Antes de 2026</t>
        </is>
      </c>
      <c r="E1870" s="28" t="n">
        <v>45880</v>
      </c>
      <c r="F1870" t="inlineStr">
        <is>
          <t>CT-e</t>
        </is>
      </c>
      <c r="G1870" t="inlineStr">
        <is>
          <t>000004892</t>
        </is>
      </c>
      <c r="H1870" t="inlineStr">
        <is>
          <t>R&amp;R TRANSPORTE E LOGISTICA</t>
        </is>
      </c>
      <c r="J1870" s="29" t="n">
        <v>1100</v>
      </c>
      <c r="K1870" s="29">
        <f>(1-ISNUMBER(SEARCH("556",M1870)))*(O1870*SUMIFS(Premissas!$C$5:$C$44,Premissas!$A$5:$A$44,$A1870,Premissas!$B$5:$B$44,$B1870)+P1870*SUMIFS(Premissas!$D$5:$D$44,Premissas!$A$5:$A$44,$A1870,Premissas!$B$5:$B$44,$B1870))+R1870*SUMIFS(Premissas!$E$5:$E$44,Premissas!$A$5:$A$44,$A1870,Premissas!$B$5:$B$44,$B1870)+S1870*SUMIFS(Premissas!$F$5:$F$44,Premissas!$A$5:$A$44,$A1870,Premissas!$B$5:$B$44,$B1870)</f>
        <v/>
      </c>
      <c r="L1870" s="29">
        <f>J1870-K1870</f>
        <v/>
      </c>
      <c r="M1870" t="inlineStr">
        <is>
          <t>1.350</t>
        </is>
      </c>
      <c r="N1870" t="inlineStr">
        <is>
          <t>Modalidade: 0 - Por conta do remetente | Parte: JND DISTRIBUIDORA LTDA (36.332.668/0001-83)</t>
        </is>
      </c>
      <c r="O1870" s="29" t="n">
        <v>0</v>
      </c>
      <c r="P1870" s="29" t="n">
        <v>0</v>
      </c>
      <c r="Q1870" s="29" t="n">
        <v>0</v>
      </c>
      <c r="R1870" s="29" t="n">
        <v>0</v>
      </c>
      <c r="S1870" s="29" t="n">
        <v>0</v>
      </c>
      <c r="T1870" t="inlineStr">
        <is>
          <t>25250826975620000130570010000048921000000000</t>
        </is>
      </c>
      <c r="U1870" t="inlineStr">
        <is>
          <t>Não</t>
        </is>
      </c>
    </row>
    <row r="1871">
      <c r="A1871" t="inlineStr">
        <is>
          <t>Frete de venda</t>
        </is>
      </c>
      <c r="B1871" t="inlineStr">
        <is>
          <t>2.01.02 Frete sobre Vendas</t>
        </is>
      </c>
      <c r="C1871" t="inlineStr">
        <is>
          <t>Antes de 2026</t>
        </is>
      </c>
      <c r="D1871" t="inlineStr">
        <is>
          <t>Antes de 2026</t>
        </is>
      </c>
      <c r="E1871" s="28" t="n">
        <v>45880</v>
      </c>
      <c r="F1871" t="inlineStr">
        <is>
          <t>CT-e</t>
        </is>
      </c>
      <c r="G1871" t="inlineStr">
        <is>
          <t>000004893</t>
        </is>
      </c>
      <c r="H1871" t="inlineStr">
        <is>
          <t>R&amp;R TRANSPORTE E LOGISTICA</t>
        </is>
      </c>
      <c r="J1871" s="29" t="n">
        <v>1100</v>
      </c>
      <c r="K1871" s="29">
        <f>(1-ISNUMBER(SEARCH("556",M1871)))*(O1871*SUMIFS(Premissas!$C$5:$C$44,Premissas!$A$5:$A$44,$A1871,Premissas!$B$5:$B$44,$B1871)+P1871*SUMIFS(Premissas!$D$5:$D$44,Premissas!$A$5:$A$44,$A1871,Premissas!$B$5:$B$44,$B1871))+R1871*SUMIFS(Premissas!$E$5:$E$44,Premissas!$A$5:$A$44,$A1871,Premissas!$B$5:$B$44,$B1871)+S1871*SUMIFS(Premissas!$F$5:$F$44,Premissas!$A$5:$A$44,$A1871,Premissas!$B$5:$B$44,$B1871)</f>
        <v/>
      </c>
      <c r="L1871" s="29">
        <f>J1871-K1871</f>
        <v/>
      </c>
      <c r="M1871" t="inlineStr">
        <is>
          <t>1.350</t>
        </is>
      </c>
      <c r="N1871" t="inlineStr">
        <is>
          <t>Modalidade: 0 - Por conta do remetente | Parte: DOCA COMERCIO DE PRODUTOS ALIMENTICIOS LTDA (15.258.788/0001-08)</t>
        </is>
      </c>
      <c r="O1871" s="29" t="n">
        <v>0</v>
      </c>
      <c r="P1871" s="29" t="n">
        <v>0</v>
      </c>
      <c r="Q1871" s="29" t="n">
        <v>0</v>
      </c>
      <c r="R1871" s="29" t="n">
        <v>0</v>
      </c>
      <c r="S1871" s="29" t="n">
        <v>0</v>
      </c>
      <c r="T1871" t="inlineStr">
        <is>
          <t>25250826975620000130570010000048931000000008</t>
        </is>
      </c>
      <c r="U1871" t="inlineStr">
        <is>
          <t>Não</t>
        </is>
      </c>
    </row>
    <row r="1872">
      <c r="A1872" t="inlineStr">
        <is>
          <t>Frete de venda</t>
        </is>
      </c>
      <c r="B1872" t="inlineStr">
        <is>
          <t>2.01.02 Frete sobre Vendas</t>
        </is>
      </c>
      <c r="C1872" t="inlineStr">
        <is>
          <t>Antes de 2026</t>
        </is>
      </c>
      <c r="D1872" t="inlineStr">
        <is>
          <t>Antes de 2026</t>
        </is>
      </c>
      <c r="E1872" s="28" t="n">
        <v>45880</v>
      </c>
      <c r="F1872" t="inlineStr">
        <is>
          <t>CT-e</t>
        </is>
      </c>
      <c r="G1872" t="inlineStr">
        <is>
          <t>000004894</t>
        </is>
      </c>
      <c r="H1872" t="inlineStr">
        <is>
          <t>R&amp;R TRANSPORTE E LOGISTICA</t>
        </is>
      </c>
      <c r="J1872" s="29" t="n">
        <v>1100</v>
      </c>
      <c r="K1872" s="29">
        <f>(1-ISNUMBER(SEARCH("556",M1872)))*(O1872*SUMIFS(Premissas!$C$5:$C$44,Premissas!$A$5:$A$44,$A1872,Premissas!$B$5:$B$44,$B1872)+P1872*SUMIFS(Premissas!$D$5:$D$44,Premissas!$A$5:$A$44,$A1872,Premissas!$B$5:$B$44,$B1872))+R1872*SUMIFS(Premissas!$E$5:$E$44,Premissas!$A$5:$A$44,$A1872,Premissas!$B$5:$B$44,$B1872)+S1872*SUMIFS(Premissas!$F$5:$F$44,Premissas!$A$5:$A$44,$A1872,Premissas!$B$5:$B$44,$B1872)</f>
        <v/>
      </c>
      <c r="L1872" s="29">
        <f>J1872-K1872</f>
        <v/>
      </c>
      <c r="M1872" t="inlineStr">
        <is>
          <t>1.350</t>
        </is>
      </c>
      <c r="N1872" t="inlineStr">
        <is>
          <t>Modalidade: 0 - Por conta do remetente | Parte: FORTALI DISTRIBUIDORA DE ALIMENTOS LTDA. (09.317.318/0001-75)</t>
        </is>
      </c>
      <c r="O1872" s="29" t="n">
        <v>0</v>
      </c>
      <c r="P1872" s="29" t="n">
        <v>0</v>
      </c>
      <c r="Q1872" s="29" t="n">
        <v>0</v>
      </c>
      <c r="R1872" s="29" t="n">
        <v>0</v>
      </c>
      <c r="S1872" s="29" t="n">
        <v>0</v>
      </c>
      <c r="T1872" t="inlineStr">
        <is>
          <t>25250826975620000130570010000048941000000005</t>
        </is>
      </c>
      <c r="U1872" t="inlineStr">
        <is>
          <t>Não</t>
        </is>
      </c>
    </row>
    <row r="1873">
      <c r="A1873" t="inlineStr">
        <is>
          <t>Frete de venda</t>
        </is>
      </c>
      <c r="B1873" t="inlineStr">
        <is>
          <t>2.01.02 Frete sobre Vendas</t>
        </is>
      </c>
      <c r="C1873" t="inlineStr">
        <is>
          <t>Antes de 2026</t>
        </is>
      </c>
      <c r="D1873" t="inlineStr">
        <is>
          <t>Antes de 2026</t>
        </is>
      </c>
      <c r="E1873" s="28" t="n">
        <v>45881</v>
      </c>
      <c r="F1873" t="inlineStr">
        <is>
          <t>CT-e</t>
        </is>
      </c>
      <c r="G1873" t="inlineStr">
        <is>
          <t>000004895</t>
        </is>
      </c>
      <c r="H1873" t="inlineStr">
        <is>
          <t>R&amp;R TRANSPORTE E LOGISTICA</t>
        </is>
      </c>
      <c r="J1873" s="29" t="n">
        <v>24.43</v>
      </c>
      <c r="K1873" s="29">
        <f>(1-ISNUMBER(SEARCH("556",M1873)))*(O1873*SUMIFS(Premissas!$C$5:$C$44,Premissas!$A$5:$A$44,$A1873,Premissas!$B$5:$B$44,$B1873)+P1873*SUMIFS(Premissas!$D$5:$D$44,Premissas!$A$5:$A$44,$A1873,Premissas!$B$5:$B$44,$B1873))+R1873*SUMIFS(Premissas!$E$5:$E$44,Premissas!$A$5:$A$44,$A1873,Premissas!$B$5:$B$44,$B1873)+S1873*SUMIFS(Premissas!$F$5:$F$44,Premissas!$A$5:$A$44,$A1873,Premissas!$B$5:$B$44,$B1873)</f>
        <v/>
      </c>
      <c r="L1873" s="29">
        <f>J1873-K1873</f>
        <v/>
      </c>
      <c r="M1873" t="inlineStr">
        <is>
          <t>1.350</t>
        </is>
      </c>
      <c r="N1873" t="inlineStr">
        <is>
          <t>Modalidade: 0 - Por conta do remetente | Parte: J A COMERCIO DE EMBALAGENS E ARTIGOS PARA FESTA LTDA (54.763.304/0001-30)</t>
        </is>
      </c>
      <c r="O1873" s="29" t="n">
        <v>0</v>
      </c>
      <c r="P1873" s="29" t="n">
        <v>0</v>
      </c>
      <c r="Q1873" s="29" t="n">
        <v>0</v>
      </c>
      <c r="R1873" s="29" t="n">
        <v>0</v>
      </c>
      <c r="S1873" s="29" t="n">
        <v>0</v>
      </c>
      <c r="T1873" t="inlineStr">
        <is>
          <t>25250826975620000130570010000048951000000002</t>
        </is>
      </c>
      <c r="U1873" t="inlineStr">
        <is>
          <t>Não</t>
        </is>
      </c>
    </row>
    <row r="1874">
      <c r="A1874" t="inlineStr">
        <is>
          <t>Frete de venda</t>
        </is>
      </c>
      <c r="B1874" t="inlineStr">
        <is>
          <t>2.01.02 Frete sobre Vendas</t>
        </is>
      </c>
      <c r="C1874" t="inlineStr">
        <is>
          <t>Antes de 2026</t>
        </is>
      </c>
      <c r="D1874" t="inlineStr">
        <is>
          <t>Antes de 2026</t>
        </is>
      </c>
      <c r="E1874" s="28" t="n">
        <v>45881</v>
      </c>
      <c r="F1874" t="inlineStr">
        <is>
          <t>CT-e</t>
        </is>
      </c>
      <c r="G1874" t="inlineStr">
        <is>
          <t>000004896</t>
        </is>
      </c>
      <c r="H1874" t="inlineStr">
        <is>
          <t>R&amp;R TRANSPORTE E LOGISTICA</t>
        </is>
      </c>
      <c r="J1874" s="29" t="n">
        <v>25.81</v>
      </c>
      <c r="K1874" s="29">
        <f>(1-ISNUMBER(SEARCH("556",M1874)))*(O1874*SUMIFS(Premissas!$C$5:$C$44,Premissas!$A$5:$A$44,$A1874,Premissas!$B$5:$B$44,$B1874)+P1874*SUMIFS(Premissas!$D$5:$D$44,Premissas!$A$5:$A$44,$A1874,Premissas!$B$5:$B$44,$B1874))+R1874*SUMIFS(Premissas!$E$5:$E$44,Premissas!$A$5:$A$44,$A1874,Premissas!$B$5:$B$44,$B1874)+S1874*SUMIFS(Premissas!$F$5:$F$44,Premissas!$A$5:$A$44,$A1874,Premissas!$B$5:$B$44,$B1874)</f>
        <v/>
      </c>
      <c r="L1874" s="29">
        <f>J1874-K1874</f>
        <v/>
      </c>
      <c r="M1874" t="inlineStr">
        <is>
          <t>1.350</t>
        </is>
      </c>
      <c r="N1874" t="inlineStr">
        <is>
          <t>Modalidade: 0 - Por conta do remetente | Parte: NILZETE COELHO GUEDES LTDA (01.710.779/0001-00)</t>
        </is>
      </c>
      <c r="O1874" s="29" t="n">
        <v>0</v>
      </c>
      <c r="P1874" s="29" t="n">
        <v>0</v>
      </c>
      <c r="Q1874" s="29" t="n">
        <v>0</v>
      </c>
      <c r="R1874" s="29" t="n">
        <v>0</v>
      </c>
      <c r="S1874" s="29" t="n">
        <v>0</v>
      </c>
      <c r="T1874" t="inlineStr">
        <is>
          <t>25250826975620000130570010000048961000000000</t>
        </is>
      </c>
      <c r="U1874" t="inlineStr">
        <is>
          <t>Não</t>
        </is>
      </c>
    </row>
    <row r="1875">
      <c r="A1875" t="inlineStr">
        <is>
          <t>Frete de venda</t>
        </is>
      </c>
      <c r="B1875" t="inlineStr">
        <is>
          <t>2.01.02 Frete sobre Vendas</t>
        </is>
      </c>
      <c r="C1875" t="inlineStr">
        <is>
          <t>Antes de 2026</t>
        </is>
      </c>
      <c r="D1875" t="inlineStr">
        <is>
          <t>Antes de 2026</t>
        </is>
      </c>
      <c r="E1875" s="28" t="n">
        <v>45881</v>
      </c>
      <c r="F1875" t="inlineStr">
        <is>
          <t>CT-e</t>
        </is>
      </c>
      <c r="G1875" t="inlineStr">
        <is>
          <t>000004897</t>
        </is>
      </c>
      <c r="H1875" t="inlineStr">
        <is>
          <t>R&amp;R TRANSPORTE E LOGISTICA</t>
        </is>
      </c>
      <c r="J1875" s="29" t="n">
        <v>25.46</v>
      </c>
      <c r="K1875" s="29">
        <f>(1-ISNUMBER(SEARCH("556",M1875)))*(O1875*SUMIFS(Premissas!$C$5:$C$44,Premissas!$A$5:$A$44,$A1875,Premissas!$B$5:$B$44,$B1875)+P1875*SUMIFS(Premissas!$D$5:$D$44,Premissas!$A$5:$A$44,$A1875,Premissas!$B$5:$B$44,$B1875))+R1875*SUMIFS(Premissas!$E$5:$E$44,Premissas!$A$5:$A$44,$A1875,Premissas!$B$5:$B$44,$B1875)+S1875*SUMIFS(Premissas!$F$5:$F$44,Premissas!$A$5:$A$44,$A1875,Premissas!$B$5:$B$44,$B1875)</f>
        <v/>
      </c>
      <c r="L1875" s="29">
        <f>J1875-K1875</f>
        <v/>
      </c>
      <c r="M1875" t="inlineStr">
        <is>
          <t>1.350</t>
        </is>
      </c>
      <c r="N1875" t="inlineStr">
        <is>
          <t>Modalidade: 0 - Por conta do remetente | Parte: CIDADE SOL EMBALAGENS LTDA (29.160.739/0001-42)</t>
        </is>
      </c>
      <c r="O1875" s="29" t="n">
        <v>0</v>
      </c>
      <c r="P1875" s="29" t="n">
        <v>0</v>
      </c>
      <c r="Q1875" s="29" t="n">
        <v>0</v>
      </c>
      <c r="R1875" s="29" t="n">
        <v>0</v>
      </c>
      <c r="S1875" s="29" t="n">
        <v>0</v>
      </c>
      <c r="T1875" t="inlineStr">
        <is>
          <t>25250826975620000130570010000048971000000007</t>
        </is>
      </c>
      <c r="U1875" t="inlineStr">
        <is>
          <t>Não</t>
        </is>
      </c>
    </row>
    <row r="1876">
      <c r="A1876" t="inlineStr">
        <is>
          <t>Frete de venda</t>
        </is>
      </c>
      <c r="B1876" t="inlineStr">
        <is>
          <t>2.01.02 Frete sobre Vendas</t>
        </is>
      </c>
      <c r="C1876" t="inlineStr">
        <is>
          <t>Antes de 2026</t>
        </is>
      </c>
      <c r="D1876" t="inlineStr">
        <is>
          <t>Antes de 2026</t>
        </is>
      </c>
      <c r="E1876" s="28" t="n">
        <v>45881</v>
      </c>
      <c r="F1876" t="inlineStr">
        <is>
          <t>CT-e</t>
        </is>
      </c>
      <c r="G1876" t="inlineStr">
        <is>
          <t>000004898</t>
        </is>
      </c>
      <c r="H1876" t="inlineStr">
        <is>
          <t>R&amp;R TRANSPORTE E LOGISTICA</t>
        </is>
      </c>
      <c r="J1876" s="29" t="n">
        <v>26.14</v>
      </c>
      <c r="K1876" s="29">
        <f>(1-ISNUMBER(SEARCH("556",M1876)))*(O1876*SUMIFS(Premissas!$C$5:$C$44,Premissas!$A$5:$A$44,$A1876,Premissas!$B$5:$B$44,$B1876)+P1876*SUMIFS(Premissas!$D$5:$D$44,Premissas!$A$5:$A$44,$A1876,Premissas!$B$5:$B$44,$B1876))+R1876*SUMIFS(Premissas!$E$5:$E$44,Premissas!$A$5:$A$44,$A1876,Premissas!$B$5:$B$44,$B1876)+S1876*SUMIFS(Premissas!$F$5:$F$44,Premissas!$A$5:$A$44,$A1876,Premissas!$B$5:$B$44,$B1876)</f>
        <v/>
      </c>
      <c r="L1876" s="29">
        <f>J1876-K1876</f>
        <v/>
      </c>
      <c r="M1876" t="inlineStr">
        <is>
          <t>1.350</t>
        </is>
      </c>
      <c r="N1876" t="inlineStr">
        <is>
          <t>Modalidade: 0 - Por conta do remetente | Parte: SACOLA FORTE CEASA (49.879.615/0001-29)</t>
        </is>
      </c>
      <c r="O1876" s="29" t="n">
        <v>0</v>
      </c>
      <c r="P1876" s="29" t="n">
        <v>0</v>
      </c>
      <c r="Q1876" s="29" t="n">
        <v>0</v>
      </c>
      <c r="R1876" s="29" t="n">
        <v>0</v>
      </c>
      <c r="S1876" s="29" t="n">
        <v>0</v>
      </c>
      <c r="T1876" t="inlineStr">
        <is>
          <t>25250826975620000130570010000048981000000004</t>
        </is>
      </c>
      <c r="U1876" t="inlineStr">
        <is>
          <t>Não</t>
        </is>
      </c>
    </row>
    <row r="1877">
      <c r="A1877" t="inlineStr">
        <is>
          <t>Frete de venda</t>
        </is>
      </c>
      <c r="B1877" t="inlineStr">
        <is>
          <t>2.01.02 Frete sobre Vendas</t>
        </is>
      </c>
      <c r="C1877" t="inlineStr">
        <is>
          <t>Antes de 2026</t>
        </is>
      </c>
      <c r="D1877" t="inlineStr">
        <is>
          <t>Antes de 2026</t>
        </is>
      </c>
      <c r="E1877" s="28" t="n">
        <v>45881</v>
      </c>
      <c r="F1877" t="inlineStr">
        <is>
          <t>CT-e</t>
        </is>
      </c>
      <c r="G1877" t="inlineStr">
        <is>
          <t>000004899</t>
        </is>
      </c>
      <c r="H1877" t="inlineStr">
        <is>
          <t>R&amp;R TRANSPORTE E LOGISTICA</t>
        </is>
      </c>
      <c r="J1877" s="29" t="n">
        <v>25.96</v>
      </c>
      <c r="K1877" s="29">
        <f>(1-ISNUMBER(SEARCH("556",M1877)))*(O1877*SUMIFS(Premissas!$C$5:$C$44,Premissas!$A$5:$A$44,$A1877,Premissas!$B$5:$B$44,$B1877)+P1877*SUMIFS(Premissas!$D$5:$D$44,Premissas!$A$5:$A$44,$A1877,Premissas!$B$5:$B$44,$B1877))+R1877*SUMIFS(Premissas!$E$5:$E$44,Premissas!$A$5:$A$44,$A1877,Premissas!$B$5:$B$44,$B1877)+S1877*SUMIFS(Premissas!$F$5:$F$44,Premissas!$A$5:$A$44,$A1877,Premissas!$B$5:$B$44,$B1877)</f>
        <v/>
      </c>
      <c r="L1877" s="29">
        <f>J1877-K1877</f>
        <v/>
      </c>
      <c r="M1877" t="inlineStr">
        <is>
          <t>1.350</t>
        </is>
      </c>
      <c r="N1877" t="inlineStr">
        <is>
          <t>Modalidade: 0 - Por conta do remetente | Parte: MOTA SOUZA COMERCIO DE ARTIGOS DE FESTAS E DECORACOES LTDA (11.545.503/0001-69)</t>
        </is>
      </c>
      <c r="O1877" s="29" t="n">
        <v>0</v>
      </c>
      <c r="P1877" s="29" t="n">
        <v>0</v>
      </c>
      <c r="Q1877" s="29" t="n">
        <v>0</v>
      </c>
      <c r="R1877" s="29" t="n">
        <v>0</v>
      </c>
      <c r="S1877" s="29" t="n">
        <v>0</v>
      </c>
      <c r="T1877" t="inlineStr">
        <is>
          <t>25250826975620000130570010000048991000000001</t>
        </is>
      </c>
      <c r="U1877" t="inlineStr">
        <is>
          <t>Não</t>
        </is>
      </c>
    </row>
    <row r="1878">
      <c r="A1878" t="inlineStr">
        <is>
          <t>Frete de venda</t>
        </is>
      </c>
      <c r="B1878" t="inlineStr">
        <is>
          <t>2.01.02 Frete sobre Vendas</t>
        </is>
      </c>
      <c r="C1878" t="inlineStr">
        <is>
          <t>Antes de 2026</t>
        </is>
      </c>
      <c r="D1878" t="inlineStr">
        <is>
          <t>Antes de 2026</t>
        </is>
      </c>
      <c r="E1878" s="28" t="n">
        <v>45881</v>
      </c>
      <c r="F1878" t="inlineStr">
        <is>
          <t>CT-e</t>
        </is>
      </c>
      <c r="G1878" t="inlineStr">
        <is>
          <t>000004900</t>
        </is>
      </c>
      <c r="H1878" t="inlineStr">
        <is>
          <t>R&amp;R TRANSPORTE E LOGISTICA</t>
        </is>
      </c>
      <c r="J1878" s="29" t="n">
        <v>27.22</v>
      </c>
      <c r="K1878" s="29">
        <f>(1-ISNUMBER(SEARCH("556",M1878)))*(O1878*SUMIFS(Premissas!$C$5:$C$44,Premissas!$A$5:$A$44,$A1878,Premissas!$B$5:$B$44,$B1878)+P1878*SUMIFS(Premissas!$D$5:$D$44,Premissas!$A$5:$A$44,$A1878,Premissas!$B$5:$B$44,$B1878))+R1878*SUMIFS(Premissas!$E$5:$E$44,Premissas!$A$5:$A$44,$A1878,Premissas!$B$5:$B$44,$B1878)+S1878*SUMIFS(Premissas!$F$5:$F$44,Premissas!$A$5:$A$44,$A1878,Premissas!$B$5:$B$44,$B1878)</f>
        <v/>
      </c>
      <c r="L1878" s="29">
        <f>J1878-K1878</f>
        <v/>
      </c>
      <c r="M1878" t="inlineStr">
        <is>
          <t>1.350</t>
        </is>
      </c>
      <c r="N1878" t="inlineStr">
        <is>
          <t>Modalidade: 0 - Por conta do remetente | Parte: CARLOS ANTONIO ALVES REBOUCAS (29.143.422/0001-06)</t>
        </is>
      </c>
      <c r="O1878" s="29" t="n">
        <v>0</v>
      </c>
      <c r="P1878" s="29" t="n">
        <v>0</v>
      </c>
      <c r="Q1878" s="29" t="n">
        <v>0</v>
      </c>
      <c r="R1878" s="29" t="n">
        <v>0</v>
      </c>
      <c r="S1878" s="29" t="n">
        <v>0</v>
      </c>
      <c r="T1878" t="inlineStr">
        <is>
          <t>25250826975620000130570010000049001000000004</t>
        </is>
      </c>
      <c r="U1878" t="inlineStr">
        <is>
          <t>Não</t>
        </is>
      </c>
    </row>
    <row r="1879">
      <c r="A1879" t="inlineStr">
        <is>
          <t>Frete de venda</t>
        </is>
      </c>
      <c r="B1879" t="inlineStr">
        <is>
          <t>2.01.02 Frete sobre Vendas</t>
        </is>
      </c>
      <c r="C1879" t="inlineStr">
        <is>
          <t>Antes de 2026</t>
        </is>
      </c>
      <c r="D1879" t="inlineStr">
        <is>
          <t>Antes de 2026</t>
        </is>
      </c>
      <c r="E1879" s="28" t="n">
        <v>45881</v>
      </c>
      <c r="F1879" t="inlineStr">
        <is>
          <t>CT-e</t>
        </is>
      </c>
      <c r="G1879" t="inlineStr">
        <is>
          <t>000004901</t>
        </is>
      </c>
      <c r="H1879" t="inlineStr">
        <is>
          <t>R&amp;R TRANSPORTE E LOGISTICA</t>
        </is>
      </c>
      <c r="J1879" s="29" t="n">
        <v>29.42</v>
      </c>
      <c r="K1879" s="29">
        <f>(1-ISNUMBER(SEARCH("556",M1879)))*(O1879*SUMIFS(Premissas!$C$5:$C$44,Premissas!$A$5:$A$44,$A1879,Premissas!$B$5:$B$44,$B1879)+P1879*SUMIFS(Premissas!$D$5:$D$44,Premissas!$A$5:$A$44,$A1879,Premissas!$B$5:$B$44,$B1879))+R1879*SUMIFS(Premissas!$E$5:$E$44,Premissas!$A$5:$A$44,$A1879,Premissas!$B$5:$B$44,$B1879)+S1879*SUMIFS(Premissas!$F$5:$F$44,Premissas!$A$5:$A$44,$A1879,Premissas!$B$5:$B$44,$B1879)</f>
        <v/>
      </c>
      <c r="L1879" s="29">
        <f>J1879-K1879</f>
        <v/>
      </c>
      <c r="M1879" t="inlineStr">
        <is>
          <t>1.350</t>
        </is>
      </c>
      <c r="N1879" t="inlineStr">
        <is>
          <t>Modalidade: 0 - Por conta do remetente | Parte: IPIAU EMPREENDIMENTOS E COMERCIO LTDA (54.799.158/0001-00)</t>
        </is>
      </c>
      <c r="O1879" s="29" t="n">
        <v>0</v>
      </c>
      <c r="P1879" s="29" t="n">
        <v>0</v>
      </c>
      <c r="Q1879" s="29" t="n">
        <v>0</v>
      </c>
      <c r="R1879" s="29" t="n">
        <v>0</v>
      </c>
      <c r="S1879" s="29" t="n">
        <v>0</v>
      </c>
      <c r="T1879" t="inlineStr">
        <is>
          <t>25250826975620000130570010000049011000000001</t>
        </is>
      </c>
      <c r="U1879" t="inlineStr">
        <is>
          <t>Não</t>
        </is>
      </c>
    </row>
    <row r="1880">
      <c r="A1880" t="inlineStr">
        <is>
          <t>Frete de venda</t>
        </is>
      </c>
      <c r="B1880" t="inlineStr">
        <is>
          <t>2.01.02 Frete sobre Vendas</t>
        </is>
      </c>
      <c r="C1880" t="inlineStr">
        <is>
          <t>Antes de 2026</t>
        </is>
      </c>
      <c r="D1880" t="inlineStr">
        <is>
          <t>Antes de 2026</t>
        </is>
      </c>
      <c r="E1880" s="28" t="n">
        <v>45881</v>
      </c>
      <c r="F1880" t="inlineStr">
        <is>
          <t>CT-e</t>
        </is>
      </c>
      <c r="G1880" t="inlineStr">
        <is>
          <t>000004902</t>
        </is>
      </c>
      <c r="H1880" t="inlineStr">
        <is>
          <t>R&amp;R TRANSPORTE E LOGISTICA</t>
        </is>
      </c>
      <c r="J1880" s="29" t="n">
        <v>24.64</v>
      </c>
      <c r="K1880" s="29">
        <f>(1-ISNUMBER(SEARCH("556",M1880)))*(O1880*SUMIFS(Premissas!$C$5:$C$44,Premissas!$A$5:$A$44,$A1880,Premissas!$B$5:$B$44,$B1880)+P1880*SUMIFS(Premissas!$D$5:$D$44,Premissas!$A$5:$A$44,$A1880,Premissas!$B$5:$B$44,$B1880))+R1880*SUMIFS(Premissas!$E$5:$E$44,Premissas!$A$5:$A$44,$A1880,Premissas!$B$5:$B$44,$B1880)+S1880*SUMIFS(Premissas!$F$5:$F$44,Premissas!$A$5:$A$44,$A1880,Premissas!$B$5:$B$44,$B1880)</f>
        <v/>
      </c>
      <c r="L1880" s="29">
        <f>J1880-K1880</f>
        <v/>
      </c>
      <c r="M1880" t="inlineStr">
        <is>
          <t>1.350</t>
        </is>
      </c>
      <c r="N1880" t="inlineStr">
        <is>
          <t>Modalidade: 0 - Por conta do remetente | Parte: LA SERAFIM COMERCIO DE EMBALAGENS LTDA (07.797.641/0001-68)</t>
        </is>
      </c>
      <c r="O1880" s="29" t="n">
        <v>0</v>
      </c>
      <c r="P1880" s="29" t="n">
        <v>0</v>
      </c>
      <c r="Q1880" s="29" t="n">
        <v>0</v>
      </c>
      <c r="R1880" s="29" t="n">
        <v>0</v>
      </c>
      <c r="S1880" s="29" t="n">
        <v>0</v>
      </c>
      <c r="T1880" t="inlineStr">
        <is>
          <t>25250826975620000130570010000049021000000009</t>
        </is>
      </c>
      <c r="U1880" t="inlineStr">
        <is>
          <t>Não</t>
        </is>
      </c>
    </row>
    <row r="1881">
      <c r="A1881" t="inlineStr">
        <is>
          <t>Frete de venda</t>
        </is>
      </c>
      <c r="B1881" t="inlineStr">
        <is>
          <t>2.01.02 Frete sobre Vendas</t>
        </is>
      </c>
      <c r="C1881" t="inlineStr">
        <is>
          <t>Antes de 2026</t>
        </is>
      </c>
      <c r="D1881" t="inlineStr">
        <is>
          <t>Antes de 2026</t>
        </is>
      </c>
      <c r="E1881" s="28" t="n">
        <v>45882</v>
      </c>
      <c r="F1881" t="inlineStr">
        <is>
          <t>CT-e</t>
        </is>
      </c>
      <c r="G1881" t="inlineStr">
        <is>
          <t>000004911</t>
        </is>
      </c>
      <c r="H1881" t="inlineStr">
        <is>
          <t>R&amp;R TRANSPORTE E LOGISTICA</t>
        </is>
      </c>
      <c r="J1881" s="29" t="n">
        <v>800</v>
      </c>
      <c r="K1881" s="29">
        <f>(1-ISNUMBER(SEARCH("556",M1881)))*(O1881*SUMIFS(Premissas!$C$5:$C$44,Premissas!$A$5:$A$44,$A1881,Premissas!$B$5:$B$44,$B1881)+P1881*SUMIFS(Premissas!$D$5:$D$44,Premissas!$A$5:$A$44,$A1881,Premissas!$B$5:$B$44,$B1881))+R1881*SUMIFS(Premissas!$E$5:$E$44,Premissas!$A$5:$A$44,$A1881,Premissas!$B$5:$B$44,$B1881)+S1881*SUMIFS(Premissas!$F$5:$F$44,Premissas!$A$5:$A$44,$A1881,Premissas!$B$5:$B$44,$B1881)</f>
        <v/>
      </c>
      <c r="L1881" s="29">
        <f>J1881-K1881</f>
        <v/>
      </c>
      <c r="M1881" t="inlineStr">
        <is>
          <t>1.350</t>
        </is>
      </c>
      <c r="N1881" t="inlineStr">
        <is>
          <t>Modalidade: 0 - Por conta do remetente | Parte: DOCA COMERCIO DE PRODUTOS ALIMENTICIOS LTDA (15.258.788/0001-08)</t>
        </is>
      </c>
      <c r="O1881" s="29" t="n">
        <v>0</v>
      </c>
      <c r="P1881" s="29" t="n">
        <v>0</v>
      </c>
      <c r="Q1881" s="29" t="n">
        <v>0</v>
      </c>
      <c r="R1881" s="29" t="n">
        <v>0</v>
      </c>
      <c r="S1881" s="29" t="n">
        <v>0</v>
      </c>
      <c r="T1881" t="inlineStr">
        <is>
          <t>25250826975620000130570010000049111000000008</t>
        </is>
      </c>
      <c r="U1881" t="inlineStr">
        <is>
          <t>Não</t>
        </is>
      </c>
    </row>
    <row r="1882">
      <c r="A1882" t="inlineStr">
        <is>
          <t>Frete de venda</t>
        </is>
      </c>
      <c r="B1882" t="inlineStr">
        <is>
          <t>2.01.02 Frete sobre Vendas</t>
        </is>
      </c>
      <c r="C1882" t="inlineStr">
        <is>
          <t>Antes de 2026</t>
        </is>
      </c>
      <c r="D1882" t="inlineStr">
        <is>
          <t>Antes de 2026</t>
        </is>
      </c>
      <c r="E1882" s="28" t="n">
        <v>45883</v>
      </c>
      <c r="F1882" t="inlineStr">
        <is>
          <t>CT-e</t>
        </is>
      </c>
      <c r="G1882" t="inlineStr">
        <is>
          <t>000004917</t>
        </is>
      </c>
      <c r="H1882" t="inlineStr">
        <is>
          <t>R&amp;R TRANSPORTE E LOGISTICA</t>
        </is>
      </c>
      <c r="J1882" s="29" t="n">
        <v>1650</v>
      </c>
      <c r="K1882" s="29">
        <f>(1-ISNUMBER(SEARCH("556",M1882)))*(O1882*SUMIFS(Premissas!$C$5:$C$44,Premissas!$A$5:$A$44,$A1882,Premissas!$B$5:$B$44,$B1882)+P1882*SUMIFS(Premissas!$D$5:$D$44,Premissas!$A$5:$A$44,$A1882,Premissas!$B$5:$B$44,$B1882))+R1882*SUMIFS(Premissas!$E$5:$E$44,Premissas!$A$5:$A$44,$A1882,Premissas!$B$5:$B$44,$B1882)+S1882*SUMIFS(Premissas!$F$5:$F$44,Premissas!$A$5:$A$44,$A1882,Premissas!$B$5:$B$44,$B1882)</f>
        <v/>
      </c>
      <c r="L1882" s="29">
        <f>J1882-K1882</f>
        <v/>
      </c>
      <c r="M1882" t="inlineStr">
        <is>
          <t>1.350</t>
        </is>
      </c>
      <c r="N1882" t="inlineStr">
        <is>
          <t>Modalidade: 0 - Por conta do remetente | Parte: AMORIM e CIA LTDA. (08.291.637/0003-58)</t>
        </is>
      </c>
      <c r="O1882" s="29" t="n">
        <v>0</v>
      </c>
      <c r="P1882" s="29" t="n">
        <v>0</v>
      </c>
      <c r="Q1882" s="29" t="n">
        <v>0</v>
      </c>
      <c r="R1882" s="29" t="n">
        <v>0</v>
      </c>
      <c r="S1882" s="29" t="n">
        <v>0</v>
      </c>
      <c r="T1882" t="inlineStr">
        <is>
          <t>25250826975620000130570010000049171000000001</t>
        </is>
      </c>
      <c r="U1882" t="inlineStr">
        <is>
          <t>Não</t>
        </is>
      </c>
    </row>
    <row r="1883">
      <c r="A1883" t="inlineStr">
        <is>
          <t>Frete de venda</t>
        </is>
      </c>
      <c r="B1883" t="inlineStr">
        <is>
          <t>2.01.02 Frete sobre Vendas</t>
        </is>
      </c>
      <c r="C1883" t="inlineStr">
        <is>
          <t>Antes de 2026</t>
        </is>
      </c>
      <c r="D1883" t="inlineStr">
        <is>
          <t>Antes de 2026</t>
        </is>
      </c>
      <c r="E1883" s="28" t="n">
        <v>45884</v>
      </c>
      <c r="F1883" t="inlineStr">
        <is>
          <t>CT-e</t>
        </is>
      </c>
      <c r="G1883" t="inlineStr">
        <is>
          <t>000004921</t>
        </is>
      </c>
      <c r="H1883" t="inlineStr">
        <is>
          <t>R&amp;R TRANSPORTE E LOGISTICA</t>
        </is>
      </c>
      <c r="J1883" s="29" t="n">
        <v>10.91</v>
      </c>
      <c r="K1883" s="29">
        <f>(1-ISNUMBER(SEARCH("556",M1883)))*(O1883*SUMIFS(Premissas!$C$5:$C$44,Premissas!$A$5:$A$44,$A1883,Premissas!$B$5:$B$44,$B1883)+P1883*SUMIFS(Premissas!$D$5:$D$44,Premissas!$A$5:$A$44,$A1883,Premissas!$B$5:$B$44,$B1883))+R1883*SUMIFS(Premissas!$E$5:$E$44,Premissas!$A$5:$A$44,$A1883,Premissas!$B$5:$B$44,$B1883)+S1883*SUMIFS(Premissas!$F$5:$F$44,Premissas!$A$5:$A$44,$A1883,Premissas!$B$5:$B$44,$B1883)</f>
        <v/>
      </c>
      <c r="L1883" s="29">
        <f>J1883-K1883</f>
        <v/>
      </c>
      <c r="M1883" t="inlineStr">
        <is>
          <t>1.350</t>
        </is>
      </c>
      <c r="N1883" t="inlineStr">
        <is>
          <t>Modalidade: 0 - Por conta do remetente | Parte: L. C. DE ANDRADE LTDA (51.921.825/0001-80)</t>
        </is>
      </c>
      <c r="O1883" s="29" t="n">
        <v>0</v>
      </c>
      <c r="P1883" s="29" t="n">
        <v>0</v>
      </c>
      <c r="Q1883" s="29" t="n">
        <v>0</v>
      </c>
      <c r="R1883" s="29" t="n">
        <v>0</v>
      </c>
      <c r="S1883" s="29" t="n">
        <v>0</v>
      </c>
      <c r="T1883" t="inlineStr">
        <is>
          <t>25250826975620000130570010000049211000000004</t>
        </is>
      </c>
      <c r="U1883" t="inlineStr">
        <is>
          <t>Não</t>
        </is>
      </c>
    </row>
    <row r="1884">
      <c r="A1884" t="inlineStr">
        <is>
          <t>Frete de venda</t>
        </is>
      </c>
      <c r="B1884" t="inlineStr">
        <is>
          <t>2.01.02 Frete sobre Vendas</t>
        </is>
      </c>
      <c r="C1884" t="inlineStr">
        <is>
          <t>Antes de 2026</t>
        </is>
      </c>
      <c r="D1884" t="inlineStr">
        <is>
          <t>Antes de 2026</t>
        </is>
      </c>
      <c r="E1884" s="28" t="n">
        <v>45884</v>
      </c>
      <c r="F1884" t="inlineStr">
        <is>
          <t>CT-e</t>
        </is>
      </c>
      <c r="G1884" t="inlineStr">
        <is>
          <t>000004922</t>
        </is>
      </c>
      <c r="H1884" t="inlineStr">
        <is>
          <t>R&amp;R TRANSPORTE E LOGISTICA</t>
        </is>
      </c>
      <c r="J1884" s="29" t="n">
        <v>20.19</v>
      </c>
      <c r="K1884" s="29">
        <f>(1-ISNUMBER(SEARCH("556",M1884)))*(O1884*SUMIFS(Premissas!$C$5:$C$44,Premissas!$A$5:$A$44,$A1884,Premissas!$B$5:$B$44,$B1884)+P1884*SUMIFS(Premissas!$D$5:$D$44,Premissas!$A$5:$A$44,$A1884,Premissas!$B$5:$B$44,$B1884))+R1884*SUMIFS(Premissas!$E$5:$E$44,Premissas!$A$5:$A$44,$A1884,Premissas!$B$5:$B$44,$B1884)+S1884*SUMIFS(Premissas!$F$5:$F$44,Premissas!$A$5:$A$44,$A1884,Premissas!$B$5:$B$44,$B1884)</f>
        <v/>
      </c>
      <c r="L1884" s="29">
        <f>J1884-K1884</f>
        <v/>
      </c>
      <c r="M1884" t="inlineStr">
        <is>
          <t>1.350</t>
        </is>
      </c>
      <c r="N1884" t="inlineStr">
        <is>
          <t>Modalidade: 0 - Por conta do remetente | Parte: M E QUEIROS DA SILVA (08.831.282/0001-80)</t>
        </is>
      </c>
      <c r="O1884" s="29" t="n">
        <v>0</v>
      </c>
      <c r="P1884" s="29" t="n">
        <v>0</v>
      </c>
      <c r="Q1884" s="29" t="n">
        <v>0</v>
      </c>
      <c r="R1884" s="29" t="n">
        <v>0</v>
      </c>
      <c r="S1884" s="29" t="n">
        <v>0</v>
      </c>
      <c r="T1884" t="inlineStr">
        <is>
          <t>25250826975620000130570010000049221000000001</t>
        </is>
      </c>
      <c r="U1884" t="inlineStr">
        <is>
          <t>Não</t>
        </is>
      </c>
    </row>
    <row r="1885">
      <c r="A1885" t="inlineStr">
        <is>
          <t>Frete de venda</t>
        </is>
      </c>
      <c r="B1885" t="inlineStr">
        <is>
          <t>2.01.02 Frete sobre Vendas</t>
        </is>
      </c>
      <c r="C1885" t="inlineStr">
        <is>
          <t>Antes de 2026</t>
        </is>
      </c>
      <c r="D1885" t="inlineStr">
        <is>
          <t>Antes de 2026</t>
        </is>
      </c>
      <c r="E1885" s="28" t="n">
        <v>45884</v>
      </c>
      <c r="F1885" t="inlineStr">
        <is>
          <t>CT-e</t>
        </is>
      </c>
      <c r="G1885" t="inlineStr">
        <is>
          <t>000004923</t>
        </is>
      </c>
      <c r="H1885" t="inlineStr">
        <is>
          <t>R&amp;R TRANSPORTE E LOGISTICA</t>
        </is>
      </c>
      <c r="J1885" s="29" t="n">
        <v>14.44</v>
      </c>
      <c r="K1885" s="29">
        <f>(1-ISNUMBER(SEARCH("556",M1885)))*(O1885*SUMIFS(Premissas!$C$5:$C$44,Premissas!$A$5:$A$44,$A1885,Premissas!$B$5:$B$44,$B1885)+P1885*SUMIFS(Premissas!$D$5:$D$44,Premissas!$A$5:$A$44,$A1885,Premissas!$B$5:$B$44,$B1885))+R1885*SUMIFS(Premissas!$E$5:$E$44,Premissas!$A$5:$A$44,$A1885,Premissas!$B$5:$B$44,$B1885)+S1885*SUMIFS(Premissas!$F$5:$F$44,Premissas!$A$5:$A$44,$A1885,Premissas!$B$5:$B$44,$B1885)</f>
        <v/>
      </c>
      <c r="L1885" s="29">
        <f>J1885-K1885</f>
        <v/>
      </c>
      <c r="M1885" t="inlineStr">
        <is>
          <t>1.350</t>
        </is>
      </c>
      <c r="N1885" t="inlineStr">
        <is>
          <t>Modalidade: 0 - Por conta do remetente | Parte: E. DO NASCIMENTO SOUZA LTDA (42.822.613/0001-54)</t>
        </is>
      </c>
      <c r="O1885" s="29" t="n">
        <v>0</v>
      </c>
      <c r="P1885" s="29" t="n">
        <v>0</v>
      </c>
      <c r="Q1885" s="29" t="n">
        <v>0</v>
      </c>
      <c r="R1885" s="29" t="n">
        <v>0</v>
      </c>
      <c r="S1885" s="29" t="n">
        <v>0</v>
      </c>
      <c r="T1885" t="inlineStr">
        <is>
          <t>25250826975620000130570010000049231000000009</t>
        </is>
      </c>
      <c r="U1885" t="inlineStr">
        <is>
          <t>Não</t>
        </is>
      </c>
    </row>
    <row r="1886">
      <c r="A1886" t="inlineStr">
        <is>
          <t>Frete de venda</t>
        </is>
      </c>
      <c r="B1886" t="inlineStr">
        <is>
          <t>2.01.02 Frete sobre Vendas</t>
        </is>
      </c>
      <c r="C1886" t="inlineStr">
        <is>
          <t>Antes de 2026</t>
        </is>
      </c>
      <c r="D1886" t="inlineStr">
        <is>
          <t>Antes de 2026</t>
        </is>
      </c>
      <c r="E1886" s="28" t="n">
        <v>45884</v>
      </c>
      <c r="F1886" t="inlineStr">
        <is>
          <t>CT-e</t>
        </is>
      </c>
      <c r="G1886" t="inlineStr">
        <is>
          <t>000004924</t>
        </is>
      </c>
      <c r="H1886" t="inlineStr">
        <is>
          <t>R&amp;R TRANSPORTE E LOGISTICA</t>
        </is>
      </c>
      <c r="J1886" s="29" t="n">
        <v>14.65</v>
      </c>
      <c r="K1886" s="29">
        <f>(1-ISNUMBER(SEARCH("556",M1886)))*(O1886*SUMIFS(Premissas!$C$5:$C$44,Premissas!$A$5:$A$44,$A1886,Premissas!$B$5:$B$44,$B1886)+P1886*SUMIFS(Premissas!$D$5:$D$44,Premissas!$A$5:$A$44,$A1886,Premissas!$B$5:$B$44,$B1886))+R1886*SUMIFS(Premissas!$E$5:$E$44,Premissas!$A$5:$A$44,$A1886,Premissas!$B$5:$B$44,$B1886)+S1886*SUMIFS(Premissas!$F$5:$F$44,Premissas!$A$5:$A$44,$A1886,Premissas!$B$5:$B$44,$B1886)</f>
        <v/>
      </c>
      <c r="L1886" s="29">
        <f>J1886-K1886</f>
        <v/>
      </c>
      <c r="M1886" t="inlineStr">
        <is>
          <t>1.350</t>
        </is>
      </c>
      <c r="N1886" t="inlineStr">
        <is>
          <t>Modalidade: 0 - Por conta do remetente | Parte: F. C. EMBALAGENS e SALGADINHOS (14.025.694/0001-26)</t>
        </is>
      </c>
      <c r="O1886" s="29" t="n">
        <v>0</v>
      </c>
      <c r="P1886" s="29" t="n">
        <v>0</v>
      </c>
      <c r="Q1886" s="29" t="n">
        <v>0</v>
      </c>
      <c r="R1886" s="29" t="n">
        <v>0</v>
      </c>
      <c r="S1886" s="29" t="n">
        <v>0</v>
      </c>
      <c r="T1886" t="inlineStr">
        <is>
          <t>25250826975620000130570010000049241000000006</t>
        </is>
      </c>
      <c r="U1886" t="inlineStr">
        <is>
          <t>Não</t>
        </is>
      </c>
    </row>
    <row r="1887">
      <c r="A1887" t="inlineStr">
        <is>
          <t>Frete de venda</t>
        </is>
      </c>
      <c r="B1887" t="inlineStr">
        <is>
          <t>2.01.02 Frete sobre Vendas</t>
        </is>
      </c>
      <c r="C1887" t="inlineStr">
        <is>
          <t>Antes de 2026</t>
        </is>
      </c>
      <c r="D1887" t="inlineStr">
        <is>
          <t>Antes de 2026</t>
        </is>
      </c>
      <c r="E1887" s="28" t="n">
        <v>45884</v>
      </c>
      <c r="F1887" t="inlineStr">
        <is>
          <t>CT-e</t>
        </is>
      </c>
      <c r="G1887" t="inlineStr">
        <is>
          <t>000004925</t>
        </is>
      </c>
      <c r="H1887" t="inlineStr">
        <is>
          <t>R&amp;R TRANSPORTE E LOGISTICA</t>
        </is>
      </c>
      <c r="J1887" s="29" t="n">
        <v>33.82</v>
      </c>
      <c r="K1887" s="29">
        <f>(1-ISNUMBER(SEARCH("556",M1887)))*(O1887*SUMIFS(Premissas!$C$5:$C$44,Premissas!$A$5:$A$44,$A1887,Premissas!$B$5:$B$44,$B1887)+P1887*SUMIFS(Premissas!$D$5:$D$44,Premissas!$A$5:$A$44,$A1887,Premissas!$B$5:$B$44,$B1887))+R1887*SUMIFS(Premissas!$E$5:$E$44,Premissas!$A$5:$A$44,$A1887,Premissas!$B$5:$B$44,$B1887)+S1887*SUMIFS(Premissas!$F$5:$F$44,Premissas!$A$5:$A$44,$A1887,Premissas!$B$5:$B$44,$B1887)</f>
        <v/>
      </c>
      <c r="L1887" s="29">
        <f>J1887-K1887</f>
        <v/>
      </c>
      <c r="M1887" t="inlineStr">
        <is>
          <t>1.350</t>
        </is>
      </c>
      <c r="N1887" t="inlineStr">
        <is>
          <t>Modalidade: 0 - Por conta do remetente | Parte: COMERCIAL SIMAO LTDA (02.745.979/0001-52)</t>
        </is>
      </c>
      <c r="O1887" s="29" t="n">
        <v>0</v>
      </c>
      <c r="P1887" s="29" t="n">
        <v>0</v>
      </c>
      <c r="Q1887" s="29" t="n">
        <v>0</v>
      </c>
      <c r="R1887" s="29" t="n">
        <v>0</v>
      </c>
      <c r="S1887" s="29" t="n">
        <v>0</v>
      </c>
      <c r="T1887" t="inlineStr">
        <is>
          <t>25250826975620000130570010000049251000000003</t>
        </is>
      </c>
      <c r="U1887" t="inlineStr">
        <is>
          <t>Não</t>
        </is>
      </c>
    </row>
    <row r="1888">
      <c r="A1888" t="inlineStr">
        <is>
          <t>Frete de venda</t>
        </is>
      </c>
      <c r="B1888" t="inlineStr">
        <is>
          <t>2.01.02 Frete sobre Vendas</t>
        </is>
      </c>
      <c r="C1888" t="inlineStr">
        <is>
          <t>Antes de 2026</t>
        </is>
      </c>
      <c r="D1888" t="inlineStr">
        <is>
          <t>Antes de 2026</t>
        </is>
      </c>
      <c r="E1888" s="28" t="n">
        <v>45884</v>
      </c>
      <c r="F1888" t="inlineStr">
        <is>
          <t>CT-e</t>
        </is>
      </c>
      <c r="G1888" t="inlineStr">
        <is>
          <t>000004926</t>
        </is>
      </c>
      <c r="H1888" t="inlineStr">
        <is>
          <t>R&amp;R TRANSPORTE E LOGISTICA</t>
        </is>
      </c>
      <c r="J1888" s="29" t="n">
        <v>33.94</v>
      </c>
      <c r="K1888" s="29">
        <f>(1-ISNUMBER(SEARCH("556",M1888)))*(O1888*SUMIFS(Premissas!$C$5:$C$44,Premissas!$A$5:$A$44,$A1888,Premissas!$B$5:$B$44,$B1888)+P1888*SUMIFS(Premissas!$D$5:$D$44,Premissas!$A$5:$A$44,$A1888,Premissas!$B$5:$B$44,$B1888))+R1888*SUMIFS(Premissas!$E$5:$E$44,Premissas!$A$5:$A$44,$A1888,Premissas!$B$5:$B$44,$B1888)+S1888*SUMIFS(Premissas!$F$5:$F$44,Premissas!$A$5:$A$44,$A1888,Premissas!$B$5:$B$44,$B1888)</f>
        <v/>
      </c>
      <c r="L1888" s="29">
        <f>J1888-K1888</f>
        <v/>
      </c>
      <c r="M1888" t="inlineStr">
        <is>
          <t>1.350</t>
        </is>
      </c>
      <c r="N1888" t="inlineStr">
        <is>
          <t>Modalidade: 0 - Por conta do remetente | Parte: TRES RIOS COMERCIO ATACADISTA E DISTRIBUIDORA LTDA (20.475.473/0001-52)</t>
        </is>
      </c>
      <c r="O1888" s="29" t="n">
        <v>0</v>
      </c>
      <c r="P1888" s="29" t="n">
        <v>0</v>
      </c>
      <c r="Q1888" s="29" t="n">
        <v>0</v>
      </c>
      <c r="R1888" s="29" t="n">
        <v>0</v>
      </c>
      <c r="S1888" s="29" t="n">
        <v>0</v>
      </c>
      <c r="T1888" t="inlineStr">
        <is>
          <t>25250826975620000130570010000049261000000000</t>
        </is>
      </c>
      <c r="U1888" t="inlineStr">
        <is>
          <t>Não</t>
        </is>
      </c>
    </row>
    <row r="1889">
      <c r="A1889" t="inlineStr">
        <is>
          <t>Frete de venda</t>
        </is>
      </c>
      <c r="B1889" t="inlineStr">
        <is>
          <t>2.01.02 Frete sobre Vendas</t>
        </is>
      </c>
      <c r="C1889" t="inlineStr">
        <is>
          <t>Antes de 2026</t>
        </is>
      </c>
      <c r="D1889" t="inlineStr">
        <is>
          <t>Antes de 2026</t>
        </is>
      </c>
      <c r="E1889" s="28" t="n">
        <v>45884</v>
      </c>
      <c r="F1889" t="inlineStr">
        <is>
          <t>CT-e</t>
        </is>
      </c>
      <c r="G1889" t="inlineStr">
        <is>
          <t>000004927</t>
        </is>
      </c>
      <c r="H1889" t="inlineStr">
        <is>
          <t>R&amp;R TRANSPORTE E LOGISTICA</t>
        </is>
      </c>
      <c r="J1889" s="29" t="n">
        <v>18.68</v>
      </c>
      <c r="K1889" s="29">
        <f>(1-ISNUMBER(SEARCH("556",M1889)))*(O1889*SUMIFS(Premissas!$C$5:$C$44,Premissas!$A$5:$A$44,$A1889,Premissas!$B$5:$B$44,$B1889)+P1889*SUMIFS(Premissas!$D$5:$D$44,Premissas!$A$5:$A$44,$A1889,Premissas!$B$5:$B$44,$B1889))+R1889*SUMIFS(Premissas!$E$5:$E$44,Premissas!$A$5:$A$44,$A1889,Premissas!$B$5:$B$44,$B1889)+S1889*SUMIFS(Premissas!$F$5:$F$44,Premissas!$A$5:$A$44,$A1889,Premissas!$B$5:$B$44,$B1889)</f>
        <v/>
      </c>
      <c r="L1889" s="29">
        <f>J1889-K1889</f>
        <v/>
      </c>
      <c r="M1889" t="inlineStr">
        <is>
          <t>1.350</t>
        </is>
      </c>
      <c r="N1889" t="inlineStr">
        <is>
          <t>Modalidade: 0 - Por conta do remetente | Parte: SUPER MEGA VARIEDADES LTDA (02.409.637/0001-61)</t>
        </is>
      </c>
      <c r="O1889" s="29" t="n">
        <v>0</v>
      </c>
      <c r="P1889" s="29" t="n">
        <v>0</v>
      </c>
      <c r="Q1889" s="29" t="n">
        <v>0</v>
      </c>
      <c r="R1889" s="29" t="n">
        <v>0</v>
      </c>
      <c r="S1889" s="29" t="n">
        <v>0</v>
      </c>
      <c r="T1889" t="inlineStr">
        <is>
          <t>25250826975620000130570010000049271000000008</t>
        </is>
      </c>
      <c r="U1889" t="inlineStr">
        <is>
          <t>Não</t>
        </is>
      </c>
    </row>
    <row r="1890">
      <c r="A1890" t="inlineStr">
        <is>
          <t>Frete de venda</t>
        </is>
      </c>
      <c r="B1890" t="inlineStr">
        <is>
          <t>2.01.02 Frete sobre Vendas</t>
        </is>
      </c>
      <c r="C1890" t="inlineStr">
        <is>
          <t>Antes de 2026</t>
        </is>
      </c>
      <c r="D1890" t="inlineStr">
        <is>
          <t>Antes de 2026</t>
        </is>
      </c>
      <c r="E1890" s="28" t="n">
        <v>45884</v>
      </c>
      <c r="F1890" t="inlineStr">
        <is>
          <t>CT-e</t>
        </is>
      </c>
      <c r="G1890" t="inlineStr">
        <is>
          <t>000004928</t>
        </is>
      </c>
      <c r="H1890" t="inlineStr">
        <is>
          <t>R&amp;R TRANSPORTE E LOGISTICA</t>
        </is>
      </c>
      <c r="J1890" s="29" t="n">
        <v>23.07</v>
      </c>
      <c r="K1890" s="29">
        <f>(1-ISNUMBER(SEARCH("556",M1890)))*(O1890*SUMIFS(Premissas!$C$5:$C$44,Premissas!$A$5:$A$44,$A1890,Premissas!$B$5:$B$44,$B1890)+P1890*SUMIFS(Premissas!$D$5:$D$44,Premissas!$A$5:$A$44,$A1890,Premissas!$B$5:$B$44,$B1890))+R1890*SUMIFS(Premissas!$E$5:$E$44,Premissas!$A$5:$A$44,$A1890,Premissas!$B$5:$B$44,$B1890)+S1890*SUMIFS(Premissas!$F$5:$F$44,Premissas!$A$5:$A$44,$A1890,Premissas!$B$5:$B$44,$B1890)</f>
        <v/>
      </c>
      <c r="L1890" s="29">
        <f>J1890-K1890</f>
        <v/>
      </c>
      <c r="M1890" t="inlineStr">
        <is>
          <t>1.350</t>
        </is>
      </c>
      <c r="N1890" t="inlineStr">
        <is>
          <t>Modalidade: 0 - Por conta do remetente | Parte: IRMAOS BATISTA REZENDE LTDA (13.916.629/0001-28)</t>
        </is>
      </c>
      <c r="O1890" s="29" t="n">
        <v>0</v>
      </c>
      <c r="P1890" s="29" t="n">
        <v>0</v>
      </c>
      <c r="Q1890" s="29" t="n">
        <v>0</v>
      </c>
      <c r="R1890" s="29" t="n">
        <v>0</v>
      </c>
      <c r="S1890" s="29" t="n">
        <v>0</v>
      </c>
      <c r="T1890" t="inlineStr">
        <is>
          <t>25250826975620000130570010000049281000000005</t>
        </is>
      </c>
      <c r="U1890" t="inlineStr">
        <is>
          <t>Não</t>
        </is>
      </c>
    </row>
    <row r="1891">
      <c r="A1891" t="inlineStr">
        <is>
          <t>Frete de venda</t>
        </is>
      </c>
      <c r="B1891" t="inlineStr">
        <is>
          <t>2.01.02 Frete sobre Vendas</t>
        </is>
      </c>
      <c r="C1891" t="inlineStr">
        <is>
          <t>Antes de 2026</t>
        </is>
      </c>
      <c r="D1891" t="inlineStr">
        <is>
          <t>Antes de 2026</t>
        </is>
      </c>
      <c r="E1891" s="28" t="n">
        <v>45884</v>
      </c>
      <c r="F1891" t="inlineStr">
        <is>
          <t>CT-e</t>
        </is>
      </c>
      <c r="G1891" t="inlineStr">
        <is>
          <t>000004929</t>
        </is>
      </c>
      <c r="H1891" t="inlineStr">
        <is>
          <t>R&amp;R TRANSPORTE E LOGISTICA</t>
        </is>
      </c>
      <c r="J1891" s="29" t="n">
        <v>20.32</v>
      </c>
      <c r="K1891" s="29">
        <f>(1-ISNUMBER(SEARCH("556",M1891)))*(O1891*SUMIFS(Premissas!$C$5:$C$44,Premissas!$A$5:$A$44,$A1891,Premissas!$B$5:$B$44,$B1891)+P1891*SUMIFS(Premissas!$D$5:$D$44,Premissas!$A$5:$A$44,$A1891,Premissas!$B$5:$B$44,$B1891))+R1891*SUMIFS(Premissas!$E$5:$E$44,Premissas!$A$5:$A$44,$A1891,Premissas!$B$5:$B$44,$B1891)+S1891*SUMIFS(Premissas!$F$5:$F$44,Premissas!$A$5:$A$44,$A1891,Premissas!$B$5:$B$44,$B1891)</f>
        <v/>
      </c>
      <c r="L1891" s="29">
        <f>J1891-K1891</f>
        <v/>
      </c>
      <c r="M1891" t="inlineStr">
        <is>
          <t>1.350</t>
        </is>
      </c>
      <c r="N1891" t="inlineStr">
        <is>
          <t>Modalidade: 0 - Por conta do remetente | Parte: M C PACHECO (17.808.645/0001-58)</t>
        </is>
      </c>
      <c r="O1891" s="29" t="n">
        <v>0</v>
      </c>
      <c r="P1891" s="29" t="n">
        <v>0</v>
      </c>
      <c r="Q1891" s="29" t="n">
        <v>0</v>
      </c>
      <c r="R1891" s="29" t="n">
        <v>0</v>
      </c>
      <c r="S1891" s="29" t="n">
        <v>0</v>
      </c>
      <c r="T1891" t="inlineStr">
        <is>
          <t>25250826975620000130570010000049291000000002</t>
        </is>
      </c>
      <c r="U1891" t="inlineStr">
        <is>
          <t>Não</t>
        </is>
      </c>
    </row>
    <row r="1892">
      <c r="A1892" t="inlineStr">
        <is>
          <t>Frete de venda</t>
        </is>
      </c>
      <c r="B1892" t="inlineStr">
        <is>
          <t>2.01.02 Frete sobre Vendas</t>
        </is>
      </c>
      <c r="C1892" t="inlineStr">
        <is>
          <t>Antes de 2026</t>
        </is>
      </c>
      <c r="D1892" t="inlineStr">
        <is>
          <t>Antes de 2026</t>
        </is>
      </c>
      <c r="E1892" s="28" t="n">
        <v>45884</v>
      </c>
      <c r="F1892" t="inlineStr">
        <is>
          <t>CT-e</t>
        </is>
      </c>
      <c r="G1892" t="inlineStr">
        <is>
          <t>000004930</t>
        </is>
      </c>
      <c r="H1892" t="inlineStr">
        <is>
          <t>R&amp;R TRANSPORTE E LOGISTICA</t>
        </is>
      </c>
      <c r="J1892" s="29" t="n">
        <v>11.13</v>
      </c>
      <c r="K1892" s="29">
        <f>(1-ISNUMBER(SEARCH("556",M1892)))*(O1892*SUMIFS(Premissas!$C$5:$C$44,Premissas!$A$5:$A$44,$A1892,Premissas!$B$5:$B$44,$B1892)+P1892*SUMIFS(Premissas!$D$5:$D$44,Premissas!$A$5:$A$44,$A1892,Premissas!$B$5:$B$44,$B1892))+R1892*SUMIFS(Premissas!$E$5:$E$44,Premissas!$A$5:$A$44,$A1892,Premissas!$B$5:$B$44,$B1892)+S1892*SUMIFS(Premissas!$F$5:$F$44,Premissas!$A$5:$A$44,$A1892,Premissas!$B$5:$B$44,$B1892)</f>
        <v/>
      </c>
      <c r="L1892" s="29">
        <f>J1892-K1892</f>
        <v/>
      </c>
      <c r="M1892" t="inlineStr">
        <is>
          <t>1.350</t>
        </is>
      </c>
      <c r="N1892" t="inlineStr">
        <is>
          <t>Modalidade: 0 - Por conta do remetente | Parte: CASA PACK DISTRIBUICAO DE EMBALAGENS LTDA (43.564.720/0001-92)</t>
        </is>
      </c>
      <c r="O1892" s="29" t="n">
        <v>0</v>
      </c>
      <c r="P1892" s="29" t="n">
        <v>0</v>
      </c>
      <c r="Q1892" s="29" t="n">
        <v>0</v>
      </c>
      <c r="R1892" s="29" t="n">
        <v>0</v>
      </c>
      <c r="S1892" s="29" t="n">
        <v>0</v>
      </c>
      <c r="T1892" t="inlineStr">
        <is>
          <t>25250826975620000130570010000049301000000003</t>
        </is>
      </c>
      <c r="U1892" t="inlineStr">
        <is>
          <t>Não</t>
        </is>
      </c>
    </row>
    <row r="1893">
      <c r="A1893" t="inlineStr">
        <is>
          <t>Frete de venda</t>
        </is>
      </c>
      <c r="B1893" t="inlineStr">
        <is>
          <t>2.01.02 Frete sobre Vendas</t>
        </is>
      </c>
      <c r="C1893" t="inlineStr">
        <is>
          <t>Antes de 2026</t>
        </is>
      </c>
      <c r="D1893" t="inlineStr">
        <is>
          <t>Antes de 2026</t>
        </is>
      </c>
      <c r="E1893" s="28" t="n">
        <v>45884</v>
      </c>
      <c r="F1893" t="inlineStr">
        <is>
          <t>CT-e</t>
        </is>
      </c>
      <c r="G1893" t="inlineStr">
        <is>
          <t>000004931</t>
        </is>
      </c>
      <c r="H1893" t="inlineStr">
        <is>
          <t>R&amp;R TRANSPORTE E LOGISTICA</t>
        </is>
      </c>
      <c r="J1893" s="29" t="n">
        <v>13.87</v>
      </c>
      <c r="K1893" s="29">
        <f>(1-ISNUMBER(SEARCH("556",M1893)))*(O1893*SUMIFS(Premissas!$C$5:$C$44,Premissas!$A$5:$A$44,$A1893,Premissas!$B$5:$B$44,$B1893)+P1893*SUMIFS(Premissas!$D$5:$D$44,Premissas!$A$5:$A$44,$A1893,Premissas!$B$5:$B$44,$B1893))+R1893*SUMIFS(Premissas!$E$5:$E$44,Premissas!$A$5:$A$44,$A1893,Premissas!$B$5:$B$44,$B1893)+S1893*SUMIFS(Premissas!$F$5:$F$44,Premissas!$A$5:$A$44,$A1893,Premissas!$B$5:$B$44,$B1893)</f>
        <v/>
      </c>
      <c r="L1893" s="29">
        <f>J1893-K1893</f>
        <v/>
      </c>
      <c r="M1893" t="inlineStr">
        <is>
          <t>1.350</t>
        </is>
      </c>
      <c r="N1893" t="inlineStr">
        <is>
          <t>Modalidade: 0 - Por conta do remetente | Parte: EMBALE DISTRIBUIDORA LTDA (33.193.258/0001-00)</t>
        </is>
      </c>
      <c r="O1893" s="29" t="n">
        <v>0</v>
      </c>
      <c r="P1893" s="29" t="n">
        <v>0</v>
      </c>
      <c r="Q1893" s="29" t="n">
        <v>0</v>
      </c>
      <c r="R1893" s="29" t="n">
        <v>0</v>
      </c>
      <c r="S1893" s="29" t="n">
        <v>0</v>
      </c>
      <c r="T1893" t="inlineStr">
        <is>
          <t>25250826975620000130570010000049311000000000</t>
        </is>
      </c>
      <c r="U1893" t="inlineStr">
        <is>
          <t>Não</t>
        </is>
      </c>
    </row>
    <row r="1894">
      <c r="A1894" t="inlineStr">
        <is>
          <t>Frete de venda</t>
        </is>
      </c>
      <c r="B1894" t="inlineStr">
        <is>
          <t>2.01.02 Frete sobre Vendas</t>
        </is>
      </c>
      <c r="C1894" t="inlineStr">
        <is>
          <t>Antes de 2026</t>
        </is>
      </c>
      <c r="D1894" t="inlineStr">
        <is>
          <t>Antes de 2026</t>
        </is>
      </c>
      <c r="E1894" s="28" t="n">
        <v>45884</v>
      </c>
      <c r="F1894" t="inlineStr">
        <is>
          <t>CT-e</t>
        </is>
      </c>
      <c r="G1894" t="inlineStr">
        <is>
          <t>000004932</t>
        </is>
      </c>
      <c r="H1894" t="inlineStr">
        <is>
          <t>R&amp;R TRANSPORTE E LOGISTICA</t>
        </is>
      </c>
      <c r="J1894" s="29" t="n">
        <v>17.54</v>
      </c>
      <c r="K1894" s="29">
        <f>(1-ISNUMBER(SEARCH("556",M1894)))*(O1894*SUMIFS(Premissas!$C$5:$C$44,Premissas!$A$5:$A$44,$A1894,Premissas!$B$5:$B$44,$B1894)+P1894*SUMIFS(Premissas!$D$5:$D$44,Premissas!$A$5:$A$44,$A1894,Premissas!$B$5:$B$44,$B1894))+R1894*SUMIFS(Premissas!$E$5:$E$44,Premissas!$A$5:$A$44,$A1894,Premissas!$B$5:$B$44,$B1894)+S1894*SUMIFS(Premissas!$F$5:$F$44,Premissas!$A$5:$A$44,$A1894,Premissas!$B$5:$B$44,$B1894)</f>
        <v/>
      </c>
      <c r="L1894" s="29">
        <f>J1894-K1894</f>
        <v/>
      </c>
      <c r="M1894" t="inlineStr">
        <is>
          <t>1.350</t>
        </is>
      </c>
      <c r="N1894" t="inlineStr">
        <is>
          <t>Modalidade: 0 - Por conta do remetente | Parte: INGA FESTAS ATACAREJO LTDA (32.293.282/0001-59)</t>
        </is>
      </c>
      <c r="O1894" s="29" t="n">
        <v>0</v>
      </c>
      <c r="P1894" s="29" t="n">
        <v>0</v>
      </c>
      <c r="Q1894" s="29" t="n">
        <v>0</v>
      </c>
      <c r="R1894" s="29" t="n">
        <v>0</v>
      </c>
      <c r="S1894" s="29" t="n">
        <v>0</v>
      </c>
      <c r="T1894" t="inlineStr">
        <is>
          <t>25250826975620000130570010000049321000000008</t>
        </is>
      </c>
      <c r="U1894" t="inlineStr">
        <is>
          <t>Não</t>
        </is>
      </c>
    </row>
    <row r="1895">
      <c r="A1895" t="inlineStr">
        <is>
          <t>Frete de venda</t>
        </is>
      </c>
      <c r="B1895" t="inlineStr">
        <is>
          <t>2.01.02 Frete sobre Vendas</t>
        </is>
      </c>
      <c r="C1895" t="inlineStr">
        <is>
          <t>Antes de 2026</t>
        </is>
      </c>
      <c r="D1895" t="inlineStr">
        <is>
          <t>Antes de 2026</t>
        </is>
      </c>
      <c r="E1895" s="28" t="n">
        <v>45884</v>
      </c>
      <c r="F1895" t="inlineStr">
        <is>
          <t>CT-e</t>
        </is>
      </c>
      <c r="G1895" t="inlineStr">
        <is>
          <t>000004933</t>
        </is>
      </c>
      <c r="H1895" t="inlineStr">
        <is>
          <t>R&amp;R TRANSPORTE E LOGISTICA</t>
        </is>
      </c>
      <c r="J1895" s="29" t="n">
        <v>16.2</v>
      </c>
      <c r="K1895" s="29">
        <f>(1-ISNUMBER(SEARCH("556",M1895)))*(O1895*SUMIFS(Premissas!$C$5:$C$44,Premissas!$A$5:$A$44,$A1895,Premissas!$B$5:$B$44,$B1895)+P1895*SUMIFS(Premissas!$D$5:$D$44,Premissas!$A$5:$A$44,$A1895,Premissas!$B$5:$B$44,$B1895))+R1895*SUMIFS(Premissas!$E$5:$E$44,Premissas!$A$5:$A$44,$A1895,Premissas!$B$5:$B$44,$B1895)+S1895*SUMIFS(Premissas!$F$5:$F$44,Premissas!$A$5:$A$44,$A1895,Premissas!$B$5:$B$44,$B1895)</f>
        <v/>
      </c>
      <c r="L1895" s="29">
        <f>J1895-K1895</f>
        <v/>
      </c>
      <c r="M1895" t="inlineStr">
        <is>
          <t>1.350</t>
        </is>
      </c>
      <c r="N1895" t="inlineStr">
        <is>
          <t>Modalidade: 0 - Por conta do remetente | Parte: SAM EMBALAGENS ATACADO E VAREJO LTDA (48.944.969/0001-47)</t>
        </is>
      </c>
      <c r="O1895" s="29" t="n">
        <v>0</v>
      </c>
      <c r="P1895" s="29" t="n">
        <v>0</v>
      </c>
      <c r="Q1895" s="29" t="n">
        <v>0</v>
      </c>
      <c r="R1895" s="29" t="n">
        <v>0</v>
      </c>
      <c r="S1895" s="29" t="n">
        <v>0</v>
      </c>
      <c r="T1895" t="inlineStr">
        <is>
          <t>25250826975620000130570010000049331000000005</t>
        </is>
      </c>
      <c r="U1895" t="inlineStr">
        <is>
          <t>Não</t>
        </is>
      </c>
    </row>
    <row r="1896">
      <c r="A1896" t="inlineStr">
        <is>
          <t>Frete de venda</t>
        </is>
      </c>
      <c r="B1896" t="inlineStr">
        <is>
          <t>2.01.02 Frete sobre Vendas</t>
        </is>
      </c>
      <c r="C1896" t="inlineStr">
        <is>
          <t>Antes de 2026</t>
        </is>
      </c>
      <c r="D1896" t="inlineStr">
        <is>
          <t>Antes de 2026</t>
        </is>
      </c>
      <c r="E1896" s="28" t="n">
        <v>45884</v>
      </c>
      <c r="F1896" t="inlineStr">
        <is>
          <t>CT-e</t>
        </is>
      </c>
      <c r="G1896" t="inlineStr">
        <is>
          <t>000004934</t>
        </is>
      </c>
      <c r="H1896" t="inlineStr">
        <is>
          <t>R&amp;R TRANSPORTE E LOGISTICA</t>
        </is>
      </c>
      <c r="J1896" s="29" t="n">
        <v>17.64</v>
      </c>
      <c r="K1896" s="29">
        <f>(1-ISNUMBER(SEARCH("556",M1896)))*(O1896*SUMIFS(Premissas!$C$5:$C$44,Premissas!$A$5:$A$44,$A1896,Premissas!$B$5:$B$44,$B1896)+P1896*SUMIFS(Premissas!$D$5:$D$44,Premissas!$A$5:$A$44,$A1896,Premissas!$B$5:$B$44,$B1896))+R1896*SUMIFS(Premissas!$E$5:$E$44,Premissas!$A$5:$A$44,$A1896,Premissas!$B$5:$B$44,$B1896)+S1896*SUMIFS(Premissas!$F$5:$F$44,Premissas!$A$5:$A$44,$A1896,Premissas!$B$5:$B$44,$B1896)</f>
        <v/>
      </c>
      <c r="L1896" s="29">
        <f>J1896-K1896</f>
        <v/>
      </c>
      <c r="M1896" t="inlineStr">
        <is>
          <t>1.350</t>
        </is>
      </c>
      <c r="N1896" t="inlineStr">
        <is>
          <t>Modalidade: 0 - Por conta do remetente | Parte: ROTA 040 EMBALAGENS LTDA (40.498.051/0001-00)</t>
        </is>
      </c>
      <c r="O1896" s="29" t="n">
        <v>0</v>
      </c>
      <c r="P1896" s="29" t="n">
        <v>0</v>
      </c>
      <c r="Q1896" s="29" t="n">
        <v>0</v>
      </c>
      <c r="R1896" s="29" t="n">
        <v>0</v>
      </c>
      <c r="S1896" s="29" t="n">
        <v>0</v>
      </c>
      <c r="T1896" t="inlineStr">
        <is>
          <t>25250826975620000130570010000049341000000002</t>
        </is>
      </c>
      <c r="U1896" t="inlineStr">
        <is>
          <t>Não</t>
        </is>
      </c>
    </row>
    <row r="1897">
      <c r="A1897" t="inlineStr">
        <is>
          <t>Frete de venda</t>
        </is>
      </c>
      <c r="B1897" t="inlineStr">
        <is>
          <t>2.01.02 Frete sobre Vendas</t>
        </is>
      </c>
      <c r="C1897" t="inlineStr">
        <is>
          <t>Antes de 2026</t>
        </is>
      </c>
      <c r="D1897" t="inlineStr">
        <is>
          <t>Antes de 2026</t>
        </is>
      </c>
      <c r="E1897" s="28" t="n">
        <v>45884</v>
      </c>
      <c r="F1897" t="inlineStr">
        <is>
          <t>CT-e</t>
        </is>
      </c>
      <c r="G1897" t="inlineStr">
        <is>
          <t>000004935</t>
        </is>
      </c>
      <c r="H1897" t="inlineStr">
        <is>
          <t>R&amp;R TRANSPORTE E LOGISTICA</t>
        </is>
      </c>
      <c r="J1897" s="29" t="n">
        <v>14.86</v>
      </c>
      <c r="K1897" s="29">
        <f>(1-ISNUMBER(SEARCH("556",M1897)))*(O1897*SUMIFS(Premissas!$C$5:$C$44,Premissas!$A$5:$A$44,$A1897,Premissas!$B$5:$B$44,$B1897)+P1897*SUMIFS(Premissas!$D$5:$D$44,Premissas!$A$5:$A$44,$A1897,Premissas!$B$5:$B$44,$B1897))+R1897*SUMIFS(Premissas!$E$5:$E$44,Premissas!$A$5:$A$44,$A1897,Premissas!$B$5:$B$44,$B1897)+S1897*SUMIFS(Premissas!$F$5:$F$44,Premissas!$A$5:$A$44,$A1897,Premissas!$B$5:$B$44,$B1897)</f>
        <v/>
      </c>
      <c r="L1897" s="29">
        <f>J1897-K1897</f>
        <v/>
      </c>
      <c r="M1897" t="inlineStr">
        <is>
          <t>1.350</t>
        </is>
      </c>
      <c r="N1897" t="inlineStr">
        <is>
          <t>Modalidade: 0 - Por conta do remetente | Parte: RIBEIRO E ALVARES DISTRIBUIDORA DE ALIMENTOS LTDA (08.401.031/0001-66)</t>
        </is>
      </c>
      <c r="O1897" s="29" t="n">
        <v>0</v>
      </c>
      <c r="P1897" s="29" t="n">
        <v>0</v>
      </c>
      <c r="Q1897" s="29" t="n">
        <v>0</v>
      </c>
      <c r="R1897" s="29" t="n">
        <v>0</v>
      </c>
      <c r="S1897" s="29" t="n">
        <v>0</v>
      </c>
      <c r="T1897" t="inlineStr">
        <is>
          <t>25250826975620000130570010000049351000000000</t>
        </is>
      </c>
      <c r="U1897" t="inlineStr">
        <is>
          <t>Não</t>
        </is>
      </c>
    </row>
    <row r="1898">
      <c r="A1898" t="inlineStr">
        <is>
          <t>Frete de venda</t>
        </is>
      </c>
      <c r="B1898" t="inlineStr">
        <is>
          <t>2.01.02 Frete sobre Vendas</t>
        </is>
      </c>
      <c r="C1898" t="inlineStr">
        <is>
          <t>Antes de 2026</t>
        </is>
      </c>
      <c r="D1898" t="inlineStr">
        <is>
          <t>Antes de 2026</t>
        </is>
      </c>
      <c r="E1898" s="28" t="n">
        <v>45884</v>
      </c>
      <c r="F1898" t="inlineStr">
        <is>
          <t>CT-e</t>
        </is>
      </c>
      <c r="G1898" t="inlineStr">
        <is>
          <t>000004936</t>
        </is>
      </c>
      <c r="H1898" t="inlineStr">
        <is>
          <t>R&amp;R TRANSPORTE E LOGISTICA</t>
        </is>
      </c>
      <c r="J1898" s="29" t="n">
        <v>18.32</v>
      </c>
      <c r="K1898" s="29">
        <f>(1-ISNUMBER(SEARCH("556",M1898)))*(O1898*SUMIFS(Premissas!$C$5:$C$44,Premissas!$A$5:$A$44,$A1898,Premissas!$B$5:$B$44,$B1898)+P1898*SUMIFS(Premissas!$D$5:$D$44,Premissas!$A$5:$A$44,$A1898,Premissas!$B$5:$B$44,$B1898))+R1898*SUMIFS(Premissas!$E$5:$E$44,Premissas!$A$5:$A$44,$A1898,Premissas!$B$5:$B$44,$B1898)+S1898*SUMIFS(Premissas!$F$5:$F$44,Premissas!$A$5:$A$44,$A1898,Premissas!$B$5:$B$44,$B1898)</f>
        <v/>
      </c>
      <c r="L1898" s="29">
        <f>J1898-K1898</f>
        <v/>
      </c>
      <c r="M1898" t="inlineStr">
        <is>
          <t>1.350</t>
        </is>
      </c>
      <c r="N1898" t="inlineStr">
        <is>
          <t>Modalidade: 0 - Por conta do remetente | Parte: SOL COMERCIO DE EMBALAGENS LTDA (48.993.949/0001-66)</t>
        </is>
      </c>
      <c r="O1898" s="29" t="n">
        <v>0</v>
      </c>
      <c r="P1898" s="29" t="n">
        <v>0</v>
      </c>
      <c r="Q1898" s="29" t="n">
        <v>0</v>
      </c>
      <c r="R1898" s="29" t="n">
        <v>0</v>
      </c>
      <c r="S1898" s="29" t="n">
        <v>0</v>
      </c>
      <c r="T1898" t="inlineStr">
        <is>
          <t>25250826975620000130570010000049361000000007</t>
        </is>
      </c>
      <c r="U1898" t="inlineStr">
        <is>
          <t>Não</t>
        </is>
      </c>
    </row>
    <row r="1899">
      <c r="A1899" t="inlineStr">
        <is>
          <t>Frete de venda</t>
        </is>
      </c>
      <c r="B1899" t="inlineStr">
        <is>
          <t>2.01.02 Frete sobre Vendas</t>
        </is>
      </c>
      <c r="C1899" t="inlineStr">
        <is>
          <t>Antes de 2026</t>
        </is>
      </c>
      <c r="D1899" t="inlineStr">
        <is>
          <t>Antes de 2026</t>
        </is>
      </c>
      <c r="E1899" s="28" t="n">
        <v>45884</v>
      </c>
      <c r="F1899" t="inlineStr">
        <is>
          <t>CT-e</t>
        </is>
      </c>
      <c r="G1899" t="inlineStr">
        <is>
          <t>000004937</t>
        </is>
      </c>
      <c r="H1899" t="inlineStr">
        <is>
          <t>R&amp;R TRANSPORTE E LOGISTICA</t>
        </is>
      </c>
      <c r="J1899" s="29" t="n">
        <v>23.95</v>
      </c>
      <c r="K1899" s="29">
        <f>(1-ISNUMBER(SEARCH("556",M1899)))*(O1899*SUMIFS(Premissas!$C$5:$C$44,Premissas!$A$5:$A$44,$A1899,Premissas!$B$5:$B$44,$B1899)+P1899*SUMIFS(Premissas!$D$5:$D$44,Premissas!$A$5:$A$44,$A1899,Premissas!$B$5:$B$44,$B1899))+R1899*SUMIFS(Premissas!$E$5:$E$44,Premissas!$A$5:$A$44,$A1899,Premissas!$B$5:$B$44,$B1899)+S1899*SUMIFS(Premissas!$F$5:$F$44,Premissas!$A$5:$A$44,$A1899,Premissas!$B$5:$B$44,$B1899)</f>
        <v/>
      </c>
      <c r="L1899" s="29">
        <f>J1899-K1899</f>
        <v/>
      </c>
      <c r="M1899" t="inlineStr">
        <is>
          <t>1.350</t>
        </is>
      </c>
      <c r="N1899" t="inlineStr">
        <is>
          <t>Modalidade: 0 - Por conta do remetente | Parte: LEPETTI DOCES BSB LTDA (27.023.179/0001-59)</t>
        </is>
      </c>
      <c r="O1899" s="29" t="n">
        <v>0</v>
      </c>
      <c r="P1899" s="29" t="n">
        <v>0</v>
      </c>
      <c r="Q1899" s="29" t="n">
        <v>0</v>
      </c>
      <c r="R1899" s="29" t="n">
        <v>0</v>
      </c>
      <c r="S1899" s="29" t="n">
        <v>0</v>
      </c>
      <c r="T1899" t="inlineStr">
        <is>
          <t>25250826975620000130570010000049371000000004</t>
        </is>
      </c>
      <c r="U1899" t="inlineStr">
        <is>
          <t>Não</t>
        </is>
      </c>
    </row>
    <row r="1900">
      <c r="A1900" t="inlineStr">
        <is>
          <t>Frete de venda</t>
        </is>
      </c>
      <c r="B1900" t="inlineStr">
        <is>
          <t>2.01.02 Frete sobre Vendas</t>
        </is>
      </c>
      <c r="C1900" t="inlineStr">
        <is>
          <t>Antes de 2026</t>
        </is>
      </c>
      <c r="D1900" t="inlineStr">
        <is>
          <t>Antes de 2026</t>
        </is>
      </c>
      <c r="E1900" s="28" t="n">
        <v>45884</v>
      </c>
      <c r="F1900" t="inlineStr">
        <is>
          <t>CT-e</t>
        </is>
      </c>
      <c r="G1900" t="inlineStr">
        <is>
          <t>000004938</t>
        </is>
      </c>
      <c r="H1900" t="inlineStr">
        <is>
          <t>R&amp;R TRANSPORTE E LOGISTICA</t>
        </is>
      </c>
      <c r="J1900" s="29" t="n">
        <v>23.95</v>
      </c>
      <c r="K1900" s="29">
        <f>(1-ISNUMBER(SEARCH("556",M1900)))*(O1900*SUMIFS(Premissas!$C$5:$C$44,Premissas!$A$5:$A$44,$A1900,Premissas!$B$5:$B$44,$B1900)+P1900*SUMIFS(Premissas!$D$5:$D$44,Premissas!$A$5:$A$44,$A1900,Premissas!$B$5:$B$44,$B1900))+R1900*SUMIFS(Premissas!$E$5:$E$44,Premissas!$A$5:$A$44,$A1900,Premissas!$B$5:$B$44,$B1900)+S1900*SUMIFS(Premissas!$F$5:$F$44,Premissas!$A$5:$A$44,$A1900,Premissas!$B$5:$B$44,$B1900)</f>
        <v/>
      </c>
      <c r="L1900" s="29">
        <f>J1900-K1900</f>
        <v/>
      </c>
      <c r="M1900" t="inlineStr">
        <is>
          <t>1.350</t>
        </is>
      </c>
      <c r="N1900" t="inlineStr">
        <is>
          <t>Modalidade: 0 - Por conta do remetente | Parte: LUCINEIDE SA DE MENEZES GUIMARAES (01.791.289/0001-77)</t>
        </is>
      </c>
      <c r="O1900" s="29" t="n">
        <v>0</v>
      </c>
      <c r="P1900" s="29" t="n">
        <v>0</v>
      </c>
      <c r="Q1900" s="29" t="n">
        <v>0</v>
      </c>
      <c r="R1900" s="29" t="n">
        <v>0</v>
      </c>
      <c r="S1900" s="29" t="n">
        <v>0</v>
      </c>
      <c r="T1900" t="inlineStr">
        <is>
          <t>25250826975620000130570010000049381000000001</t>
        </is>
      </c>
      <c r="U1900" t="inlineStr">
        <is>
          <t>Não</t>
        </is>
      </c>
    </row>
    <row r="1901">
      <c r="A1901" t="inlineStr">
        <is>
          <t>Frete de venda</t>
        </is>
      </c>
      <c r="B1901" t="inlineStr">
        <is>
          <t>2.01.02 Frete sobre Vendas</t>
        </is>
      </c>
      <c r="C1901" t="inlineStr">
        <is>
          <t>Antes de 2026</t>
        </is>
      </c>
      <c r="D1901" t="inlineStr">
        <is>
          <t>Antes de 2026</t>
        </is>
      </c>
      <c r="E1901" s="28" t="n">
        <v>45884</v>
      </c>
      <c r="F1901" t="inlineStr">
        <is>
          <t>CT-e</t>
        </is>
      </c>
      <c r="G1901" t="inlineStr">
        <is>
          <t>000004939</t>
        </is>
      </c>
      <c r="H1901" t="inlineStr">
        <is>
          <t>R&amp;R TRANSPORTE E LOGISTICA</t>
        </is>
      </c>
      <c r="J1901" s="29" t="n">
        <v>19.27</v>
      </c>
      <c r="K1901" s="29">
        <f>(1-ISNUMBER(SEARCH("556",M1901)))*(O1901*SUMIFS(Premissas!$C$5:$C$44,Premissas!$A$5:$A$44,$A1901,Premissas!$B$5:$B$44,$B1901)+P1901*SUMIFS(Premissas!$D$5:$D$44,Premissas!$A$5:$A$44,$A1901,Premissas!$B$5:$B$44,$B1901))+R1901*SUMIFS(Premissas!$E$5:$E$44,Premissas!$A$5:$A$44,$A1901,Premissas!$B$5:$B$44,$B1901)+S1901*SUMIFS(Premissas!$F$5:$F$44,Premissas!$A$5:$A$44,$A1901,Premissas!$B$5:$B$44,$B1901)</f>
        <v/>
      </c>
      <c r="L1901" s="29">
        <f>J1901-K1901</f>
        <v/>
      </c>
      <c r="M1901" t="inlineStr">
        <is>
          <t>1.350</t>
        </is>
      </c>
      <c r="N1901" t="inlineStr">
        <is>
          <t>Modalidade: 0 - Por conta do remetente | Parte: S B C DE OLIVEIRA COMERCIO DE DESCARTAVEIS (05.668.708/0001-39)</t>
        </is>
      </c>
      <c r="O1901" s="29" t="n">
        <v>0</v>
      </c>
      <c r="P1901" s="29" t="n">
        <v>0</v>
      </c>
      <c r="Q1901" s="29" t="n">
        <v>0</v>
      </c>
      <c r="R1901" s="29" t="n">
        <v>0</v>
      </c>
      <c r="S1901" s="29" t="n">
        <v>0</v>
      </c>
      <c r="T1901" t="inlineStr">
        <is>
          <t>25250826975620000130570010000049391000000009</t>
        </is>
      </c>
      <c r="U1901" t="inlineStr">
        <is>
          <t>Não</t>
        </is>
      </c>
    </row>
    <row r="1902">
      <c r="A1902" t="inlineStr">
        <is>
          <t>Frete de venda</t>
        </is>
      </c>
      <c r="B1902" t="inlineStr">
        <is>
          <t>2.01.02 Frete sobre Vendas</t>
        </is>
      </c>
      <c r="C1902" t="inlineStr">
        <is>
          <t>Antes de 2026</t>
        </is>
      </c>
      <c r="D1902" t="inlineStr">
        <is>
          <t>Antes de 2026</t>
        </is>
      </c>
      <c r="E1902" s="28" t="n">
        <v>45884</v>
      </c>
      <c r="F1902" t="inlineStr">
        <is>
          <t>CT-e</t>
        </is>
      </c>
      <c r="G1902" t="inlineStr">
        <is>
          <t>000004940</t>
        </is>
      </c>
      <c r="H1902" t="inlineStr">
        <is>
          <t>R&amp;R TRANSPORTE E LOGISTICA</t>
        </is>
      </c>
      <c r="J1902" s="29" t="n">
        <v>40.15</v>
      </c>
      <c r="K1902" s="29">
        <f>(1-ISNUMBER(SEARCH("556",M1902)))*(O1902*SUMIFS(Premissas!$C$5:$C$44,Premissas!$A$5:$A$44,$A1902,Premissas!$B$5:$B$44,$B1902)+P1902*SUMIFS(Premissas!$D$5:$D$44,Premissas!$A$5:$A$44,$A1902,Premissas!$B$5:$B$44,$B1902))+R1902*SUMIFS(Premissas!$E$5:$E$44,Premissas!$A$5:$A$44,$A1902,Premissas!$B$5:$B$44,$B1902)+S1902*SUMIFS(Premissas!$F$5:$F$44,Premissas!$A$5:$A$44,$A1902,Premissas!$B$5:$B$44,$B1902)</f>
        <v/>
      </c>
      <c r="L1902" s="29">
        <f>J1902-K1902</f>
        <v/>
      </c>
      <c r="M1902" t="inlineStr">
        <is>
          <t>1.350</t>
        </is>
      </c>
      <c r="N1902" t="inlineStr">
        <is>
          <t>Modalidade: 0 - Por conta do remetente | Parte: COMERCIAL DE UTILIDADES MULT MATOS LTDA (35.027.191/0001-60)</t>
        </is>
      </c>
      <c r="O1902" s="29" t="n">
        <v>0</v>
      </c>
      <c r="P1902" s="29" t="n">
        <v>0</v>
      </c>
      <c r="Q1902" s="29" t="n">
        <v>0</v>
      </c>
      <c r="R1902" s="29" t="n">
        <v>0</v>
      </c>
      <c r="S1902" s="29" t="n">
        <v>0</v>
      </c>
      <c r="T1902" t="inlineStr">
        <is>
          <t>25250826975620000130570010000049401000000000</t>
        </is>
      </c>
      <c r="U1902" t="inlineStr">
        <is>
          <t>Não</t>
        </is>
      </c>
    </row>
    <row r="1903">
      <c r="A1903" t="inlineStr">
        <is>
          <t>Frete de venda</t>
        </is>
      </c>
      <c r="B1903" t="inlineStr">
        <is>
          <t>2.01.02 Frete sobre Vendas</t>
        </is>
      </c>
      <c r="C1903" t="inlineStr">
        <is>
          <t>Antes de 2026</t>
        </is>
      </c>
      <c r="D1903" t="inlineStr">
        <is>
          <t>Antes de 2026</t>
        </is>
      </c>
      <c r="E1903" s="28" t="n">
        <v>45884</v>
      </c>
      <c r="F1903" t="inlineStr">
        <is>
          <t>CT-e</t>
        </is>
      </c>
      <c r="G1903" t="inlineStr">
        <is>
          <t>000004941</t>
        </is>
      </c>
      <c r="H1903" t="inlineStr">
        <is>
          <t>R&amp;R TRANSPORTE E LOGISTICA</t>
        </is>
      </c>
      <c r="J1903" s="29" t="n">
        <v>21.44</v>
      </c>
      <c r="K1903" s="29">
        <f>(1-ISNUMBER(SEARCH("556",M1903)))*(O1903*SUMIFS(Premissas!$C$5:$C$44,Premissas!$A$5:$A$44,$A1903,Premissas!$B$5:$B$44,$B1903)+P1903*SUMIFS(Premissas!$D$5:$D$44,Premissas!$A$5:$A$44,$A1903,Premissas!$B$5:$B$44,$B1903))+R1903*SUMIFS(Premissas!$E$5:$E$44,Premissas!$A$5:$A$44,$A1903,Premissas!$B$5:$B$44,$B1903)+S1903*SUMIFS(Premissas!$F$5:$F$44,Premissas!$A$5:$A$44,$A1903,Premissas!$B$5:$B$44,$B1903)</f>
        <v/>
      </c>
      <c r="L1903" s="29">
        <f>J1903-K1903</f>
        <v/>
      </c>
      <c r="M1903" t="inlineStr">
        <is>
          <t>1.350</t>
        </is>
      </c>
      <c r="N1903" t="inlineStr">
        <is>
          <t>Modalidade: 0 - Por conta do remetente | Parte: DISTRIBUIDORA DE EMBALAGENS SUACUI LTDA (10.560.122/0001-96)</t>
        </is>
      </c>
      <c r="O1903" s="29" t="n">
        <v>0</v>
      </c>
      <c r="P1903" s="29" t="n">
        <v>0</v>
      </c>
      <c r="Q1903" s="29" t="n">
        <v>0</v>
      </c>
      <c r="R1903" s="29" t="n">
        <v>0</v>
      </c>
      <c r="S1903" s="29" t="n">
        <v>0</v>
      </c>
      <c r="T1903" t="inlineStr">
        <is>
          <t>25250826975620000130570010000049411000000007</t>
        </is>
      </c>
      <c r="U1903" t="inlineStr">
        <is>
          <t>Não</t>
        </is>
      </c>
    </row>
    <row r="1904">
      <c r="A1904" t="inlineStr">
        <is>
          <t>Frete de venda</t>
        </is>
      </c>
      <c r="B1904" t="inlineStr">
        <is>
          <t>2.01.02 Frete sobre Vendas</t>
        </is>
      </c>
      <c r="C1904" t="inlineStr">
        <is>
          <t>Antes de 2026</t>
        </is>
      </c>
      <c r="D1904" t="inlineStr">
        <is>
          <t>Antes de 2026</t>
        </is>
      </c>
      <c r="E1904" s="28" t="n">
        <v>45884</v>
      </c>
      <c r="F1904" t="inlineStr">
        <is>
          <t>CT-e</t>
        </is>
      </c>
      <c r="G1904" t="inlineStr">
        <is>
          <t>000004942</t>
        </is>
      </c>
      <c r="H1904" t="inlineStr">
        <is>
          <t>R&amp;R TRANSPORTE E LOGISTICA</t>
        </is>
      </c>
      <c r="J1904" s="29" t="n">
        <v>151.68</v>
      </c>
      <c r="K1904" s="29">
        <f>(1-ISNUMBER(SEARCH("556",M1904)))*(O1904*SUMIFS(Premissas!$C$5:$C$44,Premissas!$A$5:$A$44,$A1904,Premissas!$B$5:$B$44,$B1904)+P1904*SUMIFS(Premissas!$D$5:$D$44,Premissas!$A$5:$A$44,$A1904,Premissas!$B$5:$B$44,$B1904))+R1904*SUMIFS(Premissas!$E$5:$E$44,Premissas!$A$5:$A$44,$A1904,Premissas!$B$5:$B$44,$B1904)+S1904*SUMIFS(Premissas!$F$5:$F$44,Premissas!$A$5:$A$44,$A1904,Premissas!$B$5:$B$44,$B1904)</f>
        <v/>
      </c>
      <c r="L1904" s="29">
        <f>J1904-K1904</f>
        <v/>
      </c>
      <c r="M1904" t="inlineStr">
        <is>
          <t>1.350</t>
        </is>
      </c>
      <c r="N1904" t="inlineStr">
        <is>
          <t>Modalidade: 0 - Por conta do remetente | Parte: RODRIGUES e DIAS COMERCIO DE HORTIFRUTI GRANJEIROS LTDA (09.143.905/0001-95)</t>
        </is>
      </c>
      <c r="O1904" s="29" t="n">
        <v>0</v>
      </c>
      <c r="P1904" s="29" t="n">
        <v>0</v>
      </c>
      <c r="Q1904" s="29" t="n">
        <v>0</v>
      </c>
      <c r="R1904" s="29" t="n">
        <v>0</v>
      </c>
      <c r="S1904" s="29" t="n">
        <v>0</v>
      </c>
      <c r="T1904" t="inlineStr">
        <is>
          <t>25250826975620000130570010000049421000000004</t>
        </is>
      </c>
      <c r="U1904" t="inlineStr">
        <is>
          <t>Não</t>
        </is>
      </c>
    </row>
    <row r="1905">
      <c r="A1905" t="inlineStr">
        <is>
          <t>Frete de venda</t>
        </is>
      </c>
      <c r="B1905" t="inlineStr">
        <is>
          <t>2.01.02 Frete sobre Vendas</t>
        </is>
      </c>
      <c r="C1905" t="inlineStr">
        <is>
          <t>Antes de 2026</t>
        </is>
      </c>
      <c r="D1905" t="inlineStr">
        <is>
          <t>Antes de 2026</t>
        </is>
      </c>
      <c r="E1905" s="28" t="n">
        <v>45885</v>
      </c>
      <c r="F1905" t="inlineStr">
        <is>
          <t>CT-e</t>
        </is>
      </c>
      <c r="G1905" t="inlineStr">
        <is>
          <t>000004944</t>
        </is>
      </c>
      <c r="H1905" t="inlineStr">
        <is>
          <t>R&amp;R TRANSPORTE E LOGISTICA</t>
        </is>
      </c>
      <c r="J1905" s="29" t="n">
        <v>350</v>
      </c>
      <c r="K1905" s="29">
        <f>(1-ISNUMBER(SEARCH("556",M1905)))*(O1905*SUMIFS(Premissas!$C$5:$C$44,Premissas!$A$5:$A$44,$A1905,Premissas!$B$5:$B$44,$B1905)+P1905*SUMIFS(Premissas!$D$5:$D$44,Premissas!$A$5:$A$44,$A1905,Premissas!$B$5:$B$44,$B1905))+R1905*SUMIFS(Premissas!$E$5:$E$44,Premissas!$A$5:$A$44,$A1905,Premissas!$B$5:$B$44,$B1905)+S1905*SUMIFS(Premissas!$F$5:$F$44,Premissas!$A$5:$A$44,$A1905,Premissas!$B$5:$B$44,$B1905)</f>
        <v/>
      </c>
      <c r="L1905" s="29">
        <f>J1905-K1905</f>
        <v/>
      </c>
      <c r="M1905" t="inlineStr">
        <is>
          <t>1.350</t>
        </is>
      </c>
      <c r="N1905" t="inlineStr">
        <is>
          <t>Modalidade: 0 - Por conta do remetente | Parte: AMORIM e CIA LTDA. (08.291.637/0003-58)</t>
        </is>
      </c>
      <c r="O1905" s="29" t="n">
        <v>0</v>
      </c>
      <c r="P1905" s="29" t="n">
        <v>0</v>
      </c>
      <c r="Q1905" s="29" t="n">
        <v>0</v>
      </c>
      <c r="R1905" s="29" t="n">
        <v>0</v>
      </c>
      <c r="S1905" s="29" t="n">
        <v>0</v>
      </c>
      <c r="T1905" t="inlineStr">
        <is>
          <t>25250826975620000130570010000049441000000009</t>
        </is>
      </c>
      <c r="U1905" t="inlineStr">
        <is>
          <t>Não</t>
        </is>
      </c>
    </row>
    <row r="1906">
      <c r="A1906" t="inlineStr">
        <is>
          <t>Frete de venda</t>
        </is>
      </c>
      <c r="B1906" t="inlineStr">
        <is>
          <t>2.01.02 Frete sobre Vendas</t>
        </is>
      </c>
      <c r="C1906" t="inlineStr">
        <is>
          <t>Antes de 2026</t>
        </is>
      </c>
      <c r="D1906" t="inlineStr">
        <is>
          <t>Antes de 2026</t>
        </is>
      </c>
      <c r="E1906" s="28" t="n">
        <v>45885</v>
      </c>
      <c r="F1906" t="inlineStr">
        <is>
          <t>CT-e</t>
        </is>
      </c>
      <c r="G1906" t="inlineStr">
        <is>
          <t>000004945</t>
        </is>
      </c>
      <c r="H1906" t="inlineStr">
        <is>
          <t>R&amp;R TRANSPORTE E LOGISTICA</t>
        </is>
      </c>
      <c r="J1906" s="29" t="n">
        <v>71.44</v>
      </c>
      <c r="K1906" s="29">
        <f>(1-ISNUMBER(SEARCH("556",M1906)))*(O1906*SUMIFS(Premissas!$C$5:$C$44,Premissas!$A$5:$A$44,$A1906,Premissas!$B$5:$B$44,$B1906)+P1906*SUMIFS(Premissas!$D$5:$D$44,Premissas!$A$5:$A$44,$A1906,Premissas!$B$5:$B$44,$B1906))+R1906*SUMIFS(Premissas!$E$5:$E$44,Premissas!$A$5:$A$44,$A1906,Premissas!$B$5:$B$44,$B1906)+S1906*SUMIFS(Premissas!$F$5:$F$44,Premissas!$A$5:$A$44,$A1906,Premissas!$B$5:$B$44,$B1906)</f>
        <v/>
      </c>
      <c r="L1906" s="29">
        <f>J1906-K1906</f>
        <v/>
      </c>
      <c r="M1906" t="inlineStr">
        <is>
          <t>1.350</t>
        </is>
      </c>
      <c r="N1906" t="inlineStr">
        <is>
          <t>Modalidade: 0 - Por conta do remetente | Parte: M N L FLORENTINO LTDA (47.068.852/0001-84)</t>
        </is>
      </c>
      <c r="O1906" s="29" t="n">
        <v>0</v>
      </c>
      <c r="P1906" s="29" t="n">
        <v>0</v>
      </c>
      <c r="Q1906" s="29" t="n">
        <v>0</v>
      </c>
      <c r="R1906" s="29" t="n">
        <v>0</v>
      </c>
      <c r="S1906" s="29" t="n">
        <v>0</v>
      </c>
      <c r="T1906" t="inlineStr">
        <is>
          <t>25250826975620000130570010000049451000000006</t>
        </is>
      </c>
      <c r="U1906" t="inlineStr">
        <is>
          <t>Não</t>
        </is>
      </c>
    </row>
    <row r="1907">
      <c r="A1907" t="inlineStr">
        <is>
          <t>Frete de venda</t>
        </is>
      </c>
      <c r="B1907" t="inlineStr">
        <is>
          <t>2.01.02 Frete sobre Vendas</t>
        </is>
      </c>
      <c r="C1907" t="inlineStr">
        <is>
          <t>Antes de 2026</t>
        </is>
      </c>
      <c r="D1907" t="inlineStr">
        <is>
          <t>Antes de 2026</t>
        </is>
      </c>
      <c r="E1907" s="28" t="n">
        <v>45885</v>
      </c>
      <c r="F1907" t="inlineStr">
        <is>
          <t>CT-e</t>
        </is>
      </c>
      <c r="G1907" t="inlineStr">
        <is>
          <t>000004946</t>
        </is>
      </c>
      <c r="H1907" t="inlineStr">
        <is>
          <t>R&amp;R TRANSPORTE E LOGISTICA</t>
        </is>
      </c>
      <c r="J1907" s="29" t="n">
        <v>76.23999999999999</v>
      </c>
      <c r="K1907" s="29">
        <f>(1-ISNUMBER(SEARCH("556",M1907)))*(O1907*SUMIFS(Premissas!$C$5:$C$44,Premissas!$A$5:$A$44,$A1907,Premissas!$B$5:$B$44,$B1907)+P1907*SUMIFS(Premissas!$D$5:$D$44,Premissas!$A$5:$A$44,$A1907,Premissas!$B$5:$B$44,$B1907))+R1907*SUMIFS(Premissas!$E$5:$E$44,Premissas!$A$5:$A$44,$A1907,Premissas!$B$5:$B$44,$B1907)+S1907*SUMIFS(Premissas!$F$5:$F$44,Premissas!$A$5:$A$44,$A1907,Premissas!$B$5:$B$44,$B1907)</f>
        <v/>
      </c>
      <c r="L1907" s="29">
        <f>J1907-K1907</f>
        <v/>
      </c>
      <c r="M1907" t="inlineStr">
        <is>
          <t>1.350</t>
        </is>
      </c>
      <c r="N1907" t="inlineStr">
        <is>
          <t>Modalidade: 0 - Por conta do remetente | Parte: MARCOS NATANAEL DOS SANTOS ROCHA (14.727.584/0001-06)</t>
        </is>
      </c>
      <c r="O1907" s="29" t="n">
        <v>0</v>
      </c>
      <c r="P1907" s="29" t="n">
        <v>0</v>
      </c>
      <c r="Q1907" s="29" t="n">
        <v>0</v>
      </c>
      <c r="R1907" s="29" t="n">
        <v>0</v>
      </c>
      <c r="S1907" s="29" t="n">
        <v>0</v>
      </c>
      <c r="T1907" t="inlineStr">
        <is>
          <t>25250826975620000130570010000049461000000003</t>
        </is>
      </c>
      <c r="U1907" t="inlineStr">
        <is>
          <t>Não</t>
        </is>
      </c>
    </row>
    <row r="1908">
      <c r="A1908" t="inlineStr">
        <is>
          <t>Frete de venda</t>
        </is>
      </c>
      <c r="B1908" t="inlineStr">
        <is>
          <t>2.01.02 Frete sobre Vendas</t>
        </is>
      </c>
      <c r="C1908" t="inlineStr">
        <is>
          <t>Antes de 2026</t>
        </is>
      </c>
      <c r="D1908" t="inlineStr">
        <is>
          <t>Antes de 2026</t>
        </is>
      </c>
      <c r="E1908" s="28" t="n">
        <v>45885</v>
      </c>
      <c r="F1908" t="inlineStr">
        <is>
          <t>CT-e</t>
        </is>
      </c>
      <c r="G1908" t="inlineStr">
        <is>
          <t>000004947</t>
        </is>
      </c>
      <c r="H1908" t="inlineStr">
        <is>
          <t>R&amp;R TRANSPORTE E LOGISTICA</t>
        </is>
      </c>
      <c r="J1908" s="29" t="n">
        <v>64.61</v>
      </c>
      <c r="K1908" s="29">
        <f>(1-ISNUMBER(SEARCH("556",M1908)))*(O1908*SUMIFS(Premissas!$C$5:$C$44,Premissas!$A$5:$A$44,$A1908,Premissas!$B$5:$B$44,$B1908)+P1908*SUMIFS(Premissas!$D$5:$D$44,Premissas!$A$5:$A$44,$A1908,Premissas!$B$5:$B$44,$B1908))+R1908*SUMIFS(Premissas!$E$5:$E$44,Premissas!$A$5:$A$44,$A1908,Premissas!$B$5:$B$44,$B1908)+S1908*SUMIFS(Premissas!$F$5:$F$44,Premissas!$A$5:$A$44,$A1908,Premissas!$B$5:$B$44,$B1908)</f>
        <v/>
      </c>
      <c r="L1908" s="29">
        <f>J1908-K1908</f>
        <v/>
      </c>
      <c r="M1908" t="inlineStr">
        <is>
          <t>1.350</t>
        </is>
      </c>
      <c r="N1908" t="inlineStr">
        <is>
          <t>Modalidade: 0 - Por conta do remetente | Parte: LUIZ VIEIRA DE MORAIS EMBALAGENS (05.271.641/0001-02)</t>
        </is>
      </c>
      <c r="O1908" s="29" t="n">
        <v>0</v>
      </c>
      <c r="P1908" s="29" t="n">
        <v>0</v>
      </c>
      <c r="Q1908" s="29" t="n">
        <v>0</v>
      </c>
      <c r="R1908" s="29" t="n">
        <v>0</v>
      </c>
      <c r="S1908" s="29" t="n">
        <v>0</v>
      </c>
      <c r="T1908" t="inlineStr">
        <is>
          <t>25250826975620000130570010000049471000000000</t>
        </is>
      </c>
      <c r="U1908" t="inlineStr">
        <is>
          <t>Não</t>
        </is>
      </c>
    </row>
    <row r="1909">
      <c r="A1909" t="inlineStr">
        <is>
          <t>Frete de venda</t>
        </is>
      </c>
      <c r="B1909" t="inlineStr">
        <is>
          <t>2.01.02 Frete sobre Vendas</t>
        </is>
      </c>
      <c r="C1909" t="inlineStr">
        <is>
          <t>Antes de 2026</t>
        </is>
      </c>
      <c r="D1909" t="inlineStr">
        <is>
          <t>Antes de 2026</t>
        </is>
      </c>
      <c r="E1909" s="28" t="n">
        <v>45889</v>
      </c>
      <c r="F1909" t="inlineStr">
        <is>
          <t>CT-e</t>
        </is>
      </c>
      <c r="G1909" t="inlineStr">
        <is>
          <t>000004957</t>
        </is>
      </c>
      <c r="H1909" t="inlineStr">
        <is>
          <t>R&amp;R TRANSPORTE E LOGISTICA</t>
        </is>
      </c>
      <c r="J1909" s="29" t="n">
        <v>216.95</v>
      </c>
      <c r="K1909" s="29">
        <f>(1-ISNUMBER(SEARCH("556",M1909)))*(O1909*SUMIFS(Premissas!$C$5:$C$44,Premissas!$A$5:$A$44,$A1909,Premissas!$B$5:$B$44,$B1909)+P1909*SUMIFS(Premissas!$D$5:$D$44,Premissas!$A$5:$A$44,$A1909,Premissas!$B$5:$B$44,$B1909))+R1909*SUMIFS(Premissas!$E$5:$E$44,Premissas!$A$5:$A$44,$A1909,Premissas!$B$5:$B$44,$B1909)+S1909*SUMIFS(Premissas!$F$5:$F$44,Premissas!$A$5:$A$44,$A1909,Premissas!$B$5:$B$44,$B1909)</f>
        <v/>
      </c>
      <c r="L1909" s="29">
        <f>J1909-K1909</f>
        <v/>
      </c>
      <c r="M1909" t="inlineStr">
        <is>
          <t>1.350</t>
        </is>
      </c>
      <c r="N1909" t="inlineStr">
        <is>
          <t>Modalidade: 0 - Por conta do remetente | Parte: JAMES L H TOME e CIA LTDA (16.965.024/0008-91)</t>
        </is>
      </c>
      <c r="O1909" s="29" t="n">
        <v>0</v>
      </c>
      <c r="P1909" s="29" t="n">
        <v>0</v>
      </c>
      <c r="Q1909" s="29" t="n">
        <v>0</v>
      </c>
      <c r="R1909" s="29" t="n">
        <v>0</v>
      </c>
      <c r="S1909" s="29" t="n">
        <v>0</v>
      </c>
      <c r="T1909" t="inlineStr">
        <is>
          <t>25250826975620000130570010000049571000000007</t>
        </is>
      </c>
      <c r="U1909" t="inlineStr">
        <is>
          <t>Não</t>
        </is>
      </c>
    </row>
    <row r="1910">
      <c r="A1910" t="inlineStr">
        <is>
          <t>Frete de venda</t>
        </is>
      </c>
      <c r="B1910" t="inlineStr">
        <is>
          <t>2.01.02 Frete sobre Vendas</t>
        </is>
      </c>
      <c r="C1910" t="inlineStr">
        <is>
          <t>Antes de 2026</t>
        </is>
      </c>
      <c r="D1910" t="inlineStr">
        <is>
          <t>Antes de 2026</t>
        </is>
      </c>
      <c r="E1910" s="28" t="n">
        <v>45889</v>
      </c>
      <c r="F1910" t="inlineStr">
        <is>
          <t>CT-e</t>
        </is>
      </c>
      <c r="G1910" t="inlineStr">
        <is>
          <t>000004958</t>
        </is>
      </c>
      <c r="H1910" t="inlineStr">
        <is>
          <t>R&amp;R TRANSPORTE E LOGISTICA</t>
        </is>
      </c>
      <c r="J1910" s="29" t="n">
        <v>59.81</v>
      </c>
      <c r="K1910" s="29">
        <f>(1-ISNUMBER(SEARCH("556",M1910)))*(O1910*SUMIFS(Premissas!$C$5:$C$44,Premissas!$A$5:$A$44,$A1910,Premissas!$B$5:$B$44,$B1910)+P1910*SUMIFS(Premissas!$D$5:$D$44,Premissas!$A$5:$A$44,$A1910,Premissas!$B$5:$B$44,$B1910))+R1910*SUMIFS(Premissas!$E$5:$E$44,Premissas!$A$5:$A$44,$A1910,Premissas!$B$5:$B$44,$B1910)+S1910*SUMIFS(Premissas!$F$5:$F$44,Premissas!$A$5:$A$44,$A1910,Premissas!$B$5:$B$44,$B1910)</f>
        <v/>
      </c>
      <c r="L1910" s="29">
        <f>J1910-K1910</f>
        <v/>
      </c>
      <c r="M1910" t="inlineStr">
        <is>
          <t>1.350</t>
        </is>
      </c>
      <c r="N1910" t="inlineStr">
        <is>
          <t>Modalidade: 0 - Por conta do remetente | Parte: DURA MAIS TRANSPORTES LTDA (59.256.389/0002-64)</t>
        </is>
      </c>
      <c r="O1910" s="29" t="n">
        <v>0</v>
      </c>
      <c r="P1910" s="29" t="n">
        <v>0</v>
      </c>
      <c r="Q1910" s="29" t="n">
        <v>0</v>
      </c>
      <c r="R1910" s="29" t="n">
        <v>0</v>
      </c>
      <c r="S1910" s="29" t="n">
        <v>0</v>
      </c>
      <c r="T1910" t="inlineStr">
        <is>
          <t>25250826975620000130570010000049581000000004</t>
        </is>
      </c>
      <c r="U1910" t="inlineStr">
        <is>
          <t>Não</t>
        </is>
      </c>
    </row>
    <row r="1911">
      <c r="A1911" t="inlineStr">
        <is>
          <t>Frete de venda</t>
        </is>
      </c>
      <c r="B1911" t="inlineStr">
        <is>
          <t>2.01.02 Frete sobre Vendas</t>
        </is>
      </c>
      <c r="C1911" t="inlineStr">
        <is>
          <t>Antes de 2026</t>
        </is>
      </c>
      <c r="D1911" t="inlineStr">
        <is>
          <t>Antes de 2026</t>
        </is>
      </c>
      <c r="E1911" s="28" t="n">
        <v>45889</v>
      </c>
      <c r="F1911" t="inlineStr">
        <is>
          <t>CT-e</t>
        </is>
      </c>
      <c r="G1911" t="inlineStr">
        <is>
          <t>000004959</t>
        </is>
      </c>
      <c r="H1911" t="inlineStr">
        <is>
          <t>R&amp;R TRANSPORTE E LOGISTICA</t>
        </is>
      </c>
      <c r="J1911" s="29" t="n">
        <v>56.46</v>
      </c>
      <c r="K1911" s="29">
        <f>(1-ISNUMBER(SEARCH("556",M1911)))*(O1911*SUMIFS(Premissas!$C$5:$C$44,Premissas!$A$5:$A$44,$A1911,Premissas!$B$5:$B$44,$B1911)+P1911*SUMIFS(Premissas!$D$5:$D$44,Premissas!$A$5:$A$44,$A1911,Premissas!$B$5:$B$44,$B1911))+R1911*SUMIFS(Premissas!$E$5:$E$44,Premissas!$A$5:$A$44,$A1911,Premissas!$B$5:$B$44,$B1911)+S1911*SUMIFS(Premissas!$F$5:$F$44,Premissas!$A$5:$A$44,$A1911,Premissas!$B$5:$B$44,$B1911)</f>
        <v/>
      </c>
      <c r="L1911" s="29">
        <f>J1911-K1911</f>
        <v/>
      </c>
      <c r="M1911" t="inlineStr">
        <is>
          <t>1.350</t>
        </is>
      </c>
      <c r="N1911" t="inlineStr">
        <is>
          <t>Modalidade: 0 - Por conta do remetente | Parte: DIPAPEL LTDA (54.054.764/0001-99)</t>
        </is>
      </c>
      <c r="O1911" s="29" t="n">
        <v>0</v>
      </c>
      <c r="P1911" s="29" t="n">
        <v>0</v>
      </c>
      <c r="Q1911" s="29" t="n">
        <v>0</v>
      </c>
      <c r="R1911" s="29" t="n">
        <v>0</v>
      </c>
      <c r="S1911" s="29" t="n">
        <v>0</v>
      </c>
      <c r="T1911" t="inlineStr">
        <is>
          <t>25250826975620000130570010000049591000000001</t>
        </is>
      </c>
      <c r="U1911" t="inlineStr">
        <is>
          <t>Não</t>
        </is>
      </c>
    </row>
    <row r="1912">
      <c r="A1912" t="inlineStr">
        <is>
          <t>Frete de venda</t>
        </is>
      </c>
      <c r="B1912" t="inlineStr">
        <is>
          <t>2.01.02 Frete sobre Vendas</t>
        </is>
      </c>
      <c r="C1912" t="inlineStr">
        <is>
          <t>Antes de 2026</t>
        </is>
      </c>
      <c r="D1912" t="inlineStr">
        <is>
          <t>Antes de 2026</t>
        </is>
      </c>
      <c r="E1912" s="28" t="n">
        <v>45889</v>
      </c>
      <c r="F1912" t="inlineStr">
        <is>
          <t>CT-e</t>
        </is>
      </c>
      <c r="G1912" t="inlineStr">
        <is>
          <t>000004960</t>
        </is>
      </c>
      <c r="H1912" t="inlineStr">
        <is>
          <t>R&amp;R TRANSPORTE E LOGISTICA</t>
        </is>
      </c>
      <c r="J1912" s="29" t="n">
        <v>54.31</v>
      </c>
      <c r="K1912" s="29">
        <f>(1-ISNUMBER(SEARCH("556",M1912)))*(O1912*SUMIFS(Premissas!$C$5:$C$44,Premissas!$A$5:$A$44,$A1912,Premissas!$B$5:$B$44,$B1912)+P1912*SUMIFS(Premissas!$D$5:$D$44,Premissas!$A$5:$A$44,$A1912,Premissas!$B$5:$B$44,$B1912))+R1912*SUMIFS(Premissas!$E$5:$E$44,Premissas!$A$5:$A$44,$A1912,Premissas!$B$5:$B$44,$B1912)+S1912*SUMIFS(Premissas!$F$5:$F$44,Premissas!$A$5:$A$44,$A1912,Premissas!$B$5:$B$44,$B1912)</f>
        <v/>
      </c>
      <c r="L1912" s="29">
        <f>J1912-K1912</f>
        <v/>
      </c>
      <c r="M1912" t="inlineStr">
        <is>
          <t>1.350</t>
        </is>
      </c>
      <c r="N1912" t="inlineStr">
        <is>
          <t>Modalidade: 0 - Por conta do remetente | Parte: D. R. B. DE J. MALAMAO LTDA (31.155.347/0001-37)</t>
        </is>
      </c>
      <c r="O1912" s="29" t="n">
        <v>0</v>
      </c>
      <c r="P1912" s="29" t="n">
        <v>0</v>
      </c>
      <c r="Q1912" s="29" t="n">
        <v>0</v>
      </c>
      <c r="R1912" s="29" t="n">
        <v>0</v>
      </c>
      <c r="S1912" s="29" t="n">
        <v>0</v>
      </c>
      <c r="T1912" t="inlineStr">
        <is>
          <t>25250826975620000130570010000049601000000002</t>
        </is>
      </c>
      <c r="U1912" t="inlineStr">
        <is>
          <t>Não</t>
        </is>
      </c>
    </row>
    <row r="1913">
      <c r="A1913" t="inlineStr">
        <is>
          <t>Frete de venda</t>
        </is>
      </c>
      <c r="B1913" t="inlineStr">
        <is>
          <t>2.01.02 Frete sobre Vendas</t>
        </is>
      </c>
      <c r="C1913" t="inlineStr">
        <is>
          <t>Antes de 2026</t>
        </is>
      </c>
      <c r="D1913" t="inlineStr">
        <is>
          <t>Antes de 2026</t>
        </is>
      </c>
      <c r="E1913" s="28" t="n">
        <v>45890</v>
      </c>
      <c r="F1913" t="inlineStr">
        <is>
          <t>CT-e</t>
        </is>
      </c>
      <c r="G1913" t="inlineStr">
        <is>
          <t>000004970</t>
        </is>
      </c>
      <c r="H1913" t="inlineStr">
        <is>
          <t>R&amp;R TRANSPORTE E LOGISTICA</t>
        </is>
      </c>
      <c r="J1913" s="29" t="n">
        <v>400</v>
      </c>
      <c r="K1913" s="29">
        <f>(1-ISNUMBER(SEARCH("556",M1913)))*(O1913*SUMIFS(Premissas!$C$5:$C$44,Premissas!$A$5:$A$44,$A1913,Premissas!$B$5:$B$44,$B1913)+P1913*SUMIFS(Premissas!$D$5:$D$44,Premissas!$A$5:$A$44,$A1913,Premissas!$B$5:$B$44,$B1913))+R1913*SUMIFS(Premissas!$E$5:$E$44,Premissas!$A$5:$A$44,$A1913,Premissas!$B$5:$B$44,$B1913)+S1913*SUMIFS(Premissas!$F$5:$F$44,Premissas!$A$5:$A$44,$A1913,Premissas!$B$5:$B$44,$B1913)</f>
        <v/>
      </c>
      <c r="L1913" s="29">
        <f>J1913-K1913</f>
        <v/>
      </c>
      <c r="M1913" t="inlineStr">
        <is>
          <t>1.350</t>
        </is>
      </c>
      <c r="N1913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1913" s="29" t="n">
        <v>0</v>
      </c>
      <c r="P1913" s="29" t="n">
        <v>0</v>
      </c>
      <c r="Q1913" s="29" t="n">
        <v>0</v>
      </c>
      <c r="R1913" s="29" t="n">
        <v>0</v>
      </c>
      <c r="S1913" s="29" t="n">
        <v>0</v>
      </c>
      <c r="T1913" t="inlineStr">
        <is>
          <t>25250826975620000130570010000049701000000009</t>
        </is>
      </c>
      <c r="U1913" t="inlineStr">
        <is>
          <t>Não</t>
        </is>
      </c>
    </row>
    <row r="1914">
      <c r="A1914" t="inlineStr">
        <is>
          <t>Frete de venda</t>
        </is>
      </c>
      <c r="B1914" t="inlineStr">
        <is>
          <t>2.01.02 Frete sobre Vendas</t>
        </is>
      </c>
      <c r="C1914" t="inlineStr">
        <is>
          <t>Antes de 2026</t>
        </is>
      </c>
      <c r="D1914" t="inlineStr">
        <is>
          <t>Antes de 2026</t>
        </is>
      </c>
      <c r="E1914" s="28" t="n">
        <v>45890</v>
      </c>
      <c r="F1914" t="inlineStr">
        <is>
          <t>CT-e</t>
        </is>
      </c>
      <c r="G1914" t="inlineStr">
        <is>
          <t>000004971</t>
        </is>
      </c>
      <c r="H1914" t="inlineStr">
        <is>
          <t>R&amp;R TRANSPORTE E LOGISTICA</t>
        </is>
      </c>
      <c r="J1914" s="29" t="n">
        <v>1000</v>
      </c>
      <c r="K1914" s="29">
        <f>(1-ISNUMBER(SEARCH("556",M1914)))*(O1914*SUMIFS(Premissas!$C$5:$C$44,Premissas!$A$5:$A$44,$A1914,Premissas!$B$5:$B$44,$B1914)+P1914*SUMIFS(Premissas!$D$5:$D$44,Premissas!$A$5:$A$44,$A1914,Premissas!$B$5:$B$44,$B1914))+R1914*SUMIFS(Premissas!$E$5:$E$44,Premissas!$A$5:$A$44,$A1914,Premissas!$B$5:$B$44,$B1914)+S1914*SUMIFS(Premissas!$F$5:$F$44,Premissas!$A$5:$A$44,$A1914,Premissas!$B$5:$B$44,$B1914)</f>
        <v/>
      </c>
      <c r="L1914" s="29">
        <f>J1914-K1914</f>
        <v/>
      </c>
      <c r="M1914" t="inlineStr">
        <is>
          <t>1.350</t>
        </is>
      </c>
      <c r="N1914" t="inlineStr">
        <is>
          <t>Modalidade: 0 - Por conta do remetente | Parte: M X COMERCIO E SERVICOS LTDA (11.028.612/0001-09)</t>
        </is>
      </c>
      <c r="O1914" s="29" t="n">
        <v>0</v>
      </c>
      <c r="P1914" s="29" t="n">
        <v>0</v>
      </c>
      <c r="Q1914" s="29" t="n">
        <v>0</v>
      </c>
      <c r="R1914" s="29" t="n">
        <v>0</v>
      </c>
      <c r="S1914" s="29" t="n">
        <v>0</v>
      </c>
      <c r="T1914" t="inlineStr">
        <is>
          <t>25250826975620000130570010000049711000000006</t>
        </is>
      </c>
      <c r="U1914" t="inlineStr">
        <is>
          <t>Não</t>
        </is>
      </c>
    </row>
    <row r="1915">
      <c r="A1915" t="inlineStr">
        <is>
          <t>Frete de venda</t>
        </is>
      </c>
      <c r="B1915" t="inlineStr">
        <is>
          <t>2.01.02 Frete sobre Vendas</t>
        </is>
      </c>
      <c r="C1915" t="inlineStr">
        <is>
          <t>Antes de 2026</t>
        </is>
      </c>
      <c r="D1915" t="inlineStr">
        <is>
          <t>Antes de 2026</t>
        </is>
      </c>
      <c r="E1915" s="28" t="n">
        <v>45890</v>
      </c>
      <c r="F1915" t="inlineStr">
        <is>
          <t>CT-e</t>
        </is>
      </c>
      <c r="G1915" t="inlineStr">
        <is>
          <t>000004972</t>
        </is>
      </c>
      <c r="H1915" t="inlineStr">
        <is>
          <t>R&amp;R TRANSPORTE E LOGISTICA</t>
        </is>
      </c>
      <c r="J1915" s="29" t="n">
        <v>380</v>
      </c>
      <c r="K1915" s="29">
        <f>(1-ISNUMBER(SEARCH("556",M1915)))*(O1915*SUMIFS(Premissas!$C$5:$C$44,Premissas!$A$5:$A$44,$A1915,Premissas!$B$5:$B$44,$B1915)+P1915*SUMIFS(Premissas!$D$5:$D$44,Premissas!$A$5:$A$44,$A1915,Premissas!$B$5:$B$44,$B1915))+R1915*SUMIFS(Premissas!$E$5:$E$44,Premissas!$A$5:$A$44,$A1915,Premissas!$B$5:$B$44,$B1915)+S1915*SUMIFS(Premissas!$F$5:$F$44,Premissas!$A$5:$A$44,$A1915,Premissas!$B$5:$B$44,$B1915)</f>
        <v/>
      </c>
      <c r="L1915" s="29">
        <f>J1915-K1915</f>
        <v/>
      </c>
      <c r="M1915" t="inlineStr">
        <is>
          <t>1.350</t>
        </is>
      </c>
      <c r="N1915" t="inlineStr">
        <is>
          <t>Modalidade: 0 - Por conta do remetente | Parte: M X COMERCIO E SERVICOS LTDA (11.028.612/0001-09)</t>
        </is>
      </c>
      <c r="O1915" s="29" t="n">
        <v>0</v>
      </c>
      <c r="P1915" s="29" t="n">
        <v>0</v>
      </c>
      <c r="Q1915" s="29" t="n">
        <v>0</v>
      </c>
      <c r="R1915" s="29" t="n">
        <v>0</v>
      </c>
      <c r="S1915" s="29" t="n">
        <v>0</v>
      </c>
      <c r="T1915" t="inlineStr">
        <is>
          <t>25250826975620000130570010000049721000000003</t>
        </is>
      </c>
      <c r="U1915" t="inlineStr">
        <is>
          <t>Não</t>
        </is>
      </c>
    </row>
    <row r="1916">
      <c r="A1916" t="inlineStr">
        <is>
          <t>Frete de venda</t>
        </is>
      </c>
      <c r="B1916" t="inlineStr">
        <is>
          <t>2.01.02 Frete sobre Vendas</t>
        </is>
      </c>
      <c r="C1916" t="inlineStr">
        <is>
          <t>Antes de 2026</t>
        </is>
      </c>
      <c r="D1916" t="inlineStr">
        <is>
          <t>Antes de 2026</t>
        </is>
      </c>
      <c r="E1916" s="28" t="n">
        <v>45891</v>
      </c>
      <c r="F1916" t="inlineStr">
        <is>
          <t>CT-e</t>
        </is>
      </c>
      <c r="G1916" t="inlineStr">
        <is>
          <t>000004974</t>
        </is>
      </c>
      <c r="H1916" t="inlineStr">
        <is>
          <t>R&amp;R TRANSPORTE E LOGISTICA</t>
        </is>
      </c>
      <c r="J1916" s="29" t="n">
        <v>24.84</v>
      </c>
      <c r="K1916" s="29">
        <f>(1-ISNUMBER(SEARCH("556",M1916)))*(O1916*SUMIFS(Premissas!$C$5:$C$44,Premissas!$A$5:$A$44,$A1916,Premissas!$B$5:$B$44,$B1916)+P1916*SUMIFS(Premissas!$D$5:$D$44,Premissas!$A$5:$A$44,$A1916,Premissas!$B$5:$B$44,$B1916))+R1916*SUMIFS(Premissas!$E$5:$E$44,Premissas!$A$5:$A$44,$A1916,Premissas!$B$5:$B$44,$B1916)+S1916*SUMIFS(Premissas!$F$5:$F$44,Premissas!$A$5:$A$44,$A1916,Premissas!$B$5:$B$44,$B1916)</f>
        <v/>
      </c>
      <c r="L1916" s="29">
        <f>J1916-K1916</f>
        <v/>
      </c>
      <c r="M1916" t="inlineStr">
        <is>
          <t>1.350</t>
        </is>
      </c>
      <c r="N1916" t="inlineStr">
        <is>
          <t>Modalidade: 0 - Por conta do remetente | Parte: DAMASCENO COMERCIO E TRANSPORTES DE ALIMENTOS LTDA (60.117.395/0001-39)</t>
        </is>
      </c>
      <c r="O1916" s="29" t="n">
        <v>0</v>
      </c>
      <c r="P1916" s="29" t="n">
        <v>0</v>
      </c>
      <c r="Q1916" s="29" t="n">
        <v>0</v>
      </c>
      <c r="R1916" s="29" t="n">
        <v>0</v>
      </c>
      <c r="S1916" s="29" t="n">
        <v>0</v>
      </c>
      <c r="T1916" t="inlineStr">
        <is>
          <t>25250826975620000130570010000049741000000008</t>
        </is>
      </c>
      <c r="U1916" t="inlineStr">
        <is>
          <t>Não</t>
        </is>
      </c>
    </row>
    <row r="1917">
      <c r="A1917" t="inlineStr">
        <is>
          <t>Frete de venda</t>
        </is>
      </c>
      <c r="B1917" t="inlineStr">
        <is>
          <t>2.01.02 Frete sobre Vendas</t>
        </is>
      </c>
      <c r="C1917" t="inlineStr">
        <is>
          <t>Antes de 2026</t>
        </is>
      </c>
      <c r="D1917" t="inlineStr">
        <is>
          <t>Antes de 2026</t>
        </is>
      </c>
      <c r="E1917" s="28" t="n">
        <v>45891</v>
      </c>
      <c r="F1917" t="inlineStr">
        <is>
          <t>CT-e</t>
        </is>
      </c>
      <c r="G1917" t="inlineStr">
        <is>
          <t>000004975</t>
        </is>
      </c>
      <c r="H1917" t="inlineStr">
        <is>
          <t>R&amp;R TRANSPORTE E LOGISTICA</t>
        </is>
      </c>
      <c r="J1917" s="29" t="n">
        <v>34.63</v>
      </c>
      <c r="K1917" s="29">
        <f>(1-ISNUMBER(SEARCH("556",M1917)))*(O1917*SUMIFS(Premissas!$C$5:$C$44,Premissas!$A$5:$A$44,$A1917,Premissas!$B$5:$B$44,$B1917)+P1917*SUMIFS(Premissas!$D$5:$D$44,Premissas!$A$5:$A$44,$A1917,Premissas!$B$5:$B$44,$B1917))+R1917*SUMIFS(Premissas!$E$5:$E$44,Premissas!$A$5:$A$44,$A1917,Premissas!$B$5:$B$44,$B1917)+S1917*SUMIFS(Premissas!$F$5:$F$44,Premissas!$A$5:$A$44,$A1917,Premissas!$B$5:$B$44,$B1917)</f>
        <v/>
      </c>
      <c r="L1917" s="29">
        <f>J1917-K1917</f>
        <v/>
      </c>
      <c r="M1917" t="inlineStr">
        <is>
          <t>1.350</t>
        </is>
      </c>
      <c r="N1917" t="inlineStr">
        <is>
          <t>Modalidade: 0 - Por conta do remetente | Parte: GABRIEL ROCHA DA CRUZ (53.721.083/0001-74)</t>
        </is>
      </c>
      <c r="O1917" s="29" t="n">
        <v>0</v>
      </c>
      <c r="P1917" s="29" t="n">
        <v>0</v>
      </c>
      <c r="Q1917" s="29" t="n">
        <v>0</v>
      </c>
      <c r="R1917" s="29" t="n">
        <v>0</v>
      </c>
      <c r="S1917" s="29" t="n">
        <v>0</v>
      </c>
      <c r="T1917" t="inlineStr">
        <is>
          <t>25250826975620000130570010000049751000000005</t>
        </is>
      </c>
      <c r="U1917" t="inlineStr">
        <is>
          <t>Não</t>
        </is>
      </c>
    </row>
    <row r="1918">
      <c r="A1918" t="inlineStr">
        <is>
          <t>Frete de venda</t>
        </is>
      </c>
      <c r="B1918" t="inlineStr">
        <is>
          <t>2.01.02 Frete sobre Vendas</t>
        </is>
      </c>
      <c r="C1918" t="inlineStr">
        <is>
          <t>Antes de 2026</t>
        </is>
      </c>
      <c r="D1918" t="inlineStr">
        <is>
          <t>Antes de 2026</t>
        </is>
      </c>
      <c r="E1918" s="28" t="n">
        <v>45891</v>
      </c>
      <c r="F1918" t="inlineStr">
        <is>
          <t>CT-e</t>
        </is>
      </c>
      <c r="G1918" t="inlineStr">
        <is>
          <t>000004976</t>
        </is>
      </c>
      <c r="H1918" t="inlineStr">
        <is>
          <t>R&amp;R TRANSPORTE E LOGISTICA</t>
        </is>
      </c>
      <c r="J1918" s="29" t="n">
        <v>30.4</v>
      </c>
      <c r="K1918" s="29">
        <f>(1-ISNUMBER(SEARCH("556",M1918)))*(O1918*SUMIFS(Premissas!$C$5:$C$44,Premissas!$A$5:$A$44,$A1918,Premissas!$B$5:$B$44,$B1918)+P1918*SUMIFS(Premissas!$D$5:$D$44,Premissas!$A$5:$A$44,$A1918,Premissas!$B$5:$B$44,$B1918))+R1918*SUMIFS(Premissas!$E$5:$E$44,Premissas!$A$5:$A$44,$A1918,Premissas!$B$5:$B$44,$B1918)+S1918*SUMIFS(Premissas!$F$5:$F$44,Premissas!$A$5:$A$44,$A1918,Premissas!$B$5:$B$44,$B1918)</f>
        <v/>
      </c>
      <c r="L1918" s="29">
        <f>J1918-K1918</f>
        <v/>
      </c>
      <c r="M1918" t="inlineStr">
        <is>
          <t>1.350</t>
        </is>
      </c>
      <c r="N1918" t="inlineStr">
        <is>
          <t>Modalidade: 0 - Por conta do remetente | Parte: CRISTAL NEWS ALIMENTOS E EMBALAGENS LTDA (04.067.045/0001-34)</t>
        </is>
      </c>
      <c r="O1918" s="29" t="n">
        <v>0</v>
      </c>
      <c r="P1918" s="29" t="n">
        <v>0</v>
      </c>
      <c r="Q1918" s="29" t="n">
        <v>0</v>
      </c>
      <c r="R1918" s="29" t="n">
        <v>0</v>
      </c>
      <c r="S1918" s="29" t="n">
        <v>0</v>
      </c>
      <c r="T1918" t="inlineStr">
        <is>
          <t>25250826975620000130570010000049761000000002</t>
        </is>
      </c>
      <c r="U1918" t="inlineStr">
        <is>
          <t>Não</t>
        </is>
      </c>
    </row>
    <row r="1919">
      <c r="A1919" t="inlineStr">
        <is>
          <t>Frete de venda</t>
        </is>
      </c>
      <c r="B1919" t="inlineStr">
        <is>
          <t>2.01.02 Frete sobre Vendas</t>
        </is>
      </c>
      <c r="C1919" t="inlineStr">
        <is>
          <t>Antes de 2026</t>
        </is>
      </c>
      <c r="D1919" t="inlineStr">
        <is>
          <t>Antes de 2026</t>
        </is>
      </c>
      <c r="E1919" s="28" t="n">
        <v>45891</v>
      </c>
      <c r="F1919" t="inlineStr">
        <is>
          <t>CT-e</t>
        </is>
      </c>
      <c r="G1919" t="inlineStr">
        <is>
          <t>000004977</t>
        </is>
      </c>
      <c r="H1919" t="inlineStr">
        <is>
          <t>R&amp;R TRANSPORTE E LOGISTICA</t>
        </is>
      </c>
      <c r="J1919" s="29" t="n">
        <v>28.12</v>
      </c>
      <c r="K1919" s="29">
        <f>(1-ISNUMBER(SEARCH("556",M1919)))*(O1919*SUMIFS(Premissas!$C$5:$C$44,Premissas!$A$5:$A$44,$A1919,Premissas!$B$5:$B$44,$B1919)+P1919*SUMIFS(Premissas!$D$5:$D$44,Premissas!$A$5:$A$44,$A1919,Premissas!$B$5:$B$44,$B1919))+R1919*SUMIFS(Premissas!$E$5:$E$44,Premissas!$A$5:$A$44,$A1919,Premissas!$B$5:$B$44,$B1919)+S1919*SUMIFS(Premissas!$F$5:$F$44,Premissas!$A$5:$A$44,$A1919,Premissas!$B$5:$B$44,$B1919)</f>
        <v/>
      </c>
      <c r="L1919" s="29">
        <f>J1919-K1919</f>
        <v/>
      </c>
      <c r="M1919" t="inlineStr">
        <is>
          <t>1.350</t>
        </is>
      </c>
      <c r="N1919" t="inlineStr">
        <is>
          <t>Modalidade: 0 - Por conta do remetente | Parte: BA EMBALAGENS COM ATACADISTA DE EMBALAGENS E BOMBONIERI (09.048.003/0001-70)</t>
        </is>
      </c>
      <c r="O1919" s="29" t="n">
        <v>0</v>
      </c>
      <c r="P1919" s="29" t="n">
        <v>0</v>
      </c>
      <c r="Q1919" s="29" t="n">
        <v>0</v>
      </c>
      <c r="R1919" s="29" t="n">
        <v>0</v>
      </c>
      <c r="S1919" s="29" t="n">
        <v>0</v>
      </c>
      <c r="T1919" t="inlineStr">
        <is>
          <t>25250826975620000130570010000049771000000000</t>
        </is>
      </c>
      <c r="U1919" t="inlineStr">
        <is>
          <t>Não</t>
        </is>
      </c>
    </row>
    <row r="1920">
      <c r="A1920" t="inlineStr">
        <is>
          <t>Frete de venda</t>
        </is>
      </c>
      <c r="B1920" t="inlineStr">
        <is>
          <t>2.01.02 Frete sobre Vendas</t>
        </is>
      </c>
      <c r="C1920" t="inlineStr">
        <is>
          <t>Antes de 2026</t>
        </is>
      </c>
      <c r="D1920" t="inlineStr">
        <is>
          <t>Antes de 2026</t>
        </is>
      </c>
      <c r="E1920" s="28" t="n">
        <v>45891</v>
      </c>
      <c r="F1920" t="inlineStr">
        <is>
          <t>CT-e</t>
        </is>
      </c>
      <c r="G1920" t="inlineStr">
        <is>
          <t>000004978</t>
        </is>
      </c>
      <c r="H1920" t="inlineStr">
        <is>
          <t>R&amp;R TRANSPORTE E LOGISTICA</t>
        </is>
      </c>
      <c r="J1920" s="29" t="n">
        <v>23.31</v>
      </c>
      <c r="K1920" s="29">
        <f>(1-ISNUMBER(SEARCH("556",M1920)))*(O1920*SUMIFS(Premissas!$C$5:$C$44,Premissas!$A$5:$A$44,$A1920,Premissas!$B$5:$B$44,$B1920)+P1920*SUMIFS(Premissas!$D$5:$D$44,Premissas!$A$5:$A$44,$A1920,Premissas!$B$5:$B$44,$B1920))+R1920*SUMIFS(Premissas!$E$5:$E$44,Premissas!$A$5:$A$44,$A1920,Premissas!$B$5:$B$44,$B1920)+S1920*SUMIFS(Premissas!$F$5:$F$44,Premissas!$A$5:$A$44,$A1920,Premissas!$B$5:$B$44,$B1920)</f>
        <v/>
      </c>
      <c r="L1920" s="29">
        <f>J1920-K1920</f>
        <v/>
      </c>
      <c r="M1920" t="inlineStr">
        <is>
          <t>1.350</t>
        </is>
      </c>
      <c r="N1920" t="inlineStr">
        <is>
          <t>Modalidade: 0 - Por conta do remetente | Parte: JOANICE COMERCIAL DE EMBALAGENS E CONFEITARIA LTDA (50.350.203/0001-86)</t>
        </is>
      </c>
      <c r="O1920" s="29" t="n">
        <v>0</v>
      </c>
      <c r="P1920" s="29" t="n">
        <v>0</v>
      </c>
      <c r="Q1920" s="29" t="n">
        <v>0</v>
      </c>
      <c r="R1920" s="29" t="n">
        <v>0</v>
      </c>
      <c r="S1920" s="29" t="n">
        <v>0</v>
      </c>
      <c r="T1920" t="inlineStr">
        <is>
          <t>25250826975620000130570010000049781000000007</t>
        </is>
      </c>
      <c r="U1920" t="inlineStr">
        <is>
          <t>Não</t>
        </is>
      </c>
    </row>
    <row r="1921">
      <c r="A1921" t="inlineStr">
        <is>
          <t>Frete de venda</t>
        </is>
      </c>
      <c r="B1921" t="inlineStr">
        <is>
          <t>2.01.02 Frete sobre Vendas</t>
        </is>
      </c>
      <c r="C1921" t="inlineStr">
        <is>
          <t>Antes de 2026</t>
        </is>
      </c>
      <c r="D1921" t="inlineStr">
        <is>
          <t>Antes de 2026</t>
        </is>
      </c>
      <c r="E1921" s="28" t="n">
        <v>45891</v>
      </c>
      <c r="F1921" t="inlineStr">
        <is>
          <t>CT-e</t>
        </is>
      </c>
      <c r="G1921" t="inlineStr">
        <is>
          <t>000004979</t>
        </is>
      </c>
      <c r="H1921" t="inlineStr">
        <is>
          <t>R&amp;R TRANSPORTE E LOGISTICA</t>
        </is>
      </c>
      <c r="J1921" s="29" t="n">
        <v>24.26</v>
      </c>
      <c r="K1921" s="29">
        <f>(1-ISNUMBER(SEARCH("556",M1921)))*(O1921*SUMIFS(Premissas!$C$5:$C$44,Premissas!$A$5:$A$44,$A1921,Premissas!$B$5:$B$44,$B1921)+P1921*SUMIFS(Premissas!$D$5:$D$44,Premissas!$A$5:$A$44,$A1921,Premissas!$B$5:$B$44,$B1921))+R1921*SUMIFS(Premissas!$E$5:$E$44,Premissas!$A$5:$A$44,$A1921,Premissas!$B$5:$B$44,$B1921)+S1921*SUMIFS(Premissas!$F$5:$F$44,Premissas!$A$5:$A$44,$A1921,Premissas!$B$5:$B$44,$B1921)</f>
        <v/>
      </c>
      <c r="L1921" s="29">
        <f>J1921-K1921</f>
        <v/>
      </c>
      <c r="M1921" t="inlineStr">
        <is>
          <t>1.350</t>
        </is>
      </c>
      <c r="N1921" t="inlineStr">
        <is>
          <t>Modalidade: 0 - Por conta do remetente | Parte: W BRANDAO FREITAS LTDA (07.044.972/0001-27)</t>
        </is>
      </c>
      <c r="O1921" s="29" t="n">
        <v>0</v>
      </c>
      <c r="P1921" s="29" t="n">
        <v>0</v>
      </c>
      <c r="Q1921" s="29" t="n">
        <v>0</v>
      </c>
      <c r="R1921" s="29" t="n">
        <v>0</v>
      </c>
      <c r="S1921" s="29" t="n">
        <v>0</v>
      </c>
      <c r="T1921" t="inlineStr">
        <is>
          <t>25250826975620000130570010000049791000000004</t>
        </is>
      </c>
      <c r="U1921" t="inlineStr">
        <is>
          <t>Não</t>
        </is>
      </c>
    </row>
    <row r="1922">
      <c r="A1922" t="inlineStr">
        <is>
          <t>Frete de venda</t>
        </is>
      </c>
      <c r="B1922" t="inlineStr">
        <is>
          <t>2.01.02 Frete sobre Vendas</t>
        </is>
      </c>
      <c r="C1922" t="inlineStr">
        <is>
          <t>Antes de 2026</t>
        </is>
      </c>
      <c r="D1922" t="inlineStr">
        <is>
          <t>Antes de 2026</t>
        </is>
      </c>
      <c r="E1922" s="28" t="n">
        <v>45891</v>
      </c>
      <c r="F1922" t="inlineStr">
        <is>
          <t>CT-e</t>
        </is>
      </c>
      <c r="G1922" t="inlineStr">
        <is>
          <t>000004980</t>
        </is>
      </c>
      <c r="H1922" t="inlineStr">
        <is>
          <t>R&amp;R TRANSPORTE E LOGISTICA</t>
        </is>
      </c>
      <c r="J1922" s="29" t="n">
        <v>26.8</v>
      </c>
      <c r="K1922" s="29">
        <f>(1-ISNUMBER(SEARCH("556",M1922)))*(O1922*SUMIFS(Premissas!$C$5:$C$44,Premissas!$A$5:$A$44,$A1922,Premissas!$B$5:$B$44,$B1922)+P1922*SUMIFS(Premissas!$D$5:$D$44,Premissas!$A$5:$A$44,$A1922,Premissas!$B$5:$B$44,$B1922))+R1922*SUMIFS(Premissas!$E$5:$E$44,Premissas!$A$5:$A$44,$A1922,Premissas!$B$5:$B$44,$B1922)+S1922*SUMIFS(Premissas!$F$5:$F$44,Premissas!$A$5:$A$44,$A1922,Premissas!$B$5:$B$44,$B1922)</f>
        <v/>
      </c>
      <c r="L1922" s="29">
        <f>J1922-K1922</f>
        <v/>
      </c>
      <c r="M1922" t="inlineStr">
        <is>
          <t>1.350</t>
        </is>
      </c>
      <c r="N1922" t="inlineStr">
        <is>
          <t>Modalidade: 0 - Por conta do remetente | Parte: LA SERAFIM COMERCIO DE EMBALAGENS LTDA (07.797.641/0001-68)</t>
        </is>
      </c>
      <c r="O1922" s="29" t="n">
        <v>0</v>
      </c>
      <c r="P1922" s="29" t="n">
        <v>0</v>
      </c>
      <c r="Q1922" s="29" t="n">
        <v>0</v>
      </c>
      <c r="R1922" s="29" t="n">
        <v>0</v>
      </c>
      <c r="S1922" s="29" t="n">
        <v>0</v>
      </c>
      <c r="T1922" t="inlineStr">
        <is>
          <t>25250826975620000130570010000049801000000005</t>
        </is>
      </c>
      <c r="U1922" t="inlineStr">
        <is>
          <t>Não</t>
        </is>
      </c>
    </row>
    <row r="1923">
      <c r="A1923" t="inlineStr">
        <is>
          <t>Frete de venda</t>
        </is>
      </c>
      <c r="B1923" t="inlineStr">
        <is>
          <t>2.01.02 Frete sobre Vendas</t>
        </is>
      </c>
      <c r="C1923" t="inlineStr">
        <is>
          <t>Antes de 2026</t>
        </is>
      </c>
      <c r="D1923" t="inlineStr">
        <is>
          <t>Antes de 2026</t>
        </is>
      </c>
      <c r="E1923" s="28" t="n">
        <v>45891</v>
      </c>
      <c r="F1923" t="inlineStr">
        <is>
          <t>CT-e</t>
        </is>
      </c>
      <c r="G1923" t="inlineStr">
        <is>
          <t>000004981</t>
        </is>
      </c>
      <c r="H1923" t="inlineStr">
        <is>
          <t>R&amp;R TRANSPORTE E LOGISTICA</t>
        </is>
      </c>
      <c r="J1923" s="29" t="n">
        <v>100.85</v>
      </c>
      <c r="K1923" s="29">
        <f>(1-ISNUMBER(SEARCH("556",M1923)))*(O1923*SUMIFS(Premissas!$C$5:$C$44,Premissas!$A$5:$A$44,$A1923,Premissas!$B$5:$B$44,$B1923)+P1923*SUMIFS(Premissas!$D$5:$D$44,Premissas!$A$5:$A$44,$A1923,Premissas!$B$5:$B$44,$B1923))+R1923*SUMIFS(Premissas!$E$5:$E$44,Premissas!$A$5:$A$44,$A1923,Premissas!$B$5:$B$44,$B1923)+S1923*SUMIFS(Premissas!$F$5:$F$44,Premissas!$A$5:$A$44,$A1923,Premissas!$B$5:$B$44,$B1923)</f>
        <v/>
      </c>
      <c r="L1923" s="29">
        <f>J1923-K1923</f>
        <v/>
      </c>
      <c r="M1923" t="inlineStr">
        <is>
          <t>1.350</t>
        </is>
      </c>
      <c r="N1923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923" s="29" t="n">
        <v>0</v>
      </c>
      <c r="P1923" s="29" t="n">
        <v>0</v>
      </c>
      <c r="Q1923" s="29" t="n">
        <v>0</v>
      </c>
      <c r="R1923" s="29" t="n">
        <v>0</v>
      </c>
      <c r="S1923" s="29" t="n">
        <v>0</v>
      </c>
      <c r="T1923" t="inlineStr">
        <is>
          <t>25250826975620000130570010000049811000000002</t>
        </is>
      </c>
      <c r="U1923" t="inlineStr">
        <is>
          <t>Não</t>
        </is>
      </c>
    </row>
    <row r="1924">
      <c r="A1924" t="inlineStr">
        <is>
          <t>Frete de venda</t>
        </is>
      </c>
      <c r="B1924" t="inlineStr">
        <is>
          <t>2.01.02 Frete sobre Vendas</t>
        </is>
      </c>
      <c r="C1924" t="inlineStr">
        <is>
          <t>Antes de 2026</t>
        </is>
      </c>
      <c r="D1924" t="inlineStr">
        <is>
          <t>Antes de 2026</t>
        </is>
      </c>
      <c r="E1924" s="28" t="n">
        <v>45891</v>
      </c>
      <c r="F1924" t="inlineStr">
        <is>
          <t>CT-e</t>
        </is>
      </c>
      <c r="G1924" t="inlineStr">
        <is>
          <t>000004982</t>
        </is>
      </c>
      <c r="H1924" t="inlineStr">
        <is>
          <t>R&amp;R TRANSPORTE E LOGISTICA</t>
        </is>
      </c>
      <c r="J1924" s="29" t="n">
        <v>205.91</v>
      </c>
      <c r="K1924" s="29">
        <f>(1-ISNUMBER(SEARCH("556",M1924)))*(O1924*SUMIFS(Premissas!$C$5:$C$44,Premissas!$A$5:$A$44,$A1924,Premissas!$B$5:$B$44,$B1924)+P1924*SUMIFS(Premissas!$D$5:$D$44,Premissas!$A$5:$A$44,$A1924,Premissas!$B$5:$B$44,$B1924))+R1924*SUMIFS(Premissas!$E$5:$E$44,Premissas!$A$5:$A$44,$A1924,Premissas!$B$5:$B$44,$B1924)+S1924*SUMIFS(Premissas!$F$5:$F$44,Premissas!$A$5:$A$44,$A1924,Premissas!$B$5:$B$44,$B1924)</f>
        <v/>
      </c>
      <c r="L1924" s="29">
        <f>J1924-K1924</f>
        <v/>
      </c>
      <c r="M1924" t="inlineStr">
        <is>
          <t>1.350</t>
        </is>
      </c>
      <c r="N1924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1924" s="29" t="n">
        <v>0</v>
      </c>
      <c r="P1924" s="29" t="n">
        <v>0</v>
      </c>
      <c r="Q1924" s="29" t="n">
        <v>0</v>
      </c>
      <c r="R1924" s="29" t="n">
        <v>0</v>
      </c>
      <c r="S1924" s="29" t="n">
        <v>0</v>
      </c>
      <c r="T1924" t="inlineStr">
        <is>
          <t>25250826975620000130570010000049821000000000</t>
        </is>
      </c>
      <c r="U1924" t="inlineStr">
        <is>
          <t>Não</t>
        </is>
      </c>
    </row>
    <row r="1925">
      <c r="A1925" t="inlineStr">
        <is>
          <t>Frete de venda</t>
        </is>
      </c>
      <c r="B1925" t="inlineStr">
        <is>
          <t>2.01.02 Frete sobre Vendas</t>
        </is>
      </c>
      <c r="C1925" t="inlineStr">
        <is>
          <t>Antes de 2026</t>
        </is>
      </c>
      <c r="D1925" t="inlineStr">
        <is>
          <t>Antes de 2026</t>
        </is>
      </c>
      <c r="E1925" s="28" t="n">
        <v>45891</v>
      </c>
      <c r="F1925" t="inlineStr">
        <is>
          <t>CT-e</t>
        </is>
      </c>
      <c r="G1925" t="inlineStr">
        <is>
          <t>000004983</t>
        </is>
      </c>
      <c r="H1925" t="inlineStr">
        <is>
          <t>R&amp;R TRANSPORTE E LOGISTICA</t>
        </is>
      </c>
      <c r="J1925" s="29" t="n">
        <v>106.89</v>
      </c>
      <c r="K1925" s="29">
        <f>(1-ISNUMBER(SEARCH("556",M1925)))*(O1925*SUMIFS(Premissas!$C$5:$C$44,Premissas!$A$5:$A$44,$A1925,Premissas!$B$5:$B$44,$B1925)+P1925*SUMIFS(Premissas!$D$5:$D$44,Premissas!$A$5:$A$44,$A1925,Premissas!$B$5:$B$44,$B1925))+R1925*SUMIFS(Premissas!$E$5:$E$44,Premissas!$A$5:$A$44,$A1925,Premissas!$B$5:$B$44,$B1925)+S1925*SUMIFS(Premissas!$F$5:$F$44,Premissas!$A$5:$A$44,$A1925,Premissas!$B$5:$B$44,$B1925)</f>
        <v/>
      </c>
      <c r="L1925" s="29">
        <f>J1925-K1925</f>
        <v/>
      </c>
      <c r="M1925" t="inlineStr">
        <is>
          <t>1.350</t>
        </is>
      </c>
      <c r="N1925" t="inlineStr">
        <is>
          <t>Modalidade: 0 - Por conta do remetente | Parte: JND DISTRIBUIDORA LTDA (36.332.668/0001-83)</t>
        </is>
      </c>
      <c r="O1925" s="29" t="n">
        <v>0</v>
      </c>
      <c r="P1925" s="29" t="n">
        <v>0</v>
      </c>
      <c r="Q1925" s="29" t="n">
        <v>0</v>
      </c>
      <c r="R1925" s="29" t="n">
        <v>0</v>
      </c>
      <c r="S1925" s="29" t="n">
        <v>0</v>
      </c>
      <c r="T1925" t="inlineStr">
        <is>
          <t>25250826975620000130570010000049831000000007</t>
        </is>
      </c>
      <c r="U1925" t="inlineStr">
        <is>
          <t>Não</t>
        </is>
      </c>
    </row>
    <row r="1926">
      <c r="A1926" t="inlineStr">
        <is>
          <t>Frete de venda</t>
        </is>
      </c>
      <c r="B1926" t="inlineStr">
        <is>
          <t>2.01.02 Frete sobre Vendas</t>
        </is>
      </c>
      <c r="C1926" t="inlineStr">
        <is>
          <t>Antes de 2026</t>
        </is>
      </c>
      <c r="D1926" t="inlineStr">
        <is>
          <t>Antes de 2026</t>
        </is>
      </c>
      <c r="E1926" s="28" t="n">
        <v>45891</v>
      </c>
      <c r="F1926" t="inlineStr">
        <is>
          <t>CT-e</t>
        </is>
      </c>
      <c r="G1926" t="inlineStr">
        <is>
          <t>000004984</t>
        </is>
      </c>
      <c r="H1926" t="inlineStr">
        <is>
          <t>R&amp;R TRANSPORTE E LOGISTICA</t>
        </is>
      </c>
      <c r="J1926" s="29" t="n">
        <v>106.89</v>
      </c>
      <c r="K1926" s="29">
        <f>(1-ISNUMBER(SEARCH("556",M1926)))*(O1926*SUMIFS(Premissas!$C$5:$C$44,Premissas!$A$5:$A$44,$A1926,Premissas!$B$5:$B$44,$B1926)+P1926*SUMIFS(Premissas!$D$5:$D$44,Premissas!$A$5:$A$44,$A1926,Premissas!$B$5:$B$44,$B1926))+R1926*SUMIFS(Premissas!$E$5:$E$44,Premissas!$A$5:$A$44,$A1926,Premissas!$B$5:$B$44,$B1926)+S1926*SUMIFS(Premissas!$F$5:$F$44,Premissas!$A$5:$A$44,$A1926,Premissas!$B$5:$B$44,$B1926)</f>
        <v/>
      </c>
      <c r="L1926" s="29">
        <f>J1926-K1926</f>
        <v/>
      </c>
      <c r="M1926" t="inlineStr">
        <is>
          <t>1.350</t>
        </is>
      </c>
      <c r="N1926" t="inlineStr">
        <is>
          <t>Modalidade: 0 - Por conta do remetente | Parte: FORTALI DISTRIBUIDORA DE ALIMENTOS LTDA. (09.317.318/0001-75)</t>
        </is>
      </c>
      <c r="O1926" s="29" t="n">
        <v>0</v>
      </c>
      <c r="P1926" s="29" t="n">
        <v>0</v>
      </c>
      <c r="Q1926" s="29" t="n">
        <v>0</v>
      </c>
      <c r="R1926" s="29" t="n">
        <v>0</v>
      </c>
      <c r="S1926" s="29" t="n">
        <v>0</v>
      </c>
      <c r="T1926" t="inlineStr">
        <is>
          <t>25250826975620000130570010000049841000000004</t>
        </is>
      </c>
      <c r="U1926" t="inlineStr">
        <is>
          <t>Não</t>
        </is>
      </c>
    </row>
    <row r="1927">
      <c r="A1927" t="inlineStr">
        <is>
          <t>Frete de venda</t>
        </is>
      </c>
      <c r="B1927" t="inlineStr">
        <is>
          <t>2.01.02 Frete sobre Vendas</t>
        </is>
      </c>
      <c r="C1927" t="inlineStr">
        <is>
          <t>Antes de 2026</t>
        </is>
      </c>
      <c r="D1927" t="inlineStr">
        <is>
          <t>Antes de 2026</t>
        </is>
      </c>
      <c r="E1927" s="28" t="n">
        <v>45892</v>
      </c>
      <c r="F1927" t="inlineStr">
        <is>
          <t>CT-e</t>
        </is>
      </c>
      <c r="G1927" t="inlineStr">
        <is>
          <t>000004990</t>
        </is>
      </c>
      <c r="H1927" t="inlineStr">
        <is>
          <t>R&amp;R TRANSPORTE E LOGISTICA</t>
        </is>
      </c>
      <c r="J1927" s="29" t="n">
        <v>450</v>
      </c>
      <c r="K1927" s="29">
        <f>(1-ISNUMBER(SEARCH("556",M1927)))*(O1927*SUMIFS(Premissas!$C$5:$C$44,Premissas!$A$5:$A$44,$A1927,Premissas!$B$5:$B$44,$B1927)+P1927*SUMIFS(Premissas!$D$5:$D$44,Premissas!$A$5:$A$44,$A1927,Premissas!$B$5:$B$44,$B1927))+R1927*SUMIFS(Premissas!$E$5:$E$44,Premissas!$A$5:$A$44,$A1927,Premissas!$B$5:$B$44,$B1927)+S1927*SUMIFS(Premissas!$F$5:$F$44,Premissas!$A$5:$A$44,$A1927,Premissas!$B$5:$B$44,$B1927)</f>
        <v/>
      </c>
      <c r="L1927" s="29">
        <f>J1927-K1927</f>
        <v/>
      </c>
      <c r="M1927" t="inlineStr">
        <is>
          <t>1.350</t>
        </is>
      </c>
      <c r="N1927" t="inlineStr">
        <is>
          <t>Modalidade: 0 - Por conta do remetente | Parte: MAIS COMERCIO DE DESCARTAVEIS LTDA (17.178.985/0001-42)</t>
        </is>
      </c>
      <c r="O1927" s="29" t="n">
        <v>0</v>
      </c>
      <c r="P1927" s="29" t="n">
        <v>0</v>
      </c>
      <c r="Q1927" s="29" t="n">
        <v>0</v>
      </c>
      <c r="R1927" s="29" t="n">
        <v>0</v>
      </c>
      <c r="S1927" s="29" t="n">
        <v>0</v>
      </c>
      <c r="T1927" t="inlineStr">
        <is>
          <t>25250826975620000130570010000049901000000001</t>
        </is>
      </c>
      <c r="U1927" t="inlineStr">
        <is>
          <t>Não</t>
        </is>
      </c>
    </row>
    <row r="1928">
      <c r="A1928" t="inlineStr">
        <is>
          <t>Frete de venda</t>
        </is>
      </c>
      <c r="B1928" t="inlineStr">
        <is>
          <t>2.01.02 Frete sobre Vendas</t>
        </is>
      </c>
      <c r="C1928" t="inlineStr">
        <is>
          <t>Antes de 2026</t>
        </is>
      </c>
      <c r="D1928" t="inlineStr">
        <is>
          <t>Antes de 2026</t>
        </is>
      </c>
      <c r="E1928" s="28" t="n">
        <v>45894</v>
      </c>
      <c r="F1928" t="inlineStr">
        <is>
          <t>CT-e</t>
        </is>
      </c>
      <c r="G1928" t="inlineStr">
        <is>
          <t>000004997</t>
        </is>
      </c>
      <c r="H1928" t="inlineStr">
        <is>
          <t>R&amp;R TRANSPORTE E LOGISTICA</t>
        </is>
      </c>
      <c r="J1928" s="29" t="n">
        <v>30.03</v>
      </c>
      <c r="K1928" s="29">
        <f>(1-ISNUMBER(SEARCH("556",M1928)))*(O1928*SUMIFS(Premissas!$C$5:$C$44,Premissas!$A$5:$A$44,$A1928,Premissas!$B$5:$B$44,$B1928)+P1928*SUMIFS(Premissas!$D$5:$D$44,Premissas!$A$5:$A$44,$A1928,Premissas!$B$5:$B$44,$B1928))+R1928*SUMIFS(Premissas!$E$5:$E$44,Premissas!$A$5:$A$44,$A1928,Premissas!$B$5:$B$44,$B1928)+S1928*SUMIFS(Premissas!$F$5:$F$44,Premissas!$A$5:$A$44,$A1928,Premissas!$B$5:$B$44,$B1928)</f>
        <v/>
      </c>
      <c r="L1928" s="29">
        <f>J1928-K1928</f>
        <v/>
      </c>
      <c r="M1928" t="inlineStr">
        <is>
          <t>1.350</t>
        </is>
      </c>
      <c r="N1928" t="inlineStr">
        <is>
          <t>Modalidade: 0 - Por conta do remetente | Parte: CAITTO PALHARES DA SILVA 05668249735 (26.647.620/0001-00)</t>
        </is>
      </c>
      <c r="O1928" s="29" t="n">
        <v>0</v>
      </c>
      <c r="P1928" s="29" t="n">
        <v>0</v>
      </c>
      <c r="Q1928" s="29" t="n">
        <v>0</v>
      </c>
      <c r="R1928" s="29" t="n">
        <v>0</v>
      </c>
      <c r="S1928" s="29" t="n">
        <v>0</v>
      </c>
      <c r="T1928" t="inlineStr">
        <is>
          <t>25250826975620000130570010000049971000000002</t>
        </is>
      </c>
      <c r="U1928" t="inlineStr">
        <is>
          <t>Não</t>
        </is>
      </c>
    </row>
    <row r="1929">
      <c r="A1929" t="inlineStr">
        <is>
          <t>Frete de venda</t>
        </is>
      </c>
      <c r="B1929" t="inlineStr">
        <is>
          <t>2.01.02 Frete sobre Vendas</t>
        </is>
      </c>
      <c r="C1929" t="inlineStr">
        <is>
          <t>Antes de 2026</t>
        </is>
      </c>
      <c r="D1929" t="inlineStr">
        <is>
          <t>Antes de 2026</t>
        </is>
      </c>
      <c r="E1929" s="28" t="n">
        <v>45894</v>
      </c>
      <c r="F1929" t="inlineStr">
        <is>
          <t>CT-e</t>
        </is>
      </c>
      <c r="G1929" t="inlineStr">
        <is>
          <t>000004998</t>
        </is>
      </c>
      <c r="H1929" t="inlineStr">
        <is>
          <t>R&amp;R TRANSPORTE E LOGISTICA</t>
        </is>
      </c>
      <c r="J1929" s="29" t="n">
        <v>34.66</v>
      </c>
      <c r="K1929" s="29">
        <f>(1-ISNUMBER(SEARCH("556",M1929)))*(O1929*SUMIFS(Premissas!$C$5:$C$44,Premissas!$A$5:$A$44,$A1929,Premissas!$B$5:$B$44,$B1929)+P1929*SUMIFS(Premissas!$D$5:$D$44,Premissas!$A$5:$A$44,$A1929,Premissas!$B$5:$B$44,$B1929))+R1929*SUMIFS(Premissas!$E$5:$E$44,Premissas!$A$5:$A$44,$A1929,Premissas!$B$5:$B$44,$B1929)+S1929*SUMIFS(Premissas!$F$5:$F$44,Premissas!$A$5:$A$44,$A1929,Premissas!$B$5:$B$44,$B1929)</f>
        <v/>
      </c>
      <c r="L1929" s="29">
        <f>J1929-K1929</f>
        <v/>
      </c>
      <c r="M1929" t="inlineStr">
        <is>
          <t>1.350</t>
        </is>
      </c>
      <c r="N1929" t="inlineStr">
        <is>
          <t>Modalidade: 0 - Por conta do remetente | Parte: MAIKIANE LOPES RODRIGUES ME (02.197.542/0001-21)</t>
        </is>
      </c>
      <c r="O1929" s="29" t="n">
        <v>0</v>
      </c>
      <c r="P1929" s="29" t="n">
        <v>0</v>
      </c>
      <c r="Q1929" s="29" t="n">
        <v>0</v>
      </c>
      <c r="R1929" s="29" t="n">
        <v>0</v>
      </c>
      <c r="S1929" s="29" t="n">
        <v>0</v>
      </c>
      <c r="T1929" t="inlineStr">
        <is>
          <t>25250826975620000130570010000049981000000000</t>
        </is>
      </c>
      <c r="U1929" t="inlineStr">
        <is>
          <t>Não</t>
        </is>
      </c>
    </row>
    <row r="1930">
      <c r="A1930" t="inlineStr">
        <is>
          <t>Frete de venda</t>
        </is>
      </c>
      <c r="B1930" t="inlineStr">
        <is>
          <t>2.01.02 Frete sobre Vendas</t>
        </is>
      </c>
      <c r="C1930" t="inlineStr">
        <is>
          <t>Antes de 2026</t>
        </is>
      </c>
      <c r="D1930" t="inlineStr">
        <is>
          <t>Antes de 2026</t>
        </is>
      </c>
      <c r="E1930" s="28" t="n">
        <v>45894</v>
      </c>
      <c r="F1930" t="inlineStr">
        <is>
          <t>CT-e</t>
        </is>
      </c>
      <c r="G1930" t="inlineStr">
        <is>
          <t>000004999</t>
        </is>
      </c>
      <c r="H1930" t="inlineStr">
        <is>
          <t>R&amp;R TRANSPORTE E LOGISTICA</t>
        </is>
      </c>
      <c r="J1930" s="29" t="n">
        <v>35.56</v>
      </c>
      <c r="K1930" s="29">
        <f>(1-ISNUMBER(SEARCH("556",M1930)))*(O1930*SUMIFS(Premissas!$C$5:$C$44,Premissas!$A$5:$A$44,$A1930,Premissas!$B$5:$B$44,$B1930)+P1930*SUMIFS(Premissas!$D$5:$D$44,Premissas!$A$5:$A$44,$A1930,Premissas!$B$5:$B$44,$B1930))+R1930*SUMIFS(Premissas!$E$5:$E$44,Premissas!$A$5:$A$44,$A1930,Premissas!$B$5:$B$44,$B1930)+S1930*SUMIFS(Premissas!$F$5:$F$44,Premissas!$A$5:$A$44,$A1930,Premissas!$B$5:$B$44,$B1930)</f>
        <v/>
      </c>
      <c r="L1930" s="29">
        <f>J1930-K1930</f>
        <v/>
      </c>
      <c r="M1930" t="inlineStr">
        <is>
          <t>1.350</t>
        </is>
      </c>
      <c r="N1930" t="inlineStr">
        <is>
          <t>Modalidade: 0 - Por conta do remetente | Parte: VALEX COMERCIAL LTDA (47.766.784/0001-27)</t>
        </is>
      </c>
      <c r="O1930" s="29" t="n">
        <v>0</v>
      </c>
      <c r="P1930" s="29" t="n">
        <v>0</v>
      </c>
      <c r="Q1930" s="29" t="n">
        <v>0</v>
      </c>
      <c r="R1930" s="29" t="n">
        <v>0</v>
      </c>
      <c r="S1930" s="29" t="n">
        <v>0</v>
      </c>
      <c r="T1930" t="inlineStr">
        <is>
          <t>25250826975620000130570010000049991000000007</t>
        </is>
      </c>
      <c r="U1930" t="inlineStr">
        <is>
          <t>Não</t>
        </is>
      </c>
    </row>
    <row r="1931">
      <c r="A1931" t="inlineStr">
        <is>
          <t>Frete de venda</t>
        </is>
      </c>
      <c r="B1931" t="inlineStr">
        <is>
          <t>2.01.02 Frete sobre Vendas</t>
        </is>
      </c>
      <c r="C1931" t="inlineStr">
        <is>
          <t>Antes de 2026</t>
        </is>
      </c>
      <c r="D1931" t="inlineStr">
        <is>
          <t>Antes de 2026</t>
        </is>
      </c>
      <c r="E1931" s="28" t="n">
        <v>45894</v>
      </c>
      <c r="F1931" t="inlineStr">
        <is>
          <t>CT-e</t>
        </is>
      </c>
      <c r="G1931" t="inlineStr">
        <is>
          <t>000005000</t>
        </is>
      </c>
      <c r="H1931" t="inlineStr">
        <is>
          <t>R&amp;R TRANSPORTE E LOGISTICA</t>
        </is>
      </c>
      <c r="J1931" s="29" t="n">
        <v>34.25</v>
      </c>
      <c r="K1931" s="29">
        <f>(1-ISNUMBER(SEARCH("556",M1931)))*(O1931*SUMIFS(Premissas!$C$5:$C$44,Premissas!$A$5:$A$44,$A1931,Premissas!$B$5:$B$44,$B1931)+P1931*SUMIFS(Premissas!$D$5:$D$44,Premissas!$A$5:$A$44,$A1931,Premissas!$B$5:$B$44,$B1931))+R1931*SUMIFS(Premissas!$E$5:$E$44,Premissas!$A$5:$A$44,$A1931,Premissas!$B$5:$B$44,$B1931)+S1931*SUMIFS(Premissas!$F$5:$F$44,Premissas!$A$5:$A$44,$A1931,Premissas!$B$5:$B$44,$B1931)</f>
        <v/>
      </c>
      <c r="L1931" s="29">
        <f>J1931-K1931</f>
        <v/>
      </c>
      <c r="M1931" t="inlineStr">
        <is>
          <t>1.350</t>
        </is>
      </c>
      <c r="N1931" t="inlineStr">
        <is>
          <t>Modalidade: 0 - Por conta do remetente | Parte: DISTRIBUIDORA RIO UTILIDADES FESTAS E ALIMENTOS LTDA (40.961.436/0001-61)</t>
        </is>
      </c>
      <c r="O1931" s="29" t="n">
        <v>0</v>
      </c>
      <c r="P1931" s="29" t="n">
        <v>0</v>
      </c>
      <c r="Q1931" s="29" t="n">
        <v>0</v>
      </c>
      <c r="R1931" s="29" t="n">
        <v>0</v>
      </c>
      <c r="S1931" s="29" t="n">
        <v>0</v>
      </c>
      <c r="T1931" t="inlineStr">
        <is>
          <t>25250826975620000130570010000050001000000000</t>
        </is>
      </c>
      <c r="U1931" t="inlineStr">
        <is>
          <t>Não</t>
        </is>
      </c>
    </row>
    <row r="1932">
      <c r="A1932" t="inlineStr">
        <is>
          <t>Frete de venda</t>
        </is>
      </c>
      <c r="B1932" t="inlineStr">
        <is>
          <t>2.01.02 Frete sobre Vendas</t>
        </is>
      </c>
      <c r="C1932" t="inlineStr">
        <is>
          <t>Antes de 2026</t>
        </is>
      </c>
      <c r="D1932" t="inlineStr">
        <is>
          <t>Antes de 2026</t>
        </is>
      </c>
      <c r="E1932" s="28" t="n">
        <v>45894</v>
      </c>
      <c r="F1932" t="inlineStr">
        <is>
          <t>CT-e</t>
        </is>
      </c>
      <c r="G1932" t="inlineStr">
        <is>
          <t>000005001</t>
        </is>
      </c>
      <c r="H1932" t="inlineStr">
        <is>
          <t>R&amp;R TRANSPORTE E LOGISTICA</t>
        </is>
      </c>
      <c r="J1932" s="29" t="n">
        <v>66.73</v>
      </c>
      <c r="K1932" s="29">
        <f>(1-ISNUMBER(SEARCH("556",M1932)))*(O1932*SUMIFS(Premissas!$C$5:$C$44,Premissas!$A$5:$A$44,$A1932,Premissas!$B$5:$B$44,$B1932)+P1932*SUMIFS(Premissas!$D$5:$D$44,Premissas!$A$5:$A$44,$A1932,Premissas!$B$5:$B$44,$B1932))+R1932*SUMIFS(Premissas!$E$5:$E$44,Premissas!$A$5:$A$44,$A1932,Premissas!$B$5:$B$44,$B1932)+S1932*SUMIFS(Premissas!$F$5:$F$44,Premissas!$A$5:$A$44,$A1932,Premissas!$B$5:$B$44,$B1932)</f>
        <v/>
      </c>
      <c r="L1932" s="29">
        <f>J1932-K1932</f>
        <v/>
      </c>
      <c r="M1932" t="inlineStr">
        <is>
          <t>1.350</t>
        </is>
      </c>
      <c r="N1932" t="inlineStr">
        <is>
          <t>Modalidade: 0 - Por conta do remetente | Parte: FRONTEIRA EMBALAGENS LTDA (47.115.817/0001-79)</t>
        </is>
      </c>
      <c r="O1932" s="29" t="n">
        <v>0</v>
      </c>
      <c r="P1932" s="29" t="n">
        <v>0</v>
      </c>
      <c r="Q1932" s="29" t="n">
        <v>0</v>
      </c>
      <c r="R1932" s="29" t="n">
        <v>0</v>
      </c>
      <c r="S1932" s="29" t="n">
        <v>0</v>
      </c>
      <c r="T1932" t="inlineStr">
        <is>
          <t>25250826975620000130570010000050011000000007</t>
        </is>
      </c>
      <c r="U1932" t="inlineStr">
        <is>
          <t>Não</t>
        </is>
      </c>
    </row>
    <row r="1933">
      <c r="A1933" t="inlineStr">
        <is>
          <t>Frete de venda</t>
        </is>
      </c>
      <c r="B1933" t="inlineStr">
        <is>
          <t>2.01.02 Frete sobre Vendas</t>
        </is>
      </c>
      <c r="C1933" t="inlineStr">
        <is>
          <t>Antes de 2026</t>
        </is>
      </c>
      <c r="D1933" t="inlineStr">
        <is>
          <t>Antes de 2026</t>
        </is>
      </c>
      <c r="E1933" s="28" t="n">
        <v>45894</v>
      </c>
      <c r="F1933" t="inlineStr">
        <is>
          <t>CT-e</t>
        </is>
      </c>
      <c r="G1933" t="inlineStr">
        <is>
          <t>000005002</t>
        </is>
      </c>
      <c r="H1933" t="inlineStr">
        <is>
          <t>R&amp;R TRANSPORTE E LOGISTICA</t>
        </is>
      </c>
      <c r="J1933" s="29" t="n">
        <v>35.49</v>
      </c>
      <c r="K1933" s="29">
        <f>(1-ISNUMBER(SEARCH("556",M1933)))*(O1933*SUMIFS(Premissas!$C$5:$C$44,Premissas!$A$5:$A$44,$A1933,Premissas!$B$5:$B$44,$B1933)+P1933*SUMIFS(Premissas!$D$5:$D$44,Premissas!$A$5:$A$44,$A1933,Premissas!$B$5:$B$44,$B1933))+R1933*SUMIFS(Premissas!$E$5:$E$44,Premissas!$A$5:$A$44,$A1933,Premissas!$B$5:$B$44,$B1933)+S1933*SUMIFS(Premissas!$F$5:$F$44,Premissas!$A$5:$A$44,$A1933,Premissas!$B$5:$B$44,$B1933)</f>
        <v/>
      </c>
      <c r="L1933" s="29">
        <f>J1933-K1933</f>
        <v/>
      </c>
      <c r="M1933" t="inlineStr">
        <is>
          <t>1.350</t>
        </is>
      </c>
      <c r="N1933" t="inlineStr">
        <is>
          <t>Modalidade: 0 - Por conta do remetente | Parte: RJ DISTRIBUIDORA DE PRODUTOS ALIMENTICIOS LTDA (39.531.876/0001-08)</t>
        </is>
      </c>
      <c r="O1933" s="29" t="n">
        <v>0</v>
      </c>
      <c r="P1933" s="29" t="n">
        <v>0</v>
      </c>
      <c r="Q1933" s="29" t="n">
        <v>0</v>
      </c>
      <c r="R1933" s="29" t="n">
        <v>0</v>
      </c>
      <c r="S1933" s="29" t="n">
        <v>0</v>
      </c>
      <c r="T1933" t="inlineStr">
        <is>
          <t>25250826975620000130570010000050021000000004</t>
        </is>
      </c>
      <c r="U1933" t="inlineStr">
        <is>
          <t>Não</t>
        </is>
      </c>
    </row>
    <row r="1934">
      <c r="A1934" t="inlineStr">
        <is>
          <t>Frete de venda</t>
        </is>
      </c>
      <c r="B1934" t="inlineStr">
        <is>
          <t>2.01.02 Frete sobre Vendas</t>
        </is>
      </c>
      <c r="C1934" t="inlineStr">
        <is>
          <t>Antes de 2026</t>
        </is>
      </c>
      <c r="D1934" t="inlineStr">
        <is>
          <t>Antes de 2026</t>
        </is>
      </c>
      <c r="E1934" s="28" t="n">
        <v>45894</v>
      </c>
      <c r="F1934" t="inlineStr">
        <is>
          <t>CT-e</t>
        </is>
      </c>
      <c r="G1934" t="inlineStr">
        <is>
          <t>000005003</t>
        </is>
      </c>
      <c r="H1934" t="inlineStr">
        <is>
          <t>R&amp;R TRANSPORTE E LOGISTICA</t>
        </is>
      </c>
      <c r="J1934" s="29" t="n">
        <v>39.03</v>
      </c>
      <c r="K1934" s="29">
        <f>(1-ISNUMBER(SEARCH("556",M1934)))*(O1934*SUMIFS(Premissas!$C$5:$C$44,Premissas!$A$5:$A$44,$A1934,Premissas!$B$5:$B$44,$B1934)+P1934*SUMIFS(Premissas!$D$5:$D$44,Premissas!$A$5:$A$44,$A1934,Premissas!$B$5:$B$44,$B1934))+R1934*SUMIFS(Premissas!$E$5:$E$44,Premissas!$A$5:$A$44,$A1934,Premissas!$B$5:$B$44,$B1934)+S1934*SUMIFS(Premissas!$F$5:$F$44,Premissas!$A$5:$A$44,$A1934,Premissas!$B$5:$B$44,$B1934)</f>
        <v/>
      </c>
      <c r="L1934" s="29">
        <f>J1934-K1934</f>
        <v/>
      </c>
      <c r="M1934" t="inlineStr">
        <is>
          <t>1.350</t>
        </is>
      </c>
      <c r="N1934" t="inlineStr">
        <is>
          <t>Modalidade: 0 - Por conta do remetente | Parte: SHALOM COMERCIO DE EMBALAGENS LTDA (30.935.496/0001-56)</t>
        </is>
      </c>
      <c r="O1934" s="29" t="n">
        <v>0</v>
      </c>
      <c r="P1934" s="29" t="n">
        <v>0</v>
      </c>
      <c r="Q1934" s="29" t="n">
        <v>0</v>
      </c>
      <c r="R1934" s="29" t="n">
        <v>0</v>
      </c>
      <c r="S1934" s="29" t="n">
        <v>0</v>
      </c>
      <c r="T1934" t="inlineStr">
        <is>
          <t>25250826975620000130570010000050031000000001</t>
        </is>
      </c>
      <c r="U1934" t="inlineStr">
        <is>
          <t>Não</t>
        </is>
      </c>
    </row>
    <row r="1935">
      <c r="A1935" t="inlineStr">
        <is>
          <t>Frete de venda</t>
        </is>
      </c>
      <c r="B1935" t="inlineStr">
        <is>
          <t>2.01.02 Frete sobre Vendas</t>
        </is>
      </c>
      <c r="C1935" t="inlineStr">
        <is>
          <t>Antes de 2026</t>
        </is>
      </c>
      <c r="D1935" t="inlineStr">
        <is>
          <t>Antes de 2026</t>
        </is>
      </c>
      <c r="E1935" s="28" t="n">
        <v>45895</v>
      </c>
      <c r="F1935" t="inlineStr">
        <is>
          <t>CT-e</t>
        </is>
      </c>
      <c r="G1935" t="inlineStr">
        <is>
          <t>000005005</t>
        </is>
      </c>
      <c r="H1935" t="inlineStr">
        <is>
          <t>R&amp;R TRANSPORTE E LOGISTICA</t>
        </is>
      </c>
      <c r="J1935" s="29" t="n">
        <v>8.32</v>
      </c>
      <c r="K1935" s="29">
        <f>(1-ISNUMBER(SEARCH("556",M1935)))*(O1935*SUMIFS(Premissas!$C$5:$C$44,Premissas!$A$5:$A$44,$A1935,Premissas!$B$5:$B$44,$B1935)+P1935*SUMIFS(Premissas!$D$5:$D$44,Premissas!$A$5:$A$44,$A1935,Premissas!$B$5:$B$44,$B1935))+R1935*SUMIFS(Premissas!$E$5:$E$44,Premissas!$A$5:$A$44,$A1935,Premissas!$B$5:$B$44,$B1935)+S1935*SUMIFS(Premissas!$F$5:$F$44,Premissas!$A$5:$A$44,$A1935,Premissas!$B$5:$B$44,$B1935)</f>
        <v/>
      </c>
      <c r="L1935" s="29">
        <f>J1935-K1935</f>
        <v/>
      </c>
      <c r="M1935" t="inlineStr">
        <is>
          <t>1.350</t>
        </is>
      </c>
      <c r="N1935" t="inlineStr">
        <is>
          <t>Modalidade: 0 - Por conta do remetente | Parte: COSTA E LIMA COMERCIO E REPRESENTACOES LTDA (42.323.364/0001-52)</t>
        </is>
      </c>
      <c r="O1935" s="29" t="n">
        <v>0</v>
      </c>
      <c r="P1935" s="29" t="n">
        <v>0</v>
      </c>
      <c r="Q1935" s="29" t="n">
        <v>0</v>
      </c>
      <c r="R1935" s="29" t="n">
        <v>0</v>
      </c>
      <c r="S1935" s="29" t="n">
        <v>0</v>
      </c>
      <c r="T1935" t="inlineStr">
        <is>
          <t>25250826975620000130570010000050051000000006</t>
        </is>
      </c>
      <c r="U1935" t="inlineStr">
        <is>
          <t>Não</t>
        </is>
      </c>
    </row>
    <row r="1936">
      <c r="A1936" t="inlineStr">
        <is>
          <t>Frete de venda</t>
        </is>
      </c>
      <c r="B1936" t="inlineStr">
        <is>
          <t>2.01.02 Frete sobre Vendas</t>
        </is>
      </c>
      <c r="C1936" t="inlineStr">
        <is>
          <t>Antes de 2026</t>
        </is>
      </c>
      <c r="D1936" t="inlineStr">
        <is>
          <t>Antes de 2026</t>
        </is>
      </c>
      <c r="E1936" s="28" t="n">
        <v>45895</v>
      </c>
      <c r="F1936" t="inlineStr">
        <is>
          <t>CT-e</t>
        </is>
      </c>
      <c r="G1936" t="inlineStr">
        <is>
          <t>000005006</t>
        </is>
      </c>
      <c r="H1936" t="inlineStr">
        <is>
          <t>R&amp;R TRANSPORTE E LOGISTICA</t>
        </is>
      </c>
      <c r="J1936" s="29" t="n">
        <v>9.27</v>
      </c>
      <c r="K1936" s="29">
        <f>(1-ISNUMBER(SEARCH("556",M1936)))*(O1936*SUMIFS(Premissas!$C$5:$C$44,Premissas!$A$5:$A$44,$A1936,Premissas!$B$5:$B$44,$B1936)+P1936*SUMIFS(Premissas!$D$5:$D$44,Premissas!$A$5:$A$44,$A1936,Premissas!$B$5:$B$44,$B1936))+R1936*SUMIFS(Premissas!$E$5:$E$44,Premissas!$A$5:$A$44,$A1936,Premissas!$B$5:$B$44,$B1936)+S1936*SUMIFS(Premissas!$F$5:$F$44,Premissas!$A$5:$A$44,$A1936,Premissas!$B$5:$B$44,$B1936)</f>
        <v/>
      </c>
      <c r="L1936" s="29">
        <f>J1936-K1936</f>
        <v/>
      </c>
      <c r="M1936" t="inlineStr">
        <is>
          <t>1.350</t>
        </is>
      </c>
      <c r="N1936" t="inlineStr">
        <is>
          <t>Modalidade: 0 - Por conta do remetente | Parte: ELTON DIEGO SOARES DE CASTRO LTDA (28.176.668/0001-03)</t>
        </is>
      </c>
      <c r="O1936" s="29" t="n">
        <v>0</v>
      </c>
      <c r="P1936" s="29" t="n">
        <v>0</v>
      </c>
      <c r="Q1936" s="29" t="n">
        <v>0</v>
      </c>
      <c r="R1936" s="29" t="n">
        <v>0</v>
      </c>
      <c r="S1936" s="29" t="n">
        <v>0</v>
      </c>
      <c r="T1936" t="inlineStr">
        <is>
          <t>25250826975620000130570010000050061000000003</t>
        </is>
      </c>
      <c r="U1936" t="inlineStr">
        <is>
          <t>Não</t>
        </is>
      </c>
    </row>
    <row r="1937">
      <c r="A1937" t="inlineStr">
        <is>
          <t>Frete de venda</t>
        </is>
      </c>
      <c r="B1937" t="inlineStr">
        <is>
          <t>2.01.02 Frete sobre Vendas</t>
        </is>
      </c>
      <c r="C1937" t="inlineStr">
        <is>
          <t>Antes de 2026</t>
        </is>
      </c>
      <c r="D1937" t="inlineStr">
        <is>
          <t>Antes de 2026</t>
        </is>
      </c>
      <c r="E1937" s="28" t="n">
        <v>45895</v>
      </c>
      <c r="F1937" t="inlineStr">
        <is>
          <t>CT-e</t>
        </is>
      </c>
      <c r="G1937" t="inlineStr">
        <is>
          <t>000005007</t>
        </is>
      </c>
      <c r="H1937" t="inlineStr">
        <is>
          <t>R&amp;R TRANSPORTE E LOGISTICA</t>
        </is>
      </c>
      <c r="J1937" s="29" t="n">
        <v>11.12</v>
      </c>
      <c r="K1937" s="29">
        <f>(1-ISNUMBER(SEARCH("556",M1937)))*(O1937*SUMIFS(Premissas!$C$5:$C$44,Premissas!$A$5:$A$44,$A1937,Premissas!$B$5:$B$44,$B1937)+P1937*SUMIFS(Premissas!$D$5:$D$44,Premissas!$A$5:$A$44,$A1937,Premissas!$B$5:$B$44,$B1937))+R1937*SUMIFS(Premissas!$E$5:$E$44,Premissas!$A$5:$A$44,$A1937,Premissas!$B$5:$B$44,$B1937)+S1937*SUMIFS(Premissas!$F$5:$F$44,Premissas!$A$5:$A$44,$A1937,Premissas!$B$5:$B$44,$B1937)</f>
        <v/>
      </c>
      <c r="L1937" s="29">
        <f>J1937-K1937</f>
        <v/>
      </c>
      <c r="M1937" t="inlineStr">
        <is>
          <t>1.350</t>
        </is>
      </c>
      <c r="N1937" t="inlineStr">
        <is>
          <t>Modalidade: 0 - Por conta do remetente | Parte: RBL PLASTICOS LTDA (04.328.070/0001-24)</t>
        </is>
      </c>
      <c r="O1937" s="29" t="n">
        <v>0</v>
      </c>
      <c r="P1937" s="29" t="n">
        <v>0</v>
      </c>
      <c r="Q1937" s="29" t="n">
        <v>0</v>
      </c>
      <c r="R1937" s="29" t="n">
        <v>0</v>
      </c>
      <c r="S1937" s="29" t="n">
        <v>0</v>
      </c>
      <c r="T1937" t="inlineStr">
        <is>
          <t>25250826975620000130570010000050071000000000</t>
        </is>
      </c>
      <c r="U1937" t="inlineStr">
        <is>
          <t>Não</t>
        </is>
      </c>
    </row>
    <row r="1938">
      <c r="A1938" t="inlineStr">
        <is>
          <t>Frete de venda</t>
        </is>
      </c>
      <c r="B1938" t="inlineStr">
        <is>
          <t>2.01.02 Frete sobre Vendas</t>
        </is>
      </c>
      <c r="C1938" t="inlineStr">
        <is>
          <t>Antes de 2026</t>
        </is>
      </c>
      <c r="D1938" t="inlineStr">
        <is>
          <t>Antes de 2026</t>
        </is>
      </c>
      <c r="E1938" s="28" t="n">
        <v>45895</v>
      </c>
      <c r="F1938" t="inlineStr">
        <is>
          <t>CT-e</t>
        </is>
      </c>
      <c r="G1938" t="inlineStr">
        <is>
          <t>000005008</t>
        </is>
      </c>
      <c r="H1938" t="inlineStr">
        <is>
          <t>R&amp;R TRANSPORTE E LOGISTICA</t>
        </is>
      </c>
      <c r="J1938" s="29" t="n">
        <v>12.16</v>
      </c>
      <c r="K1938" s="29">
        <f>(1-ISNUMBER(SEARCH("556",M1938)))*(O1938*SUMIFS(Premissas!$C$5:$C$44,Premissas!$A$5:$A$44,$A1938,Premissas!$B$5:$B$44,$B1938)+P1938*SUMIFS(Premissas!$D$5:$D$44,Premissas!$A$5:$A$44,$A1938,Premissas!$B$5:$B$44,$B1938))+R1938*SUMIFS(Premissas!$E$5:$E$44,Premissas!$A$5:$A$44,$A1938,Premissas!$B$5:$B$44,$B1938)+S1938*SUMIFS(Premissas!$F$5:$F$44,Premissas!$A$5:$A$44,$A1938,Premissas!$B$5:$B$44,$B1938)</f>
        <v/>
      </c>
      <c r="L1938" s="29">
        <f>J1938-K1938</f>
        <v/>
      </c>
      <c r="M1938" t="inlineStr">
        <is>
          <t>1.350</t>
        </is>
      </c>
      <c r="N1938" t="inlineStr">
        <is>
          <t>Modalidade: 0 - Por conta do remetente | Parte: GDR ATACADO E VAREJO LTDA (55.727.510/0001-57)</t>
        </is>
      </c>
      <c r="O1938" s="29" t="n">
        <v>0</v>
      </c>
      <c r="P1938" s="29" t="n">
        <v>0</v>
      </c>
      <c r="Q1938" s="29" t="n">
        <v>0</v>
      </c>
      <c r="R1938" s="29" t="n">
        <v>0</v>
      </c>
      <c r="S1938" s="29" t="n">
        <v>0</v>
      </c>
      <c r="T1938" t="inlineStr">
        <is>
          <t>25250826975620000130570010000050081000000008</t>
        </is>
      </c>
      <c r="U1938" t="inlineStr">
        <is>
          <t>Não</t>
        </is>
      </c>
    </row>
    <row r="1939">
      <c r="A1939" t="inlineStr">
        <is>
          <t>Frete de venda</t>
        </is>
      </c>
      <c r="B1939" t="inlineStr">
        <is>
          <t>2.01.02 Frete sobre Vendas</t>
        </is>
      </c>
      <c r="C1939" t="inlineStr">
        <is>
          <t>Antes de 2026</t>
        </is>
      </c>
      <c r="D1939" t="inlineStr">
        <is>
          <t>Antes de 2026</t>
        </is>
      </c>
      <c r="E1939" s="28" t="n">
        <v>45895</v>
      </c>
      <c r="F1939" t="inlineStr">
        <is>
          <t>CT-e</t>
        </is>
      </c>
      <c r="G1939" t="inlineStr">
        <is>
          <t>000005009</t>
        </is>
      </c>
      <c r="H1939" t="inlineStr">
        <is>
          <t>R&amp;R TRANSPORTE E LOGISTICA</t>
        </is>
      </c>
      <c r="J1939" s="29" t="n">
        <v>101</v>
      </c>
      <c r="K1939" s="29">
        <f>(1-ISNUMBER(SEARCH("556",M1939)))*(O1939*SUMIFS(Premissas!$C$5:$C$44,Premissas!$A$5:$A$44,$A1939,Premissas!$B$5:$B$44,$B1939)+P1939*SUMIFS(Premissas!$D$5:$D$44,Premissas!$A$5:$A$44,$A1939,Premissas!$B$5:$B$44,$B1939))+R1939*SUMIFS(Premissas!$E$5:$E$44,Premissas!$A$5:$A$44,$A1939,Premissas!$B$5:$B$44,$B1939)+S1939*SUMIFS(Premissas!$F$5:$F$44,Premissas!$A$5:$A$44,$A1939,Premissas!$B$5:$B$44,$B1939)</f>
        <v/>
      </c>
      <c r="L1939" s="29">
        <f>J1939-K1939</f>
        <v/>
      </c>
      <c r="M1939" t="inlineStr">
        <is>
          <t>1.350</t>
        </is>
      </c>
      <c r="N1939" t="inlineStr">
        <is>
          <t>Modalidade: 0 - Por conta do remetente | Parte: MASS COMERCIO DE EMBALAGENS LTDA (24.396.854/0001-05)</t>
        </is>
      </c>
      <c r="O1939" s="29" t="n">
        <v>0</v>
      </c>
      <c r="P1939" s="29" t="n">
        <v>0</v>
      </c>
      <c r="Q1939" s="29" t="n">
        <v>0</v>
      </c>
      <c r="R1939" s="29" t="n">
        <v>0</v>
      </c>
      <c r="S1939" s="29" t="n">
        <v>0</v>
      </c>
      <c r="T1939" t="inlineStr">
        <is>
          <t>25250826975620000130570010000050091000000005</t>
        </is>
      </c>
      <c r="U1939" t="inlineStr">
        <is>
          <t>Não</t>
        </is>
      </c>
    </row>
    <row r="1940">
      <c r="A1940" t="inlineStr">
        <is>
          <t>Frete de venda</t>
        </is>
      </c>
      <c r="B1940" t="inlineStr">
        <is>
          <t>2.01.02 Frete sobre Vendas</t>
        </is>
      </c>
      <c r="C1940" t="inlineStr">
        <is>
          <t>Antes de 2026</t>
        </is>
      </c>
      <c r="D1940" t="inlineStr">
        <is>
          <t>Antes de 2026</t>
        </is>
      </c>
      <c r="E1940" s="28" t="n">
        <v>45895</v>
      </c>
      <c r="F1940" t="inlineStr">
        <is>
          <t>CT-e</t>
        </is>
      </c>
      <c r="G1940" t="inlineStr">
        <is>
          <t>000005010</t>
        </is>
      </c>
      <c r="H1940" t="inlineStr">
        <is>
          <t>R&amp;R TRANSPORTE E LOGISTICA</t>
        </is>
      </c>
      <c r="J1940" s="29" t="n">
        <v>29.77</v>
      </c>
      <c r="K1940" s="29">
        <f>(1-ISNUMBER(SEARCH("556",M1940)))*(O1940*SUMIFS(Premissas!$C$5:$C$44,Premissas!$A$5:$A$44,$A1940,Premissas!$B$5:$B$44,$B1940)+P1940*SUMIFS(Premissas!$D$5:$D$44,Premissas!$A$5:$A$44,$A1940,Premissas!$B$5:$B$44,$B1940))+R1940*SUMIFS(Premissas!$E$5:$E$44,Premissas!$A$5:$A$44,$A1940,Premissas!$B$5:$B$44,$B1940)+S1940*SUMIFS(Premissas!$F$5:$F$44,Premissas!$A$5:$A$44,$A1940,Premissas!$B$5:$B$44,$B1940)</f>
        <v/>
      </c>
      <c r="L1940" s="29">
        <f>J1940-K1940</f>
        <v/>
      </c>
      <c r="M1940" t="inlineStr">
        <is>
          <t>1.350</t>
        </is>
      </c>
      <c r="N1940" t="inlineStr">
        <is>
          <t>Modalidade: 0 - Por conta do remetente | Parte: EMBALAGENS HUBNER TRES DE MAIO LTDA (44.330.178/0001-76)</t>
        </is>
      </c>
      <c r="O1940" s="29" t="n">
        <v>0</v>
      </c>
      <c r="P1940" s="29" t="n">
        <v>0</v>
      </c>
      <c r="Q1940" s="29" t="n">
        <v>0</v>
      </c>
      <c r="R1940" s="29" t="n">
        <v>0</v>
      </c>
      <c r="S1940" s="29" t="n">
        <v>0</v>
      </c>
      <c r="T1940" t="inlineStr">
        <is>
          <t>25250826975620000130570010000050101000000006</t>
        </is>
      </c>
      <c r="U1940" t="inlineStr">
        <is>
          <t>Não</t>
        </is>
      </c>
    </row>
    <row r="1941">
      <c r="A1941" t="inlineStr">
        <is>
          <t>Frete de venda</t>
        </is>
      </c>
      <c r="B1941" t="inlineStr">
        <is>
          <t>2.01.02 Frete sobre Vendas</t>
        </is>
      </c>
      <c r="C1941" t="inlineStr">
        <is>
          <t>Antes de 2026</t>
        </is>
      </c>
      <c r="D1941" t="inlineStr">
        <is>
          <t>Antes de 2026</t>
        </is>
      </c>
      <c r="E1941" s="28" t="n">
        <v>45895</v>
      </c>
      <c r="F1941" t="inlineStr">
        <is>
          <t>CT-e</t>
        </is>
      </c>
      <c r="G1941" t="inlineStr">
        <is>
          <t>000005011</t>
        </is>
      </c>
      <c r="H1941" t="inlineStr">
        <is>
          <t>R&amp;R TRANSPORTE E LOGISTICA</t>
        </is>
      </c>
      <c r="J1941" s="29" t="n">
        <v>21.36</v>
      </c>
      <c r="K1941" s="29">
        <f>(1-ISNUMBER(SEARCH("556",M1941)))*(O1941*SUMIFS(Premissas!$C$5:$C$44,Premissas!$A$5:$A$44,$A1941,Premissas!$B$5:$B$44,$B1941)+P1941*SUMIFS(Premissas!$D$5:$D$44,Premissas!$A$5:$A$44,$A1941,Premissas!$B$5:$B$44,$B1941))+R1941*SUMIFS(Premissas!$E$5:$E$44,Premissas!$A$5:$A$44,$A1941,Premissas!$B$5:$B$44,$B1941)+S1941*SUMIFS(Premissas!$F$5:$F$44,Premissas!$A$5:$A$44,$A1941,Premissas!$B$5:$B$44,$B1941)</f>
        <v/>
      </c>
      <c r="L1941" s="29">
        <f>J1941-K1941</f>
        <v/>
      </c>
      <c r="M1941" t="inlineStr">
        <is>
          <t>1.350</t>
        </is>
      </c>
      <c r="N1941" t="inlineStr">
        <is>
          <t>Modalidade: 0 - Por conta do remetente | Parte: MARIA DE FATIMA MACHADO SEVERO e CIA LTDA (94.672.557/0001-12)</t>
        </is>
      </c>
      <c r="O1941" s="29" t="n">
        <v>0</v>
      </c>
      <c r="P1941" s="29" t="n">
        <v>0</v>
      </c>
      <c r="Q1941" s="29" t="n">
        <v>0</v>
      </c>
      <c r="R1941" s="29" t="n">
        <v>0</v>
      </c>
      <c r="S1941" s="29" t="n">
        <v>0</v>
      </c>
      <c r="T1941" t="inlineStr">
        <is>
          <t>25250826975620000130570010000050111000000003</t>
        </is>
      </c>
      <c r="U1941" t="inlineStr">
        <is>
          <t>Não</t>
        </is>
      </c>
    </row>
    <row r="1942">
      <c r="A1942" t="inlineStr">
        <is>
          <t>Frete de venda</t>
        </is>
      </c>
      <c r="B1942" t="inlineStr">
        <is>
          <t>2.01.02 Frete sobre Vendas</t>
        </is>
      </c>
      <c r="C1942" t="inlineStr">
        <is>
          <t>Antes de 2026</t>
        </is>
      </c>
      <c r="D1942" t="inlineStr">
        <is>
          <t>Antes de 2026</t>
        </is>
      </c>
      <c r="E1942" s="28" t="n">
        <v>45895</v>
      </c>
      <c r="F1942" t="inlineStr">
        <is>
          <t>CT-e</t>
        </is>
      </c>
      <c r="G1942" t="inlineStr">
        <is>
          <t>000005012</t>
        </is>
      </c>
      <c r="H1942" t="inlineStr">
        <is>
          <t>R&amp;R TRANSPORTE E LOGISTICA</t>
        </is>
      </c>
      <c r="J1942" s="29" t="n">
        <v>16.89</v>
      </c>
      <c r="K1942" s="29">
        <f>(1-ISNUMBER(SEARCH("556",M1942)))*(O1942*SUMIFS(Premissas!$C$5:$C$44,Premissas!$A$5:$A$44,$A1942,Premissas!$B$5:$B$44,$B1942)+P1942*SUMIFS(Premissas!$D$5:$D$44,Premissas!$A$5:$A$44,$A1942,Premissas!$B$5:$B$44,$B1942))+R1942*SUMIFS(Premissas!$E$5:$E$44,Premissas!$A$5:$A$44,$A1942,Premissas!$B$5:$B$44,$B1942)+S1942*SUMIFS(Premissas!$F$5:$F$44,Premissas!$A$5:$A$44,$A1942,Premissas!$B$5:$B$44,$B1942)</f>
        <v/>
      </c>
      <c r="L1942" s="29">
        <f>J1942-K1942</f>
        <v/>
      </c>
      <c r="M1942" t="inlineStr">
        <is>
          <t>1.350</t>
        </is>
      </c>
      <c r="N1942" t="inlineStr">
        <is>
          <t>Modalidade: 0 - Por conta do remetente | Parte: OFELIA M. MACHADO e CIA LTDA (90.777.913/0001-01)</t>
        </is>
      </c>
      <c r="O1942" s="29" t="n">
        <v>0</v>
      </c>
      <c r="P1942" s="29" t="n">
        <v>0</v>
      </c>
      <c r="Q1942" s="29" t="n">
        <v>0</v>
      </c>
      <c r="R1942" s="29" t="n">
        <v>0</v>
      </c>
      <c r="S1942" s="29" t="n">
        <v>0</v>
      </c>
      <c r="T1942" t="inlineStr">
        <is>
          <t>25250826975620000130570010000050121000000000</t>
        </is>
      </c>
      <c r="U1942" t="inlineStr">
        <is>
          <t>Não</t>
        </is>
      </c>
    </row>
    <row r="1943">
      <c r="A1943" t="inlineStr">
        <is>
          <t>Frete de venda</t>
        </is>
      </c>
      <c r="B1943" t="inlineStr">
        <is>
          <t>2.01.02 Frete sobre Vendas</t>
        </is>
      </c>
      <c r="C1943" t="inlineStr">
        <is>
          <t>Antes de 2026</t>
        </is>
      </c>
      <c r="D1943" t="inlineStr">
        <is>
          <t>Antes de 2026</t>
        </is>
      </c>
      <c r="E1943" s="28" t="n">
        <v>45895</v>
      </c>
      <c r="F1943" t="inlineStr">
        <is>
          <t>CT-e</t>
        </is>
      </c>
      <c r="G1943" t="inlineStr">
        <is>
          <t>000005013</t>
        </is>
      </c>
      <c r="H1943" t="inlineStr">
        <is>
          <t>R&amp;R TRANSPORTE E LOGISTICA</t>
        </is>
      </c>
      <c r="J1943" s="29" t="n">
        <v>24.55</v>
      </c>
      <c r="K1943" s="29">
        <f>(1-ISNUMBER(SEARCH("556",M1943)))*(O1943*SUMIFS(Premissas!$C$5:$C$44,Premissas!$A$5:$A$44,$A1943,Premissas!$B$5:$B$44,$B1943)+P1943*SUMIFS(Premissas!$D$5:$D$44,Premissas!$A$5:$A$44,$A1943,Premissas!$B$5:$B$44,$B1943))+R1943*SUMIFS(Premissas!$E$5:$E$44,Premissas!$A$5:$A$44,$A1943,Premissas!$B$5:$B$44,$B1943)+S1943*SUMIFS(Premissas!$F$5:$F$44,Premissas!$A$5:$A$44,$A1943,Premissas!$B$5:$B$44,$B1943)</f>
        <v/>
      </c>
      <c r="L1943" s="29">
        <f>J1943-K1943</f>
        <v/>
      </c>
      <c r="M1943" t="inlineStr">
        <is>
          <t>1.350</t>
        </is>
      </c>
      <c r="N1943" t="inlineStr">
        <is>
          <t>Modalidade: 0 - Por conta do remetente | Parte: JF COMERCIO ATACADISTA LTDA (57.929.545/0001-02)</t>
        </is>
      </c>
      <c r="O1943" s="29" t="n">
        <v>0</v>
      </c>
      <c r="P1943" s="29" t="n">
        <v>0</v>
      </c>
      <c r="Q1943" s="29" t="n">
        <v>0</v>
      </c>
      <c r="R1943" s="29" t="n">
        <v>0</v>
      </c>
      <c r="S1943" s="29" t="n">
        <v>0</v>
      </c>
      <c r="T1943" t="inlineStr">
        <is>
          <t>25250826975620000130570010000050131000000008</t>
        </is>
      </c>
      <c r="U1943" t="inlineStr">
        <is>
          <t>Não</t>
        </is>
      </c>
    </row>
    <row r="1944">
      <c r="A1944" t="inlineStr">
        <is>
          <t>Frete de venda</t>
        </is>
      </c>
      <c r="B1944" t="inlineStr">
        <is>
          <t>2.01.02 Frete sobre Vendas</t>
        </is>
      </c>
      <c r="C1944" t="inlineStr">
        <is>
          <t>Antes de 2026</t>
        </is>
      </c>
      <c r="D1944" t="inlineStr">
        <is>
          <t>Antes de 2026</t>
        </is>
      </c>
      <c r="E1944" s="28" t="n">
        <v>45895</v>
      </c>
      <c r="F1944" t="inlineStr">
        <is>
          <t>CT-e</t>
        </is>
      </c>
      <c r="G1944" t="inlineStr">
        <is>
          <t>000005014</t>
        </is>
      </c>
      <c r="H1944" t="inlineStr">
        <is>
          <t>R&amp;R TRANSPORTE E LOGISTICA</t>
        </is>
      </c>
      <c r="J1944" s="29" t="n">
        <v>17.26</v>
      </c>
      <c r="K1944" s="29">
        <f>(1-ISNUMBER(SEARCH("556",M1944)))*(O1944*SUMIFS(Premissas!$C$5:$C$44,Premissas!$A$5:$A$44,$A1944,Premissas!$B$5:$B$44,$B1944)+P1944*SUMIFS(Premissas!$D$5:$D$44,Premissas!$A$5:$A$44,$A1944,Premissas!$B$5:$B$44,$B1944))+R1944*SUMIFS(Premissas!$E$5:$E$44,Premissas!$A$5:$A$44,$A1944,Premissas!$B$5:$B$44,$B1944)+S1944*SUMIFS(Premissas!$F$5:$F$44,Premissas!$A$5:$A$44,$A1944,Premissas!$B$5:$B$44,$B1944)</f>
        <v/>
      </c>
      <c r="L1944" s="29">
        <f>J1944-K1944</f>
        <v/>
      </c>
      <c r="M1944" t="inlineStr">
        <is>
          <t>1.350</t>
        </is>
      </c>
      <c r="N1944" t="inlineStr">
        <is>
          <t>Modalidade: 0 - Por conta do remetente | Parte: EMBALAGENS SILVA COMERCIO DE PRODUTOS DE LIMPEZA LTDA (05.766.337/0001-28)</t>
        </is>
      </c>
      <c r="O1944" s="29" t="n">
        <v>0</v>
      </c>
      <c r="P1944" s="29" t="n">
        <v>0</v>
      </c>
      <c r="Q1944" s="29" t="n">
        <v>0</v>
      </c>
      <c r="R1944" s="29" t="n">
        <v>0</v>
      </c>
      <c r="S1944" s="29" t="n">
        <v>0</v>
      </c>
      <c r="T1944" t="inlineStr">
        <is>
          <t>25250826975620000130570010000050141000000005</t>
        </is>
      </c>
      <c r="U1944" t="inlineStr">
        <is>
          <t>Não</t>
        </is>
      </c>
    </row>
    <row r="1945">
      <c r="A1945" t="inlineStr">
        <is>
          <t>Frete de venda</t>
        </is>
      </c>
      <c r="B1945" t="inlineStr">
        <is>
          <t>2.01.02 Frete sobre Vendas</t>
        </is>
      </c>
      <c r="C1945" t="inlineStr">
        <is>
          <t>Antes de 2026</t>
        </is>
      </c>
      <c r="D1945" t="inlineStr">
        <is>
          <t>Antes de 2026</t>
        </is>
      </c>
      <c r="E1945" s="28" t="n">
        <v>45895</v>
      </c>
      <c r="F1945" t="inlineStr">
        <is>
          <t>CT-e</t>
        </is>
      </c>
      <c r="G1945" t="inlineStr">
        <is>
          <t>000005015</t>
        </is>
      </c>
      <c r="H1945" t="inlineStr">
        <is>
          <t>R&amp;R TRANSPORTE E LOGISTICA</t>
        </is>
      </c>
      <c r="J1945" s="29" t="n">
        <v>10.22</v>
      </c>
      <c r="K1945" s="29">
        <f>(1-ISNUMBER(SEARCH("556",M1945)))*(O1945*SUMIFS(Premissas!$C$5:$C$44,Premissas!$A$5:$A$44,$A1945,Premissas!$B$5:$B$44,$B1945)+P1945*SUMIFS(Premissas!$D$5:$D$44,Premissas!$A$5:$A$44,$A1945,Premissas!$B$5:$B$44,$B1945))+R1945*SUMIFS(Premissas!$E$5:$E$44,Premissas!$A$5:$A$44,$A1945,Premissas!$B$5:$B$44,$B1945)+S1945*SUMIFS(Premissas!$F$5:$F$44,Premissas!$A$5:$A$44,$A1945,Premissas!$B$5:$B$44,$B1945)</f>
        <v/>
      </c>
      <c r="L1945" s="29">
        <f>J1945-K1945</f>
        <v/>
      </c>
      <c r="M1945" t="inlineStr">
        <is>
          <t>1.350</t>
        </is>
      </c>
      <c r="N1945" t="inlineStr">
        <is>
          <t>Modalidade: 0 - Por conta do remetente | Parte: GALLA DESCARTAVEIS LTDA (08.020.416/0001-83)</t>
        </is>
      </c>
      <c r="O1945" s="29" t="n">
        <v>0</v>
      </c>
      <c r="P1945" s="29" t="n">
        <v>0</v>
      </c>
      <c r="Q1945" s="29" t="n">
        <v>0</v>
      </c>
      <c r="R1945" s="29" t="n">
        <v>0</v>
      </c>
      <c r="S1945" s="29" t="n">
        <v>0</v>
      </c>
      <c r="T1945" t="inlineStr">
        <is>
          <t>25250826975620000130570010000050151000000002</t>
        </is>
      </c>
      <c r="U1945" t="inlineStr">
        <is>
          <t>Não</t>
        </is>
      </c>
    </row>
    <row r="1946">
      <c r="A1946" t="inlineStr">
        <is>
          <t>Frete de venda</t>
        </is>
      </c>
      <c r="B1946" t="inlineStr">
        <is>
          <t>2.01.02 Frete sobre Vendas</t>
        </is>
      </c>
      <c r="C1946" t="inlineStr">
        <is>
          <t>Antes de 2026</t>
        </is>
      </c>
      <c r="D1946" t="inlineStr">
        <is>
          <t>Antes de 2026</t>
        </is>
      </c>
      <c r="E1946" s="28" t="n">
        <v>45895</v>
      </c>
      <c r="F1946" t="inlineStr">
        <is>
          <t>CT-e</t>
        </is>
      </c>
      <c r="G1946" t="inlineStr">
        <is>
          <t>000005016</t>
        </is>
      </c>
      <c r="H1946" t="inlineStr">
        <is>
          <t>R&amp;R TRANSPORTE E LOGISTICA</t>
        </is>
      </c>
      <c r="J1946" s="29" t="n">
        <v>13.8</v>
      </c>
      <c r="K1946" s="29">
        <f>(1-ISNUMBER(SEARCH("556",M1946)))*(O1946*SUMIFS(Premissas!$C$5:$C$44,Premissas!$A$5:$A$44,$A1946,Premissas!$B$5:$B$44,$B1946)+P1946*SUMIFS(Premissas!$D$5:$D$44,Premissas!$A$5:$A$44,$A1946,Premissas!$B$5:$B$44,$B1946))+R1946*SUMIFS(Premissas!$E$5:$E$44,Premissas!$A$5:$A$44,$A1946,Premissas!$B$5:$B$44,$B1946)+S1946*SUMIFS(Premissas!$F$5:$F$44,Premissas!$A$5:$A$44,$A1946,Premissas!$B$5:$B$44,$B1946)</f>
        <v/>
      </c>
      <c r="L1946" s="29">
        <f>J1946-K1946</f>
        <v/>
      </c>
      <c r="M1946" t="inlineStr">
        <is>
          <t>1.350</t>
        </is>
      </c>
      <c r="N1946" t="inlineStr">
        <is>
          <t>Modalidade: 0 - Por conta do remetente | Parte: CARAMELO DOCES E FESTAS LTDA. (16.787.142/0001-80)</t>
        </is>
      </c>
      <c r="O1946" s="29" t="n">
        <v>0</v>
      </c>
      <c r="P1946" s="29" t="n">
        <v>0</v>
      </c>
      <c r="Q1946" s="29" t="n">
        <v>0</v>
      </c>
      <c r="R1946" s="29" t="n">
        <v>0</v>
      </c>
      <c r="S1946" s="29" t="n">
        <v>0</v>
      </c>
      <c r="T1946" t="inlineStr">
        <is>
          <t>25250826975620000130570010000050161000000000</t>
        </is>
      </c>
      <c r="U1946" t="inlineStr">
        <is>
          <t>Não</t>
        </is>
      </c>
    </row>
    <row r="1947">
      <c r="A1947" t="inlineStr">
        <is>
          <t>Frete de venda</t>
        </is>
      </c>
      <c r="B1947" t="inlineStr">
        <is>
          <t>2.01.02 Frete sobre Vendas</t>
        </is>
      </c>
      <c r="C1947" t="inlineStr">
        <is>
          <t>Antes de 2026</t>
        </is>
      </c>
      <c r="D1947" t="inlineStr">
        <is>
          <t>Antes de 2026</t>
        </is>
      </c>
      <c r="E1947" s="28" t="n">
        <v>45895</v>
      </c>
      <c r="F1947" t="inlineStr">
        <is>
          <t>CT-e</t>
        </is>
      </c>
      <c r="G1947" t="inlineStr">
        <is>
          <t>000005017</t>
        </is>
      </c>
      <c r="H1947" t="inlineStr">
        <is>
          <t>R&amp;R TRANSPORTE E LOGISTICA</t>
        </is>
      </c>
      <c r="J1947" s="29" t="n">
        <v>20.4</v>
      </c>
      <c r="K1947" s="29">
        <f>(1-ISNUMBER(SEARCH("556",M1947)))*(O1947*SUMIFS(Premissas!$C$5:$C$44,Premissas!$A$5:$A$44,$A1947,Premissas!$B$5:$B$44,$B1947)+P1947*SUMIFS(Premissas!$D$5:$D$44,Premissas!$A$5:$A$44,$A1947,Premissas!$B$5:$B$44,$B1947))+R1947*SUMIFS(Premissas!$E$5:$E$44,Premissas!$A$5:$A$44,$A1947,Premissas!$B$5:$B$44,$B1947)+S1947*SUMIFS(Premissas!$F$5:$F$44,Premissas!$A$5:$A$44,$A1947,Premissas!$B$5:$B$44,$B1947)</f>
        <v/>
      </c>
      <c r="L1947" s="29">
        <f>J1947-K1947</f>
        <v/>
      </c>
      <c r="M1947" t="inlineStr">
        <is>
          <t>1.350</t>
        </is>
      </c>
      <c r="N1947" t="inlineStr">
        <is>
          <t>Modalidade: 0 - Por conta do remetente | Parte: JOELMA XAVIER LTDA (46.882.996/0003-79)</t>
        </is>
      </c>
      <c r="O1947" s="29" t="n">
        <v>0</v>
      </c>
      <c r="P1947" s="29" t="n">
        <v>0</v>
      </c>
      <c r="Q1947" s="29" t="n">
        <v>0</v>
      </c>
      <c r="R1947" s="29" t="n">
        <v>0</v>
      </c>
      <c r="S1947" s="29" t="n">
        <v>0</v>
      </c>
      <c r="T1947" t="inlineStr">
        <is>
          <t>25250826975620000130570010000050171000000007</t>
        </is>
      </c>
      <c r="U1947" t="inlineStr">
        <is>
          <t>Não</t>
        </is>
      </c>
    </row>
    <row r="1948">
      <c r="A1948" t="inlineStr">
        <is>
          <t>Frete de venda</t>
        </is>
      </c>
      <c r="B1948" t="inlineStr">
        <is>
          <t>2.01.02 Frete sobre Vendas</t>
        </is>
      </c>
      <c r="C1948" t="inlineStr">
        <is>
          <t>Antes de 2026</t>
        </is>
      </c>
      <c r="D1948" t="inlineStr">
        <is>
          <t>Antes de 2026</t>
        </is>
      </c>
      <c r="E1948" s="28" t="n">
        <v>45895</v>
      </c>
      <c r="F1948" t="inlineStr">
        <is>
          <t>CT-e</t>
        </is>
      </c>
      <c r="G1948" t="inlineStr">
        <is>
          <t>000005018</t>
        </is>
      </c>
      <c r="H1948" t="inlineStr">
        <is>
          <t>R&amp;R TRANSPORTE E LOGISTICA</t>
        </is>
      </c>
      <c r="J1948" s="29" t="n">
        <v>15.25</v>
      </c>
      <c r="K1948" s="29">
        <f>(1-ISNUMBER(SEARCH("556",M1948)))*(O1948*SUMIFS(Premissas!$C$5:$C$44,Premissas!$A$5:$A$44,$A1948,Premissas!$B$5:$B$44,$B1948)+P1948*SUMIFS(Premissas!$D$5:$D$44,Premissas!$A$5:$A$44,$A1948,Premissas!$B$5:$B$44,$B1948))+R1948*SUMIFS(Premissas!$E$5:$E$44,Premissas!$A$5:$A$44,$A1948,Premissas!$B$5:$B$44,$B1948)+S1948*SUMIFS(Premissas!$F$5:$F$44,Premissas!$A$5:$A$44,$A1948,Premissas!$B$5:$B$44,$B1948)</f>
        <v/>
      </c>
      <c r="L1948" s="29">
        <f>J1948-K1948</f>
        <v/>
      </c>
      <c r="M1948" t="inlineStr">
        <is>
          <t>1.350</t>
        </is>
      </c>
      <c r="N1948" t="inlineStr">
        <is>
          <t>Modalidade: 0 - Por conta do remetente | Parte: VM SHAWARSKI LTDA (24.715.843/0001-32)</t>
        </is>
      </c>
      <c r="O1948" s="29" t="n">
        <v>0</v>
      </c>
      <c r="P1948" s="29" t="n">
        <v>0</v>
      </c>
      <c r="Q1948" s="29" t="n">
        <v>0</v>
      </c>
      <c r="R1948" s="29" t="n">
        <v>0</v>
      </c>
      <c r="S1948" s="29" t="n">
        <v>0</v>
      </c>
      <c r="T1948" t="inlineStr">
        <is>
          <t>25250826975620000130570010000050181000000004</t>
        </is>
      </c>
      <c r="U1948" t="inlineStr">
        <is>
          <t>Não</t>
        </is>
      </c>
    </row>
    <row r="1949">
      <c r="A1949" t="inlineStr">
        <is>
          <t>Frete de venda</t>
        </is>
      </c>
      <c r="B1949" t="inlineStr">
        <is>
          <t>2.01.02 Frete sobre Vendas</t>
        </is>
      </c>
      <c r="C1949" t="inlineStr">
        <is>
          <t>Antes de 2026</t>
        </is>
      </c>
      <c r="D1949" t="inlineStr">
        <is>
          <t>Antes de 2026</t>
        </is>
      </c>
      <c r="E1949" s="28" t="n">
        <v>45895</v>
      </c>
      <c r="F1949" t="inlineStr">
        <is>
          <t>CT-e</t>
        </is>
      </c>
      <c r="G1949" t="inlineStr">
        <is>
          <t>000005019</t>
        </is>
      </c>
      <c r="H1949" t="inlineStr">
        <is>
          <t>R&amp;R TRANSPORTE E LOGISTICA</t>
        </is>
      </c>
      <c r="J1949" s="29" t="n">
        <v>20.03</v>
      </c>
      <c r="K1949" s="29">
        <f>(1-ISNUMBER(SEARCH("556",M1949)))*(O1949*SUMIFS(Premissas!$C$5:$C$44,Premissas!$A$5:$A$44,$A1949,Premissas!$B$5:$B$44,$B1949)+P1949*SUMIFS(Premissas!$D$5:$D$44,Premissas!$A$5:$A$44,$A1949,Premissas!$B$5:$B$44,$B1949))+R1949*SUMIFS(Premissas!$E$5:$E$44,Premissas!$A$5:$A$44,$A1949,Premissas!$B$5:$B$44,$B1949)+S1949*SUMIFS(Premissas!$F$5:$F$44,Premissas!$A$5:$A$44,$A1949,Premissas!$B$5:$B$44,$B1949)</f>
        <v/>
      </c>
      <c r="L1949" s="29">
        <f>J1949-K1949</f>
        <v/>
      </c>
      <c r="M1949" t="inlineStr">
        <is>
          <t>1.350</t>
        </is>
      </c>
      <c r="N1949" t="inlineStr">
        <is>
          <t>Modalidade: 0 - Por conta do remetente | Parte: COMANDOLLI COMERCIO DE EMBALAGENS LTDA (22.458.084/0001-44)</t>
        </is>
      </c>
      <c r="O1949" s="29" t="n">
        <v>0</v>
      </c>
      <c r="P1949" s="29" t="n">
        <v>0</v>
      </c>
      <c r="Q1949" s="29" t="n">
        <v>0</v>
      </c>
      <c r="R1949" s="29" t="n">
        <v>0</v>
      </c>
      <c r="S1949" s="29" t="n">
        <v>0</v>
      </c>
      <c r="T1949" t="inlineStr">
        <is>
          <t>25250826975620000130570010000050191000000001</t>
        </is>
      </c>
      <c r="U1949" t="inlineStr">
        <is>
          <t>Não</t>
        </is>
      </c>
    </row>
    <row r="1950">
      <c r="A1950" t="inlineStr">
        <is>
          <t>Frete de venda</t>
        </is>
      </c>
      <c r="B1950" t="inlineStr">
        <is>
          <t>2.01.02 Frete sobre Vendas</t>
        </is>
      </c>
      <c r="C1950" t="inlineStr">
        <is>
          <t>Antes de 2026</t>
        </is>
      </c>
      <c r="D1950" t="inlineStr">
        <is>
          <t>Antes de 2026</t>
        </is>
      </c>
      <c r="E1950" s="28" t="n">
        <v>45895</v>
      </c>
      <c r="F1950" t="inlineStr">
        <is>
          <t>CT-e</t>
        </is>
      </c>
      <c r="G1950" t="inlineStr">
        <is>
          <t>000005020</t>
        </is>
      </c>
      <c r="H1950" t="inlineStr">
        <is>
          <t>R&amp;R TRANSPORTE E LOGISTICA</t>
        </is>
      </c>
      <c r="J1950" s="29" t="n">
        <v>21.85</v>
      </c>
      <c r="K1950" s="29">
        <f>(1-ISNUMBER(SEARCH("556",M1950)))*(O1950*SUMIFS(Premissas!$C$5:$C$44,Premissas!$A$5:$A$44,$A1950,Premissas!$B$5:$B$44,$B1950)+P1950*SUMIFS(Premissas!$D$5:$D$44,Premissas!$A$5:$A$44,$A1950,Premissas!$B$5:$B$44,$B1950))+R1950*SUMIFS(Premissas!$E$5:$E$44,Premissas!$A$5:$A$44,$A1950,Premissas!$B$5:$B$44,$B1950)+S1950*SUMIFS(Premissas!$F$5:$F$44,Premissas!$A$5:$A$44,$A1950,Premissas!$B$5:$B$44,$B1950)</f>
        <v/>
      </c>
      <c r="L1950" s="29">
        <f>J1950-K1950</f>
        <v/>
      </c>
      <c r="M1950" t="inlineStr">
        <is>
          <t>1.350</t>
        </is>
      </c>
      <c r="N1950" t="inlineStr">
        <is>
          <t>Modalidade: 0 - Por conta do remetente | Parte: PONTO FORTE COMERCIO DE ALIMENTOS LTDA (15.072.642/0001-73)</t>
        </is>
      </c>
      <c r="O1950" s="29" t="n">
        <v>0</v>
      </c>
      <c r="P1950" s="29" t="n">
        <v>0</v>
      </c>
      <c r="Q1950" s="29" t="n">
        <v>0</v>
      </c>
      <c r="R1950" s="29" t="n">
        <v>0</v>
      </c>
      <c r="S1950" s="29" t="n">
        <v>0</v>
      </c>
      <c r="T1950" t="inlineStr">
        <is>
          <t>25250826975620000130570010000050201000000002</t>
        </is>
      </c>
      <c r="U1950" t="inlineStr">
        <is>
          <t>Não</t>
        </is>
      </c>
    </row>
    <row r="1951">
      <c r="A1951" t="inlineStr">
        <is>
          <t>Frete de venda</t>
        </is>
      </c>
      <c r="B1951" t="inlineStr">
        <is>
          <t>2.01.02 Frete sobre Vendas</t>
        </is>
      </c>
      <c r="C1951" t="inlineStr">
        <is>
          <t>Antes de 2026</t>
        </is>
      </c>
      <c r="D1951" t="inlineStr">
        <is>
          <t>Antes de 2026</t>
        </is>
      </c>
      <c r="E1951" s="28" t="n">
        <v>45895</v>
      </c>
      <c r="F1951" t="inlineStr">
        <is>
          <t>CT-e</t>
        </is>
      </c>
      <c r="G1951" t="inlineStr">
        <is>
          <t>000005021</t>
        </is>
      </c>
      <c r="H1951" t="inlineStr">
        <is>
          <t>R&amp;R TRANSPORTE E LOGISTICA</t>
        </is>
      </c>
      <c r="J1951" s="29" t="n">
        <v>26.86</v>
      </c>
      <c r="K1951" s="29">
        <f>(1-ISNUMBER(SEARCH("556",M1951)))*(O1951*SUMIFS(Premissas!$C$5:$C$44,Premissas!$A$5:$A$44,$A1951,Premissas!$B$5:$B$44,$B1951)+P1951*SUMIFS(Premissas!$D$5:$D$44,Premissas!$A$5:$A$44,$A1951,Premissas!$B$5:$B$44,$B1951))+R1951*SUMIFS(Premissas!$E$5:$E$44,Premissas!$A$5:$A$44,$A1951,Premissas!$B$5:$B$44,$B1951)+S1951*SUMIFS(Premissas!$F$5:$F$44,Premissas!$A$5:$A$44,$A1951,Premissas!$B$5:$B$44,$B1951)</f>
        <v/>
      </c>
      <c r="L1951" s="29">
        <f>J1951-K1951</f>
        <v/>
      </c>
      <c r="M1951" t="inlineStr">
        <is>
          <t>1.350</t>
        </is>
      </c>
      <c r="N1951" t="inlineStr">
        <is>
          <t>Modalidade: 0 - Por conta do remetente | Parte: LUPEL EMBALAGENS LTDA (01.807.180/0001-80)</t>
        </is>
      </c>
      <c r="O1951" s="29" t="n">
        <v>0</v>
      </c>
      <c r="P1951" s="29" t="n">
        <v>0</v>
      </c>
      <c r="Q1951" s="29" t="n">
        <v>0</v>
      </c>
      <c r="R1951" s="29" t="n">
        <v>0</v>
      </c>
      <c r="S1951" s="29" t="n">
        <v>0</v>
      </c>
      <c r="T1951" t="inlineStr">
        <is>
          <t>25250826975620000130570010000050211000000000</t>
        </is>
      </c>
      <c r="U1951" t="inlineStr">
        <is>
          <t>Não</t>
        </is>
      </c>
    </row>
    <row r="1952">
      <c r="A1952" t="inlineStr">
        <is>
          <t>Frete de venda</t>
        </is>
      </c>
      <c r="B1952" t="inlineStr">
        <is>
          <t>2.01.02 Frete sobre Vendas</t>
        </is>
      </c>
      <c r="C1952" t="inlineStr">
        <is>
          <t>Antes de 2026</t>
        </is>
      </c>
      <c r="D1952" t="inlineStr">
        <is>
          <t>Antes de 2026</t>
        </is>
      </c>
      <c r="E1952" s="28" t="n">
        <v>45895</v>
      </c>
      <c r="F1952" t="inlineStr">
        <is>
          <t>CT-e</t>
        </is>
      </c>
      <c r="G1952" t="inlineStr">
        <is>
          <t>000005022</t>
        </is>
      </c>
      <c r="H1952" t="inlineStr">
        <is>
          <t>R&amp;R TRANSPORTE E LOGISTICA</t>
        </is>
      </c>
      <c r="J1952" s="29" t="n">
        <v>40.68</v>
      </c>
      <c r="K1952" s="29">
        <f>(1-ISNUMBER(SEARCH("556",M1952)))*(O1952*SUMIFS(Premissas!$C$5:$C$44,Premissas!$A$5:$A$44,$A1952,Premissas!$B$5:$B$44,$B1952)+P1952*SUMIFS(Premissas!$D$5:$D$44,Premissas!$A$5:$A$44,$A1952,Premissas!$B$5:$B$44,$B1952))+R1952*SUMIFS(Premissas!$E$5:$E$44,Premissas!$A$5:$A$44,$A1952,Premissas!$B$5:$B$44,$B1952)+S1952*SUMIFS(Premissas!$F$5:$F$44,Premissas!$A$5:$A$44,$A1952,Premissas!$B$5:$B$44,$B1952)</f>
        <v/>
      </c>
      <c r="L1952" s="29">
        <f>J1952-K1952</f>
        <v/>
      </c>
      <c r="M1952" t="inlineStr">
        <is>
          <t>1.350</t>
        </is>
      </c>
      <c r="N1952" t="inlineStr">
        <is>
          <t>Modalidade: 0 - Por conta do remetente | Parte: ITUPEL COMERCIO DE EMBALAGENS LTDA (04.815.982/0001-20)</t>
        </is>
      </c>
      <c r="O1952" s="29" t="n">
        <v>0</v>
      </c>
      <c r="P1952" s="29" t="n">
        <v>0</v>
      </c>
      <c r="Q1952" s="29" t="n">
        <v>0</v>
      </c>
      <c r="R1952" s="29" t="n">
        <v>0</v>
      </c>
      <c r="S1952" s="29" t="n">
        <v>0</v>
      </c>
      <c r="T1952" t="inlineStr">
        <is>
          <t>25250826975620000130570010000050221000000007</t>
        </is>
      </c>
      <c r="U1952" t="inlineStr">
        <is>
          <t>Não</t>
        </is>
      </c>
    </row>
    <row r="1953">
      <c r="A1953" t="inlineStr">
        <is>
          <t>Frete de venda</t>
        </is>
      </c>
      <c r="B1953" t="inlineStr">
        <is>
          <t>2.01.02 Frete sobre Vendas</t>
        </is>
      </c>
      <c r="C1953" t="inlineStr">
        <is>
          <t>Antes de 2026</t>
        </is>
      </c>
      <c r="D1953" t="inlineStr">
        <is>
          <t>Antes de 2026</t>
        </is>
      </c>
      <c r="E1953" s="28" t="n">
        <v>45895</v>
      </c>
      <c r="F1953" t="inlineStr">
        <is>
          <t>CT-e</t>
        </is>
      </c>
      <c r="G1953" t="inlineStr">
        <is>
          <t>000005023</t>
        </is>
      </c>
      <c r="H1953" t="inlineStr">
        <is>
          <t>R&amp;R TRANSPORTE E LOGISTICA</t>
        </is>
      </c>
      <c r="J1953" s="29" t="n">
        <v>14.2</v>
      </c>
      <c r="K1953" s="29">
        <f>(1-ISNUMBER(SEARCH("556",M1953)))*(O1953*SUMIFS(Premissas!$C$5:$C$44,Premissas!$A$5:$A$44,$A1953,Premissas!$B$5:$B$44,$B1953)+P1953*SUMIFS(Premissas!$D$5:$D$44,Premissas!$A$5:$A$44,$A1953,Premissas!$B$5:$B$44,$B1953))+R1953*SUMIFS(Premissas!$E$5:$E$44,Premissas!$A$5:$A$44,$A1953,Premissas!$B$5:$B$44,$B1953)+S1953*SUMIFS(Premissas!$F$5:$F$44,Premissas!$A$5:$A$44,$A1953,Premissas!$B$5:$B$44,$B1953)</f>
        <v/>
      </c>
      <c r="L1953" s="29">
        <f>J1953-K1953</f>
        <v/>
      </c>
      <c r="M1953" t="inlineStr">
        <is>
          <t>1.350</t>
        </is>
      </c>
      <c r="N1953" t="inlineStr">
        <is>
          <t>Modalidade: 0 - Por conta do remetente | Parte: KRUGER COMERCIO VAREJISTA DE ARTIGOS DE PAPELARIA LTDA (21.126.606/0001-48)</t>
        </is>
      </c>
      <c r="O1953" s="29" t="n">
        <v>0</v>
      </c>
      <c r="P1953" s="29" t="n">
        <v>0</v>
      </c>
      <c r="Q1953" s="29" t="n">
        <v>0</v>
      </c>
      <c r="R1953" s="29" t="n">
        <v>0</v>
      </c>
      <c r="S1953" s="29" t="n">
        <v>0</v>
      </c>
      <c r="T1953" t="inlineStr">
        <is>
          <t>25250826975620000130570010000050231000000004</t>
        </is>
      </c>
      <c r="U1953" t="inlineStr">
        <is>
          <t>Não</t>
        </is>
      </c>
    </row>
    <row r="1954">
      <c r="A1954" t="inlineStr">
        <is>
          <t>Frete de venda</t>
        </is>
      </c>
      <c r="B1954" t="inlineStr">
        <is>
          <t>2.01.02 Frete sobre Vendas</t>
        </is>
      </c>
      <c r="C1954" t="inlineStr">
        <is>
          <t>Antes de 2026</t>
        </is>
      </c>
      <c r="D1954" t="inlineStr">
        <is>
          <t>Antes de 2026</t>
        </is>
      </c>
      <c r="E1954" s="28" t="n">
        <v>45895</v>
      </c>
      <c r="F1954" t="inlineStr">
        <is>
          <t>CT-e</t>
        </is>
      </c>
      <c r="G1954" t="inlineStr">
        <is>
          <t>000005024</t>
        </is>
      </c>
      <c r="H1954" t="inlineStr">
        <is>
          <t>R&amp;R TRANSPORTE E LOGISTICA</t>
        </is>
      </c>
      <c r="J1954" s="29" t="n">
        <v>25.9</v>
      </c>
      <c r="K1954" s="29">
        <f>(1-ISNUMBER(SEARCH("556",M1954)))*(O1954*SUMIFS(Premissas!$C$5:$C$44,Premissas!$A$5:$A$44,$A1954,Premissas!$B$5:$B$44,$B1954)+P1954*SUMIFS(Premissas!$D$5:$D$44,Premissas!$A$5:$A$44,$A1954,Premissas!$B$5:$B$44,$B1954))+R1954*SUMIFS(Premissas!$E$5:$E$44,Premissas!$A$5:$A$44,$A1954,Premissas!$B$5:$B$44,$B1954)+S1954*SUMIFS(Premissas!$F$5:$F$44,Premissas!$A$5:$A$44,$A1954,Premissas!$B$5:$B$44,$B1954)</f>
        <v/>
      </c>
      <c r="L1954" s="29">
        <f>J1954-K1954</f>
        <v/>
      </c>
      <c r="M1954" t="inlineStr">
        <is>
          <t>1.350</t>
        </is>
      </c>
      <c r="N1954" t="inlineStr">
        <is>
          <t>Modalidade: 0 - Por conta do remetente | Parte: VICTOR E VITORIA COMERCIO VAREJISTA E ATACADISTA DE DOCE... (33.549.814/0001-39)</t>
        </is>
      </c>
      <c r="O1954" s="29" t="n">
        <v>0</v>
      </c>
      <c r="P1954" s="29" t="n">
        <v>0</v>
      </c>
      <c r="Q1954" s="29" t="n">
        <v>0</v>
      </c>
      <c r="R1954" s="29" t="n">
        <v>0</v>
      </c>
      <c r="S1954" s="29" t="n">
        <v>0</v>
      </c>
      <c r="T1954" t="inlineStr">
        <is>
          <t>25250826975620000130570010000050241000000001</t>
        </is>
      </c>
      <c r="U1954" t="inlineStr">
        <is>
          <t>Não</t>
        </is>
      </c>
    </row>
    <row r="1955">
      <c r="A1955" t="inlineStr">
        <is>
          <t>Frete de venda</t>
        </is>
      </c>
      <c r="B1955" t="inlineStr">
        <is>
          <t>2.01.02 Frete sobre Vendas</t>
        </is>
      </c>
      <c r="C1955" t="inlineStr">
        <is>
          <t>Antes de 2026</t>
        </is>
      </c>
      <c r="D1955" t="inlineStr">
        <is>
          <t>Antes de 2026</t>
        </is>
      </c>
      <c r="E1955" s="28" t="n">
        <v>45895</v>
      </c>
      <c r="F1955" t="inlineStr">
        <is>
          <t>CT-e</t>
        </is>
      </c>
      <c r="G1955" t="inlineStr">
        <is>
          <t>000005025</t>
        </is>
      </c>
      <c r="H1955" t="inlineStr">
        <is>
          <t>R&amp;R TRANSPORTE E LOGISTICA</t>
        </is>
      </c>
      <c r="J1955" s="29" t="n">
        <v>16.2</v>
      </c>
      <c r="K1955" s="29">
        <f>(1-ISNUMBER(SEARCH("556",M1955)))*(O1955*SUMIFS(Premissas!$C$5:$C$44,Premissas!$A$5:$A$44,$A1955,Premissas!$B$5:$B$44,$B1955)+P1955*SUMIFS(Premissas!$D$5:$D$44,Premissas!$A$5:$A$44,$A1955,Premissas!$B$5:$B$44,$B1955))+R1955*SUMIFS(Premissas!$E$5:$E$44,Premissas!$A$5:$A$44,$A1955,Premissas!$B$5:$B$44,$B1955)+S1955*SUMIFS(Premissas!$F$5:$F$44,Premissas!$A$5:$A$44,$A1955,Premissas!$B$5:$B$44,$B1955)</f>
        <v/>
      </c>
      <c r="L1955" s="29">
        <f>J1955-K1955</f>
        <v/>
      </c>
      <c r="M1955" t="inlineStr">
        <is>
          <t>1.350</t>
        </is>
      </c>
      <c r="N1955" t="inlineStr">
        <is>
          <t>Modalidade: 0 - Por conta do remetente | Parte: EMBALAVILLE COMERCIO DE EMBALAGENS LTDA (66.178.742/0001-10)</t>
        </is>
      </c>
      <c r="O1955" s="29" t="n">
        <v>0</v>
      </c>
      <c r="P1955" s="29" t="n">
        <v>0</v>
      </c>
      <c r="Q1955" s="29" t="n">
        <v>0</v>
      </c>
      <c r="R1955" s="29" t="n">
        <v>0</v>
      </c>
      <c r="S1955" s="29" t="n">
        <v>0</v>
      </c>
      <c r="T1955" t="inlineStr">
        <is>
          <t>25250826975620000130570010000050251000000009</t>
        </is>
      </c>
      <c r="U1955" t="inlineStr">
        <is>
          <t>Não</t>
        </is>
      </c>
    </row>
    <row r="1956">
      <c r="A1956" t="inlineStr">
        <is>
          <t>Frete de venda</t>
        </is>
      </c>
      <c r="B1956" t="inlineStr">
        <is>
          <t>2.01.02 Frete sobre Vendas</t>
        </is>
      </c>
      <c r="C1956" t="inlineStr">
        <is>
          <t>Antes de 2026</t>
        </is>
      </c>
      <c r="D1956" t="inlineStr">
        <is>
          <t>Antes de 2026</t>
        </is>
      </c>
      <c r="E1956" s="28" t="n">
        <v>45895</v>
      </c>
      <c r="F1956" t="inlineStr">
        <is>
          <t>CT-e</t>
        </is>
      </c>
      <c r="G1956" t="inlineStr">
        <is>
          <t>000005026</t>
        </is>
      </c>
      <c r="H1956" t="inlineStr">
        <is>
          <t>R&amp;R TRANSPORTE E LOGISTICA</t>
        </is>
      </c>
      <c r="J1956" s="29" t="n">
        <v>15.32</v>
      </c>
      <c r="K1956" s="29">
        <f>(1-ISNUMBER(SEARCH("556",M1956)))*(O1956*SUMIFS(Premissas!$C$5:$C$44,Premissas!$A$5:$A$44,$A1956,Premissas!$B$5:$B$44,$B1956)+P1956*SUMIFS(Premissas!$D$5:$D$44,Premissas!$A$5:$A$44,$A1956,Premissas!$B$5:$B$44,$B1956))+R1956*SUMIFS(Premissas!$E$5:$E$44,Premissas!$A$5:$A$44,$A1956,Premissas!$B$5:$B$44,$B1956)+S1956*SUMIFS(Premissas!$F$5:$F$44,Premissas!$A$5:$A$44,$A1956,Premissas!$B$5:$B$44,$B1956)</f>
        <v/>
      </c>
      <c r="L1956" s="29">
        <f>J1956-K1956</f>
        <v/>
      </c>
      <c r="M1956" t="inlineStr">
        <is>
          <t>1.350</t>
        </is>
      </c>
      <c r="N1956" t="inlineStr">
        <is>
          <t>Modalidade: 0 - Por conta do remetente | Parte: MEIRE F. P. LOURENCO (11.719.420/0001-49)</t>
        </is>
      </c>
      <c r="O1956" s="29" t="n">
        <v>0</v>
      </c>
      <c r="P1956" s="29" t="n">
        <v>0</v>
      </c>
      <c r="Q1956" s="29" t="n">
        <v>0</v>
      </c>
      <c r="R1956" s="29" t="n">
        <v>0</v>
      </c>
      <c r="S1956" s="29" t="n">
        <v>0</v>
      </c>
      <c r="T1956" t="inlineStr">
        <is>
          <t>25250826975620000130570010000050261000000006</t>
        </is>
      </c>
      <c r="U1956" t="inlineStr">
        <is>
          <t>Não</t>
        </is>
      </c>
    </row>
    <row r="1957">
      <c r="A1957" t="inlineStr">
        <is>
          <t>Frete de venda</t>
        </is>
      </c>
      <c r="B1957" t="inlineStr">
        <is>
          <t>2.01.02 Frete sobre Vendas</t>
        </is>
      </c>
      <c r="C1957" t="inlineStr">
        <is>
          <t>Antes de 2026</t>
        </is>
      </c>
      <c r="D1957" t="inlineStr">
        <is>
          <t>Antes de 2026</t>
        </is>
      </c>
      <c r="E1957" s="28" t="n">
        <v>45895</v>
      </c>
      <c r="F1957" t="inlineStr">
        <is>
          <t>CT-e</t>
        </is>
      </c>
      <c r="G1957" t="inlineStr">
        <is>
          <t>000005027</t>
        </is>
      </c>
      <c r="H1957" t="inlineStr">
        <is>
          <t>R&amp;R TRANSPORTE E LOGISTICA</t>
        </is>
      </c>
      <c r="J1957" s="29" t="n">
        <v>14.12</v>
      </c>
      <c r="K1957" s="29">
        <f>(1-ISNUMBER(SEARCH("556",M1957)))*(O1957*SUMIFS(Premissas!$C$5:$C$44,Premissas!$A$5:$A$44,$A1957,Premissas!$B$5:$B$44,$B1957)+P1957*SUMIFS(Premissas!$D$5:$D$44,Premissas!$A$5:$A$44,$A1957,Premissas!$B$5:$B$44,$B1957))+R1957*SUMIFS(Premissas!$E$5:$E$44,Premissas!$A$5:$A$44,$A1957,Premissas!$B$5:$B$44,$B1957)+S1957*SUMIFS(Premissas!$F$5:$F$44,Premissas!$A$5:$A$44,$A1957,Premissas!$B$5:$B$44,$B1957)</f>
        <v/>
      </c>
      <c r="L1957" s="29">
        <f>J1957-K1957</f>
        <v/>
      </c>
      <c r="M1957" t="inlineStr">
        <is>
          <t>1.350</t>
        </is>
      </c>
      <c r="N1957" t="inlineStr">
        <is>
          <t>Modalidade: 0 - Por conta do remetente | Parte: JB AGGIO LTDA (95.420.758/0001-95)</t>
        </is>
      </c>
      <c r="O1957" s="29" t="n">
        <v>0</v>
      </c>
      <c r="P1957" s="29" t="n">
        <v>0</v>
      </c>
      <c r="Q1957" s="29" t="n">
        <v>0</v>
      </c>
      <c r="R1957" s="29" t="n">
        <v>0</v>
      </c>
      <c r="S1957" s="29" t="n">
        <v>0</v>
      </c>
      <c r="T1957" t="inlineStr">
        <is>
          <t>25250826975620000130570010000050271000000003</t>
        </is>
      </c>
      <c r="U1957" t="inlineStr">
        <is>
          <t>Não</t>
        </is>
      </c>
    </row>
    <row r="1958">
      <c r="A1958" t="inlineStr">
        <is>
          <t>Frete de venda</t>
        </is>
      </c>
      <c r="B1958" t="inlineStr">
        <is>
          <t>2.01.02 Frete sobre Vendas</t>
        </is>
      </c>
      <c r="C1958" t="inlineStr">
        <is>
          <t>Antes de 2026</t>
        </is>
      </c>
      <c r="D1958" t="inlineStr">
        <is>
          <t>Antes de 2026</t>
        </is>
      </c>
      <c r="E1958" s="28" t="n">
        <v>45895</v>
      </c>
      <c r="F1958" t="inlineStr">
        <is>
          <t>CT-e</t>
        </is>
      </c>
      <c r="G1958" t="inlineStr">
        <is>
          <t>000005028</t>
        </is>
      </c>
      <c r="H1958" t="inlineStr">
        <is>
          <t>R&amp;R TRANSPORTE E LOGISTICA</t>
        </is>
      </c>
      <c r="J1958" s="29" t="n">
        <v>17.3</v>
      </c>
      <c r="K1958" s="29">
        <f>(1-ISNUMBER(SEARCH("556",M1958)))*(O1958*SUMIFS(Premissas!$C$5:$C$44,Premissas!$A$5:$A$44,$A1958,Premissas!$B$5:$B$44,$B1958)+P1958*SUMIFS(Premissas!$D$5:$D$44,Premissas!$A$5:$A$44,$A1958,Premissas!$B$5:$B$44,$B1958))+R1958*SUMIFS(Premissas!$E$5:$E$44,Premissas!$A$5:$A$44,$A1958,Premissas!$B$5:$B$44,$B1958)+S1958*SUMIFS(Premissas!$F$5:$F$44,Premissas!$A$5:$A$44,$A1958,Premissas!$B$5:$B$44,$B1958)</f>
        <v/>
      </c>
      <c r="L1958" s="29">
        <f>J1958-K1958</f>
        <v/>
      </c>
      <c r="M1958" t="inlineStr">
        <is>
          <t>1.350</t>
        </is>
      </c>
      <c r="N1958" t="inlineStr">
        <is>
          <t>Modalidade: 0 - Por conta do remetente | Parte: JOIA ATACADO DE EMBALAGENS E COM DE ALIMENTOS LTDA (24.505.271/0001-67)</t>
        </is>
      </c>
      <c r="O1958" s="29" t="n">
        <v>0</v>
      </c>
      <c r="P1958" s="29" t="n">
        <v>0</v>
      </c>
      <c r="Q1958" s="29" t="n">
        <v>0</v>
      </c>
      <c r="R1958" s="29" t="n">
        <v>0</v>
      </c>
      <c r="S1958" s="29" t="n">
        <v>0</v>
      </c>
      <c r="T1958" t="inlineStr">
        <is>
          <t>25250826975620000130570010000050281000000000</t>
        </is>
      </c>
      <c r="U1958" t="inlineStr">
        <is>
          <t>Não</t>
        </is>
      </c>
    </row>
    <row r="1959">
      <c r="A1959" t="inlineStr">
        <is>
          <t>Frete de venda</t>
        </is>
      </c>
      <c r="B1959" t="inlineStr">
        <is>
          <t>2.01.02 Frete sobre Vendas</t>
        </is>
      </c>
      <c r="C1959" t="inlineStr">
        <is>
          <t>Antes de 2026</t>
        </is>
      </c>
      <c r="D1959" t="inlineStr">
        <is>
          <t>Antes de 2026</t>
        </is>
      </c>
      <c r="E1959" s="28" t="n">
        <v>45895</v>
      </c>
      <c r="F1959" t="inlineStr">
        <is>
          <t>CT-e</t>
        </is>
      </c>
      <c r="G1959" t="inlineStr">
        <is>
          <t>000005029</t>
        </is>
      </c>
      <c r="H1959" t="inlineStr">
        <is>
          <t>R&amp;R TRANSPORTE E LOGISTICA</t>
        </is>
      </c>
      <c r="J1959" s="29" t="n">
        <v>19.97</v>
      </c>
      <c r="K1959" s="29">
        <f>(1-ISNUMBER(SEARCH("556",M1959)))*(O1959*SUMIFS(Premissas!$C$5:$C$44,Premissas!$A$5:$A$44,$A1959,Premissas!$B$5:$B$44,$B1959)+P1959*SUMIFS(Premissas!$D$5:$D$44,Premissas!$A$5:$A$44,$A1959,Premissas!$B$5:$B$44,$B1959))+R1959*SUMIFS(Premissas!$E$5:$E$44,Premissas!$A$5:$A$44,$A1959,Premissas!$B$5:$B$44,$B1959)+S1959*SUMIFS(Premissas!$F$5:$F$44,Premissas!$A$5:$A$44,$A1959,Premissas!$B$5:$B$44,$B1959)</f>
        <v/>
      </c>
      <c r="L1959" s="29">
        <f>J1959-K1959</f>
        <v/>
      </c>
      <c r="M1959" t="inlineStr">
        <is>
          <t>1.350</t>
        </is>
      </c>
      <c r="N1959" t="inlineStr">
        <is>
          <t>Modalidade: 0 - Por conta do remetente | Parte: HJM DISTRIBUICAO DE FRIOS LTDA (15.491.554/0001-06)</t>
        </is>
      </c>
      <c r="O1959" s="29" t="n">
        <v>0</v>
      </c>
      <c r="P1959" s="29" t="n">
        <v>0</v>
      </c>
      <c r="Q1959" s="29" t="n">
        <v>0</v>
      </c>
      <c r="R1959" s="29" t="n">
        <v>0</v>
      </c>
      <c r="S1959" s="29" t="n">
        <v>0</v>
      </c>
      <c r="T1959" t="inlineStr">
        <is>
          <t>25250826975620000130570010000050291000000008</t>
        </is>
      </c>
      <c r="U1959" t="inlineStr">
        <is>
          <t>Não</t>
        </is>
      </c>
    </row>
    <row r="1960">
      <c r="A1960" t="inlineStr">
        <is>
          <t>Frete de venda</t>
        </is>
      </c>
      <c r="B1960" t="inlineStr">
        <is>
          <t>2.01.02 Frete sobre Vendas</t>
        </is>
      </c>
      <c r="C1960" t="inlineStr">
        <is>
          <t>Antes de 2026</t>
        </is>
      </c>
      <c r="D1960" t="inlineStr">
        <is>
          <t>Antes de 2026</t>
        </is>
      </c>
      <c r="E1960" s="28" t="n">
        <v>45895</v>
      </c>
      <c r="F1960" t="inlineStr">
        <is>
          <t>CT-e</t>
        </is>
      </c>
      <c r="G1960" t="inlineStr">
        <is>
          <t>000005030</t>
        </is>
      </c>
      <c r="H1960" t="inlineStr">
        <is>
          <t>R&amp;R TRANSPORTE E LOGISTICA</t>
        </is>
      </c>
      <c r="J1960" s="29" t="n">
        <v>16.61</v>
      </c>
      <c r="K1960" s="29">
        <f>(1-ISNUMBER(SEARCH("556",M1960)))*(O1960*SUMIFS(Premissas!$C$5:$C$44,Premissas!$A$5:$A$44,$A1960,Premissas!$B$5:$B$44,$B1960)+P1960*SUMIFS(Premissas!$D$5:$D$44,Premissas!$A$5:$A$44,$A1960,Premissas!$B$5:$B$44,$B1960))+R1960*SUMIFS(Premissas!$E$5:$E$44,Premissas!$A$5:$A$44,$A1960,Premissas!$B$5:$B$44,$B1960)+S1960*SUMIFS(Premissas!$F$5:$F$44,Premissas!$A$5:$A$44,$A1960,Premissas!$B$5:$B$44,$B1960)</f>
        <v/>
      </c>
      <c r="L1960" s="29">
        <f>J1960-K1960</f>
        <v/>
      </c>
      <c r="M1960" t="inlineStr">
        <is>
          <t>1.350</t>
        </is>
      </c>
      <c r="N1960" t="inlineStr">
        <is>
          <t>Modalidade: 0 - Por conta do remetente | Parte: CASA NOVA COMERCIO DE EMBALAGENS LTDA (05.390.605/0001-50)</t>
        </is>
      </c>
      <c r="O1960" s="29" t="n">
        <v>0</v>
      </c>
      <c r="P1960" s="29" t="n">
        <v>0</v>
      </c>
      <c r="Q1960" s="29" t="n">
        <v>0</v>
      </c>
      <c r="R1960" s="29" t="n">
        <v>0</v>
      </c>
      <c r="S1960" s="29" t="n">
        <v>0</v>
      </c>
      <c r="T1960" t="inlineStr">
        <is>
          <t>25250826975620000130570010000050301000000009</t>
        </is>
      </c>
      <c r="U1960" t="inlineStr">
        <is>
          <t>Não</t>
        </is>
      </c>
    </row>
    <row r="1961">
      <c r="A1961" t="inlineStr">
        <is>
          <t>Frete de venda</t>
        </is>
      </c>
      <c r="B1961" t="inlineStr">
        <is>
          <t>2.01.02 Frete sobre Vendas</t>
        </is>
      </c>
      <c r="C1961" t="inlineStr">
        <is>
          <t>Antes de 2026</t>
        </is>
      </c>
      <c r="D1961" t="inlineStr">
        <is>
          <t>Antes de 2026</t>
        </is>
      </c>
      <c r="E1961" s="28" t="n">
        <v>45895</v>
      </c>
      <c r="F1961" t="inlineStr">
        <is>
          <t>CT-e</t>
        </is>
      </c>
      <c r="G1961" t="inlineStr">
        <is>
          <t>000005031</t>
        </is>
      </c>
      <c r="H1961" t="inlineStr">
        <is>
          <t>R&amp;R TRANSPORTE E LOGISTICA</t>
        </is>
      </c>
      <c r="J1961" s="29" t="n">
        <v>21.82</v>
      </c>
      <c r="K1961" s="29">
        <f>(1-ISNUMBER(SEARCH("556",M1961)))*(O1961*SUMIFS(Premissas!$C$5:$C$44,Premissas!$A$5:$A$44,$A1961,Premissas!$B$5:$B$44,$B1961)+P1961*SUMIFS(Premissas!$D$5:$D$44,Premissas!$A$5:$A$44,$A1961,Premissas!$B$5:$B$44,$B1961))+R1961*SUMIFS(Premissas!$E$5:$E$44,Premissas!$A$5:$A$44,$A1961,Premissas!$B$5:$B$44,$B1961)+S1961*SUMIFS(Premissas!$F$5:$F$44,Premissas!$A$5:$A$44,$A1961,Premissas!$B$5:$B$44,$B1961)</f>
        <v/>
      </c>
      <c r="L1961" s="29">
        <f>J1961-K1961</f>
        <v/>
      </c>
      <c r="M1961" t="inlineStr">
        <is>
          <t>1.350</t>
        </is>
      </c>
      <c r="N1961" t="inlineStr">
        <is>
          <t>Modalidade: 0 - Por conta do remetente | Parte: S. DO ROCIO BOAVENTURA ROSA LTDA (40.655.682/0001-95)</t>
        </is>
      </c>
      <c r="O1961" s="29" t="n">
        <v>0</v>
      </c>
      <c r="P1961" s="29" t="n">
        <v>0</v>
      </c>
      <c r="Q1961" s="29" t="n">
        <v>0</v>
      </c>
      <c r="R1961" s="29" t="n">
        <v>0</v>
      </c>
      <c r="S1961" s="29" t="n">
        <v>0</v>
      </c>
      <c r="T1961" t="inlineStr">
        <is>
          <t>25250826975620000130570010000050311000000006</t>
        </is>
      </c>
      <c r="U1961" t="inlineStr">
        <is>
          <t>Não</t>
        </is>
      </c>
    </row>
    <row r="1962">
      <c r="A1962" t="inlineStr">
        <is>
          <t>Frete de venda</t>
        </is>
      </c>
      <c r="B1962" t="inlineStr">
        <is>
          <t>2.01.02 Frete sobre Vendas</t>
        </is>
      </c>
      <c r="C1962" t="inlineStr">
        <is>
          <t>Antes de 2026</t>
        </is>
      </c>
      <c r="D1962" t="inlineStr">
        <is>
          <t>Antes de 2026</t>
        </is>
      </c>
      <c r="E1962" s="28" t="n">
        <v>45895</v>
      </c>
      <c r="F1962" t="inlineStr">
        <is>
          <t>CT-e</t>
        </is>
      </c>
      <c r="G1962" t="inlineStr">
        <is>
          <t>000005032</t>
        </is>
      </c>
      <c r="H1962" t="inlineStr">
        <is>
          <t>R&amp;R TRANSPORTE E LOGISTICA</t>
        </is>
      </c>
      <c r="J1962" s="29" t="n">
        <v>14.4</v>
      </c>
      <c r="K1962" s="29">
        <f>(1-ISNUMBER(SEARCH("556",M1962)))*(O1962*SUMIFS(Premissas!$C$5:$C$44,Premissas!$A$5:$A$44,$A1962,Premissas!$B$5:$B$44,$B1962)+P1962*SUMIFS(Premissas!$D$5:$D$44,Premissas!$A$5:$A$44,$A1962,Premissas!$B$5:$B$44,$B1962))+R1962*SUMIFS(Premissas!$E$5:$E$44,Premissas!$A$5:$A$44,$A1962,Premissas!$B$5:$B$44,$B1962)+S1962*SUMIFS(Premissas!$F$5:$F$44,Premissas!$A$5:$A$44,$A1962,Premissas!$B$5:$B$44,$B1962)</f>
        <v/>
      </c>
      <c r="L1962" s="29">
        <f>J1962-K1962</f>
        <v/>
      </c>
      <c r="M1962" t="inlineStr">
        <is>
          <t>1.350</t>
        </is>
      </c>
      <c r="N1962" t="inlineStr">
        <is>
          <t>Modalidade: 0 - Por conta do remetente | Parte: BEBIFRIOS COMERCIAL LTDA (05.796.195/0001-41)</t>
        </is>
      </c>
      <c r="O1962" s="29" t="n">
        <v>0</v>
      </c>
      <c r="P1962" s="29" t="n">
        <v>0</v>
      </c>
      <c r="Q1962" s="29" t="n">
        <v>0</v>
      </c>
      <c r="R1962" s="29" t="n">
        <v>0</v>
      </c>
      <c r="S1962" s="29" t="n">
        <v>0</v>
      </c>
      <c r="T1962" t="inlineStr">
        <is>
          <t>25250826975620000130570010000050321000000003</t>
        </is>
      </c>
      <c r="U1962" t="inlineStr">
        <is>
          <t>Não</t>
        </is>
      </c>
    </row>
    <row r="1963">
      <c r="A1963" t="inlineStr">
        <is>
          <t>Frete de venda</t>
        </is>
      </c>
      <c r="B1963" t="inlineStr">
        <is>
          <t>2.01.02 Frete sobre Vendas</t>
        </is>
      </c>
      <c r="C1963" t="inlineStr">
        <is>
          <t>Antes de 2026</t>
        </is>
      </c>
      <c r="D1963" t="inlineStr">
        <is>
          <t>Antes de 2026</t>
        </is>
      </c>
      <c r="E1963" s="28" t="n">
        <v>45895</v>
      </c>
      <c r="F1963" t="inlineStr">
        <is>
          <t>CT-e</t>
        </is>
      </c>
      <c r="G1963" t="inlineStr">
        <is>
          <t>000005033</t>
        </is>
      </c>
      <c r="H1963" t="inlineStr">
        <is>
          <t>R&amp;R TRANSPORTE E LOGISTICA</t>
        </is>
      </c>
      <c r="J1963" s="29" t="n">
        <v>17.12</v>
      </c>
      <c r="K1963" s="29">
        <f>(1-ISNUMBER(SEARCH("556",M1963)))*(O1963*SUMIFS(Premissas!$C$5:$C$44,Premissas!$A$5:$A$44,$A1963,Premissas!$B$5:$B$44,$B1963)+P1963*SUMIFS(Premissas!$D$5:$D$44,Premissas!$A$5:$A$44,$A1963,Premissas!$B$5:$B$44,$B1963))+R1963*SUMIFS(Premissas!$E$5:$E$44,Premissas!$A$5:$A$44,$A1963,Premissas!$B$5:$B$44,$B1963)+S1963*SUMIFS(Premissas!$F$5:$F$44,Premissas!$A$5:$A$44,$A1963,Premissas!$B$5:$B$44,$B1963)</f>
        <v/>
      </c>
      <c r="L1963" s="29">
        <f>J1963-K1963</f>
        <v/>
      </c>
      <c r="M1963" t="inlineStr">
        <is>
          <t>1.350</t>
        </is>
      </c>
      <c r="N1963" t="inlineStr">
        <is>
          <t>Modalidade: 0 - Por conta do remetente | Parte: DISTRIBUIDORA FACIL COMERCIO DE SECOS LTDA (47.027.814/0001-83)</t>
        </is>
      </c>
      <c r="O1963" s="29" t="n">
        <v>0</v>
      </c>
      <c r="P1963" s="29" t="n">
        <v>0</v>
      </c>
      <c r="Q1963" s="29" t="n">
        <v>0</v>
      </c>
      <c r="R1963" s="29" t="n">
        <v>0</v>
      </c>
      <c r="S1963" s="29" t="n">
        <v>0</v>
      </c>
      <c r="T1963" t="inlineStr">
        <is>
          <t>25250826975620000130570010000050331000000000</t>
        </is>
      </c>
      <c r="U1963" t="inlineStr">
        <is>
          <t>Não</t>
        </is>
      </c>
    </row>
    <row r="1964">
      <c r="A1964" t="inlineStr">
        <is>
          <t>Frete de venda</t>
        </is>
      </c>
      <c r="B1964" t="inlineStr">
        <is>
          <t>2.01.02 Frete sobre Vendas</t>
        </is>
      </c>
      <c r="C1964" t="inlineStr">
        <is>
          <t>Antes de 2026</t>
        </is>
      </c>
      <c r="D1964" t="inlineStr">
        <is>
          <t>Antes de 2026</t>
        </is>
      </c>
      <c r="E1964" s="28" t="n">
        <v>45895</v>
      </c>
      <c r="F1964" t="inlineStr">
        <is>
          <t>CT-e</t>
        </is>
      </c>
      <c r="G1964" t="inlineStr">
        <is>
          <t>000005034</t>
        </is>
      </c>
      <c r="H1964" t="inlineStr">
        <is>
          <t>R&amp;R TRANSPORTE E LOGISTICA</t>
        </is>
      </c>
      <c r="J1964" s="29" t="n">
        <v>12.91</v>
      </c>
      <c r="K1964" s="29">
        <f>(1-ISNUMBER(SEARCH("556",M1964)))*(O1964*SUMIFS(Premissas!$C$5:$C$44,Premissas!$A$5:$A$44,$A1964,Premissas!$B$5:$B$44,$B1964)+P1964*SUMIFS(Premissas!$D$5:$D$44,Premissas!$A$5:$A$44,$A1964,Premissas!$B$5:$B$44,$B1964))+R1964*SUMIFS(Premissas!$E$5:$E$44,Premissas!$A$5:$A$44,$A1964,Premissas!$B$5:$B$44,$B1964)+S1964*SUMIFS(Premissas!$F$5:$F$44,Premissas!$A$5:$A$44,$A1964,Premissas!$B$5:$B$44,$B1964)</f>
        <v/>
      </c>
      <c r="L1964" s="29">
        <f>J1964-K1964</f>
        <v/>
      </c>
      <c r="M1964" t="inlineStr">
        <is>
          <t>1.350</t>
        </is>
      </c>
      <c r="N1964" t="inlineStr">
        <is>
          <t>Modalidade: 0 - Por conta do remetente | Parte: PIPOTECA COMERCIO DE DOCES LTDA (12.612.747/0001-80)</t>
        </is>
      </c>
      <c r="O1964" s="29" t="n">
        <v>0</v>
      </c>
      <c r="P1964" s="29" t="n">
        <v>0</v>
      </c>
      <c r="Q1964" s="29" t="n">
        <v>0</v>
      </c>
      <c r="R1964" s="29" t="n">
        <v>0</v>
      </c>
      <c r="S1964" s="29" t="n">
        <v>0</v>
      </c>
      <c r="T1964" t="inlineStr">
        <is>
          <t>25250826975620000130570010000050341000000008</t>
        </is>
      </c>
      <c r="U1964" t="inlineStr">
        <is>
          <t>Não</t>
        </is>
      </c>
    </row>
    <row r="1965">
      <c r="A1965" t="inlineStr">
        <is>
          <t>Frete de venda</t>
        </is>
      </c>
      <c r="B1965" t="inlineStr">
        <is>
          <t>2.01.02 Frete sobre Vendas</t>
        </is>
      </c>
      <c r="C1965" t="inlineStr">
        <is>
          <t>Antes de 2026</t>
        </is>
      </c>
      <c r="D1965" t="inlineStr">
        <is>
          <t>Antes de 2026</t>
        </is>
      </c>
      <c r="E1965" s="28" t="n">
        <v>45895</v>
      </c>
      <c r="F1965" t="inlineStr">
        <is>
          <t>CT-e</t>
        </is>
      </c>
      <c r="G1965" t="inlineStr">
        <is>
          <t>000005035</t>
        </is>
      </c>
      <c r="H1965" t="inlineStr">
        <is>
          <t>R&amp;R TRANSPORTE E LOGISTICA</t>
        </is>
      </c>
      <c r="J1965" s="29" t="n">
        <v>20.66</v>
      </c>
      <c r="K1965" s="29">
        <f>(1-ISNUMBER(SEARCH("556",M1965)))*(O1965*SUMIFS(Premissas!$C$5:$C$44,Premissas!$A$5:$A$44,$A1965,Premissas!$B$5:$B$44,$B1965)+P1965*SUMIFS(Premissas!$D$5:$D$44,Premissas!$A$5:$A$44,$A1965,Premissas!$B$5:$B$44,$B1965))+R1965*SUMIFS(Premissas!$E$5:$E$44,Premissas!$A$5:$A$44,$A1965,Premissas!$B$5:$B$44,$B1965)+S1965*SUMIFS(Premissas!$F$5:$F$44,Premissas!$A$5:$A$44,$A1965,Premissas!$B$5:$B$44,$B1965)</f>
        <v/>
      </c>
      <c r="L1965" s="29">
        <f>J1965-K1965</f>
        <v/>
      </c>
      <c r="M1965" t="inlineStr">
        <is>
          <t>1.350</t>
        </is>
      </c>
      <c r="N1965" t="inlineStr">
        <is>
          <t>Modalidade: 0 - Por conta do remetente | Parte: FRIOSETE COMERCIO DE FRIOS LTDA (97.426.472/0001-42)</t>
        </is>
      </c>
      <c r="O1965" s="29" t="n">
        <v>0</v>
      </c>
      <c r="P1965" s="29" t="n">
        <v>0</v>
      </c>
      <c r="Q1965" s="29" t="n">
        <v>0</v>
      </c>
      <c r="R1965" s="29" t="n">
        <v>0</v>
      </c>
      <c r="S1965" s="29" t="n">
        <v>0</v>
      </c>
      <c r="T1965" t="inlineStr">
        <is>
          <t>25250826975620000130570010000050351000000005</t>
        </is>
      </c>
      <c r="U1965" t="inlineStr">
        <is>
          <t>Não</t>
        </is>
      </c>
    </row>
    <row r="1966">
      <c r="A1966" t="inlineStr">
        <is>
          <t>Frete de venda</t>
        </is>
      </c>
      <c r="B1966" t="inlineStr">
        <is>
          <t>2.01.02 Frete sobre Vendas</t>
        </is>
      </c>
      <c r="C1966" t="inlineStr">
        <is>
          <t>Antes de 2026</t>
        </is>
      </c>
      <c r="D1966" t="inlineStr">
        <is>
          <t>Antes de 2026</t>
        </is>
      </c>
      <c r="E1966" s="28" t="n">
        <v>45896</v>
      </c>
      <c r="F1966" t="inlineStr">
        <is>
          <t>CT-e</t>
        </is>
      </c>
      <c r="G1966" t="inlineStr">
        <is>
          <t>000005042</t>
        </is>
      </c>
      <c r="H1966" t="inlineStr">
        <is>
          <t>R&amp;R TRANSPORTE E LOGISTICA</t>
        </is>
      </c>
      <c r="J1966" s="29" t="n">
        <v>76.69</v>
      </c>
      <c r="K1966" s="29">
        <f>(1-ISNUMBER(SEARCH("556",M1966)))*(O1966*SUMIFS(Premissas!$C$5:$C$44,Premissas!$A$5:$A$44,$A1966,Premissas!$B$5:$B$44,$B1966)+P1966*SUMIFS(Premissas!$D$5:$D$44,Premissas!$A$5:$A$44,$A1966,Premissas!$B$5:$B$44,$B1966))+R1966*SUMIFS(Premissas!$E$5:$E$44,Premissas!$A$5:$A$44,$A1966,Premissas!$B$5:$B$44,$B1966)+S1966*SUMIFS(Premissas!$F$5:$F$44,Premissas!$A$5:$A$44,$A1966,Premissas!$B$5:$B$44,$B1966)</f>
        <v/>
      </c>
      <c r="L1966" s="29">
        <f>J1966-K1966</f>
        <v/>
      </c>
      <c r="M1966" t="inlineStr">
        <is>
          <t>1.350</t>
        </is>
      </c>
      <c r="N1966" t="inlineStr">
        <is>
          <t>Modalidade: 0 - Por conta do remetente | Parte: EMBALAGENS RAYA COMERCIO E DISTRIBUICAO LTDA (42.748.520/0001-27)</t>
        </is>
      </c>
      <c r="O1966" s="29" t="n">
        <v>0</v>
      </c>
      <c r="P1966" s="29" t="n">
        <v>0</v>
      </c>
      <c r="Q1966" s="29" t="n">
        <v>0</v>
      </c>
      <c r="R1966" s="29" t="n">
        <v>0</v>
      </c>
      <c r="S1966" s="29" t="n">
        <v>0</v>
      </c>
      <c r="T1966" t="inlineStr">
        <is>
          <t>25250826975620000130570010000050421000000000</t>
        </is>
      </c>
      <c r="U1966" t="inlineStr">
        <is>
          <t>Não</t>
        </is>
      </c>
    </row>
    <row r="1967">
      <c r="A1967" t="inlineStr">
        <is>
          <t>Frete de venda</t>
        </is>
      </c>
      <c r="B1967" t="inlineStr">
        <is>
          <t>2.01.02 Frete sobre Vendas</t>
        </is>
      </c>
      <c r="C1967" t="inlineStr">
        <is>
          <t>Antes de 2026</t>
        </is>
      </c>
      <c r="D1967" t="inlineStr">
        <is>
          <t>Antes de 2026</t>
        </is>
      </c>
      <c r="E1967" s="28" t="n">
        <v>45896</v>
      </c>
      <c r="F1967" t="inlineStr">
        <is>
          <t>CT-e</t>
        </is>
      </c>
      <c r="G1967" t="inlineStr">
        <is>
          <t>000005043</t>
        </is>
      </c>
      <c r="H1967" t="inlineStr">
        <is>
          <t>R&amp;R TRANSPORTE E LOGISTICA</t>
        </is>
      </c>
      <c r="J1967" s="29" t="n">
        <v>16.5</v>
      </c>
      <c r="K1967" s="29">
        <f>(1-ISNUMBER(SEARCH("556",M1967)))*(O1967*SUMIFS(Premissas!$C$5:$C$44,Premissas!$A$5:$A$44,$A1967,Premissas!$B$5:$B$44,$B1967)+P1967*SUMIFS(Premissas!$D$5:$D$44,Premissas!$A$5:$A$44,$A1967,Premissas!$B$5:$B$44,$B1967))+R1967*SUMIFS(Premissas!$E$5:$E$44,Premissas!$A$5:$A$44,$A1967,Premissas!$B$5:$B$44,$B1967)+S1967*SUMIFS(Premissas!$F$5:$F$44,Premissas!$A$5:$A$44,$A1967,Premissas!$B$5:$B$44,$B1967)</f>
        <v/>
      </c>
      <c r="L1967" s="29">
        <f>J1967-K1967</f>
        <v/>
      </c>
      <c r="M1967" t="inlineStr">
        <is>
          <t>1.350</t>
        </is>
      </c>
      <c r="N1967" t="inlineStr">
        <is>
          <t>Modalidade: 0 - Por conta do remetente | Parte: DISTRIBUIDORA ISAGAM LTDA (41.809.575/0001-37)</t>
        </is>
      </c>
      <c r="O1967" s="29" t="n">
        <v>0</v>
      </c>
      <c r="P1967" s="29" t="n">
        <v>0</v>
      </c>
      <c r="Q1967" s="29" t="n">
        <v>0</v>
      </c>
      <c r="R1967" s="29" t="n">
        <v>0</v>
      </c>
      <c r="S1967" s="29" t="n">
        <v>0</v>
      </c>
      <c r="T1967" t="inlineStr">
        <is>
          <t>25250826975620000130570010000050431000000007</t>
        </is>
      </c>
      <c r="U1967" t="inlineStr">
        <is>
          <t>Não</t>
        </is>
      </c>
    </row>
    <row r="1968">
      <c r="A1968" t="inlineStr">
        <is>
          <t>Frete de venda</t>
        </is>
      </c>
      <c r="B1968" t="inlineStr">
        <is>
          <t>2.01.02 Frete sobre Vendas</t>
        </is>
      </c>
      <c r="C1968" t="inlineStr">
        <is>
          <t>Antes de 2026</t>
        </is>
      </c>
      <c r="D1968" t="inlineStr">
        <is>
          <t>Antes de 2026</t>
        </is>
      </c>
      <c r="E1968" s="28" t="n">
        <v>45896</v>
      </c>
      <c r="F1968" t="inlineStr">
        <is>
          <t>CT-e</t>
        </is>
      </c>
      <c r="G1968" t="inlineStr">
        <is>
          <t>000005044</t>
        </is>
      </c>
      <c r="H1968" t="inlineStr">
        <is>
          <t>R&amp;R TRANSPORTE E LOGISTICA</t>
        </is>
      </c>
      <c r="J1968" s="29" t="n">
        <v>30.55</v>
      </c>
      <c r="K1968" s="29">
        <f>(1-ISNUMBER(SEARCH("556",M1968)))*(O1968*SUMIFS(Premissas!$C$5:$C$44,Premissas!$A$5:$A$44,$A1968,Premissas!$B$5:$B$44,$B1968)+P1968*SUMIFS(Premissas!$D$5:$D$44,Premissas!$A$5:$A$44,$A1968,Premissas!$B$5:$B$44,$B1968))+R1968*SUMIFS(Premissas!$E$5:$E$44,Premissas!$A$5:$A$44,$A1968,Premissas!$B$5:$B$44,$B1968)+S1968*SUMIFS(Premissas!$F$5:$F$44,Premissas!$A$5:$A$44,$A1968,Premissas!$B$5:$B$44,$B1968)</f>
        <v/>
      </c>
      <c r="L1968" s="29">
        <f>J1968-K1968</f>
        <v/>
      </c>
      <c r="M1968" t="inlineStr">
        <is>
          <t>1.350</t>
        </is>
      </c>
      <c r="N1968" t="inlineStr">
        <is>
          <t>Modalidade: 0 - Por conta do remetente | Parte: A e V COMERCIO DE EMBALAGENS LTDA (05.419.034/0001-39)</t>
        </is>
      </c>
      <c r="O1968" s="29" t="n">
        <v>0</v>
      </c>
      <c r="P1968" s="29" t="n">
        <v>0</v>
      </c>
      <c r="Q1968" s="29" t="n">
        <v>0</v>
      </c>
      <c r="R1968" s="29" t="n">
        <v>0</v>
      </c>
      <c r="S1968" s="29" t="n">
        <v>0</v>
      </c>
      <c r="T1968" t="inlineStr">
        <is>
          <t>25250826975620000130570010000050441000000004</t>
        </is>
      </c>
      <c r="U1968" t="inlineStr">
        <is>
          <t>Não</t>
        </is>
      </c>
    </row>
    <row r="1969">
      <c r="A1969" t="inlineStr">
        <is>
          <t>Frete de venda</t>
        </is>
      </c>
      <c r="B1969" t="inlineStr">
        <is>
          <t>2.01.02 Frete sobre Vendas</t>
        </is>
      </c>
      <c r="C1969" t="inlineStr">
        <is>
          <t>Antes de 2026</t>
        </is>
      </c>
      <c r="D1969" t="inlineStr">
        <is>
          <t>Antes de 2026</t>
        </is>
      </c>
      <c r="E1969" s="28" t="n">
        <v>45896</v>
      </c>
      <c r="F1969" t="inlineStr">
        <is>
          <t>CT-e</t>
        </is>
      </c>
      <c r="G1969" t="inlineStr">
        <is>
          <t>000005045</t>
        </is>
      </c>
      <c r="H1969" t="inlineStr">
        <is>
          <t>R&amp;R TRANSPORTE E LOGISTICA</t>
        </is>
      </c>
      <c r="J1969" s="29" t="n">
        <v>15.24</v>
      </c>
      <c r="K1969" s="29">
        <f>(1-ISNUMBER(SEARCH("556",M1969)))*(O1969*SUMIFS(Premissas!$C$5:$C$44,Premissas!$A$5:$A$44,$A1969,Premissas!$B$5:$B$44,$B1969)+P1969*SUMIFS(Premissas!$D$5:$D$44,Premissas!$A$5:$A$44,$A1969,Premissas!$B$5:$B$44,$B1969))+R1969*SUMIFS(Premissas!$E$5:$E$44,Premissas!$A$5:$A$44,$A1969,Premissas!$B$5:$B$44,$B1969)+S1969*SUMIFS(Premissas!$F$5:$F$44,Premissas!$A$5:$A$44,$A1969,Premissas!$B$5:$B$44,$B1969)</f>
        <v/>
      </c>
      <c r="L1969" s="29">
        <f>J1969-K1969</f>
        <v/>
      </c>
      <c r="M1969" t="inlineStr">
        <is>
          <t>1.350</t>
        </is>
      </c>
      <c r="N1969" t="inlineStr">
        <is>
          <t>Modalidade: 0 - Por conta do remetente | Parte: HCR - COMERCIO DE EMBALAGENS LTDA (01.730.981/0001-95)</t>
        </is>
      </c>
      <c r="O1969" s="29" t="n">
        <v>0</v>
      </c>
      <c r="P1969" s="29" t="n">
        <v>0</v>
      </c>
      <c r="Q1969" s="29" t="n">
        <v>0</v>
      </c>
      <c r="R1969" s="29" t="n">
        <v>0</v>
      </c>
      <c r="S1969" s="29" t="n">
        <v>0</v>
      </c>
      <c r="T1969" t="inlineStr">
        <is>
          <t>25250826975620000130570010000050451000000001</t>
        </is>
      </c>
      <c r="U1969" t="inlineStr">
        <is>
          <t>Não</t>
        </is>
      </c>
    </row>
    <row r="1970">
      <c r="A1970" t="inlineStr">
        <is>
          <t>Frete de venda</t>
        </is>
      </c>
      <c r="B1970" t="inlineStr">
        <is>
          <t>2.01.02 Frete sobre Vendas</t>
        </is>
      </c>
      <c r="C1970" t="inlineStr">
        <is>
          <t>Antes de 2026</t>
        </is>
      </c>
      <c r="D1970" t="inlineStr">
        <is>
          <t>Antes de 2026</t>
        </is>
      </c>
      <c r="E1970" s="28" t="n">
        <v>45896</v>
      </c>
      <c r="F1970" t="inlineStr">
        <is>
          <t>CT-e</t>
        </is>
      </c>
      <c r="G1970" t="inlineStr">
        <is>
          <t>000005046</t>
        </is>
      </c>
      <c r="H1970" t="inlineStr">
        <is>
          <t>R&amp;R TRANSPORTE E LOGISTICA</t>
        </is>
      </c>
      <c r="J1970" s="29" t="n">
        <v>23.75</v>
      </c>
      <c r="K1970" s="29">
        <f>(1-ISNUMBER(SEARCH("556",M1970)))*(O1970*SUMIFS(Premissas!$C$5:$C$44,Premissas!$A$5:$A$44,$A1970,Premissas!$B$5:$B$44,$B1970)+P1970*SUMIFS(Premissas!$D$5:$D$44,Premissas!$A$5:$A$44,$A1970,Premissas!$B$5:$B$44,$B1970))+R1970*SUMIFS(Premissas!$E$5:$E$44,Premissas!$A$5:$A$44,$A1970,Premissas!$B$5:$B$44,$B1970)+S1970*SUMIFS(Premissas!$F$5:$F$44,Premissas!$A$5:$A$44,$A1970,Premissas!$B$5:$B$44,$B1970)</f>
        <v/>
      </c>
      <c r="L1970" s="29">
        <f>J1970-K1970</f>
        <v/>
      </c>
      <c r="M1970" t="inlineStr">
        <is>
          <t>1.350</t>
        </is>
      </c>
      <c r="N1970" t="inlineStr">
        <is>
          <t>Modalidade: 0 - Por conta do remetente | Parte: PADUA EMBALAGENS E DESCARTAVEIS LTDA (29.312.016/0001-11)</t>
        </is>
      </c>
      <c r="O1970" s="29" t="n">
        <v>0</v>
      </c>
      <c r="P1970" s="29" t="n">
        <v>0</v>
      </c>
      <c r="Q1970" s="29" t="n">
        <v>0</v>
      </c>
      <c r="R1970" s="29" t="n">
        <v>0</v>
      </c>
      <c r="S1970" s="29" t="n">
        <v>0</v>
      </c>
      <c r="T1970" t="inlineStr">
        <is>
          <t>25250826975620000130570010000050461000000009</t>
        </is>
      </c>
      <c r="U1970" t="inlineStr">
        <is>
          <t>Não</t>
        </is>
      </c>
    </row>
    <row r="1971">
      <c r="A1971" t="inlineStr">
        <is>
          <t>Frete de venda</t>
        </is>
      </c>
      <c r="B1971" t="inlineStr">
        <is>
          <t>2.01.02 Frete sobre Vendas</t>
        </is>
      </c>
      <c r="C1971" t="inlineStr">
        <is>
          <t>Antes de 2026</t>
        </is>
      </c>
      <c r="D1971" t="inlineStr">
        <is>
          <t>Antes de 2026</t>
        </is>
      </c>
      <c r="E1971" s="28" t="n">
        <v>45896</v>
      </c>
      <c r="F1971" t="inlineStr">
        <is>
          <t>CT-e</t>
        </is>
      </c>
      <c r="G1971" t="inlineStr">
        <is>
          <t>000005047</t>
        </is>
      </c>
      <c r="H1971" t="inlineStr">
        <is>
          <t>R&amp;R TRANSPORTE E LOGISTICA</t>
        </is>
      </c>
      <c r="J1971" s="29" t="n">
        <v>129.2</v>
      </c>
      <c r="K1971" s="29">
        <f>(1-ISNUMBER(SEARCH("556",M1971)))*(O1971*SUMIFS(Premissas!$C$5:$C$44,Premissas!$A$5:$A$44,$A1971,Premissas!$B$5:$B$44,$B1971)+P1971*SUMIFS(Premissas!$D$5:$D$44,Premissas!$A$5:$A$44,$A1971,Premissas!$B$5:$B$44,$B1971))+R1971*SUMIFS(Premissas!$E$5:$E$44,Premissas!$A$5:$A$44,$A1971,Premissas!$B$5:$B$44,$B1971)+S1971*SUMIFS(Premissas!$F$5:$F$44,Premissas!$A$5:$A$44,$A1971,Premissas!$B$5:$B$44,$B1971)</f>
        <v/>
      </c>
      <c r="L1971" s="29">
        <f>J1971-K1971</f>
        <v/>
      </c>
      <c r="M1971" t="inlineStr">
        <is>
          <t>1.350</t>
        </is>
      </c>
      <c r="N1971" t="inlineStr">
        <is>
          <t>Modalidade: 0 - Por conta do remetente | Parte: SELLPACK DISTRIBUIDORA LTDA (07.747.107/0002-28)</t>
        </is>
      </c>
      <c r="O1971" s="29" t="n">
        <v>0</v>
      </c>
      <c r="P1971" s="29" t="n">
        <v>0</v>
      </c>
      <c r="Q1971" s="29" t="n">
        <v>0</v>
      </c>
      <c r="R1971" s="29" t="n">
        <v>0</v>
      </c>
      <c r="S1971" s="29" t="n">
        <v>0</v>
      </c>
      <c r="T1971" t="inlineStr">
        <is>
          <t>25250826975620000130570010000050471000000006</t>
        </is>
      </c>
      <c r="U1971" t="inlineStr">
        <is>
          <t>Não</t>
        </is>
      </c>
    </row>
    <row r="1972">
      <c r="A1972" t="inlineStr">
        <is>
          <t>Frete de venda</t>
        </is>
      </c>
      <c r="B1972" t="inlineStr">
        <is>
          <t>2.01.02 Frete sobre Vendas</t>
        </is>
      </c>
      <c r="C1972" t="inlineStr">
        <is>
          <t>Antes de 2026</t>
        </is>
      </c>
      <c r="D1972" t="inlineStr">
        <is>
          <t>Antes de 2026</t>
        </is>
      </c>
      <c r="E1972" s="28" t="n">
        <v>45896</v>
      </c>
      <c r="F1972" t="inlineStr">
        <is>
          <t>CT-e</t>
        </is>
      </c>
      <c r="G1972" t="inlineStr">
        <is>
          <t>000005048</t>
        </is>
      </c>
      <c r="H1972" t="inlineStr">
        <is>
          <t>R&amp;R TRANSPORTE E LOGISTICA</t>
        </is>
      </c>
      <c r="J1972" s="29" t="n">
        <v>50.1</v>
      </c>
      <c r="K1972" s="29">
        <f>(1-ISNUMBER(SEARCH("556",M1972)))*(O1972*SUMIFS(Premissas!$C$5:$C$44,Premissas!$A$5:$A$44,$A1972,Premissas!$B$5:$B$44,$B1972)+P1972*SUMIFS(Premissas!$D$5:$D$44,Premissas!$A$5:$A$44,$A1972,Premissas!$B$5:$B$44,$B1972))+R1972*SUMIFS(Premissas!$E$5:$E$44,Premissas!$A$5:$A$44,$A1972,Premissas!$B$5:$B$44,$B1972)+S1972*SUMIFS(Premissas!$F$5:$F$44,Premissas!$A$5:$A$44,$A1972,Premissas!$B$5:$B$44,$B1972)</f>
        <v/>
      </c>
      <c r="L1972" s="29">
        <f>J1972-K1972</f>
        <v/>
      </c>
      <c r="M1972" t="inlineStr">
        <is>
          <t>1.350</t>
        </is>
      </c>
      <c r="N1972" t="inlineStr">
        <is>
          <t>Modalidade: 0 - Por conta do remetente | Parte: EMEK DISTRIBUIDORA DE DOCES LTDA (09.206.720/0001-82)</t>
        </is>
      </c>
      <c r="O1972" s="29" t="n">
        <v>0</v>
      </c>
      <c r="P1972" s="29" t="n">
        <v>0</v>
      </c>
      <c r="Q1972" s="29" t="n">
        <v>0</v>
      </c>
      <c r="R1972" s="29" t="n">
        <v>0</v>
      </c>
      <c r="S1972" s="29" t="n">
        <v>0</v>
      </c>
      <c r="T1972" t="inlineStr">
        <is>
          <t>25250826975620000130570010000050481000000003</t>
        </is>
      </c>
      <c r="U1972" t="inlineStr">
        <is>
          <t>Não</t>
        </is>
      </c>
    </row>
    <row r="1973">
      <c r="A1973" t="inlineStr">
        <is>
          <t>Frete de venda</t>
        </is>
      </c>
      <c r="B1973" t="inlineStr">
        <is>
          <t>2.01.02 Frete sobre Vendas</t>
        </is>
      </c>
      <c r="C1973" t="inlineStr">
        <is>
          <t>Antes de 2026</t>
        </is>
      </c>
      <c r="D1973" t="inlineStr">
        <is>
          <t>Antes de 2026</t>
        </is>
      </c>
      <c r="E1973" s="28" t="n">
        <v>45896</v>
      </c>
      <c r="F1973" t="inlineStr">
        <is>
          <t>CT-e</t>
        </is>
      </c>
      <c r="G1973" t="inlineStr">
        <is>
          <t>000005049</t>
        </is>
      </c>
      <c r="H1973" t="inlineStr">
        <is>
          <t>R&amp;R TRANSPORTE E LOGISTICA</t>
        </is>
      </c>
      <c r="J1973" s="29" t="n">
        <v>17.37</v>
      </c>
      <c r="K1973" s="29">
        <f>(1-ISNUMBER(SEARCH("556",M1973)))*(O1973*SUMIFS(Premissas!$C$5:$C$44,Premissas!$A$5:$A$44,$A1973,Premissas!$B$5:$B$44,$B1973)+P1973*SUMIFS(Premissas!$D$5:$D$44,Premissas!$A$5:$A$44,$A1973,Premissas!$B$5:$B$44,$B1973))+R1973*SUMIFS(Premissas!$E$5:$E$44,Premissas!$A$5:$A$44,$A1973,Premissas!$B$5:$B$44,$B1973)+S1973*SUMIFS(Premissas!$F$5:$F$44,Premissas!$A$5:$A$44,$A1973,Premissas!$B$5:$B$44,$B1973)</f>
        <v/>
      </c>
      <c r="L1973" s="29">
        <f>J1973-K1973</f>
        <v/>
      </c>
      <c r="M1973" t="inlineStr">
        <is>
          <t>1.350</t>
        </is>
      </c>
      <c r="N1973" t="inlineStr">
        <is>
          <t>Modalidade: 0 - Por conta do remetente | Parte: MAURI FESTA LTDA (15.299.740/0002-29)</t>
        </is>
      </c>
      <c r="O1973" s="29" t="n">
        <v>0</v>
      </c>
      <c r="P1973" s="29" t="n">
        <v>0</v>
      </c>
      <c r="Q1973" s="29" t="n">
        <v>0</v>
      </c>
      <c r="R1973" s="29" t="n">
        <v>0</v>
      </c>
      <c r="S1973" s="29" t="n">
        <v>0</v>
      </c>
      <c r="T1973" t="inlineStr">
        <is>
          <t>25250826975620000130570010000050491000000000</t>
        </is>
      </c>
      <c r="U1973" t="inlineStr">
        <is>
          <t>Não</t>
        </is>
      </c>
    </row>
    <row r="1974">
      <c r="A1974" t="inlineStr">
        <is>
          <t>Frete de venda</t>
        </is>
      </c>
      <c r="B1974" t="inlineStr">
        <is>
          <t>2.01.02 Frete sobre Vendas</t>
        </is>
      </c>
      <c r="C1974" t="inlineStr">
        <is>
          <t>Antes de 2026</t>
        </is>
      </c>
      <c r="D1974" t="inlineStr">
        <is>
          <t>Antes de 2026</t>
        </is>
      </c>
      <c r="E1974" s="28" t="n">
        <v>45896</v>
      </c>
      <c r="F1974" t="inlineStr">
        <is>
          <t>CT-e</t>
        </is>
      </c>
      <c r="G1974" t="inlineStr">
        <is>
          <t>000005050</t>
        </is>
      </c>
      <c r="H1974" t="inlineStr">
        <is>
          <t>R&amp;R TRANSPORTE E LOGISTICA</t>
        </is>
      </c>
      <c r="J1974" s="29" t="n">
        <v>18.65</v>
      </c>
      <c r="K1974" s="29">
        <f>(1-ISNUMBER(SEARCH("556",M1974)))*(O1974*SUMIFS(Premissas!$C$5:$C$44,Premissas!$A$5:$A$44,$A1974,Premissas!$B$5:$B$44,$B1974)+P1974*SUMIFS(Premissas!$D$5:$D$44,Premissas!$A$5:$A$44,$A1974,Premissas!$B$5:$B$44,$B1974))+R1974*SUMIFS(Premissas!$E$5:$E$44,Premissas!$A$5:$A$44,$A1974,Premissas!$B$5:$B$44,$B1974)+S1974*SUMIFS(Premissas!$F$5:$F$44,Premissas!$A$5:$A$44,$A1974,Premissas!$B$5:$B$44,$B1974)</f>
        <v/>
      </c>
      <c r="L1974" s="29">
        <f>J1974-K1974</f>
        <v/>
      </c>
      <c r="M1974" t="inlineStr">
        <is>
          <t>1.350</t>
        </is>
      </c>
      <c r="N1974" t="inlineStr">
        <is>
          <t>Modalidade: 0 - Por conta do remetente | Parte: G7 GASTRONOMIA COMERCIO DE ALIMENTOS LTDA (60.481.693/0001-03)</t>
        </is>
      </c>
      <c r="O1974" s="29" t="n">
        <v>0</v>
      </c>
      <c r="P1974" s="29" t="n">
        <v>0</v>
      </c>
      <c r="Q1974" s="29" t="n">
        <v>0</v>
      </c>
      <c r="R1974" s="29" t="n">
        <v>0</v>
      </c>
      <c r="S1974" s="29" t="n">
        <v>0</v>
      </c>
      <c r="T1974" t="inlineStr">
        <is>
          <t>25250826975620000130570010000050501000000001</t>
        </is>
      </c>
      <c r="U1974" t="inlineStr">
        <is>
          <t>Não</t>
        </is>
      </c>
    </row>
    <row r="1975">
      <c r="A1975" t="inlineStr">
        <is>
          <t>Frete de venda</t>
        </is>
      </c>
      <c r="B1975" t="inlineStr">
        <is>
          <t>2.01.02 Frete sobre Vendas</t>
        </is>
      </c>
      <c r="C1975" t="inlineStr">
        <is>
          <t>Antes de 2026</t>
        </is>
      </c>
      <c r="D1975" t="inlineStr">
        <is>
          <t>Antes de 2026</t>
        </is>
      </c>
      <c r="E1975" s="28" t="n">
        <v>45896</v>
      </c>
      <c r="F1975" t="inlineStr">
        <is>
          <t>CT-e</t>
        </is>
      </c>
      <c r="G1975" t="inlineStr">
        <is>
          <t>000005051</t>
        </is>
      </c>
      <c r="H1975" t="inlineStr">
        <is>
          <t>R&amp;R TRANSPORTE E LOGISTICA</t>
        </is>
      </c>
      <c r="J1975" s="29" t="n">
        <v>12.15</v>
      </c>
      <c r="K1975" s="29">
        <f>(1-ISNUMBER(SEARCH("556",M1975)))*(O1975*SUMIFS(Premissas!$C$5:$C$44,Premissas!$A$5:$A$44,$A1975,Premissas!$B$5:$B$44,$B1975)+P1975*SUMIFS(Premissas!$D$5:$D$44,Premissas!$A$5:$A$44,$A1975,Premissas!$B$5:$B$44,$B1975))+R1975*SUMIFS(Premissas!$E$5:$E$44,Premissas!$A$5:$A$44,$A1975,Premissas!$B$5:$B$44,$B1975)+S1975*SUMIFS(Premissas!$F$5:$F$44,Premissas!$A$5:$A$44,$A1975,Premissas!$B$5:$B$44,$B1975)</f>
        <v/>
      </c>
      <c r="L1975" s="29">
        <f>J1975-K1975</f>
        <v/>
      </c>
      <c r="M1975" t="inlineStr">
        <is>
          <t>1.350</t>
        </is>
      </c>
      <c r="N1975" t="inlineStr">
        <is>
          <t>Modalidade: 0 - Por conta do remetente | Parte: GRACILIANO QUEIROZ PEREIRA DE MELO (02.604.364/0001-06)</t>
        </is>
      </c>
      <c r="O1975" s="29" t="n">
        <v>0</v>
      </c>
      <c r="P1975" s="29" t="n">
        <v>0</v>
      </c>
      <c r="Q1975" s="29" t="n">
        <v>0</v>
      </c>
      <c r="R1975" s="29" t="n">
        <v>0</v>
      </c>
      <c r="S1975" s="29" t="n">
        <v>0</v>
      </c>
      <c r="T1975" t="inlineStr">
        <is>
          <t>25250826975620000130570010000050511000000009</t>
        </is>
      </c>
      <c r="U1975" t="inlineStr">
        <is>
          <t>Não</t>
        </is>
      </c>
    </row>
    <row r="1976">
      <c r="A1976" t="inlineStr">
        <is>
          <t>Frete de venda</t>
        </is>
      </c>
      <c r="B1976" t="inlineStr">
        <is>
          <t>2.01.02 Frete sobre Vendas</t>
        </is>
      </c>
      <c r="C1976" t="inlineStr">
        <is>
          <t>Antes de 2026</t>
        </is>
      </c>
      <c r="D1976" t="inlineStr">
        <is>
          <t>Antes de 2026</t>
        </is>
      </c>
      <c r="E1976" s="28" t="n">
        <v>45896</v>
      </c>
      <c r="F1976" t="inlineStr">
        <is>
          <t>CT-e</t>
        </is>
      </c>
      <c r="G1976" t="inlineStr">
        <is>
          <t>000005052</t>
        </is>
      </c>
      <c r="H1976" t="inlineStr">
        <is>
          <t>R&amp;R TRANSPORTE E LOGISTICA</t>
        </is>
      </c>
      <c r="J1976" s="29" t="n">
        <v>19.83</v>
      </c>
      <c r="K1976" s="29">
        <f>(1-ISNUMBER(SEARCH("556",M1976)))*(O1976*SUMIFS(Premissas!$C$5:$C$44,Premissas!$A$5:$A$44,$A1976,Premissas!$B$5:$B$44,$B1976)+P1976*SUMIFS(Premissas!$D$5:$D$44,Premissas!$A$5:$A$44,$A1976,Premissas!$B$5:$B$44,$B1976))+R1976*SUMIFS(Premissas!$E$5:$E$44,Premissas!$A$5:$A$44,$A1976,Premissas!$B$5:$B$44,$B1976)+S1976*SUMIFS(Premissas!$F$5:$F$44,Premissas!$A$5:$A$44,$A1976,Premissas!$B$5:$B$44,$B1976)</f>
        <v/>
      </c>
      <c r="L1976" s="29">
        <f>J1976-K1976</f>
        <v/>
      </c>
      <c r="M1976" t="inlineStr">
        <is>
          <t>1.350</t>
        </is>
      </c>
      <c r="N1976" t="inlineStr">
        <is>
          <t>Modalidade: 0 - Por conta do remetente | Parte: DOCE FESTA EMBALAGENS E BOMBONIERE LTDA (31.898.437/0001-18)</t>
        </is>
      </c>
      <c r="O1976" s="29" t="n">
        <v>0</v>
      </c>
      <c r="P1976" s="29" t="n">
        <v>0</v>
      </c>
      <c r="Q1976" s="29" t="n">
        <v>0</v>
      </c>
      <c r="R1976" s="29" t="n">
        <v>0</v>
      </c>
      <c r="S1976" s="29" t="n">
        <v>0</v>
      </c>
      <c r="T1976" t="inlineStr">
        <is>
          <t>25250826975620000130570010000050521000000006</t>
        </is>
      </c>
      <c r="U1976" t="inlineStr">
        <is>
          <t>Não</t>
        </is>
      </c>
    </row>
    <row r="1977">
      <c r="A1977" t="inlineStr">
        <is>
          <t>Frete de venda</t>
        </is>
      </c>
      <c r="B1977" t="inlineStr">
        <is>
          <t>2.01.02 Frete sobre Vendas</t>
        </is>
      </c>
      <c r="C1977" t="inlineStr">
        <is>
          <t>Antes de 2026</t>
        </is>
      </c>
      <c r="D1977" t="inlineStr">
        <is>
          <t>Antes de 2026</t>
        </is>
      </c>
      <c r="E1977" s="28" t="n">
        <v>45896</v>
      </c>
      <c r="F1977" t="inlineStr">
        <is>
          <t>CT-e</t>
        </is>
      </c>
      <c r="G1977" t="inlineStr">
        <is>
          <t>000005053</t>
        </is>
      </c>
      <c r="H1977" t="inlineStr">
        <is>
          <t>R&amp;R TRANSPORTE E LOGISTICA</t>
        </is>
      </c>
      <c r="J1977" s="29" t="n">
        <v>16.61</v>
      </c>
      <c r="K1977" s="29">
        <f>(1-ISNUMBER(SEARCH("556",M1977)))*(O1977*SUMIFS(Premissas!$C$5:$C$44,Premissas!$A$5:$A$44,$A1977,Premissas!$B$5:$B$44,$B1977)+P1977*SUMIFS(Premissas!$D$5:$D$44,Premissas!$A$5:$A$44,$A1977,Premissas!$B$5:$B$44,$B1977))+R1977*SUMIFS(Premissas!$E$5:$E$44,Premissas!$A$5:$A$44,$A1977,Premissas!$B$5:$B$44,$B1977)+S1977*SUMIFS(Premissas!$F$5:$F$44,Premissas!$A$5:$A$44,$A1977,Premissas!$B$5:$B$44,$B1977)</f>
        <v/>
      </c>
      <c r="L1977" s="29">
        <f>J1977-K1977</f>
        <v/>
      </c>
      <c r="M1977" t="inlineStr">
        <is>
          <t>1.350</t>
        </is>
      </c>
      <c r="N1977" t="inlineStr">
        <is>
          <t>Modalidade: 0 - Por conta do remetente | Parte: GEORGE DA GAMA SAVIO (26.293.925/0001-61)</t>
        </is>
      </c>
      <c r="O1977" s="29" t="n">
        <v>0</v>
      </c>
      <c r="P1977" s="29" t="n">
        <v>0</v>
      </c>
      <c r="Q1977" s="29" t="n">
        <v>0</v>
      </c>
      <c r="R1977" s="29" t="n">
        <v>0</v>
      </c>
      <c r="S1977" s="29" t="n">
        <v>0</v>
      </c>
      <c r="T1977" t="inlineStr">
        <is>
          <t>25250826975620000130570010000050531000000003</t>
        </is>
      </c>
      <c r="U1977" t="inlineStr">
        <is>
          <t>Não</t>
        </is>
      </c>
    </row>
    <row r="1978">
      <c r="A1978" t="inlineStr">
        <is>
          <t>Frete de venda</t>
        </is>
      </c>
      <c r="B1978" t="inlineStr">
        <is>
          <t>2.01.02 Frete sobre Vendas</t>
        </is>
      </c>
      <c r="C1978" t="inlineStr">
        <is>
          <t>Antes de 2026</t>
        </is>
      </c>
      <c r="D1978" t="inlineStr">
        <is>
          <t>Antes de 2026</t>
        </is>
      </c>
      <c r="E1978" s="28" t="n">
        <v>45896</v>
      </c>
      <c r="F1978" t="inlineStr">
        <is>
          <t>CT-e</t>
        </is>
      </c>
      <c r="G1978" t="inlineStr">
        <is>
          <t>000005054</t>
        </is>
      </c>
      <c r="H1978" t="inlineStr">
        <is>
          <t>R&amp;R TRANSPORTE E LOGISTICA</t>
        </is>
      </c>
      <c r="J1978" s="29" t="n">
        <v>17.07</v>
      </c>
      <c r="K1978" s="29">
        <f>(1-ISNUMBER(SEARCH("556",M1978)))*(O1978*SUMIFS(Premissas!$C$5:$C$44,Premissas!$A$5:$A$44,$A1978,Premissas!$B$5:$B$44,$B1978)+P1978*SUMIFS(Premissas!$D$5:$D$44,Premissas!$A$5:$A$44,$A1978,Premissas!$B$5:$B$44,$B1978))+R1978*SUMIFS(Premissas!$E$5:$E$44,Premissas!$A$5:$A$44,$A1978,Premissas!$B$5:$B$44,$B1978)+S1978*SUMIFS(Premissas!$F$5:$F$44,Premissas!$A$5:$A$44,$A1978,Premissas!$B$5:$B$44,$B1978)</f>
        <v/>
      </c>
      <c r="L1978" s="29">
        <f>J1978-K1978</f>
        <v/>
      </c>
      <c r="M1978" t="inlineStr">
        <is>
          <t>1.350</t>
        </is>
      </c>
      <c r="N1978" t="inlineStr">
        <is>
          <t>Modalidade: 0 - Por conta do remetente | Parte: FELIPE SARAIVA SANTOS (27.138.356/0001-42)</t>
        </is>
      </c>
      <c r="O1978" s="29" t="n">
        <v>0</v>
      </c>
      <c r="P1978" s="29" t="n">
        <v>0</v>
      </c>
      <c r="Q1978" s="29" t="n">
        <v>0</v>
      </c>
      <c r="R1978" s="29" t="n">
        <v>0</v>
      </c>
      <c r="S1978" s="29" t="n">
        <v>0</v>
      </c>
      <c r="T1978" t="inlineStr">
        <is>
          <t>25250826975620000130570010000050541000000000</t>
        </is>
      </c>
      <c r="U1978" t="inlineStr">
        <is>
          <t>Não</t>
        </is>
      </c>
    </row>
    <row r="1979">
      <c r="A1979" t="inlineStr">
        <is>
          <t>Frete de venda</t>
        </is>
      </c>
      <c r="B1979" t="inlineStr">
        <is>
          <t>2.01.02 Frete sobre Vendas</t>
        </is>
      </c>
      <c r="C1979" t="inlineStr">
        <is>
          <t>Antes de 2026</t>
        </is>
      </c>
      <c r="D1979" t="inlineStr">
        <is>
          <t>Antes de 2026</t>
        </is>
      </c>
      <c r="E1979" s="28" t="n">
        <v>45896</v>
      </c>
      <c r="F1979" t="inlineStr">
        <is>
          <t>CT-e</t>
        </is>
      </c>
      <c r="G1979" t="inlineStr">
        <is>
          <t>000005055</t>
        </is>
      </c>
      <c r="H1979" t="inlineStr">
        <is>
          <t>R&amp;R TRANSPORTE E LOGISTICA</t>
        </is>
      </c>
      <c r="J1979" s="29" t="n">
        <v>17.62</v>
      </c>
      <c r="K1979" s="29">
        <f>(1-ISNUMBER(SEARCH("556",M1979)))*(O1979*SUMIFS(Premissas!$C$5:$C$44,Premissas!$A$5:$A$44,$A1979,Premissas!$B$5:$B$44,$B1979)+P1979*SUMIFS(Premissas!$D$5:$D$44,Premissas!$A$5:$A$44,$A1979,Premissas!$B$5:$B$44,$B1979))+R1979*SUMIFS(Premissas!$E$5:$E$44,Premissas!$A$5:$A$44,$A1979,Premissas!$B$5:$B$44,$B1979)+S1979*SUMIFS(Premissas!$F$5:$F$44,Premissas!$A$5:$A$44,$A1979,Premissas!$B$5:$B$44,$B1979)</f>
        <v/>
      </c>
      <c r="L1979" s="29">
        <f>J1979-K1979</f>
        <v/>
      </c>
      <c r="M1979" t="inlineStr">
        <is>
          <t>1.350</t>
        </is>
      </c>
      <c r="N1979" t="inlineStr">
        <is>
          <t>Modalidade: 0 - Por conta do remetente | Parte: ERINALDO VIEIRA LTDA (03.176.141/0002-39)</t>
        </is>
      </c>
      <c r="O1979" s="29" t="n">
        <v>0</v>
      </c>
      <c r="P1979" s="29" t="n">
        <v>0</v>
      </c>
      <c r="Q1979" s="29" t="n">
        <v>0</v>
      </c>
      <c r="R1979" s="29" t="n">
        <v>0</v>
      </c>
      <c r="S1979" s="29" t="n">
        <v>0</v>
      </c>
      <c r="T1979" t="inlineStr">
        <is>
          <t>25250826975620000130570010000050551000000008</t>
        </is>
      </c>
      <c r="U1979" t="inlineStr">
        <is>
          <t>Não</t>
        </is>
      </c>
    </row>
    <row r="1980">
      <c r="A1980" t="inlineStr">
        <is>
          <t>Frete de venda</t>
        </is>
      </c>
      <c r="B1980" t="inlineStr">
        <is>
          <t>2.01.02 Frete sobre Vendas</t>
        </is>
      </c>
      <c r="C1980" t="inlineStr">
        <is>
          <t>Antes de 2026</t>
        </is>
      </c>
      <c r="D1980" t="inlineStr">
        <is>
          <t>Antes de 2026</t>
        </is>
      </c>
      <c r="E1980" s="28" t="n">
        <v>45896</v>
      </c>
      <c r="F1980" t="inlineStr">
        <is>
          <t>CT-e</t>
        </is>
      </c>
      <c r="G1980" t="inlineStr">
        <is>
          <t>000005056</t>
        </is>
      </c>
      <c r="H1980" t="inlineStr">
        <is>
          <t>R&amp;R TRANSPORTE E LOGISTICA</t>
        </is>
      </c>
      <c r="J1980" s="29" t="n">
        <v>12.46</v>
      </c>
      <c r="K1980" s="29">
        <f>(1-ISNUMBER(SEARCH("556",M1980)))*(O1980*SUMIFS(Premissas!$C$5:$C$44,Premissas!$A$5:$A$44,$A1980,Premissas!$B$5:$B$44,$B1980)+P1980*SUMIFS(Premissas!$D$5:$D$44,Premissas!$A$5:$A$44,$A1980,Premissas!$B$5:$B$44,$B1980))+R1980*SUMIFS(Premissas!$E$5:$E$44,Premissas!$A$5:$A$44,$A1980,Premissas!$B$5:$B$44,$B1980)+S1980*SUMIFS(Premissas!$F$5:$F$44,Premissas!$A$5:$A$44,$A1980,Premissas!$B$5:$B$44,$B1980)</f>
        <v/>
      </c>
      <c r="L1980" s="29">
        <f>J1980-K1980</f>
        <v/>
      </c>
      <c r="M1980" t="inlineStr">
        <is>
          <t>1.350</t>
        </is>
      </c>
      <c r="N1980" t="inlineStr">
        <is>
          <t>Modalidade: 0 - Por conta do remetente | Parte: MP DESCARTAVEIS LTDA (45.018.069/0001-80)</t>
        </is>
      </c>
      <c r="O1980" s="29" t="n">
        <v>0</v>
      </c>
      <c r="P1980" s="29" t="n">
        <v>0</v>
      </c>
      <c r="Q1980" s="29" t="n">
        <v>0</v>
      </c>
      <c r="R1980" s="29" t="n">
        <v>0</v>
      </c>
      <c r="S1980" s="29" t="n">
        <v>0</v>
      </c>
      <c r="T1980" t="inlineStr">
        <is>
          <t>25250826975620000130570010000050561000000005</t>
        </is>
      </c>
      <c r="U1980" t="inlineStr">
        <is>
          <t>Não</t>
        </is>
      </c>
    </row>
    <row r="1981">
      <c r="A1981" t="inlineStr">
        <is>
          <t>Frete de venda</t>
        </is>
      </c>
      <c r="B1981" t="inlineStr">
        <is>
          <t>2.01.02 Frete sobre Vendas</t>
        </is>
      </c>
      <c r="C1981" t="inlineStr">
        <is>
          <t>Antes de 2026</t>
        </is>
      </c>
      <c r="D1981" t="inlineStr">
        <is>
          <t>Antes de 2026</t>
        </is>
      </c>
      <c r="E1981" s="28" t="n">
        <v>45896</v>
      </c>
      <c r="F1981" t="inlineStr">
        <is>
          <t>CT-e</t>
        </is>
      </c>
      <c r="G1981" t="inlineStr">
        <is>
          <t>000005057</t>
        </is>
      </c>
      <c r="H1981" t="inlineStr">
        <is>
          <t>R&amp;R TRANSPORTE E LOGISTICA</t>
        </is>
      </c>
      <c r="J1981" s="29" t="n">
        <v>17.28</v>
      </c>
      <c r="K1981" s="29">
        <f>(1-ISNUMBER(SEARCH("556",M1981)))*(O1981*SUMIFS(Premissas!$C$5:$C$44,Premissas!$A$5:$A$44,$A1981,Premissas!$B$5:$B$44,$B1981)+P1981*SUMIFS(Premissas!$D$5:$D$44,Premissas!$A$5:$A$44,$A1981,Premissas!$B$5:$B$44,$B1981))+R1981*SUMIFS(Premissas!$E$5:$E$44,Premissas!$A$5:$A$44,$A1981,Premissas!$B$5:$B$44,$B1981)+S1981*SUMIFS(Premissas!$F$5:$F$44,Premissas!$A$5:$A$44,$A1981,Premissas!$B$5:$B$44,$B1981)</f>
        <v/>
      </c>
      <c r="L1981" s="29">
        <f>J1981-K1981</f>
        <v/>
      </c>
      <c r="M1981" t="inlineStr">
        <is>
          <t>1.350</t>
        </is>
      </c>
      <c r="N1981" t="inlineStr">
        <is>
          <t>Modalidade: 0 - Por conta do remetente | Parte: LBS COMERCIO DE EMBALAGNES LTDA (60.065.852/0001-99)</t>
        </is>
      </c>
      <c r="O1981" s="29" t="n">
        <v>0</v>
      </c>
      <c r="P1981" s="29" t="n">
        <v>0</v>
      </c>
      <c r="Q1981" s="29" t="n">
        <v>0</v>
      </c>
      <c r="R1981" s="29" t="n">
        <v>0</v>
      </c>
      <c r="S1981" s="29" t="n">
        <v>0</v>
      </c>
      <c r="T1981" t="inlineStr">
        <is>
          <t>25250826975620000130570010000050571000000002</t>
        </is>
      </c>
      <c r="U1981" t="inlineStr">
        <is>
          <t>Não</t>
        </is>
      </c>
    </row>
    <row r="1982">
      <c r="A1982" t="inlineStr">
        <is>
          <t>Frete de venda</t>
        </is>
      </c>
      <c r="B1982" t="inlineStr">
        <is>
          <t>2.01.02 Frete sobre Vendas</t>
        </is>
      </c>
      <c r="C1982" t="inlineStr">
        <is>
          <t>Antes de 2026</t>
        </is>
      </c>
      <c r="D1982" t="inlineStr">
        <is>
          <t>Antes de 2026</t>
        </is>
      </c>
      <c r="E1982" s="28" t="n">
        <v>45896</v>
      </c>
      <c r="F1982" t="inlineStr">
        <is>
          <t>CT-e</t>
        </is>
      </c>
      <c r="G1982" t="inlineStr">
        <is>
          <t>000005058</t>
        </is>
      </c>
      <c r="H1982" t="inlineStr">
        <is>
          <t>R&amp;R TRANSPORTE E LOGISTICA</t>
        </is>
      </c>
      <c r="J1982" s="29" t="n">
        <v>15.34</v>
      </c>
      <c r="K1982" s="29">
        <f>(1-ISNUMBER(SEARCH("556",M1982)))*(O1982*SUMIFS(Premissas!$C$5:$C$44,Premissas!$A$5:$A$44,$A1982,Premissas!$B$5:$B$44,$B1982)+P1982*SUMIFS(Premissas!$D$5:$D$44,Premissas!$A$5:$A$44,$A1982,Premissas!$B$5:$B$44,$B1982))+R1982*SUMIFS(Premissas!$E$5:$E$44,Premissas!$A$5:$A$44,$A1982,Premissas!$B$5:$B$44,$B1982)+S1982*SUMIFS(Premissas!$F$5:$F$44,Premissas!$A$5:$A$44,$A1982,Premissas!$B$5:$B$44,$B1982)</f>
        <v/>
      </c>
      <c r="L1982" s="29">
        <f>J1982-K1982</f>
        <v/>
      </c>
      <c r="M1982" t="inlineStr">
        <is>
          <t>1.350</t>
        </is>
      </c>
      <c r="N1982" t="inlineStr">
        <is>
          <t>Modalidade: 0 - Por conta do remetente | Parte: MARIA FESTEIRA COMERCIAL LTDA (00.074.604/0001-82)</t>
        </is>
      </c>
      <c r="O1982" s="29" t="n">
        <v>0</v>
      </c>
      <c r="P1982" s="29" t="n">
        <v>0</v>
      </c>
      <c r="Q1982" s="29" t="n">
        <v>0</v>
      </c>
      <c r="R1982" s="29" t="n">
        <v>0</v>
      </c>
      <c r="S1982" s="29" t="n">
        <v>0</v>
      </c>
      <c r="T1982" t="inlineStr">
        <is>
          <t>25250826975620000130570010000050581000000000</t>
        </is>
      </c>
      <c r="U1982" t="inlineStr">
        <is>
          <t>Não</t>
        </is>
      </c>
    </row>
    <row r="1983">
      <c r="A1983" t="inlineStr">
        <is>
          <t>Frete de venda</t>
        </is>
      </c>
      <c r="B1983" t="inlineStr">
        <is>
          <t>2.01.02 Frete sobre Vendas</t>
        </is>
      </c>
      <c r="C1983" t="inlineStr">
        <is>
          <t>Antes de 2026</t>
        </is>
      </c>
      <c r="D1983" t="inlineStr">
        <is>
          <t>Antes de 2026</t>
        </is>
      </c>
      <c r="E1983" s="28" t="n">
        <v>45897</v>
      </c>
      <c r="F1983" t="inlineStr">
        <is>
          <t>CT-e</t>
        </is>
      </c>
      <c r="G1983" t="inlineStr">
        <is>
          <t>000005063</t>
        </is>
      </c>
      <c r="H1983" t="inlineStr">
        <is>
          <t>R&amp;R TRANSPORTE E LOGISTICA</t>
        </is>
      </c>
      <c r="J1983" s="29" t="n">
        <v>31.06</v>
      </c>
      <c r="K1983" s="29">
        <f>(1-ISNUMBER(SEARCH("556",M1983)))*(O1983*SUMIFS(Premissas!$C$5:$C$44,Premissas!$A$5:$A$44,$A1983,Premissas!$B$5:$B$44,$B1983)+P1983*SUMIFS(Premissas!$D$5:$D$44,Premissas!$A$5:$A$44,$A1983,Premissas!$B$5:$B$44,$B1983))+R1983*SUMIFS(Premissas!$E$5:$E$44,Premissas!$A$5:$A$44,$A1983,Premissas!$B$5:$B$44,$B1983)+S1983*SUMIFS(Premissas!$F$5:$F$44,Premissas!$A$5:$A$44,$A1983,Premissas!$B$5:$B$44,$B1983)</f>
        <v/>
      </c>
      <c r="L1983" s="29">
        <f>J1983-K1983</f>
        <v/>
      </c>
      <c r="M1983" t="inlineStr">
        <is>
          <t>1.350</t>
        </is>
      </c>
      <c r="N1983" t="inlineStr">
        <is>
          <t>Modalidade: 0 - Por conta do remetente | Parte: DOCE MEL EMBALAGENS E FESTAS (10.989.624/0001-37)</t>
        </is>
      </c>
      <c r="O1983" s="29" t="n">
        <v>0</v>
      </c>
      <c r="P1983" s="29" t="n">
        <v>0</v>
      </c>
      <c r="Q1983" s="29" t="n">
        <v>0</v>
      </c>
      <c r="R1983" s="29" t="n">
        <v>0</v>
      </c>
      <c r="S1983" s="29" t="n">
        <v>0</v>
      </c>
      <c r="T1983" t="inlineStr">
        <is>
          <t>25250826975620000130570010000050631000000000</t>
        </is>
      </c>
      <c r="U1983" t="inlineStr">
        <is>
          <t>Não</t>
        </is>
      </c>
    </row>
    <row r="1984">
      <c r="A1984" t="inlineStr">
        <is>
          <t>Frete de venda</t>
        </is>
      </c>
      <c r="B1984" t="inlineStr">
        <is>
          <t>2.01.02 Frete sobre Vendas</t>
        </is>
      </c>
      <c r="C1984" t="inlineStr">
        <is>
          <t>Antes de 2026</t>
        </is>
      </c>
      <c r="D1984" t="inlineStr">
        <is>
          <t>Antes de 2026</t>
        </is>
      </c>
      <c r="E1984" s="28" t="n">
        <v>45897</v>
      </c>
      <c r="F1984" t="inlineStr">
        <is>
          <t>CT-e</t>
        </is>
      </c>
      <c r="G1984" t="inlineStr">
        <is>
          <t>000005064</t>
        </is>
      </c>
      <c r="H1984" t="inlineStr">
        <is>
          <t>R&amp;R TRANSPORTE E LOGISTICA</t>
        </is>
      </c>
      <c r="J1984" s="29" t="n">
        <v>48.87</v>
      </c>
      <c r="K1984" s="29">
        <f>(1-ISNUMBER(SEARCH("556",M1984)))*(O1984*SUMIFS(Premissas!$C$5:$C$44,Premissas!$A$5:$A$44,$A1984,Premissas!$B$5:$B$44,$B1984)+P1984*SUMIFS(Premissas!$D$5:$D$44,Premissas!$A$5:$A$44,$A1984,Premissas!$B$5:$B$44,$B1984))+R1984*SUMIFS(Premissas!$E$5:$E$44,Premissas!$A$5:$A$44,$A1984,Premissas!$B$5:$B$44,$B1984)+S1984*SUMIFS(Premissas!$F$5:$F$44,Premissas!$A$5:$A$44,$A1984,Premissas!$B$5:$B$44,$B1984)</f>
        <v/>
      </c>
      <c r="L1984" s="29">
        <f>J1984-K1984</f>
        <v/>
      </c>
      <c r="M1984" t="inlineStr">
        <is>
          <t>1.350</t>
        </is>
      </c>
      <c r="N1984" t="inlineStr">
        <is>
          <t>Modalidade: 0 - Por conta do remetente | Parte: AGM PLASTICOS LTDA (19.429.803/0001-94)</t>
        </is>
      </c>
      <c r="O1984" s="29" t="n">
        <v>0</v>
      </c>
      <c r="P1984" s="29" t="n">
        <v>0</v>
      </c>
      <c r="Q1984" s="29" t="n">
        <v>0</v>
      </c>
      <c r="R1984" s="29" t="n">
        <v>0</v>
      </c>
      <c r="S1984" s="29" t="n">
        <v>0</v>
      </c>
      <c r="T1984" t="inlineStr">
        <is>
          <t>25250826975620000130570010000050641000000007</t>
        </is>
      </c>
      <c r="U1984" t="inlineStr">
        <is>
          <t>Não</t>
        </is>
      </c>
    </row>
    <row r="1985">
      <c r="A1985" t="inlineStr">
        <is>
          <t>Frete de venda</t>
        </is>
      </c>
      <c r="B1985" t="inlineStr">
        <is>
          <t>2.01.02 Frete sobre Vendas</t>
        </is>
      </c>
      <c r="C1985" t="inlineStr">
        <is>
          <t>Antes de 2026</t>
        </is>
      </c>
      <c r="D1985" t="inlineStr">
        <is>
          <t>Antes de 2026</t>
        </is>
      </c>
      <c r="E1985" s="28" t="n">
        <v>45897</v>
      </c>
      <c r="F1985" t="inlineStr">
        <is>
          <t>CT-e</t>
        </is>
      </c>
      <c r="G1985" t="inlineStr">
        <is>
          <t>000005065</t>
        </is>
      </c>
      <c r="H1985" t="inlineStr">
        <is>
          <t>R&amp;R TRANSPORTE E LOGISTICA</t>
        </is>
      </c>
      <c r="J1985" s="29" t="n">
        <v>27.17</v>
      </c>
      <c r="K1985" s="29">
        <f>(1-ISNUMBER(SEARCH("556",M1985)))*(O1985*SUMIFS(Premissas!$C$5:$C$44,Premissas!$A$5:$A$44,$A1985,Premissas!$B$5:$B$44,$B1985)+P1985*SUMIFS(Premissas!$D$5:$D$44,Premissas!$A$5:$A$44,$A1985,Premissas!$B$5:$B$44,$B1985))+R1985*SUMIFS(Premissas!$E$5:$E$44,Premissas!$A$5:$A$44,$A1985,Premissas!$B$5:$B$44,$B1985)+S1985*SUMIFS(Premissas!$F$5:$F$44,Premissas!$A$5:$A$44,$A1985,Premissas!$B$5:$B$44,$B1985)</f>
        <v/>
      </c>
      <c r="L1985" s="29">
        <f>J1985-K1985</f>
        <v/>
      </c>
      <c r="M1985" t="inlineStr">
        <is>
          <t>1.350</t>
        </is>
      </c>
      <c r="N1985" t="inlineStr">
        <is>
          <t>Modalidade: 0 - Por conta do remetente | Parte: MULTI EMBALAGENS LTDA (04.403.817/0001-61)</t>
        </is>
      </c>
      <c r="O1985" s="29" t="n">
        <v>0</v>
      </c>
      <c r="P1985" s="29" t="n">
        <v>0</v>
      </c>
      <c r="Q1985" s="29" t="n">
        <v>0</v>
      </c>
      <c r="R1985" s="29" t="n">
        <v>0</v>
      </c>
      <c r="S1985" s="29" t="n">
        <v>0</v>
      </c>
      <c r="T1985" t="inlineStr">
        <is>
          <t>25250826975620000130570010000050651000000004</t>
        </is>
      </c>
      <c r="U1985" t="inlineStr">
        <is>
          <t>Não</t>
        </is>
      </c>
    </row>
    <row r="1986">
      <c r="A1986" t="inlineStr">
        <is>
          <t>Frete de venda</t>
        </is>
      </c>
      <c r="B1986" t="inlineStr">
        <is>
          <t>2.01.02 Frete sobre Vendas</t>
        </is>
      </c>
      <c r="C1986" t="inlineStr">
        <is>
          <t>Antes de 2026</t>
        </is>
      </c>
      <c r="D1986" t="inlineStr">
        <is>
          <t>Antes de 2026</t>
        </is>
      </c>
      <c r="E1986" s="28" t="n">
        <v>45897</v>
      </c>
      <c r="F1986" t="inlineStr">
        <is>
          <t>CT-e</t>
        </is>
      </c>
      <c r="G1986" t="inlineStr">
        <is>
          <t>000005066</t>
        </is>
      </c>
      <c r="H1986" t="inlineStr">
        <is>
          <t>R&amp;R TRANSPORTE E LOGISTICA</t>
        </is>
      </c>
      <c r="J1986" s="29" t="n">
        <v>43.84</v>
      </c>
      <c r="K1986" s="29">
        <f>(1-ISNUMBER(SEARCH("556",M1986)))*(O1986*SUMIFS(Premissas!$C$5:$C$44,Premissas!$A$5:$A$44,$A1986,Premissas!$B$5:$B$44,$B1986)+P1986*SUMIFS(Premissas!$D$5:$D$44,Premissas!$A$5:$A$44,$A1986,Premissas!$B$5:$B$44,$B1986))+R1986*SUMIFS(Premissas!$E$5:$E$44,Premissas!$A$5:$A$44,$A1986,Premissas!$B$5:$B$44,$B1986)+S1986*SUMIFS(Premissas!$F$5:$F$44,Premissas!$A$5:$A$44,$A1986,Premissas!$B$5:$B$44,$B1986)</f>
        <v/>
      </c>
      <c r="L1986" s="29">
        <f>J1986-K1986</f>
        <v/>
      </c>
      <c r="M1986" t="inlineStr">
        <is>
          <t>1.350</t>
        </is>
      </c>
      <c r="N1986" t="inlineStr">
        <is>
          <t>Modalidade: 0 - Por conta do remetente | Parte: SHALLON EMBALAGENS LTDA (49.431.842/0001-97)</t>
        </is>
      </c>
      <c r="O1986" s="29" t="n">
        <v>0</v>
      </c>
      <c r="P1986" s="29" t="n">
        <v>0</v>
      </c>
      <c r="Q1986" s="29" t="n">
        <v>0</v>
      </c>
      <c r="R1986" s="29" t="n">
        <v>0</v>
      </c>
      <c r="S1986" s="29" t="n">
        <v>0</v>
      </c>
      <c r="T1986" t="inlineStr">
        <is>
          <t>25250826975620000130570010000050661000000001</t>
        </is>
      </c>
      <c r="U1986" t="inlineStr">
        <is>
          <t>Não</t>
        </is>
      </c>
    </row>
    <row r="1987">
      <c r="A1987" t="inlineStr">
        <is>
          <t>Frete de venda</t>
        </is>
      </c>
      <c r="B1987" t="inlineStr">
        <is>
          <t>2.01.02 Frete sobre Vendas</t>
        </is>
      </c>
      <c r="C1987" t="inlineStr">
        <is>
          <t>Antes de 2026</t>
        </is>
      </c>
      <c r="D1987" t="inlineStr">
        <is>
          <t>Antes de 2026</t>
        </is>
      </c>
      <c r="E1987" s="28" t="n">
        <v>45897</v>
      </c>
      <c r="F1987" t="inlineStr">
        <is>
          <t>CT-e</t>
        </is>
      </c>
      <c r="G1987" t="inlineStr">
        <is>
          <t>000005067</t>
        </is>
      </c>
      <c r="H1987" t="inlineStr">
        <is>
          <t>R&amp;R TRANSPORTE E LOGISTICA</t>
        </is>
      </c>
      <c r="J1987" s="29" t="n">
        <v>25.02</v>
      </c>
      <c r="K1987" s="29">
        <f>(1-ISNUMBER(SEARCH("556",M1987)))*(O1987*SUMIFS(Premissas!$C$5:$C$44,Premissas!$A$5:$A$44,$A1987,Premissas!$B$5:$B$44,$B1987)+P1987*SUMIFS(Premissas!$D$5:$D$44,Premissas!$A$5:$A$44,$A1987,Premissas!$B$5:$B$44,$B1987))+R1987*SUMIFS(Premissas!$E$5:$E$44,Premissas!$A$5:$A$44,$A1987,Premissas!$B$5:$B$44,$B1987)+S1987*SUMIFS(Premissas!$F$5:$F$44,Premissas!$A$5:$A$44,$A1987,Premissas!$B$5:$B$44,$B1987)</f>
        <v/>
      </c>
      <c r="L1987" s="29">
        <f>J1987-K1987</f>
        <v/>
      </c>
      <c r="M1987" t="inlineStr">
        <is>
          <t>1.350</t>
        </is>
      </c>
      <c r="N1987" t="inlineStr">
        <is>
          <t>Modalidade: 0 - Por conta do remetente | Parte: IRMAOS BATISTA REZENDE LTDA (13.916.629/0001-28)</t>
        </is>
      </c>
      <c r="O1987" s="29" t="n">
        <v>0</v>
      </c>
      <c r="P1987" s="29" t="n">
        <v>0</v>
      </c>
      <c r="Q1987" s="29" t="n">
        <v>0</v>
      </c>
      <c r="R1987" s="29" t="n">
        <v>0</v>
      </c>
      <c r="S1987" s="29" t="n">
        <v>0</v>
      </c>
      <c r="T1987" t="inlineStr">
        <is>
          <t>25250826975620000130570010000050671000000009</t>
        </is>
      </c>
      <c r="U1987" t="inlineStr">
        <is>
          <t>Não</t>
        </is>
      </c>
    </row>
    <row r="1988">
      <c r="A1988" t="inlineStr">
        <is>
          <t>Frete de venda</t>
        </is>
      </c>
      <c r="B1988" t="inlineStr">
        <is>
          <t>2.01.02 Frete sobre Vendas</t>
        </is>
      </c>
      <c r="C1988" t="inlineStr">
        <is>
          <t>Antes de 2026</t>
        </is>
      </c>
      <c r="D1988" t="inlineStr">
        <is>
          <t>Antes de 2026</t>
        </is>
      </c>
      <c r="E1988" s="28" t="n">
        <v>45897</v>
      </c>
      <c r="F1988" t="inlineStr">
        <is>
          <t>CT-e</t>
        </is>
      </c>
      <c r="G1988" t="inlineStr">
        <is>
          <t>000005068</t>
        </is>
      </c>
      <c r="H1988" t="inlineStr">
        <is>
          <t>R&amp;R TRANSPORTE E LOGISTICA</t>
        </is>
      </c>
      <c r="J1988" s="29" t="n">
        <v>42.17</v>
      </c>
      <c r="K1988" s="29">
        <f>(1-ISNUMBER(SEARCH("556",M1988)))*(O1988*SUMIFS(Premissas!$C$5:$C$44,Premissas!$A$5:$A$44,$A1988,Premissas!$B$5:$B$44,$B1988)+P1988*SUMIFS(Premissas!$D$5:$D$44,Premissas!$A$5:$A$44,$A1988,Premissas!$B$5:$B$44,$B1988))+R1988*SUMIFS(Premissas!$E$5:$E$44,Premissas!$A$5:$A$44,$A1988,Premissas!$B$5:$B$44,$B1988)+S1988*SUMIFS(Premissas!$F$5:$F$44,Premissas!$A$5:$A$44,$A1988,Premissas!$B$5:$B$44,$B1988)</f>
        <v/>
      </c>
      <c r="L1988" s="29">
        <f>J1988-K1988</f>
        <v/>
      </c>
      <c r="M1988" t="inlineStr">
        <is>
          <t>1.350</t>
        </is>
      </c>
      <c r="N1988" t="inlineStr">
        <is>
          <t>Modalidade: 0 - Por conta do remetente | Parte: RM FRIOS (39.405.968/0001-33)</t>
        </is>
      </c>
      <c r="O1988" s="29" t="n">
        <v>0</v>
      </c>
      <c r="P1988" s="29" t="n">
        <v>0</v>
      </c>
      <c r="Q1988" s="29" t="n">
        <v>0</v>
      </c>
      <c r="R1988" s="29" t="n">
        <v>0</v>
      </c>
      <c r="S1988" s="29" t="n">
        <v>0</v>
      </c>
      <c r="T1988" t="inlineStr">
        <is>
          <t>25250826975620000130570010000050681000000006</t>
        </is>
      </c>
      <c r="U1988" t="inlineStr">
        <is>
          <t>Não</t>
        </is>
      </c>
    </row>
    <row r="1989">
      <c r="A1989" t="inlineStr">
        <is>
          <t>Frete de venda</t>
        </is>
      </c>
      <c r="B1989" t="inlineStr">
        <is>
          <t>2.01.02 Frete sobre Vendas</t>
        </is>
      </c>
      <c r="C1989" t="inlineStr">
        <is>
          <t>Antes de 2026</t>
        </is>
      </c>
      <c r="D1989" t="inlineStr">
        <is>
          <t>Antes de 2026</t>
        </is>
      </c>
      <c r="E1989" s="28" t="n">
        <v>45897</v>
      </c>
      <c r="F1989" t="inlineStr">
        <is>
          <t>CT-e</t>
        </is>
      </c>
      <c r="G1989" t="inlineStr">
        <is>
          <t>000005069</t>
        </is>
      </c>
      <c r="H1989" t="inlineStr">
        <is>
          <t>R&amp;R TRANSPORTE E LOGISTICA</t>
        </is>
      </c>
      <c r="J1989" s="29" t="n">
        <v>41.23</v>
      </c>
      <c r="K1989" s="29">
        <f>(1-ISNUMBER(SEARCH("556",M1989)))*(O1989*SUMIFS(Premissas!$C$5:$C$44,Premissas!$A$5:$A$44,$A1989,Premissas!$B$5:$B$44,$B1989)+P1989*SUMIFS(Premissas!$D$5:$D$44,Premissas!$A$5:$A$44,$A1989,Premissas!$B$5:$B$44,$B1989))+R1989*SUMIFS(Premissas!$E$5:$E$44,Premissas!$A$5:$A$44,$A1989,Premissas!$B$5:$B$44,$B1989)+S1989*SUMIFS(Premissas!$F$5:$F$44,Premissas!$A$5:$A$44,$A1989,Premissas!$B$5:$B$44,$B1989)</f>
        <v/>
      </c>
      <c r="L1989" s="29">
        <f>J1989-K1989</f>
        <v/>
      </c>
      <c r="M1989" t="inlineStr">
        <is>
          <t>1.350</t>
        </is>
      </c>
      <c r="N1989" t="inlineStr">
        <is>
          <t>Modalidade: 0 - Por conta do remetente | Parte: LEPETTI DOCES BSB LTDA (27.023.179/0001-59)</t>
        </is>
      </c>
      <c r="O1989" s="29" t="n">
        <v>0</v>
      </c>
      <c r="P1989" s="29" t="n">
        <v>0</v>
      </c>
      <c r="Q1989" s="29" t="n">
        <v>0</v>
      </c>
      <c r="R1989" s="29" t="n">
        <v>0</v>
      </c>
      <c r="S1989" s="29" t="n">
        <v>0</v>
      </c>
      <c r="T1989" t="inlineStr">
        <is>
          <t>25250826975620000130570010000050691000000003</t>
        </is>
      </c>
      <c r="U1989" t="inlineStr">
        <is>
          <t>Não</t>
        </is>
      </c>
    </row>
    <row r="1990">
      <c r="A1990" t="inlineStr">
        <is>
          <t>Frete de venda</t>
        </is>
      </c>
      <c r="B1990" t="inlineStr">
        <is>
          <t>2.01.02 Frete sobre Vendas</t>
        </is>
      </c>
      <c r="C1990" t="inlineStr">
        <is>
          <t>Antes de 2026</t>
        </is>
      </c>
      <c r="D1990" t="inlineStr">
        <is>
          <t>Antes de 2026</t>
        </is>
      </c>
      <c r="E1990" s="28" t="n">
        <v>45897</v>
      </c>
      <c r="F1990" t="inlineStr">
        <is>
          <t>CT-e</t>
        </is>
      </c>
      <c r="G1990" t="inlineStr">
        <is>
          <t>000005070</t>
        </is>
      </c>
      <c r="H1990" t="inlineStr">
        <is>
          <t>R&amp;R TRANSPORTE E LOGISTICA</t>
        </is>
      </c>
      <c r="J1990" s="29" t="n">
        <v>34.92</v>
      </c>
      <c r="K1990" s="29">
        <f>(1-ISNUMBER(SEARCH("556",M1990)))*(O1990*SUMIFS(Premissas!$C$5:$C$44,Premissas!$A$5:$A$44,$A1990,Premissas!$B$5:$B$44,$B1990)+P1990*SUMIFS(Premissas!$D$5:$D$44,Premissas!$A$5:$A$44,$A1990,Premissas!$B$5:$B$44,$B1990))+R1990*SUMIFS(Premissas!$E$5:$E$44,Premissas!$A$5:$A$44,$A1990,Premissas!$B$5:$B$44,$B1990)+S1990*SUMIFS(Premissas!$F$5:$F$44,Premissas!$A$5:$A$44,$A1990,Premissas!$B$5:$B$44,$B1990)</f>
        <v/>
      </c>
      <c r="L1990" s="29">
        <f>J1990-K1990</f>
        <v/>
      </c>
      <c r="M1990" t="inlineStr">
        <is>
          <t>1.350</t>
        </is>
      </c>
      <c r="N1990" t="inlineStr">
        <is>
          <t>Modalidade: 0 - Por conta do remetente | Parte: BARBOSA EMBALAGENS LTDA (14.913.229/0001-21)</t>
        </is>
      </c>
      <c r="O1990" s="29" t="n">
        <v>0</v>
      </c>
      <c r="P1990" s="29" t="n">
        <v>0</v>
      </c>
      <c r="Q1990" s="29" t="n">
        <v>0</v>
      </c>
      <c r="R1990" s="29" t="n">
        <v>0</v>
      </c>
      <c r="S1990" s="29" t="n">
        <v>0</v>
      </c>
      <c r="T1990" t="inlineStr">
        <is>
          <t>25250826975620000130570010000050701000000004</t>
        </is>
      </c>
      <c r="U1990" t="inlineStr">
        <is>
          <t>Não</t>
        </is>
      </c>
    </row>
    <row r="1991">
      <c r="A1991" t="inlineStr">
        <is>
          <t>Frete de venda</t>
        </is>
      </c>
      <c r="B1991" t="inlineStr">
        <is>
          <t>2.01.02 Frete sobre Vendas</t>
        </is>
      </c>
      <c r="C1991" t="inlineStr">
        <is>
          <t>Antes de 2026</t>
        </is>
      </c>
      <c r="D1991" t="inlineStr">
        <is>
          <t>Antes de 2026</t>
        </is>
      </c>
      <c r="E1991" s="28" t="n">
        <v>45898</v>
      </c>
      <c r="F1991" t="inlineStr">
        <is>
          <t>CT-e</t>
        </is>
      </c>
      <c r="G1991" t="inlineStr">
        <is>
          <t>000005076</t>
        </is>
      </c>
      <c r="H1991" t="inlineStr">
        <is>
          <t>R&amp;R TRANSPORTE E LOGISTICA</t>
        </is>
      </c>
      <c r="J1991" s="29" t="n">
        <v>33.43</v>
      </c>
      <c r="K1991" s="29">
        <f>(1-ISNUMBER(SEARCH("556",M1991)))*(O1991*SUMIFS(Premissas!$C$5:$C$44,Premissas!$A$5:$A$44,$A1991,Premissas!$B$5:$B$44,$B1991)+P1991*SUMIFS(Premissas!$D$5:$D$44,Premissas!$A$5:$A$44,$A1991,Premissas!$B$5:$B$44,$B1991))+R1991*SUMIFS(Premissas!$E$5:$E$44,Premissas!$A$5:$A$44,$A1991,Premissas!$B$5:$B$44,$B1991)+S1991*SUMIFS(Premissas!$F$5:$F$44,Premissas!$A$5:$A$44,$A1991,Premissas!$B$5:$B$44,$B1991)</f>
        <v/>
      </c>
      <c r="L1991" s="29">
        <f>J1991-K1991</f>
        <v/>
      </c>
      <c r="M1991" t="inlineStr">
        <is>
          <t>1.350</t>
        </is>
      </c>
      <c r="N1991" t="inlineStr">
        <is>
          <t>Modalidade: 0 - Por conta do remetente | Parte: J. B. BORGES e CIA LTDA (08.018.936/0001-51)</t>
        </is>
      </c>
      <c r="O1991" s="29" t="n">
        <v>0</v>
      </c>
      <c r="P1991" s="29" t="n">
        <v>0</v>
      </c>
      <c r="Q1991" s="29" t="n">
        <v>0</v>
      </c>
      <c r="R1991" s="29" t="n">
        <v>0</v>
      </c>
      <c r="S1991" s="29" t="n">
        <v>0</v>
      </c>
      <c r="T1991" t="inlineStr">
        <is>
          <t>25250826975620000130570010000050761000000008</t>
        </is>
      </c>
      <c r="U1991" t="inlineStr">
        <is>
          <t>Não</t>
        </is>
      </c>
    </row>
    <row r="1992">
      <c r="A1992" t="inlineStr">
        <is>
          <t>Frete de venda</t>
        </is>
      </c>
      <c r="B1992" t="inlineStr">
        <is>
          <t>2.01.02 Frete sobre Vendas</t>
        </is>
      </c>
      <c r="C1992" t="inlineStr">
        <is>
          <t>Antes de 2026</t>
        </is>
      </c>
      <c r="D1992" t="inlineStr">
        <is>
          <t>Antes de 2026</t>
        </is>
      </c>
      <c r="E1992" s="28" t="n">
        <v>45898</v>
      </c>
      <c r="F1992" t="inlineStr">
        <is>
          <t>CT-e</t>
        </is>
      </c>
      <c r="G1992" t="inlineStr">
        <is>
          <t>000005077</t>
        </is>
      </c>
      <c r="H1992" t="inlineStr">
        <is>
          <t>R&amp;R TRANSPORTE E LOGISTICA</t>
        </is>
      </c>
      <c r="J1992" s="29" t="n">
        <v>27.74</v>
      </c>
      <c r="K1992" s="29">
        <f>(1-ISNUMBER(SEARCH("556",M1992)))*(O1992*SUMIFS(Premissas!$C$5:$C$44,Premissas!$A$5:$A$44,$A1992,Premissas!$B$5:$B$44,$B1992)+P1992*SUMIFS(Premissas!$D$5:$D$44,Premissas!$A$5:$A$44,$A1992,Premissas!$B$5:$B$44,$B1992))+R1992*SUMIFS(Premissas!$E$5:$E$44,Premissas!$A$5:$A$44,$A1992,Premissas!$B$5:$B$44,$B1992)+S1992*SUMIFS(Premissas!$F$5:$F$44,Premissas!$A$5:$A$44,$A1992,Premissas!$B$5:$B$44,$B1992)</f>
        <v/>
      </c>
      <c r="L1992" s="29">
        <f>J1992-K1992</f>
        <v/>
      </c>
      <c r="M1992" t="inlineStr">
        <is>
          <t>1.350</t>
        </is>
      </c>
      <c r="N1992" t="inlineStr">
        <is>
          <t>Modalidade: 0 - Por conta do remetente | Parte: V E MAQUINAS E FERRAMENTAS LTDA (27.083.412/0001-99)</t>
        </is>
      </c>
      <c r="O1992" s="29" t="n">
        <v>0</v>
      </c>
      <c r="P1992" s="29" t="n">
        <v>0</v>
      </c>
      <c r="Q1992" s="29" t="n">
        <v>0</v>
      </c>
      <c r="R1992" s="29" t="n">
        <v>0</v>
      </c>
      <c r="S1992" s="29" t="n">
        <v>0</v>
      </c>
      <c r="T1992" t="inlineStr">
        <is>
          <t>25250826975620000130570010000050771000000005</t>
        </is>
      </c>
      <c r="U1992" t="inlineStr">
        <is>
          <t>Não</t>
        </is>
      </c>
    </row>
    <row r="1993">
      <c r="A1993" t="inlineStr">
        <is>
          <t>Frete de venda</t>
        </is>
      </c>
      <c r="B1993" t="inlineStr">
        <is>
          <t>2.01.02 Frete sobre Vendas</t>
        </is>
      </c>
      <c r="C1993" t="inlineStr">
        <is>
          <t>Antes de 2026</t>
        </is>
      </c>
      <c r="D1993" t="inlineStr">
        <is>
          <t>Antes de 2026</t>
        </is>
      </c>
      <c r="E1993" s="28" t="n">
        <v>45898</v>
      </c>
      <c r="F1993" t="inlineStr">
        <is>
          <t>CT-e</t>
        </is>
      </c>
      <c r="G1993" t="inlineStr">
        <is>
          <t>000005078</t>
        </is>
      </c>
      <c r="H1993" t="inlineStr">
        <is>
          <t>R&amp;R TRANSPORTE E LOGISTICA</t>
        </is>
      </c>
      <c r="J1993" s="29" t="n">
        <v>34.1</v>
      </c>
      <c r="K1993" s="29">
        <f>(1-ISNUMBER(SEARCH("556",M1993)))*(O1993*SUMIFS(Premissas!$C$5:$C$44,Premissas!$A$5:$A$44,$A1993,Premissas!$B$5:$B$44,$B1993)+P1993*SUMIFS(Premissas!$D$5:$D$44,Premissas!$A$5:$A$44,$A1993,Premissas!$B$5:$B$44,$B1993))+R1993*SUMIFS(Premissas!$E$5:$E$44,Premissas!$A$5:$A$44,$A1993,Premissas!$B$5:$B$44,$B1993)+S1993*SUMIFS(Premissas!$F$5:$F$44,Premissas!$A$5:$A$44,$A1993,Premissas!$B$5:$B$44,$B1993)</f>
        <v/>
      </c>
      <c r="L1993" s="29">
        <f>J1993-K1993</f>
        <v/>
      </c>
      <c r="M1993" t="inlineStr">
        <is>
          <t>1.350</t>
        </is>
      </c>
      <c r="N1993" t="inlineStr">
        <is>
          <t>Modalidade: 0 - Por conta do remetente | Parte: D G DA SILVA EMBALAGENS EM GERAL LTDA (03.793.507/0001-38)</t>
        </is>
      </c>
      <c r="O1993" s="29" t="n">
        <v>0</v>
      </c>
      <c r="P1993" s="29" t="n">
        <v>0</v>
      </c>
      <c r="Q1993" s="29" t="n">
        <v>0</v>
      </c>
      <c r="R1993" s="29" t="n">
        <v>0</v>
      </c>
      <c r="S1993" s="29" t="n">
        <v>0</v>
      </c>
      <c r="T1993" t="inlineStr">
        <is>
          <t>25250826975620000130570010000050781000000002</t>
        </is>
      </c>
      <c r="U1993" t="inlineStr">
        <is>
          <t>Não</t>
        </is>
      </c>
    </row>
    <row r="1994">
      <c r="A1994" t="inlineStr">
        <is>
          <t>Frete de venda</t>
        </is>
      </c>
      <c r="B1994" t="inlineStr">
        <is>
          <t>2.01.02 Frete sobre Vendas</t>
        </is>
      </c>
      <c r="C1994" t="inlineStr">
        <is>
          <t>Antes de 2026</t>
        </is>
      </c>
      <c r="D1994" t="inlineStr">
        <is>
          <t>Antes de 2026</t>
        </is>
      </c>
      <c r="E1994" s="28" t="n">
        <v>45898</v>
      </c>
      <c r="F1994" t="inlineStr">
        <is>
          <t>CT-e</t>
        </is>
      </c>
      <c r="G1994" t="inlineStr">
        <is>
          <t>000005079</t>
        </is>
      </c>
      <c r="H1994" t="inlineStr">
        <is>
          <t>R&amp;R TRANSPORTE E LOGISTICA</t>
        </is>
      </c>
      <c r="J1994" s="29" t="n">
        <v>27.88</v>
      </c>
      <c r="K1994" s="29">
        <f>(1-ISNUMBER(SEARCH("556",M1994)))*(O1994*SUMIFS(Premissas!$C$5:$C$44,Premissas!$A$5:$A$44,$A1994,Premissas!$B$5:$B$44,$B1994)+P1994*SUMIFS(Premissas!$D$5:$D$44,Premissas!$A$5:$A$44,$A1994,Premissas!$B$5:$B$44,$B1994))+R1994*SUMIFS(Premissas!$E$5:$E$44,Premissas!$A$5:$A$44,$A1994,Premissas!$B$5:$B$44,$B1994)+S1994*SUMIFS(Premissas!$F$5:$F$44,Premissas!$A$5:$A$44,$A1994,Premissas!$B$5:$B$44,$B1994)</f>
        <v/>
      </c>
      <c r="L1994" s="29">
        <f>J1994-K1994</f>
        <v/>
      </c>
      <c r="M1994" t="inlineStr">
        <is>
          <t>1.350</t>
        </is>
      </c>
      <c r="N1994" t="inlineStr">
        <is>
          <t>Modalidade: 0 - Por conta do remetente | Parte: A MOTA COMERCIO DE EMBALAGENS E REPRESENTACOES LTDA (52.274.765/0001-13)</t>
        </is>
      </c>
      <c r="O1994" s="29" t="n">
        <v>0</v>
      </c>
      <c r="P1994" s="29" t="n">
        <v>0</v>
      </c>
      <c r="Q1994" s="29" t="n">
        <v>0</v>
      </c>
      <c r="R1994" s="29" t="n">
        <v>0</v>
      </c>
      <c r="S1994" s="29" t="n">
        <v>0</v>
      </c>
      <c r="T1994" t="inlineStr">
        <is>
          <t>25250826975620000130570010000050791000000000</t>
        </is>
      </c>
      <c r="U1994" t="inlineStr">
        <is>
          <t>Não</t>
        </is>
      </c>
    </row>
    <row r="1995">
      <c r="A1995" t="inlineStr">
        <is>
          <t>Frete de venda</t>
        </is>
      </c>
      <c r="B1995" t="inlineStr">
        <is>
          <t>2.01.02 Frete sobre Vendas</t>
        </is>
      </c>
      <c r="C1995" t="inlineStr">
        <is>
          <t>Antes de 2026</t>
        </is>
      </c>
      <c r="D1995" t="inlineStr">
        <is>
          <t>Antes de 2026</t>
        </is>
      </c>
      <c r="E1995" s="28" t="n">
        <v>45898</v>
      </c>
      <c r="F1995" t="inlineStr">
        <is>
          <t>CT-e</t>
        </is>
      </c>
      <c r="G1995" t="inlineStr">
        <is>
          <t>000005080</t>
        </is>
      </c>
      <c r="H1995" t="inlineStr">
        <is>
          <t>R&amp;R TRANSPORTE E LOGISTICA</t>
        </is>
      </c>
      <c r="J1995" s="29" t="n">
        <v>73.48999999999999</v>
      </c>
      <c r="K1995" s="29">
        <f>(1-ISNUMBER(SEARCH("556",M1995)))*(O1995*SUMIFS(Premissas!$C$5:$C$44,Premissas!$A$5:$A$44,$A1995,Premissas!$B$5:$B$44,$B1995)+P1995*SUMIFS(Premissas!$D$5:$D$44,Premissas!$A$5:$A$44,$A1995,Premissas!$B$5:$B$44,$B1995))+R1995*SUMIFS(Premissas!$E$5:$E$44,Premissas!$A$5:$A$44,$A1995,Premissas!$B$5:$B$44,$B1995)+S1995*SUMIFS(Premissas!$F$5:$F$44,Premissas!$A$5:$A$44,$A1995,Premissas!$B$5:$B$44,$B1995)</f>
        <v/>
      </c>
      <c r="L1995" s="29">
        <f>J1995-K1995</f>
        <v/>
      </c>
      <c r="M1995" t="inlineStr">
        <is>
          <t>1.350</t>
        </is>
      </c>
      <c r="N1995" t="inlineStr">
        <is>
          <t>Modalidade: 0 - Por conta do remetente | Parte: M. R. ARAUJO SOPRAN (07.444.901/0001-11)</t>
        </is>
      </c>
      <c r="O1995" s="29" t="n">
        <v>0</v>
      </c>
      <c r="P1995" s="29" t="n">
        <v>0</v>
      </c>
      <c r="Q1995" s="29" t="n">
        <v>0</v>
      </c>
      <c r="R1995" s="29" t="n">
        <v>0</v>
      </c>
      <c r="S1995" s="29" t="n">
        <v>0</v>
      </c>
      <c r="T1995" t="inlineStr">
        <is>
          <t>25250826975620000130570010000050801000000000</t>
        </is>
      </c>
      <c r="U1995" t="inlineStr">
        <is>
          <t>Não</t>
        </is>
      </c>
    </row>
    <row r="1996">
      <c r="A1996" t="inlineStr">
        <is>
          <t>Frete de venda</t>
        </is>
      </c>
      <c r="B1996" t="inlineStr">
        <is>
          <t>2.01.02 Frete sobre Vendas</t>
        </is>
      </c>
      <c r="C1996" t="inlineStr">
        <is>
          <t>Antes de 2026</t>
        </is>
      </c>
      <c r="D1996" t="inlineStr">
        <is>
          <t>Antes de 2026</t>
        </is>
      </c>
      <c r="E1996" s="28" t="n">
        <v>45898</v>
      </c>
      <c r="F1996" t="inlineStr">
        <is>
          <t>CT-e</t>
        </is>
      </c>
      <c r="G1996" t="inlineStr">
        <is>
          <t>000005081</t>
        </is>
      </c>
      <c r="H1996" t="inlineStr">
        <is>
          <t>R&amp;R TRANSPORTE E LOGISTICA</t>
        </is>
      </c>
      <c r="J1996" s="29" t="n">
        <v>25.44</v>
      </c>
      <c r="K1996" s="29">
        <f>(1-ISNUMBER(SEARCH("556",M1996)))*(O1996*SUMIFS(Premissas!$C$5:$C$44,Premissas!$A$5:$A$44,$A1996,Premissas!$B$5:$B$44,$B1996)+P1996*SUMIFS(Premissas!$D$5:$D$44,Premissas!$A$5:$A$44,$A1996,Premissas!$B$5:$B$44,$B1996))+R1996*SUMIFS(Premissas!$E$5:$E$44,Premissas!$A$5:$A$44,$A1996,Premissas!$B$5:$B$44,$B1996)+S1996*SUMIFS(Premissas!$F$5:$F$44,Premissas!$A$5:$A$44,$A1996,Premissas!$B$5:$B$44,$B1996)</f>
        <v/>
      </c>
      <c r="L1996" s="29">
        <f>J1996-K1996</f>
        <v/>
      </c>
      <c r="M1996" t="inlineStr">
        <is>
          <t>1.350</t>
        </is>
      </c>
      <c r="N1996" t="inlineStr">
        <is>
          <t>Modalidade: 0 - Por conta do remetente | Parte: TROPICAL FESTAS E EMBALAGENS - C. A. NOLETO DA COSTA (34.906.974/0001-50)</t>
        </is>
      </c>
      <c r="O1996" s="29" t="n">
        <v>0</v>
      </c>
      <c r="P1996" s="29" t="n">
        <v>0</v>
      </c>
      <c r="Q1996" s="29" t="n">
        <v>0</v>
      </c>
      <c r="R1996" s="29" t="n">
        <v>0</v>
      </c>
      <c r="S1996" s="29" t="n">
        <v>0</v>
      </c>
      <c r="T1996" t="inlineStr">
        <is>
          <t>25250826975620000130570010000050811000000008</t>
        </is>
      </c>
      <c r="U1996" t="inlineStr">
        <is>
          <t>Não</t>
        </is>
      </c>
    </row>
    <row r="1997">
      <c r="A1997" t="inlineStr">
        <is>
          <t>Frete de venda</t>
        </is>
      </c>
      <c r="B1997" t="inlineStr">
        <is>
          <t>2.01.02 Frete sobre Vendas</t>
        </is>
      </c>
      <c r="C1997" t="inlineStr">
        <is>
          <t>Antes de 2026</t>
        </is>
      </c>
      <c r="D1997" t="inlineStr">
        <is>
          <t>Antes de 2026</t>
        </is>
      </c>
      <c r="E1997" s="28" t="n">
        <v>45898</v>
      </c>
      <c r="F1997" t="inlineStr">
        <is>
          <t>CT-e</t>
        </is>
      </c>
      <c r="G1997" t="inlineStr">
        <is>
          <t>000005082</t>
        </is>
      </c>
      <c r="H1997" t="inlineStr">
        <is>
          <t>R&amp;R TRANSPORTE E LOGISTICA</t>
        </is>
      </c>
      <c r="J1997" s="29" t="n">
        <v>26.66</v>
      </c>
      <c r="K1997" s="29">
        <f>(1-ISNUMBER(SEARCH("556",M1997)))*(O1997*SUMIFS(Premissas!$C$5:$C$44,Premissas!$A$5:$A$44,$A1997,Premissas!$B$5:$B$44,$B1997)+P1997*SUMIFS(Premissas!$D$5:$D$44,Premissas!$A$5:$A$44,$A1997,Premissas!$B$5:$B$44,$B1997))+R1997*SUMIFS(Premissas!$E$5:$E$44,Premissas!$A$5:$A$44,$A1997,Premissas!$B$5:$B$44,$B1997)+S1997*SUMIFS(Premissas!$F$5:$F$44,Premissas!$A$5:$A$44,$A1997,Premissas!$B$5:$B$44,$B1997)</f>
        <v/>
      </c>
      <c r="L1997" s="29">
        <f>J1997-K1997</f>
        <v/>
      </c>
      <c r="M1997" t="inlineStr">
        <is>
          <t>1.350</t>
        </is>
      </c>
      <c r="N1997" t="inlineStr">
        <is>
          <t>Modalidade: 0 - Por conta do remetente | Parte: G N FLORES DA MOTA COMERCIO LTDA (51.320.454/0001-80)</t>
        </is>
      </c>
      <c r="O1997" s="29" t="n">
        <v>0</v>
      </c>
      <c r="P1997" s="29" t="n">
        <v>0</v>
      </c>
      <c r="Q1997" s="29" t="n">
        <v>0</v>
      </c>
      <c r="R1997" s="29" t="n">
        <v>0</v>
      </c>
      <c r="S1997" s="29" t="n">
        <v>0</v>
      </c>
      <c r="T1997" t="inlineStr">
        <is>
          <t>25250826975620000130570010000050821000000005</t>
        </is>
      </c>
      <c r="U1997" t="inlineStr">
        <is>
          <t>Não</t>
        </is>
      </c>
    </row>
    <row r="1998">
      <c r="A1998" t="inlineStr">
        <is>
          <t>Frete de venda</t>
        </is>
      </c>
      <c r="B1998" t="inlineStr">
        <is>
          <t>2.01.02 Frete sobre Vendas</t>
        </is>
      </c>
      <c r="C1998" t="inlineStr">
        <is>
          <t>Antes de 2026</t>
        </is>
      </c>
      <c r="D1998" t="inlineStr">
        <is>
          <t>Antes de 2026</t>
        </is>
      </c>
      <c r="E1998" s="28" t="n">
        <v>45898</v>
      </c>
      <c r="F1998" t="inlineStr">
        <is>
          <t>CT-e</t>
        </is>
      </c>
      <c r="G1998" t="inlineStr">
        <is>
          <t>000005083</t>
        </is>
      </c>
      <c r="H1998" t="inlineStr">
        <is>
          <t>R&amp;R TRANSPORTE E LOGISTICA</t>
        </is>
      </c>
      <c r="J1998" s="29" t="n">
        <v>30.48</v>
      </c>
      <c r="K1998" s="29">
        <f>(1-ISNUMBER(SEARCH("556",M1998)))*(O1998*SUMIFS(Premissas!$C$5:$C$44,Premissas!$A$5:$A$44,$A1998,Premissas!$B$5:$B$44,$B1998)+P1998*SUMIFS(Premissas!$D$5:$D$44,Premissas!$A$5:$A$44,$A1998,Premissas!$B$5:$B$44,$B1998))+R1998*SUMIFS(Premissas!$E$5:$E$44,Premissas!$A$5:$A$44,$A1998,Premissas!$B$5:$B$44,$B1998)+S1998*SUMIFS(Premissas!$F$5:$F$44,Premissas!$A$5:$A$44,$A1998,Premissas!$B$5:$B$44,$B1998)</f>
        <v/>
      </c>
      <c r="L1998" s="29">
        <f>J1998-K1998</f>
        <v/>
      </c>
      <c r="M1998" t="inlineStr">
        <is>
          <t>1.350</t>
        </is>
      </c>
      <c r="N1998" t="inlineStr">
        <is>
          <t>Modalidade: 0 - Por conta do remetente | Parte: PALMAS ATACADO DE EMBALAGENS LTDA (17.069.189/0001-71)</t>
        </is>
      </c>
      <c r="O1998" s="29" t="n">
        <v>0</v>
      </c>
      <c r="P1998" s="29" t="n">
        <v>0</v>
      </c>
      <c r="Q1998" s="29" t="n">
        <v>0</v>
      </c>
      <c r="R1998" s="29" t="n">
        <v>0</v>
      </c>
      <c r="S1998" s="29" t="n">
        <v>0</v>
      </c>
      <c r="T1998" t="inlineStr">
        <is>
          <t>25250826975620000130570010000050831000000002</t>
        </is>
      </c>
      <c r="U1998" t="inlineStr">
        <is>
          <t>Não</t>
        </is>
      </c>
    </row>
    <row r="1999">
      <c r="A1999" t="inlineStr">
        <is>
          <t>Frete de venda</t>
        </is>
      </c>
      <c r="B1999" t="inlineStr">
        <is>
          <t>2.01.02 Frete sobre Vendas</t>
        </is>
      </c>
      <c r="C1999" t="inlineStr">
        <is>
          <t>Antes de 2026</t>
        </is>
      </c>
      <c r="D1999" t="inlineStr">
        <is>
          <t>Antes de 2026</t>
        </is>
      </c>
      <c r="E1999" s="28" t="n">
        <v>45898</v>
      </c>
      <c r="F1999" t="inlineStr">
        <is>
          <t>CT-e</t>
        </is>
      </c>
      <c r="G1999" t="inlineStr">
        <is>
          <t>000005084</t>
        </is>
      </c>
      <c r="H1999" t="inlineStr">
        <is>
          <t>R&amp;R TRANSPORTE E LOGISTICA</t>
        </is>
      </c>
      <c r="J1999" s="29" t="n">
        <v>44.68</v>
      </c>
      <c r="K1999" s="29">
        <f>(1-ISNUMBER(SEARCH("556",M1999)))*(O1999*SUMIFS(Premissas!$C$5:$C$44,Premissas!$A$5:$A$44,$A1999,Premissas!$B$5:$B$44,$B1999)+P1999*SUMIFS(Premissas!$D$5:$D$44,Premissas!$A$5:$A$44,$A1999,Premissas!$B$5:$B$44,$B1999))+R1999*SUMIFS(Premissas!$E$5:$E$44,Premissas!$A$5:$A$44,$A1999,Premissas!$B$5:$B$44,$B1999)+S1999*SUMIFS(Premissas!$F$5:$F$44,Premissas!$A$5:$A$44,$A1999,Premissas!$B$5:$B$44,$B1999)</f>
        <v/>
      </c>
      <c r="L1999" s="29">
        <f>J1999-K1999</f>
        <v/>
      </c>
      <c r="M1999" t="inlineStr">
        <is>
          <t>1.350</t>
        </is>
      </c>
      <c r="N1999" t="inlineStr">
        <is>
          <t>Modalidade: 0 - Por conta do remetente | Parte: A M E DISTRIBUIDORA DE EMBALAGENS PRODUTOS PARA CONFEITAR (19.310.817/0001-94)</t>
        </is>
      </c>
      <c r="O1999" s="29" t="n">
        <v>0</v>
      </c>
      <c r="P1999" s="29" t="n">
        <v>0</v>
      </c>
      <c r="Q1999" s="29" t="n">
        <v>0</v>
      </c>
      <c r="R1999" s="29" t="n">
        <v>0</v>
      </c>
      <c r="S1999" s="29" t="n">
        <v>0</v>
      </c>
      <c r="T1999" t="inlineStr">
        <is>
          <t>25250826975620000130570010000050841000000000</t>
        </is>
      </c>
      <c r="U1999" t="inlineStr">
        <is>
          <t>Não</t>
        </is>
      </c>
    </row>
    <row r="2000">
      <c r="A2000" t="inlineStr">
        <is>
          <t>Frete de venda</t>
        </is>
      </c>
      <c r="B2000" t="inlineStr">
        <is>
          <t>2.01.02 Frete sobre Vendas</t>
        </is>
      </c>
      <c r="C2000" t="inlineStr">
        <is>
          <t>Antes de 2026</t>
        </is>
      </c>
      <c r="D2000" t="inlineStr">
        <is>
          <t>Antes de 2026</t>
        </is>
      </c>
      <c r="E2000" s="28" t="n">
        <v>45898</v>
      </c>
      <c r="F2000" t="inlineStr">
        <is>
          <t>CT-e</t>
        </is>
      </c>
      <c r="G2000" t="inlineStr">
        <is>
          <t>000005085</t>
        </is>
      </c>
      <c r="H2000" t="inlineStr">
        <is>
          <t>R&amp;R TRANSPORTE E LOGISTICA</t>
        </is>
      </c>
      <c r="J2000" s="29" t="n">
        <v>67.34999999999999</v>
      </c>
      <c r="K2000" s="29">
        <f>(1-ISNUMBER(SEARCH("556",M2000)))*(O2000*SUMIFS(Premissas!$C$5:$C$44,Premissas!$A$5:$A$44,$A2000,Premissas!$B$5:$B$44,$B2000)+P2000*SUMIFS(Premissas!$D$5:$D$44,Premissas!$A$5:$A$44,$A2000,Premissas!$B$5:$B$44,$B2000))+R2000*SUMIFS(Premissas!$E$5:$E$44,Premissas!$A$5:$A$44,$A2000,Premissas!$B$5:$B$44,$B2000)+S2000*SUMIFS(Premissas!$F$5:$F$44,Premissas!$A$5:$A$44,$A2000,Premissas!$B$5:$B$44,$B2000)</f>
        <v/>
      </c>
      <c r="L2000" s="29">
        <f>J2000-K2000</f>
        <v/>
      </c>
      <c r="M2000" t="inlineStr">
        <is>
          <t>1.350</t>
        </is>
      </c>
      <c r="N2000" t="inlineStr">
        <is>
          <t>Modalidade: 0 - Por conta do remetente | Parte: M A M CAVALLINI EIRELI - ME (21.715.197/0001-15)</t>
        </is>
      </c>
      <c r="O2000" s="29" t="n">
        <v>0</v>
      </c>
      <c r="P2000" s="29" t="n">
        <v>0</v>
      </c>
      <c r="Q2000" s="29" t="n">
        <v>0</v>
      </c>
      <c r="R2000" s="29" t="n">
        <v>0</v>
      </c>
      <c r="S2000" s="29" t="n">
        <v>0</v>
      </c>
      <c r="T2000" t="inlineStr">
        <is>
          <t>25250826975620000130570010000050851000000007</t>
        </is>
      </c>
      <c r="U2000" t="inlineStr">
        <is>
          <t>Não</t>
        </is>
      </c>
    </row>
    <row r="2001">
      <c r="A2001" t="inlineStr">
        <is>
          <t>Frete de venda</t>
        </is>
      </c>
      <c r="B2001" t="inlineStr">
        <is>
          <t>2.01.02 Frete sobre Vendas</t>
        </is>
      </c>
      <c r="C2001" t="inlineStr">
        <is>
          <t>Antes de 2026</t>
        </is>
      </c>
      <c r="D2001" t="inlineStr">
        <is>
          <t>Antes de 2026</t>
        </is>
      </c>
      <c r="E2001" s="28" t="n">
        <v>45898</v>
      </c>
      <c r="F2001" t="inlineStr">
        <is>
          <t>CT-e</t>
        </is>
      </c>
      <c r="G2001" t="inlineStr">
        <is>
          <t>000005086</t>
        </is>
      </c>
      <c r="H2001" t="inlineStr">
        <is>
          <t>R&amp;R TRANSPORTE E LOGISTICA</t>
        </is>
      </c>
      <c r="J2001" s="29" t="n">
        <v>191.72</v>
      </c>
      <c r="K2001" s="29">
        <f>(1-ISNUMBER(SEARCH("556",M2001)))*(O2001*SUMIFS(Premissas!$C$5:$C$44,Premissas!$A$5:$A$44,$A2001,Premissas!$B$5:$B$44,$B2001)+P2001*SUMIFS(Premissas!$D$5:$D$44,Premissas!$A$5:$A$44,$A2001,Premissas!$B$5:$B$44,$B2001))+R2001*SUMIFS(Premissas!$E$5:$E$44,Premissas!$A$5:$A$44,$A2001,Premissas!$B$5:$B$44,$B2001)+S2001*SUMIFS(Premissas!$F$5:$F$44,Premissas!$A$5:$A$44,$A2001,Premissas!$B$5:$B$44,$B2001)</f>
        <v/>
      </c>
      <c r="L2001" s="29">
        <f>J2001-K2001</f>
        <v/>
      </c>
      <c r="M2001" t="inlineStr">
        <is>
          <t>1.350</t>
        </is>
      </c>
      <c r="N2001" t="inlineStr">
        <is>
          <t>Modalidade: 0 - Por conta do remetente | Parte: SAL DA TERRA COMERCIO DESCARTAVEIS LTDA (12.076.153/0001-00)</t>
        </is>
      </c>
      <c r="O2001" s="29" t="n">
        <v>0</v>
      </c>
      <c r="P2001" s="29" t="n">
        <v>0</v>
      </c>
      <c r="Q2001" s="29" t="n">
        <v>0</v>
      </c>
      <c r="R2001" s="29" t="n">
        <v>0</v>
      </c>
      <c r="S2001" s="29" t="n">
        <v>0</v>
      </c>
      <c r="T2001" t="inlineStr">
        <is>
          <t>25250826975620000130570010000050861000000004</t>
        </is>
      </c>
      <c r="U2001" t="inlineStr">
        <is>
          <t>Não</t>
        </is>
      </c>
    </row>
    <row r="2002">
      <c r="A2002" t="inlineStr">
        <is>
          <t>Frete de venda</t>
        </is>
      </c>
      <c r="B2002" t="inlineStr">
        <is>
          <t>2.01.02 Frete sobre Vendas</t>
        </is>
      </c>
      <c r="C2002" t="inlineStr">
        <is>
          <t>Antes de 2026</t>
        </is>
      </c>
      <c r="D2002" t="inlineStr">
        <is>
          <t>Antes de 2026</t>
        </is>
      </c>
      <c r="E2002" s="28" t="n">
        <v>45898</v>
      </c>
      <c r="F2002" t="inlineStr">
        <is>
          <t>CT-e</t>
        </is>
      </c>
      <c r="G2002" t="inlineStr">
        <is>
          <t>000005087</t>
        </is>
      </c>
      <c r="H2002" t="inlineStr">
        <is>
          <t>R&amp;R TRANSPORTE E LOGISTICA</t>
        </is>
      </c>
      <c r="J2002" s="29" t="n">
        <v>95.06999999999999</v>
      </c>
      <c r="K2002" s="29">
        <f>(1-ISNUMBER(SEARCH("556",M2002)))*(O2002*SUMIFS(Premissas!$C$5:$C$44,Premissas!$A$5:$A$44,$A2002,Premissas!$B$5:$B$44,$B2002)+P2002*SUMIFS(Premissas!$D$5:$D$44,Premissas!$A$5:$A$44,$A2002,Premissas!$B$5:$B$44,$B2002))+R2002*SUMIFS(Premissas!$E$5:$E$44,Premissas!$A$5:$A$44,$A2002,Premissas!$B$5:$B$44,$B2002)+S2002*SUMIFS(Premissas!$F$5:$F$44,Premissas!$A$5:$A$44,$A2002,Premissas!$B$5:$B$44,$B2002)</f>
        <v/>
      </c>
      <c r="L2002" s="29">
        <f>J2002-K2002</f>
        <v/>
      </c>
      <c r="M2002" t="inlineStr">
        <is>
          <t>1.350</t>
        </is>
      </c>
      <c r="N2002" t="inlineStr">
        <is>
          <t>Modalidade: 0 - Por conta do remetente | Parte: BAIAO-PLAST COMERCIO DE DESCARTAVEIS LTDA (20.132.314/0001-55)</t>
        </is>
      </c>
      <c r="O2002" s="29" t="n">
        <v>0</v>
      </c>
      <c r="P2002" s="29" t="n">
        <v>0</v>
      </c>
      <c r="Q2002" s="29" t="n">
        <v>0</v>
      </c>
      <c r="R2002" s="29" t="n">
        <v>0</v>
      </c>
      <c r="S2002" s="29" t="n">
        <v>0</v>
      </c>
      <c r="T2002" t="inlineStr">
        <is>
          <t>25250826975620000130570010000050871000000001</t>
        </is>
      </c>
      <c r="U2002" t="inlineStr">
        <is>
          <t>Não</t>
        </is>
      </c>
    </row>
    <row r="2003">
      <c r="A2003" t="inlineStr">
        <is>
          <t>Frete de venda</t>
        </is>
      </c>
      <c r="B2003" t="inlineStr">
        <is>
          <t>2.01.02 Frete sobre Vendas</t>
        </is>
      </c>
      <c r="C2003" t="inlineStr">
        <is>
          <t>Antes de 2026</t>
        </is>
      </c>
      <c r="D2003" t="inlineStr">
        <is>
          <t>Antes de 2026</t>
        </is>
      </c>
      <c r="E2003" s="28" t="n">
        <v>45899</v>
      </c>
      <c r="F2003" t="inlineStr">
        <is>
          <t>CT-e</t>
        </is>
      </c>
      <c r="G2003" t="inlineStr">
        <is>
          <t>000005088</t>
        </is>
      </c>
      <c r="H2003" t="inlineStr">
        <is>
          <t>R&amp;R TRANSPORTE E LOGISTICA</t>
        </is>
      </c>
      <c r="J2003" s="29" t="n">
        <v>235</v>
      </c>
      <c r="K2003" s="29">
        <f>(1-ISNUMBER(SEARCH("556",M2003)))*(O2003*SUMIFS(Premissas!$C$5:$C$44,Premissas!$A$5:$A$44,$A2003,Premissas!$B$5:$B$44,$B2003)+P2003*SUMIFS(Premissas!$D$5:$D$44,Premissas!$A$5:$A$44,$A2003,Premissas!$B$5:$B$44,$B2003))+R2003*SUMIFS(Premissas!$E$5:$E$44,Premissas!$A$5:$A$44,$A2003,Premissas!$B$5:$B$44,$B2003)+S2003*SUMIFS(Premissas!$F$5:$F$44,Premissas!$A$5:$A$44,$A2003,Premissas!$B$5:$B$44,$B2003)</f>
        <v/>
      </c>
      <c r="L2003" s="29">
        <f>J2003-K2003</f>
        <v/>
      </c>
      <c r="M2003" t="inlineStr">
        <is>
          <t>1.350</t>
        </is>
      </c>
      <c r="N2003" t="inlineStr">
        <is>
          <t>Modalidade: 0 - Por conta do remetente | Parte: DML DISTRIBUIDORA DE ALIMENTOS E EMBALAGENS LTDA (07.412.776/0001-68)</t>
        </is>
      </c>
      <c r="O2003" s="29" t="n">
        <v>0</v>
      </c>
      <c r="P2003" s="29" t="n">
        <v>0</v>
      </c>
      <c r="Q2003" s="29" t="n">
        <v>0</v>
      </c>
      <c r="R2003" s="29" t="n">
        <v>0</v>
      </c>
      <c r="S2003" s="29" t="n">
        <v>0</v>
      </c>
      <c r="T2003" t="inlineStr">
        <is>
          <t>25250826975620000130570010000050881000000009</t>
        </is>
      </c>
      <c r="U2003" t="inlineStr">
        <is>
          <t>Não</t>
        </is>
      </c>
    </row>
    <row r="2004">
      <c r="A2004" t="inlineStr">
        <is>
          <t>Frete de venda</t>
        </is>
      </c>
      <c r="B2004" t="inlineStr">
        <is>
          <t>2.01.02 Frete sobre Vendas</t>
        </is>
      </c>
      <c r="C2004" t="inlineStr">
        <is>
          <t>Antes de 2026</t>
        </is>
      </c>
      <c r="D2004" t="inlineStr">
        <is>
          <t>Antes de 2026</t>
        </is>
      </c>
      <c r="E2004" s="28" t="n">
        <v>45899</v>
      </c>
      <c r="F2004" t="inlineStr">
        <is>
          <t>CT-e</t>
        </is>
      </c>
      <c r="G2004" t="inlineStr">
        <is>
          <t>000005089</t>
        </is>
      </c>
      <c r="H2004" t="inlineStr">
        <is>
          <t>R&amp;R TRANSPORTE E LOGISTICA</t>
        </is>
      </c>
      <c r="J2004" s="29" t="n">
        <v>235</v>
      </c>
      <c r="K2004" s="29">
        <f>(1-ISNUMBER(SEARCH("556",M2004)))*(O2004*SUMIFS(Premissas!$C$5:$C$44,Premissas!$A$5:$A$44,$A2004,Premissas!$B$5:$B$44,$B2004)+P2004*SUMIFS(Premissas!$D$5:$D$44,Premissas!$A$5:$A$44,$A2004,Premissas!$B$5:$B$44,$B2004))+R2004*SUMIFS(Premissas!$E$5:$E$44,Premissas!$A$5:$A$44,$A2004,Premissas!$B$5:$B$44,$B2004)+S2004*SUMIFS(Premissas!$F$5:$F$44,Premissas!$A$5:$A$44,$A2004,Premissas!$B$5:$B$44,$B2004)</f>
        <v/>
      </c>
      <c r="L2004" s="29">
        <f>J2004-K2004</f>
        <v/>
      </c>
      <c r="M2004" t="inlineStr">
        <is>
          <t>1.350</t>
        </is>
      </c>
      <c r="N2004" t="inlineStr">
        <is>
          <t>Modalidade: 0 - Por conta do remetente | Parte: COMERCIAL PROLAC LTDA. (07.182.763/0001-40)</t>
        </is>
      </c>
      <c r="O2004" s="29" t="n">
        <v>0</v>
      </c>
      <c r="P2004" s="29" t="n">
        <v>0</v>
      </c>
      <c r="Q2004" s="29" t="n">
        <v>0</v>
      </c>
      <c r="R2004" s="29" t="n">
        <v>0</v>
      </c>
      <c r="S2004" s="29" t="n">
        <v>0</v>
      </c>
      <c r="T2004" t="inlineStr">
        <is>
          <t>25250826975620000130570010000050891000000006</t>
        </is>
      </c>
      <c r="U2004" t="inlineStr">
        <is>
          <t>Não</t>
        </is>
      </c>
    </row>
    <row r="2005">
      <c r="A2005" t="inlineStr">
        <is>
          <t>Frete de venda</t>
        </is>
      </c>
      <c r="B2005" t="inlineStr">
        <is>
          <t>2.01.02 Frete sobre Vendas</t>
        </is>
      </c>
      <c r="C2005" t="inlineStr">
        <is>
          <t>Antes de 2026</t>
        </is>
      </c>
      <c r="D2005" t="inlineStr">
        <is>
          <t>Antes de 2026</t>
        </is>
      </c>
      <c r="E2005" s="28" t="n">
        <v>45899</v>
      </c>
      <c r="F2005" t="inlineStr">
        <is>
          <t>CT-e</t>
        </is>
      </c>
      <c r="G2005" t="inlineStr">
        <is>
          <t>000005090</t>
        </is>
      </c>
      <c r="H2005" t="inlineStr">
        <is>
          <t>R&amp;R TRANSPORTE E LOGISTICA</t>
        </is>
      </c>
      <c r="J2005" s="29" t="n">
        <v>235</v>
      </c>
      <c r="K2005" s="29">
        <f>(1-ISNUMBER(SEARCH("556",M2005)))*(O2005*SUMIFS(Premissas!$C$5:$C$44,Premissas!$A$5:$A$44,$A2005,Premissas!$B$5:$B$44,$B2005)+P2005*SUMIFS(Premissas!$D$5:$D$44,Premissas!$A$5:$A$44,$A2005,Premissas!$B$5:$B$44,$B2005))+R2005*SUMIFS(Premissas!$E$5:$E$44,Premissas!$A$5:$A$44,$A2005,Premissas!$B$5:$B$44,$B2005)+S2005*SUMIFS(Premissas!$F$5:$F$44,Premissas!$A$5:$A$44,$A2005,Premissas!$B$5:$B$44,$B2005)</f>
        <v/>
      </c>
      <c r="L2005" s="29">
        <f>J2005-K2005</f>
        <v/>
      </c>
      <c r="M2005" t="inlineStr">
        <is>
          <t>1.350</t>
        </is>
      </c>
      <c r="N2005" t="inlineStr">
        <is>
          <t>Modalidade: 0 - Por conta do remetente | Parte: MACROPAC PROTECAO E EMBALAGEM LTDA (11.840.014/0001-30)</t>
        </is>
      </c>
      <c r="O2005" s="29" t="n">
        <v>0</v>
      </c>
      <c r="P2005" s="29" t="n">
        <v>0</v>
      </c>
      <c r="Q2005" s="29" t="n">
        <v>0</v>
      </c>
      <c r="R2005" s="29" t="n">
        <v>0</v>
      </c>
      <c r="S2005" s="29" t="n">
        <v>0</v>
      </c>
      <c r="T2005" t="inlineStr">
        <is>
          <t>25250826975620000130570010000050901000000007</t>
        </is>
      </c>
      <c r="U2005" t="inlineStr">
        <is>
          <t>Não</t>
        </is>
      </c>
    </row>
    <row r="2006">
      <c r="A2006" t="inlineStr">
        <is>
          <t>Frete de venda</t>
        </is>
      </c>
      <c r="B2006" t="inlineStr">
        <is>
          <t>2.01.02 Frete sobre Vendas</t>
        </is>
      </c>
      <c r="C2006" t="inlineStr">
        <is>
          <t>Antes de 2026</t>
        </is>
      </c>
      <c r="D2006" t="inlineStr">
        <is>
          <t>Antes de 2026</t>
        </is>
      </c>
      <c r="E2006" s="28" t="n">
        <v>45901</v>
      </c>
      <c r="F2006" t="inlineStr">
        <is>
          <t>CT-e</t>
        </is>
      </c>
      <c r="G2006" t="inlineStr">
        <is>
          <t>000005094</t>
        </is>
      </c>
      <c r="H2006" t="inlineStr">
        <is>
          <t>R&amp;R TRANSPORTE E LOGISTICA</t>
        </is>
      </c>
      <c r="J2006" s="29" t="n">
        <v>25.79</v>
      </c>
      <c r="K2006" s="29">
        <f>(1-ISNUMBER(SEARCH("556",M2006)))*(O2006*SUMIFS(Premissas!$C$5:$C$44,Premissas!$A$5:$A$44,$A2006,Premissas!$B$5:$B$44,$B2006)+P2006*SUMIFS(Premissas!$D$5:$D$44,Premissas!$A$5:$A$44,$A2006,Premissas!$B$5:$B$44,$B2006))+R2006*SUMIFS(Premissas!$E$5:$E$44,Premissas!$A$5:$A$44,$A2006,Premissas!$B$5:$B$44,$B2006)+S2006*SUMIFS(Premissas!$F$5:$F$44,Premissas!$A$5:$A$44,$A2006,Premissas!$B$5:$B$44,$B2006)</f>
        <v/>
      </c>
      <c r="L2006" s="29">
        <f>J2006-K2006</f>
        <v/>
      </c>
      <c r="M2006" t="inlineStr">
        <is>
          <t>1.350</t>
        </is>
      </c>
      <c r="N2006" t="inlineStr">
        <is>
          <t>Modalidade: 0 - Por conta do remetente | Parte: UNIAO COMERCIO DE EMBALAGENS E BEBIDAS LTDA (04.342.646/0001-08)</t>
        </is>
      </c>
      <c r="O2006" s="29" t="n">
        <v>0</v>
      </c>
      <c r="P2006" s="29" t="n">
        <v>0</v>
      </c>
      <c r="Q2006" s="29" t="n">
        <v>0</v>
      </c>
      <c r="R2006" s="29" t="n">
        <v>0</v>
      </c>
      <c r="S2006" s="29" t="n">
        <v>0</v>
      </c>
      <c r="T2006" t="inlineStr">
        <is>
          <t>25250926975620000130570010000050941000000000</t>
        </is>
      </c>
      <c r="U2006" t="inlineStr">
        <is>
          <t>Não</t>
        </is>
      </c>
    </row>
    <row r="2007">
      <c r="A2007" t="inlineStr">
        <is>
          <t>Frete de venda</t>
        </is>
      </c>
      <c r="B2007" t="inlineStr">
        <is>
          <t>2.01.02 Frete sobre Vendas</t>
        </is>
      </c>
      <c r="C2007" t="inlineStr">
        <is>
          <t>Antes de 2026</t>
        </is>
      </c>
      <c r="D2007" t="inlineStr">
        <is>
          <t>Antes de 2026</t>
        </is>
      </c>
      <c r="E2007" s="28" t="n">
        <v>45901</v>
      </c>
      <c r="F2007" t="inlineStr">
        <is>
          <t>CT-e</t>
        </is>
      </c>
      <c r="G2007" t="inlineStr">
        <is>
          <t>000005095</t>
        </is>
      </c>
      <c r="H2007" t="inlineStr">
        <is>
          <t>R&amp;R TRANSPORTE E LOGISTICA</t>
        </is>
      </c>
      <c r="J2007" s="29" t="n">
        <v>29.37</v>
      </c>
      <c r="K2007" s="29">
        <f>(1-ISNUMBER(SEARCH("556",M2007)))*(O2007*SUMIFS(Premissas!$C$5:$C$44,Premissas!$A$5:$A$44,$A2007,Premissas!$B$5:$B$44,$B2007)+P2007*SUMIFS(Premissas!$D$5:$D$44,Premissas!$A$5:$A$44,$A2007,Premissas!$B$5:$B$44,$B2007))+R2007*SUMIFS(Premissas!$E$5:$E$44,Premissas!$A$5:$A$44,$A2007,Premissas!$B$5:$B$44,$B2007)+S2007*SUMIFS(Premissas!$F$5:$F$44,Premissas!$A$5:$A$44,$A2007,Premissas!$B$5:$B$44,$B2007)</f>
        <v/>
      </c>
      <c r="L2007" s="29">
        <f>J2007-K2007</f>
        <v/>
      </c>
      <c r="M2007" t="inlineStr">
        <is>
          <t>1.350</t>
        </is>
      </c>
      <c r="N2007" t="inlineStr">
        <is>
          <t>Modalidade: 0 - Por conta do remetente | Parte: BRASPLAST DISTRIBUIDORA LTDA (51.063.517/0001-60)</t>
        </is>
      </c>
      <c r="O2007" s="29" t="n">
        <v>0</v>
      </c>
      <c r="P2007" s="29" t="n">
        <v>0</v>
      </c>
      <c r="Q2007" s="29" t="n">
        <v>0</v>
      </c>
      <c r="R2007" s="29" t="n">
        <v>0</v>
      </c>
      <c r="S2007" s="29" t="n">
        <v>0</v>
      </c>
      <c r="T2007" t="inlineStr">
        <is>
          <t>25250926975620000130570010000050951000000007</t>
        </is>
      </c>
      <c r="U2007" t="inlineStr">
        <is>
          <t>Não</t>
        </is>
      </c>
    </row>
    <row r="2008">
      <c r="A2008" t="inlineStr">
        <is>
          <t>Frete de venda</t>
        </is>
      </c>
      <c r="B2008" t="inlineStr">
        <is>
          <t>2.01.02 Frete sobre Vendas</t>
        </is>
      </c>
      <c r="C2008" t="inlineStr">
        <is>
          <t>Antes de 2026</t>
        </is>
      </c>
      <c r="D2008" t="inlineStr">
        <is>
          <t>Antes de 2026</t>
        </is>
      </c>
      <c r="E2008" s="28" t="n">
        <v>45901</v>
      </c>
      <c r="F2008" t="inlineStr">
        <is>
          <t>CT-e</t>
        </is>
      </c>
      <c r="G2008" t="inlineStr">
        <is>
          <t>000005096</t>
        </is>
      </c>
      <c r="H2008" t="inlineStr">
        <is>
          <t>R&amp;R TRANSPORTE E LOGISTICA</t>
        </is>
      </c>
      <c r="J2008" s="29" t="n">
        <v>31.48</v>
      </c>
      <c r="K2008" s="29">
        <f>(1-ISNUMBER(SEARCH("556",M2008)))*(O2008*SUMIFS(Premissas!$C$5:$C$44,Premissas!$A$5:$A$44,$A2008,Premissas!$B$5:$B$44,$B2008)+P2008*SUMIFS(Premissas!$D$5:$D$44,Premissas!$A$5:$A$44,$A2008,Premissas!$B$5:$B$44,$B2008))+R2008*SUMIFS(Premissas!$E$5:$E$44,Premissas!$A$5:$A$44,$A2008,Premissas!$B$5:$B$44,$B2008)+S2008*SUMIFS(Premissas!$F$5:$F$44,Premissas!$A$5:$A$44,$A2008,Premissas!$B$5:$B$44,$B2008)</f>
        <v/>
      </c>
      <c r="L2008" s="29">
        <f>J2008-K2008</f>
        <v/>
      </c>
      <c r="M2008" t="inlineStr">
        <is>
          <t>1.350</t>
        </is>
      </c>
      <c r="N2008" t="inlineStr">
        <is>
          <t>Modalidade: 0 - Por conta do remetente | Parte: ANA CLAUDIA ANDRADE DE SANTANA (43.743.433/0001-40)</t>
        </is>
      </c>
      <c r="O2008" s="29" t="n">
        <v>0</v>
      </c>
      <c r="P2008" s="29" t="n">
        <v>0</v>
      </c>
      <c r="Q2008" s="29" t="n">
        <v>0</v>
      </c>
      <c r="R2008" s="29" t="n">
        <v>0</v>
      </c>
      <c r="S2008" s="29" t="n">
        <v>0</v>
      </c>
      <c r="T2008" t="inlineStr">
        <is>
          <t>25250926975620000130570010000050961000000004</t>
        </is>
      </c>
      <c r="U2008" t="inlineStr">
        <is>
          <t>Não</t>
        </is>
      </c>
    </row>
    <row r="2009">
      <c r="A2009" t="inlineStr">
        <is>
          <t>Frete de venda</t>
        </is>
      </c>
      <c r="B2009" t="inlineStr">
        <is>
          <t>2.01.02 Frete sobre Vendas</t>
        </is>
      </c>
      <c r="C2009" t="inlineStr">
        <is>
          <t>Antes de 2026</t>
        </is>
      </c>
      <c r="D2009" t="inlineStr">
        <is>
          <t>Antes de 2026</t>
        </is>
      </c>
      <c r="E2009" s="28" t="n">
        <v>45901</v>
      </c>
      <c r="F2009" t="inlineStr">
        <is>
          <t>CT-e</t>
        </is>
      </c>
      <c r="G2009" t="inlineStr">
        <is>
          <t>000005097</t>
        </is>
      </c>
      <c r="H2009" t="inlineStr">
        <is>
          <t>R&amp;R TRANSPORTE E LOGISTICA</t>
        </is>
      </c>
      <c r="J2009" s="29" t="n">
        <v>23.89</v>
      </c>
      <c r="K2009" s="29">
        <f>(1-ISNUMBER(SEARCH("556",M2009)))*(O2009*SUMIFS(Premissas!$C$5:$C$44,Premissas!$A$5:$A$44,$A2009,Premissas!$B$5:$B$44,$B2009)+P2009*SUMIFS(Premissas!$D$5:$D$44,Premissas!$A$5:$A$44,$A2009,Premissas!$B$5:$B$44,$B2009))+R2009*SUMIFS(Premissas!$E$5:$E$44,Premissas!$A$5:$A$44,$A2009,Premissas!$B$5:$B$44,$B2009)+S2009*SUMIFS(Premissas!$F$5:$F$44,Premissas!$A$5:$A$44,$A2009,Premissas!$B$5:$B$44,$B2009)</f>
        <v/>
      </c>
      <c r="L2009" s="29">
        <f>J2009-K2009</f>
        <v/>
      </c>
      <c r="M2009" t="inlineStr">
        <is>
          <t>1.350</t>
        </is>
      </c>
      <c r="N2009" t="inlineStr">
        <is>
          <t>Modalidade: 0 - Por conta do remetente | Parte: XAMEGO DOCES E EMBALAGENS (47.094.154/0001-53)</t>
        </is>
      </c>
      <c r="O2009" s="29" t="n">
        <v>0</v>
      </c>
      <c r="P2009" s="29" t="n">
        <v>0</v>
      </c>
      <c r="Q2009" s="29" t="n">
        <v>0</v>
      </c>
      <c r="R2009" s="29" t="n">
        <v>0</v>
      </c>
      <c r="S2009" s="29" t="n">
        <v>0</v>
      </c>
      <c r="T2009" t="inlineStr">
        <is>
          <t>25250926975620000130570010000050971000000001</t>
        </is>
      </c>
      <c r="U2009" t="inlineStr">
        <is>
          <t>Não</t>
        </is>
      </c>
    </row>
    <row r="2010">
      <c r="A2010" t="inlineStr">
        <is>
          <t>Frete de venda</t>
        </is>
      </c>
      <c r="B2010" t="inlineStr">
        <is>
          <t>2.01.02 Frete sobre Vendas</t>
        </is>
      </c>
      <c r="C2010" t="inlineStr">
        <is>
          <t>Antes de 2026</t>
        </is>
      </c>
      <c r="D2010" t="inlineStr">
        <is>
          <t>Antes de 2026</t>
        </is>
      </c>
      <c r="E2010" s="28" t="n">
        <v>45901</v>
      </c>
      <c r="F2010" t="inlineStr">
        <is>
          <t>CT-e</t>
        </is>
      </c>
      <c r="G2010" t="inlineStr">
        <is>
          <t>000005098</t>
        </is>
      </c>
      <c r="H2010" t="inlineStr">
        <is>
          <t>R&amp;R TRANSPORTE E LOGISTICA</t>
        </is>
      </c>
      <c r="J2010" s="29" t="n">
        <v>23.78</v>
      </c>
      <c r="K2010" s="29">
        <f>(1-ISNUMBER(SEARCH("556",M2010)))*(O2010*SUMIFS(Premissas!$C$5:$C$44,Premissas!$A$5:$A$44,$A2010,Premissas!$B$5:$B$44,$B2010)+P2010*SUMIFS(Premissas!$D$5:$D$44,Premissas!$A$5:$A$44,$A2010,Premissas!$B$5:$B$44,$B2010))+R2010*SUMIFS(Premissas!$E$5:$E$44,Premissas!$A$5:$A$44,$A2010,Premissas!$B$5:$B$44,$B2010)+S2010*SUMIFS(Premissas!$F$5:$F$44,Premissas!$A$5:$A$44,$A2010,Premissas!$B$5:$B$44,$B2010)</f>
        <v/>
      </c>
      <c r="L2010" s="29">
        <f>J2010-K2010</f>
        <v/>
      </c>
      <c r="M2010" t="inlineStr">
        <is>
          <t>1.350</t>
        </is>
      </c>
      <c r="N2010" t="inlineStr">
        <is>
          <t>Modalidade: 0 - Por conta do remetente | Parte: AL DESCARTAVEIS COMERCIO ATACADISTA LTDA (20.761.196/0001-44)</t>
        </is>
      </c>
      <c r="O2010" s="29" t="n">
        <v>0</v>
      </c>
      <c r="P2010" s="29" t="n">
        <v>0</v>
      </c>
      <c r="Q2010" s="29" t="n">
        <v>0</v>
      </c>
      <c r="R2010" s="29" t="n">
        <v>0</v>
      </c>
      <c r="S2010" s="29" t="n">
        <v>0</v>
      </c>
      <c r="T2010" t="inlineStr">
        <is>
          <t>25250926975620000130570010000050981000000009</t>
        </is>
      </c>
      <c r="U2010" t="inlineStr">
        <is>
          <t>Não</t>
        </is>
      </c>
    </row>
    <row r="2011">
      <c r="A2011" t="inlineStr">
        <is>
          <t>Frete de venda</t>
        </is>
      </c>
      <c r="B2011" t="inlineStr">
        <is>
          <t>2.01.02 Frete sobre Vendas</t>
        </is>
      </c>
      <c r="C2011" t="inlineStr">
        <is>
          <t>Antes de 2026</t>
        </is>
      </c>
      <c r="D2011" t="inlineStr">
        <is>
          <t>Antes de 2026</t>
        </is>
      </c>
      <c r="E2011" s="28" t="n">
        <v>45901</v>
      </c>
      <c r="F2011" t="inlineStr">
        <is>
          <t>CT-e</t>
        </is>
      </c>
      <c r="G2011" t="inlineStr">
        <is>
          <t>000005099</t>
        </is>
      </c>
      <c r="H2011" t="inlineStr">
        <is>
          <t>R&amp;R TRANSPORTE E LOGISTICA</t>
        </is>
      </c>
      <c r="J2011" s="29" t="n">
        <v>46.27</v>
      </c>
      <c r="K2011" s="29">
        <f>(1-ISNUMBER(SEARCH("556",M2011)))*(O2011*SUMIFS(Premissas!$C$5:$C$44,Premissas!$A$5:$A$44,$A2011,Premissas!$B$5:$B$44,$B2011)+P2011*SUMIFS(Premissas!$D$5:$D$44,Premissas!$A$5:$A$44,$A2011,Premissas!$B$5:$B$44,$B2011))+R2011*SUMIFS(Premissas!$E$5:$E$44,Premissas!$A$5:$A$44,$A2011,Premissas!$B$5:$B$44,$B2011)+S2011*SUMIFS(Premissas!$F$5:$F$44,Premissas!$A$5:$A$44,$A2011,Premissas!$B$5:$B$44,$B2011)</f>
        <v/>
      </c>
      <c r="L2011" s="29">
        <f>J2011-K2011</f>
        <v/>
      </c>
      <c r="M2011" t="inlineStr">
        <is>
          <t>1.350</t>
        </is>
      </c>
      <c r="N2011" t="inlineStr">
        <is>
          <t>Modalidade: 0 - Por conta do remetente | Parte: ALBUQUERQUE E FREIRE LTDA (09.358.347/0002-66)</t>
        </is>
      </c>
      <c r="O2011" s="29" t="n">
        <v>0</v>
      </c>
      <c r="P2011" s="29" t="n">
        <v>0</v>
      </c>
      <c r="Q2011" s="29" t="n">
        <v>0</v>
      </c>
      <c r="R2011" s="29" t="n">
        <v>0</v>
      </c>
      <c r="S2011" s="29" t="n">
        <v>0</v>
      </c>
      <c r="T2011" t="inlineStr">
        <is>
          <t>25250926975620000130570010000050991000000006</t>
        </is>
      </c>
      <c r="U2011" t="inlineStr">
        <is>
          <t>Não</t>
        </is>
      </c>
    </row>
    <row r="2012">
      <c r="A2012" t="inlineStr">
        <is>
          <t>Frete de venda</t>
        </is>
      </c>
      <c r="B2012" t="inlineStr">
        <is>
          <t>2.01.02 Frete sobre Vendas</t>
        </is>
      </c>
      <c r="C2012" t="inlineStr">
        <is>
          <t>Antes de 2026</t>
        </is>
      </c>
      <c r="D2012" t="inlineStr">
        <is>
          <t>Antes de 2026</t>
        </is>
      </c>
      <c r="E2012" s="28" t="n">
        <v>45901</v>
      </c>
      <c r="F2012" t="inlineStr">
        <is>
          <t>CT-e</t>
        </is>
      </c>
      <c r="G2012" t="inlineStr">
        <is>
          <t>000005100</t>
        </is>
      </c>
      <c r="H2012" t="inlineStr">
        <is>
          <t>R&amp;R TRANSPORTE E LOGISTICA</t>
        </is>
      </c>
      <c r="J2012" s="29" t="n">
        <v>32.6</v>
      </c>
      <c r="K2012" s="29">
        <f>(1-ISNUMBER(SEARCH("556",M2012)))*(O2012*SUMIFS(Premissas!$C$5:$C$44,Premissas!$A$5:$A$44,$A2012,Premissas!$B$5:$B$44,$B2012)+P2012*SUMIFS(Premissas!$D$5:$D$44,Premissas!$A$5:$A$44,$A2012,Premissas!$B$5:$B$44,$B2012))+R2012*SUMIFS(Premissas!$E$5:$E$44,Premissas!$A$5:$A$44,$A2012,Premissas!$B$5:$B$44,$B2012)+S2012*SUMIFS(Premissas!$F$5:$F$44,Premissas!$A$5:$A$44,$A2012,Premissas!$B$5:$B$44,$B2012)</f>
        <v/>
      </c>
      <c r="L2012" s="29">
        <f>J2012-K2012</f>
        <v/>
      </c>
      <c r="M2012" t="inlineStr">
        <is>
          <t>1.350</t>
        </is>
      </c>
      <c r="N2012" t="inlineStr">
        <is>
          <t>Modalidade: 0 - Por conta do remetente | Parte: EMBALAR DISTRIBUIDORA DE EMBALAGENS LTDA (10.347.424/0001-80)</t>
        </is>
      </c>
      <c r="O2012" s="29" t="n">
        <v>0</v>
      </c>
      <c r="P2012" s="29" t="n">
        <v>0</v>
      </c>
      <c r="Q2012" s="29" t="n">
        <v>0</v>
      </c>
      <c r="R2012" s="29" t="n">
        <v>0</v>
      </c>
      <c r="S2012" s="29" t="n">
        <v>0</v>
      </c>
      <c r="T2012" t="inlineStr">
        <is>
          <t>25250926975620000130570010000051001000000009</t>
        </is>
      </c>
      <c r="U2012" t="inlineStr">
        <is>
          <t>Não</t>
        </is>
      </c>
    </row>
    <row r="2013">
      <c r="A2013" t="inlineStr">
        <is>
          <t>Frete de venda</t>
        </is>
      </c>
      <c r="B2013" t="inlineStr">
        <is>
          <t>2.01.02 Frete sobre Vendas</t>
        </is>
      </c>
      <c r="C2013" t="inlineStr">
        <is>
          <t>Antes de 2026</t>
        </is>
      </c>
      <c r="D2013" t="inlineStr">
        <is>
          <t>Antes de 2026</t>
        </is>
      </c>
      <c r="E2013" s="28" t="n">
        <v>45901</v>
      </c>
      <c r="F2013" t="inlineStr">
        <is>
          <t>CT-e</t>
        </is>
      </c>
      <c r="G2013" t="inlineStr">
        <is>
          <t>000005101</t>
        </is>
      </c>
      <c r="H2013" t="inlineStr">
        <is>
          <t>R&amp;R TRANSPORTE E LOGISTICA</t>
        </is>
      </c>
      <c r="J2013" s="29" t="n">
        <v>40.53</v>
      </c>
      <c r="K2013" s="29">
        <f>(1-ISNUMBER(SEARCH("556",M2013)))*(O2013*SUMIFS(Premissas!$C$5:$C$44,Premissas!$A$5:$A$44,$A2013,Premissas!$B$5:$B$44,$B2013)+P2013*SUMIFS(Premissas!$D$5:$D$44,Premissas!$A$5:$A$44,$A2013,Premissas!$B$5:$B$44,$B2013))+R2013*SUMIFS(Premissas!$E$5:$E$44,Premissas!$A$5:$A$44,$A2013,Premissas!$B$5:$B$44,$B2013)+S2013*SUMIFS(Premissas!$F$5:$F$44,Premissas!$A$5:$A$44,$A2013,Premissas!$B$5:$B$44,$B2013)</f>
        <v/>
      </c>
      <c r="L2013" s="29">
        <f>J2013-K2013</f>
        <v/>
      </c>
      <c r="M2013" t="inlineStr">
        <is>
          <t>1.350</t>
        </is>
      </c>
      <c r="N2013" t="inlineStr">
        <is>
          <t>Modalidade: 0 - Por conta do remetente | Parte: UP DISTRIBUIDORA DE PRODUTOS DESCARTAVEIS LTDA (12.423.997/0001-71)</t>
        </is>
      </c>
      <c r="O2013" s="29" t="n">
        <v>0</v>
      </c>
      <c r="P2013" s="29" t="n">
        <v>0</v>
      </c>
      <c r="Q2013" s="29" t="n">
        <v>0</v>
      </c>
      <c r="R2013" s="29" t="n">
        <v>0</v>
      </c>
      <c r="S2013" s="29" t="n">
        <v>0</v>
      </c>
      <c r="T2013" t="inlineStr">
        <is>
          <t>25250926975620000130570010000051011000000006</t>
        </is>
      </c>
      <c r="U2013" t="inlineStr">
        <is>
          <t>Não</t>
        </is>
      </c>
    </row>
    <row r="2014">
      <c r="A2014" t="inlineStr">
        <is>
          <t>Frete de venda</t>
        </is>
      </c>
      <c r="B2014" t="inlineStr">
        <is>
          <t>2.01.02 Frete sobre Vendas</t>
        </is>
      </c>
      <c r="C2014" t="inlineStr">
        <is>
          <t>Antes de 2026</t>
        </is>
      </c>
      <c r="D2014" t="inlineStr">
        <is>
          <t>Antes de 2026</t>
        </is>
      </c>
      <c r="E2014" s="28" t="n">
        <v>45903</v>
      </c>
      <c r="F2014" t="inlineStr">
        <is>
          <t>CT-e</t>
        </is>
      </c>
      <c r="G2014" t="inlineStr">
        <is>
          <t>000005108</t>
        </is>
      </c>
      <c r="H2014" t="inlineStr">
        <is>
          <t>R&amp;R TRANSPORTE E LOGISTICA</t>
        </is>
      </c>
      <c r="J2014" s="29" t="n">
        <v>283.93</v>
      </c>
      <c r="K2014" s="29">
        <f>(1-ISNUMBER(SEARCH("556",M2014)))*(O2014*SUMIFS(Premissas!$C$5:$C$44,Premissas!$A$5:$A$44,$A2014,Premissas!$B$5:$B$44,$B2014)+P2014*SUMIFS(Premissas!$D$5:$D$44,Premissas!$A$5:$A$44,$A2014,Premissas!$B$5:$B$44,$B2014))+R2014*SUMIFS(Premissas!$E$5:$E$44,Premissas!$A$5:$A$44,$A2014,Premissas!$B$5:$B$44,$B2014)+S2014*SUMIFS(Premissas!$F$5:$F$44,Premissas!$A$5:$A$44,$A2014,Premissas!$B$5:$B$44,$B2014)</f>
        <v/>
      </c>
      <c r="L2014" s="29">
        <f>J2014-K2014</f>
        <v/>
      </c>
      <c r="M2014" t="inlineStr">
        <is>
          <t>1.350</t>
        </is>
      </c>
      <c r="N2014" t="inlineStr">
        <is>
          <t>Modalidade: 0 - Por conta do remetente | Parte: M LIMEIRA DE CARVALHO (04.168.507/0001-00)</t>
        </is>
      </c>
      <c r="O2014" s="29" t="n">
        <v>0</v>
      </c>
      <c r="P2014" s="29" t="n">
        <v>0</v>
      </c>
      <c r="Q2014" s="29" t="n">
        <v>0</v>
      </c>
      <c r="R2014" s="29" t="n">
        <v>0</v>
      </c>
      <c r="S2014" s="29" t="n">
        <v>0</v>
      </c>
      <c r="T2014" t="inlineStr">
        <is>
          <t>25250926975620000130570010000051081001100544</t>
        </is>
      </c>
      <c r="U2014" t="inlineStr">
        <is>
          <t>Não</t>
        </is>
      </c>
    </row>
    <row r="2015">
      <c r="A2015" t="inlineStr">
        <is>
          <t>Frete de venda</t>
        </is>
      </c>
      <c r="B2015" t="inlineStr">
        <is>
          <t>2.01.02 Frete sobre Vendas</t>
        </is>
      </c>
      <c r="C2015" t="inlineStr">
        <is>
          <t>Antes de 2026</t>
        </is>
      </c>
      <c r="D2015" t="inlineStr">
        <is>
          <t>Antes de 2026</t>
        </is>
      </c>
      <c r="E2015" s="28" t="n">
        <v>45903</v>
      </c>
      <c r="F2015" t="inlineStr">
        <is>
          <t>CT-e</t>
        </is>
      </c>
      <c r="G2015" t="inlineStr">
        <is>
          <t>000005111</t>
        </is>
      </c>
      <c r="H2015" t="inlineStr">
        <is>
          <t>R&amp;R TRANSPORTE E LOGISTICA</t>
        </is>
      </c>
      <c r="J2015" s="29" t="n">
        <v>6200</v>
      </c>
      <c r="K2015" s="29">
        <f>(1-ISNUMBER(SEARCH("556",M2015)))*(O2015*SUMIFS(Premissas!$C$5:$C$44,Premissas!$A$5:$A$44,$A2015,Premissas!$B$5:$B$44,$B2015)+P2015*SUMIFS(Premissas!$D$5:$D$44,Premissas!$A$5:$A$44,$A2015,Premissas!$B$5:$B$44,$B2015))+R2015*SUMIFS(Premissas!$E$5:$E$44,Premissas!$A$5:$A$44,$A2015,Premissas!$B$5:$B$44,$B2015)+S2015*SUMIFS(Premissas!$F$5:$F$44,Premissas!$A$5:$A$44,$A2015,Premissas!$B$5:$B$44,$B2015)</f>
        <v/>
      </c>
      <c r="L2015" s="29">
        <f>J2015-K2015</f>
        <v/>
      </c>
      <c r="M2015" t="inlineStr">
        <is>
          <t>1.350</t>
        </is>
      </c>
      <c r="N2015" t="inlineStr">
        <is>
          <t>Modalidade: 0 - Por conta do remetente | Parte: BRASPLAST DISTRIBUIDORA LTDA (51.063.517/0001-60)</t>
        </is>
      </c>
      <c r="O2015" s="29" t="n">
        <v>0</v>
      </c>
      <c r="P2015" s="29" t="n">
        <v>0</v>
      </c>
      <c r="Q2015" s="29" t="n">
        <v>0</v>
      </c>
      <c r="R2015" s="29" t="n">
        <v>0</v>
      </c>
      <c r="S2015" s="29" t="n">
        <v>0</v>
      </c>
      <c r="T2015" t="inlineStr">
        <is>
          <t>25250926975620000130570010000051111000110452</t>
        </is>
      </c>
      <c r="U2015" t="inlineStr">
        <is>
          <t>Não</t>
        </is>
      </c>
    </row>
    <row r="2016">
      <c r="A2016" t="inlineStr">
        <is>
          <t>Frete de venda</t>
        </is>
      </c>
      <c r="B2016" t="inlineStr">
        <is>
          <t>2.01.02 Frete sobre Vendas</t>
        </is>
      </c>
      <c r="C2016" t="inlineStr">
        <is>
          <t>Antes de 2026</t>
        </is>
      </c>
      <c r="D2016" t="inlineStr">
        <is>
          <t>Antes de 2026</t>
        </is>
      </c>
      <c r="E2016" s="28" t="n">
        <v>45905</v>
      </c>
      <c r="F2016" t="inlineStr">
        <is>
          <t>CT-e</t>
        </is>
      </c>
      <c r="G2016" t="inlineStr">
        <is>
          <t>000005119</t>
        </is>
      </c>
      <c r="H2016" t="inlineStr">
        <is>
          <t>R&amp;R TRANSPORTE E LOGISTICA</t>
        </is>
      </c>
      <c r="J2016" s="29" t="n">
        <v>1024</v>
      </c>
      <c r="K2016" s="29">
        <f>(1-ISNUMBER(SEARCH("556",M2016)))*(O2016*SUMIFS(Premissas!$C$5:$C$44,Premissas!$A$5:$A$44,$A2016,Premissas!$B$5:$B$44,$B2016)+P2016*SUMIFS(Premissas!$D$5:$D$44,Premissas!$A$5:$A$44,$A2016,Premissas!$B$5:$B$44,$B2016))+R2016*SUMIFS(Premissas!$E$5:$E$44,Premissas!$A$5:$A$44,$A2016,Premissas!$B$5:$B$44,$B2016)+S2016*SUMIFS(Premissas!$F$5:$F$44,Premissas!$A$5:$A$44,$A2016,Premissas!$B$5:$B$44,$B2016)</f>
        <v/>
      </c>
      <c r="L2016" s="29">
        <f>J2016-K2016</f>
        <v/>
      </c>
      <c r="M2016" t="inlineStr">
        <is>
          <t>1.350</t>
        </is>
      </c>
      <c r="N2016" t="inlineStr">
        <is>
          <t>Modalidade: 0 - Por conta do remetente | Parte: VINCO DISTRIBUIDORA DE EMBALAGENS LTDA (55.333.385/0001-09)</t>
        </is>
      </c>
      <c r="O2016" s="29" t="n">
        <v>0</v>
      </c>
      <c r="P2016" s="29" t="n">
        <v>0</v>
      </c>
      <c r="Q2016" s="29" t="n">
        <v>0</v>
      </c>
      <c r="R2016" s="29" t="n">
        <v>0</v>
      </c>
      <c r="S2016" s="29" t="n">
        <v>0</v>
      </c>
      <c r="T2016" t="inlineStr">
        <is>
          <t>25250926975620000130570010000051191000110671</t>
        </is>
      </c>
      <c r="U2016" t="inlineStr">
        <is>
          <t>Não</t>
        </is>
      </c>
    </row>
    <row r="2017">
      <c r="A2017" t="inlineStr">
        <is>
          <t>Frete de venda</t>
        </is>
      </c>
      <c r="B2017" t="inlineStr">
        <is>
          <t>2.01.02 Frete sobre Vendas</t>
        </is>
      </c>
      <c r="C2017" t="inlineStr">
        <is>
          <t>Antes de 2026</t>
        </is>
      </c>
      <c r="D2017" t="inlineStr">
        <is>
          <t>Antes de 2026</t>
        </is>
      </c>
      <c r="E2017" s="28" t="n">
        <v>45905</v>
      </c>
      <c r="F2017" t="inlineStr">
        <is>
          <t>CT-e</t>
        </is>
      </c>
      <c r="G2017" t="inlineStr">
        <is>
          <t>000005120</t>
        </is>
      </c>
      <c r="H2017" t="inlineStr">
        <is>
          <t>R&amp;R TRANSPORTE E LOGISTICA</t>
        </is>
      </c>
      <c r="J2017" s="29" t="n">
        <v>96.69</v>
      </c>
      <c r="K2017" s="29">
        <f>(1-ISNUMBER(SEARCH("556",M2017)))*(O2017*SUMIFS(Premissas!$C$5:$C$44,Premissas!$A$5:$A$44,$A2017,Premissas!$B$5:$B$44,$B2017)+P2017*SUMIFS(Premissas!$D$5:$D$44,Premissas!$A$5:$A$44,$A2017,Premissas!$B$5:$B$44,$B2017))+R2017*SUMIFS(Premissas!$E$5:$E$44,Premissas!$A$5:$A$44,$A2017,Premissas!$B$5:$B$44,$B2017)+S2017*SUMIFS(Premissas!$F$5:$F$44,Premissas!$A$5:$A$44,$A2017,Premissas!$B$5:$B$44,$B2017)</f>
        <v/>
      </c>
      <c r="L2017" s="29">
        <f>J2017-K2017</f>
        <v/>
      </c>
      <c r="M2017" t="inlineStr">
        <is>
          <t>1.350</t>
        </is>
      </c>
      <c r="N2017" t="inlineStr">
        <is>
          <t>Modalidade: 0 - Por conta do remetente | Parte: VITOR HUGO GOMES LIMA (08.968.419/0001-43)</t>
        </is>
      </c>
      <c r="O2017" s="29" t="n">
        <v>0</v>
      </c>
      <c r="P2017" s="29" t="n">
        <v>0</v>
      </c>
      <c r="Q2017" s="29" t="n">
        <v>0</v>
      </c>
      <c r="R2017" s="29" t="n">
        <v>0</v>
      </c>
      <c r="S2017" s="29" t="n">
        <v>0</v>
      </c>
      <c r="T2017" t="inlineStr">
        <is>
          <t>25250926975620000130570010000051201000190757</t>
        </is>
      </c>
      <c r="U2017" t="inlineStr">
        <is>
          <t>Não</t>
        </is>
      </c>
    </row>
    <row r="2018">
      <c r="A2018" t="inlineStr">
        <is>
          <t>Frete de venda</t>
        </is>
      </c>
      <c r="B2018" t="inlineStr">
        <is>
          <t>2.01.02 Frete sobre Vendas</t>
        </is>
      </c>
      <c r="C2018" t="inlineStr">
        <is>
          <t>Antes de 2026</t>
        </is>
      </c>
      <c r="D2018" t="inlineStr">
        <is>
          <t>Antes de 2026</t>
        </is>
      </c>
      <c r="E2018" s="28" t="n">
        <v>45905</v>
      </c>
      <c r="F2018" t="inlineStr">
        <is>
          <t>CT-e</t>
        </is>
      </c>
      <c r="G2018" t="inlineStr">
        <is>
          <t>000005121</t>
        </is>
      </c>
      <c r="H2018" t="inlineStr">
        <is>
          <t>R&amp;R TRANSPORTE E LOGISTICA</t>
        </is>
      </c>
      <c r="J2018" s="29" t="n">
        <v>206.08</v>
      </c>
      <c r="K2018" s="29">
        <f>(1-ISNUMBER(SEARCH("556",M2018)))*(O2018*SUMIFS(Premissas!$C$5:$C$44,Premissas!$A$5:$A$44,$A2018,Premissas!$B$5:$B$44,$B2018)+P2018*SUMIFS(Premissas!$D$5:$D$44,Premissas!$A$5:$A$44,$A2018,Premissas!$B$5:$B$44,$B2018))+R2018*SUMIFS(Premissas!$E$5:$E$44,Premissas!$A$5:$A$44,$A2018,Premissas!$B$5:$B$44,$B2018)+S2018*SUMIFS(Premissas!$F$5:$F$44,Premissas!$A$5:$A$44,$A2018,Premissas!$B$5:$B$44,$B2018)</f>
        <v/>
      </c>
      <c r="L2018" s="29">
        <f>J2018-K2018</f>
        <v/>
      </c>
      <c r="M2018" t="inlineStr">
        <is>
          <t>1.350</t>
        </is>
      </c>
      <c r="N2018" t="inlineStr">
        <is>
          <t>Modalidade: 0 - Por conta do remetente | Parte: DESTAK EMBALAGEM EIRELI (30.820.528/0001-78)</t>
        </is>
      </c>
      <c r="O2018" s="29" t="n">
        <v>0</v>
      </c>
      <c r="P2018" s="29" t="n">
        <v>0</v>
      </c>
      <c r="Q2018" s="29" t="n">
        <v>0</v>
      </c>
      <c r="R2018" s="29" t="n">
        <v>0</v>
      </c>
      <c r="S2018" s="29" t="n">
        <v>0</v>
      </c>
      <c r="T2018" t="inlineStr">
        <is>
          <t>25250926975620000130570010000051211000160839</t>
        </is>
      </c>
      <c r="U2018" t="inlineStr">
        <is>
          <t>Não</t>
        </is>
      </c>
    </row>
    <row r="2019">
      <c r="A2019" t="inlineStr">
        <is>
          <t>Frete de venda</t>
        </is>
      </c>
      <c r="B2019" t="inlineStr">
        <is>
          <t>2.01.02 Frete sobre Vendas</t>
        </is>
      </c>
      <c r="C2019" t="inlineStr">
        <is>
          <t>Antes de 2026</t>
        </is>
      </c>
      <c r="D2019" t="inlineStr">
        <is>
          <t>Antes de 2026</t>
        </is>
      </c>
      <c r="E2019" s="28" t="n">
        <v>45907</v>
      </c>
      <c r="F2019" t="inlineStr">
        <is>
          <t>CT-e</t>
        </is>
      </c>
      <c r="G2019" t="inlineStr">
        <is>
          <t>000005123</t>
        </is>
      </c>
      <c r="H2019" t="inlineStr">
        <is>
          <t>R&amp;R TRANSPORTE E LOGISTICA</t>
        </is>
      </c>
      <c r="J2019" s="29" t="n">
        <v>700</v>
      </c>
      <c r="K2019" s="29">
        <f>(1-ISNUMBER(SEARCH("556",M2019)))*(O2019*SUMIFS(Premissas!$C$5:$C$44,Premissas!$A$5:$A$44,$A2019,Premissas!$B$5:$B$44,$B2019)+P2019*SUMIFS(Premissas!$D$5:$D$44,Premissas!$A$5:$A$44,$A2019,Premissas!$B$5:$B$44,$B2019))+R2019*SUMIFS(Premissas!$E$5:$E$44,Premissas!$A$5:$A$44,$A2019,Premissas!$B$5:$B$44,$B2019)+S2019*SUMIFS(Premissas!$F$5:$F$44,Premissas!$A$5:$A$44,$A2019,Premissas!$B$5:$B$44,$B2019)</f>
        <v/>
      </c>
      <c r="L2019" s="29">
        <f>J2019-K2019</f>
        <v/>
      </c>
      <c r="M2019" t="inlineStr">
        <is>
          <t>1.350</t>
        </is>
      </c>
      <c r="N2019" t="inlineStr">
        <is>
          <t>Modalidade: 0 - Por conta do remetente | Parte: BRASPLAST DISTRIBUIDORA LTDA (51.063.517/0001-60)</t>
        </is>
      </c>
      <c r="O2019" s="29" t="n">
        <v>0</v>
      </c>
      <c r="P2019" s="29" t="n">
        <v>0</v>
      </c>
      <c r="Q2019" s="29" t="n">
        <v>0</v>
      </c>
      <c r="R2019" s="29" t="n">
        <v>0</v>
      </c>
      <c r="S2019" s="29" t="n">
        <v>0</v>
      </c>
      <c r="T2019" t="inlineStr">
        <is>
          <t>25250926975620000130570010000051231000110348</t>
        </is>
      </c>
      <c r="U2019" t="inlineStr">
        <is>
          <t>Não</t>
        </is>
      </c>
    </row>
    <row r="2020">
      <c r="A2020" t="inlineStr">
        <is>
          <t>Frete de venda</t>
        </is>
      </c>
      <c r="B2020" t="inlineStr">
        <is>
          <t>2.01.02 Frete sobre Vendas</t>
        </is>
      </c>
      <c r="C2020" t="inlineStr">
        <is>
          <t>Antes de 2026</t>
        </is>
      </c>
      <c r="D2020" t="inlineStr">
        <is>
          <t>Antes de 2026</t>
        </is>
      </c>
      <c r="E2020" s="28" t="n">
        <v>45908</v>
      </c>
      <c r="F2020" t="inlineStr">
        <is>
          <t>CT-e</t>
        </is>
      </c>
      <c r="G2020" t="inlineStr">
        <is>
          <t>000005125</t>
        </is>
      </c>
      <c r="H2020" t="inlineStr">
        <is>
          <t>R&amp;R TRANSPORTE E LOGISTICA</t>
        </is>
      </c>
      <c r="J2020" s="29" t="n">
        <v>26.77</v>
      </c>
      <c r="K2020" s="29">
        <f>(1-ISNUMBER(SEARCH("556",M2020)))*(O2020*SUMIFS(Premissas!$C$5:$C$44,Premissas!$A$5:$A$44,$A2020,Premissas!$B$5:$B$44,$B2020)+P2020*SUMIFS(Premissas!$D$5:$D$44,Premissas!$A$5:$A$44,$A2020,Premissas!$B$5:$B$44,$B2020))+R2020*SUMIFS(Premissas!$E$5:$E$44,Premissas!$A$5:$A$44,$A2020,Premissas!$B$5:$B$44,$B2020)+S2020*SUMIFS(Premissas!$F$5:$F$44,Premissas!$A$5:$A$44,$A2020,Premissas!$B$5:$B$44,$B2020)</f>
        <v/>
      </c>
      <c r="L2020" s="29">
        <f>J2020-K2020</f>
        <v/>
      </c>
      <c r="M2020" t="inlineStr">
        <is>
          <t>1.350</t>
        </is>
      </c>
      <c r="N2020" t="inlineStr">
        <is>
          <t>Modalidade: 0 - Por conta do remetente | Parte: SOL COMERCIO DE EMBALAGENS LTDA (48.993.949/0001-66)</t>
        </is>
      </c>
      <c r="O2020" s="29" t="n">
        <v>0</v>
      </c>
      <c r="P2020" s="29" t="n">
        <v>0</v>
      </c>
      <c r="Q2020" s="29" t="n">
        <v>0</v>
      </c>
      <c r="R2020" s="29" t="n">
        <v>0</v>
      </c>
      <c r="S2020" s="29" t="n">
        <v>0</v>
      </c>
      <c r="T2020" t="inlineStr">
        <is>
          <t>25250926975620000130570010000051251000010887</t>
        </is>
      </c>
      <c r="U2020" t="inlineStr">
        <is>
          <t>Não</t>
        </is>
      </c>
    </row>
    <row r="2021">
      <c r="A2021" t="inlineStr">
        <is>
          <t>Frete de venda</t>
        </is>
      </c>
      <c r="B2021" t="inlineStr">
        <is>
          <t>2.01.02 Frete sobre Vendas</t>
        </is>
      </c>
      <c r="C2021" t="inlineStr">
        <is>
          <t>Antes de 2026</t>
        </is>
      </c>
      <c r="D2021" t="inlineStr">
        <is>
          <t>Antes de 2026</t>
        </is>
      </c>
      <c r="E2021" s="28" t="n">
        <v>45908</v>
      </c>
      <c r="F2021" t="inlineStr">
        <is>
          <t>CT-e</t>
        </is>
      </c>
      <c r="G2021" t="inlineStr">
        <is>
          <t>000005126</t>
        </is>
      </c>
      <c r="H2021" t="inlineStr">
        <is>
          <t>R&amp;R TRANSPORTE E LOGISTICA</t>
        </is>
      </c>
      <c r="J2021" s="29" t="n">
        <v>30.2</v>
      </c>
      <c r="K2021" s="29">
        <f>(1-ISNUMBER(SEARCH("556",M2021)))*(O2021*SUMIFS(Premissas!$C$5:$C$44,Premissas!$A$5:$A$44,$A2021,Premissas!$B$5:$B$44,$B2021)+P2021*SUMIFS(Premissas!$D$5:$D$44,Premissas!$A$5:$A$44,$A2021,Premissas!$B$5:$B$44,$B2021))+R2021*SUMIFS(Premissas!$E$5:$E$44,Premissas!$A$5:$A$44,$A2021,Premissas!$B$5:$B$44,$B2021)+S2021*SUMIFS(Premissas!$F$5:$F$44,Premissas!$A$5:$A$44,$A2021,Premissas!$B$5:$B$44,$B2021)</f>
        <v/>
      </c>
      <c r="L2021" s="29">
        <f>J2021-K2021</f>
        <v/>
      </c>
      <c r="M2021" t="inlineStr">
        <is>
          <t>1.350</t>
        </is>
      </c>
      <c r="N2021" t="inlineStr">
        <is>
          <t>Modalidade: 0 - Por conta do remetente | Parte: HPLAST COMERCIO DE EMBALAGENS LTDA (32.549.410/0001-82)</t>
        </is>
      </c>
      <c r="O2021" s="29" t="n">
        <v>0</v>
      </c>
      <c r="P2021" s="29" t="n">
        <v>0</v>
      </c>
      <c r="Q2021" s="29" t="n">
        <v>0</v>
      </c>
      <c r="R2021" s="29" t="n">
        <v>0</v>
      </c>
      <c r="S2021" s="29" t="n">
        <v>0</v>
      </c>
      <c r="T2021" t="inlineStr">
        <is>
          <t>25250926975620000130570010000051261000180968</t>
        </is>
      </c>
      <c r="U2021" t="inlineStr">
        <is>
          <t>Não</t>
        </is>
      </c>
    </row>
    <row r="2022">
      <c r="A2022" t="inlineStr">
        <is>
          <t>Frete de venda</t>
        </is>
      </c>
      <c r="B2022" t="inlineStr">
        <is>
          <t>2.01.02 Frete sobre Vendas</t>
        </is>
      </c>
      <c r="C2022" t="inlineStr">
        <is>
          <t>Antes de 2026</t>
        </is>
      </c>
      <c r="D2022" t="inlineStr">
        <is>
          <t>Antes de 2026</t>
        </is>
      </c>
      <c r="E2022" s="28" t="n">
        <v>45908</v>
      </c>
      <c r="F2022" t="inlineStr">
        <is>
          <t>CT-e</t>
        </is>
      </c>
      <c r="G2022" t="inlineStr">
        <is>
          <t>000005127</t>
        </is>
      </c>
      <c r="H2022" t="inlineStr">
        <is>
          <t>R&amp;R TRANSPORTE E LOGISTICA</t>
        </is>
      </c>
      <c r="J2022" s="29" t="n">
        <v>25.34</v>
      </c>
      <c r="K2022" s="29">
        <f>(1-ISNUMBER(SEARCH("556",M2022)))*(O2022*SUMIFS(Premissas!$C$5:$C$44,Premissas!$A$5:$A$44,$A2022,Premissas!$B$5:$B$44,$B2022)+P2022*SUMIFS(Premissas!$D$5:$D$44,Premissas!$A$5:$A$44,$A2022,Premissas!$B$5:$B$44,$B2022))+R2022*SUMIFS(Premissas!$E$5:$E$44,Premissas!$A$5:$A$44,$A2022,Premissas!$B$5:$B$44,$B2022)+S2022*SUMIFS(Premissas!$F$5:$F$44,Premissas!$A$5:$A$44,$A2022,Premissas!$B$5:$B$44,$B2022)</f>
        <v/>
      </c>
      <c r="L2022" s="29">
        <f>J2022-K2022</f>
        <v/>
      </c>
      <c r="M2022" t="inlineStr">
        <is>
          <t>1.350</t>
        </is>
      </c>
      <c r="N2022" t="inlineStr">
        <is>
          <t>Modalidade: 0 - Por conta do remetente | Parte: BHS DISTRIBUICAO LTDA (34.416.212/0001-76)</t>
        </is>
      </c>
      <c r="O2022" s="29" t="n">
        <v>0</v>
      </c>
      <c r="P2022" s="29" t="n">
        <v>0</v>
      </c>
      <c r="Q2022" s="29" t="n">
        <v>0</v>
      </c>
      <c r="R2022" s="29" t="n">
        <v>0</v>
      </c>
      <c r="S2022" s="29" t="n">
        <v>0</v>
      </c>
      <c r="T2022" t="inlineStr">
        <is>
          <t>25250926975620000130570010000051271001501048</t>
        </is>
      </c>
      <c r="U2022" t="inlineStr">
        <is>
          <t>Não</t>
        </is>
      </c>
    </row>
    <row r="2023">
      <c r="A2023" t="inlineStr">
        <is>
          <t>Frete de venda</t>
        </is>
      </c>
      <c r="B2023" t="inlineStr">
        <is>
          <t>2.01.02 Frete sobre Vendas</t>
        </is>
      </c>
      <c r="C2023" t="inlineStr">
        <is>
          <t>Antes de 2026</t>
        </is>
      </c>
      <c r="D2023" t="inlineStr">
        <is>
          <t>Antes de 2026</t>
        </is>
      </c>
      <c r="E2023" s="28" t="n">
        <v>45908</v>
      </c>
      <c r="F2023" t="inlineStr">
        <is>
          <t>CT-e</t>
        </is>
      </c>
      <c r="G2023" t="inlineStr">
        <is>
          <t>000005128</t>
        </is>
      </c>
      <c r="H2023" t="inlineStr">
        <is>
          <t>R&amp;R TRANSPORTE E LOGISTICA</t>
        </is>
      </c>
      <c r="J2023" s="29" t="n">
        <v>22.63</v>
      </c>
      <c r="K2023" s="29">
        <f>(1-ISNUMBER(SEARCH("556",M2023)))*(O2023*SUMIFS(Premissas!$C$5:$C$44,Premissas!$A$5:$A$44,$A2023,Premissas!$B$5:$B$44,$B2023)+P2023*SUMIFS(Premissas!$D$5:$D$44,Premissas!$A$5:$A$44,$A2023,Premissas!$B$5:$B$44,$B2023))+R2023*SUMIFS(Premissas!$E$5:$E$44,Premissas!$A$5:$A$44,$A2023,Premissas!$B$5:$B$44,$B2023)+S2023*SUMIFS(Premissas!$F$5:$F$44,Premissas!$A$5:$A$44,$A2023,Premissas!$B$5:$B$44,$B2023)</f>
        <v/>
      </c>
      <c r="L2023" s="29">
        <f>J2023-K2023</f>
        <v/>
      </c>
      <c r="M2023" t="inlineStr">
        <is>
          <t>1.350</t>
        </is>
      </c>
      <c r="N2023" t="inlineStr">
        <is>
          <t>Modalidade: 0 - Por conta do remetente | Parte: JAB IMPORTACAO E EXPORTACAO LTDA (21.938.705/0002-05)</t>
        </is>
      </c>
      <c r="O2023" s="29" t="n">
        <v>0</v>
      </c>
      <c r="P2023" s="29" t="n">
        <v>0</v>
      </c>
      <c r="Q2023" s="29" t="n">
        <v>0</v>
      </c>
      <c r="R2023" s="29" t="n">
        <v>0</v>
      </c>
      <c r="S2023" s="29" t="n">
        <v>0</v>
      </c>
      <c r="T2023" t="inlineStr">
        <is>
          <t>25250926975620000130570010000051281001201122</t>
        </is>
      </c>
      <c r="U2023" t="inlineStr">
        <is>
          <t>Não</t>
        </is>
      </c>
    </row>
    <row r="2024">
      <c r="A2024" t="inlineStr">
        <is>
          <t>Frete de venda</t>
        </is>
      </c>
      <c r="B2024" t="inlineStr">
        <is>
          <t>2.01.02 Frete sobre Vendas</t>
        </is>
      </c>
      <c r="C2024" t="inlineStr">
        <is>
          <t>Antes de 2026</t>
        </is>
      </c>
      <c r="D2024" t="inlineStr">
        <is>
          <t>Antes de 2026</t>
        </is>
      </c>
      <c r="E2024" s="28" t="n">
        <v>45908</v>
      </c>
      <c r="F2024" t="inlineStr">
        <is>
          <t>CT-e</t>
        </is>
      </c>
      <c r="G2024" t="inlineStr">
        <is>
          <t>000005129</t>
        </is>
      </c>
      <c r="H2024" t="inlineStr">
        <is>
          <t>R&amp;R TRANSPORTE E LOGISTICA</t>
        </is>
      </c>
      <c r="J2024" s="29" t="n">
        <v>43.21</v>
      </c>
      <c r="K2024" s="29">
        <f>(1-ISNUMBER(SEARCH("556",M2024)))*(O2024*SUMIFS(Premissas!$C$5:$C$44,Premissas!$A$5:$A$44,$A2024,Premissas!$B$5:$B$44,$B2024)+P2024*SUMIFS(Premissas!$D$5:$D$44,Premissas!$A$5:$A$44,$A2024,Premissas!$B$5:$B$44,$B2024))+R2024*SUMIFS(Premissas!$E$5:$E$44,Premissas!$A$5:$A$44,$A2024,Premissas!$B$5:$B$44,$B2024)+S2024*SUMIFS(Premissas!$F$5:$F$44,Premissas!$A$5:$A$44,$A2024,Premissas!$B$5:$B$44,$B2024)</f>
        <v/>
      </c>
      <c r="L2024" s="29">
        <f>J2024-K2024</f>
        <v/>
      </c>
      <c r="M2024" t="inlineStr">
        <is>
          <t>1.350</t>
        </is>
      </c>
      <c r="N2024" t="inlineStr">
        <is>
          <t>Modalidade: 0 - Por conta do remetente | Parte: LADENILSON GUIMARAES SOUSA (55.025.751/0001-54)</t>
        </is>
      </c>
      <c r="O2024" s="29" t="n">
        <v>0</v>
      </c>
      <c r="P2024" s="29" t="n">
        <v>0</v>
      </c>
      <c r="Q2024" s="29" t="n">
        <v>0</v>
      </c>
      <c r="R2024" s="29" t="n">
        <v>0</v>
      </c>
      <c r="S2024" s="29" t="n">
        <v>0</v>
      </c>
      <c r="T2024" t="inlineStr">
        <is>
          <t>25250926975620000130570010000051291011001204</t>
        </is>
      </c>
      <c r="U2024" t="inlineStr">
        <is>
          <t>Não</t>
        </is>
      </c>
    </row>
    <row r="2025">
      <c r="A2025" t="inlineStr">
        <is>
          <t>Frete de venda</t>
        </is>
      </c>
      <c r="B2025" t="inlineStr">
        <is>
          <t>2.01.02 Frete sobre Vendas</t>
        </is>
      </c>
      <c r="C2025" t="inlineStr">
        <is>
          <t>Antes de 2026</t>
        </is>
      </c>
      <c r="D2025" t="inlineStr">
        <is>
          <t>Antes de 2026</t>
        </is>
      </c>
      <c r="E2025" s="28" t="n">
        <v>45908</v>
      </c>
      <c r="F2025" t="inlineStr">
        <is>
          <t>CT-e</t>
        </is>
      </c>
      <c r="G2025" t="inlineStr">
        <is>
          <t>000005130</t>
        </is>
      </c>
      <c r="H2025" t="inlineStr">
        <is>
          <t>R&amp;R TRANSPORTE E LOGISTICA</t>
        </is>
      </c>
      <c r="J2025" s="29" t="n">
        <v>26.33</v>
      </c>
      <c r="K2025" s="29">
        <f>(1-ISNUMBER(SEARCH("556",M2025)))*(O2025*SUMIFS(Premissas!$C$5:$C$44,Premissas!$A$5:$A$44,$A2025,Premissas!$B$5:$B$44,$B2025)+P2025*SUMIFS(Premissas!$D$5:$D$44,Premissas!$A$5:$A$44,$A2025,Premissas!$B$5:$B$44,$B2025))+R2025*SUMIFS(Premissas!$E$5:$E$44,Premissas!$A$5:$A$44,$A2025,Premissas!$B$5:$B$44,$B2025)+S2025*SUMIFS(Premissas!$F$5:$F$44,Premissas!$A$5:$A$44,$A2025,Premissas!$B$5:$B$44,$B2025)</f>
        <v/>
      </c>
      <c r="L2025" s="29">
        <f>J2025-K2025</f>
        <v/>
      </c>
      <c r="M2025" t="inlineStr">
        <is>
          <t>1.350</t>
        </is>
      </c>
      <c r="N2025" t="inlineStr">
        <is>
          <t>Modalidade: 0 - Por conta do remetente | Parte: STILOS FESTAS E BEBIDAS LTDA (31.614.905/0001-85)</t>
        </is>
      </c>
      <c r="O2025" s="29" t="n">
        <v>0</v>
      </c>
      <c r="P2025" s="29" t="n">
        <v>0</v>
      </c>
      <c r="Q2025" s="29" t="n">
        <v>0</v>
      </c>
      <c r="R2025" s="29" t="n">
        <v>0</v>
      </c>
      <c r="S2025" s="29" t="n">
        <v>0</v>
      </c>
      <c r="T2025" t="inlineStr">
        <is>
          <t>25250926975620000130570010000051301000010550</t>
        </is>
      </c>
      <c r="U2025" t="inlineStr">
        <is>
          <t>Não</t>
        </is>
      </c>
    </row>
    <row r="2026">
      <c r="A2026" t="inlineStr">
        <is>
          <t>Frete de venda</t>
        </is>
      </c>
      <c r="B2026" t="inlineStr">
        <is>
          <t>2.01.02 Frete sobre Vendas</t>
        </is>
      </c>
      <c r="C2026" t="inlineStr">
        <is>
          <t>Antes de 2026</t>
        </is>
      </c>
      <c r="D2026" t="inlineStr">
        <is>
          <t>Antes de 2026</t>
        </is>
      </c>
      <c r="E2026" s="28" t="n">
        <v>45908</v>
      </c>
      <c r="F2026" t="inlineStr">
        <is>
          <t>CT-e</t>
        </is>
      </c>
      <c r="G2026" t="inlineStr">
        <is>
          <t>000005131</t>
        </is>
      </c>
      <c r="H2026" t="inlineStr">
        <is>
          <t>R&amp;R TRANSPORTE E LOGISTICA</t>
        </is>
      </c>
      <c r="J2026" s="29" t="n">
        <v>25.03</v>
      </c>
      <c r="K2026" s="29">
        <f>(1-ISNUMBER(SEARCH("556",M2026)))*(O2026*SUMIFS(Premissas!$C$5:$C$44,Premissas!$A$5:$A$44,$A2026,Premissas!$B$5:$B$44,$B2026)+P2026*SUMIFS(Premissas!$D$5:$D$44,Premissas!$A$5:$A$44,$A2026,Premissas!$B$5:$B$44,$B2026))+R2026*SUMIFS(Premissas!$E$5:$E$44,Premissas!$A$5:$A$44,$A2026,Premissas!$B$5:$B$44,$B2026)+S2026*SUMIFS(Premissas!$F$5:$F$44,Premissas!$A$5:$A$44,$A2026,Premissas!$B$5:$B$44,$B2026)</f>
        <v/>
      </c>
      <c r="L2026" s="29">
        <f>J2026-K2026</f>
        <v/>
      </c>
      <c r="M2026" t="inlineStr">
        <is>
          <t>1.350</t>
        </is>
      </c>
      <c r="N2026" t="inlineStr">
        <is>
          <t>Modalidade: 0 - Por conta do remetente | Parte: COMFRIOS DISTRIBUIDORA DE FRIOS LTDA (37.364.486/0001-57)</t>
        </is>
      </c>
      <c r="O2026" s="29" t="n">
        <v>0</v>
      </c>
      <c r="P2026" s="29" t="n">
        <v>0</v>
      </c>
      <c r="Q2026" s="29" t="n">
        <v>0</v>
      </c>
      <c r="R2026" s="29" t="n">
        <v>0</v>
      </c>
      <c r="S2026" s="29" t="n">
        <v>0</v>
      </c>
      <c r="T2026" t="inlineStr">
        <is>
          <t>25250926975620000130570010000051311000180631</t>
        </is>
      </c>
      <c r="U2026" t="inlineStr">
        <is>
          <t>Não</t>
        </is>
      </c>
    </row>
    <row r="2027">
      <c r="A2027" t="inlineStr">
        <is>
          <t>Frete de venda</t>
        </is>
      </c>
      <c r="B2027" t="inlineStr">
        <is>
          <t>2.01.02 Frete sobre Vendas</t>
        </is>
      </c>
      <c r="C2027" t="inlineStr">
        <is>
          <t>Antes de 2026</t>
        </is>
      </c>
      <c r="D2027" t="inlineStr">
        <is>
          <t>Antes de 2026</t>
        </is>
      </c>
      <c r="E2027" s="28" t="n">
        <v>45908</v>
      </c>
      <c r="F2027" t="inlineStr">
        <is>
          <t>CT-e</t>
        </is>
      </c>
      <c r="G2027" t="inlineStr">
        <is>
          <t>000005132</t>
        </is>
      </c>
      <c r="H2027" t="inlineStr">
        <is>
          <t>R&amp;R TRANSPORTE E LOGISTICA</t>
        </is>
      </c>
      <c r="J2027" s="29" t="n">
        <v>18</v>
      </c>
      <c r="K2027" s="29">
        <f>(1-ISNUMBER(SEARCH("556",M2027)))*(O2027*SUMIFS(Premissas!$C$5:$C$44,Premissas!$A$5:$A$44,$A2027,Premissas!$B$5:$B$44,$B2027)+P2027*SUMIFS(Premissas!$D$5:$D$44,Premissas!$A$5:$A$44,$A2027,Premissas!$B$5:$B$44,$B2027))+R2027*SUMIFS(Premissas!$E$5:$E$44,Premissas!$A$5:$A$44,$A2027,Premissas!$B$5:$B$44,$B2027)+S2027*SUMIFS(Premissas!$F$5:$F$44,Premissas!$A$5:$A$44,$A2027,Premissas!$B$5:$B$44,$B2027)</f>
        <v/>
      </c>
      <c r="L2027" s="29">
        <f>J2027-K2027</f>
        <v/>
      </c>
      <c r="M2027" t="inlineStr">
        <is>
          <t>1.350</t>
        </is>
      </c>
      <c r="N2027" t="inlineStr">
        <is>
          <t>Modalidade: 0 - Por conta do remetente | Parte: FRIOS FESTA UTILIDADES LTDA (48.196.330/0001-20)</t>
        </is>
      </c>
      <c r="O2027" s="29" t="n">
        <v>0</v>
      </c>
      <c r="P2027" s="29" t="n">
        <v>0</v>
      </c>
      <c r="Q2027" s="29" t="n">
        <v>0</v>
      </c>
      <c r="R2027" s="29" t="n">
        <v>0</v>
      </c>
      <c r="S2027" s="29" t="n">
        <v>0</v>
      </c>
      <c r="T2027" t="inlineStr">
        <is>
          <t>25250926975620000130570010000051321000150713</t>
        </is>
      </c>
      <c r="U2027" t="inlineStr">
        <is>
          <t>Não</t>
        </is>
      </c>
    </row>
    <row r="2028">
      <c r="A2028" t="inlineStr">
        <is>
          <t>Frete de venda</t>
        </is>
      </c>
      <c r="B2028" t="inlineStr">
        <is>
          <t>2.01.02 Frete sobre Vendas</t>
        </is>
      </c>
      <c r="C2028" t="inlineStr">
        <is>
          <t>Antes de 2026</t>
        </is>
      </c>
      <c r="D2028" t="inlineStr">
        <is>
          <t>Antes de 2026</t>
        </is>
      </c>
      <c r="E2028" s="28" t="n">
        <v>45908</v>
      </c>
      <c r="F2028" t="inlineStr">
        <is>
          <t>CT-e</t>
        </is>
      </c>
      <c r="G2028" t="inlineStr">
        <is>
          <t>000005133</t>
        </is>
      </c>
      <c r="H2028" t="inlineStr">
        <is>
          <t>R&amp;R TRANSPORTE E LOGISTICA</t>
        </is>
      </c>
      <c r="J2028" s="29" t="n">
        <v>20.16</v>
      </c>
      <c r="K2028" s="29">
        <f>(1-ISNUMBER(SEARCH("556",M2028)))*(O2028*SUMIFS(Premissas!$C$5:$C$44,Premissas!$A$5:$A$44,$A2028,Premissas!$B$5:$B$44,$B2028)+P2028*SUMIFS(Premissas!$D$5:$D$44,Premissas!$A$5:$A$44,$A2028,Premissas!$B$5:$B$44,$B2028))+R2028*SUMIFS(Premissas!$E$5:$E$44,Premissas!$A$5:$A$44,$A2028,Premissas!$B$5:$B$44,$B2028)+S2028*SUMIFS(Premissas!$F$5:$F$44,Premissas!$A$5:$A$44,$A2028,Premissas!$B$5:$B$44,$B2028)</f>
        <v/>
      </c>
      <c r="L2028" s="29">
        <f>J2028-K2028</f>
        <v/>
      </c>
      <c r="M2028" t="inlineStr">
        <is>
          <t>1.350</t>
        </is>
      </c>
      <c r="N2028" t="inlineStr">
        <is>
          <t>Modalidade: 0 - Por conta do remetente | Parte: N 1 UTILIDADES E FESTA LTDA (61.180.372/0001-31)</t>
        </is>
      </c>
      <c r="O2028" s="29" t="n">
        <v>0</v>
      </c>
      <c r="P2028" s="29" t="n">
        <v>0</v>
      </c>
      <c r="Q2028" s="29" t="n">
        <v>0</v>
      </c>
      <c r="R2028" s="29" t="n">
        <v>0</v>
      </c>
      <c r="S2028" s="29" t="n">
        <v>0</v>
      </c>
      <c r="T2028" t="inlineStr">
        <is>
          <t>25250926975620000130570010000051331000120790</t>
        </is>
      </c>
      <c r="U2028" t="inlineStr">
        <is>
          <t>Não</t>
        </is>
      </c>
    </row>
    <row r="2029">
      <c r="A2029" t="inlineStr">
        <is>
          <t>Frete de venda</t>
        </is>
      </c>
      <c r="B2029" t="inlineStr">
        <is>
          <t>2.01.02 Frete sobre Vendas</t>
        </is>
      </c>
      <c r="C2029" t="inlineStr">
        <is>
          <t>Antes de 2026</t>
        </is>
      </c>
      <c r="D2029" t="inlineStr">
        <is>
          <t>Antes de 2026</t>
        </is>
      </c>
      <c r="E2029" s="28" t="n">
        <v>45908</v>
      </c>
      <c r="F2029" t="inlineStr">
        <is>
          <t>CT-e</t>
        </is>
      </c>
      <c r="G2029" t="inlineStr">
        <is>
          <t>000005134</t>
        </is>
      </c>
      <c r="H2029" t="inlineStr">
        <is>
          <t>R&amp;R TRANSPORTE E LOGISTICA</t>
        </is>
      </c>
      <c r="J2029" s="29" t="n">
        <v>20.73</v>
      </c>
      <c r="K2029" s="29">
        <f>(1-ISNUMBER(SEARCH("556",M2029)))*(O2029*SUMIFS(Premissas!$C$5:$C$44,Premissas!$A$5:$A$44,$A2029,Premissas!$B$5:$B$44,$B2029)+P2029*SUMIFS(Premissas!$D$5:$D$44,Premissas!$A$5:$A$44,$A2029,Premissas!$B$5:$B$44,$B2029))+R2029*SUMIFS(Premissas!$E$5:$E$44,Premissas!$A$5:$A$44,$A2029,Premissas!$B$5:$B$44,$B2029)+S2029*SUMIFS(Premissas!$F$5:$F$44,Premissas!$A$5:$A$44,$A2029,Premissas!$B$5:$B$44,$B2029)</f>
        <v/>
      </c>
      <c r="L2029" s="29">
        <f>J2029-K2029</f>
        <v/>
      </c>
      <c r="M2029" t="inlineStr">
        <is>
          <t>1.350</t>
        </is>
      </c>
      <c r="N2029" t="inlineStr">
        <is>
          <t>Modalidade: 0 - Por conta do remetente | Parte: IRACI ROSA DA CUNHA LTDA (01.180.241/0001-22)</t>
        </is>
      </c>
      <c r="O2029" s="29" t="n">
        <v>0</v>
      </c>
      <c r="P2029" s="29" t="n">
        <v>0</v>
      </c>
      <c r="Q2029" s="29" t="n">
        <v>0</v>
      </c>
      <c r="R2029" s="29" t="n">
        <v>0</v>
      </c>
      <c r="S2029" s="29" t="n">
        <v>0</v>
      </c>
      <c r="T2029" t="inlineStr">
        <is>
          <t>25250926975620000130570010000051341001100870</t>
        </is>
      </c>
      <c r="U2029" t="inlineStr">
        <is>
          <t>Não</t>
        </is>
      </c>
    </row>
    <row r="2030">
      <c r="A2030" t="inlineStr">
        <is>
          <t>Frete de venda</t>
        </is>
      </c>
      <c r="B2030" t="inlineStr">
        <is>
          <t>2.01.02 Frete sobre Vendas</t>
        </is>
      </c>
      <c r="C2030" t="inlineStr">
        <is>
          <t>Antes de 2026</t>
        </is>
      </c>
      <c r="D2030" t="inlineStr">
        <is>
          <t>Antes de 2026</t>
        </is>
      </c>
      <c r="E2030" s="28" t="n">
        <v>45908</v>
      </c>
      <c r="F2030" t="inlineStr">
        <is>
          <t>CT-e</t>
        </is>
      </c>
      <c r="G2030" t="inlineStr">
        <is>
          <t>000005135</t>
        </is>
      </c>
      <c r="H2030" t="inlineStr">
        <is>
          <t>R&amp;R TRANSPORTE E LOGISTICA</t>
        </is>
      </c>
      <c r="J2030" s="29" t="n">
        <v>29.04</v>
      </c>
      <c r="K2030" s="29">
        <f>(1-ISNUMBER(SEARCH("556",M2030)))*(O2030*SUMIFS(Premissas!$C$5:$C$44,Premissas!$A$5:$A$44,$A2030,Premissas!$B$5:$B$44,$B2030)+P2030*SUMIFS(Premissas!$D$5:$D$44,Premissas!$A$5:$A$44,$A2030,Premissas!$B$5:$B$44,$B2030))+R2030*SUMIFS(Premissas!$E$5:$E$44,Premissas!$A$5:$A$44,$A2030,Premissas!$B$5:$B$44,$B2030)+S2030*SUMIFS(Premissas!$F$5:$F$44,Premissas!$A$5:$A$44,$A2030,Premissas!$B$5:$B$44,$B2030)</f>
        <v/>
      </c>
      <c r="L2030" s="29">
        <f>J2030-K2030</f>
        <v/>
      </c>
      <c r="M2030" t="inlineStr">
        <is>
          <t>1.350</t>
        </is>
      </c>
      <c r="N2030" t="inlineStr">
        <is>
          <t>Modalidade: 0 - Por conta do remetente | Parte: RIO VERDE EMBALAGENS LTDA (15.189.185/0001-00)</t>
        </is>
      </c>
      <c r="O2030" s="29" t="n">
        <v>0</v>
      </c>
      <c r="P2030" s="29" t="n">
        <v>0</v>
      </c>
      <c r="Q2030" s="29" t="n">
        <v>0</v>
      </c>
      <c r="R2030" s="29" t="n">
        <v>0</v>
      </c>
      <c r="S2030" s="29" t="n">
        <v>0</v>
      </c>
      <c r="T2030" t="inlineStr">
        <is>
          <t>25250926975620000130570010000051351000170953</t>
        </is>
      </c>
      <c r="U2030" t="inlineStr">
        <is>
          <t>Não</t>
        </is>
      </c>
    </row>
    <row r="2031">
      <c r="A2031" t="inlineStr">
        <is>
          <t>Frete de venda</t>
        </is>
      </c>
      <c r="B2031" t="inlineStr">
        <is>
          <t>2.01.02 Frete sobre Vendas</t>
        </is>
      </c>
      <c r="C2031" t="inlineStr">
        <is>
          <t>Antes de 2026</t>
        </is>
      </c>
      <c r="D2031" t="inlineStr">
        <is>
          <t>Antes de 2026</t>
        </is>
      </c>
      <c r="E2031" s="28" t="n">
        <v>45908</v>
      </c>
      <c r="F2031" t="inlineStr">
        <is>
          <t>CT-e</t>
        </is>
      </c>
      <c r="G2031" t="inlineStr">
        <is>
          <t>000005136</t>
        </is>
      </c>
      <c r="H2031" t="inlineStr">
        <is>
          <t>R&amp;R TRANSPORTE E LOGISTICA</t>
        </is>
      </c>
      <c r="J2031" s="29" t="n">
        <v>19.99</v>
      </c>
      <c r="K2031" s="29">
        <f>(1-ISNUMBER(SEARCH("556",M2031)))*(O2031*SUMIFS(Premissas!$C$5:$C$44,Premissas!$A$5:$A$44,$A2031,Premissas!$B$5:$B$44,$B2031)+P2031*SUMIFS(Premissas!$D$5:$D$44,Premissas!$A$5:$A$44,$A2031,Premissas!$B$5:$B$44,$B2031))+R2031*SUMIFS(Premissas!$E$5:$E$44,Premissas!$A$5:$A$44,$A2031,Premissas!$B$5:$B$44,$B2031)+S2031*SUMIFS(Premissas!$F$5:$F$44,Premissas!$A$5:$A$44,$A2031,Premissas!$B$5:$B$44,$B2031)</f>
        <v/>
      </c>
      <c r="L2031" s="29">
        <f>J2031-K2031</f>
        <v/>
      </c>
      <c r="M2031" t="inlineStr">
        <is>
          <t>1.350</t>
        </is>
      </c>
      <c r="N2031" t="inlineStr">
        <is>
          <t>Modalidade: 0 - Por conta do remetente | Parte: EMBALAGENS DONA BEJA LTDA (07.708.583/0001-59)</t>
        </is>
      </c>
      <c r="O2031" s="29" t="n">
        <v>0</v>
      </c>
      <c r="P2031" s="29" t="n">
        <v>0</v>
      </c>
      <c r="Q2031" s="29" t="n">
        <v>0</v>
      </c>
      <c r="R2031" s="29" t="n">
        <v>0</v>
      </c>
      <c r="S2031" s="29" t="n">
        <v>0</v>
      </c>
      <c r="T2031" t="inlineStr">
        <is>
          <t>25250926975620000130570010000051361001401034</t>
        </is>
      </c>
      <c r="U2031" t="inlineStr">
        <is>
          <t>Não</t>
        </is>
      </c>
    </row>
    <row r="2032">
      <c r="A2032" t="inlineStr">
        <is>
          <t>Frete de venda</t>
        </is>
      </c>
      <c r="B2032" t="inlineStr">
        <is>
          <t>2.01.02 Frete sobre Vendas</t>
        </is>
      </c>
      <c r="C2032" t="inlineStr">
        <is>
          <t>Antes de 2026</t>
        </is>
      </c>
      <c r="D2032" t="inlineStr">
        <is>
          <t>Antes de 2026</t>
        </is>
      </c>
      <c r="E2032" s="28" t="n">
        <v>45908</v>
      </c>
      <c r="F2032" t="inlineStr">
        <is>
          <t>CT-e</t>
        </is>
      </c>
      <c r="G2032" t="inlineStr">
        <is>
          <t>000005137</t>
        </is>
      </c>
      <c r="H2032" t="inlineStr">
        <is>
          <t>R&amp;R TRANSPORTE E LOGISTICA</t>
        </is>
      </c>
      <c r="J2032" s="29" t="n">
        <v>19.54</v>
      </c>
      <c r="K2032" s="29">
        <f>(1-ISNUMBER(SEARCH("556",M2032)))*(O2032*SUMIFS(Premissas!$C$5:$C$44,Premissas!$A$5:$A$44,$A2032,Premissas!$B$5:$B$44,$B2032)+P2032*SUMIFS(Premissas!$D$5:$D$44,Premissas!$A$5:$A$44,$A2032,Premissas!$B$5:$B$44,$B2032))+R2032*SUMIFS(Premissas!$E$5:$E$44,Premissas!$A$5:$A$44,$A2032,Premissas!$B$5:$B$44,$B2032)+S2032*SUMIFS(Premissas!$F$5:$F$44,Premissas!$A$5:$A$44,$A2032,Premissas!$B$5:$B$44,$B2032)</f>
        <v/>
      </c>
      <c r="L2032" s="29">
        <f>J2032-K2032</f>
        <v/>
      </c>
      <c r="M2032" t="inlineStr">
        <is>
          <t>1.350</t>
        </is>
      </c>
      <c r="N2032" t="inlineStr">
        <is>
          <t>Modalidade: 0 - Por conta do remetente | Parte: LIDERPACK EMBALAGENS LTDA (46.994.972/0001-40)</t>
        </is>
      </c>
      <c r="O2032" s="29" t="n">
        <v>0</v>
      </c>
      <c r="P2032" s="29" t="n">
        <v>0</v>
      </c>
      <c r="Q2032" s="29" t="n">
        <v>0</v>
      </c>
      <c r="R2032" s="29" t="n">
        <v>0</v>
      </c>
      <c r="S2032" s="29" t="n">
        <v>0</v>
      </c>
      <c r="T2032" t="inlineStr">
        <is>
          <t>25250926975620000130570010000051371001101119</t>
        </is>
      </c>
      <c r="U2032" t="inlineStr">
        <is>
          <t>Não</t>
        </is>
      </c>
    </row>
    <row r="2033">
      <c r="A2033" t="inlineStr">
        <is>
          <t>Frete de venda</t>
        </is>
      </c>
      <c r="B2033" t="inlineStr">
        <is>
          <t>2.01.02 Frete sobre Vendas</t>
        </is>
      </c>
      <c r="C2033" t="inlineStr">
        <is>
          <t>Antes de 2026</t>
        </is>
      </c>
      <c r="D2033" t="inlineStr">
        <is>
          <t>Antes de 2026</t>
        </is>
      </c>
      <c r="E2033" s="28" t="n">
        <v>45908</v>
      </c>
      <c r="F2033" t="inlineStr">
        <is>
          <t>CT-e</t>
        </is>
      </c>
      <c r="G2033" t="inlineStr">
        <is>
          <t>000005138</t>
        </is>
      </c>
      <c r="H2033" t="inlineStr">
        <is>
          <t>R&amp;R TRANSPORTE E LOGISTICA</t>
        </is>
      </c>
      <c r="J2033" s="29" t="n">
        <v>20.83</v>
      </c>
      <c r="K2033" s="29">
        <f>(1-ISNUMBER(SEARCH("556",M2033)))*(O2033*SUMIFS(Premissas!$C$5:$C$44,Premissas!$A$5:$A$44,$A2033,Premissas!$B$5:$B$44,$B2033)+P2033*SUMIFS(Premissas!$D$5:$D$44,Premissas!$A$5:$A$44,$A2033,Premissas!$B$5:$B$44,$B2033))+R2033*SUMIFS(Premissas!$E$5:$E$44,Premissas!$A$5:$A$44,$A2033,Premissas!$B$5:$B$44,$B2033)+S2033*SUMIFS(Premissas!$F$5:$F$44,Premissas!$A$5:$A$44,$A2033,Premissas!$B$5:$B$44,$B2033)</f>
        <v/>
      </c>
      <c r="L2033" s="29">
        <f>J2033-K2033</f>
        <v/>
      </c>
      <c r="M2033" t="inlineStr">
        <is>
          <t>1.350</t>
        </is>
      </c>
      <c r="N2033" t="inlineStr">
        <is>
          <t>Modalidade: 0 - Por conta do remetente | Parte: JOAO LUCAS DE ALMEIDA PEREIRA LTDA (32.743.653/0001-57)</t>
        </is>
      </c>
      <c r="O2033" s="29" t="n">
        <v>0</v>
      </c>
      <c r="P2033" s="29" t="n">
        <v>0</v>
      </c>
      <c r="Q2033" s="29" t="n">
        <v>0</v>
      </c>
      <c r="R2033" s="29" t="n">
        <v>0</v>
      </c>
      <c r="S2033" s="29" t="n">
        <v>0</v>
      </c>
      <c r="T2033" t="inlineStr">
        <is>
          <t>25250926975620000130570010000051381001901198</t>
        </is>
      </c>
      <c r="U2033" t="inlineStr">
        <is>
          <t>Não</t>
        </is>
      </c>
    </row>
    <row r="2034">
      <c r="A2034" t="inlineStr">
        <is>
          <t>Frete de venda</t>
        </is>
      </c>
      <c r="B2034" t="inlineStr">
        <is>
          <t>2.01.02 Frete sobre Vendas</t>
        </is>
      </c>
      <c r="C2034" t="inlineStr">
        <is>
          <t>Antes de 2026</t>
        </is>
      </c>
      <c r="D2034" t="inlineStr">
        <is>
          <t>Antes de 2026</t>
        </is>
      </c>
      <c r="E2034" s="28" t="n">
        <v>45908</v>
      </c>
      <c r="F2034" t="inlineStr">
        <is>
          <t>CT-e</t>
        </is>
      </c>
      <c r="G2034" t="inlineStr">
        <is>
          <t>000005141</t>
        </is>
      </c>
      <c r="H2034" t="inlineStr">
        <is>
          <t>R&amp;R TRANSPORTE E LOGISTICA</t>
        </is>
      </c>
      <c r="J2034" s="29" t="n">
        <v>72.68000000000001</v>
      </c>
      <c r="K2034" s="29">
        <f>(1-ISNUMBER(SEARCH("556",M2034)))*(O2034*SUMIFS(Premissas!$C$5:$C$44,Premissas!$A$5:$A$44,$A2034,Premissas!$B$5:$B$44,$B2034)+P2034*SUMIFS(Premissas!$D$5:$D$44,Premissas!$A$5:$A$44,$A2034,Premissas!$B$5:$B$44,$B2034))+R2034*SUMIFS(Premissas!$E$5:$E$44,Premissas!$A$5:$A$44,$A2034,Premissas!$B$5:$B$44,$B2034)+S2034*SUMIFS(Premissas!$F$5:$F$44,Premissas!$A$5:$A$44,$A2034,Premissas!$B$5:$B$44,$B2034)</f>
        <v/>
      </c>
      <c r="L2034" s="29">
        <f>J2034-K2034</f>
        <v/>
      </c>
      <c r="M2034" t="inlineStr">
        <is>
          <t>1.350</t>
        </is>
      </c>
      <c r="N2034" t="inlineStr">
        <is>
          <t>Modalidade: 0 - Por conta do remetente | Parte: PINGO EMBALAGENS LTDA (02.959.832/0001-65)</t>
        </is>
      </c>
      <c r="O2034" s="29" t="n">
        <v>0</v>
      </c>
      <c r="P2034" s="29" t="n">
        <v>0</v>
      </c>
      <c r="Q2034" s="29" t="n">
        <v>0</v>
      </c>
      <c r="R2034" s="29" t="n">
        <v>0</v>
      </c>
      <c r="S2034" s="29" t="n">
        <v>0</v>
      </c>
      <c r="T2034" t="inlineStr">
        <is>
          <t>25250926975620000130570010000051411000140709</t>
        </is>
      </c>
      <c r="U2034" t="inlineStr">
        <is>
          <t>Não</t>
        </is>
      </c>
    </row>
    <row r="2035">
      <c r="A2035" t="inlineStr">
        <is>
          <t>Frete de venda</t>
        </is>
      </c>
      <c r="B2035" t="inlineStr">
        <is>
          <t>2.01.02 Frete sobre Vendas</t>
        </is>
      </c>
      <c r="C2035" t="inlineStr">
        <is>
          <t>Antes de 2026</t>
        </is>
      </c>
      <c r="D2035" t="inlineStr">
        <is>
          <t>Antes de 2026</t>
        </is>
      </c>
      <c r="E2035" s="28" t="n">
        <v>45908</v>
      </c>
      <c r="F2035" t="inlineStr">
        <is>
          <t>CT-e</t>
        </is>
      </c>
      <c r="G2035" t="inlineStr">
        <is>
          <t>000005142</t>
        </is>
      </c>
      <c r="H2035" t="inlineStr">
        <is>
          <t>R&amp;R TRANSPORTE E LOGISTICA</t>
        </is>
      </c>
      <c r="J2035" s="29" t="n">
        <v>61.72</v>
      </c>
      <c r="K2035" s="29">
        <f>(1-ISNUMBER(SEARCH("556",M2035)))*(O2035*SUMIFS(Premissas!$C$5:$C$44,Premissas!$A$5:$A$44,$A2035,Premissas!$B$5:$B$44,$B2035)+P2035*SUMIFS(Premissas!$D$5:$D$44,Premissas!$A$5:$A$44,$A2035,Premissas!$B$5:$B$44,$B2035))+R2035*SUMIFS(Premissas!$E$5:$E$44,Premissas!$A$5:$A$44,$A2035,Premissas!$B$5:$B$44,$B2035)+S2035*SUMIFS(Premissas!$F$5:$F$44,Premissas!$A$5:$A$44,$A2035,Premissas!$B$5:$B$44,$B2035)</f>
        <v/>
      </c>
      <c r="L2035" s="29">
        <f>J2035-K2035</f>
        <v/>
      </c>
      <c r="M2035" t="inlineStr">
        <is>
          <t>1.350</t>
        </is>
      </c>
      <c r="N2035" t="inlineStr">
        <is>
          <t>Modalidade: 0 - Por conta do remetente | Parte: CASINHAPEL EMBALAGENS LTDA (13.190.805/0001-97)</t>
        </is>
      </c>
      <c r="O2035" s="29" t="n">
        <v>0</v>
      </c>
      <c r="P2035" s="29" t="n">
        <v>0</v>
      </c>
      <c r="Q2035" s="29" t="n">
        <v>0</v>
      </c>
      <c r="R2035" s="29" t="n">
        <v>0</v>
      </c>
      <c r="S2035" s="29" t="n">
        <v>0</v>
      </c>
      <c r="T2035" t="inlineStr">
        <is>
          <t>25250926975620000130570010000051421000110785</t>
        </is>
      </c>
      <c r="U2035" t="inlineStr">
        <is>
          <t>Não</t>
        </is>
      </c>
    </row>
    <row r="2036">
      <c r="A2036" t="inlineStr">
        <is>
          <t>Frete de venda</t>
        </is>
      </c>
      <c r="B2036" t="inlineStr">
        <is>
          <t>2.01.02 Frete sobre Vendas</t>
        </is>
      </c>
      <c r="C2036" t="inlineStr">
        <is>
          <t>Antes de 2026</t>
        </is>
      </c>
      <c r="D2036" t="inlineStr">
        <is>
          <t>Antes de 2026</t>
        </is>
      </c>
      <c r="E2036" s="28" t="n">
        <v>45908</v>
      </c>
      <c r="F2036" t="inlineStr">
        <is>
          <t>CT-e</t>
        </is>
      </c>
      <c r="G2036" t="inlineStr">
        <is>
          <t>000005143</t>
        </is>
      </c>
      <c r="H2036" t="inlineStr">
        <is>
          <t>R&amp;R TRANSPORTE E LOGISTICA</t>
        </is>
      </c>
      <c r="J2036" s="29" t="n">
        <v>225.98</v>
      </c>
      <c r="K2036" s="29">
        <f>(1-ISNUMBER(SEARCH("556",M2036)))*(O2036*SUMIFS(Premissas!$C$5:$C$44,Premissas!$A$5:$A$44,$A2036,Premissas!$B$5:$B$44,$B2036)+P2036*SUMIFS(Premissas!$D$5:$D$44,Premissas!$A$5:$A$44,$A2036,Premissas!$B$5:$B$44,$B2036))+R2036*SUMIFS(Premissas!$E$5:$E$44,Premissas!$A$5:$A$44,$A2036,Premissas!$B$5:$B$44,$B2036)+S2036*SUMIFS(Premissas!$F$5:$F$44,Premissas!$A$5:$A$44,$A2036,Premissas!$B$5:$B$44,$B2036)</f>
        <v/>
      </c>
      <c r="L2036" s="29">
        <f>J2036-K2036</f>
        <v/>
      </c>
      <c r="M2036" t="inlineStr">
        <is>
          <t>1.350</t>
        </is>
      </c>
      <c r="N2036" t="inlineStr">
        <is>
          <t>Modalidade: 0 - Por conta do remetente | Parte: RODRIGUES e DIAS COMERCIO DE HORTIFRUTI GRANJEIROS LTDA (09.143.905/0001-95)</t>
        </is>
      </c>
      <c r="O2036" s="29" t="n">
        <v>0</v>
      </c>
      <c r="P2036" s="29" t="n">
        <v>0</v>
      </c>
      <c r="Q2036" s="29" t="n">
        <v>0</v>
      </c>
      <c r="R2036" s="29" t="n">
        <v>0</v>
      </c>
      <c r="S2036" s="29" t="n">
        <v>0</v>
      </c>
      <c r="T2036" t="inlineStr">
        <is>
          <t>25250926975620000130570010000051431000190867</t>
        </is>
      </c>
      <c r="U2036" t="inlineStr">
        <is>
          <t>Não</t>
        </is>
      </c>
    </row>
    <row r="2037">
      <c r="A2037" t="inlineStr">
        <is>
          <t>Frete de venda</t>
        </is>
      </c>
      <c r="B2037" t="inlineStr">
        <is>
          <t>2.01.02 Frete sobre Vendas</t>
        </is>
      </c>
      <c r="C2037" t="inlineStr">
        <is>
          <t>Antes de 2026</t>
        </is>
      </c>
      <c r="D2037" t="inlineStr">
        <is>
          <t>Antes de 2026</t>
        </is>
      </c>
      <c r="E2037" s="28" t="n">
        <v>45908</v>
      </c>
      <c r="F2037" t="inlineStr">
        <is>
          <t>CT-e</t>
        </is>
      </c>
      <c r="G2037" t="inlineStr">
        <is>
          <t>000005144</t>
        </is>
      </c>
      <c r="H2037" t="inlineStr">
        <is>
          <t>R&amp;R TRANSPORTE E LOGISTICA</t>
        </is>
      </c>
      <c r="J2037" s="29" t="n">
        <v>57.01</v>
      </c>
      <c r="K2037" s="29">
        <f>(1-ISNUMBER(SEARCH("556",M2037)))*(O2037*SUMIFS(Premissas!$C$5:$C$44,Premissas!$A$5:$A$44,$A2037,Premissas!$B$5:$B$44,$B2037)+P2037*SUMIFS(Premissas!$D$5:$D$44,Premissas!$A$5:$A$44,$A2037,Premissas!$B$5:$B$44,$B2037))+R2037*SUMIFS(Premissas!$E$5:$E$44,Premissas!$A$5:$A$44,$A2037,Premissas!$B$5:$B$44,$B2037)+S2037*SUMIFS(Premissas!$F$5:$F$44,Premissas!$A$5:$A$44,$A2037,Premissas!$B$5:$B$44,$B2037)</f>
        <v/>
      </c>
      <c r="L2037" s="29">
        <f>J2037-K2037</f>
        <v/>
      </c>
      <c r="M2037" t="inlineStr">
        <is>
          <t>1.350</t>
        </is>
      </c>
      <c r="N2037" t="inlineStr">
        <is>
          <t>Modalidade: 0 - Por conta do remetente | Parte: WR INDUSTRIA E COMERCIO DE EMBALAGENS LTDA (02.692.206/0001-55)</t>
        </is>
      </c>
      <c r="O2037" s="29" t="n">
        <v>0</v>
      </c>
      <c r="P2037" s="29" t="n">
        <v>0</v>
      </c>
      <c r="Q2037" s="29" t="n">
        <v>0</v>
      </c>
      <c r="R2037" s="29" t="n">
        <v>0</v>
      </c>
      <c r="S2037" s="29" t="n">
        <v>0</v>
      </c>
      <c r="T2037" t="inlineStr">
        <is>
          <t>25250926975620000130570010000051441000160949</t>
        </is>
      </c>
      <c r="U2037" t="inlineStr">
        <is>
          <t>Não</t>
        </is>
      </c>
    </row>
    <row r="2038">
      <c r="A2038" t="inlineStr">
        <is>
          <t>Frete de venda</t>
        </is>
      </c>
      <c r="B2038" t="inlineStr">
        <is>
          <t>2.01.02 Frete sobre Vendas</t>
        </is>
      </c>
      <c r="C2038" t="inlineStr">
        <is>
          <t>Antes de 2026</t>
        </is>
      </c>
      <c r="D2038" t="inlineStr">
        <is>
          <t>Antes de 2026</t>
        </is>
      </c>
      <c r="E2038" s="28" t="n">
        <v>45910</v>
      </c>
      <c r="F2038" t="inlineStr">
        <is>
          <t>CT-e</t>
        </is>
      </c>
      <c r="G2038" t="inlineStr">
        <is>
          <t>000005150</t>
        </is>
      </c>
      <c r="H2038" t="inlineStr">
        <is>
          <t>R&amp;R TRANSPORTE E LOGISTICA</t>
        </is>
      </c>
      <c r="J2038" s="29" t="n">
        <v>198.48</v>
      </c>
      <c r="K2038" s="29">
        <f>(1-ISNUMBER(SEARCH("556",M2038)))*(O2038*SUMIFS(Premissas!$C$5:$C$44,Premissas!$A$5:$A$44,$A2038,Premissas!$B$5:$B$44,$B2038)+P2038*SUMIFS(Premissas!$D$5:$D$44,Premissas!$A$5:$A$44,$A2038,Premissas!$B$5:$B$44,$B2038))+R2038*SUMIFS(Premissas!$E$5:$E$44,Premissas!$A$5:$A$44,$A2038,Premissas!$B$5:$B$44,$B2038)+S2038*SUMIFS(Premissas!$F$5:$F$44,Premissas!$A$5:$A$44,$A2038,Premissas!$B$5:$B$44,$B2038)</f>
        <v/>
      </c>
      <c r="L2038" s="29">
        <f>J2038-K2038</f>
        <v/>
      </c>
      <c r="M2038" t="inlineStr">
        <is>
          <t>1.350</t>
        </is>
      </c>
      <c r="N2038" t="inlineStr">
        <is>
          <t>Modalidade: 0 - Por conta do remetente | Parte: M N L FLORENTINO LTDA (47.068.852/0001-84)</t>
        </is>
      </c>
      <c r="O2038" s="29" t="n">
        <v>0</v>
      </c>
      <c r="P2038" s="29" t="n">
        <v>0</v>
      </c>
      <c r="Q2038" s="29" t="n">
        <v>0</v>
      </c>
      <c r="R2038" s="29" t="n">
        <v>0</v>
      </c>
      <c r="S2038" s="29" t="n">
        <v>0</v>
      </c>
      <c r="T2038" t="inlineStr">
        <is>
          <t>25250926975620000130570010000051501001701177</t>
        </is>
      </c>
      <c r="U2038" t="inlineStr">
        <is>
          <t>Não</t>
        </is>
      </c>
    </row>
    <row r="2039">
      <c r="A2039" t="inlineStr">
        <is>
          <t>Frete de venda</t>
        </is>
      </c>
      <c r="B2039" t="inlineStr">
        <is>
          <t>2.01.02 Frete sobre Vendas</t>
        </is>
      </c>
      <c r="C2039" t="inlineStr">
        <is>
          <t>Antes de 2026</t>
        </is>
      </c>
      <c r="D2039" t="inlineStr">
        <is>
          <t>Antes de 2026</t>
        </is>
      </c>
      <c r="E2039" s="28" t="n">
        <v>45911</v>
      </c>
      <c r="F2039" t="inlineStr">
        <is>
          <t>CT-e</t>
        </is>
      </c>
      <c r="G2039" t="inlineStr">
        <is>
          <t>000005158</t>
        </is>
      </c>
      <c r="H2039" t="inlineStr">
        <is>
          <t>R&amp;R TRANSPORTE E LOGISTICA</t>
        </is>
      </c>
      <c r="J2039" s="29" t="n">
        <v>30.73</v>
      </c>
      <c r="K2039" s="29">
        <f>(1-ISNUMBER(SEARCH("556",M2039)))*(O2039*SUMIFS(Premissas!$C$5:$C$44,Premissas!$A$5:$A$44,$A2039,Premissas!$B$5:$B$44,$B2039)+P2039*SUMIFS(Premissas!$D$5:$D$44,Premissas!$A$5:$A$44,$A2039,Premissas!$B$5:$B$44,$B2039))+R2039*SUMIFS(Premissas!$E$5:$E$44,Premissas!$A$5:$A$44,$A2039,Premissas!$B$5:$B$44,$B2039)+S2039*SUMIFS(Premissas!$F$5:$F$44,Premissas!$A$5:$A$44,$A2039,Premissas!$B$5:$B$44,$B2039)</f>
        <v/>
      </c>
      <c r="L2039" s="29">
        <f>J2039-K2039</f>
        <v/>
      </c>
      <c r="M2039" t="inlineStr">
        <is>
          <t>1.350</t>
        </is>
      </c>
      <c r="N2039" t="inlineStr">
        <is>
          <t>Modalidade: 0 - Por conta do remetente | Parte: L e J CARVALHO COMERCIO LTDA (29.169.636/0001-43)</t>
        </is>
      </c>
      <c r="O2039" s="29" t="n">
        <v>0</v>
      </c>
      <c r="P2039" s="29" t="n">
        <v>0</v>
      </c>
      <c r="Q2039" s="29" t="n">
        <v>0</v>
      </c>
      <c r="R2039" s="29" t="n">
        <v>0</v>
      </c>
      <c r="S2039" s="29" t="n">
        <v>0</v>
      </c>
      <c r="T2039" t="inlineStr">
        <is>
          <t>25250926975620000130570010000051581000130476</t>
        </is>
      </c>
      <c r="U2039" t="inlineStr">
        <is>
          <t>Não</t>
        </is>
      </c>
    </row>
    <row r="2040">
      <c r="A2040" t="inlineStr">
        <is>
          <t>Frete de venda</t>
        </is>
      </c>
      <c r="B2040" t="inlineStr">
        <is>
          <t>2.01.02 Frete sobre Vendas</t>
        </is>
      </c>
      <c r="C2040" t="inlineStr">
        <is>
          <t>Antes de 2026</t>
        </is>
      </c>
      <c r="D2040" t="inlineStr">
        <is>
          <t>Antes de 2026</t>
        </is>
      </c>
      <c r="E2040" s="28" t="n">
        <v>45911</v>
      </c>
      <c r="F2040" t="inlineStr">
        <is>
          <t>CT-e</t>
        </is>
      </c>
      <c r="G2040" t="inlineStr">
        <is>
          <t>000005159</t>
        </is>
      </c>
      <c r="H2040" t="inlineStr">
        <is>
          <t>R&amp;R TRANSPORTE E LOGISTICA</t>
        </is>
      </c>
      <c r="J2040" s="29" t="n">
        <v>23.48</v>
      </c>
      <c r="K2040" s="29">
        <f>(1-ISNUMBER(SEARCH("556",M2040)))*(O2040*SUMIFS(Premissas!$C$5:$C$44,Premissas!$A$5:$A$44,$A2040,Premissas!$B$5:$B$44,$B2040)+P2040*SUMIFS(Premissas!$D$5:$D$44,Premissas!$A$5:$A$44,$A2040,Premissas!$B$5:$B$44,$B2040))+R2040*SUMIFS(Premissas!$E$5:$E$44,Premissas!$A$5:$A$44,$A2040,Premissas!$B$5:$B$44,$B2040)+S2040*SUMIFS(Premissas!$F$5:$F$44,Premissas!$A$5:$A$44,$A2040,Premissas!$B$5:$B$44,$B2040)</f>
        <v/>
      </c>
      <c r="L2040" s="29">
        <f>J2040-K2040</f>
        <v/>
      </c>
      <c r="M2040" t="inlineStr">
        <is>
          <t>1.350</t>
        </is>
      </c>
      <c r="N2040" t="inlineStr">
        <is>
          <t>Modalidade: 0 - Por conta do remetente | Parte: A C F PINHEIRO (29.243.733/0001-39)</t>
        </is>
      </c>
      <c r="O2040" s="29" t="n">
        <v>0</v>
      </c>
      <c r="P2040" s="29" t="n">
        <v>0</v>
      </c>
      <c r="Q2040" s="29" t="n">
        <v>0</v>
      </c>
      <c r="R2040" s="29" t="n">
        <v>0</v>
      </c>
      <c r="S2040" s="29" t="n">
        <v>0</v>
      </c>
      <c r="T2040" t="inlineStr">
        <is>
          <t>25250926975620000130570010000051591000010559</t>
        </is>
      </c>
      <c r="U2040" t="inlineStr">
        <is>
          <t>Não</t>
        </is>
      </c>
    </row>
    <row r="2041">
      <c r="A2041" t="inlineStr">
        <is>
          <t>Frete de venda</t>
        </is>
      </c>
      <c r="B2041" t="inlineStr">
        <is>
          <t>2.01.02 Frete sobre Vendas</t>
        </is>
      </c>
      <c r="C2041" t="inlineStr">
        <is>
          <t>Antes de 2026</t>
        </is>
      </c>
      <c r="D2041" t="inlineStr">
        <is>
          <t>Antes de 2026</t>
        </is>
      </c>
      <c r="E2041" s="28" t="n">
        <v>45911</v>
      </c>
      <c r="F2041" t="inlineStr">
        <is>
          <t>CT-e</t>
        </is>
      </c>
      <c r="G2041" t="inlineStr">
        <is>
          <t>000005160</t>
        </is>
      </c>
      <c r="H2041" t="inlineStr">
        <is>
          <t>R&amp;R TRANSPORTE E LOGISTICA</t>
        </is>
      </c>
      <c r="J2041" s="29" t="n">
        <v>46.58</v>
      </c>
      <c r="K2041" s="29">
        <f>(1-ISNUMBER(SEARCH("556",M2041)))*(O2041*SUMIFS(Premissas!$C$5:$C$44,Premissas!$A$5:$A$44,$A2041,Premissas!$B$5:$B$44,$B2041)+P2041*SUMIFS(Premissas!$D$5:$D$44,Premissas!$A$5:$A$44,$A2041,Premissas!$B$5:$B$44,$B2041))+R2041*SUMIFS(Premissas!$E$5:$E$44,Premissas!$A$5:$A$44,$A2041,Premissas!$B$5:$B$44,$B2041)+S2041*SUMIFS(Premissas!$F$5:$F$44,Premissas!$A$5:$A$44,$A2041,Premissas!$B$5:$B$44,$B2041)</f>
        <v/>
      </c>
      <c r="L2041" s="29">
        <f>J2041-K2041</f>
        <v/>
      </c>
      <c r="M2041" t="inlineStr">
        <is>
          <t>1.350</t>
        </is>
      </c>
      <c r="N2041" t="inlineStr">
        <is>
          <t>Modalidade: 0 - Por conta do remetente | Parte: CANTINHO DISTRIBUIDORA LTDA (44.016.976/0001-28)</t>
        </is>
      </c>
      <c r="O2041" s="29" t="n">
        <v>0</v>
      </c>
      <c r="P2041" s="29" t="n">
        <v>0</v>
      </c>
      <c r="Q2041" s="29" t="n">
        <v>0</v>
      </c>
      <c r="R2041" s="29" t="n">
        <v>0</v>
      </c>
      <c r="S2041" s="29" t="n">
        <v>0</v>
      </c>
      <c r="T2041" t="inlineStr">
        <is>
          <t>25250926975620000130570010000051601000180633</t>
        </is>
      </c>
      <c r="U2041" t="inlineStr">
        <is>
          <t>Não</t>
        </is>
      </c>
    </row>
    <row r="2042">
      <c r="A2042" t="inlineStr">
        <is>
          <t>Frete de venda</t>
        </is>
      </c>
      <c r="B2042" t="inlineStr">
        <is>
          <t>2.01.02 Frete sobre Vendas</t>
        </is>
      </c>
      <c r="C2042" t="inlineStr">
        <is>
          <t>Antes de 2026</t>
        </is>
      </c>
      <c r="D2042" t="inlineStr">
        <is>
          <t>Antes de 2026</t>
        </is>
      </c>
      <c r="E2042" s="28" t="n">
        <v>45911</v>
      </c>
      <c r="F2042" t="inlineStr">
        <is>
          <t>CT-e</t>
        </is>
      </c>
      <c r="G2042" t="inlineStr">
        <is>
          <t>000005161</t>
        </is>
      </c>
      <c r="H2042" t="inlineStr">
        <is>
          <t>R&amp;R TRANSPORTE E LOGISTICA</t>
        </is>
      </c>
      <c r="J2042" s="29" t="n">
        <v>34.11</v>
      </c>
      <c r="K2042" s="29">
        <f>(1-ISNUMBER(SEARCH("556",M2042)))*(O2042*SUMIFS(Premissas!$C$5:$C$44,Premissas!$A$5:$A$44,$A2042,Premissas!$B$5:$B$44,$B2042)+P2042*SUMIFS(Premissas!$D$5:$D$44,Premissas!$A$5:$A$44,$A2042,Premissas!$B$5:$B$44,$B2042))+R2042*SUMIFS(Premissas!$E$5:$E$44,Premissas!$A$5:$A$44,$A2042,Premissas!$B$5:$B$44,$B2042)+S2042*SUMIFS(Premissas!$F$5:$F$44,Premissas!$A$5:$A$44,$A2042,Premissas!$B$5:$B$44,$B2042)</f>
        <v/>
      </c>
      <c r="L2042" s="29">
        <f>J2042-K2042</f>
        <v/>
      </c>
      <c r="M2042" t="inlineStr">
        <is>
          <t>1.350</t>
        </is>
      </c>
      <c r="N2042" t="inlineStr">
        <is>
          <t>Modalidade: 0 - Por conta do remetente | Parte: LIDERPLAST COMERCIO LTDA (41.684.710/0001-65)</t>
        </is>
      </c>
      <c r="O2042" s="29" t="n">
        <v>0</v>
      </c>
      <c r="P2042" s="29" t="n">
        <v>0</v>
      </c>
      <c r="Q2042" s="29" t="n">
        <v>0</v>
      </c>
      <c r="R2042" s="29" t="n">
        <v>0</v>
      </c>
      <c r="S2042" s="29" t="n">
        <v>0</v>
      </c>
      <c r="T2042" t="inlineStr">
        <is>
          <t>25250926975620000130570010000051611000150715</t>
        </is>
      </c>
      <c r="U2042" t="inlineStr">
        <is>
          <t>Não</t>
        </is>
      </c>
    </row>
    <row r="2043">
      <c r="A2043" t="inlineStr">
        <is>
          <t>Frete de venda</t>
        </is>
      </c>
      <c r="B2043" t="inlineStr">
        <is>
          <t>2.01.02 Frete sobre Vendas</t>
        </is>
      </c>
      <c r="C2043" t="inlineStr">
        <is>
          <t>Antes de 2026</t>
        </is>
      </c>
      <c r="D2043" t="inlineStr">
        <is>
          <t>Antes de 2026</t>
        </is>
      </c>
      <c r="E2043" s="28" t="n">
        <v>45911</v>
      </c>
      <c r="F2043" t="inlineStr">
        <is>
          <t>CT-e</t>
        </is>
      </c>
      <c r="G2043" t="inlineStr">
        <is>
          <t>000005162</t>
        </is>
      </c>
      <c r="H2043" t="inlineStr">
        <is>
          <t>R&amp;R TRANSPORTE E LOGISTICA</t>
        </is>
      </c>
      <c r="J2043" s="29" t="n">
        <v>30.97</v>
      </c>
      <c r="K2043" s="29">
        <f>(1-ISNUMBER(SEARCH("556",M2043)))*(O2043*SUMIFS(Premissas!$C$5:$C$44,Premissas!$A$5:$A$44,$A2043,Premissas!$B$5:$B$44,$B2043)+P2043*SUMIFS(Premissas!$D$5:$D$44,Premissas!$A$5:$A$44,$A2043,Premissas!$B$5:$B$44,$B2043))+R2043*SUMIFS(Premissas!$E$5:$E$44,Premissas!$A$5:$A$44,$A2043,Premissas!$B$5:$B$44,$B2043)+S2043*SUMIFS(Premissas!$F$5:$F$44,Premissas!$A$5:$A$44,$A2043,Premissas!$B$5:$B$44,$B2043)</f>
        <v/>
      </c>
      <c r="L2043" s="29">
        <f>J2043-K2043</f>
        <v/>
      </c>
      <c r="M2043" t="inlineStr">
        <is>
          <t>1.350</t>
        </is>
      </c>
      <c r="N2043" t="inlineStr">
        <is>
          <t>Modalidade: 0 - Por conta do remetente | Parte: L M COMERCIO DE PLASTICOS LTDA (54.203.234/0001-65)</t>
        </is>
      </c>
      <c r="O2043" s="29" t="n">
        <v>0</v>
      </c>
      <c r="P2043" s="29" t="n">
        <v>0</v>
      </c>
      <c r="Q2043" s="29" t="n">
        <v>0</v>
      </c>
      <c r="R2043" s="29" t="n">
        <v>0</v>
      </c>
      <c r="S2043" s="29" t="n">
        <v>0</v>
      </c>
      <c r="T2043" t="inlineStr">
        <is>
          <t>25250926975620000130570010000051621000120791</t>
        </is>
      </c>
      <c r="U2043" t="inlineStr">
        <is>
          <t>Não</t>
        </is>
      </c>
    </row>
    <row r="2044">
      <c r="A2044" t="inlineStr">
        <is>
          <t>Frete de venda</t>
        </is>
      </c>
      <c r="B2044" t="inlineStr">
        <is>
          <t>2.01.02 Frete sobre Vendas</t>
        </is>
      </c>
      <c r="C2044" t="inlineStr">
        <is>
          <t>Antes de 2026</t>
        </is>
      </c>
      <c r="D2044" t="inlineStr">
        <is>
          <t>Antes de 2026</t>
        </is>
      </c>
      <c r="E2044" s="28" t="n">
        <v>45911</v>
      </c>
      <c r="F2044" t="inlineStr">
        <is>
          <t>CT-e</t>
        </is>
      </c>
      <c r="G2044" t="inlineStr">
        <is>
          <t>000005163</t>
        </is>
      </c>
      <c r="H2044" t="inlineStr">
        <is>
          <t>R&amp;R TRANSPORTE E LOGISTICA</t>
        </is>
      </c>
      <c r="J2044" s="29" t="n">
        <v>33.56</v>
      </c>
      <c r="K2044" s="29">
        <f>(1-ISNUMBER(SEARCH("556",M2044)))*(O2044*SUMIFS(Premissas!$C$5:$C$44,Premissas!$A$5:$A$44,$A2044,Premissas!$B$5:$B$44,$B2044)+P2044*SUMIFS(Premissas!$D$5:$D$44,Premissas!$A$5:$A$44,$A2044,Premissas!$B$5:$B$44,$B2044))+R2044*SUMIFS(Premissas!$E$5:$E$44,Premissas!$A$5:$A$44,$A2044,Premissas!$B$5:$B$44,$B2044)+S2044*SUMIFS(Premissas!$F$5:$F$44,Premissas!$A$5:$A$44,$A2044,Premissas!$B$5:$B$44,$B2044)</f>
        <v/>
      </c>
      <c r="L2044" s="29">
        <f>J2044-K2044</f>
        <v/>
      </c>
      <c r="M2044" t="inlineStr">
        <is>
          <t>1.350</t>
        </is>
      </c>
      <c r="N2044" t="inlineStr">
        <is>
          <t>Modalidade: 0 - Por conta do remetente | Parte: PORTUGAL COMERCIO DE PRODUTOS DESCARTAVEIS LTDA (83.349.563/0003-89)</t>
        </is>
      </c>
      <c r="O2044" s="29" t="n">
        <v>0</v>
      </c>
      <c r="P2044" s="29" t="n">
        <v>0</v>
      </c>
      <c r="Q2044" s="29" t="n">
        <v>0</v>
      </c>
      <c r="R2044" s="29" t="n">
        <v>0</v>
      </c>
      <c r="S2044" s="29" t="n">
        <v>0</v>
      </c>
      <c r="T2044" t="inlineStr">
        <is>
          <t>25250926975620000130570010000051631001100872</t>
        </is>
      </c>
      <c r="U2044" t="inlineStr">
        <is>
          <t>Não</t>
        </is>
      </c>
    </row>
    <row r="2045">
      <c r="A2045" t="inlineStr">
        <is>
          <t>Frete de venda</t>
        </is>
      </c>
      <c r="B2045" t="inlineStr">
        <is>
          <t>2.01.02 Frete sobre Vendas</t>
        </is>
      </c>
      <c r="C2045" t="inlineStr">
        <is>
          <t>Antes de 2026</t>
        </is>
      </c>
      <c r="D2045" t="inlineStr">
        <is>
          <t>Antes de 2026</t>
        </is>
      </c>
      <c r="E2045" s="28" t="n">
        <v>45911</v>
      </c>
      <c r="F2045" t="inlineStr">
        <is>
          <t>CT-e</t>
        </is>
      </c>
      <c r="G2045" t="inlineStr">
        <is>
          <t>000005164</t>
        </is>
      </c>
      <c r="H2045" t="inlineStr">
        <is>
          <t>R&amp;R TRANSPORTE E LOGISTICA</t>
        </is>
      </c>
      <c r="J2045" s="29" t="n">
        <v>20.6</v>
      </c>
      <c r="K2045" s="29">
        <f>(1-ISNUMBER(SEARCH("556",M2045)))*(O2045*SUMIFS(Premissas!$C$5:$C$44,Premissas!$A$5:$A$44,$A2045,Premissas!$B$5:$B$44,$B2045)+P2045*SUMIFS(Premissas!$D$5:$D$44,Premissas!$A$5:$A$44,$A2045,Premissas!$B$5:$B$44,$B2045))+R2045*SUMIFS(Premissas!$E$5:$E$44,Premissas!$A$5:$A$44,$A2045,Premissas!$B$5:$B$44,$B2045)+S2045*SUMIFS(Premissas!$F$5:$F$44,Premissas!$A$5:$A$44,$A2045,Premissas!$B$5:$B$44,$B2045)</f>
        <v/>
      </c>
      <c r="L2045" s="29">
        <f>J2045-K2045</f>
        <v/>
      </c>
      <c r="M2045" t="inlineStr">
        <is>
          <t>1.350</t>
        </is>
      </c>
      <c r="N2045" t="inlineStr">
        <is>
          <t>Modalidade: 0 - Por conta do remetente | Parte: M. A. RABELO SARAIVA COMERCIO (17.580.120/0001-08)</t>
        </is>
      </c>
      <c r="O2045" s="29" t="n">
        <v>0</v>
      </c>
      <c r="P2045" s="29" t="n">
        <v>0</v>
      </c>
      <c r="Q2045" s="29" t="n">
        <v>0</v>
      </c>
      <c r="R2045" s="29" t="n">
        <v>0</v>
      </c>
      <c r="S2045" s="29" t="n">
        <v>0</v>
      </c>
      <c r="T2045" t="inlineStr">
        <is>
          <t>25250926975620000130570010000051641000170955</t>
        </is>
      </c>
      <c r="U2045" t="inlineStr">
        <is>
          <t>Não</t>
        </is>
      </c>
    </row>
    <row r="2046">
      <c r="A2046" t="inlineStr">
        <is>
          <t>Frete de venda</t>
        </is>
      </c>
      <c r="B2046" t="inlineStr">
        <is>
          <t>2.01.02 Frete sobre Vendas</t>
        </is>
      </c>
      <c r="C2046" t="inlineStr">
        <is>
          <t>Antes de 2026</t>
        </is>
      </c>
      <c r="D2046" t="inlineStr">
        <is>
          <t>Antes de 2026</t>
        </is>
      </c>
      <c r="E2046" s="28" t="n">
        <v>45911</v>
      </c>
      <c r="F2046" t="inlineStr">
        <is>
          <t>CT-e</t>
        </is>
      </c>
      <c r="G2046" t="inlineStr">
        <is>
          <t>000005165</t>
        </is>
      </c>
      <c r="H2046" t="inlineStr">
        <is>
          <t>R&amp;R TRANSPORTE E LOGISTICA</t>
        </is>
      </c>
      <c r="J2046" s="29" t="n">
        <v>34.08</v>
      </c>
      <c r="K2046" s="29">
        <f>(1-ISNUMBER(SEARCH("556",M2046)))*(O2046*SUMIFS(Premissas!$C$5:$C$44,Premissas!$A$5:$A$44,$A2046,Premissas!$B$5:$B$44,$B2046)+P2046*SUMIFS(Premissas!$D$5:$D$44,Premissas!$A$5:$A$44,$A2046,Premissas!$B$5:$B$44,$B2046))+R2046*SUMIFS(Premissas!$E$5:$E$44,Premissas!$A$5:$A$44,$A2046,Premissas!$B$5:$B$44,$B2046)+S2046*SUMIFS(Premissas!$F$5:$F$44,Premissas!$A$5:$A$44,$A2046,Premissas!$B$5:$B$44,$B2046)</f>
        <v/>
      </c>
      <c r="L2046" s="29">
        <f>J2046-K2046</f>
        <v/>
      </c>
      <c r="M2046" t="inlineStr">
        <is>
          <t>1.350</t>
        </is>
      </c>
      <c r="N2046" t="inlineStr">
        <is>
          <t>Modalidade: 0 - Por conta do remetente | Parte: PORTUGAL COMERCIO DE PRODUTOS DESCARTAVEIS LTDA (83.349.563/0001-17)</t>
        </is>
      </c>
      <c r="O2046" s="29" t="n">
        <v>0</v>
      </c>
      <c r="P2046" s="29" t="n">
        <v>0</v>
      </c>
      <c r="Q2046" s="29" t="n">
        <v>0</v>
      </c>
      <c r="R2046" s="29" t="n">
        <v>0</v>
      </c>
      <c r="S2046" s="29" t="n">
        <v>0</v>
      </c>
      <c r="T2046" t="inlineStr">
        <is>
          <t>25250926975620000130570010000051651001401036</t>
        </is>
      </c>
      <c r="U2046" t="inlineStr">
        <is>
          <t>Não</t>
        </is>
      </c>
    </row>
    <row r="2047">
      <c r="A2047" t="inlineStr">
        <is>
          <t>Frete de venda</t>
        </is>
      </c>
      <c r="B2047" t="inlineStr">
        <is>
          <t>2.01.02 Frete sobre Vendas</t>
        </is>
      </c>
      <c r="C2047" t="inlineStr">
        <is>
          <t>Antes de 2026</t>
        </is>
      </c>
      <c r="D2047" t="inlineStr">
        <is>
          <t>Antes de 2026</t>
        </is>
      </c>
      <c r="E2047" s="28" t="n">
        <v>45911</v>
      </c>
      <c r="F2047" t="inlineStr">
        <is>
          <t>CT-e</t>
        </is>
      </c>
      <c r="G2047" t="inlineStr">
        <is>
          <t>000005166</t>
        </is>
      </c>
      <c r="H2047" t="inlineStr">
        <is>
          <t>R&amp;R TRANSPORTE E LOGISTICA</t>
        </is>
      </c>
      <c r="J2047" s="29" t="n">
        <v>38.89</v>
      </c>
      <c r="K2047" s="29">
        <f>(1-ISNUMBER(SEARCH("556",M2047)))*(O2047*SUMIFS(Premissas!$C$5:$C$44,Premissas!$A$5:$A$44,$A2047,Premissas!$B$5:$B$44,$B2047)+P2047*SUMIFS(Premissas!$D$5:$D$44,Premissas!$A$5:$A$44,$A2047,Premissas!$B$5:$B$44,$B2047))+R2047*SUMIFS(Premissas!$E$5:$E$44,Premissas!$A$5:$A$44,$A2047,Premissas!$B$5:$B$44,$B2047)+S2047*SUMIFS(Premissas!$F$5:$F$44,Premissas!$A$5:$A$44,$A2047,Premissas!$B$5:$B$44,$B2047)</f>
        <v/>
      </c>
      <c r="L2047" s="29">
        <f>J2047-K2047</f>
        <v/>
      </c>
      <c r="M2047" t="inlineStr">
        <is>
          <t>1.350</t>
        </is>
      </c>
      <c r="N2047" t="inlineStr">
        <is>
          <t>Modalidade: 0 - Por conta do remetente | Parte: JAMES L. H. TOME e CIA LTDA (16.965.024/0011-97)</t>
        </is>
      </c>
      <c r="O2047" s="29" t="n">
        <v>0</v>
      </c>
      <c r="P2047" s="29" t="n">
        <v>0</v>
      </c>
      <c r="Q2047" s="29" t="n">
        <v>0</v>
      </c>
      <c r="R2047" s="29" t="n">
        <v>0</v>
      </c>
      <c r="S2047" s="29" t="n">
        <v>0</v>
      </c>
      <c r="T2047" t="inlineStr">
        <is>
          <t>25250926975620000130570010000051661001101110</t>
        </is>
      </c>
      <c r="U2047" t="inlineStr">
        <is>
          <t>Não</t>
        </is>
      </c>
    </row>
    <row r="2048">
      <c r="A2048" t="inlineStr">
        <is>
          <t>Frete de venda</t>
        </is>
      </c>
      <c r="B2048" t="inlineStr">
        <is>
          <t>2.01.02 Frete sobre Vendas</t>
        </is>
      </c>
      <c r="C2048" t="inlineStr">
        <is>
          <t>Antes de 2026</t>
        </is>
      </c>
      <c r="D2048" t="inlineStr">
        <is>
          <t>Antes de 2026</t>
        </is>
      </c>
      <c r="E2048" s="28" t="n">
        <v>45911</v>
      </c>
      <c r="F2048" t="inlineStr">
        <is>
          <t>CT-e</t>
        </is>
      </c>
      <c r="G2048" t="inlineStr">
        <is>
          <t>000005167</t>
        </is>
      </c>
      <c r="H2048" t="inlineStr">
        <is>
          <t>R&amp;R TRANSPORTE E LOGISTICA</t>
        </is>
      </c>
      <c r="J2048" s="29" t="n">
        <v>19.65</v>
      </c>
      <c r="K2048" s="29">
        <f>(1-ISNUMBER(SEARCH("556",M2048)))*(O2048*SUMIFS(Premissas!$C$5:$C$44,Premissas!$A$5:$A$44,$A2048,Premissas!$B$5:$B$44,$B2048)+P2048*SUMIFS(Premissas!$D$5:$D$44,Premissas!$A$5:$A$44,$A2048,Premissas!$B$5:$B$44,$B2048))+R2048*SUMIFS(Premissas!$E$5:$E$44,Premissas!$A$5:$A$44,$A2048,Premissas!$B$5:$B$44,$B2048)+S2048*SUMIFS(Premissas!$F$5:$F$44,Premissas!$A$5:$A$44,$A2048,Premissas!$B$5:$B$44,$B2048)</f>
        <v/>
      </c>
      <c r="L2048" s="29">
        <f>J2048-K2048</f>
        <v/>
      </c>
      <c r="M2048" t="inlineStr">
        <is>
          <t>1.350</t>
        </is>
      </c>
      <c r="N2048" t="inlineStr">
        <is>
          <t>Modalidade: 0 - Por conta do remetente | Parte: M. A. DE A. LIMA CARDOSO (34.425.813/0001-45)</t>
        </is>
      </c>
      <c r="O2048" s="29" t="n">
        <v>0</v>
      </c>
      <c r="P2048" s="29" t="n">
        <v>0</v>
      </c>
      <c r="Q2048" s="29" t="n">
        <v>0</v>
      </c>
      <c r="R2048" s="29" t="n">
        <v>0</v>
      </c>
      <c r="S2048" s="29" t="n">
        <v>0</v>
      </c>
      <c r="T2048" t="inlineStr">
        <is>
          <t>25250926975620000130570010000051671001901190</t>
        </is>
      </c>
      <c r="U2048" t="inlineStr">
        <is>
          <t>Não</t>
        </is>
      </c>
    </row>
    <row r="2049">
      <c r="A2049" t="inlineStr">
        <is>
          <t>Frete de venda</t>
        </is>
      </c>
      <c r="B2049" t="inlineStr">
        <is>
          <t>2.01.02 Frete sobre Vendas</t>
        </is>
      </c>
      <c r="C2049" t="inlineStr">
        <is>
          <t>Antes de 2026</t>
        </is>
      </c>
      <c r="D2049" t="inlineStr">
        <is>
          <t>Antes de 2026</t>
        </is>
      </c>
      <c r="E2049" s="28" t="n">
        <v>45911</v>
      </c>
      <c r="F2049" t="inlineStr">
        <is>
          <t>CT-e</t>
        </is>
      </c>
      <c r="G2049" t="inlineStr">
        <is>
          <t>000005169</t>
        </is>
      </c>
      <c r="H2049" t="inlineStr">
        <is>
          <t>R&amp;R TRANSPORTE E LOGISTICA</t>
        </is>
      </c>
      <c r="J2049" s="29" t="n">
        <v>24.06</v>
      </c>
      <c r="K2049" s="29">
        <f>(1-ISNUMBER(SEARCH("556",M2049)))*(O2049*SUMIFS(Premissas!$C$5:$C$44,Premissas!$A$5:$A$44,$A2049,Premissas!$B$5:$B$44,$B2049)+P2049*SUMIFS(Premissas!$D$5:$D$44,Premissas!$A$5:$A$44,$A2049,Premissas!$B$5:$B$44,$B2049))+R2049*SUMIFS(Premissas!$E$5:$E$44,Premissas!$A$5:$A$44,$A2049,Premissas!$B$5:$B$44,$B2049)+S2049*SUMIFS(Premissas!$F$5:$F$44,Premissas!$A$5:$A$44,$A2049,Premissas!$B$5:$B$44,$B2049)</f>
        <v/>
      </c>
      <c r="L2049" s="29">
        <f>J2049-K2049</f>
        <v/>
      </c>
      <c r="M2049" t="inlineStr">
        <is>
          <t>1.350</t>
        </is>
      </c>
      <c r="N2049" t="inlineStr">
        <is>
          <t>Modalidade: 0 - Por conta do remetente | Parte: LIDER INDUSTRIA E COMERCIO LTDA (45.762.979/0001-73)</t>
        </is>
      </c>
      <c r="O2049" s="29" t="n">
        <v>0</v>
      </c>
      <c r="P2049" s="29" t="n">
        <v>0</v>
      </c>
      <c r="Q2049" s="29" t="n">
        <v>0</v>
      </c>
      <c r="R2049" s="29" t="n">
        <v>0</v>
      </c>
      <c r="S2049" s="29" t="n">
        <v>0</v>
      </c>
      <c r="T2049" t="inlineStr">
        <is>
          <t>25250926975620000130570010000051691000170625</t>
        </is>
      </c>
      <c r="U2049" t="inlineStr">
        <is>
          <t>Não</t>
        </is>
      </c>
    </row>
    <row r="2050">
      <c r="A2050" t="inlineStr">
        <is>
          <t>Frete de venda</t>
        </is>
      </c>
      <c r="B2050" t="inlineStr">
        <is>
          <t>2.01.02 Frete sobre Vendas</t>
        </is>
      </c>
      <c r="C2050" t="inlineStr">
        <is>
          <t>Antes de 2026</t>
        </is>
      </c>
      <c r="D2050" t="inlineStr">
        <is>
          <t>Antes de 2026</t>
        </is>
      </c>
      <c r="E2050" s="28" t="n">
        <v>45911</v>
      </c>
      <c r="F2050" t="inlineStr">
        <is>
          <t>CT-e</t>
        </is>
      </c>
      <c r="G2050" t="inlineStr">
        <is>
          <t>000005170</t>
        </is>
      </c>
      <c r="H2050" t="inlineStr">
        <is>
          <t>R&amp;R TRANSPORTE E LOGISTICA</t>
        </is>
      </c>
      <c r="J2050" s="29" t="n">
        <v>33.68</v>
      </c>
      <c r="K2050" s="29">
        <f>(1-ISNUMBER(SEARCH("556",M2050)))*(O2050*SUMIFS(Premissas!$C$5:$C$44,Premissas!$A$5:$A$44,$A2050,Premissas!$B$5:$B$44,$B2050)+P2050*SUMIFS(Premissas!$D$5:$D$44,Premissas!$A$5:$A$44,$A2050,Premissas!$B$5:$B$44,$B2050))+R2050*SUMIFS(Premissas!$E$5:$E$44,Premissas!$A$5:$A$44,$A2050,Premissas!$B$5:$B$44,$B2050)+S2050*SUMIFS(Premissas!$F$5:$F$44,Premissas!$A$5:$A$44,$A2050,Premissas!$B$5:$B$44,$B2050)</f>
        <v/>
      </c>
      <c r="L2050" s="29">
        <f>J2050-K2050</f>
        <v/>
      </c>
      <c r="M2050" t="inlineStr">
        <is>
          <t>1.350</t>
        </is>
      </c>
      <c r="N2050" t="inlineStr">
        <is>
          <t>Modalidade: 0 - Por conta do remetente | Parte: POPULAR COMERCIO DE MERCADORIAS EM GERAL LTDA (32.323.706/0001-80)</t>
        </is>
      </c>
      <c r="O2050" s="29" t="n">
        <v>0</v>
      </c>
      <c r="P2050" s="29" t="n">
        <v>0</v>
      </c>
      <c r="Q2050" s="29" t="n">
        <v>0</v>
      </c>
      <c r="R2050" s="29" t="n">
        <v>0</v>
      </c>
      <c r="S2050" s="29" t="n">
        <v>0</v>
      </c>
      <c r="T2050" t="inlineStr">
        <is>
          <t>25250926975620000130570010000051701000140700</t>
        </is>
      </c>
      <c r="U2050" t="inlineStr">
        <is>
          <t>Não</t>
        </is>
      </c>
    </row>
    <row r="2051">
      <c r="A2051" t="inlineStr">
        <is>
          <t>Frete de venda</t>
        </is>
      </c>
      <c r="B2051" t="inlineStr">
        <is>
          <t>2.01.02 Frete sobre Vendas</t>
        </is>
      </c>
      <c r="C2051" t="inlineStr">
        <is>
          <t>Antes de 2026</t>
        </is>
      </c>
      <c r="D2051" t="inlineStr">
        <is>
          <t>Antes de 2026</t>
        </is>
      </c>
      <c r="E2051" s="28" t="n">
        <v>45911</v>
      </c>
      <c r="F2051" t="inlineStr">
        <is>
          <t>CT-e</t>
        </is>
      </c>
      <c r="G2051" t="inlineStr">
        <is>
          <t>000005171</t>
        </is>
      </c>
      <c r="H2051" t="inlineStr">
        <is>
          <t>R&amp;R TRANSPORTE E LOGISTICA</t>
        </is>
      </c>
      <c r="J2051" s="29" t="n">
        <v>19.32</v>
      </c>
      <c r="K2051" s="29">
        <f>(1-ISNUMBER(SEARCH("556",M2051)))*(O2051*SUMIFS(Premissas!$C$5:$C$44,Premissas!$A$5:$A$44,$A2051,Premissas!$B$5:$B$44,$B2051)+P2051*SUMIFS(Premissas!$D$5:$D$44,Premissas!$A$5:$A$44,$A2051,Premissas!$B$5:$B$44,$B2051))+R2051*SUMIFS(Premissas!$E$5:$E$44,Premissas!$A$5:$A$44,$A2051,Premissas!$B$5:$B$44,$B2051)+S2051*SUMIFS(Premissas!$F$5:$F$44,Premissas!$A$5:$A$44,$A2051,Premissas!$B$5:$B$44,$B2051)</f>
        <v/>
      </c>
      <c r="L2051" s="29">
        <f>J2051-K2051</f>
        <v/>
      </c>
      <c r="M2051" t="inlineStr">
        <is>
          <t>1.350</t>
        </is>
      </c>
      <c r="N2051" t="inlineStr">
        <is>
          <t>Modalidade: 0 - Por conta do remetente | Parte: L. LIMA SA LTDA (60.921.662/0001-26)</t>
        </is>
      </c>
      <c r="O2051" s="29" t="n">
        <v>0</v>
      </c>
      <c r="P2051" s="29" t="n">
        <v>0</v>
      </c>
      <c r="Q2051" s="29" t="n">
        <v>0</v>
      </c>
      <c r="R2051" s="29" t="n">
        <v>0</v>
      </c>
      <c r="S2051" s="29" t="n">
        <v>0</v>
      </c>
      <c r="T2051" t="inlineStr">
        <is>
          <t>25250926975620000130570010000051711000110787</t>
        </is>
      </c>
      <c r="U2051" t="inlineStr">
        <is>
          <t>Não</t>
        </is>
      </c>
    </row>
    <row r="2052">
      <c r="A2052" t="inlineStr">
        <is>
          <t>Frete de venda</t>
        </is>
      </c>
      <c r="B2052" t="inlineStr">
        <is>
          <t>2.01.02 Frete sobre Vendas</t>
        </is>
      </c>
      <c r="C2052" t="inlineStr">
        <is>
          <t>Antes de 2026</t>
        </is>
      </c>
      <c r="D2052" t="inlineStr">
        <is>
          <t>Antes de 2026</t>
        </is>
      </c>
      <c r="E2052" s="28" t="n">
        <v>45911</v>
      </c>
      <c r="F2052" t="inlineStr">
        <is>
          <t>CT-e</t>
        </is>
      </c>
      <c r="G2052" t="inlineStr">
        <is>
          <t>000005172</t>
        </is>
      </c>
      <c r="H2052" t="inlineStr">
        <is>
          <t>R&amp;R TRANSPORTE E LOGISTICA</t>
        </is>
      </c>
      <c r="J2052" s="29" t="n">
        <v>66.43000000000001</v>
      </c>
      <c r="K2052" s="29">
        <f>(1-ISNUMBER(SEARCH("556",M2052)))*(O2052*SUMIFS(Premissas!$C$5:$C$44,Premissas!$A$5:$A$44,$A2052,Premissas!$B$5:$B$44,$B2052)+P2052*SUMIFS(Premissas!$D$5:$D$44,Premissas!$A$5:$A$44,$A2052,Premissas!$B$5:$B$44,$B2052))+R2052*SUMIFS(Premissas!$E$5:$E$44,Premissas!$A$5:$A$44,$A2052,Premissas!$B$5:$B$44,$B2052)+S2052*SUMIFS(Premissas!$F$5:$F$44,Premissas!$A$5:$A$44,$A2052,Premissas!$B$5:$B$44,$B2052)</f>
        <v/>
      </c>
      <c r="L2052" s="29">
        <f>J2052-K2052</f>
        <v/>
      </c>
      <c r="M2052" t="inlineStr">
        <is>
          <t>1.350</t>
        </is>
      </c>
      <c r="N2052" t="inlineStr">
        <is>
          <t>Modalidade: 0 - Por conta do remetente | Parte: JAMES L. H. TOME e CIA LTDA (16.965.024/0002-04)</t>
        </is>
      </c>
      <c r="O2052" s="29" t="n">
        <v>0</v>
      </c>
      <c r="P2052" s="29" t="n">
        <v>0</v>
      </c>
      <c r="Q2052" s="29" t="n">
        <v>0</v>
      </c>
      <c r="R2052" s="29" t="n">
        <v>0</v>
      </c>
      <c r="S2052" s="29" t="n">
        <v>0</v>
      </c>
      <c r="T2052" t="inlineStr">
        <is>
          <t>25250926975620000130570010000051721000190869</t>
        </is>
      </c>
      <c r="U2052" t="inlineStr">
        <is>
          <t>Não</t>
        </is>
      </c>
    </row>
    <row r="2053">
      <c r="A2053" t="inlineStr">
        <is>
          <t>Frete de venda</t>
        </is>
      </c>
      <c r="B2053" t="inlineStr">
        <is>
          <t>2.01.02 Frete sobre Vendas</t>
        </is>
      </c>
      <c r="C2053" t="inlineStr">
        <is>
          <t>Antes de 2026</t>
        </is>
      </c>
      <c r="D2053" t="inlineStr">
        <is>
          <t>Antes de 2026</t>
        </is>
      </c>
      <c r="E2053" s="28" t="n">
        <v>45913</v>
      </c>
      <c r="F2053" t="inlineStr">
        <is>
          <t>CT-e</t>
        </is>
      </c>
      <c r="G2053" t="inlineStr">
        <is>
          <t>000005173</t>
        </is>
      </c>
      <c r="H2053" t="inlineStr">
        <is>
          <t>R&amp;R TRANSPORTE E LOGISTICA</t>
        </is>
      </c>
      <c r="J2053" s="29" t="n">
        <v>164.77</v>
      </c>
      <c r="K2053" s="29">
        <f>(1-ISNUMBER(SEARCH("556",M2053)))*(O2053*SUMIFS(Premissas!$C$5:$C$44,Premissas!$A$5:$A$44,$A2053,Premissas!$B$5:$B$44,$B2053)+P2053*SUMIFS(Premissas!$D$5:$D$44,Premissas!$A$5:$A$44,$A2053,Premissas!$B$5:$B$44,$B2053))+R2053*SUMIFS(Premissas!$E$5:$E$44,Premissas!$A$5:$A$44,$A2053,Premissas!$B$5:$B$44,$B2053)+S2053*SUMIFS(Premissas!$F$5:$F$44,Premissas!$A$5:$A$44,$A2053,Premissas!$B$5:$B$44,$B2053)</f>
        <v/>
      </c>
      <c r="L2053" s="29">
        <f>J2053-K2053</f>
        <v/>
      </c>
      <c r="M2053" t="inlineStr">
        <is>
          <t>1.350</t>
        </is>
      </c>
      <c r="N2053" t="inlineStr">
        <is>
          <t>Modalidade: 0 - Por conta do remetente | Parte: H B COMERCIO DE EMBALAGENS LTDA (05.488.166/0001-12)</t>
        </is>
      </c>
      <c r="O2053" s="29" t="n">
        <v>0</v>
      </c>
      <c r="P2053" s="29" t="n">
        <v>0</v>
      </c>
      <c r="Q2053" s="29" t="n">
        <v>0</v>
      </c>
      <c r="R2053" s="29" t="n">
        <v>0</v>
      </c>
      <c r="S2053" s="29" t="n">
        <v>0</v>
      </c>
      <c r="T2053" t="inlineStr">
        <is>
          <t>25250926975620000130570010000051731000160940</t>
        </is>
      </c>
      <c r="U2053" t="inlineStr">
        <is>
          <t>Não</t>
        </is>
      </c>
    </row>
    <row r="2054">
      <c r="A2054" t="inlineStr">
        <is>
          <t>Frete de venda</t>
        </is>
      </c>
      <c r="B2054" t="inlineStr">
        <is>
          <t>2.01.02 Frete sobre Vendas</t>
        </is>
      </c>
      <c r="C2054" t="inlineStr">
        <is>
          <t>Antes de 2026</t>
        </is>
      </c>
      <c r="D2054" t="inlineStr">
        <is>
          <t>Antes de 2026</t>
        </is>
      </c>
      <c r="E2054" s="28" t="n">
        <v>45913</v>
      </c>
      <c r="F2054" t="inlineStr">
        <is>
          <t>CT-e</t>
        </is>
      </c>
      <c r="G2054" t="inlineStr">
        <is>
          <t>000005174</t>
        </is>
      </c>
      <c r="H2054" t="inlineStr">
        <is>
          <t>R&amp;R TRANSPORTE E LOGISTICA</t>
        </is>
      </c>
      <c r="J2054" s="29" t="n">
        <v>167.53</v>
      </c>
      <c r="K2054" s="29">
        <f>(1-ISNUMBER(SEARCH("556",M2054)))*(O2054*SUMIFS(Premissas!$C$5:$C$44,Premissas!$A$5:$A$44,$A2054,Premissas!$B$5:$B$44,$B2054)+P2054*SUMIFS(Premissas!$D$5:$D$44,Premissas!$A$5:$A$44,$A2054,Premissas!$B$5:$B$44,$B2054))+R2054*SUMIFS(Premissas!$E$5:$E$44,Premissas!$A$5:$A$44,$A2054,Premissas!$B$5:$B$44,$B2054)+S2054*SUMIFS(Premissas!$F$5:$F$44,Premissas!$A$5:$A$44,$A2054,Premissas!$B$5:$B$44,$B2054)</f>
        <v/>
      </c>
      <c r="L2054" s="29">
        <f>J2054-K2054</f>
        <v/>
      </c>
      <c r="M2054" t="inlineStr">
        <is>
          <t>1.350</t>
        </is>
      </c>
      <c r="N2054" t="inlineStr">
        <is>
          <t>Modalidade: 0 - Por conta do remetente | Parte: BRAGA e BARCELOS LTDA (11.109.167/0003-73)</t>
        </is>
      </c>
      <c r="O2054" s="29" t="n">
        <v>0</v>
      </c>
      <c r="P2054" s="29" t="n">
        <v>0</v>
      </c>
      <c r="Q2054" s="29" t="n">
        <v>0</v>
      </c>
      <c r="R2054" s="29" t="n">
        <v>0</v>
      </c>
      <c r="S2054" s="29" t="n">
        <v>0</v>
      </c>
      <c r="T2054" t="inlineStr">
        <is>
          <t>25250926975620000130570010000051741001301022</t>
        </is>
      </c>
      <c r="U2054" t="inlineStr">
        <is>
          <t>Não</t>
        </is>
      </c>
    </row>
    <row r="2055">
      <c r="A2055" t="inlineStr">
        <is>
          <t>Frete de venda</t>
        </is>
      </c>
      <c r="B2055" t="inlineStr">
        <is>
          <t>2.01.02 Frete sobre Vendas</t>
        </is>
      </c>
      <c r="C2055" t="inlineStr">
        <is>
          <t>Antes de 2026</t>
        </is>
      </c>
      <c r="D2055" t="inlineStr">
        <is>
          <t>Antes de 2026</t>
        </is>
      </c>
      <c r="E2055" s="28" t="n">
        <v>45913</v>
      </c>
      <c r="F2055" t="inlineStr">
        <is>
          <t>CT-e</t>
        </is>
      </c>
      <c r="G2055" t="inlineStr">
        <is>
          <t>000005175</t>
        </is>
      </c>
      <c r="H2055" t="inlineStr">
        <is>
          <t>R&amp;R TRANSPORTE E LOGISTICA</t>
        </is>
      </c>
      <c r="J2055" s="29" t="n">
        <v>164.77</v>
      </c>
      <c r="K2055" s="29">
        <f>(1-ISNUMBER(SEARCH("556",M2055)))*(O2055*SUMIFS(Premissas!$C$5:$C$44,Premissas!$A$5:$A$44,$A2055,Premissas!$B$5:$B$44,$B2055)+P2055*SUMIFS(Premissas!$D$5:$D$44,Premissas!$A$5:$A$44,$A2055,Premissas!$B$5:$B$44,$B2055))+R2055*SUMIFS(Premissas!$E$5:$E$44,Premissas!$A$5:$A$44,$A2055,Premissas!$B$5:$B$44,$B2055)+S2055*SUMIFS(Premissas!$F$5:$F$44,Premissas!$A$5:$A$44,$A2055,Premissas!$B$5:$B$44,$B2055)</f>
        <v/>
      </c>
      <c r="L2055" s="29">
        <f>J2055-K2055</f>
        <v/>
      </c>
      <c r="M2055" t="inlineStr">
        <is>
          <t>1.350</t>
        </is>
      </c>
      <c r="N2055" t="inlineStr">
        <is>
          <t>Modalidade: 0 - Por conta do remetente | Parte: NOVA FENIX EMBALAGENS E MATERIAL LIMPEZA LTDA (14.616.883/0001-73)</t>
        </is>
      </c>
      <c r="O2055" s="29" t="n">
        <v>0</v>
      </c>
      <c r="P2055" s="29" t="n">
        <v>0</v>
      </c>
      <c r="Q2055" s="29" t="n">
        <v>0</v>
      </c>
      <c r="R2055" s="29" t="n">
        <v>0</v>
      </c>
      <c r="S2055" s="29" t="n">
        <v>0</v>
      </c>
      <c r="T2055" t="inlineStr">
        <is>
          <t>25250926975620000130570010000051751000101108</t>
        </is>
      </c>
      <c r="U2055" t="inlineStr">
        <is>
          <t>Não</t>
        </is>
      </c>
    </row>
    <row r="2056">
      <c r="A2056" t="inlineStr">
        <is>
          <t>Frete de venda</t>
        </is>
      </c>
      <c r="B2056" t="inlineStr">
        <is>
          <t>2.01.02 Frete sobre Vendas</t>
        </is>
      </c>
      <c r="C2056" t="inlineStr">
        <is>
          <t>Antes de 2026</t>
        </is>
      </c>
      <c r="D2056" t="inlineStr">
        <is>
          <t>Antes de 2026</t>
        </is>
      </c>
      <c r="E2056" s="28" t="n">
        <v>45913</v>
      </c>
      <c r="F2056" t="inlineStr">
        <is>
          <t>CT-e</t>
        </is>
      </c>
      <c r="G2056" t="inlineStr">
        <is>
          <t>000005176</t>
        </is>
      </c>
      <c r="H2056" t="inlineStr">
        <is>
          <t>R&amp;R TRANSPORTE E LOGISTICA</t>
        </is>
      </c>
      <c r="J2056" s="29" t="n">
        <v>30.88</v>
      </c>
      <c r="K2056" s="29">
        <f>(1-ISNUMBER(SEARCH("556",M2056)))*(O2056*SUMIFS(Premissas!$C$5:$C$44,Premissas!$A$5:$A$44,$A2056,Premissas!$B$5:$B$44,$B2056)+P2056*SUMIFS(Premissas!$D$5:$D$44,Premissas!$A$5:$A$44,$A2056,Premissas!$B$5:$B$44,$B2056))+R2056*SUMIFS(Premissas!$E$5:$E$44,Premissas!$A$5:$A$44,$A2056,Premissas!$B$5:$B$44,$B2056)+S2056*SUMIFS(Premissas!$F$5:$F$44,Premissas!$A$5:$A$44,$A2056,Premissas!$B$5:$B$44,$B2056)</f>
        <v/>
      </c>
      <c r="L2056" s="29">
        <f>J2056-K2056</f>
        <v/>
      </c>
      <c r="M2056" t="inlineStr">
        <is>
          <t>1.350</t>
        </is>
      </c>
      <c r="N2056" t="inlineStr">
        <is>
          <t>Modalidade: 0 - Por conta do remetente | Parte: PEREIRA e RABELO LTDA (14.924.495/0001-50)</t>
        </is>
      </c>
      <c r="O2056" s="29" t="n">
        <v>0</v>
      </c>
      <c r="P2056" s="29" t="n">
        <v>0</v>
      </c>
      <c r="Q2056" s="29" t="n">
        <v>0</v>
      </c>
      <c r="R2056" s="29" t="n">
        <v>0</v>
      </c>
      <c r="S2056" s="29" t="n">
        <v>0</v>
      </c>
      <c r="T2056" t="inlineStr">
        <is>
          <t>25250926975620000130570010000051761001801186</t>
        </is>
      </c>
      <c r="U2056" t="inlineStr">
        <is>
          <t>Não</t>
        </is>
      </c>
    </row>
    <row r="2057">
      <c r="A2057" t="inlineStr">
        <is>
          <t>Frete de venda</t>
        </is>
      </c>
      <c r="B2057" t="inlineStr">
        <is>
          <t>2.01.02 Frete sobre Vendas</t>
        </is>
      </c>
      <c r="C2057" t="inlineStr">
        <is>
          <t>Antes de 2026</t>
        </is>
      </c>
      <c r="D2057" t="inlineStr">
        <is>
          <t>Antes de 2026</t>
        </is>
      </c>
      <c r="E2057" s="28" t="n">
        <v>45913</v>
      </c>
      <c r="F2057" t="inlineStr">
        <is>
          <t>CT-e</t>
        </is>
      </c>
      <c r="G2057" t="inlineStr">
        <is>
          <t>000005177</t>
        </is>
      </c>
      <c r="H2057" t="inlineStr">
        <is>
          <t>R&amp;R TRANSPORTE E LOGISTICA</t>
        </is>
      </c>
      <c r="J2057" s="29" t="n">
        <v>31.34</v>
      </c>
      <c r="K2057" s="29">
        <f>(1-ISNUMBER(SEARCH("556",M2057)))*(O2057*SUMIFS(Premissas!$C$5:$C$44,Premissas!$A$5:$A$44,$A2057,Premissas!$B$5:$B$44,$B2057)+P2057*SUMIFS(Premissas!$D$5:$D$44,Premissas!$A$5:$A$44,$A2057,Premissas!$B$5:$B$44,$B2057))+R2057*SUMIFS(Premissas!$E$5:$E$44,Premissas!$A$5:$A$44,$A2057,Premissas!$B$5:$B$44,$B2057)+S2057*SUMIFS(Premissas!$F$5:$F$44,Premissas!$A$5:$A$44,$A2057,Premissas!$B$5:$B$44,$B2057)</f>
        <v/>
      </c>
      <c r="L2057" s="29">
        <f>J2057-K2057</f>
        <v/>
      </c>
      <c r="M2057" t="inlineStr">
        <is>
          <t>1.350</t>
        </is>
      </c>
      <c r="N2057" t="inlineStr">
        <is>
          <t>Modalidade: 0 - Por conta do remetente | Parte: BIG COMPACTA EMBALAGENS E FESTAS LTDA (24.932.814/0001-22)</t>
        </is>
      </c>
      <c r="O2057" s="29" t="n">
        <v>0</v>
      </c>
      <c r="P2057" s="29" t="n">
        <v>0</v>
      </c>
      <c r="Q2057" s="29" t="n">
        <v>0</v>
      </c>
      <c r="R2057" s="29" t="n">
        <v>0</v>
      </c>
      <c r="S2057" s="29" t="n">
        <v>0</v>
      </c>
      <c r="T2057" t="inlineStr">
        <is>
          <t>25250926975620000130570010000051771001501260</t>
        </is>
      </c>
      <c r="U2057" t="inlineStr">
        <is>
          <t>Não</t>
        </is>
      </c>
    </row>
    <row r="2058">
      <c r="A2058" t="inlineStr">
        <is>
          <t>Frete de venda</t>
        </is>
      </c>
      <c r="B2058" t="inlineStr">
        <is>
          <t>2.01.02 Frete sobre Vendas</t>
        </is>
      </c>
      <c r="C2058" t="inlineStr">
        <is>
          <t>Antes de 2026</t>
        </is>
      </c>
      <c r="D2058" t="inlineStr">
        <is>
          <t>Antes de 2026</t>
        </is>
      </c>
      <c r="E2058" s="28" t="n">
        <v>45913</v>
      </c>
      <c r="F2058" t="inlineStr">
        <is>
          <t>CT-e</t>
        </is>
      </c>
      <c r="G2058" t="inlineStr">
        <is>
          <t>000005178</t>
        </is>
      </c>
      <c r="H2058" t="inlineStr">
        <is>
          <t>R&amp;R TRANSPORTE E LOGISTICA</t>
        </is>
      </c>
      <c r="J2058" s="29" t="n">
        <v>52.09</v>
      </c>
      <c r="K2058" s="29">
        <f>(1-ISNUMBER(SEARCH("556",M2058)))*(O2058*SUMIFS(Premissas!$C$5:$C$44,Premissas!$A$5:$A$44,$A2058,Premissas!$B$5:$B$44,$B2058)+P2058*SUMIFS(Premissas!$D$5:$D$44,Premissas!$A$5:$A$44,$A2058,Premissas!$B$5:$B$44,$B2058))+R2058*SUMIFS(Premissas!$E$5:$E$44,Premissas!$A$5:$A$44,$A2058,Premissas!$B$5:$B$44,$B2058)+S2058*SUMIFS(Premissas!$F$5:$F$44,Premissas!$A$5:$A$44,$A2058,Premissas!$B$5:$B$44,$B2058)</f>
        <v/>
      </c>
      <c r="L2058" s="29">
        <f>J2058-K2058</f>
        <v/>
      </c>
      <c r="M2058" t="inlineStr">
        <is>
          <t>1.350</t>
        </is>
      </c>
      <c r="N2058" t="inlineStr">
        <is>
          <t>Modalidade: 0 - Por conta do remetente | Parte: DISTRIBUIDORA DE EMBALAGENS RIO DOCE LTDA (23.575.535/0001-96)</t>
        </is>
      </c>
      <c r="O2058" s="29" t="n">
        <v>0</v>
      </c>
      <c r="P2058" s="29" t="n">
        <v>0</v>
      </c>
      <c r="Q2058" s="29" t="n">
        <v>0</v>
      </c>
      <c r="R2058" s="29" t="n">
        <v>0</v>
      </c>
      <c r="S2058" s="29" t="n">
        <v>0</v>
      </c>
      <c r="T2058" t="inlineStr">
        <is>
          <t>25250926975620000130570010000051781000160610</t>
        </is>
      </c>
      <c r="U2058" t="inlineStr">
        <is>
          <t>Não</t>
        </is>
      </c>
    </row>
    <row r="2059">
      <c r="A2059" t="inlineStr">
        <is>
          <t>Frete de venda</t>
        </is>
      </c>
      <c r="B2059" t="inlineStr">
        <is>
          <t>2.01.02 Frete sobre Vendas</t>
        </is>
      </c>
      <c r="C2059" t="inlineStr">
        <is>
          <t>Antes de 2026</t>
        </is>
      </c>
      <c r="D2059" t="inlineStr">
        <is>
          <t>Antes de 2026</t>
        </is>
      </c>
      <c r="E2059" s="28" t="n">
        <v>45913</v>
      </c>
      <c r="F2059" t="inlineStr">
        <is>
          <t>CT-e</t>
        </is>
      </c>
      <c r="G2059" t="inlineStr">
        <is>
          <t>000005179</t>
        </is>
      </c>
      <c r="H2059" t="inlineStr">
        <is>
          <t>R&amp;R TRANSPORTE E LOGISTICA</t>
        </is>
      </c>
      <c r="J2059" s="29" t="n">
        <v>27.78</v>
      </c>
      <c r="K2059" s="29">
        <f>(1-ISNUMBER(SEARCH("556",M2059)))*(O2059*SUMIFS(Premissas!$C$5:$C$44,Premissas!$A$5:$A$44,$A2059,Premissas!$B$5:$B$44,$B2059)+P2059*SUMIFS(Premissas!$D$5:$D$44,Premissas!$A$5:$A$44,$A2059,Premissas!$B$5:$B$44,$B2059))+R2059*SUMIFS(Premissas!$E$5:$E$44,Premissas!$A$5:$A$44,$A2059,Premissas!$B$5:$B$44,$B2059)+S2059*SUMIFS(Premissas!$F$5:$F$44,Premissas!$A$5:$A$44,$A2059,Premissas!$B$5:$B$44,$B2059)</f>
        <v/>
      </c>
      <c r="L2059" s="29">
        <f>J2059-K2059</f>
        <v/>
      </c>
      <c r="M2059" t="inlineStr">
        <is>
          <t>1.350</t>
        </is>
      </c>
      <c r="N2059" t="inlineStr">
        <is>
          <t>Modalidade: 0 - Por conta do remetente | Parte: W.M. COMERCIO ATACADISTA DE EMBALAGENS e ALIMENTOS LTDA (53.786.675/0001-74)</t>
        </is>
      </c>
      <c r="O2059" s="29" t="n">
        <v>0</v>
      </c>
      <c r="P2059" s="29" t="n">
        <v>0</v>
      </c>
      <c r="Q2059" s="29" t="n">
        <v>0</v>
      </c>
      <c r="R2059" s="29" t="n">
        <v>0</v>
      </c>
      <c r="S2059" s="29" t="n">
        <v>0</v>
      </c>
      <c r="T2059" t="inlineStr">
        <is>
          <t>25250926975620000130570010000051791000130697</t>
        </is>
      </c>
      <c r="U2059" t="inlineStr">
        <is>
          <t>Não</t>
        </is>
      </c>
    </row>
    <row r="2060">
      <c r="A2060" t="inlineStr">
        <is>
          <t>Frete de venda</t>
        </is>
      </c>
      <c r="B2060" t="inlineStr">
        <is>
          <t>2.01.02 Frete sobre Vendas</t>
        </is>
      </c>
      <c r="C2060" t="inlineStr">
        <is>
          <t>Antes de 2026</t>
        </is>
      </c>
      <c r="D2060" t="inlineStr">
        <is>
          <t>Antes de 2026</t>
        </is>
      </c>
      <c r="E2060" s="28" t="n">
        <v>45913</v>
      </c>
      <c r="F2060" t="inlineStr">
        <is>
          <t>CT-e</t>
        </is>
      </c>
      <c r="G2060" t="inlineStr">
        <is>
          <t>000005180</t>
        </is>
      </c>
      <c r="H2060" t="inlineStr">
        <is>
          <t>R&amp;R TRANSPORTE E LOGISTICA</t>
        </is>
      </c>
      <c r="J2060" s="29" t="n">
        <v>32.16</v>
      </c>
      <c r="K2060" s="29">
        <f>(1-ISNUMBER(SEARCH("556",M2060)))*(O2060*SUMIFS(Premissas!$C$5:$C$44,Premissas!$A$5:$A$44,$A2060,Premissas!$B$5:$B$44,$B2060)+P2060*SUMIFS(Premissas!$D$5:$D$44,Premissas!$A$5:$A$44,$A2060,Premissas!$B$5:$B$44,$B2060))+R2060*SUMIFS(Premissas!$E$5:$E$44,Premissas!$A$5:$A$44,$A2060,Premissas!$B$5:$B$44,$B2060)+S2060*SUMIFS(Premissas!$F$5:$F$44,Premissas!$A$5:$A$44,$A2060,Premissas!$B$5:$B$44,$B2060)</f>
        <v/>
      </c>
      <c r="L2060" s="29">
        <f>J2060-K2060</f>
        <v/>
      </c>
      <c r="M2060" t="inlineStr">
        <is>
          <t>1.350</t>
        </is>
      </c>
      <c r="N2060" t="inlineStr">
        <is>
          <t>Modalidade: 0 - Por conta do remetente | Parte: VALDINEA NOGUEIRA DA COSTA (04.865.057/0001-04)</t>
        </is>
      </c>
      <c r="O2060" s="29" t="n">
        <v>0</v>
      </c>
      <c r="P2060" s="29" t="n">
        <v>0</v>
      </c>
      <c r="Q2060" s="29" t="n">
        <v>0</v>
      </c>
      <c r="R2060" s="29" t="n">
        <v>0</v>
      </c>
      <c r="S2060" s="29" t="n">
        <v>0</v>
      </c>
      <c r="T2060" t="inlineStr">
        <is>
          <t>25250926975620000130570010000051801000010773</t>
        </is>
      </c>
      <c r="U2060" t="inlineStr">
        <is>
          <t>Não</t>
        </is>
      </c>
    </row>
    <row r="2061">
      <c r="A2061" t="inlineStr">
        <is>
          <t>Frete de venda</t>
        </is>
      </c>
      <c r="B2061" t="inlineStr">
        <is>
          <t>2.01.02 Frete sobre Vendas</t>
        </is>
      </c>
      <c r="C2061" t="inlineStr">
        <is>
          <t>Antes de 2026</t>
        </is>
      </c>
      <c r="D2061" t="inlineStr">
        <is>
          <t>Antes de 2026</t>
        </is>
      </c>
      <c r="E2061" s="28" t="n">
        <v>45913</v>
      </c>
      <c r="F2061" t="inlineStr">
        <is>
          <t>CT-e</t>
        </is>
      </c>
      <c r="G2061" t="inlineStr">
        <is>
          <t>000005182</t>
        </is>
      </c>
      <c r="H2061" t="inlineStr">
        <is>
          <t>R&amp;R TRANSPORTE E LOGISTICA</t>
        </is>
      </c>
      <c r="J2061" s="29" t="n">
        <v>203.26</v>
      </c>
      <c r="K2061" s="29">
        <f>(1-ISNUMBER(SEARCH("556",M2061)))*(O2061*SUMIFS(Premissas!$C$5:$C$44,Premissas!$A$5:$A$44,$A2061,Premissas!$B$5:$B$44,$B2061)+P2061*SUMIFS(Premissas!$D$5:$D$44,Premissas!$A$5:$A$44,$A2061,Premissas!$B$5:$B$44,$B2061))+R2061*SUMIFS(Premissas!$E$5:$E$44,Premissas!$A$5:$A$44,$A2061,Premissas!$B$5:$B$44,$B2061)+S2061*SUMIFS(Premissas!$F$5:$F$44,Premissas!$A$5:$A$44,$A2061,Premissas!$B$5:$B$44,$B2061)</f>
        <v/>
      </c>
      <c r="L2061" s="29">
        <f>J2061-K2061</f>
        <v/>
      </c>
      <c r="M2061" t="inlineStr">
        <is>
          <t>1.350</t>
        </is>
      </c>
      <c r="N2061" t="inlineStr">
        <is>
          <t>Modalidade: 0 - Por conta do remetente | Parte: FRIOS RORAIMA DISTRIBUIDORA DE ALIMENTOS LTDA (22.890.166/0001-63)</t>
        </is>
      </c>
      <c r="O2061" s="29" t="n">
        <v>0</v>
      </c>
      <c r="P2061" s="29" t="n">
        <v>0</v>
      </c>
      <c r="Q2061" s="29" t="n">
        <v>0</v>
      </c>
      <c r="R2061" s="29" t="n">
        <v>0</v>
      </c>
      <c r="S2061" s="29" t="n">
        <v>0</v>
      </c>
      <c r="T2061" t="inlineStr">
        <is>
          <t>25250926975620000130570010000051821000150936</t>
        </is>
      </c>
      <c r="U2061" t="inlineStr">
        <is>
          <t>Não</t>
        </is>
      </c>
    </row>
    <row r="2062">
      <c r="A2062" t="inlineStr">
        <is>
          <t>Frete de venda</t>
        </is>
      </c>
      <c r="B2062" t="inlineStr">
        <is>
          <t>2.01.02 Frete sobre Vendas</t>
        </is>
      </c>
      <c r="C2062" t="inlineStr">
        <is>
          <t>Antes de 2026</t>
        </is>
      </c>
      <c r="D2062" t="inlineStr">
        <is>
          <t>Antes de 2026</t>
        </is>
      </c>
      <c r="E2062" s="28" t="n">
        <v>45917</v>
      </c>
      <c r="F2062" t="inlineStr">
        <is>
          <t>CT-e</t>
        </is>
      </c>
      <c r="G2062" t="inlineStr">
        <is>
          <t>000005216</t>
        </is>
      </c>
      <c r="H2062" t="inlineStr">
        <is>
          <t>R&amp;R TRANSPORTE E LOGISTICA</t>
        </is>
      </c>
      <c r="J2062" s="29" t="n">
        <v>786</v>
      </c>
      <c r="K2062" s="29">
        <f>(1-ISNUMBER(SEARCH("556",M2062)))*(O2062*SUMIFS(Premissas!$C$5:$C$44,Premissas!$A$5:$A$44,$A2062,Premissas!$B$5:$B$44,$B2062)+P2062*SUMIFS(Premissas!$D$5:$D$44,Premissas!$A$5:$A$44,$A2062,Premissas!$B$5:$B$44,$B2062))+R2062*SUMIFS(Premissas!$E$5:$E$44,Premissas!$A$5:$A$44,$A2062,Premissas!$B$5:$B$44,$B2062)+S2062*SUMIFS(Premissas!$F$5:$F$44,Premissas!$A$5:$A$44,$A2062,Premissas!$B$5:$B$44,$B2062)</f>
        <v/>
      </c>
      <c r="L2062" s="29">
        <f>J2062-K2062</f>
        <v/>
      </c>
      <c r="M2062" t="inlineStr">
        <is>
          <t>1.350</t>
        </is>
      </c>
      <c r="N2062" t="inlineStr">
        <is>
          <t>Modalidade: 0 - Por conta do remetente | Parte: CEPLAL COMERCIO DE EMBALAGENS PLASTICAS E PAPEIS LTDA (24.141.350/0001-36)</t>
        </is>
      </c>
      <c r="O2062" s="29" t="n">
        <v>0</v>
      </c>
      <c r="P2062" s="29" t="n">
        <v>0</v>
      </c>
      <c r="Q2062" s="29" t="n">
        <v>0</v>
      </c>
      <c r="R2062" s="29" t="n">
        <v>0</v>
      </c>
      <c r="S2062" s="29" t="n">
        <v>0</v>
      </c>
      <c r="T2062" t="inlineStr">
        <is>
          <t>25250926975620000130570010000052161000170953</t>
        </is>
      </c>
      <c r="U2062" t="inlineStr">
        <is>
          <t>Não</t>
        </is>
      </c>
    </row>
    <row r="2063">
      <c r="A2063" t="inlineStr">
        <is>
          <t>Frete de venda</t>
        </is>
      </c>
      <c r="B2063" t="inlineStr">
        <is>
          <t>2.01.02 Frete sobre Vendas</t>
        </is>
      </c>
      <c r="C2063" t="inlineStr">
        <is>
          <t>Antes de 2026</t>
        </is>
      </c>
      <c r="D2063" t="inlineStr">
        <is>
          <t>Antes de 2026</t>
        </is>
      </c>
      <c r="E2063" s="28" t="n">
        <v>45917</v>
      </c>
      <c r="F2063" t="inlineStr">
        <is>
          <t>CT-e</t>
        </is>
      </c>
      <c r="G2063" t="inlineStr">
        <is>
          <t>000005217</t>
        </is>
      </c>
      <c r="H2063" t="inlineStr">
        <is>
          <t>R&amp;R TRANSPORTE E LOGISTICA</t>
        </is>
      </c>
      <c r="J2063" s="29" t="n">
        <v>786</v>
      </c>
      <c r="K2063" s="29">
        <f>(1-ISNUMBER(SEARCH("556",M2063)))*(O2063*SUMIFS(Premissas!$C$5:$C$44,Premissas!$A$5:$A$44,$A2063,Premissas!$B$5:$B$44,$B2063)+P2063*SUMIFS(Premissas!$D$5:$D$44,Premissas!$A$5:$A$44,$A2063,Premissas!$B$5:$B$44,$B2063))+R2063*SUMIFS(Premissas!$E$5:$E$44,Premissas!$A$5:$A$44,$A2063,Premissas!$B$5:$B$44,$B2063)+S2063*SUMIFS(Premissas!$F$5:$F$44,Premissas!$A$5:$A$44,$A2063,Premissas!$B$5:$B$44,$B2063)</f>
        <v/>
      </c>
      <c r="L2063" s="29">
        <f>J2063-K2063</f>
        <v/>
      </c>
      <c r="M2063" t="inlineStr">
        <is>
          <t>1.350</t>
        </is>
      </c>
      <c r="N2063" t="inlineStr">
        <is>
          <t>Modalidade: 0 - Por conta do remetente | Parte: S.M. GONCALVES DA SILVA (28.041.255/0003-83)</t>
        </is>
      </c>
      <c r="O2063" s="29" t="n">
        <v>0</v>
      </c>
      <c r="P2063" s="29" t="n">
        <v>0</v>
      </c>
      <c r="Q2063" s="29" t="n">
        <v>0</v>
      </c>
      <c r="R2063" s="29" t="n">
        <v>0</v>
      </c>
      <c r="S2063" s="29" t="n">
        <v>0</v>
      </c>
      <c r="T2063" t="inlineStr">
        <is>
          <t>25250926975620000130570010000052171001401034</t>
        </is>
      </c>
      <c r="U2063" t="inlineStr">
        <is>
          <t>Não</t>
        </is>
      </c>
    </row>
    <row r="2064">
      <c r="A2064" t="inlineStr">
        <is>
          <t>Frete de venda</t>
        </is>
      </c>
      <c r="B2064" t="inlineStr">
        <is>
          <t>2.01.02 Frete sobre Vendas</t>
        </is>
      </c>
      <c r="C2064" t="inlineStr">
        <is>
          <t>Antes de 2026</t>
        </is>
      </c>
      <c r="D2064" t="inlineStr">
        <is>
          <t>Antes de 2026</t>
        </is>
      </c>
      <c r="E2064" s="28" t="n">
        <v>45917</v>
      </c>
      <c r="F2064" t="inlineStr">
        <is>
          <t>CT-e</t>
        </is>
      </c>
      <c r="G2064" t="inlineStr">
        <is>
          <t>000005218</t>
        </is>
      </c>
      <c r="H2064" t="inlineStr">
        <is>
          <t>R&amp;R TRANSPORTE E LOGISTICA</t>
        </is>
      </c>
      <c r="J2064" s="29" t="n">
        <v>786</v>
      </c>
      <c r="K2064" s="29">
        <f>(1-ISNUMBER(SEARCH("556",M2064)))*(O2064*SUMIFS(Premissas!$C$5:$C$44,Premissas!$A$5:$A$44,$A2064,Premissas!$B$5:$B$44,$B2064)+P2064*SUMIFS(Premissas!$D$5:$D$44,Premissas!$A$5:$A$44,$A2064,Premissas!$B$5:$B$44,$B2064))+R2064*SUMIFS(Premissas!$E$5:$E$44,Premissas!$A$5:$A$44,$A2064,Premissas!$B$5:$B$44,$B2064)+S2064*SUMIFS(Premissas!$F$5:$F$44,Premissas!$A$5:$A$44,$A2064,Premissas!$B$5:$B$44,$B2064)</f>
        <v/>
      </c>
      <c r="L2064" s="29">
        <f>J2064-K2064</f>
        <v/>
      </c>
      <c r="M2064" t="inlineStr">
        <is>
          <t>1.350</t>
        </is>
      </c>
      <c r="N2064" t="inlineStr">
        <is>
          <t>Modalidade: 0 - Por conta do remetente | Parte: ANDRADE FRIOS LTDA (47.400.749/0001-90)</t>
        </is>
      </c>
      <c r="O2064" s="29" t="n">
        <v>0</v>
      </c>
      <c r="P2064" s="29" t="n">
        <v>0</v>
      </c>
      <c r="Q2064" s="29" t="n">
        <v>0</v>
      </c>
      <c r="R2064" s="29" t="n">
        <v>0</v>
      </c>
      <c r="S2064" s="29" t="n">
        <v>0</v>
      </c>
      <c r="T2064" t="inlineStr">
        <is>
          <t>25250926975620000130570010000052181001101119</t>
        </is>
      </c>
      <c r="U2064" t="inlineStr">
        <is>
          <t>Não</t>
        </is>
      </c>
    </row>
    <row r="2065">
      <c r="A2065" t="inlineStr">
        <is>
          <t>Frete de venda</t>
        </is>
      </c>
      <c r="B2065" t="inlineStr">
        <is>
          <t>2.01.02 Frete sobre Vendas</t>
        </is>
      </c>
      <c r="C2065" t="inlineStr">
        <is>
          <t>Antes de 2026</t>
        </is>
      </c>
      <c r="D2065" t="inlineStr">
        <is>
          <t>Antes de 2026</t>
        </is>
      </c>
      <c r="E2065" s="28" t="n">
        <v>45917</v>
      </c>
      <c r="F2065" t="inlineStr">
        <is>
          <t>CT-e</t>
        </is>
      </c>
      <c r="G2065" t="inlineStr">
        <is>
          <t>000005219</t>
        </is>
      </c>
      <c r="H2065" t="inlineStr">
        <is>
          <t>R&amp;R TRANSPORTE E LOGISTICA</t>
        </is>
      </c>
      <c r="J2065" s="29" t="n">
        <v>786</v>
      </c>
      <c r="K2065" s="29">
        <f>(1-ISNUMBER(SEARCH("556",M2065)))*(O2065*SUMIFS(Premissas!$C$5:$C$44,Premissas!$A$5:$A$44,$A2065,Premissas!$B$5:$B$44,$B2065)+P2065*SUMIFS(Premissas!$D$5:$D$44,Premissas!$A$5:$A$44,$A2065,Premissas!$B$5:$B$44,$B2065))+R2065*SUMIFS(Premissas!$E$5:$E$44,Premissas!$A$5:$A$44,$A2065,Premissas!$B$5:$B$44,$B2065)+S2065*SUMIFS(Premissas!$F$5:$F$44,Premissas!$A$5:$A$44,$A2065,Premissas!$B$5:$B$44,$B2065)</f>
        <v/>
      </c>
      <c r="L2065" s="29">
        <f>J2065-K2065</f>
        <v/>
      </c>
      <c r="M2065" t="inlineStr">
        <is>
          <t>1.350</t>
        </is>
      </c>
      <c r="N2065" t="inlineStr">
        <is>
          <t>Modalidade: 0 - Por conta do remetente | Parte: LOSEL EMBALAGENS LTDA (00.156.227/0001-20)</t>
        </is>
      </c>
      <c r="O2065" s="29" t="n">
        <v>0</v>
      </c>
      <c r="P2065" s="29" t="n">
        <v>0</v>
      </c>
      <c r="Q2065" s="29" t="n">
        <v>0</v>
      </c>
      <c r="R2065" s="29" t="n">
        <v>0</v>
      </c>
      <c r="S2065" s="29" t="n">
        <v>0</v>
      </c>
      <c r="T2065" t="inlineStr">
        <is>
          <t>25250926975620000130570010000052191000120460</t>
        </is>
      </c>
      <c r="U2065" t="inlineStr">
        <is>
          <t>Não</t>
        </is>
      </c>
    </row>
    <row r="2066">
      <c r="A2066" t="inlineStr">
        <is>
          <t>Frete de venda</t>
        </is>
      </c>
      <c r="B2066" t="inlineStr">
        <is>
          <t>2.01.02 Frete sobre Vendas</t>
        </is>
      </c>
      <c r="C2066" t="inlineStr">
        <is>
          <t>Antes de 2026</t>
        </is>
      </c>
      <c r="D2066" t="inlineStr">
        <is>
          <t>Antes de 2026</t>
        </is>
      </c>
      <c r="E2066" s="28" t="n">
        <v>45917</v>
      </c>
      <c r="F2066" t="inlineStr">
        <is>
          <t>CT-e</t>
        </is>
      </c>
      <c r="G2066" t="inlineStr">
        <is>
          <t>000005220</t>
        </is>
      </c>
      <c r="H2066" t="inlineStr">
        <is>
          <t>R&amp;R TRANSPORTE E LOGISTICA</t>
        </is>
      </c>
      <c r="J2066" s="29" t="n">
        <v>786</v>
      </c>
      <c r="K2066" s="29">
        <f>(1-ISNUMBER(SEARCH("556",M2066)))*(O2066*SUMIFS(Premissas!$C$5:$C$44,Premissas!$A$5:$A$44,$A2066,Premissas!$B$5:$B$44,$B2066)+P2066*SUMIFS(Premissas!$D$5:$D$44,Premissas!$A$5:$A$44,$A2066,Premissas!$B$5:$B$44,$B2066))+R2066*SUMIFS(Premissas!$E$5:$E$44,Premissas!$A$5:$A$44,$A2066,Premissas!$B$5:$B$44,$B2066)+S2066*SUMIFS(Premissas!$F$5:$F$44,Premissas!$A$5:$A$44,$A2066,Premissas!$B$5:$B$44,$B2066)</f>
        <v/>
      </c>
      <c r="L2066" s="29">
        <f>J2066-K2066</f>
        <v/>
      </c>
      <c r="M2066" t="inlineStr">
        <is>
          <t>1.350</t>
        </is>
      </c>
      <c r="N2066" t="inlineStr">
        <is>
          <t>Modalidade: 0 - Por conta do remetente | Parte: EDIVALDO BATISTA DOS SANTOS EMBALAGENS LTDA (03.624.188/0001-37)</t>
        </is>
      </c>
      <c r="O2066" s="29" t="n">
        <v>0</v>
      </c>
      <c r="P2066" s="29" t="n">
        <v>0</v>
      </c>
      <c r="Q2066" s="29" t="n">
        <v>0</v>
      </c>
      <c r="R2066" s="29" t="n">
        <v>0</v>
      </c>
      <c r="S2066" s="29" t="n">
        <v>0</v>
      </c>
      <c r="T2066" t="inlineStr">
        <is>
          <t>25250926975620000130570010000052201001100544</t>
        </is>
      </c>
      <c r="U2066" t="inlineStr">
        <is>
          <t>Não</t>
        </is>
      </c>
    </row>
    <row r="2067">
      <c r="A2067" t="inlineStr">
        <is>
          <t>Frete de venda</t>
        </is>
      </c>
      <c r="B2067" t="inlineStr">
        <is>
          <t>2.01.02 Frete sobre Vendas</t>
        </is>
      </c>
      <c r="C2067" t="inlineStr">
        <is>
          <t>Antes de 2026</t>
        </is>
      </c>
      <c r="D2067" t="inlineStr">
        <is>
          <t>Antes de 2026</t>
        </is>
      </c>
      <c r="E2067" s="28" t="n">
        <v>45917</v>
      </c>
      <c r="F2067" t="inlineStr">
        <is>
          <t>CT-e</t>
        </is>
      </c>
      <c r="G2067" t="inlineStr">
        <is>
          <t>000005221</t>
        </is>
      </c>
      <c r="H2067" t="inlineStr">
        <is>
          <t>R&amp;R TRANSPORTE E LOGISTICA</t>
        </is>
      </c>
      <c r="J2067" s="29" t="n">
        <v>786</v>
      </c>
      <c r="K2067" s="29">
        <f>(1-ISNUMBER(SEARCH("556",M2067)))*(O2067*SUMIFS(Premissas!$C$5:$C$44,Premissas!$A$5:$A$44,$A2067,Premissas!$B$5:$B$44,$B2067)+P2067*SUMIFS(Premissas!$D$5:$D$44,Premissas!$A$5:$A$44,$A2067,Premissas!$B$5:$B$44,$B2067))+R2067*SUMIFS(Premissas!$E$5:$E$44,Premissas!$A$5:$A$44,$A2067,Premissas!$B$5:$B$44,$B2067)+S2067*SUMIFS(Premissas!$F$5:$F$44,Premissas!$A$5:$A$44,$A2067,Premissas!$B$5:$B$44,$B2067)</f>
        <v/>
      </c>
      <c r="L2067" s="29">
        <f>J2067-K2067</f>
        <v/>
      </c>
      <c r="M2067" t="inlineStr">
        <is>
          <t>1.350</t>
        </is>
      </c>
      <c r="N2067" t="inlineStr">
        <is>
          <t>Modalidade: 0 - Por conta do remetente | Parte: UNIAO EMBALAGENS COMERCIO REPRESENTACAO LTDA (02.698.151/0001-90)</t>
        </is>
      </c>
      <c r="O2067" s="29" t="n">
        <v>0</v>
      </c>
      <c r="P2067" s="29" t="n">
        <v>0</v>
      </c>
      <c r="Q2067" s="29" t="n">
        <v>0</v>
      </c>
      <c r="R2067" s="29" t="n">
        <v>0</v>
      </c>
      <c r="S2067" s="29" t="n">
        <v>0</v>
      </c>
      <c r="T2067" t="inlineStr">
        <is>
          <t>25250926975620000130570010000052211000170627</t>
        </is>
      </c>
      <c r="U2067" t="inlineStr">
        <is>
          <t>Não</t>
        </is>
      </c>
    </row>
    <row r="2068">
      <c r="A2068" t="inlineStr">
        <is>
          <t>Frete de venda</t>
        </is>
      </c>
      <c r="B2068" t="inlineStr">
        <is>
          <t>2.01.02 Frete sobre Vendas</t>
        </is>
      </c>
      <c r="C2068" t="inlineStr">
        <is>
          <t>Antes de 2026</t>
        </is>
      </c>
      <c r="D2068" t="inlineStr">
        <is>
          <t>Antes de 2026</t>
        </is>
      </c>
      <c r="E2068" s="28" t="n">
        <v>45917</v>
      </c>
      <c r="F2068" t="inlineStr">
        <is>
          <t>CT-e</t>
        </is>
      </c>
      <c r="G2068" t="inlineStr">
        <is>
          <t>000005222</t>
        </is>
      </c>
      <c r="H2068" t="inlineStr">
        <is>
          <t>R&amp;R TRANSPORTE E LOGISTICA</t>
        </is>
      </c>
      <c r="J2068" s="29" t="n">
        <v>786</v>
      </c>
      <c r="K2068" s="29">
        <f>(1-ISNUMBER(SEARCH("556",M2068)))*(O2068*SUMIFS(Premissas!$C$5:$C$44,Premissas!$A$5:$A$44,$A2068,Premissas!$B$5:$B$44,$B2068)+P2068*SUMIFS(Premissas!$D$5:$D$44,Premissas!$A$5:$A$44,$A2068,Premissas!$B$5:$B$44,$B2068))+R2068*SUMIFS(Premissas!$E$5:$E$44,Premissas!$A$5:$A$44,$A2068,Premissas!$B$5:$B$44,$B2068)+S2068*SUMIFS(Premissas!$F$5:$F$44,Premissas!$A$5:$A$44,$A2068,Premissas!$B$5:$B$44,$B2068)</f>
        <v/>
      </c>
      <c r="L2068" s="29">
        <f>J2068-K2068</f>
        <v/>
      </c>
      <c r="M2068" t="inlineStr">
        <is>
          <t>1.350</t>
        </is>
      </c>
      <c r="N2068" t="inlineStr">
        <is>
          <t>Modalidade: 0 - Por conta do remetente | Parte: TREVO COMERCIO DE EMBALAGENS LTDA (08.178.510/0001-65)</t>
        </is>
      </c>
      <c r="O2068" s="29" t="n">
        <v>0</v>
      </c>
      <c r="P2068" s="29" t="n">
        <v>0</v>
      </c>
      <c r="Q2068" s="29" t="n">
        <v>0</v>
      </c>
      <c r="R2068" s="29" t="n">
        <v>0</v>
      </c>
      <c r="S2068" s="29" t="n">
        <v>0</v>
      </c>
      <c r="T2068" t="inlineStr">
        <is>
          <t>25250926975620000130570010000052221000140709</t>
        </is>
      </c>
      <c r="U2068" t="inlineStr">
        <is>
          <t>Não</t>
        </is>
      </c>
    </row>
    <row r="2069">
      <c r="A2069" t="inlineStr">
        <is>
          <t>Frete de venda</t>
        </is>
      </c>
      <c r="B2069" t="inlineStr">
        <is>
          <t>2.01.02 Frete sobre Vendas</t>
        </is>
      </c>
      <c r="C2069" t="inlineStr">
        <is>
          <t>Antes de 2026</t>
        </is>
      </c>
      <c r="D2069" t="inlineStr">
        <is>
          <t>Antes de 2026</t>
        </is>
      </c>
      <c r="E2069" s="28" t="n">
        <v>45918</v>
      </c>
      <c r="F2069" t="inlineStr">
        <is>
          <t>CT-e</t>
        </is>
      </c>
      <c r="G2069" t="inlineStr">
        <is>
          <t>000005234</t>
        </is>
      </c>
      <c r="H2069" t="inlineStr">
        <is>
          <t>R&amp;R TRANSPORTE E LOGISTICA</t>
        </is>
      </c>
      <c r="J2069" s="29" t="n">
        <v>71.54000000000001</v>
      </c>
      <c r="K2069" s="29">
        <f>(1-ISNUMBER(SEARCH("556",M2069)))*(O2069*SUMIFS(Premissas!$C$5:$C$44,Premissas!$A$5:$A$44,$A2069,Premissas!$B$5:$B$44,$B2069)+P2069*SUMIFS(Premissas!$D$5:$D$44,Premissas!$A$5:$A$44,$A2069,Premissas!$B$5:$B$44,$B2069))+R2069*SUMIFS(Premissas!$E$5:$E$44,Premissas!$A$5:$A$44,$A2069,Premissas!$B$5:$B$44,$B2069)+S2069*SUMIFS(Premissas!$F$5:$F$44,Premissas!$A$5:$A$44,$A2069,Premissas!$B$5:$B$44,$B2069)</f>
        <v/>
      </c>
      <c r="L2069" s="29">
        <f>J2069-K2069</f>
        <v/>
      </c>
      <c r="M2069" t="inlineStr">
        <is>
          <t>1.350</t>
        </is>
      </c>
      <c r="N2069" t="inlineStr">
        <is>
          <t>Modalidade: 0 - Por conta do remetente | Parte: SELLPACK DISTRIBUIDORA LTDA (07.747.107/0002-28)</t>
        </is>
      </c>
      <c r="O2069" s="29" t="n">
        <v>0</v>
      </c>
      <c r="P2069" s="29" t="n">
        <v>0</v>
      </c>
      <c r="Q2069" s="29" t="n">
        <v>0</v>
      </c>
      <c r="R2069" s="29" t="n">
        <v>0</v>
      </c>
      <c r="S2069" s="29" t="n">
        <v>0</v>
      </c>
      <c r="T2069" t="inlineStr">
        <is>
          <t>25250926975620000130570010000052341001301359</t>
        </is>
      </c>
      <c r="U2069" t="inlineStr">
        <is>
          <t>Não</t>
        </is>
      </c>
    </row>
    <row r="2070">
      <c r="A2070" t="inlineStr">
        <is>
          <t>Frete de venda</t>
        </is>
      </c>
      <c r="B2070" t="inlineStr">
        <is>
          <t>2.01.02 Frete sobre Vendas</t>
        </is>
      </c>
      <c r="C2070" t="inlineStr">
        <is>
          <t>Antes de 2026</t>
        </is>
      </c>
      <c r="D2070" t="inlineStr">
        <is>
          <t>Antes de 2026</t>
        </is>
      </c>
      <c r="E2070" s="28" t="n">
        <v>45918</v>
      </c>
      <c r="F2070" t="inlineStr">
        <is>
          <t>CT-e</t>
        </is>
      </c>
      <c r="G2070" t="inlineStr">
        <is>
          <t>000005235</t>
        </is>
      </c>
      <c r="H2070" t="inlineStr">
        <is>
          <t>R&amp;R TRANSPORTE E LOGISTICA</t>
        </is>
      </c>
      <c r="J2070" s="29" t="n">
        <v>30.42</v>
      </c>
      <c r="K2070" s="29">
        <f>(1-ISNUMBER(SEARCH("556",M2070)))*(O2070*SUMIFS(Premissas!$C$5:$C$44,Premissas!$A$5:$A$44,$A2070,Premissas!$B$5:$B$44,$B2070)+P2070*SUMIFS(Premissas!$D$5:$D$44,Premissas!$A$5:$A$44,$A2070,Premissas!$B$5:$B$44,$B2070))+R2070*SUMIFS(Premissas!$E$5:$E$44,Premissas!$A$5:$A$44,$A2070,Premissas!$B$5:$B$44,$B2070)+S2070*SUMIFS(Premissas!$F$5:$F$44,Premissas!$A$5:$A$44,$A2070,Premissas!$B$5:$B$44,$B2070)</f>
        <v/>
      </c>
      <c r="L2070" s="29">
        <f>J2070-K2070</f>
        <v/>
      </c>
      <c r="M2070" t="inlineStr">
        <is>
          <t>1.350</t>
        </is>
      </c>
      <c r="N2070" t="inlineStr">
        <is>
          <t>Modalidade: 0 - Por conta do remetente | Parte: REIPEL COMERCIAL LTDA (66.283.771/0001-41)</t>
        </is>
      </c>
      <c r="O2070" s="29" t="n">
        <v>0</v>
      </c>
      <c r="P2070" s="29" t="n">
        <v>0</v>
      </c>
      <c r="Q2070" s="29" t="n">
        <v>0</v>
      </c>
      <c r="R2070" s="29" t="n">
        <v>0</v>
      </c>
      <c r="S2070" s="29" t="n">
        <v>0</v>
      </c>
      <c r="T2070" t="inlineStr">
        <is>
          <t>25250926975620000130570010000052351000101434</t>
        </is>
      </c>
      <c r="U2070" t="inlineStr">
        <is>
          <t>Não</t>
        </is>
      </c>
    </row>
    <row r="2071">
      <c r="A2071" t="inlineStr">
        <is>
          <t>Frete de venda</t>
        </is>
      </c>
      <c r="B2071" t="inlineStr">
        <is>
          <t>2.01.02 Frete sobre Vendas</t>
        </is>
      </c>
      <c r="C2071" t="inlineStr">
        <is>
          <t>Antes de 2026</t>
        </is>
      </c>
      <c r="D2071" t="inlineStr">
        <is>
          <t>Antes de 2026</t>
        </is>
      </c>
      <c r="E2071" s="28" t="n">
        <v>45918</v>
      </c>
      <c r="F2071" t="inlineStr">
        <is>
          <t>CT-e</t>
        </is>
      </c>
      <c r="G2071" t="inlineStr">
        <is>
          <t>000005236</t>
        </is>
      </c>
      <c r="H2071" t="inlineStr">
        <is>
          <t>R&amp;R TRANSPORTE E LOGISTICA</t>
        </is>
      </c>
      <c r="J2071" s="29" t="n">
        <v>15.75</v>
      </c>
      <c r="K2071" s="29">
        <f>(1-ISNUMBER(SEARCH("556",M2071)))*(O2071*SUMIFS(Premissas!$C$5:$C$44,Premissas!$A$5:$A$44,$A2071,Premissas!$B$5:$B$44,$B2071)+P2071*SUMIFS(Premissas!$D$5:$D$44,Premissas!$A$5:$A$44,$A2071,Premissas!$B$5:$B$44,$B2071))+R2071*SUMIFS(Premissas!$E$5:$E$44,Premissas!$A$5:$A$44,$A2071,Premissas!$B$5:$B$44,$B2071)+S2071*SUMIFS(Premissas!$F$5:$F$44,Premissas!$A$5:$A$44,$A2071,Premissas!$B$5:$B$44,$B2071)</f>
        <v/>
      </c>
      <c r="L2071" s="29">
        <f>J2071-K2071</f>
        <v/>
      </c>
      <c r="M2071" t="inlineStr">
        <is>
          <t>1.350</t>
        </is>
      </c>
      <c r="N2071" t="inlineStr">
        <is>
          <t>Modalidade: 0 - Por conta do remetente | Parte: HP COMERCIO E SERVICOS LTDA (30.618.949/0001-10)</t>
        </is>
      </c>
      <c r="O2071" s="29" t="n">
        <v>0</v>
      </c>
      <c r="P2071" s="29" t="n">
        <v>0</v>
      </c>
      <c r="Q2071" s="29" t="n">
        <v>0</v>
      </c>
      <c r="R2071" s="29" t="n">
        <v>0</v>
      </c>
      <c r="S2071" s="29" t="n">
        <v>0</v>
      </c>
      <c r="T2071" t="inlineStr">
        <is>
          <t>25250926975620000130570010000052361001801518</t>
        </is>
      </c>
      <c r="U2071" t="inlineStr">
        <is>
          <t>Não</t>
        </is>
      </c>
    </row>
    <row r="2072">
      <c r="A2072" t="inlineStr">
        <is>
          <t>Frete de venda</t>
        </is>
      </c>
      <c r="B2072" t="inlineStr">
        <is>
          <t>2.01.02 Frete sobre Vendas</t>
        </is>
      </c>
      <c r="C2072" t="inlineStr">
        <is>
          <t>Antes de 2026</t>
        </is>
      </c>
      <c r="D2072" t="inlineStr">
        <is>
          <t>Antes de 2026</t>
        </is>
      </c>
      <c r="E2072" s="28" t="n">
        <v>45918</v>
      </c>
      <c r="F2072" t="inlineStr">
        <is>
          <t>CT-e</t>
        </is>
      </c>
      <c r="G2072" t="inlineStr">
        <is>
          <t>000005237</t>
        </is>
      </c>
      <c r="H2072" t="inlineStr">
        <is>
          <t>R&amp;R TRANSPORTE E LOGISTICA</t>
        </is>
      </c>
      <c r="J2072" s="29" t="n">
        <v>53.77</v>
      </c>
      <c r="K2072" s="29">
        <f>(1-ISNUMBER(SEARCH("556",M2072)))*(O2072*SUMIFS(Premissas!$C$5:$C$44,Premissas!$A$5:$A$44,$A2072,Premissas!$B$5:$B$44,$B2072)+P2072*SUMIFS(Premissas!$D$5:$D$44,Premissas!$A$5:$A$44,$A2072,Premissas!$B$5:$B$44,$B2072))+R2072*SUMIFS(Premissas!$E$5:$E$44,Premissas!$A$5:$A$44,$A2072,Premissas!$B$5:$B$44,$B2072)+S2072*SUMIFS(Premissas!$F$5:$F$44,Premissas!$A$5:$A$44,$A2072,Premissas!$B$5:$B$44,$B2072)</f>
        <v/>
      </c>
      <c r="L2072" s="29">
        <f>J2072-K2072</f>
        <v/>
      </c>
      <c r="M2072" t="inlineStr">
        <is>
          <t>1.350</t>
        </is>
      </c>
      <c r="N2072" t="inlineStr">
        <is>
          <t>Modalidade: 0 - Por conta do remetente | Parte: JUNCO-INDUSTRIA E COMERCIO LTDA (66.312.653/0001-14)</t>
        </is>
      </c>
      <c r="O2072" s="29" t="n">
        <v>0</v>
      </c>
      <c r="P2072" s="29" t="n">
        <v>0</v>
      </c>
      <c r="Q2072" s="29" t="n">
        <v>0</v>
      </c>
      <c r="R2072" s="29" t="n">
        <v>0</v>
      </c>
      <c r="S2072" s="29" t="n">
        <v>0</v>
      </c>
      <c r="T2072" t="inlineStr">
        <is>
          <t>25250926975620000130570010000052371001501597</t>
        </is>
      </c>
      <c r="U2072" t="inlineStr">
        <is>
          <t>Não</t>
        </is>
      </c>
    </row>
    <row r="2073">
      <c r="A2073" t="inlineStr">
        <is>
          <t>Frete de venda</t>
        </is>
      </c>
      <c r="B2073" t="inlineStr">
        <is>
          <t>2.01.02 Frete sobre Vendas</t>
        </is>
      </c>
      <c r="C2073" t="inlineStr">
        <is>
          <t>Antes de 2026</t>
        </is>
      </c>
      <c r="D2073" t="inlineStr">
        <is>
          <t>Antes de 2026</t>
        </is>
      </c>
      <c r="E2073" s="28" t="n">
        <v>45918</v>
      </c>
      <c r="F2073" t="inlineStr">
        <is>
          <t>CT-e</t>
        </is>
      </c>
      <c r="G2073" t="inlineStr">
        <is>
          <t>000005238</t>
        </is>
      </c>
      <c r="H2073" t="inlineStr">
        <is>
          <t>R&amp;R TRANSPORTE E LOGISTICA</t>
        </is>
      </c>
      <c r="J2073" s="29" t="n">
        <v>52.1</v>
      </c>
      <c r="K2073" s="29">
        <f>(1-ISNUMBER(SEARCH("556",M2073)))*(O2073*SUMIFS(Premissas!$C$5:$C$44,Premissas!$A$5:$A$44,$A2073,Premissas!$B$5:$B$44,$B2073)+P2073*SUMIFS(Premissas!$D$5:$D$44,Premissas!$A$5:$A$44,$A2073,Premissas!$B$5:$B$44,$B2073))+R2073*SUMIFS(Premissas!$E$5:$E$44,Premissas!$A$5:$A$44,$A2073,Premissas!$B$5:$B$44,$B2073)+S2073*SUMIFS(Premissas!$F$5:$F$44,Premissas!$A$5:$A$44,$A2073,Premissas!$B$5:$B$44,$B2073)</f>
        <v/>
      </c>
      <c r="L2073" s="29">
        <f>J2073-K2073</f>
        <v/>
      </c>
      <c r="M2073" t="inlineStr">
        <is>
          <t>1.350</t>
        </is>
      </c>
      <c r="N2073" t="inlineStr">
        <is>
          <t>Modalidade: 0 - Por conta do remetente | Parte: CASA DAS EMBALAGENS ARAGUARI LTDA (01.870.495/0001-72)</t>
        </is>
      </c>
      <c r="O2073" s="29" t="n">
        <v>0</v>
      </c>
      <c r="P2073" s="29" t="n">
        <v>0</v>
      </c>
      <c r="Q2073" s="29" t="n">
        <v>0</v>
      </c>
      <c r="R2073" s="29" t="n">
        <v>0</v>
      </c>
      <c r="S2073" s="29" t="n">
        <v>0</v>
      </c>
      <c r="T2073" t="inlineStr">
        <is>
          <t>25250926975620000130570010000052381001201671</t>
        </is>
      </c>
      <c r="U2073" t="inlineStr">
        <is>
          <t>Não</t>
        </is>
      </c>
    </row>
    <row r="2074">
      <c r="A2074" t="inlineStr">
        <is>
          <t>Frete de venda</t>
        </is>
      </c>
      <c r="B2074" t="inlineStr">
        <is>
          <t>2.01.02 Frete sobre Vendas</t>
        </is>
      </c>
      <c r="C2074" t="inlineStr">
        <is>
          <t>Antes de 2026</t>
        </is>
      </c>
      <c r="D2074" t="inlineStr">
        <is>
          <t>Antes de 2026</t>
        </is>
      </c>
      <c r="E2074" s="28" t="n">
        <v>45918</v>
      </c>
      <c r="F2074" t="inlineStr">
        <is>
          <t>CT-e</t>
        </is>
      </c>
      <c r="G2074" t="inlineStr">
        <is>
          <t>000005239</t>
        </is>
      </c>
      <c r="H2074" t="inlineStr">
        <is>
          <t>R&amp;R TRANSPORTE E LOGISTICA</t>
        </is>
      </c>
      <c r="J2074" s="29" t="n">
        <v>23.33</v>
      </c>
      <c r="K2074" s="29">
        <f>(1-ISNUMBER(SEARCH("556",M2074)))*(O2074*SUMIFS(Premissas!$C$5:$C$44,Premissas!$A$5:$A$44,$A2074,Premissas!$B$5:$B$44,$B2074)+P2074*SUMIFS(Premissas!$D$5:$D$44,Premissas!$A$5:$A$44,$A2074,Premissas!$B$5:$B$44,$B2074))+R2074*SUMIFS(Premissas!$E$5:$E$44,Premissas!$A$5:$A$44,$A2074,Premissas!$B$5:$B$44,$B2074)+S2074*SUMIFS(Premissas!$F$5:$F$44,Premissas!$A$5:$A$44,$A2074,Premissas!$B$5:$B$44,$B2074)</f>
        <v/>
      </c>
      <c r="L2074" s="29">
        <f>J2074-K2074</f>
        <v/>
      </c>
      <c r="M2074" t="inlineStr">
        <is>
          <t>1.350</t>
        </is>
      </c>
      <c r="N2074" t="inlineStr">
        <is>
          <t>Modalidade: 0 - Por conta do remetente | Parte: LA SERAFIM COMERCIO DE EMBALAGENS LTDA (07.797.641/0001-68)</t>
        </is>
      </c>
      <c r="O2074" s="29" t="n">
        <v>0</v>
      </c>
      <c r="P2074" s="29" t="n">
        <v>0</v>
      </c>
      <c r="Q2074" s="29" t="n">
        <v>0</v>
      </c>
      <c r="R2074" s="29" t="n">
        <v>0</v>
      </c>
      <c r="S2074" s="29" t="n">
        <v>0</v>
      </c>
      <c r="T2074" t="inlineStr">
        <is>
          <t>25250926975620000130570010000052391000150388</t>
        </is>
      </c>
      <c r="U2074" t="inlineStr">
        <is>
          <t>Não</t>
        </is>
      </c>
    </row>
    <row r="2075">
      <c r="A2075" t="inlineStr">
        <is>
          <t>Frete de venda</t>
        </is>
      </c>
      <c r="B2075" t="inlineStr">
        <is>
          <t>2.01.02 Frete sobre Vendas</t>
        </is>
      </c>
      <c r="C2075" t="inlineStr">
        <is>
          <t>Antes de 2026</t>
        </is>
      </c>
      <c r="D2075" t="inlineStr">
        <is>
          <t>Antes de 2026</t>
        </is>
      </c>
      <c r="E2075" s="28" t="n">
        <v>45918</v>
      </c>
      <c r="F2075" t="inlineStr">
        <is>
          <t>CT-e</t>
        </is>
      </c>
      <c r="G2075" t="inlineStr">
        <is>
          <t>000005240</t>
        </is>
      </c>
      <c r="H2075" t="inlineStr">
        <is>
          <t>R&amp;R TRANSPORTE E LOGISTICA</t>
        </is>
      </c>
      <c r="J2075" s="29" t="n">
        <v>40.99</v>
      </c>
      <c r="K2075" s="29">
        <f>(1-ISNUMBER(SEARCH("556",M2075)))*(O2075*SUMIFS(Premissas!$C$5:$C$44,Premissas!$A$5:$A$44,$A2075,Premissas!$B$5:$B$44,$B2075)+P2075*SUMIFS(Premissas!$D$5:$D$44,Premissas!$A$5:$A$44,$A2075,Premissas!$B$5:$B$44,$B2075))+R2075*SUMIFS(Premissas!$E$5:$E$44,Premissas!$A$5:$A$44,$A2075,Premissas!$B$5:$B$44,$B2075)+S2075*SUMIFS(Premissas!$F$5:$F$44,Premissas!$A$5:$A$44,$A2075,Premissas!$B$5:$B$44,$B2075)</f>
        <v/>
      </c>
      <c r="L2075" s="29">
        <f>J2075-K2075</f>
        <v/>
      </c>
      <c r="M2075" t="inlineStr">
        <is>
          <t>1.350</t>
        </is>
      </c>
      <c r="N2075" t="inlineStr">
        <is>
          <t>Modalidade: 0 - Por conta do remetente | Parte: EMEK DISTRIBUIDORA DE DOCES LTDA (09.206.720/0001-82)</t>
        </is>
      </c>
      <c r="O2075" s="29" t="n">
        <v>0</v>
      </c>
      <c r="P2075" s="29" t="n">
        <v>0</v>
      </c>
      <c r="Q2075" s="29" t="n">
        <v>0</v>
      </c>
      <c r="R2075" s="29" t="n">
        <v>0</v>
      </c>
      <c r="S2075" s="29" t="n">
        <v>0</v>
      </c>
      <c r="T2075" t="inlineStr">
        <is>
          <t>25250926975620000130570010000052401000120463</t>
        </is>
      </c>
      <c r="U2075" t="inlineStr">
        <is>
          <t>Não</t>
        </is>
      </c>
    </row>
    <row r="2076">
      <c r="A2076" t="inlineStr">
        <is>
          <t>Frete de venda</t>
        </is>
      </c>
      <c r="B2076" t="inlineStr">
        <is>
          <t>2.01.02 Frete sobre Vendas</t>
        </is>
      </c>
      <c r="C2076" t="inlineStr">
        <is>
          <t>Antes de 2026</t>
        </is>
      </c>
      <c r="D2076" t="inlineStr">
        <is>
          <t>Antes de 2026</t>
        </is>
      </c>
      <c r="E2076" s="28" t="n">
        <v>45918</v>
      </c>
      <c r="F2076" t="inlineStr">
        <is>
          <t>CT-e</t>
        </is>
      </c>
      <c r="G2076" t="inlineStr">
        <is>
          <t>000005241</t>
        </is>
      </c>
      <c r="H2076" t="inlineStr">
        <is>
          <t>R&amp;R TRANSPORTE E LOGISTICA</t>
        </is>
      </c>
      <c r="J2076" s="29" t="n">
        <v>20.49</v>
      </c>
      <c r="K2076" s="29">
        <f>(1-ISNUMBER(SEARCH("556",M2076)))*(O2076*SUMIFS(Premissas!$C$5:$C$44,Premissas!$A$5:$A$44,$A2076,Premissas!$B$5:$B$44,$B2076)+P2076*SUMIFS(Premissas!$D$5:$D$44,Premissas!$A$5:$A$44,$A2076,Premissas!$B$5:$B$44,$B2076))+R2076*SUMIFS(Premissas!$E$5:$E$44,Premissas!$A$5:$A$44,$A2076,Premissas!$B$5:$B$44,$B2076)+S2076*SUMIFS(Premissas!$F$5:$F$44,Premissas!$A$5:$A$44,$A2076,Premissas!$B$5:$B$44,$B2076)</f>
        <v/>
      </c>
      <c r="L2076" s="29">
        <f>J2076-K2076</f>
        <v/>
      </c>
      <c r="M2076" t="inlineStr">
        <is>
          <t>1.350</t>
        </is>
      </c>
      <c r="N2076" t="inlineStr">
        <is>
          <t>Modalidade: 0 - Por conta do remetente | Parte: AURIZETE BEZERRA DE CERQUEIRA ANDRADE (05.459.500/0001-00)</t>
        </is>
      </c>
      <c r="O2076" s="29" t="n">
        <v>0</v>
      </c>
      <c r="P2076" s="29" t="n">
        <v>0</v>
      </c>
      <c r="Q2076" s="29" t="n">
        <v>0</v>
      </c>
      <c r="R2076" s="29" t="n">
        <v>0</v>
      </c>
      <c r="S2076" s="29" t="n">
        <v>0</v>
      </c>
      <c r="T2076" t="inlineStr">
        <is>
          <t>25250926975620000130570010000052411001100544</t>
        </is>
      </c>
      <c r="U2076" t="inlineStr">
        <is>
          <t>Não</t>
        </is>
      </c>
    </row>
    <row r="2077">
      <c r="A2077" t="inlineStr">
        <is>
          <t>Frete de venda</t>
        </is>
      </c>
      <c r="B2077" t="inlineStr">
        <is>
          <t>2.01.02 Frete sobre Vendas</t>
        </is>
      </c>
      <c r="C2077" t="inlineStr">
        <is>
          <t>Antes de 2026</t>
        </is>
      </c>
      <c r="D2077" t="inlineStr">
        <is>
          <t>Antes de 2026</t>
        </is>
      </c>
      <c r="E2077" s="28" t="n">
        <v>45918</v>
      </c>
      <c r="F2077" t="inlineStr">
        <is>
          <t>CT-e</t>
        </is>
      </c>
      <c r="G2077" t="inlineStr">
        <is>
          <t>000005242</t>
        </is>
      </c>
      <c r="H2077" t="inlineStr">
        <is>
          <t>R&amp;R TRANSPORTE E LOGISTICA</t>
        </is>
      </c>
      <c r="J2077" s="29" t="n">
        <v>12.41</v>
      </c>
      <c r="K2077" s="29">
        <f>(1-ISNUMBER(SEARCH("556",M2077)))*(O2077*SUMIFS(Premissas!$C$5:$C$44,Premissas!$A$5:$A$44,$A2077,Premissas!$B$5:$B$44,$B2077)+P2077*SUMIFS(Premissas!$D$5:$D$44,Premissas!$A$5:$A$44,$A2077,Premissas!$B$5:$B$44,$B2077))+R2077*SUMIFS(Premissas!$E$5:$E$44,Premissas!$A$5:$A$44,$A2077,Premissas!$B$5:$B$44,$B2077)+S2077*SUMIFS(Premissas!$F$5:$F$44,Premissas!$A$5:$A$44,$A2077,Premissas!$B$5:$B$44,$B2077)</f>
        <v/>
      </c>
      <c r="L2077" s="29">
        <f>J2077-K2077</f>
        <v/>
      </c>
      <c r="M2077" t="inlineStr">
        <is>
          <t>1.350</t>
        </is>
      </c>
      <c r="N2077" t="inlineStr">
        <is>
          <t>Modalidade: 0 - Por conta do remetente | Parte: PRO-VAREJO COMERCIO DE EMBALAGENS LTDA (45.181.701/0001-02)</t>
        </is>
      </c>
      <c r="O2077" s="29" t="n">
        <v>0</v>
      </c>
      <c r="P2077" s="29" t="n">
        <v>0</v>
      </c>
      <c r="Q2077" s="29" t="n">
        <v>0</v>
      </c>
      <c r="R2077" s="29" t="n">
        <v>0</v>
      </c>
      <c r="S2077" s="29" t="n">
        <v>0</v>
      </c>
      <c r="T2077" t="inlineStr">
        <is>
          <t>25250926975620000130570010000052421000170627</t>
        </is>
      </c>
      <c r="U2077" t="inlineStr">
        <is>
          <t>Não</t>
        </is>
      </c>
    </row>
    <row r="2078">
      <c r="A2078" t="inlineStr">
        <is>
          <t>Frete de venda</t>
        </is>
      </c>
      <c r="B2078" t="inlineStr">
        <is>
          <t>2.01.02 Frete sobre Vendas</t>
        </is>
      </c>
      <c r="C2078" t="inlineStr">
        <is>
          <t>Antes de 2026</t>
        </is>
      </c>
      <c r="D2078" t="inlineStr">
        <is>
          <t>Antes de 2026</t>
        </is>
      </c>
      <c r="E2078" s="28" t="n">
        <v>45918</v>
      </c>
      <c r="F2078" t="inlineStr">
        <is>
          <t>CT-e</t>
        </is>
      </c>
      <c r="G2078" t="inlineStr">
        <is>
          <t>000005243</t>
        </is>
      </c>
      <c r="H2078" t="inlineStr">
        <is>
          <t>R&amp;R TRANSPORTE E LOGISTICA</t>
        </is>
      </c>
      <c r="J2078" s="29" t="n">
        <v>18.96</v>
      </c>
      <c r="K2078" s="29">
        <f>(1-ISNUMBER(SEARCH("556",M2078)))*(O2078*SUMIFS(Premissas!$C$5:$C$44,Premissas!$A$5:$A$44,$A2078,Premissas!$B$5:$B$44,$B2078)+P2078*SUMIFS(Premissas!$D$5:$D$44,Premissas!$A$5:$A$44,$A2078,Premissas!$B$5:$B$44,$B2078))+R2078*SUMIFS(Premissas!$E$5:$E$44,Premissas!$A$5:$A$44,$A2078,Premissas!$B$5:$B$44,$B2078)+S2078*SUMIFS(Premissas!$F$5:$F$44,Premissas!$A$5:$A$44,$A2078,Premissas!$B$5:$B$44,$B2078)</f>
        <v/>
      </c>
      <c r="L2078" s="29">
        <f>J2078-K2078</f>
        <v/>
      </c>
      <c r="M2078" t="inlineStr">
        <is>
          <t>1.350</t>
        </is>
      </c>
      <c r="N2078" t="inlineStr">
        <is>
          <t>Modalidade: 0 - Por conta do remetente | Parte: R.J COMERCIO DE EMBALAGENS LTDA (38.204.536/0001-00)</t>
        </is>
      </c>
      <c r="O2078" s="29" t="n">
        <v>0</v>
      </c>
      <c r="P2078" s="29" t="n">
        <v>0</v>
      </c>
      <c r="Q2078" s="29" t="n">
        <v>0</v>
      </c>
      <c r="R2078" s="29" t="n">
        <v>0</v>
      </c>
      <c r="S2078" s="29" t="n">
        <v>0</v>
      </c>
      <c r="T2078" t="inlineStr">
        <is>
          <t>25250926975620000130570010000052431000140709</t>
        </is>
      </c>
      <c r="U2078" t="inlineStr">
        <is>
          <t>Não</t>
        </is>
      </c>
    </row>
    <row r="2079">
      <c r="A2079" t="inlineStr">
        <is>
          <t>Frete de venda</t>
        </is>
      </c>
      <c r="B2079" t="inlineStr">
        <is>
          <t>2.01.02 Frete sobre Vendas</t>
        </is>
      </c>
      <c r="C2079" t="inlineStr">
        <is>
          <t>Antes de 2026</t>
        </is>
      </c>
      <c r="D2079" t="inlineStr">
        <is>
          <t>Antes de 2026</t>
        </is>
      </c>
      <c r="E2079" s="28" t="n">
        <v>45918</v>
      </c>
      <c r="F2079" t="inlineStr">
        <is>
          <t>CT-e</t>
        </is>
      </c>
      <c r="G2079" t="inlineStr">
        <is>
          <t>000005244</t>
        </is>
      </c>
      <c r="H2079" t="inlineStr">
        <is>
          <t>R&amp;R TRANSPORTE E LOGISTICA</t>
        </is>
      </c>
      <c r="J2079" s="29" t="n">
        <v>14.61</v>
      </c>
      <c r="K2079" s="29">
        <f>(1-ISNUMBER(SEARCH("556",M2079)))*(O2079*SUMIFS(Premissas!$C$5:$C$44,Premissas!$A$5:$A$44,$A2079,Premissas!$B$5:$B$44,$B2079)+P2079*SUMIFS(Premissas!$D$5:$D$44,Premissas!$A$5:$A$44,$A2079,Premissas!$B$5:$B$44,$B2079))+R2079*SUMIFS(Premissas!$E$5:$E$44,Premissas!$A$5:$A$44,$A2079,Premissas!$B$5:$B$44,$B2079)+S2079*SUMIFS(Premissas!$F$5:$F$44,Premissas!$A$5:$A$44,$A2079,Premissas!$B$5:$B$44,$B2079)</f>
        <v/>
      </c>
      <c r="L2079" s="29">
        <f>J2079-K2079</f>
        <v/>
      </c>
      <c r="M2079" t="inlineStr">
        <is>
          <t>1.350</t>
        </is>
      </c>
      <c r="N2079" t="inlineStr">
        <is>
          <t>Modalidade: 0 - Por conta do remetente | Parte: CLARINDO JOSE DA SILVA DE GUANAMBI (40.503.526/0001-09)</t>
        </is>
      </c>
      <c r="O2079" s="29" t="n">
        <v>0</v>
      </c>
      <c r="P2079" s="29" t="n">
        <v>0</v>
      </c>
      <c r="Q2079" s="29" t="n">
        <v>0</v>
      </c>
      <c r="R2079" s="29" t="n">
        <v>0</v>
      </c>
      <c r="S2079" s="29" t="n">
        <v>0</v>
      </c>
      <c r="T2079" t="inlineStr">
        <is>
          <t>25250926975620000130570010000052441000110785</t>
        </is>
      </c>
      <c r="U2079" t="inlineStr">
        <is>
          <t>Não</t>
        </is>
      </c>
    </row>
    <row r="2080">
      <c r="A2080" t="inlineStr">
        <is>
          <t>Frete de venda</t>
        </is>
      </c>
      <c r="B2080" t="inlineStr">
        <is>
          <t>2.01.02 Frete sobre Vendas</t>
        </is>
      </c>
      <c r="C2080" t="inlineStr">
        <is>
          <t>Antes de 2026</t>
        </is>
      </c>
      <c r="D2080" t="inlineStr">
        <is>
          <t>Antes de 2026</t>
        </is>
      </c>
      <c r="E2080" s="28" t="n">
        <v>45918</v>
      </c>
      <c r="F2080" t="inlineStr">
        <is>
          <t>CT-e</t>
        </is>
      </c>
      <c r="G2080" t="inlineStr">
        <is>
          <t>000005245</t>
        </is>
      </c>
      <c r="H2080" t="inlineStr">
        <is>
          <t>R&amp;R TRANSPORTE E LOGISTICA</t>
        </is>
      </c>
      <c r="J2080" s="29" t="n">
        <v>18.88</v>
      </c>
      <c r="K2080" s="29">
        <f>(1-ISNUMBER(SEARCH("556",M2080)))*(O2080*SUMIFS(Premissas!$C$5:$C$44,Premissas!$A$5:$A$44,$A2080,Premissas!$B$5:$B$44,$B2080)+P2080*SUMIFS(Premissas!$D$5:$D$44,Premissas!$A$5:$A$44,$A2080,Premissas!$B$5:$B$44,$B2080))+R2080*SUMIFS(Premissas!$E$5:$E$44,Premissas!$A$5:$A$44,$A2080,Premissas!$B$5:$B$44,$B2080)+S2080*SUMIFS(Premissas!$F$5:$F$44,Premissas!$A$5:$A$44,$A2080,Premissas!$B$5:$B$44,$B2080)</f>
        <v/>
      </c>
      <c r="L2080" s="29">
        <f>J2080-K2080</f>
        <v/>
      </c>
      <c r="M2080" t="inlineStr">
        <is>
          <t>1.350</t>
        </is>
      </c>
      <c r="N2080" t="inlineStr">
        <is>
          <t>Modalidade: 0 - Por conta do remetente | Parte: COMERCIAL VIEIRA EMBALAGENS LTDA (29.750.293/0001-06)</t>
        </is>
      </c>
      <c r="O2080" s="29" t="n">
        <v>0</v>
      </c>
      <c r="P2080" s="29" t="n">
        <v>0</v>
      </c>
      <c r="Q2080" s="29" t="n">
        <v>0</v>
      </c>
      <c r="R2080" s="29" t="n">
        <v>0</v>
      </c>
      <c r="S2080" s="29" t="n">
        <v>0</v>
      </c>
      <c r="T2080" t="inlineStr">
        <is>
          <t>25250926975620000130570010000052451000190867</t>
        </is>
      </c>
      <c r="U2080" t="inlineStr">
        <is>
          <t>Não</t>
        </is>
      </c>
    </row>
    <row r="2081">
      <c r="A2081" t="inlineStr">
        <is>
          <t>Frete de venda</t>
        </is>
      </c>
      <c r="B2081" t="inlineStr">
        <is>
          <t>2.01.02 Frete sobre Vendas</t>
        </is>
      </c>
      <c r="C2081" t="inlineStr">
        <is>
          <t>Antes de 2026</t>
        </is>
      </c>
      <c r="D2081" t="inlineStr">
        <is>
          <t>Antes de 2026</t>
        </is>
      </c>
      <c r="E2081" s="28" t="n">
        <v>45918</v>
      </c>
      <c r="F2081" t="inlineStr">
        <is>
          <t>CT-e</t>
        </is>
      </c>
      <c r="G2081" t="inlineStr">
        <is>
          <t>000005246</t>
        </is>
      </c>
      <c r="H2081" t="inlineStr">
        <is>
          <t>R&amp;R TRANSPORTE E LOGISTICA</t>
        </is>
      </c>
      <c r="J2081" s="29" t="n">
        <v>13.01</v>
      </c>
      <c r="K2081" s="29">
        <f>(1-ISNUMBER(SEARCH("556",M2081)))*(O2081*SUMIFS(Premissas!$C$5:$C$44,Premissas!$A$5:$A$44,$A2081,Premissas!$B$5:$B$44,$B2081)+P2081*SUMIFS(Premissas!$D$5:$D$44,Premissas!$A$5:$A$44,$A2081,Premissas!$B$5:$B$44,$B2081))+R2081*SUMIFS(Premissas!$E$5:$E$44,Premissas!$A$5:$A$44,$A2081,Premissas!$B$5:$B$44,$B2081)+S2081*SUMIFS(Premissas!$F$5:$F$44,Premissas!$A$5:$A$44,$A2081,Premissas!$B$5:$B$44,$B2081)</f>
        <v/>
      </c>
      <c r="L2081" s="29">
        <f>J2081-K2081</f>
        <v/>
      </c>
      <c r="M2081" t="inlineStr">
        <is>
          <t>1.350</t>
        </is>
      </c>
      <c r="N2081" t="inlineStr">
        <is>
          <t>Modalidade: 0 - Por conta do remetente | Parte: LUIS HENRIQUE CERQUEIRA DA SILVA (26.119.129/0001-07)</t>
        </is>
      </c>
      <c r="O2081" s="29" t="n">
        <v>0</v>
      </c>
      <c r="P2081" s="29" t="n">
        <v>0</v>
      </c>
      <c r="Q2081" s="29" t="n">
        <v>0</v>
      </c>
      <c r="R2081" s="29" t="n">
        <v>0</v>
      </c>
      <c r="S2081" s="29" t="n">
        <v>0</v>
      </c>
      <c r="T2081" t="inlineStr">
        <is>
          <t>25250926975620000130570010000052461000160949</t>
        </is>
      </c>
      <c r="U2081" t="inlineStr">
        <is>
          <t>Não</t>
        </is>
      </c>
    </row>
    <row r="2082">
      <c r="A2082" t="inlineStr">
        <is>
          <t>Frete de venda</t>
        </is>
      </c>
      <c r="B2082" t="inlineStr">
        <is>
          <t>2.01.02 Frete sobre Vendas</t>
        </is>
      </c>
      <c r="C2082" t="inlineStr">
        <is>
          <t>Antes de 2026</t>
        </is>
      </c>
      <c r="D2082" t="inlineStr">
        <is>
          <t>Antes de 2026</t>
        </is>
      </c>
      <c r="E2082" s="28" t="n">
        <v>45918</v>
      </c>
      <c r="F2082" t="inlineStr">
        <is>
          <t>CT-e</t>
        </is>
      </c>
      <c r="G2082" t="inlineStr">
        <is>
          <t>000005247</t>
        </is>
      </c>
      <c r="H2082" t="inlineStr">
        <is>
          <t>R&amp;R TRANSPORTE E LOGISTICA</t>
        </is>
      </c>
      <c r="J2082" s="29" t="n">
        <v>14.36</v>
      </c>
      <c r="K2082" s="29">
        <f>(1-ISNUMBER(SEARCH("556",M2082)))*(O2082*SUMIFS(Premissas!$C$5:$C$44,Premissas!$A$5:$A$44,$A2082,Premissas!$B$5:$B$44,$B2082)+P2082*SUMIFS(Premissas!$D$5:$D$44,Premissas!$A$5:$A$44,$A2082,Premissas!$B$5:$B$44,$B2082))+R2082*SUMIFS(Premissas!$E$5:$E$44,Premissas!$A$5:$A$44,$A2082,Premissas!$B$5:$B$44,$B2082)+S2082*SUMIFS(Premissas!$F$5:$F$44,Premissas!$A$5:$A$44,$A2082,Premissas!$B$5:$B$44,$B2082)</f>
        <v/>
      </c>
      <c r="L2082" s="29">
        <f>J2082-K2082</f>
        <v/>
      </c>
      <c r="M2082" t="inlineStr">
        <is>
          <t>1.350</t>
        </is>
      </c>
      <c r="N2082" t="inlineStr">
        <is>
          <t>Modalidade: 0 - Por conta do remetente | Parte: SACOLA FORTE COMERCIO DE EMBALAGENS LTDA (50.626.070/0001-28)</t>
        </is>
      </c>
      <c r="O2082" s="29" t="n">
        <v>0</v>
      </c>
      <c r="P2082" s="29" t="n">
        <v>0</v>
      </c>
      <c r="Q2082" s="29" t="n">
        <v>0</v>
      </c>
      <c r="R2082" s="29" t="n">
        <v>0</v>
      </c>
      <c r="S2082" s="29" t="n">
        <v>0</v>
      </c>
      <c r="T2082" t="inlineStr">
        <is>
          <t>25250926975620000130570010000052471001301020</t>
        </is>
      </c>
      <c r="U2082" t="inlineStr">
        <is>
          <t>Não</t>
        </is>
      </c>
    </row>
    <row r="2083">
      <c r="A2083" t="inlineStr">
        <is>
          <t>Frete de venda</t>
        </is>
      </c>
      <c r="B2083" t="inlineStr">
        <is>
          <t>2.01.02 Frete sobre Vendas</t>
        </is>
      </c>
      <c r="C2083" t="inlineStr">
        <is>
          <t>Antes de 2026</t>
        </is>
      </c>
      <c r="D2083" t="inlineStr">
        <is>
          <t>Antes de 2026</t>
        </is>
      </c>
      <c r="E2083" s="28" t="n">
        <v>45918</v>
      </c>
      <c r="F2083" t="inlineStr">
        <is>
          <t>CT-e</t>
        </is>
      </c>
      <c r="G2083" t="inlineStr">
        <is>
          <t>000005248</t>
        </is>
      </c>
      <c r="H2083" t="inlineStr">
        <is>
          <t>R&amp;R TRANSPORTE E LOGISTICA</t>
        </is>
      </c>
      <c r="J2083" s="29" t="n">
        <v>24.04</v>
      </c>
      <c r="K2083" s="29">
        <f>(1-ISNUMBER(SEARCH("556",M2083)))*(O2083*SUMIFS(Premissas!$C$5:$C$44,Premissas!$A$5:$A$44,$A2083,Premissas!$B$5:$B$44,$B2083)+P2083*SUMIFS(Premissas!$D$5:$D$44,Premissas!$A$5:$A$44,$A2083,Premissas!$B$5:$B$44,$B2083))+R2083*SUMIFS(Premissas!$E$5:$E$44,Premissas!$A$5:$A$44,$A2083,Premissas!$B$5:$B$44,$B2083)+S2083*SUMIFS(Premissas!$F$5:$F$44,Premissas!$A$5:$A$44,$A2083,Premissas!$B$5:$B$44,$B2083)</f>
        <v/>
      </c>
      <c r="L2083" s="29">
        <f>J2083-K2083</f>
        <v/>
      </c>
      <c r="M2083" t="inlineStr">
        <is>
          <t>1.350</t>
        </is>
      </c>
      <c r="N2083" t="inlineStr">
        <is>
          <t>Modalidade: 0 - Por conta do remetente | Parte: BAIXINHO EMBALAGENS LTDA (49.023.382/0001-68)</t>
        </is>
      </c>
      <c r="O2083" s="29" t="n">
        <v>0</v>
      </c>
      <c r="P2083" s="29" t="n">
        <v>0</v>
      </c>
      <c r="Q2083" s="29" t="n">
        <v>0</v>
      </c>
      <c r="R2083" s="29" t="n">
        <v>0</v>
      </c>
      <c r="S2083" s="29" t="n">
        <v>0</v>
      </c>
      <c r="T2083" t="inlineStr">
        <is>
          <t>25250926975620000130570010000052481000101106</t>
        </is>
      </c>
      <c r="U2083" t="inlineStr">
        <is>
          <t>Não</t>
        </is>
      </c>
    </row>
    <row r="2084">
      <c r="A2084" t="inlineStr">
        <is>
          <t>Frete de venda</t>
        </is>
      </c>
      <c r="B2084" t="inlineStr">
        <is>
          <t>2.01.02 Frete sobre Vendas</t>
        </is>
      </c>
      <c r="C2084" t="inlineStr">
        <is>
          <t>Antes de 2026</t>
        </is>
      </c>
      <c r="D2084" t="inlineStr">
        <is>
          <t>Antes de 2026</t>
        </is>
      </c>
      <c r="E2084" s="28" t="n">
        <v>45918</v>
      </c>
      <c r="F2084" t="inlineStr">
        <is>
          <t>CT-e</t>
        </is>
      </c>
      <c r="G2084" t="inlineStr">
        <is>
          <t>000005249</t>
        </is>
      </c>
      <c r="H2084" t="inlineStr">
        <is>
          <t>R&amp;R TRANSPORTE E LOGISTICA</t>
        </is>
      </c>
      <c r="J2084" s="29" t="n">
        <v>13.95</v>
      </c>
      <c r="K2084" s="29">
        <f>(1-ISNUMBER(SEARCH("556",M2084)))*(O2084*SUMIFS(Premissas!$C$5:$C$44,Premissas!$A$5:$A$44,$A2084,Premissas!$B$5:$B$44,$B2084)+P2084*SUMIFS(Premissas!$D$5:$D$44,Premissas!$A$5:$A$44,$A2084,Premissas!$B$5:$B$44,$B2084))+R2084*SUMIFS(Premissas!$E$5:$E$44,Premissas!$A$5:$A$44,$A2084,Premissas!$B$5:$B$44,$B2084)+S2084*SUMIFS(Premissas!$F$5:$F$44,Premissas!$A$5:$A$44,$A2084,Premissas!$B$5:$B$44,$B2084)</f>
        <v/>
      </c>
      <c r="L2084" s="29">
        <f>J2084-K2084</f>
        <v/>
      </c>
      <c r="M2084" t="inlineStr">
        <is>
          <t>1.350</t>
        </is>
      </c>
      <c r="N2084" t="inlineStr">
        <is>
          <t>Modalidade: 0 - Por conta do remetente | Parte: COMERCIO DE MIX E ACAI DO VALLE LTDA (36.951.535/0001-95)</t>
        </is>
      </c>
      <c r="O2084" s="29" t="n">
        <v>0</v>
      </c>
      <c r="P2084" s="29" t="n">
        <v>0</v>
      </c>
      <c r="Q2084" s="29" t="n">
        <v>0</v>
      </c>
      <c r="R2084" s="29" t="n">
        <v>0</v>
      </c>
      <c r="S2084" s="29" t="n">
        <v>0</v>
      </c>
      <c r="T2084" t="inlineStr">
        <is>
          <t>25250926975620000130570010000052491000110455</t>
        </is>
      </c>
      <c r="U2084" t="inlineStr">
        <is>
          <t>Não</t>
        </is>
      </c>
    </row>
    <row r="2085">
      <c r="A2085" t="inlineStr">
        <is>
          <t>Frete de venda</t>
        </is>
      </c>
      <c r="B2085" t="inlineStr">
        <is>
          <t>2.01.02 Frete sobre Vendas</t>
        </is>
      </c>
      <c r="C2085" t="inlineStr">
        <is>
          <t>Antes de 2026</t>
        </is>
      </c>
      <c r="D2085" t="inlineStr">
        <is>
          <t>Antes de 2026</t>
        </is>
      </c>
      <c r="E2085" s="28" t="n">
        <v>45919</v>
      </c>
      <c r="F2085" t="inlineStr">
        <is>
          <t>CT-e</t>
        </is>
      </c>
      <c r="G2085" t="inlineStr">
        <is>
          <t>000005253</t>
        </is>
      </c>
      <c r="H2085" t="inlineStr">
        <is>
          <t>R&amp;R TRANSPORTE E LOGISTICA</t>
        </is>
      </c>
      <c r="J2085" s="29" t="n">
        <v>191.71</v>
      </c>
      <c r="K2085" s="29">
        <f>(1-ISNUMBER(SEARCH("556",M2085)))*(O2085*SUMIFS(Premissas!$C$5:$C$44,Premissas!$A$5:$A$44,$A2085,Premissas!$B$5:$B$44,$B2085)+P2085*SUMIFS(Premissas!$D$5:$D$44,Premissas!$A$5:$A$44,$A2085,Premissas!$B$5:$B$44,$B2085))+R2085*SUMIFS(Premissas!$E$5:$E$44,Premissas!$A$5:$A$44,$A2085,Premissas!$B$5:$B$44,$B2085)+S2085*SUMIFS(Premissas!$F$5:$F$44,Premissas!$A$5:$A$44,$A2085,Premissas!$B$5:$B$44,$B2085)</f>
        <v/>
      </c>
      <c r="L2085" s="29">
        <f>J2085-K2085</f>
        <v/>
      </c>
      <c r="M2085" t="inlineStr">
        <is>
          <t>1.350</t>
        </is>
      </c>
      <c r="N2085" t="inlineStr">
        <is>
          <t>Modalidade: 0 - Por conta do remetente | Parte: LATICINIO SANTANA SILVA ATACADO LTDA (43.223.755/0001-68)</t>
        </is>
      </c>
      <c r="O2085" s="29" t="n">
        <v>0</v>
      </c>
      <c r="P2085" s="29" t="n">
        <v>0</v>
      </c>
      <c r="Q2085" s="29" t="n">
        <v>0</v>
      </c>
      <c r="R2085" s="29" t="n">
        <v>0</v>
      </c>
      <c r="S2085" s="29" t="n">
        <v>0</v>
      </c>
      <c r="T2085" t="inlineStr">
        <is>
          <t>25250926975620000130570010000052531011001094</t>
        </is>
      </c>
      <c r="U2085" t="inlineStr">
        <is>
          <t>Não</t>
        </is>
      </c>
    </row>
    <row r="2086">
      <c r="A2086" t="inlineStr">
        <is>
          <t>Frete de venda</t>
        </is>
      </c>
      <c r="B2086" t="inlineStr">
        <is>
          <t>2.01.02 Frete sobre Vendas</t>
        </is>
      </c>
      <c r="C2086" t="inlineStr">
        <is>
          <t>Antes de 2026</t>
        </is>
      </c>
      <c r="D2086" t="inlineStr">
        <is>
          <t>Antes de 2026</t>
        </is>
      </c>
      <c r="E2086" s="28" t="n">
        <v>45922</v>
      </c>
      <c r="F2086" t="inlineStr">
        <is>
          <t>CT-e</t>
        </is>
      </c>
      <c r="G2086" t="inlineStr">
        <is>
          <t>000005258</t>
        </is>
      </c>
      <c r="H2086" t="inlineStr">
        <is>
          <t>R&amp;R TRANSPORTE E LOGISTICA</t>
        </is>
      </c>
      <c r="J2086" s="29" t="n">
        <v>68.45999999999999</v>
      </c>
      <c r="K2086" s="29">
        <f>(1-ISNUMBER(SEARCH("556",M2086)))*(O2086*SUMIFS(Premissas!$C$5:$C$44,Premissas!$A$5:$A$44,$A2086,Premissas!$B$5:$B$44,$B2086)+P2086*SUMIFS(Premissas!$D$5:$D$44,Premissas!$A$5:$A$44,$A2086,Premissas!$B$5:$B$44,$B2086))+R2086*SUMIFS(Premissas!$E$5:$E$44,Premissas!$A$5:$A$44,$A2086,Premissas!$B$5:$B$44,$B2086)+S2086*SUMIFS(Premissas!$F$5:$F$44,Premissas!$A$5:$A$44,$A2086,Premissas!$B$5:$B$44,$B2086)</f>
        <v/>
      </c>
      <c r="L2086" s="29">
        <f>J2086-K2086</f>
        <v/>
      </c>
      <c r="M2086" t="inlineStr">
        <is>
          <t>1.350</t>
        </is>
      </c>
      <c r="N2086" t="inlineStr">
        <is>
          <t>Modalidade: 0 - Por conta do remetente | Parte: WELLINGTON PEREIRA DE SOUZA (13.354.012/0001-66)</t>
        </is>
      </c>
      <c r="O2086" s="29" t="n">
        <v>0</v>
      </c>
      <c r="P2086" s="29" t="n">
        <v>0</v>
      </c>
      <c r="Q2086" s="29" t="n">
        <v>0</v>
      </c>
      <c r="R2086" s="29" t="n">
        <v>0</v>
      </c>
      <c r="S2086" s="29" t="n">
        <v>0</v>
      </c>
      <c r="T2086" t="inlineStr">
        <is>
          <t>25250926975620000130570010000052581001901080</t>
        </is>
      </c>
      <c r="U2086" t="inlineStr">
        <is>
          <t>Não</t>
        </is>
      </c>
    </row>
    <row r="2087">
      <c r="A2087" t="inlineStr">
        <is>
          <t>Frete de venda</t>
        </is>
      </c>
      <c r="B2087" t="inlineStr">
        <is>
          <t>2.01.02 Frete sobre Vendas</t>
        </is>
      </c>
      <c r="C2087" t="inlineStr">
        <is>
          <t>Antes de 2026</t>
        </is>
      </c>
      <c r="D2087" t="inlineStr">
        <is>
          <t>Antes de 2026</t>
        </is>
      </c>
      <c r="E2087" s="28" t="n">
        <v>45922</v>
      </c>
      <c r="F2087" t="inlineStr">
        <is>
          <t>CT-e</t>
        </is>
      </c>
      <c r="G2087" t="inlineStr">
        <is>
          <t>000005259</t>
        </is>
      </c>
      <c r="H2087" t="inlineStr">
        <is>
          <t>R&amp;R TRANSPORTE E LOGISTICA</t>
        </is>
      </c>
      <c r="J2087" s="29" t="n">
        <v>49.8</v>
      </c>
      <c r="K2087" s="29">
        <f>(1-ISNUMBER(SEARCH("556",M2087)))*(O2087*SUMIFS(Premissas!$C$5:$C$44,Premissas!$A$5:$A$44,$A2087,Premissas!$B$5:$B$44,$B2087)+P2087*SUMIFS(Premissas!$D$5:$D$44,Premissas!$A$5:$A$44,$A2087,Premissas!$B$5:$B$44,$B2087))+R2087*SUMIFS(Premissas!$E$5:$E$44,Premissas!$A$5:$A$44,$A2087,Premissas!$B$5:$B$44,$B2087)+S2087*SUMIFS(Premissas!$F$5:$F$44,Premissas!$A$5:$A$44,$A2087,Premissas!$B$5:$B$44,$B2087)</f>
        <v/>
      </c>
      <c r="L2087" s="29">
        <f>J2087-K2087</f>
        <v/>
      </c>
      <c r="M2087" t="inlineStr">
        <is>
          <t>1.350</t>
        </is>
      </c>
      <c r="N2087" t="inlineStr">
        <is>
          <t>Modalidade: 0 - Por conta do remetente | Parte: PJ RIO EMBALAGENS LTDA (45.915.682/0001-09)</t>
        </is>
      </c>
      <c r="O2087" s="29" t="n">
        <v>0</v>
      </c>
      <c r="P2087" s="29" t="n">
        <v>0</v>
      </c>
      <c r="Q2087" s="29" t="n">
        <v>0</v>
      </c>
      <c r="R2087" s="29" t="n">
        <v>0</v>
      </c>
      <c r="S2087" s="29" t="n">
        <v>0</v>
      </c>
      <c r="T2087" t="inlineStr">
        <is>
          <t>25250926975620000130570010000052591001601165</t>
        </is>
      </c>
      <c r="U2087" t="inlineStr">
        <is>
          <t>Não</t>
        </is>
      </c>
    </row>
    <row r="2088">
      <c r="A2088" t="inlineStr">
        <is>
          <t>Frete de venda</t>
        </is>
      </c>
      <c r="B2088" t="inlineStr">
        <is>
          <t>2.01.02 Frete sobre Vendas</t>
        </is>
      </c>
      <c r="C2088" t="inlineStr">
        <is>
          <t>Antes de 2026</t>
        </is>
      </c>
      <c r="D2088" t="inlineStr">
        <is>
          <t>Antes de 2026</t>
        </is>
      </c>
      <c r="E2088" s="28" t="n">
        <v>45922</v>
      </c>
      <c r="F2088" t="inlineStr">
        <is>
          <t>CT-e</t>
        </is>
      </c>
      <c r="G2088" t="inlineStr">
        <is>
          <t>000005260</t>
        </is>
      </c>
      <c r="H2088" t="inlineStr">
        <is>
          <t>R&amp;R TRANSPORTE E LOGISTICA</t>
        </is>
      </c>
      <c r="J2088" s="29" t="n">
        <v>60.9</v>
      </c>
      <c r="K2088" s="29">
        <f>(1-ISNUMBER(SEARCH("556",M2088)))*(O2088*SUMIFS(Premissas!$C$5:$C$44,Premissas!$A$5:$A$44,$A2088,Premissas!$B$5:$B$44,$B2088)+P2088*SUMIFS(Premissas!$D$5:$D$44,Premissas!$A$5:$A$44,$A2088,Premissas!$B$5:$B$44,$B2088))+R2088*SUMIFS(Premissas!$E$5:$E$44,Premissas!$A$5:$A$44,$A2088,Premissas!$B$5:$B$44,$B2088)+S2088*SUMIFS(Premissas!$F$5:$F$44,Premissas!$A$5:$A$44,$A2088,Premissas!$B$5:$B$44,$B2088)</f>
        <v/>
      </c>
      <c r="L2088" s="29">
        <f>J2088-K2088</f>
        <v/>
      </c>
      <c r="M2088" t="inlineStr">
        <is>
          <t>1.350</t>
        </is>
      </c>
      <c r="N2088" t="inlineStr">
        <is>
          <t>Modalidade: 0 - Por conta do remetente | Parte: DL RIO DESCARTAVEIS E LIMPEZA LTDA (43.673.267/0001-52)</t>
        </is>
      </c>
      <c r="O2088" s="29" t="n">
        <v>0</v>
      </c>
      <c r="P2088" s="29" t="n">
        <v>0</v>
      </c>
      <c r="Q2088" s="29" t="n">
        <v>0</v>
      </c>
      <c r="R2088" s="29" t="n">
        <v>0</v>
      </c>
      <c r="S2088" s="29" t="n">
        <v>0</v>
      </c>
      <c r="T2088" t="inlineStr">
        <is>
          <t>25250926975620000130570010000052601001301243</t>
        </is>
      </c>
      <c r="U2088" t="inlineStr">
        <is>
          <t>Não</t>
        </is>
      </c>
    </row>
    <row r="2089">
      <c r="A2089" t="inlineStr">
        <is>
          <t>Frete de venda</t>
        </is>
      </c>
      <c r="B2089" t="inlineStr">
        <is>
          <t>2.01.02 Frete sobre Vendas</t>
        </is>
      </c>
      <c r="C2089" t="inlineStr">
        <is>
          <t>Antes de 2026</t>
        </is>
      </c>
      <c r="D2089" t="inlineStr">
        <is>
          <t>Antes de 2026</t>
        </is>
      </c>
      <c r="E2089" s="28" t="n">
        <v>45922</v>
      </c>
      <c r="F2089" t="inlineStr">
        <is>
          <t>CT-e</t>
        </is>
      </c>
      <c r="G2089" t="inlineStr">
        <is>
          <t>000005261</t>
        </is>
      </c>
      <c r="H2089" t="inlineStr">
        <is>
          <t>R&amp;R TRANSPORTE E LOGISTICA</t>
        </is>
      </c>
      <c r="J2089" s="29" t="n">
        <v>53.73</v>
      </c>
      <c r="K2089" s="29">
        <f>(1-ISNUMBER(SEARCH("556",M2089)))*(O2089*SUMIFS(Premissas!$C$5:$C$44,Premissas!$A$5:$A$44,$A2089,Premissas!$B$5:$B$44,$B2089)+P2089*SUMIFS(Premissas!$D$5:$D$44,Premissas!$A$5:$A$44,$A2089,Premissas!$B$5:$B$44,$B2089))+R2089*SUMIFS(Premissas!$E$5:$E$44,Premissas!$A$5:$A$44,$A2089,Premissas!$B$5:$B$44,$B2089)+S2089*SUMIFS(Premissas!$F$5:$F$44,Premissas!$A$5:$A$44,$A2089,Premissas!$B$5:$B$44,$B2089)</f>
        <v/>
      </c>
      <c r="L2089" s="29">
        <f>J2089-K2089</f>
        <v/>
      </c>
      <c r="M2089" t="inlineStr">
        <is>
          <t>1.350</t>
        </is>
      </c>
      <c r="N2089" t="inlineStr">
        <is>
          <t>Modalidade: 0 - Por conta do remetente | Parte: CAMPEAO 2010 DAS EMBALAGENS LTDA (12.039.358/0002-98)</t>
        </is>
      </c>
      <c r="O2089" s="29" t="n">
        <v>0</v>
      </c>
      <c r="P2089" s="29" t="n">
        <v>0</v>
      </c>
      <c r="Q2089" s="29" t="n">
        <v>0</v>
      </c>
      <c r="R2089" s="29" t="n">
        <v>0</v>
      </c>
      <c r="S2089" s="29" t="n">
        <v>0</v>
      </c>
      <c r="T2089" t="inlineStr">
        <is>
          <t>25250926975620000130570010000052611000140596</t>
        </is>
      </c>
      <c r="U2089" t="inlineStr">
        <is>
          <t>Não</t>
        </is>
      </c>
    </row>
    <row r="2090">
      <c r="A2090" t="inlineStr">
        <is>
          <t>Frete de venda</t>
        </is>
      </c>
      <c r="B2090" t="inlineStr">
        <is>
          <t>2.01.02 Frete sobre Vendas</t>
        </is>
      </c>
      <c r="C2090" t="inlineStr">
        <is>
          <t>Antes de 2026</t>
        </is>
      </c>
      <c r="D2090" t="inlineStr">
        <is>
          <t>Antes de 2026</t>
        </is>
      </c>
      <c r="E2090" s="28" t="n">
        <v>45922</v>
      </c>
      <c r="F2090" t="inlineStr">
        <is>
          <t>CT-e</t>
        </is>
      </c>
      <c r="G2090" t="inlineStr">
        <is>
          <t>000005262</t>
        </is>
      </c>
      <c r="H2090" t="inlineStr">
        <is>
          <t>R&amp;R TRANSPORTE E LOGISTICA</t>
        </is>
      </c>
      <c r="J2090" s="29" t="n">
        <v>304.02</v>
      </c>
      <c r="K2090" s="29">
        <f>(1-ISNUMBER(SEARCH("556",M2090)))*(O2090*SUMIFS(Premissas!$C$5:$C$44,Premissas!$A$5:$A$44,$A2090,Premissas!$B$5:$B$44,$B2090)+P2090*SUMIFS(Premissas!$D$5:$D$44,Premissas!$A$5:$A$44,$A2090,Premissas!$B$5:$B$44,$B2090))+R2090*SUMIFS(Premissas!$E$5:$E$44,Premissas!$A$5:$A$44,$A2090,Premissas!$B$5:$B$44,$B2090)+S2090*SUMIFS(Premissas!$F$5:$F$44,Premissas!$A$5:$A$44,$A2090,Premissas!$B$5:$B$44,$B2090)</f>
        <v/>
      </c>
      <c r="L2090" s="29">
        <f>J2090-K2090</f>
        <v/>
      </c>
      <c r="M2090" t="inlineStr">
        <is>
          <t>1.350</t>
        </is>
      </c>
      <c r="N2090" t="inlineStr">
        <is>
          <t>Modalidade: 0 - Por conta do remetente | Parte: RFC COMERCIO DE MIUDEZAS LTDA (26.514.797/0004-81)</t>
        </is>
      </c>
      <c r="O2090" s="29" t="n">
        <v>0</v>
      </c>
      <c r="P2090" s="29" t="n">
        <v>0</v>
      </c>
      <c r="Q2090" s="29" t="n">
        <v>0</v>
      </c>
      <c r="R2090" s="29" t="n">
        <v>0</v>
      </c>
      <c r="S2090" s="29" t="n">
        <v>0</v>
      </c>
      <c r="T2090" t="inlineStr">
        <is>
          <t>25250926975620000130570010000052621000110678</t>
        </is>
      </c>
      <c r="U2090" t="inlineStr">
        <is>
          <t>Não</t>
        </is>
      </c>
    </row>
    <row r="2091">
      <c r="A2091" t="inlineStr">
        <is>
          <t>Frete de venda</t>
        </is>
      </c>
      <c r="B2091" t="inlineStr">
        <is>
          <t>2.01.02 Frete sobre Vendas</t>
        </is>
      </c>
      <c r="C2091" t="inlineStr">
        <is>
          <t>Antes de 2026</t>
        </is>
      </c>
      <c r="D2091" t="inlineStr">
        <is>
          <t>Antes de 2026</t>
        </is>
      </c>
      <c r="E2091" s="28" t="n">
        <v>45922</v>
      </c>
      <c r="F2091" t="inlineStr">
        <is>
          <t>CT-e</t>
        </is>
      </c>
      <c r="G2091" t="inlineStr">
        <is>
          <t>000005263</t>
        </is>
      </c>
      <c r="H2091" t="inlineStr">
        <is>
          <t>R&amp;R TRANSPORTE E LOGISTICA</t>
        </is>
      </c>
      <c r="J2091" s="29" t="n">
        <v>46.04</v>
      </c>
      <c r="K2091" s="29">
        <f>(1-ISNUMBER(SEARCH("556",M2091)))*(O2091*SUMIFS(Premissas!$C$5:$C$44,Premissas!$A$5:$A$44,$A2091,Premissas!$B$5:$B$44,$B2091)+P2091*SUMIFS(Premissas!$D$5:$D$44,Premissas!$A$5:$A$44,$A2091,Premissas!$B$5:$B$44,$B2091))+R2091*SUMIFS(Premissas!$E$5:$E$44,Premissas!$A$5:$A$44,$A2091,Premissas!$B$5:$B$44,$B2091)+S2091*SUMIFS(Premissas!$F$5:$F$44,Premissas!$A$5:$A$44,$A2091,Premissas!$B$5:$B$44,$B2091)</f>
        <v/>
      </c>
      <c r="L2091" s="29">
        <f>J2091-K2091</f>
        <v/>
      </c>
      <c r="M2091" t="inlineStr">
        <is>
          <t>1.350</t>
        </is>
      </c>
      <c r="N2091" t="inlineStr">
        <is>
          <t>Modalidade: 0 - Por conta do remetente | Parte: AP SACARIA EMBALAGENS LTDA (20.402.088/0001-85)</t>
        </is>
      </c>
      <c r="O2091" s="29" t="n">
        <v>0</v>
      </c>
      <c r="P2091" s="29" t="n">
        <v>0</v>
      </c>
      <c r="Q2091" s="29" t="n">
        <v>0</v>
      </c>
      <c r="R2091" s="29" t="n">
        <v>0</v>
      </c>
      <c r="S2091" s="29" t="n">
        <v>0</v>
      </c>
      <c r="T2091" t="inlineStr">
        <is>
          <t>25250926975620000130570010000052631000190750</t>
        </is>
      </c>
      <c r="U2091" t="inlineStr">
        <is>
          <t>Não</t>
        </is>
      </c>
    </row>
    <row r="2092">
      <c r="A2092" t="inlineStr">
        <is>
          <t>Frete de venda</t>
        </is>
      </c>
      <c r="B2092" t="inlineStr">
        <is>
          <t>2.01.02 Frete sobre Vendas</t>
        </is>
      </c>
      <c r="C2092" t="inlineStr">
        <is>
          <t>Antes de 2026</t>
        </is>
      </c>
      <c r="D2092" t="inlineStr">
        <is>
          <t>Antes de 2026</t>
        </is>
      </c>
      <c r="E2092" s="28" t="n">
        <v>45923</v>
      </c>
      <c r="F2092" t="inlineStr">
        <is>
          <t>CT-e</t>
        </is>
      </c>
      <c r="G2092" t="inlineStr">
        <is>
          <t>000005265</t>
        </is>
      </c>
      <c r="H2092" t="inlineStr">
        <is>
          <t>R&amp;R TRANSPORTE E LOGISTICA</t>
        </is>
      </c>
      <c r="J2092" s="29" t="n">
        <v>450</v>
      </c>
      <c r="K2092" s="29">
        <f>(1-ISNUMBER(SEARCH("556",M2092)))*(O2092*SUMIFS(Premissas!$C$5:$C$44,Premissas!$A$5:$A$44,$A2092,Premissas!$B$5:$B$44,$B2092)+P2092*SUMIFS(Premissas!$D$5:$D$44,Premissas!$A$5:$A$44,$A2092,Premissas!$B$5:$B$44,$B2092))+R2092*SUMIFS(Premissas!$E$5:$E$44,Premissas!$A$5:$A$44,$A2092,Premissas!$B$5:$B$44,$B2092)+S2092*SUMIFS(Premissas!$F$5:$F$44,Premissas!$A$5:$A$44,$A2092,Premissas!$B$5:$B$44,$B2092)</f>
        <v/>
      </c>
      <c r="L2092" s="29">
        <f>J2092-K2092</f>
        <v/>
      </c>
      <c r="M2092" t="inlineStr">
        <is>
          <t>1.350</t>
        </is>
      </c>
      <c r="N2092" t="inlineStr">
        <is>
          <t>Modalidade: 0 - Por conta do remetente | Parte: MAIS COMERCIO DE DESCARTAVEIS LTDA (17.178.985/0001-42)</t>
        </is>
      </c>
      <c r="O2092" s="29" t="n">
        <v>0</v>
      </c>
      <c r="P2092" s="29" t="n">
        <v>0</v>
      </c>
      <c r="Q2092" s="29" t="n">
        <v>0</v>
      </c>
      <c r="R2092" s="29" t="n">
        <v>0</v>
      </c>
      <c r="S2092" s="29" t="n">
        <v>0</v>
      </c>
      <c r="T2092" t="inlineStr">
        <is>
          <t>25250926975620000130570010000052651001401147</t>
        </is>
      </c>
      <c r="U2092" t="inlineStr">
        <is>
          <t>Não</t>
        </is>
      </c>
    </row>
    <row r="2093">
      <c r="A2093" t="inlineStr">
        <is>
          <t>Frete de venda</t>
        </is>
      </c>
      <c r="B2093" t="inlineStr">
        <is>
          <t>2.01.02 Frete sobre Vendas</t>
        </is>
      </c>
      <c r="C2093" t="inlineStr">
        <is>
          <t>Antes de 2026</t>
        </is>
      </c>
      <c r="D2093" t="inlineStr">
        <is>
          <t>Antes de 2026</t>
        </is>
      </c>
      <c r="E2093" s="28" t="n">
        <v>45923</v>
      </c>
      <c r="F2093" t="inlineStr">
        <is>
          <t>CT-e</t>
        </is>
      </c>
      <c r="G2093" t="inlineStr">
        <is>
          <t>000005266</t>
        </is>
      </c>
      <c r="H2093" t="inlineStr">
        <is>
          <t>R&amp;R TRANSPORTE E LOGISTICA</t>
        </is>
      </c>
      <c r="J2093" s="29" t="n">
        <v>850</v>
      </c>
      <c r="K2093" s="29">
        <f>(1-ISNUMBER(SEARCH("556",M2093)))*(O2093*SUMIFS(Premissas!$C$5:$C$44,Premissas!$A$5:$A$44,$A2093,Premissas!$B$5:$B$44,$B2093)+P2093*SUMIFS(Premissas!$D$5:$D$44,Premissas!$A$5:$A$44,$A2093,Premissas!$B$5:$B$44,$B2093))+R2093*SUMIFS(Premissas!$E$5:$E$44,Premissas!$A$5:$A$44,$A2093,Premissas!$B$5:$B$44,$B2093)+S2093*SUMIFS(Premissas!$F$5:$F$44,Premissas!$A$5:$A$44,$A2093,Premissas!$B$5:$B$44,$B2093)</f>
        <v/>
      </c>
      <c r="L2093" s="29">
        <f>J2093-K2093</f>
        <v/>
      </c>
      <c r="M2093" t="inlineStr">
        <is>
          <t>1.350</t>
        </is>
      </c>
      <c r="N2093" t="inlineStr">
        <is>
          <t>Modalidade: 0 - Por conta do remetente | Parte: CEPLAL COMERCIO DE EMBALAGENS PLASTICAS E PAPEIS LTDA (24.141.350/0001-36)</t>
        </is>
      </c>
      <c r="O2093" s="29" t="n">
        <v>0</v>
      </c>
      <c r="P2093" s="29" t="n">
        <v>0</v>
      </c>
      <c r="Q2093" s="29" t="n">
        <v>0</v>
      </c>
      <c r="R2093" s="29" t="n">
        <v>0</v>
      </c>
      <c r="S2093" s="29" t="n">
        <v>0</v>
      </c>
      <c r="T2093" t="inlineStr">
        <is>
          <t>25250926975620000130570010000052661001901309</t>
        </is>
      </c>
      <c r="U2093" t="inlineStr">
        <is>
          <t>Não</t>
        </is>
      </c>
    </row>
    <row r="2094">
      <c r="A2094" t="inlineStr">
        <is>
          <t>Frete de venda</t>
        </is>
      </c>
      <c r="B2094" t="inlineStr">
        <is>
          <t>2.01.02 Frete sobre Vendas</t>
        </is>
      </c>
      <c r="C2094" t="inlineStr">
        <is>
          <t>Antes de 2026</t>
        </is>
      </c>
      <c r="D2094" t="inlineStr">
        <is>
          <t>Antes de 2026</t>
        </is>
      </c>
      <c r="E2094" s="28" t="n">
        <v>45924</v>
      </c>
      <c r="F2094" t="inlineStr">
        <is>
          <t>CT-e</t>
        </is>
      </c>
      <c r="G2094" t="inlineStr">
        <is>
          <t>000005274</t>
        </is>
      </c>
      <c r="H2094" t="inlineStr">
        <is>
          <t>R&amp;R TRANSPORTE E LOGISTICA</t>
        </is>
      </c>
      <c r="J2094" s="29" t="n">
        <v>1750</v>
      </c>
      <c r="K2094" s="29">
        <f>(1-ISNUMBER(SEARCH("556",M2094)))*(O2094*SUMIFS(Premissas!$C$5:$C$44,Premissas!$A$5:$A$44,$A2094,Premissas!$B$5:$B$44,$B2094)+P2094*SUMIFS(Premissas!$D$5:$D$44,Premissas!$A$5:$A$44,$A2094,Premissas!$B$5:$B$44,$B2094))+R2094*SUMIFS(Premissas!$E$5:$E$44,Premissas!$A$5:$A$44,$A2094,Premissas!$B$5:$B$44,$B2094)+S2094*SUMIFS(Premissas!$F$5:$F$44,Premissas!$A$5:$A$44,$A2094,Premissas!$B$5:$B$44,$B2094)</f>
        <v/>
      </c>
      <c r="L2094" s="29">
        <f>J2094-K2094</f>
        <v/>
      </c>
      <c r="M2094" t="inlineStr">
        <is>
          <t>1.350</t>
        </is>
      </c>
      <c r="N2094" t="inlineStr">
        <is>
          <t>Modalidade: 0 - Por conta do remetente | Parte: C E PEREIRA DA SILVA (43.411.126/0001-61)</t>
        </is>
      </c>
      <c r="O2094" s="29" t="n">
        <v>0</v>
      </c>
      <c r="P2094" s="29" t="n">
        <v>0</v>
      </c>
      <c r="Q2094" s="29" t="n">
        <v>0</v>
      </c>
      <c r="R2094" s="29" t="n">
        <v>0</v>
      </c>
      <c r="S2094" s="29" t="n">
        <v>0</v>
      </c>
      <c r="T2094" t="inlineStr">
        <is>
          <t>25250926975620000130570010000052741000180740</t>
        </is>
      </c>
      <c r="U2094" t="inlineStr">
        <is>
          <t>Não</t>
        </is>
      </c>
    </row>
    <row r="2095">
      <c r="A2095" t="inlineStr">
        <is>
          <t>Frete de venda</t>
        </is>
      </c>
      <c r="B2095" t="inlineStr">
        <is>
          <t>2.01.02 Frete sobre Vendas</t>
        </is>
      </c>
      <c r="C2095" t="inlineStr">
        <is>
          <t>Antes de 2026</t>
        </is>
      </c>
      <c r="D2095" t="inlineStr">
        <is>
          <t>Antes de 2026</t>
        </is>
      </c>
      <c r="E2095" s="28" t="n">
        <v>45924</v>
      </c>
      <c r="F2095" t="inlineStr">
        <is>
          <t>CT-e</t>
        </is>
      </c>
      <c r="G2095" t="inlineStr">
        <is>
          <t>000005275</t>
        </is>
      </c>
      <c r="H2095" t="inlineStr">
        <is>
          <t>R&amp;R TRANSPORTE E LOGISTICA</t>
        </is>
      </c>
      <c r="J2095" s="29" t="n">
        <v>1750</v>
      </c>
      <c r="K2095" s="29">
        <f>(1-ISNUMBER(SEARCH("556",M2095)))*(O2095*SUMIFS(Premissas!$C$5:$C$44,Premissas!$A$5:$A$44,$A2095,Premissas!$B$5:$B$44,$B2095)+P2095*SUMIFS(Premissas!$D$5:$D$44,Premissas!$A$5:$A$44,$A2095,Premissas!$B$5:$B$44,$B2095))+R2095*SUMIFS(Premissas!$E$5:$E$44,Premissas!$A$5:$A$44,$A2095,Premissas!$B$5:$B$44,$B2095)+S2095*SUMIFS(Premissas!$F$5:$F$44,Premissas!$A$5:$A$44,$A2095,Premissas!$B$5:$B$44,$B2095)</f>
        <v/>
      </c>
      <c r="L2095" s="29">
        <f>J2095-K2095</f>
        <v/>
      </c>
      <c r="M2095" t="inlineStr">
        <is>
          <t>1.350</t>
        </is>
      </c>
      <c r="N2095" t="inlineStr">
        <is>
          <t>Modalidade: 0 - Por conta do remetente | Parte: JONATAS SERAFIM DE SOUZA 04705944461 (17.663.461/0001-47)</t>
        </is>
      </c>
      <c r="O2095" s="29" t="n">
        <v>0</v>
      </c>
      <c r="P2095" s="29" t="n">
        <v>0</v>
      </c>
      <c r="Q2095" s="29" t="n">
        <v>0</v>
      </c>
      <c r="R2095" s="29" t="n">
        <v>0</v>
      </c>
      <c r="S2095" s="29" t="n">
        <v>0</v>
      </c>
      <c r="T2095" t="inlineStr">
        <is>
          <t>25250926975620000130570010000052751000150821</t>
        </is>
      </c>
      <c r="U2095" t="inlineStr">
        <is>
          <t>Não</t>
        </is>
      </c>
    </row>
    <row r="2096">
      <c r="A2096" t="inlineStr">
        <is>
          <t>Frete de venda</t>
        </is>
      </c>
      <c r="B2096" t="inlineStr">
        <is>
          <t>2.01.02 Frete sobre Vendas</t>
        </is>
      </c>
      <c r="C2096" t="inlineStr">
        <is>
          <t>Antes de 2026</t>
        </is>
      </c>
      <c r="D2096" t="inlineStr">
        <is>
          <t>Antes de 2026</t>
        </is>
      </c>
      <c r="E2096" s="28" t="n">
        <v>45926</v>
      </c>
      <c r="F2096" t="inlineStr">
        <is>
          <t>CT-e</t>
        </is>
      </c>
      <c r="G2096" t="inlineStr">
        <is>
          <t>000005277</t>
        </is>
      </c>
      <c r="H2096" t="inlineStr">
        <is>
          <t>R&amp;R TRANSPORTE E LOGISTICA</t>
        </is>
      </c>
      <c r="J2096" s="29" t="n">
        <v>28.82</v>
      </c>
      <c r="K2096" s="29">
        <f>(1-ISNUMBER(SEARCH("556",M2096)))*(O2096*SUMIFS(Premissas!$C$5:$C$44,Premissas!$A$5:$A$44,$A2096,Premissas!$B$5:$B$44,$B2096)+P2096*SUMIFS(Premissas!$D$5:$D$44,Premissas!$A$5:$A$44,$A2096,Premissas!$B$5:$B$44,$B2096))+R2096*SUMIFS(Premissas!$E$5:$E$44,Premissas!$A$5:$A$44,$A2096,Premissas!$B$5:$B$44,$B2096)+S2096*SUMIFS(Premissas!$F$5:$F$44,Premissas!$A$5:$A$44,$A2096,Premissas!$B$5:$B$44,$B2096)</f>
        <v/>
      </c>
      <c r="L2096" s="29">
        <f>J2096-K2096</f>
        <v/>
      </c>
      <c r="M2096" t="inlineStr">
        <is>
          <t>1.350</t>
        </is>
      </c>
      <c r="N2096" t="inlineStr">
        <is>
          <t>Modalidade: 0 - Por conta do remetente | Parte: LUCINEIDE SA DE MENEZES GUIMARAES (01.791.289/0001-77)</t>
        </is>
      </c>
      <c r="O2096" s="29" t="n">
        <v>0</v>
      </c>
      <c r="P2096" s="29" t="n">
        <v>0</v>
      </c>
      <c r="Q2096" s="29" t="n">
        <v>0</v>
      </c>
      <c r="R2096" s="29" t="n">
        <v>0</v>
      </c>
      <c r="S2096" s="29" t="n">
        <v>0</v>
      </c>
      <c r="T2096" t="inlineStr">
        <is>
          <t>25250926975620000130570010000052771001101225</t>
        </is>
      </c>
      <c r="U2096" t="inlineStr">
        <is>
          <t>Não</t>
        </is>
      </c>
    </row>
    <row r="2097">
      <c r="A2097" t="inlineStr">
        <is>
          <t>Frete de venda</t>
        </is>
      </c>
      <c r="B2097" t="inlineStr">
        <is>
          <t>2.01.02 Frete sobre Vendas</t>
        </is>
      </c>
      <c r="C2097" t="inlineStr">
        <is>
          <t>Antes de 2026</t>
        </is>
      </c>
      <c r="D2097" t="inlineStr">
        <is>
          <t>Antes de 2026</t>
        </is>
      </c>
      <c r="E2097" s="28" t="n">
        <v>45926</v>
      </c>
      <c r="F2097" t="inlineStr">
        <is>
          <t>CT-e</t>
        </is>
      </c>
      <c r="G2097" t="inlineStr">
        <is>
          <t>000005278</t>
        </is>
      </c>
      <c r="H2097" t="inlineStr">
        <is>
          <t>R&amp;R TRANSPORTE E LOGISTICA</t>
        </is>
      </c>
      <c r="J2097" s="29" t="n">
        <v>21.18</v>
      </c>
      <c r="K2097" s="29">
        <f>(1-ISNUMBER(SEARCH("556",M2097)))*(O2097*SUMIFS(Premissas!$C$5:$C$44,Premissas!$A$5:$A$44,$A2097,Premissas!$B$5:$B$44,$B2097)+P2097*SUMIFS(Premissas!$D$5:$D$44,Premissas!$A$5:$A$44,$A2097,Premissas!$B$5:$B$44,$B2097))+R2097*SUMIFS(Premissas!$E$5:$E$44,Premissas!$A$5:$A$44,$A2097,Premissas!$B$5:$B$44,$B2097)+S2097*SUMIFS(Premissas!$F$5:$F$44,Premissas!$A$5:$A$44,$A2097,Premissas!$B$5:$B$44,$B2097)</f>
        <v/>
      </c>
      <c r="L2097" s="29">
        <f>J2097-K2097</f>
        <v/>
      </c>
      <c r="M2097" t="inlineStr">
        <is>
          <t>1.350</t>
        </is>
      </c>
      <c r="N2097" t="inlineStr">
        <is>
          <t>Modalidade: 0 - Por conta do remetente | Parte: RAS CALCADOS E VESTUARIO LTDA (46.053.901/0001-42)</t>
        </is>
      </c>
      <c r="O2097" s="29" t="n">
        <v>0</v>
      </c>
      <c r="P2097" s="29" t="n">
        <v>0</v>
      </c>
      <c r="Q2097" s="29" t="n">
        <v>0</v>
      </c>
      <c r="R2097" s="29" t="n">
        <v>0</v>
      </c>
      <c r="S2097" s="29" t="n">
        <v>0</v>
      </c>
      <c r="T2097" t="inlineStr">
        <is>
          <t>25250926975620000130570010000052781001901300</t>
        </is>
      </c>
      <c r="U2097" t="inlineStr">
        <is>
          <t>Não</t>
        </is>
      </c>
    </row>
    <row r="2098">
      <c r="A2098" t="inlineStr">
        <is>
          <t>Frete de venda</t>
        </is>
      </c>
      <c r="B2098" t="inlineStr">
        <is>
          <t>2.01.02 Frete sobre Vendas</t>
        </is>
      </c>
      <c r="C2098" t="inlineStr">
        <is>
          <t>Antes de 2026</t>
        </is>
      </c>
      <c r="D2098" t="inlineStr">
        <is>
          <t>Antes de 2026</t>
        </is>
      </c>
      <c r="E2098" s="28" t="n">
        <v>45926</v>
      </c>
      <c r="F2098" t="inlineStr">
        <is>
          <t>CT-e</t>
        </is>
      </c>
      <c r="G2098" t="inlineStr">
        <is>
          <t>000005279</t>
        </is>
      </c>
      <c r="H2098" t="inlineStr">
        <is>
          <t>R&amp;R TRANSPORTE E LOGISTICA</t>
        </is>
      </c>
      <c r="J2098" s="29" t="n">
        <v>40.81</v>
      </c>
      <c r="K2098" s="29">
        <f>(1-ISNUMBER(SEARCH("556",M2098)))*(O2098*SUMIFS(Premissas!$C$5:$C$44,Premissas!$A$5:$A$44,$A2098,Premissas!$B$5:$B$44,$B2098)+P2098*SUMIFS(Premissas!$D$5:$D$44,Premissas!$A$5:$A$44,$A2098,Premissas!$B$5:$B$44,$B2098))+R2098*SUMIFS(Premissas!$E$5:$E$44,Premissas!$A$5:$A$44,$A2098,Premissas!$B$5:$B$44,$B2098)+S2098*SUMIFS(Premissas!$F$5:$F$44,Premissas!$A$5:$A$44,$A2098,Premissas!$B$5:$B$44,$B2098)</f>
        <v/>
      </c>
      <c r="L2098" s="29">
        <f>J2098-K2098</f>
        <v/>
      </c>
      <c r="M2098" t="inlineStr">
        <is>
          <t>1.350</t>
        </is>
      </c>
      <c r="N2098" t="inlineStr">
        <is>
          <t>Modalidade: 0 - Por conta do remetente | Parte: DANIEL HENRIQUE SILVA BORGES E PIRES LTDA (06.901.586/0001-41)</t>
        </is>
      </c>
      <c r="O2098" s="29" t="n">
        <v>0</v>
      </c>
      <c r="P2098" s="29" t="n">
        <v>0</v>
      </c>
      <c r="Q2098" s="29" t="n">
        <v>0</v>
      </c>
      <c r="R2098" s="29" t="n">
        <v>0</v>
      </c>
      <c r="S2098" s="29" t="n">
        <v>0</v>
      </c>
      <c r="T2098" t="inlineStr">
        <is>
          <t>25250926975620000130570010000052791001100657</t>
        </is>
      </c>
      <c r="U2098" t="inlineStr">
        <is>
          <t>Não</t>
        </is>
      </c>
    </row>
    <row r="2099">
      <c r="A2099" t="inlineStr">
        <is>
          <t>Frete de venda</t>
        </is>
      </c>
      <c r="B2099" t="inlineStr">
        <is>
          <t>2.01.02 Frete sobre Vendas</t>
        </is>
      </c>
      <c r="C2099" t="inlineStr">
        <is>
          <t>Antes de 2026</t>
        </is>
      </c>
      <c r="D2099" t="inlineStr">
        <is>
          <t>Antes de 2026</t>
        </is>
      </c>
      <c r="E2099" s="28" t="n">
        <v>45926</v>
      </c>
      <c r="F2099" t="inlineStr">
        <is>
          <t>CT-e</t>
        </is>
      </c>
      <c r="G2099" t="inlineStr">
        <is>
          <t>000005280</t>
        </is>
      </c>
      <c r="H2099" t="inlineStr">
        <is>
          <t>R&amp;R TRANSPORTE E LOGISTICA</t>
        </is>
      </c>
      <c r="J2099" s="29" t="n">
        <v>25.15</v>
      </c>
      <c r="K2099" s="29">
        <f>(1-ISNUMBER(SEARCH("556",M2099)))*(O2099*SUMIFS(Premissas!$C$5:$C$44,Premissas!$A$5:$A$44,$A2099,Premissas!$B$5:$B$44,$B2099)+P2099*SUMIFS(Premissas!$D$5:$D$44,Premissas!$A$5:$A$44,$A2099,Premissas!$B$5:$B$44,$B2099))+R2099*SUMIFS(Premissas!$E$5:$E$44,Premissas!$A$5:$A$44,$A2099,Premissas!$B$5:$B$44,$B2099)+S2099*SUMIFS(Premissas!$F$5:$F$44,Premissas!$A$5:$A$44,$A2099,Premissas!$B$5:$B$44,$B2099)</f>
        <v/>
      </c>
      <c r="L2099" s="29">
        <f>J2099-K2099</f>
        <v/>
      </c>
      <c r="M2099" t="inlineStr">
        <is>
          <t>1.350</t>
        </is>
      </c>
      <c r="N2099" t="inlineStr">
        <is>
          <t>Modalidade: 0 - Por conta do remetente | Parte: SUPERFRIOS PGTU LTDA (54.078.773/0001-10)</t>
        </is>
      </c>
      <c r="O2099" s="29" t="n">
        <v>0</v>
      </c>
      <c r="P2099" s="29" t="n">
        <v>0</v>
      </c>
      <c r="Q2099" s="29" t="n">
        <v>0</v>
      </c>
      <c r="R2099" s="29" t="n">
        <v>0</v>
      </c>
      <c r="S2099" s="29" t="n">
        <v>0</v>
      </c>
      <c r="T2099" t="inlineStr">
        <is>
          <t>25250926975620000130570010000052801000170733</t>
        </is>
      </c>
      <c r="U2099" t="inlineStr">
        <is>
          <t>Não</t>
        </is>
      </c>
    </row>
    <row r="2100">
      <c r="A2100" t="inlineStr">
        <is>
          <t>Frete de venda</t>
        </is>
      </c>
      <c r="B2100" t="inlineStr">
        <is>
          <t>2.01.02 Frete sobre Vendas</t>
        </is>
      </c>
      <c r="C2100" t="inlineStr">
        <is>
          <t>Antes de 2026</t>
        </is>
      </c>
      <c r="D2100" t="inlineStr">
        <is>
          <t>Antes de 2026</t>
        </is>
      </c>
      <c r="E2100" s="28" t="n">
        <v>45926</v>
      </c>
      <c r="F2100" t="inlineStr">
        <is>
          <t>CT-e</t>
        </is>
      </c>
      <c r="G2100" t="inlineStr">
        <is>
          <t>000005281</t>
        </is>
      </c>
      <c r="H2100" t="inlineStr">
        <is>
          <t>R&amp;R TRANSPORTE E LOGISTICA</t>
        </is>
      </c>
      <c r="J2100" s="29" t="n">
        <v>21.33</v>
      </c>
      <c r="K2100" s="29">
        <f>(1-ISNUMBER(SEARCH("556",M2100)))*(O2100*SUMIFS(Premissas!$C$5:$C$44,Premissas!$A$5:$A$44,$A2100,Premissas!$B$5:$B$44,$B2100)+P2100*SUMIFS(Premissas!$D$5:$D$44,Premissas!$A$5:$A$44,$A2100,Premissas!$B$5:$B$44,$B2100))+R2100*SUMIFS(Premissas!$E$5:$E$44,Premissas!$A$5:$A$44,$A2100,Premissas!$B$5:$B$44,$B2100)+S2100*SUMIFS(Premissas!$F$5:$F$44,Premissas!$A$5:$A$44,$A2100,Premissas!$B$5:$B$44,$B2100)</f>
        <v/>
      </c>
      <c r="L2100" s="29">
        <f>J2100-K2100</f>
        <v/>
      </c>
      <c r="M2100" t="inlineStr">
        <is>
          <t>1.350</t>
        </is>
      </c>
      <c r="N2100" t="inlineStr">
        <is>
          <t>Modalidade: 0 - Por conta do remetente | Parte: ROSILEIDE DE SOUZA ALVES MRM FRIOS (29.921.695/0001-26)</t>
        </is>
      </c>
      <c r="O2100" s="29" t="n">
        <v>0</v>
      </c>
      <c r="P2100" s="29" t="n">
        <v>0</v>
      </c>
      <c r="Q2100" s="29" t="n">
        <v>0</v>
      </c>
      <c r="R2100" s="29" t="n">
        <v>0</v>
      </c>
      <c r="S2100" s="29" t="n">
        <v>0</v>
      </c>
      <c r="T2100" t="inlineStr">
        <is>
          <t>25250926975620000130570010000052811000140815</t>
        </is>
      </c>
      <c r="U2100" t="inlineStr">
        <is>
          <t>Não</t>
        </is>
      </c>
    </row>
    <row r="2101">
      <c r="A2101" t="inlineStr">
        <is>
          <t>Frete de venda</t>
        </is>
      </c>
      <c r="B2101" t="inlineStr">
        <is>
          <t>2.01.02 Frete sobre Vendas</t>
        </is>
      </c>
      <c r="C2101" t="inlineStr">
        <is>
          <t>Antes de 2026</t>
        </is>
      </c>
      <c r="D2101" t="inlineStr">
        <is>
          <t>Antes de 2026</t>
        </is>
      </c>
      <c r="E2101" s="28" t="n">
        <v>45926</v>
      </c>
      <c r="F2101" t="inlineStr">
        <is>
          <t>CT-e</t>
        </is>
      </c>
      <c r="G2101" t="inlineStr">
        <is>
          <t>000005282</t>
        </is>
      </c>
      <c r="H2101" t="inlineStr">
        <is>
          <t>R&amp;R TRANSPORTE E LOGISTICA</t>
        </is>
      </c>
      <c r="J2101" s="29" t="n">
        <v>143.25</v>
      </c>
      <c r="K2101" s="29">
        <f>(1-ISNUMBER(SEARCH("556",M2101)))*(O2101*SUMIFS(Premissas!$C$5:$C$44,Premissas!$A$5:$A$44,$A2101,Premissas!$B$5:$B$44,$B2101)+P2101*SUMIFS(Premissas!$D$5:$D$44,Premissas!$A$5:$A$44,$A2101,Premissas!$B$5:$B$44,$B2101))+R2101*SUMIFS(Premissas!$E$5:$E$44,Premissas!$A$5:$A$44,$A2101,Premissas!$B$5:$B$44,$B2101)+S2101*SUMIFS(Premissas!$F$5:$F$44,Premissas!$A$5:$A$44,$A2101,Premissas!$B$5:$B$44,$B2101)</f>
        <v/>
      </c>
      <c r="L2101" s="29">
        <f>J2101-K2101</f>
        <v/>
      </c>
      <c r="M2101" t="inlineStr">
        <is>
          <t>1.350</t>
        </is>
      </c>
      <c r="N2101" t="inlineStr">
        <is>
          <t>Modalidade: 0 - Por conta do remetente | Parte: EMBALE DISTRIBUIDORA LTDA (33.193.258/0001-00)</t>
        </is>
      </c>
      <c r="O2101" s="29" t="n">
        <v>0</v>
      </c>
      <c r="P2101" s="29" t="n">
        <v>0</v>
      </c>
      <c r="Q2101" s="29" t="n">
        <v>0</v>
      </c>
      <c r="R2101" s="29" t="n">
        <v>0</v>
      </c>
      <c r="S2101" s="29" t="n">
        <v>0</v>
      </c>
      <c r="T2101" t="inlineStr">
        <is>
          <t>25250926975620000130570010000052821000110891</t>
        </is>
      </c>
      <c r="U2101" t="inlineStr">
        <is>
          <t>Não</t>
        </is>
      </c>
    </row>
    <row r="2102">
      <c r="A2102" t="inlineStr">
        <is>
          <t>Frete de venda</t>
        </is>
      </c>
      <c r="B2102" t="inlineStr">
        <is>
          <t>2.01.02 Frete sobre Vendas</t>
        </is>
      </c>
      <c r="C2102" t="inlineStr">
        <is>
          <t>Antes de 2026</t>
        </is>
      </c>
      <c r="D2102" t="inlineStr">
        <is>
          <t>Antes de 2026</t>
        </is>
      </c>
      <c r="E2102" s="28" t="n">
        <v>45926</v>
      </c>
      <c r="F2102" t="inlineStr">
        <is>
          <t>CT-e</t>
        </is>
      </c>
      <c r="G2102" t="inlineStr">
        <is>
          <t>000005283</t>
        </is>
      </c>
      <c r="H2102" t="inlineStr">
        <is>
          <t>R&amp;R TRANSPORTE E LOGISTICA</t>
        </is>
      </c>
      <c r="J2102" s="29" t="n">
        <v>21.36</v>
      </c>
      <c r="K2102" s="29">
        <f>(1-ISNUMBER(SEARCH("556",M2102)))*(O2102*SUMIFS(Premissas!$C$5:$C$44,Premissas!$A$5:$A$44,$A2102,Premissas!$B$5:$B$44,$B2102)+P2102*SUMIFS(Premissas!$D$5:$D$44,Premissas!$A$5:$A$44,$A2102,Premissas!$B$5:$B$44,$B2102))+R2102*SUMIFS(Premissas!$E$5:$E$44,Premissas!$A$5:$A$44,$A2102,Premissas!$B$5:$B$44,$B2102)+S2102*SUMIFS(Premissas!$F$5:$F$44,Premissas!$A$5:$A$44,$A2102,Premissas!$B$5:$B$44,$B2102)</f>
        <v/>
      </c>
      <c r="L2102" s="29">
        <f>J2102-K2102</f>
        <v/>
      </c>
      <c r="M2102" t="inlineStr">
        <is>
          <t>1.350</t>
        </is>
      </c>
      <c r="N2102" t="inlineStr">
        <is>
          <t>Modalidade: 0 - Por conta do remetente | Parte: WILTON MARTINS DE SOUSA (52.568.727/0001-73)</t>
        </is>
      </c>
      <c r="O2102" s="29" t="n">
        <v>0</v>
      </c>
      <c r="P2102" s="29" t="n">
        <v>0</v>
      </c>
      <c r="Q2102" s="29" t="n">
        <v>0</v>
      </c>
      <c r="R2102" s="29" t="n">
        <v>0</v>
      </c>
      <c r="S2102" s="29" t="n">
        <v>0</v>
      </c>
      <c r="T2102" t="inlineStr">
        <is>
          <t>25250926975620000130570010000052831000190973</t>
        </is>
      </c>
      <c r="U2102" t="inlineStr">
        <is>
          <t>Não</t>
        </is>
      </c>
    </row>
    <row r="2103">
      <c r="A2103" t="inlineStr">
        <is>
          <t>Frete de venda</t>
        </is>
      </c>
      <c r="B2103" t="inlineStr">
        <is>
          <t>2.01.02 Frete sobre Vendas</t>
        </is>
      </c>
      <c r="C2103" t="inlineStr">
        <is>
          <t>Antes de 2026</t>
        </is>
      </c>
      <c r="D2103" t="inlineStr">
        <is>
          <t>Antes de 2026</t>
        </is>
      </c>
      <c r="E2103" s="28" t="n">
        <v>45926</v>
      </c>
      <c r="F2103" t="inlineStr">
        <is>
          <t>CT-e</t>
        </is>
      </c>
      <c r="G2103" t="inlineStr">
        <is>
          <t>000005284</t>
        </is>
      </c>
      <c r="H2103" t="inlineStr">
        <is>
          <t>R&amp;R TRANSPORTE E LOGISTICA</t>
        </is>
      </c>
      <c r="J2103" s="29" t="n">
        <v>21.87</v>
      </c>
      <c r="K2103" s="29">
        <f>(1-ISNUMBER(SEARCH("556",M2103)))*(O2103*SUMIFS(Premissas!$C$5:$C$44,Premissas!$A$5:$A$44,$A2103,Premissas!$B$5:$B$44,$B2103)+P2103*SUMIFS(Premissas!$D$5:$D$44,Premissas!$A$5:$A$44,$A2103,Premissas!$B$5:$B$44,$B2103))+R2103*SUMIFS(Premissas!$E$5:$E$44,Premissas!$A$5:$A$44,$A2103,Premissas!$B$5:$B$44,$B2103)+S2103*SUMIFS(Premissas!$F$5:$F$44,Premissas!$A$5:$A$44,$A2103,Premissas!$B$5:$B$44,$B2103)</f>
        <v/>
      </c>
      <c r="L2103" s="29">
        <f>J2103-K2103</f>
        <v/>
      </c>
      <c r="M2103" t="inlineStr">
        <is>
          <t>1.350</t>
        </is>
      </c>
      <c r="N2103" t="inlineStr">
        <is>
          <t>Modalidade: 0 - Por conta do remetente | Parte: KRIATIVA FESTAS E EMBALAGENS LTDA (21.295.394/0001-22)</t>
        </is>
      </c>
      <c r="O2103" s="29" t="n">
        <v>0</v>
      </c>
      <c r="P2103" s="29" t="n">
        <v>0</v>
      </c>
      <c r="Q2103" s="29" t="n">
        <v>0</v>
      </c>
      <c r="R2103" s="29" t="n">
        <v>0</v>
      </c>
      <c r="S2103" s="29" t="n">
        <v>0</v>
      </c>
      <c r="T2103" t="inlineStr">
        <is>
          <t>25250926975620000130570010000052841001601052</t>
        </is>
      </c>
      <c r="U2103" t="inlineStr">
        <is>
          <t>Não</t>
        </is>
      </c>
    </row>
    <row r="2104">
      <c r="A2104" t="inlineStr">
        <is>
          <t>Frete de venda</t>
        </is>
      </c>
      <c r="B2104" t="inlineStr">
        <is>
          <t>2.01.02 Frete sobre Vendas</t>
        </is>
      </c>
      <c r="C2104" t="inlineStr">
        <is>
          <t>Antes de 2026</t>
        </is>
      </c>
      <c r="D2104" t="inlineStr">
        <is>
          <t>Antes de 2026</t>
        </is>
      </c>
      <c r="E2104" s="28" t="n">
        <v>45926</v>
      </c>
      <c r="F2104" t="inlineStr">
        <is>
          <t>CT-e</t>
        </is>
      </c>
      <c r="G2104" t="inlineStr">
        <is>
          <t>000005285</t>
        </is>
      </c>
      <c r="H2104" t="inlineStr">
        <is>
          <t>R&amp;R TRANSPORTE E LOGISTICA</t>
        </is>
      </c>
      <c r="J2104" s="29" t="n">
        <v>15.8</v>
      </c>
      <c r="K2104" s="29">
        <f>(1-ISNUMBER(SEARCH("556",M2104)))*(O2104*SUMIFS(Premissas!$C$5:$C$44,Premissas!$A$5:$A$44,$A2104,Premissas!$B$5:$B$44,$B2104)+P2104*SUMIFS(Premissas!$D$5:$D$44,Premissas!$A$5:$A$44,$A2104,Premissas!$B$5:$B$44,$B2104))+R2104*SUMIFS(Premissas!$E$5:$E$44,Premissas!$A$5:$A$44,$A2104,Premissas!$B$5:$B$44,$B2104)+S2104*SUMIFS(Premissas!$F$5:$F$44,Premissas!$A$5:$A$44,$A2104,Premissas!$B$5:$B$44,$B2104)</f>
        <v/>
      </c>
      <c r="L2104" s="29">
        <f>J2104-K2104</f>
        <v/>
      </c>
      <c r="M2104" t="inlineStr">
        <is>
          <t>1.350</t>
        </is>
      </c>
      <c r="N2104" t="inlineStr">
        <is>
          <t>Modalidade: 0 - Por conta do remetente | Parte: JUNDIAI ATACADISTA LTDA (41.173.787/0001-70)</t>
        </is>
      </c>
      <c r="O2104" s="29" t="n">
        <v>0</v>
      </c>
      <c r="P2104" s="29" t="n">
        <v>0</v>
      </c>
      <c r="Q2104" s="29" t="n">
        <v>0</v>
      </c>
      <c r="R2104" s="29" t="n">
        <v>0</v>
      </c>
      <c r="S2104" s="29" t="n">
        <v>0</v>
      </c>
      <c r="T2104" t="inlineStr">
        <is>
          <t>25250926975620000130570010000052851001301137</t>
        </is>
      </c>
      <c r="U2104" t="inlineStr">
        <is>
          <t>Não</t>
        </is>
      </c>
    </row>
    <row r="2105">
      <c r="A2105" t="inlineStr">
        <is>
          <t>Frete de venda</t>
        </is>
      </c>
      <c r="B2105" t="inlineStr">
        <is>
          <t>2.01.02 Frete sobre Vendas</t>
        </is>
      </c>
      <c r="C2105" t="inlineStr">
        <is>
          <t>Antes de 2026</t>
        </is>
      </c>
      <c r="D2105" t="inlineStr">
        <is>
          <t>Antes de 2026</t>
        </is>
      </c>
      <c r="E2105" s="28" t="n">
        <v>45926</v>
      </c>
      <c r="F2105" t="inlineStr">
        <is>
          <t>CT-e</t>
        </is>
      </c>
      <c r="G2105" t="inlineStr">
        <is>
          <t>000005286</t>
        </is>
      </c>
      <c r="H2105" t="inlineStr">
        <is>
          <t>R&amp;R TRANSPORTE E LOGISTICA</t>
        </is>
      </c>
      <c r="J2105" s="29" t="n">
        <v>58.86</v>
      </c>
      <c r="K2105" s="29">
        <f>(1-ISNUMBER(SEARCH("556",M2105)))*(O2105*SUMIFS(Premissas!$C$5:$C$44,Premissas!$A$5:$A$44,$A2105,Premissas!$B$5:$B$44,$B2105)+P2105*SUMIFS(Premissas!$D$5:$D$44,Premissas!$A$5:$A$44,$A2105,Premissas!$B$5:$B$44,$B2105))+R2105*SUMIFS(Premissas!$E$5:$E$44,Premissas!$A$5:$A$44,$A2105,Premissas!$B$5:$B$44,$B2105)+S2105*SUMIFS(Premissas!$F$5:$F$44,Premissas!$A$5:$A$44,$A2105,Premissas!$B$5:$B$44,$B2105)</f>
        <v/>
      </c>
      <c r="L2105" s="29">
        <f>J2105-K2105</f>
        <v/>
      </c>
      <c r="M2105" t="inlineStr">
        <is>
          <t>1.350</t>
        </is>
      </c>
      <c r="N2105" t="inlineStr">
        <is>
          <t>Modalidade: 0 - Por conta do remetente | Parte: RODRIGUES E CIA LTDA (26.144.570/0001-49)</t>
        </is>
      </c>
      <c r="O2105" s="29" t="n">
        <v>0</v>
      </c>
      <c r="P2105" s="29" t="n">
        <v>0</v>
      </c>
      <c r="Q2105" s="29" t="n">
        <v>0</v>
      </c>
      <c r="R2105" s="29" t="n">
        <v>0</v>
      </c>
      <c r="S2105" s="29" t="n">
        <v>0</v>
      </c>
      <c r="T2105" t="inlineStr">
        <is>
          <t>25250926975620000130570010000052861000101212</t>
        </is>
      </c>
      <c r="U2105" t="inlineStr">
        <is>
          <t>Não</t>
        </is>
      </c>
    </row>
    <row r="2106">
      <c r="A2106" t="inlineStr">
        <is>
          <t>Frete de venda</t>
        </is>
      </c>
      <c r="B2106" t="inlineStr">
        <is>
          <t>2.01.02 Frete sobre Vendas</t>
        </is>
      </c>
      <c r="C2106" t="inlineStr">
        <is>
          <t>Antes de 2026</t>
        </is>
      </c>
      <c r="D2106" t="inlineStr">
        <is>
          <t>Antes de 2026</t>
        </is>
      </c>
      <c r="E2106" s="28" t="n">
        <v>45926</v>
      </c>
      <c r="F2106" t="inlineStr">
        <is>
          <t>CT-e</t>
        </is>
      </c>
      <c r="G2106" t="inlineStr">
        <is>
          <t>000005287</t>
        </is>
      </c>
      <c r="H2106" t="inlineStr">
        <is>
          <t>R&amp;R TRANSPORTE E LOGISTICA</t>
        </is>
      </c>
      <c r="J2106" s="29" t="n">
        <v>21.41</v>
      </c>
      <c r="K2106" s="29">
        <f>(1-ISNUMBER(SEARCH("556",M2106)))*(O2106*SUMIFS(Premissas!$C$5:$C$44,Premissas!$A$5:$A$44,$A2106,Premissas!$B$5:$B$44,$B2106)+P2106*SUMIFS(Premissas!$D$5:$D$44,Premissas!$A$5:$A$44,$A2106,Premissas!$B$5:$B$44,$B2106))+R2106*SUMIFS(Premissas!$E$5:$E$44,Premissas!$A$5:$A$44,$A2106,Premissas!$B$5:$B$44,$B2106)+S2106*SUMIFS(Premissas!$F$5:$F$44,Premissas!$A$5:$A$44,$A2106,Premissas!$B$5:$B$44,$B2106)</f>
        <v/>
      </c>
      <c r="L2106" s="29">
        <f>J2106-K2106</f>
        <v/>
      </c>
      <c r="M2106" t="inlineStr">
        <is>
          <t>1.350</t>
        </is>
      </c>
      <c r="N2106" t="inlineStr">
        <is>
          <t>Modalidade: 0 - Por conta do remetente | Parte: RAMON MENDES PITANGUI FRANCA (19.862.602/0001-86)</t>
        </is>
      </c>
      <c r="O2106" s="29" t="n">
        <v>0</v>
      </c>
      <c r="P2106" s="29" t="n">
        <v>0</v>
      </c>
      <c r="Q2106" s="29" t="n">
        <v>0</v>
      </c>
      <c r="R2106" s="29" t="n">
        <v>0</v>
      </c>
      <c r="S2106" s="29" t="n">
        <v>0</v>
      </c>
      <c r="T2106" t="inlineStr">
        <is>
          <t>25250926975620000130570010000052871001801290</t>
        </is>
      </c>
      <c r="U2106" t="inlineStr">
        <is>
          <t>Não</t>
        </is>
      </c>
    </row>
    <row r="2107">
      <c r="A2107" t="inlineStr">
        <is>
          <t>Frete de venda</t>
        </is>
      </c>
      <c r="B2107" t="inlineStr">
        <is>
          <t>2.01.02 Frete sobre Vendas</t>
        </is>
      </c>
      <c r="C2107" t="inlineStr">
        <is>
          <t>Antes de 2026</t>
        </is>
      </c>
      <c r="D2107" t="inlineStr">
        <is>
          <t>Antes de 2026</t>
        </is>
      </c>
      <c r="E2107" s="28" t="n">
        <v>45926</v>
      </c>
      <c r="F2107" t="inlineStr">
        <is>
          <t>CT-e</t>
        </is>
      </c>
      <c r="G2107" t="inlineStr">
        <is>
          <t>000005288</t>
        </is>
      </c>
      <c r="H2107" t="inlineStr">
        <is>
          <t>R&amp;R TRANSPORTE E LOGISTICA</t>
        </is>
      </c>
      <c r="J2107" s="29" t="n">
        <v>25.64</v>
      </c>
      <c r="K2107" s="29">
        <f>(1-ISNUMBER(SEARCH("556",M2107)))*(O2107*SUMIFS(Premissas!$C$5:$C$44,Premissas!$A$5:$A$44,$A2107,Premissas!$B$5:$B$44,$B2107)+P2107*SUMIFS(Premissas!$D$5:$D$44,Premissas!$A$5:$A$44,$A2107,Premissas!$B$5:$B$44,$B2107))+R2107*SUMIFS(Premissas!$E$5:$E$44,Premissas!$A$5:$A$44,$A2107,Premissas!$B$5:$B$44,$B2107)+S2107*SUMIFS(Premissas!$F$5:$F$44,Premissas!$A$5:$A$44,$A2107,Premissas!$B$5:$B$44,$B2107)</f>
        <v/>
      </c>
      <c r="L2107" s="29">
        <f>J2107-K2107</f>
        <v/>
      </c>
      <c r="M2107" t="inlineStr">
        <is>
          <t>1.350</t>
        </is>
      </c>
      <c r="N2107" t="inlineStr">
        <is>
          <t>Modalidade: 0 - Por conta do remetente | Parte: COMERCIAL DE DOCES E BEBIDAS CENTRAL LTDA (02.830.640/0001-54)</t>
        </is>
      </c>
      <c r="O2107" s="29" t="n">
        <v>0</v>
      </c>
      <c r="P2107" s="29" t="n">
        <v>0</v>
      </c>
      <c r="Q2107" s="29" t="n">
        <v>0</v>
      </c>
      <c r="R2107" s="29" t="n">
        <v>0</v>
      </c>
      <c r="S2107" s="29" t="n">
        <v>0</v>
      </c>
      <c r="T2107" t="inlineStr">
        <is>
          <t>25250926975620000130570010000052881001501375</t>
        </is>
      </c>
      <c r="U2107" t="inlineStr">
        <is>
          <t>Não</t>
        </is>
      </c>
    </row>
    <row r="2108">
      <c r="A2108" t="inlineStr">
        <is>
          <t>Frete de venda</t>
        </is>
      </c>
      <c r="B2108" t="inlineStr">
        <is>
          <t>2.01.02 Frete sobre Vendas</t>
        </is>
      </c>
      <c r="C2108" t="inlineStr">
        <is>
          <t>Antes de 2026</t>
        </is>
      </c>
      <c r="D2108" t="inlineStr">
        <is>
          <t>Antes de 2026</t>
        </is>
      </c>
      <c r="E2108" s="28" t="n">
        <v>45926</v>
      </c>
      <c r="F2108" t="inlineStr">
        <is>
          <t>CT-e</t>
        </is>
      </c>
      <c r="G2108" t="inlineStr">
        <is>
          <t>000005289</t>
        </is>
      </c>
      <c r="H2108" t="inlineStr">
        <is>
          <t>R&amp;R TRANSPORTE E LOGISTICA</t>
        </is>
      </c>
      <c r="J2108" s="29" t="n">
        <v>31.53</v>
      </c>
      <c r="K2108" s="29">
        <f>(1-ISNUMBER(SEARCH("556",M2108)))*(O2108*SUMIFS(Premissas!$C$5:$C$44,Premissas!$A$5:$A$44,$A2108,Premissas!$B$5:$B$44,$B2108)+P2108*SUMIFS(Premissas!$D$5:$D$44,Premissas!$A$5:$A$44,$A2108,Premissas!$B$5:$B$44,$B2108))+R2108*SUMIFS(Premissas!$E$5:$E$44,Premissas!$A$5:$A$44,$A2108,Premissas!$B$5:$B$44,$B2108)+S2108*SUMIFS(Premissas!$F$5:$F$44,Premissas!$A$5:$A$44,$A2108,Premissas!$B$5:$B$44,$B2108)</f>
        <v/>
      </c>
      <c r="L2108" s="29">
        <f>J2108-K2108</f>
        <v/>
      </c>
      <c r="M2108" t="inlineStr">
        <is>
          <t>1.350</t>
        </is>
      </c>
      <c r="N2108" t="inlineStr">
        <is>
          <t>Modalidade: 0 - Por conta do remetente | Parte: DRP DISTRIBUIDORA DE POLPA LTDA (07.298.955/0001-16)</t>
        </is>
      </c>
      <c r="O2108" s="29" t="n">
        <v>0</v>
      </c>
      <c r="P2108" s="29" t="n">
        <v>0</v>
      </c>
      <c r="Q2108" s="29" t="n">
        <v>0</v>
      </c>
      <c r="R2108" s="29" t="n">
        <v>0</v>
      </c>
      <c r="S2108" s="29" t="n">
        <v>0</v>
      </c>
      <c r="T2108" t="inlineStr">
        <is>
          <t>25250926975620000130570010000052891000160725</t>
        </is>
      </c>
      <c r="U2108" t="inlineStr">
        <is>
          <t>Não</t>
        </is>
      </c>
    </row>
    <row r="2109">
      <c r="A2109" t="inlineStr">
        <is>
          <t>Frete de venda</t>
        </is>
      </c>
      <c r="B2109" t="inlineStr">
        <is>
          <t>2.01.02 Frete sobre Vendas</t>
        </is>
      </c>
      <c r="C2109" t="inlineStr">
        <is>
          <t>Antes de 2026</t>
        </is>
      </c>
      <c r="D2109" t="inlineStr">
        <is>
          <t>Antes de 2026</t>
        </is>
      </c>
      <c r="E2109" s="28" t="n">
        <v>45926</v>
      </c>
      <c r="F2109" t="inlineStr">
        <is>
          <t>CT-e</t>
        </is>
      </c>
      <c r="G2109" t="inlineStr">
        <is>
          <t>000005290</t>
        </is>
      </c>
      <c r="H2109" t="inlineStr">
        <is>
          <t>R&amp;R TRANSPORTE E LOGISTICA</t>
        </is>
      </c>
      <c r="J2109" s="29" t="n">
        <v>29.7</v>
      </c>
      <c r="K2109" s="29">
        <f>(1-ISNUMBER(SEARCH("556",M2109)))*(O2109*SUMIFS(Premissas!$C$5:$C$44,Premissas!$A$5:$A$44,$A2109,Premissas!$B$5:$B$44,$B2109)+P2109*SUMIFS(Premissas!$D$5:$D$44,Premissas!$A$5:$A$44,$A2109,Premissas!$B$5:$B$44,$B2109))+R2109*SUMIFS(Premissas!$E$5:$E$44,Premissas!$A$5:$A$44,$A2109,Premissas!$B$5:$B$44,$B2109)+S2109*SUMIFS(Premissas!$F$5:$F$44,Premissas!$A$5:$A$44,$A2109,Premissas!$B$5:$B$44,$B2109)</f>
        <v/>
      </c>
      <c r="L2109" s="29">
        <f>J2109-K2109</f>
        <v/>
      </c>
      <c r="M2109" t="inlineStr">
        <is>
          <t>1.350</t>
        </is>
      </c>
      <c r="N2109" t="inlineStr">
        <is>
          <t>Modalidade: 0 - Por conta do remetente | Parte: JGR COMERCIO DE EMBALAGENS LTDA (41.425.969/0001-91)</t>
        </is>
      </c>
      <c r="O2109" s="29" t="n">
        <v>0</v>
      </c>
      <c r="P2109" s="29" t="n">
        <v>0</v>
      </c>
      <c r="Q2109" s="29" t="n">
        <v>0</v>
      </c>
      <c r="R2109" s="29" t="n">
        <v>0</v>
      </c>
      <c r="S2109" s="29" t="n">
        <v>0</v>
      </c>
      <c r="T2109" t="inlineStr">
        <is>
          <t>25250926975620000130570010000052901000130800</t>
        </is>
      </c>
      <c r="U2109" t="inlineStr">
        <is>
          <t>Não</t>
        </is>
      </c>
    </row>
    <row r="2110">
      <c r="A2110" t="inlineStr">
        <is>
          <t>Frete de venda</t>
        </is>
      </c>
      <c r="B2110" t="inlineStr">
        <is>
          <t>2.01.02 Frete sobre Vendas</t>
        </is>
      </c>
      <c r="C2110" t="inlineStr">
        <is>
          <t>Antes de 2026</t>
        </is>
      </c>
      <c r="D2110" t="inlineStr">
        <is>
          <t>Antes de 2026</t>
        </is>
      </c>
      <c r="E2110" s="28" t="n">
        <v>45926</v>
      </c>
      <c r="F2110" t="inlineStr">
        <is>
          <t>CT-e</t>
        </is>
      </c>
      <c r="G2110" t="inlineStr">
        <is>
          <t>000005291</t>
        </is>
      </c>
      <c r="H2110" t="inlineStr">
        <is>
          <t>R&amp;R TRANSPORTE E LOGISTICA</t>
        </is>
      </c>
      <c r="J2110" s="29" t="n">
        <v>20.13</v>
      </c>
      <c r="K2110" s="29">
        <f>(1-ISNUMBER(SEARCH("556",M2110)))*(O2110*SUMIFS(Premissas!$C$5:$C$44,Premissas!$A$5:$A$44,$A2110,Premissas!$B$5:$B$44,$B2110)+P2110*SUMIFS(Premissas!$D$5:$D$44,Premissas!$A$5:$A$44,$A2110,Premissas!$B$5:$B$44,$B2110))+R2110*SUMIFS(Premissas!$E$5:$E$44,Premissas!$A$5:$A$44,$A2110,Premissas!$B$5:$B$44,$B2110)+S2110*SUMIFS(Premissas!$F$5:$F$44,Premissas!$A$5:$A$44,$A2110,Premissas!$B$5:$B$44,$B2110)</f>
        <v/>
      </c>
      <c r="L2110" s="29">
        <f>J2110-K2110</f>
        <v/>
      </c>
      <c r="M2110" t="inlineStr">
        <is>
          <t>1.350</t>
        </is>
      </c>
      <c r="N2110" t="inlineStr">
        <is>
          <t>Modalidade: 0 - Por conta do remetente | Parte: STAR FESTAS DISTRIBUIDORA LTDA (25.432.471/0001-08)</t>
        </is>
      </c>
      <c r="O2110" s="29" t="n">
        <v>0</v>
      </c>
      <c r="P2110" s="29" t="n">
        <v>0</v>
      </c>
      <c r="Q2110" s="29" t="n">
        <v>0</v>
      </c>
      <c r="R2110" s="29" t="n">
        <v>0</v>
      </c>
      <c r="S2110" s="29" t="n">
        <v>0</v>
      </c>
      <c r="T2110" t="inlineStr">
        <is>
          <t>25250926975620000130570010000052911000010888</t>
        </is>
      </c>
      <c r="U2110" t="inlineStr">
        <is>
          <t>Não</t>
        </is>
      </c>
    </row>
    <row r="2111">
      <c r="A2111" t="inlineStr">
        <is>
          <t>Frete de venda</t>
        </is>
      </c>
      <c r="B2111" t="inlineStr">
        <is>
          <t>2.01.02 Frete sobre Vendas</t>
        </is>
      </c>
      <c r="C2111" t="inlineStr">
        <is>
          <t>Antes de 2026</t>
        </is>
      </c>
      <c r="D2111" t="inlineStr">
        <is>
          <t>Antes de 2026</t>
        </is>
      </c>
      <c r="E2111" s="28" t="n">
        <v>45926</v>
      </c>
      <c r="F2111" t="inlineStr">
        <is>
          <t>CT-e</t>
        </is>
      </c>
      <c r="G2111" t="inlineStr">
        <is>
          <t>000005292</t>
        </is>
      </c>
      <c r="H2111" t="inlineStr">
        <is>
          <t>R&amp;R TRANSPORTE E LOGISTICA</t>
        </is>
      </c>
      <c r="J2111" s="29" t="n">
        <v>100.3</v>
      </c>
      <c r="K2111" s="29">
        <f>(1-ISNUMBER(SEARCH("556",M2111)))*(O2111*SUMIFS(Premissas!$C$5:$C$44,Premissas!$A$5:$A$44,$A2111,Premissas!$B$5:$B$44,$B2111)+P2111*SUMIFS(Premissas!$D$5:$D$44,Premissas!$A$5:$A$44,$A2111,Premissas!$B$5:$B$44,$B2111))+R2111*SUMIFS(Premissas!$E$5:$E$44,Premissas!$A$5:$A$44,$A2111,Premissas!$B$5:$B$44,$B2111)+S2111*SUMIFS(Premissas!$F$5:$F$44,Premissas!$A$5:$A$44,$A2111,Premissas!$B$5:$B$44,$B2111)</f>
        <v/>
      </c>
      <c r="L2111" s="29">
        <f>J2111-K2111</f>
        <v/>
      </c>
      <c r="M2111" t="inlineStr">
        <is>
          <t>1.350</t>
        </is>
      </c>
      <c r="N2111" t="inlineStr">
        <is>
          <t>Modalidade: 0 - Por conta do remetente | Parte: CASA PACK DISTRIBUICAO DE EMBALAGENS LTDA (43.564.720/0001-92)</t>
        </is>
      </c>
      <c r="O2111" s="29" t="n">
        <v>0</v>
      </c>
      <c r="P2111" s="29" t="n">
        <v>0</v>
      </c>
      <c r="Q2111" s="29" t="n">
        <v>0</v>
      </c>
      <c r="R2111" s="29" t="n">
        <v>0</v>
      </c>
      <c r="S2111" s="29" t="n">
        <v>0</v>
      </c>
      <c r="T2111" t="inlineStr">
        <is>
          <t>25250926975620000130570010000052921000180969</t>
        </is>
      </c>
      <c r="U2111" t="inlineStr">
        <is>
          <t>Não</t>
        </is>
      </c>
    </row>
    <row r="2112">
      <c r="A2112" t="inlineStr">
        <is>
          <t>Frete de venda</t>
        </is>
      </c>
      <c r="B2112" t="inlineStr">
        <is>
          <t>2.01.02 Frete sobre Vendas</t>
        </is>
      </c>
      <c r="C2112" t="inlineStr">
        <is>
          <t>Antes de 2026</t>
        </is>
      </c>
      <c r="D2112" t="inlineStr">
        <is>
          <t>Antes de 2026</t>
        </is>
      </c>
      <c r="E2112" s="28" t="n">
        <v>45926</v>
      </c>
      <c r="F2112" t="inlineStr">
        <is>
          <t>CT-e</t>
        </is>
      </c>
      <c r="G2112" t="inlineStr">
        <is>
          <t>000005293</t>
        </is>
      </c>
      <c r="H2112" t="inlineStr">
        <is>
          <t>R&amp;R TRANSPORTE E LOGISTICA</t>
        </is>
      </c>
      <c r="J2112" s="29" t="n">
        <v>13.85</v>
      </c>
      <c r="K2112" s="29">
        <f>(1-ISNUMBER(SEARCH("556",M2112)))*(O2112*SUMIFS(Premissas!$C$5:$C$44,Premissas!$A$5:$A$44,$A2112,Premissas!$B$5:$B$44,$B2112)+P2112*SUMIFS(Premissas!$D$5:$D$44,Premissas!$A$5:$A$44,$A2112,Premissas!$B$5:$B$44,$B2112))+R2112*SUMIFS(Premissas!$E$5:$E$44,Premissas!$A$5:$A$44,$A2112,Premissas!$B$5:$B$44,$B2112)+S2112*SUMIFS(Premissas!$F$5:$F$44,Premissas!$A$5:$A$44,$A2112,Premissas!$B$5:$B$44,$B2112)</f>
        <v/>
      </c>
      <c r="L2112" s="29">
        <f>J2112-K2112</f>
        <v/>
      </c>
      <c r="M2112" t="inlineStr">
        <is>
          <t>1.350</t>
        </is>
      </c>
      <c r="N2112" t="inlineStr">
        <is>
          <t>Modalidade: 0 - Por conta do remetente | Parte: DOCE MEL EMBALAGENS E FESTAS (10.989.624/0001-37)</t>
        </is>
      </c>
      <c r="O2112" s="29" t="n">
        <v>0</v>
      </c>
      <c r="P2112" s="29" t="n">
        <v>0</v>
      </c>
      <c r="Q2112" s="29" t="n">
        <v>0</v>
      </c>
      <c r="R2112" s="29" t="n">
        <v>0</v>
      </c>
      <c r="S2112" s="29" t="n">
        <v>0</v>
      </c>
      <c r="T2112" t="inlineStr">
        <is>
          <t>25250926975620000130570010000052931001501049</t>
        </is>
      </c>
      <c r="U2112" t="inlineStr">
        <is>
          <t>Não</t>
        </is>
      </c>
    </row>
    <row r="2113">
      <c r="A2113" t="inlineStr">
        <is>
          <t>Frete de venda</t>
        </is>
      </c>
      <c r="B2113" t="inlineStr">
        <is>
          <t>2.01.02 Frete sobre Vendas</t>
        </is>
      </c>
      <c r="C2113" t="inlineStr">
        <is>
          <t>Antes de 2026</t>
        </is>
      </c>
      <c r="D2113" t="inlineStr">
        <is>
          <t>Antes de 2026</t>
        </is>
      </c>
      <c r="E2113" s="28" t="n">
        <v>45929</v>
      </c>
      <c r="F2113" t="inlineStr">
        <is>
          <t>CT-e</t>
        </is>
      </c>
      <c r="G2113" t="inlineStr">
        <is>
          <t>000005311</t>
        </is>
      </c>
      <c r="H2113" t="inlineStr">
        <is>
          <t>R&amp;R TRANSPORTE E LOGISTICA</t>
        </is>
      </c>
      <c r="J2113" s="29" t="n">
        <v>813.08</v>
      </c>
      <c r="K2113" s="29">
        <f>(1-ISNUMBER(SEARCH("556",M2113)))*(O2113*SUMIFS(Premissas!$C$5:$C$44,Premissas!$A$5:$A$44,$A2113,Premissas!$B$5:$B$44,$B2113)+P2113*SUMIFS(Premissas!$D$5:$D$44,Premissas!$A$5:$A$44,$A2113,Premissas!$B$5:$B$44,$B2113))+R2113*SUMIFS(Premissas!$E$5:$E$44,Premissas!$A$5:$A$44,$A2113,Premissas!$B$5:$B$44,$B2113)+S2113*SUMIFS(Premissas!$F$5:$F$44,Premissas!$A$5:$A$44,$A2113,Premissas!$B$5:$B$44,$B2113)</f>
        <v/>
      </c>
      <c r="L2113" s="29">
        <f>J2113-K2113</f>
        <v/>
      </c>
      <c r="M2113" t="inlineStr">
        <is>
          <t>1.350</t>
        </is>
      </c>
      <c r="N2113" t="inlineStr">
        <is>
          <t>Modalidade: 0 - Por conta do remetente | Parte: JUNCO-INDUSTRIA E COMERCIO LTDA (66.312.653/0001-14)</t>
        </is>
      </c>
      <c r="O2113" s="29" t="n">
        <v>0</v>
      </c>
      <c r="P2113" s="29" t="n">
        <v>0</v>
      </c>
      <c r="Q2113" s="29" t="n">
        <v>0</v>
      </c>
      <c r="R2113" s="29" t="n">
        <v>0</v>
      </c>
      <c r="S2113" s="29" t="n">
        <v>0</v>
      </c>
      <c r="T2113" t="inlineStr">
        <is>
          <t>25250926975620000130570010000053111001701501</t>
        </is>
      </c>
      <c r="U2113" t="inlineStr">
        <is>
          <t>Não</t>
        </is>
      </c>
    </row>
    <row r="2114">
      <c r="A2114" t="inlineStr">
        <is>
          <t>Frete de venda</t>
        </is>
      </c>
      <c r="B2114" t="inlineStr">
        <is>
          <t>2.01.02 Frete sobre Vendas</t>
        </is>
      </c>
      <c r="C2114" t="inlineStr">
        <is>
          <t>Antes de 2026</t>
        </is>
      </c>
      <c r="D2114" t="inlineStr">
        <is>
          <t>Antes de 2026</t>
        </is>
      </c>
      <c r="E2114" s="28" t="n">
        <v>45929</v>
      </c>
      <c r="F2114" t="inlineStr">
        <is>
          <t>CT-e</t>
        </is>
      </c>
      <c r="G2114" t="inlineStr">
        <is>
          <t>000005312</t>
        </is>
      </c>
      <c r="H2114" t="inlineStr">
        <is>
          <t>R&amp;R TRANSPORTE E LOGISTICA</t>
        </is>
      </c>
      <c r="J2114" s="29" t="n">
        <v>12.99</v>
      </c>
      <c r="K2114" s="29">
        <f>(1-ISNUMBER(SEARCH("556",M2114)))*(O2114*SUMIFS(Premissas!$C$5:$C$44,Premissas!$A$5:$A$44,$A2114,Premissas!$B$5:$B$44,$B2114)+P2114*SUMIFS(Premissas!$D$5:$D$44,Premissas!$A$5:$A$44,$A2114,Premissas!$B$5:$B$44,$B2114))+R2114*SUMIFS(Premissas!$E$5:$E$44,Premissas!$A$5:$A$44,$A2114,Premissas!$B$5:$B$44,$B2114)+S2114*SUMIFS(Premissas!$F$5:$F$44,Premissas!$A$5:$A$44,$A2114,Premissas!$B$5:$B$44,$B2114)</f>
        <v/>
      </c>
      <c r="L2114" s="29">
        <f>J2114-K2114</f>
        <v/>
      </c>
      <c r="M2114" t="inlineStr">
        <is>
          <t>1.350</t>
        </is>
      </c>
      <c r="N2114" t="inlineStr">
        <is>
          <t>Modalidade: 0 - Por conta do remetente | Parte: ATAIRINE NASCIMENTO DE SOUZA HIPOLITO (16.457.331/0001-95)</t>
        </is>
      </c>
      <c r="O2114" s="29" t="n">
        <v>0</v>
      </c>
      <c r="P2114" s="29" t="n">
        <v>0</v>
      </c>
      <c r="Q2114" s="29" t="n">
        <v>0</v>
      </c>
      <c r="R2114" s="29" t="n">
        <v>0</v>
      </c>
      <c r="S2114" s="29" t="n">
        <v>0</v>
      </c>
      <c r="T2114" t="inlineStr">
        <is>
          <t>25250926975620000130570010000053121001401580</t>
        </is>
      </c>
      <c r="U2114" t="inlineStr">
        <is>
          <t>Não</t>
        </is>
      </c>
    </row>
    <row r="2115">
      <c r="A2115" t="inlineStr">
        <is>
          <t>Frete de venda</t>
        </is>
      </c>
      <c r="B2115" t="inlineStr">
        <is>
          <t>2.01.02 Frete sobre Vendas</t>
        </is>
      </c>
      <c r="C2115" t="inlineStr">
        <is>
          <t>Antes de 2026</t>
        </is>
      </c>
      <c r="D2115" t="inlineStr">
        <is>
          <t>Antes de 2026</t>
        </is>
      </c>
      <c r="E2115" s="28" t="n">
        <v>45929</v>
      </c>
      <c r="F2115" t="inlineStr">
        <is>
          <t>CT-e</t>
        </is>
      </c>
      <c r="G2115" t="inlineStr">
        <is>
          <t>000005313</t>
        </is>
      </c>
      <c r="H2115" t="inlineStr">
        <is>
          <t>R&amp;R TRANSPORTE E LOGISTICA</t>
        </is>
      </c>
      <c r="J2115" s="29" t="n">
        <v>13.96</v>
      </c>
      <c r="K2115" s="29">
        <f>(1-ISNUMBER(SEARCH("556",M2115)))*(O2115*SUMIFS(Premissas!$C$5:$C$44,Premissas!$A$5:$A$44,$A2115,Premissas!$B$5:$B$44,$B2115)+P2115*SUMIFS(Premissas!$D$5:$D$44,Premissas!$A$5:$A$44,$A2115,Premissas!$B$5:$B$44,$B2115))+R2115*SUMIFS(Premissas!$E$5:$E$44,Premissas!$A$5:$A$44,$A2115,Premissas!$B$5:$B$44,$B2115)+S2115*SUMIFS(Premissas!$F$5:$F$44,Premissas!$A$5:$A$44,$A2115,Premissas!$B$5:$B$44,$B2115)</f>
        <v/>
      </c>
      <c r="L2115" s="29">
        <f>J2115-K2115</f>
        <v/>
      </c>
      <c r="M2115" t="inlineStr">
        <is>
          <t>1.350</t>
        </is>
      </c>
      <c r="N2115" t="inlineStr">
        <is>
          <t>Modalidade: 0 - Por conta do remetente | Parte: COMERCIO E REPRESENTACOES BELLATO LTDA (83.215.830/0001-63)</t>
        </is>
      </c>
      <c r="O2115" s="29" t="n">
        <v>0</v>
      </c>
      <c r="P2115" s="29" t="n">
        <v>0</v>
      </c>
      <c r="Q2115" s="29" t="n">
        <v>0</v>
      </c>
      <c r="R2115" s="29" t="n">
        <v>0</v>
      </c>
      <c r="S2115" s="29" t="n">
        <v>0</v>
      </c>
      <c r="T2115" t="inlineStr">
        <is>
          <t>25250926975620000130570010000053131000150930</t>
        </is>
      </c>
      <c r="U2115" t="inlineStr">
        <is>
          <t>Não</t>
        </is>
      </c>
    </row>
    <row r="2116">
      <c r="A2116" t="inlineStr">
        <is>
          <t>Frete de venda</t>
        </is>
      </c>
      <c r="B2116" t="inlineStr">
        <is>
          <t>2.01.02 Frete sobre Vendas</t>
        </is>
      </c>
      <c r="C2116" t="inlineStr">
        <is>
          <t>Antes de 2026</t>
        </is>
      </c>
      <c r="D2116" t="inlineStr">
        <is>
          <t>Antes de 2026</t>
        </is>
      </c>
      <c r="E2116" s="28" t="n">
        <v>45929</v>
      </c>
      <c r="F2116" t="inlineStr">
        <is>
          <t>CT-e</t>
        </is>
      </c>
      <c r="G2116" t="inlineStr">
        <is>
          <t>000005314</t>
        </is>
      </c>
      <c r="H2116" t="inlineStr">
        <is>
          <t>R&amp;R TRANSPORTE E LOGISTICA</t>
        </is>
      </c>
      <c r="J2116" s="29" t="n">
        <v>17.93</v>
      </c>
      <c r="K2116" s="29">
        <f>(1-ISNUMBER(SEARCH("556",M2116)))*(O2116*SUMIFS(Premissas!$C$5:$C$44,Premissas!$A$5:$A$44,$A2116,Premissas!$B$5:$B$44,$B2116)+P2116*SUMIFS(Premissas!$D$5:$D$44,Premissas!$A$5:$A$44,$A2116,Premissas!$B$5:$B$44,$B2116))+R2116*SUMIFS(Premissas!$E$5:$E$44,Premissas!$A$5:$A$44,$A2116,Premissas!$B$5:$B$44,$B2116)+S2116*SUMIFS(Premissas!$F$5:$F$44,Premissas!$A$5:$A$44,$A2116,Premissas!$B$5:$B$44,$B2116)</f>
        <v/>
      </c>
      <c r="L2116" s="29">
        <f>J2116-K2116</f>
        <v/>
      </c>
      <c r="M2116" t="inlineStr">
        <is>
          <t>1.350</t>
        </is>
      </c>
      <c r="N2116" t="inlineStr">
        <is>
          <t>Modalidade: 0 - Por conta do remetente | Parte: EMBRULHE EMBALAGENS BRUSQUE LTDA (03.686.059/0001-73)</t>
        </is>
      </c>
      <c r="O2116" s="29" t="n">
        <v>0</v>
      </c>
      <c r="P2116" s="29" t="n">
        <v>0</v>
      </c>
      <c r="Q2116" s="29" t="n">
        <v>0</v>
      </c>
      <c r="R2116" s="29" t="n">
        <v>0</v>
      </c>
      <c r="S2116" s="29" t="n">
        <v>0</v>
      </c>
      <c r="T2116" t="inlineStr">
        <is>
          <t>25250926975620000130570010000053141001201012</t>
        </is>
      </c>
      <c r="U2116" t="inlineStr">
        <is>
          <t>Não</t>
        </is>
      </c>
    </row>
    <row r="2117">
      <c r="A2117" t="inlineStr">
        <is>
          <t>Frete de venda</t>
        </is>
      </c>
      <c r="B2117" t="inlineStr">
        <is>
          <t>2.01.02 Frete sobre Vendas</t>
        </is>
      </c>
      <c r="C2117" t="inlineStr">
        <is>
          <t>Antes de 2026</t>
        </is>
      </c>
      <c r="D2117" t="inlineStr">
        <is>
          <t>Antes de 2026</t>
        </is>
      </c>
      <c r="E2117" s="28" t="n">
        <v>45929</v>
      </c>
      <c r="F2117" t="inlineStr">
        <is>
          <t>CT-e</t>
        </is>
      </c>
      <c r="G2117" t="inlineStr">
        <is>
          <t>000005315</t>
        </is>
      </c>
      <c r="H2117" t="inlineStr">
        <is>
          <t>R&amp;R TRANSPORTE E LOGISTICA</t>
        </is>
      </c>
      <c r="J2117" s="29" t="n">
        <v>20.21</v>
      </c>
      <c r="K2117" s="29">
        <f>(1-ISNUMBER(SEARCH("556",M2117)))*(O2117*SUMIFS(Premissas!$C$5:$C$44,Premissas!$A$5:$A$44,$A2117,Premissas!$B$5:$B$44,$B2117)+P2117*SUMIFS(Premissas!$D$5:$D$44,Premissas!$A$5:$A$44,$A2117,Premissas!$B$5:$B$44,$B2117))+R2117*SUMIFS(Premissas!$E$5:$E$44,Premissas!$A$5:$A$44,$A2117,Premissas!$B$5:$B$44,$B2117)+S2117*SUMIFS(Premissas!$F$5:$F$44,Premissas!$A$5:$A$44,$A2117,Premissas!$B$5:$B$44,$B2117)</f>
        <v/>
      </c>
      <c r="L2117" s="29">
        <f>J2117-K2117</f>
        <v/>
      </c>
      <c r="M2117" t="inlineStr">
        <is>
          <t>1.350</t>
        </is>
      </c>
      <c r="N2117" t="inlineStr">
        <is>
          <t>Modalidade: 0 - Por conta do remetente | Parte: ROSA SUL EMBALAGENS LTDA (49.362.935/0001-07)</t>
        </is>
      </c>
      <c r="O2117" s="29" t="n">
        <v>0</v>
      </c>
      <c r="P2117" s="29" t="n">
        <v>0</v>
      </c>
      <c r="Q2117" s="29" t="n">
        <v>0</v>
      </c>
      <c r="R2117" s="29" t="n">
        <v>0</v>
      </c>
      <c r="S2117" s="29" t="n">
        <v>0</v>
      </c>
      <c r="T2117" t="inlineStr">
        <is>
          <t>25250926975620000130570010000053151011001099</t>
        </is>
      </c>
      <c r="U2117" t="inlineStr">
        <is>
          <t>Não</t>
        </is>
      </c>
    </row>
    <row r="2118">
      <c r="A2118" t="inlineStr">
        <is>
          <t>Frete de venda</t>
        </is>
      </c>
      <c r="B2118" t="inlineStr">
        <is>
          <t>2.01.02 Frete sobre Vendas</t>
        </is>
      </c>
      <c r="C2118" t="inlineStr">
        <is>
          <t>Antes de 2026</t>
        </is>
      </c>
      <c r="D2118" t="inlineStr">
        <is>
          <t>Antes de 2026</t>
        </is>
      </c>
      <c r="E2118" s="28" t="n">
        <v>45929</v>
      </c>
      <c r="F2118" t="inlineStr">
        <is>
          <t>CT-e</t>
        </is>
      </c>
      <c r="G2118" t="inlineStr">
        <is>
          <t>000005316</t>
        </is>
      </c>
      <c r="H2118" t="inlineStr">
        <is>
          <t>R&amp;R TRANSPORTE E LOGISTICA</t>
        </is>
      </c>
      <c r="J2118" s="29" t="n">
        <v>19.17</v>
      </c>
      <c r="K2118" s="29">
        <f>(1-ISNUMBER(SEARCH("556",M2118)))*(O2118*SUMIFS(Premissas!$C$5:$C$44,Premissas!$A$5:$A$44,$A2118,Premissas!$B$5:$B$44,$B2118)+P2118*SUMIFS(Premissas!$D$5:$D$44,Premissas!$A$5:$A$44,$A2118,Premissas!$B$5:$B$44,$B2118))+R2118*SUMIFS(Premissas!$E$5:$E$44,Premissas!$A$5:$A$44,$A2118,Premissas!$B$5:$B$44,$B2118)+S2118*SUMIFS(Premissas!$F$5:$F$44,Premissas!$A$5:$A$44,$A2118,Premissas!$B$5:$B$44,$B2118)</f>
        <v/>
      </c>
      <c r="L2118" s="29">
        <f>J2118-K2118</f>
        <v/>
      </c>
      <c r="M2118" t="inlineStr">
        <is>
          <t>1.350</t>
        </is>
      </c>
      <c r="N2118" t="inlineStr">
        <is>
          <t>Modalidade: 0 - Por conta do remetente | Parte: JOELMA XAVIER LTDA (46.882.996/0003-79)</t>
        </is>
      </c>
      <c r="O2118" s="29" t="n">
        <v>0</v>
      </c>
      <c r="P2118" s="29" t="n">
        <v>0</v>
      </c>
      <c r="Q2118" s="29" t="n">
        <v>0</v>
      </c>
      <c r="R2118" s="29" t="n">
        <v>0</v>
      </c>
      <c r="S2118" s="29" t="n">
        <v>0</v>
      </c>
      <c r="T2118" t="inlineStr">
        <is>
          <t>25250926975620000130570010000053161001701176</t>
        </is>
      </c>
      <c r="U2118" t="inlineStr">
        <is>
          <t>Não</t>
        </is>
      </c>
    </row>
    <row r="2119">
      <c r="A2119" t="inlineStr">
        <is>
          <t>Frete de venda</t>
        </is>
      </c>
      <c r="B2119" t="inlineStr">
        <is>
          <t>2.01.02 Frete sobre Vendas</t>
        </is>
      </c>
      <c r="C2119" t="inlineStr">
        <is>
          <t>Antes de 2026</t>
        </is>
      </c>
      <c r="D2119" t="inlineStr">
        <is>
          <t>Antes de 2026</t>
        </is>
      </c>
      <c r="E2119" s="28" t="n">
        <v>45929</v>
      </c>
      <c r="F2119" t="inlineStr">
        <is>
          <t>CT-e</t>
        </is>
      </c>
      <c r="G2119" t="inlineStr">
        <is>
          <t>000005317</t>
        </is>
      </c>
      <c r="H2119" t="inlineStr">
        <is>
          <t>R&amp;R TRANSPORTE E LOGISTICA</t>
        </is>
      </c>
      <c r="J2119" s="29" t="n">
        <v>17.57</v>
      </c>
      <c r="K2119" s="29">
        <f>(1-ISNUMBER(SEARCH("556",M2119)))*(O2119*SUMIFS(Premissas!$C$5:$C$44,Premissas!$A$5:$A$44,$A2119,Premissas!$B$5:$B$44,$B2119)+P2119*SUMIFS(Premissas!$D$5:$D$44,Premissas!$A$5:$A$44,$A2119,Premissas!$B$5:$B$44,$B2119))+R2119*SUMIFS(Premissas!$E$5:$E$44,Premissas!$A$5:$A$44,$A2119,Premissas!$B$5:$B$44,$B2119)+S2119*SUMIFS(Premissas!$F$5:$F$44,Premissas!$A$5:$A$44,$A2119,Premissas!$B$5:$B$44,$B2119)</f>
        <v/>
      </c>
      <c r="L2119" s="29">
        <f>J2119-K2119</f>
        <v/>
      </c>
      <c r="M2119" t="inlineStr">
        <is>
          <t>1.350</t>
        </is>
      </c>
      <c r="N2119" t="inlineStr">
        <is>
          <t>Modalidade: 0 - Por conta do remetente | Parte: MORETO TRANSPORTES E COMERCIO LTDA (38.024.793/0002-32)</t>
        </is>
      </c>
      <c r="O2119" s="29" t="n">
        <v>0</v>
      </c>
      <c r="P2119" s="29" t="n">
        <v>0</v>
      </c>
      <c r="Q2119" s="29" t="n">
        <v>0</v>
      </c>
      <c r="R2119" s="29" t="n">
        <v>0</v>
      </c>
      <c r="S2119" s="29" t="n">
        <v>0</v>
      </c>
      <c r="T2119" t="inlineStr">
        <is>
          <t>25250926975620000130570010000053171001401250</t>
        </is>
      </c>
      <c r="U2119" t="inlineStr">
        <is>
          <t>Não</t>
        </is>
      </c>
    </row>
    <row r="2120">
      <c r="A2120" t="inlineStr">
        <is>
          <t>Frete de venda</t>
        </is>
      </c>
      <c r="B2120" t="inlineStr">
        <is>
          <t>2.01.02 Frete sobre Vendas</t>
        </is>
      </c>
      <c r="C2120" t="inlineStr">
        <is>
          <t>Antes de 2026</t>
        </is>
      </c>
      <c r="D2120" t="inlineStr">
        <is>
          <t>Antes de 2026</t>
        </is>
      </c>
      <c r="E2120" s="28" t="n">
        <v>45929</v>
      </c>
      <c r="F2120" t="inlineStr">
        <is>
          <t>CT-e</t>
        </is>
      </c>
      <c r="G2120" t="inlineStr">
        <is>
          <t>000005318</t>
        </is>
      </c>
      <c r="H2120" t="inlineStr">
        <is>
          <t>R&amp;R TRANSPORTE E LOGISTICA</t>
        </is>
      </c>
      <c r="J2120" s="29" t="n">
        <v>33.77</v>
      </c>
      <c r="K2120" s="29">
        <f>(1-ISNUMBER(SEARCH("556",M2120)))*(O2120*SUMIFS(Premissas!$C$5:$C$44,Premissas!$A$5:$A$44,$A2120,Premissas!$B$5:$B$44,$B2120)+P2120*SUMIFS(Premissas!$D$5:$D$44,Premissas!$A$5:$A$44,$A2120,Premissas!$B$5:$B$44,$B2120))+R2120*SUMIFS(Premissas!$E$5:$E$44,Premissas!$A$5:$A$44,$A2120,Premissas!$B$5:$B$44,$B2120)+S2120*SUMIFS(Premissas!$F$5:$F$44,Premissas!$A$5:$A$44,$A2120,Premissas!$B$5:$B$44,$B2120)</f>
        <v/>
      </c>
      <c r="L2120" s="29">
        <f>J2120-K2120</f>
        <v/>
      </c>
      <c r="M2120" t="inlineStr">
        <is>
          <t>1.350</t>
        </is>
      </c>
      <c r="N2120" t="inlineStr">
        <is>
          <t>Modalidade: 0 - Por conta do remetente | Parte: ELTON DIEGO SOARES DE CASTRO LTDA (28.176.668/0001-03)</t>
        </is>
      </c>
      <c r="O2120" s="29" t="n">
        <v>0</v>
      </c>
      <c r="P2120" s="29" t="n">
        <v>0</v>
      </c>
      <c r="Q2120" s="29" t="n">
        <v>0</v>
      </c>
      <c r="R2120" s="29" t="n">
        <v>0</v>
      </c>
      <c r="S2120" s="29" t="n">
        <v>0</v>
      </c>
      <c r="T2120" t="inlineStr">
        <is>
          <t>25250926975620000130570010000053181001101335</t>
        </is>
      </c>
      <c r="U2120" t="inlineStr">
        <is>
          <t>Não</t>
        </is>
      </c>
    </row>
    <row r="2121">
      <c r="A2121" t="inlineStr">
        <is>
          <t>Frete de venda</t>
        </is>
      </c>
      <c r="B2121" t="inlineStr">
        <is>
          <t>2.01.02 Frete sobre Vendas</t>
        </is>
      </c>
      <c r="C2121" t="inlineStr">
        <is>
          <t>Antes de 2026</t>
        </is>
      </c>
      <c r="D2121" t="inlineStr">
        <is>
          <t>Antes de 2026</t>
        </is>
      </c>
      <c r="E2121" s="28" t="n">
        <v>45929</v>
      </c>
      <c r="F2121" t="inlineStr">
        <is>
          <t>CT-e</t>
        </is>
      </c>
      <c r="G2121" t="inlineStr">
        <is>
          <t>000005319</t>
        </is>
      </c>
      <c r="H2121" t="inlineStr">
        <is>
          <t>R&amp;R TRANSPORTE E LOGISTICA</t>
        </is>
      </c>
      <c r="J2121" s="29" t="n">
        <v>16.5</v>
      </c>
      <c r="K2121" s="29">
        <f>(1-ISNUMBER(SEARCH("556",M2121)))*(O2121*SUMIFS(Premissas!$C$5:$C$44,Premissas!$A$5:$A$44,$A2121,Premissas!$B$5:$B$44,$B2121)+P2121*SUMIFS(Premissas!$D$5:$D$44,Premissas!$A$5:$A$44,$A2121,Premissas!$B$5:$B$44,$B2121))+R2121*SUMIFS(Premissas!$E$5:$E$44,Premissas!$A$5:$A$44,$A2121,Premissas!$B$5:$B$44,$B2121)+S2121*SUMIFS(Premissas!$F$5:$F$44,Premissas!$A$5:$A$44,$A2121,Premissas!$B$5:$B$44,$B2121)</f>
        <v/>
      </c>
      <c r="L2121" s="29">
        <f>J2121-K2121</f>
        <v/>
      </c>
      <c r="M2121" t="inlineStr">
        <is>
          <t>1.350</t>
        </is>
      </c>
      <c r="N2121" t="inlineStr">
        <is>
          <t>Modalidade: 0 - Por conta do remetente | Parte: SUL DOCE DISTRIBUIDORA DE BALAS LTDA (87.278.230/0001-03)</t>
        </is>
      </c>
      <c r="O2121" s="29" t="n">
        <v>0</v>
      </c>
      <c r="P2121" s="29" t="n">
        <v>0</v>
      </c>
      <c r="Q2121" s="29" t="n">
        <v>0</v>
      </c>
      <c r="R2121" s="29" t="n">
        <v>0</v>
      </c>
      <c r="S2121" s="29" t="n">
        <v>0</v>
      </c>
      <c r="T2121" t="inlineStr">
        <is>
          <t>25250926975620000130570010000053191001901410</t>
        </is>
      </c>
      <c r="U2121" t="inlineStr">
        <is>
          <t>Não</t>
        </is>
      </c>
    </row>
    <row r="2122">
      <c r="A2122" t="inlineStr">
        <is>
          <t>Frete de venda</t>
        </is>
      </c>
      <c r="B2122" t="inlineStr">
        <is>
          <t>2.01.02 Frete sobre Vendas</t>
        </is>
      </c>
      <c r="C2122" t="inlineStr">
        <is>
          <t>Antes de 2026</t>
        </is>
      </c>
      <c r="D2122" t="inlineStr">
        <is>
          <t>Antes de 2026</t>
        </is>
      </c>
      <c r="E2122" s="28" t="n">
        <v>45929</v>
      </c>
      <c r="F2122" t="inlineStr">
        <is>
          <t>CT-e</t>
        </is>
      </c>
      <c r="G2122" t="inlineStr">
        <is>
          <t>000005320</t>
        </is>
      </c>
      <c r="H2122" t="inlineStr">
        <is>
          <t>R&amp;R TRANSPORTE E LOGISTICA</t>
        </is>
      </c>
      <c r="J2122" s="29" t="n">
        <v>52.64</v>
      </c>
      <c r="K2122" s="29">
        <f>(1-ISNUMBER(SEARCH("556",M2122)))*(O2122*SUMIFS(Premissas!$C$5:$C$44,Premissas!$A$5:$A$44,$A2122,Premissas!$B$5:$B$44,$B2122)+P2122*SUMIFS(Premissas!$D$5:$D$44,Premissas!$A$5:$A$44,$A2122,Premissas!$B$5:$B$44,$B2122))+R2122*SUMIFS(Premissas!$E$5:$E$44,Premissas!$A$5:$A$44,$A2122,Premissas!$B$5:$B$44,$B2122)+S2122*SUMIFS(Premissas!$F$5:$F$44,Premissas!$A$5:$A$44,$A2122,Premissas!$B$5:$B$44,$B2122)</f>
        <v/>
      </c>
      <c r="L2122" s="29">
        <f>J2122-K2122</f>
        <v/>
      </c>
      <c r="M2122" t="inlineStr">
        <is>
          <t>1.350</t>
        </is>
      </c>
      <c r="N2122" t="inlineStr">
        <is>
          <t>Modalidade: 0 - Por conta do remetente | Parte: ATACADO NASCAR HIPICA LTDA (04.886.589/0001-28)</t>
        </is>
      </c>
      <c r="O2122" s="29" t="n">
        <v>0</v>
      </c>
      <c r="P2122" s="29" t="n">
        <v>0</v>
      </c>
      <c r="Q2122" s="29" t="n">
        <v>0</v>
      </c>
      <c r="R2122" s="29" t="n">
        <v>0</v>
      </c>
      <c r="S2122" s="29" t="n">
        <v>0</v>
      </c>
      <c r="T2122" t="inlineStr">
        <is>
          <t>25250926975620000130570010000053201001601492</t>
        </is>
      </c>
      <c r="U2122" t="inlineStr">
        <is>
          <t>Não</t>
        </is>
      </c>
    </row>
    <row r="2123">
      <c r="A2123" t="inlineStr">
        <is>
          <t>Frete de venda</t>
        </is>
      </c>
      <c r="B2123" t="inlineStr">
        <is>
          <t>2.01.02 Frete sobre Vendas</t>
        </is>
      </c>
      <c r="C2123" t="inlineStr">
        <is>
          <t>Antes de 2026</t>
        </is>
      </c>
      <c r="D2123" t="inlineStr">
        <is>
          <t>Antes de 2026</t>
        </is>
      </c>
      <c r="E2123" s="28" t="n">
        <v>45929</v>
      </c>
      <c r="F2123" t="inlineStr">
        <is>
          <t>CT-e</t>
        </is>
      </c>
      <c r="G2123" t="inlineStr">
        <is>
          <t>000005321</t>
        </is>
      </c>
      <c r="H2123" t="inlineStr">
        <is>
          <t>R&amp;R TRANSPORTE E LOGISTICA</t>
        </is>
      </c>
      <c r="J2123" s="29" t="n">
        <v>37.45</v>
      </c>
      <c r="K2123" s="29">
        <f>(1-ISNUMBER(SEARCH("556",M2123)))*(O2123*SUMIFS(Premissas!$C$5:$C$44,Premissas!$A$5:$A$44,$A2123,Premissas!$B$5:$B$44,$B2123)+P2123*SUMIFS(Premissas!$D$5:$D$44,Premissas!$A$5:$A$44,$A2123,Premissas!$B$5:$B$44,$B2123))+R2123*SUMIFS(Premissas!$E$5:$E$44,Premissas!$A$5:$A$44,$A2123,Premissas!$B$5:$B$44,$B2123)+S2123*SUMIFS(Premissas!$F$5:$F$44,Premissas!$A$5:$A$44,$A2123,Premissas!$B$5:$B$44,$B2123)</f>
        <v/>
      </c>
      <c r="L2123" s="29">
        <f>J2123-K2123</f>
        <v/>
      </c>
      <c r="M2123" t="inlineStr">
        <is>
          <t>1.350</t>
        </is>
      </c>
      <c r="N2123" t="inlineStr">
        <is>
          <t>Modalidade: 0 - Por conta do remetente | Parte: ARMAZEM ZANINI LTDA (49.708.900/0001-87)</t>
        </is>
      </c>
      <c r="O2123" s="29" t="n">
        <v>0</v>
      </c>
      <c r="P2123" s="29" t="n">
        <v>0</v>
      </c>
      <c r="Q2123" s="29" t="n">
        <v>0</v>
      </c>
      <c r="R2123" s="29" t="n">
        <v>0</v>
      </c>
      <c r="S2123" s="29" t="n">
        <v>0</v>
      </c>
      <c r="T2123" t="inlineStr">
        <is>
          <t>25250926975620000130570010000053211001301577</t>
        </is>
      </c>
      <c r="U2123" t="inlineStr">
        <is>
          <t>Não</t>
        </is>
      </c>
    </row>
    <row r="2124">
      <c r="A2124" t="inlineStr">
        <is>
          <t>Frete de venda</t>
        </is>
      </c>
      <c r="B2124" t="inlineStr">
        <is>
          <t>2.01.02 Frete sobre Vendas</t>
        </is>
      </c>
      <c r="C2124" t="inlineStr">
        <is>
          <t>Antes de 2026</t>
        </is>
      </c>
      <c r="D2124" t="inlineStr">
        <is>
          <t>Antes de 2026</t>
        </is>
      </c>
      <c r="E2124" s="28" t="n">
        <v>45929</v>
      </c>
      <c r="F2124" t="inlineStr">
        <is>
          <t>CT-e</t>
        </is>
      </c>
      <c r="G2124" t="inlineStr">
        <is>
          <t>000005322</t>
        </is>
      </c>
      <c r="H2124" t="inlineStr">
        <is>
          <t>R&amp;R TRANSPORTE E LOGISTICA</t>
        </is>
      </c>
      <c r="J2124" s="29" t="n">
        <v>31.06</v>
      </c>
      <c r="K2124" s="29">
        <f>(1-ISNUMBER(SEARCH("556",M2124)))*(O2124*SUMIFS(Premissas!$C$5:$C$44,Premissas!$A$5:$A$44,$A2124,Premissas!$B$5:$B$44,$B2124)+P2124*SUMIFS(Premissas!$D$5:$D$44,Premissas!$A$5:$A$44,$A2124,Premissas!$B$5:$B$44,$B2124))+R2124*SUMIFS(Premissas!$E$5:$E$44,Premissas!$A$5:$A$44,$A2124,Premissas!$B$5:$B$44,$B2124)+S2124*SUMIFS(Premissas!$F$5:$F$44,Premissas!$A$5:$A$44,$A2124,Premissas!$B$5:$B$44,$B2124)</f>
        <v/>
      </c>
      <c r="L2124" s="29">
        <f>J2124-K2124</f>
        <v/>
      </c>
      <c r="M2124" t="inlineStr">
        <is>
          <t>1.350</t>
        </is>
      </c>
      <c r="N2124" t="inlineStr">
        <is>
          <t>Modalidade: 0 - Por conta do remetente | Parte: ROSA SUL ATACADO LTDA (11.579.934/0004-99)</t>
        </is>
      </c>
      <c r="O2124" s="29" t="n">
        <v>0</v>
      </c>
      <c r="P2124" s="29" t="n">
        <v>0</v>
      </c>
      <c r="Q2124" s="29" t="n">
        <v>0</v>
      </c>
      <c r="R2124" s="29" t="n">
        <v>0</v>
      </c>
      <c r="S2124" s="29" t="n">
        <v>0</v>
      </c>
      <c r="T2124" t="inlineStr">
        <is>
          <t>25250926975620000130570010000053221000101652</t>
        </is>
      </c>
      <c r="U2124" t="inlineStr">
        <is>
          <t>Não</t>
        </is>
      </c>
    </row>
    <row r="2125">
      <c r="A2125" t="inlineStr">
        <is>
          <t>Frete de venda</t>
        </is>
      </c>
      <c r="B2125" t="inlineStr">
        <is>
          <t>2.01.02 Frete sobre Vendas</t>
        </is>
      </c>
      <c r="C2125" t="inlineStr">
        <is>
          <t>Antes de 2026</t>
        </is>
      </c>
      <c r="D2125" t="inlineStr">
        <is>
          <t>Antes de 2026</t>
        </is>
      </c>
      <c r="E2125" s="28" t="n">
        <v>45929</v>
      </c>
      <c r="F2125" t="inlineStr">
        <is>
          <t>CT-e</t>
        </is>
      </c>
      <c r="G2125" t="inlineStr">
        <is>
          <t>000005323</t>
        </is>
      </c>
      <c r="H2125" t="inlineStr">
        <is>
          <t>R&amp;R TRANSPORTE E LOGISTICA</t>
        </is>
      </c>
      <c r="J2125" s="29" t="n">
        <v>39.13</v>
      </c>
      <c r="K2125" s="29">
        <f>(1-ISNUMBER(SEARCH("556",M2125)))*(O2125*SUMIFS(Premissas!$C$5:$C$44,Premissas!$A$5:$A$44,$A2125,Premissas!$B$5:$B$44,$B2125)+P2125*SUMIFS(Premissas!$D$5:$D$44,Premissas!$A$5:$A$44,$A2125,Premissas!$B$5:$B$44,$B2125))+R2125*SUMIFS(Premissas!$E$5:$E$44,Premissas!$A$5:$A$44,$A2125,Premissas!$B$5:$B$44,$B2125)+S2125*SUMIFS(Premissas!$F$5:$F$44,Premissas!$A$5:$A$44,$A2125,Premissas!$B$5:$B$44,$B2125)</f>
        <v/>
      </c>
      <c r="L2125" s="29">
        <f>J2125-K2125</f>
        <v/>
      </c>
      <c r="M2125" t="inlineStr">
        <is>
          <t>1.350</t>
        </is>
      </c>
      <c r="N2125" t="inlineStr">
        <is>
          <t>Modalidade: 0 - Por conta do remetente | Parte: GDR ATACADO E VAREJO LTDA (55.727.510/0001-57)</t>
        </is>
      </c>
      <c r="O2125" s="29" t="n">
        <v>0</v>
      </c>
      <c r="P2125" s="29" t="n">
        <v>0</v>
      </c>
      <c r="Q2125" s="29" t="n">
        <v>0</v>
      </c>
      <c r="R2125" s="29" t="n">
        <v>0</v>
      </c>
      <c r="S2125" s="29" t="n">
        <v>0</v>
      </c>
      <c r="T2125" t="inlineStr">
        <is>
          <t>25250926975620000130570010000053231001101009</t>
        </is>
      </c>
      <c r="U2125" t="inlineStr">
        <is>
          <t>Não</t>
        </is>
      </c>
    </row>
    <row r="2126">
      <c r="A2126" t="inlineStr">
        <is>
          <t>Frete de venda</t>
        </is>
      </c>
      <c r="B2126" t="inlineStr">
        <is>
          <t>2.01.02 Frete sobre Vendas</t>
        </is>
      </c>
      <c r="C2126" t="inlineStr">
        <is>
          <t>Antes de 2026</t>
        </is>
      </c>
      <c r="D2126" t="inlineStr">
        <is>
          <t>Antes de 2026</t>
        </is>
      </c>
      <c r="E2126" s="28" t="n">
        <v>45929</v>
      </c>
      <c r="F2126" t="inlineStr">
        <is>
          <t>CT-e</t>
        </is>
      </c>
      <c r="G2126" t="inlineStr">
        <is>
          <t>000005324</t>
        </is>
      </c>
      <c r="H2126" t="inlineStr">
        <is>
          <t>R&amp;R TRANSPORTE E LOGISTICA</t>
        </is>
      </c>
      <c r="J2126" s="29" t="n">
        <v>15.89</v>
      </c>
      <c r="K2126" s="29">
        <f>(1-ISNUMBER(SEARCH("556",M2126)))*(O2126*SUMIFS(Premissas!$C$5:$C$44,Premissas!$A$5:$A$44,$A2126,Premissas!$B$5:$B$44,$B2126)+P2126*SUMIFS(Premissas!$D$5:$D$44,Premissas!$A$5:$A$44,$A2126,Premissas!$B$5:$B$44,$B2126))+R2126*SUMIFS(Premissas!$E$5:$E$44,Premissas!$A$5:$A$44,$A2126,Premissas!$B$5:$B$44,$B2126)+S2126*SUMIFS(Premissas!$F$5:$F$44,Premissas!$A$5:$A$44,$A2126,Premissas!$B$5:$B$44,$B2126)</f>
        <v/>
      </c>
      <c r="L2126" s="29">
        <f>J2126-K2126</f>
        <v/>
      </c>
      <c r="M2126" t="inlineStr">
        <is>
          <t>1.350</t>
        </is>
      </c>
      <c r="N2126" t="inlineStr">
        <is>
          <t>Modalidade: 0 - Por conta do remetente | Parte: MOVA EMBALAGENS LTDA (62.102.957/0001-04)</t>
        </is>
      </c>
      <c r="O2126" s="29" t="n">
        <v>0</v>
      </c>
      <c r="P2126" s="29" t="n">
        <v>0</v>
      </c>
      <c r="Q2126" s="29" t="n">
        <v>0</v>
      </c>
      <c r="R2126" s="29" t="n">
        <v>0</v>
      </c>
      <c r="S2126" s="29" t="n">
        <v>0</v>
      </c>
      <c r="T2126" t="inlineStr">
        <is>
          <t>25250926975620000130570010000053241001901088</t>
        </is>
      </c>
      <c r="U2126" t="inlineStr">
        <is>
          <t>Não</t>
        </is>
      </c>
    </row>
    <row r="2127">
      <c r="A2127" t="inlineStr">
        <is>
          <t>Frete de venda</t>
        </is>
      </c>
      <c r="B2127" t="inlineStr">
        <is>
          <t>2.01.02 Frete sobre Vendas</t>
        </is>
      </c>
      <c r="C2127" t="inlineStr">
        <is>
          <t>Antes de 2026</t>
        </is>
      </c>
      <c r="D2127" t="inlineStr">
        <is>
          <t>Antes de 2026</t>
        </is>
      </c>
      <c r="E2127" s="28" t="n">
        <v>45929</v>
      </c>
      <c r="F2127" t="inlineStr">
        <is>
          <t>CT-e</t>
        </is>
      </c>
      <c r="G2127" t="inlineStr">
        <is>
          <t>000005325</t>
        </is>
      </c>
      <c r="H2127" t="inlineStr">
        <is>
          <t>R&amp;R TRANSPORTE E LOGISTICA</t>
        </is>
      </c>
      <c r="J2127" s="29" t="n">
        <v>17.65</v>
      </c>
      <c r="K2127" s="29">
        <f>(1-ISNUMBER(SEARCH("556",M2127)))*(O2127*SUMIFS(Premissas!$C$5:$C$44,Premissas!$A$5:$A$44,$A2127,Premissas!$B$5:$B$44,$B2127)+P2127*SUMIFS(Premissas!$D$5:$D$44,Premissas!$A$5:$A$44,$A2127,Premissas!$B$5:$B$44,$B2127))+R2127*SUMIFS(Premissas!$E$5:$E$44,Premissas!$A$5:$A$44,$A2127,Premissas!$B$5:$B$44,$B2127)+S2127*SUMIFS(Premissas!$F$5:$F$44,Premissas!$A$5:$A$44,$A2127,Premissas!$B$5:$B$44,$B2127)</f>
        <v/>
      </c>
      <c r="L2127" s="29">
        <f>J2127-K2127</f>
        <v/>
      </c>
      <c r="M2127" t="inlineStr">
        <is>
          <t>1.350</t>
        </is>
      </c>
      <c r="N2127" t="inlineStr">
        <is>
          <t>Modalidade: 0 - Por conta do remetente | Parte: EMPORIO DO FERMENTO COMERCIO DE PRODUTOS ALIMENTICIOS LTDA (53.999.883/0001-51)</t>
        </is>
      </c>
      <c r="O2127" s="29" t="n">
        <v>0</v>
      </c>
      <c r="P2127" s="29" t="n">
        <v>0</v>
      </c>
      <c r="Q2127" s="29" t="n">
        <v>0</v>
      </c>
      <c r="R2127" s="29" t="n">
        <v>0</v>
      </c>
      <c r="S2127" s="29" t="n">
        <v>0</v>
      </c>
      <c r="T2127" t="inlineStr">
        <is>
          <t>25250926975620000130570010000053251001601162</t>
        </is>
      </c>
      <c r="U2127" t="inlineStr">
        <is>
          <t>Não</t>
        </is>
      </c>
    </row>
    <row r="2128">
      <c r="A2128" t="inlineStr">
        <is>
          <t>Frete de venda</t>
        </is>
      </c>
      <c r="B2128" t="inlineStr">
        <is>
          <t>2.01.02 Frete sobre Vendas</t>
        </is>
      </c>
      <c r="C2128" t="inlineStr">
        <is>
          <t>Antes de 2026</t>
        </is>
      </c>
      <c r="D2128" t="inlineStr">
        <is>
          <t>Antes de 2026</t>
        </is>
      </c>
      <c r="E2128" s="28" t="n">
        <v>45929</v>
      </c>
      <c r="F2128" t="inlineStr">
        <is>
          <t>CT-e</t>
        </is>
      </c>
      <c r="G2128" t="inlineStr">
        <is>
          <t>000005326</t>
        </is>
      </c>
      <c r="H2128" t="inlineStr">
        <is>
          <t>R&amp;R TRANSPORTE E LOGISTICA</t>
        </is>
      </c>
      <c r="J2128" s="29" t="n">
        <v>11.3</v>
      </c>
      <c r="K2128" s="29">
        <f>(1-ISNUMBER(SEARCH("556",M2128)))*(O2128*SUMIFS(Premissas!$C$5:$C$44,Premissas!$A$5:$A$44,$A2128,Premissas!$B$5:$B$44,$B2128)+P2128*SUMIFS(Premissas!$D$5:$D$44,Premissas!$A$5:$A$44,$A2128,Premissas!$B$5:$B$44,$B2128))+R2128*SUMIFS(Premissas!$E$5:$E$44,Premissas!$A$5:$A$44,$A2128,Premissas!$B$5:$B$44,$B2128)+S2128*SUMIFS(Premissas!$F$5:$F$44,Premissas!$A$5:$A$44,$A2128,Premissas!$B$5:$B$44,$B2128)</f>
        <v/>
      </c>
      <c r="L2128" s="29">
        <f>J2128-K2128</f>
        <v/>
      </c>
      <c r="M2128" t="inlineStr">
        <is>
          <t>1.350</t>
        </is>
      </c>
      <c r="N2128" t="inlineStr">
        <is>
          <t>Modalidade: 0 - Por conta do remetente | Parte: TIAKI KAKINOKI LTDA (78.226.768/0001-75)</t>
        </is>
      </c>
      <c r="O2128" s="29" t="n">
        <v>0</v>
      </c>
      <c r="P2128" s="29" t="n">
        <v>0</v>
      </c>
      <c r="Q2128" s="29" t="n">
        <v>0</v>
      </c>
      <c r="R2128" s="29" t="n">
        <v>0</v>
      </c>
      <c r="S2128" s="29" t="n">
        <v>0</v>
      </c>
      <c r="T2128" t="inlineStr">
        <is>
          <t>25250926975620000130570010000053261001301247</t>
        </is>
      </c>
      <c r="U2128" t="inlineStr">
        <is>
          <t>Não</t>
        </is>
      </c>
    </row>
    <row r="2129">
      <c r="A2129" t="inlineStr">
        <is>
          <t>Frete de venda</t>
        </is>
      </c>
      <c r="B2129" t="inlineStr">
        <is>
          <t>2.01.02 Frete sobre Vendas</t>
        </is>
      </c>
      <c r="C2129" t="inlineStr">
        <is>
          <t>Antes de 2026</t>
        </is>
      </c>
      <c r="D2129" t="inlineStr">
        <is>
          <t>Antes de 2026</t>
        </is>
      </c>
      <c r="E2129" s="28" t="n">
        <v>45929</v>
      </c>
      <c r="F2129" t="inlineStr">
        <is>
          <t>CT-e</t>
        </is>
      </c>
      <c r="G2129" t="inlineStr">
        <is>
          <t>000005327</t>
        </is>
      </c>
      <c r="H2129" t="inlineStr">
        <is>
          <t>R&amp;R TRANSPORTE E LOGISTICA</t>
        </is>
      </c>
      <c r="J2129" s="29" t="n">
        <v>24.96</v>
      </c>
      <c r="K2129" s="29">
        <f>(1-ISNUMBER(SEARCH("556",M2129)))*(O2129*SUMIFS(Premissas!$C$5:$C$44,Premissas!$A$5:$A$44,$A2129,Premissas!$B$5:$B$44,$B2129)+P2129*SUMIFS(Premissas!$D$5:$D$44,Premissas!$A$5:$A$44,$A2129,Premissas!$B$5:$B$44,$B2129))+R2129*SUMIFS(Premissas!$E$5:$E$44,Premissas!$A$5:$A$44,$A2129,Premissas!$B$5:$B$44,$B2129)+S2129*SUMIFS(Premissas!$F$5:$F$44,Premissas!$A$5:$A$44,$A2129,Premissas!$B$5:$B$44,$B2129)</f>
        <v/>
      </c>
      <c r="L2129" s="29">
        <f>J2129-K2129</f>
        <v/>
      </c>
      <c r="M2129" t="inlineStr">
        <is>
          <t>1.350</t>
        </is>
      </c>
      <c r="N2129" t="inlineStr">
        <is>
          <t>Modalidade: 0 - Por conta do remetente | Parte: BEBIFRIOS COMERCIAL LTDA (05.796.195/0001-41)</t>
        </is>
      </c>
      <c r="O2129" s="29" t="n">
        <v>0</v>
      </c>
      <c r="P2129" s="29" t="n">
        <v>0</v>
      </c>
      <c r="Q2129" s="29" t="n">
        <v>0</v>
      </c>
      <c r="R2129" s="29" t="n">
        <v>0</v>
      </c>
      <c r="S2129" s="29" t="n">
        <v>0</v>
      </c>
      <c r="T2129" t="inlineStr">
        <is>
          <t>25250926975620000130570010000053271000101322</t>
        </is>
      </c>
      <c r="U2129" t="inlineStr">
        <is>
          <t>Não</t>
        </is>
      </c>
    </row>
    <row r="2130">
      <c r="A2130" t="inlineStr">
        <is>
          <t>Frete de venda</t>
        </is>
      </c>
      <c r="B2130" t="inlineStr">
        <is>
          <t>2.01.02 Frete sobre Vendas</t>
        </is>
      </c>
      <c r="C2130" t="inlineStr">
        <is>
          <t>Antes de 2026</t>
        </is>
      </c>
      <c r="D2130" t="inlineStr">
        <is>
          <t>Antes de 2026</t>
        </is>
      </c>
      <c r="E2130" s="28" t="n">
        <v>45929</v>
      </c>
      <c r="F2130" t="inlineStr">
        <is>
          <t>CT-e</t>
        </is>
      </c>
      <c r="G2130" t="inlineStr">
        <is>
          <t>000005328</t>
        </is>
      </c>
      <c r="H2130" t="inlineStr">
        <is>
          <t>R&amp;R TRANSPORTE E LOGISTICA</t>
        </is>
      </c>
      <c r="J2130" s="29" t="n">
        <v>12.21</v>
      </c>
      <c r="K2130" s="29">
        <f>(1-ISNUMBER(SEARCH("556",M2130)))*(O2130*SUMIFS(Premissas!$C$5:$C$44,Premissas!$A$5:$A$44,$A2130,Premissas!$B$5:$B$44,$B2130)+P2130*SUMIFS(Premissas!$D$5:$D$44,Premissas!$A$5:$A$44,$A2130,Premissas!$B$5:$B$44,$B2130))+R2130*SUMIFS(Premissas!$E$5:$E$44,Premissas!$A$5:$A$44,$A2130,Premissas!$B$5:$B$44,$B2130)+S2130*SUMIFS(Premissas!$F$5:$F$44,Premissas!$A$5:$A$44,$A2130,Premissas!$B$5:$B$44,$B2130)</f>
        <v/>
      </c>
      <c r="L2130" s="29">
        <f>J2130-K2130</f>
        <v/>
      </c>
      <c r="M2130" t="inlineStr">
        <is>
          <t>1.350</t>
        </is>
      </c>
      <c r="N2130" t="inlineStr">
        <is>
          <t>Modalidade: 0 - Por conta do remetente | Parte: MERCADO LEONEL LTDA - EPP (82.008.087/0001-08)</t>
        </is>
      </c>
      <c r="O2130" s="29" t="n">
        <v>0</v>
      </c>
      <c r="P2130" s="29" t="n">
        <v>0</v>
      </c>
      <c r="Q2130" s="29" t="n">
        <v>0</v>
      </c>
      <c r="R2130" s="29" t="n">
        <v>0</v>
      </c>
      <c r="S2130" s="29" t="n">
        <v>0</v>
      </c>
      <c r="T2130" t="inlineStr">
        <is>
          <t>25250926975620000130570010000053281001801406</t>
        </is>
      </c>
      <c r="U2130" t="inlineStr">
        <is>
          <t>Não</t>
        </is>
      </c>
    </row>
    <row r="2131">
      <c r="A2131" t="inlineStr">
        <is>
          <t>Frete de venda</t>
        </is>
      </c>
      <c r="B2131" t="inlineStr">
        <is>
          <t>2.01.02 Frete sobre Vendas</t>
        </is>
      </c>
      <c r="C2131" t="inlineStr">
        <is>
          <t>Antes de 2026</t>
        </is>
      </c>
      <c r="D2131" t="inlineStr">
        <is>
          <t>Antes de 2026</t>
        </is>
      </c>
      <c r="E2131" s="28" t="n">
        <v>45929</v>
      </c>
      <c r="F2131" t="inlineStr">
        <is>
          <t>CT-e</t>
        </is>
      </c>
      <c r="G2131" t="inlineStr">
        <is>
          <t>000005329</t>
        </is>
      </c>
      <c r="H2131" t="inlineStr">
        <is>
          <t>R&amp;R TRANSPORTE E LOGISTICA</t>
        </is>
      </c>
      <c r="J2131" s="29" t="n">
        <v>21.79</v>
      </c>
      <c r="K2131" s="29">
        <f>(1-ISNUMBER(SEARCH("556",M2131)))*(O2131*SUMIFS(Premissas!$C$5:$C$44,Premissas!$A$5:$A$44,$A2131,Premissas!$B$5:$B$44,$B2131)+P2131*SUMIFS(Premissas!$D$5:$D$44,Premissas!$A$5:$A$44,$A2131,Premissas!$B$5:$B$44,$B2131))+R2131*SUMIFS(Premissas!$E$5:$E$44,Premissas!$A$5:$A$44,$A2131,Premissas!$B$5:$B$44,$B2131)+S2131*SUMIFS(Premissas!$F$5:$F$44,Premissas!$A$5:$A$44,$A2131,Premissas!$B$5:$B$44,$B2131)</f>
        <v/>
      </c>
      <c r="L2131" s="29">
        <f>J2131-K2131</f>
        <v/>
      </c>
      <c r="M2131" t="inlineStr">
        <is>
          <t>1.350</t>
        </is>
      </c>
      <c r="N2131" t="inlineStr">
        <is>
          <t>Modalidade: 0 - Por conta do remetente | Parte: FRIOSETE COMERCIO DE FRIOS LTDA (97.426.472/0001-42)</t>
        </is>
      </c>
      <c r="O2131" s="29" t="n">
        <v>0</v>
      </c>
      <c r="P2131" s="29" t="n">
        <v>0</v>
      </c>
      <c r="Q2131" s="29" t="n">
        <v>0</v>
      </c>
      <c r="R2131" s="29" t="n">
        <v>0</v>
      </c>
      <c r="S2131" s="29" t="n">
        <v>0</v>
      </c>
      <c r="T2131" t="inlineStr">
        <is>
          <t>25250926975620000130570010000053291001501485</t>
        </is>
      </c>
      <c r="U2131" t="inlineStr">
        <is>
          <t>Não</t>
        </is>
      </c>
    </row>
    <row r="2132">
      <c r="A2132" t="inlineStr">
        <is>
          <t>Frete de venda</t>
        </is>
      </c>
      <c r="B2132" t="inlineStr">
        <is>
          <t>2.01.02 Frete sobre Vendas</t>
        </is>
      </c>
      <c r="C2132" t="inlineStr">
        <is>
          <t>Antes de 2026</t>
        </is>
      </c>
      <c r="D2132" t="inlineStr">
        <is>
          <t>Antes de 2026</t>
        </is>
      </c>
      <c r="E2132" s="28" t="n">
        <v>45929</v>
      </c>
      <c r="F2132" t="inlineStr">
        <is>
          <t>CT-e</t>
        </is>
      </c>
      <c r="G2132" t="inlineStr">
        <is>
          <t>000005330</t>
        </is>
      </c>
      <c r="H2132" t="inlineStr">
        <is>
          <t>R&amp;R TRANSPORTE E LOGISTICA</t>
        </is>
      </c>
      <c r="J2132" s="29" t="n">
        <v>21.74</v>
      </c>
      <c r="K2132" s="29">
        <f>(1-ISNUMBER(SEARCH("556",M2132)))*(O2132*SUMIFS(Premissas!$C$5:$C$44,Premissas!$A$5:$A$44,$A2132,Premissas!$B$5:$B$44,$B2132)+P2132*SUMIFS(Premissas!$D$5:$D$44,Premissas!$A$5:$A$44,$A2132,Premissas!$B$5:$B$44,$B2132))+R2132*SUMIFS(Premissas!$E$5:$E$44,Premissas!$A$5:$A$44,$A2132,Premissas!$B$5:$B$44,$B2132)+S2132*SUMIFS(Premissas!$F$5:$F$44,Premissas!$A$5:$A$44,$A2132,Premissas!$B$5:$B$44,$B2132)</f>
        <v/>
      </c>
      <c r="L2132" s="29">
        <f>J2132-K2132</f>
        <v/>
      </c>
      <c r="M2132" t="inlineStr">
        <is>
          <t>1.350</t>
        </is>
      </c>
      <c r="N2132" t="inlineStr">
        <is>
          <t>Modalidade: 0 - Por conta do remetente | Parte: CASA NOVA COMERCIO DE EMBALAGENS LTDA (05.390.605/0001-50)</t>
        </is>
      </c>
      <c r="O2132" s="29" t="n">
        <v>0</v>
      </c>
      <c r="P2132" s="29" t="n">
        <v>0</v>
      </c>
      <c r="Q2132" s="29" t="n">
        <v>0</v>
      </c>
      <c r="R2132" s="29" t="n">
        <v>0</v>
      </c>
      <c r="S2132" s="29" t="n">
        <v>0</v>
      </c>
      <c r="T2132" t="inlineStr">
        <is>
          <t>25250926975620000130570010000053301001201563</t>
        </is>
      </c>
      <c r="U2132" t="inlineStr">
        <is>
          <t>Não</t>
        </is>
      </c>
    </row>
    <row r="2133">
      <c r="A2133" t="inlineStr">
        <is>
          <t>Frete de venda</t>
        </is>
      </c>
      <c r="B2133" t="inlineStr">
        <is>
          <t>2.01.02 Frete sobre Vendas</t>
        </is>
      </c>
      <c r="C2133" t="inlineStr">
        <is>
          <t>Antes de 2026</t>
        </is>
      </c>
      <c r="D2133" t="inlineStr">
        <is>
          <t>Antes de 2026</t>
        </is>
      </c>
      <c r="E2133" s="28" t="n">
        <v>45929</v>
      </c>
      <c r="F2133" t="inlineStr">
        <is>
          <t>CT-e</t>
        </is>
      </c>
      <c r="G2133" t="inlineStr">
        <is>
          <t>000005331</t>
        </is>
      </c>
      <c r="H2133" t="inlineStr">
        <is>
          <t>R&amp;R TRANSPORTE E LOGISTICA</t>
        </is>
      </c>
      <c r="J2133" s="29" t="n">
        <v>16.55</v>
      </c>
      <c r="K2133" s="29">
        <f>(1-ISNUMBER(SEARCH("556",M2133)))*(O2133*SUMIFS(Premissas!$C$5:$C$44,Premissas!$A$5:$A$44,$A2133,Premissas!$B$5:$B$44,$B2133)+P2133*SUMIFS(Premissas!$D$5:$D$44,Premissas!$A$5:$A$44,$A2133,Premissas!$B$5:$B$44,$B2133))+R2133*SUMIFS(Premissas!$E$5:$E$44,Premissas!$A$5:$A$44,$A2133,Premissas!$B$5:$B$44,$B2133)+S2133*SUMIFS(Premissas!$F$5:$F$44,Premissas!$A$5:$A$44,$A2133,Premissas!$B$5:$B$44,$B2133)</f>
        <v/>
      </c>
      <c r="L2133" s="29">
        <f>J2133-K2133</f>
        <v/>
      </c>
      <c r="M2133" t="inlineStr">
        <is>
          <t>1.350</t>
        </is>
      </c>
      <c r="N2133" t="inlineStr">
        <is>
          <t>Modalidade: 0 - Por conta do remetente | Parte: MERCADO OSTERNACK LTDA (26.297.171/0001-18)</t>
        </is>
      </c>
      <c r="O2133" s="29" t="n">
        <v>0</v>
      </c>
      <c r="P2133" s="29" t="n">
        <v>0</v>
      </c>
      <c r="Q2133" s="29" t="n">
        <v>0</v>
      </c>
      <c r="R2133" s="29" t="n">
        <v>0</v>
      </c>
      <c r="S2133" s="29" t="n">
        <v>0</v>
      </c>
      <c r="T2133" t="inlineStr">
        <is>
          <t>25250926975620000130570010000053311011001645</t>
        </is>
      </c>
      <c r="U2133" t="inlineStr">
        <is>
          <t>Não</t>
        </is>
      </c>
    </row>
    <row r="2134">
      <c r="A2134" t="inlineStr">
        <is>
          <t>Frete de venda</t>
        </is>
      </c>
      <c r="B2134" t="inlineStr">
        <is>
          <t>2.01.02 Frete sobre Vendas</t>
        </is>
      </c>
      <c r="C2134" t="inlineStr">
        <is>
          <t>Antes de 2026</t>
        </is>
      </c>
      <c r="D2134" t="inlineStr">
        <is>
          <t>Antes de 2026</t>
        </is>
      </c>
      <c r="E2134" s="28" t="n">
        <v>45929</v>
      </c>
      <c r="F2134" t="inlineStr">
        <is>
          <t>CT-e</t>
        </is>
      </c>
      <c r="G2134" t="inlineStr">
        <is>
          <t>000005332</t>
        </is>
      </c>
      <c r="H2134" t="inlineStr">
        <is>
          <t>R&amp;R TRANSPORTE E LOGISTICA</t>
        </is>
      </c>
      <c r="J2134" s="29" t="n">
        <v>13.95</v>
      </c>
      <c r="K2134" s="29">
        <f>(1-ISNUMBER(SEARCH("556",M2134)))*(O2134*SUMIFS(Premissas!$C$5:$C$44,Premissas!$A$5:$A$44,$A2134,Premissas!$B$5:$B$44,$B2134)+P2134*SUMIFS(Premissas!$D$5:$D$44,Premissas!$A$5:$A$44,$A2134,Premissas!$B$5:$B$44,$B2134))+R2134*SUMIFS(Premissas!$E$5:$E$44,Premissas!$A$5:$A$44,$A2134,Premissas!$B$5:$B$44,$B2134)+S2134*SUMIFS(Premissas!$F$5:$F$44,Premissas!$A$5:$A$44,$A2134,Premissas!$B$5:$B$44,$B2134)</f>
        <v/>
      </c>
      <c r="L2134" s="29">
        <f>J2134-K2134</f>
        <v/>
      </c>
      <c r="M2134" t="inlineStr">
        <is>
          <t>1.350</t>
        </is>
      </c>
      <c r="N2134" t="inlineStr">
        <is>
          <t>Modalidade: 0 - Por conta do remetente | Parte: PLASGI EMBALAGENS LTDA (80.361.579/0001-57)</t>
        </is>
      </c>
      <c r="O2134" s="29" t="n">
        <v>0</v>
      </c>
      <c r="P2134" s="29" t="n">
        <v>0</v>
      </c>
      <c r="Q2134" s="29" t="n">
        <v>0</v>
      </c>
      <c r="R2134" s="29" t="n">
        <v>0</v>
      </c>
      <c r="S2134" s="29" t="n">
        <v>0</v>
      </c>
      <c r="T2134" t="inlineStr">
        <is>
          <t>25250926975620000130570010000053321001701722</t>
        </is>
      </c>
      <c r="U2134" t="inlineStr">
        <is>
          <t>Não</t>
        </is>
      </c>
    </row>
    <row r="2135">
      <c r="A2135" t="inlineStr">
        <is>
          <t>Frete de venda</t>
        </is>
      </c>
      <c r="B2135" t="inlineStr">
        <is>
          <t>2.01.02 Frete sobre Vendas</t>
        </is>
      </c>
      <c r="C2135" t="inlineStr">
        <is>
          <t>Antes de 2026</t>
        </is>
      </c>
      <c r="D2135" t="inlineStr">
        <is>
          <t>Antes de 2026</t>
        </is>
      </c>
      <c r="E2135" s="28" t="n">
        <v>45929</v>
      </c>
      <c r="F2135" t="inlineStr">
        <is>
          <t>CT-e</t>
        </is>
      </c>
      <c r="G2135" t="inlineStr">
        <is>
          <t>000005333</t>
        </is>
      </c>
      <c r="H2135" t="inlineStr">
        <is>
          <t>R&amp;R TRANSPORTE E LOGISTICA</t>
        </is>
      </c>
      <c r="J2135" s="29" t="n">
        <v>26.56</v>
      </c>
      <c r="K2135" s="29">
        <f>(1-ISNUMBER(SEARCH("556",M2135)))*(O2135*SUMIFS(Premissas!$C$5:$C$44,Premissas!$A$5:$A$44,$A2135,Premissas!$B$5:$B$44,$B2135)+P2135*SUMIFS(Premissas!$D$5:$D$44,Premissas!$A$5:$A$44,$A2135,Premissas!$B$5:$B$44,$B2135))+R2135*SUMIFS(Premissas!$E$5:$E$44,Premissas!$A$5:$A$44,$A2135,Premissas!$B$5:$B$44,$B2135)+S2135*SUMIFS(Premissas!$F$5:$F$44,Premissas!$A$5:$A$44,$A2135,Premissas!$B$5:$B$44,$B2135)</f>
        <v/>
      </c>
      <c r="L2135" s="29">
        <f>J2135-K2135</f>
        <v/>
      </c>
      <c r="M2135" t="inlineStr">
        <is>
          <t>1.350</t>
        </is>
      </c>
      <c r="N2135" t="inlineStr">
        <is>
          <t>Modalidade: 0 - Por conta do remetente | Parte: A B NETO DISTRIBUICAO LTDA (19.822.559/0001-25)</t>
        </is>
      </c>
      <c r="O2135" s="29" t="n">
        <v>0</v>
      </c>
      <c r="P2135" s="29" t="n">
        <v>0</v>
      </c>
      <c r="Q2135" s="29" t="n">
        <v>0</v>
      </c>
      <c r="R2135" s="29" t="n">
        <v>0</v>
      </c>
      <c r="S2135" s="29" t="n">
        <v>0</v>
      </c>
      <c r="T2135" t="inlineStr">
        <is>
          <t>25250926975620000130570010000053331001801074</t>
        </is>
      </c>
      <c r="U2135" t="inlineStr">
        <is>
          <t>Não</t>
        </is>
      </c>
    </row>
    <row r="2136">
      <c r="A2136" t="inlineStr">
        <is>
          <t>Frete de venda</t>
        </is>
      </c>
      <c r="B2136" t="inlineStr">
        <is>
          <t>2.01.02 Frete sobre Vendas</t>
        </is>
      </c>
      <c r="C2136" t="inlineStr">
        <is>
          <t>Antes de 2026</t>
        </is>
      </c>
      <c r="D2136" t="inlineStr">
        <is>
          <t>Antes de 2026</t>
        </is>
      </c>
      <c r="E2136" s="28" t="n">
        <v>45929</v>
      </c>
      <c r="F2136" t="inlineStr">
        <is>
          <t>CT-e</t>
        </is>
      </c>
      <c r="G2136" t="inlineStr">
        <is>
          <t>000005334</t>
        </is>
      </c>
      <c r="H2136" t="inlineStr">
        <is>
          <t>R&amp;R TRANSPORTE E LOGISTICA</t>
        </is>
      </c>
      <c r="J2136" s="29" t="n">
        <v>18.1</v>
      </c>
      <c r="K2136" s="29">
        <f>(1-ISNUMBER(SEARCH("556",M2136)))*(O2136*SUMIFS(Premissas!$C$5:$C$44,Premissas!$A$5:$A$44,$A2136,Premissas!$B$5:$B$44,$B2136)+P2136*SUMIFS(Premissas!$D$5:$D$44,Premissas!$A$5:$A$44,$A2136,Premissas!$B$5:$B$44,$B2136))+R2136*SUMIFS(Premissas!$E$5:$E$44,Premissas!$A$5:$A$44,$A2136,Premissas!$B$5:$B$44,$B2136)+S2136*SUMIFS(Premissas!$F$5:$F$44,Premissas!$A$5:$A$44,$A2136,Premissas!$B$5:$B$44,$B2136)</f>
        <v/>
      </c>
      <c r="L2136" s="29">
        <f>J2136-K2136</f>
        <v/>
      </c>
      <c r="M2136" t="inlineStr">
        <is>
          <t>1.350</t>
        </is>
      </c>
      <c r="N2136" t="inlineStr">
        <is>
          <t>Modalidade: 0 - Por conta do remetente | Parte: MARECO SCHNEIDER COMERCIO DE EMBALAGENS LTDA (19.221.172/0001-13)</t>
        </is>
      </c>
      <c r="O2136" s="29" t="n">
        <v>0</v>
      </c>
      <c r="P2136" s="29" t="n">
        <v>0</v>
      </c>
      <c r="Q2136" s="29" t="n">
        <v>0</v>
      </c>
      <c r="R2136" s="29" t="n">
        <v>0</v>
      </c>
      <c r="S2136" s="29" t="n">
        <v>0</v>
      </c>
      <c r="T2136" t="inlineStr">
        <is>
          <t>25250926975620000130570010000053341001501159</t>
        </is>
      </c>
      <c r="U2136" t="inlineStr">
        <is>
          <t>Não</t>
        </is>
      </c>
    </row>
    <row r="2137">
      <c r="A2137" t="inlineStr">
        <is>
          <t>Frete de venda</t>
        </is>
      </c>
      <c r="B2137" t="inlineStr">
        <is>
          <t>2.01.02 Frete sobre Vendas</t>
        </is>
      </c>
      <c r="C2137" t="inlineStr">
        <is>
          <t>Antes de 2026</t>
        </is>
      </c>
      <c r="D2137" t="inlineStr">
        <is>
          <t>Antes de 2026</t>
        </is>
      </c>
      <c r="E2137" s="28" t="n">
        <v>45929</v>
      </c>
      <c r="F2137" t="inlineStr">
        <is>
          <t>CT-e</t>
        </is>
      </c>
      <c r="G2137" t="inlineStr">
        <is>
          <t>000005335</t>
        </is>
      </c>
      <c r="H2137" t="inlineStr">
        <is>
          <t>R&amp;R TRANSPORTE E LOGISTICA</t>
        </is>
      </c>
      <c r="J2137" s="29" t="n">
        <v>11.51</v>
      </c>
      <c r="K2137" s="29">
        <f>(1-ISNUMBER(SEARCH("556",M2137)))*(O2137*SUMIFS(Premissas!$C$5:$C$44,Premissas!$A$5:$A$44,$A2137,Premissas!$B$5:$B$44,$B2137)+P2137*SUMIFS(Premissas!$D$5:$D$44,Premissas!$A$5:$A$44,$A2137,Premissas!$B$5:$B$44,$B2137))+R2137*SUMIFS(Premissas!$E$5:$E$44,Premissas!$A$5:$A$44,$A2137,Premissas!$B$5:$B$44,$B2137)+S2137*SUMIFS(Premissas!$F$5:$F$44,Premissas!$A$5:$A$44,$A2137,Premissas!$B$5:$B$44,$B2137)</f>
        <v/>
      </c>
      <c r="L2137" s="29">
        <f>J2137-K2137</f>
        <v/>
      </c>
      <c r="M2137" t="inlineStr">
        <is>
          <t>1.350</t>
        </is>
      </c>
      <c r="N2137" t="inlineStr">
        <is>
          <t>Modalidade: 0 - Por conta do remetente | Parte: DISTRIBUIDORA SAO PEDRO LTDA (04.410.145/0001-11)</t>
        </is>
      </c>
      <c r="O2137" s="29" t="n">
        <v>0</v>
      </c>
      <c r="P2137" s="29" t="n">
        <v>0</v>
      </c>
      <c r="Q2137" s="29" t="n">
        <v>0</v>
      </c>
      <c r="R2137" s="29" t="n">
        <v>0</v>
      </c>
      <c r="S2137" s="29" t="n">
        <v>0</v>
      </c>
      <c r="T2137" t="inlineStr">
        <is>
          <t>25250926975620000130570010000053351001201233</t>
        </is>
      </c>
      <c r="U2137" t="inlineStr">
        <is>
          <t>Não</t>
        </is>
      </c>
    </row>
    <row r="2138">
      <c r="A2138" t="inlineStr">
        <is>
          <t>Frete de venda</t>
        </is>
      </c>
      <c r="B2138" t="inlineStr">
        <is>
          <t>2.01.02 Frete sobre Vendas</t>
        </is>
      </c>
      <c r="C2138" t="inlineStr">
        <is>
          <t>Antes de 2026</t>
        </is>
      </c>
      <c r="D2138" t="inlineStr">
        <is>
          <t>Antes de 2026</t>
        </is>
      </c>
      <c r="E2138" s="28" t="n">
        <v>45929</v>
      </c>
      <c r="F2138" t="inlineStr">
        <is>
          <t>CT-e</t>
        </is>
      </c>
      <c r="G2138" t="inlineStr">
        <is>
          <t>000005336</t>
        </is>
      </c>
      <c r="H2138" t="inlineStr">
        <is>
          <t>R&amp;R TRANSPORTE E LOGISTICA</t>
        </is>
      </c>
      <c r="J2138" s="29" t="n">
        <v>6.09</v>
      </c>
      <c r="K2138" s="29">
        <f>(1-ISNUMBER(SEARCH("556",M2138)))*(O2138*SUMIFS(Premissas!$C$5:$C$44,Premissas!$A$5:$A$44,$A2138,Premissas!$B$5:$B$44,$B2138)+P2138*SUMIFS(Premissas!$D$5:$D$44,Premissas!$A$5:$A$44,$A2138,Premissas!$B$5:$B$44,$B2138))+R2138*SUMIFS(Premissas!$E$5:$E$44,Premissas!$A$5:$A$44,$A2138,Premissas!$B$5:$B$44,$B2138)+S2138*SUMIFS(Premissas!$F$5:$F$44,Premissas!$A$5:$A$44,$A2138,Premissas!$B$5:$B$44,$B2138)</f>
        <v/>
      </c>
      <c r="L2138" s="29">
        <f>J2138-K2138</f>
        <v/>
      </c>
      <c r="M2138" t="inlineStr">
        <is>
          <t>1.350</t>
        </is>
      </c>
      <c r="N2138" t="inlineStr">
        <is>
          <t>Modalidade: 0 - Por conta do remetente | Parte: MULTIPEL EMBALAGENS UMUARAMA LTDA (45.733.992/0001-02)</t>
        </is>
      </c>
      <c r="O2138" s="29" t="n">
        <v>0</v>
      </c>
      <c r="P2138" s="29" t="n">
        <v>0</v>
      </c>
      <c r="Q2138" s="29" t="n">
        <v>0</v>
      </c>
      <c r="R2138" s="29" t="n">
        <v>0</v>
      </c>
      <c r="S2138" s="29" t="n">
        <v>0</v>
      </c>
      <c r="T2138" t="inlineStr">
        <is>
          <t>25250926975620000130570010000053361011001315</t>
        </is>
      </c>
      <c r="U2138" t="inlineStr">
        <is>
          <t>Não</t>
        </is>
      </c>
    </row>
    <row r="2139">
      <c r="A2139" t="inlineStr">
        <is>
          <t>Frete de venda</t>
        </is>
      </c>
      <c r="B2139" t="inlineStr">
        <is>
          <t>2.01.02 Frete sobre Vendas</t>
        </is>
      </c>
      <c r="C2139" t="inlineStr">
        <is>
          <t>Antes de 2026</t>
        </is>
      </c>
      <c r="D2139" t="inlineStr">
        <is>
          <t>Antes de 2026</t>
        </is>
      </c>
      <c r="E2139" s="28" t="n">
        <v>45929</v>
      </c>
      <c r="F2139" t="inlineStr">
        <is>
          <t>CT-e</t>
        </is>
      </c>
      <c r="G2139" t="inlineStr">
        <is>
          <t>000005337</t>
        </is>
      </c>
      <c r="H2139" t="inlineStr">
        <is>
          <t>R&amp;R TRANSPORTE E LOGISTICA</t>
        </is>
      </c>
      <c r="J2139" s="29" t="n">
        <v>13.85</v>
      </c>
      <c r="K2139" s="29">
        <f>(1-ISNUMBER(SEARCH("556",M2139)))*(O2139*SUMIFS(Premissas!$C$5:$C$44,Premissas!$A$5:$A$44,$A2139,Premissas!$B$5:$B$44,$B2139)+P2139*SUMIFS(Premissas!$D$5:$D$44,Premissas!$A$5:$A$44,$A2139,Premissas!$B$5:$B$44,$B2139))+R2139*SUMIFS(Premissas!$E$5:$E$44,Premissas!$A$5:$A$44,$A2139,Premissas!$B$5:$B$44,$B2139)+S2139*SUMIFS(Premissas!$F$5:$F$44,Premissas!$A$5:$A$44,$A2139,Premissas!$B$5:$B$44,$B2139)</f>
        <v/>
      </c>
      <c r="L2139" s="29">
        <f>J2139-K2139</f>
        <v/>
      </c>
      <c r="M2139" t="inlineStr">
        <is>
          <t>1.350</t>
        </is>
      </c>
      <c r="N2139" t="inlineStr">
        <is>
          <t>Modalidade: 0 - Por conta do remetente | Parte: PG MULTIPACK EMBALAGENS LTDA (28.607.874/0001-20)</t>
        </is>
      </c>
      <c r="O2139" s="29" t="n">
        <v>0</v>
      </c>
      <c r="P2139" s="29" t="n">
        <v>0</v>
      </c>
      <c r="Q2139" s="29" t="n">
        <v>0</v>
      </c>
      <c r="R2139" s="29" t="n">
        <v>0</v>
      </c>
      <c r="S2139" s="29" t="n">
        <v>0</v>
      </c>
      <c r="T2139" t="inlineStr">
        <is>
          <t>25250926975620000130570010000053371001701397</t>
        </is>
      </c>
      <c r="U2139" t="inlineStr">
        <is>
          <t>Não</t>
        </is>
      </c>
    </row>
    <row r="2140">
      <c r="A2140" t="inlineStr">
        <is>
          <t>Frete de venda</t>
        </is>
      </c>
      <c r="B2140" t="inlineStr">
        <is>
          <t>2.01.02 Frete sobre Vendas</t>
        </is>
      </c>
      <c r="C2140" t="inlineStr">
        <is>
          <t>Antes de 2026</t>
        </is>
      </c>
      <c r="D2140" t="inlineStr">
        <is>
          <t>Antes de 2026</t>
        </is>
      </c>
      <c r="E2140" s="28" t="n">
        <v>45929</v>
      </c>
      <c r="F2140" t="inlineStr">
        <is>
          <t>CT-e</t>
        </is>
      </c>
      <c r="G2140" t="inlineStr">
        <is>
          <t>000005338</t>
        </is>
      </c>
      <c r="H2140" t="inlineStr">
        <is>
          <t>R&amp;R TRANSPORTE E LOGISTICA</t>
        </is>
      </c>
      <c r="J2140" s="29" t="n">
        <v>13.13</v>
      </c>
      <c r="K2140" s="29">
        <f>(1-ISNUMBER(SEARCH("556",M2140)))*(O2140*SUMIFS(Premissas!$C$5:$C$44,Premissas!$A$5:$A$44,$A2140,Premissas!$B$5:$B$44,$B2140)+P2140*SUMIFS(Premissas!$D$5:$D$44,Premissas!$A$5:$A$44,$A2140,Premissas!$B$5:$B$44,$B2140))+R2140*SUMIFS(Premissas!$E$5:$E$44,Premissas!$A$5:$A$44,$A2140,Premissas!$B$5:$B$44,$B2140)+S2140*SUMIFS(Premissas!$F$5:$F$44,Premissas!$A$5:$A$44,$A2140,Premissas!$B$5:$B$44,$B2140)</f>
        <v/>
      </c>
      <c r="L2140" s="29">
        <f>J2140-K2140</f>
        <v/>
      </c>
      <c r="M2140" t="inlineStr">
        <is>
          <t>1.350</t>
        </is>
      </c>
      <c r="N2140" t="inlineStr">
        <is>
          <t>Modalidade: 0 - Por conta do remetente | Parte: CIAPEL - COMERCIO DE PAPEIS E EMBALAGENS LTDA (79.701.744/0001-93)</t>
        </is>
      </c>
      <c r="O2140" s="29" t="n">
        <v>0</v>
      </c>
      <c r="P2140" s="29" t="n">
        <v>0</v>
      </c>
      <c r="Q2140" s="29" t="n">
        <v>0</v>
      </c>
      <c r="R2140" s="29" t="n">
        <v>0</v>
      </c>
      <c r="S2140" s="29" t="n">
        <v>0</v>
      </c>
      <c r="T2140" t="inlineStr">
        <is>
          <t>25250926975620000130570010000053381001401471</t>
        </is>
      </c>
      <c r="U2140" t="inlineStr">
        <is>
          <t>Não</t>
        </is>
      </c>
    </row>
    <row r="2141">
      <c r="A2141" t="inlineStr">
        <is>
          <t>Frete de venda</t>
        </is>
      </c>
      <c r="B2141" t="inlineStr">
        <is>
          <t>2.01.02 Frete sobre Vendas</t>
        </is>
      </c>
      <c r="C2141" t="inlineStr">
        <is>
          <t>Antes de 2026</t>
        </is>
      </c>
      <c r="D2141" t="inlineStr">
        <is>
          <t>Antes de 2026</t>
        </is>
      </c>
      <c r="E2141" s="28" t="n">
        <v>45929</v>
      </c>
      <c r="F2141" t="inlineStr">
        <is>
          <t>CT-e</t>
        </is>
      </c>
      <c r="G2141" t="inlineStr">
        <is>
          <t>000005339</t>
        </is>
      </c>
      <c r="H2141" t="inlineStr">
        <is>
          <t>R&amp;R TRANSPORTE E LOGISTICA</t>
        </is>
      </c>
      <c r="J2141" s="29" t="n">
        <v>14.71</v>
      </c>
      <c r="K2141" s="29">
        <f>(1-ISNUMBER(SEARCH("556",M2141)))*(O2141*SUMIFS(Premissas!$C$5:$C$44,Premissas!$A$5:$A$44,$A2141,Premissas!$B$5:$B$44,$B2141)+P2141*SUMIFS(Premissas!$D$5:$D$44,Premissas!$A$5:$A$44,$A2141,Premissas!$B$5:$B$44,$B2141))+R2141*SUMIFS(Premissas!$E$5:$E$44,Premissas!$A$5:$A$44,$A2141,Premissas!$B$5:$B$44,$B2141)+S2141*SUMIFS(Premissas!$F$5:$F$44,Premissas!$A$5:$A$44,$A2141,Premissas!$B$5:$B$44,$B2141)</f>
        <v/>
      </c>
      <c r="L2141" s="29">
        <f>J2141-K2141</f>
        <v/>
      </c>
      <c r="M2141" t="inlineStr">
        <is>
          <t>1.350</t>
        </is>
      </c>
      <c r="N2141" t="inlineStr">
        <is>
          <t>Modalidade: 0 - Por conta do remetente | Parte: AVANCINI e JONAS LTDA (33.110.993/0001-03)</t>
        </is>
      </c>
      <c r="O2141" s="29" t="n">
        <v>0</v>
      </c>
      <c r="P2141" s="29" t="n">
        <v>0</v>
      </c>
      <c r="Q2141" s="29" t="n">
        <v>0</v>
      </c>
      <c r="R2141" s="29" t="n">
        <v>0</v>
      </c>
      <c r="S2141" s="29" t="n">
        <v>0</v>
      </c>
      <c r="T2141" t="inlineStr">
        <is>
          <t>25250926975620000130570010000053391001101556</t>
        </is>
      </c>
      <c r="U2141" t="inlineStr">
        <is>
          <t>Não</t>
        </is>
      </c>
    </row>
    <row r="2142">
      <c r="A2142" t="inlineStr">
        <is>
          <t>Frete de venda</t>
        </is>
      </c>
      <c r="B2142" t="inlineStr">
        <is>
          <t>2.01.02 Frete sobre Vendas</t>
        </is>
      </c>
      <c r="C2142" t="inlineStr">
        <is>
          <t>Antes de 2026</t>
        </is>
      </c>
      <c r="D2142" t="inlineStr">
        <is>
          <t>Antes de 2026</t>
        </is>
      </c>
      <c r="E2142" s="28" t="n">
        <v>45929</v>
      </c>
      <c r="F2142" t="inlineStr">
        <is>
          <t>CT-e</t>
        </is>
      </c>
      <c r="G2142" t="inlineStr">
        <is>
          <t>000005340</t>
        </is>
      </c>
      <c r="H2142" t="inlineStr">
        <is>
          <t>R&amp;R TRANSPORTE E LOGISTICA</t>
        </is>
      </c>
      <c r="J2142" s="29" t="n">
        <v>16.5</v>
      </c>
      <c r="K2142" s="29">
        <f>(1-ISNUMBER(SEARCH("556",M2142)))*(O2142*SUMIFS(Premissas!$C$5:$C$44,Premissas!$A$5:$A$44,$A2142,Premissas!$B$5:$B$44,$B2142)+P2142*SUMIFS(Premissas!$D$5:$D$44,Premissas!$A$5:$A$44,$A2142,Premissas!$B$5:$B$44,$B2142))+R2142*SUMIFS(Premissas!$E$5:$E$44,Premissas!$A$5:$A$44,$A2142,Premissas!$B$5:$B$44,$B2142)+S2142*SUMIFS(Premissas!$F$5:$F$44,Premissas!$A$5:$A$44,$A2142,Premissas!$B$5:$B$44,$B2142)</f>
        <v/>
      </c>
      <c r="L2142" s="29">
        <f>J2142-K2142</f>
        <v/>
      </c>
      <c r="M2142" t="inlineStr">
        <is>
          <t>1.350</t>
        </is>
      </c>
      <c r="N2142" t="inlineStr">
        <is>
          <t>Modalidade: 0 - Por conta do remetente | Parte: MATEUS LOURENCO LTDA (81.035.735/0001-52)</t>
        </is>
      </c>
      <c r="O2142" s="29" t="n">
        <v>0</v>
      </c>
      <c r="P2142" s="29" t="n">
        <v>0</v>
      </c>
      <c r="Q2142" s="29" t="n">
        <v>0</v>
      </c>
      <c r="R2142" s="29" t="n">
        <v>0</v>
      </c>
      <c r="S2142" s="29" t="n">
        <v>0</v>
      </c>
      <c r="T2142" t="inlineStr">
        <is>
          <t>25250926975620000130570010000053401001901634</t>
        </is>
      </c>
      <c r="U2142" t="inlineStr">
        <is>
          <t>Não</t>
        </is>
      </c>
    </row>
    <row r="2143">
      <c r="A2143" t="inlineStr">
        <is>
          <t>Frete de venda</t>
        </is>
      </c>
      <c r="B2143" t="inlineStr">
        <is>
          <t>2.01.02 Frete sobre Vendas</t>
        </is>
      </c>
      <c r="C2143" t="inlineStr">
        <is>
          <t>Antes de 2026</t>
        </is>
      </c>
      <c r="D2143" t="inlineStr">
        <is>
          <t>Antes de 2026</t>
        </is>
      </c>
      <c r="E2143" s="28" t="n">
        <v>45929</v>
      </c>
      <c r="F2143" t="inlineStr">
        <is>
          <t>CT-e</t>
        </is>
      </c>
      <c r="G2143" t="inlineStr">
        <is>
          <t>000005341</t>
        </is>
      </c>
      <c r="H2143" t="inlineStr">
        <is>
          <t>R&amp;R TRANSPORTE E LOGISTICA</t>
        </is>
      </c>
      <c r="J2143" s="29" t="n">
        <v>15.81</v>
      </c>
      <c r="K2143" s="29">
        <f>(1-ISNUMBER(SEARCH("556",M2143)))*(O2143*SUMIFS(Premissas!$C$5:$C$44,Premissas!$A$5:$A$44,$A2143,Premissas!$B$5:$B$44,$B2143)+P2143*SUMIFS(Premissas!$D$5:$D$44,Premissas!$A$5:$A$44,$A2143,Premissas!$B$5:$B$44,$B2143))+R2143*SUMIFS(Premissas!$E$5:$E$44,Premissas!$A$5:$A$44,$A2143,Premissas!$B$5:$B$44,$B2143)+S2143*SUMIFS(Premissas!$F$5:$F$44,Premissas!$A$5:$A$44,$A2143,Premissas!$B$5:$B$44,$B2143)</f>
        <v/>
      </c>
      <c r="L2143" s="29">
        <f>J2143-K2143</f>
        <v/>
      </c>
      <c r="M2143" t="inlineStr">
        <is>
          <t>1.350</t>
        </is>
      </c>
      <c r="N2143" t="inlineStr">
        <is>
          <t>Modalidade: 0 - Por conta do remetente | Parte: BRUNA CRISTINA VIEIRA (20.310.142/0001-62)</t>
        </is>
      </c>
      <c r="O2143" s="29" t="n">
        <v>0</v>
      </c>
      <c r="P2143" s="29" t="n">
        <v>0</v>
      </c>
      <c r="Q2143" s="29" t="n">
        <v>0</v>
      </c>
      <c r="R2143" s="29" t="n">
        <v>0</v>
      </c>
      <c r="S2143" s="29" t="n">
        <v>0</v>
      </c>
      <c r="T2143" t="inlineStr">
        <is>
          <t>25250926975620000130570010000053411001601719</t>
        </is>
      </c>
      <c r="U2143" t="inlineStr">
        <is>
          <t>Não</t>
        </is>
      </c>
    </row>
    <row r="2144">
      <c r="A2144" t="inlineStr">
        <is>
          <t>Frete de venda</t>
        </is>
      </c>
      <c r="B2144" t="inlineStr">
        <is>
          <t>2.01.02 Frete sobre Vendas</t>
        </is>
      </c>
      <c r="C2144" t="inlineStr">
        <is>
          <t>Antes de 2026</t>
        </is>
      </c>
      <c r="D2144" t="inlineStr">
        <is>
          <t>Antes de 2026</t>
        </is>
      </c>
      <c r="E2144" s="28" t="n">
        <v>45929</v>
      </c>
      <c r="F2144" t="inlineStr">
        <is>
          <t>CT-e</t>
        </is>
      </c>
      <c r="G2144" t="inlineStr">
        <is>
          <t>000005342</t>
        </is>
      </c>
      <c r="H2144" t="inlineStr">
        <is>
          <t>R&amp;R TRANSPORTE E LOGISTICA</t>
        </is>
      </c>
      <c r="J2144" s="29" t="n">
        <v>12.69</v>
      </c>
      <c r="K2144" s="29">
        <f>(1-ISNUMBER(SEARCH("556",M2144)))*(O2144*SUMIFS(Premissas!$C$5:$C$44,Premissas!$A$5:$A$44,$A2144,Premissas!$B$5:$B$44,$B2144)+P2144*SUMIFS(Premissas!$D$5:$D$44,Premissas!$A$5:$A$44,$A2144,Premissas!$B$5:$B$44,$B2144))+R2144*SUMIFS(Premissas!$E$5:$E$44,Premissas!$A$5:$A$44,$A2144,Premissas!$B$5:$B$44,$B2144)+S2144*SUMIFS(Premissas!$F$5:$F$44,Premissas!$A$5:$A$44,$A2144,Premissas!$B$5:$B$44,$B2144)</f>
        <v/>
      </c>
      <c r="L2144" s="29">
        <f>J2144-K2144</f>
        <v/>
      </c>
      <c r="M2144" t="inlineStr">
        <is>
          <t>1.350</t>
        </is>
      </c>
      <c r="N2144" t="inlineStr">
        <is>
          <t>Modalidade: 0 - Por conta do remetente | Parte: Embalagens Campoplastic Ltda (05.060.677/0001-39)</t>
        </is>
      </c>
      <c r="O2144" s="29" t="n">
        <v>0</v>
      </c>
      <c r="P2144" s="29" t="n">
        <v>0</v>
      </c>
      <c r="Q2144" s="29" t="n">
        <v>0</v>
      </c>
      <c r="R2144" s="29" t="n">
        <v>0</v>
      </c>
      <c r="S2144" s="29" t="n">
        <v>0</v>
      </c>
      <c r="T2144" t="inlineStr">
        <is>
          <t>25250926975620000130570010000053421001301798</t>
        </is>
      </c>
      <c r="U2144" t="inlineStr">
        <is>
          <t>Não</t>
        </is>
      </c>
    </row>
    <row r="2145">
      <c r="A2145" t="inlineStr">
        <is>
          <t>Frete de venda</t>
        </is>
      </c>
      <c r="B2145" t="inlineStr">
        <is>
          <t>2.01.02 Frete sobre Vendas</t>
        </is>
      </c>
      <c r="C2145" t="inlineStr">
        <is>
          <t>Antes de 2026</t>
        </is>
      </c>
      <c r="D2145" t="inlineStr">
        <is>
          <t>Antes de 2026</t>
        </is>
      </c>
      <c r="E2145" s="28" t="n">
        <v>45929</v>
      </c>
      <c r="F2145" t="inlineStr">
        <is>
          <t>CT-e</t>
        </is>
      </c>
      <c r="G2145" t="inlineStr">
        <is>
          <t>000005343</t>
        </is>
      </c>
      <c r="H2145" t="inlineStr">
        <is>
          <t>R&amp;R TRANSPORTE E LOGISTICA</t>
        </is>
      </c>
      <c r="J2145" s="29" t="n">
        <v>23.96</v>
      </c>
      <c r="K2145" s="29">
        <f>(1-ISNUMBER(SEARCH("556",M2145)))*(O2145*SUMIFS(Premissas!$C$5:$C$44,Premissas!$A$5:$A$44,$A2145,Premissas!$B$5:$B$44,$B2145)+P2145*SUMIFS(Premissas!$D$5:$D$44,Premissas!$A$5:$A$44,$A2145,Premissas!$B$5:$B$44,$B2145))+R2145*SUMIFS(Premissas!$E$5:$E$44,Premissas!$A$5:$A$44,$A2145,Premissas!$B$5:$B$44,$B2145)+S2145*SUMIFS(Premissas!$F$5:$F$44,Premissas!$A$5:$A$44,$A2145,Premissas!$B$5:$B$44,$B2145)</f>
        <v/>
      </c>
      <c r="L2145" s="29">
        <f>J2145-K2145</f>
        <v/>
      </c>
      <c r="M2145" t="inlineStr">
        <is>
          <t>1.350</t>
        </is>
      </c>
      <c r="N2145" t="inlineStr">
        <is>
          <t>Modalidade: 0 - Por conta do remetente | Parte: BURITI COMERCIO DE EMBALAGENS SARANDI LTDA (43.921.008/0001-01)</t>
        </is>
      </c>
      <c r="O2145" s="29" t="n">
        <v>0</v>
      </c>
      <c r="P2145" s="29" t="n">
        <v>0</v>
      </c>
      <c r="Q2145" s="29" t="n">
        <v>0</v>
      </c>
      <c r="R2145" s="29" t="n">
        <v>0</v>
      </c>
      <c r="S2145" s="29" t="n">
        <v>0</v>
      </c>
      <c r="T2145" t="inlineStr">
        <is>
          <t>25250926975620000130570010000053431000160500</t>
        </is>
      </c>
      <c r="U2145" t="inlineStr">
        <is>
          <t>Não</t>
        </is>
      </c>
    </row>
    <row r="2146">
      <c r="A2146" t="inlineStr">
        <is>
          <t>Frete de venda</t>
        </is>
      </c>
      <c r="B2146" t="inlineStr">
        <is>
          <t>2.01.02 Frete sobre Vendas</t>
        </is>
      </c>
      <c r="C2146" t="inlineStr">
        <is>
          <t>Antes de 2026</t>
        </is>
      </c>
      <c r="D2146" t="inlineStr">
        <is>
          <t>Antes de 2026</t>
        </is>
      </c>
      <c r="E2146" s="28" t="n">
        <v>45929</v>
      </c>
      <c r="F2146" t="inlineStr">
        <is>
          <t>CT-e</t>
        </is>
      </c>
      <c r="G2146" t="inlineStr">
        <is>
          <t>000005344</t>
        </is>
      </c>
      <c r="H2146" t="inlineStr">
        <is>
          <t>R&amp;R TRANSPORTE E LOGISTICA</t>
        </is>
      </c>
      <c r="J2146" s="29" t="n">
        <v>28.11</v>
      </c>
      <c r="K2146" s="29">
        <f>(1-ISNUMBER(SEARCH("556",M2146)))*(O2146*SUMIFS(Premissas!$C$5:$C$44,Premissas!$A$5:$A$44,$A2146,Premissas!$B$5:$B$44,$B2146)+P2146*SUMIFS(Premissas!$D$5:$D$44,Premissas!$A$5:$A$44,$A2146,Premissas!$B$5:$B$44,$B2146))+R2146*SUMIFS(Premissas!$E$5:$E$44,Premissas!$A$5:$A$44,$A2146,Premissas!$B$5:$B$44,$B2146)+S2146*SUMIFS(Premissas!$F$5:$F$44,Premissas!$A$5:$A$44,$A2146,Premissas!$B$5:$B$44,$B2146)</f>
        <v/>
      </c>
      <c r="L2146" s="29">
        <f>J2146-K2146</f>
        <v/>
      </c>
      <c r="M2146" t="inlineStr">
        <is>
          <t>1.350</t>
        </is>
      </c>
      <c r="N2146" t="inlineStr">
        <is>
          <t>Modalidade: 0 - Por conta do remetente | Parte: MANDACARU EMBALAGENS LTDA (46.639.783/0001-59)</t>
        </is>
      </c>
      <c r="O2146" s="29" t="n">
        <v>0</v>
      </c>
      <c r="P2146" s="29" t="n">
        <v>0</v>
      </c>
      <c r="Q2146" s="29" t="n">
        <v>0</v>
      </c>
      <c r="R2146" s="29" t="n">
        <v>0</v>
      </c>
      <c r="S2146" s="29" t="n">
        <v>0</v>
      </c>
      <c r="T2146" t="inlineStr">
        <is>
          <t>25250926975620000130570010000053441000130587</t>
        </is>
      </c>
      <c r="U2146" t="inlineStr">
        <is>
          <t>Não</t>
        </is>
      </c>
    </row>
    <row r="2147">
      <c r="A2147" t="inlineStr">
        <is>
          <t>Frete de venda</t>
        </is>
      </c>
      <c r="B2147" t="inlineStr">
        <is>
          <t>2.01.02 Frete sobre Vendas</t>
        </is>
      </c>
      <c r="C2147" t="inlineStr">
        <is>
          <t>Antes de 2026</t>
        </is>
      </c>
      <c r="D2147" t="inlineStr">
        <is>
          <t>Antes de 2026</t>
        </is>
      </c>
      <c r="E2147" s="28" t="n">
        <v>45929</v>
      </c>
      <c r="F2147" t="inlineStr">
        <is>
          <t>CT-e</t>
        </is>
      </c>
      <c r="G2147" t="inlineStr">
        <is>
          <t>000005345</t>
        </is>
      </c>
      <c r="H2147" t="inlineStr">
        <is>
          <t>R&amp;R TRANSPORTE E LOGISTICA</t>
        </is>
      </c>
      <c r="J2147" s="29" t="n">
        <v>16.4</v>
      </c>
      <c r="K2147" s="29">
        <f>(1-ISNUMBER(SEARCH("556",M2147)))*(O2147*SUMIFS(Premissas!$C$5:$C$44,Premissas!$A$5:$A$44,$A2147,Premissas!$B$5:$B$44,$B2147)+P2147*SUMIFS(Premissas!$D$5:$D$44,Premissas!$A$5:$A$44,$A2147,Premissas!$B$5:$B$44,$B2147))+R2147*SUMIFS(Premissas!$E$5:$E$44,Premissas!$A$5:$A$44,$A2147,Premissas!$B$5:$B$44,$B2147)+S2147*SUMIFS(Premissas!$F$5:$F$44,Premissas!$A$5:$A$44,$A2147,Premissas!$B$5:$B$44,$B2147)</f>
        <v/>
      </c>
      <c r="L2147" s="29">
        <f>J2147-K2147</f>
        <v/>
      </c>
      <c r="M2147" t="inlineStr">
        <is>
          <t>1.350</t>
        </is>
      </c>
      <c r="N2147" t="inlineStr">
        <is>
          <t>Modalidade: 0 - Por conta do remetente | Parte: M SLONIK COMERCIO E DISTRIBUICAO DE PRODUTOS ALIMENTICIOS (11.855.144/0001-46)</t>
        </is>
      </c>
      <c r="O2147" s="29" t="n">
        <v>0</v>
      </c>
      <c r="P2147" s="29" t="n">
        <v>0</v>
      </c>
      <c r="Q2147" s="29" t="n">
        <v>0</v>
      </c>
      <c r="R2147" s="29" t="n">
        <v>0</v>
      </c>
      <c r="S2147" s="29" t="n">
        <v>0</v>
      </c>
      <c r="T2147" t="inlineStr">
        <is>
          <t>25250926975620000130570010000053451000010660</t>
        </is>
      </c>
      <c r="U2147" t="inlineStr">
        <is>
          <t>Não</t>
        </is>
      </c>
    </row>
    <row r="2148">
      <c r="A2148" t="inlineStr">
        <is>
          <t>Frete de venda</t>
        </is>
      </c>
      <c r="B2148" t="inlineStr">
        <is>
          <t>2.01.02 Frete sobre Vendas</t>
        </is>
      </c>
      <c r="C2148" t="inlineStr">
        <is>
          <t>Antes de 2026</t>
        </is>
      </c>
      <c r="D2148" t="inlineStr">
        <is>
          <t>Antes de 2026</t>
        </is>
      </c>
      <c r="E2148" s="28" t="n">
        <v>45929</v>
      </c>
      <c r="F2148" t="inlineStr">
        <is>
          <t>CT-e</t>
        </is>
      </c>
      <c r="G2148" t="inlineStr">
        <is>
          <t>000005346</t>
        </is>
      </c>
      <c r="H2148" t="inlineStr">
        <is>
          <t>R&amp;R TRANSPORTE E LOGISTICA</t>
        </is>
      </c>
      <c r="J2148" s="29" t="n">
        <v>18.21</v>
      </c>
      <c r="K2148" s="29">
        <f>(1-ISNUMBER(SEARCH("556",M2148)))*(O2148*SUMIFS(Premissas!$C$5:$C$44,Premissas!$A$5:$A$44,$A2148,Premissas!$B$5:$B$44,$B2148)+P2148*SUMIFS(Premissas!$D$5:$D$44,Premissas!$A$5:$A$44,$A2148,Premissas!$B$5:$B$44,$B2148))+R2148*SUMIFS(Premissas!$E$5:$E$44,Premissas!$A$5:$A$44,$A2148,Premissas!$B$5:$B$44,$B2148)+S2148*SUMIFS(Premissas!$F$5:$F$44,Premissas!$A$5:$A$44,$A2148,Premissas!$B$5:$B$44,$B2148)</f>
        <v/>
      </c>
      <c r="L2148" s="29">
        <f>J2148-K2148</f>
        <v/>
      </c>
      <c r="M2148" t="inlineStr">
        <is>
          <t>1.350</t>
        </is>
      </c>
      <c r="N2148" t="inlineStr">
        <is>
          <t>Modalidade: 0 - Por conta do remetente | Parte: RODRIGUES e HIRANO LTDA (12.300.418/0001-01)</t>
        </is>
      </c>
      <c r="O2148" s="29" t="n">
        <v>0</v>
      </c>
      <c r="P2148" s="29" t="n">
        <v>0</v>
      </c>
      <c r="Q2148" s="29" t="n">
        <v>0</v>
      </c>
      <c r="R2148" s="29" t="n">
        <v>0</v>
      </c>
      <c r="S2148" s="29" t="n">
        <v>0</v>
      </c>
      <c r="T2148" t="inlineStr">
        <is>
          <t>25250926975620000130570010000053461000180740</t>
        </is>
      </c>
      <c r="U2148" t="inlineStr">
        <is>
          <t>Não</t>
        </is>
      </c>
    </row>
    <row r="2149">
      <c r="A2149" t="inlineStr">
        <is>
          <t>Frete de venda</t>
        </is>
      </c>
      <c r="B2149" t="inlineStr">
        <is>
          <t>2.01.02 Frete sobre Vendas</t>
        </is>
      </c>
      <c r="C2149" t="inlineStr">
        <is>
          <t>Antes de 2026</t>
        </is>
      </c>
      <c r="D2149" t="inlineStr">
        <is>
          <t>Antes de 2026</t>
        </is>
      </c>
      <c r="E2149" s="28" t="n">
        <v>45929</v>
      </c>
      <c r="F2149" t="inlineStr">
        <is>
          <t>CT-e</t>
        </is>
      </c>
      <c r="G2149" t="inlineStr">
        <is>
          <t>000005347</t>
        </is>
      </c>
      <c r="H2149" t="inlineStr">
        <is>
          <t>R&amp;R TRANSPORTE E LOGISTICA</t>
        </is>
      </c>
      <c r="J2149" s="29" t="n">
        <v>15.34</v>
      </c>
      <c r="K2149" s="29">
        <f>(1-ISNUMBER(SEARCH("556",M2149)))*(O2149*SUMIFS(Premissas!$C$5:$C$44,Premissas!$A$5:$A$44,$A2149,Premissas!$B$5:$B$44,$B2149)+P2149*SUMIFS(Premissas!$D$5:$D$44,Premissas!$A$5:$A$44,$A2149,Premissas!$B$5:$B$44,$B2149))+R2149*SUMIFS(Premissas!$E$5:$E$44,Premissas!$A$5:$A$44,$A2149,Premissas!$B$5:$B$44,$B2149)+S2149*SUMIFS(Premissas!$F$5:$F$44,Premissas!$A$5:$A$44,$A2149,Premissas!$B$5:$B$44,$B2149)</f>
        <v/>
      </c>
      <c r="L2149" s="29">
        <f>J2149-K2149</f>
        <v/>
      </c>
      <c r="M2149" t="inlineStr">
        <is>
          <t>1.350</t>
        </is>
      </c>
      <c r="N2149" t="inlineStr">
        <is>
          <t>Modalidade: 0 - Por conta do remetente | Parte: FIBRASIL COMERCIAL LTDA (16.697.552/0001-30)</t>
        </is>
      </c>
      <c r="O2149" s="29" t="n">
        <v>0</v>
      </c>
      <c r="P2149" s="29" t="n">
        <v>0</v>
      </c>
      <c r="Q2149" s="29" t="n">
        <v>0</v>
      </c>
      <c r="R2149" s="29" t="n">
        <v>0</v>
      </c>
      <c r="S2149" s="29" t="n">
        <v>0</v>
      </c>
      <c r="T2149" t="inlineStr">
        <is>
          <t>25250926975620000130570010000053471000150822</t>
        </is>
      </c>
      <c r="U2149" t="inlineStr">
        <is>
          <t>Não</t>
        </is>
      </c>
    </row>
    <row r="2150">
      <c r="A2150" t="inlineStr">
        <is>
          <t>Frete de venda</t>
        </is>
      </c>
      <c r="B2150" t="inlineStr">
        <is>
          <t>2.01.02 Frete sobre Vendas</t>
        </is>
      </c>
      <c r="C2150" t="inlineStr">
        <is>
          <t>Antes de 2026</t>
        </is>
      </c>
      <c r="D2150" t="inlineStr">
        <is>
          <t>Antes de 2026</t>
        </is>
      </c>
      <c r="E2150" s="28" t="n">
        <v>45929</v>
      </c>
      <c r="F2150" t="inlineStr">
        <is>
          <t>CT-e</t>
        </is>
      </c>
      <c r="G2150" t="inlineStr">
        <is>
          <t>000005348</t>
        </is>
      </c>
      <c r="H2150" t="inlineStr">
        <is>
          <t>R&amp;R TRANSPORTE E LOGISTICA</t>
        </is>
      </c>
      <c r="J2150" s="29" t="n">
        <v>32.88</v>
      </c>
      <c r="K2150" s="29">
        <f>(1-ISNUMBER(SEARCH("556",M2150)))*(O2150*SUMIFS(Premissas!$C$5:$C$44,Premissas!$A$5:$A$44,$A2150,Premissas!$B$5:$B$44,$B2150)+P2150*SUMIFS(Premissas!$D$5:$D$44,Premissas!$A$5:$A$44,$A2150,Premissas!$B$5:$B$44,$B2150))+R2150*SUMIFS(Premissas!$E$5:$E$44,Premissas!$A$5:$A$44,$A2150,Premissas!$B$5:$B$44,$B2150)+S2150*SUMIFS(Premissas!$F$5:$F$44,Premissas!$A$5:$A$44,$A2150,Premissas!$B$5:$B$44,$B2150)</f>
        <v/>
      </c>
      <c r="L2150" s="29">
        <f>J2150-K2150</f>
        <v/>
      </c>
      <c r="M2150" t="inlineStr">
        <is>
          <t>1.350</t>
        </is>
      </c>
      <c r="N2150" t="inlineStr">
        <is>
          <t>Modalidade: 0 - Por conta do remetente | Parte: UNICANDIE DISTRIBUIDORA DE DOCES LTDA (56.137.669/0001-84)</t>
        </is>
      </c>
      <c r="O2150" s="29" t="n">
        <v>0</v>
      </c>
      <c r="P2150" s="29" t="n">
        <v>0</v>
      </c>
      <c r="Q2150" s="29" t="n">
        <v>0</v>
      </c>
      <c r="R2150" s="29" t="n">
        <v>0</v>
      </c>
      <c r="S2150" s="29" t="n">
        <v>0</v>
      </c>
      <c r="T2150" t="inlineStr">
        <is>
          <t>25250926975620000130570010000053481000120904</t>
        </is>
      </c>
      <c r="U2150" t="inlineStr">
        <is>
          <t>Não</t>
        </is>
      </c>
    </row>
    <row r="2151">
      <c r="A2151" t="inlineStr">
        <is>
          <t>Frete de venda</t>
        </is>
      </c>
      <c r="B2151" t="inlineStr">
        <is>
          <t>2.01.02 Frete sobre Vendas</t>
        </is>
      </c>
      <c r="C2151" t="inlineStr">
        <is>
          <t>Antes de 2026</t>
        </is>
      </c>
      <c r="D2151" t="inlineStr">
        <is>
          <t>Antes de 2026</t>
        </is>
      </c>
      <c r="E2151" s="28" t="n">
        <v>45929</v>
      </c>
      <c r="F2151" t="inlineStr">
        <is>
          <t>CT-e</t>
        </is>
      </c>
      <c r="G2151" t="inlineStr">
        <is>
          <t>000005349</t>
        </is>
      </c>
      <c r="H2151" t="inlineStr">
        <is>
          <t>R&amp;R TRANSPORTE E LOGISTICA</t>
        </is>
      </c>
      <c r="J2151" s="29" t="n">
        <v>13.11</v>
      </c>
      <c r="K2151" s="29">
        <f>(1-ISNUMBER(SEARCH("556",M2151)))*(O2151*SUMIFS(Premissas!$C$5:$C$44,Premissas!$A$5:$A$44,$A2151,Premissas!$B$5:$B$44,$B2151)+P2151*SUMIFS(Premissas!$D$5:$D$44,Premissas!$A$5:$A$44,$A2151,Premissas!$B$5:$B$44,$B2151))+R2151*SUMIFS(Premissas!$E$5:$E$44,Premissas!$A$5:$A$44,$A2151,Premissas!$B$5:$B$44,$B2151)+S2151*SUMIFS(Premissas!$F$5:$F$44,Premissas!$A$5:$A$44,$A2151,Premissas!$B$5:$B$44,$B2151)</f>
        <v/>
      </c>
      <c r="L2151" s="29">
        <f>J2151-K2151</f>
        <v/>
      </c>
      <c r="M2151" t="inlineStr">
        <is>
          <t>1.350</t>
        </is>
      </c>
      <c r="N2151" t="inlineStr">
        <is>
          <t>Modalidade: 0 - Por conta do remetente | Parte: PARK DOCES E FESTAS LTDA (28.446.377/0001-98)</t>
        </is>
      </c>
      <c r="O2151" s="29" t="n">
        <v>0</v>
      </c>
      <c r="P2151" s="29" t="n">
        <v>0</v>
      </c>
      <c r="Q2151" s="29" t="n">
        <v>0</v>
      </c>
      <c r="R2151" s="29" t="n">
        <v>0</v>
      </c>
      <c r="S2151" s="29" t="n">
        <v>0</v>
      </c>
      <c r="T2151" t="inlineStr">
        <is>
          <t>25250926975620000130570010000053491001100980</t>
        </is>
      </c>
      <c r="U2151" t="inlineStr">
        <is>
          <t>Não</t>
        </is>
      </c>
    </row>
    <row r="2152">
      <c r="A2152" t="inlineStr">
        <is>
          <t>Frete de venda</t>
        </is>
      </c>
      <c r="B2152" t="inlineStr">
        <is>
          <t>2.01.02 Frete sobre Vendas</t>
        </is>
      </c>
      <c r="C2152" t="inlineStr">
        <is>
          <t>Antes de 2026</t>
        </is>
      </c>
      <c r="D2152" t="inlineStr">
        <is>
          <t>Antes de 2026</t>
        </is>
      </c>
      <c r="E2152" s="28" t="n">
        <v>45929</v>
      </c>
      <c r="F2152" t="inlineStr">
        <is>
          <t>CT-e</t>
        </is>
      </c>
      <c r="G2152" t="inlineStr">
        <is>
          <t>000005350</t>
        </is>
      </c>
      <c r="H2152" t="inlineStr">
        <is>
          <t>R&amp;R TRANSPORTE E LOGISTICA</t>
        </is>
      </c>
      <c r="J2152" s="29" t="n">
        <v>48.57</v>
      </c>
      <c r="K2152" s="29">
        <f>(1-ISNUMBER(SEARCH("556",M2152)))*(O2152*SUMIFS(Premissas!$C$5:$C$44,Premissas!$A$5:$A$44,$A2152,Premissas!$B$5:$B$44,$B2152)+P2152*SUMIFS(Premissas!$D$5:$D$44,Premissas!$A$5:$A$44,$A2152,Premissas!$B$5:$B$44,$B2152))+R2152*SUMIFS(Premissas!$E$5:$E$44,Premissas!$A$5:$A$44,$A2152,Premissas!$B$5:$B$44,$B2152)+S2152*SUMIFS(Premissas!$F$5:$F$44,Premissas!$A$5:$A$44,$A2152,Premissas!$B$5:$B$44,$B2152)</f>
        <v/>
      </c>
      <c r="L2152" s="29">
        <f>J2152-K2152</f>
        <v/>
      </c>
      <c r="M2152" t="inlineStr">
        <is>
          <t>1.350</t>
        </is>
      </c>
      <c r="N2152" t="inlineStr">
        <is>
          <t>Modalidade: 0 - Por conta do remetente | Parte: VAL PAPELARIA E PRESENTES LTDA (11.287.116/0001-70)</t>
        </is>
      </c>
      <c r="O2152" s="29" t="n">
        <v>0</v>
      </c>
      <c r="P2152" s="29" t="n">
        <v>0</v>
      </c>
      <c r="Q2152" s="29" t="n">
        <v>0</v>
      </c>
      <c r="R2152" s="29" t="n">
        <v>0</v>
      </c>
      <c r="S2152" s="29" t="n">
        <v>0</v>
      </c>
      <c r="T2152" t="inlineStr">
        <is>
          <t>25250926975620000130570010000053501001701062</t>
        </is>
      </c>
      <c r="U2152" t="inlineStr">
        <is>
          <t>Não</t>
        </is>
      </c>
    </row>
    <row r="2153">
      <c r="A2153" t="inlineStr">
        <is>
          <t>Frete de venda</t>
        </is>
      </c>
      <c r="B2153" t="inlineStr">
        <is>
          <t>2.01.02 Frete sobre Vendas</t>
        </is>
      </c>
      <c r="C2153" t="inlineStr">
        <is>
          <t>Antes de 2026</t>
        </is>
      </c>
      <c r="D2153" t="inlineStr">
        <is>
          <t>Antes de 2026</t>
        </is>
      </c>
      <c r="E2153" s="28" t="n">
        <v>45929</v>
      </c>
      <c r="F2153" t="inlineStr">
        <is>
          <t>CT-e</t>
        </is>
      </c>
      <c r="G2153" t="inlineStr">
        <is>
          <t>000005351</t>
        </is>
      </c>
      <c r="H2153" t="inlineStr">
        <is>
          <t>R&amp;R TRANSPORTE E LOGISTICA</t>
        </is>
      </c>
      <c r="J2153" s="29" t="n">
        <v>12.28</v>
      </c>
      <c r="K2153" s="29">
        <f>(1-ISNUMBER(SEARCH("556",M2153)))*(O2153*SUMIFS(Premissas!$C$5:$C$44,Premissas!$A$5:$A$44,$A2153,Premissas!$B$5:$B$44,$B2153)+P2153*SUMIFS(Premissas!$D$5:$D$44,Premissas!$A$5:$A$44,$A2153,Premissas!$B$5:$B$44,$B2153))+R2153*SUMIFS(Premissas!$E$5:$E$44,Premissas!$A$5:$A$44,$A2153,Premissas!$B$5:$B$44,$B2153)+S2153*SUMIFS(Premissas!$F$5:$F$44,Premissas!$A$5:$A$44,$A2153,Premissas!$B$5:$B$44,$B2153)</f>
        <v/>
      </c>
      <c r="L2153" s="29">
        <f>J2153-K2153</f>
        <v/>
      </c>
      <c r="M2153" t="inlineStr">
        <is>
          <t>1.350</t>
        </is>
      </c>
      <c r="N2153" t="inlineStr">
        <is>
          <t>Modalidade: 0 - Por conta do remetente | Parte: DIKA DISTRIBUIDORA LTDA (10.648.823/0001-81)</t>
        </is>
      </c>
      <c r="O2153" s="29" t="n">
        <v>0</v>
      </c>
      <c r="P2153" s="29" t="n">
        <v>0</v>
      </c>
      <c r="Q2153" s="29" t="n">
        <v>0</v>
      </c>
      <c r="R2153" s="29" t="n">
        <v>0</v>
      </c>
      <c r="S2153" s="29" t="n">
        <v>0</v>
      </c>
      <c r="T2153" t="inlineStr">
        <is>
          <t>25250926975620000130570010000053511001401147</t>
        </is>
      </c>
      <c r="U2153" t="inlineStr">
        <is>
          <t>Não</t>
        </is>
      </c>
    </row>
    <row r="2154">
      <c r="A2154" t="inlineStr">
        <is>
          <t>Frete de venda</t>
        </is>
      </c>
      <c r="B2154" t="inlineStr">
        <is>
          <t>2.01.02 Frete sobre Vendas</t>
        </is>
      </c>
      <c r="C2154" t="inlineStr">
        <is>
          <t>Antes de 2026</t>
        </is>
      </c>
      <c r="D2154" t="inlineStr">
        <is>
          <t>Antes de 2026</t>
        </is>
      </c>
      <c r="E2154" s="28" t="n">
        <v>45929</v>
      </c>
      <c r="F2154" t="inlineStr">
        <is>
          <t>CT-e</t>
        </is>
      </c>
      <c r="G2154" t="inlineStr">
        <is>
          <t>000005352</t>
        </is>
      </c>
      <c r="H2154" t="inlineStr">
        <is>
          <t>R&amp;R TRANSPORTE E LOGISTICA</t>
        </is>
      </c>
      <c r="J2154" s="29" t="n">
        <v>21.42</v>
      </c>
      <c r="K2154" s="29">
        <f>(1-ISNUMBER(SEARCH("556",M2154)))*(O2154*SUMIFS(Premissas!$C$5:$C$44,Premissas!$A$5:$A$44,$A2154,Premissas!$B$5:$B$44,$B2154)+P2154*SUMIFS(Premissas!$D$5:$D$44,Premissas!$A$5:$A$44,$A2154,Premissas!$B$5:$B$44,$B2154))+R2154*SUMIFS(Premissas!$E$5:$E$44,Premissas!$A$5:$A$44,$A2154,Premissas!$B$5:$B$44,$B2154)+S2154*SUMIFS(Premissas!$F$5:$F$44,Premissas!$A$5:$A$44,$A2154,Premissas!$B$5:$B$44,$B2154)</f>
        <v/>
      </c>
      <c r="L2154" s="29">
        <f>J2154-K2154</f>
        <v/>
      </c>
      <c r="M2154" t="inlineStr">
        <is>
          <t>1.350</t>
        </is>
      </c>
      <c r="N2154" t="inlineStr">
        <is>
          <t>Modalidade: 0 - Por conta do remetente | Parte: RJ SILVEIRA LTDA (11.378.222/0001-69)</t>
        </is>
      </c>
      <c r="O2154" s="29" t="n">
        <v>0</v>
      </c>
      <c r="P2154" s="29" t="n">
        <v>0</v>
      </c>
      <c r="Q2154" s="29" t="n">
        <v>0</v>
      </c>
      <c r="R2154" s="29" t="n">
        <v>0</v>
      </c>
      <c r="S2154" s="29" t="n">
        <v>0</v>
      </c>
      <c r="T2154" t="inlineStr">
        <is>
          <t>25250926975620000130570010000053521001101221</t>
        </is>
      </c>
      <c r="U2154" t="inlineStr">
        <is>
          <t>Não</t>
        </is>
      </c>
    </row>
    <row r="2155">
      <c r="A2155" t="inlineStr">
        <is>
          <t>Frete de venda</t>
        </is>
      </c>
      <c r="B2155" t="inlineStr">
        <is>
          <t>2.01.02 Frete sobre Vendas</t>
        </is>
      </c>
      <c r="C2155" t="inlineStr">
        <is>
          <t>Antes de 2026</t>
        </is>
      </c>
      <c r="D2155" t="inlineStr">
        <is>
          <t>Antes de 2026</t>
        </is>
      </c>
      <c r="E2155" s="28" t="n">
        <v>45929</v>
      </c>
      <c r="F2155" t="inlineStr">
        <is>
          <t>CT-e</t>
        </is>
      </c>
      <c r="G2155" t="inlineStr">
        <is>
          <t>000005353</t>
        </is>
      </c>
      <c r="H2155" t="inlineStr">
        <is>
          <t>R&amp;R TRANSPORTE E LOGISTICA</t>
        </is>
      </c>
      <c r="J2155" s="29" t="n">
        <v>14.44</v>
      </c>
      <c r="K2155" s="29">
        <f>(1-ISNUMBER(SEARCH("556",M2155)))*(O2155*SUMIFS(Premissas!$C$5:$C$44,Premissas!$A$5:$A$44,$A2155,Premissas!$B$5:$B$44,$B2155)+P2155*SUMIFS(Premissas!$D$5:$D$44,Premissas!$A$5:$A$44,$A2155,Premissas!$B$5:$B$44,$B2155))+R2155*SUMIFS(Premissas!$E$5:$E$44,Premissas!$A$5:$A$44,$A2155,Premissas!$B$5:$B$44,$B2155)+S2155*SUMIFS(Premissas!$F$5:$F$44,Premissas!$A$5:$A$44,$A2155,Premissas!$B$5:$B$44,$B2155)</f>
        <v/>
      </c>
      <c r="L2155" s="29">
        <f>J2155-K2155</f>
        <v/>
      </c>
      <c r="M2155" t="inlineStr">
        <is>
          <t>1.350</t>
        </is>
      </c>
      <c r="N2155" t="inlineStr">
        <is>
          <t>Modalidade: 0 - Por conta do remetente | Parte: O DOCEIRO ESCOLA AGRICOLA LTDA (33.518.315/0001-84)</t>
        </is>
      </c>
      <c r="O2155" s="29" t="n">
        <v>0</v>
      </c>
      <c r="P2155" s="29" t="n">
        <v>0</v>
      </c>
      <c r="Q2155" s="29" t="n">
        <v>0</v>
      </c>
      <c r="R2155" s="29" t="n">
        <v>0</v>
      </c>
      <c r="S2155" s="29" t="n">
        <v>0</v>
      </c>
      <c r="T2155" t="inlineStr">
        <is>
          <t>25250926975620000130570010000053531000120572</t>
        </is>
      </c>
      <c r="U2155" t="inlineStr">
        <is>
          <t>Não</t>
        </is>
      </c>
    </row>
    <row r="2156">
      <c r="A2156" t="inlineStr">
        <is>
          <t>Frete de venda</t>
        </is>
      </c>
      <c r="B2156" t="inlineStr">
        <is>
          <t>2.01.02 Frete sobre Vendas</t>
        </is>
      </c>
      <c r="C2156" t="inlineStr">
        <is>
          <t>Antes de 2026</t>
        </is>
      </c>
      <c r="D2156" t="inlineStr">
        <is>
          <t>Antes de 2026</t>
        </is>
      </c>
      <c r="E2156" s="28" t="n">
        <v>45929</v>
      </c>
      <c r="F2156" t="inlineStr">
        <is>
          <t>CT-e</t>
        </is>
      </c>
      <c r="G2156" t="inlineStr">
        <is>
          <t>000005354</t>
        </is>
      </c>
      <c r="H2156" t="inlineStr">
        <is>
          <t>R&amp;R TRANSPORTE E LOGISTICA</t>
        </is>
      </c>
      <c r="J2156" s="29" t="n">
        <v>600</v>
      </c>
      <c r="K2156" s="29">
        <f>(1-ISNUMBER(SEARCH("556",M2156)))*(O2156*SUMIFS(Premissas!$C$5:$C$44,Premissas!$A$5:$A$44,$A2156,Premissas!$B$5:$B$44,$B2156)+P2156*SUMIFS(Premissas!$D$5:$D$44,Premissas!$A$5:$A$44,$A2156,Premissas!$B$5:$B$44,$B2156))+R2156*SUMIFS(Premissas!$E$5:$E$44,Premissas!$A$5:$A$44,$A2156,Premissas!$B$5:$B$44,$B2156)+S2156*SUMIFS(Premissas!$F$5:$F$44,Premissas!$A$5:$A$44,$A2156,Premissas!$B$5:$B$44,$B2156)</f>
        <v/>
      </c>
      <c r="L2156" s="29">
        <f>J2156-K2156</f>
        <v/>
      </c>
      <c r="M2156" t="inlineStr">
        <is>
          <t>1.350</t>
        </is>
      </c>
      <c r="N2156" t="inlineStr">
        <is>
          <t>Modalidade: 0 - Por conta do remetente | Parte: JOSE VALDSON LEITE DA MOTA (07.101.277/0001-50)</t>
        </is>
      </c>
      <c r="O2156" s="29" t="n">
        <v>0</v>
      </c>
      <c r="P2156" s="29" t="n">
        <v>0</v>
      </c>
      <c r="Q2156" s="29" t="n">
        <v>0</v>
      </c>
      <c r="R2156" s="29" t="n">
        <v>0</v>
      </c>
      <c r="S2156" s="29" t="n">
        <v>0</v>
      </c>
      <c r="T2156" t="inlineStr">
        <is>
          <t>25250926975620000130570010000053541001100874</t>
        </is>
      </c>
      <c r="U2156" t="inlineStr">
        <is>
          <t>Não</t>
        </is>
      </c>
    </row>
    <row r="2157">
      <c r="A2157" t="inlineStr">
        <is>
          <t>Frete de venda</t>
        </is>
      </c>
      <c r="B2157" t="inlineStr">
        <is>
          <t>2.01.02 Frete sobre Vendas</t>
        </is>
      </c>
      <c r="C2157" t="inlineStr">
        <is>
          <t>Antes de 2026</t>
        </is>
      </c>
      <c r="D2157" t="inlineStr">
        <is>
          <t>Antes de 2026</t>
        </is>
      </c>
      <c r="E2157" s="28" t="n">
        <v>45929</v>
      </c>
      <c r="F2157" t="inlineStr">
        <is>
          <t>CT-e</t>
        </is>
      </c>
      <c r="G2157" t="inlineStr">
        <is>
          <t>000005355</t>
        </is>
      </c>
      <c r="H2157" t="inlineStr">
        <is>
          <t>R&amp;R TRANSPORTE E LOGISTICA</t>
        </is>
      </c>
      <c r="J2157" s="29" t="n">
        <v>600</v>
      </c>
      <c r="K2157" s="29">
        <f>(1-ISNUMBER(SEARCH("556",M2157)))*(O2157*SUMIFS(Premissas!$C$5:$C$44,Premissas!$A$5:$A$44,$A2157,Premissas!$B$5:$B$44,$B2157)+P2157*SUMIFS(Premissas!$D$5:$D$44,Premissas!$A$5:$A$44,$A2157,Premissas!$B$5:$B$44,$B2157))+R2157*SUMIFS(Premissas!$E$5:$E$44,Premissas!$A$5:$A$44,$A2157,Premissas!$B$5:$B$44,$B2157)+S2157*SUMIFS(Premissas!$F$5:$F$44,Premissas!$A$5:$A$44,$A2157,Premissas!$B$5:$B$44,$B2157)</f>
        <v/>
      </c>
      <c r="L2157" s="29">
        <f>J2157-K2157</f>
        <v/>
      </c>
      <c r="M2157" t="inlineStr">
        <is>
          <t>1.350</t>
        </is>
      </c>
      <c r="N2157" t="inlineStr">
        <is>
          <t>Modalidade: 0 - Por conta do remetente | Parte: EMBALACENTER COMERCIO E REPRESENTACOES DE EMBALAGENS DE ... (07.351.681/0002-62)</t>
        </is>
      </c>
      <c r="O2157" s="29" t="n">
        <v>0</v>
      </c>
      <c r="P2157" s="29" t="n">
        <v>0</v>
      </c>
      <c r="Q2157" s="29" t="n">
        <v>0</v>
      </c>
      <c r="R2157" s="29" t="n">
        <v>0</v>
      </c>
      <c r="S2157" s="29" t="n">
        <v>0</v>
      </c>
      <c r="T2157" t="inlineStr">
        <is>
          <t>25250926975620000130570010000053551000170957</t>
        </is>
      </c>
      <c r="U2157" t="inlineStr">
        <is>
          <t>Não</t>
        </is>
      </c>
    </row>
    <row r="2158">
      <c r="A2158" t="inlineStr">
        <is>
          <t>Frete de venda</t>
        </is>
      </c>
      <c r="B2158" t="inlineStr">
        <is>
          <t>2.01.02 Frete sobre Vendas</t>
        </is>
      </c>
      <c r="C2158" t="inlineStr">
        <is>
          <t>Antes de 2026</t>
        </is>
      </c>
      <c r="D2158" t="inlineStr">
        <is>
          <t>Antes de 2026</t>
        </is>
      </c>
      <c r="E2158" s="28" t="n">
        <v>45929</v>
      </c>
      <c r="F2158" t="inlineStr">
        <is>
          <t>CT-e</t>
        </is>
      </c>
      <c r="G2158" t="inlineStr">
        <is>
          <t>000005356</t>
        </is>
      </c>
      <c r="H2158" t="inlineStr">
        <is>
          <t>R&amp;R TRANSPORTE E LOGISTICA</t>
        </is>
      </c>
      <c r="J2158" s="29" t="n">
        <v>600</v>
      </c>
      <c r="K2158" s="29">
        <f>(1-ISNUMBER(SEARCH("556",M2158)))*(O2158*SUMIFS(Premissas!$C$5:$C$44,Premissas!$A$5:$A$44,$A2158,Premissas!$B$5:$B$44,$B2158)+P2158*SUMIFS(Premissas!$D$5:$D$44,Premissas!$A$5:$A$44,$A2158,Premissas!$B$5:$B$44,$B2158))+R2158*SUMIFS(Premissas!$E$5:$E$44,Premissas!$A$5:$A$44,$A2158,Premissas!$B$5:$B$44,$B2158)+S2158*SUMIFS(Premissas!$F$5:$F$44,Premissas!$A$5:$A$44,$A2158,Premissas!$B$5:$B$44,$B2158)</f>
        <v/>
      </c>
      <c r="L2158" s="29">
        <f>J2158-K2158</f>
        <v/>
      </c>
      <c r="M2158" t="inlineStr">
        <is>
          <t>1.350</t>
        </is>
      </c>
      <c r="N2158" t="inlineStr">
        <is>
          <t>Modalidade: 0 - Por conta do remetente | Parte: EDIVALDO BATISTA DOS SANTOS EMBALAGENS LTDA (03.624.188/0001-37)</t>
        </is>
      </c>
      <c r="O2158" s="29" t="n">
        <v>0</v>
      </c>
      <c r="P2158" s="29" t="n">
        <v>0</v>
      </c>
      <c r="Q2158" s="29" t="n">
        <v>0</v>
      </c>
      <c r="R2158" s="29" t="n">
        <v>0</v>
      </c>
      <c r="S2158" s="29" t="n">
        <v>0</v>
      </c>
      <c r="T2158" t="inlineStr">
        <is>
          <t>25250926975620000130570010000053561001401038</t>
        </is>
      </c>
      <c r="U2158" t="inlineStr">
        <is>
          <t>Não</t>
        </is>
      </c>
    </row>
    <row r="2159">
      <c r="A2159" t="inlineStr">
        <is>
          <t>Frete de venda</t>
        </is>
      </c>
      <c r="B2159" t="inlineStr">
        <is>
          <t>2.01.02 Frete sobre Vendas</t>
        </is>
      </c>
      <c r="C2159" t="inlineStr">
        <is>
          <t>Antes de 2026</t>
        </is>
      </c>
      <c r="D2159" t="inlineStr">
        <is>
          <t>Antes de 2026</t>
        </is>
      </c>
      <c r="E2159" s="28" t="n">
        <v>45929</v>
      </c>
      <c r="F2159" t="inlineStr">
        <is>
          <t>CT-e</t>
        </is>
      </c>
      <c r="G2159" t="inlineStr">
        <is>
          <t>000005357</t>
        </is>
      </c>
      <c r="H2159" t="inlineStr">
        <is>
          <t>R&amp;R TRANSPORTE E LOGISTICA</t>
        </is>
      </c>
      <c r="J2159" s="29" t="n">
        <v>600</v>
      </c>
      <c r="K2159" s="29">
        <f>(1-ISNUMBER(SEARCH("556",M2159)))*(O2159*SUMIFS(Premissas!$C$5:$C$44,Premissas!$A$5:$A$44,$A2159,Premissas!$B$5:$B$44,$B2159)+P2159*SUMIFS(Premissas!$D$5:$D$44,Premissas!$A$5:$A$44,$A2159,Premissas!$B$5:$B$44,$B2159))+R2159*SUMIFS(Premissas!$E$5:$E$44,Premissas!$A$5:$A$44,$A2159,Premissas!$B$5:$B$44,$B2159)+S2159*SUMIFS(Premissas!$F$5:$F$44,Premissas!$A$5:$A$44,$A2159,Premissas!$B$5:$B$44,$B2159)</f>
        <v/>
      </c>
      <c r="L2159" s="29">
        <f>J2159-K2159</f>
        <v/>
      </c>
      <c r="M2159" t="inlineStr">
        <is>
          <t>1.350</t>
        </is>
      </c>
      <c r="N2159" t="inlineStr">
        <is>
          <t>Modalidade: 0 - Por conta do remetente | Parte: ALBUQUERQUE E FREIRE LTDA (09.358.347/0002-66)</t>
        </is>
      </c>
      <c r="O2159" s="29" t="n">
        <v>0</v>
      </c>
      <c r="P2159" s="29" t="n">
        <v>0</v>
      </c>
      <c r="Q2159" s="29" t="n">
        <v>0</v>
      </c>
      <c r="R2159" s="29" t="n">
        <v>0</v>
      </c>
      <c r="S2159" s="29" t="n">
        <v>0</v>
      </c>
      <c r="T2159" t="inlineStr">
        <is>
          <t>25250926975620000130570010000053571001101112</t>
        </is>
      </c>
      <c r="U2159" t="inlineStr">
        <is>
          <t>Não</t>
        </is>
      </c>
    </row>
    <row r="2160">
      <c r="A2160" t="inlineStr">
        <is>
          <t>Frete de venda</t>
        </is>
      </c>
      <c r="B2160" t="inlineStr">
        <is>
          <t>2.01.02 Frete sobre Vendas</t>
        </is>
      </c>
      <c r="C2160" t="inlineStr">
        <is>
          <t>Antes de 2026</t>
        </is>
      </c>
      <c r="D2160" t="inlineStr">
        <is>
          <t>Antes de 2026</t>
        </is>
      </c>
      <c r="E2160" s="28" t="n">
        <v>45929</v>
      </c>
      <c r="F2160" t="inlineStr">
        <is>
          <t>CT-e</t>
        </is>
      </c>
      <c r="G2160" t="inlineStr">
        <is>
          <t>000005358</t>
        </is>
      </c>
      <c r="H2160" t="inlineStr">
        <is>
          <t>R&amp;R TRANSPORTE E LOGISTICA</t>
        </is>
      </c>
      <c r="J2160" s="29" t="n">
        <v>600</v>
      </c>
      <c r="K2160" s="29">
        <f>(1-ISNUMBER(SEARCH("556",M2160)))*(O2160*SUMIFS(Premissas!$C$5:$C$44,Premissas!$A$5:$A$44,$A2160,Premissas!$B$5:$B$44,$B2160)+P2160*SUMIFS(Premissas!$D$5:$D$44,Premissas!$A$5:$A$44,$A2160,Premissas!$B$5:$B$44,$B2160))+R2160*SUMIFS(Premissas!$E$5:$E$44,Premissas!$A$5:$A$44,$A2160,Premissas!$B$5:$B$44,$B2160)+S2160*SUMIFS(Premissas!$F$5:$F$44,Premissas!$A$5:$A$44,$A2160,Premissas!$B$5:$B$44,$B2160)</f>
        <v/>
      </c>
      <c r="L2160" s="29">
        <f>J2160-K2160</f>
        <v/>
      </c>
      <c r="M2160" t="inlineStr">
        <is>
          <t>1.350</t>
        </is>
      </c>
      <c r="N2160" t="inlineStr">
        <is>
          <t>Modalidade: 0 - Por conta do remetente | Parte: ALBUQUERQUE DISTRIBUIDORA DE ALIMENTOS LTDA (29.295.287/0001-06)</t>
        </is>
      </c>
      <c r="O2160" s="29" t="n">
        <v>0</v>
      </c>
      <c r="P2160" s="29" t="n">
        <v>0</v>
      </c>
      <c r="Q2160" s="29" t="n">
        <v>0</v>
      </c>
      <c r="R2160" s="29" t="n">
        <v>0</v>
      </c>
      <c r="S2160" s="29" t="n">
        <v>0</v>
      </c>
      <c r="T2160" t="inlineStr">
        <is>
          <t>25250926975620000130570010000053581001901191</t>
        </is>
      </c>
      <c r="U2160" t="inlineStr">
        <is>
          <t>Não</t>
        </is>
      </c>
    </row>
    <row r="2161">
      <c r="A2161" t="inlineStr">
        <is>
          <t>Frete de venda</t>
        </is>
      </c>
      <c r="B2161" t="inlineStr">
        <is>
          <t>2.01.02 Frete sobre Vendas</t>
        </is>
      </c>
      <c r="C2161" t="inlineStr">
        <is>
          <t>Antes de 2026</t>
        </is>
      </c>
      <c r="D2161" t="inlineStr">
        <is>
          <t>Antes de 2026</t>
        </is>
      </c>
      <c r="E2161" s="28" t="n">
        <v>45929</v>
      </c>
      <c r="F2161" t="inlineStr">
        <is>
          <t>CT-e</t>
        </is>
      </c>
      <c r="G2161" t="inlineStr">
        <is>
          <t>000005359</t>
        </is>
      </c>
      <c r="H2161" t="inlineStr">
        <is>
          <t>R&amp;R TRANSPORTE E LOGISTICA</t>
        </is>
      </c>
      <c r="J2161" s="29" t="n">
        <v>600</v>
      </c>
      <c r="K2161" s="29">
        <f>(1-ISNUMBER(SEARCH("556",M2161)))*(O2161*SUMIFS(Premissas!$C$5:$C$44,Premissas!$A$5:$A$44,$A2161,Premissas!$B$5:$B$44,$B2161)+P2161*SUMIFS(Premissas!$D$5:$D$44,Premissas!$A$5:$A$44,$A2161,Premissas!$B$5:$B$44,$B2161))+R2161*SUMIFS(Premissas!$E$5:$E$44,Premissas!$A$5:$A$44,$A2161,Premissas!$B$5:$B$44,$B2161)+S2161*SUMIFS(Premissas!$F$5:$F$44,Premissas!$A$5:$A$44,$A2161,Premissas!$B$5:$B$44,$B2161)</f>
        <v/>
      </c>
      <c r="L2161" s="29">
        <f>J2161-K2161</f>
        <v/>
      </c>
      <c r="M2161" t="inlineStr">
        <is>
          <t>1.350</t>
        </is>
      </c>
      <c r="N2161" t="inlineStr">
        <is>
          <t>Modalidade: 0 - Por conta do remetente | Parte: AL DESCARTAVEIS COMERCIO ATACADISTA LTDA (20.761.196/0001-44)</t>
        </is>
      </c>
      <c r="O2161" s="29" t="n">
        <v>0</v>
      </c>
      <c r="P2161" s="29" t="n">
        <v>0</v>
      </c>
      <c r="Q2161" s="29" t="n">
        <v>0</v>
      </c>
      <c r="R2161" s="29" t="n">
        <v>0</v>
      </c>
      <c r="S2161" s="29" t="n">
        <v>0</v>
      </c>
      <c r="T2161" t="inlineStr">
        <is>
          <t>25250926975620000130570010000053591001601276</t>
        </is>
      </c>
      <c r="U2161" t="inlineStr">
        <is>
          <t>Não</t>
        </is>
      </c>
    </row>
    <row r="2162">
      <c r="A2162" t="inlineStr">
        <is>
          <t>Frete de venda</t>
        </is>
      </c>
      <c r="B2162" t="inlineStr">
        <is>
          <t>2.01.02 Frete sobre Vendas</t>
        </is>
      </c>
      <c r="C2162" t="inlineStr">
        <is>
          <t>Antes de 2026</t>
        </is>
      </c>
      <c r="D2162" t="inlineStr">
        <is>
          <t>Antes de 2026</t>
        </is>
      </c>
      <c r="E2162" s="28" t="n">
        <v>45929</v>
      </c>
      <c r="F2162" t="inlineStr">
        <is>
          <t>CT-e</t>
        </is>
      </c>
      <c r="G2162" t="inlineStr">
        <is>
          <t>000005360</t>
        </is>
      </c>
      <c r="H2162" t="inlineStr">
        <is>
          <t>R&amp;R TRANSPORTE E LOGISTICA</t>
        </is>
      </c>
      <c r="J2162" s="29" t="n">
        <v>600</v>
      </c>
      <c r="K2162" s="29">
        <f>(1-ISNUMBER(SEARCH("556",M2162)))*(O2162*SUMIFS(Premissas!$C$5:$C$44,Premissas!$A$5:$A$44,$A2162,Premissas!$B$5:$B$44,$B2162)+P2162*SUMIFS(Premissas!$D$5:$D$44,Premissas!$A$5:$A$44,$A2162,Premissas!$B$5:$B$44,$B2162))+R2162*SUMIFS(Premissas!$E$5:$E$44,Premissas!$A$5:$A$44,$A2162,Premissas!$B$5:$B$44,$B2162)+S2162*SUMIFS(Premissas!$F$5:$F$44,Premissas!$A$5:$A$44,$A2162,Premissas!$B$5:$B$44,$B2162)</f>
        <v/>
      </c>
      <c r="L2162" s="29">
        <f>J2162-K2162</f>
        <v/>
      </c>
      <c r="M2162" t="inlineStr">
        <is>
          <t>1.350</t>
        </is>
      </c>
      <c r="N2162" t="inlineStr">
        <is>
          <t>Modalidade: 0 - Por conta do remetente | Parte: UP DISTRIBUIDORA DE PRODUTOS DESCARTAVEIS LTDA (12.423.997/0001-71)</t>
        </is>
      </c>
      <c r="O2162" s="29" t="n">
        <v>0</v>
      </c>
      <c r="P2162" s="29" t="n">
        <v>0</v>
      </c>
      <c r="Q2162" s="29" t="n">
        <v>0</v>
      </c>
      <c r="R2162" s="29" t="n">
        <v>0</v>
      </c>
      <c r="S2162" s="29" t="n">
        <v>0</v>
      </c>
      <c r="T2162" t="inlineStr">
        <is>
          <t>25250926975620000130570010000053601001301354</t>
        </is>
      </c>
      <c r="U2162" t="inlineStr">
        <is>
          <t>Não</t>
        </is>
      </c>
    </row>
    <row r="2163">
      <c r="A2163" t="inlineStr">
        <is>
          <t>Frete de venda</t>
        </is>
      </c>
      <c r="B2163" t="inlineStr">
        <is>
          <t>2.01.02 Frete sobre Vendas</t>
        </is>
      </c>
      <c r="C2163" t="inlineStr">
        <is>
          <t>Antes de 2026</t>
        </is>
      </c>
      <c r="D2163" t="inlineStr">
        <is>
          <t>Antes de 2026</t>
        </is>
      </c>
      <c r="E2163" s="28" t="n">
        <v>45929</v>
      </c>
      <c r="F2163" t="inlineStr">
        <is>
          <t>CT-e</t>
        </is>
      </c>
      <c r="G2163" t="inlineStr">
        <is>
          <t>000005361</t>
        </is>
      </c>
      <c r="H2163" t="inlineStr">
        <is>
          <t>R&amp;R TRANSPORTE E LOGISTICA</t>
        </is>
      </c>
      <c r="J2163" s="29" t="n">
        <v>600</v>
      </c>
      <c r="K2163" s="29">
        <f>(1-ISNUMBER(SEARCH("556",M2163)))*(O2163*SUMIFS(Premissas!$C$5:$C$44,Premissas!$A$5:$A$44,$A2163,Premissas!$B$5:$B$44,$B2163)+P2163*SUMIFS(Premissas!$D$5:$D$44,Premissas!$A$5:$A$44,$A2163,Premissas!$B$5:$B$44,$B2163))+R2163*SUMIFS(Premissas!$E$5:$E$44,Premissas!$A$5:$A$44,$A2163,Premissas!$B$5:$B$44,$B2163)+S2163*SUMIFS(Premissas!$F$5:$F$44,Premissas!$A$5:$A$44,$A2163,Premissas!$B$5:$B$44,$B2163)</f>
        <v/>
      </c>
      <c r="L2163" s="29">
        <f>J2163-K2163</f>
        <v/>
      </c>
      <c r="M2163" t="inlineStr">
        <is>
          <t>1.350</t>
        </is>
      </c>
      <c r="N2163" t="inlineStr">
        <is>
          <t>Modalidade: 0 - Por conta do remetente | Parte: EMBALAR DISTRIBUIDORA DE EMBALAGENS LTDA (10.347.424/0001-80)</t>
        </is>
      </c>
      <c r="O2163" s="29" t="n">
        <v>0</v>
      </c>
      <c r="P2163" s="29" t="n">
        <v>0</v>
      </c>
      <c r="Q2163" s="29" t="n">
        <v>0</v>
      </c>
      <c r="R2163" s="29" t="n">
        <v>0</v>
      </c>
      <c r="S2163" s="29" t="n">
        <v>0</v>
      </c>
      <c r="T2163" t="inlineStr">
        <is>
          <t>25250926975620000130570010000053611000101430</t>
        </is>
      </c>
      <c r="U2163" t="inlineStr">
        <is>
          <t>Não</t>
        </is>
      </c>
    </row>
    <row r="2164">
      <c r="A2164" t="inlineStr">
        <is>
          <t>Frete de venda</t>
        </is>
      </c>
      <c r="B2164" t="inlineStr">
        <is>
          <t>2.01.02 Frete sobre Vendas</t>
        </is>
      </c>
      <c r="C2164" t="inlineStr">
        <is>
          <t>Antes de 2026</t>
        </is>
      </c>
      <c r="D2164" t="inlineStr">
        <is>
          <t>Antes de 2026</t>
        </is>
      </c>
      <c r="E2164" s="28" t="n">
        <v>45929</v>
      </c>
      <c r="F2164" t="inlineStr">
        <is>
          <t>CT-e</t>
        </is>
      </c>
      <c r="G2164" t="inlineStr">
        <is>
          <t>000005362</t>
        </is>
      </c>
      <c r="H2164" t="inlineStr">
        <is>
          <t>R&amp;R TRANSPORTE E LOGISTICA</t>
        </is>
      </c>
      <c r="J2164" s="29" t="n">
        <v>600</v>
      </c>
      <c r="K2164" s="29">
        <f>(1-ISNUMBER(SEARCH("556",M2164)))*(O2164*SUMIFS(Premissas!$C$5:$C$44,Premissas!$A$5:$A$44,$A2164,Premissas!$B$5:$B$44,$B2164)+P2164*SUMIFS(Premissas!$D$5:$D$44,Premissas!$A$5:$A$44,$A2164,Premissas!$B$5:$B$44,$B2164))+R2164*SUMIFS(Premissas!$E$5:$E$44,Premissas!$A$5:$A$44,$A2164,Premissas!$B$5:$B$44,$B2164)+S2164*SUMIFS(Premissas!$F$5:$F$44,Premissas!$A$5:$A$44,$A2164,Premissas!$B$5:$B$44,$B2164)</f>
        <v/>
      </c>
      <c r="L2164" s="29">
        <f>J2164-K2164</f>
        <v/>
      </c>
      <c r="M2164" t="inlineStr">
        <is>
          <t>1.350</t>
        </is>
      </c>
      <c r="N2164" t="inlineStr">
        <is>
          <t>Modalidade: 0 - Por conta do remetente | Parte: ALBUQUERQUE E FREIRE LTDA (09.358.347/0001-85)</t>
        </is>
      </c>
      <c r="O2164" s="29" t="n">
        <v>0</v>
      </c>
      <c r="P2164" s="29" t="n">
        <v>0</v>
      </c>
      <c r="Q2164" s="29" t="n">
        <v>0</v>
      </c>
      <c r="R2164" s="29" t="n">
        <v>0</v>
      </c>
      <c r="S2164" s="29" t="n">
        <v>0</v>
      </c>
      <c r="T2164" t="inlineStr">
        <is>
          <t>25250926975620000130570010000053621000110789</t>
        </is>
      </c>
      <c r="U2164" t="inlineStr">
        <is>
          <t>Não</t>
        </is>
      </c>
    </row>
    <row r="2165">
      <c r="A2165" t="inlineStr">
        <is>
          <t>Frete de venda</t>
        </is>
      </c>
      <c r="B2165" t="inlineStr">
        <is>
          <t>2.01.02 Frete sobre Vendas</t>
        </is>
      </c>
      <c r="C2165" t="inlineStr">
        <is>
          <t>Antes de 2026</t>
        </is>
      </c>
      <c r="D2165" t="inlineStr">
        <is>
          <t>Antes de 2026</t>
        </is>
      </c>
      <c r="E2165" s="28" t="n">
        <v>45929</v>
      </c>
      <c r="F2165" t="inlineStr">
        <is>
          <t>CT-e</t>
        </is>
      </c>
      <c r="G2165" t="inlineStr">
        <is>
          <t>000005363</t>
        </is>
      </c>
      <c r="H2165" t="inlineStr">
        <is>
          <t>R&amp;R TRANSPORTE E LOGISTICA</t>
        </is>
      </c>
      <c r="J2165" s="29" t="n">
        <v>600</v>
      </c>
      <c r="K2165" s="29">
        <f>(1-ISNUMBER(SEARCH("556",M2165)))*(O2165*SUMIFS(Premissas!$C$5:$C$44,Premissas!$A$5:$A$44,$A2165,Premissas!$B$5:$B$44,$B2165)+P2165*SUMIFS(Premissas!$D$5:$D$44,Premissas!$A$5:$A$44,$A2165,Premissas!$B$5:$B$44,$B2165))+R2165*SUMIFS(Premissas!$E$5:$E$44,Premissas!$A$5:$A$44,$A2165,Premissas!$B$5:$B$44,$B2165)+S2165*SUMIFS(Premissas!$F$5:$F$44,Premissas!$A$5:$A$44,$A2165,Premissas!$B$5:$B$44,$B2165)</f>
        <v/>
      </c>
      <c r="L2165" s="29">
        <f>J2165-K2165</f>
        <v/>
      </c>
      <c r="M2165" t="inlineStr">
        <is>
          <t>1.350</t>
        </is>
      </c>
      <c r="N2165" t="inlineStr">
        <is>
          <t>Modalidade: 0 - Por conta do remetente | Parte: PLASTIPEL EMBALAGENS E DESCARTAVEIS (36.091.781/0001-14)</t>
        </is>
      </c>
      <c r="O2165" s="29" t="n">
        <v>0</v>
      </c>
      <c r="P2165" s="29" t="n">
        <v>0</v>
      </c>
      <c r="Q2165" s="29" t="n">
        <v>0</v>
      </c>
      <c r="R2165" s="29" t="n">
        <v>0</v>
      </c>
      <c r="S2165" s="29" t="n">
        <v>0</v>
      </c>
      <c r="T2165" t="inlineStr">
        <is>
          <t>25250926975620000130570010000053631000190860</t>
        </is>
      </c>
      <c r="U2165" t="inlineStr">
        <is>
          <t>Não</t>
        </is>
      </c>
    </row>
    <row r="2166">
      <c r="A2166" t="inlineStr">
        <is>
          <t>Frete de venda</t>
        </is>
      </c>
      <c r="B2166" t="inlineStr">
        <is>
          <t>2.01.02 Frete sobre Vendas</t>
        </is>
      </c>
      <c r="C2166" t="inlineStr">
        <is>
          <t>Antes de 2026</t>
        </is>
      </c>
      <c r="D2166" t="inlineStr">
        <is>
          <t>Antes de 2026</t>
        </is>
      </c>
      <c r="E2166" s="28" t="n">
        <v>45930</v>
      </c>
      <c r="F2166" t="inlineStr">
        <is>
          <t>CT-e</t>
        </is>
      </c>
      <c r="G2166" t="inlineStr">
        <is>
          <t>000005364</t>
        </is>
      </c>
      <c r="H2166" t="inlineStr">
        <is>
          <t>R&amp;R TRANSPORTE E LOGISTICA</t>
        </is>
      </c>
      <c r="J2166" s="29" t="n">
        <v>66.81</v>
      </c>
      <c r="K2166" s="29">
        <f>(1-ISNUMBER(SEARCH("556",M2166)))*(O2166*SUMIFS(Premissas!$C$5:$C$44,Premissas!$A$5:$A$44,$A2166,Premissas!$B$5:$B$44,$B2166)+P2166*SUMIFS(Premissas!$D$5:$D$44,Premissas!$A$5:$A$44,$A2166,Premissas!$B$5:$B$44,$B2166))+R2166*SUMIFS(Premissas!$E$5:$E$44,Premissas!$A$5:$A$44,$A2166,Premissas!$B$5:$B$44,$B2166)+S2166*SUMIFS(Premissas!$F$5:$F$44,Premissas!$A$5:$A$44,$A2166,Premissas!$B$5:$B$44,$B2166)</f>
        <v/>
      </c>
      <c r="L2166" s="29">
        <f>J2166-K2166</f>
        <v/>
      </c>
      <c r="M2166" t="inlineStr">
        <is>
          <t>1.350</t>
        </is>
      </c>
      <c r="N2166" t="inlineStr">
        <is>
          <t>Modalidade: 0 - Por conta do remetente | Parte: COMERCIAL PROLAC LTDA. (07.182.763/0001-40)</t>
        </is>
      </c>
      <c r="O2166" s="29" t="n">
        <v>0</v>
      </c>
      <c r="P2166" s="29" t="n">
        <v>0</v>
      </c>
      <c r="Q2166" s="29" t="n">
        <v>0</v>
      </c>
      <c r="R2166" s="29" t="n">
        <v>0</v>
      </c>
      <c r="S2166" s="29" t="n">
        <v>0</v>
      </c>
      <c r="T2166" t="inlineStr">
        <is>
          <t>25250926975620000130570010000053641000160942</t>
        </is>
      </c>
      <c r="U2166" t="inlineStr">
        <is>
          <t>Não</t>
        </is>
      </c>
    </row>
    <row r="2167">
      <c r="A2167" t="inlineStr">
        <is>
          <t>Frete de venda</t>
        </is>
      </c>
      <c r="B2167" t="inlineStr">
        <is>
          <t>2.01.02 Frete sobre Vendas</t>
        </is>
      </c>
      <c r="C2167" t="inlineStr">
        <is>
          <t>Antes de 2026</t>
        </is>
      </c>
      <c r="D2167" t="inlineStr">
        <is>
          <t>Antes de 2026</t>
        </is>
      </c>
      <c r="E2167" s="28" t="n">
        <v>45930</v>
      </c>
      <c r="F2167" t="inlineStr">
        <is>
          <t>CT-e</t>
        </is>
      </c>
      <c r="G2167" t="inlineStr">
        <is>
          <t>000005365</t>
        </is>
      </c>
      <c r="H2167" t="inlineStr">
        <is>
          <t>R&amp;R TRANSPORTE E LOGISTICA</t>
        </is>
      </c>
      <c r="J2167" s="29" t="n">
        <v>83.19</v>
      </c>
      <c r="K2167" s="29">
        <f>(1-ISNUMBER(SEARCH("556",M2167)))*(O2167*SUMIFS(Premissas!$C$5:$C$44,Premissas!$A$5:$A$44,$A2167,Premissas!$B$5:$B$44,$B2167)+P2167*SUMIFS(Premissas!$D$5:$D$44,Premissas!$A$5:$A$44,$A2167,Premissas!$B$5:$B$44,$B2167))+R2167*SUMIFS(Premissas!$E$5:$E$44,Premissas!$A$5:$A$44,$A2167,Premissas!$B$5:$B$44,$B2167)+S2167*SUMIFS(Premissas!$F$5:$F$44,Premissas!$A$5:$A$44,$A2167,Premissas!$B$5:$B$44,$B2167)</f>
        <v/>
      </c>
      <c r="L2167" s="29">
        <f>J2167-K2167</f>
        <v/>
      </c>
      <c r="M2167" t="inlineStr">
        <is>
          <t>1.350</t>
        </is>
      </c>
      <c r="N2167" t="inlineStr">
        <is>
          <t>Modalidade: 0 - Por conta do remetente | Parte: ATACAREJO GALEGO LATICINIOS COMERCIO DE ALIMENTOS LTDA (31.163.107/0001-84)</t>
        </is>
      </c>
      <c r="O2167" s="29" t="n">
        <v>0</v>
      </c>
      <c r="P2167" s="29" t="n">
        <v>0</v>
      </c>
      <c r="Q2167" s="29" t="n">
        <v>0</v>
      </c>
      <c r="R2167" s="29" t="n">
        <v>0</v>
      </c>
      <c r="S2167" s="29" t="n">
        <v>0</v>
      </c>
      <c r="T2167" t="inlineStr">
        <is>
          <t>25250926975620000130570010000053651001301024</t>
        </is>
      </c>
      <c r="U2167" t="inlineStr">
        <is>
          <t>Não</t>
        </is>
      </c>
    </row>
    <row r="2168">
      <c r="A2168" t="inlineStr">
        <is>
          <t>Frete de venda</t>
        </is>
      </c>
      <c r="B2168" t="inlineStr">
        <is>
          <t>2.01.02 Frete sobre Vendas</t>
        </is>
      </c>
      <c r="C2168" t="inlineStr">
        <is>
          <t>Antes de 2026</t>
        </is>
      </c>
      <c r="D2168" t="inlineStr">
        <is>
          <t>Antes de 2026</t>
        </is>
      </c>
      <c r="E2168" s="28" t="n">
        <v>45930</v>
      </c>
      <c r="F2168" t="inlineStr">
        <is>
          <t>CT-e</t>
        </is>
      </c>
      <c r="G2168" t="inlineStr">
        <is>
          <t>000005366</t>
        </is>
      </c>
      <c r="H2168" t="inlineStr">
        <is>
          <t>R&amp;R TRANSPORTE E LOGISTICA</t>
        </is>
      </c>
      <c r="J2168" s="29" t="n">
        <v>67.73</v>
      </c>
      <c r="K2168" s="29">
        <f>(1-ISNUMBER(SEARCH("556",M2168)))*(O2168*SUMIFS(Premissas!$C$5:$C$44,Premissas!$A$5:$A$44,$A2168,Premissas!$B$5:$B$44,$B2168)+P2168*SUMIFS(Premissas!$D$5:$D$44,Premissas!$A$5:$A$44,$A2168,Premissas!$B$5:$B$44,$B2168))+R2168*SUMIFS(Premissas!$E$5:$E$44,Premissas!$A$5:$A$44,$A2168,Premissas!$B$5:$B$44,$B2168)+S2168*SUMIFS(Premissas!$F$5:$F$44,Premissas!$A$5:$A$44,$A2168,Premissas!$B$5:$B$44,$B2168)</f>
        <v/>
      </c>
      <c r="L2168" s="29">
        <f>J2168-K2168</f>
        <v/>
      </c>
      <c r="M2168" t="inlineStr">
        <is>
          <t>1.350</t>
        </is>
      </c>
      <c r="N2168" t="inlineStr">
        <is>
          <t>Modalidade: 0 - Por conta do remetente | Parte: JB COMERCIO DE EMBALAGENS, ARMAZENAGEM E LOGISTICA LTDA (30.725.245/0001-47)</t>
        </is>
      </c>
      <c r="O2168" s="29" t="n">
        <v>0</v>
      </c>
      <c r="P2168" s="29" t="n">
        <v>0</v>
      </c>
      <c r="Q2168" s="29" t="n">
        <v>0</v>
      </c>
      <c r="R2168" s="29" t="n">
        <v>0</v>
      </c>
      <c r="S2168" s="29" t="n">
        <v>0</v>
      </c>
      <c r="T2168" t="inlineStr">
        <is>
          <t>25250926975620000130570010000053661000101100</t>
        </is>
      </c>
      <c r="U2168" t="inlineStr">
        <is>
          <t>Não</t>
        </is>
      </c>
    </row>
    <row r="2169">
      <c r="A2169" t="inlineStr">
        <is>
          <t>Frete de venda</t>
        </is>
      </c>
      <c r="B2169" t="inlineStr">
        <is>
          <t>2.01.02 Frete sobre Vendas</t>
        </is>
      </c>
      <c r="C2169" t="inlineStr">
        <is>
          <t>Antes de 2026</t>
        </is>
      </c>
      <c r="D2169" t="inlineStr">
        <is>
          <t>Antes de 2026</t>
        </is>
      </c>
      <c r="E2169" s="28" t="n">
        <v>45932</v>
      </c>
      <c r="F2169" t="inlineStr">
        <is>
          <t>CT-e</t>
        </is>
      </c>
      <c r="G2169" t="inlineStr">
        <is>
          <t>000005376</t>
        </is>
      </c>
      <c r="H2169" t="inlineStr">
        <is>
          <t>R&amp;R TRANSPORTE E LOGISTICA</t>
        </is>
      </c>
      <c r="J2169" s="29" t="n">
        <v>31.9</v>
      </c>
      <c r="K2169" s="29">
        <f>(1-ISNUMBER(SEARCH("556",M2169)))*(O2169*SUMIFS(Premissas!$C$5:$C$44,Premissas!$A$5:$A$44,$A2169,Premissas!$B$5:$B$44,$B2169)+P2169*SUMIFS(Premissas!$D$5:$D$44,Premissas!$A$5:$A$44,$A2169,Premissas!$B$5:$B$44,$B2169))+R2169*SUMIFS(Premissas!$E$5:$E$44,Premissas!$A$5:$A$44,$A2169,Premissas!$B$5:$B$44,$B2169)+S2169*SUMIFS(Premissas!$F$5:$F$44,Premissas!$A$5:$A$44,$A2169,Premissas!$B$5:$B$44,$B2169)</f>
        <v/>
      </c>
      <c r="L2169" s="29">
        <f>J2169-K2169</f>
        <v/>
      </c>
      <c r="M2169" t="inlineStr">
        <is>
          <t>1.350</t>
        </is>
      </c>
      <c r="N2169" t="inlineStr">
        <is>
          <t>Modalidade: 0 - Por conta do remetente | Parte: F. C. EMBALAGENS e SALGADINHOS (14.025.694/0001-26)</t>
        </is>
      </c>
      <c r="O2169" s="29" t="n">
        <v>0</v>
      </c>
      <c r="P2169" s="29" t="n">
        <v>0</v>
      </c>
      <c r="Q2169" s="29" t="n">
        <v>0</v>
      </c>
      <c r="R2169" s="29" t="n">
        <v>0</v>
      </c>
      <c r="S2169" s="29" t="n">
        <v>0</v>
      </c>
      <c r="T2169" t="inlineStr">
        <is>
          <t>25251026975620000130570010000053761000150930</t>
        </is>
      </c>
      <c r="U2169" t="inlineStr">
        <is>
          <t>Não</t>
        </is>
      </c>
    </row>
    <row r="2170">
      <c r="A2170" t="inlineStr">
        <is>
          <t>Frete de venda</t>
        </is>
      </c>
      <c r="B2170" t="inlineStr">
        <is>
          <t>2.01.02 Frete sobre Vendas</t>
        </is>
      </c>
      <c r="C2170" t="inlineStr">
        <is>
          <t>Antes de 2026</t>
        </is>
      </c>
      <c r="D2170" t="inlineStr">
        <is>
          <t>Antes de 2026</t>
        </is>
      </c>
      <c r="E2170" s="28" t="n">
        <v>45932</v>
      </c>
      <c r="F2170" t="inlineStr">
        <is>
          <t>CT-e</t>
        </is>
      </c>
      <c r="G2170" t="inlineStr">
        <is>
          <t>000005377</t>
        </is>
      </c>
      <c r="H2170" t="inlineStr">
        <is>
          <t>R&amp;R TRANSPORTE E LOGISTICA</t>
        </is>
      </c>
      <c r="J2170" s="29" t="n">
        <v>34.75</v>
      </c>
      <c r="K2170" s="29">
        <f>(1-ISNUMBER(SEARCH("556",M2170)))*(O2170*SUMIFS(Premissas!$C$5:$C$44,Premissas!$A$5:$A$44,$A2170,Premissas!$B$5:$B$44,$B2170)+P2170*SUMIFS(Premissas!$D$5:$D$44,Premissas!$A$5:$A$44,$A2170,Premissas!$B$5:$B$44,$B2170))+R2170*SUMIFS(Premissas!$E$5:$E$44,Premissas!$A$5:$A$44,$A2170,Premissas!$B$5:$B$44,$B2170)+S2170*SUMIFS(Premissas!$F$5:$F$44,Premissas!$A$5:$A$44,$A2170,Premissas!$B$5:$B$44,$B2170)</f>
        <v/>
      </c>
      <c r="L2170" s="29">
        <f>J2170-K2170</f>
        <v/>
      </c>
      <c r="M2170" t="inlineStr">
        <is>
          <t>1.350</t>
        </is>
      </c>
      <c r="N2170" t="inlineStr">
        <is>
          <t>Modalidade: 0 - Por conta do remetente | Parte: L. C. DE ANDRADE LTDA (51.921.825/0001-80)</t>
        </is>
      </c>
      <c r="O2170" s="29" t="n">
        <v>0</v>
      </c>
      <c r="P2170" s="29" t="n">
        <v>0</v>
      </c>
      <c r="Q2170" s="29" t="n">
        <v>0</v>
      </c>
      <c r="R2170" s="29" t="n">
        <v>0</v>
      </c>
      <c r="S2170" s="29" t="n">
        <v>0</v>
      </c>
      <c r="T2170" t="inlineStr">
        <is>
          <t>25251026975620000130570010000053771001201012</t>
        </is>
      </c>
      <c r="U2170" t="inlineStr">
        <is>
          <t>Não</t>
        </is>
      </c>
    </row>
    <row r="2171">
      <c r="A2171" t="inlineStr">
        <is>
          <t>Frete de venda</t>
        </is>
      </c>
      <c r="B2171" t="inlineStr">
        <is>
          <t>2.01.02 Frete sobre Vendas</t>
        </is>
      </c>
      <c r="C2171" t="inlineStr">
        <is>
          <t>Antes de 2026</t>
        </is>
      </c>
      <c r="D2171" t="inlineStr">
        <is>
          <t>Antes de 2026</t>
        </is>
      </c>
      <c r="E2171" s="28" t="n">
        <v>45932</v>
      </c>
      <c r="F2171" t="inlineStr">
        <is>
          <t>CT-e</t>
        </is>
      </c>
      <c r="G2171" t="inlineStr">
        <is>
          <t>000005378</t>
        </is>
      </c>
      <c r="H2171" t="inlineStr">
        <is>
          <t>R&amp;R TRANSPORTE E LOGISTICA</t>
        </is>
      </c>
      <c r="J2171" s="29" t="n">
        <v>31.97</v>
      </c>
      <c r="K2171" s="29">
        <f>(1-ISNUMBER(SEARCH("556",M2171)))*(O2171*SUMIFS(Premissas!$C$5:$C$44,Premissas!$A$5:$A$44,$A2171,Premissas!$B$5:$B$44,$B2171)+P2171*SUMIFS(Premissas!$D$5:$D$44,Premissas!$A$5:$A$44,$A2171,Premissas!$B$5:$B$44,$B2171))+R2171*SUMIFS(Premissas!$E$5:$E$44,Premissas!$A$5:$A$44,$A2171,Premissas!$B$5:$B$44,$B2171)+S2171*SUMIFS(Premissas!$F$5:$F$44,Premissas!$A$5:$A$44,$A2171,Premissas!$B$5:$B$44,$B2171)</f>
        <v/>
      </c>
      <c r="L2171" s="29">
        <f>J2171-K2171</f>
        <v/>
      </c>
      <c r="M2171" t="inlineStr">
        <is>
          <t>1.350</t>
        </is>
      </c>
      <c r="N2171" t="inlineStr">
        <is>
          <t>Modalidade: 0 - Por conta do remetente | Parte: E. DO NASCIMENTO SOUZA LTDA (42.822.613/0001-54)</t>
        </is>
      </c>
      <c r="O2171" s="29" t="n">
        <v>0</v>
      </c>
      <c r="P2171" s="29" t="n">
        <v>0</v>
      </c>
      <c r="Q2171" s="29" t="n">
        <v>0</v>
      </c>
      <c r="R2171" s="29" t="n">
        <v>0</v>
      </c>
      <c r="S2171" s="29" t="n">
        <v>0</v>
      </c>
      <c r="T2171" t="inlineStr">
        <is>
          <t>25251026975620000130570010000053781011001099</t>
        </is>
      </c>
      <c r="U2171" t="inlineStr">
        <is>
          <t>Não</t>
        </is>
      </c>
    </row>
    <row r="2172">
      <c r="A2172" t="inlineStr">
        <is>
          <t>Frete de venda</t>
        </is>
      </c>
      <c r="B2172" t="inlineStr">
        <is>
          <t>2.01.02 Frete sobre Vendas</t>
        </is>
      </c>
      <c r="C2172" t="inlineStr">
        <is>
          <t>Antes de 2026</t>
        </is>
      </c>
      <c r="D2172" t="inlineStr">
        <is>
          <t>Antes de 2026</t>
        </is>
      </c>
      <c r="E2172" s="28" t="n">
        <v>45932</v>
      </c>
      <c r="F2172" t="inlineStr">
        <is>
          <t>CT-e</t>
        </is>
      </c>
      <c r="G2172" t="inlineStr">
        <is>
          <t>000005379</t>
        </is>
      </c>
      <c r="H2172" t="inlineStr">
        <is>
          <t>R&amp;R TRANSPORTE E LOGISTICA</t>
        </is>
      </c>
      <c r="J2172" s="29" t="n">
        <v>37.17</v>
      </c>
      <c r="K2172" s="29">
        <f>(1-ISNUMBER(SEARCH("556",M2172)))*(O2172*SUMIFS(Premissas!$C$5:$C$44,Premissas!$A$5:$A$44,$A2172,Premissas!$B$5:$B$44,$B2172)+P2172*SUMIFS(Premissas!$D$5:$D$44,Premissas!$A$5:$A$44,$A2172,Premissas!$B$5:$B$44,$B2172))+R2172*SUMIFS(Premissas!$E$5:$E$44,Premissas!$A$5:$A$44,$A2172,Premissas!$B$5:$B$44,$B2172)+S2172*SUMIFS(Premissas!$F$5:$F$44,Premissas!$A$5:$A$44,$A2172,Premissas!$B$5:$B$44,$B2172)</f>
        <v/>
      </c>
      <c r="L2172" s="29">
        <f>J2172-K2172</f>
        <v/>
      </c>
      <c r="M2172" t="inlineStr">
        <is>
          <t>1.350</t>
        </is>
      </c>
      <c r="N2172" t="inlineStr">
        <is>
          <t>Modalidade: 0 - Por conta do remetente | Parte: PAPELARIA MUNDO IMPORTACAO E EXPORTACAO LTDA (14.869.791/0001-03)</t>
        </is>
      </c>
      <c r="O2172" s="29" t="n">
        <v>0</v>
      </c>
      <c r="P2172" s="29" t="n">
        <v>0</v>
      </c>
      <c r="Q2172" s="29" t="n">
        <v>0</v>
      </c>
      <c r="R2172" s="29" t="n">
        <v>0</v>
      </c>
      <c r="S2172" s="29" t="n">
        <v>0</v>
      </c>
      <c r="T2172" t="inlineStr">
        <is>
          <t>25251026975620000130570010000053791000010447</t>
        </is>
      </c>
      <c r="U2172" t="inlineStr">
        <is>
          <t>Não</t>
        </is>
      </c>
    </row>
    <row r="2173">
      <c r="A2173" t="inlineStr">
        <is>
          <t>Frete de venda</t>
        </is>
      </c>
      <c r="B2173" t="inlineStr">
        <is>
          <t>2.01.02 Frete sobre Vendas</t>
        </is>
      </c>
      <c r="C2173" t="inlineStr">
        <is>
          <t>Antes de 2026</t>
        </is>
      </c>
      <c r="D2173" t="inlineStr">
        <is>
          <t>Antes de 2026</t>
        </is>
      </c>
      <c r="E2173" s="28" t="n">
        <v>45932</v>
      </c>
      <c r="F2173" t="inlineStr">
        <is>
          <t>CT-e</t>
        </is>
      </c>
      <c r="G2173" t="inlineStr">
        <is>
          <t>000005380</t>
        </is>
      </c>
      <c r="H2173" t="inlineStr">
        <is>
          <t>R&amp;R TRANSPORTE E LOGISTICA</t>
        </is>
      </c>
      <c r="J2173" s="29" t="n">
        <v>51.52</v>
      </c>
      <c r="K2173" s="29">
        <f>(1-ISNUMBER(SEARCH("556",M2173)))*(O2173*SUMIFS(Premissas!$C$5:$C$44,Premissas!$A$5:$A$44,$A2173,Premissas!$B$5:$B$44,$B2173)+P2173*SUMIFS(Premissas!$D$5:$D$44,Premissas!$A$5:$A$44,$A2173,Premissas!$B$5:$B$44,$B2173))+R2173*SUMIFS(Premissas!$E$5:$E$44,Premissas!$A$5:$A$44,$A2173,Premissas!$B$5:$B$44,$B2173)+S2173*SUMIFS(Premissas!$F$5:$F$44,Premissas!$A$5:$A$44,$A2173,Premissas!$B$5:$B$44,$B2173)</f>
        <v/>
      </c>
      <c r="L2173" s="29">
        <f>J2173-K2173</f>
        <v/>
      </c>
      <c r="M2173" t="inlineStr">
        <is>
          <t>1.350</t>
        </is>
      </c>
      <c r="N2173" t="inlineStr">
        <is>
          <t>Modalidade: 0 - Por conta do remetente | Parte: M E QUEIROS DA SILVA (08.831.282/0001-80)</t>
        </is>
      </c>
      <c r="O2173" s="29" t="n">
        <v>0</v>
      </c>
      <c r="P2173" s="29" t="n">
        <v>0</v>
      </c>
      <c r="Q2173" s="29" t="n">
        <v>0</v>
      </c>
      <c r="R2173" s="29" t="n">
        <v>0</v>
      </c>
      <c r="S2173" s="29" t="n">
        <v>0</v>
      </c>
      <c r="T2173" t="inlineStr">
        <is>
          <t>25251026975620000130570010000053801000180521</t>
        </is>
      </c>
      <c r="U2173" t="inlineStr">
        <is>
          <t>Não</t>
        </is>
      </c>
    </row>
    <row r="2174">
      <c r="A2174" t="inlineStr">
        <is>
          <t>Frete de venda</t>
        </is>
      </c>
      <c r="B2174" t="inlineStr">
        <is>
          <t>2.01.02 Frete sobre Vendas</t>
        </is>
      </c>
      <c r="C2174" t="inlineStr">
        <is>
          <t>Antes de 2026</t>
        </is>
      </c>
      <c r="D2174" t="inlineStr">
        <is>
          <t>Antes de 2026</t>
        </is>
      </c>
      <c r="E2174" s="28" t="n">
        <v>45932</v>
      </c>
      <c r="F2174" t="inlineStr">
        <is>
          <t>CT-e</t>
        </is>
      </c>
      <c r="G2174" t="inlineStr">
        <is>
          <t>000005381</t>
        </is>
      </c>
      <c r="H2174" t="inlineStr">
        <is>
          <t>R&amp;R TRANSPORTE E LOGISTICA</t>
        </is>
      </c>
      <c r="J2174" s="29" t="n">
        <v>28.91</v>
      </c>
      <c r="K2174" s="29">
        <f>(1-ISNUMBER(SEARCH("556",M2174)))*(O2174*SUMIFS(Premissas!$C$5:$C$44,Premissas!$A$5:$A$44,$A2174,Premissas!$B$5:$B$44,$B2174)+P2174*SUMIFS(Premissas!$D$5:$D$44,Premissas!$A$5:$A$44,$A2174,Premissas!$B$5:$B$44,$B2174))+R2174*SUMIFS(Premissas!$E$5:$E$44,Premissas!$A$5:$A$44,$A2174,Premissas!$B$5:$B$44,$B2174)+S2174*SUMIFS(Premissas!$F$5:$F$44,Premissas!$A$5:$A$44,$A2174,Premissas!$B$5:$B$44,$B2174)</f>
        <v/>
      </c>
      <c r="L2174" s="29">
        <f>J2174-K2174</f>
        <v/>
      </c>
      <c r="M2174" t="inlineStr">
        <is>
          <t>1.350</t>
        </is>
      </c>
      <c r="N2174" t="inlineStr">
        <is>
          <t>Modalidade: 0 - Por conta do remetente | Parte: VILELA PACK LTDA (41.590.533/0001-58)</t>
        </is>
      </c>
      <c r="O2174" s="29" t="n">
        <v>0</v>
      </c>
      <c r="P2174" s="29" t="n">
        <v>0</v>
      </c>
      <c r="Q2174" s="29" t="n">
        <v>0</v>
      </c>
      <c r="R2174" s="29" t="n">
        <v>0</v>
      </c>
      <c r="S2174" s="29" t="n">
        <v>0</v>
      </c>
      <c r="T2174" t="inlineStr">
        <is>
          <t>25251026975620000130570010000053811000150603</t>
        </is>
      </c>
      <c r="U2174" t="inlineStr">
        <is>
          <t>Não</t>
        </is>
      </c>
    </row>
    <row r="2175">
      <c r="A2175" t="inlineStr">
        <is>
          <t>Frete de venda</t>
        </is>
      </c>
      <c r="B2175" t="inlineStr">
        <is>
          <t>2.01.02 Frete sobre Vendas</t>
        </is>
      </c>
      <c r="C2175" t="inlineStr">
        <is>
          <t>Antes de 2026</t>
        </is>
      </c>
      <c r="D2175" t="inlineStr">
        <is>
          <t>Antes de 2026</t>
        </is>
      </c>
      <c r="E2175" s="28" t="n">
        <v>45932</v>
      </c>
      <c r="F2175" t="inlineStr">
        <is>
          <t>CT-e</t>
        </is>
      </c>
      <c r="G2175" t="inlineStr">
        <is>
          <t>000005382</t>
        </is>
      </c>
      <c r="H2175" t="inlineStr">
        <is>
          <t>R&amp;R TRANSPORTE E LOGISTICA</t>
        </is>
      </c>
      <c r="J2175" s="29" t="n">
        <v>31.54</v>
      </c>
      <c r="K2175" s="29">
        <f>(1-ISNUMBER(SEARCH("556",M2175)))*(O2175*SUMIFS(Premissas!$C$5:$C$44,Premissas!$A$5:$A$44,$A2175,Premissas!$B$5:$B$44,$B2175)+P2175*SUMIFS(Premissas!$D$5:$D$44,Premissas!$A$5:$A$44,$A2175,Premissas!$B$5:$B$44,$B2175))+R2175*SUMIFS(Premissas!$E$5:$E$44,Premissas!$A$5:$A$44,$A2175,Premissas!$B$5:$B$44,$B2175)+S2175*SUMIFS(Premissas!$F$5:$F$44,Premissas!$A$5:$A$44,$A2175,Premissas!$B$5:$B$44,$B2175)</f>
        <v/>
      </c>
      <c r="L2175" s="29">
        <f>J2175-K2175</f>
        <v/>
      </c>
      <c r="M2175" t="inlineStr">
        <is>
          <t>1.350</t>
        </is>
      </c>
      <c r="N2175" t="inlineStr">
        <is>
          <t>Modalidade: 0 - Por conta do remetente | Parte: COMERCIAL DUARTE LTDA (27.461.644/0001-33)</t>
        </is>
      </c>
      <c r="O2175" s="29" t="n">
        <v>0</v>
      </c>
      <c r="P2175" s="29" t="n">
        <v>0</v>
      </c>
      <c r="Q2175" s="29" t="n">
        <v>0</v>
      </c>
      <c r="R2175" s="29" t="n">
        <v>0</v>
      </c>
      <c r="S2175" s="29" t="n">
        <v>0</v>
      </c>
      <c r="T2175" t="inlineStr">
        <is>
          <t>25251026975620000130570010000053821000120680</t>
        </is>
      </c>
      <c r="U2175" t="inlineStr">
        <is>
          <t>Não</t>
        </is>
      </c>
    </row>
    <row r="2176">
      <c r="A2176" t="inlineStr">
        <is>
          <t>Frete de venda</t>
        </is>
      </c>
      <c r="B2176" t="inlineStr">
        <is>
          <t>2.01.02 Frete sobre Vendas</t>
        </is>
      </c>
      <c r="C2176" t="inlineStr">
        <is>
          <t>Antes de 2026</t>
        </is>
      </c>
      <c r="D2176" t="inlineStr">
        <is>
          <t>Antes de 2026</t>
        </is>
      </c>
      <c r="E2176" s="28" t="n">
        <v>45932</v>
      </c>
      <c r="F2176" t="inlineStr">
        <is>
          <t>CT-e</t>
        </is>
      </c>
      <c r="G2176" t="inlineStr">
        <is>
          <t>000005383</t>
        </is>
      </c>
      <c r="H2176" t="inlineStr">
        <is>
          <t>R&amp;R TRANSPORTE E LOGISTICA</t>
        </is>
      </c>
      <c r="J2176" s="29" t="n">
        <v>49.29</v>
      </c>
      <c r="K2176" s="29">
        <f>(1-ISNUMBER(SEARCH("556",M2176)))*(O2176*SUMIFS(Premissas!$C$5:$C$44,Premissas!$A$5:$A$44,$A2176,Premissas!$B$5:$B$44,$B2176)+P2176*SUMIFS(Premissas!$D$5:$D$44,Premissas!$A$5:$A$44,$A2176,Premissas!$B$5:$B$44,$B2176))+R2176*SUMIFS(Premissas!$E$5:$E$44,Premissas!$A$5:$A$44,$A2176,Premissas!$B$5:$B$44,$B2176)+S2176*SUMIFS(Premissas!$F$5:$F$44,Premissas!$A$5:$A$44,$A2176,Premissas!$B$5:$B$44,$B2176)</f>
        <v/>
      </c>
      <c r="L2176" s="29">
        <f>J2176-K2176</f>
        <v/>
      </c>
      <c r="M2176" t="inlineStr">
        <is>
          <t>1.350</t>
        </is>
      </c>
      <c r="N2176" t="inlineStr">
        <is>
          <t>Modalidade: 0 - Por conta do remetente | Parte: H B COMERCIO DE EMBALAGENS LTDA (05.488.166/0001-12)</t>
        </is>
      </c>
      <c r="O2176" s="29" t="n">
        <v>0</v>
      </c>
      <c r="P2176" s="29" t="n">
        <v>0</v>
      </c>
      <c r="Q2176" s="29" t="n">
        <v>0</v>
      </c>
      <c r="R2176" s="29" t="n">
        <v>0</v>
      </c>
      <c r="S2176" s="29" t="n">
        <v>0</v>
      </c>
      <c r="T2176" t="inlineStr">
        <is>
          <t>25251026975620000130570010000053831001100760</t>
        </is>
      </c>
      <c r="U2176" t="inlineStr">
        <is>
          <t>Não</t>
        </is>
      </c>
    </row>
    <row r="2177">
      <c r="A2177" t="inlineStr">
        <is>
          <t>Frete de venda</t>
        </is>
      </c>
      <c r="B2177" t="inlineStr">
        <is>
          <t>2.01.02 Frete sobre Vendas</t>
        </is>
      </c>
      <c r="C2177" t="inlineStr">
        <is>
          <t>Antes de 2026</t>
        </is>
      </c>
      <c r="D2177" t="inlineStr">
        <is>
          <t>Antes de 2026</t>
        </is>
      </c>
      <c r="E2177" s="28" t="n">
        <v>45932</v>
      </c>
      <c r="F2177" t="inlineStr">
        <is>
          <t>CT-e</t>
        </is>
      </c>
      <c r="G2177" t="inlineStr">
        <is>
          <t>000005384</t>
        </is>
      </c>
      <c r="H2177" t="inlineStr">
        <is>
          <t>R&amp;R TRANSPORTE E LOGISTICA</t>
        </is>
      </c>
      <c r="J2177" s="29" t="n">
        <v>37.18</v>
      </c>
      <c r="K2177" s="29">
        <f>(1-ISNUMBER(SEARCH("556",M2177)))*(O2177*SUMIFS(Premissas!$C$5:$C$44,Premissas!$A$5:$A$44,$A2177,Premissas!$B$5:$B$44,$B2177)+P2177*SUMIFS(Premissas!$D$5:$D$44,Premissas!$A$5:$A$44,$A2177,Premissas!$B$5:$B$44,$B2177))+R2177*SUMIFS(Premissas!$E$5:$E$44,Premissas!$A$5:$A$44,$A2177,Premissas!$B$5:$B$44,$B2177)+S2177*SUMIFS(Premissas!$F$5:$F$44,Premissas!$A$5:$A$44,$A2177,Premissas!$B$5:$B$44,$B2177)</f>
        <v/>
      </c>
      <c r="L2177" s="29">
        <f>J2177-K2177</f>
        <v/>
      </c>
      <c r="M2177" t="inlineStr">
        <is>
          <t>1.350</t>
        </is>
      </c>
      <c r="N2177" t="inlineStr">
        <is>
          <t>Modalidade: 0 - Por conta do remetente | Parte: IRMAOS BATISTA REZENDE LTDA (13.916.629/0001-28)</t>
        </is>
      </c>
      <c r="O2177" s="29" t="n">
        <v>0</v>
      </c>
      <c r="P2177" s="29" t="n">
        <v>0</v>
      </c>
      <c r="Q2177" s="29" t="n">
        <v>0</v>
      </c>
      <c r="R2177" s="29" t="n">
        <v>0</v>
      </c>
      <c r="S2177" s="29" t="n">
        <v>0</v>
      </c>
      <c r="T2177" t="inlineStr">
        <is>
          <t>25251026975620000130570010000053841000170843</t>
        </is>
      </c>
      <c r="U2177" t="inlineStr">
        <is>
          <t>Não</t>
        </is>
      </c>
    </row>
    <row r="2178">
      <c r="A2178" t="inlineStr">
        <is>
          <t>Frete de venda</t>
        </is>
      </c>
      <c r="B2178" t="inlineStr">
        <is>
          <t>2.01.02 Frete sobre Vendas</t>
        </is>
      </c>
      <c r="C2178" t="inlineStr">
        <is>
          <t>Antes de 2026</t>
        </is>
      </c>
      <c r="D2178" t="inlineStr">
        <is>
          <t>Antes de 2026</t>
        </is>
      </c>
      <c r="E2178" s="28" t="n">
        <v>45932</v>
      </c>
      <c r="F2178" t="inlineStr">
        <is>
          <t>CT-e</t>
        </is>
      </c>
      <c r="G2178" t="inlineStr">
        <is>
          <t>000005385</t>
        </is>
      </c>
      <c r="H2178" t="inlineStr">
        <is>
          <t>R&amp;R TRANSPORTE E LOGISTICA</t>
        </is>
      </c>
      <c r="J2178" s="29" t="n">
        <v>770</v>
      </c>
      <c r="K2178" s="29">
        <f>(1-ISNUMBER(SEARCH("556",M2178)))*(O2178*SUMIFS(Premissas!$C$5:$C$44,Premissas!$A$5:$A$44,$A2178,Premissas!$B$5:$B$44,$B2178)+P2178*SUMIFS(Premissas!$D$5:$D$44,Premissas!$A$5:$A$44,$A2178,Premissas!$B$5:$B$44,$B2178))+R2178*SUMIFS(Premissas!$E$5:$E$44,Premissas!$A$5:$A$44,$A2178,Premissas!$B$5:$B$44,$B2178)+S2178*SUMIFS(Premissas!$F$5:$F$44,Premissas!$A$5:$A$44,$A2178,Premissas!$B$5:$B$44,$B2178)</f>
        <v/>
      </c>
      <c r="L2178" s="29">
        <f>J2178-K2178</f>
        <v/>
      </c>
      <c r="M2178" t="inlineStr">
        <is>
          <t>1.350</t>
        </is>
      </c>
      <c r="N2178" t="inlineStr">
        <is>
          <t>Modalidade: 0 - Por conta do remetente | Parte: EMBALAR DISTRIBUIDORA DE EMBALAGENS LTDA (10.347.424/0001-80)</t>
        </is>
      </c>
      <c r="O2178" s="29" t="n">
        <v>0</v>
      </c>
      <c r="P2178" s="29" t="n">
        <v>0</v>
      </c>
      <c r="Q2178" s="29" t="n">
        <v>0</v>
      </c>
      <c r="R2178" s="29" t="n">
        <v>0</v>
      </c>
      <c r="S2178" s="29" t="n">
        <v>0</v>
      </c>
      <c r="T2178" t="inlineStr">
        <is>
          <t>25251026975620000130570010000053851000140925</t>
        </is>
      </c>
      <c r="U2178" t="inlineStr">
        <is>
          <t>Não</t>
        </is>
      </c>
    </row>
    <row r="2179">
      <c r="A2179" t="inlineStr">
        <is>
          <t>Frete de venda</t>
        </is>
      </c>
      <c r="B2179" t="inlineStr">
        <is>
          <t>2.01.02 Frete sobre Vendas</t>
        </is>
      </c>
      <c r="C2179" t="inlineStr">
        <is>
          <t>Antes de 2026</t>
        </is>
      </c>
      <c r="D2179" t="inlineStr">
        <is>
          <t>Antes de 2026</t>
        </is>
      </c>
      <c r="E2179" s="28" t="n">
        <v>45932</v>
      </c>
      <c r="F2179" t="inlineStr">
        <is>
          <t>CT-e</t>
        </is>
      </c>
      <c r="G2179" t="inlineStr">
        <is>
          <t>000005387</t>
        </is>
      </c>
      <c r="H2179" t="inlineStr">
        <is>
          <t>R&amp;R TRANSPORTE E LOGISTICA</t>
        </is>
      </c>
      <c r="J2179" s="29" t="n">
        <v>1000</v>
      </c>
      <c r="K2179" s="29">
        <f>(1-ISNUMBER(SEARCH("556",M2179)))*(O2179*SUMIFS(Premissas!$C$5:$C$44,Premissas!$A$5:$A$44,$A2179,Premissas!$B$5:$B$44,$B2179)+P2179*SUMIFS(Premissas!$D$5:$D$44,Premissas!$A$5:$A$44,$A2179,Premissas!$B$5:$B$44,$B2179))+R2179*SUMIFS(Premissas!$E$5:$E$44,Premissas!$A$5:$A$44,$A2179,Premissas!$B$5:$B$44,$B2179)+S2179*SUMIFS(Premissas!$F$5:$F$44,Premissas!$A$5:$A$44,$A2179,Premissas!$B$5:$B$44,$B2179)</f>
        <v/>
      </c>
      <c r="L2179" s="29">
        <f>J2179-K2179</f>
        <v/>
      </c>
      <c r="M2179" t="inlineStr">
        <is>
          <t>1.350</t>
        </is>
      </c>
      <c r="N2179" t="inlineStr">
        <is>
          <t>Modalidade: 0 - Por conta do remetente | Parte: DML DISTRIBUIDORA DE ALIMENTOS E EMBALAGENS LTDA (07.412.776/0001-68)</t>
        </is>
      </c>
      <c r="O2179" s="29" t="n">
        <v>0</v>
      </c>
      <c r="P2179" s="29" t="n">
        <v>0</v>
      </c>
      <c r="Q2179" s="29" t="n">
        <v>0</v>
      </c>
      <c r="R2179" s="29" t="n">
        <v>0</v>
      </c>
      <c r="S2179" s="29" t="n">
        <v>0</v>
      </c>
      <c r="T2179" t="inlineStr">
        <is>
          <t>25251026975620000130570010000053871001901088</t>
        </is>
      </c>
      <c r="U2179" t="inlineStr">
        <is>
          <t>Não</t>
        </is>
      </c>
    </row>
    <row r="2180">
      <c r="A2180" t="inlineStr">
        <is>
          <t>Frete de venda</t>
        </is>
      </c>
      <c r="B2180" t="inlineStr">
        <is>
          <t>2.01.02 Frete sobre Vendas</t>
        </is>
      </c>
      <c r="C2180" t="inlineStr">
        <is>
          <t>Antes de 2026</t>
        </is>
      </c>
      <c r="D2180" t="inlineStr">
        <is>
          <t>Antes de 2026</t>
        </is>
      </c>
      <c r="E2180" s="28" t="n">
        <v>45933</v>
      </c>
      <c r="F2180" t="inlineStr">
        <is>
          <t>CT-e</t>
        </is>
      </c>
      <c r="G2180" t="inlineStr">
        <is>
          <t>000005388</t>
        </is>
      </c>
      <c r="H2180" t="inlineStr">
        <is>
          <t>R&amp;R TRANSPORTE E LOGISTICA</t>
        </is>
      </c>
      <c r="J2180" s="29" t="n">
        <v>48.06</v>
      </c>
      <c r="K2180" s="29">
        <f>(1-ISNUMBER(SEARCH("556",M2180)))*(O2180*SUMIFS(Premissas!$C$5:$C$44,Premissas!$A$5:$A$44,$A2180,Premissas!$B$5:$B$44,$B2180)+P2180*SUMIFS(Premissas!$D$5:$D$44,Premissas!$A$5:$A$44,$A2180,Premissas!$B$5:$B$44,$B2180))+R2180*SUMIFS(Premissas!$E$5:$E$44,Premissas!$A$5:$A$44,$A2180,Premissas!$B$5:$B$44,$B2180)+S2180*SUMIFS(Premissas!$F$5:$F$44,Premissas!$A$5:$A$44,$A2180,Premissas!$B$5:$B$44,$B2180)</f>
        <v/>
      </c>
      <c r="L2180" s="29">
        <f>J2180-K2180</f>
        <v/>
      </c>
      <c r="M2180" t="inlineStr">
        <is>
          <t>1.350</t>
        </is>
      </c>
      <c r="N2180" t="inlineStr">
        <is>
          <t>Modalidade: 0 - Por conta do remetente | Parte: RL EMBALAGENS E MAQUINAS LTDA (62.268.063/0001-80)</t>
        </is>
      </c>
      <c r="O2180" s="29" t="n">
        <v>0</v>
      </c>
      <c r="P2180" s="29" t="n">
        <v>0</v>
      </c>
      <c r="Q2180" s="29" t="n">
        <v>0</v>
      </c>
      <c r="R2180" s="29" t="n">
        <v>0</v>
      </c>
      <c r="S2180" s="29" t="n">
        <v>0</v>
      </c>
      <c r="T2180" t="inlineStr">
        <is>
          <t>25251026975620000130570010000053881001601162</t>
        </is>
      </c>
      <c r="U2180" t="inlineStr">
        <is>
          <t>Não</t>
        </is>
      </c>
    </row>
    <row r="2181">
      <c r="A2181" t="inlineStr">
        <is>
          <t>Frete de venda</t>
        </is>
      </c>
      <c r="B2181" t="inlineStr">
        <is>
          <t>2.01.02 Frete sobre Vendas</t>
        </is>
      </c>
      <c r="C2181" t="inlineStr">
        <is>
          <t>Antes de 2026</t>
        </is>
      </c>
      <c r="D2181" t="inlineStr">
        <is>
          <t>Antes de 2026</t>
        </is>
      </c>
      <c r="E2181" s="28" t="n">
        <v>45933</v>
      </c>
      <c r="F2181" t="inlineStr">
        <is>
          <t>CT-e</t>
        </is>
      </c>
      <c r="G2181" t="inlineStr">
        <is>
          <t>000005389</t>
        </is>
      </c>
      <c r="H2181" t="inlineStr">
        <is>
          <t>R&amp;R TRANSPORTE E LOGISTICA</t>
        </is>
      </c>
      <c r="J2181" s="29" t="n">
        <v>49.5</v>
      </c>
      <c r="K2181" s="29">
        <f>(1-ISNUMBER(SEARCH("556",M2181)))*(O2181*SUMIFS(Premissas!$C$5:$C$44,Premissas!$A$5:$A$44,$A2181,Premissas!$B$5:$B$44,$B2181)+P2181*SUMIFS(Premissas!$D$5:$D$44,Premissas!$A$5:$A$44,$A2181,Premissas!$B$5:$B$44,$B2181))+R2181*SUMIFS(Premissas!$E$5:$E$44,Premissas!$A$5:$A$44,$A2181,Premissas!$B$5:$B$44,$B2181)+S2181*SUMIFS(Premissas!$F$5:$F$44,Premissas!$A$5:$A$44,$A2181,Premissas!$B$5:$B$44,$B2181)</f>
        <v/>
      </c>
      <c r="L2181" s="29">
        <f>J2181-K2181</f>
        <v/>
      </c>
      <c r="M2181" t="inlineStr">
        <is>
          <t>1.350</t>
        </is>
      </c>
      <c r="N2181" t="inlineStr">
        <is>
          <t>Modalidade: 0 - Por conta do remetente | Parte: HCR - COMERCIO DE EMBALAGENS LTDA (01.730.981/0001-95)</t>
        </is>
      </c>
      <c r="O2181" s="29" t="n">
        <v>0</v>
      </c>
      <c r="P2181" s="29" t="n">
        <v>0</v>
      </c>
      <c r="Q2181" s="29" t="n">
        <v>0</v>
      </c>
      <c r="R2181" s="29" t="n">
        <v>0</v>
      </c>
      <c r="S2181" s="29" t="n">
        <v>0</v>
      </c>
      <c r="T2181" t="inlineStr">
        <is>
          <t>25251026975620000130570010000053891000170513</t>
        </is>
      </c>
      <c r="U2181" t="inlineStr">
        <is>
          <t>Não</t>
        </is>
      </c>
    </row>
    <row r="2182">
      <c r="A2182" t="inlineStr">
        <is>
          <t>Frete de venda</t>
        </is>
      </c>
      <c r="B2182" t="inlineStr">
        <is>
          <t>2.01.02 Frete sobre Vendas</t>
        </is>
      </c>
      <c r="C2182" t="inlineStr">
        <is>
          <t>Antes de 2026</t>
        </is>
      </c>
      <c r="D2182" t="inlineStr">
        <is>
          <t>Antes de 2026</t>
        </is>
      </c>
      <c r="E2182" s="28" t="n">
        <v>45933</v>
      </c>
      <c r="F2182" t="inlineStr">
        <is>
          <t>CT-e</t>
        </is>
      </c>
      <c r="G2182" t="inlineStr">
        <is>
          <t>000005390</t>
        </is>
      </c>
      <c r="H2182" t="inlineStr">
        <is>
          <t>R&amp;R TRANSPORTE E LOGISTICA</t>
        </is>
      </c>
      <c r="J2182" s="29" t="n">
        <v>53.62</v>
      </c>
      <c r="K2182" s="29">
        <f>(1-ISNUMBER(SEARCH("556",M2182)))*(O2182*SUMIFS(Premissas!$C$5:$C$44,Premissas!$A$5:$A$44,$A2182,Premissas!$B$5:$B$44,$B2182)+P2182*SUMIFS(Premissas!$D$5:$D$44,Premissas!$A$5:$A$44,$A2182,Premissas!$B$5:$B$44,$B2182))+R2182*SUMIFS(Premissas!$E$5:$E$44,Premissas!$A$5:$A$44,$A2182,Premissas!$B$5:$B$44,$B2182)+S2182*SUMIFS(Premissas!$F$5:$F$44,Premissas!$A$5:$A$44,$A2182,Premissas!$B$5:$B$44,$B2182)</f>
        <v/>
      </c>
      <c r="L2182" s="29">
        <f>J2182-K2182</f>
        <v/>
      </c>
      <c r="M2182" t="inlineStr">
        <is>
          <t>1.350</t>
        </is>
      </c>
      <c r="N2182" t="inlineStr">
        <is>
          <t>Modalidade: 0 - Por conta do remetente | Parte: MAGALHAES REPRESENTACOES GOIAS E SERVICOS LTDA (54.491.506/0001-70)</t>
        </is>
      </c>
      <c r="O2182" s="29" t="n">
        <v>0</v>
      </c>
      <c r="P2182" s="29" t="n">
        <v>0</v>
      </c>
      <c r="Q2182" s="29" t="n">
        <v>0</v>
      </c>
      <c r="R2182" s="29" t="n">
        <v>0</v>
      </c>
      <c r="S2182" s="29" t="n">
        <v>0</v>
      </c>
      <c r="T2182" t="inlineStr">
        <is>
          <t>25251026975620000130570010000053901000140593</t>
        </is>
      </c>
      <c r="U2182" t="inlineStr">
        <is>
          <t>Não</t>
        </is>
      </c>
    </row>
    <row r="2183">
      <c r="A2183" t="inlineStr">
        <is>
          <t>Frete de venda</t>
        </is>
      </c>
      <c r="B2183" t="inlineStr">
        <is>
          <t>2.01.02 Frete sobre Vendas</t>
        </is>
      </c>
      <c r="C2183" t="inlineStr">
        <is>
          <t>Antes de 2026</t>
        </is>
      </c>
      <c r="D2183" t="inlineStr">
        <is>
          <t>Antes de 2026</t>
        </is>
      </c>
      <c r="E2183" s="28" t="n">
        <v>45933</v>
      </c>
      <c r="F2183" t="inlineStr">
        <is>
          <t>CT-e</t>
        </is>
      </c>
      <c r="G2183" t="inlineStr">
        <is>
          <t>000005391</t>
        </is>
      </c>
      <c r="H2183" t="inlineStr">
        <is>
          <t>R&amp;R TRANSPORTE E LOGISTICA</t>
        </is>
      </c>
      <c r="J2183" s="29" t="n">
        <v>87.13</v>
      </c>
      <c r="K2183" s="29">
        <f>(1-ISNUMBER(SEARCH("556",M2183)))*(O2183*SUMIFS(Premissas!$C$5:$C$44,Premissas!$A$5:$A$44,$A2183,Premissas!$B$5:$B$44,$B2183)+P2183*SUMIFS(Premissas!$D$5:$D$44,Premissas!$A$5:$A$44,$A2183,Premissas!$B$5:$B$44,$B2183))+R2183*SUMIFS(Premissas!$E$5:$E$44,Premissas!$A$5:$A$44,$A2183,Premissas!$B$5:$B$44,$B2183)+S2183*SUMIFS(Premissas!$F$5:$F$44,Premissas!$A$5:$A$44,$A2183,Premissas!$B$5:$B$44,$B2183)</f>
        <v/>
      </c>
      <c r="L2183" s="29">
        <f>J2183-K2183</f>
        <v/>
      </c>
      <c r="M2183" t="inlineStr">
        <is>
          <t>1.350</t>
        </is>
      </c>
      <c r="N2183" t="inlineStr">
        <is>
          <t>Modalidade: 0 - Por conta do remetente | Parte: PADUA EMBALAGENS E DESCARTAVEIS LTDA (29.312.016/0001-11)</t>
        </is>
      </c>
      <c r="O2183" s="29" t="n">
        <v>0</v>
      </c>
      <c r="P2183" s="29" t="n">
        <v>0</v>
      </c>
      <c r="Q2183" s="29" t="n">
        <v>0</v>
      </c>
      <c r="R2183" s="29" t="n">
        <v>0</v>
      </c>
      <c r="S2183" s="29" t="n">
        <v>0</v>
      </c>
      <c r="T2183" t="inlineStr">
        <is>
          <t>25251026975620000130570010000053911000110675</t>
        </is>
      </c>
      <c r="U2183" t="inlineStr">
        <is>
          <t>Não</t>
        </is>
      </c>
    </row>
    <row r="2184">
      <c r="A2184" t="inlineStr">
        <is>
          <t>Frete de venda</t>
        </is>
      </c>
      <c r="B2184" t="inlineStr">
        <is>
          <t>2.01.02 Frete sobre Vendas</t>
        </is>
      </c>
      <c r="C2184" t="inlineStr">
        <is>
          <t>Antes de 2026</t>
        </is>
      </c>
      <c r="D2184" t="inlineStr">
        <is>
          <t>Antes de 2026</t>
        </is>
      </c>
      <c r="E2184" s="28" t="n">
        <v>45933</v>
      </c>
      <c r="F2184" t="inlineStr">
        <is>
          <t>CT-e</t>
        </is>
      </c>
      <c r="G2184" t="inlineStr">
        <is>
          <t>000005392</t>
        </is>
      </c>
      <c r="H2184" t="inlineStr">
        <is>
          <t>R&amp;R TRANSPORTE E LOGISTICA</t>
        </is>
      </c>
      <c r="J2184" s="29" t="n">
        <v>191.63</v>
      </c>
      <c r="K2184" s="29">
        <f>(1-ISNUMBER(SEARCH("556",M2184)))*(O2184*SUMIFS(Premissas!$C$5:$C$44,Premissas!$A$5:$A$44,$A2184,Premissas!$B$5:$B$44,$B2184)+P2184*SUMIFS(Premissas!$D$5:$D$44,Premissas!$A$5:$A$44,$A2184,Premissas!$B$5:$B$44,$B2184))+R2184*SUMIFS(Premissas!$E$5:$E$44,Premissas!$A$5:$A$44,$A2184,Premissas!$B$5:$B$44,$B2184)+S2184*SUMIFS(Premissas!$F$5:$F$44,Premissas!$A$5:$A$44,$A2184,Premissas!$B$5:$B$44,$B2184)</f>
        <v/>
      </c>
      <c r="L2184" s="29">
        <f>J2184-K2184</f>
        <v/>
      </c>
      <c r="M2184" t="inlineStr">
        <is>
          <t>1.350</t>
        </is>
      </c>
      <c r="N2184" t="inlineStr">
        <is>
          <t>Modalidade: 0 - Por conta do remetente | Parte: LUIZ VIEIRA DE MORAIS EMBALAGENS (05.271.641/0001-02)</t>
        </is>
      </c>
      <c r="O2184" s="29" t="n">
        <v>0</v>
      </c>
      <c r="P2184" s="29" t="n">
        <v>0</v>
      </c>
      <c r="Q2184" s="29" t="n">
        <v>0</v>
      </c>
      <c r="R2184" s="29" t="n">
        <v>0</v>
      </c>
      <c r="S2184" s="29" t="n">
        <v>0</v>
      </c>
      <c r="T2184" t="inlineStr">
        <is>
          <t>25251026975620000130570010000053921000190757</t>
        </is>
      </c>
      <c r="U2184" t="inlineStr">
        <is>
          <t>Não</t>
        </is>
      </c>
    </row>
    <row r="2185">
      <c r="A2185" t="inlineStr">
        <is>
          <t>Frete de venda</t>
        </is>
      </c>
      <c r="B2185" t="inlineStr">
        <is>
          <t>2.01.02 Frete sobre Vendas</t>
        </is>
      </c>
      <c r="C2185" t="inlineStr">
        <is>
          <t>Antes de 2026</t>
        </is>
      </c>
      <c r="D2185" t="inlineStr">
        <is>
          <t>Antes de 2026</t>
        </is>
      </c>
      <c r="E2185" s="28" t="n">
        <v>45937</v>
      </c>
      <c r="F2185" t="inlineStr">
        <is>
          <t>CT-e</t>
        </is>
      </c>
      <c r="G2185" t="inlineStr">
        <is>
          <t>000005400</t>
        </is>
      </c>
      <c r="H2185" t="inlineStr">
        <is>
          <t>R&amp;R TRANSPORTE E LOGISTICA</t>
        </is>
      </c>
      <c r="J2185" s="29" t="n">
        <v>19.61</v>
      </c>
      <c r="K2185" s="29">
        <f>(1-ISNUMBER(SEARCH("556",M2185)))*(O2185*SUMIFS(Premissas!$C$5:$C$44,Premissas!$A$5:$A$44,$A2185,Premissas!$B$5:$B$44,$B2185)+P2185*SUMIFS(Premissas!$D$5:$D$44,Premissas!$A$5:$A$44,$A2185,Premissas!$B$5:$B$44,$B2185))+R2185*SUMIFS(Premissas!$E$5:$E$44,Premissas!$A$5:$A$44,$A2185,Premissas!$B$5:$B$44,$B2185)+S2185*SUMIFS(Premissas!$F$5:$F$44,Premissas!$A$5:$A$44,$A2185,Premissas!$B$5:$B$44,$B2185)</f>
        <v/>
      </c>
      <c r="L2185" s="29">
        <f>J2185-K2185</f>
        <v/>
      </c>
      <c r="M2185" t="inlineStr">
        <is>
          <t>1.350</t>
        </is>
      </c>
      <c r="N2185" t="inlineStr">
        <is>
          <t>Modalidade: 0 - Por conta do remetente | Parte: NEW PLASTICOS DISTRIBUIDORA LTDA (38.438.642/0001-40)</t>
        </is>
      </c>
      <c r="O2185" s="29" t="n">
        <v>0</v>
      </c>
      <c r="P2185" s="29" t="n">
        <v>0</v>
      </c>
      <c r="Q2185" s="29" t="n">
        <v>0</v>
      </c>
      <c r="R2185" s="29" t="n">
        <v>0</v>
      </c>
      <c r="S2185" s="29" t="n">
        <v>0</v>
      </c>
      <c r="T2185" t="inlineStr">
        <is>
          <t>25251026975620000130570010000054001001801290</t>
        </is>
      </c>
      <c r="U2185" t="inlineStr">
        <is>
          <t>Não</t>
        </is>
      </c>
    </row>
    <row r="2186">
      <c r="A2186" t="inlineStr">
        <is>
          <t>Frete de venda</t>
        </is>
      </c>
      <c r="B2186" t="inlineStr">
        <is>
          <t>2.01.02 Frete sobre Vendas</t>
        </is>
      </c>
      <c r="C2186" t="inlineStr">
        <is>
          <t>Antes de 2026</t>
        </is>
      </c>
      <c r="D2186" t="inlineStr">
        <is>
          <t>Antes de 2026</t>
        </is>
      </c>
      <c r="E2186" s="28" t="n">
        <v>45937</v>
      </c>
      <c r="F2186" t="inlineStr">
        <is>
          <t>CT-e</t>
        </is>
      </c>
      <c r="G2186" t="inlineStr">
        <is>
          <t>000005401</t>
        </is>
      </c>
      <c r="H2186" t="inlineStr">
        <is>
          <t>R&amp;R TRANSPORTE E LOGISTICA</t>
        </is>
      </c>
      <c r="J2186" s="29" t="n">
        <v>80.06999999999999</v>
      </c>
      <c r="K2186" s="29">
        <f>(1-ISNUMBER(SEARCH("556",M2186)))*(O2186*SUMIFS(Premissas!$C$5:$C$44,Premissas!$A$5:$A$44,$A2186,Premissas!$B$5:$B$44,$B2186)+P2186*SUMIFS(Premissas!$D$5:$D$44,Premissas!$A$5:$A$44,$A2186,Premissas!$B$5:$B$44,$B2186))+R2186*SUMIFS(Premissas!$E$5:$E$44,Premissas!$A$5:$A$44,$A2186,Premissas!$B$5:$B$44,$B2186)+S2186*SUMIFS(Premissas!$F$5:$F$44,Premissas!$A$5:$A$44,$A2186,Premissas!$B$5:$B$44,$B2186)</f>
        <v/>
      </c>
      <c r="L2186" s="29">
        <f>J2186-K2186</f>
        <v/>
      </c>
      <c r="M2186" t="inlineStr">
        <is>
          <t>1.350</t>
        </is>
      </c>
      <c r="N2186" t="inlineStr">
        <is>
          <t>Modalidade: 0 - Por conta do remetente | Parte: PLASMAR COMERCIO DE PRODUTOS DESCARTAVEIS LTDA (09.354.922/0001-71)</t>
        </is>
      </c>
      <c r="O2186" s="29" t="n">
        <v>0</v>
      </c>
      <c r="P2186" s="29" t="n">
        <v>0</v>
      </c>
      <c r="Q2186" s="29" t="n">
        <v>0</v>
      </c>
      <c r="R2186" s="29" t="n">
        <v>0</v>
      </c>
      <c r="S2186" s="29" t="n">
        <v>0</v>
      </c>
      <c r="T2186" t="inlineStr">
        <is>
          <t>25251026975620000130570010000054011001501374</t>
        </is>
      </c>
      <c r="U2186" t="inlineStr">
        <is>
          <t>Não</t>
        </is>
      </c>
    </row>
    <row r="2187">
      <c r="A2187" t="inlineStr">
        <is>
          <t>Frete de venda</t>
        </is>
      </c>
      <c r="B2187" t="inlineStr">
        <is>
          <t>2.01.02 Frete sobre Vendas</t>
        </is>
      </c>
      <c r="C2187" t="inlineStr">
        <is>
          <t>Antes de 2026</t>
        </is>
      </c>
      <c r="D2187" t="inlineStr">
        <is>
          <t>Antes de 2026</t>
        </is>
      </c>
      <c r="E2187" s="28" t="n">
        <v>45937</v>
      </c>
      <c r="F2187" t="inlineStr">
        <is>
          <t>CT-e</t>
        </is>
      </c>
      <c r="G2187" t="inlineStr">
        <is>
          <t>000005402</t>
        </is>
      </c>
      <c r="H2187" t="inlineStr">
        <is>
          <t>R&amp;R TRANSPORTE E LOGISTICA</t>
        </is>
      </c>
      <c r="J2187" s="29" t="n">
        <v>25.58</v>
      </c>
      <c r="K2187" s="29">
        <f>(1-ISNUMBER(SEARCH("556",M2187)))*(O2187*SUMIFS(Premissas!$C$5:$C$44,Premissas!$A$5:$A$44,$A2187,Premissas!$B$5:$B$44,$B2187)+P2187*SUMIFS(Premissas!$D$5:$D$44,Premissas!$A$5:$A$44,$A2187,Premissas!$B$5:$B$44,$B2187))+R2187*SUMIFS(Premissas!$E$5:$E$44,Premissas!$A$5:$A$44,$A2187,Premissas!$B$5:$B$44,$B2187)+S2187*SUMIFS(Premissas!$F$5:$F$44,Premissas!$A$5:$A$44,$A2187,Premissas!$B$5:$B$44,$B2187)</f>
        <v/>
      </c>
      <c r="L2187" s="29">
        <f>J2187-K2187</f>
        <v/>
      </c>
      <c r="M2187" t="inlineStr">
        <is>
          <t>1.350</t>
        </is>
      </c>
      <c r="N2187" t="inlineStr">
        <is>
          <t>Modalidade: 0 - Por conta do remetente | Parte: D. R. B. DE J. MALAMAO LTDA (31.155.347/0001-37)</t>
        </is>
      </c>
      <c r="O2187" s="29" t="n">
        <v>0</v>
      </c>
      <c r="P2187" s="29" t="n">
        <v>0</v>
      </c>
      <c r="Q2187" s="29" t="n">
        <v>0</v>
      </c>
      <c r="R2187" s="29" t="n">
        <v>0</v>
      </c>
      <c r="S2187" s="29" t="n">
        <v>0</v>
      </c>
      <c r="T2187" t="inlineStr">
        <is>
          <t>25251026975620000130570010000054021000160724</t>
        </is>
      </c>
      <c r="U2187" t="inlineStr">
        <is>
          <t>Não</t>
        </is>
      </c>
    </row>
    <row r="2188">
      <c r="A2188" t="inlineStr">
        <is>
          <t>Frete de venda</t>
        </is>
      </c>
      <c r="B2188" t="inlineStr">
        <is>
          <t>2.01.02 Frete sobre Vendas</t>
        </is>
      </c>
      <c r="C2188" t="inlineStr">
        <is>
          <t>Antes de 2026</t>
        </is>
      </c>
      <c r="D2188" t="inlineStr">
        <is>
          <t>Antes de 2026</t>
        </is>
      </c>
      <c r="E2188" s="28" t="n">
        <v>45937</v>
      </c>
      <c r="F2188" t="inlineStr">
        <is>
          <t>CT-e</t>
        </is>
      </c>
      <c r="G2188" t="inlineStr">
        <is>
          <t>000005403</t>
        </is>
      </c>
      <c r="H2188" t="inlineStr">
        <is>
          <t>R&amp;R TRANSPORTE E LOGISTICA</t>
        </is>
      </c>
      <c r="J2188" s="29" t="n">
        <v>37.41</v>
      </c>
      <c r="K2188" s="29">
        <f>(1-ISNUMBER(SEARCH("556",M2188)))*(O2188*SUMIFS(Premissas!$C$5:$C$44,Premissas!$A$5:$A$44,$A2188,Premissas!$B$5:$B$44,$B2188)+P2188*SUMIFS(Premissas!$D$5:$D$44,Premissas!$A$5:$A$44,$A2188,Premissas!$B$5:$B$44,$B2188))+R2188*SUMIFS(Premissas!$E$5:$E$44,Premissas!$A$5:$A$44,$A2188,Premissas!$B$5:$B$44,$B2188)+S2188*SUMIFS(Premissas!$F$5:$F$44,Premissas!$A$5:$A$44,$A2188,Premissas!$B$5:$B$44,$B2188)</f>
        <v/>
      </c>
      <c r="L2188" s="29">
        <f>J2188-K2188</f>
        <v/>
      </c>
      <c r="M2188" t="inlineStr">
        <is>
          <t>1.350</t>
        </is>
      </c>
      <c r="N2188" t="inlineStr">
        <is>
          <t>Modalidade: 0 - Por conta do remetente | Parte: R A DOS SANTOS BARBOSA LTDA (02.444.236/0001-42)</t>
        </is>
      </c>
      <c r="O2188" s="29" t="n">
        <v>0</v>
      </c>
      <c r="P2188" s="29" t="n">
        <v>0</v>
      </c>
      <c r="Q2188" s="29" t="n">
        <v>0</v>
      </c>
      <c r="R2188" s="29" t="n">
        <v>0</v>
      </c>
      <c r="S2188" s="29" t="n">
        <v>0</v>
      </c>
      <c r="T2188" t="inlineStr">
        <is>
          <t>25251026975620000130570010000054031000130806</t>
        </is>
      </c>
      <c r="U2188" t="inlineStr">
        <is>
          <t>Não</t>
        </is>
      </c>
    </row>
    <row r="2189">
      <c r="A2189" t="inlineStr">
        <is>
          <t>Frete de venda</t>
        </is>
      </c>
      <c r="B2189" t="inlineStr">
        <is>
          <t>2.01.02 Frete sobre Vendas</t>
        </is>
      </c>
      <c r="C2189" t="inlineStr">
        <is>
          <t>Antes de 2026</t>
        </is>
      </c>
      <c r="D2189" t="inlineStr">
        <is>
          <t>Antes de 2026</t>
        </is>
      </c>
      <c r="E2189" s="28" t="n">
        <v>45937</v>
      </c>
      <c r="F2189" t="inlineStr">
        <is>
          <t>CT-e</t>
        </is>
      </c>
      <c r="G2189" t="inlineStr">
        <is>
          <t>000005405</t>
        </is>
      </c>
      <c r="H2189" t="inlineStr">
        <is>
          <t>R&amp;R TRANSPORTE E LOGISTICA</t>
        </is>
      </c>
      <c r="J2189" s="29" t="n">
        <v>28.37</v>
      </c>
      <c r="K2189" s="29">
        <f>(1-ISNUMBER(SEARCH("556",M2189)))*(O2189*SUMIFS(Premissas!$C$5:$C$44,Premissas!$A$5:$A$44,$A2189,Premissas!$B$5:$B$44,$B2189)+P2189*SUMIFS(Premissas!$D$5:$D$44,Premissas!$A$5:$A$44,$A2189,Premissas!$B$5:$B$44,$B2189))+R2189*SUMIFS(Premissas!$E$5:$E$44,Premissas!$A$5:$A$44,$A2189,Premissas!$B$5:$B$44,$B2189)+S2189*SUMIFS(Premissas!$F$5:$F$44,Premissas!$A$5:$A$44,$A2189,Premissas!$B$5:$B$44,$B2189)</f>
        <v/>
      </c>
      <c r="L2189" s="29">
        <f>J2189-K2189</f>
        <v/>
      </c>
      <c r="M2189" t="inlineStr">
        <is>
          <t>1.350</t>
        </is>
      </c>
      <c r="N2189" t="inlineStr">
        <is>
          <t>Modalidade: 0 - Por conta do remetente | Parte: MEGA FESTAS LTDA (07.064.216/0001-60)</t>
        </is>
      </c>
      <c r="O2189" s="29" t="n">
        <v>0</v>
      </c>
      <c r="P2189" s="29" t="n">
        <v>0</v>
      </c>
      <c r="Q2189" s="29" t="n">
        <v>0</v>
      </c>
      <c r="R2189" s="29" t="n">
        <v>0</v>
      </c>
      <c r="S2189" s="29" t="n">
        <v>0</v>
      </c>
      <c r="T2189" t="inlineStr">
        <is>
          <t>25251026975620000130570010000054051000180964</t>
        </is>
      </c>
      <c r="U2189" t="inlineStr">
        <is>
          <t>Não</t>
        </is>
      </c>
    </row>
    <row r="2190">
      <c r="A2190" t="inlineStr">
        <is>
          <t>Frete de venda</t>
        </is>
      </c>
      <c r="B2190" t="inlineStr">
        <is>
          <t>2.01.02 Frete sobre Vendas</t>
        </is>
      </c>
      <c r="C2190" t="inlineStr">
        <is>
          <t>Antes de 2026</t>
        </is>
      </c>
      <c r="D2190" t="inlineStr">
        <is>
          <t>Antes de 2026</t>
        </is>
      </c>
      <c r="E2190" s="28" t="n">
        <v>45937</v>
      </c>
      <c r="F2190" t="inlineStr">
        <is>
          <t>CT-e</t>
        </is>
      </c>
      <c r="G2190" t="inlineStr">
        <is>
          <t>000005406</t>
        </is>
      </c>
      <c r="H2190" t="inlineStr">
        <is>
          <t>R&amp;R TRANSPORTE E LOGISTICA</t>
        </is>
      </c>
      <c r="J2190" s="29" t="n">
        <v>44.09</v>
      </c>
      <c r="K2190" s="29">
        <f>(1-ISNUMBER(SEARCH("556",M2190)))*(O2190*SUMIFS(Premissas!$C$5:$C$44,Premissas!$A$5:$A$44,$A2190,Premissas!$B$5:$B$44,$B2190)+P2190*SUMIFS(Premissas!$D$5:$D$44,Premissas!$A$5:$A$44,$A2190,Premissas!$B$5:$B$44,$B2190))+R2190*SUMIFS(Premissas!$E$5:$E$44,Premissas!$A$5:$A$44,$A2190,Premissas!$B$5:$B$44,$B2190)+S2190*SUMIFS(Premissas!$F$5:$F$44,Premissas!$A$5:$A$44,$A2190,Premissas!$B$5:$B$44,$B2190)</f>
        <v/>
      </c>
      <c r="L2190" s="29">
        <f>J2190-K2190</f>
        <v/>
      </c>
      <c r="M2190" t="inlineStr">
        <is>
          <t>1.350</t>
        </is>
      </c>
      <c r="N2190" t="inlineStr">
        <is>
          <t>Modalidade: 0 - Por conta do remetente | Parte: MG DE MORAIS FERREIRA LTDA (31.596.755/0001-24)</t>
        </is>
      </c>
      <c r="O2190" s="29" t="n">
        <v>0</v>
      </c>
      <c r="P2190" s="29" t="n">
        <v>0</v>
      </c>
      <c r="Q2190" s="29" t="n">
        <v>0</v>
      </c>
      <c r="R2190" s="29" t="n">
        <v>0</v>
      </c>
      <c r="S2190" s="29" t="n">
        <v>0</v>
      </c>
      <c r="T2190" t="inlineStr">
        <is>
          <t>25251026975620000130570010000054061001501044</t>
        </is>
      </c>
      <c r="U2190" t="inlineStr">
        <is>
          <t>Não</t>
        </is>
      </c>
    </row>
    <row r="2191">
      <c r="A2191" t="inlineStr">
        <is>
          <t>Frete de venda</t>
        </is>
      </c>
      <c r="B2191" t="inlineStr">
        <is>
          <t>2.01.02 Frete sobre Vendas</t>
        </is>
      </c>
      <c r="C2191" t="inlineStr">
        <is>
          <t>Antes de 2026</t>
        </is>
      </c>
      <c r="D2191" t="inlineStr">
        <is>
          <t>Antes de 2026</t>
        </is>
      </c>
      <c r="E2191" s="28" t="n">
        <v>45937</v>
      </c>
      <c r="F2191" t="inlineStr">
        <is>
          <t>CT-e</t>
        </is>
      </c>
      <c r="G2191" t="inlineStr">
        <is>
          <t>000005407</t>
        </is>
      </c>
      <c r="H2191" t="inlineStr">
        <is>
          <t>R&amp;R TRANSPORTE E LOGISTICA</t>
        </is>
      </c>
      <c r="J2191" s="29" t="n">
        <v>27.81</v>
      </c>
      <c r="K2191" s="29">
        <f>(1-ISNUMBER(SEARCH("556",M2191)))*(O2191*SUMIFS(Premissas!$C$5:$C$44,Premissas!$A$5:$A$44,$A2191,Premissas!$B$5:$B$44,$B2191)+P2191*SUMIFS(Premissas!$D$5:$D$44,Premissas!$A$5:$A$44,$A2191,Premissas!$B$5:$B$44,$B2191))+R2191*SUMIFS(Premissas!$E$5:$E$44,Premissas!$A$5:$A$44,$A2191,Premissas!$B$5:$B$44,$B2191)+S2191*SUMIFS(Premissas!$F$5:$F$44,Premissas!$A$5:$A$44,$A2191,Premissas!$B$5:$B$44,$B2191)</f>
        <v/>
      </c>
      <c r="L2191" s="29">
        <f>J2191-K2191</f>
        <v/>
      </c>
      <c r="M2191" t="inlineStr">
        <is>
          <t>1.350</t>
        </is>
      </c>
      <c r="N2191" t="inlineStr">
        <is>
          <t>Modalidade: 0 - Por conta do remetente | Parte: PIAUI PLAST EIRELI (37.914.034/0001-00)</t>
        </is>
      </c>
      <c r="O2191" s="29" t="n">
        <v>0</v>
      </c>
      <c r="P2191" s="29" t="n">
        <v>0</v>
      </c>
      <c r="Q2191" s="29" t="n">
        <v>0</v>
      </c>
      <c r="R2191" s="29" t="n">
        <v>0</v>
      </c>
      <c r="S2191" s="29" t="n">
        <v>0</v>
      </c>
      <c r="T2191" t="inlineStr">
        <is>
          <t>25251026975620000130570010000054071001201129</t>
        </is>
      </c>
      <c r="U2191" t="inlineStr">
        <is>
          <t>Não</t>
        </is>
      </c>
    </row>
    <row r="2192">
      <c r="A2192" t="inlineStr">
        <is>
          <t>Frete de venda</t>
        </is>
      </c>
      <c r="B2192" t="inlineStr">
        <is>
          <t>2.01.02 Frete sobre Vendas</t>
        </is>
      </c>
      <c r="C2192" t="inlineStr">
        <is>
          <t>Antes de 2026</t>
        </is>
      </c>
      <c r="D2192" t="inlineStr">
        <is>
          <t>Antes de 2026</t>
        </is>
      </c>
      <c r="E2192" s="28" t="n">
        <v>45937</v>
      </c>
      <c r="F2192" t="inlineStr">
        <is>
          <t>CT-e</t>
        </is>
      </c>
      <c r="G2192" t="inlineStr">
        <is>
          <t>000005408</t>
        </is>
      </c>
      <c r="H2192" t="inlineStr">
        <is>
          <t>R&amp;R TRANSPORTE E LOGISTICA</t>
        </is>
      </c>
      <c r="J2192" s="29" t="n">
        <v>63.05</v>
      </c>
      <c r="K2192" s="29">
        <f>(1-ISNUMBER(SEARCH("556",M2192)))*(O2192*SUMIFS(Premissas!$C$5:$C$44,Premissas!$A$5:$A$44,$A2192,Premissas!$B$5:$B$44,$B2192)+P2192*SUMIFS(Premissas!$D$5:$D$44,Premissas!$A$5:$A$44,$A2192,Premissas!$B$5:$B$44,$B2192))+R2192*SUMIFS(Premissas!$E$5:$E$44,Premissas!$A$5:$A$44,$A2192,Premissas!$B$5:$B$44,$B2192)+S2192*SUMIFS(Premissas!$F$5:$F$44,Premissas!$A$5:$A$44,$A2192,Premissas!$B$5:$B$44,$B2192)</f>
        <v/>
      </c>
      <c r="L2192" s="29">
        <f>J2192-K2192</f>
        <v/>
      </c>
      <c r="M2192" t="inlineStr">
        <is>
          <t>1.350</t>
        </is>
      </c>
      <c r="N2192" t="inlineStr">
        <is>
          <t>Modalidade: 0 - Por conta do remetente | Parte: IBIAPINA VARIEDADES LTDA (46.211.356/0001-75)</t>
        </is>
      </c>
      <c r="O2192" s="29" t="n">
        <v>0</v>
      </c>
      <c r="P2192" s="29" t="n">
        <v>0</v>
      </c>
      <c r="Q2192" s="29" t="n">
        <v>0</v>
      </c>
      <c r="R2192" s="29" t="n">
        <v>0</v>
      </c>
      <c r="S2192" s="29" t="n">
        <v>0</v>
      </c>
      <c r="T2192" t="inlineStr">
        <is>
          <t>25251026975620000130570010000054081011001200</t>
        </is>
      </c>
      <c r="U2192" t="inlineStr">
        <is>
          <t>Não</t>
        </is>
      </c>
    </row>
    <row r="2193">
      <c r="A2193" t="inlineStr">
        <is>
          <t>Frete de venda</t>
        </is>
      </c>
      <c r="B2193" t="inlineStr">
        <is>
          <t>2.01.02 Frete sobre Vendas</t>
        </is>
      </c>
      <c r="C2193" t="inlineStr">
        <is>
          <t>Antes de 2026</t>
        </is>
      </c>
      <c r="D2193" t="inlineStr">
        <is>
          <t>Antes de 2026</t>
        </is>
      </c>
      <c r="E2193" s="28" t="n">
        <v>45937</v>
      </c>
      <c r="F2193" t="inlineStr">
        <is>
          <t>CT-e</t>
        </is>
      </c>
      <c r="G2193" t="inlineStr">
        <is>
          <t>000005409</t>
        </is>
      </c>
      <c r="H2193" t="inlineStr">
        <is>
          <t>R&amp;R TRANSPORTE E LOGISTICA</t>
        </is>
      </c>
      <c r="J2193" s="29" t="n">
        <v>25.18</v>
      </c>
      <c r="K2193" s="29">
        <f>(1-ISNUMBER(SEARCH("556",M2193)))*(O2193*SUMIFS(Premissas!$C$5:$C$44,Premissas!$A$5:$A$44,$A2193,Premissas!$B$5:$B$44,$B2193)+P2193*SUMIFS(Premissas!$D$5:$D$44,Premissas!$A$5:$A$44,$A2193,Premissas!$B$5:$B$44,$B2193))+R2193*SUMIFS(Premissas!$E$5:$E$44,Premissas!$A$5:$A$44,$A2193,Premissas!$B$5:$B$44,$B2193)+S2193*SUMIFS(Premissas!$F$5:$F$44,Premissas!$A$5:$A$44,$A2193,Premissas!$B$5:$B$44,$B2193)</f>
        <v/>
      </c>
      <c r="L2193" s="29">
        <f>J2193-K2193</f>
        <v/>
      </c>
      <c r="M2193" t="inlineStr">
        <is>
          <t>1.350</t>
        </is>
      </c>
      <c r="N2193" t="inlineStr">
        <is>
          <t>Modalidade: 0 - Por conta do remetente | Parte: J DA C ESTUMANO (12.711.497/0001-35)</t>
        </is>
      </c>
      <c r="O2193" s="29" t="n">
        <v>0</v>
      </c>
      <c r="P2193" s="29" t="n">
        <v>0</v>
      </c>
      <c r="Q2193" s="29" t="n">
        <v>0</v>
      </c>
      <c r="R2193" s="29" t="n">
        <v>0</v>
      </c>
      <c r="S2193" s="29" t="n">
        <v>0</v>
      </c>
      <c r="T2193" t="inlineStr">
        <is>
          <t>25251026975620000130570010000054091001701282</t>
        </is>
      </c>
      <c r="U2193" t="inlineStr">
        <is>
          <t>Não</t>
        </is>
      </c>
    </row>
    <row r="2194">
      <c r="A2194" t="inlineStr">
        <is>
          <t>Frete de venda</t>
        </is>
      </c>
      <c r="B2194" t="inlineStr">
        <is>
          <t>2.01.02 Frete sobre Vendas</t>
        </is>
      </c>
      <c r="C2194" t="inlineStr">
        <is>
          <t>Antes de 2026</t>
        </is>
      </c>
      <c r="D2194" t="inlineStr">
        <is>
          <t>Antes de 2026</t>
        </is>
      </c>
      <c r="E2194" s="28" t="n">
        <v>45937</v>
      </c>
      <c r="F2194" t="inlineStr">
        <is>
          <t>CT-e</t>
        </is>
      </c>
      <c r="G2194" t="inlineStr">
        <is>
          <t>000005410</t>
        </is>
      </c>
      <c r="H2194" t="inlineStr">
        <is>
          <t>R&amp;R TRANSPORTE E LOGISTICA</t>
        </is>
      </c>
      <c r="J2194" s="29" t="n">
        <v>47.74</v>
      </c>
      <c r="K2194" s="29">
        <f>(1-ISNUMBER(SEARCH("556",M2194)))*(O2194*SUMIFS(Premissas!$C$5:$C$44,Premissas!$A$5:$A$44,$A2194,Premissas!$B$5:$B$44,$B2194)+P2194*SUMIFS(Premissas!$D$5:$D$44,Premissas!$A$5:$A$44,$A2194,Premissas!$B$5:$B$44,$B2194))+R2194*SUMIFS(Premissas!$E$5:$E$44,Premissas!$A$5:$A$44,$A2194,Premissas!$B$5:$B$44,$B2194)+S2194*SUMIFS(Premissas!$F$5:$F$44,Premissas!$A$5:$A$44,$A2194,Premissas!$B$5:$B$44,$B2194)</f>
        <v/>
      </c>
      <c r="L2194" s="29">
        <f>J2194-K2194</f>
        <v/>
      </c>
      <c r="M2194" t="inlineStr">
        <is>
          <t>1.350</t>
        </is>
      </c>
      <c r="N2194" t="inlineStr">
        <is>
          <t>Modalidade: 0 - Por conta do remetente | Parte: LOJAO DOS PLASTICOS LTDA (14.866.399/0001-00)</t>
        </is>
      </c>
      <c r="O2194" s="29" t="n">
        <v>0</v>
      </c>
      <c r="P2194" s="29" t="n">
        <v>0</v>
      </c>
      <c r="Q2194" s="29" t="n">
        <v>0</v>
      </c>
      <c r="R2194" s="29" t="n">
        <v>0</v>
      </c>
      <c r="S2194" s="29" t="n">
        <v>0</v>
      </c>
      <c r="T2194" t="inlineStr">
        <is>
          <t>25251026975620000130570010000054101001401360</t>
        </is>
      </c>
      <c r="U2194" t="inlineStr">
        <is>
          <t>Não</t>
        </is>
      </c>
    </row>
    <row r="2195">
      <c r="A2195" t="inlineStr">
        <is>
          <t>Frete de venda</t>
        </is>
      </c>
      <c r="B2195" t="inlineStr">
        <is>
          <t>2.01.02 Frete sobre Vendas</t>
        </is>
      </c>
      <c r="C2195" t="inlineStr">
        <is>
          <t>Antes de 2026</t>
        </is>
      </c>
      <c r="D2195" t="inlineStr">
        <is>
          <t>Antes de 2026</t>
        </is>
      </c>
      <c r="E2195" s="28" t="n">
        <v>45938</v>
      </c>
      <c r="F2195" t="inlineStr">
        <is>
          <t>CT-e</t>
        </is>
      </c>
      <c r="G2195" t="inlineStr">
        <is>
          <t>000005414</t>
        </is>
      </c>
      <c r="H2195" t="inlineStr">
        <is>
          <t>R&amp;R TRANSPORTE E LOGISTICA</t>
        </is>
      </c>
      <c r="J2195" s="29" t="n">
        <v>786</v>
      </c>
      <c r="K2195" s="29">
        <f>(1-ISNUMBER(SEARCH("556",M2195)))*(O2195*SUMIFS(Premissas!$C$5:$C$44,Premissas!$A$5:$A$44,$A2195,Premissas!$B$5:$B$44,$B2195)+P2195*SUMIFS(Premissas!$D$5:$D$44,Premissas!$A$5:$A$44,$A2195,Premissas!$B$5:$B$44,$B2195))+R2195*SUMIFS(Premissas!$E$5:$E$44,Premissas!$A$5:$A$44,$A2195,Premissas!$B$5:$B$44,$B2195)+S2195*SUMIFS(Premissas!$F$5:$F$44,Premissas!$A$5:$A$44,$A2195,Premissas!$B$5:$B$44,$B2195)</f>
        <v/>
      </c>
      <c r="L2195" s="29">
        <f>J2195-K2195</f>
        <v/>
      </c>
      <c r="M2195" t="inlineStr">
        <is>
          <t>1.350</t>
        </is>
      </c>
      <c r="N2195" t="inlineStr">
        <is>
          <t>Modalidade: 0 - Por conta do remetente | Parte: H C COMERCIO DE EMBALAGENS PLASTICA LTDA (69.708.436/0001-36)</t>
        </is>
      </c>
      <c r="O2195" s="29" t="n">
        <v>0</v>
      </c>
      <c r="P2195" s="29" t="n">
        <v>0</v>
      </c>
      <c r="Q2195" s="29" t="n">
        <v>0</v>
      </c>
      <c r="R2195" s="29" t="n">
        <v>0</v>
      </c>
      <c r="S2195" s="29" t="n">
        <v>0</v>
      </c>
      <c r="T2195" t="inlineStr">
        <is>
          <t>25251026975620000130570010000054141011001429</t>
        </is>
      </c>
      <c r="U2195" t="inlineStr">
        <is>
          <t>Não</t>
        </is>
      </c>
    </row>
    <row r="2196">
      <c r="A2196" t="inlineStr">
        <is>
          <t>Frete de venda</t>
        </is>
      </c>
      <c r="B2196" t="inlineStr">
        <is>
          <t>2.01.02 Frete sobre Vendas</t>
        </is>
      </c>
      <c r="C2196" t="inlineStr">
        <is>
          <t>Antes de 2026</t>
        </is>
      </c>
      <c r="D2196" t="inlineStr">
        <is>
          <t>Antes de 2026</t>
        </is>
      </c>
      <c r="E2196" s="28" t="n">
        <v>45938</v>
      </c>
      <c r="F2196" t="inlineStr">
        <is>
          <t>CT-e</t>
        </is>
      </c>
      <c r="G2196" t="inlineStr">
        <is>
          <t>000005415</t>
        </is>
      </c>
      <c r="H2196" t="inlineStr">
        <is>
          <t>R&amp;R TRANSPORTE E LOGISTICA</t>
        </is>
      </c>
      <c r="J2196" s="29" t="n">
        <v>786</v>
      </c>
      <c r="K2196" s="29">
        <f>(1-ISNUMBER(SEARCH("556",M2196)))*(O2196*SUMIFS(Premissas!$C$5:$C$44,Premissas!$A$5:$A$44,$A2196,Premissas!$B$5:$B$44,$B2196)+P2196*SUMIFS(Premissas!$D$5:$D$44,Premissas!$A$5:$A$44,$A2196,Premissas!$B$5:$B$44,$B2196))+R2196*SUMIFS(Premissas!$E$5:$E$44,Premissas!$A$5:$A$44,$A2196,Premissas!$B$5:$B$44,$B2196)+S2196*SUMIFS(Premissas!$F$5:$F$44,Premissas!$A$5:$A$44,$A2196,Premissas!$B$5:$B$44,$B2196)</f>
        <v/>
      </c>
      <c r="L2196" s="29">
        <f>J2196-K2196</f>
        <v/>
      </c>
      <c r="M2196" t="inlineStr">
        <is>
          <t>1.350</t>
        </is>
      </c>
      <c r="N2196" t="inlineStr">
        <is>
          <t>Modalidade: 0 - Por conta do remetente | Parte: FORTALI DISTRIBUIDORA DE ALIMENTOS LTDA. (09.317.318/0001-75)</t>
        </is>
      </c>
      <c r="O2196" s="29" t="n">
        <v>0</v>
      </c>
      <c r="P2196" s="29" t="n">
        <v>0</v>
      </c>
      <c r="Q2196" s="29" t="n">
        <v>0</v>
      </c>
      <c r="R2196" s="29" t="n">
        <v>0</v>
      </c>
      <c r="S2196" s="29" t="n">
        <v>0</v>
      </c>
      <c r="T2196" t="inlineStr">
        <is>
          <t>25251026975620000130570010000054151001701506</t>
        </is>
      </c>
      <c r="U2196" t="inlineStr">
        <is>
          <t>Não</t>
        </is>
      </c>
    </row>
    <row r="2197">
      <c r="A2197" t="inlineStr">
        <is>
          <t>Frete de venda</t>
        </is>
      </c>
      <c r="B2197" t="inlineStr">
        <is>
          <t>2.01.02 Frete sobre Vendas</t>
        </is>
      </c>
      <c r="C2197" t="inlineStr">
        <is>
          <t>Antes de 2026</t>
        </is>
      </c>
      <c r="D2197" t="inlineStr">
        <is>
          <t>Antes de 2026</t>
        </is>
      </c>
      <c r="E2197" s="28" t="n">
        <v>45938</v>
      </c>
      <c r="F2197" t="inlineStr">
        <is>
          <t>CT-e</t>
        </is>
      </c>
      <c r="G2197" t="inlineStr">
        <is>
          <t>000005416</t>
        </is>
      </c>
      <c r="H2197" t="inlineStr">
        <is>
          <t>R&amp;R TRANSPORTE E LOGISTICA</t>
        </is>
      </c>
      <c r="J2197" s="29" t="n">
        <v>786</v>
      </c>
      <c r="K2197" s="29">
        <f>(1-ISNUMBER(SEARCH("556",M2197)))*(O2197*SUMIFS(Premissas!$C$5:$C$44,Premissas!$A$5:$A$44,$A2197,Premissas!$B$5:$B$44,$B2197)+P2197*SUMIFS(Premissas!$D$5:$D$44,Premissas!$A$5:$A$44,$A2197,Premissas!$B$5:$B$44,$B2197))+R2197*SUMIFS(Premissas!$E$5:$E$44,Premissas!$A$5:$A$44,$A2197,Premissas!$B$5:$B$44,$B2197)+S2197*SUMIFS(Premissas!$F$5:$F$44,Premissas!$A$5:$A$44,$A2197,Premissas!$B$5:$B$44,$B2197)</f>
        <v/>
      </c>
      <c r="L2197" s="29">
        <f>J2197-K2197</f>
        <v/>
      </c>
      <c r="M2197" t="inlineStr">
        <is>
          <t>1.350</t>
        </is>
      </c>
      <c r="N2197" t="inlineStr">
        <is>
          <t>Modalidade: 0 - Por conta do remetente | Parte: J O FERREIRA FELIPE COMERCIO DE EMBALAGENS LTDA (13.051.003/0001-04)</t>
        </is>
      </c>
      <c r="O2197" s="29" t="n">
        <v>0</v>
      </c>
      <c r="P2197" s="29" t="n">
        <v>0</v>
      </c>
      <c r="Q2197" s="29" t="n">
        <v>0</v>
      </c>
      <c r="R2197" s="29" t="n">
        <v>0</v>
      </c>
      <c r="S2197" s="29" t="n">
        <v>0</v>
      </c>
      <c r="T2197" t="inlineStr">
        <is>
          <t>25251026975620000130570010000054161001401585</t>
        </is>
      </c>
      <c r="U2197" t="inlineStr">
        <is>
          <t>Não</t>
        </is>
      </c>
    </row>
    <row r="2198">
      <c r="A2198" t="inlineStr">
        <is>
          <t>Frete de venda</t>
        </is>
      </c>
      <c r="B2198" t="inlineStr">
        <is>
          <t>2.01.02 Frete sobre Vendas</t>
        </is>
      </c>
      <c r="C2198" t="inlineStr">
        <is>
          <t>Antes de 2026</t>
        </is>
      </c>
      <c r="D2198" t="inlineStr">
        <is>
          <t>Antes de 2026</t>
        </is>
      </c>
      <c r="E2198" s="28" t="n">
        <v>45938</v>
      </c>
      <c r="F2198" t="inlineStr">
        <is>
          <t>CT-e</t>
        </is>
      </c>
      <c r="G2198" t="inlineStr">
        <is>
          <t>000005417</t>
        </is>
      </c>
      <c r="H2198" t="inlineStr">
        <is>
          <t>R&amp;R TRANSPORTE E LOGISTICA</t>
        </is>
      </c>
      <c r="J2198" s="29" t="n">
        <v>786</v>
      </c>
      <c r="K2198" s="29">
        <f>(1-ISNUMBER(SEARCH("556",M2198)))*(O2198*SUMIFS(Premissas!$C$5:$C$44,Premissas!$A$5:$A$44,$A2198,Premissas!$B$5:$B$44,$B2198)+P2198*SUMIFS(Premissas!$D$5:$D$44,Premissas!$A$5:$A$44,$A2198,Premissas!$B$5:$B$44,$B2198))+R2198*SUMIFS(Premissas!$E$5:$E$44,Premissas!$A$5:$A$44,$A2198,Premissas!$B$5:$B$44,$B2198)+S2198*SUMIFS(Premissas!$F$5:$F$44,Premissas!$A$5:$A$44,$A2198,Premissas!$B$5:$B$44,$B2198)</f>
        <v/>
      </c>
      <c r="L2198" s="29">
        <f>J2198-K2198</f>
        <v/>
      </c>
      <c r="M2198" t="inlineStr">
        <is>
          <t>1.350</t>
        </is>
      </c>
      <c r="N2198" t="inlineStr">
        <is>
          <t>Modalidade: 0 - Por conta do remetente | Parte: DOCA COMERCIO DE PRODUTOS ALIMENTICIOS LTDA (15.258.788/0003-70)</t>
        </is>
      </c>
      <c r="O2198" s="29" t="n">
        <v>0</v>
      </c>
      <c r="P2198" s="29" t="n">
        <v>0</v>
      </c>
      <c r="Q2198" s="29" t="n">
        <v>0</v>
      </c>
      <c r="R2198" s="29" t="n">
        <v>0</v>
      </c>
      <c r="S2198" s="29" t="n">
        <v>0</v>
      </c>
      <c r="T2198" t="inlineStr">
        <is>
          <t>25251026975620000130570010000054171000150934</t>
        </is>
      </c>
      <c r="U2198" t="inlineStr">
        <is>
          <t>Não</t>
        </is>
      </c>
    </row>
    <row r="2199">
      <c r="A2199" t="inlineStr">
        <is>
          <t>Frete de venda</t>
        </is>
      </c>
      <c r="B2199" t="inlineStr">
        <is>
          <t>2.01.02 Frete sobre Vendas</t>
        </is>
      </c>
      <c r="C2199" t="inlineStr">
        <is>
          <t>Antes de 2026</t>
        </is>
      </c>
      <c r="D2199" t="inlineStr">
        <is>
          <t>Antes de 2026</t>
        </is>
      </c>
      <c r="E2199" s="28" t="n">
        <v>45938</v>
      </c>
      <c r="F2199" t="inlineStr">
        <is>
          <t>CT-e</t>
        </is>
      </c>
      <c r="G2199" t="inlineStr">
        <is>
          <t>000005418</t>
        </is>
      </c>
      <c r="H2199" t="inlineStr">
        <is>
          <t>R&amp;R TRANSPORTE E LOGISTICA</t>
        </is>
      </c>
      <c r="J2199" s="29" t="n">
        <v>786</v>
      </c>
      <c r="K2199" s="29">
        <f>(1-ISNUMBER(SEARCH("556",M2199)))*(O2199*SUMIFS(Premissas!$C$5:$C$44,Premissas!$A$5:$A$44,$A2199,Premissas!$B$5:$B$44,$B2199)+P2199*SUMIFS(Premissas!$D$5:$D$44,Premissas!$A$5:$A$44,$A2199,Premissas!$B$5:$B$44,$B2199))+R2199*SUMIFS(Premissas!$E$5:$E$44,Premissas!$A$5:$A$44,$A2199,Premissas!$B$5:$B$44,$B2199)+S2199*SUMIFS(Premissas!$F$5:$F$44,Premissas!$A$5:$A$44,$A2199,Premissas!$B$5:$B$44,$B2199)</f>
        <v/>
      </c>
      <c r="L2199" s="29">
        <f>J2199-K2199</f>
        <v/>
      </c>
      <c r="M2199" t="inlineStr">
        <is>
          <t>1.350</t>
        </is>
      </c>
      <c r="N2199" t="inlineStr">
        <is>
          <t>Modalidade: 0 - Por conta do remetente | Parte: PRASO PLATAFORMA DE COMERCIO LTDA. (42.434.646/0007-12)</t>
        </is>
      </c>
      <c r="O2199" s="29" t="n">
        <v>0</v>
      </c>
      <c r="P2199" s="29" t="n">
        <v>0</v>
      </c>
      <c r="Q2199" s="29" t="n">
        <v>0</v>
      </c>
      <c r="R2199" s="29" t="n">
        <v>0</v>
      </c>
      <c r="S2199" s="29" t="n">
        <v>0</v>
      </c>
      <c r="T2199" t="inlineStr">
        <is>
          <t>25251026975620000130570010000054181001201017</t>
        </is>
      </c>
      <c r="U2199" t="inlineStr">
        <is>
          <t>Não</t>
        </is>
      </c>
    </row>
    <row r="2200">
      <c r="A2200" t="inlineStr">
        <is>
          <t>Frete de venda</t>
        </is>
      </c>
      <c r="B2200" t="inlineStr">
        <is>
          <t>2.01.02 Frete sobre Vendas</t>
        </is>
      </c>
      <c r="C2200" t="inlineStr">
        <is>
          <t>Antes de 2026</t>
        </is>
      </c>
      <c r="D2200" t="inlineStr">
        <is>
          <t>Antes de 2026</t>
        </is>
      </c>
      <c r="E2200" s="28" t="n">
        <v>45939</v>
      </c>
      <c r="F2200" t="inlineStr">
        <is>
          <t>CT-e</t>
        </is>
      </c>
      <c r="G2200" t="inlineStr">
        <is>
          <t>000005420</t>
        </is>
      </c>
      <c r="H2200" t="inlineStr">
        <is>
          <t>R&amp;R TRANSPORTE E LOGISTICA</t>
        </is>
      </c>
      <c r="J2200" s="29" t="n">
        <v>45.38</v>
      </c>
      <c r="K2200" s="29">
        <f>(1-ISNUMBER(SEARCH("556",M2200)))*(O2200*SUMIFS(Premissas!$C$5:$C$44,Premissas!$A$5:$A$44,$A2200,Premissas!$B$5:$B$44,$B2200)+P2200*SUMIFS(Premissas!$D$5:$D$44,Premissas!$A$5:$A$44,$A2200,Premissas!$B$5:$B$44,$B2200))+R2200*SUMIFS(Premissas!$E$5:$E$44,Premissas!$A$5:$A$44,$A2200,Premissas!$B$5:$B$44,$B2200)+S2200*SUMIFS(Premissas!$F$5:$F$44,Premissas!$A$5:$A$44,$A2200,Premissas!$B$5:$B$44,$B2200)</f>
        <v/>
      </c>
      <c r="L2200" s="29">
        <f>J2200-K2200</f>
        <v/>
      </c>
      <c r="M2200" t="inlineStr">
        <is>
          <t>1.350</t>
        </is>
      </c>
      <c r="N2200" t="inlineStr">
        <is>
          <t>Modalidade: 0 - Por conta do remetente | Parte: CASA DAS EMBALAGENS ARAGUARI LTDA (01.870.495/0001-72)</t>
        </is>
      </c>
      <c r="O2200" s="29" t="n">
        <v>0</v>
      </c>
      <c r="P2200" s="29" t="n">
        <v>0</v>
      </c>
      <c r="Q2200" s="29" t="n">
        <v>0</v>
      </c>
      <c r="R2200" s="29" t="n">
        <v>0</v>
      </c>
      <c r="S2200" s="29" t="n">
        <v>0</v>
      </c>
      <c r="T2200" t="inlineStr">
        <is>
          <t>25251026975620000130570010000054201001701174</t>
        </is>
      </c>
      <c r="U2200" t="inlineStr">
        <is>
          <t>Não</t>
        </is>
      </c>
    </row>
    <row r="2201">
      <c r="A2201" t="inlineStr">
        <is>
          <t>Frete de venda</t>
        </is>
      </c>
      <c r="B2201" t="inlineStr">
        <is>
          <t>2.01.02 Frete sobre Vendas</t>
        </is>
      </c>
      <c r="C2201" t="inlineStr">
        <is>
          <t>Antes de 2026</t>
        </is>
      </c>
      <c r="D2201" t="inlineStr">
        <is>
          <t>Antes de 2026</t>
        </is>
      </c>
      <c r="E2201" s="28" t="n">
        <v>45939</v>
      </c>
      <c r="F2201" t="inlineStr">
        <is>
          <t>CT-e</t>
        </is>
      </c>
      <c r="G2201" t="inlineStr">
        <is>
          <t>000005421</t>
        </is>
      </c>
      <c r="H2201" t="inlineStr">
        <is>
          <t>R&amp;R TRANSPORTE E LOGISTICA</t>
        </is>
      </c>
      <c r="J2201" s="29" t="n">
        <v>36.42</v>
      </c>
      <c r="K2201" s="29">
        <f>(1-ISNUMBER(SEARCH("556",M2201)))*(O2201*SUMIFS(Premissas!$C$5:$C$44,Premissas!$A$5:$A$44,$A2201,Premissas!$B$5:$B$44,$B2201)+P2201*SUMIFS(Premissas!$D$5:$D$44,Premissas!$A$5:$A$44,$A2201,Premissas!$B$5:$B$44,$B2201))+R2201*SUMIFS(Premissas!$E$5:$E$44,Premissas!$A$5:$A$44,$A2201,Premissas!$B$5:$B$44,$B2201)+S2201*SUMIFS(Premissas!$F$5:$F$44,Premissas!$A$5:$A$44,$A2201,Premissas!$B$5:$B$44,$B2201)</f>
        <v/>
      </c>
      <c r="L2201" s="29">
        <f>J2201-K2201</f>
        <v/>
      </c>
      <c r="M2201" t="inlineStr">
        <is>
          <t>1.350</t>
        </is>
      </c>
      <c r="N2201" t="inlineStr">
        <is>
          <t>Modalidade: 0 - Por conta do remetente | Parte: DISTRIBUIDORA ISAGAM LTDA (41.809.575/0001-37)</t>
        </is>
      </c>
      <c r="O2201" s="29" t="n">
        <v>0</v>
      </c>
      <c r="P2201" s="29" t="n">
        <v>0</v>
      </c>
      <c r="Q2201" s="29" t="n">
        <v>0</v>
      </c>
      <c r="R2201" s="29" t="n">
        <v>0</v>
      </c>
      <c r="S2201" s="29" t="n">
        <v>0</v>
      </c>
      <c r="T2201" t="inlineStr">
        <is>
          <t>25251026975620000130570010000054211001401259</t>
        </is>
      </c>
      <c r="U2201" t="inlineStr">
        <is>
          <t>Não</t>
        </is>
      </c>
    </row>
    <row r="2202">
      <c r="A2202" t="inlineStr">
        <is>
          <t>Frete de venda</t>
        </is>
      </c>
      <c r="B2202" t="inlineStr">
        <is>
          <t>2.01.02 Frete sobre Vendas</t>
        </is>
      </c>
      <c r="C2202" t="inlineStr">
        <is>
          <t>Antes de 2026</t>
        </is>
      </c>
      <c r="D2202" t="inlineStr">
        <is>
          <t>Antes de 2026</t>
        </is>
      </c>
      <c r="E2202" s="28" t="n">
        <v>45939</v>
      </c>
      <c r="F2202" t="inlineStr">
        <is>
          <t>CT-e</t>
        </is>
      </c>
      <c r="G2202" t="inlineStr">
        <is>
          <t>000005422</t>
        </is>
      </c>
      <c r="H2202" t="inlineStr">
        <is>
          <t>R&amp;R TRANSPORTE E LOGISTICA</t>
        </is>
      </c>
      <c r="J2202" s="29" t="n">
        <v>43.58</v>
      </c>
      <c r="K2202" s="29">
        <f>(1-ISNUMBER(SEARCH("556",M2202)))*(O2202*SUMIFS(Premissas!$C$5:$C$44,Premissas!$A$5:$A$44,$A2202,Premissas!$B$5:$B$44,$B2202)+P2202*SUMIFS(Premissas!$D$5:$D$44,Premissas!$A$5:$A$44,$A2202,Premissas!$B$5:$B$44,$B2202))+R2202*SUMIFS(Premissas!$E$5:$E$44,Premissas!$A$5:$A$44,$A2202,Premissas!$B$5:$B$44,$B2202)+S2202*SUMIFS(Premissas!$F$5:$F$44,Premissas!$A$5:$A$44,$A2202,Premissas!$B$5:$B$44,$B2202)</f>
        <v/>
      </c>
      <c r="L2202" s="29">
        <f>J2202-K2202</f>
        <v/>
      </c>
      <c r="M2202" t="inlineStr">
        <is>
          <t>1.350</t>
        </is>
      </c>
      <c r="N2202" t="inlineStr">
        <is>
          <t>Modalidade: 0 - Por conta do remetente | Parte: OPCAO DISTRIBUIDORA COMERCIAL LTDA (42.801.738/0001-06)</t>
        </is>
      </c>
      <c r="O2202" s="29" t="n">
        <v>0</v>
      </c>
      <c r="P2202" s="29" t="n">
        <v>0</v>
      </c>
      <c r="Q2202" s="29" t="n">
        <v>0</v>
      </c>
      <c r="R2202" s="29" t="n">
        <v>0</v>
      </c>
      <c r="S2202" s="29" t="n">
        <v>0</v>
      </c>
      <c r="T2202" t="inlineStr">
        <is>
          <t>25251026975620000130570010000054221001101333</t>
        </is>
      </c>
      <c r="U2202" t="inlineStr">
        <is>
          <t>Não</t>
        </is>
      </c>
    </row>
    <row r="2203">
      <c r="A2203" t="inlineStr">
        <is>
          <t>Frete de venda</t>
        </is>
      </c>
      <c r="B2203" t="inlineStr">
        <is>
          <t>2.01.02 Frete sobre Vendas</t>
        </is>
      </c>
      <c r="C2203" t="inlineStr">
        <is>
          <t>Antes de 2026</t>
        </is>
      </c>
      <c r="D2203" t="inlineStr">
        <is>
          <t>Antes de 2026</t>
        </is>
      </c>
      <c r="E2203" s="28" t="n">
        <v>45939</v>
      </c>
      <c r="F2203" t="inlineStr">
        <is>
          <t>CT-e</t>
        </is>
      </c>
      <c r="G2203" t="inlineStr">
        <is>
          <t>000005423</t>
        </is>
      </c>
      <c r="H2203" t="inlineStr">
        <is>
          <t>R&amp;R TRANSPORTE E LOGISTICA</t>
        </is>
      </c>
      <c r="J2203" s="29" t="n">
        <v>30.4</v>
      </c>
      <c r="K2203" s="29">
        <f>(1-ISNUMBER(SEARCH("556",M2203)))*(O2203*SUMIFS(Premissas!$C$5:$C$44,Premissas!$A$5:$A$44,$A2203,Premissas!$B$5:$B$44,$B2203)+P2203*SUMIFS(Premissas!$D$5:$D$44,Premissas!$A$5:$A$44,$A2203,Premissas!$B$5:$B$44,$B2203))+R2203*SUMIFS(Premissas!$E$5:$E$44,Premissas!$A$5:$A$44,$A2203,Premissas!$B$5:$B$44,$B2203)+S2203*SUMIFS(Premissas!$F$5:$F$44,Premissas!$A$5:$A$44,$A2203,Premissas!$B$5:$B$44,$B2203)</f>
        <v/>
      </c>
      <c r="L2203" s="29">
        <f>J2203-K2203</f>
        <v/>
      </c>
      <c r="M2203" t="inlineStr">
        <is>
          <t>1.350</t>
        </is>
      </c>
      <c r="N2203" t="inlineStr">
        <is>
          <t>Modalidade: 0 - Por conta do remetente | Parte: 55.072.859 MOISES DIVINO DE OLIVEIRA (55.072.859/0001-06)</t>
        </is>
      </c>
      <c r="O2203" s="29" t="n">
        <v>0</v>
      </c>
      <c r="P2203" s="29" t="n">
        <v>0</v>
      </c>
      <c r="Q2203" s="29" t="n">
        <v>0</v>
      </c>
      <c r="R2203" s="29" t="n">
        <v>0</v>
      </c>
      <c r="S2203" s="29" t="n">
        <v>0</v>
      </c>
      <c r="T2203" t="inlineStr">
        <is>
          <t>25251026975620000130570010000054231001901418</t>
        </is>
      </c>
      <c r="U2203" t="inlineStr">
        <is>
          <t>Não</t>
        </is>
      </c>
    </row>
    <row r="2204">
      <c r="A2204" t="inlineStr">
        <is>
          <t>Frete de venda</t>
        </is>
      </c>
      <c r="B2204" t="inlineStr">
        <is>
          <t>2.01.02 Frete sobre Vendas</t>
        </is>
      </c>
      <c r="C2204" t="inlineStr">
        <is>
          <t>Antes de 2026</t>
        </is>
      </c>
      <c r="D2204" t="inlineStr">
        <is>
          <t>Antes de 2026</t>
        </is>
      </c>
      <c r="E2204" s="28" t="n">
        <v>45939</v>
      </c>
      <c r="F2204" t="inlineStr">
        <is>
          <t>CT-e</t>
        </is>
      </c>
      <c r="G2204" t="inlineStr">
        <is>
          <t>000005424</t>
        </is>
      </c>
      <c r="H2204" t="inlineStr">
        <is>
          <t>R&amp;R TRANSPORTE E LOGISTICA</t>
        </is>
      </c>
      <c r="J2204" s="29" t="n">
        <v>39.53</v>
      </c>
      <c r="K2204" s="29">
        <f>(1-ISNUMBER(SEARCH("556",M2204)))*(O2204*SUMIFS(Premissas!$C$5:$C$44,Premissas!$A$5:$A$44,$A2204,Premissas!$B$5:$B$44,$B2204)+P2204*SUMIFS(Premissas!$D$5:$D$44,Premissas!$A$5:$A$44,$A2204,Premissas!$B$5:$B$44,$B2204))+R2204*SUMIFS(Premissas!$E$5:$E$44,Premissas!$A$5:$A$44,$A2204,Premissas!$B$5:$B$44,$B2204)+S2204*SUMIFS(Premissas!$F$5:$F$44,Premissas!$A$5:$A$44,$A2204,Premissas!$B$5:$B$44,$B2204)</f>
        <v/>
      </c>
      <c r="L2204" s="29">
        <f>J2204-K2204</f>
        <v/>
      </c>
      <c r="M2204" t="inlineStr">
        <is>
          <t>1.350</t>
        </is>
      </c>
      <c r="N2204" t="inlineStr">
        <is>
          <t>Modalidade: 0 - Por conta do remetente | Parte: DISTRIBUIDORA DE EMBALAGENS SUACUI LTDA (10.560.122/0001-96)</t>
        </is>
      </c>
      <c r="O2204" s="29" t="n">
        <v>0</v>
      </c>
      <c r="P2204" s="29" t="n">
        <v>0</v>
      </c>
      <c r="Q2204" s="29" t="n">
        <v>0</v>
      </c>
      <c r="R2204" s="29" t="n">
        <v>0</v>
      </c>
      <c r="S2204" s="29" t="n">
        <v>0</v>
      </c>
      <c r="T2204" t="inlineStr">
        <is>
          <t>25251026975620000130570010000054241001601497</t>
        </is>
      </c>
      <c r="U2204" t="inlineStr">
        <is>
          <t>Não</t>
        </is>
      </c>
    </row>
    <row r="2205">
      <c r="A2205" t="inlineStr">
        <is>
          <t>Frete de venda</t>
        </is>
      </c>
      <c r="B2205" t="inlineStr">
        <is>
          <t>2.01.02 Frete sobre Vendas</t>
        </is>
      </c>
      <c r="C2205" t="inlineStr">
        <is>
          <t>Antes de 2026</t>
        </is>
      </c>
      <c r="D2205" t="inlineStr">
        <is>
          <t>Antes de 2026</t>
        </is>
      </c>
      <c r="E2205" s="28" t="n">
        <v>45939</v>
      </c>
      <c r="F2205" t="inlineStr">
        <is>
          <t>CT-e</t>
        </is>
      </c>
      <c r="G2205" t="inlineStr">
        <is>
          <t>000005425</t>
        </is>
      </c>
      <c r="H2205" t="inlineStr">
        <is>
          <t>R&amp;R TRANSPORTE E LOGISTICA</t>
        </is>
      </c>
      <c r="J2205" s="29" t="n">
        <v>156.47</v>
      </c>
      <c r="K2205" s="29">
        <f>(1-ISNUMBER(SEARCH("556",M2205)))*(O2205*SUMIFS(Premissas!$C$5:$C$44,Premissas!$A$5:$A$44,$A2205,Premissas!$B$5:$B$44,$B2205)+P2205*SUMIFS(Premissas!$D$5:$D$44,Premissas!$A$5:$A$44,$A2205,Premissas!$B$5:$B$44,$B2205))+R2205*SUMIFS(Premissas!$E$5:$E$44,Premissas!$A$5:$A$44,$A2205,Premissas!$B$5:$B$44,$B2205)+S2205*SUMIFS(Premissas!$F$5:$F$44,Premissas!$A$5:$A$44,$A2205,Premissas!$B$5:$B$44,$B2205)</f>
        <v/>
      </c>
      <c r="L2205" s="29">
        <f>J2205-K2205</f>
        <v/>
      </c>
      <c r="M2205" t="inlineStr">
        <is>
          <t>1.350</t>
        </is>
      </c>
      <c r="N2205" t="inlineStr">
        <is>
          <t>Modalidade: 0 - Por conta do remetente | Parte: COAGRO CONTAGEM AGRO INDUSTRIA LTDA (47.793.980/0001-90)</t>
        </is>
      </c>
      <c r="O2205" s="29" t="n">
        <v>0</v>
      </c>
      <c r="P2205" s="29" t="n">
        <v>0</v>
      </c>
      <c r="Q2205" s="29" t="n">
        <v>0</v>
      </c>
      <c r="R2205" s="29" t="n">
        <v>0</v>
      </c>
      <c r="S2205" s="29" t="n">
        <v>0</v>
      </c>
      <c r="T2205" t="inlineStr">
        <is>
          <t>25251026975620000130570010000054251001301571</t>
        </is>
      </c>
      <c r="U2205" t="inlineStr">
        <is>
          <t>Não</t>
        </is>
      </c>
    </row>
    <row r="2206">
      <c r="A2206" t="inlineStr">
        <is>
          <t>Frete de venda</t>
        </is>
      </c>
      <c r="B2206" t="inlineStr">
        <is>
          <t>2.01.02 Frete sobre Vendas</t>
        </is>
      </c>
      <c r="C2206" t="inlineStr">
        <is>
          <t>Antes de 2026</t>
        </is>
      </c>
      <c r="D2206" t="inlineStr">
        <is>
          <t>Antes de 2026</t>
        </is>
      </c>
      <c r="E2206" s="28" t="n">
        <v>45939</v>
      </c>
      <c r="F2206" t="inlineStr">
        <is>
          <t>CT-e</t>
        </is>
      </c>
      <c r="G2206" t="inlineStr">
        <is>
          <t>000005426</t>
        </is>
      </c>
      <c r="H2206" t="inlineStr">
        <is>
          <t>R&amp;R TRANSPORTE E LOGISTICA</t>
        </is>
      </c>
      <c r="J2206" s="29" t="n">
        <v>67.31999999999999</v>
      </c>
      <c r="K2206" s="29">
        <f>(1-ISNUMBER(SEARCH("556",M2206)))*(O2206*SUMIFS(Premissas!$C$5:$C$44,Premissas!$A$5:$A$44,$A2206,Premissas!$B$5:$B$44,$B2206)+P2206*SUMIFS(Premissas!$D$5:$D$44,Premissas!$A$5:$A$44,$A2206,Premissas!$B$5:$B$44,$B2206))+R2206*SUMIFS(Premissas!$E$5:$E$44,Premissas!$A$5:$A$44,$A2206,Premissas!$B$5:$B$44,$B2206)+S2206*SUMIFS(Premissas!$F$5:$F$44,Premissas!$A$5:$A$44,$A2206,Premissas!$B$5:$B$44,$B2206)</f>
        <v/>
      </c>
      <c r="L2206" s="29">
        <f>J2206-K2206</f>
        <v/>
      </c>
      <c r="M2206" t="inlineStr">
        <is>
          <t>1.350</t>
        </is>
      </c>
      <c r="N2206" t="inlineStr">
        <is>
          <t>Modalidade: 0 - Por conta do remetente | Parte: RODRIGUES e DIAS COMERCIO DE HORTIFRUTI GRANJEIROS LTDA (09.143.905/0001-95)</t>
        </is>
      </c>
      <c r="O2206" s="29" t="n">
        <v>0</v>
      </c>
      <c r="P2206" s="29" t="n">
        <v>0</v>
      </c>
      <c r="Q2206" s="29" t="n">
        <v>0</v>
      </c>
      <c r="R2206" s="29" t="n">
        <v>0</v>
      </c>
      <c r="S2206" s="29" t="n">
        <v>0</v>
      </c>
      <c r="T2206" t="inlineStr">
        <is>
          <t>25251026975620000130570010000054261000101657</t>
        </is>
      </c>
      <c r="U2206" t="inlineStr">
        <is>
          <t>Não</t>
        </is>
      </c>
    </row>
    <row r="2207">
      <c r="A2207" t="inlineStr">
        <is>
          <t>Frete de venda</t>
        </is>
      </c>
      <c r="B2207" t="inlineStr">
        <is>
          <t>2.01.02 Frete sobre Vendas</t>
        </is>
      </c>
      <c r="C2207" t="inlineStr">
        <is>
          <t>Antes de 2026</t>
        </is>
      </c>
      <c r="D2207" t="inlineStr">
        <is>
          <t>Antes de 2026</t>
        </is>
      </c>
      <c r="E2207" s="28" t="n">
        <v>45939</v>
      </c>
      <c r="F2207" t="inlineStr">
        <is>
          <t>CT-e</t>
        </is>
      </c>
      <c r="G2207" t="inlineStr">
        <is>
          <t>000005435</t>
        </is>
      </c>
      <c r="H2207" t="inlineStr">
        <is>
          <t>R&amp;R TRANSPORTE E LOGISTICA</t>
        </is>
      </c>
      <c r="J2207" s="29" t="n">
        <v>276</v>
      </c>
      <c r="K2207" s="29">
        <f>(1-ISNUMBER(SEARCH("556",M2207)))*(O2207*SUMIFS(Premissas!$C$5:$C$44,Premissas!$A$5:$A$44,$A2207,Premissas!$B$5:$B$44,$B2207)+P2207*SUMIFS(Premissas!$D$5:$D$44,Premissas!$A$5:$A$44,$A2207,Premissas!$B$5:$B$44,$B2207))+R2207*SUMIFS(Premissas!$E$5:$E$44,Premissas!$A$5:$A$44,$A2207,Premissas!$B$5:$B$44,$B2207)+S2207*SUMIFS(Premissas!$F$5:$F$44,Premissas!$A$5:$A$44,$A2207,Premissas!$B$5:$B$44,$B2207)</f>
        <v/>
      </c>
      <c r="L2207" s="29">
        <f>J2207-K2207</f>
        <v/>
      </c>
      <c r="M2207" t="inlineStr">
        <is>
          <t>1.350</t>
        </is>
      </c>
      <c r="N2207" t="inlineStr">
        <is>
          <t>Modalidade: 0 - Por conta do remetente | Parte: DML DISTRIBUIDORA DE ALIMENTOS E EMBALAGENS LTDA (07.412.776/0001-68)</t>
        </is>
      </c>
      <c r="O2207" s="29" t="n">
        <v>0</v>
      </c>
      <c r="P2207" s="29" t="n">
        <v>0</v>
      </c>
      <c r="Q2207" s="29" t="n">
        <v>0</v>
      </c>
      <c r="R2207" s="29" t="n">
        <v>0</v>
      </c>
      <c r="S2207" s="29" t="n">
        <v>0</v>
      </c>
      <c r="T2207" t="inlineStr">
        <is>
          <t>25251026975620000130570010000054351000170950</t>
        </is>
      </c>
      <c r="U2207" t="inlineStr">
        <is>
          <t>Não</t>
        </is>
      </c>
    </row>
    <row r="2208">
      <c r="A2208" t="inlineStr">
        <is>
          <t>Frete de venda</t>
        </is>
      </c>
      <c r="B2208" t="inlineStr">
        <is>
          <t>2.01.02 Frete sobre Vendas</t>
        </is>
      </c>
      <c r="C2208" t="inlineStr">
        <is>
          <t>Antes de 2026</t>
        </is>
      </c>
      <c r="D2208" t="inlineStr">
        <is>
          <t>Antes de 2026</t>
        </is>
      </c>
      <c r="E2208" s="28" t="n">
        <v>45940</v>
      </c>
      <c r="F2208" t="inlineStr">
        <is>
          <t>CT-e</t>
        </is>
      </c>
      <c r="G2208" t="inlineStr">
        <is>
          <t>000005436</t>
        </is>
      </c>
      <c r="H2208" t="inlineStr">
        <is>
          <t>R&amp;R TRANSPORTE E LOGISTICA</t>
        </is>
      </c>
      <c r="J2208" s="29" t="n">
        <v>20.09</v>
      </c>
      <c r="K2208" s="29">
        <f>(1-ISNUMBER(SEARCH("556",M2208)))*(O2208*SUMIFS(Premissas!$C$5:$C$44,Premissas!$A$5:$A$44,$A2208,Premissas!$B$5:$B$44,$B2208)+P2208*SUMIFS(Premissas!$D$5:$D$44,Premissas!$A$5:$A$44,$A2208,Premissas!$B$5:$B$44,$B2208))+R2208*SUMIFS(Premissas!$E$5:$E$44,Premissas!$A$5:$A$44,$A2208,Premissas!$B$5:$B$44,$B2208)+S2208*SUMIFS(Premissas!$F$5:$F$44,Premissas!$A$5:$A$44,$A2208,Premissas!$B$5:$B$44,$B2208)</f>
        <v/>
      </c>
      <c r="L2208" s="29">
        <f>J2208-K2208</f>
        <v/>
      </c>
      <c r="M2208" t="inlineStr">
        <is>
          <t>1.350</t>
        </is>
      </c>
      <c r="N2208" t="inlineStr">
        <is>
          <t>Modalidade: 0 - Por conta do remetente | Parte: VLE COMERCIO DE EMBALAGENS E MATERIAL DE LIMPEZA LTDA (52.682.999/0001-08)</t>
        </is>
      </c>
      <c r="O2208" s="29" t="n">
        <v>0</v>
      </c>
      <c r="P2208" s="29" t="n">
        <v>0</v>
      </c>
      <c r="Q2208" s="29" t="n">
        <v>0</v>
      </c>
      <c r="R2208" s="29" t="n">
        <v>0</v>
      </c>
      <c r="S2208" s="29" t="n">
        <v>0</v>
      </c>
      <c r="T2208" t="inlineStr">
        <is>
          <t>25251026975620000130570010000054361001701506</t>
        </is>
      </c>
      <c r="U2208" t="inlineStr">
        <is>
          <t>Não</t>
        </is>
      </c>
    </row>
    <row r="2209">
      <c r="A2209" t="inlineStr">
        <is>
          <t>Frete de venda</t>
        </is>
      </c>
      <c r="B2209" t="inlineStr">
        <is>
          <t>2.01.02 Frete sobre Vendas</t>
        </is>
      </c>
      <c r="C2209" t="inlineStr">
        <is>
          <t>Antes de 2026</t>
        </is>
      </c>
      <c r="D2209" t="inlineStr">
        <is>
          <t>Antes de 2026</t>
        </is>
      </c>
      <c r="E2209" s="28" t="n">
        <v>45940</v>
      </c>
      <c r="F2209" t="inlineStr">
        <is>
          <t>CT-e</t>
        </is>
      </c>
      <c r="G2209" t="inlineStr">
        <is>
          <t>000005437</t>
        </is>
      </c>
      <c r="H2209" t="inlineStr">
        <is>
          <t>R&amp;R TRANSPORTE E LOGISTICA</t>
        </is>
      </c>
      <c r="J2209" s="29" t="n">
        <v>20.04</v>
      </c>
      <c r="K2209" s="29">
        <f>(1-ISNUMBER(SEARCH("556",M2209)))*(O2209*SUMIFS(Premissas!$C$5:$C$44,Premissas!$A$5:$A$44,$A2209,Premissas!$B$5:$B$44,$B2209)+P2209*SUMIFS(Premissas!$D$5:$D$44,Premissas!$A$5:$A$44,$A2209,Premissas!$B$5:$B$44,$B2209))+R2209*SUMIFS(Premissas!$E$5:$E$44,Premissas!$A$5:$A$44,$A2209,Premissas!$B$5:$B$44,$B2209)+S2209*SUMIFS(Premissas!$F$5:$F$44,Premissas!$A$5:$A$44,$A2209,Premissas!$B$5:$B$44,$B2209)</f>
        <v/>
      </c>
      <c r="L2209" s="29">
        <f>J2209-K2209</f>
        <v/>
      </c>
      <c r="M2209" t="inlineStr">
        <is>
          <t>1.350</t>
        </is>
      </c>
      <c r="N2209" t="inlineStr">
        <is>
          <t>Modalidade: 0 - Por conta do remetente | Parte: R.J COMERCIO DE EMBALAGENS LTDA (38.204.536/0001-00)</t>
        </is>
      </c>
      <c r="O2209" s="29" t="n">
        <v>0</v>
      </c>
      <c r="P2209" s="29" t="n">
        <v>0</v>
      </c>
      <c r="Q2209" s="29" t="n">
        <v>0</v>
      </c>
      <c r="R2209" s="29" t="n">
        <v>0</v>
      </c>
      <c r="S2209" s="29" t="n">
        <v>0</v>
      </c>
      <c r="T2209" t="inlineStr">
        <is>
          <t>25251026975620000130570010000054371000180852</t>
        </is>
      </c>
      <c r="U2209" t="inlineStr">
        <is>
          <t>Não</t>
        </is>
      </c>
    </row>
    <row r="2210">
      <c r="A2210" t="inlineStr">
        <is>
          <t>Frete de venda</t>
        </is>
      </c>
      <c r="B2210" t="inlineStr">
        <is>
          <t>2.01.02 Frete sobre Vendas</t>
        </is>
      </c>
      <c r="C2210" t="inlineStr">
        <is>
          <t>Antes de 2026</t>
        </is>
      </c>
      <c r="D2210" t="inlineStr">
        <is>
          <t>Antes de 2026</t>
        </is>
      </c>
      <c r="E2210" s="28" t="n">
        <v>45940</v>
      </c>
      <c r="F2210" t="inlineStr">
        <is>
          <t>CT-e</t>
        </is>
      </c>
      <c r="G2210" t="inlineStr">
        <is>
          <t>000005438</t>
        </is>
      </c>
      <c r="H2210" t="inlineStr">
        <is>
          <t>R&amp;R TRANSPORTE E LOGISTICA</t>
        </is>
      </c>
      <c r="J2210" s="29" t="n">
        <v>22.47</v>
      </c>
      <c r="K2210" s="29">
        <f>(1-ISNUMBER(SEARCH("556",M2210)))*(O2210*SUMIFS(Premissas!$C$5:$C$44,Premissas!$A$5:$A$44,$A2210,Premissas!$B$5:$B$44,$B2210)+P2210*SUMIFS(Premissas!$D$5:$D$44,Premissas!$A$5:$A$44,$A2210,Premissas!$B$5:$B$44,$B2210))+R2210*SUMIFS(Premissas!$E$5:$E$44,Premissas!$A$5:$A$44,$A2210,Premissas!$B$5:$B$44,$B2210)+S2210*SUMIFS(Premissas!$F$5:$F$44,Premissas!$A$5:$A$44,$A2210,Premissas!$B$5:$B$44,$B2210)</f>
        <v/>
      </c>
      <c r="L2210" s="29">
        <f>J2210-K2210</f>
        <v/>
      </c>
      <c r="M2210" t="inlineStr">
        <is>
          <t>1.350</t>
        </is>
      </c>
      <c r="N2210" t="inlineStr">
        <is>
          <t>Modalidade: 0 - Por conta do remetente | Parte: BA EMBALAGENS COM ATACADISTA DE EMBALAGENS E BOMBONIERI (09.048.003/0001-70)</t>
        </is>
      </c>
      <c r="O2210" s="29" t="n">
        <v>0</v>
      </c>
      <c r="P2210" s="29" t="n">
        <v>0</v>
      </c>
      <c r="Q2210" s="29" t="n">
        <v>0</v>
      </c>
      <c r="R2210" s="29" t="n">
        <v>0</v>
      </c>
      <c r="S2210" s="29" t="n">
        <v>0</v>
      </c>
      <c r="T2210" t="inlineStr">
        <is>
          <t>25251026975620000130570010000054381000150934</t>
        </is>
      </c>
      <c r="U2210" t="inlineStr">
        <is>
          <t>Não</t>
        </is>
      </c>
    </row>
    <row r="2211">
      <c r="A2211" t="inlineStr">
        <is>
          <t>Frete de venda</t>
        </is>
      </c>
      <c r="B2211" t="inlineStr">
        <is>
          <t>2.01.02 Frete sobre Vendas</t>
        </is>
      </c>
      <c r="C2211" t="inlineStr">
        <is>
          <t>Antes de 2026</t>
        </is>
      </c>
      <c r="D2211" t="inlineStr">
        <is>
          <t>Antes de 2026</t>
        </is>
      </c>
      <c r="E2211" s="28" t="n">
        <v>45940</v>
      </c>
      <c r="F2211" t="inlineStr">
        <is>
          <t>CT-e</t>
        </is>
      </c>
      <c r="G2211" t="inlineStr">
        <is>
          <t>000005439</t>
        </is>
      </c>
      <c r="H2211" t="inlineStr">
        <is>
          <t>R&amp;R TRANSPORTE E LOGISTICA</t>
        </is>
      </c>
      <c r="J2211" s="29" t="n">
        <v>20.43</v>
      </c>
      <c r="K2211" s="29">
        <f>(1-ISNUMBER(SEARCH("556",M2211)))*(O2211*SUMIFS(Premissas!$C$5:$C$44,Premissas!$A$5:$A$44,$A2211,Premissas!$B$5:$B$44,$B2211)+P2211*SUMIFS(Premissas!$D$5:$D$44,Premissas!$A$5:$A$44,$A2211,Premissas!$B$5:$B$44,$B2211))+R2211*SUMIFS(Premissas!$E$5:$E$44,Premissas!$A$5:$A$44,$A2211,Premissas!$B$5:$B$44,$B2211)+S2211*SUMIFS(Premissas!$F$5:$F$44,Premissas!$A$5:$A$44,$A2211,Premissas!$B$5:$B$44,$B2211)</f>
        <v/>
      </c>
      <c r="L2211" s="29">
        <f>J2211-K2211</f>
        <v/>
      </c>
      <c r="M2211" t="inlineStr">
        <is>
          <t>1.350</t>
        </is>
      </c>
      <c r="N2211" t="inlineStr">
        <is>
          <t>Modalidade: 0 - Por conta do remetente | Parte: GABRIEL ROCHA DA CRUZ (53.721.083/0001-74)</t>
        </is>
      </c>
      <c r="O2211" s="29" t="n">
        <v>0</v>
      </c>
      <c r="P2211" s="29" t="n">
        <v>0</v>
      </c>
      <c r="Q2211" s="29" t="n">
        <v>0</v>
      </c>
      <c r="R2211" s="29" t="n">
        <v>0</v>
      </c>
      <c r="S2211" s="29" t="n">
        <v>0</v>
      </c>
      <c r="T2211" t="inlineStr">
        <is>
          <t>25251026975620000130570010000054391001201017</t>
        </is>
      </c>
      <c r="U2211" t="inlineStr">
        <is>
          <t>Não</t>
        </is>
      </c>
    </row>
    <row r="2212">
      <c r="A2212" t="inlineStr">
        <is>
          <t>Frete de venda</t>
        </is>
      </c>
      <c r="B2212" t="inlineStr">
        <is>
          <t>2.01.02 Frete sobre Vendas</t>
        </is>
      </c>
      <c r="C2212" t="inlineStr">
        <is>
          <t>Antes de 2026</t>
        </is>
      </c>
      <c r="D2212" t="inlineStr">
        <is>
          <t>Antes de 2026</t>
        </is>
      </c>
      <c r="E2212" s="28" t="n">
        <v>45940</v>
      </c>
      <c r="F2212" t="inlineStr">
        <is>
          <t>CT-e</t>
        </is>
      </c>
      <c r="G2212" t="inlineStr">
        <is>
          <t>000005440</t>
        </is>
      </c>
      <c r="H2212" t="inlineStr">
        <is>
          <t>R&amp;R TRANSPORTE E LOGISTICA</t>
        </is>
      </c>
      <c r="J2212" s="29" t="n">
        <v>19.66</v>
      </c>
      <c r="K2212" s="29">
        <f>(1-ISNUMBER(SEARCH("556",M2212)))*(O2212*SUMIFS(Premissas!$C$5:$C$44,Premissas!$A$5:$A$44,$A2212,Premissas!$B$5:$B$44,$B2212)+P2212*SUMIFS(Premissas!$D$5:$D$44,Premissas!$A$5:$A$44,$A2212,Premissas!$B$5:$B$44,$B2212))+R2212*SUMIFS(Premissas!$E$5:$E$44,Premissas!$A$5:$A$44,$A2212,Premissas!$B$5:$B$44,$B2212)+S2212*SUMIFS(Premissas!$F$5:$F$44,Premissas!$A$5:$A$44,$A2212,Premissas!$B$5:$B$44,$B2212)</f>
        <v/>
      </c>
      <c r="L2212" s="29">
        <f>J2212-K2212</f>
        <v/>
      </c>
      <c r="M2212" t="inlineStr">
        <is>
          <t>1.350</t>
        </is>
      </c>
      <c r="N2212" t="inlineStr">
        <is>
          <t>Modalidade: 0 - Por conta do remetente | Parte: W BRANDAO FREITAS LTDA (07.044.972/0001-27)</t>
        </is>
      </c>
      <c r="O2212" s="29" t="n">
        <v>0</v>
      </c>
      <c r="P2212" s="29" t="n">
        <v>0</v>
      </c>
      <c r="Q2212" s="29" t="n">
        <v>0</v>
      </c>
      <c r="R2212" s="29" t="n">
        <v>0</v>
      </c>
      <c r="S2212" s="29" t="n">
        <v>0</v>
      </c>
      <c r="T2212" t="inlineStr">
        <is>
          <t>25251026975620000130570010000054401011001097</t>
        </is>
      </c>
      <c r="U2212" t="inlineStr">
        <is>
          <t>Não</t>
        </is>
      </c>
    </row>
    <row r="2213">
      <c r="A2213" t="inlineStr">
        <is>
          <t>Frete de venda</t>
        </is>
      </c>
      <c r="B2213" t="inlineStr">
        <is>
          <t>2.01.02 Frete sobre Vendas</t>
        </is>
      </c>
      <c r="C2213" t="inlineStr">
        <is>
          <t>Antes de 2026</t>
        </is>
      </c>
      <c r="D2213" t="inlineStr">
        <is>
          <t>Antes de 2026</t>
        </is>
      </c>
      <c r="E2213" s="28" t="n">
        <v>45940</v>
      </c>
      <c r="F2213" t="inlineStr">
        <is>
          <t>CT-e</t>
        </is>
      </c>
      <c r="G2213" t="inlineStr">
        <is>
          <t>000005441</t>
        </is>
      </c>
      <c r="H2213" t="inlineStr">
        <is>
          <t>R&amp;R TRANSPORTE E LOGISTICA</t>
        </is>
      </c>
      <c r="J2213" s="29" t="n">
        <v>21.33</v>
      </c>
      <c r="K2213" s="29">
        <f>(1-ISNUMBER(SEARCH("556",M2213)))*(O2213*SUMIFS(Premissas!$C$5:$C$44,Premissas!$A$5:$A$44,$A2213,Premissas!$B$5:$B$44,$B2213)+P2213*SUMIFS(Premissas!$D$5:$D$44,Premissas!$A$5:$A$44,$A2213,Premissas!$B$5:$B$44,$B2213))+R2213*SUMIFS(Premissas!$E$5:$E$44,Premissas!$A$5:$A$44,$A2213,Premissas!$B$5:$B$44,$B2213)+S2213*SUMIFS(Premissas!$F$5:$F$44,Premissas!$A$5:$A$44,$A2213,Premissas!$B$5:$B$44,$B2213)</f>
        <v/>
      </c>
      <c r="L2213" s="29">
        <f>J2213-K2213</f>
        <v/>
      </c>
      <c r="M2213" t="inlineStr">
        <is>
          <t>1.350</t>
        </is>
      </c>
      <c r="N2213" t="inlineStr">
        <is>
          <t>Modalidade: 0 - Por conta do remetente | Parte: JOANICE COMERCIAL DE EMBALAGENS E CONFEITARIA LTDA (50.350.203/0001-86)</t>
        </is>
      </c>
      <c r="O2213" s="29" t="n">
        <v>0</v>
      </c>
      <c r="P2213" s="29" t="n">
        <v>0</v>
      </c>
      <c r="Q2213" s="29" t="n">
        <v>0</v>
      </c>
      <c r="R2213" s="29" t="n">
        <v>0</v>
      </c>
      <c r="S2213" s="29" t="n">
        <v>0</v>
      </c>
      <c r="T2213" t="inlineStr">
        <is>
          <t>25251026975620000130570010000054411001701174</t>
        </is>
      </c>
      <c r="U2213" t="inlineStr">
        <is>
          <t>Não</t>
        </is>
      </c>
    </row>
    <row r="2214">
      <c r="A2214" t="inlineStr">
        <is>
          <t>Frete de venda</t>
        </is>
      </c>
      <c r="B2214" t="inlineStr">
        <is>
          <t>2.01.02 Frete sobre Vendas</t>
        </is>
      </c>
      <c r="C2214" t="inlineStr">
        <is>
          <t>Antes de 2026</t>
        </is>
      </c>
      <c r="D2214" t="inlineStr">
        <is>
          <t>Antes de 2026</t>
        </is>
      </c>
      <c r="E2214" s="28" t="n">
        <v>45940</v>
      </c>
      <c r="F2214" t="inlineStr">
        <is>
          <t>CT-e</t>
        </is>
      </c>
      <c r="G2214" t="inlineStr">
        <is>
          <t>000005442</t>
        </is>
      </c>
      <c r="H2214" t="inlineStr">
        <is>
          <t>R&amp;R TRANSPORTE E LOGISTICA</t>
        </is>
      </c>
      <c r="J2214" s="29" t="n">
        <v>20.86</v>
      </c>
      <c r="K2214" s="29">
        <f>(1-ISNUMBER(SEARCH("556",M2214)))*(O2214*SUMIFS(Premissas!$C$5:$C$44,Premissas!$A$5:$A$44,$A2214,Premissas!$B$5:$B$44,$B2214)+P2214*SUMIFS(Premissas!$D$5:$D$44,Premissas!$A$5:$A$44,$A2214,Premissas!$B$5:$B$44,$B2214))+R2214*SUMIFS(Premissas!$E$5:$E$44,Premissas!$A$5:$A$44,$A2214,Premissas!$B$5:$B$44,$B2214)+S2214*SUMIFS(Premissas!$F$5:$F$44,Premissas!$A$5:$A$44,$A2214,Premissas!$B$5:$B$44,$B2214)</f>
        <v/>
      </c>
      <c r="L2214" s="29">
        <f>J2214-K2214</f>
        <v/>
      </c>
      <c r="M2214" t="inlineStr">
        <is>
          <t>1.350</t>
        </is>
      </c>
      <c r="N2214" t="inlineStr">
        <is>
          <t>Modalidade: 0 - Por conta do remetente | Parte: MARIO ROCHA RIBEIRO PINTO (49.606.818/0001-41)</t>
        </is>
      </c>
      <c r="O2214" s="29" t="n">
        <v>0</v>
      </c>
      <c r="P2214" s="29" t="n">
        <v>0</v>
      </c>
      <c r="Q2214" s="29" t="n">
        <v>0</v>
      </c>
      <c r="R2214" s="29" t="n">
        <v>0</v>
      </c>
      <c r="S2214" s="29" t="n">
        <v>0</v>
      </c>
      <c r="T2214" t="inlineStr">
        <is>
          <t>25251026975620000130570010000054421001401259</t>
        </is>
      </c>
      <c r="U2214" t="inlineStr">
        <is>
          <t>Não</t>
        </is>
      </c>
    </row>
    <row r="2215">
      <c r="A2215" t="inlineStr">
        <is>
          <t>Frete de venda</t>
        </is>
      </c>
      <c r="B2215" t="inlineStr">
        <is>
          <t>2.01.02 Frete sobre Vendas</t>
        </is>
      </c>
      <c r="C2215" t="inlineStr">
        <is>
          <t>Antes de 2026</t>
        </is>
      </c>
      <c r="D2215" t="inlineStr">
        <is>
          <t>Antes de 2026</t>
        </is>
      </c>
      <c r="E2215" s="28" t="n">
        <v>45940</v>
      </c>
      <c r="F2215" t="inlineStr">
        <is>
          <t>CT-e</t>
        </is>
      </c>
      <c r="G2215" t="inlineStr">
        <is>
          <t>000005443</t>
        </is>
      </c>
      <c r="H2215" t="inlineStr">
        <is>
          <t>R&amp;R TRANSPORTE E LOGISTICA</t>
        </is>
      </c>
      <c r="J2215" s="29" t="n">
        <v>21.64</v>
      </c>
      <c r="K2215" s="29">
        <f>(1-ISNUMBER(SEARCH("556",M2215)))*(O2215*SUMIFS(Premissas!$C$5:$C$44,Premissas!$A$5:$A$44,$A2215,Premissas!$B$5:$B$44,$B2215)+P2215*SUMIFS(Premissas!$D$5:$D$44,Premissas!$A$5:$A$44,$A2215,Premissas!$B$5:$B$44,$B2215))+R2215*SUMIFS(Premissas!$E$5:$E$44,Premissas!$A$5:$A$44,$A2215,Premissas!$B$5:$B$44,$B2215)+S2215*SUMIFS(Premissas!$F$5:$F$44,Premissas!$A$5:$A$44,$A2215,Premissas!$B$5:$B$44,$B2215)</f>
        <v/>
      </c>
      <c r="L2215" s="29">
        <f>J2215-K2215</f>
        <v/>
      </c>
      <c r="M2215" t="inlineStr">
        <is>
          <t>1.350</t>
        </is>
      </c>
      <c r="N2215" t="inlineStr">
        <is>
          <t>Modalidade: 0 - Por conta do remetente | Parte: Reicosta comercio de embalagens e alimentos ltda (26.112.407/0001-02)</t>
        </is>
      </c>
      <c r="O2215" s="29" t="n">
        <v>0</v>
      </c>
      <c r="P2215" s="29" t="n">
        <v>0</v>
      </c>
      <c r="Q2215" s="29" t="n">
        <v>0</v>
      </c>
      <c r="R2215" s="29" t="n">
        <v>0</v>
      </c>
      <c r="S2215" s="29" t="n">
        <v>0</v>
      </c>
      <c r="T2215" t="inlineStr">
        <is>
          <t>25251026975620000130570010000054431001101333</t>
        </is>
      </c>
      <c r="U2215" t="inlineStr">
        <is>
          <t>Não</t>
        </is>
      </c>
    </row>
    <row r="2216">
      <c r="A2216" t="inlineStr">
        <is>
          <t>Frete de venda</t>
        </is>
      </c>
      <c r="B2216" t="inlineStr">
        <is>
          <t>2.01.02 Frete sobre Vendas</t>
        </is>
      </c>
      <c r="C2216" t="inlineStr">
        <is>
          <t>Antes de 2026</t>
        </is>
      </c>
      <c r="D2216" t="inlineStr">
        <is>
          <t>Antes de 2026</t>
        </is>
      </c>
      <c r="E2216" s="28" t="n">
        <v>45940</v>
      </c>
      <c r="F2216" t="inlineStr">
        <is>
          <t>CT-e</t>
        </is>
      </c>
      <c r="G2216" t="inlineStr">
        <is>
          <t>000005444</t>
        </is>
      </c>
      <c r="H2216" t="inlineStr">
        <is>
          <t>R&amp;R TRANSPORTE E LOGISTICA</t>
        </is>
      </c>
      <c r="J2216" s="29" t="n">
        <v>21.33</v>
      </c>
      <c r="K2216" s="29">
        <f>(1-ISNUMBER(SEARCH("556",M2216)))*(O2216*SUMIFS(Premissas!$C$5:$C$44,Premissas!$A$5:$A$44,$A2216,Premissas!$B$5:$B$44,$B2216)+P2216*SUMIFS(Premissas!$D$5:$D$44,Premissas!$A$5:$A$44,$A2216,Premissas!$B$5:$B$44,$B2216))+R2216*SUMIFS(Premissas!$E$5:$E$44,Premissas!$A$5:$A$44,$A2216,Premissas!$B$5:$B$44,$B2216)+S2216*SUMIFS(Premissas!$F$5:$F$44,Premissas!$A$5:$A$44,$A2216,Premissas!$B$5:$B$44,$B2216)</f>
        <v/>
      </c>
      <c r="L2216" s="29">
        <f>J2216-K2216</f>
        <v/>
      </c>
      <c r="M2216" t="inlineStr">
        <is>
          <t>1.350</t>
        </is>
      </c>
      <c r="N2216" t="inlineStr">
        <is>
          <t>Modalidade: 0 - Por conta do remetente | Parte: R S SOUSA E CIA LTDA (21.535.767/0001-95)</t>
        </is>
      </c>
      <c r="O2216" s="29" t="n">
        <v>0</v>
      </c>
      <c r="P2216" s="29" t="n">
        <v>0</v>
      </c>
      <c r="Q2216" s="29" t="n">
        <v>0</v>
      </c>
      <c r="R2216" s="29" t="n">
        <v>0</v>
      </c>
      <c r="S2216" s="29" t="n">
        <v>0</v>
      </c>
      <c r="T2216" t="inlineStr">
        <is>
          <t>25251026975620000130570010000054441001901418</t>
        </is>
      </c>
      <c r="U2216" t="inlineStr">
        <is>
          <t>Não</t>
        </is>
      </c>
    </row>
    <row r="2217">
      <c r="A2217" t="inlineStr">
        <is>
          <t>Frete de venda</t>
        </is>
      </c>
      <c r="B2217" t="inlineStr">
        <is>
          <t>2.01.02 Frete sobre Vendas</t>
        </is>
      </c>
      <c r="C2217" t="inlineStr">
        <is>
          <t>Antes de 2026</t>
        </is>
      </c>
      <c r="D2217" t="inlineStr">
        <is>
          <t>Antes de 2026</t>
        </is>
      </c>
      <c r="E2217" s="28" t="n">
        <v>45940</v>
      </c>
      <c r="F2217" t="inlineStr">
        <is>
          <t>CT-e</t>
        </is>
      </c>
      <c r="G2217" t="inlineStr">
        <is>
          <t>000005445</t>
        </is>
      </c>
      <c r="H2217" t="inlineStr">
        <is>
          <t>R&amp;R TRANSPORTE E LOGISTICA</t>
        </is>
      </c>
      <c r="J2217" s="29" t="n">
        <v>21.33</v>
      </c>
      <c r="K2217" s="29">
        <f>(1-ISNUMBER(SEARCH("556",M2217)))*(O2217*SUMIFS(Premissas!$C$5:$C$44,Premissas!$A$5:$A$44,$A2217,Premissas!$B$5:$B$44,$B2217)+P2217*SUMIFS(Premissas!$D$5:$D$44,Premissas!$A$5:$A$44,$A2217,Premissas!$B$5:$B$44,$B2217))+R2217*SUMIFS(Premissas!$E$5:$E$44,Premissas!$A$5:$A$44,$A2217,Premissas!$B$5:$B$44,$B2217)+S2217*SUMIFS(Premissas!$F$5:$F$44,Premissas!$A$5:$A$44,$A2217,Premissas!$B$5:$B$44,$B2217)</f>
        <v/>
      </c>
      <c r="L2217" s="29">
        <f>J2217-K2217</f>
        <v/>
      </c>
      <c r="M2217" t="inlineStr">
        <is>
          <t>1.350</t>
        </is>
      </c>
      <c r="N2217" t="inlineStr">
        <is>
          <t>Modalidade: 0 - Por conta do remetente | Parte: SANTA RITA BOMBONIERE LTDA (24.978.123/0001-60)</t>
        </is>
      </c>
      <c r="O2217" s="29" t="n">
        <v>0</v>
      </c>
      <c r="P2217" s="29" t="n">
        <v>0</v>
      </c>
      <c r="Q2217" s="29" t="n">
        <v>0</v>
      </c>
      <c r="R2217" s="29" t="n">
        <v>0</v>
      </c>
      <c r="S2217" s="29" t="n">
        <v>0</v>
      </c>
      <c r="T2217" t="inlineStr">
        <is>
          <t>25251026975620000130570010000054451001601497</t>
        </is>
      </c>
      <c r="U2217" t="inlineStr">
        <is>
          <t>Não</t>
        </is>
      </c>
    </row>
    <row r="2218">
      <c r="A2218" t="inlineStr">
        <is>
          <t>Frete de venda</t>
        </is>
      </c>
      <c r="B2218" t="inlineStr">
        <is>
          <t>2.01.02 Frete sobre Vendas</t>
        </is>
      </c>
      <c r="C2218" t="inlineStr">
        <is>
          <t>Antes de 2026</t>
        </is>
      </c>
      <c r="D2218" t="inlineStr">
        <is>
          <t>Antes de 2026</t>
        </is>
      </c>
      <c r="E2218" s="28" t="n">
        <v>45943</v>
      </c>
      <c r="F2218" t="inlineStr">
        <is>
          <t>CT-e</t>
        </is>
      </c>
      <c r="G2218" t="inlineStr">
        <is>
          <t>000005451</t>
        </is>
      </c>
      <c r="H2218" t="inlineStr">
        <is>
          <t>R&amp;R TRANSPORTE E LOGISTICA</t>
        </is>
      </c>
      <c r="J2218" s="29" t="n">
        <v>467</v>
      </c>
      <c r="K2218" s="29">
        <f>(1-ISNUMBER(SEARCH("556",M2218)))*(O2218*SUMIFS(Premissas!$C$5:$C$44,Premissas!$A$5:$A$44,$A2218,Premissas!$B$5:$B$44,$B2218)+P2218*SUMIFS(Premissas!$D$5:$D$44,Premissas!$A$5:$A$44,$A2218,Premissas!$B$5:$B$44,$B2218))+R2218*SUMIFS(Premissas!$E$5:$E$44,Premissas!$A$5:$A$44,$A2218,Premissas!$B$5:$B$44,$B2218)+S2218*SUMIFS(Premissas!$F$5:$F$44,Premissas!$A$5:$A$44,$A2218,Premissas!$B$5:$B$44,$B2218)</f>
        <v/>
      </c>
      <c r="L2218" s="29">
        <f>J2218-K2218</f>
        <v/>
      </c>
      <c r="M2218" t="inlineStr">
        <is>
          <t>1.350</t>
        </is>
      </c>
      <c r="N2218" t="inlineStr">
        <is>
          <t>Modalidade: 0 - Por conta do remetente | Parte: C M OLIVEIRA ATACADO (41.098.526/0001-33)</t>
        </is>
      </c>
      <c r="O2218" s="29" t="n">
        <v>0</v>
      </c>
      <c r="P2218" s="29" t="n">
        <v>0</v>
      </c>
      <c r="Q2218" s="29" t="n">
        <v>0</v>
      </c>
      <c r="R2218" s="29" t="n">
        <v>0</v>
      </c>
      <c r="S2218" s="29" t="n">
        <v>0</v>
      </c>
      <c r="T2218" t="inlineStr">
        <is>
          <t>25251026975620000130570010000054511001701618</t>
        </is>
      </c>
      <c r="U2218" t="inlineStr">
        <is>
          <t>Não</t>
        </is>
      </c>
    </row>
    <row r="2219">
      <c r="A2219" t="inlineStr">
        <is>
          <t>Frete de venda</t>
        </is>
      </c>
      <c r="B2219" t="inlineStr">
        <is>
          <t>2.01.02 Frete sobre Vendas</t>
        </is>
      </c>
      <c r="C2219" t="inlineStr">
        <is>
          <t>Antes de 2026</t>
        </is>
      </c>
      <c r="D2219" t="inlineStr">
        <is>
          <t>Antes de 2026</t>
        </is>
      </c>
      <c r="E2219" s="28" t="n">
        <v>45943</v>
      </c>
      <c r="F2219" t="inlineStr">
        <is>
          <t>CT-e</t>
        </is>
      </c>
      <c r="G2219" t="inlineStr">
        <is>
          <t>000005452</t>
        </is>
      </c>
      <c r="H2219" t="inlineStr">
        <is>
          <t>R&amp;R TRANSPORTE E LOGISTICA</t>
        </is>
      </c>
      <c r="J2219" s="29" t="n">
        <v>467</v>
      </c>
      <c r="K2219" s="29">
        <f>(1-ISNUMBER(SEARCH("556",M2219)))*(O2219*SUMIFS(Premissas!$C$5:$C$44,Premissas!$A$5:$A$44,$A2219,Premissas!$B$5:$B$44,$B2219)+P2219*SUMIFS(Premissas!$D$5:$D$44,Premissas!$A$5:$A$44,$A2219,Premissas!$B$5:$B$44,$B2219))+R2219*SUMIFS(Premissas!$E$5:$E$44,Premissas!$A$5:$A$44,$A2219,Premissas!$B$5:$B$44,$B2219)+S2219*SUMIFS(Premissas!$F$5:$F$44,Premissas!$A$5:$A$44,$A2219,Premissas!$B$5:$B$44,$B2219)</f>
        <v/>
      </c>
      <c r="L2219" s="29">
        <f>J2219-K2219</f>
        <v/>
      </c>
      <c r="M2219" t="inlineStr">
        <is>
          <t>1.350</t>
        </is>
      </c>
      <c r="N2219" t="inlineStr">
        <is>
          <t>Modalidade: 0 - Por conta do remetente | Parte: COMERCIAL PROLAC LTDA. (07.182.763/0001-40)</t>
        </is>
      </c>
      <c r="O2219" s="29" t="n">
        <v>0</v>
      </c>
      <c r="P2219" s="29" t="n">
        <v>0</v>
      </c>
      <c r="Q2219" s="29" t="n">
        <v>0</v>
      </c>
      <c r="R2219" s="29" t="n">
        <v>0</v>
      </c>
      <c r="S2219" s="29" t="n">
        <v>0</v>
      </c>
      <c r="T2219" t="inlineStr">
        <is>
          <t>25251026975620000130570010000054521001401697</t>
        </is>
      </c>
      <c r="U2219" t="inlineStr">
        <is>
          <t>Não</t>
        </is>
      </c>
    </row>
    <row r="2220">
      <c r="A2220" t="inlineStr">
        <is>
          <t>Frete de venda</t>
        </is>
      </c>
      <c r="B2220" t="inlineStr">
        <is>
          <t>2.01.02 Frete sobre Vendas</t>
        </is>
      </c>
      <c r="C2220" t="inlineStr">
        <is>
          <t>Antes de 2026</t>
        </is>
      </c>
      <c r="D2220" t="inlineStr">
        <is>
          <t>Antes de 2026</t>
        </is>
      </c>
      <c r="E2220" s="28" t="n">
        <v>45943</v>
      </c>
      <c r="F2220" t="inlineStr">
        <is>
          <t>CT-e</t>
        </is>
      </c>
      <c r="G2220" t="inlineStr">
        <is>
          <t>000005453</t>
        </is>
      </c>
      <c r="H2220" t="inlineStr">
        <is>
          <t>R&amp;R TRANSPORTE E LOGISTICA</t>
        </is>
      </c>
      <c r="J2220" s="29" t="n">
        <v>467</v>
      </c>
      <c r="K2220" s="29">
        <f>(1-ISNUMBER(SEARCH("556",M2220)))*(O2220*SUMIFS(Premissas!$C$5:$C$44,Premissas!$A$5:$A$44,$A2220,Premissas!$B$5:$B$44,$B2220)+P2220*SUMIFS(Premissas!$D$5:$D$44,Premissas!$A$5:$A$44,$A2220,Premissas!$B$5:$B$44,$B2220))+R2220*SUMIFS(Premissas!$E$5:$E$44,Premissas!$A$5:$A$44,$A2220,Premissas!$B$5:$B$44,$B2220)+S2220*SUMIFS(Premissas!$F$5:$F$44,Premissas!$A$5:$A$44,$A2220,Premissas!$B$5:$B$44,$B2220)</f>
        <v/>
      </c>
      <c r="L2220" s="29">
        <f>J2220-K2220</f>
        <v/>
      </c>
      <c r="M2220" t="inlineStr">
        <is>
          <t>1.350</t>
        </is>
      </c>
      <c r="N2220" t="inlineStr">
        <is>
          <t>Modalidade: 0 - Por conta do remetente | Parte: FLOR DO NORDESTE DISTRIBUIDORA DE ALIMENTOS LTDA (33.805.700/0001-02)</t>
        </is>
      </c>
      <c r="O2220" s="29" t="n">
        <v>0</v>
      </c>
      <c r="P2220" s="29" t="n">
        <v>0</v>
      </c>
      <c r="Q2220" s="29" t="n">
        <v>0</v>
      </c>
      <c r="R2220" s="29" t="n">
        <v>0</v>
      </c>
      <c r="S2220" s="29" t="n">
        <v>0</v>
      </c>
      <c r="T2220" t="inlineStr">
        <is>
          <t>25251026975620000130570010000054531001101771</t>
        </is>
      </c>
      <c r="U2220" t="inlineStr">
        <is>
          <t>Não</t>
        </is>
      </c>
    </row>
    <row r="2221">
      <c r="A2221" t="inlineStr">
        <is>
          <t>Frete de venda</t>
        </is>
      </c>
      <c r="B2221" t="inlineStr">
        <is>
          <t>2.01.02 Frete sobre Vendas</t>
        </is>
      </c>
      <c r="C2221" t="inlineStr">
        <is>
          <t>Antes de 2026</t>
        </is>
      </c>
      <c r="D2221" t="inlineStr">
        <is>
          <t>Antes de 2026</t>
        </is>
      </c>
      <c r="E2221" s="28" t="n">
        <v>45943</v>
      </c>
      <c r="F2221" t="inlineStr">
        <is>
          <t>CT-e</t>
        </is>
      </c>
      <c r="G2221" t="inlineStr">
        <is>
          <t>000005455</t>
        </is>
      </c>
      <c r="H2221" t="inlineStr">
        <is>
          <t>R&amp;R TRANSPORTE E LOGISTICA</t>
        </is>
      </c>
      <c r="J2221" s="29" t="n">
        <v>140</v>
      </c>
      <c r="K2221" s="29">
        <f>(1-ISNUMBER(SEARCH("556",M2221)))*(O2221*SUMIFS(Premissas!$C$5:$C$44,Premissas!$A$5:$A$44,$A2221,Premissas!$B$5:$B$44,$B2221)+P2221*SUMIFS(Premissas!$D$5:$D$44,Premissas!$A$5:$A$44,$A2221,Premissas!$B$5:$B$44,$B2221))+R2221*SUMIFS(Premissas!$E$5:$E$44,Premissas!$A$5:$A$44,$A2221,Premissas!$B$5:$B$44,$B2221)+S2221*SUMIFS(Premissas!$F$5:$F$44,Premissas!$A$5:$A$44,$A2221,Premissas!$B$5:$B$44,$B2221)</f>
        <v/>
      </c>
      <c r="L2221" s="29">
        <f>J2221-K2221</f>
        <v/>
      </c>
      <c r="M2221" t="inlineStr">
        <is>
          <t>1.350</t>
        </is>
      </c>
      <c r="N2221" t="inlineStr">
        <is>
          <t>Modalidade: 0 - Por conta do remetente | Parte: MACROPAC PROTECAO E EMBALAGEM LTDA (11.840.014/0001-30)</t>
        </is>
      </c>
      <c r="O2221" s="29" t="n">
        <v>0</v>
      </c>
      <c r="P2221" s="29" t="n">
        <v>0</v>
      </c>
      <c r="Q2221" s="29" t="n">
        <v>0</v>
      </c>
      <c r="R2221" s="29" t="n">
        <v>0</v>
      </c>
      <c r="S2221" s="29" t="n">
        <v>0</v>
      </c>
      <c r="T2221" t="inlineStr">
        <is>
          <t>25251026975620000130570010000054551000101764</t>
        </is>
      </c>
      <c r="U2221" t="inlineStr">
        <is>
          <t>Não</t>
        </is>
      </c>
    </row>
    <row r="2222">
      <c r="A2222" t="inlineStr">
        <is>
          <t>Frete de venda</t>
        </is>
      </c>
      <c r="B2222" t="inlineStr">
        <is>
          <t>2.01.02 Frete sobre Vendas</t>
        </is>
      </c>
      <c r="C2222" t="inlineStr">
        <is>
          <t>Antes de 2026</t>
        </is>
      </c>
      <c r="D2222" t="inlineStr">
        <is>
          <t>Antes de 2026</t>
        </is>
      </c>
      <c r="E2222" s="28" t="n">
        <v>45943</v>
      </c>
      <c r="F2222" t="inlineStr">
        <is>
          <t>CT-e</t>
        </is>
      </c>
      <c r="G2222" t="inlineStr">
        <is>
          <t>000005456</t>
        </is>
      </c>
      <c r="H2222" t="inlineStr">
        <is>
          <t>R&amp;R TRANSPORTE E LOGISTICA</t>
        </is>
      </c>
      <c r="J2222" s="29" t="n">
        <v>140</v>
      </c>
      <c r="K2222" s="29">
        <f>(1-ISNUMBER(SEARCH("556",M2222)))*(O2222*SUMIFS(Premissas!$C$5:$C$44,Premissas!$A$5:$A$44,$A2222,Premissas!$B$5:$B$44,$B2222)+P2222*SUMIFS(Premissas!$D$5:$D$44,Premissas!$A$5:$A$44,$A2222,Premissas!$B$5:$B$44,$B2222))+R2222*SUMIFS(Premissas!$E$5:$E$44,Premissas!$A$5:$A$44,$A2222,Premissas!$B$5:$B$44,$B2222)+S2222*SUMIFS(Premissas!$F$5:$F$44,Premissas!$A$5:$A$44,$A2222,Premissas!$B$5:$B$44,$B2222)</f>
        <v/>
      </c>
      <c r="L2222" s="29">
        <f>J2222-K2222</f>
        <v/>
      </c>
      <c r="M2222" t="inlineStr">
        <is>
          <t>1.350</t>
        </is>
      </c>
      <c r="N2222" t="inlineStr">
        <is>
          <t>Modalidade: 0 - Por conta do remetente | Parte: G L A RIBEIRO DE LIMA (52.343.782/0001-65)</t>
        </is>
      </c>
      <c r="O2222" s="29" t="n">
        <v>0</v>
      </c>
      <c r="P2222" s="29" t="n">
        <v>0</v>
      </c>
      <c r="Q2222" s="29" t="n">
        <v>0</v>
      </c>
      <c r="R2222" s="29" t="n">
        <v>0</v>
      </c>
      <c r="S2222" s="29" t="n">
        <v>0</v>
      </c>
      <c r="T2222" t="inlineStr">
        <is>
          <t>25251026975620000130570010000054561001801848</t>
        </is>
      </c>
      <c r="U2222" t="inlineStr">
        <is>
          <t>Não</t>
        </is>
      </c>
    </row>
    <row r="2223">
      <c r="A2223" t="inlineStr">
        <is>
          <t>Frete de venda</t>
        </is>
      </c>
      <c r="B2223" t="inlineStr">
        <is>
          <t>2.01.02 Frete sobre Vendas</t>
        </is>
      </c>
      <c r="C2223" t="inlineStr">
        <is>
          <t>Antes de 2026</t>
        </is>
      </c>
      <c r="D2223" t="inlineStr">
        <is>
          <t>Antes de 2026</t>
        </is>
      </c>
      <c r="E2223" s="28" t="n">
        <v>45943</v>
      </c>
      <c r="F2223" t="inlineStr">
        <is>
          <t>CT-e</t>
        </is>
      </c>
      <c r="G2223" t="inlineStr">
        <is>
          <t>000005457</t>
        </is>
      </c>
      <c r="H2223" t="inlineStr">
        <is>
          <t>R&amp;R TRANSPORTE E LOGISTICA</t>
        </is>
      </c>
      <c r="J2223" s="29" t="n">
        <v>140</v>
      </c>
      <c r="K2223" s="29">
        <f>(1-ISNUMBER(SEARCH("556",M2223)))*(O2223*SUMIFS(Premissas!$C$5:$C$44,Premissas!$A$5:$A$44,$A2223,Premissas!$B$5:$B$44,$B2223)+P2223*SUMIFS(Premissas!$D$5:$D$44,Premissas!$A$5:$A$44,$A2223,Premissas!$B$5:$B$44,$B2223))+R2223*SUMIFS(Premissas!$E$5:$E$44,Premissas!$A$5:$A$44,$A2223,Premissas!$B$5:$B$44,$B2223)+S2223*SUMIFS(Premissas!$F$5:$F$44,Premissas!$A$5:$A$44,$A2223,Premissas!$B$5:$B$44,$B2223)</f>
        <v/>
      </c>
      <c r="L2223" s="29">
        <f>J2223-K2223</f>
        <v/>
      </c>
      <c r="M2223" t="inlineStr">
        <is>
          <t>1.350</t>
        </is>
      </c>
      <c r="N2223" t="inlineStr">
        <is>
          <t>Modalidade: 0 - Por conta do remetente | Parte: KATIA CILENE ARAUJO FARIAS COMERCIO (02.991.231/0001-30)</t>
        </is>
      </c>
      <c r="O2223" s="29" t="n">
        <v>0</v>
      </c>
      <c r="P2223" s="29" t="n">
        <v>0</v>
      </c>
      <c r="Q2223" s="29" t="n">
        <v>0</v>
      </c>
      <c r="R2223" s="29" t="n">
        <v>0</v>
      </c>
      <c r="S2223" s="29" t="n">
        <v>0</v>
      </c>
      <c r="T2223" t="inlineStr">
        <is>
          <t>25251026975620000130570010000054571000010550</t>
        </is>
      </c>
      <c r="U2223" t="inlineStr">
        <is>
          <t>Não</t>
        </is>
      </c>
    </row>
    <row r="2224">
      <c r="A2224" t="inlineStr">
        <is>
          <t>Frete de venda</t>
        </is>
      </c>
      <c r="B2224" t="inlineStr">
        <is>
          <t>2.01.02 Frete sobre Vendas</t>
        </is>
      </c>
      <c r="C2224" t="inlineStr">
        <is>
          <t>Antes de 2026</t>
        </is>
      </c>
      <c r="D2224" t="inlineStr">
        <is>
          <t>Antes de 2026</t>
        </is>
      </c>
      <c r="E2224" s="28" t="n">
        <v>45943</v>
      </c>
      <c r="F2224" t="inlineStr">
        <is>
          <t>CT-e</t>
        </is>
      </c>
      <c r="G2224" t="inlineStr">
        <is>
          <t>000005458</t>
        </is>
      </c>
      <c r="H2224" t="inlineStr">
        <is>
          <t>R&amp;R TRANSPORTE E LOGISTICA</t>
        </is>
      </c>
      <c r="J2224" s="29" t="n">
        <v>140</v>
      </c>
      <c r="K2224" s="29">
        <f>(1-ISNUMBER(SEARCH("556",M2224)))*(O2224*SUMIFS(Premissas!$C$5:$C$44,Premissas!$A$5:$A$44,$A2224,Premissas!$B$5:$B$44,$B2224)+P2224*SUMIFS(Premissas!$D$5:$D$44,Premissas!$A$5:$A$44,$A2224,Premissas!$B$5:$B$44,$B2224))+R2224*SUMIFS(Premissas!$E$5:$E$44,Premissas!$A$5:$A$44,$A2224,Premissas!$B$5:$B$44,$B2224)+S2224*SUMIFS(Premissas!$F$5:$F$44,Premissas!$A$5:$A$44,$A2224,Premissas!$B$5:$B$44,$B2224)</f>
        <v/>
      </c>
      <c r="L2224" s="29">
        <f>J2224-K2224</f>
        <v/>
      </c>
      <c r="M2224" t="inlineStr">
        <is>
          <t>1.350</t>
        </is>
      </c>
      <c r="N2224" t="inlineStr">
        <is>
          <t>Modalidade: 0 - Por conta do remetente | Parte: LJ COSTA REGO ARTIGOS PARA FESTA LTDA (10.788.933/0001-49)</t>
        </is>
      </c>
      <c r="O2224" s="29" t="n">
        <v>0</v>
      </c>
      <c r="P2224" s="29" t="n">
        <v>0</v>
      </c>
      <c r="Q2224" s="29" t="n">
        <v>0</v>
      </c>
      <c r="R2224" s="29" t="n">
        <v>0</v>
      </c>
      <c r="S2224" s="29" t="n">
        <v>0</v>
      </c>
      <c r="T2224" t="inlineStr">
        <is>
          <t>25251026975620000130570010000054581000180631</t>
        </is>
      </c>
      <c r="U2224" t="inlineStr">
        <is>
          <t>Não</t>
        </is>
      </c>
    </row>
    <row r="2225">
      <c r="A2225" t="inlineStr">
        <is>
          <t>Frete de venda</t>
        </is>
      </c>
      <c r="B2225" t="inlineStr">
        <is>
          <t>2.01.02 Frete sobre Vendas</t>
        </is>
      </c>
      <c r="C2225" t="inlineStr">
        <is>
          <t>Antes de 2026</t>
        </is>
      </c>
      <c r="D2225" t="inlineStr">
        <is>
          <t>Antes de 2026</t>
        </is>
      </c>
      <c r="E2225" s="28" t="n">
        <v>45943</v>
      </c>
      <c r="F2225" t="inlineStr">
        <is>
          <t>CT-e</t>
        </is>
      </c>
      <c r="G2225" t="inlineStr">
        <is>
          <t>000005459</t>
        </is>
      </c>
      <c r="H2225" t="inlineStr">
        <is>
          <t>R&amp;R TRANSPORTE E LOGISTICA</t>
        </is>
      </c>
      <c r="J2225" s="29" t="n">
        <v>140</v>
      </c>
      <c r="K2225" s="29">
        <f>(1-ISNUMBER(SEARCH("556",M2225)))*(O2225*SUMIFS(Premissas!$C$5:$C$44,Premissas!$A$5:$A$44,$A2225,Premissas!$B$5:$B$44,$B2225)+P2225*SUMIFS(Premissas!$D$5:$D$44,Premissas!$A$5:$A$44,$A2225,Premissas!$B$5:$B$44,$B2225))+R2225*SUMIFS(Premissas!$E$5:$E$44,Premissas!$A$5:$A$44,$A2225,Premissas!$B$5:$B$44,$B2225)+S2225*SUMIFS(Premissas!$F$5:$F$44,Premissas!$A$5:$A$44,$A2225,Premissas!$B$5:$B$44,$B2225)</f>
        <v/>
      </c>
      <c r="L2225" s="29">
        <f>J2225-K2225</f>
        <v/>
      </c>
      <c r="M2225" t="inlineStr">
        <is>
          <t>1.350</t>
        </is>
      </c>
      <c r="N2225" t="inlineStr">
        <is>
          <t>Modalidade: 0 - Por conta do remetente | Parte: JR EMBALAGENS LTDA (05.441.117/0001-24)</t>
        </is>
      </c>
      <c r="O2225" s="29" t="n">
        <v>0</v>
      </c>
      <c r="P2225" s="29" t="n">
        <v>0</v>
      </c>
      <c r="Q2225" s="29" t="n">
        <v>0</v>
      </c>
      <c r="R2225" s="29" t="n">
        <v>0</v>
      </c>
      <c r="S2225" s="29" t="n">
        <v>0</v>
      </c>
      <c r="T2225" t="inlineStr">
        <is>
          <t>25251026975620000130570010000054591000150713</t>
        </is>
      </c>
      <c r="U2225" t="inlineStr">
        <is>
          <t>Não</t>
        </is>
      </c>
    </row>
    <row r="2226">
      <c r="A2226" t="inlineStr">
        <is>
          <t>Frete de venda</t>
        </is>
      </c>
      <c r="B2226" t="inlineStr">
        <is>
          <t>2.01.02 Frete sobre Vendas</t>
        </is>
      </c>
      <c r="C2226" t="inlineStr">
        <is>
          <t>Antes de 2026</t>
        </is>
      </c>
      <c r="D2226" t="inlineStr">
        <is>
          <t>Antes de 2026</t>
        </is>
      </c>
      <c r="E2226" s="28" t="n">
        <v>45944</v>
      </c>
      <c r="F2226" t="inlineStr">
        <is>
          <t>CT-e</t>
        </is>
      </c>
      <c r="G2226" t="inlineStr">
        <is>
          <t>000005464</t>
        </is>
      </c>
      <c r="H2226" t="inlineStr">
        <is>
          <t>R&amp;R TRANSPORTE E LOGISTICA</t>
        </is>
      </c>
      <c r="J2226" s="29" t="n">
        <v>36.34</v>
      </c>
      <c r="K2226" s="29">
        <f>(1-ISNUMBER(SEARCH("556",M2226)))*(O2226*SUMIFS(Premissas!$C$5:$C$44,Premissas!$A$5:$A$44,$A2226,Premissas!$B$5:$B$44,$B2226)+P2226*SUMIFS(Premissas!$D$5:$D$44,Premissas!$A$5:$A$44,$A2226,Premissas!$B$5:$B$44,$B2226))+R2226*SUMIFS(Premissas!$E$5:$E$44,Premissas!$A$5:$A$44,$A2226,Premissas!$B$5:$B$44,$B2226)+S2226*SUMIFS(Premissas!$F$5:$F$44,Premissas!$A$5:$A$44,$A2226,Premissas!$B$5:$B$44,$B2226)</f>
        <v/>
      </c>
      <c r="L2226" s="29">
        <f>J2226-K2226</f>
        <v/>
      </c>
      <c r="M2226" t="inlineStr">
        <is>
          <t>1.350</t>
        </is>
      </c>
      <c r="N2226" t="inlineStr">
        <is>
          <t>Modalidade: 0 - Por conta do remetente | Parte: SHALLON EMBALAGENS LTDA (49.431.842/0001-97)</t>
        </is>
      </c>
      <c r="O2226" s="29" t="n">
        <v>0</v>
      </c>
      <c r="P2226" s="29" t="n">
        <v>0</v>
      </c>
      <c r="Q2226" s="29" t="n">
        <v>0</v>
      </c>
      <c r="R2226" s="29" t="n">
        <v>0</v>
      </c>
      <c r="S2226" s="29" t="n">
        <v>0</v>
      </c>
      <c r="T2226" t="inlineStr">
        <is>
          <t>25251026975620000130570010000054641001101112</t>
        </is>
      </c>
      <c r="U2226" t="inlineStr">
        <is>
          <t>Não</t>
        </is>
      </c>
    </row>
    <row r="2227">
      <c r="A2227" t="inlineStr">
        <is>
          <t>Frete de venda</t>
        </is>
      </c>
      <c r="B2227" t="inlineStr">
        <is>
          <t>2.01.02 Frete sobre Vendas</t>
        </is>
      </c>
      <c r="C2227" t="inlineStr">
        <is>
          <t>Antes de 2026</t>
        </is>
      </c>
      <c r="D2227" t="inlineStr">
        <is>
          <t>Antes de 2026</t>
        </is>
      </c>
      <c r="E2227" s="28" t="n">
        <v>45944</v>
      </c>
      <c r="F2227" t="inlineStr">
        <is>
          <t>CT-e</t>
        </is>
      </c>
      <c r="G2227" t="inlineStr">
        <is>
          <t>000005465</t>
        </is>
      </c>
      <c r="H2227" t="inlineStr">
        <is>
          <t>R&amp;R TRANSPORTE E LOGISTICA</t>
        </is>
      </c>
      <c r="J2227" s="29" t="n">
        <v>32.28</v>
      </c>
      <c r="K2227" s="29">
        <f>(1-ISNUMBER(SEARCH("556",M2227)))*(O2227*SUMIFS(Premissas!$C$5:$C$44,Premissas!$A$5:$A$44,$A2227,Premissas!$B$5:$B$44,$B2227)+P2227*SUMIFS(Premissas!$D$5:$D$44,Premissas!$A$5:$A$44,$A2227,Premissas!$B$5:$B$44,$B2227))+R2227*SUMIFS(Premissas!$E$5:$E$44,Premissas!$A$5:$A$44,$A2227,Premissas!$B$5:$B$44,$B2227)+S2227*SUMIFS(Premissas!$F$5:$F$44,Premissas!$A$5:$A$44,$A2227,Premissas!$B$5:$B$44,$B2227)</f>
        <v/>
      </c>
      <c r="L2227" s="29">
        <f>J2227-K2227</f>
        <v/>
      </c>
      <c r="M2227" t="inlineStr">
        <is>
          <t>1.350</t>
        </is>
      </c>
      <c r="N2227" t="inlineStr">
        <is>
          <t>Modalidade: 0 - Por conta do remetente | Parte: ATACADAO DOS FRIOS LTDA (15.659.135/0001-30)</t>
        </is>
      </c>
      <c r="O2227" s="29" t="n">
        <v>0</v>
      </c>
      <c r="P2227" s="29" t="n">
        <v>0</v>
      </c>
      <c r="Q2227" s="29" t="n">
        <v>0</v>
      </c>
      <c r="R2227" s="29" t="n">
        <v>0</v>
      </c>
      <c r="S2227" s="29" t="n">
        <v>0</v>
      </c>
      <c r="T2227" t="inlineStr">
        <is>
          <t>25251026975620000130570010000054651001901191</t>
        </is>
      </c>
      <c r="U2227" t="inlineStr">
        <is>
          <t>Não</t>
        </is>
      </c>
    </row>
    <row r="2228">
      <c r="A2228" t="inlineStr">
        <is>
          <t>Frete de venda</t>
        </is>
      </c>
      <c r="B2228" t="inlineStr">
        <is>
          <t>2.01.02 Frete sobre Vendas</t>
        </is>
      </c>
      <c r="C2228" t="inlineStr">
        <is>
          <t>Antes de 2026</t>
        </is>
      </c>
      <c r="D2228" t="inlineStr">
        <is>
          <t>Antes de 2026</t>
        </is>
      </c>
      <c r="E2228" s="28" t="n">
        <v>45944</v>
      </c>
      <c r="F2228" t="inlineStr">
        <is>
          <t>CT-e</t>
        </is>
      </c>
      <c r="G2228" t="inlineStr">
        <is>
          <t>000005466</t>
        </is>
      </c>
      <c r="H2228" t="inlineStr">
        <is>
          <t>R&amp;R TRANSPORTE E LOGISTICA</t>
        </is>
      </c>
      <c r="J2228" s="29" t="n">
        <v>36.57</v>
      </c>
      <c r="K2228" s="29">
        <f>(1-ISNUMBER(SEARCH("556",M2228)))*(O2228*SUMIFS(Premissas!$C$5:$C$44,Premissas!$A$5:$A$44,$A2228,Premissas!$B$5:$B$44,$B2228)+P2228*SUMIFS(Premissas!$D$5:$D$44,Premissas!$A$5:$A$44,$A2228,Premissas!$B$5:$B$44,$B2228))+R2228*SUMIFS(Premissas!$E$5:$E$44,Premissas!$A$5:$A$44,$A2228,Premissas!$B$5:$B$44,$B2228)+S2228*SUMIFS(Premissas!$F$5:$F$44,Premissas!$A$5:$A$44,$A2228,Premissas!$B$5:$B$44,$B2228)</f>
        <v/>
      </c>
      <c r="L2228" s="29">
        <f>J2228-K2228</f>
        <v/>
      </c>
      <c r="M2228" t="inlineStr">
        <is>
          <t>1.350</t>
        </is>
      </c>
      <c r="N2228" t="inlineStr">
        <is>
          <t>Modalidade: 0 - Por conta do remetente | Parte: IDEAL EMBALAGENS CATALAO LTDA (08.484.201/0001-13)</t>
        </is>
      </c>
      <c r="O2228" s="29" t="n">
        <v>0</v>
      </c>
      <c r="P2228" s="29" t="n">
        <v>0</v>
      </c>
      <c r="Q2228" s="29" t="n">
        <v>0</v>
      </c>
      <c r="R2228" s="29" t="n">
        <v>0</v>
      </c>
      <c r="S2228" s="29" t="n">
        <v>0</v>
      </c>
      <c r="T2228" t="inlineStr">
        <is>
          <t>25251026975620000130570010000054661001601276</t>
        </is>
      </c>
      <c r="U2228" t="inlineStr">
        <is>
          <t>Não</t>
        </is>
      </c>
    </row>
    <row r="2229">
      <c r="A2229" t="inlineStr">
        <is>
          <t>Frete de venda</t>
        </is>
      </c>
      <c r="B2229" t="inlineStr">
        <is>
          <t>2.01.02 Frete sobre Vendas</t>
        </is>
      </c>
      <c r="C2229" t="inlineStr">
        <is>
          <t>Antes de 2026</t>
        </is>
      </c>
      <c r="D2229" t="inlineStr">
        <is>
          <t>Antes de 2026</t>
        </is>
      </c>
      <c r="E2229" s="28" t="n">
        <v>45944</v>
      </c>
      <c r="F2229" t="inlineStr">
        <is>
          <t>CT-e</t>
        </is>
      </c>
      <c r="G2229" t="inlineStr">
        <is>
          <t>000005467</t>
        </is>
      </c>
      <c r="H2229" t="inlineStr">
        <is>
          <t>R&amp;R TRANSPORTE E LOGISTICA</t>
        </is>
      </c>
      <c r="J2229" s="29" t="n">
        <v>49.39</v>
      </c>
      <c r="K2229" s="29">
        <f>(1-ISNUMBER(SEARCH("556",M2229)))*(O2229*SUMIFS(Premissas!$C$5:$C$44,Premissas!$A$5:$A$44,$A2229,Premissas!$B$5:$B$44,$B2229)+P2229*SUMIFS(Premissas!$D$5:$D$44,Premissas!$A$5:$A$44,$A2229,Premissas!$B$5:$B$44,$B2229))+R2229*SUMIFS(Premissas!$E$5:$E$44,Premissas!$A$5:$A$44,$A2229,Premissas!$B$5:$B$44,$B2229)+S2229*SUMIFS(Premissas!$F$5:$F$44,Premissas!$A$5:$A$44,$A2229,Premissas!$B$5:$B$44,$B2229)</f>
        <v/>
      </c>
      <c r="L2229" s="29">
        <f>J2229-K2229</f>
        <v/>
      </c>
      <c r="M2229" t="inlineStr">
        <is>
          <t>1.350</t>
        </is>
      </c>
      <c r="N2229" t="inlineStr">
        <is>
          <t>Modalidade: 0 - Por conta do remetente | Parte: AGM PLASTICOS LTDA (19.429.803/0001-94)</t>
        </is>
      </c>
      <c r="O2229" s="29" t="n">
        <v>0</v>
      </c>
      <c r="P2229" s="29" t="n">
        <v>0</v>
      </c>
      <c r="Q2229" s="29" t="n">
        <v>0</v>
      </c>
      <c r="R2229" s="29" t="n">
        <v>0</v>
      </c>
      <c r="S2229" s="29" t="n">
        <v>0</v>
      </c>
      <c r="T2229" t="inlineStr">
        <is>
          <t>25251026975620000130570010000054671000170627</t>
        </is>
      </c>
      <c r="U2229" t="inlineStr">
        <is>
          <t>Não</t>
        </is>
      </c>
    </row>
    <row r="2230">
      <c r="A2230" t="inlineStr">
        <is>
          <t>Frete de venda</t>
        </is>
      </c>
      <c r="B2230" t="inlineStr">
        <is>
          <t>2.01.02 Frete sobre Vendas</t>
        </is>
      </c>
      <c r="C2230" t="inlineStr">
        <is>
          <t>Antes de 2026</t>
        </is>
      </c>
      <c r="D2230" t="inlineStr">
        <is>
          <t>Antes de 2026</t>
        </is>
      </c>
      <c r="E2230" s="28" t="n">
        <v>45944</v>
      </c>
      <c r="F2230" t="inlineStr">
        <is>
          <t>CT-e</t>
        </is>
      </c>
      <c r="G2230" t="inlineStr">
        <is>
          <t>000005468</t>
        </is>
      </c>
      <c r="H2230" t="inlineStr">
        <is>
          <t>R&amp;R TRANSPORTE E LOGISTICA</t>
        </is>
      </c>
      <c r="J2230" s="29" t="n">
        <v>31.6</v>
      </c>
      <c r="K2230" s="29">
        <f>(1-ISNUMBER(SEARCH("556",M2230)))*(O2230*SUMIFS(Premissas!$C$5:$C$44,Premissas!$A$5:$A$44,$A2230,Premissas!$B$5:$B$44,$B2230)+P2230*SUMIFS(Premissas!$D$5:$D$44,Premissas!$A$5:$A$44,$A2230,Premissas!$B$5:$B$44,$B2230))+R2230*SUMIFS(Premissas!$E$5:$E$44,Premissas!$A$5:$A$44,$A2230,Premissas!$B$5:$B$44,$B2230)+S2230*SUMIFS(Premissas!$F$5:$F$44,Premissas!$A$5:$A$44,$A2230,Premissas!$B$5:$B$44,$B2230)</f>
        <v/>
      </c>
      <c r="L2230" s="29">
        <f>J2230-K2230</f>
        <v/>
      </c>
      <c r="M2230" t="inlineStr">
        <is>
          <t>1.350</t>
        </is>
      </c>
      <c r="N2230" t="inlineStr">
        <is>
          <t>Modalidade: 0 - Por conta do remetente | Parte: SILVA EMBALAGENS LTDA (48.841.796/0001-31)</t>
        </is>
      </c>
      <c r="O2230" s="29" t="n">
        <v>0</v>
      </c>
      <c r="P2230" s="29" t="n">
        <v>0</v>
      </c>
      <c r="Q2230" s="29" t="n">
        <v>0</v>
      </c>
      <c r="R2230" s="29" t="n">
        <v>0</v>
      </c>
      <c r="S2230" s="29" t="n">
        <v>0</v>
      </c>
      <c r="T2230" t="inlineStr">
        <is>
          <t>25251026975620000130570010000054681000140709</t>
        </is>
      </c>
      <c r="U2230" t="inlineStr">
        <is>
          <t>Não</t>
        </is>
      </c>
    </row>
    <row r="2231">
      <c r="A2231" t="inlineStr">
        <is>
          <t>Frete de venda</t>
        </is>
      </c>
      <c r="B2231" t="inlineStr">
        <is>
          <t>2.01.02 Frete sobre Vendas</t>
        </is>
      </c>
      <c r="C2231" t="inlineStr">
        <is>
          <t>Antes de 2026</t>
        </is>
      </c>
      <c r="D2231" t="inlineStr">
        <is>
          <t>Antes de 2026</t>
        </is>
      </c>
      <c r="E2231" s="28" t="n">
        <v>45944</v>
      </c>
      <c r="F2231" t="inlineStr">
        <is>
          <t>CT-e</t>
        </is>
      </c>
      <c r="G2231" t="inlineStr">
        <is>
          <t>000005469</t>
        </is>
      </c>
      <c r="H2231" t="inlineStr">
        <is>
          <t>R&amp;R TRANSPORTE E LOGISTICA</t>
        </is>
      </c>
      <c r="J2231" s="29" t="n">
        <v>33.28</v>
      </c>
      <c r="K2231" s="29">
        <f>(1-ISNUMBER(SEARCH("556",M2231)))*(O2231*SUMIFS(Premissas!$C$5:$C$44,Premissas!$A$5:$A$44,$A2231,Premissas!$B$5:$B$44,$B2231)+P2231*SUMIFS(Premissas!$D$5:$D$44,Premissas!$A$5:$A$44,$A2231,Premissas!$B$5:$B$44,$B2231))+R2231*SUMIFS(Premissas!$E$5:$E$44,Premissas!$A$5:$A$44,$A2231,Premissas!$B$5:$B$44,$B2231)+S2231*SUMIFS(Premissas!$F$5:$F$44,Premissas!$A$5:$A$44,$A2231,Premissas!$B$5:$B$44,$B2231)</f>
        <v/>
      </c>
      <c r="L2231" s="29">
        <f>J2231-K2231</f>
        <v/>
      </c>
      <c r="M2231" t="inlineStr">
        <is>
          <t>1.350</t>
        </is>
      </c>
      <c r="N2231" t="inlineStr">
        <is>
          <t>Modalidade: 0 - Por conta do remetente | Parte: DISTRIBUIDORA SILVA PRODUTOS DE LIMPEZA E EMBALAGENS LTDA (22.825.692/0001-40)</t>
        </is>
      </c>
      <c r="O2231" s="29" t="n">
        <v>0</v>
      </c>
      <c r="P2231" s="29" t="n">
        <v>0</v>
      </c>
      <c r="Q2231" s="29" t="n">
        <v>0</v>
      </c>
      <c r="R2231" s="29" t="n">
        <v>0</v>
      </c>
      <c r="S2231" s="29" t="n">
        <v>0</v>
      </c>
      <c r="T2231" t="inlineStr">
        <is>
          <t>25251026975620000130570010000054691000110785</t>
        </is>
      </c>
      <c r="U2231" t="inlineStr">
        <is>
          <t>Não</t>
        </is>
      </c>
    </row>
    <row r="2232">
      <c r="A2232" t="inlineStr">
        <is>
          <t>Frete de venda</t>
        </is>
      </c>
      <c r="B2232" t="inlineStr">
        <is>
          <t>2.01.02 Frete sobre Vendas</t>
        </is>
      </c>
      <c r="C2232" t="inlineStr">
        <is>
          <t>Antes de 2026</t>
        </is>
      </c>
      <c r="D2232" t="inlineStr">
        <is>
          <t>Antes de 2026</t>
        </is>
      </c>
      <c r="E2232" s="28" t="n">
        <v>45944</v>
      </c>
      <c r="F2232" t="inlineStr">
        <is>
          <t>CT-e</t>
        </is>
      </c>
      <c r="G2232" t="inlineStr">
        <is>
          <t>000005470</t>
        </is>
      </c>
      <c r="H2232" t="inlineStr">
        <is>
          <t>R&amp;R TRANSPORTE E LOGISTICA</t>
        </is>
      </c>
      <c r="J2232" s="29" t="n">
        <v>32.91</v>
      </c>
      <c r="K2232" s="29">
        <f>(1-ISNUMBER(SEARCH("556",M2232)))*(O2232*SUMIFS(Premissas!$C$5:$C$44,Premissas!$A$5:$A$44,$A2232,Premissas!$B$5:$B$44,$B2232)+P2232*SUMIFS(Premissas!$D$5:$D$44,Premissas!$A$5:$A$44,$A2232,Premissas!$B$5:$B$44,$B2232))+R2232*SUMIFS(Premissas!$E$5:$E$44,Premissas!$A$5:$A$44,$A2232,Premissas!$B$5:$B$44,$B2232)+S2232*SUMIFS(Premissas!$F$5:$F$44,Premissas!$A$5:$A$44,$A2232,Premissas!$B$5:$B$44,$B2232)</f>
        <v/>
      </c>
      <c r="L2232" s="29">
        <f>J2232-K2232</f>
        <v/>
      </c>
      <c r="M2232" t="inlineStr">
        <is>
          <t>1.350</t>
        </is>
      </c>
      <c r="N2232" t="inlineStr">
        <is>
          <t>Modalidade: 0 - Por conta do remetente | Parte: SAM EMBALAGENS ATACADO E VAREJO LTDA (48.944.969/0001-47)</t>
        </is>
      </c>
      <c r="O2232" s="29" t="n">
        <v>0</v>
      </c>
      <c r="P2232" s="29" t="n">
        <v>0</v>
      </c>
      <c r="Q2232" s="29" t="n">
        <v>0</v>
      </c>
      <c r="R2232" s="29" t="n">
        <v>0</v>
      </c>
      <c r="S2232" s="29" t="n">
        <v>0</v>
      </c>
      <c r="T2232" t="inlineStr">
        <is>
          <t>25251026975620000130570010000054701000190860</t>
        </is>
      </c>
      <c r="U2232" t="inlineStr">
        <is>
          <t>Não</t>
        </is>
      </c>
    </row>
    <row r="2233">
      <c r="A2233" t="inlineStr">
        <is>
          <t>Frete de venda</t>
        </is>
      </c>
      <c r="B2233" t="inlineStr">
        <is>
          <t>2.01.02 Frete sobre Vendas</t>
        </is>
      </c>
      <c r="C2233" t="inlineStr">
        <is>
          <t>Antes de 2026</t>
        </is>
      </c>
      <c r="D2233" t="inlineStr">
        <is>
          <t>Antes de 2026</t>
        </is>
      </c>
      <c r="E2233" s="28" t="n">
        <v>45944</v>
      </c>
      <c r="F2233" t="inlineStr">
        <is>
          <t>CT-e</t>
        </is>
      </c>
      <c r="G2233" t="inlineStr">
        <is>
          <t>000005471</t>
        </is>
      </c>
      <c r="H2233" t="inlineStr">
        <is>
          <t>R&amp;R TRANSPORTE E LOGISTICA</t>
        </is>
      </c>
      <c r="J2233" s="29" t="n">
        <v>25.86</v>
      </c>
      <c r="K2233" s="29">
        <f>(1-ISNUMBER(SEARCH("556",M2233)))*(O2233*SUMIFS(Premissas!$C$5:$C$44,Premissas!$A$5:$A$44,$A2233,Premissas!$B$5:$B$44,$B2233)+P2233*SUMIFS(Premissas!$D$5:$D$44,Premissas!$A$5:$A$44,$A2233,Premissas!$B$5:$B$44,$B2233))+R2233*SUMIFS(Premissas!$E$5:$E$44,Premissas!$A$5:$A$44,$A2233,Premissas!$B$5:$B$44,$B2233)+S2233*SUMIFS(Premissas!$F$5:$F$44,Premissas!$A$5:$A$44,$A2233,Premissas!$B$5:$B$44,$B2233)</f>
        <v/>
      </c>
      <c r="L2233" s="29">
        <f>J2233-K2233</f>
        <v/>
      </c>
      <c r="M2233" t="inlineStr">
        <is>
          <t>1.350</t>
        </is>
      </c>
      <c r="N2233" t="inlineStr">
        <is>
          <t>Modalidade: 0 - Por conta do remetente | Parte: TEM DE TUDO EMBALAGENS E FESTA LTDA (17.932.921/0001-95)</t>
        </is>
      </c>
      <c r="O2233" s="29" t="n">
        <v>0</v>
      </c>
      <c r="P2233" s="29" t="n">
        <v>0</v>
      </c>
      <c r="Q2233" s="29" t="n">
        <v>0</v>
      </c>
      <c r="R2233" s="29" t="n">
        <v>0</v>
      </c>
      <c r="S2233" s="29" t="n">
        <v>0</v>
      </c>
      <c r="T2233" t="inlineStr">
        <is>
          <t>25251026975620000130570010000054711000160942</t>
        </is>
      </c>
      <c r="U2233" t="inlineStr">
        <is>
          <t>Não</t>
        </is>
      </c>
    </row>
    <row r="2234">
      <c r="A2234" t="inlineStr">
        <is>
          <t>Frete de venda</t>
        </is>
      </c>
      <c r="B2234" t="inlineStr">
        <is>
          <t>2.01.02 Frete sobre Vendas</t>
        </is>
      </c>
      <c r="C2234" t="inlineStr">
        <is>
          <t>Antes de 2026</t>
        </is>
      </c>
      <c r="D2234" t="inlineStr">
        <is>
          <t>Antes de 2026</t>
        </is>
      </c>
      <c r="E2234" s="28" t="n">
        <v>45944</v>
      </c>
      <c r="F2234" t="inlineStr">
        <is>
          <t>CT-e</t>
        </is>
      </c>
      <c r="G2234" t="inlineStr">
        <is>
          <t>000005472</t>
        </is>
      </c>
      <c r="H2234" t="inlineStr">
        <is>
          <t>R&amp;R TRANSPORTE E LOGISTICA</t>
        </is>
      </c>
      <c r="J2234" s="29" t="n">
        <v>49.52</v>
      </c>
      <c r="K2234" s="29">
        <f>(1-ISNUMBER(SEARCH("556",M2234)))*(O2234*SUMIFS(Premissas!$C$5:$C$44,Premissas!$A$5:$A$44,$A2234,Premissas!$B$5:$B$44,$B2234)+P2234*SUMIFS(Premissas!$D$5:$D$44,Premissas!$A$5:$A$44,$A2234,Premissas!$B$5:$B$44,$B2234))+R2234*SUMIFS(Premissas!$E$5:$E$44,Premissas!$A$5:$A$44,$A2234,Premissas!$B$5:$B$44,$B2234)+S2234*SUMIFS(Premissas!$F$5:$F$44,Premissas!$A$5:$A$44,$A2234,Premissas!$B$5:$B$44,$B2234)</f>
        <v/>
      </c>
      <c r="L2234" s="29">
        <f>J2234-K2234</f>
        <v/>
      </c>
      <c r="M2234" t="inlineStr">
        <is>
          <t>1.350</t>
        </is>
      </c>
      <c r="N2234" t="inlineStr">
        <is>
          <t>Modalidade: 0 - Por conta do remetente | Parte: DANIEL HENRIQUE SILVA BORGES E PIRES LTDA (06.901.586/0001-41)</t>
        </is>
      </c>
      <c r="O2234" s="29" t="n">
        <v>0</v>
      </c>
      <c r="P2234" s="29" t="n">
        <v>0</v>
      </c>
      <c r="Q2234" s="29" t="n">
        <v>0</v>
      </c>
      <c r="R2234" s="29" t="n">
        <v>0</v>
      </c>
      <c r="S2234" s="29" t="n">
        <v>0</v>
      </c>
      <c r="T2234" t="inlineStr">
        <is>
          <t>25251026975620000130570010000054721001301024</t>
        </is>
      </c>
      <c r="U2234" t="inlineStr">
        <is>
          <t>Não</t>
        </is>
      </c>
    </row>
    <row r="2235">
      <c r="A2235" t="inlineStr">
        <is>
          <t>Frete de venda</t>
        </is>
      </c>
      <c r="B2235" t="inlineStr">
        <is>
          <t>2.01.02 Frete sobre Vendas</t>
        </is>
      </c>
      <c r="C2235" t="inlineStr">
        <is>
          <t>Antes de 2026</t>
        </is>
      </c>
      <c r="D2235" t="inlineStr">
        <is>
          <t>Antes de 2026</t>
        </is>
      </c>
      <c r="E2235" s="28" t="n">
        <v>45944</v>
      </c>
      <c r="F2235" t="inlineStr">
        <is>
          <t>CT-e</t>
        </is>
      </c>
      <c r="G2235" t="inlineStr">
        <is>
          <t>000005473</t>
        </is>
      </c>
      <c r="H2235" t="inlineStr">
        <is>
          <t>R&amp;R TRANSPORTE E LOGISTICA</t>
        </is>
      </c>
      <c r="J2235" s="29" t="n">
        <v>61.18</v>
      </c>
      <c r="K2235" s="29">
        <f>(1-ISNUMBER(SEARCH("556",M2235)))*(O2235*SUMIFS(Premissas!$C$5:$C$44,Premissas!$A$5:$A$44,$A2235,Premissas!$B$5:$B$44,$B2235)+P2235*SUMIFS(Premissas!$D$5:$D$44,Premissas!$A$5:$A$44,$A2235,Premissas!$B$5:$B$44,$B2235))+R2235*SUMIFS(Premissas!$E$5:$E$44,Premissas!$A$5:$A$44,$A2235,Premissas!$B$5:$B$44,$B2235)+S2235*SUMIFS(Premissas!$F$5:$F$44,Premissas!$A$5:$A$44,$A2235,Premissas!$B$5:$B$44,$B2235)</f>
        <v/>
      </c>
      <c r="L2235" s="29">
        <f>J2235-K2235</f>
        <v/>
      </c>
      <c r="M2235" t="inlineStr">
        <is>
          <t>1.350</t>
        </is>
      </c>
      <c r="N2235" t="inlineStr">
        <is>
          <t>Modalidade: 0 - Por conta do remetente | Parte: SILVA DISTRIBUIDORA DE EMBALAGENS LTDA (31.362.906/0001-80)</t>
        </is>
      </c>
      <c r="O2235" s="29" t="n">
        <v>0</v>
      </c>
      <c r="P2235" s="29" t="n">
        <v>0</v>
      </c>
      <c r="Q2235" s="29" t="n">
        <v>0</v>
      </c>
      <c r="R2235" s="29" t="n">
        <v>0</v>
      </c>
      <c r="S2235" s="29" t="n">
        <v>0</v>
      </c>
      <c r="T2235" t="inlineStr">
        <is>
          <t>25251026975620000130570010000054731000101100</t>
        </is>
      </c>
      <c r="U2235" t="inlineStr">
        <is>
          <t>Não</t>
        </is>
      </c>
    </row>
    <row r="2236">
      <c r="A2236" t="inlineStr">
        <is>
          <t>Frete de venda</t>
        </is>
      </c>
      <c r="B2236" t="inlineStr">
        <is>
          <t>2.01.02 Frete sobre Vendas</t>
        </is>
      </c>
      <c r="C2236" t="inlineStr">
        <is>
          <t>Antes de 2026</t>
        </is>
      </c>
      <c r="D2236" t="inlineStr">
        <is>
          <t>Antes de 2026</t>
        </is>
      </c>
      <c r="E2236" s="28" t="n">
        <v>45945</v>
      </c>
      <c r="F2236" t="inlineStr">
        <is>
          <t>CT-e</t>
        </is>
      </c>
      <c r="G2236" t="inlineStr">
        <is>
          <t>000005479</t>
        </is>
      </c>
      <c r="H2236" t="inlineStr">
        <is>
          <t>R&amp;R TRANSPORTE E LOGISTICA</t>
        </is>
      </c>
      <c r="J2236" s="29" t="n">
        <v>78.08</v>
      </c>
      <c r="K2236" s="29">
        <f>(1-ISNUMBER(SEARCH("556",M2236)))*(O2236*SUMIFS(Premissas!$C$5:$C$44,Premissas!$A$5:$A$44,$A2236,Premissas!$B$5:$B$44,$B2236)+P2236*SUMIFS(Premissas!$D$5:$D$44,Premissas!$A$5:$A$44,$A2236,Premissas!$B$5:$B$44,$B2236))+R2236*SUMIFS(Premissas!$E$5:$E$44,Premissas!$A$5:$A$44,$A2236,Premissas!$B$5:$B$44,$B2236)+S2236*SUMIFS(Premissas!$F$5:$F$44,Premissas!$A$5:$A$44,$A2236,Premissas!$B$5:$B$44,$B2236)</f>
        <v/>
      </c>
      <c r="L2236" s="29">
        <f>J2236-K2236</f>
        <v/>
      </c>
      <c r="M2236" t="inlineStr">
        <is>
          <t>1.350</t>
        </is>
      </c>
      <c r="N2236" t="inlineStr">
        <is>
          <t>Modalidade: 0 - Por conta do remetente | Parte: POPULAR COMERCIO DE MERCADORIAS EM GERAL LTDA (32.323.706/0001-80)</t>
        </is>
      </c>
      <c r="O2236" s="29" t="n">
        <v>0</v>
      </c>
      <c r="P2236" s="29" t="n">
        <v>0</v>
      </c>
      <c r="Q2236" s="29" t="n">
        <v>0</v>
      </c>
      <c r="R2236" s="29" t="n">
        <v>0</v>
      </c>
      <c r="S2236" s="29" t="n">
        <v>0</v>
      </c>
      <c r="T2236" t="inlineStr">
        <is>
          <t>25251026975620000130570010000054791001701619</t>
        </is>
      </c>
      <c r="U2236" t="inlineStr">
        <is>
          <t>Não</t>
        </is>
      </c>
    </row>
    <row r="2237">
      <c r="A2237" t="inlineStr">
        <is>
          <t>Frete de venda</t>
        </is>
      </c>
      <c r="B2237" t="inlineStr">
        <is>
          <t>2.01.02 Frete sobre Vendas</t>
        </is>
      </c>
      <c r="C2237" t="inlineStr">
        <is>
          <t>Antes de 2026</t>
        </is>
      </c>
      <c r="D2237" t="inlineStr">
        <is>
          <t>Antes de 2026</t>
        </is>
      </c>
      <c r="E2237" s="28" t="n">
        <v>45945</v>
      </c>
      <c r="F2237" t="inlineStr">
        <is>
          <t>CT-e</t>
        </is>
      </c>
      <c r="G2237" t="inlineStr">
        <is>
          <t>000005480</t>
        </is>
      </c>
      <c r="H2237" t="inlineStr">
        <is>
          <t>R&amp;R TRANSPORTE E LOGISTICA</t>
        </is>
      </c>
      <c r="J2237" s="29" t="n">
        <v>78.31</v>
      </c>
      <c r="K2237" s="29">
        <f>(1-ISNUMBER(SEARCH("556",M2237)))*(O2237*SUMIFS(Premissas!$C$5:$C$44,Premissas!$A$5:$A$44,$A2237,Premissas!$B$5:$B$44,$B2237)+P2237*SUMIFS(Premissas!$D$5:$D$44,Premissas!$A$5:$A$44,$A2237,Premissas!$B$5:$B$44,$B2237))+R2237*SUMIFS(Premissas!$E$5:$E$44,Premissas!$A$5:$A$44,$A2237,Premissas!$B$5:$B$44,$B2237)+S2237*SUMIFS(Premissas!$F$5:$F$44,Premissas!$A$5:$A$44,$A2237,Premissas!$B$5:$B$44,$B2237)</f>
        <v/>
      </c>
      <c r="L2237" s="29">
        <f>J2237-K2237</f>
        <v/>
      </c>
      <c r="M2237" t="inlineStr">
        <is>
          <t>1.350</t>
        </is>
      </c>
      <c r="N2237" t="inlineStr">
        <is>
          <t>Modalidade: 0 - Por conta do remetente | Parte: JAMES L. H. TOME e CIA LTDA (16.965.024/0001-15)</t>
        </is>
      </c>
      <c r="O2237" s="29" t="n">
        <v>0</v>
      </c>
      <c r="P2237" s="29" t="n">
        <v>0</v>
      </c>
      <c r="Q2237" s="29" t="n">
        <v>0</v>
      </c>
      <c r="R2237" s="29" t="n">
        <v>0</v>
      </c>
      <c r="S2237" s="29" t="n">
        <v>0</v>
      </c>
      <c r="T2237" t="inlineStr">
        <is>
          <t>25251026975620000130570010000054801001501041</t>
        </is>
      </c>
      <c r="U2237" t="inlineStr">
        <is>
          <t>Não</t>
        </is>
      </c>
    </row>
    <row r="2238">
      <c r="A2238" t="inlineStr">
        <is>
          <t>Frete de venda</t>
        </is>
      </c>
      <c r="B2238" t="inlineStr">
        <is>
          <t>2.01.02 Frete sobre Vendas</t>
        </is>
      </c>
      <c r="C2238" t="inlineStr">
        <is>
          <t>Antes de 2026</t>
        </is>
      </c>
      <c r="D2238" t="inlineStr">
        <is>
          <t>Antes de 2026</t>
        </is>
      </c>
      <c r="E2238" s="28" t="n">
        <v>45945</v>
      </c>
      <c r="F2238" t="inlineStr">
        <is>
          <t>CT-e</t>
        </is>
      </c>
      <c r="G2238" t="inlineStr">
        <is>
          <t>000005481</t>
        </is>
      </c>
      <c r="H2238" t="inlineStr">
        <is>
          <t>R&amp;R TRANSPORTE E LOGISTICA</t>
        </is>
      </c>
      <c r="J2238" s="29" t="n">
        <v>76.65000000000001</v>
      </c>
      <c r="K2238" s="29">
        <f>(1-ISNUMBER(SEARCH("556",M2238)))*(O2238*SUMIFS(Premissas!$C$5:$C$44,Premissas!$A$5:$A$44,$A2238,Premissas!$B$5:$B$44,$B2238)+P2238*SUMIFS(Premissas!$D$5:$D$44,Premissas!$A$5:$A$44,$A2238,Premissas!$B$5:$B$44,$B2238))+R2238*SUMIFS(Premissas!$E$5:$E$44,Premissas!$A$5:$A$44,$A2238,Premissas!$B$5:$B$44,$B2238)+S2238*SUMIFS(Premissas!$F$5:$F$44,Premissas!$A$5:$A$44,$A2238,Premissas!$B$5:$B$44,$B2238)</f>
        <v/>
      </c>
      <c r="L2238" s="29">
        <f>J2238-K2238</f>
        <v/>
      </c>
      <c r="M2238" t="inlineStr">
        <is>
          <t>1.350</t>
        </is>
      </c>
      <c r="N2238" t="inlineStr">
        <is>
          <t>Modalidade: 0 - Por conta do remetente | Parte: JAMES L. H. TOME e CIA LTDA (16.965.024/0006-20)</t>
        </is>
      </c>
      <c r="O2238" s="29" t="n">
        <v>0</v>
      </c>
      <c r="P2238" s="29" t="n">
        <v>0</v>
      </c>
      <c r="Q2238" s="29" t="n">
        <v>0</v>
      </c>
      <c r="R2238" s="29" t="n">
        <v>0</v>
      </c>
      <c r="S2238" s="29" t="n">
        <v>0</v>
      </c>
      <c r="T2238" t="inlineStr">
        <is>
          <t>25251026975620000130570010000054811001201126</t>
        </is>
      </c>
      <c r="U2238" t="inlineStr">
        <is>
          <t>Não</t>
        </is>
      </c>
    </row>
    <row r="2239">
      <c r="A2239" t="inlineStr">
        <is>
          <t>Frete de venda</t>
        </is>
      </c>
      <c r="B2239" t="inlineStr">
        <is>
          <t>2.01.02 Frete sobre Vendas</t>
        </is>
      </c>
      <c r="C2239" t="inlineStr">
        <is>
          <t>Antes de 2026</t>
        </is>
      </c>
      <c r="D2239" t="inlineStr">
        <is>
          <t>Antes de 2026</t>
        </is>
      </c>
      <c r="E2239" s="28" t="n">
        <v>45945</v>
      </c>
      <c r="F2239" t="inlineStr">
        <is>
          <t>CT-e</t>
        </is>
      </c>
      <c r="G2239" t="inlineStr">
        <is>
          <t>000005482</t>
        </is>
      </c>
      <c r="H2239" t="inlineStr">
        <is>
          <t>R&amp;R TRANSPORTE E LOGISTICA</t>
        </is>
      </c>
      <c r="J2239" s="29" t="n">
        <v>60.29</v>
      </c>
      <c r="K2239" s="29">
        <f>(1-ISNUMBER(SEARCH("556",M2239)))*(O2239*SUMIFS(Premissas!$C$5:$C$44,Premissas!$A$5:$A$44,$A2239,Premissas!$B$5:$B$44,$B2239)+P2239*SUMIFS(Premissas!$D$5:$D$44,Premissas!$A$5:$A$44,$A2239,Premissas!$B$5:$B$44,$B2239))+R2239*SUMIFS(Premissas!$E$5:$E$44,Premissas!$A$5:$A$44,$A2239,Premissas!$B$5:$B$44,$B2239)+S2239*SUMIFS(Premissas!$F$5:$F$44,Premissas!$A$5:$A$44,$A2239,Premissas!$B$5:$B$44,$B2239)</f>
        <v/>
      </c>
      <c r="L2239" s="29">
        <f>J2239-K2239</f>
        <v/>
      </c>
      <c r="M2239" t="inlineStr">
        <is>
          <t>1.350</t>
        </is>
      </c>
      <c r="N2239" t="inlineStr">
        <is>
          <t>Modalidade: 0 - Por conta do remetente | Parte: A SARAIVA DA CRUZ COMERCIAL LTDA (01.342.240/0001-37)</t>
        </is>
      </c>
      <c r="O2239" s="29" t="n">
        <v>0</v>
      </c>
      <c r="P2239" s="29" t="n">
        <v>0</v>
      </c>
      <c r="Q2239" s="29" t="n">
        <v>0</v>
      </c>
      <c r="R2239" s="29" t="n">
        <v>0</v>
      </c>
      <c r="S2239" s="29" t="n">
        <v>0</v>
      </c>
      <c r="T2239" t="inlineStr">
        <is>
          <t>25251026975620000130570010000054821011001208</t>
        </is>
      </c>
      <c r="U2239" t="inlineStr">
        <is>
          <t>Não</t>
        </is>
      </c>
    </row>
    <row r="2240">
      <c r="A2240" t="inlineStr">
        <is>
          <t>Frete de venda</t>
        </is>
      </c>
      <c r="B2240" t="inlineStr">
        <is>
          <t>2.01.02 Frete sobre Vendas</t>
        </is>
      </c>
      <c r="C2240" t="inlineStr">
        <is>
          <t>Antes de 2026</t>
        </is>
      </c>
      <c r="D2240" t="inlineStr">
        <is>
          <t>Antes de 2026</t>
        </is>
      </c>
      <c r="E2240" s="28" t="n">
        <v>45945</v>
      </c>
      <c r="F2240" t="inlineStr">
        <is>
          <t>CT-e</t>
        </is>
      </c>
      <c r="G2240" t="inlineStr">
        <is>
          <t>000005483</t>
        </is>
      </c>
      <c r="H2240" t="inlineStr">
        <is>
          <t>R&amp;R TRANSPORTE E LOGISTICA</t>
        </is>
      </c>
      <c r="J2240" s="29" t="n">
        <v>88.41</v>
      </c>
      <c r="K2240" s="29">
        <f>(1-ISNUMBER(SEARCH("556",M2240)))*(O2240*SUMIFS(Premissas!$C$5:$C$44,Premissas!$A$5:$A$44,$A2240,Premissas!$B$5:$B$44,$B2240)+P2240*SUMIFS(Premissas!$D$5:$D$44,Premissas!$A$5:$A$44,$A2240,Premissas!$B$5:$B$44,$B2240))+R2240*SUMIFS(Premissas!$E$5:$E$44,Premissas!$A$5:$A$44,$A2240,Premissas!$B$5:$B$44,$B2240)+S2240*SUMIFS(Premissas!$F$5:$F$44,Premissas!$A$5:$A$44,$A2240,Premissas!$B$5:$B$44,$B2240)</f>
        <v/>
      </c>
      <c r="L2240" s="29">
        <f>J2240-K2240</f>
        <v/>
      </c>
      <c r="M2240" t="inlineStr">
        <is>
          <t>1.350</t>
        </is>
      </c>
      <c r="N2240" t="inlineStr">
        <is>
          <t>Modalidade: 0 - Por conta do remetente | Parte: R ALBUQUERQUE COMERCIO DE ARTIGOS DE ARMARINHO LTDA (57.701.763/0001-87)</t>
        </is>
      </c>
      <c r="O2240" s="29" t="n">
        <v>0</v>
      </c>
      <c r="P2240" s="29" t="n">
        <v>0</v>
      </c>
      <c r="Q2240" s="29" t="n">
        <v>0</v>
      </c>
      <c r="R2240" s="29" t="n">
        <v>0</v>
      </c>
      <c r="S2240" s="29" t="n">
        <v>0</v>
      </c>
      <c r="T2240" t="inlineStr">
        <is>
          <t>25251026975620000130570010000054831001701280</t>
        </is>
      </c>
      <c r="U2240" t="inlineStr">
        <is>
          <t>Não</t>
        </is>
      </c>
    </row>
    <row r="2241">
      <c r="A2241" t="inlineStr">
        <is>
          <t>Frete de venda</t>
        </is>
      </c>
      <c r="B2241" t="inlineStr">
        <is>
          <t>2.01.02 Frete sobre Vendas</t>
        </is>
      </c>
      <c r="C2241" t="inlineStr">
        <is>
          <t>Antes de 2026</t>
        </is>
      </c>
      <c r="D2241" t="inlineStr">
        <is>
          <t>Antes de 2026</t>
        </is>
      </c>
      <c r="E2241" s="28" t="n">
        <v>45945</v>
      </c>
      <c r="F2241" t="inlineStr">
        <is>
          <t>CT-e</t>
        </is>
      </c>
      <c r="G2241" t="inlineStr">
        <is>
          <t>000005484</t>
        </is>
      </c>
      <c r="H2241" t="inlineStr">
        <is>
          <t>R&amp;R TRANSPORTE E LOGISTICA</t>
        </is>
      </c>
      <c r="J2241" s="29" t="n">
        <v>48.84</v>
      </c>
      <c r="K2241" s="29">
        <f>(1-ISNUMBER(SEARCH("556",M2241)))*(O2241*SUMIFS(Premissas!$C$5:$C$44,Premissas!$A$5:$A$44,$A2241,Premissas!$B$5:$B$44,$B2241)+P2241*SUMIFS(Premissas!$D$5:$D$44,Premissas!$A$5:$A$44,$A2241,Premissas!$B$5:$B$44,$B2241))+R2241*SUMIFS(Premissas!$E$5:$E$44,Premissas!$A$5:$A$44,$A2241,Premissas!$B$5:$B$44,$B2241)+S2241*SUMIFS(Premissas!$F$5:$F$44,Premissas!$A$5:$A$44,$A2241,Premissas!$B$5:$B$44,$B2241)</f>
        <v/>
      </c>
      <c r="L2241" s="29">
        <f>J2241-K2241</f>
        <v/>
      </c>
      <c r="M2241" t="inlineStr">
        <is>
          <t>1.350</t>
        </is>
      </c>
      <c r="N2241" t="inlineStr">
        <is>
          <t>Modalidade: 0 - Por conta do remetente | Parte: JAMES L. H. TOME e CIA LTDA (16.965.024/0007-00)</t>
        </is>
      </c>
      <c r="O2241" s="29" t="n">
        <v>0</v>
      </c>
      <c r="P2241" s="29" t="n">
        <v>0</v>
      </c>
      <c r="Q2241" s="29" t="n">
        <v>0</v>
      </c>
      <c r="R2241" s="29" t="n">
        <v>0</v>
      </c>
      <c r="S2241" s="29" t="n">
        <v>0</v>
      </c>
      <c r="T2241" t="inlineStr">
        <is>
          <t>25251026975620000130570010000054841001401364</t>
        </is>
      </c>
      <c r="U2241" t="inlineStr">
        <is>
          <t>Não</t>
        </is>
      </c>
    </row>
    <row r="2242">
      <c r="A2242" t="inlineStr">
        <is>
          <t>Frete de venda</t>
        </is>
      </c>
      <c r="B2242" t="inlineStr">
        <is>
          <t>2.01.02 Frete sobre Vendas</t>
        </is>
      </c>
      <c r="C2242" t="inlineStr">
        <is>
          <t>Antes de 2026</t>
        </is>
      </c>
      <c r="D2242" t="inlineStr">
        <is>
          <t>Antes de 2026</t>
        </is>
      </c>
      <c r="E2242" s="28" t="n">
        <v>45946</v>
      </c>
      <c r="F2242" t="inlineStr">
        <is>
          <t>CT-e</t>
        </is>
      </c>
      <c r="G2242" t="inlineStr">
        <is>
          <t>000005490</t>
        </is>
      </c>
      <c r="H2242" t="inlineStr">
        <is>
          <t>R&amp;R TRANSPORTE E LOGISTICA</t>
        </is>
      </c>
      <c r="J2242" s="29" t="n">
        <v>140</v>
      </c>
      <c r="K2242" s="29">
        <f>(1-ISNUMBER(SEARCH("556",M2242)))*(O2242*SUMIFS(Premissas!$C$5:$C$44,Premissas!$A$5:$A$44,$A2242,Premissas!$B$5:$B$44,$B2242)+P2242*SUMIFS(Premissas!$D$5:$D$44,Premissas!$A$5:$A$44,$A2242,Premissas!$B$5:$B$44,$B2242))+R2242*SUMIFS(Premissas!$E$5:$E$44,Premissas!$A$5:$A$44,$A2242,Premissas!$B$5:$B$44,$B2242)+S2242*SUMIFS(Premissas!$F$5:$F$44,Premissas!$A$5:$A$44,$A2242,Premissas!$B$5:$B$44,$B2242)</f>
        <v/>
      </c>
      <c r="L2242" s="29">
        <f>J2242-K2242</f>
        <v/>
      </c>
      <c r="M2242" t="inlineStr">
        <is>
          <t>1.350</t>
        </is>
      </c>
      <c r="N2242" t="inlineStr">
        <is>
          <t>Modalidade: 0 - Por conta do remetente | Parte: KATIA CILENE ARAUJO FARIAS COMERCIO (02.991.231/0001-30)</t>
        </is>
      </c>
      <c r="O2242" s="29" t="n">
        <v>0</v>
      </c>
      <c r="P2242" s="29" t="n">
        <v>0</v>
      </c>
      <c r="Q2242" s="29" t="n">
        <v>0</v>
      </c>
      <c r="R2242" s="29" t="n">
        <v>0</v>
      </c>
      <c r="S2242" s="29" t="n">
        <v>0</v>
      </c>
      <c r="T2242" t="inlineStr">
        <is>
          <t>25251026975620000130570010000054901001601271</t>
        </is>
      </c>
      <c r="U2242" t="inlineStr">
        <is>
          <t>Não</t>
        </is>
      </c>
    </row>
    <row r="2243">
      <c r="A2243" t="inlineStr">
        <is>
          <t>Frete de venda</t>
        </is>
      </c>
      <c r="B2243" t="inlineStr">
        <is>
          <t>2.01.02 Frete sobre Vendas</t>
        </is>
      </c>
      <c r="C2243" t="inlineStr">
        <is>
          <t>Antes de 2026</t>
        </is>
      </c>
      <c r="D2243" t="inlineStr">
        <is>
          <t>Antes de 2026</t>
        </is>
      </c>
      <c r="E2243" s="28" t="n">
        <v>45946</v>
      </c>
      <c r="F2243" t="inlineStr">
        <is>
          <t>CT-e</t>
        </is>
      </c>
      <c r="G2243" t="inlineStr">
        <is>
          <t>000005491</t>
        </is>
      </c>
      <c r="H2243" t="inlineStr">
        <is>
          <t>R&amp;R TRANSPORTE E LOGISTICA</t>
        </is>
      </c>
      <c r="J2243" s="29" t="n">
        <v>1500</v>
      </c>
      <c r="K2243" s="29">
        <f>(1-ISNUMBER(SEARCH("556",M2243)))*(O2243*SUMIFS(Premissas!$C$5:$C$44,Premissas!$A$5:$A$44,$A2243,Premissas!$B$5:$B$44,$B2243)+P2243*SUMIFS(Premissas!$D$5:$D$44,Premissas!$A$5:$A$44,$A2243,Premissas!$B$5:$B$44,$B2243))+R2243*SUMIFS(Premissas!$E$5:$E$44,Premissas!$A$5:$A$44,$A2243,Premissas!$B$5:$B$44,$B2243)+S2243*SUMIFS(Premissas!$F$5:$F$44,Premissas!$A$5:$A$44,$A2243,Premissas!$B$5:$B$44,$B2243)</f>
        <v/>
      </c>
      <c r="L2243" s="29">
        <f>J2243-K2243</f>
        <v/>
      </c>
      <c r="M2243" t="inlineStr">
        <is>
          <t>1.350</t>
        </is>
      </c>
      <c r="N2243" t="inlineStr">
        <is>
          <t>Modalidade: 0 - Por conta do remetente | Parte: VIP DISTRIBUIDORA DE EMBALAGENS LTDA (51.987.110/0001-20)</t>
        </is>
      </c>
      <c r="O2243" s="29" t="n">
        <v>0</v>
      </c>
      <c r="P2243" s="29" t="n">
        <v>0</v>
      </c>
      <c r="Q2243" s="29" t="n">
        <v>0</v>
      </c>
      <c r="R2243" s="29" t="n">
        <v>0</v>
      </c>
      <c r="S2243" s="29" t="n">
        <v>0</v>
      </c>
      <c r="T2243" t="inlineStr">
        <is>
          <t>25251026975620000130570010000054911001301356</t>
        </is>
      </c>
      <c r="U2243" t="inlineStr">
        <is>
          <t>Não</t>
        </is>
      </c>
    </row>
    <row r="2244">
      <c r="A2244" t="inlineStr">
        <is>
          <t>Frete de venda</t>
        </is>
      </c>
      <c r="B2244" t="inlineStr">
        <is>
          <t>2.01.02 Frete sobre Vendas</t>
        </is>
      </c>
      <c r="C2244" t="inlineStr">
        <is>
          <t>Antes de 2026</t>
        </is>
      </c>
      <c r="D2244" t="inlineStr">
        <is>
          <t>Antes de 2026</t>
        </is>
      </c>
      <c r="E2244" s="28" t="n">
        <v>45947</v>
      </c>
      <c r="F2244" t="inlineStr">
        <is>
          <t>CT-e</t>
        </is>
      </c>
      <c r="G2244" t="inlineStr">
        <is>
          <t>000005492</t>
        </is>
      </c>
      <c r="H2244" t="inlineStr">
        <is>
          <t>R&amp;R TRANSPORTE E LOGISTICA</t>
        </is>
      </c>
      <c r="J2244" s="29" t="n">
        <v>467</v>
      </c>
      <c r="K2244" s="29">
        <f>(1-ISNUMBER(SEARCH("556",M2244)))*(O2244*SUMIFS(Premissas!$C$5:$C$44,Premissas!$A$5:$A$44,$A2244,Premissas!$B$5:$B$44,$B2244)+P2244*SUMIFS(Premissas!$D$5:$D$44,Premissas!$A$5:$A$44,$A2244,Premissas!$B$5:$B$44,$B2244))+R2244*SUMIFS(Premissas!$E$5:$E$44,Premissas!$A$5:$A$44,$A2244,Premissas!$B$5:$B$44,$B2244)+S2244*SUMIFS(Premissas!$F$5:$F$44,Premissas!$A$5:$A$44,$A2244,Premissas!$B$5:$B$44,$B2244)</f>
        <v/>
      </c>
      <c r="L2244" s="29">
        <f>J2244-K2244</f>
        <v/>
      </c>
      <c r="M2244" t="inlineStr">
        <is>
          <t>1.350</t>
        </is>
      </c>
      <c r="N2244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2244" s="29" t="n">
        <v>0</v>
      </c>
      <c r="P2244" s="29" t="n">
        <v>0</v>
      </c>
      <c r="Q2244" s="29" t="n">
        <v>0</v>
      </c>
      <c r="R2244" s="29" t="n">
        <v>0</v>
      </c>
      <c r="S2244" s="29" t="n">
        <v>0</v>
      </c>
      <c r="T2244" t="inlineStr">
        <is>
          <t>25251026975620000130570010000054921000101431</t>
        </is>
      </c>
      <c r="U2244" t="inlineStr">
        <is>
          <t>Não</t>
        </is>
      </c>
    </row>
    <row r="2245">
      <c r="A2245" t="inlineStr">
        <is>
          <t>Frete de venda</t>
        </is>
      </c>
      <c r="B2245" t="inlineStr">
        <is>
          <t>2.01.02 Frete sobre Vendas</t>
        </is>
      </c>
      <c r="C2245" t="inlineStr">
        <is>
          <t>Antes de 2026</t>
        </is>
      </c>
      <c r="D2245" t="inlineStr">
        <is>
          <t>Antes de 2026</t>
        </is>
      </c>
      <c r="E2245" s="28" t="n">
        <v>45947</v>
      </c>
      <c r="F2245" t="inlineStr">
        <is>
          <t>CT-e</t>
        </is>
      </c>
      <c r="G2245" t="inlineStr">
        <is>
          <t>000005493</t>
        </is>
      </c>
      <c r="H2245" t="inlineStr">
        <is>
          <t>R&amp;R TRANSPORTE E LOGISTICA</t>
        </is>
      </c>
      <c r="J2245" s="29" t="n">
        <v>935</v>
      </c>
      <c r="K2245" s="29">
        <f>(1-ISNUMBER(SEARCH("556",M2245)))*(O2245*SUMIFS(Premissas!$C$5:$C$44,Premissas!$A$5:$A$44,$A2245,Premissas!$B$5:$B$44,$B2245)+P2245*SUMIFS(Premissas!$D$5:$D$44,Premissas!$A$5:$A$44,$A2245,Premissas!$B$5:$B$44,$B2245))+R2245*SUMIFS(Premissas!$E$5:$E$44,Premissas!$A$5:$A$44,$A2245,Premissas!$B$5:$B$44,$B2245)+S2245*SUMIFS(Premissas!$F$5:$F$44,Premissas!$A$5:$A$44,$A2245,Premissas!$B$5:$B$44,$B2245)</f>
        <v/>
      </c>
      <c r="L2245" s="29">
        <f>J2245-K2245</f>
        <v/>
      </c>
      <c r="M2245" t="inlineStr">
        <is>
          <t>1.350</t>
        </is>
      </c>
      <c r="N2245" t="inlineStr">
        <is>
          <t>Modalidade: 0 - Por conta do remetente | Parte: M X COMERCIO E SERVICOS LTDA (11.028.612/0001-09)</t>
        </is>
      </c>
      <c r="O2245" s="29" t="n">
        <v>0</v>
      </c>
      <c r="P2245" s="29" t="n">
        <v>0</v>
      </c>
      <c r="Q2245" s="29" t="n">
        <v>0</v>
      </c>
      <c r="R2245" s="29" t="n">
        <v>0</v>
      </c>
      <c r="S2245" s="29" t="n">
        <v>0</v>
      </c>
      <c r="T2245" t="inlineStr">
        <is>
          <t>25251026975620000130570010000054931001801515</t>
        </is>
      </c>
      <c r="U2245" t="inlineStr">
        <is>
          <t>Não</t>
        </is>
      </c>
    </row>
    <row r="2246">
      <c r="A2246" t="inlineStr">
        <is>
          <t>Frete de venda</t>
        </is>
      </c>
      <c r="B2246" t="inlineStr">
        <is>
          <t>2.01.02 Frete sobre Vendas</t>
        </is>
      </c>
      <c r="C2246" t="inlineStr">
        <is>
          <t>Antes de 2026</t>
        </is>
      </c>
      <c r="D2246" t="inlineStr">
        <is>
          <t>Antes de 2026</t>
        </is>
      </c>
      <c r="E2246" s="28" t="n">
        <v>45947</v>
      </c>
      <c r="F2246" t="inlineStr">
        <is>
          <t>CT-e</t>
        </is>
      </c>
      <c r="G2246" t="inlineStr">
        <is>
          <t>000005497</t>
        </is>
      </c>
      <c r="H2246" t="inlineStr">
        <is>
          <t>R&amp;R TRANSPORTE E LOGISTICA</t>
        </is>
      </c>
      <c r="J2246" s="29" t="n">
        <v>108.3</v>
      </c>
      <c r="K2246" s="29">
        <f>(1-ISNUMBER(SEARCH("556",M2246)))*(O2246*SUMIFS(Premissas!$C$5:$C$44,Premissas!$A$5:$A$44,$A2246,Premissas!$B$5:$B$44,$B2246)+P2246*SUMIFS(Premissas!$D$5:$D$44,Premissas!$A$5:$A$44,$A2246,Premissas!$B$5:$B$44,$B2246))+R2246*SUMIFS(Premissas!$E$5:$E$44,Premissas!$A$5:$A$44,$A2246,Premissas!$B$5:$B$44,$B2246)+S2246*SUMIFS(Premissas!$F$5:$F$44,Premissas!$A$5:$A$44,$A2246,Premissas!$B$5:$B$44,$B2246)</f>
        <v/>
      </c>
      <c r="L2246" s="29">
        <f>J2246-K2246</f>
        <v/>
      </c>
      <c r="M2246" t="inlineStr">
        <is>
          <t>1.350</t>
        </is>
      </c>
      <c r="N2246" t="inlineStr">
        <is>
          <t>Modalidade: 0 - Por conta do remetente | Parte: COMERCIAL CARAPA DE SECOS E MOLHADOS LTDA (03.790.904/0002-37)</t>
        </is>
      </c>
      <c r="O2246" s="29" t="n">
        <v>0</v>
      </c>
      <c r="P2246" s="29" t="n">
        <v>0</v>
      </c>
      <c r="Q2246" s="29" t="n">
        <v>0</v>
      </c>
      <c r="R2246" s="29" t="n">
        <v>0</v>
      </c>
      <c r="S2246" s="29" t="n">
        <v>0</v>
      </c>
      <c r="T2246" t="inlineStr">
        <is>
          <t>25251026975620000130570010000054971001701170</t>
        </is>
      </c>
      <c r="U2246" t="inlineStr">
        <is>
          <t>Não</t>
        </is>
      </c>
    </row>
    <row r="2247">
      <c r="A2247" t="inlineStr">
        <is>
          <t>Frete de venda</t>
        </is>
      </c>
      <c r="B2247" t="inlineStr">
        <is>
          <t>2.01.02 Frete sobre Vendas</t>
        </is>
      </c>
      <c r="C2247" t="inlineStr">
        <is>
          <t>Antes de 2026</t>
        </is>
      </c>
      <c r="D2247" t="inlineStr">
        <is>
          <t>Antes de 2026</t>
        </is>
      </c>
      <c r="E2247" s="28" t="n">
        <v>45947</v>
      </c>
      <c r="F2247" t="inlineStr">
        <is>
          <t>CT-e</t>
        </is>
      </c>
      <c r="G2247" t="inlineStr">
        <is>
          <t>000005498</t>
        </is>
      </c>
      <c r="H2247" t="inlineStr">
        <is>
          <t>R&amp;R TRANSPORTE E LOGISTICA</t>
        </is>
      </c>
      <c r="J2247" s="29" t="n">
        <v>137.61</v>
      </c>
      <c r="K2247" s="29">
        <f>(1-ISNUMBER(SEARCH("556",M2247)))*(O2247*SUMIFS(Premissas!$C$5:$C$44,Premissas!$A$5:$A$44,$A2247,Premissas!$B$5:$B$44,$B2247)+P2247*SUMIFS(Premissas!$D$5:$D$44,Premissas!$A$5:$A$44,$A2247,Premissas!$B$5:$B$44,$B2247))+R2247*SUMIFS(Premissas!$E$5:$E$44,Premissas!$A$5:$A$44,$A2247,Premissas!$B$5:$B$44,$B2247)+S2247*SUMIFS(Premissas!$F$5:$F$44,Premissas!$A$5:$A$44,$A2247,Premissas!$B$5:$B$44,$B2247)</f>
        <v/>
      </c>
      <c r="L2247" s="29">
        <f>J2247-K2247</f>
        <v/>
      </c>
      <c r="M2247" t="inlineStr">
        <is>
          <t>1.350</t>
        </is>
      </c>
      <c r="N2247" t="inlineStr">
        <is>
          <t>Modalidade: 0 - Por conta do remetente | Parte: DISTRIBUIDORA DE EMBALAGENS CASTROPIL LTDA. (08.961.274/0007-44)</t>
        </is>
      </c>
      <c r="O2247" s="29" t="n">
        <v>0</v>
      </c>
      <c r="P2247" s="29" t="n">
        <v>0</v>
      </c>
      <c r="Q2247" s="29" t="n">
        <v>0</v>
      </c>
      <c r="R2247" s="29" t="n">
        <v>0</v>
      </c>
      <c r="S2247" s="29" t="n">
        <v>0</v>
      </c>
      <c r="T2247" t="inlineStr">
        <is>
          <t>25251026975620000130570010000054981001401254</t>
        </is>
      </c>
      <c r="U2247" t="inlineStr">
        <is>
          <t>Não</t>
        </is>
      </c>
    </row>
    <row r="2248">
      <c r="A2248" t="inlineStr">
        <is>
          <t>Frete de venda</t>
        </is>
      </c>
      <c r="B2248" t="inlineStr">
        <is>
          <t>2.01.02 Frete sobre Vendas</t>
        </is>
      </c>
      <c r="C2248" t="inlineStr">
        <is>
          <t>Antes de 2026</t>
        </is>
      </c>
      <c r="D2248" t="inlineStr">
        <is>
          <t>Antes de 2026</t>
        </is>
      </c>
      <c r="E2248" s="28" t="n">
        <v>45947</v>
      </c>
      <c r="F2248" t="inlineStr">
        <is>
          <t>CT-e</t>
        </is>
      </c>
      <c r="G2248" t="inlineStr">
        <is>
          <t>000005499</t>
        </is>
      </c>
      <c r="H2248" t="inlineStr">
        <is>
          <t>R&amp;R TRANSPORTE E LOGISTICA</t>
        </is>
      </c>
      <c r="J2248" s="29" t="n">
        <v>78.34</v>
      </c>
      <c r="K2248" s="29">
        <f>(1-ISNUMBER(SEARCH("556",M2248)))*(O2248*SUMIFS(Premissas!$C$5:$C$44,Premissas!$A$5:$A$44,$A2248,Premissas!$B$5:$B$44,$B2248)+P2248*SUMIFS(Premissas!$D$5:$D$44,Premissas!$A$5:$A$44,$A2248,Premissas!$B$5:$B$44,$B2248))+R2248*SUMIFS(Premissas!$E$5:$E$44,Premissas!$A$5:$A$44,$A2248,Premissas!$B$5:$B$44,$B2248)+S2248*SUMIFS(Premissas!$F$5:$F$44,Premissas!$A$5:$A$44,$A2248,Premissas!$B$5:$B$44,$B2248)</f>
        <v/>
      </c>
      <c r="L2248" s="29">
        <f>J2248-K2248</f>
        <v/>
      </c>
      <c r="M2248" t="inlineStr">
        <is>
          <t>1.350</t>
        </is>
      </c>
      <c r="N2248" t="inlineStr">
        <is>
          <t>Modalidade: 0 - Por conta do remetente | Parte: INDUSTRIAL E COMERCIAL ALMEIDA LTDA (02.623.537/0010-24)</t>
        </is>
      </c>
      <c r="O2248" s="29" t="n">
        <v>0</v>
      </c>
      <c r="P2248" s="29" t="n">
        <v>0</v>
      </c>
      <c r="Q2248" s="29" t="n">
        <v>0</v>
      </c>
      <c r="R2248" s="29" t="n">
        <v>0</v>
      </c>
      <c r="S2248" s="29" t="n">
        <v>0</v>
      </c>
      <c r="T2248" t="inlineStr">
        <is>
          <t>25251026975620000130570010000054991001101339</t>
        </is>
      </c>
      <c r="U2248" t="inlineStr">
        <is>
          <t>Não</t>
        </is>
      </c>
    </row>
    <row r="2249">
      <c r="A2249" t="inlineStr">
        <is>
          <t>Frete de venda</t>
        </is>
      </c>
      <c r="B2249" t="inlineStr">
        <is>
          <t>2.01.02 Frete sobre Vendas</t>
        </is>
      </c>
      <c r="C2249" t="inlineStr">
        <is>
          <t>Antes de 2026</t>
        </is>
      </c>
      <c r="D2249" t="inlineStr">
        <is>
          <t>Antes de 2026</t>
        </is>
      </c>
      <c r="E2249" s="28" t="n">
        <v>45947</v>
      </c>
      <c r="F2249" t="inlineStr">
        <is>
          <t>CT-e</t>
        </is>
      </c>
      <c r="G2249" t="inlineStr">
        <is>
          <t>000005500</t>
        </is>
      </c>
      <c r="H2249" t="inlineStr">
        <is>
          <t>R&amp;R TRANSPORTE E LOGISTICA</t>
        </is>
      </c>
      <c r="J2249" s="29" t="n">
        <v>173.46</v>
      </c>
      <c r="K2249" s="29">
        <f>(1-ISNUMBER(SEARCH("556",M2249)))*(O2249*SUMIFS(Premissas!$C$5:$C$44,Premissas!$A$5:$A$44,$A2249,Premissas!$B$5:$B$44,$B2249)+P2249*SUMIFS(Premissas!$D$5:$D$44,Premissas!$A$5:$A$44,$A2249,Premissas!$B$5:$B$44,$B2249))+R2249*SUMIFS(Premissas!$E$5:$E$44,Premissas!$A$5:$A$44,$A2249,Premissas!$B$5:$B$44,$B2249)+S2249*SUMIFS(Premissas!$F$5:$F$44,Premissas!$A$5:$A$44,$A2249,Premissas!$B$5:$B$44,$B2249)</f>
        <v/>
      </c>
      <c r="L2249" s="29">
        <f>J2249-K2249</f>
        <v/>
      </c>
      <c r="M2249" t="inlineStr">
        <is>
          <t>1.350</t>
        </is>
      </c>
      <c r="N2249" t="inlineStr">
        <is>
          <t>Modalidade: 0 - Por conta do remetente | Parte: DISTRIBUIDORA CENTRAL EMBALAGENS LTDA (08.726.563/0001-73)</t>
        </is>
      </c>
      <c r="O2249" s="29" t="n">
        <v>0</v>
      </c>
      <c r="P2249" s="29" t="n">
        <v>0</v>
      </c>
      <c r="Q2249" s="29" t="n">
        <v>0</v>
      </c>
      <c r="R2249" s="29" t="n">
        <v>0</v>
      </c>
      <c r="S2249" s="29" t="n">
        <v>0</v>
      </c>
      <c r="T2249" t="inlineStr">
        <is>
          <t>25251026975620000130570010000055001000120685</t>
        </is>
      </c>
      <c r="U2249" t="inlineStr">
        <is>
          <t>Não</t>
        </is>
      </c>
    </row>
    <row r="2250">
      <c r="A2250" t="inlineStr">
        <is>
          <t>Frete de venda</t>
        </is>
      </c>
      <c r="B2250" t="inlineStr">
        <is>
          <t>2.01.02 Frete sobre Vendas</t>
        </is>
      </c>
      <c r="C2250" t="inlineStr">
        <is>
          <t>Antes de 2026</t>
        </is>
      </c>
      <c r="D2250" t="inlineStr">
        <is>
          <t>Antes de 2026</t>
        </is>
      </c>
      <c r="E2250" s="28" t="n">
        <v>45947</v>
      </c>
      <c r="F2250" t="inlineStr">
        <is>
          <t>CT-e</t>
        </is>
      </c>
      <c r="G2250" t="inlineStr">
        <is>
          <t>000005501</t>
        </is>
      </c>
      <c r="H2250" t="inlineStr">
        <is>
          <t>R&amp;R TRANSPORTE E LOGISTICA</t>
        </is>
      </c>
      <c r="J2250" s="29" t="n">
        <v>48.8</v>
      </c>
      <c r="K2250" s="29">
        <f>(1-ISNUMBER(SEARCH("556",M2250)))*(O2250*SUMIFS(Premissas!$C$5:$C$44,Premissas!$A$5:$A$44,$A2250,Premissas!$B$5:$B$44,$B2250)+P2250*SUMIFS(Premissas!$D$5:$D$44,Premissas!$A$5:$A$44,$A2250,Premissas!$B$5:$B$44,$B2250))+R2250*SUMIFS(Premissas!$E$5:$E$44,Premissas!$A$5:$A$44,$A2250,Premissas!$B$5:$B$44,$B2250)+S2250*SUMIFS(Premissas!$F$5:$F$44,Premissas!$A$5:$A$44,$A2250,Premissas!$B$5:$B$44,$B2250)</f>
        <v/>
      </c>
      <c r="L2250" s="29">
        <f>J2250-K2250</f>
        <v/>
      </c>
      <c r="M2250" t="inlineStr">
        <is>
          <t>1.350</t>
        </is>
      </c>
      <c r="N2250" t="inlineStr">
        <is>
          <t>Modalidade: 0 - Por conta do remetente | Parte: SORRISO COMERCIO DE EMBALAGENS LTDA (07.558.796/0001-41)</t>
        </is>
      </c>
      <c r="O2250" s="29" t="n">
        <v>0</v>
      </c>
      <c r="P2250" s="29" t="n">
        <v>0</v>
      </c>
      <c r="Q2250" s="29" t="n">
        <v>0</v>
      </c>
      <c r="R2250" s="29" t="n">
        <v>0</v>
      </c>
      <c r="S2250" s="29" t="n">
        <v>0</v>
      </c>
      <c r="T2250" t="inlineStr">
        <is>
          <t>25251026975620000130570010000055011001100766</t>
        </is>
      </c>
      <c r="U2250" t="inlineStr">
        <is>
          <t>Não</t>
        </is>
      </c>
    </row>
    <row r="2251">
      <c r="A2251" t="inlineStr">
        <is>
          <t>Frete de venda</t>
        </is>
      </c>
      <c r="B2251" t="inlineStr">
        <is>
          <t>2.01.02 Frete sobre Vendas</t>
        </is>
      </c>
      <c r="C2251" t="inlineStr">
        <is>
          <t>Antes de 2026</t>
        </is>
      </c>
      <c r="D2251" t="inlineStr">
        <is>
          <t>Antes de 2026</t>
        </is>
      </c>
      <c r="E2251" s="28" t="n">
        <v>45947</v>
      </c>
      <c r="F2251" t="inlineStr">
        <is>
          <t>CT-e</t>
        </is>
      </c>
      <c r="G2251" t="inlineStr">
        <is>
          <t>000005502</t>
        </is>
      </c>
      <c r="H2251" t="inlineStr">
        <is>
          <t>R&amp;R TRANSPORTE E LOGISTICA</t>
        </is>
      </c>
      <c r="J2251" s="29" t="n">
        <v>96.23999999999999</v>
      </c>
      <c r="K2251" s="29">
        <f>(1-ISNUMBER(SEARCH("556",M2251)))*(O2251*SUMIFS(Premissas!$C$5:$C$44,Premissas!$A$5:$A$44,$A2251,Premissas!$B$5:$B$44,$B2251)+P2251*SUMIFS(Premissas!$D$5:$D$44,Premissas!$A$5:$A$44,$A2251,Premissas!$B$5:$B$44,$B2251))+R2251*SUMIFS(Premissas!$E$5:$E$44,Premissas!$A$5:$A$44,$A2251,Premissas!$B$5:$B$44,$B2251)+S2251*SUMIFS(Premissas!$F$5:$F$44,Premissas!$A$5:$A$44,$A2251,Premissas!$B$5:$B$44,$B2251)</f>
        <v/>
      </c>
      <c r="L2251" s="29">
        <f>J2251-K2251</f>
        <v/>
      </c>
      <c r="M2251" t="inlineStr">
        <is>
          <t>1.350</t>
        </is>
      </c>
      <c r="N2251" t="inlineStr">
        <is>
          <t>Modalidade: 0 - Por conta do remetente | Parte: JK EMBALAGENS LTDA (20.894.355/0001-89)</t>
        </is>
      </c>
      <c r="O2251" s="29" t="n">
        <v>0</v>
      </c>
      <c r="P2251" s="29" t="n">
        <v>0</v>
      </c>
      <c r="Q2251" s="29" t="n">
        <v>0</v>
      </c>
      <c r="R2251" s="29" t="n">
        <v>0</v>
      </c>
      <c r="S2251" s="29" t="n">
        <v>0</v>
      </c>
      <c r="T2251" t="inlineStr">
        <is>
          <t>25251026975620000130570010000055021000170849</t>
        </is>
      </c>
      <c r="U2251" t="inlineStr">
        <is>
          <t>Não</t>
        </is>
      </c>
    </row>
    <row r="2252">
      <c r="A2252" t="inlineStr">
        <is>
          <t>Frete de venda</t>
        </is>
      </c>
      <c r="B2252" t="inlineStr">
        <is>
          <t>2.01.02 Frete sobre Vendas</t>
        </is>
      </c>
      <c r="C2252" t="inlineStr">
        <is>
          <t>Antes de 2026</t>
        </is>
      </c>
      <c r="D2252" t="inlineStr">
        <is>
          <t>Antes de 2026</t>
        </is>
      </c>
      <c r="E2252" s="28" t="n">
        <v>45947</v>
      </c>
      <c r="F2252" t="inlineStr">
        <is>
          <t>CT-e</t>
        </is>
      </c>
      <c r="G2252" t="inlineStr">
        <is>
          <t>000005503</t>
        </is>
      </c>
      <c r="H2252" t="inlineStr">
        <is>
          <t>R&amp;R TRANSPORTE E LOGISTICA</t>
        </is>
      </c>
      <c r="J2252" s="29" t="n">
        <v>39.35</v>
      </c>
      <c r="K2252" s="29">
        <f>(1-ISNUMBER(SEARCH("556",M2252)))*(O2252*SUMIFS(Premissas!$C$5:$C$44,Premissas!$A$5:$A$44,$A2252,Premissas!$B$5:$B$44,$B2252)+P2252*SUMIFS(Premissas!$D$5:$D$44,Premissas!$A$5:$A$44,$A2252,Premissas!$B$5:$B$44,$B2252))+R2252*SUMIFS(Premissas!$E$5:$E$44,Premissas!$A$5:$A$44,$A2252,Premissas!$B$5:$B$44,$B2252)+S2252*SUMIFS(Premissas!$F$5:$F$44,Premissas!$A$5:$A$44,$A2252,Premissas!$B$5:$B$44,$B2252)</f>
        <v/>
      </c>
      <c r="L2252" s="29">
        <f>J2252-K2252</f>
        <v/>
      </c>
      <c r="M2252" t="inlineStr">
        <is>
          <t>1.350</t>
        </is>
      </c>
      <c r="N2252" t="inlineStr">
        <is>
          <t>Modalidade: 0 - Por conta do remetente | Parte: MARIA CLEIDE RAMOS LTDA (42.968.790/0001-43)</t>
        </is>
      </c>
      <c r="O2252" s="29" t="n">
        <v>0</v>
      </c>
      <c r="P2252" s="29" t="n">
        <v>0</v>
      </c>
      <c r="Q2252" s="29" t="n">
        <v>0</v>
      </c>
      <c r="R2252" s="29" t="n">
        <v>0</v>
      </c>
      <c r="S2252" s="29" t="n">
        <v>0</v>
      </c>
      <c r="T2252" t="inlineStr">
        <is>
          <t>25251026975620000130570010000055031000140920</t>
        </is>
      </c>
      <c r="U2252" t="inlineStr">
        <is>
          <t>Não</t>
        </is>
      </c>
    </row>
    <row r="2253">
      <c r="A2253" t="inlineStr">
        <is>
          <t>Frete de venda</t>
        </is>
      </c>
      <c r="B2253" t="inlineStr">
        <is>
          <t>2.01.02 Frete sobre Vendas</t>
        </is>
      </c>
      <c r="C2253" t="inlineStr">
        <is>
          <t>Antes de 2026</t>
        </is>
      </c>
      <c r="D2253" t="inlineStr">
        <is>
          <t>Antes de 2026</t>
        </is>
      </c>
      <c r="E2253" s="28" t="n">
        <v>45948</v>
      </c>
      <c r="F2253" t="inlineStr">
        <is>
          <t>CT-e</t>
        </is>
      </c>
      <c r="G2253" t="inlineStr">
        <is>
          <t>000005506</t>
        </is>
      </c>
      <c r="H2253" t="inlineStr">
        <is>
          <t>R&amp;R TRANSPORTE E LOGISTICA</t>
        </is>
      </c>
      <c r="J2253" s="29" t="n">
        <v>786</v>
      </c>
      <c r="K2253" s="29">
        <f>(1-ISNUMBER(SEARCH("556",M2253)))*(O2253*SUMIFS(Premissas!$C$5:$C$44,Premissas!$A$5:$A$44,$A2253,Premissas!$B$5:$B$44,$B2253)+P2253*SUMIFS(Premissas!$D$5:$D$44,Premissas!$A$5:$A$44,$A2253,Premissas!$B$5:$B$44,$B2253))+R2253*SUMIFS(Premissas!$E$5:$E$44,Premissas!$A$5:$A$44,$A2253,Premissas!$B$5:$B$44,$B2253)+S2253*SUMIFS(Premissas!$F$5:$F$44,Premissas!$A$5:$A$44,$A2253,Premissas!$B$5:$B$44,$B2253)</f>
        <v/>
      </c>
      <c r="L2253" s="29">
        <f>J2253-K2253</f>
        <v/>
      </c>
      <c r="M2253" t="inlineStr">
        <is>
          <t>1.350</t>
        </is>
      </c>
      <c r="N2253" t="inlineStr">
        <is>
          <t>Modalidade: 0 - Por conta do remetente | Parte: DISTRIBUIDORA TIO LUIZ LTDA (07.750.620/0001-97)</t>
        </is>
      </c>
      <c r="O2253" s="29" t="n">
        <v>0</v>
      </c>
      <c r="P2253" s="29" t="n">
        <v>0</v>
      </c>
      <c r="Q2253" s="29" t="n">
        <v>0</v>
      </c>
      <c r="R2253" s="29" t="n">
        <v>0</v>
      </c>
      <c r="S2253" s="29" t="n">
        <v>0</v>
      </c>
      <c r="T2253" t="inlineStr">
        <is>
          <t>25251026975620000130570010000055061001601168</t>
        </is>
      </c>
      <c r="U2253" t="inlineStr">
        <is>
          <t>Não</t>
        </is>
      </c>
    </row>
    <row r="2254">
      <c r="A2254" t="inlineStr">
        <is>
          <t>Frete de venda</t>
        </is>
      </c>
      <c r="B2254" t="inlineStr">
        <is>
          <t>2.01.02 Frete sobre Vendas</t>
        </is>
      </c>
      <c r="C2254" t="inlineStr">
        <is>
          <t>Antes de 2026</t>
        </is>
      </c>
      <c r="D2254" t="inlineStr">
        <is>
          <t>Antes de 2026</t>
        </is>
      </c>
      <c r="E2254" s="28" t="n">
        <v>45948</v>
      </c>
      <c r="F2254" t="inlineStr">
        <is>
          <t>CT-e</t>
        </is>
      </c>
      <c r="G2254" t="inlineStr">
        <is>
          <t>000005507</t>
        </is>
      </c>
      <c r="H2254" t="inlineStr">
        <is>
          <t>R&amp;R TRANSPORTE E LOGISTICA</t>
        </is>
      </c>
      <c r="J2254" s="29" t="n">
        <v>786</v>
      </c>
      <c r="K2254" s="29">
        <f>(1-ISNUMBER(SEARCH("556",M2254)))*(O2254*SUMIFS(Premissas!$C$5:$C$44,Premissas!$A$5:$A$44,$A2254,Premissas!$B$5:$B$44,$B2254)+P2254*SUMIFS(Premissas!$D$5:$D$44,Premissas!$A$5:$A$44,$A2254,Premissas!$B$5:$B$44,$B2254))+R2254*SUMIFS(Premissas!$E$5:$E$44,Premissas!$A$5:$A$44,$A2254,Premissas!$B$5:$B$44,$B2254)+S2254*SUMIFS(Premissas!$F$5:$F$44,Premissas!$A$5:$A$44,$A2254,Premissas!$B$5:$B$44,$B2254)</f>
        <v/>
      </c>
      <c r="L2254" s="29">
        <f>J2254-K2254</f>
        <v/>
      </c>
      <c r="M2254" t="inlineStr">
        <is>
          <t>1.350</t>
        </is>
      </c>
      <c r="N2254" t="inlineStr">
        <is>
          <t>Modalidade: 0 - Por conta do remetente | Parte: FRIOS E LATICINIOS PERUANO LTDA (04.656.028/0001-32)</t>
        </is>
      </c>
      <c r="O2254" s="29" t="n">
        <v>0</v>
      </c>
      <c r="P2254" s="29" t="n">
        <v>0</v>
      </c>
      <c r="Q2254" s="29" t="n">
        <v>0</v>
      </c>
      <c r="R2254" s="29" t="n">
        <v>0</v>
      </c>
      <c r="S2254" s="29" t="n">
        <v>0</v>
      </c>
      <c r="T2254" t="inlineStr">
        <is>
          <t>25251026975620000130570010000055071001301242</t>
        </is>
      </c>
      <c r="U2254" t="inlineStr">
        <is>
          <t>Não</t>
        </is>
      </c>
    </row>
    <row r="2255">
      <c r="A2255" t="inlineStr">
        <is>
          <t>Frete de venda</t>
        </is>
      </c>
      <c r="B2255" t="inlineStr">
        <is>
          <t>2.01.02 Frete sobre Vendas</t>
        </is>
      </c>
      <c r="C2255" t="inlineStr">
        <is>
          <t>Antes de 2026</t>
        </is>
      </c>
      <c r="D2255" t="inlineStr">
        <is>
          <t>Antes de 2026</t>
        </is>
      </c>
      <c r="E2255" s="28" t="n">
        <v>45948</v>
      </c>
      <c r="F2255" t="inlineStr">
        <is>
          <t>CT-e</t>
        </is>
      </c>
      <c r="G2255" t="inlineStr">
        <is>
          <t>000005508</t>
        </is>
      </c>
      <c r="H2255" t="inlineStr">
        <is>
          <t>R&amp;R TRANSPORTE E LOGISTICA</t>
        </is>
      </c>
      <c r="J2255" s="29" t="n">
        <v>786</v>
      </c>
      <c r="K2255" s="29">
        <f>(1-ISNUMBER(SEARCH("556",M2255)))*(O2255*SUMIFS(Premissas!$C$5:$C$44,Premissas!$A$5:$A$44,$A2255,Premissas!$B$5:$B$44,$B2255)+P2255*SUMIFS(Premissas!$D$5:$D$44,Premissas!$A$5:$A$44,$A2255,Premissas!$B$5:$B$44,$B2255))+R2255*SUMIFS(Premissas!$E$5:$E$44,Premissas!$A$5:$A$44,$A2255,Premissas!$B$5:$B$44,$B2255)+S2255*SUMIFS(Premissas!$F$5:$F$44,Premissas!$A$5:$A$44,$A2255,Premissas!$B$5:$B$44,$B2255)</f>
        <v/>
      </c>
      <c r="L2255" s="29">
        <f>J2255-K2255</f>
        <v/>
      </c>
      <c r="M2255" t="inlineStr">
        <is>
          <t>1.350</t>
        </is>
      </c>
      <c r="N2255" t="inlineStr">
        <is>
          <t>Modalidade: 0 - Por conta do remetente | Parte: IDEAL COMERCIO DE EMBALAGENS LTDA (09.485.481/0001-47)</t>
        </is>
      </c>
      <c r="O2255" s="29" t="n">
        <v>0</v>
      </c>
      <c r="P2255" s="29" t="n">
        <v>0</v>
      </c>
      <c r="Q2255" s="29" t="n">
        <v>0</v>
      </c>
      <c r="R2255" s="29" t="n">
        <v>0</v>
      </c>
      <c r="S2255" s="29" t="n">
        <v>0</v>
      </c>
      <c r="T2255" t="inlineStr">
        <is>
          <t>25251026975620000130570010000055081000101328</t>
        </is>
      </c>
      <c r="U2255" t="inlineStr">
        <is>
          <t>Não</t>
        </is>
      </c>
    </row>
    <row r="2256">
      <c r="A2256" t="inlineStr">
        <is>
          <t>Frete de venda</t>
        </is>
      </c>
      <c r="B2256" t="inlineStr">
        <is>
          <t>2.01.02 Frete sobre Vendas</t>
        </is>
      </c>
      <c r="C2256" t="inlineStr">
        <is>
          <t>Antes de 2026</t>
        </is>
      </c>
      <c r="D2256" t="inlineStr">
        <is>
          <t>Antes de 2026</t>
        </is>
      </c>
      <c r="E2256" s="28" t="n">
        <v>45948</v>
      </c>
      <c r="F2256" t="inlineStr">
        <is>
          <t>CT-e</t>
        </is>
      </c>
      <c r="G2256" t="inlineStr">
        <is>
          <t>000005509</t>
        </is>
      </c>
      <c r="H2256" t="inlineStr">
        <is>
          <t>R&amp;R TRANSPORTE E LOGISTICA</t>
        </is>
      </c>
      <c r="J2256" s="29" t="n">
        <v>786</v>
      </c>
      <c r="K2256" s="29">
        <f>(1-ISNUMBER(SEARCH("556",M2256)))*(O2256*SUMIFS(Premissas!$C$5:$C$44,Premissas!$A$5:$A$44,$A2256,Premissas!$B$5:$B$44,$B2256)+P2256*SUMIFS(Premissas!$D$5:$D$44,Premissas!$A$5:$A$44,$A2256,Premissas!$B$5:$B$44,$B2256))+R2256*SUMIFS(Premissas!$E$5:$E$44,Premissas!$A$5:$A$44,$A2256,Premissas!$B$5:$B$44,$B2256)+S2256*SUMIFS(Premissas!$F$5:$F$44,Premissas!$A$5:$A$44,$A2256,Premissas!$B$5:$B$44,$B2256)</f>
        <v/>
      </c>
      <c r="L2256" s="29">
        <f>J2256-K2256</f>
        <v/>
      </c>
      <c r="M2256" t="inlineStr">
        <is>
          <t>1.350</t>
        </is>
      </c>
      <c r="N2256" t="inlineStr">
        <is>
          <t>Modalidade: 0 - Por conta do remetente | Parte: TREVO COMERCIO DE EMBALAGENS LTDA (08.178.510/0001-65)</t>
        </is>
      </c>
      <c r="O2256" s="29" t="n">
        <v>0</v>
      </c>
      <c r="P2256" s="29" t="n">
        <v>0</v>
      </c>
      <c r="Q2256" s="29" t="n">
        <v>0</v>
      </c>
      <c r="R2256" s="29" t="n">
        <v>0</v>
      </c>
      <c r="S2256" s="29" t="n">
        <v>0</v>
      </c>
      <c r="T2256" t="inlineStr">
        <is>
          <t>25251026975620000130570010000055091001801401</t>
        </is>
      </c>
      <c r="U2256" t="inlineStr">
        <is>
          <t>Não</t>
        </is>
      </c>
    </row>
    <row r="2257">
      <c r="A2257" t="inlineStr">
        <is>
          <t>Frete de venda</t>
        </is>
      </c>
      <c r="B2257" t="inlineStr">
        <is>
          <t>2.01.02 Frete sobre Vendas</t>
        </is>
      </c>
      <c r="C2257" t="inlineStr">
        <is>
          <t>Antes de 2026</t>
        </is>
      </c>
      <c r="D2257" t="inlineStr">
        <is>
          <t>Antes de 2026</t>
        </is>
      </c>
      <c r="E2257" s="28" t="n">
        <v>45948</v>
      </c>
      <c r="F2257" t="inlineStr">
        <is>
          <t>CT-e</t>
        </is>
      </c>
      <c r="G2257" t="inlineStr">
        <is>
          <t>000005510</t>
        </is>
      </c>
      <c r="H2257" t="inlineStr">
        <is>
          <t>R&amp;R TRANSPORTE E LOGISTICA</t>
        </is>
      </c>
      <c r="J2257" s="29" t="n">
        <v>786</v>
      </c>
      <c r="K2257" s="29">
        <f>(1-ISNUMBER(SEARCH("556",M2257)))*(O2257*SUMIFS(Premissas!$C$5:$C$44,Premissas!$A$5:$A$44,$A2257,Premissas!$B$5:$B$44,$B2257)+P2257*SUMIFS(Premissas!$D$5:$D$44,Premissas!$A$5:$A$44,$A2257,Premissas!$B$5:$B$44,$B2257))+R2257*SUMIFS(Premissas!$E$5:$E$44,Premissas!$A$5:$A$44,$A2257,Premissas!$B$5:$B$44,$B2257)+S2257*SUMIFS(Premissas!$F$5:$F$44,Premissas!$A$5:$A$44,$A2257,Premissas!$B$5:$B$44,$B2257)</f>
        <v/>
      </c>
      <c r="L2257" s="29">
        <f>J2257-K2257</f>
        <v/>
      </c>
      <c r="M2257" t="inlineStr">
        <is>
          <t>1.350</t>
        </is>
      </c>
      <c r="N2257" t="inlineStr">
        <is>
          <t>Modalidade: 0 - Por conta do remetente | Parte: DV COMERCIO DE DOCES E EMBALAGENS LTDA (55.004.644/0001-40)</t>
        </is>
      </c>
      <c r="O2257" s="29" t="n">
        <v>0</v>
      </c>
      <c r="P2257" s="29" t="n">
        <v>0</v>
      </c>
      <c r="Q2257" s="29" t="n">
        <v>0</v>
      </c>
      <c r="R2257" s="29" t="n">
        <v>0</v>
      </c>
      <c r="S2257" s="29" t="n">
        <v>0</v>
      </c>
      <c r="T2257" t="inlineStr">
        <is>
          <t>25251026975620000130570010000055101000190752</t>
        </is>
      </c>
      <c r="U2257" t="inlineStr">
        <is>
          <t>Não</t>
        </is>
      </c>
    </row>
    <row r="2258">
      <c r="A2258" t="inlineStr">
        <is>
          <t>Frete de venda</t>
        </is>
      </c>
      <c r="B2258" t="inlineStr">
        <is>
          <t>2.01.02 Frete sobre Vendas</t>
        </is>
      </c>
      <c r="C2258" t="inlineStr">
        <is>
          <t>Antes de 2026</t>
        </is>
      </c>
      <c r="D2258" t="inlineStr">
        <is>
          <t>Antes de 2026</t>
        </is>
      </c>
      <c r="E2258" s="28" t="n">
        <v>45948</v>
      </c>
      <c r="F2258" t="inlineStr">
        <is>
          <t>CT-e</t>
        </is>
      </c>
      <c r="G2258" t="inlineStr">
        <is>
          <t>000005511</t>
        </is>
      </c>
      <c r="H2258" t="inlineStr">
        <is>
          <t>R&amp;R TRANSPORTE E LOGISTICA</t>
        </is>
      </c>
      <c r="J2258" s="29" t="n">
        <v>786</v>
      </c>
      <c r="K2258" s="29">
        <f>(1-ISNUMBER(SEARCH("556",M2258)))*(O2258*SUMIFS(Premissas!$C$5:$C$44,Premissas!$A$5:$A$44,$A2258,Premissas!$B$5:$B$44,$B2258)+P2258*SUMIFS(Premissas!$D$5:$D$44,Premissas!$A$5:$A$44,$A2258,Premissas!$B$5:$B$44,$B2258))+R2258*SUMIFS(Premissas!$E$5:$E$44,Premissas!$A$5:$A$44,$A2258,Premissas!$B$5:$B$44,$B2258)+S2258*SUMIFS(Premissas!$F$5:$F$44,Premissas!$A$5:$A$44,$A2258,Premissas!$B$5:$B$44,$B2258)</f>
        <v/>
      </c>
      <c r="L2258" s="29">
        <f>J2258-K2258</f>
        <v/>
      </c>
      <c r="M2258" t="inlineStr">
        <is>
          <t>1.350</t>
        </is>
      </c>
      <c r="N2258" t="inlineStr">
        <is>
          <t>Modalidade: 0 - Por conta do remetente | Parte: S PESSOA DISTRIBUIDOR IMPORT E EXPORT LTDA (04.823.214/0001-19)</t>
        </is>
      </c>
      <c r="O2258" s="29" t="n">
        <v>0</v>
      </c>
      <c r="P2258" s="29" t="n">
        <v>0</v>
      </c>
      <c r="Q2258" s="29" t="n">
        <v>0</v>
      </c>
      <c r="R2258" s="29" t="n">
        <v>0</v>
      </c>
      <c r="S2258" s="29" t="n">
        <v>0</v>
      </c>
      <c r="T2258" t="inlineStr">
        <is>
          <t>25251026975620000130570010000055111000160834</t>
        </is>
      </c>
      <c r="U2258" t="inlineStr">
        <is>
          <t>Não</t>
        </is>
      </c>
    </row>
    <row r="2259">
      <c r="A2259" t="inlineStr">
        <is>
          <t>Frete de venda</t>
        </is>
      </c>
      <c r="B2259" t="inlineStr">
        <is>
          <t>2.01.02 Frete sobre Vendas</t>
        </is>
      </c>
      <c r="C2259" t="inlineStr">
        <is>
          <t>Antes de 2026</t>
        </is>
      </c>
      <c r="D2259" t="inlineStr">
        <is>
          <t>Antes de 2026</t>
        </is>
      </c>
      <c r="E2259" s="28" t="n">
        <v>45948</v>
      </c>
      <c r="F2259" t="inlineStr">
        <is>
          <t>CT-e</t>
        </is>
      </c>
      <c r="G2259" t="inlineStr">
        <is>
          <t>000005512</t>
        </is>
      </c>
      <c r="H2259" t="inlineStr">
        <is>
          <t>R&amp;R TRANSPORTE E LOGISTICA</t>
        </is>
      </c>
      <c r="J2259" s="29" t="n">
        <v>786</v>
      </c>
      <c r="K2259" s="29">
        <f>(1-ISNUMBER(SEARCH("556",M2259)))*(O2259*SUMIFS(Premissas!$C$5:$C$44,Premissas!$A$5:$A$44,$A2259,Premissas!$B$5:$B$44,$B2259)+P2259*SUMIFS(Premissas!$D$5:$D$44,Premissas!$A$5:$A$44,$A2259,Premissas!$B$5:$B$44,$B2259))+R2259*SUMIFS(Premissas!$E$5:$E$44,Premissas!$A$5:$A$44,$A2259,Premissas!$B$5:$B$44,$B2259)+S2259*SUMIFS(Premissas!$F$5:$F$44,Premissas!$A$5:$A$44,$A2259,Premissas!$B$5:$B$44,$B2259)</f>
        <v/>
      </c>
      <c r="L2259" s="29">
        <f>J2259-K2259</f>
        <v/>
      </c>
      <c r="M2259" t="inlineStr">
        <is>
          <t>1.350</t>
        </is>
      </c>
      <c r="N2259" t="inlineStr">
        <is>
          <t>Modalidade: 0 - Por conta do remetente | Parte: F. G. ANDRADE FRIOS (14.045.333/0001-41)</t>
        </is>
      </c>
      <c r="O2259" s="29" t="n">
        <v>0</v>
      </c>
      <c r="P2259" s="29" t="n">
        <v>0</v>
      </c>
      <c r="Q2259" s="29" t="n">
        <v>0</v>
      </c>
      <c r="R2259" s="29" t="n">
        <v>0</v>
      </c>
      <c r="S2259" s="29" t="n">
        <v>0</v>
      </c>
      <c r="T2259" t="inlineStr">
        <is>
          <t>25251026975620000130570010000055121000130916</t>
        </is>
      </c>
      <c r="U2259" t="inlineStr">
        <is>
          <t>Não</t>
        </is>
      </c>
    </row>
    <row r="2260">
      <c r="A2260" t="inlineStr">
        <is>
          <t>Frete de venda</t>
        </is>
      </c>
      <c r="B2260" t="inlineStr">
        <is>
          <t>2.01.02 Frete sobre Vendas</t>
        </is>
      </c>
      <c r="C2260" t="inlineStr">
        <is>
          <t>Antes de 2026</t>
        </is>
      </c>
      <c r="D2260" t="inlineStr">
        <is>
          <t>Antes de 2026</t>
        </is>
      </c>
      <c r="E2260" s="28" t="n">
        <v>45951</v>
      </c>
      <c r="F2260" t="inlineStr">
        <is>
          <t>CT-e</t>
        </is>
      </c>
      <c r="G2260" t="inlineStr">
        <is>
          <t>000005519</t>
        </is>
      </c>
      <c r="H2260" t="inlineStr">
        <is>
          <t>R&amp;R TRANSPORTE E LOGISTICA</t>
        </is>
      </c>
      <c r="J2260" s="29" t="n">
        <v>34.39</v>
      </c>
      <c r="K2260" s="29">
        <f>(1-ISNUMBER(SEARCH("556",M2260)))*(O2260*SUMIFS(Premissas!$C$5:$C$44,Premissas!$A$5:$A$44,$A2260,Premissas!$B$5:$B$44,$B2260)+P2260*SUMIFS(Premissas!$D$5:$D$44,Premissas!$A$5:$A$44,$A2260,Premissas!$B$5:$B$44,$B2260))+R2260*SUMIFS(Premissas!$E$5:$E$44,Premissas!$A$5:$A$44,$A2260,Premissas!$B$5:$B$44,$B2260)+S2260*SUMIFS(Premissas!$F$5:$F$44,Premissas!$A$5:$A$44,$A2260,Premissas!$B$5:$B$44,$B2260)</f>
        <v/>
      </c>
      <c r="L2260" s="29">
        <f>J2260-K2260</f>
        <v/>
      </c>
      <c r="M2260" t="inlineStr">
        <is>
          <t>1.350</t>
        </is>
      </c>
      <c r="N2260" t="inlineStr">
        <is>
          <t>Modalidade: 0 - Por conta do remetente | Parte: TEM DE TUDO EMBALAGENS E FESTA LTDA (17.932.921/0001-95)</t>
        </is>
      </c>
      <c r="O2260" s="29" t="n">
        <v>0</v>
      </c>
      <c r="P2260" s="29" t="n">
        <v>0</v>
      </c>
      <c r="Q2260" s="29" t="n">
        <v>0</v>
      </c>
      <c r="R2260" s="29" t="n">
        <v>0</v>
      </c>
      <c r="S2260" s="29" t="n">
        <v>0</v>
      </c>
      <c r="T2260" t="inlineStr">
        <is>
          <t>25251026975620000130570010000055191001801513</t>
        </is>
      </c>
      <c r="U2260" t="inlineStr">
        <is>
          <t>Não</t>
        </is>
      </c>
    </row>
    <row r="2261">
      <c r="A2261" t="inlineStr">
        <is>
          <t>Frete de venda</t>
        </is>
      </c>
      <c r="B2261" t="inlineStr">
        <is>
          <t>2.01.02 Frete sobre Vendas</t>
        </is>
      </c>
      <c r="C2261" t="inlineStr">
        <is>
          <t>Antes de 2026</t>
        </is>
      </c>
      <c r="D2261" t="inlineStr">
        <is>
          <t>Antes de 2026</t>
        </is>
      </c>
      <c r="E2261" s="28" t="n">
        <v>45951</v>
      </c>
      <c r="F2261" t="inlineStr">
        <is>
          <t>CT-e</t>
        </is>
      </c>
      <c r="G2261" t="inlineStr">
        <is>
          <t>000005520</t>
        </is>
      </c>
      <c r="H2261" t="inlineStr">
        <is>
          <t>R&amp;R TRANSPORTE E LOGISTICA</t>
        </is>
      </c>
      <c r="J2261" s="29" t="n">
        <v>70.69</v>
      </c>
      <c r="K2261" s="29">
        <f>(1-ISNUMBER(SEARCH("556",M2261)))*(O2261*SUMIFS(Premissas!$C$5:$C$44,Premissas!$A$5:$A$44,$A2261,Premissas!$B$5:$B$44,$B2261)+P2261*SUMIFS(Premissas!$D$5:$D$44,Premissas!$A$5:$A$44,$A2261,Premissas!$B$5:$B$44,$B2261))+R2261*SUMIFS(Premissas!$E$5:$E$44,Premissas!$A$5:$A$44,$A2261,Premissas!$B$5:$B$44,$B2261)+S2261*SUMIFS(Premissas!$F$5:$F$44,Premissas!$A$5:$A$44,$A2261,Premissas!$B$5:$B$44,$B2261)</f>
        <v/>
      </c>
      <c r="L2261" s="29">
        <f>J2261-K2261</f>
        <v/>
      </c>
      <c r="M2261" t="inlineStr">
        <is>
          <t>1.350</t>
        </is>
      </c>
      <c r="N2261" t="inlineStr">
        <is>
          <t>Modalidade: 0 - Por conta do remetente | Parte: TYGER ATACADISTA E DISTRIBUIDORA LTDA (36.978.497/0001-64)</t>
        </is>
      </c>
      <c r="O2261" s="29" t="n">
        <v>0</v>
      </c>
      <c r="P2261" s="29" t="n">
        <v>0</v>
      </c>
      <c r="Q2261" s="29" t="n">
        <v>0</v>
      </c>
      <c r="R2261" s="29" t="n">
        <v>0</v>
      </c>
      <c r="S2261" s="29" t="n">
        <v>0</v>
      </c>
      <c r="T2261" t="inlineStr">
        <is>
          <t>25251026975620000130570010000055201001501596</t>
        </is>
      </c>
      <c r="U2261" t="inlineStr">
        <is>
          <t>Não</t>
        </is>
      </c>
    </row>
    <row r="2262">
      <c r="A2262" t="inlineStr">
        <is>
          <t>Frete de venda</t>
        </is>
      </c>
      <c r="B2262" t="inlineStr">
        <is>
          <t>2.01.02 Frete sobre Vendas</t>
        </is>
      </c>
      <c r="C2262" t="inlineStr">
        <is>
          <t>Antes de 2026</t>
        </is>
      </c>
      <c r="D2262" t="inlineStr">
        <is>
          <t>Antes de 2026</t>
        </is>
      </c>
      <c r="E2262" s="28" t="n">
        <v>45951</v>
      </c>
      <c r="F2262" t="inlineStr">
        <is>
          <t>CT-e</t>
        </is>
      </c>
      <c r="G2262" t="inlineStr">
        <is>
          <t>000005521</t>
        </is>
      </c>
      <c r="H2262" t="inlineStr">
        <is>
          <t>R&amp;R TRANSPORTE E LOGISTICA</t>
        </is>
      </c>
      <c r="J2262" s="29" t="n">
        <v>36.47</v>
      </c>
      <c r="K2262" s="29">
        <f>(1-ISNUMBER(SEARCH("556",M2262)))*(O2262*SUMIFS(Premissas!$C$5:$C$44,Premissas!$A$5:$A$44,$A2262,Premissas!$B$5:$B$44,$B2262)+P2262*SUMIFS(Premissas!$D$5:$D$44,Premissas!$A$5:$A$44,$A2262,Premissas!$B$5:$B$44,$B2262))+R2262*SUMIFS(Premissas!$E$5:$E$44,Premissas!$A$5:$A$44,$A2262,Premissas!$B$5:$B$44,$B2262)+S2262*SUMIFS(Premissas!$F$5:$F$44,Premissas!$A$5:$A$44,$A2262,Premissas!$B$5:$B$44,$B2262)</f>
        <v/>
      </c>
      <c r="L2262" s="29">
        <f>J2262-K2262</f>
        <v/>
      </c>
      <c r="M2262" t="inlineStr">
        <is>
          <t>1.350</t>
        </is>
      </c>
      <c r="N2262" t="inlineStr">
        <is>
          <t>Modalidade: 0 - Por conta do remetente | Parte: DOCE MEL EMBALAGENS E FESTAS (10.989.624/0001-37)</t>
        </is>
      </c>
      <c r="O2262" s="29" t="n">
        <v>0</v>
      </c>
      <c r="P2262" s="29" t="n">
        <v>0</v>
      </c>
      <c r="Q2262" s="29" t="n">
        <v>0</v>
      </c>
      <c r="R2262" s="29" t="n">
        <v>0</v>
      </c>
      <c r="S2262" s="29" t="n">
        <v>0</v>
      </c>
      <c r="T2262" t="inlineStr">
        <is>
          <t>25251026975620000130570010000055211001201670</t>
        </is>
      </c>
      <c r="U2262" t="inlineStr">
        <is>
          <t>Não</t>
        </is>
      </c>
    </row>
    <row r="2263">
      <c r="A2263" t="inlineStr">
        <is>
          <t>Frete de venda</t>
        </is>
      </c>
      <c r="B2263" t="inlineStr">
        <is>
          <t>2.01.02 Frete sobre Vendas</t>
        </is>
      </c>
      <c r="C2263" t="inlineStr">
        <is>
          <t>Antes de 2026</t>
        </is>
      </c>
      <c r="D2263" t="inlineStr">
        <is>
          <t>Antes de 2026</t>
        </is>
      </c>
      <c r="E2263" s="28" t="n">
        <v>45951</v>
      </c>
      <c r="F2263" t="inlineStr">
        <is>
          <t>CT-e</t>
        </is>
      </c>
      <c r="G2263" t="inlineStr">
        <is>
          <t>000005522</t>
        </is>
      </c>
      <c r="H2263" t="inlineStr">
        <is>
          <t>R&amp;R TRANSPORTE E LOGISTICA</t>
        </is>
      </c>
      <c r="J2263" s="29" t="n">
        <v>33.07</v>
      </c>
      <c r="K2263" s="29">
        <f>(1-ISNUMBER(SEARCH("556",M2263)))*(O2263*SUMIFS(Premissas!$C$5:$C$44,Premissas!$A$5:$A$44,$A2263,Premissas!$B$5:$B$44,$B2263)+P2263*SUMIFS(Premissas!$D$5:$D$44,Premissas!$A$5:$A$44,$A2263,Premissas!$B$5:$B$44,$B2263))+R2263*SUMIFS(Premissas!$E$5:$E$44,Premissas!$A$5:$A$44,$A2263,Premissas!$B$5:$B$44,$B2263)+S2263*SUMIFS(Premissas!$F$5:$F$44,Premissas!$A$5:$A$44,$A2263,Premissas!$B$5:$B$44,$B2263)</f>
        <v/>
      </c>
      <c r="L2263" s="29">
        <f>J2263-K2263</f>
        <v/>
      </c>
      <c r="M2263" t="inlineStr">
        <is>
          <t>1.350</t>
        </is>
      </c>
      <c r="N2263" t="inlineStr">
        <is>
          <t>Modalidade: 0 - Por conta do remetente | Parte: LEANDRO DELFINO DE SOUSA (26.593.516/0001-80)</t>
        </is>
      </c>
      <c r="O2263" s="29" t="n">
        <v>0</v>
      </c>
      <c r="P2263" s="29" t="n">
        <v>0</v>
      </c>
      <c r="Q2263" s="29" t="n">
        <v>0</v>
      </c>
      <c r="R2263" s="29" t="n">
        <v>0</v>
      </c>
      <c r="S2263" s="29" t="n">
        <v>0</v>
      </c>
      <c r="T2263" t="inlineStr">
        <is>
          <t>25251026975620000130570010000055221011001752</t>
        </is>
      </c>
      <c r="U2263" t="inlineStr">
        <is>
          <t>Não</t>
        </is>
      </c>
    </row>
    <row r="2264">
      <c r="A2264" t="inlineStr">
        <is>
          <t>Frete de venda</t>
        </is>
      </c>
      <c r="B2264" t="inlineStr">
        <is>
          <t>2.01.02 Frete sobre Vendas</t>
        </is>
      </c>
      <c r="C2264" t="inlineStr">
        <is>
          <t>Antes de 2026</t>
        </is>
      </c>
      <c r="D2264" t="inlineStr">
        <is>
          <t>Antes de 2026</t>
        </is>
      </c>
      <c r="E2264" s="28" t="n">
        <v>45951</v>
      </c>
      <c r="F2264" t="inlineStr">
        <is>
          <t>CT-e</t>
        </is>
      </c>
      <c r="G2264" t="inlineStr">
        <is>
          <t>000005523</t>
        </is>
      </c>
      <c r="H2264" t="inlineStr">
        <is>
          <t>R&amp;R TRANSPORTE E LOGISTICA</t>
        </is>
      </c>
      <c r="J2264" s="29" t="n">
        <v>106.26</v>
      </c>
      <c r="K2264" s="29">
        <f>(1-ISNUMBER(SEARCH("556",M2264)))*(O2264*SUMIFS(Premissas!$C$5:$C$44,Premissas!$A$5:$A$44,$A2264,Premissas!$B$5:$B$44,$B2264)+P2264*SUMIFS(Premissas!$D$5:$D$44,Premissas!$A$5:$A$44,$A2264,Premissas!$B$5:$B$44,$B2264))+R2264*SUMIFS(Premissas!$E$5:$E$44,Premissas!$A$5:$A$44,$A2264,Premissas!$B$5:$B$44,$B2264)+S2264*SUMIFS(Premissas!$F$5:$F$44,Premissas!$A$5:$A$44,$A2264,Premissas!$B$5:$B$44,$B2264)</f>
        <v/>
      </c>
      <c r="L2264" s="29">
        <f>J2264-K2264</f>
        <v/>
      </c>
      <c r="M2264" t="inlineStr">
        <is>
          <t>1.350</t>
        </is>
      </c>
      <c r="N2264" t="inlineStr">
        <is>
          <t>Modalidade: 0 - Por conta do remetente | Parte: RODRIGUES E CIA LTDA (26.144.570/0001-49)</t>
        </is>
      </c>
      <c r="O2264" s="29" t="n">
        <v>0</v>
      </c>
      <c r="P2264" s="29" t="n">
        <v>0</v>
      </c>
      <c r="Q2264" s="29" t="n">
        <v>0</v>
      </c>
      <c r="R2264" s="29" t="n">
        <v>0</v>
      </c>
      <c r="S2264" s="29" t="n">
        <v>0</v>
      </c>
      <c r="T2264" t="inlineStr">
        <is>
          <t>25251026975620000130570010000055231000101103</t>
        </is>
      </c>
      <c r="U2264" t="inlineStr">
        <is>
          <t>Não</t>
        </is>
      </c>
    </row>
    <row r="2265">
      <c r="A2265" t="inlineStr">
        <is>
          <t>Frete de venda</t>
        </is>
      </c>
      <c r="B2265" t="inlineStr">
        <is>
          <t>2.01.02 Frete sobre Vendas</t>
        </is>
      </c>
      <c r="C2265" t="inlineStr">
        <is>
          <t>Antes de 2026</t>
        </is>
      </c>
      <c r="D2265" t="inlineStr">
        <is>
          <t>Antes de 2026</t>
        </is>
      </c>
      <c r="E2265" s="28" t="n">
        <v>45951</v>
      </c>
      <c r="F2265" t="inlineStr">
        <is>
          <t>CT-e</t>
        </is>
      </c>
      <c r="G2265" t="inlineStr">
        <is>
          <t>000005524</t>
        </is>
      </c>
      <c r="H2265" t="inlineStr">
        <is>
          <t>R&amp;R TRANSPORTE E LOGISTICA</t>
        </is>
      </c>
      <c r="J2265" s="29" t="n">
        <v>35.33</v>
      </c>
      <c r="K2265" s="29">
        <f>(1-ISNUMBER(SEARCH("556",M2265)))*(O2265*SUMIFS(Premissas!$C$5:$C$44,Premissas!$A$5:$A$44,$A2265,Premissas!$B$5:$B$44,$B2265)+P2265*SUMIFS(Premissas!$D$5:$D$44,Premissas!$A$5:$A$44,$A2265,Premissas!$B$5:$B$44,$B2265))+R2265*SUMIFS(Premissas!$E$5:$E$44,Premissas!$A$5:$A$44,$A2265,Premissas!$B$5:$B$44,$B2265)+S2265*SUMIFS(Premissas!$F$5:$F$44,Premissas!$A$5:$A$44,$A2265,Premissas!$B$5:$B$44,$B2265)</f>
        <v/>
      </c>
      <c r="L2265" s="29">
        <f>J2265-K2265</f>
        <v/>
      </c>
      <c r="M2265" t="inlineStr">
        <is>
          <t>1.350</t>
        </is>
      </c>
      <c r="N2265" t="inlineStr">
        <is>
          <t>Modalidade: 0 - Por conta do remetente | Parte: HIPER MIAMI COMERCIO DE ARMARINHO LTDA (24.636.007/0001-62)</t>
        </is>
      </c>
      <c r="O2265" s="29" t="n">
        <v>0</v>
      </c>
      <c r="P2265" s="29" t="n">
        <v>0</v>
      </c>
      <c r="Q2265" s="29" t="n">
        <v>0</v>
      </c>
      <c r="R2265" s="29" t="n">
        <v>0</v>
      </c>
      <c r="S2265" s="29" t="n">
        <v>0</v>
      </c>
      <c r="T2265" t="inlineStr">
        <is>
          <t>25251026975620000130570010000055241001801181</t>
        </is>
      </c>
      <c r="U2265" t="inlineStr">
        <is>
          <t>Não</t>
        </is>
      </c>
    </row>
    <row r="2266">
      <c r="A2266" t="inlineStr">
        <is>
          <t>Frete de venda</t>
        </is>
      </c>
      <c r="B2266" t="inlineStr">
        <is>
          <t>2.01.02 Frete sobre Vendas</t>
        </is>
      </c>
      <c r="C2266" t="inlineStr">
        <is>
          <t>Antes de 2026</t>
        </is>
      </c>
      <c r="D2266" t="inlineStr">
        <is>
          <t>Antes de 2026</t>
        </is>
      </c>
      <c r="E2266" s="28" t="n">
        <v>45951</v>
      </c>
      <c r="F2266" t="inlineStr">
        <is>
          <t>CT-e</t>
        </is>
      </c>
      <c r="G2266" t="inlineStr">
        <is>
          <t>000005525</t>
        </is>
      </c>
      <c r="H2266" t="inlineStr">
        <is>
          <t>R&amp;R TRANSPORTE E LOGISTICA</t>
        </is>
      </c>
      <c r="J2266" s="29" t="n">
        <v>70.76000000000001</v>
      </c>
      <c r="K2266" s="29">
        <f>(1-ISNUMBER(SEARCH("556",M2266)))*(O2266*SUMIFS(Premissas!$C$5:$C$44,Premissas!$A$5:$A$44,$A2266,Premissas!$B$5:$B$44,$B2266)+P2266*SUMIFS(Premissas!$D$5:$D$44,Premissas!$A$5:$A$44,$A2266,Premissas!$B$5:$B$44,$B2266))+R2266*SUMIFS(Premissas!$E$5:$E$44,Premissas!$A$5:$A$44,$A2266,Premissas!$B$5:$B$44,$B2266)+S2266*SUMIFS(Premissas!$F$5:$F$44,Premissas!$A$5:$A$44,$A2266,Premissas!$B$5:$B$44,$B2266)</f>
        <v/>
      </c>
      <c r="L2266" s="29">
        <f>J2266-K2266</f>
        <v/>
      </c>
      <c r="M2266" t="inlineStr">
        <is>
          <t>1.350</t>
        </is>
      </c>
      <c r="N2266" t="inlineStr">
        <is>
          <t>Modalidade: 0 - Por conta do remetente | Parte: LEPETTI DOCES BSB LTDA (27.023.179/0001-59)</t>
        </is>
      </c>
      <c r="O2266" s="29" t="n">
        <v>0</v>
      </c>
      <c r="P2266" s="29" t="n">
        <v>0</v>
      </c>
      <c r="Q2266" s="29" t="n">
        <v>0</v>
      </c>
      <c r="R2266" s="29" t="n">
        <v>0</v>
      </c>
      <c r="S2266" s="29" t="n">
        <v>0</v>
      </c>
      <c r="T2266" t="inlineStr">
        <is>
          <t>25251026975620000130570010000055251001501266</t>
        </is>
      </c>
      <c r="U2266" t="inlineStr">
        <is>
          <t>Não</t>
        </is>
      </c>
    </row>
    <row r="2267">
      <c r="A2267" t="inlineStr">
        <is>
          <t>Frete de venda</t>
        </is>
      </c>
      <c r="B2267" t="inlineStr">
        <is>
          <t>2.01.02 Frete sobre Vendas</t>
        </is>
      </c>
      <c r="C2267" t="inlineStr">
        <is>
          <t>Antes de 2026</t>
        </is>
      </c>
      <c r="D2267" t="inlineStr">
        <is>
          <t>Antes de 2026</t>
        </is>
      </c>
      <c r="E2267" s="28" t="n">
        <v>45953</v>
      </c>
      <c r="F2267" t="inlineStr">
        <is>
          <t>CT-e</t>
        </is>
      </c>
      <c r="G2267" t="inlineStr">
        <is>
          <t>000005529</t>
        </is>
      </c>
      <c r="H2267" t="inlineStr">
        <is>
          <t>R&amp;R TRANSPORTE E LOGISTICA</t>
        </is>
      </c>
      <c r="J2267" s="29" t="n">
        <v>33.91</v>
      </c>
      <c r="K2267" s="29">
        <f>(1-ISNUMBER(SEARCH("556",M2267)))*(O2267*SUMIFS(Premissas!$C$5:$C$44,Premissas!$A$5:$A$44,$A2267,Premissas!$B$5:$B$44,$B2267)+P2267*SUMIFS(Premissas!$D$5:$D$44,Premissas!$A$5:$A$44,$A2267,Premissas!$B$5:$B$44,$B2267))+R2267*SUMIFS(Premissas!$E$5:$E$44,Premissas!$A$5:$A$44,$A2267,Premissas!$B$5:$B$44,$B2267)+S2267*SUMIFS(Premissas!$F$5:$F$44,Premissas!$A$5:$A$44,$A2267,Premissas!$B$5:$B$44,$B2267)</f>
        <v/>
      </c>
      <c r="L2267" s="29">
        <f>J2267-K2267</f>
        <v/>
      </c>
      <c r="M2267" t="inlineStr">
        <is>
          <t>1.350</t>
        </is>
      </c>
      <c r="N2267" t="inlineStr">
        <is>
          <t>Modalidade: 0 - Por conta do remetente | Parte: DISTRIBUIDORA BHF EMGALAGENS E FATIADOS (52.088.370/0001-26)</t>
        </is>
      </c>
      <c r="O2267" s="29" t="n">
        <v>0</v>
      </c>
      <c r="P2267" s="29" t="n">
        <v>0</v>
      </c>
      <c r="Q2267" s="29" t="n">
        <v>0</v>
      </c>
      <c r="R2267" s="29" t="n">
        <v>0</v>
      </c>
      <c r="S2267" s="29" t="n">
        <v>0</v>
      </c>
      <c r="T2267" t="inlineStr">
        <is>
          <t>25251026975620000130570010000055291001701175</t>
        </is>
      </c>
      <c r="U2267" t="inlineStr">
        <is>
          <t>Não</t>
        </is>
      </c>
    </row>
    <row r="2268">
      <c r="A2268" t="inlineStr">
        <is>
          <t>Frete de venda</t>
        </is>
      </c>
      <c r="B2268" t="inlineStr">
        <is>
          <t>2.01.02 Frete sobre Vendas</t>
        </is>
      </c>
      <c r="C2268" t="inlineStr">
        <is>
          <t>Antes de 2026</t>
        </is>
      </c>
      <c r="D2268" t="inlineStr">
        <is>
          <t>Antes de 2026</t>
        </is>
      </c>
      <c r="E2268" s="28" t="n">
        <v>45953</v>
      </c>
      <c r="F2268" t="inlineStr">
        <is>
          <t>CT-e</t>
        </is>
      </c>
      <c r="G2268" t="inlineStr">
        <is>
          <t>000005530</t>
        </is>
      </c>
      <c r="H2268" t="inlineStr">
        <is>
          <t>R&amp;R TRANSPORTE E LOGISTICA</t>
        </is>
      </c>
      <c r="J2268" s="29" t="n">
        <v>40.84</v>
      </c>
      <c r="K2268" s="29">
        <f>(1-ISNUMBER(SEARCH("556",M2268)))*(O2268*SUMIFS(Premissas!$C$5:$C$44,Premissas!$A$5:$A$44,$A2268,Premissas!$B$5:$B$44,$B2268)+P2268*SUMIFS(Premissas!$D$5:$D$44,Premissas!$A$5:$A$44,$A2268,Premissas!$B$5:$B$44,$B2268))+R2268*SUMIFS(Premissas!$E$5:$E$44,Premissas!$A$5:$A$44,$A2268,Premissas!$B$5:$B$44,$B2268)+S2268*SUMIFS(Premissas!$F$5:$F$44,Premissas!$A$5:$A$44,$A2268,Premissas!$B$5:$B$44,$B2268)</f>
        <v/>
      </c>
      <c r="L2268" s="29">
        <f>J2268-K2268</f>
        <v/>
      </c>
      <c r="M2268" t="inlineStr">
        <is>
          <t>1.350</t>
        </is>
      </c>
      <c r="N2268" t="inlineStr">
        <is>
          <t>Modalidade: 0 - Por conta do remetente | Parte: ITAVALE DISTRIBUIDORA LTDA (05.452.972/0001-30)</t>
        </is>
      </c>
      <c r="O2268" s="29" t="n">
        <v>0</v>
      </c>
      <c r="P2268" s="29" t="n">
        <v>0</v>
      </c>
      <c r="Q2268" s="29" t="n">
        <v>0</v>
      </c>
      <c r="R2268" s="29" t="n">
        <v>0</v>
      </c>
      <c r="S2268" s="29" t="n">
        <v>0</v>
      </c>
      <c r="T2268" t="inlineStr">
        <is>
          <t>25251026975620000130570010000055301001401253</t>
        </is>
      </c>
      <c r="U2268" t="inlineStr">
        <is>
          <t>Não</t>
        </is>
      </c>
    </row>
    <row r="2269">
      <c r="A2269" t="inlineStr">
        <is>
          <t>Frete de venda</t>
        </is>
      </c>
      <c r="B2269" t="inlineStr">
        <is>
          <t>2.01.02 Frete sobre Vendas</t>
        </is>
      </c>
      <c r="C2269" t="inlineStr">
        <is>
          <t>Antes de 2026</t>
        </is>
      </c>
      <c r="D2269" t="inlineStr">
        <is>
          <t>Antes de 2026</t>
        </is>
      </c>
      <c r="E2269" s="28" t="n">
        <v>45953</v>
      </c>
      <c r="F2269" t="inlineStr">
        <is>
          <t>CT-e</t>
        </is>
      </c>
      <c r="G2269" t="inlineStr">
        <is>
          <t>000005531</t>
        </is>
      </c>
      <c r="H2269" t="inlineStr">
        <is>
          <t>R&amp;R TRANSPORTE E LOGISTICA</t>
        </is>
      </c>
      <c r="J2269" s="29" t="n">
        <v>35.71</v>
      </c>
      <c r="K2269" s="29">
        <f>(1-ISNUMBER(SEARCH("556",M2269)))*(O2269*SUMIFS(Premissas!$C$5:$C$44,Premissas!$A$5:$A$44,$A2269,Premissas!$B$5:$B$44,$B2269)+P2269*SUMIFS(Premissas!$D$5:$D$44,Premissas!$A$5:$A$44,$A2269,Premissas!$B$5:$B$44,$B2269))+R2269*SUMIFS(Premissas!$E$5:$E$44,Premissas!$A$5:$A$44,$A2269,Premissas!$B$5:$B$44,$B2269)+S2269*SUMIFS(Premissas!$F$5:$F$44,Premissas!$A$5:$A$44,$A2269,Premissas!$B$5:$B$44,$B2269)</f>
        <v/>
      </c>
      <c r="L2269" s="29">
        <f>J2269-K2269</f>
        <v/>
      </c>
      <c r="M2269" t="inlineStr">
        <is>
          <t>1.350</t>
        </is>
      </c>
      <c r="N2269" t="inlineStr">
        <is>
          <t>Modalidade: 0 - Por conta do remetente | Parte: CLG DESCARTAVEIS E EQUIPAMENTOS LTDA (28.182.666/0001-27)</t>
        </is>
      </c>
      <c r="O2269" s="29" t="n">
        <v>0</v>
      </c>
      <c r="P2269" s="29" t="n">
        <v>0</v>
      </c>
      <c r="Q2269" s="29" t="n">
        <v>0</v>
      </c>
      <c r="R2269" s="29" t="n">
        <v>0</v>
      </c>
      <c r="S2269" s="29" t="n">
        <v>0</v>
      </c>
      <c r="T2269" t="inlineStr">
        <is>
          <t>25251026975620000130570010000055311001101338</t>
        </is>
      </c>
      <c r="U2269" t="inlineStr">
        <is>
          <t>Não</t>
        </is>
      </c>
    </row>
    <row r="2270">
      <c r="A2270" t="inlineStr">
        <is>
          <t>Frete de venda</t>
        </is>
      </c>
      <c r="B2270" t="inlineStr">
        <is>
          <t>2.01.02 Frete sobre Vendas</t>
        </is>
      </c>
      <c r="C2270" t="inlineStr">
        <is>
          <t>Antes de 2026</t>
        </is>
      </c>
      <c r="D2270" t="inlineStr">
        <is>
          <t>Antes de 2026</t>
        </is>
      </c>
      <c r="E2270" s="28" t="n">
        <v>45953</v>
      </c>
      <c r="F2270" t="inlineStr">
        <is>
          <t>CT-e</t>
        </is>
      </c>
      <c r="G2270" t="inlineStr">
        <is>
          <t>000005532</t>
        </is>
      </c>
      <c r="H2270" t="inlineStr">
        <is>
          <t>R&amp;R TRANSPORTE E LOGISTICA</t>
        </is>
      </c>
      <c r="J2270" s="29" t="n">
        <v>21.19</v>
      </c>
      <c r="K2270" s="29">
        <f>(1-ISNUMBER(SEARCH("556",M2270)))*(O2270*SUMIFS(Premissas!$C$5:$C$44,Premissas!$A$5:$A$44,$A2270,Premissas!$B$5:$B$44,$B2270)+P2270*SUMIFS(Premissas!$D$5:$D$44,Premissas!$A$5:$A$44,$A2270,Premissas!$B$5:$B$44,$B2270))+R2270*SUMIFS(Premissas!$E$5:$E$44,Premissas!$A$5:$A$44,$A2270,Premissas!$B$5:$B$44,$B2270)+S2270*SUMIFS(Premissas!$F$5:$F$44,Premissas!$A$5:$A$44,$A2270,Premissas!$B$5:$B$44,$B2270)</f>
        <v/>
      </c>
      <c r="L2270" s="29">
        <f>J2270-K2270</f>
        <v/>
      </c>
      <c r="M2270" t="inlineStr">
        <is>
          <t>1.350</t>
        </is>
      </c>
      <c r="N2270" t="inlineStr">
        <is>
          <t>Modalidade: 0 - Por conta do remetente | Parte: CASA DEIR FERRAGENS E FERRAMENTAS LTDA (22.904.166/0001-75)</t>
        </is>
      </c>
      <c r="O2270" s="29" t="n">
        <v>0</v>
      </c>
      <c r="P2270" s="29" t="n">
        <v>0</v>
      </c>
      <c r="Q2270" s="29" t="n">
        <v>0</v>
      </c>
      <c r="R2270" s="29" t="n">
        <v>0</v>
      </c>
      <c r="S2270" s="29" t="n">
        <v>0</v>
      </c>
      <c r="T2270" t="inlineStr">
        <is>
          <t>25251026975620000130570010000055321001901412</t>
        </is>
      </c>
      <c r="U2270" t="inlineStr">
        <is>
          <t>Não</t>
        </is>
      </c>
    </row>
    <row r="2271">
      <c r="A2271" t="inlineStr">
        <is>
          <t>Frete de venda</t>
        </is>
      </c>
      <c r="B2271" t="inlineStr">
        <is>
          <t>2.01.02 Frete sobre Vendas</t>
        </is>
      </c>
      <c r="C2271" t="inlineStr">
        <is>
          <t>Antes de 2026</t>
        </is>
      </c>
      <c r="D2271" t="inlineStr">
        <is>
          <t>Antes de 2026</t>
        </is>
      </c>
      <c r="E2271" s="28" t="n">
        <v>45953</v>
      </c>
      <c r="F2271" t="inlineStr">
        <is>
          <t>CT-e</t>
        </is>
      </c>
      <c r="G2271" t="inlineStr">
        <is>
          <t>000005533</t>
        </is>
      </c>
      <c r="H2271" t="inlineStr">
        <is>
          <t>R&amp;R TRANSPORTE E LOGISTICA</t>
        </is>
      </c>
      <c r="J2271" s="29" t="n">
        <v>44.46</v>
      </c>
      <c r="K2271" s="29">
        <f>(1-ISNUMBER(SEARCH("556",M2271)))*(O2271*SUMIFS(Premissas!$C$5:$C$44,Premissas!$A$5:$A$44,$A2271,Premissas!$B$5:$B$44,$B2271)+P2271*SUMIFS(Premissas!$D$5:$D$44,Premissas!$A$5:$A$44,$A2271,Premissas!$B$5:$B$44,$B2271))+R2271*SUMIFS(Premissas!$E$5:$E$44,Premissas!$A$5:$A$44,$A2271,Premissas!$B$5:$B$44,$B2271)+S2271*SUMIFS(Premissas!$F$5:$F$44,Premissas!$A$5:$A$44,$A2271,Premissas!$B$5:$B$44,$B2271)</f>
        <v/>
      </c>
      <c r="L2271" s="29">
        <f>J2271-K2271</f>
        <v/>
      </c>
      <c r="M2271" t="inlineStr">
        <is>
          <t>1.350</t>
        </is>
      </c>
      <c r="N2271" t="inlineStr">
        <is>
          <t>Modalidade: 0 - Por conta do remetente | Parte: COMERCIAL DE UTILIDADES MULT MATOS LTDA (35.027.191/0001-60)</t>
        </is>
      </c>
      <c r="O2271" s="29" t="n">
        <v>0</v>
      </c>
      <c r="P2271" s="29" t="n">
        <v>0</v>
      </c>
      <c r="Q2271" s="29" t="n">
        <v>0</v>
      </c>
      <c r="R2271" s="29" t="n">
        <v>0</v>
      </c>
      <c r="S2271" s="29" t="n">
        <v>0</v>
      </c>
      <c r="T2271" t="inlineStr">
        <is>
          <t>25251026975620000130570010000055331001601491</t>
        </is>
      </c>
      <c r="U2271" t="inlineStr">
        <is>
          <t>Não</t>
        </is>
      </c>
    </row>
    <row r="2272">
      <c r="A2272" t="inlineStr">
        <is>
          <t>Frete de venda</t>
        </is>
      </c>
      <c r="B2272" t="inlineStr">
        <is>
          <t>2.01.02 Frete sobre Vendas</t>
        </is>
      </c>
      <c r="C2272" t="inlineStr">
        <is>
          <t>Antes de 2026</t>
        </is>
      </c>
      <c r="D2272" t="inlineStr">
        <is>
          <t>Antes de 2026</t>
        </is>
      </c>
      <c r="E2272" s="28" t="n">
        <v>45953</v>
      </c>
      <c r="F2272" t="inlineStr">
        <is>
          <t>CT-e</t>
        </is>
      </c>
      <c r="G2272" t="inlineStr">
        <is>
          <t>000005534</t>
        </is>
      </c>
      <c r="H2272" t="inlineStr">
        <is>
          <t>R&amp;R TRANSPORTE E LOGISTICA</t>
        </is>
      </c>
      <c r="J2272" s="29" t="n">
        <v>49.75</v>
      </c>
      <c r="K2272" s="29">
        <f>(1-ISNUMBER(SEARCH("556",M2272)))*(O2272*SUMIFS(Premissas!$C$5:$C$44,Premissas!$A$5:$A$44,$A2272,Premissas!$B$5:$B$44,$B2272)+P2272*SUMIFS(Premissas!$D$5:$D$44,Premissas!$A$5:$A$44,$A2272,Premissas!$B$5:$B$44,$B2272))+R2272*SUMIFS(Premissas!$E$5:$E$44,Premissas!$A$5:$A$44,$A2272,Premissas!$B$5:$B$44,$B2272)+S2272*SUMIFS(Premissas!$F$5:$F$44,Premissas!$A$5:$A$44,$A2272,Premissas!$B$5:$B$44,$B2272)</f>
        <v/>
      </c>
      <c r="L2272" s="29">
        <f>J2272-K2272</f>
        <v/>
      </c>
      <c r="M2272" t="inlineStr">
        <is>
          <t>1.350</t>
        </is>
      </c>
      <c r="N2272" t="inlineStr">
        <is>
          <t>Modalidade: 0 - Por conta do remetente | Parte: SELLPACK DISTRIBUIDORA LTDA (07.747.107/0002-28)</t>
        </is>
      </c>
      <c r="O2272" s="29" t="n">
        <v>0</v>
      </c>
      <c r="P2272" s="29" t="n">
        <v>0</v>
      </c>
      <c r="Q2272" s="29" t="n">
        <v>0</v>
      </c>
      <c r="R2272" s="29" t="n">
        <v>0</v>
      </c>
      <c r="S2272" s="29" t="n">
        <v>0</v>
      </c>
      <c r="T2272" t="inlineStr">
        <is>
          <t>25251026975620000130570010000055341001301576</t>
        </is>
      </c>
      <c r="U2272" t="inlineStr">
        <is>
          <t>Não</t>
        </is>
      </c>
    </row>
    <row r="2273">
      <c r="A2273" t="inlineStr">
        <is>
          <t>Frete de venda</t>
        </is>
      </c>
      <c r="B2273" t="inlineStr">
        <is>
          <t>2.01.02 Frete sobre Vendas</t>
        </is>
      </c>
      <c r="C2273" t="inlineStr">
        <is>
          <t>Antes de 2026</t>
        </is>
      </c>
      <c r="D2273" t="inlineStr">
        <is>
          <t>Antes de 2026</t>
        </is>
      </c>
      <c r="E2273" s="28" t="n">
        <v>45953</v>
      </c>
      <c r="F2273" t="inlineStr">
        <is>
          <t>CT-e</t>
        </is>
      </c>
      <c r="G2273" t="inlineStr">
        <is>
          <t>000005535</t>
        </is>
      </c>
      <c r="H2273" t="inlineStr">
        <is>
          <t>R&amp;R TRANSPORTE E LOGISTICA</t>
        </is>
      </c>
      <c r="J2273" s="29" t="n">
        <v>35.11</v>
      </c>
      <c r="K2273" s="29">
        <f>(1-ISNUMBER(SEARCH("556",M2273)))*(O2273*SUMIFS(Premissas!$C$5:$C$44,Premissas!$A$5:$A$44,$A2273,Premissas!$B$5:$B$44,$B2273)+P2273*SUMIFS(Premissas!$D$5:$D$44,Premissas!$A$5:$A$44,$A2273,Premissas!$B$5:$B$44,$B2273))+R2273*SUMIFS(Premissas!$E$5:$E$44,Premissas!$A$5:$A$44,$A2273,Premissas!$B$5:$B$44,$B2273)+S2273*SUMIFS(Premissas!$F$5:$F$44,Premissas!$A$5:$A$44,$A2273,Premissas!$B$5:$B$44,$B2273)</f>
        <v/>
      </c>
      <c r="L2273" s="29">
        <f>J2273-K2273</f>
        <v/>
      </c>
      <c r="M2273" t="inlineStr">
        <is>
          <t>1.350</t>
        </is>
      </c>
      <c r="N2273" t="inlineStr">
        <is>
          <t>Modalidade: 0 - Por conta do remetente | Parte: CASINHAPEL EMBALAGENS LTDA (13.190.805/0001-97)</t>
        </is>
      </c>
      <c r="O2273" s="29" t="n">
        <v>0</v>
      </c>
      <c r="P2273" s="29" t="n">
        <v>0</v>
      </c>
      <c r="Q2273" s="29" t="n">
        <v>0</v>
      </c>
      <c r="R2273" s="29" t="n">
        <v>0</v>
      </c>
      <c r="S2273" s="29" t="n">
        <v>0</v>
      </c>
      <c r="T2273" t="inlineStr">
        <is>
          <t>25251026975620000130570010000055351000101651</t>
        </is>
      </c>
      <c r="U2273" t="inlineStr">
        <is>
          <t>Não</t>
        </is>
      </c>
    </row>
    <row r="2274">
      <c r="A2274" t="inlineStr">
        <is>
          <t>Frete de venda</t>
        </is>
      </c>
      <c r="B2274" t="inlineStr">
        <is>
          <t>2.01.02 Frete sobre Vendas</t>
        </is>
      </c>
      <c r="C2274" t="inlineStr">
        <is>
          <t>Antes de 2026</t>
        </is>
      </c>
      <c r="D2274" t="inlineStr">
        <is>
          <t>Antes de 2026</t>
        </is>
      </c>
      <c r="E2274" s="28" t="n">
        <v>45953</v>
      </c>
      <c r="F2274" t="inlineStr">
        <is>
          <t>CT-e</t>
        </is>
      </c>
      <c r="G2274" t="inlineStr">
        <is>
          <t>000005536</t>
        </is>
      </c>
      <c r="H2274" t="inlineStr">
        <is>
          <t>R&amp;R TRANSPORTE E LOGISTICA</t>
        </is>
      </c>
      <c r="J2274" s="29" t="n">
        <v>24.51</v>
      </c>
      <c r="K2274" s="29">
        <f>(1-ISNUMBER(SEARCH("556",M2274)))*(O2274*SUMIFS(Premissas!$C$5:$C$44,Premissas!$A$5:$A$44,$A2274,Premissas!$B$5:$B$44,$B2274)+P2274*SUMIFS(Premissas!$D$5:$D$44,Premissas!$A$5:$A$44,$A2274,Premissas!$B$5:$B$44,$B2274))+R2274*SUMIFS(Premissas!$E$5:$E$44,Premissas!$A$5:$A$44,$A2274,Premissas!$B$5:$B$44,$B2274)+S2274*SUMIFS(Premissas!$F$5:$F$44,Premissas!$A$5:$A$44,$A2274,Premissas!$B$5:$B$44,$B2274)</f>
        <v/>
      </c>
      <c r="L2274" s="29">
        <f>J2274-K2274</f>
        <v/>
      </c>
      <c r="M2274" t="inlineStr">
        <is>
          <t>1.350</t>
        </is>
      </c>
      <c r="N2274" t="inlineStr">
        <is>
          <t>Modalidade: 0 - Por conta do remetente | Parte: CASA DAS EMBALAGENS OLIVEIRA LTDA (09.016.431/0001-10)</t>
        </is>
      </c>
      <c r="O2274" s="29" t="n">
        <v>0</v>
      </c>
      <c r="P2274" s="29" t="n">
        <v>0</v>
      </c>
      <c r="Q2274" s="29" t="n">
        <v>0</v>
      </c>
      <c r="R2274" s="29" t="n">
        <v>0</v>
      </c>
      <c r="S2274" s="29" t="n">
        <v>0</v>
      </c>
      <c r="T2274" t="inlineStr">
        <is>
          <t>25251026975620000130570010000055361001801735</t>
        </is>
      </c>
      <c r="U2274" t="inlineStr">
        <is>
          <t>Não</t>
        </is>
      </c>
    </row>
    <row r="2275">
      <c r="A2275" t="inlineStr">
        <is>
          <t>Frete de venda</t>
        </is>
      </c>
      <c r="B2275" t="inlineStr">
        <is>
          <t>2.01.02 Frete sobre Vendas</t>
        </is>
      </c>
      <c r="C2275" t="inlineStr">
        <is>
          <t>Antes de 2026</t>
        </is>
      </c>
      <c r="D2275" t="inlineStr">
        <is>
          <t>Antes de 2026</t>
        </is>
      </c>
      <c r="E2275" s="28" t="n">
        <v>45953</v>
      </c>
      <c r="F2275" t="inlineStr">
        <is>
          <t>CT-e</t>
        </is>
      </c>
      <c r="G2275" t="inlineStr">
        <is>
          <t>000005537</t>
        </is>
      </c>
      <c r="H2275" t="inlineStr">
        <is>
          <t>R&amp;R TRANSPORTE E LOGISTICA</t>
        </is>
      </c>
      <c r="J2275" s="29" t="n">
        <v>30.66</v>
      </c>
      <c r="K2275" s="29">
        <f>(1-ISNUMBER(SEARCH("556",M2275)))*(O2275*SUMIFS(Premissas!$C$5:$C$44,Premissas!$A$5:$A$44,$A2275,Premissas!$B$5:$B$44,$B2275)+P2275*SUMIFS(Premissas!$D$5:$D$44,Premissas!$A$5:$A$44,$A2275,Premissas!$B$5:$B$44,$B2275))+R2275*SUMIFS(Premissas!$E$5:$E$44,Premissas!$A$5:$A$44,$A2275,Premissas!$B$5:$B$44,$B2275)+S2275*SUMIFS(Premissas!$F$5:$F$44,Premissas!$A$5:$A$44,$A2275,Premissas!$B$5:$B$44,$B2275)</f>
        <v/>
      </c>
      <c r="L2275" s="29">
        <f>J2275-K2275</f>
        <v/>
      </c>
      <c r="M2275" t="inlineStr">
        <is>
          <t>1.350</t>
        </is>
      </c>
      <c r="N2275" t="inlineStr">
        <is>
          <t>Modalidade: 0 - Por conta do remetente | Parte: PLASTICENTRO LTDA (23.168.206/0001-20)</t>
        </is>
      </c>
      <c r="O2275" s="29" t="n">
        <v>0</v>
      </c>
      <c r="P2275" s="29" t="n">
        <v>0</v>
      </c>
      <c r="Q2275" s="29" t="n">
        <v>0</v>
      </c>
      <c r="R2275" s="29" t="n">
        <v>0</v>
      </c>
      <c r="S2275" s="29" t="n">
        <v>0</v>
      </c>
      <c r="T2275" t="inlineStr">
        <is>
          <t>25251026975620000130570010000055371001501810</t>
        </is>
      </c>
      <c r="U2275" t="inlineStr">
        <is>
          <t>Não</t>
        </is>
      </c>
    </row>
    <row r="2276">
      <c r="A2276" t="inlineStr">
        <is>
          <t>Frete de venda</t>
        </is>
      </c>
      <c r="B2276" t="inlineStr">
        <is>
          <t>2.01.02 Frete sobre Vendas</t>
        </is>
      </c>
      <c r="C2276" t="inlineStr">
        <is>
          <t>Antes de 2026</t>
        </is>
      </c>
      <c r="D2276" t="inlineStr">
        <is>
          <t>Antes de 2026</t>
        </is>
      </c>
      <c r="E2276" s="28" t="n">
        <v>45953</v>
      </c>
      <c r="F2276" t="inlineStr">
        <is>
          <t>CT-e</t>
        </is>
      </c>
      <c r="G2276" t="inlineStr">
        <is>
          <t>000005538</t>
        </is>
      </c>
      <c r="H2276" t="inlineStr">
        <is>
          <t>R&amp;R TRANSPORTE E LOGISTICA</t>
        </is>
      </c>
      <c r="J2276" s="29" t="n">
        <v>66.48</v>
      </c>
      <c r="K2276" s="29">
        <f>(1-ISNUMBER(SEARCH("556",M2276)))*(O2276*SUMIFS(Premissas!$C$5:$C$44,Premissas!$A$5:$A$44,$A2276,Premissas!$B$5:$B$44,$B2276)+P2276*SUMIFS(Premissas!$D$5:$D$44,Premissas!$A$5:$A$44,$A2276,Premissas!$B$5:$B$44,$B2276))+R2276*SUMIFS(Premissas!$E$5:$E$44,Premissas!$A$5:$A$44,$A2276,Premissas!$B$5:$B$44,$B2276)+S2276*SUMIFS(Premissas!$F$5:$F$44,Premissas!$A$5:$A$44,$A2276,Premissas!$B$5:$B$44,$B2276)</f>
        <v/>
      </c>
      <c r="L2276" s="29">
        <f>J2276-K2276</f>
        <v/>
      </c>
      <c r="M2276" t="inlineStr">
        <is>
          <t>1.350</t>
        </is>
      </c>
      <c r="N2276" t="inlineStr">
        <is>
          <t>Modalidade: 0 - Por conta do remetente | Parte: CENTRAL EMBALAGENS ALTERNATIVAS LTDA. (07.335.109/0001-29)</t>
        </is>
      </c>
      <c r="O2276" s="29" t="n">
        <v>0</v>
      </c>
      <c r="P2276" s="29" t="n">
        <v>0</v>
      </c>
      <c r="Q2276" s="29" t="n">
        <v>0</v>
      </c>
      <c r="R2276" s="29" t="n">
        <v>0</v>
      </c>
      <c r="S2276" s="29" t="n">
        <v>0</v>
      </c>
      <c r="T2276" t="inlineStr">
        <is>
          <t>25251026975620000130570010000055381001601161</t>
        </is>
      </c>
      <c r="U2276" t="inlineStr">
        <is>
          <t>Não</t>
        </is>
      </c>
    </row>
    <row r="2277">
      <c r="A2277" t="inlineStr">
        <is>
          <t>Frete de venda</t>
        </is>
      </c>
      <c r="B2277" t="inlineStr">
        <is>
          <t>2.01.02 Frete sobre Vendas</t>
        </is>
      </c>
      <c r="C2277" t="inlineStr">
        <is>
          <t>Antes de 2026</t>
        </is>
      </c>
      <c r="D2277" t="inlineStr">
        <is>
          <t>Antes de 2026</t>
        </is>
      </c>
      <c r="E2277" s="28" t="n">
        <v>45953</v>
      </c>
      <c r="F2277" t="inlineStr">
        <is>
          <t>CT-e</t>
        </is>
      </c>
      <c r="G2277" t="inlineStr">
        <is>
          <t>000005539</t>
        </is>
      </c>
      <c r="H2277" t="inlineStr">
        <is>
          <t>R&amp;R TRANSPORTE E LOGISTICA</t>
        </is>
      </c>
      <c r="J2277" s="29" t="n">
        <v>21.16</v>
      </c>
      <c r="K2277" s="29">
        <f>(1-ISNUMBER(SEARCH("556",M2277)))*(O2277*SUMIFS(Premissas!$C$5:$C$44,Premissas!$A$5:$A$44,$A2277,Premissas!$B$5:$B$44,$B2277)+P2277*SUMIFS(Premissas!$D$5:$D$44,Premissas!$A$5:$A$44,$A2277,Premissas!$B$5:$B$44,$B2277))+R2277*SUMIFS(Premissas!$E$5:$E$44,Premissas!$A$5:$A$44,$A2277,Premissas!$B$5:$B$44,$B2277)+S2277*SUMIFS(Premissas!$F$5:$F$44,Premissas!$A$5:$A$44,$A2277,Premissas!$B$5:$B$44,$B2277)</f>
        <v/>
      </c>
      <c r="L2277" s="29">
        <f>J2277-K2277</f>
        <v/>
      </c>
      <c r="M2277" t="inlineStr">
        <is>
          <t>1.350</t>
        </is>
      </c>
      <c r="N2277" t="inlineStr">
        <is>
          <t>Modalidade: 0 - Por conta do remetente | Parte: LEILA MARIA DE SOUZA MAGALHAES (30.753.782/0001-09)</t>
        </is>
      </c>
      <c r="O2277" s="29" t="n">
        <v>0</v>
      </c>
      <c r="P2277" s="29" t="n">
        <v>0</v>
      </c>
      <c r="Q2277" s="29" t="n">
        <v>0</v>
      </c>
      <c r="R2277" s="29" t="n">
        <v>0</v>
      </c>
      <c r="S2277" s="29" t="n">
        <v>0</v>
      </c>
      <c r="T2277" t="inlineStr">
        <is>
          <t>25251026975620000130570010000055391001301246</t>
        </is>
      </c>
      <c r="U2277" t="inlineStr">
        <is>
          <t>Não</t>
        </is>
      </c>
    </row>
    <row r="2278">
      <c r="A2278" t="inlineStr">
        <is>
          <t>Frete de venda</t>
        </is>
      </c>
      <c r="B2278" t="inlineStr">
        <is>
          <t>2.01.02 Frete sobre Vendas</t>
        </is>
      </c>
      <c r="C2278" t="inlineStr">
        <is>
          <t>Antes de 2026</t>
        </is>
      </c>
      <c r="D2278" t="inlineStr">
        <is>
          <t>Antes de 2026</t>
        </is>
      </c>
      <c r="E2278" s="28" t="n">
        <v>45954</v>
      </c>
      <c r="F2278" t="inlineStr">
        <is>
          <t>CT-e</t>
        </is>
      </c>
      <c r="G2278" t="inlineStr">
        <is>
          <t>000005550</t>
        </is>
      </c>
      <c r="H2278" t="inlineStr">
        <is>
          <t>R&amp;R TRANSPORTE E LOGISTICA</t>
        </is>
      </c>
      <c r="J2278" s="29" t="n">
        <v>149.06</v>
      </c>
      <c r="K2278" s="29">
        <f>(1-ISNUMBER(SEARCH("556",M2278)))*(O2278*SUMIFS(Premissas!$C$5:$C$44,Premissas!$A$5:$A$44,$A2278,Premissas!$B$5:$B$44,$B2278)+P2278*SUMIFS(Premissas!$D$5:$D$44,Premissas!$A$5:$A$44,$A2278,Premissas!$B$5:$B$44,$B2278))+R2278*SUMIFS(Premissas!$E$5:$E$44,Premissas!$A$5:$A$44,$A2278,Premissas!$B$5:$B$44,$B2278)+S2278*SUMIFS(Premissas!$F$5:$F$44,Premissas!$A$5:$A$44,$A2278,Premissas!$B$5:$B$44,$B2278)</f>
        <v/>
      </c>
      <c r="L2278" s="29">
        <f>J2278-K2278</f>
        <v/>
      </c>
      <c r="M2278" t="inlineStr">
        <is>
          <t>1.350</t>
        </is>
      </c>
      <c r="N2278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2278" s="29" t="n">
        <v>0</v>
      </c>
      <c r="P2278" s="29" t="n">
        <v>0</v>
      </c>
      <c r="Q2278" s="29" t="n">
        <v>0</v>
      </c>
      <c r="R2278" s="29" t="n">
        <v>0</v>
      </c>
      <c r="S2278" s="29" t="n">
        <v>0</v>
      </c>
      <c r="T2278" t="inlineStr">
        <is>
          <t>25251026975620000130570010000055501000101879</t>
        </is>
      </c>
      <c r="U2278" t="inlineStr">
        <is>
          <t>Não</t>
        </is>
      </c>
    </row>
    <row r="2279">
      <c r="A2279" t="inlineStr">
        <is>
          <t>Frete de venda</t>
        </is>
      </c>
      <c r="B2279" t="inlineStr">
        <is>
          <t>2.01.02 Frete sobre Vendas</t>
        </is>
      </c>
      <c r="C2279" t="inlineStr">
        <is>
          <t>Antes de 2026</t>
        </is>
      </c>
      <c r="D2279" t="inlineStr">
        <is>
          <t>Antes de 2026</t>
        </is>
      </c>
      <c r="E2279" s="28" t="n">
        <v>45954</v>
      </c>
      <c r="F2279" t="inlineStr">
        <is>
          <t>CT-e</t>
        </is>
      </c>
      <c r="G2279" t="inlineStr">
        <is>
          <t>000005551</t>
        </is>
      </c>
      <c r="H2279" t="inlineStr">
        <is>
          <t>R&amp;R TRANSPORTE E LOGISTICA</t>
        </is>
      </c>
      <c r="J2279" s="29" t="n">
        <v>759.4400000000001</v>
      </c>
      <c r="K2279" s="29">
        <f>(1-ISNUMBER(SEARCH("556",M2279)))*(O2279*SUMIFS(Premissas!$C$5:$C$44,Premissas!$A$5:$A$44,$A2279,Premissas!$B$5:$B$44,$B2279)+P2279*SUMIFS(Premissas!$D$5:$D$44,Premissas!$A$5:$A$44,$A2279,Premissas!$B$5:$B$44,$B2279))+R2279*SUMIFS(Premissas!$E$5:$E$44,Premissas!$A$5:$A$44,$A2279,Premissas!$B$5:$B$44,$B2279)+S2279*SUMIFS(Premissas!$F$5:$F$44,Premissas!$A$5:$A$44,$A2279,Premissas!$B$5:$B$44,$B2279)</f>
        <v/>
      </c>
      <c r="L2279" s="29">
        <f>J2279-K2279</f>
        <v/>
      </c>
      <c r="M2279" t="inlineStr">
        <is>
          <t>1.350</t>
        </is>
      </c>
      <c r="N2279" t="inlineStr">
        <is>
          <t>Modalidade: 0 - Por conta do remetente | Parte: STAMP DISTRIBUIDORA DE EMBALAGENS DE PAPEL E DESCARTAVEIS LT (27.707.575/0003-67)</t>
        </is>
      </c>
      <c r="O2279" s="29" t="n">
        <v>0</v>
      </c>
      <c r="P2279" s="29" t="n">
        <v>0</v>
      </c>
      <c r="Q2279" s="29" t="n">
        <v>0</v>
      </c>
      <c r="R2279" s="29" t="n">
        <v>0</v>
      </c>
      <c r="S2279" s="29" t="n">
        <v>0</v>
      </c>
      <c r="T2279" t="inlineStr">
        <is>
          <t>25251026975620000130570010000055511001801952</t>
        </is>
      </c>
      <c r="U2279" t="inlineStr">
        <is>
          <t>Não</t>
        </is>
      </c>
    </row>
    <row r="2280">
      <c r="A2280" t="inlineStr">
        <is>
          <t>Frete de venda</t>
        </is>
      </c>
      <c r="B2280" t="inlineStr">
        <is>
          <t>2.01.02 Frete sobre Vendas</t>
        </is>
      </c>
      <c r="C2280" t="inlineStr">
        <is>
          <t>Antes de 2026</t>
        </is>
      </c>
      <c r="D2280" t="inlineStr">
        <is>
          <t>Antes de 2026</t>
        </is>
      </c>
      <c r="E2280" s="28" t="n">
        <v>45955</v>
      </c>
      <c r="F2280" t="inlineStr">
        <is>
          <t>CT-e</t>
        </is>
      </c>
      <c r="G2280" t="inlineStr">
        <is>
          <t>000005552</t>
        </is>
      </c>
      <c r="H2280" t="inlineStr">
        <is>
          <t>R&amp;R TRANSPORTE E LOGISTICA</t>
        </is>
      </c>
      <c r="J2280" s="29" t="n">
        <v>286.43</v>
      </c>
      <c r="K2280" s="29">
        <f>(1-ISNUMBER(SEARCH("556",M2280)))*(O2280*SUMIFS(Premissas!$C$5:$C$44,Premissas!$A$5:$A$44,$A2280,Premissas!$B$5:$B$44,$B2280)+P2280*SUMIFS(Premissas!$D$5:$D$44,Premissas!$A$5:$A$44,$A2280,Premissas!$B$5:$B$44,$B2280))+R2280*SUMIFS(Premissas!$E$5:$E$44,Premissas!$A$5:$A$44,$A2280,Premissas!$B$5:$B$44,$B2280)+S2280*SUMIFS(Premissas!$F$5:$F$44,Premissas!$A$5:$A$44,$A2280,Premissas!$B$5:$B$44,$B2280)</f>
        <v/>
      </c>
      <c r="L2280" s="29">
        <f>J2280-K2280</f>
        <v/>
      </c>
      <c r="M2280" t="inlineStr">
        <is>
          <t>1.350</t>
        </is>
      </c>
      <c r="N2280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2280" s="29" t="n">
        <v>0</v>
      </c>
      <c r="P2280" s="29" t="n">
        <v>0</v>
      </c>
      <c r="Q2280" s="29" t="n">
        <v>0</v>
      </c>
      <c r="R2280" s="29" t="n">
        <v>0</v>
      </c>
      <c r="S2280" s="29" t="n">
        <v>0</v>
      </c>
      <c r="T2280" t="inlineStr">
        <is>
          <t>25251026975620000130570010000055521001901300</t>
        </is>
      </c>
      <c r="U2280" t="inlineStr">
        <is>
          <t>Não</t>
        </is>
      </c>
    </row>
    <row r="2281">
      <c r="A2281" t="inlineStr">
        <is>
          <t>Frete de venda</t>
        </is>
      </c>
      <c r="B2281" t="inlineStr">
        <is>
          <t>2.01.02 Frete sobre Vendas</t>
        </is>
      </c>
      <c r="C2281" t="inlineStr">
        <is>
          <t>Antes de 2026</t>
        </is>
      </c>
      <c r="D2281" t="inlineStr">
        <is>
          <t>Antes de 2026</t>
        </is>
      </c>
      <c r="E2281" s="28" t="n">
        <v>45955</v>
      </c>
      <c r="F2281" t="inlineStr">
        <is>
          <t>CT-e</t>
        </is>
      </c>
      <c r="G2281" t="inlineStr">
        <is>
          <t>000005553</t>
        </is>
      </c>
      <c r="H2281" t="inlineStr">
        <is>
          <t>R&amp;R TRANSPORTE E LOGISTICA</t>
        </is>
      </c>
      <c r="J2281" s="29" t="n">
        <v>17.82</v>
      </c>
      <c r="K2281" s="29">
        <f>(1-ISNUMBER(SEARCH("556",M2281)))*(O2281*SUMIFS(Premissas!$C$5:$C$44,Premissas!$A$5:$A$44,$A2281,Premissas!$B$5:$B$44,$B2281)+P2281*SUMIFS(Premissas!$D$5:$D$44,Premissas!$A$5:$A$44,$A2281,Premissas!$B$5:$B$44,$B2281))+R2281*SUMIFS(Premissas!$E$5:$E$44,Premissas!$A$5:$A$44,$A2281,Premissas!$B$5:$B$44,$B2281)+S2281*SUMIFS(Premissas!$F$5:$F$44,Premissas!$A$5:$A$44,$A2281,Premissas!$B$5:$B$44,$B2281)</f>
        <v/>
      </c>
      <c r="L2281" s="29">
        <f>J2281-K2281</f>
        <v/>
      </c>
      <c r="M2281" t="inlineStr">
        <is>
          <t>1.350</t>
        </is>
      </c>
      <c r="N2281" t="inlineStr">
        <is>
          <t>Modalidade: 0 - Por conta do remetente | Parte: RP REPRESENTACOES COMERCIAIS LTDA (13.501.357/0001-03)</t>
        </is>
      </c>
      <c r="O2281" s="29" t="n">
        <v>0</v>
      </c>
      <c r="P2281" s="29" t="n">
        <v>0</v>
      </c>
      <c r="Q2281" s="29" t="n">
        <v>0</v>
      </c>
      <c r="R2281" s="29" t="n">
        <v>0</v>
      </c>
      <c r="S2281" s="29" t="n">
        <v>0</v>
      </c>
      <c r="T2281" t="inlineStr">
        <is>
          <t>25251026975620000130570010000055531001601389</t>
        </is>
      </c>
      <c r="U2281" t="inlineStr">
        <is>
          <t>Não</t>
        </is>
      </c>
    </row>
    <row r="2282">
      <c r="A2282" t="inlineStr">
        <is>
          <t>Frete de venda</t>
        </is>
      </c>
      <c r="B2282" t="inlineStr">
        <is>
          <t>2.01.02 Frete sobre Vendas</t>
        </is>
      </c>
      <c r="C2282" t="inlineStr">
        <is>
          <t>Antes de 2026</t>
        </is>
      </c>
      <c r="D2282" t="inlineStr">
        <is>
          <t>Antes de 2026</t>
        </is>
      </c>
      <c r="E2282" s="28" t="n">
        <v>45955</v>
      </c>
      <c r="F2282" t="inlineStr">
        <is>
          <t>CT-e</t>
        </is>
      </c>
      <c r="G2282" t="inlineStr">
        <is>
          <t>000005554</t>
        </is>
      </c>
      <c r="H2282" t="inlineStr">
        <is>
          <t>R&amp;R TRANSPORTE E LOGISTICA</t>
        </is>
      </c>
      <c r="J2282" s="29" t="n">
        <v>44.89</v>
      </c>
      <c r="K2282" s="29">
        <f>(1-ISNUMBER(SEARCH("556",M2282)))*(O2282*SUMIFS(Premissas!$C$5:$C$44,Premissas!$A$5:$A$44,$A2282,Premissas!$B$5:$B$44,$B2282)+P2282*SUMIFS(Premissas!$D$5:$D$44,Premissas!$A$5:$A$44,$A2282,Premissas!$B$5:$B$44,$B2282))+R2282*SUMIFS(Premissas!$E$5:$E$44,Premissas!$A$5:$A$44,$A2282,Premissas!$B$5:$B$44,$B2282)+S2282*SUMIFS(Premissas!$F$5:$F$44,Premissas!$A$5:$A$44,$A2282,Premissas!$B$5:$B$44,$B2282)</f>
        <v/>
      </c>
      <c r="L2282" s="29">
        <f>J2282-K2282</f>
        <v/>
      </c>
      <c r="M2282" t="inlineStr">
        <is>
          <t>1.350</t>
        </is>
      </c>
      <c r="N2282" t="inlineStr">
        <is>
          <t>Modalidade: 0 - Por conta do remetente | Parte: CLEIBY DAROSSI LTDA (07.499.225/0002-64)</t>
        </is>
      </c>
      <c r="O2282" s="29" t="n">
        <v>0</v>
      </c>
      <c r="P2282" s="29" t="n">
        <v>0</v>
      </c>
      <c r="Q2282" s="29" t="n">
        <v>0</v>
      </c>
      <c r="R2282" s="29" t="n">
        <v>0</v>
      </c>
      <c r="S2282" s="29" t="n">
        <v>0</v>
      </c>
      <c r="T2282" t="inlineStr">
        <is>
          <t>25251026975620000130570010000055541001301463</t>
        </is>
      </c>
      <c r="U2282" t="inlineStr">
        <is>
          <t>Não</t>
        </is>
      </c>
    </row>
    <row r="2283">
      <c r="A2283" t="inlineStr">
        <is>
          <t>Frete de venda</t>
        </is>
      </c>
      <c r="B2283" t="inlineStr">
        <is>
          <t>2.01.02 Frete sobre Vendas</t>
        </is>
      </c>
      <c r="C2283" t="inlineStr">
        <is>
          <t>Antes de 2026</t>
        </is>
      </c>
      <c r="D2283" t="inlineStr">
        <is>
          <t>Antes de 2026</t>
        </is>
      </c>
      <c r="E2283" s="28" t="n">
        <v>45955</v>
      </c>
      <c r="F2283" t="inlineStr">
        <is>
          <t>CT-e</t>
        </is>
      </c>
      <c r="G2283" t="inlineStr">
        <is>
          <t>000005555</t>
        </is>
      </c>
      <c r="H2283" t="inlineStr">
        <is>
          <t>R&amp;R TRANSPORTE E LOGISTICA</t>
        </is>
      </c>
      <c r="J2283" s="29" t="n">
        <v>33.13</v>
      </c>
      <c r="K2283" s="29">
        <f>(1-ISNUMBER(SEARCH("556",M2283)))*(O2283*SUMIFS(Premissas!$C$5:$C$44,Premissas!$A$5:$A$44,$A2283,Premissas!$B$5:$B$44,$B2283)+P2283*SUMIFS(Premissas!$D$5:$D$44,Premissas!$A$5:$A$44,$A2283,Premissas!$B$5:$B$44,$B2283))+R2283*SUMIFS(Premissas!$E$5:$E$44,Premissas!$A$5:$A$44,$A2283,Premissas!$B$5:$B$44,$B2283)+S2283*SUMIFS(Premissas!$F$5:$F$44,Premissas!$A$5:$A$44,$A2283,Premissas!$B$5:$B$44,$B2283)</f>
        <v/>
      </c>
      <c r="L2283" s="29">
        <f>J2283-K2283</f>
        <v/>
      </c>
      <c r="M2283" t="inlineStr">
        <is>
          <t>1.350</t>
        </is>
      </c>
      <c r="N2283" t="inlineStr">
        <is>
          <t>Modalidade: 0 - Por conta do remetente | Parte: PONTAO DAS FABRICAS LTDA (83.199.000/0001-90)</t>
        </is>
      </c>
      <c r="O2283" s="29" t="n">
        <v>0</v>
      </c>
      <c r="P2283" s="29" t="n">
        <v>0</v>
      </c>
      <c r="Q2283" s="29" t="n">
        <v>0</v>
      </c>
      <c r="R2283" s="29" t="n">
        <v>0</v>
      </c>
      <c r="S2283" s="29" t="n">
        <v>0</v>
      </c>
      <c r="T2283" t="inlineStr">
        <is>
          <t>25251026975620000130570010000055551000101549</t>
        </is>
      </c>
      <c r="U2283" t="inlineStr">
        <is>
          <t>Não</t>
        </is>
      </c>
    </row>
    <row r="2284">
      <c r="A2284" t="inlineStr">
        <is>
          <t>Frete de venda</t>
        </is>
      </c>
      <c r="B2284" t="inlineStr">
        <is>
          <t>2.01.02 Frete sobre Vendas</t>
        </is>
      </c>
      <c r="C2284" t="inlineStr">
        <is>
          <t>Antes de 2026</t>
        </is>
      </c>
      <c r="D2284" t="inlineStr">
        <is>
          <t>Antes de 2026</t>
        </is>
      </c>
      <c r="E2284" s="28" t="n">
        <v>45955</v>
      </c>
      <c r="F2284" t="inlineStr">
        <is>
          <t>CT-e</t>
        </is>
      </c>
      <c r="G2284" t="inlineStr">
        <is>
          <t>000005556</t>
        </is>
      </c>
      <c r="H2284" t="inlineStr">
        <is>
          <t>R&amp;R TRANSPORTE E LOGISTICA</t>
        </is>
      </c>
      <c r="J2284" s="29" t="n">
        <v>16.65</v>
      </c>
      <c r="K2284" s="29">
        <f>(1-ISNUMBER(SEARCH("556",M2284)))*(O2284*SUMIFS(Premissas!$C$5:$C$44,Premissas!$A$5:$A$44,$A2284,Premissas!$B$5:$B$44,$B2284)+P2284*SUMIFS(Premissas!$D$5:$D$44,Premissas!$A$5:$A$44,$A2284,Premissas!$B$5:$B$44,$B2284))+R2284*SUMIFS(Premissas!$E$5:$E$44,Premissas!$A$5:$A$44,$A2284,Premissas!$B$5:$B$44,$B2284)+S2284*SUMIFS(Premissas!$F$5:$F$44,Premissas!$A$5:$A$44,$A2284,Premissas!$B$5:$B$44,$B2284)</f>
        <v/>
      </c>
      <c r="L2284" s="29">
        <f>J2284-K2284</f>
        <v/>
      </c>
      <c r="M2284" t="inlineStr">
        <is>
          <t>1.350</t>
        </is>
      </c>
      <c r="N2284" t="inlineStr">
        <is>
          <t>Modalidade: 0 - Por conta do remetente | Parte: SANDRA HELENA GALANTE RODRIGUES LTDA (10.326.778/0001-49)</t>
        </is>
      </c>
      <c r="O2284" s="29" t="n">
        <v>0</v>
      </c>
      <c r="P2284" s="29" t="n">
        <v>0</v>
      </c>
      <c r="Q2284" s="29" t="n">
        <v>0</v>
      </c>
      <c r="R2284" s="29" t="n">
        <v>0</v>
      </c>
      <c r="S2284" s="29" t="n">
        <v>0</v>
      </c>
      <c r="T2284" t="inlineStr">
        <is>
          <t>25251026975620000130570010000055561001801622</t>
        </is>
      </c>
      <c r="U2284" t="inlineStr">
        <is>
          <t>Não</t>
        </is>
      </c>
    </row>
    <row r="2285">
      <c r="A2285" t="inlineStr">
        <is>
          <t>Frete de venda</t>
        </is>
      </c>
      <c r="B2285" t="inlineStr">
        <is>
          <t>2.01.02 Frete sobre Vendas</t>
        </is>
      </c>
      <c r="C2285" t="inlineStr">
        <is>
          <t>Antes de 2026</t>
        </is>
      </c>
      <c r="D2285" t="inlineStr">
        <is>
          <t>Antes de 2026</t>
        </is>
      </c>
      <c r="E2285" s="28" t="n">
        <v>45955</v>
      </c>
      <c r="F2285" t="inlineStr">
        <is>
          <t>CT-e</t>
        </is>
      </c>
      <c r="G2285" t="inlineStr">
        <is>
          <t>000005557</t>
        </is>
      </c>
      <c r="H2285" t="inlineStr">
        <is>
          <t>R&amp;R TRANSPORTE E LOGISTICA</t>
        </is>
      </c>
      <c r="J2285" s="29" t="n">
        <v>14.01</v>
      </c>
      <c r="K2285" s="29">
        <f>(1-ISNUMBER(SEARCH("556",M2285)))*(O2285*SUMIFS(Premissas!$C$5:$C$44,Premissas!$A$5:$A$44,$A2285,Premissas!$B$5:$B$44,$B2285)+P2285*SUMIFS(Premissas!$D$5:$D$44,Premissas!$A$5:$A$44,$A2285,Premissas!$B$5:$B$44,$B2285))+R2285*SUMIFS(Premissas!$E$5:$E$44,Premissas!$A$5:$A$44,$A2285,Premissas!$B$5:$B$44,$B2285)+S2285*SUMIFS(Premissas!$F$5:$F$44,Premissas!$A$5:$A$44,$A2285,Premissas!$B$5:$B$44,$B2285)</f>
        <v/>
      </c>
      <c r="L2285" s="29">
        <f>J2285-K2285</f>
        <v/>
      </c>
      <c r="M2285" t="inlineStr">
        <is>
          <t>1.350</t>
        </is>
      </c>
      <c r="N2285" t="inlineStr">
        <is>
          <t>Modalidade: 0 - Por conta do remetente | Parte: KIMURA E CANTO LTDA (38.392.308/0002-83)</t>
        </is>
      </c>
      <c r="O2285" s="29" t="n">
        <v>0</v>
      </c>
      <c r="P2285" s="29" t="n">
        <v>0</v>
      </c>
      <c r="Q2285" s="29" t="n">
        <v>0</v>
      </c>
      <c r="R2285" s="29" t="n">
        <v>0</v>
      </c>
      <c r="S2285" s="29" t="n">
        <v>0</v>
      </c>
      <c r="T2285" t="inlineStr">
        <is>
          <t>25251026975620000130570010000055571001501707</t>
        </is>
      </c>
      <c r="U2285" t="inlineStr">
        <is>
          <t>Não</t>
        </is>
      </c>
    </row>
    <row r="2286">
      <c r="A2286" t="inlineStr">
        <is>
          <t>Frete de venda</t>
        </is>
      </c>
      <c r="B2286" t="inlineStr">
        <is>
          <t>2.01.02 Frete sobre Vendas</t>
        </is>
      </c>
      <c r="C2286" t="inlineStr">
        <is>
          <t>Antes de 2026</t>
        </is>
      </c>
      <c r="D2286" t="inlineStr">
        <is>
          <t>Antes de 2026</t>
        </is>
      </c>
      <c r="E2286" s="28" t="n">
        <v>45955</v>
      </c>
      <c r="F2286" t="inlineStr">
        <is>
          <t>CT-e</t>
        </is>
      </c>
      <c r="G2286" t="inlineStr">
        <is>
          <t>000005558</t>
        </is>
      </c>
      <c r="H2286" t="inlineStr">
        <is>
          <t>R&amp;R TRANSPORTE E LOGISTICA</t>
        </is>
      </c>
      <c r="J2286" s="29" t="n">
        <v>20.76</v>
      </c>
      <c r="K2286" s="29">
        <f>(1-ISNUMBER(SEARCH("556",M2286)))*(O2286*SUMIFS(Premissas!$C$5:$C$44,Premissas!$A$5:$A$44,$A2286,Premissas!$B$5:$B$44,$B2286)+P2286*SUMIFS(Premissas!$D$5:$D$44,Premissas!$A$5:$A$44,$A2286,Premissas!$B$5:$B$44,$B2286))+R2286*SUMIFS(Premissas!$E$5:$E$44,Premissas!$A$5:$A$44,$A2286,Premissas!$B$5:$B$44,$B2286)+S2286*SUMIFS(Premissas!$F$5:$F$44,Premissas!$A$5:$A$44,$A2286,Premissas!$B$5:$B$44,$B2286)</f>
        <v/>
      </c>
      <c r="L2286" s="29">
        <f>J2286-K2286</f>
        <v/>
      </c>
      <c r="M2286" t="inlineStr">
        <is>
          <t>1.350</t>
        </is>
      </c>
      <c r="N2286" t="inlineStr">
        <is>
          <t>Modalidade: 0 - Por conta do remetente | Parte: MEIRE F. P. LOURENCO (11.719.420/0001-49)</t>
        </is>
      </c>
      <c r="O2286" s="29" t="n">
        <v>0</v>
      </c>
      <c r="P2286" s="29" t="n">
        <v>0</v>
      </c>
      <c r="Q2286" s="29" t="n">
        <v>0</v>
      </c>
      <c r="R2286" s="29" t="n">
        <v>0</v>
      </c>
      <c r="S2286" s="29" t="n">
        <v>0</v>
      </c>
      <c r="T2286" t="inlineStr">
        <is>
          <t>25251026975620000130570010000055581001201786</t>
        </is>
      </c>
      <c r="U2286" t="inlineStr">
        <is>
          <t>Não</t>
        </is>
      </c>
    </row>
    <row r="2287">
      <c r="A2287" t="inlineStr">
        <is>
          <t>Frete de venda</t>
        </is>
      </c>
      <c r="B2287" t="inlineStr">
        <is>
          <t>2.01.02 Frete sobre Vendas</t>
        </is>
      </c>
      <c r="C2287" t="inlineStr">
        <is>
          <t>Antes de 2026</t>
        </is>
      </c>
      <c r="D2287" t="inlineStr">
        <is>
          <t>Antes de 2026</t>
        </is>
      </c>
      <c r="E2287" s="28" t="n">
        <v>45955</v>
      </c>
      <c r="F2287" t="inlineStr">
        <is>
          <t>CT-e</t>
        </is>
      </c>
      <c r="G2287" t="inlineStr">
        <is>
          <t>000005559</t>
        </is>
      </c>
      <c r="H2287" t="inlineStr">
        <is>
          <t>R&amp;R TRANSPORTE E LOGISTICA</t>
        </is>
      </c>
      <c r="J2287" s="29" t="n">
        <v>79.63</v>
      </c>
      <c r="K2287" s="29">
        <f>(1-ISNUMBER(SEARCH("556",M2287)))*(O2287*SUMIFS(Premissas!$C$5:$C$44,Premissas!$A$5:$A$44,$A2287,Premissas!$B$5:$B$44,$B2287)+P2287*SUMIFS(Premissas!$D$5:$D$44,Premissas!$A$5:$A$44,$A2287,Premissas!$B$5:$B$44,$B2287))+R2287*SUMIFS(Premissas!$E$5:$E$44,Premissas!$A$5:$A$44,$A2287,Premissas!$B$5:$B$44,$B2287)+S2287*SUMIFS(Premissas!$F$5:$F$44,Premissas!$A$5:$A$44,$A2287,Premissas!$B$5:$B$44,$B2287)</f>
        <v/>
      </c>
      <c r="L2287" s="29">
        <f>J2287-K2287</f>
        <v/>
      </c>
      <c r="M2287" t="inlineStr">
        <is>
          <t>1.350</t>
        </is>
      </c>
      <c r="N2287" t="inlineStr">
        <is>
          <t>Modalidade: 0 - Por conta do remetente | Parte: BEBIFRIOS COMERCIAL LTDA (05.796.195/0001-41)</t>
        </is>
      </c>
      <c r="O2287" s="29" t="n">
        <v>0</v>
      </c>
      <c r="P2287" s="29" t="n">
        <v>0</v>
      </c>
      <c r="Q2287" s="29" t="n">
        <v>0</v>
      </c>
      <c r="R2287" s="29" t="n">
        <v>0</v>
      </c>
      <c r="S2287" s="29" t="n">
        <v>0</v>
      </c>
      <c r="T2287" t="inlineStr">
        <is>
          <t>25251026975620000130570010000055591011001868</t>
        </is>
      </c>
      <c r="U2287" t="inlineStr">
        <is>
          <t>Não</t>
        </is>
      </c>
    </row>
    <row r="2288">
      <c r="A2288" t="inlineStr">
        <is>
          <t>Frete de venda</t>
        </is>
      </c>
      <c r="B2288" t="inlineStr">
        <is>
          <t>2.01.02 Frete sobre Vendas</t>
        </is>
      </c>
      <c r="C2288" t="inlineStr">
        <is>
          <t>Antes de 2026</t>
        </is>
      </c>
      <c r="D2288" t="inlineStr">
        <is>
          <t>Antes de 2026</t>
        </is>
      </c>
      <c r="E2288" s="28" t="n">
        <v>45955</v>
      </c>
      <c r="F2288" t="inlineStr">
        <is>
          <t>CT-e</t>
        </is>
      </c>
      <c r="G2288" t="inlineStr">
        <is>
          <t>000005560</t>
        </is>
      </c>
      <c r="H2288" t="inlineStr">
        <is>
          <t>R&amp;R TRANSPORTE E LOGISTICA</t>
        </is>
      </c>
      <c r="J2288" s="29" t="n">
        <v>21.85</v>
      </c>
      <c r="K2288" s="29">
        <f>(1-ISNUMBER(SEARCH("556",M2288)))*(O2288*SUMIFS(Premissas!$C$5:$C$44,Premissas!$A$5:$A$44,$A2288,Premissas!$B$5:$B$44,$B2288)+P2288*SUMIFS(Premissas!$D$5:$D$44,Premissas!$A$5:$A$44,$A2288,Premissas!$B$5:$B$44,$B2288))+R2288*SUMIFS(Premissas!$E$5:$E$44,Premissas!$A$5:$A$44,$A2288,Premissas!$B$5:$B$44,$B2288)+S2288*SUMIFS(Premissas!$F$5:$F$44,Premissas!$A$5:$A$44,$A2288,Premissas!$B$5:$B$44,$B2288)</f>
        <v/>
      </c>
      <c r="L2288" s="29">
        <f>J2288-K2288</f>
        <v/>
      </c>
      <c r="M2288" t="inlineStr">
        <is>
          <t>1.350</t>
        </is>
      </c>
      <c r="N2288" t="inlineStr">
        <is>
          <t>Modalidade: 0 - Por conta do remetente | Parte: CENTRAL DA EMBALAGEM LTDA (40.409.557/0001-03)</t>
        </is>
      </c>
      <c r="O2288" s="29" t="n">
        <v>0</v>
      </c>
      <c r="P2288" s="29" t="n">
        <v>0</v>
      </c>
      <c r="Q2288" s="29" t="n">
        <v>0</v>
      </c>
      <c r="R2288" s="29" t="n">
        <v>0</v>
      </c>
      <c r="S2288" s="29" t="n">
        <v>0</v>
      </c>
      <c r="T2288" t="inlineStr">
        <is>
          <t>25251026975620000130570010000055601001701949</t>
        </is>
      </c>
      <c r="U2288" t="inlineStr">
        <is>
          <t>Não</t>
        </is>
      </c>
    </row>
    <row r="2289">
      <c r="A2289" t="inlineStr">
        <is>
          <t>Frete de venda</t>
        </is>
      </c>
      <c r="B2289" t="inlineStr">
        <is>
          <t>2.01.02 Frete sobre Vendas</t>
        </is>
      </c>
      <c r="C2289" t="inlineStr">
        <is>
          <t>Antes de 2026</t>
        </is>
      </c>
      <c r="D2289" t="inlineStr">
        <is>
          <t>Antes de 2026</t>
        </is>
      </c>
      <c r="E2289" s="28" t="n">
        <v>45955</v>
      </c>
      <c r="F2289" t="inlineStr">
        <is>
          <t>CT-e</t>
        </is>
      </c>
      <c r="G2289" t="inlineStr">
        <is>
          <t>000005561</t>
        </is>
      </c>
      <c r="H2289" t="inlineStr">
        <is>
          <t>R&amp;R TRANSPORTE E LOGISTICA</t>
        </is>
      </c>
      <c r="J2289" s="29" t="n">
        <v>15.72</v>
      </c>
      <c r="K2289" s="29">
        <f>(1-ISNUMBER(SEARCH("556",M2289)))*(O2289*SUMIFS(Premissas!$C$5:$C$44,Premissas!$A$5:$A$44,$A2289,Premissas!$B$5:$B$44,$B2289)+P2289*SUMIFS(Premissas!$D$5:$D$44,Premissas!$A$5:$A$44,$A2289,Premissas!$B$5:$B$44,$B2289))+R2289*SUMIFS(Premissas!$E$5:$E$44,Premissas!$A$5:$A$44,$A2289,Premissas!$B$5:$B$44,$B2289)+S2289*SUMIFS(Premissas!$F$5:$F$44,Premissas!$A$5:$A$44,$A2289,Premissas!$B$5:$B$44,$B2289)</f>
        <v/>
      </c>
      <c r="L2289" s="29">
        <f>J2289-K2289</f>
        <v/>
      </c>
      <c r="M2289" t="inlineStr">
        <is>
          <t>1.350</t>
        </is>
      </c>
      <c r="N2289" t="inlineStr">
        <is>
          <t>Modalidade: 0 - Por conta do remetente | Parte: FIBRASIL COMERCIAL LTDA (16.697.552/0001-30)</t>
        </is>
      </c>
      <c r="O2289" s="29" t="n">
        <v>0</v>
      </c>
      <c r="P2289" s="29" t="n">
        <v>0</v>
      </c>
      <c r="Q2289" s="29" t="n">
        <v>0</v>
      </c>
      <c r="R2289" s="29" t="n">
        <v>0</v>
      </c>
      <c r="S2289" s="29" t="n">
        <v>0</v>
      </c>
      <c r="T2289" t="inlineStr">
        <is>
          <t>25251026975620000130570010000055611001402027</t>
        </is>
      </c>
      <c r="U2289" t="inlineStr">
        <is>
          <t>Não</t>
        </is>
      </c>
    </row>
    <row r="2290">
      <c r="A2290" t="inlineStr">
        <is>
          <t>Frete de venda</t>
        </is>
      </c>
      <c r="B2290" t="inlineStr">
        <is>
          <t>2.01.02 Frete sobre Vendas</t>
        </is>
      </c>
      <c r="C2290" t="inlineStr">
        <is>
          <t>Antes de 2026</t>
        </is>
      </c>
      <c r="D2290" t="inlineStr">
        <is>
          <t>Antes de 2026</t>
        </is>
      </c>
      <c r="E2290" s="28" t="n">
        <v>45955</v>
      </c>
      <c r="F2290" t="inlineStr">
        <is>
          <t>CT-e</t>
        </is>
      </c>
      <c r="G2290" t="inlineStr">
        <is>
          <t>000005562</t>
        </is>
      </c>
      <c r="H2290" t="inlineStr">
        <is>
          <t>R&amp;R TRANSPORTE E LOGISTICA</t>
        </is>
      </c>
      <c r="J2290" s="29" t="n">
        <v>80.39</v>
      </c>
      <c r="K2290" s="29">
        <f>(1-ISNUMBER(SEARCH("556",M2290)))*(O2290*SUMIFS(Premissas!$C$5:$C$44,Premissas!$A$5:$A$44,$A2290,Premissas!$B$5:$B$44,$B2290)+P2290*SUMIFS(Premissas!$D$5:$D$44,Premissas!$A$5:$A$44,$A2290,Premissas!$B$5:$B$44,$B2290))+R2290*SUMIFS(Premissas!$E$5:$E$44,Premissas!$A$5:$A$44,$A2290,Premissas!$B$5:$B$44,$B2290)+S2290*SUMIFS(Premissas!$F$5:$F$44,Premissas!$A$5:$A$44,$A2290,Premissas!$B$5:$B$44,$B2290)</f>
        <v/>
      </c>
      <c r="L2290" s="29">
        <f>J2290-K2290</f>
        <v/>
      </c>
      <c r="M2290" t="inlineStr">
        <is>
          <t>1.350</t>
        </is>
      </c>
      <c r="N2290" t="inlineStr">
        <is>
          <t>Modalidade: 0 - Por conta do remetente | Parte: VIZETO COMERCIO DE EMBALAGENS LTDA. (04.078.174/0001-28)</t>
        </is>
      </c>
      <c r="O2290" s="29" t="n">
        <v>0</v>
      </c>
      <c r="P2290" s="29" t="n">
        <v>0</v>
      </c>
      <c r="Q2290" s="29" t="n">
        <v>0</v>
      </c>
      <c r="R2290" s="29" t="n">
        <v>0</v>
      </c>
      <c r="S2290" s="29" t="n">
        <v>0</v>
      </c>
      <c r="T2290" t="inlineStr">
        <is>
          <t>25251026975620000130570010000055621000170189</t>
        </is>
      </c>
      <c r="U2290" t="inlineStr">
        <is>
          <t>Não</t>
        </is>
      </c>
    </row>
    <row r="2291">
      <c r="A2291" t="inlineStr">
        <is>
          <t>Frete de venda</t>
        </is>
      </c>
      <c r="B2291" t="inlineStr">
        <is>
          <t>2.01.02 Frete sobre Vendas</t>
        </is>
      </c>
      <c r="C2291" t="inlineStr">
        <is>
          <t>Antes de 2026</t>
        </is>
      </c>
      <c r="D2291" t="inlineStr">
        <is>
          <t>Antes de 2026</t>
        </is>
      </c>
      <c r="E2291" s="28" t="n">
        <v>45955</v>
      </c>
      <c r="F2291" t="inlineStr">
        <is>
          <t>CT-e</t>
        </is>
      </c>
      <c r="G2291" t="inlineStr">
        <is>
          <t>000005563</t>
        </is>
      </c>
      <c r="H2291" t="inlineStr">
        <is>
          <t>R&amp;R TRANSPORTE E LOGISTICA</t>
        </is>
      </c>
      <c r="J2291" s="29" t="n">
        <v>38.53</v>
      </c>
      <c r="K2291" s="29">
        <f>(1-ISNUMBER(SEARCH("556",M2291)))*(O2291*SUMIFS(Premissas!$C$5:$C$44,Premissas!$A$5:$A$44,$A2291,Premissas!$B$5:$B$44,$B2291)+P2291*SUMIFS(Premissas!$D$5:$D$44,Premissas!$A$5:$A$44,$A2291,Premissas!$B$5:$B$44,$B2291))+R2291*SUMIFS(Premissas!$E$5:$E$44,Premissas!$A$5:$A$44,$A2291,Premissas!$B$5:$B$44,$B2291)+S2291*SUMIFS(Premissas!$F$5:$F$44,Premissas!$A$5:$A$44,$A2291,Premissas!$B$5:$B$44,$B2291)</f>
        <v/>
      </c>
      <c r="L2291" s="29">
        <f>J2291-K2291</f>
        <v/>
      </c>
      <c r="M2291" t="inlineStr">
        <is>
          <t>1.350</t>
        </is>
      </c>
      <c r="N2291" t="inlineStr">
        <is>
          <t>Modalidade: 0 - Por conta do remetente | Parte: MERCADO VOGFORT LTDA (07.307.013/0001-57)</t>
        </is>
      </c>
      <c r="O2291" s="29" t="n">
        <v>0</v>
      </c>
      <c r="P2291" s="29" t="n">
        <v>0</v>
      </c>
      <c r="Q2291" s="29" t="n">
        <v>0</v>
      </c>
      <c r="R2291" s="29" t="n">
        <v>0</v>
      </c>
      <c r="S2291" s="29" t="n">
        <v>0</v>
      </c>
      <c r="T2291" t="inlineStr">
        <is>
          <t>25251026975620000130570010000055631000140260</t>
        </is>
      </c>
      <c r="U2291" t="inlineStr">
        <is>
          <t>Não</t>
        </is>
      </c>
    </row>
    <row r="2292">
      <c r="A2292" t="inlineStr">
        <is>
          <t>Frete de venda</t>
        </is>
      </c>
      <c r="B2292" t="inlineStr">
        <is>
          <t>2.01.02 Frete sobre Vendas</t>
        </is>
      </c>
      <c r="C2292" t="inlineStr">
        <is>
          <t>Antes de 2026</t>
        </is>
      </c>
      <c r="D2292" t="inlineStr">
        <is>
          <t>Antes de 2026</t>
        </is>
      </c>
      <c r="E2292" s="28" t="n">
        <v>45955</v>
      </c>
      <c r="F2292" t="inlineStr">
        <is>
          <t>CT-e</t>
        </is>
      </c>
      <c r="G2292" t="inlineStr">
        <is>
          <t>000005564</t>
        </is>
      </c>
      <c r="H2292" t="inlineStr">
        <is>
          <t>R&amp;R TRANSPORTE E LOGISTICA</t>
        </is>
      </c>
      <c r="J2292" s="29" t="n">
        <v>36.32</v>
      </c>
      <c r="K2292" s="29">
        <f>(1-ISNUMBER(SEARCH("556",M2292)))*(O2292*SUMIFS(Premissas!$C$5:$C$44,Premissas!$A$5:$A$44,$A2292,Premissas!$B$5:$B$44,$B2292)+P2292*SUMIFS(Premissas!$D$5:$D$44,Premissas!$A$5:$A$44,$A2292,Premissas!$B$5:$B$44,$B2292))+R2292*SUMIFS(Premissas!$E$5:$E$44,Premissas!$A$5:$A$44,$A2292,Premissas!$B$5:$B$44,$B2292)+S2292*SUMIFS(Premissas!$F$5:$F$44,Premissas!$A$5:$A$44,$A2292,Premissas!$B$5:$B$44,$B2292)</f>
        <v/>
      </c>
      <c r="L2292" s="29">
        <f>J2292-K2292</f>
        <v/>
      </c>
      <c r="M2292" t="inlineStr">
        <is>
          <t>1.350</t>
        </is>
      </c>
      <c r="N2292" t="inlineStr">
        <is>
          <t>Modalidade: 0 - Por conta do remetente | Parte: ROSSET EMBALAGENS E PAPELARIA LTDA (50.656.847/0001-05)</t>
        </is>
      </c>
      <c r="O2292" s="29" t="n">
        <v>0</v>
      </c>
      <c r="P2292" s="29" t="n">
        <v>0</v>
      </c>
      <c r="Q2292" s="29" t="n">
        <v>0</v>
      </c>
      <c r="R2292" s="29" t="n">
        <v>0</v>
      </c>
      <c r="S2292" s="29" t="n">
        <v>0</v>
      </c>
      <c r="T2292" t="inlineStr">
        <is>
          <t>25251026975620000130570010000055641000110342</t>
        </is>
      </c>
      <c r="U2292" t="inlineStr">
        <is>
          <t>Não</t>
        </is>
      </c>
    </row>
    <row r="2293">
      <c r="A2293" t="inlineStr">
        <is>
          <t>Frete de venda</t>
        </is>
      </c>
      <c r="B2293" t="inlineStr">
        <is>
          <t>2.01.02 Frete sobre Vendas</t>
        </is>
      </c>
      <c r="C2293" t="inlineStr">
        <is>
          <t>Antes de 2026</t>
        </is>
      </c>
      <c r="D2293" t="inlineStr">
        <is>
          <t>Antes de 2026</t>
        </is>
      </c>
      <c r="E2293" s="28" t="n">
        <v>45955</v>
      </c>
      <c r="F2293" t="inlineStr">
        <is>
          <t>CT-e</t>
        </is>
      </c>
      <c r="G2293" t="inlineStr">
        <is>
          <t>000005565</t>
        </is>
      </c>
      <c r="H2293" t="inlineStr">
        <is>
          <t>R&amp;R TRANSPORTE E LOGISTICA</t>
        </is>
      </c>
      <c r="J2293" s="29" t="n">
        <v>21.28</v>
      </c>
      <c r="K2293" s="29">
        <f>(1-ISNUMBER(SEARCH("556",M2293)))*(O2293*SUMIFS(Premissas!$C$5:$C$44,Premissas!$A$5:$A$44,$A2293,Premissas!$B$5:$B$44,$B2293)+P2293*SUMIFS(Premissas!$D$5:$D$44,Premissas!$A$5:$A$44,$A2293,Premissas!$B$5:$B$44,$B2293))+R2293*SUMIFS(Premissas!$E$5:$E$44,Premissas!$A$5:$A$44,$A2293,Premissas!$B$5:$B$44,$B2293)+S2293*SUMIFS(Premissas!$F$5:$F$44,Premissas!$A$5:$A$44,$A2293,Premissas!$B$5:$B$44,$B2293)</f>
        <v/>
      </c>
      <c r="L2293" s="29">
        <f>J2293-K2293</f>
        <v/>
      </c>
      <c r="M2293" t="inlineStr">
        <is>
          <t>1.350</t>
        </is>
      </c>
      <c r="N2293" t="inlineStr">
        <is>
          <t>Modalidade: 0 - Por conta do remetente | Parte: TC COMERCIO DE EMBALAGENS LTDA (97.193.502/0001-18)</t>
        </is>
      </c>
      <c r="O2293" s="29" t="n">
        <v>0</v>
      </c>
      <c r="P2293" s="29" t="n">
        <v>0</v>
      </c>
      <c r="Q2293" s="29" t="n">
        <v>0</v>
      </c>
      <c r="R2293" s="29" t="n">
        <v>0</v>
      </c>
      <c r="S2293" s="29" t="n">
        <v>0</v>
      </c>
      <c r="T2293" t="inlineStr">
        <is>
          <t>25251026975620000130570010000055651000190424</t>
        </is>
      </c>
      <c r="U2293" t="inlineStr">
        <is>
          <t>Não</t>
        </is>
      </c>
    </row>
    <row r="2294">
      <c r="A2294" t="inlineStr">
        <is>
          <t>Frete de venda</t>
        </is>
      </c>
      <c r="B2294" t="inlineStr">
        <is>
          <t>2.01.02 Frete sobre Vendas</t>
        </is>
      </c>
      <c r="C2294" t="inlineStr">
        <is>
          <t>Antes de 2026</t>
        </is>
      </c>
      <c r="D2294" t="inlineStr">
        <is>
          <t>Antes de 2026</t>
        </is>
      </c>
      <c r="E2294" s="28" t="n">
        <v>45955</v>
      </c>
      <c r="F2294" t="inlineStr">
        <is>
          <t>CT-e</t>
        </is>
      </c>
      <c r="G2294" t="inlineStr">
        <is>
          <t>000005566</t>
        </is>
      </c>
      <c r="H2294" t="inlineStr">
        <is>
          <t>R&amp;R TRANSPORTE E LOGISTICA</t>
        </is>
      </c>
      <c r="J2294" s="29" t="n">
        <v>65.45999999999999</v>
      </c>
      <c r="K2294" s="29">
        <f>(1-ISNUMBER(SEARCH("556",M2294)))*(O2294*SUMIFS(Premissas!$C$5:$C$44,Premissas!$A$5:$A$44,$A2294,Premissas!$B$5:$B$44,$B2294)+P2294*SUMIFS(Premissas!$D$5:$D$44,Premissas!$A$5:$A$44,$A2294,Premissas!$B$5:$B$44,$B2294))+R2294*SUMIFS(Premissas!$E$5:$E$44,Premissas!$A$5:$A$44,$A2294,Premissas!$B$5:$B$44,$B2294)+S2294*SUMIFS(Premissas!$F$5:$F$44,Premissas!$A$5:$A$44,$A2294,Premissas!$B$5:$B$44,$B2294)</f>
        <v/>
      </c>
      <c r="L2294" s="29">
        <f>J2294-K2294</f>
        <v/>
      </c>
      <c r="M2294" t="inlineStr">
        <is>
          <t>1.350</t>
        </is>
      </c>
      <c r="N2294" t="inlineStr">
        <is>
          <t>Modalidade: 0 - Por conta do remetente | Parte: EMBALAGENS HUBNER TRES DE MAIO LTDA (44.330.178/0001-76)</t>
        </is>
      </c>
      <c r="O2294" s="29" t="n">
        <v>0</v>
      </c>
      <c r="P2294" s="29" t="n">
        <v>0</v>
      </c>
      <c r="Q2294" s="29" t="n">
        <v>0</v>
      </c>
      <c r="R2294" s="29" t="n">
        <v>0</v>
      </c>
      <c r="S2294" s="29" t="n">
        <v>0</v>
      </c>
      <c r="T2294" t="inlineStr">
        <is>
          <t>25251026975620000130570010000055661000160506</t>
        </is>
      </c>
      <c r="U2294" t="inlineStr">
        <is>
          <t>Não</t>
        </is>
      </c>
    </row>
    <row r="2295">
      <c r="A2295" t="inlineStr">
        <is>
          <t>Frete de venda</t>
        </is>
      </c>
      <c r="B2295" t="inlineStr">
        <is>
          <t>2.01.02 Frete sobre Vendas</t>
        </is>
      </c>
      <c r="C2295" t="inlineStr">
        <is>
          <t>Antes de 2026</t>
        </is>
      </c>
      <c r="D2295" t="inlineStr">
        <is>
          <t>Antes de 2026</t>
        </is>
      </c>
      <c r="E2295" s="28" t="n">
        <v>45955</v>
      </c>
      <c r="F2295" t="inlineStr">
        <is>
          <t>CT-e</t>
        </is>
      </c>
      <c r="G2295" t="inlineStr">
        <is>
          <t>000005567</t>
        </is>
      </c>
      <c r="H2295" t="inlineStr">
        <is>
          <t>R&amp;R TRANSPORTE E LOGISTICA</t>
        </is>
      </c>
      <c r="J2295" s="29" t="n">
        <v>24.59</v>
      </c>
      <c r="K2295" s="29">
        <f>(1-ISNUMBER(SEARCH("556",M2295)))*(O2295*SUMIFS(Premissas!$C$5:$C$44,Premissas!$A$5:$A$44,$A2295,Premissas!$B$5:$B$44,$B2295)+P2295*SUMIFS(Premissas!$D$5:$D$44,Premissas!$A$5:$A$44,$A2295,Premissas!$B$5:$B$44,$B2295))+R2295*SUMIFS(Premissas!$E$5:$E$44,Premissas!$A$5:$A$44,$A2295,Premissas!$B$5:$B$44,$B2295)+S2295*SUMIFS(Premissas!$F$5:$F$44,Premissas!$A$5:$A$44,$A2295,Premissas!$B$5:$B$44,$B2295)</f>
        <v/>
      </c>
      <c r="L2295" s="29">
        <f>J2295-K2295</f>
        <v/>
      </c>
      <c r="M2295" t="inlineStr">
        <is>
          <t>1.350</t>
        </is>
      </c>
      <c r="N2295" t="inlineStr">
        <is>
          <t>Modalidade: 0 - Por conta do remetente | Parte: FRANCIELLI BOLICO PASSAIA 87756773004 (47.822.532/0001-78)</t>
        </is>
      </c>
      <c r="O2295" s="29" t="n">
        <v>0</v>
      </c>
      <c r="P2295" s="29" t="n">
        <v>0</v>
      </c>
      <c r="Q2295" s="29" t="n">
        <v>0</v>
      </c>
      <c r="R2295" s="29" t="n">
        <v>0</v>
      </c>
      <c r="S2295" s="29" t="n">
        <v>0</v>
      </c>
      <c r="T2295" t="inlineStr">
        <is>
          <t>25251026975620000130570010000055671000130582</t>
        </is>
      </c>
      <c r="U2295" t="inlineStr">
        <is>
          <t>Não</t>
        </is>
      </c>
    </row>
    <row r="2296">
      <c r="A2296" t="inlineStr">
        <is>
          <t>Frete de venda</t>
        </is>
      </c>
      <c r="B2296" t="inlineStr">
        <is>
          <t>2.01.02 Frete sobre Vendas</t>
        </is>
      </c>
      <c r="C2296" t="inlineStr">
        <is>
          <t>Antes de 2026</t>
        </is>
      </c>
      <c r="D2296" t="inlineStr">
        <is>
          <t>Antes de 2026</t>
        </is>
      </c>
      <c r="E2296" s="28" t="n">
        <v>45955</v>
      </c>
      <c r="F2296" t="inlineStr">
        <is>
          <t>CT-e</t>
        </is>
      </c>
      <c r="G2296" t="inlineStr">
        <is>
          <t>000005568</t>
        </is>
      </c>
      <c r="H2296" t="inlineStr">
        <is>
          <t>R&amp;R TRANSPORTE E LOGISTICA</t>
        </is>
      </c>
      <c r="J2296" s="29" t="n">
        <v>24.27</v>
      </c>
      <c r="K2296" s="29">
        <f>(1-ISNUMBER(SEARCH("556",M2296)))*(O2296*SUMIFS(Premissas!$C$5:$C$44,Premissas!$A$5:$A$44,$A2296,Premissas!$B$5:$B$44,$B2296)+P2296*SUMIFS(Premissas!$D$5:$D$44,Premissas!$A$5:$A$44,$A2296,Premissas!$B$5:$B$44,$B2296))+R2296*SUMIFS(Premissas!$E$5:$E$44,Premissas!$A$5:$A$44,$A2296,Premissas!$B$5:$B$44,$B2296)+S2296*SUMIFS(Premissas!$F$5:$F$44,Premissas!$A$5:$A$44,$A2296,Premissas!$B$5:$B$44,$B2296)</f>
        <v/>
      </c>
      <c r="L2296" s="29">
        <f>J2296-K2296</f>
        <v/>
      </c>
      <c r="M2296" t="inlineStr">
        <is>
          <t>1.350</t>
        </is>
      </c>
      <c r="N2296" t="inlineStr">
        <is>
          <t>Modalidade: 0 - Por conta do remetente | Parte: R J COMERCIO DE EMBALAGENS LTDA (22.418.490/0001-83)</t>
        </is>
      </c>
      <c r="O2296" s="29" t="n">
        <v>0</v>
      </c>
      <c r="P2296" s="29" t="n">
        <v>0</v>
      </c>
      <c r="Q2296" s="29" t="n">
        <v>0</v>
      </c>
      <c r="R2296" s="29" t="n">
        <v>0</v>
      </c>
      <c r="S2296" s="29" t="n">
        <v>0</v>
      </c>
      <c r="T2296" t="inlineStr">
        <is>
          <t>25251026975620000130570010000055681000010665</t>
        </is>
      </c>
      <c r="U2296" t="inlineStr">
        <is>
          <t>Não</t>
        </is>
      </c>
    </row>
    <row r="2297">
      <c r="A2297" t="inlineStr">
        <is>
          <t>Frete de venda</t>
        </is>
      </c>
      <c r="B2297" t="inlineStr">
        <is>
          <t>2.01.02 Frete sobre Vendas</t>
        </is>
      </c>
      <c r="C2297" t="inlineStr">
        <is>
          <t>Antes de 2026</t>
        </is>
      </c>
      <c r="D2297" t="inlineStr">
        <is>
          <t>Antes de 2026</t>
        </is>
      </c>
      <c r="E2297" s="28" t="n">
        <v>45955</v>
      </c>
      <c r="F2297" t="inlineStr">
        <is>
          <t>CT-e</t>
        </is>
      </c>
      <c r="G2297" t="inlineStr">
        <is>
          <t>000005569</t>
        </is>
      </c>
      <c r="H2297" t="inlineStr">
        <is>
          <t>R&amp;R TRANSPORTE E LOGISTICA</t>
        </is>
      </c>
      <c r="J2297" s="29" t="n">
        <v>26.88</v>
      </c>
      <c r="K2297" s="29">
        <f>(1-ISNUMBER(SEARCH("556",M2297)))*(O2297*SUMIFS(Premissas!$C$5:$C$44,Premissas!$A$5:$A$44,$A2297,Premissas!$B$5:$B$44,$B2297)+P2297*SUMIFS(Premissas!$D$5:$D$44,Premissas!$A$5:$A$44,$A2297,Premissas!$B$5:$B$44,$B2297))+R2297*SUMIFS(Premissas!$E$5:$E$44,Premissas!$A$5:$A$44,$A2297,Premissas!$B$5:$B$44,$B2297)+S2297*SUMIFS(Premissas!$F$5:$F$44,Premissas!$A$5:$A$44,$A2297,Premissas!$B$5:$B$44,$B2297)</f>
        <v/>
      </c>
      <c r="L2297" s="29">
        <f>J2297-K2297</f>
        <v/>
      </c>
      <c r="M2297" t="inlineStr">
        <is>
          <t>1.350</t>
        </is>
      </c>
      <c r="N2297" t="inlineStr">
        <is>
          <t>Modalidade: 0 - Por conta do remetente | Parte: TUDO AQUI BAZAR E ATACADO LTDA (56.322.827/0001-76)</t>
        </is>
      </c>
      <c r="O2297" s="29" t="n">
        <v>0</v>
      </c>
      <c r="P2297" s="29" t="n">
        <v>0</v>
      </c>
      <c r="Q2297" s="29" t="n">
        <v>0</v>
      </c>
      <c r="R2297" s="29" t="n">
        <v>0</v>
      </c>
      <c r="S2297" s="29" t="n">
        <v>0</v>
      </c>
      <c r="T2297" t="inlineStr">
        <is>
          <t>25251026975620000130570010000055691000180746</t>
        </is>
      </c>
      <c r="U2297" t="inlineStr">
        <is>
          <t>Não</t>
        </is>
      </c>
    </row>
    <row r="2298">
      <c r="A2298" t="inlineStr">
        <is>
          <t>Frete de venda</t>
        </is>
      </c>
      <c r="B2298" t="inlineStr">
        <is>
          <t>2.01.02 Frete sobre Vendas</t>
        </is>
      </c>
      <c r="C2298" t="inlineStr">
        <is>
          <t>Antes de 2026</t>
        </is>
      </c>
      <c r="D2298" t="inlineStr">
        <is>
          <t>Antes de 2026</t>
        </is>
      </c>
      <c r="E2298" s="28" t="n">
        <v>45955</v>
      </c>
      <c r="F2298" t="inlineStr">
        <is>
          <t>CT-e</t>
        </is>
      </c>
      <c r="G2298" t="inlineStr">
        <is>
          <t>000005570</t>
        </is>
      </c>
      <c r="H2298" t="inlineStr">
        <is>
          <t>R&amp;R TRANSPORTE E LOGISTICA</t>
        </is>
      </c>
      <c r="J2298" s="29" t="n">
        <v>48.37</v>
      </c>
      <c r="K2298" s="29">
        <f>(1-ISNUMBER(SEARCH("556",M2298)))*(O2298*SUMIFS(Premissas!$C$5:$C$44,Premissas!$A$5:$A$44,$A2298,Premissas!$B$5:$B$44,$B2298)+P2298*SUMIFS(Premissas!$D$5:$D$44,Premissas!$A$5:$A$44,$A2298,Premissas!$B$5:$B$44,$B2298))+R2298*SUMIFS(Premissas!$E$5:$E$44,Premissas!$A$5:$A$44,$A2298,Premissas!$B$5:$B$44,$B2298)+S2298*SUMIFS(Premissas!$F$5:$F$44,Premissas!$A$5:$A$44,$A2298,Premissas!$B$5:$B$44,$B2298)</f>
        <v/>
      </c>
      <c r="L2298" s="29">
        <f>J2298-K2298</f>
        <v/>
      </c>
      <c r="M2298" t="inlineStr">
        <is>
          <t>1.350</t>
        </is>
      </c>
      <c r="N2298" t="inlineStr">
        <is>
          <t>Modalidade: 0 - Por conta do remetente | Parte: TIMM INDUSTRIA E COMERCIO DE EMBALAGENS E TRANSPORTE LTDA (10.400.076/0001-68)</t>
        </is>
      </c>
      <c r="O2298" s="29" t="n">
        <v>0</v>
      </c>
      <c r="P2298" s="29" t="n">
        <v>0</v>
      </c>
      <c r="Q2298" s="29" t="n">
        <v>0</v>
      </c>
      <c r="R2298" s="29" t="n">
        <v>0</v>
      </c>
      <c r="S2298" s="29" t="n">
        <v>0</v>
      </c>
      <c r="T2298" t="inlineStr">
        <is>
          <t>25251026975620000130570010000055701000150821</t>
        </is>
      </c>
      <c r="U2298" t="inlineStr">
        <is>
          <t>Não</t>
        </is>
      </c>
    </row>
    <row r="2299">
      <c r="A2299" t="inlineStr">
        <is>
          <t>Frete de venda</t>
        </is>
      </c>
      <c r="B2299" t="inlineStr">
        <is>
          <t>2.01.02 Frete sobre Vendas</t>
        </is>
      </c>
      <c r="C2299" t="inlineStr">
        <is>
          <t>Antes de 2026</t>
        </is>
      </c>
      <c r="D2299" t="inlineStr">
        <is>
          <t>Antes de 2026</t>
        </is>
      </c>
      <c r="E2299" s="28" t="n">
        <v>45955</v>
      </c>
      <c r="F2299" t="inlineStr">
        <is>
          <t>CT-e</t>
        </is>
      </c>
      <c r="G2299" t="inlineStr">
        <is>
          <t>000005571</t>
        </is>
      </c>
      <c r="H2299" t="inlineStr">
        <is>
          <t>R&amp;R TRANSPORTE E LOGISTICA</t>
        </is>
      </c>
      <c r="J2299" s="29" t="n">
        <v>22.42</v>
      </c>
      <c r="K2299" s="29">
        <f>(1-ISNUMBER(SEARCH("556",M2299)))*(O2299*SUMIFS(Premissas!$C$5:$C$44,Premissas!$A$5:$A$44,$A2299,Premissas!$B$5:$B$44,$B2299)+P2299*SUMIFS(Premissas!$D$5:$D$44,Premissas!$A$5:$A$44,$A2299,Premissas!$B$5:$B$44,$B2299))+R2299*SUMIFS(Premissas!$E$5:$E$44,Premissas!$A$5:$A$44,$A2299,Premissas!$B$5:$B$44,$B2299)+S2299*SUMIFS(Premissas!$F$5:$F$44,Premissas!$A$5:$A$44,$A2299,Premissas!$B$5:$B$44,$B2299)</f>
        <v/>
      </c>
      <c r="L2299" s="29">
        <f>J2299-K2299</f>
        <v/>
      </c>
      <c r="M2299" t="inlineStr">
        <is>
          <t>1.350</t>
        </is>
      </c>
      <c r="N2299" t="inlineStr">
        <is>
          <t>Modalidade: 0 - Por conta do remetente | Parte: DK COMERCIO DE PRODUTOS ALIMENTICIOS LTDA (34.829.407/0001-48)</t>
        </is>
      </c>
      <c r="O2299" s="29" t="n">
        <v>0</v>
      </c>
      <c r="P2299" s="29" t="n">
        <v>0</v>
      </c>
      <c r="Q2299" s="29" t="n">
        <v>0</v>
      </c>
      <c r="R2299" s="29" t="n">
        <v>0</v>
      </c>
      <c r="S2299" s="29" t="n">
        <v>0</v>
      </c>
      <c r="T2299" t="inlineStr">
        <is>
          <t>25251026975620000130570010000055711000120903</t>
        </is>
      </c>
      <c r="U2299" t="inlineStr">
        <is>
          <t>Não</t>
        </is>
      </c>
    </row>
    <row r="2300">
      <c r="A2300" t="inlineStr">
        <is>
          <t>Frete de venda</t>
        </is>
      </c>
      <c r="B2300" t="inlineStr">
        <is>
          <t>2.01.02 Frete sobre Vendas</t>
        </is>
      </c>
      <c r="C2300" t="inlineStr">
        <is>
          <t>Antes de 2026</t>
        </is>
      </c>
      <c r="D2300" t="inlineStr">
        <is>
          <t>Antes de 2026</t>
        </is>
      </c>
      <c r="E2300" s="28" t="n">
        <v>45955</v>
      </c>
      <c r="F2300" t="inlineStr">
        <is>
          <t>CT-e</t>
        </is>
      </c>
      <c r="G2300" t="inlineStr">
        <is>
          <t>000005572</t>
        </is>
      </c>
      <c r="H2300" t="inlineStr">
        <is>
          <t>R&amp;R TRANSPORTE E LOGISTICA</t>
        </is>
      </c>
      <c r="J2300" s="29" t="n">
        <v>21.45</v>
      </c>
      <c r="K2300" s="29">
        <f>(1-ISNUMBER(SEARCH("556",M2300)))*(O2300*SUMIFS(Premissas!$C$5:$C$44,Premissas!$A$5:$A$44,$A2300,Premissas!$B$5:$B$44,$B2300)+P2300*SUMIFS(Premissas!$D$5:$D$44,Premissas!$A$5:$A$44,$A2300,Premissas!$B$5:$B$44,$B2300))+R2300*SUMIFS(Premissas!$E$5:$E$44,Premissas!$A$5:$A$44,$A2300,Premissas!$B$5:$B$44,$B2300)+S2300*SUMIFS(Premissas!$F$5:$F$44,Premissas!$A$5:$A$44,$A2300,Premissas!$B$5:$B$44,$B2300)</f>
        <v/>
      </c>
      <c r="L2300" s="29">
        <f>J2300-K2300</f>
        <v/>
      </c>
      <c r="M2300" t="inlineStr">
        <is>
          <t>1.350</t>
        </is>
      </c>
      <c r="N2300" t="inlineStr">
        <is>
          <t>Modalidade: 0 - Por conta do remetente | Parte: S. DO ROCIO BOAVENTURA ROSA LTDA (40.655.682/0001-95)</t>
        </is>
      </c>
      <c r="O2300" s="29" t="n">
        <v>0</v>
      </c>
      <c r="P2300" s="29" t="n">
        <v>0</v>
      </c>
      <c r="Q2300" s="29" t="n">
        <v>0</v>
      </c>
      <c r="R2300" s="29" t="n">
        <v>0</v>
      </c>
      <c r="S2300" s="29" t="n">
        <v>0</v>
      </c>
      <c r="T2300" t="inlineStr">
        <is>
          <t>25251026975620000130570010000055721000130256</t>
        </is>
      </c>
      <c r="U2300" t="inlineStr">
        <is>
          <t>Não</t>
        </is>
      </c>
    </row>
    <row r="2301">
      <c r="A2301" t="inlineStr">
        <is>
          <t>Frete de venda</t>
        </is>
      </c>
      <c r="B2301" t="inlineStr">
        <is>
          <t>2.01.02 Frete sobre Vendas</t>
        </is>
      </c>
      <c r="C2301" t="inlineStr">
        <is>
          <t>Antes de 2026</t>
        </is>
      </c>
      <c r="D2301" t="inlineStr">
        <is>
          <t>Antes de 2026</t>
        </is>
      </c>
      <c r="E2301" s="28" t="n">
        <v>45955</v>
      </c>
      <c r="F2301" t="inlineStr">
        <is>
          <t>CT-e</t>
        </is>
      </c>
      <c r="G2301" t="inlineStr">
        <is>
          <t>000005573</t>
        </is>
      </c>
      <c r="H2301" t="inlineStr">
        <is>
          <t>R&amp;R TRANSPORTE E LOGISTICA</t>
        </is>
      </c>
      <c r="J2301" s="29" t="n">
        <v>17.08</v>
      </c>
      <c r="K2301" s="29">
        <f>(1-ISNUMBER(SEARCH("556",M2301)))*(O2301*SUMIFS(Premissas!$C$5:$C$44,Premissas!$A$5:$A$44,$A2301,Premissas!$B$5:$B$44,$B2301)+P2301*SUMIFS(Premissas!$D$5:$D$44,Premissas!$A$5:$A$44,$A2301,Premissas!$B$5:$B$44,$B2301))+R2301*SUMIFS(Premissas!$E$5:$E$44,Premissas!$A$5:$A$44,$A2301,Premissas!$B$5:$B$44,$B2301)+S2301*SUMIFS(Premissas!$F$5:$F$44,Premissas!$A$5:$A$44,$A2301,Premissas!$B$5:$B$44,$B2301)</f>
        <v/>
      </c>
      <c r="L2301" s="29">
        <f>J2301-K2301</f>
        <v/>
      </c>
      <c r="M2301" t="inlineStr">
        <is>
          <t>1.350</t>
        </is>
      </c>
      <c r="N2301" t="inlineStr">
        <is>
          <t>Modalidade: 0 - Por conta do remetente | Parte: AVANCINI e JONAS LTDA (33.110.993/0001-03)</t>
        </is>
      </c>
      <c r="O2301" s="29" t="n">
        <v>0</v>
      </c>
      <c r="P2301" s="29" t="n">
        <v>0</v>
      </c>
      <c r="Q2301" s="29" t="n">
        <v>0</v>
      </c>
      <c r="R2301" s="29" t="n">
        <v>0</v>
      </c>
      <c r="S2301" s="29" t="n">
        <v>0</v>
      </c>
      <c r="T2301" t="inlineStr">
        <is>
          <t>25251026975620000130570010000055731000010339</t>
        </is>
      </c>
      <c r="U2301" t="inlineStr">
        <is>
          <t>Não</t>
        </is>
      </c>
    </row>
    <row r="2302">
      <c r="A2302" t="inlineStr">
        <is>
          <t>Frete de venda</t>
        </is>
      </c>
      <c r="B2302" t="inlineStr">
        <is>
          <t>2.01.02 Frete sobre Vendas</t>
        </is>
      </c>
      <c r="C2302" t="inlineStr">
        <is>
          <t>Antes de 2026</t>
        </is>
      </c>
      <c r="D2302" t="inlineStr">
        <is>
          <t>Antes de 2026</t>
        </is>
      </c>
      <c r="E2302" s="28" t="n">
        <v>45957</v>
      </c>
      <c r="F2302" t="inlineStr">
        <is>
          <t>CT-e</t>
        </is>
      </c>
      <c r="G2302" t="inlineStr">
        <is>
          <t>000005577</t>
        </is>
      </c>
      <c r="H2302" t="inlineStr">
        <is>
          <t>R&amp;R TRANSPORTE E LOGISTICA</t>
        </is>
      </c>
      <c r="J2302" s="29" t="n">
        <v>39.42</v>
      </c>
      <c r="K2302" s="29">
        <f>(1-ISNUMBER(SEARCH("556",M2302)))*(O2302*SUMIFS(Premissas!$C$5:$C$44,Premissas!$A$5:$A$44,$A2302,Premissas!$B$5:$B$44,$B2302)+P2302*SUMIFS(Premissas!$D$5:$D$44,Premissas!$A$5:$A$44,$A2302,Premissas!$B$5:$B$44,$B2302))+R2302*SUMIFS(Premissas!$E$5:$E$44,Premissas!$A$5:$A$44,$A2302,Premissas!$B$5:$B$44,$B2302)+S2302*SUMIFS(Premissas!$F$5:$F$44,Premissas!$A$5:$A$44,$A2302,Premissas!$B$5:$B$44,$B2302)</f>
        <v/>
      </c>
      <c r="L2302" s="29">
        <f>J2302-K2302</f>
        <v/>
      </c>
      <c r="M2302" t="inlineStr">
        <is>
          <t>1.350</t>
        </is>
      </c>
      <c r="N2302" t="inlineStr">
        <is>
          <t>Modalidade: 0 - Por conta do remetente | Parte: TWOGUYS COMERCIO DE ALIMENTOS LTDA (61.788.604/0001-39)</t>
        </is>
      </c>
      <c r="O2302" s="29" t="n">
        <v>0</v>
      </c>
      <c r="P2302" s="29" t="n">
        <v>0</v>
      </c>
      <c r="Q2302" s="29" t="n">
        <v>0</v>
      </c>
      <c r="R2302" s="29" t="n">
        <v>0</v>
      </c>
      <c r="S2302" s="29" t="n">
        <v>0</v>
      </c>
      <c r="T2302" t="inlineStr">
        <is>
          <t>25251026975620000130570010000055771000170734</t>
        </is>
      </c>
      <c r="U2302" t="inlineStr">
        <is>
          <t>Não</t>
        </is>
      </c>
    </row>
    <row r="2303">
      <c r="A2303" t="inlineStr">
        <is>
          <t>Frete de venda</t>
        </is>
      </c>
      <c r="B2303" t="inlineStr">
        <is>
          <t>2.01.02 Frete sobre Vendas</t>
        </is>
      </c>
      <c r="C2303" t="inlineStr">
        <is>
          <t>Antes de 2026</t>
        </is>
      </c>
      <c r="D2303" t="inlineStr">
        <is>
          <t>Antes de 2026</t>
        </is>
      </c>
      <c r="E2303" s="28" t="n">
        <v>45957</v>
      </c>
      <c r="F2303" t="inlineStr">
        <is>
          <t>CT-e</t>
        </is>
      </c>
      <c r="G2303" t="inlineStr">
        <is>
          <t>000005578</t>
        </is>
      </c>
      <c r="H2303" t="inlineStr">
        <is>
          <t>R&amp;R TRANSPORTE E LOGISTICA</t>
        </is>
      </c>
      <c r="J2303" s="29" t="n">
        <v>26.13</v>
      </c>
      <c r="K2303" s="29">
        <f>(1-ISNUMBER(SEARCH("556",M2303)))*(O2303*SUMIFS(Premissas!$C$5:$C$44,Premissas!$A$5:$A$44,$A2303,Premissas!$B$5:$B$44,$B2303)+P2303*SUMIFS(Premissas!$D$5:$D$44,Premissas!$A$5:$A$44,$A2303,Premissas!$B$5:$B$44,$B2303))+R2303*SUMIFS(Premissas!$E$5:$E$44,Premissas!$A$5:$A$44,$A2303,Premissas!$B$5:$B$44,$B2303)+S2303*SUMIFS(Premissas!$F$5:$F$44,Premissas!$A$5:$A$44,$A2303,Premissas!$B$5:$B$44,$B2303)</f>
        <v/>
      </c>
      <c r="L2303" s="29">
        <f>J2303-K2303</f>
        <v/>
      </c>
      <c r="M2303" t="inlineStr">
        <is>
          <t>1.350</t>
        </is>
      </c>
      <c r="N2303" t="inlineStr">
        <is>
          <t>Modalidade: 0 - Por conta do remetente | Parte: FACILITA EMBALAGENS E DESCARTAVEIS LTDA (51.588.750/0001-67)</t>
        </is>
      </c>
      <c r="O2303" s="29" t="n">
        <v>0</v>
      </c>
      <c r="P2303" s="29" t="n">
        <v>0</v>
      </c>
      <c r="Q2303" s="29" t="n">
        <v>0</v>
      </c>
      <c r="R2303" s="29" t="n">
        <v>0</v>
      </c>
      <c r="S2303" s="29" t="n">
        <v>0</v>
      </c>
      <c r="T2303" t="inlineStr">
        <is>
          <t>25251026975620000130570010000055781000140816</t>
        </is>
      </c>
      <c r="U2303" t="inlineStr">
        <is>
          <t>Não</t>
        </is>
      </c>
    </row>
    <row r="2304">
      <c r="A2304" t="inlineStr">
        <is>
          <t>Frete de venda</t>
        </is>
      </c>
      <c r="B2304" t="inlineStr">
        <is>
          <t>2.01.02 Frete sobre Vendas</t>
        </is>
      </c>
      <c r="C2304" t="inlineStr">
        <is>
          <t>Antes de 2026</t>
        </is>
      </c>
      <c r="D2304" t="inlineStr">
        <is>
          <t>Antes de 2026</t>
        </is>
      </c>
      <c r="E2304" s="28" t="n">
        <v>45957</v>
      </c>
      <c r="F2304" t="inlineStr">
        <is>
          <t>CT-e</t>
        </is>
      </c>
      <c r="G2304" t="inlineStr">
        <is>
          <t>000005579</t>
        </is>
      </c>
      <c r="H2304" t="inlineStr">
        <is>
          <t>R&amp;R TRANSPORTE E LOGISTICA</t>
        </is>
      </c>
      <c r="J2304" s="29" t="n">
        <v>23.57</v>
      </c>
      <c r="K2304" s="29">
        <f>(1-ISNUMBER(SEARCH("556",M2304)))*(O2304*SUMIFS(Premissas!$C$5:$C$44,Premissas!$A$5:$A$44,$A2304,Premissas!$B$5:$B$44,$B2304)+P2304*SUMIFS(Premissas!$D$5:$D$44,Premissas!$A$5:$A$44,$A2304,Premissas!$B$5:$B$44,$B2304))+R2304*SUMIFS(Premissas!$E$5:$E$44,Premissas!$A$5:$A$44,$A2304,Premissas!$B$5:$B$44,$B2304)+S2304*SUMIFS(Premissas!$F$5:$F$44,Premissas!$A$5:$A$44,$A2304,Premissas!$B$5:$B$44,$B2304)</f>
        <v/>
      </c>
      <c r="L2304" s="29">
        <f>J2304-K2304</f>
        <v/>
      </c>
      <c r="M2304" t="inlineStr">
        <is>
          <t>1.350</t>
        </is>
      </c>
      <c r="N2304" t="inlineStr">
        <is>
          <t>Modalidade: 0 - Por conta do remetente | Parte: CARIOCA EMBALAGEM E DESCARTAVEIS LTDA (45.901.271/0001-56)</t>
        </is>
      </c>
      <c r="O2304" s="29" t="n">
        <v>0</v>
      </c>
      <c r="P2304" s="29" t="n">
        <v>0</v>
      </c>
      <c r="Q2304" s="29" t="n">
        <v>0</v>
      </c>
      <c r="R2304" s="29" t="n">
        <v>0</v>
      </c>
      <c r="S2304" s="29" t="n">
        <v>0</v>
      </c>
      <c r="T2304" t="inlineStr">
        <is>
          <t>25251026975620000130570010000055791000110892</t>
        </is>
      </c>
      <c r="U2304" t="inlineStr">
        <is>
          <t>Não</t>
        </is>
      </c>
    </row>
    <row r="2305">
      <c r="A2305" t="inlineStr">
        <is>
          <t>Frete de venda</t>
        </is>
      </c>
      <c r="B2305" t="inlineStr">
        <is>
          <t>2.01.02 Frete sobre Vendas</t>
        </is>
      </c>
      <c r="C2305" t="inlineStr">
        <is>
          <t>Antes de 2026</t>
        </is>
      </c>
      <c r="D2305" t="inlineStr">
        <is>
          <t>Antes de 2026</t>
        </is>
      </c>
      <c r="E2305" s="28" t="n">
        <v>45957</v>
      </c>
      <c r="F2305" t="inlineStr">
        <is>
          <t>CT-e</t>
        </is>
      </c>
      <c r="G2305" t="inlineStr">
        <is>
          <t>000005580</t>
        </is>
      </c>
      <c r="H2305" t="inlineStr">
        <is>
          <t>R&amp;R TRANSPORTE E LOGISTICA</t>
        </is>
      </c>
      <c r="J2305" s="29" t="n">
        <v>39.97</v>
      </c>
      <c r="K2305" s="29">
        <f>(1-ISNUMBER(SEARCH("556",M2305)))*(O2305*SUMIFS(Premissas!$C$5:$C$44,Premissas!$A$5:$A$44,$A2305,Premissas!$B$5:$B$44,$B2305)+P2305*SUMIFS(Premissas!$D$5:$D$44,Premissas!$A$5:$A$44,$A2305,Premissas!$B$5:$B$44,$B2305))+R2305*SUMIFS(Premissas!$E$5:$E$44,Premissas!$A$5:$A$44,$A2305,Premissas!$B$5:$B$44,$B2305)+S2305*SUMIFS(Premissas!$F$5:$F$44,Premissas!$A$5:$A$44,$A2305,Premissas!$B$5:$B$44,$B2305)</f>
        <v/>
      </c>
      <c r="L2305" s="29">
        <f>J2305-K2305</f>
        <v/>
      </c>
      <c r="M2305" t="inlineStr">
        <is>
          <t>1.350</t>
        </is>
      </c>
      <c r="N2305" t="inlineStr">
        <is>
          <t>Modalidade: 0 - Por conta do remetente | Parte: SHALOM COMERCIO DE EMBALAGENS LTDA (30.935.496/0001-56)</t>
        </is>
      </c>
      <c r="O2305" s="29" t="n">
        <v>0</v>
      </c>
      <c r="P2305" s="29" t="n">
        <v>0</v>
      </c>
      <c r="Q2305" s="29" t="n">
        <v>0</v>
      </c>
      <c r="R2305" s="29" t="n">
        <v>0</v>
      </c>
      <c r="S2305" s="29" t="n">
        <v>0</v>
      </c>
      <c r="T2305" t="inlineStr">
        <is>
          <t>25251026975620000130570010000055801000190978</t>
        </is>
      </c>
      <c r="U2305" t="inlineStr">
        <is>
          <t>Não</t>
        </is>
      </c>
    </row>
    <row r="2306">
      <c r="A2306" t="inlineStr">
        <is>
          <t>Frete de venda</t>
        </is>
      </c>
      <c r="B2306" t="inlineStr">
        <is>
          <t>2.01.02 Frete sobre Vendas</t>
        </is>
      </c>
      <c r="C2306" t="inlineStr">
        <is>
          <t>Antes de 2026</t>
        </is>
      </c>
      <c r="D2306" t="inlineStr">
        <is>
          <t>Antes de 2026</t>
        </is>
      </c>
      <c r="E2306" s="28" t="n">
        <v>45957</v>
      </c>
      <c r="F2306" t="inlineStr">
        <is>
          <t>CT-e</t>
        </is>
      </c>
      <c r="G2306" t="inlineStr">
        <is>
          <t>000005581</t>
        </is>
      </c>
      <c r="H2306" t="inlineStr">
        <is>
          <t>R&amp;R TRANSPORTE E LOGISTICA</t>
        </is>
      </c>
      <c r="J2306" s="29" t="n">
        <v>83.68000000000001</v>
      </c>
      <c r="K2306" s="29">
        <f>(1-ISNUMBER(SEARCH("556",M2306)))*(O2306*SUMIFS(Premissas!$C$5:$C$44,Premissas!$A$5:$A$44,$A2306,Premissas!$B$5:$B$44,$B2306)+P2306*SUMIFS(Premissas!$D$5:$D$44,Premissas!$A$5:$A$44,$A2306,Premissas!$B$5:$B$44,$B2306))+R2306*SUMIFS(Premissas!$E$5:$E$44,Premissas!$A$5:$A$44,$A2306,Premissas!$B$5:$B$44,$B2306)+S2306*SUMIFS(Premissas!$F$5:$F$44,Premissas!$A$5:$A$44,$A2306,Premissas!$B$5:$B$44,$B2306)</f>
        <v/>
      </c>
      <c r="L2306" s="29">
        <f>J2306-K2306</f>
        <v/>
      </c>
      <c r="M2306" t="inlineStr">
        <is>
          <t>1.350</t>
        </is>
      </c>
      <c r="N2306" t="inlineStr">
        <is>
          <t>Modalidade: 0 - Por conta do remetente | Parte: ARMOL COMERCIO E DISTRIBUIDORA LTDA (00.321.104/0001-06)</t>
        </is>
      </c>
      <c r="O2306" s="29" t="n">
        <v>0</v>
      </c>
      <c r="P2306" s="29" t="n">
        <v>0</v>
      </c>
      <c r="Q2306" s="29" t="n">
        <v>0</v>
      </c>
      <c r="R2306" s="29" t="n">
        <v>0</v>
      </c>
      <c r="S2306" s="29" t="n">
        <v>0</v>
      </c>
      <c r="T2306" t="inlineStr">
        <is>
          <t>25251026975620000130570010000055811001100325</t>
        </is>
      </c>
      <c r="U2306" t="inlineStr">
        <is>
          <t>Não</t>
        </is>
      </c>
    </row>
    <row r="2307">
      <c r="A2307" t="inlineStr">
        <is>
          <t>Frete de venda</t>
        </is>
      </c>
      <c r="B2307" t="inlineStr">
        <is>
          <t>2.01.02 Frete sobre Vendas</t>
        </is>
      </c>
      <c r="C2307" t="inlineStr">
        <is>
          <t>Antes de 2026</t>
        </is>
      </c>
      <c r="D2307" t="inlineStr">
        <is>
          <t>Antes de 2026</t>
        </is>
      </c>
      <c r="E2307" s="28" t="n">
        <v>45957</v>
      </c>
      <c r="F2307" t="inlineStr">
        <is>
          <t>CT-e</t>
        </is>
      </c>
      <c r="G2307" t="inlineStr">
        <is>
          <t>000005582</t>
        </is>
      </c>
      <c r="H2307" t="inlineStr">
        <is>
          <t>R&amp;R TRANSPORTE E LOGISTICA</t>
        </is>
      </c>
      <c r="J2307" s="29" t="n">
        <v>32.91</v>
      </c>
      <c r="K2307" s="29">
        <f>(1-ISNUMBER(SEARCH("556",M2307)))*(O2307*SUMIFS(Premissas!$C$5:$C$44,Premissas!$A$5:$A$44,$A2307,Premissas!$B$5:$B$44,$B2307)+P2307*SUMIFS(Premissas!$D$5:$D$44,Premissas!$A$5:$A$44,$A2307,Premissas!$B$5:$B$44,$B2307))+R2307*SUMIFS(Premissas!$E$5:$E$44,Premissas!$A$5:$A$44,$A2307,Premissas!$B$5:$B$44,$B2307)+S2307*SUMIFS(Premissas!$F$5:$F$44,Premissas!$A$5:$A$44,$A2307,Premissas!$B$5:$B$44,$B2307)</f>
        <v/>
      </c>
      <c r="L2307" s="29">
        <f>J2307-K2307</f>
        <v/>
      </c>
      <c r="M2307" t="inlineStr">
        <is>
          <t>1.350</t>
        </is>
      </c>
      <c r="N2307" t="inlineStr">
        <is>
          <t>Modalidade: 0 - Por conta do remetente | Parte: FESTLIMP COMERCIO DE PRODUTOS DE LIMPEZA E DESCARTAVEIS LTDA (11.115.329/0001-14)</t>
        </is>
      </c>
      <c r="O2307" s="29" t="n">
        <v>0</v>
      </c>
      <c r="P2307" s="29" t="n">
        <v>0</v>
      </c>
      <c r="Q2307" s="29" t="n">
        <v>0</v>
      </c>
      <c r="R2307" s="29" t="n">
        <v>0</v>
      </c>
      <c r="S2307" s="29" t="n">
        <v>0</v>
      </c>
      <c r="T2307" t="inlineStr">
        <is>
          <t>25251026975620000130570010000055821000170408</t>
        </is>
      </c>
      <c r="U2307" t="inlineStr">
        <is>
          <t>Não</t>
        </is>
      </c>
    </row>
    <row r="2308">
      <c r="A2308" t="inlineStr">
        <is>
          <t>Frete de venda</t>
        </is>
      </c>
      <c r="B2308" t="inlineStr">
        <is>
          <t>2.01.02 Frete sobre Vendas</t>
        </is>
      </c>
      <c r="C2308" t="inlineStr">
        <is>
          <t>Antes de 2026</t>
        </is>
      </c>
      <c r="D2308" t="inlineStr">
        <is>
          <t>Antes de 2026</t>
        </is>
      </c>
      <c r="E2308" s="28" t="n">
        <v>45957</v>
      </c>
      <c r="F2308" t="inlineStr">
        <is>
          <t>CT-e</t>
        </is>
      </c>
      <c r="G2308" t="inlineStr">
        <is>
          <t>000005583</t>
        </is>
      </c>
      <c r="H2308" t="inlineStr">
        <is>
          <t>R&amp;R TRANSPORTE E LOGISTICA</t>
        </is>
      </c>
      <c r="J2308" s="29" t="n">
        <v>34.03</v>
      </c>
      <c r="K2308" s="29">
        <f>(1-ISNUMBER(SEARCH("556",M2308)))*(O2308*SUMIFS(Premissas!$C$5:$C$44,Premissas!$A$5:$A$44,$A2308,Premissas!$B$5:$B$44,$B2308)+P2308*SUMIFS(Premissas!$D$5:$D$44,Premissas!$A$5:$A$44,$A2308,Premissas!$B$5:$B$44,$B2308))+R2308*SUMIFS(Premissas!$E$5:$E$44,Premissas!$A$5:$A$44,$A2308,Premissas!$B$5:$B$44,$B2308)+S2308*SUMIFS(Premissas!$F$5:$F$44,Premissas!$A$5:$A$44,$A2308,Premissas!$B$5:$B$44,$B2308)</f>
        <v/>
      </c>
      <c r="L2308" s="29">
        <f>J2308-K2308</f>
        <v/>
      </c>
      <c r="M2308" t="inlineStr">
        <is>
          <t>1.350</t>
        </is>
      </c>
      <c r="N2308" t="inlineStr">
        <is>
          <t>Modalidade: 0 - Por conta do remetente | Parte: RJ DISTRIBUIDORA DE PRODUTOS ALIMENTICIOS LTDA (39.531.876/0001-08)</t>
        </is>
      </c>
      <c r="O2308" s="29" t="n">
        <v>0</v>
      </c>
      <c r="P2308" s="29" t="n">
        <v>0</v>
      </c>
      <c r="Q2308" s="29" t="n">
        <v>0</v>
      </c>
      <c r="R2308" s="29" t="n">
        <v>0</v>
      </c>
      <c r="S2308" s="29" t="n">
        <v>0</v>
      </c>
      <c r="T2308" t="inlineStr">
        <is>
          <t>25251026975620000130570010000055831000140484</t>
        </is>
      </c>
      <c r="U2308" t="inlineStr">
        <is>
          <t>Não</t>
        </is>
      </c>
    </row>
    <row r="2309">
      <c r="A2309" t="inlineStr">
        <is>
          <t>Frete de venda</t>
        </is>
      </c>
      <c r="B2309" t="inlineStr">
        <is>
          <t>2.01.02 Frete sobre Vendas</t>
        </is>
      </c>
      <c r="C2309" t="inlineStr">
        <is>
          <t>Antes de 2026</t>
        </is>
      </c>
      <c r="D2309" t="inlineStr">
        <is>
          <t>Antes de 2026</t>
        </is>
      </c>
      <c r="E2309" s="28" t="n">
        <v>45957</v>
      </c>
      <c r="F2309" t="inlineStr">
        <is>
          <t>CT-e</t>
        </is>
      </c>
      <c r="G2309" t="inlineStr">
        <is>
          <t>000005584</t>
        </is>
      </c>
      <c r="H2309" t="inlineStr">
        <is>
          <t>R&amp;R TRANSPORTE E LOGISTICA</t>
        </is>
      </c>
      <c r="J2309" s="29" t="n">
        <v>88.25</v>
      </c>
      <c r="K2309" s="29">
        <f>(1-ISNUMBER(SEARCH("556",M2309)))*(O2309*SUMIFS(Premissas!$C$5:$C$44,Premissas!$A$5:$A$44,$A2309,Premissas!$B$5:$B$44,$B2309)+P2309*SUMIFS(Premissas!$D$5:$D$44,Premissas!$A$5:$A$44,$A2309,Premissas!$B$5:$B$44,$B2309))+R2309*SUMIFS(Premissas!$E$5:$E$44,Premissas!$A$5:$A$44,$A2309,Premissas!$B$5:$B$44,$B2309)+S2309*SUMIFS(Premissas!$F$5:$F$44,Premissas!$A$5:$A$44,$A2309,Premissas!$B$5:$B$44,$B2309)</f>
        <v/>
      </c>
      <c r="L2309" s="29">
        <f>J2309-K2309</f>
        <v/>
      </c>
      <c r="M2309" t="inlineStr">
        <is>
          <t>1.350</t>
        </is>
      </c>
      <c r="N2309" t="inlineStr">
        <is>
          <t>Modalidade: 0 - Por conta do remetente | Parte: HENRYPLAST COMERCIO DE EMBALAGENS LTDA (35.652.773/0001-37)</t>
        </is>
      </c>
      <c r="O2309" s="29" t="n">
        <v>0</v>
      </c>
      <c r="P2309" s="29" t="n">
        <v>0</v>
      </c>
      <c r="Q2309" s="29" t="n">
        <v>0</v>
      </c>
      <c r="R2309" s="29" t="n">
        <v>0</v>
      </c>
      <c r="S2309" s="29" t="n">
        <v>0</v>
      </c>
      <c r="T2309" t="inlineStr">
        <is>
          <t>25251026975620000130570010000055841000110566</t>
        </is>
      </c>
      <c r="U2309" t="inlineStr">
        <is>
          <t>Não</t>
        </is>
      </c>
    </row>
    <row r="2310">
      <c r="A2310" t="inlineStr">
        <is>
          <t>Frete de venda</t>
        </is>
      </c>
      <c r="B2310" t="inlineStr">
        <is>
          <t>2.01.02 Frete sobre Vendas</t>
        </is>
      </c>
      <c r="C2310" t="inlineStr">
        <is>
          <t>Antes de 2026</t>
        </is>
      </c>
      <c r="D2310" t="inlineStr">
        <is>
          <t>Antes de 2026</t>
        </is>
      </c>
      <c r="E2310" s="28" t="n">
        <v>45957</v>
      </c>
      <c r="F2310" t="inlineStr">
        <is>
          <t>CT-e</t>
        </is>
      </c>
      <c r="G2310" t="inlineStr">
        <is>
          <t>000005585</t>
        </is>
      </c>
      <c r="H2310" t="inlineStr">
        <is>
          <t>R&amp;R TRANSPORTE E LOGISTICA</t>
        </is>
      </c>
      <c r="J2310" s="29" t="n">
        <v>117</v>
      </c>
      <c r="K2310" s="29">
        <f>(1-ISNUMBER(SEARCH("556",M2310)))*(O2310*SUMIFS(Premissas!$C$5:$C$44,Premissas!$A$5:$A$44,$A2310,Premissas!$B$5:$B$44,$B2310)+P2310*SUMIFS(Premissas!$D$5:$D$44,Premissas!$A$5:$A$44,$A2310,Premissas!$B$5:$B$44,$B2310))+R2310*SUMIFS(Premissas!$E$5:$E$44,Premissas!$A$5:$A$44,$A2310,Premissas!$B$5:$B$44,$B2310)+S2310*SUMIFS(Premissas!$F$5:$F$44,Premissas!$A$5:$A$44,$A2310,Premissas!$B$5:$B$44,$B2310)</f>
        <v/>
      </c>
      <c r="L2310" s="29">
        <f>J2310-K2310</f>
        <v/>
      </c>
      <c r="M2310" t="inlineStr">
        <is>
          <t>1.350</t>
        </is>
      </c>
      <c r="N2310" t="inlineStr">
        <is>
          <t>Modalidade: 0 - Por conta do remetente | Parte: KATIA CILENE ARAUJO FARIAS COMERCIO (02.991.231/0001-30)</t>
        </is>
      </c>
      <c r="O2310" s="29" t="n">
        <v>0</v>
      </c>
      <c r="P2310" s="29" t="n">
        <v>0</v>
      </c>
      <c r="Q2310" s="29" t="n">
        <v>0</v>
      </c>
      <c r="R2310" s="29" t="n">
        <v>0</v>
      </c>
      <c r="S2310" s="29" t="n">
        <v>0</v>
      </c>
      <c r="T2310" t="inlineStr">
        <is>
          <t>25251026975620000130570010000055851000190648</t>
        </is>
      </c>
      <c r="U2310" t="inlineStr">
        <is>
          <t>Não</t>
        </is>
      </c>
    </row>
    <row r="2311">
      <c r="A2311" t="inlineStr">
        <is>
          <t>Frete de venda</t>
        </is>
      </c>
      <c r="B2311" t="inlineStr">
        <is>
          <t>2.01.02 Frete sobre Vendas</t>
        </is>
      </c>
      <c r="C2311" t="inlineStr">
        <is>
          <t>Antes de 2026</t>
        </is>
      </c>
      <c r="D2311" t="inlineStr">
        <is>
          <t>Antes de 2026</t>
        </is>
      </c>
      <c r="E2311" s="28" t="n">
        <v>45957</v>
      </c>
      <c r="F2311" t="inlineStr">
        <is>
          <t>CT-e</t>
        </is>
      </c>
      <c r="G2311" t="inlineStr">
        <is>
          <t>000005586</t>
        </is>
      </c>
      <c r="H2311" t="inlineStr">
        <is>
          <t>R&amp;R TRANSPORTE E LOGISTICA</t>
        </is>
      </c>
      <c r="J2311" s="29" t="n">
        <v>117</v>
      </c>
      <c r="K2311" s="29">
        <f>(1-ISNUMBER(SEARCH("556",M2311)))*(O2311*SUMIFS(Premissas!$C$5:$C$44,Premissas!$A$5:$A$44,$A2311,Premissas!$B$5:$B$44,$B2311)+P2311*SUMIFS(Premissas!$D$5:$D$44,Premissas!$A$5:$A$44,$A2311,Premissas!$B$5:$B$44,$B2311))+R2311*SUMIFS(Premissas!$E$5:$E$44,Premissas!$A$5:$A$44,$A2311,Premissas!$B$5:$B$44,$B2311)+S2311*SUMIFS(Premissas!$F$5:$F$44,Premissas!$A$5:$A$44,$A2311,Premissas!$B$5:$B$44,$B2311)</f>
        <v/>
      </c>
      <c r="L2311" s="29">
        <f>J2311-K2311</f>
        <v/>
      </c>
      <c r="M2311" t="inlineStr">
        <is>
          <t>1.350</t>
        </is>
      </c>
      <c r="N2311" t="inlineStr">
        <is>
          <t>Modalidade: 0 - Por conta do remetente | Parte: MACROPAC PROTECAO E EMBALAGEM LTDA (11.840.014/0001-30)</t>
        </is>
      </c>
      <c r="O2311" s="29" t="n">
        <v>0</v>
      </c>
      <c r="P2311" s="29" t="n">
        <v>0</v>
      </c>
      <c r="Q2311" s="29" t="n">
        <v>0</v>
      </c>
      <c r="R2311" s="29" t="n">
        <v>0</v>
      </c>
      <c r="S2311" s="29" t="n">
        <v>0</v>
      </c>
      <c r="T2311" t="inlineStr">
        <is>
          <t>25251026975620000130570010000055861000160720</t>
        </is>
      </c>
      <c r="U2311" t="inlineStr">
        <is>
          <t>Não</t>
        </is>
      </c>
    </row>
    <row r="2312">
      <c r="A2312" t="inlineStr">
        <is>
          <t>Frete de venda</t>
        </is>
      </c>
      <c r="B2312" t="inlineStr">
        <is>
          <t>2.01.02 Frete sobre Vendas</t>
        </is>
      </c>
      <c r="C2312" t="inlineStr">
        <is>
          <t>Antes de 2026</t>
        </is>
      </c>
      <c r="D2312" t="inlineStr">
        <is>
          <t>Antes de 2026</t>
        </is>
      </c>
      <c r="E2312" s="28" t="n">
        <v>45957</v>
      </c>
      <c r="F2312" t="inlineStr">
        <is>
          <t>CT-e</t>
        </is>
      </c>
      <c r="G2312" t="inlineStr">
        <is>
          <t>000005587</t>
        </is>
      </c>
      <c r="H2312" t="inlineStr">
        <is>
          <t>R&amp;R TRANSPORTE E LOGISTICA</t>
        </is>
      </c>
      <c r="J2312" s="29" t="n">
        <v>117</v>
      </c>
      <c r="K2312" s="29">
        <f>(1-ISNUMBER(SEARCH("556",M2312)))*(O2312*SUMIFS(Premissas!$C$5:$C$44,Premissas!$A$5:$A$44,$A2312,Premissas!$B$5:$B$44,$B2312)+P2312*SUMIFS(Premissas!$D$5:$D$44,Premissas!$A$5:$A$44,$A2312,Premissas!$B$5:$B$44,$B2312))+R2312*SUMIFS(Premissas!$E$5:$E$44,Premissas!$A$5:$A$44,$A2312,Premissas!$B$5:$B$44,$B2312)+S2312*SUMIFS(Premissas!$F$5:$F$44,Premissas!$A$5:$A$44,$A2312,Premissas!$B$5:$B$44,$B2312)</f>
        <v/>
      </c>
      <c r="L2312" s="29">
        <f>J2312-K2312</f>
        <v/>
      </c>
      <c r="M2312" t="inlineStr">
        <is>
          <t>1.350</t>
        </is>
      </c>
      <c r="N2312" t="inlineStr">
        <is>
          <t>Modalidade: 0 - Por conta do remetente | Parte: TW LOJA DE FABRICAS LTDA (55.622.423/0001-35)</t>
        </is>
      </c>
      <c r="O2312" s="29" t="n">
        <v>0</v>
      </c>
      <c r="P2312" s="29" t="n">
        <v>0</v>
      </c>
      <c r="Q2312" s="29" t="n">
        <v>0</v>
      </c>
      <c r="R2312" s="29" t="n">
        <v>0</v>
      </c>
      <c r="S2312" s="29" t="n">
        <v>0</v>
      </c>
      <c r="T2312" t="inlineStr">
        <is>
          <t>25251026975620000130570010000055871000130801</t>
        </is>
      </c>
      <c r="U2312" t="inlineStr">
        <is>
          <t>Não</t>
        </is>
      </c>
    </row>
    <row r="2313">
      <c r="A2313" t="inlineStr">
        <is>
          <t>Frete de venda</t>
        </is>
      </c>
      <c r="B2313" t="inlineStr">
        <is>
          <t>2.01.02 Frete sobre Vendas</t>
        </is>
      </c>
      <c r="C2313" t="inlineStr">
        <is>
          <t>Antes de 2026</t>
        </is>
      </c>
      <c r="D2313" t="inlineStr">
        <is>
          <t>Antes de 2026</t>
        </is>
      </c>
      <c r="E2313" s="28" t="n">
        <v>45957</v>
      </c>
      <c r="F2313" t="inlineStr">
        <is>
          <t>CT-e</t>
        </is>
      </c>
      <c r="G2313" t="inlineStr">
        <is>
          <t>000005588</t>
        </is>
      </c>
      <c r="H2313" t="inlineStr">
        <is>
          <t>R&amp;R TRANSPORTE E LOGISTICA</t>
        </is>
      </c>
      <c r="J2313" s="29" t="n">
        <v>117</v>
      </c>
      <c r="K2313" s="29">
        <f>(1-ISNUMBER(SEARCH("556",M2313)))*(O2313*SUMIFS(Premissas!$C$5:$C$44,Premissas!$A$5:$A$44,$A2313,Premissas!$B$5:$B$44,$B2313)+P2313*SUMIFS(Premissas!$D$5:$D$44,Premissas!$A$5:$A$44,$A2313,Premissas!$B$5:$B$44,$B2313))+R2313*SUMIFS(Premissas!$E$5:$E$44,Premissas!$A$5:$A$44,$A2313,Premissas!$B$5:$B$44,$B2313)+S2313*SUMIFS(Premissas!$F$5:$F$44,Premissas!$A$5:$A$44,$A2313,Premissas!$B$5:$B$44,$B2313)</f>
        <v/>
      </c>
      <c r="L2313" s="29">
        <f>J2313-K2313</f>
        <v/>
      </c>
      <c r="M2313" t="inlineStr">
        <is>
          <t>1.350</t>
        </is>
      </c>
      <c r="N2313" t="inlineStr">
        <is>
          <t>Modalidade: 0 - Por conta do remetente | Parte: MM FESTA COMERCIO VAREJISTA LTDA (30.471.322/0001-80)</t>
        </is>
      </c>
      <c r="O2313" s="29" t="n">
        <v>0</v>
      </c>
      <c r="P2313" s="29" t="n">
        <v>0</v>
      </c>
      <c r="Q2313" s="29" t="n">
        <v>0</v>
      </c>
      <c r="R2313" s="29" t="n">
        <v>0</v>
      </c>
      <c r="S2313" s="29" t="n">
        <v>0</v>
      </c>
      <c r="T2313" t="inlineStr">
        <is>
          <t>25251026975620000130570010000055881000010889</t>
        </is>
      </c>
      <c r="U2313" t="inlineStr">
        <is>
          <t>Não</t>
        </is>
      </c>
    </row>
    <row r="2314">
      <c r="A2314" t="inlineStr">
        <is>
          <t>Frete de venda</t>
        </is>
      </c>
      <c r="B2314" t="inlineStr">
        <is>
          <t>2.01.02 Frete sobre Vendas</t>
        </is>
      </c>
      <c r="C2314" t="inlineStr">
        <is>
          <t>Antes de 2026</t>
        </is>
      </c>
      <c r="D2314" t="inlineStr">
        <is>
          <t>Antes de 2026</t>
        </is>
      </c>
      <c r="E2314" s="28" t="n">
        <v>45957</v>
      </c>
      <c r="F2314" t="inlineStr">
        <is>
          <t>CT-e</t>
        </is>
      </c>
      <c r="G2314" t="inlineStr">
        <is>
          <t>000005589</t>
        </is>
      </c>
      <c r="H2314" t="inlineStr">
        <is>
          <t>R&amp;R TRANSPORTE E LOGISTICA</t>
        </is>
      </c>
      <c r="J2314" s="29" t="n">
        <v>117</v>
      </c>
      <c r="K2314" s="29">
        <f>(1-ISNUMBER(SEARCH("556",M2314)))*(O2314*SUMIFS(Premissas!$C$5:$C$44,Premissas!$A$5:$A$44,$A2314,Premissas!$B$5:$B$44,$B2314)+P2314*SUMIFS(Premissas!$D$5:$D$44,Premissas!$A$5:$A$44,$A2314,Premissas!$B$5:$B$44,$B2314))+R2314*SUMIFS(Premissas!$E$5:$E$44,Premissas!$A$5:$A$44,$A2314,Premissas!$B$5:$B$44,$B2314)+S2314*SUMIFS(Premissas!$F$5:$F$44,Premissas!$A$5:$A$44,$A2314,Premissas!$B$5:$B$44,$B2314)</f>
        <v/>
      </c>
      <c r="L2314" s="29">
        <f>J2314-K2314</f>
        <v/>
      </c>
      <c r="M2314" t="inlineStr">
        <is>
          <t>1.350</t>
        </is>
      </c>
      <c r="N2314" t="inlineStr">
        <is>
          <t>Modalidade: 0 - Por conta do remetente | Parte: JR DISTRIBUICAO LTDA (00.680.755/0002-65)</t>
        </is>
      </c>
      <c r="O2314" s="29" t="n">
        <v>0</v>
      </c>
      <c r="P2314" s="29" t="n">
        <v>0</v>
      </c>
      <c r="Q2314" s="29" t="n">
        <v>0</v>
      </c>
      <c r="R2314" s="29" t="n">
        <v>0</v>
      </c>
      <c r="S2314" s="29" t="n">
        <v>0</v>
      </c>
      <c r="T2314" t="inlineStr">
        <is>
          <t>25251026975620000130570010000055891000180960</t>
        </is>
      </c>
      <c r="U2314" t="inlineStr">
        <is>
          <t>Não</t>
        </is>
      </c>
    </row>
    <row r="2315">
      <c r="A2315" t="inlineStr">
        <is>
          <t>Frete de venda</t>
        </is>
      </c>
      <c r="B2315" t="inlineStr">
        <is>
          <t>2.01.02 Frete sobre Vendas</t>
        </is>
      </c>
      <c r="C2315" t="inlineStr">
        <is>
          <t>Antes de 2026</t>
        </is>
      </c>
      <c r="D2315" t="inlineStr">
        <is>
          <t>Antes de 2026</t>
        </is>
      </c>
      <c r="E2315" s="28" t="n">
        <v>45957</v>
      </c>
      <c r="F2315" t="inlineStr">
        <is>
          <t>CT-e</t>
        </is>
      </c>
      <c r="G2315" t="inlineStr">
        <is>
          <t>000005590</t>
        </is>
      </c>
      <c r="H2315" t="inlineStr">
        <is>
          <t>R&amp;R TRANSPORTE E LOGISTICA</t>
        </is>
      </c>
      <c r="J2315" s="29" t="n">
        <v>117</v>
      </c>
      <c r="K2315" s="29">
        <f>(1-ISNUMBER(SEARCH("556",M2315)))*(O2315*SUMIFS(Premissas!$C$5:$C$44,Premissas!$A$5:$A$44,$A2315,Premissas!$B$5:$B$44,$B2315)+P2315*SUMIFS(Premissas!$D$5:$D$44,Premissas!$A$5:$A$44,$A2315,Premissas!$B$5:$B$44,$B2315))+R2315*SUMIFS(Premissas!$E$5:$E$44,Premissas!$A$5:$A$44,$A2315,Premissas!$B$5:$B$44,$B2315)+S2315*SUMIFS(Premissas!$F$5:$F$44,Premissas!$A$5:$A$44,$A2315,Premissas!$B$5:$B$44,$B2315)</f>
        <v/>
      </c>
      <c r="L2315" s="29">
        <f>J2315-K2315</f>
        <v/>
      </c>
      <c r="M2315" t="inlineStr">
        <is>
          <t>1.350</t>
        </is>
      </c>
      <c r="N2315" t="inlineStr">
        <is>
          <t>Modalidade: 0 - Por conta do remetente | Parte: EDUARDO V G DA COSTA (33.251.648/0001-90)</t>
        </is>
      </c>
      <c r="O2315" s="29" t="n">
        <v>0</v>
      </c>
      <c r="P2315" s="29" t="n">
        <v>0</v>
      </c>
      <c r="Q2315" s="29" t="n">
        <v>0</v>
      </c>
      <c r="R2315" s="29" t="n">
        <v>0</v>
      </c>
      <c r="S2315" s="29" t="n">
        <v>0</v>
      </c>
      <c r="T2315" t="inlineStr">
        <is>
          <t>25251026975620000130570010000055901001501043</t>
        </is>
      </c>
      <c r="U2315" t="inlineStr">
        <is>
          <t>Não</t>
        </is>
      </c>
    </row>
    <row r="2316">
      <c r="A2316" t="inlineStr">
        <is>
          <t>Frete de venda</t>
        </is>
      </c>
      <c r="B2316" t="inlineStr">
        <is>
          <t>2.01.02 Frete sobre Vendas</t>
        </is>
      </c>
      <c r="C2316" t="inlineStr">
        <is>
          <t>Antes de 2026</t>
        </is>
      </c>
      <c r="D2316" t="inlineStr">
        <is>
          <t>Antes de 2026</t>
        </is>
      </c>
      <c r="E2316" s="28" t="n">
        <v>45957</v>
      </c>
      <c r="F2316" t="inlineStr">
        <is>
          <t>CT-e</t>
        </is>
      </c>
      <c r="G2316" t="inlineStr">
        <is>
          <t>000005594</t>
        </is>
      </c>
      <c r="H2316" t="inlineStr">
        <is>
          <t>R&amp;R TRANSPORTE E LOGISTICA</t>
        </is>
      </c>
      <c r="J2316" s="29" t="n">
        <v>467</v>
      </c>
      <c r="K2316" s="29">
        <f>(1-ISNUMBER(SEARCH("556",M2316)))*(O2316*SUMIFS(Premissas!$C$5:$C$44,Premissas!$A$5:$A$44,$A2316,Premissas!$B$5:$B$44,$B2316)+P2316*SUMIFS(Premissas!$D$5:$D$44,Premissas!$A$5:$A$44,$A2316,Premissas!$B$5:$B$44,$B2316))+R2316*SUMIFS(Premissas!$E$5:$E$44,Premissas!$A$5:$A$44,$A2316,Premissas!$B$5:$B$44,$B2316)+S2316*SUMIFS(Premissas!$F$5:$F$44,Premissas!$A$5:$A$44,$A2316,Premissas!$B$5:$B$44,$B2316)</f>
        <v/>
      </c>
      <c r="L2316" s="29">
        <f>J2316-K2316</f>
        <v/>
      </c>
      <c r="M2316" t="inlineStr">
        <is>
          <t>1.350</t>
        </is>
      </c>
      <c r="N2316" t="inlineStr">
        <is>
          <t>Modalidade: 0 - Por conta do remetente | Parte: WRFC EMBALAGENS LTDA (56.093.170/0001-12)</t>
        </is>
      </c>
      <c r="O2316" s="29" t="n">
        <v>0</v>
      </c>
      <c r="P2316" s="29" t="n">
        <v>0</v>
      </c>
      <c r="Q2316" s="29" t="n">
        <v>0</v>
      </c>
      <c r="R2316" s="29" t="n">
        <v>0</v>
      </c>
      <c r="S2316" s="29" t="n">
        <v>0</v>
      </c>
      <c r="T2316" t="inlineStr">
        <is>
          <t>25251026975620000130570010000055941001701394</t>
        </is>
      </c>
      <c r="U2316" t="inlineStr">
        <is>
          <t>Não</t>
        </is>
      </c>
    </row>
    <row r="2317">
      <c r="A2317" t="inlineStr">
        <is>
          <t>Frete de venda</t>
        </is>
      </c>
      <c r="B2317" t="inlineStr">
        <is>
          <t>2.01.02 Frete sobre Vendas</t>
        </is>
      </c>
      <c r="C2317" t="inlineStr">
        <is>
          <t>Antes de 2026</t>
        </is>
      </c>
      <c r="D2317" t="inlineStr">
        <is>
          <t>Antes de 2026</t>
        </is>
      </c>
      <c r="E2317" s="28" t="n">
        <v>45957</v>
      </c>
      <c r="F2317" t="inlineStr">
        <is>
          <t>CT-e</t>
        </is>
      </c>
      <c r="G2317" t="inlineStr">
        <is>
          <t>000005595</t>
        </is>
      </c>
      <c r="H2317" t="inlineStr">
        <is>
          <t>R&amp;R TRANSPORTE E LOGISTICA</t>
        </is>
      </c>
      <c r="J2317" s="29" t="n">
        <v>467</v>
      </c>
      <c r="K2317" s="29">
        <f>(1-ISNUMBER(SEARCH("556",M2317)))*(O2317*SUMIFS(Premissas!$C$5:$C$44,Premissas!$A$5:$A$44,$A2317,Premissas!$B$5:$B$44,$B2317)+P2317*SUMIFS(Premissas!$D$5:$D$44,Premissas!$A$5:$A$44,$A2317,Premissas!$B$5:$B$44,$B2317))+R2317*SUMIFS(Premissas!$E$5:$E$44,Premissas!$A$5:$A$44,$A2317,Premissas!$B$5:$B$44,$B2317)+S2317*SUMIFS(Premissas!$F$5:$F$44,Premissas!$A$5:$A$44,$A2317,Premissas!$B$5:$B$44,$B2317)</f>
        <v/>
      </c>
      <c r="L2317" s="29">
        <f>J2317-K2317</f>
        <v/>
      </c>
      <c r="M2317" t="inlineStr">
        <is>
          <t>1.350</t>
        </is>
      </c>
      <c r="N2317" t="inlineStr">
        <is>
          <t>Modalidade: 0 - Por conta do remetente | Parte: MUNDO DOS DESCARTAVEIS LTDA (40.211.407/0001-82)</t>
        </is>
      </c>
      <c r="O2317" s="29" t="n">
        <v>0</v>
      </c>
      <c r="P2317" s="29" t="n">
        <v>0</v>
      </c>
      <c r="Q2317" s="29" t="n">
        <v>0</v>
      </c>
      <c r="R2317" s="29" t="n">
        <v>0</v>
      </c>
      <c r="S2317" s="29" t="n">
        <v>0</v>
      </c>
      <c r="T2317" t="inlineStr">
        <is>
          <t>25251026975620000130570010000055951000180746</t>
        </is>
      </c>
      <c r="U2317" t="inlineStr">
        <is>
          <t>Não</t>
        </is>
      </c>
    </row>
    <row r="2318">
      <c r="A2318" t="inlineStr">
        <is>
          <t>Frete de venda</t>
        </is>
      </c>
      <c r="B2318" t="inlineStr">
        <is>
          <t>2.01.02 Frete sobre Vendas</t>
        </is>
      </c>
      <c r="C2318" t="inlineStr">
        <is>
          <t>Antes de 2026</t>
        </is>
      </c>
      <c r="D2318" t="inlineStr">
        <is>
          <t>Antes de 2026</t>
        </is>
      </c>
      <c r="E2318" s="28" t="n">
        <v>45957</v>
      </c>
      <c r="F2318" t="inlineStr">
        <is>
          <t>CT-e</t>
        </is>
      </c>
      <c r="G2318" t="inlineStr">
        <is>
          <t>000005596</t>
        </is>
      </c>
      <c r="H2318" t="inlineStr">
        <is>
          <t>R&amp;R TRANSPORTE E LOGISTICA</t>
        </is>
      </c>
      <c r="J2318" s="29" t="n">
        <v>467</v>
      </c>
      <c r="K2318" s="29">
        <f>(1-ISNUMBER(SEARCH("556",M2318)))*(O2318*SUMIFS(Premissas!$C$5:$C$44,Premissas!$A$5:$A$44,$A2318,Premissas!$B$5:$B$44,$B2318)+P2318*SUMIFS(Premissas!$D$5:$D$44,Premissas!$A$5:$A$44,$A2318,Premissas!$B$5:$B$44,$B2318))+R2318*SUMIFS(Premissas!$E$5:$E$44,Premissas!$A$5:$A$44,$A2318,Premissas!$B$5:$B$44,$B2318)+S2318*SUMIFS(Premissas!$F$5:$F$44,Premissas!$A$5:$A$44,$A2318,Premissas!$B$5:$B$44,$B2318)</f>
        <v/>
      </c>
      <c r="L2318" s="29">
        <f>J2318-K2318</f>
        <v/>
      </c>
      <c r="M2318" t="inlineStr">
        <is>
          <t>1.350</t>
        </is>
      </c>
      <c r="N2318" t="inlineStr">
        <is>
          <t>Modalidade: 0 - Por conta do remetente | Parte: PRONTO DISTRIBUIDORA LTDA (59.909.633/0001-60)</t>
        </is>
      </c>
      <c r="O2318" s="29" t="n">
        <v>0</v>
      </c>
      <c r="P2318" s="29" t="n">
        <v>0</v>
      </c>
      <c r="Q2318" s="29" t="n">
        <v>0</v>
      </c>
      <c r="R2318" s="29" t="n">
        <v>0</v>
      </c>
      <c r="S2318" s="29" t="n">
        <v>0</v>
      </c>
      <c r="T2318" t="inlineStr">
        <is>
          <t>25251026975620000130570010000055961000150828</t>
        </is>
      </c>
      <c r="U2318" t="inlineStr">
        <is>
          <t>Não</t>
        </is>
      </c>
    </row>
    <row r="2319">
      <c r="A2319" t="inlineStr">
        <is>
          <t>Frete de venda</t>
        </is>
      </c>
      <c r="B2319" t="inlineStr">
        <is>
          <t>2.01.02 Frete sobre Vendas</t>
        </is>
      </c>
      <c r="C2319" t="inlineStr">
        <is>
          <t>Antes de 2026</t>
        </is>
      </c>
      <c r="D2319" t="inlineStr">
        <is>
          <t>Antes de 2026</t>
        </is>
      </c>
      <c r="E2319" s="28" t="n">
        <v>45959</v>
      </c>
      <c r="F2319" t="inlineStr">
        <is>
          <t>CT-e</t>
        </is>
      </c>
      <c r="G2319" t="inlineStr">
        <is>
          <t>000005598</t>
        </is>
      </c>
      <c r="H2319" t="inlineStr">
        <is>
          <t>R&amp;R TRANSPORTE E LOGISTICA</t>
        </is>
      </c>
      <c r="J2319" s="29" t="n">
        <v>165</v>
      </c>
      <c r="K2319" s="29">
        <f>(1-ISNUMBER(SEARCH("556",M2319)))*(O2319*SUMIFS(Premissas!$C$5:$C$44,Premissas!$A$5:$A$44,$A2319,Premissas!$B$5:$B$44,$B2319)+P2319*SUMIFS(Premissas!$D$5:$D$44,Premissas!$A$5:$A$44,$A2319,Premissas!$B$5:$B$44,$B2319))+R2319*SUMIFS(Premissas!$E$5:$E$44,Premissas!$A$5:$A$44,$A2319,Premissas!$B$5:$B$44,$B2319)+S2319*SUMIFS(Premissas!$F$5:$F$44,Premissas!$A$5:$A$44,$A2319,Premissas!$B$5:$B$44,$B2319)</f>
        <v/>
      </c>
      <c r="L2319" s="29">
        <f>J2319-K2319</f>
        <v/>
      </c>
      <c r="M2319" t="inlineStr">
        <is>
          <t>1.350</t>
        </is>
      </c>
      <c r="N2319" t="inlineStr">
        <is>
          <t>Modalidade: 0 - Por conta do remetente | Parte: JR DISTRIBUICAO LTDA (00.680.755/0002-65)</t>
        </is>
      </c>
      <c r="O2319" s="29" t="n">
        <v>0</v>
      </c>
      <c r="P2319" s="29" t="n">
        <v>0</v>
      </c>
      <c r="Q2319" s="29" t="n">
        <v>0</v>
      </c>
      <c r="R2319" s="29" t="n">
        <v>0</v>
      </c>
      <c r="S2319" s="29" t="n">
        <v>0</v>
      </c>
      <c r="T2319" t="inlineStr">
        <is>
          <t>25251026975620000130570010000055981000010990</t>
        </is>
      </c>
      <c r="U2319" t="inlineStr">
        <is>
          <t>Não</t>
        </is>
      </c>
    </row>
    <row r="2320">
      <c r="A2320" t="inlineStr">
        <is>
          <t>Frete de venda</t>
        </is>
      </c>
      <c r="B2320" t="inlineStr">
        <is>
          <t>2.01.02 Frete sobre Vendas</t>
        </is>
      </c>
      <c r="C2320" t="inlineStr">
        <is>
          <t>Antes de 2026</t>
        </is>
      </c>
      <c r="D2320" t="inlineStr">
        <is>
          <t>Antes de 2026</t>
        </is>
      </c>
      <c r="E2320" s="28" t="n">
        <v>45959</v>
      </c>
      <c r="F2320" t="inlineStr">
        <is>
          <t>CT-e</t>
        </is>
      </c>
      <c r="G2320" t="inlineStr">
        <is>
          <t>000005604</t>
        </is>
      </c>
      <c r="H2320" t="inlineStr">
        <is>
          <t>R&amp;R TRANSPORTE E LOGISTICA</t>
        </is>
      </c>
      <c r="J2320" s="29" t="n">
        <v>650</v>
      </c>
      <c r="K2320" s="29">
        <f>(1-ISNUMBER(SEARCH("556",M2320)))*(O2320*SUMIFS(Premissas!$C$5:$C$44,Premissas!$A$5:$A$44,$A2320,Premissas!$B$5:$B$44,$B2320)+P2320*SUMIFS(Premissas!$D$5:$D$44,Premissas!$A$5:$A$44,$A2320,Premissas!$B$5:$B$44,$B2320))+R2320*SUMIFS(Premissas!$E$5:$E$44,Premissas!$A$5:$A$44,$A2320,Premissas!$B$5:$B$44,$B2320)+S2320*SUMIFS(Premissas!$F$5:$F$44,Premissas!$A$5:$A$44,$A2320,Premissas!$B$5:$B$44,$B2320)</f>
        <v/>
      </c>
      <c r="L2320" s="29">
        <f>J2320-K2320</f>
        <v/>
      </c>
      <c r="M2320" t="inlineStr">
        <is>
          <t>1.350</t>
        </is>
      </c>
      <c r="N2320" t="inlineStr">
        <is>
          <t>Modalidade: 0 - Por conta do remetente | Parte: TW LOJA DE FABRICAS LTDA (55.622.423/0001-35)</t>
        </is>
      </c>
      <c r="O2320" s="29" t="n">
        <v>0</v>
      </c>
      <c r="P2320" s="29" t="n">
        <v>0</v>
      </c>
      <c r="Q2320" s="29" t="n">
        <v>0</v>
      </c>
      <c r="R2320" s="29" t="n">
        <v>0</v>
      </c>
      <c r="S2320" s="29" t="n">
        <v>0</v>
      </c>
      <c r="T2320" t="inlineStr">
        <is>
          <t>25251026975620000130570010000056041000180747</t>
        </is>
      </c>
      <c r="U2320" t="inlineStr">
        <is>
          <t>Não</t>
        </is>
      </c>
    </row>
    <row r="2321">
      <c r="A2321" t="inlineStr">
        <is>
          <t>Frete de venda</t>
        </is>
      </c>
      <c r="B2321" t="inlineStr">
        <is>
          <t>2.01.02 Frete sobre Vendas</t>
        </is>
      </c>
      <c r="C2321" t="inlineStr">
        <is>
          <t>Antes de 2026</t>
        </is>
      </c>
      <c r="D2321" t="inlineStr">
        <is>
          <t>Antes de 2026</t>
        </is>
      </c>
      <c r="E2321" s="28" t="n">
        <v>45959</v>
      </c>
      <c r="F2321" t="inlineStr">
        <is>
          <t>CT-e</t>
        </is>
      </c>
      <c r="G2321" t="inlineStr">
        <is>
          <t>000005605</t>
        </is>
      </c>
      <c r="H2321" t="inlineStr">
        <is>
          <t>R&amp;R TRANSPORTE E LOGISTICA</t>
        </is>
      </c>
      <c r="J2321" s="29" t="n">
        <v>34.42</v>
      </c>
      <c r="K2321" s="29">
        <f>(1-ISNUMBER(SEARCH("556",M2321)))*(O2321*SUMIFS(Premissas!$C$5:$C$44,Premissas!$A$5:$A$44,$A2321,Premissas!$B$5:$B$44,$B2321)+P2321*SUMIFS(Premissas!$D$5:$D$44,Premissas!$A$5:$A$44,$A2321,Premissas!$B$5:$B$44,$B2321))+R2321*SUMIFS(Premissas!$E$5:$E$44,Premissas!$A$5:$A$44,$A2321,Premissas!$B$5:$B$44,$B2321)+S2321*SUMIFS(Premissas!$F$5:$F$44,Premissas!$A$5:$A$44,$A2321,Premissas!$B$5:$B$44,$B2321)</f>
        <v/>
      </c>
      <c r="L2321" s="29">
        <f>J2321-K2321</f>
        <v/>
      </c>
      <c r="M2321" t="inlineStr">
        <is>
          <t>1.350</t>
        </is>
      </c>
      <c r="N2321" t="inlineStr">
        <is>
          <t>Modalidade: 0 - Por conta do remetente | Parte: DMT COMERCIO DE EMBALAGENS LTDA (33.086.330/0001-09)</t>
        </is>
      </c>
      <c r="O2321" s="29" t="n">
        <v>0</v>
      </c>
      <c r="P2321" s="29" t="n">
        <v>0</v>
      </c>
      <c r="Q2321" s="29" t="n">
        <v>0</v>
      </c>
      <c r="R2321" s="29" t="n">
        <v>0</v>
      </c>
      <c r="S2321" s="29" t="n">
        <v>0</v>
      </c>
      <c r="T2321" t="inlineStr">
        <is>
          <t>25251026975620000130570010000056051000150829</t>
        </is>
      </c>
      <c r="U2321" t="inlineStr">
        <is>
          <t>Não</t>
        </is>
      </c>
    </row>
    <row r="2322">
      <c r="A2322" t="inlineStr">
        <is>
          <t>Frete de venda</t>
        </is>
      </c>
      <c r="B2322" t="inlineStr">
        <is>
          <t>2.01.02 Frete sobre Vendas</t>
        </is>
      </c>
      <c r="C2322" t="inlineStr">
        <is>
          <t>Antes de 2026</t>
        </is>
      </c>
      <c r="D2322" t="inlineStr">
        <is>
          <t>Antes de 2026</t>
        </is>
      </c>
      <c r="E2322" s="28" t="n">
        <v>45959</v>
      </c>
      <c r="F2322" t="inlineStr">
        <is>
          <t>CT-e</t>
        </is>
      </c>
      <c r="G2322" t="inlineStr">
        <is>
          <t>000005606</t>
        </is>
      </c>
      <c r="H2322" t="inlineStr">
        <is>
          <t>R&amp;R TRANSPORTE E LOGISTICA</t>
        </is>
      </c>
      <c r="J2322" s="29" t="n">
        <v>29.22</v>
      </c>
      <c r="K2322" s="29">
        <f>(1-ISNUMBER(SEARCH("556",M2322)))*(O2322*SUMIFS(Premissas!$C$5:$C$44,Premissas!$A$5:$A$44,$A2322,Premissas!$B$5:$B$44,$B2322)+P2322*SUMIFS(Premissas!$D$5:$D$44,Premissas!$A$5:$A$44,$A2322,Premissas!$B$5:$B$44,$B2322))+R2322*SUMIFS(Premissas!$E$5:$E$44,Premissas!$A$5:$A$44,$A2322,Premissas!$B$5:$B$44,$B2322)+S2322*SUMIFS(Premissas!$F$5:$F$44,Premissas!$A$5:$A$44,$A2322,Premissas!$B$5:$B$44,$B2322)</f>
        <v/>
      </c>
      <c r="L2322" s="29">
        <f>J2322-K2322</f>
        <v/>
      </c>
      <c r="M2322" t="inlineStr">
        <is>
          <t>1.350</t>
        </is>
      </c>
      <c r="N2322" t="inlineStr">
        <is>
          <t>Modalidade: 0 - Por conta do remetente | Parte: LIDER INDUSTRIA E COMERCIO LTDA (45.762.979/0001-73)</t>
        </is>
      </c>
      <c r="O2322" s="29" t="n">
        <v>0</v>
      </c>
      <c r="P2322" s="29" t="n">
        <v>0</v>
      </c>
      <c r="Q2322" s="29" t="n">
        <v>0</v>
      </c>
      <c r="R2322" s="29" t="n">
        <v>0</v>
      </c>
      <c r="S2322" s="29" t="n">
        <v>0</v>
      </c>
      <c r="T2322" t="inlineStr">
        <is>
          <t>25251026975620000130570010000056061000120900</t>
        </is>
      </c>
      <c r="U2322" t="inlineStr">
        <is>
          <t>Não</t>
        </is>
      </c>
    </row>
    <row r="2323">
      <c r="A2323" t="inlineStr">
        <is>
          <t>Frete de venda</t>
        </is>
      </c>
      <c r="B2323" t="inlineStr">
        <is>
          <t>2.01.02 Frete sobre Vendas</t>
        </is>
      </c>
      <c r="C2323" t="inlineStr">
        <is>
          <t>Antes de 2026</t>
        </is>
      </c>
      <c r="D2323" t="inlineStr">
        <is>
          <t>Antes de 2026</t>
        </is>
      </c>
      <c r="E2323" s="28" t="n">
        <v>45959</v>
      </c>
      <c r="F2323" t="inlineStr">
        <is>
          <t>CT-e</t>
        </is>
      </c>
      <c r="G2323" t="inlineStr">
        <is>
          <t>000005607</t>
        </is>
      </c>
      <c r="H2323" t="inlineStr">
        <is>
          <t>R&amp;R TRANSPORTE E LOGISTICA</t>
        </is>
      </c>
      <c r="J2323" s="29" t="n">
        <v>44.64</v>
      </c>
      <c r="K2323" s="29">
        <f>(1-ISNUMBER(SEARCH("556",M2323)))*(O2323*SUMIFS(Premissas!$C$5:$C$44,Premissas!$A$5:$A$44,$A2323,Premissas!$B$5:$B$44,$B2323)+P2323*SUMIFS(Premissas!$D$5:$D$44,Premissas!$A$5:$A$44,$A2323,Premissas!$B$5:$B$44,$B2323))+R2323*SUMIFS(Premissas!$E$5:$E$44,Premissas!$A$5:$A$44,$A2323,Premissas!$B$5:$B$44,$B2323)+S2323*SUMIFS(Premissas!$F$5:$F$44,Premissas!$A$5:$A$44,$A2323,Premissas!$B$5:$B$44,$B2323)</f>
        <v/>
      </c>
      <c r="L2323" s="29">
        <f>J2323-K2323</f>
        <v/>
      </c>
      <c r="M2323" t="inlineStr">
        <is>
          <t>1.350</t>
        </is>
      </c>
      <c r="N2323" t="inlineStr">
        <is>
          <t>Modalidade: 0 - Por conta do remetente | Parte: J. B. BORGES e CIA LTDA (08.018.936/0001-51)</t>
        </is>
      </c>
      <c r="O2323" s="29" t="n">
        <v>0</v>
      </c>
      <c r="P2323" s="29" t="n">
        <v>0</v>
      </c>
      <c r="Q2323" s="29" t="n">
        <v>0</v>
      </c>
      <c r="R2323" s="29" t="n">
        <v>0</v>
      </c>
      <c r="S2323" s="29" t="n">
        <v>0</v>
      </c>
      <c r="T2323" t="inlineStr">
        <is>
          <t>25251026975620000130570010000056071001100986</t>
        </is>
      </c>
      <c r="U2323" t="inlineStr">
        <is>
          <t>Não</t>
        </is>
      </c>
    </row>
    <row r="2324">
      <c r="A2324" t="inlineStr">
        <is>
          <t>Frete de venda</t>
        </is>
      </c>
      <c r="B2324" t="inlineStr">
        <is>
          <t>2.01.02 Frete sobre Vendas</t>
        </is>
      </c>
      <c r="C2324" t="inlineStr">
        <is>
          <t>Antes de 2026</t>
        </is>
      </c>
      <c r="D2324" t="inlineStr">
        <is>
          <t>Antes de 2026</t>
        </is>
      </c>
      <c r="E2324" s="28" t="n">
        <v>45959</v>
      </c>
      <c r="F2324" t="inlineStr">
        <is>
          <t>CT-e</t>
        </is>
      </c>
      <c r="G2324" t="inlineStr">
        <is>
          <t>000005608</t>
        </is>
      </c>
      <c r="H2324" t="inlineStr">
        <is>
          <t>R&amp;R TRANSPORTE E LOGISTICA</t>
        </is>
      </c>
      <c r="J2324" s="29" t="n">
        <v>46.6</v>
      </c>
      <c r="K2324" s="29">
        <f>(1-ISNUMBER(SEARCH("556",M2324)))*(O2324*SUMIFS(Premissas!$C$5:$C$44,Premissas!$A$5:$A$44,$A2324,Premissas!$B$5:$B$44,$B2324)+P2324*SUMIFS(Premissas!$D$5:$D$44,Premissas!$A$5:$A$44,$A2324,Premissas!$B$5:$B$44,$B2324))+R2324*SUMIFS(Premissas!$E$5:$E$44,Premissas!$A$5:$A$44,$A2324,Premissas!$B$5:$B$44,$B2324)+S2324*SUMIFS(Premissas!$F$5:$F$44,Premissas!$A$5:$A$44,$A2324,Premissas!$B$5:$B$44,$B2324)</f>
        <v/>
      </c>
      <c r="L2324" s="29">
        <f>J2324-K2324</f>
        <v/>
      </c>
      <c r="M2324" t="inlineStr">
        <is>
          <t>1.350</t>
        </is>
      </c>
      <c r="N2324" t="inlineStr">
        <is>
          <t>Modalidade: 0 - Por conta do remetente | Parte: JAMES L. H. TOME e CIA LTDA (16.965.024/0001-15)</t>
        </is>
      </c>
      <c r="O2324" s="29" t="n">
        <v>0</v>
      </c>
      <c r="P2324" s="29" t="n">
        <v>0</v>
      </c>
      <c r="Q2324" s="29" t="n">
        <v>0</v>
      </c>
      <c r="R2324" s="29" t="n">
        <v>0</v>
      </c>
      <c r="S2324" s="29" t="n">
        <v>0</v>
      </c>
      <c r="T2324" t="inlineStr">
        <is>
          <t>25251026975620000130570010000056081001701065</t>
        </is>
      </c>
      <c r="U2324" t="inlineStr">
        <is>
          <t>Não</t>
        </is>
      </c>
    </row>
    <row r="2325">
      <c r="A2325" t="inlineStr">
        <is>
          <t>Frete de venda</t>
        </is>
      </c>
      <c r="B2325" t="inlineStr">
        <is>
          <t>2.01.02 Frete sobre Vendas</t>
        </is>
      </c>
      <c r="C2325" t="inlineStr">
        <is>
          <t>Antes de 2026</t>
        </is>
      </c>
      <c r="D2325" t="inlineStr">
        <is>
          <t>Antes de 2026</t>
        </is>
      </c>
      <c r="E2325" s="28" t="n">
        <v>45959</v>
      </c>
      <c r="F2325" t="inlineStr">
        <is>
          <t>CT-e</t>
        </is>
      </c>
      <c r="G2325" t="inlineStr">
        <is>
          <t>000005609</t>
        </is>
      </c>
      <c r="H2325" t="inlineStr">
        <is>
          <t>R&amp;R TRANSPORTE E LOGISTICA</t>
        </is>
      </c>
      <c r="J2325" s="29" t="n">
        <v>31.98</v>
      </c>
      <c r="K2325" s="29">
        <f>(1-ISNUMBER(SEARCH("556",M2325)))*(O2325*SUMIFS(Premissas!$C$5:$C$44,Premissas!$A$5:$A$44,$A2325,Premissas!$B$5:$B$44,$B2325)+P2325*SUMIFS(Premissas!$D$5:$D$44,Premissas!$A$5:$A$44,$A2325,Premissas!$B$5:$B$44,$B2325))+R2325*SUMIFS(Premissas!$E$5:$E$44,Premissas!$A$5:$A$44,$A2325,Premissas!$B$5:$B$44,$B2325)+S2325*SUMIFS(Premissas!$F$5:$F$44,Premissas!$A$5:$A$44,$A2325,Premissas!$B$5:$B$44,$B2325)</f>
        <v/>
      </c>
      <c r="L2325" s="29">
        <f>J2325-K2325</f>
        <v/>
      </c>
      <c r="M2325" t="inlineStr">
        <is>
          <t>1.350</t>
        </is>
      </c>
      <c r="N2325" t="inlineStr">
        <is>
          <t>Modalidade: 0 - Por conta do remetente | Parte: JAMES L H TOME e CIA LTDA (16.965.024/0008-91)</t>
        </is>
      </c>
      <c r="O2325" s="29" t="n">
        <v>0</v>
      </c>
      <c r="P2325" s="29" t="n">
        <v>0</v>
      </c>
      <c r="Q2325" s="29" t="n">
        <v>0</v>
      </c>
      <c r="R2325" s="29" t="n">
        <v>0</v>
      </c>
      <c r="S2325" s="29" t="n">
        <v>0</v>
      </c>
      <c r="T2325" t="inlineStr">
        <is>
          <t>25251026975620000130570010000056091001401140</t>
        </is>
      </c>
      <c r="U2325" t="inlineStr">
        <is>
          <t>Não</t>
        </is>
      </c>
    </row>
    <row r="2326">
      <c r="A2326" t="inlineStr">
        <is>
          <t>Frete de venda</t>
        </is>
      </c>
      <c r="B2326" t="inlineStr">
        <is>
          <t>2.01.02 Frete sobre Vendas</t>
        </is>
      </c>
      <c r="C2326" t="inlineStr">
        <is>
          <t>Antes de 2026</t>
        </is>
      </c>
      <c r="D2326" t="inlineStr">
        <is>
          <t>Antes de 2026</t>
        </is>
      </c>
      <c r="E2326" s="28" t="n">
        <v>45959</v>
      </c>
      <c r="F2326" t="inlineStr">
        <is>
          <t>CT-e</t>
        </is>
      </c>
      <c r="G2326" t="inlineStr">
        <is>
          <t>000005610</t>
        </is>
      </c>
      <c r="H2326" t="inlineStr">
        <is>
          <t>R&amp;R TRANSPORTE E LOGISTICA</t>
        </is>
      </c>
      <c r="J2326" s="29" t="n">
        <v>27.42</v>
      </c>
      <c r="K2326" s="29">
        <f>(1-ISNUMBER(SEARCH("556",M2326)))*(O2326*SUMIFS(Premissas!$C$5:$C$44,Premissas!$A$5:$A$44,$A2326,Premissas!$B$5:$B$44,$B2326)+P2326*SUMIFS(Premissas!$D$5:$D$44,Premissas!$A$5:$A$44,$A2326,Premissas!$B$5:$B$44,$B2326))+R2326*SUMIFS(Premissas!$E$5:$E$44,Premissas!$A$5:$A$44,$A2326,Premissas!$B$5:$B$44,$B2326)+S2326*SUMIFS(Premissas!$F$5:$F$44,Premissas!$A$5:$A$44,$A2326,Premissas!$B$5:$B$44,$B2326)</f>
        <v/>
      </c>
      <c r="L2326" s="29">
        <f>J2326-K2326</f>
        <v/>
      </c>
      <c r="M2326" t="inlineStr">
        <is>
          <t>1.350</t>
        </is>
      </c>
      <c r="N2326" t="inlineStr">
        <is>
          <t>Modalidade: 0 - Por conta do remetente | Parte: R. VALE DOS SANTOS LTDA (21.585.699/0001-79)</t>
        </is>
      </c>
      <c r="O2326" s="29" t="n">
        <v>0</v>
      </c>
      <c r="P2326" s="29" t="n">
        <v>0</v>
      </c>
      <c r="Q2326" s="29" t="n">
        <v>0</v>
      </c>
      <c r="R2326" s="29" t="n">
        <v>0</v>
      </c>
      <c r="S2326" s="29" t="n">
        <v>0</v>
      </c>
      <c r="T2326" t="inlineStr">
        <is>
          <t>25251026975620000130570010000056101001101228</t>
        </is>
      </c>
      <c r="U2326" t="inlineStr">
        <is>
          <t>Não</t>
        </is>
      </c>
    </row>
    <row r="2327">
      <c r="A2327" t="inlineStr">
        <is>
          <t>Frete de venda</t>
        </is>
      </c>
      <c r="B2327" t="inlineStr">
        <is>
          <t>2.01.02 Frete sobre Vendas</t>
        </is>
      </c>
      <c r="C2327" t="inlineStr">
        <is>
          <t>Antes de 2026</t>
        </is>
      </c>
      <c r="D2327" t="inlineStr">
        <is>
          <t>Antes de 2026</t>
        </is>
      </c>
      <c r="E2327" s="28" t="n">
        <v>45959</v>
      </c>
      <c r="F2327" t="inlineStr">
        <is>
          <t>CT-e</t>
        </is>
      </c>
      <c r="G2327" t="inlineStr">
        <is>
          <t>000005611</t>
        </is>
      </c>
      <c r="H2327" t="inlineStr">
        <is>
          <t>R&amp;R TRANSPORTE E LOGISTICA</t>
        </is>
      </c>
      <c r="J2327" s="29" t="n">
        <v>38.21</v>
      </c>
      <c r="K2327" s="29">
        <f>(1-ISNUMBER(SEARCH("556",M2327)))*(O2327*SUMIFS(Premissas!$C$5:$C$44,Premissas!$A$5:$A$44,$A2327,Premissas!$B$5:$B$44,$B2327)+P2327*SUMIFS(Premissas!$D$5:$D$44,Premissas!$A$5:$A$44,$A2327,Premissas!$B$5:$B$44,$B2327))+R2327*SUMIFS(Premissas!$E$5:$E$44,Premissas!$A$5:$A$44,$A2327,Premissas!$B$5:$B$44,$B2327)+S2327*SUMIFS(Premissas!$F$5:$F$44,Premissas!$A$5:$A$44,$A2327,Premissas!$B$5:$B$44,$B2327)</f>
        <v/>
      </c>
      <c r="L2327" s="29">
        <f>J2327-K2327</f>
        <v/>
      </c>
      <c r="M2327" t="inlineStr">
        <is>
          <t>1.350</t>
        </is>
      </c>
      <c r="N2327" t="inlineStr">
        <is>
          <t>Modalidade: 0 - Por conta do remetente | Parte: K C O F DO NASCIMENTO (53.959.331/0001-10)</t>
        </is>
      </c>
      <c r="O2327" s="29" t="n">
        <v>0</v>
      </c>
      <c r="P2327" s="29" t="n">
        <v>0</v>
      </c>
      <c r="Q2327" s="29" t="n">
        <v>0</v>
      </c>
      <c r="R2327" s="29" t="n">
        <v>0</v>
      </c>
      <c r="S2327" s="29" t="n">
        <v>0</v>
      </c>
      <c r="T2327" t="inlineStr">
        <is>
          <t>25251026975620000130570010000056111001901302</t>
        </is>
      </c>
      <c r="U2327" t="inlineStr">
        <is>
          <t>Não</t>
        </is>
      </c>
    </row>
    <row r="2328">
      <c r="A2328" t="inlineStr">
        <is>
          <t>Frete de venda</t>
        </is>
      </c>
      <c r="B2328" t="inlineStr">
        <is>
          <t>2.01.02 Frete sobre Vendas</t>
        </is>
      </c>
      <c r="C2328" t="inlineStr">
        <is>
          <t>Antes de 2026</t>
        </is>
      </c>
      <c r="D2328" t="inlineStr">
        <is>
          <t>Antes de 2026</t>
        </is>
      </c>
      <c r="E2328" s="28" t="n">
        <v>45959</v>
      </c>
      <c r="F2328" t="inlineStr">
        <is>
          <t>CT-e</t>
        </is>
      </c>
      <c r="G2328" t="inlineStr">
        <is>
          <t>000005612</t>
        </is>
      </c>
      <c r="H2328" t="inlineStr">
        <is>
          <t>R&amp;R TRANSPORTE E LOGISTICA</t>
        </is>
      </c>
      <c r="J2328" s="29" t="n">
        <v>96.41</v>
      </c>
      <c r="K2328" s="29">
        <f>(1-ISNUMBER(SEARCH("556",M2328)))*(O2328*SUMIFS(Premissas!$C$5:$C$44,Premissas!$A$5:$A$44,$A2328,Premissas!$B$5:$B$44,$B2328)+P2328*SUMIFS(Premissas!$D$5:$D$44,Premissas!$A$5:$A$44,$A2328,Premissas!$B$5:$B$44,$B2328))+R2328*SUMIFS(Premissas!$E$5:$E$44,Premissas!$A$5:$A$44,$A2328,Premissas!$B$5:$B$44,$B2328)+S2328*SUMIFS(Premissas!$F$5:$F$44,Premissas!$A$5:$A$44,$A2328,Premissas!$B$5:$B$44,$B2328)</f>
        <v/>
      </c>
      <c r="L2328" s="29">
        <f>J2328-K2328</f>
        <v/>
      </c>
      <c r="M2328" t="inlineStr">
        <is>
          <t>1.350</t>
        </is>
      </c>
      <c r="N2328" t="inlineStr">
        <is>
          <t>Modalidade: 0 - Por conta do remetente | Parte: P.H. S. SANTOS COMERCIO DE ALIMENTOS LTDA (54.350.615/0001-77)</t>
        </is>
      </c>
      <c r="O2328" s="29" t="n">
        <v>0</v>
      </c>
      <c r="P2328" s="29" t="n">
        <v>0</v>
      </c>
      <c r="Q2328" s="29" t="n">
        <v>0</v>
      </c>
      <c r="R2328" s="29" t="n">
        <v>0</v>
      </c>
      <c r="S2328" s="29" t="n">
        <v>0</v>
      </c>
      <c r="T2328" t="inlineStr">
        <is>
          <t>25251026975620000130570010000056121001601381</t>
        </is>
      </c>
      <c r="U2328" t="inlineStr">
        <is>
          <t>Não</t>
        </is>
      </c>
    </row>
    <row r="2329">
      <c r="A2329" t="inlineStr">
        <is>
          <t>Frete de venda</t>
        </is>
      </c>
      <c r="B2329" t="inlineStr">
        <is>
          <t>2.01.02 Frete sobre Vendas</t>
        </is>
      </c>
      <c r="C2329" t="inlineStr">
        <is>
          <t>Antes de 2026</t>
        </is>
      </c>
      <c r="D2329" t="inlineStr">
        <is>
          <t>Antes de 2026</t>
        </is>
      </c>
      <c r="E2329" s="28" t="n">
        <v>45959</v>
      </c>
      <c r="F2329" t="inlineStr">
        <is>
          <t>CT-e</t>
        </is>
      </c>
      <c r="G2329" t="inlineStr">
        <is>
          <t>000005613</t>
        </is>
      </c>
      <c r="H2329" t="inlineStr">
        <is>
          <t>R&amp;R TRANSPORTE E LOGISTICA</t>
        </is>
      </c>
      <c r="J2329" s="29" t="n">
        <v>750</v>
      </c>
      <c r="K2329" s="29">
        <f>(1-ISNUMBER(SEARCH("556",M2329)))*(O2329*SUMIFS(Premissas!$C$5:$C$44,Premissas!$A$5:$A$44,$A2329,Premissas!$B$5:$B$44,$B2329)+P2329*SUMIFS(Premissas!$D$5:$D$44,Premissas!$A$5:$A$44,$A2329,Premissas!$B$5:$B$44,$B2329))+R2329*SUMIFS(Premissas!$E$5:$E$44,Premissas!$A$5:$A$44,$A2329,Premissas!$B$5:$B$44,$B2329)+S2329*SUMIFS(Premissas!$F$5:$F$44,Premissas!$A$5:$A$44,$A2329,Premissas!$B$5:$B$44,$B2329)</f>
        <v/>
      </c>
      <c r="L2329" s="29">
        <f>J2329-K2329</f>
        <v/>
      </c>
      <c r="M2329" t="inlineStr">
        <is>
          <t>1.350</t>
        </is>
      </c>
      <c r="N2329" t="inlineStr">
        <is>
          <t>Modalidade: 0 - Por conta do remetente | Parte: ALBUQUERQUE E FREIRE LTDA (09.358.347/0002-66)</t>
        </is>
      </c>
      <c r="O2329" s="29" t="n">
        <v>0</v>
      </c>
      <c r="P2329" s="29" t="n">
        <v>0</v>
      </c>
      <c r="Q2329" s="29" t="n">
        <v>0</v>
      </c>
      <c r="R2329" s="29" t="n">
        <v>0</v>
      </c>
      <c r="S2329" s="29" t="n">
        <v>0</v>
      </c>
      <c r="T2329" t="inlineStr">
        <is>
          <t>25251026975620000130570010000056131000110896</t>
        </is>
      </c>
      <c r="U2329" t="inlineStr">
        <is>
          <t>Não</t>
        </is>
      </c>
    </row>
    <row r="2330">
      <c r="A2330" t="inlineStr">
        <is>
          <t>Frete de venda</t>
        </is>
      </c>
      <c r="B2330" t="inlineStr">
        <is>
          <t>2.01.02 Frete sobre Vendas</t>
        </is>
      </c>
      <c r="C2330" t="inlineStr">
        <is>
          <t>Antes de 2026</t>
        </is>
      </c>
      <c r="D2330" t="inlineStr">
        <is>
          <t>Antes de 2026</t>
        </is>
      </c>
      <c r="E2330" s="28" t="n">
        <v>45959</v>
      </c>
      <c r="F2330" t="inlineStr">
        <is>
          <t>CT-e</t>
        </is>
      </c>
      <c r="G2330" t="inlineStr">
        <is>
          <t>000005614</t>
        </is>
      </c>
      <c r="H2330" t="inlineStr">
        <is>
          <t>R&amp;R TRANSPORTE E LOGISTICA</t>
        </is>
      </c>
      <c r="J2330" s="29" t="n">
        <v>750</v>
      </c>
      <c r="K2330" s="29">
        <f>(1-ISNUMBER(SEARCH("556",M2330)))*(O2330*SUMIFS(Premissas!$C$5:$C$44,Premissas!$A$5:$A$44,$A2330,Premissas!$B$5:$B$44,$B2330)+P2330*SUMIFS(Premissas!$D$5:$D$44,Premissas!$A$5:$A$44,$A2330,Premissas!$B$5:$B$44,$B2330))+R2330*SUMIFS(Premissas!$E$5:$E$44,Premissas!$A$5:$A$44,$A2330,Premissas!$B$5:$B$44,$B2330)+S2330*SUMIFS(Premissas!$F$5:$F$44,Premissas!$A$5:$A$44,$A2330,Premissas!$B$5:$B$44,$B2330)</f>
        <v/>
      </c>
      <c r="L2330" s="29">
        <f>J2330-K2330</f>
        <v/>
      </c>
      <c r="M2330" t="inlineStr">
        <is>
          <t>1.350</t>
        </is>
      </c>
      <c r="N2330" t="inlineStr">
        <is>
          <t>Modalidade: 0 - Por conta do remetente | Parte: EMBALAR DISTRIBUIDORA DE EMBALAGENS LTDA (10.347.424/0001-80)</t>
        </is>
      </c>
      <c r="O2330" s="29" t="n">
        <v>0</v>
      </c>
      <c r="P2330" s="29" t="n">
        <v>0</v>
      </c>
      <c r="Q2330" s="29" t="n">
        <v>0</v>
      </c>
      <c r="R2330" s="29" t="n">
        <v>0</v>
      </c>
      <c r="S2330" s="29" t="n">
        <v>0</v>
      </c>
      <c r="T2330" t="inlineStr">
        <is>
          <t>25251026975620000130570010000056141000190978</t>
        </is>
      </c>
      <c r="U2330" t="inlineStr">
        <is>
          <t>Não</t>
        </is>
      </c>
    </row>
    <row r="2331">
      <c r="A2331" t="inlineStr">
        <is>
          <t>Frete de venda</t>
        </is>
      </c>
      <c r="B2331" t="inlineStr">
        <is>
          <t>2.01.02 Frete sobre Vendas</t>
        </is>
      </c>
      <c r="C2331" t="inlineStr">
        <is>
          <t>Antes de 2026</t>
        </is>
      </c>
      <c r="D2331" t="inlineStr">
        <is>
          <t>Antes de 2026</t>
        </is>
      </c>
      <c r="E2331" s="28" t="n">
        <v>45959</v>
      </c>
      <c r="F2331" t="inlineStr">
        <is>
          <t>CT-e</t>
        </is>
      </c>
      <c r="G2331" t="inlineStr">
        <is>
          <t>000005615</t>
        </is>
      </c>
      <c r="H2331" t="inlineStr">
        <is>
          <t>R&amp;R TRANSPORTE E LOGISTICA</t>
        </is>
      </c>
      <c r="J2331" s="29" t="n">
        <v>750</v>
      </c>
      <c r="K2331" s="29">
        <f>(1-ISNUMBER(SEARCH("556",M2331)))*(O2331*SUMIFS(Premissas!$C$5:$C$44,Premissas!$A$5:$A$44,$A2331,Premissas!$B$5:$B$44,$B2331)+P2331*SUMIFS(Premissas!$D$5:$D$44,Premissas!$A$5:$A$44,$A2331,Premissas!$B$5:$B$44,$B2331))+R2331*SUMIFS(Premissas!$E$5:$E$44,Premissas!$A$5:$A$44,$A2331,Premissas!$B$5:$B$44,$B2331)+S2331*SUMIFS(Premissas!$F$5:$F$44,Premissas!$A$5:$A$44,$A2331,Premissas!$B$5:$B$44,$B2331)</f>
        <v/>
      </c>
      <c r="L2331" s="29">
        <f>J2331-K2331</f>
        <v/>
      </c>
      <c r="M2331" t="inlineStr">
        <is>
          <t>1.350</t>
        </is>
      </c>
      <c r="N2331" t="inlineStr">
        <is>
          <t>Modalidade: 0 - Por conta do remetente | Parte: ALBUQUERQUE E FREIRE LTDA (09.358.347/0001-85)</t>
        </is>
      </c>
      <c r="O2331" s="29" t="n">
        <v>0</v>
      </c>
      <c r="P2331" s="29" t="n">
        <v>0</v>
      </c>
      <c r="Q2331" s="29" t="n">
        <v>0</v>
      </c>
      <c r="R2331" s="29" t="n">
        <v>0</v>
      </c>
      <c r="S2331" s="29" t="n">
        <v>0</v>
      </c>
      <c r="T2331" t="inlineStr">
        <is>
          <t>25251026975620000130570010000056151001601057</t>
        </is>
      </c>
      <c r="U2331" t="inlineStr">
        <is>
          <t>Não</t>
        </is>
      </c>
    </row>
    <row r="2332">
      <c r="A2332" t="inlineStr">
        <is>
          <t>Frete de venda</t>
        </is>
      </c>
      <c r="B2332" t="inlineStr">
        <is>
          <t>2.01.02 Frete sobre Vendas</t>
        </is>
      </c>
      <c r="C2332" t="inlineStr">
        <is>
          <t>Antes de 2026</t>
        </is>
      </c>
      <c r="D2332" t="inlineStr">
        <is>
          <t>Antes de 2026</t>
        </is>
      </c>
      <c r="E2332" s="28" t="n">
        <v>45959</v>
      </c>
      <c r="F2332" t="inlineStr">
        <is>
          <t>CT-e</t>
        </is>
      </c>
      <c r="G2332" t="inlineStr">
        <is>
          <t>000005616</t>
        </is>
      </c>
      <c r="H2332" t="inlineStr">
        <is>
          <t>R&amp;R TRANSPORTE E LOGISTICA</t>
        </is>
      </c>
      <c r="J2332" s="29" t="n">
        <v>750</v>
      </c>
      <c r="K2332" s="29">
        <f>(1-ISNUMBER(SEARCH("556",M2332)))*(O2332*SUMIFS(Premissas!$C$5:$C$44,Premissas!$A$5:$A$44,$A2332,Premissas!$B$5:$B$44,$B2332)+P2332*SUMIFS(Premissas!$D$5:$D$44,Premissas!$A$5:$A$44,$A2332,Premissas!$B$5:$B$44,$B2332))+R2332*SUMIFS(Premissas!$E$5:$E$44,Premissas!$A$5:$A$44,$A2332,Premissas!$B$5:$B$44,$B2332)+S2332*SUMIFS(Premissas!$F$5:$F$44,Premissas!$A$5:$A$44,$A2332,Premissas!$B$5:$B$44,$B2332)</f>
        <v/>
      </c>
      <c r="L2332" s="29">
        <f>J2332-K2332</f>
        <v/>
      </c>
      <c r="M2332" t="inlineStr">
        <is>
          <t>1.350</t>
        </is>
      </c>
      <c r="N2332" t="inlineStr">
        <is>
          <t>Modalidade: 0 - Por conta do remetente | Parte: ALBUQUERQUE DISTRIBUIDORA DE ALIMENTOS LTDA (29.295.287/0001-06)</t>
        </is>
      </c>
      <c r="O2332" s="29" t="n">
        <v>0</v>
      </c>
      <c r="P2332" s="29" t="n">
        <v>0</v>
      </c>
      <c r="Q2332" s="29" t="n">
        <v>0</v>
      </c>
      <c r="R2332" s="29" t="n">
        <v>0</v>
      </c>
      <c r="S2332" s="29" t="n">
        <v>0</v>
      </c>
      <c r="T2332" t="inlineStr">
        <is>
          <t>25251026975620000130570010000056161001301131</t>
        </is>
      </c>
      <c r="U2332" t="inlineStr">
        <is>
          <t>Não</t>
        </is>
      </c>
    </row>
    <row r="2333">
      <c r="A2333" t="inlineStr">
        <is>
          <t>Frete de venda</t>
        </is>
      </c>
      <c r="B2333" t="inlineStr">
        <is>
          <t>2.01.02 Frete sobre Vendas</t>
        </is>
      </c>
      <c r="C2333" t="inlineStr">
        <is>
          <t>Antes de 2026</t>
        </is>
      </c>
      <c r="D2333" t="inlineStr">
        <is>
          <t>Antes de 2026</t>
        </is>
      </c>
      <c r="E2333" s="28" t="n">
        <v>45959</v>
      </c>
      <c r="F2333" t="inlineStr">
        <is>
          <t>CT-e</t>
        </is>
      </c>
      <c r="G2333" t="inlineStr">
        <is>
          <t>000005617</t>
        </is>
      </c>
      <c r="H2333" t="inlineStr">
        <is>
          <t>R&amp;R TRANSPORTE E LOGISTICA</t>
        </is>
      </c>
      <c r="J2333" s="29" t="n">
        <v>750</v>
      </c>
      <c r="K2333" s="29">
        <f>(1-ISNUMBER(SEARCH("556",M2333)))*(O2333*SUMIFS(Premissas!$C$5:$C$44,Premissas!$A$5:$A$44,$A2333,Premissas!$B$5:$B$44,$B2333)+P2333*SUMIFS(Premissas!$D$5:$D$44,Premissas!$A$5:$A$44,$A2333,Premissas!$B$5:$B$44,$B2333))+R2333*SUMIFS(Premissas!$E$5:$E$44,Premissas!$A$5:$A$44,$A2333,Premissas!$B$5:$B$44,$B2333)+S2333*SUMIFS(Premissas!$F$5:$F$44,Premissas!$A$5:$A$44,$A2333,Premissas!$B$5:$B$44,$B2333)</f>
        <v/>
      </c>
      <c r="L2333" s="29">
        <f>J2333-K2333</f>
        <v/>
      </c>
      <c r="M2333" t="inlineStr">
        <is>
          <t>1.350</t>
        </is>
      </c>
      <c r="N2333" t="inlineStr">
        <is>
          <t>Modalidade: 0 - Por conta do remetente | Parte: PLASTIPEL EMBALAGENS E DESCARTAVEIS (36.091.781/0001-14)</t>
        </is>
      </c>
      <c r="O2333" s="29" t="n">
        <v>0</v>
      </c>
      <c r="P2333" s="29" t="n">
        <v>0</v>
      </c>
      <c r="Q2333" s="29" t="n">
        <v>0</v>
      </c>
      <c r="R2333" s="29" t="n">
        <v>0</v>
      </c>
      <c r="S2333" s="29" t="n">
        <v>0</v>
      </c>
      <c r="T2333" t="inlineStr">
        <is>
          <t>25251026975620000130570010000056171000101217</t>
        </is>
      </c>
      <c r="U2333" t="inlineStr">
        <is>
          <t>Não</t>
        </is>
      </c>
    </row>
    <row r="2334">
      <c r="A2334" t="inlineStr">
        <is>
          <t>Frete de venda</t>
        </is>
      </c>
      <c r="B2334" t="inlineStr">
        <is>
          <t>2.01.02 Frete sobre Vendas</t>
        </is>
      </c>
      <c r="C2334" t="inlineStr">
        <is>
          <t>Antes de 2026</t>
        </is>
      </c>
      <c r="D2334" t="inlineStr">
        <is>
          <t>Antes de 2026</t>
        </is>
      </c>
      <c r="E2334" s="28" t="n">
        <v>45959</v>
      </c>
      <c r="F2334" t="inlineStr">
        <is>
          <t>CT-e</t>
        </is>
      </c>
      <c r="G2334" t="inlineStr">
        <is>
          <t>000005618</t>
        </is>
      </c>
      <c r="H2334" t="inlineStr">
        <is>
          <t>R&amp;R TRANSPORTE E LOGISTICA</t>
        </is>
      </c>
      <c r="J2334" s="29" t="n">
        <v>750</v>
      </c>
      <c r="K2334" s="29">
        <f>(1-ISNUMBER(SEARCH("556",M2334)))*(O2334*SUMIFS(Premissas!$C$5:$C$44,Premissas!$A$5:$A$44,$A2334,Premissas!$B$5:$B$44,$B2334)+P2334*SUMIFS(Premissas!$D$5:$D$44,Premissas!$A$5:$A$44,$A2334,Premissas!$B$5:$B$44,$B2334))+R2334*SUMIFS(Premissas!$E$5:$E$44,Premissas!$A$5:$A$44,$A2334,Premissas!$B$5:$B$44,$B2334)+S2334*SUMIFS(Premissas!$F$5:$F$44,Premissas!$A$5:$A$44,$A2334,Premissas!$B$5:$B$44,$B2334)</f>
        <v/>
      </c>
      <c r="L2334" s="29">
        <f>J2334-K2334</f>
        <v/>
      </c>
      <c r="M2334" t="inlineStr">
        <is>
          <t>1.350</t>
        </is>
      </c>
      <c r="N2334" t="inlineStr">
        <is>
          <t>Modalidade: 0 - Por conta do remetente | Parte: UP DISTRIBUIDORA DE PRODUTOS DESCARTAVEIS LTDA (12.423.997/0001-71)</t>
        </is>
      </c>
      <c r="O2334" s="29" t="n">
        <v>0</v>
      </c>
      <c r="P2334" s="29" t="n">
        <v>0</v>
      </c>
      <c r="Q2334" s="29" t="n">
        <v>0</v>
      </c>
      <c r="R2334" s="29" t="n">
        <v>0</v>
      </c>
      <c r="S2334" s="29" t="n">
        <v>0</v>
      </c>
      <c r="T2334" t="inlineStr">
        <is>
          <t>25251026975620000130570010000056181001801295</t>
        </is>
      </c>
      <c r="U2334" t="inlineStr">
        <is>
          <t>Não</t>
        </is>
      </c>
    </row>
    <row r="2335">
      <c r="A2335" t="inlineStr">
        <is>
          <t>Frete de venda</t>
        </is>
      </c>
      <c r="B2335" t="inlineStr">
        <is>
          <t>2.01.02 Frete sobre Vendas</t>
        </is>
      </c>
      <c r="C2335" t="inlineStr">
        <is>
          <t>Antes de 2026</t>
        </is>
      </c>
      <c r="D2335" t="inlineStr">
        <is>
          <t>Antes de 2026</t>
        </is>
      </c>
      <c r="E2335" s="28" t="n">
        <v>45960</v>
      </c>
      <c r="F2335" t="inlineStr">
        <is>
          <t>CT-e</t>
        </is>
      </c>
      <c r="G2335" t="inlineStr">
        <is>
          <t>000005619</t>
        </is>
      </c>
      <c r="H2335" t="inlineStr">
        <is>
          <t>R&amp;R TRANSPORTE E LOGISTICA</t>
        </is>
      </c>
      <c r="J2335" s="29" t="n">
        <v>53.96</v>
      </c>
      <c r="K2335" s="29">
        <f>(1-ISNUMBER(SEARCH("556",M2335)))*(O2335*SUMIFS(Premissas!$C$5:$C$44,Premissas!$A$5:$A$44,$A2335,Premissas!$B$5:$B$44,$B2335)+P2335*SUMIFS(Premissas!$D$5:$D$44,Premissas!$A$5:$A$44,$A2335,Premissas!$B$5:$B$44,$B2335))+R2335*SUMIFS(Premissas!$E$5:$E$44,Premissas!$A$5:$A$44,$A2335,Premissas!$B$5:$B$44,$B2335)+S2335*SUMIFS(Premissas!$F$5:$F$44,Premissas!$A$5:$A$44,$A2335,Premissas!$B$5:$B$44,$B2335)</f>
        <v/>
      </c>
      <c r="L2335" s="29">
        <f>J2335-K2335</f>
        <v/>
      </c>
      <c r="M2335" t="inlineStr">
        <is>
          <t>1.350</t>
        </is>
      </c>
      <c r="N2335" t="inlineStr">
        <is>
          <t>Modalidade: 0 - Por conta do remetente | Parte: PLASPEL EMBALAGENS LTDA (00.076.958/0001-66)</t>
        </is>
      </c>
      <c r="O2335" s="29" t="n">
        <v>0</v>
      </c>
      <c r="P2335" s="29" t="n">
        <v>0</v>
      </c>
      <c r="Q2335" s="29" t="n">
        <v>0</v>
      </c>
      <c r="R2335" s="29" t="n">
        <v>0</v>
      </c>
      <c r="S2335" s="29" t="n">
        <v>0</v>
      </c>
      <c r="T2335" t="inlineStr">
        <is>
          <t>25251026975620000130570010000056191001501370</t>
        </is>
      </c>
      <c r="U2335" t="inlineStr">
        <is>
          <t>Não</t>
        </is>
      </c>
    </row>
    <row r="2336">
      <c r="A2336" t="inlineStr">
        <is>
          <t>Frete de venda</t>
        </is>
      </c>
      <c r="B2336" t="inlineStr">
        <is>
          <t>2.01.02 Frete sobre Vendas</t>
        </is>
      </c>
      <c r="C2336" t="inlineStr">
        <is>
          <t>Antes de 2026</t>
        </is>
      </c>
      <c r="D2336" t="inlineStr">
        <is>
          <t>Antes de 2026</t>
        </is>
      </c>
      <c r="E2336" s="28" t="n">
        <v>45960</v>
      </c>
      <c r="F2336" t="inlineStr">
        <is>
          <t>CT-e</t>
        </is>
      </c>
      <c r="G2336" t="inlineStr">
        <is>
          <t>000005620</t>
        </is>
      </c>
      <c r="H2336" t="inlineStr">
        <is>
          <t>R&amp;R TRANSPORTE E LOGISTICA</t>
        </is>
      </c>
      <c r="J2336" s="29" t="n">
        <v>42.69</v>
      </c>
      <c r="K2336" s="29">
        <f>(1-ISNUMBER(SEARCH("556",M2336)))*(O2336*SUMIFS(Premissas!$C$5:$C$44,Premissas!$A$5:$A$44,$A2336,Premissas!$B$5:$B$44,$B2336)+P2336*SUMIFS(Premissas!$D$5:$D$44,Premissas!$A$5:$A$44,$A2336,Premissas!$B$5:$B$44,$B2336))+R2336*SUMIFS(Premissas!$E$5:$E$44,Premissas!$A$5:$A$44,$A2336,Premissas!$B$5:$B$44,$B2336)+S2336*SUMIFS(Premissas!$F$5:$F$44,Premissas!$A$5:$A$44,$A2336,Premissas!$B$5:$B$44,$B2336)</f>
        <v/>
      </c>
      <c r="L2336" s="29">
        <f>J2336-K2336</f>
        <v/>
      </c>
      <c r="M2336" t="inlineStr">
        <is>
          <t>1.350</t>
        </is>
      </c>
      <c r="N2336" t="inlineStr">
        <is>
          <t>Modalidade: 0 - Por conta do remetente | Parte: EDIVAL FRANCISCO TAVARES LTDA (47.351.368/0001-68)</t>
        </is>
      </c>
      <c r="O2336" s="29" t="n">
        <v>0</v>
      </c>
      <c r="P2336" s="29" t="n">
        <v>0</v>
      </c>
      <c r="Q2336" s="29" t="n">
        <v>0</v>
      </c>
      <c r="R2336" s="29" t="n">
        <v>0</v>
      </c>
      <c r="S2336" s="29" t="n">
        <v>0</v>
      </c>
      <c r="T2336" t="inlineStr">
        <is>
          <t>25251026975620000130570010000056201001201458</t>
        </is>
      </c>
      <c r="U2336" t="inlineStr">
        <is>
          <t>Não</t>
        </is>
      </c>
    </row>
    <row r="2337">
      <c r="A2337" t="inlineStr">
        <is>
          <t>Frete de venda</t>
        </is>
      </c>
      <c r="B2337" t="inlineStr">
        <is>
          <t>2.01.02 Frete sobre Vendas</t>
        </is>
      </c>
      <c r="C2337" t="inlineStr">
        <is>
          <t>Antes de 2026</t>
        </is>
      </c>
      <c r="D2337" t="inlineStr">
        <is>
          <t>Antes de 2026</t>
        </is>
      </c>
      <c r="E2337" s="28" t="n">
        <v>45960</v>
      </c>
      <c r="F2337" t="inlineStr">
        <is>
          <t>CT-e</t>
        </is>
      </c>
      <c r="G2337" t="inlineStr">
        <is>
          <t>000005621</t>
        </is>
      </c>
      <c r="H2337" t="inlineStr">
        <is>
          <t>R&amp;R TRANSPORTE E LOGISTICA</t>
        </is>
      </c>
      <c r="J2337" s="29" t="n">
        <v>58.41</v>
      </c>
      <c r="K2337" s="29">
        <f>(1-ISNUMBER(SEARCH("556",M2337)))*(O2337*SUMIFS(Premissas!$C$5:$C$44,Premissas!$A$5:$A$44,$A2337,Premissas!$B$5:$B$44,$B2337)+P2337*SUMIFS(Premissas!$D$5:$D$44,Premissas!$A$5:$A$44,$A2337,Premissas!$B$5:$B$44,$B2337))+R2337*SUMIFS(Premissas!$E$5:$E$44,Premissas!$A$5:$A$44,$A2337,Premissas!$B$5:$B$44,$B2337)+S2337*SUMIFS(Premissas!$F$5:$F$44,Premissas!$A$5:$A$44,$A2337,Premissas!$B$5:$B$44,$B2337)</f>
        <v/>
      </c>
      <c r="L2337" s="29">
        <f>J2337-K2337</f>
        <v/>
      </c>
      <c r="M2337" t="inlineStr">
        <is>
          <t>1.350</t>
        </is>
      </c>
      <c r="N2337" t="inlineStr">
        <is>
          <t>Modalidade: 0 - Por conta do remetente | Parte: DONNA DISTRIBUIDORA LTDA (52.238.099/0001-68)</t>
        </is>
      </c>
      <c r="O2337" s="29" t="n">
        <v>0</v>
      </c>
      <c r="P2337" s="29" t="n">
        <v>0</v>
      </c>
      <c r="Q2337" s="29" t="n">
        <v>0</v>
      </c>
      <c r="R2337" s="29" t="n">
        <v>0</v>
      </c>
      <c r="S2337" s="29" t="n">
        <v>0</v>
      </c>
      <c r="T2337" t="inlineStr">
        <is>
          <t>25251026975620000130570010000056211000130805</t>
        </is>
      </c>
      <c r="U2337" t="inlineStr">
        <is>
          <t>Não</t>
        </is>
      </c>
    </row>
    <row r="2338">
      <c r="A2338" t="inlineStr">
        <is>
          <t>Frete de venda</t>
        </is>
      </c>
      <c r="B2338" t="inlineStr">
        <is>
          <t>2.01.02 Frete sobre Vendas</t>
        </is>
      </c>
      <c r="C2338" t="inlineStr">
        <is>
          <t>Antes de 2026</t>
        </is>
      </c>
      <c r="D2338" t="inlineStr">
        <is>
          <t>Antes de 2026</t>
        </is>
      </c>
      <c r="E2338" s="28" t="n">
        <v>45960</v>
      </c>
      <c r="F2338" t="inlineStr">
        <is>
          <t>CT-e</t>
        </is>
      </c>
      <c r="G2338" t="inlineStr">
        <is>
          <t>000005622</t>
        </is>
      </c>
      <c r="H2338" t="inlineStr">
        <is>
          <t>R&amp;R TRANSPORTE E LOGISTICA</t>
        </is>
      </c>
      <c r="J2338" s="29" t="n">
        <v>99.67</v>
      </c>
      <c r="K2338" s="29">
        <f>(1-ISNUMBER(SEARCH("556",M2338)))*(O2338*SUMIFS(Premissas!$C$5:$C$44,Premissas!$A$5:$A$44,$A2338,Premissas!$B$5:$B$44,$B2338)+P2338*SUMIFS(Premissas!$D$5:$D$44,Premissas!$A$5:$A$44,$A2338,Premissas!$B$5:$B$44,$B2338))+R2338*SUMIFS(Premissas!$E$5:$E$44,Premissas!$A$5:$A$44,$A2338,Premissas!$B$5:$B$44,$B2338)+S2338*SUMIFS(Premissas!$F$5:$F$44,Premissas!$A$5:$A$44,$A2338,Premissas!$B$5:$B$44,$B2338)</f>
        <v/>
      </c>
      <c r="L2338" s="29">
        <f>J2338-K2338</f>
        <v/>
      </c>
      <c r="M2338" t="inlineStr">
        <is>
          <t>1.350</t>
        </is>
      </c>
      <c r="N2338" t="inlineStr">
        <is>
          <t>Modalidade: 0 - Por conta do remetente | Parte: COMERCIAL CARAPA DE SECOS E MOLHADOS LTDA (03.790.904/0002-37)</t>
        </is>
      </c>
      <c r="O2338" s="29" t="n">
        <v>0</v>
      </c>
      <c r="P2338" s="29" t="n">
        <v>0</v>
      </c>
      <c r="Q2338" s="29" t="n">
        <v>0</v>
      </c>
      <c r="R2338" s="29" t="n">
        <v>0</v>
      </c>
      <c r="S2338" s="29" t="n">
        <v>0</v>
      </c>
      <c r="T2338" t="inlineStr">
        <is>
          <t>25251026975620000130570010000056221000010882</t>
        </is>
      </c>
      <c r="U2338" t="inlineStr">
        <is>
          <t>Não</t>
        </is>
      </c>
    </row>
    <row r="2339">
      <c r="A2339" t="inlineStr">
        <is>
          <t>Frete de venda</t>
        </is>
      </c>
      <c r="B2339" t="inlineStr">
        <is>
          <t>2.01.02 Frete sobre Vendas</t>
        </is>
      </c>
      <c r="C2339" t="inlineStr">
        <is>
          <t>Antes de 2026</t>
        </is>
      </c>
      <c r="D2339" t="inlineStr">
        <is>
          <t>Antes de 2026</t>
        </is>
      </c>
      <c r="E2339" s="28" t="n">
        <v>45960</v>
      </c>
      <c r="F2339" t="inlineStr">
        <is>
          <t>CT-e</t>
        </is>
      </c>
      <c r="G2339" t="inlineStr">
        <is>
          <t>000005623</t>
        </is>
      </c>
      <c r="H2339" t="inlineStr">
        <is>
          <t>R&amp;R TRANSPORTE E LOGISTICA</t>
        </is>
      </c>
      <c r="J2339" s="29" t="n">
        <v>81.09999999999999</v>
      </c>
      <c r="K2339" s="29">
        <f>(1-ISNUMBER(SEARCH("556",M2339)))*(O2339*SUMIFS(Premissas!$C$5:$C$44,Premissas!$A$5:$A$44,$A2339,Premissas!$B$5:$B$44,$B2339)+P2339*SUMIFS(Premissas!$D$5:$D$44,Premissas!$A$5:$A$44,$A2339,Premissas!$B$5:$B$44,$B2339))+R2339*SUMIFS(Premissas!$E$5:$E$44,Premissas!$A$5:$A$44,$A2339,Premissas!$B$5:$B$44,$B2339)+S2339*SUMIFS(Premissas!$F$5:$F$44,Premissas!$A$5:$A$44,$A2339,Premissas!$B$5:$B$44,$B2339)</f>
        <v/>
      </c>
      <c r="L2339" s="29">
        <f>J2339-K2339</f>
        <v/>
      </c>
      <c r="M2339" t="inlineStr">
        <is>
          <t>1.350</t>
        </is>
      </c>
      <c r="N2339" t="inlineStr">
        <is>
          <t>Modalidade: 0 - Por conta do remetente | Parte: M. ARTHUR LEITE DE MELO LTDA (31.551.324/0001-41)</t>
        </is>
      </c>
      <c r="O2339" s="29" t="n">
        <v>0</v>
      </c>
      <c r="P2339" s="29" t="n">
        <v>0</v>
      </c>
      <c r="Q2339" s="29" t="n">
        <v>0</v>
      </c>
      <c r="R2339" s="29" t="n">
        <v>0</v>
      </c>
      <c r="S2339" s="29" t="n">
        <v>0</v>
      </c>
      <c r="T2339" t="inlineStr">
        <is>
          <t>25251026975620000130570010000056231000180963</t>
        </is>
      </c>
      <c r="U2339" t="inlineStr">
        <is>
          <t>Não</t>
        </is>
      </c>
    </row>
    <row r="2340">
      <c r="A2340" t="inlineStr">
        <is>
          <t>Frete de venda</t>
        </is>
      </c>
      <c r="B2340" t="inlineStr">
        <is>
          <t>2.01.02 Frete sobre Vendas</t>
        </is>
      </c>
      <c r="C2340" t="inlineStr">
        <is>
          <t>Antes de 2026</t>
        </is>
      </c>
      <c r="D2340" t="inlineStr">
        <is>
          <t>Antes de 2026</t>
        </is>
      </c>
      <c r="E2340" s="28" t="n">
        <v>45961</v>
      </c>
      <c r="F2340" t="inlineStr">
        <is>
          <t>CT-e</t>
        </is>
      </c>
      <c r="G2340" t="inlineStr">
        <is>
          <t>000005627</t>
        </is>
      </c>
      <c r="H2340" t="inlineStr">
        <is>
          <t>R&amp;R TRANSPORTE E LOGISTICA</t>
        </is>
      </c>
      <c r="J2340" s="29" t="n">
        <v>22.23</v>
      </c>
      <c r="K2340" s="29">
        <f>(1-ISNUMBER(SEARCH("556",M2340)))*(O2340*SUMIFS(Premissas!$C$5:$C$44,Premissas!$A$5:$A$44,$A2340,Premissas!$B$5:$B$44,$B2340)+P2340*SUMIFS(Premissas!$D$5:$D$44,Premissas!$A$5:$A$44,$A2340,Premissas!$B$5:$B$44,$B2340))+R2340*SUMIFS(Premissas!$E$5:$E$44,Premissas!$A$5:$A$44,$A2340,Premissas!$B$5:$B$44,$B2340)+S2340*SUMIFS(Premissas!$F$5:$F$44,Premissas!$A$5:$A$44,$A2340,Premissas!$B$5:$B$44,$B2340)</f>
        <v/>
      </c>
      <c r="L2340" s="29">
        <f>J2340-K2340</f>
        <v/>
      </c>
      <c r="M2340" t="inlineStr">
        <is>
          <t>1.350</t>
        </is>
      </c>
      <c r="N2340" t="inlineStr">
        <is>
          <t>Modalidade: 0 - Por conta do remetente | Parte: SOL COMERCIO DE EMBALAGENS LTDA (48.993.949/0001-66)</t>
        </is>
      </c>
      <c r="O2340" s="29" t="n">
        <v>0</v>
      </c>
      <c r="P2340" s="29" t="n">
        <v>0</v>
      </c>
      <c r="Q2340" s="29" t="n">
        <v>0</v>
      </c>
      <c r="R2340" s="29" t="n">
        <v>0</v>
      </c>
      <c r="S2340" s="29" t="n">
        <v>0</v>
      </c>
      <c r="T2340" t="inlineStr">
        <is>
          <t>25251026975620000130570010000056271001101446</t>
        </is>
      </c>
      <c r="U2340" t="inlineStr">
        <is>
          <t>Não</t>
        </is>
      </c>
    </row>
    <row r="2341">
      <c r="A2341" t="inlineStr">
        <is>
          <t>Frete de venda</t>
        </is>
      </c>
      <c r="B2341" t="inlineStr">
        <is>
          <t>2.01.02 Frete sobre Vendas</t>
        </is>
      </c>
      <c r="C2341" t="inlineStr">
        <is>
          <t>Antes de 2026</t>
        </is>
      </c>
      <c r="D2341" t="inlineStr">
        <is>
          <t>Antes de 2026</t>
        </is>
      </c>
      <c r="E2341" s="28" t="n">
        <v>45961</v>
      </c>
      <c r="F2341" t="inlineStr">
        <is>
          <t>CT-e</t>
        </is>
      </c>
      <c r="G2341" t="inlineStr">
        <is>
          <t>000005628</t>
        </is>
      </c>
      <c r="H2341" t="inlineStr">
        <is>
          <t>R&amp;R TRANSPORTE E LOGISTICA</t>
        </is>
      </c>
      <c r="J2341" s="29" t="n">
        <v>16.4</v>
      </c>
      <c r="K2341" s="29">
        <f>(1-ISNUMBER(SEARCH("556",M2341)))*(O2341*SUMIFS(Premissas!$C$5:$C$44,Premissas!$A$5:$A$44,$A2341,Premissas!$B$5:$B$44,$B2341)+P2341*SUMIFS(Premissas!$D$5:$D$44,Premissas!$A$5:$A$44,$A2341,Premissas!$B$5:$B$44,$B2341))+R2341*SUMIFS(Premissas!$E$5:$E$44,Premissas!$A$5:$A$44,$A2341,Premissas!$B$5:$B$44,$B2341)+S2341*SUMIFS(Premissas!$F$5:$F$44,Premissas!$A$5:$A$44,$A2341,Premissas!$B$5:$B$44,$B2341)</f>
        <v/>
      </c>
      <c r="L2341" s="29">
        <f>J2341-K2341</f>
        <v/>
      </c>
      <c r="M2341" t="inlineStr">
        <is>
          <t>1.350</t>
        </is>
      </c>
      <c r="N2341" t="inlineStr">
        <is>
          <t>Modalidade: 0 - Por conta do remetente | Parte: MULTI EMBALAGENS LTDA (04.403.817/0001-61)</t>
        </is>
      </c>
      <c r="O2341" s="29" t="n">
        <v>0</v>
      </c>
      <c r="P2341" s="29" t="n">
        <v>0</v>
      </c>
      <c r="Q2341" s="29" t="n">
        <v>0</v>
      </c>
      <c r="R2341" s="29" t="n">
        <v>0</v>
      </c>
      <c r="S2341" s="29" t="n">
        <v>0</v>
      </c>
      <c r="T2341" t="inlineStr">
        <is>
          <t>25251026975620000130570010000056281001901520</t>
        </is>
      </c>
      <c r="U2341" t="inlineStr">
        <is>
          <t>Não</t>
        </is>
      </c>
    </row>
    <row r="2342">
      <c r="A2342" t="inlineStr">
        <is>
          <t>Frete de venda</t>
        </is>
      </c>
      <c r="B2342" t="inlineStr">
        <is>
          <t>2.01.02 Frete sobre Vendas</t>
        </is>
      </c>
      <c r="C2342" t="inlineStr">
        <is>
          <t>Antes de 2026</t>
        </is>
      </c>
      <c r="D2342" t="inlineStr">
        <is>
          <t>Antes de 2026</t>
        </is>
      </c>
      <c r="E2342" s="28" t="n">
        <v>45961</v>
      </c>
      <c r="F2342" t="inlineStr">
        <is>
          <t>CT-e</t>
        </is>
      </c>
      <c r="G2342" t="inlineStr">
        <is>
          <t>000005629</t>
        </is>
      </c>
      <c r="H2342" t="inlineStr">
        <is>
          <t>R&amp;R TRANSPORTE E LOGISTICA</t>
        </is>
      </c>
      <c r="J2342" s="29" t="n">
        <v>23.24</v>
      </c>
      <c r="K2342" s="29">
        <f>(1-ISNUMBER(SEARCH("556",M2342)))*(O2342*SUMIFS(Premissas!$C$5:$C$44,Premissas!$A$5:$A$44,$A2342,Premissas!$B$5:$B$44,$B2342)+P2342*SUMIFS(Premissas!$D$5:$D$44,Premissas!$A$5:$A$44,$A2342,Premissas!$B$5:$B$44,$B2342))+R2342*SUMIFS(Premissas!$E$5:$E$44,Premissas!$A$5:$A$44,$A2342,Premissas!$B$5:$B$44,$B2342)+S2342*SUMIFS(Premissas!$F$5:$F$44,Premissas!$A$5:$A$44,$A2342,Premissas!$B$5:$B$44,$B2342)</f>
        <v/>
      </c>
      <c r="L2342" s="29">
        <f>J2342-K2342</f>
        <v/>
      </c>
      <c r="M2342" t="inlineStr">
        <is>
          <t>1.350</t>
        </is>
      </c>
      <c r="N2342" t="inlineStr">
        <is>
          <t>Modalidade: 0 - Por conta do remetente | Parte: ANDREARIA PEREIRA DOS SANTOS (19.135.547/0001-22)</t>
        </is>
      </c>
      <c r="O2342" s="29" t="n">
        <v>0</v>
      </c>
      <c r="P2342" s="29" t="n">
        <v>0</v>
      </c>
      <c r="Q2342" s="29" t="n">
        <v>0</v>
      </c>
      <c r="R2342" s="29" t="n">
        <v>0</v>
      </c>
      <c r="S2342" s="29" t="n">
        <v>0</v>
      </c>
      <c r="T2342" t="inlineStr">
        <is>
          <t>25251026975620000130570010000056291001100878</t>
        </is>
      </c>
      <c r="U2342" t="inlineStr">
        <is>
          <t>Não</t>
        </is>
      </c>
    </row>
    <row r="2343">
      <c r="A2343" t="inlineStr">
        <is>
          <t>Frete de venda</t>
        </is>
      </c>
      <c r="B2343" t="inlineStr">
        <is>
          <t>2.01.02 Frete sobre Vendas</t>
        </is>
      </c>
      <c r="C2343" t="inlineStr">
        <is>
          <t>Antes de 2026</t>
        </is>
      </c>
      <c r="D2343" t="inlineStr">
        <is>
          <t>Antes de 2026</t>
        </is>
      </c>
      <c r="E2343" s="28" t="n">
        <v>45961</v>
      </c>
      <c r="F2343" t="inlineStr">
        <is>
          <t>CT-e</t>
        </is>
      </c>
      <c r="G2343" t="inlineStr">
        <is>
          <t>000005630</t>
        </is>
      </c>
      <c r="H2343" t="inlineStr">
        <is>
          <t>R&amp;R TRANSPORTE E LOGISTICA</t>
        </is>
      </c>
      <c r="J2343" s="29" t="n">
        <v>19.57</v>
      </c>
      <c r="K2343" s="29">
        <f>(1-ISNUMBER(SEARCH("556",M2343)))*(O2343*SUMIFS(Premissas!$C$5:$C$44,Premissas!$A$5:$A$44,$A2343,Premissas!$B$5:$B$44,$B2343)+P2343*SUMIFS(Premissas!$D$5:$D$44,Premissas!$A$5:$A$44,$A2343,Premissas!$B$5:$B$44,$B2343))+R2343*SUMIFS(Premissas!$E$5:$E$44,Premissas!$A$5:$A$44,$A2343,Premissas!$B$5:$B$44,$B2343)+S2343*SUMIFS(Premissas!$F$5:$F$44,Premissas!$A$5:$A$44,$A2343,Premissas!$B$5:$B$44,$B2343)</f>
        <v/>
      </c>
      <c r="L2343" s="29">
        <f>J2343-K2343</f>
        <v/>
      </c>
      <c r="M2343" t="inlineStr">
        <is>
          <t>1.350</t>
        </is>
      </c>
      <c r="N2343" t="inlineStr">
        <is>
          <t>Modalidade: 0 - Por conta do remetente | Parte: EMBALAGENS PARREIRA LTDA (24.780.871/0001-33)</t>
        </is>
      </c>
      <c r="O2343" s="29" t="n">
        <v>0</v>
      </c>
      <c r="P2343" s="29" t="n">
        <v>0</v>
      </c>
      <c r="Q2343" s="29" t="n">
        <v>0</v>
      </c>
      <c r="R2343" s="29" t="n">
        <v>0</v>
      </c>
      <c r="S2343" s="29" t="n">
        <v>0</v>
      </c>
      <c r="T2343" t="inlineStr">
        <is>
          <t>25251026975620000130570010000056301000170954</t>
        </is>
      </c>
      <c r="U2343" t="inlineStr">
        <is>
          <t>Não</t>
        </is>
      </c>
    </row>
    <row r="2344">
      <c r="A2344" t="inlineStr">
        <is>
          <t>Frete de venda</t>
        </is>
      </c>
      <c r="B2344" t="inlineStr">
        <is>
          <t>2.01.02 Frete sobre Vendas</t>
        </is>
      </c>
      <c r="C2344" t="inlineStr">
        <is>
          <t>Antes de 2026</t>
        </is>
      </c>
      <c r="D2344" t="inlineStr">
        <is>
          <t>Antes de 2026</t>
        </is>
      </c>
      <c r="E2344" s="28" t="n">
        <v>45961</v>
      </c>
      <c r="F2344" t="inlineStr">
        <is>
          <t>CT-e</t>
        </is>
      </c>
      <c r="G2344" t="inlineStr">
        <is>
          <t>000005631</t>
        </is>
      </c>
      <c r="H2344" t="inlineStr">
        <is>
          <t>R&amp;R TRANSPORTE E LOGISTICA</t>
        </is>
      </c>
      <c r="J2344" s="29" t="n">
        <v>46.33</v>
      </c>
      <c r="K2344" s="29">
        <f>(1-ISNUMBER(SEARCH("556",M2344)))*(O2344*SUMIFS(Premissas!$C$5:$C$44,Premissas!$A$5:$A$44,$A2344,Premissas!$B$5:$B$44,$B2344)+P2344*SUMIFS(Premissas!$D$5:$D$44,Premissas!$A$5:$A$44,$A2344,Premissas!$B$5:$B$44,$B2344))+R2344*SUMIFS(Premissas!$E$5:$E$44,Premissas!$A$5:$A$44,$A2344,Premissas!$B$5:$B$44,$B2344)+S2344*SUMIFS(Premissas!$F$5:$F$44,Premissas!$A$5:$A$44,$A2344,Premissas!$B$5:$B$44,$B2344)</f>
        <v/>
      </c>
      <c r="L2344" s="29">
        <f>J2344-K2344</f>
        <v/>
      </c>
      <c r="M2344" t="inlineStr">
        <is>
          <t>1.350</t>
        </is>
      </c>
      <c r="N2344" t="inlineStr">
        <is>
          <t>Modalidade: 0 - Por conta do remetente | Parte: DISTRIBUIDORA DE FRIOS IRMAOS MARTINS LTDA (35.027.845/0001-55)</t>
        </is>
      </c>
      <c r="O2344" s="29" t="n">
        <v>0</v>
      </c>
      <c r="P2344" s="29" t="n">
        <v>0</v>
      </c>
      <c r="Q2344" s="29" t="n">
        <v>0</v>
      </c>
      <c r="R2344" s="29" t="n">
        <v>0</v>
      </c>
      <c r="S2344" s="29" t="n">
        <v>0</v>
      </c>
      <c r="T2344" t="inlineStr">
        <is>
          <t>25251026975620000130570010000056311001401035</t>
        </is>
      </c>
      <c r="U2344" t="inlineStr">
        <is>
          <t>Não</t>
        </is>
      </c>
    </row>
    <row r="2345">
      <c r="A2345" t="inlineStr">
        <is>
          <t>Frete de venda</t>
        </is>
      </c>
      <c r="B2345" t="inlineStr">
        <is>
          <t>2.01.02 Frete sobre Vendas</t>
        </is>
      </c>
      <c r="C2345" t="inlineStr">
        <is>
          <t>Antes de 2026</t>
        </is>
      </c>
      <c r="D2345" t="inlineStr">
        <is>
          <t>Antes de 2026</t>
        </is>
      </c>
      <c r="E2345" s="28" t="n">
        <v>45961</v>
      </c>
      <c r="F2345" t="inlineStr">
        <is>
          <t>CT-e</t>
        </is>
      </c>
      <c r="G2345" t="inlineStr">
        <is>
          <t>000005632</t>
        </is>
      </c>
      <c r="H2345" t="inlineStr">
        <is>
          <t>R&amp;R TRANSPORTE E LOGISTICA</t>
        </is>
      </c>
      <c r="J2345" s="29" t="n">
        <v>21.59</v>
      </c>
      <c r="K2345" s="29">
        <f>(1-ISNUMBER(SEARCH("556",M2345)))*(O2345*SUMIFS(Premissas!$C$5:$C$44,Premissas!$A$5:$A$44,$A2345,Premissas!$B$5:$B$44,$B2345)+P2345*SUMIFS(Premissas!$D$5:$D$44,Premissas!$A$5:$A$44,$A2345,Premissas!$B$5:$B$44,$B2345))+R2345*SUMIFS(Premissas!$E$5:$E$44,Premissas!$A$5:$A$44,$A2345,Premissas!$B$5:$B$44,$B2345)+S2345*SUMIFS(Premissas!$F$5:$F$44,Premissas!$A$5:$A$44,$A2345,Premissas!$B$5:$B$44,$B2345)</f>
        <v/>
      </c>
      <c r="L2345" s="29">
        <f>J2345-K2345</f>
        <v/>
      </c>
      <c r="M2345" t="inlineStr">
        <is>
          <t>1.350</t>
        </is>
      </c>
      <c r="N2345" t="inlineStr">
        <is>
          <t>Modalidade: 0 - Por conta do remetente | Parte: COMERCIAL ALBINO LTDA (12.939.460/0001-69)</t>
        </is>
      </c>
      <c r="O2345" s="29" t="n">
        <v>0</v>
      </c>
      <c r="P2345" s="29" t="n">
        <v>0</v>
      </c>
      <c r="Q2345" s="29" t="n">
        <v>0</v>
      </c>
      <c r="R2345" s="29" t="n">
        <v>0</v>
      </c>
      <c r="S2345" s="29" t="n">
        <v>0</v>
      </c>
      <c r="T2345" t="inlineStr">
        <is>
          <t>25251026975620000130570010000056321001101110</t>
        </is>
      </c>
      <c r="U2345" t="inlineStr">
        <is>
          <t>Não</t>
        </is>
      </c>
    </row>
    <row r="2346">
      <c r="A2346" t="inlineStr">
        <is>
          <t>Frete de venda</t>
        </is>
      </c>
      <c r="B2346" t="inlineStr">
        <is>
          <t>2.01.02 Frete sobre Vendas</t>
        </is>
      </c>
      <c r="C2346" t="inlineStr">
        <is>
          <t>Antes de 2026</t>
        </is>
      </c>
      <c r="D2346" t="inlineStr">
        <is>
          <t>Antes de 2026</t>
        </is>
      </c>
      <c r="E2346" s="28" t="n">
        <v>45961</v>
      </c>
      <c r="F2346" t="inlineStr">
        <is>
          <t>CT-e</t>
        </is>
      </c>
      <c r="G2346" t="inlineStr">
        <is>
          <t>000005633</t>
        </is>
      </c>
      <c r="H2346" t="inlineStr">
        <is>
          <t>R&amp;R TRANSPORTE E LOGISTICA</t>
        </is>
      </c>
      <c r="J2346" s="29" t="n">
        <v>22.58</v>
      </c>
      <c r="K2346" s="29">
        <f>(1-ISNUMBER(SEARCH("556",M2346)))*(O2346*SUMIFS(Premissas!$C$5:$C$44,Premissas!$A$5:$A$44,$A2346,Premissas!$B$5:$B$44,$B2346)+P2346*SUMIFS(Premissas!$D$5:$D$44,Premissas!$A$5:$A$44,$A2346,Premissas!$B$5:$B$44,$B2346))+R2346*SUMIFS(Premissas!$E$5:$E$44,Premissas!$A$5:$A$44,$A2346,Premissas!$B$5:$B$44,$B2346)+S2346*SUMIFS(Premissas!$F$5:$F$44,Premissas!$A$5:$A$44,$A2346,Premissas!$B$5:$B$44,$B2346)</f>
        <v/>
      </c>
      <c r="L2346" s="29">
        <f>J2346-K2346</f>
        <v/>
      </c>
      <c r="M2346" t="inlineStr">
        <is>
          <t>1.350</t>
        </is>
      </c>
      <c r="N2346" t="inlineStr">
        <is>
          <t>Modalidade: 0 - Por conta do remetente | Parte: FRIOS FESTA UTILIDADES LTDA (48.196.330/0001-20)</t>
        </is>
      </c>
      <c r="O2346" s="29" t="n">
        <v>0</v>
      </c>
      <c r="P2346" s="29" t="n">
        <v>0</v>
      </c>
      <c r="Q2346" s="29" t="n">
        <v>0</v>
      </c>
      <c r="R2346" s="29" t="n">
        <v>0</v>
      </c>
      <c r="S2346" s="29" t="n">
        <v>0</v>
      </c>
      <c r="T2346" t="inlineStr">
        <is>
          <t>25251026975620000130570010000056331001901199</t>
        </is>
      </c>
      <c r="U2346" t="inlineStr">
        <is>
          <t>Não</t>
        </is>
      </c>
    </row>
    <row r="2347">
      <c r="A2347" t="inlineStr">
        <is>
          <t>Frete de venda</t>
        </is>
      </c>
      <c r="B2347" t="inlineStr">
        <is>
          <t>2.01.02 Frete sobre Vendas</t>
        </is>
      </c>
      <c r="C2347" t="inlineStr">
        <is>
          <t>Antes de 2026</t>
        </is>
      </c>
      <c r="D2347" t="inlineStr">
        <is>
          <t>Antes de 2026</t>
        </is>
      </c>
      <c r="E2347" s="28" t="n">
        <v>45961</v>
      </c>
      <c r="F2347" t="inlineStr">
        <is>
          <t>CT-e</t>
        </is>
      </c>
      <c r="G2347" t="inlineStr">
        <is>
          <t>000005634</t>
        </is>
      </c>
      <c r="H2347" t="inlineStr">
        <is>
          <t>R&amp;R TRANSPORTE E LOGISTICA</t>
        </is>
      </c>
      <c r="J2347" s="29" t="n">
        <v>34.22</v>
      </c>
      <c r="K2347" s="29">
        <f>(1-ISNUMBER(SEARCH("556",M2347)))*(O2347*SUMIFS(Premissas!$C$5:$C$44,Premissas!$A$5:$A$44,$A2347,Premissas!$B$5:$B$44,$B2347)+P2347*SUMIFS(Premissas!$D$5:$D$44,Premissas!$A$5:$A$44,$A2347,Premissas!$B$5:$B$44,$B2347))+R2347*SUMIFS(Premissas!$E$5:$E$44,Premissas!$A$5:$A$44,$A2347,Premissas!$B$5:$B$44,$B2347)+S2347*SUMIFS(Premissas!$F$5:$F$44,Premissas!$A$5:$A$44,$A2347,Premissas!$B$5:$B$44,$B2347)</f>
        <v/>
      </c>
      <c r="L2347" s="29">
        <f>J2347-K2347</f>
        <v/>
      </c>
      <c r="M2347" t="inlineStr">
        <is>
          <t>1.350</t>
        </is>
      </c>
      <c r="N2347" t="inlineStr">
        <is>
          <t>Modalidade: 0 - Por conta do remetente | Parte: TRES RIOS COMERCIO ATACADISTA E DISTRIBUIDORA LTDA (20.475.473/0001-52)</t>
        </is>
      </c>
      <c r="O2347" s="29" t="n">
        <v>0</v>
      </c>
      <c r="P2347" s="29" t="n">
        <v>0</v>
      </c>
      <c r="Q2347" s="29" t="n">
        <v>0</v>
      </c>
      <c r="R2347" s="29" t="n">
        <v>0</v>
      </c>
      <c r="S2347" s="29" t="n">
        <v>0</v>
      </c>
      <c r="T2347" t="inlineStr">
        <is>
          <t>25251026975620000130570010000056341001601273</t>
        </is>
      </c>
      <c r="U2347" t="inlineStr">
        <is>
          <t>Não</t>
        </is>
      </c>
    </row>
    <row r="2348">
      <c r="A2348" t="inlineStr">
        <is>
          <t>Frete de venda</t>
        </is>
      </c>
      <c r="B2348" t="inlineStr">
        <is>
          <t>2.01.02 Frete sobre Vendas</t>
        </is>
      </c>
      <c r="C2348" t="inlineStr">
        <is>
          <t>Antes de 2026</t>
        </is>
      </c>
      <c r="D2348" t="inlineStr">
        <is>
          <t>Antes de 2026</t>
        </is>
      </c>
      <c r="E2348" s="28" t="n">
        <v>45961</v>
      </c>
      <c r="F2348" t="inlineStr">
        <is>
          <t>CT-e</t>
        </is>
      </c>
      <c r="G2348" t="inlineStr">
        <is>
          <t>000005635</t>
        </is>
      </c>
      <c r="H2348" t="inlineStr">
        <is>
          <t>R&amp;R TRANSPORTE E LOGISTICA</t>
        </is>
      </c>
      <c r="J2348" s="29" t="n">
        <v>19.32</v>
      </c>
      <c r="K2348" s="29">
        <f>(1-ISNUMBER(SEARCH("556",M2348)))*(O2348*SUMIFS(Premissas!$C$5:$C$44,Premissas!$A$5:$A$44,$A2348,Premissas!$B$5:$B$44,$B2348)+P2348*SUMIFS(Premissas!$D$5:$D$44,Premissas!$A$5:$A$44,$A2348,Premissas!$B$5:$B$44,$B2348))+R2348*SUMIFS(Premissas!$E$5:$E$44,Premissas!$A$5:$A$44,$A2348,Premissas!$B$5:$B$44,$B2348)+S2348*SUMIFS(Premissas!$F$5:$F$44,Premissas!$A$5:$A$44,$A2348,Premissas!$B$5:$B$44,$B2348)</f>
        <v/>
      </c>
      <c r="L2348" s="29">
        <f>J2348-K2348</f>
        <v/>
      </c>
      <c r="M2348" t="inlineStr">
        <is>
          <t>1.350</t>
        </is>
      </c>
      <c r="N2348" t="inlineStr">
        <is>
          <t>Modalidade: 0 - Por conta do remetente | Parte: JGR COMERCIO DE EMBALAGENS LTDA (41.425.969/0001-91)</t>
        </is>
      </c>
      <c r="O2348" s="29" t="n">
        <v>0</v>
      </c>
      <c r="P2348" s="29" t="n">
        <v>0</v>
      </c>
      <c r="Q2348" s="29" t="n">
        <v>0</v>
      </c>
      <c r="R2348" s="29" t="n">
        <v>0</v>
      </c>
      <c r="S2348" s="29" t="n">
        <v>0</v>
      </c>
      <c r="T2348" t="inlineStr">
        <is>
          <t>25251026975620000130570010000056351001301358</t>
        </is>
      </c>
      <c r="U2348" t="inlineStr">
        <is>
          <t>Não</t>
        </is>
      </c>
    </row>
    <row r="2349">
      <c r="A2349" t="inlineStr">
        <is>
          <t>Frete de venda</t>
        </is>
      </c>
      <c r="B2349" t="inlineStr">
        <is>
          <t>2.01.02 Frete sobre Vendas</t>
        </is>
      </c>
      <c r="C2349" t="inlineStr">
        <is>
          <t>Antes de 2026</t>
        </is>
      </c>
      <c r="D2349" t="inlineStr">
        <is>
          <t>Antes de 2026</t>
        </is>
      </c>
      <c r="E2349" s="28" t="n">
        <v>45961</v>
      </c>
      <c r="F2349" t="inlineStr">
        <is>
          <t>CT-e</t>
        </is>
      </c>
      <c r="G2349" t="inlineStr">
        <is>
          <t>000005636</t>
        </is>
      </c>
      <c r="H2349" t="inlineStr">
        <is>
          <t>R&amp;R TRANSPORTE E LOGISTICA</t>
        </is>
      </c>
      <c r="J2349" s="29" t="n">
        <v>50.49</v>
      </c>
      <c r="K2349" s="29">
        <f>(1-ISNUMBER(SEARCH("556",M2349)))*(O2349*SUMIFS(Premissas!$C$5:$C$44,Premissas!$A$5:$A$44,$A2349,Premissas!$B$5:$B$44,$B2349)+P2349*SUMIFS(Premissas!$D$5:$D$44,Premissas!$A$5:$A$44,$A2349,Premissas!$B$5:$B$44,$B2349))+R2349*SUMIFS(Premissas!$E$5:$E$44,Premissas!$A$5:$A$44,$A2349,Premissas!$B$5:$B$44,$B2349)+S2349*SUMIFS(Premissas!$F$5:$F$44,Premissas!$A$5:$A$44,$A2349,Premissas!$B$5:$B$44,$B2349)</f>
        <v/>
      </c>
      <c r="L2349" s="29">
        <f>J2349-K2349</f>
        <v/>
      </c>
      <c r="M2349" t="inlineStr">
        <is>
          <t>1.350</t>
        </is>
      </c>
      <c r="N2349" t="inlineStr">
        <is>
          <t>Modalidade: 0 - Por conta do remetente | Parte: EMBALAGENS K. G. M. LTDA (01.881.938/0001-20)</t>
        </is>
      </c>
      <c r="O2349" s="29" t="n">
        <v>0</v>
      </c>
      <c r="P2349" s="29" t="n">
        <v>0</v>
      </c>
      <c r="Q2349" s="29" t="n">
        <v>0</v>
      </c>
      <c r="R2349" s="29" t="n">
        <v>0</v>
      </c>
      <c r="S2349" s="29" t="n">
        <v>0</v>
      </c>
      <c r="T2349" t="inlineStr">
        <is>
          <t>25251026975620000130570010000056361000101433</t>
        </is>
      </c>
      <c r="U2349" t="inlineStr">
        <is>
          <t>Não</t>
        </is>
      </c>
    </row>
    <row r="2350">
      <c r="A2350" t="inlineStr">
        <is>
          <t>Frete de venda</t>
        </is>
      </c>
      <c r="B2350" t="inlineStr">
        <is>
          <t>2.01.02 Frete sobre Vendas</t>
        </is>
      </c>
      <c r="C2350" t="inlineStr">
        <is>
          <t>Antes de 2026</t>
        </is>
      </c>
      <c r="D2350" t="inlineStr">
        <is>
          <t>Antes de 2026</t>
        </is>
      </c>
      <c r="E2350" s="28" t="n">
        <v>45961</v>
      </c>
      <c r="F2350" t="inlineStr">
        <is>
          <t>CT-e</t>
        </is>
      </c>
      <c r="G2350" t="inlineStr">
        <is>
          <t>000005637</t>
        </is>
      </c>
      <c r="H2350" t="inlineStr">
        <is>
          <t>R&amp;R TRANSPORTE E LOGISTICA</t>
        </is>
      </c>
      <c r="J2350" s="29" t="n">
        <v>42.56</v>
      </c>
      <c r="K2350" s="29">
        <f>(1-ISNUMBER(SEARCH("556",M2350)))*(O2350*SUMIFS(Premissas!$C$5:$C$44,Premissas!$A$5:$A$44,$A2350,Premissas!$B$5:$B$44,$B2350)+P2350*SUMIFS(Premissas!$D$5:$D$44,Premissas!$A$5:$A$44,$A2350,Premissas!$B$5:$B$44,$B2350))+R2350*SUMIFS(Premissas!$E$5:$E$44,Premissas!$A$5:$A$44,$A2350,Premissas!$B$5:$B$44,$B2350)+S2350*SUMIFS(Premissas!$F$5:$F$44,Premissas!$A$5:$A$44,$A2350,Premissas!$B$5:$B$44,$B2350)</f>
        <v/>
      </c>
      <c r="L2350" s="29">
        <f>J2350-K2350</f>
        <v/>
      </c>
      <c r="M2350" t="inlineStr">
        <is>
          <t>1.350</t>
        </is>
      </c>
      <c r="N2350" t="inlineStr">
        <is>
          <t>Modalidade: 0 - Por conta do remetente | Parte: COMFRIOS DISTRIBUIDORA DE FRIOS LTDA (37.364.486/0001-57)</t>
        </is>
      </c>
      <c r="O2350" s="29" t="n">
        <v>0</v>
      </c>
      <c r="P2350" s="29" t="n">
        <v>0</v>
      </c>
      <c r="Q2350" s="29" t="n">
        <v>0</v>
      </c>
      <c r="R2350" s="29" t="n">
        <v>0</v>
      </c>
      <c r="S2350" s="29" t="n">
        <v>0</v>
      </c>
      <c r="T2350" t="inlineStr">
        <is>
          <t>25251026975620000130570010000056371001801517</t>
        </is>
      </c>
      <c r="U2350" t="inlineStr">
        <is>
          <t>Não</t>
        </is>
      </c>
    </row>
    <row r="2351">
      <c r="A2351" t="inlineStr">
        <is>
          <t>Frete de venda</t>
        </is>
      </c>
      <c r="B2351" t="inlineStr">
        <is>
          <t>2.01.02 Frete sobre Vendas</t>
        </is>
      </c>
      <c r="C2351" t="inlineStr">
        <is>
          <t>Antes de 2026</t>
        </is>
      </c>
      <c r="D2351" t="inlineStr">
        <is>
          <t>Antes de 2026</t>
        </is>
      </c>
      <c r="E2351" s="28" t="n">
        <v>45961</v>
      </c>
      <c r="F2351" t="inlineStr">
        <is>
          <t>CT-e</t>
        </is>
      </c>
      <c r="G2351" t="inlineStr">
        <is>
          <t>000005638</t>
        </is>
      </c>
      <c r="H2351" t="inlineStr">
        <is>
          <t>R&amp;R TRANSPORTE E LOGISTICA</t>
        </is>
      </c>
      <c r="J2351" s="29" t="n">
        <v>14.47</v>
      </c>
      <c r="K2351" s="29">
        <f>(1-ISNUMBER(SEARCH("556",M2351)))*(O2351*SUMIFS(Premissas!$C$5:$C$44,Premissas!$A$5:$A$44,$A2351,Premissas!$B$5:$B$44,$B2351)+P2351*SUMIFS(Premissas!$D$5:$D$44,Premissas!$A$5:$A$44,$A2351,Premissas!$B$5:$B$44,$B2351))+R2351*SUMIFS(Premissas!$E$5:$E$44,Premissas!$A$5:$A$44,$A2351,Premissas!$B$5:$B$44,$B2351)+S2351*SUMIFS(Premissas!$F$5:$F$44,Premissas!$A$5:$A$44,$A2351,Premissas!$B$5:$B$44,$B2351)</f>
        <v/>
      </c>
      <c r="L2351" s="29">
        <f>J2351-K2351</f>
        <v/>
      </c>
      <c r="M2351" t="inlineStr">
        <is>
          <t>1.350</t>
        </is>
      </c>
      <c r="N2351" t="inlineStr">
        <is>
          <t>Modalidade: 0 - Por conta do remetente | Parte: HIPER MIAMI COMERCIO DE ARMARINHO LTDA (24.636.007/0001-62)</t>
        </is>
      </c>
      <c r="O2351" s="29" t="n">
        <v>0</v>
      </c>
      <c r="P2351" s="29" t="n">
        <v>0</v>
      </c>
      <c r="Q2351" s="29" t="n">
        <v>0</v>
      </c>
      <c r="R2351" s="29" t="n">
        <v>0</v>
      </c>
      <c r="S2351" s="29" t="n">
        <v>0</v>
      </c>
      <c r="T2351" t="inlineStr">
        <is>
          <t>25251026975620000130570010000056381001501596</t>
        </is>
      </c>
      <c r="U2351" t="inlineStr">
        <is>
          <t>Não</t>
        </is>
      </c>
    </row>
    <row r="2352">
      <c r="A2352" t="inlineStr">
        <is>
          <t>Frete de venda</t>
        </is>
      </c>
      <c r="B2352" t="inlineStr">
        <is>
          <t>2.01.02 Frete sobre Vendas</t>
        </is>
      </c>
      <c r="C2352" t="inlineStr">
        <is>
          <t>Antes de 2026</t>
        </is>
      </c>
      <c r="D2352" t="inlineStr">
        <is>
          <t>Antes de 2026</t>
        </is>
      </c>
      <c r="E2352" s="28" t="n">
        <v>45961</v>
      </c>
      <c r="F2352" t="inlineStr">
        <is>
          <t>CT-e</t>
        </is>
      </c>
      <c r="G2352" t="inlineStr">
        <is>
          <t>000005639</t>
        </is>
      </c>
      <c r="H2352" t="inlineStr">
        <is>
          <t>R&amp;R TRANSPORTE E LOGISTICA</t>
        </is>
      </c>
      <c r="J2352" s="29" t="n">
        <v>20.36</v>
      </c>
      <c r="K2352" s="29">
        <f>(1-ISNUMBER(SEARCH("556",M2352)))*(O2352*SUMIFS(Premissas!$C$5:$C$44,Premissas!$A$5:$A$44,$A2352,Premissas!$B$5:$B$44,$B2352)+P2352*SUMIFS(Premissas!$D$5:$D$44,Premissas!$A$5:$A$44,$A2352,Premissas!$B$5:$B$44,$B2352))+R2352*SUMIFS(Premissas!$E$5:$E$44,Premissas!$A$5:$A$44,$A2352,Premissas!$B$5:$B$44,$B2352)+S2352*SUMIFS(Premissas!$F$5:$F$44,Premissas!$A$5:$A$44,$A2352,Premissas!$B$5:$B$44,$B2352)</f>
        <v/>
      </c>
      <c r="L2352" s="29">
        <f>J2352-K2352</f>
        <v/>
      </c>
      <c r="M2352" t="inlineStr">
        <is>
          <t>1.350</t>
        </is>
      </c>
      <c r="N2352" t="inlineStr">
        <is>
          <t>Modalidade: 0 - Por conta do remetente | Parte: BHS DISTRIBUICAO LTDA (34.416.212/0001-76)</t>
        </is>
      </c>
      <c r="O2352" s="29" t="n">
        <v>0</v>
      </c>
      <c r="P2352" s="29" t="n">
        <v>0</v>
      </c>
      <c r="Q2352" s="29" t="n">
        <v>0</v>
      </c>
      <c r="R2352" s="29" t="n">
        <v>0</v>
      </c>
      <c r="S2352" s="29" t="n">
        <v>0</v>
      </c>
      <c r="T2352" t="inlineStr">
        <is>
          <t>25251026975620000130570010000056391000180300</t>
        </is>
      </c>
      <c r="U2352" t="inlineStr">
        <is>
          <t>Não</t>
        </is>
      </c>
    </row>
    <row r="2353">
      <c r="A2353" t="inlineStr">
        <is>
          <t>Frete de venda</t>
        </is>
      </c>
      <c r="B2353" t="inlineStr">
        <is>
          <t>2.01.02 Frete sobre Vendas</t>
        </is>
      </c>
      <c r="C2353" t="inlineStr">
        <is>
          <t>Antes de 2026</t>
        </is>
      </c>
      <c r="D2353" t="inlineStr">
        <is>
          <t>Antes de 2026</t>
        </is>
      </c>
      <c r="E2353" s="28" t="n">
        <v>45961</v>
      </c>
      <c r="F2353" t="inlineStr">
        <is>
          <t>CT-e</t>
        </is>
      </c>
      <c r="G2353" t="inlineStr">
        <is>
          <t>000005640</t>
        </is>
      </c>
      <c r="H2353" t="inlineStr">
        <is>
          <t>R&amp;R TRANSPORTE E LOGISTICA</t>
        </is>
      </c>
      <c r="J2353" s="29" t="n">
        <v>18.78</v>
      </c>
      <c r="K2353" s="29">
        <f>(1-ISNUMBER(SEARCH("556",M2353)))*(O2353*SUMIFS(Premissas!$C$5:$C$44,Premissas!$A$5:$A$44,$A2353,Premissas!$B$5:$B$44,$B2353)+P2353*SUMIFS(Premissas!$D$5:$D$44,Premissas!$A$5:$A$44,$A2353,Premissas!$B$5:$B$44,$B2353))+R2353*SUMIFS(Premissas!$E$5:$E$44,Premissas!$A$5:$A$44,$A2353,Premissas!$B$5:$B$44,$B2353)+S2353*SUMIFS(Premissas!$F$5:$F$44,Premissas!$A$5:$A$44,$A2353,Premissas!$B$5:$B$44,$B2353)</f>
        <v/>
      </c>
      <c r="L2353" s="29">
        <f>J2353-K2353</f>
        <v/>
      </c>
      <c r="M2353" t="inlineStr">
        <is>
          <t>1.350</t>
        </is>
      </c>
      <c r="N2353" t="inlineStr">
        <is>
          <t>Modalidade: 0 - Por conta do remetente | Parte: BARBOSA EMBALAGENS LTDA (14.913.229/0001-21)</t>
        </is>
      </c>
      <c r="O2353" s="29" t="n">
        <v>0</v>
      </c>
      <c r="P2353" s="29" t="n">
        <v>0</v>
      </c>
      <c r="Q2353" s="29" t="n">
        <v>0</v>
      </c>
      <c r="R2353" s="29" t="n">
        <v>0</v>
      </c>
      <c r="S2353" s="29" t="n">
        <v>0</v>
      </c>
      <c r="T2353" t="inlineStr">
        <is>
          <t>25251026975620000130570010000056401000150380</t>
        </is>
      </c>
      <c r="U2353" t="inlineStr">
        <is>
          <t>Não</t>
        </is>
      </c>
    </row>
    <row r="2354">
      <c r="A2354" t="inlineStr">
        <is>
          <t>Frete de venda</t>
        </is>
      </c>
      <c r="B2354" t="inlineStr">
        <is>
          <t>2.01.02 Frete sobre Vendas</t>
        </is>
      </c>
      <c r="C2354" t="inlineStr">
        <is>
          <t>Antes de 2026</t>
        </is>
      </c>
      <c r="D2354" t="inlineStr">
        <is>
          <t>Antes de 2026</t>
        </is>
      </c>
      <c r="E2354" s="28" t="n">
        <v>45961</v>
      </c>
      <c r="F2354" t="inlineStr">
        <is>
          <t>CT-e</t>
        </is>
      </c>
      <c r="G2354" t="inlineStr">
        <is>
          <t>000005641</t>
        </is>
      </c>
      <c r="H2354" t="inlineStr">
        <is>
          <t>R&amp;R TRANSPORTE E LOGISTICA</t>
        </is>
      </c>
      <c r="J2354" s="29" t="n">
        <v>39.76</v>
      </c>
      <c r="K2354" s="29">
        <f>(1-ISNUMBER(SEARCH("556",M2354)))*(O2354*SUMIFS(Premissas!$C$5:$C$44,Premissas!$A$5:$A$44,$A2354,Premissas!$B$5:$B$44,$B2354)+P2354*SUMIFS(Premissas!$D$5:$D$44,Premissas!$A$5:$A$44,$A2354,Premissas!$B$5:$B$44,$B2354))+R2354*SUMIFS(Premissas!$E$5:$E$44,Premissas!$A$5:$A$44,$A2354,Premissas!$B$5:$B$44,$B2354)+S2354*SUMIFS(Premissas!$F$5:$F$44,Premissas!$A$5:$A$44,$A2354,Premissas!$B$5:$B$44,$B2354)</f>
        <v/>
      </c>
      <c r="L2354" s="29">
        <f>J2354-K2354</f>
        <v/>
      </c>
      <c r="M2354" t="inlineStr">
        <is>
          <t>1.350</t>
        </is>
      </c>
      <c r="N2354" t="inlineStr">
        <is>
          <t>Modalidade: 0 - Por conta do remetente | Parte: SHALLON EMBALAGENS LTDA (49.431.842/0001-97)</t>
        </is>
      </c>
      <c r="O2354" s="29" t="n">
        <v>0</v>
      </c>
      <c r="P2354" s="29" t="n">
        <v>0</v>
      </c>
      <c r="Q2354" s="29" t="n">
        <v>0</v>
      </c>
      <c r="R2354" s="29" t="n">
        <v>0</v>
      </c>
      <c r="S2354" s="29" t="n">
        <v>0</v>
      </c>
      <c r="T2354" t="inlineStr">
        <is>
          <t>25251026975620000130570010000056411000120462</t>
        </is>
      </c>
      <c r="U2354" t="inlineStr">
        <is>
          <t>Não</t>
        </is>
      </c>
    </row>
    <row r="2355">
      <c r="A2355" t="inlineStr">
        <is>
          <t>Frete de venda</t>
        </is>
      </c>
      <c r="B2355" t="inlineStr">
        <is>
          <t>2.01.02 Frete sobre Vendas</t>
        </is>
      </c>
      <c r="C2355" t="inlineStr">
        <is>
          <t>Antes de 2026</t>
        </is>
      </c>
      <c r="D2355" t="inlineStr">
        <is>
          <t>Antes de 2026</t>
        </is>
      </c>
      <c r="E2355" s="28" t="n">
        <v>45961</v>
      </c>
      <c r="F2355" t="inlineStr">
        <is>
          <t>CT-e</t>
        </is>
      </c>
      <c r="G2355" t="inlineStr">
        <is>
          <t>000005642</t>
        </is>
      </c>
      <c r="H2355" t="inlineStr">
        <is>
          <t>R&amp;R TRANSPORTE E LOGISTICA</t>
        </is>
      </c>
      <c r="J2355" s="29" t="n">
        <v>19.41</v>
      </c>
      <c r="K2355" s="29">
        <f>(1-ISNUMBER(SEARCH("556",M2355)))*(O2355*SUMIFS(Premissas!$C$5:$C$44,Premissas!$A$5:$A$44,$A2355,Premissas!$B$5:$B$44,$B2355)+P2355*SUMIFS(Premissas!$D$5:$D$44,Premissas!$A$5:$A$44,$A2355,Premissas!$B$5:$B$44,$B2355))+R2355*SUMIFS(Premissas!$E$5:$E$44,Premissas!$A$5:$A$44,$A2355,Premissas!$B$5:$B$44,$B2355)+S2355*SUMIFS(Premissas!$F$5:$F$44,Premissas!$A$5:$A$44,$A2355,Premissas!$B$5:$B$44,$B2355)</f>
        <v/>
      </c>
      <c r="L2355" s="29">
        <f>J2355-K2355</f>
        <v/>
      </c>
      <c r="M2355" t="inlineStr">
        <is>
          <t>1.350</t>
        </is>
      </c>
      <c r="N2355" t="inlineStr">
        <is>
          <t>Modalidade: 0 - Por conta do remetente | Parte: JAB IMPORTACAO E EXPORTACAO LTDA (21.938.705/0002-05)</t>
        </is>
      </c>
      <c r="O2355" s="29" t="n">
        <v>0</v>
      </c>
      <c r="P2355" s="29" t="n">
        <v>0</v>
      </c>
      <c r="Q2355" s="29" t="n">
        <v>0</v>
      </c>
      <c r="R2355" s="29" t="n">
        <v>0</v>
      </c>
      <c r="S2355" s="29" t="n">
        <v>0</v>
      </c>
      <c r="T2355" t="inlineStr">
        <is>
          <t>25251026975620000130570010000056421001100543</t>
        </is>
      </c>
      <c r="U2355" t="inlineStr">
        <is>
          <t>Não</t>
        </is>
      </c>
    </row>
    <row r="2356">
      <c r="A2356" t="inlineStr">
        <is>
          <t>Frete de venda</t>
        </is>
      </c>
      <c r="B2356" t="inlineStr">
        <is>
          <t>2.01.02 Frete sobre Vendas</t>
        </is>
      </c>
      <c r="C2356" t="inlineStr">
        <is>
          <t>Antes de 2026</t>
        </is>
      </c>
      <c r="D2356" t="inlineStr">
        <is>
          <t>Antes de 2026</t>
        </is>
      </c>
      <c r="E2356" s="28" t="n">
        <v>45961</v>
      </c>
      <c r="F2356" t="inlineStr">
        <is>
          <t>CT-e</t>
        </is>
      </c>
      <c r="G2356" t="inlineStr">
        <is>
          <t>000005643</t>
        </is>
      </c>
      <c r="H2356" t="inlineStr">
        <is>
          <t>R&amp;R TRANSPORTE E LOGISTICA</t>
        </is>
      </c>
      <c r="J2356" s="29" t="n">
        <v>43.84</v>
      </c>
      <c r="K2356" s="29">
        <f>(1-ISNUMBER(SEARCH("556",M2356)))*(O2356*SUMIFS(Premissas!$C$5:$C$44,Premissas!$A$5:$A$44,$A2356,Premissas!$B$5:$B$44,$B2356)+P2356*SUMIFS(Premissas!$D$5:$D$44,Premissas!$A$5:$A$44,$A2356,Premissas!$B$5:$B$44,$B2356))+R2356*SUMIFS(Premissas!$E$5:$E$44,Premissas!$A$5:$A$44,$A2356,Premissas!$B$5:$B$44,$B2356)+S2356*SUMIFS(Premissas!$F$5:$F$44,Premissas!$A$5:$A$44,$A2356,Premissas!$B$5:$B$44,$B2356)</f>
        <v/>
      </c>
      <c r="L2356" s="29">
        <f>J2356-K2356</f>
        <v/>
      </c>
      <c r="M2356" t="inlineStr">
        <is>
          <t>1.350</t>
        </is>
      </c>
      <c r="N2356" t="inlineStr">
        <is>
          <t>Modalidade: 0 - Por conta do remetente | Parte: ULTRAVALLE ATACADISTA DE BEBIDAS LTDA (16.813.673/0001-09)</t>
        </is>
      </c>
      <c r="O2356" s="29" t="n">
        <v>0</v>
      </c>
      <c r="P2356" s="29" t="n">
        <v>0</v>
      </c>
      <c r="Q2356" s="29" t="n">
        <v>0</v>
      </c>
      <c r="R2356" s="29" t="n">
        <v>0</v>
      </c>
      <c r="S2356" s="29" t="n">
        <v>0</v>
      </c>
      <c r="T2356" t="inlineStr">
        <is>
          <t>25251026975620000130570010000056431000170626</t>
        </is>
      </c>
      <c r="U2356" t="inlineStr">
        <is>
          <t>Não</t>
        </is>
      </c>
    </row>
    <row r="2357">
      <c r="A2357" t="inlineStr">
        <is>
          <t>Frete de venda</t>
        </is>
      </c>
      <c r="B2357" t="inlineStr">
        <is>
          <t>2.01.02 Frete sobre Vendas</t>
        </is>
      </c>
      <c r="C2357" t="inlineStr">
        <is>
          <t>Antes de 2026</t>
        </is>
      </c>
      <c r="D2357" t="inlineStr">
        <is>
          <t>Antes de 2026</t>
        </is>
      </c>
      <c r="E2357" s="28" t="n">
        <v>45961</v>
      </c>
      <c r="F2357" t="inlineStr">
        <is>
          <t>CT-e</t>
        </is>
      </c>
      <c r="G2357" t="inlineStr">
        <is>
          <t>000005645</t>
        </is>
      </c>
      <c r="H2357" t="inlineStr">
        <is>
          <t>R&amp;R TRANSPORTE E LOGISTICA</t>
        </is>
      </c>
      <c r="J2357" s="29" t="n">
        <v>41.88</v>
      </c>
      <c r="K2357" s="29">
        <f>(1-ISNUMBER(SEARCH("556",M2357)))*(O2357*SUMIFS(Premissas!$C$5:$C$44,Premissas!$A$5:$A$44,$A2357,Premissas!$B$5:$B$44,$B2357)+P2357*SUMIFS(Premissas!$D$5:$D$44,Premissas!$A$5:$A$44,$A2357,Premissas!$B$5:$B$44,$B2357))+R2357*SUMIFS(Premissas!$E$5:$E$44,Premissas!$A$5:$A$44,$A2357,Premissas!$B$5:$B$44,$B2357)+S2357*SUMIFS(Premissas!$F$5:$F$44,Premissas!$A$5:$A$44,$A2357,Premissas!$B$5:$B$44,$B2357)</f>
        <v/>
      </c>
      <c r="L2357" s="29">
        <f>J2357-K2357</f>
        <v/>
      </c>
      <c r="M2357" t="inlineStr">
        <is>
          <t>1.350</t>
        </is>
      </c>
      <c r="N2357" t="inlineStr">
        <is>
          <t>Modalidade: 0 - Por conta do remetente | Parte: MARIO SERGIO ALVES DE OLIVEIRA LTDA (40.784.894/0001-72)</t>
        </is>
      </c>
      <c r="O2357" s="29" t="n">
        <v>0</v>
      </c>
      <c r="P2357" s="29" t="n">
        <v>0</v>
      </c>
      <c r="Q2357" s="29" t="n">
        <v>0</v>
      </c>
      <c r="R2357" s="29" t="n">
        <v>0</v>
      </c>
      <c r="S2357" s="29" t="n">
        <v>0</v>
      </c>
      <c r="T2357" t="inlineStr">
        <is>
          <t>25251026975620000130570010000056451000160838</t>
        </is>
      </c>
      <c r="U2357" t="inlineStr">
        <is>
          <t>Não</t>
        </is>
      </c>
    </row>
    <row r="2358">
      <c r="A2358" t="inlineStr">
        <is>
          <t>Frete de venda</t>
        </is>
      </c>
      <c r="B2358" t="inlineStr">
        <is>
          <t>2.01.02 Frete sobre Vendas</t>
        </is>
      </c>
      <c r="C2358" t="inlineStr">
        <is>
          <t>Antes de 2026</t>
        </is>
      </c>
      <c r="D2358" t="inlineStr">
        <is>
          <t>Antes de 2026</t>
        </is>
      </c>
      <c r="E2358" s="28" t="n">
        <v>45961</v>
      </c>
      <c r="F2358" t="inlineStr">
        <is>
          <t>CT-e</t>
        </is>
      </c>
      <c r="G2358" t="inlineStr">
        <is>
          <t>000005646</t>
        </is>
      </c>
      <c r="H2358" t="inlineStr">
        <is>
          <t>R&amp;R TRANSPORTE E LOGISTICA</t>
        </is>
      </c>
      <c r="J2358" s="29" t="n">
        <v>50.64</v>
      </c>
      <c r="K2358" s="29">
        <f>(1-ISNUMBER(SEARCH("556",M2358)))*(O2358*SUMIFS(Premissas!$C$5:$C$44,Premissas!$A$5:$A$44,$A2358,Premissas!$B$5:$B$44,$B2358)+P2358*SUMIFS(Premissas!$D$5:$D$44,Premissas!$A$5:$A$44,$A2358,Premissas!$B$5:$B$44,$B2358))+R2358*SUMIFS(Premissas!$E$5:$E$44,Premissas!$A$5:$A$44,$A2358,Premissas!$B$5:$B$44,$B2358)+S2358*SUMIFS(Premissas!$F$5:$F$44,Premissas!$A$5:$A$44,$A2358,Premissas!$B$5:$B$44,$B2358)</f>
        <v/>
      </c>
      <c r="L2358" s="29">
        <f>J2358-K2358</f>
        <v/>
      </c>
      <c r="M2358" t="inlineStr">
        <is>
          <t>1.350</t>
        </is>
      </c>
      <c r="N2358" t="inlineStr">
        <is>
          <t>Modalidade: 0 - Por conta do remetente | Parte: FORTALI DISTRIBUIDORA DE ALIMENTOS LTDA. (09.317.318/0001-75)</t>
        </is>
      </c>
      <c r="O2358" s="29" t="n">
        <v>0</v>
      </c>
      <c r="P2358" s="29" t="n">
        <v>0</v>
      </c>
      <c r="Q2358" s="29" t="n">
        <v>0</v>
      </c>
      <c r="R2358" s="29" t="n">
        <v>0</v>
      </c>
      <c r="S2358" s="29" t="n">
        <v>0</v>
      </c>
      <c r="T2358" t="inlineStr">
        <is>
          <t>25251026975620000130570010000056461000130910</t>
        </is>
      </c>
      <c r="U2358" t="inlineStr">
        <is>
          <t>Não</t>
        </is>
      </c>
    </row>
    <row r="2359">
      <c r="A2359" t="inlineStr">
        <is>
          <t>Frete de venda</t>
        </is>
      </c>
      <c r="B2359" t="inlineStr">
        <is>
          <t>2.01.02 Frete sobre Vendas</t>
        </is>
      </c>
      <c r="C2359" t="inlineStr">
        <is>
          <t>Antes de 2026</t>
        </is>
      </c>
      <c r="D2359" t="inlineStr">
        <is>
          <t>Antes de 2026</t>
        </is>
      </c>
      <c r="E2359" s="28" t="n">
        <v>45961</v>
      </c>
      <c r="F2359" t="inlineStr">
        <is>
          <t>CT-e</t>
        </is>
      </c>
      <c r="G2359" t="inlineStr">
        <is>
          <t>000005647</t>
        </is>
      </c>
      <c r="H2359" t="inlineStr">
        <is>
          <t>R&amp;R TRANSPORTE E LOGISTICA</t>
        </is>
      </c>
      <c r="J2359" s="29" t="n">
        <v>41.17</v>
      </c>
      <c r="K2359" s="29">
        <f>(1-ISNUMBER(SEARCH("556",M2359)))*(O2359*SUMIFS(Premissas!$C$5:$C$44,Premissas!$A$5:$A$44,$A2359,Premissas!$B$5:$B$44,$B2359)+P2359*SUMIFS(Premissas!$D$5:$D$44,Premissas!$A$5:$A$44,$A2359,Premissas!$B$5:$B$44,$B2359))+R2359*SUMIFS(Premissas!$E$5:$E$44,Premissas!$A$5:$A$44,$A2359,Premissas!$B$5:$B$44,$B2359)+S2359*SUMIFS(Premissas!$F$5:$F$44,Premissas!$A$5:$A$44,$A2359,Premissas!$B$5:$B$44,$B2359)</f>
        <v/>
      </c>
      <c r="L2359" s="29">
        <f>J2359-K2359</f>
        <v/>
      </c>
      <c r="M2359" t="inlineStr">
        <is>
          <t>1.350</t>
        </is>
      </c>
      <c r="N2359" t="inlineStr">
        <is>
          <t>Modalidade: 0 - Por conta do remetente | Parte: MERCOPAIVA COMERCIAL LTDA (45.016.002/0001-07)</t>
        </is>
      </c>
      <c r="O2359" s="29" t="n">
        <v>0</v>
      </c>
      <c r="P2359" s="29" t="n">
        <v>0</v>
      </c>
      <c r="Q2359" s="29" t="n">
        <v>0</v>
      </c>
      <c r="R2359" s="29" t="n">
        <v>0</v>
      </c>
      <c r="S2359" s="29" t="n">
        <v>0</v>
      </c>
      <c r="T2359" t="inlineStr">
        <is>
          <t>25251026975620000130570010000056471000010997</t>
        </is>
      </c>
      <c r="U2359" t="inlineStr">
        <is>
          <t>Não</t>
        </is>
      </c>
    </row>
    <row r="2360">
      <c r="A2360" t="inlineStr">
        <is>
          <t>Frete de venda</t>
        </is>
      </c>
      <c r="B2360" t="inlineStr">
        <is>
          <t>2.01.02 Frete sobre Vendas</t>
        </is>
      </c>
      <c r="C2360" t="inlineStr">
        <is>
          <t>Antes de 2026</t>
        </is>
      </c>
      <c r="D2360" t="inlineStr">
        <is>
          <t>Antes de 2026</t>
        </is>
      </c>
      <c r="E2360" s="28" t="n">
        <v>45961</v>
      </c>
      <c r="F2360" t="inlineStr">
        <is>
          <t>CT-e</t>
        </is>
      </c>
      <c r="G2360" t="inlineStr">
        <is>
          <t>000005648</t>
        </is>
      </c>
      <c r="H2360" t="inlineStr">
        <is>
          <t>R&amp;R TRANSPORTE E LOGISTICA</t>
        </is>
      </c>
      <c r="J2360" s="29" t="n">
        <v>41.14</v>
      </c>
      <c r="K2360" s="29">
        <f>(1-ISNUMBER(SEARCH("556",M2360)))*(O2360*SUMIFS(Premissas!$C$5:$C$44,Premissas!$A$5:$A$44,$A2360,Premissas!$B$5:$B$44,$B2360)+P2360*SUMIFS(Premissas!$D$5:$D$44,Premissas!$A$5:$A$44,$A2360,Premissas!$B$5:$B$44,$B2360))+R2360*SUMIFS(Premissas!$E$5:$E$44,Premissas!$A$5:$A$44,$A2360,Premissas!$B$5:$B$44,$B2360)+S2360*SUMIFS(Premissas!$F$5:$F$44,Premissas!$A$5:$A$44,$A2360,Premissas!$B$5:$B$44,$B2360)</f>
        <v/>
      </c>
      <c r="L2360" s="29">
        <f>J2360-K2360</f>
        <v/>
      </c>
      <c r="M2360" t="inlineStr">
        <is>
          <t>1.350</t>
        </is>
      </c>
      <c r="N2360" t="inlineStr">
        <is>
          <t>Modalidade: 0 - Por conta do remetente | Parte: ESTOCK DISTRIBUIDORA DE EMBALAGENS LTDA (42.003.982/0001-15)</t>
        </is>
      </c>
      <c r="O2360" s="29" t="n">
        <v>0</v>
      </c>
      <c r="P2360" s="29" t="n">
        <v>0</v>
      </c>
      <c r="Q2360" s="29" t="n">
        <v>0</v>
      </c>
      <c r="R2360" s="29" t="n">
        <v>0</v>
      </c>
      <c r="S2360" s="29" t="n">
        <v>0</v>
      </c>
      <c r="T2360" t="inlineStr">
        <is>
          <t>25251026975620000130570010000056481001801073</t>
        </is>
      </c>
      <c r="U2360" t="inlineStr">
        <is>
          <t>Não</t>
        </is>
      </c>
    </row>
    <row r="2361">
      <c r="A2361" t="inlineStr">
        <is>
          <t>Frete de venda</t>
        </is>
      </c>
      <c r="B2361" t="inlineStr">
        <is>
          <t>2.01.02 Frete sobre Vendas</t>
        </is>
      </c>
      <c r="C2361" t="inlineStr">
        <is>
          <t>Antes de 2026</t>
        </is>
      </c>
      <c r="D2361" t="inlineStr">
        <is>
          <t>Antes de 2026</t>
        </is>
      </c>
      <c r="E2361" s="28" t="n">
        <v>45961</v>
      </c>
      <c r="F2361" t="inlineStr">
        <is>
          <t>CT-e</t>
        </is>
      </c>
      <c r="G2361" t="inlineStr">
        <is>
          <t>000005649</t>
        </is>
      </c>
      <c r="H2361" t="inlineStr">
        <is>
          <t>R&amp;R TRANSPORTE E LOGISTICA</t>
        </is>
      </c>
      <c r="J2361" s="29" t="n">
        <v>41.18</v>
      </c>
      <c r="K2361" s="29">
        <f>(1-ISNUMBER(SEARCH("556",M2361)))*(O2361*SUMIFS(Premissas!$C$5:$C$44,Premissas!$A$5:$A$44,$A2361,Premissas!$B$5:$B$44,$B2361)+P2361*SUMIFS(Premissas!$D$5:$D$44,Premissas!$A$5:$A$44,$A2361,Premissas!$B$5:$B$44,$B2361))+R2361*SUMIFS(Premissas!$E$5:$E$44,Premissas!$A$5:$A$44,$A2361,Premissas!$B$5:$B$44,$B2361)+S2361*SUMIFS(Premissas!$F$5:$F$44,Premissas!$A$5:$A$44,$A2361,Premissas!$B$5:$B$44,$B2361)</f>
        <v/>
      </c>
      <c r="L2361" s="29">
        <f>J2361-K2361</f>
        <v/>
      </c>
      <c r="M2361" t="inlineStr">
        <is>
          <t>1.350</t>
        </is>
      </c>
      <c r="N2361" t="inlineStr">
        <is>
          <t>Modalidade: 0 - Por conta do remetente | Parte: JND DISTRIBUIDORA LTDA (36.332.668/0001-83)</t>
        </is>
      </c>
      <c r="O2361" s="29" t="n">
        <v>0</v>
      </c>
      <c r="P2361" s="29" t="n">
        <v>0</v>
      </c>
      <c r="Q2361" s="29" t="n">
        <v>0</v>
      </c>
      <c r="R2361" s="29" t="n">
        <v>0</v>
      </c>
      <c r="S2361" s="29" t="n">
        <v>0</v>
      </c>
      <c r="T2361" t="inlineStr">
        <is>
          <t>25251026975620000130570010000056491001501158</t>
        </is>
      </c>
      <c r="U2361" t="inlineStr">
        <is>
          <t>Não</t>
        </is>
      </c>
    </row>
    <row r="2362">
      <c r="A2362" t="inlineStr">
        <is>
          <t>Frete de venda</t>
        </is>
      </c>
      <c r="B2362" t="inlineStr">
        <is>
          <t>2.01.02 Frete sobre Vendas</t>
        </is>
      </c>
      <c r="C2362" t="inlineStr">
        <is>
          <t>Antes de 2026</t>
        </is>
      </c>
      <c r="D2362" t="inlineStr">
        <is>
          <t>Antes de 2026</t>
        </is>
      </c>
      <c r="E2362" s="28" t="n">
        <v>45961</v>
      </c>
      <c r="F2362" t="inlineStr">
        <is>
          <t>CT-e</t>
        </is>
      </c>
      <c r="G2362" t="inlineStr">
        <is>
          <t>000005656</t>
        </is>
      </c>
      <c r="H2362" t="inlineStr">
        <is>
          <t>R&amp;R TRANSPORTE E LOGISTICA</t>
        </is>
      </c>
      <c r="J2362" s="29" t="n">
        <v>600</v>
      </c>
      <c r="K2362" s="29">
        <f>(1-ISNUMBER(SEARCH("556",M2362)))*(O2362*SUMIFS(Premissas!$C$5:$C$44,Premissas!$A$5:$A$44,$A2362,Premissas!$B$5:$B$44,$B2362)+P2362*SUMIFS(Premissas!$D$5:$D$44,Premissas!$A$5:$A$44,$A2362,Premissas!$B$5:$B$44,$B2362))+R2362*SUMIFS(Premissas!$E$5:$E$44,Premissas!$A$5:$A$44,$A2362,Premissas!$B$5:$B$44,$B2362)+S2362*SUMIFS(Premissas!$F$5:$F$44,Premissas!$A$5:$A$44,$A2362,Premissas!$B$5:$B$44,$B2362)</f>
        <v/>
      </c>
      <c r="L2362" s="29">
        <f>J2362-K2362</f>
        <v/>
      </c>
      <c r="M2362" t="inlineStr">
        <is>
          <t>1.350</t>
        </is>
      </c>
      <c r="N2362" t="inlineStr">
        <is>
          <t>Modalidade: 0 - Por conta do remetente | Parte: UP DISTRIBUIDORA DE PRODUTOS DESCARTAVEIS LTDA (12.423.997/0001-71)</t>
        </is>
      </c>
      <c r="O2362" s="29" t="n">
        <v>0</v>
      </c>
      <c r="P2362" s="29" t="n">
        <v>0</v>
      </c>
      <c r="Q2362" s="29" t="n">
        <v>0</v>
      </c>
      <c r="R2362" s="29" t="n">
        <v>0</v>
      </c>
      <c r="S2362" s="29" t="n">
        <v>0</v>
      </c>
      <c r="T2362" t="inlineStr">
        <is>
          <t>25251026975620000130570010000056561001101227</t>
        </is>
      </c>
      <c r="U2362" t="inlineStr">
        <is>
          <t>Não</t>
        </is>
      </c>
    </row>
    <row r="2363">
      <c r="A2363" t="inlineStr">
        <is>
          <t>Frete de venda</t>
        </is>
      </c>
      <c r="B2363" t="inlineStr">
        <is>
          <t>2.01.02 Frete sobre Vendas</t>
        </is>
      </c>
      <c r="C2363" t="inlineStr">
        <is>
          <t>Antes de 2026</t>
        </is>
      </c>
      <c r="D2363" t="inlineStr">
        <is>
          <t>Antes de 2026</t>
        </is>
      </c>
      <c r="E2363" s="28" t="n">
        <v>45964</v>
      </c>
      <c r="F2363" t="inlineStr">
        <is>
          <t>CT-e</t>
        </is>
      </c>
      <c r="G2363" t="inlineStr">
        <is>
          <t>000005660</t>
        </is>
      </c>
      <c r="H2363" t="inlineStr">
        <is>
          <t>R&amp;R TRANSPORTE E LOGISTICA</t>
        </is>
      </c>
      <c r="J2363" s="29" t="n">
        <v>1000</v>
      </c>
      <c r="K2363" s="29">
        <f>(1-ISNUMBER(SEARCH("556",M2363)))*(O2363*SUMIFS(Premissas!$C$5:$C$44,Premissas!$A$5:$A$44,$A2363,Premissas!$B$5:$B$44,$B2363)+P2363*SUMIFS(Premissas!$D$5:$D$44,Premissas!$A$5:$A$44,$A2363,Premissas!$B$5:$B$44,$B2363))+R2363*SUMIFS(Premissas!$E$5:$E$44,Premissas!$A$5:$A$44,$A2363,Premissas!$B$5:$B$44,$B2363)+S2363*SUMIFS(Premissas!$F$5:$F$44,Premissas!$A$5:$A$44,$A2363,Premissas!$B$5:$B$44,$B2363)</f>
        <v/>
      </c>
      <c r="L2363" s="29">
        <f>J2363-K2363</f>
        <v/>
      </c>
      <c r="M2363" t="inlineStr">
        <is>
          <t>1.350</t>
        </is>
      </c>
      <c r="N2363" t="inlineStr">
        <is>
          <t>Modalidade: 0 - Por conta do remetente | Parte: PV COMERCIO E SERVICOS LTDA (28.358.623/0001-50)</t>
        </is>
      </c>
      <c r="O2363" s="29" t="n">
        <v>0</v>
      </c>
      <c r="P2363" s="29" t="n">
        <v>0</v>
      </c>
      <c r="Q2363" s="29" t="n">
        <v>0</v>
      </c>
      <c r="R2363" s="29" t="n">
        <v>0</v>
      </c>
      <c r="S2363" s="29" t="n">
        <v>0</v>
      </c>
      <c r="T2363" t="inlineStr">
        <is>
          <t>25251126975620000130570010000056601000140810</t>
        </is>
      </c>
      <c r="U2363" t="inlineStr">
        <is>
          <t>Não</t>
        </is>
      </c>
    </row>
    <row r="2364">
      <c r="A2364" t="inlineStr">
        <is>
          <t>Frete de venda</t>
        </is>
      </c>
      <c r="B2364" t="inlineStr">
        <is>
          <t>2.01.02 Frete sobre Vendas</t>
        </is>
      </c>
      <c r="C2364" t="inlineStr">
        <is>
          <t>Antes de 2026</t>
        </is>
      </c>
      <c r="D2364" t="inlineStr">
        <is>
          <t>Antes de 2026</t>
        </is>
      </c>
      <c r="E2364" s="28" t="n">
        <v>45964</v>
      </c>
      <c r="F2364" t="inlineStr">
        <is>
          <t>CT-e</t>
        </is>
      </c>
      <c r="G2364" t="inlineStr">
        <is>
          <t>000005661</t>
        </is>
      </c>
      <c r="H2364" t="inlineStr">
        <is>
          <t>R&amp;R TRANSPORTE E LOGISTICA</t>
        </is>
      </c>
      <c r="J2364" s="29" t="n">
        <v>4000</v>
      </c>
      <c r="K2364" s="29">
        <f>(1-ISNUMBER(SEARCH("556",M2364)))*(O2364*SUMIFS(Premissas!$C$5:$C$44,Premissas!$A$5:$A$44,$A2364,Premissas!$B$5:$B$44,$B2364)+P2364*SUMIFS(Premissas!$D$5:$D$44,Premissas!$A$5:$A$44,$A2364,Premissas!$B$5:$B$44,$B2364))+R2364*SUMIFS(Premissas!$E$5:$E$44,Premissas!$A$5:$A$44,$A2364,Premissas!$B$5:$B$44,$B2364)+S2364*SUMIFS(Premissas!$F$5:$F$44,Premissas!$A$5:$A$44,$A2364,Premissas!$B$5:$B$44,$B2364)</f>
        <v/>
      </c>
      <c r="L2364" s="29">
        <f>J2364-K2364</f>
        <v/>
      </c>
      <c r="M2364" t="inlineStr">
        <is>
          <t>1.350</t>
        </is>
      </c>
      <c r="N2364" t="inlineStr">
        <is>
          <t>Modalidade: 0 - Por conta do remetente | Parte: M N L FLORENTINO LTDA (47.068.852/0001-84)</t>
        </is>
      </c>
      <c r="O2364" s="29" t="n">
        <v>0</v>
      </c>
      <c r="P2364" s="29" t="n">
        <v>0</v>
      </c>
      <c r="Q2364" s="29" t="n">
        <v>0</v>
      </c>
      <c r="R2364" s="29" t="n">
        <v>0</v>
      </c>
      <c r="S2364" s="29" t="n">
        <v>0</v>
      </c>
      <c r="T2364" t="inlineStr">
        <is>
          <t>25251126975620000130570010000056611000110897</t>
        </is>
      </c>
      <c r="U2364" t="inlineStr">
        <is>
          <t>Não</t>
        </is>
      </c>
    </row>
    <row r="2365">
      <c r="A2365" t="inlineStr">
        <is>
          <t>Frete de venda</t>
        </is>
      </c>
      <c r="B2365" t="inlineStr">
        <is>
          <t>2.01.02 Frete sobre Vendas</t>
        </is>
      </c>
      <c r="C2365" t="inlineStr">
        <is>
          <t>Antes de 2026</t>
        </is>
      </c>
      <c r="D2365" t="inlineStr">
        <is>
          <t>Antes de 2026</t>
        </is>
      </c>
      <c r="E2365" s="28" t="n">
        <v>45966</v>
      </c>
      <c r="F2365" t="inlineStr">
        <is>
          <t>CT-e</t>
        </is>
      </c>
      <c r="G2365" t="inlineStr">
        <is>
          <t>000005672</t>
        </is>
      </c>
      <c r="H2365" t="inlineStr">
        <is>
          <t>R&amp;R TRANSPORTE E LOGISTICA</t>
        </is>
      </c>
      <c r="J2365" s="29" t="n">
        <v>640.76</v>
      </c>
      <c r="K2365" s="29">
        <f>(1-ISNUMBER(SEARCH("556",M2365)))*(O2365*SUMIFS(Premissas!$C$5:$C$44,Premissas!$A$5:$A$44,$A2365,Premissas!$B$5:$B$44,$B2365)+P2365*SUMIFS(Premissas!$D$5:$D$44,Premissas!$A$5:$A$44,$A2365,Premissas!$B$5:$B$44,$B2365))+R2365*SUMIFS(Premissas!$E$5:$E$44,Premissas!$A$5:$A$44,$A2365,Premissas!$B$5:$B$44,$B2365)+S2365*SUMIFS(Premissas!$F$5:$F$44,Premissas!$A$5:$A$44,$A2365,Premissas!$B$5:$B$44,$B2365)</f>
        <v/>
      </c>
      <c r="L2365" s="29">
        <f>J2365-K2365</f>
        <v/>
      </c>
      <c r="M2365" t="inlineStr">
        <is>
          <t>1.350</t>
        </is>
      </c>
      <c r="N2365" t="inlineStr">
        <is>
          <t>Modalidade: 0 - Por conta do remetente | Parte: DISTRIPACK DISTRIBUIDORA DE EMBALAGENS LTDA (11.043.375/0002-36)</t>
        </is>
      </c>
      <c r="O2365" s="29" t="n">
        <v>0</v>
      </c>
      <c r="P2365" s="29" t="n">
        <v>0</v>
      </c>
      <c r="Q2365" s="29" t="n">
        <v>0</v>
      </c>
      <c r="R2365" s="29" t="n">
        <v>0</v>
      </c>
      <c r="S2365" s="29" t="n">
        <v>0</v>
      </c>
      <c r="T2365" t="inlineStr">
        <is>
          <t>25251126975620000130570010000056721000170842</t>
        </is>
      </c>
      <c r="U2365" t="inlineStr">
        <is>
          <t>Não</t>
        </is>
      </c>
    </row>
    <row r="2366">
      <c r="A2366" t="inlineStr">
        <is>
          <t>Frete de venda</t>
        </is>
      </c>
      <c r="B2366" t="inlineStr">
        <is>
          <t>2.01.02 Frete sobre Vendas</t>
        </is>
      </c>
      <c r="C2366" t="inlineStr">
        <is>
          <t>Antes de 2026</t>
        </is>
      </c>
      <c r="D2366" t="inlineStr">
        <is>
          <t>Antes de 2026</t>
        </is>
      </c>
      <c r="E2366" s="28" t="n">
        <v>45967</v>
      </c>
      <c r="F2366" t="inlineStr">
        <is>
          <t>CT-e</t>
        </is>
      </c>
      <c r="G2366" t="inlineStr">
        <is>
          <t>000005676</t>
        </is>
      </c>
      <c r="H2366" t="inlineStr">
        <is>
          <t>R&amp;R TRANSPORTE E LOGISTICA</t>
        </is>
      </c>
      <c r="J2366" s="29" t="n">
        <v>21</v>
      </c>
      <c r="K2366" s="29">
        <f>(1-ISNUMBER(SEARCH("556",M2366)))*(O2366*SUMIFS(Premissas!$C$5:$C$44,Premissas!$A$5:$A$44,$A2366,Premissas!$B$5:$B$44,$B2366)+P2366*SUMIFS(Premissas!$D$5:$D$44,Premissas!$A$5:$A$44,$A2366,Premissas!$B$5:$B$44,$B2366))+R2366*SUMIFS(Premissas!$E$5:$E$44,Premissas!$A$5:$A$44,$A2366,Premissas!$B$5:$B$44,$B2366)+S2366*SUMIFS(Premissas!$F$5:$F$44,Premissas!$A$5:$A$44,$A2366,Premissas!$B$5:$B$44,$B2366)</f>
        <v/>
      </c>
      <c r="L2366" s="29">
        <f>J2366-K2366</f>
        <v/>
      </c>
      <c r="M2366" t="inlineStr">
        <is>
          <t>1.350</t>
        </is>
      </c>
      <c r="N2366" t="inlineStr">
        <is>
          <t>Modalidade: 0 - Por conta do remetente | Parte: LUIS HENRIQUE CERQUEIRA DA SILVA (26.119.129/0001-07)</t>
        </is>
      </c>
      <c r="O2366" s="29" t="n">
        <v>0</v>
      </c>
      <c r="P2366" s="29" t="n">
        <v>0</v>
      </c>
      <c r="Q2366" s="29" t="n">
        <v>0</v>
      </c>
      <c r="R2366" s="29" t="n">
        <v>0</v>
      </c>
      <c r="S2366" s="29" t="n">
        <v>0</v>
      </c>
      <c r="T2366" t="inlineStr">
        <is>
          <t>25251126975620000130570010000056761000010887</t>
        </is>
      </c>
      <c r="U2366" t="inlineStr">
        <is>
          <t>Não</t>
        </is>
      </c>
    </row>
    <row r="2367">
      <c r="A2367" t="inlineStr">
        <is>
          <t>Frete de venda</t>
        </is>
      </c>
      <c r="B2367" t="inlineStr">
        <is>
          <t>2.01.02 Frete sobre Vendas</t>
        </is>
      </c>
      <c r="C2367" t="inlineStr">
        <is>
          <t>Antes de 2026</t>
        </is>
      </c>
      <c r="D2367" t="inlineStr">
        <is>
          <t>Antes de 2026</t>
        </is>
      </c>
      <c r="E2367" s="28" t="n">
        <v>45967</v>
      </c>
      <c r="F2367" t="inlineStr">
        <is>
          <t>CT-e</t>
        </is>
      </c>
      <c r="G2367" t="inlineStr">
        <is>
          <t>000005677</t>
        </is>
      </c>
      <c r="H2367" t="inlineStr">
        <is>
          <t>R&amp;R TRANSPORTE E LOGISTICA</t>
        </is>
      </c>
      <c r="J2367" s="29" t="n">
        <v>15</v>
      </c>
      <c r="K2367" s="29">
        <f>(1-ISNUMBER(SEARCH("556",M2367)))*(O2367*SUMIFS(Premissas!$C$5:$C$44,Premissas!$A$5:$A$44,$A2367,Premissas!$B$5:$B$44,$B2367)+P2367*SUMIFS(Premissas!$D$5:$D$44,Premissas!$A$5:$A$44,$A2367,Premissas!$B$5:$B$44,$B2367))+R2367*SUMIFS(Premissas!$E$5:$E$44,Premissas!$A$5:$A$44,$A2367,Premissas!$B$5:$B$44,$B2367)+S2367*SUMIFS(Premissas!$F$5:$F$44,Premissas!$A$5:$A$44,$A2367,Premissas!$B$5:$B$44,$B2367)</f>
        <v/>
      </c>
      <c r="L2367" s="29">
        <f>J2367-K2367</f>
        <v/>
      </c>
      <c r="M2367" t="inlineStr">
        <is>
          <t>1.350</t>
        </is>
      </c>
      <c r="N2367" t="inlineStr">
        <is>
          <t>Modalidade: 0 - Por conta do remetente | Parte: LA SERAFIM COMERCIO DE EMBALAGENS LTDA (07.797.641/0001-68)</t>
        </is>
      </c>
      <c r="O2367" s="29" t="n">
        <v>0</v>
      </c>
      <c r="P2367" s="29" t="n">
        <v>0</v>
      </c>
      <c r="Q2367" s="29" t="n">
        <v>0</v>
      </c>
      <c r="R2367" s="29" t="n">
        <v>0</v>
      </c>
      <c r="S2367" s="29" t="n">
        <v>0</v>
      </c>
      <c r="T2367" t="inlineStr">
        <is>
          <t>25251126975620000130570010000056771000180968</t>
        </is>
      </c>
      <c r="U2367" t="inlineStr">
        <is>
          <t>Não</t>
        </is>
      </c>
    </row>
    <row r="2368">
      <c r="A2368" t="inlineStr">
        <is>
          <t>Frete de venda</t>
        </is>
      </c>
      <c r="B2368" t="inlineStr">
        <is>
          <t>2.01.02 Frete sobre Vendas</t>
        </is>
      </c>
      <c r="C2368" t="inlineStr">
        <is>
          <t>Antes de 2026</t>
        </is>
      </c>
      <c r="D2368" t="inlineStr">
        <is>
          <t>Antes de 2026</t>
        </is>
      </c>
      <c r="E2368" s="28" t="n">
        <v>45967</v>
      </c>
      <c r="F2368" t="inlineStr">
        <is>
          <t>CT-e</t>
        </is>
      </c>
      <c r="G2368" t="inlineStr">
        <is>
          <t>000005678</t>
        </is>
      </c>
      <c r="H2368" t="inlineStr">
        <is>
          <t>R&amp;R TRANSPORTE E LOGISTICA</t>
        </is>
      </c>
      <c r="J2368" s="29" t="n">
        <v>15</v>
      </c>
      <c r="K2368" s="29">
        <f>(1-ISNUMBER(SEARCH("556",M2368)))*(O2368*SUMIFS(Premissas!$C$5:$C$44,Premissas!$A$5:$A$44,$A2368,Premissas!$B$5:$B$44,$B2368)+P2368*SUMIFS(Premissas!$D$5:$D$44,Premissas!$A$5:$A$44,$A2368,Premissas!$B$5:$B$44,$B2368))+R2368*SUMIFS(Premissas!$E$5:$E$44,Premissas!$A$5:$A$44,$A2368,Premissas!$B$5:$B$44,$B2368)+S2368*SUMIFS(Premissas!$F$5:$F$44,Premissas!$A$5:$A$44,$A2368,Premissas!$B$5:$B$44,$B2368)</f>
        <v/>
      </c>
      <c r="L2368" s="29">
        <f>J2368-K2368</f>
        <v/>
      </c>
      <c r="M2368" t="inlineStr">
        <is>
          <t>1.350</t>
        </is>
      </c>
      <c r="N2368" t="inlineStr">
        <is>
          <t>Modalidade: 0 - Por conta do remetente | Parte: SORAYA REGINA PIMENTA BASTOS (16.910.519/0003-09)</t>
        </is>
      </c>
      <c r="O2368" s="29" t="n">
        <v>0</v>
      </c>
      <c r="P2368" s="29" t="n">
        <v>0</v>
      </c>
      <c r="Q2368" s="29" t="n">
        <v>0</v>
      </c>
      <c r="R2368" s="29" t="n">
        <v>0</v>
      </c>
      <c r="S2368" s="29" t="n">
        <v>0</v>
      </c>
      <c r="T2368" t="inlineStr">
        <is>
          <t>25251126975620000130570010000056781001501048</t>
        </is>
      </c>
      <c r="U2368" t="inlineStr">
        <is>
          <t>Não</t>
        </is>
      </c>
    </row>
    <row r="2369">
      <c r="A2369" t="inlineStr">
        <is>
          <t>Frete de venda</t>
        </is>
      </c>
      <c r="B2369" t="inlineStr">
        <is>
          <t>2.01.02 Frete sobre Vendas</t>
        </is>
      </c>
      <c r="C2369" t="inlineStr">
        <is>
          <t>Antes de 2026</t>
        </is>
      </c>
      <c r="D2369" t="inlineStr">
        <is>
          <t>Antes de 2026</t>
        </is>
      </c>
      <c r="E2369" s="28" t="n">
        <v>45967</v>
      </c>
      <c r="F2369" t="inlineStr">
        <is>
          <t>CT-e</t>
        </is>
      </c>
      <c r="G2369" t="inlineStr">
        <is>
          <t>000005679</t>
        </is>
      </c>
      <c r="H2369" t="inlineStr">
        <is>
          <t>R&amp;R TRANSPORTE E LOGISTICA</t>
        </is>
      </c>
      <c r="J2369" s="29" t="n">
        <v>16</v>
      </c>
      <c r="K2369" s="29">
        <f>(1-ISNUMBER(SEARCH("556",M2369)))*(O2369*SUMIFS(Premissas!$C$5:$C$44,Premissas!$A$5:$A$44,$A2369,Premissas!$B$5:$B$44,$B2369)+P2369*SUMIFS(Premissas!$D$5:$D$44,Premissas!$A$5:$A$44,$A2369,Premissas!$B$5:$B$44,$B2369))+R2369*SUMIFS(Premissas!$E$5:$E$44,Premissas!$A$5:$A$44,$A2369,Premissas!$B$5:$B$44,$B2369)+S2369*SUMIFS(Premissas!$F$5:$F$44,Premissas!$A$5:$A$44,$A2369,Premissas!$B$5:$B$44,$B2369)</f>
        <v/>
      </c>
      <c r="L2369" s="29">
        <f>J2369-K2369</f>
        <v/>
      </c>
      <c r="M2369" t="inlineStr">
        <is>
          <t>1.350</t>
        </is>
      </c>
      <c r="N2369" t="inlineStr">
        <is>
          <t>Modalidade: 0 - Por conta do remetente | Parte: PSCP ATACADISTA, VAREJISTA DE EMBALAGENS, ALIMENTOS E VA... (00.139.108/0001-60)</t>
        </is>
      </c>
      <c r="O2369" s="29" t="n">
        <v>0</v>
      </c>
      <c r="P2369" s="29" t="n">
        <v>0</v>
      </c>
      <c r="Q2369" s="29" t="n">
        <v>0</v>
      </c>
      <c r="R2369" s="29" t="n">
        <v>0</v>
      </c>
      <c r="S2369" s="29" t="n">
        <v>0</v>
      </c>
      <c r="T2369" t="inlineStr">
        <is>
          <t>25251126975620000130570010000056791001201122</t>
        </is>
      </c>
      <c r="U2369" t="inlineStr">
        <is>
          <t>Não</t>
        </is>
      </c>
    </row>
    <row r="2370">
      <c r="A2370" t="inlineStr">
        <is>
          <t>Frete de venda</t>
        </is>
      </c>
      <c r="B2370" t="inlineStr">
        <is>
          <t>2.01.02 Frete sobre Vendas</t>
        </is>
      </c>
      <c r="C2370" t="inlineStr">
        <is>
          <t>Antes de 2026</t>
        </is>
      </c>
      <c r="D2370" t="inlineStr">
        <is>
          <t>Antes de 2026</t>
        </is>
      </c>
      <c r="E2370" s="28" t="n">
        <v>45967</v>
      </c>
      <c r="F2370" t="inlineStr">
        <is>
          <t>CT-e</t>
        </is>
      </c>
      <c r="G2370" t="inlineStr">
        <is>
          <t>000005680</t>
        </is>
      </c>
      <c r="H2370" t="inlineStr">
        <is>
          <t>R&amp;R TRANSPORTE E LOGISTICA</t>
        </is>
      </c>
      <c r="J2370" s="29" t="n">
        <v>17</v>
      </c>
      <c r="K2370" s="29">
        <f>(1-ISNUMBER(SEARCH("556",M2370)))*(O2370*SUMIFS(Premissas!$C$5:$C$44,Premissas!$A$5:$A$44,$A2370,Premissas!$B$5:$B$44,$B2370)+P2370*SUMIFS(Premissas!$D$5:$D$44,Premissas!$A$5:$A$44,$A2370,Premissas!$B$5:$B$44,$B2370))+R2370*SUMIFS(Premissas!$E$5:$E$44,Premissas!$A$5:$A$44,$A2370,Premissas!$B$5:$B$44,$B2370)+S2370*SUMIFS(Premissas!$F$5:$F$44,Premissas!$A$5:$A$44,$A2370,Premissas!$B$5:$B$44,$B2370)</f>
        <v/>
      </c>
      <c r="L2370" s="29">
        <f>J2370-K2370</f>
        <v/>
      </c>
      <c r="M2370" t="inlineStr">
        <is>
          <t>1.350</t>
        </is>
      </c>
      <c r="N2370" t="inlineStr">
        <is>
          <t>Modalidade: 0 - Por conta do remetente | Parte: FELIPE SARAIVA SANTOS (27.138.356/0001-42)</t>
        </is>
      </c>
      <c r="O2370" s="29" t="n">
        <v>0</v>
      </c>
      <c r="P2370" s="29" t="n">
        <v>0</v>
      </c>
      <c r="Q2370" s="29" t="n">
        <v>0</v>
      </c>
      <c r="R2370" s="29" t="n">
        <v>0</v>
      </c>
      <c r="S2370" s="29" t="n">
        <v>0</v>
      </c>
      <c r="T2370" t="inlineStr">
        <is>
          <t>25251126975620000130570010000056801011001208</t>
        </is>
      </c>
      <c r="U2370" t="inlineStr">
        <is>
          <t>Não</t>
        </is>
      </c>
    </row>
    <row r="2371">
      <c r="A2371" t="inlineStr">
        <is>
          <t>Frete de venda</t>
        </is>
      </c>
      <c r="B2371" t="inlineStr">
        <is>
          <t>2.01.02 Frete sobre Vendas</t>
        </is>
      </c>
      <c r="C2371" t="inlineStr">
        <is>
          <t>Antes de 2026</t>
        </is>
      </c>
      <c r="D2371" t="inlineStr">
        <is>
          <t>Antes de 2026</t>
        </is>
      </c>
      <c r="E2371" s="28" t="n">
        <v>45967</v>
      </c>
      <c r="F2371" t="inlineStr">
        <is>
          <t>CT-e</t>
        </is>
      </c>
      <c r="G2371" t="inlineStr">
        <is>
          <t>000005681</t>
        </is>
      </c>
      <c r="H2371" t="inlineStr">
        <is>
          <t>R&amp;R TRANSPORTE E LOGISTICA</t>
        </is>
      </c>
      <c r="J2371" s="29" t="n">
        <v>20</v>
      </c>
      <c r="K2371" s="29">
        <f>(1-ISNUMBER(SEARCH("556",M2371)))*(O2371*SUMIFS(Premissas!$C$5:$C$44,Premissas!$A$5:$A$44,$A2371,Premissas!$B$5:$B$44,$B2371)+P2371*SUMIFS(Premissas!$D$5:$D$44,Premissas!$A$5:$A$44,$A2371,Premissas!$B$5:$B$44,$B2371))+R2371*SUMIFS(Premissas!$E$5:$E$44,Premissas!$A$5:$A$44,$A2371,Premissas!$B$5:$B$44,$B2371)+S2371*SUMIFS(Premissas!$F$5:$F$44,Premissas!$A$5:$A$44,$A2371,Premissas!$B$5:$B$44,$B2371)</f>
        <v/>
      </c>
      <c r="L2371" s="29">
        <f>J2371-K2371</f>
        <v/>
      </c>
      <c r="M2371" t="inlineStr">
        <is>
          <t>1.350</t>
        </is>
      </c>
      <c r="N2371" t="inlineStr">
        <is>
          <t>Modalidade: 0 - Por conta do remetente | Parte: FG ATACADISTA DE EMBALAGENS E ALIMENTOS LTDA (62.720.773/0001-08)</t>
        </is>
      </c>
      <c r="O2371" s="29" t="n">
        <v>0</v>
      </c>
      <c r="P2371" s="29" t="n">
        <v>0</v>
      </c>
      <c r="Q2371" s="29" t="n">
        <v>0</v>
      </c>
      <c r="R2371" s="29" t="n">
        <v>0</v>
      </c>
      <c r="S2371" s="29" t="n">
        <v>0</v>
      </c>
      <c r="T2371" t="inlineStr">
        <is>
          <t>25251126975620000130570010000056811001701280</t>
        </is>
      </c>
      <c r="U2371" t="inlineStr">
        <is>
          <t>Não</t>
        </is>
      </c>
    </row>
    <row r="2372">
      <c r="A2372" t="inlineStr">
        <is>
          <t>Frete de venda</t>
        </is>
      </c>
      <c r="B2372" t="inlineStr">
        <is>
          <t>2.01.02 Frete sobre Vendas</t>
        </is>
      </c>
      <c r="C2372" t="inlineStr">
        <is>
          <t>Antes de 2026</t>
        </is>
      </c>
      <c r="D2372" t="inlineStr">
        <is>
          <t>Antes de 2026</t>
        </is>
      </c>
      <c r="E2372" s="28" t="n">
        <v>45967</v>
      </c>
      <c r="F2372" t="inlineStr">
        <is>
          <t>CT-e</t>
        </is>
      </c>
      <c r="G2372" t="inlineStr">
        <is>
          <t>000005682</t>
        </is>
      </c>
      <c r="H2372" t="inlineStr">
        <is>
          <t>R&amp;R TRANSPORTE E LOGISTICA</t>
        </is>
      </c>
      <c r="J2372" s="29" t="n">
        <v>22</v>
      </c>
      <c r="K2372" s="29">
        <f>(1-ISNUMBER(SEARCH("556",M2372)))*(O2372*SUMIFS(Premissas!$C$5:$C$44,Premissas!$A$5:$A$44,$A2372,Premissas!$B$5:$B$44,$B2372)+P2372*SUMIFS(Premissas!$D$5:$D$44,Premissas!$A$5:$A$44,$A2372,Premissas!$B$5:$B$44,$B2372))+R2372*SUMIFS(Premissas!$E$5:$E$44,Premissas!$A$5:$A$44,$A2372,Premissas!$B$5:$B$44,$B2372)+S2372*SUMIFS(Premissas!$F$5:$F$44,Premissas!$A$5:$A$44,$A2372,Premissas!$B$5:$B$44,$B2372)</f>
        <v/>
      </c>
      <c r="L2372" s="29">
        <f>J2372-K2372</f>
        <v/>
      </c>
      <c r="M2372" t="inlineStr">
        <is>
          <t>1.350</t>
        </is>
      </c>
      <c r="N2372" t="inlineStr">
        <is>
          <t>Modalidade: 0 - Por conta do remetente | Parte: CRISTAL NEWS ALIMENTOS E EMBALAGENS LTDA (04.067.045/0001-34)</t>
        </is>
      </c>
      <c r="O2372" s="29" t="n">
        <v>0</v>
      </c>
      <c r="P2372" s="29" t="n">
        <v>0</v>
      </c>
      <c r="Q2372" s="29" t="n">
        <v>0</v>
      </c>
      <c r="R2372" s="29" t="n">
        <v>0</v>
      </c>
      <c r="S2372" s="29" t="n">
        <v>0</v>
      </c>
      <c r="T2372" t="inlineStr">
        <is>
          <t>25251126975620000130570010000056821001401364</t>
        </is>
      </c>
      <c r="U2372" t="inlineStr">
        <is>
          <t>Não</t>
        </is>
      </c>
    </row>
    <row r="2373">
      <c r="A2373" t="inlineStr">
        <is>
          <t>Frete de venda</t>
        </is>
      </c>
      <c r="B2373" t="inlineStr">
        <is>
          <t>2.01.02 Frete sobre Vendas</t>
        </is>
      </c>
      <c r="C2373" t="inlineStr">
        <is>
          <t>Antes de 2026</t>
        </is>
      </c>
      <c r="D2373" t="inlineStr">
        <is>
          <t>Antes de 2026</t>
        </is>
      </c>
      <c r="E2373" s="28" t="n">
        <v>45967</v>
      </c>
      <c r="F2373" t="inlineStr">
        <is>
          <t>CT-e</t>
        </is>
      </c>
      <c r="G2373" t="inlineStr">
        <is>
          <t>000005683</t>
        </is>
      </c>
      <c r="H2373" t="inlineStr">
        <is>
          <t>R&amp;R TRANSPORTE E LOGISTICA</t>
        </is>
      </c>
      <c r="J2373" s="29" t="n">
        <v>15</v>
      </c>
      <c r="K2373" s="29">
        <f>(1-ISNUMBER(SEARCH("556",M2373)))*(O2373*SUMIFS(Premissas!$C$5:$C$44,Premissas!$A$5:$A$44,$A2373,Premissas!$B$5:$B$44,$B2373)+P2373*SUMIFS(Premissas!$D$5:$D$44,Premissas!$A$5:$A$44,$A2373,Premissas!$B$5:$B$44,$B2373))+R2373*SUMIFS(Premissas!$E$5:$E$44,Premissas!$A$5:$A$44,$A2373,Premissas!$B$5:$B$44,$B2373)+S2373*SUMIFS(Premissas!$F$5:$F$44,Premissas!$A$5:$A$44,$A2373,Premissas!$B$5:$B$44,$B2373)</f>
        <v/>
      </c>
      <c r="L2373" s="29">
        <f>J2373-K2373</f>
        <v/>
      </c>
      <c r="M2373" t="inlineStr">
        <is>
          <t>1.350</t>
        </is>
      </c>
      <c r="N2373" t="inlineStr">
        <is>
          <t>Modalidade: 0 - Por conta do remetente | Parte: CARLOS SOARES DE ABREU (52.158.824/0001-98)</t>
        </is>
      </c>
      <c r="O2373" s="29" t="n">
        <v>0</v>
      </c>
      <c r="P2373" s="29" t="n">
        <v>0</v>
      </c>
      <c r="Q2373" s="29" t="n">
        <v>0</v>
      </c>
      <c r="R2373" s="29" t="n">
        <v>0</v>
      </c>
      <c r="S2373" s="29" t="n">
        <v>0</v>
      </c>
      <c r="T2373" t="inlineStr">
        <is>
          <t>25251126975620000130570010000056831000150713</t>
        </is>
      </c>
      <c r="U2373" t="inlineStr">
        <is>
          <t>Não</t>
        </is>
      </c>
    </row>
    <row r="2374">
      <c r="A2374" t="inlineStr">
        <is>
          <t>Frete de venda</t>
        </is>
      </c>
      <c r="B2374" t="inlineStr">
        <is>
          <t>2.01.02 Frete sobre Vendas</t>
        </is>
      </c>
      <c r="C2374" t="inlineStr">
        <is>
          <t>Antes de 2026</t>
        </is>
      </c>
      <c r="D2374" t="inlineStr">
        <is>
          <t>Antes de 2026</t>
        </is>
      </c>
      <c r="E2374" s="28" t="n">
        <v>45967</v>
      </c>
      <c r="F2374" t="inlineStr">
        <is>
          <t>CT-e</t>
        </is>
      </c>
      <c r="G2374" t="inlineStr">
        <is>
          <t>000005684</t>
        </is>
      </c>
      <c r="H2374" t="inlineStr">
        <is>
          <t>R&amp;R TRANSPORTE E LOGISTICA</t>
        </is>
      </c>
      <c r="J2374" s="29" t="n">
        <v>16</v>
      </c>
      <c r="K2374" s="29">
        <f>(1-ISNUMBER(SEARCH("556",M2374)))*(O2374*SUMIFS(Premissas!$C$5:$C$44,Premissas!$A$5:$A$44,$A2374,Premissas!$B$5:$B$44,$B2374)+P2374*SUMIFS(Premissas!$D$5:$D$44,Premissas!$A$5:$A$44,$A2374,Premissas!$B$5:$B$44,$B2374))+R2374*SUMIFS(Premissas!$E$5:$E$44,Premissas!$A$5:$A$44,$A2374,Premissas!$B$5:$B$44,$B2374)+S2374*SUMIFS(Premissas!$F$5:$F$44,Premissas!$A$5:$A$44,$A2374,Premissas!$B$5:$B$44,$B2374)</f>
        <v/>
      </c>
      <c r="L2374" s="29">
        <f>J2374-K2374</f>
        <v/>
      </c>
      <c r="M2374" t="inlineStr">
        <is>
          <t>1.350</t>
        </is>
      </c>
      <c r="N2374" t="inlineStr">
        <is>
          <t>Modalidade: 0 - Por conta do remetente | Parte: CIDADE SOL EMBALAGENS LTDA (29.160.739/0001-42)</t>
        </is>
      </c>
      <c r="O2374" s="29" t="n">
        <v>0</v>
      </c>
      <c r="P2374" s="29" t="n">
        <v>0</v>
      </c>
      <c r="Q2374" s="29" t="n">
        <v>0</v>
      </c>
      <c r="R2374" s="29" t="n">
        <v>0</v>
      </c>
      <c r="S2374" s="29" t="n">
        <v>0</v>
      </c>
      <c r="T2374" t="inlineStr">
        <is>
          <t>25251126975620000130570010000056841000120790</t>
        </is>
      </c>
      <c r="U2374" t="inlineStr">
        <is>
          <t>Não</t>
        </is>
      </c>
    </row>
    <row r="2375">
      <c r="A2375" t="inlineStr">
        <is>
          <t>Frete de venda</t>
        </is>
      </c>
      <c r="B2375" t="inlineStr">
        <is>
          <t>2.01.02 Frete sobre Vendas</t>
        </is>
      </c>
      <c r="C2375" t="inlineStr">
        <is>
          <t>Antes de 2026</t>
        </is>
      </c>
      <c r="D2375" t="inlineStr">
        <is>
          <t>Antes de 2026</t>
        </is>
      </c>
      <c r="E2375" s="28" t="n">
        <v>45967</v>
      </c>
      <c r="F2375" t="inlineStr">
        <is>
          <t>CT-e</t>
        </is>
      </c>
      <c r="G2375" t="inlineStr">
        <is>
          <t>000005685</t>
        </is>
      </c>
      <c r="H2375" t="inlineStr">
        <is>
          <t>R&amp;R TRANSPORTE E LOGISTICA</t>
        </is>
      </c>
      <c r="J2375" s="29" t="n">
        <v>16</v>
      </c>
      <c r="K2375" s="29">
        <f>(1-ISNUMBER(SEARCH("556",M2375)))*(O2375*SUMIFS(Premissas!$C$5:$C$44,Premissas!$A$5:$A$44,$A2375,Premissas!$B$5:$B$44,$B2375)+P2375*SUMIFS(Premissas!$D$5:$D$44,Premissas!$A$5:$A$44,$A2375,Premissas!$B$5:$B$44,$B2375))+R2375*SUMIFS(Premissas!$E$5:$E$44,Premissas!$A$5:$A$44,$A2375,Premissas!$B$5:$B$44,$B2375)+S2375*SUMIFS(Premissas!$F$5:$F$44,Premissas!$A$5:$A$44,$A2375,Premissas!$B$5:$B$44,$B2375)</f>
        <v/>
      </c>
      <c r="L2375" s="29">
        <f>J2375-K2375</f>
        <v/>
      </c>
      <c r="M2375" t="inlineStr">
        <is>
          <t>1.350</t>
        </is>
      </c>
      <c r="N2375" t="inlineStr">
        <is>
          <t>Modalidade: 0 - Por conta do remetente | Parte: NILZETE COELHO GUEDES LTDA (01.710.779/0001-00)</t>
        </is>
      </c>
      <c r="O2375" s="29" t="n">
        <v>0</v>
      </c>
      <c r="P2375" s="29" t="n">
        <v>0</v>
      </c>
      <c r="Q2375" s="29" t="n">
        <v>0</v>
      </c>
      <c r="R2375" s="29" t="n">
        <v>0</v>
      </c>
      <c r="S2375" s="29" t="n">
        <v>0</v>
      </c>
      <c r="T2375" t="inlineStr">
        <is>
          <t>25251126975620000130570010000056851001100870</t>
        </is>
      </c>
      <c r="U2375" t="inlineStr">
        <is>
          <t>Não</t>
        </is>
      </c>
    </row>
    <row r="2376">
      <c r="A2376" t="inlineStr">
        <is>
          <t>Frete de venda</t>
        </is>
      </c>
      <c r="B2376" t="inlineStr">
        <is>
          <t>2.01.02 Frete sobre Vendas</t>
        </is>
      </c>
      <c r="C2376" t="inlineStr">
        <is>
          <t>Antes de 2026</t>
        </is>
      </c>
      <c r="D2376" t="inlineStr">
        <is>
          <t>Antes de 2026</t>
        </is>
      </c>
      <c r="E2376" s="28" t="n">
        <v>45967</v>
      </c>
      <c r="F2376" t="inlineStr">
        <is>
          <t>CT-e</t>
        </is>
      </c>
      <c r="G2376" t="inlineStr">
        <is>
          <t>000005686</t>
        </is>
      </c>
      <c r="H2376" t="inlineStr">
        <is>
          <t>R&amp;R TRANSPORTE E LOGISTICA</t>
        </is>
      </c>
      <c r="J2376" s="29" t="n">
        <v>18</v>
      </c>
      <c r="K2376" s="29">
        <f>(1-ISNUMBER(SEARCH("556",M2376)))*(O2376*SUMIFS(Premissas!$C$5:$C$44,Premissas!$A$5:$A$44,$A2376,Premissas!$B$5:$B$44,$B2376)+P2376*SUMIFS(Premissas!$D$5:$D$44,Premissas!$A$5:$A$44,$A2376,Premissas!$B$5:$B$44,$B2376))+R2376*SUMIFS(Premissas!$E$5:$E$44,Premissas!$A$5:$A$44,$A2376,Premissas!$B$5:$B$44,$B2376)+S2376*SUMIFS(Premissas!$F$5:$F$44,Premissas!$A$5:$A$44,$A2376,Premissas!$B$5:$B$44,$B2376)</f>
        <v/>
      </c>
      <c r="L2376" s="29">
        <f>J2376-K2376</f>
        <v/>
      </c>
      <c r="M2376" t="inlineStr">
        <is>
          <t>1.350</t>
        </is>
      </c>
      <c r="N2376" t="inlineStr">
        <is>
          <t>Modalidade: 0 - Por conta do remetente | Parte: PAYNUX PAGAMENTOS LTDA (58.887.651/0001-25)</t>
        </is>
      </c>
      <c r="O2376" s="29" t="n">
        <v>0</v>
      </c>
      <c r="P2376" s="29" t="n">
        <v>0</v>
      </c>
      <c r="Q2376" s="29" t="n">
        <v>0</v>
      </c>
      <c r="R2376" s="29" t="n">
        <v>0</v>
      </c>
      <c r="S2376" s="29" t="n">
        <v>0</v>
      </c>
      <c r="T2376" t="inlineStr">
        <is>
          <t>25251126975620000130570010000056861000170953</t>
        </is>
      </c>
      <c r="U2376" t="inlineStr">
        <is>
          <t>Não</t>
        </is>
      </c>
    </row>
    <row r="2377">
      <c r="A2377" t="inlineStr">
        <is>
          <t>Frete de venda</t>
        </is>
      </c>
      <c r="B2377" t="inlineStr">
        <is>
          <t>2.01.02 Frete sobre Vendas</t>
        </is>
      </c>
      <c r="C2377" t="inlineStr">
        <is>
          <t>Antes de 2026</t>
        </is>
      </c>
      <c r="D2377" t="inlineStr">
        <is>
          <t>Antes de 2026</t>
        </is>
      </c>
      <c r="E2377" s="28" t="n">
        <v>45967</v>
      </c>
      <c r="F2377" t="inlineStr">
        <is>
          <t>CT-e</t>
        </is>
      </c>
      <c r="G2377" t="inlineStr">
        <is>
          <t>000005687</t>
        </is>
      </c>
      <c r="H2377" t="inlineStr">
        <is>
          <t>R&amp;R TRANSPORTE E LOGISTICA</t>
        </is>
      </c>
      <c r="J2377" s="29" t="n">
        <v>17</v>
      </c>
      <c r="K2377" s="29">
        <f>(1-ISNUMBER(SEARCH("556",M2377)))*(O2377*SUMIFS(Premissas!$C$5:$C$44,Premissas!$A$5:$A$44,$A2377,Premissas!$B$5:$B$44,$B2377)+P2377*SUMIFS(Premissas!$D$5:$D$44,Premissas!$A$5:$A$44,$A2377,Premissas!$B$5:$B$44,$B2377))+R2377*SUMIFS(Premissas!$E$5:$E$44,Premissas!$A$5:$A$44,$A2377,Premissas!$B$5:$B$44,$B2377)+S2377*SUMIFS(Premissas!$F$5:$F$44,Premissas!$A$5:$A$44,$A2377,Premissas!$B$5:$B$44,$B2377)</f>
        <v/>
      </c>
      <c r="L2377" s="29">
        <f>J2377-K2377</f>
        <v/>
      </c>
      <c r="M2377" t="inlineStr">
        <is>
          <t>1.350</t>
        </is>
      </c>
      <c r="N2377" t="inlineStr">
        <is>
          <t>Modalidade: 0 - Por conta do remetente | Parte: RICARDO LUIZ QUEIROZ CRUZ (15.987.081/0001-32)</t>
        </is>
      </c>
      <c r="O2377" s="29" t="n">
        <v>0</v>
      </c>
      <c r="P2377" s="29" t="n">
        <v>0</v>
      </c>
      <c r="Q2377" s="29" t="n">
        <v>0</v>
      </c>
      <c r="R2377" s="29" t="n">
        <v>0</v>
      </c>
      <c r="S2377" s="29" t="n">
        <v>0</v>
      </c>
      <c r="T2377" t="inlineStr">
        <is>
          <t>25251126975620000130570010000056871001401034</t>
        </is>
      </c>
      <c r="U2377" t="inlineStr">
        <is>
          <t>Não</t>
        </is>
      </c>
    </row>
    <row r="2378">
      <c r="A2378" t="inlineStr">
        <is>
          <t>Frete de venda</t>
        </is>
      </c>
      <c r="B2378" t="inlineStr">
        <is>
          <t>2.01.02 Frete sobre Vendas</t>
        </is>
      </c>
      <c r="C2378" t="inlineStr">
        <is>
          <t>Antes de 2026</t>
        </is>
      </c>
      <c r="D2378" t="inlineStr">
        <is>
          <t>Antes de 2026</t>
        </is>
      </c>
      <c r="E2378" s="28" t="n">
        <v>45967</v>
      </c>
      <c r="F2378" t="inlineStr">
        <is>
          <t>CT-e</t>
        </is>
      </c>
      <c r="G2378" t="inlineStr">
        <is>
          <t>000005688</t>
        </is>
      </c>
      <c r="H2378" t="inlineStr">
        <is>
          <t>R&amp;R TRANSPORTE E LOGISTICA</t>
        </is>
      </c>
      <c r="J2378" s="29" t="n">
        <v>31</v>
      </c>
      <c r="K2378" s="29">
        <f>(1-ISNUMBER(SEARCH("556",M2378)))*(O2378*SUMIFS(Premissas!$C$5:$C$44,Premissas!$A$5:$A$44,$A2378,Premissas!$B$5:$B$44,$B2378)+P2378*SUMIFS(Premissas!$D$5:$D$44,Premissas!$A$5:$A$44,$A2378,Premissas!$B$5:$B$44,$B2378))+R2378*SUMIFS(Premissas!$E$5:$E$44,Premissas!$A$5:$A$44,$A2378,Premissas!$B$5:$B$44,$B2378)+S2378*SUMIFS(Premissas!$F$5:$F$44,Premissas!$A$5:$A$44,$A2378,Premissas!$B$5:$B$44,$B2378)</f>
        <v/>
      </c>
      <c r="L2378" s="29">
        <f>J2378-K2378</f>
        <v/>
      </c>
      <c r="M2378" t="inlineStr">
        <is>
          <t>1.350</t>
        </is>
      </c>
      <c r="N2378" t="inlineStr">
        <is>
          <t>Modalidade: 0 - Por conta do remetente | Parte: JD DISTRIBUIDORA DE ALIMENTOS LTDA (36.309.123/0001-56)</t>
        </is>
      </c>
      <c r="O2378" s="29" t="n">
        <v>0</v>
      </c>
      <c r="P2378" s="29" t="n">
        <v>0</v>
      </c>
      <c r="Q2378" s="29" t="n">
        <v>0</v>
      </c>
      <c r="R2378" s="29" t="n">
        <v>0</v>
      </c>
      <c r="S2378" s="29" t="n">
        <v>0</v>
      </c>
      <c r="T2378" t="inlineStr">
        <is>
          <t>25251126975620000130570010000056881001101119</t>
        </is>
      </c>
      <c r="U2378" t="inlineStr">
        <is>
          <t>Não</t>
        </is>
      </c>
    </row>
    <row r="2379">
      <c r="A2379" t="inlineStr">
        <is>
          <t>Frete de venda</t>
        </is>
      </c>
      <c r="B2379" t="inlineStr">
        <is>
          <t>2.01.02 Frete sobre Vendas</t>
        </is>
      </c>
      <c r="C2379" t="inlineStr">
        <is>
          <t>Antes de 2026</t>
        </is>
      </c>
      <c r="D2379" t="inlineStr">
        <is>
          <t>Antes de 2026</t>
        </is>
      </c>
      <c r="E2379" s="28" t="n">
        <v>45967</v>
      </c>
      <c r="F2379" t="inlineStr">
        <is>
          <t>CT-e</t>
        </is>
      </c>
      <c r="G2379" t="inlineStr">
        <is>
          <t>000005689</t>
        </is>
      </c>
      <c r="H2379" t="inlineStr">
        <is>
          <t>R&amp;R TRANSPORTE E LOGISTICA</t>
        </is>
      </c>
      <c r="J2379" s="29" t="n">
        <v>17</v>
      </c>
      <c r="K2379" s="29">
        <f>(1-ISNUMBER(SEARCH("556",M2379)))*(O2379*SUMIFS(Premissas!$C$5:$C$44,Premissas!$A$5:$A$44,$A2379,Premissas!$B$5:$B$44,$B2379)+P2379*SUMIFS(Premissas!$D$5:$D$44,Premissas!$A$5:$A$44,$A2379,Premissas!$B$5:$B$44,$B2379))+R2379*SUMIFS(Premissas!$E$5:$E$44,Premissas!$A$5:$A$44,$A2379,Premissas!$B$5:$B$44,$B2379)+S2379*SUMIFS(Premissas!$F$5:$F$44,Premissas!$A$5:$A$44,$A2379,Premissas!$B$5:$B$44,$B2379)</f>
        <v/>
      </c>
      <c r="L2379" s="29">
        <f>J2379-K2379</f>
        <v/>
      </c>
      <c r="M2379" t="inlineStr">
        <is>
          <t>1.350</t>
        </is>
      </c>
      <c r="N2379" t="inlineStr">
        <is>
          <t>Modalidade: 0 - Por conta do remetente | Parte: LBS COMERCIO DE EMBALAGNES LTDA (60.065.852/0001-99)</t>
        </is>
      </c>
      <c r="O2379" s="29" t="n">
        <v>0</v>
      </c>
      <c r="P2379" s="29" t="n">
        <v>0</v>
      </c>
      <c r="Q2379" s="29" t="n">
        <v>0</v>
      </c>
      <c r="R2379" s="29" t="n">
        <v>0</v>
      </c>
      <c r="S2379" s="29" t="n">
        <v>0</v>
      </c>
      <c r="T2379" t="inlineStr">
        <is>
          <t>25251126975620000130570010000056891001901198</t>
        </is>
      </c>
      <c r="U2379" t="inlineStr">
        <is>
          <t>Não</t>
        </is>
      </c>
    </row>
    <row r="2380">
      <c r="A2380" t="inlineStr">
        <is>
          <t>Frete de venda</t>
        </is>
      </c>
      <c r="B2380" t="inlineStr">
        <is>
          <t>2.01.02 Frete sobre Vendas</t>
        </is>
      </c>
      <c r="C2380" t="inlineStr">
        <is>
          <t>Antes de 2026</t>
        </is>
      </c>
      <c r="D2380" t="inlineStr">
        <is>
          <t>Antes de 2026</t>
        </is>
      </c>
      <c r="E2380" s="28" t="n">
        <v>45968</v>
      </c>
      <c r="F2380" t="inlineStr">
        <is>
          <t>CT-e</t>
        </is>
      </c>
      <c r="G2380" t="inlineStr">
        <is>
          <t>000005691</t>
        </is>
      </c>
      <c r="H2380" t="inlineStr">
        <is>
          <t>R&amp;R TRANSPORTE E LOGISTICA</t>
        </is>
      </c>
      <c r="J2380" s="29" t="n">
        <v>515.91</v>
      </c>
      <c r="K2380" s="29">
        <f>(1-ISNUMBER(SEARCH("556",M2380)))*(O2380*SUMIFS(Premissas!$C$5:$C$44,Premissas!$A$5:$A$44,$A2380,Premissas!$B$5:$B$44,$B2380)+P2380*SUMIFS(Premissas!$D$5:$D$44,Premissas!$A$5:$A$44,$A2380,Premissas!$B$5:$B$44,$B2380))+R2380*SUMIFS(Premissas!$E$5:$E$44,Premissas!$A$5:$A$44,$A2380,Premissas!$B$5:$B$44,$B2380)+S2380*SUMIFS(Premissas!$F$5:$F$44,Premissas!$A$5:$A$44,$A2380,Premissas!$B$5:$B$44,$B2380)</f>
        <v/>
      </c>
      <c r="L2380" s="29">
        <f>J2380-K2380</f>
        <v/>
      </c>
      <c r="M2380" t="inlineStr">
        <is>
          <t>1.350</t>
        </is>
      </c>
      <c r="N2380" t="inlineStr">
        <is>
          <t>Modalidade: 0 - Por conta do remetente | Parte: DISTRIPACK DISTRIBUIDORA DE EMBALAGENS LTDA (11.043.375/0002-36)</t>
        </is>
      </c>
      <c r="O2380" s="29" t="n">
        <v>0</v>
      </c>
      <c r="P2380" s="29" t="n">
        <v>0</v>
      </c>
      <c r="Q2380" s="29" t="n">
        <v>0</v>
      </c>
      <c r="R2380" s="29" t="n">
        <v>0</v>
      </c>
      <c r="S2380" s="29" t="n">
        <v>0</v>
      </c>
      <c r="T2380" t="inlineStr">
        <is>
          <t>25251126975620000130570010000056911001301350</t>
        </is>
      </c>
      <c r="U2380" t="inlineStr">
        <is>
          <t>Não</t>
        </is>
      </c>
    </row>
    <row r="2381">
      <c r="A2381" t="inlineStr">
        <is>
          <t>Frete de venda</t>
        </is>
      </c>
      <c r="B2381" t="inlineStr">
        <is>
          <t>2.01.02 Frete sobre Vendas</t>
        </is>
      </c>
      <c r="C2381" t="inlineStr">
        <is>
          <t>Antes de 2026</t>
        </is>
      </c>
      <c r="D2381" t="inlineStr">
        <is>
          <t>Antes de 2026</t>
        </is>
      </c>
      <c r="E2381" s="28" t="n">
        <v>45968</v>
      </c>
      <c r="F2381" t="inlineStr">
        <is>
          <t>CT-e</t>
        </is>
      </c>
      <c r="G2381" t="inlineStr">
        <is>
          <t>000005701</t>
        </is>
      </c>
      <c r="H2381" t="inlineStr">
        <is>
          <t>R&amp;R TRANSPORTE E LOGISTICA</t>
        </is>
      </c>
      <c r="J2381" s="29" t="n">
        <v>873.6</v>
      </c>
      <c r="K2381" s="29">
        <f>(1-ISNUMBER(SEARCH("556",M2381)))*(O2381*SUMIFS(Premissas!$C$5:$C$44,Premissas!$A$5:$A$44,$A2381,Premissas!$B$5:$B$44,$B2381)+P2381*SUMIFS(Premissas!$D$5:$D$44,Premissas!$A$5:$A$44,$A2381,Premissas!$B$5:$B$44,$B2381))+R2381*SUMIFS(Premissas!$E$5:$E$44,Premissas!$A$5:$A$44,$A2381,Premissas!$B$5:$B$44,$B2381)+S2381*SUMIFS(Premissas!$F$5:$F$44,Premissas!$A$5:$A$44,$A2381,Premissas!$B$5:$B$44,$B2381)</f>
        <v/>
      </c>
      <c r="L2381" s="29">
        <f>J2381-K2381</f>
        <v/>
      </c>
      <c r="M2381" t="inlineStr">
        <is>
          <t>1.350</t>
        </is>
      </c>
      <c r="N2381" t="inlineStr">
        <is>
          <t>Modalidade: 0 - Por conta do remetente | Parte: BM3 IMPORTACAO E EXPORTACAO LTDA (12.098.843/0001-51)</t>
        </is>
      </c>
      <c r="O2381" s="29" t="n">
        <v>0</v>
      </c>
      <c r="P2381" s="29" t="n">
        <v>0</v>
      </c>
      <c r="Q2381" s="29" t="n">
        <v>0</v>
      </c>
      <c r="R2381" s="29" t="n">
        <v>0</v>
      </c>
      <c r="S2381" s="29" t="n">
        <v>0</v>
      </c>
      <c r="T2381" t="inlineStr">
        <is>
          <t>25251126975620000130570010000057011000150934</t>
        </is>
      </c>
      <c r="U2381" t="inlineStr">
        <is>
          <t>Não</t>
        </is>
      </c>
    </row>
    <row r="2382">
      <c r="A2382" t="inlineStr">
        <is>
          <t>Frete de venda</t>
        </is>
      </c>
      <c r="B2382" t="inlineStr">
        <is>
          <t>2.01.02 Frete sobre Vendas</t>
        </is>
      </c>
      <c r="C2382" t="inlineStr">
        <is>
          <t>Antes de 2026</t>
        </is>
      </c>
      <c r="D2382" t="inlineStr">
        <is>
          <t>Antes de 2026</t>
        </is>
      </c>
      <c r="E2382" s="28" t="n">
        <v>45969</v>
      </c>
      <c r="F2382" t="inlineStr">
        <is>
          <t>CT-e</t>
        </is>
      </c>
      <c r="G2382" t="inlineStr">
        <is>
          <t>000005703</t>
        </is>
      </c>
      <c r="H2382" t="inlineStr">
        <is>
          <t>R&amp;R TRANSPORTE E LOGISTICA</t>
        </is>
      </c>
      <c r="J2382" s="29" t="n">
        <v>450</v>
      </c>
      <c r="K2382" s="29">
        <f>(1-ISNUMBER(SEARCH("556",M2382)))*(O2382*SUMIFS(Premissas!$C$5:$C$44,Premissas!$A$5:$A$44,$A2382,Premissas!$B$5:$B$44,$B2382)+P2382*SUMIFS(Premissas!$D$5:$D$44,Premissas!$A$5:$A$44,$A2382,Premissas!$B$5:$B$44,$B2382))+R2382*SUMIFS(Premissas!$E$5:$E$44,Premissas!$A$5:$A$44,$A2382,Premissas!$B$5:$B$44,$B2382)+S2382*SUMIFS(Premissas!$F$5:$F$44,Premissas!$A$5:$A$44,$A2382,Premissas!$B$5:$B$44,$B2382)</f>
        <v/>
      </c>
      <c r="L2382" s="29">
        <f>J2382-K2382</f>
        <v/>
      </c>
      <c r="M2382" t="inlineStr">
        <is>
          <t>1.350</t>
        </is>
      </c>
      <c r="N2382" t="inlineStr">
        <is>
          <t>Modalidade: 0 - Por conta do remetente | Parte: M N L FLORENTINO LTDA (47.068.852/0001-84)</t>
        </is>
      </c>
      <c r="O2382" s="29" t="n">
        <v>0</v>
      </c>
      <c r="P2382" s="29" t="n">
        <v>0</v>
      </c>
      <c r="Q2382" s="29" t="n">
        <v>0</v>
      </c>
      <c r="R2382" s="29" t="n">
        <v>0</v>
      </c>
      <c r="S2382" s="29" t="n">
        <v>0</v>
      </c>
      <c r="T2382" t="inlineStr">
        <is>
          <t>25251126975620000130570010000057031011001093</t>
        </is>
      </c>
      <c r="U2382" t="inlineStr">
        <is>
          <t>Não</t>
        </is>
      </c>
    </row>
    <row r="2383">
      <c r="A2383" t="inlineStr">
        <is>
          <t>Frete de venda</t>
        </is>
      </c>
      <c r="B2383" t="inlineStr">
        <is>
          <t>2.01.02 Frete sobre Vendas</t>
        </is>
      </c>
      <c r="C2383" t="inlineStr">
        <is>
          <t>Antes de 2026</t>
        </is>
      </c>
      <c r="D2383" t="inlineStr">
        <is>
          <t>Antes de 2026</t>
        </is>
      </c>
      <c r="E2383" s="28" t="n">
        <v>45972</v>
      </c>
      <c r="F2383" t="inlineStr">
        <is>
          <t>CT-e</t>
        </is>
      </c>
      <c r="G2383" t="inlineStr">
        <is>
          <t>000005709</t>
        </is>
      </c>
      <c r="H2383" t="inlineStr">
        <is>
          <t>R&amp;R TRANSPORTE E LOGISTICA</t>
        </is>
      </c>
      <c r="J2383" s="29" t="n">
        <v>467</v>
      </c>
      <c r="K2383" s="29">
        <f>(1-ISNUMBER(SEARCH("556",M2383)))*(O2383*SUMIFS(Premissas!$C$5:$C$44,Premissas!$A$5:$A$44,$A2383,Premissas!$B$5:$B$44,$B2383)+P2383*SUMIFS(Premissas!$D$5:$D$44,Premissas!$A$5:$A$44,$A2383,Premissas!$B$5:$B$44,$B2383))+R2383*SUMIFS(Premissas!$E$5:$E$44,Premissas!$A$5:$A$44,$A2383,Premissas!$B$5:$B$44,$B2383)+S2383*SUMIFS(Premissas!$F$5:$F$44,Premissas!$A$5:$A$44,$A2383,Premissas!$B$5:$B$44,$B2383)</f>
        <v/>
      </c>
      <c r="L2383" s="29">
        <f>J2383-K2383</f>
        <v/>
      </c>
      <c r="M2383" t="inlineStr">
        <is>
          <t>1.350</t>
        </is>
      </c>
      <c r="N2383" t="inlineStr">
        <is>
          <t>Modalidade: 0 - Por conta do remetente | Parte: COMERCIAL PROLAC LTDA. (07.182.763/0001-40)</t>
        </is>
      </c>
      <c r="O2383" s="29" t="n">
        <v>0</v>
      </c>
      <c r="P2383" s="29" t="n">
        <v>0</v>
      </c>
      <c r="Q2383" s="29" t="n">
        <v>0</v>
      </c>
      <c r="R2383" s="29" t="n">
        <v>0</v>
      </c>
      <c r="S2383" s="29" t="n">
        <v>0</v>
      </c>
      <c r="T2383" t="inlineStr">
        <is>
          <t>25251126975620000130570010000057091000120790</t>
        </is>
      </c>
      <c r="U2383" t="inlineStr">
        <is>
          <t>Não</t>
        </is>
      </c>
    </row>
    <row r="2384">
      <c r="A2384" t="inlineStr">
        <is>
          <t>Frete de venda</t>
        </is>
      </c>
      <c r="B2384" t="inlineStr">
        <is>
          <t>2.01.02 Frete sobre Vendas</t>
        </is>
      </c>
      <c r="C2384" t="inlineStr">
        <is>
          <t>Antes de 2026</t>
        </is>
      </c>
      <c r="D2384" t="inlineStr">
        <is>
          <t>Antes de 2026</t>
        </is>
      </c>
      <c r="E2384" s="28" t="n">
        <v>45972</v>
      </c>
      <c r="F2384" t="inlineStr">
        <is>
          <t>CT-e</t>
        </is>
      </c>
      <c r="G2384" t="inlineStr">
        <is>
          <t>000005710</t>
        </is>
      </c>
      <c r="H2384" t="inlineStr">
        <is>
          <t>R&amp;R TRANSPORTE E LOGISTICA</t>
        </is>
      </c>
      <c r="J2384" s="29" t="n">
        <v>467</v>
      </c>
      <c r="K2384" s="29">
        <f>(1-ISNUMBER(SEARCH("556",M2384)))*(O2384*SUMIFS(Premissas!$C$5:$C$44,Premissas!$A$5:$A$44,$A2384,Premissas!$B$5:$B$44,$B2384)+P2384*SUMIFS(Premissas!$D$5:$D$44,Premissas!$A$5:$A$44,$A2384,Premissas!$B$5:$B$44,$B2384))+R2384*SUMIFS(Premissas!$E$5:$E$44,Premissas!$A$5:$A$44,$A2384,Premissas!$B$5:$B$44,$B2384)+S2384*SUMIFS(Premissas!$F$5:$F$44,Premissas!$A$5:$A$44,$A2384,Premissas!$B$5:$B$44,$B2384)</f>
        <v/>
      </c>
      <c r="L2384" s="29">
        <f>J2384-K2384</f>
        <v/>
      </c>
      <c r="M2384" t="inlineStr">
        <is>
          <t>1.350</t>
        </is>
      </c>
      <c r="N2384" t="inlineStr">
        <is>
          <t>Modalidade: 0 - Por conta do remetente | Parte: VILA COMERCIO DE FRIOS LTDA (33.787.186/0003-91)</t>
        </is>
      </c>
      <c r="O2384" s="29" t="n">
        <v>0</v>
      </c>
      <c r="P2384" s="29" t="n">
        <v>0</v>
      </c>
      <c r="Q2384" s="29" t="n">
        <v>0</v>
      </c>
      <c r="R2384" s="29" t="n">
        <v>0</v>
      </c>
      <c r="S2384" s="29" t="n">
        <v>0</v>
      </c>
      <c r="T2384" t="inlineStr">
        <is>
          <t>25251126975620000130570010000057101001100875</t>
        </is>
      </c>
      <c r="U2384" t="inlineStr">
        <is>
          <t>Não</t>
        </is>
      </c>
    </row>
    <row r="2385">
      <c r="A2385" t="inlineStr">
        <is>
          <t>Frete de venda</t>
        </is>
      </c>
      <c r="B2385" t="inlineStr">
        <is>
          <t>2.01.02 Frete sobre Vendas</t>
        </is>
      </c>
      <c r="C2385" t="inlineStr">
        <is>
          <t>Antes de 2026</t>
        </is>
      </c>
      <c r="D2385" t="inlineStr">
        <is>
          <t>Antes de 2026</t>
        </is>
      </c>
      <c r="E2385" s="28" t="n">
        <v>45972</v>
      </c>
      <c r="F2385" t="inlineStr">
        <is>
          <t>CT-e</t>
        </is>
      </c>
      <c r="G2385" t="inlineStr">
        <is>
          <t>000005711</t>
        </is>
      </c>
      <c r="H2385" t="inlineStr">
        <is>
          <t>R&amp;R TRANSPORTE E LOGISTICA</t>
        </is>
      </c>
      <c r="J2385" s="29" t="n">
        <v>467</v>
      </c>
      <c r="K2385" s="29">
        <f>(1-ISNUMBER(SEARCH("556",M2385)))*(O2385*SUMIFS(Premissas!$C$5:$C$44,Premissas!$A$5:$A$44,$A2385,Premissas!$B$5:$B$44,$B2385)+P2385*SUMIFS(Premissas!$D$5:$D$44,Premissas!$A$5:$A$44,$A2385,Premissas!$B$5:$B$44,$B2385))+R2385*SUMIFS(Premissas!$E$5:$E$44,Premissas!$A$5:$A$44,$A2385,Premissas!$B$5:$B$44,$B2385)+S2385*SUMIFS(Premissas!$F$5:$F$44,Premissas!$A$5:$A$44,$A2385,Premissas!$B$5:$B$44,$B2385)</f>
        <v/>
      </c>
      <c r="L2385" s="29">
        <f>J2385-K2385</f>
        <v/>
      </c>
      <c r="M2385" t="inlineStr">
        <is>
          <t>1.350</t>
        </is>
      </c>
      <c r="N2385" t="inlineStr">
        <is>
          <t>Modalidade: 0 - Por conta do remetente | Parte: DML DISTRIBUIDORA DE ALIMENTOS E EMBALAGENS LTDA (07.412.776/0001-68)</t>
        </is>
      </c>
      <c r="O2385" s="29" t="n">
        <v>0</v>
      </c>
      <c r="P2385" s="29" t="n">
        <v>0</v>
      </c>
      <c r="Q2385" s="29" t="n">
        <v>0</v>
      </c>
      <c r="R2385" s="29" t="n">
        <v>0</v>
      </c>
      <c r="S2385" s="29" t="n">
        <v>0</v>
      </c>
      <c r="T2385" t="inlineStr">
        <is>
          <t>25251126975620000130570010000057111000170958</t>
        </is>
      </c>
      <c r="U2385" t="inlineStr">
        <is>
          <t>Não</t>
        </is>
      </c>
    </row>
    <row r="2386">
      <c r="A2386" t="inlineStr">
        <is>
          <t>Frete de venda</t>
        </is>
      </c>
      <c r="B2386" t="inlineStr">
        <is>
          <t>2.01.02 Frete sobre Vendas</t>
        </is>
      </c>
      <c r="C2386" t="inlineStr">
        <is>
          <t>Antes de 2026</t>
        </is>
      </c>
      <c r="D2386" t="inlineStr">
        <is>
          <t>Antes de 2026</t>
        </is>
      </c>
      <c r="E2386" s="28" t="n">
        <v>45973</v>
      </c>
      <c r="F2386" t="inlineStr">
        <is>
          <t>CT-e</t>
        </is>
      </c>
      <c r="G2386" t="inlineStr">
        <is>
          <t>000005715</t>
        </is>
      </c>
      <c r="H2386" t="inlineStr">
        <is>
          <t>R&amp;R TRANSPORTE E LOGISTICA</t>
        </is>
      </c>
      <c r="J2386" s="29" t="n">
        <v>61.58</v>
      </c>
      <c r="K2386" s="29">
        <f>(1-ISNUMBER(SEARCH("556",M2386)))*(O2386*SUMIFS(Premissas!$C$5:$C$44,Premissas!$A$5:$A$44,$A2386,Premissas!$B$5:$B$44,$B2386)+P2386*SUMIFS(Premissas!$D$5:$D$44,Premissas!$A$5:$A$44,$A2386,Premissas!$B$5:$B$44,$B2386))+R2386*SUMIFS(Premissas!$E$5:$E$44,Premissas!$A$5:$A$44,$A2386,Premissas!$B$5:$B$44,$B2386)+S2386*SUMIFS(Premissas!$F$5:$F$44,Premissas!$A$5:$A$44,$A2386,Premissas!$B$5:$B$44,$B2386)</f>
        <v/>
      </c>
      <c r="L2386" s="29">
        <f>J2386-K2386</f>
        <v/>
      </c>
      <c r="M2386" t="inlineStr">
        <is>
          <t>1.350</t>
        </is>
      </c>
      <c r="N2386" t="inlineStr">
        <is>
          <t>Modalidade: 0 - Por conta do remetente | Parte: ALBUQUERQUE DISTRIBUIDORA DE ALIMENTOS LTDA (29.295.287/0001-06)</t>
        </is>
      </c>
      <c r="O2386" s="29" t="n">
        <v>0</v>
      </c>
      <c r="P2386" s="29" t="n">
        <v>0</v>
      </c>
      <c r="Q2386" s="29" t="n">
        <v>0</v>
      </c>
      <c r="R2386" s="29" t="n">
        <v>0</v>
      </c>
      <c r="S2386" s="29" t="n">
        <v>0</v>
      </c>
      <c r="T2386" t="inlineStr">
        <is>
          <t>25251126975620000130570010000057151001601277</t>
        </is>
      </c>
      <c r="U2386" t="inlineStr">
        <is>
          <t>Não</t>
        </is>
      </c>
    </row>
    <row r="2387">
      <c r="A2387" t="inlineStr">
        <is>
          <t>Frete de venda</t>
        </is>
      </c>
      <c r="B2387" t="inlineStr">
        <is>
          <t>2.01.02 Frete sobre Vendas</t>
        </is>
      </c>
      <c r="C2387" t="inlineStr">
        <is>
          <t>Antes de 2026</t>
        </is>
      </c>
      <c r="D2387" t="inlineStr">
        <is>
          <t>Antes de 2026</t>
        </is>
      </c>
      <c r="E2387" s="28" t="n">
        <v>45973</v>
      </c>
      <c r="F2387" t="inlineStr">
        <is>
          <t>CT-e</t>
        </is>
      </c>
      <c r="G2387" t="inlineStr">
        <is>
          <t>000005716</t>
        </is>
      </c>
      <c r="H2387" t="inlineStr">
        <is>
          <t>R&amp;R TRANSPORTE E LOGISTICA</t>
        </is>
      </c>
      <c r="J2387" s="29" t="n">
        <v>61.1</v>
      </c>
      <c r="K2387" s="29">
        <f>(1-ISNUMBER(SEARCH("556",M2387)))*(O2387*SUMIFS(Premissas!$C$5:$C$44,Premissas!$A$5:$A$44,$A2387,Premissas!$B$5:$B$44,$B2387)+P2387*SUMIFS(Premissas!$D$5:$D$44,Premissas!$A$5:$A$44,$A2387,Premissas!$B$5:$B$44,$B2387))+R2387*SUMIFS(Premissas!$E$5:$E$44,Premissas!$A$5:$A$44,$A2387,Premissas!$B$5:$B$44,$B2387)+S2387*SUMIFS(Premissas!$F$5:$F$44,Premissas!$A$5:$A$44,$A2387,Premissas!$B$5:$B$44,$B2387)</f>
        <v/>
      </c>
      <c r="L2387" s="29">
        <f>J2387-K2387</f>
        <v/>
      </c>
      <c r="M2387" t="inlineStr">
        <is>
          <t>1.350</t>
        </is>
      </c>
      <c r="N2387" t="inlineStr">
        <is>
          <t>Modalidade: 0 - Por conta do remetente | Parte: ALBUQUERQUE E FREIRE LTDA (09.358.347/0001-85)</t>
        </is>
      </c>
      <c r="O2387" s="29" t="n">
        <v>0</v>
      </c>
      <c r="P2387" s="29" t="n">
        <v>0</v>
      </c>
      <c r="Q2387" s="29" t="n">
        <v>0</v>
      </c>
      <c r="R2387" s="29" t="n">
        <v>0</v>
      </c>
      <c r="S2387" s="29" t="n">
        <v>0</v>
      </c>
      <c r="T2387" t="inlineStr">
        <is>
          <t>25251126975620000130570010000057161001301351</t>
        </is>
      </c>
      <c r="U2387" t="inlineStr">
        <is>
          <t>Não</t>
        </is>
      </c>
    </row>
    <row r="2388">
      <c r="A2388" t="inlineStr">
        <is>
          <t>Frete de venda</t>
        </is>
      </c>
      <c r="B2388" t="inlineStr">
        <is>
          <t>2.01.02 Frete sobre Vendas</t>
        </is>
      </c>
      <c r="C2388" t="inlineStr">
        <is>
          <t>Antes de 2026</t>
        </is>
      </c>
      <c r="D2388" t="inlineStr">
        <is>
          <t>Antes de 2026</t>
        </is>
      </c>
      <c r="E2388" s="28" t="n">
        <v>45973</v>
      </c>
      <c r="F2388" t="inlineStr">
        <is>
          <t>CT-e</t>
        </is>
      </c>
      <c r="G2388" t="inlineStr">
        <is>
          <t>000005717</t>
        </is>
      </c>
      <c r="H2388" t="inlineStr">
        <is>
          <t>R&amp;R TRANSPORTE E LOGISTICA</t>
        </is>
      </c>
      <c r="J2388" s="29" t="n">
        <v>60.47</v>
      </c>
      <c r="K2388" s="29">
        <f>(1-ISNUMBER(SEARCH("556",M2388)))*(O2388*SUMIFS(Premissas!$C$5:$C$44,Premissas!$A$5:$A$44,$A2388,Premissas!$B$5:$B$44,$B2388)+P2388*SUMIFS(Premissas!$D$5:$D$44,Premissas!$A$5:$A$44,$A2388,Premissas!$B$5:$B$44,$B2388))+R2388*SUMIFS(Premissas!$E$5:$E$44,Premissas!$A$5:$A$44,$A2388,Premissas!$B$5:$B$44,$B2388)+S2388*SUMIFS(Premissas!$F$5:$F$44,Premissas!$A$5:$A$44,$A2388,Premissas!$B$5:$B$44,$B2388)</f>
        <v/>
      </c>
      <c r="L2388" s="29">
        <f>J2388-K2388</f>
        <v/>
      </c>
      <c r="M2388" t="inlineStr">
        <is>
          <t>1.350</t>
        </is>
      </c>
      <c r="N2388" t="inlineStr">
        <is>
          <t>Modalidade: 0 - Por conta do remetente | Parte: ALBUQUERQUE E FREIRE LTDA (09.358.347/0002-66)</t>
        </is>
      </c>
      <c r="O2388" s="29" t="n">
        <v>0</v>
      </c>
      <c r="P2388" s="29" t="n">
        <v>0</v>
      </c>
      <c r="Q2388" s="29" t="n">
        <v>0</v>
      </c>
      <c r="R2388" s="29" t="n">
        <v>0</v>
      </c>
      <c r="S2388" s="29" t="n">
        <v>0</v>
      </c>
      <c r="T2388" t="inlineStr">
        <is>
          <t>25251126975620000130570010000057171000140700</t>
        </is>
      </c>
      <c r="U2388" t="inlineStr">
        <is>
          <t>Não</t>
        </is>
      </c>
    </row>
    <row r="2389">
      <c r="A2389" t="inlineStr">
        <is>
          <t>Frete de venda</t>
        </is>
      </c>
      <c r="B2389" t="inlineStr">
        <is>
          <t>2.01.02 Frete sobre Vendas</t>
        </is>
      </c>
      <c r="C2389" t="inlineStr">
        <is>
          <t>Antes de 2026</t>
        </is>
      </c>
      <c r="D2389" t="inlineStr">
        <is>
          <t>Antes de 2026</t>
        </is>
      </c>
      <c r="E2389" s="28" t="n">
        <v>45974</v>
      </c>
      <c r="F2389" t="inlineStr">
        <is>
          <t>CT-e</t>
        </is>
      </c>
      <c r="G2389" t="inlineStr">
        <is>
          <t>000005719</t>
        </is>
      </c>
      <c r="H2389" t="inlineStr">
        <is>
          <t>R&amp;R TRANSPORTE E LOGISTICA</t>
        </is>
      </c>
      <c r="J2389" s="29" t="n">
        <v>44</v>
      </c>
      <c r="K2389" s="29">
        <f>(1-ISNUMBER(SEARCH("556",M2389)))*(O2389*SUMIFS(Premissas!$C$5:$C$44,Premissas!$A$5:$A$44,$A2389,Premissas!$B$5:$B$44,$B2389)+P2389*SUMIFS(Premissas!$D$5:$D$44,Premissas!$A$5:$A$44,$A2389,Premissas!$B$5:$B$44,$B2389))+R2389*SUMIFS(Premissas!$E$5:$E$44,Premissas!$A$5:$A$44,$A2389,Premissas!$B$5:$B$44,$B2389)+S2389*SUMIFS(Premissas!$F$5:$F$44,Premissas!$A$5:$A$44,$A2389,Premissas!$B$5:$B$44,$B2389)</f>
        <v/>
      </c>
      <c r="L2389" s="29">
        <f>J2389-K2389</f>
        <v/>
      </c>
      <c r="M2389" t="inlineStr">
        <is>
          <t>1.350</t>
        </is>
      </c>
      <c r="N2389" t="inlineStr">
        <is>
          <t>Modalidade: 0 - Por conta do remetente | Parte: I S S DA CUNHA COMERCIO DE DESCARTAVEIS (09.619.492/0001-72)</t>
        </is>
      </c>
      <c r="O2389" s="29" t="n">
        <v>0</v>
      </c>
      <c r="P2389" s="29" t="n">
        <v>0</v>
      </c>
      <c r="Q2389" s="29" t="n">
        <v>0</v>
      </c>
      <c r="R2389" s="29" t="n">
        <v>0</v>
      </c>
      <c r="S2389" s="29" t="n">
        <v>0</v>
      </c>
      <c r="T2389" t="inlineStr">
        <is>
          <t>25251126975620000130570010000057191000101326</t>
        </is>
      </c>
      <c r="U2389" t="inlineStr">
        <is>
          <t>Não</t>
        </is>
      </c>
    </row>
    <row r="2390">
      <c r="A2390" t="inlineStr">
        <is>
          <t>Frete de venda</t>
        </is>
      </c>
      <c r="B2390" t="inlineStr">
        <is>
          <t>2.01.02 Frete sobre Vendas</t>
        </is>
      </c>
      <c r="C2390" t="inlineStr">
        <is>
          <t>Antes de 2026</t>
        </is>
      </c>
      <c r="D2390" t="inlineStr">
        <is>
          <t>Antes de 2026</t>
        </is>
      </c>
      <c r="E2390" s="28" t="n">
        <v>45974</v>
      </c>
      <c r="F2390" t="inlineStr">
        <is>
          <t>CT-e</t>
        </is>
      </c>
      <c r="G2390" t="inlineStr">
        <is>
          <t>000005720</t>
        </is>
      </c>
      <c r="H2390" t="inlineStr">
        <is>
          <t>R&amp;R TRANSPORTE E LOGISTICA</t>
        </is>
      </c>
      <c r="J2390" s="29" t="n">
        <v>32</v>
      </c>
      <c r="K2390" s="29">
        <f>(1-ISNUMBER(SEARCH("556",M2390)))*(O2390*SUMIFS(Premissas!$C$5:$C$44,Premissas!$A$5:$A$44,$A2390,Premissas!$B$5:$B$44,$B2390)+P2390*SUMIFS(Premissas!$D$5:$D$44,Premissas!$A$5:$A$44,$A2390,Premissas!$B$5:$B$44,$B2390))+R2390*SUMIFS(Premissas!$E$5:$E$44,Premissas!$A$5:$A$44,$A2390,Premissas!$B$5:$B$44,$B2390)+S2390*SUMIFS(Premissas!$F$5:$F$44,Premissas!$A$5:$A$44,$A2390,Premissas!$B$5:$B$44,$B2390)</f>
        <v/>
      </c>
      <c r="L2390" s="29">
        <f>J2390-K2390</f>
        <v/>
      </c>
      <c r="M2390" t="inlineStr">
        <is>
          <t>1.350</t>
        </is>
      </c>
      <c r="N2390" t="inlineStr">
        <is>
          <t>Modalidade: 0 - Por conta do remetente | Parte: SUPERMERCADO SOUSA e CIA LTDA (23.121.039/0001-62)</t>
        </is>
      </c>
      <c r="O2390" s="29" t="n">
        <v>0</v>
      </c>
      <c r="P2390" s="29" t="n">
        <v>0</v>
      </c>
      <c r="Q2390" s="29" t="n">
        <v>0</v>
      </c>
      <c r="R2390" s="29" t="n">
        <v>0</v>
      </c>
      <c r="S2390" s="29" t="n">
        <v>0</v>
      </c>
      <c r="T2390" t="inlineStr">
        <is>
          <t>25251126975620000130570010000057201001801403</t>
        </is>
      </c>
      <c r="U2390" t="inlineStr">
        <is>
          <t>Não</t>
        </is>
      </c>
    </row>
    <row r="2391">
      <c r="A2391" t="inlineStr">
        <is>
          <t>Frete de venda</t>
        </is>
      </c>
      <c r="B2391" t="inlineStr">
        <is>
          <t>2.01.02 Frete sobre Vendas</t>
        </is>
      </c>
      <c r="C2391" t="inlineStr">
        <is>
          <t>Antes de 2026</t>
        </is>
      </c>
      <c r="D2391" t="inlineStr">
        <is>
          <t>Antes de 2026</t>
        </is>
      </c>
      <c r="E2391" s="28" t="n">
        <v>45974</v>
      </c>
      <c r="F2391" t="inlineStr">
        <is>
          <t>CT-e</t>
        </is>
      </c>
      <c r="G2391" t="inlineStr">
        <is>
          <t>000005721</t>
        </is>
      </c>
      <c r="H2391" t="inlineStr">
        <is>
          <t>R&amp;R TRANSPORTE E LOGISTICA</t>
        </is>
      </c>
      <c r="J2391" s="29" t="n">
        <v>44</v>
      </c>
      <c r="K2391" s="29">
        <f>(1-ISNUMBER(SEARCH("556",M2391)))*(O2391*SUMIFS(Premissas!$C$5:$C$44,Premissas!$A$5:$A$44,$A2391,Premissas!$B$5:$B$44,$B2391)+P2391*SUMIFS(Premissas!$D$5:$D$44,Premissas!$A$5:$A$44,$A2391,Premissas!$B$5:$B$44,$B2391))+R2391*SUMIFS(Premissas!$E$5:$E$44,Premissas!$A$5:$A$44,$A2391,Premissas!$B$5:$B$44,$B2391)+S2391*SUMIFS(Premissas!$F$5:$F$44,Premissas!$A$5:$A$44,$A2391,Premissas!$B$5:$B$44,$B2391)</f>
        <v/>
      </c>
      <c r="L2391" s="29">
        <f>J2391-K2391</f>
        <v/>
      </c>
      <c r="M2391" t="inlineStr">
        <is>
          <t>1.350</t>
        </is>
      </c>
      <c r="N2391" t="inlineStr">
        <is>
          <t>Modalidade: 0 - Por conta do remetente | Parte: HAPPY FESTAS LTDA (24.626.452/0001-41)</t>
        </is>
      </c>
      <c r="O2391" s="29" t="n">
        <v>0</v>
      </c>
      <c r="P2391" s="29" t="n">
        <v>0</v>
      </c>
      <c r="Q2391" s="29" t="n">
        <v>0</v>
      </c>
      <c r="R2391" s="29" t="n">
        <v>0</v>
      </c>
      <c r="S2391" s="29" t="n">
        <v>0</v>
      </c>
      <c r="T2391" t="inlineStr">
        <is>
          <t>25251126975620000130570010000057211001501482</t>
        </is>
      </c>
      <c r="U2391" t="inlineStr">
        <is>
          <t>Não</t>
        </is>
      </c>
    </row>
    <row r="2392">
      <c r="A2392" t="inlineStr">
        <is>
          <t>Frete de venda</t>
        </is>
      </c>
      <c r="B2392" t="inlineStr">
        <is>
          <t>2.01.02 Frete sobre Vendas</t>
        </is>
      </c>
      <c r="C2392" t="inlineStr">
        <is>
          <t>Antes de 2026</t>
        </is>
      </c>
      <c r="D2392" t="inlineStr">
        <is>
          <t>Antes de 2026</t>
        </is>
      </c>
      <c r="E2392" s="28" t="n">
        <v>45974</v>
      </c>
      <c r="F2392" t="inlineStr">
        <is>
          <t>CT-e</t>
        </is>
      </c>
      <c r="G2392" t="inlineStr">
        <is>
          <t>000005722</t>
        </is>
      </c>
      <c r="H2392" t="inlineStr">
        <is>
          <t>R&amp;R TRANSPORTE E LOGISTICA</t>
        </is>
      </c>
      <c r="J2392" s="29" t="n">
        <v>40</v>
      </c>
      <c r="K2392" s="29">
        <f>(1-ISNUMBER(SEARCH("556",M2392)))*(O2392*SUMIFS(Premissas!$C$5:$C$44,Premissas!$A$5:$A$44,$A2392,Premissas!$B$5:$B$44,$B2392)+P2392*SUMIFS(Premissas!$D$5:$D$44,Premissas!$A$5:$A$44,$A2392,Premissas!$B$5:$B$44,$B2392))+R2392*SUMIFS(Premissas!$E$5:$E$44,Premissas!$A$5:$A$44,$A2392,Premissas!$B$5:$B$44,$B2392)+S2392*SUMIFS(Premissas!$F$5:$F$44,Premissas!$A$5:$A$44,$A2392,Premissas!$B$5:$B$44,$B2392)</f>
        <v/>
      </c>
      <c r="L2392" s="29">
        <f>J2392-K2392</f>
        <v/>
      </c>
      <c r="M2392" t="inlineStr">
        <is>
          <t>1.350</t>
        </is>
      </c>
      <c r="N2392" t="inlineStr">
        <is>
          <t>Modalidade: 0 - Por conta do remetente | Parte: J. S. DA SILVA LTDA (00.393.164/0001-26)</t>
        </is>
      </c>
      <c r="O2392" s="29" t="n">
        <v>0</v>
      </c>
      <c r="P2392" s="29" t="n">
        <v>0</v>
      </c>
      <c r="Q2392" s="29" t="n">
        <v>0</v>
      </c>
      <c r="R2392" s="29" t="n">
        <v>0</v>
      </c>
      <c r="S2392" s="29" t="n">
        <v>0</v>
      </c>
      <c r="T2392" t="inlineStr">
        <is>
          <t>25251126975620000130570010000057221001201567</t>
        </is>
      </c>
      <c r="U2392" t="inlineStr">
        <is>
          <t>Não</t>
        </is>
      </c>
    </row>
    <row r="2393">
      <c r="A2393" t="inlineStr">
        <is>
          <t>Frete de venda</t>
        </is>
      </c>
      <c r="B2393" t="inlineStr">
        <is>
          <t>2.01.02 Frete sobre Vendas</t>
        </is>
      </c>
      <c r="C2393" t="inlineStr">
        <is>
          <t>Antes de 2026</t>
        </is>
      </c>
      <c r="D2393" t="inlineStr">
        <is>
          <t>Antes de 2026</t>
        </is>
      </c>
      <c r="E2393" s="28" t="n">
        <v>45974</v>
      </c>
      <c r="F2393" t="inlineStr">
        <is>
          <t>CT-e</t>
        </is>
      </c>
      <c r="G2393" t="inlineStr">
        <is>
          <t>000005723</t>
        </is>
      </c>
      <c r="H2393" t="inlineStr">
        <is>
          <t>R&amp;R TRANSPORTE E LOGISTICA</t>
        </is>
      </c>
      <c r="J2393" s="29" t="n">
        <v>35</v>
      </c>
      <c r="K2393" s="29">
        <f>(1-ISNUMBER(SEARCH("556",M2393)))*(O2393*SUMIFS(Premissas!$C$5:$C$44,Premissas!$A$5:$A$44,$A2393,Premissas!$B$5:$B$44,$B2393)+P2393*SUMIFS(Premissas!$D$5:$D$44,Premissas!$A$5:$A$44,$A2393,Premissas!$B$5:$B$44,$B2393))+R2393*SUMIFS(Premissas!$E$5:$E$44,Premissas!$A$5:$A$44,$A2393,Premissas!$B$5:$B$44,$B2393)+S2393*SUMIFS(Premissas!$F$5:$F$44,Premissas!$A$5:$A$44,$A2393,Premissas!$B$5:$B$44,$B2393)</f>
        <v/>
      </c>
      <c r="L2393" s="29">
        <f>J2393-K2393</f>
        <v/>
      </c>
      <c r="M2393" t="inlineStr">
        <is>
          <t>1.350</t>
        </is>
      </c>
      <c r="N2393" t="inlineStr">
        <is>
          <t>Modalidade: 0 - Por conta do remetente | Parte: TUROLLA e LEAL ALIMENTOS LTDA (53.385.251/0001-06)</t>
        </is>
      </c>
      <c r="O2393" s="29" t="n">
        <v>0</v>
      </c>
      <c r="P2393" s="29" t="n">
        <v>0</v>
      </c>
      <c r="Q2393" s="29" t="n">
        <v>0</v>
      </c>
      <c r="R2393" s="29" t="n">
        <v>0</v>
      </c>
      <c r="S2393" s="29" t="n">
        <v>0</v>
      </c>
      <c r="T2393" t="inlineStr">
        <is>
          <t>25251126975620000130570010000057231000130914</t>
        </is>
      </c>
      <c r="U2393" t="inlineStr">
        <is>
          <t>Não</t>
        </is>
      </c>
    </row>
    <row r="2394">
      <c r="A2394" t="inlineStr">
        <is>
          <t>Frete de venda</t>
        </is>
      </c>
      <c r="B2394" t="inlineStr">
        <is>
          <t>2.01.02 Frete sobre Vendas</t>
        </is>
      </c>
      <c r="C2394" t="inlineStr">
        <is>
          <t>Antes de 2026</t>
        </is>
      </c>
      <c r="D2394" t="inlineStr">
        <is>
          <t>Antes de 2026</t>
        </is>
      </c>
      <c r="E2394" s="28" t="n">
        <v>45974</v>
      </c>
      <c r="F2394" t="inlineStr">
        <is>
          <t>CT-e</t>
        </is>
      </c>
      <c r="G2394" t="inlineStr">
        <is>
          <t>000005724</t>
        </is>
      </c>
      <c r="H2394" t="inlineStr">
        <is>
          <t>R&amp;R TRANSPORTE E LOGISTICA</t>
        </is>
      </c>
      <c r="J2394" s="29" t="n">
        <v>35</v>
      </c>
      <c r="K2394" s="29">
        <f>(1-ISNUMBER(SEARCH("556",M2394)))*(O2394*SUMIFS(Premissas!$C$5:$C$44,Premissas!$A$5:$A$44,$A2394,Premissas!$B$5:$B$44,$B2394)+P2394*SUMIFS(Premissas!$D$5:$D$44,Premissas!$A$5:$A$44,$A2394,Premissas!$B$5:$B$44,$B2394))+R2394*SUMIFS(Premissas!$E$5:$E$44,Premissas!$A$5:$A$44,$A2394,Premissas!$B$5:$B$44,$B2394)+S2394*SUMIFS(Premissas!$F$5:$F$44,Premissas!$A$5:$A$44,$A2394,Premissas!$B$5:$B$44,$B2394)</f>
        <v/>
      </c>
      <c r="L2394" s="29">
        <f>J2394-K2394</f>
        <v/>
      </c>
      <c r="M2394" t="inlineStr">
        <is>
          <t>1.350</t>
        </is>
      </c>
      <c r="N2394" t="inlineStr">
        <is>
          <t>Modalidade: 0 - Por conta do remetente | Parte: CANTINHO DISTRIBUIDORA LTDA (44.016.976/0001-28)</t>
        </is>
      </c>
      <c r="O2394" s="29" t="n">
        <v>0</v>
      </c>
      <c r="P2394" s="29" t="n">
        <v>0</v>
      </c>
      <c r="Q2394" s="29" t="n">
        <v>0</v>
      </c>
      <c r="R2394" s="29" t="n">
        <v>0</v>
      </c>
      <c r="S2394" s="29" t="n">
        <v>0</v>
      </c>
      <c r="T2394" t="inlineStr">
        <is>
          <t>25251126975620000130570010000057241000010991</t>
        </is>
      </c>
      <c r="U2394" t="inlineStr">
        <is>
          <t>Não</t>
        </is>
      </c>
    </row>
    <row r="2395">
      <c r="A2395" t="inlineStr">
        <is>
          <t>Frete de venda</t>
        </is>
      </c>
      <c r="B2395" t="inlineStr">
        <is>
          <t>2.01.02 Frete sobre Vendas</t>
        </is>
      </c>
      <c r="C2395" t="inlineStr">
        <is>
          <t>Antes de 2026</t>
        </is>
      </c>
      <c r="D2395" t="inlineStr">
        <is>
          <t>Antes de 2026</t>
        </is>
      </c>
      <c r="E2395" s="28" t="n">
        <v>45974</v>
      </c>
      <c r="F2395" t="inlineStr">
        <is>
          <t>CT-e</t>
        </is>
      </c>
      <c r="G2395" t="inlineStr">
        <is>
          <t>000005725</t>
        </is>
      </c>
      <c r="H2395" t="inlineStr">
        <is>
          <t>R&amp;R TRANSPORTE E LOGISTICA</t>
        </is>
      </c>
      <c r="J2395" s="29" t="n">
        <v>40</v>
      </c>
      <c r="K2395" s="29">
        <f>(1-ISNUMBER(SEARCH("556",M2395)))*(O2395*SUMIFS(Premissas!$C$5:$C$44,Premissas!$A$5:$A$44,$A2395,Premissas!$B$5:$B$44,$B2395)+P2395*SUMIFS(Premissas!$D$5:$D$44,Premissas!$A$5:$A$44,$A2395,Premissas!$B$5:$B$44,$B2395))+R2395*SUMIFS(Premissas!$E$5:$E$44,Premissas!$A$5:$A$44,$A2395,Premissas!$B$5:$B$44,$B2395)+S2395*SUMIFS(Premissas!$F$5:$F$44,Premissas!$A$5:$A$44,$A2395,Premissas!$B$5:$B$44,$B2395)</f>
        <v/>
      </c>
      <c r="L2395" s="29">
        <f>J2395-K2395</f>
        <v/>
      </c>
      <c r="M2395" t="inlineStr">
        <is>
          <t>1.350</t>
        </is>
      </c>
      <c r="N2395" t="inlineStr">
        <is>
          <t>Modalidade: 0 - Por conta do remetente | Parte: VANDERLEIA FERREIRA MARQUES (34.169.048/0001-40)</t>
        </is>
      </c>
      <c r="O2395" s="29" t="n">
        <v>0</v>
      </c>
      <c r="P2395" s="29" t="n">
        <v>0</v>
      </c>
      <c r="Q2395" s="29" t="n">
        <v>0</v>
      </c>
      <c r="R2395" s="29" t="n">
        <v>0</v>
      </c>
      <c r="S2395" s="29" t="n">
        <v>0</v>
      </c>
      <c r="T2395" t="inlineStr">
        <is>
          <t>25251126975620000130570010000057251001801078</t>
        </is>
      </c>
      <c r="U2395" t="inlineStr">
        <is>
          <t>Não</t>
        </is>
      </c>
    </row>
    <row r="2396">
      <c r="A2396" t="inlineStr">
        <is>
          <t>Frete de venda</t>
        </is>
      </c>
      <c r="B2396" t="inlineStr">
        <is>
          <t>2.01.02 Frete sobre Vendas</t>
        </is>
      </c>
      <c r="C2396" t="inlineStr">
        <is>
          <t>Antes de 2026</t>
        </is>
      </c>
      <c r="D2396" t="inlineStr">
        <is>
          <t>Antes de 2026</t>
        </is>
      </c>
      <c r="E2396" s="28" t="n">
        <v>45974</v>
      </c>
      <c r="F2396" t="inlineStr">
        <is>
          <t>CT-e</t>
        </is>
      </c>
      <c r="G2396" t="inlineStr">
        <is>
          <t>000005726</t>
        </is>
      </c>
      <c r="H2396" t="inlineStr">
        <is>
          <t>R&amp;R TRANSPORTE E LOGISTICA</t>
        </is>
      </c>
      <c r="J2396" s="29" t="n">
        <v>190</v>
      </c>
      <c r="K2396" s="29">
        <f>(1-ISNUMBER(SEARCH("556",M2396)))*(O2396*SUMIFS(Premissas!$C$5:$C$44,Premissas!$A$5:$A$44,$A2396,Premissas!$B$5:$B$44,$B2396)+P2396*SUMIFS(Premissas!$D$5:$D$44,Premissas!$A$5:$A$44,$A2396,Premissas!$B$5:$B$44,$B2396))+R2396*SUMIFS(Premissas!$E$5:$E$44,Premissas!$A$5:$A$44,$A2396,Premissas!$B$5:$B$44,$B2396)+S2396*SUMIFS(Premissas!$F$5:$F$44,Premissas!$A$5:$A$44,$A2396,Premissas!$B$5:$B$44,$B2396)</f>
        <v/>
      </c>
      <c r="L2396" s="29">
        <f>J2396-K2396</f>
        <v/>
      </c>
      <c r="M2396" t="inlineStr">
        <is>
          <t>1.350</t>
        </is>
      </c>
      <c r="N2396" t="inlineStr">
        <is>
          <t>Modalidade: 0 - Por conta do remetente | Parte: JAMES L. H. TOME e CIA LTDA (16.965.024/0002-04)</t>
        </is>
      </c>
      <c r="O2396" s="29" t="n">
        <v>0</v>
      </c>
      <c r="P2396" s="29" t="n">
        <v>0</v>
      </c>
      <c r="Q2396" s="29" t="n">
        <v>0</v>
      </c>
      <c r="R2396" s="29" t="n">
        <v>0</v>
      </c>
      <c r="S2396" s="29" t="n">
        <v>0</v>
      </c>
      <c r="T2396" t="inlineStr">
        <is>
          <t>25251126975620000130570010000057261001501152</t>
        </is>
      </c>
      <c r="U2396" t="inlineStr">
        <is>
          <t>Não</t>
        </is>
      </c>
    </row>
    <row r="2397">
      <c r="A2397" t="inlineStr">
        <is>
          <t>Frete de venda</t>
        </is>
      </c>
      <c r="B2397" t="inlineStr">
        <is>
          <t>2.01.02 Frete sobre Vendas</t>
        </is>
      </c>
      <c r="C2397" t="inlineStr">
        <is>
          <t>Antes de 2026</t>
        </is>
      </c>
      <c r="D2397" t="inlineStr">
        <is>
          <t>Antes de 2026</t>
        </is>
      </c>
      <c r="E2397" s="28" t="n">
        <v>45974</v>
      </c>
      <c r="F2397" t="inlineStr">
        <is>
          <t>CT-e</t>
        </is>
      </c>
      <c r="G2397" t="inlineStr">
        <is>
          <t>000005727</t>
        </is>
      </c>
      <c r="H2397" t="inlineStr">
        <is>
          <t>R&amp;R TRANSPORTE E LOGISTICA</t>
        </is>
      </c>
      <c r="J2397" s="29" t="n">
        <v>35</v>
      </c>
      <c r="K2397" s="29">
        <f>(1-ISNUMBER(SEARCH("556",M2397)))*(O2397*SUMIFS(Premissas!$C$5:$C$44,Premissas!$A$5:$A$44,$A2397,Premissas!$B$5:$B$44,$B2397)+P2397*SUMIFS(Premissas!$D$5:$D$44,Premissas!$A$5:$A$44,$A2397,Premissas!$B$5:$B$44,$B2397))+R2397*SUMIFS(Premissas!$E$5:$E$44,Premissas!$A$5:$A$44,$A2397,Premissas!$B$5:$B$44,$B2397)+S2397*SUMIFS(Premissas!$F$5:$F$44,Premissas!$A$5:$A$44,$A2397,Premissas!$B$5:$B$44,$B2397)</f>
        <v/>
      </c>
      <c r="L2397" s="29">
        <f>J2397-K2397</f>
        <v/>
      </c>
      <c r="M2397" t="inlineStr">
        <is>
          <t>1.350</t>
        </is>
      </c>
      <c r="N2397" t="inlineStr">
        <is>
          <t>Modalidade: 0 - Por conta do remetente | Parte: BRAZZ BRAZZ PAPELARIA, MATERIAL DE ESCRITORIO E INFORMATICA (12.087.956/0001-51)</t>
        </is>
      </c>
      <c r="O2397" s="29" t="n">
        <v>0</v>
      </c>
      <c r="P2397" s="29" t="n">
        <v>0</v>
      </c>
      <c r="Q2397" s="29" t="n">
        <v>0</v>
      </c>
      <c r="R2397" s="29" t="n">
        <v>0</v>
      </c>
      <c r="S2397" s="29" t="n">
        <v>0</v>
      </c>
      <c r="T2397" t="inlineStr">
        <is>
          <t>25251126975620000130570010000057271001201237</t>
        </is>
      </c>
      <c r="U2397" t="inlineStr">
        <is>
          <t>Não</t>
        </is>
      </c>
    </row>
    <row r="2398">
      <c r="A2398" t="inlineStr">
        <is>
          <t>Frete de venda</t>
        </is>
      </c>
      <c r="B2398" t="inlineStr">
        <is>
          <t>2.01.02 Frete sobre Vendas</t>
        </is>
      </c>
      <c r="C2398" t="inlineStr">
        <is>
          <t>Antes de 2026</t>
        </is>
      </c>
      <c r="D2398" t="inlineStr">
        <is>
          <t>Antes de 2026</t>
        </is>
      </c>
      <c r="E2398" s="28" t="n">
        <v>45974</v>
      </c>
      <c r="F2398" t="inlineStr">
        <is>
          <t>CT-e</t>
        </is>
      </c>
      <c r="G2398" t="inlineStr">
        <is>
          <t>000005728</t>
        </is>
      </c>
      <c r="H2398" t="inlineStr">
        <is>
          <t>R&amp;R TRANSPORTE E LOGISTICA</t>
        </is>
      </c>
      <c r="J2398" s="29" t="n">
        <v>1462.15</v>
      </c>
      <c r="K2398" s="29">
        <f>(1-ISNUMBER(SEARCH("556",M2398)))*(O2398*SUMIFS(Premissas!$C$5:$C$44,Premissas!$A$5:$A$44,$A2398,Premissas!$B$5:$B$44,$B2398)+P2398*SUMIFS(Premissas!$D$5:$D$44,Premissas!$A$5:$A$44,$A2398,Premissas!$B$5:$B$44,$B2398))+R2398*SUMIFS(Premissas!$E$5:$E$44,Premissas!$A$5:$A$44,$A2398,Premissas!$B$5:$B$44,$B2398)+S2398*SUMIFS(Premissas!$F$5:$F$44,Premissas!$A$5:$A$44,$A2398,Premissas!$B$5:$B$44,$B2398)</f>
        <v/>
      </c>
      <c r="L2398" s="29">
        <f>J2398-K2398</f>
        <v/>
      </c>
      <c r="M2398" t="inlineStr">
        <is>
          <t>1.350</t>
        </is>
      </c>
      <c r="N2398" t="inlineStr">
        <is>
          <t>Modalidade: 0 - Por conta do remetente | Parte: BM3 IMPORTACAO E EXPORTACAO LTDA (12.098.843/0001-51)</t>
        </is>
      </c>
      <c r="O2398" s="29" t="n">
        <v>0</v>
      </c>
      <c r="P2398" s="29" t="n">
        <v>0</v>
      </c>
      <c r="Q2398" s="29" t="n">
        <v>0</v>
      </c>
      <c r="R2398" s="29" t="n">
        <v>0</v>
      </c>
      <c r="S2398" s="29" t="n">
        <v>0</v>
      </c>
      <c r="T2398" t="inlineStr">
        <is>
          <t>25251126975620000130570010000057281011001319</t>
        </is>
      </c>
      <c r="U2398" t="inlineStr">
        <is>
          <t>Não</t>
        </is>
      </c>
    </row>
    <row r="2399">
      <c r="A2399" t="inlineStr">
        <is>
          <t>Frete de venda</t>
        </is>
      </c>
      <c r="B2399" t="inlineStr">
        <is>
          <t>2.01.02 Frete sobre Vendas</t>
        </is>
      </c>
      <c r="C2399" t="inlineStr">
        <is>
          <t>Antes de 2026</t>
        </is>
      </c>
      <c r="D2399" t="inlineStr">
        <is>
          <t>Antes de 2026</t>
        </is>
      </c>
      <c r="E2399" s="28" t="n">
        <v>45975</v>
      </c>
      <c r="F2399" t="inlineStr">
        <is>
          <t>CT-e</t>
        </is>
      </c>
      <c r="G2399" t="inlineStr">
        <is>
          <t>000005734</t>
        </is>
      </c>
      <c r="H2399" t="inlineStr">
        <is>
          <t>R&amp;R TRANSPORTE E LOGISTICA</t>
        </is>
      </c>
      <c r="J2399" s="29" t="n">
        <v>570</v>
      </c>
      <c r="K2399" s="29">
        <f>(1-ISNUMBER(SEARCH("556",M2399)))*(O2399*SUMIFS(Premissas!$C$5:$C$44,Premissas!$A$5:$A$44,$A2399,Premissas!$B$5:$B$44,$B2399)+P2399*SUMIFS(Premissas!$D$5:$D$44,Premissas!$A$5:$A$44,$A2399,Premissas!$B$5:$B$44,$B2399))+R2399*SUMIFS(Premissas!$E$5:$E$44,Premissas!$A$5:$A$44,$A2399,Premissas!$B$5:$B$44,$B2399)+S2399*SUMIFS(Premissas!$F$5:$F$44,Premissas!$A$5:$A$44,$A2399,Premissas!$B$5:$B$44,$B2399)</f>
        <v/>
      </c>
      <c r="L2399" s="29">
        <f>J2399-K2399</f>
        <v/>
      </c>
      <c r="M2399" t="inlineStr">
        <is>
          <t>1.350</t>
        </is>
      </c>
      <c r="N2399" t="inlineStr">
        <is>
          <t>Modalidade: 0 - Por conta do remetente | Parte: COMERCIAL PROLAC LTDA. (07.182.763/0001-40)</t>
        </is>
      </c>
      <c r="O2399" s="29" t="n">
        <v>0</v>
      </c>
      <c r="P2399" s="29" t="n">
        <v>0</v>
      </c>
      <c r="Q2399" s="29" t="n">
        <v>0</v>
      </c>
      <c r="R2399" s="29" t="n">
        <v>0</v>
      </c>
      <c r="S2399" s="29" t="n">
        <v>0</v>
      </c>
      <c r="T2399" t="inlineStr">
        <is>
          <t>25251126975620000130570010000057341001301023</t>
        </is>
      </c>
      <c r="U2399" t="inlineStr">
        <is>
          <t>Não</t>
        </is>
      </c>
    </row>
    <row r="2400">
      <c r="A2400" t="inlineStr">
        <is>
          <t>Frete de venda</t>
        </is>
      </c>
      <c r="B2400" t="inlineStr">
        <is>
          <t>2.01.02 Frete sobre Vendas</t>
        </is>
      </c>
      <c r="C2400" t="inlineStr">
        <is>
          <t>Antes de 2026</t>
        </is>
      </c>
      <c r="D2400" t="inlineStr">
        <is>
          <t>Antes de 2026</t>
        </is>
      </c>
      <c r="E2400" s="28" t="n">
        <v>45975</v>
      </c>
      <c r="F2400" t="inlineStr">
        <is>
          <t>CT-e</t>
        </is>
      </c>
      <c r="G2400" t="inlineStr">
        <is>
          <t>000005735</t>
        </is>
      </c>
      <c r="H2400" t="inlineStr">
        <is>
          <t>R&amp;R TRANSPORTE E LOGISTICA</t>
        </is>
      </c>
      <c r="J2400" s="29" t="n">
        <v>700</v>
      </c>
      <c r="K2400" s="29">
        <f>(1-ISNUMBER(SEARCH("556",M2400)))*(O2400*SUMIFS(Premissas!$C$5:$C$44,Premissas!$A$5:$A$44,$A2400,Premissas!$B$5:$B$44,$B2400)+P2400*SUMIFS(Premissas!$D$5:$D$44,Premissas!$A$5:$A$44,$A2400,Premissas!$B$5:$B$44,$B2400))+R2400*SUMIFS(Premissas!$E$5:$E$44,Premissas!$A$5:$A$44,$A2400,Premissas!$B$5:$B$44,$B2400)+S2400*SUMIFS(Premissas!$F$5:$F$44,Premissas!$A$5:$A$44,$A2400,Premissas!$B$5:$B$44,$B2400)</f>
        <v/>
      </c>
      <c r="L2400" s="29">
        <f>J2400-K2400</f>
        <v/>
      </c>
      <c r="M2400" t="inlineStr">
        <is>
          <t>1.350</t>
        </is>
      </c>
      <c r="N2400" t="inlineStr">
        <is>
          <t>Transportadora de frete de venda, mas pela modalidade do frete a Vinco recebeu a carga | Modalidade: 1 - Por conta do destinatário | Parte: COLAMID (04.781.666/0001-85)</t>
        </is>
      </c>
      <c r="O2400" s="29" t="n">
        <v>0</v>
      </c>
      <c r="P2400" s="29" t="n">
        <v>0</v>
      </c>
      <c r="Q2400" s="29" t="n">
        <v>0</v>
      </c>
      <c r="R2400" s="29" t="n">
        <v>0</v>
      </c>
      <c r="S2400" s="29" t="n">
        <v>0</v>
      </c>
      <c r="T2400" t="inlineStr">
        <is>
          <t>25251126975620000130570010000057351000101109</t>
        </is>
      </c>
      <c r="U2400" t="inlineStr">
        <is>
          <t>Não</t>
        </is>
      </c>
    </row>
    <row r="2401">
      <c r="A2401" t="inlineStr">
        <is>
          <t>Frete de venda</t>
        </is>
      </c>
      <c r="B2401" t="inlineStr">
        <is>
          <t>2.01.02 Frete sobre Vendas</t>
        </is>
      </c>
      <c r="C2401" t="inlineStr">
        <is>
          <t>Antes de 2026</t>
        </is>
      </c>
      <c r="D2401" t="inlineStr">
        <is>
          <t>Antes de 2026</t>
        </is>
      </c>
      <c r="E2401" s="28" t="n">
        <v>45978</v>
      </c>
      <c r="F2401" t="inlineStr">
        <is>
          <t>CT-e</t>
        </is>
      </c>
      <c r="G2401" t="inlineStr">
        <is>
          <t>000005736</t>
        </is>
      </c>
      <c r="H2401" t="inlineStr">
        <is>
          <t>R&amp;R TRANSPORTE E LOGISTICA</t>
        </is>
      </c>
      <c r="J2401" s="29" t="n">
        <v>786</v>
      </c>
      <c r="K2401" s="29">
        <f>(1-ISNUMBER(SEARCH("556",M2401)))*(O2401*SUMIFS(Premissas!$C$5:$C$44,Premissas!$A$5:$A$44,$A2401,Premissas!$B$5:$B$44,$B2401)+P2401*SUMIFS(Premissas!$D$5:$D$44,Premissas!$A$5:$A$44,$A2401,Premissas!$B$5:$B$44,$B2401))+R2401*SUMIFS(Premissas!$E$5:$E$44,Premissas!$A$5:$A$44,$A2401,Premissas!$B$5:$B$44,$B2401)+S2401*SUMIFS(Premissas!$F$5:$F$44,Premissas!$A$5:$A$44,$A2401,Premissas!$B$5:$B$44,$B2401)</f>
        <v/>
      </c>
      <c r="L2401" s="29">
        <f>J2401-K2401</f>
        <v/>
      </c>
      <c r="M2401" t="inlineStr">
        <is>
          <t>1.350</t>
        </is>
      </c>
      <c r="N2401" t="inlineStr">
        <is>
          <t>Modalidade: 0 - Por conta do remetente | Parte: EMBALACENTER COMERCIO E REPRESENTACOES DE EMBALAGENS DE ... (07.351.681/0002-62)</t>
        </is>
      </c>
      <c r="O2401" s="29" t="n">
        <v>0</v>
      </c>
      <c r="P2401" s="29" t="n">
        <v>0</v>
      </c>
      <c r="Q2401" s="29" t="n">
        <v>0</v>
      </c>
      <c r="R2401" s="29" t="n">
        <v>0</v>
      </c>
      <c r="S2401" s="29" t="n">
        <v>0</v>
      </c>
      <c r="T2401" t="inlineStr">
        <is>
          <t>25251126975620000130570010000057361001801187</t>
        </is>
      </c>
      <c r="U2401" t="inlineStr">
        <is>
          <t>Não</t>
        </is>
      </c>
    </row>
    <row r="2402">
      <c r="A2402" t="inlineStr">
        <is>
          <t>Frete de venda</t>
        </is>
      </c>
      <c r="B2402" t="inlineStr">
        <is>
          <t>2.01.02 Frete sobre Vendas</t>
        </is>
      </c>
      <c r="C2402" t="inlineStr">
        <is>
          <t>Antes de 2026</t>
        </is>
      </c>
      <c r="D2402" t="inlineStr">
        <is>
          <t>Antes de 2026</t>
        </is>
      </c>
      <c r="E2402" s="28" t="n">
        <v>45978</v>
      </c>
      <c r="F2402" t="inlineStr">
        <is>
          <t>CT-e</t>
        </is>
      </c>
      <c r="G2402" t="inlineStr">
        <is>
          <t>000005737</t>
        </is>
      </c>
      <c r="H2402" t="inlineStr">
        <is>
          <t>R&amp;R TRANSPORTE E LOGISTICA</t>
        </is>
      </c>
      <c r="J2402" s="29" t="n">
        <v>786</v>
      </c>
      <c r="K2402" s="29">
        <f>(1-ISNUMBER(SEARCH("556",M2402)))*(O2402*SUMIFS(Premissas!$C$5:$C$44,Premissas!$A$5:$A$44,$A2402,Premissas!$B$5:$B$44,$B2402)+P2402*SUMIFS(Premissas!$D$5:$D$44,Premissas!$A$5:$A$44,$A2402,Premissas!$B$5:$B$44,$B2402))+R2402*SUMIFS(Premissas!$E$5:$E$44,Premissas!$A$5:$A$44,$A2402,Premissas!$B$5:$B$44,$B2402)+S2402*SUMIFS(Premissas!$F$5:$F$44,Premissas!$A$5:$A$44,$A2402,Premissas!$B$5:$B$44,$B2402)</f>
        <v/>
      </c>
      <c r="L2402" s="29">
        <f>J2402-K2402</f>
        <v/>
      </c>
      <c r="M2402" t="inlineStr">
        <is>
          <t>1.350</t>
        </is>
      </c>
      <c r="N2402" t="inlineStr">
        <is>
          <t>Modalidade: 0 - Por conta do remetente | Parte: EDIVALDO BATISTA DOS SANTOS EMBALAGENS LTDA (03.624.188/0001-37)</t>
        </is>
      </c>
      <c r="O2402" s="29" t="n">
        <v>0</v>
      </c>
      <c r="P2402" s="29" t="n">
        <v>0</v>
      </c>
      <c r="Q2402" s="29" t="n">
        <v>0</v>
      </c>
      <c r="R2402" s="29" t="n">
        <v>0</v>
      </c>
      <c r="S2402" s="29" t="n">
        <v>0</v>
      </c>
      <c r="T2402" t="inlineStr">
        <is>
          <t>25251126975620000130570010000057371001501261</t>
        </is>
      </c>
      <c r="U2402" t="inlineStr">
        <is>
          <t>Não</t>
        </is>
      </c>
    </row>
    <row r="2403">
      <c r="A2403" t="inlineStr">
        <is>
          <t>Frete de venda</t>
        </is>
      </c>
      <c r="B2403" t="inlineStr">
        <is>
          <t>2.01.02 Frete sobre Vendas</t>
        </is>
      </c>
      <c r="C2403" t="inlineStr">
        <is>
          <t>Antes de 2026</t>
        </is>
      </c>
      <c r="D2403" t="inlineStr">
        <is>
          <t>Antes de 2026</t>
        </is>
      </c>
      <c r="E2403" s="28" t="n">
        <v>45978</v>
      </c>
      <c r="F2403" t="inlineStr">
        <is>
          <t>CT-e</t>
        </is>
      </c>
      <c r="G2403" t="inlineStr">
        <is>
          <t>000005738</t>
        </is>
      </c>
      <c r="H2403" t="inlineStr">
        <is>
          <t>R&amp;R TRANSPORTE E LOGISTICA</t>
        </is>
      </c>
      <c r="J2403" s="29" t="n">
        <v>786</v>
      </c>
      <c r="K2403" s="29">
        <f>(1-ISNUMBER(SEARCH("556",M2403)))*(O2403*SUMIFS(Premissas!$C$5:$C$44,Premissas!$A$5:$A$44,$A2403,Premissas!$B$5:$B$44,$B2403)+P2403*SUMIFS(Premissas!$D$5:$D$44,Premissas!$A$5:$A$44,$A2403,Premissas!$B$5:$B$44,$B2403))+R2403*SUMIFS(Premissas!$E$5:$E$44,Premissas!$A$5:$A$44,$A2403,Premissas!$B$5:$B$44,$B2403)+S2403*SUMIFS(Premissas!$F$5:$F$44,Premissas!$A$5:$A$44,$A2403,Premissas!$B$5:$B$44,$B2403)</f>
        <v/>
      </c>
      <c r="L2403" s="29">
        <f>J2403-K2403</f>
        <v/>
      </c>
      <c r="M2403" t="inlineStr">
        <is>
          <t>1.350</t>
        </is>
      </c>
      <c r="N2403" t="inlineStr">
        <is>
          <t>Modalidade: 0 - Por conta do remetente | Parte: AL DESCARTAVEIS COMERCIO ATACADISTA LTDA (20.761.196/0001-44)</t>
        </is>
      </c>
      <c r="O2403" s="29" t="n">
        <v>0</v>
      </c>
      <c r="P2403" s="29" t="n">
        <v>0</v>
      </c>
      <c r="Q2403" s="29" t="n">
        <v>0</v>
      </c>
      <c r="R2403" s="29" t="n">
        <v>0</v>
      </c>
      <c r="S2403" s="29" t="n">
        <v>0</v>
      </c>
      <c r="T2403" t="inlineStr">
        <is>
          <t>25251126975620000130570010000057381001201346</t>
        </is>
      </c>
      <c r="U2403" t="inlineStr">
        <is>
          <t>Não</t>
        </is>
      </c>
    </row>
    <row r="2404">
      <c r="A2404" t="inlineStr">
        <is>
          <t>Frete de venda</t>
        </is>
      </c>
      <c r="B2404" t="inlineStr">
        <is>
          <t>2.01.02 Frete sobre Vendas</t>
        </is>
      </c>
      <c r="C2404" t="inlineStr">
        <is>
          <t>Antes de 2026</t>
        </is>
      </c>
      <c r="D2404" t="inlineStr">
        <is>
          <t>Antes de 2026</t>
        </is>
      </c>
      <c r="E2404" s="28" t="n">
        <v>45978</v>
      </c>
      <c r="F2404" t="inlineStr">
        <is>
          <t>CT-e</t>
        </is>
      </c>
      <c r="G2404" t="inlineStr">
        <is>
          <t>000005739</t>
        </is>
      </c>
      <c r="H2404" t="inlineStr">
        <is>
          <t>R&amp;R TRANSPORTE E LOGISTICA</t>
        </is>
      </c>
      <c r="J2404" s="29" t="n">
        <v>786</v>
      </c>
      <c r="K2404" s="29">
        <f>(1-ISNUMBER(SEARCH("556",M2404)))*(O2404*SUMIFS(Premissas!$C$5:$C$44,Premissas!$A$5:$A$44,$A2404,Premissas!$B$5:$B$44,$B2404)+P2404*SUMIFS(Premissas!$D$5:$D$44,Premissas!$A$5:$A$44,$A2404,Premissas!$B$5:$B$44,$B2404))+R2404*SUMIFS(Premissas!$E$5:$E$44,Premissas!$A$5:$A$44,$A2404,Premissas!$B$5:$B$44,$B2404)+S2404*SUMIFS(Premissas!$F$5:$F$44,Premissas!$A$5:$A$44,$A2404,Premissas!$B$5:$B$44,$B2404)</f>
        <v/>
      </c>
      <c r="L2404" s="29">
        <f>J2404-K2404</f>
        <v/>
      </c>
      <c r="M2404" t="inlineStr">
        <is>
          <t>1.350</t>
        </is>
      </c>
      <c r="N2404" t="inlineStr">
        <is>
          <t>Modalidade: 0 - Por conta do remetente | Parte: F. G. ANDRADE FRIOS (14.045.333/0001-41)</t>
        </is>
      </c>
      <c r="O2404" s="29" t="n">
        <v>0</v>
      </c>
      <c r="P2404" s="29" t="n">
        <v>0</v>
      </c>
      <c r="Q2404" s="29" t="n">
        <v>0</v>
      </c>
      <c r="R2404" s="29" t="n">
        <v>0</v>
      </c>
      <c r="S2404" s="29" t="n">
        <v>0</v>
      </c>
      <c r="T2404" t="inlineStr">
        <is>
          <t>25251126975620000130570010000057391000130698</t>
        </is>
      </c>
      <c r="U2404" t="inlineStr">
        <is>
          <t>Não</t>
        </is>
      </c>
    </row>
    <row r="2405">
      <c r="A2405" t="inlineStr">
        <is>
          <t>Frete de venda</t>
        </is>
      </c>
      <c r="B2405" t="inlineStr">
        <is>
          <t>2.01.02 Frete sobre Vendas</t>
        </is>
      </c>
      <c r="C2405" t="inlineStr">
        <is>
          <t>Antes de 2026</t>
        </is>
      </c>
      <c r="D2405" t="inlineStr">
        <is>
          <t>Antes de 2026</t>
        </is>
      </c>
      <c r="E2405" s="28" t="n">
        <v>45978</v>
      </c>
      <c r="F2405" t="inlineStr">
        <is>
          <t>CT-e</t>
        </is>
      </c>
      <c r="G2405" t="inlineStr">
        <is>
          <t>000005740</t>
        </is>
      </c>
      <c r="H2405" t="inlineStr">
        <is>
          <t>R&amp;R TRANSPORTE E LOGISTICA</t>
        </is>
      </c>
      <c r="J2405" s="29" t="n">
        <v>786</v>
      </c>
      <c r="K2405" s="29">
        <f>(1-ISNUMBER(SEARCH("556",M2405)))*(O2405*SUMIFS(Premissas!$C$5:$C$44,Premissas!$A$5:$A$44,$A2405,Premissas!$B$5:$B$44,$B2405)+P2405*SUMIFS(Premissas!$D$5:$D$44,Premissas!$A$5:$A$44,$A2405,Premissas!$B$5:$B$44,$B2405))+R2405*SUMIFS(Premissas!$E$5:$E$44,Premissas!$A$5:$A$44,$A2405,Premissas!$B$5:$B$44,$B2405)+S2405*SUMIFS(Premissas!$F$5:$F$44,Premissas!$A$5:$A$44,$A2405,Premissas!$B$5:$B$44,$B2405)</f>
        <v/>
      </c>
      <c r="L2405" s="29">
        <f>J2405-K2405</f>
        <v/>
      </c>
      <c r="M2405" t="inlineStr">
        <is>
          <t>1.350</t>
        </is>
      </c>
      <c r="N2405" t="inlineStr">
        <is>
          <t>Modalidade: 0 - Por conta do remetente | Parte: PACKPLAST EMBALAGENS LTDA (50.584.263/0001-63)</t>
        </is>
      </c>
      <c r="O2405" s="29" t="n">
        <v>0</v>
      </c>
      <c r="P2405" s="29" t="n">
        <v>0</v>
      </c>
      <c r="Q2405" s="29" t="n">
        <v>0</v>
      </c>
      <c r="R2405" s="29" t="n">
        <v>0</v>
      </c>
      <c r="S2405" s="29" t="n">
        <v>0</v>
      </c>
      <c r="T2405" t="inlineStr">
        <is>
          <t>25251126975620000130570010000057401000010774</t>
        </is>
      </c>
      <c r="U2405" t="inlineStr">
        <is>
          <t>Não</t>
        </is>
      </c>
    </row>
    <row r="2406">
      <c r="A2406" t="inlineStr">
        <is>
          <t>Frete de venda</t>
        </is>
      </c>
      <c r="B2406" t="inlineStr">
        <is>
          <t>2.01.02 Frete sobre Vendas</t>
        </is>
      </c>
      <c r="C2406" t="inlineStr">
        <is>
          <t>Antes de 2026</t>
        </is>
      </c>
      <c r="D2406" t="inlineStr">
        <is>
          <t>Antes de 2026</t>
        </is>
      </c>
      <c r="E2406" s="28" t="n">
        <v>45978</v>
      </c>
      <c r="F2406" t="inlineStr">
        <is>
          <t>CT-e</t>
        </is>
      </c>
      <c r="G2406" t="inlineStr">
        <is>
          <t>000005741</t>
        </is>
      </c>
      <c r="H2406" t="inlineStr">
        <is>
          <t>R&amp;R TRANSPORTE E LOGISTICA</t>
        </is>
      </c>
      <c r="J2406" s="29" t="n">
        <v>786</v>
      </c>
      <c r="K2406" s="29">
        <f>(1-ISNUMBER(SEARCH("556",M2406)))*(O2406*SUMIFS(Premissas!$C$5:$C$44,Premissas!$A$5:$A$44,$A2406,Premissas!$B$5:$B$44,$B2406)+P2406*SUMIFS(Premissas!$D$5:$D$44,Premissas!$A$5:$A$44,$A2406,Premissas!$B$5:$B$44,$B2406))+R2406*SUMIFS(Premissas!$E$5:$E$44,Premissas!$A$5:$A$44,$A2406,Premissas!$B$5:$B$44,$B2406)+S2406*SUMIFS(Premissas!$F$5:$F$44,Premissas!$A$5:$A$44,$A2406,Premissas!$B$5:$B$44,$B2406)</f>
        <v/>
      </c>
      <c r="L2406" s="29">
        <f>J2406-K2406</f>
        <v/>
      </c>
      <c r="M2406" t="inlineStr">
        <is>
          <t>1.350</t>
        </is>
      </c>
      <c r="N2406" t="inlineStr">
        <is>
          <t>Modalidade: 0 - Por conta do remetente | Parte: UNIAO EMBALAGENS COMERCIO REPRESENTACAO LTDA (02.698.151/0001-90)</t>
        </is>
      </c>
      <c r="O2406" s="29" t="n">
        <v>0</v>
      </c>
      <c r="P2406" s="29" t="n">
        <v>0</v>
      </c>
      <c r="Q2406" s="29" t="n">
        <v>0</v>
      </c>
      <c r="R2406" s="29" t="n">
        <v>0</v>
      </c>
      <c r="S2406" s="29" t="n">
        <v>0</v>
      </c>
      <c r="T2406" t="inlineStr">
        <is>
          <t>25251126975620000130570010000057411000180855</t>
        </is>
      </c>
      <c r="U2406" t="inlineStr">
        <is>
          <t>Não</t>
        </is>
      </c>
    </row>
    <row r="2407">
      <c r="A2407" t="inlineStr">
        <is>
          <t>Frete de venda</t>
        </is>
      </c>
      <c r="B2407" t="inlineStr">
        <is>
          <t>2.01.02 Frete sobre Vendas</t>
        </is>
      </c>
      <c r="C2407" t="inlineStr">
        <is>
          <t>Antes de 2026</t>
        </is>
      </c>
      <c r="D2407" t="inlineStr">
        <is>
          <t>Antes de 2026</t>
        </is>
      </c>
      <c r="E2407" s="28" t="n">
        <v>45978</v>
      </c>
      <c r="F2407" t="inlineStr">
        <is>
          <t>CT-e</t>
        </is>
      </c>
      <c r="G2407" t="inlineStr">
        <is>
          <t>000005742</t>
        </is>
      </c>
      <c r="H2407" t="inlineStr">
        <is>
          <t>R&amp;R TRANSPORTE E LOGISTICA</t>
        </is>
      </c>
      <c r="J2407" s="29" t="n">
        <v>786</v>
      </c>
      <c r="K2407" s="29">
        <f>(1-ISNUMBER(SEARCH("556",M2407)))*(O2407*SUMIFS(Premissas!$C$5:$C$44,Premissas!$A$5:$A$44,$A2407,Premissas!$B$5:$B$44,$B2407)+P2407*SUMIFS(Premissas!$D$5:$D$44,Premissas!$A$5:$A$44,$A2407,Premissas!$B$5:$B$44,$B2407))+R2407*SUMIFS(Premissas!$E$5:$E$44,Premissas!$A$5:$A$44,$A2407,Premissas!$B$5:$B$44,$B2407)+S2407*SUMIFS(Premissas!$F$5:$F$44,Premissas!$A$5:$A$44,$A2407,Premissas!$B$5:$B$44,$B2407)</f>
        <v/>
      </c>
      <c r="L2407" s="29">
        <f>J2407-K2407</f>
        <v/>
      </c>
      <c r="M2407" t="inlineStr">
        <is>
          <t>1.350</t>
        </is>
      </c>
      <c r="N2407" t="inlineStr">
        <is>
          <t>Modalidade: 0 - Por conta do remetente | Parte: 38.159.857 ALLEF SILVA AZEVEDO (38.159.857/0001-21)</t>
        </is>
      </c>
      <c r="O2407" s="29" t="n">
        <v>0</v>
      </c>
      <c r="P2407" s="29" t="n">
        <v>0</v>
      </c>
      <c r="Q2407" s="29" t="n">
        <v>0</v>
      </c>
      <c r="R2407" s="29" t="n">
        <v>0</v>
      </c>
      <c r="S2407" s="29" t="n">
        <v>0</v>
      </c>
      <c r="T2407" t="inlineStr">
        <is>
          <t>25251126975620000130570010000057421000150937</t>
        </is>
      </c>
      <c r="U2407" t="inlineStr">
        <is>
          <t>Não</t>
        </is>
      </c>
    </row>
    <row r="2408">
      <c r="A2408" t="inlineStr">
        <is>
          <t>Frete de venda</t>
        </is>
      </c>
      <c r="B2408" t="inlineStr">
        <is>
          <t>2.01.02 Frete sobre Vendas</t>
        </is>
      </c>
      <c r="C2408" t="inlineStr">
        <is>
          <t>Antes de 2026</t>
        </is>
      </c>
      <c r="D2408" t="inlineStr">
        <is>
          <t>Antes de 2026</t>
        </is>
      </c>
      <c r="E2408" s="28" t="n">
        <v>45979</v>
      </c>
      <c r="F2408" t="inlineStr">
        <is>
          <t>CT-e</t>
        </is>
      </c>
      <c r="G2408" t="inlineStr">
        <is>
          <t>000005744</t>
        </is>
      </c>
      <c r="H2408" t="inlineStr">
        <is>
          <t>R&amp;R TRANSPORTE E LOGISTICA</t>
        </is>
      </c>
      <c r="J2408" s="29" t="n">
        <v>68.12</v>
      </c>
      <c r="K2408" s="29">
        <f>(1-ISNUMBER(SEARCH("556",M2408)))*(O2408*SUMIFS(Premissas!$C$5:$C$44,Premissas!$A$5:$A$44,$A2408,Premissas!$B$5:$B$44,$B2408)+P2408*SUMIFS(Premissas!$D$5:$D$44,Premissas!$A$5:$A$44,$A2408,Premissas!$B$5:$B$44,$B2408))+R2408*SUMIFS(Premissas!$E$5:$E$44,Premissas!$A$5:$A$44,$A2408,Premissas!$B$5:$B$44,$B2408)+S2408*SUMIFS(Premissas!$F$5:$F$44,Premissas!$A$5:$A$44,$A2408,Premissas!$B$5:$B$44,$B2408)</f>
        <v/>
      </c>
      <c r="L2408" s="29">
        <f>J2408-K2408</f>
        <v/>
      </c>
      <c r="M2408" t="inlineStr">
        <is>
          <t>1.350</t>
        </is>
      </c>
      <c r="N2408" t="inlineStr">
        <is>
          <t>Modalidade: 0 - Por conta do remetente | Parte: COAGRO CONTAGEM AGRO INDUSTRIA LTDA (47.793.980/0001-90)</t>
        </is>
      </c>
      <c r="O2408" s="29" t="n">
        <v>0</v>
      </c>
      <c r="P2408" s="29" t="n">
        <v>0</v>
      </c>
      <c r="Q2408" s="29" t="n">
        <v>0</v>
      </c>
      <c r="R2408" s="29" t="n">
        <v>0</v>
      </c>
      <c r="S2408" s="29" t="n">
        <v>0</v>
      </c>
      <c r="T2408" t="inlineStr">
        <is>
          <t>25251126975620000130570010000057441011001096</t>
        </is>
      </c>
      <c r="U2408" t="inlineStr">
        <is>
          <t>Não</t>
        </is>
      </c>
    </row>
    <row r="2409">
      <c r="A2409" t="inlineStr">
        <is>
          <t>Frete de venda</t>
        </is>
      </c>
      <c r="B2409" t="inlineStr">
        <is>
          <t>2.01.02 Frete sobre Vendas</t>
        </is>
      </c>
      <c r="C2409" t="inlineStr">
        <is>
          <t>Antes de 2026</t>
        </is>
      </c>
      <c r="D2409" t="inlineStr">
        <is>
          <t>Antes de 2026</t>
        </is>
      </c>
      <c r="E2409" s="28" t="n">
        <v>45979</v>
      </c>
      <c r="F2409" t="inlineStr">
        <is>
          <t>CT-e</t>
        </is>
      </c>
      <c r="G2409" t="inlineStr">
        <is>
          <t>000005745</t>
        </is>
      </c>
      <c r="H2409" t="inlineStr">
        <is>
          <t>R&amp;R TRANSPORTE E LOGISTICA</t>
        </is>
      </c>
      <c r="J2409" s="29" t="n">
        <v>232.96</v>
      </c>
      <c r="K2409" s="29">
        <f>(1-ISNUMBER(SEARCH("556",M2409)))*(O2409*SUMIFS(Premissas!$C$5:$C$44,Premissas!$A$5:$A$44,$A2409,Premissas!$B$5:$B$44,$B2409)+P2409*SUMIFS(Premissas!$D$5:$D$44,Premissas!$A$5:$A$44,$A2409,Premissas!$B$5:$B$44,$B2409))+R2409*SUMIFS(Premissas!$E$5:$E$44,Premissas!$A$5:$A$44,$A2409,Premissas!$B$5:$B$44,$B2409)+S2409*SUMIFS(Premissas!$F$5:$F$44,Premissas!$A$5:$A$44,$A2409,Premissas!$B$5:$B$44,$B2409)</f>
        <v/>
      </c>
      <c r="L2409" s="29">
        <f>J2409-K2409</f>
        <v/>
      </c>
      <c r="M2409" t="inlineStr">
        <is>
          <t>1.350</t>
        </is>
      </c>
      <c r="N2409" t="inlineStr">
        <is>
          <t>Modalidade: 0 - Por conta do remetente | Parte: RODRIGUES e DIAS COMERCIO DE HORTIFRUTI GRANJEIROS LTDA (09.143.905/0001-95)</t>
        </is>
      </c>
      <c r="O2409" s="29" t="n">
        <v>0</v>
      </c>
      <c r="P2409" s="29" t="n">
        <v>0</v>
      </c>
      <c r="Q2409" s="29" t="n">
        <v>0</v>
      </c>
      <c r="R2409" s="29" t="n">
        <v>0</v>
      </c>
      <c r="S2409" s="29" t="n">
        <v>0</v>
      </c>
      <c r="T2409" t="inlineStr">
        <is>
          <t>25251126975620000130570010000057451001701173</t>
        </is>
      </c>
      <c r="U2409" t="inlineStr">
        <is>
          <t>Não</t>
        </is>
      </c>
    </row>
    <row r="2410">
      <c r="A2410" t="inlineStr">
        <is>
          <t>Frete de venda</t>
        </is>
      </c>
      <c r="B2410" t="inlineStr">
        <is>
          <t>2.01.02 Frete sobre Vendas</t>
        </is>
      </c>
      <c r="C2410" t="inlineStr">
        <is>
          <t>Antes de 2026</t>
        </is>
      </c>
      <c r="D2410" t="inlineStr">
        <is>
          <t>Antes de 2026</t>
        </is>
      </c>
      <c r="E2410" s="28" t="n">
        <v>45979</v>
      </c>
      <c r="F2410" t="inlineStr">
        <is>
          <t>CT-e</t>
        </is>
      </c>
      <c r="G2410" t="inlineStr">
        <is>
          <t>000005746</t>
        </is>
      </c>
      <c r="H2410" t="inlineStr">
        <is>
          <t>R&amp;R TRANSPORTE E LOGISTICA</t>
        </is>
      </c>
      <c r="J2410" s="29" t="n">
        <v>76.59</v>
      </c>
      <c r="K2410" s="29">
        <f>(1-ISNUMBER(SEARCH("556",M2410)))*(O2410*SUMIFS(Premissas!$C$5:$C$44,Premissas!$A$5:$A$44,$A2410,Premissas!$B$5:$B$44,$B2410)+P2410*SUMIFS(Premissas!$D$5:$D$44,Premissas!$A$5:$A$44,$A2410,Premissas!$B$5:$B$44,$B2410))+R2410*SUMIFS(Premissas!$E$5:$E$44,Premissas!$A$5:$A$44,$A2410,Premissas!$B$5:$B$44,$B2410)+S2410*SUMIFS(Premissas!$F$5:$F$44,Premissas!$A$5:$A$44,$A2410,Premissas!$B$5:$B$44,$B2410)</f>
        <v/>
      </c>
      <c r="L2410" s="29">
        <f>J2410-K2410</f>
        <v/>
      </c>
      <c r="M2410" t="inlineStr">
        <is>
          <t>1.350</t>
        </is>
      </c>
      <c r="N2410" t="inlineStr">
        <is>
          <t>Modalidade: 0 - Por conta do remetente | Parte: SELLPACK DISTRIBUIDORA LTDA (07.747.107/0002-28)</t>
        </is>
      </c>
      <c r="O2410" s="29" t="n">
        <v>0</v>
      </c>
      <c r="P2410" s="29" t="n">
        <v>0</v>
      </c>
      <c r="Q2410" s="29" t="n">
        <v>0</v>
      </c>
      <c r="R2410" s="29" t="n">
        <v>0</v>
      </c>
      <c r="S2410" s="29" t="n">
        <v>0</v>
      </c>
      <c r="T2410" t="inlineStr">
        <is>
          <t>25251126975620000130570010000057461001401258</t>
        </is>
      </c>
      <c r="U2410" t="inlineStr">
        <is>
          <t>Não</t>
        </is>
      </c>
    </row>
    <row r="2411">
      <c r="A2411" t="inlineStr">
        <is>
          <t>Frete de venda</t>
        </is>
      </c>
      <c r="B2411" t="inlineStr">
        <is>
          <t>2.01.02 Frete sobre Vendas</t>
        </is>
      </c>
      <c r="C2411" t="inlineStr">
        <is>
          <t>Antes de 2026</t>
        </is>
      </c>
      <c r="D2411" t="inlineStr">
        <is>
          <t>Antes de 2026</t>
        </is>
      </c>
      <c r="E2411" s="28" t="n">
        <v>45979</v>
      </c>
      <c r="F2411" t="inlineStr">
        <is>
          <t>CT-e</t>
        </is>
      </c>
      <c r="G2411" t="inlineStr">
        <is>
          <t>000005747</t>
        </is>
      </c>
      <c r="H2411" t="inlineStr">
        <is>
          <t>R&amp;R TRANSPORTE E LOGISTICA</t>
        </is>
      </c>
      <c r="J2411" s="29" t="n">
        <v>38.81</v>
      </c>
      <c r="K2411" s="29">
        <f>(1-ISNUMBER(SEARCH("556",M2411)))*(O2411*SUMIFS(Premissas!$C$5:$C$44,Premissas!$A$5:$A$44,$A2411,Premissas!$B$5:$B$44,$B2411)+P2411*SUMIFS(Premissas!$D$5:$D$44,Premissas!$A$5:$A$44,$A2411,Premissas!$B$5:$B$44,$B2411))+R2411*SUMIFS(Premissas!$E$5:$E$44,Premissas!$A$5:$A$44,$A2411,Premissas!$B$5:$B$44,$B2411)+S2411*SUMIFS(Premissas!$F$5:$F$44,Premissas!$A$5:$A$44,$A2411,Premissas!$B$5:$B$44,$B2411)</f>
        <v/>
      </c>
      <c r="L2411" s="29">
        <f>J2411-K2411</f>
        <v/>
      </c>
      <c r="M2411" t="inlineStr">
        <is>
          <t>1.350</t>
        </is>
      </c>
      <c r="N2411" t="inlineStr">
        <is>
          <t>Modalidade: 0 - Por conta do remetente | Parte: EDGAR COUTO PIRES (05.857.084/0001-06)</t>
        </is>
      </c>
      <c r="O2411" s="29" t="n">
        <v>0</v>
      </c>
      <c r="P2411" s="29" t="n">
        <v>0</v>
      </c>
      <c r="Q2411" s="29" t="n">
        <v>0</v>
      </c>
      <c r="R2411" s="29" t="n">
        <v>0</v>
      </c>
      <c r="S2411" s="29" t="n">
        <v>0</v>
      </c>
      <c r="T2411" t="inlineStr">
        <is>
          <t>25251126975620000130570010000057471001101332</t>
        </is>
      </c>
      <c r="U2411" t="inlineStr">
        <is>
          <t>Não</t>
        </is>
      </c>
    </row>
    <row r="2412">
      <c r="A2412" t="inlineStr">
        <is>
          <t>Frete de venda</t>
        </is>
      </c>
      <c r="B2412" t="inlineStr">
        <is>
          <t>2.01.02 Frete sobre Vendas</t>
        </is>
      </c>
      <c r="C2412" t="inlineStr">
        <is>
          <t>Antes de 2026</t>
        </is>
      </c>
      <c r="D2412" t="inlineStr">
        <is>
          <t>Antes de 2026</t>
        </is>
      </c>
      <c r="E2412" s="28" t="n">
        <v>45979</v>
      </c>
      <c r="F2412" t="inlineStr">
        <is>
          <t>CT-e</t>
        </is>
      </c>
      <c r="G2412" t="inlineStr">
        <is>
          <t>000005748</t>
        </is>
      </c>
      <c r="H2412" t="inlineStr">
        <is>
          <t>R&amp;R TRANSPORTE E LOGISTICA</t>
        </is>
      </c>
      <c r="J2412" s="29" t="n">
        <v>49.8</v>
      </c>
      <c r="K2412" s="29">
        <f>(1-ISNUMBER(SEARCH("556",M2412)))*(O2412*SUMIFS(Premissas!$C$5:$C$44,Premissas!$A$5:$A$44,$A2412,Premissas!$B$5:$B$44,$B2412)+P2412*SUMIFS(Premissas!$D$5:$D$44,Premissas!$A$5:$A$44,$A2412,Premissas!$B$5:$B$44,$B2412))+R2412*SUMIFS(Premissas!$E$5:$E$44,Premissas!$A$5:$A$44,$A2412,Premissas!$B$5:$B$44,$B2412)+S2412*SUMIFS(Premissas!$F$5:$F$44,Premissas!$A$5:$A$44,$A2412,Premissas!$B$5:$B$44,$B2412)</f>
        <v/>
      </c>
      <c r="L2412" s="29">
        <f>J2412-K2412</f>
        <v/>
      </c>
      <c r="M2412" t="inlineStr">
        <is>
          <t>1.350</t>
        </is>
      </c>
      <c r="N2412" t="inlineStr">
        <is>
          <t>Modalidade: 0 - Por conta do remetente | Parte: DISTRIBUIDORA DE EMBALAGENS SUACUI LTDA (10.560.122/0001-96)</t>
        </is>
      </c>
      <c r="O2412" s="29" t="n">
        <v>0</v>
      </c>
      <c r="P2412" s="29" t="n">
        <v>0</v>
      </c>
      <c r="Q2412" s="29" t="n">
        <v>0</v>
      </c>
      <c r="R2412" s="29" t="n">
        <v>0</v>
      </c>
      <c r="S2412" s="29" t="n">
        <v>0</v>
      </c>
      <c r="T2412" t="inlineStr">
        <is>
          <t>25251126975620000130570010000057481001901417</t>
        </is>
      </c>
      <c r="U2412" t="inlineStr">
        <is>
          <t>Não</t>
        </is>
      </c>
    </row>
    <row r="2413">
      <c r="A2413" t="inlineStr">
        <is>
          <t>Frete de venda</t>
        </is>
      </c>
      <c r="B2413" t="inlineStr">
        <is>
          <t>2.01.02 Frete sobre Vendas</t>
        </is>
      </c>
      <c r="C2413" t="inlineStr">
        <is>
          <t>Antes de 2026</t>
        </is>
      </c>
      <c r="D2413" t="inlineStr">
        <is>
          <t>Antes de 2026</t>
        </is>
      </c>
      <c r="E2413" s="28" t="n">
        <v>45979</v>
      </c>
      <c r="F2413" t="inlineStr">
        <is>
          <t>CT-e</t>
        </is>
      </c>
      <c r="G2413" t="inlineStr">
        <is>
          <t>000005749</t>
        </is>
      </c>
      <c r="H2413" t="inlineStr">
        <is>
          <t>R&amp;R TRANSPORTE E LOGISTICA</t>
        </is>
      </c>
      <c r="J2413" s="29" t="n">
        <v>49.8</v>
      </c>
      <c r="K2413" s="29">
        <f>(1-ISNUMBER(SEARCH("556",M2413)))*(O2413*SUMIFS(Premissas!$C$5:$C$44,Premissas!$A$5:$A$44,$A2413,Premissas!$B$5:$B$44,$B2413)+P2413*SUMIFS(Premissas!$D$5:$D$44,Premissas!$A$5:$A$44,$A2413,Premissas!$B$5:$B$44,$B2413))+R2413*SUMIFS(Premissas!$E$5:$E$44,Premissas!$A$5:$A$44,$A2413,Premissas!$B$5:$B$44,$B2413)+S2413*SUMIFS(Premissas!$F$5:$F$44,Premissas!$A$5:$A$44,$A2413,Premissas!$B$5:$B$44,$B2413)</f>
        <v/>
      </c>
      <c r="L2413" s="29">
        <f>J2413-K2413</f>
        <v/>
      </c>
      <c r="M2413" t="inlineStr">
        <is>
          <t>1.350</t>
        </is>
      </c>
      <c r="N2413" t="inlineStr">
        <is>
          <t>Modalidade: 0 - Por conta do remetente | Parte: WL EMBALAGENS LTDA (25.432.519/0001-70)</t>
        </is>
      </c>
      <c r="O2413" s="29" t="n">
        <v>0</v>
      </c>
      <c r="P2413" s="29" t="n">
        <v>0</v>
      </c>
      <c r="Q2413" s="29" t="n">
        <v>0</v>
      </c>
      <c r="R2413" s="29" t="n">
        <v>0</v>
      </c>
      <c r="S2413" s="29" t="n">
        <v>0</v>
      </c>
      <c r="T2413" t="inlineStr">
        <is>
          <t>25251126975620000130570010000057491001100764</t>
        </is>
      </c>
      <c r="U2413" t="inlineStr">
        <is>
          <t>Não</t>
        </is>
      </c>
    </row>
    <row r="2414">
      <c r="A2414" t="inlineStr">
        <is>
          <t>Frete de venda</t>
        </is>
      </c>
      <c r="B2414" t="inlineStr">
        <is>
          <t>2.01.02 Frete sobre Vendas</t>
        </is>
      </c>
      <c r="C2414" t="inlineStr">
        <is>
          <t>Antes de 2026</t>
        </is>
      </c>
      <c r="D2414" t="inlineStr">
        <is>
          <t>Antes de 2026</t>
        </is>
      </c>
      <c r="E2414" s="28" t="n">
        <v>45979</v>
      </c>
      <c r="F2414" t="inlineStr">
        <is>
          <t>CT-e</t>
        </is>
      </c>
      <c r="G2414" t="inlineStr">
        <is>
          <t>000005753</t>
        </is>
      </c>
      <c r="H2414" t="inlineStr">
        <is>
          <t>R&amp;R TRANSPORTE E LOGISTICA</t>
        </is>
      </c>
      <c r="J2414" s="29" t="n">
        <v>33.67</v>
      </c>
      <c r="K2414" s="29">
        <f>(1-ISNUMBER(SEARCH("556",M2414)))*(O2414*SUMIFS(Premissas!$C$5:$C$44,Premissas!$A$5:$A$44,$A2414,Premissas!$B$5:$B$44,$B2414)+P2414*SUMIFS(Premissas!$D$5:$D$44,Premissas!$A$5:$A$44,$A2414,Premissas!$B$5:$B$44,$B2414))+R2414*SUMIFS(Premissas!$E$5:$E$44,Premissas!$A$5:$A$44,$A2414,Premissas!$B$5:$B$44,$B2414)+S2414*SUMIFS(Premissas!$F$5:$F$44,Premissas!$A$5:$A$44,$A2414,Premissas!$B$5:$B$44,$B2414)</f>
        <v/>
      </c>
      <c r="L2414" s="29">
        <f>J2414-K2414</f>
        <v/>
      </c>
      <c r="M2414" t="inlineStr">
        <is>
          <t>1.350</t>
        </is>
      </c>
      <c r="N2414" t="inlineStr">
        <is>
          <t>Modalidade: 0 - Por conta do remetente | Parte: RODRIGUES e DIAS COMERCIO DE HORTIFRUTI GRANJEIROS LTDA (09.143.905/0001-95)</t>
        </is>
      </c>
      <c r="O2414" s="29" t="n">
        <v>0</v>
      </c>
      <c r="P2414" s="29" t="n">
        <v>0</v>
      </c>
      <c r="Q2414" s="29" t="n">
        <v>0</v>
      </c>
      <c r="R2414" s="29" t="n">
        <v>0</v>
      </c>
      <c r="S2414" s="29" t="n">
        <v>0</v>
      </c>
      <c r="T2414" t="inlineStr">
        <is>
          <t>25251126975620000130570010000057531001501486</t>
        </is>
      </c>
      <c r="U2414" t="inlineStr">
        <is>
          <t>Não</t>
        </is>
      </c>
    </row>
    <row r="2415">
      <c r="A2415" t="inlineStr">
        <is>
          <t>Frete de venda</t>
        </is>
      </c>
      <c r="B2415" t="inlineStr">
        <is>
          <t>2.01.02 Frete sobre Vendas</t>
        </is>
      </c>
      <c r="C2415" t="inlineStr">
        <is>
          <t>Antes de 2026</t>
        </is>
      </c>
      <c r="D2415" t="inlineStr">
        <is>
          <t>Antes de 2026</t>
        </is>
      </c>
      <c r="E2415" s="28" t="n">
        <v>45981</v>
      </c>
      <c r="F2415" t="inlineStr">
        <is>
          <t>CT-e</t>
        </is>
      </c>
      <c r="G2415" t="inlineStr">
        <is>
          <t>000005760</t>
        </is>
      </c>
      <c r="H2415" t="inlineStr">
        <is>
          <t>R&amp;R TRANSPORTE E LOGISTICA</t>
        </is>
      </c>
      <c r="J2415" s="29" t="n">
        <v>12</v>
      </c>
      <c r="K2415" s="29">
        <f>(1-ISNUMBER(SEARCH("556",M2415)))*(O2415*SUMIFS(Premissas!$C$5:$C$44,Premissas!$A$5:$A$44,$A2415,Premissas!$B$5:$B$44,$B2415)+P2415*SUMIFS(Premissas!$D$5:$D$44,Premissas!$A$5:$A$44,$A2415,Premissas!$B$5:$B$44,$B2415))+R2415*SUMIFS(Premissas!$E$5:$E$44,Premissas!$A$5:$A$44,$A2415,Premissas!$B$5:$B$44,$B2415)+S2415*SUMIFS(Premissas!$F$5:$F$44,Premissas!$A$5:$A$44,$A2415,Premissas!$B$5:$B$44,$B2415)</f>
        <v/>
      </c>
      <c r="L2415" s="29">
        <f>J2415-K2415</f>
        <v/>
      </c>
      <c r="M2415" t="inlineStr">
        <is>
          <t>1.350</t>
        </is>
      </c>
      <c r="N2415" t="inlineStr">
        <is>
          <t>Modalidade: 0 - Por conta do remetente | Parte: DROGA A. LOPES LTDA (10.484.469/0001-05)</t>
        </is>
      </c>
      <c r="O2415" s="29" t="n">
        <v>0</v>
      </c>
      <c r="P2415" s="29" t="n">
        <v>0</v>
      </c>
      <c r="Q2415" s="29" t="n">
        <v>0</v>
      </c>
      <c r="R2415" s="29" t="n">
        <v>0</v>
      </c>
      <c r="S2415" s="29" t="n">
        <v>0</v>
      </c>
      <c r="T2415" t="inlineStr">
        <is>
          <t>25251126975620000130570010000057601000160833</t>
        </is>
      </c>
      <c r="U2415" t="inlineStr">
        <is>
          <t>Não</t>
        </is>
      </c>
    </row>
    <row r="2416">
      <c r="A2416" t="inlineStr">
        <is>
          <t>Frete de venda</t>
        </is>
      </c>
      <c r="B2416" t="inlineStr">
        <is>
          <t>2.01.02 Frete sobre Vendas</t>
        </is>
      </c>
      <c r="C2416" t="inlineStr">
        <is>
          <t>Antes de 2026</t>
        </is>
      </c>
      <c r="D2416" t="inlineStr">
        <is>
          <t>Antes de 2026</t>
        </is>
      </c>
      <c r="E2416" s="28" t="n">
        <v>45981</v>
      </c>
      <c r="F2416" t="inlineStr">
        <is>
          <t>CT-e</t>
        </is>
      </c>
      <c r="G2416" t="inlineStr">
        <is>
          <t>000005761</t>
        </is>
      </c>
      <c r="H2416" t="inlineStr">
        <is>
          <t>R&amp;R TRANSPORTE E LOGISTICA</t>
        </is>
      </c>
      <c r="J2416" s="29" t="n">
        <v>16.25</v>
      </c>
      <c r="K2416" s="29">
        <f>(1-ISNUMBER(SEARCH("556",M2416)))*(O2416*SUMIFS(Premissas!$C$5:$C$44,Premissas!$A$5:$A$44,$A2416,Premissas!$B$5:$B$44,$B2416)+P2416*SUMIFS(Premissas!$D$5:$D$44,Premissas!$A$5:$A$44,$A2416,Premissas!$B$5:$B$44,$B2416))+R2416*SUMIFS(Premissas!$E$5:$E$44,Premissas!$A$5:$A$44,$A2416,Premissas!$B$5:$B$44,$B2416)+S2416*SUMIFS(Premissas!$F$5:$F$44,Premissas!$A$5:$A$44,$A2416,Premissas!$B$5:$B$44,$B2416)</f>
        <v/>
      </c>
      <c r="L2416" s="29">
        <f>J2416-K2416</f>
        <v/>
      </c>
      <c r="M2416" t="inlineStr">
        <is>
          <t>1.350</t>
        </is>
      </c>
      <c r="N2416" t="inlineStr">
        <is>
          <t>Modalidade: 0 - Por conta do remetente | Parte: ARMAZEM DO QUEIJO COMERCIO DE LATICINIOS LTDA (33.554.984/0001-01)</t>
        </is>
      </c>
      <c r="O2416" s="29" t="n">
        <v>0</v>
      </c>
      <c r="P2416" s="29" t="n">
        <v>0</v>
      </c>
      <c r="Q2416" s="29" t="n">
        <v>0</v>
      </c>
      <c r="R2416" s="29" t="n">
        <v>0</v>
      </c>
      <c r="S2416" s="29" t="n">
        <v>0</v>
      </c>
      <c r="T2416" t="inlineStr">
        <is>
          <t>25251126975620000130570010000057611000130915</t>
        </is>
      </c>
      <c r="U2416" t="inlineStr">
        <is>
          <t>Não</t>
        </is>
      </c>
    </row>
    <row r="2417">
      <c r="A2417" t="inlineStr">
        <is>
          <t>Frete de venda</t>
        </is>
      </c>
      <c r="B2417" t="inlineStr">
        <is>
          <t>2.01.02 Frete sobre Vendas</t>
        </is>
      </c>
      <c r="C2417" t="inlineStr">
        <is>
          <t>Antes de 2026</t>
        </is>
      </c>
      <c r="D2417" t="inlineStr">
        <is>
          <t>Antes de 2026</t>
        </is>
      </c>
      <c r="E2417" s="28" t="n">
        <v>45981</v>
      </c>
      <c r="F2417" t="inlineStr">
        <is>
          <t>CT-e</t>
        </is>
      </c>
      <c r="G2417" t="inlineStr">
        <is>
          <t>000005762</t>
        </is>
      </c>
      <c r="H2417" t="inlineStr">
        <is>
          <t>R&amp;R TRANSPORTE E LOGISTICA</t>
        </is>
      </c>
      <c r="J2417" s="29" t="n">
        <v>14.17</v>
      </c>
      <c r="K2417" s="29">
        <f>(1-ISNUMBER(SEARCH("556",M2417)))*(O2417*SUMIFS(Premissas!$C$5:$C$44,Premissas!$A$5:$A$44,$A2417,Premissas!$B$5:$B$44,$B2417)+P2417*SUMIFS(Premissas!$D$5:$D$44,Premissas!$A$5:$A$44,$A2417,Premissas!$B$5:$B$44,$B2417))+R2417*SUMIFS(Premissas!$E$5:$E$44,Premissas!$A$5:$A$44,$A2417,Premissas!$B$5:$B$44,$B2417)+S2417*SUMIFS(Premissas!$F$5:$F$44,Premissas!$A$5:$A$44,$A2417,Premissas!$B$5:$B$44,$B2417)</f>
        <v/>
      </c>
      <c r="L2417" s="29">
        <f>J2417-K2417</f>
        <v/>
      </c>
      <c r="M2417" t="inlineStr">
        <is>
          <t>1.350</t>
        </is>
      </c>
      <c r="N2417" t="inlineStr">
        <is>
          <t>Modalidade: 0 - Por conta do remetente | Parte: A. C. D. A. IMPORTACAO E EXPORTACAO LTDA (84.308.980/0014-07)</t>
        </is>
      </c>
      <c r="O2417" s="29" t="n">
        <v>0</v>
      </c>
      <c r="P2417" s="29" t="n">
        <v>0</v>
      </c>
      <c r="Q2417" s="29" t="n">
        <v>0</v>
      </c>
      <c r="R2417" s="29" t="n">
        <v>0</v>
      </c>
      <c r="S2417" s="29" t="n">
        <v>0</v>
      </c>
      <c r="T2417" t="inlineStr">
        <is>
          <t>25251126975620000130570010000057621000010992</t>
        </is>
      </c>
      <c r="U2417" t="inlineStr">
        <is>
          <t>Não</t>
        </is>
      </c>
    </row>
    <row r="2418">
      <c r="A2418" t="inlineStr">
        <is>
          <t>Frete de venda</t>
        </is>
      </c>
      <c r="B2418" t="inlineStr">
        <is>
          <t>2.01.02 Frete sobre Vendas</t>
        </is>
      </c>
      <c r="C2418" t="inlineStr">
        <is>
          <t>Antes de 2026</t>
        </is>
      </c>
      <c r="D2418" t="inlineStr">
        <is>
          <t>Antes de 2026</t>
        </is>
      </c>
      <c r="E2418" s="28" t="n">
        <v>45981</v>
      </c>
      <c r="F2418" t="inlineStr">
        <is>
          <t>CT-e</t>
        </is>
      </c>
      <c r="G2418" t="inlineStr">
        <is>
          <t>000005763</t>
        </is>
      </c>
      <c r="H2418" t="inlineStr">
        <is>
          <t>R&amp;R TRANSPORTE E LOGISTICA</t>
        </is>
      </c>
      <c r="J2418" s="29" t="n">
        <v>12.08</v>
      </c>
      <c r="K2418" s="29">
        <f>(1-ISNUMBER(SEARCH("556",M2418)))*(O2418*SUMIFS(Premissas!$C$5:$C$44,Premissas!$A$5:$A$44,$A2418,Premissas!$B$5:$B$44,$B2418)+P2418*SUMIFS(Premissas!$D$5:$D$44,Premissas!$A$5:$A$44,$A2418,Premissas!$B$5:$B$44,$B2418))+R2418*SUMIFS(Premissas!$E$5:$E$44,Premissas!$A$5:$A$44,$A2418,Premissas!$B$5:$B$44,$B2418)+S2418*SUMIFS(Premissas!$F$5:$F$44,Premissas!$A$5:$A$44,$A2418,Premissas!$B$5:$B$44,$B2418)</f>
        <v/>
      </c>
      <c r="L2418" s="29">
        <f>J2418-K2418</f>
        <v/>
      </c>
      <c r="M2418" t="inlineStr">
        <is>
          <t>1.350</t>
        </is>
      </c>
      <c r="N2418" t="inlineStr">
        <is>
          <t>Modalidade: 0 - Por conta do remetente | Parte: G. I. C. CAMELI (09.007.823/0001-13)</t>
        </is>
      </c>
      <c r="O2418" s="29" t="n">
        <v>0</v>
      </c>
      <c r="P2418" s="29" t="n">
        <v>0</v>
      </c>
      <c r="Q2418" s="29" t="n">
        <v>0</v>
      </c>
      <c r="R2418" s="29" t="n">
        <v>0</v>
      </c>
      <c r="S2418" s="29" t="n">
        <v>0</v>
      </c>
      <c r="T2418" t="inlineStr">
        <is>
          <t>25251126975620000130570010000057631001801079</t>
        </is>
      </c>
      <c r="U2418" t="inlineStr">
        <is>
          <t>Não</t>
        </is>
      </c>
    </row>
    <row r="2419">
      <c r="A2419" t="inlineStr">
        <is>
          <t>Frete de venda</t>
        </is>
      </c>
      <c r="B2419" t="inlineStr">
        <is>
          <t>2.01.02 Frete sobre Vendas</t>
        </is>
      </c>
      <c r="C2419" t="inlineStr">
        <is>
          <t>Antes de 2026</t>
        </is>
      </c>
      <c r="D2419" t="inlineStr">
        <is>
          <t>Antes de 2026</t>
        </is>
      </c>
      <c r="E2419" s="28" t="n">
        <v>45981</v>
      </c>
      <c r="F2419" t="inlineStr">
        <is>
          <t>CT-e</t>
        </is>
      </c>
      <c r="G2419" t="inlineStr">
        <is>
          <t>000005764</t>
        </is>
      </c>
      <c r="H2419" t="inlineStr">
        <is>
          <t>R&amp;R TRANSPORTE E LOGISTICA</t>
        </is>
      </c>
      <c r="J2419" s="29" t="n">
        <v>33.68</v>
      </c>
      <c r="K2419" s="29">
        <f>(1-ISNUMBER(SEARCH("556",M2419)))*(O2419*SUMIFS(Premissas!$C$5:$C$44,Premissas!$A$5:$A$44,$A2419,Premissas!$B$5:$B$44,$B2419)+P2419*SUMIFS(Premissas!$D$5:$D$44,Premissas!$A$5:$A$44,$A2419,Premissas!$B$5:$B$44,$B2419))+R2419*SUMIFS(Premissas!$E$5:$E$44,Premissas!$A$5:$A$44,$A2419,Premissas!$B$5:$B$44,$B2419)+S2419*SUMIFS(Premissas!$F$5:$F$44,Premissas!$A$5:$A$44,$A2419,Premissas!$B$5:$B$44,$B2419)</f>
        <v/>
      </c>
      <c r="L2419" s="29">
        <f>J2419-K2419</f>
        <v/>
      </c>
      <c r="M2419" t="inlineStr">
        <is>
          <t>1.350</t>
        </is>
      </c>
      <c r="N2419" t="inlineStr">
        <is>
          <t>Modalidade: 0 - Por conta do remetente | Parte: L. C. DE ANDRADE LTDA (51.921.825/0001-80)</t>
        </is>
      </c>
      <c r="O2419" s="29" t="n">
        <v>0</v>
      </c>
      <c r="P2419" s="29" t="n">
        <v>0</v>
      </c>
      <c r="Q2419" s="29" t="n">
        <v>0</v>
      </c>
      <c r="R2419" s="29" t="n">
        <v>0</v>
      </c>
      <c r="S2419" s="29" t="n">
        <v>0</v>
      </c>
      <c r="T2419" t="inlineStr">
        <is>
          <t>25251126975620000130570010000057641001501153</t>
        </is>
      </c>
      <c r="U2419" t="inlineStr">
        <is>
          <t>Não</t>
        </is>
      </c>
    </row>
    <row r="2420">
      <c r="A2420" t="inlineStr">
        <is>
          <t>Frete de venda</t>
        </is>
      </c>
      <c r="B2420" t="inlineStr">
        <is>
          <t>2.01.02 Frete sobre Vendas</t>
        </is>
      </c>
      <c r="C2420" t="inlineStr">
        <is>
          <t>Antes de 2026</t>
        </is>
      </c>
      <c r="D2420" t="inlineStr">
        <is>
          <t>Antes de 2026</t>
        </is>
      </c>
      <c r="E2420" s="28" t="n">
        <v>45981</v>
      </c>
      <c r="F2420" t="inlineStr">
        <is>
          <t>CT-e</t>
        </is>
      </c>
      <c r="G2420" t="inlineStr">
        <is>
          <t>000005765</t>
        </is>
      </c>
      <c r="H2420" t="inlineStr">
        <is>
          <t>R&amp;R TRANSPORTE E LOGISTICA</t>
        </is>
      </c>
      <c r="J2420" s="29" t="n">
        <v>96.69</v>
      </c>
      <c r="K2420" s="29">
        <f>(1-ISNUMBER(SEARCH("556",M2420)))*(O2420*SUMIFS(Premissas!$C$5:$C$44,Premissas!$A$5:$A$44,$A2420,Premissas!$B$5:$B$44,$B2420)+P2420*SUMIFS(Premissas!$D$5:$D$44,Premissas!$A$5:$A$44,$A2420,Premissas!$B$5:$B$44,$B2420))+R2420*SUMIFS(Premissas!$E$5:$E$44,Premissas!$A$5:$A$44,$A2420,Premissas!$B$5:$B$44,$B2420)+S2420*SUMIFS(Premissas!$F$5:$F$44,Premissas!$A$5:$A$44,$A2420,Premissas!$B$5:$B$44,$B2420)</f>
        <v/>
      </c>
      <c r="L2420" s="29">
        <f>J2420-K2420</f>
        <v/>
      </c>
      <c r="M2420" t="inlineStr">
        <is>
          <t>1.350</t>
        </is>
      </c>
      <c r="N2420" t="inlineStr">
        <is>
          <t>Modalidade: 0 - Por conta do remetente | Parte: EMBALE DISTRIBUIDORA LTDA (33.193.258/0001-00)</t>
        </is>
      </c>
      <c r="O2420" s="29" t="n">
        <v>0</v>
      </c>
      <c r="P2420" s="29" t="n">
        <v>0</v>
      </c>
      <c r="Q2420" s="29" t="n">
        <v>0</v>
      </c>
      <c r="R2420" s="29" t="n">
        <v>0</v>
      </c>
      <c r="S2420" s="29" t="n">
        <v>0</v>
      </c>
      <c r="T2420" t="inlineStr">
        <is>
          <t>25251126975620000130570010000057651001201238</t>
        </is>
      </c>
      <c r="U2420" t="inlineStr">
        <is>
          <t>Não</t>
        </is>
      </c>
    </row>
    <row r="2421">
      <c r="A2421" t="inlineStr">
        <is>
          <t>Frete de venda</t>
        </is>
      </c>
      <c r="B2421" t="inlineStr">
        <is>
          <t>2.01.02 Frete sobre Vendas</t>
        </is>
      </c>
      <c r="C2421" t="inlineStr">
        <is>
          <t>Antes de 2026</t>
        </is>
      </c>
      <c r="D2421" t="inlineStr">
        <is>
          <t>Antes de 2026</t>
        </is>
      </c>
      <c r="E2421" s="28" t="n">
        <v>45981</v>
      </c>
      <c r="F2421" t="inlineStr">
        <is>
          <t>CT-e</t>
        </is>
      </c>
      <c r="G2421" t="inlineStr">
        <is>
          <t>000005766</t>
        </is>
      </c>
      <c r="H2421" t="inlineStr">
        <is>
          <t>R&amp;R TRANSPORTE E LOGISTICA</t>
        </is>
      </c>
      <c r="J2421" s="29" t="n">
        <v>6.95</v>
      </c>
      <c r="K2421" s="29">
        <f>(1-ISNUMBER(SEARCH("556",M2421)))*(O2421*SUMIFS(Premissas!$C$5:$C$44,Premissas!$A$5:$A$44,$A2421,Premissas!$B$5:$B$44,$B2421)+P2421*SUMIFS(Premissas!$D$5:$D$44,Premissas!$A$5:$A$44,$A2421,Premissas!$B$5:$B$44,$B2421))+R2421*SUMIFS(Premissas!$E$5:$E$44,Premissas!$A$5:$A$44,$A2421,Premissas!$B$5:$B$44,$B2421)+S2421*SUMIFS(Premissas!$F$5:$F$44,Premissas!$A$5:$A$44,$A2421,Premissas!$B$5:$B$44,$B2421)</f>
        <v/>
      </c>
      <c r="L2421" s="29">
        <f>J2421-K2421</f>
        <v/>
      </c>
      <c r="M2421" t="inlineStr">
        <is>
          <t>1.350</t>
        </is>
      </c>
      <c r="N2421" t="inlineStr">
        <is>
          <t>Modalidade: 0 - Por conta do remetente | Parte: JG COMERCIO DE EMBALAGENS LTDA (29.904.096/0001-02)</t>
        </is>
      </c>
      <c r="O2421" s="29" t="n">
        <v>0</v>
      </c>
      <c r="P2421" s="29" t="n">
        <v>0</v>
      </c>
      <c r="Q2421" s="29" t="n">
        <v>0</v>
      </c>
      <c r="R2421" s="29" t="n">
        <v>0</v>
      </c>
      <c r="S2421" s="29" t="n">
        <v>0</v>
      </c>
      <c r="T2421" t="inlineStr">
        <is>
          <t>25251126975620000130570010000057661011001310</t>
        </is>
      </c>
      <c r="U2421" t="inlineStr">
        <is>
          <t>Não</t>
        </is>
      </c>
    </row>
    <row r="2422">
      <c r="A2422" t="inlineStr">
        <is>
          <t>Frete de venda</t>
        </is>
      </c>
      <c r="B2422" t="inlineStr">
        <is>
          <t>2.01.02 Frete sobre Vendas</t>
        </is>
      </c>
      <c r="C2422" t="inlineStr">
        <is>
          <t>Antes de 2026</t>
        </is>
      </c>
      <c r="D2422" t="inlineStr">
        <is>
          <t>Antes de 2026</t>
        </is>
      </c>
      <c r="E2422" s="28" t="n">
        <v>45981</v>
      </c>
      <c r="F2422" t="inlineStr">
        <is>
          <t>CT-e</t>
        </is>
      </c>
      <c r="G2422" t="inlineStr">
        <is>
          <t>000005767</t>
        </is>
      </c>
      <c r="H2422" t="inlineStr">
        <is>
          <t>R&amp;R TRANSPORTE E LOGISTICA</t>
        </is>
      </c>
      <c r="J2422" s="29" t="n">
        <v>44.05</v>
      </c>
      <c r="K2422" s="29">
        <f>(1-ISNUMBER(SEARCH("556",M2422)))*(O2422*SUMIFS(Premissas!$C$5:$C$44,Premissas!$A$5:$A$44,$A2422,Premissas!$B$5:$B$44,$B2422)+P2422*SUMIFS(Premissas!$D$5:$D$44,Premissas!$A$5:$A$44,$A2422,Premissas!$B$5:$B$44,$B2422))+R2422*SUMIFS(Premissas!$E$5:$E$44,Premissas!$A$5:$A$44,$A2422,Premissas!$B$5:$B$44,$B2422)+S2422*SUMIFS(Premissas!$F$5:$F$44,Premissas!$A$5:$A$44,$A2422,Premissas!$B$5:$B$44,$B2422)</f>
        <v/>
      </c>
      <c r="L2422" s="29">
        <f>J2422-K2422</f>
        <v/>
      </c>
      <c r="M2422" t="inlineStr">
        <is>
          <t>1.350</t>
        </is>
      </c>
      <c r="N2422" t="inlineStr">
        <is>
          <t>Modalidade: 0 - Por conta do remetente | Parte: LEPETTI DOCES BSB LTDA (27.023.179/0001-59)</t>
        </is>
      </c>
      <c r="O2422" s="29" t="n">
        <v>0</v>
      </c>
      <c r="P2422" s="29" t="n">
        <v>0</v>
      </c>
      <c r="Q2422" s="29" t="n">
        <v>0</v>
      </c>
      <c r="R2422" s="29" t="n">
        <v>0</v>
      </c>
      <c r="S2422" s="29" t="n">
        <v>0</v>
      </c>
      <c r="T2422" t="inlineStr">
        <is>
          <t>25251126975620000130570010000057671001701391</t>
        </is>
      </c>
      <c r="U2422" t="inlineStr">
        <is>
          <t>Não</t>
        </is>
      </c>
    </row>
    <row r="2423">
      <c r="A2423" t="inlineStr">
        <is>
          <t>Frete de venda</t>
        </is>
      </c>
      <c r="B2423" t="inlineStr">
        <is>
          <t>2.01.02 Frete sobre Vendas</t>
        </is>
      </c>
      <c r="C2423" t="inlineStr">
        <is>
          <t>Antes de 2026</t>
        </is>
      </c>
      <c r="D2423" t="inlineStr">
        <is>
          <t>Antes de 2026</t>
        </is>
      </c>
      <c r="E2423" s="28" t="n">
        <v>45981</v>
      </c>
      <c r="F2423" t="inlineStr">
        <is>
          <t>CT-e</t>
        </is>
      </c>
      <c r="G2423" t="inlineStr">
        <is>
          <t>000005768</t>
        </is>
      </c>
      <c r="H2423" t="inlineStr">
        <is>
          <t>R&amp;R TRANSPORTE E LOGISTICA</t>
        </is>
      </c>
      <c r="J2423" s="29" t="n">
        <v>23.47</v>
      </c>
      <c r="K2423" s="29">
        <f>(1-ISNUMBER(SEARCH("556",M2423)))*(O2423*SUMIFS(Premissas!$C$5:$C$44,Premissas!$A$5:$A$44,$A2423,Premissas!$B$5:$B$44,$B2423)+P2423*SUMIFS(Premissas!$D$5:$D$44,Premissas!$A$5:$A$44,$A2423,Premissas!$B$5:$B$44,$B2423))+R2423*SUMIFS(Premissas!$E$5:$E$44,Premissas!$A$5:$A$44,$A2423,Premissas!$B$5:$B$44,$B2423)+S2423*SUMIFS(Premissas!$F$5:$F$44,Premissas!$A$5:$A$44,$A2423,Premissas!$B$5:$B$44,$B2423)</f>
        <v/>
      </c>
      <c r="L2423" s="29">
        <f>J2423-K2423</f>
        <v/>
      </c>
      <c r="M2423" t="inlineStr">
        <is>
          <t>1.350</t>
        </is>
      </c>
      <c r="N2423" t="inlineStr">
        <is>
          <t>Modalidade: 0 - Por conta do remetente | Parte: ARMAZEM DO QUEIJO COMERCIO DE LATICINIOS LTDA (33.554.984/0002-92)</t>
        </is>
      </c>
      <c r="O2423" s="29" t="n">
        <v>0</v>
      </c>
      <c r="P2423" s="29" t="n">
        <v>0</v>
      </c>
      <c r="Q2423" s="29" t="n">
        <v>0</v>
      </c>
      <c r="R2423" s="29" t="n">
        <v>0</v>
      </c>
      <c r="S2423" s="29" t="n">
        <v>0</v>
      </c>
      <c r="T2423" t="inlineStr">
        <is>
          <t>25251126975620000130570010000057681001401476</t>
        </is>
      </c>
      <c r="U2423" t="inlineStr">
        <is>
          <t>Não</t>
        </is>
      </c>
    </row>
    <row r="2424">
      <c r="A2424" t="inlineStr">
        <is>
          <t>Frete de venda</t>
        </is>
      </c>
      <c r="B2424" t="inlineStr">
        <is>
          <t>2.01.02 Frete sobre Vendas</t>
        </is>
      </c>
      <c r="C2424" t="inlineStr">
        <is>
          <t>Antes de 2026</t>
        </is>
      </c>
      <c r="D2424" t="inlineStr">
        <is>
          <t>Antes de 2026</t>
        </is>
      </c>
      <c r="E2424" s="28" t="n">
        <v>45981</v>
      </c>
      <c r="F2424" t="inlineStr">
        <is>
          <t>CT-e</t>
        </is>
      </c>
      <c r="G2424" t="inlineStr">
        <is>
          <t>000005769</t>
        </is>
      </c>
      <c r="H2424" t="inlineStr">
        <is>
          <t>R&amp;R TRANSPORTE E LOGISTICA</t>
        </is>
      </c>
      <c r="J2424" s="29" t="n">
        <v>16.25</v>
      </c>
      <c r="K2424" s="29">
        <f>(1-ISNUMBER(SEARCH("556",M2424)))*(O2424*SUMIFS(Premissas!$C$5:$C$44,Premissas!$A$5:$A$44,$A2424,Premissas!$B$5:$B$44,$B2424)+P2424*SUMIFS(Premissas!$D$5:$D$44,Premissas!$A$5:$A$44,$A2424,Premissas!$B$5:$B$44,$B2424))+R2424*SUMIFS(Premissas!$E$5:$E$44,Premissas!$A$5:$A$44,$A2424,Premissas!$B$5:$B$44,$B2424)+S2424*SUMIFS(Premissas!$F$5:$F$44,Premissas!$A$5:$A$44,$A2424,Premissas!$B$5:$B$44,$B2424)</f>
        <v/>
      </c>
      <c r="L2424" s="29">
        <f>J2424-K2424</f>
        <v/>
      </c>
      <c r="M2424" t="inlineStr">
        <is>
          <t>1.350</t>
        </is>
      </c>
      <c r="N2424" t="inlineStr">
        <is>
          <t>Modalidade: 0 - Por conta do remetente | Parte: ARMAZEM DO QUEIJO ATACAREJO LTDA (47.477.316/0001-32)</t>
        </is>
      </c>
      <c r="O2424" s="29" t="n">
        <v>0</v>
      </c>
      <c r="P2424" s="29" t="n">
        <v>0</v>
      </c>
      <c r="Q2424" s="29" t="n">
        <v>0</v>
      </c>
      <c r="R2424" s="29" t="n">
        <v>0</v>
      </c>
      <c r="S2424" s="29" t="n">
        <v>0</v>
      </c>
      <c r="T2424" t="inlineStr">
        <is>
          <t>25251126975620000130570010000057691000150825</t>
        </is>
      </c>
      <c r="U2424" t="inlineStr">
        <is>
          <t>Não</t>
        </is>
      </c>
    </row>
    <row r="2425">
      <c r="A2425" t="inlineStr">
        <is>
          <t>Frete de venda</t>
        </is>
      </c>
      <c r="B2425" t="inlineStr">
        <is>
          <t>2.01.02 Frete sobre Vendas</t>
        </is>
      </c>
      <c r="C2425" t="inlineStr">
        <is>
          <t>Antes de 2026</t>
        </is>
      </c>
      <c r="D2425" t="inlineStr">
        <is>
          <t>Antes de 2026</t>
        </is>
      </c>
      <c r="E2425" s="28" t="n">
        <v>45981</v>
      </c>
      <c r="F2425" t="inlineStr">
        <is>
          <t>CT-e</t>
        </is>
      </c>
      <c r="G2425" t="inlineStr">
        <is>
          <t>000005770</t>
        </is>
      </c>
      <c r="H2425" t="inlineStr">
        <is>
          <t>R&amp;R TRANSPORTE E LOGISTICA</t>
        </is>
      </c>
      <c r="J2425" s="29" t="n">
        <v>21.44</v>
      </c>
      <c r="K2425" s="29">
        <f>(1-ISNUMBER(SEARCH("556",M2425)))*(O2425*SUMIFS(Premissas!$C$5:$C$44,Premissas!$A$5:$A$44,$A2425,Premissas!$B$5:$B$44,$B2425)+P2425*SUMIFS(Premissas!$D$5:$D$44,Premissas!$A$5:$A$44,$A2425,Premissas!$B$5:$B$44,$B2425))+R2425*SUMIFS(Premissas!$E$5:$E$44,Premissas!$A$5:$A$44,$A2425,Premissas!$B$5:$B$44,$B2425)+S2425*SUMIFS(Premissas!$F$5:$F$44,Premissas!$A$5:$A$44,$A2425,Premissas!$B$5:$B$44,$B2425)</f>
        <v/>
      </c>
      <c r="L2425" s="29">
        <f>J2425-K2425</f>
        <v/>
      </c>
      <c r="M2425" t="inlineStr">
        <is>
          <t>1.350</t>
        </is>
      </c>
      <c r="N2425" t="inlineStr">
        <is>
          <t>Modalidade: 0 - Por conta do remetente | Parte: M C PACHECO (17.808.645/0001-58)</t>
        </is>
      </c>
      <c r="O2425" s="29" t="n">
        <v>0</v>
      </c>
      <c r="P2425" s="29" t="n">
        <v>0</v>
      </c>
      <c r="Q2425" s="29" t="n">
        <v>0</v>
      </c>
      <c r="R2425" s="29" t="n">
        <v>0</v>
      </c>
      <c r="S2425" s="29" t="n">
        <v>0</v>
      </c>
      <c r="T2425" t="inlineStr">
        <is>
          <t>25251126975620000130570010000057701000120900</t>
        </is>
      </c>
      <c r="U2425" t="inlineStr">
        <is>
          <t>Não</t>
        </is>
      </c>
    </row>
    <row r="2426">
      <c r="A2426" t="inlineStr">
        <is>
          <t>Frete de venda</t>
        </is>
      </c>
      <c r="B2426" t="inlineStr">
        <is>
          <t>2.01.02 Frete sobre Vendas</t>
        </is>
      </c>
      <c r="C2426" t="inlineStr">
        <is>
          <t>Antes de 2026</t>
        </is>
      </c>
      <c r="D2426" t="inlineStr">
        <is>
          <t>Antes de 2026</t>
        </is>
      </c>
      <c r="E2426" s="28" t="n">
        <v>45981</v>
      </c>
      <c r="F2426" t="inlineStr">
        <is>
          <t>CT-e</t>
        </is>
      </c>
      <c r="G2426" t="inlineStr">
        <is>
          <t>000005771</t>
        </is>
      </c>
      <c r="H2426" t="inlineStr">
        <is>
          <t>R&amp;R TRANSPORTE E LOGISTICA</t>
        </is>
      </c>
      <c r="J2426" s="29" t="n">
        <v>115.21</v>
      </c>
      <c r="K2426" s="29">
        <f>(1-ISNUMBER(SEARCH("556",M2426)))*(O2426*SUMIFS(Premissas!$C$5:$C$44,Premissas!$A$5:$A$44,$A2426,Premissas!$B$5:$B$44,$B2426)+P2426*SUMIFS(Premissas!$D$5:$D$44,Premissas!$A$5:$A$44,$A2426,Premissas!$B$5:$B$44,$B2426))+R2426*SUMIFS(Premissas!$E$5:$E$44,Premissas!$A$5:$A$44,$A2426,Premissas!$B$5:$B$44,$B2426)+S2426*SUMIFS(Premissas!$F$5:$F$44,Premissas!$A$5:$A$44,$A2426,Premissas!$B$5:$B$44,$B2426)</f>
        <v/>
      </c>
      <c r="L2426" s="29">
        <f>J2426-K2426</f>
        <v/>
      </c>
      <c r="M2426" t="inlineStr">
        <is>
          <t>1.350</t>
        </is>
      </c>
      <c r="N2426" t="inlineStr">
        <is>
          <t>Modalidade: 0 - Por conta do remetente | Parte: CASA PACK DISTRIBUICAO DE EMBALAGENS LTDA (43.564.720/0001-92)</t>
        </is>
      </c>
      <c r="O2426" s="29" t="n">
        <v>0</v>
      </c>
      <c r="P2426" s="29" t="n">
        <v>0</v>
      </c>
      <c r="Q2426" s="29" t="n">
        <v>0</v>
      </c>
      <c r="R2426" s="29" t="n">
        <v>0</v>
      </c>
      <c r="S2426" s="29" t="n">
        <v>0</v>
      </c>
      <c r="T2426" t="inlineStr">
        <is>
          <t>25251126975620000130570010000057711001100986</t>
        </is>
      </c>
      <c r="U2426" t="inlineStr">
        <is>
          <t>Não</t>
        </is>
      </c>
    </row>
    <row r="2427">
      <c r="A2427" t="inlineStr">
        <is>
          <t>Frete de venda</t>
        </is>
      </c>
      <c r="B2427" t="inlineStr">
        <is>
          <t>2.01.02 Frete sobre Vendas</t>
        </is>
      </c>
      <c r="C2427" t="inlineStr">
        <is>
          <t>Antes de 2026</t>
        </is>
      </c>
      <c r="D2427" t="inlineStr">
        <is>
          <t>Antes de 2026</t>
        </is>
      </c>
      <c r="E2427" s="28" t="n">
        <v>45981</v>
      </c>
      <c r="F2427" t="inlineStr">
        <is>
          <t>CT-e</t>
        </is>
      </c>
      <c r="G2427" t="inlineStr">
        <is>
          <t>000005772</t>
        </is>
      </c>
      <c r="H2427" t="inlineStr">
        <is>
          <t>R&amp;R TRANSPORTE E LOGISTICA</t>
        </is>
      </c>
      <c r="J2427" s="29" t="n">
        <v>30.62</v>
      </c>
      <c r="K2427" s="29">
        <f>(1-ISNUMBER(SEARCH("556",M2427)))*(O2427*SUMIFS(Premissas!$C$5:$C$44,Premissas!$A$5:$A$44,$A2427,Premissas!$B$5:$B$44,$B2427)+P2427*SUMIFS(Premissas!$D$5:$D$44,Premissas!$A$5:$A$44,$A2427,Premissas!$B$5:$B$44,$B2427))+R2427*SUMIFS(Premissas!$E$5:$E$44,Premissas!$A$5:$A$44,$A2427,Premissas!$B$5:$B$44,$B2427)+S2427*SUMIFS(Premissas!$F$5:$F$44,Premissas!$A$5:$A$44,$A2427,Premissas!$B$5:$B$44,$B2427)</f>
        <v/>
      </c>
      <c r="L2427" s="29">
        <f>J2427-K2427</f>
        <v/>
      </c>
      <c r="M2427" t="inlineStr">
        <is>
          <t>1.350</t>
        </is>
      </c>
      <c r="N2427" t="inlineStr">
        <is>
          <t>Modalidade: 0 - Por conta do remetente | Parte: S R FERREIRA COMERCIO DE EMBALAGENS (29.044.977/0001-92)</t>
        </is>
      </c>
      <c r="O2427" s="29" t="n">
        <v>0</v>
      </c>
      <c r="P2427" s="29" t="n">
        <v>0</v>
      </c>
      <c r="Q2427" s="29" t="n">
        <v>0</v>
      </c>
      <c r="R2427" s="29" t="n">
        <v>0</v>
      </c>
      <c r="S2427" s="29" t="n">
        <v>0</v>
      </c>
      <c r="T2427" t="inlineStr">
        <is>
          <t>25251126975620000130570010000057721001701065</t>
        </is>
      </c>
      <c r="U2427" t="inlineStr">
        <is>
          <t>Não</t>
        </is>
      </c>
    </row>
    <row r="2428">
      <c r="A2428" t="inlineStr">
        <is>
          <t>Frete de venda</t>
        </is>
      </c>
      <c r="B2428" t="inlineStr">
        <is>
          <t>2.01.02 Frete sobre Vendas</t>
        </is>
      </c>
      <c r="C2428" t="inlineStr">
        <is>
          <t>Antes de 2026</t>
        </is>
      </c>
      <c r="D2428" t="inlineStr">
        <is>
          <t>Antes de 2026</t>
        </is>
      </c>
      <c r="E2428" s="28" t="n">
        <v>45981</v>
      </c>
      <c r="F2428" t="inlineStr">
        <is>
          <t>CT-e</t>
        </is>
      </c>
      <c r="G2428" t="inlineStr">
        <is>
          <t>000005773</t>
        </is>
      </c>
      <c r="H2428" t="inlineStr">
        <is>
          <t>R&amp;R TRANSPORTE E LOGISTICA</t>
        </is>
      </c>
      <c r="J2428" s="29" t="n">
        <v>21.37</v>
      </c>
      <c r="K2428" s="29">
        <f>(1-ISNUMBER(SEARCH("556",M2428)))*(O2428*SUMIFS(Premissas!$C$5:$C$44,Premissas!$A$5:$A$44,$A2428,Premissas!$B$5:$B$44,$B2428)+P2428*SUMIFS(Premissas!$D$5:$D$44,Premissas!$A$5:$A$44,$A2428,Premissas!$B$5:$B$44,$B2428))+R2428*SUMIFS(Premissas!$E$5:$E$44,Premissas!$A$5:$A$44,$A2428,Premissas!$B$5:$B$44,$B2428)+S2428*SUMIFS(Premissas!$F$5:$F$44,Premissas!$A$5:$A$44,$A2428,Premissas!$B$5:$B$44,$B2428)</f>
        <v/>
      </c>
      <c r="L2428" s="29">
        <f>J2428-K2428</f>
        <v/>
      </c>
      <c r="M2428" t="inlineStr">
        <is>
          <t>1.350</t>
        </is>
      </c>
      <c r="N2428" t="inlineStr">
        <is>
          <t>Modalidade: 0 - Por conta do remetente | Parte: IRMAOS BATISTA REZENDE LTDA (13.916.629/0001-28)</t>
        </is>
      </c>
      <c r="O2428" s="29" t="n">
        <v>0</v>
      </c>
      <c r="P2428" s="29" t="n">
        <v>0</v>
      </c>
      <c r="Q2428" s="29" t="n">
        <v>0</v>
      </c>
      <c r="R2428" s="29" t="n">
        <v>0</v>
      </c>
      <c r="S2428" s="29" t="n">
        <v>0</v>
      </c>
      <c r="T2428" t="inlineStr">
        <is>
          <t>25251126975620000130570010000057731001401140</t>
        </is>
      </c>
      <c r="U2428" t="inlineStr">
        <is>
          <t>Não</t>
        </is>
      </c>
    </row>
    <row r="2429">
      <c r="A2429" t="inlineStr">
        <is>
          <t>Frete de venda</t>
        </is>
      </c>
      <c r="B2429" t="inlineStr">
        <is>
          <t>2.01.02 Frete sobre Vendas</t>
        </is>
      </c>
      <c r="C2429" t="inlineStr">
        <is>
          <t>Antes de 2026</t>
        </is>
      </c>
      <c r="D2429" t="inlineStr">
        <is>
          <t>Antes de 2026</t>
        </is>
      </c>
      <c r="E2429" s="28" t="n">
        <v>45981</v>
      </c>
      <c r="F2429" t="inlineStr">
        <is>
          <t>CT-e</t>
        </is>
      </c>
      <c r="G2429" t="inlineStr">
        <is>
          <t>000005774</t>
        </is>
      </c>
      <c r="H2429" t="inlineStr">
        <is>
          <t>R&amp;R TRANSPORTE E LOGISTICA</t>
        </is>
      </c>
      <c r="J2429" s="29" t="n">
        <v>23.09</v>
      </c>
      <c r="K2429" s="29">
        <f>(1-ISNUMBER(SEARCH("556",M2429)))*(O2429*SUMIFS(Premissas!$C$5:$C$44,Premissas!$A$5:$A$44,$A2429,Premissas!$B$5:$B$44,$B2429)+P2429*SUMIFS(Premissas!$D$5:$D$44,Premissas!$A$5:$A$44,$A2429,Premissas!$B$5:$B$44,$B2429))+R2429*SUMIFS(Premissas!$E$5:$E$44,Premissas!$A$5:$A$44,$A2429,Premissas!$B$5:$B$44,$B2429)+S2429*SUMIFS(Premissas!$F$5:$F$44,Premissas!$A$5:$A$44,$A2429,Premissas!$B$5:$B$44,$B2429)</f>
        <v/>
      </c>
      <c r="L2429" s="29">
        <f>J2429-K2429</f>
        <v/>
      </c>
      <c r="M2429" t="inlineStr">
        <is>
          <t>1.350</t>
        </is>
      </c>
      <c r="N2429" t="inlineStr">
        <is>
          <t>Modalidade: 0 - Por conta do remetente | Parte: DISTRIBUIDORA DE FRIOS IRMAOS MARTINS LTDA (35.027.845/0001-55)</t>
        </is>
      </c>
      <c r="O2429" s="29" t="n">
        <v>0</v>
      </c>
      <c r="P2429" s="29" t="n">
        <v>0</v>
      </c>
      <c r="Q2429" s="29" t="n">
        <v>0</v>
      </c>
      <c r="R2429" s="29" t="n">
        <v>0</v>
      </c>
      <c r="S2429" s="29" t="n">
        <v>0</v>
      </c>
      <c r="T2429" t="inlineStr">
        <is>
          <t>25251126975620000130570010000057741001101224</t>
        </is>
      </c>
      <c r="U2429" t="inlineStr">
        <is>
          <t>Não</t>
        </is>
      </c>
    </row>
    <row r="2430">
      <c r="A2430" t="inlineStr">
        <is>
          <t>Frete de venda</t>
        </is>
      </c>
      <c r="B2430" t="inlineStr">
        <is>
          <t>2.01.02 Frete sobre Vendas</t>
        </is>
      </c>
      <c r="C2430" t="inlineStr">
        <is>
          <t>Antes de 2026</t>
        </is>
      </c>
      <c r="D2430" t="inlineStr">
        <is>
          <t>Antes de 2026</t>
        </is>
      </c>
      <c r="E2430" s="28" t="n">
        <v>45981</v>
      </c>
      <c r="F2430" t="inlineStr">
        <is>
          <t>CT-e</t>
        </is>
      </c>
      <c r="G2430" t="inlineStr">
        <is>
          <t>000005775</t>
        </is>
      </c>
      <c r="H2430" t="inlineStr">
        <is>
          <t>R&amp;R TRANSPORTE E LOGISTICA</t>
        </is>
      </c>
      <c r="J2430" s="29" t="n">
        <v>13.89</v>
      </c>
      <c r="K2430" s="29">
        <f>(1-ISNUMBER(SEARCH("556",M2430)))*(O2430*SUMIFS(Premissas!$C$5:$C$44,Premissas!$A$5:$A$44,$A2430,Premissas!$B$5:$B$44,$B2430)+P2430*SUMIFS(Premissas!$D$5:$D$44,Premissas!$A$5:$A$44,$A2430,Premissas!$B$5:$B$44,$B2430))+R2430*SUMIFS(Premissas!$E$5:$E$44,Premissas!$A$5:$A$44,$A2430,Premissas!$B$5:$B$44,$B2430)+S2430*SUMIFS(Premissas!$F$5:$F$44,Premissas!$A$5:$A$44,$A2430,Premissas!$B$5:$B$44,$B2430)</f>
        <v/>
      </c>
      <c r="L2430" s="29">
        <f>J2430-K2430</f>
        <v/>
      </c>
      <c r="M2430" t="inlineStr">
        <is>
          <t>1.350</t>
        </is>
      </c>
      <c r="N2430" t="inlineStr">
        <is>
          <t>Modalidade: 0 - Por conta do remetente | Parte: INGA FESTAS ATACAREJO LTDA (32.293.282/0001-59)</t>
        </is>
      </c>
      <c r="O2430" s="29" t="n">
        <v>0</v>
      </c>
      <c r="P2430" s="29" t="n">
        <v>0</v>
      </c>
      <c r="Q2430" s="29" t="n">
        <v>0</v>
      </c>
      <c r="R2430" s="29" t="n">
        <v>0</v>
      </c>
      <c r="S2430" s="29" t="n">
        <v>0</v>
      </c>
      <c r="T2430" t="inlineStr">
        <is>
          <t>25251126975620000130570010000057751001901309</t>
        </is>
      </c>
      <c r="U2430" t="inlineStr">
        <is>
          <t>Não</t>
        </is>
      </c>
    </row>
    <row r="2431">
      <c r="A2431" t="inlineStr">
        <is>
          <t>Frete de venda</t>
        </is>
      </c>
      <c r="B2431" t="inlineStr">
        <is>
          <t>2.01.02 Frete sobre Vendas</t>
        </is>
      </c>
      <c r="C2431" t="inlineStr">
        <is>
          <t>Antes de 2026</t>
        </is>
      </c>
      <c r="D2431" t="inlineStr">
        <is>
          <t>Antes de 2026</t>
        </is>
      </c>
      <c r="E2431" s="28" t="n">
        <v>45981</v>
      </c>
      <c r="F2431" t="inlineStr">
        <is>
          <t>CT-e</t>
        </is>
      </c>
      <c r="G2431" t="inlineStr">
        <is>
          <t>000005776</t>
        </is>
      </c>
      <c r="H2431" t="inlineStr">
        <is>
          <t>R&amp;R TRANSPORTE E LOGISTICA</t>
        </is>
      </c>
      <c r="J2431" s="29" t="n">
        <v>21.51</v>
      </c>
      <c r="K2431" s="29">
        <f>(1-ISNUMBER(SEARCH("556",M2431)))*(O2431*SUMIFS(Premissas!$C$5:$C$44,Premissas!$A$5:$A$44,$A2431,Premissas!$B$5:$B$44,$B2431)+P2431*SUMIFS(Premissas!$D$5:$D$44,Premissas!$A$5:$A$44,$A2431,Premissas!$B$5:$B$44,$B2431))+R2431*SUMIFS(Premissas!$E$5:$E$44,Premissas!$A$5:$A$44,$A2431,Premissas!$B$5:$B$44,$B2431)+S2431*SUMIFS(Premissas!$F$5:$F$44,Premissas!$A$5:$A$44,$A2431,Premissas!$B$5:$B$44,$B2431)</f>
        <v/>
      </c>
      <c r="L2431" s="29">
        <f>J2431-K2431</f>
        <v/>
      </c>
      <c r="M2431" t="inlineStr">
        <is>
          <t>1.350</t>
        </is>
      </c>
      <c r="N2431" t="inlineStr">
        <is>
          <t>Modalidade: 0 - Por conta do remetente | Parte: SUSIMEIRE DE CASTRO MARTINS e CIA LTDA (19.295.444/0001-20)</t>
        </is>
      </c>
      <c r="O2431" s="29" t="n">
        <v>0</v>
      </c>
      <c r="P2431" s="29" t="n">
        <v>0</v>
      </c>
      <c r="Q2431" s="29" t="n">
        <v>0</v>
      </c>
      <c r="R2431" s="29" t="n">
        <v>0</v>
      </c>
      <c r="S2431" s="29" t="n">
        <v>0</v>
      </c>
      <c r="T2431" t="inlineStr">
        <is>
          <t>25251126975620000130570010000057761001601388</t>
        </is>
      </c>
      <c r="U2431" t="inlineStr">
        <is>
          <t>Não</t>
        </is>
      </c>
    </row>
    <row r="2432">
      <c r="A2432" t="inlineStr">
        <is>
          <t>Frete de venda</t>
        </is>
      </c>
      <c r="B2432" t="inlineStr">
        <is>
          <t>2.01.02 Frete sobre Vendas</t>
        </is>
      </c>
      <c r="C2432" t="inlineStr">
        <is>
          <t>Antes de 2026</t>
        </is>
      </c>
      <c r="D2432" t="inlineStr">
        <is>
          <t>Antes de 2026</t>
        </is>
      </c>
      <c r="E2432" s="28" t="n">
        <v>45981</v>
      </c>
      <c r="F2432" t="inlineStr">
        <is>
          <t>CT-e</t>
        </is>
      </c>
      <c r="G2432" t="inlineStr">
        <is>
          <t>000005777</t>
        </is>
      </c>
      <c r="H2432" t="inlineStr">
        <is>
          <t>R&amp;R TRANSPORTE E LOGISTICA</t>
        </is>
      </c>
      <c r="J2432" s="29" t="n">
        <v>60.12</v>
      </c>
      <c r="K2432" s="29">
        <f>(1-ISNUMBER(SEARCH("556",M2432)))*(O2432*SUMIFS(Premissas!$C$5:$C$44,Premissas!$A$5:$A$44,$A2432,Premissas!$B$5:$B$44,$B2432)+P2432*SUMIFS(Premissas!$D$5:$D$44,Premissas!$A$5:$A$44,$A2432,Premissas!$B$5:$B$44,$B2432))+R2432*SUMIFS(Premissas!$E$5:$E$44,Premissas!$A$5:$A$44,$A2432,Premissas!$B$5:$B$44,$B2432)+S2432*SUMIFS(Premissas!$F$5:$F$44,Premissas!$A$5:$A$44,$A2432,Premissas!$B$5:$B$44,$B2432)</f>
        <v/>
      </c>
      <c r="L2432" s="29">
        <f>J2432-K2432</f>
        <v/>
      </c>
      <c r="M2432" t="inlineStr">
        <is>
          <t>1.350</t>
        </is>
      </c>
      <c r="N2432" t="inlineStr">
        <is>
          <t>Modalidade: 0 - Por conta do remetente | Parte: GDR ATACADO E VAREJO LTDA (55.727.510/0001-57)</t>
        </is>
      </c>
      <c r="O2432" s="29" t="n">
        <v>0</v>
      </c>
      <c r="P2432" s="29" t="n">
        <v>0</v>
      </c>
      <c r="Q2432" s="29" t="n">
        <v>0</v>
      </c>
      <c r="R2432" s="29" t="n">
        <v>0</v>
      </c>
      <c r="S2432" s="29" t="n">
        <v>0</v>
      </c>
      <c r="T2432" t="inlineStr">
        <is>
          <t>25251126975620000130570010000057771001301462</t>
        </is>
      </c>
      <c r="U2432" t="inlineStr">
        <is>
          <t>Não</t>
        </is>
      </c>
    </row>
    <row r="2433">
      <c r="A2433" t="inlineStr">
        <is>
          <t>Frete de venda</t>
        </is>
      </c>
      <c r="B2433" t="inlineStr">
        <is>
          <t>2.01.02 Frete sobre Vendas</t>
        </is>
      </c>
      <c r="C2433" t="inlineStr">
        <is>
          <t>Antes de 2026</t>
        </is>
      </c>
      <c r="D2433" t="inlineStr">
        <is>
          <t>Antes de 2026</t>
        </is>
      </c>
      <c r="E2433" s="28" t="n">
        <v>45981</v>
      </c>
      <c r="F2433" t="inlineStr">
        <is>
          <t>CT-e</t>
        </is>
      </c>
      <c r="G2433" t="inlineStr">
        <is>
          <t>000005778</t>
        </is>
      </c>
      <c r="H2433" t="inlineStr">
        <is>
          <t>R&amp;R TRANSPORTE E LOGISTICA</t>
        </is>
      </c>
      <c r="J2433" s="29" t="n">
        <v>35.05</v>
      </c>
      <c r="K2433" s="29">
        <f>(1-ISNUMBER(SEARCH("556",M2433)))*(O2433*SUMIFS(Premissas!$C$5:$C$44,Premissas!$A$5:$A$44,$A2433,Premissas!$B$5:$B$44,$B2433)+P2433*SUMIFS(Premissas!$D$5:$D$44,Premissas!$A$5:$A$44,$A2433,Premissas!$B$5:$B$44,$B2433))+R2433*SUMIFS(Premissas!$E$5:$E$44,Premissas!$A$5:$A$44,$A2433,Premissas!$B$5:$B$44,$B2433)+S2433*SUMIFS(Premissas!$F$5:$F$44,Premissas!$A$5:$A$44,$A2433,Premissas!$B$5:$B$44,$B2433)</f>
        <v/>
      </c>
      <c r="L2433" s="29">
        <f>J2433-K2433</f>
        <v/>
      </c>
      <c r="M2433" t="inlineStr">
        <is>
          <t>1.350</t>
        </is>
      </c>
      <c r="N2433" t="inlineStr">
        <is>
          <t>Modalidade: 0 - Por conta do remetente | Parte: PRIMEPACK EMBALAGENS LTDA (49.581.750/0002-74)</t>
        </is>
      </c>
      <c r="O2433" s="29" t="n">
        <v>0</v>
      </c>
      <c r="P2433" s="29" t="n">
        <v>0</v>
      </c>
      <c r="Q2433" s="29" t="n">
        <v>0</v>
      </c>
      <c r="R2433" s="29" t="n">
        <v>0</v>
      </c>
      <c r="S2433" s="29" t="n">
        <v>0</v>
      </c>
      <c r="T2433" t="inlineStr">
        <is>
          <t>25251126975620000130570010000057781000101548</t>
        </is>
      </c>
      <c r="U2433" t="inlineStr">
        <is>
          <t>Não</t>
        </is>
      </c>
    </row>
    <row r="2434">
      <c r="A2434" t="inlineStr">
        <is>
          <t>Frete de venda</t>
        </is>
      </c>
      <c r="B2434" t="inlineStr">
        <is>
          <t>2.01.02 Frete sobre Vendas</t>
        </is>
      </c>
      <c r="C2434" t="inlineStr">
        <is>
          <t>Antes de 2026</t>
        </is>
      </c>
      <c r="D2434" t="inlineStr">
        <is>
          <t>Antes de 2026</t>
        </is>
      </c>
      <c r="E2434" s="28" t="n">
        <v>45981</v>
      </c>
      <c r="F2434" t="inlineStr">
        <is>
          <t>CT-e</t>
        </is>
      </c>
      <c r="G2434" t="inlineStr">
        <is>
          <t>000005779</t>
        </is>
      </c>
      <c r="H2434" t="inlineStr">
        <is>
          <t>R&amp;R TRANSPORTE E LOGISTICA</t>
        </is>
      </c>
      <c r="J2434" s="29" t="n">
        <v>18.4</v>
      </c>
      <c r="K2434" s="29">
        <f>(1-ISNUMBER(SEARCH("556",M2434)))*(O2434*SUMIFS(Premissas!$C$5:$C$44,Premissas!$A$5:$A$44,$A2434,Premissas!$B$5:$B$44,$B2434)+P2434*SUMIFS(Premissas!$D$5:$D$44,Premissas!$A$5:$A$44,$A2434,Premissas!$B$5:$B$44,$B2434))+R2434*SUMIFS(Premissas!$E$5:$E$44,Premissas!$A$5:$A$44,$A2434,Premissas!$B$5:$B$44,$B2434)+S2434*SUMIFS(Premissas!$F$5:$F$44,Premissas!$A$5:$A$44,$A2434,Premissas!$B$5:$B$44,$B2434)</f>
        <v/>
      </c>
      <c r="L2434" s="29">
        <f>J2434-K2434</f>
        <v/>
      </c>
      <c r="M2434" t="inlineStr">
        <is>
          <t>1.350</t>
        </is>
      </c>
      <c r="N2434" t="inlineStr">
        <is>
          <t>Modalidade: 0 - Por conta do remetente | Parte: MARIA DE FATIMA MACHADO SEVERO e CIA LTDA (94.672.557/0001-12)</t>
        </is>
      </c>
      <c r="O2434" s="29" t="n">
        <v>0</v>
      </c>
      <c r="P2434" s="29" t="n">
        <v>0</v>
      </c>
      <c r="Q2434" s="29" t="n">
        <v>0</v>
      </c>
      <c r="R2434" s="29" t="n">
        <v>0</v>
      </c>
      <c r="S2434" s="29" t="n">
        <v>0</v>
      </c>
      <c r="T2434" t="inlineStr">
        <is>
          <t>25251126975620000130570010000057791000110897</t>
        </is>
      </c>
      <c r="U2434" t="inlineStr">
        <is>
          <t>Não</t>
        </is>
      </c>
    </row>
    <row r="2435">
      <c r="A2435" t="inlineStr">
        <is>
          <t>Frete de venda</t>
        </is>
      </c>
      <c r="B2435" t="inlineStr">
        <is>
          <t>2.01.02 Frete sobre Vendas</t>
        </is>
      </c>
      <c r="C2435" t="inlineStr">
        <is>
          <t>Antes de 2026</t>
        </is>
      </c>
      <c r="D2435" t="inlineStr">
        <is>
          <t>Antes de 2026</t>
        </is>
      </c>
      <c r="E2435" s="28" t="n">
        <v>45981</v>
      </c>
      <c r="F2435" t="inlineStr">
        <is>
          <t>CT-e</t>
        </is>
      </c>
      <c r="G2435" t="inlineStr">
        <is>
          <t>000005780</t>
        </is>
      </c>
      <c r="H2435" t="inlineStr">
        <is>
          <t>R&amp;R TRANSPORTE E LOGISTICA</t>
        </is>
      </c>
      <c r="J2435" s="29" t="n">
        <v>35.95</v>
      </c>
      <c r="K2435" s="29">
        <f>(1-ISNUMBER(SEARCH("556",M2435)))*(O2435*SUMIFS(Premissas!$C$5:$C$44,Premissas!$A$5:$A$44,$A2435,Premissas!$B$5:$B$44,$B2435)+P2435*SUMIFS(Premissas!$D$5:$D$44,Premissas!$A$5:$A$44,$A2435,Premissas!$B$5:$B$44,$B2435))+R2435*SUMIFS(Premissas!$E$5:$E$44,Premissas!$A$5:$A$44,$A2435,Premissas!$B$5:$B$44,$B2435)+S2435*SUMIFS(Premissas!$F$5:$F$44,Premissas!$A$5:$A$44,$A2435,Premissas!$B$5:$B$44,$B2435)</f>
        <v/>
      </c>
      <c r="L2435" s="29">
        <f>J2435-K2435</f>
        <v/>
      </c>
      <c r="M2435" t="inlineStr">
        <is>
          <t>1.350</t>
        </is>
      </c>
      <c r="N2435" t="inlineStr">
        <is>
          <t>Modalidade: 0 - Por conta do remetente | Parte: KI DISTRIBUIDORA DE PRODUTOS ALIMENTICIOS LTDA (05.636.653/0001-85)</t>
        </is>
      </c>
      <c r="O2435" s="29" t="n">
        <v>0</v>
      </c>
      <c r="P2435" s="29" t="n">
        <v>0</v>
      </c>
      <c r="Q2435" s="29" t="n">
        <v>0</v>
      </c>
      <c r="R2435" s="29" t="n">
        <v>0</v>
      </c>
      <c r="S2435" s="29" t="n">
        <v>0</v>
      </c>
      <c r="T2435" t="inlineStr">
        <is>
          <t>25251126975620000130570010000057801000190972</t>
        </is>
      </c>
      <c r="U2435" t="inlineStr">
        <is>
          <t>Não</t>
        </is>
      </c>
    </row>
    <row r="2436">
      <c r="A2436" t="inlineStr">
        <is>
          <t>Frete de venda</t>
        </is>
      </c>
      <c r="B2436" t="inlineStr">
        <is>
          <t>2.01.02 Frete sobre Vendas</t>
        </is>
      </c>
      <c r="C2436" t="inlineStr">
        <is>
          <t>Antes de 2026</t>
        </is>
      </c>
      <c r="D2436" t="inlineStr">
        <is>
          <t>Antes de 2026</t>
        </is>
      </c>
      <c r="E2436" s="28" t="n">
        <v>45981</v>
      </c>
      <c r="F2436" t="inlineStr">
        <is>
          <t>CT-e</t>
        </is>
      </c>
      <c r="G2436" t="inlineStr">
        <is>
          <t>000005781</t>
        </is>
      </c>
      <c r="H2436" t="inlineStr">
        <is>
          <t>R&amp;R TRANSPORTE E LOGISTICA</t>
        </is>
      </c>
      <c r="J2436" s="29" t="n">
        <v>16.06</v>
      </c>
      <c r="K2436" s="29">
        <f>(1-ISNUMBER(SEARCH("556",M2436)))*(O2436*SUMIFS(Premissas!$C$5:$C$44,Premissas!$A$5:$A$44,$A2436,Premissas!$B$5:$B$44,$B2436)+P2436*SUMIFS(Premissas!$D$5:$D$44,Premissas!$A$5:$A$44,$A2436,Premissas!$B$5:$B$44,$B2436))+R2436*SUMIFS(Premissas!$E$5:$E$44,Premissas!$A$5:$A$44,$A2436,Premissas!$B$5:$B$44,$B2436)+S2436*SUMIFS(Premissas!$F$5:$F$44,Premissas!$A$5:$A$44,$A2436,Premissas!$B$5:$B$44,$B2436)</f>
        <v/>
      </c>
      <c r="L2436" s="29">
        <f>J2436-K2436</f>
        <v/>
      </c>
      <c r="M2436" t="inlineStr">
        <is>
          <t>1.350</t>
        </is>
      </c>
      <c r="N2436" t="inlineStr">
        <is>
          <t>Modalidade: 0 - Por conta do remetente | Parte: ROSA SUL TUBARAO LTDA (62.451.631/0001-84)</t>
        </is>
      </c>
      <c r="O2436" s="29" t="n">
        <v>0</v>
      </c>
      <c r="P2436" s="29" t="n">
        <v>0</v>
      </c>
      <c r="Q2436" s="29" t="n">
        <v>0</v>
      </c>
      <c r="R2436" s="29" t="n">
        <v>0</v>
      </c>
      <c r="S2436" s="29" t="n">
        <v>0</v>
      </c>
      <c r="T2436" t="inlineStr">
        <is>
          <t>25251126975620000130570010000057811001601051</t>
        </is>
      </c>
      <c r="U2436" t="inlineStr">
        <is>
          <t>Não</t>
        </is>
      </c>
    </row>
    <row r="2437">
      <c r="A2437" t="inlineStr">
        <is>
          <t>Frete de venda</t>
        </is>
      </c>
      <c r="B2437" t="inlineStr">
        <is>
          <t>2.01.02 Frete sobre Vendas</t>
        </is>
      </c>
      <c r="C2437" t="inlineStr">
        <is>
          <t>Antes de 2026</t>
        </is>
      </c>
      <c r="D2437" t="inlineStr">
        <is>
          <t>Antes de 2026</t>
        </is>
      </c>
      <c r="E2437" s="28" t="n">
        <v>45981</v>
      </c>
      <c r="F2437" t="inlineStr">
        <is>
          <t>CT-e</t>
        </is>
      </c>
      <c r="G2437" t="inlineStr">
        <is>
          <t>000005782</t>
        </is>
      </c>
      <c r="H2437" t="inlineStr">
        <is>
          <t>R&amp;R TRANSPORTE E LOGISTICA</t>
        </is>
      </c>
      <c r="J2437" s="29" t="n">
        <v>18.72</v>
      </c>
      <c r="K2437" s="29">
        <f>(1-ISNUMBER(SEARCH("556",M2437)))*(O2437*SUMIFS(Premissas!$C$5:$C$44,Premissas!$A$5:$A$44,$A2437,Premissas!$B$5:$B$44,$B2437)+P2437*SUMIFS(Premissas!$D$5:$D$44,Premissas!$A$5:$A$44,$A2437,Premissas!$B$5:$B$44,$B2437))+R2437*SUMIFS(Premissas!$E$5:$E$44,Premissas!$A$5:$A$44,$A2437,Premissas!$B$5:$B$44,$B2437)+S2437*SUMIFS(Premissas!$F$5:$F$44,Premissas!$A$5:$A$44,$A2437,Premissas!$B$5:$B$44,$B2437)</f>
        <v/>
      </c>
      <c r="L2437" s="29">
        <f>J2437-K2437</f>
        <v/>
      </c>
      <c r="M2437" t="inlineStr">
        <is>
          <t>1.350</t>
        </is>
      </c>
      <c r="N2437" t="inlineStr">
        <is>
          <t>Modalidade: 0 - Por conta do remetente | Parte: COMANDOLLI COMERCIO DE EMBALAGENS LTDA (22.458.084/0001-44)</t>
        </is>
      </c>
      <c r="O2437" s="29" t="n">
        <v>0</v>
      </c>
      <c r="P2437" s="29" t="n">
        <v>0</v>
      </c>
      <c r="Q2437" s="29" t="n">
        <v>0</v>
      </c>
      <c r="R2437" s="29" t="n">
        <v>0</v>
      </c>
      <c r="S2437" s="29" t="n">
        <v>0</v>
      </c>
      <c r="T2437" t="inlineStr">
        <is>
          <t>25251126975620000130570010000057821001301136</t>
        </is>
      </c>
      <c r="U2437" t="inlineStr">
        <is>
          <t>Não</t>
        </is>
      </c>
    </row>
    <row r="2438">
      <c r="A2438" t="inlineStr">
        <is>
          <t>Frete de venda</t>
        </is>
      </c>
      <c r="B2438" t="inlineStr">
        <is>
          <t>2.01.02 Frete sobre Vendas</t>
        </is>
      </c>
      <c r="C2438" t="inlineStr">
        <is>
          <t>Antes de 2026</t>
        </is>
      </c>
      <c r="D2438" t="inlineStr">
        <is>
          <t>Antes de 2026</t>
        </is>
      </c>
      <c r="E2438" s="28" t="n">
        <v>45981</v>
      </c>
      <c r="F2438" t="inlineStr">
        <is>
          <t>CT-e</t>
        </is>
      </c>
      <c r="G2438" t="inlineStr">
        <is>
          <t>000005783</t>
        </is>
      </c>
      <c r="H2438" t="inlineStr">
        <is>
          <t>R&amp;R TRANSPORTE E LOGISTICA</t>
        </is>
      </c>
      <c r="J2438" s="29" t="n">
        <v>18.9</v>
      </c>
      <c r="K2438" s="29">
        <f>(1-ISNUMBER(SEARCH("556",M2438)))*(O2438*SUMIFS(Premissas!$C$5:$C$44,Premissas!$A$5:$A$44,$A2438,Premissas!$B$5:$B$44,$B2438)+P2438*SUMIFS(Premissas!$D$5:$D$44,Premissas!$A$5:$A$44,$A2438,Premissas!$B$5:$B$44,$B2438))+R2438*SUMIFS(Premissas!$E$5:$E$44,Premissas!$A$5:$A$44,$A2438,Premissas!$B$5:$B$44,$B2438)+S2438*SUMIFS(Premissas!$F$5:$F$44,Premissas!$A$5:$A$44,$A2438,Premissas!$B$5:$B$44,$B2438)</f>
        <v/>
      </c>
      <c r="L2438" s="29">
        <f>J2438-K2438</f>
        <v/>
      </c>
      <c r="M2438" t="inlineStr">
        <is>
          <t>1.350</t>
        </is>
      </c>
      <c r="N2438" t="inlineStr">
        <is>
          <t>Modalidade: 0 - Por conta do remetente | Parte: GALLA DESCARTAVEIS LTDA (08.020.416/0001-83)</t>
        </is>
      </c>
      <c r="O2438" s="29" t="n">
        <v>0</v>
      </c>
      <c r="P2438" s="29" t="n">
        <v>0</v>
      </c>
      <c r="Q2438" s="29" t="n">
        <v>0</v>
      </c>
      <c r="R2438" s="29" t="n">
        <v>0</v>
      </c>
      <c r="S2438" s="29" t="n">
        <v>0</v>
      </c>
      <c r="T2438" t="inlineStr">
        <is>
          <t>25251126975620000130570010000057831000101211</t>
        </is>
      </c>
      <c r="U2438" t="inlineStr">
        <is>
          <t>Não</t>
        </is>
      </c>
    </row>
    <row r="2439">
      <c r="A2439" t="inlineStr">
        <is>
          <t>Frete de venda</t>
        </is>
      </c>
      <c r="B2439" t="inlineStr">
        <is>
          <t>2.01.02 Frete sobre Vendas</t>
        </is>
      </c>
      <c r="C2439" t="inlineStr">
        <is>
          <t>Antes de 2026</t>
        </is>
      </c>
      <c r="D2439" t="inlineStr">
        <is>
          <t>Antes de 2026</t>
        </is>
      </c>
      <c r="E2439" s="28" t="n">
        <v>45981</v>
      </c>
      <c r="F2439" t="inlineStr">
        <is>
          <t>CT-e</t>
        </is>
      </c>
      <c r="G2439" t="inlineStr">
        <is>
          <t>000005784</t>
        </is>
      </c>
      <c r="H2439" t="inlineStr">
        <is>
          <t>R&amp;R TRANSPORTE E LOGISTICA</t>
        </is>
      </c>
      <c r="J2439" s="29" t="n">
        <v>18.44</v>
      </c>
      <c r="K2439" s="29">
        <f>(1-ISNUMBER(SEARCH("556",M2439)))*(O2439*SUMIFS(Premissas!$C$5:$C$44,Premissas!$A$5:$A$44,$A2439,Premissas!$B$5:$B$44,$B2439)+P2439*SUMIFS(Premissas!$D$5:$D$44,Premissas!$A$5:$A$44,$A2439,Premissas!$B$5:$B$44,$B2439))+R2439*SUMIFS(Premissas!$E$5:$E$44,Premissas!$A$5:$A$44,$A2439,Premissas!$B$5:$B$44,$B2439)+S2439*SUMIFS(Premissas!$F$5:$F$44,Premissas!$A$5:$A$44,$A2439,Premissas!$B$5:$B$44,$B2439)</f>
        <v/>
      </c>
      <c r="L2439" s="29">
        <f>J2439-K2439</f>
        <v/>
      </c>
      <c r="M2439" t="inlineStr">
        <is>
          <t>1.350</t>
        </is>
      </c>
      <c r="N2439" t="inlineStr">
        <is>
          <t>Modalidade: 0 - Por conta do remetente | Parte: COMERCIO E REPRESENTACOES BELLATO LTDA (83.215.830/0001-63)</t>
        </is>
      </c>
      <c r="O2439" s="29" t="n">
        <v>0</v>
      </c>
      <c r="P2439" s="29" t="n">
        <v>0</v>
      </c>
      <c r="Q2439" s="29" t="n">
        <v>0</v>
      </c>
      <c r="R2439" s="29" t="n">
        <v>0</v>
      </c>
      <c r="S2439" s="29" t="n">
        <v>0</v>
      </c>
      <c r="T2439" t="inlineStr">
        <is>
          <t>25251126975620000130570010000057841001801290</t>
        </is>
      </c>
      <c r="U2439" t="inlineStr">
        <is>
          <t>Não</t>
        </is>
      </c>
    </row>
    <row r="2440">
      <c r="A2440" t="inlineStr">
        <is>
          <t>Frete de venda</t>
        </is>
      </c>
      <c r="B2440" t="inlineStr">
        <is>
          <t>2.01.02 Frete sobre Vendas</t>
        </is>
      </c>
      <c r="C2440" t="inlineStr">
        <is>
          <t>Antes de 2026</t>
        </is>
      </c>
      <c r="D2440" t="inlineStr">
        <is>
          <t>Antes de 2026</t>
        </is>
      </c>
      <c r="E2440" s="28" t="n">
        <v>45981</v>
      </c>
      <c r="F2440" t="inlineStr">
        <is>
          <t>CT-e</t>
        </is>
      </c>
      <c r="G2440" t="inlineStr">
        <is>
          <t>000005785</t>
        </is>
      </c>
      <c r="H2440" t="inlineStr">
        <is>
          <t>R&amp;R TRANSPORTE E LOGISTICA</t>
        </is>
      </c>
      <c r="J2440" s="29" t="n">
        <v>19.95</v>
      </c>
      <c r="K2440" s="29">
        <f>(1-ISNUMBER(SEARCH("556",M2440)))*(O2440*SUMIFS(Premissas!$C$5:$C$44,Premissas!$A$5:$A$44,$A2440,Premissas!$B$5:$B$44,$B2440)+P2440*SUMIFS(Premissas!$D$5:$D$44,Premissas!$A$5:$A$44,$A2440,Premissas!$B$5:$B$44,$B2440))+R2440*SUMIFS(Premissas!$E$5:$E$44,Premissas!$A$5:$A$44,$A2440,Premissas!$B$5:$B$44,$B2440)+S2440*SUMIFS(Premissas!$F$5:$F$44,Premissas!$A$5:$A$44,$A2440,Premissas!$B$5:$B$44,$B2440)</f>
        <v/>
      </c>
      <c r="L2440" s="29">
        <f>J2440-K2440</f>
        <v/>
      </c>
      <c r="M2440" t="inlineStr">
        <is>
          <t>1.350</t>
        </is>
      </c>
      <c r="N2440" t="inlineStr">
        <is>
          <t>Modalidade: 0 - Por conta do remetente | Parte: JOELMA XAVIER LTDA (46.882.996/0003-79)</t>
        </is>
      </c>
      <c r="O2440" s="29" t="n">
        <v>0</v>
      </c>
      <c r="P2440" s="29" t="n">
        <v>0</v>
      </c>
      <c r="Q2440" s="29" t="n">
        <v>0</v>
      </c>
      <c r="R2440" s="29" t="n">
        <v>0</v>
      </c>
      <c r="S2440" s="29" t="n">
        <v>0</v>
      </c>
      <c r="T2440" t="inlineStr">
        <is>
          <t>25251126975620000130570010000057851001501374</t>
        </is>
      </c>
      <c r="U2440" t="inlineStr">
        <is>
          <t>Não</t>
        </is>
      </c>
    </row>
    <row r="2441">
      <c r="A2441" t="inlineStr">
        <is>
          <t>Frete de venda</t>
        </is>
      </c>
      <c r="B2441" t="inlineStr">
        <is>
          <t>2.01.02 Frete sobre Vendas</t>
        </is>
      </c>
      <c r="C2441" t="inlineStr">
        <is>
          <t>Antes de 2026</t>
        </is>
      </c>
      <c r="D2441" t="inlineStr">
        <is>
          <t>Antes de 2026</t>
        </is>
      </c>
      <c r="E2441" s="28" t="n">
        <v>45981</v>
      </c>
      <c r="F2441" t="inlineStr">
        <is>
          <t>CT-e</t>
        </is>
      </c>
      <c r="G2441" t="inlineStr">
        <is>
          <t>000005786</t>
        </is>
      </c>
      <c r="H2441" t="inlineStr">
        <is>
          <t>R&amp;R TRANSPORTE E LOGISTICA</t>
        </is>
      </c>
      <c r="J2441" s="29" t="n">
        <v>12.33</v>
      </c>
      <c r="K2441" s="29">
        <f>(1-ISNUMBER(SEARCH("556",M2441)))*(O2441*SUMIFS(Premissas!$C$5:$C$44,Premissas!$A$5:$A$44,$A2441,Premissas!$B$5:$B$44,$B2441)+P2441*SUMIFS(Premissas!$D$5:$D$44,Premissas!$A$5:$A$44,$A2441,Premissas!$B$5:$B$44,$B2441))+R2441*SUMIFS(Premissas!$E$5:$E$44,Premissas!$A$5:$A$44,$A2441,Premissas!$B$5:$B$44,$B2441)+S2441*SUMIFS(Premissas!$F$5:$F$44,Premissas!$A$5:$A$44,$A2441,Premissas!$B$5:$B$44,$B2441)</f>
        <v/>
      </c>
      <c r="L2441" s="29">
        <f>J2441-K2441</f>
        <v/>
      </c>
      <c r="M2441" t="inlineStr">
        <is>
          <t>1.350</t>
        </is>
      </c>
      <c r="N2441" t="inlineStr">
        <is>
          <t>Modalidade: 0 - Por conta do remetente | Parte: JANIO ALVES MOTA (04.319.368/0001-78)</t>
        </is>
      </c>
      <c r="O2441" s="29" t="n">
        <v>0</v>
      </c>
      <c r="P2441" s="29" t="n">
        <v>0</v>
      </c>
      <c r="Q2441" s="29" t="n">
        <v>0</v>
      </c>
      <c r="R2441" s="29" t="n">
        <v>0</v>
      </c>
      <c r="S2441" s="29" t="n">
        <v>0</v>
      </c>
      <c r="T2441" t="inlineStr">
        <is>
          <t>25251126975620000130570010000057861001201459</t>
        </is>
      </c>
      <c r="U2441" t="inlineStr">
        <is>
          <t>Não</t>
        </is>
      </c>
    </row>
    <row r="2442">
      <c r="A2442" t="inlineStr">
        <is>
          <t>Frete de venda</t>
        </is>
      </c>
      <c r="B2442" t="inlineStr">
        <is>
          <t>2.01.02 Frete sobre Vendas</t>
        </is>
      </c>
      <c r="C2442" t="inlineStr">
        <is>
          <t>Antes de 2026</t>
        </is>
      </c>
      <c r="D2442" t="inlineStr">
        <is>
          <t>Antes de 2026</t>
        </is>
      </c>
      <c r="E2442" s="28" t="n">
        <v>45981</v>
      </c>
      <c r="F2442" t="inlineStr">
        <is>
          <t>CT-e</t>
        </is>
      </c>
      <c r="G2442" t="inlineStr">
        <is>
          <t>000005787</t>
        </is>
      </c>
      <c r="H2442" t="inlineStr">
        <is>
          <t>R&amp;R TRANSPORTE E LOGISTICA</t>
        </is>
      </c>
      <c r="J2442" s="29" t="n">
        <v>10.99</v>
      </c>
      <c r="K2442" s="29">
        <f>(1-ISNUMBER(SEARCH("556",M2442)))*(O2442*SUMIFS(Premissas!$C$5:$C$44,Premissas!$A$5:$A$44,$A2442,Premissas!$B$5:$B$44,$B2442)+P2442*SUMIFS(Premissas!$D$5:$D$44,Premissas!$A$5:$A$44,$A2442,Premissas!$B$5:$B$44,$B2442))+R2442*SUMIFS(Premissas!$E$5:$E$44,Premissas!$A$5:$A$44,$A2442,Premissas!$B$5:$B$44,$B2442)+S2442*SUMIFS(Premissas!$F$5:$F$44,Premissas!$A$5:$A$44,$A2442,Premissas!$B$5:$B$44,$B2442)</f>
        <v/>
      </c>
      <c r="L2442" s="29">
        <f>J2442-K2442</f>
        <v/>
      </c>
      <c r="M2442" t="inlineStr">
        <is>
          <t>1.350</t>
        </is>
      </c>
      <c r="N2442" t="inlineStr">
        <is>
          <t>Modalidade: 0 - Por conta do remetente | Parte: LALU COMERCIO DE ARTIGOS PARA FESTAS LTDA (50.476.358/0001-63)</t>
        </is>
      </c>
      <c r="O2442" s="29" t="n">
        <v>0</v>
      </c>
      <c r="P2442" s="29" t="n">
        <v>0</v>
      </c>
      <c r="Q2442" s="29" t="n">
        <v>0</v>
      </c>
      <c r="R2442" s="29" t="n">
        <v>0</v>
      </c>
      <c r="S2442" s="29" t="n">
        <v>0</v>
      </c>
      <c r="T2442" t="inlineStr">
        <is>
          <t>25251126975620000130570010000057871011001530</t>
        </is>
      </c>
      <c r="U2442" t="inlineStr">
        <is>
          <t>Não</t>
        </is>
      </c>
    </row>
    <row r="2443">
      <c r="A2443" t="inlineStr">
        <is>
          <t>Frete de venda</t>
        </is>
      </c>
      <c r="B2443" t="inlineStr">
        <is>
          <t>2.01.02 Frete sobre Vendas</t>
        </is>
      </c>
      <c r="C2443" t="inlineStr">
        <is>
          <t>Antes de 2026</t>
        </is>
      </c>
      <c r="D2443" t="inlineStr">
        <is>
          <t>Antes de 2026</t>
        </is>
      </c>
      <c r="E2443" s="28" t="n">
        <v>45981</v>
      </c>
      <c r="F2443" t="inlineStr">
        <is>
          <t>CT-e</t>
        </is>
      </c>
      <c r="G2443" t="inlineStr">
        <is>
          <t>000005788</t>
        </is>
      </c>
      <c r="H2443" t="inlineStr">
        <is>
          <t>R&amp;R TRANSPORTE E LOGISTICA</t>
        </is>
      </c>
      <c r="J2443" s="29" t="n">
        <v>19.6</v>
      </c>
      <c r="K2443" s="29">
        <f>(1-ISNUMBER(SEARCH("556",M2443)))*(O2443*SUMIFS(Premissas!$C$5:$C$44,Premissas!$A$5:$A$44,$A2443,Premissas!$B$5:$B$44,$B2443)+P2443*SUMIFS(Premissas!$D$5:$D$44,Premissas!$A$5:$A$44,$A2443,Premissas!$B$5:$B$44,$B2443))+R2443*SUMIFS(Premissas!$E$5:$E$44,Premissas!$A$5:$A$44,$A2443,Premissas!$B$5:$B$44,$B2443)+S2443*SUMIFS(Premissas!$F$5:$F$44,Premissas!$A$5:$A$44,$A2443,Premissas!$B$5:$B$44,$B2443)</f>
        <v/>
      </c>
      <c r="L2443" s="29">
        <f>J2443-K2443</f>
        <v/>
      </c>
      <c r="M2443" t="inlineStr">
        <is>
          <t>1.350</t>
        </is>
      </c>
      <c r="N2443" t="inlineStr">
        <is>
          <t>Modalidade: 0 - Por conta do remetente | Parte: MATEUS LOURENCO LTDA (81.035.735/0001-52)</t>
        </is>
      </c>
      <c r="O2443" s="29" t="n">
        <v>0</v>
      </c>
      <c r="P2443" s="29" t="n">
        <v>0</v>
      </c>
      <c r="Q2443" s="29" t="n">
        <v>0</v>
      </c>
      <c r="R2443" s="29" t="n">
        <v>0</v>
      </c>
      <c r="S2443" s="29" t="n">
        <v>0</v>
      </c>
      <c r="T2443" t="inlineStr">
        <is>
          <t>25251126975620000130570010000057881001701618</t>
        </is>
      </c>
      <c r="U2443" t="inlineStr">
        <is>
          <t>Não</t>
        </is>
      </c>
    </row>
    <row r="2444">
      <c r="A2444" t="inlineStr">
        <is>
          <t>Frete de venda</t>
        </is>
      </c>
      <c r="B2444" t="inlineStr">
        <is>
          <t>2.01.02 Frete sobre Vendas</t>
        </is>
      </c>
      <c r="C2444" t="inlineStr">
        <is>
          <t>Antes de 2026</t>
        </is>
      </c>
      <c r="D2444" t="inlineStr">
        <is>
          <t>Antes de 2026</t>
        </is>
      </c>
      <c r="E2444" s="28" t="n">
        <v>45981</v>
      </c>
      <c r="F2444" t="inlineStr">
        <is>
          <t>CT-e</t>
        </is>
      </c>
      <c r="G2444" t="inlineStr">
        <is>
          <t>000005789</t>
        </is>
      </c>
      <c r="H2444" t="inlineStr">
        <is>
          <t>R&amp;R TRANSPORTE E LOGISTICA</t>
        </is>
      </c>
      <c r="J2444" s="29" t="n">
        <v>25.7</v>
      </c>
      <c r="K2444" s="29">
        <f>(1-ISNUMBER(SEARCH("556",M2444)))*(O2444*SUMIFS(Premissas!$C$5:$C$44,Premissas!$A$5:$A$44,$A2444,Premissas!$B$5:$B$44,$B2444)+P2444*SUMIFS(Premissas!$D$5:$D$44,Premissas!$A$5:$A$44,$A2444,Premissas!$B$5:$B$44,$B2444))+R2444*SUMIFS(Premissas!$E$5:$E$44,Premissas!$A$5:$A$44,$A2444,Premissas!$B$5:$B$44,$B2444)+S2444*SUMIFS(Premissas!$F$5:$F$44,Premissas!$A$5:$A$44,$A2444,Premissas!$B$5:$B$44,$B2444)</f>
        <v/>
      </c>
      <c r="L2444" s="29">
        <f>J2444-K2444</f>
        <v/>
      </c>
      <c r="M2444" t="inlineStr">
        <is>
          <t>1.350</t>
        </is>
      </c>
      <c r="N2444" t="inlineStr">
        <is>
          <t>Modalidade: 0 - Por conta do remetente | Parte: JB AGGIO LTDA (95.420.758/0001-95)</t>
        </is>
      </c>
      <c r="O2444" s="29" t="n">
        <v>0</v>
      </c>
      <c r="P2444" s="29" t="n">
        <v>0</v>
      </c>
      <c r="Q2444" s="29" t="n">
        <v>0</v>
      </c>
      <c r="R2444" s="29" t="n">
        <v>0</v>
      </c>
      <c r="S2444" s="29" t="n">
        <v>0</v>
      </c>
      <c r="T2444" t="inlineStr">
        <is>
          <t>25251126975620000130570010000057891000180964</t>
        </is>
      </c>
      <c r="U2444" t="inlineStr">
        <is>
          <t>Não</t>
        </is>
      </c>
    </row>
    <row r="2445">
      <c r="A2445" t="inlineStr">
        <is>
          <t>Frete de venda</t>
        </is>
      </c>
      <c r="B2445" t="inlineStr">
        <is>
          <t>2.01.02 Frete sobre Vendas</t>
        </is>
      </c>
      <c r="C2445" t="inlineStr">
        <is>
          <t>Antes de 2026</t>
        </is>
      </c>
      <c r="D2445" t="inlineStr">
        <is>
          <t>Antes de 2026</t>
        </is>
      </c>
      <c r="E2445" s="28" t="n">
        <v>45981</v>
      </c>
      <c r="F2445" t="inlineStr">
        <is>
          <t>CT-e</t>
        </is>
      </c>
      <c r="G2445" t="inlineStr">
        <is>
          <t>000005790</t>
        </is>
      </c>
      <c r="H2445" t="inlineStr">
        <is>
          <t>R&amp;R TRANSPORTE E LOGISTICA</t>
        </is>
      </c>
      <c r="J2445" s="29" t="n">
        <v>25.26</v>
      </c>
      <c r="K2445" s="29">
        <f>(1-ISNUMBER(SEARCH("556",M2445)))*(O2445*SUMIFS(Premissas!$C$5:$C$44,Premissas!$A$5:$A$44,$A2445,Premissas!$B$5:$B$44,$B2445)+P2445*SUMIFS(Premissas!$D$5:$D$44,Premissas!$A$5:$A$44,$A2445,Premissas!$B$5:$B$44,$B2445))+R2445*SUMIFS(Premissas!$E$5:$E$44,Premissas!$A$5:$A$44,$A2445,Premissas!$B$5:$B$44,$B2445)+S2445*SUMIFS(Premissas!$F$5:$F$44,Premissas!$A$5:$A$44,$A2445,Premissas!$B$5:$B$44,$B2445)</f>
        <v/>
      </c>
      <c r="L2445" s="29">
        <f>J2445-K2445</f>
        <v/>
      </c>
      <c r="M2445" t="inlineStr">
        <is>
          <t>1.350</t>
        </is>
      </c>
      <c r="N2445" t="inlineStr">
        <is>
          <t>Modalidade: 0 - Por conta do remetente | Parte: FAT GUYS FOOD LTDA (59.997.027/0001-43)</t>
        </is>
      </c>
      <c r="O2445" s="29" t="n">
        <v>0</v>
      </c>
      <c r="P2445" s="29" t="n">
        <v>0</v>
      </c>
      <c r="Q2445" s="29" t="n">
        <v>0</v>
      </c>
      <c r="R2445" s="29" t="n">
        <v>0</v>
      </c>
      <c r="S2445" s="29" t="n">
        <v>0</v>
      </c>
      <c r="T2445" t="inlineStr">
        <is>
          <t>25251126975620000130570010000057901001501048</t>
        </is>
      </c>
      <c r="U2445" t="inlineStr">
        <is>
          <t>Não</t>
        </is>
      </c>
    </row>
    <row r="2446">
      <c r="A2446" t="inlineStr">
        <is>
          <t>Frete de venda</t>
        </is>
      </c>
      <c r="B2446" t="inlineStr">
        <is>
          <t>2.01.02 Frete sobre Vendas</t>
        </is>
      </c>
      <c r="C2446" t="inlineStr">
        <is>
          <t>Antes de 2026</t>
        </is>
      </c>
      <c r="D2446" t="inlineStr">
        <is>
          <t>Antes de 2026</t>
        </is>
      </c>
      <c r="E2446" s="28" t="n">
        <v>45981</v>
      </c>
      <c r="F2446" t="inlineStr">
        <is>
          <t>CT-e</t>
        </is>
      </c>
      <c r="G2446" t="inlineStr">
        <is>
          <t>000005791</t>
        </is>
      </c>
      <c r="H2446" t="inlineStr">
        <is>
          <t>R&amp;R TRANSPORTE E LOGISTICA</t>
        </is>
      </c>
      <c r="J2446" s="29" t="n">
        <v>19.86</v>
      </c>
      <c r="K2446" s="29">
        <f>(1-ISNUMBER(SEARCH("556",M2446)))*(O2446*SUMIFS(Premissas!$C$5:$C$44,Premissas!$A$5:$A$44,$A2446,Premissas!$B$5:$B$44,$B2446)+P2446*SUMIFS(Premissas!$D$5:$D$44,Premissas!$A$5:$A$44,$A2446,Premissas!$B$5:$B$44,$B2446))+R2446*SUMIFS(Premissas!$E$5:$E$44,Premissas!$A$5:$A$44,$A2446,Premissas!$B$5:$B$44,$B2446)+S2446*SUMIFS(Premissas!$F$5:$F$44,Premissas!$A$5:$A$44,$A2446,Premissas!$B$5:$B$44,$B2446)</f>
        <v/>
      </c>
      <c r="L2446" s="29">
        <f>J2446-K2446</f>
        <v/>
      </c>
      <c r="M2446" t="inlineStr">
        <is>
          <t>1.350</t>
        </is>
      </c>
      <c r="N2446" t="inlineStr">
        <is>
          <t>Modalidade: 0 - Por conta do remetente | Parte: HJM DISTRIBUICAO DE FRIOS LTDA (15.491.554/0001-06)</t>
        </is>
      </c>
      <c r="O2446" s="29" t="n">
        <v>0</v>
      </c>
      <c r="P2446" s="29" t="n">
        <v>0</v>
      </c>
      <c r="Q2446" s="29" t="n">
        <v>0</v>
      </c>
      <c r="R2446" s="29" t="n">
        <v>0</v>
      </c>
      <c r="S2446" s="29" t="n">
        <v>0</v>
      </c>
      <c r="T2446" t="inlineStr">
        <is>
          <t>25251126975620000130570010000057911001201122</t>
        </is>
      </c>
      <c r="U2446" t="inlineStr">
        <is>
          <t>Não</t>
        </is>
      </c>
    </row>
    <row r="2447">
      <c r="A2447" t="inlineStr">
        <is>
          <t>Frete de venda</t>
        </is>
      </c>
      <c r="B2447" t="inlineStr">
        <is>
          <t>2.01.02 Frete sobre Vendas</t>
        </is>
      </c>
      <c r="C2447" t="inlineStr">
        <is>
          <t>Antes de 2026</t>
        </is>
      </c>
      <c r="D2447" t="inlineStr">
        <is>
          <t>Antes de 2026</t>
        </is>
      </c>
      <c r="E2447" s="28" t="n">
        <v>45981</v>
      </c>
      <c r="F2447" t="inlineStr">
        <is>
          <t>CT-e</t>
        </is>
      </c>
      <c r="G2447" t="inlineStr">
        <is>
          <t>000005792</t>
        </is>
      </c>
      <c r="H2447" t="inlineStr">
        <is>
          <t>R&amp;R TRANSPORTE E LOGISTICA</t>
        </is>
      </c>
      <c r="J2447" s="29" t="n">
        <v>21.46</v>
      </c>
      <c r="K2447" s="29">
        <f>(1-ISNUMBER(SEARCH("556",M2447)))*(O2447*SUMIFS(Premissas!$C$5:$C$44,Premissas!$A$5:$A$44,$A2447,Premissas!$B$5:$B$44,$B2447)+P2447*SUMIFS(Premissas!$D$5:$D$44,Premissas!$A$5:$A$44,$A2447,Premissas!$B$5:$B$44,$B2447))+R2447*SUMIFS(Premissas!$E$5:$E$44,Premissas!$A$5:$A$44,$A2447,Premissas!$B$5:$B$44,$B2447)+S2447*SUMIFS(Premissas!$F$5:$F$44,Premissas!$A$5:$A$44,$A2447,Premissas!$B$5:$B$44,$B2447)</f>
        <v/>
      </c>
      <c r="L2447" s="29">
        <f>J2447-K2447</f>
        <v/>
      </c>
      <c r="M2447" t="inlineStr">
        <is>
          <t>1.350</t>
        </is>
      </c>
      <c r="N2447" t="inlineStr">
        <is>
          <t>Modalidade: 0 - Por conta do remetente | Parte: MIL COMERCIO DE EMBALAGENS LTDA (03.000.441/0001-81)</t>
        </is>
      </c>
      <c r="O2447" s="29" t="n">
        <v>0</v>
      </c>
      <c r="P2447" s="29" t="n">
        <v>0</v>
      </c>
      <c r="Q2447" s="29" t="n">
        <v>0</v>
      </c>
      <c r="R2447" s="29" t="n">
        <v>0</v>
      </c>
      <c r="S2447" s="29" t="n">
        <v>0</v>
      </c>
      <c r="T2447" t="inlineStr">
        <is>
          <t>25251126975620000130570010000057921011001204</t>
        </is>
      </c>
      <c r="U2447" t="inlineStr">
        <is>
          <t>Não</t>
        </is>
      </c>
    </row>
    <row r="2448">
      <c r="A2448" t="inlineStr">
        <is>
          <t>Frete de venda</t>
        </is>
      </c>
      <c r="B2448" t="inlineStr">
        <is>
          <t>2.01.02 Frete sobre Vendas</t>
        </is>
      </c>
      <c r="C2448" t="inlineStr">
        <is>
          <t>Antes de 2026</t>
        </is>
      </c>
      <c r="D2448" t="inlineStr">
        <is>
          <t>Antes de 2026</t>
        </is>
      </c>
      <c r="E2448" s="28" t="n">
        <v>45981</v>
      </c>
      <c r="F2448" t="inlineStr">
        <is>
          <t>CT-e</t>
        </is>
      </c>
      <c r="G2448" t="inlineStr">
        <is>
          <t>000005793</t>
        </is>
      </c>
      <c r="H2448" t="inlineStr">
        <is>
          <t>R&amp;R TRANSPORTE E LOGISTICA</t>
        </is>
      </c>
      <c r="J2448" s="29" t="n">
        <v>11.37</v>
      </c>
      <c r="K2448" s="29">
        <f>(1-ISNUMBER(SEARCH("556",M2448)))*(O2448*SUMIFS(Premissas!$C$5:$C$44,Premissas!$A$5:$A$44,$A2448,Premissas!$B$5:$B$44,$B2448)+P2448*SUMIFS(Premissas!$D$5:$D$44,Premissas!$A$5:$A$44,$A2448,Premissas!$B$5:$B$44,$B2448))+R2448*SUMIFS(Premissas!$E$5:$E$44,Premissas!$A$5:$A$44,$A2448,Premissas!$B$5:$B$44,$B2448)+S2448*SUMIFS(Premissas!$F$5:$F$44,Premissas!$A$5:$A$44,$A2448,Premissas!$B$5:$B$44,$B2448)</f>
        <v/>
      </c>
      <c r="L2448" s="29">
        <f>J2448-K2448</f>
        <v/>
      </c>
      <c r="M2448" t="inlineStr">
        <is>
          <t>1.350</t>
        </is>
      </c>
      <c r="N2448" t="inlineStr">
        <is>
          <t>Modalidade: 0 - Por conta do remetente | Parte: SANTA BELLA COMERCIO DE EMBALAGEM LTDA (17.868.956/0001-02)</t>
        </is>
      </c>
      <c r="O2448" s="29" t="n">
        <v>0</v>
      </c>
      <c r="P2448" s="29" t="n">
        <v>0</v>
      </c>
      <c r="Q2448" s="29" t="n">
        <v>0</v>
      </c>
      <c r="R2448" s="29" t="n">
        <v>0</v>
      </c>
      <c r="S2448" s="29" t="n">
        <v>0</v>
      </c>
      <c r="T2448" t="inlineStr">
        <is>
          <t>25251126975620000130570010000057931001701286</t>
        </is>
      </c>
      <c r="U2448" t="inlineStr">
        <is>
          <t>Não</t>
        </is>
      </c>
    </row>
    <row r="2449">
      <c r="A2449" t="inlineStr">
        <is>
          <t>Frete de venda</t>
        </is>
      </c>
      <c r="B2449" t="inlineStr">
        <is>
          <t>2.01.02 Frete sobre Vendas</t>
        </is>
      </c>
      <c r="C2449" t="inlineStr">
        <is>
          <t>Antes de 2026</t>
        </is>
      </c>
      <c r="D2449" t="inlineStr">
        <is>
          <t>Antes de 2026</t>
        </is>
      </c>
      <c r="E2449" s="28" t="n">
        <v>45981</v>
      </c>
      <c r="F2449" t="inlineStr">
        <is>
          <t>CT-e</t>
        </is>
      </c>
      <c r="G2449" t="inlineStr">
        <is>
          <t>000005794</t>
        </is>
      </c>
      <c r="H2449" t="inlineStr">
        <is>
          <t>R&amp;R TRANSPORTE E LOGISTICA</t>
        </is>
      </c>
      <c r="J2449" s="29" t="n">
        <v>19.28</v>
      </c>
      <c r="K2449" s="29">
        <f>(1-ISNUMBER(SEARCH("556",M2449)))*(O2449*SUMIFS(Premissas!$C$5:$C$44,Premissas!$A$5:$A$44,$A2449,Premissas!$B$5:$B$44,$B2449)+P2449*SUMIFS(Premissas!$D$5:$D$44,Premissas!$A$5:$A$44,$A2449,Premissas!$B$5:$B$44,$B2449))+R2449*SUMIFS(Premissas!$E$5:$E$44,Premissas!$A$5:$A$44,$A2449,Premissas!$B$5:$B$44,$B2449)+S2449*SUMIFS(Premissas!$F$5:$F$44,Premissas!$A$5:$A$44,$A2449,Premissas!$B$5:$B$44,$B2449)</f>
        <v/>
      </c>
      <c r="L2449" s="29">
        <f>J2449-K2449</f>
        <v/>
      </c>
      <c r="M2449" t="inlineStr">
        <is>
          <t>1.350</t>
        </is>
      </c>
      <c r="N2449" t="inlineStr">
        <is>
          <t>Modalidade: 0 - Por conta do remetente | Parte: BEV DISTRIBUIDORA LTDA (54.949.786/0001-17)</t>
        </is>
      </c>
      <c r="O2449" s="29" t="n">
        <v>0</v>
      </c>
      <c r="P2449" s="29" t="n">
        <v>0</v>
      </c>
      <c r="Q2449" s="29" t="n">
        <v>0</v>
      </c>
      <c r="R2449" s="29" t="n">
        <v>0</v>
      </c>
      <c r="S2449" s="29" t="n">
        <v>0</v>
      </c>
      <c r="T2449" t="inlineStr">
        <is>
          <t>25251126975620000130570010000057941001401360</t>
        </is>
      </c>
      <c r="U2449" t="inlineStr">
        <is>
          <t>Não</t>
        </is>
      </c>
    </row>
    <row r="2450">
      <c r="A2450" t="inlineStr">
        <is>
          <t>Frete de venda</t>
        </is>
      </c>
      <c r="B2450" t="inlineStr">
        <is>
          <t>2.01.02 Frete sobre Vendas</t>
        </is>
      </c>
      <c r="C2450" t="inlineStr">
        <is>
          <t>Antes de 2026</t>
        </is>
      </c>
      <c r="D2450" t="inlineStr">
        <is>
          <t>Antes de 2026</t>
        </is>
      </c>
      <c r="E2450" s="28" t="n">
        <v>45981</v>
      </c>
      <c r="F2450" t="inlineStr">
        <is>
          <t>CT-e</t>
        </is>
      </c>
      <c r="G2450" t="inlineStr">
        <is>
          <t>000005795</t>
        </is>
      </c>
      <c r="H2450" t="inlineStr">
        <is>
          <t>R&amp;R TRANSPORTE E LOGISTICA</t>
        </is>
      </c>
      <c r="J2450" s="29" t="n">
        <v>51.64</v>
      </c>
      <c r="K2450" s="29">
        <f>(1-ISNUMBER(SEARCH("556",M2450)))*(O2450*SUMIFS(Premissas!$C$5:$C$44,Premissas!$A$5:$A$44,$A2450,Premissas!$B$5:$B$44,$B2450)+P2450*SUMIFS(Premissas!$D$5:$D$44,Premissas!$A$5:$A$44,$A2450,Premissas!$B$5:$B$44,$B2450))+R2450*SUMIFS(Premissas!$E$5:$E$44,Premissas!$A$5:$A$44,$A2450,Premissas!$B$5:$B$44,$B2450)+S2450*SUMIFS(Premissas!$F$5:$F$44,Premissas!$A$5:$A$44,$A2450,Premissas!$B$5:$B$44,$B2450)</f>
        <v/>
      </c>
      <c r="L2450" s="29">
        <f>J2450-K2450</f>
        <v/>
      </c>
      <c r="M2450" t="inlineStr">
        <is>
          <t>1.350</t>
        </is>
      </c>
      <c r="N2450" t="inlineStr">
        <is>
          <t>Modalidade: 0 - Por conta do remetente | Parte: CASA NOVA COMERCIO DE EMBALAGENS LTDA (05.390.605/0001-50)</t>
        </is>
      </c>
      <c r="O2450" s="29" t="n">
        <v>0</v>
      </c>
      <c r="P2450" s="29" t="n">
        <v>0</v>
      </c>
      <c r="Q2450" s="29" t="n">
        <v>0</v>
      </c>
      <c r="R2450" s="29" t="n">
        <v>0</v>
      </c>
      <c r="S2450" s="29" t="n">
        <v>0</v>
      </c>
      <c r="T2450" t="inlineStr">
        <is>
          <t>25251126975620000130570010000057951001101445</t>
        </is>
      </c>
      <c r="U2450" t="inlineStr">
        <is>
          <t>Não</t>
        </is>
      </c>
    </row>
    <row r="2451">
      <c r="A2451" t="inlineStr">
        <is>
          <t>Frete de venda</t>
        </is>
      </c>
      <c r="B2451" t="inlineStr">
        <is>
          <t>2.01.02 Frete sobre Vendas</t>
        </is>
      </c>
      <c r="C2451" t="inlineStr">
        <is>
          <t>Antes de 2026</t>
        </is>
      </c>
      <c r="D2451" t="inlineStr">
        <is>
          <t>Antes de 2026</t>
        </is>
      </c>
      <c r="E2451" s="28" t="n">
        <v>45981</v>
      </c>
      <c r="F2451" t="inlineStr">
        <is>
          <t>CT-e</t>
        </is>
      </c>
      <c r="G2451" t="inlineStr">
        <is>
          <t>000005796</t>
        </is>
      </c>
      <c r="H2451" t="inlineStr">
        <is>
          <t>R&amp;R TRANSPORTE E LOGISTICA</t>
        </is>
      </c>
      <c r="J2451" s="29" t="n">
        <v>20.66</v>
      </c>
      <c r="K2451" s="29">
        <f>(1-ISNUMBER(SEARCH("556",M2451)))*(O2451*SUMIFS(Premissas!$C$5:$C$44,Premissas!$A$5:$A$44,$A2451,Premissas!$B$5:$B$44,$B2451)+P2451*SUMIFS(Premissas!$D$5:$D$44,Premissas!$A$5:$A$44,$A2451,Premissas!$B$5:$B$44,$B2451))+R2451*SUMIFS(Premissas!$E$5:$E$44,Premissas!$A$5:$A$44,$A2451,Premissas!$B$5:$B$44,$B2451)+S2451*SUMIFS(Premissas!$F$5:$F$44,Premissas!$A$5:$A$44,$A2451,Premissas!$B$5:$B$44,$B2451)</f>
        <v/>
      </c>
      <c r="L2451" s="29">
        <f>J2451-K2451</f>
        <v/>
      </c>
      <c r="M2451" t="inlineStr">
        <is>
          <t>1.350</t>
        </is>
      </c>
      <c r="N2451" t="inlineStr">
        <is>
          <t>Modalidade: 0 - Por conta do remetente | Parte: FRIOSETE COMERCIO DE FRIOS LTDA (97.426.472/0001-42)</t>
        </is>
      </c>
      <c r="O2451" s="29" t="n">
        <v>0</v>
      </c>
      <c r="P2451" s="29" t="n">
        <v>0</v>
      </c>
      <c r="Q2451" s="29" t="n">
        <v>0</v>
      </c>
      <c r="R2451" s="29" t="n">
        <v>0</v>
      </c>
      <c r="S2451" s="29" t="n">
        <v>0</v>
      </c>
      <c r="T2451" t="inlineStr">
        <is>
          <t>25251126975620000130570010000057961001901520</t>
        </is>
      </c>
      <c r="U2451" t="inlineStr">
        <is>
          <t>Não</t>
        </is>
      </c>
    </row>
    <row r="2452">
      <c r="A2452" t="inlineStr">
        <is>
          <t>Frete de venda</t>
        </is>
      </c>
      <c r="B2452" t="inlineStr">
        <is>
          <t>2.01.02 Frete sobre Vendas</t>
        </is>
      </c>
      <c r="C2452" t="inlineStr">
        <is>
          <t>Antes de 2026</t>
        </is>
      </c>
      <c r="D2452" t="inlineStr">
        <is>
          <t>Antes de 2026</t>
        </is>
      </c>
      <c r="E2452" s="28" t="n">
        <v>45981</v>
      </c>
      <c r="F2452" t="inlineStr">
        <is>
          <t>CT-e</t>
        </is>
      </c>
      <c r="G2452" t="inlineStr">
        <is>
          <t>000005797</t>
        </is>
      </c>
      <c r="H2452" t="inlineStr">
        <is>
          <t>R&amp;R TRANSPORTE E LOGISTICA</t>
        </is>
      </c>
      <c r="J2452" s="29" t="n">
        <v>17.49</v>
      </c>
      <c r="K2452" s="29">
        <f>(1-ISNUMBER(SEARCH("556",M2452)))*(O2452*SUMIFS(Premissas!$C$5:$C$44,Premissas!$A$5:$A$44,$A2452,Premissas!$B$5:$B$44,$B2452)+P2452*SUMIFS(Premissas!$D$5:$D$44,Premissas!$A$5:$A$44,$A2452,Premissas!$B$5:$B$44,$B2452))+R2452*SUMIFS(Premissas!$E$5:$E$44,Premissas!$A$5:$A$44,$A2452,Premissas!$B$5:$B$44,$B2452)+S2452*SUMIFS(Premissas!$F$5:$F$44,Premissas!$A$5:$A$44,$A2452,Premissas!$B$5:$B$44,$B2452)</f>
        <v/>
      </c>
      <c r="L2452" s="29">
        <f>J2452-K2452</f>
        <v/>
      </c>
      <c r="M2452" t="inlineStr">
        <is>
          <t>1.350</t>
        </is>
      </c>
      <c r="N2452" t="inlineStr">
        <is>
          <t>Modalidade: 0 - Por conta do remetente | Parte: JOIA ATACADO DE EMBALAGENS E COM DE ALIMENTOS LTDA (24.505.271/0001-67)</t>
        </is>
      </c>
      <c r="O2452" s="29" t="n">
        <v>0</v>
      </c>
      <c r="P2452" s="29" t="n">
        <v>0</v>
      </c>
      <c r="Q2452" s="29" t="n">
        <v>0</v>
      </c>
      <c r="R2452" s="29" t="n">
        <v>0</v>
      </c>
      <c r="S2452" s="29" t="n">
        <v>0</v>
      </c>
      <c r="T2452" t="inlineStr">
        <is>
          <t>25251126975620000130570010000057971001601604</t>
        </is>
      </c>
      <c r="U2452" t="inlineStr">
        <is>
          <t>Não</t>
        </is>
      </c>
    </row>
    <row r="2453">
      <c r="A2453" t="inlineStr">
        <is>
          <t>Frete de venda</t>
        </is>
      </c>
      <c r="B2453" t="inlineStr">
        <is>
          <t>2.01.02 Frete sobre Vendas</t>
        </is>
      </c>
      <c r="C2453" t="inlineStr">
        <is>
          <t>Antes de 2026</t>
        </is>
      </c>
      <c r="D2453" t="inlineStr">
        <is>
          <t>Antes de 2026</t>
        </is>
      </c>
      <c r="E2453" s="28" t="n">
        <v>45981</v>
      </c>
      <c r="F2453" t="inlineStr">
        <is>
          <t>CT-e</t>
        </is>
      </c>
      <c r="G2453" t="inlineStr">
        <is>
          <t>000005798</t>
        </is>
      </c>
      <c r="H2453" t="inlineStr">
        <is>
          <t>R&amp;R TRANSPORTE E LOGISTICA</t>
        </is>
      </c>
      <c r="J2453" s="29" t="n">
        <v>15.29</v>
      </c>
      <c r="K2453" s="29">
        <f>(1-ISNUMBER(SEARCH("556",M2453)))*(O2453*SUMIFS(Premissas!$C$5:$C$44,Premissas!$A$5:$A$44,$A2453,Premissas!$B$5:$B$44,$B2453)+P2453*SUMIFS(Premissas!$D$5:$D$44,Premissas!$A$5:$A$44,$A2453,Premissas!$B$5:$B$44,$B2453))+R2453*SUMIFS(Premissas!$E$5:$E$44,Premissas!$A$5:$A$44,$A2453,Premissas!$B$5:$B$44,$B2453)+S2453*SUMIFS(Premissas!$F$5:$F$44,Premissas!$A$5:$A$44,$A2453,Premissas!$B$5:$B$44,$B2453)</f>
        <v/>
      </c>
      <c r="L2453" s="29">
        <f>J2453-K2453</f>
        <v/>
      </c>
      <c r="M2453" t="inlineStr">
        <is>
          <t>1.350</t>
        </is>
      </c>
      <c r="N2453" t="inlineStr">
        <is>
          <t>Modalidade: 0 - Por conta do remetente | Parte: PLASGI EMBALAGENS LTDA (80.361.579/0001-57)</t>
        </is>
      </c>
      <c r="O2453" s="29" t="n">
        <v>0</v>
      </c>
      <c r="P2453" s="29" t="n">
        <v>0</v>
      </c>
      <c r="Q2453" s="29" t="n">
        <v>0</v>
      </c>
      <c r="R2453" s="29" t="n">
        <v>0</v>
      </c>
      <c r="S2453" s="29" t="n">
        <v>0</v>
      </c>
      <c r="T2453" t="inlineStr">
        <is>
          <t>25251126975620000130570010000057981001301683</t>
        </is>
      </c>
      <c r="U2453" t="inlineStr">
        <is>
          <t>Não</t>
        </is>
      </c>
    </row>
    <row r="2454">
      <c r="A2454" t="inlineStr">
        <is>
          <t>Frete de venda</t>
        </is>
      </c>
      <c r="B2454" t="inlineStr">
        <is>
          <t>2.01.02 Frete sobre Vendas</t>
        </is>
      </c>
      <c r="C2454" t="inlineStr">
        <is>
          <t>Antes de 2026</t>
        </is>
      </c>
      <c r="D2454" t="inlineStr">
        <is>
          <t>Antes de 2026</t>
        </is>
      </c>
      <c r="E2454" s="28" t="n">
        <v>45981</v>
      </c>
      <c r="F2454" t="inlineStr">
        <is>
          <t>CT-e</t>
        </is>
      </c>
      <c r="G2454" t="inlineStr">
        <is>
          <t>000005799</t>
        </is>
      </c>
      <c r="H2454" t="inlineStr">
        <is>
          <t>R&amp;R TRANSPORTE E LOGISTICA</t>
        </is>
      </c>
      <c r="J2454" s="29" t="n">
        <v>10.66</v>
      </c>
      <c r="K2454" s="29">
        <f>(1-ISNUMBER(SEARCH("556",M2454)))*(O2454*SUMIFS(Premissas!$C$5:$C$44,Premissas!$A$5:$A$44,$A2454,Premissas!$B$5:$B$44,$B2454)+P2454*SUMIFS(Premissas!$D$5:$D$44,Premissas!$A$5:$A$44,$A2454,Premissas!$B$5:$B$44,$B2454))+R2454*SUMIFS(Premissas!$E$5:$E$44,Premissas!$A$5:$A$44,$A2454,Premissas!$B$5:$B$44,$B2454)+S2454*SUMIFS(Premissas!$F$5:$F$44,Premissas!$A$5:$A$44,$A2454,Premissas!$B$5:$B$44,$B2454)</f>
        <v/>
      </c>
      <c r="L2454" s="29">
        <f>J2454-K2454</f>
        <v/>
      </c>
      <c r="M2454" t="inlineStr">
        <is>
          <t>1.350</t>
        </is>
      </c>
      <c r="N2454" t="inlineStr">
        <is>
          <t>Modalidade: 0 - Por conta do remetente | Parte: MARIA JOSINA DE FREITAS (02.010.967/0001-80)</t>
        </is>
      </c>
      <c r="O2454" s="29" t="n">
        <v>0</v>
      </c>
      <c r="P2454" s="29" t="n">
        <v>0</v>
      </c>
      <c r="Q2454" s="29" t="n">
        <v>0</v>
      </c>
      <c r="R2454" s="29" t="n">
        <v>0</v>
      </c>
      <c r="S2454" s="29" t="n">
        <v>0</v>
      </c>
      <c r="T2454" t="inlineStr">
        <is>
          <t>25251126975620000130570010000057991001401030</t>
        </is>
      </c>
      <c r="U2454" t="inlineStr">
        <is>
          <t>Não</t>
        </is>
      </c>
    </row>
    <row r="2455">
      <c r="A2455" t="inlineStr">
        <is>
          <t>Frete de venda</t>
        </is>
      </c>
      <c r="B2455" t="inlineStr">
        <is>
          <t>2.01.02 Frete sobre Vendas</t>
        </is>
      </c>
      <c r="C2455" t="inlineStr">
        <is>
          <t>Antes de 2026</t>
        </is>
      </c>
      <c r="D2455" t="inlineStr">
        <is>
          <t>Antes de 2026</t>
        </is>
      </c>
      <c r="E2455" s="28" t="n">
        <v>45981</v>
      </c>
      <c r="F2455" t="inlineStr">
        <is>
          <t>CT-e</t>
        </is>
      </c>
      <c r="G2455" t="inlineStr">
        <is>
          <t>000005800</t>
        </is>
      </c>
      <c r="H2455" t="inlineStr">
        <is>
          <t>R&amp;R TRANSPORTE E LOGISTICA</t>
        </is>
      </c>
      <c r="J2455" s="29" t="n">
        <v>23.03</v>
      </c>
      <c r="K2455" s="29">
        <f>(1-ISNUMBER(SEARCH("556",M2455)))*(O2455*SUMIFS(Premissas!$C$5:$C$44,Premissas!$A$5:$A$44,$A2455,Premissas!$B$5:$B$44,$B2455)+P2455*SUMIFS(Premissas!$D$5:$D$44,Premissas!$A$5:$A$44,$A2455,Premissas!$B$5:$B$44,$B2455))+R2455*SUMIFS(Premissas!$E$5:$E$44,Premissas!$A$5:$A$44,$A2455,Premissas!$B$5:$B$44,$B2455)+S2455*SUMIFS(Premissas!$F$5:$F$44,Premissas!$A$5:$A$44,$A2455,Premissas!$B$5:$B$44,$B2455)</f>
        <v/>
      </c>
      <c r="L2455" s="29">
        <f>J2455-K2455</f>
        <v/>
      </c>
      <c r="M2455" t="inlineStr">
        <is>
          <t>1.350</t>
        </is>
      </c>
      <c r="N2455" t="inlineStr">
        <is>
          <t>Modalidade: 0 - Por conta do remetente | Parte: CAMPOPLASTIC ATACADO LTDA. (30.385.394/0001-04)</t>
        </is>
      </c>
      <c r="O2455" s="29" t="n">
        <v>0</v>
      </c>
      <c r="P2455" s="29" t="n">
        <v>0</v>
      </c>
      <c r="Q2455" s="29" t="n">
        <v>0</v>
      </c>
      <c r="R2455" s="29" t="n">
        <v>0</v>
      </c>
      <c r="S2455" s="29" t="n">
        <v>0</v>
      </c>
      <c r="T2455" t="inlineStr">
        <is>
          <t>25251126975620000130570010000058001001101110</t>
        </is>
      </c>
      <c r="U2455" t="inlineStr">
        <is>
          <t>Não</t>
        </is>
      </c>
    </row>
    <row r="2456">
      <c r="A2456" t="inlineStr">
        <is>
          <t>Frete de venda</t>
        </is>
      </c>
      <c r="B2456" t="inlineStr">
        <is>
          <t>2.01.02 Frete sobre Vendas</t>
        </is>
      </c>
      <c r="C2456" t="inlineStr">
        <is>
          <t>Antes de 2026</t>
        </is>
      </c>
      <c r="D2456" t="inlineStr">
        <is>
          <t>Antes de 2026</t>
        </is>
      </c>
      <c r="E2456" s="28" t="n">
        <v>45981</v>
      </c>
      <c r="F2456" t="inlineStr">
        <is>
          <t>CT-e</t>
        </is>
      </c>
      <c r="G2456" t="inlineStr">
        <is>
          <t>000005801</t>
        </is>
      </c>
      <c r="H2456" t="inlineStr">
        <is>
          <t>R&amp;R TRANSPORTE E LOGISTICA</t>
        </is>
      </c>
      <c r="J2456" s="29" t="n">
        <v>11.97</v>
      </c>
      <c r="K2456" s="29">
        <f>(1-ISNUMBER(SEARCH("556",M2456)))*(O2456*SUMIFS(Premissas!$C$5:$C$44,Premissas!$A$5:$A$44,$A2456,Premissas!$B$5:$B$44,$B2456)+P2456*SUMIFS(Premissas!$D$5:$D$44,Premissas!$A$5:$A$44,$A2456,Premissas!$B$5:$B$44,$B2456))+R2456*SUMIFS(Premissas!$E$5:$E$44,Premissas!$A$5:$A$44,$A2456,Premissas!$B$5:$B$44,$B2456)+S2456*SUMIFS(Premissas!$F$5:$F$44,Premissas!$A$5:$A$44,$A2456,Premissas!$B$5:$B$44,$B2456)</f>
        <v/>
      </c>
      <c r="L2456" s="29">
        <f>J2456-K2456</f>
        <v/>
      </c>
      <c r="M2456" t="inlineStr">
        <is>
          <t>1.350</t>
        </is>
      </c>
      <c r="N2456" t="inlineStr">
        <is>
          <t>Modalidade: 0 - Por conta do remetente | Parte: VICTOR E VITORIA COMERCIO VAREJISTA E ATACADISTA DE DOCE... (33.549.814/0001-39)</t>
        </is>
      </c>
      <c r="O2456" s="29" t="n">
        <v>0</v>
      </c>
      <c r="P2456" s="29" t="n">
        <v>0</v>
      </c>
      <c r="Q2456" s="29" t="n">
        <v>0</v>
      </c>
      <c r="R2456" s="29" t="n">
        <v>0</v>
      </c>
      <c r="S2456" s="29" t="n">
        <v>0</v>
      </c>
      <c r="T2456" t="inlineStr">
        <is>
          <t>25251126975620000130570010000058011001901190</t>
        </is>
      </c>
      <c r="U2456" t="inlineStr">
        <is>
          <t>Não</t>
        </is>
      </c>
    </row>
    <row r="2457">
      <c r="A2457" t="inlineStr">
        <is>
          <t>Frete de venda</t>
        </is>
      </c>
      <c r="B2457" t="inlineStr">
        <is>
          <t>2.01.02 Frete sobre Vendas</t>
        </is>
      </c>
      <c r="C2457" t="inlineStr">
        <is>
          <t>Antes de 2026</t>
        </is>
      </c>
      <c r="D2457" t="inlineStr">
        <is>
          <t>Antes de 2026</t>
        </is>
      </c>
      <c r="E2457" s="28" t="n">
        <v>45981</v>
      </c>
      <c r="F2457" t="inlineStr">
        <is>
          <t>CT-e</t>
        </is>
      </c>
      <c r="G2457" t="inlineStr">
        <is>
          <t>000005802</t>
        </is>
      </c>
      <c r="H2457" t="inlineStr">
        <is>
          <t>R&amp;R TRANSPORTE E LOGISTICA</t>
        </is>
      </c>
      <c r="J2457" s="29" t="n">
        <v>23.31</v>
      </c>
      <c r="K2457" s="29">
        <f>(1-ISNUMBER(SEARCH("556",M2457)))*(O2457*SUMIFS(Premissas!$C$5:$C$44,Premissas!$A$5:$A$44,$A2457,Premissas!$B$5:$B$44,$B2457)+P2457*SUMIFS(Premissas!$D$5:$D$44,Premissas!$A$5:$A$44,$A2457,Premissas!$B$5:$B$44,$B2457))+R2457*SUMIFS(Premissas!$E$5:$E$44,Premissas!$A$5:$A$44,$A2457,Premissas!$B$5:$B$44,$B2457)+S2457*SUMIFS(Premissas!$F$5:$F$44,Premissas!$A$5:$A$44,$A2457,Premissas!$B$5:$B$44,$B2457)</f>
        <v/>
      </c>
      <c r="L2457" s="29">
        <f>J2457-K2457</f>
        <v/>
      </c>
      <c r="M2457" t="inlineStr">
        <is>
          <t>1.350</t>
        </is>
      </c>
      <c r="N2457" t="inlineStr">
        <is>
          <t>Modalidade: 0 - Por conta do remetente | Parte: TARCISIO J CIDRAL EMBALAGENS (07.324.834/0001-00)</t>
        </is>
      </c>
      <c r="O2457" s="29" t="n">
        <v>0</v>
      </c>
      <c r="P2457" s="29" t="n">
        <v>0</v>
      </c>
      <c r="Q2457" s="29" t="n">
        <v>0</v>
      </c>
      <c r="R2457" s="29" t="n">
        <v>0</v>
      </c>
      <c r="S2457" s="29" t="n">
        <v>0</v>
      </c>
      <c r="T2457" t="inlineStr">
        <is>
          <t>25251126975620000130570010000058021001601274</t>
        </is>
      </c>
      <c r="U2457" t="inlineStr">
        <is>
          <t>Não</t>
        </is>
      </c>
    </row>
    <row r="2458">
      <c r="A2458" t="inlineStr">
        <is>
          <t>Frete de venda</t>
        </is>
      </c>
      <c r="B2458" t="inlineStr">
        <is>
          <t>2.01.02 Frete sobre Vendas</t>
        </is>
      </c>
      <c r="C2458" t="inlineStr">
        <is>
          <t>Antes de 2026</t>
        </is>
      </c>
      <c r="D2458" t="inlineStr">
        <is>
          <t>Antes de 2026</t>
        </is>
      </c>
      <c r="E2458" s="28" t="n">
        <v>45981</v>
      </c>
      <c r="F2458" t="inlineStr">
        <is>
          <t>CT-e</t>
        </is>
      </c>
      <c r="G2458" t="inlineStr">
        <is>
          <t>000005803</t>
        </is>
      </c>
      <c r="H2458" t="inlineStr">
        <is>
          <t>R&amp;R TRANSPORTE E LOGISTICA</t>
        </is>
      </c>
      <c r="J2458" s="29" t="n">
        <v>55.45</v>
      </c>
      <c r="K2458" s="29">
        <f>(1-ISNUMBER(SEARCH("556",M2458)))*(O2458*SUMIFS(Premissas!$C$5:$C$44,Premissas!$A$5:$A$44,$A2458,Premissas!$B$5:$B$44,$B2458)+P2458*SUMIFS(Premissas!$D$5:$D$44,Premissas!$A$5:$A$44,$A2458,Premissas!$B$5:$B$44,$B2458))+R2458*SUMIFS(Premissas!$E$5:$E$44,Premissas!$A$5:$A$44,$A2458,Premissas!$B$5:$B$44,$B2458)+S2458*SUMIFS(Premissas!$F$5:$F$44,Premissas!$A$5:$A$44,$A2458,Premissas!$B$5:$B$44,$B2458)</f>
        <v/>
      </c>
      <c r="L2458" s="29">
        <f>J2458-K2458</f>
        <v/>
      </c>
      <c r="M2458" t="inlineStr">
        <is>
          <t>1.350</t>
        </is>
      </c>
      <c r="N2458" t="inlineStr">
        <is>
          <t>Modalidade: 0 - Por conta do remetente | Parte: AMAFE FESTAS LTDA (57.492.281/0001-64)</t>
        </is>
      </c>
      <c r="O2458" s="29" t="n">
        <v>0</v>
      </c>
      <c r="P2458" s="29" t="n">
        <v>0</v>
      </c>
      <c r="Q2458" s="29" t="n">
        <v>0</v>
      </c>
      <c r="R2458" s="29" t="n">
        <v>0</v>
      </c>
      <c r="S2458" s="29" t="n">
        <v>0</v>
      </c>
      <c r="T2458" t="inlineStr">
        <is>
          <t>25251126975620000130570010000058031001301359</t>
        </is>
      </c>
      <c r="U2458" t="inlineStr">
        <is>
          <t>Não</t>
        </is>
      </c>
    </row>
    <row r="2459">
      <c r="A2459" t="inlineStr">
        <is>
          <t>Frete de venda</t>
        </is>
      </c>
      <c r="B2459" t="inlineStr">
        <is>
          <t>2.01.02 Frete sobre Vendas</t>
        </is>
      </c>
      <c r="C2459" t="inlineStr">
        <is>
          <t>Antes de 2026</t>
        </is>
      </c>
      <c r="D2459" t="inlineStr">
        <is>
          <t>Antes de 2026</t>
        </is>
      </c>
      <c r="E2459" s="28" t="n">
        <v>45983</v>
      </c>
      <c r="F2459" t="inlineStr">
        <is>
          <t>CT-e</t>
        </is>
      </c>
      <c r="G2459" t="inlineStr">
        <is>
          <t>000005806</t>
        </is>
      </c>
      <c r="H2459" t="inlineStr">
        <is>
          <t>R&amp;R TRANSPORTE E LOGISTICA</t>
        </is>
      </c>
      <c r="J2459" s="29" t="n">
        <v>765.88</v>
      </c>
      <c r="K2459" s="29">
        <f>(1-ISNUMBER(SEARCH("556",M2459)))*(O2459*SUMIFS(Premissas!$C$5:$C$44,Premissas!$A$5:$A$44,$A2459,Premissas!$B$5:$B$44,$B2459)+P2459*SUMIFS(Premissas!$D$5:$D$44,Premissas!$A$5:$A$44,$A2459,Premissas!$B$5:$B$44,$B2459))+R2459*SUMIFS(Premissas!$E$5:$E$44,Premissas!$A$5:$A$44,$A2459,Premissas!$B$5:$B$44,$B2459)+S2459*SUMIFS(Premissas!$F$5:$F$44,Premissas!$A$5:$A$44,$A2459,Premissas!$B$5:$B$44,$B2459)</f>
        <v/>
      </c>
      <c r="L2459" s="29">
        <f>J2459-K2459</f>
        <v/>
      </c>
      <c r="M2459" t="inlineStr">
        <is>
          <t>1.350</t>
        </is>
      </c>
      <c r="N2459" t="inlineStr">
        <is>
          <t>Modalidade: 0 - Por conta do remetente | Parte: VINCO DISTRIBUIDORA DE EMBALAGENS LTDA (55.333.385/0001-09)</t>
        </is>
      </c>
      <c r="O2459" s="29" t="n">
        <v>0</v>
      </c>
      <c r="P2459" s="29" t="n">
        <v>0</v>
      </c>
      <c r="Q2459" s="29" t="n">
        <v>0</v>
      </c>
      <c r="R2459" s="29" t="n">
        <v>0</v>
      </c>
      <c r="S2459" s="29" t="n">
        <v>0</v>
      </c>
      <c r="T2459" t="inlineStr">
        <is>
          <t>25251126975620000130570010000058061000150820</t>
        </is>
      </c>
      <c r="U2459" t="inlineStr">
        <is>
          <t>Não</t>
        </is>
      </c>
    </row>
    <row r="2460">
      <c r="A2460" t="inlineStr">
        <is>
          <t>Frete de venda</t>
        </is>
      </c>
      <c r="B2460" t="inlineStr">
        <is>
          <t>2.01.02 Frete sobre Vendas</t>
        </is>
      </c>
      <c r="C2460" t="inlineStr">
        <is>
          <t>Antes de 2026</t>
        </is>
      </c>
      <c r="D2460" t="inlineStr">
        <is>
          <t>Antes de 2026</t>
        </is>
      </c>
      <c r="E2460" s="28" t="n">
        <v>45985</v>
      </c>
      <c r="F2460" t="inlineStr">
        <is>
          <t>CT-e</t>
        </is>
      </c>
      <c r="G2460" t="inlineStr">
        <is>
          <t>000005813</t>
        </is>
      </c>
      <c r="H2460" t="inlineStr">
        <is>
          <t>R&amp;R TRANSPORTE E LOGISTICA</t>
        </is>
      </c>
      <c r="J2460" s="29" t="n">
        <v>950</v>
      </c>
      <c r="K2460" s="29">
        <f>(1-ISNUMBER(SEARCH("556",M2460)))*(O2460*SUMIFS(Premissas!$C$5:$C$44,Premissas!$A$5:$A$44,$A2460,Premissas!$B$5:$B$44,$B2460)+P2460*SUMIFS(Premissas!$D$5:$D$44,Premissas!$A$5:$A$44,$A2460,Premissas!$B$5:$B$44,$B2460))+R2460*SUMIFS(Premissas!$E$5:$E$44,Premissas!$A$5:$A$44,$A2460,Premissas!$B$5:$B$44,$B2460)+S2460*SUMIFS(Premissas!$F$5:$F$44,Premissas!$A$5:$A$44,$A2460,Premissas!$B$5:$B$44,$B2460)</f>
        <v/>
      </c>
      <c r="L2460" s="29">
        <f>J2460-K2460</f>
        <v/>
      </c>
      <c r="M2460" t="inlineStr">
        <is>
          <t>1.350</t>
        </is>
      </c>
      <c r="N2460" t="inlineStr">
        <is>
          <t>Modalidade: 0 - Por conta do remetente | Parte: EMBALACENTER COMERCIO E REPRESENTACOES DE EMBALAGENS DE ... (07.351.681/0002-62)</t>
        </is>
      </c>
      <c r="O2460" s="29" t="n">
        <v>0</v>
      </c>
      <c r="P2460" s="29" t="n">
        <v>0</v>
      </c>
      <c r="Q2460" s="29" t="n">
        <v>0</v>
      </c>
      <c r="R2460" s="29" t="n">
        <v>0</v>
      </c>
      <c r="S2460" s="29" t="n">
        <v>0</v>
      </c>
      <c r="T2460" t="inlineStr">
        <is>
          <t>25251126975620000130570010000058131001601383</t>
        </is>
      </c>
      <c r="U2460" t="inlineStr">
        <is>
          <t>Não</t>
        </is>
      </c>
    </row>
    <row r="2461">
      <c r="A2461" t="inlineStr">
        <is>
          <t>Frete de venda</t>
        </is>
      </c>
      <c r="B2461" t="inlineStr">
        <is>
          <t>2.01.02 Frete sobre Vendas</t>
        </is>
      </c>
      <c r="C2461" t="inlineStr">
        <is>
          <t>Antes de 2026</t>
        </is>
      </c>
      <c r="D2461" t="inlineStr">
        <is>
          <t>Antes de 2026</t>
        </is>
      </c>
      <c r="E2461" s="28" t="n">
        <v>45986</v>
      </c>
      <c r="F2461" t="inlineStr">
        <is>
          <t>CT-e</t>
        </is>
      </c>
      <c r="G2461" t="inlineStr">
        <is>
          <t>000005817</t>
        </is>
      </c>
      <c r="H2461" t="inlineStr">
        <is>
          <t>R&amp;R TRANSPORTE E LOGISTICA</t>
        </is>
      </c>
      <c r="J2461" s="29" t="n">
        <v>28.51</v>
      </c>
      <c r="K2461" s="29">
        <f>(1-ISNUMBER(SEARCH("556",M2461)))*(O2461*SUMIFS(Premissas!$C$5:$C$44,Premissas!$A$5:$A$44,$A2461,Premissas!$B$5:$B$44,$B2461)+P2461*SUMIFS(Premissas!$D$5:$D$44,Premissas!$A$5:$A$44,$A2461,Premissas!$B$5:$B$44,$B2461))+R2461*SUMIFS(Premissas!$E$5:$E$44,Premissas!$A$5:$A$44,$A2461,Premissas!$B$5:$B$44,$B2461)+S2461*SUMIFS(Premissas!$F$5:$F$44,Premissas!$A$5:$A$44,$A2461,Premissas!$B$5:$B$44,$B2461)</f>
        <v/>
      </c>
      <c r="L2461" s="29">
        <f>J2461-K2461</f>
        <v/>
      </c>
      <c r="M2461" t="inlineStr">
        <is>
          <t>1.350</t>
        </is>
      </c>
      <c r="N2461" t="inlineStr">
        <is>
          <t>Modalidade: 0 - Por conta do remetente | Parte: PRASO PLATAFORMA DE COMERCIO LTDA. (42.434.646/0007-12)</t>
        </is>
      </c>
      <c r="O2461" s="29" t="n">
        <v>0</v>
      </c>
      <c r="P2461" s="29" t="n">
        <v>0</v>
      </c>
      <c r="Q2461" s="29" t="n">
        <v>0</v>
      </c>
      <c r="R2461" s="29" t="n">
        <v>0</v>
      </c>
      <c r="S2461" s="29" t="n">
        <v>0</v>
      </c>
      <c r="T2461" t="inlineStr">
        <is>
          <t>25251126975620000130570010000058171001501264</t>
        </is>
      </c>
      <c r="U2461" t="inlineStr">
        <is>
          <t>Não</t>
        </is>
      </c>
    </row>
    <row r="2462">
      <c r="A2462" t="inlineStr">
        <is>
          <t>Frete de venda</t>
        </is>
      </c>
      <c r="B2462" t="inlineStr">
        <is>
          <t>2.01.02 Frete sobre Vendas</t>
        </is>
      </c>
      <c r="C2462" t="inlineStr">
        <is>
          <t>Antes de 2026</t>
        </is>
      </c>
      <c r="D2462" t="inlineStr">
        <is>
          <t>Antes de 2026</t>
        </is>
      </c>
      <c r="E2462" s="28" t="n">
        <v>45986</v>
      </c>
      <c r="F2462" t="inlineStr">
        <is>
          <t>CT-e</t>
        </is>
      </c>
      <c r="G2462" t="inlineStr">
        <is>
          <t>000005818</t>
        </is>
      </c>
      <c r="H2462" t="inlineStr">
        <is>
          <t>R&amp;R TRANSPORTE E LOGISTICA</t>
        </is>
      </c>
      <c r="J2462" s="29" t="n">
        <v>27.84</v>
      </c>
      <c r="K2462" s="29">
        <f>(1-ISNUMBER(SEARCH("556",M2462)))*(O2462*SUMIFS(Premissas!$C$5:$C$44,Premissas!$A$5:$A$44,$A2462,Premissas!$B$5:$B$44,$B2462)+P2462*SUMIFS(Premissas!$D$5:$D$44,Premissas!$A$5:$A$44,$A2462,Premissas!$B$5:$B$44,$B2462))+R2462*SUMIFS(Premissas!$E$5:$E$44,Premissas!$A$5:$A$44,$A2462,Premissas!$B$5:$B$44,$B2462)+S2462*SUMIFS(Premissas!$F$5:$F$44,Premissas!$A$5:$A$44,$A2462,Premissas!$B$5:$B$44,$B2462)</f>
        <v/>
      </c>
      <c r="L2462" s="29">
        <f>J2462-K2462</f>
        <v/>
      </c>
      <c r="M2462" t="inlineStr">
        <is>
          <t>1.350</t>
        </is>
      </c>
      <c r="N2462" t="inlineStr">
        <is>
          <t>Modalidade: 0 - Por conta do remetente | Parte: VIP DISTRIBUIDORA DE EMBALAGENS LTDA (51.987.110/0001-20)</t>
        </is>
      </c>
      <c r="O2462" s="29" t="n">
        <v>0</v>
      </c>
      <c r="P2462" s="29" t="n">
        <v>0</v>
      </c>
      <c r="Q2462" s="29" t="n">
        <v>0</v>
      </c>
      <c r="R2462" s="29" t="n">
        <v>0</v>
      </c>
      <c r="S2462" s="29" t="n">
        <v>0</v>
      </c>
      <c r="T2462" t="inlineStr">
        <is>
          <t>25251126975620000130570010000058181001201349</t>
        </is>
      </c>
      <c r="U2462" t="inlineStr">
        <is>
          <t>Não</t>
        </is>
      </c>
    </row>
    <row r="2463">
      <c r="A2463" t="inlineStr">
        <is>
          <t>Frete de venda</t>
        </is>
      </c>
      <c r="B2463" t="inlineStr">
        <is>
          <t>2.01.02 Frete sobre Vendas</t>
        </is>
      </c>
      <c r="C2463" t="inlineStr">
        <is>
          <t>Antes de 2026</t>
        </is>
      </c>
      <c r="D2463" t="inlineStr">
        <is>
          <t>Antes de 2026</t>
        </is>
      </c>
      <c r="E2463" s="28" t="n">
        <v>45986</v>
      </c>
      <c r="F2463" t="inlineStr">
        <is>
          <t>CT-e</t>
        </is>
      </c>
      <c r="G2463" t="inlineStr">
        <is>
          <t>000005819</t>
        </is>
      </c>
      <c r="H2463" t="inlineStr">
        <is>
          <t>R&amp;R TRANSPORTE E LOGISTICA</t>
        </is>
      </c>
      <c r="J2463" s="29" t="n">
        <v>28.88</v>
      </c>
      <c r="K2463" s="29">
        <f>(1-ISNUMBER(SEARCH("556",M2463)))*(O2463*SUMIFS(Premissas!$C$5:$C$44,Premissas!$A$5:$A$44,$A2463,Premissas!$B$5:$B$44,$B2463)+P2463*SUMIFS(Premissas!$D$5:$D$44,Premissas!$A$5:$A$44,$A2463,Premissas!$B$5:$B$44,$B2463))+R2463*SUMIFS(Premissas!$E$5:$E$44,Premissas!$A$5:$A$44,$A2463,Premissas!$B$5:$B$44,$B2463)+S2463*SUMIFS(Premissas!$F$5:$F$44,Premissas!$A$5:$A$44,$A2463,Premissas!$B$5:$B$44,$B2463)</f>
        <v/>
      </c>
      <c r="L2463" s="29">
        <f>J2463-K2463</f>
        <v/>
      </c>
      <c r="M2463" t="inlineStr">
        <is>
          <t>1.350</t>
        </is>
      </c>
      <c r="N2463" t="inlineStr">
        <is>
          <t>Modalidade: 0 - Por conta do remetente | Parte: DOCA COMERCIO DE PRODUTOS ALIMENTICIOS LTDA (15.258.788/0003-70)</t>
        </is>
      </c>
      <c r="O2463" s="29" t="n">
        <v>0</v>
      </c>
      <c r="P2463" s="29" t="n">
        <v>0</v>
      </c>
      <c r="Q2463" s="29" t="n">
        <v>0</v>
      </c>
      <c r="R2463" s="29" t="n">
        <v>0</v>
      </c>
      <c r="S2463" s="29" t="n">
        <v>0</v>
      </c>
      <c r="T2463" t="inlineStr">
        <is>
          <t>25251126975620000130570010000058191011001420</t>
        </is>
      </c>
      <c r="U2463" t="inlineStr">
        <is>
          <t>Não</t>
        </is>
      </c>
    </row>
    <row r="2464">
      <c r="A2464" t="inlineStr">
        <is>
          <t>Frete de venda</t>
        </is>
      </c>
      <c r="B2464" t="inlineStr">
        <is>
          <t>2.01.02 Frete sobre Vendas</t>
        </is>
      </c>
      <c r="C2464" t="inlineStr">
        <is>
          <t>Antes de 2026</t>
        </is>
      </c>
      <c r="D2464" t="inlineStr">
        <is>
          <t>Antes de 2026</t>
        </is>
      </c>
      <c r="E2464" s="28" t="n">
        <v>45986</v>
      </c>
      <c r="F2464" t="inlineStr">
        <is>
          <t>CT-e</t>
        </is>
      </c>
      <c r="G2464" t="inlineStr">
        <is>
          <t>000005820</t>
        </is>
      </c>
      <c r="H2464" t="inlineStr">
        <is>
          <t>R&amp;R TRANSPORTE E LOGISTICA</t>
        </is>
      </c>
      <c r="J2464" s="29" t="n">
        <v>37.31</v>
      </c>
      <c r="K2464" s="29">
        <f>(1-ISNUMBER(SEARCH("556",M2464)))*(O2464*SUMIFS(Premissas!$C$5:$C$44,Premissas!$A$5:$A$44,$A2464,Premissas!$B$5:$B$44,$B2464)+P2464*SUMIFS(Premissas!$D$5:$D$44,Premissas!$A$5:$A$44,$A2464,Premissas!$B$5:$B$44,$B2464))+R2464*SUMIFS(Premissas!$E$5:$E$44,Premissas!$A$5:$A$44,$A2464,Premissas!$B$5:$B$44,$B2464)+S2464*SUMIFS(Premissas!$F$5:$F$44,Premissas!$A$5:$A$44,$A2464,Premissas!$B$5:$B$44,$B2464)</f>
        <v/>
      </c>
      <c r="L2464" s="29">
        <f>J2464-K2464</f>
        <v/>
      </c>
      <c r="M2464" t="inlineStr">
        <is>
          <t>1.350</t>
        </is>
      </c>
      <c r="N2464" t="inlineStr">
        <is>
          <t>Modalidade: 0 - Por conta do remetente | Parte: JND DISTRIBUIDORA LTDA (36.332.668/0001-83)</t>
        </is>
      </c>
      <c r="O2464" s="29" t="n">
        <v>0</v>
      </c>
      <c r="P2464" s="29" t="n">
        <v>0</v>
      </c>
      <c r="Q2464" s="29" t="n">
        <v>0</v>
      </c>
      <c r="R2464" s="29" t="n">
        <v>0</v>
      </c>
      <c r="S2464" s="29" t="n">
        <v>0</v>
      </c>
      <c r="T2464" t="inlineStr">
        <is>
          <t>25251126975620000130570010000058201001701501</t>
        </is>
      </c>
      <c r="U2464" t="inlineStr">
        <is>
          <t>Não</t>
        </is>
      </c>
    </row>
    <row r="2465">
      <c r="A2465" t="inlineStr">
        <is>
          <t>Frete de venda</t>
        </is>
      </c>
      <c r="B2465" t="inlineStr">
        <is>
          <t>2.01.02 Frete sobre Vendas</t>
        </is>
      </c>
      <c r="C2465" t="inlineStr">
        <is>
          <t>Antes de 2026</t>
        </is>
      </c>
      <c r="D2465" t="inlineStr">
        <is>
          <t>Antes de 2026</t>
        </is>
      </c>
      <c r="E2465" s="28" t="n">
        <v>45986</v>
      </c>
      <c r="F2465" t="inlineStr">
        <is>
          <t>CT-e</t>
        </is>
      </c>
      <c r="G2465" t="inlineStr">
        <is>
          <t>000005821</t>
        </is>
      </c>
      <c r="H2465" t="inlineStr">
        <is>
          <t>R&amp;R TRANSPORTE E LOGISTICA</t>
        </is>
      </c>
      <c r="J2465" s="29" t="n">
        <v>53.06</v>
      </c>
      <c r="K2465" s="29">
        <f>(1-ISNUMBER(SEARCH("556",M2465)))*(O2465*SUMIFS(Premissas!$C$5:$C$44,Premissas!$A$5:$A$44,$A2465,Premissas!$B$5:$B$44,$B2465)+P2465*SUMIFS(Premissas!$D$5:$D$44,Premissas!$A$5:$A$44,$A2465,Premissas!$B$5:$B$44,$B2465))+R2465*SUMIFS(Premissas!$E$5:$E$44,Premissas!$A$5:$A$44,$A2465,Premissas!$B$5:$B$44,$B2465)+S2465*SUMIFS(Premissas!$F$5:$F$44,Premissas!$A$5:$A$44,$A2465,Premissas!$B$5:$B$44,$B2465)</f>
        <v/>
      </c>
      <c r="L2465" s="29">
        <f>J2465-K2465</f>
        <v/>
      </c>
      <c r="M2465" t="inlineStr">
        <is>
          <t>1.350</t>
        </is>
      </c>
      <c r="N2465" t="inlineStr">
        <is>
          <t>Modalidade: 0 - Por conta do remetente | Parte: FORTALI DISTRIBUIDORA DE ALIMENTOS LTDA. (09.317.318/0001-75)</t>
        </is>
      </c>
      <c r="O2465" s="29" t="n">
        <v>0</v>
      </c>
      <c r="P2465" s="29" t="n">
        <v>0</v>
      </c>
      <c r="Q2465" s="29" t="n">
        <v>0</v>
      </c>
      <c r="R2465" s="29" t="n">
        <v>0</v>
      </c>
      <c r="S2465" s="29" t="n">
        <v>0</v>
      </c>
      <c r="T2465" t="inlineStr">
        <is>
          <t>25251126975620000130570010000058211001401580</t>
        </is>
      </c>
      <c r="U2465" t="inlineStr">
        <is>
          <t>Não</t>
        </is>
      </c>
    </row>
    <row r="2466">
      <c r="A2466" t="inlineStr">
        <is>
          <t>Frete de venda</t>
        </is>
      </c>
      <c r="B2466" t="inlineStr">
        <is>
          <t>2.01.02 Frete sobre Vendas</t>
        </is>
      </c>
      <c r="C2466" t="inlineStr">
        <is>
          <t>Antes de 2026</t>
        </is>
      </c>
      <c r="D2466" t="inlineStr">
        <is>
          <t>Antes de 2026</t>
        </is>
      </c>
      <c r="E2466" s="28" t="n">
        <v>45986</v>
      </c>
      <c r="F2466" t="inlineStr">
        <is>
          <t>CT-e</t>
        </is>
      </c>
      <c r="G2466" t="inlineStr">
        <is>
          <t>000005822</t>
        </is>
      </c>
      <c r="H2466" t="inlineStr">
        <is>
          <t>R&amp;R TRANSPORTE E LOGISTICA</t>
        </is>
      </c>
      <c r="J2466" s="29" t="n">
        <v>30.79</v>
      </c>
      <c r="K2466" s="29">
        <f>(1-ISNUMBER(SEARCH("556",M2466)))*(O2466*SUMIFS(Premissas!$C$5:$C$44,Premissas!$A$5:$A$44,$A2466,Premissas!$B$5:$B$44,$B2466)+P2466*SUMIFS(Premissas!$D$5:$D$44,Premissas!$A$5:$A$44,$A2466,Premissas!$B$5:$B$44,$B2466))+R2466*SUMIFS(Premissas!$E$5:$E$44,Premissas!$A$5:$A$44,$A2466,Premissas!$B$5:$B$44,$B2466)+S2466*SUMIFS(Premissas!$F$5:$F$44,Premissas!$A$5:$A$44,$A2466,Premissas!$B$5:$B$44,$B2466)</f>
        <v/>
      </c>
      <c r="L2466" s="29">
        <f>J2466-K2466</f>
        <v/>
      </c>
      <c r="M2466" t="inlineStr">
        <is>
          <t>1.350</t>
        </is>
      </c>
      <c r="N2466" t="inlineStr">
        <is>
          <t>Modalidade: 0 - Por conta do remetente | Parte: DOCA COMERCIO DE PRODUTOS ALIMENTICIOS LTDA (15.258.788/0004-50)</t>
        </is>
      </c>
      <c r="O2466" s="29" t="n">
        <v>0</v>
      </c>
      <c r="P2466" s="29" t="n">
        <v>0</v>
      </c>
      <c r="Q2466" s="29" t="n">
        <v>0</v>
      </c>
      <c r="R2466" s="29" t="n">
        <v>0</v>
      </c>
      <c r="S2466" s="29" t="n">
        <v>0</v>
      </c>
      <c r="T2466" t="inlineStr">
        <is>
          <t>25251126975620000130570010000058221001101665</t>
        </is>
      </c>
      <c r="U2466" t="inlineStr">
        <is>
          <t>Não</t>
        </is>
      </c>
    </row>
    <row r="2467">
      <c r="A2467" t="inlineStr">
        <is>
          <t>Frete de venda</t>
        </is>
      </c>
      <c r="B2467" t="inlineStr">
        <is>
          <t>2.01.02 Frete sobre Vendas</t>
        </is>
      </c>
      <c r="C2467" t="inlineStr">
        <is>
          <t>Antes de 2026</t>
        </is>
      </c>
      <c r="D2467" t="inlineStr">
        <is>
          <t>Antes de 2026</t>
        </is>
      </c>
      <c r="E2467" s="28" t="n">
        <v>45986</v>
      </c>
      <c r="F2467" t="inlineStr">
        <is>
          <t>CT-e</t>
        </is>
      </c>
      <c r="G2467" t="inlineStr">
        <is>
          <t>000005823</t>
        </is>
      </c>
      <c r="H2467" t="inlineStr">
        <is>
          <t>R&amp;R TRANSPORTE E LOGISTICA</t>
        </is>
      </c>
      <c r="J2467" s="29" t="n">
        <v>27.89</v>
      </c>
      <c r="K2467" s="29">
        <f>(1-ISNUMBER(SEARCH("556",M2467)))*(O2467*SUMIFS(Premissas!$C$5:$C$44,Premissas!$A$5:$A$44,$A2467,Premissas!$B$5:$B$44,$B2467)+P2467*SUMIFS(Premissas!$D$5:$D$44,Premissas!$A$5:$A$44,$A2467,Premissas!$B$5:$B$44,$B2467))+R2467*SUMIFS(Premissas!$E$5:$E$44,Premissas!$A$5:$A$44,$A2467,Premissas!$B$5:$B$44,$B2467)+S2467*SUMIFS(Premissas!$F$5:$F$44,Premissas!$A$5:$A$44,$A2467,Premissas!$B$5:$B$44,$B2467)</f>
        <v/>
      </c>
      <c r="L2467" s="29">
        <f>J2467-K2467</f>
        <v/>
      </c>
      <c r="M2467" t="inlineStr">
        <is>
          <t>1.350</t>
        </is>
      </c>
      <c r="N2467" t="inlineStr">
        <is>
          <t>Modalidade: 0 - Por conta do remetente | Parte: DOCA COMERCIO DE PRODUTOS ALIMENTICIOS LTDA (15.258.788/0001-08)</t>
        </is>
      </c>
      <c r="O2467" s="29" t="n">
        <v>0</v>
      </c>
      <c r="P2467" s="29" t="n">
        <v>0</v>
      </c>
      <c r="Q2467" s="29" t="n">
        <v>0</v>
      </c>
      <c r="R2467" s="29" t="n">
        <v>0</v>
      </c>
      <c r="S2467" s="29" t="n">
        <v>0</v>
      </c>
      <c r="T2467" t="inlineStr">
        <is>
          <t>25251126975620000130570010000058231001901740</t>
        </is>
      </c>
      <c r="U2467" t="inlineStr">
        <is>
          <t>Não</t>
        </is>
      </c>
    </row>
    <row r="2468">
      <c r="A2468" t="inlineStr">
        <is>
          <t>Frete de venda</t>
        </is>
      </c>
      <c r="B2468" t="inlineStr">
        <is>
          <t>2.01.02 Frete sobre Vendas</t>
        </is>
      </c>
      <c r="C2468" t="inlineStr">
        <is>
          <t>Antes de 2026</t>
        </is>
      </c>
      <c r="D2468" t="inlineStr">
        <is>
          <t>Antes de 2026</t>
        </is>
      </c>
      <c r="E2468" s="28" t="n">
        <v>45987</v>
      </c>
      <c r="F2468" t="inlineStr">
        <is>
          <t>CT-e</t>
        </is>
      </c>
      <c r="G2468" t="inlineStr">
        <is>
          <t>000005828</t>
        </is>
      </c>
      <c r="H2468" t="inlineStr">
        <is>
          <t>R&amp;R TRANSPORTE E LOGISTICA</t>
        </is>
      </c>
      <c r="J2468" s="29" t="n">
        <v>40.64</v>
      </c>
      <c r="K2468" s="29">
        <f>(1-ISNUMBER(SEARCH("556",M2468)))*(O2468*SUMIFS(Premissas!$C$5:$C$44,Premissas!$A$5:$A$44,$A2468,Premissas!$B$5:$B$44,$B2468)+P2468*SUMIFS(Premissas!$D$5:$D$44,Premissas!$A$5:$A$44,$A2468,Premissas!$B$5:$B$44,$B2468))+R2468*SUMIFS(Premissas!$E$5:$E$44,Premissas!$A$5:$A$44,$A2468,Premissas!$B$5:$B$44,$B2468)+S2468*SUMIFS(Premissas!$F$5:$F$44,Premissas!$A$5:$A$44,$A2468,Premissas!$B$5:$B$44,$B2468)</f>
        <v/>
      </c>
      <c r="L2468" s="29">
        <f>J2468-K2468</f>
        <v/>
      </c>
      <c r="M2468" t="inlineStr">
        <is>
          <t>1.350</t>
        </is>
      </c>
      <c r="N2468" t="inlineStr">
        <is>
          <t>Modalidade: 0 - Por conta do remetente | Parte: TAIS DA ROCHA FARIA LTDA (30.778.066/0001-78)</t>
        </is>
      </c>
      <c r="O2468" s="29" t="n">
        <v>0</v>
      </c>
      <c r="P2468" s="29" t="n">
        <v>0</v>
      </c>
      <c r="Q2468" s="29" t="n">
        <v>0</v>
      </c>
      <c r="R2468" s="29" t="n">
        <v>0</v>
      </c>
      <c r="S2468" s="29" t="n">
        <v>0</v>
      </c>
      <c r="T2468" t="inlineStr">
        <is>
          <t>25251126975620000130570010000058281000101657</t>
        </is>
      </c>
      <c r="U2468" t="inlineStr">
        <is>
          <t>Não</t>
        </is>
      </c>
    </row>
    <row r="2469">
      <c r="A2469" t="inlineStr">
        <is>
          <t>Frete de venda</t>
        </is>
      </c>
      <c r="B2469" t="inlineStr">
        <is>
          <t>2.01.02 Frete sobre Vendas</t>
        </is>
      </c>
      <c r="C2469" t="inlineStr">
        <is>
          <t>Antes de 2026</t>
        </is>
      </c>
      <c r="D2469" t="inlineStr">
        <is>
          <t>Antes de 2026</t>
        </is>
      </c>
      <c r="E2469" s="28" t="n">
        <v>45987</v>
      </c>
      <c r="F2469" t="inlineStr">
        <is>
          <t>CT-e</t>
        </is>
      </c>
      <c r="G2469" t="inlineStr">
        <is>
          <t>000005829</t>
        </is>
      </c>
      <c r="H2469" t="inlineStr">
        <is>
          <t>R&amp;R TRANSPORTE E LOGISTICA</t>
        </is>
      </c>
      <c r="J2469" s="29" t="n">
        <v>78.58</v>
      </c>
      <c r="K2469" s="29">
        <f>(1-ISNUMBER(SEARCH("556",M2469)))*(O2469*SUMIFS(Premissas!$C$5:$C$44,Premissas!$A$5:$A$44,$A2469,Premissas!$B$5:$B$44,$B2469)+P2469*SUMIFS(Premissas!$D$5:$D$44,Premissas!$A$5:$A$44,$A2469,Premissas!$B$5:$B$44,$B2469))+R2469*SUMIFS(Premissas!$E$5:$E$44,Premissas!$A$5:$A$44,$A2469,Premissas!$B$5:$B$44,$B2469)+S2469*SUMIFS(Premissas!$F$5:$F$44,Premissas!$A$5:$A$44,$A2469,Premissas!$B$5:$B$44,$B2469)</f>
        <v/>
      </c>
      <c r="L2469" s="29">
        <f>J2469-K2469</f>
        <v/>
      </c>
      <c r="M2469" t="inlineStr">
        <is>
          <t>1.350</t>
        </is>
      </c>
      <c r="N2469" t="inlineStr">
        <is>
          <t>Modalidade: 0 - Por conta do remetente | Parte: CASTRO NAVES COMERCIO E SERVICOS DE DISTRIBUICAO S.A. (03.341.743/0001-13)</t>
        </is>
      </c>
      <c r="O2469" s="29" t="n">
        <v>0</v>
      </c>
      <c r="P2469" s="29" t="n">
        <v>0</v>
      </c>
      <c r="Q2469" s="29" t="n">
        <v>0</v>
      </c>
      <c r="R2469" s="29" t="n">
        <v>0</v>
      </c>
      <c r="S2469" s="29" t="n">
        <v>0</v>
      </c>
      <c r="T2469" t="inlineStr">
        <is>
          <t>25251126975620000130570010000058291001801730</t>
        </is>
      </c>
      <c r="U2469" t="inlineStr">
        <is>
          <t>Não</t>
        </is>
      </c>
    </row>
    <row r="2470">
      <c r="A2470" t="inlineStr">
        <is>
          <t>Frete de venda</t>
        </is>
      </c>
      <c r="B2470" t="inlineStr">
        <is>
          <t>2.01.02 Frete sobre Vendas</t>
        </is>
      </c>
      <c r="C2470" t="inlineStr">
        <is>
          <t>Antes de 2026</t>
        </is>
      </c>
      <c r="D2470" t="inlineStr">
        <is>
          <t>Antes de 2026</t>
        </is>
      </c>
      <c r="E2470" s="28" t="n">
        <v>45987</v>
      </c>
      <c r="F2470" t="inlineStr">
        <is>
          <t>CT-e</t>
        </is>
      </c>
      <c r="G2470" t="inlineStr">
        <is>
          <t>000005830</t>
        </is>
      </c>
      <c r="H2470" t="inlineStr">
        <is>
          <t>R&amp;R TRANSPORTE E LOGISTICA</t>
        </is>
      </c>
      <c r="J2470" s="29" t="n">
        <v>39.44</v>
      </c>
      <c r="K2470" s="29">
        <f>(1-ISNUMBER(SEARCH("556",M2470)))*(O2470*SUMIFS(Premissas!$C$5:$C$44,Premissas!$A$5:$A$44,$A2470,Premissas!$B$5:$B$44,$B2470)+P2470*SUMIFS(Premissas!$D$5:$D$44,Premissas!$A$5:$A$44,$A2470,Premissas!$B$5:$B$44,$B2470))+R2470*SUMIFS(Premissas!$E$5:$E$44,Premissas!$A$5:$A$44,$A2470,Premissas!$B$5:$B$44,$B2470)+S2470*SUMIFS(Premissas!$F$5:$F$44,Premissas!$A$5:$A$44,$A2470,Premissas!$B$5:$B$44,$B2470)</f>
        <v/>
      </c>
      <c r="L2470" s="29">
        <f>J2470-K2470</f>
        <v/>
      </c>
      <c r="M2470" t="inlineStr">
        <is>
          <t>1.350</t>
        </is>
      </c>
      <c r="N2470" t="inlineStr">
        <is>
          <t>Modalidade: 0 - Por conta do remetente | Parte: LIDERPACK EMBALAGENS LTDA (46.994.972/0001-40)</t>
        </is>
      </c>
      <c r="O2470" s="29" t="n">
        <v>0</v>
      </c>
      <c r="P2470" s="29" t="n">
        <v>0</v>
      </c>
      <c r="Q2470" s="29" t="n">
        <v>0</v>
      </c>
      <c r="R2470" s="29" t="n">
        <v>0</v>
      </c>
      <c r="S2470" s="29" t="n">
        <v>0</v>
      </c>
      <c r="T2470" t="inlineStr">
        <is>
          <t>25251126975620000130570010000058301001501819</t>
        </is>
      </c>
      <c r="U2470" t="inlineStr">
        <is>
          <t>Não</t>
        </is>
      </c>
    </row>
    <row r="2471">
      <c r="A2471" t="inlineStr">
        <is>
          <t>Frete de venda</t>
        </is>
      </c>
      <c r="B2471" t="inlineStr">
        <is>
          <t>2.01.02 Frete sobre Vendas</t>
        </is>
      </c>
      <c r="C2471" t="inlineStr">
        <is>
          <t>Antes de 2026</t>
        </is>
      </c>
      <c r="D2471" t="inlineStr">
        <is>
          <t>Antes de 2026</t>
        </is>
      </c>
      <c r="E2471" s="28" t="n">
        <v>45987</v>
      </c>
      <c r="F2471" t="inlineStr">
        <is>
          <t>CT-e</t>
        </is>
      </c>
      <c r="G2471" t="inlineStr">
        <is>
          <t>000005831</t>
        </is>
      </c>
      <c r="H2471" t="inlineStr">
        <is>
          <t>R&amp;R TRANSPORTE E LOGISTICA</t>
        </is>
      </c>
      <c r="J2471" s="29" t="n">
        <v>42.86</v>
      </c>
      <c r="K2471" s="29">
        <f>(1-ISNUMBER(SEARCH("556",M2471)))*(O2471*SUMIFS(Premissas!$C$5:$C$44,Premissas!$A$5:$A$44,$A2471,Premissas!$B$5:$B$44,$B2471)+P2471*SUMIFS(Premissas!$D$5:$D$44,Premissas!$A$5:$A$44,$A2471,Premissas!$B$5:$B$44,$B2471))+R2471*SUMIFS(Premissas!$E$5:$E$44,Premissas!$A$5:$A$44,$A2471,Premissas!$B$5:$B$44,$B2471)+S2471*SUMIFS(Premissas!$F$5:$F$44,Premissas!$A$5:$A$44,$A2471,Premissas!$B$5:$B$44,$B2471)</f>
        <v/>
      </c>
      <c r="L2471" s="29">
        <f>J2471-K2471</f>
        <v/>
      </c>
      <c r="M2471" t="inlineStr">
        <is>
          <t>1.350</t>
        </is>
      </c>
      <c r="N2471" t="inlineStr">
        <is>
          <t>Modalidade: 0 - Por conta do remetente | Parte: HCR - COMERCIO DE EMBALAGENS LTDA (01.730.981/0001-95)</t>
        </is>
      </c>
      <c r="O2471" s="29" t="n">
        <v>0</v>
      </c>
      <c r="P2471" s="29" t="n">
        <v>0</v>
      </c>
      <c r="Q2471" s="29" t="n">
        <v>0</v>
      </c>
      <c r="R2471" s="29" t="n">
        <v>0</v>
      </c>
      <c r="S2471" s="29" t="n">
        <v>0</v>
      </c>
      <c r="T2471" t="inlineStr">
        <is>
          <t>25251126975620000130570010000058311001601160</t>
        </is>
      </c>
      <c r="U2471" t="inlineStr">
        <is>
          <t>Não</t>
        </is>
      </c>
    </row>
    <row r="2472">
      <c r="A2472" t="inlineStr">
        <is>
          <t>Frete de venda</t>
        </is>
      </c>
      <c r="B2472" t="inlineStr">
        <is>
          <t>2.01.02 Frete sobre Vendas</t>
        </is>
      </c>
      <c r="C2472" t="inlineStr">
        <is>
          <t>Antes de 2026</t>
        </is>
      </c>
      <c r="D2472" t="inlineStr">
        <is>
          <t>Antes de 2026</t>
        </is>
      </c>
      <c r="E2472" s="28" t="n">
        <v>45987</v>
      </c>
      <c r="F2472" t="inlineStr">
        <is>
          <t>CT-e</t>
        </is>
      </c>
      <c r="G2472" t="inlineStr">
        <is>
          <t>000005832</t>
        </is>
      </c>
      <c r="H2472" t="inlineStr">
        <is>
          <t>R&amp;R TRANSPORTE E LOGISTICA</t>
        </is>
      </c>
      <c r="J2472" s="29" t="n">
        <v>39.39</v>
      </c>
      <c r="K2472" s="29">
        <f>(1-ISNUMBER(SEARCH("556",M2472)))*(O2472*SUMIFS(Premissas!$C$5:$C$44,Premissas!$A$5:$A$44,$A2472,Premissas!$B$5:$B$44,$B2472)+P2472*SUMIFS(Premissas!$D$5:$D$44,Premissas!$A$5:$A$44,$A2472,Premissas!$B$5:$B$44,$B2472))+R2472*SUMIFS(Premissas!$E$5:$E$44,Premissas!$A$5:$A$44,$A2472,Premissas!$B$5:$B$44,$B2472)+S2472*SUMIFS(Premissas!$F$5:$F$44,Premissas!$A$5:$A$44,$A2472,Premissas!$B$5:$B$44,$B2472)</f>
        <v/>
      </c>
      <c r="L2472" s="29">
        <f>J2472-K2472</f>
        <v/>
      </c>
      <c r="M2472" t="inlineStr">
        <is>
          <t>1.350</t>
        </is>
      </c>
      <c r="N2472" t="inlineStr">
        <is>
          <t>Modalidade: 0 - Por conta do remetente | Parte: LD DISTRIBUIDORA DE EMBALAGENS LTDA (54.582.388/0001-05)</t>
        </is>
      </c>
      <c r="O2472" s="29" t="n">
        <v>0</v>
      </c>
      <c r="P2472" s="29" t="n">
        <v>0</v>
      </c>
      <c r="Q2472" s="29" t="n">
        <v>0</v>
      </c>
      <c r="R2472" s="29" t="n">
        <v>0</v>
      </c>
      <c r="S2472" s="29" t="n">
        <v>0</v>
      </c>
      <c r="T2472" t="inlineStr">
        <is>
          <t>25251126975620000130570010000058321001301245</t>
        </is>
      </c>
      <c r="U2472" t="inlineStr">
        <is>
          <t>Não</t>
        </is>
      </c>
    </row>
    <row r="2473">
      <c r="A2473" t="inlineStr">
        <is>
          <t>Frete de venda</t>
        </is>
      </c>
      <c r="B2473" t="inlineStr">
        <is>
          <t>2.01.02 Frete sobre Vendas</t>
        </is>
      </c>
      <c r="C2473" t="inlineStr">
        <is>
          <t>Antes de 2026</t>
        </is>
      </c>
      <c r="D2473" t="inlineStr">
        <is>
          <t>Antes de 2026</t>
        </is>
      </c>
      <c r="E2473" s="28" t="n">
        <v>45987</v>
      </c>
      <c r="F2473" t="inlineStr">
        <is>
          <t>CT-e</t>
        </is>
      </c>
      <c r="G2473" t="inlineStr">
        <is>
          <t>000005838</t>
        </is>
      </c>
      <c r="H2473" t="inlineStr">
        <is>
          <t>R&amp;R TRANSPORTE E LOGISTICA</t>
        </is>
      </c>
      <c r="J2473" s="29" t="n">
        <v>45.2</v>
      </c>
      <c r="K2473" s="29">
        <f>(1-ISNUMBER(SEARCH("556",M2473)))*(O2473*SUMIFS(Premissas!$C$5:$C$44,Premissas!$A$5:$A$44,$A2473,Premissas!$B$5:$B$44,$B2473)+P2473*SUMIFS(Premissas!$D$5:$D$44,Premissas!$A$5:$A$44,$A2473,Premissas!$B$5:$B$44,$B2473))+R2473*SUMIFS(Premissas!$E$5:$E$44,Premissas!$A$5:$A$44,$A2473,Premissas!$B$5:$B$44,$B2473)+S2473*SUMIFS(Premissas!$F$5:$F$44,Premissas!$A$5:$A$44,$A2473,Premissas!$B$5:$B$44,$B2473)</f>
        <v/>
      </c>
      <c r="L2473" s="29">
        <f>J2473-K2473</f>
        <v/>
      </c>
      <c r="M2473" t="inlineStr">
        <is>
          <t>1.350</t>
        </is>
      </c>
      <c r="N2473" t="inlineStr">
        <is>
          <t>Modalidade: 0 - Por conta do remetente | Parte: TAIS DA ROCHA FARIA LTDA (30.778.066/0001-78)</t>
        </is>
      </c>
      <c r="O2473" s="29" t="n">
        <v>0</v>
      </c>
      <c r="P2473" s="29" t="n">
        <v>0</v>
      </c>
      <c r="Q2473" s="29" t="n">
        <v>0</v>
      </c>
      <c r="R2473" s="29" t="n">
        <v>0</v>
      </c>
      <c r="S2473" s="29" t="n">
        <v>0</v>
      </c>
      <c r="T2473" t="inlineStr">
        <is>
          <t>25251126975620000130570010000058381001101339</t>
        </is>
      </c>
      <c r="U2473" t="inlineStr">
        <is>
          <t>Não</t>
        </is>
      </c>
    </row>
    <row r="2474">
      <c r="A2474" t="inlineStr">
        <is>
          <t>Frete de venda</t>
        </is>
      </c>
      <c r="B2474" t="inlineStr">
        <is>
          <t>2.01.02 Frete sobre Vendas</t>
        </is>
      </c>
      <c r="C2474" t="inlineStr">
        <is>
          <t>Antes de 2026</t>
        </is>
      </c>
      <c r="D2474" t="inlineStr">
        <is>
          <t>Antes de 2026</t>
        </is>
      </c>
      <c r="E2474" s="28" t="n">
        <v>45988</v>
      </c>
      <c r="F2474" t="inlineStr">
        <is>
          <t>CT-e</t>
        </is>
      </c>
      <c r="G2474" t="inlineStr">
        <is>
          <t>000005843</t>
        </is>
      </c>
      <c r="H2474" t="inlineStr">
        <is>
          <t>R&amp;R TRANSPORTE E LOGISTICA</t>
        </is>
      </c>
      <c r="J2474" s="29" t="n">
        <v>10.54</v>
      </c>
      <c r="K2474" s="29">
        <f>(1-ISNUMBER(SEARCH("556",M2474)))*(O2474*SUMIFS(Premissas!$C$5:$C$44,Premissas!$A$5:$A$44,$A2474,Premissas!$B$5:$B$44,$B2474)+P2474*SUMIFS(Premissas!$D$5:$D$44,Premissas!$A$5:$A$44,$A2474,Premissas!$B$5:$B$44,$B2474))+R2474*SUMIFS(Premissas!$E$5:$E$44,Premissas!$A$5:$A$44,$A2474,Premissas!$B$5:$B$44,$B2474)+S2474*SUMIFS(Premissas!$F$5:$F$44,Premissas!$A$5:$A$44,$A2474,Premissas!$B$5:$B$44,$B2474)</f>
        <v/>
      </c>
      <c r="L2474" s="29">
        <f>J2474-K2474</f>
        <v/>
      </c>
      <c r="M2474" t="inlineStr">
        <is>
          <t>1.350</t>
        </is>
      </c>
      <c r="N2474" t="inlineStr">
        <is>
          <t>Modalidade: 0 - Por conta do remetente | Parte: LBS COMERCIO DE EMBALAGNES LTDA (60.065.852/0001-99)</t>
        </is>
      </c>
      <c r="O2474" s="29" t="n">
        <v>0</v>
      </c>
      <c r="P2474" s="29" t="n">
        <v>0</v>
      </c>
      <c r="Q2474" s="29" t="n">
        <v>0</v>
      </c>
      <c r="R2474" s="29" t="n">
        <v>0</v>
      </c>
      <c r="S2474" s="29" t="n">
        <v>0</v>
      </c>
      <c r="T2474" t="inlineStr">
        <is>
          <t>25251126975620000130570010000058431001901084</t>
        </is>
      </c>
      <c r="U2474" t="inlineStr">
        <is>
          <t>Não</t>
        </is>
      </c>
    </row>
    <row r="2475">
      <c r="A2475" t="inlineStr">
        <is>
          <t>Frete de venda</t>
        </is>
      </c>
      <c r="B2475" t="inlineStr">
        <is>
          <t>2.01.02 Frete sobre Vendas</t>
        </is>
      </c>
      <c r="C2475" t="inlineStr">
        <is>
          <t>Antes de 2026</t>
        </is>
      </c>
      <c r="D2475" t="inlineStr">
        <is>
          <t>Antes de 2026</t>
        </is>
      </c>
      <c r="E2475" s="28" t="n">
        <v>45988</v>
      </c>
      <c r="F2475" t="inlineStr">
        <is>
          <t>CT-e</t>
        </is>
      </c>
      <c r="G2475" t="inlineStr">
        <is>
          <t>000005844</t>
        </is>
      </c>
      <c r="H2475" t="inlineStr">
        <is>
          <t>R&amp;R TRANSPORTE E LOGISTICA</t>
        </is>
      </c>
      <c r="J2475" s="29" t="n">
        <v>11.93</v>
      </c>
      <c r="K2475" s="29">
        <f>(1-ISNUMBER(SEARCH("556",M2475)))*(O2475*SUMIFS(Premissas!$C$5:$C$44,Premissas!$A$5:$A$44,$A2475,Premissas!$B$5:$B$44,$B2475)+P2475*SUMIFS(Premissas!$D$5:$D$44,Premissas!$A$5:$A$44,$A2475,Premissas!$B$5:$B$44,$B2475))+R2475*SUMIFS(Premissas!$E$5:$E$44,Premissas!$A$5:$A$44,$A2475,Premissas!$B$5:$B$44,$B2475)+S2475*SUMIFS(Premissas!$F$5:$F$44,Premissas!$A$5:$A$44,$A2475,Premissas!$B$5:$B$44,$B2475)</f>
        <v/>
      </c>
      <c r="L2475" s="29">
        <f>J2475-K2475</f>
        <v/>
      </c>
      <c r="M2475" t="inlineStr">
        <is>
          <t>1.350</t>
        </is>
      </c>
      <c r="N2475" t="inlineStr">
        <is>
          <t>Modalidade: 0 - Por conta do remetente | Parte: EMBALAGENS FREITAS LTDA (11.676.270/0001-33)</t>
        </is>
      </c>
      <c r="O2475" s="29" t="n">
        <v>0</v>
      </c>
      <c r="P2475" s="29" t="n">
        <v>0</v>
      </c>
      <c r="Q2475" s="29" t="n">
        <v>0</v>
      </c>
      <c r="R2475" s="29" t="n">
        <v>0</v>
      </c>
      <c r="S2475" s="29" t="n">
        <v>0</v>
      </c>
      <c r="T2475" t="inlineStr">
        <is>
          <t>25251126975620000130570010000058441001601169</t>
        </is>
      </c>
      <c r="U2475" t="inlineStr">
        <is>
          <t>Não</t>
        </is>
      </c>
    </row>
    <row r="2476">
      <c r="A2476" t="inlineStr">
        <is>
          <t>Frete de venda</t>
        </is>
      </c>
      <c r="B2476" t="inlineStr">
        <is>
          <t>2.01.02 Frete sobre Vendas</t>
        </is>
      </c>
      <c r="C2476" t="inlineStr">
        <is>
          <t>Antes de 2026</t>
        </is>
      </c>
      <c r="D2476" t="inlineStr">
        <is>
          <t>Antes de 2026</t>
        </is>
      </c>
      <c r="E2476" s="28" t="n">
        <v>45988</v>
      </c>
      <c r="F2476" t="inlineStr">
        <is>
          <t>CT-e</t>
        </is>
      </c>
      <c r="G2476" t="inlineStr">
        <is>
          <t>000005845</t>
        </is>
      </c>
      <c r="H2476" t="inlineStr">
        <is>
          <t>R&amp;R TRANSPORTE E LOGISTICA</t>
        </is>
      </c>
      <c r="J2476" s="29" t="n">
        <v>10.87</v>
      </c>
      <c r="K2476" s="29">
        <f>(1-ISNUMBER(SEARCH("556",M2476)))*(O2476*SUMIFS(Premissas!$C$5:$C$44,Premissas!$A$5:$A$44,$A2476,Premissas!$B$5:$B$44,$B2476)+P2476*SUMIFS(Premissas!$D$5:$D$44,Premissas!$A$5:$A$44,$A2476,Premissas!$B$5:$B$44,$B2476))+R2476*SUMIFS(Premissas!$E$5:$E$44,Premissas!$A$5:$A$44,$A2476,Premissas!$B$5:$B$44,$B2476)+S2476*SUMIFS(Premissas!$F$5:$F$44,Premissas!$A$5:$A$44,$A2476,Premissas!$B$5:$B$44,$B2476)</f>
        <v/>
      </c>
      <c r="L2476" s="29">
        <f>J2476-K2476</f>
        <v/>
      </c>
      <c r="M2476" t="inlineStr">
        <is>
          <t>1.350</t>
        </is>
      </c>
      <c r="N2476" t="inlineStr">
        <is>
          <t>Modalidade: 0 - Por conta do remetente | Parte: VLE COMERCIO DE EMBALAGENS E MATERIAL DE LIMPEZA LTDA (52.682.999/0001-08)</t>
        </is>
      </c>
      <c r="O2476" s="29" t="n">
        <v>0</v>
      </c>
      <c r="P2476" s="29" t="n">
        <v>0</v>
      </c>
      <c r="Q2476" s="29" t="n">
        <v>0</v>
      </c>
      <c r="R2476" s="29" t="n">
        <v>0</v>
      </c>
      <c r="S2476" s="29" t="n">
        <v>0</v>
      </c>
      <c r="T2476" t="inlineStr">
        <is>
          <t>25251126975620000130570010000058451001301243</t>
        </is>
      </c>
      <c r="U2476" t="inlineStr">
        <is>
          <t>Não</t>
        </is>
      </c>
    </row>
    <row r="2477">
      <c r="A2477" t="inlineStr">
        <is>
          <t>Frete de venda</t>
        </is>
      </c>
      <c r="B2477" t="inlineStr">
        <is>
          <t>2.01.02 Frete sobre Vendas</t>
        </is>
      </c>
      <c r="C2477" t="inlineStr">
        <is>
          <t>Antes de 2026</t>
        </is>
      </c>
      <c r="D2477" t="inlineStr">
        <is>
          <t>Antes de 2026</t>
        </is>
      </c>
      <c r="E2477" s="28" t="n">
        <v>45988</v>
      </c>
      <c r="F2477" t="inlineStr">
        <is>
          <t>CT-e</t>
        </is>
      </c>
      <c r="G2477" t="inlineStr">
        <is>
          <t>000005846</t>
        </is>
      </c>
      <c r="H2477" t="inlineStr">
        <is>
          <t>R&amp;R TRANSPORTE E LOGISTICA</t>
        </is>
      </c>
      <c r="J2477" s="29" t="n">
        <v>10.51</v>
      </c>
      <c r="K2477" s="29">
        <f>(1-ISNUMBER(SEARCH("556",M2477)))*(O2477*SUMIFS(Premissas!$C$5:$C$44,Premissas!$A$5:$A$44,$A2477,Premissas!$B$5:$B$44,$B2477)+P2477*SUMIFS(Premissas!$D$5:$D$44,Premissas!$A$5:$A$44,$A2477,Premissas!$B$5:$B$44,$B2477))+R2477*SUMIFS(Premissas!$E$5:$E$44,Premissas!$A$5:$A$44,$A2477,Premissas!$B$5:$B$44,$B2477)+S2477*SUMIFS(Premissas!$F$5:$F$44,Premissas!$A$5:$A$44,$A2477,Premissas!$B$5:$B$44,$B2477)</f>
        <v/>
      </c>
      <c r="L2477" s="29">
        <f>J2477-K2477</f>
        <v/>
      </c>
      <c r="M2477" t="inlineStr">
        <is>
          <t>1.350</t>
        </is>
      </c>
      <c r="N2477" t="inlineStr">
        <is>
          <t>Modalidade: 0 - Por conta do remetente | Parte: CENTRAL COMERCIAL DE VARIEDADES LTDA (15.596.084/0001-45)</t>
        </is>
      </c>
      <c r="O2477" s="29" t="n">
        <v>0</v>
      </c>
      <c r="P2477" s="29" t="n">
        <v>0</v>
      </c>
      <c r="Q2477" s="29" t="n">
        <v>0</v>
      </c>
      <c r="R2477" s="29" t="n">
        <v>0</v>
      </c>
      <c r="S2477" s="29" t="n">
        <v>0</v>
      </c>
      <c r="T2477" t="inlineStr">
        <is>
          <t>25251126975620000130570010000058461000101329</t>
        </is>
      </c>
      <c r="U2477" t="inlineStr">
        <is>
          <t>Não</t>
        </is>
      </c>
    </row>
    <row r="2478">
      <c r="A2478" t="inlineStr">
        <is>
          <t>Frete de venda</t>
        </is>
      </c>
      <c r="B2478" t="inlineStr">
        <is>
          <t>2.01.02 Frete sobre Vendas</t>
        </is>
      </c>
      <c r="C2478" t="inlineStr">
        <is>
          <t>Antes de 2026</t>
        </is>
      </c>
      <c r="D2478" t="inlineStr">
        <is>
          <t>Antes de 2026</t>
        </is>
      </c>
      <c r="E2478" s="28" t="n">
        <v>45988</v>
      </c>
      <c r="F2478" t="inlineStr">
        <is>
          <t>CT-e</t>
        </is>
      </c>
      <c r="G2478" t="inlineStr">
        <is>
          <t>000005847</t>
        </is>
      </c>
      <c r="H2478" t="inlineStr">
        <is>
          <t>R&amp;R TRANSPORTE E LOGISTICA</t>
        </is>
      </c>
      <c r="J2478" s="29" t="n">
        <v>11.78</v>
      </c>
      <c r="K2478" s="29">
        <f>(1-ISNUMBER(SEARCH("556",M2478)))*(O2478*SUMIFS(Premissas!$C$5:$C$44,Premissas!$A$5:$A$44,$A2478,Premissas!$B$5:$B$44,$B2478)+P2478*SUMIFS(Premissas!$D$5:$D$44,Premissas!$A$5:$A$44,$A2478,Premissas!$B$5:$B$44,$B2478))+R2478*SUMIFS(Premissas!$E$5:$E$44,Premissas!$A$5:$A$44,$A2478,Premissas!$B$5:$B$44,$B2478)+S2478*SUMIFS(Premissas!$F$5:$F$44,Premissas!$A$5:$A$44,$A2478,Premissas!$B$5:$B$44,$B2478)</f>
        <v/>
      </c>
      <c r="L2478" s="29">
        <f>J2478-K2478</f>
        <v/>
      </c>
      <c r="M2478" t="inlineStr">
        <is>
          <t>1.350</t>
        </is>
      </c>
      <c r="N2478" t="inlineStr">
        <is>
          <t>Modalidade: 0 - Por conta do remetente | Parte: MACEDO EMBALAGENS LTDA (18.205.198/0001-05)</t>
        </is>
      </c>
      <c r="O2478" s="29" t="n">
        <v>0</v>
      </c>
      <c r="P2478" s="29" t="n">
        <v>0</v>
      </c>
      <c r="Q2478" s="29" t="n">
        <v>0</v>
      </c>
      <c r="R2478" s="29" t="n">
        <v>0</v>
      </c>
      <c r="S2478" s="29" t="n">
        <v>0</v>
      </c>
      <c r="T2478" t="inlineStr">
        <is>
          <t>25251126975620000130570010000058471001801402</t>
        </is>
      </c>
      <c r="U2478" t="inlineStr">
        <is>
          <t>Não</t>
        </is>
      </c>
    </row>
    <row r="2479">
      <c r="A2479" t="inlineStr">
        <is>
          <t>Frete de venda</t>
        </is>
      </c>
      <c r="B2479" t="inlineStr">
        <is>
          <t>2.01.02 Frete sobre Vendas</t>
        </is>
      </c>
      <c r="C2479" t="inlineStr">
        <is>
          <t>Antes de 2026</t>
        </is>
      </c>
      <c r="D2479" t="inlineStr">
        <is>
          <t>Antes de 2026</t>
        </is>
      </c>
      <c r="E2479" s="28" t="n">
        <v>45988</v>
      </c>
      <c r="F2479" t="inlineStr">
        <is>
          <t>CT-e</t>
        </is>
      </c>
      <c r="G2479" t="inlineStr">
        <is>
          <t>000005848</t>
        </is>
      </c>
      <c r="H2479" t="inlineStr">
        <is>
          <t>R&amp;R TRANSPORTE E LOGISTICA</t>
        </is>
      </c>
      <c r="J2479" s="29" t="n">
        <v>15.28</v>
      </c>
      <c r="K2479" s="29">
        <f>(1-ISNUMBER(SEARCH("556",M2479)))*(O2479*SUMIFS(Premissas!$C$5:$C$44,Premissas!$A$5:$A$44,$A2479,Premissas!$B$5:$B$44,$B2479)+P2479*SUMIFS(Premissas!$D$5:$D$44,Premissas!$A$5:$A$44,$A2479,Premissas!$B$5:$B$44,$B2479))+R2479*SUMIFS(Premissas!$E$5:$E$44,Premissas!$A$5:$A$44,$A2479,Premissas!$B$5:$B$44,$B2479)+S2479*SUMIFS(Premissas!$F$5:$F$44,Premissas!$A$5:$A$44,$A2479,Premissas!$B$5:$B$44,$B2479)</f>
        <v/>
      </c>
      <c r="L2479" s="29">
        <f>J2479-K2479</f>
        <v/>
      </c>
      <c r="M2479" t="inlineStr">
        <is>
          <t>1.350</t>
        </is>
      </c>
      <c r="N2479" t="inlineStr">
        <is>
          <t>Modalidade: 0 - Por conta do remetente | Parte: EDINALDO MATOS SANTA ROSA (30.651.989/0001-64)</t>
        </is>
      </c>
      <c r="O2479" s="29" t="n">
        <v>0</v>
      </c>
      <c r="P2479" s="29" t="n">
        <v>0</v>
      </c>
      <c r="Q2479" s="29" t="n">
        <v>0</v>
      </c>
      <c r="R2479" s="29" t="n">
        <v>0</v>
      </c>
      <c r="S2479" s="29" t="n">
        <v>0</v>
      </c>
      <c r="T2479" t="inlineStr">
        <is>
          <t>25251126975620000130570010000058481001501481</t>
        </is>
      </c>
      <c r="U2479" t="inlineStr">
        <is>
          <t>Não</t>
        </is>
      </c>
    </row>
    <row r="2480">
      <c r="A2480" t="inlineStr">
        <is>
          <t>Frete de venda</t>
        </is>
      </c>
      <c r="B2480" t="inlineStr">
        <is>
          <t>2.01.02 Frete sobre Vendas</t>
        </is>
      </c>
      <c r="C2480" t="inlineStr">
        <is>
          <t>Antes de 2026</t>
        </is>
      </c>
      <c r="D2480" t="inlineStr">
        <is>
          <t>Antes de 2026</t>
        </is>
      </c>
      <c r="E2480" s="28" t="n">
        <v>45988</v>
      </c>
      <c r="F2480" t="inlineStr">
        <is>
          <t>CT-e</t>
        </is>
      </c>
      <c r="G2480" t="inlineStr">
        <is>
          <t>000005849</t>
        </is>
      </c>
      <c r="H2480" t="inlineStr">
        <is>
          <t>R&amp;R TRANSPORTE E LOGISTICA</t>
        </is>
      </c>
      <c r="J2480" s="29" t="n">
        <v>13.47</v>
      </c>
      <c r="K2480" s="29">
        <f>(1-ISNUMBER(SEARCH("556",M2480)))*(O2480*SUMIFS(Premissas!$C$5:$C$44,Premissas!$A$5:$A$44,$A2480,Premissas!$B$5:$B$44,$B2480)+P2480*SUMIFS(Premissas!$D$5:$D$44,Premissas!$A$5:$A$44,$A2480,Premissas!$B$5:$B$44,$B2480))+R2480*SUMIFS(Premissas!$E$5:$E$44,Premissas!$A$5:$A$44,$A2480,Premissas!$B$5:$B$44,$B2480)+S2480*SUMIFS(Premissas!$F$5:$F$44,Premissas!$A$5:$A$44,$A2480,Premissas!$B$5:$B$44,$B2480)</f>
        <v/>
      </c>
      <c r="L2480" s="29">
        <f>J2480-K2480</f>
        <v/>
      </c>
      <c r="M2480" t="inlineStr">
        <is>
          <t>1.350</t>
        </is>
      </c>
      <c r="N2480" t="inlineStr">
        <is>
          <t>Modalidade: 0 - Por conta do remetente | Parte: E.S. BRANDAO FERNANDES (10.341.001/0001-53)</t>
        </is>
      </c>
      <c r="O2480" s="29" t="n">
        <v>0</v>
      </c>
      <c r="P2480" s="29" t="n">
        <v>0</v>
      </c>
      <c r="Q2480" s="29" t="n">
        <v>0</v>
      </c>
      <c r="R2480" s="29" t="n">
        <v>0</v>
      </c>
      <c r="S2480" s="29" t="n">
        <v>0</v>
      </c>
      <c r="T2480" t="inlineStr">
        <is>
          <t>25251126975620000130570010000058491001201566</t>
        </is>
      </c>
      <c r="U2480" t="inlineStr">
        <is>
          <t>Não</t>
        </is>
      </c>
    </row>
    <row r="2481">
      <c r="A2481" t="inlineStr">
        <is>
          <t>Frete de venda</t>
        </is>
      </c>
      <c r="B2481" t="inlineStr">
        <is>
          <t>2.01.02 Frete sobre Vendas</t>
        </is>
      </c>
      <c r="C2481" t="inlineStr">
        <is>
          <t>Antes de 2026</t>
        </is>
      </c>
      <c r="D2481" t="inlineStr">
        <is>
          <t>Antes de 2026</t>
        </is>
      </c>
      <c r="E2481" s="28" t="n">
        <v>45988</v>
      </c>
      <c r="F2481" t="inlineStr">
        <is>
          <t>CT-e</t>
        </is>
      </c>
      <c r="G2481" t="inlineStr">
        <is>
          <t>000005850</t>
        </is>
      </c>
      <c r="H2481" t="inlineStr">
        <is>
          <t>R&amp;R TRANSPORTE E LOGISTICA</t>
        </is>
      </c>
      <c r="J2481" s="29" t="n">
        <v>13.22</v>
      </c>
      <c r="K2481" s="29">
        <f>(1-ISNUMBER(SEARCH("556",M2481)))*(O2481*SUMIFS(Premissas!$C$5:$C$44,Premissas!$A$5:$A$44,$A2481,Premissas!$B$5:$B$44,$B2481)+P2481*SUMIFS(Premissas!$D$5:$D$44,Premissas!$A$5:$A$44,$A2481,Premissas!$B$5:$B$44,$B2481))+R2481*SUMIFS(Premissas!$E$5:$E$44,Premissas!$A$5:$A$44,$A2481,Premissas!$B$5:$B$44,$B2481)+S2481*SUMIFS(Premissas!$F$5:$F$44,Premissas!$A$5:$A$44,$A2481,Premissas!$B$5:$B$44,$B2481)</f>
        <v/>
      </c>
      <c r="L2481" s="29">
        <f>J2481-K2481</f>
        <v/>
      </c>
      <c r="M2481" t="inlineStr">
        <is>
          <t>1.350</t>
        </is>
      </c>
      <c r="N2481" t="inlineStr">
        <is>
          <t>Modalidade: 0 - Por conta do remetente | Parte: E.S. BRANDAO FERNANDES (10.341.001/0002-34)</t>
        </is>
      </c>
      <c r="O2481" s="29" t="n">
        <v>0</v>
      </c>
      <c r="P2481" s="29" t="n">
        <v>0</v>
      </c>
      <c r="Q2481" s="29" t="n">
        <v>0</v>
      </c>
      <c r="R2481" s="29" t="n">
        <v>0</v>
      </c>
      <c r="S2481" s="29" t="n">
        <v>0</v>
      </c>
      <c r="T2481" t="inlineStr">
        <is>
          <t>25251126975620000130570010000058501011001641</t>
        </is>
      </c>
      <c r="U2481" t="inlineStr">
        <is>
          <t>Não</t>
        </is>
      </c>
    </row>
    <row r="2482">
      <c r="A2482" t="inlineStr">
        <is>
          <t>Frete de venda</t>
        </is>
      </c>
      <c r="B2482" t="inlineStr">
        <is>
          <t>2.01.02 Frete sobre Vendas</t>
        </is>
      </c>
      <c r="C2482" t="inlineStr">
        <is>
          <t>Antes de 2026</t>
        </is>
      </c>
      <c r="D2482" t="inlineStr">
        <is>
          <t>Antes de 2026</t>
        </is>
      </c>
      <c r="E2482" s="28" t="n">
        <v>45988</v>
      </c>
      <c r="F2482" t="inlineStr">
        <is>
          <t>CT-e</t>
        </is>
      </c>
      <c r="G2482" t="inlineStr">
        <is>
          <t>000005851</t>
        </is>
      </c>
      <c r="H2482" t="inlineStr">
        <is>
          <t>R&amp;R TRANSPORTE E LOGISTICA</t>
        </is>
      </c>
      <c r="J2482" s="29" t="n">
        <v>12.53</v>
      </c>
      <c r="K2482" s="29">
        <f>(1-ISNUMBER(SEARCH("556",M2482)))*(O2482*SUMIFS(Premissas!$C$5:$C$44,Premissas!$A$5:$A$44,$A2482,Premissas!$B$5:$B$44,$B2482)+P2482*SUMIFS(Premissas!$D$5:$D$44,Premissas!$A$5:$A$44,$A2482,Premissas!$B$5:$B$44,$B2482))+R2482*SUMIFS(Premissas!$E$5:$E$44,Premissas!$A$5:$A$44,$A2482,Premissas!$B$5:$B$44,$B2482)+S2482*SUMIFS(Premissas!$F$5:$F$44,Premissas!$A$5:$A$44,$A2482,Premissas!$B$5:$B$44,$B2482)</f>
        <v/>
      </c>
      <c r="L2482" s="29">
        <f>J2482-K2482</f>
        <v/>
      </c>
      <c r="M2482" t="inlineStr">
        <is>
          <t>1.350</t>
        </is>
      </c>
      <c r="N2482" t="inlineStr">
        <is>
          <t>Modalidade: 0 - Por conta do remetente | Parte: RM DISTRIBUICOES LTDA (24.963.348/0001-42)</t>
        </is>
      </c>
      <c r="O2482" s="29" t="n">
        <v>0</v>
      </c>
      <c r="P2482" s="29" t="n">
        <v>0</v>
      </c>
      <c r="Q2482" s="29" t="n">
        <v>0</v>
      </c>
      <c r="R2482" s="29" t="n">
        <v>0</v>
      </c>
      <c r="S2482" s="29" t="n">
        <v>0</v>
      </c>
      <c r="T2482" t="inlineStr">
        <is>
          <t>25251126975620000130570010000058511001701729</t>
        </is>
      </c>
      <c r="U2482" t="inlineStr">
        <is>
          <t>Não</t>
        </is>
      </c>
    </row>
    <row r="2483">
      <c r="A2483" t="inlineStr">
        <is>
          <t>Frete de venda</t>
        </is>
      </c>
      <c r="B2483" t="inlineStr">
        <is>
          <t>2.01.02 Frete sobre Vendas</t>
        </is>
      </c>
      <c r="C2483" t="inlineStr">
        <is>
          <t>Antes de 2026</t>
        </is>
      </c>
      <c r="D2483" t="inlineStr">
        <is>
          <t>Antes de 2026</t>
        </is>
      </c>
      <c r="E2483" s="28" t="n">
        <v>45988</v>
      </c>
      <c r="F2483" t="inlineStr">
        <is>
          <t>CT-e</t>
        </is>
      </c>
      <c r="G2483" t="inlineStr">
        <is>
          <t>000005852</t>
        </is>
      </c>
      <c r="H2483" t="inlineStr">
        <is>
          <t>R&amp;R TRANSPORTE E LOGISTICA</t>
        </is>
      </c>
      <c r="J2483" s="29" t="n">
        <v>24.08</v>
      </c>
      <c r="K2483" s="29">
        <f>(1-ISNUMBER(SEARCH("556",M2483)))*(O2483*SUMIFS(Premissas!$C$5:$C$44,Premissas!$A$5:$A$44,$A2483,Premissas!$B$5:$B$44,$B2483)+P2483*SUMIFS(Premissas!$D$5:$D$44,Premissas!$A$5:$A$44,$A2483,Premissas!$B$5:$B$44,$B2483))+R2483*SUMIFS(Premissas!$E$5:$E$44,Premissas!$A$5:$A$44,$A2483,Premissas!$B$5:$B$44,$B2483)+S2483*SUMIFS(Premissas!$F$5:$F$44,Premissas!$A$5:$A$44,$A2483,Premissas!$B$5:$B$44,$B2483)</f>
        <v/>
      </c>
      <c r="L2483" s="29">
        <f>J2483-K2483</f>
        <v/>
      </c>
      <c r="M2483" t="inlineStr">
        <is>
          <t>1.350</t>
        </is>
      </c>
      <c r="N2483" t="inlineStr">
        <is>
          <t>Modalidade: 0 - Por conta do remetente | Parte: LITORAL DISTRIBUIDORA S.A (55.104.068/0001-02)</t>
        </is>
      </c>
      <c r="O2483" s="29" t="n">
        <v>0</v>
      </c>
      <c r="P2483" s="29" t="n">
        <v>0</v>
      </c>
      <c r="Q2483" s="29" t="n">
        <v>0</v>
      </c>
      <c r="R2483" s="29" t="n">
        <v>0</v>
      </c>
      <c r="S2483" s="29" t="n">
        <v>0</v>
      </c>
      <c r="T2483" t="inlineStr">
        <is>
          <t>25251126975620000130570010000058521001401803</t>
        </is>
      </c>
      <c r="U2483" t="inlineStr">
        <is>
          <t>Não</t>
        </is>
      </c>
    </row>
    <row r="2484">
      <c r="A2484" t="inlineStr">
        <is>
          <t>Frete de venda</t>
        </is>
      </c>
      <c r="B2484" t="inlineStr">
        <is>
          <t>2.01.02 Frete sobre Vendas</t>
        </is>
      </c>
      <c r="C2484" t="inlineStr">
        <is>
          <t>Antes de 2026</t>
        </is>
      </c>
      <c r="D2484" t="inlineStr">
        <is>
          <t>Antes de 2026</t>
        </is>
      </c>
      <c r="E2484" s="28" t="n">
        <v>45988</v>
      </c>
      <c r="F2484" t="inlineStr">
        <is>
          <t>CT-e</t>
        </is>
      </c>
      <c r="G2484" t="inlineStr">
        <is>
          <t>000005853</t>
        </is>
      </c>
      <c r="H2484" t="inlineStr">
        <is>
          <t>R&amp;R TRANSPORTE E LOGISTICA</t>
        </is>
      </c>
      <c r="J2484" s="29" t="n">
        <v>11.52</v>
      </c>
      <c r="K2484" s="29">
        <f>(1-ISNUMBER(SEARCH("556",M2484)))*(O2484*SUMIFS(Premissas!$C$5:$C$44,Premissas!$A$5:$A$44,$A2484,Premissas!$B$5:$B$44,$B2484)+P2484*SUMIFS(Premissas!$D$5:$D$44,Premissas!$A$5:$A$44,$A2484,Premissas!$B$5:$B$44,$B2484))+R2484*SUMIFS(Premissas!$E$5:$E$44,Premissas!$A$5:$A$44,$A2484,Premissas!$B$5:$B$44,$B2484)+S2484*SUMIFS(Premissas!$F$5:$F$44,Premissas!$A$5:$A$44,$A2484,Premissas!$B$5:$B$44,$B2484)</f>
        <v/>
      </c>
      <c r="L2484" s="29">
        <f>J2484-K2484</f>
        <v/>
      </c>
      <c r="M2484" t="inlineStr">
        <is>
          <t>1.350</t>
        </is>
      </c>
      <c r="N2484" t="inlineStr">
        <is>
          <t>Modalidade: 0 - Por conta do remetente | Parte: MARIA FESTEIRA COMERCIAL LTDA (00.074.604/0001-82)</t>
        </is>
      </c>
      <c r="O2484" s="29" t="n">
        <v>0</v>
      </c>
      <c r="P2484" s="29" t="n">
        <v>0</v>
      </c>
      <c r="Q2484" s="29" t="n">
        <v>0</v>
      </c>
      <c r="R2484" s="29" t="n">
        <v>0</v>
      </c>
      <c r="S2484" s="29" t="n">
        <v>0</v>
      </c>
      <c r="T2484" t="inlineStr">
        <is>
          <t>25251126975620000130570010000058531001501155</t>
        </is>
      </c>
      <c r="U2484" t="inlineStr">
        <is>
          <t>Não</t>
        </is>
      </c>
    </row>
    <row r="2485">
      <c r="A2485" t="inlineStr">
        <is>
          <t>Frete de venda</t>
        </is>
      </c>
      <c r="B2485" t="inlineStr">
        <is>
          <t>2.01.02 Frete sobre Vendas</t>
        </is>
      </c>
      <c r="C2485" t="inlineStr">
        <is>
          <t>Antes de 2026</t>
        </is>
      </c>
      <c r="D2485" t="inlineStr">
        <is>
          <t>Antes de 2026</t>
        </is>
      </c>
      <c r="E2485" s="28" t="n">
        <v>45988</v>
      </c>
      <c r="F2485" t="inlineStr">
        <is>
          <t>CT-e</t>
        </is>
      </c>
      <c r="G2485" t="inlineStr">
        <is>
          <t>000005854</t>
        </is>
      </c>
      <c r="H2485" t="inlineStr">
        <is>
          <t>R&amp;R TRANSPORTE E LOGISTICA</t>
        </is>
      </c>
      <c r="J2485" s="29" t="n">
        <v>23.25</v>
      </c>
      <c r="K2485" s="29">
        <f>(1-ISNUMBER(SEARCH("556",M2485)))*(O2485*SUMIFS(Premissas!$C$5:$C$44,Premissas!$A$5:$A$44,$A2485,Premissas!$B$5:$B$44,$B2485)+P2485*SUMIFS(Premissas!$D$5:$D$44,Premissas!$A$5:$A$44,$A2485,Premissas!$B$5:$B$44,$B2485))+R2485*SUMIFS(Premissas!$E$5:$E$44,Premissas!$A$5:$A$44,$A2485,Premissas!$B$5:$B$44,$B2485)+S2485*SUMIFS(Premissas!$F$5:$F$44,Premissas!$A$5:$A$44,$A2485,Premissas!$B$5:$B$44,$B2485)</f>
        <v/>
      </c>
      <c r="L2485" s="29">
        <f>J2485-K2485</f>
        <v/>
      </c>
      <c r="M2485" t="inlineStr">
        <is>
          <t>1.350</t>
        </is>
      </c>
      <c r="N2485" t="inlineStr">
        <is>
          <t>Modalidade: 0 - Por conta do remetente | Parte: ERINALDO VIEIRA LTDA (03.176.141/0002-39)</t>
        </is>
      </c>
      <c r="O2485" s="29" t="n">
        <v>0</v>
      </c>
      <c r="P2485" s="29" t="n">
        <v>0</v>
      </c>
      <c r="Q2485" s="29" t="n">
        <v>0</v>
      </c>
      <c r="R2485" s="29" t="n">
        <v>0</v>
      </c>
      <c r="S2485" s="29" t="n">
        <v>0</v>
      </c>
      <c r="T2485" t="inlineStr">
        <is>
          <t>25251126975620000130570010000058541001201230</t>
        </is>
      </c>
      <c r="U2485" t="inlineStr">
        <is>
          <t>Não</t>
        </is>
      </c>
    </row>
    <row r="2486">
      <c r="A2486" t="inlineStr">
        <is>
          <t>Frete de venda</t>
        </is>
      </c>
      <c r="B2486" t="inlineStr">
        <is>
          <t>2.01.02 Frete sobre Vendas</t>
        </is>
      </c>
      <c r="C2486" t="inlineStr">
        <is>
          <t>Antes de 2026</t>
        </is>
      </c>
      <c r="D2486" t="inlineStr">
        <is>
          <t>Antes de 2026</t>
        </is>
      </c>
      <c r="E2486" s="28" t="n">
        <v>45988</v>
      </c>
      <c r="F2486" t="inlineStr">
        <is>
          <t>CT-e</t>
        </is>
      </c>
      <c r="G2486" t="inlineStr">
        <is>
          <t>000005855</t>
        </is>
      </c>
      <c r="H2486" t="inlineStr">
        <is>
          <t>R&amp;R TRANSPORTE E LOGISTICA</t>
        </is>
      </c>
      <c r="J2486" s="29" t="n">
        <v>18.08</v>
      </c>
      <c r="K2486" s="29">
        <f>(1-ISNUMBER(SEARCH("556",M2486)))*(O2486*SUMIFS(Premissas!$C$5:$C$44,Premissas!$A$5:$A$44,$A2486,Premissas!$B$5:$B$44,$B2486)+P2486*SUMIFS(Premissas!$D$5:$D$44,Premissas!$A$5:$A$44,$A2486,Premissas!$B$5:$B$44,$B2486))+R2486*SUMIFS(Premissas!$E$5:$E$44,Premissas!$A$5:$A$44,$A2486,Premissas!$B$5:$B$44,$B2486)+S2486*SUMIFS(Premissas!$F$5:$F$44,Premissas!$A$5:$A$44,$A2486,Premissas!$B$5:$B$44,$B2486)</f>
        <v/>
      </c>
      <c r="L2486" s="29">
        <f>J2486-K2486</f>
        <v/>
      </c>
      <c r="M2486" t="inlineStr">
        <is>
          <t>1.350</t>
        </is>
      </c>
      <c r="N2486" t="inlineStr">
        <is>
          <t>Modalidade: 0 - Por conta do remetente | Parte: LITORAL DISTRIBUIDORA S.A (55.104.068/0002-93)</t>
        </is>
      </c>
      <c r="O2486" s="29" t="n">
        <v>0</v>
      </c>
      <c r="P2486" s="29" t="n">
        <v>0</v>
      </c>
      <c r="Q2486" s="29" t="n">
        <v>0</v>
      </c>
      <c r="R2486" s="29" t="n">
        <v>0</v>
      </c>
      <c r="S2486" s="29" t="n">
        <v>0</v>
      </c>
      <c r="T2486" t="inlineStr">
        <is>
          <t>25251126975620000130570010000058551011001311</t>
        </is>
      </c>
      <c r="U2486" t="inlineStr">
        <is>
          <t>Não</t>
        </is>
      </c>
    </row>
    <row r="2487">
      <c r="A2487" t="inlineStr">
        <is>
          <t>Frete de venda</t>
        </is>
      </c>
      <c r="B2487" t="inlineStr">
        <is>
          <t>2.01.02 Frete sobre Vendas</t>
        </is>
      </c>
      <c r="C2487" t="inlineStr">
        <is>
          <t>Antes de 2026</t>
        </is>
      </c>
      <c r="D2487" t="inlineStr">
        <is>
          <t>Antes de 2026</t>
        </is>
      </c>
      <c r="E2487" s="28" t="n">
        <v>45988</v>
      </c>
      <c r="F2487" t="inlineStr">
        <is>
          <t>CT-e</t>
        </is>
      </c>
      <c r="G2487" t="inlineStr">
        <is>
          <t>000005856</t>
        </is>
      </c>
      <c r="H2487" t="inlineStr">
        <is>
          <t>R&amp;R TRANSPORTE E LOGISTICA</t>
        </is>
      </c>
      <c r="J2487" s="29" t="n">
        <v>13.98</v>
      </c>
      <c r="K2487" s="29">
        <f>(1-ISNUMBER(SEARCH("556",M2487)))*(O2487*SUMIFS(Premissas!$C$5:$C$44,Premissas!$A$5:$A$44,$A2487,Premissas!$B$5:$B$44,$B2487)+P2487*SUMIFS(Premissas!$D$5:$D$44,Premissas!$A$5:$A$44,$A2487,Premissas!$B$5:$B$44,$B2487))+R2487*SUMIFS(Premissas!$E$5:$E$44,Premissas!$A$5:$A$44,$A2487,Premissas!$B$5:$B$44,$B2487)+S2487*SUMIFS(Premissas!$F$5:$F$44,Premissas!$A$5:$A$44,$A2487,Premissas!$B$5:$B$44,$B2487)</f>
        <v/>
      </c>
      <c r="L2487" s="29">
        <f>J2487-K2487</f>
        <v/>
      </c>
      <c r="M2487" t="inlineStr">
        <is>
          <t>1.350</t>
        </is>
      </c>
      <c r="N2487" t="inlineStr">
        <is>
          <t>Modalidade: 0 - Por conta do remetente | Parte: JOANICE COMERCIAL DE EMBALAGENS E CONFEITARIA LTDA (50.350.203/0001-86)</t>
        </is>
      </c>
      <c r="O2487" s="29" t="n">
        <v>0</v>
      </c>
      <c r="P2487" s="29" t="n">
        <v>0</v>
      </c>
      <c r="Q2487" s="29" t="n">
        <v>0</v>
      </c>
      <c r="R2487" s="29" t="n">
        <v>0</v>
      </c>
      <c r="S2487" s="29" t="n">
        <v>0</v>
      </c>
      <c r="T2487" t="inlineStr">
        <is>
          <t>25251126975620000130570010000058561001701393</t>
        </is>
      </c>
      <c r="U2487" t="inlineStr">
        <is>
          <t>Não</t>
        </is>
      </c>
    </row>
    <row r="2488">
      <c r="A2488" t="inlineStr">
        <is>
          <t>Frete de venda</t>
        </is>
      </c>
      <c r="B2488" t="inlineStr">
        <is>
          <t>2.01.02 Frete sobre Vendas</t>
        </is>
      </c>
      <c r="C2488" t="inlineStr">
        <is>
          <t>Antes de 2026</t>
        </is>
      </c>
      <c r="D2488" t="inlineStr">
        <is>
          <t>Antes de 2026</t>
        </is>
      </c>
      <c r="E2488" s="28" t="n">
        <v>45988</v>
      </c>
      <c r="F2488" t="inlineStr">
        <is>
          <t>CT-e</t>
        </is>
      </c>
      <c r="G2488" t="inlineStr">
        <is>
          <t>000005857</t>
        </is>
      </c>
      <c r="H2488" t="inlineStr">
        <is>
          <t>R&amp;R TRANSPORTE E LOGISTICA</t>
        </is>
      </c>
      <c r="J2488" s="29" t="n">
        <v>24.36</v>
      </c>
      <c r="K2488" s="29">
        <f>(1-ISNUMBER(SEARCH("556",M2488)))*(O2488*SUMIFS(Premissas!$C$5:$C$44,Premissas!$A$5:$A$44,$A2488,Premissas!$B$5:$B$44,$B2488)+P2488*SUMIFS(Premissas!$D$5:$D$44,Premissas!$A$5:$A$44,$A2488,Premissas!$B$5:$B$44,$B2488))+R2488*SUMIFS(Premissas!$E$5:$E$44,Premissas!$A$5:$A$44,$A2488,Premissas!$B$5:$B$44,$B2488)+S2488*SUMIFS(Premissas!$F$5:$F$44,Premissas!$A$5:$A$44,$A2488,Premissas!$B$5:$B$44,$B2488)</f>
        <v/>
      </c>
      <c r="L2488" s="29">
        <f>J2488-K2488</f>
        <v/>
      </c>
      <c r="M2488" t="inlineStr">
        <is>
          <t>1.350</t>
        </is>
      </c>
      <c r="N2488" t="inlineStr">
        <is>
          <t>Modalidade: 0 - Por conta do remetente | Parte: GABRIEL ROCHA DA CRUZ (53.721.083/0001-74)</t>
        </is>
      </c>
      <c r="O2488" s="29" t="n">
        <v>0</v>
      </c>
      <c r="P2488" s="29" t="n">
        <v>0</v>
      </c>
      <c r="Q2488" s="29" t="n">
        <v>0</v>
      </c>
      <c r="R2488" s="29" t="n">
        <v>0</v>
      </c>
      <c r="S2488" s="29" t="n">
        <v>0</v>
      </c>
      <c r="T2488" t="inlineStr">
        <is>
          <t>25251126975620000130570010000058571001401478</t>
        </is>
      </c>
      <c r="U2488" t="inlineStr">
        <is>
          <t>Não</t>
        </is>
      </c>
    </row>
    <row r="2489">
      <c r="A2489" t="inlineStr">
        <is>
          <t>Frete de venda</t>
        </is>
      </c>
      <c r="B2489" t="inlineStr">
        <is>
          <t>2.01.02 Frete sobre Vendas</t>
        </is>
      </c>
      <c r="C2489" t="inlineStr">
        <is>
          <t>Antes de 2026</t>
        </is>
      </c>
      <c r="D2489" t="inlineStr">
        <is>
          <t>Antes de 2026</t>
        </is>
      </c>
      <c r="E2489" s="28" t="n">
        <v>45988</v>
      </c>
      <c r="F2489" t="inlineStr">
        <is>
          <t>CT-e</t>
        </is>
      </c>
      <c r="G2489" t="inlineStr">
        <is>
          <t>000005858</t>
        </is>
      </c>
      <c r="H2489" t="inlineStr">
        <is>
          <t>R&amp;R TRANSPORTE E LOGISTICA</t>
        </is>
      </c>
      <c r="J2489" s="29" t="n">
        <v>11.07</v>
      </c>
      <c r="K2489" s="29">
        <f>(1-ISNUMBER(SEARCH("556",M2489)))*(O2489*SUMIFS(Premissas!$C$5:$C$44,Premissas!$A$5:$A$44,$A2489,Premissas!$B$5:$B$44,$B2489)+P2489*SUMIFS(Premissas!$D$5:$D$44,Premissas!$A$5:$A$44,$A2489,Premissas!$B$5:$B$44,$B2489))+R2489*SUMIFS(Premissas!$E$5:$E$44,Premissas!$A$5:$A$44,$A2489,Premissas!$B$5:$B$44,$B2489)+S2489*SUMIFS(Premissas!$F$5:$F$44,Premissas!$A$5:$A$44,$A2489,Premissas!$B$5:$B$44,$B2489)</f>
        <v/>
      </c>
      <c r="L2489" s="29">
        <f>J2489-K2489</f>
        <v/>
      </c>
      <c r="M2489" t="inlineStr">
        <is>
          <t>1.350</t>
        </is>
      </c>
      <c r="N2489" t="inlineStr">
        <is>
          <t>Modalidade: 0 - Por conta do remetente | Parte: R.J COMERCIO DE EMBALAGENS LTDA (38.204.536/0001-00)</t>
        </is>
      </c>
      <c r="O2489" s="29" t="n">
        <v>0</v>
      </c>
      <c r="P2489" s="29" t="n">
        <v>0</v>
      </c>
      <c r="Q2489" s="29" t="n">
        <v>0</v>
      </c>
      <c r="R2489" s="29" t="n">
        <v>0</v>
      </c>
      <c r="S2489" s="29" t="n">
        <v>0</v>
      </c>
      <c r="T2489" t="inlineStr">
        <is>
          <t>25251126975620000130570010000058581001101552</t>
        </is>
      </c>
      <c r="U2489" t="inlineStr">
        <is>
          <t>Não</t>
        </is>
      </c>
    </row>
    <row r="2490">
      <c r="A2490" t="inlineStr">
        <is>
          <t>Frete de venda</t>
        </is>
      </c>
      <c r="B2490" t="inlineStr">
        <is>
          <t>2.01.02 Frete sobre Vendas</t>
        </is>
      </c>
      <c r="C2490" t="inlineStr">
        <is>
          <t>Antes de 2026</t>
        </is>
      </c>
      <c r="D2490" t="inlineStr">
        <is>
          <t>Antes de 2026</t>
        </is>
      </c>
      <c r="E2490" s="28" t="n">
        <v>45988</v>
      </c>
      <c r="F2490" t="inlineStr">
        <is>
          <t>CT-e</t>
        </is>
      </c>
      <c r="G2490" t="inlineStr">
        <is>
          <t>000005859</t>
        </is>
      </c>
      <c r="H2490" t="inlineStr">
        <is>
          <t>R&amp;R TRANSPORTE E LOGISTICA</t>
        </is>
      </c>
      <c r="J2490" s="29" t="n">
        <v>16.9</v>
      </c>
      <c r="K2490" s="29">
        <f>(1-ISNUMBER(SEARCH("556",M2490)))*(O2490*SUMIFS(Premissas!$C$5:$C$44,Premissas!$A$5:$A$44,$A2490,Premissas!$B$5:$B$44,$B2490)+P2490*SUMIFS(Premissas!$D$5:$D$44,Premissas!$A$5:$A$44,$A2490,Premissas!$B$5:$B$44,$B2490))+R2490*SUMIFS(Premissas!$E$5:$E$44,Premissas!$A$5:$A$44,$A2490,Premissas!$B$5:$B$44,$B2490)+S2490*SUMIFS(Premissas!$F$5:$F$44,Premissas!$A$5:$A$44,$A2490,Premissas!$B$5:$B$44,$B2490)</f>
        <v/>
      </c>
      <c r="L2490" s="29">
        <f>J2490-K2490</f>
        <v/>
      </c>
      <c r="M2490" t="inlineStr">
        <is>
          <t>1.350</t>
        </is>
      </c>
      <c r="N2490" t="inlineStr">
        <is>
          <t>Modalidade: 0 - Por conta do remetente | Parte: G7 BURGUER COMERCIO DE ALIMENTOS LTDA (63.231.506/0001-21)</t>
        </is>
      </c>
      <c r="O2490" s="29" t="n">
        <v>0</v>
      </c>
      <c r="P2490" s="29" t="n">
        <v>0</v>
      </c>
      <c r="Q2490" s="29" t="n">
        <v>0</v>
      </c>
      <c r="R2490" s="29" t="n">
        <v>0</v>
      </c>
      <c r="S2490" s="29" t="n">
        <v>0</v>
      </c>
      <c r="T2490" t="inlineStr">
        <is>
          <t>25251126975620000130570010000058591001901637</t>
        </is>
      </c>
      <c r="U2490" t="inlineStr">
        <is>
          <t>Não</t>
        </is>
      </c>
    </row>
    <row r="2491">
      <c r="A2491" t="inlineStr">
        <is>
          <t>Frete de venda</t>
        </is>
      </c>
      <c r="B2491" t="inlineStr">
        <is>
          <t>2.01.02 Frete sobre Vendas</t>
        </is>
      </c>
      <c r="C2491" t="inlineStr">
        <is>
          <t>Antes de 2026</t>
        </is>
      </c>
      <c r="D2491" t="inlineStr">
        <is>
          <t>Antes de 2026</t>
        </is>
      </c>
      <c r="E2491" s="28" t="n">
        <v>45988</v>
      </c>
      <c r="F2491" t="inlineStr">
        <is>
          <t>CT-e</t>
        </is>
      </c>
      <c r="G2491" t="inlineStr">
        <is>
          <t>000005860</t>
        </is>
      </c>
      <c r="H2491" t="inlineStr">
        <is>
          <t>R&amp;R TRANSPORTE E LOGISTICA</t>
        </is>
      </c>
      <c r="J2491" s="29" t="n">
        <v>11.56</v>
      </c>
      <c r="K2491" s="29">
        <f>(1-ISNUMBER(SEARCH("556",M2491)))*(O2491*SUMIFS(Premissas!$C$5:$C$44,Premissas!$A$5:$A$44,$A2491,Premissas!$B$5:$B$44,$B2491)+P2491*SUMIFS(Premissas!$D$5:$D$44,Premissas!$A$5:$A$44,$A2491,Premissas!$B$5:$B$44,$B2491))+R2491*SUMIFS(Premissas!$E$5:$E$44,Premissas!$A$5:$A$44,$A2491,Premissas!$B$5:$B$44,$B2491)+S2491*SUMIFS(Premissas!$F$5:$F$44,Premissas!$A$5:$A$44,$A2491,Premissas!$B$5:$B$44,$B2491)</f>
        <v/>
      </c>
      <c r="L2491" s="29">
        <f>J2491-K2491</f>
        <v/>
      </c>
      <c r="M2491" t="inlineStr">
        <is>
          <t>1.350</t>
        </is>
      </c>
      <c r="N2491" t="inlineStr">
        <is>
          <t>Modalidade: 0 - Por conta do remetente | Parte: REDE FRIOS FOOD SERVICE LTDA (37.862.035/0001-40)</t>
        </is>
      </c>
      <c r="O2491" s="29" t="n">
        <v>0</v>
      </c>
      <c r="P2491" s="29" t="n">
        <v>0</v>
      </c>
      <c r="Q2491" s="29" t="n">
        <v>0</v>
      </c>
      <c r="R2491" s="29" t="n">
        <v>0</v>
      </c>
      <c r="S2491" s="29" t="n">
        <v>0</v>
      </c>
      <c r="T2491" t="inlineStr">
        <is>
          <t>25251126975620000130570010000058601001601715</t>
        </is>
      </c>
      <c r="U2491" t="inlineStr">
        <is>
          <t>Não</t>
        </is>
      </c>
    </row>
    <row r="2492">
      <c r="A2492" t="inlineStr">
        <is>
          <t>Frete de venda</t>
        </is>
      </c>
      <c r="B2492" t="inlineStr">
        <is>
          <t>2.01.02 Frete sobre Vendas</t>
        </is>
      </c>
      <c r="C2492" t="inlineStr">
        <is>
          <t>Antes de 2026</t>
        </is>
      </c>
      <c r="D2492" t="inlineStr">
        <is>
          <t>Antes de 2026</t>
        </is>
      </c>
      <c r="E2492" s="28" t="n">
        <v>45988</v>
      </c>
      <c r="F2492" t="inlineStr">
        <is>
          <t>CT-e</t>
        </is>
      </c>
      <c r="G2492" t="inlineStr">
        <is>
          <t>000005861</t>
        </is>
      </c>
      <c r="H2492" t="inlineStr">
        <is>
          <t>R&amp;R TRANSPORTE E LOGISTICA</t>
        </is>
      </c>
      <c r="J2492" s="29" t="n">
        <v>13.57</v>
      </c>
      <c r="K2492" s="29">
        <f>(1-ISNUMBER(SEARCH("556",M2492)))*(O2492*SUMIFS(Premissas!$C$5:$C$44,Premissas!$A$5:$A$44,$A2492,Premissas!$B$5:$B$44,$B2492)+P2492*SUMIFS(Premissas!$D$5:$D$44,Premissas!$A$5:$A$44,$A2492,Premissas!$B$5:$B$44,$B2492))+R2492*SUMIFS(Premissas!$E$5:$E$44,Premissas!$A$5:$A$44,$A2492,Premissas!$B$5:$B$44,$B2492)+S2492*SUMIFS(Premissas!$F$5:$F$44,Premissas!$A$5:$A$44,$A2492,Premissas!$B$5:$B$44,$B2492)</f>
        <v/>
      </c>
      <c r="L2492" s="29">
        <f>J2492-K2492</f>
        <v/>
      </c>
      <c r="M2492" t="inlineStr">
        <is>
          <t>1.350</t>
        </is>
      </c>
      <c r="N2492" t="inlineStr">
        <is>
          <t>Modalidade: 0 - Por conta do remetente | Parte: J A COMERCIO DE EMBALAGENS E ARTIGOS PARA FESTA LTDA (54.763.304/0001-30)</t>
        </is>
      </c>
      <c r="O2492" s="29" t="n">
        <v>0</v>
      </c>
      <c r="P2492" s="29" t="n">
        <v>0</v>
      </c>
      <c r="Q2492" s="29" t="n">
        <v>0</v>
      </c>
      <c r="R2492" s="29" t="n">
        <v>0</v>
      </c>
      <c r="S2492" s="29" t="n">
        <v>0</v>
      </c>
      <c r="T2492" t="inlineStr">
        <is>
          <t>25251126975620000130570010000058611001301794</t>
        </is>
      </c>
      <c r="U2492" t="inlineStr">
        <is>
          <t>Não</t>
        </is>
      </c>
    </row>
    <row r="2493">
      <c r="A2493" t="inlineStr">
        <is>
          <t>Frete de venda</t>
        </is>
      </c>
      <c r="B2493" t="inlineStr">
        <is>
          <t>2.01.02 Frete sobre Vendas</t>
        </is>
      </c>
      <c r="C2493" t="inlineStr">
        <is>
          <t>Antes de 2026</t>
        </is>
      </c>
      <c r="D2493" t="inlineStr">
        <is>
          <t>Antes de 2026</t>
        </is>
      </c>
      <c r="E2493" s="28" t="n">
        <v>45990</v>
      </c>
      <c r="F2493" t="inlineStr">
        <is>
          <t>CT-e</t>
        </is>
      </c>
      <c r="G2493" t="inlineStr">
        <is>
          <t>000005870</t>
        </is>
      </c>
      <c r="H2493" t="inlineStr">
        <is>
          <t>R&amp;R TRANSPORTE E LOGISTICA</t>
        </is>
      </c>
      <c r="J2493" s="29" t="n">
        <v>28.05</v>
      </c>
      <c r="K2493" s="29">
        <f>(1-ISNUMBER(SEARCH("556",M2493)))*(O2493*SUMIFS(Premissas!$C$5:$C$44,Premissas!$A$5:$A$44,$A2493,Premissas!$B$5:$B$44,$B2493)+P2493*SUMIFS(Premissas!$D$5:$D$44,Premissas!$A$5:$A$44,$A2493,Premissas!$B$5:$B$44,$B2493))+R2493*SUMIFS(Premissas!$E$5:$E$44,Premissas!$A$5:$A$44,$A2493,Premissas!$B$5:$B$44,$B2493)+S2493*SUMIFS(Premissas!$F$5:$F$44,Premissas!$A$5:$A$44,$A2493,Premissas!$B$5:$B$44,$B2493)</f>
        <v/>
      </c>
      <c r="L2493" s="29">
        <f>J2493-K2493</f>
        <v/>
      </c>
      <c r="M2493" t="inlineStr">
        <is>
          <t>1.350</t>
        </is>
      </c>
      <c r="N2493" t="inlineStr">
        <is>
          <t>Modalidade: 0 - Por conta do remetente | Parte: PAPELARIA BOOZ LTDA (06.888.690/0001-43)</t>
        </is>
      </c>
      <c r="O2493" s="29" t="n">
        <v>0</v>
      </c>
      <c r="P2493" s="29" t="n">
        <v>0</v>
      </c>
      <c r="Q2493" s="29" t="n">
        <v>0</v>
      </c>
      <c r="R2493" s="29" t="n">
        <v>0</v>
      </c>
      <c r="S2493" s="29" t="n">
        <v>0</v>
      </c>
      <c r="T2493" t="inlineStr">
        <is>
          <t>25251126975620000130570010000058701011001539</t>
        </is>
      </c>
      <c r="U2493" t="inlineStr">
        <is>
          <t>Não</t>
        </is>
      </c>
    </row>
    <row r="2494">
      <c r="A2494" t="inlineStr">
        <is>
          <t>Frete de venda</t>
        </is>
      </c>
      <c r="B2494" t="inlineStr">
        <is>
          <t>2.01.02 Frete sobre Vendas</t>
        </is>
      </c>
      <c r="C2494" t="inlineStr">
        <is>
          <t>Antes de 2026</t>
        </is>
      </c>
      <c r="D2494" t="inlineStr">
        <is>
          <t>Antes de 2026</t>
        </is>
      </c>
      <c r="E2494" s="28" t="n">
        <v>45990</v>
      </c>
      <c r="F2494" t="inlineStr">
        <is>
          <t>CT-e</t>
        </is>
      </c>
      <c r="G2494" t="inlineStr">
        <is>
          <t>000005871</t>
        </is>
      </c>
      <c r="H2494" t="inlineStr">
        <is>
          <t>R&amp;R TRANSPORTE E LOGISTICA</t>
        </is>
      </c>
      <c r="J2494" s="29" t="n">
        <v>34.19</v>
      </c>
      <c r="K2494" s="29">
        <f>(1-ISNUMBER(SEARCH("556",M2494)))*(O2494*SUMIFS(Premissas!$C$5:$C$44,Premissas!$A$5:$A$44,$A2494,Premissas!$B$5:$B$44,$B2494)+P2494*SUMIFS(Premissas!$D$5:$D$44,Premissas!$A$5:$A$44,$A2494,Premissas!$B$5:$B$44,$B2494))+R2494*SUMIFS(Premissas!$E$5:$E$44,Premissas!$A$5:$A$44,$A2494,Premissas!$B$5:$B$44,$B2494)+S2494*SUMIFS(Premissas!$F$5:$F$44,Premissas!$A$5:$A$44,$A2494,Premissas!$B$5:$B$44,$B2494)</f>
        <v/>
      </c>
      <c r="L2494" s="29">
        <f>J2494-K2494</f>
        <v/>
      </c>
      <c r="M2494" t="inlineStr">
        <is>
          <t>1.350</t>
        </is>
      </c>
      <c r="N2494" t="inlineStr">
        <is>
          <t>Modalidade: 0 - Por conta do remetente | Parte: SELLPACK DISTRIBUIDORA LTDA (07.747.107/0001-47)</t>
        </is>
      </c>
      <c r="O2494" s="29" t="n">
        <v>0</v>
      </c>
      <c r="P2494" s="29" t="n">
        <v>0</v>
      </c>
      <c r="Q2494" s="29" t="n">
        <v>0</v>
      </c>
      <c r="R2494" s="29" t="n">
        <v>0</v>
      </c>
      <c r="S2494" s="29" t="n">
        <v>0</v>
      </c>
      <c r="T2494" t="inlineStr">
        <is>
          <t>25251126975620000130570010000058711001701616</t>
        </is>
      </c>
      <c r="U2494" t="inlineStr">
        <is>
          <t>Não</t>
        </is>
      </c>
    </row>
    <row r="2495">
      <c r="A2495" t="inlineStr">
        <is>
          <t>Frete de venda</t>
        </is>
      </c>
      <c r="B2495" t="inlineStr">
        <is>
          <t>2.01.02 Frete sobre Vendas</t>
        </is>
      </c>
      <c r="C2495" t="inlineStr">
        <is>
          <t>Antes de 2026</t>
        </is>
      </c>
      <c r="D2495" t="inlineStr">
        <is>
          <t>Antes de 2026</t>
        </is>
      </c>
      <c r="E2495" s="28" t="n">
        <v>45990</v>
      </c>
      <c r="F2495" t="inlineStr">
        <is>
          <t>CT-e</t>
        </is>
      </c>
      <c r="G2495" t="inlineStr">
        <is>
          <t>000005872</t>
        </is>
      </c>
      <c r="H2495" t="inlineStr">
        <is>
          <t>R&amp;R TRANSPORTE E LOGISTICA</t>
        </is>
      </c>
      <c r="J2495" s="29" t="n">
        <v>31.82</v>
      </c>
      <c r="K2495" s="29">
        <f>(1-ISNUMBER(SEARCH("556",M2495)))*(O2495*SUMIFS(Premissas!$C$5:$C$44,Premissas!$A$5:$A$44,$A2495,Premissas!$B$5:$B$44,$B2495)+P2495*SUMIFS(Premissas!$D$5:$D$44,Premissas!$A$5:$A$44,$A2495,Premissas!$B$5:$B$44,$B2495))+R2495*SUMIFS(Premissas!$E$5:$E$44,Premissas!$A$5:$A$44,$A2495,Premissas!$B$5:$B$44,$B2495)+S2495*SUMIFS(Premissas!$F$5:$F$44,Premissas!$A$5:$A$44,$A2495,Premissas!$B$5:$B$44,$B2495)</f>
        <v/>
      </c>
      <c r="L2495" s="29">
        <f>J2495-K2495</f>
        <v/>
      </c>
      <c r="M2495" t="inlineStr">
        <is>
          <t>1.350</t>
        </is>
      </c>
      <c r="N2495" t="inlineStr">
        <is>
          <t>Modalidade: 0 - Por conta do remetente | Parte: SEBASTIAO ALVES MOURA FILHO 12107813795 (18.315.794/0001-48)</t>
        </is>
      </c>
      <c r="O2495" s="29" t="n">
        <v>0</v>
      </c>
      <c r="P2495" s="29" t="n">
        <v>0</v>
      </c>
      <c r="Q2495" s="29" t="n">
        <v>0</v>
      </c>
      <c r="R2495" s="29" t="n">
        <v>0</v>
      </c>
      <c r="S2495" s="29" t="n">
        <v>0</v>
      </c>
      <c r="T2495" t="inlineStr">
        <is>
          <t>25251126975620000130570010000058721001401695</t>
        </is>
      </c>
      <c r="U2495" t="inlineStr">
        <is>
          <t>Não</t>
        </is>
      </c>
    </row>
    <row r="2496">
      <c r="A2496" t="inlineStr">
        <is>
          <t>Frete de venda</t>
        </is>
      </c>
      <c r="B2496" t="inlineStr">
        <is>
          <t>2.01.02 Frete sobre Vendas</t>
        </is>
      </c>
      <c r="C2496" t="inlineStr">
        <is>
          <t>Antes de 2026</t>
        </is>
      </c>
      <c r="D2496" t="inlineStr">
        <is>
          <t>Antes de 2026</t>
        </is>
      </c>
      <c r="E2496" s="28" t="n">
        <v>45990</v>
      </c>
      <c r="F2496" t="inlineStr">
        <is>
          <t>CT-e</t>
        </is>
      </c>
      <c r="G2496" t="inlineStr">
        <is>
          <t>000005873</t>
        </is>
      </c>
      <c r="H2496" t="inlineStr">
        <is>
          <t>R&amp;R TRANSPORTE E LOGISTICA</t>
        </is>
      </c>
      <c r="J2496" s="29" t="n">
        <v>24.18</v>
      </c>
      <c r="K2496" s="29">
        <f>(1-ISNUMBER(SEARCH("556",M2496)))*(O2496*SUMIFS(Premissas!$C$5:$C$44,Premissas!$A$5:$A$44,$A2496,Premissas!$B$5:$B$44,$B2496)+P2496*SUMIFS(Premissas!$D$5:$D$44,Premissas!$A$5:$A$44,$A2496,Premissas!$B$5:$B$44,$B2496))+R2496*SUMIFS(Premissas!$E$5:$E$44,Premissas!$A$5:$A$44,$A2496,Premissas!$B$5:$B$44,$B2496)+S2496*SUMIFS(Premissas!$F$5:$F$44,Premissas!$A$5:$A$44,$A2496,Premissas!$B$5:$B$44,$B2496)</f>
        <v/>
      </c>
      <c r="L2496" s="29">
        <f>J2496-K2496</f>
        <v/>
      </c>
      <c r="M2496" t="inlineStr">
        <is>
          <t>1.350</t>
        </is>
      </c>
      <c r="N2496" t="inlineStr">
        <is>
          <t>Modalidade: 0 - Por conta do remetente | Parte: CAITTO PALHARES DA SILVA 05668249735 (26.647.620/0001-00)</t>
        </is>
      </c>
      <c r="O2496" s="29" t="n">
        <v>0</v>
      </c>
      <c r="P2496" s="29" t="n">
        <v>0</v>
      </c>
      <c r="Q2496" s="29" t="n">
        <v>0</v>
      </c>
      <c r="R2496" s="29" t="n">
        <v>0</v>
      </c>
      <c r="S2496" s="29" t="n">
        <v>0</v>
      </c>
      <c r="T2496" t="inlineStr">
        <is>
          <t>25251126975620000130570010000058731001101770</t>
        </is>
      </c>
      <c r="U2496" t="inlineStr">
        <is>
          <t>Não</t>
        </is>
      </c>
    </row>
    <row r="2497">
      <c r="A2497" t="inlineStr">
        <is>
          <t>Frete de venda</t>
        </is>
      </c>
      <c r="B2497" t="inlineStr">
        <is>
          <t>2.01.02 Frete sobre Vendas</t>
        </is>
      </c>
      <c r="C2497" t="inlineStr">
        <is>
          <t>Antes de 2026</t>
        </is>
      </c>
      <c r="D2497" t="inlineStr">
        <is>
          <t>Antes de 2026</t>
        </is>
      </c>
      <c r="E2497" s="28" t="n">
        <v>45990</v>
      </c>
      <c r="F2497" t="inlineStr">
        <is>
          <t>CT-e</t>
        </is>
      </c>
      <c r="G2497" t="inlineStr">
        <is>
          <t>000005874</t>
        </is>
      </c>
      <c r="H2497" t="inlineStr">
        <is>
          <t>R&amp;R TRANSPORTE E LOGISTICA</t>
        </is>
      </c>
      <c r="J2497" s="29" t="n">
        <v>33.75</v>
      </c>
      <c r="K2497" s="29">
        <f>(1-ISNUMBER(SEARCH("556",M2497)))*(O2497*SUMIFS(Premissas!$C$5:$C$44,Premissas!$A$5:$A$44,$A2497,Premissas!$B$5:$B$44,$B2497)+P2497*SUMIFS(Premissas!$D$5:$D$44,Premissas!$A$5:$A$44,$A2497,Premissas!$B$5:$B$44,$B2497))+R2497*SUMIFS(Premissas!$E$5:$E$44,Premissas!$A$5:$A$44,$A2497,Premissas!$B$5:$B$44,$B2497)+S2497*SUMIFS(Premissas!$F$5:$F$44,Premissas!$A$5:$A$44,$A2497,Premissas!$B$5:$B$44,$B2497)</f>
        <v/>
      </c>
      <c r="L2497" s="29">
        <f>J2497-K2497</f>
        <v/>
      </c>
      <c r="M2497" t="inlineStr">
        <is>
          <t>1.350</t>
        </is>
      </c>
      <c r="N2497" t="inlineStr">
        <is>
          <t>Modalidade: 0 - Por conta do remetente | Parte: NOVA SERRA PLAST COMERCIO DE EMBALAGENS, ALIMENTOS E UTI... (55.651.203/0001-30)</t>
        </is>
      </c>
      <c r="O2497" s="29" t="n">
        <v>0</v>
      </c>
      <c r="P2497" s="29" t="n">
        <v>0</v>
      </c>
      <c r="Q2497" s="29" t="n">
        <v>0</v>
      </c>
      <c r="R2497" s="29" t="n">
        <v>0</v>
      </c>
      <c r="S2497" s="29" t="n">
        <v>0</v>
      </c>
      <c r="T2497" t="inlineStr">
        <is>
          <t>25251126975620000130570010000058741001901854</t>
        </is>
      </c>
      <c r="U2497" t="inlineStr">
        <is>
          <t>Não</t>
        </is>
      </c>
    </row>
    <row r="2498">
      <c r="A2498" t="inlineStr">
        <is>
          <t>Frete de venda</t>
        </is>
      </c>
      <c r="B2498" t="inlineStr">
        <is>
          <t>2.01.02 Frete sobre Vendas</t>
        </is>
      </c>
      <c r="C2498" t="inlineStr">
        <is>
          <t>Antes de 2026</t>
        </is>
      </c>
      <c r="D2498" t="inlineStr">
        <is>
          <t>Antes de 2026</t>
        </is>
      </c>
      <c r="E2498" s="28" t="n">
        <v>45990</v>
      </c>
      <c r="F2498" t="inlineStr">
        <is>
          <t>CT-e</t>
        </is>
      </c>
      <c r="G2498" t="inlineStr">
        <is>
          <t>000005875</t>
        </is>
      </c>
      <c r="H2498" t="inlineStr">
        <is>
          <t>R&amp;R TRANSPORTE E LOGISTICA</t>
        </is>
      </c>
      <c r="J2498" s="29" t="n">
        <v>39.56</v>
      </c>
      <c r="K2498" s="29">
        <f>(1-ISNUMBER(SEARCH("556",M2498)))*(O2498*SUMIFS(Premissas!$C$5:$C$44,Premissas!$A$5:$A$44,$A2498,Premissas!$B$5:$B$44,$B2498)+P2498*SUMIFS(Premissas!$D$5:$D$44,Premissas!$A$5:$A$44,$A2498,Premissas!$B$5:$B$44,$B2498))+R2498*SUMIFS(Premissas!$E$5:$E$44,Premissas!$A$5:$A$44,$A2498,Premissas!$B$5:$B$44,$B2498)+S2498*SUMIFS(Premissas!$F$5:$F$44,Premissas!$A$5:$A$44,$A2498,Premissas!$B$5:$B$44,$B2498)</f>
        <v/>
      </c>
      <c r="L2498" s="29">
        <f>J2498-K2498</f>
        <v/>
      </c>
      <c r="M2498" t="inlineStr">
        <is>
          <t>1.350</t>
        </is>
      </c>
      <c r="N2498" t="inlineStr">
        <is>
          <t>Modalidade: 0 - Por conta do remetente | Parte: SHALOM COMERCIO DE EMBALAGENS LTDA (30.935.496/0001-56)</t>
        </is>
      </c>
      <c r="O2498" s="29" t="n">
        <v>0</v>
      </c>
      <c r="P2498" s="29" t="n">
        <v>0</v>
      </c>
      <c r="Q2498" s="29" t="n">
        <v>0</v>
      </c>
      <c r="R2498" s="29" t="n">
        <v>0</v>
      </c>
      <c r="S2498" s="29" t="n">
        <v>0</v>
      </c>
      <c r="T2498" t="inlineStr">
        <is>
          <t>25251126975620000130570010000058751001601939</t>
        </is>
      </c>
      <c r="U2498" t="inlineStr">
        <is>
          <t>Não</t>
        </is>
      </c>
    </row>
    <row r="2499">
      <c r="A2499" t="inlineStr">
        <is>
          <t>Frete de venda</t>
        </is>
      </c>
      <c r="B2499" t="inlineStr">
        <is>
          <t>2.01.02 Frete sobre Vendas</t>
        </is>
      </c>
      <c r="C2499" t="inlineStr">
        <is>
          <t>Antes de 2026</t>
        </is>
      </c>
      <c r="D2499" t="inlineStr">
        <is>
          <t>Antes de 2026</t>
        </is>
      </c>
      <c r="E2499" s="28" t="n">
        <v>45990</v>
      </c>
      <c r="F2499" t="inlineStr">
        <is>
          <t>CT-e</t>
        </is>
      </c>
      <c r="G2499" t="inlineStr">
        <is>
          <t>000005876</t>
        </is>
      </c>
      <c r="H2499" t="inlineStr">
        <is>
          <t>R&amp;R TRANSPORTE E LOGISTICA</t>
        </is>
      </c>
      <c r="J2499" s="29" t="n">
        <v>30.97</v>
      </c>
      <c r="K2499" s="29">
        <f>(1-ISNUMBER(SEARCH("556",M2499)))*(O2499*SUMIFS(Premissas!$C$5:$C$44,Premissas!$A$5:$A$44,$A2499,Premissas!$B$5:$B$44,$B2499)+P2499*SUMIFS(Premissas!$D$5:$D$44,Premissas!$A$5:$A$44,$A2499,Premissas!$B$5:$B$44,$B2499))+R2499*SUMIFS(Premissas!$E$5:$E$44,Premissas!$A$5:$A$44,$A2499,Premissas!$B$5:$B$44,$B2499)+S2499*SUMIFS(Premissas!$F$5:$F$44,Premissas!$A$5:$A$44,$A2499,Premissas!$B$5:$B$44,$B2499)</f>
        <v/>
      </c>
      <c r="L2499" s="29">
        <f>J2499-K2499</f>
        <v/>
      </c>
      <c r="M2499" t="inlineStr">
        <is>
          <t>1.350</t>
        </is>
      </c>
      <c r="N2499" t="inlineStr">
        <is>
          <t>Modalidade: 0 - Por conta do remetente | Parte: PROPACK COMERCIAL LTDA (43.437.401/0001-16)</t>
        </is>
      </c>
      <c r="O2499" s="29" t="n">
        <v>0</v>
      </c>
      <c r="P2499" s="29" t="n">
        <v>0</v>
      </c>
      <c r="Q2499" s="29" t="n">
        <v>0</v>
      </c>
      <c r="R2499" s="29" t="n">
        <v>0</v>
      </c>
      <c r="S2499" s="29" t="n">
        <v>0</v>
      </c>
      <c r="T2499" t="inlineStr">
        <is>
          <t>25251126975620000130570010000058761001302017</t>
        </is>
      </c>
      <c r="U2499" t="inlineStr">
        <is>
          <t>Não</t>
        </is>
      </c>
    </row>
    <row r="2500">
      <c r="A2500" t="inlineStr">
        <is>
          <t>Frete de venda</t>
        </is>
      </c>
      <c r="B2500" t="inlineStr">
        <is>
          <t>2.01.02 Frete sobre Vendas</t>
        </is>
      </c>
      <c r="C2500" t="inlineStr">
        <is>
          <t>Antes de 2026</t>
        </is>
      </c>
      <c r="D2500" t="inlineStr">
        <is>
          <t>Antes de 2026</t>
        </is>
      </c>
      <c r="E2500" s="28" t="n">
        <v>45990</v>
      </c>
      <c r="F2500" t="inlineStr">
        <is>
          <t>CT-e</t>
        </is>
      </c>
      <c r="G2500" t="inlineStr">
        <is>
          <t>000005877</t>
        </is>
      </c>
      <c r="H2500" t="inlineStr">
        <is>
          <t>R&amp;R TRANSPORTE E LOGISTICA</t>
        </is>
      </c>
      <c r="J2500" s="29" t="n">
        <v>39.94</v>
      </c>
      <c r="K2500" s="29">
        <f>(1-ISNUMBER(SEARCH("556",M2500)))*(O2500*SUMIFS(Premissas!$C$5:$C$44,Premissas!$A$5:$A$44,$A2500,Premissas!$B$5:$B$44,$B2500)+P2500*SUMIFS(Premissas!$D$5:$D$44,Premissas!$A$5:$A$44,$A2500,Premissas!$B$5:$B$44,$B2500))+R2500*SUMIFS(Premissas!$E$5:$E$44,Premissas!$A$5:$A$44,$A2500,Premissas!$B$5:$B$44,$B2500)+S2500*SUMIFS(Premissas!$F$5:$F$44,Premissas!$A$5:$A$44,$A2500,Premissas!$B$5:$B$44,$B2500)</f>
        <v/>
      </c>
      <c r="L2500" s="29">
        <f>J2500-K2500</f>
        <v/>
      </c>
      <c r="M2500" t="inlineStr">
        <is>
          <t>1.350</t>
        </is>
      </c>
      <c r="N2500" t="inlineStr">
        <is>
          <t>Modalidade: 0 - Por conta do remetente | Parte: FRONTEIRA EMBALAGENS LTDA (47.115.817/0001-79)</t>
        </is>
      </c>
      <c r="O2500" s="29" t="n">
        <v>0</v>
      </c>
      <c r="P2500" s="29" t="n">
        <v>0</v>
      </c>
      <c r="Q2500" s="29" t="n">
        <v>0</v>
      </c>
      <c r="R2500" s="29" t="n">
        <v>0</v>
      </c>
      <c r="S2500" s="29" t="n">
        <v>0</v>
      </c>
      <c r="T2500" t="inlineStr">
        <is>
          <t>25251126975620000130570010000058771000160720</t>
        </is>
      </c>
      <c r="U2500" t="inlineStr">
        <is>
          <t>Não</t>
        </is>
      </c>
    </row>
    <row r="2501">
      <c r="A2501" t="inlineStr">
        <is>
          <t>Frete de venda</t>
        </is>
      </c>
      <c r="B2501" t="inlineStr">
        <is>
          <t>2.01.02 Frete sobre Vendas</t>
        </is>
      </c>
      <c r="C2501" t="inlineStr">
        <is>
          <t>Antes de 2026</t>
        </is>
      </c>
      <c r="D2501" t="inlineStr">
        <is>
          <t>Antes de 2026</t>
        </is>
      </c>
      <c r="E2501" s="28" t="n">
        <v>45990</v>
      </c>
      <c r="F2501" t="inlineStr">
        <is>
          <t>CT-e</t>
        </is>
      </c>
      <c r="G2501" t="inlineStr">
        <is>
          <t>000005878</t>
        </is>
      </c>
      <c r="H2501" t="inlineStr">
        <is>
          <t>R&amp;R TRANSPORTE E LOGISTICA</t>
        </is>
      </c>
      <c r="J2501" s="29" t="n">
        <v>128.56</v>
      </c>
      <c r="K2501" s="29">
        <f>(1-ISNUMBER(SEARCH("556",M2501)))*(O2501*SUMIFS(Premissas!$C$5:$C$44,Premissas!$A$5:$A$44,$A2501,Premissas!$B$5:$B$44,$B2501)+P2501*SUMIFS(Premissas!$D$5:$D$44,Premissas!$A$5:$A$44,$A2501,Premissas!$B$5:$B$44,$B2501))+R2501*SUMIFS(Premissas!$E$5:$E$44,Premissas!$A$5:$A$44,$A2501,Premissas!$B$5:$B$44,$B2501)+S2501*SUMIFS(Premissas!$F$5:$F$44,Premissas!$A$5:$A$44,$A2501,Premissas!$B$5:$B$44,$B2501)</f>
        <v/>
      </c>
      <c r="L2501" s="29">
        <f>J2501-K2501</f>
        <v/>
      </c>
      <c r="M2501" t="inlineStr">
        <is>
          <t>1.350</t>
        </is>
      </c>
      <c r="N2501" t="inlineStr">
        <is>
          <t>Modalidade: 0 - Por conta do remetente | Parte: RFC COMERCIO DE MIUDEZAS LTDA (26.514.797/0004-81)</t>
        </is>
      </c>
      <c r="O2501" s="29" t="n">
        <v>0</v>
      </c>
      <c r="P2501" s="29" t="n">
        <v>0</v>
      </c>
      <c r="Q2501" s="29" t="n">
        <v>0</v>
      </c>
      <c r="R2501" s="29" t="n">
        <v>0</v>
      </c>
      <c r="S2501" s="29" t="n">
        <v>0</v>
      </c>
      <c r="T2501" t="inlineStr">
        <is>
          <t>25251126975620000130570010000058781000130802</t>
        </is>
      </c>
      <c r="U2501" t="inlineStr">
        <is>
          <t>Não</t>
        </is>
      </c>
    </row>
    <row r="2502">
      <c r="A2502" t="inlineStr">
        <is>
          <t>Frete de venda</t>
        </is>
      </c>
      <c r="B2502" t="inlineStr">
        <is>
          <t>2.01.02 Frete sobre Vendas</t>
        </is>
      </c>
      <c r="C2502" t="inlineStr">
        <is>
          <t>Antes de 2026</t>
        </is>
      </c>
      <c r="D2502" t="inlineStr">
        <is>
          <t>Antes de 2026</t>
        </is>
      </c>
      <c r="E2502" s="28" t="n">
        <v>45990</v>
      </c>
      <c r="F2502" t="inlineStr">
        <is>
          <t>CT-e</t>
        </is>
      </c>
      <c r="G2502" t="inlineStr">
        <is>
          <t>000005879</t>
        </is>
      </c>
      <c r="H2502" t="inlineStr">
        <is>
          <t>R&amp;R TRANSPORTE E LOGISTICA</t>
        </is>
      </c>
      <c r="J2502" s="29" t="n">
        <v>35.01</v>
      </c>
      <c r="K2502" s="29">
        <f>(1-ISNUMBER(SEARCH("556",M2502)))*(O2502*SUMIFS(Premissas!$C$5:$C$44,Premissas!$A$5:$A$44,$A2502,Premissas!$B$5:$B$44,$B2502)+P2502*SUMIFS(Premissas!$D$5:$D$44,Premissas!$A$5:$A$44,$A2502,Premissas!$B$5:$B$44,$B2502))+R2502*SUMIFS(Premissas!$E$5:$E$44,Premissas!$A$5:$A$44,$A2502,Premissas!$B$5:$B$44,$B2502)+S2502*SUMIFS(Premissas!$F$5:$F$44,Premissas!$A$5:$A$44,$A2502,Premissas!$B$5:$B$44,$B2502)</f>
        <v/>
      </c>
      <c r="L2502" s="29">
        <f>J2502-K2502</f>
        <v/>
      </c>
      <c r="M2502" t="inlineStr">
        <is>
          <t>1.350</t>
        </is>
      </c>
      <c r="N2502" t="inlineStr">
        <is>
          <t>Modalidade: 0 - Por conta do remetente | Parte: ATACADAO DA BAIXADA LTDA (22.815.381/0001-08)</t>
        </is>
      </c>
      <c r="O2502" s="29" t="n">
        <v>0</v>
      </c>
      <c r="P2502" s="29" t="n">
        <v>0</v>
      </c>
      <c r="Q2502" s="29" t="n">
        <v>0</v>
      </c>
      <c r="R2502" s="29" t="n">
        <v>0</v>
      </c>
      <c r="S2502" s="29" t="n">
        <v>0</v>
      </c>
      <c r="T2502" t="inlineStr">
        <is>
          <t>25251126975620000130570010000058791000010880</t>
        </is>
      </c>
      <c r="U2502" t="inlineStr">
        <is>
          <t>Não</t>
        </is>
      </c>
    </row>
    <row r="2503">
      <c r="A2503" t="inlineStr">
        <is>
          <t>Frete de venda</t>
        </is>
      </c>
      <c r="B2503" t="inlineStr">
        <is>
          <t>2.01.02 Frete sobre Vendas</t>
        </is>
      </c>
      <c r="C2503" t="inlineStr">
        <is>
          <t>Antes de 2026</t>
        </is>
      </c>
      <c r="D2503" t="inlineStr">
        <is>
          <t>Antes de 2026</t>
        </is>
      </c>
      <c r="E2503" s="28" t="n">
        <v>45992</v>
      </c>
      <c r="F2503" t="inlineStr">
        <is>
          <t>CT-e</t>
        </is>
      </c>
      <c r="G2503" t="inlineStr">
        <is>
          <t>000005884</t>
        </is>
      </c>
      <c r="H2503" t="inlineStr">
        <is>
          <t>R&amp;R TRANSPORTE E LOGISTICA</t>
        </is>
      </c>
      <c r="J2503" s="29" t="n">
        <v>596.8200000000001</v>
      </c>
      <c r="K2503" s="29">
        <f>(1-ISNUMBER(SEARCH("556",M2503)))*(O2503*SUMIFS(Premissas!$C$5:$C$44,Premissas!$A$5:$A$44,$A2503,Premissas!$B$5:$B$44,$B2503)+P2503*SUMIFS(Premissas!$D$5:$D$44,Premissas!$A$5:$A$44,$A2503,Premissas!$B$5:$B$44,$B2503))+R2503*SUMIFS(Premissas!$E$5:$E$44,Premissas!$A$5:$A$44,$A2503,Premissas!$B$5:$B$44,$B2503)+S2503*SUMIFS(Premissas!$F$5:$F$44,Premissas!$A$5:$A$44,$A2503,Premissas!$B$5:$B$44,$B2503)</f>
        <v/>
      </c>
      <c r="L2503" s="29">
        <f>J2503-K2503</f>
        <v/>
      </c>
      <c r="M2503" t="inlineStr">
        <is>
          <t>1.350</t>
        </is>
      </c>
      <c r="N2503" t="inlineStr">
        <is>
          <t>Modalidade: 0 - Por conta do remetente | Parte: DISTRIPACK DISTRIBUIDORA DE EMBALAGENS LTDA (11.043.375/0002-36)</t>
        </is>
      </c>
      <c r="O2503" s="29" t="n">
        <v>0</v>
      </c>
      <c r="P2503" s="29" t="n">
        <v>0</v>
      </c>
      <c r="Q2503" s="29" t="n">
        <v>0</v>
      </c>
      <c r="R2503" s="29" t="n">
        <v>0</v>
      </c>
      <c r="S2503" s="29" t="n">
        <v>0</v>
      </c>
      <c r="T2503" t="inlineStr">
        <is>
          <t>25251226975620000130570010000058841001401363</t>
        </is>
      </c>
      <c r="U2503" t="inlineStr">
        <is>
          <t>Não</t>
        </is>
      </c>
    </row>
    <row r="2504">
      <c r="A2504" t="inlineStr">
        <is>
          <t>Frete de venda</t>
        </is>
      </c>
      <c r="B2504" t="inlineStr">
        <is>
          <t>2.01.02 Frete sobre Vendas</t>
        </is>
      </c>
      <c r="C2504" t="inlineStr">
        <is>
          <t>Antes de 2026</t>
        </is>
      </c>
      <c r="D2504" t="inlineStr">
        <is>
          <t>Antes de 2026</t>
        </is>
      </c>
      <c r="E2504" s="28" t="n">
        <v>45992</v>
      </c>
      <c r="F2504" t="inlineStr">
        <is>
          <t>CT-e</t>
        </is>
      </c>
      <c r="G2504" t="inlineStr">
        <is>
          <t>000005887</t>
        </is>
      </c>
      <c r="H2504" t="inlineStr">
        <is>
          <t>R&amp;R TRANSPORTE E LOGISTICA</t>
        </is>
      </c>
      <c r="J2504" s="29" t="n">
        <v>300</v>
      </c>
      <c r="K2504" s="29">
        <f>(1-ISNUMBER(SEARCH("556",M2504)))*(O2504*SUMIFS(Premissas!$C$5:$C$44,Premissas!$A$5:$A$44,$A2504,Premissas!$B$5:$B$44,$B2504)+P2504*SUMIFS(Premissas!$D$5:$D$44,Premissas!$A$5:$A$44,$A2504,Premissas!$B$5:$B$44,$B2504))+R2504*SUMIFS(Premissas!$E$5:$E$44,Premissas!$A$5:$A$44,$A2504,Premissas!$B$5:$B$44,$B2504)+S2504*SUMIFS(Premissas!$F$5:$F$44,Premissas!$A$5:$A$44,$A2504,Premissas!$B$5:$B$44,$B2504)</f>
        <v/>
      </c>
      <c r="L2504" s="29">
        <f>J2504-K2504</f>
        <v/>
      </c>
      <c r="M2504" t="inlineStr">
        <is>
          <t>1.350</t>
        </is>
      </c>
      <c r="N2504" t="inlineStr">
        <is>
          <t>Transportadora de frete de venda, mas pela modalidade do frete a Vinco recebeu a carga | Modalidade: 1 - Por conta do destinatário | Parte: UP DISTRIBUIDORA DE PRODUTOS DESCARTAVEIS LTDA (12.423.997/0001-71)</t>
        </is>
      </c>
      <c r="O2504" s="29" t="n">
        <v>0</v>
      </c>
      <c r="P2504" s="29" t="n">
        <v>0</v>
      </c>
      <c r="Q2504" s="29" t="n">
        <v>0</v>
      </c>
      <c r="R2504" s="29" t="n">
        <v>0</v>
      </c>
      <c r="S2504" s="29" t="n">
        <v>0</v>
      </c>
      <c r="T2504" t="inlineStr">
        <is>
          <t>25251226975620000130570010000058871001100870</t>
        </is>
      </c>
      <c r="U2504" t="inlineStr">
        <is>
          <t>Não</t>
        </is>
      </c>
    </row>
    <row r="2505">
      <c r="A2505" t="inlineStr">
        <is>
          <t>Frete de venda</t>
        </is>
      </c>
      <c r="B2505" t="inlineStr">
        <is>
          <t>2.01.02 Frete sobre Vendas</t>
        </is>
      </c>
      <c r="C2505" t="inlineStr">
        <is>
          <t>Antes de 2026</t>
        </is>
      </c>
      <c r="D2505" t="inlineStr">
        <is>
          <t>Antes de 2026</t>
        </is>
      </c>
      <c r="E2505" s="28" t="n">
        <v>45993</v>
      </c>
      <c r="F2505" t="inlineStr">
        <is>
          <t>CT-e</t>
        </is>
      </c>
      <c r="G2505" t="inlineStr">
        <is>
          <t>000005890</t>
        </is>
      </c>
      <c r="H2505" t="inlineStr">
        <is>
          <t>R&amp;R TRANSPORTE E LOGISTICA</t>
        </is>
      </c>
      <c r="J2505" s="29" t="n">
        <v>23.59</v>
      </c>
      <c r="K2505" s="29">
        <f>(1-ISNUMBER(SEARCH("556",M2505)))*(O2505*SUMIFS(Premissas!$C$5:$C$44,Premissas!$A$5:$A$44,$A2505,Premissas!$B$5:$B$44,$B2505)+P2505*SUMIFS(Premissas!$D$5:$D$44,Premissas!$A$5:$A$44,$A2505,Premissas!$B$5:$B$44,$B2505))+R2505*SUMIFS(Premissas!$E$5:$E$44,Premissas!$A$5:$A$44,$A2505,Premissas!$B$5:$B$44,$B2505)+S2505*SUMIFS(Premissas!$F$5:$F$44,Premissas!$A$5:$A$44,$A2505,Premissas!$B$5:$B$44,$B2505)</f>
        <v/>
      </c>
      <c r="L2505" s="29">
        <f>J2505-K2505</f>
        <v/>
      </c>
      <c r="M2505" t="inlineStr">
        <is>
          <t>1.350</t>
        </is>
      </c>
      <c r="N2505" t="inlineStr">
        <is>
          <t>Modalidade: 0 - Por conta do remetente | Parte: NADIA RIZZIA RABELO RAMOS LTDA (36.006.707/0001-52)</t>
        </is>
      </c>
      <c r="O2505" s="29" t="n">
        <v>0</v>
      </c>
      <c r="P2505" s="29" t="n">
        <v>0</v>
      </c>
      <c r="Q2505" s="29" t="n">
        <v>0</v>
      </c>
      <c r="R2505" s="29" t="n">
        <v>0</v>
      </c>
      <c r="S2505" s="29" t="n">
        <v>0</v>
      </c>
      <c r="T2505" t="inlineStr">
        <is>
          <t>25251226975620000130570010000058901001101553</t>
        </is>
      </c>
      <c r="U2505" t="inlineStr">
        <is>
          <t>Não</t>
        </is>
      </c>
    </row>
    <row r="2506">
      <c r="A2506" t="inlineStr">
        <is>
          <t>Frete de venda</t>
        </is>
      </c>
      <c r="B2506" t="inlineStr">
        <is>
          <t>2.01.02 Frete sobre Vendas</t>
        </is>
      </c>
      <c r="C2506" t="inlineStr">
        <is>
          <t>Antes de 2026</t>
        </is>
      </c>
      <c r="D2506" t="inlineStr">
        <is>
          <t>Antes de 2026</t>
        </is>
      </c>
      <c r="E2506" s="28" t="n">
        <v>45993</v>
      </c>
      <c r="F2506" t="inlineStr">
        <is>
          <t>CT-e</t>
        </is>
      </c>
      <c r="G2506" t="inlineStr">
        <is>
          <t>000005891</t>
        </is>
      </c>
      <c r="H2506" t="inlineStr">
        <is>
          <t>R&amp;R TRANSPORTE E LOGISTICA</t>
        </is>
      </c>
      <c r="J2506" s="29" t="n">
        <v>62.67</v>
      </c>
      <c r="K2506" s="29">
        <f>(1-ISNUMBER(SEARCH("556",M2506)))*(O2506*SUMIFS(Premissas!$C$5:$C$44,Premissas!$A$5:$A$44,$A2506,Premissas!$B$5:$B$44,$B2506)+P2506*SUMIFS(Premissas!$D$5:$D$44,Premissas!$A$5:$A$44,$A2506,Premissas!$B$5:$B$44,$B2506))+R2506*SUMIFS(Premissas!$E$5:$E$44,Premissas!$A$5:$A$44,$A2506,Premissas!$B$5:$B$44,$B2506)+S2506*SUMIFS(Premissas!$F$5:$F$44,Premissas!$A$5:$A$44,$A2506,Premissas!$B$5:$B$44,$B2506)</f>
        <v/>
      </c>
      <c r="L2506" s="29">
        <f>J2506-K2506</f>
        <v/>
      </c>
      <c r="M2506" t="inlineStr">
        <is>
          <t>1.350</t>
        </is>
      </c>
      <c r="N2506" t="inlineStr">
        <is>
          <t>Modalidade: 0 - Por conta do remetente | Parte: COMFRIOS DISTRIBUIDORA DE FRIOS LTDA (37.364.486/0001-57)</t>
        </is>
      </c>
      <c r="O2506" s="29" t="n">
        <v>0</v>
      </c>
      <c r="P2506" s="29" t="n">
        <v>0</v>
      </c>
      <c r="Q2506" s="29" t="n">
        <v>0</v>
      </c>
      <c r="R2506" s="29" t="n">
        <v>0</v>
      </c>
      <c r="S2506" s="29" t="n">
        <v>0</v>
      </c>
      <c r="T2506" t="inlineStr">
        <is>
          <t>25251226975620000130570010000058911001901638</t>
        </is>
      </c>
      <c r="U2506" t="inlineStr">
        <is>
          <t>Não</t>
        </is>
      </c>
    </row>
    <row r="2507">
      <c r="A2507" t="inlineStr">
        <is>
          <t>Frete de venda</t>
        </is>
      </c>
      <c r="B2507" t="inlineStr">
        <is>
          <t>2.01.02 Frete sobre Vendas</t>
        </is>
      </c>
      <c r="C2507" t="inlineStr">
        <is>
          <t>Antes de 2026</t>
        </is>
      </c>
      <c r="D2507" t="inlineStr">
        <is>
          <t>Antes de 2026</t>
        </is>
      </c>
      <c r="E2507" s="28" t="n">
        <v>45993</v>
      </c>
      <c r="F2507" t="inlineStr">
        <is>
          <t>CT-e</t>
        </is>
      </c>
      <c r="G2507" t="inlineStr">
        <is>
          <t>000005892</t>
        </is>
      </c>
      <c r="H2507" t="inlineStr">
        <is>
          <t>R&amp;R TRANSPORTE E LOGISTICA</t>
        </is>
      </c>
      <c r="J2507" s="29" t="n">
        <v>23.87</v>
      </c>
      <c r="K2507" s="29">
        <f>(1-ISNUMBER(SEARCH("556",M2507)))*(O2507*SUMIFS(Premissas!$C$5:$C$44,Premissas!$A$5:$A$44,$A2507,Premissas!$B$5:$B$44,$B2507)+P2507*SUMIFS(Premissas!$D$5:$D$44,Premissas!$A$5:$A$44,$A2507,Premissas!$B$5:$B$44,$B2507))+R2507*SUMIFS(Premissas!$E$5:$E$44,Premissas!$A$5:$A$44,$A2507,Premissas!$B$5:$B$44,$B2507)+S2507*SUMIFS(Premissas!$F$5:$F$44,Premissas!$A$5:$A$44,$A2507,Premissas!$B$5:$B$44,$B2507)</f>
        <v/>
      </c>
      <c r="L2507" s="29">
        <f>J2507-K2507</f>
        <v/>
      </c>
      <c r="M2507" t="inlineStr">
        <is>
          <t>1.350</t>
        </is>
      </c>
      <c r="N2507" t="inlineStr">
        <is>
          <t>Modalidade: 0 - Por conta do remetente | Parte: RIO VERDE EMBALAGENS LTDA (15.189.185/0001-00)</t>
        </is>
      </c>
      <c r="O2507" s="29" t="n">
        <v>0</v>
      </c>
      <c r="P2507" s="29" t="n">
        <v>0</v>
      </c>
      <c r="Q2507" s="29" t="n">
        <v>0</v>
      </c>
      <c r="R2507" s="29" t="n">
        <v>0</v>
      </c>
      <c r="S2507" s="29" t="n">
        <v>0</v>
      </c>
      <c r="T2507" t="inlineStr">
        <is>
          <t>25251226975620000130570010000058921001601712</t>
        </is>
      </c>
      <c r="U2507" t="inlineStr">
        <is>
          <t>Não</t>
        </is>
      </c>
    </row>
    <row r="2508">
      <c r="A2508" t="inlineStr">
        <is>
          <t>Frete de venda</t>
        </is>
      </c>
      <c r="B2508" t="inlineStr">
        <is>
          <t>2.01.02 Frete sobre Vendas</t>
        </is>
      </c>
      <c r="C2508" t="inlineStr">
        <is>
          <t>Antes de 2026</t>
        </is>
      </c>
      <c r="D2508" t="inlineStr">
        <is>
          <t>Antes de 2026</t>
        </is>
      </c>
      <c r="E2508" s="28" t="n">
        <v>45993</v>
      </c>
      <c r="F2508" t="inlineStr">
        <is>
          <t>CT-e</t>
        </is>
      </c>
      <c r="G2508" t="inlineStr">
        <is>
          <t>000005893</t>
        </is>
      </c>
      <c r="H2508" t="inlineStr">
        <is>
          <t>R&amp;R TRANSPORTE E LOGISTICA</t>
        </is>
      </c>
      <c r="J2508" s="29" t="n">
        <v>45.81</v>
      </c>
      <c r="K2508" s="29">
        <f>(1-ISNUMBER(SEARCH("556",M2508)))*(O2508*SUMIFS(Premissas!$C$5:$C$44,Premissas!$A$5:$A$44,$A2508,Premissas!$B$5:$B$44,$B2508)+P2508*SUMIFS(Premissas!$D$5:$D$44,Premissas!$A$5:$A$44,$A2508,Premissas!$B$5:$B$44,$B2508))+R2508*SUMIFS(Premissas!$E$5:$E$44,Premissas!$A$5:$A$44,$A2508,Premissas!$B$5:$B$44,$B2508)+S2508*SUMIFS(Premissas!$F$5:$F$44,Premissas!$A$5:$A$44,$A2508,Premissas!$B$5:$B$44,$B2508)</f>
        <v/>
      </c>
      <c r="L2508" s="29">
        <f>J2508-K2508</f>
        <v/>
      </c>
      <c r="M2508" t="inlineStr">
        <is>
          <t>1.350</t>
        </is>
      </c>
      <c r="N2508" t="inlineStr">
        <is>
          <t>Modalidade: 0 - Por conta do remetente | Parte: ITABERAI FRIOS e EMBALAGENS LTDA (17.206.462/0001-62)</t>
        </is>
      </c>
      <c r="O2508" s="29" t="n">
        <v>0</v>
      </c>
      <c r="P2508" s="29" t="n">
        <v>0</v>
      </c>
      <c r="Q2508" s="29" t="n">
        <v>0</v>
      </c>
      <c r="R2508" s="29" t="n">
        <v>0</v>
      </c>
      <c r="S2508" s="29" t="n">
        <v>0</v>
      </c>
      <c r="T2508" t="inlineStr">
        <is>
          <t>25251226975620000130570010000058931001301791</t>
        </is>
      </c>
      <c r="U2508" t="inlineStr">
        <is>
          <t>Não</t>
        </is>
      </c>
    </row>
    <row r="2509">
      <c r="A2509" t="inlineStr">
        <is>
          <t>Frete de venda</t>
        </is>
      </c>
      <c r="B2509" t="inlineStr">
        <is>
          <t>2.01.02 Frete sobre Vendas</t>
        </is>
      </c>
      <c r="C2509" t="inlineStr">
        <is>
          <t>Antes de 2026</t>
        </is>
      </c>
      <c r="D2509" t="inlineStr">
        <is>
          <t>Antes de 2026</t>
        </is>
      </c>
      <c r="E2509" s="28" t="n">
        <v>45993</v>
      </c>
      <c r="F2509" t="inlineStr">
        <is>
          <t>CT-e</t>
        </is>
      </c>
      <c r="G2509" t="inlineStr">
        <is>
          <t>000005894</t>
        </is>
      </c>
      <c r="H2509" t="inlineStr">
        <is>
          <t>R&amp;R TRANSPORTE E LOGISTICA</t>
        </is>
      </c>
      <c r="J2509" s="29" t="n">
        <v>50.62</v>
      </c>
      <c r="K2509" s="29">
        <f>(1-ISNUMBER(SEARCH("556",M2509)))*(O2509*SUMIFS(Premissas!$C$5:$C$44,Premissas!$A$5:$A$44,$A2509,Premissas!$B$5:$B$44,$B2509)+P2509*SUMIFS(Premissas!$D$5:$D$44,Premissas!$A$5:$A$44,$A2509,Premissas!$B$5:$B$44,$B2509))+R2509*SUMIFS(Premissas!$E$5:$E$44,Premissas!$A$5:$A$44,$A2509,Premissas!$B$5:$B$44,$B2509)+S2509*SUMIFS(Premissas!$F$5:$F$44,Premissas!$A$5:$A$44,$A2509,Premissas!$B$5:$B$44,$B2509)</f>
        <v/>
      </c>
      <c r="L2509" s="29">
        <f>J2509-K2509</f>
        <v/>
      </c>
      <c r="M2509" t="inlineStr">
        <is>
          <t>1.350</t>
        </is>
      </c>
      <c r="N2509" t="inlineStr">
        <is>
          <t>Modalidade: 0 - Por conta do remetente | Parte: ULTRAVALLE ATACADISTA DE BEBIDAS LTDA (16.813.673/0001-09)</t>
        </is>
      </c>
      <c r="O2509" s="29" t="n">
        <v>0</v>
      </c>
      <c r="P2509" s="29" t="n">
        <v>0</v>
      </c>
      <c r="Q2509" s="29" t="n">
        <v>0</v>
      </c>
      <c r="R2509" s="29" t="n">
        <v>0</v>
      </c>
      <c r="S2509" s="29" t="n">
        <v>0</v>
      </c>
      <c r="T2509" t="inlineStr">
        <is>
          <t>25251226975620000130570010000058941001401149</t>
        </is>
      </c>
      <c r="U2509" t="inlineStr">
        <is>
          <t>Não</t>
        </is>
      </c>
    </row>
    <row r="2510">
      <c r="A2510" t="inlineStr">
        <is>
          <t>Frete de venda</t>
        </is>
      </c>
      <c r="B2510" t="inlineStr">
        <is>
          <t>2.01.02 Frete sobre Vendas</t>
        </is>
      </c>
      <c r="C2510" t="inlineStr">
        <is>
          <t>Antes de 2026</t>
        </is>
      </c>
      <c r="D2510" t="inlineStr">
        <is>
          <t>Antes de 2026</t>
        </is>
      </c>
      <c r="E2510" s="28" t="n">
        <v>45993</v>
      </c>
      <c r="F2510" t="inlineStr">
        <is>
          <t>CT-e</t>
        </is>
      </c>
      <c r="G2510" t="inlineStr">
        <is>
          <t>000005895</t>
        </is>
      </c>
      <c r="H2510" t="inlineStr">
        <is>
          <t>R&amp;R TRANSPORTE E LOGISTICA</t>
        </is>
      </c>
      <c r="J2510" s="29" t="n">
        <v>59.2</v>
      </c>
      <c r="K2510" s="29">
        <f>(1-ISNUMBER(SEARCH("556",M2510)))*(O2510*SUMIFS(Premissas!$C$5:$C$44,Premissas!$A$5:$A$44,$A2510,Premissas!$B$5:$B$44,$B2510)+P2510*SUMIFS(Premissas!$D$5:$D$44,Premissas!$A$5:$A$44,$A2510,Premissas!$B$5:$B$44,$B2510))+R2510*SUMIFS(Premissas!$E$5:$E$44,Premissas!$A$5:$A$44,$A2510,Premissas!$B$5:$B$44,$B2510)+S2510*SUMIFS(Premissas!$F$5:$F$44,Premissas!$A$5:$A$44,$A2510,Premissas!$B$5:$B$44,$B2510)</f>
        <v/>
      </c>
      <c r="L2510" s="29">
        <f>J2510-K2510</f>
        <v/>
      </c>
      <c r="M2510" t="inlineStr">
        <is>
          <t>1.350</t>
        </is>
      </c>
      <c r="N2510" t="inlineStr">
        <is>
          <t>Modalidade: 0 - Por conta do remetente | Parte: TYGER ATACADISTA E DISTRIBUIDORA LTDA (36.978.497/0001-64)</t>
        </is>
      </c>
      <c r="O2510" s="29" t="n">
        <v>0</v>
      </c>
      <c r="P2510" s="29" t="n">
        <v>0</v>
      </c>
      <c r="Q2510" s="29" t="n">
        <v>0</v>
      </c>
      <c r="R2510" s="29" t="n">
        <v>0</v>
      </c>
      <c r="S2510" s="29" t="n">
        <v>0</v>
      </c>
      <c r="T2510" t="inlineStr">
        <is>
          <t>25251226975620000130570010000058951001101223</t>
        </is>
      </c>
      <c r="U2510" t="inlineStr">
        <is>
          <t>Não</t>
        </is>
      </c>
    </row>
    <row r="2511">
      <c r="A2511" t="inlineStr">
        <is>
          <t>Frete de venda</t>
        </is>
      </c>
      <c r="B2511" t="inlineStr">
        <is>
          <t>2.01.02 Frete sobre Vendas</t>
        </is>
      </c>
      <c r="C2511" t="inlineStr">
        <is>
          <t>Antes de 2026</t>
        </is>
      </c>
      <c r="D2511" t="inlineStr">
        <is>
          <t>Antes de 2026</t>
        </is>
      </c>
      <c r="E2511" s="28" t="n">
        <v>45993</v>
      </c>
      <c r="F2511" t="inlineStr">
        <is>
          <t>CT-e</t>
        </is>
      </c>
      <c r="G2511" t="inlineStr">
        <is>
          <t>000005896</t>
        </is>
      </c>
      <c r="H2511" t="inlineStr">
        <is>
          <t>R&amp;R TRANSPORTE E LOGISTICA</t>
        </is>
      </c>
      <c r="J2511" s="29" t="n">
        <v>40.69</v>
      </c>
      <c r="K2511" s="29">
        <f>(1-ISNUMBER(SEARCH("556",M2511)))*(O2511*SUMIFS(Premissas!$C$5:$C$44,Premissas!$A$5:$A$44,$A2511,Premissas!$B$5:$B$44,$B2511)+P2511*SUMIFS(Premissas!$D$5:$D$44,Premissas!$A$5:$A$44,$A2511,Premissas!$B$5:$B$44,$B2511))+R2511*SUMIFS(Premissas!$E$5:$E$44,Premissas!$A$5:$A$44,$A2511,Premissas!$B$5:$B$44,$B2511)+S2511*SUMIFS(Premissas!$F$5:$F$44,Premissas!$A$5:$A$44,$A2511,Premissas!$B$5:$B$44,$B2511)</f>
        <v/>
      </c>
      <c r="L2511" s="29">
        <f>J2511-K2511</f>
        <v/>
      </c>
      <c r="M2511" t="inlineStr">
        <is>
          <t>1.350</t>
        </is>
      </c>
      <c r="N2511" t="inlineStr">
        <is>
          <t>Modalidade: 0 - Por conta do remetente | Parte: COMERCIAL SIMAO LTDA (02.745.979/0001-52)</t>
        </is>
      </c>
      <c r="O2511" s="29" t="n">
        <v>0</v>
      </c>
      <c r="P2511" s="29" t="n">
        <v>0</v>
      </c>
      <c r="Q2511" s="29" t="n">
        <v>0</v>
      </c>
      <c r="R2511" s="29" t="n">
        <v>0</v>
      </c>
      <c r="S2511" s="29" t="n">
        <v>0</v>
      </c>
      <c r="T2511" t="inlineStr">
        <is>
          <t>25251226975620000130570010000058961001901308</t>
        </is>
      </c>
      <c r="U2511" t="inlineStr">
        <is>
          <t>Não</t>
        </is>
      </c>
    </row>
    <row r="2512">
      <c r="A2512" t="inlineStr">
        <is>
          <t>Frete de venda</t>
        </is>
      </c>
      <c r="B2512" t="inlineStr">
        <is>
          <t>2.01.02 Frete sobre Vendas</t>
        </is>
      </c>
      <c r="C2512" t="inlineStr">
        <is>
          <t>Antes de 2026</t>
        </is>
      </c>
      <c r="D2512" t="inlineStr">
        <is>
          <t>Antes de 2026</t>
        </is>
      </c>
      <c r="E2512" s="28" t="n">
        <v>45993</v>
      </c>
      <c r="F2512" t="inlineStr">
        <is>
          <t>CT-e</t>
        </is>
      </c>
      <c r="G2512" t="inlineStr">
        <is>
          <t>000005897</t>
        </is>
      </c>
      <c r="H2512" t="inlineStr">
        <is>
          <t>R&amp;R TRANSPORTE E LOGISTICA</t>
        </is>
      </c>
      <c r="J2512" s="29" t="n">
        <v>21</v>
      </c>
      <c r="K2512" s="29">
        <f>(1-ISNUMBER(SEARCH("556",M2512)))*(O2512*SUMIFS(Premissas!$C$5:$C$44,Premissas!$A$5:$A$44,$A2512,Premissas!$B$5:$B$44,$B2512)+P2512*SUMIFS(Premissas!$D$5:$D$44,Premissas!$A$5:$A$44,$A2512,Premissas!$B$5:$B$44,$B2512))+R2512*SUMIFS(Premissas!$E$5:$E$44,Premissas!$A$5:$A$44,$A2512,Premissas!$B$5:$B$44,$B2512)+S2512*SUMIFS(Premissas!$F$5:$F$44,Premissas!$A$5:$A$44,$A2512,Premissas!$B$5:$B$44,$B2512)</f>
        <v/>
      </c>
      <c r="L2512" s="29">
        <f>J2512-K2512</f>
        <v/>
      </c>
      <c r="M2512" t="inlineStr">
        <is>
          <t>1.350</t>
        </is>
      </c>
      <c r="N2512" t="inlineStr">
        <is>
          <t>Modalidade: 0 - Por conta do remetente | Parte: BSB EMBALAGENS LTDA (42.278.446/0001-22)</t>
        </is>
      </c>
      <c r="O2512" s="29" t="n">
        <v>0</v>
      </c>
      <c r="P2512" s="29" t="n">
        <v>0</v>
      </c>
      <c r="Q2512" s="29" t="n">
        <v>0</v>
      </c>
      <c r="R2512" s="29" t="n">
        <v>0</v>
      </c>
      <c r="S2512" s="29" t="n">
        <v>0</v>
      </c>
      <c r="T2512" t="inlineStr">
        <is>
          <t>25251226975620000130570010000058971001601387</t>
        </is>
      </c>
      <c r="U2512" t="inlineStr">
        <is>
          <t>Não</t>
        </is>
      </c>
    </row>
    <row r="2513">
      <c r="A2513" t="inlineStr">
        <is>
          <t>Frete de venda</t>
        </is>
      </c>
      <c r="B2513" t="inlineStr">
        <is>
          <t>2.01.02 Frete sobre Vendas</t>
        </is>
      </c>
      <c r="C2513" t="inlineStr">
        <is>
          <t>Antes de 2026</t>
        </is>
      </c>
      <c r="D2513" t="inlineStr">
        <is>
          <t>Antes de 2026</t>
        </is>
      </c>
      <c r="E2513" s="28" t="n">
        <v>45993</v>
      </c>
      <c r="F2513" t="inlineStr">
        <is>
          <t>CT-e</t>
        </is>
      </c>
      <c r="G2513" t="inlineStr">
        <is>
          <t>000005898</t>
        </is>
      </c>
      <c r="H2513" t="inlineStr">
        <is>
          <t>R&amp;R TRANSPORTE E LOGISTICA</t>
        </is>
      </c>
      <c r="J2513" s="29" t="n">
        <v>31.21</v>
      </c>
      <c r="K2513" s="29">
        <f>(1-ISNUMBER(SEARCH("556",M2513)))*(O2513*SUMIFS(Premissas!$C$5:$C$44,Premissas!$A$5:$A$44,$A2513,Premissas!$B$5:$B$44,$B2513)+P2513*SUMIFS(Premissas!$D$5:$D$44,Premissas!$A$5:$A$44,$A2513,Premissas!$B$5:$B$44,$B2513))+R2513*SUMIFS(Premissas!$E$5:$E$44,Premissas!$A$5:$A$44,$A2513,Premissas!$B$5:$B$44,$B2513)+S2513*SUMIFS(Premissas!$F$5:$F$44,Premissas!$A$5:$A$44,$A2513,Premissas!$B$5:$B$44,$B2513)</f>
        <v/>
      </c>
      <c r="L2513" s="29">
        <f>J2513-K2513</f>
        <v/>
      </c>
      <c r="M2513" t="inlineStr">
        <is>
          <t>1.350</t>
        </is>
      </c>
      <c r="N2513" t="inlineStr">
        <is>
          <t>Modalidade: 0 - Por conta do remetente | Parte: SAM EMBALAGENS ATACADO E VAREJO LTDA (48.944.969/0001-47)</t>
        </is>
      </c>
      <c r="O2513" s="29" t="n">
        <v>0</v>
      </c>
      <c r="P2513" s="29" t="n">
        <v>0</v>
      </c>
      <c r="Q2513" s="29" t="n">
        <v>0</v>
      </c>
      <c r="R2513" s="29" t="n">
        <v>0</v>
      </c>
      <c r="S2513" s="29" t="n">
        <v>0</v>
      </c>
      <c r="T2513" t="inlineStr">
        <is>
          <t>25251226975620000130570010000058981001301461</t>
        </is>
      </c>
      <c r="U2513" t="inlineStr">
        <is>
          <t>Não</t>
        </is>
      </c>
    </row>
    <row r="2514">
      <c r="A2514" t="inlineStr">
        <is>
          <t>Frete de venda</t>
        </is>
      </c>
      <c r="B2514" t="inlineStr">
        <is>
          <t>2.01.02 Frete sobre Vendas</t>
        </is>
      </c>
      <c r="C2514" t="inlineStr">
        <is>
          <t>Antes de 2026</t>
        </is>
      </c>
      <c r="D2514" t="inlineStr">
        <is>
          <t>Antes de 2026</t>
        </is>
      </c>
      <c r="E2514" s="28" t="n">
        <v>45993</v>
      </c>
      <c r="F2514" t="inlineStr">
        <is>
          <t>CT-e</t>
        </is>
      </c>
      <c r="G2514" t="inlineStr">
        <is>
          <t>000005899</t>
        </is>
      </c>
      <c r="H2514" t="inlineStr">
        <is>
          <t>R&amp;R TRANSPORTE E LOGISTICA</t>
        </is>
      </c>
      <c r="J2514" s="29" t="n">
        <v>91.17</v>
      </c>
      <c r="K2514" s="29">
        <f>(1-ISNUMBER(SEARCH("556",M2514)))*(O2514*SUMIFS(Premissas!$C$5:$C$44,Premissas!$A$5:$A$44,$A2514,Premissas!$B$5:$B$44,$B2514)+P2514*SUMIFS(Premissas!$D$5:$D$44,Premissas!$A$5:$A$44,$A2514,Premissas!$B$5:$B$44,$B2514))+R2514*SUMIFS(Premissas!$E$5:$E$44,Premissas!$A$5:$A$44,$A2514,Premissas!$B$5:$B$44,$B2514)+S2514*SUMIFS(Premissas!$F$5:$F$44,Premissas!$A$5:$A$44,$A2514,Premissas!$B$5:$B$44,$B2514)</f>
        <v/>
      </c>
      <c r="L2514" s="29">
        <f>J2514-K2514</f>
        <v/>
      </c>
      <c r="M2514" t="inlineStr">
        <is>
          <t>1.350</t>
        </is>
      </c>
      <c r="N2514" t="inlineStr">
        <is>
          <t>Modalidade: 0 - Por conta do remetente | Parte: RODRIGUES E CIA LTDA (26.144.570/0001-49)</t>
        </is>
      </c>
      <c r="O2514" s="29" t="n">
        <v>0</v>
      </c>
      <c r="P2514" s="29" t="n">
        <v>0</v>
      </c>
      <c r="Q2514" s="29" t="n">
        <v>0</v>
      </c>
      <c r="R2514" s="29" t="n">
        <v>0</v>
      </c>
      <c r="S2514" s="29" t="n">
        <v>0</v>
      </c>
      <c r="T2514" t="inlineStr">
        <is>
          <t>25251226975620000130570010000058991000101547</t>
        </is>
      </c>
      <c r="U2514" t="inlineStr">
        <is>
          <t>Não</t>
        </is>
      </c>
    </row>
    <row r="2515">
      <c r="A2515" t="inlineStr">
        <is>
          <t>Frete de venda</t>
        </is>
      </c>
      <c r="B2515" t="inlineStr">
        <is>
          <t>2.01.02 Frete sobre Vendas</t>
        </is>
      </c>
      <c r="C2515" t="inlineStr">
        <is>
          <t>Antes de 2026</t>
        </is>
      </c>
      <c r="D2515" t="inlineStr">
        <is>
          <t>Antes de 2026</t>
        </is>
      </c>
      <c r="E2515" s="28" t="n">
        <v>45993</v>
      </c>
      <c r="F2515" t="inlineStr">
        <is>
          <t>CT-e</t>
        </is>
      </c>
      <c r="G2515" t="inlineStr">
        <is>
          <t>000005900</t>
        </is>
      </c>
      <c r="H2515" t="inlineStr">
        <is>
          <t>R&amp;R TRANSPORTE E LOGISTICA</t>
        </is>
      </c>
      <c r="J2515" s="29" t="n">
        <v>51.13</v>
      </c>
      <c r="K2515" s="29">
        <f>(1-ISNUMBER(SEARCH("556",M2515)))*(O2515*SUMIFS(Premissas!$C$5:$C$44,Premissas!$A$5:$A$44,$A2515,Premissas!$B$5:$B$44,$B2515)+P2515*SUMIFS(Premissas!$D$5:$D$44,Premissas!$A$5:$A$44,$A2515,Premissas!$B$5:$B$44,$B2515))+R2515*SUMIFS(Premissas!$E$5:$E$44,Premissas!$A$5:$A$44,$A2515,Premissas!$B$5:$B$44,$B2515)+S2515*SUMIFS(Premissas!$F$5:$F$44,Premissas!$A$5:$A$44,$A2515,Premissas!$B$5:$B$44,$B2515)</f>
        <v/>
      </c>
      <c r="L2515" s="29">
        <f>J2515-K2515</f>
        <v/>
      </c>
      <c r="M2515" t="inlineStr">
        <is>
          <t>1.350</t>
        </is>
      </c>
      <c r="N2515" t="inlineStr">
        <is>
          <t>Modalidade: 0 - Por conta do remetente | Parte: RM FRIOS (39.405.968/0001-33)</t>
        </is>
      </c>
      <c r="O2515" s="29" t="n">
        <v>0</v>
      </c>
      <c r="P2515" s="29" t="n">
        <v>0</v>
      </c>
      <c r="Q2515" s="29" t="n">
        <v>0</v>
      </c>
      <c r="R2515" s="29" t="n">
        <v>0</v>
      </c>
      <c r="S2515" s="29" t="n">
        <v>0</v>
      </c>
      <c r="T2515" t="inlineStr">
        <is>
          <t>25251226975620000130570010000059001001801626</t>
        </is>
      </c>
      <c r="U2515" t="inlineStr">
        <is>
          <t>Não</t>
        </is>
      </c>
    </row>
    <row r="2516">
      <c r="A2516" t="inlineStr">
        <is>
          <t>Frete de venda</t>
        </is>
      </c>
      <c r="B2516" t="inlineStr">
        <is>
          <t>2.01.02 Frete sobre Vendas</t>
        </is>
      </c>
      <c r="C2516" t="inlineStr">
        <is>
          <t>Antes de 2026</t>
        </is>
      </c>
      <c r="D2516" t="inlineStr">
        <is>
          <t>Antes de 2026</t>
        </is>
      </c>
      <c r="E2516" s="28" t="n">
        <v>45993</v>
      </c>
      <c r="F2516" t="inlineStr">
        <is>
          <t>CT-e</t>
        </is>
      </c>
      <c r="G2516" t="inlineStr">
        <is>
          <t>000005901</t>
        </is>
      </c>
      <c r="H2516" t="inlineStr">
        <is>
          <t>R&amp;R TRANSPORTE E LOGISTICA</t>
        </is>
      </c>
      <c r="J2516" s="29" t="n">
        <v>17.13</v>
      </c>
      <c r="K2516" s="29">
        <f>(1-ISNUMBER(SEARCH("556",M2516)))*(O2516*SUMIFS(Premissas!$C$5:$C$44,Premissas!$A$5:$A$44,$A2516,Premissas!$B$5:$B$44,$B2516)+P2516*SUMIFS(Premissas!$D$5:$D$44,Premissas!$A$5:$A$44,$A2516,Premissas!$B$5:$B$44,$B2516))+R2516*SUMIFS(Premissas!$E$5:$E$44,Premissas!$A$5:$A$44,$A2516,Premissas!$B$5:$B$44,$B2516)+S2516*SUMIFS(Premissas!$F$5:$F$44,Premissas!$A$5:$A$44,$A2516,Premissas!$B$5:$B$44,$B2516)</f>
        <v/>
      </c>
      <c r="L2516" s="29">
        <f>J2516-K2516</f>
        <v/>
      </c>
      <c r="M2516" t="inlineStr">
        <is>
          <t>1.350</t>
        </is>
      </c>
      <c r="N2516" t="inlineStr">
        <is>
          <t>Modalidade: 0 - Por conta do remetente | Parte: JAB IMPORTACAO E EXPORTACAO LTDA (21.938.705/0002-05)</t>
        </is>
      </c>
      <c r="O2516" s="29" t="n">
        <v>0</v>
      </c>
      <c r="P2516" s="29" t="n">
        <v>0</v>
      </c>
      <c r="Q2516" s="29" t="n">
        <v>0</v>
      </c>
      <c r="R2516" s="29" t="n">
        <v>0</v>
      </c>
      <c r="S2516" s="29" t="n">
        <v>0</v>
      </c>
      <c r="T2516" t="inlineStr">
        <is>
          <t>25251226975620000130570010000059011001501700</t>
        </is>
      </c>
      <c r="U2516" t="inlineStr">
        <is>
          <t>Não</t>
        </is>
      </c>
    </row>
    <row r="2517">
      <c r="A2517" t="inlineStr">
        <is>
          <t>Frete de venda</t>
        </is>
      </c>
      <c r="B2517" t="inlineStr">
        <is>
          <t>2.01.02 Frete sobre Vendas</t>
        </is>
      </c>
      <c r="C2517" t="inlineStr">
        <is>
          <t>Antes de 2026</t>
        </is>
      </c>
      <c r="D2517" t="inlineStr">
        <is>
          <t>Antes de 2026</t>
        </is>
      </c>
      <c r="E2517" s="28" t="n">
        <v>45993</v>
      </c>
      <c r="F2517" t="inlineStr">
        <is>
          <t>CT-e</t>
        </is>
      </c>
      <c r="G2517" t="inlineStr">
        <is>
          <t>000005902</t>
        </is>
      </c>
      <c r="H2517" t="inlineStr">
        <is>
          <t>R&amp;R TRANSPORTE E LOGISTICA</t>
        </is>
      </c>
      <c r="J2517" s="29" t="n">
        <v>35.24</v>
      </c>
      <c r="K2517" s="29">
        <f>(1-ISNUMBER(SEARCH("556",M2517)))*(O2517*SUMIFS(Premissas!$C$5:$C$44,Premissas!$A$5:$A$44,$A2517,Premissas!$B$5:$B$44,$B2517)+P2517*SUMIFS(Premissas!$D$5:$D$44,Premissas!$A$5:$A$44,$A2517,Premissas!$B$5:$B$44,$B2517))+R2517*SUMIFS(Premissas!$E$5:$E$44,Premissas!$A$5:$A$44,$A2517,Premissas!$B$5:$B$44,$B2517)+S2517*SUMIFS(Premissas!$F$5:$F$44,Premissas!$A$5:$A$44,$A2517,Premissas!$B$5:$B$44,$B2517)</f>
        <v/>
      </c>
      <c r="L2517" s="29">
        <f>J2517-K2517</f>
        <v/>
      </c>
      <c r="M2517" t="inlineStr">
        <is>
          <t>1.350</t>
        </is>
      </c>
      <c r="N2517" t="inlineStr">
        <is>
          <t>Modalidade: 0 - Por conta do remetente | Parte: LUCINEIDE SA DE MENEZES GUIMARAES (01.791.289/0001-77)</t>
        </is>
      </c>
      <c r="O2517" s="29" t="n">
        <v>0</v>
      </c>
      <c r="P2517" s="29" t="n">
        <v>0</v>
      </c>
      <c r="Q2517" s="29" t="n">
        <v>0</v>
      </c>
      <c r="R2517" s="29" t="n">
        <v>0</v>
      </c>
      <c r="S2517" s="29" t="n">
        <v>0</v>
      </c>
      <c r="T2517" t="inlineStr">
        <is>
          <t>25251226975620000130570010000059021001201780</t>
        </is>
      </c>
      <c r="U2517" t="inlineStr">
        <is>
          <t>Não</t>
        </is>
      </c>
    </row>
    <row r="2518">
      <c r="A2518" t="inlineStr">
        <is>
          <t>Frete de venda</t>
        </is>
      </c>
      <c r="B2518" t="inlineStr">
        <is>
          <t>2.01.02 Frete sobre Vendas</t>
        </is>
      </c>
      <c r="C2518" t="inlineStr">
        <is>
          <t>Antes de 2026</t>
        </is>
      </c>
      <c r="D2518" t="inlineStr">
        <is>
          <t>Antes de 2026</t>
        </is>
      </c>
      <c r="E2518" s="28" t="n">
        <v>45993</v>
      </c>
      <c r="F2518" t="inlineStr">
        <is>
          <t>CT-e</t>
        </is>
      </c>
      <c r="G2518" t="inlineStr">
        <is>
          <t>000005903</t>
        </is>
      </c>
      <c r="H2518" t="inlineStr">
        <is>
          <t>R&amp;R TRANSPORTE E LOGISTICA</t>
        </is>
      </c>
      <c r="J2518" s="29" t="n">
        <v>95.37</v>
      </c>
      <c r="K2518" s="29">
        <f>(1-ISNUMBER(SEARCH("556",M2518)))*(O2518*SUMIFS(Premissas!$C$5:$C$44,Premissas!$A$5:$A$44,$A2518,Premissas!$B$5:$B$44,$B2518)+P2518*SUMIFS(Premissas!$D$5:$D$44,Premissas!$A$5:$A$44,$A2518,Premissas!$B$5:$B$44,$B2518))+R2518*SUMIFS(Premissas!$E$5:$E$44,Premissas!$A$5:$A$44,$A2518,Premissas!$B$5:$B$44,$B2518)+S2518*SUMIFS(Premissas!$F$5:$F$44,Premissas!$A$5:$A$44,$A2518,Premissas!$B$5:$B$44,$B2518)</f>
        <v/>
      </c>
      <c r="L2518" s="29">
        <f>J2518-K2518</f>
        <v/>
      </c>
      <c r="M2518" t="inlineStr">
        <is>
          <t>1.350</t>
        </is>
      </c>
      <c r="N2518" t="inlineStr">
        <is>
          <t>Modalidade: 0 - Por conta do remetente | Parte: H B COMERCIO DE EMBALAGENS LTDA (05.488.166/0002-01)</t>
        </is>
      </c>
      <c r="O2518" s="29" t="n">
        <v>0</v>
      </c>
      <c r="P2518" s="29" t="n">
        <v>0</v>
      </c>
      <c r="Q2518" s="29" t="n">
        <v>0</v>
      </c>
      <c r="R2518" s="29" t="n">
        <v>0</v>
      </c>
      <c r="S2518" s="29" t="n">
        <v>0</v>
      </c>
      <c r="T2518" t="inlineStr">
        <is>
          <t>25251226975620000130570010000059031000101215</t>
        </is>
      </c>
      <c r="U2518" t="inlineStr">
        <is>
          <t>Não</t>
        </is>
      </c>
    </row>
    <row r="2519">
      <c r="A2519" t="inlineStr">
        <is>
          <t>Frete de venda</t>
        </is>
      </c>
      <c r="B2519" t="inlineStr">
        <is>
          <t>2.01.02 Frete sobre Vendas</t>
        </is>
      </c>
      <c r="C2519" t="inlineStr">
        <is>
          <t>Antes de 2026</t>
        </is>
      </c>
      <c r="D2519" t="inlineStr">
        <is>
          <t>Antes de 2026</t>
        </is>
      </c>
      <c r="E2519" s="28" t="n">
        <v>45993</v>
      </c>
      <c r="F2519" t="inlineStr">
        <is>
          <t>CT-e</t>
        </is>
      </c>
      <c r="G2519" t="inlineStr">
        <is>
          <t>000005904</t>
        </is>
      </c>
      <c r="H2519" t="inlineStr">
        <is>
          <t>R&amp;R TRANSPORTE E LOGISTICA</t>
        </is>
      </c>
      <c r="J2519" s="29" t="n">
        <v>95.37</v>
      </c>
      <c r="K2519" s="29">
        <f>(1-ISNUMBER(SEARCH("556",M2519)))*(O2519*SUMIFS(Premissas!$C$5:$C$44,Premissas!$A$5:$A$44,$A2519,Premissas!$B$5:$B$44,$B2519)+P2519*SUMIFS(Premissas!$D$5:$D$44,Premissas!$A$5:$A$44,$A2519,Premissas!$B$5:$B$44,$B2519))+R2519*SUMIFS(Premissas!$E$5:$E$44,Premissas!$A$5:$A$44,$A2519,Premissas!$B$5:$B$44,$B2519)+S2519*SUMIFS(Premissas!$F$5:$F$44,Premissas!$A$5:$A$44,$A2519,Premissas!$B$5:$B$44,$B2519)</f>
        <v/>
      </c>
      <c r="L2519" s="29">
        <f>J2519-K2519</f>
        <v/>
      </c>
      <c r="M2519" t="inlineStr">
        <is>
          <t>1.350</t>
        </is>
      </c>
      <c r="N2519" t="inlineStr">
        <is>
          <t>Modalidade: 0 - Por conta do remetente | Parte: BRAGA e BARCELOS LTDA (11.109.167/0003-73)</t>
        </is>
      </c>
      <c r="O2519" s="29" t="n">
        <v>0</v>
      </c>
      <c r="P2519" s="29" t="n">
        <v>0</v>
      </c>
      <c r="Q2519" s="29" t="n">
        <v>0</v>
      </c>
      <c r="R2519" s="29" t="n">
        <v>0</v>
      </c>
      <c r="S2519" s="29" t="n">
        <v>0</v>
      </c>
      <c r="T2519" t="inlineStr">
        <is>
          <t>25251226975620000130570010000059041001801293</t>
        </is>
      </c>
      <c r="U2519" t="inlineStr">
        <is>
          <t>Não</t>
        </is>
      </c>
    </row>
    <row r="2520">
      <c r="A2520" t="inlineStr">
        <is>
          <t>Frete de venda</t>
        </is>
      </c>
      <c r="B2520" t="inlineStr">
        <is>
          <t>2.01.02 Frete sobre Vendas</t>
        </is>
      </c>
      <c r="C2520" t="inlineStr">
        <is>
          <t>Antes de 2026</t>
        </is>
      </c>
      <c r="D2520" t="inlineStr">
        <is>
          <t>Antes de 2026</t>
        </is>
      </c>
      <c r="E2520" s="28" t="n">
        <v>45994</v>
      </c>
      <c r="F2520" t="inlineStr">
        <is>
          <t>CT-e</t>
        </is>
      </c>
      <c r="G2520" t="inlineStr">
        <is>
          <t>000005907</t>
        </is>
      </c>
      <c r="H2520" t="inlineStr">
        <is>
          <t>R&amp;R TRANSPORTE E LOGISTICA</t>
        </is>
      </c>
      <c r="J2520" s="29" t="n">
        <v>49.14</v>
      </c>
      <c r="K2520" s="29">
        <f>(1-ISNUMBER(SEARCH("556",M2520)))*(O2520*SUMIFS(Premissas!$C$5:$C$44,Premissas!$A$5:$A$44,$A2520,Premissas!$B$5:$B$44,$B2520)+P2520*SUMIFS(Premissas!$D$5:$D$44,Premissas!$A$5:$A$44,$A2520,Premissas!$B$5:$B$44,$B2520))+R2520*SUMIFS(Premissas!$E$5:$E$44,Premissas!$A$5:$A$44,$A2520,Premissas!$B$5:$B$44,$B2520)+S2520*SUMIFS(Premissas!$F$5:$F$44,Premissas!$A$5:$A$44,$A2520,Premissas!$B$5:$B$44,$B2520)</f>
        <v/>
      </c>
      <c r="L2520" s="29">
        <f>J2520-K2520</f>
        <v/>
      </c>
      <c r="M2520" t="inlineStr">
        <is>
          <t>1.350</t>
        </is>
      </c>
      <c r="N2520" t="inlineStr">
        <is>
          <t>Modalidade: 0 - Por conta do remetente | Parte: TAISACA EMBALAGEM LTDA (08.710.940/0002-67)</t>
        </is>
      </c>
      <c r="O2520" s="29" t="n">
        <v>0</v>
      </c>
      <c r="P2520" s="29" t="n">
        <v>0</v>
      </c>
      <c r="Q2520" s="29" t="n">
        <v>0</v>
      </c>
      <c r="R2520" s="29" t="n">
        <v>0</v>
      </c>
      <c r="S2520" s="29" t="n">
        <v>0</v>
      </c>
      <c r="T2520" t="inlineStr">
        <is>
          <t>25251226975620000130570010000059071001701614</t>
        </is>
      </c>
      <c r="U2520" t="inlineStr">
        <is>
          <t>Não</t>
        </is>
      </c>
    </row>
    <row r="2521">
      <c r="A2521" t="inlineStr">
        <is>
          <t>Frete de venda</t>
        </is>
      </c>
      <c r="B2521" t="inlineStr">
        <is>
          <t>2.01.02 Frete sobre Vendas</t>
        </is>
      </c>
      <c r="C2521" t="inlineStr">
        <is>
          <t>Antes de 2026</t>
        </is>
      </c>
      <c r="D2521" t="inlineStr">
        <is>
          <t>Antes de 2026</t>
        </is>
      </c>
      <c r="E2521" s="28" t="n">
        <v>45994</v>
      </c>
      <c r="F2521" t="inlineStr">
        <is>
          <t>CT-e</t>
        </is>
      </c>
      <c r="G2521" t="inlineStr">
        <is>
          <t>000005908</t>
        </is>
      </c>
      <c r="H2521" t="inlineStr">
        <is>
          <t>R&amp;R TRANSPORTE E LOGISTICA</t>
        </is>
      </c>
      <c r="J2521" s="29" t="n">
        <v>82.41</v>
      </c>
      <c r="K2521" s="29">
        <f>(1-ISNUMBER(SEARCH("556",M2521)))*(O2521*SUMIFS(Premissas!$C$5:$C$44,Premissas!$A$5:$A$44,$A2521,Premissas!$B$5:$B$44,$B2521)+P2521*SUMIFS(Premissas!$D$5:$D$44,Premissas!$A$5:$A$44,$A2521,Premissas!$B$5:$B$44,$B2521))+R2521*SUMIFS(Premissas!$E$5:$E$44,Premissas!$A$5:$A$44,$A2521,Premissas!$B$5:$B$44,$B2521)+S2521*SUMIFS(Premissas!$F$5:$F$44,Premissas!$A$5:$A$44,$A2521,Premissas!$B$5:$B$44,$B2521)</f>
        <v/>
      </c>
      <c r="L2521" s="29">
        <f>J2521-K2521</f>
        <v/>
      </c>
      <c r="M2521" t="inlineStr">
        <is>
          <t>1.350</t>
        </is>
      </c>
      <c r="N2521" t="inlineStr">
        <is>
          <t>Modalidade: 0 - Por conta do remetente | Parte: DAGER COMERCIO ATACADISTA DE EMBALAGENS E ALIMENTOS LTDA (32.804.472/0001-93)</t>
        </is>
      </c>
      <c r="O2521" s="29" t="n">
        <v>0</v>
      </c>
      <c r="P2521" s="29" t="n">
        <v>0</v>
      </c>
      <c r="Q2521" s="29" t="n">
        <v>0</v>
      </c>
      <c r="R2521" s="29" t="n">
        <v>0</v>
      </c>
      <c r="S2521" s="29" t="n">
        <v>0</v>
      </c>
      <c r="T2521" t="inlineStr">
        <is>
          <t>25251226975620000130570010000059081001401693</t>
        </is>
      </c>
      <c r="U2521" t="inlineStr">
        <is>
          <t>Não</t>
        </is>
      </c>
    </row>
    <row r="2522">
      <c r="A2522" t="inlineStr">
        <is>
          <t>Frete de venda</t>
        </is>
      </c>
      <c r="B2522" t="inlineStr">
        <is>
          <t>2.01.02 Frete sobre Vendas</t>
        </is>
      </c>
      <c r="C2522" t="inlineStr">
        <is>
          <t>Antes de 2026</t>
        </is>
      </c>
      <c r="D2522" t="inlineStr">
        <is>
          <t>Antes de 2026</t>
        </is>
      </c>
      <c r="E2522" s="28" t="n">
        <v>45994</v>
      </c>
      <c r="F2522" t="inlineStr">
        <is>
          <t>CT-e</t>
        </is>
      </c>
      <c r="G2522" t="inlineStr">
        <is>
          <t>000005909</t>
        </is>
      </c>
      <c r="H2522" t="inlineStr">
        <is>
          <t>R&amp;R TRANSPORTE E LOGISTICA</t>
        </is>
      </c>
      <c r="J2522" s="29" t="n">
        <v>70.62</v>
      </c>
      <c r="K2522" s="29">
        <f>(1-ISNUMBER(SEARCH("556",M2522)))*(O2522*SUMIFS(Premissas!$C$5:$C$44,Premissas!$A$5:$A$44,$A2522,Premissas!$B$5:$B$44,$B2522)+P2522*SUMIFS(Premissas!$D$5:$D$44,Premissas!$A$5:$A$44,$A2522,Premissas!$B$5:$B$44,$B2522))+R2522*SUMIFS(Premissas!$E$5:$E$44,Premissas!$A$5:$A$44,$A2522,Premissas!$B$5:$B$44,$B2522)+S2522*SUMIFS(Premissas!$F$5:$F$44,Premissas!$A$5:$A$44,$A2522,Premissas!$B$5:$B$44,$B2522)</f>
        <v/>
      </c>
      <c r="L2522" s="29">
        <f>J2522-K2522</f>
        <v/>
      </c>
      <c r="M2522" t="inlineStr">
        <is>
          <t>1.350</t>
        </is>
      </c>
      <c r="N2522" t="inlineStr">
        <is>
          <t>Modalidade: 0 - Por conta do remetente | Parte: PRODESC BENFICA EMBALAGENS LTDA (06.058.769/0001-47)</t>
        </is>
      </c>
      <c r="O2522" s="29" t="n">
        <v>0</v>
      </c>
      <c r="P2522" s="29" t="n">
        <v>0</v>
      </c>
      <c r="Q2522" s="29" t="n">
        <v>0</v>
      </c>
      <c r="R2522" s="29" t="n">
        <v>0</v>
      </c>
      <c r="S2522" s="29" t="n">
        <v>0</v>
      </c>
      <c r="T2522" t="inlineStr">
        <is>
          <t>25251226975620000130570010000059091001101778</t>
        </is>
      </c>
      <c r="U2522" t="inlineStr">
        <is>
          <t>Não</t>
        </is>
      </c>
    </row>
    <row r="2523">
      <c r="A2523" t="inlineStr">
        <is>
          <t>Frete de venda</t>
        </is>
      </c>
      <c r="B2523" t="inlineStr">
        <is>
          <t>2.01.02 Frete sobre Vendas</t>
        </is>
      </c>
      <c r="C2523" t="inlineStr">
        <is>
          <t>Antes de 2026</t>
        </is>
      </c>
      <c r="D2523" t="inlineStr">
        <is>
          <t>Antes de 2026</t>
        </is>
      </c>
      <c r="E2523" s="28" t="n">
        <v>45994</v>
      </c>
      <c r="F2523" t="inlineStr">
        <is>
          <t>CT-e</t>
        </is>
      </c>
      <c r="G2523" t="inlineStr">
        <is>
          <t>000005910</t>
        </is>
      </c>
      <c r="H2523" t="inlineStr">
        <is>
          <t>R&amp;R TRANSPORTE E LOGISTICA</t>
        </is>
      </c>
      <c r="J2523" s="29" t="n">
        <v>51.89</v>
      </c>
      <c r="K2523" s="29">
        <f>(1-ISNUMBER(SEARCH("556",M2523)))*(O2523*SUMIFS(Premissas!$C$5:$C$44,Premissas!$A$5:$A$44,$A2523,Premissas!$B$5:$B$44,$B2523)+P2523*SUMIFS(Premissas!$D$5:$D$44,Premissas!$A$5:$A$44,$A2523,Premissas!$B$5:$B$44,$B2523))+R2523*SUMIFS(Premissas!$E$5:$E$44,Premissas!$A$5:$A$44,$A2523,Premissas!$B$5:$B$44,$B2523)+S2523*SUMIFS(Premissas!$F$5:$F$44,Premissas!$A$5:$A$44,$A2523,Premissas!$B$5:$B$44,$B2523)</f>
        <v/>
      </c>
      <c r="L2523" s="29">
        <f>J2523-K2523</f>
        <v/>
      </c>
      <c r="M2523" t="inlineStr">
        <is>
          <t>1.350</t>
        </is>
      </c>
      <c r="N2523" t="inlineStr">
        <is>
          <t>Modalidade: 0 - Por conta do remetente | Parte: AMERICA ATACADISTA ALIMENTOS E EMBALAGENS LTDA (51.238.409/0001-81)</t>
        </is>
      </c>
      <c r="O2523" s="29" t="n">
        <v>0</v>
      </c>
      <c r="P2523" s="29" t="n">
        <v>0</v>
      </c>
      <c r="Q2523" s="29" t="n">
        <v>0</v>
      </c>
      <c r="R2523" s="29" t="n">
        <v>0</v>
      </c>
      <c r="S2523" s="29" t="n">
        <v>0</v>
      </c>
      <c r="T2523" t="inlineStr">
        <is>
          <t>25251226975620000130570010000059101001901856</t>
        </is>
      </c>
      <c r="U2523" t="inlineStr">
        <is>
          <t>Não</t>
        </is>
      </c>
    </row>
    <row r="2524">
      <c r="A2524" t="inlineStr">
        <is>
          <t>Frete de venda</t>
        </is>
      </c>
      <c r="B2524" t="inlineStr">
        <is>
          <t>2.01.02 Frete sobre Vendas</t>
        </is>
      </c>
      <c r="C2524" t="inlineStr">
        <is>
          <t>Antes de 2026</t>
        </is>
      </c>
      <c r="D2524" t="inlineStr">
        <is>
          <t>Antes de 2026</t>
        </is>
      </c>
      <c r="E2524" s="28" t="n">
        <v>45995</v>
      </c>
      <c r="F2524" t="inlineStr">
        <is>
          <t>CT-e</t>
        </is>
      </c>
      <c r="G2524" t="inlineStr">
        <is>
          <t>000005914</t>
        </is>
      </c>
      <c r="H2524" t="inlineStr">
        <is>
          <t>R&amp;R TRANSPORTE E LOGISTICA</t>
        </is>
      </c>
      <c r="J2524" s="29" t="n">
        <v>616.6799999999999</v>
      </c>
      <c r="K2524" s="29">
        <f>(1-ISNUMBER(SEARCH("556",M2524)))*(O2524*SUMIFS(Premissas!$C$5:$C$44,Premissas!$A$5:$A$44,$A2524,Premissas!$B$5:$B$44,$B2524)+P2524*SUMIFS(Premissas!$D$5:$D$44,Premissas!$A$5:$A$44,$A2524,Premissas!$B$5:$B$44,$B2524))+R2524*SUMIFS(Premissas!$E$5:$E$44,Premissas!$A$5:$A$44,$A2524,Premissas!$B$5:$B$44,$B2524)+S2524*SUMIFS(Premissas!$F$5:$F$44,Premissas!$A$5:$A$44,$A2524,Premissas!$B$5:$B$44,$B2524)</f>
        <v/>
      </c>
      <c r="L2524" s="29">
        <f>J2524-K2524</f>
        <v/>
      </c>
      <c r="M2524" t="inlineStr">
        <is>
          <t>1.350</t>
        </is>
      </c>
      <c r="N2524" t="inlineStr">
        <is>
          <t>Modalidade: 0 - Por conta do remetente | Parte: DISTRIPACK DISTRIBUIDORA DE EMBALAGENS LTDA (11.043.375/0002-36)</t>
        </is>
      </c>
      <c r="O2524" s="29" t="n">
        <v>0</v>
      </c>
      <c r="P2524" s="29" t="n">
        <v>0</v>
      </c>
      <c r="Q2524" s="29" t="n">
        <v>0</v>
      </c>
      <c r="R2524" s="29" t="n">
        <v>0</v>
      </c>
      <c r="S2524" s="29" t="n">
        <v>0</v>
      </c>
      <c r="T2524" t="inlineStr">
        <is>
          <t>25251226975620000130570010000059141000170849</t>
        </is>
      </c>
      <c r="U2524" t="inlineStr">
        <is>
          <t>Não</t>
        </is>
      </c>
    </row>
    <row r="2525">
      <c r="A2525" t="inlineStr">
        <is>
          <t>Frete de venda</t>
        </is>
      </c>
      <c r="B2525" t="inlineStr">
        <is>
          <t>2.01.02 Frete sobre Vendas</t>
        </is>
      </c>
      <c r="C2525" t="inlineStr">
        <is>
          <t>Antes de 2026</t>
        </is>
      </c>
      <c r="D2525" t="inlineStr">
        <is>
          <t>Antes de 2026</t>
        </is>
      </c>
      <c r="E2525" s="28" t="n">
        <v>45995</v>
      </c>
      <c r="F2525" t="inlineStr">
        <is>
          <t>CT-e</t>
        </is>
      </c>
      <c r="G2525" t="inlineStr">
        <is>
          <t>000005915</t>
        </is>
      </c>
      <c r="H2525" t="inlineStr">
        <is>
          <t>R&amp;R TRANSPORTE E LOGISTICA</t>
        </is>
      </c>
      <c r="J2525" s="29" t="n">
        <v>188.97</v>
      </c>
      <c r="K2525" s="29">
        <f>(1-ISNUMBER(SEARCH("556",M2525)))*(O2525*SUMIFS(Premissas!$C$5:$C$44,Premissas!$A$5:$A$44,$A2525,Premissas!$B$5:$B$44,$B2525)+P2525*SUMIFS(Premissas!$D$5:$D$44,Premissas!$A$5:$A$44,$A2525,Premissas!$B$5:$B$44,$B2525))+R2525*SUMIFS(Premissas!$E$5:$E$44,Premissas!$A$5:$A$44,$A2525,Premissas!$B$5:$B$44,$B2525)+S2525*SUMIFS(Premissas!$F$5:$F$44,Premissas!$A$5:$A$44,$A2525,Premissas!$B$5:$B$44,$B2525)</f>
        <v/>
      </c>
      <c r="L2525" s="29">
        <f>J2525-K2525</f>
        <v/>
      </c>
      <c r="M2525" t="inlineStr">
        <is>
          <t>1.350</t>
        </is>
      </c>
      <c r="N2525" t="inlineStr">
        <is>
          <t>Modalidade: 0 - Por conta do remetente | Parte: COMERCIAL DISKPAN LTDA (02.691.482/0001-07)</t>
        </is>
      </c>
      <c r="O2525" s="29" t="n">
        <v>0</v>
      </c>
      <c r="P2525" s="29" t="n">
        <v>0</v>
      </c>
      <c r="Q2525" s="29" t="n">
        <v>0</v>
      </c>
      <c r="R2525" s="29" t="n">
        <v>0</v>
      </c>
      <c r="S2525" s="29" t="n">
        <v>0</v>
      </c>
      <c r="T2525" t="inlineStr">
        <is>
          <t>25251226975620000130570010000059151000130364</t>
        </is>
      </c>
      <c r="U2525" t="inlineStr">
        <is>
          <t>Não</t>
        </is>
      </c>
    </row>
    <row r="2526">
      <c r="A2526" t="inlineStr">
        <is>
          <t>Frete de venda</t>
        </is>
      </c>
      <c r="B2526" t="inlineStr">
        <is>
          <t>2.01.02 Frete sobre Vendas</t>
        </is>
      </c>
      <c r="C2526" t="inlineStr">
        <is>
          <t>Antes de 2026</t>
        </is>
      </c>
      <c r="D2526" t="inlineStr">
        <is>
          <t>Antes de 2026</t>
        </is>
      </c>
      <c r="E2526" s="28" t="n">
        <v>45995</v>
      </c>
      <c r="F2526" t="inlineStr">
        <is>
          <t>CT-e</t>
        </is>
      </c>
      <c r="G2526" t="inlineStr">
        <is>
          <t>000005916</t>
        </is>
      </c>
      <c r="H2526" t="inlineStr">
        <is>
          <t>R&amp;R TRANSPORTE E LOGISTICA</t>
        </is>
      </c>
      <c r="J2526" s="29" t="n">
        <v>190.67</v>
      </c>
      <c r="K2526" s="29">
        <f>(1-ISNUMBER(SEARCH("556",M2526)))*(O2526*SUMIFS(Premissas!$C$5:$C$44,Premissas!$A$5:$A$44,$A2526,Premissas!$B$5:$B$44,$B2526)+P2526*SUMIFS(Premissas!$D$5:$D$44,Premissas!$A$5:$A$44,$A2526,Premissas!$B$5:$B$44,$B2526))+R2526*SUMIFS(Premissas!$E$5:$E$44,Premissas!$A$5:$A$44,$A2526,Premissas!$B$5:$B$44,$B2526)+S2526*SUMIFS(Premissas!$F$5:$F$44,Premissas!$A$5:$A$44,$A2526,Premissas!$B$5:$B$44,$B2526)</f>
        <v/>
      </c>
      <c r="L2526" s="29">
        <f>J2526-K2526</f>
        <v/>
      </c>
      <c r="M2526" t="inlineStr">
        <is>
          <t>1.350</t>
        </is>
      </c>
      <c r="N2526" t="inlineStr">
        <is>
          <t>Modalidade: 0 - Por conta do remetente | Parte: COMERCIAL W.J.S LTDA (04.851.906/0001-70)</t>
        </is>
      </c>
      <c r="O2526" s="29" t="n">
        <v>0</v>
      </c>
      <c r="P2526" s="29" t="n">
        <v>0</v>
      </c>
      <c r="Q2526" s="29" t="n">
        <v>0</v>
      </c>
      <c r="R2526" s="29" t="n">
        <v>0</v>
      </c>
      <c r="S2526" s="29" t="n">
        <v>0</v>
      </c>
      <c r="T2526" t="inlineStr">
        <is>
          <t>25251226975620000130570010000059161000010447</t>
        </is>
      </c>
      <c r="U2526" t="inlineStr">
        <is>
          <t>Não</t>
        </is>
      </c>
    </row>
    <row r="2527">
      <c r="A2527" t="inlineStr">
        <is>
          <t>Frete de venda</t>
        </is>
      </c>
      <c r="B2527" t="inlineStr">
        <is>
          <t>2.01.02 Frete sobre Vendas</t>
        </is>
      </c>
      <c r="C2527" t="inlineStr">
        <is>
          <t>Antes de 2026</t>
        </is>
      </c>
      <c r="D2527" t="inlineStr">
        <is>
          <t>Antes de 2026</t>
        </is>
      </c>
      <c r="E2527" s="28" t="n">
        <v>45996</v>
      </c>
      <c r="F2527" t="inlineStr">
        <is>
          <t>CT-e</t>
        </is>
      </c>
      <c r="G2527" t="inlineStr">
        <is>
          <t>000005923</t>
        </is>
      </c>
      <c r="H2527" t="inlineStr">
        <is>
          <t>R&amp;R TRANSPORTE E LOGISTICA</t>
        </is>
      </c>
      <c r="J2527" s="29" t="n">
        <v>1600</v>
      </c>
      <c r="K2527" s="29">
        <f>(1-ISNUMBER(SEARCH("556",M2527)))*(O2527*SUMIFS(Premissas!$C$5:$C$44,Premissas!$A$5:$A$44,$A2527,Premissas!$B$5:$B$44,$B2527)+P2527*SUMIFS(Premissas!$D$5:$D$44,Premissas!$A$5:$A$44,$A2527,Premissas!$B$5:$B$44,$B2527))+R2527*SUMIFS(Premissas!$E$5:$E$44,Premissas!$A$5:$A$44,$A2527,Premissas!$B$5:$B$44,$B2527)+S2527*SUMIFS(Premissas!$F$5:$F$44,Premissas!$A$5:$A$44,$A2527,Premissas!$B$5:$B$44,$B2527)</f>
        <v/>
      </c>
      <c r="L2527" s="29">
        <f>J2527-K2527</f>
        <v/>
      </c>
      <c r="M2527" t="inlineStr">
        <is>
          <t>1.350</t>
        </is>
      </c>
      <c r="N2527" t="inlineStr">
        <is>
          <t>Transportadora de frete de venda, mas pela modalidade do frete a Vinco recebeu a carga | Modalidade: 1 - Por conta do destinatário | Parte: COLAMID (04.781.666/0001-85)</t>
        </is>
      </c>
      <c r="O2527" s="29" t="n">
        <v>0</v>
      </c>
      <c r="P2527" s="29" t="n">
        <v>0</v>
      </c>
      <c r="Q2527" s="29" t="n">
        <v>0</v>
      </c>
      <c r="R2527" s="29" t="n">
        <v>0</v>
      </c>
      <c r="S2527" s="29" t="n">
        <v>0</v>
      </c>
      <c r="T2527" t="inlineStr">
        <is>
          <t>25251226975620000130570010000059231001901080</t>
        </is>
      </c>
      <c r="U2527" t="inlineStr">
        <is>
          <t>Não</t>
        </is>
      </c>
    </row>
    <row r="2528">
      <c r="A2528" t="inlineStr">
        <is>
          <t>Frete de venda</t>
        </is>
      </c>
      <c r="B2528" t="inlineStr">
        <is>
          <t>2.01.02 Frete sobre Vendas</t>
        </is>
      </c>
      <c r="C2528" t="inlineStr">
        <is>
          <t>Antes de 2026</t>
        </is>
      </c>
      <c r="D2528" t="inlineStr">
        <is>
          <t>Antes de 2026</t>
        </is>
      </c>
      <c r="E2528" s="28" t="n">
        <v>45996</v>
      </c>
      <c r="F2528" t="inlineStr">
        <is>
          <t>CT-e</t>
        </is>
      </c>
      <c r="G2528" t="inlineStr">
        <is>
          <t>000005924</t>
        </is>
      </c>
      <c r="H2528" t="inlineStr">
        <is>
          <t>R&amp;R TRANSPORTE E LOGISTICA</t>
        </is>
      </c>
      <c r="J2528" s="29" t="n">
        <v>27.27</v>
      </c>
      <c r="K2528" s="29">
        <f>(1-ISNUMBER(SEARCH("556",M2528)))*(O2528*SUMIFS(Premissas!$C$5:$C$44,Premissas!$A$5:$A$44,$A2528,Premissas!$B$5:$B$44,$B2528)+P2528*SUMIFS(Premissas!$D$5:$D$44,Premissas!$A$5:$A$44,$A2528,Premissas!$B$5:$B$44,$B2528))+R2528*SUMIFS(Premissas!$E$5:$E$44,Premissas!$A$5:$A$44,$A2528,Premissas!$B$5:$B$44,$B2528)+S2528*SUMIFS(Premissas!$F$5:$F$44,Premissas!$A$5:$A$44,$A2528,Premissas!$B$5:$B$44,$B2528)</f>
        <v/>
      </c>
      <c r="L2528" s="29">
        <f>J2528-K2528</f>
        <v/>
      </c>
      <c r="M2528" t="inlineStr">
        <is>
          <t>1.350</t>
        </is>
      </c>
      <c r="N2528" t="inlineStr">
        <is>
          <t>Modalidade: 0 - Por conta do remetente | Parte: IMPERADOR DISTRIBUIDOR DE EMBALAGENS LTDA (10.575.734/0001-52)</t>
        </is>
      </c>
      <c r="O2528" s="29" t="n">
        <v>0</v>
      </c>
      <c r="P2528" s="29" t="n">
        <v>0</v>
      </c>
      <c r="Q2528" s="29" t="n">
        <v>0</v>
      </c>
      <c r="R2528" s="29" t="n">
        <v>0</v>
      </c>
      <c r="S2528" s="29" t="n">
        <v>0</v>
      </c>
      <c r="T2528" t="inlineStr">
        <is>
          <t>25251226975620000130570010000059241000170519</t>
        </is>
      </c>
      <c r="U2528" t="inlineStr">
        <is>
          <t>Não</t>
        </is>
      </c>
    </row>
    <row r="2529">
      <c r="A2529" t="inlineStr">
        <is>
          <t>Frete de venda</t>
        </is>
      </c>
      <c r="B2529" t="inlineStr">
        <is>
          <t>2.01.02 Frete sobre Vendas</t>
        </is>
      </c>
      <c r="C2529" t="inlineStr">
        <is>
          <t>Antes de 2026</t>
        </is>
      </c>
      <c r="D2529" t="inlineStr">
        <is>
          <t>Antes de 2026</t>
        </is>
      </c>
      <c r="E2529" s="28" t="n">
        <v>45996</v>
      </c>
      <c r="F2529" t="inlineStr">
        <is>
          <t>CT-e</t>
        </is>
      </c>
      <c r="G2529" t="inlineStr">
        <is>
          <t>000005925</t>
        </is>
      </c>
      <c r="H2529" t="inlineStr">
        <is>
          <t>R&amp;R TRANSPORTE E LOGISTICA</t>
        </is>
      </c>
      <c r="J2529" s="29" t="n">
        <v>120.95</v>
      </c>
      <c r="K2529" s="29">
        <f>(1-ISNUMBER(SEARCH("556",M2529)))*(O2529*SUMIFS(Premissas!$C$5:$C$44,Premissas!$A$5:$A$44,$A2529,Premissas!$B$5:$B$44,$B2529)+P2529*SUMIFS(Premissas!$D$5:$D$44,Premissas!$A$5:$A$44,$A2529,Premissas!$B$5:$B$44,$B2529))+R2529*SUMIFS(Premissas!$E$5:$E$44,Premissas!$A$5:$A$44,$A2529,Premissas!$B$5:$B$44,$B2529)+S2529*SUMIFS(Premissas!$F$5:$F$44,Premissas!$A$5:$A$44,$A2529,Premissas!$B$5:$B$44,$B2529)</f>
        <v/>
      </c>
      <c r="L2529" s="29">
        <f>J2529-K2529</f>
        <v/>
      </c>
      <c r="M2529" t="inlineStr">
        <is>
          <t>1.350</t>
        </is>
      </c>
      <c r="N2529" t="inlineStr">
        <is>
          <t>Modalidade: 0 - Por conta do remetente | Parte: EMBALAGENS RAYA COMERCIO E DISTRIBUICAO LTDA (42.748.520/0001-27)</t>
        </is>
      </c>
      <c r="O2529" s="29" t="n">
        <v>0</v>
      </c>
      <c r="P2529" s="29" t="n">
        <v>0</v>
      </c>
      <c r="Q2529" s="29" t="n">
        <v>0</v>
      </c>
      <c r="R2529" s="29" t="n">
        <v>0</v>
      </c>
      <c r="S2529" s="29" t="n">
        <v>0</v>
      </c>
      <c r="T2529" t="inlineStr">
        <is>
          <t>25251226975620000130570010000059251000140595</t>
        </is>
      </c>
      <c r="U2529" t="inlineStr">
        <is>
          <t>Não</t>
        </is>
      </c>
    </row>
    <row r="2530">
      <c r="A2530" t="inlineStr">
        <is>
          <t>Frete de venda</t>
        </is>
      </c>
      <c r="B2530" t="inlineStr">
        <is>
          <t>2.01.02 Frete sobre Vendas</t>
        </is>
      </c>
      <c r="C2530" t="inlineStr">
        <is>
          <t>Antes de 2026</t>
        </is>
      </c>
      <c r="D2530" t="inlineStr">
        <is>
          <t>Antes de 2026</t>
        </is>
      </c>
      <c r="E2530" s="28" t="n">
        <v>45996</v>
      </c>
      <c r="F2530" t="inlineStr">
        <is>
          <t>CT-e</t>
        </is>
      </c>
      <c r="G2530" t="inlineStr">
        <is>
          <t>000005926</t>
        </is>
      </c>
      <c r="H2530" t="inlineStr">
        <is>
          <t>R&amp;R TRANSPORTE E LOGISTICA</t>
        </is>
      </c>
      <c r="J2530" s="29" t="n">
        <v>23.78</v>
      </c>
      <c r="K2530" s="29">
        <f>(1-ISNUMBER(SEARCH("556",M2530)))*(O2530*SUMIFS(Premissas!$C$5:$C$44,Premissas!$A$5:$A$44,$A2530,Premissas!$B$5:$B$44,$B2530)+P2530*SUMIFS(Premissas!$D$5:$D$44,Premissas!$A$5:$A$44,$A2530,Premissas!$B$5:$B$44,$B2530))+R2530*SUMIFS(Premissas!$E$5:$E$44,Premissas!$A$5:$A$44,$A2530,Premissas!$B$5:$B$44,$B2530)+S2530*SUMIFS(Premissas!$F$5:$F$44,Premissas!$A$5:$A$44,$A2530,Premissas!$B$5:$B$44,$B2530)</f>
        <v/>
      </c>
      <c r="L2530" s="29">
        <f>J2530-K2530</f>
        <v/>
      </c>
      <c r="M2530" t="inlineStr">
        <is>
          <t>1.350</t>
        </is>
      </c>
      <c r="N2530" t="inlineStr">
        <is>
          <t>Modalidade: 0 - Por conta do remetente | Parte: A DE O LEMOS NETO LTDA (50.569.720/0001-40)</t>
        </is>
      </c>
      <c r="O2530" s="29" t="n">
        <v>0</v>
      </c>
      <c r="P2530" s="29" t="n">
        <v>0</v>
      </c>
      <c r="Q2530" s="29" t="n">
        <v>0</v>
      </c>
      <c r="R2530" s="29" t="n">
        <v>0</v>
      </c>
      <c r="S2530" s="29" t="n">
        <v>0</v>
      </c>
      <c r="T2530" t="inlineStr">
        <is>
          <t>25251226975620000130570010000059261000110677</t>
        </is>
      </c>
      <c r="U2530" t="inlineStr">
        <is>
          <t>Não</t>
        </is>
      </c>
    </row>
    <row r="2531">
      <c r="A2531" t="inlineStr">
        <is>
          <t>Frete de venda</t>
        </is>
      </c>
      <c r="B2531" t="inlineStr">
        <is>
          <t>2.01.02 Frete sobre Vendas</t>
        </is>
      </c>
      <c r="C2531" t="inlineStr">
        <is>
          <t>Antes de 2026</t>
        </is>
      </c>
      <c r="D2531" t="inlineStr">
        <is>
          <t>Antes de 2026</t>
        </is>
      </c>
      <c r="E2531" s="28" t="n">
        <v>45996</v>
      </c>
      <c r="F2531" t="inlineStr">
        <is>
          <t>CT-e</t>
        </is>
      </c>
      <c r="G2531" t="inlineStr">
        <is>
          <t>000005927</t>
        </is>
      </c>
      <c r="H2531" t="inlineStr">
        <is>
          <t>R&amp;R TRANSPORTE E LOGISTICA</t>
        </is>
      </c>
      <c r="J2531" s="29" t="n">
        <v>160.56</v>
      </c>
      <c r="K2531" s="29">
        <f>(1-ISNUMBER(SEARCH("556",M2531)))*(O2531*SUMIFS(Premissas!$C$5:$C$44,Premissas!$A$5:$A$44,$A2531,Premissas!$B$5:$B$44,$B2531)+P2531*SUMIFS(Premissas!$D$5:$D$44,Premissas!$A$5:$A$44,$A2531,Premissas!$B$5:$B$44,$B2531))+R2531*SUMIFS(Premissas!$E$5:$E$44,Premissas!$A$5:$A$44,$A2531,Premissas!$B$5:$B$44,$B2531)+S2531*SUMIFS(Premissas!$F$5:$F$44,Premissas!$A$5:$A$44,$A2531,Premissas!$B$5:$B$44,$B2531)</f>
        <v/>
      </c>
      <c r="L2531" s="29">
        <f>J2531-K2531</f>
        <v/>
      </c>
      <c r="M2531" t="inlineStr">
        <is>
          <t>1.350</t>
        </is>
      </c>
      <c r="N2531" t="inlineStr">
        <is>
          <t>Modalidade: 0 - Por conta do remetente | Parte: DISTRIBUIDORA CENTRAL EMBALAGENS LTDA (08.726.563/0001-73)</t>
        </is>
      </c>
      <c r="O2531" s="29" t="n">
        <v>0</v>
      </c>
      <c r="P2531" s="29" t="n">
        <v>0</v>
      </c>
      <c r="Q2531" s="29" t="n">
        <v>0</v>
      </c>
      <c r="R2531" s="29" t="n">
        <v>0</v>
      </c>
      <c r="S2531" s="29" t="n">
        <v>0</v>
      </c>
      <c r="T2531" t="inlineStr">
        <is>
          <t>25251226975620000130570010000059271000190759</t>
        </is>
      </c>
      <c r="U2531" t="inlineStr">
        <is>
          <t>Não</t>
        </is>
      </c>
    </row>
    <row r="2532">
      <c r="A2532" t="inlineStr">
        <is>
          <t>Frete de venda</t>
        </is>
      </c>
      <c r="B2532" t="inlineStr">
        <is>
          <t>2.01.02 Frete sobre Vendas</t>
        </is>
      </c>
      <c r="C2532" t="inlineStr">
        <is>
          <t>Antes de 2026</t>
        </is>
      </c>
      <c r="D2532" t="inlineStr">
        <is>
          <t>Antes de 2026</t>
        </is>
      </c>
      <c r="E2532" s="28" t="n">
        <v>45996</v>
      </c>
      <c r="F2532" t="inlineStr">
        <is>
          <t>CT-e</t>
        </is>
      </c>
      <c r="G2532" t="inlineStr">
        <is>
          <t>000005928</t>
        </is>
      </c>
      <c r="H2532" t="inlineStr">
        <is>
          <t>R&amp;R TRANSPORTE E LOGISTICA</t>
        </is>
      </c>
      <c r="J2532" s="29" t="n">
        <v>62.55</v>
      </c>
      <c r="K2532" s="29">
        <f>(1-ISNUMBER(SEARCH("556",M2532)))*(O2532*SUMIFS(Premissas!$C$5:$C$44,Premissas!$A$5:$A$44,$A2532,Premissas!$B$5:$B$44,$B2532)+P2532*SUMIFS(Premissas!$D$5:$D$44,Premissas!$A$5:$A$44,$A2532,Premissas!$B$5:$B$44,$B2532))+R2532*SUMIFS(Premissas!$E$5:$E$44,Premissas!$A$5:$A$44,$A2532,Premissas!$B$5:$B$44,$B2532)+S2532*SUMIFS(Premissas!$F$5:$F$44,Premissas!$A$5:$A$44,$A2532,Premissas!$B$5:$B$44,$B2532)</f>
        <v/>
      </c>
      <c r="L2532" s="29">
        <f>J2532-K2532</f>
        <v/>
      </c>
      <c r="M2532" t="inlineStr">
        <is>
          <t>1.350</t>
        </is>
      </c>
      <c r="N2532" t="inlineStr">
        <is>
          <t>Modalidade: 0 - Por conta do remetente | Parte: COMERCIAL CARAPA DE SECOS E MOLHADOS LTDA (03.790.904/0002-37)</t>
        </is>
      </c>
      <c r="O2532" s="29" t="n">
        <v>0</v>
      </c>
      <c r="P2532" s="29" t="n">
        <v>0</v>
      </c>
      <c r="Q2532" s="29" t="n">
        <v>0</v>
      </c>
      <c r="R2532" s="29" t="n">
        <v>0</v>
      </c>
      <c r="S2532" s="29" t="n">
        <v>0</v>
      </c>
      <c r="T2532" t="inlineStr">
        <is>
          <t>25251226975620000130570010000059281000160830</t>
        </is>
      </c>
      <c r="U2532" t="inlineStr">
        <is>
          <t>Não</t>
        </is>
      </c>
    </row>
    <row r="2533">
      <c r="A2533" t="inlineStr">
        <is>
          <t>Frete de venda</t>
        </is>
      </c>
      <c r="B2533" t="inlineStr">
        <is>
          <t>2.01.02 Frete sobre Vendas</t>
        </is>
      </c>
      <c r="C2533" t="inlineStr">
        <is>
          <t>Antes de 2026</t>
        </is>
      </c>
      <c r="D2533" t="inlineStr">
        <is>
          <t>Antes de 2026</t>
        </is>
      </c>
      <c r="E2533" s="28" t="n">
        <v>45996</v>
      </c>
      <c r="F2533" t="inlineStr">
        <is>
          <t>CT-e</t>
        </is>
      </c>
      <c r="G2533" t="inlineStr">
        <is>
          <t>000005929</t>
        </is>
      </c>
      <c r="H2533" t="inlineStr">
        <is>
          <t>R&amp;R TRANSPORTE E LOGISTICA</t>
        </is>
      </c>
      <c r="J2533" s="29" t="n">
        <v>24.11</v>
      </c>
      <c r="K2533" s="29">
        <f>(1-ISNUMBER(SEARCH("556",M2533)))*(O2533*SUMIFS(Premissas!$C$5:$C$44,Premissas!$A$5:$A$44,$A2533,Premissas!$B$5:$B$44,$B2533)+P2533*SUMIFS(Premissas!$D$5:$D$44,Premissas!$A$5:$A$44,$A2533,Premissas!$B$5:$B$44,$B2533))+R2533*SUMIFS(Premissas!$E$5:$E$44,Premissas!$A$5:$A$44,$A2533,Premissas!$B$5:$B$44,$B2533)+S2533*SUMIFS(Premissas!$F$5:$F$44,Premissas!$A$5:$A$44,$A2533,Premissas!$B$5:$B$44,$B2533)</f>
        <v/>
      </c>
      <c r="L2533" s="29">
        <f>J2533-K2533</f>
        <v/>
      </c>
      <c r="M2533" t="inlineStr">
        <is>
          <t>1.350</t>
        </is>
      </c>
      <c r="N2533" t="inlineStr">
        <is>
          <t>Modalidade: 0 - Por conta do remetente | Parte: ANDRE FERREIRA DE ARAUJO (16.954.088/0001-10)</t>
        </is>
      </c>
      <c r="O2533" s="29" t="n">
        <v>0</v>
      </c>
      <c r="P2533" s="29" t="n">
        <v>0</v>
      </c>
      <c r="Q2533" s="29" t="n">
        <v>0</v>
      </c>
      <c r="R2533" s="29" t="n">
        <v>0</v>
      </c>
      <c r="S2533" s="29" t="n">
        <v>0</v>
      </c>
      <c r="T2533" t="inlineStr">
        <is>
          <t>25251226975620000130570010000059291000130912</t>
        </is>
      </c>
      <c r="U2533" t="inlineStr">
        <is>
          <t>Não</t>
        </is>
      </c>
    </row>
    <row r="2534">
      <c r="A2534" t="inlineStr">
        <is>
          <t>Frete de venda</t>
        </is>
      </c>
      <c r="B2534" t="inlineStr">
        <is>
          <t>2.01.02 Frete sobre Vendas</t>
        </is>
      </c>
      <c r="C2534" t="inlineStr">
        <is>
          <t>Antes de 2026</t>
        </is>
      </c>
      <c r="D2534" t="inlineStr">
        <is>
          <t>Antes de 2026</t>
        </is>
      </c>
      <c r="E2534" s="28" t="n">
        <v>45996</v>
      </c>
      <c r="F2534" t="inlineStr">
        <is>
          <t>CT-e</t>
        </is>
      </c>
      <c r="G2534" t="inlineStr">
        <is>
          <t>000005930</t>
        </is>
      </c>
      <c r="H2534" t="inlineStr">
        <is>
          <t>R&amp;R TRANSPORTE E LOGISTICA</t>
        </is>
      </c>
      <c r="J2534" s="29" t="n">
        <v>77.59</v>
      </c>
      <c r="K2534" s="29">
        <f>(1-ISNUMBER(SEARCH("556",M2534)))*(O2534*SUMIFS(Premissas!$C$5:$C$44,Premissas!$A$5:$A$44,$A2534,Premissas!$B$5:$B$44,$B2534)+P2534*SUMIFS(Premissas!$D$5:$D$44,Premissas!$A$5:$A$44,$A2534,Premissas!$B$5:$B$44,$B2534))+R2534*SUMIFS(Premissas!$E$5:$E$44,Premissas!$A$5:$A$44,$A2534,Premissas!$B$5:$B$44,$B2534)+S2534*SUMIFS(Premissas!$F$5:$F$44,Premissas!$A$5:$A$44,$A2534,Premissas!$B$5:$B$44,$B2534)</f>
        <v/>
      </c>
      <c r="L2534" s="29">
        <f>J2534-K2534</f>
        <v/>
      </c>
      <c r="M2534" t="inlineStr">
        <is>
          <t>1.350</t>
        </is>
      </c>
      <c r="N2534" t="inlineStr">
        <is>
          <t>Modalidade: 0 - Por conta do remetente | Parte: INDUSTRIAL E COMERCIAL ALMEIDA LTDA (02.623.537/0010-24)</t>
        </is>
      </c>
      <c r="O2534" s="29" t="n">
        <v>0</v>
      </c>
      <c r="P2534" s="29" t="n">
        <v>0</v>
      </c>
      <c r="Q2534" s="29" t="n">
        <v>0</v>
      </c>
      <c r="R2534" s="29" t="n">
        <v>0</v>
      </c>
      <c r="S2534" s="29" t="n">
        <v>0</v>
      </c>
      <c r="T2534" t="inlineStr">
        <is>
          <t>25251226975620000130570010000059301000010993</t>
        </is>
      </c>
      <c r="U2534" t="inlineStr">
        <is>
          <t>Não</t>
        </is>
      </c>
    </row>
    <row r="2535">
      <c r="A2535" t="inlineStr">
        <is>
          <t>Frete de venda</t>
        </is>
      </c>
      <c r="B2535" t="inlineStr">
        <is>
          <t>2.01.02 Frete sobre Vendas</t>
        </is>
      </c>
      <c r="C2535" t="inlineStr">
        <is>
          <t>Antes de 2026</t>
        </is>
      </c>
      <c r="D2535" t="inlineStr">
        <is>
          <t>Antes de 2026</t>
        </is>
      </c>
      <c r="E2535" s="28" t="n">
        <v>45996</v>
      </c>
      <c r="F2535" t="inlineStr">
        <is>
          <t>CT-e</t>
        </is>
      </c>
      <c r="G2535" t="inlineStr">
        <is>
          <t>000005931</t>
        </is>
      </c>
      <c r="H2535" t="inlineStr">
        <is>
          <t>R&amp;R TRANSPORTE E LOGISTICA</t>
        </is>
      </c>
      <c r="J2535" s="29" t="n">
        <v>35.18</v>
      </c>
      <c r="K2535" s="29">
        <f>(1-ISNUMBER(SEARCH("556",M2535)))*(O2535*SUMIFS(Premissas!$C$5:$C$44,Premissas!$A$5:$A$44,$A2535,Premissas!$B$5:$B$44,$B2535)+P2535*SUMIFS(Premissas!$D$5:$D$44,Premissas!$A$5:$A$44,$A2535,Premissas!$B$5:$B$44,$B2535))+R2535*SUMIFS(Premissas!$E$5:$E$44,Premissas!$A$5:$A$44,$A2535,Premissas!$B$5:$B$44,$B2535)+S2535*SUMIFS(Premissas!$F$5:$F$44,Premissas!$A$5:$A$44,$A2535,Premissas!$B$5:$B$44,$B2535)</f>
        <v/>
      </c>
      <c r="L2535" s="29">
        <f>J2535-K2535</f>
        <v/>
      </c>
      <c r="M2535" t="inlineStr">
        <is>
          <t>1.350</t>
        </is>
      </c>
      <c r="N2535" t="inlineStr">
        <is>
          <t>Modalidade: 0 - Por conta do remetente | Parte: COMERCIO DE ALIMENTOS ANHANDUI LTDA (10.602.507/0001-79)</t>
        </is>
      </c>
      <c r="O2535" s="29" t="n">
        <v>0</v>
      </c>
      <c r="P2535" s="29" t="n">
        <v>0</v>
      </c>
      <c r="Q2535" s="29" t="n">
        <v>0</v>
      </c>
      <c r="R2535" s="29" t="n">
        <v>0</v>
      </c>
      <c r="S2535" s="29" t="n">
        <v>0</v>
      </c>
      <c r="T2535" t="inlineStr">
        <is>
          <t>25251226975620000130570010000059311001801070</t>
        </is>
      </c>
      <c r="U2535" t="inlineStr">
        <is>
          <t>Não</t>
        </is>
      </c>
    </row>
    <row r="2536">
      <c r="A2536" t="inlineStr">
        <is>
          <t>Frete de venda</t>
        </is>
      </c>
      <c r="B2536" t="inlineStr">
        <is>
          <t>2.01.02 Frete sobre Vendas</t>
        </is>
      </c>
      <c r="C2536" t="inlineStr">
        <is>
          <t>Antes de 2026</t>
        </is>
      </c>
      <c r="D2536" t="inlineStr">
        <is>
          <t>Antes de 2026</t>
        </is>
      </c>
      <c r="E2536" s="28" t="n">
        <v>45996</v>
      </c>
      <c r="F2536" t="inlineStr">
        <is>
          <t>CT-e</t>
        </is>
      </c>
      <c r="G2536" t="inlineStr">
        <is>
          <t>000005932</t>
        </is>
      </c>
      <c r="H2536" t="inlineStr">
        <is>
          <t>R&amp;R TRANSPORTE E LOGISTICA</t>
        </is>
      </c>
      <c r="J2536" s="29" t="n">
        <v>44.64</v>
      </c>
      <c r="K2536" s="29">
        <f>(1-ISNUMBER(SEARCH("556",M2536)))*(O2536*SUMIFS(Premissas!$C$5:$C$44,Premissas!$A$5:$A$44,$A2536,Premissas!$B$5:$B$44,$B2536)+P2536*SUMIFS(Premissas!$D$5:$D$44,Premissas!$A$5:$A$44,$A2536,Premissas!$B$5:$B$44,$B2536))+R2536*SUMIFS(Premissas!$E$5:$E$44,Premissas!$A$5:$A$44,$A2536,Premissas!$B$5:$B$44,$B2536)+S2536*SUMIFS(Premissas!$F$5:$F$44,Premissas!$A$5:$A$44,$A2536,Premissas!$B$5:$B$44,$B2536)</f>
        <v/>
      </c>
      <c r="L2536" s="29">
        <f>J2536-K2536</f>
        <v/>
      </c>
      <c r="M2536" t="inlineStr">
        <is>
          <t>1.350</t>
        </is>
      </c>
      <c r="N2536" t="inlineStr">
        <is>
          <t>Modalidade: 0 - Por conta do remetente | Parte: BRASIL COMERCIO DE EMBALAGENS LTDA (26.707.258/0001-16)</t>
        </is>
      </c>
      <c r="O2536" s="29" t="n">
        <v>0</v>
      </c>
      <c r="P2536" s="29" t="n">
        <v>0</v>
      </c>
      <c r="Q2536" s="29" t="n">
        <v>0</v>
      </c>
      <c r="R2536" s="29" t="n">
        <v>0</v>
      </c>
      <c r="S2536" s="29" t="n">
        <v>0</v>
      </c>
      <c r="T2536" t="inlineStr">
        <is>
          <t>25251226975620000130570010000059321001501154</t>
        </is>
      </c>
      <c r="U2536" t="inlineStr">
        <is>
          <t>Não</t>
        </is>
      </c>
    </row>
    <row r="2537">
      <c r="A2537" t="inlineStr">
        <is>
          <t>Frete de venda</t>
        </is>
      </c>
      <c r="B2537" t="inlineStr">
        <is>
          <t>2.01.02 Frete sobre Vendas</t>
        </is>
      </c>
      <c r="C2537" t="inlineStr">
        <is>
          <t>Antes de 2026</t>
        </is>
      </c>
      <c r="D2537" t="inlineStr">
        <is>
          <t>Antes de 2026</t>
        </is>
      </c>
      <c r="E2537" s="28" t="n">
        <v>45996</v>
      </c>
      <c r="F2537" t="inlineStr">
        <is>
          <t>CT-e</t>
        </is>
      </c>
      <c r="G2537" t="inlineStr">
        <is>
          <t>000005933</t>
        </is>
      </c>
      <c r="H2537" t="inlineStr">
        <is>
          <t>R&amp;R TRANSPORTE E LOGISTICA</t>
        </is>
      </c>
      <c r="J2537" s="29" t="n">
        <v>33.24</v>
      </c>
      <c r="K2537" s="29">
        <f>(1-ISNUMBER(SEARCH("556",M2537)))*(O2537*SUMIFS(Premissas!$C$5:$C$44,Premissas!$A$5:$A$44,$A2537,Premissas!$B$5:$B$44,$B2537)+P2537*SUMIFS(Premissas!$D$5:$D$44,Premissas!$A$5:$A$44,$A2537,Premissas!$B$5:$B$44,$B2537))+R2537*SUMIFS(Premissas!$E$5:$E$44,Premissas!$A$5:$A$44,$A2537,Premissas!$B$5:$B$44,$B2537)+S2537*SUMIFS(Premissas!$F$5:$F$44,Premissas!$A$5:$A$44,$A2537,Premissas!$B$5:$B$44,$B2537)</f>
        <v/>
      </c>
      <c r="L2537" s="29">
        <f>J2537-K2537</f>
        <v/>
      </c>
      <c r="M2537" t="inlineStr">
        <is>
          <t>1.350</t>
        </is>
      </c>
      <c r="N2537" t="inlineStr">
        <is>
          <t>Modalidade: 0 - Por conta do remetente | Parte: MARIA CLEIDE RAMOS LTDA (42.968.790/0001-43)</t>
        </is>
      </c>
      <c r="O2537" s="29" t="n">
        <v>0</v>
      </c>
      <c r="P2537" s="29" t="n">
        <v>0</v>
      </c>
      <c r="Q2537" s="29" t="n">
        <v>0</v>
      </c>
      <c r="R2537" s="29" t="n">
        <v>0</v>
      </c>
      <c r="S2537" s="29" t="n">
        <v>0</v>
      </c>
      <c r="T2537" t="inlineStr">
        <is>
          <t>25251226975620000130570010000059331000160504</t>
        </is>
      </c>
      <c r="U2537" t="inlineStr">
        <is>
          <t>Não</t>
        </is>
      </c>
    </row>
    <row r="2538">
      <c r="A2538" t="inlineStr">
        <is>
          <t>Frete de venda</t>
        </is>
      </c>
      <c r="B2538" t="inlineStr">
        <is>
          <t>2.01.02 Frete sobre Vendas</t>
        </is>
      </c>
      <c r="C2538" t="inlineStr">
        <is>
          <t>Antes de 2026</t>
        </is>
      </c>
      <c r="D2538" t="inlineStr">
        <is>
          <t>Antes de 2026</t>
        </is>
      </c>
      <c r="E2538" s="28" t="n">
        <v>45999</v>
      </c>
      <c r="F2538" t="inlineStr">
        <is>
          <t>CT-e</t>
        </is>
      </c>
      <c r="G2538" t="inlineStr">
        <is>
          <t>000005940</t>
        </is>
      </c>
      <c r="H2538" t="inlineStr">
        <is>
          <t>R&amp;R TRANSPORTE E LOGISTICA</t>
        </is>
      </c>
      <c r="J2538" s="29" t="n">
        <v>93.73</v>
      </c>
      <c r="K2538" s="29">
        <f>(1-ISNUMBER(SEARCH("556",M2538)))*(O2538*SUMIFS(Premissas!$C$5:$C$44,Premissas!$A$5:$A$44,$A2538,Premissas!$B$5:$B$44,$B2538)+P2538*SUMIFS(Premissas!$D$5:$D$44,Premissas!$A$5:$A$44,$A2538,Premissas!$B$5:$B$44,$B2538))+R2538*SUMIFS(Premissas!$E$5:$E$44,Premissas!$A$5:$A$44,$A2538,Premissas!$B$5:$B$44,$B2538)+S2538*SUMIFS(Premissas!$F$5:$F$44,Premissas!$A$5:$A$44,$A2538,Premissas!$B$5:$B$44,$B2538)</f>
        <v/>
      </c>
      <c r="L2538" s="29">
        <f>J2538-K2538</f>
        <v/>
      </c>
      <c r="M2538" t="inlineStr">
        <is>
          <t>1.350</t>
        </is>
      </c>
      <c r="N2538" t="inlineStr">
        <is>
          <t>Modalidade: 0 - Por conta do remetente | Parte: MARCOS NATANAEL DOS SANTOS ROCHA (14.727.584/0001-06)</t>
        </is>
      </c>
      <c r="O2538" s="29" t="n">
        <v>0</v>
      </c>
      <c r="P2538" s="29" t="n">
        <v>0</v>
      </c>
      <c r="Q2538" s="29" t="n">
        <v>0</v>
      </c>
      <c r="R2538" s="29" t="n">
        <v>0</v>
      </c>
      <c r="S2538" s="29" t="n">
        <v>0</v>
      </c>
      <c r="T2538" t="inlineStr">
        <is>
          <t>25251226975620000130570010000059401001701066</t>
        </is>
      </c>
      <c r="U2538" t="inlineStr">
        <is>
          <t>Não</t>
        </is>
      </c>
    </row>
    <row r="2539">
      <c r="A2539" t="inlineStr">
        <is>
          <t>Frete de venda</t>
        </is>
      </c>
      <c r="B2539" t="inlineStr">
        <is>
          <t>2.01.02 Frete sobre Vendas</t>
        </is>
      </c>
      <c r="C2539" t="inlineStr">
        <is>
          <t>Antes de 2026</t>
        </is>
      </c>
      <c r="D2539" t="inlineStr">
        <is>
          <t>Antes de 2026</t>
        </is>
      </c>
      <c r="E2539" s="28" t="n">
        <v>45999</v>
      </c>
      <c r="F2539" t="inlineStr">
        <is>
          <t>CT-e</t>
        </is>
      </c>
      <c r="G2539" t="inlineStr">
        <is>
          <t>000005942</t>
        </is>
      </c>
      <c r="H2539" t="inlineStr">
        <is>
          <t>R&amp;R TRANSPORTE E LOGISTICA</t>
        </is>
      </c>
      <c r="J2539" s="29" t="n">
        <v>111.37</v>
      </c>
      <c r="K2539" s="29">
        <f>(1-ISNUMBER(SEARCH("556",M2539)))*(O2539*SUMIFS(Premissas!$C$5:$C$44,Premissas!$A$5:$A$44,$A2539,Premissas!$B$5:$B$44,$B2539)+P2539*SUMIFS(Premissas!$D$5:$D$44,Premissas!$A$5:$A$44,$A2539,Premissas!$B$5:$B$44,$B2539))+R2539*SUMIFS(Premissas!$E$5:$E$44,Premissas!$A$5:$A$44,$A2539,Premissas!$B$5:$B$44,$B2539)+S2539*SUMIFS(Premissas!$F$5:$F$44,Premissas!$A$5:$A$44,$A2539,Premissas!$B$5:$B$44,$B2539)</f>
        <v/>
      </c>
      <c r="L2539" s="29">
        <f>J2539-K2539</f>
        <v/>
      </c>
      <c r="M2539" t="inlineStr">
        <is>
          <t>1.350</t>
        </is>
      </c>
      <c r="N2539" t="inlineStr">
        <is>
          <t>Modalidade: 0 - Por conta do remetente | Parte: M N L FLORENTINO LTDA (47.068.852/0001-84)</t>
        </is>
      </c>
      <c r="O2539" s="29" t="n">
        <v>0</v>
      </c>
      <c r="P2539" s="29" t="n">
        <v>0</v>
      </c>
      <c r="Q2539" s="29" t="n">
        <v>0</v>
      </c>
      <c r="R2539" s="29" t="n">
        <v>0</v>
      </c>
      <c r="S2539" s="29" t="n">
        <v>0</v>
      </c>
      <c r="T2539" t="inlineStr">
        <is>
          <t>25251226975620000130570010000059421001101225</t>
        </is>
      </c>
      <c r="U2539" t="inlineStr">
        <is>
          <t>Não</t>
        </is>
      </c>
    </row>
    <row r="2540">
      <c r="A2540" t="inlineStr">
        <is>
          <t>Frete de venda</t>
        </is>
      </c>
      <c r="B2540" t="inlineStr">
        <is>
          <t>2.01.02 Frete sobre Vendas</t>
        </is>
      </c>
      <c r="C2540" t="inlineStr">
        <is>
          <t>Antes de 2026</t>
        </is>
      </c>
      <c r="D2540" t="inlineStr">
        <is>
          <t>Antes de 2026</t>
        </is>
      </c>
      <c r="E2540" s="28" t="n">
        <v>46000</v>
      </c>
      <c r="F2540" t="inlineStr">
        <is>
          <t>CT-e</t>
        </is>
      </c>
      <c r="G2540" t="inlineStr">
        <is>
          <t>000005947</t>
        </is>
      </c>
      <c r="H2540" t="inlineStr">
        <is>
          <t>R&amp;R TRANSPORTE E LOGISTICA</t>
        </is>
      </c>
      <c r="J2540" s="29" t="n">
        <v>280.52</v>
      </c>
      <c r="K2540" s="29">
        <f>(1-ISNUMBER(SEARCH("556",M2540)))*(O2540*SUMIFS(Premissas!$C$5:$C$44,Premissas!$A$5:$A$44,$A2540,Premissas!$B$5:$B$44,$B2540)+P2540*SUMIFS(Premissas!$D$5:$D$44,Premissas!$A$5:$A$44,$A2540,Premissas!$B$5:$B$44,$B2540))+R2540*SUMIFS(Premissas!$E$5:$E$44,Premissas!$A$5:$A$44,$A2540,Premissas!$B$5:$B$44,$B2540)+S2540*SUMIFS(Premissas!$F$5:$F$44,Premissas!$A$5:$A$44,$A2540,Premissas!$B$5:$B$44,$B2540)</f>
        <v/>
      </c>
      <c r="L2540" s="29">
        <f>J2540-K2540</f>
        <v/>
      </c>
      <c r="M2540" t="inlineStr">
        <is>
          <t>1.350</t>
        </is>
      </c>
      <c r="N2540" t="inlineStr">
        <is>
          <t>Modalidade: 0 - Por conta do remetente | Parte: PRONTO DISTRIBUIDORA LTDA (59.909.633/0001-60)</t>
        </is>
      </c>
      <c r="O2540" s="29" t="n">
        <v>0</v>
      </c>
      <c r="P2540" s="29" t="n">
        <v>0</v>
      </c>
      <c r="Q2540" s="29" t="n">
        <v>0</v>
      </c>
      <c r="R2540" s="29" t="n">
        <v>0</v>
      </c>
      <c r="S2540" s="29" t="n">
        <v>0</v>
      </c>
      <c r="T2540" t="inlineStr">
        <is>
          <t>25251226975620000130570010000059471000110898</t>
        </is>
      </c>
      <c r="U2540" t="inlineStr">
        <is>
          <t>Não</t>
        </is>
      </c>
    </row>
    <row r="2541">
      <c r="A2541" t="inlineStr">
        <is>
          <t>Frete de venda</t>
        </is>
      </c>
      <c r="B2541" t="inlineStr">
        <is>
          <t>2.01.02 Frete sobre Vendas</t>
        </is>
      </c>
      <c r="C2541" t="inlineStr">
        <is>
          <t>Antes de 2026</t>
        </is>
      </c>
      <c r="D2541" t="inlineStr">
        <is>
          <t>Antes de 2026</t>
        </is>
      </c>
      <c r="E2541" s="28" t="n">
        <v>46000</v>
      </c>
      <c r="F2541" t="inlineStr">
        <is>
          <t>CT-e</t>
        </is>
      </c>
      <c r="G2541" t="inlineStr">
        <is>
          <t>000005948</t>
        </is>
      </c>
      <c r="H2541" t="inlineStr">
        <is>
          <t>R&amp;R TRANSPORTE E LOGISTICA</t>
        </is>
      </c>
      <c r="J2541" s="29" t="n">
        <v>700</v>
      </c>
      <c r="K2541" s="29">
        <f>(1-ISNUMBER(SEARCH("556",M2541)))*(O2541*SUMIFS(Premissas!$C$5:$C$44,Premissas!$A$5:$A$44,$A2541,Premissas!$B$5:$B$44,$B2541)+P2541*SUMIFS(Premissas!$D$5:$D$44,Premissas!$A$5:$A$44,$A2541,Premissas!$B$5:$B$44,$B2541))+R2541*SUMIFS(Premissas!$E$5:$E$44,Premissas!$A$5:$A$44,$A2541,Premissas!$B$5:$B$44,$B2541)+S2541*SUMIFS(Premissas!$F$5:$F$44,Premissas!$A$5:$A$44,$A2541,Premissas!$B$5:$B$44,$B2541)</f>
        <v/>
      </c>
      <c r="L2541" s="29">
        <f>J2541-K2541</f>
        <v/>
      </c>
      <c r="M2541" t="inlineStr">
        <is>
          <t>1.350</t>
        </is>
      </c>
      <c r="N2541" t="inlineStr">
        <is>
          <t>Modalidade: 0 - Por conta do remetente | Parte: FAT GUYS HAMBUGERS BRASIL LTDA (39.411.501/0001-04)</t>
        </is>
      </c>
      <c r="O2541" s="29" t="n">
        <v>0</v>
      </c>
      <c r="P2541" s="29" t="n">
        <v>0</v>
      </c>
      <c r="Q2541" s="29" t="n">
        <v>0</v>
      </c>
      <c r="R2541" s="29" t="n">
        <v>0</v>
      </c>
      <c r="S2541" s="29" t="n">
        <v>0</v>
      </c>
      <c r="T2541" t="inlineStr">
        <is>
          <t>25251226975620000130570010000059481000190970</t>
        </is>
      </c>
      <c r="U2541" t="inlineStr">
        <is>
          <t>Não</t>
        </is>
      </c>
    </row>
    <row r="2542">
      <c r="A2542" t="inlineStr">
        <is>
          <t>Frete de venda</t>
        </is>
      </c>
      <c r="B2542" t="inlineStr">
        <is>
          <t>2.01.02 Frete sobre Vendas</t>
        </is>
      </c>
      <c r="C2542" t="inlineStr">
        <is>
          <t>Antes de 2026</t>
        </is>
      </c>
      <c r="D2542" t="inlineStr">
        <is>
          <t>Antes de 2026</t>
        </is>
      </c>
      <c r="E2542" s="28" t="n">
        <v>46000</v>
      </c>
      <c r="F2542" t="inlineStr">
        <is>
          <t>CT-e</t>
        </is>
      </c>
      <c r="G2542" t="inlineStr">
        <is>
          <t>000005949</t>
        </is>
      </c>
      <c r="H2542" t="inlineStr">
        <is>
          <t>R&amp;R TRANSPORTE E LOGISTICA</t>
        </is>
      </c>
      <c r="J2542" s="29" t="n">
        <v>700</v>
      </c>
      <c r="K2542" s="29">
        <f>(1-ISNUMBER(SEARCH("556",M2542)))*(O2542*SUMIFS(Premissas!$C$5:$C$44,Premissas!$A$5:$A$44,$A2542,Premissas!$B$5:$B$44,$B2542)+P2542*SUMIFS(Premissas!$D$5:$D$44,Premissas!$A$5:$A$44,$A2542,Premissas!$B$5:$B$44,$B2542))+R2542*SUMIFS(Premissas!$E$5:$E$44,Premissas!$A$5:$A$44,$A2542,Premissas!$B$5:$B$44,$B2542)+S2542*SUMIFS(Premissas!$F$5:$F$44,Premissas!$A$5:$A$44,$A2542,Premissas!$B$5:$B$44,$B2542)</f>
        <v/>
      </c>
      <c r="L2542" s="29">
        <f>J2542-K2542</f>
        <v/>
      </c>
      <c r="M2542" t="inlineStr">
        <is>
          <t>1.350</t>
        </is>
      </c>
      <c r="N2542" t="inlineStr">
        <is>
          <t>Modalidade: 0 - Por conta do remetente | Parte: M X COMERCIO E SERVICOS LTDA (11.028.612/0001-09)</t>
        </is>
      </c>
      <c r="O2542" s="29" t="n">
        <v>0</v>
      </c>
      <c r="P2542" s="29" t="n">
        <v>0</v>
      </c>
      <c r="Q2542" s="29" t="n">
        <v>0</v>
      </c>
      <c r="R2542" s="29" t="n">
        <v>0</v>
      </c>
      <c r="S2542" s="29" t="n">
        <v>0</v>
      </c>
      <c r="T2542" t="inlineStr">
        <is>
          <t>25251226975620000130570010000059491001601059</t>
        </is>
      </c>
      <c r="U2542" t="inlineStr">
        <is>
          <t>Não</t>
        </is>
      </c>
    </row>
    <row r="2543">
      <c r="A2543" t="inlineStr">
        <is>
          <t>Frete de venda</t>
        </is>
      </c>
      <c r="B2543" t="inlineStr">
        <is>
          <t>2.01.02 Frete sobre Vendas</t>
        </is>
      </c>
      <c r="C2543" t="inlineStr">
        <is>
          <t>Antes de 2026</t>
        </is>
      </c>
      <c r="D2543" t="inlineStr">
        <is>
          <t>Antes de 2026</t>
        </is>
      </c>
      <c r="E2543" s="28" t="n">
        <v>46002</v>
      </c>
      <c r="F2543" t="inlineStr">
        <is>
          <t>CT-e</t>
        </is>
      </c>
      <c r="G2543" t="inlineStr">
        <is>
          <t>000005955</t>
        </is>
      </c>
      <c r="H2543" t="inlineStr">
        <is>
          <t>R&amp;R TRANSPORTE E LOGISTICA</t>
        </is>
      </c>
      <c r="J2543" s="29" t="n">
        <v>43.37</v>
      </c>
      <c r="K2543" s="29">
        <f>(1-ISNUMBER(SEARCH("556",M2543)))*(O2543*SUMIFS(Premissas!$C$5:$C$44,Premissas!$A$5:$A$44,$A2543,Premissas!$B$5:$B$44,$B2543)+P2543*SUMIFS(Premissas!$D$5:$D$44,Premissas!$A$5:$A$44,$A2543,Premissas!$B$5:$B$44,$B2543))+R2543*SUMIFS(Premissas!$E$5:$E$44,Premissas!$A$5:$A$44,$A2543,Premissas!$B$5:$B$44,$B2543)+S2543*SUMIFS(Premissas!$F$5:$F$44,Premissas!$A$5:$A$44,$A2543,Premissas!$B$5:$B$44,$B2543)</f>
        <v/>
      </c>
      <c r="L2543" s="29">
        <f>J2543-K2543</f>
        <v/>
      </c>
      <c r="M2543" t="inlineStr">
        <is>
          <t>1.350</t>
        </is>
      </c>
      <c r="N2543" t="inlineStr">
        <is>
          <t>Modalidade: 0 - Por conta do remetente | Parte: RODRIGUES e DIAS COMERCIO DE HORTIFRUTI GRANJEIROS LTDA (09.143.905/0001-95)</t>
        </is>
      </c>
      <c r="O2543" s="29" t="n">
        <v>0</v>
      </c>
      <c r="P2543" s="29" t="n">
        <v>0</v>
      </c>
      <c r="Q2543" s="29" t="n">
        <v>0</v>
      </c>
      <c r="R2543" s="29" t="n">
        <v>0</v>
      </c>
      <c r="S2543" s="29" t="n">
        <v>0</v>
      </c>
      <c r="T2543" t="inlineStr">
        <is>
          <t>25251226975620000130570010000059551011001094</t>
        </is>
      </c>
      <c r="U2543" t="inlineStr">
        <is>
          <t>Não</t>
        </is>
      </c>
    </row>
    <row r="2544">
      <c r="A2544" t="inlineStr">
        <is>
          <t>Frete de venda</t>
        </is>
      </c>
      <c r="B2544" t="inlineStr">
        <is>
          <t>2.01.02 Frete sobre Vendas</t>
        </is>
      </c>
      <c r="C2544" t="inlineStr">
        <is>
          <t>Antes de 2026</t>
        </is>
      </c>
      <c r="D2544" t="inlineStr">
        <is>
          <t>Antes de 2026</t>
        </is>
      </c>
      <c r="E2544" s="28" t="n">
        <v>46002</v>
      </c>
      <c r="F2544" t="inlineStr">
        <is>
          <t>CT-e</t>
        </is>
      </c>
      <c r="G2544" t="inlineStr">
        <is>
          <t>000005956</t>
        </is>
      </c>
      <c r="H2544" t="inlineStr">
        <is>
          <t>R&amp;R TRANSPORTE E LOGISTICA</t>
        </is>
      </c>
      <c r="J2544" s="29" t="n">
        <v>30.06</v>
      </c>
      <c r="K2544" s="29">
        <f>(1-ISNUMBER(SEARCH("556",M2544)))*(O2544*SUMIFS(Premissas!$C$5:$C$44,Premissas!$A$5:$A$44,$A2544,Premissas!$B$5:$B$44,$B2544)+P2544*SUMIFS(Premissas!$D$5:$D$44,Premissas!$A$5:$A$44,$A2544,Premissas!$B$5:$B$44,$B2544))+R2544*SUMIFS(Premissas!$E$5:$E$44,Premissas!$A$5:$A$44,$A2544,Premissas!$B$5:$B$44,$B2544)+S2544*SUMIFS(Premissas!$F$5:$F$44,Premissas!$A$5:$A$44,$A2544,Premissas!$B$5:$B$44,$B2544)</f>
        <v/>
      </c>
      <c r="L2544" s="29">
        <f>J2544-K2544</f>
        <v/>
      </c>
      <c r="M2544" t="inlineStr">
        <is>
          <t>1.350</t>
        </is>
      </c>
      <c r="N2544" t="inlineStr">
        <is>
          <t>Modalidade: 0 - Por conta do remetente | Parte: PLASTICENTRO LTDA (23.168.206/0001-20)</t>
        </is>
      </c>
      <c r="O2544" s="29" t="n">
        <v>0</v>
      </c>
      <c r="P2544" s="29" t="n">
        <v>0</v>
      </c>
      <c r="Q2544" s="29" t="n">
        <v>0</v>
      </c>
      <c r="R2544" s="29" t="n">
        <v>0</v>
      </c>
      <c r="S2544" s="29" t="n">
        <v>0</v>
      </c>
      <c r="T2544" t="inlineStr">
        <is>
          <t>25251226975620000130570010000059561001701171</t>
        </is>
      </c>
      <c r="U2544" t="inlineStr">
        <is>
          <t>Não</t>
        </is>
      </c>
    </row>
    <row r="2545">
      <c r="A2545" t="inlineStr">
        <is>
          <t>Frete de venda</t>
        </is>
      </c>
      <c r="B2545" t="inlineStr">
        <is>
          <t>2.01.02 Frete sobre Vendas</t>
        </is>
      </c>
      <c r="C2545" t="inlineStr">
        <is>
          <t>Antes de 2026</t>
        </is>
      </c>
      <c r="D2545" t="inlineStr">
        <is>
          <t>Antes de 2026</t>
        </is>
      </c>
      <c r="E2545" s="28" t="n">
        <v>46002</v>
      </c>
      <c r="F2545" t="inlineStr">
        <is>
          <t>CT-e</t>
        </is>
      </c>
      <c r="G2545" t="inlineStr">
        <is>
          <t>000005957</t>
        </is>
      </c>
      <c r="H2545" t="inlineStr">
        <is>
          <t>R&amp;R TRANSPORTE E LOGISTICA</t>
        </is>
      </c>
      <c r="J2545" s="29" t="n">
        <v>36.2</v>
      </c>
      <c r="K2545" s="29">
        <f>(1-ISNUMBER(SEARCH("556",M2545)))*(O2545*SUMIFS(Premissas!$C$5:$C$44,Premissas!$A$5:$A$44,$A2545,Premissas!$B$5:$B$44,$B2545)+P2545*SUMIFS(Premissas!$D$5:$D$44,Premissas!$A$5:$A$44,$A2545,Premissas!$B$5:$B$44,$B2545))+R2545*SUMIFS(Premissas!$E$5:$E$44,Premissas!$A$5:$A$44,$A2545,Premissas!$B$5:$B$44,$B2545)+S2545*SUMIFS(Premissas!$F$5:$F$44,Premissas!$A$5:$A$44,$A2545,Premissas!$B$5:$B$44,$B2545)</f>
        <v/>
      </c>
      <c r="L2545" s="29">
        <f>J2545-K2545</f>
        <v/>
      </c>
      <c r="M2545" t="inlineStr">
        <is>
          <t>1.350</t>
        </is>
      </c>
      <c r="N2545" t="inlineStr">
        <is>
          <t>Modalidade: 0 - Por conta do remetente | Parte: REIPEL COMERCIAL LTDA (66.283.771/0001-41)</t>
        </is>
      </c>
      <c r="O2545" s="29" t="n">
        <v>0</v>
      </c>
      <c r="P2545" s="29" t="n">
        <v>0</v>
      </c>
      <c r="Q2545" s="29" t="n">
        <v>0</v>
      </c>
      <c r="R2545" s="29" t="n">
        <v>0</v>
      </c>
      <c r="S2545" s="29" t="n">
        <v>0</v>
      </c>
      <c r="T2545" t="inlineStr">
        <is>
          <t>25251226975620000130570010000059571001401256</t>
        </is>
      </c>
      <c r="U2545" t="inlineStr">
        <is>
          <t>Não</t>
        </is>
      </c>
    </row>
    <row r="2546">
      <c r="A2546" t="inlineStr">
        <is>
          <t>Frete de venda</t>
        </is>
      </c>
      <c r="B2546" t="inlineStr">
        <is>
          <t>2.01.02 Frete sobre Vendas</t>
        </is>
      </c>
      <c r="C2546" t="inlineStr">
        <is>
          <t>Antes de 2026</t>
        </is>
      </c>
      <c r="D2546" t="inlineStr">
        <is>
          <t>Antes de 2026</t>
        </is>
      </c>
      <c r="E2546" s="28" t="n">
        <v>46002</v>
      </c>
      <c r="F2546" t="inlineStr">
        <is>
          <t>CT-e</t>
        </is>
      </c>
      <c r="G2546" t="inlineStr">
        <is>
          <t>000005958</t>
        </is>
      </c>
      <c r="H2546" t="inlineStr">
        <is>
          <t>R&amp;R TRANSPORTE E LOGISTICA</t>
        </is>
      </c>
      <c r="J2546" s="29" t="n">
        <v>26.33</v>
      </c>
      <c r="K2546" s="29">
        <f>(1-ISNUMBER(SEARCH("556",M2546)))*(O2546*SUMIFS(Premissas!$C$5:$C$44,Premissas!$A$5:$A$44,$A2546,Premissas!$B$5:$B$44,$B2546)+P2546*SUMIFS(Premissas!$D$5:$D$44,Premissas!$A$5:$A$44,$A2546,Premissas!$B$5:$B$44,$B2546))+R2546*SUMIFS(Premissas!$E$5:$E$44,Premissas!$A$5:$A$44,$A2546,Premissas!$B$5:$B$44,$B2546)+S2546*SUMIFS(Premissas!$F$5:$F$44,Premissas!$A$5:$A$44,$A2546,Premissas!$B$5:$B$44,$B2546)</f>
        <v/>
      </c>
      <c r="L2546" s="29">
        <f>J2546-K2546</f>
        <v/>
      </c>
      <c r="M2546" t="inlineStr">
        <is>
          <t>1.350</t>
        </is>
      </c>
      <c r="N2546" t="inlineStr">
        <is>
          <t>Modalidade: 0 - Por conta do remetente | Parte: DISTRIBUIDORA ISAGAM LTDA (41.809.575/0001-37)</t>
        </is>
      </c>
      <c r="O2546" s="29" t="n">
        <v>0</v>
      </c>
      <c r="P2546" s="29" t="n">
        <v>0</v>
      </c>
      <c r="Q2546" s="29" t="n">
        <v>0</v>
      </c>
      <c r="R2546" s="29" t="n">
        <v>0</v>
      </c>
      <c r="S2546" s="29" t="n">
        <v>0</v>
      </c>
      <c r="T2546" t="inlineStr">
        <is>
          <t>25251226975620000130570010000059581001101330</t>
        </is>
      </c>
      <c r="U2546" t="inlineStr">
        <is>
          <t>Não</t>
        </is>
      </c>
    </row>
    <row r="2547">
      <c r="A2547" t="inlineStr">
        <is>
          <t>Frete de venda</t>
        </is>
      </c>
      <c r="B2547" t="inlineStr">
        <is>
          <t>2.01.02 Frete sobre Vendas</t>
        </is>
      </c>
      <c r="C2547" t="inlineStr">
        <is>
          <t>Antes de 2026</t>
        </is>
      </c>
      <c r="D2547" t="inlineStr">
        <is>
          <t>Antes de 2026</t>
        </is>
      </c>
      <c r="E2547" s="28" t="n">
        <v>46002</v>
      </c>
      <c r="F2547" t="inlineStr">
        <is>
          <t>CT-e</t>
        </is>
      </c>
      <c r="G2547" t="inlineStr">
        <is>
          <t>000005959</t>
        </is>
      </c>
      <c r="H2547" t="inlineStr">
        <is>
          <t>R&amp;R TRANSPORTE E LOGISTICA</t>
        </is>
      </c>
      <c r="J2547" s="29" t="n">
        <v>32.55</v>
      </c>
      <c r="K2547" s="29">
        <f>(1-ISNUMBER(SEARCH("556",M2547)))*(O2547*SUMIFS(Premissas!$C$5:$C$44,Premissas!$A$5:$A$44,$A2547,Premissas!$B$5:$B$44,$B2547)+P2547*SUMIFS(Premissas!$D$5:$D$44,Premissas!$A$5:$A$44,$A2547,Premissas!$B$5:$B$44,$B2547))+R2547*SUMIFS(Premissas!$E$5:$E$44,Premissas!$A$5:$A$44,$A2547,Premissas!$B$5:$B$44,$B2547)+S2547*SUMIFS(Premissas!$F$5:$F$44,Premissas!$A$5:$A$44,$A2547,Premissas!$B$5:$B$44,$B2547)</f>
        <v/>
      </c>
      <c r="L2547" s="29">
        <f>J2547-K2547</f>
        <v/>
      </c>
      <c r="M2547" t="inlineStr">
        <is>
          <t>1.350</t>
        </is>
      </c>
      <c r="N2547" t="inlineStr">
        <is>
          <t>Modalidade: 0 - Por conta do remetente | Parte: COMERCIAL DE UTILIDADES MULT MATOS LTDA (35.027.191/0001-60)</t>
        </is>
      </c>
      <c r="O2547" s="29" t="n">
        <v>0</v>
      </c>
      <c r="P2547" s="29" t="n">
        <v>0</v>
      </c>
      <c r="Q2547" s="29" t="n">
        <v>0</v>
      </c>
      <c r="R2547" s="29" t="n">
        <v>0</v>
      </c>
      <c r="S2547" s="29" t="n">
        <v>0</v>
      </c>
      <c r="T2547" t="inlineStr">
        <is>
          <t>25251226975620000130570010000059591001901415</t>
        </is>
      </c>
      <c r="U2547" t="inlineStr">
        <is>
          <t>Não</t>
        </is>
      </c>
    </row>
    <row r="2548">
      <c r="A2548" t="inlineStr">
        <is>
          <t>Frete de venda</t>
        </is>
      </c>
      <c r="B2548" t="inlineStr">
        <is>
          <t>2.01.02 Frete sobre Vendas</t>
        </is>
      </c>
      <c r="C2548" t="inlineStr">
        <is>
          <t>Antes de 2026</t>
        </is>
      </c>
      <c r="D2548" t="inlineStr">
        <is>
          <t>Antes de 2026</t>
        </is>
      </c>
      <c r="E2548" s="28" t="n">
        <v>46002</v>
      </c>
      <c r="F2548" t="inlineStr">
        <is>
          <t>CT-e</t>
        </is>
      </c>
      <c r="G2548" t="inlineStr">
        <is>
          <t>000005960</t>
        </is>
      </c>
      <c r="H2548" t="inlineStr">
        <is>
          <t>R&amp;R TRANSPORTE E LOGISTICA</t>
        </is>
      </c>
      <c r="J2548" s="29" t="n">
        <v>24.81</v>
      </c>
      <c r="K2548" s="29">
        <f>(1-ISNUMBER(SEARCH("556",M2548)))*(O2548*SUMIFS(Premissas!$C$5:$C$44,Premissas!$A$5:$A$44,$A2548,Premissas!$B$5:$B$44,$B2548)+P2548*SUMIFS(Premissas!$D$5:$D$44,Premissas!$A$5:$A$44,$A2548,Premissas!$B$5:$B$44,$B2548))+R2548*SUMIFS(Premissas!$E$5:$E$44,Premissas!$A$5:$A$44,$A2548,Premissas!$B$5:$B$44,$B2548)+S2548*SUMIFS(Premissas!$F$5:$F$44,Premissas!$A$5:$A$44,$A2548,Premissas!$B$5:$B$44,$B2548)</f>
        <v/>
      </c>
      <c r="L2548" s="29">
        <f>J2548-K2548</f>
        <v/>
      </c>
      <c r="M2548" t="inlineStr">
        <is>
          <t>1.350</t>
        </is>
      </c>
      <c r="N2548" t="inlineStr">
        <is>
          <t>Modalidade: 0 - Por conta do remetente | Parte: DISTRIBUIDORA DE EMBALAGENS E DESCARTAVEIS UNIAO LTDA (31.837.955/0001-21)</t>
        </is>
      </c>
      <c r="O2548" s="29" t="n">
        <v>0</v>
      </c>
      <c r="P2548" s="29" t="n">
        <v>0</v>
      </c>
      <c r="Q2548" s="29" t="n">
        <v>0</v>
      </c>
      <c r="R2548" s="29" t="n">
        <v>0</v>
      </c>
      <c r="S2548" s="29" t="n">
        <v>0</v>
      </c>
      <c r="T2548" t="inlineStr">
        <is>
          <t>25251226975620000130570010000059601001601498</t>
        </is>
      </c>
      <c r="U2548" t="inlineStr">
        <is>
          <t>Não</t>
        </is>
      </c>
    </row>
    <row r="2549">
      <c r="A2549" t="inlineStr">
        <is>
          <t>Frete de venda</t>
        </is>
      </c>
      <c r="B2549" t="inlineStr">
        <is>
          <t>2.01.02 Frete sobre Vendas</t>
        </is>
      </c>
      <c r="C2549" t="inlineStr">
        <is>
          <t>Antes de 2026</t>
        </is>
      </c>
      <c r="D2549" t="inlineStr">
        <is>
          <t>Antes de 2026</t>
        </is>
      </c>
      <c r="E2549" s="28" t="n">
        <v>46002</v>
      </c>
      <c r="F2549" t="inlineStr">
        <is>
          <t>CT-e</t>
        </is>
      </c>
      <c r="G2549" t="inlineStr">
        <is>
          <t>000005961</t>
        </is>
      </c>
      <c r="H2549" t="inlineStr">
        <is>
          <t>R&amp;R TRANSPORTE E LOGISTICA</t>
        </is>
      </c>
      <c r="J2549" s="29" t="n">
        <v>72.72</v>
      </c>
      <c r="K2549" s="29">
        <f>(1-ISNUMBER(SEARCH("556",M2549)))*(O2549*SUMIFS(Premissas!$C$5:$C$44,Premissas!$A$5:$A$44,$A2549,Premissas!$B$5:$B$44,$B2549)+P2549*SUMIFS(Premissas!$D$5:$D$44,Premissas!$A$5:$A$44,$A2549,Premissas!$B$5:$B$44,$B2549))+R2549*SUMIFS(Premissas!$E$5:$E$44,Premissas!$A$5:$A$44,$A2549,Premissas!$B$5:$B$44,$B2549)+S2549*SUMIFS(Premissas!$F$5:$F$44,Premissas!$A$5:$A$44,$A2549,Premissas!$B$5:$B$44,$B2549)</f>
        <v/>
      </c>
      <c r="L2549" s="29">
        <f>J2549-K2549</f>
        <v/>
      </c>
      <c r="M2549" t="inlineStr">
        <is>
          <t>1.350</t>
        </is>
      </c>
      <c r="N2549" t="inlineStr">
        <is>
          <t>Modalidade: 0 - Por conta do remetente | Parte: SELLPACK DISTRIBUIDORA LTDA (07.747.107/0002-28)</t>
        </is>
      </c>
      <c r="O2549" s="29" t="n">
        <v>0</v>
      </c>
      <c r="P2549" s="29" t="n">
        <v>0</v>
      </c>
      <c r="Q2549" s="29" t="n">
        <v>0</v>
      </c>
      <c r="R2549" s="29" t="n">
        <v>0</v>
      </c>
      <c r="S2549" s="29" t="n">
        <v>0</v>
      </c>
      <c r="T2549" t="inlineStr">
        <is>
          <t>25251226975620000130570010000059611001301572</t>
        </is>
      </c>
      <c r="U2549" t="inlineStr">
        <is>
          <t>Não</t>
        </is>
      </c>
    </row>
    <row r="2550">
      <c r="A2550" t="inlineStr">
        <is>
          <t>Frete de venda</t>
        </is>
      </c>
      <c r="B2550" t="inlineStr">
        <is>
          <t>2.01.02 Frete sobre Vendas</t>
        </is>
      </c>
      <c r="C2550" t="inlineStr">
        <is>
          <t>Antes de 2026</t>
        </is>
      </c>
      <c r="D2550" t="inlineStr">
        <is>
          <t>Antes de 2026</t>
        </is>
      </c>
      <c r="E2550" s="28" t="n">
        <v>46002</v>
      </c>
      <c r="F2550" t="inlineStr">
        <is>
          <t>CT-e</t>
        </is>
      </c>
      <c r="G2550" t="inlineStr">
        <is>
          <t>000005962</t>
        </is>
      </c>
      <c r="H2550" t="inlineStr">
        <is>
          <t>R&amp;R TRANSPORTE E LOGISTICA</t>
        </is>
      </c>
      <c r="J2550" s="29" t="n">
        <v>38.37</v>
      </c>
      <c r="K2550" s="29">
        <f>(1-ISNUMBER(SEARCH("556",M2550)))*(O2550*SUMIFS(Premissas!$C$5:$C$44,Premissas!$A$5:$A$44,$A2550,Premissas!$B$5:$B$44,$B2550)+P2550*SUMIFS(Premissas!$D$5:$D$44,Premissas!$A$5:$A$44,$A2550,Premissas!$B$5:$B$44,$B2550))+R2550*SUMIFS(Premissas!$E$5:$E$44,Premissas!$A$5:$A$44,$A2550,Premissas!$B$5:$B$44,$B2550)+S2550*SUMIFS(Premissas!$F$5:$F$44,Premissas!$A$5:$A$44,$A2550,Premissas!$B$5:$B$44,$B2550)</f>
        <v/>
      </c>
      <c r="L2550" s="29">
        <f>J2550-K2550</f>
        <v/>
      </c>
      <c r="M2550" t="inlineStr">
        <is>
          <t>1.350</t>
        </is>
      </c>
      <c r="N2550" t="inlineStr">
        <is>
          <t>Modalidade: 0 - Por conta do remetente | Parte: PINGO EMBALAGENS LTDA (02.959.832/0001-65)</t>
        </is>
      </c>
      <c r="O2550" s="29" t="n">
        <v>0</v>
      </c>
      <c r="P2550" s="29" t="n">
        <v>0</v>
      </c>
      <c r="Q2550" s="29" t="n">
        <v>0</v>
      </c>
      <c r="R2550" s="29" t="n">
        <v>0</v>
      </c>
      <c r="S2550" s="29" t="n">
        <v>0</v>
      </c>
      <c r="T2550" t="inlineStr">
        <is>
          <t>25251226975620000130570010000059621000140920</t>
        </is>
      </c>
      <c r="U2550" t="inlineStr">
        <is>
          <t>Não</t>
        </is>
      </c>
    </row>
    <row r="2551">
      <c r="A2551" t="inlineStr">
        <is>
          <t>Frete de venda</t>
        </is>
      </c>
      <c r="B2551" t="inlineStr">
        <is>
          <t>2.01.02 Frete sobre Vendas</t>
        </is>
      </c>
      <c r="C2551" t="inlineStr">
        <is>
          <t>Antes de 2026</t>
        </is>
      </c>
      <c r="D2551" t="inlineStr">
        <is>
          <t>Antes de 2026</t>
        </is>
      </c>
      <c r="E2551" s="28" t="n">
        <v>46002</v>
      </c>
      <c r="F2551" t="inlineStr">
        <is>
          <t>CT-e</t>
        </is>
      </c>
      <c r="G2551" t="inlineStr">
        <is>
          <t>000005963</t>
        </is>
      </c>
      <c r="H2551" t="inlineStr">
        <is>
          <t>R&amp;R TRANSPORTE E LOGISTICA</t>
        </is>
      </c>
      <c r="J2551" s="29" t="n">
        <v>42.01</v>
      </c>
      <c r="K2551" s="29">
        <f>(1-ISNUMBER(SEARCH("556",M2551)))*(O2551*SUMIFS(Premissas!$C$5:$C$44,Premissas!$A$5:$A$44,$A2551,Premissas!$B$5:$B$44,$B2551)+P2551*SUMIFS(Premissas!$D$5:$D$44,Premissas!$A$5:$A$44,$A2551,Premissas!$B$5:$B$44,$B2551))+R2551*SUMIFS(Premissas!$E$5:$E$44,Premissas!$A$5:$A$44,$A2551,Premissas!$B$5:$B$44,$B2551)+S2551*SUMIFS(Premissas!$F$5:$F$44,Premissas!$A$5:$A$44,$A2551,Premissas!$B$5:$B$44,$B2551)</f>
        <v/>
      </c>
      <c r="L2551" s="29">
        <f>J2551-K2551</f>
        <v/>
      </c>
      <c r="M2551" t="inlineStr">
        <is>
          <t>1.350</t>
        </is>
      </c>
      <c r="N2551" t="inlineStr">
        <is>
          <t>Modalidade: 0 - Por conta do remetente | Parte: DISTRIBUIDORA PERIMAR LTDA (10.467.131/0001-37)</t>
        </is>
      </c>
      <c r="O2551" s="29" t="n">
        <v>0</v>
      </c>
      <c r="P2551" s="29" t="n">
        <v>0</v>
      </c>
      <c r="Q2551" s="29" t="n">
        <v>0</v>
      </c>
      <c r="R2551" s="29" t="n">
        <v>0</v>
      </c>
      <c r="S2551" s="29" t="n">
        <v>0</v>
      </c>
      <c r="T2551" t="inlineStr">
        <is>
          <t>25251226975620000130570010000059631001101004</t>
        </is>
      </c>
      <c r="U2551" t="inlineStr">
        <is>
          <t>Não</t>
        </is>
      </c>
    </row>
    <row r="2552">
      <c r="A2552" t="inlineStr">
        <is>
          <t>Frete de venda</t>
        </is>
      </c>
      <c r="B2552" t="inlineStr">
        <is>
          <t>2.01.02 Frete sobre Vendas</t>
        </is>
      </c>
      <c r="C2552" t="inlineStr">
        <is>
          <t>Antes de 2026</t>
        </is>
      </c>
      <c r="D2552" t="inlineStr">
        <is>
          <t>Antes de 2026</t>
        </is>
      </c>
      <c r="E2552" s="28" t="n">
        <v>46002</v>
      </c>
      <c r="F2552" t="inlineStr">
        <is>
          <t>CT-e</t>
        </is>
      </c>
      <c r="G2552" t="inlineStr">
        <is>
          <t>000005964</t>
        </is>
      </c>
      <c r="H2552" t="inlineStr">
        <is>
          <t>R&amp;R TRANSPORTE E LOGISTICA</t>
        </is>
      </c>
      <c r="J2552" s="29" t="n">
        <v>28.17</v>
      </c>
      <c r="K2552" s="29">
        <f>(1-ISNUMBER(SEARCH("556",M2552)))*(O2552*SUMIFS(Premissas!$C$5:$C$44,Premissas!$A$5:$A$44,$A2552,Premissas!$B$5:$B$44,$B2552)+P2552*SUMIFS(Premissas!$D$5:$D$44,Premissas!$A$5:$A$44,$A2552,Premissas!$B$5:$B$44,$B2552))+R2552*SUMIFS(Premissas!$E$5:$E$44,Premissas!$A$5:$A$44,$A2552,Premissas!$B$5:$B$44,$B2552)+S2552*SUMIFS(Premissas!$F$5:$F$44,Premissas!$A$5:$A$44,$A2552,Premissas!$B$5:$B$44,$B2552)</f>
        <v/>
      </c>
      <c r="L2552" s="29">
        <f>J2552-K2552</f>
        <v/>
      </c>
      <c r="M2552" t="inlineStr">
        <is>
          <t>1.350</t>
        </is>
      </c>
      <c r="N2552" t="inlineStr">
        <is>
          <t>Modalidade: 0 - Por conta do remetente | Parte: GOVAL EMBALAGENS LTDA (08.390.019/0001-01)</t>
        </is>
      </c>
      <c r="O2552" s="29" t="n">
        <v>0</v>
      </c>
      <c r="P2552" s="29" t="n">
        <v>0</v>
      </c>
      <c r="Q2552" s="29" t="n">
        <v>0</v>
      </c>
      <c r="R2552" s="29" t="n">
        <v>0</v>
      </c>
      <c r="S2552" s="29" t="n">
        <v>0</v>
      </c>
      <c r="T2552" t="inlineStr">
        <is>
          <t>25251226975620000130570010000059641001901083</t>
        </is>
      </c>
      <c r="U2552" t="inlineStr">
        <is>
          <t>Não</t>
        </is>
      </c>
    </row>
    <row r="2553">
      <c r="A2553" t="inlineStr">
        <is>
          <t>Frete de venda</t>
        </is>
      </c>
      <c r="B2553" t="inlineStr">
        <is>
          <t>2.01.02 Frete sobre Vendas</t>
        </is>
      </c>
      <c r="C2553" t="inlineStr">
        <is>
          <t>Antes de 2026</t>
        </is>
      </c>
      <c r="D2553" t="inlineStr">
        <is>
          <t>Antes de 2026</t>
        </is>
      </c>
      <c r="E2553" s="28" t="n">
        <v>46002</v>
      </c>
      <c r="F2553" t="inlineStr">
        <is>
          <t>CT-e</t>
        </is>
      </c>
      <c r="G2553" t="inlineStr">
        <is>
          <t>000005965</t>
        </is>
      </c>
      <c r="H2553" t="inlineStr">
        <is>
          <t>R&amp;R TRANSPORTE E LOGISTICA</t>
        </is>
      </c>
      <c r="J2553" s="29" t="n">
        <v>1400</v>
      </c>
      <c r="K2553" s="29">
        <f>(1-ISNUMBER(SEARCH("556",M2553)))*(O2553*SUMIFS(Premissas!$C$5:$C$44,Premissas!$A$5:$A$44,$A2553,Premissas!$B$5:$B$44,$B2553)+P2553*SUMIFS(Premissas!$D$5:$D$44,Premissas!$A$5:$A$44,$A2553,Premissas!$B$5:$B$44,$B2553))+R2553*SUMIFS(Premissas!$E$5:$E$44,Premissas!$A$5:$A$44,$A2553,Premissas!$B$5:$B$44,$B2553)+S2553*SUMIFS(Premissas!$F$5:$F$44,Premissas!$A$5:$A$44,$A2553,Premissas!$B$5:$B$44,$B2553)</f>
        <v/>
      </c>
      <c r="L2553" s="29">
        <f>J2553-K2553</f>
        <v/>
      </c>
      <c r="M2553" t="inlineStr">
        <is>
          <t>1.350</t>
        </is>
      </c>
      <c r="N2553" t="inlineStr">
        <is>
          <t>Modalidade: 0 - Por conta do remetente | Parte: C M OLIVEIRA ATACADO (41.098.526/0001-33)</t>
        </is>
      </c>
      <c r="O2553" s="29" t="n">
        <v>0</v>
      </c>
      <c r="P2553" s="29" t="n">
        <v>0</v>
      </c>
      <c r="Q2553" s="29" t="n">
        <v>0</v>
      </c>
      <c r="R2553" s="29" t="n">
        <v>0</v>
      </c>
      <c r="S2553" s="29" t="n">
        <v>0</v>
      </c>
      <c r="T2553" t="inlineStr">
        <is>
          <t>25251226975620000130570010000059651001601168</t>
        </is>
      </c>
      <c r="U2553" t="inlineStr">
        <is>
          <t>Não</t>
        </is>
      </c>
    </row>
    <row r="2554">
      <c r="A2554" t="inlineStr">
        <is>
          <t>Frete de venda</t>
        </is>
      </c>
      <c r="B2554" t="inlineStr">
        <is>
          <t>2.01.02 Frete sobre Vendas</t>
        </is>
      </c>
      <c r="C2554" t="inlineStr">
        <is>
          <t>Antes de 2026</t>
        </is>
      </c>
      <c r="D2554" t="inlineStr">
        <is>
          <t>Antes de 2026</t>
        </is>
      </c>
      <c r="E2554" s="28" t="n">
        <v>46003</v>
      </c>
      <c r="F2554" t="inlineStr">
        <is>
          <t>CT-e</t>
        </is>
      </c>
      <c r="G2554" t="inlineStr">
        <is>
          <t>000005969</t>
        </is>
      </c>
      <c r="H2554" t="inlineStr">
        <is>
          <t>R&amp;R TRANSPORTE E LOGISTICA</t>
        </is>
      </c>
      <c r="J2554" s="29" t="n">
        <v>700</v>
      </c>
      <c r="K2554" s="29">
        <f>(1-ISNUMBER(SEARCH("556",M2554)))*(O2554*SUMIFS(Premissas!$C$5:$C$44,Premissas!$A$5:$A$44,$A2554,Premissas!$B$5:$B$44,$B2554)+P2554*SUMIFS(Premissas!$D$5:$D$44,Premissas!$A$5:$A$44,$A2554,Premissas!$B$5:$B$44,$B2554))+R2554*SUMIFS(Premissas!$E$5:$E$44,Premissas!$A$5:$A$44,$A2554,Premissas!$B$5:$B$44,$B2554)+S2554*SUMIFS(Premissas!$F$5:$F$44,Premissas!$A$5:$A$44,$A2554,Premissas!$B$5:$B$44,$B2554)</f>
        <v/>
      </c>
      <c r="L2554" s="29">
        <f>J2554-K2554</f>
        <v/>
      </c>
      <c r="M2554" t="inlineStr">
        <is>
          <t>1.350</t>
        </is>
      </c>
      <c r="N2554" t="inlineStr">
        <is>
          <t>Modalidade: 0 - Por conta do remetente | Parte: M X COMERCIO E SERVICOS LTDA (11.028.612/0001-09)</t>
        </is>
      </c>
      <c r="O2554" s="29" t="n">
        <v>0</v>
      </c>
      <c r="P2554" s="29" t="n">
        <v>0</v>
      </c>
      <c r="Q2554" s="29" t="n">
        <v>0</v>
      </c>
      <c r="R2554" s="29" t="n">
        <v>0</v>
      </c>
      <c r="S2554" s="29" t="n">
        <v>0</v>
      </c>
      <c r="T2554" t="inlineStr">
        <is>
          <t>25251226975620000130570010000059691000160728</t>
        </is>
      </c>
      <c r="U2554" t="inlineStr">
        <is>
          <t>Não</t>
        </is>
      </c>
    </row>
    <row r="2555">
      <c r="A2555" t="inlineStr">
        <is>
          <t>Frete de venda</t>
        </is>
      </c>
      <c r="B2555" t="inlineStr">
        <is>
          <t>2.01.02 Frete sobre Vendas</t>
        </is>
      </c>
      <c r="C2555" t="inlineStr">
        <is>
          <t>Antes de 2026</t>
        </is>
      </c>
      <c r="D2555" t="inlineStr">
        <is>
          <t>Antes de 2026</t>
        </is>
      </c>
      <c r="E2555" s="28" t="n">
        <v>46004</v>
      </c>
      <c r="F2555" t="inlineStr">
        <is>
          <t>CT-e</t>
        </is>
      </c>
      <c r="G2555" t="inlineStr">
        <is>
          <t>000005970</t>
        </is>
      </c>
      <c r="H2555" t="inlineStr">
        <is>
          <t>R&amp;R TRANSPORTE E LOGISTICA</t>
        </is>
      </c>
      <c r="J2555" s="29" t="n">
        <v>51.68</v>
      </c>
      <c r="K2555" s="29">
        <f>(1-ISNUMBER(SEARCH("556",M2555)))*(O2555*SUMIFS(Premissas!$C$5:$C$44,Premissas!$A$5:$A$44,$A2555,Premissas!$B$5:$B$44,$B2555)+P2555*SUMIFS(Premissas!$D$5:$D$44,Premissas!$A$5:$A$44,$A2555,Premissas!$B$5:$B$44,$B2555))+R2555*SUMIFS(Premissas!$E$5:$E$44,Premissas!$A$5:$A$44,$A2555,Premissas!$B$5:$B$44,$B2555)+S2555*SUMIFS(Premissas!$F$5:$F$44,Premissas!$A$5:$A$44,$A2555,Premissas!$B$5:$B$44,$B2555)</f>
        <v/>
      </c>
      <c r="L2555" s="29">
        <f>J2555-K2555</f>
        <v/>
      </c>
      <c r="M2555" t="inlineStr">
        <is>
          <t>1.350</t>
        </is>
      </c>
      <c r="N2555" t="inlineStr">
        <is>
          <t>Modalidade: 0 - Por conta do remetente | Parte: TORRES DISTRIBUIDORA ATACADISTA DE EMBALAGENS PLASTICAS ... (26.748.294/0001-28)</t>
        </is>
      </c>
      <c r="O2555" s="29" t="n">
        <v>0</v>
      </c>
      <c r="P2555" s="29" t="n">
        <v>0</v>
      </c>
      <c r="Q2555" s="29" t="n">
        <v>0</v>
      </c>
      <c r="R2555" s="29" t="n">
        <v>0</v>
      </c>
      <c r="S2555" s="29" t="n">
        <v>0</v>
      </c>
      <c r="T2555" t="inlineStr">
        <is>
          <t>25251226975620000130570010000059701011001201</t>
        </is>
      </c>
      <c r="U2555" t="inlineStr">
        <is>
          <t>Não</t>
        </is>
      </c>
    </row>
    <row r="2556">
      <c r="A2556" t="inlineStr">
        <is>
          <t>Frete de venda</t>
        </is>
      </c>
      <c r="B2556" t="inlineStr">
        <is>
          <t>2.01.02 Frete sobre Vendas</t>
        </is>
      </c>
      <c r="C2556" t="inlineStr">
        <is>
          <t>Antes de 2026</t>
        </is>
      </c>
      <c r="D2556" t="inlineStr">
        <is>
          <t>Antes de 2026</t>
        </is>
      </c>
      <c r="E2556" s="28" t="n">
        <v>46004</v>
      </c>
      <c r="F2556" t="inlineStr">
        <is>
          <t>CT-e</t>
        </is>
      </c>
      <c r="G2556" t="inlineStr">
        <is>
          <t>000005971</t>
        </is>
      </c>
      <c r="H2556" t="inlineStr">
        <is>
          <t>R&amp;R TRANSPORTE E LOGISTICA</t>
        </is>
      </c>
      <c r="J2556" s="29" t="n">
        <v>35.13</v>
      </c>
      <c r="K2556" s="29">
        <f>(1-ISNUMBER(SEARCH("556",M2556)))*(O2556*SUMIFS(Premissas!$C$5:$C$44,Premissas!$A$5:$A$44,$A2556,Premissas!$B$5:$B$44,$B2556)+P2556*SUMIFS(Premissas!$D$5:$D$44,Premissas!$A$5:$A$44,$A2556,Premissas!$B$5:$B$44,$B2556))+R2556*SUMIFS(Premissas!$E$5:$E$44,Premissas!$A$5:$A$44,$A2556,Premissas!$B$5:$B$44,$B2556)+S2556*SUMIFS(Premissas!$F$5:$F$44,Premissas!$A$5:$A$44,$A2556,Premissas!$B$5:$B$44,$B2556)</f>
        <v/>
      </c>
      <c r="L2556" s="29">
        <f>J2556-K2556</f>
        <v/>
      </c>
      <c r="M2556" t="inlineStr">
        <is>
          <t>1.350</t>
        </is>
      </c>
      <c r="N2556" t="inlineStr">
        <is>
          <t>Modalidade: 0 - Por conta do remetente | Parte: JND DISTRIBUIDORA LTDA (36.332.668/0001-83)</t>
        </is>
      </c>
      <c r="O2556" s="29" t="n">
        <v>0</v>
      </c>
      <c r="P2556" s="29" t="n">
        <v>0</v>
      </c>
      <c r="Q2556" s="29" t="n">
        <v>0</v>
      </c>
      <c r="R2556" s="29" t="n">
        <v>0</v>
      </c>
      <c r="S2556" s="29" t="n">
        <v>0</v>
      </c>
      <c r="T2556" t="inlineStr">
        <is>
          <t>25251226975620000130570010000059711001701283</t>
        </is>
      </c>
      <c r="U2556" t="inlineStr">
        <is>
          <t>Não</t>
        </is>
      </c>
    </row>
    <row r="2557">
      <c r="A2557" t="inlineStr">
        <is>
          <t>Frete de venda</t>
        </is>
      </c>
      <c r="B2557" t="inlineStr">
        <is>
          <t>2.01.02 Frete sobre Vendas</t>
        </is>
      </c>
      <c r="C2557" t="inlineStr">
        <is>
          <t>Antes de 2026</t>
        </is>
      </c>
      <c r="D2557" t="inlineStr">
        <is>
          <t>Antes de 2026</t>
        </is>
      </c>
      <c r="E2557" s="28" t="n">
        <v>46004</v>
      </c>
      <c r="F2557" t="inlineStr">
        <is>
          <t>CT-e</t>
        </is>
      </c>
      <c r="G2557" t="inlineStr">
        <is>
          <t>000005972</t>
        </is>
      </c>
      <c r="H2557" t="inlineStr">
        <is>
          <t>R&amp;R TRANSPORTE E LOGISTICA</t>
        </is>
      </c>
      <c r="J2557" s="29" t="n">
        <v>66.90000000000001</v>
      </c>
      <c r="K2557" s="29">
        <f>(1-ISNUMBER(SEARCH("556",M2557)))*(O2557*SUMIFS(Premissas!$C$5:$C$44,Premissas!$A$5:$A$44,$A2557,Premissas!$B$5:$B$44,$B2557)+P2557*SUMIFS(Premissas!$D$5:$D$44,Premissas!$A$5:$A$44,$A2557,Premissas!$B$5:$B$44,$B2557))+R2557*SUMIFS(Premissas!$E$5:$E$44,Premissas!$A$5:$A$44,$A2557,Premissas!$B$5:$B$44,$B2557)+S2557*SUMIFS(Premissas!$F$5:$F$44,Premissas!$A$5:$A$44,$A2557,Premissas!$B$5:$B$44,$B2557)</f>
        <v/>
      </c>
      <c r="L2557" s="29">
        <f>J2557-K2557</f>
        <v/>
      </c>
      <c r="M2557" t="inlineStr">
        <is>
          <t>1.350</t>
        </is>
      </c>
      <c r="N2557" t="inlineStr">
        <is>
          <t>Modalidade: 0 - Por conta do remetente | Parte: FORTALI DISTRIBUIDORA DE ALIMENTOS LTDA. (09.317.318/0001-75)</t>
        </is>
      </c>
      <c r="O2557" s="29" t="n">
        <v>0</v>
      </c>
      <c r="P2557" s="29" t="n">
        <v>0</v>
      </c>
      <c r="Q2557" s="29" t="n">
        <v>0</v>
      </c>
      <c r="R2557" s="29" t="n">
        <v>0</v>
      </c>
      <c r="S2557" s="29" t="n">
        <v>0</v>
      </c>
      <c r="T2557" t="inlineStr">
        <is>
          <t>25251226975620000130570010000059721000180635</t>
        </is>
      </c>
      <c r="U2557" t="inlineStr">
        <is>
          <t>Não</t>
        </is>
      </c>
    </row>
    <row r="2558">
      <c r="A2558" t="inlineStr">
        <is>
          <t>Frete de venda</t>
        </is>
      </c>
      <c r="B2558" t="inlineStr">
        <is>
          <t>2.01.02 Frete sobre Vendas</t>
        </is>
      </c>
      <c r="C2558" t="inlineStr">
        <is>
          <t>Antes de 2026</t>
        </is>
      </c>
      <c r="D2558" t="inlineStr">
        <is>
          <t>Antes de 2026</t>
        </is>
      </c>
      <c r="E2558" s="28" t="n">
        <v>46004</v>
      </c>
      <c r="F2558" t="inlineStr">
        <is>
          <t>CT-e</t>
        </is>
      </c>
      <c r="G2558" t="inlineStr">
        <is>
          <t>000005973</t>
        </is>
      </c>
      <c r="H2558" t="inlineStr">
        <is>
          <t>R&amp;R TRANSPORTE E LOGISTICA</t>
        </is>
      </c>
      <c r="J2558" s="29" t="n">
        <v>31.3</v>
      </c>
      <c r="K2558" s="29">
        <f>(1-ISNUMBER(SEARCH("556",M2558)))*(O2558*SUMIFS(Premissas!$C$5:$C$44,Premissas!$A$5:$A$44,$A2558,Premissas!$B$5:$B$44,$B2558)+P2558*SUMIFS(Premissas!$D$5:$D$44,Premissas!$A$5:$A$44,$A2558,Premissas!$B$5:$B$44,$B2558))+R2558*SUMIFS(Premissas!$E$5:$E$44,Premissas!$A$5:$A$44,$A2558,Premissas!$B$5:$B$44,$B2558)+S2558*SUMIFS(Premissas!$F$5:$F$44,Premissas!$A$5:$A$44,$A2558,Premissas!$B$5:$B$44,$B2558)</f>
        <v/>
      </c>
      <c r="L2558" s="29">
        <f>J2558-K2558</f>
        <v/>
      </c>
      <c r="M2558" t="inlineStr">
        <is>
          <t>1.350</t>
        </is>
      </c>
      <c r="N2558" t="inlineStr">
        <is>
          <t>Modalidade: 0 - Por conta do remetente | Parte: BM - JACKSON JEAN OLIVEIRA (32.079.958/0001-06)</t>
        </is>
      </c>
      <c r="O2558" s="29" t="n">
        <v>0</v>
      </c>
      <c r="P2558" s="29" t="n">
        <v>0</v>
      </c>
      <c r="Q2558" s="29" t="n">
        <v>0</v>
      </c>
      <c r="R2558" s="29" t="n">
        <v>0</v>
      </c>
      <c r="S2558" s="29" t="n">
        <v>0</v>
      </c>
      <c r="T2558" t="inlineStr">
        <is>
          <t>25251226975620000130570010000059731000150717</t>
        </is>
      </c>
      <c r="U2558" t="inlineStr">
        <is>
          <t>Não</t>
        </is>
      </c>
    </row>
    <row r="2559">
      <c r="A2559" t="inlineStr">
        <is>
          <t>Frete de venda</t>
        </is>
      </c>
      <c r="B2559" t="inlineStr">
        <is>
          <t>2.01.02 Frete sobre Vendas</t>
        </is>
      </c>
      <c r="C2559" t="inlineStr">
        <is>
          <t>Antes de 2026</t>
        </is>
      </c>
      <c r="D2559" t="inlineStr">
        <is>
          <t>Antes de 2026</t>
        </is>
      </c>
      <c r="E2559" s="28" t="n">
        <v>46004</v>
      </c>
      <c r="F2559" t="inlineStr">
        <is>
          <t>CT-e</t>
        </is>
      </c>
      <c r="G2559" t="inlineStr">
        <is>
          <t>000005974</t>
        </is>
      </c>
      <c r="H2559" t="inlineStr">
        <is>
          <t>R&amp;R TRANSPORTE E LOGISTICA</t>
        </is>
      </c>
      <c r="J2559" s="29" t="n">
        <v>31.3</v>
      </c>
      <c r="K2559" s="29">
        <f>(1-ISNUMBER(SEARCH("556",M2559)))*(O2559*SUMIFS(Premissas!$C$5:$C$44,Premissas!$A$5:$A$44,$A2559,Premissas!$B$5:$B$44,$B2559)+P2559*SUMIFS(Premissas!$D$5:$D$44,Premissas!$A$5:$A$44,$A2559,Premissas!$B$5:$B$44,$B2559))+R2559*SUMIFS(Premissas!$E$5:$E$44,Premissas!$A$5:$A$44,$A2559,Premissas!$B$5:$B$44,$B2559)+S2559*SUMIFS(Premissas!$F$5:$F$44,Premissas!$A$5:$A$44,$A2559,Premissas!$B$5:$B$44,$B2559)</f>
        <v/>
      </c>
      <c r="L2559" s="29">
        <f>J2559-K2559</f>
        <v/>
      </c>
      <c r="M2559" t="inlineStr">
        <is>
          <t>1.350</t>
        </is>
      </c>
      <c r="N2559" t="inlineStr">
        <is>
          <t>Modalidade: 0 - Por conta do remetente | Parte: H C COMERCIO DE EMBALAGENS PLASTICA LTDA (69.708.436/0001-36)</t>
        </is>
      </c>
      <c r="O2559" s="29" t="n">
        <v>0</v>
      </c>
      <c r="P2559" s="29" t="n">
        <v>0</v>
      </c>
      <c r="Q2559" s="29" t="n">
        <v>0</v>
      </c>
      <c r="R2559" s="29" t="n">
        <v>0</v>
      </c>
      <c r="S2559" s="29" t="n">
        <v>0</v>
      </c>
      <c r="T2559" t="inlineStr">
        <is>
          <t>25251226975620000130570010000059741000120793</t>
        </is>
      </c>
      <c r="U2559" t="inlineStr">
        <is>
          <t>Não</t>
        </is>
      </c>
    </row>
    <row r="2560">
      <c r="A2560" t="inlineStr">
        <is>
          <t>Frete de venda</t>
        </is>
      </c>
      <c r="B2560" t="inlineStr">
        <is>
          <t>2.01.02 Frete sobre Vendas</t>
        </is>
      </c>
      <c r="C2560" t="inlineStr">
        <is>
          <t>Antes de 2026</t>
        </is>
      </c>
      <c r="D2560" t="inlineStr">
        <is>
          <t>Antes de 2026</t>
        </is>
      </c>
      <c r="E2560" s="28" t="n">
        <v>46004</v>
      </c>
      <c r="F2560" t="inlineStr">
        <is>
          <t>CT-e</t>
        </is>
      </c>
      <c r="G2560" t="inlineStr">
        <is>
          <t>000005975</t>
        </is>
      </c>
      <c r="H2560" t="inlineStr">
        <is>
          <t>R&amp;R TRANSPORTE E LOGISTICA</t>
        </is>
      </c>
      <c r="J2560" s="29" t="n">
        <v>32.63</v>
      </c>
      <c r="K2560" s="29">
        <f>(1-ISNUMBER(SEARCH("556",M2560)))*(O2560*SUMIFS(Premissas!$C$5:$C$44,Premissas!$A$5:$A$44,$A2560,Premissas!$B$5:$B$44,$B2560)+P2560*SUMIFS(Premissas!$D$5:$D$44,Premissas!$A$5:$A$44,$A2560,Premissas!$B$5:$B$44,$B2560))+R2560*SUMIFS(Premissas!$E$5:$E$44,Premissas!$A$5:$A$44,$A2560,Premissas!$B$5:$B$44,$B2560)+S2560*SUMIFS(Premissas!$F$5:$F$44,Premissas!$A$5:$A$44,$A2560,Premissas!$B$5:$B$44,$B2560)</f>
        <v/>
      </c>
      <c r="L2560" s="29">
        <f>J2560-K2560</f>
        <v/>
      </c>
      <c r="M2560" t="inlineStr">
        <is>
          <t>1.350</t>
        </is>
      </c>
      <c r="N2560" t="inlineStr">
        <is>
          <t>Modalidade: 0 - Por conta do remetente | Parte: DOCA COMERCIO DE PRODUTOS ALIMENTICIOS LTDA (15.258.788/0002-99)</t>
        </is>
      </c>
      <c r="O2560" s="29" t="n">
        <v>0</v>
      </c>
      <c r="P2560" s="29" t="n">
        <v>0</v>
      </c>
      <c r="Q2560" s="29" t="n">
        <v>0</v>
      </c>
      <c r="R2560" s="29" t="n">
        <v>0</v>
      </c>
      <c r="S2560" s="29" t="n">
        <v>0</v>
      </c>
      <c r="T2560" t="inlineStr">
        <is>
          <t>25251226975620000130570010000059751001100874</t>
        </is>
      </c>
      <c r="U2560" t="inlineStr">
        <is>
          <t>Não</t>
        </is>
      </c>
    </row>
    <row r="2561">
      <c r="A2561" t="inlineStr">
        <is>
          <t>Frete de venda</t>
        </is>
      </c>
      <c r="B2561" t="inlineStr">
        <is>
          <t>2.01.02 Frete sobre Vendas</t>
        </is>
      </c>
      <c r="C2561" t="inlineStr">
        <is>
          <t>Antes de 2026</t>
        </is>
      </c>
      <c r="D2561" t="inlineStr">
        <is>
          <t>Antes de 2026</t>
        </is>
      </c>
      <c r="E2561" s="28" t="n">
        <v>46004</v>
      </c>
      <c r="F2561" t="inlineStr">
        <is>
          <t>CT-e</t>
        </is>
      </c>
      <c r="G2561" t="inlineStr">
        <is>
          <t>000005976</t>
        </is>
      </c>
      <c r="H2561" t="inlineStr">
        <is>
          <t>R&amp;R TRANSPORTE E LOGISTICA</t>
        </is>
      </c>
      <c r="J2561" s="29" t="n">
        <v>39.27</v>
      </c>
      <c r="K2561" s="29">
        <f>(1-ISNUMBER(SEARCH("556",M2561)))*(O2561*SUMIFS(Premissas!$C$5:$C$44,Premissas!$A$5:$A$44,$A2561,Premissas!$B$5:$B$44,$B2561)+P2561*SUMIFS(Premissas!$D$5:$D$44,Premissas!$A$5:$A$44,$A2561,Premissas!$B$5:$B$44,$B2561))+R2561*SUMIFS(Premissas!$E$5:$E$44,Premissas!$A$5:$A$44,$A2561,Premissas!$B$5:$B$44,$B2561)+S2561*SUMIFS(Premissas!$F$5:$F$44,Premissas!$A$5:$A$44,$A2561,Premissas!$B$5:$B$44,$B2561)</f>
        <v/>
      </c>
      <c r="L2561" s="29">
        <f>J2561-K2561</f>
        <v/>
      </c>
      <c r="M2561" t="inlineStr">
        <is>
          <t>1.350</t>
        </is>
      </c>
      <c r="N2561" t="inlineStr">
        <is>
          <t>Modalidade: 0 - Por conta do remetente | Parte: FEIJAO e SOARES EMBALAGENS LTDA (14.812.790/0001-14)</t>
        </is>
      </c>
      <c r="O2561" s="29" t="n">
        <v>0</v>
      </c>
      <c r="P2561" s="29" t="n">
        <v>0</v>
      </c>
      <c r="Q2561" s="29" t="n">
        <v>0</v>
      </c>
      <c r="R2561" s="29" t="n">
        <v>0</v>
      </c>
      <c r="S2561" s="29" t="n">
        <v>0</v>
      </c>
      <c r="T2561" t="inlineStr">
        <is>
          <t>25251226975620000130570010000059761000170957</t>
        </is>
      </c>
      <c r="U2561" t="inlineStr">
        <is>
          <t>Não</t>
        </is>
      </c>
    </row>
    <row r="2562">
      <c r="A2562" t="inlineStr">
        <is>
          <t>Frete de venda</t>
        </is>
      </c>
      <c r="B2562" t="inlineStr">
        <is>
          <t>2.01.02 Frete sobre Vendas</t>
        </is>
      </c>
      <c r="C2562" t="inlineStr">
        <is>
          <t>Antes de 2026</t>
        </is>
      </c>
      <c r="D2562" t="inlineStr">
        <is>
          <t>Antes de 2026</t>
        </is>
      </c>
      <c r="E2562" s="28" t="n">
        <v>46004</v>
      </c>
      <c r="F2562" t="inlineStr">
        <is>
          <t>CT-e</t>
        </is>
      </c>
      <c r="G2562" t="inlineStr">
        <is>
          <t>000005977</t>
        </is>
      </c>
      <c r="H2562" t="inlineStr">
        <is>
          <t>R&amp;R TRANSPORTE E LOGISTICA</t>
        </is>
      </c>
      <c r="J2562" s="29" t="n">
        <v>33.51</v>
      </c>
      <c r="K2562" s="29">
        <f>(1-ISNUMBER(SEARCH("556",M2562)))*(O2562*SUMIFS(Premissas!$C$5:$C$44,Premissas!$A$5:$A$44,$A2562,Premissas!$B$5:$B$44,$B2562)+P2562*SUMIFS(Premissas!$D$5:$D$44,Premissas!$A$5:$A$44,$A2562,Premissas!$B$5:$B$44,$B2562))+R2562*SUMIFS(Premissas!$E$5:$E$44,Premissas!$A$5:$A$44,$A2562,Premissas!$B$5:$B$44,$B2562)+S2562*SUMIFS(Premissas!$F$5:$F$44,Premissas!$A$5:$A$44,$A2562,Premissas!$B$5:$B$44,$B2562)</f>
        <v/>
      </c>
      <c r="L2562" s="29">
        <f>J2562-K2562</f>
        <v/>
      </c>
      <c r="M2562" t="inlineStr">
        <is>
          <t>1.350</t>
        </is>
      </c>
      <c r="N2562" t="inlineStr">
        <is>
          <t>Modalidade: 0 - Por conta do remetente | Parte: DOCA COMERCIO DE PRODUTOS ALIMENTICIOS LTDA (15.258.788/0001-08)</t>
        </is>
      </c>
      <c r="O2562" s="29" t="n">
        <v>0</v>
      </c>
      <c r="P2562" s="29" t="n">
        <v>0</v>
      </c>
      <c r="Q2562" s="29" t="n">
        <v>0</v>
      </c>
      <c r="R2562" s="29" t="n">
        <v>0</v>
      </c>
      <c r="S2562" s="29" t="n">
        <v>0</v>
      </c>
      <c r="T2562" t="inlineStr">
        <is>
          <t>25251226975620000130570010000059771001401038</t>
        </is>
      </c>
      <c r="U2562" t="inlineStr">
        <is>
          <t>Não</t>
        </is>
      </c>
    </row>
    <row r="2563">
      <c r="A2563" t="inlineStr">
        <is>
          <t>Frete de venda</t>
        </is>
      </c>
      <c r="B2563" t="inlineStr">
        <is>
          <t>2.01.02 Frete sobre Vendas</t>
        </is>
      </c>
      <c r="C2563" t="inlineStr">
        <is>
          <t>Antes de 2026</t>
        </is>
      </c>
      <c r="D2563" t="inlineStr">
        <is>
          <t>Antes de 2026</t>
        </is>
      </c>
      <c r="E2563" s="28" t="n">
        <v>46004</v>
      </c>
      <c r="F2563" t="inlineStr">
        <is>
          <t>CT-e</t>
        </is>
      </c>
      <c r="G2563" t="inlineStr">
        <is>
          <t>000005978</t>
        </is>
      </c>
      <c r="H2563" t="inlineStr">
        <is>
          <t>R&amp;R TRANSPORTE E LOGISTICA</t>
        </is>
      </c>
      <c r="J2563" s="29" t="n">
        <v>31.48</v>
      </c>
      <c r="K2563" s="29">
        <f>(1-ISNUMBER(SEARCH("556",M2563)))*(O2563*SUMIFS(Premissas!$C$5:$C$44,Premissas!$A$5:$A$44,$A2563,Premissas!$B$5:$B$44,$B2563)+P2563*SUMIFS(Premissas!$D$5:$D$44,Premissas!$A$5:$A$44,$A2563,Premissas!$B$5:$B$44,$B2563))+R2563*SUMIFS(Premissas!$E$5:$E$44,Premissas!$A$5:$A$44,$A2563,Premissas!$B$5:$B$44,$B2563)+S2563*SUMIFS(Premissas!$F$5:$F$44,Premissas!$A$5:$A$44,$A2563,Premissas!$B$5:$B$44,$B2563)</f>
        <v/>
      </c>
      <c r="L2563" s="29">
        <f>J2563-K2563</f>
        <v/>
      </c>
      <c r="M2563" t="inlineStr">
        <is>
          <t>1.350</t>
        </is>
      </c>
      <c r="N2563" t="inlineStr">
        <is>
          <t>Modalidade: 0 - Por conta do remetente | Parte: VIP DISTRIBUIDORA DE EMBALAGENS LTDA (51.987.110/0001-20)</t>
        </is>
      </c>
      <c r="O2563" s="29" t="n">
        <v>0</v>
      </c>
      <c r="P2563" s="29" t="n">
        <v>0</v>
      </c>
      <c r="Q2563" s="29" t="n">
        <v>0</v>
      </c>
      <c r="R2563" s="29" t="n">
        <v>0</v>
      </c>
      <c r="S2563" s="29" t="n">
        <v>0</v>
      </c>
      <c r="T2563" t="inlineStr">
        <is>
          <t>25251226975620000130570010000059781001101112</t>
        </is>
      </c>
      <c r="U2563" t="inlineStr">
        <is>
          <t>Não</t>
        </is>
      </c>
    </row>
    <row r="2564">
      <c r="A2564" t="inlineStr">
        <is>
          <t>Frete de venda</t>
        </is>
      </c>
      <c r="B2564" t="inlineStr">
        <is>
          <t>2.01.02 Frete sobre Vendas</t>
        </is>
      </c>
      <c r="C2564" t="inlineStr">
        <is>
          <t>Antes de 2026</t>
        </is>
      </c>
      <c r="D2564" t="inlineStr">
        <is>
          <t>Antes de 2026</t>
        </is>
      </c>
      <c r="E2564" s="28" t="n">
        <v>46004</v>
      </c>
      <c r="F2564" t="inlineStr">
        <is>
          <t>CT-e</t>
        </is>
      </c>
      <c r="G2564" t="inlineStr">
        <is>
          <t>000005979</t>
        </is>
      </c>
      <c r="H2564" t="inlineStr">
        <is>
          <t>R&amp;R TRANSPORTE E LOGISTICA</t>
        </is>
      </c>
      <c r="J2564" s="29" t="n">
        <v>35.52</v>
      </c>
      <c r="K2564" s="29">
        <f>(1-ISNUMBER(SEARCH("556",M2564)))*(O2564*SUMIFS(Premissas!$C$5:$C$44,Premissas!$A$5:$A$44,$A2564,Premissas!$B$5:$B$44,$B2564)+P2564*SUMIFS(Premissas!$D$5:$D$44,Premissas!$A$5:$A$44,$A2564,Premissas!$B$5:$B$44,$B2564))+R2564*SUMIFS(Premissas!$E$5:$E$44,Premissas!$A$5:$A$44,$A2564,Premissas!$B$5:$B$44,$B2564)+S2564*SUMIFS(Premissas!$F$5:$F$44,Premissas!$A$5:$A$44,$A2564,Premissas!$B$5:$B$44,$B2564)</f>
        <v/>
      </c>
      <c r="L2564" s="29">
        <f>J2564-K2564</f>
        <v/>
      </c>
      <c r="M2564" t="inlineStr">
        <is>
          <t>1.350</t>
        </is>
      </c>
      <c r="N2564" t="inlineStr">
        <is>
          <t>Modalidade: 0 - Por conta do remetente | Parte: PRASO PLATAFORMA DE COMERCIO LTDA. (42.434.646/0007-12)</t>
        </is>
      </c>
      <c r="O2564" s="29" t="n">
        <v>0</v>
      </c>
      <c r="P2564" s="29" t="n">
        <v>0</v>
      </c>
      <c r="Q2564" s="29" t="n">
        <v>0</v>
      </c>
      <c r="R2564" s="29" t="n">
        <v>0</v>
      </c>
      <c r="S2564" s="29" t="n">
        <v>0</v>
      </c>
      <c r="T2564" t="inlineStr">
        <is>
          <t>25251226975620000130570010000059791001901191</t>
        </is>
      </c>
      <c r="U2564" t="inlineStr">
        <is>
          <t>Não</t>
        </is>
      </c>
    </row>
    <row r="2565">
      <c r="A2565" t="inlineStr">
        <is>
          <t>Frete de venda</t>
        </is>
      </c>
      <c r="B2565" t="inlineStr">
        <is>
          <t>2.01.02 Frete sobre Vendas</t>
        </is>
      </c>
      <c r="C2565" t="inlineStr">
        <is>
          <t>Antes de 2026</t>
        </is>
      </c>
      <c r="D2565" t="inlineStr">
        <is>
          <t>Antes de 2026</t>
        </is>
      </c>
      <c r="E2565" s="28" t="n">
        <v>46006</v>
      </c>
      <c r="F2565" t="inlineStr">
        <is>
          <t>CT-e</t>
        </is>
      </c>
      <c r="G2565" t="inlineStr">
        <is>
          <t>000005987</t>
        </is>
      </c>
      <c r="H2565" t="inlineStr">
        <is>
          <t>R&amp;R TRANSPORTE E LOGISTICA</t>
        </is>
      </c>
      <c r="J2565" s="29" t="n">
        <v>348.11</v>
      </c>
      <c r="K2565" s="29">
        <f>(1-ISNUMBER(SEARCH("556",M2565)))*(O2565*SUMIFS(Premissas!$C$5:$C$44,Premissas!$A$5:$A$44,$A2565,Premissas!$B$5:$B$44,$B2565)+P2565*SUMIFS(Premissas!$D$5:$D$44,Premissas!$A$5:$A$44,$A2565,Premissas!$B$5:$B$44,$B2565))+R2565*SUMIFS(Premissas!$E$5:$E$44,Premissas!$A$5:$A$44,$A2565,Premissas!$B$5:$B$44,$B2565)+S2565*SUMIFS(Premissas!$F$5:$F$44,Premissas!$A$5:$A$44,$A2565,Premissas!$B$5:$B$44,$B2565)</f>
        <v/>
      </c>
      <c r="L2565" s="29">
        <f>J2565-K2565</f>
        <v/>
      </c>
      <c r="M2565" t="inlineStr">
        <is>
          <t>1.350</t>
        </is>
      </c>
      <c r="N2565" t="inlineStr">
        <is>
          <t>Modalidade: 0 - Por conta do remetente | Parte: COMERCIAL W.J.S LTDA (04.851.906/0001-70)</t>
        </is>
      </c>
      <c r="O2565" s="29" t="n">
        <v>0</v>
      </c>
      <c r="P2565" s="29" t="n">
        <v>0</v>
      </c>
      <c r="Q2565" s="29" t="n">
        <v>0</v>
      </c>
      <c r="R2565" s="29" t="n">
        <v>0</v>
      </c>
      <c r="S2565" s="29" t="n">
        <v>0</v>
      </c>
      <c r="T2565" t="inlineStr">
        <is>
          <t>25251226975620000130570010000059871000101100</t>
        </is>
      </c>
      <c r="U2565" t="inlineStr">
        <is>
          <t>Não</t>
        </is>
      </c>
    </row>
    <row r="2566">
      <c r="A2566" t="inlineStr">
        <is>
          <t>Frete de venda</t>
        </is>
      </c>
      <c r="B2566" t="inlineStr">
        <is>
          <t>2.01.02 Frete sobre Vendas</t>
        </is>
      </c>
      <c r="C2566" t="inlineStr">
        <is>
          <t>Antes de 2026</t>
        </is>
      </c>
      <c r="D2566" t="inlineStr">
        <is>
          <t>Antes de 2026</t>
        </is>
      </c>
      <c r="E2566" s="28" t="n">
        <v>46010</v>
      </c>
      <c r="F2566" t="inlineStr">
        <is>
          <t>CT-e</t>
        </is>
      </c>
      <c r="G2566" t="inlineStr">
        <is>
          <t>000006006</t>
        </is>
      </c>
      <c r="H2566" t="inlineStr">
        <is>
          <t>R&amp;R TRANSPORTE E LOGISTICA</t>
        </is>
      </c>
      <c r="J2566" s="29" t="n">
        <v>15.33</v>
      </c>
      <c r="K2566" s="29">
        <f>(1-ISNUMBER(SEARCH("556",M2566)))*(O2566*SUMIFS(Premissas!$C$5:$C$44,Premissas!$A$5:$A$44,$A2566,Premissas!$B$5:$B$44,$B2566)+P2566*SUMIFS(Premissas!$D$5:$D$44,Premissas!$A$5:$A$44,$A2566,Premissas!$B$5:$B$44,$B2566))+R2566*SUMIFS(Premissas!$E$5:$E$44,Premissas!$A$5:$A$44,$A2566,Premissas!$B$5:$B$44,$B2566)+S2566*SUMIFS(Premissas!$F$5:$F$44,Premissas!$A$5:$A$44,$A2566,Premissas!$B$5:$B$44,$B2566)</f>
        <v/>
      </c>
      <c r="L2566" s="29">
        <f>J2566-K2566</f>
        <v/>
      </c>
      <c r="M2566" t="inlineStr">
        <is>
          <t>1.350</t>
        </is>
      </c>
      <c r="N2566" t="inlineStr">
        <is>
          <t>Modalidade: 0 - Por conta do remetente | Parte: J.M. EMBALAGENS LTDA (63.190.922/0001-29)</t>
        </is>
      </c>
      <c r="O2566" s="29" t="n">
        <v>0</v>
      </c>
      <c r="P2566" s="29" t="n">
        <v>0</v>
      </c>
      <c r="Q2566" s="29" t="n">
        <v>0</v>
      </c>
      <c r="R2566" s="29" t="n">
        <v>0</v>
      </c>
      <c r="S2566" s="29" t="n">
        <v>0</v>
      </c>
      <c r="T2566" t="inlineStr">
        <is>
          <t>25251226975620000130570010000060061011001095</t>
        </is>
      </c>
      <c r="U2566" t="inlineStr">
        <is>
          <t>Não</t>
        </is>
      </c>
    </row>
    <row r="2567">
      <c r="A2567" t="inlineStr">
        <is>
          <t>Frete de venda</t>
        </is>
      </c>
      <c r="B2567" t="inlineStr">
        <is>
          <t>2.01.02 Frete sobre Vendas</t>
        </is>
      </c>
      <c r="C2567" t="inlineStr">
        <is>
          <t>Antes de 2026</t>
        </is>
      </c>
      <c r="D2567" t="inlineStr">
        <is>
          <t>Antes de 2026</t>
        </is>
      </c>
      <c r="E2567" s="28" t="n">
        <v>46010</v>
      </c>
      <c r="F2567" t="inlineStr">
        <is>
          <t>CT-e</t>
        </is>
      </c>
      <c r="G2567" t="inlineStr">
        <is>
          <t>000006007</t>
        </is>
      </c>
      <c r="H2567" t="inlineStr">
        <is>
          <t>R&amp;R TRANSPORTE E LOGISTICA</t>
        </is>
      </c>
      <c r="J2567" s="29" t="n">
        <v>24.52</v>
      </c>
      <c r="K2567" s="29">
        <f>(1-ISNUMBER(SEARCH("556",M2567)))*(O2567*SUMIFS(Premissas!$C$5:$C$44,Premissas!$A$5:$A$44,$A2567,Premissas!$B$5:$B$44,$B2567)+P2567*SUMIFS(Premissas!$D$5:$D$44,Premissas!$A$5:$A$44,$A2567,Premissas!$B$5:$B$44,$B2567))+R2567*SUMIFS(Premissas!$E$5:$E$44,Premissas!$A$5:$A$44,$A2567,Premissas!$B$5:$B$44,$B2567)+S2567*SUMIFS(Premissas!$F$5:$F$44,Premissas!$A$5:$A$44,$A2567,Premissas!$B$5:$B$44,$B2567)</f>
        <v/>
      </c>
      <c r="L2567" s="29">
        <f>J2567-K2567</f>
        <v/>
      </c>
      <c r="M2567" t="inlineStr">
        <is>
          <t>1.350</t>
        </is>
      </c>
      <c r="N2567" t="inlineStr">
        <is>
          <t>Modalidade: 0 - Por conta do remetente | Parte: A M E DISTRIBUIDORA DE EMBALAGENS PRODUTOS PARA CONFEITAR (19.310.817/0001-94)</t>
        </is>
      </c>
      <c r="O2567" s="29" t="n">
        <v>0</v>
      </c>
      <c r="P2567" s="29" t="n">
        <v>0</v>
      </c>
      <c r="Q2567" s="29" t="n">
        <v>0</v>
      </c>
      <c r="R2567" s="29" t="n">
        <v>0</v>
      </c>
      <c r="S2567" s="29" t="n">
        <v>0</v>
      </c>
      <c r="T2567" t="inlineStr">
        <is>
          <t>25251226975620000130570010000060071001701172</t>
        </is>
      </c>
      <c r="U2567" t="inlineStr">
        <is>
          <t>Não</t>
        </is>
      </c>
    </row>
    <row r="2568">
      <c r="A2568" t="inlineStr">
        <is>
          <t>Frete de venda</t>
        </is>
      </c>
      <c r="B2568" t="inlineStr">
        <is>
          <t>2.01.02 Frete sobre Vendas</t>
        </is>
      </c>
      <c r="C2568" t="inlineStr">
        <is>
          <t>Antes de 2026</t>
        </is>
      </c>
      <c r="D2568" t="inlineStr">
        <is>
          <t>Antes de 2026</t>
        </is>
      </c>
      <c r="E2568" s="28" t="n">
        <v>46010</v>
      </c>
      <c r="F2568" t="inlineStr">
        <is>
          <t>CT-e</t>
        </is>
      </c>
      <c r="G2568" t="inlineStr">
        <is>
          <t>000006008</t>
        </is>
      </c>
      <c r="H2568" t="inlineStr">
        <is>
          <t>R&amp;R TRANSPORTE E LOGISTICA</t>
        </is>
      </c>
      <c r="J2568" s="29" t="n">
        <v>13.38</v>
      </c>
      <c r="K2568" s="29">
        <f>(1-ISNUMBER(SEARCH("556",M2568)))*(O2568*SUMIFS(Premissas!$C$5:$C$44,Premissas!$A$5:$A$44,$A2568,Premissas!$B$5:$B$44,$B2568)+P2568*SUMIFS(Premissas!$D$5:$D$44,Premissas!$A$5:$A$44,$A2568,Premissas!$B$5:$B$44,$B2568))+R2568*SUMIFS(Premissas!$E$5:$E$44,Premissas!$A$5:$A$44,$A2568,Premissas!$B$5:$B$44,$B2568)+S2568*SUMIFS(Premissas!$F$5:$F$44,Premissas!$A$5:$A$44,$A2568,Premissas!$B$5:$B$44,$B2568)</f>
        <v/>
      </c>
      <c r="L2568" s="29">
        <f>J2568-K2568</f>
        <v/>
      </c>
      <c r="M2568" t="inlineStr">
        <is>
          <t>1.350</t>
        </is>
      </c>
      <c r="N2568" t="inlineStr">
        <is>
          <t>Modalidade: 0 - Por conta do remetente | Parte: GALERIA DESCARTAVEIS E FERRAGENS LTDA (15.151.041/0001-56)</t>
        </is>
      </c>
      <c r="O2568" s="29" t="n">
        <v>0</v>
      </c>
      <c r="P2568" s="29" t="n">
        <v>0</v>
      </c>
      <c r="Q2568" s="29" t="n">
        <v>0</v>
      </c>
      <c r="R2568" s="29" t="n">
        <v>0</v>
      </c>
      <c r="S2568" s="29" t="n">
        <v>0</v>
      </c>
      <c r="T2568" t="inlineStr">
        <is>
          <t>25251226975620000130570010000060081001401257</t>
        </is>
      </c>
      <c r="U2568" t="inlineStr">
        <is>
          <t>Não</t>
        </is>
      </c>
    </row>
    <row r="2569">
      <c r="A2569" t="inlineStr">
        <is>
          <t>Frete de venda</t>
        </is>
      </c>
      <c r="B2569" t="inlineStr">
        <is>
          <t>2.01.02 Frete sobre Vendas</t>
        </is>
      </c>
      <c r="C2569" t="inlineStr">
        <is>
          <t>Antes de 2026</t>
        </is>
      </c>
      <c r="D2569" t="inlineStr">
        <is>
          <t>Antes de 2026</t>
        </is>
      </c>
      <c r="E2569" s="28" t="n">
        <v>46010</v>
      </c>
      <c r="F2569" t="inlineStr">
        <is>
          <t>CT-e</t>
        </is>
      </c>
      <c r="G2569" t="inlineStr">
        <is>
          <t>000006009</t>
        </is>
      </c>
      <c r="H2569" t="inlineStr">
        <is>
          <t>R&amp;R TRANSPORTE E LOGISTICA</t>
        </is>
      </c>
      <c r="J2569" s="29" t="n">
        <v>45.93</v>
      </c>
      <c r="K2569" s="29">
        <f>(1-ISNUMBER(SEARCH("556",M2569)))*(O2569*SUMIFS(Premissas!$C$5:$C$44,Premissas!$A$5:$A$44,$A2569,Premissas!$B$5:$B$44,$B2569)+P2569*SUMIFS(Premissas!$D$5:$D$44,Premissas!$A$5:$A$44,$A2569,Premissas!$B$5:$B$44,$B2569))+R2569*SUMIFS(Premissas!$E$5:$E$44,Premissas!$A$5:$A$44,$A2569,Premissas!$B$5:$B$44,$B2569)+S2569*SUMIFS(Premissas!$F$5:$F$44,Premissas!$A$5:$A$44,$A2569,Premissas!$B$5:$B$44,$B2569)</f>
        <v/>
      </c>
      <c r="L2569" s="29">
        <f>J2569-K2569</f>
        <v/>
      </c>
      <c r="M2569" t="inlineStr">
        <is>
          <t>1.350</t>
        </is>
      </c>
      <c r="N2569" t="inlineStr">
        <is>
          <t>Modalidade: 0 - Por conta do remetente | Parte: PEPPERONI EMPREENDIMENTOS LTDA (19.288.223/0001-24)</t>
        </is>
      </c>
      <c r="O2569" s="29" t="n">
        <v>0</v>
      </c>
      <c r="P2569" s="29" t="n">
        <v>0</v>
      </c>
      <c r="Q2569" s="29" t="n">
        <v>0</v>
      </c>
      <c r="R2569" s="29" t="n">
        <v>0</v>
      </c>
      <c r="S2569" s="29" t="n">
        <v>0</v>
      </c>
      <c r="T2569" t="inlineStr">
        <is>
          <t>25251226975620000130570010000060091001101331</t>
        </is>
      </c>
      <c r="U2569" t="inlineStr">
        <is>
          <t>Não</t>
        </is>
      </c>
    </row>
    <row r="2570">
      <c r="A2570" t="inlineStr">
        <is>
          <t>Frete de venda</t>
        </is>
      </c>
      <c r="B2570" t="inlineStr">
        <is>
          <t>2.01.02 Frete sobre Vendas</t>
        </is>
      </c>
      <c r="C2570" t="inlineStr">
        <is>
          <t>Antes de 2026</t>
        </is>
      </c>
      <c r="D2570" t="inlineStr">
        <is>
          <t>Antes de 2026</t>
        </is>
      </c>
      <c r="E2570" s="28" t="n">
        <v>46010</v>
      </c>
      <c r="F2570" t="inlineStr">
        <is>
          <t>CT-e</t>
        </is>
      </c>
      <c r="G2570" t="inlineStr">
        <is>
          <t>000006010</t>
        </is>
      </c>
      <c r="H2570" t="inlineStr">
        <is>
          <t>R&amp;R TRANSPORTE E LOGISTICA</t>
        </is>
      </c>
      <c r="J2570" s="29" t="n">
        <v>15.48</v>
      </c>
      <c r="K2570" s="29">
        <f>(1-ISNUMBER(SEARCH("556",M2570)))*(O2570*SUMIFS(Premissas!$C$5:$C$44,Premissas!$A$5:$A$44,$A2570,Premissas!$B$5:$B$44,$B2570)+P2570*SUMIFS(Premissas!$D$5:$D$44,Premissas!$A$5:$A$44,$A2570,Premissas!$B$5:$B$44,$B2570))+R2570*SUMIFS(Premissas!$E$5:$E$44,Premissas!$A$5:$A$44,$A2570,Premissas!$B$5:$B$44,$B2570)+S2570*SUMIFS(Premissas!$F$5:$F$44,Premissas!$A$5:$A$44,$A2570,Premissas!$B$5:$B$44,$B2570)</f>
        <v/>
      </c>
      <c r="L2570" s="29">
        <f>J2570-K2570</f>
        <v/>
      </c>
      <c r="M2570" t="inlineStr">
        <is>
          <t>1.350</t>
        </is>
      </c>
      <c r="N2570" t="inlineStr">
        <is>
          <t>Modalidade: 0 - Por conta do remetente | Parte: ALFA EMBALAGENS LTDA (24.091.529/0001-26)</t>
        </is>
      </c>
      <c r="O2570" s="29" t="n">
        <v>0</v>
      </c>
      <c r="P2570" s="29" t="n">
        <v>0</v>
      </c>
      <c r="Q2570" s="29" t="n">
        <v>0</v>
      </c>
      <c r="R2570" s="29" t="n">
        <v>0</v>
      </c>
      <c r="S2570" s="29" t="n">
        <v>0</v>
      </c>
      <c r="T2570" t="inlineStr">
        <is>
          <t>25251226975620000130570010000060101000120686</t>
        </is>
      </c>
      <c r="U2570" t="inlineStr">
        <is>
          <t>Não</t>
        </is>
      </c>
    </row>
    <row r="2571">
      <c r="A2571" t="inlineStr">
        <is>
          <t>Frete de venda</t>
        </is>
      </c>
      <c r="B2571" t="inlineStr">
        <is>
          <t>2.01.02 Frete sobre Vendas</t>
        </is>
      </c>
      <c r="C2571" t="inlineStr">
        <is>
          <t>Antes de 2026</t>
        </is>
      </c>
      <c r="D2571" t="inlineStr">
        <is>
          <t>Antes de 2026</t>
        </is>
      </c>
      <c r="E2571" s="28" t="n">
        <v>46010</v>
      </c>
      <c r="F2571" t="inlineStr">
        <is>
          <t>CT-e</t>
        </is>
      </c>
      <c r="G2571" t="inlineStr">
        <is>
          <t>000006011</t>
        </is>
      </c>
      <c r="H2571" t="inlineStr">
        <is>
          <t>R&amp;R TRANSPORTE E LOGISTICA</t>
        </is>
      </c>
      <c r="J2571" s="29" t="n">
        <v>26.35</v>
      </c>
      <c r="K2571" s="29">
        <f>(1-ISNUMBER(SEARCH("556",M2571)))*(O2571*SUMIFS(Premissas!$C$5:$C$44,Premissas!$A$5:$A$44,$A2571,Premissas!$B$5:$B$44,$B2571)+P2571*SUMIFS(Premissas!$D$5:$D$44,Premissas!$A$5:$A$44,$A2571,Premissas!$B$5:$B$44,$B2571))+R2571*SUMIFS(Premissas!$E$5:$E$44,Premissas!$A$5:$A$44,$A2571,Premissas!$B$5:$B$44,$B2571)+S2571*SUMIFS(Premissas!$F$5:$F$44,Premissas!$A$5:$A$44,$A2571,Premissas!$B$5:$B$44,$B2571)</f>
        <v/>
      </c>
      <c r="L2571" s="29">
        <f>J2571-K2571</f>
        <v/>
      </c>
      <c r="M2571" t="inlineStr">
        <is>
          <t>1.350</t>
        </is>
      </c>
      <c r="N2571" t="inlineStr">
        <is>
          <t>Modalidade: 0 - Por conta do remetente | Parte: J. B. BORGES e CIA LTDA (08.018.936/0001-51)</t>
        </is>
      </c>
      <c r="O2571" s="29" t="n">
        <v>0</v>
      </c>
      <c r="P2571" s="29" t="n">
        <v>0</v>
      </c>
      <c r="Q2571" s="29" t="n">
        <v>0</v>
      </c>
      <c r="R2571" s="29" t="n">
        <v>0</v>
      </c>
      <c r="S2571" s="29" t="n">
        <v>0</v>
      </c>
      <c r="T2571" t="inlineStr">
        <is>
          <t>25251226975620000130570010000060111001100767</t>
        </is>
      </c>
      <c r="U2571" t="inlineStr">
        <is>
          <t>Não</t>
        </is>
      </c>
    </row>
    <row r="2572">
      <c r="A2572" t="inlineStr">
        <is>
          <t>Frete de venda</t>
        </is>
      </c>
      <c r="B2572" t="inlineStr">
        <is>
          <t>2.01.02 Frete sobre Vendas</t>
        </is>
      </c>
      <c r="C2572" t="inlineStr">
        <is>
          <t>Antes de 2026</t>
        </is>
      </c>
      <c r="D2572" t="inlineStr">
        <is>
          <t>Antes de 2026</t>
        </is>
      </c>
      <c r="E2572" s="28" t="n">
        <v>46010</v>
      </c>
      <c r="F2572" t="inlineStr">
        <is>
          <t>CT-e</t>
        </is>
      </c>
      <c r="G2572" t="inlineStr">
        <is>
          <t>000006012</t>
        </is>
      </c>
      <c r="H2572" t="inlineStr">
        <is>
          <t>R&amp;R TRANSPORTE E LOGISTICA</t>
        </is>
      </c>
      <c r="J2572" s="29" t="n">
        <v>16.78</v>
      </c>
      <c r="K2572" s="29">
        <f>(1-ISNUMBER(SEARCH("556",M2572)))*(O2572*SUMIFS(Premissas!$C$5:$C$44,Premissas!$A$5:$A$44,$A2572,Premissas!$B$5:$B$44,$B2572)+P2572*SUMIFS(Premissas!$D$5:$D$44,Premissas!$A$5:$A$44,$A2572,Premissas!$B$5:$B$44,$B2572))+R2572*SUMIFS(Premissas!$E$5:$E$44,Premissas!$A$5:$A$44,$A2572,Premissas!$B$5:$B$44,$B2572)+S2572*SUMIFS(Premissas!$F$5:$F$44,Premissas!$A$5:$A$44,$A2572,Premissas!$B$5:$B$44,$B2572)</f>
        <v/>
      </c>
      <c r="L2572" s="29">
        <f>J2572-K2572</f>
        <v/>
      </c>
      <c r="M2572" t="inlineStr">
        <is>
          <t>1.350</t>
        </is>
      </c>
      <c r="N2572" t="inlineStr">
        <is>
          <t>Modalidade: 0 - Por conta do remetente | Parte: M. A. DE A. LIMA CARDOSO (34.425.813/0001-45)</t>
        </is>
      </c>
      <c r="O2572" s="29" t="n">
        <v>0</v>
      </c>
      <c r="P2572" s="29" t="n">
        <v>0</v>
      </c>
      <c r="Q2572" s="29" t="n">
        <v>0</v>
      </c>
      <c r="R2572" s="29" t="n">
        <v>0</v>
      </c>
      <c r="S2572" s="29" t="n">
        <v>0</v>
      </c>
      <c r="T2572" t="inlineStr">
        <is>
          <t>25251226975620000130570010000060121000170840</t>
        </is>
      </c>
      <c r="U2572" t="inlineStr">
        <is>
          <t>Não</t>
        </is>
      </c>
    </row>
    <row r="2573">
      <c r="A2573" t="inlineStr">
        <is>
          <t>Frete de venda</t>
        </is>
      </c>
      <c r="B2573" t="inlineStr">
        <is>
          <t>2.01.02 Frete sobre Vendas</t>
        </is>
      </c>
      <c r="C2573" t="inlineStr">
        <is>
          <t>Antes de 2026</t>
        </is>
      </c>
      <c r="D2573" t="inlineStr">
        <is>
          <t>Antes de 2026</t>
        </is>
      </c>
      <c r="E2573" s="28" t="n">
        <v>46010</v>
      </c>
      <c r="F2573" t="inlineStr">
        <is>
          <t>CT-e</t>
        </is>
      </c>
      <c r="G2573" t="inlineStr">
        <is>
          <t>000006013</t>
        </is>
      </c>
      <c r="H2573" t="inlineStr">
        <is>
          <t>R&amp;R TRANSPORTE E LOGISTICA</t>
        </is>
      </c>
      <c r="J2573" s="29" t="n">
        <v>17.29</v>
      </c>
      <c r="K2573" s="29">
        <f>(1-ISNUMBER(SEARCH("556",M2573)))*(O2573*SUMIFS(Premissas!$C$5:$C$44,Premissas!$A$5:$A$44,$A2573,Premissas!$B$5:$B$44,$B2573)+P2573*SUMIFS(Premissas!$D$5:$D$44,Premissas!$A$5:$A$44,$A2573,Premissas!$B$5:$B$44,$B2573))+R2573*SUMIFS(Premissas!$E$5:$E$44,Premissas!$A$5:$A$44,$A2573,Premissas!$B$5:$B$44,$B2573)+S2573*SUMIFS(Premissas!$F$5:$F$44,Premissas!$A$5:$A$44,$A2573,Premissas!$B$5:$B$44,$B2573)</f>
        <v/>
      </c>
      <c r="L2573" s="29">
        <f>J2573-K2573</f>
        <v/>
      </c>
      <c r="M2573" t="inlineStr">
        <is>
          <t>1.350</t>
        </is>
      </c>
      <c r="N2573" t="inlineStr">
        <is>
          <t>Modalidade: 0 - Por conta do remetente | Parte: A SARAIVA DA CRUZ COMERCIAL LTDA (01.342.240/0001-37)</t>
        </is>
      </c>
      <c r="O2573" s="29" t="n">
        <v>0</v>
      </c>
      <c r="P2573" s="29" t="n">
        <v>0</v>
      </c>
      <c r="Q2573" s="29" t="n">
        <v>0</v>
      </c>
      <c r="R2573" s="29" t="n">
        <v>0</v>
      </c>
      <c r="S2573" s="29" t="n">
        <v>0</v>
      </c>
      <c r="T2573" t="inlineStr">
        <is>
          <t>25251226975620000130570010000060131000140921</t>
        </is>
      </c>
      <c r="U2573" t="inlineStr">
        <is>
          <t>Não</t>
        </is>
      </c>
    </row>
    <row r="2574">
      <c r="A2574" t="inlineStr">
        <is>
          <t>Frete de venda</t>
        </is>
      </c>
      <c r="B2574" t="inlineStr">
        <is>
          <t>2.01.02 Frete sobre Vendas</t>
        </is>
      </c>
      <c r="C2574" t="inlineStr">
        <is>
          <t>Antes de 2026</t>
        </is>
      </c>
      <c r="D2574" t="inlineStr">
        <is>
          <t>Antes de 2026</t>
        </is>
      </c>
      <c r="E2574" s="28" t="n">
        <v>46010</v>
      </c>
      <c r="F2574" t="inlineStr">
        <is>
          <t>CT-e</t>
        </is>
      </c>
      <c r="G2574" t="inlineStr">
        <is>
          <t>000006014</t>
        </is>
      </c>
      <c r="H2574" t="inlineStr">
        <is>
          <t>R&amp;R TRANSPORTE E LOGISTICA</t>
        </is>
      </c>
      <c r="J2574" s="29" t="n">
        <v>18.61</v>
      </c>
      <c r="K2574" s="29">
        <f>(1-ISNUMBER(SEARCH("556",M2574)))*(O2574*SUMIFS(Premissas!$C$5:$C$44,Premissas!$A$5:$A$44,$A2574,Premissas!$B$5:$B$44,$B2574)+P2574*SUMIFS(Premissas!$D$5:$D$44,Premissas!$A$5:$A$44,$A2574,Premissas!$B$5:$B$44,$B2574))+R2574*SUMIFS(Premissas!$E$5:$E$44,Premissas!$A$5:$A$44,$A2574,Premissas!$B$5:$B$44,$B2574)+S2574*SUMIFS(Premissas!$F$5:$F$44,Premissas!$A$5:$A$44,$A2574,Premissas!$B$5:$B$44,$B2574)</f>
        <v/>
      </c>
      <c r="L2574" s="29">
        <f>J2574-K2574</f>
        <v/>
      </c>
      <c r="M2574" t="inlineStr">
        <is>
          <t>1.350</t>
        </is>
      </c>
      <c r="N2574" t="inlineStr">
        <is>
          <t>Modalidade: 0 - Por conta do remetente | Parte: D. R. B. DE J. MALAMAO LTDA (31.155.347/0001-37)</t>
        </is>
      </c>
      <c r="O2574" s="29" t="n">
        <v>0</v>
      </c>
      <c r="P2574" s="29" t="n">
        <v>0</v>
      </c>
      <c r="Q2574" s="29" t="n">
        <v>0</v>
      </c>
      <c r="R2574" s="29" t="n">
        <v>0</v>
      </c>
      <c r="S2574" s="29" t="n">
        <v>0</v>
      </c>
      <c r="T2574" t="inlineStr">
        <is>
          <t>25251226975620000130570010000060141001101005</t>
        </is>
      </c>
      <c r="U2574" t="inlineStr">
        <is>
          <t>Não</t>
        </is>
      </c>
    </row>
    <row r="2575">
      <c r="A2575" t="inlineStr">
        <is>
          <t>Frete de venda</t>
        </is>
      </c>
      <c r="B2575" t="inlineStr">
        <is>
          <t>2.01.02 Frete sobre Vendas</t>
        </is>
      </c>
      <c r="C2575" t="inlineStr">
        <is>
          <t>Antes de 2026</t>
        </is>
      </c>
      <c r="D2575" t="inlineStr">
        <is>
          <t>Antes de 2026</t>
        </is>
      </c>
      <c r="E2575" s="28" t="n">
        <v>46010</v>
      </c>
      <c r="F2575" t="inlineStr">
        <is>
          <t>CT-e</t>
        </is>
      </c>
      <c r="G2575" t="inlineStr">
        <is>
          <t>000006015</t>
        </is>
      </c>
      <c r="H2575" t="inlineStr">
        <is>
          <t>R&amp;R TRANSPORTE E LOGISTICA</t>
        </is>
      </c>
      <c r="J2575" s="29" t="n">
        <v>40.22</v>
      </c>
      <c r="K2575" s="29">
        <f>(1-ISNUMBER(SEARCH("556",M2575)))*(O2575*SUMIFS(Premissas!$C$5:$C$44,Premissas!$A$5:$A$44,$A2575,Premissas!$B$5:$B$44,$B2575)+P2575*SUMIFS(Premissas!$D$5:$D$44,Premissas!$A$5:$A$44,$A2575,Premissas!$B$5:$B$44,$B2575))+R2575*SUMIFS(Premissas!$E$5:$E$44,Premissas!$A$5:$A$44,$A2575,Premissas!$B$5:$B$44,$B2575)+S2575*SUMIFS(Premissas!$F$5:$F$44,Premissas!$A$5:$A$44,$A2575,Premissas!$B$5:$B$44,$B2575)</f>
        <v/>
      </c>
      <c r="L2575" s="29">
        <f>J2575-K2575</f>
        <v/>
      </c>
      <c r="M2575" t="inlineStr">
        <is>
          <t>1.350</t>
        </is>
      </c>
      <c r="N2575" t="inlineStr">
        <is>
          <t>Modalidade: 0 - Por conta do remetente | Parte: IBIAPINA VARIEDADES LTDA (46.211.356/0001-75)</t>
        </is>
      </c>
      <c r="O2575" s="29" t="n">
        <v>0</v>
      </c>
      <c r="P2575" s="29" t="n">
        <v>0</v>
      </c>
      <c r="Q2575" s="29" t="n">
        <v>0</v>
      </c>
      <c r="R2575" s="29" t="n">
        <v>0</v>
      </c>
      <c r="S2575" s="29" t="n">
        <v>0</v>
      </c>
      <c r="T2575" t="inlineStr">
        <is>
          <t>25251226975620000130570010000060151001901084</t>
        </is>
      </c>
      <c r="U2575" t="inlineStr">
        <is>
          <t>Não</t>
        </is>
      </c>
    </row>
    <row r="2576">
      <c r="A2576" t="inlineStr">
        <is>
          <t>Frete de venda</t>
        </is>
      </c>
      <c r="B2576" t="inlineStr">
        <is>
          <t>2.01.02 Frete sobre Vendas</t>
        </is>
      </c>
      <c r="C2576" t="inlineStr">
        <is>
          <t>Antes de 2026</t>
        </is>
      </c>
      <c r="D2576" t="inlineStr">
        <is>
          <t>Antes de 2026</t>
        </is>
      </c>
      <c r="E2576" s="28" t="n">
        <v>46010</v>
      </c>
      <c r="F2576" t="inlineStr">
        <is>
          <t>CT-e</t>
        </is>
      </c>
      <c r="G2576" t="inlineStr">
        <is>
          <t>000006016</t>
        </is>
      </c>
      <c r="H2576" t="inlineStr">
        <is>
          <t>R&amp;R TRANSPORTE E LOGISTICA</t>
        </is>
      </c>
      <c r="J2576" s="29" t="n">
        <v>26.54</v>
      </c>
      <c r="K2576" s="29">
        <f>(1-ISNUMBER(SEARCH("556",M2576)))*(O2576*SUMIFS(Premissas!$C$5:$C$44,Premissas!$A$5:$A$44,$A2576,Premissas!$B$5:$B$44,$B2576)+P2576*SUMIFS(Premissas!$D$5:$D$44,Premissas!$A$5:$A$44,$A2576,Premissas!$B$5:$B$44,$B2576))+R2576*SUMIFS(Premissas!$E$5:$E$44,Premissas!$A$5:$A$44,$A2576,Premissas!$B$5:$B$44,$B2576)+S2576*SUMIFS(Premissas!$F$5:$F$44,Premissas!$A$5:$A$44,$A2576,Premissas!$B$5:$B$44,$B2576)</f>
        <v/>
      </c>
      <c r="L2576" s="29">
        <f>J2576-K2576</f>
        <v/>
      </c>
      <c r="M2576" t="inlineStr">
        <is>
          <t>1.350</t>
        </is>
      </c>
      <c r="N2576" t="inlineStr">
        <is>
          <t>Modalidade: 0 - Por conta do remetente | Parte: PORTUGAL COMERCIO DE PRODUTOS DESCARTAVEIS LTDA (83.349.563/0003-89)</t>
        </is>
      </c>
      <c r="O2576" s="29" t="n">
        <v>0</v>
      </c>
      <c r="P2576" s="29" t="n">
        <v>0</v>
      </c>
      <c r="Q2576" s="29" t="n">
        <v>0</v>
      </c>
      <c r="R2576" s="29" t="n">
        <v>0</v>
      </c>
      <c r="S2576" s="29" t="n">
        <v>0</v>
      </c>
      <c r="T2576" t="inlineStr">
        <is>
          <t>25251226975620000130570010000060161001601169</t>
        </is>
      </c>
      <c r="U2576" t="inlineStr">
        <is>
          <t>Não</t>
        </is>
      </c>
    </row>
    <row r="2577">
      <c r="A2577" t="inlineStr">
        <is>
          <t>Frete de venda</t>
        </is>
      </c>
      <c r="B2577" t="inlineStr">
        <is>
          <t>2.01.02 Frete sobre Vendas</t>
        </is>
      </c>
      <c r="C2577" t="inlineStr">
        <is>
          <t>Antes de 2026</t>
        </is>
      </c>
      <c r="D2577" t="inlineStr">
        <is>
          <t>Antes de 2026</t>
        </is>
      </c>
      <c r="E2577" s="28" t="n">
        <v>46010</v>
      </c>
      <c r="F2577" t="inlineStr">
        <is>
          <t>CT-e</t>
        </is>
      </c>
      <c r="G2577" t="inlineStr">
        <is>
          <t>000006017</t>
        </is>
      </c>
      <c r="H2577" t="inlineStr">
        <is>
          <t>R&amp;R TRANSPORTE E LOGISTICA</t>
        </is>
      </c>
      <c r="J2577" s="29" t="n">
        <v>23.86</v>
      </c>
      <c r="K2577" s="29">
        <f>(1-ISNUMBER(SEARCH("556",M2577)))*(O2577*SUMIFS(Premissas!$C$5:$C$44,Premissas!$A$5:$A$44,$A2577,Premissas!$B$5:$B$44,$B2577)+P2577*SUMIFS(Premissas!$D$5:$D$44,Premissas!$A$5:$A$44,$A2577,Premissas!$B$5:$B$44,$B2577))+R2577*SUMIFS(Premissas!$E$5:$E$44,Premissas!$A$5:$A$44,$A2577,Premissas!$B$5:$B$44,$B2577)+S2577*SUMIFS(Premissas!$F$5:$F$44,Premissas!$A$5:$A$44,$A2577,Premissas!$B$5:$B$44,$B2577)</f>
        <v/>
      </c>
      <c r="L2577" s="29">
        <f>J2577-K2577</f>
        <v/>
      </c>
      <c r="M2577" t="inlineStr">
        <is>
          <t>1.350</t>
        </is>
      </c>
      <c r="N2577" t="inlineStr">
        <is>
          <t>Modalidade: 0 - Por conta do remetente | Parte: NEW PLASTICOS DISTRIBUIDORA LTDA (38.438.642/0001-40)</t>
        </is>
      </c>
      <c r="O2577" s="29" t="n">
        <v>0</v>
      </c>
      <c r="P2577" s="29" t="n">
        <v>0</v>
      </c>
      <c r="Q2577" s="29" t="n">
        <v>0</v>
      </c>
      <c r="R2577" s="29" t="n">
        <v>0</v>
      </c>
      <c r="S2577" s="29" t="n">
        <v>0</v>
      </c>
      <c r="T2577" t="inlineStr">
        <is>
          <t>25251226975620000130570010000060171001301243</t>
        </is>
      </c>
      <c r="U2577" t="inlineStr">
        <is>
          <t>Não</t>
        </is>
      </c>
    </row>
    <row r="2578">
      <c r="A2578" t="inlineStr">
        <is>
          <t>Frete de venda</t>
        </is>
      </c>
      <c r="B2578" t="inlineStr">
        <is>
          <t>2.01.02 Frete sobre Vendas</t>
        </is>
      </c>
      <c r="C2578" t="inlineStr">
        <is>
          <t>Antes de 2026</t>
        </is>
      </c>
      <c r="D2578" t="inlineStr">
        <is>
          <t>Antes de 2026</t>
        </is>
      </c>
      <c r="E2578" s="28" t="n">
        <v>46010</v>
      </c>
      <c r="F2578" t="inlineStr">
        <is>
          <t>CT-e</t>
        </is>
      </c>
      <c r="G2578" t="inlineStr">
        <is>
          <t>000006018</t>
        </is>
      </c>
      <c r="H2578" t="inlineStr">
        <is>
          <t>R&amp;R TRANSPORTE E LOGISTICA</t>
        </is>
      </c>
      <c r="J2578" s="29" t="n">
        <v>28.98</v>
      </c>
      <c r="K2578" s="29">
        <f>(1-ISNUMBER(SEARCH("556",M2578)))*(O2578*SUMIFS(Premissas!$C$5:$C$44,Premissas!$A$5:$A$44,$A2578,Premissas!$B$5:$B$44,$B2578)+P2578*SUMIFS(Premissas!$D$5:$D$44,Premissas!$A$5:$A$44,$A2578,Premissas!$B$5:$B$44,$B2578))+R2578*SUMIFS(Premissas!$E$5:$E$44,Premissas!$A$5:$A$44,$A2578,Premissas!$B$5:$B$44,$B2578)+S2578*SUMIFS(Premissas!$F$5:$F$44,Premissas!$A$5:$A$44,$A2578,Premissas!$B$5:$B$44,$B2578)</f>
        <v/>
      </c>
      <c r="L2578" s="29">
        <f>J2578-K2578</f>
        <v/>
      </c>
      <c r="M2578" t="inlineStr">
        <is>
          <t>1.350</t>
        </is>
      </c>
      <c r="N2578" t="inlineStr">
        <is>
          <t>Modalidade: 0 - Por conta do remetente | Parte: PORTUGAL COMERCIO DE PRODUTOS DESCARTAVEIS LTDA (83.349.563/0001-17)</t>
        </is>
      </c>
      <c r="O2578" s="29" t="n">
        <v>0</v>
      </c>
      <c r="P2578" s="29" t="n">
        <v>0</v>
      </c>
      <c r="Q2578" s="29" t="n">
        <v>0</v>
      </c>
      <c r="R2578" s="29" t="n">
        <v>0</v>
      </c>
      <c r="S2578" s="29" t="n">
        <v>0</v>
      </c>
      <c r="T2578" t="inlineStr">
        <is>
          <t>25251226975620000130570010000060181000101329</t>
        </is>
      </c>
      <c r="U2578" t="inlineStr">
        <is>
          <t>Não</t>
        </is>
      </c>
    </row>
    <row r="2579">
      <c r="A2579" t="inlineStr">
        <is>
          <t>Frete de venda</t>
        </is>
      </c>
      <c r="B2579" t="inlineStr">
        <is>
          <t>2.01.02 Frete sobre Vendas</t>
        </is>
      </c>
      <c r="C2579" t="inlineStr">
        <is>
          <t>Antes de 2026</t>
        </is>
      </c>
      <c r="D2579" t="inlineStr">
        <is>
          <t>Antes de 2026</t>
        </is>
      </c>
      <c r="E2579" s="28" t="n">
        <v>46010</v>
      </c>
      <c r="F2579" t="inlineStr">
        <is>
          <t>CT-e</t>
        </is>
      </c>
      <c r="G2579" t="inlineStr">
        <is>
          <t>000006019</t>
        </is>
      </c>
      <c r="H2579" t="inlineStr">
        <is>
          <t>R&amp;R TRANSPORTE E LOGISTICA</t>
        </is>
      </c>
      <c r="J2579" s="29" t="n">
        <v>45.32</v>
      </c>
      <c r="K2579" s="29">
        <f>(1-ISNUMBER(SEARCH("556",M2579)))*(O2579*SUMIFS(Premissas!$C$5:$C$44,Premissas!$A$5:$A$44,$A2579,Premissas!$B$5:$B$44,$B2579)+P2579*SUMIFS(Premissas!$D$5:$D$44,Premissas!$A$5:$A$44,$A2579,Premissas!$B$5:$B$44,$B2579))+R2579*SUMIFS(Premissas!$E$5:$E$44,Premissas!$A$5:$A$44,$A2579,Premissas!$B$5:$B$44,$B2579)+S2579*SUMIFS(Premissas!$F$5:$F$44,Premissas!$A$5:$A$44,$A2579,Premissas!$B$5:$B$44,$B2579)</f>
        <v/>
      </c>
      <c r="L2579" s="29">
        <f>J2579-K2579</f>
        <v/>
      </c>
      <c r="M2579" t="inlineStr">
        <is>
          <t>1.350</t>
        </is>
      </c>
      <c r="N2579" t="inlineStr">
        <is>
          <t>Modalidade: 0 - Por conta do remetente | Parte: R ALBUQUERQUE COMERCIO DE ARTIGOS DE ARMARINHO LTDA (57.701.763/0001-87)</t>
        </is>
      </c>
      <c r="O2579" s="29" t="n">
        <v>0</v>
      </c>
      <c r="P2579" s="29" t="n">
        <v>0</v>
      </c>
      <c r="Q2579" s="29" t="n">
        <v>0</v>
      </c>
      <c r="R2579" s="29" t="n">
        <v>0</v>
      </c>
      <c r="S2579" s="29" t="n">
        <v>0</v>
      </c>
      <c r="T2579" t="inlineStr">
        <is>
          <t>25251226975620000130570010000060191001801402</t>
        </is>
      </c>
      <c r="U2579" t="inlineStr">
        <is>
          <t>Não</t>
        </is>
      </c>
    </row>
    <row r="2580">
      <c r="A2580" t="inlineStr">
        <is>
          <t>Frete de venda</t>
        </is>
      </c>
      <c r="B2580" t="inlineStr">
        <is>
          <t>2.01.02 Frete sobre Vendas</t>
        </is>
      </c>
      <c r="C2580" t="inlineStr">
        <is>
          <t>Antes de 2026</t>
        </is>
      </c>
      <c r="D2580" t="inlineStr">
        <is>
          <t>Antes de 2026</t>
        </is>
      </c>
      <c r="E2580" s="28" t="n">
        <v>46010</v>
      </c>
      <c r="F2580" t="inlineStr">
        <is>
          <t>CT-e</t>
        </is>
      </c>
      <c r="G2580" t="inlineStr">
        <is>
          <t>000006020</t>
        </is>
      </c>
      <c r="H2580" t="inlineStr">
        <is>
          <t>R&amp;R TRANSPORTE E LOGISTICA</t>
        </is>
      </c>
      <c r="J2580" s="29" t="n">
        <v>27.98</v>
      </c>
      <c r="K2580" s="29">
        <f>(1-ISNUMBER(SEARCH("556",M2580)))*(O2580*SUMIFS(Premissas!$C$5:$C$44,Premissas!$A$5:$A$44,$A2580,Premissas!$B$5:$B$44,$B2580)+P2580*SUMIFS(Premissas!$D$5:$D$44,Premissas!$A$5:$A$44,$A2580,Premissas!$B$5:$B$44,$B2580))+R2580*SUMIFS(Premissas!$E$5:$E$44,Premissas!$A$5:$A$44,$A2580,Premissas!$B$5:$B$44,$B2580)+S2580*SUMIFS(Premissas!$F$5:$F$44,Premissas!$A$5:$A$44,$A2580,Premissas!$B$5:$B$44,$B2580)</f>
        <v/>
      </c>
      <c r="L2580" s="29">
        <f>J2580-K2580</f>
        <v/>
      </c>
      <c r="M2580" t="inlineStr">
        <is>
          <t>1.350</t>
        </is>
      </c>
      <c r="N2580" t="inlineStr">
        <is>
          <t>Modalidade: 0 - Por conta do remetente | Parte: PIAUI PLAST EIRELI (37.914.034/0001-00)</t>
        </is>
      </c>
      <c r="O2580" s="29" t="n">
        <v>0</v>
      </c>
      <c r="P2580" s="29" t="n">
        <v>0</v>
      </c>
      <c r="Q2580" s="29" t="n">
        <v>0</v>
      </c>
      <c r="R2580" s="29" t="n">
        <v>0</v>
      </c>
      <c r="S2580" s="29" t="n">
        <v>0</v>
      </c>
      <c r="T2580" t="inlineStr">
        <is>
          <t>25251226975620000130570010000060201000190753</t>
        </is>
      </c>
      <c r="U2580" t="inlineStr">
        <is>
          <t>Não</t>
        </is>
      </c>
    </row>
    <row r="2581">
      <c r="A2581" t="inlineStr">
        <is>
          <t>Frete de venda</t>
        </is>
      </c>
      <c r="B2581" t="inlineStr">
        <is>
          <t>2.01.02 Frete sobre Vendas</t>
        </is>
      </c>
      <c r="C2581" t="inlineStr">
        <is>
          <t>Antes de 2026</t>
        </is>
      </c>
      <c r="D2581" t="inlineStr">
        <is>
          <t>Antes de 2026</t>
        </is>
      </c>
      <c r="E2581" s="28" t="n">
        <v>46010</v>
      </c>
      <c r="F2581" t="inlineStr">
        <is>
          <t>CT-e</t>
        </is>
      </c>
      <c r="G2581" t="inlineStr">
        <is>
          <t>000006021</t>
        </is>
      </c>
      <c r="H2581" t="inlineStr">
        <is>
          <t>R&amp;R TRANSPORTE E LOGISTICA</t>
        </is>
      </c>
      <c r="J2581" s="29" t="n">
        <v>69</v>
      </c>
      <c r="K2581" s="29">
        <f>(1-ISNUMBER(SEARCH("556",M2581)))*(O2581*SUMIFS(Premissas!$C$5:$C$44,Premissas!$A$5:$A$44,$A2581,Premissas!$B$5:$B$44,$B2581)+P2581*SUMIFS(Premissas!$D$5:$D$44,Premissas!$A$5:$A$44,$A2581,Premissas!$B$5:$B$44,$B2581))+R2581*SUMIFS(Premissas!$E$5:$E$44,Premissas!$A$5:$A$44,$A2581,Premissas!$B$5:$B$44,$B2581)+S2581*SUMIFS(Premissas!$F$5:$F$44,Premissas!$A$5:$A$44,$A2581,Premissas!$B$5:$B$44,$B2581)</f>
        <v/>
      </c>
      <c r="L2581" s="29">
        <f>J2581-K2581</f>
        <v/>
      </c>
      <c r="M2581" t="inlineStr">
        <is>
          <t>1.350</t>
        </is>
      </c>
      <c r="N2581" t="inlineStr">
        <is>
          <t>Modalidade: 0 - Por conta do remetente | Parte: M. N. ROCHA DE SOUSA LTDA (52.989.831/0001-31)</t>
        </is>
      </c>
      <c r="O2581" s="29" t="n">
        <v>0</v>
      </c>
      <c r="P2581" s="29" t="n">
        <v>0</v>
      </c>
      <c r="Q2581" s="29" t="n">
        <v>0</v>
      </c>
      <c r="R2581" s="29" t="n">
        <v>0</v>
      </c>
      <c r="S2581" s="29" t="n">
        <v>0</v>
      </c>
      <c r="T2581" t="inlineStr">
        <is>
          <t>25251226975620000130570010000060211000160835</t>
        </is>
      </c>
      <c r="U2581" t="inlineStr">
        <is>
          <t>Não</t>
        </is>
      </c>
    </row>
    <row r="2582">
      <c r="A2582" t="inlineStr">
        <is>
          <t>Frete de venda</t>
        </is>
      </c>
      <c r="B2582" t="inlineStr">
        <is>
          <t>2.01.02 Frete sobre Vendas</t>
        </is>
      </c>
      <c r="C2582" t="inlineStr">
        <is>
          <t>Antes de 2026</t>
        </is>
      </c>
      <c r="D2582" t="inlineStr">
        <is>
          <t>Antes de 2026</t>
        </is>
      </c>
      <c r="E2582" s="28" t="n">
        <v>46010</v>
      </c>
      <c r="F2582" t="inlineStr">
        <is>
          <t>CT-e</t>
        </is>
      </c>
      <c r="G2582" t="inlineStr">
        <is>
          <t>000006022</t>
        </is>
      </c>
      <c r="H2582" t="inlineStr">
        <is>
          <t>R&amp;R TRANSPORTE E LOGISTICA</t>
        </is>
      </c>
      <c r="J2582" s="29" t="n">
        <v>65.26000000000001</v>
      </c>
      <c r="K2582" s="29">
        <f>(1-ISNUMBER(SEARCH("556",M2582)))*(O2582*SUMIFS(Premissas!$C$5:$C$44,Premissas!$A$5:$A$44,$A2582,Premissas!$B$5:$B$44,$B2582)+P2582*SUMIFS(Premissas!$D$5:$D$44,Premissas!$A$5:$A$44,$A2582,Premissas!$B$5:$B$44,$B2582))+R2582*SUMIFS(Premissas!$E$5:$E$44,Premissas!$A$5:$A$44,$A2582,Premissas!$B$5:$B$44,$B2582)+S2582*SUMIFS(Premissas!$F$5:$F$44,Premissas!$A$5:$A$44,$A2582,Premissas!$B$5:$B$44,$B2582)</f>
        <v/>
      </c>
      <c r="L2582" s="29">
        <f>J2582-K2582</f>
        <v/>
      </c>
      <c r="M2582" t="inlineStr">
        <is>
          <t>1.350</t>
        </is>
      </c>
      <c r="N2582" t="inlineStr">
        <is>
          <t>Modalidade: 0 - Por conta do remetente | Parte: PLASMAR COMERCIO DE PRODUTOS DESCARTAVEIS LTDA (09.354.922/0001-71)</t>
        </is>
      </c>
      <c r="O2582" s="29" t="n">
        <v>0</v>
      </c>
      <c r="P2582" s="29" t="n">
        <v>0</v>
      </c>
      <c r="Q2582" s="29" t="n">
        <v>0</v>
      </c>
      <c r="R2582" s="29" t="n">
        <v>0</v>
      </c>
      <c r="S2582" s="29" t="n">
        <v>0</v>
      </c>
      <c r="T2582" t="inlineStr">
        <is>
          <t>25251226975620000130570010000060221000130917</t>
        </is>
      </c>
      <c r="U2582" t="inlineStr">
        <is>
          <t>Não</t>
        </is>
      </c>
    </row>
    <row r="2583">
      <c r="A2583" t="inlineStr">
        <is>
          <t>Frete de venda</t>
        </is>
      </c>
      <c r="B2583" t="inlineStr">
        <is>
          <t>2.01.02 Frete sobre Vendas</t>
        </is>
      </c>
      <c r="C2583" t="inlineStr">
        <is>
          <t>Antes de 2026</t>
        </is>
      </c>
      <c r="D2583" t="inlineStr">
        <is>
          <t>Antes de 2026</t>
        </is>
      </c>
      <c r="E2583" s="28" t="n">
        <v>46010</v>
      </c>
      <c r="F2583" t="inlineStr">
        <is>
          <t>CT-e</t>
        </is>
      </c>
      <c r="G2583" t="inlineStr">
        <is>
          <t>000006023</t>
        </is>
      </c>
      <c r="H2583" t="inlineStr">
        <is>
          <t>R&amp;R TRANSPORTE E LOGISTICA</t>
        </is>
      </c>
      <c r="J2583" s="29" t="n">
        <v>30.53</v>
      </c>
      <c r="K2583" s="29">
        <f>(1-ISNUMBER(SEARCH("556",M2583)))*(O2583*SUMIFS(Premissas!$C$5:$C$44,Premissas!$A$5:$A$44,$A2583,Premissas!$B$5:$B$44,$B2583)+P2583*SUMIFS(Premissas!$D$5:$D$44,Premissas!$A$5:$A$44,$A2583,Premissas!$B$5:$B$44,$B2583))+R2583*SUMIFS(Premissas!$E$5:$E$44,Premissas!$A$5:$A$44,$A2583,Premissas!$B$5:$B$44,$B2583)+S2583*SUMIFS(Premissas!$F$5:$F$44,Premissas!$A$5:$A$44,$A2583,Premissas!$B$5:$B$44,$B2583)</f>
        <v/>
      </c>
      <c r="L2583" s="29">
        <f>J2583-K2583</f>
        <v/>
      </c>
      <c r="M2583" t="inlineStr">
        <is>
          <t>1.350</t>
        </is>
      </c>
      <c r="N2583" t="inlineStr">
        <is>
          <t>Modalidade: 0 - Por conta do remetente | Parte: NORTE PLAST LTDA (61.061.989/0001-38)</t>
        </is>
      </c>
      <c r="O2583" s="29" t="n">
        <v>0</v>
      </c>
      <c r="P2583" s="29" t="n">
        <v>0</v>
      </c>
      <c r="Q2583" s="29" t="n">
        <v>0</v>
      </c>
      <c r="R2583" s="29" t="n">
        <v>0</v>
      </c>
      <c r="S2583" s="29" t="n">
        <v>0</v>
      </c>
      <c r="T2583" t="inlineStr">
        <is>
          <t>25251226975620000130570010000060231000010994</t>
        </is>
      </c>
      <c r="U2583" t="inlineStr">
        <is>
          <t>Não</t>
        </is>
      </c>
    </row>
    <row r="2584">
      <c r="A2584" t="inlineStr">
        <is>
          <t>Frete de venda</t>
        </is>
      </c>
      <c r="B2584" t="inlineStr">
        <is>
          <t>2.01.02 Frete sobre Vendas</t>
        </is>
      </c>
      <c r="C2584" t="inlineStr">
        <is>
          <t>Antes de 2026</t>
        </is>
      </c>
      <c r="D2584" t="inlineStr">
        <is>
          <t>Antes de 2026</t>
        </is>
      </c>
      <c r="E2584" s="28" t="n">
        <v>46011</v>
      </c>
      <c r="F2584" t="inlineStr">
        <is>
          <t>CT-e</t>
        </is>
      </c>
      <c r="G2584" t="inlineStr">
        <is>
          <t>000006027</t>
        </is>
      </c>
      <c r="H2584" t="inlineStr">
        <is>
          <t>R&amp;R TRANSPORTE E LOGISTICA</t>
        </is>
      </c>
      <c r="J2584" s="29" t="n">
        <v>31</v>
      </c>
      <c r="K2584" s="29">
        <f>(1-ISNUMBER(SEARCH("556",M2584)))*(O2584*SUMIFS(Premissas!$C$5:$C$44,Premissas!$A$5:$A$44,$A2584,Premissas!$B$5:$B$44,$B2584)+P2584*SUMIFS(Premissas!$D$5:$D$44,Premissas!$A$5:$A$44,$A2584,Premissas!$B$5:$B$44,$B2584))+R2584*SUMIFS(Premissas!$E$5:$E$44,Premissas!$A$5:$A$44,$A2584,Premissas!$B$5:$B$44,$B2584)+S2584*SUMIFS(Premissas!$F$5:$F$44,Premissas!$A$5:$A$44,$A2584,Premissas!$B$5:$B$44,$B2584)</f>
        <v/>
      </c>
      <c r="L2584" s="29">
        <f>J2584-K2584</f>
        <v/>
      </c>
      <c r="M2584" t="inlineStr">
        <is>
          <t>1.350</t>
        </is>
      </c>
      <c r="N2584" t="inlineStr">
        <is>
          <t>Modalidade: 0 - Por conta do remetente | Parte: J.M.N DA SILVA (07.790.026/0001-20)</t>
        </is>
      </c>
      <c r="O2584" s="29" t="n">
        <v>0</v>
      </c>
      <c r="P2584" s="29" t="n">
        <v>0</v>
      </c>
      <c r="Q2584" s="29" t="n">
        <v>0</v>
      </c>
      <c r="R2584" s="29" t="n">
        <v>0</v>
      </c>
      <c r="S2584" s="29" t="n">
        <v>0</v>
      </c>
      <c r="T2584" t="inlineStr">
        <is>
          <t>25251226975620000130570010000060271001100988</t>
        </is>
      </c>
      <c r="U2584" t="inlineStr">
        <is>
          <t>Não</t>
        </is>
      </c>
    </row>
    <row r="2585">
      <c r="A2585" t="inlineStr">
        <is>
          <t>Frete de venda</t>
        </is>
      </c>
      <c r="B2585" t="inlineStr">
        <is>
          <t>2.01.02 Frete sobre Vendas</t>
        </is>
      </c>
      <c r="C2585" t="inlineStr">
        <is>
          <t>Antes de 2026</t>
        </is>
      </c>
      <c r="D2585" t="inlineStr">
        <is>
          <t>Antes de 2026</t>
        </is>
      </c>
      <c r="E2585" s="28" t="n">
        <v>46011</v>
      </c>
      <c r="F2585" t="inlineStr">
        <is>
          <t>CT-e</t>
        </is>
      </c>
      <c r="G2585" t="inlineStr">
        <is>
          <t>000006028</t>
        </is>
      </c>
      <c r="H2585" t="inlineStr">
        <is>
          <t>R&amp;R TRANSPORTE E LOGISTICA</t>
        </is>
      </c>
      <c r="J2585" s="29" t="n">
        <v>41</v>
      </c>
      <c r="K2585" s="29">
        <f>(1-ISNUMBER(SEARCH("556",M2585)))*(O2585*SUMIFS(Premissas!$C$5:$C$44,Premissas!$A$5:$A$44,$A2585,Premissas!$B$5:$B$44,$B2585)+P2585*SUMIFS(Premissas!$D$5:$D$44,Premissas!$A$5:$A$44,$A2585,Premissas!$B$5:$B$44,$B2585))+R2585*SUMIFS(Premissas!$E$5:$E$44,Premissas!$A$5:$A$44,$A2585,Premissas!$B$5:$B$44,$B2585)+S2585*SUMIFS(Premissas!$F$5:$F$44,Premissas!$A$5:$A$44,$A2585,Premissas!$B$5:$B$44,$B2585)</f>
        <v/>
      </c>
      <c r="L2585" s="29">
        <f>J2585-K2585</f>
        <v/>
      </c>
      <c r="M2585" t="inlineStr">
        <is>
          <t>1.350</t>
        </is>
      </c>
      <c r="N2585" t="inlineStr">
        <is>
          <t>Modalidade: 0 - Por conta do remetente | Parte: MARECO SCHNEIDER COMERCIO DE EMBALAGENS LTDA (19.221.172/0001-13)</t>
        </is>
      </c>
      <c r="O2585" s="29" t="n">
        <v>0</v>
      </c>
      <c r="P2585" s="29" t="n">
        <v>0</v>
      </c>
      <c r="Q2585" s="29" t="n">
        <v>0</v>
      </c>
      <c r="R2585" s="29" t="n">
        <v>0</v>
      </c>
      <c r="S2585" s="29" t="n">
        <v>0</v>
      </c>
      <c r="T2585" t="inlineStr">
        <is>
          <t>25251226975620000130570010000060281001701067</t>
        </is>
      </c>
      <c r="U2585" t="inlineStr">
        <is>
          <t>Não</t>
        </is>
      </c>
    </row>
    <row r="2586">
      <c r="A2586" t="inlineStr">
        <is>
          <t>Frete de venda</t>
        </is>
      </c>
      <c r="B2586" t="inlineStr">
        <is>
          <t>2.01.02 Frete sobre Vendas</t>
        </is>
      </c>
      <c r="C2586" t="inlineStr">
        <is>
          <t>Antes de 2026</t>
        </is>
      </c>
      <c r="D2586" t="inlineStr">
        <is>
          <t>Antes de 2026</t>
        </is>
      </c>
      <c r="E2586" s="28" t="n">
        <v>46011</v>
      </c>
      <c r="F2586" t="inlineStr">
        <is>
          <t>CT-e</t>
        </is>
      </c>
      <c r="G2586" t="inlineStr">
        <is>
          <t>000006029</t>
        </is>
      </c>
      <c r="H2586" t="inlineStr">
        <is>
          <t>R&amp;R TRANSPORTE E LOGISTICA</t>
        </is>
      </c>
      <c r="J2586" s="29" t="n">
        <v>31</v>
      </c>
      <c r="K2586" s="29">
        <f>(1-ISNUMBER(SEARCH("556",M2586)))*(O2586*SUMIFS(Premissas!$C$5:$C$44,Premissas!$A$5:$A$44,$A2586,Premissas!$B$5:$B$44,$B2586)+P2586*SUMIFS(Premissas!$D$5:$D$44,Premissas!$A$5:$A$44,$A2586,Premissas!$B$5:$B$44,$B2586))+R2586*SUMIFS(Premissas!$E$5:$E$44,Premissas!$A$5:$A$44,$A2586,Premissas!$B$5:$B$44,$B2586)+S2586*SUMIFS(Premissas!$F$5:$F$44,Premissas!$A$5:$A$44,$A2586,Premissas!$B$5:$B$44,$B2586)</f>
        <v/>
      </c>
      <c r="L2586" s="29">
        <f>J2586-K2586</f>
        <v/>
      </c>
      <c r="M2586" t="inlineStr">
        <is>
          <t>1.350</t>
        </is>
      </c>
      <c r="N2586" t="inlineStr">
        <is>
          <t>Modalidade: 0 - Por conta do remetente | Parte: JB AGGIO LTDA (95.420.758/0001-95)</t>
        </is>
      </c>
      <c r="O2586" s="29" t="n">
        <v>0</v>
      </c>
      <c r="P2586" s="29" t="n">
        <v>0</v>
      </c>
      <c r="Q2586" s="29" t="n">
        <v>0</v>
      </c>
      <c r="R2586" s="29" t="n">
        <v>0</v>
      </c>
      <c r="S2586" s="29" t="n">
        <v>0</v>
      </c>
      <c r="T2586" t="inlineStr">
        <is>
          <t>25251226975620000130570010000060291001401141</t>
        </is>
      </c>
      <c r="U2586" t="inlineStr">
        <is>
          <t>Não</t>
        </is>
      </c>
    </row>
    <row r="2587">
      <c r="A2587" t="inlineStr">
        <is>
          <t>Frete de venda</t>
        </is>
      </c>
      <c r="B2587" t="inlineStr">
        <is>
          <t>2.01.02 Frete sobre Vendas</t>
        </is>
      </c>
      <c r="C2587" t="inlineStr">
        <is>
          <t>Antes de 2026</t>
        </is>
      </c>
      <c r="D2587" t="inlineStr">
        <is>
          <t>Antes de 2026</t>
        </is>
      </c>
      <c r="E2587" s="28" t="n">
        <v>46011</v>
      </c>
      <c r="F2587" t="inlineStr">
        <is>
          <t>CT-e</t>
        </is>
      </c>
      <c r="G2587" t="inlineStr">
        <is>
          <t>000006030</t>
        </is>
      </c>
      <c r="H2587" t="inlineStr">
        <is>
          <t>R&amp;R TRANSPORTE E LOGISTICA</t>
        </is>
      </c>
      <c r="J2587" s="29" t="n">
        <v>47</v>
      </c>
      <c r="K2587" s="29">
        <f>(1-ISNUMBER(SEARCH("556",M2587)))*(O2587*SUMIFS(Premissas!$C$5:$C$44,Premissas!$A$5:$A$44,$A2587,Premissas!$B$5:$B$44,$B2587)+P2587*SUMIFS(Premissas!$D$5:$D$44,Premissas!$A$5:$A$44,$A2587,Premissas!$B$5:$B$44,$B2587))+R2587*SUMIFS(Premissas!$E$5:$E$44,Premissas!$A$5:$A$44,$A2587,Premissas!$B$5:$B$44,$B2587)+S2587*SUMIFS(Premissas!$F$5:$F$44,Premissas!$A$5:$A$44,$A2587,Premissas!$B$5:$B$44,$B2587)</f>
        <v/>
      </c>
      <c r="L2587" s="29">
        <f>J2587-K2587</f>
        <v/>
      </c>
      <c r="M2587" t="inlineStr">
        <is>
          <t>1.350</t>
        </is>
      </c>
      <c r="N2587" t="inlineStr">
        <is>
          <t>Modalidade: 0 - Por conta do remetente | Parte: FRIOSETE COMERCIO DE FRIOS LTDA (97.426.472/0001-42)</t>
        </is>
      </c>
      <c r="O2587" s="29" t="n">
        <v>0</v>
      </c>
      <c r="P2587" s="29" t="n">
        <v>0</v>
      </c>
      <c r="Q2587" s="29" t="n">
        <v>0</v>
      </c>
      <c r="R2587" s="29" t="n">
        <v>0</v>
      </c>
      <c r="S2587" s="29" t="n">
        <v>0</v>
      </c>
      <c r="T2587" t="inlineStr">
        <is>
          <t>25251226975620000130570010000060301001101220</t>
        </is>
      </c>
      <c r="U2587" t="inlineStr">
        <is>
          <t>Não</t>
        </is>
      </c>
    </row>
    <row r="2588">
      <c r="A2588" t="inlineStr">
        <is>
          <t>Frete de venda</t>
        </is>
      </c>
      <c r="B2588" t="inlineStr">
        <is>
          <t>2.01.02 Frete sobre Vendas</t>
        </is>
      </c>
      <c r="C2588" t="inlineStr">
        <is>
          <t>Antes de 2026</t>
        </is>
      </c>
      <c r="D2588" t="inlineStr">
        <is>
          <t>Antes de 2026</t>
        </is>
      </c>
      <c r="E2588" s="28" t="n">
        <v>46011</v>
      </c>
      <c r="F2588" t="inlineStr">
        <is>
          <t>CT-e</t>
        </is>
      </c>
      <c r="G2588" t="inlineStr">
        <is>
          <t>000006031</t>
        </is>
      </c>
      <c r="H2588" t="inlineStr">
        <is>
          <t>R&amp;R TRANSPORTE E LOGISTICA</t>
        </is>
      </c>
      <c r="J2588" s="29" t="n">
        <v>31</v>
      </c>
      <c r="K2588" s="29">
        <f>(1-ISNUMBER(SEARCH("556",M2588)))*(O2588*SUMIFS(Premissas!$C$5:$C$44,Premissas!$A$5:$A$44,$A2588,Premissas!$B$5:$B$44,$B2588)+P2588*SUMIFS(Premissas!$D$5:$D$44,Premissas!$A$5:$A$44,$A2588,Premissas!$B$5:$B$44,$B2588))+R2588*SUMIFS(Premissas!$E$5:$E$44,Premissas!$A$5:$A$44,$A2588,Premissas!$B$5:$B$44,$B2588)+S2588*SUMIFS(Premissas!$F$5:$F$44,Premissas!$A$5:$A$44,$A2588,Premissas!$B$5:$B$44,$B2588)</f>
        <v/>
      </c>
      <c r="L2588" s="29">
        <f>J2588-K2588</f>
        <v/>
      </c>
      <c r="M2588" t="inlineStr">
        <is>
          <t>1.350</t>
        </is>
      </c>
      <c r="N2588" t="inlineStr">
        <is>
          <t>Modalidade: 0 - Por conta do remetente | Parte: THISEN e CIA LTDA (07.922.471/0001-04)</t>
        </is>
      </c>
      <c r="O2588" s="29" t="n">
        <v>0</v>
      </c>
      <c r="P2588" s="29" t="n">
        <v>0</v>
      </c>
      <c r="Q2588" s="29" t="n">
        <v>0</v>
      </c>
      <c r="R2588" s="29" t="n">
        <v>0</v>
      </c>
      <c r="S2588" s="29" t="n">
        <v>0</v>
      </c>
      <c r="T2588" t="inlineStr">
        <is>
          <t>25251226975620000130570010000060311001901304</t>
        </is>
      </c>
      <c r="U2588" t="inlineStr">
        <is>
          <t>Não</t>
        </is>
      </c>
    </row>
    <row r="2589">
      <c r="A2589" t="inlineStr">
        <is>
          <t>Frete de venda</t>
        </is>
      </c>
      <c r="B2589" t="inlineStr">
        <is>
          <t>2.01.02 Frete sobre Vendas</t>
        </is>
      </c>
      <c r="C2589" t="inlineStr">
        <is>
          <t>Antes de 2026</t>
        </is>
      </c>
      <c r="D2589" t="inlineStr">
        <is>
          <t>Antes de 2026</t>
        </is>
      </c>
      <c r="E2589" s="28" t="n">
        <v>46011</v>
      </c>
      <c r="F2589" t="inlineStr">
        <is>
          <t>CT-e</t>
        </is>
      </c>
      <c r="G2589" t="inlineStr">
        <is>
          <t>000006032</t>
        </is>
      </c>
      <c r="H2589" t="inlineStr">
        <is>
          <t>R&amp;R TRANSPORTE E LOGISTICA</t>
        </is>
      </c>
      <c r="J2589" s="29" t="n">
        <v>34.26</v>
      </c>
      <c r="K2589" s="29">
        <f>(1-ISNUMBER(SEARCH("556",M2589)))*(O2589*SUMIFS(Premissas!$C$5:$C$44,Premissas!$A$5:$A$44,$A2589,Premissas!$B$5:$B$44,$B2589)+P2589*SUMIFS(Premissas!$D$5:$D$44,Premissas!$A$5:$A$44,$A2589,Premissas!$B$5:$B$44,$B2589))+R2589*SUMIFS(Premissas!$E$5:$E$44,Premissas!$A$5:$A$44,$A2589,Premissas!$B$5:$B$44,$B2589)+S2589*SUMIFS(Premissas!$F$5:$F$44,Premissas!$A$5:$A$44,$A2589,Premissas!$B$5:$B$44,$B2589)</f>
        <v/>
      </c>
      <c r="L2589" s="29">
        <f>J2589-K2589</f>
        <v/>
      </c>
      <c r="M2589" t="inlineStr">
        <is>
          <t>1.350</t>
        </is>
      </c>
      <c r="N2589" t="inlineStr">
        <is>
          <t>Modalidade: 0 - Por conta do remetente | Parte: COMERCIO E REPRESENTACOES BELLATO LTDA (83.215.830/0001-63)</t>
        </is>
      </c>
      <c r="O2589" s="29" t="n">
        <v>0</v>
      </c>
      <c r="P2589" s="29" t="n">
        <v>0</v>
      </c>
      <c r="Q2589" s="29" t="n">
        <v>0</v>
      </c>
      <c r="R2589" s="29" t="n">
        <v>0</v>
      </c>
      <c r="S2589" s="29" t="n">
        <v>0</v>
      </c>
      <c r="T2589" t="inlineStr">
        <is>
          <t>25251226975620000130570010000060321001601383</t>
        </is>
      </c>
      <c r="U2589" t="inlineStr">
        <is>
          <t>Não</t>
        </is>
      </c>
    </row>
    <row r="2590">
      <c r="A2590" t="inlineStr">
        <is>
          <t>Frete de venda</t>
        </is>
      </c>
      <c r="B2590" t="inlineStr">
        <is>
          <t>2.01.02 Frete sobre Vendas</t>
        </is>
      </c>
      <c r="C2590" t="inlineStr">
        <is>
          <t>Antes de 2026</t>
        </is>
      </c>
      <c r="D2590" t="inlineStr">
        <is>
          <t>Antes de 2026</t>
        </is>
      </c>
      <c r="E2590" s="28" t="n">
        <v>46011</v>
      </c>
      <c r="F2590" t="inlineStr">
        <is>
          <t>CT-e</t>
        </is>
      </c>
      <c r="G2590" t="inlineStr">
        <is>
          <t>000006033</t>
        </is>
      </c>
      <c r="H2590" t="inlineStr">
        <is>
          <t>R&amp;R TRANSPORTE E LOGISTICA</t>
        </is>
      </c>
      <c r="J2590" s="29" t="n">
        <v>69</v>
      </c>
      <c r="K2590" s="29">
        <f>(1-ISNUMBER(SEARCH("556",M2590)))*(O2590*SUMIFS(Premissas!$C$5:$C$44,Premissas!$A$5:$A$44,$A2590,Premissas!$B$5:$B$44,$B2590)+P2590*SUMIFS(Premissas!$D$5:$D$44,Premissas!$A$5:$A$44,$A2590,Premissas!$B$5:$B$44,$B2590))+R2590*SUMIFS(Premissas!$E$5:$E$44,Premissas!$A$5:$A$44,$A2590,Premissas!$B$5:$B$44,$B2590)+S2590*SUMIFS(Premissas!$F$5:$F$44,Premissas!$A$5:$A$44,$A2590,Premissas!$B$5:$B$44,$B2590)</f>
        <v/>
      </c>
      <c r="L2590" s="29">
        <f>J2590-K2590</f>
        <v/>
      </c>
      <c r="M2590" t="inlineStr">
        <is>
          <t>1.350</t>
        </is>
      </c>
      <c r="N2590" t="inlineStr">
        <is>
          <t>Modalidade: 0 - Por conta do remetente | Parte: ATACADO NASCAR HIPICA LTDA (04.886.589/0001-28)</t>
        </is>
      </c>
      <c r="O2590" s="29" t="n">
        <v>0</v>
      </c>
      <c r="P2590" s="29" t="n">
        <v>0</v>
      </c>
      <c r="Q2590" s="29" t="n">
        <v>0</v>
      </c>
      <c r="R2590" s="29" t="n">
        <v>0</v>
      </c>
      <c r="S2590" s="29" t="n">
        <v>0</v>
      </c>
      <c r="T2590" t="inlineStr">
        <is>
          <t>25251226975620000130570010000060331001301468</t>
        </is>
      </c>
      <c r="U2590" t="inlineStr">
        <is>
          <t>Não</t>
        </is>
      </c>
    </row>
    <row r="2591">
      <c r="A2591" t="inlineStr">
        <is>
          <t>Frete de venda</t>
        </is>
      </c>
      <c r="B2591" t="inlineStr">
        <is>
          <t>2.01.02 Frete sobre Vendas</t>
        </is>
      </c>
      <c r="C2591" t="inlineStr">
        <is>
          <t>Antes de 2026</t>
        </is>
      </c>
      <c r="D2591" t="inlineStr">
        <is>
          <t>Antes de 2026</t>
        </is>
      </c>
      <c r="E2591" s="28" t="n">
        <v>46011</v>
      </c>
      <c r="F2591" t="inlineStr">
        <is>
          <t>CT-e</t>
        </is>
      </c>
      <c r="G2591" t="inlineStr">
        <is>
          <t>000006034</t>
        </is>
      </c>
      <c r="H2591" t="inlineStr">
        <is>
          <t>R&amp;R TRANSPORTE E LOGISTICA</t>
        </is>
      </c>
      <c r="J2591" s="29" t="n">
        <v>31</v>
      </c>
      <c r="K2591" s="29">
        <f>(1-ISNUMBER(SEARCH("556",M2591)))*(O2591*SUMIFS(Premissas!$C$5:$C$44,Premissas!$A$5:$A$44,$A2591,Premissas!$B$5:$B$44,$B2591)+P2591*SUMIFS(Premissas!$D$5:$D$44,Premissas!$A$5:$A$44,$A2591,Premissas!$B$5:$B$44,$B2591))+R2591*SUMIFS(Premissas!$E$5:$E$44,Premissas!$A$5:$A$44,$A2591,Premissas!$B$5:$B$44,$B2591)+S2591*SUMIFS(Premissas!$F$5:$F$44,Premissas!$A$5:$A$44,$A2591,Premissas!$B$5:$B$44,$B2591)</f>
        <v/>
      </c>
      <c r="L2591" s="29">
        <f>J2591-K2591</f>
        <v/>
      </c>
      <c r="M2591" t="inlineStr">
        <is>
          <t>1.350</t>
        </is>
      </c>
      <c r="N2591" t="inlineStr">
        <is>
          <t>Modalidade: 0 - Por conta do remetente | Parte: AMIL ATACADO LTDA (23.358.540/0001-47)</t>
        </is>
      </c>
      <c r="O2591" s="29" t="n">
        <v>0</v>
      </c>
      <c r="P2591" s="29" t="n">
        <v>0</v>
      </c>
      <c r="Q2591" s="29" t="n">
        <v>0</v>
      </c>
      <c r="R2591" s="29" t="n">
        <v>0</v>
      </c>
      <c r="S2591" s="29" t="n">
        <v>0</v>
      </c>
      <c r="T2591" t="inlineStr">
        <is>
          <t>25251226975620000130570010000060341000101543</t>
        </is>
      </c>
      <c r="U2591" t="inlineStr">
        <is>
          <t>Não</t>
        </is>
      </c>
    </row>
    <row r="2592">
      <c r="A2592" t="inlineStr">
        <is>
          <t>Frete de venda</t>
        </is>
      </c>
      <c r="B2592" t="inlineStr">
        <is>
          <t>2.01.02 Frete sobre Vendas</t>
        </is>
      </c>
      <c r="C2592" t="inlineStr">
        <is>
          <t>Antes de 2026</t>
        </is>
      </c>
      <c r="D2592" t="inlineStr">
        <is>
          <t>Antes de 2026</t>
        </is>
      </c>
      <c r="E2592" s="28" t="n">
        <v>46011</v>
      </c>
      <c r="F2592" t="inlineStr">
        <is>
          <t>CT-e</t>
        </is>
      </c>
      <c r="G2592" t="inlineStr">
        <is>
          <t>000006035</t>
        </is>
      </c>
      <c r="H2592" t="inlineStr">
        <is>
          <t>R&amp;R TRANSPORTE E LOGISTICA</t>
        </is>
      </c>
      <c r="J2592" s="29" t="n">
        <v>29.5</v>
      </c>
      <c r="K2592" s="29">
        <f>(1-ISNUMBER(SEARCH("556",M2592)))*(O2592*SUMIFS(Premissas!$C$5:$C$44,Premissas!$A$5:$A$44,$A2592,Premissas!$B$5:$B$44,$B2592)+P2592*SUMIFS(Premissas!$D$5:$D$44,Premissas!$A$5:$A$44,$A2592,Premissas!$B$5:$B$44,$B2592))+R2592*SUMIFS(Premissas!$E$5:$E$44,Premissas!$A$5:$A$44,$A2592,Premissas!$B$5:$B$44,$B2592)+S2592*SUMIFS(Premissas!$F$5:$F$44,Premissas!$A$5:$A$44,$A2592,Premissas!$B$5:$B$44,$B2592)</f>
        <v/>
      </c>
      <c r="L2592" s="29">
        <f>J2592-K2592</f>
        <v/>
      </c>
      <c r="M2592" t="inlineStr">
        <is>
          <t>1.350</t>
        </is>
      </c>
      <c r="N2592" t="inlineStr">
        <is>
          <t>Modalidade: 0 - Por conta do remetente | Parte: MEIRE F. P. LOURENCO (11.719.420/0001-49)</t>
        </is>
      </c>
      <c r="O2592" s="29" t="n">
        <v>0</v>
      </c>
      <c r="P2592" s="29" t="n">
        <v>0</v>
      </c>
      <c r="Q2592" s="29" t="n">
        <v>0</v>
      </c>
      <c r="R2592" s="29" t="n">
        <v>0</v>
      </c>
      <c r="S2592" s="29" t="n">
        <v>0</v>
      </c>
      <c r="T2592" t="inlineStr">
        <is>
          <t>25251226975620000130570010000060351000110892</t>
        </is>
      </c>
      <c r="U2592" t="inlineStr">
        <is>
          <t>Não</t>
        </is>
      </c>
    </row>
    <row r="2593">
      <c r="A2593" t="inlineStr">
        <is>
          <t>Frete de venda</t>
        </is>
      </c>
      <c r="B2593" t="inlineStr">
        <is>
          <t>2.01.02 Frete sobre Vendas</t>
        </is>
      </c>
      <c r="C2593" t="inlineStr">
        <is>
          <t>Antes de 2026</t>
        </is>
      </c>
      <c r="D2593" t="inlineStr">
        <is>
          <t>Antes de 2026</t>
        </is>
      </c>
      <c r="E2593" s="28" t="n">
        <v>46011</v>
      </c>
      <c r="F2593" t="inlineStr">
        <is>
          <t>CT-e</t>
        </is>
      </c>
      <c r="G2593" t="inlineStr">
        <is>
          <t>000006036</t>
        </is>
      </c>
      <c r="H2593" t="inlineStr">
        <is>
          <t>R&amp;R TRANSPORTE E LOGISTICA</t>
        </is>
      </c>
      <c r="J2593" s="29" t="n">
        <v>33</v>
      </c>
      <c r="K2593" s="29">
        <f>(1-ISNUMBER(SEARCH("556",M2593)))*(O2593*SUMIFS(Premissas!$C$5:$C$44,Premissas!$A$5:$A$44,$A2593,Premissas!$B$5:$B$44,$B2593)+P2593*SUMIFS(Premissas!$D$5:$D$44,Premissas!$A$5:$A$44,$A2593,Premissas!$B$5:$B$44,$B2593))+R2593*SUMIFS(Premissas!$E$5:$E$44,Premissas!$A$5:$A$44,$A2593,Premissas!$B$5:$B$44,$B2593)+S2593*SUMIFS(Premissas!$F$5:$F$44,Premissas!$A$5:$A$44,$A2593,Premissas!$B$5:$B$44,$B2593)</f>
        <v/>
      </c>
      <c r="L2593" s="29">
        <f>J2593-K2593</f>
        <v/>
      </c>
      <c r="M2593" t="inlineStr">
        <is>
          <t>1.350</t>
        </is>
      </c>
      <c r="N2593" t="inlineStr">
        <is>
          <t>Modalidade: 0 - Por conta do remetente | Parte: CIAPEL - COMERCIO DE PAPEIS E EMBALAGENS LTDA (79.701.744/0001-93)</t>
        </is>
      </c>
      <c r="O2593" s="29" t="n">
        <v>0</v>
      </c>
      <c r="P2593" s="29" t="n">
        <v>0</v>
      </c>
      <c r="Q2593" s="29" t="n">
        <v>0</v>
      </c>
      <c r="R2593" s="29" t="n">
        <v>0</v>
      </c>
      <c r="S2593" s="29" t="n">
        <v>0</v>
      </c>
      <c r="T2593" t="inlineStr">
        <is>
          <t>25251226975620000130570010000060361000190974</t>
        </is>
      </c>
      <c r="U2593" t="inlineStr">
        <is>
          <t>Não</t>
        </is>
      </c>
    </row>
    <row r="2594">
      <c r="A2594" t="inlineStr">
        <is>
          <t>Frete de venda</t>
        </is>
      </c>
      <c r="B2594" t="inlineStr">
        <is>
          <t>2.01.02 Frete sobre Vendas</t>
        </is>
      </c>
      <c r="C2594" t="inlineStr">
        <is>
          <t>Antes de 2026</t>
        </is>
      </c>
      <c r="D2594" t="inlineStr">
        <is>
          <t>Antes de 2026</t>
        </is>
      </c>
      <c r="E2594" s="28" t="n">
        <v>46011</v>
      </c>
      <c r="F2594" t="inlineStr">
        <is>
          <t>CT-e</t>
        </is>
      </c>
      <c r="G2594" t="inlineStr">
        <is>
          <t>000006037</t>
        </is>
      </c>
      <c r="H2594" t="inlineStr">
        <is>
          <t>R&amp;R TRANSPORTE E LOGISTICA</t>
        </is>
      </c>
      <c r="J2594" s="29" t="n">
        <v>28</v>
      </c>
      <c r="K2594" s="29">
        <f>(1-ISNUMBER(SEARCH("556",M2594)))*(O2594*SUMIFS(Premissas!$C$5:$C$44,Premissas!$A$5:$A$44,$A2594,Premissas!$B$5:$B$44,$B2594)+P2594*SUMIFS(Premissas!$D$5:$D$44,Premissas!$A$5:$A$44,$A2594,Premissas!$B$5:$B$44,$B2594))+R2594*SUMIFS(Premissas!$E$5:$E$44,Premissas!$A$5:$A$44,$A2594,Premissas!$B$5:$B$44,$B2594)+S2594*SUMIFS(Premissas!$F$5:$F$44,Premissas!$A$5:$A$44,$A2594,Premissas!$B$5:$B$44,$B2594)</f>
        <v/>
      </c>
      <c r="L2594" s="29">
        <f>J2594-K2594</f>
        <v/>
      </c>
      <c r="M2594" t="inlineStr">
        <is>
          <t>1.350</t>
        </is>
      </c>
      <c r="N2594" t="inlineStr">
        <is>
          <t>Modalidade: 0 - Por conta do remetente | Parte: PLANALTO LTDA (16.890.040/0001-96)</t>
        </is>
      </c>
      <c r="O2594" s="29" t="n">
        <v>0</v>
      </c>
      <c r="P2594" s="29" t="n">
        <v>0</v>
      </c>
      <c r="Q2594" s="29" t="n">
        <v>0</v>
      </c>
      <c r="R2594" s="29" t="n">
        <v>0</v>
      </c>
      <c r="S2594" s="29" t="n">
        <v>0</v>
      </c>
      <c r="T2594" t="inlineStr">
        <is>
          <t>25251226975620000130570010000060371001601053</t>
        </is>
      </c>
      <c r="U2594" t="inlineStr">
        <is>
          <t>Não</t>
        </is>
      </c>
    </row>
    <row r="2595">
      <c r="A2595" t="inlineStr">
        <is>
          <t>Frete de venda</t>
        </is>
      </c>
      <c r="B2595" t="inlineStr">
        <is>
          <t>2.01.02 Frete sobre Vendas</t>
        </is>
      </c>
      <c r="C2595" t="inlineStr">
        <is>
          <t>Antes de 2026</t>
        </is>
      </c>
      <c r="D2595" t="inlineStr">
        <is>
          <t>Antes de 2026</t>
        </is>
      </c>
      <c r="E2595" s="28" t="n">
        <v>46011</v>
      </c>
      <c r="F2595" t="inlineStr">
        <is>
          <t>CT-e</t>
        </is>
      </c>
      <c r="G2595" t="inlineStr">
        <is>
          <t>000006038</t>
        </is>
      </c>
      <c r="H2595" t="inlineStr">
        <is>
          <t>R&amp;R TRANSPORTE E LOGISTICA</t>
        </is>
      </c>
      <c r="J2595" s="29" t="n">
        <v>36</v>
      </c>
      <c r="K2595" s="29">
        <f>(1-ISNUMBER(SEARCH("556",M2595)))*(O2595*SUMIFS(Premissas!$C$5:$C$44,Premissas!$A$5:$A$44,$A2595,Premissas!$B$5:$B$44,$B2595)+P2595*SUMIFS(Premissas!$D$5:$D$44,Premissas!$A$5:$A$44,$A2595,Premissas!$B$5:$B$44,$B2595))+R2595*SUMIFS(Premissas!$E$5:$E$44,Premissas!$A$5:$A$44,$A2595,Premissas!$B$5:$B$44,$B2595)+S2595*SUMIFS(Premissas!$F$5:$F$44,Premissas!$A$5:$A$44,$A2595,Premissas!$B$5:$B$44,$B2595)</f>
        <v/>
      </c>
      <c r="L2595" s="29">
        <f>J2595-K2595</f>
        <v/>
      </c>
      <c r="M2595" t="inlineStr">
        <is>
          <t>1.350</t>
        </is>
      </c>
      <c r="N2595" t="inlineStr">
        <is>
          <t>Modalidade: 0 - Por conta do remetente | Parte: RESTAURANTE JOY201 LTDA (40.912.704/0001-55)</t>
        </is>
      </c>
      <c r="O2595" s="29" t="n">
        <v>0</v>
      </c>
      <c r="P2595" s="29" t="n">
        <v>0</v>
      </c>
      <c r="Q2595" s="29" t="n">
        <v>0</v>
      </c>
      <c r="R2595" s="29" t="n">
        <v>0</v>
      </c>
      <c r="S2595" s="29" t="n">
        <v>0</v>
      </c>
      <c r="T2595" t="inlineStr">
        <is>
          <t>25251226975620000130570010000060381001301138</t>
        </is>
      </c>
      <c r="U2595" t="inlineStr">
        <is>
          <t>Não</t>
        </is>
      </c>
    </row>
    <row r="2596">
      <c r="A2596" t="inlineStr">
        <is>
          <t>Frete de venda</t>
        </is>
      </c>
      <c r="B2596" t="inlineStr">
        <is>
          <t>2.01.02 Frete sobre Vendas</t>
        </is>
      </c>
      <c r="C2596" t="inlineStr">
        <is>
          <t>Antes de 2026</t>
        </is>
      </c>
      <c r="D2596" t="inlineStr">
        <is>
          <t>Antes de 2026</t>
        </is>
      </c>
      <c r="E2596" s="28" t="n">
        <v>46011</v>
      </c>
      <c r="F2596" t="inlineStr">
        <is>
          <t>CT-e</t>
        </is>
      </c>
      <c r="G2596" t="inlineStr">
        <is>
          <t>000006039</t>
        </is>
      </c>
      <c r="H2596" t="inlineStr">
        <is>
          <t>R&amp;R TRANSPORTE E LOGISTICA</t>
        </is>
      </c>
      <c r="J2596" s="29" t="n">
        <v>598</v>
      </c>
      <c r="K2596" s="29">
        <f>(1-ISNUMBER(SEARCH("556",M2596)))*(O2596*SUMIFS(Premissas!$C$5:$C$44,Premissas!$A$5:$A$44,$A2596,Premissas!$B$5:$B$44,$B2596)+P2596*SUMIFS(Premissas!$D$5:$D$44,Premissas!$A$5:$A$44,$A2596,Premissas!$B$5:$B$44,$B2596))+R2596*SUMIFS(Premissas!$E$5:$E$44,Premissas!$A$5:$A$44,$A2596,Premissas!$B$5:$B$44,$B2596)+S2596*SUMIFS(Premissas!$F$5:$F$44,Premissas!$A$5:$A$44,$A2596,Premissas!$B$5:$B$44,$B2596)</f>
        <v/>
      </c>
      <c r="L2596" s="29">
        <f>J2596-K2596</f>
        <v/>
      </c>
      <c r="M2596" t="inlineStr">
        <is>
          <t>1.350</t>
        </is>
      </c>
      <c r="N2596" t="inlineStr">
        <is>
          <t>Modalidade: 0 - Por conta do remetente | Parte: DISTRIPACK DISTRIBUIDORA DE EMBALAGENS LTDA (11.043.375/0002-36)</t>
        </is>
      </c>
      <c r="O2596" s="29" t="n">
        <v>0</v>
      </c>
      <c r="P2596" s="29" t="n">
        <v>0</v>
      </c>
      <c r="Q2596" s="29" t="n">
        <v>0</v>
      </c>
      <c r="R2596" s="29" t="n">
        <v>0</v>
      </c>
      <c r="S2596" s="29" t="n">
        <v>0</v>
      </c>
      <c r="T2596" t="inlineStr">
        <is>
          <t>25251226975620000130570010000060391000101213</t>
        </is>
      </c>
      <c r="U2596" t="inlineStr">
        <is>
          <t>Não</t>
        </is>
      </c>
    </row>
    <row r="2597">
      <c r="A2597" t="inlineStr">
        <is>
          <t>Frete de venda</t>
        </is>
      </c>
      <c r="B2597" t="inlineStr">
        <is>
          <t>2.01.02 Frete sobre Vendas</t>
        </is>
      </c>
      <c r="C2597" t="inlineStr">
        <is>
          <t>Antes de 2026</t>
        </is>
      </c>
      <c r="D2597" t="inlineStr">
        <is>
          <t>Antes de 2026</t>
        </is>
      </c>
      <c r="E2597" s="28" t="n">
        <v>46014</v>
      </c>
      <c r="F2597" t="inlineStr">
        <is>
          <t>CT-e</t>
        </is>
      </c>
      <c r="G2597" t="inlineStr">
        <is>
          <t>000006042</t>
        </is>
      </c>
      <c r="H2597" t="inlineStr">
        <is>
          <t>R&amp;R TRANSPORTE E LOGISTICA</t>
        </is>
      </c>
      <c r="J2597" s="29" t="n">
        <v>217.05</v>
      </c>
      <c r="K2597" s="29">
        <f>(1-ISNUMBER(SEARCH("556",M2597)))*(O2597*SUMIFS(Premissas!$C$5:$C$44,Premissas!$A$5:$A$44,$A2597,Premissas!$B$5:$B$44,$B2597)+P2597*SUMIFS(Premissas!$D$5:$D$44,Premissas!$A$5:$A$44,$A2597,Premissas!$B$5:$B$44,$B2597))+R2597*SUMIFS(Premissas!$E$5:$E$44,Premissas!$A$5:$A$44,$A2597,Premissas!$B$5:$B$44,$B2597)+S2597*SUMIFS(Premissas!$F$5:$F$44,Premissas!$A$5:$A$44,$A2597,Premissas!$B$5:$B$44,$B2597)</f>
        <v/>
      </c>
      <c r="L2597" s="29">
        <f>J2597-K2597</f>
        <v/>
      </c>
      <c r="M2597" t="inlineStr">
        <is>
          <t>1.350</t>
        </is>
      </c>
      <c r="N2597" t="inlineStr">
        <is>
          <t>Modalidade: 0 - Por conta do remetente | Parte: BRASILPLAST EMBALAGENS E DESCARTAVEIS LTDA (02.771.903/0001-00)</t>
        </is>
      </c>
      <c r="O2597" s="29" t="n">
        <v>0</v>
      </c>
      <c r="P2597" s="29" t="n">
        <v>0</v>
      </c>
      <c r="Q2597" s="29" t="n">
        <v>0</v>
      </c>
      <c r="R2597" s="29" t="n">
        <v>0</v>
      </c>
      <c r="S2597" s="29" t="n">
        <v>0</v>
      </c>
      <c r="T2597" t="inlineStr">
        <is>
          <t>25251226975620000130570010000060421001101662</t>
        </is>
      </c>
      <c r="U2597" t="inlineStr">
        <is>
          <t>Não</t>
        </is>
      </c>
    </row>
    <row r="2598">
      <c r="A2598" t="inlineStr">
        <is>
          <t>Frete de venda</t>
        </is>
      </c>
      <c r="B2598" t="inlineStr">
        <is>
          <t>2.01.02 Frete sobre Vendas</t>
        </is>
      </c>
      <c r="C2598" t="inlineStr">
        <is>
          <t>Antes de 2026</t>
        </is>
      </c>
      <c r="D2598" t="inlineStr">
        <is>
          <t>Antes de 2026</t>
        </is>
      </c>
      <c r="E2598" s="28" t="n">
        <v>46014</v>
      </c>
      <c r="F2598" t="inlineStr">
        <is>
          <t>CT-e</t>
        </is>
      </c>
      <c r="G2598" t="inlineStr">
        <is>
          <t>000006045</t>
        </is>
      </c>
      <c r="H2598" t="inlineStr">
        <is>
          <t>R&amp;R TRANSPORTE E LOGISTICA</t>
        </is>
      </c>
      <c r="J2598" s="29" t="n">
        <v>284.85</v>
      </c>
      <c r="K2598" s="29">
        <f>(1-ISNUMBER(SEARCH("556",M2598)))*(O2598*SUMIFS(Premissas!$C$5:$C$44,Premissas!$A$5:$A$44,$A2598,Premissas!$B$5:$B$44,$B2598)+P2598*SUMIFS(Premissas!$D$5:$D$44,Premissas!$A$5:$A$44,$A2598,Premissas!$B$5:$B$44,$B2598))+R2598*SUMIFS(Premissas!$E$5:$E$44,Premissas!$A$5:$A$44,$A2598,Premissas!$B$5:$B$44,$B2598)+S2598*SUMIFS(Premissas!$F$5:$F$44,Premissas!$A$5:$A$44,$A2598,Premissas!$B$5:$B$44,$B2598)</f>
        <v/>
      </c>
      <c r="L2598" s="29">
        <f>J2598-K2598</f>
        <v/>
      </c>
      <c r="M2598" t="inlineStr">
        <is>
          <t>1.350</t>
        </is>
      </c>
      <c r="N2598" t="inlineStr">
        <is>
          <t>Modalidade: 0 - Por conta do remetente | Parte: RODRIGUES e DIAS COMERCIO DE HORTIFRUTI GRANJEIROS LTDA (09.143.905/0001-95)</t>
        </is>
      </c>
      <c r="O2598" s="29" t="n">
        <v>0</v>
      </c>
      <c r="P2598" s="29" t="n">
        <v>0</v>
      </c>
      <c r="Q2598" s="29" t="n">
        <v>0</v>
      </c>
      <c r="R2598" s="29" t="n">
        <v>0</v>
      </c>
      <c r="S2598" s="29" t="n">
        <v>0</v>
      </c>
      <c r="T2598" t="inlineStr">
        <is>
          <t>25251226975620000130570010000060451000190531</t>
        </is>
      </c>
      <c r="U2598" t="inlineStr">
        <is>
          <t>Não</t>
        </is>
      </c>
    </row>
    <row r="2599">
      <c r="A2599" t="inlineStr">
        <is>
          <t>Frete de venda</t>
        </is>
      </c>
      <c r="B2599" t="inlineStr">
        <is>
          <t>2.01.02 Frete sobre Vendas</t>
        </is>
      </c>
      <c r="C2599" t="inlineStr">
        <is>
          <t>Antes de 2026</t>
        </is>
      </c>
      <c r="D2599" t="inlineStr">
        <is>
          <t>Antes de 2026</t>
        </is>
      </c>
      <c r="E2599" s="28" t="n">
        <v>46014</v>
      </c>
      <c r="F2599" t="inlineStr">
        <is>
          <t>CT-e</t>
        </is>
      </c>
      <c r="G2599" t="inlineStr">
        <is>
          <t>000006046</t>
        </is>
      </c>
      <c r="H2599" t="inlineStr">
        <is>
          <t>R&amp;R TRANSPORTE E LOGISTICA</t>
        </is>
      </c>
      <c r="J2599" s="29" t="n">
        <v>160.41</v>
      </c>
      <c r="K2599" s="29">
        <f>(1-ISNUMBER(SEARCH("556",M2599)))*(O2599*SUMIFS(Premissas!$C$5:$C$44,Premissas!$A$5:$A$44,$A2599,Premissas!$B$5:$B$44,$B2599)+P2599*SUMIFS(Premissas!$D$5:$D$44,Premissas!$A$5:$A$44,$A2599,Premissas!$B$5:$B$44,$B2599))+R2599*SUMIFS(Premissas!$E$5:$E$44,Premissas!$A$5:$A$44,$A2599,Premissas!$B$5:$B$44,$B2599)+S2599*SUMIFS(Premissas!$F$5:$F$44,Premissas!$A$5:$A$44,$A2599,Premissas!$B$5:$B$44,$B2599)</f>
        <v/>
      </c>
      <c r="L2599" s="29">
        <f>J2599-K2599</f>
        <v/>
      </c>
      <c r="M2599" t="inlineStr">
        <is>
          <t>1.350</t>
        </is>
      </c>
      <c r="N2599" t="inlineStr">
        <is>
          <t>Modalidade: 0 - Por conta do remetente | Parte: DONNA DISTRIBUIDORA LTDA (52.238.099/0001-68)</t>
        </is>
      </c>
      <c r="O2599" s="29" t="n">
        <v>0</v>
      </c>
      <c r="P2599" s="29" t="n">
        <v>0</v>
      </c>
      <c r="Q2599" s="29" t="n">
        <v>0</v>
      </c>
      <c r="R2599" s="29" t="n">
        <v>0</v>
      </c>
      <c r="S2599" s="29" t="n">
        <v>0</v>
      </c>
      <c r="T2599" t="inlineStr">
        <is>
          <t>25251226975620000130570010000060461000160613</t>
        </is>
      </c>
      <c r="U2599" t="inlineStr">
        <is>
          <t>Não</t>
        </is>
      </c>
    </row>
    <row r="2600">
      <c r="A2600" t="inlineStr">
        <is>
          <t>Frete de venda</t>
        </is>
      </c>
      <c r="B2600" t="inlineStr">
        <is>
          <t>2.01.02 Frete sobre Vendas</t>
        </is>
      </c>
      <c r="C2600" t="inlineStr">
        <is>
          <t>Antes de 2026</t>
        </is>
      </c>
      <c r="D2600" t="inlineStr">
        <is>
          <t>Antes de 2026</t>
        </is>
      </c>
      <c r="E2600" s="28" t="n">
        <v>46014</v>
      </c>
      <c r="F2600" t="inlineStr">
        <is>
          <t>CT-e</t>
        </is>
      </c>
      <c r="G2600" t="inlineStr">
        <is>
          <t>000006047</t>
        </is>
      </c>
      <c r="H2600" t="inlineStr">
        <is>
          <t>R&amp;R TRANSPORTE E LOGISTICA</t>
        </is>
      </c>
      <c r="J2600" s="29" t="n">
        <v>142.21</v>
      </c>
      <c r="K2600" s="29">
        <f>(1-ISNUMBER(SEARCH("556",M2600)))*(O2600*SUMIFS(Premissas!$C$5:$C$44,Premissas!$A$5:$A$44,$A2600,Premissas!$B$5:$B$44,$B2600)+P2600*SUMIFS(Premissas!$D$5:$D$44,Premissas!$A$5:$A$44,$A2600,Premissas!$B$5:$B$44,$B2600))+R2600*SUMIFS(Premissas!$E$5:$E$44,Premissas!$A$5:$A$44,$A2600,Premissas!$B$5:$B$44,$B2600)+S2600*SUMIFS(Premissas!$F$5:$F$44,Premissas!$A$5:$A$44,$A2600,Premissas!$B$5:$B$44,$B2600)</f>
        <v/>
      </c>
      <c r="L2600" s="29">
        <f>J2600-K2600</f>
        <v/>
      </c>
      <c r="M2600" t="inlineStr">
        <is>
          <t>1.350</t>
        </is>
      </c>
      <c r="N2600" t="inlineStr">
        <is>
          <t>Modalidade: 0 - Por conta do remetente | Parte: DISTRIBUIDORA CENTRAL EMBALAGENS LTDA (08.726.563/0001-73)</t>
        </is>
      </c>
      <c r="O2600" s="29" t="n">
        <v>0</v>
      </c>
      <c r="P2600" s="29" t="n">
        <v>0</v>
      </c>
      <c r="Q2600" s="29" t="n">
        <v>0</v>
      </c>
      <c r="R2600" s="29" t="n">
        <v>0</v>
      </c>
      <c r="S2600" s="29" t="n">
        <v>0</v>
      </c>
      <c r="T2600" t="inlineStr">
        <is>
          <t>25251226975620000130570010000060471000130690</t>
        </is>
      </c>
      <c r="U2600" t="inlineStr">
        <is>
          <t>Não</t>
        </is>
      </c>
    </row>
    <row r="2601">
      <c r="A2601" t="inlineStr">
        <is>
          <t>Frete de venda</t>
        </is>
      </c>
      <c r="B2601" t="inlineStr">
        <is>
          <t>2.01.02 Frete sobre Vendas</t>
        </is>
      </c>
      <c r="C2601" t="inlineStr">
        <is>
          <t>Antes de 2026</t>
        </is>
      </c>
      <c r="D2601" t="inlineStr">
        <is>
          <t>Antes de 2026</t>
        </is>
      </c>
      <c r="E2601" s="28" t="n">
        <v>46014</v>
      </c>
      <c r="F2601" t="inlineStr">
        <is>
          <t>CT-e</t>
        </is>
      </c>
      <c r="G2601" t="inlineStr">
        <is>
          <t>000006048</t>
        </is>
      </c>
      <c r="H2601" t="inlineStr">
        <is>
          <t>R&amp;R TRANSPORTE E LOGISTICA</t>
        </is>
      </c>
      <c r="J2601" s="29" t="n">
        <v>470</v>
      </c>
      <c r="K2601" s="29">
        <f>(1-ISNUMBER(SEARCH("556",M2601)))*(O2601*SUMIFS(Premissas!$C$5:$C$44,Premissas!$A$5:$A$44,$A2601,Premissas!$B$5:$B$44,$B2601)+P2601*SUMIFS(Premissas!$D$5:$D$44,Premissas!$A$5:$A$44,$A2601,Premissas!$B$5:$B$44,$B2601))+R2601*SUMIFS(Premissas!$E$5:$E$44,Premissas!$A$5:$A$44,$A2601,Premissas!$B$5:$B$44,$B2601)+S2601*SUMIFS(Premissas!$F$5:$F$44,Premissas!$A$5:$A$44,$A2601,Premissas!$B$5:$B$44,$B2601)</f>
        <v/>
      </c>
      <c r="L2601" s="29">
        <f>J2601-K2601</f>
        <v/>
      </c>
      <c r="M2601" t="inlineStr">
        <is>
          <t>1.350</t>
        </is>
      </c>
      <c r="N2601" t="inlineStr">
        <is>
          <t>Modalidade: 0 - Por conta do remetente | Parte: DML DISTRIBUIDORA DE ALIMENTOS E EMBALAGENS LTDA (07.412.776/0001-68)</t>
        </is>
      </c>
      <c r="O2601" s="29" t="n">
        <v>0</v>
      </c>
      <c r="P2601" s="29" t="n">
        <v>0</v>
      </c>
      <c r="Q2601" s="29" t="n">
        <v>0</v>
      </c>
      <c r="R2601" s="29" t="n">
        <v>0</v>
      </c>
      <c r="S2601" s="29" t="n">
        <v>0</v>
      </c>
      <c r="T2601" t="inlineStr">
        <is>
          <t>25251226975620000130570010000060481011001095</t>
        </is>
      </c>
      <c r="U2601" t="inlineStr">
        <is>
          <t>Não</t>
        </is>
      </c>
    </row>
    <row r="2602">
      <c r="A2602" t="inlineStr">
        <is>
          <t>Frete de venda</t>
        </is>
      </c>
      <c r="B2602" t="inlineStr">
        <is>
          <t>2.01.02 Frete sobre Vendas</t>
        </is>
      </c>
      <c r="C2602" t="inlineStr">
        <is>
          <t>Antes de 2026</t>
        </is>
      </c>
      <c r="D2602" t="inlineStr">
        <is>
          <t>Antes de 2026</t>
        </is>
      </c>
      <c r="E2602" s="28" t="n">
        <v>46014</v>
      </c>
      <c r="F2602" t="inlineStr">
        <is>
          <t>CT-e</t>
        </is>
      </c>
      <c r="G2602" t="inlineStr">
        <is>
          <t>000006049</t>
        </is>
      </c>
      <c r="H2602" t="inlineStr">
        <is>
          <t>R&amp;R TRANSPORTE E LOGISTICA</t>
        </is>
      </c>
      <c r="J2602" s="29" t="n">
        <v>470</v>
      </c>
      <c r="K2602" s="29">
        <f>(1-ISNUMBER(SEARCH("556",M2602)))*(O2602*SUMIFS(Premissas!$C$5:$C$44,Premissas!$A$5:$A$44,$A2602,Premissas!$B$5:$B$44,$B2602)+P2602*SUMIFS(Premissas!$D$5:$D$44,Premissas!$A$5:$A$44,$A2602,Premissas!$B$5:$B$44,$B2602))+R2602*SUMIFS(Premissas!$E$5:$E$44,Premissas!$A$5:$A$44,$A2602,Premissas!$B$5:$B$44,$B2602)+S2602*SUMIFS(Premissas!$F$5:$F$44,Premissas!$A$5:$A$44,$A2602,Premissas!$B$5:$B$44,$B2602)</f>
        <v/>
      </c>
      <c r="L2602" s="29">
        <f>J2602-K2602</f>
        <v/>
      </c>
      <c r="M2602" t="inlineStr">
        <is>
          <t>1.350</t>
        </is>
      </c>
      <c r="N2602" t="inlineStr">
        <is>
          <t>Modalidade: 0 - Por conta do remetente | Parte: VILA COMERCIO DE FRIOS LTDA (33.787.186/0003-91)</t>
        </is>
      </c>
      <c r="O2602" s="29" t="n">
        <v>0</v>
      </c>
      <c r="P2602" s="29" t="n">
        <v>0</v>
      </c>
      <c r="Q2602" s="29" t="n">
        <v>0</v>
      </c>
      <c r="R2602" s="29" t="n">
        <v>0</v>
      </c>
      <c r="S2602" s="29" t="n">
        <v>0</v>
      </c>
      <c r="T2602" t="inlineStr">
        <is>
          <t>25251226975620000130570010000060491001701172</t>
        </is>
      </c>
      <c r="U2602" t="inlineStr">
        <is>
          <t>Não</t>
        </is>
      </c>
    </row>
    <row r="2603">
      <c r="A2603" t="inlineStr">
        <is>
          <t>Frete de venda</t>
        </is>
      </c>
      <c r="B2603" t="inlineStr">
        <is>
          <t>2.01.02 Frete sobre Vendas</t>
        </is>
      </c>
      <c r="C2603" t="inlineStr">
        <is>
          <t>Antes de 2026</t>
        </is>
      </c>
      <c r="D2603" t="inlineStr">
        <is>
          <t>Antes de 2026</t>
        </is>
      </c>
      <c r="E2603" s="28" t="n">
        <v>46014</v>
      </c>
      <c r="F2603" t="inlineStr">
        <is>
          <t>CT-e</t>
        </is>
      </c>
      <c r="G2603" t="inlineStr">
        <is>
          <t>000006050</t>
        </is>
      </c>
      <c r="H2603" t="inlineStr">
        <is>
          <t>R&amp;R TRANSPORTE E LOGISTICA</t>
        </is>
      </c>
      <c r="J2603" s="29" t="n">
        <v>470</v>
      </c>
      <c r="K2603" s="29">
        <f>(1-ISNUMBER(SEARCH("556",M2603)))*(O2603*SUMIFS(Premissas!$C$5:$C$44,Premissas!$A$5:$A$44,$A2603,Premissas!$B$5:$B$44,$B2603)+P2603*SUMIFS(Premissas!$D$5:$D$44,Premissas!$A$5:$A$44,$A2603,Premissas!$B$5:$B$44,$B2603))+R2603*SUMIFS(Premissas!$E$5:$E$44,Premissas!$A$5:$A$44,$A2603,Premissas!$B$5:$B$44,$B2603)+S2603*SUMIFS(Premissas!$F$5:$F$44,Premissas!$A$5:$A$44,$A2603,Premissas!$B$5:$B$44,$B2603)</f>
        <v/>
      </c>
      <c r="L2603" s="29">
        <f>J2603-K2603</f>
        <v/>
      </c>
      <c r="M2603" t="inlineStr">
        <is>
          <t>1.350</t>
        </is>
      </c>
      <c r="N2603" t="inlineStr">
        <is>
          <t>Modalidade: 0 - Por conta do remetente | Parte: TOP EMBALAGENS ATACADO E VAREJO LTDA (43.069.234/0001-06)</t>
        </is>
      </c>
      <c r="O2603" s="29" t="n">
        <v>0</v>
      </c>
      <c r="P2603" s="29" t="n">
        <v>0</v>
      </c>
      <c r="Q2603" s="29" t="n">
        <v>0</v>
      </c>
      <c r="R2603" s="29" t="n">
        <v>0</v>
      </c>
      <c r="S2603" s="29" t="n">
        <v>0</v>
      </c>
      <c r="T2603" t="inlineStr">
        <is>
          <t>25251226975620000130570010000060501001401250</t>
        </is>
      </c>
      <c r="U2603" t="inlineStr">
        <is>
          <t>Não</t>
        </is>
      </c>
    </row>
    <row r="2604">
      <c r="A2604" t="inlineStr">
        <is>
          <t>Frete de venda</t>
        </is>
      </c>
      <c r="B2604" t="inlineStr">
        <is>
          <t>2.01.02 Frete sobre Vendas</t>
        </is>
      </c>
      <c r="C2604" t="inlineStr">
        <is>
          <t>Antes de 2026</t>
        </is>
      </c>
      <c r="D2604" t="inlineStr">
        <is>
          <t>Antes de 2026</t>
        </is>
      </c>
      <c r="E2604" s="28" t="n">
        <v>46015</v>
      </c>
      <c r="F2604" t="inlineStr">
        <is>
          <t>CT-e</t>
        </is>
      </c>
      <c r="G2604" t="inlineStr">
        <is>
          <t>000006059</t>
        </is>
      </c>
      <c r="H2604" t="inlineStr">
        <is>
          <t>R&amp;R TRANSPORTE E LOGISTICA</t>
        </is>
      </c>
      <c r="J2604" s="29" t="n">
        <v>700</v>
      </c>
      <c r="K2604" s="29">
        <f>(1-ISNUMBER(SEARCH("556",M2604)))*(O2604*SUMIFS(Premissas!$C$5:$C$44,Premissas!$A$5:$A$44,$A2604,Premissas!$B$5:$B$44,$B2604)+P2604*SUMIFS(Premissas!$D$5:$D$44,Premissas!$A$5:$A$44,$A2604,Premissas!$B$5:$B$44,$B2604))+R2604*SUMIFS(Premissas!$E$5:$E$44,Premissas!$A$5:$A$44,$A2604,Premissas!$B$5:$B$44,$B2604)+S2604*SUMIFS(Premissas!$F$5:$F$44,Premissas!$A$5:$A$44,$A2604,Premissas!$B$5:$B$44,$B2604)</f>
        <v/>
      </c>
      <c r="L2604" s="29">
        <f>J2604-K2604</f>
        <v/>
      </c>
      <c r="M2604" t="inlineStr">
        <is>
          <t>1.350</t>
        </is>
      </c>
      <c r="N2604" t="inlineStr">
        <is>
          <t>Modalidade: 0 - Por conta do remetente | Parte: VILA COMERCIO DE FRIOS LTDA (33.787.186/0003-91)</t>
        </is>
      </c>
      <c r="O2604" s="29" t="n">
        <v>0</v>
      </c>
      <c r="P2604" s="29" t="n">
        <v>0</v>
      </c>
      <c r="Q2604" s="29" t="n">
        <v>0</v>
      </c>
      <c r="R2604" s="29" t="n">
        <v>0</v>
      </c>
      <c r="S2604" s="29" t="n">
        <v>0</v>
      </c>
      <c r="T2604" t="inlineStr">
        <is>
          <t>25251226975620000130570010000060591001501269</t>
        </is>
      </c>
      <c r="U2604" t="inlineStr">
        <is>
          <t>Não</t>
        </is>
      </c>
    </row>
    <row r="2605">
      <c r="A2605" t="inlineStr">
        <is>
          <t>Frete de venda</t>
        </is>
      </c>
      <c r="B2605" t="inlineStr">
        <is>
          <t>2.01.02 Frete sobre Vendas</t>
        </is>
      </c>
      <c r="C2605" t="inlineStr">
        <is>
          <t>Antes de 2026</t>
        </is>
      </c>
      <c r="D2605" t="inlineStr">
        <is>
          <t>Antes de 2026</t>
        </is>
      </c>
      <c r="E2605" s="28" t="n">
        <v>46017</v>
      </c>
      <c r="F2605" t="inlineStr">
        <is>
          <t>CT-e</t>
        </is>
      </c>
      <c r="G2605" t="inlineStr">
        <is>
          <t>000006061</t>
        </is>
      </c>
      <c r="H2605" t="inlineStr">
        <is>
          <t>R&amp;R TRANSPORTE E LOGISTICA</t>
        </is>
      </c>
      <c r="J2605" s="29" t="n">
        <v>52.3</v>
      </c>
      <c r="K2605" s="29">
        <f>(1-ISNUMBER(SEARCH("556",M2605)))*(O2605*SUMIFS(Premissas!$C$5:$C$44,Premissas!$A$5:$A$44,$A2605,Premissas!$B$5:$B$44,$B2605)+P2605*SUMIFS(Premissas!$D$5:$D$44,Premissas!$A$5:$A$44,$A2605,Premissas!$B$5:$B$44,$B2605))+R2605*SUMIFS(Premissas!$E$5:$E$44,Premissas!$A$5:$A$44,$A2605,Premissas!$B$5:$B$44,$B2605)+S2605*SUMIFS(Premissas!$F$5:$F$44,Premissas!$A$5:$A$44,$A2605,Premissas!$B$5:$B$44,$B2605)</f>
        <v/>
      </c>
      <c r="L2605" s="29">
        <f>J2605-K2605</f>
        <v/>
      </c>
      <c r="M2605" t="inlineStr">
        <is>
          <t>1.350</t>
        </is>
      </c>
      <c r="N2605" t="inlineStr">
        <is>
          <t>Modalidade: 0 - Por conta do remetente | Parte: MS BEZERRA COMERCIAL LTDA (26.039.606/0001-24)</t>
        </is>
      </c>
      <c r="O2605" s="29" t="n">
        <v>0</v>
      </c>
      <c r="P2605" s="29" t="n">
        <v>0</v>
      </c>
      <c r="Q2605" s="29" t="n">
        <v>0</v>
      </c>
      <c r="R2605" s="29" t="n">
        <v>0</v>
      </c>
      <c r="S2605" s="29" t="n">
        <v>0</v>
      </c>
      <c r="T2605" t="inlineStr">
        <is>
          <t>25251226975620000130570010000060611001201018</t>
        </is>
      </c>
      <c r="U2605" t="inlineStr">
        <is>
          <t>Não</t>
        </is>
      </c>
    </row>
    <row r="2606">
      <c r="A2606" t="inlineStr">
        <is>
          <t>Frete de venda</t>
        </is>
      </c>
      <c r="B2606" t="inlineStr">
        <is>
          <t>2.01.02 Frete sobre Vendas</t>
        </is>
      </c>
      <c r="C2606" t="inlineStr">
        <is>
          <t>Antes de 2026</t>
        </is>
      </c>
      <c r="D2606" t="inlineStr">
        <is>
          <t>Antes de 2026</t>
        </is>
      </c>
      <c r="E2606" s="28" t="n">
        <v>46017</v>
      </c>
      <c r="F2606" t="inlineStr">
        <is>
          <t>CT-e</t>
        </is>
      </c>
      <c r="G2606" t="inlineStr">
        <is>
          <t>000006062</t>
        </is>
      </c>
      <c r="H2606" t="inlineStr">
        <is>
          <t>R&amp;R TRANSPORTE E LOGISTICA</t>
        </is>
      </c>
      <c r="J2606" s="29" t="n">
        <v>51.55</v>
      </c>
      <c r="K2606" s="29">
        <f>(1-ISNUMBER(SEARCH("556",M2606)))*(O2606*SUMIFS(Premissas!$C$5:$C$44,Premissas!$A$5:$A$44,$A2606,Premissas!$B$5:$B$44,$B2606)+P2606*SUMIFS(Premissas!$D$5:$D$44,Premissas!$A$5:$A$44,$A2606,Premissas!$B$5:$B$44,$B2606))+R2606*SUMIFS(Premissas!$E$5:$E$44,Premissas!$A$5:$A$44,$A2606,Premissas!$B$5:$B$44,$B2606)+S2606*SUMIFS(Premissas!$F$5:$F$44,Premissas!$A$5:$A$44,$A2606,Premissas!$B$5:$B$44,$B2606)</f>
        <v/>
      </c>
      <c r="L2606" s="29">
        <f>J2606-K2606</f>
        <v/>
      </c>
      <c r="M2606" t="inlineStr">
        <is>
          <t>1.350</t>
        </is>
      </c>
      <c r="N2606" t="inlineStr">
        <is>
          <t>Modalidade: 0 - Por conta do remetente | Parte: BRASPLAST DISTRIBUIDORA LTDA (51.063.517/0001-60)</t>
        </is>
      </c>
      <c r="O2606" s="29" t="n">
        <v>0</v>
      </c>
      <c r="P2606" s="29" t="n">
        <v>0</v>
      </c>
      <c r="Q2606" s="29" t="n">
        <v>0</v>
      </c>
      <c r="R2606" s="29" t="n">
        <v>0</v>
      </c>
      <c r="S2606" s="29" t="n">
        <v>0</v>
      </c>
      <c r="T2606" t="inlineStr">
        <is>
          <t>25251226975620000130570010000060621011001094</t>
        </is>
      </c>
      <c r="U2606" t="inlineStr">
        <is>
          <t>Não</t>
        </is>
      </c>
    </row>
    <row r="2607">
      <c r="A2607" t="inlineStr">
        <is>
          <t>Frete de venda</t>
        </is>
      </c>
      <c r="B2607" t="inlineStr">
        <is>
          <t>2.01.02 Frete sobre Vendas</t>
        </is>
      </c>
      <c r="C2607" t="inlineStr">
        <is>
          <t>Antes de 2026</t>
        </is>
      </c>
      <c r="D2607" t="inlineStr">
        <is>
          <t>Antes de 2026</t>
        </is>
      </c>
      <c r="E2607" s="28" t="n">
        <v>46017</v>
      </c>
      <c r="F2607" t="inlineStr">
        <is>
          <t>CT-e</t>
        </is>
      </c>
      <c r="G2607" t="inlineStr">
        <is>
          <t>000006063</t>
        </is>
      </c>
      <c r="H2607" t="inlineStr">
        <is>
          <t>R&amp;R TRANSPORTE E LOGISTICA</t>
        </is>
      </c>
      <c r="J2607" s="29" t="n">
        <v>64.27</v>
      </c>
      <c r="K2607" s="29">
        <f>(1-ISNUMBER(SEARCH("556",M2607)))*(O2607*SUMIFS(Premissas!$C$5:$C$44,Premissas!$A$5:$A$44,$A2607,Premissas!$B$5:$B$44,$B2607)+P2607*SUMIFS(Premissas!$D$5:$D$44,Premissas!$A$5:$A$44,$A2607,Premissas!$B$5:$B$44,$B2607))+R2607*SUMIFS(Premissas!$E$5:$E$44,Premissas!$A$5:$A$44,$A2607,Premissas!$B$5:$B$44,$B2607)+S2607*SUMIFS(Premissas!$F$5:$F$44,Premissas!$A$5:$A$44,$A2607,Premissas!$B$5:$B$44,$B2607)</f>
        <v/>
      </c>
      <c r="L2607" s="29">
        <f>J2607-K2607</f>
        <v/>
      </c>
      <c r="M2607" t="inlineStr">
        <is>
          <t>1.350</t>
        </is>
      </c>
      <c r="N2607" t="inlineStr">
        <is>
          <t>Modalidade: 0 - Por conta do remetente | Parte: TREVO COMERCIO DE EMBALAGENS LTDA (08.178.510/0001-65)</t>
        </is>
      </c>
      <c r="O2607" s="29" t="n">
        <v>0</v>
      </c>
      <c r="P2607" s="29" t="n">
        <v>0</v>
      </c>
      <c r="Q2607" s="29" t="n">
        <v>0</v>
      </c>
      <c r="R2607" s="29" t="n">
        <v>0</v>
      </c>
      <c r="S2607" s="29" t="n">
        <v>0</v>
      </c>
      <c r="T2607" t="inlineStr">
        <is>
          <t>25251226975620000130570010000060631001701171</t>
        </is>
      </c>
      <c r="U2607" t="inlineStr">
        <is>
          <t>Não</t>
        </is>
      </c>
    </row>
    <row r="2608">
      <c r="A2608" t="inlineStr">
        <is>
          <t>Frete de venda</t>
        </is>
      </c>
      <c r="B2608" t="inlineStr">
        <is>
          <t>2.01.02 Frete sobre Vendas</t>
        </is>
      </c>
      <c r="C2608" t="inlineStr">
        <is>
          <t>Antes de 2026</t>
        </is>
      </c>
      <c r="D2608" t="inlineStr">
        <is>
          <t>Antes de 2026</t>
        </is>
      </c>
      <c r="E2608" s="28" t="n">
        <v>46017</v>
      </c>
      <c r="F2608" t="inlineStr">
        <is>
          <t>CT-e</t>
        </is>
      </c>
      <c r="G2608" t="inlineStr">
        <is>
          <t>000006064</t>
        </is>
      </c>
      <c r="H2608" t="inlineStr">
        <is>
          <t>R&amp;R TRANSPORTE E LOGISTICA</t>
        </is>
      </c>
      <c r="J2608" s="29" t="n">
        <v>59.53</v>
      </c>
      <c r="K2608" s="29">
        <f>(1-ISNUMBER(SEARCH("556",M2608)))*(O2608*SUMIFS(Premissas!$C$5:$C$44,Premissas!$A$5:$A$44,$A2608,Premissas!$B$5:$B$44,$B2608)+P2608*SUMIFS(Premissas!$D$5:$D$44,Premissas!$A$5:$A$44,$A2608,Premissas!$B$5:$B$44,$B2608))+R2608*SUMIFS(Premissas!$E$5:$E$44,Premissas!$A$5:$A$44,$A2608,Premissas!$B$5:$B$44,$B2608)+S2608*SUMIFS(Premissas!$F$5:$F$44,Premissas!$A$5:$A$44,$A2608,Premissas!$B$5:$B$44,$B2608)</f>
        <v/>
      </c>
      <c r="L2608" s="29">
        <f>J2608-K2608</f>
        <v/>
      </c>
      <c r="M2608" t="inlineStr">
        <is>
          <t>1.350</t>
        </is>
      </c>
      <c r="N2608" t="inlineStr">
        <is>
          <t>Modalidade: 0 - Por conta do remetente | Parte: LOSEL EMBALAGENS LTDA (00.156.227/0001-20)</t>
        </is>
      </c>
      <c r="O2608" s="29" t="n">
        <v>0</v>
      </c>
      <c r="P2608" s="29" t="n">
        <v>0</v>
      </c>
      <c r="Q2608" s="29" t="n">
        <v>0</v>
      </c>
      <c r="R2608" s="29" t="n">
        <v>0</v>
      </c>
      <c r="S2608" s="29" t="n">
        <v>0</v>
      </c>
      <c r="T2608" t="inlineStr">
        <is>
          <t>25251226975620000130570010000060641001401256</t>
        </is>
      </c>
      <c r="U2608" t="inlineStr">
        <is>
          <t>Não</t>
        </is>
      </c>
    </row>
    <row r="2609">
      <c r="A2609" t="inlineStr">
        <is>
          <t>Frete de venda</t>
        </is>
      </c>
      <c r="B2609" t="inlineStr">
        <is>
          <t>2.01.02 Frete sobre Vendas</t>
        </is>
      </c>
      <c r="C2609" t="inlineStr">
        <is>
          <t>Antes de 2026</t>
        </is>
      </c>
      <c r="D2609" t="inlineStr">
        <is>
          <t>Antes de 2026</t>
        </is>
      </c>
      <c r="E2609" s="28" t="n">
        <v>46018</v>
      </c>
      <c r="F2609" t="inlineStr">
        <is>
          <t>CT-e</t>
        </is>
      </c>
      <c r="G2609" t="inlineStr">
        <is>
          <t>000006065</t>
        </is>
      </c>
      <c r="H2609" t="inlineStr">
        <is>
          <t>R&amp;R TRANSPORTE E LOGISTICA</t>
        </is>
      </c>
      <c r="J2609" s="29" t="n">
        <v>3700</v>
      </c>
      <c r="K2609" s="29">
        <f>(1-ISNUMBER(SEARCH("556",M2609)))*(O2609*SUMIFS(Premissas!$C$5:$C$44,Premissas!$A$5:$A$44,$A2609,Premissas!$B$5:$B$44,$B2609)+P2609*SUMIFS(Premissas!$D$5:$D$44,Premissas!$A$5:$A$44,$A2609,Premissas!$B$5:$B$44,$B2609))+R2609*SUMIFS(Premissas!$E$5:$E$44,Premissas!$A$5:$A$44,$A2609,Premissas!$B$5:$B$44,$B2609)+S2609*SUMIFS(Premissas!$F$5:$F$44,Premissas!$A$5:$A$44,$A2609,Premissas!$B$5:$B$44,$B2609)</f>
        <v/>
      </c>
      <c r="L2609" s="29">
        <f>J2609-K2609</f>
        <v/>
      </c>
      <c r="M2609" t="inlineStr">
        <is>
          <t>1.350</t>
        </is>
      </c>
      <c r="N2609" t="inlineStr">
        <is>
          <t>Modalidade: 0 - Por conta do remetente | Parte: UP DISTRIBUIDORA DE PRODUTOS DESCARTAVEIS LTDA (12.423.997/0001-71)</t>
        </is>
      </c>
      <c r="O2609" s="29" t="n">
        <v>0</v>
      </c>
      <c r="P2609" s="29" t="n">
        <v>0</v>
      </c>
      <c r="Q2609" s="29" t="n">
        <v>0</v>
      </c>
      <c r="R2609" s="29" t="n">
        <v>0</v>
      </c>
      <c r="S2609" s="29" t="n">
        <v>0</v>
      </c>
      <c r="T2609" t="inlineStr">
        <is>
          <t>25251226975620000130570010000060651001101330</t>
        </is>
      </c>
      <c r="U2609" t="inlineStr">
        <is>
          <t>Não</t>
        </is>
      </c>
    </row>
    <row r="2610">
      <c r="A2610" t="inlineStr">
        <is>
          <t>Frete de venda</t>
        </is>
      </c>
      <c r="B2610" t="inlineStr">
        <is>
          <t>2.01.02 Frete sobre Vendas</t>
        </is>
      </c>
      <c r="C2610" t="inlineStr">
        <is>
          <t>Antes de 2026</t>
        </is>
      </c>
      <c r="D2610" t="inlineStr">
        <is>
          <t>Antes de 2026</t>
        </is>
      </c>
      <c r="E2610" s="28" t="n">
        <v>46021</v>
      </c>
      <c r="F2610" t="inlineStr">
        <is>
          <t>CT-e</t>
        </is>
      </c>
      <c r="G2610" t="inlineStr">
        <is>
          <t>000006068</t>
        </is>
      </c>
      <c r="H2610" t="inlineStr">
        <is>
          <t>R&amp;R TRANSPORTE E LOGISTICA</t>
        </is>
      </c>
      <c r="J2610" s="29" t="n">
        <v>44.74</v>
      </c>
      <c r="K2610" s="29">
        <f>(1-ISNUMBER(SEARCH("556",M2610)))*(O2610*SUMIFS(Premissas!$C$5:$C$44,Premissas!$A$5:$A$44,$A2610,Premissas!$B$5:$B$44,$B2610)+P2610*SUMIFS(Premissas!$D$5:$D$44,Premissas!$A$5:$A$44,$A2610,Premissas!$B$5:$B$44,$B2610))+R2610*SUMIFS(Premissas!$E$5:$E$44,Premissas!$A$5:$A$44,$A2610,Premissas!$B$5:$B$44,$B2610)+S2610*SUMIFS(Premissas!$F$5:$F$44,Premissas!$A$5:$A$44,$A2610,Premissas!$B$5:$B$44,$B2610)</f>
        <v/>
      </c>
      <c r="L2610" s="29">
        <f>J2610-K2610</f>
        <v/>
      </c>
      <c r="M2610" t="inlineStr">
        <is>
          <t>1.350</t>
        </is>
      </c>
      <c r="N2610" t="inlineStr">
        <is>
          <t>Modalidade: 0 - Por conta do remetente | Parte: DOCE MEL EMBALAGENS E FESTAS (10.989.624/0001-37)</t>
        </is>
      </c>
      <c r="O2610" s="29" t="n">
        <v>0</v>
      </c>
      <c r="P2610" s="29" t="n">
        <v>0</v>
      </c>
      <c r="Q2610" s="29" t="n">
        <v>0</v>
      </c>
      <c r="R2610" s="29" t="n">
        <v>0</v>
      </c>
      <c r="S2610" s="29" t="n">
        <v>0</v>
      </c>
      <c r="T2610" t="inlineStr">
        <is>
          <t>25251226975620000130570010000060681001501047</t>
        </is>
      </c>
      <c r="U2610" t="inlineStr">
        <is>
          <t>Não</t>
        </is>
      </c>
    </row>
    <row r="2611">
      <c r="A2611" t="inlineStr">
        <is>
          <t>Frete de venda</t>
        </is>
      </c>
      <c r="B2611" t="inlineStr">
        <is>
          <t>2.01.02 Frete sobre Vendas</t>
        </is>
      </c>
      <c r="C2611" t="inlineStr">
        <is>
          <t>Antes de 2026</t>
        </is>
      </c>
      <c r="D2611" t="inlineStr">
        <is>
          <t>Antes de 2026</t>
        </is>
      </c>
      <c r="E2611" s="28" t="n">
        <v>46021</v>
      </c>
      <c r="F2611" t="inlineStr">
        <is>
          <t>CT-e</t>
        </is>
      </c>
      <c r="G2611" t="inlineStr">
        <is>
          <t>000006069</t>
        </is>
      </c>
      <c r="H2611" t="inlineStr">
        <is>
          <t>R&amp;R TRANSPORTE E LOGISTICA</t>
        </is>
      </c>
      <c r="J2611" s="29" t="n">
        <v>88.87</v>
      </c>
      <c r="K2611" s="29">
        <f>(1-ISNUMBER(SEARCH("556",M2611)))*(O2611*SUMIFS(Premissas!$C$5:$C$44,Premissas!$A$5:$A$44,$A2611,Premissas!$B$5:$B$44,$B2611)+P2611*SUMIFS(Premissas!$D$5:$D$44,Premissas!$A$5:$A$44,$A2611,Premissas!$B$5:$B$44,$B2611))+R2611*SUMIFS(Premissas!$E$5:$E$44,Premissas!$A$5:$A$44,$A2611,Premissas!$B$5:$B$44,$B2611)+S2611*SUMIFS(Premissas!$F$5:$F$44,Premissas!$A$5:$A$44,$A2611,Premissas!$B$5:$B$44,$B2611)</f>
        <v/>
      </c>
      <c r="L2611" s="29">
        <f>J2611-K2611</f>
        <v/>
      </c>
      <c r="M2611" t="inlineStr">
        <is>
          <t>1.350</t>
        </is>
      </c>
      <c r="N2611" t="inlineStr">
        <is>
          <t>Modalidade: 0 - Por conta do remetente | Parte: AGM PLASTICOS LTDA (19.429.803/0001-94)</t>
        </is>
      </c>
      <c r="O2611" s="29" t="n">
        <v>0</v>
      </c>
      <c r="P2611" s="29" t="n">
        <v>0</v>
      </c>
      <c r="Q2611" s="29" t="n">
        <v>0</v>
      </c>
      <c r="R2611" s="29" t="n">
        <v>0</v>
      </c>
      <c r="S2611" s="29" t="n">
        <v>0</v>
      </c>
      <c r="T2611" t="inlineStr">
        <is>
          <t>25251226975620000130570010000060691001201121</t>
        </is>
      </c>
      <c r="U2611" t="inlineStr">
        <is>
          <t>Não</t>
        </is>
      </c>
    </row>
    <row r="2612">
      <c r="A2612" t="inlineStr">
        <is>
          <t>Frete de venda</t>
        </is>
      </c>
      <c r="B2612" t="inlineStr">
        <is>
          <t>2.01.02 Frete sobre Vendas</t>
        </is>
      </c>
      <c r="C2612" t="inlineStr">
        <is>
          <t>Antes de 2026</t>
        </is>
      </c>
      <c r="D2612" t="inlineStr">
        <is>
          <t>Antes de 2026</t>
        </is>
      </c>
      <c r="E2612" s="28" t="n">
        <v>46021</v>
      </c>
      <c r="F2612" t="inlineStr">
        <is>
          <t>CT-e</t>
        </is>
      </c>
      <c r="G2612" t="inlineStr">
        <is>
          <t>000006070</t>
        </is>
      </c>
      <c r="H2612" t="inlineStr">
        <is>
          <t>R&amp;R TRANSPORTE E LOGISTICA</t>
        </is>
      </c>
      <c r="J2612" s="29" t="n">
        <v>15.1</v>
      </c>
      <c r="K2612" s="29">
        <f>(1-ISNUMBER(SEARCH("556",M2612)))*(O2612*SUMIFS(Premissas!$C$5:$C$44,Premissas!$A$5:$A$44,$A2612,Premissas!$B$5:$B$44,$B2612)+P2612*SUMIFS(Premissas!$D$5:$D$44,Premissas!$A$5:$A$44,$A2612,Premissas!$B$5:$B$44,$B2612))+R2612*SUMIFS(Premissas!$E$5:$E$44,Premissas!$A$5:$A$44,$A2612,Premissas!$B$5:$B$44,$B2612)+S2612*SUMIFS(Premissas!$F$5:$F$44,Premissas!$A$5:$A$44,$A2612,Premissas!$B$5:$B$44,$B2612)</f>
        <v/>
      </c>
      <c r="L2612" s="29">
        <f>J2612-K2612</f>
        <v/>
      </c>
      <c r="M2612" t="inlineStr">
        <is>
          <t>1.350</t>
        </is>
      </c>
      <c r="N2612" t="inlineStr">
        <is>
          <t>Modalidade: 0 - Por conta do remetente | Parte: RIBEIRO E ALVARES DISTRIBUIDORA DE ALIMENTOS LTDA (08.401.031/0001-66)</t>
        </is>
      </c>
      <c r="O2612" s="29" t="n">
        <v>0</v>
      </c>
      <c r="P2612" s="29" t="n">
        <v>0</v>
      </c>
      <c r="Q2612" s="29" t="n">
        <v>0</v>
      </c>
      <c r="R2612" s="29" t="n">
        <v>0</v>
      </c>
      <c r="S2612" s="29" t="n">
        <v>0</v>
      </c>
      <c r="T2612" t="inlineStr">
        <is>
          <t>25251226975620000130570010000060701011001207</t>
        </is>
      </c>
      <c r="U2612" t="inlineStr">
        <is>
          <t>Não</t>
        </is>
      </c>
    </row>
    <row r="2613">
      <c r="A2613" t="inlineStr">
        <is>
          <t>Frete de venda</t>
        </is>
      </c>
      <c r="B2613" t="inlineStr">
        <is>
          <t>2.01.02 Frete sobre Vendas</t>
        </is>
      </c>
      <c r="C2613" t="inlineStr">
        <is>
          <t>Antes de 2026</t>
        </is>
      </c>
      <c r="D2613" t="inlineStr">
        <is>
          <t>Antes de 2026</t>
        </is>
      </c>
      <c r="E2613" s="28" t="n">
        <v>46021</v>
      </c>
      <c r="F2613" t="inlineStr">
        <is>
          <t>CT-e</t>
        </is>
      </c>
      <c r="G2613" t="inlineStr">
        <is>
          <t>000006071</t>
        </is>
      </c>
      <c r="H2613" t="inlineStr">
        <is>
          <t>R&amp;R TRANSPORTE E LOGISTICA</t>
        </is>
      </c>
      <c r="J2613" s="29" t="n">
        <v>25.19</v>
      </c>
      <c r="K2613" s="29">
        <f>(1-ISNUMBER(SEARCH("556",M2613)))*(O2613*SUMIFS(Premissas!$C$5:$C$44,Premissas!$A$5:$A$44,$A2613,Premissas!$B$5:$B$44,$B2613)+P2613*SUMIFS(Premissas!$D$5:$D$44,Premissas!$A$5:$A$44,$A2613,Premissas!$B$5:$B$44,$B2613))+R2613*SUMIFS(Premissas!$E$5:$E$44,Premissas!$A$5:$A$44,$A2613,Premissas!$B$5:$B$44,$B2613)+S2613*SUMIFS(Premissas!$F$5:$F$44,Premissas!$A$5:$A$44,$A2613,Premissas!$B$5:$B$44,$B2613)</f>
        <v/>
      </c>
      <c r="L2613" s="29">
        <f>J2613-K2613</f>
        <v/>
      </c>
      <c r="M2613" t="inlineStr">
        <is>
          <t>1.350</t>
        </is>
      </c>
      <c r="N2613" t="inlineStr">
        <is>
          <t>Modalidade: 0 - Por conta do remetente | Parte: A. C. D. A. IMPORTACAO E EXPORTACAO LTDA (84.308.980/0014-07)</t>
        </is>
      </c>
      <c r="O2613" s="29" t="n">
        <v>0</v>
      </c>
      <c r="P2613" s="29" t="n">
        <v>0</v>
      </c>
      <c r="Q2613" s="29" t="n">
        <v>0</v>
      </c>
      <c r="R2613" s="29" t="n">
        <v>0</v>
      </c>
      <c r="S2613" s="29" t="n">
        <v>0</v>
      </c>
      <c r="T2613" t="inlineStr">
        <is>
          <t>25251226975620000130570010000060711001701289</t>
        </is>
      </c>
      <c r="U2613" t="inlineStr">
        <is>
          <t>Não</t>
        </is>
      </c>
    </row>
    <row r="2614">
      <c r="A2614" t="inlineStr">
        <is>
          <t>Frete de venda</t>
        </is>
      </c>
      <c r="B2614" t="inlineStr">
        <is>
          <t>2.01.02 Frete sobre Vendas</t>
        </is>
      </c>
      <c r="C2614" t="inlineStr">
        <is>
          <t>Antes de 2026</t>
        </is>
      </c>
      <c r="D2614" t="inlineStr">
        <is>
          <t>Antes de 2026</t>
        </is>
      </c>
      <c r="E2614" s="28" t="n">
        <v>46021</v>
      </c>
      <c r="F2614" t="inlineStr">
        <is>
          <t>CT-e</t>
        </is>
      </c>
      <c r="G2614" t="inlineStr">
        <is>
          <t>000006072</t>
        </is>
      </c>
      <c r="H2614" t="inlineStr">
        <is>
          <t>R&amp;R TRANSPORTE E LOGISTICA</t>
        </is>
      </c>
      <c r="J2614" s="29" t="n">
        <v>29.61</v>
      </c>
      <c r="K2614" s="29">
        <f>(1-ISNUMBER(SEARCH("556",M2614)))*(O2614*SUMIFS(Premissas!$C$5:$C$44,Premissas!$A$5:$A$44,$A2614,Premissas!$B$5:$B$44,$B2614)+P2614*SUMIFS(Premissas!$D$5:$D$44,Premissas!$A$5:$A$44,$A2614,Premissas!$B$5:$B$44,$B2614))+R2614*SUMIFS(Premissas!$E$5:$E$44,Premissas!$A$5:$A$44,$A2614,Premissas!$B$5:$B$44,$B2614)+S2614*SUMIFS(Premissas!$F$5:$F$44,Premissas!$A$5:$A$44,$A2614,Premissas!$B$5:$B$44,$B2614)</f>
        <v/>
      </c>
      <c r="L2614" s="29">
        <f>J2614-K2614</f>
        <v/>
      </c>
      <c r="M2614" t="inlineStr">
        <is>
          <t>1.350</t>
        </is>
      </c>
      <c r="N2614" t="inlineStr">
        <is>
          <t>Modalidade: 0 - Por conta do remetente | Parte: COMERCIAL DE DOCES E BEBIDAS CENTRAL LTDA (02.830.640/0001-54)</t>
        </is>
      </c>
      <c r="O2614" s="29" t="n">
        <v>0</v>
      </c>
      <c r="P2614" s="29" t="n">
        <v>0</v>
      </c>
      <c r="Q2614" s="29" t="n">
        <v>0</v>
      </c>
      <c r="R2614" s="29" t="n">
        <v>0</v>
      </c>
      <c r="S2614" s="29" t="n">
        <v>0</v>
      </c>
      <c r="T2614" t="inlineStr">
        <is>
          <t>25251226975620000130570010000060721001401363</t>
        </is>
      </c>
      <c r="U2614" t="inlineStr">
        <is>
          <t>Não</t>
        </is>
      </c>
    </row>
    <row r="2615">
      <c r="A2615" t="inlineStr">
        <is>
          <t>Frete de venda</t>
        </is>
      </c>
      <c r="B2615" t="inlineStr">
        <is>
          <t>2.01.02 Frete sobre Vendas</t>
        </is>
      </c>
      <c r="C2615" t="inlineStr">
        <is>
          <t>Antes de 2026</t>
        </is>
      </c>
      <c r="D2615" t="inlineStr">
        <is>
          <t>Antes de 2026</t>
        </is>
      </c>
      <c r="E2615" s="28" t="n">
        <v>46021</v>
      </c>
      <c r="F2615" t="inlineStr">
        <is>
          <t>CT-e</t>
        </is>
      </c>
      <c r="G2615" t="inlineStr">
        <is>
          <t>000006073</t>
        </is>
      </c>
      <c r="H2615" t="inlineStr">
        <is>
          <t>R&amp;R TRANSPORTE E LOGISTICA</t>
        </is>
      </c>
      <c r="J2615" s="29" t="n">
        <v>18.79</v>
      </c>
      <c r="K2615" s="29">
        <f>(1-ISNUMBER(SEARCH("556",M2615)))*(O2615*SUMIFS(Premissas!$C$5:$C$44,Premissas!$A$5:$A$44,$A2615,Premissas!$B$5:$B$44,$B2615)+P2615*SUMIFS(Premissas!$D$5:$D$44,Premissas!$A$5:$A$44,$A2615,Premissas!$B$5:$B$44,$B2615))+R2615*SUMIFS(Premissas!$E$5:$E$44,Premissas!$A$5:$A$44,$A2615,Premissas!$B$5:$B$44,$B2615)+S2615*SUMIFS(Premissas!$F$5:$F$44,Premissas!$A$5:$A$44,$A2615,Premissas!$B$5:$B$44,$B2615)</f>
        <v/>
      </c>
      <c r="L2615" s="29">
        <f>J2615-K2615</f>
        <v/>
      </c>
      <c r="M2615" t="inlineStr">
        <is>
          <t>1.350</t>
        </is>
      </c>
      <c r="N2615" t="inlineStr">
        <is>
          <t>Modalidade: 0 - Por conta do remetente | Parte: JAB IMPORTACAO E EXPORTACAO LTDA (21.938.705/0002-05)</t>
        </is>
      </c>
      <c r="O2615" s="29" t="n">
        <v>0</v>
      </c>
      <c r="P2615" s="29" t="n">
        <v>0</v>
      </c>
      <c r="Q2615" s="29" t="n">
        <v>0</v>
      </c>
      <c r="R2615" s="29" t="n">
        <v>0</v>
      </c>
      <c r="S2615" s="29" t="n">
        <v>0</v>
      </c>
      <c r="T2615" t="inlineStr">
        <is>
          <t>25251226975620000130570010000060731001101448</t>
        </is>
      </c>
      <c r="U2615" t="inlineStr">
        <is>
          <t>Não</t>
        </is>
      </c>
    </row>
    <row r="2616">
      <c r="A2616" t="inlineStr">
        <is>
          <t>Frete de venda</t>
        </is>
      </c>
      <c r="B2616" t="inlineStr">
        <is>
          <t>2.01.02 Frete sobre Vendas</t>
        </is>
      </c>
      <c r="C2616" t="inlineStr">
        <is>
          <t>Antes de 2026</t>
        </is>
      </c>
      <c r="D2616" t="inlineStr">
        <is>
          <t>Antes de 2026</t>
        </is>
      </c>
      <c r="E2616" s="28" t="n">
        <v>46021</v>
      </c>
      <c r="F2616" t="inlineStr">
        <is>
          <t>CT-e</t>
        </is>
      </c>
      <c r="G2616" t="inlineStr">
        <is>
          <t>000006074</t>
        </is>
      </c>
      <c r="H2616" t="inlineStr">
        <is>
          <t>R&amp;R TRANSPORTE E LOGISTICA</t>
        </is>
      </c>
      <c r="J2616" s="29" t="n">
        <v>48.37</v>
      </c>
      <c r="K2616" s="29">
        <f>(1-ISNUMBER(SEARCH("556",M2616)))*(O2616*SUMIFS(Premissas!$C$5:$C$44,Premissas!$A$5:$A$44,$A2616,Premissas!$B$5:$B$44,$B2616)+P2616*SUMIFS(Premissas!$D$5:$D$44,Premissas!$A$5:$A$44,$A2616,Premissas!$B$5:$B$44,$B2616))+R2616*SUMIFS(Premissas!$E$5:$E$44,Premissas!$A$5:$A$44,$A2616,Premissas!$B$5:$B$44,$B2616)+S2616*SUMIFS(Premissas!$F$5:$F$44,Premissas!$A$5:$A$44,$A2616,Premissas!$B$5:$B$44,$B2616)</f>
        <v/>
      </c>
      <c r="L2616" s="29">
        <f>J2616-K2616</f>
        <v/>
      </c>
      <c r="M2616" t="inlineStr">
        <is>
          <t>1.350</t>
        </is>
      </c>
      <c r="N2616" t="inlineStr">
        <is>
          <t>Modalidade: 0 - Por conta do remetente | Parte: GOL COMERCIO VAREJISTA DE EMBALAGENS LTDA (38.304.923/0001-00)</t>
        </is>
      </c>
      <c r="O2616" s="29" t="n">
        <v>0</v>
      </c>
      <c r="P2616" s="29" t="n">
        <v>0</v>
      </c>
      <c r="Q2616" s="29" t="n">
        <v>0</v>
      </c>
      <c r="R2616" s="29" t="n">
        <v>0</v>
      </c>
      <c r="S2616" s="29" t="n">
        <v>0</v>
      </c>
      <c r="T2616" t="inlineStr">
        <is>
          <t>25251226975620000130570010000060741000120799</t>
        </is>
      </c>
      <c r="U2616" t="inlineStr">
        <is>
          <t>Não</t>
        </is>
      </c>
    </row>
    <row r="2617">
      <c r="A2617" t="inlineStr">
        <is>
          <t>Frete de venda</t>
        </is>
      </c>
      <c r="B2617" t="inlineStr">
        <is>
          <t>2.01.02 Frete sobre Vendas</t>
        </is>
      </c>
      <c r="C2617" t="inlineStr">
        <is>
          <t>Antes de 2026</t>
        </is>
      </c>
      <c r="D2617" t="inlineStr">
        <is>
          <t>Antes de 2026</t>
        </is>
      </c>
      <c r="E2617" s="28" t="n">
        <v>46021</v>
      </c>
      <c r="F2617" t="inlineStr">
        <is>
          <t>CT-e</t>
        </is>
      </c>
      <c r="G2617" t="inlineStr">
        <is>
          <t>000006075</t>
        </is>
      </c>
      <c r="H2617" t="inlineStr">
        <is>
          <t>R&amp;R TRANSPORTE E LOGISTICA</t>
        </is>
      </c>
      <c r="J2617" s="29" t="n">
        <v>50.41</v>
      </c>
      <c r="K2617" s="29">
        <f>(1-ISNUMBER(SEARCH("556",M2617)))*(O2617*SUMIFS(Premissas!$C$5:$C$44,Premissas!$A$5:$A$44,$A2617,Premissas!$B$5:$B$44,$B2617)+P2617*SUMIFS(Premissas!$D$5:$D$44,Premissas!$A$5:$A$44,$A2617,Premissas!$B$5:$B$44,$B2617))+R2617*SUMIFS(Premissas!$E$5:$E$44,Premissas!$A$5:$A$44,$A2617,Premissas!$B$5:$B$44,$B2617)+S2617*SUMIFS(Premissas!$F$5:$F$44,Premissas!$A$5:$A$44,$A2617,Premissas!$B$5:$B$44,$B2617)</f>
        <v/>
      </c>
      <c r="L2617" s="29">
        <f>J2617-K2617</f>
        <v/>
      </c>
      <c r="M2617" t="inlineStr">
        <is>
          <t>1.350</t>
        </is>
      </c>
      <c r="N2617" t="inlineStr">
        <is>
          <t>Modalidade: 0 - Por conta do remetente | Parte: LEPETTI DOCES BSB LTDA (27.023.179/0001-59)</t>
        </is>
      </c>
      <c r="O2617" s="29" t="n">
        <v>0</v>
      </c>
      <c r="P2617" s="29" t="n">
        <v>0</v>
      </c>
      <c r="Q2617" s="29" t="n">
        <v>0</v>
      </c>
      <c r="R2617" s="29" t="n">
        <v>0</v>
      </c>
      <c r="S2617" s="29" t="n">
        <v>0</v>
      </c>
      <c r="T2617" t="inlineStr">
        <is>
          <t>25251226975620000130570010000060751001100870</t>
        </is>
      </c>
      <c r="U2617" t="inlineStr">
        <is>
          <t>Não</t>
        </is>
      </c>
    </row>
    <row r="2618">
      <c r="A2618" t="inlineStr">
        <is>
          <t>Frete de venda</t>
        </is>
      </c>
      <c r="B2618" t="inlineStr">
        <is>
          <t>2.01.02 Frete sobre Vendas</t>
        </is>
      </c>
      <c r="C2618" t="inlineStr">
        <is>
          <t>Antes de 2026</t>
        </is>
      </c>
      <c r="D2618" t="inlineStr">
        <is>
          <t>Antes de 2026</t>
        </is>
      </c>
      <c r="E2618" s="28" t="n">
        <v>46021</v>
      </c>
      <c r="F2618" t="inlineStr">
        <is>
          <t>CT-e</t>
        </is>
      </c>
      <c r="G2618" t="inlineStr">
        <is>
          <t>000006076</t>
        </is>
      </c>
      <c r="H2618" t="inlineStr">
        <is>
          <t>R&amp;R TRANSPORTE E LOGISTICA</t>
        </is>
      </c>
      <c r="J2618" s="29" t="n">
        <v>16.56</v>
      </c>
      <c r="K2618" s="29">
        <f>(1-ISNUMBER(SEARCH("556",M2618)))*(O2618*SUMIFS(Premissas!$C$5:$C$44,Premissas!$A$5:$A$44,$A2618,Premissas!$B$5:$B$44,$B2618)+P2618*SUMIFS(Premissas!$D$5:$D$44,Premissas!$A$5:$A$44,$A2618,Premissas!$B$5:$B$44,$B2618))+R2618*SUMIFS(Premissas!$E$5:$E$44,Premissas!$A$5:$A$44,$A2618,Premissas!$B$5:$B$44,$B2618)+S2618*SUMIFS(Premissas!$F$5:$F$44,Premissas!$A$5:$A$44,$A2618,Premissas!$B$5:$B$44,$B2618)</f>
        <v/>
      </c>
      <c r="L2618" s="29">
        <f>J2618-K2618</f>
        <v/>
      </c>
      <c r="M2618" t="inlineStr">
        <is>
          <t>1.350</t>
        </is>
      </c>
      <c r="N2618" t="inlineStr">
        <is>
          <t>Modalidade: 0 - Por conta do remetente | Parte: FRIOS FESTA UTILIDADES LTDA (48.196.330/0001-20)</t>
        </is>
      </c>
      <c r="O2618" s="29" t="n">
        <v>0</v>
      </c>
      <c r="P2618" s="29" t="n">
        <v>0</v>
      </c>
      <c r="Q2618" s="29" t="n">
        <v>0</v>
      </c>
      <c r="R2618" s="29" t="n">
        <v>0</v>
      </c>
      <c r="S2618" s="29" t="n">
        <v>0</v>
      </c>
      <c r="T2618" t="inlineStr">
        <is>
          <t>25251226975620000130570010000060761000170952</t>
        </is>
      </c>
      <c r="U2618" t="inlineStr">
        <is>
          <t>Não</t>
        </is>
      </c>
    </row>
    <row r="2619">
      <c r="A2619" t="inlineStr">
        <is>
          <t>Frete de venda</t>
        </is>
      </c>
      <c r="B2619" t="inlineStr">
        <is>
          <t>2.01.02 Frete sobre Vendas</t>
        </is>
      </c>
      <c r="C2619" t="inlineStr">
        <is>
          <t>Antes de 2026</t>
        </is>
      </c>
      <c r="D2619" t="inlineStr">
        <is>
          <t>Antes de 2026</t>
        </is>
      </c>
      <c r="E2619" s="28" t="n">
        <v>46021</v>
      </c>
      <c r="F2619" t="inlineStr">
        <is>
          <t>CT-e</t>
        </is>
      </c>
      <c r="G2619" t="inlineStr">
        <is>
          <t>000006077</t>
        </is>
      </c>
      <c r="H2619" t="inlineStr">
        <is>
          <t>R&amp;R TRANSPORTE E LOGISTICA</t>
        </is>
      </c>
      <c r="J2619" s="29" t="n">
        <v>26.21</v>
      </c>
      <c r="K2619" s="29">
        <f>(1-ISNUMBER(SEARCH("556",M2619)))*(O2619*SUMIFS(Premissas!$C$5:$C$44,Premissas!$A$5:$A$44,$A2619,Premissas!$B$5:$B$44,$B2619)+P2619*SUMIFS(Premissas!$D$5:$D$44,Premissas!$A$5:$A$44,$A2619,Premissas!$B$5:$B$44,$B2619))+R2619*SUMIFS(Premissas!$E$5:$E$44,Premissas!$A$5:$A$44,$A2619,Premissas!$B$5:$B$44,$B2619)+S2619*SUMIFS(Premissas!$F$5:$F$44,Premissas!$A$5:$A$44,$A2619,Premissas!$B$5:$B$44,$B2619)</f>
        <v/>
      </c>
      <c r="L2619" s="29">
        <f>J2619-K2619</f>
        <v/>
      </c>
      <c r="M2619" t="inlineStr">
        <is>
          <t>1.350</t>
        </is>
      </c>
      <c r="N2619" t="inlineStr">
        <is>
          <t>Modalidade: 0 - Por conta do remetente | Parte: RODRIGUES E CIA LTDA (26.144.570/0001-49)</t>
        </is>
      </c>
      <c r="O2619" s="29" t="n">
        <v>0</v>
      </c>
      <c r="P2619" s="29" t="n">
        <v>0</v>
      </c>
      <c r="Q2619" s="29" t="n">
        <v>0</v>
      </c>
      <c r="R2619" s="29" t="n">
        <v>0</v>
      </c>
      <c r="S2619" s="29" t="n">
        <v>0</v>
      </c>
      <c r="T2619" t="inlineStr">
        <is>
          <t>25251226975620000130570010000060771001401033</t>
        </is>
      </c>
      <c r="U2619" t="inlineStr">
        <is>
          <t>Não</t>
        </is>
      </c>
    </row>
    <row r="2620">
      <c r="A2620" t="inlineStr">
        <is>
          <t>Frete de venda</t>
        </is>
      </c>
      <c r="B2620" t="inlineStr">
        <is>
          <t>2.01.02 Frete sobre Vendas</t>
        </is>
      </c>
      <c r="C2620" t="inlineStr">
        <is>
          <t>Antes de 2026</t>
        </is>
      </c>
      <c r="D2620" t="inlineStr">
        <is>
          <t>Antes de 2026</t>
        </is>
      </c>
      <c r="E2620" s="28" t="n">
        <v>46021</v>
      </c>
      <c r="F2620" t="inlineStr">
        <is>
          <t>CT-e</t>
        </is>
      </c>
      <c r="G2620" t="inlineStr">
        <is>
          <t>000006078</t>
        </is>
      </c>
      <c r="H2620" t="inlineStr">
        <is>
          <t>R&amp;R TRANSPORTE E LOGISTICA</t>
        </is>
      </c>
      <c r="J2620" s="29" t="n">
        <v>47.7</v>
      </c>
      <c r="K2620" s="29">
        <f>(1-ISNUMBER(SEARCH("556",M2620)))*(O2620*SUMIFS(Premissas!$C$5:$C$44,Premissas!$A$5:$A$44,$A2620,Premissas!$B$5:$B$44,$B2620)+P2620*SUMIFS(Premissas!$D$5:$D$44,Premissas!$A$5:$A$44,$A2620,Premissas!$B$5:$B$44,$B2620))+R2620*SUMIFS(Premissas!$E$5:$E$44,Premissas!$A$5:$A$44,$A2620,Premissas!$B$5:$B$44,$B2620)+S2620*SUMIFS(Premissas!$F$5:$F$44,Premissas!$A$5:$A$44,$A2620,Premissas!$B$5:$B$44,$B2620)</f>
        <v/>
      </c>
      <c r="L2620" s="29">
        <f>J2620-K2620</f>
        <v/>
      </c>
      <c r="M2620" t="inlineStr">
        <is>
          <t>1.350</t>
        </is>
      </c>
      <c r="N2620" t="inlineStr">
        <is>
          <t>Modalidade: 0 - Por conta do remetente | Parte: LADENILSON GUIMARAES SOUSA (55.025.751/0001-54)</t>
        </is>
      </c>
      <c r="O2620" s="29" t="n">
        <v>0</v>
      </c>
      <c r="P2620" s="29" t="n">
        <v>0</v>
      </c>
      <c r="Q2620" s="29" t="n">
        <v>0</v>
      </c>
      <c r="R2620" s="29" t="n">
        <v>0</v>
      </c>
      <c r="S2620" s="29" t="n">
        <v>0</v>
      </c>
      <c r="T2620" t="inlineStr">
        <is>
          <t>25251226975620000130570010000060781001101118</t>
        </is>
      </c>
      <c r="U2620" t="inlineStr">
        <is>
          <t>Não</t>
        </is>
      </c>
    </row>
    <row r="2621">
      <c r="A2621" t="inlineStr">
        <is>
          <t>Frete de venda</t>
        </is>
      </c>
      <c r="B2621" t="inlineStr">
        <is>
          <t>2.01.02 Frete sobre Vendas</t>
        </is>
      </c>
      <c r="C2621" t="inlineStr">
        <is>
          <t>Antes de 2026</t>
        </is>
      </c>
      <c r="D2621" t="inlineStr">
        <is>
          <t>Antes de 2026</t>
        </is>
      </c>
      <c r="E2621" s="28" t="n">
        <v>46021</v>
      </c>
      <c r="F2621" t="inlineStr">
        <is>
          <t>CT-e</t>
        </is>
      </c>
      <c r="G2621" t="inlineStr">
        <is>
          <t>000006079</t>
        </is>
      </c>
      <c r="H2621" t="inlineStr">
        <is>
          <t>R&amp;R TRANSPORTE E LOGISTICA</t>
        </is>
      </c>
      <c r="J2621" s="29" t="n">
        <v>15.59</v>
      </c>
      <c r="K2621" s="29">
        <f>(1-ISNUMBER(SEARCH("556",M2621)))*(O2621*SUMIFS(Premissas!$C$5:$C$44,Premissas!$A$5:$A$44,$A2621,Premissas!$B$5:$B$44,$B2621)+P2621*SUMIFS(Premissas!$D$5:$D$44,Premissas!$A$5:$A$44,$A2621,Premissas!$B$5:$B$44,$B2621))+R2621*SUMIFS(Premissas!$E$5:$E$44,Premissas!$A$5:$A$44,$A2621,Premissas!$B$5:$B$44,$B2621)+S2621*SUMIFS(Premissas!$F$5:$F$44,Premissas!$A$5:$A$44,$A2621,Premissas!$B$5:$B$44,$B2621)</f>
        <v/>
      </c>
      <c r="L2621" s="29">
        <f>J2621-K2621</f>
        <v/>
      </c>
      <c r="M2621" t="inlineStr">
        <is>
          <t>1.350</t>
        </is>
      </c>
      <c r="N2621" t="inlineStr">
        <is>
          <t>Modalidade: 0 - Por conta do remetente | Parte: RAMON MENDES PITANGUI FRANCA (19.862.602/0001-86)</t>
        </is>
      </c>
      <c r="O2621" s="29" t="n">
        <v>0</v>
      </c>
      <c r="P2621" s="29" t="n">
        <v>0</v>
      </c>
      <c r="Q2621" s="29" t="n">
        <v>0</v>
      </c>
      <c r="R2621" s="29" t="n">
        <v>0</v>
      </c>
      <c r="S2621" s="29" t="n">
        <v>0</v>
      </c>
      <c r="T2621" t="inlineStr">
        <is>
          <t>25251226975620000130570010000060791001901197</t>
        </is>
      </c>
      <c r="U2621" t="inlineStr">
        <is>
          <t>Não</t>
        </is>
      </c>
    </row>
    <row r="2622">
      <c r="A2622" t="inlineStr">
        <is>
          <t>Frete de venda</t>
        </is>
      </c>
      <c r="B2622" t="inlineStr">
        <is>
          <t>2.01.02 Frete sobre Vendas</t>
        </is>
      </c>
      <c r="C2622" t="inlineStr">
        <is>
          <t>Antes de 2026</t>
        </is>
      </c>
      <c r="D2622" t="inlineStr">
        <is>
          <t>Antes de 2026</t>
        </is>
      </c>
      <c r="E2622" s="28" t="n">
        <v>46021</v>
      </c>
      <c r="F2622" t="inlineStr">
        <is>
          <t>CT-e</t>
        </is>
      </c>
      <c r="G2622" t="inlineStr">
        <is>
          <t>000006080</t>
        </is>
      </c>
      <c r="H2622" t="inlineStr">
        <is>
          <t>R&amp;R TRANSPORTE E LOGISTICA</t>
        </is>
      </c>
      <c r="J2622" s="29" t="n">
        <v>19.45</v>
      </c>
      <c r="K2622" s="29">
        <f>(1-ISNUMBER(SEARCH("556",M2622)))*(O2622*SUMIFS(Premissas!$C$5:$C$44,Premissas!$A$5:$A$44,$A2622,Premissas!$B$5:$B$44,$B2622)+P2622*SUMIFS(Premissas!$D$5:$D$44,Premissas!$A$5:$A$44,$A2622,Premissas!$B$5:$B$44,$B2622))+R2622*SUMIFS(Premissas!$E$5:$E$44,Premissas!$A$5:$A$44,$A2622,Premissas!$B$5:$B$44,$B2622)+S2622*SUMIFS(Premissas!$F$5:$F$44,Premissas!$A$5:$A$44,$A2622,Premissas!$B$5:$B$44,$B2622)</f>
        <v/>
      </c>
      <c r="L2622" s="29">
        <f>J2622-K2622</f>
        <v/>
      </c>
      <c r="M2622" t="inlineStr">
        <is>
          <t>1.350</t>
        </is>
      </c>
      <c r="N2622" t="inlineStr">
        <is>
          <t>Modalidade: 0 - Por conta do remetente | Parte: SOL COMERCIO DE EMBALAGENS LTDA (48.993.949/0001-66)</t>
        </is>
      </c>
      <c r="O2622" s="29" t="n">
        <v>0</v>
      </c>
      <c r="P2622" s="29" t="n">
        <v>0</v>
      </c>
      <c r="Q2622" s="29" t="n">
        <v>0</v>
      </c>
      <c r="R2622" s="29" t="n">
        <v>0</v>
      </c>
      <c r="S2622" s="29" t="n">
        <v>0</v>
      </c>
      <c r="T2622" t="inlineStr">
        <is>
          <t>25251226975620000130570010000060801001601275</t>
        </is>
      </c>
      <c r="U2622" t="inlineStr">
        <is>
          <t>Não</t>
        </is>
      </c>
    </row>
    <row r="2623">
      <c r="A2623" t="inlineStr">
        <is>
          <t>Frete de venda</t>
        </is>
      </c>
      <c r="B2623" t="inlineStr">
        <is>
          <t>2.01.02 Frete sobre Vendas</t>
        </is>
      </c>
      <c r="C2623" t="inlineStr">
        <is>
          <t>Antes de 2026</t>
        </is>
      </c>
      <c r="D2623" t="inlineStr">
        <is>
          <t>Antes de 2026</t>
        </is>
      </c>
      <c r="E2623" s="28" t="n">
        <v>46021</v>
      </c>
      <c r="F2623" t="inlineStr">
        <is>
          <t>CT-e</t>
        </is>
      </c>
      <c r="G2623" t="inlineStr">
        <is>
          <t>000006081</t>
        </is>
      </c>
      <c r="H2623" t="inlineStr">
        <is>
          <t>R&amp;R TRANSPORTE E LOGISTICA</t>
        </is>
      </c>
      <c r="J2623" s="29" t="n">
        <v>17.51</v>
      </c>
      <c r="K2623" s="29">
        <f>(1-ISNUMBER(SEARCH("556",M2623)))*(O2623*SUMIFS(Premissas!$C$5:$C$44,Premissas!$A$5:$A$44,$A2623,Premissas!$B$5:$B$44,$B2623)+P2623*SUMIFS(Premissas!$D$5:$D$44,Premissas!$A$5:$A$44,$A2623,Premissas!$B$5:$B$44,$B2623))+R2623*SUMIFS(Premissas!$E$5:$E$44,Premissas!$A$5:$A$44,$A2623,Premissas!$B$5:$B$44,$B2623)+S2623*SUMIFS(Premissas!$F$5:$F$44,Premissas!$A$5:$A$44,$A2623,Premissas!$B$5:$B$44,$B2623)</f>
        <v/>
      </c>
      <c r="L2623" s="29">
        <f>J2623-K2623</f>
        <v/>
      </c>
      <c r="M2623" t="inlineStr">
        <is>
          <t>1.350</t>
        </is>
      </c>
      <c r="N2623" t="inlineStr">
        <is>
          <t>Modalidade: 0 - Por conta do remetente | Parte: LITORAL DISTRIBUIDORA S.A (55.104.068/0001-02)</t>
        </is>
      </c>
      <c r="O2623" s="29" t="n">
        <v>0</v>
      </c>
      <c r="P2623" s="29" t="n">
        <v>0</v>
      </c>
      <c r="Q2623" s="29" t="n">
        <v>0</v>
      </c>
      <c r="R2623" s="29" t="n">
        <v>0</v>
      </c>
      <c r="S2623" s="29" t="n">
        <v>0</v>
      </c>
      <c r="T2623" t="inlineStr">
        <is>
          <t>25251226975620000130570010000060811001301350</t>
        </is>
      </c>
      <c r="U2623" t="inlineStr">
        <is>
          <t>Não</t>
        </is>
      </c>
    </row>
    <row r="2624">
      <c r="A2624" t="inlineStr">
        <is>
          <t>Frete de venda</t>
        </is>
      </c>
      <c r="B2624" t="inlineStr">
        <is>
          <t>2.01.02 Frete sobre Vendas</t>
        </is>
      </c>
      <c r="C2624" t="inlineStr">
        <is>
          <t>Antes de 2026</t>
        </is>
      </c>
      <c r="D2624" t="inlineStr">
        <is>
          <t>Antes de 2026</t>
        </is>
      </c>
      <c r="E2624" s="28" t="n">
        <v>46021</v>
      </c>
      <c r="F2624" t="inlineStr">
        <is>
          <t>CT-e</t>
        </is>
      </c>
      <c r="G2624" t="inlineStr">
        <is>
          <t>000006082</t>
        </is>
      </c>
      <c r="H2624" t="inlineStr">
        <is>
          <t>R&amp;R TRANSPORTE E LOGISTICA</t>
        </is>
      </c>
      <c r="J2624" s="29" t="n">
        <v>9.08</v>
      </c>
      <c r="K2624" s="29">
        <f>(1-ISNUMBER(SEARCH("556",M2624)))*(O2624*SUMIFS(Premissas!$C$5:$C$44,Premissas!$A$5:$A$44,$A2624,Premissas!$B$5:$B$44,$B2624)+P2624*SUMIFS(Premissas!$D$5:$D$44,Premissas!$A$5:$A$44,$A2624,Premissas!$B$5:$B$44,$B2624))+R2624*SUMIFS(Premissas!$E$5:$E$44,Premissas!$A$5:$A$44,$A2624,Premissas!$B$5:$B$44,$B2624)+S2624*SUMIFS(Premissas!$F$5:$F$44,Premissas!$A$5:$A$44,$A2624,Premissas!$B$5:$B$44,$B2624)</f>
        <v/>
      </c>
      <c r="L2624" s="29">
        <f>J2624-K2624</f>
        <v/>
      </c>
      <c r="M2624" t="inlineStr">
        <is>
          <t>1.350</t>
        </is>
      </c>
      <c r="N2624" t="inlineStr">
        <is>
          <t>Modalidade: 0 - Por conta do remetente | Parte: BAIXINHO EMBALAGENS LTDA (49.023.382/0001-68)</t>
        </is>
      </c>
      <c r="O2624" s="29" t="n">
        <v>0</v>
      </c>
      <c r="P2624" s="29" t="n">
        <v>0</v>
      </c>
      <c r="Q2624" s="29" t="n">
        <v>0</v>
      </c>
      <c r="R2624" s="29" t="n">
        <v>0</v>
      </c>
      <c r="S2624" s="29" t="n">
        <v>0</v>
      </c>
      <c r="T2624" t="inlineStr">
        <is>
          <t>25251226975620000130570010000060821000101435</t>
        </is>
      </c>
      <c r="U2624" t="inlineStr">
        <is>
          <t>Não</t>
        </is>
      </c>
    </row>
    <row r="2625">
      <c r="A2625" t="inlineStr">
        <is>
          <t>Frete de venda</t>
        </is>
      </c>
      <c r="B2625" t="inlineStr">
        <is>
          <t>2.01.02 Frete sobre Vendas</t>
        </is>
      </c>
      <c r="C2625" t="inlineStr">
        <is>
          <t>Antes de 2026</t>
        </is>
      </c>
      <c r="D2625" t="inlineStr">
        <is>
          <t>Antes de 2026</t>
        </is>
      </c>
      <c r="E2625" s="28" t="n">
        <v>46021</v>
      </c>
      <c r="F2625" t="inlineStr">
        <is>
          <t>CT-e</t>
        </is>
      </c>
      <c r="G2625" t="inlineStr">
        <is>
          <t>000006083</t>
        </is>
      </c>
      <c r="H2625" t="inlineStr">
        <is>
          <t>R&amp;R TRANSPORTE E LOGISTICA</t>
        </is>
      </c>
      <c r="J2625" s="29" t="n">
        <v>8.140000000000001</v>
      </c>
      <c r="K2625" s="29">
        <f>(1-ISNUMBER(SEARCH("556",M2625)))*(O2625*SUMIFS(Premissas!$C$5:$C$44,Premissas!$A$5:$A$44,$A2625,Premissas!$B$5:$B$44,$B2625)+P2625*SUMIFS(Premissas!$D$5:$D$44,Premissas!$A$5:$A$44,$A2625,Premissas!$B$5:$B$44,$B2625))+R2625*SUMIFS(Premissas!$E$5:$E$44,Premissas!$A$5:$A$44,$A2625,Premissas!$B$5:$B$44,$B2625)+S2625*SUMIFS(Premissas!$F$5:$F$44,Premissas!$A$5:$A$44,$A2625,Premissas!$B$5:$B$44,$B2625)</f>
        <v/>
      </c>
      <c r="L2625" s="29">
        <f>J2625-K2625</f>
        <v/>
      </c>
      <c r="M2625" t="inlineStr">
        <is>
          <t>1.350</t>
        </is>
      </c>
      <c r="N2625" t="inlineStr">
        <is>
          <t>Modalidade: 0 - Por conta do remetente | Parte: LUIS HENRIQUE CERQUEIRA DA SILVA (26.119.129/0001-07)</t>
        </is>
      </c>
      <c r="O2625" s="29" t="n">
        <v>0</v>
      </c>
      <c r="P2625" s="29" t="n">
        <v>0</v>
      </c>
      <c r="Q2625" s="29" t="n">
        <v>0</v>
      </c>
      <c r="R2625" s="29" t="n">
        <v>0</v>
      </c>
      <c r="S2625" s="29" t="n">
        <v>0</v>
      </c>
      <c r="T2625" t="inlineStr">
        <is>
          <t>25251226975620000130570010000060831001801519</t>
        </is>
      </c>
      <c r="U2625" t="inlineStr">
        <is>
          <t>Não</t>
        </is>
      </c>
    </row>
    <row r="2626">
      <c r="A2626" t="inlineStr">
        <is>
          <t>Frete de venda</t>
        </is>
      </c>
      <c r="B2626" t="inlineStr">
        <is>
          <t>2.01.02 Frete sobre Vendas</t>
        </is>
      </c>
      <c r="C2626" t="inlineStr">
        <is>
          <t>Antes de 2026</t>
        </is>
      </c>
      <c r="D2626" t="inlineStr">
        <is>
          <t>Antes de 2026</t>
        </is>
      </c>
      <c r="E2626" s="28" t="n">
        <v>46021</v>
      </c>
      <c r="F2626" t="inlineStr">
        <is>
          <t>CT-e</t>
        </is>
      </c>
      <c r="G2626" t="inlineStr">
        <is>
          <t>000006084</t>
        </is>
      </c>
      <c r="H2626" t="inlineStr">
        <is>
          <t>R&amp;R TRANSPORTE E LOGISTICA</t>
        </is>
      </c>
      <c r="J2626" s="29" t="n">
        <v>16.05</v>
      </c>
      <c r="K2626" s="29">
        <f>(1-ISNUMBER(SEARCH("556",M2626)))*(O2626*SUMIFS(Premissas!$C$5:$C$44,Premissas!$A$5:$A$44,$A2626,Premissas!$B$5:$B$44,$B2626)+P2626*SUMIFS(Premissas!$D$5:$D$44,Premissas!$A$5:$A$44,$A2626,Premissas!$B$5:$B$44,$B2626))+R2626*SUMIFS(Premissas!$E$5:$E$44,Premissas!$A$5:$A$44,$A2626,Premissas!$B$5:$B$44,$B2626)+S2626*SUMIFS(Premissas!$F$5:$F$44,Premissas!$A$5:$A$44,$A2626,Premissas!$B$5:$B$44,$B2626)</f>
        <v/>
      </c>
      <c r="L2626" s="29">
        <f>J2626-K2626</f>
        <v/>
      </c>
      <c r="M2626" t="inlineStr">
        <is>
          <t>1.350</t>
        </is>
      </c>
      <c r="N2626" t="inlineStr">
        <is>
          <t>Modalidade: 0 - Por conta do remetente | Parte: JD DISTRIBUIDORA DE ALIMENTOS LTDA (36.309.123/0001-56)</t>
        </is>
      </c>
      <c r="O2626" s="29" t="n">
        <v>0</v>
      </c>
      <c r="P2626" s="29" t="n">
        <v>0</v>
      </c>
      <c r="Q2626" s="29" t="n">
        <v>0</v>
      </c>
      <c r="R2626" s="29" t="n">
        <v>0</v>
      </c>
      <c r="S2626" s="29" t="n">
        <v>0</v>
      </c>
      <c r="T2626" t="inlineStr">
        <is>
          <t>25251226975620000130570010000060841000190866</t>
        </is>
      </c>
      <c r="U2626" t="inlineStr">
        <is>
          <t>Não</t>
        </is>
      </c>
    </row>
    <row r="2627">
      <c r="A2627" t="inlineStr">
        <is>
          <t>Frete de venda</t>
        </is>
      </c>
      <c r="B2627" t="inlineStr">
        <is>
          <t>2.01.02 Frete sobre Vendas</t>
        </is>
      </c>
      <c r="C2627" t="inlineStr">
        <is>
          <t>Antes de 2026</t>
        </is>
      </c>
      <c r="D2627" t="inlineStr">
        <is>
          <t>Antes de 2026</t>
        </is>
      </c>
      <c r="E2627" s="28" t="n">
        <v>46021</v>
      </c>
      <c r="F2627" t="inlineStr">
        <is>
          <t>CT-e</t>
        </is>
      </c>
      <c r="G2627" t="inlineStr">
        <is>
          <t>000006085</t>
        </is>
      </c>
      <c r="H2627" t="inlineStr">
        <is>
          <t>R&amp;R TRANSPORTE E LOGISTICA</t>
        </is>
      </c>
      <c r="J2627" s="29" t="n">
        <v>20.12</v>
      </c>
      <c r="K2627" s="29">
        <f>(1-ISNUMBER(SEARCH("556",M2627)))*(O2627*SUMIFS(Premissas!$C$5:$C$44,Premissas!$A$5:$A$44,$A2627,Premissas!$B$5:$B$44,$B2627)+P2627*SUMIFS(Premissas!$D$5:$D$44,Premissas!$A$5:$A$44,$A2627,Premissas!$B$5:$B$44,$B2627))+R2627*SUMIFS(Premissas!$E$5:$E$44,Premissas!$A$5:$A$44,$A2627,Premissas!$B$5:$B$44,$B2627)+S2627*SUMIFS(Premissas!$F$5:$F$44,Premissas!$A$5:$A$44,$A2627,Premissas!$B$5:$B$44,$B2627)</f>
        <v/>
      </c>
      <c r="L2627" s="29">
        <f>J2627-K2627</f>
        <v/>
      </c>
      <c r="M2627" t="inlineStr">
        <is>
          <t>1.350</t>
        </is>
      </c>
      <c r="N2627" t="inlineStr">
        <is>
          <t>Modalidade: 0 - Por conta do remetente | Parte: MIX COMERCIO DE EMBALAGENS LTDA (52.348.061/0001-48)</t>
        </is>
      </c>
      <c r="O2627" s="29" t="n">
        <v>0</v>
      </c>
      <c r="P2627" s="29" t="n">
        <v>0</v>
      </c>
      <c r="Q2627" s="29" t="n">
        <v>0</v>
      </c>
      <c r="R2627" s="29" t="n">
        <v>0</v>
      </c>
      <c r="S2627" s="29" t="n">
        <v>0</v>
      </c>
      <c r="T2627" t="inlineStr">
        <is>
          <t>25251226975620000130570010000060851000160948</t>
        </is>
      </c>
      <c r="U2627" t="inlineStr">
        <is>
          <t>Não</t>
        </is>
      </c>
    </row>
    <row r="2628">
      <c r="A2628" t="inlineStr">
        <is>
          <t>Frete de venda</t>
        </is>
      </c>
      <c r="B2628" t="inlineStr">
        <is>
          <t>2.01.02 Frete sobre Vendas</t>
        </is>
      </c>
      <c r="C2628" t="inlineStr">
        <is>
          <t>Antes de 2026</t>
        </is>
      </c>
      <c r="D2628" t="inlineStr">
        <is>
          <t>Antes de 2026</t>
        </is>
      </c>
      <c r="E2628" s="28" t="n">
        <v>46021</v>
      </c>
      <c r="F2628" t="inlineStr">
        <is>
          <t>CT-e</t>
        </is>
      </c>
      <c r="G2628" t="inlineStr">
        <is>
          <t>000006086</t>
        </is>
      </c>
      <c r="H2628" t="inlineStr">
        <is>
          <t>R&amp;R TRANSPORTE E LOGISTICA</t>
        </is>
      </c>
      <c r="J2628" s="29" t="n">
        <v>11.28</v>
      </c>
      <c r="K2628" s="29">
        <f>(1-ISNUMBER(SEARCH("556",M2628)))*(O2628*SUMIFS(Premissas!$C$5:$C$44,Premissas!$A$5:$A$44,$A2628,Premissas!$B$5:$B$44,$B2628)+P2628*SUMIFS(Premissas!$D$5:$D$44,Premissas!$A$5:$A$44,$A2628,Premissas!$B$5:$B$44,$B2628))+R2628*SUMIFS(Premissas!$E$5:$E$44,Premissas!$A$5:$A$44,$A2628,Premissas!$B$5:$B$44,$B2628)+S2628*SUMIFS(Premissas!$F$5:$F$44,Premissas!$A$5:$A$44,$A2628,Premissas!$B$5:$B$44,$B2628)</f>
        <v/>
      </c>
      <c r="L2628" s="29">
        <f>J2628-K2628</f>
        <v/>
      </c>
      <c r="M2628" t="inlineStr">
        <is>
          <t>1.350</t>
        </is>
      </c>
      <c r="N2628" t="inlineStr">
        <is>
          <t>Modalidade: 0 - Por conta do remetente | Parte: COMERCIO DE MIX E ACAI DO VALLE LTDA (36.951.535/0001-95)</t>
        </is>
      </c>
      <c r="O2628" s="29" t="n">
        <v>0</v>
      </c>
      <c r="P2628" s="29" t="n">
        <v>0</v>
      </c>
      <c r="Q2628" s="29" t="n">
        <v>0</v>
      </c>
      <c r="R2628" s="29" t="n">
        <v>0</v>
      </c>
      <c r="S2628" s="29" t="n">
        <v>0</v>
      </c>
      <c r="T2628" t="inlineStr">
        <is>
          <t>25251226975620000130570010000060861001301020</t>
        </is>
      </c>
      <c r="U2628" t="inlineStr">
        <is>
          <t>Não</t>
        </is>
      </c>
    </row>
    <row r="2629">
      <c r="A2629" t="inlineStr">
        <is>
          <t>Frete de venda</t>
        </is>
      </c>
      <c r="B2629" t="inlineStr">
        <is>
          <t>2.01.02 Frete sobre Vendas</t>
        </is>
      </c>
      <c r="C2629" t="inlineStr">
        <is>
          <t>Antes de 2026</t>
        </is>
      </c>
      <c r="D2629" t="inlineStr">
        <is>
          <t>Antes de 2026</t>
        </is>
      </c>
      <c r="E2629" s="28" t="n">
        <v>46021</v>
      </c>
      <c r="F2629" t="inlineStr">
        <is>
          <t>CT-e</t>
        </is>
      </c>
      <c r="G2629" t="inlineStr">
        <is>
          <t>000006087</t>
        </is>
      </c>
      <c r="H2629" t="inlineStr">
        <is>
          <t>R&amp;R TRANSPORTE E LOGISTICA</t>
        </is>
      </c>
      <c r="J2629" s="29" t="n">
        <v>9.869999999999999</v>
      </c>
      <c r="K2629" s="29">
        <f>(1-ISNUMBER(SEARCH("556",M2629)))*(O2629*SUMIFS(Premissas!$C$5:$C$44,Premissas!$A$5:$A$44,$A2629,Premissas!$B$5:$B$44,$B2629)+P2629*SUMIFS(Premissas!$D$5:$D$44,Premissas!$A$5:$A$44,$A2629,Premissas!$B$5:$B$44,$B2629))+R2629*SUMIFS(Premissas!$E$5:$E$44,Premissas!$A$5:$A$44,$A2629,Premissas!$B$5:$B$44,$B2629)+S2629*SUMIFS(Premissas!$F$5:$F$44,Premissas!$A$5:$A$44,$A2629,Premissas!$B$5:$B$44,$B2629)</f>
        <v/>
      </c>
      <c r="L2629" s="29">
        <f>J2629-K2629</f>
        <v/>
      </c>
      <c r="M2629" t="inlineStr">
        <is>
          <t>1.350</t>
        </is>
      </c>
      <c r="N2629" t="inlineStr">
        <is>
          <t>Modalidade: 0 - Por conta do remetente | Parte: EDINALDO MATOS SANTA ROSA (30.651.989/0001-64)</t>
        </is>
      </c>
      <c r="O2629" s="29" t="n">
        <v>0</v>
      </c>
      <c r="P2629" s="29" t="n">
        <v>0</v>
      </c>
      <c r="Q2629" s="29" t="n">
        <v>0</v>
      </c>
      <c r="R2629" s="29" t="n">
        <v>0</v>
      </c>
      <c r="S2629" s="29" t="n">
        <v>0</v>
      </c>
      <c r="T2629" t="inlineStr">
        <is>
          <t>25251226975620000130570010000060871000101105</t>
        </is>
      </c>
      <c r="U2629" t="inlineStr">
        <is>
          <t>Não</t>
        </is>
      </c>
    </row>
    <row r="2630">
      <c r="A2630" t="inlineStr">
        <is>
          <t>Frete de venda</t>
        </is>
      </c>
      <c r="B2630" t="inlineStr">
        <is>
          <t>2.01.02 Frete sobre Vendas</t>
        </is>
      </c>
      <c r="C2630" t="inlineStr">
        <is>
          <t>Antes de 2026</t>
        </is>
      </c>
      <c r="D2630" t="inlineStr">
        <is>
          <t>Antes de 2026</t>
        </is>
      </c>
      <c r="E2630" s="28" t="n">
        <v>46021</v>
      </c>
      <c r="F2630" t="inlineStr">
        <is>
          <t>CT-e</t>
        </is>
      </c>
      <c r="G2630" t="inlineStr">
        <is>
          <t>000006088</t>
        </is>
      </c>
      <c r="H2630" t="inlineStr">
        <is>
          <t>R&amp;R TRANSPORTE E LOGISTICA</t>
        </is>
      </c>
      <c r="J2630" s="29" t="n">
        <v>10.65</v>
      </c>
      <c r="K2630" s="29">
        <f>(1-ISNUMBER(SEARCH("556",M2630)))*(O2630*SUMIFS(Premissas!$C$5:$C$44,Premissas!$A$5:$A$44,$A2630,Premissas!$B$5:$B$44,$B2630)+P2630*SUMIFS(Premissas!$D$5:$D$44,Premissas!$A$5:$A$44,$A2630,Premissas!$B$5:$B$44,$B2630))+R2630*SUMIFS(Premissas!$E$5:$E$44,Premissas!$A$5:$A$44,$A2630,Premissas!$B$5:$B$44,$B2630)+S2630*SUMIFS(Premissas!$F$5:$F$44,Premissas!$A$5:$A$44,$A2630,Premissas!$B$5:$B$44,$B2630)</f>
        <v/>
      </c>
      <c r="L2630" s="29">
        <f>J2630-K2630</f>
        <v/>
      </c>
      <c r="M2630" t="inlineStr">
        <is>
          <t>1.350</t>
        </is>
      </c>
      <c r="N2630" t="inlineStr">
        <is>
          <t>Modalidade: 0 - Por conta do remetente | Parte: LBS COMERCIO DE EMBALAGNES LTDA (60.065.852/0001-99)</t>
        </is>
      </c>
      <c r="O2630" s="29" t="n">
        <v>0</v>
      </c>
      <c r="P2630" s="29" t="n">
        <v>0</v>
      </c>
      <c r="Q2630" s="29" t="n">
        <v>0</v>
      </c>
      <c r="R2630" s="29" t="n">
        <v>0</v>
      </c>
      <c r="S2630" s="29" t="n">
        <v>0</v>
      </c>
      <c r="T2630" t="inlineStr">
        <is>
          <t>25251226975620000130570010000060881001801183</t>
        </is>
      </c>
      <c r="U2630" t="inlineStr">
        <is>
          <t>Não</t>
        </is>
      </c>
    </row>
    <row r="2631">
      <c r="A2631" t="inlineStr">
        <is>
          <t>Frete de venda</t>
        </is>
      </c>
      <c r="B2631" t="inlineStr">
        <is>
          <t>2.01.02 Frete sobre Vendas</t>
        </is>
      </c>
      <c r="C2631" t="inlineStr">
        <is>
          <t>Antes de 2026</t>
        </is>
      </c>
      <c r="D2631" t="inlineStr">
        <is>
          <t>Antes de 2026</t>
        </is>
      </c>
      <c r="E2631" s="28" t="n">
        <v>46021</v>
      </c>
      <c r="F2631" t="inlineStr">
        <is>
          <t>CT-e</t>
        </is>
      </c>
      <c r="G2631" t="inlineStr">
        <is>
          <t>000006089</t>
        </is>
      </c>
      <c r="H2631" t="inlineStr">
        <is>
          <t>R&amp;R TRANSPORTE E LOGISTICA</t>
        </is>
      </c>
      <c r="J2631" s="29" t="n">
        <v>16.07</v>
      </c>
      <c r="K2631" s="29">
        <f>(1-ISNUMBER(SEARCH("556",M2631)))*(O2631*SUMIFS(Premissas!$C$5:$C$44,Premissas!$A$5:$A$44,$A2631,Premissas!$B$5:$B$44,$B2631)+P2631*SUMIFS(Premissas!$D$5:$D$44,Premissas!$A$5:$A$44,$A2631,Premissas!$B$5:$B$44,$B2631))+R2631*SUMIFS(Premissas!$E$5:$E$44,Premissas!$A$5:$A$44,$A2631,Premissas!$B$5:$B$44,$B2631)+S2631*SUMIFS(Premissas!$F$5:$F$44,Premissas!$A$5:$A$44,$A2631,Premissas!$B$5:$B$44,$B2631)</f>
        <v/>
      </c>
      <c r="L2631" s="29">
        <f>J2631-K2631</f>
        <v/>
      </c>
      <c r="M2631" t="inlineStr">
        <is>
          <t>1.350</t>
        </is>
      </c>
      <c r="N2631" t="inlineStr">
        <is>
          <t>Modalidade: 0 - Por conta do remetente | Parte: CRISTAL NEWS ALIMENTOS E EMBALAGENS LTDA (04.067.045/0001-34)</t>
        </is>
      </c>
      <c r="O2631" s="29" t="n">
        <v>0</v>
      </c>
      <c r="P2631" s="29" t="n">
        <v>0</v>
      </c>
      <c r="Q2631" s="29" t="n">
        <v>0</v>
      </c>
      <c r="R2631" s="29" t="n">
        <v>0</v>
      </c>
      <c r="S2631" s="29" t="n">
        <v>0</v>
      </c>
      <c r="T2631" t="inlineStr">
        <is>
          <t>25251226975620000130570010000060891001501268</t>
        </is>
      </c>
      <c r="U2631" t="inlineStr">
        <is>
          <t>Não</t>
        </is>
      </c>
    </row>
    <row r="2632">
      <c r="A2632" t="inlineStr">
        <is>
          <t>Frete de venda</t>
        </is>
      </c>
      <c r="B2632" t="inlineStr">
        <is>
          <t>2.01.02 Frete sobre Vendas</t>
        </is>
      </c>
      <c r="C2632" t="inlineStr">
        <is>
          <t>Antes de 2026</t>
        </is>
      </c>
      <c r="D2632" t="inlineStr">
        <is>
          <t>Antes de 2026</t>
        </is>
      </c>
      <c r="E2632" s="28" t="n">
        <v>46021</v>
      </c>
      <c r="F2632" t="inlineStr">
        <is>
          <t>CT-e</t>
        </is>
      </c>
      <c r="G2632" t="inlineStr">
        <is>
          <t>000006090</t>
        </is>
      </c>
      <c r="H2632" t="inlineStr">
        <is>
          <t>R&amp;R TRANSPORTE E LOGISTICA</t>
        </is>
      </c>
      <c r="J2632" s="29" t="n">
        <v>7.41</v>
      </c>
      <c r="K2632" s="29">
        <f>(1-ISNUMBER(SEARCH("556",M2632)))*(O2632*SUMIFS(Premissas!$C$5:$C$44,Premissas!$A$5:$A$44,$A2632,Premissas!$B$5:$B$44,$B2632)+P2632*SUMIFS(Premissas!$D$5:$D$44,Premissas!$A$5:$A$44,$A2632,Premissas!$B$5:$B$44,$B2632))+R2632*SUMIFS(Premissas!$E$5:$E$44,Premissas!$A$5:$A$44,$A2632,Premissas!$B$5:$B$44,$B2632)+S2632*SUMIFS(Premissas!$F$5:$F$44,Premissas!$A$5:$A$44,$A2632,Premissas!$B$5:$B$44,$B2632)</f>
        <v/>
      </c>
      <c r="L2632" s="29">
        <f>J2632-K2632</f>
        <v/>
      </c>
      <c r="M2632" t="inlineStr">
        <is>
          <t>1.350</t>
        </is>
      </c>
      <c r="N2632" t="inlineStr">
        <is>
          <t>Modalidade: 0 - Por conta do remetente | Parte: FG ATACADISTA DE EMBALAGENS E ALIMENTOS LTDA (62.720.773/0001-08)</t>
        </is>
      </c>
      <c r="O2632" s="29" t="n">
        <v>0</v>
      </c>
      <c r="P2632" s="29" t="n">
        <v>0</v>
      </c>
      <c r="Q2632" s="29" t="n">
        <v>0</v>
      </c>
      <c r="R2632" s="29" t="n">
        <v>0</v>
      </c>
      <c r="S2632" s="29" t="n">
        <v>0</v>
      </c>
      <c r="T2632" t="inlineStr">
        <is>
          <t>25251226975620000130570010000060901001201346</t>
        </is>
      </c>
      <c r="U2632" t="inlineStr">
        <is>
          <t>Não</t>
        </is>
      </c>
    </row>
    <row r="2633">
      <c r="A2633" t="inlineStr">
        <is>
          <t>Frete de venda</t>
        </is>
      </c>
      <c r="B2633" t="inlineStr">
        <is>
          <t>2.01.02 Frete sobre Vendas</t>
        </is>
      </c>
      <c r="C2633" t="inlineStr">
        <is>
          <t>Antes de 2026</t>
        </is>
      </c>
      <c r="D2633" t="inlineStr">
        <is>
          <t>Antes de 2026</t>
        </is>
      </c>
      <c r="E2633" s="28" t="n">
        <v>46021</v>
      </c>
      <c r="F2633" t="inlineStr">
        <is>
          <t>CT-e</t>
        </is>
      </c>
      <c r="G2633" t="inlineStr">
        <is>
          <t>000006091</t>
        </is>
      </c>
      <c r="H2633" t="inlineStr">
        <is>
          <t>R&amp;R TRANSPORTE E LOGISTICA</t>
        </is>
      </c>
      <c r="J2633" s="29" t="n">
        <v>9.09</v>
      </c>
      <c r="K2633" s="29">
        <f>(1-ISNUMBER(SEARCH("556",M2633)))*(O2633*SUMIFS(Premissas!$C$5:$C$44,Premissas!$A$5:$A$44,$A2633,Premissas!$B$5:$B$44,$B2633)+P2633*SUMIFS(Premissas!$D$5:$D$44,Premissas!$A$5:$A$44,$A2633,Premissas!$B$5:$B$44,$B2633))+R2633*SUMIFS(Premissas!$E$5:$E$44,Premissas!$A$5:$A$44,$A2633,Premissas!$B$5:$B$44,$B2633)+S2633*SUMIFS(Premissas!$F$5:$F$44,Premissas!$A$5:$A$44,$A2633,Premissas!$B$5:$B$44,$B2633)</f>
        <v/>
      </c>
      <c r="L2633" s="29">
        <f>J2633-K2633</f>
        <v/>
      </c>
      <c r="M2633" t="inlineStr">
        <is>
          <t>1.350</t>
        </is>
      </c>
      <c r="N2633" t="inlineStr">
        <is>
          <t>Modalidade: 0 - Por conta do remetente | Parte: RPS COMERCIO DE PRODUTOS ALIMENTICIOS LTDA (37.881.671/0001-19)</t>
        </is>
      </c>
      <c r="O2633" s="29" t="n">
        <v>0</v>
      </c>
      <c r="P2633" s="29" t="n">
        <v>0</v>
      </c>
      <c r="Q2633" s="29" t="n">
        <v>0</v>
      </c>
      <c r="R2633" s="29" t="n">
        <v>0</v>
      </c>
      <c r="S2633" s="29" t="n">
        <v>0</v>
      </c>
      <c r="T2633" t="inlineStr">
        <is>
          <t>25251226975620000130570010000060911011001428</t>
        </is>
      </c>
      <c r="U2633" t="inlineStr">
        <is>
          <t>Não</t>
        </is>
      </c>
    </row>
    <row r="2634">
      <c r="A2634" t="inlineStr">
        <is>
          <t>Frete de venda</t>
        </is>
      </c>
      <c r="B2634" t="inlineStr">
        <is>
          <t>2.01.02 Frete sobre Vendas</t>
        </is>
      </c>
      <c r="C2634" t="inlineStr">
        <is>
          <t>Antes de 2026</t>
        </is>
      </c>
      <c r="D2634" t="inlineStr">
        <is>
          <t>Antes de 2026</t>
        </is>
      </c>
      <c r="E2634" s="28" t="n">
        <v>46021</v>
      </c>
      <c r="F2634" t="inlineStr">
        <is>
          <t>CT-e</t>
        </is>
      </c>
      <c r="G2634" t="inlineStr">
        <is>
          <t>000006092</t>
        </is>
      </c>
      <c r="H2634" t="inlineStr">
        <is>
          <t>R&amp;R TRANSPORTE E LOGISTICA</t>
        </is>
      </c>
      <c r="J2634" s="29" t="n">
        <v>11.92</v>
      </c>
      <c r="K2634" s="29">
        <f>(1-ISNUMBER(SEARCH("556",M2634)))*(O2634*SUMIFS(Premissas!$C$5:$C$44,Premissas!$A$5:$A$44,$A2634,Premissas!$B$5:$B$44,$B2634)+P2634*SUMIFS(Premissas!$D$5:$D$44,Premissas!$A$5:$A$44,$A2634,Premissas!$B$5:$B$44,$B2634))+R2634*SUMIFS(Premissas!$E$5:$E$44,Premissas!$A$5:$A$44,$A2634,Premissas!$B$5:$B$44,$B2634)+S2634*SUMIFS(Premissas!$F$5:$F$44,Premissas!$A$5:$A$44,$A2634,Premissas!$B$5:$B$44,$B2634)</f>
        <v/>
      </c>
      <c r="L2634" s="29">
        <f>J2634-K2634</f>
        <v/>
      </c>
      <c r="M2634" t="inlineStr">
        <is>
          <t>1.350</t>
        </is>
      </c>
      <c r="N2634" t="inlineStr">
        <is>
          <t>Modalidade: 0 - Por conta do remetente | Parte: TRANSTEL COMERCIO E ARMAZENAMENTO E LOGISTICA LTDA (59.254.117/0001-44)</t>
        </is>
      </c>
      <c r="O2634" s="29" t="n">
        <v>0</v>
      </c>
      <c r="P2634" s="29" t="n">
        <v>0</v>
      </c>
      <c r="Q2634" s="29" t="n">
        <v>0</v>
      </c>
      <c r="R2634" s="29" t="n">
        <v>0</v>
      </c>
      <c r="S2634" s="29" t="n">
        <v>0</v>
      </c>
      <c r="T2634" t="inlineStr">
        <is>
          <t>25251226975620000130570010000060921001701505</t>
        </is>
      </c>
      <c r="U2634" t="inlineStr">
        <is>
          <t>Não</t>
        </is>
      </c>
    </row>
    <row r="2635">
      <c r="A2635" t="inlineStr">
        <is>
          <t>Frete de venda</t>
        </is>
      </c>
      <c r="B2635" t="inlineStr">
        <is>
          <t>2.01.02 Frete sobre Vendas</t>
        </is>
      </c>
      <c r="C2635" t="inlineStr">
        <is>
          <t>Antes de 2026</t>
        </is>
      </c>
      <c r="D2635" t="inlineStr">
        <is>
          <t>Antes de 2026</t>
        </is>
      </c>
      <c r="E2635" s="28" t="n">
        <v>46021</v>
      </c>
      <c r="F2635" t="inlineStr">
        <is>
          <t>CT-e</t>
        </is>
      </c>
      <c r="G2635" t="inlineStr">
        <is>
          <t>000006093</t>
        </is>
      </c>
      <c r="H2635" t="inlineStr">
        <is>
          <t>R&amp;R TRANSPORTE E LOGISTICA</t>
        </is>
      </c>
      <c r="J2635" s="29" t="n">
        <v>14.4</v>
      </c>
      <c r="K2635" s="29">
        <f>(1-ISNUMBER(SEARCH("556",M2635)))*(O2635*SUMIFS(Premissas!$C$5:$C$44,Premissas!$A$5:$A$44,$A2635,Premissas!$B$5:$B$44,$B2635)+P2635*SUMIFS(Premissas!$D$5:$D$44,Premissas!$A$5:$A$44,$A2635,Premissas!$B$5:$B$44,$B2635))+R2635*SUMIFS(Premissas!$E$5:$E$44,Premissas!$A$5:$A$44,$A2635,Premissas!$B$5:$B$44,$B2635)+S2635*SUMIFS(Premissas!$F$5:$F$44,Premissas!$A$5:$A$44,$A2635,Premissas!$B$5:$B$44,$B2635)</f>
        <v/>
      </c>
      <c r="L2635" s="29">
        <f>J2635-K2635</f>
        <v/>
      </c>
      <c r="M2635" t="inlineStr">
        <is>
          <t>1.350</t>
        </is>
      </c>
      <c r="N2635" t="inlineStr">
        <is>
          <t>Modalidade: 0 - Por conta do remetente | Parte: G7 GASTRONOMIA COMERCIO DE ALIMENTOS LTDA (60.481.693/0001-03)</t>
        </is>
      </c>
      <c r="O2635" s="29" t="n">
        <v>0</v>
      </c>
      <c r="P2635" s="29" t="n">
        <v>0</v>
      </c>
      <c r="Q2635" s="29" t="n">
        <v>0</v>
      </c>
      <c r="R2635" s="29" t="n">
        <v>0</v>
      </c>
      <c r="S2635" s="29" t="n">
        <v>0</v>
      </c>
      <c r="T2635" t="inlineStr">
        <is>
          <t>25251226975620000130570010000060931001401584</t>
        </is>
      </c>
      <c r="U2635" t="inlineStr">
        <is>
          <t>Não</t>
        </is>
      </c>
    </row>
    <row r="2636">
      <c r="A2636" t="inlineStr">
        <is>
          <t>Frete de venda</t>
        </is>
      </c>
      <c r="B2636" t="inlineStr">
        <is>
          <t>2.01.02 Frete sobre Vendas</t>
        </is>
      </c>
      <c r="C2636" t="inlineStr">
        <is>
          <t>Antes de 2026</t>
        </is>
      </c>
      <c r="D2636" t="inlineStr">
        <is>
          <t>Antes de 2026</t>
        </is>
      </c>
      <c r="E2636" s="28" t="n">
        <v>46021</v>
      </c>
      <c r="F2636" t="inlineStr">
        <is>
          <t>CT-e</t>
        </is>
      </c>
      <c r="G2636" t="inlineStr">
        <is>
          <t>000006094</t>
        </is>
      </c>
      <c r="H2636" t="inlineStr">
        <is>
          <t>R&amp;R TRANSPORTE E LOGISTICA</t>
        </is>
      </c>
      <c r="J2636" s="29" t="n">
        <v>8.050000000000001</v>
      </c>
      <c r="K2636" s="29">
        <f>(1-ISNUMBER(SEARCH("556",M2636)))*(O2636*SUMIFS(Premissas!$C$5:$C$44,Premissas!$A$5:$A$44,$A2636,Premissas!$B$5:$B$44,$B2636)+P2636*SUMIFS(Premissas!$D$5:$D$44,Premissas!$A$5:$A$44,$A2636,Premissas!$B$5:$B$44,$B2636))+R2636*SUMIFS(Premissas!$E$5:$E$44,Premissas!$A$5:$A$44,$A2636,Premissas!$B$5:$B$44,$B2636)+S2636*SUMIFS(Premissas!$F$5:$F$44,Premissas!$A$5:$A$44,$A2636,Premissas!$B$5:$B$44,$B2636)</f>
        <v/>
      </c>
      <c r="L2636" s="29">
        <f>J2636-K2636</f>
        <v/>
      </c>
      <c r="M2636" t="inlineStr">
        <is>
          <t>1.350</t>
        </is>
      </c>
      <c r="N2636" t="inlineStr">
        <is>
          <t>Modalidade: 0 - Por conta do remetente | Parte: LA SERAFIM COMERCIO DE EMBALAGENS LTDA (07.797.641/0001-68)</t>
        </is>
      </c>
      <c r="O2636" s="29" t="n">
        <v>0</v>
      </c>
      <c r="P2636" s="29" t="n">
        <v>0</v>
      </c>
      <c r="Q2636" s="29" t="n">
        <v>0</v>
      </c>
      <c r="R2636" s="29" t="n">
        <v>0</v>
      </c>
      <c r="S2636" s="29" t="n">
        <v>0</v>
      </c>
      <c r="T2636" t="inlineStr">
        <is>
          <t>25251226975620000130570010000060941000150933</t>
        </is>
      </c>
      <c r="U2636" t="inlineStr">
        <is>
          <t>Não</t>
        </is>
      </c>
    </row>
    <row r="2637">
      <c r="A2637" t="inlineStr">
        <is>
          <t>Frete de venda</t>
        </is>
      </c>
      <c r="B2637" t="inlineStr">
        <is>
          <t>2.01.02 Frete sobre Vendas</t>
        </is>
      </c>
      <c r="C2637" t="inlineStr">
        <is>
          <t>Antes de 2026</t>
        </is>
      </c>
      <c r="D2637" t="inlineStr">
        <is>
          <t>Antes de 2026</t>
        </is>
      </c>
      <c r="E2637" s="28" t="n">
        <v>46010</v>
      </c>
      <c r="F2637" t="inlineStr">
        <is>
          <t>CT-e</t>
        </is>
      </c>
      <c r="G2637" t="inlineStr">
        <is>
          <t>000000591</t>
        </is>
      </c>
      <c r="H2637" t="inlineStr">
        <is>
          <t>REIMAG - REINALDO DOMINGUES BARROS DA SILVA</t>
        </is>
      </c>
      <c r="J2637" s="29" t="n">
        <v>375</v>
      </c>
      <c r="K2637" s="29">
        <f>(1-ISNUMBER(SEARCH("556",M2637)))*(O2637*SUMIFS(Premissas!$C$5:$C$44,Premissas!$A$5:$A$44,$A2637,Premissas!$B$5:$B$44,$B2637)+P2637*SUMIFS(Premissas!$D$5:$D$44,Premissas!$A$5:$A$44,$A2637,Premissas!$B$5:$B$44,$B2637))+R2637*SUMIFS(Premissas!$E$5:$E$44,Premissas!$A$5:$A$44,$A2637,Premissas!$B$5:$B$44,$B2637)+S2637*SUMIFS(Premissas!$F$5:$F$44,Premissas!$A$5:$A$44,$A2637,Premissas!$B$5:$B$44,$B2637)</f>
        <v/>
      </c>
      <c r="L2637" s="29">
        <f>J2637-K2637</f>
        <v/>
      </c>
      <c r="M2637" t="inlineStr">
        <is>
          <t>1.350</t>
        </is>
      </c>
      <c r="N2637" t="inlineStr">
        <is>
          <t>Modalidade: 0 - Por conta do remetente | Parte: BAR DO CUSCUZ E RESTAURANTE LTDA (11.125.081/0001-72)</t>
        </is>
      </c>
      <c r="O2637" s="29" t="n">
        <v>0</v>
      </c>
      <c r="P2637" s="29" t="n">
        <v>0</v>
      </c>
      <c r="Q2637" s="29" t="n">
        <v>0</v>
      </c>
      <c r="R2637" s="29" t="n">
        <v>0</v>
      </c>
      <c r="S2637" s="29" t="n">
        <v>0</v>
      </c>
      <c r="T2637" t="inlineStr">
        <is>
          <t>25251239962724000151570010000005911996166320</t>
        </is>
      </c>
      <c r="U2637" t="inlineStr">
        <is>
          <t>Não</t>
        </is>
      </c>
    </row>
    <row r="2638">
      <c r="A2638" t="inlineStr">
        <is>
          <t>Frete de venda</t>
        </is>
      </c>
      <c r="B2638" t="inlineStr">
        <is>
          <t>2.01.02 Frete sobre Vendas</t>
        </is>
      </c>
      <c r="C2638" t="inlineStr">
        <is>
          <t>Antes de 2026</t>
        </is>
      </c>
      <c r="D2638" t="inlineStr">
        <is>
          <t>Antes de 2026</t>
        </is>
      </c>
      <c r="E2638" s="28" t="n">
        <v>46010</v>
      </c>
      <c r="F2638" t="inlineStr">
        <is>
          <t>CT-e</t>
        </is>
      </c>
      <c r="G2638" t="inlineStr">
        <is>
          <t>000000592</t>
        </is>
      </c>
      <c r="H2638" t="inlineStr">
        <is>
          <t>REIMAG - REINALDO DOMINGUES BARROS DA SILVA</t>
        </is>
      </c>
      <c r="J2638" s="29" t="n">
        <v>375</v>
      </c>
      <c r="K2638" s="29">
        <f>(1-ISNUMBER(SEARCH("556",M2638)))*(O2638*SUMIFS(Premissas!$C$5:$C$44,Premissas!$A$5:$A$44,$A2638,Premissas!$B$5:$B$44,$B2638)+P2638*SUMIFS(Premissas!$D$5:$D$44,Premissas!$A$5:$A$44,$A2638,Premissas!$B$5:$B$44,$B2638))+R2638*SUMIFS(Premissas!$E$5:$E$44,Premissas!$A$5:$A$44,$A2638,Premissas!$B$5:$B$44,$B2638)+S2638*SUMIFS(Premissas!$F$5:$F$44,Premissas!$A$5:$A$44,$A2638,Premissas!$B$5:$B$44,$B2638)</f>
        <v/>
      </c>
      <c r="L2638" s="29">
        <f>J2638-K2638</f>
        <v/>
      </c>
      <c r="M2638" t="inlineStr">
        <is>
          <t>1.350</t>
        </is>
      </c>
      <c r="N2638" t="inlineStr">
        <is>
          <t>Modalidade: 0 - Por conta do remetente | Parte: M X COMERCIO E SERVICOS LTDA (11.028.612/0001-09)</t>
        </is>
      </c>
      <c r="O2638" s="29" t="n">
        <v>0</v>
      </c>
      <c r="P2638" s="29" t="n">
        <v>0</v>
      </c>
      <c r="Q2638" s="29" t="n">
        <v>0</v>
      </c>
      <c r="R2638" s="29" t="n">
        <v>0</v>
      </c>
      <c r="S2638" s="29" t="n">
        <v>0</v>
      </c>
      <c r="T2638" t="inlineStr">
        <is>
          <t>25251239962724000151570010000005921241455367</t>
        </is>
      </c>
      <c r="U2638" t="inlineStr">
        <is>
          <t>Não</t>
        </is>
      </c>
    </row>
    <row r="2639">
      <c r="A2639" t="inlineStr">
        <is>
          <t>Frete de venda</t>
        </is>
      </c>
      <c r="B2639" t="inlineStr">
        <is>
          <t>2.01.02 Frete sobre Vendas</t>
        </is>
      </c>
      <c r="C2639" t="inlineStr">
        <is>
          <t>Antes de 2026</t>
        </is>
      </c>
      <c r="D2639" t="inlineStr">
        <is>
          <t>Antes de 2026</t>
        </is>
      </c>
      <c r="E2639" s="28" t="n">
        <v>46017</v>
      </c>
      <c r="F2639" t="inlineStr">
        <is>
          <t>CT-e</t>
        </is>
      </c>
      <c r="G2639" t="inlineStr">
        <is>
          <t>000000595</t>
        </is>
      </c>
      <c r="H2639" t="inlineStr">
        <is>
          <t>REIMAG - REINALDO DOMINGUES BARROS DA SILVA</t>
        </is>
      </c>
      <c r="J2639" s="29" t="n">
        <v>350</v>
      </c>
      <c r="K2639" s="29">
        <f>(1-ISNUMBER(SEARCH("556",M2639)))*(O2639*SUMIFS(Premissas!$C$5:$C$44,Premissas!$A$5:$A$44,$A2639,Premissas!$B$5:$B$44,$B2639)+P2639*SUMIFS(Premissas!$D$5:$D$44,Premissas!$A$5:$A$44,$A2639,Premissas!$B$5:$B$44,$B2639))+R2639*SUMIFS(Premissas!$E$5:$E$44,Premissas!$A$5:$A$44,$A2639,Premissas!$B$5:$B$44,$B2639)+S2639*SUMIFS(Premissas!$F$5:$F$44,Premissas!$A$5:$A$44,$A2639,Premissas!$B$5:$B$44,$B2639)</f>
        <v/>
      </c>
      <c r="L2639" s="29">
        <f>J2639-K2639</f>
        <v/>
      </c>
      <c r="M2639" t="inlineStr">
        <is>
          <t>1.350</t>
        </is>
      </c>
      <c r="N2639" t="inlineStr">
        <is>
          <t>Modalidade: 0 - Por conta do remetente | Parte: MAIN COMERCIO DE DESCARTAVEIS EIRELI (32.422.584/0001-80)</t>
        </is>
      </c>
      <c r="O2639" s="29" t="n">
        <v>0</v>
      </c>
      <c r="P2639" s="29" t="n">
        <v>0</v>
      </c>
      <c r="Q2639" s="29" t="n">
        <v>0</v>
      </c>
      <c r="R2639" s="29" t="n">
        <v>0</v>
      </c>
      <c r="S2639" s="29" t="n">
        <v>0</v>
      </c>
      <c r="T2639" t="inlineStr">
        <is>
          <t>25251239962724000151570010000005951528947720</t>
        </is>
      </c>
      <c r="U2639" t="inlineStr">
        <is>
          <t>Não</t>
        </is>
      </c>
    </row>
    <row r="2640">
      <c r="A2640" t="inlineStr">
        <is>
          <t>Frete de venda</t>
        </is>
      </c>
      <c r="B2640" t="inlineStr">
        <is>
          <t>2.01.02 Frete sobre Vendas</t>
        </is>
      </c>
      <c r="C2640" t="inlineStr">
        <is>
          <t>Antes de 2026</t>
        </is>
      </c>
      <c r="D2640" t="inlineStr">
        <is>
          <t>Antes de 2026</t>
        </is>
      </c>
      <c r="E2640" s="28" t="n">
        <v>46017</v>
      </c>
      <c r="F2640" t="inlineStr">
        <is>
          <t>CT-e</t>
        </is>
      </c>
      <c r="G2640" t="inlineStr">
        <is>
          <t>000000596</t>
        </is>
      </c>
      <c r="H2640" t="inlineStr">
        <is>
          <t>REIMAG - REINALDO DOMINGUES BARROS DA SILVA</t>
        </is>
      </c>
      <c r="J2640" s="29" t="n">
        <v>350</v>
      </c>
      <c r="K2640" s="29">
        <f>(1-ISNUMBER(SEARCH("556",M2640)))*(O2640*SUMIFS(Premissas!$C$5:$C$44,Premissas!$A$5:$A$44,$A2640,Premissas!$B$5:$B$44,$B2640)+P2640*SUMIFS(Premissas!$D$5:$D$44,Premissas!$A$5:$A$44,$A2640,Premissas!$B$5:$B$44,$B2640))+R2640*SUMIFS(Premissas!$E$5:$E$44,Premissas!$A$5:$A$44,$A2640,Premissas!$B$5:$B$44,$B2640)+S2640*SUMIFS(Premissas!$F$5:$F$44,Premissas!$A$5:$A$44,$A2640,Premissas!$B$5:$B$44,$B2640)</f>
        <v/>
      </c>
      <c r="L2640" s="29">
        <f>J2640-K2640</f>
        <v/>
      </c>
      <c r="M2640" t="inlineStr">
        <is>
          <t>1.350</t>
        </is>
      </c>
      <c r="N2640" t="inlineStr">
        <is>
          <t>Modalidade: 0 - Por conta do remetente | Parte: MAIN PLASTICOS E FESTAS LTDA (61.707.696/0001-85)</t>
        </is>
      </c>
      <c r="O2640" s="29" t="n">
        <v>0</v>
      </c>
      <c r="P2640" s="29" t="n">
        <v>0</v>
      </c>
      <c r="Q2640" s="29" t="n">
        <v>0</v>
      </c>
      <c r="R2640" s="29" t="n">
        <v>0</v>
      </c>
      <c r="S2640" s="29" t="n">
        <v>0</v>
      </c>
      <c r="T2640" t="inlineStr">
        <is>
          <t>25251239962724000151570010000005961030704617</t>
        </is>
      </c>
      <c r="U2640" t="inlineStr">
        <is>
          <t>Não</t>
        </is>
      </c>
    </row>
    <row r="2641">
      <c r="A2641" t="inlineStr">
        <is>
          <t>Frete de venda</t>
        </is>
      </c>
      <c r="B2641" t="inlineStr">
        <is>
          <t>2.01.02 Frete sobre Vendas</t>
        </is>
      </c>
      <c r="C2641" t="inlineStr">
        <is>
          <t>Antes de 2026</t>
        </is>
      </c>
      <c r="D2641" t="inlineStr">
        <is>
          <t>Antes de 2026</t>
        </is>
      </c>
      <c r="E2641" s="28" t="n">
        <v>46021</v>
      </c>
      <c r="F2641" t="inlineStr">
        <is>
          <t>CT-e</t>
        </is>
      </c>
      <c r="G2641" t="inlineStr">
        <is>
          <t>000000598</t>
        </is>
      </c>
      <c r="H2641" t="inlineStr">
        <is>
          <t>REIMAG - REINALDO DOMINGUES BARROS DA SILVA</t>
        </is>
      </c>
      <c r="J2641" s="29" t="n">
        <v>800</v>
      </c>
      <c r="K2641" s="29">
        <f>(1-ISNUMBER(SEARCH("556",M2641)))*(O2641*SUMIFS(Premissas!$C$5:$C$44,Premissas!$A$5:$A$44,$A2641,Premissas!$B$5:$B$44,$B2641)+P2641*SUMIFS(Premissas!$D$5:$D$44,Premissas!$A$5:$A$44,$A2641,Premissas!$B$5:$B$44,$B2641))+R2641*SUMIFS(Premissas!$E$5:$E$44,Premissas!$A$5:$A$44,$A2641,Premissas!$B$5:$B$44,$B2641)+S2641*SUMIFS(Premissas!$F$5:$F$44,Premissas!$A$5:$A$44,$A2641,Premissas!$B$5:$B$44,$B2641)</f>
        <v/>
      </c>
      <c r="L2641" s="29">
        <f>J2641-K2641</f>
        <v/>
      </c>
      <c r="M2641" t="inlineStr">
        <is>
          <t>1.350</t>
        </is>
      </c>
      <c r="N2641" t="inlineStr">
        <is>
          <t>Modalidade: 0 - Por conta do remetente | Parte: BAR DO CUSCUZ E RESTAURANTE LTDA (11.125.081/0001-72)</t>
        </is>
      </c>
      <c r="O2641" s="29" t="n">
        <v>0</v>
      </c>
      <c r="P2641" s="29" t="n">
        <v>0</v>
      </c>
      <c r="Q2641" s="29" t="n">
        <v>0</v>
      </c>
      <c r="R2641" s="29" t="n">
        <v>0</v>
      </c>
      <c r="S2641" s="29" t="n">
        <v>0</v>
      </c>
      <c r="T2641" t="inlineStr">
        <is>
          <t>25251239962724000151570010000005981989882792</t>
        </is>
      </c>
      <c r="U2641" t="inlineStr">
        <is>
          <t>Não</t>
        </is>
      </c>
    </row>
    <row r="2642">
      <c r="A2642" t="inlineStr">
        <is>
          <t>Frete de venda</t>
        </is>
      </c>
      <c r="B2642" t="inlineStr">
        <is>
          <t>2.01.02 Frete sobre Vendas</t>
        </is>
      </c>
      <c r="C2642" t="inlineStr">
        <is>
          <t>Antes de 2026</t>
        </is>
      </c>
      <c r="D2642" t="inlineStr">
        <is>
          <t>Antes de 2026</t>
        </is>
      </c>
      <c r="E2642" s="28" t="n">
        <v>45926</v>
      </c>
      <c r="F2642" t="inlineStr">
        <is>
          <t>CT-e</t>
        </is>
      </c>
      <c r="G2642" t="inlineStr">
        <is>
          <t>000714799</t>
        </is>
      </c>
      <c r="H2642" t="inlineStr">
        <is>
          <t>RODAR TRANSPORTES LTDA</t>
        </is>
      </c>
      <c r="J2642" s="29" t="n">
        <v>351.98</v>
      </c>
      <c r="K2642" s="29">
        <f>(1-ISNUMBER(SEARCH("556",M2642)))*(O2642*SUMIFS(Premissas!$C$5:$C$44,Premissas!$A$5:$A$44,$A2642,Premissas!$B$5:$B$44,$B2642)+P2642*SUMIFS(Premissas!$D$5:$D$44,Premissas!$A$5:$A$44,$A2642,Premissas!$B$5:$B$44,$B2642))+R2642*SUMIFS(Premissas!$E$5:$E$44,Premissas!$A$5:$A$44,$A2642,Premissas!$B$5:$B$44,$B2642)+S2642*SUMIFS(Premissas!$F$5:$F$44,Premissas!$A$5:$A$44,$A2642,Premissas!$B$5:$B$44,$B2642)</f>
        <v/>
      </c>
      <c r="L2642" s="29">
        <f>J2642-K2642</f>
        <v/>
      </c>
      <c r="M2642" t="inlineStr">
        <is>
          <t>1.556</t>
        </is>
      </c>
      <c r="N2642" t="inlineStr">
        <is>
          <t>Transportadora fora da lista de frete de venda, mas pela modalidade a Vinco enviou a carga | Modalidade: 0 - Por conta do remetente | Parte: RIO VERDE EMBALAGENS LTDA (15.189.185/0001-00)</t>
        </is>
      </c>
      <c r="O2642" s="29" t="n">
        <v>0</v>
      </c>
      <c r="P2642" s="29" t="n">
        <v>0</v>
      </c>
      <c r="Q2642" s="29" t="n">
        <v>0</v>
      </c>
      <c r="R2642" s="29" t="n">
        <v>0</v>
      </c>
      <c r="S2642" s="29" t="n">
        <v>0</v>
      </c>
      <c r="T2642" t="inlineStr">
        <is>
          <t>52250901492584000122570010007147991205778181</t>
        </is>
      </c>
      <c r="U2642" t="inlineStr">
        <is>
          <t>Não</t>
        </is>
      </c>
    </row>
    <row r="2643">
      <c r="A2643" t="inlineStr">
        <is>
          <t>Frete de venda</t>
        </is>
      </c>
      <c r="B2643" t="inlineStr">
        <is>
          <t>2.01.02 Frete sobre Vendas</t>
        </is>
      </c>
      <c r="C2643" t="inlineStr">
        <is>
          <t>Antes de 2026</t>
        </is>
      </c>
      <c r="D2643" t="inlineStr">
        <is>
          <t>Antes de 2026</t>
        </is>
      </c>
      <c r="E2643" s="28" t="n">
        <v>45926</v>
      </c>
      <c r="F2643" t="inlineStr">
        <is>
          <t>CT-e</t>
        </is>
      </c>
      <c r="G2643" t="inlineStr">
        <is>
          <t>000714800</t>
        </is>
      </c>
      <c r="H2643" t="inlineStr">
        <is>
          <t>RODAR TRANSPORTES LTDA</t>
        </is>
      </c>
      <c r="J2643" s="29" t="n">
        <v>804.3200000000001</v>
      </c>
      <c r="K2643" s="29">
        <f>(1-ISNUMBER(SEARCH("556",M2643)))*(O2643*SUMIFS(Premissas!$C$5:$C$44,Premissas!$A$5:$A$44,$A2643,Premissas!$B$5:$B$44,$B2643)+P2643*SUMIFS(Premissas!$D$5:$D$44,Premissas!$A$5:$A$44,$A2643,Premissas!$B$5:$B$44,$B2643))+R2643*SUMIFS(Premissas!$E$5:$E$44,Premissas!$A$5:$A$44,$A2643,Premissas!$B$5:$B$44,$B2643)+S2643*SUMIFS(Premissas!$F$5:$F$44,Premissas!$A$5:$A$44,$A2643,Premissas!$B$5:$B$44,$B2643)</f>
        <v/>
      </c>
      <c r="L2643" s="29">
        <f>J2643-K2643</f>
        <v/>
      </c>
      <c r="M2643" t="inlineStr">
        <is>
          <t>1.556</t>
        </is>
      </c>
      <c r="N2643" t="inlineStr">
        <is>
          <t>Transportadora fora da lista de frete de venda, mas pela modalidade a Vinco enviou a carga | Modalidade: 0 - Por conta do remetente | Parte: DISTRIBUIDORA DE EMBALAGENS RIO DOCE LTDA (23.575.535/0001-96)</t>
        </is>
      </c>
      <c r="O2643" s="29" t="n">
        <v>0</v>
      </c>
      <c r="P2643" s="29" t="n">
        <v>0</v>
      </c>
      <c r="Q2643" s="29" t="n">
        <v>0</v>
      </c>
      <c r="R2643" s="29" t="n">
        <v>0</v>
      </c>
      <c r="S2643" s="29" t="n">
        <v>0</v>
      </c>
      <c r="T2643" t="inlineStr">
        <is>
          <t>52250901492584000122570010007148001051418639</t>
        </is>
      </c>
      <c r="U2643" t="inlineStr">
        <is>
          <t>Não</t>
        </is>
      </c>
    </row>
    <row r="2644">
      <c r="A2644" t="inlineStr">
        <is>
          <t>Frete de venda</t>
        </is>
      </c>
      <c r="B2644" t="inlineStr">
        <is>
          <t>2.01.02 Frete sobre Vendas</t>
        </is>
      </c>
      <c r="C2644" t="inlineStr">
        <is>
          <t>Antes de 2026</t>
        </is>
      </c>
      <c r="D2644" t="inlineStr">
        <is>
          <t>Antes de 2026</t>
        </is>
      </c>
      <c r="E2644" s="28" t="n">
        <v>45546</v>
      </c>
      <c r="F2644" t="inlineStr">
        <is>
          <t>CT-e</t>
        </is>
      </c>
      <c r="G2644" t="inlineStr">
        <is>
          <t>000019528</t>
        </is>
      </c>
      <c r="H2644" t="inlineStr">
        <is>
          <t>TRANSPORTE OLIVEIRA E MELLOI - IDEALIZA TRANSPORTES</t>
        </is>
      </c>
      <c r="J2644" s="29" t="n">
        <v>282.8</v>
      </c>
      <c r="K2644" s="29">
        <f>(1-ISNUMBER(SEARCH("556",M2644)))*(O2644*SUMIFS(Premissas!$C$5:$C$44,Premissas!$A$5:$A$44,$A2644,Premissas!$B$5:$B$44,$B2644)+P2644*SUMIFS(Premissas!$D$5:$D$44,Premissas!$A$5:$A$44,$A2644,Premissas!$B$5:$B$44,$B2644))+R2644*SUMIFS(Premissas!$E$5:$E$44,Premissas!$A$5:$A$44,$A2644,Premissas!$B$5:$B$44,$B2644)+S2644*SUMIFS(Premissas!$F$5:$F$44,Premissas!$A$5:$A$44,$A2644,Premissas!$B$5:$B$44,$B2644)</f>
        <v/>
      </c>
      <c r="L2644" s="29">
        <f>J2644-K2644</f>
        <v/>
      </c>
      <c r="M2644" t="inlineStr">
        <is>
          <t>1.350</t>
        </is>
      </c>
      <c r="N2644" t="inlineStr">
        <is>
          <t>Modalidade: 0 - Por conta do remetente | Parte: PORTUGAL COMERCIO DE PRODUTOS DESCARTAVEIS LTDA (83.349.563/0001-17)</t>
        </is>
      </c>
      <c r="O2644" s="29" t="n">
        <v>0</v>
      </c>
      <c r="P2644" s="29" t="n">
        <v>0</v>
      </c>
      <c r="Q2644" s="29" t="n">
        <v>0</v>
      </c>
      <c r="R2644" s="29" t="n">
        <v>0</v>
      </c>
      <c r="S2644" s="29" t="n">
        <v>0</v>
      </c>
      <c r="T2644" t="inlineStr">
        <is>
          <t>15240920175042000170570010000195281000518510</t>
        </is>
      </c>
      <c r="U2644" t="inlineStr">
        <is>
          <t>Não</t>
        </is>
      </c>
    </row>
    <row r="2645">
      <c r="A2645" t="inlineStr">
        <is>
          <t>Frete de venda</t>
        </is>
      </c>
      <c r="B2645" t="inlineStr">
        <is>
          <t>2.01.02 Frete sobre Vendas</t>
        </is>
      </c>
      <c r="C2645" t="inlineStr">
        <is>
          <t>Antes de 2026</t>
        </is>
      </c>
      <c r="D2645" t="inlineStr">
        <is>
          <t>Antes de 2026</t>
        </is>
      </c>
      <c r="E2645" s="28" t="n">
        <v>45546</v>
      </c>
      <c r="F2645" t="inlineStr">
        <is>
          <t>CT-e</t>
        </is>
      </c>
      <c r="G2645" t="inlineStr">
        <is>
          <t>000019529</t>
        </is>
      </c>
      <c r="H2645" t="inlineStr">
        <is>
          <t>TRANSPORTE OLIVEIRA E MELLOI - IDEALIZA TRANSPORTES</t>
        </is>
      </c>
      <c r="J2645" s="29" t="n">
        <v>136.15</v>
      </c>
      <c r="K2645" s="29">
        <f>(1-ISNUMBER(SEARCH("556",M2645)))*(O2645*SUMIFS(Premissas!$C$5:$C$44,Premissas!$A$5:$A$44,$A2645,Premissas!$B$5:$B$44,$B2645)+P2645*SUMIFS(Premissas!$D$5:$D$44,Premissas!$A$5:$A$44,$A2645,Premissas!$B$5:$B$44,$B2645))+R2645*SUMIFS(Premissas!$E$5:$E$44,Premissas!$A$5:$A$44,$A2645,Premissas!$B$5:$B$44,$B2645)+S2645*SUMIFS(Premissas!$F$5:$F$44,Premissas!$A$5:$A$44,$A2645,Premissas!$B$5:$B$44,$B2645)</f>
        <v/>
      </c>
      <c r="L2645" s="29">
        <f>J2645-K2645</f>
        <v/>
      </c>
      <c r="M2645" t="inlineStr">
        <is>
          <t>1.350</t>
        </is>
      </c>
      <c r="N2645" t="inlineStr">
        <is>
          <t>Modalidade: 0 - Por conta do remetente | Parte: JAMES L. H. TOME e CIA LTDA (16.965.024/0003-87)</t>
        </is>
      </c>
      <c r="O2645" s="29" t="n">
        <v>0</v>
      </c>
      <c r="P2645" s="29" t="n">
        <v>0</v>
      </c>
      <c r="Q2645" s="29" t="n">
        <v>0</v>
      </c>
      <c r="R2645" s="29" t="n">
        <v>0</v>
      </c>
      <c r="S2645" s="29" t="n">
        <v>0</v>
      </c>
      <c r="T2645" t="inlineStr">
        <is>
          <t>15240920175042000170570010000195291000518525</t>
        </is>
      </c>
      <c r="U2645" t="inlineStr">
        <is>
          <t>Não</t>
        </is>
      </c>
    </row>
    <row r="2646">
      <c r="A2646" t="inlineStr">
        <is>
          <t>Frete de venda</t>
        </is>
      </c>
      <c r="B2646" t="inlineStr">
        <is>
          <t>2.01.02 Frete sobre Vendas</t>
        </is>
      </c>
      <c r="C2646" t="inlineStr">
        <is>
          <t>Antes de 2026</t>
        </is>
      </c>
      <c r="D2646" t="inlineStr">
        <is>
          <t>Antes de 2026</t>
        </is>
      </c>
      <c r="E2646" s="28" t="n">
        <v>45546</v>
      </c>
      <c r="F2646" t="inlineStr">
        <is>
          <t>CT-e</t>
        </is>
      </c>
      <c r="G2646" t="inlineStr">
        <is>
          <t>000019530</t>
        </is>
      </c>
      <c r="H2646" t="inlineStr">
        <is>
          <t>TRANSPORTE OLIVEIRA E MELLOI - IDEALIZA TRANSPORTES</t>
        </is>
      </c>
      <c r="J2646" s="29" t="n">
        <v>184.48</v>
      </c>
      <c r="K2646" s="29">
        <f>(1-ISNUMBER(SEARCH("556",M2646)))*(O2646*SUMIFS(Premissas!$C$5:$C$44,Premissas!$A$5:$A$44,$A2646,Premissas!$B$5:$B$44,$B2646)+P2646*SUMIFS(Premissas!$D$5:$D$44,Premissas!$A$5:$A$44,$A2646,Premissas!$B$5:$B$44,$B2646))+R2646*SUMIFS(Premissas!$E$5:$E$44,Premissas!$A$5:$A$44,$A2646,Premissas!$B$5:$B$44,$B2646)+S2646*SUMIFS(Premissas!$F$5:$F$44,Premissas!$A$5:$A$44,$A2646,Premissas!$B$5:$B$44,$B2646)</f>
        <v/>
      </c>
      <c r="L2646" s="29">
        <f>J2646-K2646</f>
        <v/>
      </c>
      <c r="M2646" t="inlineStr">
        <is>
          <t>1.350</t>
        </is>
      </c>
      <c r="N2646" t="inlineStr">
        <is>
          <t>Modalidade: 0 - Por conta do remetente | Parte: JAMES L. H. TOME e CIA LTDA (16.965.024/0007-00)</t>
        </is>
      </c>
      <c r="O2646" s="29" t="n">
        <v>0</v>
      </c>
      <c r="P2646" s="29" t="n">
        <v>0</v>
      </c>
      <c r="Q2646" s="29" t="n">
        <v>0</v>
      </c>
      <c r="R2646" s="29" t="n">
        <v>0</v>
      </c>
      <c r="S2646" s="29" t="n">
        <v>0</v>
      </c>
      <c r="T2646" t="inlineStr">
        <is>
          <t>15240920175042000170570010000195301000518534</t>
        </is>
      </c>
      <c r="U2646" t="inlineStr">
        <is>
          <t>Não</t>
        </is>
      </c>
    </row>
    <row r="2647">
      <c r="A2647" t="inlineStr">
        <is>
          <t>Frete de venda</t>
        </is>
      </c>
      <c r="B2647" t="inlineStr">
        <is>
          <t>2.01.02 Frete sobre Vendas</t>
        </is>
      </c>
      <c r="C2647" t="inlineStr">
        <is>
          <t>Antes de 2026</t>
        </is>
      </c>
      <c r="D2647" t="inlineStr">
        <is>
          <t>Antes de 2026</t>
        </is>
      </c>
      <c r="E2647" s="28" t="n">
        <v>45546</v>
      </c>
      <c r="F2647" t="inlineStr">
        <is>
          <t>CT-e</t>
        </is>
      </c>
      <c r="G2647" t="inlineStr">
        <is>
          <t>000019531</t>
        </is>
      </c>
      <c r="H2647" t="inlineStr">
        <is>
          <t>TRANSPORTE OLIVEIRA E MELLOI - IDEALIZA TRANSPORTES</t>
        </is>
      </c>
      <c r="J2647" s="29" t="n">
        <v>92.05</v>
      </c>
      <c r="K2647" s="29">
        <f>(1-ISNUMBER(SEARCH("556",M2647)))*(O2647*SUMIFS(Premissas!$C$5:$C$44,Premissas!$A$5:$A$44,$A2647,Premissas!$B$5:$B$44,$B2647)+P2647*SUMIFS(Premissas!$D$5:$D$44,Premissas!$A$5:$A$44,$A2647,Premissas!$B$5:$B$44,$B2647))+R2647*SUMIFS(Premissas!$E$5:$E$44,Premissas!$A$5:$A$44,$A2647,Premissas!$B$5:$B$44,$B2647)+S2647*SUMIFS(Premissas!$F$5:$F$44,Premissas!$A$5:$A$44,$A2647,Premissas!$B$5:$B$44,$B2647)</f>
        <v/>
      </c>
      <c r="L2647" s="29">
        <f>J2647-K2647</f>
        <v/>
      </c>
      <c r="M2647" t="inlineStr">
        <is>
          <t>1.350</t>
        </is>
      </c>
      <c r="N2647" t="inlineStr">
        <is>
          <t>Modalidade: 0 - Por conta do remetente | Parte: THYAGO C DA S SOUSA LTDA (36.309.758/0001-53)</t>
        </is>
      </c>
      <c r="O2647" s="29" t="n">
        <v>0</v>
      </c>
      <c r="P2647" s="29" t="n">
        <v>0</v>
      </c>
      <c r="Q2647" s="29" t="n">
        <v>0</v>
      </c>
      <c r="R2647" s="29" t="n">
        <v>0</v>
      </c>
      <c r="S2647" s="29" t="n">
        <v>0</v>
      </c>
      <c r="T2647" t="inlineStr">
        <is>
          <t>15240920175042000170570010000195311000518540</t>
        </is>
      </c>
      <c r="U2647" t="inlineStr">
        <is>
          <t>Não</t>
        </is>
      </c>
    </row>
    <row r="2648">
      <c r="A2648" t="inlineStr">
        <is>
          <t>Frete de venda</t>
        </is>
      </c>
      <c r="B2648" t="inlineStr">
        <is>
          <t>2.01.02 Frete sobre Vendas</t>
        </is>
      </c>
      <c r="C2648" t="inlineStr">
        <is>
          <t>Antes de 2026</t>
        </is>
      </c>
      <c r="D2648" t="inlineStr">
        <is>
          <t>Antes de 2026</t>
        </is>
      </c>
      <c r="E2648" s="28" t="n">
        <v>45546</v>
      </c>
      <c r="F2648" t="inlineStr">
        <is>
          <t>CT-e</t>
        </is>
      </c>
      <c r="G2648" t="inlineStr">
        <is>
          <t>000019532</t>
        </is>
      </c>
      <c r="H2648" t="inlineStr">
        <is>
          <t>TRANSPORTE OLIVEIRA E MELLOI - IDEALIZA TRANSPORTES</t>
        </is>
      </c>
      <c r="J2648" s="29" t="n">
        <v>579.13</v>
      </c>
      <c r="K2648" s="29">
        <f>(1-ISNUMBER(SEARCH("556",M2648)))*(O2648*SUMIFS(Premissas!$C$5:$C$44,Premissas!$A$5:$A$44,$A2648,Premissas!$B$5:$B$44,$B2648)+P2648*SUMIFS(Premissas!$D$5:$D$44,Premissas!$A$5:$A$44,$A2648,Premissas!$B$5:$B$44,$B2648))+R2648*SUMIFS(Premissas!$E$5:$E$44,Premissas!$A$5:$A$44,$A2648,Premissas!$B$5:$B$44,$B2648)+S2648*SUMIFS(Premissas!$F$5:$F$44,Premissas!$A$5:$A$44,$A2648,Premissas!$B$5:$B$44,$B2648)</f>
        <v/>
      </c>
      <c r="L2648" s="29">
        <f>J2648-K2648</f>
        <v/>
      </c>
      <c r="M2648" t="inlineStr">
        <is>
          <t>1.350</t>
        </is>
      </c>
      <c r="N2648" t="inlineStr">
        <is>
          <t>Modalidade: 0 - Por conta do remetente | Parte: LIDER INDUSTRIA E COMERCIO LTDA (45.762.979/0001-73)</t>
        </is>
      </c>
      <c r="O2648" s="29" t="n">
        <v>0</v>
      </c>
      <c r="P2648" s="29" t="n">
        <v>0</v>
      </c>
      <c r="Q2648" s="29" t="n">
        <v>0</v>
      </c>
      <c r="R2648" s="29" t="n">
        <v>0</v>
      </c>
      <c r="S2648" s="29" t="n">
        <v>0</v>
      </c>
      <c r="T2648" t="inlineStr">
        <is>
          <t>15240920175042000170570010000195321000518555</t>
        </is>
      </c>
      <c r="U2648" t="inlineStr">
        <is>
          <t>Não</t>
        </is>
      </c>
    </row>
    <row r="2649">
      <c r="A2649" t="inlineStr">
        <is>
          <t>Frete de venda</t>
        </is>
      </c>
      <c r="B2649" t="inlineStr">
        <is>
          <t>2.01.02 Frete sobre Vendas</t>
        </is>
      </c>
      <c r="C2649" t="inlineStr">
        <is>
          <t>Antes de 2026</t>
        </is>
      </c>
      <c r="D2649" t="inlineStr">
        <is>
          <t>Antes de 2026</t>
        </is>
      </c>
      <c r="E2649" s="28" t="n">
        <v>45546</v>
      </c>
      <c r="F2649" t="inlineStr">
        <is>
          <t>CT-e</t>
        </is>
      </c>
      <c r="G2649" t="inlineStr">
        <is>
          <t>000019533</t>
        </is>
      </c>
      <c r="H2649" t="inlineStr">
        <is>
          <t>TRANSPORTE OLIVEIRA E MELLOI - IDEALIZA TRANSPORTES</t>
        </is>
      </c>
      <c r="J2649" s="29" t="n">
        <v>268.75</v>
      </c>
      <c r="K2649" s="29">
        <f>(1-ISNUMBER(SEARCH("556",M2649)))*(O2649*SUMIFS(Premissas!$C$5:$C$44,Premissas!$A$5:$A$44,$A2649,Premissas!$B$5:$B$44,$B2649)+P2649*SUMIFS(Premissas!$D$5:$D$44,Premissas!$A$5:$A$44,$A2649,Premissas!$B$5:$B$44,$B2649))+R2649*SUMIFS(Premissas!$E$5:$E$44,Premissas!$A$5:$A$44,$A2649,Premissas!$B$5:$B$44,$B2649)+S2649*SUMIFS(Premissas!$F$5:$F$44,Premissas!$A$5:$A$44,$A2649,Premissas!$B$5:$B$44,$B2649)</f>
        <v/>
      </c>
      <c r="L2649" s="29">
        <f>J2649-K2649</f>
        <v/>
      </c>
      <c r="M2649" t="inlineStr">
        <is>
          <t>1.350</t>
        </is>
      </c>
      <c r="N2649" t="inlineStr">
        <is>
          <t>Modalidade: 0 - Por conta do remetente | Parte: P3 DESCARTAVEIS ATACADO e VAREJO LTDA (12.040.681/0001-09)</t>
        </is>
      </c>
      <c r="O2649" s="29" t="n">
        <v>0</v>
      </c>
      <c r="P2649" s="29" t="n">
        <v>0</v>
      </c>
      <c r="Q2649" s="29" t="n">
        <v>0</v>
      </c>
      <c r="R2649" s="29" t="n">
        <v>0</v>
      </c>
      <c r="S2649" s="29" t="n">
        <v>0</v>
      </c>
      <c r="T2649" t="inlineStr">
        <is>
          <t>15240920175042000170570010000195331000518560</t>
        </is>
      </c>
      <c r="U2649" t="inlineStr">
        <is>
          <t>Não</t>
        </is>
      </c>
    </row>
    <row r="2650">
      <c r="A2650" t="inlineStr">
        <is>
          <t>Frete de venda</t>
        </is>
      </c>
      <c r="B2650" t="inlineStr">
        <is>
          <t>2.01.02 Frete sobre Vendas</t>
        </is>
      </c>
      <c r="C2650" t="inlineStr">
        <is>
          <t>Antes de 2026</t>
        </is>
      </c>
      <c r="D2650" t="inlineStr">
        <is>
          <t>Antes de 2026</t>
        </is>
      </c>
      <c r="E2650" s="28" t="n">
        <v>45546</v>
      </c>
      <c r="F2650" t="inlineStr">
        <is>
          <t>CT-e</t>
        </is>
      </c>
      <c r="G2650" t="inlineStr">
        <is>
          <t>000019534</t>
        </is>
      </c>
      <c r="H2650" t="inlineStr">
        <is>
          <t>TRANSPORTE OLIVEIRA E MELLOI - IDEALIZA TRANSPORTES</t>
        </is>
      </c>
      <c r="J2650" s="29" t="n">
        <v>503.22</v>
      </c>
      <c r="K2650" s="29">
        <f>(1-ISNUMBER(SEARCH("556",M2650)))*(O2650*SUMIFS(Premissas!$C$5:$C$44,Premissas!$A$5:$A$44,$A2650,Premissas!$B$5:$B$44,$B2650)+P2650*SUMIFS(Premissas!$D$5:$D$44,Premissas!$A$5:$A$44,$A2650,Premissas!$B$5:$B$44,$B2650))+R2650*SUMIFS(Premissas!$E$5:$E$44,Premissas!$A$5:$A$44,$A2650,Premissas!$B$5:$B$44,$B2650)+S2650*SUMIFS(Premissas!$F$5:$F$44,Premissas!$A$5:$A$44,$A2650,Premissas!$B$5:$B$44,$B2650)</f>
        <v/>
      </c>
      <c r="L2650" s="29">
        <f>J2650-K2650</f>
        <v/>
      </c>
      <c r="M2650" t="inlineStr">
        <is>
          <t>1.350</t>
        </is>
      </c>
      <c r="N2650" t="inlineStr">
        <is>
          <t>Modalidade: 0 - Por conta do remetente | Parte: PLASMAR COMERCIO DE PRODUTOS DESCARTAVEIS LTDA (09.354.922/0001-71)</t>
        </is>
      </c>
      <c r="O2650" s="29" t="n">
        <v>0</v>
      </c>
      <c r="P2650" s="29" t="n">
        <v>0</v>
      </c>
      <c r="Q2650" s="29" t="n">
        <v>0</v>
      </c>
      <c r="R2650" s="29" t="n">
        <v>0</v>
      </c>
      <c r="S2650" s="29" t="n">
        <v>0</v>
      </c>
      <c r="T2650" t="inlineStr">
        <is>
          <t>15240920175042000170570010000195341000518576</t>
        </is>
      </c>
      <c r="U2650" t="inlineStr">
        <is>
          <t>Não</t>
        </is>
      </c>
    </row>
    <row r="2651">
      <c r="A2651" t="inlineStr">
        <is>
          <t>Frete de venda</t>
        </is>
      </c>
      <c r="B2651" t="inlineStr">
        <is>
          <t>2.01.02 Frete sobre Vendas</t>
        </is>
      </c>
      <c r="C2651" t="inlineStr">
        <is>
          <t>Antes de 2026</t>
        </is>
      </c>
      <c r="D2651" t="inlineStr">
        <is>
          <t>Antes de 2026</t>
        </is>
      </c>
      <c r="E2651" s="28" t="n">
        <v>45600</v>
      </c>
      <c r="F2651" t="inlineStr">
        <is>
          <t>CT-e</t>
        </is>
      </c>
      <c r="G2651" t="inlineStr">
        <is>
          <t>000020445</t>
        </is>
      </c>
      <c r="H2651" t="inlineStr">
        <is>
          <t>TRANSPORTE OLIVEIRA E MELLOI - IDEALIZA TRANSPORTES</t>
        </is>
      </c>
      <c r="J2651" s="29" t="n">
        <v>640</v>
      </c>
      <c r="K2651" s="29">
        <f>(1-ISNUMBER(SEARCH("556",M2651)))*(O2651*SUMIFS(Premissas!$C$5:$C$44,Premissas!$A$5:$A$44,$A2651,Premissas!$B$5:$B$44,$B2651)+P2651*SUMIFS(Premissas!$D$5:$D$44,Premissas!$A$5:$A$44,$A2651,Premissas!$B$5:$B$44,$B2651))+R2651*SUMIFS(Premissas!$E$5:$E$44,Premissas!$A$5:$A$44,$A2651,Premissas!$B$5:$B$44,$B2651)+S2651*SUMIFS(Premissas!$F$5:$F$44,Premissas!$A$5:$A$44,$A2651,Premissas!$B$5:$B$44,$B2651)</f>
        <v/>
      </c>
      <c r="L2651" s="29">
        <f>J2651-K2651</f>
        <v/>
      </c>
      <c r="M2651" t="inlineStr">
        <is>
          <t>1.350</t>
        </is>
      </c>
      <c r="N2651" t="inlineStr">
        <is>
          <t>Modalidade: 0 - Por conta do remetente | Parte: B A FONTES LTDA (23.108.379/0001-53)</t>
        </is>
      </c>
      <c r="O2651" s="29" t="n">
        <v>0</v>
      </c>
      <c r="P2651" s="29" t="n">
        <v>0</v>
      </c>
      <c r="Q2651" s="29" t="n">
        <v>0</v>
      </c>
      <c r="R2651" s="29" t="n">
        <v>0</v>
      </c>
      <c r="S2651" s="29" t="n">
        <v>0</v>
      </c>
      <c r="T2651" t="inlineStr">
        <is>
          <t>15241120175042000170570010000204451000000423</t>
        </is>
      </c>
      <c r="U2651" t="inlineStr">
        <is>
          <t>Não</t>
        </is>
      </c>
    </row>
    <row r="2652">
      <c r="A2652" t="inlineStr">
        <is>
          <t>Frete de venda</t>
        </is>
      </c>
      <c r="B2652" t="inlineStr">
        <is>
          <t>2.01.02 Frete sobre Vendas</t>
        </is>
      </c>
      <c r="C2652" t="inlineStr">
        <is>
          <t>Antes de 2026</t>
        </is>
      </c>
      <c r="D2652" t="inlineStr">
        <is>
          <t>Antes de 2026</t>
        </is>
      </c>
      <c r="E2652" s="28" t="n">
        <v>45600</v>
      </c>
      <c r="F2652" t="inlineStr">
        <is>
          <t>CT-e</t>
        </is>
      </c>
      <c r="G2652" t="inlineStr">
        <is>
          <t>000020446</t>
        </is>
      </c>
      <c r="H2652" t="inlineStr">
        <is>
          <t>TRANSPORTE OLIVEIRA E MELLOI - IDEALIZA TRANSPORTES</t>
        </is>
      </c>
      <c r="J2652" s="29" t="n">
        <v>595</v>
      </c>
      <c r="K2652" s="29">
        <f>(1-ISNUMBER(SEARCH("556",M2652)))*(O2652*SUMIFS(Premissas!$C$5:$C$44,Premissas!$A$5:$A$44,$A2652,Premissas!$B$5:$B$44,$B2652)+P2652*SUMIFS(Premissas!$D$5:$D$44,Premissas!$A$5:$A$44,$A2652,Premissas!$B$5:$B$44,$B2652))+R2652*SUMIFS(Premissas!$E$5:$E$44,Premissas!$A$5:$A$44,$A2652,Premissas!$B$5:$B$44,$B2652)+S2652*SUMIFS(Premissas!$F$5:$F$44,Premissas!$A$5:$A$44,$A2652,Premissas!$B$5:$B$44,$B2652)</f>
        <v/>
      </c>
      <c r="L2652" s="29">
        <f>J2652-K2652</f>
        <v/>
      </c>
      <c r="M2652" t="inlineStr">
        <is>
          <t>1.350</t>
        </is>
      </c>
      <c r="N2652" t="inlineStr">
        <is>
          <t>Modalidade: 0 - Por conta do remetente | Parte: A SARAIVA DA CRUZ COMERCIAL LTDA (01.342.240/0001-37)</t>
        </is>
      </c>
      <c r="O2652" s="29" t="n">
        <v>0</v>
      </c>
      <c r="P2652" s="29" t="n">
        <v>0</v>
      </c>
      <c r="Q2652" s="29" t="n">
        <v>0</v>
      </c>
      <c r="R2652" s="29" t="n">
        <v>0</v>
      </c>
      <c r="S2652" s="29" t="n">
        <v>0</v>
      </c>
      <c r="T2652" t="inlineStr">
        <is>
          <t>15241120175042000170570010000204461000000439</t>
        </is>
      </c>
      <c r="U2652" t="inlineStr">
        <is>
          <t>Não</t>
        </is>
      </c>
    </row>
    <row r="2653">
      <c r="A2653" t="inlineStr">
        <is>
          <t>Frete de venda</t>
        </is>
      </c>
      <c r="B2653" t="inlineStr">
        <is>
          <t>2.01.02 Frete sobre Vendas</t>
        </is>
      </c>
      <c r="C2653" t="inlineStr">
        <is>
          <t>Antes de 2026</t>
        </is>
      </c>
      <c r="D2653" t="inlineStr">
        <is>
          <t>Antes de 2026</t>
        </is>
      </c>
      <c r="E2653" s="28" t="n">
        <v>45600</v>
      </c>
      <c r="F2653" t="inlineStr">
        <is>
          <t>CT-e</t>
        </is>
      </c>
      <c r="G2653" t="inlineStr">
        <is>
          <t>000020447</t>
        </is>
      </c>
      <c r="H2653" t="inlineStr">
        <is>
          <t>TRANSPORTE OLIVEIRA E MELLOI - IDEALIZA TRANSPORTES</t>
        </is>
      </c>
      <c r="J2653" s="29" t="n">
        <v>193.55</v>
      </c>
      <c r="K2653" s="29">
        <f>(1-ISNUMBER(SEARCH("556",M2653)))*(O2653*SUMIFS(Premissas!$C$5:$C$44,Premissas!$A$5:$A$44,$A2653,Premissas!$B$5:$B$44,$B2653)+P2653*SUMIFS(Premissas!$D$5:$D$44,Premissas!$A$5:$A$44,$A2653,Premissas!$B$5:$B$44,$B2653))+R2653*SUMIFS(Premissas!$E$5:$E$44,Premissas!$A$5:$A$44,$A2653,Premissas!$B$5:$B$44,$B2653)+S2653*SUMIFS(Premissas!$F$5:$F$44,Premissas!$A$5:$A$44,$A2653,Premissas!$B$5:$B$44,$B2653)</f>
        <v/>
      </c>
      <c r="L2653" s="29">
        <f>J2653-K2653</f>
        <v/>
      </c>
      <c r="M2653" t="inlineStr">
        <is>
          <t>1.350</t>
        </is>
      </c>
      <c r="N2653" t="inlineStr">
        <is>
          <t>Modalidade: 0 - Por conta do remetente | Parte: I S S DA CUNHA COMERCIO DE DESCARTAVEIS (09.619.492/0001-72)</t>
        </is>
      </c>
      <c r="O2653" s="29" t="n">
        <v>0</v>
      </c>
      <c r="P2653" s="29" t="n">
        <v>0</v>
      </c>
      <c r="Q2653" s="29" t="n">
        <v>0</v>
      </c>
      <c r="R2653" s="29" t="n">
        <v>0</v>
      </c>
      <c r="S2653" s="29" t="n">
        <v>0</v>
      </c>
      <c r="T2653" t="inlineStr">
        <is>
          <t>15241120175042000170570010000204471000000444</t>
        </is>
      </c>
      <c r="U2653" t="inlineStr">
        <is>
          <t>Não</t>
        </is>
      </c>
    </row>
    <row r="2654">
      <c r="A2654" t="inlineStr">
        <is>
          <t>Frete de venda</t>
        </is>
      </c>
      <c r="B2654" t="inlineStr">
        <is>
          <t>2.01.02 Frete sobre Vendas</t>
        </is>
      </c>
      <c r="C2654" t="inlineStr">
        <is>
          <t>Antes de 2026</t>
        </is>
      </c>
      <c r="D2654" t="inlineStr">
        <is>
          <t>Antes de 2026</t>
        </is>
      </c>
      <c r="E2654" s="28" t="n">
        <v>45600</v>
      </c>
      <c r="F2654" t="inlineStr">
        <is>
          <t>CT-e</t>
        </is>
      </c>
      <c r="G2654" t="inlineStr">
        <is>
          <t>000020448</t>
        </is>
      </c>
      <c r="H2654" t="inlineStr">
        <is>
          <t>TRANSPORTE OLIVEIRA E MELLOI - IDEALIZA TRANSPORTES</t>
        </is>
      </c>
      <c r="J2654" s="29" t="n">
        <v>339.85</v>
      </c>
      <c r="K2654" s="29">
        <f>(1-ISNUMBER(SEARCH("556",M2654)))*(O2654*SUMIFS(Premissas!$C$5:$C$44,Premissas!$A$5:$A$44,$A2654,Premissas!$B$5:$B$44,$B2654)+P2654*SUMIFS(Premissas!$D$5:$D$44,Premissas!$A$5:$A$44,$A2654,Premissas!$B$5:$B$44,$B2654))+R2654*SUMIFS(Premissas!$E$5:$E$44,Premissas!$A$5:$A$44,$A2654,Premissas!$B$5:$B$44,$B2654)+S2654*SUMIFS(Premissas!$F$5:$F$44,Premissas!$A$5:$A$44,$A2654,Premissas!$B$5:$B$44,$B2654)</f>
        <v/>
      </c>
      <c r="L2654" s="29">
        <f>J2654-K2654</f>
        <v/>
      </c>
      <c r="M2654" t="inlineStr">
        <is>
          <t>1.350</t>
        </is>
      </c>
      <c r="N2654" t="inlineStr">
        <is>
          <t>Modalidade: 0 - Por conta do remetente | Parte: JAMES L. H. TOME e CIA LTDA (16.965.024/0006-20)</t>
        </is>
      </c>
      <c r="O2654" s="29" t="n">
        <v>0</v>
      </c>
      <c r="P2654" s="29" t="n">
        <v>0</v>
      </c>
      <c r="Q2654" s="29" t="n">
        <v>0</v>
      </c>
      <c r="R2654" s="29" t="n">
        <v>0</v>
      </c>
      <c r="S2654" s="29" t="n">
        <v>0</v>
      </c>
      <c r="T2654" t="inlineStr">
        <is>
          <t>15241120175042000170570010000204481000000450</t>
        </is>
      </c>
      <c r="U2654" t="inlineStr">
        <is>
          <t>Não</t>
        </is>
      </c>
    </row>
    <row r="2655">
      <c r="A2655" t="inlineStr">
        <is>
          <t>Frete de venda</t>
        </is>
      </c>
      <c r="B2655" t="inlineStr">
        <is>
          <t>2.01.02 Frete sobre Vendas</t>
        </is>
      </c>
      <c r="C2655" t="inlineStr">
        <is>
          <t>Antes de 2026</t>
        </is>
      </c>
      <c r="D2655" t="inlineStr">
        <is>
          <t>Antes de 2026</t>
        </is>
      </c>
      <c r="E2655" s="28" t="n">
        <v>45600</v>
      </c>
      <c r="F2655" t="inlineStr">
        <is>
          <t>CT-e</t>
        </is>
      </c>
      <c r="G2655" t="inlineStr">
        <is>
          <t>000020449</t>
        </is>
      </c>
      <c r="H2655" t="inlineStr">
        <is>
          <t>TRANSPORTE OLIVEIRA E MELLOI - IDEALIZA TRANSPORTES</t>
        </is>
      </c>
      <c r="J2655" s="29" t="n">
        <v>140.35</v>
      </c>
      <c r="K2655" s="29">
        <f>(1-ISNUMBER(SEARCH("556",M2655)))*(O2655*SUMIFS(Premissas!$C$5:$C$44,Premissas!$A$5:$A$44,$A2655,Premissas!$B$5:$B$44,$B2655)+P2655*SUMIFS(Premissas!$D$5:$D$44,Premissas!$A$5:$A$44,$A2655,Premissas!$B$5:$B$44,$B2655))+R2655*SUMIFS(Premissas!$E$5:$E$44,Premissas!$A$5:$A$44,$A2655,Premissas!$B$5:$B$44,$B2655)+S2655*SUMIFS(Premissas!$F$5:$F$44,Premissas!$A$5:$A$44,$A2655,Premissas!$B$5:$B$44,$B2655)</f>
        <v/>
      </c>
      <c r="L2655" s="29">
        <f>J2655-K2655</f>
        <v/>
      </c>
      <c r="M2655" t="inlineStr">
        <is>
          <t>1.350</t>
        </is>
      </c>
      <c r="N2655" t="inlineStr">
        <is>
          <t>Modalidade: 0 - Por conta do remetente | Parte: JAMES L H TOME e CIA LTDA (16.965.024/0008-91)</t>
        </is>
      </c>
      <c r="O2655" s="29" t="n">
        <v>0</v>
      </c>
      <c r="P2655" s="29" t="n">
        <v>0</v>
      </c>
      <c r="Q2655" s="29" t="n">
        <v>0</v>
      </c>
      <c r="R2655" s="29" t="n">
        <v>0</v>
      </c>
      <c r="S2655" s="29" t="n">
        <v>0</v>
      </c>
      <c r="T2655" t="inlineStr">
        <is>
          <t>15241120175042000170570010000204491000000465</t>
        </is>
      </c>
      <c r="U2655" t="inlineStr">
        <is>
          <t>Não</t>
        </is>
      </c>
    </row>
    <row r="2656">
      <c r="A2656" t="inlineStr">
        <is>
          <t>Frete de venda</t>
        </is>
      </c>
      <c r="B2656" t="inlineStr">
        <is>
          <t>2.01.02 Frete sobre Vendas</t>
        </is>
      </c>
      <c r="C2656" t="inlineStr">
        <is>
          <t>Antes de 2026</t>
        </is>
      </c>
      <c r="D2656" t="inlineStr">
        <is>
          <t>Antes de 2026</t>
        </is>
      </c>
      <c r="E2656" s="28" t="n">
        <v>45600</v>
      </c>
      <c r="F2656" t="inlineStr">
        <is>
          <t>CT-e</t>
        </is>
      </c>
      <c r="G2656" t="inlineStr">
        <is>
          <t>000020450</t>
        </is>
      </c>
      <c r="H2656" t="inlineStr">
        <is>
          <t>TRANSPORTE OLIVEIRA E MELLOI - IDEALIZA TRANSPORTES</t>
        </is>
      </c>
      <c r="J2656" s="29" t="n">
        <v>325.5</v>
      </c>
      <c r="K2656" s="29">
        <f>(1-ISNUMBER(SEARCH("556",M2656)))*(O2656*SUMIFS(Premissas!$C$5:$C$44,Premissas!$A$5:$A$44,$A2656,Premissas!$B$5:$B$44,$B2656)+P2656*SUMIFS(Premissas!$D$5:$D$44,Premissas!$A$5:$A$44,$A2656,Premissas!$B$5:$B$44,$B2656))+R2656*SUMIFS(Premissas!$E$5:$E$44,Premissas!$A$5:$A$44,$A2656,Premissas!$B$5:$B$44,$B2656)+S2656*SUMIFS(Premissas!$F$5:$F$44,Premissas!$A$5:$A$44,$A2656,Premissas!$B$5:$B$44,$B2656)</f>
        <v/>
      </c>
      <c r="L2656" s="29">
        <f>J2656-K2656</f>
        <v/>
      </c>
      <c r="M2656" t="inlineStr">
        <is>
          <t>1.350</t>
        </is>
      </c>
      <c r="N2656" t="inlineStr">
        <is>
          <t>Modalidade: 0 - Por conta do remetente | Parte: JAMES L. H. TOME e CIA LTDA (16.965.024/0001-15)</t>
        </is>
      </c>
      <c r="O2656" s="29" t="n">
        <v>0</v>
      </c>
      <c r="P2656" s="29" t="n">
        <v>0</v>
      </c>
      <c r="Q2656" s="29" t="n">
        <v>0</v>
      </c>
      <c r="R2656" s="29" t="n">
        <v>0</v>
      </c>
      <c r="S2656" s="29" t="n">
        <v>0</v>
      </c>
      <c r="T2656" t="inlineStr">
        <is>
          <t>15241120175042000170570010000204501000000474</t>
        </is>
      </c>
      <c r="U2656" t="inlineStr">
        <is>
          <t>Não</t>
        </is>
      </c>
    </row>
    <row r="2657">
      <c r="A2657" t="inlineStr">
        <is>
          <t>Frete de venda</t>
        </is>
      </c>
      <c r="B2657" t="inlineStr">
        <is>
          <t>2.01.02 Frete sobre Vendas</t>
        </is>
      </c>
      <c r="C2657" t="inlineStr">
        <is>
          <t>Antes de 2026</t>
        </is>
      </c>
      <c r="D2657" t="inlineStr">
        <is>
          <t>Antes de 2026</t>
        </is>
      </c>
      <c r="E2657" s="28" t="n">
        <v>45600</v>
      </c>
      <c r="F2657" t="inlineStr">
        <is>
          <t>CT-e</t>
        </is>
      </c>
      <c r="G2657" t="inlineStr">
        <is>
          <t>000020451</t>
        </is>
      </c>
      <c r="H2657" t="inlineStr">
        <is>
          <t>TRANSPORTE OLIVEIRA E MELLOI - IDEALIZA TRANSPORTES</t>
        </is>
      </c>
      <c r="J2657" s="29" t="n">
        <v>340.2</v>
      </c>
      <c r="K2657" s="29">
        <f>(1-ISNUMBER(SEARCH("556",M2657)))*(O2657*SUMIFS(Premissas!$C$5:$C$44,Premissas!$A$5:$A$44,$A2657,Premissas!$B$5:$B$44,$B2657)+P2657*SUMIFS(Premissas!$D$5:$D$44,Premissas!$A$5:$A$44,$A2657,Premissas!$B$5:$B$44,$B2657))+R2657*SUMIFS(Premissas!$E$5:$E$44,Premissas!$A$5:$A$44,$A2657,Premissas!$B$5:$B$44,$B2657)+S2657*SUMIFS(Premissas!$F$5:$F$44,Premissas!$A$5:$A$44,$A2657,Premissas!$B$5:$B$44,$B2657)</f>
        <v/>
      </c>
      <c r="L2657" s="29">
        <f>J2657-K2657</f>
        <v/>
      </c>
      <c r="M2657" t="inlineStr">
        <is>
          <t>1.350</t>
        </is>
      </c>
      <c r="N2657" t="inlineStr">
        <is>
          <t>Modalidade: 0 - Por conta do remetente | Parte: ARMARINHO CAMPEAO LTDA (38.065.759/0001-25)</t>
        </is>
      </c>
      <c r="O2657" s="29" t="n">
        <v>0</v>
      </c>
      <c r="P2657" s="29" t="n">
        <v>0</v>
      </c>
      <c r="Q2657" s="29" t="n">
        <v>0</v>
      </c>
      <c r="R2657" s="29" t="n">
        <v>0</v>
      </c>
      <c r="S2657" s="29" t="n">
        <v>0</v>
      </c>
      <c r="T2657" t="inlineStr">
        <is>
          <t>15241120175042000170570010000204511000000480</t>
        </is>
      </c>
      <c r="U2657" t="inlineStr">
        <is>
          <t>Não</t>
        </is>
      </c>
    </row>
    <row r="2658">
      <c r="A2658" t="inlineStr">
        <is>
          <t>Frete de venda</t>
        </is>
      </c>
      <c r="B2658" t="inlineStr">
        <is>
          <t>2.01.02 Frete sobre Vendas</t>
        </is>
      </c>
      <c r="C2658" t="inlineStr">
        <is>
          <t>Antes de 2026</t>
        </is>
      </c>
      <c r="D2658" t="inlineStr">
        <is>
          <t>Antes de 2026</t>
        </is>
      </c>
      <c r="E2658" s="28" t="n">
        <v>45600</v>
      </c>
      <c r="F2658" t="inlineStr">
        <is>
          <t>CT-e</t>
        </is>
      </c>
      <c r="G2658" t="inlineStr">
        <is>
          <t>000020452</t>
        </is>
      </c>
      <c r="H2658" t="inlineStr">
        <is>
          <t>TRANSPORTE OLIVEIRA E MELLOI - IDEALIZA TRANSPORTES</t>
        </is>
      </c>
      <c r="J2658" s="29" t="n">
        <v>595.55</v>
      </c>
      <c r="K2658" s="29">
        <f>(1-ISNUMBER(SEARCH("556",M2658)))*(O2658*SUMIFS(Premissas!$C$5:$C$44,Premissas!$A$5:$A$44,$A2658,Premissas!$B$5:$B$44,$B2658)+P2658*SUMIFS(Premissas!$D$5:$D$44,Premissas!$A$5:$A$44,$A2658,Premissas!$B$5:$B$44,$B2658))+R2658*SUMIFS(Premissas!$E$5:$E$44,Premissas!$A$5:$A$44,$A2658,Premissas!$B$5:$B$44,$B2658)+S2658*SUMIFS(Premissas!$F$5:$F$44,Premissas!$A$5:$A$44,$A2658,Premissas!$B$5:$B$44,$B2658)</f>
        <v/>
      </c>
      <c r="L2658" s="29">
        <f>J2658-K2658</f>
        <v/>
      </c>
      <c r="M2658" t="inlineStr">
        <is>
          <t>1.350</t>
        </is>
      </c>
      <c r="N2658" t="inlineStr">
        <is>
          <t>Modalidade: 0 - Por conta do remetente | Parte: K C O F DO NASCIMENTO (53.959.331/0001-10)</t>
        </is>
      </c>
      <c r="O2658" s="29" t="n">
        <v>0</v>
      </c>
      <c r="P2658" s="29" t="n">
        <v>0</v>
      </c>
      <c r="Q2658" s="29" t="n">
        <v>0</v>
      </c>
      <c r="R2658" s="29" t="n">
        <v>0</v>
      </c>
      <c r="S2658" s="29" t="n">
        <v>0</v>
      </c>
      <c r="T2658" t="inlineStr">
        <is>
          <t>15241120175042000170570010000204521000000495</t>
        </is>
      </c>
      <c r="U2658" t="inlineStr">
        <is>
          <t>Não</t>
        </is>
      </c>
    </row>
    <row r="2659">
      <c r="A2659" t="inlineStr">
        <is>
          <t>Frete de venda</t>
        </is>
      </c>
      <c r="B2659" t="inlineStr">
        <is>
          <t>2.01.02 Frete sobre Vendas</t>
        </is>
      </c>
      <c r="C2659" t="inlineStr">
        <is>
          <t>Antes de 2026</t>
        </is>
      </c>
      <c r="D2659" t="inlineStr">
        <is>
          <t>Antes de 2026</t>
        </is>
      </c>
      <c r="E2659" s="28" t="n">
        <v>45600</v>
      </c>
      <c r="F2659" t="inlineStr">
        <is>
          <t>CT-e</t>
        </is>
      </c>
      <c r="G2659" t="inlineStr">
        <is>
          <t>000020453</t>
        </is>
      </c>
      <c r="H2659" t="inlineStr">
        <is>
          <t>TRANSPORTE OLIVEIRA E MELLOI - IDEALIZA TRANSPORTES</t>
        </is>
      </c>
      <c r="J2659" s="29" t="n">
        <v>1542.26</v>
      </c>
      <c r="K2659" s="29">
        <f>(1-ISNUMBER(SEARCH("556",M2659)))*(O2659*SUMIFS(Premissas!$C$5:$C$44,Premissas!$A$5:$A$44,$A2659,Premissas!$B$5:$B$44,$B2659)+P2659*SUMIFS(Premissas!$D$5:$D$44,Premissas!$A$5:$A$44,$A2659,Premissas!$B$5:$B$44,$B2659))+R2659*SUMIFS(Premissas!$E$5:$E$44,Premissas!$A$5:$A$44,$A2659,Premissas!$B$5:$B$44,$B2659)+S2659*SUMIFS(Premissas!$F$5:$F$44,Premissas!$A$5:$A$44,$A2659,Premissas!$B$5:$B$44,$B2659)</f>
        <v/>
      </c>
      <c r="L2659" s="29">
        <f>J2659-K2659</f>
        <v/>
      </c>
      <c r="M2659" t="inlineStr">
        <is>
          <t>1.350</t>
        </is>
      </c>
      <c r="N2659" t="inlineStr">
        <is>
          <t>Modalidade: 0 - Por conta do remetente | Parte: LIDER INDUSTRIA E COMERCIO LTDA (45.762.979/0001-73)</t>
        </is>
      </c>
      <c r="O2659" s="29" t="n">
        <v>0</v>
      </c>
      <c r="P2659" s="29" t="n">
        <v>0</v>
      </c>
      <c r="Q2659" s="29" t="n">
        <v>0</v>
      </c>
      <c r="R2659" s="29" t="n">
        <v>0</v>
      </c>
      <c r="S2659" s="29" t="n">
        <v>0</v>
      </c>
      <c r="T2659" t="inlineStr">
        <is>
          <t>15241120175042000170570010000204531000000506</t>
        </is>
      </c>
      <c r="U2659" t="inlineStr">
        <is>
          <t>Não</t>
        </is>
      </c>
    </row>
    <row r="2660">
      <c r="A2660" t="inlineStr">
        <is>
          <t>Frete de venda</t>
        </is>
      </c>
      <c r="B2660" t="inlineStr">
        <is>
          <t>2.01.02 Frete sobre Vendas</t>
        </is>
      </c>
      <c r="C2660" t="inlineStr">
        <is>
          <t>Antes de 2026</t>
        </is>
      </c>
      <c r="D2660" t="inlineStr">
        <is>
          <t>Antes de 2026</t>
        </is>
      </c>
      <c r="E2660" s="28" t="n">
        <v>45600</v>
      </c>
      <c r="F2660" t="inlineStr">
        <is>
          <t>CT-e</t>
        </is>
      </c>
      <c r="G2660" t="inlineStr">
        <is>
          <t>000020454</t>
        </is>
      </c>
      <c r="H2660" t="inlineStr">
        <is>
          <t>TRANSPORTE OLIVEIRA E MELLOI - IDEALIZA TRANSPORTES</t>
        </is>
      </c>
      <c r="J2660" s="29" t="n">
        <v>1171.34</v>
      </c>
      <c r="K2660" s="29">
        <f>(1-ISNUMBER(SEARCH("556",M2660)))*(O2660*SUMIFS(Premissas!$C$5:$C$44,Premissas!$A$5:$A$44,$A2660,Premissas!$B$5:$B$44,$B2660)+P2660*SUMIFS(Premissas!$D$5:$D$44,Premissas!$A$5:$A$44,$A2660,Premissas!$B$5:$B$44,$B2660))+R2660*SUMIFS(Premissas!$E$5:$E$44,Premissas!$A$5:$A$44,$A2660,Premissas!$B$5:$B$44,$B2660)+S2660*SUMIFS(Premissas!$F$5:$F$44,Premissas!$A$5:$A$44,$A2660,Premissas!$B$5:$B$44,$B2660)</f>
        <v/>
      </c>
      <c r="L2660" s="29">
        <f>J2660-K2660</f>
        <v/>
      </c>
      <c r="M2660" t="inlineStr">
        <is>
          <t>1.350</t>
        </is>
      </c>
      <c r="N2660" t="inlineStr">
        <is>
          <t>Modalidade: 0 - Por conta do remetente | Parte: PLASMAR COMERCIO DE PRODUTOS DESCARTAVEIS LTDA (09.354.922/0001-71)</t>
        </is>
      </c>
      <c r="O2660" s="29" t="n">
        <v>0</v>
      </c>
      <c r="P2660" s="29" t="n">
        <v>0</v>
      </c>
      <c r="Q2660" s="29" t="n">
        <v>0</v>
      </c>
      <c r="R2660" s="29" t="n">
        <v>0</v>
      </c>
      <c r="S2660" s="29" t="n">
        <v>0</v>
      </c>
      <c r="T2660" t="inlineStr">
        <is>
          <t>15241120175042000170570010000204541000000511</t>
        </is>
      </c>
      <c r="U2660" t="inlineStr">
        <is>
          <t>Não</t>
        </is>
      </c>
    </row>
    <row r="2661">
      <c r="A2661" t="inlineStr">
        <is>
          <t>Frete de venda</t>
        </is>
      </c>
      <c r="B2661" t="inlineStr">
        <is>
          <t>2.01.02 Frete sobre Vendas</t>
        </is>
      </c>
      <c r="C2661" t="inlineStr">
        <is>
          <t>Antes de 2026</t>
        </is>
      </c>
      <c r="D2661" t="inlineStr">
        <is>
          <t>Antes de 2026</t>
        </is>
      </c>
      <c r="E2661" s="28" t="n">
        <v>45600</v>
      </c>
      <c r="F2661" t="inlineStr">
        <is>
          <t>CT-e</t>
        </is>
      </c>
      <c r="G2661" t="inlineStr">
        <is>
          <t>000020455</t>
        </is>
      </c>
      <c r="H2661" t="inlineStr">
        <is>
          <t>TRANSPORTE OLIVEIRA E MELLOI - IDEALIZA TRANSPORTES</t>
        </is>
      </c>
      <c r="J2661" s="29" t="n">
        <v>473.93</v>
      </c>
      <c r="K2661" s="29">
        <f>(1-ISNUMBER(SEARCH("556",M2661)))*(O2661*SUMIFS(Premissas!$C$5:$C$44,Premissas!$A$5:$A$44,$A2661,Premissas!$B$5:$B$44,$B2661)+P2661*SUMIFS(Premissas!$D$5:$D$44,Premissas!$A$5:$A$44,$A2661,Premissas!$B$5:$B$44,$B2661))+R2661*SUMIFS(Premissas!$E$5:$E$44,Premissas!$A$5:$A$44,$A2661,Premissas!$B$5:$B$44,$B2661)+S2661*SUMIFS(Premissas!$F$5:$F$44,Premissas!$A$5:$A$44,$A2661,Premissas!$B$5:$B$44,$B2661)</f>
        <v/>
      </c>
      <c r="L2661" s="29">
        <f>J2661-K2661</f>
        <v/>
      </c>
      <c r="M2661" t="inlineStr">
        <is>
          <t>1.350</t>
        </is>
      </c>
      <c r="N2661" t="inlineStr">
        <is>
          <t>Modalidade: 0 - Por conta do remetente | Parte: CAVALCANTE E LAGES LTDA (06.120.924/0001-08)</t>
        </is>
      </c>
      <c r="O2661" s="29" t="n">
        <v>0</v>
      </c>
      <c r="P2661" s="29" t="n">
        <v>0</v>
      </c>
      <c r="Q2661" s="29" t="n">
        <v>0</v>
      </c>
      <c r="R2661" s="29" t="n">
        <v>0</v>
      </c>
      <c r="S2661" s="29" t="n">
        <v>0</v>
      </c>
      <c r="T2661" t="inlineStr">
        <is>
          <t>15241120175042000170570010000204551000000527</t>
        </is>
      </c>
      <c r="U2661" t="inlineStr">
        <is>
          <t>Não</t>
        </is>
      </c>
    </row>
    <row r="2662">
      <c r="A2662" t="inlineStr">
        <is>
          <t>Frete de venda</t>
        </is>
      </c>
      <c r="B2662" t="inlineStr">
        <is>
          <t>2.01.02 Frete sobre Vendas</t>
        </is>
      </c>
      <c r="C2662" t="inlineStr">
        <is>
          <t>Antes de 2026</t>
        </is>
      </c>
      <c r="D2662" t="inlineStr">
        <is>
          <t>Antes de 2026</t>
        </is>
      </c>
      <c r="E2662" s="28" t="n">
        <v>45600</v>
      </c>
      <c r="F2662" t="inlineStr">
        <is>
          <t>CT-e</t>
        </is>
      </c>
      <c r="G2662" t="inlineStr">
        <is>
          <t>000020456</t>
        </is>
      </c>
      <c r="H2662" t="inlineStr">
        <is>
          <t>TRANSPORTE OLIVEIRA E MELLOI - IDEALIZA TRANSPORTES</t>
        </is>
      </c>
      <c r="J2662" s="29" t="n">
        <v>755.62</v>
      </c>
      <c r="K2662" s="29">
        <f>(1-ISNUMBER(SEARCH("556",M2662)))*(O2662*SUMIFS(Premissas!$C$5:$C$44,Premissas!$A$5:$A$44,$A2662,Premissas!$B$5:$B$44,$B2662)+P2662*SUMIFS(Premissas!$D$5:$D$44,Premissas!$A$5:$A$44,$A2662,Premissas!$B$5:$B$44,$B2662))+R2662*SUMIFS(Premissas!$E$5:$E$44,Premissas!$A$5:$A$44,$A2662,Premissas!$B$5:$B$44,$B2662)+S2662*SUMIFS(Premissas!$F$5:$F$44,Premissas!$A$5:$A$44,$A2662,Premissas!$B$5:$B$44,$B2662)</f>
        <v/>
      </c>
      <c r="L2662" s="29">
        <f>J2662-K2662</f>
        <v/>
      </c>
      <c r="M2662" t="inlineStr">
        <is>
          <t>1.350</t>
        </is>
      </c>
      <c r="N2662" t="inlineStr">
        <is>
          <t>Modalidade: 0 - Por conta do remetente | Parte: PIAUI PLAST EIRELI (37.914.034/0001-00)</t>
        </is>
      </c>
      <c r="O2662" s="29" t="n">
        <v>0</v>
      </c>
      <c r="P2662" s="29" t="n">
        <v>0</v>
      </c>
      <c r="Q2662" s="29" t="n">
        <v>0</v>
      </c>
      <c r="R2662" s="29" t="n">
        <v>0</v>
      </c>
      <c r="S2662" s="29" t="n">
        <v>0</v>
      </c>
      <c r="T2662" t="inlineStr">
        <is>
          <t>15241120175042000170570010000204561000000532</t>
        </is>
      </c>
      <c r="U2662" t="inlineStr">
        <is>
          <t>Não</t>
        </is>
      </c>
    </row>
    <row r="2663">
      <c r="A2663" t="inlineStr">
        <is>
          <t>Frete de venda</t>
        </is>
      </c>
      <c r="B2663" t="inlineStr">
        <is>
          <t>2.01.02 Frete sobre Vendas</t>
        </is>
      </c>
      <c r="C2663" t="inlineStr">
        <is>
          <t>Antes de 2026</t>
        </is>
      </c>
      <c r="D2663" t="inlineStr">
        <is>
          <t>Antes de 2026</t>
        </is>
      </c>
      <c r="E2663" s="28" t="n">
        <v>45600</v>
      </c>
      <c r="F2663" t="inlineStr">
        <is>
          <t>CT-e</t>
        </is>
      </c>
      <c r="G2663" t="inlineStr">
        <is>
          <t>000020457</t>
        </is>
      </c>
      <c r="H2663" t="inlineStr">
        <is>
          <t>TRANSPORTE OLIVEIRA E MELLOI - IDEALIZA TRANSPORTES</t>
        </is>
      </c>
      <c r="J2663" s="29" t="n">
        <v>269.46</v>
      </c>
      <c r="K2663" s="29">
        <f>(1-ISNUMBER(SEARCH("556",M2663)))*(O2663*SUMIFS(Premissas!$C$5:$C$44,Premissas!$A$5:$A$44,$A2663,Premissas!$B$5:$B$44,$B2663)+P2663*SUMIFS(Premissas!$D$5:$D$44,Premissas!$A$5:$A$44,$A2663,Premissas!$B$5:$B$44,$B2663))+R2663*SUMIFS(Premissas!$E$5:$E$44,Premissas!$A$5:$A$44,$A2663,Premissas!$B$5:$B$44,$B2663)+S2663*SUMIFS(Premissas!$F$5:$F$44,Premissas!$A$5:$A$44,$A2663,Premissas!$B$5:$B$44,$B2663)</f>
        <v/>
      </c>
      <c r="L2663" s="29">
        <f>J2663-K2663</f>
        <v/>
      </c>
      <c r="M2663" t="inlineStr">
        <is>
          <t>1.350</t>
        </is>
      </c>
      <c r="N2663" t="inlineStr">
        <is>
          <t>Modalidade: 0 - Por conta do remetente | Parte: IBIAPINA VARIEDADES LTDA (46.211.356/0001-75)</t>
        </is>
      </c>
      <c r="O2663" s="29" t="n">
        <v>0</v>
      </c>
      <c r="P2663" s="29" t="n">
        <v>0</v>
      </c>
      <c r="Q2663" s="29" t="n">
        <v>0</v>
      </c>
      <c r="R2663" s="29" t="n">
        <v>0</v>
      </c>
      <c r="S2663" s="29" t="n">
        <v>0</v>
      </c>
      <c r="T2663" t="inlineStr">
        <is>
          <t>15241120175042000170570010000204571000000548</t>
        </is>
      </c>
      <c r="U2663" t="inlineStr">
        <is>
          <t>Não</t>
        </is>
      </c>
    </row>
    <row r="2664">
      <c r="A2664" t="inlineStr">
        <is>
          <t>Frete de venda</t>
        </is>
      </c>
      <c r="B2664" t="inlineStr">
        <is>
          <t>2.01.02 Frete sobre Vendas</t>
        </is>
      </c>
      <c r="C2664" t="inlineStr">
        <is>
          <t>Antes de 2026</t>
        </is>
      </c>
      <c r="D2664" t="inlineStr">
        <is>
          <t>Antes de 2026</t>
        </is>
      </c>
      <c r="E2664" s="28" t="n">
        <v>45600</v>
      </c>
      <c r="F2664" t="inlineStr">
        <is>
          <t>CT-e</t>
        </is>
      </c>
      <c r="G2664" t="inlineStr">
        <is>
          <t>000020458</t>
        </is>
      </c>
      <c r="H2664" t="inlineStr">
        <is>
          <t>TRANSPORTE OLIVEIRA E MELLOI - IDEALIZA TRANSPORTES</t>
        </is>
      </c>
      <c r="J2664" s="29" t="n">
        <v>318.63</v>
      </c>
      <c r="K2664" s="29">
        <f>(1-ISNUMBER(SEARCH("556",M2664)))*(O2664*SUMIFS(Premissas!$C$5:$C$44,Premissas!$A$5:$A$44,$A2664,Premissas!$B$5:$B$44,$B2664)+P2664*SUMIFS(Premissas!$D$5:$D$44,Premissas!$A$5:$A$44,$A2664,Premissas!$B$5:$B$44,$B2664))+R2664*SUMIFS(Premissas!$E$5:$E$44,Premissas!$A$5:$A$44,$A2664,Premissas!$B$5:$B$44,$B2664)+S2664*SUMIFS(Premissas!$F$5:$F$44,Premissas!$A$5:$A$44,$A2664,Premissas!$B$5:$B$44,$B2664)</f>
        <v/>
      </c>
      <c r="L2664" s="29">
        <f>J2664-K2664</f>
        <v/>
      </c>
      <c r="M2664" t="inlineStr">
        <is>
          <t>1.350</t>
        </is>
      </c>
      <c r="N2664" t="inlineStr">
        <is>
          <t>Modalidade: 0 - Por conta do remetente | Parte: A. S. MALAMAO LTDA (18.965.796/0001-82)</t>
        </is>
      </c>
      <c r="O2664" s="29" t="n">
        <v>0</v>
      </c>
      <c r="P2664" s="29" t="n">
        <v>0</v>
      </c>
      <c r="Q2664" s="29" t="n">
        <v>0</v>
      </c>
      <c r="R2664" s="29" t="n">
        <v>0</v>
      </c>
      <c r="S2664" s="29" t="n">
        <v>0</v>
      </c>
      <c r="T2664" t="inlineStr">
        <is>
          <t>15241120175042000170570010000204581000000553</t>
        </is>
      </c>
      <c r="U2664" t="inlineStr">
        <is>
          <t>Não</t>
        </is>
      </c>
    </row>
    <row r="2665">
      <c r="A2665" t="inlineStr">
        <is>
          <t>Frete de venda</t>
        </is>
      </c>
      <c r="B2665" t="inlineStr">
        <is>
          <t>2.01.02 Frete sobre Vendas</t>
        </is>
      </c>
      <c r="C2665" t="inlineStr">
        <is>
          <t>Antes de 2026</t>
        </is>
      </c>
      <c r="D2665" t="inlineStr">
        <is>
          <t>Antes de 2026</t>
        </is>
      </c>
      <c r="E2665" s="28" t="n">
        <v>45685</v>
      </c>
      <c r="F2665" t="inlineStr">
        <is>
          <t>CT-e</t>
        </is>
      </c>
      <c r="G2665" t="inlineStr">
        <is>
          <t>000020879</t>
        </is>
      </c>
      <c r="H2665" t="inlineStr">
        <is>
          <t>TRANSPORTE OLIVEIRA E MELLOI - IDEALIZA TRANSPORTES</t>
        </is>
      </c>
      <c r="J2665" s="29" t="n">
        <v>256.9</v>
      </c>
      <c r="K2665" s="29">
        <f>(1-ISNUMBER(SEARCH("556",M2665)))*(O2665*SUMIFS(Premissas!$C$5:$C$44,Premissas!$A$5:$A$44,$A2665,Premissas!$B$5:$B$44,$B2665)+P2665*SUMIFS(Premissas!$D$5:$D$44,Premissas!$A$5:$A$44,$A2665,Premissas!$B$5:$B$44,$B2665))+R2665*SUMIFS(Premissas!$E$5:$E$44,Premissas!$A$5:$A$44,$A2665,Premissas!$B$5:$B$44,$B2665)+S2665*SUMIFS(Premissas!$F$5:$F$44,Premissas!$A$5:$A$44,$A2665,Premissas!$B$5:$B$44,$B2665)</f>
        <v/>
      </c>
      <c r="L2665" s="29">
        <f>J2665-K2665</f>
        <v/>
      </c>
      <c r="M2665" t="inlineStr">
        <is>
          <t>1.350</t>
        </is>
      </c>
      <c r="N2665" t="inlineStr">
        <is>
          <t>Modalidade: 0 - Por conta do remetente | Parte: JAMES L. H. TOME e CIA LTDA (16.965.024/0002-04)</t>
        </is>
      </c>
      <c r="O2665" s="29" t="n">
        <v>0</v>
      </c>
      <c r="P2665" s="29" t="n">
        <v>0</v>
      </c>
      <c r="Q2665" s="29" t="n">
        <v>0</v>
      </c>
      <c r="R2665" s="29" t="n">
        <v>0</v>
      </c>
      <c r="S2665" s="29" t="n">
        <v>0</v>
      </c>
      <c r="T2665" t="inlineStr">
        <is>
          <t>15250120175042000170570010000208791000005858</t>
        </is>
      </c>
      <c r="U2665" t="inlineStr">
        <is>
          <t>Não</t>
        </is>
      </c>
    </row>
    <row r="2666">
      <c r="A2666" t="inlineStr">
        <is>
          <t>Frete de venda</t>
        </is>
      </c>
      <c r="B2666" t="inlineStr">
        <is>
          <t>2.01.02 Frete sobre Vendas</t>
        </is>
      </c>
      <c r="C2666" t="inlineStr">
        <is>
          <t>Antes de 2026</t>
        </is>
      </c>
      <c r="D2666" t="inlineStr">
        <is>
          <t>Antes de 2026</t>
        </is>
      </c>
      <c r="E2666" s="28" t="n">
        <v>45685</v>
      </c>
      <c r="F2666" t="inlineStr">
        <is>
          <t>CT-e</t>
        </is>
      </c>
      <c r="G2666" t="inlineStr">
        <is>
          <t>000020881</t>
        </is>
      </c>
      <c r="H2666" t="inlineStr">
        <is>
          <t>TRANSPORTE OLIVEIRA E MELLOI - IDEALIZA TRANSPORTES</t>
        </is>
      </c>
      <c r="J2666" s="29" t="n">
        <v>1019.44</v>
      </c>
      <c r="K2666" s="29">
        <f>(1-ISNUMBER(SEARCH("556",M2666)))*(O2666*SUMIFS(Premissas!$C$5:$C$44,Premissas!$A$5:$A$44,$A2666,Premissas!$B$5:$B$44,$B2666)+P2666*SUMIFS(Premissas!$D$5:$D$44,Premissas!$A$5:$A$44,$A2666,Premissas!$B$5:$B$44,$B2666))+R2666*SUMIFS(Premissas!$E$5:$E$44,Premissas!$A$5:$A$44,$A2666,Premissas!$B$5:$B$44,$B2666)+S2666*SUMIFS(Premissas!$F$5:$F$44,Premissas!$A$5:$A$44,$A2666,Premissas!$B$5:$B$44,$B2666)</f>
        <v/>
      </c>
      <c r="L2666" s="29">
        <f>J2666-K2666</f>
        <v/>
      </c>
      <c r="M2666" t="inlineStr">
        <is>
          <t>1.350</t>
        </is>
      </c>
      <c r="N2666" t="inlineStr">
        <is>
          <t>Modalidade: 0 - Por conta do remetente | Parte: LIDER INDUSTRIA E COMERCIO LTDA (45.762.979/0001-73)</t>
        </is>
      </c>
      <c r="O2666" s="29" t="n">
        <v>0</v>
      </c>
      <c r="P2666" s="29" t="n">
        <v>0</v>
      </c>
      <c r="Q2666" s="29" t="n">
        <v>0</v>
      </c>
      <c r="R2666" s="29" t="n">
        <v>0</v>
      </c>
      <c r="S2666" s="29" t="n">
        <v>0</v>
      </c>
      <c r="T2666" t="inlineStr">
        <is>
          <t>15250120175042000170570010000208811000005872</t>
        </is>
      </c>
      <c r="U2666" t="inlineStr">
        <is>
          <t>Não</t>
        </is>
      </c>
    </row>
    <row r="2667">
      <c r="A2667" t="inlineStr">
        <is>
          <t>Frete de venda</t>
        </is>
      </c>
      <c r="B2667" t="inlineStr">
        <is>
          <t>2.01.02 Frete sobre Vendas</t>
        </is>
      </c>
      <c r="C2667" t="inlineStr">
        <is>
          <t>Antes de 2026</t>
        </is>
      </c>
      <c r="D2667" t="inlineStr">
        <is>
          <t>Antes de 2026</t>
        </is>
      </c>
      <c r="E2667" s="28" t="n">
        <v>45685</v>
      </c>
      <c r="F2667" t="inlineStr">
        <is>
          <t>CT-e</t>
        </is>
      </c>
      <c r="G2667" t="inlineStr">
        <is>
          <t>000020882</t>
        </is>
      </c>
      <c r="H2667" t="inlineStr">
        <is>
          <t>TRANSPORTE OLIVEIRA E MELLOI - IDEALIZA TRANSPORTES</t>
        </is>
      </c>
      <c r="J2667" s="29" t="n">
        <v>503.84</v>
      </c>
      <c r="K2667" s="29">
        <f>(1-ISNUMBER(SEARCH("556",M2667)))*(O2667*SUMIFS(Premissas!$C$5:$C$44,Premissas!$A$5:$A$44,$A2667,Premissas!$B$5:$B$44,$B2667)+P2667*SUMIFS(Premissas!$D$5:$D$44,Premissas!$A$5:$A$44,$A2667,Premissas!$B$5:$B$44,$B2667))+R2667*SUMIFS(Premissas!$E$5:$E$44,Premissas!$A$5:$A$44,$A2667,Premissas!$B$5:$B$44,$B2667)+S2667*SUMIFS(Premissas!$F$5:$F$44,Premissas!$A$5:$A$44,$A2667,Premissas!$B$5:$B$44,$B2667)</f>
        <v/>
      </c>
      <c r="L2667" s="29">
        <f>J2667-K2667</f>
        <v/>
      </c>
      <c r="M2667" t="inlineStr">
        <is>
          <t>1.350</t>
        </is>
      </c>
      <c r="N2667" t="inlineStr">
        <is>
          <t>Modalidade: 0 - Por conta do remetente | Parte: R A DOS SANTOS BARBOSA LTDA (02.444.236/0001-42)</t>
        </is>
      </c>
      <c r="O2667" s="29" t="n">
        <v>0</v>
      </c>
      <c r="P2667" s="29" t="n">
        <v>0</v>
      </c>
      <c r="Q2667" s="29" t="n">
        <v>0</v>
      </c>
      <c r="R2667" s="29" t="n">
        <v>0</v>
      </c>
      <c r="S2667" s="29" t="n">
        <v>0</v>
      </c>
      <c r="T2667" t="inlineStr">
        <is>
          <t>15250120175042000170570010000208821000005888</t>
        </is>
      </c>
      <c r="U2667" t="inlineStr">
        <is>
          <t>Não</t>
        </is>
      </c>
    </row>
    <row r="2668">
      <c r="A2668" t="inlineStr">
        <is>
          <t>Frete de venda</t>
        </is>
      </c>
      <c r="B2668" t="inlineStr">
        <is>
          <t>2.01.02 Frete sobre Vendas</t>
        </is>
      </c>
      <c r="C2668" t="inlineStr">
        <is>
          <t>Antes de 2026</t>
        </is>
      </c>
      <c r="D2668" t="inlineStr">
        <is>
          <t>Antes de 2026</t>
        </is>
      </c>
      <c r="E2668" s="28" t="n">
        <v>45685</v>
      </c>
      <c r="F2668" t="inlineStr">
        <is>
          <t>CT-e</t>
        </is>
      </c>
      <c r="G2668" t="inlineStr">
        <is>
          <t>000020883</t>
        </is>
      </c>
      <c r="H2668" t="inlineStr">
        <is>
          <t>TRANSPORTE OLIVEIRA E MELLOI - IDEALIZA TRANSPORTES</t>
        </is>
      </c>
      <c r="J2668" s="29" t="n">
        <v>134.4</v>
      </c>
      <c r="K2668" s="29">
        <f>(1-ISNUMBER(SEARCH("556",M2668)))*(O2668*SUMIFS(Premissas!$C$5:$C$44,Premissas!$A$5:$A$44,$A2668,Premissas!$B$5:$B$44,$B2668)+P2668*SUMIFS(Premissas!$D$5:$D$44,Premissas!$A$5:$A$44,$A2668,Premissas!$B$5:$B$44,$B2668))+R2668*SUMIFS(Premissas!$E$5:$E$44,Premissas!$A$5:$A$44,$A2668,Premissas!$B$5:$B$44,$B2668)+S2668*SUMIFS(Premissas!$F$5:$F$44,Premissas!$A$5:$A$44,$A2668,Premissas!$B$5:$B$44,$B2668)</f>
        <v/>
      </c>
      <c r="L2668" s="29">
        <f>J2668-K2668</f>
        <v/>
      </c>
      <c r="M2668" t="inlineStr">
        <is>
          <t>1.350</t>
        </is>
      </c>
      <c r="N2668" t="inlineStr">
        <is>
          <t>Modalidade: 0 - Por conta do remetente | Parte: PORTUGAL COMERCIO DE PRODUTOS DESCARTAVEIS LTDA (83.349.563/0001-17)</t>
        </is>
      </c>
      <c r="O2668" s="29" t="n">
        <v>0</v>
      </c>
      <c r="P2668" s="29" t="n">
        <v>0</v>
      </c>
      <c r="Q2668" s="29" t="n">
        <v>0</v>
      </c>
      <c r="R2668" s="29" t="n">
        <v>0</v>
      </c>
      <c r="S2668" s="29" t="n">
        <v>0</v>
      </c>
      <c r="T2668" t="inlineStr">
        <is>
          <t>15250120175042000170570010000208831000005893</t>
        </is>
      </c>
      <c r="U2668" t="inlineStr">
        <is>
          <t>Não</t>
        </is>
      </c>
    </row>
    <row r="2669">
      <c r="A2669" t="inlineStr">
        <is>
          <t>Frete de venda</t>
        </is>
      </c>
      <c r="B2669" t="inlineStr">
        <is>
          <t>2.01.02 Frete sobre Vendas</t>
        </is>
      </c>
      <c r="C2669" t="inlineStr">
        <is>
          <t>Antes de 2026</t>
        </is>
      </c>
      <c r="D2669" t="inlineStr">
        <is>
          <t>Antes de 2026</t>
        </is>
      </c>
      <c r="E2669" s="28" t="n">
        <v>45685</v>
      </c>
      <c r="F2669" t="inlineStr">
        <is>
          <t>CT-e</t>
        </is>
      </c>
      <c r="G2669" t="inlineStr">
        <is>
          <t>000020884</t>
        </is>
      </c>
      <c r="H2669" t="inlineStr">
        <is>
          <t>TRANSPORTE OLIVEIRA E MELLOI - IDEALIZA TRANSPORTES</t>
        </is>
      </c>
      <c r="J2669" s="29" t="n">
        <v>130.55</v>
      </c>
      <c r="K2669" s="29">
        <f>(1-ISNUMBER(SEARCH("556",M2669)))*(O2669*SUMIFS(Premissas!$C$5:$C$44,Premissas!$A$5:$A$44,$A2669,Premissas!$B$5:$B$44,$B2669)+P2669*SUMIFS(Premissas!$D$5:$D$44,Premissas!$A$5:$A$44,$A2669,Premissas!$B$5:$B$44,$B2669))+R2669*SUMIFS(Premissas!$E$5:$E$44,Premissas!$A$5:$A$44,$A2669,Premissas!$B$5:$B$44,$B2669)+S2669*SUMIFS(Premissas!$F$5:$F$44,Premissas!$A$5:$A$44,$A2669,Premissas!$B$5:$B$44,$B2669)</f>
        <v/>
      </c>
      <c r="L2669" s="29">
        <f>J2669-K2669</f>
        <v/>
      </c>
      <c r="M2669" t="inlineStr">
        <is>
          <t>1.350</t>
        </is>
      </c>
      <c r="N2669" t="inlineStr">
        <is>
          <t>Modalidade: 0 - Por conta do remetente | Parte: PORTUGAL COMERCIO DE PRODUTOS DESCARTAVEIS LTDA (83.349.563/0003-89)</t>
        </is>
      </c>
      <c r="O2669" s="29" t="n">
        <v>0</v>
      </c>
      <c r="P2669" s="29" t="n">
        <v>0</v>
      </c>
      <c r="Q2669" s="29" t="n">
        <v>0</v>
      </c>
      <c r="R2669" s="29" t="n">
        <v>0</v>
      </c>
      <c r="S2669" s="29" t="n">
        <v>0</v>
      </c>
      <c r="T2669" t="inlineStr">
        <is>
          <t>15250120175042000170570010000208841000005904</t>
        </is>
      </c>
      <c r="U2669" t="inlineStr">
        <is>
          <t>Não</t>
        </is>
      </c>
    </row>
    <row r="2670">
      <c r="A2670" t="inlineStr">
        <is>
          <t>Frete de venda</t>
        </is>
      </c>
      <c r="B2670" t="inlineStr">
        <is>
          <t>2.01.02 Frete sobre Vendas</t>
        </is>
      </c>
      <c r="C2670" t="inlineStr">
        <is>
          <t>Antes de 2026</t>
        </is>
      </c>
      <c r="D2670" t="inlineStr">
        <is>
          <t>Antes de 2026</t>
        </is>
      </c>
      <c r="E2670" s="28" t="n">
        <v>45685</v>
      </c>
      <c r="F2670" t="inlineStr">
        <is>
          <t>CT-e</t>
        </is>
      </c>
      <c r="G2670" t="inlineStr">
        <is>
          <t>000020885</t>
        </is>
      </c>
      <c r="H2670" t="inlineStr">
        <is>
          <t>TRANSPORTE OLIVEIRA E MELLOI - IDEALIZA TRANSPORTES</t>
        </is>
      </c>
      <c r="J2670" s="29" t="n">
        <v>217.35</v>
      </c>
      <c r="K2670" s="29">
        <f>(1-ISNUMBER(SEARCH("556",M2670)))*(O2670*SUMIFS(Premissas!$C$5:$C$44,Premissas!$A$5:$A$44,$A2670,Premissas!$B$5:$B$44,$B2670)+P2670*SUMIFS(Premissas!$D$5:$D$44,Premissas!$A$5:$A$44,$A2670,Premissas!$B$5:$B$44,$B2670))+R2670*SUMIFS(Premissas!$E$5:$E$44,Premissas!$A$5:$A$44,$A2670,Premissas!$B$5:$B$44,$B2670)+S2670*SUMIFS(Premissas!$F$5:$F$44,Premissas!$A$5:$A$44,$A2670,Premissas!$B$5:$B$44,$B2670)</f>
        <v/>
      </c>
      <c r="L2670" s="29">
        <f>J2670-K2670</f>
        <v/>
      </c>
      <c r="M2670" t="inlineStr">
        <is>
          <t>1.350</t>
        </is>
      </c>
      <c r="N2670" t="inlineStr">
        <is>
          <t>Modalidade: 0 - Por conta do remetente | Parte: JAMES L. H. TOME e CIA LTDA (16.965.024/0001-15)</t>
        </is>
      </c>
      <c r="O2670" s="29" t="n">
        <v>0</v>
      </c>
      <c r="P2670" s="29" t="n">
        <v>0</v>
      </c>
      <c r="Q2670" s="29" t="n">
        <v>0</v>
      </c>
      <c r="R2670" s="29" t="n">
        <v>0</v>
      </c>
      <c r="S2670" s="29" t="n">
        <v>0</v>
      </c>
      <c r="T2670" t="inlineStr">
        <is>
          <t>15250120175042000170570010000208851000005910</t>
        </is>
      </c>
      <c r="U2670" t="inlineStr">
        <is>
          <t>Não</t>
        </is>
      </c>
    </row>
    <row r="2671">
      <c r="A2671" t="inlineStr">
        <is>
          <t>Frete de venda</t>
        </is>
      </c>
      <c r="B2671" t="inlineStr">
        <is>
          <t>2.01.02 Frete sobre Vendas</t>
        </is>
      </c>
      <c r="C2671" t="inlineStr">
        <is>
          <t>Antes de 2026</t>
        </is>
      </c>
      <c r="D2671" t="inlineStr">
        <is>
          <t>Antes de 2026</t>
        </is>
      </c>
      <c r="E2671" s="28" t="n">
        <v>45685</v>
      </c>
      <c r="F2671" t="inlineStr">
        <is>
          <t>CT-e</t>
        </is>
      </c>
      <c r="G2671" t="inlineStr">
        <is>
          <t>000020886</t>
        </is>
      </c>
      <c r="H2671" t="inlineStr">
        <is>
          <t>TRANSPORTE OLIVEIRA E MELLOI - IDEALIZA TRANSPORTES</t>
        </is>
      </c>
      <c r="J2671" s="29" t="n">
        <v>119.7</v>
      </c>
      <c r="K2671" s="29">
        <f>(1-ISNUMBER(SEARCH("556",M2671)))*(O2671*SUMIFS(Premissas!$C$5:$C$44,Premissas!$A$5:$A$44,$A2671,Premissas!$B$5:$B$44,$B2671)+P2671*SUMIFS(Premissas!$D$5:$D$44,Premissas!$A$5:$A$44,$A2671,Premissas!$B$5:$B$44,$B2671))+R2671*SUMIFS(Premissas!$E$5:$E$44,Premissas!$A$5:$A$44,$A2671,Premissas!$B$5:$B$44,$B2671)+S2671*SUMIFS(Premissas!$F$5:$F$44,Premissas!$A$5:$A$44,$A2671,Premissas!$B$5:$B$44,$B2671)</f>
        <v/>
      </c>
      <c r="L2671" s="29">
        <f>J2671-K2671</f>
        <v/>
      </c>
      <c r="M2671" t="inlineStr">
        <is>
          <t>1.350</t>
        </is>
      </c>
      <c r="N2671" t="inlineStr">
        <is>
          <t>Modalidade: 0 - Por conta do remetente | Parte: JAMES L H TOME e CIA LTDA (16.965.024/0008-91)</t>
        </is>
      </c>
      <c r="O2671" s="29" t="n">
        <v>0</v>
      </c>
      <c r="P2671" s="29" t="n">
        <v>0</v>
      </c>
      <c r="Q2671" s="29" t="n">
        <v>0</v>
      </c>
      <c r="R2671" s="29" t="n">
        <v>0</v>
      </c>
      <c r="S2671" s="29" t="n">
        <v>0</v>
      </c>
      <c r="T2671" t="inlineStr">
        <is>
          <t>15250120175042000170570010000208861000005925</t>
        </is>
      </c>
      <c r="U2671" t="inlineStr">
        <is>
          <t>Não</t>
        </is>
      </c>
    </row>
    <row r="2672">
      <c r="A2672" t="inlineStr">
        <is>
          <t>Frete de venda</t>
        </is>
      </c>
      <c r="B2672" t="inlineStr">
        <is>
          <t>2.01.02 Frete sobre Vendas</t>
        </is>
      </c>
      <c r="C2672" t="inlineStr">
        <is>
          <t>Antes de 2026</t>
        </is>
      </c>
      <c r="D2672" t="inlineStr">
        <is>
          <t>Antes de 2026</t>
        </is>
      </c>
      <c r="E2672" s="28" t="n">
        <v>45685</v>
      </c>
      <c r="F2672" t="inlineStr">
        <is>
          <t>CT-e</t>
        </is>
      </c>
      <c r="G2672" t="inlineStr">
        <is>
          <t>000020887</t>
        </is>
      </c>
      <c r="H2672" t="inlineStr">
        <is>
          <t>TRANSPORTE OLIVEIRA E MELLOI - IDEALIZA TRANSPORTES</t>
        </is>
      </c>
      <c r="J2672" s="29" t="n">
        <v>216.3</v>
      </c>
      <c r="K2672" s="29">
        <f>(1-ISNUMBER(SEARCH("556",M2672)))*(O2672*SUMIFS(Premissas!$C$5:$C$44,Premissas!$A$5:$A$44,$A2672,Premissas!$B$5:$B$44,$B2672)+P2672*SUMIFS(Premissas!$D$5:$D$44,Premissas!$A$5:$A$44,$A2672,Premissas!$B$5:$B$44,$B2672))+R2672*SUMIFS(Premissas!$E$5:$E$44,Premissas!$A$5:$A$44,$A2672,Premissas!$B$5:$B$44,$B2672)+S2672*SUMIFS(Premissas!$F$5:$F$44,Premissas!$A$5:$A$44,$A2672,Premissas!$B$5:$B$44,$B2672)</f>
        <v/>
      </c>
      <c r="L2672" s="29">
        <f>J2672-K2672</f>
        <v/>
      </c>
      <c r="M2672" t="inlineStr">
        <is>
          <t>1.350</t>
        </is>
      </c>
      <c r="N2672" t="inlineStr">
        <is>
          <t>Modalidade: 0 - Por conta do remetente | Parte: JAMES L. H. TOME e CIA LTDA (16.965.024/0003-87)</t>
        </is>
      </c>
      <c r="O2672" s="29" t="n">
        <v>0</v>
      </c>
      <c r="P2672" s="29" t="n">
        <v>0</v>
      </c>
      <c r="Q2672" s="29" t="n">
        <v>0</v>
      </c>
      <c r="R2672" s="29" t="n">
        <v>0</v>
      </c>
      <c r="S2672" s="29" t="n">
        <v>0</v>
      </c>
      <c r="T2672" t="inlineStr">
        <is>
          <t>15250120175042000170570010000208871000005930</t>
        </is>
      </c>
      <c r="U2672" t="inlineStr">
        <is>
          <t>Não</t>
        </is>
      </c>
    </row>
    <row r="2673">
      <c r="A2673" t="inlineStr">
        <is>
          <t>Frete de venda</t>
        </is>
      </c>
      <c r="B2673" t="inlineStr">
        <is>
          <t>2.01.02 Frete sobre Vendas</t>
        </is>
      </c>
      <c r="C2673" t="inlineStr">
        <is>
          <t>Antes de 2026</t>
        </is>
      </c>
      <c r="D2673" t="inlineStr">
        <is>
          <t>Antes de 2026</t>
        </is>
      </c>
      <c r="E2673" s="28" t="n">
        <v>45685</v>
      </c>
      <c r="F2673" t="inlineStr">
        <is>
          <t>CT-e</t>
        </is>
      </c>
      <c r="G2673" t="inlineStr">
        <is>
          <t>000020888</t>
        </is>
      </c>
      <c r="H2673" t="inlineStr">
        <is>
          <t>TRANSPORTE OLIVEIRA E MELLOI - IDEALIZA TRANSPORTES</t>
        </is>
      </c>
      <c r="J2673" s="29" t="n">
        <v>189.35</v>
      </c>
      <c r="K2673" s="29">
        <f>(1-ISNUMBER(SEARCH("556",M2673)))*(O2673*SUMIFS(Premissas!$C$5:$C$44,Premissas!$A$5:$A$44,$A2673,Premissas!$B$5:$B$44,$B2673)+P2673*SUMIFS(Premissas!$D$5:$D$44,Premissas!$A$5:$A$44,$A2673,Premissas!$B$5:$B$44,$B2673))+R2673*SUMIFS(Premissas!$E$5:$E$44,Premissas!$A$5:$A$44,$A2673,Premissas!$B$5:$B$44,$B2673)+S2673*SUMIFS(Premissas!$F$5:$F$44,Premissas!$A$5:$A$44,$A2673,Premissas!$B$5:$B$44,$B2673)</f>
        <v/>
      </c>
      <c r="L2673" s="29">
        <f>J2673-K2673</f>
        <v/>
      </c>
      <c r="M2673" t="inlineStr">
        <is>
          <t>1.350</t>
        </is>
      </c>
      <c r="N2673" t="inlineStr">
        <is>
          <t>Modalidade: 0 - Por conta do remetente | Parte: A SARAIVA DA CRUZ COMERCIAL LTDA (01.342.240/0001-37)</t>
        </is>
      </c>
      <c r="O2673" s="29" t="n">
        <v>0</v>
      </c>
      <c r="P2673" s="29" t="n">
        <v>0</v>
      </c>
      <c r="Q2673" s="29" t="n">
        <v>0</v>
      </c>
      <c r="R2673" s="29" t="n">
        <v>0</v>
      </c>
      <c r="S2673" s="29" t="n">
        <v>0</v>
      </c>
      <c r="T2673" t="inlineStr">
        <is>
          <t>15250120175042000170570010000208881000005946</t>
        </is>
      </c>
      <c r="U2673" t="inlineStr">
        <is>
          <t>Não</t>
        </is>
      </c>
    </row>
    <row r="2674">
      <c r="A2674" t="inlineStr">
        <is>
          <t>Frete de venda</t>
        </is>
      </c>
      <c r="B2674" t="inlineStr">
        <is>
          <t>2.01.02 Frete sobre Vendas</t>
        </is>
      </c>
      <c r="C2674" t="inlineStr">
        <is>
          <t>Antes de 2026</t>
        </is>
      </c>
      <c r="D2674" t="inlineStr">
        <is>
          <t>Antes de 2026</t>
        </is>
      </c>
      <c r="E2674" s="28" t="n">
        <v>45685</v>
      </c>
      <c r="F2674" t="inlineStr">
        <is>
          <t>CT-e</t>
        </is>
      </c>
      <c r="G2674" t="inlineStr">
        <is>
          <t>000020889</t>
        </is>
      </c>
      <c r="H2674" t="inlineStr">
        <is>
          <t>TRANSPORTE OLIVEIRA E MELLOI - IDEALIZA TRANSPORTES</t>
        </is>
      </c>
      <c r="J2674" s="29" t="n">
        <v>369.95</v>
      </c>
      <c r="K2674" s="29">
        <f>(1-ISNUMBER(SEARCH("556",M2674)))*(O2674*SUMIFS(Premissas!$C$5:$C$44,Premissas!$A$5:$A$44,$A2674,Premissas!$B$5:$B$44,$B2674)+P2674*SUMIFS(Premissas!$D$5:$D$44,Premissas!$A$5:$A$44,$A2674,Premissas!$B$5:$B$44,$B2674))+R2674*SUMIFS(Premissas!$E$5:$E$44,Premissas!$A$5:$A$44,$A2674,Premissas!$B$5:$B$44,$B2674)+S2674*SUMIFS(Premissas!$F$5:$F$44,Premissas!$A$5:$A$44,$A2674,Premissas!$B$5:$B$44,$B2674)</f>
        <v/>
      </c>
      <c r="L2674" s="29">
        <f>J2674-K2674</f>
        <v/>
      </c>
      <c r="M2674" t="inlineStr">
        <is>
          <t>1.350</t>
        </is>
      </c>
      <c r="N2674" t="inlineStr">
        <is>
          <t>Modalidade: 0 - Por conta do remetente | Parte: B A FONTES LTDA (23.108.379/0001-53)</t>
        </is>
      </c>
      <c r="O2674" s="29" t="n">
        <v>0</v>
      </c>
      <c r="P2674" s="29" t="n">
        <v>0</v>
      </c>
      <c r="Q2674" s="29" t="n">
        <v>0</v>
      </c>
      <c r="R2674" s="29" t="n">
        <v>0</v>
      </c>
      <c r="S2674" s="29" t="n">
        <v>0</v>
      </c>
      <c r="T2674" t="inlineStr">
        <is>
          <t>15250120175042000170570010000208891000005951</t>
        </is>
      </c>
      <c r="U2674" t="inlineStr">
        <is>
          <t>Não</t>
        </is>
      </c>
    </row>
    <row r="2675">
      <c r="A2675" t="inlineStr">
        <is>
          <t>Frete de venda</t>
        </is>
      </c>
      <c r="B2675" t="inlineStr">
        <is>
          <t>2.01.02 Frete sobre Vendas</t>
        </is>
      </c>
      <c r="C2675" t="inlineStr">
        <is>
          <t>Antes de 2026</t>
        </is>
      </c>
      <c r="D2675" t="inlineStr">
        <is>
          <t>Antes de 2026</t>
        </is>
      </c>
      <c r="E2675" s="28" t="n">
        <v>45685</v>
      </c>
      <c r="F2675" t="inlineStr">
        <is>
          <t>CT-e</t>
        </is>
      </c>
      <c r="G2675" t="inlineStr">
        <is>
          <t>000020890</t>
        </is>
      </c>
      <c r="H2675" t="inlineStr">
        <is>
          <t>TRANSPORTE OLIVEIRA E MELLOI - IDEALIZA TRANSPORTES</t>
        </is>
      </c>
      <c r="J2675" s="29" t="n">
        <v>458.46</v>
      </c>
      <c r="K2675" s="29">
        <f>(1-ISNUMBER(SEARCH("556",M2675)))*(O2675*SUMIFS(Premissas!$C$5:$C$44,Premissas!$A$5:$A$44,$A2675,Premissas!$B$5:$B$44,$B2675)+P2675*SUMIFS(Premissas!$D$5:$D$44,Premissas!$A$5:$A$44,$A2675,Premissas!$B$5:$B$44,$B2675))+R2675*SUMIFS(Premissas!$E$5:$E$44,Premissas!$A$5:$A$44,$A2675,Premissas!$B$5:$B$44,$B2675)+S2675*SUMIFS(Premissas!$F$5:$F$44,Premissas!$A$5:$A$44,$A2675,Premissas!$B$5:$B$44,$B2675)</f>
        <v/>
      </c>
      <c r="L2675" s="29">
        <f>J2675-K2675</f>
        <v/>
      </c>
      <c r="M2675" t="inlineStr">
        <is>
          <t>1.350</t>
        </is>
      </c>
      <c r="N2675" t="inlineStr">
        <is>
          <t>Modalidade: 0 - Por conta do remetente | Parte: P3 DESCARTAVEIS ATACADO e VAREJO LTDA (12.040.681/0001-09)</t>
        </is>
      </c>
      <c r="O2675" s="29" t="n">
        <v>0</v>
      </c>
      <c r="P2675" s="29" t="n">
        <v>0</v>
      </c>
      <c r="Q2675" s="29" t="n">
        <v>0</v>
      </c>
      <c r="R2675" s="29" t="n">
        <v>0</v>
      </c>
      <c r="S2675" s="29" t="n">
        <v>0</v>
      </c>
      <c r="T2675" t="inlineStr">
        <is>
          <t>15250120175042000170570010000208901000005960</t>
        </is>
      </c>
      <c r="U2675" t="inlineStr">
        <is>
          <t>Não</t>
        </is>
      </c>
    </row>
    <row r="2676">
      <c r="A2676" t="inlineStr">
        <is>
          <t>Frete de venda</t>
        </is>
      </c>
      <c r="B2676" t="inlineStr">
        <is>
          <t>2.01.02 Frete sobre Vendas</t>
        </is>
      </c>
      <c r="C2676" s="30" t="n">
        <v>46023</v>
      </c>
      <c r="D2676" t="inlineStr">
        <is>
          <t>Em 2026</t>
        </is>
      </c>
      <c r="E2676" s="28" t="n">
        <v>46052</v>
      </c>
      <c r="F2676" t="inlineStr">
        <is>
          <t>CT-e</t>
        </is>
      </c>
      <c r="G2676" t="inlineStr">
        <is>
          <t>000000315</t>
        </is>
      </c>
      <c r="H2676" t="inlineStr">
        <is>
          <t>ADEMIR DA SILVA LTDA</t>
        </is>
      </c>
      <c r="J2676" s="29" t="n">
        <v>600</v>
      </c>
      <c r="K2676" s="29">
        <f>(1-ISNUMBER(SEARCH("556",M2676)))*(O2676*SUMIFS(Premissas!$C$5:$C$44,Premissas!$A$5:$A$44,$A2676,Premissas!$B$5:$B$44,$B2676)+P2676*SUMIFS(Premissas!$D$5:$D$44,Premissas!$A$5:$A$44,$A2676,Premissas!$B$5:$B$44,$B2676))+R2676*SUMIFS(Premissas!$E$5:$E$44,Premissas!$A$5:$A$44,$A2676,Premissas!$B$5:$B$44,$B2676)+S2676*SUMIFS(Premissas!$F$5:$F$44,Premissas!$A$5:$A$44,$A2676,Premissas!$B$5:$B$44,$B2676)</f>
        <v/>
      </c>
      <c r="L2676" s="29">
        <f>J2676-K2676</f>
        <v/>
      </c>
      <c r="M2676" t="inlineStr">
        <is>
          <t>1.350</t>
        </is>
      </c>
      <c r="N2676" t="inlineStr">
        <is>
          <t>Transportadora fora da lista de frete de venda, mas pela modalidade a Vinco enviou a carga | Modalidade: 0 - Por conta do remetente | Parte: LIDER INDUSTRIA E COMERCIO LTDA (45.762.979/0001-73)</t>
        </is>
      </c>
      <c r="O2676" s="29" t="n">
        <v>0</v>
      </c>
      <c r="P2676" s="29" t="n">
        <v>0</v>
      </c>
      <c r="Q2676" s="29" t="n">
        <v>0</v>
      </c>
      <c r="R2676" s="29" t="n">
        <v>0</v>
      </c>
      <c r="S2676" s="29" t="n">
        <v>0</v>
      </c>
      <c r="T2676" t="inlineStr">
        <is>
          <t>15260112281640000287570020000003151000043917</t>
        </is>
      </c>
      <c r="U2676" t="inlineStr">
        <is>
          <t>Sim</t>
        </is>
      </c>
    </row>
    <row r="2677">
      <c r="A2677" t="inlineStr">
        <is>
          <t>Frete de venda</t>
        </is>
      </c>
      <c r="B2677" t="inlineStr">
        <is>
          <t>2.01.02 Frete sobre Vendas</t>
        </is>
      </c>
      <c r="C2677" s="30" t="n">
        <v>46023</v>
      </c>
      <c r="D2677" t="inlineStr">
        <is>
          <t>Em 2026</t>
        </is>
      </c>
      <c r="E2677" s="28" t="n">
        <v>46052</v>
      </c>
      <c r="F2677" t="inlineStr">
        <is>
          <t>CT-e</t>
        </is>
      </c>
      <c r="G2677" t="inlineStr">
        <is>
          <t>000000316</t>
        </is>
      </c>
      <c r="H2677" t="inlineStr">
        <is>
          <t>ADEMIR DA SILVA LTDA</t>
        </is>
      </c>
      <c r="J2677" s="29" t="n">
        <v>300</v>
      </c>
      <c r="K2677" s="29">
        <f>(1-ISNUMBER(SEARCH("556",M2677)))*(O2677*SUMIFS(Premissas!$C$5:$C$44,Premissas!$A$5:$A$44,$A2677,Premissas!$B$5:$B$44,$B2677)+P2677*SUMIFS(Premissas!$D$5:$D$44,Premissas!$A$5:$A$44,$A2677,Premissas!$B$5:$B$44,$B2677))+R2677*SUMIFS(Premissas!$E$5:$E$44,Premissas!$A$5:$A$44,$A2677,Premissas!$B$5:$B$44,$B2677)+S2677*SUMIFS(Premissas!$F$5:$F$44,Premissas!$A$5:$A$44,$A2677,Premissas!$B$5:$B$44,$B2677)</f>
        <v/>
      </c>
      <c r="L2677" s="29">
        <f>J2677-K2677</f>
        <v/>
      </c>
      <c r="M2677" t="inlineStr">
        <is>
          <t>1.350</t>
        </is>
      </c>
      <c r="N2677" t="inlineStr">
        <is>
          <t>Transportadora fora da lista de frete de venda, mas pela modalidade a Vinco enviou a carga | Modalidade: 0 - Por conta do remetente | Parte: HAPPY FESTAS LTDA (24.626.452/0001-41)</t>
        </is>
      </c>
      <c r="O2677" s="29" t="n">
        <v>0</v>
      </c>
      <c r="P2677" s="29" t="n">
        <v>0</v>
      </c>
      <c r="Q2677" s="29" t="n">
        <v>0</v>
      </c>
      <c r="R2677" s="29" t="n">
        <v>0</v>
      </c>
      <c r="S2677" s="29" t="n">
        <v>0</v>
      </c>
      <c r="T2677" t="inlineStr">
        <is>
          <t>15260112281640000287570020000003161000043922</t>
        </is>
      </c>
      <c r="U2677" t="inlineStr">
        <is>
          <t>Sim</t>
        </is>
      </c>
    </row>
    <row r="2678">
      <c r="A2678" t="inlineStr">
        <is>
          <t>Frete de venda</t>
        </is>
      </c>
      <c r="B2678" t="inlineStr">
        <is>
          <t>2.01.02 Frete sobre Vendas</t>
        </is>
      </c>
      <c r="C2678" s="30" t="n">
        <v>46023</v>
      </c>
      <c r="D2678" t="inlineStr">
        <is>
          <t>Em 2026</t>
        </is>
      </c>
      <c r="E2678" s="28" t="n">
        <v>46052</v>
      </c>
      <c r="F2678" t="inlineStr">
        <is>
          <t>CT-e</t>
        </is>
      </c>
      <c r="G2678" t="inlineStr">
        <is>
          <t>000000317</t>
        </is>
      </c>
      <c r="H2678" t="inlineStr">
        <is>
          <t>ADEMIR DA SILVA LTDA</t>
        </is>
      </c>
      <c r="J2678" s="29" t="n">
        <v>300</v>
      </c>
      <c r="K2678" s="29">
        <f>(1-ISNUMBER(SEARCH("556",M2678)))*(O2678*SUMIFS(Premissas!$C$5:$C$44,Premissas!$A$5:$A$44,$A2678,Premissas!$B$5:$B$44,$B2678)+P2678*SUMIFS(Premissas!$D$5:$D$44,Premissas!$A$5:$A$44,$A2678,Premissas!$B$5:$B$44,$B2678))+R2678*SUMIFS(Premissas!$E$5:$E$44,Premissas!$A$5:$A$44,$A2678,Premissas!$B$5:$B$44,$B2678)+S2678*SUMIFS(Premissas!$F$5:$F$44,Premissas!$A$5:$A$44,$A2678,Premissas!$B$5:$B$44,$B2678)</f>
        <v/>
      </c>
      <c r="L2678" s="29">
        <f>J2678-K2678</f>
        <v/>
      </c>
      <c r="M2678" t="inlineStr">
        <is>
          <t>1.350</t>
        </is>
      </c>
      <c r="N2678" t="inlineStr">
        <is>
          <t>Transportadora fora da lista de frete de venda, mas pela modalidade a Vinco enviou a carga | Modalidade: 0 - Por conta do remetente | Parte: MARCIO C. RIBEIRO (07.428.119/0001-09)</t>
        </is>
      </c>
      <c r="O2678" s="29" t="n">
        <v>0</v>
      </c>
      <c r="P2678" s="29" t="n">
        <v>0</v>
      </c>
      <c r="Q2678" s="29" t="n">
        <v>0</v>
      </c>
      <c r="R2678" s="29" t="n">
        <v>0</v>
      </c>
      <c r="S2678" s="29" t="n">
        <v>0</v>
      </c>
      <c r="T2678" t="inlineStr">
        <is>
          <t>15260112281640000287570020000003171000043938</t>
        </is>
      </c>
      <c r="U2678" t="inlineStr">
        <is>
          <t>Sim</t>
        </is>
      </c>
    </row>
    <row r="2679">
      <c r="A2679" t="inlineStr">
        <is>
          <t>Frete de venda</t>
        </is>
      </c>
      <c r="B2679" t="inlineStr">
        <is>
          <t>2.01.02 Frete sobre Vendas</t>
        </is>
      </c>
      <c r="C2679" s="30" t="n">
        <v>46023</v>
      </c>
      <c r="D2679" t="inlineStr">
        <is>
          <t>Em 2026</t>
        </is>
      </c>
      <c r="E2679" s="28" t="n">
        <v>46052</v>
      </c>
      <c r="F2679" t="inlineStr">
        <is>
          <t>CT-e</t>
        </is>
      </c>
      <c r="G2679" t="inlineStr">
        <is>
          <t>000000318</t>
        </is>
      </c>
      <c r="H2679" t="inlineStr">
        <is>
          <t>ADEMIR DA SILVA LTDA</t>
        </is>
      </c>
      <c r="J2679" s="29" t="n">
        <v>300</v>
      </c>
      <c r="K2679" s="29">
        <f>(1-ISNUMBER(SEARCH("556",M2679)))*(O2679*SUMIFS(Premissas!$C$5:$C$44,Premissas!$A$5:$A$44,$A2679,Premissas!$B$5:$B$44,$B2679)+P2679*SUMIFS(Premissas!$D$5:$D$44,Premissas!$A$5:$A$44,$A2679,Premissas!$B$5:$B$44,$B2679))+R2679*SUMIFS(Premissas!$E$5:$E$44,Premissas!$A$5:$A$44,$A2679,Premissas!$B$5:$B$44,$B2679)+S2679*SUMIFS(Premissas!$F$5:$F$44,Premissas!$A$5:$A$44,$A2679,Premissas!$B$5:$B$44,$B2679)</f>
        <v/>
      </c>
      <c r="L2679" s="29">
        <f>J2679-K2679</f>
        <v/>
      </c>
      <c r="M2679" t="inlineStr">
        <is>
          <t>1.350</t>
        </is>
      </c>
      <c r="N2679" t="inlineStr">
        <is>
          <t>Transportadora fora da lista de frete de venda, mas pela modalidade a Vinco enviou a carga | Modalidade: 0 - Por conta do remetente | Parte: A. S. MALAMAO LTDA (18.965.796/0001-82)</t>
        </is>
      </c>
      <c r="O2679" s="29" t="n">
        <v>0</v>
      </c>
      <c r="P2679" s="29" t="n">
        <v>0</v>
      </c>
      <c r="Q2679" s="29" t="n">
        <v>0</v>
      </c>
      <c r="R2679" s="29" t="n">
        <v>0</v>
      </c>
      <c r="S2679" s="29" t="n">
        <v>0</v>
      </c>
      <c r="T2679" t="inlineStr">
        <is>
          <t>15260112281640000287570020000003181000043943</t>
        </is>
      </c>
      <c r="U2679" t="inlineStr">
        <is>
          <t>Sim</t>
        </is>
      </c>
    </row>
    <row r="2680">
      <c r="A2680" t="inlineStr">
        <is>
          <t>Frete de venda</t>
        </is>
      </c>
      <c r="B2680" t="inlineStr">
        <is>
          <t>2.01.02 Frete sobre Vendas</t>
        </is>
      </c>
      <c r="C2680" s="30" t="n">
        <v>46023</v>
      </c>
      <c r="D2680" t="inlineStr">
        <is>
          <t>Em 2026</t>
        </is>
      </c>
      <c r="E2680" s="28" t="n">
        <v>46049</v>
      </c>
      <c r="F2680" t="inlineStr">
        <is>
          <t>CT-e</t>
        </is>
      </c>
      <c r="G2680" t="inlineStr">
        <is>
          <t>000083544</t>
        </is>
      </c>
      <c r="H2680" t="inlineStr">
        <is>
          <t>CRUZ DE MALTA TRANSPORTES LTDA</t>
        </is>
      </c>
      <c r="J2680" s="29" t="n">
        <v>800</v>
      </c>
      <c r="K2680" s="29">
        <f>(1-ISNUMBER(SEARCH("556",M2680)))*(O2680*SUMIFS(Premissas!$C$5:$C$44,Premissas!$A$5:$A$44,$A2680,Premissas!$B$5:$B$44,$B2680)+P2680*SUMIFS(Premissas!$D$5:$D$44,Premissas!$A$5:$A$44,$A2680,Premissas!$B$5:$B$44,$B2680))+R2680*SUMIFS(Premissas!$E$5:$E$44,Premissas!$A$5:$A$44,$A2680,Premissas!$B$5:$B$44,$B2680)+S2680*SUMIFS(Premissas!$F$5:$F$44,Premissas!$A$5:$A$44,$A2680,Premissas!$B$5:$B$44,$B2680)</f>
        <v/>
      </c>
      <c r="L2680" s="29">
        <f>J2680-K2680</f>
        <v/>
      </c>
      <c r="M2680" t="inlineStr">
        <is>
          <t>1.350</t>
        </is>
      </c>
      <c r="N2680" t="inlineStr">
        <is>
          <t>Transportadora fora da lista de frete de venda, mas pela modalidade a Vinco enviou a carga | Modalidade: 0 - Por conta do remetente | Parte: AUGUSTO e LUZ LTDA (28.628.646/0001-37)</t>
        </is>
      </c>
      <c r="O2680" s="29" t="n">
        <v>0</v>
      </c>
      <c r="P2680" s="29" t="n">
        <v>152</v>
      </c>
      <c r="Q2680" s="29" t="n">
        <v>0</v>
      </c>
      <c r="R2680" s="29" t="n">
        <v>0</v>
      </c>
      <c r="S2680" s="29" t="n">
        <v>0</v>
      </c>
      <c r="T2680" t="inlineStr">
        <is>
          <t>15260103547982000124570010000835441857752394</t>
        </is>
      </c>
      <c r="U2680" t="inlineStr">
        <is>
          <t>Sim</t>
        </is>
      </c>
    </row>
    <row r="2681">
      <c r="A2681" t="inlineStr">
        <is>
          <t>Frete de venda</t>
        </is>
      </c>
      <c r="B2681" t="inlineStr">
        <is>
          <t>2.01.02 Frete sobre Vendas</t>
        </is>
      </c>
      <c r="C2681" s="30" t="n">
        <v>46023</v>
      </c>
      <c r="D2681" t="inlineStr">
        <is>
          <t>Em 2026</t>
        </is>
      </c>
      <c r="E2681" s="28" t="n">
        <v>46049</v>
      </c>
      <c r="F2681" t="inlineStr">
        <is>
          <t>CT-e</t>
        </is>
      </c>
      <c r="G2681" t="inlineStr">
        <is>
          <t>000083545</t>
        </is>
      </c>
      <c r="H2681" t="inlineStr">
        <is>
          <t>CRUZ DE MALTA TRANSPORTES LTDA</t>
        </is>
      </c>
      <c r="J2681" s="29" t="n">
        <v>500</v>
      </c>
      <c r="K2681" s="29">
        <f>(1-ISNUMBER(SEARCH("556",M2681)))*(O2681*SUMIFS(Premissas!$C$5:$C$44,Premissas!$A$5:$A$44,$A2681,Premissas!$B$5:$B$44,$B2681)+P2681*SUMIFS(Premissas!$D$5:$D$44,Premissas!$A$5:$A$44,$A2681,Premissas!$B$5:$B$44,$B2681))+R2681*SUMIFS(Premissas!$E$5:$E$44,Premissas!$A$5:$A$44,$A2681,Premissas!$B$5:$B$44,$B2681)+S2681*SUMIFS(Premissas!$F$5:$F$44,Premissas!$A$5:$A$44,$A2681,Premissas!$B$5:$B$44,$B2681)</f>
        <v/>
      </c>
      <c r="L2681" s="29">
        <f>J2681-K2681</f>
        <v/>
      </c>
      <c r="M2681" t="inlineStr">
        <is>
          <t>1.350</t>
        </is>
      </c>
      <c r="N2681" t="inlineStr">
        <is>
          <t>Transportadora fora da lista de frete de venda, mas pela modalidade a Vinco enviou a carga | Modalidade: 0 - Por conta do remetente | Parte: QUERO EMBALAGENS COM DE EMBALAGENS EM GERAL LTDA (57.632.874/0001-89)</t>
        </is>
      </c>
      <c r="O2681" s="29" t="n">
        <v>0</v>
      </c>
      <c r="P2681" s="29" t="n">
        <v>95</v>
      </c>
      <c r="Q2681" s="29" t="n">
        <v>0</v>
      </c>
      <c r="R2681" s="29" t="n">
        <v>0</v>
      </c>
      <c r="S2681" s="29" t="n">
        <v>0</v>
      </c>
      <c r="T2681" t="inlineStr">
        <is>
          <t>15260103547982000124570010000835451519756584</t>
        </is>
      </c>
      <c r="U2681" t="inlineStr">
        <is>
          <t>Sim</t>
        </is>
      </c>
    </row>
    <row r="2682">
      <c r="A2682" t="inlineStr">
        <is>
          <t>Frete de venda</t>
        </is>
      </c>
      <c r="B2682" t="inlineStr">
        <is>
          <t>2.01.02 Frete sobre Vendas</t>
        </is>
      </c>
      <c r="C2682" s="30" t="n">
        <v>46023</v>
      </c>
      <c r="D2682" t="inlineStr">
        <is>
          <t>Em 2026</t>
        </is>
      </c>
      <c r="E2682" s="28" t="n">
        <v>46028</v>
      </c>
      <c r="F2682" t="inlineStr">
        <is>
          <t>CT-e</t>
        </is>
      </c>
      <c r="G2682" t="inlineStr">
        <is>
          <t>000023961</t>
        </is>
      </c>
      <c r="H2682" t="inlineStr">
        <is>
          <t>PICCOLI LOGISTICA E TRANSPORTES LTDA</t>
        </is>
      </c>
      <c r="J2682" s="29" t="n">
        <v>2429.16</v>
      </c>
      <c r="K2682" s="29">
        <f>(1-ISNUMBER(SEARCH("556",M2682)))*(O2682*SUMIFS(Premissas!$C$5:$C$44,Premissas!$A$5:$A$44,$A2682,Premissas!$B$5:$B$44,$B2682)+P2682*SUMIFS(Premissas!$D$5:$D$44,Premissas!$A$5:$A$44,$A2682,Premissas!$B$5:$B$44,$B2682))+R2682*SUMIFS(Premissas!$E$5:$E$44,Premissas!$A$5:$A$44,$A2682,Premissas!$B$5:$B$44,$B2682)+S2682*SUMIFS(Premissas!$F$5:$F$44,Premissas!$A$5:$A$44,$A2682,Premissas!$B$5:$B$44,$B2682)</f>
        <v/>
      </c>
      <c r="L2682" s="29">
        <f>J2682-K2682</f>
        <v/>
      </c>
      <c r="M2682" t="inlineStr">
        <is>
          <t>1.350</t>
        </is>
      </c>
      <c r="N2682" t="inlineStr">
        <is>
          <t>Modalidade: 0 - Por conta do remetente | Parte: DONNA DISTRIBUIDORA LTDA (52.238.099/0001-68)</t>
        </is>
      </c>
      <c r="O2682" s="29" t="n">
        <v>0</v>
      </c>
      <c r="P2682" s="29" t="n">
        <v>170.04</v>
      </c>
      <c r="Q2682" s="29" t="n">
        <v>0</v>
      </c>
      <c r="R2682" s="29" t="n">
        <v>0</v>
      </c>
      <c r="S2682" s="29" t="n">
        <v>0</v>
      </c>
      <c r="T2682" t="inlineStr">
        <is>
          <t>35260156910992000149570010000239611005145333</t>
        </is>
      </c>
      <c r="U2682" t="inlineStr">
        <is>
          <t>Sim</t>
        </is>
      </c>
    </row>
    <row r="2683">
      <c r="A2683" t="inlineStr">
        <is>
          <t>Frete de venda</t>
        </is>
      </c>
      <c r="B2683" t="inlineStr">
        <is>
          <t>2.01.02 Frete sobre Vendas</t>
        </is>
      </c>
      <c r="C2683" s="30" t="n">
        <v>46023</v>
      </c>
      <c r="D2683" t="inlineStr">
        <is>
          <t>Em 2026</t>
        </is>
      </c>
      <c r="E2683" s="28" t="n">
        <v>46025</v>
      </c>
      <c r="F2683" t="inlineStr">
        <is>
          <t>CT-e</t>
        </is>
      </c>
      <c r="G2683" t="inlineStr">
        <is>
          <t>000006102</t>
        </is>
      </c>
      <c r="H2683" t="inlineStr">
        <is>
          <t>R&amp;R TRANSPORTE E LOGISTICA</t>
        </is>
      </c>
      <c r="J2683" s="29" t="n">
        <v>450</v>
      </c>
      <c r="K2683" s="29">
        <f>(1-ISNUMBER(SEARCH("556",M2683)))*(O2683*SUMIFS(Premissas!$C$5:$C$44,Premissas!$A$5:$A$44,$A2683,Premissas!$B$5:$B$44,$B2683)+P2683*SUMIFS(Premissas!$D$5:$D$44,Premissas!$A$5:$A$44,$A2683,Premissas!$B$5:$B$44,$B2683))+R2683*SUMIFS(Premissas!$E$5:$E$44,Premissas!$A$5:$A$44,$A2683,Premissas!$B$5:$B$44,$B2683)+S2683*SUMIFS(Premissas!$F$5:$F$44,Premissas!$A$5:$A$44,$A2683,Premissas!$B$5:$B$44,$B2683)</f>
        <v/>
      </c>
      <c r="L2683" s="29">
        <f>J2683-K2683</f>
        <v/>
      </c>
      <c r="M2683" t="inlineStr">
        <is>
          <t>1.350</t>
        </is>
      </c>
      <c r="N2683" t="inlineStr">
        <is>
          <t>Modalidade: 0 - Por conta do remetente | Parte: UP DISTRIBUIDORA DE PRODUTOS DESCARTAVEIS LTDA (12.423.997/0001-71)</t>
        </is>
      </c>
      <c r="O2683" s="29" t="n">
        <v>0</v>
      </c>
      <c r="P2683" s="29" t="n">
        <v>0</v>
      </c>
      <c r="Q2683" s="29" t="n">
        <v>0</v>
      </c>
      <c r="R2683" s="29" t="n">
        <v>0</v>
      </c>
      <c r="S2683" s="29" t="n">
        <v>0</v>
      </c>
      <c r="T2683" t="inlineStr">
        <is>
          <t>25260126975620000130570010000061021001901630</t>
        </is>
      </c>
      <c r="U2683" t="inlineStr">
        <is>
          <t>Não</t>
        </is>
      </c>
    </row>
    <row r="2684">
      <c r="A2684" t="inlineStr">
        <is>
          <t>Frete de venda</t>
        </is>
      </c>
      <c r="B2684" t="inlineStr">
        <is>
          <t>2.01.02 Frete sobre Vendas</t>
        </is>
      </c>
      <c r="C2684" s="30" t="n">
        <v>46023</v>
      </c>
      <c r="D2684" t="inlineStr">
        <is>
          <t>Em 2026</t>
        </is>
      </c>
      <c r="E2684" s="28" t="n">
        <v>46027</v>
      </c>
      <c r="F2684" t="inlineStr">
        <is>
          <t>CT-e</t>
        </is>
      </c>
      <c r="G2684" t="inlineStr">
        <is>
          <t>000006104</t>
        </is>
      </c>
      <c r="H2684" t="inlineStr">
        <is>
          <t>R&amp;R TRANSPORTE E LOGISTICA</t>
        </is>
      </c>
      <c r="J2684" s="29" t="n">
        <v>500</v>
      </c>
      <c r="K2684" s="29">
        <f>(1-ISNUMBER(SEARCH("556",M2684)))*(O2684*SUMIFS(Premissas!$C$5:$C$44,Premissas!$A$5:$A$44,$A2684,Premissas!$B$5:$B$44,$B2684)+P2684*SUMIFS(Premissas!$D$5:$D$44,Premissas!$A$5:$A$44,$A2684,Premissas!$B$5:$B$44,$B2684))+R2684*SUMIFS(Premissas!$E$5:$E$44,Premissas!$A$5:$A$44,$A2684,Premissas!$B$5:$B$44,$B2684)+S2684*SUMIFS(Premissas!$F$5:$F$44,Premissas!$A$5:$A$44,$A2684,Premissas!$B$5:$B$44,$B2684)</f>
        <v/>
      </c>
      <c r="L2684" s="29">
        <f>J2684-K2684</f>
        <v/>
      </c>
      <c r="M2684" t="inlineStr">
        <is>
          <t>1.350</t>
        </is>
      </c>
      <c r="N2684" t="inlineStr">
        <is>
          <t>Modalidade: 0 - Por conta do remetente | Parte: PRONTO DISTRIBUIDORA LTDA (59.909.633/0001-60)</t>
        </is>
      </c>
      <c r="O2684" s="29" t="n">
        <v>0</v>
      </c>
      <c r="P2684" s="29" t="n">
        <v>0</v>
      </c>
      <c r="Q2684" s="29" t="n">
        <v>0</v>
      </c>
      <c r="R2684" s="29" t="n">
        <v>0</v>
      </c>
      <c r="S2684" s="29" t="n">
        <v>0</v>
      </c>
      <c r="T2684" t="inlineStr">
        <is>
          <t>25260126975620000130570010000061041001301793</t>
        </is>
      </c>
      <c r="U2684" t="inlineStr">
        <is>
          <t>Não</t>
        </is>
      </c>
    </row>
    <row r="2685">
      <c r="A2685" t="inlineStr">
        <is>
          <t>Frete de venda</t>
        </is>
      </c>
      <c r="B2685" t="inlineStr">
        <is>
          <t>2.01.02 Frete sobre Vendas</t>
        </is>
      </c>
      <c r="C2685" s="30" t="n">
        <v>46023</v>
      </c>
      <c r="D2685" t="inlineStr">
        <is>
          <t>Em 2026</t>
        </is>
      </c>
      <c r="E2685" s="28" t="n">
        <v>46027</v>
      </c>
      <c r="F2685" t="inlineStr">
        <is>
          <t>CT-e</t>
        </is>
      </c>
      <c r="G2685" t="inlineStr">
        <is>
          <t>000006105</t>
        </is>
      </c>
      <c r="H2685" t="inlineStr">
        <is>
          <t>R&amp;R TRANSPORTE E LOGISTICA</t>
        </is>
      </c>
      <c r="J2685" s="29" t="n">
        <v>500</v>
      </c>
      <c r="K2685" s="29">
        <f>(1-ISNUMBER(SEARCH("556",M2685)))*(O2685*SUMIFS(Premissas!$C$5:$C$44,Premissas!$A$5:$A$44,$A2685,Premissas!$B$5:$B$44,$B2685)+P2685*SUMIFS(Premissas!$D$5:$D$44,Premissas!$A$5:$A$44,$A2685,Premissas!$B$5:$B$44,$B2685))+R2685*SUMIFS(Premissas!$E$5:$E$44,Premissas!$A$5:$A$44,$A2685,Premissas!$B$5:$B$44,$B2685)+S2685*SUMIFS(Premissas!$F$5:$F$44,Premissas!$A$5:$A$44,$A2685,Premissas!$B$5:$B$44,$B2685)</f>
        <v/>
      </c>
      <c r="L2685" s="29">
        <f>J2685-K2685</f>
        <v/>
      </c>
      <c r="M2685" t="inlineStr">
        <is>
          <t>1.350</t>
        </is>
      </c>
      <c r="N2685" t="inlineStr">
        <is>
          <t>Modalidade: 0 - Por conta do remetente | Parte: C M OLIVEIRA ATACADO (41.098.526/0001-33)</t>
        </is>
      </c>
      <c r="O2685" s="29" t="n">
        <v>0</v>
      </c>
      <c r="P2685" s="29" t="n">
        <v>0</v>
      </c>
      <c r="Q2685" s="29" t="n">
        <v>0</v>
      </c>
      <c r="R2685" s="29" t="n">
        <v>0</v>
      </c>
      <c r="S2685" s="29" t="n">
        <v>0</v>
      </c>
      <c r="T2685" t="inlineStr">
        <is>
          <t>25260126975620000130570010000061051001401140</t>
        </is>
      </c>
      <c r="U2685" t="inlineStr">
        <is>
          <t>Não</t>
        </is>
      </c>
    </row>
    <row r="2686">
      <c r="A2686" t="inlineStr">
        <is>
          <t>Frete de venda</t>
        </is>
      </c>
      <c r="B2686" t="inlineStr">
        <is>
          <t>2.01.02 Frete sobre Vendas</t>
        </is>
      </c>
      <c r="C2686" s="30" t="n">
        <v>46023</v>
      </c>
      <c r="D2686" t="inlineStr">
        <is>
          <t>Em 2026</t>
        </is>
      </c>
      <c r="E2686" s="28" t="n">
        <v>46027</v>
      </c>
      <c r="F2686" t="inlineStr">
        <is>
          <t>CT-e</t>
        </is>
      </c>
      <c r="G2686" t="inlineStr">
        <is>
          <t>000006106</t>
        </is>
      </c>
      <c r="H2686" t="inlineStr">
        <is>
          <t>R&amp;R TRANSPORTE E LOGISTICA</t>
        </is>
      </c>
      <c r="J2686" s="29" t="n">
        <v>400</v>
      </c>
      <c r="K2686" s="29">
        <f>(1-ISNUMBER(SEARCH("556",M2686)))*(O2686*SUMIFS(Premissas!$C$5:$C$44,Premissas!$A$5:$A$44,$A2686,Premissas!$B$5:$B$44,$B2686)+P2686*SUMIFS(Premissas!$D$5:$D$44,Premissas!$A$5:$A$44,$A2686,Premissas!$B$5:$B$44,$B2686))+R2686*SUMIFS(Premissas!$E$5:$E$44,Premissas!$A$5:$A$44,$A2686,Premissas!$B$5:$B$44,$B2686)+S2686*SUMIFS(Premissas!$F$5:$F$44,Premissas!$A$5:$A$44,$A2686,Premissas!$B$5:$B$44,$B2686)</f>
        <v/>
      </c>
      <c r="L2686" s="29">
        <f>J2686-K2686</f>
        <v/>
      </c>
      <c r="M2686" t="inlineStr">
        <is>
          <t>1.350</t>
        </is>
      </c>
      <c r="N2686" t="inlineStr">
        <is>
          <t>Modalidade: 0 - Por conta do remetente | Parte: ATACAREJO GALEGO LATICINIOS COMERCIO DE ALIMENTOS LTDA (31.163.107/0001-84)</t>
        </is>
      </c>
      <c r="O2686" s="29" t="n">
        <v>0</v>
      </c>
      <c r="P2686" s="29" t="n">
        <v>0</v>
      </c>
      <c r="Q2686" s="29" t="n">
        <v>0</v>
      </c>
      <c r="R2686" s="29" t="n">
        <v>0</v>
      </c>
      <c r="S2686" s="29" t="n">
        <v>0</v>
      </c>
      <c r="T2686" t="inlineStr">
        <is>
          <t>25260126975620000130570010000061061001101225</t>
        </is>
      </c>
      <c r="U2686" t="inlineStr">
        <is>
          <t>Não</t>
        </is>
      </c>
    </row>
    <row r="2687">
      <c r="A2687" t="inlineStr">
        <is>
          <t>Frete de venda</t>
        </is>
      </c>
      <c r="B2687" t="inlineStr">
        <is>
          <t>2.01.02 Frete sobre Vendas</t>
        </is>
      </c>
      <c r="C2687" s="30" t="n">
        <v>46023</v>
      </c>
      <c r="D2687" t="inlineStr">
        <is>
          <t>Em 2026</t>
        </is>
      </c>
      <c r="E2687" s="28" t="n">
        <v>46028</v>
      </c>
      <c r="F2687" t="inlineStr">
        <is>
          <t>CT-e</t>
        </is>
      </c>
      <c r="G2687" t="inlineStr">
        <is>
          <t>000006109</t>
        </is>
      </c>
      <c r="H2687" t="inlineStr">
        <is>
          <t>R&amp;R TRANSPORTE E LOGISTICA</t>
        </is>
      </c>
      <c r="J2687" s="29" t="n">
        <v>464</v>
      </c>
      <c r="K2687" s="29">
        <f>(1-ISNUMBER(SEARCH("556",M2687)))*(O2687*SUMIFS(Premissas!$C$5:$C$44,Premissas!$A$5:$A$44,$A2687,Premissas!$B$5:$B$44,$B2687)+P2687*SUMIFS(Premissas!$D$5:$D$44,Premissas!$A$5:$A$44,$A2687,Premissas!$B$5:$B$44,$B2687))+R2687*SUMIFS(Premissas!$E$5:$E$44,Premissas!$A$5:$A$44,$A2687,Premissas!$B$5:$B$44,$B2687)+S2687*SUMIFS(Premissas!$F$5:$F$44,Premissas!$A$5:$A$44,$A2687,Premissas!$B$5:$B$44,$B2687)</f>
        <v/>
      </c>
      <c r="L2687" s="29">
        <f>J2687-K2687</f>
        <v/>
      </c>
      <c r="M2687" t="inlineStr">
        <is>
          <t>1.350</t>
        </is>
      </c>
      <c r="N2687" t="inlineStr">
        <is>
          <t>Modalidade: 0 - Por conta do remetente | Parte: ATACAREJO GALEGO LATICINIOS COMERCIO DE ALIMENTOS LTDA (31.163.107/0001-84)</t>
        </is>
      </c>
      <c r="O2687" s="29" t="n">
        <v>0</v>
      </c>
      <c r="P2687" s="29" t="n">
        <v>0</v>
      </c>
      <c r="Q2687" s="29" t="n">
        <v>0</v>
      </c>
      <c r="R2687" s="29" t="n">
        <v>0</v>
      </c>
      <c r="S2687" s="29" t="n">
        <v>0</v>
      </c>
      <c r="T2687" t="inlineStr">
        <is>
          <t>25260126975620000130570010000061091000101541</t>
        </is>
      </c>
      <c r="U2687" t="inlineStr">
        <is>
          <t>Não</t>
        </is>
      </c>
    </row>
    <row r="2688">
      <c r="A2688" t="inlineStr">
        <is>
          <t>Frete de venda</t>
        </is>
      </c>
      <c r="B2688" t="inlineStr">
        <is>
          <t>2.01.02 Frete sobre Vendas</t>
        </is>
      </c>
      <c r="C2688" s="30" t="n">
        <v>46023</v>
      </c>
      <c r="D2688" t="inlineStr">
        <is>
          <t>Em 2026</t>
        </is>
      </c>
      <c r="E2688" s="28" t="n">
        <v>46030</v>
      </c>
      <c r="F2688" t="inlineStr">
        <is>
          <t>CT-e</t>
        </is>
      </c>
      <c r="G2688" t="inlineStr">
        <is>
          <t>000006118</t>
        </is>
      </c>
      <c r="H2688" t="inlineStr">
        <is>
          <t>R&amp;R TRANSPORTE E LOGISTICA</t>
        </is>
      </c>
      <c r="J2688" s="29" t="n">
        <v>84.09999999999999</v>
      </c>
      <c r="K2688" s="29">
        <f>(1-ISNUMBER(SEARCH("556",M2688)))*(O2688*SUMIFS(Premissas!$C$5:$C$44,Premissas!$A$5:$A$44,$A2688,Premissas!$B$5:$B$44,$B2688)+P2688*SUMIFS(Premissas!$D$5:$D$44,Premissas!$A$5:$A$44,$A2688,Premissas!$B$5:$B$44,$B2688))+R2688*SUMIFS(Premissas!$E$5:$E$44,Premissas!$A$5:$A$44,$A2688,Premissas!$B$5:$B$44,$B2688)+S2688*SUMIFS(Premissas!$F$5:$F$44,Premissas!$A$5:$A$44,$A2688,Premissas!$B$5:$B$44,$B2688)</f>
        <v/>
      </c>
      <c r="L2688" s="29">
        <f>J2688-K2688</f>
        <v/>
      </c>
      <c r="M2688" t="inlineStr">
        <is>
          <t>1.350</t>
        </is>
      </c>
      <c r="N2688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2688" s="29" t="n">
        <v>0</v>
      </c>
      <c r="P2688" s="29" t="n">
        <v>0</v>
      </c>
      <c r="Q2688" s="29" t="n">
        <v>0</v>
      </c>
      <c r="R2688" s="29" t="n">
        <v>0</v>
      </c>
      <c r="S2688" s="29" t="n">
        <v>0</v>
      </c>
      <c r="T2688" t="inlineStr">
        <is>
          <t>25260126975620000130570010000061181001301578</t>
        </is>
      </c>
      <c r="U2688" t="inlineStr">
        <is>
          <t>Não</t>
        </is>
      </c>
    </row>
    <row r="2689">
      <c r="A2689" t="inlineStr">
        <is>
          <t>Frete de venda</t>
        </is>
      </c>
      <c r="B2689" t="inlineStr">
        <is>
          <t>2.01.02 Frete sobre Vendas</t>
        </is>
      </c>
      <c r="C2689" s="30" t="n">
        <v>46023</v>
      </c>
      <c r="D2689" t="inlineStr">
        <is>
          <t>Em 2026</t>
        </is>
      </c>
      <c r="E2689" s="28" t="n">
        <v>46030</v>
      </c>
      <c r="F2689" t="inlineStr">
        <is>
          <t>CT-e</t>
        </is>
      </c>
      <c r="G2689" t="inlineStr">
        <is>
          <t>000006119</t>
        </is>
      </c>
      <c r="H2689" t="inlineStr">
        <is>
          <t>R&amp;R TRANSPORTE E LOGISTICA</t>
        </is>
      </c>
      <c r="J2689" s="29" t="n">
        <v>87.19</v>
      </c>
      <c r="K2689" s="29">
        <f>(1-ISNUMBER(SEARCH("556",M2689)))*(O2689*SUMIFS(Premissas!$C$5:$C$44,Premissas!$A$5:$A$44,$A2689,Premissas!$B$5:$B$44,$B2689)+P2689*SUMIFS(Premissas!$D$5:$D$44,Premissas!$A$5:$A$44,$A2689,Premissas!$B$5:$B$44,$B2689))+R2689*SUMIFS(Premissas!$E$5:$E$44,Premissas!$A$5:$A$44,$A2689,Premissas!$B$5:$B$44,$B2689)+S2689*SUMIFS(Premissas!$F$5:$F$44,Premissas!$A$5:$A$44,$A2689,Premissas!$B$5:$B$44,$B2689)</f>
        <v/>
      </c>
      <c r="L2689" s="29">
        <f>J2689-K2689</f>
        <v/>
      </c>
      <c r="M2689" t="inlineStr">
        <is>
          <t>1.350</t>
        </is>
      </c>
      <c r="N2689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2689" s="29" t="n">
        <v>0</v>
      </c>
      <c r="P2689" s="29" t="n">
        <v>0</v>
      </c>
      <c r="Q2689" s="29" t="n">
        <v>0</v>
      </c>
      <c r="R2689" s="29" t="n">
        <v>0</v>
      </c>
      <c r="S2689" s="29" t="n">
        <v>0</v>
      </c>
      <c r="T2689" t="inlineStr">
        <is>
          <t>25260126975620000130570010000061191000140926</t>
        </is>
      </c>
      <c r="U2689" t="inlineStr">
        <is>
          <t>Não</t>
        </is>
      </c>
    </row>
    <row r="2690">
      <c r="A2690" t="inlineStr">
        <is>
          <t>Frete de venda</t>
        </is>
      </c>
      <c r="B2690" t="inlineStr">
        <is>
          <t>2.01.02 Frete sobre Vendas</t>
        </is>
      </c>
      <c r="C2690" s="30" t="n">
        <v>46023</v>
      </c>
      <c r="D2690" t="inlineStr">
        <is>
          <t>Em 2026</t>
        </is>
      </c>
      <c r="E2690" s="28" t="n">
        <v>46030</v>
      </c>
      <c r="F2690" t="inlineStr">
        <is>
          <t>CT-e</t>
        </is>
      </c>
      <c r="G2690" t="inlineStr">
        <is>
          <t>000006120</t>
        </is>
      </c>
      <c r="H2690" t="inlineStr">
        <is>
          <t>R&amp;R TRANSPORTE E LOGISTICA</t>
        </is>
      </c>
      <c r="J2690" s="29" t="n">
        <v>71.12</v>
      </c>
      <c r="K2690" s="29">
        <f>(1-ISNUMBER(SEARCH("556",M2690)))*(O2690*SUMIFS(Premissas!$C$5:$C$44,Premissas!$A$5:$A$44,$A2690,Premissas!$B$5:$B$44,$B2690)+P2690*SUMIFS(Premissas!$D$5:$D$44,Premissas!$A$5:$A$44,$A2690,Premissas!$B$5:$B$44,$B2690))+R2690*SUMIFS(Premissas!$E$5:$E$44,Premissas!$A$5:$A$44,$A2690,Premissas!$B$5:$B$44,$B2690)+S2690*SUMIFS(Premissas!$F$5:$F$44,Premissas!$A$5:$A$44,$A2690,Premissas!$B$5:$B$44,$B2690)</f>
        <v/>
      </c>
      <c r="L2690" s="29">
        <f>J2690-K2690</f>
        <v/>
      </c>
      <c r="M2690" t="inlineStr">
        <is>
          <t>1.350</t>
        </is>
      </c>
      <c r="N2690" t="inlineStr">
        <is>
          <t>Modalidade: 0 - Por conta do remetente | Parte: CANTINHO DISTRIBUIDORA LTDA (44.016.976/0001-28)</t>
        </is>
      </c>
      <c r="O2690" s="29" t="n">
        <v>0</v>
      </c>
      <c r="P2690" s="29" t="n">
        <v>0</v>
      </c>
      <c r="Q2690" s="29" t="n">
        <v>0</v>
      </c>
      <c r="R2690" s="29" t="n">
        <v>0</v>
      </c>
      <c r="S2690" s="29" t="n">
        <v>0</v>
      </c>
      <c r="T2690" t="inlineStr">
        <is>
          <t>25260126975620000130570010000061201001101003</t>
        </is>
      </c>
      <c r="U2690" t="inlineStr">
        <is>
          <t>Não</t>
        </is>
      </c>
    </row>
    <row r="2691">
      <c r="A2691" t="inlineStr">
        <is>
          <t>Frete de venda</t>
        </is>
      </c>
      <c r="B2691" t="inlineStr">
        <is>
          <t>2.01.02 Frete sobre Vendas</t>
        </is>
      </c>
      <c r="C2691" s="30" t="n">
        <v>46023</v>
      </c>
      <c r="D2691" t="inlineStr">
        <is>
          <t>Em 2026</t>
        </is>
      </c>
      <c r="E2691" s="28" t="n">
        <v>46030</v>
      </c>
      <c r="F2691" t="inlineStr">
        <is>
          <t>CT-e</t>
        </is>
      </c>
      <c r="G2691" t="inlineStr">
        <is>
          <t>000006121</t>
        </is>
      </c>
      <c r="H2691" t="inlineStr">
        <is>
          <t>R&amp;R TRANSPORTE E LOGISTICA</t>
        </is>
      </c>
      <c r="J2691" s="29" t="n">
        <v>98.3</v>
      </c>
      <c r="K2691" s="29">
        <f>(1-ISNUMBER(SEARCH("556",M2691)))*(O2691*SUMIFS(Premissas!$C$5:$C$44,Premissas!$A$5:$A$44,$A2691,Premissas!$B$5:$B$44,$B2691)+P2691*SUMIFS(Premissas!$D$5:$D$44,Premissas!$A$5:$A$44,$A2691,Premissas!$B$5:$B$44,$B2691))+R2691*SUMIFS(Premissas!$E$5:$E$44,Premissas!$A$5:$A$44,$A2691,Premissas!$B$5:$B$44,$B2691)+S2691*SUMIFS(Premissas!$F$5:$F$44,Premissas!$A$5:$A$44,$A2691,Premissas!$B$5:$B$44,$B2691)</f>
        <v/>
      </c>
      <c r="L2691" s="29">
        <f>J2691-K2691</f>
        <v/>
      </c>
      <c r="M2691" t="inlineStr">
        <is>
          <t>1.350</t>
        </is>
      </c>
      <c r="N2691" t="inlineStr">
        <is>
          <t>Modalidade: 0 - Por conta do remetente | Parte: L M COMERCIO DE PLASTICOS LTDA (54.203.234/0001-65)</t>
        </is>
      </c>
      <c r="O2691" s="29" t="n">
        <v>0</v>
      </c>
      <c r="P2691" s="29" t="n">
        <v>0</v>
      </c>
      <c r="Q2691" s="29" t="n">
        <v>0</v>
      </c>
      <c r="R2691" s="29" t="n">
        <v>0</v>
      </c>
      <c r="S2691" s="29" t="n">
        <v>0</v>
      </c>
      <c r="T2691" t="inlineStr">
        <is>
          <t>25260126975620000130570010000061211001901082</t>
        </is>
      </c>
      <c r="U2691" t="inlineStr">
        <is>
          <t>Não</t>
        </is>
      </c>
    </row>
    <row r="2692">
      <c r="A2692" t="inlineStr">
        <is>
          <t>Frete de venda</t>
        </is>
      </c>
      <c r="B2692" t="inlineStr">
        <is>
          <t>2.01.02 Frete sobre Vendas</t>
        </is>
      </c>
      <c r="C2692" s="30" t="n">
        <v>46023</v>
      </c>
      <c r="D2692" t="inlineStr">
        <is>
          <t>Em 2026</t>
        </is>
      </c>
      <c r="E2692" s="28" t="n">
        <v>46030</v>
      </c>
      <c r="F2692" t="inlineStr">
        <is>
          <t>CT-e</t>
        </is>
      </c>
      <c r="G2692" t="inlineStr">
        <is>
          <t>000006122</t>
        </is>
      </c>
      <c r="H2692" t="inlineStr">
        <is>
          <t>R&amp;R TRANSPORTE E LOGISTICA</t>
        </is>
      </c>
      <c r="J2692" s="29" t="n">
        <v>253.5</v>
      </c>
      <c r="K2692" s="29">
        <f>(1-ISNUMBER(SEARCH("556",M2692)))*(O2692*SUMIFS(Premissas!$C$5:$C$44,Premissas!$A$5:$A$44,$A2692,Premissas!$B$5:$B$44,$B2692)+P2692*SUMIFS(Premissas!$D$5:$D$44,Premissas!$A$5:$A$44,$A2692,Premissas!$B$5:$B$44,$B2692))+R2692*SUMIFS(Premissas!$E$5:$E$44,Premissas!$A$5:$A$44,$A2692,Premissas!$B$5:$B$44,$B2692)+S2692*SUMIFS(Premissas!$F$5:$F$44,Premissas!$A$5:$A$44,$A2692,Premissas!$B$5:$B$44,$B2692)</f>
        <v/>
      </c>
      <c r="L2692" s="29">
        <f>J2692-K2692</f>
        <v/>
      </c>
      <c r="M2692" t="inlineStr">
        <is>
          <t>1.350</t>
        </is>
      </c>
      <c r="N2692" t="inlineStr">
        <is>
          <t>Modalidade: 0 - Por conta do remetente | Parte: 47.536.828 JADSON MONTEIRO MOTA (47.536.828/0001-22)</t>
        </is>
      </c>
      <c r="O2692" s="29" t="n">
        <v>0</v>
      </c>
      <c r="P2692" s="29" t="n">
        <v>0</v>
      </c>
      <c r="Q2692" s="29" t="n">
        <v>0</v>
      </c>
      <c r="R2692" s="29" t="n">
        <v>0</v>
      </c>
      <c r="S2692" s="29" t="n">
        <v>0</v>
      </c>
      <c r="T2692" t="inlineStr">
        <is>
          <t>25260126975620000130570010000061221001601167</t>
        </is>
      </c>
      <c r="U2692" t="inlineStr">
        <is>
          <t>Não</t>
        </is>
      </c>
    </row>
    <row r="2693">
      <c r="A2693" t="inlineStr">
        <is>
          <t>Frete de venda</t>
        </is>
      </c>
      <c r="B2693" t="inlineStr">
        <is>
          <t>2.01.02 Frete sobre Vendas</t>
        </is>
      </c>
      <c r="C2693" s="30" t="n">
        <v>46023</v>
      </c>
      <c r="D2693" t="inlineStr">
        <is>
          <t>Em 2026</t>
        </is>
      </c>
      <c r="E2693" s="28" t="n">
        <v>46034</v>
      </c>
      <c r="F2693" t="inlineStr">
        <is>
          <t>CT-e</t>
        </is>
      </c>
      <c r="G2693" t="inlineStr">
        <is>
          <t>000006128</t>
        </is>
      </c>
      <c r="H2693" t="inlineStr">
        <is>
          <t>R&amp;R TRANSPORTE E LOGISTICA</t>
        </is>
      </c>
      <c r="J2693" s="29" t="n">
        <v>35.36</v>
      </c>
      <c r="K2693" s="29">
        <f>(1-ISNUMBER(SEARCH("556",M2693)))*(O2693*SUMIFS(Premissas!$C$5:$C$44,Premissas!$A$5:$A$44,$A2693,Premissas!$B$5:$B$44,$B2693)+P2693*SUMIFS(Premissas!$D$5:$D$44,Premissas!$A$5:$A$44,$A2693,Premissas!$B$5:$B$44,$B2693))+R2693*SUMIFS(Premissas!$E$5:$E$44,Premissas!$A$5:$A$44,$A2693,Premissas!$B$5:$B$44,$B2693)+S2693*SUMIFS(Premissas!$F$5:$F$44,Premissas!$A$5:$A$44,$A2693,Premissas!$B$5:$B$44,$B2693)</f>
        <v/>
      </c>
      <c r="L2693" s="29">
        <f>J2693-K2693</f>
        <v/>
      </c>
      <c r="M2693" t="inlineStr">
        <is>
          <t>1.350</t>
        </is>
      </c>
      <c r="N2693" t="inlineStr">
        <is>
          <t>Modalidade: 0 - Por conta do remetente | Parte: DISTRIBUIDORA RIO UTILIDADES FESTAS E ALIMENTOS LTDA (40.961.436/0001-61)</t>
        </is>
      </c>
      <c r="O2693" s="29" t="n">
        <v>0</v>
      </c>
      <c r="P2693" s="29" t="n">
        <v>0</v>
      </c>
      <c r="Q2693" s="29" t="n">
        <v>0</v>
      </c>
      <c r="R2693" s="29" t="n">
        <v>0</v>
      </c>
      <c r="S2693" s="29" t="n">
        <v>0</v>
      </c>
      <c r="T2693" t="inlineStr">
        <is>
          <t>25260126975620000130570010000061281001201782</t>
        </is>
      </c>
      <c r="U2693" t="inlineStr">
        <is>
          <t>Não</t>
        </is>
      </c>
    </row>
    <row r="2694">
      <c r="A2694" t="inlineStr">
        <is>
          <t>Frete de venda</t>
        </is>
      </c>
      <c r="B2694" t="inlineStr">
        <is>
          <t>2.01.02 Frete sobre Vendas</t>
        </is>
      </c>
      <c r="C2694" s="30" t="n">
        <v>46023</v>
      </c>
      <c r="D2694" t="inlineStr">
        <is>
          <t>Em 2026</t>
        </is>
      </c>
      <c r="E2694" s="28" t="n">
        <v>46034</v>
      </c>
      <c r="F2694" t="inlineStr">
        <is>
          <t>CT-e</t>
        </is>
      </c>
      <c r="G2694" t="inlineStr">
        <is>
          <t>000006129</t>
        </is>
      </c>
      <c r="H2694" t="inlineStr">
        <is>
          <t>R&amp;R TRANSPORTE E LOGISTICA</t>
        </is>
      </c>
      <c r="J2694" s="29" t="n">
        <v>29.56</v>
      </c>
      <c r="K2694" s="29">
        <f>(1-ISNUMBER(SEARCH("556",M2694)))*(O2694*SUMIFS(Premissas!$C$5:$C$44,Premissas!$A$5:$A$44,$A2694,Premissas!$B$5:$B$44,$B2694)+P2694*SUMIFS(Premissas!$D$5:$D$44,Premissas!$A$5:$A$44,$A2694,Premissas!$B$5:$B$44,$B2694))+R2694*SUMIFS(Premissas!$E$5:$E$44,Premissas!$A$5:$A$44,$A2694,Premissas!$B$5:$B$44,$B2694)+S2694*SUMIFS(Premissas!$F$5:$F$44,Premissas!$A$5:$A$44,$A2694,Premissas!$B$5:$B$44,$B2694)</f>
        <v/>
      </c>
      <c r="L2694" s="29">
        <f>J2694-K2694</f>
        <v/>
      </c>
      <c r="M2694" t="inlineStr">
        <is>
          <t>1.350</t>
        </is>
      </c>
      <c r="N2694" t="inlineStr">
        <is>
          <t>Modalidade: 0 - Por conta do remetente | Parte: FACILITA EMBALAGENS E DESCARTAVEIS LTDA (51.588.750/0001-67)</t>
        </is>
      </c>
      <c r="O2694" s="29" t="n">
        <v>0</v>
      </c>
      <c r="P2694" s="29" t="n">
        <v>0</v>
      </c>
      <c r="Q2694" s="29" t="n">
        <v>0</v>
      </c>
      <c r="R2694" s="29" t="n">
        <v>0</v>
      </c>
      <c r="S2694" s="29" t="n">
        <v>0</v>
      </c>
      <c r="T2694" t="inlineStr">
        <is>
          <t>25260126975620000130570010000061291001301130</t>
        </is>
      </c>
      <c r="U2694" t="inlineStr">
        <is>
          <t>Não</t>
        </is>
      </c>
    </row>
    <row r="2695">
      <c r="A2695" t="inlineStr">
        <is>
          <t>Frete de venda</t>
        </is>
      </c>
      <c r="B2695" t="inlineStr">
        <is>
          <t>2.01.02 Frete sobre Vendas</t>
        </is>
      </c>
      <c r="C2695" s="30" t="n">
        <v>46023</v>
      </c>
      <c r="D2695" t="inlineStr">
        <is>
          <t>Em 2026</t>
        </is>
      </c>
      <c r="E2695" s="28" t="n">
        <v>46034</v>
      </c>
      <c r="F2695" t="inlineStr">
        <is>
          <t>CT-e</t>
        </is>
      </c>
      <c r="G2695" t="inlineStr">
        <is>
          <t>000006130</t>
        </is>
      </c>
      <c r="H2695" t="inlineStr">
        <is>
          <t>R&amp;R TRANSPORTE E LOGISTICA</t>
        </is>
      </c>
      <c r="J2695" s="29" t="n">
        <v>26.46</v>
      </c>
      <c r="K2695" s="29">
        <f>(1-ISNUMBER(SEARCH("556",M2695)))*(O2695*SUMIFS(Premissas!$C$5:$C$44,Premissas!$A$5:$A$44,$A2695,Premissas!$B$5:$B$44,$B2695)+P2695*SUMIFS(Premissas!$D$5:$D$44,Premissas!$A$5:$A$44,$A2695,Premissas!$B$5:$B$44,$B2695))+R2695*SUMIFS(Premissas!$E$5:$E$44,Premissas!$A$5:$A$44,$A2695,Premissas!$B$5:$B$44,$B2695)+S2695*SUMIFS(Premissas!$F$5:$F$44,Premissas!$A$5:$A$44,$A2695,Premissas!$B$5:$B$44,$B2695)</f>
        <v/>
      </c>
      <c r="L2695" s="29">
        <f>J2695-K2695</f>
        <v/>
      </c>
      <c r="M2695" t="inlineStr">
        <is>
          <t>1.350</t>
        </is>
      </c>
      <c r="N2695" t="inlineStr">
        <is>
          <t>Modalidade: 0 - Por conta do remetente | Parte: CARIOCA EMBALAGEM E DESCARTAVEIS LTDA (45.901.271/0001-56)</t>
        </is>
      </c>
      <c r="O2695" s="29" t="n">
        <v>0</v>
      </c>
      <c r="P2695" s="29" t="n">
        <v>0</v>
      </c>
      <c r="Q2695" s="29" t="n">
        <v>0</v>
      </c>
      <c r="R2695" s="29" t="n">
        <v>0</v>
      </c>
      <c r="S2695" s="29" t="n">
        <v>0</v>
      </c>
      <c r="T2695" t="inlineStr">
        <is>
          <t>25260126975620000130570010000061301000101219</t>
        </is>
      </c>
      <c r="U2695" t="inlineStr">
        <is>
          <t>Não</t>
        </is>
      </c>
    </row>
    <row r="2696">
      <c r="A2696" t="inlineStr">
        <is>
          <t>Frete de venda</t>
        </is>
      </c>
      <c r="B2696" t="inlineStr">
        <is>
          <t>2.01.02 Frete sobre Vendas</t>
        </is>
      </c>
      <c r="C2696" s="30" t="n">
        <v>46023</v>
      </c>
      <c r="D2696" t="inlineStr">
        <is>
          <t>Em 2026</t>
        </is>
      </c>
      <c r="E2696" s="28" t="n">
        <v>46034</v>
      </c>
      <c r="F2696" t="inlineStr">
        <is>
          <t>CT-e</t>
        </is>
      </c>
      <c r="G2696" t="inlineStr">
        <is>
          <t>000006131</t>
        </is>
      </c>
      <c r="H2696" t="inlineStr">
        <is>
          <t>R&amp;R TRANSPORTE E LOGISTICA</t>
        </is>
      </c>
      <c r="J2696" s="29" t="n">
        <v>252.35</v>
      </c>
      <c r="K2696" s="29">
        <f>(1-ISNUMBER(SEARCH("556",M2696)))*(O2696*SUMIFS(Premissas!$C$5:$C$44,Premissas!$A$5:$A$44,$A2696,Premissas!$B$5:$B$44,$B2696)+P2696*SUMIFS(Premissas!$D$5:$D$44,Premissas!$A$5:$A$44,$A2696,Premissas!$B$5:$B$44,$B2696))+R2696*SUMIFS(Premissas!$E$5:$E$44,Premissas!$A$5:$A$44,$A2696,Premissas!$B$5:$B$44,$B2696)+S2696*SUMIFS(Premissas!$F$5:$F$44,Premissas!$A$5:$A$44,$A2696,Premissas!$B$5:$B$44,$B2696)</f>
        <v/>
      </c>
      <c r="L2696" s="29">
        <f>J2696-K2696</f>
        <v/>
      </c>
      <c r="M2696" t="inlineStr">
        <is>
          <t>1.350</t>
        </is>
      </c>
      <c r="N2696" t="inlineStr">
        <is>
          <t>Modalidade: 0 - Por conta do remetente | Parte: RFC COMERCIO DE MIUDEZAS LTDA (26.514.797/0004-81)</t>
        </is>
      </c>
      <c r="O2696" s="29" t="n">
        <v>0</v>
      </c>
      <c r="P2696" s="29" t="n">
        <v>0</v>
      </c>
      <c r="Q2696" s="29" t="n">
        <v>0</v>
      </c>
      <c r="R2696" s="29" t="n">
        <v>0</v>
      </c>
      <c r="S2696" s="29" t="n">
        <v>0</v>
      </c>
      <c r="T2696" t="inlineStr">
        <is>
          <t>25260126975620000130570010000061311001801297</t>
        </is>
      </c>
      <c r="U2696" t="inlineStr">
        <is>
          <t>Não</t>
        </is>
      </c>
    </row>
    <row r="2697">
      <c r="A2697" t="inlineStr">
        <is>
          <t>Frete de venda</t>
        </is>
      </c>
      <c r="B2697" t="inlineStr">
        <is>
          <t>2.01.02 Frete sobre Vendas</t>
        </is>
      </c>
      <c r="C2697" s="30" t="n">
        <v>46023</v>
      </c>
      <c r="D2697" t="inlineStr">
        <is>
          <t>Em 2026</t>
        </is>
      </c>
      <c r="E2697" s="28" t="n">
        <v>46034</v>
      </c>
      <c r="F2697" t="inlineStr">
        <is>
          <t>CT-e</t>
        </is>
      </c>
      <c r="G2697" t="inlineStr">
        <is>
          <t>000006132</t>
        </is>
      </c>
      <c r="H2697" t="inlineStr">
        <is>
          <t>R&amp;R TRANSPORTE E LOGISTICA</t>
        </is>
      </c>
      <c r="J2697" s="29" t="n">
        <v>46.76</v>
      </c>
      <c r="K2697" s="29">
        <f>(1-ISNUMBER(SEARCH("556",M2697)))*(O2697*SUMIFS(Premissas!$C$5:$C$44,Premissas!$A$5:$A$44,$A2697,Premissas!$B$5:$B$44,$B2697)+P2697*SUMIFS(Premissas!$D$5:$D$44,Premissas!$A$5:$A$44,$A2697,Premissas!$B$5:$B$44,$B2697))+R2697*SUMIFS(Premissas!$E$5:$E$44,Premissas!$A$5:$A$44,$A2697,Premissas!$B$5:$B$44,$B2697)+S2697*SUMIFS(Premissas!$F$5:$F$44,Premissas!$A$5:$A$44,$A2697,Premissas!$B$5:$B$44,$B2697)</f>
        <v/>
      </c>
      <c r="L2697" s="29">
        <f>J2697-K2697</f>
        <v/>
      </c>
      <c r="M2697" t="inlineStr">
        <is>
          <t>1.350</t>
        </is>
      </c>
      <c r="N2697" t="inlineStr">
        <is>
          <t>Modalidade: 0 - Por conta do remetente | Parte: DIOGO FERNANDO VIANA AREIA 14096825794 (41.701.911/0001-23)</t>
        </is>
      </c>
      <c r="O2697" s="29" t="n">
        <v>0</v>
      </c>
      <c r="P2697" s="29" t="n">
        <v>0</v>
      </c>
      <c r="Q2697" s="29" t="n">
        <v>0</v>
      </c>
      <c r="R2697" s="29" t="n">
        <v>0</v>
      </c>
      <c r="S2697" s="29" t="n">
        <v>0</v>
      </c>
      <c r="T2697" t="inlineStr">
        <is>
          <t>25260126975620000130570010000061321001501371</t>
        </is>
      </c>
      <c r="U2697" t="inlineStr">
        <is>
          <t>Não</t>
        </is>
      </c>
    </row>
    <row r="2698">
      <c r="A2698" t="inlineStr">
        <is>
          <t>Frete de venda</t>
        </is>
      </c>
      <c r="B2698" t="inlineStr">
        <is>
          <t>2.01.02 Frete sobre Vendas</t>
        </is>
      </c>
      <c r="C2698" s="30" t="n">
        <v>46023</v>
      </c>
      <c r="D2698" t="inlineStr">
        <is>
          <t>Em 2026</t>
        </is>
      </c>
      <c r="E2698" s="28" t="n">
        <v>46034</v>
      </c>
      <c r="F2698" t="inlineStr">
        <is>
          <t>CT-e</t>
        </is>
      </c>
      <c r="G2698" t="inlineStr">
        <is>
          <t>000006133</t>
        </is>
      </c>
      <c r="H2698" t="inlineStr">
        <is>
          <t>R&amp;R TRANSPORTE E LOGISTICA</t>
        </is>
      </c>
      <c r="J2698" s="29" t="n">
        <v>40.73</v>
      </c>
      <c r="K2698" s="29">
        <f>(1-ISNUMBER(SEARCH("556",M2698)))*(O2698*SUMIFS(Premissas!$C$5:$C$44,Premissas!$A$5:$A$44,$A2698,Premissas!$B$5:$B$44,$B2698)+P2698*SUMIFS(Premissas!$D$5:$D$44,Premissas!$A$5:$A$44,$A2698,Premissas!$B$5:$B$44,$B2698))+R2698*SUMIFS(Premissas!$E$5:$E$44,Premissas!$A$5:$A$44,$A2698,Premissas!$B$5:$B$44,$B2698)+S2698*SUMIFS(Premissas!$F$5:$F$44,Premissas!$A$5:$A$44,$A2698,Premissas!$B$5:$B$44,$B2698)</f>
        <v/>
      </c>
      <c r="L2698" s="29">
        <f>J2698-K2698</f>
        <v/>
      </c>
      <c r="M2698" t="inlineStr">
        <is>
          <t>1.350</t>
        </is>
      </c>
      <c r="N2698" t="inlineStr">
        <is>
          <t>Modalidade: 0 - Por conta do remetente | Parte: FRONTEIRA EMBALAGENS LTDA (47.115.817/0001-79)</t>
        </is>
      </c>
      <c r="O2698" s="29" t="n">
        <v>0</v>
      </c>
      <c r="P2698" s="29" t="n">
        <v>0</v>
      </c>
      <c r="Q2698" s="29" t="n">
        <v>0</v>
      </c>
      <c r="R2698" s="29" t="n">
        <v>0</v>
      </c>
      <c r="S2698" s="29" t="n">
        <v>0</v>
      </c>
      <c r="T2698" t="inlineStr">
        <is>
          <t>25260126975620000130570010000061331001201456</t>
        </is>
      </c>
      <c r="U2698" t="inlineStr">
        <is>
          <t>Não</t>
        </is>
      </c>
    </row>
    <row r="2699">
      <c r="A2699" t="inlineStr">
        <is>
          <t>Frete de venda</t>
        </is>
      </c>
      <c r="B2699" t="inlineStr">
        <is>
          <t>2.01.02 Frete sobre Vendas</t>
        </is>
      </c>
      <c r="C2699" s="30" t="n">
        <v>46023</v>
      </c>
      <c r="D2699" t="inlineStr">
        <is>
          <t>Em 2026</t>
        </is>
      </c>
      <c r="E2699" s="28" t="n">
        <v>46034</v>
      </c>
      <c r="F2699" t="inlineStr">
        <is>
          <t>CT-e</t>
        </is>
      </c>
      <c r="G2699" t="inlineStr">
        <is>
          <t>000006134</t>
        </is>
      </c>
      <c r="H2699" t="inlineStr">
        <is>
          <t>R&amp;R TRANSPORTE E LOGISTICA</t>
        </is>
      </c>
      <c r="J2699" s="29" t="n">
        <v>284.69</v>
      </c>
      <c r="K2699" s="29">
        <f>(1-ISNUMBER(SEARCH("556",M2699)))*(O2699*SUMIFS(Premissas!$C$5:$C$44,Premissas!$A$5:$A$44,$A2699,Premissas!$B$5:$B$44,$B2699)+P2699*SUMIFS(Premissas!$D$5:$D$44,Premissas!$A$5:$A$44,$A2699,Premissas!$B$5:$B$44,$B2699))+R2699*SUMIFS(Premissas!$E$5:$E$44,Premissas!$A$5:$A$44,$A2699,Premissas!$B$5:$B$44,$B2699)+S2699*SUMIFS(Premissas!$F$5:$F$44,Premissas!$A$5:$A$44,$A2699,Premissas!$B$5:$B$44,$B2699)</f>
        <v/>
      </c>
      <c r="L2699" s="29">
        <f>J2699-K2699</f>
        <v/>
      </c>
      <c r="M2699" t="inlineStr">
        <is>
          <t>1.350</t>
        </is>
      </c>
      <c r="N2699" t="inlineStr">
        <is>
          <t>Modalidade: 0 - Por conta do remetente | Parte: DISTRIBUIDORA DE EMBALAGENS CASTROPIL LTDA. (08.961.274/0007-44)</t>
        </is>
      </c>
      <c r="O2699" s="29" t="n">
        <v>0</v>
      </c>
      <c r="P2699" s="29" t="n">
        <v>0</v>
      </c>
      <c r="Q2699" s="29" t="n">
        <v>0</v>
      </c>
      <c r="R2699" s="29" t="n">
        <v>0</v>
      </c>
      <c r="S2699" s="29" t="n">
        <v>0</v>
      </c>
      <c r="T2699" t="inlineStr">
        <is>
          <t>25260126975620000130570010000061341011001538</t>
        </is>
      </c>
      <c r="U2699" t="inlineStr">
        <is>
          <t>Não</t>
        </is>
      </c>
    </row>
    <row r="2700">
      <c r="A2700" t="inlineStr">
        <is>
          <t>Frete de venda</t>
        </is>
      </c>
      <c r="B2700" t="inlineStr">
        <is>
          <t>2.01.02 Frete sobre Vendas</t>
        </is>
      </c>
      <c r="C2700" s="30" t="n">
        <v>46023</v>
      </c>
      <c r="D2700" t="inlineStr">
        <is>
          <t>Em 2026</t>
        </is>
      </c>
      <c r="E2700" s="28" t="n">
        <v>46036</v>
      </c>
      <c r="F2700" t="inlineStr">
        <is>
          <t>CT-e</t>
        </is>
      </c>
      <c r="G2700" t="inlineStr">
        <is>
          <t>000006138</t>
        </is>
      </c>
      <c r="H2700" t="inlineStr">
        <is>
          <t>R&amp;R TRANSPORTE E LOGISTICA</t>
        </is>
      </c>
      <c r="J2700" s="29" t="n">
        <v>106.62</v>
      </c>
      <c r="K2700" s="29">
        <f>(1-ISNUMBER(SEARCH("556",M2700)))*(O2700*SUMIFS(Premissas!$C$5:$C$44,Premissas!$A$5:$A$44,$A2700,Premissas!$B$5:$B$44,$B2700)+P2700*SUMIFS(Premissas!$D$5:$D$44,Premissas!$A$5:$A$44,$A2700,Premissas!$B$5:$B$44,$B2700))+R2700*SUMIFS(Premissas!$E$5:$E$44,Premissas!$A$5:$A$44,$A2700,Premissas!$B$5:$B$44,$B2700)+S2700*SUMIFS(Premissas!$F$5:$F$44,Premissas!$A$5:$A$44,$A2700,Premissas!$B$5:$B$44,$B2700)</f>
        <v/>
      </c>
      <c r="L2700" s="29">
        <f>J2700-K2700</f>
        <v/>
      </c>
      <c r="M2700" t="inlineStr">
        <is>
          <t>1.350</t>
        </is>
      </c>
      <c r="N2700" t="inlineStr">
        <is>
          <t>Modalidade: 0 - Por conta do remetente | Parte: BEBIFRIOS COMERCIAL LTDA (05.796.195/0001-41)</t>
        </is>
      </c>
      <c r="O2700" s="29" t="n">
        <v>0</v>
      </c>
      <c r="P2700" s="29" t="n">
        <v>0</v>
      </c>
      <c r="Q2700" s="29" t="n">
        <v>0</v>
      </c>
      <c r="R2700" s="29" t="n">
        <v>0</v>
      </c>
      <c r="S2700" s="29" t="n">
        <v>0</v>
      </c>
      <c r="T2700" t="inlineStr">
        <is>
          <t>25260126975620000130570010000061381011001200</t>
        </is>
      </c>
      <c r="U2700" t="inlineStr">
        <is>
          <t>Não</t>
        </is>
      </c>
    </row>
    <row r="2701">
      <c r="A2701" t="inlineStr">
        <is>
          <t>Frete de venda</t>
        </is>
      </c>
      <c r="B2701" t="inlineStr">
        <is>
          <t>2.01.02 Frete sobre Vendas</t>
        </is>
      </c>
      <c r="C2701" s="30" t="n">
        <v>46023</v>
      </c>
      <c r="D2701" t="inlineStr">
        <is>
          <t>Em 2026</t>
        </is>
      </c>
      <c r="E2701" s="28" t="n">
        <v>46036</v>
      </c>
      <c r="F2701" t="inlineStr">
        <is>
          <t>CT-e</t>
        </is>
      </c>
      <c r="G2701" t="inlineStr">
        <is>
          <t>000006139</t>
        </is>
      </c>
      <c r="H2701" t="inlineStr">
        <is>
          <t>R&amp;R TRANSPORTE E LOGISTICA</t>
        </is>
      </c>
      <c r="J2701" s="29" t="n">
        <v>26.27</v>
      </c>
      <c r="K2701" s="29">
        <f>(1-ISNUMBER(SEARCH("556",M2701)))*(O2701*SUMIFS(Premissas!$C$5:$C$44,Premissas!$A$5:$A$44,$A2701,Premissas!$B$5:$B$44,$B2701)+P2701*SUMIFS(Premissas!$D$5:$D$44,Premissas!$A$5:$A$44,$A2701,Premissas!$B$5:$B$44,$B2701))+R2701*SUMIFS(Premissas!$E$5:$E$44,Premissas!$A$5:$A$44,$A2701,Premissas!$B$5:$B$44,$B2701)+S2701*SUMIFS(Premissas!$F$5:$F$44,Premissas!$A$5:$A$44,$A2701,Premissas!$B$5:$B$44,$B2701)</f>
        <v/>
      </c>
      <c r="L2701" s="29">
        <f>J2701-K2701</f>
        <v/>
      </c>
      <c r="M2701" t="inlineStr">
        <is>
          <t>1.350</t>
        </is>
      </c>
      <c r="N2701" t="inlineStr">
        <is>
          <t>Modalidade: 0 - Por conta do remetente | Parte: ROSA SUL TUBARAO LTDA (62.451.631/0001-84)</t>
        </is>
      </c>
      <c r="O2701" s="29" t="n">
        <v>0</v>
      </c>
      <c r="P2701" s="29" t="n">
        <v>0</v>
      </c>
      <c r="Q2701" s="29" t="n">
        <v>0</v>
      </c>
      <c r="R2701" s="29" t="n">
        <v>0</v>
      </c>
      <c r="S2701" s="29" t="n">
        <v>0</v>
      </c>
      <c r="T2701" t="inlineStr">
        <is>
          <t>25260126975620000130570010000061391001701282</t>
        </is>
      </c>
      <c r="U2701" t="inlineStr">
        <is>
          <t>Não</t>
        </is>
      </c>
    </row>
    <row r="2702">
      <c r="A2702" t="inlineStr">
        <is>
          <t>Frete de venda</t>
        </is>
      </c>
      <c r="B2702" t="inlineStr">
        <is>
          <t>2.01.02 Frete sobre Vendas</t>
        </is>
      </c>
      <c r="C2702" s="30" t="n">
        <v>46023</v>
      </c>
      <c r="D2702" t="inlineStr">
        <is>
          <t>Em 2026</t>
        </is>
      </c>
      <c r="E2702" s="28" t="n">
        <v>46036</v>
      </c>
      <c r="F2702" t="inlineStr">
        <is>
          <t>CT-e</t>
        </is>
      </c>
      <c r="G2702" t="inlineStr">
        <is>
          <t>000006140</t>
        </is>
      </c>
      <c r="H2702" t="inlineStr">
        <is>
          <t>R&amp;R TRANSPORTE E LOGISTICA</t>
        </is>
      </c>
      <c r="J2702" s="29" t="n">
        <v>32.03</v>
      </c>
      <c r="K2702" s="29">
        <f>(1-ISNUMBER(SEARCH("556",M2702)))*(O2702*SUMIFS(Premissas!$C$5:$C$44,Premissas!$A$5:$A$44,$A2702,Premissas!$B$5:$B$44,$B2702)+P2702*SUMIFS(Premissas!$D$5:$D$44,Premissas!$A$5:$A$44,$A2702,Premissas!$B$5:$B$44,$B2702))+R2702*SUMIFS(Premissas!$E$5:$E$44,Premissas!$A$5:$A$44,$A2702,Premissas!$B$5:$B$44,$B2702)+S2702*SUMIFS(Premissas!$F$5:$F$44,Premissas!$A$5:$A$44,$A2702,Premissas!$B$5:$B$44,$B2702)</f>
        <v/>
      </c>
      <c r="L2702" s="29">
        <f>J2702-K2702</f>
        <v/>
      </c>
      <c r="M2702" t="inlineStr">
        <is>
          <t>1.350</t>
        </is>
      </c>
      <c r="N2702" t="inlineStr">
        <is>
          <t>Modalidade: 0 - Por conta do remetente | Parte: MATEUS LOURENCO LTDA (81.035.735/0001-52)</t>
        </is>
      </c>
      <c r="O2702" s="29" t="n">
        <v>0</v>
      </c>
      <c r="P2702" s="29" t="n">
        <v>0</v>
      </c>
      <c r="Q2702" s="29" t="n">
        <v>0</v>
      </c>
      <c r="R2702" s="29" t="n">
        <v>0</v>
      </c>
      <c r="S2702" s="29" t="n">
        <v>0</v>
      </c>
      <c r="T2702" t="inlineStr">
        <is>
          <t>25260126975620000130570010000061401001401360</t>
        </is>
      </c>
      <c r="U2702" t="inlineStr">
        <is>
          <t>Não</t>
        </is>
      </c>
    </row>
    <row r="2703">
      <c r="A2703" t="inlineStr">
        <is>
          <t>Frete de venda</t>
        </is>
      </c>
      <c r="B2703" t="inlineStr">
        <is>
          <t>2.01.02 Frete sobre Vendas</t>
        </is>
      </c>
      <c r="C2703" s="30" t="n">
        <v>46023</v>
      </c>
      <c r="D2703" t="inlineStr">
        <is>
          <t>Em 2026</t>
        </is>
      </c>
      <c r="E2703" s="28" t="n">
        <v>46036</v>
      </c>
      <c r="F2703" t="inlineStr">
        <is>
          <t>CT-e</t>
        </is>
      </c>
      <c r="G2703" t="inlineStr">
        <is>
          <t>000006141</t>
        </is>
      </c>
      <c r="H2703" t="inlineStr">
        <is>
          <t>R&amp;R TRANSPORTE E LOGISTICA</t>
        </is>
      </c>
      <c r="J2703" s="29" t="n">
        <v>26.29</v>
      </c>
      <c r="K2703" s="29">
        <f>(1-ISNUMBER(SEARCH("556",M2703)))*(O2703*SUMIFS(Premissas!$C$5:$C$44,Premissas!$A$5:$A$44,$A2703,Premissas!$B$5:$B$44,$B2703)+P2703*SUMIFS(Premissas!$D$5:$D$44,Premissas!$A$5:$A$44,$A2703,Premissas!$B$5:$B$44,$B2703))+R2703*SUMIFS(Premissas!$E$5:$E$44,Premissas!$A$5:$A$44,$A2703,Premissas!$B$5:$B$44,$B2703)+S2703*SUMIFS(Premissas!$F$5:$F$44,Premissas!$A$5:$A$44,$A2703,Premissas!$B$5:$B$44,$B2703)</f>
        <v/>
      </c>
      <c r="L2703" s="29">
        <f>J2703-K2703</f>
        <v/>
      </c>
      <c r="M2703" t="inlineStr">
        <is>
          <t>1.350</t>
        </is>
      </c>
      <c r="N2703" t="inlineStr">
        <is>
          <t>Modalidade: 0 - Por conta do remetente | Parte: JOELMA XAVIER LTDA (46.882.996/0003-79)</t>
        </is>
      </c>
      <c r="O2703" s="29" t="n">
        <v>0</v>
      </c>
      <c r="P2703" s="29" t="n">
        <v>0</v>
      </c>
      <c r="Q2703" s="29" t="n">
        <v>0</v>
      </c>
      <c r="R2703" s="29" t="n">
        <v>0</v>
      </c>
      <c r="S2703" s="29" t="n">
        <v>0</v>
      </c>
      <c r="T2703" t="inlineStr">
        <is>
          <t>25260126975620000130570010000061411001101445</t>
        </is>
      </c>
      <c r="U2703" t="inlineStr">
        <is>
          <t>Não</t>
        </is>
      </c>
    </row>
    <row r="2704">
      <c r="A2704" t="inlineStr">
        <is>
          <t>Frete de venda</t>
        </is>
      </c>
      <c r="B2704" t="inlineStr">
        <is>
          <t>2.01.02 Frete sobre Vendas</t>
        </is>
      </c>
      <c r="C2704" s="30" t="n">
        <v>46023</v>
      </c>
      <c r="D2704" t="inlineStr">
        <is>
          <t>Em 2026</t>
        </is>
      </c>
      <c r="E2704" s="28" t="n">
        <v>46036</v>
      </c>
      <c r="F2704" t="inlineStr">
        <is>
          <t>CT-e</t>
        </is>
      </c>
      <c r="G2704" t="inlineStr">
        <is>
          <t>000006142</t>
        </is>
      </c>
      <c r="H2704" t="inlineStr">
        <is>
          <t>R&amp;R TRANSPORTE E LOGISTICA</t>
        </is>
      </c>
      <c r="J2704" s="29" t="n">
        <v>23.18</v>
      </c>
      <c r="K2704" s="29">
        <f>(1-ISNUMBER(SEARCH("556",M2704)))*(O2704*SUMIFS(Premissas!$C$5:$C$44,Premissas!$A$5:$A$44,$A2704,Premissas!$B$5:$B$44,$B2704)+P2704*SUMIFS(Premissas!$D$5:$D$44,Premissas!$A$5:$A$44,$A2704,Premissas!$B$5:$B$44,$B2704))+R2704*SUMIFS(Premissas!$E$5:$E$44,Premissas!$A$5:$A$44,$A2704,Premissas!$B$5:$B$44,$B2704)+S2704*SUMIFS(Premissas!$F$5:$F$44,Premissas!$A$5:$A$44,$A2704,Premissas!$B$5:$B$44,$B2704)</f>
        <v/>
      </c>
      <c r="L2704" s="29">
        <f>J2704-K2704</f>
        <v/>
      </c>
      <c r="M2704" t="inlineStr">
        <is>
          <t>1.350</t>
        </is>
      </c>
      <c r="N2704" t="inlineStr">
        <is>
          <t>Modalidade: 0 - Por conta do remetente | Parte: DK COMERCIO DE PRODUTOS ALIMENTICIOS LTDA (34.829.407/0001-48)</t>
        </is>
      </c>
      <c r="O2704" s="29" t="n">
        <v>0</v>
      </c>
      <c r="P2704" s="29" t="n">
        <v>0</v>
      </c>
      <c r="Q2704" s="29" t="n">
        <v>0</v>
      </c>
      <c r="R2704" s="29" t="n">
        <v>0</v>
      </c>
      <c r="S2704" s="29" t="n">
        <v>0</v>
      </c>
      <c r="T2704" t="inlineStr">
        <is>
          <t>25260126975620000130570010000061421001901520</t>
        </is>
      </c>
      <c r="U2704" t="inlineStr">
        <is>
          <t>Não</t>
        </is>
      </c>
    </row>
    <row r="2705">
      <c r="A2705" t="inlineStr">
        <is>
          <t>Frete de venda</t>
        </is>
      </c>
      <c r="B2705" t="inlineStr">
        <is>
          <t>2.01.02 Frete sobre Vendas</t>
        </is>
      </c>
      <c r="C2705" s="30" t="n">
        <v>46023</v>
      </c>
      <c r="D2705" t="inlineStr">
        <is>
          <t>Em 2026</t>
        </is>
      </c>
      <c r="E2705" s="28" t="n">
        <v>46036</v>
      </c>
      <c r="F2705" t="inlineStr">
        <is>
          <t>CT-e</t>
        </is>
      </c>
      <c r="G2705" t="inlineStr">
        <is>
          <t>000006143</t>
        </is>
      </c>
      <c r="H2705" t="inlineStr">
        <is>
          <t>R&amp;R TRANSPORTE E LOGISTICA</t>
        </is>
      </c>
      <c r="J2705" s="29" t="n">
        <v>25.97</v>
      </c>
      <c r="K2705" s="29">
        <f>(1-ISNUMBER(SEARCH("556",M2705)))*(O2705*SUMIFS(Premissas!$C$5:$C$44,Premissas!$A$5:$A$44,$A2705,Premissas!$B$5:$B$44,$B2705)+P2705*SUMIFS(Premissas!$D$5:$D$44,Premissas!$A$5:$A$44,$A2705,Premissas!$B$5:$B$44,$B2705))+R2705*SUMIFS(Premissas!$E$5:$E$44,Premissas!$A$5:$A$44,$A2705,Premissas!$B$5:$B$44,$B2705)+S2705*SUMIFS(Premissas!$F$5:$F$44,Premissas!$A$5:$A$44,$A2705,Premissas!$B$5:$B$44,$B2705)</f>
        <v/>
      </c>
      <c r="L2705" s="29">
        <f>J2705-K2705</f>
        <v/>
      </c>
      <c r="M2705" t="inlineStr">
        <is>
          <t>1.350</t>
        </is>
      </c>
      <c r="N2705" t="inlineStr">
        <is>
          <t>Modalidade: 0 - Por conta do remetente | Parte: JONATAN SCREMIN COMERCIO E DISTRIBUICAO DE FRIOS (36.612.674/0001-94)</t>
        </is>
      </c>
      <c r="O2705" s="29" t="n">
        <v>0</v>
      </c>
      <c r="P2705" s="29" t="n">
        <v>0</v>
      </c>
      <c r="Q2705" s="29" t="n">
        <v>0</v>
      </c>
      <c r="R2705" s="29" t="n">
        <v>0</v>
      </c>
      <c r="S2705" s="29" t="n">
        <v>0</v>
      </c>
      <c r="T2705" t="inlineStr">
        <is>
          <t>25260126975620000130570010000061431001601604</t>
        </is>
      </c>
      <c r="U2705" t="inlineStr">
        <is>
          <t>Não</t>
        </is>
      </c>
    </row>
    <row r="2706">
      <c r="A2706" t="inlineStr">
        <is>
          <t>Frete de venda</t>
        </is>
      </c>
      <c r="B2706" t="inlineStr">
        <is>
          <t>2.01.02 Frete sobre Vendas</t>
        </is>
      </c>
      <c r="C2706" s="30" t="n">
        <v>46023</v>
      </c>
      <c r="D2706" t="inlineStr">
        <is>
          <t>Em 2026</t>
        </is>
      </c>
      <c r="E2706" s="28" t="n">
        <v>46036</v>
      </c>
      <c r="F2706" t="inlineStr">
        <is>
          <t>CT-e</t>
        </is>
      </c>
      <c r="G2706" t="inlineStr">
        <is>
          <t>000006144</t>
        </is>
      </c>
      <c r="H2706" t="inlineStr">
        <is>
          <t>R&amp;R TRANSPORTE E LOGISTICA</t>
        </is>
      </c>
      <c r="J2706" s="29" t="n">
        <v>19.87</v>
      </c>
      <c r="K2706" s="29">
        <f>(1-ISNUMBER(SEARCH("556",M2706)))*(O2706*SUMIFS(Premissas!$C$5:$C$44,Premissas!$A$5:$A$44,$A2706,Premissas!$B$5:$B$44,$B2706)+P2706*SUMIFS(Premissas!$D$5:$D$44,Premissas!$A$5:$A$44,$A2706,Premissas!$B$5:$B$44,$B2706))+R2706*SUMIFS(Premissas!$E$5:$E$44,Premissas!$A$5:$A$44,$A2706,Premissas!$B$5:$B$44,$B2706)+S2706*SUMIFS(Premissas!$F$5:$F$44,Premissas!$A$5:$A$44,$A2706,Premissas!$B$5:$B$44,$B2706)</f>
        <v/>
      </c>
      <c r="L2706" s="29">
        <f>J2706-K2706</f>
        <v/>
      </c>
      <c r="M2706" t="inlineStr">
        <is>
          <t>1.350</t>
        </is>
      </c>
      <c r="N2706" t="inlineStr">
        <is>
          <t>Modalidade: 0 - Por conta do remetente | Parte: PAULO e LOURENCO LTDA (03.842.420/0001-03)</t>
        </is>
      </c>
      <c r="O2706" s="29" t="n">
        <v>0</v>
      </c>
      <c r="P2706" s="29" t="n">
        <v>0</v>
      </c>
      <c r="Q2706" s="29" t="n">
        <v>0</v>
      </c>
      <c r="R2706" s="29" t="n">
        <v>0</v>
      </c>
      <c r="S2706" s="29" t="n">
        <v>0</v>
      </c>
      <c r="T2706" t="inlineStr">
        <is>
          <t>25260126975620000130570010000061441001301683</t>
        </is>
      </c>
      <c r="U2706" t="inlineStr">
        <is>
          <t>Não</t>
        </is>
      </c>
    </row>
    <row r="2707">
      <c r="A2707" t="inlineStr">
        <is>
          <t>Frete de venda</t>
        </is>
      </c>
      <c r="B2707" t="inlineStr">
        <is>
          <t>2.01.02 Frete sobre Vendas</t>
        </is>
      </c>
      <c r="C2707" s="30" t="n">
        <v>46023</v>
      </c>
      <c r="D2707" t="inlineStr">
        <is>
          <t>Em 2026</t>
        </is>
      </c>
      <c r="E2707" s="28" t="n">
        <v>46036</v>
      </c>
      <c r="F2707" t="inlineStr">
        <is>
          <t>CT-e</t>
        </is>
      </c>
      <c r="G2707" t="inlineStr">
        <is>
          <t>000006145</t>
        </is>
      </c>
      <c r="H2707" t="inlineStr">
        <is>
          <t>R&amp;R TRANSPORTE E LOGISTICA</t>
        </is>
      </c>
      <c r="J2707" s="29" t="n">
        <v>31.82</v>
      </c>
      <c r="K2707" s="29">
        <f>(1-ISNUMBER(SEARCH("556",M2707)))*(O2707*SUMIFS(Premissas!$C$5:$C$44,Premissas!$A$5:$A$44,$A2707,Premissas!$B$5:$B$44,$B2707)+P2707*SUMIFS(Premissas!$D$5:$D$44,Premissas!$A$5:$A$44,$A2707,Premissas!$B$5:$B$44,$B2707))+R2707*SUMIFS(Premissas!$E$5:$E$44,Premissas!$A$5:$A$44,$A2707,Premissas!$B$5:$B$44,$B2707)+S2707*SUMIFS(Premissas!$F$5:$F$44,Premissas!$A$5:$A$44,$A2707,Premissas!$B$5:$B$44,$B2707)</f>
        <v/>
      </c>
      <c r="L2707" s="29">
        <f>J2707-K2707</f>
        <v/>
      </c>
      <c r="M2707" t="inlineStr">
        <is>
          <t>1.350</t>
        </is>
      </c>
      <c r="N2707" t="inlineStr">
        <is>
          <t>Modalidade: 0 - Por conta do remetente | Parte: FRIOSETE COMERCIO DE FRIOS LTDA (97.426.472/0001-42)</t>
        </is>
      </c>
      <c r="O2707" s="29" t="n">
        <v>0</v>
      </c>
      <c r="P2707" s="29" t="n">
        <v>0</v>
      </c>
      <c r="Q2707" s="29" t="n">
        <v>0</v>
      </c>
      <c r="R2707" s="29" t="n">
        <v>0</v>
      </c>
      <c r="S2707" s="29" t="n">
        <v>0</v>
      </c>
      <c r="T2707" t="inlineStr">
        <is>
          <t>25260126975620000130570010000061451000101769</t>
        </is>
      </c>
      <c r="U2707" t="inlineStr">
        <is>
          <t>Não</t>
        </is>
      </c>
    </row>
    <row r="2708">
      <c r="A2708" t="inlineStr">
        <is>
          <t>Frete de venda</t>
        </is>
      </c>
      <c r="B2708" t="inlineStr">
        <is>
          <t>2.01.02 Frete sobre Vendas</t>
        </is>
      </c>
      <c r="C2708" s="30" t="n">
        <v>46023</v>
      </c>
      <c r="D2708" t="inlineStr">
        <is>
          <t>Em 2026</t>
        </is>
      </c>
      <c r="E2708" s="28" t="n">
        <v>46036</v>
      </c>
      <c r="F2708" t="inlineStr">
        <is>
          <t>CT-e</t>
        </is>
      </c>
      <c r="G2708" t="inlineStr">
        <is>
          <t>000006146</t>
        </is>
      </c>
      <c r="H2708" t="inlineStr">
        <is>
          <t>R&amp;R TRANSPORTE E LOGISTICA</t>
        </is>
      </c>
      <c r="J2708" s="29" t="n">
        <v>14.85</v>
      </c>
      <c r="K2708" s="29">
        <f>(1-ISNUMBER(SEARCH("556",M2708)))*(O2708*SUMIFS(Premissas!$C$5:$C$44,Premissas!$A$5:$A$44,$A2708,Premissas!$B$5:$B$44,$B2708)+P2708*SUMIFS(Premissas!$D$5:$D$44,Premissas!$A$5:$A$44,$A2708,Premissas!$B$5:$B$44,$B2708))+R2708*SUMIFS(Premissas!$E$5:$E$44,Premissas!$A$5:$A$44,$A2708,Premissas!$B$5:$B$44,$B2708)+S2708*SUMIFS(Premissas!$F$5:$F$44,Premissas!$A$5:$A$44,$A2708,Premissas!$B$5:$B$44,$B2708)</f>
        <v/>
      </c>
      <c r="L2708" s="29">
        <f>J2708-K2708</f>
        <v/>
      </c>
      <c r="M2708" t="inlineStr">
        <is>
          <t>1.350</t>
        </is>
      </c>
      <c r="N2708" t="inlineStr">
        <is>
          <t>Modalidade: 0 - Por conta do remetente | Parte: BRUNA CRISTINA VIEIRA (20.310.142/0001-62)</t>
        </is>
      </c>
      <c r="O2708" s="29" t="n">
        <v>0</v>
      </c>
      <c r="P2708" s="29" t="n">
        <v>0</v>
      </c>
      <c r="Q2708" s="29" t="n">
        <v>0</v>
      </c>
      <c r="R2708" s="29" t="n">
        <v>0</v>
      </c>
      <c r="S2708" s="29" t="n">
        <v>0</v>
      </c>
      <c r="T2708" t="inlineStr">
        <is>
          <t>25260126975620000130570010000061461001801842</t>
        </is>
      </c>
      <c r="U2708" t="inlineStr">
        <is>
          <t>Não</t>
        </is>
      </c>
    </row>
    <row r="2709">
      <c r="A2709" t="inlineStr">
        <is>
          <t>Frete de venda</t>
        </is>
      </c>
      <c r="B2709" t="inlineStr">
        <is>
          <t>2.01.02 Frete sobre Vendas</t>
        </is>
      </c>
      <c r="C2709" s="30" t="n">
        <v>46023</v>
      </c>
      <c r="D2709" t="inlineStr">
        <is>
          <t>Em 2026</t>
        </is>
      </c>
      <c r="E2709" s="28" t="n">
        <v>46036</v>
      </c>
      <c r="F2709" t="inlineStr">
        <is>
          <t>CT-e</t>
        </is>
      </c>
      <c r="G2709" t="inlineStr">
        <is>
          <t>000006147</t>
        </is>
      </c>
      <c r="H2709" t="inlineStr">
        <is>
          <t>R&amp;R TRANSPORTE E LOGISTICA</t>
        </is>
      </c>
      <c r="J2709" s="29" t="n">
        <v>38.73</v>
      </c>
      <c r="K2709" s="29">
        <f>(1-ISNUMBER(SEARCH("556",M2709)))*(O2709*SUMIFS(Premissas!$C$5:$C$44,Premissas!$A$5:$A$44,$A2709,Premissas!$B$5:$B$44,$B2709)+P2709*SUMIFS(Premissas!$D$5:$D$44,Premissas!$A$5:$A$44,$A2709,Premissas!$B$5:$B$44,$B2709))+R2709*SUMIFS(Premissas!$E$5:$E$44,Premissas!$A$5:$A$44,$A2709,Premissas!$B$5:$B$44,$B2709)+S2709*SUMIFS(Premissas!$F$5:$F$44,Premissas!$A$5:$A$44,$A2709,Premissas!$B$5:$B$44,$B2709)</f>
        <v/>
      </c>
      <c r="L2709" s="29">
        <f>J2709-K2709</f>
        <v/>
      </c>
      <c r="M2709" t="inlineStr">
        <is>
          <t>1.350</t>
        </is>
      </c>
      <c r="N2709" t="inlineStr">
        <is>
          <t>Modalidade: 0 - Por conta do remetente | Parte: JOIA ATACADO DE EMBALAGENS E COM DE ALIMENTOS LTDA (24.505.271/0001-67)</t>
        </is>
      </c>
      <c r="O2709" s="29" t="n">
        <v>0</v>
      </c>
      <c r="P2709" s="29" t="n">
        <v>0</v>
      </c>
      <c r="Q2709" s="29" t="n">
        <v>0</v>
      </c>
      <c r="R2709" s="29" t="n">
        <v>0</v>
      </c>
      <c r="S2709" s="29" t="n">
        <v>0</v>
      </c>
      <c r="T2709" t="inlineStr">
        <is>
          <t>25260126975620000130570010000061471001501927</t>
        </is>
      </c>
      <c r="U2709" t="inlineStr">
        <is>
          <t>Não</t>
        </is>
      </c>
    </row>
    <row r="2710">
      <c r="A2710" t="inlineStr">
        <is>
          <t>Frete de venda</t>
        </is>
      </c>
      <c r="B2710" t="inlineStr">
        <is>
          <t>2.01.02 Frete sobre Vendas</t>
        </is>
      </c>
      <c r="C2710" s="30" t="n">
        <v>46023</v>
      </c>
      <c r="D2710" t="inlineStr">
        <is>
          <t>Em 2026</t>
        </is>
      </c>
      <c r="E2710" s="28" t="n">
        <v>46036</v>
      </c>
      <c r="F2710" t="inlineStr">
        <is>
          <t>CT-e</t>
        </is>
      </c>
      <c r="G2710" t="inlineStr">
        <is>
          <t>000006148</t>
        </is>
      </c>
      <c r="H2710" t="inlineStr">
        <is>
          <t>R&amp;R TRANSPORTE E LOGISTICA</t>
        </is>
      </c>
      <c r="J2710" s="29" t="n">
        <v>14.71</v>
      </c>
      <c r="K2710" s="29">
        <f>(1-ISNUMBER(SEARCH("556",M2710)))*(O2710*SUMIFS(Premissas!$C$5:$C$44,Premissas!$A$5:$A$44,$A2710,Premissas!$B$5:$B$44,$B2710)+P2710*SUMIFS(Premissas!$D$5:$D$44,Premissas!$A$5:$A$44,$A2710,Premissas!$B$5:$B$44,$B2710))+R2710*SUMIFS(Premissas!$E$5:$E$44,Premissas!$A$5:$A$44,$A2710,Premissas!$B$5:$B$44,$B2710)+S2710*SUMIFS(Premissas!$F$5:$F$44,Premissas!$A$5:$A$44,$A2710,Premissas!$B$5:$B$44,$B2710)</f>
        <v/>
      </c>
      <c r="L2710" s="29">
        <f>J2710-K2710</f>
        <v/>
      </c>
      <c r="M2710" t="inlineStr">
        <is>
          <t>1.350</t>
        </is>
      </c>
      <c r="N2710" t="inlineStr">
        <is>
          <t>Modalidade: 0 - Por conta do remetente | Parte: MERCADO LEONEL LTDA - EPP (82.008.087/0001-08)</t>
        </is>
      </c>
      <c r="O2710" s="29" t="n">
        <v>0</v>
      </c>
      <c r="P2710" s="29" t="n">
        <v>0</v>
      </c>
      <c r="Q2710" s="29" t="n">
        <v>0</v>
      </c>
      <c r="R2710" s="29" t="n">
        <v>0</v>
      </c>
      <c r="S2710" s="29" t="n">
        <v>0</v>
      </c>
      <c r="T2710" t="inlineStr">
        <is>
          <t>25260126975620000130570010000061481001601279</t>
        </is>
      </c>
      <c r="U2710" t="inlineStr">
        <is>
          <t>Não</t>
        </is>
      </c>
    </row>
    <row r="2711">
      <c r="A2711" t="inlineStr">
        <is>
          <t>Frete de venda</t>
        </is>
      </c>
      <c r="B2711" t="inlineStr">
        <is>
          <t>2.01.02 Frete sobre Vendas</t>
        </is>
      </c>
      <c r="C2711" s="30" t="n">
        <v>46023</v>
      </c>
      <c r="D2711" t="inlineStr">
        <is>
          <t>Em 2026</t>
        </is>
      </c>
      <c r="E2711" s="28" t="n">
        <v>46036</v>
      </c>
      <c r="F2711" t="inlineStr">
        <is>
          <t>CT-e</t>
        </is>
      </c>
      <c r="G2711" t="inlineStr">
        <is>
          <t>000006149</t>
        </is>
      </c>
      <c r="H2711" t="inlineStr">
        <is>
          <t>R&amp;R TRANSPORTE E LOGISTICA</t>
        </is>
      </c>
      <c r="J2711" s="29" t="n">
        <v>48.22</v>
      </c>
      <c r="K2711" s="29">
        <f>(1-ISNUMBER(SEARCH("556",M2711)))*(O2711*SUMIFS(Premissas!$C$5:$C$44,Premissas!$A$5:$A$44,$A2711,Premissas!$B$5:$B$44,$B2711)+P2711*SUMIFS(Premissas!$D$5:$D$44,Premissas!$A$5:$A$44,$A2711,Premissas!$B$5:$B$44,$B2711))+R2711*SUMIFS(Premissas!$E$5:$E$44,Premissas!$A$5:$A$44,$A2711,Premissas!$B$5:$B$44,$B2711)+S2711*SUMIFS(Premissas!$F$5:$F$44,Premissas!$A$5:$A$44,$A2711,Premissas!$B$5:$B$44,$B2711)</f>
        <v/>
      </c>
      <c r="L2711" s="29">
        <f>J2711-K2711</f>
        <v/>
      </c>
      <c r="M2711" t="inlineStr">
        <is>
          <t>1.350</t>
        </is>
      </c>
      <c r="N2711" t="inlineStr">
        <is>
          <t>Modalidade: 0 - Por conta do remetente | Parte: MASS COMERCIO DE EMBALAGENS LTDA (24.396.854/0001-05)</t>
        </is>
      </c>
      <c r="O2711" s="29" t="n">
        <v>0</v>
      </c>
      <c r="P2711" s="29" t="n">
        <v>0</v>
      </c>
      <c r="Q2711" s="29" t="n">
        <v>0</v>
      </c>
      <c r="R2711" s="29" t="n">
        <v>0</v>
      </c>
      <c r="S2711" s="29" t="n">
        <v>0</v>
      </c>
      <c r="T2711" t="inlineStr">
        <is>
          <t>25260126975620000130570010000061491001301353</t>
        </is>
      </c>
      <c r="U2711" t="inlineStr">
        <is>
          <t>Não</t>
        </is>
      </c>
    </row>
    <row r="2712">
      <c r="A2712" t="inlineStr">
        <is>
          <t>Frete de venda</t>
        </is>
      </c>
      <c r="B2712" t="inlineStr">
        <is>
          <t>2.01.02 Frete sobre Vendas</t>
        </is>
      </c>
      <c r="C2712" s="30" t="n">
        <v>46023</v>
      </c>
      <c r="D2712" t="inlineStr">
        <is>
          <t>Em 2026</t>
        </is>
      </c>
      <c r="E2712" s="28" t="n">
        <v>46036</v>
      </c>
      <c r="F2712" t="inlineStr">
        <is>
          <t>CT-e</t>
        </is>
      </c>
      <c r="G2712" t="inlineStr">
        <is>
          <t>000006150</t>
        </is>
      </c>
      <c r="H2712" t="inlineStr">
        <is>
          <t>R&amp;R TRANSPORTE E LOGISTICA</t>
        </is>
      </c>
      <c r="J2712" s="29" t="n">
        <v>25.55</v>
      </c>
      <c r="K2712" s="29">
        <f>(1-ISNUMBER(SEARCH("556",M2712)))*(O2712*SUMIFS(Premissas!$C$5:$C$44,Premissas!$A$5:$A$44,$A2712,Premissas!$B$5:$B$44,$B2712)+P2712*SUMIFS(Premissas!$D$5:$D$44,Premissas!$A$5:$A$44,$A2712,Premissas!$B$5:$B$44,$B2712))+R2712*SUMIFS(Premissas!$E$5:$E$44,Premissas!$A$5:$A$44,$A2712,Premissas!$B$5:$B$44,$B2712)+S2712*SUMIFS(Premissas!$F$5:$F$44,Premissas!$A$5:$A$44,$A2712,Premissas!$B$5:$B$44,$B2712)</f>
        <v/>
      </c>
      <c r="L2712" s="29">
        <f>J2712-K2712</f>
        <v/>
      </c>
      <c r="M2712" t="inlineStr">
        <is>
          <t>1.350</t>
        </is>
      </c>
      <c r="N2712" t="inlineStr">
        <is>
          <t>Modalidade: 0 - Por conta do remetente | Parte: HJM DISTRIBUICAO DE FRIOS LTDA (15.491.554/0001-06)</t>
        </is>
      </c>
      <c r="O2712" s="29" t="n">
        <v>0</v>
      </c>
      <c r="P2712" s="29" t="n">
        <v>0</v>
      </c>
      <c r="Q2712" s="29" t="n">
        <v>0</v>
      </c>
      <c r="R2712" s="29" t="n">
        <v>0</v>
      </c>
      <c r="S2712" s="29" t="n">
        <v>0</v>
      </c>
      <c r="T2712" t="inlineStr">
        <is>
          <t>25260126975620000130570010000061501000101432</t>
        </is>
      </c>
      <c r="U2712" t="inlineStr">
        <is>
          <t>Não</t>
        </is>
      </c>
    </row>
    <row r="2713">
      <c r="A2713" t="inlineStr">
        <is>
          <t>Frete de venda</t>
        </is>
      </c>
      <c r="B2713" t="inlineStr">
        <is>
          <t>2.01.02 Frete sobre Vendas</t>
        </is>
      </c>
      <c r="C2713" s="30" t="n">
        <v>46023</v>
      </c>
      <c r="D2713" t="inlineStr">
        <is>
          <t>Em 2026</t>
        </is>
      </c>
      <c r="E2713" s="28" t="n">
        <v>46036</v>
      </c>
      <c r="F2713" t="inlineStr">
        <is>
          <t>CT-e</t>
        </is>
      </c>
      <c r="G2713" t="inlineStr">
        <is>
          <t>000006151</t>
        </is>
      </c>
      <c r="H2713" t="inlineStr">
        <is>
          <t>R&amp;R TRANSPORTE E LOGISTICA</t>
        </is>
      </c>
      <c r="J2713" s="29" t="n">
        <v>17.83</v>
      </c>
      <c r="K2713" s="29">
        <f>(1-ISNUMBER(SEARCH("556",M2713)))*(O2713*SUMIFS(Premissas!$C$5:$C$44,Premissas!$A$5:$A$44,$A2713,Premissas!$B$5:$B$44,$B2713)+P2713*SUMIFS(Premissas!$D$5:$D$44,Premissas!$A$5:$A$44,$A2713,Premissas!$B$5:$B$44,$B2713))+R2713*SUMIFS(Premissas!$E$5:$E$44,Premissas!$A$5:$A$44,$A2713,Premissas!$B$5:$B$44,$B2713)+S2713*SUMIFS(Premissas!$F$5:$F$44,Premissas!$A$5:$A$44,$A2713,Premissas!$B$5:$B$44,$B2713)</f>
        <v/>
      </c>
      <c r="L2713" s="29">
        <f>J2713-K2713</f>
        <v/>
      </c>
      <c r="M2713" t="inlineStr">
        <is>
          <t>1.350</t>
        </is>
      </c>
      <c r="N2713" t="inlineStr">
        <is>
          <t>Modalidade: 0 - Por conta do remetente | Parte: N 1 UTILIDADES E FESTA LTDA (61.180.372/0001-31)</t>
        </is>
      </c>
      <c r="O2713" s="29" t="n">
        <v>0</v>
      </c>
      <c r="P2713" s="29" t="n">
        <v>0</v>
      </c>
      <c r="Q2713" s="29" t="n">
        <v>0</v>
      </c>
      <c r="R2713" s="29" t="n">
        <v>0</v>
      </c>
      <c r="S2713" s="29" t="n">
        <v>0</v>
      </c>
      <c r="T2713" t="inlineStr">
        <is>
          <t>25260126975620000130570010000061511001801516</t>
        </is>
      </c>
      <c r="U2713" t="inlineStr">
        <is>
          <t>Não</t>
        </is>
      </c>
    </row>
    <row r="2714">
      <c r="A2714" t="inlineStr">
        <is>
          <t>Frete de venda</t>
        </is>
      </c>
      <c r="B2714" t="inlineStr">
        <is>
          <t>2.01.02 Frete sobre Vendas</t>
        </is>
      </c>
      <c r="C2714" s="30" t="n">
        <v>46023</v>
      </c>
      <c r="D2714" t="inlineStr">
        <is>
          <t>Em 2026</t>
        </is>
      </c>
      <c r="E2714" s="28" t="n">
        <v>46036</v>
      </c>
      <c r="F2714" t="inlineStr">
        <is>
          <t>CT-e</t>
        </is>
      </c>
      <c r="G2714" t="inlineStr">
        <is>
          <t>000006152</t>
        </is>
      </c>
      <c r="H2714" t="inlineStr">
        <is>
          <t>R&amp;R TRANSPORTE E LOGISTICA</t>
        </is>
      </c>
      <c r="J2714" s="29" t="n">
        <v>20.37</v>
      </c>
      <c r="K2714" s="29">
        <f>(1-ISNUMBER(SEARCH("556",M2714)))*(O2714*SUMIFS(Premissas!$C$5:$C$44,Premissas!$A$5:$A$44,$A2714,Premissas!$B$5:$B$44,$B2714)+P2714*SUMIFS(Premissas!$D$5:$D$44,Premissas!$A$5:$A$44,$A2714,Premissas!$B$5:$B$44,$B2714))+R2714*SUMIFS(Premissas!$E$5:$E$44,Premissas!$A$5:$A$44,$A2714,Premissas!$B$5:$B$44,$B2714)+S2714*SUMIFS(Premissas!$F$5:$F$44,Premissas!$A$5:$A$44,$A2714,Premissas!$B$5:$B$44,$B2714)</f>
        <v/>
      </c>
      <c r="L2714" s="29">
        <f>J2714-K2714</f>
        <v/>
      </c>
      <c r="M2714" t="inlineStr">
        <is>
          <t>1.350</t>
        </is>
      </c>
      <c r="N2714" t="inlineStr">
        <is>
          <t>Modalidade: 0 - Por conta do remetente | Parte: J. I. DE LIMA DISTRIBUIDORA DE EMBALAGENS E FRIOS (05.267.473/0001-73)</t>
        </is>
      </c>
      <c r="O2714" s="29" t="n">
        <v>0</v>
      </c>
      <c r="P2714" s="29" t="n">
        <v>0</v>
      </c>
      <c r="Q2714" s="29" t="n">
        <v>0</v>
      </c>
      <c r="R2714" s="29" t="n">
        <v>0</v>
      </c>
      <c r="S2714" s="29" t="n">
        <v>0</v>
      </c>
      <c r="T2714" t="inlineStr">
        <is>
          <t>25260126975620000130570010000061521001501595</t>
        </is>
      </c>
      <c r="U2714" t="inlineStr">
        <is>
          <t>Não</t>
        </is>
      </c>
    </row>
    <row r="2715">
      <c r="A2715" t="inlineStr">
        <is>
          <t>Frete de venda</t>
        </is>
      </c>
      <c r="B2715" t="inlineStr">
        <is>
          <t>2.01.02 Frete sobre Vendas</t>
        </is>
      </c>
      <c r="C2715" s="30" t="n">
        <v>46023</v>
      </c>
      <c r="D2715" t="inlineStr">
        <is>
          <t>Em 2026</t>
        </is>
      </c>
      <c r="E2715" s="28" t="n">
        <v>46036</v>
      </c>
      <c r="F2715" t="inlineStr">
        <is>
          <t>CT-e</t>
        </is>
      </c>
      <c r="G2715" t="inlineStr">
        <is>
          <t>000006153</t>
        </is>
      </c>
      <c r="H2715" t="inlineStr">
        <is>
          <t>R&amp;R TRANSPORTE E LOGISTICA</t>
        </is>
      </c>
      <c r="J2715" s="29" t="n">
        <v>72.87</v>
      </c>
      <c r="K2715" s="29">
        <f>(1-ISNUMBER(SEARCH("556",M2715)))*(O2715*SUMIFS(Premissas!$C$5:$C$44,Premissas!$A$5:$A$44,$A2715,Premissas!$B$5:$B$44,$B2715)+P2715*SUMIFS(Premissas!$D$5:$D$44,Premissas!$A$5:$A$44,$A2715,Premissas!$B$5:$B$44,$B2715))+R2715*SUMIFS(Premissas!$E$5:$E$44,Premissas!$A$5:$A$44,$A2715,Premissas!$B$5:$B$44,$B2715)+S2715*SUMIFS(Premissas!$F$5:$F$44,Premissas!$A$5:$A$44,$A2715,Premissas!$B$5:$B$44,$B2715)</f>
        <v/>
      </c>
      <c r="L2715" s="29">
        <f>J2715-K2715</f>
        <v/>
      </c>
      <c r="M2715" t="inlineStr">
        <is>
          <t>1.350</t>
        </is>
      </c>
      <c r="N2715" t="inlineStr">
        <is>
          <t>Modalidade: 0 - Por conta do remetente | Parte: IRMAOS BATISTA REZENDE LTDA (13.916.629/0001-28)</t>
        </is>
      </c>
      <c r="O2715" s="29" t="n">
        <v>0</v>
      </c>
      <c r="P2715" s="29" t="n">
        <v>0</v>
      </c>
      <c r="Q2715" s="29" t="n">
        <v>0</v>
      </c>
      <c r="R2715" s="29" t="n">
        <v>0</v>
      </c>
      <c r="S2715" s="29" t="n">
        <v>0</v>
      </c>
      <c r="T2715" t="inlineStr">
        <is>
          <t>25260126975620000130570010000061531001201670</t>
        </is>
      </c>
      <c r="U2715" t="inlineStr">
        <is>
          <t>Não</t>
        </is>
      </c>
    </row>
    <row r="2716">
      <c r="A2716" t="inlineStr">
        <is>
          <t>Frete de venda</t>
        </is>
      </c>
      <c r="B2716" t="inlineStr">
        <is>
          <t>2.01.02 Frete sobre Vendas</t>
        </is>
      </c>
      <c r="C2716" s="30" t="n">
        <v>46023</v>
      </c>
      <c r="D2716" t="inlineStr">
        <is>
          <t>Em 2026</t>
        </is>
      </c>
      <c r="E2716" s="28" t="n">
        <v>46036</v>
      </c>
      <c r="F2716" t="inlineStr">
        <is>
          <t>CT-e</t>
        </is>
      </c>
      <c r="G2716" t="inlineStr">
        <is>
          <t>000006154</t>
        </is>
      </c>
      <c r="H2716" t="inlineStr">
        <is>
          <t>R&amp;R TRANSPORTE E LOGISTICA</t>
        </is>
      </c>
      <c r="J2716" s="29" t="n">
        <v>17.57</v>
      </c>
      <c r="K2716" s="29">
        <f>(1-ISNUMBER(SEARCH("556",M2716)))*(O2716*SUMIFS(Premissas!$C$5:$C$44,Premissas!$A$5:$A$44,$A2716,Premissas!$B$5:$B$44,$B2716)+P2716*SUMIFS(Premissas!$D$5:$D$44,Premissas!$A$5:$A$44,$A2716,Premissas!$B$5:$B$44,$B2716))+R2716*SUMIFS(Premissas!$E$5:$E$44,Premissas!$A$5:$A$44,$A2716,Premissas!$B$5:$B$44,$B2716)+S2716*SUMIFS(Premissas!$F$5:$F$44,Premissas!$A$5:$A$44,$A2716,Premissas!$B$5:$B$44,$B2716)</f>
        <v/>
      </c>
      <c r="L2716" s="29">
        <f>J2716-K2716</f>
        <v/>
      </c>
      <c r="M2716" t="inlineStr">
        <is>
          <t>1.350</t>
        </is>
      </c>
      <c r="N2716" t="inlineStr">
        <is>
          <t>Modalidade: 0 - Por conta do remetente | Parte: WILTON MARTINS DE SOUSA (52.568.727/0001-73)</t>
        </is>
      </c>
      <c r="O2716" s="29" t="n">
        <v>0</v>
      </c>
      <c r="P2716" s="29" t="n">
        <v>0</v>
      </c>
      <c r="Q2716" s="29" t="n">
        <v>0</v>
      </c>
      <c r="R2716" s="29" t="n">
        <v>0</v>
      </c>
      <c r="S2716" s="29" t="n">
        <v>0</v>
      </c>
      <c r="T2716" t="inlineStr">
        <is>
          <t>25260126975620000130570010000061541011001751</t>
        </is>
      </c>
      <c r="U2716" t="inlineStr">
        <is>
          <t>Não</t>
        </is>
      </c>
    </row>
    <row r="2717">
      <c r="A2717" t="inlineStr">
        <is>
          <t>Frete de venda</t>
        </is>
      </c>
      <c r="B2717" t="inlineStr">
        <is>
          <t>2.01.02 Frete sobre Vendas</t>
        </is>
      </c>
      <c r="C2717" s="30" t="n">
        <v>46023</v>
      </c>
      <c r="D2717" t="inlineStr">
        <is>
          <t>Em 2026</t>
        </is>
      </c>
      <c r="E2717" s="28" t="n">
        <v>46036</v>
      </c>
      <c r="F2717" t="inlineStr">
        <is>
          <t>CT-e</t>
        </is>
      </c>
      <c r="G2717" t="inlineStr">
        <is>
          <t>000006155</t>
        </is>
      </c>
      <c r="H2717" t="inlineStr">
        <is>
          <t>R&amp;R TRANSPORTE E LOGISTICA</t>
        </is>
      </c>
      <c r="J2717" s="29" t="n">
        <v>63.69</v>
      </c>
      <c r="K2717" s="29">
        <f>(1-ISNUMBER(SEARCH("556",M2717)))*(O2717*SUMIFS(Premissas!$C$5:$C$44,Premissas!$A$5:$A$44,$A2717,Premissas!$B$5:$B$44,$B2717)+P2717*SUMIFS(Premissas!$D$5:$D$44,Premissas!$A$5:$A$44,$A2717,Premissas!$B$5:$B$44,$B2717))+R2717*SUMIFS(Premissas!$E$5:$E$44,Premissas!$A$5:$A$44,$A2717,Premissas!$B$5:$B$44,$B2717)+S2717*SUMIFS(Premissas!$F$5:$F$44,Premissas!$A$5:$A$44,$A2717,Premissas!$B$5:$B$44,$B2717)</f>
        <v/>
      </c>
      <c r="L2717" s="29">
        <f>J2717-K2717</f>
        <v/>
      </c>
      <c r="M2717" t="inlineStr">
        <is>
          <t>1.350</t>
        </is>
      </c>
      <c r="N2717" t="inlineStr">
        <is>
          <t>Modalidade: 0 - Por conta do remetente | Parte: SHALLON EMBALAGENS LTDA (49.431.842/0001-97)</t>
        </is>
      </c>
      <c r="O2717" s="29" t="n">
        <v>0</v>
      </c>
      <c r="P2717" s="29" t="n">
        <v>0</v>
      </c>
      <c r="Q2717" s="29" t="n">
        <v>0</v>
      </c>
      <c r="R2717" s="29" t="n">
        <v>0</v>
      </c>
      <c r="S2717" s="29" t="n">
        <v>0</v>
      </c>
      <c r="T2717" t="inlineStr">
        <is>
          <t>25260126975620000130570010000061551001701839</t>
        </is>
      </c>
      <c r="U2717" t="inlineStr">
        <is>
          <t>Não</t>
        </is>
      </c>
    </row>
    <row r="2718">
      <c r="A2718" t="inlineStr">
        <is>
          <t>Frete de venda</t>
        </is>
      </c>
      <c r="B2718" t="inlineStr">
        <is>
          <t>2.01.02 Frete sobre Vendas</t>
        </is>
      </c>
      <c r="C2718" s="30" t="n">
        <v>46023</v>
      </c>
      <c r="D2718" t="inlineStr">
        <is>
          <t>Em 2026</t>
        </is>
      </c>
      <c r="E2718" s="28" t="n">
        <v>46036</v>
      </c>
      <c r="F2718" t="inlineStr">
        <is>
          <t>CT-e</t>
        </is>
      </c>
      <c r="G2718" t="inlineStr">
        <is>
          <t>000006156</t>
        </is>
      </c>
      <c r="H2718" t="inlineStr">
        <is>
          <t>R&amp;R TRANSPORTE E LOGISTICA</t>
        </is>
      </c>
      <c r="J2718" s="29" t="n">
        <v>37.16</v>
      </c>
      <c r="K2718" s="29">
        <f>(1-ISNUMBER(SEARCH("556",M2718)))*(O2718*SUMIFS(Premissas!$C$5:$C$44,Premissas!$A$5:$A$44,$A2718,Premissas!$B$5:$B$44,$B2718)+P2718*SUMIFS(Premissas!$D$5:$D$44,Premissas!$A$5:$A$44,$A2718,Premissas!$B$5:$B$44,$B2718))+R2718*SUMIFS(Premissas!$E$5:$E$44,Premissas!$A$5:$A$44,$A2718,Premissas!$B$5:$B$44,$B2718)+S2718*SUMIFS(Premissas!$F$5:$F$44,Premissas!$A$5:$A$44,$A2718,Premissas!$B$5:$B$44,$B2718)</f>
        <v/>
      </c>
      <c r="L2718" s="29">
        <f>J2718-K2718</f>
        <v/>
      </c>
      <c r="M2718" t="inlineStr">
        <is>
          <t>1.350</t>
        </is>
      </c>
      <c r="N2718" t="inlineStr">
        <is>
          <t>Modalidade: 0 - Por conta do remetente | Parte: TYGER ATACADISTA E DISTRIBUIDORA LTDA (36.978.497/0001-64)</t>
        </is>
      </c>
      <c r="O2718" s="29" t="n">
        <v>0</v>
      </c>
      <c r="P2718" s="29" t="n">
        <v>0</v>
      </c>
      <c r="Q2718" s="29" t="n">
        <v>0</v>
      </c>
      <c r="R2718" s="29" t="n">
        <v>0</v>
      </c>
      <c r="S2718" s="29" t="n">
        <v>0</v>
      </c>
      <c r="T2718" t="inlineStr">
        <is>
          <t>25260126975620000130570010000061561001401913</t>
        </is>
      </c>
      <c r="U2718" t="inlineStr">
        <is>
          <t>Não</t>
        </is>
      </c>
    </row>
    <row r="2719">
      <c r="A2719" t="inlineStr">
        <is>
          <t>Frete de venda</t>
        </is>
      </c>
      <c r="B2719" t="inlineStr">
        <is>
          <t>2.01.02 Frete sobre Vendas</t>
        </is>
      </c>
      <c r="C2719" s="30" t="n">
        <v>46023</v>
      </c>
      <c r="D2719" t="inlineStr">
        <is>
          <t>Em 2026</t>
        </is>
      </c>
      <c r="E2719" s="28" t="n">
        <v>46036</v>
      </c>
      <c r="F2719" t="inlineStr">
        <is>
          <t>CT-e</t>
        </is>
      </c>
      <c r="G2719" t="inlineStr">
        <is>
          <t>000006157</t>
        </is>
      </c>
      <c r="H2719" t="inlineStr">
        <is>
          <t>R&amp;R TRANSPORTE E LOGISTICA</t>
        </is>
      </c>
      <c r="J2719" s="29" t="n">
        <v>19.19</v>
      </c>
      <c r="K2719" s="29">
        <f>(1-ISNUMBER(SEARCH("556",M2719)))*(O2719*SUMIFS(Premissas!$C$5:$C$44,Premissas!$A$5:$A$44,$A2719,Premissas!$B$5:$B$44,$B2719)+P2719*SUMIFS(Premissas!$D$5:$D$44,Premissas!$A$5:$A$44,$A2719,Premissas!$B$5:$B$44,$B2719))+R2719*SUMIFS(Premissas!$E$5:$E$44,Premissas!$A$5:$A$44,$A2719,Premissas!$B$5:$B$44,$B2719)+S2719*SUMIFS(Premissas!$F$5:$F$44,Premissas!$A$5:$A$44,$A2719,Premissas!$B$5:$B$44,$B2719)</f>
        <v/>
      </c>
      <c r="L2719" s="29">
        <f>J2719-K2719</f>
        <v/>
      </c>
      <c r="M2719" t="inlineStr">
        <is>
          <t>1.350</t>
        </is>
      </c>
      <c r="N2719" t="inlineStr">
        <is>
          <t>Modalidade: 0 - Por conta do remetente | Parte: JAB IMPORTACAO E EXPORTACAO LTDA (21.938.705/0002-05)</t>
        </is>
      </c>
      <c r="O2719" s="29" t="n">
        <v>0</v>
      </c>
      <c r="P2719" s="29" t="n">
        <v>0</v>
      </c>
      <c r="Q2719" s="29" t="n">
        <v>0</v>
      </c>
      <c r="R2719" s="29" t="n">
        <v>0</v>
      </c>
      <c r="S2719" s="29" t="n">
        <v>0</v>
      </c>
      <c r="T2719" t="inlineStr">
        <is>
          <t>25260126975620000130570010000061571001101992</t>
        </is>
      </c>
      <c r="U2719" t="inlineStr">
        <is>
          <t>Não</t>
        </is>
      </c>
    </row>
    <row r="2720">
      <c r="A2720" t="inlineStr">
        <is>
          <t>Frete de venda</t>
        </is>
      </c>
      <c r="B2720" t="inlineStr">
        <is>
          <t>2.01.02 Frete sobre Vendas</t>
        </is>
      </c>
      <c r="C2720" s="30" t="n">
        <v>46023</v>
      </c>
      <c r="D2720" t="inlineStr">
        <is>
          <t>Em 2026</t>
        </is>
      </c>
      <c r="E2720" s="28" t="n">
        <v>46036</v>
      </c>
      <c r="F2720" t="inlineStr">
        <is>
          <t>CT-e</t>
        </is>
      </c>
      <c r="G2720" t="inlineStr">
        <is>
          <t>000006161</t>
        </is>
      </c>
      <c r="H2720" t="inlineStr">
        <is>
          <t>R&amp;R TRANSPORTE E LOGISTICA</t>
        </is>
      </c>
      <c r="J2720" s="29" t="n">
        <v>700</v>
      </c>
      <c r="K2720" s="29">
        <f>(1-ISNUMBER(SEARCH("556",M2720)))*(O2720*SUMIFS(Premissas!$C$5:$C$44,Premissas!$A$5:$A$44,$A2720,Premissas!$B$5:$B$44,$B2720)+P2720*SUMIFS(Premissas!$D$5:$D$44,Premissas!$A$5:$A$44,$A2720,Premissas!$B$5:$B$44,$B2720))+R2720*SUMIFS(Premissas!$E$5:$E$44,Premissas!$A$5:$A$44,$A2720,Premissas!$B$5:$B$44,$B2720)+S2720*SUMIFS(Premissas!$F$5:$F$44,Premissas!$A$5:$A$44,$A2720,Premissas!$B$5:$B$44,$B2720)</f>
        <v/>
      </c>
      <c r="L2720" s="29">
        <f>J2720-K2720</f>
        <v/>
      </c>
      <c r="M2720" t="inlineStr">
        <is>
          <t>1.350</t>
        </is>
      </c>
      <c r="N2720" t="inlineStr">
        <is>
          <t>Modalidade: 0 - Por conta do remetente | Parte: COMERCIAL PROLAC LTDA. (07.182.763/0001-40)</t>
        </is>
      </c>
      <c r="O2720" s="29" t="n">
        <v>0</v>
      </c>
      <c r="P2720" s="29" t="n">
        <v>0</v>
      </c>
      <c r="Q2720" s="29" t="n">
        <v>0</v>
      </c>
      <c r="R2720" s="29" t="n">
        <v>0</v>
      </c>
      <c r="S2720" s="29" t="n">
        <v>0</v>
      </c>
      <c r="T2720" t="inlineStr">
        <is>
          <t>25260126975620000130570010000061611001301463</t>
        </is>
      </c>
      <c r="U2720" t="inlineStr">
        <is>
          <t>Não</t>
        </is>
      </c>
    </row>
    <row r="2721">
      <c r="A2721" t="inlineStr">
        <is>
          <t>Frete de venda</t>
        </is>
      </c>
      <c r="B2721" t="inlineStr">
        <is>
          <t>2.01.02 Frete sobre Vendas</t>
        </is>
      </c>
      <c r="C2721" s="30" t="n">
        <v>46023</v>
      </c>
      <c r="D2721" t="inlineStr">
        <is>
          <t>Em 2026</t>
        </is>
      </c>
      <c r="E2721" s="28" t="n">
        <v>46036</v>
      </c>
      <c r="F2721" t="inlineStr">
        <is>
          <t>CT-e</t>
        </is>
      </c>
      <c r="G2721" t="inlineStr">
        <is>
          <t>000006162</t>
        </is>
      </c>
      <c r="H2721" t="inlineStr">
        <is>
          <t>R&amp;R TRANSPORTE E LOGISTICA</t>
        </is>
      </c>
      <c r="J2721" s="29" t="n">
        <v>700</v>
      </c>
      <c r="K2721" s="29">
        <f>(1-ISNUMBER(SEARCH("556",M2721)))*(O2721*SUMIFS(Premissas!$C$5:$C$44,Premissas!$A$5:$A$44,$A2721,Premissas!$B$5:$B$44,$B2721)+P2721*SUMIFS(Premissas!$D$5:$D$44,Premissas!$A$5:$A$44,$A2721,Premissas!$B$5:$B$44,$B2721))+R2721*SUMIFS(Premissas!$E$5:$E$44,Premissas!$A$5:$A$44,$A2721,Premissas!$B$5:$B$44,$B2721)+S2721*SUMIFS(Premissas!$F$5:$F$44,Premissas!$A$5:$A$44,$A2721,Premissas!$B$5:$B$44,$B2721)</f>
        <v/>
      </c>
      <c r="L2721" s="29">
        <f>J2721-K2721</f>
        <v/>
      </c>
      <c r="M2721" t="inlineStr">
        <is>
          <t>1.350</t>
        </is>
      </c>
      <c r="N2721" t="inlineStr">
        <is>
          <t>Modalidade: 0 - Por conta do remetente | Parte: DML DISTRIBUIDORA DE ALIMENTOS E EMBALAGENS LTDA (07.412.776/0001-68)</t>
        </is>
      </c>
      <c r="O2721" s="29" t="n">
        <v>0</v>
      </c>
      <c r="P2721" s="29" t="n">
        <v>0</v>
      </c>
      <c r="Q2721" s="29" t="n">
        <v>0</v>
      </c>
      <c r="R2721" s="29" t="n">
        <v>0</v>
      </c>
      <c r="S2721" s="29" t="n">
        <v>0</v>
      </c>
      <c r="T2721" t="inlineStr">
        <is>
          <t>25260126975620000130570010000061621000101549</t>
        </is>
      </c>
      <c r="U2721" t="inlineStr">
        <is>
          <t>Não</t>
        </is>
      </c>
    </row>
    <row r="2722">
      <c r="A2722" t="inlineStr">
        <is>
          <t>Frete de venda</t>
        </is>
      </c>
      <c r="B2722" t="inlineStr">
        <is>
          <t>2.01.02 Frete sobre Vendas</t>
        </is>
      </c>
      <c r="C2722" s="30" t="n">
        <v>46023</v>
      </c>
      <c r="D2722" t="inlineStr">
        <is>
          <t>Em 2026</t>
        </is>
      </c>
      <c r="E2722" s="28" t="n">
        <v>46036</v>
      </c>
      <c r="F2722" t="inlineStr">
        <is>
          <t>CT-e</t>
        </is>
      </c>
      <c r="G2722" t="inlineStr">
        <is>
          <t>000006163</t>
        </is>
      </c>
      <c r="H2722" t="inlineStr">
        <is>
          <t>R&amp;R TRANSPORTE E LOGISTICA</t>
        </is>
      </c>
      <c r="J2722" s="29" t="n">
        <v>700</v>
      </c>
      <c r="K2722" s="29">
        <f>(1-ISNUMBER(SEARCH("556",M2722)))*(O2722*SUMIFS(Premissas!$C$5:$C$44,Premissas!$A$5:$A$44,$A2722,Premissas!$B$5:$B$44,$B2722)+P2722*SUMIFS(Premissas!$D$5:$D$44,Premissas!$A$5:$A$44,$A2722,Premissas!$B$5:$B$44,$B2722))+R2722*SUMIFS(Premissas!$E$5:$E$44,Premissas!$A$5:$A$44,$A2722,Premissas!$B$5:$B$44,$B2722)+S2722*SUMIFS(Premissas!$F$5:$F$44,Premissas!$A$5:$A$44,$A2722,Premissas!$B$5:$B$44,$B2722)</f>
        <v/>
      </c>
      <c r="L2722" s="29">
        <f>J2722-K2722</f>
        <v/>
      </c>
      <c r="M2722" t="inlineStr">
        <is>
          <t>1.350</t>
        </is>
      </c>
      <c r="N2722" t="inlineStr">
        <is>
          <t>Modalidade: 0 - Por conta do remetente | Parte: VILA COMERCIO DE FRIOS LTDA (33.787.186/0003-91)</t>
        </is>
      </c>
      <c r="O2722" s="29" t="n">
        <v>0</v>
      </c>
      <c r="P2722" s="29" t="n">
        <v>0</v>
      </c>
      <c r="Q2722" s="29" t="n">
        <v>0</v>
      </c>
      <c r="R2722" s="29" t="n">
        <v>0</v>
      </c>
      <c r="S2722" s="29" t="n">
        <v>0</v>
      </c>
      <c r="T2722" t="inlineStr">
        <is>
          <t>25260126975620000130570010000061631001801622</t>
        </is>
      </c>
      <c r="U2722" t="inlineStr">
        <is>
          <t>Não</t>
        </is>
      </c>
    </row>
    <row r="2723">
      <c r="A2723" t="inlineStr">
        <is>
          <t>Frete de venda</t>
        </is>
      </c>
      <c r="B2723" t="inlineStr">
        <is>
          <t>2.01.02 Frete sobre Vendas</t>
        </is>
      </c>
      <c r="C2723" s="30" t="n">
        <v>46023</v>
      </c>
      <c r="D2723" t="inlineStr">
        <is>
          <t>Em 2026</t>
        </is>
      </c>
      <c r="E2723" s="28" t="n">
        <v>46036</v>
      </c>
      <c r="F2723" t="inlineStr">
        <is>
          <t>CT-e</t>
        </is>
      </c>
      <c r="G2723" t="inlineStr">
        <is>
          <t>000006164</t>
        </is>
      </c>
      <c r="H2723" t="inlineStr">
        <is>
          <t>R&amp;R TRANSPORTE E LOGISTICA</t>
        </is>
      </c>
      <c r="J2723" s="29" t="n">
        <v>700</v>
      </c>
      <c r="K2723" s="29">
        <f>(1-ISNUMBER(SEARCH("556",M2723)))*(O2723*SUMIFS(Premissas!$C$5:$C$44,Premissas!$A$5:$A$44,$A2723,Premissas!$B$5:$B$44,$B2723)+P2723*SUMIFS(Premissas!$D$5:$D$44,Premissas!$A$5:$A$44,$A2723,Premissas!$B$5:$B$44,$B2723))+R2723*SUMIFS(Premissas!$E$5:$E$44,Premissas!$A$5:$A$44,$A2723,Premissas!$B$5:$B$44,$B2723)+S2723*SUMIFS(Premissas!$F$5:$F$44,Premissas!$A$5:$A$44,$A2723,Premissas!$B$5:$B$44,$B2723)</f>
        <v/>
      </c>
      <c r="L2723" s="29">
        <f>J2723-K2723</f>
        <v/>
      </c>
      <c r="M2723" t="inlineStr">
        <is>
          <t>1.350</t>
        </is>
      </c>
      <c r="N2723" t="inlineStr">
        <is>
          <t>Modalidade: 0 - Por conta do remetente | Parte: ADILSON RAMOS DE MOURA LTDA (00.794.258/0001-07)</t>
        </is>
      </c>
      <c r="O2723" s="29" t="n">
        <v>0</v>
      </c>
      <c r="P2723" s="29" t="n">
        <v>0</v>
      </c>
      <c r="Q2723" s="29" t="n">
        <v>0</v>
      </c>
      <c r="R2723" s="29" t="n">
        <v>0</v>
      </c>
      <c r="S2723" s="29" t="n">
        <v>0</v>
      </c>
      <c r="T2723" t="inlineStr">
        <is>
          <t>25260126975620000130570010000061641001501707</t>
        </is>
      </c>
      <c r="U2723" t="inlineStr">
        <is>
          <t>Não</t>
        </is>
      </c>
    </row>
    <row r="2724">
      <c r="A2724" t="inlineStr">
        <is>
          <t>Frete de venda</t>
        </is>
      </c>
      <c r="B2724" t="inlineStr">
        <is>
          <t>2.01.02 Frete sobre Vendas</t>
        </is>
      </c>
      <c r="C2724" s="30" t="n">
        <v>46023</v>
      </c>
      <c r="D2724" t="inlineStr">
        <is>
          <t>Em 2026</t>
        </is>
      </c>
      <c r="E2724" s="28" t="n">
        <v>46038</v>
      </c>
      <c r="F2724" t="inlineStr">
        <is>
          <t>CT-e</t>
        </is>
      </c>
      <c r="G2724" t="inlineStr">
        <is>
          <t>000006166</t>
        </is>
      </c>
      <c r="H2724" t="inlineStr">
        <is>
          <t>R&amp;R TRANSPORTE E LOGISTICA</t>
        </is>
      </c>
      <c r="J2724" s="29" t="n">
        <v>731.88</v>
      </c>
      <c r="K2724" s="29">
        <f>(1-ISNUMBER(SEARCH("556",M2724)))*(O2724*SUMIFS(Premissas!$C$5:$C$44,Premissas!$A$5:$A$44,$A2724,Premissas!$B$5:$B$44,$B2724)+P2724*SUMIFS(Premissas!$D$5:$D$44,Premissas!$A$5:$A$44,$A2724,Premissas!$B$5:$B$44,$B2724))+R2724*SUMIFS(Premissas!$E$5:$E$44,Premissas!$A$5:$A$44,$A2724,Premissas!$B$5:$B$44,$B2724)+S2724*SUMIFS(Premissas!$F$5:$F$44,Premissas!$A$5:$A$44,$A2724,Premissas!$B$5:$B$44,$B2724)</f>
        <v/>
      </c>
      <c r="L2724" s="29">
        <f>J2724-K2724</f>
        <v/>
      </c>
      <c r="M2724" t="inlineStr">
        <is>
          <t>1.350</t>
        </is>
      </c>
      <c r="N2724" t="inlineStr">
        <is>
          <t>Modalidade: 0 - Por conta do remetente | Parte: VINCO DISTRIBUIDORA DE EMBALAGENS LTDA (55.333.385/0001-09)</t>
        </is>
      </c>
      <c r="O2724" s="29" t="n">
        <v>0</v>
      </c>
      <c r="P2724" s="29" t="n">
        <v>0</v>
      </c>
      <c r="Q2724" s="29" t="n">
        <v>0</v>
      </c>
      <c r="R2724" s="29" t="n">
        <v>0</v>
      </c>
      <c r="S2724" s="29" t="n">
        <v>0</v>
      </c>
      <c r="T2724" t="inlineStr">
        <is>
          <t>25260126975620000130570010000061661000010887</t>
        </is>
      </c>
      <c r="U2724" t="inlineStr">
        <is>
          <t>Não</t>
        </is>
      </c>
    </row>
    <row r="2725">
      <c r="A2725" t="inlineStr">
        <is>
          <t>Frete de venda</t>
        </is>
      </c>
      <c r="B2725" t="inlineStr">
        <is>
          <t>2.01.02 Frete sobre Vendas</t>
        </is>
      </c>
      <c r="C2725" s="30" t="n">
        <v>46023</v>
      </c>
      <c r="D2725" t="inlineStr">
        <is>
          <t>Em 2026</t>
        </is>
      </c>
      <c r="E2725" s="28" t="n">
        <v>46038</v>
      </c>
      <c r="F2725" t="inlineStr">
        <is>
          <t>CT-e</t>
        </is>
      </c>
      <c r="G2725" t="inlineStr">
        <is>
          <t>000006167</t>
        </is>
      </c>
      <c r="H2725" t="inlineStr">
        <is>
          <t>R&amp;R TRANSPORTE E LOGISTICA</t>
        </is>
      </c>
      <c r="J2725" s="29" t="n">
        <v>112.28</v>
      </c>
      <c r="K2725" s="29">
        <f>(1-ISNUMBER(SEARCH("556",M2725)))*(O2725*SUMIFS(Premissas!$C$5:$C$44,Premissas!$A$5:$A$44,$A2725,Premissas!$B$5:$B$44,$B2725)+P2725*SUMIFS(Premissas!$D$5:$D$44,Premissas!$A$5:$A$44,$A2725,Premissas!$B$5:$B$44,$B2725))+R2725*SUMIFS(Premissas!$E$5:$E$44,Premissas!$A$5:$A$44,$A2725,Premissas!$B$5:$B$44,$B2725)+S2725*SUMIFS(Premissas!$F$5:$F$44,Premissas!$A$5:$A$44,$A2725,Premissas!$B$5:$B$44,$B2725)</f>
        <v/>
      </c>
      <c r="L2725" s="29">
        <f>J2725-K2725</f>
        <v/>
      </c>
      <c r="M2725" t="inlineStr">
        <is>
          <t>1.350</t>
        </is>
      </c>
      <c r="N2725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2725" s="29" t="n">
        <v>0</v>
      </c>
      <c r="P2725" s="29" t="n">
        <v>0</v>
      </c>
      <c r="Q2725" s="29" t="n">
        <v>0</v>
      </c>
      <c r="R2725" s="29" t="n">
        <v>0</v>
      </c>
      <c r="S2725" s="29" t="n">
        <v>0</v>
      </c>
      <c r="T2725" t="inlineStr">
        <is>
          <t>25260126975620000130570010000061671000180968</t>
        </is>
      </c>
      <c r="U2725" t="inlineStr">
        <is>
          <t>Não</t>
        </is>
      </c>
    </row>
    <row r="2726">
      <c r="A2726" t="inlineStr">
        <is>
          <t>Frete de venda</t>
        </is>
      </c>
      <c r="B2726" t="inlineStr">
        <is>
          <t>2.01.02 Frete sobre Vendas</t>
        </is>
      </c>
      <c r="C2726" s="30" t="n">
        <v>46023</v>
      </c>
      <c r="D2726" t="inlineStr">
        <is>
          <t>Em 2026</t>
        </is>
      </c>
      <c r="E2726" s="28" t="n">
        <v>46038</v>
      </c>
      <c r="F2726" t="inlineStr">
        <is>
          <t>CT-e</t>
        </is>
      </c>
      <c r="G2726" t="inlineStr">
        <is>
          <t>000006170</t>
        </is>
      </c>
      <c r="H2726" t="inlineStr">
        <is>
          <t>R&amp;R TRANSPORTE E LOGISTICA</t>
        </is>
      </c>
      <c r="J2726" s="29" t="n">
        <v>111.13</v>
      </c>
      <c r="K2726" s="29">
        <f>(1-ISNUMBER(SEARCH("556",M2726)))*(O2726*SUMIFS(Premissas!$C$5:$C$44,Premissas!$A$5:$A$44,$A2726,Premissas!$B$5:$B$44,$B2726)+P2726*SUMIFS(Premissas!$D$5:$D$44,Premissas!$A$5:$A$44,$A2726,Premissas!$B$5:$B$44,$B2726))+R2726*SUMIFS(Premissas!$E$5:$E$44,Premissas!$A$5:$A$44,$A2726,Premissas!$B$5:$B$44,$B2726)+S2726*SUMIFS(Premissas!$F$5:$F$44,Premissas!$A$5:$A$44,$A2726,Premissas!$B$5:$B$44,$B2726)</f>
        <v/>
      </c>
      <c r="L2726" s="29">
        <f>J2726-K2726</f>
        <v/>
      </c>
      <c r="M2726" t="inlineStr">
        <is>
          <t>1.350</t>
        </is>
      </c>
      <c r="N2726" t="inlineStr">
        <is>
          <t>Modalidade: 0 - Por conta do remetente | Parte: M A M CAVALLINI EIRELI - ME (21.715.197/0001-15)</t>
        </is>
      </c>
      <c r="O2726" s="29" t="n">
        <v>0</v>
      </c>
      <c r="P2726" s="29" t="n">
        <v>0</v>
      </c>
      <c r="Q2726" s="29" t="n">
        <v>0</v>
      </c>
      <c r="R2726" s="29" t="n">
        <v>0</v>
      </c>
      <c r="S2726" s="29" t="n">
        <v>0</v>
      </c>
      <c r="T2726" t="inlineStr">
        <is>
          <t>25260126975620000130570010000061701001401033</t>
        </is>
      </c>
      <c r="U2726" t="inlineStr">
        <is>
          <t>Não</t>
        </is>
      </c>
    </row>
    <row r="2727">
      <c r="A2727" t="inlineStr">
        <is>
          <t>Frete de venda</t>
        </is>
      </c>
      <c r="B2727" t="inlineStr">
        <is>
          <t>2.01.02 Frete sobre Vendas</t>
        </is>
      </c>
      <c r="C2727" s="30" t="n">
        <v>46023</v>
      </c>
      <c r="D2727" t="inlineStr">
        <is>
          <t>Em 2026</t>
        </is>
      </c>
      <c r="E2727" s="28" t="n">
        <v>46038</v>
      </c>
      <c r="F2727" t="inlineStr">
        <is>
          <t>CT-e</t>
        </is>
      </c>
      <c r="G2727" t="inlineStr">
        <is>
          <t>000006171</t>
        </is>
      </c>
      <c r="H2727" t="inlineStr">
        <is>
          <t>R&amp;R TRANSPORTE E LOGISTICA</t>
        </is>
      </c>
      <c r="J2727" s="29" t="n">
        <v>73.06</v>
      </c>
      <c r="K2727" s="29">
        <f>(1-ISNUMBER(SEARCH("556",M2727)))*(O2727*SUMIFS(Premissas!$C$5:$C$44,Premissas!$A$5:$A$44,$A2727,Premissas!$B$5:$B$44,$B2727)+P2727*SUMIFS(Premissas!$D$5:$D$44,Premissas!$A$5:$A$44,$A2727,Premissas!$B$5:$B$44,$B2727))+R2727*SUMIFS(Premissas!$E$5:$E$44,Premissas!$A$5:$A$44,$A2727,Premissas!$B$5:$B$44,$B2727)+S2727*SUMIFS(Premissas!$F$5:$F$44,Premissas!$A$5:$A$44,$A2727,Premissas!$B$5:$B$44,$B2727)</f>
        <v/>
      </c>
      <c r="L2727" s="29">
        <f>J2727-K2727</f>
        <v/>
      </c>
      <c r="M2727" t="inlineStr">
        <is>
          <t>1.350</t>
        </is>
      </c>
      <c r="N2727" t="inlineStr">
        <is>
          <t>Modalidade: 0 - Por conta do remetente | Parte: EXTREMA DISTRIBUIDORA DE PRODUTOS ALIMENTICIOS LTDA (11.944.916/0001-16)</t>
        </is>
      </c>
      <c r="O2727" s="29" t="n">
        <v>0</v>
      </c>
      <c r="P2727" s="29" t="n">
        <v>0</v>
      </c>
      <c r="Q2727" s="29" t="n">
        <v>0</v>
      </c>
      <c r="R2727" s="29" t="n">
        <v>0</v>
      </c>
      <c r="S2727" s="29" t="n">
        <v>0</v>
      </c>
      <c r="T2727" t="inlineStr">
        <is>
          <t>25260126975620000130570010000061711001101118</t>
        </is>
      </c>
      <c r="U2727" t="inlineStr">
        <is>
          <t>Não</t>
        </is>
      </c>
    </row>
    <row r="2728">
      <c r="A2728" t="inlineStr">
        <is>
          <t>Frete de venda</t>
        </is>
      </c>
      <c r="B2728" t="inlineStr">
        <is>
          <t>2.01.02 Frete sobre Vendas</t>
        </is>
      </c>
      <c r="C2728" s="30" t="n">
        <v>46023</v>
      </c>
      <c r="D2728" t="inlineStr">
        <is>
          <t>Em 2026</t>
        </is>
      </c>
      <c r="E2728" s="28" t="n">
        <v>46038</v>
      </c>
      <c r="F2728" t="inlineStr">
        <is>
          <t>CT-e</t>
        </is>
      </c>
      <c r="G2728" t="inlineStr">
        <is>
          <t>000006172</t>
        </is>
      </c>
      <c r="H2728" t="inlineStr">
        <is>
          <t>R&amp;R TRANSPORTE E LOGISTICA</t>
        </is>
      </c>
      <c r="J2728" s="29" t="n">
        <v>81.78</v>
      </c>
      <c r="K2728" s="29">
        <f>(1-ISNUMBER(SEARCH("556",M2728)))*(O2728*SUMIFS(Premissas!$C$5:$C$44,Premissas!$A$5:$A$44,$A2728,Premissas!$B$5:$B$44,$B2728)+P2728*SUMIFS(Premissas!$D$5:$D$44,Premissas!$A$5:$A$44,$A2728,Premissas!$B$5:$B$44,$B2728))+R2728*SUMIFS(Premissas!$E$5:$E$44,Premissas!$A$5:$A$44,$A2728,Premissas!$B$5:$B$44,$B2728)+S2728*SUMIFS(Premissas!$F$5:$F$44,Premissas!$A$5:$A$44,$A2728,Premissas!$B$5:$B$44,$B2728)</f>
        <v/>
      </c>
      <c r="L2728" s="29">
        <f>J2728-K2728</f>
        <v/>
      </c>
      <c r="M2728" t="inlineStr">
        <is>
          <t>1.350</t>
        </is>
      </c>
      <c r="N2728" t="inlineStr">
        <is>
          <t>Modalidade: 0 - Por conta do remetente | Parte: EMBALEMIX LTDA (37.863.505/0001-90)</t>
        </is>
      </c>
      <c r="O2728" s="29" t="n">
        <v>0</v>
      </c>
      <c r="P2728" s="29" t="n">
        <v>0</v>
      </c>
      <c r="Q2728" s="29" t="n">
        <v>0</v>
      </c>
      <c r="R2728" s="29" t="n">
        <v>0</v>
      </c>
      <c r="S2728" s="29" t="n">
        <v>0</v>
      </c>
      <c r="T2728" t="inlineStr">
        <is>
          <t>25260126975620000130570010000061721001901197</t>
        </is>
      </c>
      <c r="U2728" t="inlineStr">
        <is>
          <t>Não</t>
        </is>
      </c>
    </row>
    <row r="2729">
      <c r="A2729" t="inlineStr">
        <is>
          <t>Frete de venda</t>
        </is>
      </c>
      <c r="B2729" t="inlineStr">
        <is>
          <t>2.01.02 Frete sobre Vendas</t>
        </is>
      </c>
      <c r="C2729" s="30" t="n">
        <v>46023</v>
      </c>
      <c r="D2729" t="inlineStr">
        <is>
          <t>Em 2026</t>
        </is>
      </c>
      <c r="E2729" s="28" t="n">
        <v>46039</v>
      </c>
      <c r="F2729" t="inlineStr">
        <is>
          <t>CT-e</t>
        </is>
      </c>
      <c r="G2729" t="inlineStr">
        <is>
          <t>000006177</t>
        </is>
      </c>
      <c r="H2729" t="inlineStr">
        <is>
          <t>R&amp;R TRANSPORTE E LOGISTICA</t>
        </is>
      </c>
      <c r="J2729" s="29" t="n">
        <v>44.9</v>
      </c>
      <c r="K2729" s="29">
        <f>(1-ISNUMBER(SEARCH("556",M2729)))*(O2729*SUMIFS(Premissas!$C$5:$C$44,Premissas!$A$5:$A$44,$A2729,Premissas!$B$5:$B$44,$B2729)+P2729*SUMIFS(Premissas!$D$5:$D$44,Premissas!$A$5:$A$44,$A2729,Premissas!$B$5:$B$44,$B2729))+R2729*SUMIFS(Premissas!$E$5:$E$44,Premissas!$A$5:$A$44,$A2729,Premissas!$B$5:$B$44,$B2729)+S2729*SUMIFS(Premissas!$F$5:$F$44,Premissas!$A$5:$A$44,$A2729,Premissas!$B$5:$B$44,$B2729)</f>
        <v/>
      </c>
      <c r="L2729" s="29">
        <f>J2729-K2729</f>
        <v/>
      </c>
      <c r="M2729" t="inlineStr">
        <is>
          <t>1.350</t>
        </is>
      </c>
      <c r="N2729" t="inlineStr">
        <is>
          <t>Modalidade: 0 - Por conta do remetente | Parte: BRASIL PLAST COMERCIO DE EMBALAGENS LTDA (10.238.032/0001-83)</t>
        </is>
      </c>
      <c r="O2729" s="29" t="n">
        <v>0</v>
      </c>
      <c r="P2729" s="29" t="n">
        <v>0</v>
      </c>
      <c r="Q2729" s="29" t="n">
        <v>0</v>
      </c>
      <c r="R2729" s="29" t="n">
        <v>0</v>
      </c>
      <c r="S2729" s="29" t="n">
        <v>0</v>
      </c>
      <c r="T2729" t="inlineStr">
        <is>
          <t>25260126975620000130570010000061771000190862</t>
        </is>
      </c>
      <c r="U2729" t="inlineStr">
        <is>
          <t>Não</t>
        </is>
      </c>
    </row>
    <row r="2730">
      <c r="A2730" t="inlineStr">
        <is>
          <t>Frete de venda</t>
        </is>
      </c>
      <c r="B2730" t="inlineStr">
        <is>
          <t>2.01.02 Frete sobre Vendas</t>
        </is>
      </c>
      <c r="C2730" s="30" t="n">
        <v>46023</v>
      </c>
      <c r="D2730" t="inlineStr">
        <is>
          <t>Em 2026</t>
        </is>
      </c>
      <c r="E2730" s="28" t="n">
        <v>46039</v>
      </c>
      <c r="F2730" t="inlineStr">
        <is>
          <t>CT-e</t>
        </is>
      </c>
      <c r="G2730" t="inlineStr">
        <is>
          <t>000006178</t>
        </is>
      </c>
      <c r="H2730" t="inlineStr">
        <is>
          <t>R&amp;R TRANSPORTE E LOGISTICA</t>
        </is>
      </c>
      <c r="J2730" s="29" t="n">
        <v>56.18</v>
      </c>
      <c r="K2730" s="29">
        <f>(1-ISNUMBER(SEARCH("556",M2730)))*(O2730*SUMIFS(Premissas!$C$5:$C$44,Premissas!$A$5:$A$44,$A2730,Premissas!$B$5:$B$44,$B2730)+P2730*SUMIFS(Premissas!$D$5:$D$44,Premissas!$A$5:$A$44,$A2730,Premissas!$B$5:$B$44,$B2730))+R2730*SUMIFS(Premissas!$E$5:$E$44,Premissas!$A$5:$A$44,$A2730,Premissas!$B$5:$B$44,$B2730)+S2730*SUMIFS(Premissas!$F$5:$F$44,Premissas!$A$5:$A$44,$A2730,Premissas!$B$5:$B$44,$B2730)</f>
        <v/>
      </c>
      <c r="L2730" s="29">
        <f>J2730-K2730</f>
        <v/>
      </c>
      <c r="M2730" t="inlineStr">
        <is>
          <t>1.350</t>
        </is>
      </c>
      <c r="N2730" t="inlineStr">
        <is>
          <t>Modalidade: 0 - Por conta do remetente | Parte: MACROPLAST COMERCIO DE MATERIAIS DESCARTAVEIS EIRELI (02.541.920/0001-42)</t>
        </is>
      </c>
      <c r="O2730" s="29" t="n">
        <v>0</v>
      </c>
      <c r="P2730" s="29" t="n">
        <v>0</v>
      </c>
      <c r="Q2730" s="29" t="n">
        <v>0</v>
      </c>
      <c r="R2730" s="29" t="n">
        <v>0</v>
      </c>
      <c r="S2730" s="29" t="n">
        <v>0</v>
      </c>
      <c r="T2730" t="inlineStr">
        <is>
          <t>25260126975620000130570010000061781000160944</t>
        </is>
      </c>
      <c r="U2730" t="inlineStr">
        <is>
          <t>Não</t>
        </is>
      </c>
    </row>
    <row r="2731">
      <c r="A2731" t="inlineStr">
        <is>
          <t>Frete de venda</t>
        </is>
      </c>
      <c r="B2731" t="inlineStr">
        <is>
          <t>2.01.02 Frete sobre Vendas</t>
        </is>
      </c>
      <c r="C2731" s="30" t="n">
        <v>46023</v>
      </c>
      <c r="D2731" t="inlineStr">
        <is>
          <t>Em 2026</t>
        </is>
      </c>
      <c r="E2731" s="28" t="n">
        <v>46039</v>
      </c>
      <c r="F2731" t="inlineStr">
        <is>
          <t>CT-e</t>
        </is>
      </c>
      <c r="G2731" t="inlineStr">
        <is>
          <t>000006179</t>
        </is>
      </c>
      <c r="H2731" t="inlineStr">
        <is>
          <t>R&amp;R TRANSPORTE E LOGISTICA</t>
        </is>
      </c>
      <c r="J2731" s="29" t="n">
        <v>60.12</v>
      </c>
      <c r="K2731" s="29">
        <f>(1-ISNUMBER(SEARCH("556",M2731)))*(O2731*SUMIFS(Premissas!$C$5:$C$44,Premissas!$A$5:$A$44,$A2731,Premissas!$B$5:$B$44,$B2731)+P2731*SUMIFS(Premissas!$D$5:$D$44,Premissas!$A$5:$A$44,$A2731,Premissas!$B$5:$B$44,$B2731))+R2731*SUMIFS(Premissas!$E$5:$E$44,Premissas!$A$5:$A$44,$A2731,Premissas!$B$5:$B$44,$B2731)+S2731*SUMIFS(Premissas!$F$5:$F$44,Premissas!$A$5:$A$44,$A2731,Premissas!$B$5:$B$44,$B2731)</f>
        <v/>
      </c>
      <c r="L2731" s="29">
        <f>J2731-K2731</f>
        <v/>
      </c>
      <c r="M2731" t="inlineStr">
        <is>
          <t>1.350</t>
        </is>
      </c>
      <c r="N2731" t="inlineStr">
        <is>
          <t>Modalidade: 0 - Por conta do remetente | Parte: FORTALI DISTRIBUIDORA DE ALIMENTOS LTDA. (09.317.318/0001-75)</t>
        </is>
      </c>
      <c r="O2731" s="29" t="n">
        <v>0</v>
      </c>
      <c r="P2731" s="29" t="n">
        <v>0</v>
      </c>
      <c r="Q2731" s="29" t="n">
        <v>0</v>
      </c>
      <c r="R2731" s="29" t="n">
        <v>0</v>
      </c>
      <c r="S2731" s="29" t="n">
        <v>0</v>
      </c>
      <c r="T2731" t="inlineStr">
        <is>
          <t>25260126975620000130570010000061791001301026</t>
        </is>
      </c>
      <c r="U2731" t="inlineStr">
        <is>
          <t>Não</t>
        </is>
      </c>
    </row>
    <row r="2732">
      <c r="A2732" t="inlineStr">
        <is>
          <t>Frete de venda</t>
        </is>
      </c>
      <c r="B2732" t="inlineStr">
        <is>
          <t>2.01.02 Frete sobre Vendas</t>
        </is>
      </c>
      <c r="C2732" s="30" t="n">
        <v>46023</v>
      </c>
      <c r="D2732" t="inlineStr">
        <is>
          <t>Em 2026</t>
        </is>
      </c>
      <c r="E2732" s="28" t="n">
        <v>46039</v>
      </c>
      <c r="F2732" t="inlineStr">
        <is>
          <t>CT-e</t>
        </is>
      </c>
      <c r="G2732" t="inlineStr">
        <is>
          <t>000006180</t>
        </is>
      </c>
      <c r="H2732" t="inlineStr">
        <is>
          <t>R&amp;R TRANSPORTE E LOGISTICA</t>
        </is>
      </c>
      <c r="J2732" s="29" t="n">
        <v>49.8</v>
      </c>
      <c r="K2732" s="29">
        <f>(1-ISNUMBER(SEARCH("556",M2732)))*(O2732*SUMIFS(Premissas!$C$5:$C$44,Premissas!$A$5:$A$44,$A2732,Premissas!$B$5:$B$44,$B2732)+P2732*SUMIFS(Premissas!$D$5:$D$44,Premissas!$A$5:$A$44,$A2732,Premissas!$B$5:$B$44,$B2732))+R2732*SUMIFS(Premissas!$E$5:$E$44,Premissas!$A$5:$A$44,$A2732,Premissas!$B$5:$B$44,$B2732)+S2732*SUMIFS(Premissas!$F$5:$F$44,Premissas!$A$5:$A$44,$A2732,Premissas!$B$5:$B$44,$B2732)</f>
        <v/>
      </c>
      <c r="L2732" s="29">
        <f>J2732-K2732</f>
        <v/>
      </c>
      <c r="M2732" t="inlineStr">
        <is>
          <t>1.350</t>
        </is>
      </c>
      <c r="N2732" t="inlineStr">
        <is>
          <t>Modalidade: 0 - Por conta do remetente | Parte: PRASO PLATAFORMA DE COMERCIO LTDA. (42.434.646/0007-12)</t>
        </is>
      </c>
      <c r="O2732" s="29" t="n">
        <v>0</v>
      </c>
      <c r="P2732" s="29" t="n">
        <v>0</v>
      </c>
      <c r="Q2732" s="29" t="n">
        <v>0</v>
      </c>
      <c r="R2732" s="29" t="n">
        <v>0</v>
      </c>
      <c r="S2732" s="29" t="n">
        <v>0</v>
      </c>
      <c r="T2732" t="inlineStr">
        <is>
          <t>25260126975620000130570010000061801000101105</t>
        </is>
      </c>
      <c r="U2732" t="inlineStr">
        <is>
          <t>Não</t>
        </is>
      </c>
    </row>
    <row r="2733">
      <c r="A2733" t="inlineStr">
        <is>
          <t>Frete de venda</t>
        </is>
      </c>
      <c r="B2733" t="inlineStr">
        <is>
          <t>2.01.02 Frete sobre Vendas</t>
        </is>
      </c>
      <c r="C2733" s="30" t="n">
        <v>46023</v>
      </c>
      <c r="D2733" t="inlineStr">
        <is>
          <t>Em 2026</t>
        </is>
      </c>
      <c r="E2733" s="28" t="n">
        <v>46039</v>
      </c>
      <c r="F2733" t="inlineStr">
        <is>
          <t>CT-e</t>
        </is>
      </c>
      <c r="G2733" t="inlineStr">
        <is>
          <t>000006181</t>
        </is>
      </c>
      <c r="H2733" t="inlineStr">
        <is>
          <t>R&amp;R TRANSPORTE E LOGISTICA</t>
        </is>
      </c>
      <c r="J2733" s="29" t="n">
        <v>52.7</v>
      </c>
      <c r="K2733" s="29">
        <f>(1-ISNUMBER(SEARCH("556",M2733)))*(O2733*SUMIFS(Premissas!$C$5:$C$44,Premissas!$A$5:$A$44,$A2733,Premissas!$B$5:$B$44,$B2733)+P2733*SUMIFS(Premissas!$D$5:$D$44,Premissas!$A$5:$A$44,$A2733,Premissas!$B$5:$B$44,$B2733))+R2733*SUMIFS(Premissas!$E$5:$E$44,Premissas!$A$5:$A$44,$A2733,Premissas!$B$5:$B$44,$B2733)+S2733*SUMIFS(Premissas!$F$5:$F$44,Premissas!$A$5:$A$44,$A2733,Premissas!$B$5:$B$44,$B2733)</f>
        <v/>
      </c>
      <c r="L2733" s="29">
        <f>J2733-K2733</f>
        <v/>
      </c>
      <c r="M2733" t="inlineStr">
        <is>
          <t>1.350</t>
        </is>
      </c>
      <c r="N2733" t="inlineStr">
        <is>
          <t>Modalidade: 0 - Por conta do remetente | Parte: COMERCIAL BAHIA LTDA (41.651.670/0001-55)</t>
        </is>
      </c>
      <c r="O2733" s="29" t="n">
        <v>0</v>
      </c>
      <c r="P2733" s="29" t="n">
        <v>0</v>
      </c>
      <c r="Q2733" s="29" t="n">
        <v>0</v>
      </c>
      <c r="R2733" s="29" t="n">
        <v>0</v>
      </c>
      <c r="S2733" s="29" t="n">
        <v>0</v>
      </c>
      <c r="T2733" t="inlineStr">
        <is>
          <t>25260126975620000130570010000061811001801183</t>
        </is>
      </c>
      <c r="U2733" t="inlineStr">
        <is>
          <t>Não</t>
        </is>
      </c>
    </row>
    <row r="2734">
      <c r="A2734" t="inlineStr">
        <is>
          <t>Frete de venda</t>
        </is>
      </c>
      <c r="B2734" t="inlineStr">
        <is>
          <t>2.01.02 Frete sobre Vendas</t>
        </is>
      </c>
      <c r="C2734" s="30" t="n">
        <v>46023</v>
      </c>
      <c r="D2734" t="inlineStr">
        <is>
          <t>Em 2026</t>
        </is>
      </c>
      <c r="E2734" s="28" t="n">
        <v>46039</v>
      </c>
      <c r="F2734" t="inlineStr">
        <is>
          <t>CT-e</t>
        </is>
      </c>
      <c r="G2734" t="inlineStr">
        <is>
          <t>000006182</t>
        </is>
      </c>
      <c r="H2734" t="inlineStr">
        <is>
          <t>R&amp;R TRANSPORTE E LOGISTICA</t>
        </is>
      </c>
      <c r="J2734" s="29" t="n">
        <v>50</v>
      </c>
      <c r="K2734" s="29">
        <f>(1-ISNUMBER(SEARCH("556",M2734)))*(O2734*SUMIFS(Premissas!$C$5:$C$44,Premissas!$A$5:$A$44,$A2734,Premissas!$B$5:$B$44,$B2734)+P2734*SUMIFS(Premissas!$D$5:$D$44,Premissas!$A$5:$A$44,$A2734,Premissas!$B$5:$B$44,$B2734))+R2734*SUMIFS(Premissas!$E$5:$E$44,Premissas!$A$5:$A$44,$A2734,Premissas!$B$5:$B$44,$B2734)+S2734*SUMIFS(Premissas!$F$5:$F$44,Premissas!$A$5:$A$44,$A2734,Premissas!$B$5:$B$44,$B2734)</f>
        <v/>
      </c>
      <c r="L2734" s="29">
        <f>J2734-K2734</f>
        <v/>
      </c>
      <c r="M2734" t="inlineStr">
        <is>
          <t>1.350</t>
        </is>
      </c>
      <c r="N2734" t="inlineStr">
        <is>
          <t>Modalidade: 0 - Por conta do remetente | Parte: JND DISTRIBUIDORA LTDA (36.332.668/0001-83)</t>
        </is>
      </c>
      <c r="O2734" s="29" t="n">
        <v>0</v>
      </c>
      <c r="P2734" s="29" t="n">
        <v>0</v>
      </c>
      <c r="Q2734" s="29" t="n">
        <v>0</v>
      </c>
      <c r="R2734" s="29" t="n">
        <v>0</v>
      </c>
      <c r="S2734" s="29" t="n">
        <v>0</v>
      </c>
      <c r="T2734" t="inlineStr">
        <is>
          <t>25260126975620000130570010000061821001501268</t>
        </is>
      </c>
      <c r="U2734" t="inlineStr">
        <is>
          <t>Não</t>
        </is>
      </c>
    </row>
    <row r="2735">
      <c r="A2735" t="inlineStr">
        <is>
          <t>Frete de venda</t>
        </is>
      </c>
      <c r="B2735" t="inlineStr">
        <is>
          <t>2.01.02 Frete sobre Vendas</t>
        </is>
      </c>
      <c r="C2735" s="30" t="n">
        <v>46023</v>
      </c>
      <c r="D2735" t="inlineStr">
        <is>
          <t>Em 2026</t>
        </is>
      </c>
      <c r="E2735" s="28" t="n">
        <v>46042</v>
      </c>
      <c r="F2735" t="inlineStr">
        <is>
          <t>CT-e</t>
        </is>
      </c>
      <c r="G2735" t="inlineStr">
        <is>
          <t>000006187</t>
        </is>
      </c>
      <c r="H2735" t="inlineStr">
        <is>
          <t>R&amp;R TRANSPORTE E LOGISTICA</t>
        </is>
      </c>
      <c r="J2735" s="29" t="n">
        <v>191.17</v>
      </c>
      <c r="K2735" s="29">
        <f>(1-ISNUMBER(SEARCH("556",M2735)))*(O2735*SUMIFS(Premissas!$C$5:$C$44,Premissas!$A$5:$A$44,$A2735,Premissas!$B$5:$B$44,$B2735)+P2735*SUMIFS(Premissas!$D$5:$D$44,Premissas!$A$5:$A$44,$A2735,Premissas!$B$5:$B$44,$B2735))+R2735*SUMIFS(Premissas!$E$5:$E$44,Premissas!$A$5:$A$44,$A2735,Premissas!$B$5:$B$44,$B2735)+S2735*SUMIFS(Premissas!$F$5:$F$44,Premissas!$A$5:$A$44,$A2735,Premissas!$B$5:$B$44,$B2735)</f>
        <v/>
      </c>
      <c r="L2735" s="29">
        <f>J2735-K2735</f>
        <v/>
      </c>
      <c r="M2735" t="inlineStr">
        <is>
          <t>1.350</t>
        </is>
      </c>
      <c r="N2735" t="inlineStr">
        <is>
          <t>Modalidade: 0 - Por conta do remetente | Parte: TORRES DISTRIBUIDORA ATACADISTA DE EMBALAGENS PLASTICAS ... (26.748.294/0001-28)</t>
        </is>
      </c>
      <c r="O2735" s="29" t="n">
        <v>0</v>
      </c>
      <c r="P2735" s="29" t="n">
        <v>0</v>
      </c>
      <c r="Q2735" s="29" t="n">
        <v>0</v>
      </c>
      <c r="R2735" s="29" t="n">
        <v>0</v>
      </c>
      <c r="S2735" s="29" t="n">
        <v>0</v>
      </c>
      <c r="T2735" t="inlineStr">
        <is>
          <t>25260126975620000130570010000061871001101002</t>
        </is>
      </c>
      <c r="U2735" t="inlineStr">
        <is>
          <t>Não</t>
        </is>
      </c>
    </row>
    <row r="2736">
      <c r="A2736" t="inlineStr">
        <is>
          <t>Frete de venda</t>
        </is>
      </c>
      <c r="B2736" t="inlineStr">
        <is>
          <t>2.01.02 Frete sobre Vendas</t>
        </is>
      </c>
      <c r="C2736" s="30" t="n">
        <v>46023</v>
      </c>
      <c r="D2736" t="inlineStr">
        <is>
          <t>Em 2026</t>
        </is>
      </c>
      <c r="E2736" s="28" t="n">
        <v>46042</v>
      </c>
      <c r="F2736" t="inlineStr">
        <is>
          <t>CT-e</t>
        </is>
      </c>
      <c r="G2736" t="inlineStr">
        <is>
          <t>000006189</t>
        </is>
      </c>
      <c r="H2736" t="inlineStr">
        <is>
          <t>R&amp;R TRANSPORTE E LOGISTICA</t>
        </is>
      </c>
      <c r="J2736" s="29" t="n">
        <v>1345.5</v>
      </c>
      <c r="K2736" s="29">
        <f>(1-ISNUMBER(SEARCH("556",M2736)))*(O2736*SUMIFS(Premissas!$C$5:$C$44,Premissas!$A$5:$A$44,$A2736,Premissas!$B$5:$B$44,$B2736)+P2736*SUMIFS(Premissas!$D$5:$D$44,Premissas!$A$5:$A$44,$A2736,Premissas!$B$5:$B$44,$B2736))+R2736*SUMIFS(Premissas!$E$5:$E$44,Premissas!$A$5:$A$44,$A2736,Premissas!$B$5:$B$44,$B2736)+S2736*SUMIFS(Premissas!$F$5:$F$44,Premissas!$A$5:$A$44,$A2736,Premissas!$B$5:$B$44,$B2736)</f>
        <v/>
      </c>
      <c r="L2736" s="29">
        <f>J2736-K2736</f>
        <v/>
      </c>
      <c r="M2736" t="inlineStr">
        <is>
          <t>1.350</t>
        </is>
      </c>
      <c r="N2736" t="inlineStr">
        <is>
          <t>Modalidade: 0 - Por conta do remetente | Parte: VILA COMERCIO DE FRIOS LTDA (33.787.186/0003-91)</t>
        </is>
      </c>
      <c r="O2736" s="29" t="n">
        <v>0</v>
      </c>
      <c r="P2736" s="29" t="n">
        <v>0</v>
      </c>
      <c r="Q2736" s="29" t="n">
        <v>0</v>
      </c>
      <c r="R2736" s="29" t="n">
        <v>0</v>
      </c>
      <c r="S2736" s="29" t="n">
        <v>0</v>
      </c>
      <c r="T2736" t="inlineStr">
        <is>
          <t>25260126975620000130570010000061891001601166</t>
        </is>
      </c>
      <c r="U2736" t="inlineStr">
        <is>
          <t>Não</t>
        </is>
      </c>
    </row>
    <row r="2737">
      <c r="A2737" t="inlineStr">
        <is>
          <t>Frete de venda</t>
        </is>
      </c>
      <c r="B2737" t="inlineStr">
        <is>
          <t>2.01.02 Frete sobre Vendas</t>
        </is>
      </c>
      <c r="C2737" s="30" t="n">
        <v>46023</v>
      </c>
      <c r="D2737" t="inlineStr">
        <is>
          <t>Em 2026</t>
        </is>
      </c>
      <c r="E2737" s="28" t="n">
        <v>46043</v>
      </c>
      <c r="F2737" t="inlineStr">
        <is>
          <t>CT-e</t>
        </is>
      </c>
      <c r="G2737" t="inlineStr">
        <is>
          <t>000006194</t>
        </is>
      </c>
      <c r="H2737" t="inlineStr">
        <is>
          <t>R&amp;R TRANSPORTE E LOGISTICA</t>
        </is>
      </c>
      <c r="J2737" s="29" t="n">
        <v>66.64</v>
      </c>
      <c r="K2737" s="29">
        <f>(1-ISNUMBER(SEARCH("556",M2737)))*(O2737*SUMIFS(Premissas!$C$5:$C$44,Premissas!$A$5:$A$44,$A2737,Premissas!$B$5:$B$44,$B2737)+P2737*SUMIFS(Premissas!$D$5:$D$44,Premissas!$A$5:$A$44,$A2737,Premissas!$B$5:$B$44,$B2737))+R2737*SUMIFS(Premissas!$E$5:$E$44,Premissas!$A$5:$A$44,$A2737,Premissas!$B$5:$B$44,$B2737)+S2737*SUMIFS(Premissas!$F$5:$F$44,Premissas!$A$5:$A$44,$A2737,Premissas!$B$5:$B$44,$B2737)</f>
        <v/>
      </c>
      <c r="L2737" s="29">
        <f>J2737-K2737</f>
        <v/>
      </c>
      <c r="M2737" t="inlineStr">
        <is>
          <t>1.350</t>
        </is>
      </c>
      <c r="N2737" t="inlineStr">
        <is>
          <t>Modalidade: 0 - Por conta do remetente | Parte: EMBALAMONTES COMERCIO DE EMBALAGENS LTDA (09.397.478/0001-71)</t>
        </is>
      </c>
      <c r="O2737" s="29" t="n">
        <v>0</v>
      </c>
      <c r="P2737" s="29" t="n">
        <v>0</v>
      </c>
      <c r="Q2737" s="29" t="n">
        <v>0</v>
      </c>
      <c r="R2737" s="29" t="n">
        <v>0</v>
      </c>
      <c r="S2737" s="29" t="n">
        <v>0</v>
      </c>
      <c r="T2737" t="inlineStr">
        <is>
          <t>25260126975620000130570010000061941000160832</t>
        </is>
      </c>
      <c r="U2737" t="inlineStr">
        <is>
          <t>Não</t>
        </is>
      </c>
    </row>
    <row r="2738">
      <c r="A2738" t="inlineStr">
        <is>
          <t>Frete de venda</t>
        </is>
      </c>
      <c r="B2738" t="inlineStr">
        <is>
          <t>2.01.02 Frete sobre Vendas</t>
        </is>
      </c>
      <c r="C2738" s="30" t="n">
        <v>46023</v>
      </c>
      <c r="D2738" t="inlineStr">
        <is>
          <t>Em 2026</t>
        </is>
      </c>
      <c r="E2738" s="28" t="n">
        <v>46043</v>
      </c>
      <c r="F2738" t="inlineStr">
        <is>
          <t>CT-e</t>
        </is>
      </c>
      <c r="G2738" t="inlineStr">
        <is>
          <t>000006195</t>
        </is>
      </c>
      <c r="H2738" t="inlineStr">
        <is>
          <t>R&amp;R TRANSPORTE E LOGISTICA</t>
        </is>
      </c>
      <c r="J2738" s="29" t="n">
        <v>44.93</v>
      </c>
      <c r="K2738" s="29">
        <f>(1-ISNUMBER(SEARCH("556",M2738)))*(O2738*SUMIFS(Premissas!$C$5:$C$44,Premissas!$A$5:$A$44,$A2738,Premissas!$B$5:$B$44,$B2738)+P2738*SUMIFS(Premissas!$D$5:$D$44,Premissas!$A$5:$A$44,$A2738,Premissas!$B$5:$B$44,$B2738))+R2738*SUMIFS(Premissas!$E$5:$E$44,Premissas!$A$5:$A$44,$A2738,Premissas!$B$5:$B$44,$B2738)+S2738*SUMIFS(Premissas!$F$5:$F$44,Premissas!$A$5:$A$44,$A2738,Premissas!$B$5:$B$44,$B2738)</f>
        <v/>
      </c>
      <c r="L2738" s="29">
        <f>J2738-K2738</f>
        <v/>
      </c>
      <c r="M2738" t="inlineStr">
        <is>
          <t>1.350</t>
        </is>
      </c>
      <c r="N2738" t="inlineStr">
        <is>
          <t>Modalidade: 0 - Por conta do remetente | Parte: NC EMBALAGENS LTDA (42.064.062/0001-07)</t>
        </is>
      </c>
      <c r="O2738" s="29" t="n">
        <v>0</v>
      </c>
      <c r="P2738" s="29" t="n">
        <v>0</v>
      </c>
      <c r="Q2738" s="29" t="n">
        <v>0</v>
      </c>
      <c r="R2738" s="29" t="n">
        <v>0</v>
      </c>
      <c r="S2738" s="29" t="n">
        <v>0</v>
      </c>
      <c r="T2738" t="inlineStr">
        <is>
          <t>25260126975620000130570010000061951000130914</t>
        </is>
      </c>
      <c r="U2738" t="inlineStr">
        <is>
          <t>Não</t>
        </is>
      </c>
    </row>
    <row r="2739">
      <c r="A2739" t="inlineStr">
        <is>
          <t>Frete de venda</t>
        </is>
      </c>
      <c r="B2739" t="inlineStr">
        <is>
          <t>2.01.02 Frete sobre Vendas</t>
        </is>
      </c>
      <c r="C2739" s="30" t="n">
        <v>46023</v>
      </c>
      <c r="D2739" t="inlineStr">
        <is>
          <t>Em 2026</t>
        </is>
      </c>
      <c r="E2739" s="28" t="n">
        <v>46043</v>
      </c>
      <c r="F2739" t="inlineStr">
        <is>
          <t>CT-e</t>
        </is>
      </c>
      <c r="G2739" t="inlineStr">
        <is>
          <t>000006196</t>
        </is>
      </c>
      <c r="H2739" t="inlineStr">
        <is>
          <t>R&amp;R TRANSPORTE E LOGISTICA</t>
        </is>
      </c>
      <c r="J2739" s="29" t="n">
        <v>31.17</v>
      </c>
      <c r="K2739" s="29">
        <f>(1-ISNUMBER(SEARCH("556",M2739)))*(O2739*SUMIFS(Premissas!$C$5:$C$44,Premissas!$A$5:$A$44,$A2739,Premissas!$B$5:$B$44,$B2739)+P2739*SUMIFS(Premissas!$D$5:$D$44,Premissas!$A$5:$A$44,$A2739,Premissas!$B$5:$B$44,$B2739))+R2739*SUMIFS(Premissas!$E$5:$E$44,Premissas!$A$5:$A$44,$A2739,Premissas!$B$5:$B$44,$B2739)+S2739*SUMIFS(Premissas!$F$5:$F$44,Premissas!$A$5:$A$44,$A2739,Premissas!$B$5:$B$44,$B2739)</f>
        <v/>
      </c>
      <c r="L2739" s="29">
        <f>J2739-K2739</f>
        <v/>
      </c>
      <c r="M2739" t="inlineStr">
        <is>
          <t>1.350</t>
        </is>
      </c>
      <c r="N2739" t="inlineStr">
        <is>
          <t>Modalidade: 0 - Por conta do remetente | Parte: DISTRIBUIDORA DE EMBALAGENS SUACUI LTDA (10.560.122/0001-96)</t>
        </is>
      </c>
      <c r="O2739" s="29" t="n">
        <v>0</v>
      </c>
      <c r="P2739" s="29" t="n">
        <v>0</v>
      </c>
      <c r="Q2739" s="29" t="n">
        <v>0</v>
      </c>
      <c r="R2739" s="29" t="n">
        <v>0</v>
      </c>
      <c r="S2739" s="29" t="n">
        <v>0</v>
      </c>
      <c r="T2739" t="inlineStr">
        <is>
          <t>25260126975620000130570010000061961000010991</t>
        </is>
      </c>
      <c r="U2739" t="inlineStr">
        <is>
          <t>Não</t>
        </is>
      </c>
    </row>
    <row r="2740">
      <c r="A2740" t="inlineStr">
        <is>
          <t>Frete de venda</t>
        </is>
      </c>
      <c r="B2740" t="inlineStr">
        <is>
          <t>2.01.02 Frete sobre Vendas</t>
        </is>
      </c>
      <c r="C2740" s="30" t="n">
        <v>46023</v>
      </c>
      <c r="D2740" t="inlineStr">
        <is>
          <t>Em 2026</t>
        </is>
      </c>
      <c r="E2740" s="28" t="n">
        <v>46043</v>
      </c>
      <c r="F2740" t="inlineStr">
        <is>
          <t>CT-e</t>
        </is>
      </c>
      <c r="G2740" t="inlineStr">
        <is>
          <t>000006197</t>
        </is>
      </c>
      <c r="H2740" t="inlineStr">
        <is>
          <t>R&amp;R TRANSPORTE E LOGISTICA</t>
        </is>
      </c>
      <c r="J2740" s="29" t="n">
        <v>114</v>
      </c>
      <c r="K2740" s="29">
        <f>(1-ISNUMBER(SEARCH("556",M2740)))*(O2740*SUMIFS(Premissas!$C$5:$C$44,Premissas!$A$5:$A$44,$A2740,Premissas!$B$5:$B$44,$B2740)+P2740*SUMIFS(Premissas!$D$5:$D$44,Premissas!$A$5:$A$44,$A2740,Premissas!$B$5:$B$44,$B2740))+R2740*SUMIFS(Premissas!$E$5:$E$44,Premissas!$A$5:$A$44,$A2740,Premissas!$B$5:$B$44,$B2740)+S2740*SUMIFS(Premissas!$F$5:$F$44,Premissas!$A$5:$A$44,$A2740,Premissas!$B$5:$B$44,$B2740)</f>
        <v/>
      </c>
      <c r="L2740" s="29">
        <f>J2740-K2740</f>
        <v/>
      </c>
      <c r="M2740" t="inlineStr">
        <is>
          <t>1.350</t>
        </is>
      </c>
      <c r="N2740" t="inlineStr">
        <is>
          <t>Modalidade: 0 - Por conta do remetente | Parte: SELLPACK DISTRIBUIDORA LTDA (07.747.107/0002-28)</t>
        </is>
      </c>
      <c r="O2740" s="29" t="n">
        <v>0</v>
      </c>
      <c r="P2740" s="29" t="n">
        <v>0</v>
      </c>
      <c r="Q2740" s="29" t="n">
        <v>0</v>
      </c>
      <c r="R2740" s="29" t="n">
        <v>0</v>
      </c>
      <c r="S2740" s="29" t="n">
        <v>0</v>
      </c>
      <c r="T2740" t="inlineStr">
        <is>
          <t>25260126975620000130570010000061971001801078</t>
        </is>
      </c>
      <c r="U2740" t="inlineStr">
        <is>
          <t>Não</t>
        </is>
      </c>
    </row>
    <row r="2741">
      <c r="A2741" t="inlineStr">
        <is>
          <t>Frete de venda</t>
        </is>
      </c>
      <c r="B2741" t="inlineStr">
        <is>
          <t>2.01.02 Frete sobre Vendas</t>
        </is>
      </c>
      <c r="C2741" s="30" t="n">
        <v>46023</v>
      </c>
      <c r="D2741" t="inlineStr">
        <is>
          <t>Em 2026</t>
        </is>
      </c>
      <c r="E2741" s="28" t="n">
        <v>46043</v>
      </c>
      <c r="F2741" t="inlineStr">
        <is>
          <t>CT-e</t>
        </is>
      </c>
      <c r="G2741" t="inlineStr">
        <is>
          <t>000006198</t>
        </is>
      </c>
      <c r="H2741" t="inlineStr">
        <is>
          <t>R&amp;R TRANSPORTE E LOGISTICA</t>
        </is>
      </c>
      <c r="J2741" s="29" t="n">
        <v>20.54</v>
      </c>
      <c r="K2741" s="29">
        <f>(1-ISNUMBER(SEARCH("556",M2741)))*(O2741*SUMIFS(Premissas!$C$5:$C$44,Premissas!$A$5:$A$44,$A2741,Premissas!$B$5:$B$44,$B2741)+P2741*SUMIFS(Premissas!$D$5:$D$44,Premissas!$A$5:$A$44,$A2741,Premissas!$B$5:$B$44,$B2741))+R2741*SUMIFS(Premissas!$E$5:$E$44,Premissas!$A$5:$A$44,$A2741,Premissas!$B$5:$B$44,$B2741)+S2741*SUMIFS(Premissas!$F$5:$F$44,Premissas!$A$5:$A$44,$A2741,Premissas!$B$5:$B$44,$B2741)</f>
        <v/>
      </c>
      <c r="L2741" s="29">
        <f>J2741-K2741</f>
        <v/>
      </c>
      <c r="M2741" t="inlineStr">
        <is>
          <t>1.350</t>
        </is>
      </c>
      <c r="N2741" t="inlineStr">
        <is>
          <t>Modalidade: 0 - Por conta do remetente | Parte: RL EMBALAGENS E MAQUINAS LTDA (62.268.063/0001-80)</t>
        </is>
      </c>
      <c r="O2741" s="29" t="n">
        <v>0</v>
      </c>
      <c r="P2741" s="29" t="n">
        <v>0</v>
      </c>
      <c r="Q2741" s="29" t="n">
        <v>0</v>
      </c>
      <c r="R2741" s="29" t="n">
        <v>0</v>
      </c>
      <c r="S2741" s="29" t="n">
        <v>0</v>
      </c>
      <c r="T2741" t="inlineStr">
        <is>
          <t>25260126975620000130570010000061981001501152</t>
        </is>
      </c>
      <c r="U2741" t="inlineStr">
        <is>
          <t>Não</t>
        </is>
      </c>
    </row>
    <row r="2742">
      <c r="A2742" t="inlineStr">
        <is>
          <t>Frete de venda</t>
        </is>
      </c>
      <c r="B2742" t="inlineStr">
        <is>
          <t>2.01.02 Frete sobre Vendas</t>
        </is>
      </c>
      <c r="C2742" s="30" t="n">
        <v>46023</v>
      </c>
      <c r="D2742" t="inlineStr">
        <is>
          <t>Em 2026</t>
        </is>
      </c>
      <c r="E2742" s="28" t="n">
        <v>46043</v>
      </c>
      <c r="F2742" t="inlineStr">
        <is>
          <t>CT-e</t>
        </is>
      </c>
      <c r="G2742" t="inlineStr">
        <is>
          <t>000006199</t>
        </is>
      </c>
      <c r="H2742" t="inlineStr">
        <is>
          <t>R&amp;R TRANSPORTE E LOGISTICA</t>
        </is>
      </c>
      <c r="J2742" s="29" t="n">
        <v>25.77</v>
      </c>
      <c r="K2742" s="29">
        <f>(1-ISNUMBER(SEARCH("556",M2742)))*(O2742*SUMIFS(Premissas!$C$5:$C$44,Premissas!$A$5:$A$44,$A2742,Premissas!$B$5:$B$44,$B2742)+P2742*SUMIFS(Premissas!$D$5:$D$44,Premissas!$A$5:$A$44,$A2742,Premissas!$B$5:$B$44,$B2742))+R2742*SUMIFS(Premissas!$E$5:$E$44,Premissas!$A$5:$A$44,$A2742,Premissas!$B$5:$B$44,$B2742)+S2742*SUMIFS(Premissas!$F$5:$F$44,Premissas!$A$5:$A$44,$A2742,Premissas!$B$5:$B$44,$B2742)</f>
        <v/>
      </c>
      <c r="L2742" s="29">
        <f>J2742-K2742</f>
        <v/>
      </c>
      <c r="M2742" t="inlineStr">
        <is>
          <t>1.350</t>
        </is>
      </c>
      <c r="N2742" t="inlineStr">
        <is>
          <t>Modalidade: 0 - Por conta do remetente | Parte: EDGAR COUTO PIRES (05.857.084/0001-06)</t>
        </is>
      </c>
      <c r="O2742" s="29" t="n">
        <v>0</v>
      </c>
      <c r="P2742" s="29" t="n">
        <v>0</v>
      </c>
      <c r="Q2742" s="29" t="n">
        <v>0</v>
      </c>
      <c r="R2742" s="29" t="n">
        <v>0</v>
      </c>
      <c r="S2742" s="29" t="n">
        <v>0</v>
      </c>
      <c r="T2742" t="inlineStr">
        <is>
          <t>25260126975620000130570010000061991001201237</t>
        </is>
      </c>
      <c r="U2742" t="inlineStr">
        <is>
          <t>Não</t>
        </is>
      </c>
    </row>
    <row r="2743">
      <c r="A2743" t="inlineStr">
        <is>
          <t>Frete de venda</t>
        </is>
      </c>
      <c r="B2743" t="inlineStr">
        <is>
          <t>2.01.02 Frete sobre Vendas</t>
        </is>
      </c>
      <c r="C2743" s="30" t="n">
        <v>46023</v>
      </c>
      <c r="D2743" t="inlineStr">
        <is>
          <t>Em 2026</t>
        </is>
      </c>
      <c r="E2743" s="28" t="n">
        <v>46043</v>
      </c>
      <c r="F2743" t="inlineStr">
        <is>
          <t>CT-e</t>
        </is>
      </c>
      <c r="G2743" t="inlineStr">
        <is>
          <t>000006200</t>
        </is>
      </c>
      <c r="H2743" t="inlineStr">
        <is>
          <t>R&amp;R TRANSPORTE E LOGISTICA</t>
        </is>
      </c>
      <c r="J2743" s="29" t="n">
        <v>47.27</v>
      </c>
      <c r="K2743" s="29">
        <f>(1-ISNUMBER(SEARCH("556",M2743)))*(O2743*SUMIFS(Premissas!$C$5:$C$44,Premissas!$A$5:$A$44,$A2743,Premissas!$B$5:$B$44,$B2743)+P2743*SUMIFS(Premissas!$D$5:$D$44,Premissas!$A$5:$A$44,$A2743,Premissas!$B$5:$B$44,$B2743))+R2743*SUMIFS(Premissas!$E$5:$E$44,Premissas!$A$5:$A$44,$A2743,Premissas!$B$5:$B$44,$B2743)+S2743*SUMIFS(Premissas!$F$5:$F$44,Premissas!$A$5:$A$44,$A2743,Premissas!$B$5:$B$44,$B2743)</f>
        <v/>
      </c>
      <c r="L2743" s="29">
        <f>J2743-K2743</f>
        <v/>
      </c>
      <c r="M2743" t="inlineStr">
        <is>
          <t>1.350</t>
        </is>
      </c>
      <c r="N2743" t="inlineStr">
        <is>
          <t>Modalidade: 0 - Por conta do remetente | Parte: PANTER COMERCIO DE ALIMENTOS E DESCARTAVEIS LTDA (65.277.949/0001-89)</t>
        </is>
      </c>
      <c r="O2743" s="29" t="n">
        <v>0</v>
      </c>
      <c r="P2743" s="29" t="n">
        <v>0</v>
      </c>
      <c r="Q2743" s="29" t="n">
        <v>0</v>
      </c>
      <c r="R2743" s="29" t="n">
        <v>0</v>
      </c>
      <c r="S2743" s="29" t="n">
        <v>0</v>
      </c>
      <c r="T2743" t="inlineStr">
        <is>
          <t>25260126975620000130570010000062001011001314</t>
        </is>
      </c>
      <c r="U2743" t="inlineStr">
        <is>
          <t>Não</t>
        </is>
      </c>
    </row>
    <row r="2744">
      <c r="A2744" t="inlineStr">
        <is>
          <t>Frete de venda</t>
        </is>
      </c>
      <c r="B2744" t="inlineStr">
        <is>
          <t>2.01.02 Frete sobre Vendas</t>
        </is>
      </c>
      <c r="C2744" s="30" t="n">
        <v>46023</v>
      </c>
      <c r="D2744" t="inlineStr">
        <is>
          <t>Em 2026</t>
        </is>
      </c>
      <c r="E2744" s="28" t="n">
        <v>46043</v>
      </c>
      <c r="F2744" t="inlineStr">
        <is>
          <t>CT-e</t>
        </is>
      </c>
      <c r="G2744" t="inlineStr">
        <is>
          <t>000006201</t>
        </is>
      </c>
      <c r="H2744" t="inlineStr">
        <is>
          <t>R&amp;R TRANSPORTE E LOGISTICA</t>
        </is>
      </c>
      <c r="J2744" s="29" t="n">
        <v>35.86</v>
      </c>
      <c r="K2744" s="29">
        <f>(1-ISNUMBER(SEARCH("556",M2744)))*(O2744*SUMIFS(Premissas!$C$5:$C$44,Premissas!$A$5:$A$44,$A2744,Premissas!$B$5:$B$44,$B2744)+P2744*SUMIFS(Premissas!$D$5:$D$44,Premissas!$A$5:$A$44,$A2744,Premissas!$B$5:$B$44,$B2744))+R2744*SUMIFS(Premissas!$E$5:$E$44,Premissas!$A$5:$A$44,$A2744,Premissas!$B$5:$B$44,$B2744)+S2744*SUMIFS(Premissas!$F$5:$F$44,Premissas!$A$5:$A$44,$A2744,Premissas!$B$5:$B$44,$B2744)</f>
        <v/>
      </c>
      <c r="L2744" s="29">
        <f>J2744-K2744</f>
        <v/>
      </c>
      <c r="M2744" t="inlineStr">
        <is>
          <t>1.350</t>
        </is>
      </c>
      <c r="N2744" t="inlineStr">
        <is>
          <t>Modalidade: 0 - Por conta do remetente | Parte: CASINHAPEL EMBALAGENS LTDA (13.190.805/0001-97)</t>
        </is>
      </c>
      <c r="O2744" s="29" t="n">
        <v>0</v>
      </c>
      <c r="P2744" s="29" t="n">
        <v>0</v>
      </c>
      <c r="Q2744" s="29" t="n">
        <v>0</v>
      </c>
      <c r="R2744" s="29" t="n">
        <v>0</v>
      </c>
      <c r="S2744" s="29" t="n">
        <v>0</v>
      </c>
      <c r="T2744" t="inlineStr">
        <is>
          <t>25260126975620000130570010000062011001701396</t>
        </is>
      </c>
      <c r="U2744" t="inlineStr">
        <is>
          <t>Não</t>
        </is>
      </c>
    </row>
    <row r="2745">
      <c r="A2745" t="inlineStr">
        <is>
          <t>Frete de venda</t>
        </is>
      </c>
      <c r="B2745" t="inlineStr">
        <is>
          <t>2.01.02 Frete sobre Vendas</t>
        </is>
      </c>
      <c r="C2745" s="30" t="n">
        <v>46023</v>
      </c>
      <c r="D2745" t="inlineStr">
        <is>
          <t>Em 2026</t>
        </is>
      </c>
      <c r="E2745" s="28" t="n">
        <v>46043</v>
      </c>
      <c r="F2745" t="inlineStr">
        <is>
          <t>CT-e</t>
        </is>
      </c>
      <c r="G2745" t="inlineStr">
        <is>
          <t>000006202</t>
        </is>
      </c>
      <c r="H2745" t="inlineStr">
        <is>
          <t>R&amp;R TRANSPORTE E LOGISTICA</t>
        </is>
      </c>
      <c r="J2745" s="29" t="n">
        <v>30.98</v>
      </c>
      <c r="K2745" s="29">
        <f>(1-ISNUMBER(SEARCH("556",M2745)))*(O2745*SUMIFS(Premissas!$C$5:$C$44,Premissas!$A$5:$A$44,$A2745,Premissas!$B$5:$B$44,$B2745)+P2745*SUMIFS(Premissas!$D$5:$D$44,Premissas!$A$5:$A$44,$A2745,Premissas!$B$5:$B$44,$B2745))+R2745*SUMIFS(Premissas!$E$5:$E$44,Premissas!$A$5:$A$44,$A2745,Premissas!$B$5:$B$44,$B2745)+S2745*SUMIFS(Premissas!$F$5:$F$44,Premissas!$A$5:$A$44,$A2745,Premissas!$B$5:$B$44,$B2745)</f>
        <v/>
      </c>
      <c r="L2745" s="29">
        <f>J2745-K2745</f>
        <v/>
      </c>
      <c r="M2745" t="inlineStr">
        <is>
          <t>1.350</t>
        </is>
      </c>
      <c r="N2745" t="inlineStr">
        <is>
          <t>Modalidade: 0 - Por conta do remetente | Parte: CASA DAS EMBALAGENS OLIVEIRA LTDA (09.016.431/0001-10)</t>
        </is>
      </c>
      <c r="O2745" s="29" t="n">
        <v>0</v>
      </c>
      <c r="P2745" s="29" t="n">
        <v>0</v>
      </c>
      <c r="Q2745" s="29" t="n">
        <v>0</v>
      </c>
      <c r="R2745" s="29" t="n">
        <v>0</v>
      </c>
      <c r="S2745" s="29" t="n">
        <v>0</v>
      </c>
      <c r="T2745" t="inlineStr">
        <is>
          <t>25260126975620000130570010000062021001401470</t>
        </is>
      </c>
      <c r="U2745" t="inlineStr">
        <is>
          <t>Não</t>
        </is>
      </c>
    </row>
    <row r="2746">
      <c r="A2746" t="inlineStr">
        <is>
          <t>Frete de venda</t>
        </is>
      </c>
      <c r="B2746" t="inlineStr">
        <is>
          <t>2.01.02 Frete sobre Vendas</t>
        </is>
      </c>
      <c r="C2746" s="30" t="n">
        <v>46023</v>
      </c>
      <c r="D2746" t="inlineStr">
        <is>
          <t>Em 2026</t>
        </is>
      </c>
      <c r="E2746" s="28" t="n">
        <v>46043</v>
      </c>
      <c r="F2746" t="inlineStr">
        <is>
          <t>CT-e</t>
        </is>
      </c>
      <c r="G2746" t="inlineStr">
        <is>
          <t>000006203</t>
        </is>
      </c>
      <c r="H2746" t="inlineStr">
        <is>
          <t>R&amp;R TRANSPORTE E LOGISTICA</t>
        </is>
      </c>
      <c r="J2746" s="29" t="n">
        <v>34.14</v>
      </c>
      <c r="K2746" s="29">
        <f>(1-ISNUMBER(SEARCH("556",M2746)))*(O2746*SUMIFS(Premissas!$C$5:$C$44,Premissas!$A$5:$A$44,$A2746,Premissas!$B$5:$B$44,$B2746)+P2746*SUMIFS(Premissas!$D$5:$D$44,Premissas!$A$5:$A$44,$A2746,Premissas!$B$5:$B$44,$B2746))+R2746*SUMIFS(Premissas!$E$5:$E$44,Premissas!$A$5:$A$44,$A2746,Premissas!$B$5:$B$44,$B2746)+S2746*SUMIFS(Premissas!$F$5:$F$44,Premissas!$A$5:$A$44,$A2746,Premissas!$B$5:$B$44,$B2746)</f>
        <v/>
      </c>
      <c r="L2746" s="29">
        <f>J2746-K2746</f>
        <v/>
      </c>
      <c r="M2746" t="inlineStr">
        <is>
          <t>1.350</t>
        </is>
      </c>
      <c r="N2746" t="inlineStr">
        <is>
          <t>Modalidade: 0 - Por conta do remetente | Parte: RD DISTRIBUIDORA DE EMBALAGENS LTDA (31.097.748/0001-88)</t>
        </is>
      </c>
      <c r="O2746" s="29" t="n">
        <v>0</v>
      </c>
      <c r="P2746" s="29" t="n">
        <v>0</v>
      </c>
      <c r="Q2746" s="29" t="n">
        <v>0</v>
      </c>
      <c r="R2746" s="29" t="n">
        <v>0</v>
      </c>
      <c r="S2746" s="29" t="n">
        <v>0</v>
      </c>
      <c r="T2746" t="inlineStr">
        <is>
          <t>25260126975620000130570010000062031001101555</t>
        </is>
      </c>
      <c r="U2746" t="inlineStr">
        <is>
          <t>Não</t>
        </is>
      </c>
    </row>
    <row r="2747">
      <c r="A2747" t="inlineStr">
        <is>
          <t>Frete de venda</t>
        </is>
      </c>
      <c r="B2747" t="inlineStr">
        <is>
          <t>2.01.02 Frete sobre Vendas</t>
        </is>
      </c>
      <c r="C2747" s="30" t="n">
        <v>46023</v>
      </c>
      <c r="D2747" t="inlineStr">
        <is>
          <t>Em 2026</t>
        </is>
      </c>
      <c r="E2747" s="28" t="n">
        <v>46043</v>
      </c>
      <c r="F2747" t="inlineStr">
        <is>
          <t>CT-e</t>
        </is>
      </c>
      <c r="G2747" t="inlineStr">
        <is>
          <t>000006204</t>
        </is>
      </c>
      <c r="H2747" t="inlineStr">
        <is>
          <t>R&amp;R TRANSPORTE E LOGISTICA</t>
        </is>
      </c>
      <c r="J2747" s="29" t="n">
        <v>30.3</v>
      </c>
      <c r="K2747" s="29">
        <f>(1-ISNUMBER(SEARCH("556",M2747)))*(O2747*SUMIFS(Premissas!$C$5:$C$44,Premissas!$A$5:$A$44,$A2747,Premissas!$B$5:$B$44,$B2747)+P2747*SUMIFS(Premissas!$D$5:$D$44,Premissas!$A$5:$A$44,$A2747,Premissas!$B$5:$B$44,$B2747))+R2747*SUMIFS(Premissas!$E$5:$E$44,Premissas!$A$5:$A$44,$A2747,Premissas!$B$5:$B$44,$B2747)+S2747*SUMIFS(Premissas!$F$5:$F$44,Premissas!$A$5:$A$44,$A2747,Premissas!$B$5:$B$44,$B2747)</f>
        <v/>
      </c>
      <c r="L2747" s="29">
        <f>J2747-K2747</f>
        <v/>
      </c>
      <c r="M2747" t="inlineStr">
        <is>
          <t>1.350</t>
        </is>
      </c>
      <c r="N2747" t="inlineStr">
        <is>
          <t>Modalidade: 0 - Por conta do remetente | Parte: CASA DAS EMBALAGENS ARAGUARI LTDA (01.870.495/0001-72)</t>
        </is>
      </c>
      <c r="O2747" s="29" t="n">
        <v>0</v>
      </c>
      <c r="P2747" s="29" t="n">
        <v>0</v>
      </c>
      <c r="Q2747" s="29" t="n">
        <v>0</v>
      </c>
      <c r="R2747" s="29" t="n">
        <v>0</v>
      </c>
      <c r="S2747" s="29" t="n">
        <v>0</v>
      </c>
      <c r="T2747" t="inlineStr">
        <is>
          <t>25260126975620000130570010000062041000120901</t>
        </is>
      </c>
      <c r="U2747" t="inlineStr">
        <is>
          <t>Não</t>
        </is>
      </c>
    </row>
    <row r="2748">
      <c r="A2748" t="inlineStr">
        <is>
          <t>Frete de venda</t>
        </is>
      </c>
      <c r="B2748" t="inlineStr">
        <is>
          <t>2.01.02 Frete sobre Vendas</t>
        </is>
      </c>
      <c r="C2748" s="30" t="n">
        <v>46023</v>
      </c>
      <c r="D2748" t="inlineStr">
        <is>
          <t>Em 2026</t>
        </is>
      </c>
      <c r="E2748" s="28" t="n">
        <v>46044</v>
      </c>
      <c r="F2748" t="inlineStr">
        <is>
          <t>CT-e</t>
        </is>
      </c>
      <c r="G2748" t="inlineStr">
        <is>
          <t>000006209</t>
        </is>
      </c>
      <c r="H2748" t="inlineStr">
        <is>
          <t>R&amp;R TRANSPORTE E LOGISTICA</t>
        </is>
      </c>
      <c r="J2748" s="29" t="n">
        <v>43.11</v>
      </c>
      <c r="K2748" s="29">
        <f>(1-ISNUMBER(SEARCH("556",M2748)))*(O2748*SUMIFS(Premissas!$C$5:$C$44,Premissas!$A$5:$A$44,$A2748,Premissas!$B$5:$B$44,$B2748)+P2748*SUMIFS(Premissas!$D$5:$D$44,Premissas!$A$5:$A$44,$A2748,Premissas!$B$5:$B$44,$B2748))+R2748*SUMIFS(Premissas!$E$5:$E$44,Premissas!$A$5:$A$44,$A2748,Premissas!$B$5:$B$44,$B2748)+S2748*SUMIFS(Premissas!$F$5:$F$44,Premissas!$A$5:$A$44,$A2748,Premissas!$B$5:$B$44,$B2748)</f>
        <v/>
      </c>
      <c r="L2748" s="29">
        <f>J2748-K2748</f>
        <v/>
      </c>
      <c r="M2748" t="inlineStr">
        <is>
          <t>1.350</t>
        </is>
      </c>
      <c r="N2748" t="inlineStr">
        <is>
          <t>Modalidade: 0 - Por conta do remetente | Parte: LIDER INDUSTRIA E COMERCIO LTDA (45.762.979/0001-73)</t>
        </is>
      </c>
      <c r="O2748" s="29" t="n">
        <v>0</v>
      </c>
      <c r="P2748" s="29" t="n">
        <v>0</v>
      </c>
      <c r="Q2748" s="29" t="n">
        <v>0</v>
      </c>
      <c r="R2748" s="29" t="n">
        <v>0</v>
      </c>
      <c r="S2748" s="29" t="n">
        <v>0</v>
      </c>
      <c r="T2748" t="inlineStr">
        <is>
          <t>25260126975620000130570010000062091001901199</t>
        </is>
      </c>
      <c r="U2748" t="inlineStr">
        <is>
          <t>Não</t>
        </is>
      </c>
    </row>
    <row r="2749">
      <c r="A2749" t="inlineStr">
        <is>
          <t>Frete de venda</t>
        </is>
      </c>
      <c r="B2749" t="inlineStr">
        <is>
          <t>2.01.02 Frete sobre Vendas</t>
        </is>
      </c>
      <c r="C2749" s="30" t="n">
        <v>46023</v>
      </c>
      <c r="D2749" t="inlineStr">
        <is>
          <t>Em 2026</t>
        </is>
      </c>
      <c r="E2749" s="28" t="n">
        <v>46044</v>
      </c>
      <c r="F2749" t="inlineStr">
        <is>
          <t>CT-e</t>
        </is>
      </c>
      <c r="G2749" t="inlineStr">
        <is>
          <t>000006210</t>
        </is>
      </c>
      <c r="H2749" t="inlineStr">
        <is>
          <t>R&amp;R TRANSPORTE E LOGISTICA</t>
        </is>
      </c>
      <c r="J2749" s="29" t="n">
        <v>25.67</v>
      </c>
      <c r="K2749" s="29">
        <f>(1-ISNUMBER(SEARCH("556",M2749)))*(O2749*SUMIFS(Premissas!$C$5:$C$44,Premissas!$A$5:$A$44,$A2749,Premissas!$B$5:$B$44,$B2749)+P2749*SUMIFS(Premissas!$D$5:$D$44,Premissas!$A$5:$A$44,$A2749,Premissas!$B$5:$B$44,$B2749))+R2749*SUMIFS(Premissas!$E$5:$E$44,Premissas!$A$5:$A$44,$A2749,Premissas!$B$5:$B$44,$B2749)+S2749*SUMIFS(Premissas!$F$5:$F$44,Premissas!$A$5:$A$44,$A2749,Premissas!$B$5:$B$44,$B2749)</f>
        <v/>
      </c>
      <c r="L2749" s="29">
        <f>J2749-K2749</f>
        <v/>
      </c>
      <c r="M2749" t="inlineStr">
        <is>
          <t>1.350</t>
        </is>
      </c>
      <c r="N2749" t="inlineStr">
        <is>
          <t>Modalidade: 0 - Por conta do remetente | Parte: HAPPY FESTAS LTDA (24.626.452/0001-41)</t>
        </is>
      </c>
      <c r="O2749" s="29" t="n">
        <v>0</v>
      </c>
      <c r="P2749" s="29" t="n">
        <v>0</v>
      </c>
      <c r="Q2749" s="29" t="n">
        <v>0</v>
      </c>
      <c r="R2749" s="29" t="n">
        <v>0</v>
      </c>
      <c r="S2749" s="29" t="n">
        <v>0</v>
      </c>
      <c r="T2749" t="inlineStr">
        <is>
          <t>25260126975620000130570010000062101001601277</t>
        </is>
      </c>
      <c r="U2749" t="inlineStr">
        <is>
          <t>Não</t>
        </is>
      </c>
    </row>
    <row r="2750">
      <c r="A2750" t="inlineStr">
        <is>
          <t>Frete de venda</t>
        </is>
      </c>
      <c r="B2750" t="inlineStr">
        <is>
          <t>2.01.02 Frete sobre Vendas</t>
        </is>
      </c>
      <c r="C2750" s="30" t="n">
        <v>46023</v>
      </c>
      <c r="D2750" t="inlineStr">
        <is>
          <t>Em 2026</t>
        </is>
      </c>
      <c r="E2750" s="28" t="n">
        <v>46044</v>
      </c>
      <c r="F2750" t="inlineStr">
        <is>
          <t>CT-e</t>
        </is>
      </c>
      <c r="G2750" t="inlineStr">
        <is>
          <t>000006211</t>
        </is>
      </c>
      <c r="H2750" t="inlineStr">
        <is>
          <t>R&amp;R TRANSPORTE E LOGISTICA</t>
        </is>
      </c>
      <c r="J2750" s="29" t="n">
        <v>29.38</v>
      </c>
      <c r="K2750" s="29">
        <f>(1-ISNUMBER(SEARCH("556",M2750)))*(O2750*SUMIFS(Premissas!$C$5:$C$44,Premissas!$A$5:$A$44,$A2750,Premissas!$B$5:$B$44,$B2750)+P2750*SUMIFS(Premissas!$D$5:$D$44,Premissas!$A$5:$A$44,$A2750,Premissas!$B$5:$B$44,$B2750))+R2750*SUMIFS(Premissas!$E$5:$E$44,Premissas!$A$5:$A$44,$A2750,Premissas!$B$5:$B$44,$B2750)+S2750*SUMIFS(Premissas!$F$5:$F$44,Premissas!$A$5:$A$44,$A2750,Premissas!$B$5:$B$44,$B2750)</f>
        <v/>
      </c>
      <c r="L2750" s="29">
        <f>J2750-K2750</f>
        <v/>
      </c>
      <c r="M2750" t="inlineStr">
        <is>
          <t>1.350</t>
        </is>
      </c>
      <c r="N2750" t="inlineStr">
        <is>
          <t>Modalidade: 0 - Por conta do remetente | Parte: JAMES L H TOME e CIA LTDA (16.965.024/0008-91)</t>
        </is>
      </c>
      <c r="O2750" s="29" t="n">
        <v>0</v>
      </c>
      <c r="P2750" s="29" t="n">
        <v>0</v>
      </c>
      <c r="Q2750" s="29" t="n">
        <v>0</v>
      </c>
      <c r="R2750" s="29" t="n">
        <v>0</v>
      </c>
      <c r="S2750" s="29" t="n">
        <v>0</v>
      </c>
      <c r="T2750" t="inlineStr">
        <is>
          <t>25260126975620000130570010000062111001301351</t>
        </is>
      </c>
      <c r="U2750" t="inlineStr">
        <is>
          <t>Não</t>
        </is>
      </c>
    </row>
    <row r="2751">
      <c r="A2751" t="inlineStr">
        <is>
          <t>Frete de venda</t>
        </is>
      </c>
      <c r="B2751" t="inlineStr">
        <is>
          <t>2.01.02 Frete sobre Vendas</t>
        </is>
      </c>
      <c r="C2751" s="30" t="n">
        <v>46023</v>
      </c>
      <c r="D2751" t="inlineStr">
        <is>
          <t>Em 2026</t>
        </is>
      </c>
      <c r="E2751" s="28" t="n">
        <v>46044</v>
      </c>
      <c r="F2751" t="inlineStr">
        <is>
          <t>CT-e</t>
        </is>
      </c>
      <c r="G2751" t="inlineStr">
        <is>
          <t>000006212</t>
        </is>
      </c>
      <c r="H2751" t="inlineStr">
        <is>
          <t>R&amp;R TRANSPORTE E LOGISTICA</t>
        </is>
      </c>
      <c r="J2751" s="29" t="n">
        <v>23.73</v>
      </c>
      <c r="K2751" s="29">
        <f>(1-ISNUMBER(SEARCH("556",M2751)))*(O2751*SUMIFS(Premissas!$C$5:$C$44,Premissas!$A$5:$A$44,$A2751,Premissas!$B$5:$B$44,$B2751)+P2751*SUMIFS(Premissas!$D$5:$D$44,Premissas!$A$5:$A$44,$A2751,Premissas!$B$5:$B$44,$B2751))+R2751*SUMIFS(Premissas!$E$5:$E$44,Premissas!$A$5:$A$44,$A2751,Premissas!$B$5:$B$44,$B2751)+S2751*SUMIFS(Premissas!$F$5:$F$44,Premissas!$A$5:$A$44,$A2751,Premissas!$B$5:$B$44,$B2751)</f>
        <v/>
      </c>
      <c r="L2751" s="29">
        <f>J2751-K2751</f>
        <v/>
      </c>
      <c r="M2751" t="inlineStr">
        <is>
          <t>1.350</t>
        </is>
      </c>
      <c r="N2751" t="inlineStr">
        <is>
          <t>Modalidade: 0 - Por conta do remetente | Parte: JAMES L. H. TOME e CIA LTDA (16.965.024/0011-97)</t>
        </is>
      </c>
      <c r="O2751" s="29" t="n">
        <v>0</v>
      </c>
      <c r="P2751" s="29" t="n">
        <v>0</v>
      </c>
      <c r="Q2751" s="29" t="n">
        <v>0</v>
      </c>
      <c r="R2751" s="29" t="n">
        <v>0</v>
      </c>
      <c r="S2751" s="29" t="n">
        <v>0</v>
      </c>
      <c r="T2751" t="inlineStr">
        <is>
          <t>25260126975620000130570010000062121000101437</t>
        </is>
      </c>
      <c r="U2751" t="inlineStr">
        <is>
          <t>Não</t>
        </is>
      </c>
    </row>
    <row r="2752">
      <c r="A2752" t="inlineStr">
        <is>
          <t>Frete de venda</t>
        </is>
      </c>
      <c r="B2752" t="inlineStr">
        <is>
          <t>2.01.02 Frete sobre Vendas</t>
        </is>
      </c>
      <c r="C2752" s="30" t="n">
        <v>46023</v>
      </c>
      <c r="D2752" t="inlineStr">
        <is>
          <t>Em 2026</t>
        </is>
      </c>
      <c r="E2752" s="28" t="n">
        <v>46044</v>
      </c>
      <c r="F2752" t="inlineStr">
        <is>
          <t>CT-e</t>
        </is>
      </c>
      <c r="G2752" t="inlineStr">
        <is>
          <t>000006213</t>
        </is>
      </c>
      <c r="H2752" t="inlineStr">
        <is>
          <t>R&amp;R TRANSPORTE E LOGISTICA</t>
        </is>
      </c>
      <c r="J2752" s="29" t="n">
        <v>22.25</v>
      </c>
      <c r="K2752" s="29">
        <f>(1-ISNUMBER(SEARCH("556",M2752)))*(O2752*SUMIFS(Premissas!$C$5:$C$44,Premissas!$A$5:$A$44,$A2752,Premissas!$B$5:$B$44,$B2752)+P2752*SUMIFS(Premissas!$D$5:$D$44,Premissas!$A$5:$A$44,$A2752,Premissas!$B$5:$B$44,$B2752))+R2752*SUMIFS(Premissas!$E$5:$E$44,Premissas!$A$5:$A$44,$A2752,Premissas!$B$5:$B$44,$B2752)+S2752*SUMIFS(Premissas!$F$5:$F$44,Premissas!$A$5:$A$44,$A2752,Premissas!$B$5:$B$44,$B2752)</f>
        <v/>
      </c>
      <c r="L2752" s="29">
        <f>J2752-K2752</f>
        <v/>
      </c>
      <c r="M2752" t="inlineStr">
        <is>
          <t>1.350</t>
        </is>
      </c>
      <c r="N2752" t="inlineStr">
        <is>
          <t>Modalidade: 0 - Por conta do remetente | Parte: I S S DA CUNHA COMERCIO DE DESCARTAVEIS (09.619.492/0001-72)</t>
        </is>
      </c>
      <c r="O2752" s="29" t="n">
        <v>0</v>
      </c>
      <c r="P2752" s="29" t="n">
        <v>0</v>
      </c>
      <c r="Q2752" s="29" t="n">
        <v>0</v>
      </c>
      <c r="R2752" s="29" t="n">
        <v>0</v>
      </c>
      <c r="S2752" s="29" t="n">
        <v>0</v>
      </c>
      <c r="T2752" t="inlineStr">
        <is>
          <t>25260126975620000130570010000062131001801510</t>
        </is>
      </c>
      <c r="U2752" t="inlineStr">
        <is>
          <t>Não</t>
        </is>
      </c>
    </row>
    <row r="2753">
      <c r="A2753" t="inlineStr">
        <is>
          <t>Frete de venda</t>
        </is>
      </c>
      <c r="B2753" t="inlineStr">
        <is>
          <t>2.01.02 Frete sobre Vendas</t>
        </is>
      </c>
      <c r="C2753" s="30" t="n">
        <v>46023</v>
      </c>
      <c r="D2753" t="inlineStr">
        <is>
          <t>Em 2026</t>
        </is>
      </c>
      <c r="E2753" s="28" t="n">
        <v>46044</v>
      </c>
      <c r="F2753" t="inlineStr">
        <is>
          <t>CT-e</t>
        </is>
      </c>
      <c r="G2753" t="inlineStr">
        <is>
          <t>000006214</t>
        </is>
      </c>
      <c r="H2753" t="inlineStr">
        <is>
          <t>R&amp;R TRANSPORTE E LOGISTICA</t>
        </is>
      </c>
      <c r="J2753" s="29" t="n">
        <v>18.56</v>
      </c>
      <c r="K2753" s="29">
        <f>(1-ISNUMBER(SEARCH("556",M2753)))*(O2753*SUMIFS(Premissas!$C$5:$C$44,Premissas!$A$5:$A$44,$A2753,Premissas!$B$5:$B$44,$B2753)+P2753*SUMIFS(Premissas!$D$5:$D$44,Premissas!$A$5:$A$44,$A2753,Premissas!$B$5:$B$44,$B2753))+R2753*SUMIFS(Premissas!$E$5:$E$44,Premissas!$A$5:$A$44,$A2753,Premissas!$B$5:$B$44,$B2753)+S2753*SUMIFS(Premissas!$F$5:$F$44,Premissas!$A$5:$A$44,$A2753,Premissas!$B$5:$B$44,$B2753)</f>
        <v/>
      </c>
      <c r="L2753" s="29">
        <f>J2753-K2753</f>
        <v/>
      </c>
      <c r="M2753" t="inlineStr">
        <is>
          <t>1.350</t>
        </is>
      </c>
      <c r="N2753" t="inlineStr">
        <is>
          <t>Modalidade: 0 - Por conta do remetente | Parte: MARCIO C. RIBEIRO (07.428.119/0001-09)</t>
        </is>
      </c>
      <c r="O2753" s="29" t="n">
        <v>0</v>
      </c>
      <c r="P2753" s="29" t="n">
        <v>0</v>
      </c>
      <c r="Q2753" s="29" t="n">
        <v>0</v>
      </c>
      <c r="R2753" s="29" t="n">
        <v>0</v>
      </c>
      <c r="S2753" s="29" t="n">
        <v>0</v>
      </c>
      <c r="T2753" t="inlineStr">
        <is>
          <t>25260126975620000130570010000062141001501590</t>
        </is>
      </c>
      <c r="U2753" t="inlineStr">
        <is>
          <t>Não</t>
        </is>
      </c>
    </row>
    <row r="2754">
      <c r="A2754" t="inlineStr">
        <is>
          <t>Frete de venda</t>
        </is>
      </c>
      <c r="B2754" t="inlineStr">
        <is>
          <t>2.01.02 Frete sobre Vendas</t>
        </is>
      </c>
      <c r="C2754" s="30" t="n">
        <v>46023</v>
      </c>
      <c r="D2754" t="inlineStr">
        <is>
          <t>Em 2026</t>
        </is>
      </c>
      <c r="E2754" s="28" t="n">
        <v>46044</v>
      </c>
      <c r="F2754" t="inlineStr">
        <is>
          <t>CT-e</t>
        </is>
      </c>
      <c r="G2754" t="inlineStr">
        <is>
          <t>000006215</t>
        </is>
      </c>
      <c r="H2754" t="inlineStr">
        <is>
          <t>R&amp;R TRANSPORTE E LOGISTICA</t>
        </is>
      </c>
      <c r="J2754" s="29" t="n">
        <v>15.2</v>
      </c>
      <c r="K2754" s="29">
        <f>(1-ISNUMBER(SEARCH("556",M2754)))*(O2754*SUMIFS(Premissas!$C$5:$C$44,Premissas!$A$5:$A$44,$A2754,Premissas!$B$5:$B$44,$B2754)+P2754*SUMIFS(Premissas!$D$5:$D$44,Premissas!$A$5:$A$44,$A2754,Premissas!$B$5:$B$44,$B2754))+R2754*SUMIFS(Premissas!$E$5:$E$44,Premissas!$A$5:$A$44,$A2754,Premissas!$B$5:$B$44,$B2754)+S2754*SUMIFS(Premissas!$F$5:$F$44,Premissas!$A$5:$A$44,$A2754,Premissas!$B$5:$B$44,$B2754)</f>
        <v/>
      </c>
      <c r="L2754" s="29">
        <f>J2754-K2754</f>
        <v/>
      </c>
      <c r="M2754" t="inlineStr">
        <is>
          <t>1.350</t>
        </is>
      </c>
      <c r="N2754" t="inlineStr">
        <is>
          <t>Modalidade: 0 - Por conta do remetente | Parte: JAMES L. H. TOME e CIA LTDA (16.965.024/0006-20)</t>
        </is>
      </c>
      <c r="O2754" s="29" t="n">
        <v>0</v>
      </c>
      <c r="P2754" s="29" t="n">
        <v>0</v>
      </c>
      <c r="Q2754" s="29" t="n">
        <v>0</v>
      </c>
      <c r="R2754" s="29" t="n">
        <v>0</v>
      </c>
      <c r="S2754" s="29" t="n">
        <v>0</v>
      </c>
      <c r="T2754" t="inlineStr">
        <is>
          <t>25260126975620000130570010000062151001201674</t>
        </is>
      </c>
      <c r="U2754" t="inlineStr">
        <is>
          <t>Não</t>
        </is>
      </c>
    </row>
    <row r="2755">
      <c r="A2755" t="inlineStr">
        <is>
          <t>Frete de venda</t>
        </is>
      </c>
      <c r="B2755" t="inlineStr">
        <is>
          <t>2.01.02 Frete sobre Vendas</t>
        </is>
      </c>
      <c r="C2755" s="30" t="n">
        <v>46023</v>
      </c>
      <c r="D2755" t="inlineStr">
        <is>
          <t>Em 2026</t>
        </is>
      </c>
      <c r="E2755" s="28" t="n">
        <v>46044</v>
      </c>
      <c r="F2755" t="inlineStr">
        <is>
          <t>CT-e</t>
        </is>
      </c>
      <c r="G2755" t="inlineStr">
        <is>
          <t>000006216</t>
        </is>
      </c>
      <c r="H2755" t="inlineStr">
        <is>
          <t>R&amp;R TRANSPORTE E LOGISTICA</t>
        </is>
      </c>
      <c r="J2755" s="29" t="n">
        <v>61.12</v>
      </c>
      <c r="K2755" s="29">
        <f>(1-ISNUMBER(SEARCH("556",M2755)))*(O2755*SUMIFS(Premissas!$C$5:$C$44,Premissas!$A$5:$A$44,$A2755,Premissas!$B$5:$B$44,$B2755)+P2755*SUMIFS(Premissas!$D$5:$D$44,Premissas!$A$5:$A$44,$A2755,Premissas!$B$5:$B$44,$B2755))+R2755*SUMIFS(Premissas!$E$5:$E$44,Premissas!$A$5:$A$44,$A2755,Premissas!$B$5:$B$44,$B2755)+S2755*SUMIFS(Premissas!$F$5:$F$44,Premissas!$A$5:$A$44,$A2755,Premissas!$B$5:$B$44,$B2755)</f>
        <v/>
      </c>
      <c r="L2755" s="29">
        <f>J2755-K2755</f>
        <v/>
      </c>
      <c r="M2755" t="inlineStr">
        <is>
          <t>1.350</t>
        </is>
      </c>
      <c r="N2755" t="inlineStr">
        <is>
          <t>Modalidade: 0 - Por conta do remetente | Parte: R ALBUQUERQUE COMERCIO DE ARTIGOS DE ARMARINHO LTDA (57.701.763/0001-87)</t>
        </is>
      </c>
      <c r="O2755" s="29" t="n">
        <v>0</v>
      </c>
      <c r="P2755" s="29" t="n">
        <v>0</v>
      </c>
      <c r="Q2755" s="29" t="n">
        <v>0</v>
      </c>
      <c r="R2755" s="29" t="n">
        <v>0</v>
      </c>
      <c r="S2755" s="29" t="n">
        <v>0</v>
      </c>
      <c r="T2755" t="inlineStr">
        <is>
          <t>25260126975620000130570010000062161001301021</t>
        </is>
      </c>
      <c r="U2755" t="inlineStr">
        <is>
          <t>Não</t>
        </is>
      </c>
    </row>
    <row r="2756">
      <c r="A2756" t="inlineStr">
        <is>
          <t>Frete de venda</t>
        </is>
      </c>
      <c r="B2756" t="inlineStr">
        <is>
          <t>2.01.02 Frete sobre Vendas</t>
        </is>
      </c>
      <c r="C2756" s="30" t="n">
        <v>46023</v>
      </c>
      <c r="D2756" t="inlineStr">
        <is>
          <t>Em 2026</t>
        </is>
      </c>
      <c r="E2756" s="28" t="n">
        <v>46044</v>
      </c>
      <c r="F2756" t="inlineStr">
        <is>
          <t>CT-e</t>
        </is>
      </c>
      <c r="G2756" t="inlineStr">
        <is>
          <t>000006217</t>
        </is>
      </c>
      <c r="H2756" t="inlineStr">
        <is>
          <t>R&amp;R TRANSPORTE E LOGISTICA</t>
        </is>
      </c>
      <c r="J2756" s="29" t="n">
        <v>28.06</v>
      </c>
      <c r="K2756" s="29">
        <f>(1-ISNUMBER(SEARCH("556",M2756)))*(O2756*SUMIFS(Premissas!$C$5:$C$44,Premissas!$A$5:$A$44,$A2756,Premissas!$B$5:$B$44,$B2756)+P2756*SUMIFS(Premissas!$D$5:$D$44,Premissas!$A$5:$A$44,$A2756,Premissas!$B$5:$B$44,$B2756))+R2756*SUMIFS(Premissas!$E$5:$E$44,Premissas!$A$5:$A$44,$A2756,Premissas!$B$5:$B$44,$B2756)+S2756*SUMIFS(Premissas!$F$5:$F$44,Premissas!$A$5:$A$44,$A2756,Premissas!$B$5:$B$44,$B2756)</f>
        <v/>
      </c>
      <c r="L2756" s="29">
        <f>J2756-K2756</f>
        <v/>
      </c>
      <c r="M2756" t="inlineStr">
        <is>
          <t>1.350</t>
        </is>
      </c>
      <c r="N2756" t="inlineStr">
        <is>
          <t>Modalidade: 0 - Por conta do remetente | Parte: AUGUSTO e LUZ LTDA (28.628.646/0001-37)</t>
        </is>
      </c>
      <c r="O2756" s="29" t="n">
        <v>0</v>
      </c>
      <c r="P2756" s="29" t="n">
        <v>0</v>
      </c>
      <c r="Q2756" s="29" t="n">
        <v>0</v>
      </c>
      <c r="R2756" s="29" t="n">
        <v>0</v>
      </c>
      <c r="S2756" s="29" t="n">
        <v>0</v>
      </c>
      <c r="T2756" t="inlineStr">
        <is>
          <t>25260126975620000130570010000062171000101107</t>
        </is>
      </c>
      <c r="U2756" t="inlineStr">
        <is>
          <t>Não</t>
        </is>
      </c>
    </row>
    <row r="2757">
      <c r="A2757" t="inlineStr">
        <is>
          <t>Frete de venda</t>
        </is>
      </c>
      <c r="B2757" t="inlineStr">
        <is>
          <t>2.01.02 Frete sobre Vendas</t>
        </is>
      </c>
      <c r="C2757" s="30" t="n">
        <v>46023</v>
      </c>
      <c r="D2757" t="inlineStr">
        <is>
          <t>Em 2026</t>
        </is>
      </c>
      <c r="E2757" s="28" t="n">
        <v>46044</v>
      </c>
      <c r="F2757" t="inlineStr">
        <is>
          <t>CT-e</t>
        </is>
      </c>
      <c r="G2757" t="inlineStr">
        <is>
          <t>000006218</t>
        </is>
      </c>
      <c r="H2757" t="inlineStr">
        <is>
          <t>R&amp;R TRANSPORTE E LOGISTICA</t>
        </is>
      </c>
      <c r="J2757" s="29" t="n">
        <v>20.18</v>
      </c>
      <c r="K2757" s="29">
        <f>(1-ISNUMBER(SEARCH("556",M2757)))*(O2757*SUMIFS(Premissas!$C$5:$C$44,Premissas!$A$5:$A$44,$A2757,Premissas!$B$5:$B$44,$B2757)+P2757*SUMIFS(Premissas!$D$5:$D$44,Premissas!$A$5:$A$44,$A2757,Premissas!$B$5:$B$44,$B2757))+R2757*SUMIFS(Premissas!$E$5:$E$44,Premissas!$A$5:$A$44,$A2757,Premissas!$B$5:$B$44,$B2757)+S2757*SUMIFS(Premissas!$F$5:$F$44,Premissas!$A$5:$A$44,$A2757,Premissas!$B$5:$B$44,$B2757)</f>
        <v/>
      </c>
      <c r="L2757" s="29">
        <f>J2757-K2757</f>
        <v/>
      </c>
      <c r="M2757" t="inlineStr">
        <is>
          <t>1.350</t>
        </is>
      </c>
      <c r="N2757" t="inlineStr">
        <is>
          <t>Modalidade: 0 - Por conta do remetente | Parte: QUERO EMBALAGENS COM DE EMBALAGENS EM GERAL LTDA (57.632.874/0001-89)</t>
        </is>
      </c>
      <c r="O2757" s="29" t="n">
        <v>0</v>
      </c>
      <c r="P2757" s="29" t="n">
        <v>0</v>
      </c>
      <c r="Q2757" s="29" t="n">
        <v>0</v>
      </c>
      <c r="R2757" s="29" t="n">
        <v>0</v>
      </c>
      <c r="S2757" s="29" t="n">
        <v>0</v>
      </c>
      <c r="T2757" t="inlineStr">
        <is>
          <t>25260126975620000130570010000062181001801185</t>
        </is>
      </c>
      <c r="U2757" t="inlineStr">
        <is>
          <t>Não</t>
        </is>
      </c>
    </row>
    <row r="2758">
      <c r="A2758" t="inlineStr">
        <is>
          <t>Frete de venda</t>
        </is>
      </c>
      <c r="B2758" t="inlineStr">
        <is>
          <t>2.01.02 Frete sobre Vendas</t>
        </is>
      </c>
      <c r="C2758" s="30" t="n">
        <v>46023</v>
      </c>
      <c r="D2758" t="inlineStr">
        <is>
          <t>Em 2026</t>
        </is>
      </c>
      <c r="E2758" s="28" t="n">
        <v>46044</v>
      </c>
      <c r="F2758" t="inlineStr">
        <is>
          <t>CT-e</t>
        </is>
      </c>
      <c r="G2758" t="inlineStr">
        <is>
          <t>000006219</t>
        </is>
      </c>
      <c r="H2758" t="inlineStr">
        <is>
          <t>R&amp;R TRANSPORTE E LOGISTICA</t>
        </is>
      </c>
      <c r="J2758" s="29" t="n">
        <v>33.47</v>
      </c>
      <c r="K2758" s="29">
        <f>(1-ISNUMBER(SEARCH("556",M2758)))*(O2758*SUMIFS(Premissas!$C$5:$C$44,Premissas!$A$5:$A$44,$A2758,Premissas!$B$5:$B$44,$B2758)+P2758*SUMIFS(Premissas!$D$5:$D$44,Premissas!$A$5:$A$44,$A2758,Premissas!$B$5:$B$44,$B2758))+R2758*SUMIFS(Premissas!$E$5:$E$44,Premissas!$A$5:$A$44,$A2758,Premissas!$B$5:$B$44,$B2758)+S2758*SUMIFS(Premissas!$F$5:$F$44,Premissas!$A$5:$A$44,$A2758,Premissas!$B$5:$B$44,$B2758)</f>
        <v/>
      </c>
      <c r="L2758" s="29">
        <f>J2758-K2758</f>
        <v/>
      </c>
      <c r="M2758" t="inlineStr">
        <is>
          <t>1.350</t>
        </is>
      </c>
      <c r="N2758" t="inlineStr">
        <is>
          <t>Modalidade: 0 - Por conta do remetente | Parte: JAMES L. H. TOME e CIA LTDA (16.965.024/0007-00)</t>
        </is>
      </c>
      <c r="O2758" s="29" t="n">
        <v>0</v>
      </c>
      <c r="P2758" s="29" t="n">
        <v>0</v>
      </c>
      <c r="Q2758" s="29" t="n">
        <v>0</v>
      </c>
      <c r="R2758" s="29" t="n">
        <v>0</v>
      </c>
      <c r="S2758" s="29" t="n">
        <v>0</v>
      </c>
      <c r="T2758" t="inlineStr">
        <is>
          <t>25260126975620000130570010000062191001501260</t>
        </is>
      </c>
      <c r="U2758" t="inlineStr">
        <is>
          <t>Não</t>
        </is>
      </c>
    </row>
    <row r="2759">
      <c r="A2759" t="inlineStr">
        <is>
          <t>Frete de venda</t>
        </is>
      </c>
      <c r="B2759" t="inlineStr">
        <is>
          <t>2.01.02 Frete sobre Vendas</t>
        </is>
      </c>
      <c r="C2759" s="30" t="n">
        <v>46023</v>
      </c>
      <c r="D2759" t="inlineStr">
        <is>
          <t>Em 2026</t>
        </is>
      </c>
      <c r="E2759" s="28" t="n">
        <v>46044</v>
      </c>
      <c r="F2759" t="inlineStr">
        <is>
          <t>CT-e</t>
        </is>
      </c>
      <c r="G2759" t="inlineStr">
        <is>
          <t>000006220</t>
        </is>
      </c>
      <c r="H2759" t="inlineStr">
        <is>
          <t>R&amp;R TRANSPORTE E LOGISTICA</t>
        </is>
      </c>
      <c r="J2759" s="29" t="n">
        <v>23.11</v>
      </c>
      <c r="K2759" s="29">
        <f>(1-ISNUMBER(SEARCH("556",M2759)))*(O2759*SUMIFS(Premissas!$C$5:$C$44,Premissas!$A$5:$A$44,$A2759,Premissas!$B$5:$B$44,$B2759)+P2759*SUMIFS(Premissas!$D$5:$D$44,Premissas!$A$5:$A$44,$A2759,Premissas!$B$5:$B$44,$B2759))+R2759*SUMIFS(Premissas!$E$5:$E$44,Premissas!$A$5:$A$44,$A2759,Premissas!$B$5:$B$44,$B2759)+S2759*SUMIFS(Premissas!$F$5:$F$44,Premissas!$A$5:$A$44,$A2759,Premissas!$B$5:$B$44,$B2759)</f>
        <v/>
      </c>
      <c r="L2759" s="29">
        <f>J2759-K2759</f>
        <v/>
      </c>
      <c r="M2759" t="inlineStr">
        <is>
          <t>1.350</t>
        </is>
      </c>
      <c r="N2759" t="inlineStr">
        <is>
          <t>Modalidade: 0 - Por conta do remetente | Parte: JAMES L. H. TOME e CIA LTDA (16.965.024/0001-15)</t>
        </is>
      </c>
      <c r="O2759" s="29" t="n">
        <v>0</v>
      </c>
      <c r="P2759" s="29" t="n">
        <v>0</v>
      </c>
      <c r="Q2759" s="29" t="n">
        <v>0</v>
      </c>
      <c r="R2759" s="29" t="n">
        <v>0</v>
      </c>
      <c r="S2759" s="29" t="n">
        <v>0</v>
      </c>
      <c r="T2759" t="inlineStr">
        <is>
          <t>25260126975620000130570010000062201001201348</t>
        </is>
      </c>
      <c r="U2759" t="inlineStr">
        <is>
          <t>Não</t>
        </is>
      </c>
    </row>
    <row r="2760">
      <c r="A2760" t="inlineStr">
        <is>
          <t>Frete de venda</t>
        </is>
      </c>
      <c r="B2760" t="inlineStr">
        <is>
          <t>2.01.02 Frete sobre Vendas</t>
        </is>
      </c>
      <c r="C2760" s="30" t="n">
        <v>46023</v>
      </c>
      <c r="D2760" t="inlineStr">
        <is>
          <t>Em 2026</t>
        </is>
      </c>
      <c r="E2760" s="28" t="n">
        <v>46044</v>
      </c>
      <c r="F2760" t="inlineStr">
        <is>
          <t>CT-e</t>
        </is>
      </c>
      <c r="G2760" t="inlineStr">
        <is>
          <t>000006221</t>
        </is>
      </c>
      <c r="H2760" t="inlineStr">
        <is>
          <t>R&amp;R TRANSPORTE E LOGISTICA</t>
        </is>
      </c>
      <c r="J2760" s="29" t="n">
        <v>34.52</v>
      </c>
      <c r="K2760" s="29">
        <f>(1-ISNUMBER(SEARCH("556",M2760)))*(O2760*SUMIFS(Premissas!$C$5:$C$44,Premissas!$A$5:$A$44,$A2760,Premissas!$B$5:$B$44,$B2760)+P2760*SUMIFS(Premissas!$D$5:$D$44,Premissas!$A$5:$A$44,$A2760,Premissas!$B$5:$B$44,$B2760))+R2760*SUMIFS(Premissas!$E$5:$E$44,Premissas!$A$5:$A$44,$A2760,Premissas!$B$5:$B$44,$B2760)+S2760*SUMIFS(Premissas!$F$5:$F$44,Premissas!$A$5:$A$44,$A2760,Premissas!$B$5:$B$44,$B2760)</f>
        <v/>
      </c>
      <c r="L2760" s="29">
        <f>J2760-K2760</f>
        <v/>
      </c>
      <c r="M2760" t="inlineStr">
        <is>
          <t>1.350</t>
        </is>
      </c>
      <c r="N2760" t="inlineStr">
        <is>
          <t>Modalidade: 0 - Por conta do remetente | Parte: CANTINHO DISTRIBUIDORA LTDA (44.016.976/0001-28)</t>
        </is>
      </c>
      <c r="O2760" s="29" t="n">
        <v>0</v>
      </c>
      <c r="P2760" s="29" t="n">
        <v>0</v>
      </c>
      <c r="Q2760" s="29" t="n">
        <v>0</v>
      </c>
      <c r="R2760" s="29" t="n">
        <v>0</v>
      </c>
      <c r="S2760" s="29" t="n">
        <v>0</v>
      </c>
      <c r="T2760" t="inlineStr">
        <is>
          <t>25260126975620000130570010000062211011001420</t>
        </is>
      </c>
      <c r="U2760" t="inlineStr">
        <is>
          <t>Não</t>
        </is>
      </c>
    </row>
    <row r="2761">
      <c r="A2761" t="inlineStr">
        <is>
          <t>Frete de venda</t>
        </is>
      </c>
      <c r="B2761" t="inlineStr">
        <is>
          <t>2.01.02 Frete sobre Vendas</t>
        </is>
      </c>
      <c r="C2761" s="30" t="n">
        <v>46023</v>
      </c>
      <c r="D2761" t="inlineStr">
        <is>
          <t>Em 2026</t>
        </is>
      </c>
      <c r="E2761" s="28" t="n">
        <v>46044</v>
      </c>
      <c r="F2761" t="inlineStr">
        <is>
          <t>CT-e</t>
        </is>
      </c>
      <c r="G2761" t="inlineStr">
        <is>
          <t>000006222</t>
        </is>
      </c>
      <c r="H2761" t="inlineStr">
        <is>
          <t>R&amp;R TRANSPORTE E LOGISTICA</t>
        </is>
      </c>
      <c r="J2761" s="29" t="n">
        <v>17.92</v>
      </c>
      <c r="K2761" s="29">
        <f>(1-ISNUMBER(SEARCH("556",M2761)))*(O2761*SUMIFS(Premissas!$C$5:$C$44,Premissas!$A$5:$A$44,$A2761,Premissas!$B$5:$B$44,$B2761)+P2761*SUMIFS(Premissas!$D$5:$D$44,Premissas!$A$5:$A$44,$A2761,Premissas!$B$5:$B$44,$B2761))+R2761*SUMIFS(Premissas!$E$5:$E$44,Premissas!$A$5:$A$44,$A2761,Premissas!$B$5:$B$44,$B2761)+S2761*SUMIFS(Premissas!$F$5:$F$44,Premissas!$A$5:$A$44,$A2761,Premissas!$B$5:$B$44,$B2761)</f>
        <v/>
      </c>
      <c r="L2761" s="29">
        <f>J2761-K2761</f>
        <v/>
      </c>
      <c r="M2761" t="inlineStr">
        <is>
          <t>1.350</t>
        </is>
      </c>
      <c r="N2761" t="inlineStr">
        <is>
          <t>Modalidade: 0 - Por conta do remetente | Parte: M R DA S COMERCIO DE PLASTICOS LTDA (46.906.495/0001-13)</t>
        </is>
      </c>
      <c r="O2761" s="29" t="n">
        <v>0</v>
      </c>
      <c r="P2761" s="29" t="n">
        <v>0</v>
      </c>
      <c r="Q2761" s="29" t="n">
        <v>0</v>
      </c>
      <c r="R2761" s="29" t="n">
        <v>0</v>
      </c>
      <c r="S2761" s="29" t="n">
        <v>0</v>
      </c>
      <c r="T2761" t="inlineStr">
        <is>
          <t>25260126975620000130570010000062221001701507</t>
        </is>
      </c>
      <c r="U2761" t="inlineStr">
        <is>
          <t>Não</t>
        </is>
      </c>
    </row>
    <row r="2762">
      <c r="A2762" t="inlineStr">
        <is>
          <t>Frete de venda</t>
        </is>
      </c>
      <c r="B2762" t="inlineStr">
        <is>
          <t>2.01.02 Frete sobre Vendas</t>
        </is>
      </c>
      <c r="C2762" s="30" t="n">
        <v>46023</v>
      </c>
      <c r="D2762" t="inlineStr">
        <is>
          <t>Em 2026</t>
        </is>
      </c>
      <c r="E2762" s="28" t="n">
        <v>46044</v>
      </c>
      <c r="F2762" t="inlineStr">
        <is>
          <t>CT-e</t>
        </is>
      </c>
      <c r="G2762" t="inlineStr">
        <is>
          <t>000006223</t>
        </is>
      </c>
      <c r="H2762" t="inlineStr">
        <is>
          <t>R&amp;R TRANSPORTE E LOGISTICA</t>
        </is>
      </c>
      <c r="J2762" s="29" t="n">
        <v>33.84</v>
      </c>
      <c r="K2762" s="29">
        <f>(1-ISNUMBER(SEARCH("556",M2762)))*(O2762*SUMIFS(Premissas!$C$5:$C$44,Premissas!$A$5:$A$44,$A2762,Premissas!$B$5:$B$44,$B2762)+P2762*SUMIFS(Premissas!$D$5:$D$44,Premissas!$A$5:$A$44,$A2762,Premissas!$B$5:$B$44,$B2762))+R2762*SUMIFS(Premissas!$E$5:$E$44,Premissas!$A$5:$A$44,$A2762,Premissas!$B$5:$B$44,$B2762)+S2762*SUMIFS(Premissas!$F$5:$F$44,Premissas!$A$5:$A$44,$A2762,Premissas!$B$5:$B$44,$B2762)</f>
        <v/>
      </c>
      <c r="L2762" s="29">
        <f>J2762-K2762</f>
        <v/>
      </c>
      <c r="M2762" t="inlineStr">
        <is>
          <t>1.350</t>
        </is>
      </c>
      <c r="N2762" t="inlineStr">
        <is>
          <t>Modalidade: 0 - Por conta do remetente | Parte: LOJAO DOS PLASTICOS LTDA (14.866.399/0001-00)</t>
        </is>
      </c>
      <c r="O2762" s="29" t="n">
        <v>0</v>
      </c>
      <c r="P2762" s="29" t="n">
        <v>0</v>
      </c>
      <c r="Q2762" s="29" t="n">
        <v>0</v>
      </c>
      <c r="R2762" s="29" t="n">
        <v>0</v>
      </c>
      <c r="S2762" s="29" t="n">
        <v>0</v>
      </c>
      <c r="T2762" t="inlineStr">
        <is>
          <t>25260126975620000130570010000062231001401586</t>
        </is>
      </c>
      <c r="U2762" t="inlineStr">
        <is>
          <t>Não</t>
        </is>
      </c>
    </row>
    <row r="2763">
      <c r="A2763" t="inlineStr">
        <is>
          <t>Frete de venda</t>
        </is>
      </c>
      <c r="B2763" t="inlineStr">
        <is>
          <t>2.01.02 Frete sobre Vendas</t>
        </is>
      </c>
      <c r="C2763" s="30" t="n">
        <v>46023</v>
      </c>
      <c r="D2763" t="inlineStr">
        <is>
          <t>Em 2026</t>
        </is>
      </c>
      <c r="E2763" s="28" t="n">
        <v>46044</v>
      </c>
      <c r="F2763" t="inlineStr">
        <is>
          <t>CT-e</t>
        </is>
      </c>
      <c r="G2763" t="inlineStr">
        <is>
          <t>000006224</t>
        </is>
      </c>
      <c r="H2763" t="inlineStr">
        <is>
          <t>R&amp;R TRANSPORTE E LOGISTICA</t>
        </is>
      </c>
      <c r="J2763" s="29" t="n">
        <v>20.96</v>
      </c>
      <c r="K2763" s="29">
        <f>(1-ISNUMBER(SEARCH("556",M2763)))*(O2763*SUMIFS(Premissas!$C$5:$C$44,Premissas!$A$5:$A$44,$A2763,Premissas!$B$5:$B$44,$B2763)+P2763*SUMIFS(Premissas!$D$5:$D$44,Premissas!$A$5:$A$44,$A2763,Premissas!$B$5:$B$44,$B2763))+R2763*SUMIFS(Premissas!$E$5:$E$44,Premissas!$A$5:$A$44,$A2763,Premissas!$B$5:$B$44,$B2763)+S2763*SUMIFS(Premissas!$F$5:$F$44,Premissas!$A$5:$A$44,$A2763,Premissas!$B$5:$B$44,$B2763)</f>
        <v/>
      </c>
      <c r="L2763" s="29">
        <f>J2763-K2763</f>
        <v/>
      </c>
      <c r="M2763" t="inlineStr">
        <is>
          <t>1.350</t>
        </is>
      </c>
      <c r="N2763" t="inlineStr">
        <is>
          <t>Modalidade: 0 - Por conta do remetente | Parte: A. S. MALAMAO LTDA (18.965.796/0001-82)</t>
        </is>
      </c>
      <c r="O2763" s="29" t="n">
        <v>0</v>
      </c>
      <c r="P2763" s="29" t="n">
        <v>0</v>
      </c>
      <c r="Q2763" s="29" t="n">
        <v>0</v>
      </c>
      <c r="R2763" s="29" t="n">
        <v>0</v>
      </c>
      <c r="S2763" s="29" t="n">
        <v>0</v>
      </c>
      <c r="T2763" t="inlineStr">
        <is>
          <t>25260126975620000130570010000062241001101660</t>
        </is>
      </c>
      <c r="U2763" t="inlineStr">
        <is>
          <t>Não</t>
        </is>
      </c>
    </row>
    <row r="2764">
      <c r="A2764" t="inlineStr">
        <is>
          <t>Frete de venda</t>
        </is>
      </c>
      <c r="B2764" t="inlineStr">
        <is>
          <t>2.01.02 Frete sobre Vendas</t>
        </is>
      </c>
      <c r="C2764" s="30" t="n">
        <v>46023</v>
      </c>
      <c r="D2764" t="inlineStr">
        <is>
          <t>Em 2026</t>
        </is>
      </c>
      <c r="E2764" s="28" t="n">
        <v>46048</v>
      </c>
      <c r="F2764" t="inlineStr">
        <is>
          <t>CT-e</t>
        </is>
      </c>
      <c r="G2764" t="inlineStr">
        <is>
          <t>000006235</t>
        </is>
      </c>
      <c r="H2764" t="inlineStr">
        <is>
          <t>R&amp;R TRANSPORTE E LOGISTICA</t>
        </is>
      </c>
      <c r="J2764" s="29" t="n">
        <v>673.34</v>
      </c>
      <c r="K2764" s="29">
        <f>(1-ISNUMBER(SEARCH("556",M2764)))*(O2764*SUMIFS(Premissas!$C$5:$C$44,Premissas!$A$5:$A$44,$A2764,Premissas!$B$5:$B$44,$B2764)+P2764*SUMIFS(Premissas!$D$5:$D$44,Premissas!$A$5:$A$44,$A2764,Premissas!$B$5:$B$44,$B2764))+R2764*SUMIFS(Premissas!$E$5:$E$44,Premissas!$A$5:$A$44,$A2764,Premissas!$B$5:$B$44,$B2764)+S2764*SUMIFS(Premissas!$F$5:$F$44,Premissas!$A$5:$A$44,$A2764,Premissas!$B$5:$B$44,$B2764)</f>
        <v/>
      </c>
      <c r="L2764" s="29">
        <f>J2764-K2764</f>
        <v/>
      </c>
      <c r="M2764" t="inlineStr">
        <is>
          <t>1.350</t>
        </is>
      </c>
      <c r="N2764" t="inlineStr">
        <is>
          <t>Modalidade: 0 - Por conta do remetente | Parte: DISTRIPACK DISTRIBUIDORA DE EMBALAGENS LTDA (11.043.375/0002-36)</t>
        </is>
      </c>
      <c r="O2764" s="29" t="n">
        <v>0</v>
      </c>
      <c r="P2764" s="29" t="n">
        <v>0</v>
      </c>
      <c r="Q2764" s="29" t="n">
        <v>0</v>
      </c>
      <c r="R2764" s="29" t="n">
        <v>0</v>
      </c>
      <c r="S2764" s="29" t="n">
        <v>0</v>
      </c>
      <c r="T2764" t="inlineStr">
        <is>
          <t>25260126975620000130570010000062351000140593</t>
        </is>
      </c>
      <c r="U2764" t="inlineStr">
        <is>
          <t>Não</t>
        </is>
      </c>
    </row>
    <row r="2765">
      <c r="A2765" t="inlineStr">
        <is>
          <t>Frete de venda</t>
        </is>
      </c>
      <c r="B2765" t="inlineStr">
        <is>
          <t>2.01.02 Frete sobre Vendas</t>
        </is>
      </c>
      <c r="C2765" s="30" t="n">
        <v>46023</v>
      </c>
      <c r="D2765" t="inlineStr">
        <is>
          <t>Em 2026</t>
        </is>
      </c>
      <c r="E2765" s="28" t="n">
        <v>46050</v>
      </c>
      <c r="F2765" t="inlineStr">
        <is>
          <t>CT-e</t>
        </is>
      </c>
      <c r="G2765" t="inlineStr">
        <is>
          <t>000006236</t>
        </is>
      </c>
      <c r="H2765" t="inlineStr">
        <is>
          <t>R&amp;R TRANSPORTE E LOGISTICA</t>
        </is>
      </c>
      <c r="J2765" s="29" t="n">
        <v>60.98</v>
      </c>
      <c r="K2765" s="29">
        <f>(1-ISNUMBER(SEARCH("556",M2765)))*(O2765*SUMIFS(Premissas!$C$5:$C$44,Premissas!$A$5:$A$44,$A2765,Premissas!$B$5:$B$44,$B2765)+P2765*SUMIFS(Premissas!$D$5:$D$44,Premissas!$A$5:$A$44,$A2765,Premissas!$B$5:$B$44,$B2765))+R2765*SUMIFS(Premissas!$E$5:$E$44,Premissas!$A$5:$A$44,$A2765,Premissas!$B$5:$B$44,$B2765)+S2765*SUMIFS(Premissas!$F$5:$F$44,Premissas!$A$5:$A$44,$A2765,Premissas!$B$5:$B$44,$B2765)</f>
        <v/>
      </c>
      <c r="L2765" s="29">
        <f>J2765-K2765</f>
        <v/>
      </c>
      <c r="M2765" t="inlineStr">
        <is>
          <t>1.350</t>
        </is>
      </c>
      <c r="N2765" t="inlineStr">
        <is>
          <t>Modalidade: 0 - Por conta do remetente | Parte: COMERCIAL CARAPA DE SECOS E MOLHADOS LTDA (03.790.904/0002-37)</t>
        </is>
      </c>
      <c r="O2765" s="29" t="n">
        <v>0</v>
      </c>
      <c r="P2765" s="29" t="n">
        <v>0</v>
      </c>
      <c r="Q2765" s="29" t="n">
        <v>0</v>
      </c>
      <c r="R2765" s="29" t="n">
        <v>0</v>
      </c>
      <c r="S2765" s="29" t="n">
        <v>0</v>
      </c>
      <c r="T2765" t="inlineStr">
        <is>
          <t>25260126975620000130570010000062361001401363</t>
        </is>
      </c>
      <c r="U2765" t="inlineStr">
        <is>
          <t>Não</t>
        </is>
      </c>
    </row>
    <row r="2766">
      <c r="A2766" t="inlineStr">
        <is>
          <t>Frete de venda</t>
        </is>
      </c>
      <c r="B2766" t="inlineStr">
        <is>
          <t>2.01.02 Frete sobre Vendas</t>
        </is>
      </c>
      <c r="C2766" s="30" t="n">
        <v>46023</v>
      </c>
      <c r="D2766" t="inlineStr">
        <is>
          <t>Em 2026</t>
        </is>
      </c>
      <c r="E2766" s="28" t="n">
        <v>46050</v>
      </c>
      <c r="F2766" t="inlineStr">
        <is>
          <t>CT-e</t>
        </is>
      </c>
      <c r="G2766" t="inlineStr">
        <is>
          <t>000006237</t>
        </is>
      </c>
      <c r="H2766" t="inlineStr">
        <is>
          <t>R&amp;R TRANSPORTE E LOGISTICA</t>
        </is>
      </c>
      <c r="J2766" s="29" t="n">
        <v>22.46</v>
      </c>
      <c r="K2766" s="29">
        <f>(1-ISNUMBER(SEARCH("556",M2766)))*(O2766*SUMIFS(Premissas!$C$5:$C$44,Premissas!$A$5:$A$44,$A2766,Premissas!$B$5:$B$44,$B2766)+P2766*SUMIFS(Premissas!$D$5:$D$44,Premissas!$A$5:$A$44,$A2766,Premissas!$B$5:$B$44,$B2766))+R2766*SUMIFS(Premissas!$E$5:$E$44,Premissas!$A$5:$A$44,$A2766,Premissas!$B$5:$B$44,$B2766)+S2766*SUMIFS(Premissas!$F$5:$F$44,Premissas!$A$5:$A$44,$A2766,Premissas!$B$5:$B$44,$B2766)</f>
        <v/>
      </c>
      <c r="L2766" s="29">
        <f>J2766-K2766</f>
        <v/>
      </c>
      <c r="M2766" t="inlineStr">
        <is>
          <t>1.350</t>
        </is>
      </c>
      <c r="N2766" t="inlineStr">
        <is>
          <t>Modalidade: 0 - Por conta do remetente | Parte: MARIA CLEIDE RAMOS LTDA (42.968.790/0001-43)</t>
        </is>
      </c>
      <c r="O2766" s="29" t="n">
        <v>0</v>
      </c>
      <c r="P2766" s="29" t="n">
        <v>0</v>
      </c>
      <c r="Q2766" s="29" t="n">
        <v>0</v>
      </c>
      <c r="R2766" s="29" t="n">
        <v>0</v>
      </c>
      <c r="S2766" s="29" t="n">
        <v>0</v>
      </c>
      <c r="T2766" t="inlineStr">
        <is>
          <t>25260126975620000130570010000062371001101448</t>
        </is>
      </c>
      <c r="U2766" t="inlineStr">
        <is>
          <t>Não</t>
        </is>
      </c>
    </row>
    <row r="2767">
      <c r="A2767" t="inlineStr">
        <is>
          <t>Frete de venda</t>
        </is>
      </c>
      <c r="B2767" t="inlineStr">
        <is>
          <t>2.01.02 Frete sobre Vendas</t>
        </is>
      </c>
      <c r="C2767" s="30" t="n">
        <v>46023</v>
      </c>
      <c r="D2767" t="inlineStr">
        <is>
          <t>Em 2026</t>
        </is>
      </c>
      <c r="E2767" s="28" t="n">
        <v>46050</v>
      </c>
      <c r="F2767" t="inlineStr">
        <is>
          <t>CT-e</t>
        </is>
      </c>
      <c r="G2767" t="inlineStr">
        <is>
          <t>000006238</t>
        </is>
      </c>
      <c r="H2767" t="inlineStr">
        <is>
          <t>R&amp;R TRANSPORTE E LOGISTICA</t>
        </is>
      </c>
      <c r="J2767" s="29" t="n">
        <v>42.6</v>
      </c>
      <c r="K2767" s="29">
        <f>(1-ISNUMBER(SEARCH("556",M2767)))*(O2767*SUMIFS(Premissas!$C$5:$C$44,Premissas!$A$5:$A$44,$A2767,Premissas!$B$5:$B$44,$B2767)+P2767*SUMIFS(Premissas!$D$5:$D$44,Premissas!$A$5:$A$44,$A2767,Premissas!$B$5:$B$44,$B2767))+R2767*SUMIFS(Premissas!$E$5:$E$44,Premissas!$A$5:$A$44,$A2767,Premissas!$B$5:$B$44,$B2767)+S2767*SUMIFS(Premissas!$F$5:$F$44,Premissas!$A$5:$A$44,$A2767,Premissas!$B$5:$B$44,$B2767)</f>
        <v/>
      </c>
      <c r="L2767" s="29">
        <f>J2767-K2767</f>
        <v/>
      </c>
      <c r="M2767" t="inlineStr">
        <is>
          <t>1.350</t>
        </is>
      </c>
      <c r="N2767" t="inlineStr">
        <is>
          <t>Modalidade: 0 - Por conta do remetente | Parte: M. O. FELICIO RIBEIRO LTDA (49.786.983/0001-22)</t>
        </is>
      </c>
      <c r="O2767" s="29" t="n">
        <v>0</v>
      </c>
      <c r="P2767" s="29" t="n">
        <v>0</v>
      </c>
      <c r="Q2767" s="29" t="n">
        <v>0</v>
      </c>
      <c r="R2767" s="29" t="n">
        <v>0</v>
      </c>
      <c r="S2767" s="29" t="n">
        <v>0</v>
      </c>
      <c r="T2767" t="inlineStr">
        <is>
          <t>25260126975620000130570010000062381001901522</t>
        </is>
      </c>
      <c r="U2767" t="inlineStr">
        <is>
          <t>Não</t>
        </is>
      </c>
    </row>
    <row r="2768">
      <c r="A2768" t="inlineStr">
        <is>
          <t>Frete de venda</t>
        </is>
      </c>
      <c r="B2768" t="inlineStr">
        <is>
          <t>2.01.02 Frete sobre Vendas</t>
        </is>
      </c>
      <c r="C2768" s="30" t="n">
        <v>46023</v>
      </c>
      <c r="D2768" t="inlineStr">
        <is>
          <t>Em 2026</t>
        </is>
      </c>
      <c r="E2768" s="28" t="n">
        <v>46050</v>
      </c>
      <c r="F2768" t="inlineStr">
        <is>
          <t>CT-e</t>
        </is>
      </c>
      <c r="G2768" t="inlineStr">
        <is>
          <t>000006239</t>
        </is>
      </c>
      <c r="H2768" t="inlineStr">
        <is>
          <t>R&amp;R TRANSPORTE E LOGISTICA</t>
        </is>
      </c>
      <c r="J2768" s="29" t="n">
        <v>23.05</v>
      </c>
      <c r="K2768" s="29">
        <f>(1-ISNUMBER(SEARCH("556",M2768)))*(O2768*SUMIFS(Premissas!$C$5:$C$44,Premissas!$A$5:$A$44,$A2768,Premissas!$B$5:$B$44,$B2768)+P2768*SUMIFS(Premissas!$D$5:$D$44,Premissas!$A$5:$A$44,$A2768,Premissas!$B$5:$B$44,$B2768))+R2768*SUMIFS(Premissas!$E$5:$E$44,Premissas!$A$5:$A$44,$A2768,Premissas!$B$5:$B$44,$B2768)+S2768*SUMIFS(Premissas!$F$5:$F$44,Premissas!$A$5:$A$44,$A2768,Premissas!$B$5:$B$44,$B2768)</f>
        <v/>
      </c>
      <c r="L2768" s="29">
        <f>J2768-K2768</f>
        <v/>
      </c>
      <c r="M2768" t="inlineStr">
        <is>
          <t>1.350</t>
        </is>
      </c>
      <c r="N2768" t="inlineStr">
        <is>
          <t>Modalidade: 0 - Por conta do remetente | Parte: PLASPEL EMBALAGENS LTDA (00.076.958/0001-66)</t>
        </is>
      </c>
      <c r="O2768" s="29" t="n">
        <v>0</v>
      </c>
      <c r="P2768" s="29" t="n">
        <v>0</v>
      </c>
      <c r="Q2768" s="29" t="n">
        <v>0</v>
      </c>
      <c r="R2768" s="29" t="n">
        <v>0</v>
      </c>
      <c r="S2768" s="29" t="n">
        <v>0</v>
      </c>
      <c r="T2768" t="inlineStr">
        <is>
          <t>25260126975620000130570010000062391001100870</t>
        </is>
      </c>
      <c r="U2768" t="inlineStr">
        <is>
          <t>Não</t>
        </is>
      </c>
    </row>
    <row r="2769">
      <c r="A2769" t="inlineStr">
        <is>
          <t>Frete de venda</t>
        </is>
      </c>
      <c r="B2769" t="inlineStr">
        <is>
          <t>2.01.02 Frete sobre Vendas</t>
        </is>
      </c>
      <c r="C2769" s="30" t="n">
        <v>46023</v>
      </c>
      <c r="D2769" t="inlineStr">
        <is>
          <t>Em 2026</t>
        </is>
      </c>
      <c r="E2769" s="28" t="n">
        <v>46050</v>
      </c>
      <c r="F2769" t="inlineStr">
        <is>
          <t>CT-e</t>
        </is>
      </c>
      <c r="G2769" t="inlineStr">
        <is>
          <t>000006240</t>
        </is>
      </c>
      <c r="H2769" t="inlineStr">
        <is>
          <t>R&amp;R TRANSPORTE E LOGISTICA</t>
        </is>
      </c>
      <c r="J2769" s="29" t="n">
        <v>39.14</v>
      </c>
      <c r="K2769" s="29">
        <f>(1-ISNUMBER(SEARCH("556",M2769)))*(O2769*SUMIFS(Premissas!$C$5:$C$44,Premissas!$A$5:$A$44,$A2769,Premissas!$B$5:$B$44,$B2769)+P2769*SUMIFS(Premissas!$D$5:$D$44,Premissas!$A$5:$A$44,$A2769,Premissas!$B$5:$B$44,$B2769))+R2769*SUMIFS(Premissas!$E$5:$E$44,Premissas!$A$5:$A$44,$A2769,Premissas!$B$5:$B$44,$B2769)+S2769*SUMIFS(Premissas!$F$5:$F$44,Premissas!$A$5:$A$44,$A2769,Premissas!$B$5:$B$44,$B2769)</f>
        <v/>
      </c>
      <c r="L2769" s="29">
        <f>J2769-K2769</f>
        <v/>
      </c>
      <c r="M2769" t="inlineStr">
        <is>
          <t>1.350</t>
        </is>
      </c>
      <c r="N2769" t="inlineStr">
        <is>
          <t>Modalidade: 0 - Por conta do remetente | Parte: M. ARTHUR LEITE DE MELO LTDA (31.551.324/0001-41)</t>
        </is>
      </c>
      <c r="O2769" s="29" t="n">
        <v>0</v>
      </c>
      <c r="P2769" s="29" t="n">
        <v>0</v>
      </c>
      <c r="Q2769" s="29" t="n">
        <v>0</v>
      </c>
      <c r="R2769" s="29" t="n">
        <v>0</v>
      </c>
      <c r="S2769" s="29" t="n">
        <v>0</v>
      </c>
      <c r="T2769" t="inlineStr">
        <is>
          <t>25260126975620000130570010000062401000170956</t>
        </is>
      </c>
      <c r="U2769" t="inlineStr">
        <is>
          <t>Não</t>
        </is>
      </c>
    </row>
    <row r="2770">
      <c r="A2770" t="inlineStr">
        <is>
          <t>Frete de venda</t>
        </is>
      </c>
      <c r="B2770" t="inlineStr">
        <is>
          <t>2.01.02 Frete sobre Vendas</t>
        </is>
      </c>
      <c r="C2770" s="30" t="n">
        <v>46023</v>
      </c>
      <c r="D2770" t="inlineStr">
        <is>
          <t>Em 2026</t>
        </is>
      </c>
      <c r="E2770" s="28" t="n">
        <v>46050</v>
      </c>
      <c r="F2770" t="inlineStr">
        <is>
          <t>CT-e</t>
        </is>
      </c>
      <c r="G2770" t="inlineStr">
        <is>
          <t>000006241</t>
        </is>
      </c>
      <c r="H2770" t="inlineStr">
        <is>
          <t>R&amp;R TRANSPORTE E LOGISTICA</t>
        </is>
      </c>
      <c r="J2770" s="29" t="n">
        <v>137.21</v>
      </c>
      <c r="K2770" s="29">
        <f>(1-ISNUMBER(SEARCH("556",M2770)))*(O2770*SUMIFS(Premissas!$C$5:$C$44,Premissas!$A$5:$A$44,$A2770,Premissas!$B$5:$B$44,$B2770)+P2770*SUMIFS(Premissas!$D$5:$D$44,Premissas!$A$5:$A$44,$A2770,Premissas!$B$5:$B$44,$B2770))+R2770*SUMIFS(Premissas!$E$5:$E$44,Premissas!$A$5:$A$44,$A2770,Premissas!$B$5:$B$44,$B2770)+S2770*SUMIFS(Premissas!$F$5:$F$44,Premissas!$A$5:$A$44,$A2770,Premissas!$B$5:$B$44,$B2770)</f>
        <v/>
      </c>
      <c r="L2770" s="29">
        <f>J2770-K2770</f>
        <v/>
      </c>
      <c r="M2770" t="inlineStr">
        <is>
          <t>1.350</t>
        </is>
      </c>
      <c r="N2770" t="inlineStr">
        <is>
          <t>Modalidade: 0 - Por conta do remetente | Parte: UNICENTRAL DISTRIBUIDORA DE EMBALAGENS LTDA (35.087.143/0001-67)</t>
        </is>
      </c>
      <c r="O2770" s="29" t="n">
        <v>0</v>
      </c>
      <c r="P2770" s="29" t="n">
        <v>0</v>
      </c>
      <c r="Q2770" s="29" t="n">
        <v>0</v>
      </c>
      <c r="R2770" s="29" t="n">
        <v>0</v>
      </c>
      <c r="S2770" s="29" t="n">
        <v>0</v>
      </c>
      <c r="T2770" t="inlineStr">
        <is>
          <t>25260126975620000130570010000062411001401037</t>
        </is>
      </c>
      <c r="U2770" t="inlineStr">
        <is>
          <t>Não</t>
        </is>
      </c>
    </row>
    <row r="2771">
      <c r="A2771" t="inlineStr">
        <is>
          <t>Frete de venda</t>
        </is>
      </c>
      <c r="B2771" t="inlineStr">
        <is>
          <t>2.01.02 Frete sobre Vendas</t>
        </is>
      </c>
      <c r="C2771" s="30" t="n">
        <v>46023</v>
      </c>
      <c r="D2771" t="inlineStr">
        <is>
          <t>Em 2026</t>
        </is>
      </c>
      <c r="E2771" s="28" t="n">
        <v>46050</v>
      </c>
      <c r="F2771" t="inlineStr">
        <is>
          <t>CT-e</t>
        </is>
      </c>
      <c r="G2771" t="inlineStr">
        <is>
          <t>000006242</t>
        </is>
      </c>
      <c r="H2771" t="inlineStr">
        <is>
          <t>R&amp;R TRANSPORTE E LOGISTICA</t>
        </is>
      </c>
      <c r="J2771" s="29" t="n">
        <v>9.800000000000001</v>
      </c>
      <c r="K2771" s="29">
        <f>(1-ISNUMBER(SEARCH("556",M2771)))*(O2771*SUMIFS(Premissas!$C$5:$C$44,Premissas!$A$5:$A$44,$A2771,Premissas!$B$5:$B$44,$B2771)+P2771*SUMIFS(Premissas!$D$5:$D$44,Premissas!$A$5:$A$44,$A2771,Premissas!$B$5:$B$44,$B2771))+R2771*SUMIFS(Premissas!$E$5:$E$44,Premissas!$A$5:$A$44,$A2771,Premissas!$B$5:$B$44,$B2771)+S2771*SUMIFS(Premissas!$F$5:$F$44,Premissas!$A$5:$A$44,$A2771,Premissas!$B$5:$B$44,$B2771)</f>
        <v/>
      </c>
      <c r="L2771" s="29">
        <f>J2771-K2771</f>
        <v/>
      </c>
      <c r="M2771" t="inlineStr">
        <is>
          <t>1.350</t>
        </is>
      </c>
      <c r="N2771" t="inlineStr">
        <is>
          <t>Modalidade: 0 - Por conta do remetente | Parte: R.J COMERCIO DE EMBALAGENS LTDA (38.204.536/0001-00)</t>
        </is>
      </c>
      <c r="O2771" s="29" t="n">
        <v>0</v>
      </c>
      <c r="P2771" s="29" t="n">
        <v>0</v>
      </c>
      <c r="Q2771" s="29" t="n">
        <v>0</v>
      </c>
      <c r="R2771" s="29" t="n">
        <v>0</v>
      </c>
      <c r="S2771" s="29" t="n">
        <v>0</v>
      </c>
      <c r="T2771" t="inlineStr">
        <is>
          <t>25260126975620000130570010000062421001101111</t>
        </is>
      </c>
      <c r="U2771" t="inlineStr">
        <is>
          <t>Não</t>
        </is>
      </c>
    </row>
    <row r="2772">
      <c r="A2772" t="inlineStr">
        <is>
          <t>Frete de venda</t>
        </is>
      </c>
      <c r="B2772" t="inlineStr">
        <is>
          <t>2.01.02 Frete sobre Vendas</t>
        </is>
      </c>
      <c r="C2772" s="30" t="n">
        <v>46023</v>
      </c>
      <c r="D2772" t="inlineStr">
        <is>
          <t>Em 2026</t>
        </is>
      </c>
      <c r="E2772" s="28" t="n">
        <v>46050</v>
      </c>
      <c r="F2772" t="inlineStr">
        <is>
          <t>CT-e</t>
        </is>
      </c>
      <c r="G2772" t="inlineStr">
        <is>
          <t>000006243</t>
        </is>
      </c>
      <c r="H2772" t="inlineStr">
        <is>
          <t>R&amp;R TRANSPORTE E LOGISTICA</t>
        </is>
      </c>
      <c r="J2772" s="29" t="n">
        <v>12.94</v>
      </c>
      <c r="K2772" s="29">
        <f>(1-ISNUMBER(SEARCH("556",M2772)))*(O2772*SUMIFS(Premissas!$C$5:$C$44,Premissas!$A$5:$A$44,$A2772,Premissas!$B$5:$B$44,$B2772)+P2772*SUMIFS(Premissas!$D$5:$D$44,Premissas!$A$5:$A$44,$A2772,Premissas!$B$5:$B$44,$B2772))+R2772*SUMIFS(Premissas!$E$5:$E$44,Premissas!$A$5:$A$44,$A2772,Premissas!$B$5:$B$44,$B2772)+S2772*SUMIFS(Premissas!$F$5:$F$44,Premissas!$A$5:$A$44,$A2772,Premissas!$B$5:$B$44,$B2772)</f>
        <v/>
      </c>
      <c r="L2772" s="29">
        <f>J2772-K2772</f>
        <v/>
      </c>
      <c r="M2772" t="inlineStr">
        <is>
          <t>1.350</t>
        </is>
      </c>
      <c r="N2772" t="inlineStr">
        <is>
          <t>Modalidade: 0 - Por conta do remetente | Parte: BA EMBALAGENS COM ATACADISTA DE EMBALAGENS E BOMBONIERI (09.048.003/0001-70)</t>
        </is>
      </c>
      <c r="O2772" s="29" t="n">
        <v>0</v>
      </c>
      <c r="P2772" s="29" t="n">
        <v>0</v>
      </c>
      <c r="Q2772" s="29" t="n">
        <v>0</v>
      </c>
      <c r="R2772" s="29" t="n">
        <v>0</v>
      </c>
      <c r="S2772" s="29" t="n">
        <v>0</v>
      </c>
      <c r="T2772" t="inlineStr">
        <is>
          <t>25260126975620000130570010000062431001901190</t>
        </is>
      </c>
      <c r="U2772" t="inlineStr">
        <is>
          <t>Não</t>
        </is>
      </c>
    </row>
    <row r="2773">
      <c r="A2773" t="inlineStr">
        <is>
          <t>Frete de venda</t>
        </is>
      </c>
      <c r="B2773" t="inlineStr">
        <is>
          <t>2.01.02 Frete sobre Vendas</t>
        </is>
      </c>
      <c r="C2773" s="30" t="n">
        <v>46023</v>
      </c>
      <c r="D2773" t="inlineStr">
        <is>
          <t>Em 2026</t>
        </is>
      </c>
      <c r="E2773" s="28" t="n">
        <v>46050</v>
      </c>
      <c r="F2773" t="inlineStr">
        <is>
          <t>CT-e</t>
        </is>
      </c>
      <c r="G2773" t="inlineStr">
        <is>
          <t>000006244</t>
        </is>
      </c>
      <c r="H2773" t="inlineStr">
        <is>
          <t>R&amp;R TRANSPORTE E LOGISTICA</t>
        </is>
      </c>
      <c r="J2773" s="29" t="n">
        <v>12.26</v>
      </c>
      <c r="K2773" s="29">
        <f>(1-ISNUMBER(SEARCH("556",M2773)))*(O2773*SUMIFS(Premissas!$C$5:$C$44,Premissas!$A$5:$A$44,$A2773,Premissas!$B$5:$B$44,$B2773)+P2773*SUMIFS(Premissas!$D$5:$D$44,Premissas!$A$5:$A$44,$A2773,Premissas!$B$5:$B$44,$B2773))+R2773*SUMIFS(Premissas!$E$5:$E$44,Premissas!$A$5:$A$44,$A2773,Premissas!$B$5:$B$44,$B2773)+S2773*SUMIFS(Premissas!$F$5:$F$44,Premissas!$A$5:$A$44,$A2773,Premissas!$B$5:$B$44,$B2773)</f>
        <v/>
      </c>
      <c r="L2773" s="29">
        <f>J2773-K2773</f>
        <v/>
      </c>
      <c r="M2773" t="inlineStr">
        <is>
          <t>1.350</t>
        </is>
      </c>
      <c r="N2773" t="inlineStr">
        <is>
          <t>Modalidade: 0 - Por conta do remetente | Parte: JOANICE COMERCIAL DE EMBALAGENS E CONFEITARIA LTDA (50.350.203/0001-86)</t>
        </is>
      </c>
      <c r="O2773" s="29" t="n">
        <v>0</v>
      </c>
      <c r="P2773" s="29" t="n">
        <v>0</v>
      </c>
      <c r="Q2773" s="29" t="n">
        <v>0</v>
      </c>
      <c r="R2773" s="29" t="n">
        <v>0</v>
      </c>
      <c r="S2773" s="29" t="n">
        <v>0</v>
      </c>
      <c r="T2773" t="inlineStr">
        <is>
          <t>25260126975620000130570010000062441001601275</t>
        </is>
      </c>
      <c r="U2773" t="inlineStr">
        <is>
          <t>Não</t>
        </is>
      </c>
    </row>
    <row r="2774">
      <c r="A2774" t="inlineStr">
        <is>
          <t>Frete de venda</t>
        </is>
      </c>
      <c r="B2774" t="inlineStr">
        <is>
          <t>2.01.02 Frete sobre Vendas</t>
        </is>
      </c>
      <c r="C2774" s="30" t="n">
        <v>46023</v>
      </c>
      <c r="D2774" t="inlineStr">
        <is>
          <t>Em 2026</t>
        </is>
      </c>
      <c r="E2774" s="28" t="n">
        <v>46050</v>
      </c>
      <c r="F2774" t="inlineStr">
        <is>
          <t>CT-e</t>
        </is>
      </c>
      <c r="G2774" t="inlineStr">
        <is>
          <t>000006245</t>
        </is>
      </c>
      <c r="H2774" t="inlineStr">
        <is>
          <t>R&amp;R TRANSPORTE E LOGISTICA</t>
        </is>
      </c>
      <c r="J2774" s="29" t="n">
        <v>9.27</v>
      </c>
      <c r="K2774" s="29">
        <f>(1-ISNUMBER(SEARCH("556",M2774)))*(O2774*SUMIFS(Premissas!$C$5:$C$44,Premissas!$A$5:$A$44,$A2774,Premissas!$B$5:$B$44,$B2774)+P2774*SUMIFS(Premissas!$D$5:$D$44,Premissas!$A$5:$A$44,$A2774,Premissas!$B$5:$B$44,$B2774))+R2774*SUMIFS(Premissas!$E$5:$E$44,Premissas!$A$5:$A$44,$A2774,Premissas!$B$5:$B$44,$B2774)+S2774*SUMIFS(Premissas!$F$5:$F$44,Premissas!$A$5:$A$44,$A2774,Premissas!$B$5:$B$44,$B2774)</f>
        <v/>
      </c>
      <c r="L2774" s="29">
        <f>J2774-K2774</f>
        <v/>
      </c>
      <c r="M2774" t="inlineStr">
        <is>
          <t>1.350</t>
        </is>
      </c>
      <c r="N2774" t="inlineStr">
        <is>
          <t>Modalidade: 0 - Por conta do remetente | Parte: LA SERAFIM COMERCIO DE EMBALAGENS LTDA (07.797.641/0001-68)</t>
        </is>
      </c>
      <c r="O2774" s="29" t="n">
        <v>0</v>
      </c>
      <c r="P2774" s="29" t="n">
        <v>0</v>
      </c>
      <c r="Q2774" s="29" t="n">
        <v>0</v>
      </c>
      <c r="R2774" s="29" t="n">
        <v>0</v>
      </c>
      <c r="S2774" s="29" t="n">
        <v>0</v>
      </c>
      <c r="T2774" t="inlineStr">
        <is>
          <t>25260126975620000130570010000062451001301350</t>
        </is>
      </c>
      <c r="U2774" t="inlineStr">
        <is>
          <t>Não</t>
        </is>
      </c>
    </row>
    <row r="2775">
      <c r="A2775" t="inlineStr">
        <is>
          <t>Frete de venda</t>
        </is>
      </c>
      <c r="B2775" t="inlineStr">
        <is>
          <t>2.01.02 Frete sobre Vendas</t>
        </is>
      </c>
      <c r="C2775" s="30" t="n">
        <v>46023</v>
      </c>
      <c r="D2775" t="inlineStr">
        <is>
          <t>Em 2026</t>
        </is>
      </c>
      <c r="E2775" s="28" t="n">
        <v>46050</v>
      </c>
      <c r="F2775" t="inlineStr">
        <is>
          <t>CT-e</t>
        </is>
      </c>
      <c r="G2775" t="inlineStr">
        <is>
          <t>000006246</t>
        </is>
      </c>
      <c r="H2775" t="inlineStr">
        <is>
          <t>R&amp;R TRANSPORTE E LOGISTICA</t>
        </is>
      </c>
      <c r="J2775" s="29" t="n">
        <v>12.01</v>
      </c>
      <c r="K2775" s="29">
        <f>(1-ISNUMBER(SEARCH("556",M2775)))*(O2775*SUMIFS(Premissas!$C$5:$C$44,Premissas!$A$5:$A$44,$A2775,Premissas!$B$5:$B$44,$B2775)+P2775*SUMIFS(Premissas!$D$5:$D$44,Premissas!$A$5:$A$44,$A2775,Premissas!$B$5:$B$44,$B2775))+R2775*SUMIFS(Premissas!$E$5:$E$44,Premissas!$A$5:$A$44,$A2775,Premissas!$B$5:$B$44,$B2775)+S2775*SUMIFS(Premissas!$F$5:$F$44,Premissas!$A$5:$A$44,$A2775,Premissas!$B$5:$B$44,$B2775)</f>
        <v/>
      </c>
      <c r="L2775" s="29">
        <f>J2775-K2775</f>
        <v/>
      </c>
      <c r="M2775" t="inlineStr">
        <is>
          <t>1.350</t>
        </is>
      </c>
      <c r="N2775" t="inlineStr">
        <is>
          <t>Modalidade: 0 - Por conta do remetente | Parte: VLE COMERCIO DE EMBALAGENS E MATERIAL DE LIMPEZA LTDA (52.682.999/0001-08)</t>
        </is>
      </c>
      <c r="O2775" s="29" t="n">
        <v>0</v>
      </c>
      <c r="P2775" s="29" t="n">
        <v>0</v>
      </c>
      <c r="Q2775" s="29" t="n">
        <v>0</v>
      </c>
      <c r="R2775" s="29" t="n">
        <v>0</v>
      </c>
      <c r="S2775" s="29" t="n">
        <v>0</v>
      </c>
      <c r="T2775" t="inlineStr">
        <is>
          <t>25260126975620000130570010000062461000101435</t>
        </is>
      </c>
      <c r="U2775" t="inlineStr">
        <is>
          <t>Não</t>
        </is>
      </c>
    </row>
    <row r="2776">
      <c r="A2776" t="inlineStr">
        <is>
          <t>Frete de venda</t>
        </is>
      </c>
      <c r="B2776" t="inlineStr">
        <is>
          <t>2.01.02 Frete sobre Vendas</t>
        </is>
      </c>
      <c r="C2776" s="30" t="n">
        <v>46023</v>
      </c>
      <c r="D2776" t="inlineStr">
        <is>
          <t>Em 2026</t>
        </is>
      </c>
      <c r="E2776" s="28" t="n">
        <v>46050</v>
      </c>
      <c r="F2776" t="inlineStr">
        <is>
          <t>CT-e</t>
        </is>
      </c>
      <c r="G2776" t="inlineStr">
        <is>
          <t>000006247</t>
        </is>
      </c>
      <c r="H2776" t="inlineStr">
        <is>
          <t>R&amp;R TRANSPORTE E LOGISTICA</t>
        </is>
      </c>
      <c r="J2776" s="29" t="n">
        <v>8.69</v>
      </c>
      <c r="K2776" s="29">
        <f>(1-ISNUMBER(SEARCH("556",M2776)))*(O2776*SUMIFS(Premissas!$C$5:$C$44,Premissas!$A$5:$A$44,$A2776,Premissas!$B$5:$B$44,$B2776)+P2776*SUMIFS(Premissas!$D$5:$D$44,Premissas!$A$5:$A$44,$A2776,Premissas!$B$5:$B$44,$B2776))+R2776*SUMIFS(Premissas!$E$5:$E$44,Premissas!$A$5:$A$44,$A2776,Premissas!$B$5:$B$44,$B2776)+S2776*SUMIFS(Premissas!$F$5:$F$44,Premissas!$A$5:$A$44,$A2776,Premissas!$B$5:$B$44,$B2776)</f>
        <v/>
      </c>
      <c r="L2776" s="29">
        <f>J2776-K2776</f>
        <v/>
      </c>
      <c r="M2776" t="inlineStr">
        <is>
          <t>1.350</t>
        </is>
      </c>
      <c r="N2776" t="inlineStr">
        <is>
          <t>Modalidade: 0 - Por conta do remetente | Parte: CELEBRAR E EMBALAR LTDA (58.433.179/0001-50)</t>
        </is>
      </c>
      <c r="O2776" s="29" t="n">
        <v>0</v>
      </c>
      <c r="P2776" s="29" t="n">
        <v>0</v>
      </c>
      <c r="Q2776" s="29" t="n">
        <v>0</v>
      </c>
      <c r="R2776" s="29" t="n">
        <v>0</v>
      </c>
      <c r="S2776" s="29" t="n">
        <v>0</v>
      </c>
      <c r="T2776" t="inlineStr">
        <is>
          <t>25260126975620000130570010000062471001801519</t>
        </is>
      </c>
      <c r="U2776" t="inlineStr">
        <is>
          <t>Não</t>
        </is>
      </c>
    </row>
    <row r="2777">
      <c r="A2777" t="inlineStr">
        <is>
          <t>Frete de venda</t>
        </is>
      </c>
      <c r="B2777" t="inlineStr">
        <is>
          <t>2.01.02 Frete sobre Vendas</t>
        </is>
      </c>
      <c r="C2777" s="30" t="n">
        <v>46023</v>
      </c>
      <c r="D2777" t="inlineStr">
        <is>
          <t>Em 2026</t>
        </is>
      </c>
      <c r="E2777" s="28" t="n">
        <v>46050</v>
      </c>
      <c r="F2777" t="inlineStr">
        <is>
          <t>CT-e</t>
        </is>
      </c>
      <c r="G2777" t="inlineStr">
        <is>
          <t>000006248</t>
        </is>
      </c>
      <c r="H2777" t="inlineStr">
        <is>
          <t>R&amp;R TRANSPORTE E LOGISTICA</t>
        </is>
      </c>
      <c r="J2777" s="29" t="n">
        <v>12.42</v>
      </c>
      <c r="K2777" s="29">
        <f>(1-ISNUMBER(SEARCH("556",M2777)))*(O2777*SUMIFS(Premissas!$C$5:$C$44,Premissas!$A$5:$A$44,$A2777,Premissas!$B$5:$B$44,$B2777)+P2777*SUMIFS(Premissas!$D$5:$D$44,Premissas!$A$5:$A$44,$A2777,Premissas!$B$5:$B$44,$B2777))+R2777*SUMIFS(Premissas!$E$5:$E$44,Premissas!$A$5:$A$44,$A2777,Premissas!$B$5:$B$44,$B2777)+S2777*SUMIFS(Premissas!$F$5:$F$44,Premissas!$A$5:$A$44,$A2777,Premissas!$B$5:$B$44,$B2777)</f>
        <v/>
      </c>
      <c r="L2777" s="29">
        <f>J2777-K2777</f>
        <v/>
      </c>
      <c r="M2777" t="inlineStr">
        <is>
          <t>1.350</t>
        </is>
      </c>
      <c r="N2777" t="inlineStr">
        <is>
          <t>Modalidade: 0 - Por conta do remetente | Parte: LITORAL DISTRIBUIDORA S.A (55.104.068/0001-02)</t>
        </is>
      </c>
      <c r="O2777" s="29" t="n">
        <v>0</v>
      </c>
      <c r="P2777" s="29" t="n">
        <v>0</v>
      </c>
      <c r="Q2777" s="29" t="n">
        <v>0</v>
      </c>
      <c r="R2777" s="29" t="n">
        <v>0</v>
      </c>
      <c r="S2777" s="29" t="n">
        <v>0</v>
      </c>
      <c r="T2777" t="inlineStr">
        <is>
          <t>25260126975620000130570010000062481001501598</t>
        </is>
      </c>
      <c r="U2777" t="inlineStr">
        <is>
          <t>Não</t>
        </is>
      </c>
    </row>
    <row r="2778">
      <c r="A2778" t="inlineStr">
        <is>
          <t>Frete de venda</t>
        </is>
      </c>
      <c r="B2778" t="inlineStr">
        <is>
          <t>2.01.02 Frete sobre Vendas</t>
        </is>
      </c>
      <c r="C2778" s="30" t="n">
        <v>46023</v>
      </c>
      <c r="D2778" t="inlineStr">
        <is>
          <t>Em 2026</t>
        </is>
      </c>
      <c r="E2778" s="28" t="n">
        <v>46050</v>
      </c>
      <c r="F2778" t="inlineStr">
        <is>
          <t>CT-e</t>
        </is>
      </c>
      <c r="G2778" t="inlineStr">
        <is>
          <t>000006249</t>
        </is>
      </c>
      <c r="H2778" t="inlineStr">
        <is>
          <t>R&amp;R TRANSPORTE E LOGISTICA</t>
        </is>
      </c>
      <c r="J2778" s="29" t="n">
        <v>11.5</v>
      </c>
      <c r="K2778" s="29">
        <f>(1-ISNUMBER(SEARCH("556",M2778)))*(O2778*SUMIFS(Premissas!$C$5:$C$44,Premissas!$A$5:$A$44,$A2778,Premissas!$B$5:$B$44,$B2778)+P2778*SUMIFS(Premissas!$D$5:$D$44,Premissas!$A$5:$A$44,$A2778,Premissas!$B$5:$B$44,$B2778))+R2778*SUMIFS(Premissas!$E$5:$E$44,Premissas!$A$5:$A$44,$A2778,Premissas!$B$5:$B$44,$B2778)+S2778*SUMIFS(Premissas!$F$5:$F$44,Premissas!$A$5:$A$44,$A2778,Premissas!$B$5:$B$44,$B2778)</f>
        <v/>
      </c>
      <c r="L2778" s="29">
        <f>J2778-K2778</f>
        <v/>
      </c>
      <c r="M2778" t="inlineStr">
        <is>
          <t>1.350</t>
        </is>
      </c>
      <c r="N2778" t="inlineStr">
        <is>
          <t>Modalidade: 0 - Por conta do remetente | Parte: Reicosta comercio de embalagens e alimentos ltda (26.112.407/0001-02)</t>
        </is>
      </c>
      <c r="O2778" s="29" t="n">
        <v>0</v>
      </c>
      <c r="P2778" s="29" t="n">
        <v>0</v>
      </c>
      <c r="Q2778" s="29" t="n">
        <v>0</v>
      </c>
      <c r="R2778" s="29" t="n">
        <v>0</v>
      </c>
      <c r="S2778" s="29" t="n">
        <v>0</v>
      </c>
      <c r="T2778" t="inlineStr">
        <is>
          <t>25260126975620000130570010000062491000160948</t>
        </is>
      </c>
      <c r="U2778" t="inlineStr">
        <is>
          <t>Não</t>
        </is>
      </c>
    </row>
    <row r="2779">
      <c r="A2779" t="inlineStr">
        <is>
          <t>Frete de venda</t>
        </is>
      </c>
      <c r="B2779" t="inlineStr">
        <is>
          <t>2.01.02 Frete sobre Vendas</t>
        </is>
      </c>
      <c r="C2779" s="30" t="n">
        <v>46023</v>
      </c>
      <c r="D2779" t="inlineStr">
        <is>
          <t>Em 2026</t>
        </is>
      </c>
      <c r="E2779" s="28" t="n">
        <v>46050</v>
      </c>
      <c r="F2779" t="inlineStr">
        <is>
          <t>CT-e</t>
        </is>
      </c>
      <c r="G2779" t="inlineStr">
        <is>
          <t>000006250</t>
        </is>
      </c>
      <c r="H2779" t="inlineStr">
        <is>
          <t>R&amp;R TRANSPORTE E LOGISTICA</t>
        </is>
      </c>
      <c r="J2779" s="29" t="n">
        <v>8.949999999999999</v>
      </c>
      <c r="K2779" s="29">
        <f>(1-ISNUMBER(SEARCH("556",M2779)))*(O2779*SUMIFS(Premissas!$C$5:$C$44,Premissas!$A$5:$A$44,$A2779,Premissas!$B$5:$B$44,$B2779)+P2779*SUMIFS(Premissas!$D$5:$D$44,Premissas!$A$5:$A$44,$A2779,Premissas!$B$5:$B$44,$B2779))+R2779*SUMIFS(Premissas!$E$5:$E$44,Premissas!$A$5:$A$44,$A2779,Premissas!$B$5:$B$44,$B2779)+S2779*SUMIFS(Premissas!$F$5:$F$44,Premissas!$A$5:$A$44,$A2779,Premissas!$B$5:$B$44,$B2779)</f>
        <v/>
      </c>
      <c r="L2779" s="29">
        <f>J2779-K2779</f>
        <v/>
      </c>
      <c r="M2779" t="inlineStr">
        <is>
          <t>1.350</t>
        </is>
      </c>
      <c r="N2779" t="inlineStr">
        <is>
          <t>Modalidade: 0 - Por conta do remetente | Parte: GISANETE CARNEIRO DA SILVA MIRANDA e CIA LTDA (86.823.648/0001-83)</t>
        </is>
      </c>
      <c r="O2779" s="29" t="n">
        <v>0</v>
      </c>
      <c r="P2779" s="29" t="n">
        <v>0</v>
      </c>
      <c r="Q2779" s="29" t="n">
        <v>0</v>
      </c>
      <c r="R2779" s="29" t="n">
        <v>0</v>
      </c>
      <c r="S2779" s="29" t="n">
        <v>0</v>
      </c>
      <c r="T2779" t="inlineStr">
        <is>
          <t>25260126975620000130570010000062501001301023</t>
        </is>
      </c>
      <c r="U2779" t="inlineStr">
        <is>
          <t>Não</t>
        </is>
      </c>
    </row>
    <row r="2780">
      <c r="A2780" t="inlineStr">
        <is>
          <t>Frete de venda</t>
        </is>
      </c>
      <c r="B2780" t="inlineStr">
        <is>
          <t>2.01.02 Frete sobre Vendas</t>
        </is>
      </c>
      <c r="C2780" s="30" t="n">
        <v>46023</v>
      </c>
      <c r="D2780" t="inlineStr">
        <is>
          <t>Em 2026</t>
        </is>
      </c>
      <c r="E2780" s="28" t="n">
        <v>46050</v>
      </c>
      <c r="F2780" t="inlineStr">
        <is>
          <t>CT-e</t>
        </is>
      </c>
      <c r="G2780" t="inlineStr">
        <is>
          <t>000006251</t>
        </is>
      </c>
      <c r="H2780" t="inlineStr">
        <is>
          <t>R&amp;R TRANSPORTE E LOGISTICA</t>
        </is>
      </c>
      <c r="J2780" s="29" t="n">
        <v>12.5</v>
      </c>
      <c r="K2780" s="29">
        <f>(1-ISNUMBER(SEARCH("556",M2780)))*(O2780*SUMIFS(Premissas!$C$5:$C$44,Premissas!$A$5:$A$44,$A2780,Premissas!$B$5:$B$44,$B2780)+P2780*SUMIFS(Premissas!$D$5:$D$44,Premissas!$A$5:$A$44,$A2780,Premissas!$B$5:$B$44,$B2780))+R2780*SUMIFS(Premissas!$E$5:$E$44,Premissas!$A$5:$A$44,$A2780,Premissas!$B$5:$B$44,$B2780)+S2780*SUMIFS(Premissas!$F$5:$F$44,Premissas!$A$5:$A$44,$A2780,Premissas!$B$5:$B$44,$B2780)</f>
        <v/>
      </c>
      <c r="L2780" s="29">
        <f>J2780-K2780</f>
        <v/>
      </c>
      <c r="M2780" t="inlineStr">
        <is>
          <t>1.350</t>
        </is>
      </c>
      <c r="N2780" t="inlineStr">
        <is>
          <t>Modalidade: 0 - Por conta do remetente | Parte: E.S. BRANDAO FERNANDES (10.341.001/0002-34)</t>
        </is>
      </c>
      <c r="O2780" s="29" t="n">
        <v>0</v>
      </c>
      <c r="P2780" s="29" t="n">
        <v>0</v>
      </c>
      <c r="Q2780" s="29" t="n">
        <v>0</v>
      </c>
      <c r="R2780" s="29" t="n">
        <v>0</v>
      </c>
      <c r="S2780" s="29" t="n">
        <v>0</v>
      </c>
      <c r="T2780" t="inlineStr">
        <is>
          <t>25260126975620000130570010000062511000101109</t>
        </is>
      </c>
      <c r="U2780" t="inlineStr">
        <is>
          <t>Não</t>
        </is>
      </c>
    </row>
    <row r="2781">
      <c r="A2781" t="inlineStr">
        <is>
          <t>Frete de venda</t>
        </is>
      </c>
      <c r="B2781" t="inlineStr">
        <is>
          <t>2.01.02 Frete sobre Vendas</t>
        </is>
      </c>
      <c r="C2781" s="30" t="n">
        <v>46023</v>
      </c>
      <c r="D2781" t="inlineStr">
        <is>
          <t>Em 2026</t>
        </is>
      </c>
      <c r="E2781" s="28" t="n">
        <v>46050</v>
      </c>
      <c r="F2781" t="inlineStr">
        <is>
          <t>CT-e</t>
        </is>
      </c>
      <c r="G2781" t="inlineStr">
        <is>
          <t>000006252</t>
        </is>
      </c>
      <c r="H2781" t="inlineStr">
        <is>
          <t>R&amp;R TRANSPORTE E LOGISTICA</t>
        </is>
      </c>
      <c r="J2781" s="29" t="n">
        <v>11.71</v>
      </c>
      <c r="K2781" s="29">
        <f>(1-ISNUMBER(SEARCH("556",M2781)))*(O2781*SUMIFS(Premissas!$C$5:$C$44,Premissas!$A$5:$A$44,$A2781,Premissas!$B$5:$B$44,$B2781)+P2781*SUMIFS(Premissas!$D$5:$D$44,Premissas!$A$5:$A$44,$A2781,Premissas!$B$5:$B$44,$B2781))+R2781*SUMIFS(Premissas!$E$5:$E$44,Premissas!$A$5:$A$44,$A2781,Premissas!$B$5:$B$44,$B2781)+S2781*SUMIFS(Premissas!$F$5:$F$44,Premissas!$A$5:$A$44,$A2781,Premissas!$B$5:$B$44,$B2781)</f>
        <v/>
      </c>
      <c r="L2781" s="29">
        <f>J2781-K2781</f>
        <v/>
      </c>
      <c r="M2781" t="inlineStr">
        <is>
          <t>1.350</t>
        </is>
      </c>
      <c r="N2781" t="inlineStr">
        <is>
          <t>Modalidade: 0 - Por conta do remetente | Parte: E.S. BRANDAO FERNANDES (10.341.001/0001-53)</t>
        </is>
      </c>
      <c r="O2781" s="29" t="n">
        <v>0</v>
      </c>
      <c r="P2781" s="29" t="n">
        <v>0</v>
      </c>
      <c r="Q2781" s="29" t="n">
        <v>0</v>
      </c>
      <c r="R2781" s="29" t="n">
        <v>0</v>
      </c>
      <c r="S2781" s="29" t="n">
        <v>0</v>
      </c>
      <c r="T2781" t="inlineStr">
        <is>
          <t>25260126975620000130570010000062521001801187</t>
        </is>
      </c>
      <c r="U2781" t="inlineStr">
        <is>
          <t>Não</t>
        </is>
      </c>
    </row>
    <row r="2782">
      <c r="A2782" t="inlineStr">
        <is>
          <t>Frete de venda</t>
        </is>
      </c>
      <c r="B2782" t="inlineStr">
        <is>
          <t>2.01.02 Frete sobre Vendas</t>
        </is>
      </c>
      <c r="C2782" s="30" t="n">
        <v>46023</v>
      </c>
      <c r="D2782" t="inlineStr">
        <is>
          <t>Em 2026</t>
        </is>
      </c>
      <c r="E2782" s="28" t="n">
        <v>46050</v>
      </c>
      <c r="F2782" t="inlineStr">
        <is>
          <t>CT-e</t>
        </is>
      </c>
      <c r="G2782" t="inlineStr">
        <is>
          <t>000006253</t>
        </is>
      </c>
      <c r="H2782" t="inlineStr">
        <is>
          <t>R&amp;R TRANSPORTE E LOGISTICA</t>
        </is>
      </c>
      <c r="J2782" s="29" t="n">
        <v>11.6</v>
      </c>
      <c r="K2782" s="29">
        <f>(1-ISNUMBER(SEARCH("556",M2782)))*(O2782*SUMIFS(Premissas!$C$5:$C$44,Premissas!$A$5:$A$44,$A2782,Premissas!$B$5:$B$44,$B2782)+P2782*SUMIFS(Premissas!$D$5:$D$44,Premissas!$A$5:$A$44,$A2782,Premissas!$B$5:$B$44,$B2782))+R2782*SUMIFS(Premissas!$E$5:$E$44,Premissas!$A$5:$A$44,$A2782,Premissas!$B$5:$B$44,$B2782)+S2782*SUMIFS(Premissas!$F$5:$F$44,Premissas!$A$5:$A$44,$A2782,Premissas!$B$5:$B$44,$B2782)</f>
        <v/>
      </c>
      <c r="L2782" s="29">
        <f>J2782-K2782</f>
        <v/>
      </c>
      <c r="M2782" t="inlineStr">
        <is>
          <t>1.350</t>
        </is>
      </c>
      <c r="N2782" t="inlineStr">
        <is>
          <t>Modalidade: 0 - Por conta do remetente | Parte: OLIVEIRA KARMUS MAGAZINE LTDA (59.110.731/0001-32)</t>
        </is>
      </c>
      <c r="O2782" s="29" t="n">
        <v>0</v>
      </c>
      <c r="P2782" s="29" t="n">
        <v>0</v>
      </c>
      <c r="Q2782" s="29" t="n">
        <v>0</v>
      </c>
      <c r="R2782" s="29" t="n">
        <v>0</v>
      </c>
      <c r="S2782" s="29" t="n">
        <v>0</v>
      </c>
      <c r="T2782" t="inlineStr">
        <is>
          <t>25260126975620000130570010000062531001501261</t>
        </is>
      </c>
      <c r="U2782" t="inlineStr">
        <is>
          <t>Não</t>
        </is>
      </c>
    </row>
    <row r="2783">
      <c r="A2783" t="inlineStr">
        <is>
          <t>Frete de venda</t>
        </is>
      </c>
      <c r="B2783" t="inlineStr">
        <is>
          <t>2.01.02 Frete sobre Vendas</t>
        </is>
      </c>
      <c r="C2783" s="30" t="n">
        <v>46023</v>
      </c>
      <c r="D2783" t="inlineStr">
        <is>
          <t>Em 2026</t>
        </is>
      </c>
      <c r="E2783" s="28" t="n">
        <v>46050</v>
      </c>
      <c r="F2783" t="inlineStr">
        <is>
          <t>CT-e</t>
        </is>
      </c>
      <c r="G2783" t="inlineStr">
        <is>
          <t>000006254</t>
        </is>
      </c>
      <c r="H2783" t="inlineStr">
        <is>
          <t>R&amp;R TRANSPORTE E LOGISTICA</t>
        </is>
      </c>
      <c r="J2783" s="29" t="n">
        <v>11.17</v>
      </c>
      <c r="K2783" s="29">
        <f>(1-ISNUMBER(SEARCH("556",M2783)))*(O2783*SUMIFS(Premissas!$C$5:$C$44,Premissas!$A$5:$A$44,$A2783,Premissas!$B$5:$B$44,$B2783)+P2783*SUMIFS(Premissas!$D$5:$D$44,Premissas!$A$5:$A$44,$A2783,Premissas!$B$5:$B$44,$B2783))+R2783*SUMIFS(Premissas!$E$5:$E$44,Premissas!$A$5:$A$44,$A2783,Premissas!$B$5:$B$44,$B2783)+S2783*SUMIFS(Premissas!$F$5:$F$44,Premissas!$A$5:$A$44,$A2783,Premissas!$B$5:$B$44,$B2783)</f>
        <v/>
      </c>
      <c r="L2783" s="29">
        <f>J2783-K2783</f>
        <v/>
      </c>
      <c r="M2783" t="inlineStr">
        <is>
          <t>1.350</t>
        </is>
      </c>
      <c r="N2783" t="inlineStr">
        <is>
          <t>Modalidade: 0 - Por conta do remetente | Parte: COMPORTO FESTAS E DESCARTAVEIS LTDA (23.110.575/0001-62)</t>
        </is>
      </c>
      <c r="O2783" s="29" t="n">
        <v>0</v>
      </c>
      <c r="P2783" s="29" t="n">
        <v>0</v>
      </c>
      <c r="Q2783" s="29" t="n">
        <v>0</v>
      </c>
      <c r="R2783" s="29" t="n">
        <v>0</v>
      </c>
      <c r="S2783" s="29" t="n">
        <v>0</v>
      </c>
      <c r="T2783" t="inlineStr">
        <is>
          <t>25260126975620000130570010000062541001201346</t>
        </is>
      </c>
      <c r="U2783" t="inlineStr">
        <is>
          <t>Não</t>
        </is>
      </c>
    </row>
    <row r="2784">
      <c r="A2784" t="inlineStr">
        <is>
          <t>Frete de venda</t>
        </is>
      </c>
      <c r="B2784" t="inlineStr">
        <is>
          <t>2.01.02 Frete sobre Vendas</t>
        </is>
      </c>
      <c r="C2784" s="30" t="n">
        <v>46023</v>
      </c>
      <c r="D2784" t="inlineStr">
        <is>
          <t>Em 2026</t>
        </is>
      </c>
      <c r="E2784" s="28" t="n">
        <v>46050</v>
      </c>
      <c r="F2784" t="inlineStr">
        <is>
          <t>CT-e</t>
        </is>
      </c>
      <c r="G2784" t="inlineStr">
        <is>
          <t>000006255</t>
        </is>
      </c>
      <c r="H2784" t="inlineStr">
        <is>
          <t>R&amp;R TRANSPORTE E LOGISTICA</t>
        </is>
      </c>
      <c r="J2784" s="29" t="n">
        <v>9.56</v>
      </c>
      <c r="K2784" s="29">
        <f>(1-ISNUMBER(SEARCH("556",M2784)))*(O2784*SUMIFS(Premissas!$C$5:$C$44,Premissas!$A$5:$A$44,$A2784,Premissas!$B$5:$B$44,$B2784)+P2784*SUMIFS(Premissas!$D$5:$D$44,Premissas!$A$5:$A$44,$A2784,Premissas!$B$5:$B$44,$B2784))+R2784*SUMIFS(Premissas!$E$5:$E$44,Premissas!$A$5:$A$44,$A2784,Premissas!$B$5:$B$44,$B2784)+S2784*SUMIFS(Premissas!$F$5:$F$44,Premissas!$A$5:$A$44,$A2784,Premissas!$B$5:$B$44,$B2784)</f>
        <v/>
      </c>
      <c r="L2784" s="29">
        <f>J2784-K2784</f>
        <v/>
      </c>
      <c r="M2784" t="inlineStr">
        <is>
          <t>1.350</t>
        </is>
      </c>
      <c r="N2784" t="inlineStr">
        <is>
          <t>Modalidade: 0 - Por conta do remetente | Parte: GRACILIANO QUEIROZ PEREIRA DE MELO (02.604.364/0001-06)</t>
        </is>
      </c>
      <c r="O2784" s="29" t="n">
        <v>0</v>
      </c>
      <c r="P2784" s="29" t="n">
        <v>0</v>
      </c>
      <c r="Q2784" s="29" t="n">
        <v>0</v>
      </c>
      <c r="R2784" s="29" t="n">
        <v>0</v>
      </c>
      <c r="S2784" s="29" t="n">
        <v>0</v>
      </c>
      <c r="T2784" t="inlineStr">
        <is>
          <t>25260126975620000130570010000062551011001428</t>
        </is>
      </c>
      <c r="U2784" t="inlineStr">
        <is>
          <t>Não</t>
        </is>
      </c>
    </row>
    <row r="2785">
      <c r="A2785" t="inlineStr">
        <is>
          <t>Frete de venda</t>
        </is>
      </c>
      <c r="B2785" t="inlineStr">
        <is>
          <t>2.01.02 Frete sobre Vendas</t>
        </is>
      </c>
      <c r="C2785" s="30" t="n">
        <v>46023</v>
      </c>
      <c r="D2785" t="inlineStr">
        <is>
          <t>Em 2026</t>
        </is>
      </c>
      <c r="E2785" s="28" t="n">
        <v>46050</v>
      </c>
      <c r="F2785" t="inlineStr">
        <is>
          <t>CT-e</t>
        </is>
      </c>
      <c r="G2785" t="inlineStr">
        <is>
          <t>000006256</t>
        </is>
      </c>
      <c r="H2785" t="inlineStr">
        <is>
          <t>R&amp;R TRANSPORTE E LOGISTICA</t>
        </is>
      </c>
      <c r="J2785" s="29" t="n">
        <v>17.21</v>
      </c>
      <c r="K2785" s="29">
        <f>(1-ISNUMBER(SEARCH("556",M2785)))*(O2785*SUMIFS(Premissas!$C$5:$C$44,Premissas!$A$5:$A$44,$A2785,Premissas!$B$5:$B$44,$B2785)+P2785*SUMIFS(Premissas!$D$5:$D$44,Premissas!$A$5:$A$44,$A2785,Premissas!$B$5:$B$44,$B2785))+R2785*SUMIFS(Premissas!$E$5:$E$44,Premissas!$A$5:$A$44,$A2785,Premissas!$B$5:$B$44,$B2785)+S2785*SUMIFS(Premissas!$F$5:$F$44,Premissas!$A$5:$A$44,$A2785,Premissas!$B$5:$B$44,$B2785)</f>
        <v/>
      </c>
      <c r="L2785" s="29">
        <f>J2785-K2785</f>
        <v/>
      </c>
      <c r="M2785" t="inlineStr">
        <is>
          <t>1.350</t>
        </is>
      </c>
      <c r="N2785" t="inlineStr">
        <is>
          <t>Modalidade: 0 - Por conta do remetente | Parte: DOCE FESTA EMBALAGENS E BOMBONIERE LTDA (31.898.437/0001-18)</t>
        </is>
      </c>
      <c r="O2785" s="29" t="n">
        <v>0</v>
      </c>
      <c r="P2785" s="29" t="n">
        <v>0</v>
      </c>
      <c r="Q2785" s="29" t="n">
        <v>0</v>
      </c>
      <c r="R2785" s="29" t="n">
        <v>0</v>
      </c>
      <c r="S2785" s="29" t="n">
        <v>0</v>
      </c>
      <c r="T2785" t="inlineStr">
        <is>
          <t>25260126975620000130570010000062561001701505</t>
        </is>
      </c>
      <c r="U2785" t="inlineStr">
        <is>
          <t>Não</t>
        </is>
      </c>
    </row>
    <row r="2786">
      <c r="A2786" t="inlineStr">
        <is>
          <t>Frete de venda</t>
        </is>
      </c>
      <c r="B2786" t="inlineStr">
        <is>
          <t>2.01.02 Frete sobre Vendas</t>
        </is>
      </c>
      <c r="C2786" s="30" t="n">
        <v>46023</v>
      </c>
      <c r="D2786" t="inlineStr">
        <is>
          <t>Em 2026</t>
        </is>
      </c>
      <c r="E2786" s="28" t="n">
        <v>46050</v>
      </c>
      <c r="F2786" t="inlineStr">
        <is>
          <t>CT-e</t>
        </is>
      </c>
      <c r="G2786" t="inlineStr">
        <is>
          <t>000006257</t>
        </is>
      </c>
      <c r="H2786" t="inlineStr">
        <is>
          <t>R&amp;R TRANSPORTE E LOGISTICA</t>
        </is>
      </c>
      <c r="J2786" s="29" t="n">
        <v>23.72</v>
      </c>
      <c r="K2786" s="29">
        <f>(1-ISNUMBER(SEARCH("556",M2786)))*(O2786*SUMIFS(Premissas!$C$5:$C$44,Premissas!$A$5:$A$44,$A2786,Premissas!$B$5:$B$44,$B2786)+P2786*SUMIFS(Premissas!$D$5:$D$44,Premissas!$A$5:$A$44,$A2786,Premissas!$B$5:$B$44,$B2786))+R2786*SUMIFS(Premissas!$E$5:$E$44,Premissas!$A$5:$A$44,$A2786,Premissas!$B$5:$B$44,$B2786)+S2786*SUMIFS(Premissas!$F$5:$F$44,Premissas!$A$5:$A$44,$A2786,Premissas!$B$5:$B$44,$B2786)</f>
        <v/>
      </c>
      <c r="L2786" s="29">
        <f>J2786-K2786</f>
        <v/>
      </c>
      <c r="M2786" t="inlineStr">
        <is>
          <t>1.350</t>
        </is>
      </c>
      <c r="N2786" t="inlineStr">
        <is>
          <t>Modalidade: 0 - Por conta do remetente | Parte: AURIZETE BEZERRA DE CERQUEIRA ANDRADE (05.459.500/0001-00)</t>
        </is>
      </c>
      <c r="O2786" s="29" t="n">
        <v>0</v>
      </c>
      <c r="P2786" s="29" t="n">
        <v>0</v>
      </c>
      <c r="Q2786" s="29" t="n">
        <v>0</v>
      </c>
      <c r="R2786" s="29" t="n">
        <v>0</v>
      </c>
      <c r="S2786" s="29" t="n">
        <v>0</v>
      </c>
      <c r="T2786" t="inlineStr">
        <is>
          <t>25260126975620000130570010000062571001401584</t>
        </is>
      </c>
      <c r="U2786" t="inlineStr">
        <is>
          <t>Não</t>
        </is>
      </c>
    </row>
    <row r="2787">
      <c r="A2787" t="inlineStr">
        <is>
          <t>Frete de venda</t>
        </is>
      </c>
      <c r="B2787" t="inlineStr">
        <is>
          <t>2.01.02 Frete sobre Vendas</t>
        </is>
      </c>
      <c r="C2787" s="30" t="n">
        <v>46023</v>
      </c>
      <c r="D2787" t="inlineStr">
        <is>
          <t>Em 2026</t>
        </is>
      </c>
      <c r="E2787" s="28" t="n">
        <v>46050</v>
      </c>
      <c r="F2787" t="inlineStr">
        <is>
          <t>CT-e</t>
        </is>
      </c>
      <c r="G2787" t="inlineStr">
        <is>
          <t>000006258</t>
        </is>
      </c>
      <c r="H2787" t="inlineStr">
        <is>
          <t>R&amp;R TRANSPORTE E LOGISTICA</t>
        </is>
      </c>
      <c r="J2787" s="29" t="n">
        <v>11.97</v>
      </c>
      <c r="K2787" s="29">
        <f>(1-ISNUMBER(SEARCH("556",M2787)))*(O2787*SUMIFS(Premissas!$C$5:$C$44,Premissas!$A$5:$A$44,$A2787,Premissas!$B$5:$B$44,$B2787)+P2787*SUMIFS(Premissas!$D$5:$D$44,Premissas!$A$5:$A$44,$A2787,Premissas!$B$5:$B$44,$B2787))+R2787*SUMIFS(Premissas!$E$5:$E$44,Premissas!$A$5:$A$44,$A2787,Premissas!$B$5:$B$44,$B2787)+S2787*SUMIFS(Premissas!$F$5:$F$44,Premissas!$A$5:$A$44,$A2787,Premissas!$B$5:$B$44,$B2787)</f>
        <v/>
      </c>
      <c r="L2787" s="29">
        <f>J2787-K2787</f>
        <v/>
      </c>
      <c r="M2787" t="inlineStr">
        <is>
          <t>1.350</t>
        </is>
      </c>
      <c r="N2787" t="inlineStr">
        <is>
          <t>Modalidade: 0 - Por conta do remetente | Parte: MIRA DOCES LTDA (11.152.556/0001-10)</t>
        </is>
      </c>
      <c r="O2787" s="29" t="n">
        <v>0</v>
      </c>
      <c r="P2787" s="29" t="n">
        <v>0</v>
      </c>
      <c r="Q2787" s="29" t="n">
        <v>0</v>
      </c>
      <c r="R2787" s="29" t="n">
        <v>0</v>
      </c>
      <c r="S2787" s="29" t="n">
        <v>0</v>
      </c>
      <c r="T2787" t="inlineStr">
        <is>
          <t>25260126975620000130570010000062581001101669</t>
        </is>
      </c>
      <c r="U2787" t="inlineStr">
        <is>
          <t>Não</t>
        </is>
      </c>
    </row>
    <row r="2788">
      <c r="A2788" t="inlineStr">
        <is>
          <t>Frete de venda</t>
        </is>
      </c>
      <c r="B2788" t="inlineStr">
        <is>
          <t>2.01.02 Frete sobre Vendas</t>
        </is>
      </c>
      <c r="C2788" s="30" t="n">
        <v>46023</v>
      </c>
      <c r="D2788" t="inlineStr">
        <is>
          <t>Em 2026</t>
        </is>
      </c>
      <c r="E2788" s="28" t="n">
        <v>46051</v>
      </c>
      <c r="F2788" t="inlineStr">
        <is>
          <t>CT-e</t>
        </is>
      </c>
      <c r="G2788" t="inlineStr">
        <is>
          <t>000006265</t>
        </is>
      </c>
      <c r="H2788" t="inlineStr">
        <is>
          <t>R&amp;R TRANSPORTE E LOGISTICA</t>
        </is>
      </c>
      <c r="J2788" s="29" t="n">
        <v>47.9</v>
      </c>
      <c r="K2788" s="29">
        <f>(1-ISNUMBER(SEARCH("556",M2788)))*(O2788*SUMIFS(Premissas!$C$5:$C$44,Premissas!$A$5:$A$44,$A2788,Premissas!$B$5:$B$44,$B2788)+P2788*SUMIFS(Premissas!$D$5:$D$44,Premissas!$A$5:$A$44,$A2788,Premissas!$B$5:$B$44,$B2788))+R2788*SUMIFS(Premissas!$E$5:$E$44,Premissas!$A$5:$A$44,$A2788,Premissas!$B$5:$B$44,$B2788)+S2788*SUMIFS(Premissas!$F$5:$F$44,Premissas!$A$5:$A$44,$A2788,Premissas!$B$5:$B$44,$B2788)</f>
        <v/>
      </c>
      <c r="L2788" s="29">
        <f>J2788-K2788</f>
        <v/>
      </c>
      <c r="M2788" t="inlineStr">
        <is>
          <t>1.350</t>
        </is>
      </c>
      <c r="N2788" t="inlineStr">
        <is>
          <t>Modalidade: 0 - Por conta do remetente | Parte: AP SACARIA EMBALAGENS LTDA (20.402.088/0001-85)</t>
        </is>
      </c>
      <c r="O2788" s="29" t="n">
        <v>0</v>
      </c>
      <c r="P2788" s="29" t="n">
        <v>0</v>
      </c>
      <c r="Q2788" s="29" t="n">
        <v>0</v>
      </c>
      <c r="R2788" s="29" t="n">
        <v>0</v>
      </c>
      <c r="S2788" s="29" t="n">
        <v>0</v>
      </c>
      <c r="T2788" t="inlineStr">
        <is>
          <t>25260126975620000130570010000062651001801738</t>
        </is>
      </c>
      <c r="U2788" t="inlineStr">
        <is>
          <t>Não</t>
        </is>
      </c>
    </row>
    <row r="2789">
      <c r="A2789" t="inlineStr">
        <is>
          <t>Frete de venda</t>
        </is>
      </c>
      <c r="B2789" t="inlineStr">
        <is>
          <t>2.01.02 Frete sobre Vendas</t>
        </is>
      </c>
      <c r="C2789" s="30" t="n">
        <v>46023</v>
      </c>
      <c r="D2789" t="inlineStr">
        <is>
          <t>Em 2026</t>
        </is>
      </c>
      <c r="E2789" s="28" t="n">
        <v>46051</v>
      </c>
      <c r="F2789" t="inlineStr">
        <is>
          <t>CT-e</t>
        </is>
      </c>
      <c r="G2789" t="inlineStr">
        <is>
          <t>000006266</t>
        </is>
      </c>
      <c r="H2789" t="inlineStr">
        <is>
          <t>R&amp;R TRANSPORTE E LOGISTICA</t>
        </is>
      </c>
      <c r="J2789" s="29" t="n">
        <v>51.52</v>
      </c>
      <c r="K2789" s="29">
        <f>(1-ISNUMBER(SEARCH("556",M2789)))*(O2789*SUMIFS(Premissas!$C$5:$C$44,Premissas!$A$5:$A$44,$A2789,Premissas!$B$5:$B$44,$B2789)+P2789*SUMIFS(Premissas!$D$5:$D$44,Premissas!$A$5:$A$44,$A2789,Premissas!$B$5:$B$44,$B2789))+R2789*SUMIFS(Premissas!$E$5:$E$44,Premissas!$A$5:$A$44,$A2789,Premissas!$B$5:$B$44,$B2789)+S2789*SUMIFS(Premissas!$F$5:$F$44,Premissas!$A$5:$A$44,$A2789,Premissas!$B$5:$B$44,$B2789)</f>
        <v/>
      </c>
      <c r="L2789" s="29">
        <f>J2789-K2789</f>
        <v/>
      </c>
      <c r="M2789" t="inlineStr">
        <is>
          <t>1.350</t>
        </is>
      </c>
      <c r="N2789" t="inlineStr">
        <is>
          <t>Modalidade: 0 - Por conta do remetente | Parte: SELLPACK DISTRIBUIDORA LTDA (07.747.107/0001-47)</t>
        </is>
      </c>
      <c r="O2789" s="29" t="n">
        <v>0</v>
      </c>
      <c r="P2789" s="29" t="n">
        <v>0</v>
      </c>
      <c r="Q2789" s="29" t="n">
        <v>0</v>
      </c>
      <c r="R2789" s="29" t="n">
        <v>0</v>
      </c>
      <c r="S2789" s="29" t="n">
        <v>0</v>
      </c>
      <c r="T2789" t="inlineStr">
        <is>
          <t>25260126975620000130570010000062661001901080</t>
        </is>
      </c>
      <c r="U2789" t="inlineStr">
        <is>
          <t>Não</t>
        </is>
      </c>
    </row>
    <row r="2790">
      <c r="A2790" t="inlineStr">
        <is>
          <t>Frete de venda</t>
        </is>
      </c>
      <c r="B2790" t="inlineStr">
        <is>
          <t>2.01.02 Frete sobre Vendas</t>
        </is>
      </c>
      <c r="C2790" s="30" t="n">
        <v>46023</v>
      </c>
      <c r="D2790" t="inlineStr">
        <is>
          <t>Em 2026</t>
        </is>
      </c>
      <c r="E2790" s="28" t="n">
        <v>46051</v>
      </c>
      <c r="F2790" t="inlineStr">
        <is>
          <t>CT-e</t>
        </is>
      </c>
      <c r="G2790" t="inlineStr">
        <is>
          <t>000006267</t>
        </is>
      </c>
      <c r="H2790" t="inlineStr">
        <is>
          <t>R&amp;R TRANSPORTE E LOGISTICA</t>
        </is>
      </c>
      <c r="J2790" s="29" t="n">
        <v>46.44</v>
      </c>
      <c r="K2790" s="29">
        <f>(1-ISNUMBER(SEARCH("556",M2790)))*(O2790*SUMIFS(Premissas!$C$5:$C$44,Premissas!$A$5:$A$44,$A2790,Premissas!$B$5:$B$44,$B2790)+P2790*SUMIFS(Premissas!$D$5:$D$44,Premissas!$A$5:$A$44,$A2790,Premissas!$B$5:$B$44,$B2790))+R2790*SUMIFS(Premissas!$E$5:$E$44,Premissas!$A$5:$A$44,$A2790,Premissas!$B$5:$B$44,$B2790)+S2790*SUMIFS(Premissas!$F$5:$F$44,Premissas!$A$5:$A$44,$A2790,Premissas!$B$5:$B$44,$B2790)</f>
        <v/>
      </c>
      <c r="L2790" s="29">
        <f>J2790-K2790</f>
        <v/>
      </c>
      <c r="M2790" t="inlineStr">
        <is>
          <t>1.350</t>
        </is>
      </c>
      <c r="N2790" t="inlineStr">
        <is>
          <t>Modalidade: 0 - Por conta do remetente | Parte: HENRYPLAST COMERCIO DE EMBALAGENS LTDA (35.652.773/0001-37)</t>
        </is>
      </c>
      <c r="O2790" s="29" t="n">
        <v>0</v>
      </c>
      <c r="P2790" s="29" t="n">
        <v>0</v>
      </c>
      <c r="Q2790" s="29" t="n">
        <v>0</v>
      </c>
      <c r="R2790" s="29" t="n">
        <v>0</v>
      </c>
      <c r="S2790" s="29" t="n">
        <v>0</v>
      </c>
      <c r="T2790" t="inlineStr">
        <is>
          <t>25260126975620000130570010000062671001601164</t>
        </is>
      </c>
      <c r="U2790" t="inlineStr">
        <is>
          <t>Não</t>
        </is>
      </c>
    </row>
    <row r="2791">
      <c r="A2791" t="inlineStr">
        <is>
          <t>Frete de venda</t>
        </is>
      </c>
      <c r="B2791" t="inlineStr">
        <is>
          <t>2.01.02 Frete sobre Vendas</t>
        </is>
      </c>
      <c r="C2791" s="30" t="n">
        <v>46023</v>
      </c>
      <c r="D2791" t="inlineStr">
        <is>
          <t>Em 2026</t>
        </is>
      </c>
      <c r="E2791" s="28" t="n">
        <v>46051</v>
      </c>
      <c r="F2791" t="inlineStr">
        <is>
          <t>CT-e</t>
        </is>
      </c>
      <c r="G2791" t="inlineStr">
        <is>
          <t>000006268</t>
        </is>
      </c>
      <c r="H2791" t="inlineStr">
        <is>
          <t>R&amp;R TRANSPORTE E LOGISTICA</t>
        </is>
      </c>
      <c r="J2791" s="29" t="n">
        <v>35.55</v>
      </c>
      <c r="K2791" s="29">
        <f>(1-ISNUMBER(SEARCH("556",M2791)))*(O2791*SUMIFS(Premissas!$C$5:$C$44,Premissas!$A$5:$A$44,$A2791,Premissas!$B$5:$B$44,$B2791)+P2791*SUMIFS(Premissas!$D$5:$D$44,Premissas!$A$5:$A$44,$A2791,Premissas!$B$5:$B$44,$B2791))+R2791*SUMIFS(Premissas!$E$5:$E$44,Premissas!$A$5:$A$44,$A2791,Premissas!$B$5:$B$44,$B2791)+S2791*SUMIFS(Premissas!$F$5:$F$44,Premissas!$A$5:$A$44,$A2791,Premissas!$B$5:$B$44,$B2791)</f>
        <v/>
      </c>
      <c r="L2791" s="29">
        <f>J2791-K2791</f>
        <v/>
      </c>
      <c r="M2791" t="inlineStr">
        <is>
          <t>1.350</t>
        </is>
      </c>
      <c r="N2791" t="inlineStr">
        <is>
          <t>Modalidade: 0 - Por conta do remetente | Parte: R C SOARES DISTRIBUIDORA E COMERCIO DE DESCARTAVEIS LTDA. (38.078.643/0001-20)</t>
        </is>
      </c>
      <c r="O2791" s="29" t="n">
        <v>0</v>
      </c>
      <c r="P2791" s="29" t="n">
        <v>0</v>
      </c>
      <c r="Q2791" s="29" t="n">
        <v>0</v>
      </c>
      <c r="R2791" s="29" t="n">
        <v>0</v>
      </c>
      <c r="S2791" s="29" t="n">
        <v>0</v>
      </c>
      <c r="T2791" t="inlineStr">
        <is>
          <t>25260126975620000130570010000062681001301249</t>
        </is>
      </c>
      <c r="U2791" t="inlineStr">
        <is>
          <t>Não</t>
        </is>
      </c>
    </row>
    <row r="2792">
      <c r="A2792" t="inlineStr">
        <is>
          <t>Frete de venda</t>
        </is>
      </c>
      <c r="B2792" t="inlineStr">
        <is>
          <t>2.01.02 Frete sobre Vendas</t>
        </is>
      </c>
      <c r="C2792" s="30" t="n">
        <v>46023</v>
      </c>
      <c r="D2792" t="inlineStr">
        <is>
          <t>Em 2026</t>
        </is>
      </c>
      <c r="E2792" s="28" t="n">
        <v>46051</v>
      </c>
      <c r="F2792" t="inlineStr">
        <is>
          <t>CT-e</t>
        </is>
      </c>
      <c r="G2792" t="inlineStr">
        <is>
          <t>000006269</t>
        </is>
      </c>
      <c r="H2792" t="inlineStr">
        <is>
          <t>R&amp;R TRANSPORTE E LOGISTICA</t>
        </is>
      </c>
      <c r="J2792" s="29" t="n">
        <v>110.08</v>
      </c>
      <c r="K2792" s="29">
        <f>(1-ISNUMBER(SEARCH("556",M2792)))*(O2792*SUMIFS(Premissas!$C$5:$C$44,Premissas!$A$5:$A$44,$A2792,Premissas!$B$5:$B$44,$B2792)+P2792*SUMIFS(Premissas!$D$5:$D$44,Premissas!$A$5:$A$44,$A2792,Premissas!$B$5:$B$44,$B2792))+R2792*SUMIFS(Premissas!$E$5:$E$44,Premissas!$A$5:$A$44,$A2792,Premissas!$B$5:$B$44,$B2792)+S2792*SUMIFS(Premissas!$F$5:$F$44,Premissas!$A$5:$A$44,$A2792,Premissas!$B$5:$B$44,$B2792)</f>
        <v/>
      </c>
      <c r="L2792" s="29">
        <f>J2792-K2792</f>
        <v/>
      </c>
      <c r="M2792" t="inlineStr">
        <is>
          <t>1.350</t>
        </is>
      </c>
      <c r="N2792" t="inlineStr">
        <is>
          <t>Modalidade: 0 - Por conta do remetente | Parte: SAL DA TERRA COMERCIO DESCARTAVEIS LTDA (12.076.153/0001-00)</t>
        </is>
      </c>
      <c r="O2792" s="29" t="n">
        <v>0</v>
      </c>
      <c r="P2792" s="29" t="n">
        <v>0</v>
      </c>
      <c r="Q2792" s="29" t="n">
        <v>0</v>
      </c>
      <c r="R2792" s="29" t="n">
        <v>0</v>
      </c>
      <c r="S2792" s="29" t="n">
        <v>0</v>
      </c>
      <c r="T2792" t="inlineStr">
        <is>
          <t>25260126975620000130570010000062691000101324</t>
        </is>
      </c>
      <c r="U2792" t="inlineStr">
        <is>
          <t>Não</t>
        </is>
      </c>
    </row>
    <row r="2793">
      <c r="A2793" t="inlineStr">
        <is>
          <t>Frete de venda</t>
        </is>
      </c>
      <c r="B2793" t="inlineStr">
        <is>
          <t>2.01.02 Frete sobre Vendas</t>
        </is>
      </c>
      <c r="C2793" s="30" t="n">
        <v>46023</v>
      </c>
      <c r="D2793" t="inlineStr">
        <is>
          <t>Em 2026</t>
        </is>
      </c>
      <c r="E2793" s="28" t="n">
        <v>46051</v>
      </c>
      <c r="F2793" t="inlineStr">
        <is>
          <t>CT-e</t>
        </is>
      </c>
      <c r="G2793" t="inlineStr">
        <is>
          <t>000006270</t>
        </is>
      </c>
      <c r="H2793" t="inlineStr">
        <is>
          <t>R&amp;R TRANSPORTE E LOGISTICA</t>
        </is>
      </c>
      <c r="J2793" s="29" t="n">
        <v>54.62</v>
      </c>
      <c r="K2793" s="29">
        <f>(1-ISNUMBER(SEARCH("556",M2793)))*(O2793*SUMIFS(Premissas!$C$5:$C$44,Premissas!$A$5:$A$44,$A2793,Premissas!$B$5:$B$44,$B2793)+P2793*SUMIFS(Premissas!$D$5:$D$44,Premissas!$A$5:$A$44,$A2793,Premissas!$B$5:$B$44,$B2793))+R2793*SUMIFS(Premissas!$E$5:$E$44,Premissas!$A$5:$A$44,$A2793,Premissas!$B$5:$B$44,$B2793)+S2793*SUMIFS(Premissas!$F$5:$F$44,Premissas!$A$5:$A$44,$A2793,Premissas!$B$5:$B$44,$B2793)</f>
        <v/>
      </c>
      <c r="L2793" s="29">
        <f>J2793-K2793</f>
        <v/>
      </c>
      <c r="M2793" t="inlineStr">
        <is>
          <t>1.350</t>
        </is>
      </c>
      <c r="N2793" t="inlineStr">
        <is>
          <t>Modalidade: 0 - Por conta do remetente | Parte: NOVA SERRA PLAST COMERCIO DE EMBALAGENS, ALIMENTOS E UTI... (55.651.203/0001-30)</t>
        </is>
      </c>
      <c r="O2793" s="29" t="n">
        <v>0</v>
      </c>
      <c r="P2793" s="29" t="n">
        <v>0</v>
      </c>
      <c r="Q2793" s="29" t="n">
        <v>0</v>
      </c>
      <c r="R2793" s="29" t="n">
        <v>0</v>
      </c>
      <c r="S2793" s="29" t="n">
        <v>0</v>
      </c>
      <c r="T2793" t="inlineStr">
        <is>
          <t>25260126975620000130570010000062701001801401</t>
        </is>
      </c>
      <c r="U2793" t="inlineStr">
        <is>
          <t>Não</t>
        </is>
      </c>
    </row>
    <row r="2794">
      <c r="A2794" t="inlineStr">
        <is>
          <t>Frete de venda</t>
        </is>
      </c>
      <c r="B2794" t="inlineStr">
        <is>
          <t>2.01.02 Frete sobre Vendas</t>
        </is>
      </c>
      <c r="C2794" s="30" t="n">
        <v>46023</v>
      </c>
      <c r="D2794" t="inlineStr">
        <is>
          <t>Em 2026</t>
        </is>
      </c>
      <c r="E2794" s="28" t="n">
        <v>46053</v>
      </c>
      <c r="F2794" t="inlineStr">
        <is>
          <t>CT-e</t>
        </is>
      </c>
      <c r="G2794" t="inlineStr">
        <is>
          <t>000006279</t>
        </is>
      </c>
      <c r="H2794" t="inlineStr">
        <is>
          <t>R&amp;R TRANSPORTE E LOGISTICA</t>
        </is>
      </c>
      <c r="J2794" s="29" t="n">
        <v>29</v>
      </c>
      <c r="K2794" s="29">
        <f>(1-ISNUMBER(SEARCH("556",M2794)))*(O2794*SUMIFS(Premissas!$C$5:$C$44,Premissas!$A$5:$A$44,$A2794,Premissas!$B$5:$B$44,$B2794)+P2794*SUMIFS(Premissas!$D$5:$D$44,Premissas!$A$5:$A$44,$A2794,Premissas!$B$5:$B$44,$B2794))+R2794*SUMIFS(Premissas!$E$5:$E$44,Premissas!$A$5:$A$44,$A2794,Premissas!$B$5:$B$44,$B2794)+S2794*SUMIFS(Premissas!$F$5:$F$44,Premissas!$A$5:$A$44,$A2794,Premissas!$B$5:$B$44,$B2794)</f>
        <v/>
      </c>
      <c r="L2794" s="29">
        <f>J2794-K2794</f>
        <v/>
      </c>
      <c r="M2794" t="inlineStr">
        <is>
          <t>1.350</t>
        </is>
      </c>
      <c r="N2794" t="inlineStr">
        <is>
          <t>Modalidade: 0 - Por conta do remetente | Parte: ARMAZEM DO QUEIJO COMERCIO DE LATICINIOS LTDA (33.554.984/0001-01)</t>
        </is>
      </c>
      <c r="O2794" s="29" t="n">
        <v>0</v>
      </c>
      <c r="P2794" s="29" t="n">
        <v>0</v>
      </c>
      <c r="Q2794" s="29" t="n">
        <v>0</v>
      </c>
      <c r="R2794" s="29" t="n">
        <v>0</v>
      </c>
      <c r="S2794" s="29" t="n">
        <v>0</v>
      </c>
      <c r="T2794" t="inlineStr">
        <is>
          <t>25260126975620000130570010000062791000101878</t>
        </is>
      </c>
      <c r="U2794" t="inlineStr">
        <is>
          <t>Não</t>
        </is>
      </c>
    </row>
    <row r="2795">
      <c r="A2795" t="inlineStr">
        <is>
          <t>Frete de venda</t>
        </is>
      </c>
      <c r="B2795" t="inlineStr">
        <is>
          <t>2.01.02 Frete sobre Vendas</t>
        </is>
      </c>
      <c r="C2795" s="30" t="n">
        <v>46023</v>
      </c>
      <c r="D2795" t="inlineStr">
        <is>
          <t>Em 2026</t>
        </is>
      </c>
      <c r="E2795" s="28" t="n">
        <v>46053</v>
      </c>
      <c r="F2795" t="inlineStr">
        <is>
          <t>CT-e</t>
        </is>
      </c>
      <c r="G2795" t="inlineStr">
        <is>
          <t>000006280</t>
        </is>
      </c>
      <c r="H2795" t="inlineStr">
        <is>
          <t>R&amp;R TRANSPORTE E LOGISTICA</t>
        </is>
      </c>
      <c r="J2795" s="29" t="n">
        <v>37</v>
      </c>
      <c r="K2795" s="29">
        <f>(1-ISNUMBER(SEARCH("556",M2795)))*(O2795*SUMIFS(Premissas!$C$5:$C$44,Premissas!$A$5:$A$44,$A2795,Premissas!$B$5:$B$44,$B2795)+P2795*SUMIFS(Premissas!$D$5:$D$44,Premissas!$A$5:$A$44,$A2795,Premissas!$B$5:$B$44,$B2795))+R2795*SUMIFS(Premissas!$E$5:$E$44,Premissas!$A$5:$A$44,$A2795,Premissas!$B$5:$B$44,$B2795)+S2795*SUMIFS(Premissas!$F$5:$F$44,Premissas!$A$5:$A$44,$A2795,Premissas!$B$5:$B$44,$B2795)</f>
        <v/>
      </c>
      <c r="L2795" s="29">
        <f>J2795-K2795</f>
        <v/>
      </c>
      <c r="M2795" t="inlineStr">
        <is>
          <t>1.350</t>
        </is>
      </c>
      <c r="N2795" t="inlineStr">
        <is>
          <t>Modalidade: 0 - Por conta do remetente | Parte: ARMAZEM DO QUEIJO COMERCIO DE LATICINIOS LTDA (33.554.984/0002-92)</t>
        </is>
      </c>
      <c r="O2795" s="29" t="n">
        <v>0</v>
      </c>
      <c r="P2795" s="29" t="n">
        <v>0</v>
      </c>
      <c r="Q2795" s="29" t="n">
        <v>0</v>
      </c>
      <c r="R2795" s="29" t="n">
        <v>0</v>
      </c>
      <c r="S2795" s="29" t="n">
        <v>0</v>
      </c>
      <c r="T2795" t="inlineStr">
        <is>
          <t>25260126975620000130570010000062801000130585</t>
        </is>
      </c>
      <c r="U2795" t="inlineStr">
        <is>
          <t>Não</t>
        </is>
      </c>
    </row>
    <row r="2796">
      <c r="A2796" t="inlineStr">
        <is>
          <t>Frete de venda</t>
        </is>
      </c>
      <c r="B2796" t="inlineStr">
        <is>
          <t>2.01.02 Frete sobre Vendas</t>
        </is>
      </c>
      <c r="C2796" s="30" t="n">
        <v>46023</v>
      </c>
      <c r="D2796" t="inlineStr">
        <is>
          <t>Em 2026</t>
        </is>
      </c>
      <c r="E2796" s="28" t="n">
        <v>46053</v>
      </c>
      <c r="F2796" t="inlineStr">
        <is>
          <t>CT-e</t>
        </is>
      </c>
      <c r="G2796" t="inlineStr">
        <is>
          <t>000006281</t>
        </is>
      </c>
      <c r="H2796" t="inlineStr">
        <is>
          <t>R&amp;R TRANSPORTE E LOGISTICA</t>
        </is>
      </c>
      <c r="J2796" s="29" t="n">
        <v>28</v>
      </c>
      <c r="K2796" s="29">
        <f>(1-ISNUMBER(SEARCH("556",M2796)))*(O2796*SUMIFS(Premissas!$C$5:$C$44,Premissas!$A$5:$A$44,$A2796,Premissas!$B$5:$B$44,$B2796)+P2796*SUMIFS(Premissas!$D$5:$D$44,Premissas!$A$5:$A$44,$A2796,Premissas!$B$5:$B$44,$B2796))+R2796*SUMIFS(Premissas!$E$5:$E$44,Premissas!$A$5:$A$44,$A2796,Premissas!$B$5:$B$44,$B2796)+S2796*SUMIFS(Premissas!$F$5:$F$44,Premissas!$A$5:$A$44,$A2796,Premissas!$B$5:$B$44,$B2796)</f>
        <v/>
      </c>
      <c r="L2796" s="29">
        <f>J2796-K2796</f>
        <v/>
      </c>
      <c r="M2796" t="inlineStr">
        <is>
          <t>1.350</t>
        </is>
      </c>
      <c r="N2796" t="inlineStr">
        <is>
          <t>Modalidade: 0 - Por conta do remetente | Parte: ARMAZEM DO QUEIJO ATACAREJO LTDA (47.477.316/0001-32)</t>
        </is>
      </c>
      <c r="O2796" s="29" t="n">
        <v>0</v>
      </c>
      <c r="P2796" s="29" t="n">
        <v>0</v>
      </c>
      <c r="Q2796" s="29" t="n">
        <v>0</v>
      </c>
      <c r="R2796" s="29" t="n">
        <v>0</v>
      </c>
      <c r="S2796" s="29" t="n">
        <v>0</v>
      </c>
      <c r="T2796" t="inlineStr">
        <is>
          <t>25260126975620000130570010000062811000010668</t>
        </is>
      </c>
      <c r="U2796" t="inlineStr">
        <is>
          <t>Não</t>
        </is>
      </c>
    </row>
    <row r="2797">
      <c r="A2797" t="inlineStr">
        <is>
          <t>Frete de venda</t>
        </is>
      </c>
      <c r="B2797" t="inlineStr">
        <is>
          <t>2.01.02 Frete sobre Vendas</t>
        </is>
      </c>
      <c r="C2797" s="30" t="n">
        <v>46023</v>
      </c>
      <c r="D2797" t="inlineStr">
        <is>
          <t>Em 2026</t>
        </is>
      </c>
      <c r="E2797" s="28" t="n">
        <v>46053</v>
      </c>
      <c r="F2797" t="inlineStr">
        <is>
          <t>CT-e</t>
        </is>
      </c>
      <c r="G2797" t="inlineStr">
        <is>
          <t>000006282</t>
        </is>
      </c>
      <c r="H2797" t="inlineStr">
        <is>
          <t>R&amp;R TRANSPORTE E LOGISTICA</t>
        </is>
      </c>
      <c r="J2797" s="29" t="n">
        <v>26</v>
      </c>
      <c r="K2797" s="29">
        <f>(1-ISNUMBER(SEARCH("556",M2797)))*(O2797*SUMIFS(Premissas!$C$5:$C$44,Premissas!$A$5:$A$44,$A2797,Premissas!$B$5:$B$44,$B2797)+P2797*SUMIFS(Premissas!$D$5:$D$44,Premissas!$A$5:$A$44,$A2797,Premissas!$B$5:$B$44,$B2797))+R2797*SUMIFS(Premissas!$E$5:$E$44,Premissas!$A$5:$A$44,$A2797,Premissas!$B$5:$B$44,$B2797)+S2797*SUMIFS(Premissas!$F$5:$F$44,Premissas!$A$5:$A$44,$A2797,Premissas!$B$5:$B$44,$B2797)</f>
        <v/>
      </c>
      <c r="L2797" s="29">
        <f>J2797-K2797</f>
        <v/>
      </c>
      <c r="M2797" t="inlineStr">
        <is>
          <t>1.350</t>
        </is>
      </c>
      <c r="N2797" t="inlineStr">
        <is>
          <t>Modalidade: 0 - Por conta do remetente | Parte: GOL COMERCIO VAREJISTA DE EMBALAGENS LTDA (38.304.923/0001-00)</t>
        </is>
      </c>
      <c r="O2797" s="29" t="n">
        <v>0</v>
      </c>
      <c r="P2797" s="29" t="n">
        <v>0</v>
      </c>
      <c r="Q2797" s="29" t="n">
        <v>0</v>
      </c>
      <c r="R2797" s="29" t="n">
        <v>0</v>
      </c>
      <c r="S2797" s="29" t="n">
        <v>0</v>
      </c>
      <c r="T2797" t="inlineStr">
        <is>
          <t>25260126975620000130570010000062821000180749</t>
        </is>
      </c>
      <c r="U2797" t="inlineStr">
        <is>
          <t>Não</t>
        </is>
      </c>
    </row>
    <row r="2798">
      <c r="A2798" t="inlineStr">
        <is>
          <t>Frete de venda</t>
        </is>
      </c>
      <c r="B2798" t="inlineStr">
        <is>
          <t>2.01.02 Frete sobre Vendas</t>
        </is>
      </c>
      <c r="C2798" s="30" t="n">
        <v>46023</v>
      </c>
      <c r="D2798" t="inlineStr">
        <is>
          <t>Em 2026</t>
        </is>
      </c>
      <c r="E2798" s="28" t="n">
        <v>46053</v>
      </c>
      <c r="F2798" t="inlineStr">
        <is>
          <t>CT-e</t>
        </is>
      </c>
      <c r="G2798" t="inlineStr">
        <is>
          <t>000006283</t>
        </is>
      </c>
      <c r="H2798" t="inlineStr">
        <is>
          <t>R&amp;R TRANSPORTE E LOGISTICA</t>
        </is>
      </c>
      <c r="J2798" s="29" t="n">
        <v>25</v>
      </c>
      <c r="K2798" s="29">
        <f>(1-ISNUMBER(SEARCH("556",M2798)))*(O2798*SUMIFS(Premissas!$C$5:$C$44,Premissas!$A$5:$A$44,$A2798,Premissas!$B$5:$B$44,$B2798)+P2798*SUMIFS(Premissas!$D$5:$D$44,Premissas!$A$5:$A$44,$A2798,Premissas!$B$5:$B$44,$B2798))+R2798*SUMIFS(Premissas!$E$5:$E$44,Premissas!$A$5:$A$44,$A2798,Premissas!$B$5:$B$44,$B2798)+S2798*SUMIFS(Premissas!$F$5:$F$44,Premissas!$A$5:$A$44,$A2798,Premissas!$B$5:$B$44,$B2798)</f>
        <v/>
      </c>
      <c r="L2798" s="29">
        <f>J2798-K2798</f>
        <v/>
      </c>
      <c r="M2798" t="inlineStr">
        <is>
          <t>1.350</t>
        </is>
      </c>
      <c r="N2798" t="inlineStr">
        <is>
          <t>Modalidade: 0 - Por conta do remetente | Parte: ROSILEIDE DE SOUZA ALVES MRM FRIOS (29.921.695/0001-26)</t>
        </is>
      </c>
      <c r="O2798" s="29" t="n">
        <v>0</v>
      </c>
      <c r="P2798" s="29" t="n">
        <v>0</v>
      </c>
      <c r="Q2798" s="29" t="n">
        <v>0</v>
      </c>
      <c r="R2798" s="29" t="n">
        <v>0</v>
      </c>
      <c r="S2798" s="29" t="n">
        <v>0</v>
      </c>
      <c r="T2798" t="inlineStr">
        <is>
          <t>25260126975620000130570010000062831000150820</t>
        </is>
      </c>
      <c r="U2798" t="inlineStr">
        <is>
          <t>Não</t>
        </is>
      </c>
    </row>
    <row r="2799">
      <c r="A2799" t="inlineStr">
        <is>
          <t>Frete de venda</t>
        </is>
      </c>
      <c r="B2799" t="inlineStr">
        <is>
          <t>2.01.02 Frete sobre Vendas</t>
        </is>
      </c>
      <c r="C2799" s="30" t="n">
        <v>46023</v>
      </c>
      <c r="D2799" t="inlineStr">
        <is>
          <t>Em 2026</t>
        </is>
      </c>
      <c r="E2799" s="28" t="n">
        <v>46053</v>
      </c>
      <c r="F2799" t="inlineStr">
        <is>
          <t>CT-e</t>
        </is>
      </c>
      <c r="G2799" t="inlineStr">
        <is>
          <t>000006284</t>
        </is>
      </c>
      <c r="H2799" t="inlineStr">
        <is>
          <t>R&amp;R TRANSPORTE E LOGISTICA</t>
        </is>
      </c>
      <c r="J2799" s="29" t="n">
        <v>107.99</v>
      </c>
      <c r="K2799" s="29">
        <f>(1-ISNUMBER(SEARCH("556",M2799)))*(O2799*SUMIFS(Premissas!$C$5:$C$44,Premissas!$A$5:$A$44,$A2799,Premissas!$B$5:$B$44,$B2799)+P2799*SUMIFS(Premissas!$D$5:$D$44,Premissas!$A$5:$A$44,$A2799,Premissas!$B$5:$B$44,$B2799))+R2799*SUMIFS(Premissas!$E$5:$E$44,Premissas!$A$5:$A$44,$A2799,Premissas!$B$5:$B$44,$B2799)+S2799*SUMIFS(Premissas!$F$5:$F$44,Premissas!$A$5:$A$44,$A2799,Premissas!$B$5:$B$44,$B2799)</f>
        <v/>
      </c>
      <c r="L2799" s="29">
        <f>J2799-K2799</f>
        <v/>
      </c>
      <c r="M2799" t="inlineStr">
        <is>
          <t>1.350</t>
        </is>
      </c>
      <c r="N2799" t="inlineStr">
        <is>
          <t>Modalidade: 0 - Por conta do remetente | Parte: RODRIGUES E CIA LTDA (26.144.570/0001-49)</t>
        </is>
      </c>
      <c r="O2799" s="29" t="n">
        <v>0</v>
      </c>
      <c r="P2799" s="29" t="n">
        <v>0</v>
      </c>
      <c r="Q2799" s="29" t="n">
        <v>0</v>
      </c>
      <c r="R2799" s="29" t="n">
        <v>0</v>
      </c>
      <c r="S2799" s="29" t="n">
        <v>0</v>
      </c>
      <c r="T2799" t="inlineStr">
        <is>
          <t>25260126975620000130570010000062841000120902</t>
        </is>
      </c>
      <c r="U2799" t="inlineStr">
        <is>
          <t>Não</t>
        </is>
      </c>
    </row>
    <row r="2800">
      <c r="A2800" t="inlineStr">
        <is>
          <t>Frete de venda</t>
        </is>
      </c>
      <c r="B2800" t="inlineStr">
        <is>
          <t>2.01.02 Frete sobre Vendas</t>
        </is>
      </c>
      <c r="C2800" s="30" t="n">
        <v>46023</v>
      </c>
      <c r="D2800" t="inlineStr">
        <is>
          <t>Em 2026</t>
        </is>
      </c>
      <c r="E2800" s="28" t="n">
        <v>46053</v>
      </c>
      <c r="F2800" t="inlineStr">
        <is>
          <t>CT-e</t>
        </is>
      </c>
      <c r="G2800" t="inlineStr">
        <is>
          <t>000006285</t>
        </is>
      </c>
      <c r="H2800" t="inlineStr">
        <is>
          <t>R&amp;R TRANSPORTE E LOGISTICA</t>
        </is>
      </c>
      <c r="J2800" s="29" t="n">
        <v>30</v>
      </c>
      <c r="K2800" s="29">
        <f>(1-ISNUMBER(SEARCH("556",M2800)))*(O2800*SUMIFS(Premissas!$C$5:$C$44,Premissas!$A$5:$A$44,$A2800,Premissas!$B$5:$B$44,$B2800)+P2800*SUMIFS(Premissas!$D$5:$D$44,Premissas!$A$5:$A$44,$A2800,Premissas!$B$5:$B$44,$B2800))+R2800*SUMIFS(Premissas!$E$5:$E$44,Premissas!$A$5:$A$44,$A2800,Premissas!$B$5:$B$44,$B2800)+S2800*SUMIFS(Premissas!$F$5:$F$44,Premissas!$A$5:$A$44,$A2800,Premissas!$B$5:$B$44,$B2800)</f>
        <v/>
      </c>
      <c r="L2800" s="29">
        <f>J2800-K2800</f>
        <v/>
      </c>
      <c r="M2800" t="inlineStr">
        <is>
          <t>1.350</t>
        </is>
      </c>
      <c r="N2800" t="inlineStr">
        <is>
          <t>Modalidade: 0 - Por conta do remetente | Parte: TYGER ATACADISTA E DISTRIBUIDORA LTDA (36.978.497/0001-64)</t>
        </is>
      </c>
      <c r="O2800" s="29" t="n">
        <v>0</v>
      </c>
      <c r="P2800" s="29" t="n">
        <v>0</v>
      </c>
      <c r="Q2800" s="29" t="n">
        <v>0</v>
      </c>
      <c r="R2800" s="29" t="n">
        <v>0</v>
      </c>
      <c r="S2800" s="29" t="n">
        <v>0</v>
      </c>
      <c r="T2800" t="inlineStr">
        <is>
          <t>25260126975620000130570010000062851001100988</t>
        </is>
      </c>
      <c r="U2800" t="inlineStr">
        <is>
          <t>Não</t>
        </is>
      </c>
    </row>
    <row r="2801">
      <c r="A2801" t="inlineStr">
        <is>
          <t>Frete de venda</t>
        </is>
      </c>
      <c r="B2801" t="inlineStr">
        <is>
          <t>2.01.02 Frete sobre Vendas</t>
        </is>
      </c>
      <c r="C2801" s="30" t="n">
        <v>46023</v>
      </c>
      <c r="D2801" t="inlineStr">
        <is>
          <t>Em 2026</t>
        </is>
      </c>
      <c r="E2801" s="28" t="n">
        <v>46053</v>
      </c>
      <c r="F2801" t="inlineStr">
        <is>
          <t>CT-e</t>
        </is>
      </c>
      <c r="G2801" t="inlineStr">
        <is>
          <t>000006286</t>
        </is>
      </c>
      <c r="H2801" t="inlineStr">
        <is>
          <t>R&amp;R TRANSPORTE E LOGISTICA</t>
        </is>
      </c>
      <c r="J2801" s="29" t="n">
        <v>34</v>
      </c>
      <c r="K2801" s="29">
        <f>(1-ISNUMBER(SEARCH("556",M2801)))*(O2801*SUMIFS(Premissas!$C$5:$C$44,Premissas!$A$5:$A$44,$A2801,Premissas!$B$5:$B$44,$B2801)+P2801*SUMIFS(Premissas!$D$5:$D$44,Premissas!$A$5:$A$44,$A2801,Premissas!$B$5:$B$44,$B2801))+R2801*SUMIFS(Premissas!$E$5:$E$44,Premissas!$A$5:$A$44,$A2801,Premissas!$B$5:$B$44,$B2801)+S2801*SUMIFS(Premissas!$F$5:$F$44,Premissas!$A$5:$A$44,$A2801,Premissas!$B$5:$B$44,$B2801)</f>
        <v/>
      </c>
      <c r="L2801" s="29">
        <f>J2801-K2801</f>
        <v/>
      </c>
      <c r="M2801" t="inlineStr">
        <is>
          <t>1.350</t>
        </is>
      </c>
      <c r="N2801" t="inlineStr">
        <is>
          <t>Modalidade: 0 - Por conta do remetente | Parte: SOL COMERCIO DE EMBALAGENS LTDA (48.993.949/0001-66)</t>
        </is>
      </c>
      <c r="O2801" s="29" t="n">
        <v>0</v>
      </c>
      <c r="P2801" s="29" t="n">
        <v>0</v>
      </c>
      <c r="Q2801" s="29" t="n">
        <v>0</v>
      </c>
      <c r="R2801" s="29" t="n">
        <v>0</v>
      </c>
      <c r="S2801" s="29" t="n">
        <v>0</v>
      </c>
      <c r="T2801" t="inlineStr">
        <is>
          <t>25260126975620000130570010000062861001701067</t>
        </is>
      </c>
      <c r="U2801" t="inlineStr">
        <is>
          <t>Não</t>
        </is>
      </c>
    </row>
    <row r="2802">
      <c r="A2802" t="inlineStr">
        <is>
          <t>Frete de venda</t>
        </is>
      </c>
      <c r="B2802" t="inlineStr">
        <is>
          <t>2.01.02 Frete sobre Vendas</t>
        </is>
      </c>
      <c r="C2802" s="30" t="n">
        <v>46023</v>
      </c>
      <c r="D2802" t="inlineStr">
        <is>
          <t>Em 2026</t>
        </is>
      </c>
      <c r="E2802" s="28" t="n">
        <v>46053</v>
      </c>
      <c r="F2802" t="inlineStr">
        <is>
          <t>CT-e</t>
        </is>
      </c>
      <c r="G2802" t="inlineStr">
        <is>
          <t>000006287</t>
        </is>
      </c>
      <c r="H2802" t="inlineStr">
        <is>
          <t>R&amp;R TRANSPORTE E LOGISTICA</t>
        </is>
      </c>
      <c r="J2802" s="29" t="n">
        <v>25</v>
      </c>
      <c r="K2802" s="29">
        <f>(1-ISNUMBER(SEARCH("556",M2802)))*(O2802*SUMIFS(Premissas!$C$5:$C$44,Premissas!$A$5:$A$44,$A2802,Premissas!$B$5:$B$44,$B2802)+P2802*SUMIFS(Premissas!$D$5:$D$44,Premissas!$A$5:$A$44,$A2802,Premissas!$B$5:$B$44,$B2802))+R2802*SUMIFS(Premissas!$E$5:$E$44,Premissas!$A$5:$A$44,$A2802,Premissas!$B$5:$B$44,$B2802)+S2802*SUMIFS(Premissas!$F$5:$F$44,Premissas!$A$5:$A$44,$A2802,Premissas!$B$5:$B$44,$B2802)</f>
        <v/>
      </c>
      <c r="L2802" s="29">
        <f>J2802-K2802</f>
        <v/>
      </c>
      <c r="M2802" t="inlineStr">
        <is>
          <t>1.350</t>
        </is>
      </c>
      <c r="N2802" t="inlineStr">
        <is>
          <t>Modalidade: 0 - Por conta do remetente | Parte: PETYPETA COMERCIO ATACADISTA E VAREJISTA DE PRODUTOS ALIMENT (03.667.049/0001-90)</t>
        </is>
      </c>
      <c r="O2802" s="29" t="n">
        <v>0</v>
      </c>
      <c r="P2802" s="29" t="n">
        <v>0</v>
      </c>
      <c r="Q2802" s="29" t="n">
        <v>0</v>
      </c>
      <c r="R2802" s="29" t="n">
        <v>0</v>
      </c>
      <c r="S2802" s="29" t="n">
        <v>0</v>
      </c>
      <c r="T2802" t="inlineStr">
        <is>
          <t>25260126975620000130570010000062871001401141</t>
        </is>
      </c>
      <c r="U2802" t="inlineStr">
        <is>
          <t>Não</t>
        </is>
      </c>
    </row>
    <row r="2803">
      <c r="A2803" t="inlineStr">
        <is>
          <t>Frete de venda</t>
        </is>
      </c>
      <c r="B2803" t="inlineStr">
        <is>
          <t>2.01.02 Frete sobre Vendas</t>
        </is>
      </c>
      <c r="C2803" s="30" t="n">
        <v>46023</v>
      </c>
      <c r="D2803" t="inlineStr">
        <is>
          <t>Em 2026</t>
        </is>
      </c>
      <c r="E2803" s="28" t="n">
        <v>46053</v>
      </c>
      <c r="F2803" t="inlineStr">
        <is>
          <t>CT-e</t>
        </is>
      </c>
      <c r="G2803" t="inlineStr">
        <is>
          <t>000006288</t>
        </is>
      </c>
      <c r="H2803" t="inlineStr">
        <is>
          <t>R&amp;R TRANSPORTE E LOGISTICA</t>
        </is>
      </c>
      <c r="J2803" s="29" t="n">
        <v>70.14</v>
      </c>
      <c r="K2803" s="29">
        <f>(1-ISNUMBER(SEARCH("556",M2803)))*(O2803*SUMIFS(Premissas!$C$5:$C$44,Premissas!$A$5:$A$44,$A2803,Premissas!$B$5:$B$44,$B2803)+P2803*SUMIFS(Premissas!$D$5:$D$44,Premissas!$A$5:$A$44,$A2803,Premissas!$B$5:$B$44,$B2803))+R2803*SUMIFS(Premissas!$E$5:$E$44,Premissas!$A$5:$A$44,$A2803,Premissas!$B$5:$B$44,$B2803)+S2803*SUMIFS(Premissas!$F$5:$F$44,Premissas!$A$5:$A$44,$A2803,Premissas!$B$5:$B$44,$B2803)</f>
        <v/>
      </c>
      <c r="L2803" s="29">
        <f>J2803-K2803</f>
        <v/>
      </c>
      <c r="M2803" t="inlineStr">
        <is>
          <t>1.350</t>
        </is>
      </c>
      <c r="N2803" t="inlineStr">
        <is>
          <t>Modalidade: 0 - Por conta do remetente | Parte: DANIEL HENRIQUE SILVA BORGES E PIRES LTDA (06.901.586/0001-41)</t>
        </is>
      </c>
      <c r="O2803" s="29" t="n">
        <v>0</v>
      </c>
      <c r="P2803" s="29" t="n">
        <v>0</v>
      </c>
      <c r="Q2803" s="29" t="n">
        <v>0</v>
      </c>
      <c r="R2803" s="29" t="n">
        <v>0</v>
      </c>
      <c r="S2803" s="29" t="n">
        <v>0</v>
      </c>
      <c r="T2803" t="inlineStr">
        <is>
          <t>25260126975620000130570010000062881001101226</t>
        </is>
      </c>
      <c r="U2803" t="inlineStr">
        <is>
          <t>Não</t>
        </is>
      </c>
    </row>
    <row r="2804">
      <c r="A2804" t="inlineStr">
        <is>
          <t>Frete de venda</t>
        </is>
      </c>
      <c r="B2804" t="inlineStr">
        <is>
          <t>2.01.02 Frete sobre Vendas</t>
        </is>
      </c>
      <c r="C2804" s="30" t="n">
        <v>46023</v>
      </c>
      <c r="D2804" t="inlineStr">
        <is>
          <t>Em 2026</t>
        </is>
      </c>
      <c r="E2804" s="28" t="n">
        <v>46053</v>
      </c>
      <c r="F2804" t="inlineStr">
        <is>
          <t>CT-e</t>
        </is>
      </c>
      <c r="G2804" t="inlineStr">
        <is>
          <t>000006289</t>
        </is>
      </c>
      <c r="H2804" t="inlineStr">
        <is>
          <t>R&amp;R TRANSPORTE E LOGISTICA</t>
        </is>
      </c>
      <c r="J2804" s="29" t="n">
        <v>25</v>
      </c>
      <c r="K2804" s="29">
        <f>(1-ISNUMBER(SEARCH("556",M2804)))*(O2804*SUMIFS(Premissas!$C$5:$C$44,Premissas!$A$5:$A$44,$A2804,Premissas!$B$5:$B$44,$B2804)+P2804*SUMIFS(Premissas!$D$5:$D$44,Premissas!$A$5:$A$44,$A2804,Premissas!$B$5:$B$44,$B2804))+R2804*SUMIFS(Premissas!$E$5:$E$44,Premissas!$A$5:$A$44,$A2804,Premissas!$B$5:$B$44,$B2804)+S2804*SUMIFS(Premissas!$F$5:$F$44,Premissas!$A$5:$A$44,$A2804,Premissas!$B$5:$B$44,$B2804)</f>
        <v/>
      </c>
      <c r="L2804" s="29">
        <f>J2804-K2804</f>
        <v/>
      </c>
      <c r="M2804" t="inlineStr">
        <is>
          <t>1.350</t>
        </is>
      </c>
      <c r="N2804" t="inlineStr">
        <is>
          <t>Modalidade: 0 - Por conta do remetente | Parte: FRIOS FESTA UTILIDADES LTDA (48.196.330/0001-20)</t>
        </is>
      </c>
      <c r="O2804" s="29" t="n">
        <v>0</v>
      </c>
      <c r="P2804" s="29" t="n">
        <v>0</v>
      </c>
      <c r="Q2804" s="29" t="n">
        <v>0</v>
      </c>
      <c r="R2804" s="29" t="n">
        <v>0</v>
      </c>
      <c r="S2804" s="29" t="n">
        <v>0</v>
      </c>
      <c r="T2804" t="inlineStr">
        <is>
          <t>25260126975620000130570010000062891001901300</t>
        </is>
      </c>
      <c r="U2804" t="inlineStr">
        <is>
          <t>Não</t>
        </is>
      </c>
    </row>
    <row r="2805">
      <c r="A2805" t="inlineStr">
        <is>
          <t>Frete de venda</t>
        </is>
      </c>
      <c r="B2805" t="inlineStr">
        <is>
          <t>2.01.02 Frete sobre Vendas</t>
        </is>
      </c>
      <c r="C2805" s="30" t="n">
        <v>46023</v>
      </c>
      <c r="D2805" t="inlineStr">
        <is>
          <t>Em 2026</t>
        </is>
      </c>
      <c r="E2805" s="28" t="n">
        <v>46053</v>
      </c>
      <c r="F2805" t="inlineStr">
        <is>
          <t>CT-e</t>
        </is>
      </c>
      <c r="G2805" t="inlineStr">
        <is>
          <t>000006290</t>
        </is>
      </c>
      <c r="H2805" t="inlineStr">
        <is>
          <t>R&amp;R TRANSPORTE E LOGISTICA</t>
        </is>
      </c>
      <c r="J2805" s="29" t="n">
        <v>35</v>
      </c>
      <c r="K2805" s="29">
        <f>(1-ISNUMBER(SEARCH("556",M2805)))*(O2805*SUMIFS(Premissas!$C$5:$C$44,Premissas!$A$5:$A$44,$A2805,Premissas!$B$5:$B$44,$B2805)+P2805*SUMIFS(Premissas!$D$5:$D$44,Premissas!$A$5:$A$44,$A2805,Premissas!$B$5:$B$44,$B2805))+R2805*SUMIFS(Premissas!$E$5:$E$44,Premissas!$A$5:$A$44,$A2805,Premissas!$B$5:$B$44,$B2805)+S2805*SUMIFS(Premissas!$F$5:$F$44,Premissas!$A$5:$A$44,$A2805,Premissas!$B$5:$B$44,$B2805)</f>
        <v/>
      </c>
      <c r="L2805" s="29">
        <f>J2805-K2805</f>
        <v/>
      </c>
      <c r="M2805" t="inlineStr">
        <is>
          <t>1.350</t>
        </is>
      </c>
      <c r="N2805" t="inlineStr">
        <is>
          <t>Modalidade: 0 - Por conta do remetente | Parte: FRIOS ATACADAO LTDA (40.889.544/0001-70)</t>
        </is>
      </c>
      <c r="O2805" s="29" t="n">
        <v>0</v>
      </c>
      <c r="P2805" s="29" t="n">
        <v>0</v>
      </c>
      <c r="Q2805" s="29" t="n">
        <v>0</v>
      </c>
      <c r="R2805" s="29" t="n">
        <v>0</v>
      </c>
      <c r="S2805" s="29" t="n">
        <v>0</v>
      </c>
      <c r="T2805" t="inlineStr">
        <is>
          <t>25260126975620000130570010000062901001100651</t>
        </is>
      </c>
      <c r="U2805" t="inlineStr">
        <is>
          <t>Não</t>
        </is>
      </c>
    </row>
    <row r="2806">
      <c r="A2806" t="inlineStr">
        <is>
          <t>Frete de venda</t>
        </is>
      </c>
      <c r="B2806" t="inlineStr">
        <is>
          <t>2.01.02 Frete sobre Vendas</t>
        </is>
      </c>
      <c r="C2806" s="30" t="n">
        <v>46023</v>
      </c>
      <c r="D2806" t="inlineStr">
        <is>
          <t>Em 2026</t>
        </is>
      </c>
      <c r="E2806" s="28" t="n">
        <v>46053</v>
      </c>
      <c r="F2806" t="inlineStr">
        <is>
          <t>CT-e</t>
        </is>
      </c>
      <c r="G2806" t="inlineStr">
        <is>
          <t>000006291</t>
        </is>
      </c>
      <c r="H2806" t="inlineStr">
        <is>
          <t>R&amp;R TRANSPORTE E LOGISTICA</t>
        </is>
      </c>
      <c r="J2806" s="29" t="n">
        <v>37</v>
      </c>
      <c r="K2806" s="29">
        <f>(1-ISNUMBER(SEARCH("556",M2806)))*(O2806*SUMIFS(Premissas!$C$5:$C$44,Premissas!$A$5:$A$44,$A2806,Premissas!$B$5:$B$44,$B2806)+P2806*SUMIFS(Premissas!$D$5:$D$44,Premissas!$A$5:$A$44,$A2806,Premissas!$B$5:$B$44,$B2806))+R2806*SUMIFS(Premissas!$E$5:$E$44,Premissas!$A$5:$A$44,$A2806,Premissas!$B$5:$B$44,$B2806)+S2806*SUMIFS(Premissas!$F$5:$F$44,Premissas!$A$5:$A$44,$A2806,Premissas!$B$5:$B$44,$B2806)</f>
        <v/>
      </c>
      <c r="L2806" s="29">
        <f>J2806-K2806</f>
        <v/>
      </c>
      <c r="M2806" t="inlineStr">
        <is>
          <t>1.350</t>
        </is>
      </c>
      <c r="N2806" t="inlineStr">
        <is>
          <t>Modalidade: 0 - Por conta do remetente | Parte: ROTA 040 EMBALAGENS LTDA (40.498.051/0001-00)</t>
        </is>
      </c>
      <c r="O2806" s="29" t="n">
        <v>0</v>
      </c>
      <c r="P2806" s="29" t="n">
        <v>0</v>
      </c>
      <c r="Q2806" s="29" t="n">
        <v>0</v>
      </c>
      <c r="R2806" s="29" t="n">
        <v>0</v>
      </c>
      <c r="S2806" s="29" t="n">
        <v>0</v>
      </c>
      <c r="T2806" t="inlineStr">
        <is>
          <t>25260126975620000130570010000062911000170734</t>
        </is>
      </c>
      <c r="U2806" t="inlineStr">
        <is>
          <t>Não</t>
        </is>
      </c>
    </row>
    <row r="2807">
      <c r="A2807" t="inlineStr">
        <is>
          <t>Frete de venda</t>
        </is>
      </c>
      <c r="B2807" t="inlineStr">
        <is>
          <t>2.01.02 Frete sobre Vendas</t>
        </is>
      </c>
      <c r="C2807" s="30" t="n">
        <v>46023</v>
      </c>
      <c r="D2807" t="inlineStr">
        <is>
          <t>Em 2026</t>
        </is>
      </c>
      <c r="E2807" s="28" t="n">
        <v>46053</v>
      </c>
      <c r="F2807" t="inlineStr">
        <is>
          <t>CT-e</t>
        </is>
      </c>
      <c r="G2807" t="inlineStr">
        <is>
          <t>000006292</t>
        </is>
      </c>
      <c r="H2807" t="inlineStr">
        <is>
          <t>R&amp;R TRANSPORTE E LOGISTICA</t>
        </is>
      </c>
      <c r="J2807" s="29" t="n">
        <v>40</v>
      </c>
      <c r="K2807" s="29">
        <f>(1-ISNUMBER(SEARCH("556",M2807)))*(O2807*SUMIFS(Premissas!$C$5:$C$44,Premissas!$A$5:$A$44,$A2807,Premissas!$B$5:$B$44,$B2807)+P2807*SUMIFS(Premissas!$D$5:$D$44,Premissas!$A$5:$A$44,$A2807,Premissas!$B$5:$B$44,$B2807))+R2807*SUMIFS(Premissas!$E$5:$E$44,Premissas!$A$5:$A$44,$A2807,Premissas!$B$5:$B$44,$B2807)+S2807*SUMIFS(Premissas!$F$5:$F$44,Premissas!$A$5:$A$44,$A2807,Premissas!$B$5:$B$44,$B2807)</f>
        <v/>
      </c>
      <c r="L2807" s="29">
        <f>J2807-K2807</f>
        <v/>
      </c>
      <c r="M2807" t="inlineStr">
        <is>
          <t>1.350</t>
        </is>
      </c>
      <c r="N2807" t="inlineStr">
        <is>
          <t>Modalidade: 0 - Por conta do remetente | Parte: EMBALATUDO EMBALAGENS LTDA (04.123.070/0001-98)</t>
        </is>
      </c>
      <c r="O2807" s="29" t="n">
        <v>0</v>
      </c>
      <c r="P2807" s="29" t="n">
        <v>0</v>
      </c>
      <c r="Q2807" s="29" t="n">
        <v>0</v>
      </c>
      <c r="R2807" s="29" t="n">
        <v>0</v>
      </c>
      <c r="S2807" s="29" t="n">
        <v>0</v>
      </c>
      <c r="T2807" t="inlineStr">
        <is>
          <t>25260126975620000130570010000062921000140816</t>
        </is>
      </c>
      <c r="U2807" t="inlineStr">
        <is>
          <t>Não</t>
        </is>
      </c>
    </row>
    <row r="2808">
      <c r="A2808" t="inlineStr">
        <is>
          <t>Frete de venda</t>
        </is>
      </c>
      <c r="B2808" t="inlineStr">
        <is>
          <t>2.01.02 Frete sobre Vendas</t>
        </is>
      </c>
      <c r="C2808" s="30" t="n">
        <v>46023</v>
      </c>
      <c r="D2808" t="inlineStr">
        <is>
          <t>Em 2026</t>
        </is>
      </c>
      <c r="E2808" s="28" t="n">
        <v>46053</v>
      </c>
      <c r="F2808" t="inlineStr">
        <is>
          <t>CT-e</t>
        </is>
      </c>
      <c r="G2808" t="inlineStr">
        <is>
          <t>000006294</t>
        </is>
      </c>
      <c r="H2808" t="inlineStr">
        <is>
          <t>R&amp;R TRANSPORTE E LOGISTICA</t>
        </is>
      </c>
      <c r="J2808" s="29" t="n">
        <v>45</v>
      </c>
      <c r="K2808" s="29">
        <f>(1-ISNUMBER(SEARCH("556",M2808)))*(O2808*SUMIFS(Premissas!$C$5:$C$44,Premissas!$A$5:$A$44,$A2808,Premissas!$B$5:$B$44,$B2808)+P2808*SUMIFS(Premissas!$D$5:$D$44,Premissas!$A$5:$A$44,$A2808,Premissas!$B$5:$B$44,$B2808))+R2808*SUMIFS(Premissas!$E$5:$E$44,Premissas!$A$5:$A$44,$A2808,Premissas!$B$5:$B$44,$B2808)+S2808*SUMIFS(Premissas!$F$5:$F$44,Premissas!$A$5:$A$44,$A2808,Premissas!$B$5:$B$44,$B2808)</f>
        <v/>
      </c>
      <c r="L2808" s="29">
        <f>J2808-K2808</f>
        <v/>
      </c>
      <c r="M2808" t="inlineStr">
        <is>
          <t>1.350</t>
        </is>
      </c>
      <c r="N2808" t="inlineStr">
        <is>
          <t>Modalidade: 0 - Por conta do remetente | Parte: PALHOCA O SEU SUPERMERCADO LTDA (00.393.873/0001-01)</t>
        </is>
      </c>
      <c r="O2808" s="29" t="n">
        <v>0</v>
      </c>
      <c r="P2808" s="29" t="n">
        <v>0</v>
      </c>
      <c r="Q2808" s="29" t="n">
        <v>0</v>
      </c>
      <c r="R2808" s="29" t="n">
        <v>0</v>
      </c>
      <c r="S2808" s="29" t="n">
        <v>0</v>
      </c>
      <c r="T2808" t="inlineStr">
        <is>
          <t>25260126975620000130570010000062941000190974</t>
        </is>
      </c>
      <c r="U2808" t="inlineStr">
        <is>
          <t>Não</t>
        </is>
      </c>
    </row>
    <row r="2809">
      <c r="A2809" t="inlineStr">
        <is>
          <t>Frete de venda</t>
        </is>
      </c>
      <c r="B2809" t="inlineStr">
        <is>
          <t>2.01.02 Frete sobre Vendas</t>
        </is>
      </c>
      <c r="C2809" s="30" t="n">
        <v>46023</v>
      </c>
      <c r="D2809" t="inlineStr">
        <is>
          <t>Em 2026</t>
        </is>
      </c>
      <c r="E2809" s="28" t="n">
        <v>46053</v>
      </c>
      <c r="F2809" t="inlineStr">
        <is>
          <t>CT-e</t>
        </is>
      </c>
      <c r="G2809" t="inlineStr">
        <is>
          <t>000006295</t>
        </is>
      </c>
      <c r="H2809" t="inlineStr">
        <is>
          <t>R&amp;R TRANSPORTE E LOGISTICA</t>
        </is>
      </c>
      <c r="J2809" s="29" t="n">
        <v>45</v>
      </c>
      <c r="K2809" s="29">
        <f>(1-ISNUMBER(SEARCH("556",M2809)))*(O2809*SUMIFS(Premissas!$C$5:$C$44,Premissas!$A$5:$A$44,$A2809,Premissas!$B$5:$B$44,$B2809)+P2809*SUMIFS(Premissas!$D$5:$D$44,Premissas!$A$5:$A$44,$A2809,Premissas!$B$5:$B$44,$B2809))+R2809*SUMIFS(Premissas!$E$5:$E$44,Premissas!$A$5:$A$44,$A2809,Premissas!$B$5:$B$44,$B2809)+S2809*SUMIFS(Premissas!$F$5:$F$44,Premissas!$A$5:$A$44,$A2809,Premissas!$B$5:$B$44,$B2809)</f>
        <v/>
      </c>
      <c r="L2809" s="29">
        <f>J2809-K2809</f>
        <v/>
      </c>
      <c r="M2809" t="inlineStr">
        <is>
          <t>1.350</t>
        </is>
      </c>
      <c r="N2809" t="inlineStr">
        <is>
          <t>Modalidade: 0 - Por conta do remetente | Parte: SAM EMBALAGENS ATACADO E VAREJO LTDA (48.944.969/0001-47)</t>
        </is>
      </c>
      <c r="O2809" s="29" t="n">
        <v>0</v>
      </c>
      <c r="P2809" s="29" t="n">
        <v>0</v>
      </c>
      <c r="Q2809" s="29" t="n">
        <v>0</v>
      </c>
      <c r="R2809" s="29" t="n">
        <v>0</v>
      </c>
      <c r="S2809" s="29" t="n">
        <v>0</v>
      </c>
      <c r="T2809" t="inlineStr">
        <is>
          <t>25260126975620000130570010000062951001601053</t>
        </is>
      </c>
      <c r="U2809" t="inlineStr">
        <is>
          <t>Não</t>
        </is>
      </c>
    </row>
    <row r="2810">
      <c r="A2810" t="inlineStr">
        <is>
          <t>Frete de venda</t>
        </is>
      </c>
      <c r="B2810" t="inlineStr">
        <is>
          <t>2.01.02 Frete sobre Vendas</t>
        </is>
      </c>
      <c r="C2810" s="30" t="n">
        <v>46023</v>
      </c>
      <c r="D2810" t="inlineStr">
        <is>
          <t>Em 2026</t>
        </is>
      </c>
      <c r="E2810" s="28" t="n">
        <v>46053</v>
      </c>
      <c r="F2810" t="inlineStr">
        <is>
          <t>CT-e</t>
        </is>
      </c>
      <c r="G2810" t="inlineStr">
        <is>
          <t>000006298</t>
        </is>
      </c>
      <c r="H2810" t="inlineStr">
        <is>
          <t>R&amp;R TRANSPORTE E LOGISTICA</t>
        </is>
      </c>
      <c r="J2810" s="29" t="n">
        <v>107.69</v>
      </c>
      <c r="K2810" s="29">
        <f>(1-ISNUMBER(SEARCH("556",M2810)))*(O2810*SUMIFS(Premissas!$C$5:$C$44,Premissas!$A$5:$A$44,$A2810,Premissas!$B$5:$B$44,$B2810)+P2810*SUMIFS(Premissas!$D$5:$D$44,Premissas!$A$5:$A$44,$A2810,Premissas!$B$5:$B$44,$B2810))+R2810*SUMIFS(Premissas!$E$5:$E$44,Premissas!$A$5:$A$44,$A2810,Premissas!$B$5:$B$44,$B2810)+S2810*SUMIFS(Premissas!$F$5:$F$44,Premissas!$A$5:$A$44,$A2810,Premissas!$B$5:$B$44,$B2810)</f>
        <v/>
      </c>
      <c r="L2810" s="29">
        <f>J2810-K2810</f>
        <v/>
      </c>
      <c r="M2810" t="inlineStr">
        <is>
          <t>1.350</t>
        </is>
      </c>
      <c r="N2810" t="inlineStr">
        <is>
          <t>Modalidade: 0 - Por conta do remetente | Parte: M N L FLORENTINO LTDA (47.068.852/0001-84)</t>
        </is>
      </c>
      <c r="O2810" s="29" t="n">
        <v>0</v>
      </c>
      <c r="P2810" s="29" t="n">
        <v>0</v>
      </c>
      <c r="Q2810" s="29" t="n">
        <v>0</v>
      </c>
      <c r="R2810" s="29" t="n">
        <v>0</v>
      </c>
      <c r="S2810" s="29" t="n">
        <v>0</v>
      </c>
      <c r="T2810" t="inlineStr">
        <is>
          <t>25260126975620000130570010000062981001801291</t>
        </is>
      </c>
      <c r="U2810" t="inlineStr">
        <is>
          <t>Não</t>
        </is>
      </c>
    </row>
    <row r="2811">
      <c r="A2811" t="inlineStr">
        <is>
          <t>Frete de venda</t>
        </is>
      </c>
      <c r="B2811" t="inlineStr">
        <is>
          <t>2.01.02 Frete sobre Vendas</t>
        </is>
      </c>
      <c r="C2811" s="30" t="n">
        <v>46023</v>
      </c>
      <c r="D2811" t="inlineStr">
        <is>
          <t>Em 2026</t>
        </is>
      </c>
      <c r="E2811" s="28" t="n">
        <v>46053</v>
      </c>
      <c r="F2811" t="inlineStr">
        <is>
          <t>CT-e</t>
        </is>
      </c>
      <c r="G2811" t="inlineStr">
        <is>
          <t>000006299</t>
        </is>
      </c>
      <c r="H2811" t="inlineStr">
        <is>
          <t>R&amp;R TRANSPORTE E LOGISTICA</t>
        </is>
      </c>
      <c r="J2811" s="29" t="n">
        <v>105.38</v>
      </c>
      <c r="K2811" s="29">
        <f>(1-ISNUMBER(SEARCH("556",M2811)))*(O2811*SUMIFS(Premissas!$C$5:$C$44,Premissas!$A$5:$A$44,$A2811,Premissas!$B$5:$B$44,$B2811)+P2811*SUMIFS(Premissas!$D$5:$D$44,Premissas!$A$5:$A$44,$A2811,Premissas!$B$5:$B$44,$B2811))+R2811*SUMIFS(Premissas!$E$5:$E$44,Premissas!$A$5:$A$44,$A2811,Premissas!$B$5:$B$44,$B2811)+S2811*SUMIFS(Premissas!$F$5:$F$44,Premissas!$A$5:$A$44,$A2811,Premissas!$B$5:$B$44,$B2811)</f>
        <v/>
      </c>
      <c r="L2811" s="29">
        <f>J2811-K2811</f>
        <v/>
      </c>
      <c r="M2811" t="inlineStr">
        <is>
          <t>1.350</t>
        </is>
      </c>
      <c r="N2811" t="inlineStr">
        <is>
          <t>Modalidade: 0 - Por conta do remetente | Parte: EXPPACK DISTRIBUIDORA DE EMBALAGENS LTDA (13.257.466/0001-19)</t>
        </is>
      </c>
      <c r="O2811" s="29" t="n">
        <v>0</v>
      </c>
      <c r="P2811" s="29" t="n">
        <v>0</v>
      </c>
      <c r="Q2811" s="29" t="n">
        <v>0</v>
      </c>
      <c r="R2811" s="29" t="n">
        <v>0</v>
      </c>
      <c r="S2811" s="29" t="n">
        <v>0</v>
      </c>
      <c r="T2811" t="inlineStr">
        <is>
          <t>25260126975620000130570010000062991001501376</t>
        </is>
      </c>
      <c r="U2811" t="inlineStr">
        <is>
          <t>Não</t>
        </is>
      </c>
    </row>
    <row r="2812">
      <c r="A2812" t="inlineStr">
        <is>
          <t>Frete de venda</t>
        </is>
      </c>
      <c r="B2812" t="inlineStr">
        <is>
          <t>2.01.02 Frete sobre Vendas</t>
        </is>
      </c>
      <c r="C2812" s="30" t="n">
        <v>46023</v>
      </c>
      <c r="D2812" t="inlineStr">
        <is>
          <t>Em 2026</t>
        </is>
      </c>
      <c r="E2812" s="28" t="n">
        <v>46035</v>
      </c>
      <c r="F2812" t="inlineStr">
        <is>
          <t>CT-e</t>
        </is>
      </c>
      <c r="G2812" t="inlineStr">
        <is>
          <t>000002447</t>
        </is>
      </c>
      <c r="H2812" t="inlineStr">
        <is>
          <t>RAPIDO XAPURI TRANSPORTES E LOGISTICA LTDA</t>
        </is>
      </c>
      <c r="J2812" s="29" t="n">
        <v>904.33</v>
      </c>
      <c r="K2812" s="29">
        <f>(1-ISNUMBER(SEARCH("556",M2812)))*(O2812*SUMIFS(Premissas!$C$5:$C$44,Premissas!$A$5:$A$44,$A2812,Premissas!$B$5:$B$44,$B2812)+P2812*SUMIFS(Premissas!$D$5:$D$44,Premissas!$A$5:$A$44,$A2812,Premissas!$B$5:$B$44,$B2812))+R2812*SUMIFS(Premissas!$E$5:$E$44,Premissas!$A$5:$A$44,$A2812,Premissas!$B$5:$B$44,$B2812)+S2812*SUMIFS(Premissas!$F$5:$F$44,Premissas!$A$5:$A$44,$A2812,Premissas!$B$5:$B$44,$B2812)</f>
        <v/>
      </c>
      <c r="L2812" s="29">
        <f>J2812-K2812</f>
        <v/>
      </c>
      <c r="M2812" t="inlineStr">
        <is>
          <t>1.350</t>
        </is>
      </c>
      <c r="N2812" t="inlineStr">
        <is>
          <t>Modalidade: 0 - Por conta do remetente | Parte: A. C. D. A. IMPORTACAO E EXPORTACAO LTDA (84.308.980/0014-07)</t>
        </is>
      </c>
      <c r="O2812" s="29" t="n">
        <v>0</v>
      </c>
      <c r="P2812" s="29" t="n">
        <v>108.52</v>
      </c>
      <c r="Q2812" s="29" t="n">
        <v>0</v>
      </c>
      <c r="R2812" s="29" t="n">
        <v>0</v>
      </c>
      <c r="S2812" s="29" t="n">
        <v>0</v>
      </c>
      <c r="T2812" t="inlineStr">
        <is>
          <t>52260127775231000557570010000024471000509067</t>
        </is>
      </c>
      <c r="U2812" t="inlineStr">
        <is>
          <t>Sim</t>
        </is>
      </c>
    </row>
    <row r="2813">
      <c r="A2813" t="inlineStr">
        <is>
          <t>Frete de venda</t>
        </is>
      </c>
      <c r="B2813" t="inlineStr">
        <is>
          <t>2.01.02 Frete sobre Vendas</t>
        </is>
      </c>
      <c r="C2813" s="30" t="n">
        <v>46023</v>
      </c>
      <c r="D2813" t="inlineStr">
        <is>
          <t>Em 2026</t>
        </is>
      </c>
      <c r="E2813" s="28" t="n">
        <v>46037</v>
      </c>
      <c r="F2813" t="inlineStr">
        <is>
          <t>CT-e</t>
        </is>
      </c>
      <c r="G2813" t="inlineStr">
        <is>
          <t>000000604</t>
        </is>
      </c>
      <c r="H2813" t="inlineStr">
        <is>
          <t>REIMAG - REINALDO DOMINGUES BARROS DA SILVA</t>
        </is>
      </c>
      <c r="J2813" s="29" t="n">
        <v>375</v>
      </c>
      <c r="K2813" s="29">
        <f>(1-ISNUMBER(SEARCH("556",M2813)))*(O2813*SUMIFS(Premissas!$C$5:$C$44,Premissas!$A$5:$A$44,$A2813,Premissas!$B$5:$B$44,$B2813)+P2813*SUMIFS(Premissas!$D$5:$D$44,Premissas!$A$5:$A$44,$A2813,Premissas!$B$5:$B$44,$B2813))+R2813*SUMIFS(Premissas!$E$5:$E$44,Premissas!$A$5:$A$44,$A2813,Premissas!$B$5:$B$44,$B2813)+S2813*SUMIFS(Premissas!$F$5:$F$44,Premissas!$A$5:$A$44,$A2813,Premissas!$B$5:$B$44,$B2813)</f>
        <v/>
      </c>
      <c r="L2813" s="29">
        <f>J2813-K2813</f>
        <v/>
      </c>
      <c r="M2813" t="inlineStr">
        <is>
          <t>1.350</t>
        </is>
      </c>
      <c r="N2813" t="inlineStr">
        <is>
          <t>Modalidade: 0 - Por conta do remetente | Parte: PMAK DESCARTAVEIS LTDA (48.022.950/0001-43)</t>
        </is>
      </c>
      <c r="O2813" s="29" t="n">
        <v>0</v>
      </c>
      <c r="P2813" s="29" t="n">
        <v>0</v>
      </c>
      <c r="Q2813" s="29" t="n">
        <v>0</v>
      </c>
      <c r="R2813" s="29" t="n">
        <v>0</v>
      </c>
      <c r="S2813" s="29" t="n">
        <v>0</v>
      </c>
      <c r="T2813" t="inlineStr">
        <is>
          <t>25260139962724000151570010000006041954969764</t>
        </is>
      </c>
      <c r="U2813" t="inlineStr">
        <is>
          <t>Sim</t>
        </is>
      </c>
    </row>
    <row r="2814">
      <c r="A2814" t="inlineStr">
        <is>
          <t>Frete de venda</t>
        </is>
      </c>
      <c r="B2814" t="inlineStr">
        <is>
          <t>2.01.02 Frete sobre Vendas</t>
        </is>
      </c>
      <c r="C2814" s="30" t="n">
        <v>46023</v>
      </c>
      <c r="D2814" t="inlineStr">
        <is>
          <t>Em 2026</t>
        </is>
      </c>
      <c r="E2814" s="28" t="n">
        <v>46037</v>
      </c>
      <c r="F2814" t="inlineStr">
        <is>
          <t>CT-e</t>
        </is>
      </c>
      <c r="G2814" t="inlineStr">
        <is>
          <t>000000605</t>
        </is>
      </c>
      <c r="H2814" t="inlineStr">
        <is>
          <t>REIMAG - REINALDO DOMINGUES BARROS DA SILVA</t>
        </is>
      </c>
      <c r="J2814" s="29" t="n">
        <v>375</v>
      </c>
      <c r="K2814" s="29">
        <f>(1-ISNUMBER(SEARCH("556",M2814)))*(O2814*SUMIFS(Premissas!$C$5:$C$44,Premissas!$A$5:$A$44,$A2814,Premissas!$B$5:$B$44,$B2814)+P2814*SUMIFS(Premissas!$D$5:$D$44,Premissas!$A$5:$A$44,$A2814,Premissas!$B$5:$B$44,$B2814))+R2814*SUMIFS(Premissas!$E$5:$E$44,Premissas!$A$5:$A$44,$A2814,Premissas!$B$5:$B$44,$B2814)+S2814*SUMIFS(Premissas!$F$5:$F$44,Premissas!$A$5:$A$44,$A2814,Premissas!$B$5:$B$44,$B2814)</f>
        <v/>
      </c>
      <c r="L2814" s="29">
        <f>J2814-K2814</f>
        <v/>
      </c>
      <c r="M2814" t="inlineStr">
        <is>
          <t>1.350</t>
        </is>
      </c>
      <c r="N2814" t="inlineStr">
        <is>
          <t>Modalidade: 0 - Por conta do remetente | Parte: FLOR DO NORDESTE DISTRIBUIDORA DE ALIMENTOS LTDA (33.805.700/0001-02)</t>
        </is>
      </c>
      <c r="O2814" s="29" t="n">
        <v>0</v>
      </c>
      <c r="P2814" s="29" t="n">
        <v>0</v>
      </c>
      <c r="Q2814" s="29" t="n">
        <v>0</v>
      </c>
      <c r="R2814" s="29" t="n">
        <v>0</v>
      </c>
      <c r="S2814" s="29" t="n">
        <v>0</v>
      </c>
      <c r="T2814" t="inlineStr">
        <is>
          <t>25260139962724000151570010000006051953521341</t>
        </is>
      </c>
      <c r="U2814" t="inlineStr">
        <is>
          <t>Sim</t>
        </is>
      </c>
    </row>
    <row r="2815">
      <c r="A2815" t="inlineStr">
        <is>
          <t>Frete de venda</t>
        </is>
      </c>
      <c r="B2815" t="inlineStr">
        <is>
          <t>2.01.02 Frete sobre Vendas</t>
        </is>
      </c>
      <c r="C2815" s="30" t="n">
        <v>46023</v>
      </c>
      <c r="D2815" t="inlineStr">
        <is>
          <t>Em 2026</t>
        </is>
      </c>
      <c r="E2815" s="28" t="n">
        <v>46044</v>
      </c>
      <c r="F2815" t="inlineStr">
        <is>
          <t>CT-e</t>
        </is>
      </c>
      <c r="G2815" t="inlineStr">
        <is>
          <t>000000608</t>
        </is>
      </c>
      <c r="H2815" t="inlineStr">
        <is>
          <t>REIMAG - REINALDO DOMINGUES BARROS DA SILVA</t>
        </is>
      </c>
      <c r="J2815" s="29" t="n">
        <v>900</v>
      </c>
      <c r="K2815" s="29">
        <f>(1-ISNUMBER(SEARCH("556",M2815)))*(O2815*SUMIFS(Premissas!$C$5:$C$44,Premissas!$A$5:$A$44,$A2815,Premissas!$B$5:$B$44,$B2815)+P2815*SUMIFS(Premissas!$D$5:$D$44,Premissas!$A$5:$A$44,$A2815,Premissas!$B$5:$B$44,$B2815))+R2815*SUMIFS(Premissas!$E$5:$E$44,Premissas!$A$5:$A$44,$A2815,Premissas!$B$5:$B$44,$B2815)+S2815*SUMIFS(Premissas!$F$5:$F$44,Premissas!$A$5:$A$44,$A2815,Premissas!$B$5:$B$44,$B2815)</f>
        <v/>
      </c>
      <c r="L2815" s="29">
        <f>J2815-K2815</f>
        <v/>
      </c>
      <c r="M2815" t="inlineStr">
        <is>
          <t>1.350</t>
        </is>
      </c>
      <c r="N2815" t="inlineStr">
        <is>
          <t>Modalidade: 0 - Por conta do remetente | Parte: PRASO PLATAFORMA DE COMERCIO LTDA. (42.434.646/0003-99)</t>
        </is>
      </c>
      <c r="O2815" s="29" t="n">
        <v>0</v>
      </c>
      <c r="P2815" s="29" t="n">
        <v>0</v>
      </c>
      <c r="Q2815" s="29" t="n">
        <v>0</v>
      </c>
      <c r="R2815" s="29" t="n">
        <v>0</v>
      </c>
      <c r="S2815" s="29" t="n">
        <v>0</v>
      </c>
      <c r="T2815" t="inlineStr">
        <is>
          <t>25260139962724000151570010000006081281083751</t>
        </is>
      </c>
      <c r="U2815" t="inlineStr">
        <is>
          <t>Sim</t>
        </is>
      </c>
    </row>
    <row r="2816">
      <c r="A2816" t="inlineStr">
        <is>
          <t>Frete de venda</t>
        </is>
      </c>
      <c r="B2816" t="inlineStr">
        <is>
          <t>2.01.02 Frete sobre Vendas</t>
        </is>
      </c>
      <c r="C2816" s="30" t="n">
        <v>46023</v>
      </c>
      <c r="D2816" t="inlineStr">
        <is>
          <t>Em 2026</t>
        </is>
      </c>
      <c r="E2816" s="28" t="n">
        <v>46029</v>
      </c>
      <c r="F2816" t="inlineStr">
        <is>
          <t>CT-e</t>
        </is>
      </c>
      <c r="G2816" t="inlineStr">
        <is>
          <t>000023605</t>
        </is>
      </c>
      <c r="H2816" t="inlineStr">
        <is>
          <t>TRANSPORTE OLIVEIRA E MELLOI - IDEALIZA TRANSPORTES</t>
        </is>
      </c>
      <c r="J2816" s="29" t="n">
        <v>1953.58</v>
      </c>
      <c r="K2816" s="29">
        <f>(1-ISNUMBER(SEARCH("556",M2816)))*(O2816*SUMIFS(Premissas!$C$5:$C$44,Premissas!$A$5:$A$44,$A2816,Premissas!$B$5:$B$44,$B2816)+P2816*SUMIFS(Premissas!$D$5:$D$44,Premissas!$A$5:$A$44,$A2816,Premissas!$B$5:$B$44,$B2816))+R2816*SUMIFS(Premissas!$E$5:$E$44,Premissas!$A$5:$A$44,$A2816,Premissas!$B$5:$B$44,$B2816)+S2816*SUMIFS(Premissas!$F$5:$F$44,Premissas!$A$5:$A$44,$A2816,Premissas!$B$5:$B$44,$B2816)</f>
        <v/>
      </c>
      <c r="L2816" s="29">
        <f>J2816-K2816</f>
        <v/>
      </c>
      <c r="M2816" t="inlineStr">
        <is>
          <t>1.350</t>
        </is>
      </c>
      <c r="N2816" t="inlineStr">
        <is>
          <t>Modalidade: 0 - Por conta do remetente | Parte: M. N. ROCHA DE SOUSA LTDA (52.989.831/0001-31)</t>
        </is>
      </c>
      <c r="O2816" s="29" t="n">
        <v>0</v>
      </c>
      <c r="P2816" s="29" t="n">
        <v>234.43</v>
      </c>
      <c r="Q2816" s="29" t="n">
        <v>0</v>
      </c>
      <c r="R2816" s="29" t="n">
        <v>0</v>
      </c>
      <c r="S2816" s="29" t="n">
        <v>0</v>
      </c>
      <c r="T2816" t="inlineStr">
        <is>
          <t>15260120175042000170570010000236051000037556</t>
        </is>
      </c>
      <c r="U2816" t="inlineStr">
        <is>
          <t>Sim</t>
        </is>
      </c>
    </row>
    <row r="2817">
      <c r="A2817" t="inlineStr">
        <is>
          <t>Frete de venda</t>
        </is>
      </c>
      <c r="B2817" t="inlineStr">
        <is>
          <t>2.01.02 Frete sobre Vendas</t>
        </is>
      </c>
      <c r="C2817" s="30" t="n">
        <v>46023</v>
      </c>
      <c r="D2817" t="inlineStr">
        <is>
          <t>Em 2026</t>
        </is>
      </c>
      <c r="E2817" s="28" t="n">
        <v>46029</v>
      </c>
      <c r="F2817" t="inlineStr">
        <is>
          <t>CT-e</t>
        </is>
      </c>
      <c r="G2817" t="inlineStr">
        <is>
          <t>000023606</t>
        </is>
      </c>
      <c r="H2817" t="inlineStr">
        <is>
          <t>TRANSPORTE OLIVEIRA E MELLOI - IDEALIZA TRANSPORTES</t>
        </is>
      </c>
      <c r="J2817" s="29" t="n">
        <v>749.14</v>
      </c>
      <c r="K2817" s="29">
        <f>(1-ISNUMBER(SEARCH("556",M2817)))*(O2817*SUMIFS(Premissas!$C$5:$C$44,Premissas!$A$5:$A$44,$A2817,Premissas!$B$5:$B$44,$B2817)+P2817*SUMIFS(Premissas!$D$5:$D$44,Premissas!$A$5:$A$44,$A2817,Premissas!$B$5:$B$44,$B2817))+R2817*SUMIFS(Premissas!$E$5:$E$44,Premissas!$A$5:$A$44,$A2817,Premissas!$B$5:$B$44,$B2817)+S2817*SUMIFS(Premissas!$F$5:$F$44,Premissas!$A$5:$A$44,$A2817,Premissas!$B$5:$B$44,$B2817)</f>
        <v/>
      </c>
      <c r="L2817" s="29">
        <f>J2817-K2817</f>
        <v/>
      </c>
      <c r="M2817" t="inlineStr">
        <is>
          <t>1.350</t>
        </is>
      </c>
      <c r="N2817" t="inlineStr">
        <is>
          <t>Modalidade: 0 - Por conta do remetente | Parte: IBIAPINA VARIEDADES LTDA (46.211.356/0001-75)</t>
        </is>
      </c>
      <c r="O2817" s="29" t="n">
        <v>0</v>
      </c>
      <c r="P2817" s="29" t="n">
        <v>89.90000000000001</v>
      </c>
      <c r="Q2817" s="29" t="n">
        <v>0</v>
      </c>
      <c r="R2817" s="29" t="n">
        <v>0</v>
      </c>
      <c r="S2817" s="29" t="n">
        <v>0</v>
      </c>
      <c r="T2817" t="inlineStr">
        <is>
          <t>15260120175042000170570010000236061000037561</t>
        </is>
      </c>
      <c r="U2817" t="inlineStr">
        <is>
          <t>Sim</t>
        </is>
      </c>
    </row>
    <row r="2818">
      <c r="A2818" t="inlineStr">
        <is>
          <t>Frete de venda</t>
        </is>
      </c>
      <c r="B2818" t="inlineStr">
        <is>
          <t>2.01.02 Frete sobre Vendas</t>
        </is>
      </c>
      <c r="C2818" s="30" t="n">
        <v>46023</v>
      </c>
      <c r="D2818" t="inlineStr">
        <is>
          <t>Em 2026</t>
        </is>
      </c>
      <c r="E2818" s="28" t="n">
        <v>46029</v>
      </c>
      <c r="F2818" t="inlineStr">
        <is>
          <t>CT-e</t>
        </is>
      </c>
      <c r="G2818" t="inlineStr">
        <is>
          <t>000023607</t>
        </is>
      </c>
      <c r="H2818" t="inlineStr">
        <is>
          <t>TRANSPORTE OLIVEIRA E MELLOI - IDEALIZA TRANSPORTES</t>
        </is>
      </c>
      <c r="J2818" s="29" t="n">
        <v>953.8099999999999</v>
      </c>
      <c r="K2818" s="29">
        <f>(1-ISNUMBER(SEARCH("556",M2818)))*(O2818*SUMIFS(Premissas!$C$5:$C$44,Premissas!$A$5:$A$44,$A2818,Premissas!$B$5:$B$44,$B2818)+P2818*SUMIFS(Premissas!$D$5:$D$44,Premissas!$A$5:$A$44,$A2818,Premissas!$B$5:$B$44,$B2818))+R2818*SUMIFS(Premissas!$E$5:$E$44,Premissas!$A$5:$A$44,$A2818,Premissas!$B$5:$B$44,$B2818)+S2818*SUMIFS(Premissas!$F$5:$F$44,Premissas!$A$5:$A$44,$A2818,Premissas!$B$5:$B$44,$B2818)</f>
        <v/>
      </c>
      <c r="L2818" s="29">
        <f>J2818-K2818</f>
        <v/>
      </c>
      <c r="M2818" t="inlineStr">
        <is>
          <t>1.350</t>
        </is>
      </c>
      <c r="N2818" t="inlineStr">
        <is>
          <t>Modalidade: 0 - Por conta do remetente | Parte: PLASMAR COMERCIO DE PRODUTOS DESCARTAVEIS LTDA (09.354.922/0001-71)</t>
        </is>
      </c>
      <c r="O2818" s="29" t="n">
        <v>0</v>
      </c>
      <c r="P2818" s="29" t="n">
        <v>114.46</v>
      </c>
      <c r="Q2818" s="29" t="n">
        <v>0</v>
      </c>
      <c r="R2818" s="29" t="n">
        <v>0</v>
      </c>
      <c r="S2818" s="29" t="n">
        <v>0</v>
      </c>
      <c r="T2818" t="inlineStr">
        <is>
          <t>15260120175042000170570010000236071000037577</t>
        </is>
      </c>
      <c r="U2818" t="inlineStr">
        <is>
          <t>Sim</t>
        </is>
      </c>
    </row>
    <row r="2819">
      <c r="A2819" t="inlineStr">
        <is>
          <t>Frete de venda</t>
        </is>
      </c>
      <c r="B2819" t="inlineStr">
        <is>
          <t>2.01.02 Frete sobre Vendas</t>
        </is>
      </c>
      <c r="C2819" s="30" t="n">
        <v>46023</v>
      </c>
      <c r="D2819" t="inlineStr">
        <is>
          <t>Em 2026</t>
        </is>
      </c>
      <c r="E2819" s="28" t="n">
        <v>46029</v>
      </c>
      <c r="F2819" t="inlineStr">
        <is>
          <t>CT-e</t>
        </is>
      </c>
      <c r="G2819" t="inlineStr">
        <is>
          <t>000023608</t>
        </is>
      </c>
      <c r="H2819" t="inlineStr">
        <is>
          <t>TRANSPORTE OLIVEIRA E MELLOI - IDEALIZA TRANSPORTES</t>
        </is>
      </c>
      <c r="J2819" s="29" t="n">
        <v>249.25</v>
      </c>
      <c r="K2819" s="29">
        <f>(1-ISNUMBER(SEARCH("556",M2819)))*(O2819*SUMIFS(Premissas!$C$5:$C$44,Premissas!$A$5:$A$44,$A2819,Premissas!$B$5:$B$44,$B2819)+P2819*SUMIFS(Premissas!$D$5:$D$44,Premissas!$A$5:$A$44,$A2819,Premissas!$B$5:$B$44,$B2819))+R2819*SUMIFS(Premissas!$E$5:$E$44,Premissas!$A$5:$A$44,$A2819,Premissas!$B$5:$B$44,$B2819)+S2819*SUMIFS(Premissas!$F$5:$F$44,Premissas!$A$5:$A$44,$A2819,Premissas!$B$5:$B$44,$B2819)</f>
        <v/>
      </c>
      <c r="L2819" s="29">
        <f>J2819-K2819</f>
        <v/>
      </c>
      <c r="M2819" t="inlineStr">
        <is>
          <t>1.350</t>
        </is>
      </c>
      <c r="N2819" t="inlineStr">
        <is>
          <t>Modalidade: 0 - Por conta do remetente | Parte: D. R. B. DE J. MALAMAO LTDA (31.155.347/0001-37)</t>
        </is>
      </c>
      <c r="O2819" s="29" t="n">
        <v>0</v>
      </c>
      <c r="P2819" s="29" t="n">
        <v>29.91</v>
      </c>
      <c r="Q2819" s="29" t="n">
        <v>0</v>
      </c>
      <c r="R2819" s="29" t="n">
        <v>0</v>
      </c>
      <c r="S2819" s="29" t="n">
        <v>0</v>
      </c>
      <c r="T2819" t="inlineStr">
        <is>
          <t>15260120175042000170570010000236081000037582</t>
        </is>
      </c>
      <c r="U2819" t="inlineStr">
        <is>
          <t>Sim</t>
        </is>
      </c>
    </row>
    <row r="2820">
      <c r="A2820" t="inlineStr">
        <is>
          <t>Frete de venda</t>
        </is>
      </c>
      <c r="B2820" t="inlineStr">
        <is>
          <t>2.01.02 Frete sobre Vendas</t>
        </is>
      </c>
      <c r="C2820" s="30" t="n">
        <v>46023</v>
      </c>
      <c r="D2820" t="inlineStr">
        <is>
          <t>Em 2026</t>
        </is>
      </c>
      <c r="E2820" s="28" t="n">
        <v>46029</v>
      </c>
      <c r="F2820" t="inlineStr">
        <is>
          <t>CT-e</t>
        </is>
      </c>
      <c r="G2820" t="inlineStr">
        <is>
          <t>000023609</t>
        </is>
      </c>
      <c r="H2820" t="inlineStr">
        <is>
          <t>TRANSPORTE OLIVEIRA E MELLOI - IDEALIZA TRANSPORTES</t>
        </is>
      </c>
      <c r="J2820" s="29" t="n">
        <v>286.48</v>
      </c>
      <c r="K2820" s="29">
        <f>(1-ISNUMBER(SEARCH("556",M2820)))*(O2820*SUMIFS(Premissas!$C$5:$C$44,Premissas!$A$5:$A$44,$A2820,Premissas!$B$5:$B$44,$B2820)+P2820*SUMIFS(Premissas!$D$5:$D$44,Premissas!$A$5:$A$44,$A2820,Premissas!$B$5:$B$44,$B2820))+R2820*SUMIFS(Premissas!$E$5:$E$44,Premissas!$A$5:$A$44,$A2820,Premissas!$B$5:$B$44,$B2820)+S2820*SUMIFS(Premissas!$F$5:$F$44,Premissas!$A$5:$A$44,$A2820,Premissas!$B$5:$B$44,$B2820)</f>
        <v/>
      </c>
      <c r="L2820" s="29">
        <f>J2820-K2820</f>
        <v/>
      </c>
      <c r="M2820" t="inlineStr">
        <is>
          <t>1.350</t>
        </is>
      </c>
      <c r="N2820" t="inlineStr">
        <is>
          <t>Modalidade: 0 - Por conta do remetente | Parte: NORTE PLAST LTDA (61.061.989/0001-38)</t>
        </is>
      </c>
      <c r="O2820" s="29" t="n">
        <v>0</v>
      </c>
      <c r="P2820" s="29" t="n">
        <v>34.38</v>
      </c>
      <c r="Q2820" s="29" t="n">
        <v>0</v>
      </c>
      <c r="R2820" s="29" t="n">
        <v>0</v>
      </c>
      <c r="S2820" s="29" t="n">
        <v>0</v>
      </c>
      <c r="T2820" t="inlineStr">
        <is>
          <t>15260120175042000170570010000236091000037598</t>
        </is>
      </c>
      <c r="U2820" t="inlineStr">
        <is>
          <t>Sim</t>
        </is>
      </c>
    </row>
    <row r="2821">
      <c r="A2821" t="inlineStr">
        <is>
          <t>Frete de venda</t>
        </is>
      </c>
      <c r="B2821" t="inlineStr">
        <is>
          <t>2.01.02 Frete sobre Vendas</t>
        </is>
      </c>
      <c r="C2821" s="30" t="n">
        <v>46023</v>
      </c>
      <c r="D2821" t="inlineStr">
        <is>
          <t>Em 2026</t>
        </is>
      </c>
      <c r="E2821" s="28" t="n">
        <v>46029</v>
      </c>
      <c r="F2821" t="inlineStr">
        <is>
          <t>CT-e</t>
        </is>
      </c>
      <c r="G2821" t="inlineStr">
        <is>
          <t>000023610</t>
        </is>
      </c>
      <c r="H2821" t="inlineStr">
        <is>
          <t>TRANSPORTE OLIVEIRA E MELLOI - IDEALIZA TRANSPORTES</t>
        </is>
      </c>
      <c r="J2821" s="29" t="n">
        <v>244.02</v>
      </c>
      <c r="K2821" s="29">
        <f>(1-ISNUMBER(SEARCH("556",M2821)))*(O2821*SUMIFS(Premissas!$C$5:$C$44,Premissas!$A$5:$A$44,$A2821,Premissas!$B$5:$B$44,$B2821)+P2821*SUMIFS(Premissas!$D$5:$D$44,Premissas!$A$5:$A$44,$A2821,Premissas!$B$5:$B$44,$B2821))+R2821*SUMIFS(Premissas!$E$5:$E$44,Premissas!$A$5:$A$44,$A2821,Premissas!$B$5:$B$44,$B2821)+S2821*SUMIFS(Premissas!$F$5:$F$44,Premissas!$A$5:$A$44,$A2821,Premissas!$B$5:$B$44,$B2821)</f>
        <v/>
      </c>
      <c r="L2821" s="29">
        <f>J2821-K2821</f>
        <v/>
      </c>
      <c r="M2821" t="inlineStr">
        <is>
          <t>1.350</t>
        </is>
      </c>
      <c r="N2821" t="inlineStr">
        <is>
          <t>Modalidade: 0 - Por conta do remetente | Parte: PIAUI PLAST EIRELI (37.914.034/0001-00)</t>
        </is>
      </c>
      <c r="O2821" s="29" t="n">
        <v>0</v>
      </c>
      <c r="P2821" s="29" t="n">
        <v>29.28</v>
      </c>
      <c r="Q2821" s="29" t="n">
        <v>0</v>
      </c>
      <c r="R2821" s="29" t="n">
        <v>0</v>
      </c>
      <c r="S2821" s="29" t="n">
        <v>0</v>
      </c>
      <c r="T2821" t="inlineStr">
        <is>
          <t>15260120175042000170570010000236101000037602</t>
        </is>
      </c>
      <c r="U2821" t="inlineStr">
        <is>
          <t>Sim</t>
        </is>
      </c>
    </row>
    <row r="2822">
      <c r="A2822" t="inlineStr">
        <is>
          <t>Frete de venda</t>
        </is>
      </c>
      <c r="B2822" t="inlineStr">
        <is>
          <t>2.01.02 Frete sobre Vendas</t>
        </is>
      </c>
      <c r="C2822" s="30" t="n">
        <v>46054</v>
      </c>
      <c r="D2822" t="inlineStr">
        <is>
          <t>Em 2026</t>
        </is>
      </c>
      <c r="E2822" s="28" t="n">
        <v>46064</v>
      </c>
      <c r="F2822" t="inlineStr">
        <is>
          <t>CT-e</t>
        </is>
      </c>
      <c r="G2822" t="inlineStr">
        <is>
          <t>001408477</t>
        </is>
      </c>
      <c r="H2822" t="inlineStr">
        <is>
          <t>PICCOLI TRANSPORTES LTDA</t>
        </is>
      </c>
      <c r="J2822" s="29" t="n">
        <v>706.01</v>
      </c>
      <c r="K2822" s="29">
        <f>(1-ISNUMBER(SEARCH("556",M2822)))*(O2822*SUMIFS(Premissas!$C$5:$C$44,Premissas!$A$5:$A$44,$A2822,Premissas!$B$5:$B$44,$B2822)+P2822*SUMIFS(Premissas!$D$5:$D$44,Premissas!$A$5:$A$44,$A2822,Premissas!$B$5:$B$44,$B2822))+R2822*SUMIFS(Premissas!$E$5:$E$44,Premissas!$A$5:$A$44,$A2822,Premissas!$B$5:$B$44,$B2822)+S2822*SUMIFS(Premissas!$F$5:$F$44,Premissas!$A$5:$A$44,$A2822,Premissas!$B$5:$B$44,$B2822)</f>
        <v/>
      </c>
      <c r="L2822" s="29">
        <f>J2822-K2822</f>
        <v/>
      </c>
      <c r="M2822" t="inlineStr">
        <is>
          <t>1.350</t>
        </is>
      </c>
      <c r="N2822" t="inlineStr">
        <is>
          <t>Modalidade: 0 - Por conta do remetente | Parte: MARIA CLEIDE RAMOS LTDA (42.968.790/0001-43)</t>
        </is>
      </c>
      <c r="O2822" s="29" t="n">
        <v>0</v>
      </c>
      <c r="P2822" s="29" t="n">
        <v>49.42</v>
      </c>
      <c r="Q2822" s="29" t="n">
        <v>0</v>
      </c>
      <c r="R2822" s="29" t="n">
        <v>0</v>
      </c>
      <c r="S2822" s="29" t="n">
        <v>0</v>
      </c>
      <c r="T2822" t="inlineStr">
        <is>
          <t>35260201496359000245570010014084771005277187</t>
        </is>
      </c>
      <c r="U2822" t="inlineStr">
        <is>
          <t>Sim</t>
        </is>
      </c>
    </row>
    <row r="2823">
      <c r="A2823" t="inlineStr">
        <is>
          <t>Frete de venda</t>
        </is>
      </c>
      <c r="B2823" t="inlineStr">
        <is>
          <t>2.01.02 Frete sobre Vendas</t>
        </is>
      </c>
      <c r="C2823" s="30" t="n">
        <v>46054</v>
      </c>
      <c r="D2823" t="inlineStr">
        <is>
          <t>Em 2026</t>
        </is>
      </c>
      <c r="E2823" s="28" t="n">
        <v>46065</v>
      </c>
      <c r="F2823" t="inlineStr">
        <is>
          <t>CT-e</t>
        </is>
      </c>
      <c r="G2823" t="inlineStr">
        <is>
          <t>001408561</t>
        </is>
      </c>
      <c r="H2823" t="inlineStr">
        <is>
          <t>PICCOLI TRANSPORTES LTDA</t>
        </is>
      </c>
      <c r="J2823" s="29" t="n">
        <v>729.03</v>
      </c>
      <c r="K2823" s="29">
        <f>(1-ISNUMBER(SEARCH("556",M2823)))*(O2823*SUMIFS(Premissas!$C$5:$C$44,Premissas!$A$5:$A$44,$A2823,Premissas!$B$5:$B$44,$B2823)+P2823*SUMIFS(Premissas!$D$5:$D$44,Premissas!$A$5:$A$44,$A2823,Premissas!$B$5:$B$44,$B2823))+R2823*SUMIFS(Premissas!$E$5:$E$44,Premissas!$A$5:$A$44,$A2823,Premissas!$B$5:$B$44,$B2823)+S2823*SUMIFS(Premissas!$F$5:$F$44,Premissas!$A$5:$A$44,$A2823,Premissas!$B$5:$B$44,$B2823)</f>
        <v/>
      </c>
      <c r="L2823" s="29">
        <f>J2823-K2823</f>
        <v/>
      </c>
      <c r="M2823" t="inlineStr">
        <is>
          <t>1.350</t>
        </is>
      </c>
      <c r="N2823" t="inlineStr">
        <is>
          <t>Modalidade: 0 - Por conta do remetente | Parte: M. O. FELICIO RIBEIRO LTDA (49.786.983/0001-22)</t>
        </is>
      </c>
      <c r="O2823" s="29" t="n">
        <v>0</v>
      </c>
      <c r="P2823" s="29" t="n">
        <v>51.03</v>
      </c>
      <c r="Q2823" s="29" t="n">
        <v>0</v>
      </c>
      <c r="R2823" s="29" t="n">
        <v>0</v>
      </c>
      <c r="S2823" s="29" t="n">
        <v>0</v>
      </c>
      <c r="T2823" t="inlineStr">
        <is>
          <t>35260201496359000245570010014085611005278090</t>
        </is>
      </c>
      <c r="U2823" t="inlineStr">
        <is>
          <t>Sim</t>
        </is>
      </c>
    </row>
    <row r="2824">
      <c r="A2824" t="inlineStr">
        <is>
          <t>Frete de venda</t>
        </is>
      </c>
      <c r="B2824" t="inlineStr">
        <is>
          <t>2.01.02 Frete sobre Vendas</t>
        </is>
      </c>
      <c r="C2824" s="30" t="n">
        <v>46054</v>
      </c>
      <c r="D2824" t="inlineStr">
        <is>
          <t>Em 2026</t>
        </is>
      </c>
      <c r="E2824" s="28" t="n">
        <v>46065</v>
      </c>
      <c r="F2824" t="inlineStr">
        <is>
          <t>CT-e</t>
        </is>
      </c>
      <c r="G2824" t="inlineStr">
        <is>
          <t>001408564</t>
        </is>
      </c>
      <c r="H2824" t="inlineStr">
        <is>
          <t>PICCOLI TRANSPORTES LTDA</t>
        </is>
      </c>
      <c r="J2824" s="29" t="n">
        <v>658.46</v>
      </c>
      <c r="K2824" s="29">
        <f>(1-ISNUMBER(SEARCH("556",M2824)))*(O2824*SUMIFS(Premissas!$C$5:$C$44,Premissas!$A$5:$A$44,$A2824,Premissas!$B$5:$B$44,$B2824)+P2824*SUMIFS(Premissas!$D$5:$D$44,Premissas!$A$5:$A$44,$A2824,Premissas!$B$5:$B$44,$B2824))+R2824*SUMIFS(Premissas!$E$5:$E$44,Premissas!$A$5:$A$44,$A2824,Premissas!$B$5:$B$44,$B2824)+S2824*SUMIFS(Premissas!$F$5:$F$44,Premissas!$A$5:$A$44,$A2824,Premissas!$B$5:$B$44,$B2824)</f>
        <v/>
      </c>
      <c r="L2824" s="29">
        <f>J2824-K2824</f>
        <v/>
      </c>
      <c r="M2824" t="inlineStr">
        <is>
          <t>1.350</t>
        </is>
      </c>
      <c r="N2824" t="inlineStr">
        <is>
          <t>Modalidade: 0 - Por conta do remetente | Parte: PLASPEL EMBALAGENS LTDA (00.076.958/0001-66)</t>
        </is>
      </c>
      <c r="O2824" s="29" t="n">
        <v>0</v>
      </c>
      <c r="P2824" s="29" t="n">
        <v>46.09</v>
      </c>
      <c r="Q2824" s="29" t="n">
        <v>0</v>
      </c>
      <c r="R2824" s="29" t="n">
        <v>0</v>
      </c>
      <c r="S2824" s="29" t="n">
        <v>0</v>
      </c>
      <c r="T2824" t="inlineStr">
        <is>
          <t>35260201496359000245570010014085641005278121</t>
        </is>
      </c>
      <c r="U2824" t="inlineStr">
        <is>
          <t>Sim</t>
        </is>
      </c>
    </row>
    <row r="2825">
      <c r="A2825" t="inlineStr">
        <is>
          <t>Frete de venda</t>
        </is>
      </c>
      <c r="B2825" t="inlineStr">
        <is>
          <t>2.01.02 Frete sobre Vendas</t>
        </is>
      </c>
      <c r="C2825" s="30" t="n">
        <v>46054</v>
      </c>
      <c r="D2825" t="inlineStr">
        <is>
          <t>Em 2026</t>
        </is>
      </c>
      <c r="E2825" s="28" t="n">
        <v>46057</v>
      </c>
      <c r="F2825" t="inlineStr">
        <is>
          <t>CT-e</t>
        </is>
      </c>
      <c r="G2825" t="inlineStr">
        <is>
          <t>000006310</t>
        </is>
      </c>
      <c r="H2825" t="inlineStr">
        <is>
          <t>R&amp;R TRANSPORTE E LOGISTICA</t>
        </is>
      </c>
      <c r="J2825" s="29" t="n">
        <v>579.51</v>
      </c>
      <c r="K2825" s="29">
        <f>(1-ISNUMBER(SEARCH("556",M2825)))*(O2825*SUMIFS(Premissas!$C$5:$C$44,Premissas!$A$5:$A$44,$A2825,Premissas!$B$5:$B$44,$B2825)+P2825*SUMIFS(Premissas!$D$5:$D$44,Premissas!$A$5:$A$44,$A2825,Premissas!$B$5:$B$44,$B2825))+R2825*SUMIFS(Premissas!$E$5:$E$44,Premissas!$A$5:$A$44,$A2825,Premissas!$B$5:$B$44,$B2825)+S2825*SUMIFS(Premissas!$F$5:$F$44,Premissas!$A$5:$A$44,$A2825,Premissas!$B$5:$B$44,$B2825)</f>
        <v/>
      </c>
      <c r="L2825" s="29">
        <f>J2825-K2825</f>
        <v/>
      </c>
      <c r="M2825" t="inlineStr">
        <is>
          <t>1.350</t>
        </is>
      </c>
      <c r="N2825" t="inlineStr">
        <is>
          <t>Modalidade: 0 - Por conta do remetente | Parte: DISTRIPACK DISTRIBUIDORA DE EMBALAGENS LTDA (11.043.375/0003-17)</t>
        </is>
      </c>
      <c r="O2825" s="29" t="n">
        <v>0</v>
      </c>
      <c r="P2825" s="29" t="n">
        <v>0</v>
      </c>
      <c r="Q2825" s="29" t="n">
        <v>0</v>
      </c>
      <c r="R2825" s="29" t="n">
        <v>0</v>
      </c>
      <c r="S2825" s="29" t="n">
        <v>0</v>
      </c>
      <c r="T2825" t="inlineStr">
        <is>
          <t>25260226975620000130570010000063101001101117</t>
        </is>
      </c>
      <c r="U2825" t="inlineStr">
        <is>
          <t>Não</t>
        </is>
      </c>
    </row>
    <row r="2826">
      <c r="A2826" t="inlineStr">
        <is>
          <t>Frete de venda</t>
        </is>
      </c>
      <c r="B2826" t="inlineStr">
        <is>
          <t>2.01.02 Frete sobre Vendas</t>
        </is>
      </c>
      <c r="C2826" s="30" t="n">
        <v>46054</v>
      </c>
      <c r="D2826" t="inlineStr">
        <is>
          <t>Em 2026</t>
        </is>
      </c>
      <c r="E2826" s="28" t="n">
        <v>46058</v>
      </c>
      <c r="F2826" t="inlineStr">
        <is>
          <t>CT-e</t>
        </is>
      </c>
      <c r="G2826" t="inlineStr">
        <is>
          <t>000006312</t>
        </is>
      </c>
      <c r="H2826" t="inlineStr">
        <is>
          <t>R&amp;R TRANSPORTE E LOGISTICA</t>
        </is>
      </c>
      <c r="J2826" s="29" t="n">
        <v>98.72</v>
      </c>
      <c r="K2826" s="29">
        <f>(1-ISNUMBER(SEARCH("556",M2826)))*(O2826*SUMIFS(Premissas!$C$5:$C$44,Premissas!$A$5:$A$44,$A2826,Premissas!$B$5:$B$44,$B2826)+P2826*SUMIFS(Premissas!$D$5:$D$44,Premissas!$A$5:$A$44,$A2826,Premissas!$B$5:$B$44,$B2826))+R2826*SUMIFS(Premissas!$E$5:$E$44,Premissas!$A$5:$A$44,$A2826,Premissas!$B$5:$B$44,$B2826)+S2826*SUMIFS(Premissas!$F$5:$F$44,Premissas!$A$5:$A$44,$A2826,Premissas!$B$5:$B$44,$B2826)</f>
        <v/>
      </c>
      <c r="L2826" s="29">
        <f>J2826-K2826</f>
        <v/>
      </c>
      <c r="M2826" t="inlineStr">
        <is>
          <t>1.350</t>
        </is>
      </c>
      <c r="N2826" t="inlineStr">
        <is>
          <t>Modalidade: 0 - Por conta do remetente | Parte: TOP ATACADISTA DE EMBALAGENS LTDA (62.946.602/0001-93)</t>
        </is>
      </c>
      <c r="O2826" s="29" t="n">
        <v>0</v>
      </c>
      <c r="P2826" s="29" t="n">
        <v>0</v>
      </c>
      <c r="Q2826" s="29" t="n">
        <v>0</v>
      </c>
      <c r="R2826" s="29" t="n">
        <v>0</v>
      </c>
      <c r="S2826" s="29" t="n">
        <v>0</v>
      </c>
      <c r="T2826" t="inlineStr">
        <is>
          <t>25260226975620000130570010000063121001301579</t>
        </is>
      </c>
      <c r="U2826" t="inlineStr">
        <is>
          <t>Não</t>
        </is>
      </c>
    </row>
    <row r="2827">
      <c r="A2827" t="inlineStr">
        <is>
          <t>Frete de venda</t>
        </is>
      </c>
      <c r="B2827" t="inlineStr">
        <is>
          <t>2.01.02 Frete sobre Vendas</t>
        </is>
      </c>
      <c r="C2827" s="30" t="n">
        <v>46054</v>
      </c>
      <c r="D2827" t="inlineStr">
        <is>
          <t>Em 2026</t>
        </is>
      </c>
      <c r="E2827" s="28" t="n">
        <v>46058</v>
      </c>
      <c r="F2827" t="inlineStr">
        <is>
          <t>CT-e</t>
        </is>
      </c>
      <c r="G2827" t="inlineStr">
        <is>
          <t>000006313</t>
        </is>
      </c>
      <c r="H2827" t="inlineStr">
        <is>
          <t>R&amp;R TRANSPORTE E LOGISTICA</t>
        </is>
      </c>
      <c r="J2827" s="29" t="n">
        <v>159.01</v>
      </c>
      <c r="K2827" s="29">
        <f>(1-ISNUMBER(SEARCH("556",M2827)))*(O2827*SUMIFS(Premissas!$C$5:$C$44,Premissas!$A$5:$A$44,$A2827,Premissas!$B$5:$B$44,$B2827)+P2827*SUMIFS(Premissas!$D$5:$D$44,Premissas!$A$5:$A$44,$A2827,Premissas!$B$5:$B$44,$B2827))+R2827*SUMIFS(Premissas!$E$5:$E$44,Premissas!$A$5:$A$44,$A2827,Premissas!$B$5:$B$44,$B2827)+S2827*SUMIFS(Premissas!$F$5:$F$44,Premissas!$A$5:$A$44,$A2827,Premissas!$B$5:$B$44,$B2827)</f>
        <v/>
      </c>
      <c r="L2827" s="29">
        <f>J2827-K2827</f>
        <v/>
      </c>
      <c r="M2827" t="inlineStr">
        <is>
          <t>1.350</t>
        </is>
      </c>
      <c r="N2827" t="inlineStr">
        <is>
          <t>Modalidade: 0 - Por conta do remetente | Parte: PRONTO DISTRIBUIDORA LTDA (59.909.633/0001-60)</t>
        </is>
      </c>
      <c r="O2827" s="29" t="n">
        <v>0</v>
      </c>
      <c r="P2827" s="29" t="n">
        <v>0</v>
      </c>
      <c r="Q2827" s="29" t="n">
        <v>0</v>
      </c>
      <c r="R2827" s="29" t="n">
        <v>0</v>
      </c>
      <c r="S2827" s="29" t="n">
        <v>0</v>
      </c>
      <c r="T2827" t="inlineStr">
        <is>
          <t>25260226975620000130570010000063131000101654</t>
        </is>
      </c>
      <c r="U2827" t="inlineStr">
        <is>
          <t>Não</t>
        </is>
      </c>
    </row>
    <row r="2828">
      <c r="A2828" t="inlineStr">
        <is>
          <t>Frete de venda</t>
        </is>
      </c>
      <c r="B2828" t="inlineStr">
        <is>
          <t>2.01.02 Frete sobre Vendas</t>
        </is>
      </c>
      <c r="C2828" s="30" t="n">
        <v>46054</v>
      </c>
      <c r="D2828" t="inlineStr">
        <is>
          <t>Em 2026</t>
        </is>
      </c>
      <c r="E2828" s="28" t="n">
        <v>46060</v>
      </c>
      <c r="F2828" t="inlineStr">
        <is>
          <t>CT-e</t>
        </is>
      </c>
      <c r="G2828" t="inlineStr">
        <is>
          <t>000006316</t>
        </is>
      </c>
      <c r="H2828" t="inlineStr">
        <is>
          <t>R&amp;R TRANSPORTE E LOGISTICA</t>
        </is>
      </c>
      <c r="J2828" s="29" t="n">
        <v>69.05</v>
      </c>
      <c r="K2828" s="29">
        <f>(1-ISNUMBER(SEARCH("556",M2828)))*(O2828*SUMIFS(Premissas!$C$5:$C$44,Premissas!$A$5:$A$44,$A2828,Premissas!$B$5:$B$44,$B2828)+P2828*SUMIFS(Premissas!$D$5:$D$44,Premissas!$A$5:$A$44,$A2828,Premissas!$B$5:$B$44,$B2828))+R2828*SUMIFS(Premissas!$E$5:$E$44,Premissas!$A$5:$A$44,$A2828,Premissas!$B$5:$B$44,$B2828)+S2828*SUMIFS(Premissas!$F$5:$F$44,Premissas!$A$5:$A$44,$A2828,Premissas!$B$5:$B$44,$B2828)</f>
        <v/>
      </c>
      <c r="L2828" s="29">
        <f>J2828-K2828</f>
        <v/>
      </c>
      <c r="M2828" t="inlineStr">
        <is>
          <t>1.350</t>
        </is>
      </c>
      <c r="N2828" t="inlineStr">
        <is>
          <t>Modalidade: 0 - Por conta do remetente | Parte: A. C. D. A. IMPORTACAO E EXPORTACAO LTDA (84.308.980/0014-07)</t>
        </is>
      </c>
      <c r="O2828" s="29" t="n">
        <v>0</v>
      </c>
      <c r="P2828" s="29" t="n">
        <v>0</v>
      </c>
      <c r="Q2828" s="29" t="n">
        <v>0</v>
      </c>
      <c r="R2828" s="29" t="n">
        <v>0</v>
      </c>
      <c r="S2828" s="29" t="n">
        <v>0</v>
      </c>
      <c r="T2828" t="inlineStr">
        <is>
          <t>25260226975620000130570010000063161000010880</t>
        </is>
      </c>
      <c r="U2828" t="inlineStr">
        <is>
          <t>Não</t>
        </is>
      </c>
    </row>
    <row r="2829">
      <c r="A2829" t="inlineStr">
        <is>
          <t>Frete de venda</t>
        </is>
      </c>
      <c r="B2829" t="inlineStr">
        <is>
          <t>2.01.02 Frete sobre Vendas</t>
        </is>
      </c>
      <c r="C2829" s="30" t="n">
        <v>46054</v>
      </c>
      <c r="D2829" t="inlineStr">
        <is>
          <t>Em 2026</t>
        </is>
      </c>
      <c r="E2829" s="28" t="n">
        <v>46060</v>
      </c>
      <c r="F2829" t="inlineStr">
        <is>
          <t>CT-e</t>
        </is>
      </c>
      <c r="G2829" t="inlineStr">
        <is>
          <t>000006317</t>
        </is>
      </c>
      <c r="H2829" t="inlineStr">
        <is>
          <t>R&amp;R TRANSPORTE E LOGISTICA</t>
        </is>
      </c>
      <c r="J2829" s="29" t="n">
        <v>69.05</v>
      </c>
      <c r="K2829" s="29">
        <f>(1-ISNUMBER(SEARCH("556",M2829)))*(O2829*SUMIFS(Premissas!$C$5:$C$44,Premissas!$A$5:$A$44,$A2829,Premissas!$B$5:$B$44,$B2829)+P2829*SUMIFS(Premissas!$D$5:$D$44,Premissas!$A$5:$A$44,$A2829,Premissas!$B$5:$B$44,$B2829))+R2829*SUMIFS(Premissas!$E$5:$E$44,Premissas!$A$5:$A$44,$A2829,Premissas!$B$5:$B$44,$B2829)+S2829*SUMIFS(Premissas!$F$5:$F$44,Premissas!$A$5:$A$44,$A2829,Premissas!$B$5:$B$44,$B2829)</f>
        <v/>
      </c>
      <c r="L2829" s="29">
        <f>J2829-K2829</f>
        <v/>
      </c>
      <c r="M2829" t="inlineStr">
        <is>
          <t>1.350</t>
        </is>
      </c>
      <c r="N2829" t="inlineStr">
        <is>
          <t>Modalidade: 0 - Por conta do remetente | Parte: SUPERMERCADO CASA VITAL LTDA (26.882.480/0001-55)</t>
        </is>
      </c>
      <c r="O2829" s="29" t="n">
        <v>0</v>
      </c>
      <c r="P2829" s="29" t="n">
        <v>0</v>
      </c>
      <c r="Q2829" s="29" t="n">
        <v>0</v>
      </c>
      <c r="R2829" s="29" t="n">
        <v>0</v>
      </c>
      <c r="S2829" s="29" t="n">
        <v>0</v>
      </c>
      <c r="T2829" t="inlineStr">
        <is>
          <t>25260226975620000130570010000063171000180960</t>
        </is>
      </c>
      <c r="U2829" t="inlineStr">
        <is>
          <t>Não</t>
        </is>
      </c>
    </row>
    <row r="2830">
      <c r="A2830" t="inlineStr">
        <is>
          <t>Frete de venda</t>
        </is>
      </c>
      <c r="B2830" t="inlineStr">
        <is>
          <t>2.01.02 Frete sobre Vendas</t>
        </is>
      </c>
      <c r="C2830" s="30" t="n">
        <v>46054</v>
      </c>
      <c r="D2830" t="inlineStr">
        <is>
          <t>Em 2026</t>
        </is>
      </c>
      <c r="E2830" s="28" t="n">
        <v>46060</v>
      </c>
      <c r="F2830" t="inlineStr">
        <is>
          <t>CT-e</t>
        </is>
      </c>
      <c r="G2830" t="inlineStr">
        <is>
          <t>000006318</t>
        </is>
      </c>
      <c r="H2830" t="inlineStr">
        <is>
          <t>R&amp;R TRANSPORTE E LOGISTICA</t>
        </is>
      </c>
      <c r="J2830" s="29" t="n">
        <v>69.05</v>
      </c>
      <c r="K2830" s="29">
        <f>(1-ISNUMBER(SEARCH("556",M2830)))*(O2830*SUMIFS(Premissas!$C$5:$C$44,Premissas!$A$5:$A$44,$A2830,Premissas!$B$5:$B$44,$B2830)+P2830*SUMIFS(Premissas!$D$5:$D$44,Premissas!$A$5:$A$44,$A2830,Premissas!$B$5:$B$44,$B2830))+R2830*SUMIFS(Premissas!$E$5:$E$44,Premissas!$A$5:$A$44,$A2830,Premissas!$B$5:$B$44,$B2830)+S2830*SUMIFS(Premissas!$F$5:$F$44,Premissas!$A$5:$A$44,$A2830,Premissas!$B$5:$B$44,$B2830)</f>
        <v/>
      </c>
      <c r="L2830" s="29">
        <f>J2830-K2830</f>
        <v/>
      </c>
      <c r="M2830" t="inlineStr">
        <is>
          <t>1.350</t>
        </is>
      </c>
      <c r="N2830" t="inlineStr">
        <is>
          <t>Modalidade: 0 - Por conta do remetente | Parte: SAO JOSE INDUSTRIA E COMERCIO DE PLASTICOS LTDA (14.894.445/0001-77)</t>
        </is>
      </c>
      <c r="O2830" s="29" t="n">
        <v>0</v>
      </c>
      <c r="P2830" s="29" t="n">
        <v>0</v>
      </c>
      <c r="Q2830" s="29" t="n">
        <v>0</v>
      </c>
      <c r="R2830" s="29" t="n">
        <v>0</v>
      </c>
      <c r="S2830" s="29" t="n">
        <v>0</v>
      </c>
      <c r="T2830" t="inlineStr">
        <is>
          <t>25260226975620000130570010000063181001501040</t>
        </is>
      </c>
      <c r="U2830" t="inlineStr">
        <is>
          <t>Não</t>
        </is>
      </c>
    </row>
    <row r="2831">
      <c r="A2831" t="inlineStr">
        <is>
          <t>Frete de venda</t>
        </is>
      </c>
      <c r="B2831" t="inlineStr">
        <is>
          <t>2.01.02 Frete sobre Vendas</t>
        </is>
      </c>
      <c r="C2831" s="30" t="n">
        <v>46054</v>
      </c>
      <c r="D2831" t="inlineStr">
        <is>
          <t>Em 2026</t>
        </is>
      </c>
      <c r="E2831" s="28" t="n">
        <v>46060</v>
      </c>
      <c r="F2831" t="inlineStr">
        <is>
          <t>CT-e</t>
        </is>
      </c>
      <c r="G2831" t="inlineStr">
        <is>
          <t>000006319</t>
        </is>
      </c>
      <c r="H2831" t="inlineStr">
        <is>
          <t>R&amp;R TRANSPORTE E LOGISTICA</t>
        </is>
      </c>
      <c r="J2831" s="29" t="n">
        <v>69.05</v>
      </c>
      <c r="K2831" s="29">
        <f>(1-ISNUMBER(SEARCH("556",M2831)))*(O2831*SUMIFS(Premissas!$C$5:$C$44,Premissas!$A$5:$A$44,$A2831,Premissas!$B$5:$B$44,$B2831)+P2831*SUMIFS(Premissas!$D$5:$D$44,Premissas!$A$5:$A$44,$A2831,Premissas!$B$5:$B$44,$B2831))+R2831*SUMIFS(Premissas!$E$5:$E$44,Premissas!$A$5:$A$44,$A2831,Premissas!$B$5:$B$44,$B2831)+S2831*SUMIFS(Premissas!$F$5:$F$44,Premissas!$A$5:$A$44,$A2831,Premissas!$B$5:$B$44,$B2831)</f>
        <v/>
      </c>
      <c r="L2831" s="29">
        <f>J2831-K2831</f>
        <v/>
      </c>
      <c r="M2831" t="inlineStr">
        <is>
          <t>1.350</t>
        </is>
      </c>
      <c r="N2831" t="inlineStr">
        <is>
          <t>Modalidade: 0 - Por conta do remetente | Parte: MERCANTIL DANTAS LTDA (03.581.785/0001-21)</t>
        </is>
      </c>
      <c r="O2831" s="29" t="n">
        <v>0</v>
      </c>
      <c r="P2831" s="29" t="n">
        <v>0</v>
      </c>
      <c r="Q2831" s="29" t="n">
        <v>0</v>
      </c>
      <c r="R2831" s="29" t="n">
        <v>0</v>
      </c>
      <c r="S2831" s="29" t="n">
        <v>0</v>
      </c>
      <c r="T2831" t="inlineStr">
        <is>
          <t>25260226975620000130570010000063191001201125</t>
        </is>
      </c>
      <c r="U2831" t="inlineStr">
        <is>
          <t>Não</t>
        </is>
      </c>
    </row>
    <row r="2832">
      <c r="A2832" t="inlineStr">
        <is>
          <t>Frete de venda</t>
        </is>
      </c>
      <c r="B2832" t="inlineStr">
        <is>
          <t>2.01.02 Frete sobre Vendas</t>
        </is>
      </c>
      <c r="C2832" s="30" t="n">
        <v>46054</v>
      </c>
      <c r="D2832" t="inlineStr">
        <is>
          <t>Em 2026</t>
        </is>
      </c>
      <c r="E2832" s="28" t="n">
        <v>46060</v>
      </c>
      <c r="F2832" t="inlineStr">
        <is>
          <t>CT-e</t>
        </is>
      </c>
      <c r="G2832" t="inlineStr">
        <is>
          <t>000006320</t>
        </is>
      </c>
      <c r="H2832" t="inlineStr">
        <is>
          <t>R&amp;R TRANSPORTE E LOGISTICA</t>
        </is>
      </c>
      <c r="J2832" s="29" t="n">
        <v>69.05</v>
      </c>
      <c r="K2832" s="29">
        <f>(1-ISNUMBER(SEARCH("556",M2832)))*(O2832*SUMIFS(Premissas!$C$5:$C$44,Premissas!$A$5:$A$44,$A2832,Premissas!$B$5:$B$44,$B2832)+P2832*SUMIFS(Premissas!$D$5:$D$44,Premissas!$A$5:$A$44,$A2832,Premissas!$B$5:$B$44,$B2832))+R2832*SUMIFS(Premissas!$E$5:$E$44,Premissas!$A$5:$A$44,$A2832,Premissas!$B$5:$B$44,$B2832)+S2832*SUMIFS(Premissas!$F$5:$F$44,Premissas!$A$5:$A$44,$A2832,Premissas!$B$5:$B$44,$B2832)</f>
        <v/>
      </c>
      <c r="L2832" s="29">
        <f>J2832-K2832</f>
        <v/>
      </c>
      <c r="M2832" t="inlineStr">
        <is>
          <t>1.350</t>
        </is>
      </c>
      <c r="N2832" t="inlineStr">
        <is>
          <t>Modalidade: 0 - Por conta do remetente | Parte: DISTRIBUIDORA ISAGAM LTDA (41.809.575/0001-37)</t>
        </is>
      </c>
      <c r="O2832" s="29" t="n">
        <v>0</v>
      </c>
      <c r="P2832" s="29" t="n">
        <v>0</v>
      </c>
      <c r="Q2832" s="29" t="n">
        <v>0</v>
      </c>
      <c r="R2832" s="29" t="n">
        <v>0</v>
      </c>
      <c r="S2832" s="29" t="n">
        <v>0</v>
      </c>
      <c r="T2832" t="inlineStr">
        <is>
          <t>25260226975620000130570010000063201011001200</t>
        </is>
      </c>
      <c r="U2832" t="inlineStr">
        <is>
          <t>Não</t>
        </is>
      </c>
    </row>
    <row r="2833">
      <c r="A2833" t="inlineStr">
        <is>
          <t>Frete de venda</t>
        </is>
      </c>
      <c r="B2833" t="inlineStr">
        <is>
          <t>2.01.02 Frete sobre Vendas</t>
        </is>
      </c>
      <c r="C2833" s="30" t="n">
        <v>46054</v>
      </c>
      <c r="D2833" t="inlineStr">
        <is>
          <t>Em 2026</t>
        </is>
      </c>
      <c r="E2833" s="28" t="n">
        <v>46060</v>
      </c>
      <c r="F2833" t="inlineStr">
        <is>
          <t>CT-e</t>
        </is>
      </c>
      <c r="G2833" t="inlineStr">
        <is>
          <t>000006321</t>
        </is>
      </c>
      <c r="H2833" t="inlineStr">
        <is>
          <t>R&amp;R TRANSPORTE E LOGISTICA</t>
        </is>
      </c>
      <c r="J2833" s="29" t="n">
        <v>69.05</v>
      </c>
      <c r="K2833" s="29">
        <f>(1-ISNUMBER(SEARCH("556",M2833)))*(O2833*SUMIFS(Premissas!$C$5:$C$44,Premissas!$A$5:$A$44,$A2833,Premissas!$B$5:$B$44,$B2833)+P2833*SUMIFS(Premissas!$D$5:$D$44,Premissas!$A$5:$A$44,$A2833,Premissas!$B$5:$B$44,$B2833))+R2833*SUMIFS(Premissas!$E$5:$E$44,Premissas!$A$5:$A$44,$A2833,Premissas!$B$5:$B$44,$B2833)+S2833*SUMIFS(Premissas!$F$5:$F$44,Premissas!$A$5:$A$44,$A2833,Premissas!$B$5:$B$44,$B2833)</f>
        <v/>
      </c>
      <c r="L2833" s="29">
        <f>J2833-K2833</f>
        <v/>
      </c>
      <c r="M2833" t="inlineStr">
        <is>
          <t>1.350</t>
        </is>
      </c>
      <c r="N2833" t="inlineStr">
        <is>
          <t>Modalidade: 0 - Por conta do remetente | Parte: ERS MINAS EMBALAGENS GV LTDA (17.937.402/0001-10)</t>
        </is>
      </c>
      <c r="O2833" s="29" t="n">
        <v>0</v>
      </c>
      <c r="P2833" s="29" t="n">
        <v>0</v>
      </c>
      <c r="Q2833" s="29" t="n">
        <v>0</v>
      </c>
      <c r="R2833" s="29" t="n">
        <v>0</v>
      </c>
      <c r="S2833" s="29" t="n">
        <v>0</v>
      </c>
      <c r="T2833" t="inlineStr">
        <is>
          <t>25260226975620000130570010000063211001701282</t>
        </is>
      </c>
      <c r="U2833" t="inlineStr">
        <is>
          <t>Não</t>
        </is>
      </c>
    </row>
    <row r="2834">
      <c r="A2834" t="inlineStr">
        <is>
          <t>Frete de venda</t>
        </is>
      </c>
      <c r="B2834" t="inlineStr">
        <is>
          <t>2.01.02 Frete sobre Vendas</t>
        </is>
      </c>
      <c r="C2834" s="30" t="n">
        <v>46054</v>
      </c>
      <c r="D2834" t="inlineStr">
        <is>
          <t>Em 2026</t>
        </is>
      </c>
      <c r="E2834" s="28" t="n">
        <v>46060</v>
      </c>
      <c r="F2834" t="inlineStr">
        <is>
          <t>CT-e</t>
        </is>
      </c>
      <c r="G2834" t="inlineStr">
        <is>
          <t>000006322</t>
        </is>
      </c>
      <c r="H2834" t="inlineStr">
        <is>
          <t>R&amp;R TRANSPORTE E LOGISTICA</t>
        </is>
      </c>
      <c r="J2834" s="29" t="n">
        <v>69.05</v>
      </c>
      <c r="K2834" s="29">
        <f>(1-ISNUMBER(SEARCH("556",M2834)))*(O2834*SUMIFS(Premissas!$C$5:$C$44,Premissas!$A$5:$A$44,$A2834,Premissas!$B$5:$B$44,$B2834)+P2834*SUMIFS(Premissas!$D$5:$D$44,Premissas!$A$5:$A$44,$A2834,Premissas!$B$5:$B$44,$B2834))+R2834*SUMIFS(Premissas!$E$5:$E$44,Premissas!$A$5:$A$44,$A2834,Premissas!$B$5:$B$44,$B2834)+S2834*SUMIFS(Premissas!$F$5:$F$44,Premissas!$A$5:$A$44,$A2834,Premissas!$B$5:$B$44,$B2834)</f>
        <v/>
      </c>
      <c r="L2834" s="29">
        <f>J2834-K2834</f>
        <v/>
      </c>
      <c r="M2834" t="inlineStr">
        <is>
          <t>1.350</t>
        </is>
      </c>
      <c r="N2834" t="inlineStr">
        <is>
          <t>Modalidade: 0 - Por conta do remetente | Parte: PONTUAL EMBALAGENS LTDA (20.813.448/0001-31)</t>
        </is>
      </c>
      <c r="O2834" s="29" t="n">
        <v>0</v>
      </c>
      <c r="P2834" s="29" t="n">
        <v>0</v>
      </c>
      <c r="Q2834" s="29" t="n">
        <v>0</v>
      </c>
      <c r="R2834" s="29" t="n">
        <v>0</v>
      </c>
      <c r="S2834" s="29" t="n">
        <v>0</v>
      </c>
      <c r="T2834" t="inlineStr">
        <is>
          <t>25260226975620000130570010000063221001401367</t>
        </is>
      </c>
      <c r="U2834" t="inlineStr">
        <is>
          <t>Não</t>
        </is>
      </c>
    </row>
    <row r="2835">
      <c r="A2835" t="inlineStr">
        <is>
          <t>Frete de venda</t>
        </is>
      </c>
      <c r="B2835" t="inlineStr">
        <is>
          <t>2.01.02 Frete sobre Vendas</t>
        </is>
      </c>
      <c r="C2835" s="30" t="n">
        <v>46054</v>
      </c>
      <c r="D2835" t="inlineStr">
        <is>
          <t>Em 2026</t>
        </is>
      </c>
      <c r="E2835" s="28" t="n">
        <v>46060</v>
      </c>
      <c r="F2835" t="inlineStr">
        <is>
          <t>CT-e</t>
        </is>
      </c>
      <c r="G2835" t="inlineStr">
        <is>
          <t>000006323</t>
        </is>
      </c>
      <c r="H2835" t="inlineStr">
        <is>
          <t>R&amp;R TRANSPORTE E LOGISTICA</t>
        </is>
      </c>
      <c r="J2835" s="29" t="n">
        <v>69.05</v>
      </c>
      <c r="K2835" s="29">
        <f>(1-ISNUMBER(SEARCH("556",M2835)))*(O2835*SUMIFS(Premissas!$C$5:$C$44,Premissas!$A$5:$A$44,$A2835,Premissas!$B$5:$B$44,$B2835)+P2835*SUMIFS(Premissas!$D$5:$D$44,Premissas!$A$5:$A$44,$A2835,Premissas!$B$5:$B$44,$B2835))+R2835*SUMIFS(Premissas!$E$5:$E$44,Premissas!$A$5:$A$44,$A2835,Premissas!$B$5:$B$44,$B2835)+S2835*SUMIFS(Premissas!$F$5:$F$44,Premissas!$A$5:$A$44,$A2835,Premissas!$B$5:$B$44,$B2835)</f>
        <v/>
      </c>
      <c r="L2835" s="29">
        <f>J2835-K2835</f>
        <v/>
      </c>
      <c r="M2835" t="inlineStr">
        <is>
          <t>1.350</t>
        </is>
      </c>
      <c r="N2835" t="inlineStr">
        <is>
          <t>Modalidade: 0 - Por conta do remetente | Parte: LEPETTI DOCES BSB LTDA (27.023.179/0001-59)</t>
        </is>
      </c>
      <c r="O2835" s="29" t="n">
        <v>0</v>
      </c>
      <c r="P2835" s="29" t="n">
        <v>0</v>
      </c>
      <c r="Q2835" s="29" t="n">
        <v>0</v>
      </c>
      <c r="R2835" s="29" t="n">
        <v>0</v>
      </c>
      <c r="S2835" s="29" t="n">
        <v>0</v>
      </c>
      <c r="T2835" t="inlineStr">
        <is>
          <t>25260226975620000130570010000063231000150716</t>
        </is>
      </c>
      <c r="U2835" t="inlineStr">
        <is>
          <t>Não</t>
        </is>
      </c>
    </row>
    <row r="2836">
      <c r="A2836" t="inlineStr">
        <is>
          <t>Frete de venda</t>
        </is>
      </c>
      <c r="B2836" t="inlineStr">
        <is>
          <t>2.01.02 Frete sobre Vendas</t>
        </is>
      </c>
      <c r="C2836" s="30" t="n">
        <v>46054</v>
      </c>
      <c r="D2836" t="inlineStr">
        <is>
          <t>Em 2026</t>
        </is>
      </c>
      <c r="E2836" s="28" t="n">
        <v>46060</v>
      </c>
      <c r="F2836" t="inlineStr">
        <is>
          <t>CT-e</t>
        </is>
      </c>
      <c r="G2836" t="inlineStr">
        <is>
          <t>000006324</t>
        </is>
      </c>
      <c r="H2836" t="inlineStr">
        <is>
          <t>R&amp;R TRANSPORTE E LOGISTICA</t>
        </is>
      </c>
      <c r="J2836" s="29" t="n">
        <v>69.05</v>
      </c>
      <c r="K2836" s="29">
        <f>(1-ISNUMBER(SEARCH("556",M2836)))*(O2836*SUMIFS(Premissas!$C$5:$C$44,Premissas!$A$5:$A$44,$A2836,Premissas!$B$5:$B$44,$B2836)+P2836*SUMIFS(Premissas!$D$5:$D$44,Premissas!$A$5:$A$44,$A2836,Premissas!$B$5:$B$44,$B2836))+R2836*SUMIFS(Premissas!$E$5:$E$44,Premissas!$A$5:$A$44,$A2836,Premissas!$B$5:$B$44,$B2836)+S2836*SUMIFS(Premissas!$F$5:$F$44,Premissas!$A$5:$A$44,$A2836,Premissas!$B$5:$B$44,$B2836)</f>
        <v/>
      </c>
      <c r="L2836" s="29">
        <f>J2836-K2836</f>
        <v/>
      </c>
      <c r="M2836" t="inlineStr">
        <is>
          <t>1.350</t>
        </is>
      </c>
      <c r="N2836" t="inlineStr">
        <is>
          <t>Modalidade: 0 - Por conta do remetente | Parte: SANTO EXPEDITO COM DE PROD E UTENSILIOS LTDA (10.310.603/0001-43)</t>
        </is>
      </c>
      <c r="O2836" s="29" t="n">
        <v>0</v>
      </c>
      <c r="P2836" s="29" t="n">
        <v>0</v>
      </c>
      <c r="Q2836" s="29" t="n">
        <v>0</v>
      </c>
      <c r="R2836" s="29" t="n">
        <v>0</v>
      </c>
      <c r="S2836" s="29" t="n">
        <v>0</v>
      </c>
      <c r="T2836" t="inlineStr">
        <is>
          <t>25260226975620000130570010000063241000120792</t>
        </is>
      </c>
      <c r="U2836" t="inlineStr">
        <is>
          <t>Não</t>
        </is>
      </c>
    </row>
    <row r="2837">
      <c r="A2837" t="inlineStr">
        <is>
          <t>Frete de venda</t>
        </is>
      </c>
      <c r="B2837" t="inlineStr">
        <is>
          <t>2.01.02 Frete sobre Vendas</t>
        </is>
      </c>
      <c r="C2837" s="30" t="n">
        <v>46054</v>
      </c>
      <c r="D2837" t="inlineStr">
        <is>
          <t>Em 2026</t>
        </is>
      </c>
      <c r="E2837" s="28" t="n">
        <v>46060</v>
      </c>
      <c r="F2837" t="inlineStr">
        <is>
          <t>CT-e</t>
        </is>
      </c>
      <c r="G2837" t="inlineStr">
        <is>
          <t>000006325</t>
        </is>
      </c>
      <c r="H2837" t="inlineStr">
        <is>
          <t>R&amp;R TRANSPORTE E LOGISTICA</t>
        </is>
      </c>
      <c r="J2837" s="29" t="n">
        <v>69.05</v>
      </c>
      <c r="K2837" s="29">
        <f>(1-ISNUMBER(SEARCH("556",M2837)))*(O2837*SUMIFS(Premissas!$C$5:$C$44,Premissas!$A$5:$A$44,$A2837,Premissas!$B$5:$B$44,$B2837)+P2837*SUMIFS(Premissas!$D$5:$D$44,Premissas!$A$5:$A$44,$A2837,Premissas!$B$5:$B$44,$B2837))+R2837*SUMIFS(Premissas!$E$5:$E$44,Premissas!$A$5:$A$44,$A2837,Premissas!$B$5:$B$44,$B2837)+S2837*SUMIFS(Premissas!$F$5:$F$44,Premissas!$A$5:$A$44,$A2837,Premissas!$B$5:$B$44,$B2837)</f>
        <v/>
      </c>
      <c r="L2837" s="29">
        <f>J2837-K2837</f>
        <v/>
      </c>
      <c r="M2837" t="inlineStr">
        <is>
          <t>1.350</t>
        </is>
      </c>
      <c r="N2837" t="inlineStr">
        <is>
          <t>Modalidade: 0 - Por conta do remetente | Parte: DISTRIBUIDORA DE FRIOS IRMAOS MARTINS LTDA (35.027.845/0001-55)</t>
        </is>
      </c>
      <c r="O2837" s="29" t="n">
        <v>0</v>
      </c>
      <c r="P2837" s="29" t="n">
        <v>0</v>
      </c>
      <c r="Q2837" s="29" t="n">
        <v>0</v>
      </c>
      <c r="R2837" s="29" t="n">
        <v>0</v>
      </c>
      <c r="S2837" s="29" t="n">
        <v>0</v>
      </c>
      <c r="T2837" t="inlineStr">
        <is>
          <t>25260226975620000130570010000063251001100873</t>
        </is>
      </c>
      <c r="U2837" t="inlineStr">
        <is>
          <t>Não</t>
        </is>
      </c>
    </row>
    <row r="2838">
      <c r="A2838" t="inlineStr">
        <is>
          <t>Frete de venda</t>
        </is>
      </c>
      <c r="B2838" t="inlineStr">
        <is>
          <t>2.01.02 Frete sobre Vendas</t>
        </is>
      </c>
      <c r="C2838" s="30" t="n">
        <v>46054</v>
      </c>
      <c r="D2838" t="inlineStr">
        <is>
          <t>Em 2026</t>
        </is>
      </c>
      <c r="E2838" s="28" t="n">
        <v>46060</v>
      </c>
      <c r="F2838" t="inlineStr">
        <is>
          <t>CT-e</t>
        </is>
      </c>
      <c r="G2838" t="inlineStr">
        <is>
          <t>000006326</t>
        </is>
      </c>
      <c r="H2838" t="inlineStr">
        <is>
          <t>R&amp;R TRANSPORTE E LOGISTICA</t>
        </is>
      </c>
      <c r="J2838" s="29" t="n">
        <v>69.05</v>
      </c>
      <c r="K2838" s="29">
        <f>(1-ISNUMBER(SEARCH("556",M2838)))*(O2838*SUMIFS(Premissas!$C$5:$C$44,Premissas!$A$5:$A$44,$A2838,Premissas!$B$5:$B$44,$B2838)+P2838*SUMIFS(Premissas!$D$5:$D$44,Premissas!$A$5:$A$44,$A2838,Premissas!$B$5:$B$44,$B2838))+R2838*SUMIFS(Premissas!$E$5:$E$44,Premissas!$A$5:$A$44,$A2838,Premissas!$B$5:$B$44,$B2838)+S2838*SUMIFS(Premissas!$F$5:$F$44,Premissas!$A$5:$A$44,$A2838,Premissas!$B$5:$B$44,$B2838)</f>
        <v/>
      </c>
      <c r="L2838" s="29">
        <f>J2838-K2838</f>
        <v/>
      </c>
      <c r="M2838" t="inlineStr">
        <is>
          <t>1.350</t>
        </is>
      </c>
      <c r="N2838" t="inlineStr">
        <is>
          <t>Modalidade: 0 - Por conta do remetente | Parte: RODRIGUES e DIAS COMERCIO DE HORTIFRUTI GRANJEIROS LTDA (09.143.905/0001-95)</t>
        </is>
      </c>
      <c r="O2838" s="29" t="n">
        <v>0</v>
      </c>
      <c r="P2838" s="29" t="n">
        <v>0</v>
      </c>
      <c r="Q2838" s="29" t="n">
        <v>0</v>
      </c>
      <c r="R2838" s="29" t="n">
        <v>0</v>
      </c>
      <c r="S2838" s="29" t="n">
        <v>0</v>
      </c>
      <c r="T2838" t="inlineStr">
        <is>
          <t>25260226975620000130570010000063261000170956</t>
        </is>
      </c>
      <c r="U2838" t="inlineStr">
        <is>
          <t>Não</t>
        </is>
      </c>
    </row>
    <row r="2839">
      <c r="A2839" t="inlineStr">
        <is>
          <t>Frete de venda</t>
        </is>
      </c>
      <c r="B2839" t="inlineStr">
        <is>
          <t>2.01.02 Frete sobre Vendas</t>
        </is>
      </c>
      <c r="C2839" s="30" t="n">
        <v>46054</v>
      </c>
      <c r="D2839" t="inlineStr">
        <is>
          <t>Em 2026</t>
        </is>
      </c>
      <c r="E2839" s="28" t="n">
        <v>46060</v>
      </c>
      <c r="F2839" t="inlineStr">
        <is>
          <t>CT-e</t>
        </is>
      </c>
      <c r="G2839" t="inlineStr">
        <is>
          <t>000006327</t>
        </is>
      </c>
      <c r="H2839" t="inlineStr">
        <is>
          <t>R&amp;R TRANSPORTE E LOGISTICA</t>
        </is>
      </c>
      <c r="J2839" s="29" t="n">
        <v>69.05</v>
      </c>
      <c r="K2839" s="29">
        <f>(1-ISNUMBER(SEARCH("556",M2839)))*(O2839*SUMIFS(Premissas!$C$5:$C$44,Premissas!$A$5:$A$44,$A2839,Premissas!$B$5:$B$44,$B2839)+P2839*SUMIFS(Premissas!$D$5:$D$44,Premissas!$A$5:$A$44,$A2839,Premissas!$B$5:$B$44,$B2839))+R2839*SUMIFS(Premissas!$E$5:$E$44,Premissas!$A$5:$A$44,$A2839,Premissas!$B$5:$B$44,$B2839)+S2839*SUMIFS(Premissas!$F$5:$F$44,Premissas!$A$5:$A$44,$A2839,Premissas!$B$5:$B$44,$B2839)</f>
        <v/>
      </c>
      <c r="L2839" s="29">
        <f>J2839-K2839</f>
        <v/>
      </c>
      <c r="M2839" t="inlineStr">
        <is>
          <t>1.350</t>
        </is>
      </c>
      <c r="N2839" t="inlineStr">
        <is>
          <t>Modalidade: 0 - Por conta do remetente | Parte: EMBALAGENS ARAUJO LTDA (46.034.653/0001-92)</t>
        </is>
      </c>
      <c r="O2839" s="29" t="n">
        <v>0</v>
      </c>
      <c r="P2839" s="29" t="n">
        <v>0</v>
      </c>
      <c r="Q2839" s="29" t="n">
        <v>0</v>
      </c>
      <c r="R2839" s="29" t="n">
        <v>0</v>
      </c>
      <c r="S2839" s="29" t="n">
        <v>0</v>
      </c>
      <c r="T2839" t="inlineStr">
        <is>
          <t>25260226975620000130570010000063271001401037</t>
        </is>
      </c>
      <c r="U2839" t="inlineStr">
        <is>
          <t>Não</t>
        </is>
      </c>
    </row>
    <row r="2840">
      <c r="A2840" t="inlineStr">
        <is>
          <t>Frete de venda</t>
        </is>
      </c>
      <c r="B2840" t="inlineStr">
        <is>
          <t>2.01.02 Frete sobre Vendas</t>
        </is>
      </c>
      <c r="C2840" s="30" t="n">
        <v>46054</v>
      </c>
      <c r="D2840" t="inlineStr">
        <is>
          <t>Em 2026</t>
        </is>
      </c>
      <c r="E2840" s="28" t="n">
        <v>46060</v>
      </c>
      <c r="F2840" t="inlineStr">
        <is>
          <t>CT-e</t>
        </is>
      </c>
      <c r="G2840" t="inlineStr">
        <is>
          <t>000006328</t>
        </is>
      </c>
      <c r="H2840" t="inlineStr">
        <is>
          <t>R&amp;R TRANSPORTE E LOGISTICA</t>
        </is>
      </c>
      <c r="J2840" s="29" t="n">
        <v>69.05</v>
      </c>
      <c r="K2840" s="29">
        <f>(1-ISNUMBER(SEARCH("556",M2840)))*(O2840*SUMIFS(Premissas!$C$5:$C$44,Premissas!$A$5:$A$44,$A2840,Premissas!$B$5:$B$44,$B2840)+P2840*SUMIFS(Premissas!$D$5:$D$44,Premissas!$A$5:$A$44,$A2840,Premissas!$B$5:$B$44,$B2840))+R2840*SUMIFS(Premissas!$E$5:$E$44,Premissas!$A$5:$A$44,$A2840,Premissas!$B$5:$B$44,$B2840)+S2840*SUMIFS(Premissas!$F$5:$F$44,Premissas!$A$5:$A$44,$A2840,Premissas!$B$5:$B$44,$B2840)</f>
        <v/>
      </c>
      <c r="L2840" s="29">
        <f>J2840-K2840</f>
        <v/>
      </c>
      <c r="M2840" t="inlineStr">
        <is>
          <t>1.350</t>
        </is>
      </c>
      <c r="N2840" t="inlineStr">
        <is>
          <t>Modalidade: 0 - Por conta do remetente | Parte: EMBALAMONTES COMERCIO DE EMBALAGENS LTDA (09.397.478/0001-71)</t>
        </is>
      </c>
      <c r="O2840" s="29" t="n">
        <v>0</v>
      </c>
      <c r="P2840" s="29" t="n">
        <v>0</v>
      </c>
      <c r="Q2840" s="29" t="n">
        <v>0</v>
      </c>
      <c r="R2840" s="29" t="n">
        <v>0</v>
      </c>
      <c r="S2840" s="29" t="n">
        <v>0</v>
      </c>
      <c r="T2840" t="inlineStr">
        <is>
          <t>25260226975620000130570010000063281001101111</t>
        </is>
      </c>
      <c r="U2840" t="inlineStr">
        <is>
          <t>Não</t>
        </is>
      </c>
    </row>
    <row r="2841">
      <c r="A2841" t="inlineStr">
        <is>
          <t>Frete de venda</t>
        </is>
      </c>
      <c r="B2841" t="inlineStr">
        <is>
          <t>2.01.02 Frete sobre Vendas</t>
        </is>
      </c>
      <c r="C2841" s="30" t="n">
        <v>46054</v>
      </c>
      <c r="D2841" t="inlineStr">
        <is>
          <t>Em 2026</t>
        </is>
      </c>
      <c r="E2841" s="28" t="n">
        <v>46063</v>
      </c>
      <c r="F2841" t="inlineStr">
        <is>
          <t>CT-e</t>
        </is>
      </c>
      <c r="G2841" t="inlineStr">
        <is>
          <t>000006333</t>
        </is>
      </c>
      <c r="H2841" t="inlineStr">
        <is>
          <t>R&amp;R TRANSPORTE E LOGISTICA</t>
        </is>
      </c>
      <c r="J2841" s="29" t="n">
        <v>140.19</v>
      </c>
      <c r="K2841" s="29">
        <f>(1-ISNUMBER(SEARCH("556",M2841)))*(O2841*SUMIFS(Premissas!$C$5:$C$44,Premissas!$A$5:$A$44,$A2841,Premissas!$B$5:$B$44,$B2841)+P2841*SUMIFS(Premissas!$D$5:$D$44,Premissas!$A$5:$A$44,$A2841,Premissas!$B$5:$B$44,$B2841))+R2841*SUMIFS(Premissas!$E$5:$E$44,Premissas!$A$5:$A$44,$A2841,Premissas!$B$5:$B$44,$B2841)+S2841*SUMIFS(Premissas!$F$5:$F$44,Premissas!$A$5:$A$44,$A2841,Premissas!$B$5:$B$44,$B2841)</f>
        <v/>
      </c>
      <c r="L2841" s="29">
        <f>J2841-K2841</f>
        <v/>
      </c>
      <c r="M2841" t="inlineStr">
        <is>
          <t>1.350</t>
        </is>
      </c>
      <c r="N2841" t="inlineStr">
        <is>
          <t>Modalidade: 0 - Por conta do remetente | Parte: DESTAK EMBALAGEM EIRELI (30.820.528/0001-78)</t>
        </is>
      </c>
      <c r="O2841" s="29" t="n">
        <v>0</v>
      </c>
      <c r="P2841" s="29" t="n">
        <v>0</v>
      </c>
      <c r="Q2841" s="29" t="n">
        <v>0</v>
      </c>
      <c r="R2841" s="29" t="n">
        <v>0</v>
      </c>
      <c r="S2841" s="29" t="n">
        <v>0</v>
      </c>
      <c r="T2841" t="inlineStr">
        <is>
          <t>25260226975620000130570010000063331001301579</t>
        </is>
      </c>
      <c r="U2841" t="inlineStr">
        <is>
          <t>Não</t>
        </is>
      </c>
    </row>
    <row r="2842">
      <c r="A2842" t="inlineStr">
        <is>
          <t>Frete de venda</t>
        </is>
      </c>
      <c r="B2842" t="inlineStr">
        <is>
          <t>2.01.02 Frete sobre Vendas</t>
        </is>
      </c>
      <c r="C2842" s="30" t="n">
        <v>46054</v>
      </c>
      <c r="D2842" t="inlineStr">
        <is>
          <t>Em 2026</t>
        </is>
      </c>
      <c r="E2842" s="28" t="n">
        <v>46063</v>
      </c>
      <c r="F2842" t="inlineStr">
        <is>
          <t>CT-e</t>
        </is>
      </c>
      <c r="G2842" t="inlineStr">
        <is>
          <t>000006334</t>
        </is>
      </c>
      <c r="H2842" t="inlineStr">
        <is>
          <t>R&amp;R TRANSPORTE E LOGISTICA</t>
        </is>
      </c>
      <c r="J2842" s="29" t="n">
        <v>116.87</v>
      </c>
      <c r="K2842" s="29">
        <f>(1-ISNUMBER(SEARCH("556",M2842)))*(O2842*SUMIFS(Premissas!$C$5:$C$44,Premissas!$A$5:$A$44,$A2842,Premissas!$B$5:$B$44,$B2842)+P2842*SUMIFS(Premissas!$D$5:$D$44,Premissas!$A$5:$A$44,$A2842,Premissas!$B$5:$B$44,$B2842))+R2842*SUMIFS(Premissas!$E$5:$E$44,Premissas!$A$5:$A$44,$A2842,Premissas!$B$5:$B$44,$B2842)+S2842*SUMIFS(Premissas!$F$5:$F$44,Premissas!$A$5:$A$44,$A2842,Premissas!$B$5:$B$44,$B2842)</f>
        <v/>
      </c>
      <c r="L2842" s="29">
        <f>J2842-K2842</f>
        <v/>
      </c>
      <c r="M2842" t="inlineStr">
        <is>
          <t>1.350</t>
        </is>
      </c>
      <c r="N2842" t="inlineStr">
        <is>
          <t>Modalidade: 0 - Por conta do remetente | Parte: DESTAK EMBALAGENS LTDA (14.187.040/0001-07)</t>
        </is>
      </c>
      <c r="O2842" s="29" t="n">
        <v>0</v>
      </c>
      <c r="P2842" s="29" t="n">
        <v>0</v>
      </c>
      <c r="Q2842" s="29" t="n">
        <v>0</v>
      </c>
      <c r="R2842" s="29" t="n">
        <v>0</v>
      </c>
      <c r="S2842" s="29" t="n">
        <v>0</v>
      </c>
      <c r="T2842" t="inlineStr">
        <is>
          <t>25260226975620000130570010000063341000140927</t>
        </is>
      </c>
      <c r="U2842" t="inlineStr">
        <is>
          <t>Não</t>
        </is>
      </c>
    </row>
    <row r="2843">
      <c r="A2843" t="inlineStr">
        <is>
          <t>Frete de venda</t>
        </is>
      </c>
      <c r="B2843" t="inlineStr">
        <is>
          <t>2.01.02 Frete sobre Vendas</t>
        </is>
      </c>
      <c r="C2843" s="30" t="n">
        <v>46054</v>
      </c>
      <c r="D2843" t="inlineStr">
        <is>
          <t>Em 2026</t>
        </is>
      </c>
      <c r="E2843" s="28" t="n">
        <v>46064</v>
      </c>
      <c r="F2843" t="inlineStr">
        <is>
          <t>CT-e</t>
        </is>
      </c>
      <c r="G2843" t="inlineStr">
        <is>
          <t>000006338</t>
        </is>
      </c>
      <c r="H2843" t="inlineStr">
        <is>
          <t>R&amp;R TRANSPORTE E LOGISTICA</t>
        </is>
      </c>
      <c r="J2843" s="29" t="n">
        <v>1000</v>
      </c>
      <c r="K2843" s="29">
        <f>(1-ISNUMBER(SEARCH("556",M2843)))*(O2843*SUMIFS(Premissas!$C$5:$C$44,Premissas!$A$5:$A$44,$A2843,Premissas!$B$5:$B$44,$B2843)+P2843*SUMIFS(Premissas!$D$5:$D$44,Premissas!$A$5:$A$44,$A2843,Premissas!$B$5:$B$44,$B2843))+R2843*SUMIFS(Premissas!$E$5:$E$44,Premissas!$A$5:$A$44,$A2843,Premissas!$B$5:$B$44,$B2843)+S2843*SUMIFS(Premissas!$F$5:$F$44,Premissas!$A$5:$A$44,$A2843,Premissas!$B$5:$B$44,$B2843)</f>
        <v/>
      </c>
      <c r="L2843" s="29">
        <f>J2843-K2843</f>
        <v/>
      </c>
      <c r="M2843" t="inlineStr">
        <is>
          <t>1.350</t>
        </is>
      </c>
      <c r="N2843" t="inlineStr">
        <is>
          <t>Modalidade: 0 - Por conta do remetente | Parte: PRASO PLATAFORMA DE COMERCIO LTDA. (42.434.646/0007-12)</t>
        </is>
      </c>
      <c r="O2843" s="29" t="n">
        <v>0</v>
      </c>
      <c r="P2843" s="29" t="n">
        <v>0</v>
      </c>
      <c r="Q2843" s="29" t="n">
        <v>0</v>
      </c>
      <c r="R2843" s="29" t="n">
        <v>0</v>
      </c>
      <c r="S2843" s="29" t="n">
        <v>0</v>
      </c>
      <c r="T2843" t="inlineStr">
        <is>
          <t>25260226975620000130570010000063381001301249</t>
        </is>
      </c>
      <c r="U2843" t="inlineStr">
        <is>
          <t>Sim</t>
        </is>
      </c>
    </row>
    <row r="2844">
      <c r="A2844" t="inlineStr">
        <is>
          <t>Frete de venda</t>
        </is>
      </c>
      <c r="B2844" t="inlineStr">
        <is>
          <t>2.01.02 Frete sobre Vendas</t>
        </is>
      </c>
      <c r="C2844" s="30" t="n">
        <v>46054</v>
      </c>
      <c r="D2844" t="inlineStr">
        <is>
          <t>Em 2026</t>
        </is>
      </c>
      <c r="E2844" s="28" t="n">
        <v>46064</v>
      </c>
      <c r="F2844" t="inlineStr">
        <is>
          <t>CT-e</t>
        </is>
      </c>
      <c r="G2844" t="inlineStr">
        <is>
          <t>000006339</t>
        </is>
      </c>
      <c r="H2844" t="inlineStr">
        <is>
          <t>R&amp;R TRANSPORTE E LOGISTICA</t>
        </is>
      </c>
      <c r="J2844" s="29" t="n">
        <v>1000</v>
      </c>
      <c r="K2844" s="29">
        <f>(1-ISNUMBER(SEARCH("556",M2844)))*(O2844*SUMIFS(Premissas!$C$5:$C$44,Premissas!$A$5:$A$44,$A2844,Premissas!$B$5:$B$44,$B2844)+P2844*SUMIFS(Premissas!$D$5:$D$44,Premissas!$A$5:$A$44,$A2844,Premissas!$B$5:$B$44,$B2844))+R2844*SUMIFS(Premissas!$E$5:$E$44,Premissas!$A$5:$A$44,$A2844,Premissas!$B$5:$B$44,$B2844)+S2844*SUMIFS(Premissas!$F$5:$F$44,Premissas!$A$5:$A$44,$A2844,Premissas!$B$5:$B$44,$B2844)</f>
        <v/>
      </c>
      <c r="L2844" s="29">
        <f>J2844-K2844</f>
        <v/>
      </c>
      <c r="M2844" t="inlineStr">
        <is>
          <t>1.350</t>
        </is>
      </c>
      <c r="N2844" t="inlineStr">
        <is>
          <t>Modalidade: 0 - Por conta do remetente | Parte: PLASTICOS E BALAS COMERCIO DE DOCES E EMBALAGENS LTDA (24.241.660/0001-22)</t>
        </is>
      </c>
      <c r="O2844" s="29" t="n">
        <v>0</v>
      </c>
      <c r="P2844" s="29" t="n">
        <v>0</v>
      </c>
      <c r="Q2844" s="29" t="n">
        <v>0</v>
      </c>
      <c r="R2844" s="29" t="n">
        <v>0</v>
      </c>
      <c r="S2844" s="29" t="n">
        <v>0</v>
      </c>
      <c r="T2844" t="inlineStr">
        <is>
          <t>25260226975620000130570010000063391000101324</t>
        </is>
      </c>
      <c r="U2844" t="inlineStr">
        <is>
          <t>Sim</t>
        </is>
      </c>
    </row>
    <row r="2845">
      <c r="A2845" t="inlineStr">
        <is>
          <t>Frete de venda</t>
        </is>
      </c>
      <c r="B2845" t="inlineStr">
        <is>
          <t>2.01.02 Frete sobre Vendas</t>
        </is>
      </c>
      <c r="C2845" s="30" t="n">
        <v>46054</v>
      </c>
      <c r="D2845" t="inlineStr">
        <is>
          <t>Em 2026</t>
        </is>
      </c>
      <c r="E2845" s="28" t="n">
        <v>46064</v>
      </c>
      <c r="F2845" t="inlineStr">
        <is>
          <t>CT-e</t>
        </is>
      </c>
      <c r="G2845" t="inlineStr">
        <is>
          <t>000006340</t>
        </is>
      </c>
      <c r="H2845" t="inlineStr">
        <is>
          <t>R&amp;R TRANSPORTE E LOGISTICA</t>
        </is>
      </c>
      <c r="J2845" s="29" t="n">
        <v>1000</v>
      </c>
      <c r="K2845" s="29">
        <f>(1-ISNUMBER(SEARCH("556",M2845)))*(O2845*SUMIFS(Premissas!$C$5:$C$44,Premissas!$A$5:$A$44,$A2845,Premissas!$B$5:$B$44,$B2845)+P2845*SUMIFS(Premissas!$D$5:$D$44,Premissas!$A$5:$A$44,$A2845,Premissas!$B$5:$B$44,$B2845))+R2845*SUMIFS(Premissas!$E$5:$E$44,Premissas!$A$5:$A$44,$A2845,Premissas!$B$5:$B$44,$B2845)+S2845*SUMIFS(Premissas!$F$5:$F$44,Premissas!$A$5:$A$44,$A2845,Premissas!$B$5:$B$44,$B2845)</f>
        <v/>
      </c>
      <c r="L2845" s="29">
        <f>J2845-K2845</f>
        <v/>
      </c>
      <c r="M2845" t="inlineStr">
        <is>
          <t>1.350</t>
        </is>
      </c>
      <c r="N2845" t="inlineStr">
        <is>
          <t>Modalidade: 0 - Por conta do remetente | Parte: JND DISTRIBUIDORA LTDA (36.332.668/0001-83)</t>
        </is>
      </c>
      <c r="O2845" s="29" t="n">
        <v>0</v>
      </c>
      <c r="P2845" s="29" t="n">
        <v>0</v>
      </c>
      <c r="Q2845" s="29" t="n">
        <v>0</v>
      </c>
      <c r="R2845" s="29" t="n">
        <v>0</v>
      </c>
      <c r="S2845" s="29" t="n">
        <v>0</v>
      </c>
      <c r="T2845" t="inlineStr">
        <is>
          <t>25260226975620000130570010000063401001801401</t>
        </is>
      </c>
      <c r="U2845" t="inlineStr">
        <is>
          <t>Sim</t>
        </is>
      </c>
    </row>
    <row r="2846">
      <c r="A2846" t="inlineStr">
        <is>
          <t>Frete de venda</t>
        </is>
      </c>
      <c r="B2846" t="inlineStr">
        <is>
          <t>2.01.02 Frete sobre Vendas</t>
        </is>
      </c>
      <c r="C2846" s="30" t="n">
        <v>46054</v>
      </c>
      <c r="D2846" t="inlineStr">
        <is>
          <t>Em 2026</t>
        </is>
      </c>
      <c r="E2846" s="28" t="n">
        <v>46064</v>
      </c>
      <c r="F2846" t="inlineStr">
        <is>
          <t>CT-e</t>
        </is>
      </c>
      <c r="G2846" t="inlineStr">
        <is>
          <t>000006341</t>
        </is>
      </c>
      <c r="H2846" t="inlineStr">
        <is>
          <t>R&amp;R TRANSPORTE E LOGISTICA</t>
        </is>
      </c>
      <c r="J2846" s="29" t="n">
        <v>200</v>
      </c>
      <c r="K2846" s="29">
        <f>(1-ISNUMBER(SEARCH("556",M2846)))*(O2846*SUMIFS(Premissas!$C$5:$C$44,Premissas!$A$5:$A$44,$A2846,Premissas!$B$5:$B$44,$B2846)+P2846*SUMIFS(Premissas!$D$5:$D$44,Premissas!$A$5:$A$44,$A2846,Premissas!$B$5:$B$44,$B2846))+R2846*SUMIFS(Premissas!$E$5:$E$44,Premissas!$A$5:$A$44,$A2846,Premissas!$B$5:$B$44,$B2846)+S2846*SUMIFS(Premissas!$F$5:$F$44,Premissas!$A$5:$A$44,$A2846,Premissas!$B$5:$B$44,$B2846)</f>
        <v/>
      </c>
      <c r="L2846" s="29">
        <f>J2846-K2846</f>
        <v/>
      </c>
      <c r="M2846" t="inlineStr">
        <is>
          <t>1.350</t>
        </is>
      </c>
      <c r="N2846" t="inlineStr">
        <is>
          <t>Modalidade: 0 - Por conta do remetente | Parte: DOCA COMERCIO DE PRODUTOS ALIMENTICIOS LTDA (15.258.788/0004-50)</t>
        </is>
      </c>
      <c r="O2846" s="29" t="n">
        <v>0</v>
      </c>
      <c r="P2846" s="29" t="n">
        <v>0</v>
      </c>
      <c r="Q2846" s="29" t="n">
        <v>0</v>
      </c>
      <c r="R2846" s="29" t="n">
        <v>0</v>
      </c>
      <c r="S2846" s="29" t="n">
        <v>0</v>
      </c>
      <c r="T2846" t="inlineStr">
        <is>
          <t>25260226975620000130570010000063411001501480</t>
        </is>
      </c>
      <c r="U2846" t="inlineStr">
        <is>
          <t>Sim</t>
        </is>
      </c>
    </row>
    <row r="2847">
      <c r="A2847" t="inlineStr">
        <is>
          <t>Frete de venda</t>
        </is>
      </c>
      <c r="B2847" t="inlineStr">
        <is>
          <t>2.01.02 Frete sobre Vendas</t>
        </is>
      </c>
      <c r="C2847" s="30" t="n">
        <v>46054</v>
      </c>
      <c r="D2847" t="inlineStr">
        <is>
          <t>Em 2026</t>
        </is>
      </c>
      <c r="E2847" s="28" t="n">
        <v>46064</v>
      </c>
      <c r="F2847" t="inlineStr">
        <is>
          <t>CT-e</t>
        </is>
      </c>
      <c r="G2847" t="inlineStr">
        <is>
          <t>000006342</t>
        </is>
      </c>
      <c r="H2847" t="inlineStr">
        <is>
          <t>R&amp;R TRANSPORTE E LOGISTICA</t>
        </is>
      </c>
      <c r="J2847" s="29" t="n">
        <v>200</v>
      </c>
      <c r="K2847" s="29">
        <f>(1-ISNUMBER(SEARCH("556",M2847)))*(O2847*SUMIFS(Premissas!$C$5:$C$44,Premissas!$A$5:$A$44,$A2847,Premissas!$B$5:$B$44,$B2847)+P2847*SUMIFS(Premissas!$D$5:$D$44,Premissas!$A$5:$A$44,$A2847,Premissas!$B$5:$B$44,$B2847))+R2847*SUMIFS(Premissas!$E$5:$E$44,Premissas!$A$5:$A$44,$A2847,Premissas!$B$5:$B$44,$B2847)+S2847*SUMIFS(Premissas!$F$5:$F$44,Premissas!$A$5:$A$44,$A2847,Premissas!$B$5:$B$44,$B2847)</f>
        <v/>
      </c>
      <c r="L2847" s="29">
        <f>J2847-K2847</f>
        <v/>
      </c>
      <c r="M2847" t="inlineStr">
        <is>
          <t>1.350</t>
        </is>
      </c>
      <c r="N2847" t="inlineStr">
        <is>
          <t>Modalidade: 0 - Por conta do remetente | Parte: DOCA COMERCIO DE PRODUTOS ALIMENTICIOS LTDA (15.258.788/0001-08)</t>
        </is>
      </c>
      <c r="O2847" s="29" t="n">
        <v>0</v>
      </c>
      <c r="P2847" s="29" t="n">
        <v>0</v>
      </c>
      <c r="Q2847" s="29" t="n">
        <v>0</v>
      </c>
      <c r="R2847" s="29" t="n">
        <v>0</v>
      </c>
      <c r="S2847" s="29" t="n">
        <v>0</v>
      </c>
      <c r="T2847" t="inlineStr">
        <is>
          <t>25260226975620000130570010000063421001201565</t>
        </is>
      </c>
      <c r="U2847" t="inlineStr">
        <is>
          <t>Sim</t>
        </is>
      </c>
    </row>
    <row r="2848">
      <c r="A2848" t="inlineStr">
        <is>
          <t>Frete de venda</t>
        </is>
      </c>
      <c r="B2848" t="inlineStr">
        <is>
          <t>2.01.02 Frete sobre Vendas</t>
        </is>
      </c>
      <c r="C2848" s="30" t="n">
        <v>46054</v>
      </c>
      <c r="D2848" t="inlineStr">
        <is>
          <t>Em 2026</t>
        </is>
      </c>
      <c r="E2848" s="28" t="n">
        <v>46066</v>
      </c>
      <c r="F2848" t="inlineStr">
        <is>
          <t>CT-e</t>
        </is>
      </c>
      <c r="G2848" t="inlineStr">
        <is>
          <t>000006345</t>
        </is>
      </c>
      <c r="H2848" t="inlineStr">
        <is>
          <t>R&amp;R TRANSPORTE E LOGISTICA</t>
        </is>
      </c>
      <c r="J2848" s="29" t="n">
        <v>19.26</v>
      </c>
      <c r="K2848" s="29">
        <f>(1-ISNUMBER(SEARCH("556",M2848)))*(O2848*SUMIFS(Premissas!$C$5:$C$44,Premissas!$A$5:$A$44,$A2848,Premissas!$B$5:$B$44,$B2848)+P2848*SUMIFS(Premissas!$D$5:$D$44,Premissas!$A$5:$A$44,$A2848,Premissas!$B$5:$B$44,$B2848))+R2848*SUMIFS(Premissas!$E$5:$E$44,Premissas!$A$5:$A$44,$A2848,Premissas!$B$5:$B$44,$B2848)+S2848*SUMIFS(Premissas!$F$5:$F$44,Premissas!$A$5:$A$44,$A2848,Premissas!$B$5:$B$44,$B2848)</f>
        <v/>
      </c>
      <c r="L2848" s="29">
        <f>J2848-K2848</f>
        <v/>
      </c>
      <c r="M2848" t="inlineStr">
        <is>
          <t>1.350</t>
        </is>
      </c>
      <c r="N2848" t="inlineStr">
        <is>
          <t>Modalidade: 0 - Por conta do remetente | Parte: PLASLE EMBALAGENS LTDA (03.548.425/0001-28)</t>
        </is>
      </c>
      <c r="O2848" s="29" t="n">
        <v>0</v>
      </c>
      <c r="P2848" s="29" t="n">
        <v>0</v>
      </c>
      <c r="Q2848" s="29" t="n">
        <v>0</v>
      </c>
      <c r="R2848" s="29" t="n">
        <v>0</v>
      </c>
      <c r="S2848" s="29" t="n">
        <v>0</v>
      </c>
      <c r="T2848" t="inlineStr">
        <is>
          <t>25260226975620000130570010000063451000110789</t>
        </is>
      </c>
      <c r="U2848" t="inlineStr">
        <is>
          <t>Não</t>
        </is>
      </c>
    </row>
    <row r="2849">
      <c r="A2849" t="inlineStr">
        <is>
          <t>Frete de venda</t>
        </is>
      </c>
      <c r="B2849" t="inlineStr">
        <is>
          <t>2.01.02 Frete sobre Vendas</t>
        </is>
      </c>
      <c r="C2849" s="30" t="n">
        <v>46054</v>
      </c>
      <c r="D2849" t="inlineStr">
        <is>
          <t>Em 2026</t>
        </is>
      </c>
      <c r="E2849" s="28" t="n">
        <v>46066</v>
      </c>
      <c r="F2849" t="inlineStr">
        <is>
          <t>CT-e</t>
        </is>
      </c>
      <c r="G2849" t="inlineStr">
        <is>
          <t>000006346</t>
        </is>
      </c>
      <c r="H2849" t="inlineStr">
        <is>
          <t>R&amp;R TRANSPORTE E LOGISTICA</t>
        </is>
      </c>
      <c r="J2849" s="29" t="n">
        <v>64.73</v>
      </c>
      <c r="K2849" s="29">
        <f>(1-ISNUMBER(SEARCH("556",M2849)))*(O2849*SUMIFS(Premissas!$C$5:$C$44,Premissas!$A$5:$A$44,$A2849,Premissas!$B$5:$B$44,$B2849)+P2849*SUMIFS(Premissas!$D$5:$D$44,Premissas!$A$5:$A$44,$A2849,Premissas!$B$5:$B$44,$B2849))+R2849*SUMIFS(Premissas!$E$5:$E$44,Premissas!$A$5:$A$44,$A2849,Premissas!$B$5:$B$44,$B2849)+S2849*SUMIFS(Premissas!$F$5:$F$44,Premissas!$A$5:$A$44,$A2849,Premissas!$B$5:$B$44,$B2849)</f>
        <v/>
      </c>
      <c r="L2849" s="29">
        <f>J2849-K2849</f>
        <v/>
      </c>
      <c r="M2849" t="inlineStr">
        <is>
          <t>1.350</t>
        </is>
      </c>
      <c r="N2849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2849" s="29" t="n">
        <v>0</v>
      </c>
      <c r="P2849" s="29" t="n">
        <v>0</v>
      </c>
      <c r="Q2849" s="29" t="n">
        <v>0</v>
      </c>
      <c r="R2849" s="29" t="n">
        <v>0</v>
      </c>
      <c r="S2849" s="29" t="n">
        <v>0</v>
      </c>
      <c r="T2849" t="inlineStr">
        <is>
          <t>25260226975620000130570010000063461000190860</t>
        </is>
      </c>
      <c r="U2849" t="inlineStr">
        <is>
          <t>Não</t>
        </is>
      </c>
    </row>
    <row r="2850">
      <c r="A2850" t="inlineStr">
        <is>
          <t>Frete de venda</t>
        </is>
      </c>
      <c r="B2850" t="inlineStr">
        <is>
          <t>2.01.02 Frete sobre Vendas</t>
        </is>
      </c>
      <c r="C2850" s="30" t="n">
        <v>46054</v>
      </c>
      <c r="D2850" t="inlineStr">
        <is>
          <t>Em 2026</t>
        </is>
      </c>
      <c r="E2850" s="28" t="n">
        <v>46066</v>
      </c>
      <c r="F2850" t="inlineStr">
        <is>
          <t>CT-e</t>
        </is>
      </c>
      <c r="G2850" t="inlineStr">
        <is>
          <t>000006347</t>
        </is>
      </c>
      <c r="H2850" t="inlineStr">
        <is>
          <t>R&amp;R TRANSPORTE E LOGISTICA</t>
        </is>
      </c>
      <c r="J2850" s="29" t="n">
        <v>6.08</v>
      </c>
      <c r="K2850" s="29">
        <f>(1-ISNUMBER(SEARCH("556",M2850)))*(O2850*SUMIFS(Premissas!$C$5:$C$44,Premissas!$A$5:$A$44,$A2850,Premissas!$B$5:$B$44,$B2850)+P2850*SUMIFS(Premissas!$D$5:$D$44,Premissas!$A$5:$A$44,$A2850,Premissas!$B$5:$B$44,$B2850))+R2850*SUMIFS(Premissas!$E$5:$E$44,Premissas!$A$5:$A$44,$A2850,Premissas!$B$5:$B$44,$B2850)+S2850*SUMIFS(Premissas!$F$5:$F$44,Premissas!$A$5:$A$44,$A2850,Premissas!$B$5:$B$44,$B2850)</f>
        <v/>
      </c>
      <c r="L2850" s="29">
        <f>J2850-K2850</f>
        <v/>
      </c>
      <c r="M2850" t="inlineStr">
        <is>
          <t>1.350</t>
        </is>
      </c>
      <c r="N2850" t="inlineStr">
        <is>
          <t>Modalidade: 0 - Por conta do remetente | Parte: FIBRASIL COMERCIAL LTDA (16.697.552/0001-30)</t>
        </is>
      </c>
      <c r="O2850" s="29" t="n">
        <v>0</v>
      </c>
      <c r="P2850" s="29" t="n">
        <v>0</v>
      </c>
      <c r="Q2850" s="29" t="n">
        <v>0</v>
      </c>
      <c r="R2850" s="29" t="n">
        <v>0</v>
      </c>
      <c r="S2850" s="29" t="n">
        <v>0</v>
      </c>
      <c r="T2850" t="inlineStr">
        <is>
          <t>25260226975620000130570010000063471000160942</t>
        </is>
      </c>
      <c r="U2850" t="inlineStr">
        <is>
          <t>Não</t>
        </is>
      </c>
    </row>
    <row r="2851">
      <c r="A2851" t="inlineStr">
        <is>
          <t>Frete de venda</t>
        </is>
      </c>
      <c r="B2851" t="inlineStr">
        <is>
          <t>2.01.02 Frete sobre Vendas</t>
        </is>
      </c>
      <c r="C2851" s="30" t="n">
        <v>46054</v>
      </c>
      <c r="D2851" t="inlineStr">
        <is>
          <t>Em 2026</t>
        </is>
      </c>
      <c r="E2851" s="28" t="n">
        <v>46066</v>
      </c>
      <c r="F2851" t="inlineStr">
        <is>
          <t>CT-e</t>
        </is>
      </c>
      <c r="G2851" t="inlineStr">
        <is>
          <t>000006348</t>
        </is>
      </c>
      <c r="H2851" t="inlineStr">
        <is>
          <t>R&amp;R TRANSPORTE E LOGISTICA</t>
        </is>
      </c>
      <c r="J2851" s="29" t="n">
        <v>26.4</v>
      </c>
      <c r="K2851" s="29">
        <f>(1-ISNUMBER(SEARCH("556",M2851)))*(O2851*SUMIFS(Premissas!$C$5:$C$44,Premissas!$A$5:$A$44,$A2851,Premissas!$B$5:$B$44,$B2851)+P2851*SUMIFS(Premissas!$D$5:$D$44,Premissas!$A$5:$A$44,$A2851,Premissas!$B$5:$B$44,$B2851))+R2851*SUMIFS(Premissas!$E$5:$E$44,Premissas!$A$5:$A$44,$A2851,Premissas!$B$5:$B$44,$B2851)+S2851*SUMIFS(Premissas!$F$5:$F$44,Premissas!$A$5:$A$44,$A2851,Premissas!$B$5:$B$44,$B2851)</f>
        <v/>
      </c>
      <c r="L2851" s="29">
        <f>J2851-K2851</f>
        <v/>
      </c>
      <c r="M2851" t="inlineStr">
        <is>
          <t>1.350</t>
        </is>
      </c>
      <c r="N2851" t="inlineStr">
        <is>
          <t>Modalidade: 0 - Por conta do remetente | Parte: FRIOSETE COMERCIO DE FRIOS LTDA (97.426.472/0001-42)</t>
        </is>
      </c>
      <c r="O2851" s="29" t="n">
        <v>0</v>
      </c>
      <c r="P2851" s="29" t="n">
        <v>0</v>
      </c>
      <c r="Q2851" s="29" t="n">
        <v>0</v>
      </c>
      <c r="R2851" s="29" t="n">
        <v>0</v>
      </c>
      <c r="S2851" s="29" t="n">
        <v>0</v>
      </c>
      <c r="T2851" t="inlineStr">
        <is>
          <t>25260226975620000130570010000063481001301024</t>
        </is>
      </c>
      <c r="U2851" t="inlineStr">
        <is>
          <t>Não</t>
        </is>
      </c>
    </row>
    <row r="2852">
      <c r="A2852" t="inlineStr">
        <is>
          <t>Frete de venda</t>
        </is>
      </c>
      <c r="B2852" t="inlineStr">
        <is>
          <t>2.01.02 Frete sobre Vendas</t>
        </is>
      </c>
      <c r="C2852" s="30" t="n">
        <v>46054</v>
      </c>
      <c r="D2852" t="inlineStr">
        <is>
          <t>Em 2026</t>
        </is>
      </c>
      <c r="E2852" s="28" t="n">
        <v>46066</v>
      </c>
      <c r="F2852" t="inlineStr">
        <is>
          <t>CT-e</t>
        </is>
      </c>
      <c r="G2852" t="inlineStr">
        <is>
          <t>000006349</t>
        </is>
      </c>
      <c r="H2852" t="inlineStr">
        <is>
          <t>R&amp;R TRANSPORTE E LOGISTICA</t>
        </is>
      </c>
      <c r="J2852" s="29" t="n">
        <v>9.68</v>
      </c>
      <c r="K2852" s="29">
        <f>(1-ISNUMBER(SEARCH("556",M2852)))*(O2852*SUMIFS(Premissas!$C$5:$C$44,Premissas!$A$5:$A$44,$A2852,Premissas!$B$5:$B$44,$B2852)+P2852*SUMIFS(Premissas!$D$5:$D$44,Premissas!$A$5:$A$44,$A2852,Premissas!$B$5:$B$44,$B2852))+R2852*SUMIFS(Premissas!$E$5:$E$44,Premissas!$A$5:$A$44,$A2852,Premissas!$B$5:$B$44,$B2852)+S2852*SUMIFS(Premissas!$F$5:$F$44,Premissas!$A$5:$A$44,$A2852,Premissas!$B$5:$B$44,$B2852)</f>
        <v/>
      </c>
      <c r="L2852" s="29">
        <f>J2852-K2852</f>
        <v/>
      </c>
      <c r="M2852" t="inlineStr">
        <is>
          <t>1.350</t>
        </is>
      </c>
      <c r="N2852" t="inlineStr">
        <is>
          <t>Modalidade: 0 - Por conta do remetente | Parte: PLASGI EMBALAGENS LTDA (80.361.579/0001-57)</t>
        </is>
      </c>
      <c r="O2852" s="29" t="n">
        <v>0</v>
      </c>
      <c r="P2852" s="29" t="n">
        <v>0</v>
      </c>
      <c r="Q2852" s="29" t="n">
        <v>0</v>
      </c>
      <c r="R2852" s="29" t="n">
        <v>0</v>
      </c>
      <c r="S2852" s="29" t="n">
        <v>0</v>
      </c>
      <c r="T2852" t="inlineStr">
        <is>
          <t>25260226975620000130570010000063491000101100</t>
        </is>
      </c>
      <c r="U2852" t="inlineStr">
        <is>
          <t>Não</t>
        </is>
      </c>
    </row>
    <row r="2853">
      <c r="A2853" t="inlineStr">
        <is>
          <t>Frete de venda</t>
        </is>
      </c>
      <c r="B2853" t="inlineStr">
        <is>
          <t>2.01.02 Frete sobre Vendas</t>
        </is>
      </c>
      <c r="C2853" s="30" t="n">
        <v>46054</v>
      </c>
      <c r="D2853" t="inlineStr">
        <is>
          <t>Em 2026</t>
        </is>
      </c>
      <c r="E2853" s="28" t="n">
        <v>46066</v>
      </c>
      <c r="F2853" t="inlineStr">
        <is>
          <t>CT-e</t>
        </is>
      </c>
      <c r="G2853" t="inlineStr">
        <is>
          <t>000006350</t>
        </is>
      </c>
      <c r="H2853" t="inlineStr">
        <is>
          <t>R&amp;R TRANSPORTE E LOGISTICA</t>
        </is>
      </c>
      <c r="J2853" s="29" t="n">
        <v>19.93</v>
      </c>
      <c r="K2853" s="29">
        <f>(1-ISNUMBER(SEARCH("556",M2853)))*(O2853*SUMIFS(Premissas!$C$5:$C$44,Premissas!$A$5:$A$44,$A2853,Premissas!$B$5:$B$44,$B2853)+P2853*SUMIFS(Premissas!$D$5:$D$44,Premissas!$A$5:$A$44,$A2853,Premissas!$B$5:$B$44,$B2853))+R2853*SUMIFS(Premissas!$E$5:$E$44,Premissas!$A$5:$A$44,$A2853,Premissas!$B$5:$B$44,$B2853)+S2853*SUMIFS(Premissas!$F$5:$F$44,Premissas!$A$5:$A$44,$A2853,Premissas!$B$5:$B$44,$B2853)</f>
        <v/>
      </c>
      <c r="L2853" s="29">
        <f>J2853-K2853</f>
        <v/>
      </c>
      <c r="M2853" t="inlineStr">
        <is>
          <t>1.350</t>
        </is>
      </c>
      <c r="N2853" t="inlineStr">
        <is>
          <t>Modalidade: 0 - Por conta do remetente | Parte: ROSA SUL EMBALAGENS LTDA (49.362.935/0001-07)</t>
        </is>
      </c>
      <c r="O2853" s="29" t="n">
        <v>0</v>
      </c>
      <c r="P2853" s="29" t="n">
        <v>0</v>
      </c>
      <c r="Q2853" s="29" t="n">
        <v>0</v>
      </c>
      <c r="R2853" s="29" t="n">
        <v>0</v>
      </c>
      <c r="S2853" s="29" t="n">
        <v>0</v>
      </c>
      <c r="T2853" t="inlineStr">
        <is>
          <t>25260226975620000130570010000063501001801181</t>
        </is>
      </c>
      <c r="U2853" t="inlineStr">
        <is>
          <t>Não</t>
        </is>
      </c>
    </row>
    <row r="2854">
      <c r="A2854" t="inlineStr">
        <is>
          <t>Frete de venda</t>
        </is>
      </c>
      <c r="B2854" t="inlineStr">
        <is>
          <t>2.01.02 Frete sobre Vendas</t>
        </is>
      </c>
      <c r="C2854" s="30" t="n">
        <v>46054</v>
      </c>
      <c r="D2854" t="inlineStr">
        <is>
          <t>Em 2026</t>
        </is>
      </c>
      <c r="E2854" s="28" t="n">
        <v>46066</v>
      </c>
      <c r="F2854" t="inlineStr">
        <is>
          <t>CT-e</t>
        </is>
      </c>
      <c r="G2854" t="inlineStr">
        <is>
          <t>000006351</t>
        </is>
      </c>
      <c r="H2854" t="inlineStr">
        <is>
          <t>R&amp;R TRANSPORTE E LOGISTICA</t>
        </is>
      </c>
      <c r="J2854" s="29" t="n">
        <v>14.1</v>
      </c>
      <c r="K2854" s="29">
        <f>(1-ISNUMBER(SEARCH("556",M2854)))*(O2854*SUMIFS(Premissas!$C$5:$C$44,Premissas!$A$5:$A$44,$A2854,Premissas!$B$5:$B$44,$B2854)+P2854*SUMIFS(Premissas!$D$5:$D$44,Premissas!$A$5:$A$44,$A2854,Premissas!$B$5:$B$44,$B2854))+R2854*SUMIFS(Premissas!$E$5:$E$44,Premissas!$A$5:$A$44,$A2854,Premissas!$B$5:$B$44,$B2854)+S2854*SUMIFS(Premissas!$F$5:$F$44,Premissas!$A$5:$A$44,$A2854,Premissas!$B$5:$B$44,$B2854)</f>
        <v/>
      </c>
      <c r="L2854" s="29">
        <f>J2854-K2854</f>
        <v/>
      </c>
      <c r="M2854" t="inlineStr">
        <is>
          <t>1.350</t>
        </is>
      </c>
      <c r="N2854" t="inlineStr">
        <is>
          <t>Modalidade: 0 - Por conta do remetente | Parte: MGL COMERCIO DE PRODUTOS ALIMENTICIOS LTDA (28.029.616/0001-04)</t>
        </is>
      </c>
      <c r="O2854" s="29" t="n">
        <v>0</v>
      </c>
      <c r="P2854" s="29" t="n">
        <v>0</v>
      </c>
      <c r="Q2854" s="29" t="n">
        <v>0</v>
      </c>
      <c r="R2854" s="29" t="n">
        <v>0</v>
      </c>
      <c r="S2854" s="29" t="n">
        <v>0</v>
      </c>
      <c r="T2854" t="inlineStr">
        <is>
          <t>25260226975620000130570010000063511001501266</t>
        </is>
      </c>
      <c r="U2854" t="inlineStr">
        <is>
          <t>Não</t>
        </is>
      </c>
    </row>
    <row r="2855">
      <c r="A2855" t="inlineStr">
        <is>
          <t>Frete de venda</t>
        </is>
      </c>
      <c r="B2855" t="inlineStr">
        <is>
          <t>2.01.02 Frete sobre Vendas</t>
        </is>
      </c>
      <c r="C2855" s="30" t="n">
        <v>46054</v>
      </c>
      <c r="D2855" t="inlineStr">
        <is>
          <t>Em 2026</t>
        </is>
      </c>
      <c r="E2855" s="28" t="n">
        <v>46066</v>
      </c>
      <c r="F2855" t="inlineStr">
        <is>
          <t>CT-e</t>
        </is>
      </c>
      <c r="G2855" t="inlineStr">
        <is>
          <t>000006352</t>
        </is>
      </c>
      <c r="H2855" t="inlineStr">
        <is>
          <t>R&amp;R TRANSPORTE E LOGISTICA</t>
        </is>
      </c>
      <c r="J2855" s="29" t="n">
        <v>14.07</v>
      </c>
      <c r="K2855" s="29">
        <f>(1-ISNUMBER(SEARCH("556",M2855)))*(O2855*SUMIFS(Premissas!$C$5:$C$44,Premissas!$A$5:$A$44,$A2855,Premissas!$B$5:$B$44,$B2855)+P2855*SUMIFS(Premissas!$D$5:$D$44,Premissas!$A$5:$A$44,$A2855,Premissas!$B$5:$B$44,$B2855))+R2855*SUMIFS(Premissas!$E$5:$E$44,Premissas!$A$5:$A$44,$A2855,Premissas!$B$5:$B$44,$B2855)+S2855*SUMIFS(Premissas!$F$5:$F$44,Premissas!$A$5:$A$44,$A2855,Premissas!$B$5:$B$44,$B2855)</f>
        <v/>
      </c>
      <c r="L2855" s="29">
        <f>J2855-K2855</f>
        <v/>
      </c>
      <c r="M2855" t="inlineStr">
        <is>
          <t>1.350</t>
        </is>
      </c>
      <c r="N2855" t="inlineStr">
        <is>
          <t>Modalidade: 0 - Por conta do remetente | Parte: LUPEL EMBALAGENS LTDA (01.807.180/0001-80)</t>
        </is>
      </c>
      <c r="O2855" s="29" t="n">
        <v>0</v>
      </c>
      <c r="P2855" s="29" t="n">
        <v>0</v>
      </c>
      <c r="Q2855" s="29" t="n">
        <v>0</v>
      </c>
      <c r="R2855" s="29" t="n">
        <v>0</v>
      </c>
      <c r="S2855" s="29" t="n">
        <v>0</v>
      </c>
      <c r="T2855" t="inlineStr">
        <is>
          <t>25260226975620000130570010000063521001201340</t>
        </is>
      </c>
      <c r="U2855" t="inlineStr">
        <is>
          <t>Não</t>
        </is>
      </c>
    </row>
    <row r="2856">
      <c r="A2856" t="inlineStr">
        <is>
          <t>Frete de venda</t>
        </is>
      </c>
      <c r="B2856" t="inlineStr">
        <is>
          <t>2.01.02 Frete sobre Vendas</t>
        </is>
      </c>
      <c r="C2856" s="30" t="n">
        <v>46054</v>
      </c>
      <c r="D2856" t="inlineStr">
        <is>
          <t>Em 2026</t>
        </is>
      </c>
      <c r="E2856" s="28" t="n">
        <v>46066</v>
      </c>
      <c r="F2856" t="inlineStr">
        <is>
          <t>CT-e</t>
        </is>
      </c>
      <c r="G2856" t="inlineStr">
        <is>
          <t>000006353</t>
        </is>
      </c>
      <c r="H2856" t="inlineStr">
        <is>
          <t>R&amp;R TRANSPORTE E LOGISTICA</t>
        </is>
      </c>
      <c r="J2856" s="29" t="n">
        <v>13.52</v>
      </c>
      <c r="K2856" s="29">
        <f>(1-ISNUMBER(SEARCH("556",M2856)))*(O2856*SUMIFS(Premissas!$C$5:$C$44,Premissas!$A$5:$A$44,$A2856,Premissas!$B$5:$B$44,$B2856)+P2856*SUMIFS(Premissas!$D$5:$D$44,Premissas!$A$5:$A$44,$A2856,Premissas!$B$5:$B$44,$B2856))+R2856*SUMIFS(Premissas!$E$5:$E$44,Premissas!$A$5:$A$44,$A2856,Premissas!$B$5:$B$44,$B2856)+S2856*SUMIFS(Premissas!$F$5:$F$44,Premissas!$A$5:$A$44,$A2856,Premissas!$B$5:$B$44,$B2856)</f>
        <v/>
      </c>
      <c r="L2856" s="29">
        <f>J2856-K2856</f>
        <v/>
      </c>
      <c r="M2856" t="inlineStr">
        <is>
          <t>1.350</t>
        </is>
      </c>
      <c r="N2856" t="inlineStr">
        <is>
          <t>Modalidade: 0 - Por conta do remetente | Parte: TC COMERCIO DE EMBALAGENS LTDA (97.193.502/0001-18)</t>
        </is>
      </c>
      <c r="O2856" s="29" t="n">
        <v>0</v>
      </c>
      <c r="P2856" s="29" t="n">
        <v>0</v>
      </c>
      <c r="Q2856" s="29" t="n">
        <v>0</v>
      </c>
      <c r="R2856" s="29" t="n">
        <v>0</v>
      </c>
      <c r="S2856" s="29" t="n">
        <v>0</v>
      </c>
      <c r="T2856" t="inlineStr">
        <is>
          <t>25260226975620000130570010000063531011001422</t>
        </is>
      </c>
      <c r="U2856" t="inlineStr">
        <is>
          <t>Não</t>
        </is>
      </c>
    </row>
    <row r="2857">
      <c r="A2857" t="inlineStr">
        <is>
          <t>Frete de venda</t>
        </is>
      </c>
      <c r="B2857" t="inlineStr">
        <is>
          <t>2.01.02 Frete sobre Vendas</t>
        </is>
      </c>
      <c r="C2857" s="30" t="n">
        <v>46054</v>
      </c>
      <c r="D2857" t="inlineStr">
        <is>
          <t>Em 2026</t>
        </is>
      </c>
      <c r="E2857" s="28" t="n">
        <v>46066</v>
      </c>
      <c r="F2857" t="inlineStr">
        <is>
          <t>CT-e</t>
        </is>
      </c>
      <c r="G2857" t="inlineStr">
        <is>
          <t>000006354</t>
        </is>
      </c>
      <c r="H2857" t="inlineStr">
        <is>
          <t>R&amp;R TRANSPORTE E LOGISTICA</t>
        </is>
      </c>
      <c r="J2857" s="29" t="n">
        <v>24.43</v>
      </c>
      <c r="K2857" s="29">
        <f>(1-ISNUMBER(SEARCH("556",M2857)))*(O2857*SUMIFS(Premissas!$C$5:$C$44,Premissas!$A$5:$A$44,$A2857,Premissas!$B$5:$B$44,$B2857)+P2857*SUMIFS(Premissas!$D$5:$D$44,Premissas!$A$5:$A$44,$A2857,Premissas!$B$5:$B$44,$B2857))+R2857*SUMIFS(Premissas!$E$5:$E$44,Premissas!$A$5:$A$44,$A2857,Premissas!$B$5:$B$44,$B2857)+S2857*SUMIFS(Premissas!$F$5:$F$44,Premissas!$A$5:$A$44,$A2857,Premissas!$B$5:$B$44,$B2857)</f>
        <v/>
      </c>
      <c r="L2857" s="29">
        <f>J2857-K2857</f>
        <v/>
      </c>
      <c r="M2857" t="inlineStr">
        <is>
          <t>1.350</t>
        </is>
      </c>
      <c r="N2857" t="inlineStr">
        <is>
          <t>Modalidade: 0 - Por conta do remetente | Parte: PRIMEPACK EMBALAGENS LTDA (49.581.750/0001-93)</t>
        </is>
      </c>
      <c r="O2857" s="29" t="n">
        <v>0</v>
      </c>
      <c r="P2857" s="29" t="n">
        <v>0</v>
      </c>
      <c r="Q2857" s="29" t="n">
        <v>0</v>
      </c>
      <c r="R2857" s="29" t="n">
        <v>0</v>
      </c>
      <c r="S2857" s="29" t="n">
        <v>0</v>
      </c>
      <c r="T2857" t="inlineStr">
        <is>
          <t>25260226975620000130570010000063541000010775</t>
        </is>
      </c>
      <c r="U2857" t="inlineStr">
        <is>
          <t>Não</t>
        </is>
      </c>
    </row>
    <row r="2858">
      <c r="A2858" t="inlineStr">
        <is>
          <t>Frete de venda</t>
        </is>
      </c>
      <c r="B2858" t="inlineStr">
        <is>
          <t>2.01.02 Frete sobre Vendas</t>
        </is>
      </c>
      <c r="C2858" s="30" t="n">
        <v>46054</v>
      </c>
      <c r="D2858" t="inlineStr">
        <is>
          <t>Em 2026</t>
        </is>
      </c>
      <c r="E2858" s="28" t="n">
        <v>46066</v>
      </c>
      <c r="F2858" t="inlineStr">
        <is>
          <t>CT-e</t>
        </is>
      </c>
      <c r="G2858" t="inlineStr">
        <is>
          <t>000006355</t>
        </is>
      </c>
      <c r="H2858" t="inlineStr">
        <is>
          <t>R&amp;R TRANSPORTE E LOGISTICA</t>
        </is>
      </c>
      <c r="J2858" s="29" t="n">
        <v>24.76</v>
      </c>
      <c r="K2858" s="29">
        <f>(1-ISNUMBER(SEARCH("556",M2858)))*(O2858*SUMIFS(Premissas!$C$5:$C$44,Premissas!$A$5:$A$44,$A2858,Premissas!$B$5:$B$44,$B2858)+P2858*SUMIFS(Premissas!$D$5:$D$44,Premissas!$A$5:$A$44,$A2858,Premissas!$B$5:$B$44,$B2858))+R2858*SUMIFS(Premissas!$E$5:$E$44,Premissas!$A$5:$A$44,$A2858,Premissas!$B$5:$B$44,$B2858)+S2858*SUMIFS(Premissas!$F$5:$F$44,Premissas!$A$5:$A$44,$A2858,Premissas!$B$5:$B$44,$B2858)</f>
        <v/>
      </c>
      <c r="L2858" s="29">
        <f>J2858-K2858</f>
        <v/>
      </c>
      <c r="M2858" t="inlineStr">
        <is>
          <t>1.350</t>
        </is>
      </c>
      <c r="N2858" t="inlineStr">
        <is>
          <t>Modalidade: 0 - Por conta do remetente | Parte: MARIA DE FATIMA MACHADO SEVERO e CIA LTDA (94.672.557/0001-12)</t>
        </is>
      </c>
      <c r="O2858" s="29" t="n">
        <v>0</v>
      </c>
      <c r="P2858" s="29" t="n">
        <v>0</v>
      </c>
      <c r="Q2858" s="29" t="n">
        <v>0</v>
      </c>
      <c r="R2858" s="29" t="n">
        <v>0</v>
      </c>
      <c r="S2858" s="29" t="n">
        <v>0</v>
      </c>
      <c r="T2858" t="inlineStr">
        <is>
          <t>25260226975620000130570010000063551000180856</t>
        </is>
      </c>
      <c r="U2858" t="inlineStr">
        <is>
          <t>Não</t>
        </is>
      </c>
    </row>
    <row r="2859">
      <c r="A2859" t="inlineStr">
        <is>
          <t>Frete de venda</t>
        </is>
      </c>
      <c r="B2859" t="inlineStr">
        <is>
          <t>2.01.02 Frete sobre Vendas</t>
        </is>
      </c>
      <c r="C2859" s="30" t="n">
        <v>46054</v>
      </c>
      <c r="D2859" t="inlineStr">
        <is>
          <t>Em 2026</t>
        </is>
      </c>
      <c r="E2859" s="28" t="n">
        <v>46066</v>
      </c>
      <c r="F2859" t="inlineStr">
        <is>
          <t>CT-e</t>
        </is>
      </c>
      <c r="G2859" t="inlineStr">
        <is>
          <t>000006356</t>
        </is>
      </c>
      <c r="H2859" t="inlineStr">
        <is>
          <t>R&amp;R TRANSPORTE E LOGISTICA</t>
        </is>
      </c>
      <c r="J2859" s="29" t="n">
        <v>20.69</v>
      </c>
      <c r="K2859" s="29">
        <f>(1-ISNUMBER(SEARCH("556",M2859)))*(O2859*SUMIFS(Premissas!$C$5:$C$44,Premissas!$A$5:$A$44,$A2859,Premissas!$B$5:$B$44,$B2859)+P2859*SUMIFS(Premissas!$D$5:$D$44,Premissas!$A$5:$A$44,$A2859,Premissas!$B$5:$B$44,$B2859))+R2859*SUMIFS(Premissas!$E$5:$E$44,Premissas!$A$5:$A$44,$A2859,Premissas!$B$5:$B$44,$B2859)+S2859*SUMIFS(Premissas!$F$5:$F$44,Premissas!$A$5:$A$44,$A2859,Premissas!$B$5:$B$44,$B2859)</f>
        <v/>
      </c>
      <c r="L2859" s="29">
        <f>J2859-K2859</f>
        <v/>
      </c>
      <c r="M2859" t="inlineStr">
        <is>
          <t>1.350</t>
        </is>
      </c>
      <c r="N2859" t="inlineStr">
        <is>
          <t>Modalidade: 0 - Por conta do remetente | Parte: EMBRULHE EMBALAGENS BRUSQUE LTDA (03.686.059/0001-73)</t>
        </is>
      </c>
      <c r="O2859" s="29" t="n">
        <v>0</v>
      </c>
      <c r="P2859" s="29" t="n">
        <v>0</v>
      </c>
      <c r="Q2859" s="29" t="n">
        <v>0</v>
      </c>
      <c r="R2859" s="29" t="n">
        <v>0</v>
      </c>
      <c r="S2859" s="29" t="n">
        <v>0</v>
      </c>
      <c r="T2859" t="inlineStr">
        <is>
          <t>25260226975620000130570010000063561000150938</t>
        </is>
      </c>
      <c r="U2859" t="inlineStr">
        <is>
          <t>Não</t>
        </is>
      </c>
    </row>
    <row r="2860">
      <c r="A2860" t="inlineStr">
        <is>
          <t>Frete de venda</t>
        </is>
      </c>
      <c r="B2860" t="inlineStr">
        <is>
          <t>2.01.02 Frete sobre Vendas</t>
        </is>
      </c>
      <c r="C2860" s="30" t="n">
        <v>46054</v>
      </c>
      <c r="D2860" t="inlineStr">
        <is>
          <t>Em 2026</t>
        </is>
      </c>
      <c r="E2860" s="28" t="n">
        <v>46066</v>
      </c>
      <c r="F2860" t="inlineStr">
        <is>
          <t>CT-e</t>
        </is>
      </c>
      <c r="G2860" t="inlineStr">
        <is>
          <t>000006357</t>
        </is>
      </c>
      <c r="H2860" t="inlineStr">
        <is>
          <t>R&amp;R TRANSPORTE E LOGISTICA</t>
        </is>
      </c>
      <c r="J2860" s="29" t="n">
        <v>10.08</v>
      </c>
      <c r="K2860" s="29">
        <f>(1-ISNUMBER(SEARCH("556",M2860)))*(O2860*SUMIFS(Premissas!$C$5:$C$44,Premissas!$A$5:$A$44,$A2860,Premissas!$B$5:$B$44,$B2860)+P2860*SUMIFS(Premissas!$D$5:$D$44,Premissas!$A$5:$A$44,$A2860,Premissas!$B$5:$B$44,$B2860))+R2860*SUMIFS(Premissas!$E$5:$E$44,Premissas!$A$5:$A$44,$A2860,Premissas!$B$5:$B$44,$B2860)+S2860*SUMIFS(Premissas!$F$5:$F$44,Premissas!$A$5:$A$44,$A2860,Premissas!$B$5:$B$44,$B2860)</f>
        <v/>
      </c>
      <c r="L2860" s="29">
        <f>J2860-K2860</f>
        <v/>
      </c>
      <c r="M2860" t="inlineStr">
        <is>
          <t>1.350</t>
        </is>
      </c>
      <c r="N2860" t="inlineStr">
        <is>
          <t>Modalidade: 0 - Por conta do remetente | Parte: LOJA MATIAS UNIDADE LAMENHA LTDA (11.634.617/0001-85)</t>
        </is>
      </c>
      <c r="O2860" s="29" t="n">
        <v>0</v>
      </c>
      <c r="P2860" s="29" t="n">
        <v>0</v>
      </c>
      <c r="Q2860" s="29" t="n">
        <v>0</v>
      </c>
      <c r="R2860" s="29" t="n">
        <v>0</v>
      </c>
      <c r="S2860" s="29" t="n">
        <v>0</v>
      </c>
      <c r="T2860" t="inlineStr">
        <is>
          <t>25260226975620000130570010000063571001201010</t>
        </is>
      </c>
      <c r="U2860" t="inlineStr">
        <is>
          <t>Não</t>
        </is>
      </c>
    </row>
    <row r="2861">
      <c r="A2861" t="inlineStr">
        <is>
          <t>Frete de venda</t>
        </is>
      </c>
      <c r="B2861" t="inlineStr">
        <is>
          <t>2.01.02 Frete sobre Vendas</t>
        </is>
      </c>
      <c r="C2861" s="30" t="n">
        <v>46054</v>
      </c>
      <c r="D2861" t="inlineStr">
        <is>
          <t>Em 2026</t>
        </is>
      </c>
      <c r="E2861" s="28" t="n">
        <v>46066</v>
      </c>
      <c r="F2861" t="inlineStr">
        <is>
          <t>CT-e</t>
        </is>
      </c>
      <c r="G2861" t="inlineStr">
        <is>
          <t>000006358</t>
        </is>
      </c>
      <c r="H2861" t="inlineStr">
        <is>
          <t>R&amp;R TRANSPORTE E LOGISTICA</t>
        </is>
      </c>
      <c r="J2861" s="29" t="n">
        <v>16.58</v>
      </c>
      <c r="K2861" s="29">
        <f>(1-ISNUMBER(SEARCH("556",M2861)))*(O2861*SUMIFS(Premissas!$C$5:$C$44,Premissas!$A$5:$A$44,$A2861,Premissas!$B$5:$B$44,$B2861)+P2861*SUMIFS(Premissas!$D$5:$D$44,Premissas!$A$5:$A$44,$A2861,Premissas!$B$5:$B$44,$B2861))+R2861*SUMIFS(Premissas!$E$5:$E$44,Premissas!$A$5:$A$44,$A2861,Premissas!$B$5:$B$44,$B2861)+S2861*SUMIFS(Premissas!$F$5:$F$44,Premissas!$A$5:$A$44,$A2861,Premissas!$B$5:$B$44,$B2861)</f>
        <v/>
      </c>
      <c r="L2861" s="29">
        <f>J2861-K2861</f>
        <v/>
      </c>
      <c r="M2861" t="inlineStr">
        <is>
          <t>1.350</t>
        </is>
      </c>
      <c r="N2861" t="inlineStr">
        <is>
          <t>Modalidade: 0 - Por conta do remetente | Parte: AS MARIAS HOME LTDA (61.812.405/0001-19)</t>
        </is>
      </c>
      <c r="O2861" s="29" t="n">
        <v>0</v>
      </c>
      <c r="P2861" s="29" t="n">
        <v>0</v>
      </c>
      <c r="Q2861" s="29" t="n">
        <v>0</v>
      </c>
      <c r="R2861" s="29" t="n">
        <v>0</v>
      </c>
      <c r="S2861" s="29" t="n">
        <v>0</v>
      </c>
      <c r="T2861" t="inlineStr">
        <is>
          <t>25260226975620000130570010000063581011001097</t>
        </is>
      </c>
      <c r="U2861" t="inlineStr">
        <is>
          <t>Não</t>
        </is>
      </c>
    </row>
    <row r="2862">
      <c r="A2862" t="inlineStr">
        <is>
          <t>Frete de venda</t>
        </is>
      </c>
      <c r="B2862" t="inlineStr">
        <is>
          <t>2.01.02 Frete sobre Vendas</t>
        </is>
      </c>
      <c r="C2862" s="30" t="n">
        <v>46054</v>
      </c>
      <c r="D2862" t="inlineStr">
        <is>
          <t>Em 2026</t>
        </is>
      </c>
      <c r="E2862" s="28" t="n">
        <v>46066</v>
      </c>
      <c r="F2862" t="inlineStr">
        <is>
          <t>CT-e</t>
        </is>
      </c>
      <c r="G2862" t="inlineStr">
        <is>
          <t>000006359</t>
        </is>
      </c>
      <c r="H2862" t="inlineStr">
        <is>
          <t>R&amp;R TRANSPORTE E LOGISTICA</t>
        </is>
      </c>
      <c r="J2862" s="29" t="n">
        <v>23.11</v>
      </c>
      <c r="K2862" s="29">
        <f>(1-ISNUMBER(SEARCH("556",M2862)))*(O2862*SUMIFS(Premissas!$C$5:$C$44,Premissas!$A$5:$A$44,$A2862,Premissas!$B$5:$B$44,$B2862)+P2862*SUMIFS(Premissas!$D$5:$D$44,Premissas!$A$5:$A$44,$A2862,Premissas!$B$5:$B$44,$B2862))+R2862*SUMIFS(Premissas!$E$5:$E$44,Premissas!$A$5:$A$44,$A2862,Premissas!$B$5:$B$44,$B2862)+S2862*SUMIFS(Premissas!$F$5:$F$44,Premissas!$A$5:$A$44,$A2862,Premissas!$B$5:$B$44,$B2862)</f>
        <v/>
      </c>
      <c r="L2862" s="29">
        <f>J2862-K2862</f>
        <v/>
      </c>
      <c r="M2862" t="inlineStr">
        <is>
          <t>1.350</t>
        </is>
      </c>
      <c r="N2862" t="inlineStr">
        <is>
          <t>Modalidade: 0 - Por conta do remetente | Parte: ELTON DIEGO SOARES DE CASTRO LTDA (28.176.668/0001-03)</t>
        </is>
      </c>
      <c r="O2862" s="29" t="n">
        <v>0</v>
      </c>
      <c r="P2862" s="29" t="n">
        <v>0</v>
      </c>
      <c r="Q2862" s="29" t="n">
        <v>0</v>
      </c>
      <c r="R2862" s="29" t="n">
        <v>0</v>
      </c>
      <c r="S2862" s="29" t="n">
        <v>0</v>
      </c>
      <c r="T2862" t="inlineStr">
        <is>
          <t>25260226975620000130570010000063591001701174</t>
        </is>
      </c>
      <c r="U2862" t="inlineStr">
        <is>
          <t>Não</t>
        </is>
      </c>
    </row>
    <row r="2863">
      <c r="A2863" t="inlineStr">
        <is>
          <t>Frete de venda</t>
        </is>
      </c>
      <c r="B2863" t="inlineStr">
        <is>
          <t>2.01.02 Frete sobre Vendas</t>
        </is>
      </c>
      <c r="C2863" s="30" t="n">
        <v>46054</v>
      </c>
      <c r="D2863" t="inlineStr">
        <is>
          <t>Em 2026</t>
        </is>
      </c>
      <c r="E2863" s="28" t="n">
        <v>46066</v>
      </c>
      <c r="F2863" t="inlineStr">
        <is>
          <t>CT-e</t>
        </is>
      </c>
      <c r="G2863" t="inlineStr">
        <is>
          <t>000006360</t>
        </is>
      </c>
      <c r="H2863" t="inlineStr">
        <is>
          <t>R&amp;R TRANSPORTE E LOGISTICA</t>
        </is>
      </c>
      <c r="J2863" s="29" t="n">
        <v>29.5</v>
      </c>
      <c r="K2863" s="29">
        <f>(1-ISNUMBER(SEARCH("556",M2863)))*(O2863*SUMIFS(Premissas!$C$5:$C$44,Premissas!$A$5:$A$44,$A2863,Premissas!$B$5:$B$44,$B2863)+P2863*SUMIFS(Premissas!$D$5:$D$44,Premissas!$A$5:$A$44,$A2863,Premissas!$B$5:$B$44,$B2863))+R2863*SUMIFS(Premissas!$E$5:$E$44,Premissas!$A$5:$A$44,$A2863,Premissas!$B$5:$B$44,$B2863)+S2863*SUMIFS(Premissas!$F$5:$F$44,Premissas!$A$5:$A$44,$A2863,Premissas!$B$5:$B$44,$B2863)</f>
        <v/>
      </c>
      <c r="L2863" s="29">
        <f>J2863-K2863</f>
        <v/>
      </c>
      <c r="M2863" t="inlineStr">
        <is>
          <t>1.350</t>
        </is>
      </c>
      <c r="N2863" t="inlineStr">
        <is>
          <t>Modalidade: 0 - Por conta do remetente | Parte: ROSSET EMBALAGENS E PAPELARIA LTDA (50.656.847/0001-05)</t>
        </is>
      </c>
      <c r="O2863" s="29" t="n">
        <v>0</v>
      </c>
      <c r="P2863" s="29" t="n">
        <v>0</v>
      </c>
      <c r="Q2863" s="29" t="n">
        <v>0</v>
      </c>
      <c r="R2863" s="29" t="n">
        <v>0</v>
      </c>
      <c r="S2863" s="29" t="n">
        <v>0</v>
      </c>
      <c r="T2863" t="inlineStr">
        <is>
          <t>25260226975620000130570010000063601001401252</t>
        </is>
      </c>
      <c r="U2863" t="inlineStr">
        <is>
          <t>Não</t>
        </is>
      </c>
    </row>
    <row r="2864">
      <c r="A2864" t="inlineStr">
        <is>
          <t>Frete de venda</t>
        </is>
      </c>
      <c r="B2864" t="inlineStr">
        <is>
          <t>2.01.02 Frete sobre Vendas</t>
        </is>
      </c>
      <c r="C2864" s="30" t="n">
        <v>46054</v>
      </c>
      <c r="D2864" t="inlineStr">
        <is>
          <t>Em 2026</t>
        </is>
      </c>
      <c r="E2864" s="28" t="n">
        <v>46066</v>
      </c>
      <c r="F2864" t="inlineStr">
        <is>
          <t>CT-e</t>
        </is>
      </c>
      <c r="G2864" t="inlineStr">
        <is>
          <t>000006361</t>
        </is>
      </c>
      <c r="H2864" t="inlineStr">
        <is>
          <t>R&amp;R TRANSPORTE E LOGISTICA</t>
        </is>
      </c>
      <c r="J2864" s="29" t="n">
        <v>13.62</v>
      </c>
      <c r="K2864" s="29">
        <f>(1-ISNUMBER(SEARCH("556",M2864)))*(O2864*SUMIFS(Premissas!$C$5:$C$44,Premissas!$A$5:$A$44,$A2864,Premissas!$B$5:$B$44,$B2864)+P2864*SUMIFS(Premissas!$D$5:$D$44,Premissas!$A$5:$A$44,$A2864,Premissas!$B$5:$B$44,$B2864))+R2864*SUMIFS(Premissas!$E$5:$E$44,Premissas!$A$5:$A$44,$A2864,Premissas!$B$5:$B$44,$B2864)+S2864*SUMIFS(Premissas!$F$5:$F$44,Premissas!$A$5:$A$44,$A2864,Premissas!$B$5:$B$44,$B2864)</f>
        <v/>
      </c>
      <c r="L2864" s="29">
        <f>J2864-K2864</f>
        <v/>
      </c>
      <c r="M2864" t="inlineStr">
        <is>
          <t>1.350</t>
        </is>
      </c>
      <c r="N2864" t="inlineStr">
        <is>
          <t>Modalidade: 0 - Por conta do remetente | Parte: CIAPEL - COMERCIO DE PAPEIS E EMBALAGENS LTDA (79.701.744/0001-93)</t>
        </is>
      </c>
      <c r="O2864" s="29" t="n">
        <v>0</v>
      </c>
      <c r="P2864" s="29" t="n">
        <v>0</v>
      </c>
      <c r="Q2864" s="29" t="n">
        <v>0</v>
      </c>
      <c r="R2864" s="29" t="n">
        <v>0</v>
      </c>
      <c r="S2864" s="29" t="n">
        <v>0</v>
      </c>
      <c r="T2864" t="inlineStr">
        <is>
          <t>25260226975620000130570010000063611001101337</t>
        </is>
      </c>
      <c r="U2864" t="inlineStr">
        <is>
          <t>Não</t>
        </is>
      </c>
    </row>
    <row r="2865">
      <c r="A2865" t="inlineStr">
        <is>
          <t>Frete de venda</t>
        </is>
      </c>
      <c r="B2865" t="inlineStr">
        <is>
          <t>2.01.02 Frete sobre Vendas</t>
        </is>
      </c>
      <c r="C2865" s="30" t="n">
        <v>46054</v>
      </c>
      <c r="D2865" t="inlineStr">
        <is>
          <t>Em 2026</t>
        </is>
      </c>
      <c r="E2865" s="28" t="n">
        <v>46066</v>
      </c>
      <c r="F2865" t="inlineStr">
        <is>
          <t>CT-e</t>
        </is>
      </c>
      <c r="G2865" t="inlineStr">
        <is>
          <t>000006362</t>
        </is>
      </c>
      <c r="H2865" t="inlineStr">
        <is>
          <t>R&amp;R TRANSPORTE E LOGISTICA</t>
        </is>
      </c>
      <c r="J2865" s="29" t="n">
        <v>13.85</v>
      </c>
      <c r="K2865" s="29">
        <f>(1-ISNUMBER(SEARCH("556",M2865)))*(O2865*SUMIFS(Premissas!$C$5:$C$44,Premissas!$A$5:$A$44,$A2865,Premissas!$B$5:$B$44,$B2865)+P2865*SUMIFS(Premissas!$D$5:$D$44,Premissas!$A$5:$A$44,$A2865,Premissas!$B$5:$B$44,$B2865))+R2865*SUMIFS(Premissas!$E$5:$E$44,Premissas!$A$5:$A$44,$A2865,Premissas!$B$5:$B$44,$B2865)+S2865*SUMIFS(Premissas!$F$5:$F$44,Premissas!$A$5:$A$44,$A2865,Premissas!$B$5:$B$44,$B2865)</f>
        <v/>
      </c>
      <c r="L2865" s="29">
        <f>J2865-K2865</f>
        <v/>
      </c>
      <c r="M2865" t="inlineStr">
        <is>
          <t>1.350</t>
        </is>
      </c>
      <c r="N2865" t="inlineStr">
        <is>
          <t>Modalidade: 0 - Por conta do remetente | Parte: PRESTIGE COMERCIO ATACADISTA DE EMBALAGENS LTDA (12.497.666/0001-86)</t>
        </is>
      </c>
      <c r="O2865" s="29" t="n">
        <v>0</v>
      </c>
      <c r="P2865" s="29" t="n">
        <v>0</v>
      </c>
      <c r="Q2865" s="29" t="n">
        <v>0</v>
      </c>
      <c r="R2865" s="29" t="n">
        <v>0</v>
      </c>
      <c r="S2865" s="29" t="n">
        <v>0</v>
      </c>
      <c r="T2865" t="inlineStr">
        <is>
          <t>25260226975620000130570010000063621001901411</t>
        </is>
      </c>
      <c r="U2865" t="inlineStr">
        <is>
          <t>Não</t>
        </is>
      </c>
    </row>
    <row r="2866">
      <c r="A2866" t="inlineStr">
        <is>
          <t>Frete de venda</t>
        </is>
      </c>
      <c r="B2866" t="inlineStr">
        <is>
          <t>2.01.02 Frete sobre Vendas</t>
        </is>
      </c>
      <c r="C2866" s="30" t="n">
        <v>46054</v>
      </c>
      <c r="D2866" t="inlineStr">
        <is>
          <t>Em 2026</t>
        </is>
      </c>
      <c r="E2866" s="28" t="n">
        <v>46066</v>
      </c>
      <c r="F2866" t="inlineStr">
        <is>
          <t>CT-e</t>
        </is>
      </c>
      <c r="G2866" t="inlineStr">
        <is>
          <t>000006363</t>
        </is>
      </c>
      <c r="H2866" t="inlineStr">
        <is>
          <t>R&amp;R TRANSPORTE E LOGISTICA</t>
        </is>
      </c>
      <c r="J2866" s="29" t="n">
        <v>11.85</v>
      </c>
      <c r="K2866" s="29">
        <f>(1-ISNUMBER(SEARCH("556",M2866)))*(O2866*SUMIFS(Premissas!$C$5:$C$44,Premissas!$A$5:$A$44,$A2866,Premissas!$B$5:$B$44,$B2866)+P2866*SUMIFS(Premissas!$D$5:$D$44,Premissas!$A$5:$A$44,$A2866,Premissas!$B$5:$B$44,$B2866))+R2866*SUMIFS(Premissas!$E$5:$E$44,Premissas!$A$5:$A$44,$A2866,Premissas!$B$5:$B$44,$B2866)+S2866*SUMIFS(Premissas!$F$5:$F$44,Premissas!$A$5:$A$44,$A2866,Premissas!$B$5:$B$44,$B2866)</f>
        <v/>
      </c>
      <c r="L2866" s="29">
        <f>J2866-K2866</f>
        <v/>
      </c>
      <c r="M2866" t="inlineStr">
        <is>
          <t>1.350</t>
        </is>
      </c>
      <c r="N2866" t="inlineStr">
        <is>
          <t>Modalidade: 0 - Por conta do remetente | Parte: BEBIFRIOS COMERCIAL LTDA (05.796.195/0001-41)</t>
        </is>
      </c>
      <c r="O2866" s="29" t="n">
        <v>0</v>
      </c>
      <c r="P2866" s="29" t="n">
        <v>0</v>
      </c>
      <c r="Q2866" s="29" t="n">
        <v>0</v>
      </c>
      <c r="R2866" s="29" t="n">
        <v>0</v>
      </c>
      <c r="S2866" s="29" t="n">
        <v>0</v>
      </c>
      <c r="T2866" t="inlineStr">
        <is>
          <t>25260226975620000130570010000063631001601490</t>
        </is>
      </c>
      <c r="U2866" t="inlineStr">
        <is>
          <t>Não</t>
        </is>
      </c>
    </row>
    <row r="2867">
      <c r="A2867" t="inlineStr">
        <is>
          <t>Frete de venda</t>
        </is>
      </c>
      <c r="B2867" t="inlineStr">
        <is>
          <t>2.01.02 Frete sobre Vendas</t>
        </is>
      </c>
      <c r="C2867" s="30" t="n">
        <v>46054</v>
      </c>
      <c r="D2867" t="inlineStr">
        <is>
          <t>Em 2026</t>
        </is>
      </c>
      <c r="E2867" s="28" t="n">
        <v>46066</v>
      </c>
      <c r="F2867" t="inlineStr">
        <is>
          <t>CT-e</t>
        </is>
      </c>
      <c r="G2867" t="inlineStr">
        <is>
          <t>000006364</t>
        </is>
      </c>
      <c r="H2867" t="inlineStr">
        <is>
          <t>R&amp;R TRANSPORTE E LOGISTICA</t>
        </is>
      </c>
      <c r="J2867" s="29" t="n">
        <v>16.88</v>
      </c>
      <c r="K2867" s="29">
        <f>(1-ISNUMBER(SEARCH("556",M2867)))*(O2867*SUMIFS(Premissas!$C$5:$C$44,Premissas!$A$5:$A$44,$A2867,Premissas!$B$5:$B$44,$B2867)+P2867*SUMIFS(Premissas!$D$5:$D$44,Premissas!$A$5:$A$44,$A2867,Premissas!$B$5:$B$44,$B2867))+R2867*SUMIFS(Premissas!$E$5:$E$44,Premissas!$A$5:$A$44,$A2867,Premissas!$B$5:$B$44,$B2867)+S2867*SUMIFS(Premissas!$F$5:$F$44,Premissas!$A$5:$A$44,$A2867,Premissas!$B$5:$B$44,$B2867)</f>
        <v/>
      </c>
      <c r="L2867" s="29">
        <f>J2867-K2867</f>
        <v/>
      </c>
      <c r="M2867" t="inlineStr">
        <is>
          <t>1.350</t>
        </is>
      </c>
      <c r="N2867" t="inlineStr">
        <is>
          <t>Modalidade: 0 - Por conta do remetente | Parte: MIL COMERCIO DE EMBALAGENS LTDA (03.000.441/0001-81)</t>
        </is>
      </c>
      <c r="O2867" s="29" t="n">
        <v>0</v>
      </c>
      <c r="P2867" s="29" t="n">
        <v>0</v>
      </c>
      <c r="Q2867" s="29" t="n">
        <v>0</v>
      </c>
      <c r="R2867" s="29" t="n">
        <v>0</v>
      </c>
      <c r="S2867" s="29" t="n">
        <v>0</v>
      </c>
      <c r="T2867" t="inlineStr">
        <is>
          <t>25260226975620000130570010000063641000170841</t>
        </is>
      </c>
      <c r="U2867" t="inlineStr">
        <is>
          <t>Não</t>
        </is>
      </c>
    </row>
    <row r="2868">
      <c r="A2868" t="inlineStr">
        <is>
          <t>Frete de venda</t>
        </is>
      </c>
      <c r="B2868" t="inlineStr">
        <is>
          <t>2.01.02 Frete sobre Vendas</t>
        </is>
      </c>
      <c r="C2868" s="30" t="n">
        <v>46054</v>
      </c>
      <c r="D2868" t="inlineStr">
        <is>
          <t>Em 2026</t>
        </is>
      </c>
      <c r="E2868" s="28" t="n">
        <v>46066</v>
      </c>
      <c r="F2868" t="inlineStr">
        <is>
          <t>CT-e</t>
        </is>
      </c>
      <c r="G2868" t="inlineStr">
        <is>
          <t>000006365</t>
        </is>
      </c>
      <c r="H2868" t="inlineStr">
        <is>
          <t>R&amp;R TRANSPORTE E LOGISTICA</t>
        </is>
      </c>
      <c r="J2868" s="29" t="n">
        <v>202.49</v>
      </c>
      <c r="K2868" s="29">
        <f>(1-ISNUMBER(SEARCH("556",M2868)))*(O2868*SUMIFS(Premissas!$C$5:$C$44,Premissas!$A$5:$A$44,$A2868,Premissas!$B$5:$B$44,$B2868)+P2868*SUMIFS(Premissas!$D$5:$D$44,Premissas!$A$5:$A$44,$A2868,Premissas!$B$5:$B$44,$B2868))+R2868*SUMIFS(Premissas!$E$5:$E$44,Premissas!$A$5:$A$44,$A2868,Premissas!$B$5:$B$44,$B2868)+S2868*SUMIFS(Premissas!$F$5:$F$44,Premissas!$A$5:$A$44,$A2868,Premissas!$B$5:$B$44,$B2868)</f>
        <v/>
      </c>
      <c r="L2868" s="29">
        <f>J2868-K2868</f>
        <v/>
      </c>
      <c r="M2868" t="inlineStr">
        <is>
          <t>1.350</t>
        </is>
      </c>
      <c r="N2868" t="inlineStr">
        <is>
          <t>Modalidade: 0 - Por conta do remetente | Parte: TRIPACK DISTRIBUIDORA LTDA (35.313.349/0001-68)</t>
        </is>
      </c>
      <c r="O2868" s="29" t="n">
        <v>0</v>
      </c>
      <c r="P2868" s="29" t="n">
        <v>0</v>
      </c>
      <c r="Q2868" s="29" t="n">
        <v>0</v>
      </c>
      <c r="R2868" s="29" t="n">
        <v>0</v>
      </c>
      <c r="S2868" s="29" t="n">
        <v>0</v>
      </c>
      <c r="T2868" t="inlineStr">
        <is>
          <t>25260226975620000130570010000063651000140923</t>
        </is>
      </c>
      <c r="U2868" t="inlineStr">
        <is>
          <t>Não</t>
        </is>
      </c>
    </row>
    <row r="2869">
      <c r="A2869" t="inlineStr">
        <is>
          <t>Frete de venda</t>
        </is>
      </c>
      <c r="B2869" t="inlineStr">
        <is>
          <t>2.01.02 Frete sobre Vendas</t>
        </is>
      </c>
      <c r="C2869" s="30" t="n">
        <v>46054</v>
      </c>
      <c r="D2869" t="inlineStr">
        <is>
          <t>Em 2026</t>
        </is>
      </c>
      <c r="E2869" s="28" t="n">
        <v>46067</v>
      </c>
      <c r="F2869" t="inlineStr">
        <is>
          <t>CT-e</t>
        </is>
      </c>
      <c r="G2869" t="inlineStr">
        <is>
          <t>000006368</t>
        </is>
      </c>
      <c r="H2869" t="inlineStr">
        <is>
          <t>R&amp;R TRANSPORTE E LOGISTICA</t>
        </is>
      </c>
      <c r="J2869" s="29" t="n">
        <v>40.71</v>
      </c>
      <c r="K2869" s="29">
        <f>(1-ISNUMBER(SEARCH("556",M2869)))*(O2869*SUMIFS(Premissas!$C$5:$C$44,Premissas!$A$5:$A$44,$A2869,Premissas!$B$5:$B$44,$B2869)+P2869*SUMIFS(Premissas!$D$5:$D$44,Premissas!$A$5:$A$44,$A2869,Premissas!$B$5:$B$44,$B2869))+R2869*SUMIFS(Premissas!$E$5:$E$44,Premissas!$A$5:$A$44,$A2869,Premissas!$B$5:$B$44,$B2869)+S2869*SUMIFS(Premissas!$F$5:$F$44,Premissas!$A$5:$A$44,$A2869,Premissas!$B$5:$B$44,$B2869)</f>
        <v/>
      </c>
      <c r="L2869" s="29">
        <f>J2869-K2869</f>
        <v/>
      </c>
      <c r="M2869" t="inlineStr">
        <is>
          <t>1.350</t>
        </is>
      </c>
      <c r="N2869" t="inlineStr">
        <is>
          <t>Modalidade: 0 - Por conta do remetente | Parte: JAMES L. H. TOME e CIA LTDA (16.965.024/0003-87)</t>
        </is>
      </c>
      <c r="O2869" s="29" t="n">
        <v>0</v>
      </c>
      <c r="P2869" s="29" t="n">
        <v>0</v>
      </c>
      <c r="Q2869" s="29" t="n">
        <v>0</v>
      </c>
      <c r="R2869" s="29" t="n">
        <v>0</v>
      </c>
      <c r="S2869" s="29" t="n">
        <v>0</v>
      </c>
      <c r="T2869" t="inlineStr">
        <is>
          <t>25260226975620000130570010000063681001601160</t>
        </is>
      </c>
      <c r="U2869" t="inlineStr">
        <is>
          <t>Não</t>
        </is>
      </c>
    </row>
    <row r="2870">
      <c r="A2870" t="inlineStr">
        <is>
          <t>Frete de venda</t>
        </is>
      </c>
      <c r="B2870" t="inlineStr">
        <is>
          <t>2.01.02 Frete sobre Vendas</t>
        </is>
      </c>
      <c r="C2870" s="30" t="n">
        <v>46054</v>
      </c>
      <c r="D2870" t="inlineStr">
        <is>
          <t>Em 2026</t>
        </is>
      </c>
      <c r="E2870" s="28" t="n">
        <v>46067</v>
      </c>
      <c r="F2870" t="inlineStr">
        <is>
          <t>CT-e</t>
        </is>
      </c>
      <c r="G2870" t="inlineStr">
        <is>
          <t>000006369</t>
        </is>
      </c>
      <c r="H2870" t="inlineStr">
        <is>
          <t>R&amp;R TRANSPORTE E LOGISTICA</t>
        </is>
      </c>
      <c r="J2870" s="29" t="n">
        <v>83.56</v>
      </c>
      <c r="K2870" s="29">
        <f>(1-ISNUMBER(SEARCH("556",M2870)))*(O2870*SUMIFS(Premissas!$C$5:$C$44,Premissas!$A$5:$A$44,$A2870,Premissas!$B$5:$B$44,$B2870)+P2870*SUMIFS(Premissas!$D$5:$D$44,Premissas!$A$5:$A$44,$A2870,Premissas!$B$5:$B$44,$B2870))+R2870*SUMIFS(Premissas!$E$5:$E$44,Premissas!$A$5:$A$44,$A2870,Premissas!$B$5:$B$44,$B2870)+S2870*SUMIFS(Premissas!$F$5:$F$44,Premissas!$A$5:$A$44,$A2870,Premissas!$B$5:$B$44,$B2870)</f>
        <v/>
      </c>
      <c r="L2870" s="29">
        <f>J2870-K2870</f>
        <v/>
      </c>
      <c r="M2870" t="inlineStr">
        <is>
          <t>1.350</t>
        </is>
      </c>
      <c r="N2870" t="inlineStr">
        <is>
          <t>Modalidade: 0 - Por conta do remetente | Parte: M. R. ARAUJO SOPRAN (07.444.901/0001-11)</t>
        </is>
      </c>
      <c r="O2870" s="29" t="n">
        <v>0</v>
      </c>
      <c r="P2870" s="29" t="n">
        <v>0</v>
      </c>
      <c r="Q2870" s="29" t="n">
        <v>0</v>
      </c>
      <c r="R2870" s="29" t="n">
        <v>0</v>
      </c>
      <c r="S2870" s="29" t="n">
        <v>0</v>
      </c>
      <c r="T2870" t="inlineStr">
        <is>
          <t>25260226975620000130570010000063691001301245</t>
        </is>
      </c>
      <c r="U2870" t="inlineStr">
        <is>
          <t>Não</t>
        </is>
      </c>
    </row>
    <row r="2871">
      <c r="A2871" t="inlineStr">
        <is>
          <t>Frete de venda</t>
        </is>
      </c>
      <c r="B2871" t="inlineStr">
        <is>
          <t>2.01.02 Frete sobre Vendas</t>
        </is>
      </c>
      <c r="C2871" s="30" t="n">
        <v>46054</v>
      </c>
      <c r="D2871" t="inlineStr">
        <is>
          <t>Em 2026</t>
        </is>
      </c>
      <c r="E2871" s="28" t="n">
        <v>46067</v>
      </c>
      <c r="F2871" t="inlineStr">
        <is>
          <t>CT-e</t>
        </is>
      </c>
      <c r="G2871" t="inlineStr">
        <is>
          <t>000006370</t>
        </is>
      </c>
      <c r="H2871" t="inlineStr">
        <is>
          <t>R&amp;R TRANSPORTE E LOGISTICA</t>
        </is>
      </c>
      <c r="J2871" s="29" t="n">
        <v>30.3</v>
      </c>
      <c r="K2871" s="29">
        <f>(1-ISNUMBER(SEARCH("556",M2871)))*(O2871*SUMIFS(Premissas!$C$5:$C$44,Premissas!$A$5:$A$44,$A2871,Premissas!$B$5:$B$44,$B2871)+P2871*SUMIFS(Premissas!$D$5:$D$44,Premissas!$A$5:$A$44,$A2871,Premissas!$B$5:$B$44,$B2871))+R2871*SUMIFS(Premissas!$E$5:$E$44,Premissas!$A$5:$A$44,$A2871,Premissas!$B$5:$B$44,$B2871)+S2871*SUMIFS(Premissas!$F$5:$F$44,Premissas!$A$5:$A$44,$A2871,Premissas!$B$5:$B$44,$B2871)</f>
        <v/>
      </c>
      <c r="L2871" s="29">
        <f>J2871-K2871</f>
        <v/>
      </c>
      <c r="M2871" t="inlineStr">
        <is>
          <t>1.350</t>
        </is>
      </c>
      <c r="N2871" t="inlineStr">
        <is>
          <t>Modalidade: 0 - Por conta do remetente | Parte: R. VALE DOS SANTOS LTDA (21.585.699/0001-79)</t>
        </is>
      </c>
      <c r="O2871" s="29" t="n">
        <v>0</v>
      </c>
      <c r="P2871" s="29" t="n">
        <v>0</v>
      </c>
      <c r="Q2871" s="29" t="n">
        <v>0</v>
      </c>
      <c r="R2871" s="29" t="n">
        <v>0</v>
      </c>
      <c r="S2871" s="29" t="n">
        <v>0</v>
      </c>
      <c r="T2871" t="inlineStr">
        <is>
          <t>25260226975620000130570010000063701000101324</t>
        </is>
      </c>
      <c r="U2871" t="inlineStr">
        <is>
          <t>Não</t>
        </is>
      </c>
    </row>
    <row r="2872">
      <c r="A2872" t="inlineStr">
        <is>
          <t>Frete de venda</t>
        </is>
      </c>
      <c r="B2872" t="inlineStr">
        <is>
          <t>2.01.02 Frete sobre Vendas</t>
        </is>
      </c>
      <c r="C2872" s="30" t="n">
        <v>46054</v>
      </c>
      <c r="D2872" t="inlineStr">
        <is>
          <t>Em 2026</t>
        </is>
      </c>
      <c r="E2872" s="28" t="n">
        <v>46067</v>
      </c>
      <c r="F2872" t="inlineStr">
        <is>
          <t>CT-e</t>
        </is>
      </c>
      <c r="G2872" t="inlineStr">
        <is>
          <t>000006371</t>
        </is>
      </c>
      <c r="H2872" t="inlineStr">
        <is>
          <t>R&amp;R TRANSPORTE E LOGISTICA</t>
        </is>
      </c>
      <c r="J2872" s="29" t="n">
        <v>75.56</v>
      </c>
      <c r="K2872" s="29">
        <f>(1-ISNUMBER(SEARCH("556",M2872)))*(O2872*SUMIFS(Premissas!$C$5:$C$44,Premissas!$A$5:$A$44,$A2872,Premissas!$B$5:$B$44,$B2872)+P2872*SUMIFS(Premissas!$D$5:$D$44,Premissas!$A$5:$A$44,$A2872,Premissas!$B$5:$B$44,$B2872))+R2872*SUMIFS(Premissas!$E$5:$E$44,Premissas!$A$5:$A$44,$A2872,Premissas!$B$5:$B$44,$B2872)+S2872*SUMIFS(Premissas!$F$5:$F$44,Premissas!$A$5:$A$44,$A2872,Premissas!$B$5:$B$44,$B2872)</f>
        <v/>
      </c>
      <c r="L2872" s="29">
        <f>J2872-K2872</f>
        <v/>
      </c>
      <c r="M2872" t="inlineStr">
        <is>
          <t>1.350</t>
        </is>
      </c>
      <c r="N2872" t="inlineStr">
        <is>
          <t>Modalidade: 0 - Por conta do remetente | Parte: POPULAR COMERCIO DE MERCADORIAS EM GERAL LTDA (32.323.706/0001-80)</t>
        </is>
      </c>
      <c r="O2872" s="29" t="n">
        <v>0</v>
      </c>
      <c r="P2872" s="29" t="n">
        <v>0</v>
      </c>
      <c r="Q2872" s="29" t="n">
        <v>0</v>
      </c>
      <c r="R2872" s="29" t="n">
        <v>0</v>
      </c>
      <c r="S2872" s="29" t="n">
        <v>0</v>
      </c>
      <c r="T2872" t="inlineStr">
        <is>
          <t>25260226975620000130570010000063711001801408</t>
        </is>
      </c>
      <c r="U2872" t="inlineStr">
        <is>
          <t>Não</t>
        </is>
      </c>
    </row>
    <row r="2873">
      <c r="A2873" t="inlineStr">
        <is>
          <t>Frete de venda</t>
        </is>
      </c>
      <c r="B2873" t="inlineStr">
        <is>
          <t>2.01.02 Frete sobre Vendas</t>
        </is>
      </c>
      <c r="C2873" s="30" t="n">
        <v>46054</v>
      </c>
      <c r="D2873" t="inlineStr">
        <is>
          <t>Em 2026</t>
        </is>
      </c>
      <c r="E2873" s="28" t="n">
        <v>46067</v>
      </c>
      <c r="F2873" t="inlineStr">
        <is>
          <t>CT-e</t>
        </is>
      </c>
      <c r="G2873" t="inlineStr">
        <is>
          <t>000006372</t>
        </is>
      </c>
      <c r="H2873" t="inlineStr">
        <is>
          <t>R&amp;R TRANSPORTE E LOGISTICA</t>
        </is>
      </c>
      <c r="J2873" s="29" t="n">
        <v>29.93</v>
      </c>
      <c r="K2873" s="29">
        <f>(1-ISNUMBER(SEARCH("556",M2873)))*(O2873*SUMIFS(Premissas!$C$5:$C$44,Premissas!$A$5:$A$44,$A2873,Premissas!$B$5:$B$44,$B2873)+P2873*SUMIFS(Premissas!$D$5:$D$44,Premissas!$A$5:$A$44,$A2873,Premissas!$B$5:$B$44,$B2873))+R2873*SUMIFS(Premissas!$E$5:$E$44,Premissas!$A$5:$A$44,$A2873,Premissas!$B$5:$B$44,$B2873)+S2873*SUMIFS(Premissas!$F$5:$F$44,Premissas!$A$5:$A$44,$A2873,Premissas!$B$5:$B$44,$B2873)</f>
        <v/>
      </c>
      <c r="L2873" s="29">
        <f>J2873-K2873</f>
        <v/>
      </c>
      <c r="M2873" t="inlineStr">
        <is>
          <t>1.350</t>
        </is>
      </c>
      <c r="N2873" t="inlineStr">
        <is>
          <t>Modalidade: 0 - Por conta do remetente | Parte: CAVALCANTE E LAGES LTDA (06.120.924/0001-08)</t>
        </is>
      </c>
      <c r="O2873" s="29" t="n">
        <v>0</v>
      </c>
      <c r="P2873" s="29" t="n">
        <v>0</v>
      </c>
      <c r="Q2873" s="29" t="n">
        <v>0</v>
      </c>
      <c r="R2873" s="29" t="n">
        <v>0</v>
      </c>
      <c r="S2873" s="29" t="n">
        <v>0</v>
      </c>
      <c r="T2873" t="inlineStr">
        <is>
          <t>25260226975620000130570010000063721001501487</t>
        </is>
      </c>
      <c r="U2873" t="inlineStr">
        <is>
          <t>Não</t>
        </is>
      </c>
    </row>
    <row r="2874">
      <c r="A2874" t="inlineStr">
        <is>
          <t>Frete de venda</t>
        </is>
      </c>
      <c r="B2874" t="inlineStr">
        <is>
          <t>2.01.02 Frete sobre Vendas</t>
        </is>
      </c>
      <c r="C2874" s="30" t="n">
        <v>46054</v>
      </c>
      <c r="D2874" t="inlineStr">
        <is>
          <t>Em 2026</t>
        </is>
      </c>
      <c r="E2874" s="28" t="n">
        <v>46067</v>
      </c>
      <c r="F2874" t="inlineStr">
        <is>
          <t>CT-e</t>
        </is>
      </c>
      <c r="G2874" t="inlineStr">
        <is>
          <t>000006373</t>
        </is>
      </c>
      <c r="H2874" t="inlineStr">
        <is>
          <t>R&amp;R TRANSPORTE E LOGISTICA</t>
        </is>
      </c>
      <c r="J2874" s="29" t="n">
        <v>43.7</v>
      </c>
      <c r="K2874" s="29">
        <f>(1-ISNUMBER(SEARCH("556",M2874)))*(O2874*SUMIFS(Premissas!$C$5:$C$44,Premissas!$A$5:$A$44,$A2874,Premissas!$B$5:$B$44,$B2874)+P2874*SUMIFS(Premissas!$D$5:$D$44,Premissas!$A$5:$A$44,$A2874,Premissas!$B$5:$B$44,$B2874))+R2874*SUMIFS(Premissas!$E$5:$E$44,Premissas!$A$5:$A$44,$A2874,Premissas!$B$5:$B$44,$B2874)+S2874*SUMIFS(Premissas!$F$5:$F$44,Premissas!$A$5:$A$44,$A2874,Premissas!$B$5:$B$44,$B2874)</f>
        <v/>
      </c>
      <c r="L2874" s="29">
        <f>J2874-K2874</f>
        <v/>
      </c>
      <c r="M2874" t="inlineStr">
        <is>
          <t>1.350</t>
        </is>
      </c>
      <c r="N2874" t="inlineStr">
        <is>
          <t>Modalidade: 0 - Por conta do remetente | Parte: PIAUI PLAST EIRELI (37.914.034/0001-00)</t>
        </is>
      </c>
      <c r="O2874" s="29" t="n">
        <v>0</v>
      </c>
      <c r="P2874" s="29" t="n">
        <v>0</v>
      </c>
      <c r="Q2874" s="29" t="n">
        <v>0</v>
      </c>
      <c r="R2874" s="29" t="n">
        <v>0</v>
      </c>
      <c r="S2874" s="29" t="n">
        <v>0</v>
      </c>
      <c r="T2874" t="inlineStr">
        <is>
          <t>25260226975620000130570010000063731001201561</t>
        </is>
      </c>
      <c r="U2874" t="inlineStr">
        <is>
          <t>Não</t>
        </is>
      </c>
    </row>
    <row r="2875">
      <c r="A2875" t="inlineStr">
        <is>
          <t>Frete de venda</t>
        </is>
      </c>
      <c r="B2875" t="inlineStr">
        <is>
          <t>2.01.02 Frete sobre Vendas</t>
        </is>
      </c>
      <c r="C2875" s="30" t="n">
        <v>46054</v>
      </c>
      <c r="D2875" t="inlineStr">
        <is>
          <t>Em 2026</t>
        </is>
      </c>
      <c r="E2875" s="28" t="n">
        <v>46067</v>
      </c>
      <c r="F2875" t="inlineStr">
        <is>
          <t>CT-e</t>
        </is>
      </c>
      <c r="G2875" t="inlineStr">
        <is>
          <t>000006374</t>
        </is>
      </c>
      <c r="H2875" t="inlineStr">
        <is>
          <t>R&amp;R TRANSPORTE E LOGISTICA</t>
        </is>
      </c>
      <c r="J2875" s="29" t="n">
        <v>36.55</v>
      </c>
      <c r="K2875" s="29">
        <f>(1-ISNUMBER(SEARCH("556",M2875)))*(O2875*SUMIFS(Premissas!$C$5:$C$44,Premissas!$A$5:$A$44,$A2875,Premissas!$B$5:$B$44,$B2875)+P2875*SUMIFS(Premissas!$D$5:$D$44,Premissas!$A$5:$A$44,$A2875,Premissas!$B$5:$B$44,$B2875))+R2875*SUMIFS(Premissas!$E$5:$E$44,Premissas!$A$5:$A$44,$A2875,Premissas!$B$5:$B$44,$B2875)+S2875*SUMIFS(Premissas!$F$5:$F$44,Premissas!$A$5:$A$44,$A2875,Premissas!$B$5:$B$44,$B2875)</f>
        <v/>
      </c>
      <c r="L2875" s="29">
        <f>J2875-K2875</f>
        <v/>
      </c>
      <c r="M2875" t="inlineStr">
        <is>
          <t>1.350</t>
        </is>
      </c>
      <c r="N2875" t="inlineStr">
        <is>
          <t>Modalidade: 0 - Por conta do remetente | Parte: PORTUGAL COMERCIO DE PRODUTOS DESCARTAVEIS LTDA (83.349.563/0001-17)</t>
        </is>
      </c>
      <c r="O2875" s="29" t="n">
        <v>0</v>
      </c>
      <c r="P2875" s="29" t="n">
        <v>0</v>
      </c>
      <c r="Q2875" s="29" t="n">
        <v>0</v>
      </c>
      <c r="R2875" s="29" t="n">
        <v>0</v>
      </c>
      <c r="S2875" s="29" t="n">
        <v>0</v>
      </c>
      <c r="T2875" t="inlineStr">
        <is>
          <t>25260226975620000130570010000063741000130919</t>
        </is>
      </c>
      <c r="U2875" t="inlineStr">
        <is>
          <t>Não</t>
        </is>
      </c>
    </row>
    <row r="2876">
      <c r="A2876" t="inlineStr">
        <is>
          <t>Frete de venda</t>
        </is>
      </c>
      <c r="B2876" t="inlineStr">
        <is>
          <t>2.01.02 Frete sobre Vendas</t>
        </is>
      </c>
      <c r="C2876" s="30" t="n">
        <v>46054</v>
      </c>
      <c r="D2876" t="inlineStr">
        <is>
          <t>Em 2026</t>
        </is>
      </c>
      <c r="E2876" s="28" t="n">
        <v>46067</v>
      </c>
      <c r="F2876" t="inlineStr">
        <is>
          <t>CT-e</t>
        </is>
      </c>
      <c r="G2876" t="inlineStr">
        <is>
          <t>000006375</t>
        </is>
      </c>
      <c r="H2876" t="inlineStr">
        <is>
          <t>R&amp;R TRANSPORTE E LOGISTICA</t>
        </is>
      </c>
      <c r="J2876" s="29" t="n">
        <v>114.16</v>
      </c>
      <c r="K2876" s="29">
        <f>(1-ISNUMBER(SEARCH("556",M2876)))*(O2876*SUMIFS(Premissas!$C$5:$C$44,Premissas!$A$5:$A$44,$A2876,Premissas!$B$5:$B$44,$B2876)+P2876*SUMIFS(Premissas!$D$5:$D$44,Premissas!$A$5:$A$44,$A2876,Premissas!$B$5:$B$44,$B2876))+R2876*SUMIFS(Premissas!$E$5:$E$44,Premissas!$A$5:$A$44,$A2876,Premissas!$B$5:$B$44,$B2876)+S2876*SUMIFS(Premissas!$F$5:$F$44,Premissas!$A$5:$A$44,$A2876,Premissas!$B$5:$B$44,$B2876)</f>
        <v/>
      </c>
      <c r="L2876" s="29">
        <f>J2876-K2876</f>
        <v/>
      </c>
      <c r="M2876" t="inlineStr">
        <is>
          <t>1.350</t>
        </is>
      </c>
      <c r="N2876" t="inlineStr">
        <is>
          <t>Modalidade: 0 - Por conta do remetente | Parte: IBIAPINA VARIEDADES LTDA (46.211.356/0001-75)</t>
        </is>
      </c>
      <c r="O2876" s="29" t="n">
        <v>0</v>
      </c>
      <c r="P2876" s="29" t="n">
        <v>0</v>
      </c>
      <c r="Q2876" s="29" t="n">
        <v>0</v>
      </c>
      <c r="R2876" s="29" t="n">
        <v>0</v>
      </c>
      <c r="S2876" s="29" t="n">
        <v>0</v>
      </c>
      <c r="T2876" t="inlineStr">
        <is>
          <t>25260226975620000130570010000063751000010996</t>
        </is>
      </c>
      <c r="U2876" t="inlineStr">
        <is>
          <t>Não</t>
        </is>
      </c>
    </row>
    <row r="2877">
      <c r="A2877" t="inlineStr">
        <is>
          <t>Frete de venda</t>
        </is>
      </c>
      <c r="B2877" t="inlineStr">
        <is>
          <t>2.01.02 Frete sobre Vendas</t>
        </is>
      </c>
      <c r="C2877" s="30" t="n">
        <v>46054</v>
      </c>
      <c r="D2877" t="inlineStr">
        <is>
          <t>Em 2026</t>
        </is>
      </c>
      <c r="E2877" s="28" t="n">
        <v>46067</v>
      </c>
      <c r="F2877" t="inlineStr">
        <is>
          <t>CT-e</t>
        </is>
      </c>
      <c r="G2877" t="inlineStr">
        <is>
          <t>000006376</t>
        </is>
      </c>
      <c r="H2877" t="inlineStr">
        <is>
          <t>R&amp;R TRANSPORTE E LOGISTICA</t>
        </is>
      </c>
      <c r="J2877" s="29" t="n">
        <v>42.49</v>
      </c>
      <c r="K2877" s="29">
        <f>(1-ISNUMBER(SEARCH("556",M2877)))*(O2877*SUMIFS(Premissas!$C$5:$C$44,Premissas!$A$5:$A$44,$A2877,Premissas!$B$5:$B$44,$B2877)+P2877*SUMIFS(Premissas!$D$5:$D$44,Premissas!$A$5:$A$44,$A2877,Premissas!$B$5:$B$44,$B2877))+R2877*SUMIFS(Premissas!$E$5:$E$44,Premissas!$A$5:$A$44,$A2877,Premissas!$B$5:$B$44,$B2877)+S2877*SUMIFS(Premissas!$F$5:$F$44,Premissas!$A$5:$A$44,$A2877,Premissas!$B$5:$B$44,$B2877)</f>
        <v/>
      </c>
      <c r="L2877" s="29">
        <f>J2877-K2877</f>
        <v/>
      </c>
      <c r="M2877" t="inlineStr">
        <is>
          <t>1.350</t>
        </is>
      </c>
      <c r="N2877" t="inlineStr">
        <is>
          <t>Modalidade: 0 - Por conta do remetente | Parte: P3 DESCARTAVEIS ATACADO e VAREJO LTDA (12.040.681/0001-09)</t>
        </is>
      </c>
      <c r="O2877" s="29" t="n">
        <v>0</v>
      </c>
      <c r="P2877" s="29" t="n">
        <v>0</v>
      </c>
      <c r="Q2877" s="29" t="n">
        <v>0</v>
      </c>
      <c r="R2877" s="29" t="n">
        <v>0</v>
      </c>
      <c r="S2877" s="29" t="n">
        <v>0</v>
      </c>
      <c r="T2877" t="inlineStr">
        <is>
          <t>25260226975620000130570010000063761001801072</t>
        </is>
      </c>
      <c r="U2877" t="inlineStr">
        <is>
          <t>Não</t>
        </is>
      </c>
    </row>
    <row r="2878">
      <c r="A2878" t="inlineStr">
        <is>
          <t>Frete de venda</t>
        </is>
      </c>
      <c r="B2878" t="inlineStr">
        <is>
          <t>2.01.02 Frete sobre Vendas</t>
        </is>
      </c>
      <c r="C2878" s="30" t="n">
        <v>46054</v>
      </c>
      <c r="D2878" t="inlineStr">
        <is>
          <t>Em 2026</t>
        </is>
      </c>
      <c r="E2878" s="28" t="n">
        <v>46067</v>
      </c>
      <c r="F2878" t="inlineStr">
        <is>
          <t>CT-e</t>
        </is>
      </c>
      <c r="G2878" t="inlineStr">
        <is>
          <t>000006377</t>
        </is>
      </c>
      <c r="H2878" t="inlineStr">
        <is>
          <t>R&amp;R TRANSPORTE E LOGISTICA</t>
        </is>
      </c>
      <c r="J2878" s="29" t="n">
        <v>49.87</v>
      </c>
      <c r="K2878" s="29">
        <f>(1-ISNUMBER(SEARCH("556",M2878)))*(O2878*SUMIFS(Premissas!$C$5:$C$44,Premissas!$A$5:$A$44,$A2878,Premissas!$B$5:$B$44,$B2878)+P2878*SUMIFS(Premissas!$D$5:$D$44,Premissas!$A$5:$A$44,$A2878,Premissas!$B$5:$B$44,$B2878))+R2878*SUMIFS(Premissas!$E$5:$E$44,Premissas!$A$5:$A$44,$A2878,Premissas!$B$5:$B$44,$B2878)+S2878*SUMIFS(Premissas!$F$5:$F$44,Premissas!$A$5:$A$44,$A2878,Premissas!$B$5:$B$44,$B2878)</f>
        <v/>
      </c>
      <c r="L2878" s="29">
        <f>J2878-K2878</f>
        <v/>
      </c>
      <c r="M2878" t="inlineStr">
        <is>
          <t>1.350</t>
        </is>
      </c>
      <c r="N2878" t="inlineStr">
        <is>
          <t>Modalidade: 0 - Por conta do remetente | Parte: J. S. DA SILVA LTDA (00.393.164/0001-26)</t>
        </is>
      </c>
      <c r="O2878" s="29" t="n">
        <v>0</v>
      </c>
      <c r="P2878" s="29" t="n">
        <v>0</v>
      </c>
      <c r="Q2878" s="29" t="n">
        <v>0</v>
      </c>
      <c r="R2878" s="29" t="n">
        <v>0</v>
      </c>
      <c r="S2878" s="29" t="n">
        <v>0</v>
      </c>
      <c r="T2878" t="inlineStr">
        <is>
          <t>25260226975620000130570010000063771001501157</t>
        </is>
      </c>
      <c r="U2878" t="inlineStr">
        <is>
          <t>Não</t>
        </is>
      </c>
    </row>
    <row r="2879">
      <c r="A2879" t="inlineStr">
        <is>
          <t>Frete de venda</t>
        </is>
      </c>
      <c r="B2879" t="inlineStr">
        <is>
          <t>2.01.02 Frete sobre Vendas</t>
        </is>
      </c>
      <c r="C2879" s="30" t="n">
        <v>46054</v>
      </c>
      <c r="D2879" t="inlineStr">
        <is>
          <t>Em 2026</t>
        </is>
      </c>
      <c r="E2879" s="28" t="n">
        <v>46067</v>
      </c>
      <c r="F2879" t="inlineStr">
        <is>
          <t>CT-e</t>
        </is>
      </c>
      <c r="G2879" t="inlineStr">
        <is>
          <t>000006378</t>
        </is>
      </c>
      <c r="H2879" t="inlineStr">
        <is>
          <t>R&amp;R TRANSPORTE E LOGISTICA</t>
        </is>
      </c>
      <c r="J2879" s="29" t="n">
        <v>31</v>
      </c>
      <c r="K2879" s="29">
        <f>(1-ISNUMBER(SEARCH("556",M2879)))*(O2879*SUMIFS(Premissas!$C$5:$C$44,Premissas!$A$5:$A$44,$A2879,Premissas!$B$5:$B$44,$B2879)+P2879*SUMIFS(Premissas!$D$5:$D$44,Premissas!$A$5:$A$44,$A2879,Premissas!$B$5:$B$44,$B2879))+R2879*SUMIFS(Premissas!$E$5:$E$44,Premissas!$A$5:$A$44,$A2879,Premissas!$B$5:$B$44,$B2879)+S2879*SUMIFS(Premissas!$F$5:$F$44,Premissas!$A$5:$A$44,$A2879,Premissas!$B$5:$B$44,$B2879)</f>
        <v/>
      </c>
      <c r="L2879" s="29">
        <f>J2879-K2879</f>
        <v/>
      </c>
      <c r="M2879" t="inlineStr">
        <is>
          <t>1.350</t>
        </is>
      </c>
      <c r="N2879" t="inlineStr">
        <is>
          <t>Modalidade: 0 - Por conta do remetente | Parte: VANDERLEIA FERREIRA MARQUES (34.169.048/0001-40)</t>
        </is>
      </c>
      <c r="O2879" s="29" t="n">
        <v>0</v>
      </c>
      <c r="P2879" s="29" t="n">
        <v>0</v>
      </c>
      <c r="Q2879" s="29" t="n">
        <v>0</v>
      </c>
      <c r="R2879" s="29" t="n">
        <v>0</v>
      </c>
      <c r="S2879" s="29" t="n">
        <v>0</v>
      </c>
      <c r="T2879" t="inlineStr">
        <is>
          <t>25260226975620000130570010000063781001201231</t>
        </is>
      </c>
      <c r="U2879" t="inlineStr">
        <is>
          <t>Não</t>
        </is>
      </c>
    </row>
    <row r="2880">
      <c r="A2880" t="inlineStr">
        <is>
          <t>Frete de venda</t>
        </is>
      </c>
      <c r="B2880" t="inlineStr">
        <is>
          <t>2.01.02 Frete sobre Vendas</t>
        </is>
      </c>
      <c r="C2880" s="30" t="n">
        <v>46054</v>
      </c>
      <c r="D2880" t="inlineStr">
        <is>
          <t>Em 2026</t>
        </is>
      </c>
      <c r="E2880" s="28" t="n">
        <v>46067</v>
      </c>
      <c r="F2880" t="inlineStr">
        <is>
          <t>CT-e</t>
        </is>
      </c>
      <c r="G2880" t="inlineStr">
        <is>
          <t>000006379</t>
        </is>
      </c>
      <c r="H2880" t="inlineStr">
        <is>
          <t>R&amp;R TRANSPORTE E LOGISTICA</t>
        </is>
      </c>
      <c r="J2880" s="29" t="n">
        <v>57.81</v>
      </c>
      <c r="K2880" s="29">
        <f>(1-ISNUMBER(SEARCH("556",M2880)))*(O2880*SUMIFS(Premissas!$C$5:$C$44,Premissas!$A$5:$A$44,$A2880,Premissas!$B$5:$B$44,$B2880)+P2880*SUMIFS(Premissas!$D$5:$D$44,Premissas!$A$5:$A$44,$A2880,Premissas!$B$5:$B$44,$B2880))+R2880*SUMIFS(Premissas!$E$5:$E$44,Premissas!$A$5:$A$44,$A2880,Premissas!$B$5:$B$44,$B2880)+S2880*SUMIFS(Premissas!$F$5:$F$44,Premissas!$A$5:$A$44,$A2880,Premissas!$B$5:$B$44,$B2880)</f>
        <v/>
      </c>
      <c r="L2880" s="29">
        <f>J2880-K2880</f>
        <v/>
      </c>
      <c r="M2880" t="inlineStr">
        <is>
          <t>1.350</t>
        </is>
      </c>
      <c r="N2880" t="inlineStr">
        <is>
          <t>Modalidade: 0 - Por conta do remetente | Parte: RODRIGUES E CIA LTDA (26.144.570/0001-49)</t>
        </is>
      </c>
      <c r="O2880" s="29" t="n">
        <v>0</v>
      </c>
      <c r="P2880" s="29" t="n">
        <v>0</v>
      </c>
      <c r="Q2880" s="29" t="n">
        <v>0</v>
      </c>
      <c r="R2880" s="29" t="n">
        <v>0</v>
      </c>
      <c r="S2880" s="29" t="n">
        <v>0</v>
      </c>
      <c r="T2880" t="inlineStr">
        <is>
          <t>25260226975620000130570010000063791011001313</t>
        </is>
      </c>
      <c r="U2880" t="inlineStr">
        <is>
          <t>Não</t>
        </is>
      </c>
    </row>
    <row r="2881">
      <c r="A2881" t="inlineStr">
        <is>
          <t>Frete de venda</t>
        </is>
      </c>
      <c r="B2881" t="inlineStr">
        <is>
          <t>2.01.02 Frete sobre Vendas</t>
        </is>
      </c>
      <c r="C2881" s="30" t="n">
        <v>46054</v>
      </c>
      <c r="D2881" t="inlineStr">
        <is>
          <t>Em 2026</t>
        </is>
      </c>
      <c r="E2881" s="28" t="n">
        <v>46067</v>
      </c>
      <c r="F2881" t="inlineStr">
        <is>
          <t>CT-e</t>
        </is>
      </c>
      <c r="G2881" t="inlineStr">
        <is>
          <t>000006380</t>
        </is>
      </c>
      <c r="H2881" t="inlineStr">
        <is>
          <t>R&amp;R TRANSPORTE E LOGISTICA</t>
        </is>
      </c>
      <c r="J2881" s="29" t="n">
        <v>89.91</v>
      </c>
      <c r="K2881" s="29">
        <f>(1-ISNUMBER(SEARCH("556",M2881)))*(O2881*SUMIFS(Premissas!$C$5:$C$44,Premissas!$A$5:$A$44,$A2881,Premissas!$B$5:$B$44,$B2881)+P2881*SUMIFS(Premissas!$D$5:$D$44,Premissas!$A$5:$A$44,$A2881,Premissas!$B$5:$B$44,$B2881))+R2881*SUMIFS(Premissas!$E$5:$E$44,Premissas!$A$5:$A$44,$A2881,Premissas!$B$5:$B$44,$B2881)+S2881*SUMIFS(Premissas!$F$5:$F$44,Premissas!$A$5:$A$44,$A2881,Premissas!$B$5:$B$44,$B2881)</f>
        <v/>
      </c>
      <c r="L2881" s="29">
        <f>J2881-K2881</f>
        <v/>
      </c>
      <c r="M2881" t="inlineStr">
        <is>
          <t>1.350</t>
        </is>
      </c>
      <c r="N2881" t="inlineStr">
        <is>
          <t>Modalidade: 0 - Por conta do remetente | Parte: IRMAOS BATISTA REZENDE LTDA (13.916.629/0001-28)</t>
        </is>
      </c>
      <c r="O2881" s="29" t="n">
        <v>0</v>
      </c>
      <c r="P2881" s="29" t="n">
        <v>0</v>
      </c>
      <c r="Q2881" s="29" t="n">
        <v>0</v>
      </c>
      <c r="R2881" s="29" t="n">
        <v>0</v>
      </c>
      <c r="S2881" s="29" t="n">
        <v>0</v>
      </c>
      <c r="T2881" t="inlineStr">
        <is>
          <t>25260226975620000130570010000063801001701399</t>
        </is>
      </c>
      <c r="U2881" t="inlineStr">
        <is>
          <t>Não</t>
        </is>
      </c>
    </row>
    <row r="2882">
      <c r="A2882" t="inlineStr">
        <is>
          <t>Frete de venda</t>
        </is>
      </c>
      <c r="B2882" t="inlineStr">
        <is>
          <t>2.01.02 Frete sobre Vendas</t>
        </is>
      </c>
      <c r="C2882" s="30" t="n">
        <v>46054</v>
      </c>
      <c r="D2882" t="inlineStr">
        <is>
          <t>Em 2026</t>
        </is>
      </c>
      <c r="E2882" s="28" t="n">
        <v>46067</v>
      </c>
      <c r="F2882" t="inlineStr">
        <is>
          <t>CT-e</t>
        </is>
      </c>
      <c r="G2882" t="inlineStr">
        <is>
          <t>000006381</t>
        </is>
      </c>
      <c r="H2882" t="inlineStr">
        <is>
          <t>R&amp;R TRANSPORTE E LOGISTICA</t>
        </is>
      </c>
      <c r="J2882" s="29" t="n">
        <v>36.38</v>
      </c>
      <c r="K2882" s="29">
        <f>(1-ISNUMBER(SEARCH("556",M2882)))*(O2882*SUMIFS(Premissas!$C$5:$C$44,Premissas!$A$5:$A$44,$A2882,Premissas!$B$5:$B$44,$B2882)+P2882*SUMIFS(Premissas!$D$5:$D$44,Premissas!$A$5:$A$44,$A2882,Premissas!$B$5:$B$44,$B2882))+R2882*SUMIFS(Premissas!$E$5:$E$44,Premissas!$A$5:$A$44,$A2882,Premissas!$B$5:$B$44,$B2882)+S2882*SUMIFS(Premissas!$F$5:$F$44,Premissas!$A$5:$A$44,$A2882,Premissas!$B$5:$B$44,$B2882)</f>
        <v/>
      </c>
      <c r="L2882" s="29">
        <f>J2882-K2882</f>
        <v/>
      </c>
      <c r="M2882" t="inlineStr">
        <is>
          <t>1.350</t>
        </is>
      </c>
      <c r="N2882" t="inlineStr">
        <is>
          <t>Modalidade: 0 - Por conta do remetente | Parte: NOVA EMBALAGEM LTDA (02.595.624/0001-24)</t>
        </is>
      </c>
      <c r="O2882" s="29" t="n">
        <v>0</v>
      </c>
      <c r="P2882" s="29" t="n">
        <v>0</v>
      </c>
      <c r="Q2882" s="29" t="n">
        <v>0</v>
      </c>
      <c r="R2882" s="29" t="n">
        <v>0</v>
      </c>
      <c r="S2882" s="29" t="n">
        <v>0</v>
      </c>
      <c r="T2882" t="inlineStr">
        <is>
          <t>25260226975620000130570010000063811001401473</t>
        </is>
      </c>
      <c r="U2882" t="inlineStr">
        <is>
          <t>Não</t>
        </is>
      </c>
    </row>
    <row r="2883">
      <c r="A2883" t="inlineStr">
        <is>
          <t>Frete de venda</t>
        </is>
      </c>
      <c r="B2883" t="inlineStr">
        <is>
          <t>2.01.02 Frete sobre Vendas</t>
        </is>
      </c>
      <c r="C2883" s="30" t="n">
        <v>46054</v>
      </c>
      <c r="D2883" t="inlineStr">
        <is>
          <t>Em 2026</t>
        </is>
      </c>
      <c r="E2883" s="28" t="n">
        <v>46067</v>
      </c>
      <c r="F2883" t="inlineStr">
        <is>
          <t>CT-e</t>
        </is>
      </c>
      <c r="G2883" t="inlineStr">
        <is>
          <t>000006382</t>
        </is>
      </c>
      <c r="H2883" t="inlineStr">
        <is>
          <t>R&amp;R TRANSPORTE E LOGISTICA</t>
        </is>
      </c>
      <c r="J2883" s="29" t="n">
        <v>97.75</v>
      </c>
      <c r="K2883" s="29">
        <f>(1-ISNUMBER(SEARCH("556",M2883)))*(O2883*SUMIFS(Premissas!$C$5:$C$44,Premissas!$A$5:$A$44,$A2883,Premissas!$B$5:$B$44,$B2883)+P2883*SUMIFS(Premissas!$D$5:$D$44,Premissas!$A$5:$A$44,$A2883,Premissas!$B$5:$B$44,$B2883))+R2883*SUMIFS(Premissas!$E$5:$E$44,Premissas!$A$5:$A$44,$A2883,Premissas!$B$5:$B$44,$B2883)+S2883*SUMIFS(Premissas!$F$5:$F$44,Premissas!$A$5:$A$44,$A2883,Premissas!$B$5:$B$44,$B2883)</f>
        <v/>
      </c>
      <c r="L2883" s="29">
        <f>J2883-K2883</f>
        <v/>
      </c>
      <c r="M2883" t="inlineStr">
        <is>
          <t>1.350</t>
        </is>
      </c>
      <c r="N2883" t="inlineStr">
        <is>
          <t>Modalidade: 0 - Por conta do remetente | Parte: BRAGA e BARCELOS LTDA (11.109.167/0003-73)</t>
        </is>
      </c>
      <c r="O2883" s="29" t="n">
        <v>0</v>
      </c>
      <c r="P2883" s="29" t="n">
        <v>0</v>
      </c>
      <c r="Q2883" s="29" t="n">
        <v>0</v>
      </c>
      <c r="R2883" s="29" t="n">
        <v>0</v>
      </c>
      <c r="S2883" s="29" t="n">
        <v>0</v>
      </c>
      <c r="T2883" t="inlineStr">
        <is>
          <t>25260226975620000130570010000063821001101558</t>
        </is>
      </c>
      <c r="U2883" t="inlineStr">
        <is>
          <t>Não</t>
        </is>
      </c>
    </row>
    <row r="2884">
      <c r="A2884" t="inlineStr">
        <is>
          <t>Frete de venda</t>
        </is>
      </c>
      <c r="B2884" t="inlineStr">
        <is>
          <t>2.01.02 Frete sobre Vendas</t>
        </is>
      </c>
      <c r="C2884" s="30" t="n">
        <v>46054</v>
      </c>
      <c r="D2884" t="inlineStr">
        <is>
          <t>Em 2026</t>
        </is>
      </c>
      <c r="E2884" s="28" t="n">
        <v>46067</v>
      </c>
      <c r="F2884" t="inlineStr">
        <is>
          <t>CT-e</t>
        </is>
      </c>
      <c r="G2884" t="inlineStr">
        <is>
          <t>000006383</t>
        </is>
      </c>
      <c r="H2884" t="inlineStr">
        <is>
          <t>R&amp;R TRANSPORTE E LOGISTICA</t>
        </is>
      </c>
      <c r="J2884" s="29" t="n">
        <v>94.18000000000001</v>
      </c>
      <c r="K2884" s="29">
        <f>(1-ISNUMBER(SEARCH("556",M2884)))*(O2884*SUMIFS(Premissas!$C$5:$C$44,Premissas!$A$5:$A$44,$A2884,Premissas!$B$5:$B$44,$B2884)+P2884*SUMIFS(Premissas!$D$5:$D$44,Premissas!$A$5:$A$44,$A2884,Premissas!$B$5:$B$44,$B2884))+R2884*SUMIFS(Premissas!$E$5:$E$44,Premissas!$A$5:$A$44,$A2884,Premissas!$B$5:$B$44,$B2884)+S2884*SUMIFS(Premissas!$F$5:$F$44,Premissas!$A$5:$A$44,$A2884,Premissas!$B$5:$B$44,$B2884)</f>
        <v/>
      </c>
      <c r="L2884" s="29">
        <f>J2884-K2884</f>
        <v/>
      </c>
      <c r="M2884" t="inlineStr">
        <is>
          <t>1.350</t>
        </is>
      </c>
      <c r="N2884" t="inlineStr">
        <is>
          <t>Modalidade: 0 - Por conta do remetente | Parte: H B COMERCIO DE EMBALAGENS LTDA (05.488.166/0002-01)</t>
        </is>
      </c>
      <c r="O2884" s="29" t="n">
        <v>0</v>
      </c>
      <c r="P2884" s="29" t="n">
        <v>0</v>
      </c>
      <c r="Q2884" s="29" t="n">
        <v>0</v>
      </c>
      <c r="R2884" s="29" t="n">
        <v>0</v>
      </c>
      <c r="S2884" s="29" t="n">
        <v>0</v>
      </c>
      <c r="T2884" t="inlineStr">
        <is>
          <t>25260226975620000130570010000063831001901632</t>
        </is>
      </c>
      <c r="U2884" t="inlineStr">
        <is>
          <t>Não</t>
        </is>
      </c>
    </row>
    <row r="2885">
      <c r="A2885" t="inlineStr">
        <is>
          <t>Frete de venda</t>
        </is>
      </c>
      <c r="B2885" t="inlineStr">
        <is>
          <t>2.01.02 Frete sobre Vendas</t>
        </is>
      </c>
      <c r="C2885" s="30" t="n">
        <v>46054</v>
      </c>
      <c r="D2885" t="inlineStr">
        <is>
          <t>Em 2026</t>
        </is>
      </c>
      <c r="E2885" s="28" t="n">
        <v>46067</v>
      </c>
      <c r="F2885" t="inlineStr">
        <is>
          <t>CT-e</t>
        </is>
      </c>
      <c r="G2885" t="inlineStr">
        <is>
          <t>000006384</t>
        </is>
      </c>
      <c r="H2885" t="inlineStr">
        <is>
          <t>R&amp;R TRANSPORTE E LOGISTICA</t>
        </is>
      </c>
      <c r="J2885" s="29" t="n">
        <v>124.49</v>
      </c>
      <c r="K2885" s="29">
        <f>(1-ISNUMBER(SEARCH("556",M2885)))*(O2885*SUMIFS(Premissas!$C$5:$C$44,Premissas!$A$5:$A$44,$A2885,Premissas!$B$5:$B$44,$B2885)+P2885*SUMIFS(Premissas!$D$5:$D$44,Premissas!$A$5:$A$44,$A2885,Premissas!$B$5:$B$44,$B2885))+R2885*SUMIFS(Premissas!$E$5:$E$44,Premissas!$A$5:$A$44,$A2885,Premissas!$B$5:$B$44,$B2885)+S2885*SUMIFS(Premissas!$F$5:$F$44,Premissas!$A$5:$A$44,$A2885,Premissas!$B$5:$B$44,$B2885)</f>
        <v/>
      </c>
      <c r="L2885" s="29">
        <f>J2885-K2885</f>
        <v/>
      </c>
      <c r="M2885" t="inlineStr">
        <is>
          <t>1.350</t>
        </is>
      </c>
      <c r="N2885" t="inlineStr">
        <is>
          <t>Modalidade: 0 - Por conta do remetente | Parte: BRAGA e BARCELOS LTDA (11.109.167/0001-01)</t>
        </is>
      </c>
      <c r="O2885" s="29" t="n">
        <v>0</v>
      </c>
      <c r="P2885" s="29" t="n">
        <v>0</v>
      </c>
      <c r="Q2885" s="29" t="n">
        <v>0</v>
      </c>
      <c r="R2885" s="29" t="n">
        <v>0</v>
      </c>
      <c r="S2885" s="29" t="n">
        <v>0</v>
      </c>
      <c r="T2885" t="inlineStr">
        <is>
          <t>25260226975620000130570010000063841001100980</t>
        </is>
      </c>
      <c r="U2885" t="inlineStr">
        <is>
          <t>Não</t>
        </is>
      </c>
    </row>
    <row r="2886">
      <c r="A2886" t="inlineStr">
        <is>
          <t>Frete de venda</t>
        </is>
      </c>
      <c r="B2886" t="inlineStr">
        <is>
          <t>2.01.02 Frete sobre Vendas</t>
        </is>
      </c>
      <c r="C2886" s="30" t="n">
        <v>46054</v>
      </c>
      <c r="D2886" t="inlineStr">
        <is>
          <t>Em 2026</t>
        </is>
      </c>
      <c r="E2886" s="28" t="n">
        <v>46067</v>
      </c>
      <c r="F2886" t="inlineStr">
        <is>
          <t>CT-e</t>
        </is>
      </c>
      <c r="G2886" t="inlineStr">
        <is>
          <t>000006385</t>
        </is>
      </c>
      <c r="H2886" t="inlineStr">
        <is>
          <t>R&amp;R TRANSPORTE E LOGISTICA</t>
        </is>
      </c>
      <c r="J2886" s="29" t="n">
        <v>94.18000000000001</v>
      </c>
      <c r="K2886" s="29">
        <f>(1-ISNUMBER(SEARCH("556",M2886)))*(O2886*SUMIFS(Premissas!$C$5:$C$44,Premissas!$A$5:$A$44,$A2886,Premissas!$B$5:$B$44,$B2886)+P2886*SUMIFS(Premissas!$D$5:$D$44,Premissas!$A$5:$A$44,$A2886,Premissas!$B$5:$B$44,$B2886))+R2886*SUMIFS(Premissas!$E$5:$E$44,Premissas!$A$5:$A$44,$A2886,Premissas!$B$5:$B$44,$B2886)+S2886*SUMIFS(Premissas!$F$5:$F$44,Premissas!$A$5:$A$44,$A2886,Premissas!$B$5:$B$44,$B2886)</f>
        <v/>
      </c>
      <c r="L2886" s="29">
        <f>J2886-K2886</f>
        <v/>
      </c>
      <c r="M2886" t="inlineStr">
        <is>
          <t>1.350</t>
        </is>
      </c>
      <c r="N2886" t="inlineStr">
        <is>
          <t>Modalidade: 0 - Por conta do remetente | Parte: H B COMERCIO DE EMBALAGENS LTDA (05.488.166/0001-12)</t>
        </is>
      </c>
      <c r="O2886" s="29" t="n">
        <v>0</v>
      </c>
      <c r="P2886" s="29" t="n">
        <v>0</v>
      </c>
      <c r="Q2886" s="29" t="n">
        <v>0</v>
      </c>
      <c r="R2886" s="29" t="n">
        <v>0</v>
      </c>
      <c r="S2886" s="29" t="n">
        <v>0</v>
      </c>
      <c r="T2886" t="inlineStr">
        <is>
          <t>25260226975620000130570010000063851001701069</t>
        </is>
      </c>
      <c r="U2886" t="inlineStr">
        <is>
          <t>Não</t>
        </is>
      </c>
    </row>
    <row r="2887">
      <c r="A2887" t="inlineStr">
        <is>
          <t>Frete de venda</t>
        </is>
      </c>
      <c r="B2887" t="inlineStr">
        <is>
          <t>2.01.02 Frete sobre Vendas</t>
        </is>
      </c>
      <c r="C2887" s="30" t="n">
        <v>46054</v>
      </c>
      <c r="D2887" t="inlineStr">
        <is>
          <t>Em 2026</t>
        </is>
      </c>
      <c r="E2887" s="28" t="n">
        <v>46071</v>
      </c>
      <c r="F2887" t="inlineStr">
        <is>
          <t>CT-e</t>
        </is>
      </c>
      <c r="G2887" t="inlineStr">
        <is>
          <t>000006392</t>
        </is>
      </c>
      <c r="H2887" t="inlineStr">
        <is>
          <t>R&amp;R TRANSPORTE E LOGISTICA</t>
        </is>
      </c>
      <c r="J2887" s="29" t="n">
        <v>692</v>
      </c>
      <c r="K2887" s="29">
        <f>(1-ISNUMBER(SEARCH("556",M2887)))*(O2887*SUMIFS(Premissas!$C$5:$C$44,Premissas!$A$5:$A$44,$A2887,Premissas!$B$5:$B$44,$B2887)+P2887*SUMIFS(Premissas!$D$5:$D$44,Premissas!$A$5:$A$44,$A2887,Premissas!$B$5:$B$44,$B2887))+R2887*SUMIFS(Premissas!$E$5:$E$44,Premissas!$A$5:$A$44,$A2887,Premissas!$B$5:$B$44,$B2887)+S2887*SUMIFS(Premissas!$F$5:$F$44,Premissas!$A$5:$A$44,$A2887,Premissas!$B$5:$B$44,$B2887)</f>
        <v/>
      </c>
      <c r="L2887" s="29">
        <f>J2887-K2887</f>
        <v/>
      </c>
      <c r="M2887" t="inlineStr">
        <is>
          <t>1.350</t>
        </is>
      </c>
      <c r="N2887" t="inlineStr">
        <is>
          <t>Modalidade: 0 - Por conta do remetente | Parte: DISTRIPACK DISTRIBUIDORA DE EMBALAGENS LTDA (11.043.375/0002-36)</t>
        </is>
      </c>
      <c r="O2887" s="29" t="n">
        <v>0</v>
      </c>
      <c r="P2887" s="29" t="n">
        <v>0</v>
      </c>
      <c r="Q2887" s="29" t="n">
        <v>0</v>
      </c>
      <c r="R2887" s="29" t="n">
        <v>0</v>
      </c>
      <c r="S2887" s="29" t="n">
        <v>0</v>
      </c>
      <c r="T2887" t="inlineStr">
        <is>
          <t>25260226975620000130570010000063921001801629</t>
        </is>
      </c>
      <c r="U2887" t="inlineStr">
        <is>
          <t>Não</t>
        </is>
      </c>
    </row>
    <row r="2888">
      <c r="A2888" t="inlineStr">
        <is>
          <t>Frete de venda</t>
        </is>
      </c>
      <c r="B2888" t="inlineStr">
        <is>
          <t>2.01.02 Frete sobre Vendas</t>
        </is>
      </c>
      <c r="C2888" s="30" t="n">
        <v>46054</v>
      </c>
      <c r="D2888" t="inlineStr">
        <is>
          <t>Em 2026</t>
        </is>
      </c>
      <c r="E2888" s="28" t="n">
        <v>46072</v>
      </c>
      <c r="F2888" t="inlineStr">
        <is>
          <t>CT-e</t>
        </is>
      </c>
      <c r="G2888" t="inlineStr">
        <is>
          <t>000006397</t>
        </is>
      </c>
      <c r="H2888" t="inlineStr">
        <is>
          <t>R&amp;R TRANSPORTE E LOGISTICA</t>
        </is>
      </c>
      <c r="J2888" s="29" t="n">
        <v>42.67</v>
      </c>
      <c r="K2888" s="29">
        <f>(1-ISNUMBER(SEARCH("556",M2888)))*(O2888*SUMIFS(Premissas!$C$5:$C$44,Premissas!$A$5:$A$44,$A2888,Premissas!$B$5:$B$44,$B2888)+P2888*SUMIFS(Premissas!$D$5:$D$44,Premissas!$A$5:$A$44,$A2888,Premissas!$B$5:$B$44,$B2888))+R2888*SUMIFS(Premissas!$E$5:$E$44,Premissas!$A$5:$A$44,$A2888,Premissas!$B$5:$B$44,$B2888)+S2888*SUMIFS(Premissas!$F$5:$F$44,Premissas!$A$5:$A$44,$A2888,Premissas!$B$5:$B$44,$B2888)</f>
        <v/>
      </c>
      <c r="L2888" s="29">
        <f>J2888-K2888</f>
        <v/>
      </c>
      <c r="M2888" t="inlineStr">
        <is>
          <t>1.350</t>
        </is>
      </c>
      <c r="N2888" t="inlineStr">
        <is>
          <t>Modalidade: 0 - Por conta do remetente | Parte: TUDO DE BOM EMBALAGENS E FESTAS LTDA (22.036.641/0001-39)</t>
        </is>
      </c>
      <c r="O2888" s="29" t="n">
        <v>0</v>
      </c>
      <c r="P2888" s="29" t="n">
        <v>0</v>
      </c>
      <c r="Q2888" s="29" t="n">
        <v>0</v>
      </c>
      <c r="R2888" s="29" t="n">
        <v>0</v>
      </c>
      <c r="S2888" s="29" t="n">
        <v>0</v>
      </c>
      <c r="T2888" t="inlineStr">
        <is>
          <t>25260226975620000130570010000063971000120900</t>
        </is>
      </c>
      <c r="U2888" t="inlineStr">
        <is>
          <t>Não</t>
        </is>
      </c>
    </row>
    <row r="2889">
      <c r="A2889" t="inlineStr">
        <is>
          <t>Frete de venda</t>
        </is>
      </c>
      <c r="B2889" t="inlineStr">
        <is>
          <t>2.01.02 Frete sobre Vendas</t>
        </is>
      </c>
      <c r="C2889" s="30" t="n">
        <v>46054</v>
      </c>
      <c r="D2889" t="inlineStr">
        <is>
          <t>Em 2026</t>
        </is>
      </c>
      <c r="E2889" s="28" t="n">
        <v>46072</v>
      </c>
      <c r="F2889" t="inlineStr">
        <is>
          <t>CT-e</t>
        </is>
      </c>
      <c r="G2889" t="inlineStr">
        <is>
          <t>000006398</t>
        </is>
      </c>
      <c r="H2889" t="inlineStr">
        <is>
          <t>R&amp;R TRANSPORTE E LOGISTICA</t>
        </is>
      </c>
      <c r="J2889" s="29" t="n">
        <v>31.61</v>
      </c>
      <c r="K2889" s="29">
        <f>(1-ISNUMBER(SEARCH("556",M2889)))*(O2889*SUMIFS(Premissas!$C$5:$C$44,Premissas!$A$5:$A$44,$A2889,Premissas!$B$5:$B$44,$B2889)+P2889*SUMIFS(Premissas!$D$5:$D$44,Premissas!$A$5:$A$44,$A2889,Premissas!$B$5:$B$44,$B2889))+R2889*SUMIFS(Premissas!$E$5:$E$44,Premissas!$A$5:$A$44,$A2889,Premissas!$B$5:$B$44,$B2889)+S2889*SUMIFS(Premissas!$F$5:$F$44,Premissas!$A$5:$A$44,$A2889,Premissas!$B$5:$B$44,$B2889)</f>
        <v/>
      </c>
      <c r="L2889" s="29">
        <f>J2889-K2889</f>
        <v/>
      </c>
      <c r="M2889" t="inlineStr">
        <is>
          <t>1.350</t>
        </is>
      </c>
      <c r="N2889" t="inlineStr">
        <is>
          <t>Modalidade: 0 - Por conta do remetente | Parte: CASA DAS EMBALAGENS ARAGUARI LTDA (01.870.495/0001-72)</t>
        </is>
      </c>
      <c r="O2889" s="29" t="n">
        <v>0</v>
      </c>
      <c r="P2889" s="29" t="n">
        <v>0</v>
      </c>
      <c r="Q2889" s="29" t="n">
        <v>0</v>
      </c>
      <c r="R2889" s="29" t="n">
        <v>0</v>
      </c>
      <c r="S2889" s="29" t="n">
        <v>0</v>
      </c>
      <c r="T2889" t="inlineStr">
        <is>
          <t>25260226975620000130570010000063981001100985</t>
        </is>
      </c>
      <c r="U2889" t="inlineStr">
        <is>
          <t>Não</t>
        </is>
      </c>
    </row>
    <row r="2890">
      <c r="A2890" t="inlineStr">
        <is>
          <t>Frete de venda</t>
        </is>
      </c>
      <c r="B2890" t="inlineStr">
        <is>
          <t>2.01.02 Frete sobre Vendas</t>
        </is>
      </c>
      <c r="C2890" s="30" t="n">
        <v>46054</v>
      </c>
      <c r="D2890" t="inlineStr">
        <is>
          <t>Em 2026</t>
        </is>
      </c>
      <c r="E2890" s="28" t="n">
        <v>46072</v>
      </c>
      <c r="F2890" t="inlineStr">
        <is>
          <t>CT-e</t>
        </is>
      </c>
      <c r="G2890" t="inlineStr">
        <is>
          <t>000006399</t>
        </is>
      </c>
      <c r="H2890" t="inlineStr">
        <is>
          <t>R&amp;R TRANSPORTE E LOGISTICA</t>
        </is>
      </c>
      <c r="J2890" s="29" t="n">
        <v>39.36</v>
      </c>
      <c r="K2890" s="29">
        <f>(1-ISNUMBER(SEARCH("556",M2890)))*(O2890*SUMIFS(Premissas!$C$5:$C$44,Premissas!$A$5:$A$44,$A2890,Premissas!$B$5:$B$44,$B2890)+P2890*SUMIFS(Premissas!$D$5:$D$44,Premissas!$A$5:$A$44,$A2890,Premissas!$B$5:$B$44,$B2890))+R2890*SUMIFS(Premissas!$E$5:$E$44,Premissas!$A$5:$A$44,$A2890,Premissas!$B$5:$B$44,$B2890)+S2890*SUMIFS(Premissas!$F$5:$F$44,Premissas!$A$5:$A$44,$A2890,Premissas!$B$5:$B$44,$B2890)</f>
        <v/>
      </c>
      <c r="L2890" s="29">
        <f>J2890-K2890</f>
        <v/>
      </c>
      <c r="M2890" t="inlineStr">
        <is>
          <t>1.350</t>
        </is>
      </c>
      <c r="N2890" t="inlineStr">
        <is>
          <t>Modalidade: 0 - Por conta do remetente | Parte: HCR - COMERCIO DE EMBALAGENS LTDA (01.730.981/0001-95)</t>
        </is>
      </c>
      <c r="O2890" s="29" t="n">
        <v>0</v>
      </c>
      <c r="P2890" s="29" t="n">
        <v>0</v>
      </c>
      <c r="Q2890" s="29" t="n">
        <v>0</v>
      </c>
      <c r="R2890" s="29" t="n">
        <v>0</v>
      </c>
      <c r="S2890" s="29" t="n">
        <v>0</v>
      </c>
      <c r="T2890" t="inlineStr">
        <is>
          <t>25260226975620000130570010000063991001701064</t>
        </is>
      </c>
      <c r="U2890" t="inlineStr">
        <is>
          <t>Não</t>
        </is>
      </c>
    </row>
    <row r="2891">
      <c r="A2891" t="inlineStr">
        <is>
          <t>Frete de venda</t>
        </is>
      </c>
      <c r="B2891" t="inlineStr">
        <is>
          <t>2.01.02 Frete sobre Vendas</t>
        </is>
      </c>
      <c r="C2891" s="30" t="n">
        <v>46054</v>
      </c>
      <c r="D2891" t="inlineStr">
        <is>
          <t>Em 2026</t>
        </is>
      </c>
      <c r="E2891" s="28" t="n">
        <v>46072</v>
      </c>
      <c r="F2891" t="inlineStr">
        <is>
          <t>CT-e</t>
        </is>
      </c>
      <c r="G2891" t="inlineStr">
        <is>
          <t>000006400</t>
        </is>
      </c>
      <c r="H2891" t="inlineStr">
        <is>
          <t>R&amp;R TRANSPORTE E LOGISTICA</t>
        </is>
      </c>
      <c r="J2891" s="29" t="n">
        <v>34.36</v>
      </c>
      <c r="K2891" s="29">
        <f>(1-ISNUMBER(SEARCH("556",M2891)))*(O2891*SUMIFS(Premissas!$C$5:$C$44,Premissas!$A$5:$A$44,$A2891,Premissas!$B$5:$B$44,$B2891)+P2891*SUMIFS(Premissas!$D$5:$D$44,Premissas!$A$5:$A$44,$A2891,Premissas!$B$5:$B$44,$B2891))+R2891*SUMIFS(Premissas!$E$5:$E$44,Premissas!$A$5:$A$44,$A2891,Premissas!$B$5:$B$44,$B2891)+S2891*SUMIFS(Premissas!$F$5:$F$44,Premissas!$A$5:$A$44,$A2891,Premissas!$B$5:$B$44,$B2891)</f>
        <v/>
      </c>
      <c r="L2891" s="29">
        <f>J2891-K2891</f>
        <v/>
      </c>
      <c r="M2891" t="inlineStr">
        <is>
          <t>1.350</t>
        </is>
      </c>
      <c r="N2891" t="inlineStr">
        <is>
          <t>Modalidade: 0 - Por conta do remetente | Parte: AMANDA SOUZA MAGALHAES (38.377.119/0001-50)</t>
        </is>
      </c>
      <c r="O2891" s="29" t="n">
        <v>0</v>
      </c>
      <c r="P2891" s="29" t="n">
        <v>0</v>
      </c>
      <c r="Q2891" s="29" t="n">
        <v>0</v>
      </c>
      <c r="R2891" s="29" t="n">
        <v>0</v>
      </c>
      <c r="S2891" s="29" t="n">
        <v>0</v>
      </c>
      <c r="T2891" t="inlineStr">
        <is>
          <t>25260226975620000130570010000064001001401144</t>
        </is>
      </c>
      <c r="U2891" t="inlineStr">
        <is>
          <t>Não</t>
        </is>
      </c>
    </row>
    <row r="2892">
      <c r="A2892" t="inlineStr">
        <is>
          <t>Frete de venda</t>
        </is>
      </c>
      <c r="B2892" t="inlineStr">
        <is>
          <t>2.01.02 Frete sobre Vendas</t>
        </is>
      </c>
      <c r="C2892" s="30" t="n">
        <v>46054</v>
      </c>
      <c r="D2892" t="inlineStr">
        <is>
          <t>Em 2026</t>
        </is>
      </c>
      <c r="E2892" s="28" t="n">
        <v>46072</v>
      </c>
      <c r="F2892" t="inlineStr">
        <is>
          <t>CT-e</t>
        </is>
      </c>
      <c r="G2892" t="inlineStr">
        <is>
          <t>000006401</t>
        </is>
      </c>
      <c r="H2892" t="inlineStr">
        <is>
          <t>R&amp;R TRANSPORTE E LOGISTICA</t>
        </is>
      </c>
      <c r="J2892" s="29" t="n">
        <v>48.76</v>
      </c>
      <c r="K2892" s="29">
        <f>(1-ISNUMBER(SEARCH("556",M2892)))*(O2892*SUMIFS(Premissas!$C$5:$C$44,Premissas!$A$5:$A$44,$A2892,Premissas!$B$5:$B$44,$B2892)+P2892*SUMIFS(Premissas!$D$5:$D$44,Premissas!$A$5:$A$44,$A2892,Premissas!$B$5:$B$44,$B2892))+R2892*SUMIFS(Premissas!$E$5:$E$44,Premissas!$A$5:$A$44,$A2892,Premissas!$B$5:$B$44,$B2892)+S2892*SUMIFS(Premissas!$F$5:$F$44,Premissas!$A$5:$A$44,$A2892,Premissas!$B$5:$B$44,$B2892)</f>
        <v/>
      </c>
      <c r="L2892" s="29">
        <f>J2892-K2892</f>
        <v/>
      </c>
      <c r="M2892" t="inlineStr">
        <is>
          <t>1.350</t>
        </is>
      </c>
      <c r="N2892" t="inlineStr">
        <is>
          <t>Modalidade: 0 - Por conta do remetente | Parte: EDGAR COUTO PIRES (05.857.084/0001-06)</t>
        </is>
      </c>
      <c r="O2892" s="29" t="n">
        <v>0</v>
      </c>
      <c r="P2892" s="29" t="n">
        <v>0</v>
      </c>
      <c r="Q2892" s="29" t="n">
        <v>0</v>
      </c>
      <c r="R2892" s="29" t="n">
        <v>0</v>
      </c>
      <c r="S2892" s="29" t="n">
        <v>0</v>
      </c>
      <c r="T2892" t="inlineStr">
        <is>
          <t>25260226975620000130570010000064011001101229</t>
        </is>
      </c>
      <c r="U2892" t="inlineStr">
        <is>
          <t>Não</t>
        </is>
      </c>
    </row>
    <row r="2893">
      <c r="A2893" t="inlineStr">
        <is>
          <t>Frete de venda</t>
        </is>
      </c>
      <c r="B2893" t="inlineStr">
        <is>
          <t>2.01.02 Frete sobre Vendas</t>
        </is>
      </c>
      <c r="C2893" s="30" t="n">
        <v>46054</v>
      </c>
      <c r="D2893" t="inlineStr">
        <is>
          <t>Em 2026</t>
        </is>
      </c>
      <c r="E2893" s="28" t="n">
        <v>46072</v>
      </c>
      <c r="F2893" t="inlineStr">
        <is>
          <t>CT-e</t>
        </is>
      </c>
      <c r="G2893" t="inlineStr">
        <is>
          <t>000006402</t>
        </is>
      </c>
      <c r="H2893" t="inlineStr">
        <is>
          <t>R&amp;R TRANSPORTE E LOGISTICA</t>
        </is>
      </c>
      <c r="J2893" s="29" t="n">
        <v>44.9</v>
      </c>
      <c r="K2893" s="29">
        <f>(1-ISNUMBER(SEARCH("556",M2893)))*(O2893*SUMIFS(Premissas!$C$5:$C$44,Premissas!$A$5:$A$44,$A2893,Premissas!$B$5:$B$44,$B2893)+P2893*SUMIFS(Premissas!$D$5:$D$44,Premissas!$A$5:$A$44,$A2893,Premissas!$B$5:$B$44,$B2893))+R2893*SUMIFS(Premissas!$E$5:$E$44,Premissas!$A$5:$A$44,$A2893,Premissas!$B$5:$B$44,$B2893)+S2893*SUMIFS(Premissas!$F$5:$F$44,Premissas!$A$5:$A$44,$A2893,Premissas!$B$5:$B$44,$B2893)</f>
        <v/>
      </c>
      <c r="L2893" s="29">
        <f>J2893-K2893</f>
        <v/>
      </c>
      <c r="M2893" t="inlineStr">
        <is>
          <t>1.350</t>
        </is>
      </c>
      <c r="N2893" t="inlineStr">
        <is>
          <t>Modalidade: 0 - Por conta do remetente | Parte: WR INDUSTRIA E COMERCIO DE EMBALAGENS LTDA (02.692.206/0001-55)</t>
        </is>
      </c>
      <c r="O2893" s="29" t="n">
        <v>0</v>
      </c>
      <c r="P2893" s="29" t="n">
        <v>0</v>
      </c>
      <c r="Q2893" s="29" t="n">
        <v>0</v>
      </c>
      <c r="R2893" s="29" t="n">
        <v>0</v>
      </c>
      <c r="S2893" s="29" t="n">
        <v>0</v>
      </c>
      <c r="T2893" t="inlineStr">
        <is>
          <t>25260226975620000130570010000064021001901303</t>
        </is>
      </c>
      <c r="U2893" t="inlineStr">
        <is>
          <t>Não</t>
        </is>
      </c>
    </row>
    <row r="2894">
      <c r="A2894" t="inlineStr">
        <is>
          <t>Frete de venda</t>
        </is>
      </c>
      <c r="B2894" t="inlineStr">
        <is>
          <t>2.01.02 Frete sobre Vendas</t>
        </is>
      </c>
      <c r="C2894" s="30" t="n">
        <v>46054</v>
      </c>
      <c r="D2894" t="inlineStr">
        <is>
          <t>Em 2026</t>
        </is>
      </c>
      <c r="E2894" s="28" t="n">
        <v>46072</v>
      </c>
      <c r="F2894" t="inlineStr">
        <is>
          <t>CT-e</t>
        </is>
      </c>
      <c r="G2894" t="inlineStr">
        <is>
          <t>000006403</t>
        </is>
      </c>
      <c r="H2894" t="inlineStr">
        <is>
          <t>R&amp;R TRANSPORTE E LOGISTICA</t>
        </is>
      </c>
      <c r="J2894" s="29" t="n">
        <v>40.12</v>
      </c>
      <c r="K2894" s="29">
        <f>(1-ISNUMBER(SEARCH("556",M2894)))*(O2894*SUMIFS(Premissas!$C$5:$C$44,Premissas!$A$5:$A$44,$A2894,Premissas!$B$5:$B$44,$B2894)+P2894*SUMIFS(Premissas!$D$5:$D$44,Premissas!$A$5:$A$44,$A2894,Premissas!$B$5:$B$44,$B2894))+R2894*SUMIFS(Premissas!$E$5:$E$44,Premissas!$A$5:$A$44,$A2894,Premissas!$B$5:$B$44,$B2894)+S2894*SUMIFS(Premissas!$F$5:$F$44,Premissas!$A$5:$A$44,$A2894,Premissas!$B$5:$B$44,$B2894)</f>
        <v/>
      </c>
      <c r="L2894" s="29">
        <f>J2894-K2894</f>
        <v/>
      </c>
      <c r="M2894" t="inlineStr">
        <is>
          <t>1.350</t>
        </is>
      </c>
      <c r="N2894" t="inlineStr">
        <is>
          <t>Modalidade: 0 - Por conta do remetente | Parte: GUGA EMBALAGENS E DESCARTAVEIS LTDA (61.468.311/0001-74)</t>
        </is>
      </c>
      <c r="O2894" s="29" t="n">
        <v>0</v>
      </c>
      <c r="P2894" s="29" t="n">
        <v>0</v>
      </c>
      <c r="Q2894" s="29" t="n">
        <v>0</v>
      </c>
      <c r="R2894" s="29" t="n">
        <v>0</v>
      </c>
      <c r="S2894" s="29" t="n">
        <v>0</v>
      </c>
      <c r="T2894" t="inlineStr">
        <is>
          <t>25260226975620000130570010000064031001601382</t>
        </is>
      </c>
      <c r="U2894" t="inlineStr">
        <is>
          <t>Não</t>
        </is>
      </c>
    </row>
    <row r="2895">
      <c r="A2895" t="inlineStr">
        <is>
          <t>Frete de venda</t>
        </is>
      </c>
      <c r="B2895" t="inlineStr">
        <is>
          <t>2.01.02 Frete sobre Vendas</t>
        </is>
      </c>
      <c r="C2895" s="30" t="n">
        <v>46054</v>
      </c>
      <c r="D2895" t="inlineStr">
        <is>
          <t>Em 2026</t>
        </is>
      </c>
      <c r="E2895" s="28" t="n">
        <v>46072</v>
      </c>
      <c r="F2895" t="inlineStr">
        <is>
          <t>CT-e</t>
        </is>
      </c>
      <c r="G2895" t="inlineStr">
        <is>
          <t>000006404</t>
        </is>
      </c>
      <c r="H2895" t="inlineStr">
        <is>
          <t>R&amp;R TRANSPORTE E LOGISTICA</t>
        </is>
      </c>
      <c r="J2895" s="29" t="n">
        <v>425.52</v>
      </c>
      <c r="K2895" s="29">
        <f>(1-ISNUMBER(SEARCH("556",M2895)))*(O2895*SUMIFS(Premissas!$C$5:$C$44,Premissas!$A$5:$A$44,$A2895,Premissas!$B$5:$B$44,$B2895)+P2895*SUMIFS(Premissas!$D$5:$D$44,Premissas!$A$5:$A$44,$A2895,Premissas!$B$5:$B$44,$B2895))+R2895*SUMIFS(Premissas!$E$5:$E$44,Premissas!$A$5:$A$44,$A2895,Premissas!$B$5:$B$44,$B2895)+S2895*SUMIFS(Premissas!$F$5:$F$44,Premissas!$A$5:$A$44,$A2895,Premissas!$B$5:$B$44,$B2895)</f>
        <v/>
      </c>
      <c r="L2895" s="29">
        <f>J2895-K2895</f>
        <v/>
      </c>
      <c r="M2895" t="inlineStr">
        <is>
          <t>1.350</t>
        </is>
      </c>
      <c r="N2895" t="inlineStr">
        <is>
          <t>Modalidade: 0 - Por conta do remetente | Parte: RFC COMERCIO DE MIUDEZAS LTDA (26.514.797/0004-81)</t>
        </is>
      </c>
      <c r="O2895" s="29" t="n">
        <v>0</v>
      </c>
      <c r="P2895" s="29" t="n">
        <v>0</v>
      </c>
      <c r="Q2895" s="29" t="n">
        <v>0</v>
      </c>
      <c r="R2895" s="29" t="n">
        <v>0</v>
      </c>
      <c r="S2895" s="29" t="n">
        <v>0</v>
      </c>
      <c r="T2895" t="inlineStr">
        <is>
          <t>25260226975620000130570010000064041001301467</t>
        </is>
      </c>
      <c r="U2895" t="inlineStr">
        <is>
          <t>Não</t>
        </is>
      </c>
    </row>
    <row r="2896">
      <c r="A2896" t="inlineStr">
        <is>
          <t>Frete de venda</t>
        </is>
      </c>
      <c r="B2896" t="inlineStr">
        <is>
          <t>2.01.02 Frete sobre Vendas</t>
        </is>
      </c>
      <c r="C2896" s="30" t="n">
        <v>46054</v>
      </c>
      <c r="D2896" t="inlineStr">
        <is>
          <t>Em 2026</t>
        </is>
      </c>
      <c r="E2896" s="28" t="n">
        <v>46074</v>
      </c>
      <c r="F2896" t="inlineStr">
        <is>
          <t>CT-e</t>
        </is>
      </c>
      <c r="G2896" t="inlineStr">
        <is>
          <t>000006407</t>
        </is>
      </c>
      <c r="H2896" t="inlineStr">
        <is>
          <t>R&amp;R TRANSPORTE E LOGISTICA</t>
        </is>
      </c>
      <c r="J2896" s="29" t="n">
        <v>37.2</v>
      </c>
      <c r="K2896" s="29">
        <f>(1-ISNUMBER(SEARCH("556",M2896)))*(O2896*SUMIFS(Premissas!$C$5:$C$44,Premissas!$A$5:$A$44,$A2896,Premissas!$B$5:$B$44,$B2896)+P2896*SUMIFS(Premissas!$D$5:$D$44,Premissas!$A$5:$A$44,$A2896,Premissas!$B$5:$B$44,$B2896))+R2896*SUMIFS(Premissas!$E$5:$E$44,Premissas!$A$5:$A$44,$A2896,Premissas!$B$5:$B$44,$B2896)+S2896*SUMIFS(Premissas!$F$5:$F$44,Premissas!$A$5:$A$44,$A2896,Premissas!$B$5:$B$44,$B2896)</f>
        <v/>
      </c>
      <c r="L2896" s="29">
        <f>J2896-K2896</f>
        <v/>
      </c>
      <c r="M2896" t="inlineStr">
        <is>
          <t>1.350</t>
        </is>
      </c>
      <c r="N2896" t="inlineStr">
        <is>
          <t>Modalidade: 0 - Por conta do remetente | Parte: LITORAL DISTRIBUIDORA S.A (55.104.068/0001-02)</t>
        </is>
      </c>
      <c r="O2896" s="29" t="n">
        <v>0</v>
      </c>
      <c r="P2896" s="29" t="n">
        <v>0</v>
      </c>
      <c r="Q2896" s="29" t="n">
        <v>0</v>
      </c>
      <c r="R2896" s="29" t="n">
        <v>0</v>
      </c>
      <c r="S2896" s="29" t="n">
        <v>0</v>
      </c>
      <c r="T2896" t="inlineStr">
        <is>
          <t>25260226975620000130570010000064071000190973</t>
        </is>
      </c>
      <c r="U2896" t="inlineStr">
        <is>
          <t>Não</t>
        </is>
      </c>
    </row>
    <row r="2897">
      <c r="A2897" t="inlineStr">
        <is>
          <t>Frete de venda</t>
        </is>
      </c>
      <c r="B2897" t="inlineStr">
        <is>
          <t>2.01.02 Frete sobre Vendas</t>
        </is>
      </c>
      <c r="C2897" s="30" t="n">
        <v>46054</v>
      </c>
      <c r="D2897" t="inlineStr">
        <is>
          <t>Em 2026</t>
        </is>
      </c>
      <c r="E2897" s="28" t="n">
        <v>46074</v>
      </c>
      <c r="F2897" t="inlineStr">
        <is>
          <t>CT-e</t>
        </is>
      </c>
      <c r="G2897" t="inlineStr">
        <is>
          <t>000006408</t>
        </is>
      </c>
      <c r="H2897" t="inlineStr">
        <is>
          <t>R&amp;R TRANSPORTE E LOGISTICA</t>
        </is>
      </c>
      <c r="J2897" s="29" t="n">
        <v>13.62</v>
      </c>
      <c r="K2897" s="29">
        <f>(1-ISNUMBER(SEARCH("556",M2897)))*(O2897*SUMIFS(Premissas!$C$5:$C$44,Premissas!$A$5:$A$44,$A2897,Premissas!$B$5:$B$44,$B2897)+P2897*SUMIFS(Premissas!$D$5:$D$44,Premissas!$A$5:$A$44,$A2897,Premissas!$B$5:$B$44,$B2897))+R2897*SUMIFS(Premissas!$E$5:$E$44,Premissas!$A$5:$A$44,$A2897,Premissas!$B$5:$B$44,$B2897)+S2897*SUMIFS(Premissas!$F$5:$F$44,Premissas!$A$5:$A$44,$A2897,Premissas!$B$5:$B$44,$B2897)</f>
        <v/>
      </c>
      <c r="L2897" s="29">
        <f>J2897-K2897</f>
        <v/>
      </c>
      <c r="M2897" t="inlineStr">
        <is>
          <t>1.350</t>
        </is>
      </c>
      <c r="N2897" t="inlineStr">
        <is>
          <t>Modalidade: 0 - Por conta do remetente | Parte: MAURI FESTA LTDA (15.299.740/0002-29)</t>
        </is>
      </c>
      <c r="O2897" s="29" t="n">
        <v>0</v>
      </c>
      <c r="P2897" s="29" t="n">
        <v>0</v>
      </c>
      <c r="Q2897" s="29" t="n">
        <v>0</v>
      </c>
      <c r="R2897" s="29" t="n">
        <v>0</v>
      </c>
      <c r="S2897" s="29" t="n">
        <v>0</v>
      </c>
      <c r="T2897" t="inlineStr">
        <is>
          <t>25260226975620000130570010000064081001601052</t>
        </is>
      </c>
      <c r="U2897" t="inlineStr">
        <is>
          <t>Não</t>
        </is>
      </c>
    </row>
    <row r="2898">
      <c r="A2898" t="inlineStr">
        <is>
          <t>Frete de venda</t>
        </is>
      </c>
      <c r="B2898" t="inlineStr">
        <is>
          <t>2.01.02 Frete sobre Vendas</t>
        </is>
      </c>
      <c r="C2898" s="30" t="n">
        <v>46054</v>
      </c>
      <c r="D2898" t="inlineStr">
        <is>
          <t>Em 2026</t>
        </is>
      </c>
      <c r="E2898" s="28" t="n">
        <v>46074</v>
      </c>
      <c r="F2898" t="inlineStr">
        <is>
          <t>CT-e</t>
        </is>
      </c>
      <c r="G2898" t="inlineStr">
        <is>
          <t>000006409</t>
        </is>
      </c>
      <c r="H2898" t="inlineStr">
        <is>
          <t>R&amp;R TRANSPORTE E LOGISTICA</t>
        </is>
      </c>
      <c r="J2898" s="29" t="n">
        <v>14.01</v>
      </c>
      <c r="K2898" s="29">
        <f>(1-ISNUMBER(SEARCH("556",M2898)))*(O2898*SUMIFS(Premissas!$C$5:$C$44,Premissas!$A$5:$A$44,$A2898,Premissas!$B$5:$B$44,$B2898)+P2898*SUMIFS(Premissas!$D$5:$D$44,Premissas!$A$5:$A$44,$A2898,Premissas!$B$5:$B$44,$B2898))+R2898*SUMIFS(Premissas!$E$5:$E$44,Premissas!$A$5:$A$44,$A2898,Premissas!$B$5:$B$44,$B2898)+S2898*SUMIFS(Premissas!$F$5:$F$44,Premissas!$A$5:$A$44,$A2898,Premissas!$B$5:$B$44,$B2898)</f>
        <v/>
      </c>
      <c r="L2898" s="29">
        <f>J2898-K2898</f>
        <v/>
      </c>
      <c r="M2898" t="inlineStr">
        <is>
          <t>1.350</t>
        </is>
      </c>
      <c r="N2898" t="inlineStr">
        <is>
          <t>Modalidade: 0 - Por conta do remetente | Parte: JOSE WILDNER PIANIZOLI (05.792.471/0001-01)</t>
        </is>
      </c>
      <c r="O2898" s="29" t="n">
        <v>0</v>
      </c>
      <c r="P2898" s="29" t="n">
        <v>0</v>
      </c>
      <c r="Q2898" s="29" t="n">
        <v>0</v>
      </c>
      <c r="R2898" s="29" t="n">
        <v>0</v>
      </c>
      <c r="S2898" s="29" t="n">
        <v>0</v>
      </c>
      <c r="T2898" t="inlineStr">
        <is>
          <t>25260226975620000130570010000064091001301137</t>
        </is>
      </c>
      <c r="U2898" t="inlineStr">
        <is>
          <t>Não</t>
        </is>
      </c>
    </row>
    <row r="2899">
      <c r="A2899" t="inlineStr">
        <is>
          <t>Frete de venda</t>
        </is>
      </c>
      <c r="B2899" t="inlineStr">
        <is>
          <t>2.01.02 Frete sobre Vendas</t>
        </is>
      </c>
      <c r="C2899" s="30" t="n">
        <v>46054</v>
      </c>
      <c r="D2899" t="inlineStr">
        <is>
          <t>Em 2026</t>
        </is>
      </c>
      <c r="E2899" s="28" t="n">
        <v>46074</v>
      </c>
      <c r="F2899" t="inlineStr">
        <is>
          <t>CT-e</t>
        </is>
      </c>
      <c r="G2899" t="inlineStr">
        <is>
          <t>000006410</t>
        </is>
      </c>
      <c r="H2899" t="inlineStr">
        <is>
          <t>R&amp;R TRANSPORTE E LOGISTICA</t>
        </is>
      </c>
      <c r="J2899" s="29" t="n">
        <v>14.41</v>
      </c>
      <c r="K2899" s="29">
        <f>(1-ISNUMBER(SEARCH("556",M2899)))*(O2899*SUMIFS(Premissas!$C$5:$C$44,Premissas!$A$5:$A$44,$A2899,Premissas!$B$5:$B$44,$B2899)+P2899*SUMIFS(Premissas!$D$5:$D$44,Premissas!$A$5:$A$44,$A2899,Premissas!$B$5:$B$44,$B2899))+R2899*SUMIFS(Premissas!$E$5:$E$44,Premissas!$A$5:$A$44,$A2899,Premissas!$B$5:$B$44,$B2899)+S2899*SUMIFS(Premissas!$F$5:$F$44,Premissas!$A$5:$A$44,$A2899,Premissas!$B$5:$B$44,$B2899)</f>
        <v/>
      </c>
      <c r="L2899" s="29">
        <f>J2899-K2899</f>
        <v/>
      </c>
      <c r="M2899" t="inlineStr">
        <is>
          <t>1.350</t>
        </is>
      </c>
      <c r="N2899" t="inlineStr">
        <is>
          <t>Modalidade: 0 - Por conta do remetente | Parte: EMBALAGENS FREITAS LTDA (11.676.270/0001-33)</t>
        </is>
      </c>
      <c r="O2899" s="29" t="n">
        <v>0</v>
      </c>
      <c r="P2899" s="29" t="n">
        <v>0</v>
      </c>
      <c r="Q2899" s="29" t="n">
        <v>0</v>
      </c>
      <c r="R2899" s="29" t="n">
        <v>0</v>
      </c>
      <c r="S2899" s="29" t="n">
        <v>0</v>
      </c>
      <c r="T2899" t="inlineStr">
        <is>
          <t>25260226975620000130570010000064101000101216</t>
        </is>
      </c>
      <c r="U2899" t="inlineStr">
        <is>
          <t>Não</t>
        </is>
      </c>
    </row>
    <row r="2900">
      <c r="A2900" t="inlineStr">
        <is>
          <t>Frete de venda</t>
        </is>
      </c>
      <c r="B2900" t="inlineStr">
        <is>
          <t>2.01.02 Frete sobre Vendas</t>
        </is>
      </c>
      <c r="C2900" s="30" t="n">
        <v>46054</v>
      </c>
      <c r="D2900" t="inlineStr">
        <is>
          <t>Em 2026</t>
        </is>
      </c>
      <c r="E2900" s="28" t="n">
        <v>46074</v>
      </c>
      <c r="F2900" t="inlineStr">
        <is>
          <t>CT-e</t>
        </is>
      </c>
      <c r="G2900" t="inlineStr">
        <is>
          <t>000006411</t>
        </is>
      </c>
      <c r="H2900" t="inlineStr">
        <is>
          <t>R&amp;R TRANSPORTE E LOGISTICA</t>
        </is>
      </c>
      <c r="J2900" s="29" t="n">
        <v>13.72</v>
      </c>
      <c r="K2900" s="29">
        <f>(1-ISNUMBER(SEARCH("556",M2900)))*(O2900*SUMIFS(Premissas!$C$5:$C$44,Premissas!$A$5:$A$44,$A2900,Premissas!$B$5:$B$44,$B2900)+P2900*SUMIFS(Premissas!$D$5:$D$44,Premissas!$A$5:$A$44,$A2900,Premissas!$B$5:$B$44,$B2900))+R2900*SUMIFS(Premissas!$E$5:$E$44,Premissas!$A$5:$A$44,$A2900,Premissas!$B$5:$B$44,$B2900)+S2900*SUMIFS(Premissas!$F$5:$F$44,Premissas!$A$5:$A$44,$A2900,Premissas!$B$5:$B$44,$B2900)</f>
        <v/>
      </c>
      <c r="L2900" s="29">
        <f>J2900-K2900</f>
        <v/>
      </c>
      <c r="M2900" t="inlineStr">
        <is>
          <t>1.350</t>
        </is>
      </c>
      <c r="N2900" t="inlineStr">
        <is>
          <t>Modalidade: 0 - Por conta do remetente | Parte: BOMBONIERE SO ALEGRIA DOCE E FESTA LTDA (23.730.767/0001-71)</t>
        </is>
      </c>
      <c r="O2900" s="29" t="n">
        <v>0</v>
      </c>
      <c r="P2900" s="29" t="n">
        <v>0</v>
      </c>
      <c r="Q2900" s="29" t="n">
        <v>0</v>
      </c>
      <c r="R2900" s="29" t="n">
        <v>0</v>
      </c>
      <c r="S2900" s="29" t="n">
        <v>0</v>
      </c>
      <c r="T2900" t="inlineStr">
        <is>
          <t>25260226975620000130570010000064111001801294</t>
        </is>
      </c>
      <c r="U2900" t="inlineStr">
        <is>
          <t>Não</t>
        </is>
      </c>
    </row>
    <row r="2901">
      <c r="A2901" t="inlineStr">
        <is>
          <t>Frete de venda</t>
        </is>
      </c>
      <c r="B2901" t="inlineStr">
        <is>
          <t>2.01.02 Frete sobre Vendas</t>
        </is>
      </c>
      <c r="C2901" s="30" t="n">
        <v>46054</v>
      </c>
      <c r="D2901" t="inlineStr">
        <is>
          <t>Em 2026</t>
        </is>
      </c>
      <c r="E2901" s="28" t="n">
        <v>46074</v>
      </c>
      <c r="F2901" t="inlineStr">
        <is>
          <t>CT-e</t>
        </is>
      </c>
      <c r="G2901" t="inlineStr">
        <is>
          <t>000006412</t>
        </is>
      </c>
      <c r="H2901" t="inlineStr">
        <is>
          <t>R&amp;R TRANSPORTE E LOGISTICA</t>
        </is>
      </c>
      <c r="J2901" s="29" t="n">
        <v>26.86</v>
      </c>
      <c r="K2901" s="29">
        <f>(1-ISNUMBER(SEARCH("556",M2901)))*(O2901*SUMIFS(Premissas!$C$5:$C$44,Premissas!$A$5:$A$44,$A2901,Premissas!$B$5:$B$44,$B2901)+P2901*SUMIFS(Premissas!$D$5:$D$44,Premissas!$A$5:$A$44,$A2901,Premissas!$B$5:$B$44,$B2901))+R2901*SUMIFS(Premissas!$E$5:$E$44,Premissas!$A$5:$A$44,$A2901,Premissas!$B$5:$B$44,$B2901)+S2901*SUMIFS(Premissas!$F$5:$F$44,Premissas!$A$5:$A$44,$A2901,Premissas!$B$5:$B$44,$B2901)</f>
        <v/>
      </c>
      <c r="L2901" s="29">
        <f>J2901-K2901</f>
        <v/>
      </c>
      <c r="M2901" t="inlineStr">
        <is>
          <t>1.350</t>
        </is>
      </c>
      <c r="N2901" t="inlineStr">
        <is>
          <t>Modalidade: 0 - Por conta do remetente | Parte: SACOLA FORTE CEASA (49.879.615/0001-29)</t>
        </is>
      </c>
      <c r="O2901" s="29" t="n">
        <v>0</v>
      </c>
      <c r="P2901" s="29" t="n">
        <v>0</v>
      </c>
      <c r="Q2901" s="29" t="n">
        <v>0</v>
      </c>
      <c r="R2901" s="29" t="n">
        <v>0</v>
      </c>
      <c r="S2901" s="29" t="n">
        <v>0</v>
      </c>
      <c r="T2901" t="inlineStr">
        <is>
          <t>25260226975620000130570010000064121001501379</t>
        </is>
      </c>
      <c r="U2901" t="inlineStr">
        <is>
          <t>Não</t>
        </is>
      </c>
    </row>
    <row r="2902">
      <c r="A2902" t="inlineStr">
        <is>
          <t>Frete de venda</t>
        </is>
      </c>
      <c r="B2902" t="inlineStr">
        <is>
          <t>2.01.02 Frete sobre Vendas</t>
        </is>
      </c>
      <c r="C2902" s="30" t="n">
        <v>46054</v>
      </c>
      <c r="D2902" t="inlineStr">
        <is>
          <t>Em 2026</t>
        </is>
      </c>
      <c r="E2902" s="28" t="n">
        <v>46074</v>
      </c>
      <c r="F2902" t="inlineStr">
        <is>
          <t>CT-e</t>
        </is>
      </c>
      <c r="G2902" t="inlineStr">
        <is>
          <t>000006413</t>
        </is>
      </c>
      <c r="H2902" t="inlineStr">
        <is>
          <t>R&amp;R TRANSPORTE E LOGISTICA</t>
        </is>
      </c>
      <c r="J2902" s="29" t="n">
        <v>13.29</v>
      </c>
      <c r="K2902" s="29">
        <f>(1-ISNUMBER(SEARCH("556",M2902)))*(O2902*SUMIFS(Premissas!$C$5:$C$44,Premissas!$A$5:$A$44,$A2902,Premissas!$B$5:$B$44,$B2902)+P2902*SUMIFS(Premissas!$D$5:$D$44,Premissas!$A$5:$A$44,$A2902,Premissas!$B$5:$B$44,$B2902))+R2902*SUMIFS(Premissas!$E$5:$E$44,Premissas!$A$5:$A$44,$A2902,Premissas!$B$5:$B$44,$B2902)+S2902*SUMIFS(Premissas!$F$5:$F$44,Premissas!$A$5:$A$44,$A2902,Premissas!$B$5:$B$44,$B2902)</f>
        <v/>
      </c>
      <c r="L2902" s="29">
        <f>J2902-K2902</f>
        <v/>
      </c>
      <c r="M2902" t="inlineStr">
        <is>
          <t>1.350</t>
        </is>
      </c>
      <c r="N2902" t="inlineStr">
        <is>
          <t>Modalidade: 0 - Por conta do remetente | Parte: PSCP ATACADISTA, VAREJISTA DE EMBALAGENS, ALIMENTOS E VA... (00.139.108/0001-60)</t>
        </is>
      </c>
      <c r="O2902" s="29" t="n">
        <v>0</v>
      </c>
      <c r="P2902" s="29" t="n">
        <v>0</v>
      </c>
      <c r="Q2902" s="29" t="n">
        <v>0</v>
      </c>
      <c r="R2902" s="29" t="n">
        <v>0</v>
      </c>
      <c r="S2902" s="29" t="n">
        <v>0</v>
      </c>
      <c r="T2902" t="inlineStr">
        <is>
          <t>25260226975620000130570010000064131001201453</t>
        </is>
      </c>
      <c r="U2902" t="inlineStr">
        <is>
          <t>Não</t>
        </is>
      </c>
    </row>
    <row r="2903">
      <c r="A2903" t="inlineStr">
        <is>
          <t>Frete de venda</t>
        </is>
      </c>
      <c r="B2903" t="inlineStr">
        <is>
          <t>2.01.02 Frete sobre Vendas</t>
        </is>
      </c>
      <c r="C2903" s="30" t="n">
        <v>46054</v>
      </c>
      <c r="D2903" t="inlineStr">
        <is>
          <t>Em 2026</t>
        </is>
      </c>
      <c r="E2903" s="28" t="n">
        <v>46074</v>
      </c>
      <c r="F2903" t="inlineStr">
        <is>
          <t>CT-e</t>
        </is>
      </c>
      <c r="G2903" t="inlineStr">
        <is>
          <t>000006414</t>
        </is>
      </c>
      <c r="H2903" t="inlineStr">
        <is>
          <t>R&amp;R TRANSPORTE E LOGISTICA</t>
        </is>
      </c>
      <c r="J2903" s="29" t="n">
        <v>71.87</v>
      </c>
      <c r="K2903" s="29">
        <f>(1-ISNUMBER(SEARCH("556",M2903)))*(O2903*SUMIFS(Premissas!$C$5:$C$44,Premissas!$A$5:$A$44,$A2903,Premissas!$B$5:$B$44,$B2903)+P2903*SUMIFS(Premissas!$D$5:$D$44,Premissas!$A$5:$A$44,$A2903,Premissas!$B$5:$B$44,$B2903))+R2903*SUMIFS(Premissas!$E$5:$E$44,Premissas!$A$5:$A$44,$A2903,Premissas!$B$5:$B$44,$B2903)+S2903*SUMIFS(Premissas!$F$5:$F$44,Premissas!$A$5:$A$44,$A2903,Premissas!$B$5:$B$44,$B2903)</f>
        <v/>
      </c>
      <c r="L2903" s="29">
        <f>J2903-K2903</f>
        <v/>
      </c>
      <c r="M2903" t="inlineStr">
        <is>
          <t>1.350</t>
        </is>
      </c>
      <c r="N2903" t="inlineStr">
        <is>
          <t>Modalidade: 0 - Por conta do remetente | Parte: ROMEN CENTRO DE DISTRIBUICAO LTDA (53.637.352/0001-19)</t>
        </is>
      </c>
      <c r="O2903" s="29" t="n">
        <v>0</v>
      </c>
      <c r="P2903" s="29" t="n">
        <v>0</v>
      </c>
      <c r="Q2903" s="29" t="n">
        <v>0</v>
      </c>
      <c r="R2903" s="29" t="n">
        <v>0</v>
      </c>
      <c r="S2903" s="29" t="n">
        <v>0</v>
      </c>
      <c r="T2903" t="inlineStr">
        <is>
          <t>25260226975620000130570010000064141011001535</t>
        </is>
      </c>
      <c r="U2903" t="inlineStr">
        <is>
          <t>Não</t>
        </is>
      </c>
    </row>
    <row r="2904">
      <c r="A2904" t="inlineStr">
        <is>
          <t>Frete de venda</t>
        </is>
      </c>
      <c r="B2904" t="inlineStr">
        <is>
          <t>2.01.02 Frete sobre Vendas</t>
        </is>
      </c>
      <c r="C2904" s="30" t="n">
        <v>46054</v>
      </c>
      <c r="D2904" t="inlineStr">
        <is>
          <t>Em 2026</t>
        </is>
      </c>
      <c r="E2904" s="28" t="n">
        <v>46074</v>
      </c>
      <c r="F2904" t="inlineStr">
        <is>
          <t>CT-e</t>
        </is>
      </c>
      <c r="G2904" t="inlineStr">
        <is>
          <t>000006415</t>
        </is>
      </c>
      <c r="H2904" t="inlineStr">
        <is>
          <t>R&amp;R TRANSPORTE E LOGISTICA</t>
        </is>
      </c>
      <c r="J2904" s="29" t="n">
        <v>12.76</v>
      </c>
      <c r="K2904" s="29">
        <f>(1-ISNUMBER(SEARCH("556",M2904)))*(O2904*SUMIFS(Premissas!$C$5:$C$44,Premissas!$A$5:$A$44,$A2904,Premissas!$B$5:$B$44,$B2904)+P2904*SUMIFS(Premissas!$D$5:$D$44,Premissas!$A$5:$A$44,$A2904,Premissas!$B$5:$B$44,$B2904))+R2904*SUMIFS(Premissas!$E$5:$E$44,Premissas!$A$5:$A$44,$A2904,Premissas!$B$5:$B$44,$B2904)+S2904*SUMIFS(Premissas!$F$5:$F$44,Premissas!$A$5:$A$44,$A2904,Premissas!$B$5:$B$44,$B2904)</f>
        <v/>
      </c>
      <c r="L2904" s="29">
        <f>J2904-K2904</f>
        <v/>
      </c>
      <c r="M2904" t="inlineStr">
        <is>
          <t>1.350</t>
        </is>
      </c>
      <c r="N2904" t="inlineStr">
        <is>
          <t>Modalidade: 0 - Por conta do remetente | Parte: KAILANE DOS SANTOS DE SOUZA LTDA (53.770.296/0001-96)</t>
        </is>
      </c>
      <c r="O2904" s="29" t="n">
        <v>0</v>
      </c>
      <c r="P2904" s="29" t="n">
        <v>0</v>
      </c>
      <c r="Q2904" s="29" t="n">
        <v>0</v>
      </c>
      <c r="R2904" s="29" t="n">
        <v>0</v>
      </c>
      <c r="S2904" s="29" t="n">
        <v>0</v>
      </c>
      <c r="T2904" t="inlineStr">
        <is>
          <t>25260226975620000130570010000064151001701612</t>
        </is>
      </c>
      <c r="U2904" t="inlineStr">
        <is>
          <t>Não</t>
        </is>
      </c>
    </row>
    <row r="2905">
      <c r="A2905" t="inlineStr">
        <is>
          <t>Frete de venda</t>
        </is>
      </c>
      <c r="B2905" t="inlineStr">
        <is>
          <t>2.01.02 Frete sobre Vendas</t>
        </is>
      </c>
      <c r="C2905" s="30" t="n">
        <v>46054</v>
      </c>
      <c r="D2905" t="inlineStr">
        <is>
          <t>Em 2026</t>
        </is>
      </c>
      <c r="E2905" s="28" t="n">
        <v>46074</v>
      </c>
      <c r="F2905" t="inlineStr">
        <is>
          <t>CT-e</t>
        </is>
      </c>
      <c r="G2905" t="inlineStr">
        <is>
          <t>000006416</t>
        </is>
      </c>
      <c r="H2905" t="inlineStr">
        <is>
          <t>R&amp;R TRANSPORTE E LOGISTICA</t>
        </is>
      </c>
      <c r="J2905" s="29" t="n">
        <v>14.34</v>
      </c>
      <c r="K2905" s="29">
        <f>(1-ISNUMBER(SEARCH("556",M2905)))*(O2905*SUMIFS(Premissas!$C$5:$C$44,Premissas!$A$5:$A$44,$A2905,Premissas!$B$5:$B$44,$B2905)+P2905*SUMIFS(Premissas!$D$5:$D$44,Premissas!$A$5:$A$44,$A2905,Premissas!$B$5:$B$44,$B2905))+R2905*SUMIFS(Premissas!$E$5:$E$44,Premissas!$A$5:$A$44,$A2905,Premissas!$B$5:$B$44,$B2905)+S2905*SUMIFS(Premissas!$F$5:$F$44,Premissas!$A$5:$A$44,$A2905,Premissas!$B$5:$B$44,$B2905)</f>
        <v/>
      </c>
      <c r="L2905" s="29">
        <f>J2905-K2905</f>
        <v/>
      </c>
      <c r="M2905" t="inlineStr">
        <is>
          <t>1.350</t>
        </is>
      </c>
      <c r="N2905" t="inlineStr">
        <is>
          <t>Modalidade: 0 - Por conta do remetente | Parte: J. DE S. CABRAL PLASTICOS (06.049.888/0001-33)</t>
        </is>
      </c>
      <c r="O2905" s="29" t="n">
        <v>0</v>
      </c>
      <c r="P2905" s="29" t="n">
        <v>0</v>
      </c>
      <c r="Q2905" s="29" t="n">
        <v>0</v>
      </c>
      <c r="R2905" s="29" t="n">
        <v>0</v>
      </c>
      <c r="S2905" s="29" t="n">
        <v>0</v>
      </c>
      <c r="T2905" t="inlineStr">
        <is>
          <t>25260226975620000130570010000064161001401691</t>
        </is>
      </c>
      <c r="U2905" t="inlineStr">
        <is>
          <t>Não</t>
        </is>
      </c>
    </row>
    <row r="2906">
      <c r="A2906" t="inlineStr">
        <is>
          <t>Frete de venda</t>
        </is>
      </c>
      <c r="B2906" t="inlineStr">
        <is>
          <t>2.01.02 Frete sobre Vendas</t>
        </is>
      </c>
      <c r="C2906" s="30" t="n">
        <v>46054</v>
      </c>
      <c r="D2906" t="inlineStr">
        <is>
          <t>Em 2026</t>
        </is>
      </c>
      <c r="E2906" s="28" t="n">
        <v>46074</v>
      </c>
      <c r="F2906" t="inlineStr">
        <is>
          <t>CT-e</t>
        </is>
      </c>
      <c r="G2906" t="inlineStr">
        <is>
          <t>000006417</t>
        </is>
      </c>
      <c r="H2906" t="inlineStr">
        <is>
          <t>R&amp;R TRANSPORTE E LOGISTICA</t>
        </is>
      </c>
      <c r="J2906" s="29" t="n">
        <v>14.02</v>
      </c>
      <c r="K2906" s="29">
        <f>(1-ISNUMBER(SEARCH("556",M2906)))*(O2906*SUMIFS(Premissas!$C$5:$C$44,Premissas!$A$5:$A$44,$A2906,Premissas!$B$5:$B$44,$B2906)+P2906*SUMIFS(Premissas!$D$5:$D$44,Premissas!$A$5:$A$44,$A2906,Premissas!$B$5:$B$44,$B2906))+R2906*SUMIFS(Premissas!$E$5:$E$44,Premissas!$A$5:$A$44,$A2906,Premissas!$B$5:$B$44,$B2906)+S2906*SUMIFS(Premissas!$F$5:$F$44,Premissas!$A$5:$A$44,$A2906,Premissas!$B$5:$B$44,$B2906)</f>
        <v/>
      </c>
      <c r="L2906" s="29">
        <f>J2906-K2906</f>
        <v/>
      </c>
      <c r="M2906" t="inlineStr">
        <is>
          <t>1.350</t>
        </is>
      </c>
      <c r="N2906" t="inlineStr">
        <is>
          <t>Modalidade: 0 - Por conta do remetente | Parte: W BRANDAO FREITAS LTDA (07.044.972/0001-27)</t>
        </is>
      </c>
      <c r="O2906" s="29" t="n">
        <v>0</v>
      </c>
      <c r="P2906" s="29" t="n">
        <v>0</v>
      </c>
      <c r="Q2906" s="29" t="n">
        <v>0</v>
      </c>
      <c r="R2906" s="29" t="n">
        <v>0</v>
      </c>
      <c r="S2906" s="29" t="n">
        <v>0</v>
      </c>
      <c r="T2906" t="inlineStr">
        <is>
          <t>25260226975620000130570010000064171001501049</t>
        </is>
      </c>
      <c r="U2906" t="inlineStr">
        <is>
          <t>Não</t>
        </is>
      </c>
    </row>
    <row r="2907">
      <c r="A2907" t="inlineStr">
        <is>
          <t>Frete de venda</t>
        </is>
      </c>
      <c r="B2907" t="inlineStr">
        <is>
          <t>2.01.02 Frete sobre Vendas</t>
        </is>
      </c>
      <c r="C2907" s="30" t="n">
        <v>46054</v>
      </c>
      <c r="D2907" t="inlineStr">
        <is>
          <t>Em 2026</t>
        </is>
      </c>
      <c r="E2907" s="28" t="n">
        <v>46074</v>
      </c>
      <c r="F2907" t="inlineStr">
        <is>
          <t>CT-e</t>
        </is>
      </c>
      <c r="G2907" t="inlineStr">
        <is>
          <t>000006418</t>
        </is>
      </c>
      <c r="H2907" t="inlineStr">
        <is>
          <t>R&amp;R TRANSPORTE E LOGISTICA</t>
        </is>
      </c>
      <c r="J2907" s="29" t="n">
        <v>20.07</v>
      </c>
      <c r="K2907" s="29">
        <f>(1-ISNUMBER(SEARCH("556",M2907)))*(O2907*SUMIFS(Premissas!$C$5:$C$44,Premissas!$A$5:$A$44,$A2907,Premissas!$B$5:$B$44,$B2907)+P2907*SUMIFS(Premissas!$D$5:$D$44,Premissas!$A$5:$A$44,$A2907,Premissas!$B$5:$B$44,$B2907))+R2907*SUMIFS(Premissas!$E$5:$E$44,Premissas!$A$5:$A$44,$A2907,Premissas!$B$5:$B$44,$B2907)+S2907*SUMIFS(Premissas!$F$5:$F$44,Premissas!$A$5:$A$44,$A2907,Premissas!$B$5:$B$44,$B2907)</f>
        <v/>
      </c>
      <c r="L2907" s="29">
        <f>J2907-K2907</f>
        <v/>
      </c>
      <c r="M2907" t="inlineStr">
        <is>
          <t>1.350</t>
        </is>
      </c>
      <c r="N2907" t="inlineStr">
        <is>
          <t>Modalidade: 0 - Por conta do remetente | Parte: FG ATACADISTA DE EMBALAGENS E ALIMENTOS LTDA (62.720.773/0001-08)</t>
        </is>
      </c>
      <c r="O2907" s="29" t="n">
        <v>0</v>
      </c>
      <c r="P2907" s="29" t="n">
        <v>0</v>
      </c>
      <c r="Q2907" s="29" t="n">
        <v>0</v>
      </c>
      <c r="R2907" s="29" t="n">
        <v>0</v>
      </c>
      <c r="S2907" s="29" t="n">
        <v>0</v>
      </c>
      <c r="T2907" t="inlineStr">
        <is>
          <t>25260226975620000130570010000064181001201123</t>
        </is>
      </c>
      <c r="U2907" t="inlineStr">
        <is>
          <t>Não</t>
        </is>
      </c>
    </row>
    <row r="2908">
      <c r="A2908" t="inlineStr">
        <is>
          <t>Frete de venda</t>
        </is>
      </c>
      <c r="B2908" t="inlineStr">
        <is>
          <t>2.01.02 Frete sobre Vendas</t>
        </is>
      </c>
      <c r="C2908" s="30" t="n">
        <v>46054</v>
      </c>
      <c r="D2908" t="inlineStr">
        <is>
          <t>Em 2026</t>
        </is>
      </c>
      <c r="E2908" s="28" t="n">
        <v>46074</v>
      </c>
      <c r="F2908" t="inlineStr">
        <is>
          <t>CT-e</t>
        </is>
      </c>
      <c r="G2908" t="inlineStr">
        <is>
          <t>000006419</t>
        </is>
      </c>
      <c r="H2908" t="inlineStr">
        <is>
          <t>R&amp;R TRANSPORTE E LOGISTICA</t>
        </is>
      </c>
      <c r="J2908" s="29" t="n">
        <v>17.25</v>
      </c>
      <c r="K2908" s="29">
        <f>(1-ISNUMBER(SEARCH("556",M2908)))*(O2908*SUMIFS(Premissas!$C$5:$C$44,Premissas!$A$5:$A$44,$A2908,Premissas!$B$5:$B$44,$B2908)+P2908*SUMIFS(Premissas!$D$5:$D$44,Premissas!$A$5:$A$44,$A2908,Premissas!$B$5:$B$44,$B2908))+R2908*SUMIFS(Premissas!$E$5:$E$44,Premissas!$A$5:$A$44,$A2908,Premissas!$B$5:$B$44,$B2908)+S2908*SUMIFS(Premissas!$F$5:$F$44,Premissas!$A$5:$A$44,$A2908,Premissas!$B$5:$B$44,$B2908)</f>
        <v/>
      </c>
      <c r="L2908" s="29">
        <f>J2908-K2908</f>
        <v/>
      </c>
      <c r="M2908" t="inlineStr">
        <is>
          <t>1.350</t>
        </is>
      </c>
      <c r="N2908" t="inlineStr">
        <is>
          <t>Modalidade: 0 - Por conta do remetente | Parte: FEST EMBALAGENS LTDA (29.007.258/0001-00)</t>
        </is>
      </c>
      <c r="O2908" s="29" t="n">
        <v>0</v>
      </c>
      <c r="P2908" s="29" t="n">
        <v>0</v>
      </c>
      <c r="Q2908" s="29" t="n">
        <v>0</v>
      </c>
      <c r="R2908" s="29" t="n">
        <v>0</v>
      </c>
      <c r="S2908" s="29" t="n">
        <v>0</v>
      </c>
      <c r="T2908" t="inlineStr">
        <is>
          <t>25260226975620000130570010000064191011001205</t>
        </is>
      </c>
      <c r="U2908" t="inlineStr">
        <is>
          <t>Não</t>
        </is>
      </c>
    </row>
    <row r="2909">
      <c r="A2909" t="inlineStr">
        <is>
          <t>Frete de venda</t>
        </is>
      </c>
      <c r="B2909" t="inlineStr">
        <is>
          <t>2.01.02 Frete sobre Vendas</t>
        </is>
      </c>
      <c r="C2909" s="30" t="n">
        <v>46054</v>
      </c>
      <c r="D2909" t="inlineStr">
        <is>
          <t>Em 2026</t>
        </is>
      </c>
      <c r="E2909" s="28" t="n">
        <v>46074</v>
      </c>
      <c r="F2909" t="inlineStr">
        <is>
          <t>CT-e</t>
        </is>
      </c>
      <c r="G2909" t="inlineStr">
        <is>
          <t>000006420</t>
        </is>
      </c>
      <c r="H2909" t="inlineStr">
        <is>
          <t>R&amp;R TRANSPORTE E LOGISTICA</t>
        </is>
      </c>
      <c r="J2909" s="29" t="n">
        <v>14</v>
      </c>
      <c r="K2909" s="29">
        <f>(1-ISNUMBER(SEARCH("556",M2909)))*(O2909*SUMIFS(Premissas!$C$5:$C$44,Premissas!$A$5:$A$44,$A2909,Premissas!$B$5:$B$44,$B2909)+P2909*SUMIFS(Premissas!$D$5:$D$44,Premissas!$A$5:$A$44,$A2909,Premissas!$B$5:$B$44,$B2909))+R2909*SUMIFS(Premissas!$E$5:$E$44,Premissas!$A$5:$A$44,$A2909,Premissas!$B$5:$B$44,$B2909)+S2909*SUMIFS(Premissas!$F$5:$F$44,Premissas!$A$5:$A$44,$A2909,Premissas!$B$5:$B$44,$B2909)</f>
        <v/>
      </c>
      <c r="L2909" s="29">
        <f>J2909-K2909</f>
        <v/>
      </c>
      <c r="M2909" t="inlineStr">
        <is>
          <t>1.350</t>
        </is>
      </c>
      <c r="N2909" t="inlineStr">
        <is>
          <t>Modalidade: 0 - Por conta do remetente | Parte: FABIO DA S. XAVIER (01.682.646/0001-69)</t>
        </is>
      </c>
      <c r="O2909" s="29" t="n">
        <v>0</v>
      </c>
      <c r="P2909" s="29" t="n">
        <v>0</v>
      </c>
      <c r="Q2909" s="29" t="n">
        <v>0</v>
      </c>
      <c r="R2909" s="29" t="n">
        <v>0</v>
      </c>
      <c r="S2909" s="29" t="n">
        <v>0</v>
      </c>
      <c r="T2909" t="inlineStr">
        <is>
          <t>25260226975620000130570010000064201001701280</t>
        </is>
      </c>
      <c r="U2909" t="inlineStr">
        <is>
          <t>Não</t>
        </is>
      </c>
    </row>
    <row r="2910">
      <c r="A2910" t="inlineStr">
        <is>
          <t>Frete de venda</t>
        </is>
      </c>
      <c r="B2910" t="inlineStr">
        <is>
          <t>2.01.02 Frete sobre Vendas</t>
        </is>
      </c>
      <c r="C2910" s="30" t="n">
        <v>46054</v>
      </c>
      <c r="D2910" t="inlineStr">
        <is>
          <t>Em 2026</t>
        </is>
      </c>
      <c r="E2910" s="28" t="n">
        <v>46074</v>
      </c>
      <c r="F2910" t="inlineStr">
        <is>
          <t>CT-e</t>
        </is>
      </c>
      <c r="G2910" t="inlineStr">
        <is>
          <t>000006421</t>
        </is>
      </c>
      <c r="H2910" t="inlineStr">
        <is>
          <t>R&amp;R TRANSPORTE E LOGISTICA</t>
        </is>
      </c>
      <c r="J2910" s="29" t="n">
        <v>22.96</v>
      </c>
      <c r="K2910" s="29">
        <f>(1-ISNUMBER(SEARCH("556",M2910)))*(O2910*SUMIFS(Premissas!$C$5:$C$44,Premissas!$A$5:$A$44,$A2910,Premissas!$B$5:$B$44,$B2910)+P2910*SUMIFS(Premissas!$D$5:$D$44,Premissas!$A$5:$A$44,$A2910,Premissas!$B$5:$B$44,$B2910))+R2910*SUMIFS(Premissas!$E$5:$E$44,Premissas!$A$5:$A$44,$A2910,Premissas!$B$5:$B$44,$B2910)+S2910*SUMIFS(Premissas!$F$5:$F$44,Premissas!$A$5:$A$44,$A2910,Premissas!$B$5:$B$44,$B2910)</f>
        <v/>
      </c>
      <c r="L2910" s="29">
        <f>J2910-K2910</f>
        <v/>
      </c>
      <c r="M2910" t="inlineStr">
        <is>
          <t>1.350</t>
        </is>
      </c>
      <c r="N2910" t="inlineStr">
        <is>
          <t>Modalidade: 0 - Por conta do remetente | Parte: LITORAL DISTRIBUIDORA S.A (55.104.068/0002-93)</t>
        </is>
      </c>
      <c r="O2910" s="29" t="n">
        <v>0</v>
      </c>
      <c r="P2910" s="29" t="n">
        <v>0</v>
      </c>
      <c r="Q2910" s="29" t="n">
        <v>0</v>
      </c>
      <c r="R2910" s="29" t="n">
        <v>0</v>
      </c>
      <c r="S2910" s="29" t="n">
        <v>0</v>
      </c>
      <c r="T2910" t="inlineStr">
        <is>
          <t>25260226975620000130570010000064211001401365</t>
        </is>
      </c>
      <c r="U2910" t="inlineStr">
        <is>
          <t>Não</t>
        </is>
      </c>
    </row>
    <row r="2911">
      <c r="A2911" t="inlineStr">
        <is>
          <t>Frete de venda</t>
        </is>
      </c>
      <c r="B2911" t="inlineStr">
        <is>
          <t>2.01.02 Frete sobre Vendas</t>
        </is>
      </c>
      <c r="C2911" s="30" t="n">
        <v>46054</v>
      </c>
      <c r="D2911" t="inlineStr">
        <is>
          <t>Em 2026</t>
        </is>
      </c>
      <c r="E2911" s="28" t="n">
        <v>46074</v>
      </c>
      <c r="F2911" t="inlineStr">
        <is>
          <t>CT-e</t>
        </is>
      </c>
      <c r="G2911" t="inlineStr">
        <is>
          <t>000006422</t>
        </is>
      </c>
      <c r="H2911" t="inlineStr">
        <is>
          <t>R&amp;R TRANSPORTE E LOGISTICA</t>
        </is>
      </c>
      <c r="J2911" s="29" t="n">
        <v>13.6</v>
      </c>
      <c r="K2911" s="29">
        <f>(1-ISNUMBER(SEARCH("556",M2911)))*(O2911*SUMIFS(Premissas!$C$5:$C$44,Premissas!$A$5:$A$44,$A2911,Premissas!$B$5:$B$44,$B2911)+P2911*SUMIFS(Premissas!$D$5:$D$44,Premissas!$A$5:$A$44,$A2911,Premissas!$B$5:$B$44,$B2911))+R2911*SUMIFS(Premissas!$E$5:$E$44,Premissas!$A$5:$A$44,$A2911,Premissas!$B$5:$B$44,$B2911)+S2911*SUMIFS(Premissas!$F$5:$F$44,Premissas!$A$5:$A$44,$A2911,Premissas!$B$5:$B$44,$B2911)</f>
        <v/>
      </c>
      <c r="L2911" s="29">
        <f>J2911-K2911</f>
        <v/>
      </c>
      <c r="M2911" t="inlineStr">
        <is>
          <t>1.350</t>
        </is>
      </c>
      <c r="N2911" t="inlineStr">
        <is>
          <t>Modalidade: 0 - Por conta do remetente | Parte: LA SERAFIM COMERCIO DE EMBALAGENS LTDA (07.797.641/0001-68)</t>
        </is>
      </c>
      <c r="O2911" s="29" t="n">
        <v>0</v>
      </c>
      <c r="P2911" s="29" t="n">
        <v>0</v>
      </c>
      <c r="Q2911" s="29" t="n">
        <v>0</v>
      </c>
      <c r="R2911" s="29" t="n">
        <v>0</v>
      </c>
      <c r="S2911" s="29" t="n">
        <v>0</v>
      </c>
      <c r="T2911" t="inlineStr">
        <is>
          <t>25260226975620000130570010000064221001101440</t>
        </is>
      </c>
      <c r="U2911" t="inlineStr">
        <is>
          <t>Não</t>
        </is>
      </c>
    </row>
    <row r="2912">
      <c r="A2912" t="inlineStr">
        <is>
          <t>Frete de venda</t>
        </is>
      </c>
      <c r="B2912" t="inlineStr">
        <is>
          <t>2.01.02 Frete sobre Vendas</t>
        </is>
      </c>
      <c r="C2912" s="30" t="n">
        <v>46054</v>
      </c>
      <c r="D2912" t="inlineStr">
        <is>
          <t>Em 2026</t>
        </is>
      </c>
      <c r="E2912" s="28" t="n">
        <v>46074</v>
      </c>
      <c r="F2912" t="inlineStr">
        <is>
          <t>CT-e</t>
        </is>
      </c>
      <c r="G2912" t="inlineStr">
        <is>
          <t>000006423</t>
        </is>
      </c>
      <c r="H2912" t="inlineStr">
        <is>
          <t>R&amp;R TRANSPORTE E LOGISTICA</t>
        </is>
      </c>
      <c r="J2912" s="29" t="n">
        <v>27.33</v>
      </c>
      <c r="K2912" s="29">
        <f>(1-ISNUMBER(SEARCH("556",M2912)))*(O2912*SUMIFS(Premissas!$C$5:$C$44,Premissas!$A$5:$A$44,$A2912,Premissas!$B$5:$B$44,$B2912)+P2912*SUMIFS(Premissas!$D$5:$D$44,Premissas!$A$5:$A$44,$A2912,Premissas!$B$5:$B$44,$B2912))+R2912*SUMIFS(Premissas!$E$5:$E$44,Premissas!$A$5:$A$44,$A2912,Premissas!$B$5:$B$44,$B2912)+S2912*SUMIFS(Premissas!$F$5:$F$44,Premissas!$A$5:$A$44,$A2912,Premissas!$B$5:$B$44,$B2912)</f>
        <v/>
      </c>
      <c r="L2912" s="29">
        <f>J2912-K2912</f>
        <v/>
      </c>
      <c r="M2912" t="inlineStr">
        <is>
          <t>1.350</t>
        </is>
      </c>
      <c r="N2912" t="inlineStr">
        <is>
          <t>Modalidade: 0 - Por conta do remetente | Parte: FELIPE SARAIVA SANTOS (27.138.356/0001-42)</t>
        </is>
      </c>
      <c r="O2912" s="29" t="n">
        <v>0</v>
      </c>
      <c r="P2912" s="29" t="n">
        <v>0</v>
      </c>
      <c r="Q2912" s="29" t="n">
        <v>0</v>
      </c>
      <c r="R2912" s="29" t="n">
        <v>0</v>
      </c>
      <c r="S2912" s="29" t="n">
        <v>0</v>
      </c>
      <c r="T2912" t="inlineStr">
        <is>
          <t>25260226975620000130570010000064231001901524</t>
        </is>
      </c>
      <c r="U2912" t="inlineStr">
        <is>
          <t>Não</t>
        </is>
      </c>
    </row>
    <row r="2913">
      <c r="A2913" t="inlineStr">
        <is>
          <t>Frete de venda</t>
        </is>
      </c>
      <c r="B2913" t="inlineStr">
        <is>
          <t>2.01.02 Frete sobre Vendas</t>
        </is>
      </c>
      <c r="C2913" s="30" t="n">
        <v>46054</v>
      </c>
      <c r="D2913" t="inlineStr">
        <is>
          <t>Em 2026</t>
        </is>
      </c>
      <c r="E2913" s="28" t="n">
        <v>46074</v>
      </c>
      <c r="F2913" t="inlineStr">
        <is>
          <t>CT-e</t>
        </is>
      </c>
      <c r="G2913" t="inlineStr">
        <is>
          <t>000006427</t>
        </is>
      </c>
      <c r="H2913" t="inlineStr">
        <is>
          <t>R&amp;R TRANSPORTE E LOGISTICA</t>
        </is>
      </c>
      <c r="J2913" s="29" t="n">
        <v>984.83</v>
      </c>
      <c r="K2913" s="29">
        <f>(1-ISNUMBER(SEARCH("556",M2913)))*(O2913*SUMIFS(Premissas!$C$5:$C$44,Premissas!$A$5:$A$44,$A2913,Premissas!$B$5:$B$44,$B2913)+P2913*SUMIFS(Premissas!$D$5:$D$44,Premissas!$A$5:$A$44,$A2913,Premissas!$B$5:$B$44,$B2913))+R2913*SUMIFS(Premissas!$E$5:$E$44,Premissas!$A$5:$A$44,$A2913,Premissas!$B$5:$B$44,$B2913)+S2913*SUMIFS(Premissas!$F$5:$F$44,Premissas!$A$5:$A$44,$A2913,Premissas!$B$5:$B$44,$B2913)</f>
        <v/>
      </c>
      <c r="L2913" s="29">
        <f>J2913-K2913</f>
        <v/>
      </c>
      <c r="M2913" t="inlineStr">
        <is>
          <t>1.350</t>
        </is>
      </c>
      <c r="N2913" t="inlineStr">
        <is>
          <t>Modalidade: 0 - Por conta do remetente | Parte: VINCO DISTRIBUIDORA DE EMBALAGENS LTDA (55.333.385/0001-09)</t>
        </is>
      </c>
      <c r="O2913" s="29" t="n">
        <v>0</v>
      </c>
      <c r="P2913" s="29" t="n">
        <v>0</v>
      </c>
      <c r="Q2913" s="29" t="n">
        <v>0</v>
      </c>
      <c r="R2913" s="29" t="n">
        <v>0</v>
      </c>
      <c r="S2913" s="29" t="n">
        <v>0</v>
      </c>
      <c r="T2913" t="inlineStr">
        <is>
          <t>25260226975620000130570010000064271001701834</t>
        </is>
      </c>
      <c r="U2913" t="inlineStr">
        <is>
          <t>Não</t>
        </is>
      </c>
    </row>
    <row r="2914">
      <c r="A2914" t="inlineStr">
        <is>
          <t>Frete de venda</t>
        </is>
      </c>
      <c r="B2914" t="inlineStr">
        <is>
          <t>2.01.02 Frete sobre Vendas</t>
        </is>
      </c>
      <c r="C2914" s="30" t="n">
        <v>46054</v>
      </c>
      <c r="D2914" t="inlineStr">
        <is>
          <t>Em 2026</t>
        </is>
      </c>
      <c r="E2914" s="28" t="n">
        <v>46076</v>
      </c>
      <c r="F2914" t="inlineStr">
        <is>
          <t>CT-e</t>
        </is>
      </c>
      <c r="G2914" t="inlineStr">
        <is>
          <t>000006429</t>
        </is>
      </c>
      <c r="H2914" t="inlineStr">
        <is>
          <t>R&amp;R TRANSPORTE E LOGISTICA</t>
        </is>
      </c>
      <c r="J2914" s="29" t="n">
        <v>1000</v>
      </c>
      <c r="K2914" s="29">
        <f>(1-ISNUMBER(SEARCH("556",M2914)))*(O2914*SUMIFS(Premissas!$C$5:$C$44,Premissas!$A$5:$A$44,$A2914,Premissas!$B$5:$B$44,$B2914)+P2914*SUMIFS(Premissas!$D$5:$D$44,Premissas!$A$5:$A$44,$A2914,Premissas!$B$5:$B$44,$B2914))+R2914*SUMIFS(Premissas!$E$5:$E$44,Premissas!$A$5:$A$44,$A2914,Premissas!$B$5:$B$44,$B2914)+S2914*SUMIFS(Premissas!$F$5:$F$44,Premissas!$A$5:$A$44,$A2914,Premissas!$B$5:$B$44,$B2914)</f>
        <v/>
      </c>
      <c r="L2914" s="29">
        <f>J2914-K2914</f>
        <v/>
      </c>
      <c r="M2914" t="inlineStr">
        <is>
          <t>1.350</t>
        </is>
      </c>
      <c r="N2914" t="inlineStr">
        <is>
          <t>Modalidade: 0 - Por conta do remetente | Parte: DOCA COMERCIO DE PRODUTOS ALIMENTICIOS LTDA (15.258.788/0004-50)</t>
        </is>
      </c>
      <c r="O2914" s="29" t="n">
        <v>0</v>
      </c>
      <c r="P2914" s="29" t="n">
        <v>0</v>
      </c>
      <c r="Q2914" s="29" t="n">
        <v>0</v>
      </c>
      <c r="R2914" s="29" t="n">
        <v>0</v>
      </c>
      <c r="S2914" s="29" t="n">
        <v>0</v>
      </c>
      <c r="T2914" t="inlineStr">
        <is>
          <t>25260226975620000130570010000064291001401258</t>
        </is>
      </c>
      <c r="U2914" t="inlineStr">
        <is>
          <t>Sim</t>
        </is>
      </c>
    </row>
    <row r="2915">
      <c r="A2915" t="inlineStr">
        <is>
          <t>Frete de venda</t>
        </is>
      </c>
      <c r="B2915" t="inlineStr">
        <is>
          <t>2.01.02 Frete sobre Vendas</t>
        </is>
      </c>
      <c r="C2915" s="30" t="n">
        <v>46054</v>
      </c>
      <c r="D2915" t="inlineStr">
        <is>
          <t>Em 2026</t>
        </is>
      </c>
      <c r="E2915" s="28" t="n">
        <v>46076</v>
      </c>
      <c r="F2915" t="inlineStr">
        <is>
          <t>CT-e</t>
        </is>
      </c>
      <c r="G2915" t="inlineStr">
        <is>
          <t>000006430</t>
        </is>
      </c>
      <c r="H2915" t="inlineStr">
        <is>
          <t>R&amp;R TRANSPORTE E LOGISTICA</t>
        </is>
      </c>
      <c r="J2915" s="29" t="n">
        <v>2100</v>
      </c>
      <c r="K2915" s="29">
        <f>(1-ISNUMBER(SEARCH("556",M2915)))*(O2915*SUMIFS(Premissas!$C$5:$C$44,Premissas!$A$5:$A$44,$A2915,Premissas!$B$5:$B$44,$B2915)+P2915*SUMIFS(Premissas!$D$5:$D$44,Premissas!$A$5:$A$44,$A2915,Premissas!$B$5:$B$44,$B2915))+R2915*SUMIFS(Premissas!$E$5:$E$44,Premissas!$A$5:$A$44,$A2915,Premissas!$B$5:$B$44,$B2915)+S2915*SUMIFS(Premissas!$F$5:$F$44,Premissas!$A$5:$A$44,$A2915,Premissas!$B$5:$B$44,$B2915)</f>
        <v/>
      </c>
      <c r="L2915" s="29">
        <f>J2915-K2915</f>
        <v/>
      </c>
      <c r="M2915" t="inlineStr">
        <is>
          <t>1.350</t>
        </is>
      </c>
      <c r="N2915" t="inlineStr">
        <is>
          <t>Modalidade: 0 - Por conta do remetente | Parte: DOCA COMERCIO DE PRODUTOS ALIMENTICIOS LTDA (15.258.788/0004-50)</t>
        </is>
      </c>
      <c r="O2915" s="29" t="n">
        <v>0</v>
      </c>
      <c r="P2915" s="29" t="n">
        <v>0</v>
      </c>
      <c r="Q2915" s="29" t="n">
        <v>0</v>
      </c>
      <c r="R2915" s="29" t="n">
        <v>0</v>
      </c>
      <c r="S2915" s="29" t="n">
        <v>0</v>
      </c>
      <c r="T2915" t="inlineStr">
        <is>
          <t>25260226975620000130570010000064301001301572</t>
        </is>
      </c>
      <c r="U2915" t="inlineStr">
        <is>
          <t>Sim</t>
        </is>
      </c>
    </row>
    <row r="2916">
      <c r="A2916" t="inlineStr">
        <is>
          <t>Frete de venda</t>
        </is>
      </c>
      <c r="B2916" t="inlineStr">
        <is>
          <t>2.01.02 Frete sobre Vendas</t>
        </is>
      </c>
      <c r="C2916" s="30" t="n">
        <v>46054</v>
      </c>
      <c r="D2916" t="inlineStr">
        <is>
          <t>Em 2026</t>
        </is>
      </c>
      <c r="E2916" s="28" t="n">
        <v>46077</v>
      </c>
      <c r="F2916" t="inlineStr">
        <is>
          <t>CT-e</t>
        </is>
      </c>
      <c r="G2916" t="inlineStr">
        <is>
          <t>000006432</t>
        </is>
      </c>
      <c r="H2916" t="inlineStr">
        <is>
          <t>R&amp;R TRANSPORTE E LOGISTICA</t>
        </is>
      </c>
      <c r="J2916" s="29" t="n">
        <v>257.07</v>
      </c>
      <c r="K2916" s="29">
        <f>(1-ISNUMBER(SEARCH("556",M2916)))*(O2916*SUMIFS(Premissas!$C$5:$C$44,Premissas!$A$5:$A$44,$A2916,Premissas!$B$5:$B$44,$B2916)+P2916*SUMIFS(Premissas!$D$5:$D$44,Premissas!$A$5:$A$44,$A2916,Premissas!$B$5:$B$44,$B2916))+R2916*SUMIFS(Premissas!$E$5:$E$44,Premissas!$A$5:$A$44,$A2916,Premissas!$B$5:$B$44,$B2916)+S2916*SUMIFS(Premissas!$F$5:$F$44,Premissas!$A$5:$A$44,$A2916,Premissas!$B$5:$B$44,$B2916)</f>
        <v/>
      </c>
      <c r="L2916" s="29">
        <f>J2916-K2916</f>
        <v/>
      </c>
      <c r="M2916" t="inlineStr">
        <is>
          <t>1.350</t>
        </is>
      </c>
      <c r="N2916" t="inlineStr">
        <is>
          <t>Modalidade: 0 - Por conta do remetente | Parte: RFC COMERCIO DE MIUDEZAS LTDA (26.514.797/0004-81)</t>
        </is>
      </c>
      <c r="O2916" s="29" t="n">
        <v>0</v>
      </c>
      <c r="P2916" s="29" t="n">
        <v>0</v>
      </c>
      <c r="Q2916" s="29" t="n">
        <v>0</v>
      </c>
      <c r="R2916" s="29" t="n">
        <v>0</v>
      </c>
      <c r="S2916" s="29" t="n">
        <v>0</v>
      </c>
      <c r="T2916" t="inlineStr">
        <is>
          <t>25260226975620000130570010000064321001401806</t>
        </is>
      </c>
      <c r="U2916" t="inlineStr">
        <is>
          <t>Não</t>
        </is>
      </c>
    </row>
    <row r="2917">
      <c r="A2917" t="inlineStr">
        <is>
          <t>Frete de venda</t>
        </is>
      </c>
      <c r="B2917" t="inlineStr">
        <is>
          <t>2.01.02 Frete sobre Vendas</t>
        </is>
      </c>
      <c r="C2917" s="30" t="n">
        <v>46054</v>
      </c>
      <c r="D2917" t="inlineStr">
        <is>
          <t>Em 2026</t>
        </is>
      </c>
      <c r="E2917" s="28" t="n">
        <v>46077</v>
      </c>
      <c r="F2917" t="inlineStr">
        <is>
          <t>CT-e</t>
        </is>
      </c>
      <c r="G2917" t="inlineStr">
        <is>
          <t>000006433</t>
        </is>
      </c>
      <c r="H2917" t="inlineStr">
        <is>
          <t>R&amp;R TRANSPORTE E LOGISTICA</t>
        </is>
      </c>
      <c r="J2917" s="29" t="n">
        <v>51.54</v>
      </c>
      <c r="K2917" s="29">
        <f>(1-ISNUMBER(SEARCH("556",M2917)))*(O2917*SUMIFS(Premissas!$C$5:$C$44,Premissas!$A$5:$A$44,$A2917,Premissas!$B$5:$B$44,$B2917)+P2917*SUMIFS(Premissas!$D$5:$D$44,Premissas!$A$5:$A$44,$A2917,Premissas!$B$5:$B$44,$B2917))+R2917*SUMIFS(Premissas!$E$5:$E$44,Premissas!$A$5:$A$44,$A2917,Premissas!$B$5:$B$44,$B2917)+S2917*SUMIFS(Premissas!$F$5:$F$44,Premissas!$A$5:$A$44,$A2917,Premissas!$B$5:$B$44,$B2917)</f>
        <v/>
      </c>
      <c r="L2917" s="29">
        <f>J2917-K2917</f>
        <v/>
      </c>
      <c r="M2917" t="inlineStr">
        <is>
          <t>1.350</t>
        </is>
      </c>
      <c r="N2917" t="inlineStr">
        <is>
          <t>Modalidade: 0 - Por conta do remetente | Parte: CAITTO PALHARES DA SILVA 05668249735 (26.647.620/0001-00)</t>
        </is>
      </c>
      <c r="O2917" s="29" t="n">
        <v>0</v>
      </c>
      <c r="P2917" s="29" t="n">
        <v>0</v>
      </c>
      <c r="Q2917" s="29" t="n">
        <v>0</v>
      </c>
      <c r="R2917" s="29" t="n">
        <v>0</v>
      </c>
      <c r="S2917" s="29" t="n">
        <v>0</v>
      </c>
      <c r="T2917" t="inlineStr">
        <is>
          <t>25260226975620000130570010000064331001101885</t>
        </is>
      </c>
      <c r="U2917" t="inlineStr">
        <is>
          <t>Não</t>
        </is>
      </c>
    </row>
    <row r="2918">
      <c r="A2918" t="inlineStr">
        <is>
          <t>Frete de venda</t>
        </is>
      </c>
      <c r="B2918" t="inlineStr">
        <is>
          <t>2.01.02 Frete sobre Vendas</t>
        </is>
      </c>
      <c r="C2918" s="30" t="n">
        <v>46054</v>
      </c>
      <c r="D2918" t="inlineStr">
        <is>
          <t>Em 2026</t>
        </is>
      </c>
      <c r="E2918" s="28" t="n">
        <v>46077</v>
      </c>
      <c r="F2918" t="inlineStr">
        <is>
          <t>CT-e</t>
        </is>
      </c>
      <c r="G2918" t="inlineStr">
        <is>
          <t>000006434</t>
        </is>
      </c>
      <c r="H2918" t="inlineStr">
        <is>
          <t>R&amp;R TRANSPORTE E LOGISTICA</t>
        </is>
      </c>
      <c r="J2918" s="29" t="n">
        <v>50.53</v>
      </c>
      <c r="K2918" s="29">
        <f>(1-ISNUMBER(SEARCH("556",M2918)))*(O2918*SUMIFS(Premissas!$C$5:$C$44,Premissas!$A$5:$A$44,$A2918,Premissas!$B$5:$B$44,$B2918)+P2918*SUMIFS(Premissas!$D$5:$D$44,Premissas!$A$5:$A$44,$A2918,Premissas!$B$5:$B$44,$B2918))+R2918*SUMIFS(Premissas!$E$5:$E$44,Premissas!$A$5:$A$44,$A2918,Premissas!$B$5:$B$44,$B2918)+S2918*SUMIFS(Premissas!$F$5:$F$44,Premissas!$A$5:$A$44,$A2918,Premissas!$B$5:$B$44,$B2918)</f>
        <v/>
      </c>
      <c r="L2918" s="29">
        <f>J2918-K2918</f>
        <v/>
      </c>
      <c r="M2918" t="inlineStr">
        <is>
          <t>1.350</t>
        </is>
      </c>
      <c r="N2918" t="inlineStr">
        <is>
          <t>Modalidade: 0 - Por conta do remetente | Parte: AMERICA ATACADISTA ALIMENTOS E EMBALAGENS LTDA (51.238.409/0001-81)</t>
        </is>
      </c>
      <c r="O2918" s="29" t="n">
        <v>0</v>
      </c>
      <c r="P2918" s="29" t="n">
        <v>0</v>
      </c>
      <c r="Q2918" s="29" t="n">
        <v>0</v>
      </c>
      <c r="R2918" s="29" t="n">
        <v>0</v>
      </c>
      <c r="S2918" s="29" t="n">
        <v>0</v>
      </c>
      <c r="T2918" t="inlineStr">
        <is>
          <t>25260226975620000130570010000064341001901960</t>
        </is>
      </c>
      <c r="U2918" t="inlineStr">
        <is>
          <t>Não</t>
        </is>
      </c>
    </row>
    <row r="2919">
      <c r="A2919" t="inlineStr">
        <is>
          <t>Frete de venda</t>
        </is>
      </c>
      <c r="B2919" t="inlineStr">
        <is>
          <t>2.01.02 Frete sobre Vendas</t>
        </is>
      </c>
      <c r="C2919" s="30" t="n">
        <v>46054</v>
      </c>
      <c r="D2919" t="inlineStr">
        <is>
          <t>Em 2026</t>
        </is>
      </c>
      <c r="E2919" s="28" t="n">
        <v>46077</v>
      </c>
      <c r="F2919" t="inlineStr">
        <is>
          <t>CT-e</t>
        </is>
      </c>
      <c r="G2919" t="inlineStr">
        <is>
          <t>000006435</t>
        </is>
      </c>
      <c r="H2919" t="inlineStr">
        <is>
          <t>R&amp;R TRANSPORTE E LOGISTICA</t>
        </is>
      </c>
      <c r="J2919" s="29" t="n">
        <v>61.12</v>
      </c>
      <c r="K2919" s="29">
        <f>(1-ISNUMBER(SEARCH("556",M2919)))*(O2919*SUMIFS(Premissas!$C$5:$C$44,Premissas!$A$5:$A$44,$A2919,Premissas!$B$5:$B$44,$B2919)+P2919*SUMIFS(Premissas!$D$5:$D$44,Premissas!$A$5:$A$44,$A2919,Premissas!$B$5:$B$44,$B2919))+R2919*SUMIFS(Premissas!$E$5:$E$44,Premissas!$A$5:$A$44,$A2919,Premissas!$B$5:$B$44,$B2919)+S2919*SUMIFS(Premissas!$F$5:$F$44,Premissas!$A$5:$A$44,$A2919,Premissas!$B$5:$B$44,$B2919)</f>
        <v/>
      </c>
      <c r="L2919" s="29">
        <f>J2919-K2919</f>
        <v/>
      </c>
      <c r="M2919" t="inlineStr">
        <is>
          <t>1.350</t>
        </is>
      </c>
      <c r="N2919" t="inlineStr">
        <is>
          <t>Modalidade: 0 - Por conta do remetente | Parte: ATACADAO DA BAIXADA LTDA (22.815.381/0001-08)</t>
        </is>
      </c>
      <c r="O2919" s="29" t="n">
        <v>0</v>
      </c>
      <c r="P2919" s="29" t="n">
        <v>0</v>
      </c>
      <c r="Q2919" s="29" t="n">
        <v>0</v>
      </c>
      <c r="R2919" s="29" t="n">
        <v>0</v>
      </c>
      <c r="S2919" s="29" t="n">
        <v>0</v>
      </c>
      <c r="T2919" t="inlineStr">
        <is>
          <t>25260226975620000130570010000064351001602048</t>
        </is>
      </c>
      <c r="U2919" t="inlineStr">
        <is>
          <t>Não</t>
        </is>
      </c>
    </row>
    <row r="2920">
      <c r="A2920" t="inlineStr">
        <is>
          <t>Frete de venda</t>
        </is>
      </c>
      <c r="B2920" t="inlineStr">
        <is>
          <t>2.01.02 Frete sobre Vendas</t>
        </is>
      </c>
      <c r="C2920" s="30" t="n">
        <v>46054</v>
      </c>
      <c r="D2920" t="inlineStr">
        <is>
          <t>Em 2026</t>
        </is>
      </c>
      <c r="E2920" s="28" t="n">
        <v>46078</v>
      </c>
      <c r="F2920" t="inlineStr">
        <is>
          <t>CT-e</t>
        </is>
      </c>
      <c r="G2920" t="inlineStr">
        <is>
          <t>000006436</t>
        </is>
      </c>
      <c r="H2920" t="inlineStr">
        <is>
          <t>R&amp;R TRANSPORTE E LOGISTICA</t>
        </is>
      </c>
      <c r="J2920" s="29" t="n">
        <v>65.34999999999999</v>
      </c>
      <c r="K2920" s="29">
        <f>(1-ISNUMBER(SEARCH("556",M2920)))*(O2920*SUMIFS(Premissas!$C$5:$C$44,Premissas!$A$5:$A$44,$A2920,Premissas!$B$5:$B$44,$B2920)+P2920*SUMIFS(Premissas!$D$5:$D$44,Premissas!$A$5:$A$44,$A2920,Premissas!$B$5:$B$44,$B2920))+R2920*SUMIFS(Premissas!$E$5:$E$44,Premissas!$A$5:$A$44,$A2920,Premissas!$B$5:$B$44,$B2920)+S2920*SUMIFS(Premissas!$F$5:$F$44,Premissas!$A$5:$A$44,$A2920,Premissas!$B$5:$B$44,$B2920)</f>
        <v/>
      </c>
      <c r="L2920" s="29">
        <f>J2920-K2920</f>
        <v/>
      </c>
      <c r="M2920" t="inlineStr">
        <is>
          <t>1.350</t>
        </is>
      </c>
      <c r="N2920" t="inlineStr">
        <is>
          <t>Modalidade: 0 - Por conta do remetente | Parte: PV COMERCIO E SERVICOS LTDA (28.358.623/0001-50)</t>
        </is>
      </c>
      <c r="O2920" s="29" t="n">
        <v>0</v>
      </c>
      <c r="P2920" s="29" t="n">
        <v>0</v>
      </c>
      <c r="Q2920" s="29" t="n">
        <v>0</v>
      </c>
      <c r="R2920" s="29" t="n">
        <v>0</v>
      </c>
      <c r="S2920" s="29" t="n">
        <v>0</v>
      </c>
      <c r="T2920" t="inlineStr">
        <is>
          <t>25260226975620000130570010000064361001401473</t>
        </is>
      </c>
      <c r="U2920" t="inlineStr">
        <is>
          <t>Não</t>
        </is>
      </c>
    </row>
    <row r="2921">
      <c r="A2921" t="inlineStr">
        <is>
          <t>Frete de venda</t>
        </is>
      </c>
      <c r="B2921" t="inlineStr">
        <is>
          <t>2.01.02 Frete sobre Vendas</t>
        </is>
      </c>
      <c r="C2921" s="30" t="n">
        <v>46054</v>
      </c>
      <c r="D2921" t="inlineStr">
        <is>
          <t>Em 2026</t>
        </is>
      </c>
      <c r="E2921" s="28" t="n">
        <v>46078</v>
      </c>
      <c r="F2921" t="inlineStr">
        <is>
          <t>CT-e</t>
        </is>
      </c>
      <c r="G2921" t="inlineStr">
        <is>
          <t>000006437</t>
        </is>
      </c>
      <c r="H2921" t="inlineStr">
        <is>
          <t>R&amp;R TRANSPORTE E LOGISTICA</t>
        </is>
      </c>
      <c r="J2921" s="29" t="n">
        <v>79.61</v>
      </c>
      <c r="K2921" s="29">
        <f>(1-ISNUMBER(SEARCH("556",M2921)))*(O2921*SUMIFS(Premissas!$C$5:$C$44,Premissas!$A$5:$A$44,$A2921,Premissas!$B$5:$B$44,$B2921)+P2921*SUMIFS(Premissas!$D$5:$D$44,Premissas!$A$5:$A$44,$A2921,Premissas!$B$5:$B$44,$B2921))+R2921*SUMIFS(Premissas!$E$5:$E$44,Premissas!$A$5:$A$44,$A2921,Premissas!$B$5:$B$44,$B2921)+S2921*SUMIFS(Premissas!$F$5:$F$44,Premissas!$A$5:$A$44,$A2921,Premissas!$B$5:$B$44,$B2921)</f>
        <v/>
      </c>
      <c r="L2921" s="29">
        <f>J2921-K2921</f>
        <v/>
      </c>
      <c r="M2921" t="inlineStr">
        <is>
          <t>1.350</t>
        </is>
      </c>
      <c r="N2921" t="inlineStr">
        <is>
          <t>Modalidade: 0 - Por conta do remetente | Parte: MARCOS NATANAEL DOS SANTOS ROCHA (14.727.584/0001-06)</t>
        </is>
      </c>
      <c r="O2921" s="29" t="n">
        <v>0</v>
      </c>
      <c r="P2921" s="29" t="n">
        <v>0</v>
      </c>
      <c r="Q2921" s="29" t="n">
        <v>0</v>
      </c>
      <c r="R2921" s="29" t="n">
        <v>0</v>
      </c>
      <c r="S2921" s="29" t="n">
        <v>0</v>
      </c>
      <c r="T2921" t="inlineStr">
        <is>
          <t>25260226975620000130570010000064371001101558</t>
        </is>
      </c>
      <c r="U2921" t="inlineStr">
        <is>
          <t>Não</t>
        </is>
      </c>
    </row>
    <row r="2922">
      <c r="A2922" t="inlineStr">
        <is>
          <t>Frete de venda</t>
        </is>
      </c>
      <c r="B2922" t="inlineStr">
        <is>
          <t>2.01.02 Frete sobre Vendas</t>
        </is>
      </c>
      <c r="C2922" s="30" t="n">
        <v>46054</v>
      </c>
      <c r="D2922" t="inlineStr">
        <is>
          <t>Em 2026</t>
        </is>
      </c>
      <c r="E2922" s="28" t="n">
        <v>46078</v>
      </c>
      <c r="F2922" t="inlineStr">
        <is>
          <t>CT-e</t>
        </is>
      </c>
      <c r="G2922" t="inlineStr">
        <is>
          <t>000006438</t>
        </is>
      </c>
      <c r="H2922" t="inlineStr">
        <is>
          <t>R&amp;R TRANSPORTE E LOGISTICA</t>
        </is>
      </c>
      <c r="J2922" s="29" t="n">
        <v>68.56999999999999</v>
      </c>
      <c r="K2922" s="29">
        <f>(1-ISNUMBER(SEARCH("556",M2922)))*(O2922*SUMIFS(Premissas!$C$5:$C$44,Premissas!$A$5:$A$44,$A2922,Premissas!$B$5:$B$44,$B2922)+P2922*SUMIFS(Premissas!$D$5:$D$44,Premissas!$A$5:$A$44,$A2922,Premissas!$B$5:$B$44,$B2922))+R2922*SUMIFS(Premissas!$E$5:$E$44,Premissas!$A$5:$A$44,$A2922,Premissas!$B$5:$B$44,$B2922)+S2922*SUMIFS(Premissas!$F$5:$F$44,Premissas!$A$5:$A$44,$A2922,Premissas!$B$5:$B$44,$B2922)</f>
        <v/>
      </c>
      <c r="L2922" s="29">
        <f>J2922-K2922</f>
        <v/>
      </c>
      <c r="M2922" t="inlineStr">
        <is>
          <t>1.350</t>
        </is>
      </c>
      <c r="N2922" t="inlineStr">
        <is>
          <t>Modalidade: 0 - Por conta do remetente | Parte: HEMANOEL MOISES SOARES DE SOUZA (11.038.014/0001-10)</t>
        </is>
      </c>
      <c r="O2922" s="29" t="n">
        <v>0</v>
      </c>
      <c r="P2922" s="29" t="n">
        <v>0</v>
      </c>
      <c r="Q2922" s="29" t="n">
        <v>0</v>
      </c>
      <c r="R2922" s="29" t="n">
        <v>0</v>
      </c>
      <c r="S2922" s="29" t="n">
        <v>0</v>
      </c>
      <c r="T2922" t="inlineStr">
        <is>
          <t>25260226975620000130570010000064381001901632</t>
        </is>
      </c>
      <c r="U2922" t="inlineStr">
        <is>
          <t>Não</t>
        </is>
      </c>
    </row>
    <row r="2923">
      <c r="A2923" t="inlineStr">
        <is>
          <t>Frete de venda</t>
        </is>
      </c>
      <c r="B2923" t="inlineStr">
        <is>
          <t>2.01.02 Frete sobre Vendas</t>
        </is>
      </c>
      <c r="C2923" s="30" t="n">
        <v>46054</v>
      </c>
      <c r="D2923" t="inlineStr">
        <is>
          <t>Em 2026</t>
        </is>
      </c>
      <c r="E2923" s="28" t="n">
        <v>46080</v>
      </c>
      <c r="F2923" t="inlineStr">
        <is>
          <t>CT-e</t>
        </is>
      </c>
      <c r="G2923" t="inlineStr">
        <is>
          <t>000006445</t>
        </is>
      </c>
      <c r="H2923" t="inlineStr">
        <is>
          <t>R&amp;R TRANSPORTE E LOGISTICA</t>
        </is>
      </c>
      <c r="J2923" s="29" t="n">
        <v>129.6</v>
      </c>
      <c r="K2923" s="29">
        <f>(1-ISNUMBER(SEARCH("556",M2923)))*(O2923*SUMIFS(Premissas!$C$5:$C$44,Premissas!$A$5:$A$44,$A2923,Premissas!$B$5:$B$44,$B2923)+P2923*SUMIFS(Premissas!$D$5:$D$44,Premissas!$A$5:$A$44,$A2923,Premissas!$B$5:$B$44,$B2923))+R2923*SUMIFS(Premissas!$E$5:$E$44,Premissas!$A$5:$A$44,$A2923,Premissas!$B$5:$B$44,$B2923)+S2923*SUMIFS(Premissas!$F$5:$F$44,Premissas!$A$5:$A$44,$A2923,Premissas!$B$5:$B$44,$B2923)</f>
        <v/>
      </c>
      <c r="L2923" s="29">
        <f>J2923-K2923</f>
        <v/>
      </c>
      <c r="M2923" t="inlineStr">
        <is>
          <t>1.350</t>
        </is>
      </c>
      <c r="N2923" t="inlineStr">
        <is>
          <t>Modalidade: 0 - Por conta do remetente | Parte: A C M DA SILVA COMERCIO (15.485.160/0001-45)</t>
        </is>
      </c>
      <c r="O2923" s="29" t="n">
        <v>0</v>
      </c>
      <c r="P2923" s="29" t="n">
        <v>0</v>
      </c>
      <c r="Q2923" s="29" t="n">
        <v>0</v>
      </c>
      <c r="R2923" s="29" t="n">
        <v>0</v>
      </c>
      <c r="S2923" s="29" t="n">
        <v>0</v>
      </c>
      <c r="T2923" t="inlineStr">
        <is>
          <t>25260226975620000130570010000064451000150824</t>
        </is>
      </c>
      <c r="U2923" t="inlineStr">
        <is>
          <t>Não</t>
        </is>
      </c>
    </row>
    <row r="2924">
      <c r="A2924" t="inlineStr">
        <is>
          <t>Frete de venda</t>
        </is>
      </c>
      <c r="B2924" t="inlineStr">
        <is>
          <t>2.01.02 Frete sobre Vendas</t>
        </is>
      </c>
      <c r="C2924" s="30" t="n">
        <v>46054</v>
      </c>
      <c r="D2924" t="inlineStr">
        <is>
          <t>Em 2026</t>
        </is>
      </c>
      <c r="E2924" s="28" t="n">
        <v>46080</v>
      </c>
      <c r="F2924" t="inlineStr">
        <is>
          <t>CT-e</t>
        </is>
      </c>
      <c r="G2924" t="inlineStr">
        <is>
          <t>000006446</t>
        </is>
      </c>
      <c r="H2924" t="inlineStr">
        <is>
          <t>R&amp;R TRANSPORTE E LOGISTICA</t>
        </is>
      </c>
      <c r="J2924" s="29" t="n">
        <v>184.23</v>
      </c>
      <c r="K2924" s="29">
        <f>(1-ISNUMBER(SEARCH("556",M2924)))*(O2924*SUMIFS(Premissas!$C$5:$C$44,Premissas!$A$5:$A$44,$A2924,Premissas!$B$5:$B$44,$B2924)+P2924*SUMIFS(Premissas!$D$5:$D$44,Premissas!$A$5:$A$44,$A2924,Premissas!$B$5:$B$44,$B2924))+R2924*SUMIFS(Premissas!$E$5:$E$44,Premissas!$A$5:$A$44,$A2924,Premissas!$B$5:$B$44,$B2924)+S2924*SUMIFS(Premissas!$F$5:$F$44,Premissas!$A$5:$A$44,$A2924,Premissas!$B$5:$B$44,$B2924)</f>
        <v/>
      </c>
      <c r="L2924" s="29">
        <f>J2924-K2924</f>
        <v/>
      </c>
      <c r="M2924" t="inlineStr">
        <is>
          <t>1.350</t>
        </is>
      </c>
      <c r="N2924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2924" s="29" t="n">
        <v>0</v>
      </c>
      <c r="P2924" s="29" t="n">
        <v>0</v>
      </c>
      <c r="Q2924" s="29" t="n">
        <v>0</v>
      </c>
      <c r="R2924" s="29" t="n">
        <v>0</v>
      </c>
      <c r="S2924" s="29" t="n">
        <v>0</v>
      </c>
      <c r="T2924" t="inlineStr">
        <is>
          <t>25260226975620000130570010000064461000120906</t>
        </is>
      </c>
      <c r="U2924" t="inlineStr">
        <is>
          <t>Não</t>
        </is>
      </c>
    </row>
    <row r="2925">
      <c r="A2925" t="inlineStr">
        <is>
          <t>Frete de venda</t>
        </is>
      </c>
      <c r="B2925" t="inlineStr">
        <is>
          <t>2.01.02 Frete sobre Vendas</t>
        </is>
      </c>
      <c r="C2925" s="30" t="n">
        <v>46054</v>
      </c>
      <c r="D2925" t="inlineStr">
        <is>
          <t>Em 2026</t>
        </is>
      </c>
      <c r="E2925" s="28" t="n">
        <v>46080</v>
      </c>
      <c r="F2925" t="inlineStr">
        <is>
          <t>CT-e</t>
        </is>
      </c>
      <c r="G2925" t="inlineStr">
        <is>
          <t>000006448</t>
        </is>
      </c>
      <c r="H2925" t="inlineStr">
        <is>
          <t>R&amp;R TRANSPORTE E LOGISTICA</t>
        </is>
      </c>
      <c r="J2925" s="29" t="n">
        <v>34.09</v>
      </c>
      <c r="K2925" s="29">
        <f>(1-ISNUMBER(SEARCH("556",M2925)))*(O2925*SUMIFS(Premissas!$C$5:$C$44,Premissas!$A$5:$A$44,$A2925,Premissas!$B$5:$B$44,$B2925)+P2925*SUMIFS(Premissas!$D$5:$D$44,Premissas!$A$5:$A$44,$A2925,Premissas!$B$5:$B$44,$B2925))+R2925*SUMIFS(Premissas!$E$5:$E$44,Premissas!$A$5:$A$44,$A2925,Premissas!$B$5:$B$44,$B2925)+S2925*SUMIFS(Premissas!$F$5:$F$44,Premissas!$A$5:$A$44,$A2925,Premissas!$B$5:$B$44,$B2925)</f>
        <v/>
      </c>
      <c r="L2925" s="29">
        <f>J2925-K2925</f>
        <v/>
      </c>
      <c r="M2925" t="inlineStr">
        <is>
          <t>1.350</t>
        </is>
      </c>
      <c r="N2925" t="inlineStr">
        <is>
          <t>Modalidade: 0 - Por conta do remetente | Parte: DISTRIBUIDORA DE EMBALAGENS SUACUI LTDA (10.560.122/0001-96)</t>
        </is>
      </c>
      <c r="O2925" s="29" t="n">
        <v>0</v>
      </c>
      <c r="P2925" s="29" t="n">
        <v>0</v>
      </c>
      <c r="Q2925" s="29" t="n">
        <v>0</v>
      </c>
      <c r="R2925" s="29" t="n">
        <v>0</v>
      </c>
      <c r="S2925" s="29" t="n">
        <v>0</v>
      </c>
      <c r="T2925" t="inlineStr">
        <is>
          <t>25260226975620000130570010000064481001701613</t>
        </is>
      </c>
      <c r="U2925" t="inlineStr">
        <is>
          <t>Não</t>
        </is>
      </c>
    </row>
    <row r="2926">
      <c r="A2926" t="inlineStr">
        <is>
          <t>Frete de venda</t>
        </is>
      </c>
      <c r="B2926" t="inlineStr">
        <is>
          <t>2.01.02 Frete sobre Vendas</t>
        </is>
      </c>
      <c r="C2926" s="30" t="n">
        <v>46054</v>
      </c>
      <c r="D2926" t="inlineStr">
        <is>
          <t>Em 2026</t>
        </is>
      </c>
      <c r="E2926" s="28" t="n">
        <v>46080</v>
      </c>
      <c r="F2926" t="inlineStr">
        <is>
          <t>CT-e</t>
        </is>
      </c>
      <c r="G2926" t="inlineStr">
        <is>
          <t>000006449</t>
        </is>
      </c>
      <c r="H2926" t="inlineStr">
        <is>
          <t>R&amp;R TRANSPORTE E LOGISTICA</t>
        </is>
      </c>
      <c r="J2926" s="29" t="n">
        <v>43.23</v>
      </c>
      <c r="K2926" s="29">
        <f>(1-ISNUMBER(SEARCH("556",M2926)))*(O2926*SUMIFS(Premissas!$C$5:$C$44,Premissas!$A$5:$A$44,$A2926,Premissas!$B$5:$B$44,$B2926)+P2926*SUMIFS(Premissas!$D$5:$D$44,Premissas!$A$5:$A$44,$A2926,Premissas!$B$5:$B$44,$B2926))+R2926*SUMIFS(Premissas!$E$5:$E$44,Premissas!$A$5:$A$44,$A2926,Premissas!$B$5:$B$44,$B2926)+S2926*SUMIFS(Premissas!$F$5:$F$44,Premissas!$A$5:$A$44,$A2926,Premissas!$B$5:$B$44,$B2926)</f>
        <v/>
      </c>
      <c r="L2926" s="29">
        <f>J2926-K2926</f>
        <v/>
      </c>
      <c r="M2926" t="inlineStr">
        <is>
          <t>1.350</t>
        </is>
      </c>
      <c r="N2926" t="inlineStr">
        <is>
          <t>Modalidade: 0 - Por conta do remetente | Parte: FAMA EMBALAGEM LTDA (06.942.616/0001-68)</t>
        </is>
      </c>
      <c r="O2926" s="29" t="n">
        <v>0</v>
      </c>
      <c r="P2926" s="29" t="n">
        <v>0</v>
      </c>
      <c r="Q2926" s="29" t="n">
        <v>0</v>
      </c>
      <c r="R2926" s="29" t="n">
        <v>0</v>
      </c>
      <c r="S2926" s="29" t="n">
        <v>0</v>
      </c>
      <c r="T2926" t="inlineStr">
        <is>
          <t>25260226975620000130570010000064491000180960</t>
        </is>
      </c>
      <c r="U2926" t="inlineStr">
        <is>
          <t>Não</t>
        </is>
      </c>
    </row>
    <row r="2927">
      <c r="A2927" t="inlineStr">
        <is>
          <t>Frete de venda</t>
        </is>
      </c>
      <c r="B2927" t="inlineStr">
        <is>
          <t>2.01.02 Frete sobre Vendas</t>
        </is>
      </c>
      <c r="C2927" s="30" t="n">
        <v>46054</v>
      </c>
      <c r="D2927" t="inlineStr">
        <is>
          <t>Em 2026</t>
        </is>
      </c>
      <c r="E2927" s="28" t="n">
        <v>46080</v>
      </c>
      <c r="F2927" t="inlineStr">
        <is>
          <t>CT-e</t>
        </is>
      </c>
      <c r="G2927" t="inlineStr">
        <is>
          <t>000006450</t>
        </is>
      </c>
      <c r="H2927" t="inlineStr">
        <is>
          <t>R&amp;R TRANSPORTE E LOGISTICA</t>
        </is>
      </c>
      <c r="J2927" s="29" t="n">
        <v>56.2</v>
      </c>
      <c r="K2927" s="29">
        <f>(1-ISNUMBER(SEARCH("556",M2927)))*(O2927*SUMIFS(Premissas!$C$5:$C$44,Premissas!$A$5:$A$44,$A2927,Premissas!$B$5:$B$44,$B2927)+P2927*SUMIFS(Premissas!$D$5:$D$44,Premissas!$A$5:$A$44,$A2927,Premissas!$B$5:$B$44,$B2927))+R2927*SUMIFS(Premissas!$E$5:$E$44,Premissas!$A$5:$A$44,$A2927,Premissas!$B$5:$B$44,$B2927)+S2927*SUMIFS(Premissas!$F$5:$F$44,Premissas!$A$5:$A$44,$A2927,Premissas!$B$5:$B$44,$B2927)</f>
        <v/>
      </c>
      <c r="L2927" s="29">
        <f>J2927-K2927</f>
        <v/>
      </c>
      <c r="M2927" t="inlineStr">
        <is>
          <t>1.350</t>
        </is>
      </c>
      <c r="N2927" t="inlineStr">
        <is>
          <t>Modalidade: 0 - Por conta do remetente | Parte: SELLPACK DISTRIBUIDORA LTDA (07.747.107/0002-28)</t>
        </is>
      </c>
      <c r="O2927" s="29" t="n">
        <v>0</v>
      </c>
      <c r="P2927" s="29" t="n">
        <v>0</v>
      </c>
      <c r="Q2927" s="29" t="n">
        <v>0</v>
      </c>
      <c r="R2927" s="29" t="n">
        <v>0</v>
      </c>
      <c r="S2927" s="29" t="n">
        <v>0</v>
      </c>
      <c r="T2927" t="inlineStr">
        <is>
          <t>25260226975620000130570010000064501001501043</t>
        </is>
      </c>
      <c r="U2927" t="inlineStr">
        <is>
          <t>Não</t>
        </is>
      </c>
    </row>
    <row r="2928">
      <c r="A2928" t="inlineStr">
        <is>
          <t>Frete de venda</t>
        </is>
      </c>
      <c r="B2928" t="inlineStr">
        <is>
          <t>2.01.02 Frete sobre Vendas</t>
        </is>
      </c>
      <c r="C2928" s="30" t="n">
        <v>46054</v>
      </c>
      <c r="D2928" t="inlineStr">
        <is>
          <t>Em 2026</t>
        </is>
      </c>
      <c r="E2928" s="28" t="n">
        <v>46080</v>
      </c>
      <c r="F2928" t="inlineStr">
        <is>
          <t>CT-e</t>
        </is>
      </c>
      <c r="G2928" t="inlineStr">
        <is>
          <t>000006451</t>
        </is>
      </c>
      <c r="H2928" t="inlineStr">
        <is>
          <t>R&amp;R TRANSPORTE E LOGISTICA</t>
        </is>
      </c>
      <c r="J2928" s="29" t="n">
        <v>24.5</v>
      </c>
      <c r="K2928" s="29">
        <f>(1-ISNUMBER(SEARCH("556",M2928)))*(O2928*SUMIFS(Premissas!$C$5:$C$44,Premissas!$A$5:$A$44,$A2928,Premissas!$B$5:$B$44,$B2928)+P2928*SUMIFS(Premissas!$D$5:$D$44,Premissas!$A$5:$A$44,$A2928,Premissas!$B$5:$B$44,$B2928))+R2928*SUMIFS(Premissas!$E$5:$E$44,Premissas!$A$5:$A$44,$A2928,Premissas!$B$5:$B$44,$B2928)+S2928*SUMIFS(Premissas!$F$5:$F$44,Premissas!$A$5:$A$44,$A2928,Premissas!$B$5:$B$44,$B2928)</f>
        <v/>
      </c>
      <c r="L2928" s="29">
        <f>J2928-K2928</f>
        <v/>
      </c>
      <c r="M2928" t="inlineStr">
        <is>
          <t>1.350</t>
        </is>
      </c>
      <c r="N2928" t="inlineStr">
        <is>
          <t>Modalidade: 0 - Por conta do remetente | Parte: CARAMEL ATACADISTA LTDA (28.501.301/0001-18)</t>
        </is>
      </c>
      <c r="O2928" s="29" t="n">
        <v>0</v>
      </c>
      <c r="P2928" s="29" t="n">
        <v>0</v>
      </c>
      <c r="Q2928" s="29" t="n">
        <v>0</v>
      </c>
      <c r="R2928" s="29" t="n">
        <v>0</v>
      </c>
      <c r="S2928" s="29" t="n">
        <v>0</v>
      </c>
      <c r="T2928" t="inlineStr">
        <is>
          <t>25260226975620000130570010000064511001201128</t>
        </is>
      </c>
      <c r="U2928" t="inlineStr">
        <is>
          <t>Não</t>
        </is>
      </c>
    </row>
    <row r="2929">
      <c r="A2929" t="inlineStr">
        <is>
          <t>Frete de venda</t>
        </is>
      </c>
      <c r="B2929" t="inlineStr">
        <is>
          <t>2.01.02 Frete sobre Vendas</t>
        </is>
      </c>
      <c r="C2929" s="30" t="n">
        <v>46054</v>
      </c>
      <c r="D2929" t="inlineStr">
        <is>
          <t>Em 2026</t>
        </is>
      </c>
      <c r="E2929" s="28" t="n">
        <v>46080</v>
      </c>
      <c r="F2929" t="inlineStr">
        <is>
          <t>CT-e</t>
        </is>
      </c>
      <c r="G2929" t="inlineStr">
        <is>
          <t>000006452</t>
        </is>
      </c>
      <c r="H2929" t="inlineStr">
        <is>
          <t>R&amp;R TRANSPORTE E LOGISTICA</t>
        </is>
      </c>
      <c r="J2929" s="29" t="n">
        <v>26.91</v>
      </c>
      <c r="K2929" s="29">
        <f>(1-ISNUMBER(SEARCH("556",M2929)))*(O2929*SUMIFS(Premissas!$C$5:$C$44,Premissas!$A$5:$A$44,$A2929,Premissas!$B$5:$B$44,$B2929)+P2929*SUMIFS(Premissas!$D$5:$D$44,Premissas!$A$5:$A$44,$A2929,Premissas!$B$5:$B$44,$B2929))+R2929*SUMIFS(Premissas!$E$5:$E$44,Premissas!$A$5:$A$44,$A2929,Premissas!$B$5:$B$44,$B2929)+S2929*SUMIFS(Premissas!$F$5:$F$44,Premissas!$A$5:$A$44,$A2929,Premissas!$B$5:$B$44,$B2929)</f>
        <v/>
      </c>
      <c r="L2929" s="29">
        <f>J2929-K2929</f>
        <v/>
      </c>
      <c r="M2929" t="inlineStr">
        <is>
          <t>1.350</t>
        </is>
      </c>
      <c r="N2929" t="inlineStr">
        <is>
          <t>Modalidade: 0 - Por conta do remetente | Parte: CASTRO NAVES COMERCIO E SERVICOS DE DISTRIBUICAO S.A. (03.341.743/0001-13)</t>
        </is>
      </c>
      <c r="O2929" s="29" t="n">
        <v>0</v>
      </c>
      <c r="P2929" s="29" t="n">
        <v>0</v>
      </c>
      <c r="Q2929" s="29" t="n">
        <v>0</v>
      </c>
      <c r="R2929" s="29" t="n">
        <v>0</v>
      </c>
      <c r="S2929" s="29" t="n">
        <v>0</v>
      </c>
      <c r="T2929" t="inlineStr">
        <is>
          <t>25260226975620000130570010000064521011001200</t>
        </is>
      </c>
      <c r="U2929" t="inlineStr">
        <is>
          <t>Não</t>
        </is>
      </c>
    </row>
    <row r="2930">
      <c r="A2930" t="inlineStr">
        <is>
          <t>Frete de venda</t>
        </is>
      </c>
      <c r="B2930" t="inlineStr">
        <is>
          <t>2.01.02 Frete sobre Vendas</t>
        </is>
      </c>
      <c r="C2930" s="30" t="n">
        <v>46054</v>
      </c>
      <c r="D2930" t="inlineStr">
        <is>
          <t>Em 2026</t>
        </is>
      </c>
      <c r="E2930" s="28" t="n">
        <v>46080</v>
      </c>
      <c r="F2930" t="inlineStr">
        <is>
          <t>CT-e</t>
        </is>
      </c>
      <c r="G2930" t="inlineStr">
        <is>
          <t>000006453</t>
        </is>
      </c>
      <c r="H2930" t="inlineStr">
        <is>
          <t>R&amp;R TRANSPORTE E LOGISTICA</t>
        </is>
      </c>
      <c r="J2930" s="29" t="n">
        <v>78.81</v>
      </c>
      <c r="K2930" s="29">
        <f>(1-ISNUMBER(SEARCH("556",M2930)))*(O2930*SUMIFS(Premissas!$C$5:$C$44,Premissas!$A$5:$A$44,$A2930,Premissas!$B$5:$B$44,$B2930)+P2930*SUMIFS(Premissas!$D$5:$D$44,Premissas!$A$5:$A$44,$A2930,Premissas!$B$5:$B$44,$B2930))+R2930*SUMIFS(Premissas!$E$5:$E$44,Premissas!$A$5:$A$44,$A2930,Premissas!$B$5:$B$44,$B2930)+S2930*SUMIFS(Premissas!$F$5:$F$44,Premissas!$A$5:$A$44,$A2930,Premissas!$B$5:$B$44,$B2930)</f>
        <v/>
      </c>
      <c r="L2930" s="29">
        <f>J2930-K2930</f>
        <v/>
      </c>
      <c r="M2930" t="inlineStr">
        <is>
          <t>1.350</t>
        </is>
      </c>
      <c r="N2930" t="inlineStr">
        <is>
          <t>Modalidade: 0 - Por conta do remetente | Parte: RODRIGUES e DIAS COMERCIO DE HORTIFRUTI GRANJEIROS LTDA (09.143.905/0001-95)</t>
        </is>
      </c>
      <c r="O2930" s="29" t="n">
        <v>0</v>
      </c>
      <c r="P2930" s="29" t="n">
        <v>0</v>
      </c>
      <c r="Q2930" s="29" t="n">
        <v>0</v>
      </c>
      <c r="R2930" s="29" t="n">
        <v>0</v>
      </c>
      <c r="S2930" s="29" t="n">
        <v>0</v>
      </c>
      <c r="T2930" t="inlineStr">
        <is>
          <t>25260226975620000130570010000064531001701281</t>
        </is>
      </c>
      <c r="U2930" t="inlineStr">
        <is>
          <t>Não</t>
        </is>
      </c>
    </row>
    <row r="2931">
      <c r="A2931" t="inlineStr">
        <is>
          <t>Frete de venda</t>
        </is>
      </c>
      <c r="B2931" t="inlineStr">
        <is>
          <t>2.01.02 Frete sobre Vendas</t>
        </is>
      </c>
      <c r="C2931" s="30" t="n">
        <v>46054</v>
      </c>
      <c r="D2931" t="inlineStr">
        <is>
          <t>Em 2026</t>
        </is>
      </c>
      <c r="E2931" s="28" t="n">
        <v>46080</v>
      </c>
      <c r="F2931" t="inlineStr">
        <is>
          <t>CT-e</t>
        </is>
      </c>
      <c r="G2931" t="inlineStr">
        <is>
          <t>000006454</t>
        </is>
      </c>
      <c r="H2931" t="inlineStr">
        <is>
          <t>R&amp;R TRANSPORTE E LOGISTICA</t>
        </is>
      </c>
      <c r="J2931" s="29" t="n">
        <v>23.33</v>
      </c>
      <c r="K2931" s="29">
        <f>(1-ISNUMBER(SEARCH("556",M2931)))*(O2931*SUMIFS(Premissas!$C$5:$C$44,Premissas!$A$5:$A$44,$A2931,Premissas!$B$5:$B$44,$B2931)+P2931*SUMIFS(Premissas!$D$5:$D$44,Premissas!$A$5:$A$44,$A2931,Premissas!$B$5:$B$44,$B2931))+R2931*SUMIFS(Premissas!$E$5:$E$44,Premissas!$A$5:$A$44,$A2931,Premissas!$B$5:$B$44,$B2931)+S2931*SUMIFS(Premissas!$F$5:$F$44,Premissas!$A$5:$A$44,$A2931,Premissas!$B$5:$B$44,$B2931)</f>
        <v/>
      </c>
      <c r="L2931" s="29">
        <f>J2931-K2931</f>
        <v/>
      </c>
      <c r="M2931" t="inlineStr">
        <is>
          <t>1.350</t>
        </is>
      </c>
      <c r="N2931" t="inlineStr">
        <is>
          <t>Modalidade: 0 - Por conta do remetente | Parte: CASA DAS EMBALAGENS OLIVEIRA LTDA (09.016.431/0001-10)</t>
        </is>
      </c>
      <c r="O2931" s="29" t="n">
        <v>0</v>
      </c>
      <c r="P2931" s="29" t="n">
        <v>0</v>
      </c>
      <c r="Q2931" s="29" t="n">
        <v>0</v>
      </c>
      <c r="R2931" s="29" t="n">
        <v>0</v>
      </c>
      <c r="S2931" s="29" t="n">
        <v>0</v>
      </c>
      <c r="T2931" t="inlineStr">
        <is>
          <t>25260226975620000130570010000064541001401366</t>
        </is>
      </c>
      <c r="U2931" t="inlineStr">
        <is>
          <t>Não</t>
        </is>
      </c>
    </row>
    <row r="2932">
      <c r="A2932" t="inlineStr">
        <is>
          <t>Frete de venda</t>
        </is>
      </c>
      <c r="B2932" t="inlineStr">
        <is>
          <t>2.01.02 Frete sobre Vendas</t>
        </is>
      </c>
      <c r="C2932" s="30" t="n">
        <v>46054</v>
      </c>
      <c r="D2932" t="inlineStr">
        <is>
          <t>Em 2026</t>
        </is>
      </c>
      <c r="E2932" s="28" t="n">
        <v>46080</v>
      </c>
      <c r="F2932" t="inlineStr">
        <is>
          <t>CT-e</t>
        </is>
      </c>
      <c r="G2932" t="inlineStr">
        <is>
          <t>000006455</t>
        </is>
      </c>
      <c r="H2932" t="inlineStr">
        <is>
          <t>R&amp;R TRANSPORTE E LOGISTICA</t>
        </is>
      </c>
      <c r="J2932" s="29" t="n">
        <v>25.21</v>
      </c>
      <c r="K2932" s="29">
        <f>(1-ISNUMBER(SEARCH("556",M2932)))*(O2932*SUMIFS(Premissas!$C$5:$C$44,Premissas!$A$5:$A$44,$A2932,Premissas!$B$5:$B$44,$B2932)+P2932*SUMIFS(Premissas!$D$5:$D$44,Premissas!$A$5:$A$44,$A2932,Premissas!$B$5:$B$44,$B2932))+R2932*SUMIFS(Premissas!$E$5:$E$44,Premissas!$A$5:$A$44,$A2932,Premissas!$B$5:$B$44,$B2932)+S2932*SUMIFS(Premissas!$F$5:$F$44,Premissas!$A$5:$A$44,$A2932,Premissas!$B$5:$B$44,$B2932)</f>
        <v/>
      </c>
      <c r="L2932" s="29">
        <f>J2932-K2932</f>
        <v/>
      </c>
      <c r="M2932" t="inlineStr">
        <is>
          <t>1.350</t>
        </is>
      </c>
      <c r="N2932" t="inlineStr">
        <is>
          <t>Modalidade: 0 - Por conta do remetente | Parte: LIDERPACK EMBALAGENS LTDA (46.994.972/0001-40)</t>
        </is>
      </c>
      <c r="O2932" s="29" t="n">
        <v>0</v>
      </c>
      <c r="P2932" s="29" t="n">
        <v>0</v>
      </c>
      <c r="Q2932" s="29" t="n">
        <v>0</v>
      </c>
      <c r="R2932" s="29" t="n">
        <v>0</v>
      </c>
      <c r="S2932" s="29" t="n">
        <v>0</v>
      </c>
      <c r="T2932" t="inlineStr">
        <is>
          <t>25260226975620000130570010000064551001101440</t>
        </is>
      </c>
      <c r="U2932" t="inlineStr">
        <is>
          <t>Não</t>
        </is>
      </c>
    </row>
    <row r="2933">
      <c r="A2933" t="inlineStr">
        <is>
          <t>Frete de venda</t>
        </is>
      </c>
      <c r="B2933" t="inlineStr">
        <is>
          <t>2.01.02 Frete sobre Vendas</t>
        </is>
      </c>
      <c r="C2933" s="30" t="n">
        <v>46054</v>
      </c>
      <c r="D2933" t="inlineStr">
        <is>
          <t>Em 2026</t>
        </is>
      </c>
      <c r="E2933" s="28" t="n">
        <v>46080</v>
      </c>
      <c r="F2933" t="inlineStr">
        <is>
          <t>CT-e</t>
        </is>
      </c>
      <c r="G2933" t="inlineStr">
        <is>
          <t>000006456</t>
        </is>
      </c>
      <c r="H2933" t="inlineStr">
        <is>
          <t>R&amp;R TRANSPORTE E LOGISTICA</t>
        </is>
      </c>
      <c r="J2933" s="29" t="n">
        <v>25.02</v>
      </c>
      <c r="K2933" s="29">
        <f>(1-ISNUMBER(SEARCH("556",M2933)))*(O2933*SUMIFS(Premissas!$C$5:$C$44,Premissas!$A$5:$A$44,$A2933,Premissas!$B$5:$B$44,$B2933)+P2933*SUMIFS(Premissas!$D$5:$D$44,Premissas!$A$5:$A$44,$A2933,Premissas!$B$5:$B$44,$B2933))+R2933*SUMIFS(Premissas!$E$5:$E$44,Premissas!$A$5:$A$44,$A2933,Premissas!$B$5:$B$44,$B2933)+S2933*SUMIFS(Premissas!$F$5:$F$44,Premissas!$A$5:$A$44,$A2933,Premissas!$B$5:$B$44,$B2933)</f>
        <v/>
      </c>
      <c r="L2933" s="29">
        <f>J2933-K2933</f>
        <v/>
      </c>
      <c r="M2933" t="inlineStr">
        <is>
          <t>1.350</t>
        </is>
      </c>
      <c r="N2933" t="inlineStr">
        <is>
          <t>Modalidade: 0 - Por conta do remetente | Parte: LD DISTRIBUIDORA DE EMBALAGENS LTDA (54.582.388/0001-05)</t>
        </is>
      </c>
      <c r="O2933" s="29" t="n">
        <v>0</v>
      </c>
      <c r="P2933" s="29" t="n">
        <v>0</v>
      </c>
      <c r="Q2933" s="29" t="n">
        <v>0</v>
      </c>
      <c r="R2933" s="29" t="n">
        <v>0</v>
      </c>
      <c r="S2933" s="29" t="n">
        <v>0</v>
      </c>
      <c r="T2933" t="inlineStr">
        <is>
          <t>25260226975620000130570010000064561001901525</t>
        </is>
      </c>
      <c r="U2933" t="inlineStr">
        <is>
          <t>Não</t>
        </is>
      </c>
    </row>
    <row r="2934">
      <c r="A2934" t="inlineStr">
        <is>
          <t>Frete de venda</t>
        </is>
      </c>
      <c r="B2934" t="inlineStr">
        <is>
          <t>2.01.02 Frete sobre Vendas</t>
        </is>
      </c>
      <c r="C2934" s="30" t="n">
        <v>46054</v>
      </c>
      <c r="D2934" t="inlineStr">
        <is>
          <t>Em 2026</t>
        </is>
      </c>
      <c r="E2934" s="28" t="n">
        <v>46080</v>
      </c>
      <c r="F2934" t="inlineStr">
        <is>
          <t>CT-e</t>
        </is>
      </c>
      <c r="G2934" t="inlineStr">
        <is>
          <t>000006457</t>
        </is>
      </c>
      <c r="H2934" t="inlineStr">
        <is>
          <t>R&amp;R TRANSPORTE E LOGISTICA</t>
        </is>
      </c>
      <c r="J2934" s="29" t="n">
        <v>20.74</v>
      </c>
      <c r="K2934" s="29">
        <f>(1-ISNUMBER(SEARCH("556",M2934)))*(O2934*SUMIFS(Premissas!$C$5:$C$44,Premissas!$A$5:$A$44,$A2934,Premissas!$B$5:$B$44,$B2934)+P2934*SUMIFS(Premissas!$D$5:$D$44,Premissas!$A$5:$A$44,$A2934,Premissas!$B$5:$B$44,$B2934))+R2934*SUMIFS(Premissas!$E$5:$E$44,Premissas!$A$5:$A$44,$A2934,Premissas!$B$5:$B$44,$B2934)+S2934*SUMIFS(Premissas!$F$5:$F$44,Premissas!$A$5:$A$44,$A2934,Premissas!$B$5:$B$44,$B2934)</f>
        <v/>
      </c>
      <c r="L2934" s="29">
        <f>J2934-K2934</f>
        <v/>
      </c>
      <c r="M2934" t="inlineStr">
        <is>
          <t>1.350</t>
        </is>
      </c>
      <c r="N2934" t="inlineStr">
        <is>
          <t>Modalidade: 0 - Por conta do remetente | Parte: MEGA FRIOS DE FRUTAL LTDA (08.357.829/0001-58)</t>
        </is>
      </c>
      <c r="O2934" s="29" t="n">
        <v>0</v>
      </c>
      <c r="P2934" s="29" t="n">
        <v>0</v>
      </c>
      <c r="Q2934" s="29" t="n">
        <v>0</v>
      </c>
      <c r="R2934" s="29" t="n">
        <v>0</v>
      </c>
      <c r="S2934" s="29" t="n">
        <v>0</v>
      </c>
      <c r="T2934" t="inlineStr">
        <is>
          <t>25260226975620000130570010000064571001601600</t>
        </is>
      </c>
      <c r="U2934" t="inlineStr">
        <is>
          <t>Não</t>
        </is>
      </c>
    </row>
    <row r="2935">
      <c r="A2935" t="inlineStr">
        <is>
          <t>Frete de venda</t>
        </is>
      </c>
      <c r="B2935" t="inlineStr">
        <is>
          <t>2.01.02 Frete sobre Vendas</t>
        </is>
      </c>
      <c r="C2935" s="30" t="n">
        <v>46054</v>
      </c>
      <c r="D2935" t="inlineStr">
        <is>
          <t>Em 2026</t>
        </is>
      </c>
      <c r="E2935" s="28" t="n">
        <v>46080</v>
      </c>
      <c r="F2935" t="inlineStr">
        <is>
          <t>CT-e</t>
        </is>
      </c>
      <c r="G2935" t="inlineStr">
        <is>
          <t>000006458</t>
        </is>
      </c>
      <c r="H2935" t="inlineStr">
        <is>
          <t>R&amp;R TRANSPORTE E LOGISTICA</t>
        </is>
      </c>
      <c r="J2935" s="29" t="n">
        <v>43.89</v>
      </c>
      <c r="K2935" s="29">
        <f>(1-ISNUMBER(SEARCH("556",M2935)))*(O2935*SUMIFS(Premissas!$C$5:$C$44,Premissas!$A$5:$A$44,$A2935,Premissas!$B$5:$B$44,$B2935)+P2935*SUMIFS(Premissas!$D$5:$D$44,Premissas!$A$5:$A$44,$A2935,Premissas!$B$5:$B$44,$B2935))+R2935*SUMIFS(Premissas!$E$5:$E$44,Premissas!$A$5:$A$44,$A2935,Premissas!$B$5:$B$44,$B2935)+S2935*SUMIFS(Premissas!$F$5:$F$44,Premissas!$A$5:$A$44,$A2935,Premissas!$B$5:$B$44,$B2935)</f>
        <v/>
      </c>
      <c r="L2935" s="29">
        <f>J2935-K2935</f>
        <v/>
      </c>
      <c r="M2935" t="inlineStr">
        <is>
          <t>1.350</t>
        </is>
      </c>
      <c r="N2935" t="inlineStr">
        <is>
          <t>Modalidade: 0 - Por conta do remetente | Parte: COMERCIAL DE UTILIDADES MULT MATOS LTDA (35.027.191/0001-60)</t>
        </is>
      </c>
      <c r="O2935" s="29" t="n">
        <v>0</v>
      </c>
      <c r="P2935" s="29" t="n">
        <v>0</v>
      </c>
      <c r="Q2935" s="29" t="n">
        <v>0</v>
      </c>
      <c r="R2935" s="29" t="n">
        <v>0</v>
      </c>
      <c r="S2935" s="29" t="n">
        <v>0</v>
      </c>
      <c r="T2935" t="inlineStr">
        <is>
          <t>25260226975620000130570010000064581001301689</t>
        </is>
      </c>
      <c r="U2935" t="inlineStr">
        <is>
          <t>Não</t>
        </is>
      </c>
    </row>
    <row r="2936">
      <c r="A2936" t="inlineStr">
        <is>
          <t>Frete de venda</t>
        </is>
      </c>
      <c r="B2936" t="inlineStr">
        <is>
          <t>2.01.02 Frete sobre Vendas</t>
        </is>
      </c>
      <c r="C2936" s="30" t="n">
        <v>46054</v>
      </c>
      <c r="D2936" t="inlineStr">
        <is>
          <t>Em 2026</t>
        </is>
      </c>
      <c r="E2936" s="28" t="n">
        <v>46079</v>
      </c>
      <c r="F2936" t="inlineStr">
        <is>
          <t>CT-e</t>
        </is>
      </c>
      <c r="G2936" t="inlineStr">
        <is>
          <t>000002926</t>
        </is>
      </c>
      <c r="H2936" t="inlineStr">
        <is>
          <t>RAPIDO XAPURI TRANSPORTES E LOGISTICA LTDA</t>
        </is>
      </c>
      <c r="J2936" s="29" t="n">
        <v>499.1</v>
      </c>
      <c r="K2936" s="29">
        <f>(1-ISNUMBER(SEARCH("556",M2936)))*(O2936*SUMIFS(Premissas!$C$5:$C$44,Premissas!$A$5:$A$44,$A2936,Premissas!$B$5:$B$44,$B2936)+P2936*SUMIFS(Premissas!$D$5:$D$44,Premissas!$A$5:$A$44,$A2936,Premissas!$B$5:$B$44,$B2936))+R2936*SUMIFS(Premissas!$E$5:$E$44,Premissas!$A$5:$A$44,$A2936,Premissas!$B$5:$B$44,$B2936)+S2936*SUMIFS(Premissas!$F$5:$F$44,Premissas!$A$5:$A$44,$A2936,Premissas!$B$5:$B$44,$B2936)</f>
        <v/>
      </c>
      <c r="L2936" s="29">
        <f>J2936-K2936</f>
        <v/>
      </c>
      <c r="M2936" t="inlineStr">
        <is>
          <t>1.350</t>
        </is>
      </c>
      <c r="N2936" t="inlineStr">
        <is>
          <t>Modalidade: 0 - Por conta do remetente | Parte: MERCANTIL DANTAS LTDA (03.581.785/0001-21)</t>
        </is>
      </c>
      <c r="O2936" s="29" t="n">
        <v>0</v>
      </c>
      <c r="P2936" s="29" t="n">
        <v>59.89</v>
      </c>
      <c r="Q2936" s="29" t="n">
        <v>0</v>
      </c>
      <c r="R2936" s="29" t="n">
        <v>0</v>
      </c>
      <c r="S2936" s="29" t="n">
        <v>0</v>
      </c>
      <c r="T2936" t="inlineStr">
        <is>
          <t>52260227775231000557570010000029261000564166</t>
        </is>
      </c>
      <c r="U2936" t="inlineStr">
        <is>
          <t>Sim</t>
        </is>
      </c>
    </row>
    <row r="2937">
      <c r="A2937" t="inlineStr">
        <is>
          <t>Frete de venda</t>
        </is>
      </c>
      <c r="B2937" t="inlineStr">
        <is>
          <t>2.01.02 Frete sobre Vendas</t>
        </is>
      </c>
      <c r="C2937" s="30" t="n">
        <v>46054</v>
      </c>
      <c r="D2937" t="inlineStr">
        <is>
          <t>Em 2026</t>
        </is>
      </c>
      <c r="E2937" s="28" t="n">
        <v>46079</v>
      </c>
      <c r="F2937" t="inlineStr">
        <is>
          <t>CT-e</t>
        </is>
      </c>
      <c r="G2937" t="inlineStr">
        <is>
          <t>000002927</t>
        </is>
      </c>
      <c r="H2937" t="inlineStr">
        <is>
          <t>RAPIDO XAPURI TRANSPORTES E LOGISTICA LTDA</t>
        </is>
      </c>
      <c r="J2937" s="29" t="n">
        <v>1402.75</v>
      </c>
      <c r="K2937" s="29">
        <f>(1-ISNUMBER(SEARCH("556",M2937)))*(O2937*SUMIFS(Premissas!$C$5:$C$44,Premissas!$A$5:$A$44,$A2937,Premissas!$B$5:$B$44,$B2937)+P2937*SUMIFS(Premissas!$D$5:$D$44,Premissas!$A$5:$A$44,$A2937,Premissas!$B$5:$B$44,$B2937))+R2937*SUMIFS(Premissas!$E$5:$E$44,Premissas!$A$5:$A$44,$A2937,Premissas!$B$5:$B$44,$B2937)+S2937*SUMIFS(Premissas!$F$5:$F$44,Premissas!$A$5:$A$44,$A2937,Premissas!$B$5:$B$44,$B2937)</f>
        <v/>
      </c>
      <c r="L2937" s="29">
        <f>J2937-K2937</f>
        <v/>
      </c>
      <c r="M2937" t="inlineStr">
        <is>
          <t>1.350</t>
        </is>
      </c>
      <c r="N2937" t="inlineStr">
        <is>
          <t>Modalidade: 0 - Por conta do remetente | Parte: A. C. D. A. IMPORTACAO E EXPORTACAO LTDA (84.308.980/0014-07)</t>
        </is>
      </c>
      <c r="O2937" s="29" t="n">
        <v>0</v>
      </c>
      <c r="P2937" s="29" t="n">
        <v>168.33</v>
      </c>
      <c r="Q2937" s="29" t="n">
        <v>0</v>
      </c>
      <c r="R2937" s="29" t="n">
        <v>0</v>
      </c>
      <c r="S2937" s="29" t="n">
        <v>0</v>
      </c>
      <c r="T2937" t="inlineStr">
        <is>
          <t>52260227775231000557570010000029271000564171</t>
        </is>
      </c>
      <c r="U2937" t="inlineStr">
        <is>
          <t>Sim</t>
        </is>
      </c>
    </row>
    <row r="2938">
      <c r="A2938" t="inlineStr">
        <is>
          <t>Frete de venda</t>
        </is>
      </c>
      <c r="B2938" t="inlineStr">
        <is>
          <t>2.01.02 Frete sobre Vendas</t>
        </is>
      </c>
      <c r="C2938" s="30" t="n">
        <v>46054</v>
      </c>
      <c r="D2938" t="inlineStr">
        <is>
          <t>Em 2026</t>
        </is>
      </c>
      <c r="E2938" s="28" t="n">
        <v>46080</v>
      </c>
      <c r="F2938" t="inlineStr">
        <is>
          <t>CT-e</t>
        </is>
      </c>
      <c r="G2938" t="inlineStr">
        <is>
          <t>000000623</t>
        </is>
      </c>
      <c r="H2938" t="inlineStr">
        <is>
          <t>REIMAG - REINALDO DOMINGUES BARROS DA SILVA</t>
        </is>
      </c>
      <c r="J2938" s="29" t="n">
        <v>375</v>
      </c>
      <c r="K2938" s="29">
        <f>(1-ISNUMBER(SEARCH("556",M2938)))*(O2938*SUMIFS(Premissas!$C$5:$C$44,Premissas!$A$5:$A$44,$A2938,Premissas!$B$5:$B$44,$B2938)+P2938*SUMIFS(Premissas!$D$5:$D$44,Premissas!$A$5:$A$44,$A2938,Premissas!$B$5:$B$44,$B2938))+R2938*SUMIFS(Premissas!$E$5:$E$44,Premissas!$A$5:$A$44,$A2938,Premissas!$B$5:$B$44,$B2938)+S2938*SUMIFS(Premissas!$F$5:$F$44,Premissas!$A$5:$A$44,$A2938,Premissas!$B$5:$B$44,$B2938)</f>
        <v/>
      </c>
      <c r="L2938" s="29">
        <f>J2938-K2938</f>
        <v/>
      </c>
      <c r="M2938" t="inlineStr">
        <is>
          <t>1.350</t>
        </is>
      </c>
      <c r="N2938" t="inlineStr">
        <is>
          <t>Modalidade: 0 - Por conta do remetente | Parte: VILA COMERCIO DE FRIOS LTDA (33.787.186/0002-00)</t>
        </is>
      </c>
      <c r="O2938" s="29" t="n">
        <v>0</v>
      </c>
      <c r="P2938" s="29" t="n">
        <v>0</v>
      </c>
      <c r="Q2938" s="29" t="n">
        <v>0</v>
      </c>
      <c r="R2938" s="29" t="n">
        <v>0</v>
      </c>
      <c r="S2938" s="29" t="n">
        <v>0</v>
      </c>
      <c r="T2938" t="inlineStr">
        <is>
          <t>25260239962724000151570010000006231325794925</t>
        </is>
      </c>
      <c r="U2938" t="inlineStr">
        <is>
          <t>Sim</t>
        </is>
      </c>
    </row>
    <row r="2939">
      <c r="A2939" t="inlineStr">
        <is>
          <t>Frete de venda</t>
        </is>
      </c>
      <c r="B2939" t="inlineStr">
        <is>
          <t>2.01.02 Frete sobre Vendas</t>
        </is>
      </c>
      <c r="C2939" s="30" t="n">
        <v>46054</v>
      </c>
      <c r="D2939" t="inlineStr">
        <is>
          <t>Em 2026</t>
        </is>
      </c>
      <c r="E2939" s="28" t="n">
        <v>46080</v>
      </c>
      <c r="F2939" t="inlineStr">
        <is>
          <t>CT-e</t>
        </is>
      </c>
      <c r="G2939" t="inlineStr">
        <is>
          <t>000000624</t>
        </is>
      </c>
      <c r="H2939" t="inlineStr">
        <is>
          <t>REIMAG - REINALDO DOMINGUES BARROS DA SILVA</t>
        </is>
      </c>
      <c r="J2939" s="29" t="n">
        <v>375</v>
      </c>
      <c r="K2939" s="29">
        <f>(1-ISNUMBER(SEARCH("556",M2939)))*(O2939*SUMIFS(Premissas!$C$5:$C$44,Premissas!$A$5:$A$44,$A2939,Premissas!$B$5:$B$44,$B2939)+P2939*SUMIFS(Premissas!$D$5:$D$44,Premissas!$A$5:$A$44,$A2939,Premissas!$B$5:$B$44,$B2939))+R2939*SUMIFS(Premissas!$E$5:$E$44,Premissas!$A$5:$A$44,$A2939,Premissas!$B$5:$B$44,$B2939)+S2939*SUMIFS(Premissas!$F$5:$F$44,Premissas!$A$5:$A$44,$A2939,Premissas!$B$5:$B$44,$B2939)</f>
        <v/>
      </c>
      <c r="L2939" s="29">
        <f>J2939-K2939</f>
        <v/>
      </c>
      <c r="M2939" t="inlineStr">
        <is>
          <t>1.350</t>
        </is>
      </c>
      <c r="N2939" t="inlineStr">
        <is>
          <t>Modalidade: 0 - Por conta do remetente | Parte: DML DISTRIBUIDORA DE ALIMENTOS E EMBALAGENS LTDA (07.412.776/0001-68)</t>
        </is>
      </c>
      <c r="O2939" s="29" t="n">
        <v>0</v>
      </c>
      <c r="P2939" s="29" t="n">
        <v>0</v>
      </c>
      <c r="Q2939" s="29" t="n">
        <v>0</v>
      </c>
      <c r="R2939" s="29" t="n">
        <v>0</v>
      </c>
      <c r="S2939" s="29" t="n">
        <v>0</v>
      </c>
      <c r="T2939" t="inlineStr">
        <is>
          <t>25260239962724000151570010000006241866854333</t>
        </is>
      </c>
      <c r="U2939" t="inlineStr">
        <is>
          <t>Sim</t>
        </is>
      </c>
    </row>
    <row r="2940">
      <c r="A2940" t="inlineStr">
        <is>
          <t>Frete de venda</t>
        </is>
      </c>
      <c r="B2940" t="inlineStr">
        <is>
          <t>2.01.02 Frete sobre Vendas</t>
        </is>
      </c>
      <c r="C2940" s="30" t="n">
        <v>46054</v>
      </c>
      <c r="D2940" t="inlineStr">
        <is>
          <t>Em 2026</t>
        </is>
      </c>
      <c r="E2940" s="28" t="n">
        <v>46080</v>
      </c>
      <c r="F2940" t="inlineStr">
        <is>
          <t>CT-e</t>
        </is>
      </c>
      <c r="G2940" t="inlineStr">
        <is>
          <t>000000625</t>
        </is>
      </c>
      <c r="H2940" t="inlineStr">
        <is>
          <t>REIMAG - REINALDO DOMINGUES BARROS DA SILVA</t>
        </is>
      </c>
      <c r="J2940" s="29" t="n">
        <v>750</v>
      </c>
      <c r="K2940" s="29">
        <f>(1-ISNUMBER(SEARCH("556",M2940)))*(O2940*SUMIFS(Premissas!$C$5:$C$44,Premissas!$A$5:$A$44,$A2940,Premissas!$B$5:$B$44,$B2940)+P2940*SUMIFS(Premissas!$D$5:$D$44,Premissas!$A$5:$A$44,$A2940,Premissas!$B$5:$B$44,$B2940))+R2940*SUMIFS(Premissas!$E$5:$E$44,Premissas!$A$5:$A$44,$A2940,Premissas!$B$5:$B$44,$B2940)+S2940*SUMIFS(Premissas!$F$5:$F$44,Premissas!$A$5:$A$44,$A2940,Premissas!$B$5:$B$44,$B2940)</f>
        <v/>
      </c>
      <c r="L2940" s="29">
        <f>J2940-K2940</f>
        <v/>
      </c>
      <c r="M2940" t="inlineStr">
        <is>
          <t>1.350</t>
        </is>
      </c>
      <c r="N2940" t="inlineStr">
        <is>
          <t>Modalidade: 0 - Por conta do remetente | Parte: CLOVES BEZERRA DE ARAUJO (010.366.654-02)</t>
        </is>
      </c>
      <c r="O2940" s="29" t="n">
        <v>0</v>
      </c>
      <c r="P2940" s="29" t="n">
        <v>0</v>
      </c>
      <c r="Q2940" s="29" t="n">
        <v>0</v>
      </c>
      <c r="R2940" s="29" t="n">
        <v>0</v>
      </c>
      <c r="S2940" s="29" t="n">
        <v>0</v>
      </c>
      <c r="T2940" t="inlineStr">
        <is>
          <t>25260239962724000151570010000006251089714670</t>
        </is>
      </c>
      <c r="U2940" t="inlineStr">
        <is>
          <t>Sim</t>
        </is>
      </c>
    </row>
    <row r="2941">
      <c r="A2941" t="inlineStr">
        <is>
          <t>Frete de venda</t>
        </is>
      </c>
      <c r="B2941" t="inlineStr">
        <is>
          <t>2.01.02 Frete sobre Vendas</t>
        </is>
      </c>
      <c r="C2941" s="30" t="n">
        <v>46054</v>
      </c>
      <c r="D2941" t="inlineStr">
        <is>
          <t>Em 2026</t>
        </is>
      </c>
      <c r="E2941" s="28" t="n">
        <v>46080</v>
      </c>
      <c r="F2941" t="inlineStr">
        <is>
          <t>CT-e</t>
        </is>
      </c>
      <c r="G2941" t="inlineStr">
        <is>
          <t>000023993</t>
        </is>
      </c>
      <c r="H2941" t="inlineStr">
        <is>
          <t>TRANSPORTE OLIVEIRA E MELLOI - IDEALIZA TRANSPORTES</t>
        </is>
      </c>
      <c r="J2941" s="29" t="n">
        <v>1024.45</v>
      </c>
      <c r="K2941" s="29">
        <f>(1-ISNUMBER(SEARCH("556",M2941)))*(O2941*SUMIFS(Premissas!$C$5:$C$44,Premissas!$A$5:$A$44,$A2941,Premissas!$B$5:$B$44,$B2941)+P2941*SUMIFS(Premissas!$D$5:$D$44,Premissas!$A$5:$A$44,$A2941,Premissas!$B$5:$B$44,$B2941))+R2941*SUMIFS(Premissas!$E$5:$E$44,Premissas!$A$5:$A$44,$A2941,Premissas!$B$5:$B$44,$B2941)+S2941*SUMIFS(Premissas!$F$5:$F$44,Premissas!$A$5:$A$44,$A2941,Premissas!$B$5:$B$44,$B2941)</f>
        <v/>
      </c>
      <c r="L2941" s="29">
        <f>J2941-K2941</f>
        <v/>
      </c>
      <c r="M2941" t="inlineStr">
        <is>
          <t>1.350</t>
        </is>
      </c>
      <c r="N2941" t="inlineStr">
        <is>
          <t>Modalidade: 0 - Por conta do remetente | Parte: J. S. DA SILVA LTDA (00.393.164/0001-26)</t>
        </is>
      </c>
      <c r="O2941" s="29" t="n">
        <v>0</v>
      </c>
      <c r="P2941" s="29" t="n">
        <v>122.93</v>
      </c>
      <c r="Q2941" s="29" t="n">
        <v>0</v>
      </c>
      <c r="R2941" s="29" t="n">
        <v>0</v>
      </c>
      <c r="S2941" s="29" t="n">
        <v>0</v>
      </c>
      <c r="T2941" t="inlineStr">
        <is>
          <t>15260220175042000170570010000239931000047333</t>
        </is>
      </c>
      <c r="U2941" t="inlineStr">
        <is>
          <t>Sim</t>
        </is>
      </c>
    </row>
    <row r="2942">
      <c r="A2942" t="inlineStr">
        <is>
          <t>Frete de venda</t>
        </is>
      </c>
      <c r="B2942" t="inlineStr">
        <is>
          <t>2.01.02 Frete sobre Vendas</t>
        </is>
      </c>
      <c r="C2942" s="30" t="n">
        <v>46054</v>
      </c>
      <c r="D2942" t="inlineStr">
        <is>
          <t>Em 2026</t>
        </is>
      </c>
      <c r="E2942" s="28" t="n">
        <v>46080</v>
      </c>
      <c r="F2942" t="inlineStr">
        <is>
          <t>CT-e</t>
        </is>
      </c>
      <c r="G2942" t="inlineStr">
        <is>
          <t>000023994</t>
        </is>
      </c>
      <c r="H2942" t="inlineStr">
        <is>
          <t>TRANSPORTE OLIVEIRA E MELLOI - IDEALIZA TRANSPORTES</t>
        </is>
      </c>
      <c r="J2942" s="29" t="n">
        <v>973.55</v>
      </c>
      <c r="K2942" s="29">
        <f>(1-ISNUMBER(SEARCH("556",M2942)))*(O2942*SUMIFS(Premissas!$C$5:$C$44,Premissas!$A$5:$A$44,$A2942,Premissas!$B$5:$B$44,$B2942)+P2942*SUMIFS(Premissas!$D$5:$D$44,Premissas!$A$5:$A$44,$A2942,Premissas!$B$5:$B$44,$B2942))+R2942*SUMIFS(Premissas!$E$5:$E$44,Premissas!$A$5:$A$44,$A2942,Premissas!$B$5:$B$44,$B2942)+S2942*SUMIFS(Premissas!$F$5:$F$44,Premissas!$A$5:$A$44,$A2942,Premissas!$B$5:$B$44,$B2942)</f>
        <v/>
      </c>
      <c r="L2942" s="29">
        <f>J2942-K2942</f>
        <v/>
      </c>
      <c r="M2942" t="inlineStr">
        <is>
          <t>1.350</t>
        </is>
      </c>
      <c r="N2942" t="inlineStr">
        <is>
          <t>Modalidade: 0 - Por conta do remetente | Parte: R A DOS SANTOS BARBOSA LTDA (02.444.236/0001-42)</t>
        </is>
      </c>
      <c r="O2942" s="29" t="n">
        <v>0</v>
      </c>
      <c r="P2942" s="29" t="n">
        <v>116.83</v>
      </c>
      <c r="Q2942" s="29" t="n">
        <v>0</v>
      </c>
      <c r="R2942" s="29" t="n">
        <v>0</v>
      </c>
      <c r="S2942" s="29" t="n">
        <v>0</v>
      </c>
      <c r="T2942" t="inlineStr">
        <is>
          <t>15260220175042000170570010000239941000047349</t>
        </is>
      </c>
      <c r="U2942" t="inlineStr">
        <is>
          <t>Sim</t>
        </is>
      </c>
    </row>
    <row r="2943">
      <c r="A2943" t="inlineStr">
        <is>
          <t>Frete de venda</t>
        </is>
      </c>
      <c r="B2943" t="inlineStr">
        <is>
          <t>2.01.02 Frete sobre Vendas</t>
        </is>
      </c>
      <c r="C2943" s="30" t="n">
        <v>46054</v>
      </c>
      <c r="D2943" t="inlineStr">
        <is>
          <t>Em 2026</t>
        </is>
      </c>
      <c r="E2943" s="28" t="n">
        <v>46080</v>
      </c>
      <c r="F2943" t="inlineStr">
        <is>
          <t>CT-e</t>
        </is>
      </c>
      <c r="G2943" t="inlineStr">
        <is>
          <t>000023995</t>
        </is>
      </c>
      <c r="H2943" t="inlineStr">
        <is>
          <t>TRANSPORTE OLIVEIRA E MELLOI - IDEALIZA TRANSPORTES</t>
        </is>
      </c>
      <c r="J2943" s="29" t="n">
        <v>363.93</v>
      </c>
      <c r="K2943" s="29">
        <f>(1-ISNUMBER(SEARCH("556",M2943)))*(O2943*SUMIFS(Premissas!$C$5:$C$44,Premissas!$A$5:$A$44,$A2943,Premissas!$B$5:$B$44,$B2943)+P2943*SUMIFS(Premissas!$D$5:$D$44,Premissas!$A$5:$A$44,$A2943,Premissas!$B$5:$B$44,$B2943))+R2943*SUMIFS(Premissas!$E$5:$E$44,Premissas!$A$5:$A$44,$A2943,Premissas!$B$5:$B$44,$B2943)+S2943*SUMIFS(Premissas!$F$5:$F$44,Premissas!$A$5:$A$44,$A2943,Premissas!$B$5:$B$44,$B2943)</f>
        <v/>
      </c>
      <c r="L2943" s="29">
        <f>J2943-K2943</f>
        <v/>
      </c>
      <c r="M2943" t="inlineStr">
        <is>
          <t>1.350</t>
        </is>
      </c>
      <c r="N2943" t="inlineStr">
        <is>
          <t>Modalidade: 0 - Por conta do remetente | Parte: R. VALE DOS SANTOS LTDA (21.585.699/0001-79)</t>
        </is>
      </c>
      <c r="O2943" s="29" t="n">
        <v>0</v>
      </c>
      <c r="P2943" s="29" t="n">
        <v>43.67</v>
      </c>
      <c r="Q2943" s="29" t="n">
        <v>0</v>
      </c>
      <c r="R2943" s="29" t="n">
        <v>0</v>
      </c>
      <c r="S2943" s="29" t="n">
        <v>0</v>
      </c>
      <c r="T2943" t="inlineStr">
        <is>
          <t>15260220175042000170570010000239951000047354</t>
        </is>
      </c>
      <c r="U2943" t="inlineStr">
        <is>
          <t>Sim</t>
        </is>
      </c>
    </row>
    <row r="2944">
      <c r="A2944" t="inlineStr">
        <is>
          <t>Frete de venda</t>
        </is>
      </c>
      <c r="B2944" t="inlineStr">
        <is>
          <t>2.01.02 Frete sobre Vendas</t>
        </is>
      </c>
      <c r="C2944" s="30" t="n">
        <v>46054</v>
      </c>
      <c r="D2944" t="inlineStr">
        <is>
          <t>Em 2026</t>
        </is>
      </c>
      <c r="E2944" s="28" t="n">
        <v>46080</v>
      </c>
      <c r="F2944" t="inlineStr">
        <is>
          <t>CT-e</t>
        </is>
      </c>
      <c r="G2944" t="inlineStr">
        <is>
          <t>000023996</t>
        </is>
      </c>
      <c r="H2944" t="inlineStr">
        <is>
          <t>TRANSPORTE OLIVEIRA E MELLOI - IDEALIZA TRANSPORTES</t>
        </is>
      </c>
      <c r="J2944" s="29" t="n">
        <v>399.5</v>
      </c>
      <c r="K2944" s="29">
        <f>(1-ISNUMBER(SEARCH("556",M2944)))*(O2944*SUMIFS(Premissas!$C$5:$C$44,Premissas!$A$5:$A$44,$A2944,Premissas!$B$5:$B$44,$B2944)+P2944*SUMIFS(Premissas!$D$5:$D$44,Premissas!$A$5:$A$44,$A2944,Premissas!$B$5:$B$44,$B2944))+R2944*SUMIFS(Premissas!$E$5:$E$44,Premissas!$A$5:$A$44,$A2944,Premissas!$B$5:$B$44,$B2944)+S2944*SUMIFS(Premissas!$F$5:$F$44,Premissas!$A$5:$A$44,$A2944,Premissas!$B$5:$B$44,$B2944)</f>
        <v/>
      </c>
      <c r="L2944" s="29">
        <f>J2944-K2944</f>
        <v/>
      </c>
      <c r="M2944" t="inlineStr">
        <is>
          <t>1.350</t>
        </is>
      </c>
      <c r="N2944" t="inlineStr">
        <is>
          <t>Modalidade: 0 - Por conta do remetente | Parte: CAVALCANTE E LAGES LTDA (06.120.924/0001-08)</t>
        </is>
      </c>
      <c r="O2944" s="29" t="n">
        <v>0</v>
      </c>
      <c r="P2944" s="29" t="n">
        <v>47.94</v>
      </c>
      <c r="Q2944" s="29" t="n">
        <v>0</v>
      </c>
      <c r="R2944" s="29" t="n">
        <v>0</v>
      </c>
      <c r="S2944" s="29" t="n">
        <v>0</v>
      </c>
      <c r="T2944" t="inlineStr">
        <is>
          <t>15260220175042000170570010000239961000047360</t>
        </is>
      </c>
      <c r="U2944" t="inlineStr">
        <is>
          <t>Sim</t>
        </is>
      </c>
    </row>
    <row r="2945">
      <c r="A2945" t="inlineStr">
        <is>
          <t>Frete de venda</t>
        </is>
      </c>
      <c r="B2945" t="inlineStr">
        <is>
          <t>2.01.02 Frete sobre Vendas</t>
        </is>
      </c>
      <c r="C2945" s="30" t="n">
        <v>46054</v>
      </c>
      <c r="D2945" t="inlineStr">
        <is>
          <t>Em 2026</t>
        </is>
      </c>
      <c r="E2945" s="28" t="n">
        <v>46080</v>
      </c>
      <c r="F2945" t="inlineStr">
        <is>
          <t>CT-e</t>
        </is>
      </c>
      <c r="G2945" t="inlineStr">
        <is>
          <t>000023997</t>
        </is>
      </c>
      <c r="H2945" t="inlineStr">
        <is>
          <t>TRANSPORTE OLIVEIRA E MELLOI - IDEALIZA TRANSPORTES</t>
        </is>
      </c>
      <c r="J2945" s="29" t="n">
        <v>849.97</v>
      </c>
      <c r="K2945" s="29">
        <f>(1-ISNUMBER(SEARCH("556",M2945)))*(O2945*SUMIFS(Premissas!$C$5:$C$44,Premissas!$A$5:$A$44,$A2945,Premissas!$B$5:$B$44,$B2945)+P2945*SUMIFS(Premissas!$D$5:$D$44,Premissas!$A$5:$A$44,$A2945,Premissas!$B$5:$B$44,$B2945))+R2945*SUMIFS(Premissas!$E$5:$E$44,Premissas!$A$5:$A$44,$A2945,Premissas!$B$5:$B$44,$B2945)+S2945*SUMIFS(Premissas!$F$5:$F$44,Premissas!$A$5:$A$44,$A2945,Premissas!$B$5:$B$44,$B2945)</f>
        <v/>
      </c>
      <c r="L2945" s="29">
        <f>J2945-K2945</f>
        <v/>
      </c>
      <c r="M2945" t="inlineStr">
        <is>
          <t>1.350</t>
        </is>
      </c>
      <c r="N2945" t="inlineStr">
        <is>
          <t>Modalidade: 0 - Por conta do remetente | Parte: PIAUI PLAST EIRELI (37.914.034/0001-00)</t>
        </is>
      </c>
      <c r="O2945" s="29" t="n">
        <v>0</v>
      </c>
      <c r="P2945" s="29" t="n">
        <v>102</v>
      </c>
      <c r="Q2945" s="29" t="n">
        <v>0</v>
      </c>
      <c r="R2945" s="29" t="n">
        <v>0</v>
      </c>
      <c r="S2945" s="29" t="n">
        <v>0</v>
      </c>
      <c r="T2945" t="inlineStr">
        <is>
          <t>15260220175042000170570010000239971000047375</t>
        </is>
      </c>
      <c r="U2945" t="inlineStr">
        <is>
          <t>Sim</t>
        </is>
      </c>
    </row>
    <row r="2946">
      <c r="A2946" t="inlineStr">
        <is>
          <t>Frete de venda</t>
        </is>
      </c>
      <c r="B2946" t="inlineStr">
        <is>
          <t>2.01.02 Frete sobre Vendas</t>
        </is>
      </c>
      <c r="C2946" s="30" t="n">
        <v>46054</v>
      </c>
      <c r="D2946" t="inlineStr">
        <is>
          <t>Em 2026</t>
        </is>
      </c>
      <c r="E2946" s="28" t="n">
        <v>46080</v>
      </c>
      <c r="F2946" t="inlineStr">
        <is>
          <t>CT-e</t>
        </is>
      </c>
      <c r="G2946" t="inlineStr">
        <is>
          <t>000023998</t>
        </is>
      </c>
      <c r="H2946" t="inlineStr">
        <is>
          <t>TRANSPORTE OLIVEIRA E MELLOI - IDEALIZA TRANSPORTES</t>
        </is>
      </c>
      <c r="J2946" s="29" t="n">
        <v>774.36</v>
      </c>
      <c r="K2946" s="29">
        <f>(1-ISNUMBER(SEARCH("556",M2946)))*(O2946*SUMIFS(Premissas!$C$5:$C$44,Premissas!$A$5:$A$44,$A2946,Premissas!$B$5:$B$44,$B2946)+P2946*SUMIFS(Premissas!$D$5:$D$44,Premissas!$A$5:$A$44,$A2946,Premissas!$B$5:$B$44,$B2946))+R2946*SUMIFS(Premissas!$E$5:$E$44,Premissas!$A$5:$A$44,$A2946,Premissas!$B$5:$B$44,$B2946)+S2946*SUMIFS(Premissas!$F$5:$F$44,Premissas!$A$5:$A$44,$A2946,Premissas!$B$5:$B$44,$B2946)</f>
        <v/>
      </c>
      <c r="L2946" s="29">
        <f>J2946-K2946</f>
        <v/>
      </c>
      <c r="M2946" t="inlineStr">
        <is>
          <t>1.350</t>
        </is>
      </c>
      <c r="N2946" t="inlineStr">
        <is>
          <t>Modalidade: 0 - Por conta do remetente | Parte: P3 DESCARTAVEIS ATACADO e VAREJO LTDA (12.040.681/0001-09)</t>
        </is>
      </c>
      <c r="O2946" s="29" t="n">
        <v>0</v>
      </c>
      <c r="P2946" s="29" t="n">
        <v>92.92</v>
      </c>
      <c r="Q2946" s="29" t="n">
        <v>0</v>
      </c>
      <c r="R2946" s="29" t="n">
        <v>0</v>
      </c>
      <c r="S2946" s="29" t="n">
        <v>0</v>
      </c>
      <c r="T2946" t="inlineStr">
        <is>
          <t>15260220175042000170570010000239981000047380</t>
        </is>
      </c>
      <c r="U2946" t="inlineStr">
        <is>
          <t>Sim</t>
        </is>
      </c>
    </row>
    <row r="2947">
      <c r="A2947" t="inlineStr">
        <is>
          <t>Frete de venda</t>
        </is>
      </c>
      <c r="B2947" t="inlineStr">
        <is>
          <t>2.01.02 Frete sobre Vendas</t>
        </is>
      </c>
      <c r="C2947" s="30" t="n">
        <v>46054</v>
      </c>
      <c r="D2947" t="inlineStr">
        <is>
          <t>Em 2026</t>
        </is>
      </c>
      <c r="E2947" s="28" t="n">
        <v>46080</v>
      </c>
      <c r="F2947" t="inlineStr">
        <is>
          <t>CT-e</t>
        </is>
      </c>
      <c r="G2947" t="inlineStr">
        <is>
          <t>000023999</t>
        </is>
      </c>
      <c r="H2947" t="inlineStr">
        <is>
          <t>TRANSPORTE OLIVEIRA E MELLOI - IDEALIZA TRANSPORTES</t>
        </is>
      </c>
      <c r="J2947" s="29" t="n">
        <v>750</v>
      </c>
      <c r="K2947" s="29">
        <f>(1-ISNUMBER(SEARCH("556",M2947)))*(O2947*SUMIFS(Premissas!$C$5:$C$44,Premissas!$A$5:$A$44,$A2947,Premissas!$B$5:$B$44,$B2947)+P2947*SUMIFS(Premissas!$D$5:$D$44,Premissas!$A$5:$A$44,$A2947,Premissas!$B$5:$B$44,$B2947))+R2947*SUMIFS(Premissas!$E$5:$E$44,Premissas!$A$5:$A$44,$A2947,Premissas!$B$5:$B$44,$B2947)+S2947*SUMIFS(Premissas!$F$5:$F$44,Premissas!$A$5:$A$44,$A2947,Premissas!$B$5:$B$44,$B2947)</f>
        <v/>
      </c>
      <c r="L2947" s="29">
        <f>J2947-K2947</f>
        <v/>
      </c>
      <c r="M2947" t="inlineStr">
        <is>
          <t>1.350</t>
        </is>
      </c>
      <c r="N2947" t="inlineStr">
        <is>
          <t>Modalidade: 0 - Por conta do remetente | Parte: IBIAPINA VARIEDADES LTDA (46.211.356/0001-75)</t>
        </is>
      </c>
      <c r="O2947" s="29" t="n">
        <v>0</v>
      </c>
      <c r="P2947" s="29" t="n">
        <v>90</v>
      </c>
      <c r="Q2947" s="29" t="n">
        <v>0</v>
      </c>
      <c r="R2947" s="29" t="n">
        <v>0</v>
      </c>
      <c r="S2947" s="29" t="n">
        <v>0</v>
      </c>
      <c r="T2947" t="inlineStr">
        <is>
          <t>15260220175042000170570010000239991000047396</t>
        </is>
      </c>
      <c r="U2947" t="inlineStr">
        <is>
          <t>Sim</t>
        </is>
      </c>
    </row>
    <row r="2948">
      <c r="A2948" t="inlineStr">
        <is>
          <t>Frete de venda</t>
        </is>
      </c>
      <c r="B2948" t="inlineStr">
        <is>
          <t>2.01.02 Frete sobre Vendas</t>
        </is>
      </c>
      <c r="C2948" s="30" t="n">
        <v>46054</v>
      </c>
      <c r="D2948" t="inlineStr">
        <is>
          <t>Em 2026</t>
        </is>
      </c>
      <c r="E2948" s="28" t="n">
        <v>46080</v>
      </c>
      <c r="F2948" t="inlineStr">
        <is>
          <t>CT-e</t>
        </is>
      </c>
      <c r="G2948" t="inlineStr">
        <is>
          <t>000024000</t>
        </is>
      </c>
      <c r="H2948" t="inlineStr">
        <is>
          <t>TRANSPORTE OLIVEIRA E MELLOI - IDEALIZA TRANSPORTES</t>
        </is>
      </c>
      <c r="J2948" s="29" t="n">
        <v>2279.45</v>
      </c>
      <c r="K2948" s="29">
        <f>(1-ISNUMBER(SEARCH("556",M2948)))*(O2948*SUMIFS(Premissas!$C$5:$C$44,Premissas!$A$5:$A$44,$A2948,Premissas!$B$5:$B$44,$B2948)+P2948*SUMIFS(Premissas!$D$5:$D$44,Premissas!$A$5:$A$44,$A2948,Premissas!$B$5:$B$44,$B2948))+R2948*SUMIFS(Premissas!$E$5:$E$44,Premissas!$A$5:$A$44,$A2948,Premissas!$B$5:$B$44,$B2948)+S2948*SUMIFS(Premissas!$F$5:$F$44,Premissas!$A$5:$A$44,$A2948,Premissas!$B$5:$B$44,$B2948)</f>
        <v/>
      </c>
      <c r="L2948" s="29">
        <f>J2948-K2948</f>
        <v/>
      </c>
      <c r="M2948" t="inlineStr">
        <is>
          <t>1.350</t>
        </is>
      </c>
      <c r="N2948" t="inlineStr">
        <is>
          <t>Modalidade: 0 - Por conta do remetente | Parte: IBIAPINA VARIEDADES LTDA (46.211.356/0001-75)</t>
        </is>
      </c>
      <c r="O2948" s="29" t="n">
        <v>0</v>
      </c>
      <c r="P2948" s="29" t="n">
        <v>273.53</v>
      </c>
      <c r="Q2948" s="29" t="n">
        <v>0</v>
      </c>
      <c r="R2948" s="29" t="n">
        <v>0</v>
      </c>
      <c r="S2948" s="29" t="n">
        <v>0</v>
      </c>
      <c r="T2948" t="inlineStr">
        <is>
          <t>15260220175042000170570010000240001000047402</t>
        </is>
      </c>
      <c r="U2948" t="inlineStr">
        <is>
          <t>Sim</t>
        </is>
      </c>
    </row>
    <row r="2949">
      <c r="A2949" t="inlineStr">
        <is>
          <t>Frete de venda</t>
        </is>
      </c>
      <c r="B2949" t="inlineStr">
        <is>
          <t>2.01.02 Frete sobre Vendas</t>
        </is>
      </c>
      <c r="C2949" s="30" t="n">
        <v>46054</v>
      </c>
      <c r="D2949" t="inlineStr">
        <is>
          <t>Em 2026</t>
        </is>
      </c>
      <c r="E2949" s="28" t="n">
        <v>46080</v>
      </c>
      <c r="F2949" t="inlineStr">
        <is>
          <t>CT-e</t>
        </is>
      </c>
      <c r="G2949" t="inlineStr">
        <is>
          <t>000024001</t>
        </is>
      </c>
      <c r="H2949" t="inlineStr">
        <is>
          <t>TRANSPORTE OLIVEIRA E MELLOI - IDEALIZA TRANSPORTES</t>
        </is>
      </c>
      <c r="J2949" s="29" t="n">
        <v>890</v>
      </c>
      <c r="K2949" s="29">
        <f>(1-ISNUMBER(SEARCH("556",M2949)))*(O2949*SUMIFS(Premissas!$C$5:$C$44,Premissas!$A$5:$A$44,$A2949,Premissas!$B$5:$B$44,$B2949)+P2949*SUMIFS(Premissas!$D$5:$D$44,Premissas!$A$5:$A$44,$A2949,Premissas!$B$5:$B$44,$B2949))+R2949*SUMIFS(Premissas!$E$5:$E$44,Premissas!$A$5:$A$44,$A2949,Premissas!$B$5:$B$44,$B2949)+S2949*SUMIFS(Premissas!$F$5:$F$44,Premissas!$A$5:$A$44,$A2949,Premissas!$B$5:$B$44,$B2949)</f>
        <v/>
      </c>
      <c r="L2949" s="29">
        <f>J2949-K2949</f>
        <v/>
      </c>
      <c r="M2949" t="inlineStr">
        <is>
          <t>1.350</t>
        </is>
      </c>
      <c r="N2949" t="inlineStr">
        <is>
          <t>Modalidade: 0 - Por conta do remetente | Parte: LIDER INDUSTRIA E COMERCIO LTDA (45.762.979/0001-73)</t>
        </is>
      </c>
      <c r="O2949" s="29" t="n">
        <v>0</v>
      </c>
      <c r="P2949" s="29" t="n">
        <v>106.8</v>
      </c>
      <c r="Q2949" s="29" t="n">
        <v>0</v>
      </c>
      <c r="R2949" s="29" t="n">
        <v>0</v>
      </c>
      <c r="S2949" s="29" t="n">
        <v>0</v>
      </c>
      <c r="T2949" t="inlineStr">
        <is>
          <t>15260220175042000170570010000240011000047418</t>
        </is>
      </c>
      <c r="U2949" t="inlineStr">
        <is>
          <t>Sim</t>
        </is>
      </c>
    </row>
    <row r="2950">
      <c r="A2950" t="inlineStr">
        <is>
          <t>Frete de venda</t>
        </is>
      </c>
      <c r="B2950" t="inlineStr">
        <is>
          <t>2.01.02 Frete sobre Vendas</t>
        </is>
      </c>
      <c r="C2950" s="30" t="n">
        <v>46054</v>
      </c>
      <c r="D2950" t="inlineStr">
        <is>
          <t>Em 2026</t>
        </is>
      </c>
      <c r="E2950" s="28" t="n">
        <v>46077</v>
      </c>
      <c r="F2950" t="inlineStr">
        <is>
          <t>CT-e</t>
        </is>
      </c>
      <c r="G2950" t="inlineStr">
        <is>
          <t>000003655</t>
        </is>
      </c>
      <c r="H2950" t="inlineStr">
        <is>
          <t>UNIVERSAL CARGAS EXPRESS</t>
        </is>
      </c>
      <c r="J2950" s="29" t="n">
        <v>350</v>
      </c>
      <c r="K2950" s="29">
        <f>(1-ISNUMBER(SEARCH("556",M2950)))*(O2950*SUMIFS(Premissas!$C$5:$C$44,Premissas!$A$5:$A$44,$A2950,Premissas!$B$5:$B$44,$B2950)+P2950*SUMIFS(Premissas!$D$5:$D$44,Premissas!$A$5:$A$44,$A2950,Premissas!$B$5:$B$44,$B2950))+R2950*SUMIFS(Premissas!$E$5:$E$44,Premissas!$A$5:$A$44,$A2950,Premissas!$B$5:$B$44,$B2950)+S2950*SUMIFS(Premissas!$F$5:$F$44,Premissas!$A$5:$A$44,$A2950,Premissas!$B$5:$B$44,$B2950)</f>
        <v/>
      </c>
      <c r="L2950" s="29">
        <f>J2950-K2950</f>
        <v/>
      </c>
      <c r="M2950" t="inlineStr">
        <is>
          <t>1.350</t>
        </is>
      </c>
      <c r="N2950" t="inlineStr">
        <is>
          <t>Modalidade: 0 - Por conta do remetente | Parte: J DA C ESTUMANO (12.711.497/0001-35)</t>
        </is>
      </c>
      <c r="O2950" s="29" t="n">
        <v>0</v>
      </c>
      <c r="P2950" s="29" t="n">
        <v>0</v>
      </c>
      <c r="Q2950" s="29" t="n">
        <v>0</v>
      </c>
      <c r="R2950" s="29" t="n">
        <v>0</v>
      </c>
      <c r="S2950" s="29" t="n">
        <v>0</v>
      </c>
      <c r="T2950" t="inlineStr">
        <is>
          <t>15260244384835000168570020000036551000049950</t>
        </is>
      </c>
      <c r="U2950" t="inlineStr">
        <is>
          <t>Sim</t>
        </is>
      </c>
    </row>
    <row r="2951">
      <c r="A2951" t="inlineStr">
        <is>
          <t>Frete de venda</t>
        </is>
      </c>
      <c r="B2951" t="inlineStr">
        <is>
          <t>2.01.02 Frete sobre Vendas</t>
        </is>
      </c>
      <c r="C2951" s="30" t="n">
        <v>46054</v>
      </c>
      <c r="D2951" t="inlineStr">
        <is>
          <t>Em 2026</t>
        </is>
      </c>
      <c r="E2951" s="28" t="n">
        <v>46077</v>
      </c>
      <c r="F2951" t="inlineStr">
        <is>
          <t>CT-e</t>
        </is>
      </c>
      <c r="G2951" t="inlineStr">
        <is>
          <t>000003656</t>
        </is>
      </c>
      <c r="H2951" t="inlineStr">
        <is>
          <t>UNIVERSAL CARGAS EXPRESS</t>
        </is>
      </c>
      <c r="J2951" s="29" t="n">
        <v>1100</v>
      </c>
      <c r="K2951" s="29">
        <f>(1-ISNUMBER(SEARCH("556",M2951)))*(O2951*SUMIFS(Premissas!$C$5:$C$44,Premissas!$A$5:$A$44,$A2951,Premissas!$B$5:$B$44,$B2951)+P2951*SUMIFS(Premissas!$D$5:$D$44,Premissas!$A$5:$A$44,$A2951,Premissas!$B$5:$B$44,$B2951))+R2951*SUMIFS(Premissas!$E$5:$E$44,Premissas!$A$5:$A$44,$A2951,Premissas!$B$5:$B$44,$B2951)+S2951*SUMIFS(Premissas!$F$5:$F$44,Premissas!$A$5:$A$44,$A2951,Premissas!$B$5:$B$44,$B2951)</f>
        <v/>
      </c>
      <c r="L2951" s="29">
        <f>J2951-K2951</f>
        <v/>
      </c>
      <c r="M2951" t="inlineStr">
        <is>
          <t>1.350</t>
        </is>
      </c>
      <c r="N2951" t="inlineStr">
        <is>
          <t>Modalidade: 0 - Por conta do remetente | Parte: M. R. ARAUJO SOPRAN (07.444.901/0001-11)</t>
        </is>
      </c>
      <c r="O2951" s="29" t="n">
        <v>0</v>
      </c>
      <c r="P2951" s="29" t="n">
        <v>0</v>
      </c>
      <c r="Q2951" s="29" t="n">
        <v>0</v>
      </c>
      <c r="R2951" s="29" t="n">
        <v>0</v>
      </c>
      <c r="S2951" s="29" t="n">
        <v>0</v>
      </c>
      <c r="T2951" t="inlineStr">
        <is>
          <t>15260244384835000168570020000036561000049965</t>
        </is>
      </c>
      <c r="U2951" t="inlineStr">
        <is>
          <t>Sim</t>
        </is>
      </c>
    </row>
    <row r="2952">
      <c r="A2952" t="inlineStr">
        <is>
          <t>Frete de venda</t>
        </is>
      </c>
      <c r="B2952" t="inlineStr">
        <is>
          <t>2.01.02 Frete sobre Vendas</t>
        </is>
      </c>
      <c r="C2952" s="30" t="n">
        <v>46054</v>
      </c>
      <c r="D2952" t="inlineStr">
        <is>
          <t>Em 2026</t>
        </is>
      </c>
      <c r="E2952" s="28" t="n">
        <v>46077</v>
      </c>
      <c r="F2952" t="inlineStr">
        <is>
          <t>CT-e</t>
        </is>
      </c>
      <c r="G2952" t="inlineStr">
        <is>
          <t>000003657</t>
        </is>
      </c>
      <c r="H2952" t="inlineStr">
        <is>
          <t>UNIVERSAL CARGAS EXPRESS</t>
        </is>
      </c>
      <c r="J2952" s="29" t="n">
        <v>280</v>
      </c>
      <c r="K2952" s="29">
        <f>(1-ISNUMBER(SEARCH("556",M2952)))*(O2952*SUMIFS(Premissas!$C$5:$C$44,Premissas!$A$5:$A$44,$A2952,Premissas!$B$5:$B$44,$B2952)+P2952*SUMIFS(Premissas!$D$5:$D$44,Premissas!$A$5:$A$44,$A2952,Premissas!$B$5:$B$44,$B2952))+R2952*SUMIFS(Premissas!$E$5:$E$44,Premissas!$A$5:$A$44,$A2952,Premissas!$B$5:$B$44,$B2952)+S2952*SUMIFS(Premissas!$F$5:$F$44,Premissas!$A$5:$A$44,$A2952,Premissas!$B$5:$B$44,$B2952)</f>
        <v/>
      </c>
      <c r="L2952" s="29">
        <f>J2952-K2952</f>
        <v/>
      </c>
      <c r="M2952" t="inlineStr">
        <is>
          <t>1.350</t>
        </is>
      </c>
      <c r="N2952" t="inlineStr">
        <is>
          <t>Modalidade: 0 - Por conta do remetente | Parte: MEGA FESTAS LTDA (07.064.216/0002-40)</t>
        </is>
      </c>
      <c r="O2952" s="29" t="n">
        <v>0</v>
      </c>
      <c r="P2952" s="29" t="n">
        <v>0</v>
      </c>
      <c r="Q2952" s="29" t="n">
        <v>0</v>
      </c>
      <c r="R2952" s="29" t="n">
        <v>0</v>
      </c>
      <c r="S2952" s="29" t="n">
        <v>0</v>
      </c>
      <c r="T2952" t="inlineStr">
        <is>
          <t>15260244384835000168570020000036571000049970</t>
        </is>
      </c>
      <c r="U2952" t="inlineStr">
        <is>
          <t>Sim</t>
        </is>
      </c>
    </row>
    <row r="2953">
      <c r="A2953" t="inlineStr">
        <is>
          <t>Frete de venda</t>
        </is>
      </c>
      <c r="B2953" t="inlineStr">
        <is>
          <t>2.01.02 Frete sobre Vendas</t>
        </is>
      </c>
      <c r="C2953" s="30" t="n">
        <v>46082</v>
      </c>
      <c r="D2953" t="inlineStr">
        <is>
          <t>Em 2026</t>
        </is>
      </c>
      <c r="E2953" s="28" t="n">
        <v>46108</v>
      </c>
      <c r="F2953" t="inlineStr">
        <is>
          <t>CT-e</t>
        </is>
      </c>
      <c r="G2953" t="inlineStr">
        <is>
          <t>000085168</t>
        </is>
      </c>
      <c r="H2953" t="inlineStr">
        <is>
          <t>JAGUARE TRANSPORTES E ARMAZENAGENS LTDA</t>
        </is>
      </c>
      <c r="J2953" s="29" t="n">
        <v>450</v>
      </c>
      <c r="K2953" s="29">
        <f>(1-ISNUMBER(SEARCH("556",M2953)))*(O2953*SUMIFS(Premissas!$C$5:$C$44,Premissas!$A$5:$A$44,$A2953,Premissas!$B$5:$B$44,$B2953)+P2953*SUMIFS(Premissas!$D$5:$D$44,Premissas!$A$5:$A$44,$A2953,Premissas!$B$5:$B$44,$B2953))+R2953*SUMIFS(Premissas!$E$5:$E$44,Premissas!$A$5:$A$44,$A2953,Premissas!$B$5:$B$44,$B2953)+S2953*SUMIFS(Premissas!$F$5:$F$44,Premissas!$A$5:$A$44,$A2953,Premissas!$B$5:$B$44,$B2953)</f>
        <v/>
      </c>
      <c r="L2953" s="29">
        <f>J2953-K2953</f>
        <v/>
      </c>
      <c r="M2953" t="inlineStr">
        <is>
          <t>1.350</t>
        </is>
      </c>
      <c r="N2953" t="inlineStr">
        <is>
          <t>Transportadora fora da lista de frete de venda, mas pela modalidade a Vinco enviou a carga | Modalidade: 0 - Por conta do remetente | Parte: EDIVAL FRANCISCO TAVARES LTDA (47.351.368/0001-68)</t>
        </is>
      </c>
      <c r="O2953" s="29" t="n">
        <v>0</v>
      </c>
      <c r="P2953" s="29" t="n">
        <v>0</v>
      </c>
      <c r="Q2953" s="29" t="n">
        <v>0</v>
      </c>
      <c r="R2953" s="29" t="n">
        <v>0</v>
      </c>
      <c r="S2953" s="29" t="n">
        <v>0</v>
      </c>
      <c r="T2953" t="inlineStr">
        <is>
          <t>35260302365289000178570010000851681000080007</t>
        </is>
      </c>
      <c r="U2953" t="inlineStr">
        <is>
          <t>Sim</t>
        </is>
      </c>
    </row>
    <row r="2954">
      <c r="A2954" t="inlineStr">
        <is>
          <t>Frete de venda</t>
        </is>
      </c>
      <c r="B2954" t="inlineStr">
        <is>
          <t>2.01.02 Frete sobre Vendas</t>
        </is>
      </c>
      <c r="C2954" s="30" t="n">
        <v>46082</v>
      </c>
      <c r="D2954" t="inlineStr">
        <is>
          <t>Em 2026</t>
        </is>
      </c>
      <c r="E2954" s="28" t="n">
        <v>46101</v>
      </c>
      <c r="F2954" t="inlineStr">
        <is>
          <t>CT-e</t>
        </is>
      </c>
      <c r="G2954" t="inlineStr">
        <is>
          <t>001419971</t>
        </is>
      </c>
      <c r="H2954" t="inlineStr">
        <is>
          <t>PICCOLI TRANSPORTES LTDA</t>
        </is>
      </c>
      <c r="J2954" s="29" t="n">
        <v>0.1</v>
      </c>
      <c r="K2954" s="29">
        <f>(1-ISNUMBER(SEARCH("556",M2954)))*(O2954*SUMIFS(Premissas!$C$5:$C$44,Premissas!$A$5:$A$44,$A2954,Premissas!$B$5:$B$44,$B2954)+P2954*SUMIFS(Premissas!$D$5:$D$44,Premissas!$A$5:$A$44,$A2954,Premissas!$B$5:$B$44,$B2954))+R2954*SUMIFS(Premissas!$E$5:$E$44,Premissas!$A$5:$A$44,$A2954,Premissas!$B$5:$B$44,$B2954)+S2954*SUMIFS(Premissas!$F$5:$F$44,Premissas!$A$5:$A$44,$A2954,Premissas!$B$5:$B$44,$B2954)</f>
        <v/>
      </c>
      <c r="L2954" s="29">
        <f>J2954-K2954</f>
        <v/>
      </c>
      <c r="M2954" t="inlineStr">
        <is>
          <t>2.350</t>
        </is>
      </c>
      <c r="N2954" t="inlineStr">
        <is>
          <t>Modalidade: 0 - Por conta do remetente | Parte: INDUSTRIAL E COMERCIAL ALMEIDA LTDA (02.623.537/0010-24)</t>
        </is>
      </c>
      <c r="O2954" s="29" t="n">
        <v>0</v>
      </c>
      <c r="P2954" s="29" t="n">
        <v>0.01</v>
      </c>
      <c r="Q2954" s="29" t="n">
        <v>0</v>
      </c>
      <c r="R2954" s="29" t="n">
        <v>0</v>
      </c>
      <c r="S2954" s="29" t="n">
        <v>0</v>
      </c>
      <c r="T2954" t="inlineStr">
        <is>
          <t>35260301496359000245570010014199711005422530</t>
        </is>
      </c>
      <c r="U2954" t="inlineStr">
        <is>
          <t>Não</t>
        </is>
      </c>
    </row>
    <row r="2955">
      <c r="A2955" t="inlineStr">
        <is>
          <t>Frete de venda</t>
        </is>
      </c>
      <c r="B2955" t="inlineStr">
        <is>
          <t>2.01.02 Frete sobre Vendas</t>
        </is>
      </c>
      <c r="C2955" s="30" t="n">
        <v>46082</v>
      </c>
      <c r="D2955" t="inlineStr">
        <is>
          <t>Em 2026</t>
        </is>
      </c>
      <c r="E2955" s="28" t="n">
        <v>46105</v>
      </c>
      <c r="F2955" t="inlineStr">
        <is>
          <t>CT-e</t>
        </is>
      </c>
      <c r="G2955" t="inlineStr">
        <is>
          <t>001420414</t>
        </is>
      </c>
      <c r="H2955" t="inlineStr">
        <is>
          <t>PICCOLI TRANSPORTES LTDA</t>
        </is>
      </c>
      <c r="J2955" s="29" t="n">
        <v>5462.65</v>
      </c>
      <c r="K2955" s="29">
        <f>(1-ISNUMBER(SEARCH("556",M2955)))*(O2955*SUMIFS(Premissas!$C$5:$C$44,Premissas!$A$5:$A$44,$A2955,Premissas!$B$5:$B$44,$B2955)+P2955*SUMIFS(Premissas!$D$5:$D$44,Premissas!$A$5:$A$44,$A2955,Premissas!$B$5:$B$44,$B2955))+R2955*SUMIFS(Premissas!$E$5:$E$44,Premissas!$A$5:$A$44,$A2955,Premissas!$B$5:$B$44,$B2955)+S2955*SUMIFS(Premissas!$F$5:$F$44,Premissas!$A$5:$A$44,$A2955,Premissas!$B$5:$B$44,$B2955)</f>
        <v/>
      </c>
      <c r="L2955" s="29">
        <f>J2955-K2955</f>
        <v/>
      </c>
      <c r="M2955" t="inlineStr">
        <is>
          <t>1.350</t>
        </is>
      </c>
      <c r="N2955" t="inlineStr">
        <is>
          <t>Modalidade: 0 - Por conta do remetente | Parte: INDUSTRIAL E COMERCIAL ALMEIDA LTDA (02.623.537/0010-24)</t>
        </is>
      </c>
      <c r="O2955" s="29" t="n">
        <v>0</v>
      </c>
      <c r="P2955" s="29" t="n">
        <v>382.39</v>
      </c>
      <c r="Q2955" s="29" t="n">
        <v>0</v>
      </c>
      <c r="R2955" s="29" t="n">
        <v>0</v>
      </c>
      <c r="S2955" s="29" t="n">
        <v>0</v>
      </c>
      <c r="T2955" t="inlineStr">
        <is>
          <t>35260301496359000245570010014204141005428430</t>
        </is>
      </c>
      <c r="U2955" t="inlineStr">
        <is>
          <t>Sim</t>
        </is>
      </c>
    </row>
    <row r="2956">
      <c r="A2956" t="inlineStr">
        <is>
          <t>Frete de venda</t>
        </is>
      </c>
      <c r="B2956" t="inlineStr">
        <is>
          <t>2.01.02 Frete sobre Vendas</t>
        </is>
      </c>
      <c r="C2956" s="30" t="n">
        <v>46082</v>
      </c>
      <c r="D2956" t="inlineStr">
        <is>
          <t>Em 2026</t>
        </is>
      </c>
      <c r="E2956" s="28" t="n">
        <v>46107</v>
      </c>
      <c r="F2956" t="inlineStr">
        <is>
          <t>CT-e</t>
        </is>
      </c>
      <c r="G2956" t="inlineStr">
        <is>
          <t>001421633</t>
        </is>
      </c>
      <c r="H2956" t="inlineStr">
        <is>
          <t>PICCOLI TRANSPORTES LTDA</t>
        </is>
      </c>
      <c r="J2956" s="29" t="n">
        <v>3181.81</v>
      </c>
      <c r="K2956" s="29">
        <f>(1-ISNUMBER(SEARCH("556",M2956)))*(O2956*SUMIFS(Premissas!$C$5:$C$44,Premissas!$A$5:$A$44,$A2956,Premissas!$B$5:$B$44,$B2956)+P2956*SUMIFS(Premissas!$D$5:$D$44,Premissas!$A$5:$A$44,$A2956,Premissas!$B$5:$B$44,$B2956))+R2956*SUMIFS(Premissas!$E$5:$E$44,Premissas!$A$5:$A$44,$A2956,Premissas!$B$5:$B$44,$B2956)+S2956*SUMIFS(Premissas!$F$5:$F$44,Premissas!$A$5:$A$44,$A2956,Premissas!$B$5:$B$44,$B2956)</f>
        <v/>
      </c>
      <c r="L2956" s="29">
        <f>J2956-K2956</f>
        <v/>
      </c>
      <c r="M2956" t="inlineStr">
        <is>
          <t>1.350</t>
        </is>
      </c>
      <c r="N2956" t="inlineStr">
        <is>
          <t>Modalidade: 0 - Por conta do remetente | Parte: J. P. ROCKENBARCH DISTRIBUIDORA DE EMBALAGENS (43.619.215/0001-06)</t>
        </is>
      </c>
      <c r="O2956" s="29" t="n">
        <v>0</v>
      </c>
      <c r="P2956" s="29" t="n">
        <v>222.73</v>
      </c>
      <c r="Q2956" s="29" t="n">
        <v>0</v>
      </c>
      <c r="R2956" s="29" t="n">
        <v>0</v>
      </c>
      <c r="S2956" s="29" t="n">
        <v>0</v>
      </c>
      <c r="T2956" t="inlineStr">
        <is>
          <t>35260301496359000245570010014216331005443759</t>
        </is>
      </c>
      <c r="U2956" t="inlineStr">
        <is>
          <t>Sim</t>
        </is>
      </c>
    </row>
    <row r="2957">
      <c r="A2957" t="inlineStr">
        <is>
          <t>Frete de venda</t>
        </is>
      </c>
      <c r="B2957" t="inlineStr">
        <is>
          <t>2.01.02 Frete sobre Vendas</t>
        </is>
      </c>
      <c r="C2957" s="30" t="n">
        <v>46082</v>
      </c>
      <c r="D2957" t="inlineStr">
        <is>
          <t>Em 2026</t>
        </is>
      </c>
      <c r="E2957" s="28" t="n">
        <v>46107</v>
      </c>
      <c r="F2957" t="inlineStr">
        <is>
          <t>CT-e</t>
        </is>
      </c>
      <c r="G2957" t="inlineStr">
        <is>
          <t>001421731</t>
        </is>
      </c>
      <c r="H2957" t="inlineStr">
        <is>
          <t>PICCOLI TRANSPORTES LTDA</t>
        </is>
      </c>
      <c r="J2957" s="29" t="n">
        <v>0.1</v>
      </c>
      <c r="K2957" s="29">
        <f>(1-ISNUMBER(SEARCH("556",M2957)))*(O2957*SUMIFS(Premissas!$C$5:$C$44,Premissas!$A$5:$A$44,$A2957,Premissas!$B$5:$B$44,$B2957)+P2957*SUMIFS(Premissas!$D$5:$D$44,Premissas!$A$5:$A$44,$A2957,Premissas!$B$5:$B$44,$B2957))+R2957*SUMIFS(Premissas!$E$5:$E$44,Premissas!$A$5:$A$44,$A2957,Premissas!$B$5:$B$44,$B2957)+S2957*SUMIFS(Premissas!$F$5:$F$44,Premissas!$A$5:$A$44,$A2957,Premissas!$B$5:$B$44,$B2957)</f>
        <v/>
      </c>
      <c r="L2957" s="29">
        <f>J2957-K2957</f>
        <v/>
      </c>
      <c r="M2957" t="inlineStr">
        <is>
          <t>2.350</t>
        </is>
      </c>
      <c r="N2957" t="inlineStr">
        <is>
          <t>Modalidade: 0 - Por conta do remetente | Parte: MATOS EMBALAGENS COMERCIO LTDA (01.888.718/0002-00)</t>
        </is>
      </c>
      <c r="O2957" s="29" t="n">
        <v>0</v>
      </c>
      <c r="P2957" s="29" t="n">
        <v>0.01</v>
      </c>
      <c r="Q2957" s="29" t="n">
        <v>0</v>
      </c>
      <c r="R2957" s="29" t="n">
        <v>0</v>
      </c>
      <c r="S2957" s="29" t="n">
        <v>0</v>
      </c>
      <c r="T2957" t="inlineStr">
        <is>
          <t>35260301496359000245570010014217311005445221</t>
        </is>
      </c>
      <c r="U2957" t="inlineStr">
        <is>
          <t>Não</t>
        </is>
      </c>
    </row>
    <row r="2958">
      <c r="A2958" t="inlineStr">
        <is>
          <t>Frete de venda</t>
        </is>
      </c>
      <c r="B2958" t="inlineStr">
        <is>
          <t>2.01.02 Frete sobre Vendas</t>
        </is>
      </c>
      <c r="C2958" s="30" t="n">
        <v>46082</v>
      </c>
      <c r="D2958" t="inlineStr">
        <is>
          <t>Em 2026</t>
        </is>
      </c>
      <c r="E2958" s="28" t="n">
        <v>46107</v>
      </c>
      <c r="F2958" t="inlineStr">
        <is>
          <t>CT-e</t>
        </is>
      </c>
      <c r="G2958" t="inlineStr">
        <is>
          <t>001421732</t>
        </is>
      </c>
      <c r="H2958" t="inlineStr">
        <is>
          <t>PICCOLI TRANSPORTES LTDA</t>
        </is>
      </c>
      <c r="J2958" s="29" t="n">
        <v>0.1</v>
      </c>
      <c r="K2958" s="29">
        <f>(1-ISNUMBER(SEARCH("556",M2958)))*(O2958*SUMIFS(Premissas!$C$5:$C$44,Premissas!$A$5:$A$44,$A2958,Premissas!$B$5:$B$44,$B2958)+P2958*SUMIFS(Premissas!$D$5:$D$44,Premissas!$A$5:$A$44,$A2958,Premissas!$B$5:$B$44,$B2958))+R2958*SUMIFS(Premissas!$E$5:$E$44,Premissas!$A$5:$A$44,$A2958,Premissas!$B$5:$B$44,$B2958)+S2958*SUMIFS(Premissas!$F$5:$F$44,Premissas!$A$5:$A$44,$A2958,Premissas!$B$5:$B$44,$B2958)</f>
        <v/>
      </c>
      <c r="L2958" s="29">
        <f>J2958-K2958</f>
        <v/>
      </c>
      <c r="M2958" t="inlineStr">
        <is>
          <t>2.350</t>
        </is>
      </c>
      <c r="N2958" t="inlineStr">
        <is>
          <t>Modalidade: 0 - Por conta do remetente | Parte: M. O. FELICIO RIBEIRO LTDA (49.786.983/0001-22)</t>
        </is>
      </c>
      <c r="O2958" s="29" t="n">
        <v>0</v>
      </c>
      <c r="P2958" s="29" t="n">
        <v>0.01</v>
      </c>
      <c r="Q2958" s="29" t="n">
        <v>0</v>
      </c>
      <c r="R2958" s="29" t="n">
        <v>0</v>
      </c>
      <c r="S2958" s="29" t="n">
        <v>0</v>
      </c>
      <c r="T2958" t="inlineStr">
        <is>
          <t>35260301496359000245570010014217321005445237</t>
        </is>
      </c>
      <c r="U2958" t="inlineStr">
        <is>
          <t>Não</t>
        </is>
      </c>
    </row>
    <row r="2959">
      <c r="A2959" t="inlineStr">
        <is>
          <t>Frete de venda</t>
        </is>
      </c>
      <c r="B2959" t="inlineStr">
        <is>
          <t>2.01.02 Frete sobre Vendas</t>
        </is>
      </c>
      <c r="C2959" s="30" t="n">
        <v>46082</v>
      </c>
      <c r="D2959" t="inlineStr">
        <is>
          <t>Em 2026</t>
        </is>
      </c>
      <c r="E2959" s="28" t="n">
        <v>46107</v>
      </c>
      <c r="F2959" t="inlineStr">
        <is>
          <t>CT-e</t>
        </is>
      </c>
      <c r="G2959" t="inlineStr">
        <is>
          <t>001421733</t>
        </is>
      </c>
      <c r="H2959" t="inlineStr">
        <is>
          <t>PICCOLI TRANSPORTES LTDA</t>
        </is>
      </c>
      <c r="J2959" s="29" t="n">
        <v>0.1</v>
      </c>
      <c r="K2959" s="29">
        <f>(1-ISNUMBER(SEARCH("556",M2959)))*(O2959*SUMIFS(Premissas!$C$5:$C$44,Premissas!$A$5:$A$44,$A2959,Premissas!$B$5:$B$44,$B2959)+P2959*SUMIFS(Premissas!$D$5:$D$44,Premissas!$A$5:$A$44,$A2959,Premissas!$B$5:$B$44,$B2959))+R2959*SUMIFS(Premissas!$E$5:$E$44,Premissas!$A$5:$A$44,$A2959,Premissas!$B$5:$B$44,$B2959)+S2959*SUMIFS(Premissas!$F$5:$F$44,Premissas!$A$5:$A$44,$A2959,Premissas!$B$5:$B$44,$B2959)</f>
        <v/>
      </c>
      <c r="L2959" s="29">
        <f>J2959-K2959</f>
        <v/>
      </c>
      <c r="M2959" t="inlineStr">
        <is>
          <t>2.350</t>
        </is>
      </c>
      <c r="N2959" t="inlineStr">
        <is>
          <t>Modalidade: 0 - Por conta do remetente | Parte: A DE O LEMOS NETO LTDA (50.569.720/0001-40)</t>
        </is>
      </c>
      <c r="O2959" s="29" t="n">
        <v>0</v>
      </c>
      <c r="P2959" s="29" t="n">
        <v>0.01</v>
      </c>
      <c r="Q2959" s="29" t="n">
        <v>0</v>
      </c>
      <c r="R2959" s="29" t="n">
        <v>0</v>
      </c>
      <c r="S2959" s="29" t="n">
        <v>0</v>
      </c>
      <c r="T2959" t="inlineStr">
        <is>
          <t>35260301496359000245570010014217331005445242</t>
        </is>
      </c>
      <c r="U2959" t="inlineStr">
        <is>
          <t>Não</t>
        </is>
      </c>
    </row>
    <row r="2960">
      <c r="A2960" t="inlineStr">
        <is>
          <t>Frete de venda</t>
        </is>
      </c>
      <c r="B2960" t="inlineStr">
        <is>
          <t>2.01.02 Frete sobre Vendas</t>
        </is>
      </c>
      <c r="C2960" s="30" t="n">
        <v>46082</v>
      </c>
      <c r="D2960" t="inlineStr">
        <is>
          <t>Em 2026</t>
        </is>
      </c>
      <c r="E2960" s="28" t="n">
        <v>46108</v>
      </c>
      <c r="F2960" t="inlineStr">
        <is>
          <t>CT-e</t>
        </is>
      </c>
      <c r="G2960" t="inlineStr">
        <is>
          <t>001421778</t>
        </is>
      </c>
      <c r="H2960" t="inlineStr">
        <is>
          <t>PICCOLI TRANSPORTES LTDA</t>
        </is>
      </c>
      <c r="J2960" s="29" t="n">
        <v>461.74</v>
      </c>
      <c r="K2960" s="29">
        <f>(1-ISNUMBER(SEARCH("556",M2960)))*(O2960*SUMIFS(Premissas!$C$5:$C$44,Premissas!$A$5:$A$44,$A2960,Premissas!$B$5:$B$44,$B2960)+P2960*SUMIFS(Premissas!$D$5:$D$44,Premissas!$A$5:$A$44,$A2960,Premissas!$B$5:$B$44,$B2960))+R2960*SUMIFS(Premissas!$E$5:$E$44,Premissas!$A$5:$A$44,$A2960,Premissas!$B$5:$B$44,$B2960)+S2960*SUMIFS(Premissas!$F$5:$F$44,Premissas!$A$5:$A$44,$A2960,Premissas!$B$5:$B$44,$B2960)</f>
        <v/>
      </c>
      <c r="L2960" s="29">
        <f>J2960-K2960</f>
        <v/>
      </c>
      <c r="M2960" t="inlineStr">
        <is>
          <t>1.350</t>
        </is>
      </c>
      <c r="N2960" t="inlineStr">
        <is>
          <t>Modalidade: 0 - Por conta do remetente | Parte: GR DOCES E EMBALAGENS LTDA (42.338.637/0001-32)</t>
        </is>
      </c>
      <c r="O2960" s="29" t="n">
        <v>0</v>
      </c>
      <c r="P2960" s="29" t="n">
        <v>32.32</v>
      </c>
      <c r="Q2960" s="29" t="n">
        <v>0</v>
      </c>
      <c r="R2960" s="29" t="n">
        <v>0</v>
      </c>
      <c r="S2960" s="29" t="n">
        <v>0</v>
      </c>
      <c r="T2960" t="inlineStr">
        <is>
          <t>35260301496359000245570010014217781005445945</t>
        </is>
      </c>
      <c r="U2960" t="inlineStr">
        <is>
          <t>Sim</t>
        </is>
      </c>
    </row>
    <row r="2961">
      <c r="A2961" t="inlineStr">
        <is>
          <t>Frete de venda</t>
        </is>
      </c>
      <c r="B2961" t="inlineStr">
        <is>
          <t>2.01.02 Frete sobre Vendas</t>
        </is>
      </c>
      <c r="C2961" s="30" t="n">
        <v>46082</v>
      </c>
      <c r="D2961" t="inlineStr">
        <is>
          <t>Em 2026</t>
        </is>
      </c>
      <c r="E2961" s="28" t="n">
        <v>46108</v>
      </c>
      <c r="F2961" t="inlineStr">
        <is>
          <t>CT-e</t>
        </is>
      </c>
      <c r="G2961" t="inlineStr">
        <is>
          <t>001421779</t>
        </is>
      </c>
      <c r="H2961" t="inlineStr">
        <is>
          <t>PICCOLI TRANSPORTES LTDA</t>
        </is>
      </c>
      <c r="J2961" s="29" t="n">
        <v>740.84</v>
      </c>
      <c r="K2961" s="29">
        <f>(1-ISNUMBER(SEARCH("556",M2961)))*(O2961*SUMIFS(Premissas!$C$5:$C$44,Premissas!$A$5:$A$44,$A2961,Premissas!$B$5:$B$44,$B2961)+P2961*SUMIFS(Premissas!$D$5:$D$44,Premissas!$A$5:$A$44,$A2961,Premissas!$B$5:$B$44,$B2961))+R2961*SUMIFS(Premissas!$E$5:$E$44,Premissas!$A$5:$A$44,$A2961,Premissas!$B$5:$B$44,$B2961)+S2961*SUMIFS(Premissas!$F$5:$F$44,Premissas!$A$5:$A$44,$A2961,Premissas!$B$5:$B$44,$B2961)</f>
        <v/>
      </c>
      <c r="L2961" s="29">
        <f>J2961-K2961</f>
        <v/>
      </c>
      <c r="M2961" t="inlineStr">
        <is>
          <t>1.350</t>
        </is>
      </c>
      <c r="N2961" t="inlineStr">
        <is>
          <t>Modalidade: 0 - Por conta do remetente | Parte: ELAINE C. DE OLIVEIRA EMBALAGENS (13.288.289/0001-38)</t>
        </is>
      </c>
      <c r="O2961" s="29" t="n">
        <v>0</v>
      </c>
      <c r="P2961" s="29" t="n">
        <v>51.86</v>
      </c>
      <c r="Q2961" s="29" t="n">
        <v>0</v>
      </c>
      <c r="R2961" s="29" t="n">
        <v>0</v>
      </c>
      <c r="S2961" s="29" t="n">
        <v>0</v>
      </c>
      <c r="T2961" t="inlineStr">
        <is>
          <t>35260301496359000245570010014217791005445950</t>
        </is>
      </c>
      <c r="U2961" t="inlineStr">
        <is>
          <t>Sim</t>
        </is>
      </c>
    </row>
    <row r="2962">
      <c r="A2962" t="inlineStr">
        <is>
          <t>Frete de venda</t>
        </is>
      </c>
      <c r="B2962" t="inlineStr">
        <is>
          <t>2.01.02 Frete sobre Vendas</t>
        </is>
      </c>
      <c r="C2962" s="30" t="n">
        <v>46082</v>
      </c>
      <c r="D2962" t="inlineStr">
        <is>
          <t>Em 2026</t>
        </is>
      </c>
      <c r="E2962" s="28" t="n">
        <v>46108</v>
      </c>
      <c r="F2962" t="inlineStr">
        <is>
          <t>CT-e</t>
        </is>
      </c>
      <c r="G2962" t="inlineStr">
        <is>
          <t>001421780</t>
        </is>
      </c>
      <c r="H2962" t="inlineStr">
        <is>
          <t>PICCOLI TRANSPORTES LTDA</t>
        </is>
      </c>
      <c r="J2962" s="29" t="n">
        <v>858.8</v>
      </c>
      <c r="K2962" s="29">
        <f>(1-ISNUMBER(SEARCH("556",M2962)))*(O2962*SUMIFS(Premissas!$C$5:$C$44,Premissas!$A$5:$A$44,$A2962,Premissas!$B$5:$B$44,$B2962)+P2962*SUMIFS(Premissas!$D$5:$D$44,Premissas!$A$5:$A$44,$A2962,Premissas!$B$5:$B$44,$B2962))+R2962*SUMIFS(Premissas!$E$5:$E$44,Premissas!$A$5:$A$44,$A2962,Premissas!$B$5:$B$44,$B2962)+S2962*SUMIFS(Premissas!$F$5:$F$44,Premissas!$A$5:$A$44,$A2962,Premissas!$B$5:$B$44,$B2962)</f>
        <v/>
      </c>
      <c r="L2962" s="29">
        <f>J2962-K2962</f>
        <v/>
      </c>
      <c r="M2962" t="inlineStr">
        <is>
          <t>1.350</t>
        </is>
      </c>
      <c r="N2962" t="inlineStr">
        <is>
          <t>Modalidade: 0 - Por conta do remetente | Parte: CALIXTO DA SILVA E CIA LTDA (10.680.919/0001-27)</t>
        </is>
      </c>
      <c r="O2962" s="29" t="n">
        <v>0</v>
      </c>
      <c r="P2962" s="29" t="n">
        <v>60.12</v>
      </c>
      <c r="Q2962" s="29" t="n">
        <v>0</v>
      </c>
      <c r="R2962" s="29" t="n">
        <v>0</v>
      </c>
      <c r="S2962" s="29" t="n">
        <v>0</v>
      </c>
      <c r="T2962" t="inlineStr">
        <is>
          <t>35260301496359000245570010014217801005445960</t>
        </is>
      </c>
      <c r="U2962" t="inlineStr">
        <is>
          <t>Sim</t>
        </is>
      </c>
    </row>
    <row r="2963">
      <c r="A2963" t="inlineStr">
        <is>
          <t>Frete de venda</t>
        </is>
      </c>
      <c r="B2963" t="inlineStr">
        <is>
          <t>2.01.02 Frete sobre Vendas</t>
        </is>
      </c>
      <c r="C2963" s="30" t="n">
        <v>46082</v>
      </c>
      <c r="D2963" t="inlineStr">
        <is>
          <t>Em 2026</t>
        </is>
      </c>
      <c r="E2963" s="28" t="n">
        <v>46108</v>
      </c>
      <c r="F2963" t="inlineStr">
        <is>
          <t>CT-e</t>
        </is>
      </c>
      <c r="G2963" t="inlineStr">
        <is>
          <t>001421983</t>
        </is>
      </c>
      <c r="H2963" t="inlineStr">
        <is>
          <t>PICCOLI TRANSPORTES LTDA</t>
        </is>
      </c>
      <c r="J2963" s="29" t="n">
        <v>430.56</v>
      </c>
      <c r="K2963" s="29">
        <f>(1-ISNUMBER(SEARCH("556",M2963)))*(O2963*SUMIFS(Premissas!$C$5:$C$44,Premissas!$A$5:$A$44,$A2963,Premissas!$B$5:$B$44,$B2963)+P2963*SUMIFS(Premissas!$D$5:$D$44,Premissas!$A$5:$A$44,$A2963,Premissas!$B$5:$B$44,$B2963))+R2963*SUMIFS(Premissas!$E$5:$E$44,Premissas!$A$5:$A$44,$A2963,Premissas!$B$5:$B$44,$B2963)+S2963*SUMIFS(Premissas!$F$5:$F$44,Premissas!$A$5:$A$44,$A2963,Premissas!$B$5:$B$44,$B2963)</f>
        <v/>
      </c>
      <c r="L2963" s="29">
        <f>J2963-K2963</f>
        <v/>
      </c>
      <c r="M2963" t="inlineStr">
        <is>
          <t>1.350</t>
        </is>
      </c>
      <c r="N2963" t="inlineStr">
        <is>
          <t>Modalidade: 0 - Por conta do remetente | Parte: A DE O LEMOS NETO LTDA (50.569.720/0001-40)</t>
        </is>
      </c>
      <c r="O2963" s="29" t="n">
        <v>0</v>
      </c>
      <c r="P2963" s="29" t="n">
        <v>30.14</v>
      </c>
      <c r="Q2963" s="29" t="n">
        <v>0</v>
      </c>
      <c r="R2963" s="29" t="n">
        <v>0</v>
      </c>
      <c r="S2963" s="29" t="n">
        <v>0</v>
      </c>
      <c r="T2963" t="inlineStr">
        <is>
          <t>35260301496359000245570010014219831005448260</t>
        </is>
      </c>
      <c r="U2963" t="inlineStr">
        <is>
          <t>Sim</t>
        </is>
      </c>
    </row>
    <row r="2964">
      <c r="A2964" t="inlineStr">
        <is>
          <t>Frete de venda</t>
        </is>
      </c>
      <c r="B2964" t="inlineStr">
        <is>
          <t>2.01.02 Frete sobre Vendas</t>
        </is>
      </c>
      <c r="C2964" s="30" t="n">
        <v>46082</v>
      </c>
      <c r="D2964" t="inlineStr">
        <is>
          <t>Em 2026</t>
        </is>
      </c>
      <c r="E2964" s="28" t="n">
        <v>46108</v>
      </c>
      <c r="F2964" t="inlineStr">
        <is>
          <t>CT-e</t>
        </is>
      </c>
      <c r="G2964" t="inlineStr">
        <is>
          <t>001421984</t>
        </is>
      </c>
      <c r="H2964" t="inlineStr">
        <is>
          <t>PICCOLI TRANSPORTES LTDA</t>
        </is>
      </c>
      <c r="J2964" s="29" t="n">
        <v>154.85</v>
      </c>
      <c r="K2964" s="29">
        <f>(1-ISNUMBER(SEARCH("556",M2964)))*(O2964*SUMIFS(Premissas!$C$5:$C$44,Premissas!$A$5:$A$44,$A2964,Premissas!$B$5:$B$44,$B2964)+P2964*SUMIFS(Premissas!$D$5:$D$44,Premissas!$A$5:$A$44,$A2964,Premissas!$B$5:$B$44,$B2964))+R2964*SUMIFS(Premissas!$E$5:$E$44,Premissas!$A$5:$A$44,$A2964,Premissas!$B$5:$B$44,$B2964)+S2964*SUMIFS(Premissas!$F$5:$F$44,Premissas!$A$5:$A$44,$A2964,Premissas!$B$5:$B$44,$B2964)</f>
        <v/>
      </c>
      <c r="L2964" s="29">
        <f>J2964-K2964</f>
        <v/>
      </c>
      <c r="M2964" t="inlineStr">
        <is>
          <t>1.350</t>
        </is>
      </c>
      <c r="N2964" t="inlineStr">
        <is>
          <t>Modalidade: 0 - Por conta do remetente | Parte: M. O. FELICIO RIBEIRO LTDA (49.786.983/0001-22)</t>
        </is>
      </c>
      <c r="O2964" s="29" t="n">
        <v>0</v>
      </c>
      <c r="P2964" s="29" t="n">
        <v>10.84</v>
      </c>
      <c r="Q2964" s="29" t="n">
        <v>0</v>
      </c>
      <c r="R2964" s="29" t="n">
        <v>0</v>
      </c>
      <c r="S2964" s="29" t="n">
        <v>0</v>
      </c>
      <c r="T2964" t="inlineStr">
        <is>
          <t>35260301496359000245570010014219841005448276</t>
        </is>
      </c>
      <c r="U2964" t="inlineStr">
        <is>
          <t>Sim</t>
        </is>
      </c>
    </row>
    <row r="2965">
      <c r="A2965" t="inlineStr">
        <is>
          <t>Frete de venda</t>
        </is>
      </c>
      <c r="B2965" t="inlineStr">
        <is>
          <t>2.01.02 Frete sobre Vendas</t>
        </is>
      </c>
      <c r="C2965" s="30" t="n">
        <v>46082</v>
      </c>
      <c r="D2965" t="inlineStr">
        <is>
          <t>Em 2026</t>
        </is>
      </c>
      <c r="E2965" s="28" t="n">
        <v>46108</v>
      </c>
      <c r="F2965" t="inlineStr">
        <is>
          <t>CT-e</t>
        </is>
      </c>
      <c r="G2965" t="inlineStr">
        <is>
          <t>001421985</t>
        </is>
      </c>
      <c r="H2965" t="inlineStr">
        <is>
          <t>PICCOLI TRANSPORTES LTDA</t>
        </is>
      </c>
      <c r="J2965" s="29" t="n">
        <v>666.5700000000001</v>
      </c>
      <c r="K2965" s="29">
        <f>(1-ISNUMBER(SEARCH("556",M2965)))*(O2965*SUMIFS(Premissas!$C$5:$C$44,Premissas!$A$5:$A$44,$A2965,Premissas!$B$5:$B$44,$B2965)+P2965*SUMIFS(Premissas!$D$5:$D$44,Premissas!$A$5:$A$44,$A2965,Premissas!$B$5:$B$44,$B2965))+R2965*SUMIFS(Premissas!$E$5:$E$44,Premissas!$A$5:$A$44,$A2965,Premissas!$B$5:$B$44,$B2965)+S2965*SUMIFS(Premissas!$F$5:$F$44,Premissas!$A$5:$A$44,$A2965,Premissas!$B$5:$B$44,$B2965)</f>
        <v/>
      </c>
      <c r="L2965" s="29">
        <f>J2965-K2965</f>
        <v/>
      </c>
      <c r="M2965" t="inlineStr">
        <is>
          <t>1.350</t>
        </is>
      </c>
      <c r="N2965" t="inlineStr">
        <is>
          <t>Modalidade: 0 - Por conta do remetente | Parte: MATOS EMBALAGENS COMERCIO LTDA (01.888.718/0002-00)</t>
        </is>
      </c>
      <c r="O2965" s="29" t="n">
        <v>0</v>
      </c>
      <c r="P2965" s="29" t="n">
        <v>46.66</v>
      </c>
      <c r="Q2965" s="29" t="n">
        <v>0</v>
      </c>
      <c r="R2965" s="29" t="n">
        <v>0</v>
      </c>
      <c r="S2965" s="29" t="n">
        <v>0</v>
      </c>
      <c r="T2965" t="inlineStr">
        <is>
          <t>35260301496359000245570010014219851005448281</t>
        </is>
      </c>
      <c r="U2965" t="inlineStr">
        <is>
          <t>Sim</t>
        </is>
      </c>
    </row>
    <row r="2966">
      <c r="A2966" t="inlineStr">
        <is>
          <t>Frete de venda</t>
        </is>
      </c>
      <c r="B2966" t="inlineStr">
        <is>
          <t>2.01.02 Frete sobre Vendas</t>
        </is>
      </c>
      <c r="C2966" s="30" t="n">
        <v>46082</v>
      </c>
      <c r="D2966" t="inlineStr">
        <is>
          <t>Em 2026</t>
        </is>
      </c>
      <c r="E2966" s="28" t="n">
        <v>46083</v>
      </c>
      <c r="F2966" t="inlineStr">
        <is>
          <t>CT-e</t>
        </is>
      </c>
      <c r="G2966" t="inlineStr">
        <is>
          <t>000006466</t>
        </is>
      </c>
      <c r="H2966" t="inlineStr">
        <is>
          <t>R&amp;R TRANSPORTE E LOGISTICA</t>
        </is>
      </c>
      <c r="J2966" s="29" t="n">
        <v>127.34</v>
      </c>
      <c r="K2966" s="29">
        <f>(1-ISNUMBER(SEARCH("556",M2966)))*(O2966*SUMIFS(Premissas!$C$5:$C$44,Premissas!$A$5:$A$44,$A2966,Premissas!$B$5:$B$44,$B2966)+P2966*SUMIFS(Premissas!$D$5:$D$44,Premissas!$A$5:$A$44,$A2966,Premissas!$B$5:$B$44,$B2966))+R2966*SUMIFS(Premissas!$E$5:$E$44,Premissas!$A$5:$A$44,$A2966,Premissas!$B$5:$B$44,$B2966)+S2966*SUMIFS(Premissas!$F$5:$F$44,Premissas!$A$5:$A$44,$A2966,Premissas!$B$5:$B$44,$B2966)</f>
        <v/>
      </c>
      <c r="L2966" s="29">
        <f>J2966-K2966</f>
        <v/>
      </c>
      <c r="M2966" t="inlineStr">
        <is>
          <t>1.350</t>
        </is>
      </c>
      <c r="N2966" t="inlineStr">
        <is>
          <t>Modalidade: 0 - Por conta do remetente | Parte: HIPER PLAST COMERCIO DE EMBALAGENS LTDA (33.649.657/0001-33)</t>
        </is>
      </c>
      <c r="O2966" s="29" t="n">
        <v>0</v>
      </c>
      <c r="P2966" s="29" t="n">
        <v>0</v>
      </c>
      <c r="Q2966" s="29" t="n">
        <v>0</v>
      </c>
      <c r="R2966" s="29" t="n">
        <v>0</v>
      </c>
      <c r="S2966" s="29" t="n">
        <v>0</v>
      </c>
      <c r="T2966" t="inlineStr">
        <is>
          <t>25260326975620000130570010000064661001101332</t>
        </is>
      </c>
      <c r="U2966" t="inlineStr">
        <is>
          <t>Não</t>
        </is>
      </c>
    </row>
    <row r="2967">
      <c r="A2967" t="inlineStr">
        <is>
          <t>Frete de venda</t>
        </is>
      </c>
      <c r="B2967" t="inlineStr">
        <is>
          <t>2.01.02 Frete sobre Vendas</t>
        </is>
      </c>
      <c r="C2967" s="30" t="n">
        <v>46082</v>
      </c>
      <c r="D2967" t="inlineStr">
        <is>
          <t>Em 2026</t>
        </is>
      </c>
      <c r="E2967" s="28" t="n">
        <v>46083</v>
      </c>
      <c r="F2967" t="inlineStr">
        <is>
          <t>CT-e</t>
        </is>
      </c>
      <c r="G2967" t="inlineStr">
        <is>
          <t>000006467</t>
        </is>
      </c>
      <c r="H2967" t="inlineStr">
        <is>
          <t>R&amp;R TRANSPORTE E LOGISTICA</t>
        </is>
      </c>
      <c r="J2967" s="29" t="n">
        <v>22.46</v>
      </c>
      <c r="K2967" s="29">
        <f>(1-ISNUMBER(SEARCH("556",M2967)))*(O2967*SUMIFS(Premissas!$C$5:$C$44,Premissas!$A$5:$A$44,$A2967,Premissas!$B$5:$B$44,$B2967)+P2967*SUMIFS(Premissas!$D$5:$D$44,Premissas!$A$5:$A$44,$A2967,Premissas!$B$5:$B$44,$B2967))+R2967*SUMIFS(Premissas!$E$5:$E$44,Premissas!$A$5:$A$44,$A2967,Premissas!$B$5:$B$44,$B2967)+S2967*SUMIFS(Premissas!$F$5:$F$44,Premissas!$A$5:$A$44,$A2967,Premissas!$B$5:$B$44,$B2967)</f>
        <v/>
      </c>
      <c r="L2967" s="29">
        <f>J2967-K2967</f>
        <v/>
      </c>
      <c r="M2967" t="inlineStr">
        <is>
          <t>1.350</t>
        </is>
      </c>
      <c r="N2967" t="inlineStr">
        <is>
          <t>Modalidade: 0 - Por conta do remetente | Parte: M. A. DE A. LIMA CARDOSO (34.425.813/0001-45)</t>
        </is>
      </c>
      <c r="O2967" s="29" t="n">
        <v>0</v>
      </c>
      <c r="P2967" s="29" t="n">
        <v>0</v>
      </c>
      <c r="Q2967" s="29" t="n">
        <v>0</v>
      </c>
      <c r="R2967" s="29" t="n">
        <v>0</v>
      </c>
      <c r="S2967" s="29" t="n">
        <v>0</v>
      </c>
      <c r="T2967" t="inlineStr">
        <is>
          <t>25260326975620000130570010000064671001901417</t>
        </is>
      </c>
      <c r="U2967" t="inlineStr">
        <is>
          <t>Não</t>
        </is>
      </c>
    </row>
    <row r="2968">
      <c r="A2968" t="inlineStr">
        <is>
          <t>Frete de venda</t>
        </is>
      </c>
      <c r="B2968" t="inlineStr">
        <is>
          <t>2.01.02 Frete sobre Vendas</t>
        </is>
      </c>
      <c r="C2968" s="30" t="n">
        <v>46082</v>
      </c>
      <c r="D2968" t="inlineStr">
        <is>
          <t>Em 2026</t>
        </is>
      </c>
      <c r="E2968" s="28" t="n">
        <v>46083</v>
      </c>
      <c r="F2968" t="inlineStr">
        <is>
          <t>CT-e</t>
        </is>
      </c>
      <c r="G2968" t="inlineStr">
        <is>
          <t>000006468</t>
        </is>
      </c>
      <c r="H2968" t="inlineStr">
        <is>
          <t>R&amp;R TRANSPORTE E LOGISTICA</t>
        </is>
      </c>
      <c r="J2968" s="29" t="n">
        <v>41.94</v>
      </c>
      <c r="K2968" s="29">
        <f>(1-ISNUMBER(SEARCH("556",M2968)))*(O2968*SUMIFS(Premissas!$C$5:$C$44,Premissas!$A$5:$A$44,$A2968,Premissas!$B$5:$B$44,$B2968)+P2968*SUMIFS(Premissas!$D$5:$D$44,Premissas!$A$5:$A$44,$A2968,Premissas!$B$5:$B$44,$B2968))+R2968*SUMIFS(Premissas!$E$5:$E$44,Premissas!$A$5:$A$44,$A2968,Premissas!$B$5:$B$44,$B2968)+S2968*SUMIFS(Premissas!$F$5:$F$44,Premissas!$A$5:$A$44,$A2968,Premissas!$B$5:$B$44,$B2968)</f>
        <v/>
      </c>
      <c r="L2968" s="29">
        <f>J2968-K2968</f>
        <v/>
      </c>
      <c r="M2968" t="inlineStr">
        <is>
          <t>1.350</t>
        </is>
      </c>
      <c r="N2968" t="inlineStr">
        <is>
          <t>Modalidade: 0 - Por conta do remetente | Parte: A SARAIVA DA CRUZ COMERCIAL LTDA (01.342.240/0001-37)</t>
        </is>
      </c>
      <c r="O2968" s="29" t="n">
        <v>0</v>
      </c>
      <c r="P2968" s="29" t="n">
        <v>0</v>
      </c>
      <c r="Q2968" s="29" t="n">
        <v>0</v>
      </c>
      <c r="R2968" s="29" t="n">
        <v>0</v>
      </c>
      <c r="S2968" s="29" t="n">
        <v>0</v>
      </c>
      <c r="T2968" t="inlineStr">
        <is>
          <t>25260326975620000130570010000064681001601496</t>
        </is>
      </c>
      <c r="U2968" t="inlineStr">
        <is>
          <t>Não</t>
        </is>
      </c>
    </row>
    <row r="2969">
      <c r="A2969" t="inlineStr">
        <is>
          <t>Frete de venda</t>
        </is>
      </c>
      <c r="B2969" t="inlineStr">
        <is>
          <t>2.01.02 Frete sobre Vendas</t>
        </is>
      </c>
      <c r="C2969" s="30" t="n">
        <v>46082</v>
      </c>
      <c r="D2969" t="inlineStr">
        <is>
          <t>Em 2026</t>
        </is>
      </c>
      <c r="E2969" s="28" t="n">
        <v>46083</v>
      </c>
      <c r="F2969" t="inlineStr">
        <is>
          <t>CT-e</t>
        </is>
      </c>
      <c r="G2969" t="inlineStr">
        <is>
          <t>000006469</t>
        </is>
      </c>
      <c r="H2969" t="inlineStr">
        <is>
          <t>R&amp;R TRANSPORTE E LOGISTICA</t>
        </is>
      </c>
      <c r="J2969" s="29" t="n">
        <v>73.88</v>
      </c>
      <c r="K2969" s="29">
        <f>(1-ISNUMBER(SEARCH("556",M2969)))*(O2969*SUMIFS(Premissas!$C$5:$C$44,Premissas!$A$5:$A$44,$A2969,Premissas!$B$5:$B$44,$B2969)+P2969*SUMIFS(Premissas!$D$5:$D$44,Premissas!$A$5:$A$44,$A2969,Premissas!$B$5:$B$44,$B2969))+R2969*SUMIFS(Premissas!$E$5:$E$44,Premissas!$A$5:$A$44,$A2969,Premissas!$B$5:$B$44,$B2969)+S2969*SUMIFS(Premissas!$F$5:$F$44,Premissas!$A$5:$A$44,$A2969,Premissas!$B$5:$B$44,$B2969)</f>
        <v/>
      </c>
      <c r="L2969" s="29">
        <f>J2969-K2969</f>
        <v/>
      </c>
      <c r="M2969" t="inlineStr">
        <is>
          <t>1.350</t>
        </is>
      </c>
      <c r="N2969" t="inlineStr">
        <is>
          <t>Modalidade: 0 - Por conta do remetente | Parte: JAMES L. H. TOME e CIA LTDA (16.965.024/0001-15)</t>
        </is>
      </c>
      <c r="O2969" s="29" t="n">
        <v>0</v>
      </c>
      <c r="P2969" s="29" t="n">
        <v>0</v>
      </c>
      <c r="Q2969" s="29" t="n">
        <v>0</v>
      </c>
      <c r="R2969" s="29" t="n">
        <v>0</v>
      </c>
      <c r="S2969" s="29" t="n">
        <v>0</v>
      </c>
      <c r="T2969" t="inlineStr">
        <is>
          <t>25260326975620000130570010000064691001301570</t>
        </is>
      </c>
      <c r="U2969" t="inlineStr">
        <is>
          <t>Não</t>
        </is>
      </c>
    </row>
    <row r="2970">
      <c r="A2970" t="inlineStr">
        <is>
          <t>Frete de venda</t>
        </is>
      </c>
      <c r="B2970" t="inlineStr">
        <is>
          <t>2.01.02 Frete sobre Vendas</t>
        </is>
      </c>
      <c r="C2970" s="30" t="n">
        <v>46082</v>
      </c>
      <c r="D2970" t="inlineStr">
        <is>
          <t>Em 2026</t>
        </is>
      </c>
      <c r="E2970" s="28" t="n">
        <v>46083</v>
      </c>
      <c r="F2970" t="inlineStr">
        <is>
          <t>CT-e</t>
        </is>
      </c>
      <c r="G2970" t="inlineStr">
        <is>
          <t>000006470</t>
        </is>
      </c>
      <c r="H2970" t="inlineStr">
        <is>
          <t>R&amp;R TRANSPORTE E LOGISTICA</t>
        </is>
      </c>
      <c r="J2970" s="29" t="n">
        <v>35.86</v>
      </c>
      <c r="K2970" s="29">
        <f>(1-ISNUMBER(SEARCH("556",M2970)))*(O2970*SUMIFS(Premissas!$C$5:$C$44,Premissas!$A$5:$A$44,$A2970,Premissas!$B$5:$B$44,$B2970)+P2970*SUMIFS(Premissas!$D$5:$D$44,Premissas!$A$5:$A$44,$A2970,Premissas!$B$5:$B$44,$B2970))+R2970*SUMIFS(Premissas!$E$5:$E$44,Premissas!$A$5:$A$44,$A2970,Premissas!$B$5:$B$44,$B2970)+S2970*SUMIFS(Premissas!$F$5:$F$44,Premissas!$A$5:$A$44,$A2970,Premissas!$B$5:$B$44,$B2970)</f>
        <v/>
      </c>
      <c r="L2970" s="29">
        <f>J2970-K2970</f>
        <v/>
      </c>
      <c r="M2970" t="inlineStr">
        <is>
          <t>1.350</t>
        </is>
      </c>
      <c r="N2970" t="inlineStr">
        <is>
          <t>Modalidade: 0 - Por conta do remetente | Parte: JAMES L H TOME e CIA LTDA (16.965.024/0008-91)</t>
        </is>
      </c>
      <c r="O2970" s="29" t="n">
        <v>0</v>
      </c>
      <c r="P2970" s="29" t="n">
        <v>0</v>
      </c>
      <c r="Q2970" s="29" t="n">
        <v>0</v>
      </c>
      <c r="R2970" s="29" t="n">
        <v>0</v>
      </c>
      <c r="S2970" s="29" t="n">
        <v>0</v>
      </c>
      <c r="T2970" t="inlineStr">
        <is>
          <t>25260326975620000130570010000064701000101650</t>
        </is>
      </c>
      <c r="U2970" t="inlineStr">
        <is>
          <t>Não</t>
        </is>
      </c>
    </row>
    <row r="2971">
      <c r="A2971" t="inlineStr">
        <is>
          <t>Frete de venda</t>
        </is>
      </c>
      <c r="B2971" t="inlineStr">
        <is>
          <t>2.01.02 Frete sobre Vendas</t>
        </is>
      </c>
      <c r="C2971" s="30" t="n">
        <v>46082</v>
      </c>
      <c r="D2971" t="inlineStr">
        <is>
          <t>Em 2026</t>
        </is>
      </c>
      <c r="E2971" s="28" t="n">
        <v>46083</v>
      </c>
      <c r="F2971" t="inlineStr">
        <is>
          <t>CT-e</t>
        </is>
      </c>
      <c r="G2971" t="inlineStr">
        <is>
          <t>000006471</t>
        </is>
      </c>
      <c r="H2971" t="inlineStr">
        <is>
          <t>R&amp;R TRANSPORTE E LOGISTICA</t>
        </is>
      </c>
      <c r="J2971" s="29" t="n">
        <v>57.67</v>
      </c>
      <c r="K2971" s="29">
        <f>(1-ISNUMBER(SEARCH("556",M2971)))*(O2971*SUMIFS(Premissas!$C$5:$C$44,Premissas!$A$5:$A$44,$A2971,Premissas!$B$5:$B$44,$B2971)+P2971*SUMIFS(Premissas!$D$5:$D$44,Premissas!$A$5:$A$44,$A2971,Premissas!$B$5:$B$44,$B2971))+R2971*SUMIFS(Premissas!$E$5:$E$44,Premissas!$A$5:$A$44,$A2971,Premissas!$B$5:$B$44,$B2971)+S2971*SUMIFS(Premissas!$F$5:$F$44,Premissas!$A$5:$A$44,$A2971,Premissas!$B$5:$B$44,$B2971)</f>
        <v/>
      </c>
      <c r="L2971" s="29">
        <f>J2971-K2971</f>
        <v/>
      </c>
      <c r="M2971" t="inlineStr">
        <is>
          <t>1.350</t>
        </is>
      </c>
      <c r="N2971" t="inlineStr">
        <is>
          <t>Modalidade: 0 - Por conta do remetente | Parte: R ALBUQUERQUE COMERCIO DE ARTIGOS DE ARMARINHO LTDA (57.701.763/0001-87)</t>
        </is>
      </c>
      <c r="O2971" s="29" t="n">
        <v>0</v>
      </c>
      <c r="P2971" s="29" t="n">
        <v>0</v>
      </c>
      <c r="Q2971" s="29" t="n">
        <v>0</v>
      </c>
      <c r="R2971" s="29" t="n">
        <v>0</v>
      </c>
      <c r="S2971" s="29" t="n">
        <v>0</v>
      </c>
      <c r="T2971" t="inlineStr">
        <is>
          <t>25260326975620000130570010000064711001801733</t>
        </is>
      </c>
      <c r="U2971" t="inlineStr">
        <is>
          <t>Não</t>
        </is>
      </c>
    </row>
    <row r="2972">
      <c r="A2972" t="inlineStr">
        <is>
          <t>Frete de venda</t>
        </is>
      </c>
      <c r="B2972" t="inlineStr">
        <is>
          <t>2.01.02 Frete sobre Vendas</t>
        </is>
      </c>
      <c r="C2972" s="30" t="n">
        <v>46082</v>
      </c>
      <c r="D2972" t="inlineStr">
        <is>
          <t>Em 2026</t>
        </is>
      </c>
      <c r="E2972" s="28" t="n">
        <v>46083</v>
      </c>
      <c r="F2972" t="inlineStr">
        <is>
          <t>CT-e</t>
        </is>
      </c>
      <c r="G2972" t="inlineStr">
        <is>
          <t>000006472</t>
        </is>
      </c>
      <c r="H2972" t="inlineStr">
        <is>
          <t>R&amp;R TRANSPORTE E LOGISTICA</t>
        </is>
      </c>
      <c r="J2972" s="29" t="n">
        <v>47.69</v>
      </c>
      <c r="K2972" s="29">
        <f>(1-ISNUMBER(SEARCH("556",M2972)))*(O2972*SUMIFS(Premissas!$C$5:$C$44,Premissas!$A$5:$A$44,$A2972,Premissas!$B$5:$B$44,$B2972)+P2972*SUMIFS(Premissas!$D$5:$D$44,Premissas!$A$5:$A$44,$A2972,Premissas!$B$5:$B$44,$B2972))+R2972*SUMIFS(Premissas!$E$5:$E$44,Premissas!$A$5:$A$44,$A2972,Premissas!$B$5:$B$44,$B2972)+S2972*SUMIFS(Premissas!$F$5:$F$44,Premissas!$A$5:$A$44,$A2972,Premissas!$B$5:$B$44,$B2972)</f>
        <v/>
      </c>
      <c r="L2972" s="29">
        <f>J2972-K2972</f>
        <v/>
      </c>
      <c r="M2972" t="inlineStr">
        <is>
          <t>1.350</t>
        </is>
      </c>
      <c r="N2972" t="inlineStr">
        <is>
          <t>Modalidade: 0 - Por conta do remetente | Parte: COMERCIAL DE PRODUTOS DESCARTAVEIS CAMPINA LTDA (11.692.314/0001-19)</t>
        </is>
      </c>
      <c r="O2972" s="29" t="n">
        <v>0</v>
      </c>
      <c r="P2972" s="29" t="n">
        <v>0</v>
      </c>
      <c r="Q2972" s="29" t="n">
        <v>0</v>
      </c>
      <c r="R2972" s="29" t="n">
        <v>0</v>
      </c>
      <c r="S2972" s="29" t="n">
        <v>0</v>
      </c>
      <c r="T2972" t="inlineStr">
        <is>
          <t>25260326975620000130570010000064721001501818</t>
        </is>
      </c>
      <c r="U2972" t="inlineStr">
        <is>
          <t>Não</t>
        </is>
      </c>
    </row>
    <row r="2973">
      <c r="A2973" t="inlineStr">
        <is>
          <t>Frete de venda</t>
        </is>
      </c>
      <c r="B2973" t="inlineStr">
        <is>
          <t>2.01.02 Frete sobre Vendas</t>
        </is>
      </c>
      <c r="C2973" s="30" t="n">
        <v>46082</v>
      </c>
      <c r="D2973" t="inlineStr">
        <is>
          <t>Em 2026</t>
        </is>
      </c>
      <c r="E2973" s="28" t="n">
        <v>46083</v>
      </c>
      <c r="F2973" t="inlineStr">
        <is>
          <t>CT-e</t>
        </is>
      </c>
      <c r="G2973" t="inlineStr">
        <is>
          <t>000006473</t>
        </is>
      </c>
      <c r="H2973" t="inlineStr">
        <is>
          <t>R&amp;R TRANSPORTE E LOGISTICA</t>
        </is>
      </c>
      <c r="J2973" s="29" t="n">
        <v>88.38</v>
      </c>
      <c r="K2973" s="29">
        <f>(1-ISNUMBER(SEARCH("556",M2973)))*(O2973*SUMIFS(Premissas!$C$5:$C$44,Premissas!$A$5:$A$44,$A2973,Premissas!$B$5:$B$44,$B2973)+P2973*SUMIFS(Premissas!$D$5:$D$44,Premissas!$A$5:$A$44,$A2973,Premissas!$B$5:$B$44,$B2973))+R2973*SUMIFS(Premissas!$E$5:$E$44,Premissas!$A$5:$A$44,$A2973,Premissas!$B$5:$B$44,$B2973)+S2973*SUMIFS(Premissas!$F$5:$F$44,Premissas!$A$5:$A$44,$A2973,Premissas!$B$5:$B$44,$B2973)</f>
        <v/>
      </c>
      <c r="L2973" s="29">
        <f>J2973-K2973</f>
        <v/>
      </c>
      <c r="M2973" t="inlineStr">
        <is>
          <t>1.350</t>
        </is>
      </c>
      <c r="N2973" t="inlineStr">
        <is>
          <t>Modalidade: 0 - Por conta do remetente | Parte: LIDER INDUSTRIA E COMERCIO LTDA (45.762.979/0001-73)</t>
        </is>
      </c>
      <c r="O2973" s="29" t="n">
        <v>0</v>
      </c>
      <c r="P2973" s="29" t="n">
        <v>0</v>
      </c>
      <c r="Q2973" s="29" t="n">
        <v>0</v>
      </c>
      <c r="R2973" s="29" t="n">
        <v>0</v>
      </c>
      <c r="S2973" s="29" t="n">
        <v>0</v>
      </c>
      <c r="T2973" t="inlineStr">
        <is>
          <t>25260326975620000130570010000064731001201897</t>
        </is>
      </c>
      <c r="U2973" t="inlineStr">
        <is>
          <t>Não</t>
        </is>
      </c>
    </row>
    <row r="2974">
      <c r="A2974" t="inlineStr">
        <is>
          <t>Frete de venda</t>
        </is>
      </c>
      <c r="B2974" t="inlineStr">
        <is>
          <t>2.01.02 Frete sobre Vendas</t>
        </is>
      </c>
      <c r="C2974" s="30" t="n">
        <v>46082</v>
      </c>
      <c r="D2974" t="inlineStr">
        <is>
          <t>Em 2026</t>
        </is>
      </c>
      <c r="E2974" s="28" t="n">
        <v>46083</v>
      </c>
      <c r="F2974" t="inlineStr">
        <is>
          <t>CT-e</t>
        </is>
      </c>
      <c r="G2974" t="inlineStr">
        <is>
          <t>000006474</t>
        </is>
      </c>
      <c r="H2974" t="inlineStr">
        <is>
          <t>R&amp;R TRANSPORTE E LOGISTICA</t>
        </is>
      </c>
      <c r="J2974" s="29" t="n">
        <v>14.02</v>
      </c>
      <c r="K2974" s="29">
        <f>(1-ISNUMBER(SEARCH("556",M2974)))*(O2974*SUMIFS(Premissas!$C$5:$C$44,Premissas!$A$5:$A$44,$A2974,Premissas!$B$5:$B$44,$B2974)+P2974*SUMIFS(Premissas!$D$5:$D$44,Premissas!$A$5:$A$44,$A2974,Premissas!$B$5:$B$44,$B2974))+R2974*SUMIFS(Premissas!$E$5:$E$44,Premissas!$A$5:$A$44,$A2974,Premissas!$B$5:$B$44,$B2974)+S2974*SUMIFS(Premissas!$F$5:$F$44,Premissas!$A$5:$A$44,$A2974,Premissas!$B$5:$B$44,$B2974)</f>
        <v/>
      </c>
      <c r="L2974" s="29">
        <f>J2974-K2974</f>
        <v/>
      </c>
      <c r="M2974" t="inlineStr">
        <is>
          <t>1.350</t>
        </is>
      </c>
      <c r="N2974" t="inlineStr">
        <is>
          <t>Modalidade: 0 - Por conta do remetente | Parte: NEW PLASTICOS DISTRIBUIDORA LTDA (38.438.642/0001-40)</t>
        </is>
      </c>
      <c r="O2974" s="29" t="n">
        <v>0</v>
      </c>
      <c r="P2974" s="29" t="n">
        <v>0</v>
      </c>
      <c r="Q2974" s="29" t="n">
        <v>0</v>
      </c>
      <c r="R2974" s="29" t="n">
        <v>0</v>
      </c>
      <c r="S2974" s="29" t="n">
        <v>0</v>
      </c>
      <c r="T2974" t="inlineStr">
        <is>
          <t>25260326975620000130570010000064741001301244</t>
        </is>
      </c>
      <c r="U2974" t="inlineStr">
        <is>
          <t>Não</t>
        </is>
      </c>
    </row>
    <row r="2975">
      <c r="A2975" t="inlineStr">
        <is>
          <t>Frete de venda</t>
        </is>
      </c>
      <c r="B2975" t="inlineStr">
        <is>
          <t>2.01.02 Frete sobre Vendas</t>
        </is>
      </c>
      <c r="C2975" s="30" t="n">
        <v>46082</v>
      </c>
      <c r="D2975" t="inlineStr">
        <is>
          <t>Em 2026</t>
        </is>
      </c>
      <c r="E2975" s="28" t="n">
        <v>46083</v>
      </c>
      <c r="F2975" t="inlineStr">
        <is>
          <t>CT-e</t>
        </is>
      </c>
      <c r="G2975" t="inlineStr">
        <is>
          <t>000006475</t>
        </is>
      </c>
      <c r="H2975" t="inlineStr">
        <is>
          <t>R&amp;R TRANSPORTE E LOGISTICA</t>
        </is>
      </c>
      <c r="J2975" s="29" t="n">
        <v>20.38</v>
      </c>
      <c r="K2975" s="29">
        <f>(1-ISNUMBER(SEARCH("556",M2975)))*(O2975*SUMIFS(Premissas!$C$5:$C$44,Premissas!$A$5:$A$44,$A2975,Premissas!$B$5:$B$44,$B2975)+P2975*SUMIFS(Premissas!$D$5:$D$44,Premissas!$A$5:$A$44,$A2975,Premissas!$B$5:$B$44,$B2975))+R2975*SUMIFS(Premissas!$E$5:$E$44,Premissas!$A$5:$A$44,$A2975,Premissas!$B$5:$B$44,$B2975)+S2975*SUMIFS(Premissas!$F$5:$F$44,Premissas!$A$5:$A$44,$A2975,Premissas!$B$5:$B$44,$B2975)</f>
        <v/>
      </c>
      <c r="L2975" s="29">
        <f>J2975-K2975</f>
        <v/>
      </c>
      <c r="M2975" t="inlineStr">
        <is>
          <t>1.350</t>
        </is>
      </c>
      <c r="N2975" t="inlineStr">
        <is>
          <t>Modalidade: 0 - Por conta do remetente | Parte: R. J. MARQUES ALMEIDA (26.172.755/0001-67)</t>
        </is>
      </c>
      <c r="O2975" s="29" t="n">
        <v>0</v>
      </c>
      <c r="P2975" s="29" t="n">
        <v>0</v>
      </c>
      <c r="Q2975" s="29" t="n">
        <v>0</v>
      </c>
      <c r="R2975" s="29" t="n">
        <v>0</v>
      </c>
      <c r="S2975" s="29" t="n">
        <v>0</v>
      </c>
      <c r="T2975" t="inlineStr">
        <is>
          <t>25260326975620000130570010000064751000101320</t>
        </is>
      </c>
      <c r="U2975" t="inlineStr">
        <is>
          <t>Não</t>
        </is>
      </c>
    </row>
    <row r="2976">
      <c r="A2976" t="inlineStr">
        <is>
          <t>Frete de venda</t>
        </is>
      </c>
      <c r="B2976" t="inlineStr">
        <is>
          <t>2.01.02 Frete sobre Vendas</t>
        </is>
      </c>
      <c r="C2976" s="30" t="n">
        <v>46082</v>
      </c>
      <c r="D2976" t="inlineStr">
        <is>
          <t>Em 2026</t>
        </is>
      </c>
      <c r="E2976" s="28" t="n">
        <v>46083</v>
      </c>
      <c r="F2976" t="inlineStr">
        <is>
          <t>CT-e</t>
        </is>
      </c>
      <c r="G2976" t="inlineStr">
        <is>
          <t>000006476</t>
        </is>
      </c>
      <c r="H2976" t="inlineStr">
        <is>
          <t>R&amp;R TRANSPORTE E LOGISTICA</t>
        </is>
      </c>
      <c r="J2976" s="29" t="n">
        <v>43.5</v>
      </c>
      <c r="K2976" s="29">
        <f>(1-ISNUMBER(SEARCH("556",M2976)))*(O2976*SUMIFS(Premissas!$C$5:$C$44,Premissas!$A$5:$A$44,$A2976,Premissas!$B$5:$B$44,$B2976)+P2976*SUMIFS(Premissas!$D$5:$D$44,Premissas!$A$5:$A$44,$A2976,Premissas!$B$5:$B$44,$B2976))+R2976*SUMIFS(Premissas!$E$5:$E$44,Premissas!$A$5:$A$44,$A2976,Premissas!$B$5:$B$44,$B2976)+S2976*SUMIFS(Premissas!$F$5:$F$44,Premissas!$A$5:$A$44,$A2976,Premissas!$B$5:$B$44,$B2976)</f>
        <v/>
      </c>
      <c r="L2976" s="29">
        <f>J2976-K2976</f>
        <v/>
      </c>
      <c r="M2976" t="inlineStr">
        <is>
          <t>1.350</t>
        </is>
      </c>
      <c r="N2976" t="inlineStr">
        <is>
          <t>Modalidade: 0 - Por conta do remetente | Parte: PLASMAR COMERCIO DE PRODUTOS DESCARTAVEIS LTDA (09.354.922/0001-71)</t>
        </is>
      </c>
      <c r="O2976" s="29" t="n">
        <v>0</v>
      </c>
      <c r="P2976" s="29" t="n">
        <v>0</v>
      </c>
      <c r="Q2976" s="29" t="n">
        <v>0</v>
      </c>
      <c r="R2976" s="29" t="n">
        <v>0</v>
      </c>
      <c r="S2976" s="29" t="n">
        <v>0</v>
      </c>
      <c r="T2976" t="inlineStr">
        <is>
          <t>25260326975620000130570010000064761001801403</t>
        </is>
      </c>
      <c r="U2976" t="inlineStr">
        <is>
          <t>Não</t>
        </is>
      </c>
    </row>
    <row r="2977">
      <c r="A2977" t="inlineStr">
        <is>
          <t>Frete de venda</t>
        </is>
      </c>
      <c r="B2977" t="inlineStr">
        <is>
          <t>2.01.02 Frete sobre Vendas</t>
        </is>
      </c>
      <c r="C2977" s="30" t="n">
        <v>46082</v>
      </c>
      <c r="D2977" t="inlineStr">
        <is>
          <t>Em 2026</t>
        </is>
      </c>
      <c r="E2977" s="28" t="n">
        <v>46083</v>
      </c>
      <c r="F2977" t="inlineStr">
        <is>
          <t>CT-e</t>
        </is>
      </c>
      <c r="G2977" t="inlineStr">
        <is>
          <t>000006477</t>
        </is>
      </c>
      <c r="H2977" t="inlineStr">
        <is>
          <t>R&amp;R TRANSPORTE E LOGISTICA</t>
        </is>
      </c>
      <c r="J2977" s="29" t="n">
        <v>30.44</v>
      </c>
      <c r="K2977" s="29">
        <f>(1-ISNUMBER(SEARCH("556",M2977)))*(O2977*SUMIFS(Premissas!$C$5:$C$44,Premissas!$A$5:$A$44,$A2977,Premissas!$B$5:$B$44,$B2977)+P2977*SUMIFS(Premissas!$D$5:$D$44,Premissas!$A$5:$A$44,$A2977,Premissas!$B$5:$B$44,$B2977))+R2977*SUMIFS(Premissas!$E$5:$E$44,Premissas!$A$5:$A$44,$A2977,Premissas!$B$5:$B$44,$B2977)+S2977*SUMIFS(Premissas!$F$5:$F$44,Premissas!$A$5:$A$44,$A2977,Premissas!$B$5:$B$44,$B2977)</f>
        <v/>
      </c>
      <c r="L2977" s="29">
        <f>J2977-K2977</f>
        <v/>
      </c>
      <c r="M2977" t="inlineStr">
        <is>
          <t>1.350</t>
        </is>
      </c>
      <c r="N2977" t="inlineStr">
        <is>
          <t>Modalidade: 0 - Por conta do remetente | Parte: L. LIMA SA LTDA (60.921.662/0001-26)</t>
        </is>
      </c>
      <c r="O2977" s="29" t="n">
        <v>0</v>
      </c>
      <c r="P2977" s="29" t="n">
        <v>0</v>
      </c>
      <c r="Q2977" s="29" t="n">
        <v>0</v>
      </c>
      <c r="R2977" s="29" t="n">
        <v>0</v>
      </c>
      <c r="S2977" s="29" t="n">
        <v>0</v>
      </c>
      <c r="T2977" t="inlineStr">
        <is>
          <t>25260326975620000130570010000064771001501482</t>
        </is>
      </c>
      <c r="U2977" t="inlineStr">
        <is>
          <t>Não</t>
        </is>
      </c>
    </row>
    <row r="2978">
      <c r="A2978" t="inlineStr">
        <is>
          <t>Frete de venda</t>
        </is>
      </c>
      <c r="B2978" t="inlineStr">
        <is>
          <t>2.01.02 Frete sobre Vendas</t>
        </is>
      </c>
      <c r="C2978" s="30" t="n">
        <v>46082</v>
      </c>
      <c r="D2978" t="inlineStr">
        <is>
          <t>Em 2026</t>
        </is>
      </c>
      <c r="E2978" s="28" t="n">
        <v>46083</v>
      </c>
      <c r="F2978" t="inlineStr">
        <is>
          <t>CT-e</t>
        </is>
      </c>
      <c r="G2978" t="inlineStr">
        <is>
          <t>000006478</t>
        </is>
      </c>
      <c r="H2978" t="inlineStr">
        <is>
          <t>R&amp;R TRANSPORTE E LOGISTICA</t>
        </is>
      </c>
      <c r="J2978" s="29" t="n">
        <v>39.1</v>
      </c>
      <c r="K2978" s="29">
        <f>(1-ISNUMBER(SEARCH("556",M2978)))*(O2978*SUMIFS(Premissas!$C$5:$C$44,Premissas!$A$5:$A$44,$A2978,Premissas!$B$5:$B$44,$B2978)+P2978*SUMIFS(Premissas!$D$5:$D$44,Premissas!$A$5:$A$44,$A2978,Premissas!$B$5:$B$44,$B2978))+R2978*SUMIFS(Premissas!$E$5:$E$44,Premissas!$A$5:$A$44,$A2978,Premissas!$B$5:$B$44,$B2978)+S2978*SUMIFS(Premissas!$F$5:$F$44,Premissas!$A$5:$A$44,$A2978,Premissas!$B$5:$B$44,$B2978)</f>
        <v/>
      </c>
      <c r="L2978" s="29">
        <f>J2978-K2978</f>
        <v/>
      </c>
      <c r="M2978" t="inlineStr">
        <is>
          <t>1.350</t>
        </is>
      </c>
      <c r="N2978" t="inlineStr">
        <is>
          <t>Modalidade: 0 - Por conta do remetente | Parte: JAMES L. H. TOME e CIA LTDA (16.965.024/0006-20)</t>
        </is>
      </c>
      <c r="O2978" s="29" t="n">
        <v>0</v>
      </c>
      <c r="P2978" s="29" t="n">
        <v>0</v>
      </c>
      <c r="Q2978" s="29" t="n">
        <v>0</v>
      </c>
      <c r="R2978" s="29" t="n">
        <v>0</v>
      </c>
      <c r="S2978" s="29" t="n">
        <v>0</v>
      </c>
      <c r="T2978" t="inlineStr">
        <is>
          <t>25260326975620000130570010000064781001201567</t>
        </is>
      </c>
      <c r="U2978" t="inlineStr">
        <is>
          <t>Não</t>
        </is>
      </c>
    </row>
    <row r="2979">
      <c r="A2979" t="inlineStr">
        <is>
          <t>Frete de venda</t>
        </is>
      </c>
      <c r="B2979" t="inlineStr">
        <is>
          <t>2.01.02 Frete sobre Vendas</t>
        </is>
      </c>
      <c r="C2979" s="30" t="n">
        <v>46082</v>
      </c>
      <c r="D2979" t="inlineStr">
        <is>
          <t>Em 2026</t>
        </is>
      </c>
      <c r="E2979" s="28" t="n">
        <v>46083</v>
      </c>
      <c r="F2979" t="inlineStr">
        <is>
          <t>CT-e</t>
        </is>
      </c>
      <c r="G2979" t="inlineStr">
        <is>
          <t>000006479</t>
        </is>
      </c>
      <c r="H2979" t="inlineStr">
        <is>
          <t>R&amp;R TRANSPORTE E LOGISTICA</t>
        </is>
      </c>
      <c r="J2979" s="29" t="n">
        <v>56.28</v>
      </c>
      <c r="K2979" s="29">
        <f>(1-ISNUMBER(SEARCH("556",M2979)))*(O2979*SUMIFS(Premissas!$C$5:$C$44,Premissas!$A$5:$A$44,$A2979,Premissas!$B$5:$B$44,$B2979)+P2979*SUMIFS(Premissas!$D$5:$D$44,Premissas!$A$5:$A$44,$A2979,Premissas!$B$5:$B$44,$B2979))+R2979*SUMIFS(Premissas!$E$5:$E$44,Premissas!$A$5:$A$44,$A2979,Premissas!$B$5:$B$44,$B2979)+S2979*SUMIFS(Premissas!$F$5:$F$44,Premissas!$A$5:$A$44,$A2979,Premissas!$B$5:$B$44,$B2979)</f>
        <v/>
      </c>
      <c r="L2979" s="29">
        <f>J2979-K2979</f>
        <v/>
      </c>
      <c r="M2979" t="inlineStr">
        <is>
          <t>1.350</t>
        </is>
      </c>
      <c r="N2979" t="inlineStr">
        <is>
          <t>Modalidade: 0 - Por conta do remetente | Parte: JAMES L. H. TOME e CIA LTDA (16.965.024/0007-00)</t>
        </is>
      </c>
      <c r="O2979" s="29" t="n">
        <v>0</v>
      </c>
      <c r="P2979" s="29" t="n">
        <v>0</v>
      </c>
      <c r="Q2979" s="29" t="n">
        <v>0</v>
      </c>
      <c r="R2979" s="29" t="n">
        <v>0</v>
      </c>
      <c r="S2979" s="29" t="n">
        <v>0</v>
      </c>
      <c r="T2979" t="inlineStr">
        <is>
          <t>25260326975620000130570010000064791011001649</t>
        </is>
      </c>
      <c r="U2979" t="inlineStr">
        <is>
          <t>Não</t>
        </is>
      </c>
    </row>
    <row r="2980">
      <c r="A2980" t="inlineStr">
        <is>
          <t>Frete de venda</t>
        </is>
      </c>
      <c r="B2980" t="inlineStr">
        <is>
          <t>2.01.02 Frete sobre Vendas</t>
        </is>
      </c>
      <c r="C2980" s="30" t="n">
        <v>46082</v>
      </c>
      <c r="D2980" t="inlineStr">
        <is>
          <t>Em 2026</t>
        </is>
      </c>
      <c r="E2980" s="28" t="n">
        <v>46083</v>
      </c>
      <c r="F2980" t="inlineStr">
        <is>
          <t>CT-e</t>
        </is>
      </c>
      <c r="G2980" t="inlineStr">
        <is>
          <t>000006480</t>
        </is>
      </c>
      <c r="H2980" t="inlineStr">
        <is>
          <t>R&amp;R TRANSPORTE E LOGISTICA</t>
        </is>
      </c>
      <c r="J2980" s="29" t="n">
        <v>33.72</v>
      </c>
      <c r="K2980" s="29">
        <f>(1-ISNUMBER(SEARCH("556",M2980)))*(O2980*SUMIFS(Premissas!$C$5:$C$44,Premissas!$A$5:$A$44,$A2980,Premissas!$B$5:$B$44,$B2980)+P2980*SUMIFS(Premissas!$D$5:$D$44,Premissas!$A$5:$A$44,$A2980,Premissas!$B$5:$B$44,$B2980))+R2980*SUMIFS(Premissas!$E$5:$E$44,Premissas!$A$5:$A$44,$A2980,Premissas!$B$5:$B$44,$B2980)+S2980*SUMIFS(Premissas!$F$5:$F$44,Premissas!$A$5:$A$44,$A2980,Premissas!$B$5:$B$44,$B2980)</f>
        <v/>
      </c>
      <c r="L2980" s="29">
        <f>J2980-K2980</f>
        <v/>
      </c>
      <c r="M2980" t="inlineStr">
        <is>
          <t>1.350</t>
        </is>
      </c>
      <c r="N2980" t="inlineStr">
        <is>
          <t>Modalidade: 0 - Por conta do remetente | Parte: A C M DA SILVA COMERCIO (15.485.160/0001-45)</t>
        </is>
      </c>
      <c r="O2980" s="29" t="n">
        <v>0</v>
      </c>
      <c r="P2980" s="29" t="n">
        <v>0</v>
      </c>
      <c r="Q2980" s="29" t="n">
        <v>0</v>
      </c>
      <c r="R2980" s="29" t="n">
        <v>0</v>
      </c>
      <c r="S2980" s="29" t="n">
        <v>0</v>
      </c>
      <c r="T2980" t="inlineStr">
        <is>
          <t>25260326975620000130570010000064801001701720</t>
        </is>
      </c>
      <c r="U2980" t="inlineStr">
        <is>
          <t>Não</t>
        </is>
      </c>
    </row>
    <row r="2981">
      <c r="A2981" t="inlineStr">
        <is>
          <t>Frete de venda</t>
        </is>
      </c>
      <c r="B2981" t="inlineStr">
        <is>
          <t>2.01.02 Frete sobre Vendas</t>
        </is>
      </c>
      <c r="C2981" s="30" t="n">
        <v>46082</v>
      </c>
      <c r="D2981" t="inlineStr">
        <is>
          <t>Em 2026</t>
        </is>
      </c>
      <c r="E2981" s="28" t="n">
        <v>46083</v>
      </c>
      <c r="F2981" t="inlineStr">
        <is>
          <t>CT-e</t>
        </is>
      </c>
      <c r="G2981" t="inlineStr">
        <is>
          <t>000006481</t>
        </is>
      </c>
      <c r="H2981" t="inlineStr">
        <is>
          <t>R&amp;R TRANSPORTE E LOGISTICA</t>
        </is>
      </c>
      <c r="J2981" s="29" t="n">
        <v>20.48</v>
      </c>
      <c r="K2981" s="29">
        <f>(1-ISNUMBER(SEARCH("556",M2981)))*(O2981*SUMIFS(Premissas!$C$5:$C$44,Premissas!$A$5:$A$44,$A2981,Premissas!$B$5:$B$44,$B2981)+P2981*SUMIFS(Premissas!$D$5:$D$44,Premissas!$A$5:$A$44,$A2981,Premissas!$B$5:$B$44,$B2981))+R2981*SUMIFS(Premissas!$E$5:$E$44,Premissas!$A$5:$A$44,$A2981,Premissas!$B$5:$B$44,$B2981)+S2981*SUMIFS(Premissas!$F$5:$F$44,Premissas!$A$5:$A$44,$A2981,Premissas!$B$5:$B$44,$B2981)</f>
        <v/>
      </c>
      <c r="L2981" s="29">
        <f>J2981-K2981</f>
        <v/>
      </c>
      <c r="M2981" t="inlineStr">
        <is>
          <t>1.350</t>
        </is>
      </c>
      <c r="N2981" t="inlineStr">
        <is>
          <t>Modalidade: 0 - Por conta do remetente | Parte: CASA DAS EMBALAGENS LTDA (64.892.754/0001-86)</t>
        </is>
      </c>
      <c r="O2981" s="29" t="n">
        <v>0</v>
      </c>
      <c r="P2981" s="29" t="n">
        <v>0</v>
      </c>
      <c r="Q2981" s="29" t="n">
        <v>0</v>
      </c>
      <c r="R2981" s="29" t="n">
        <v>0</v>
      </c>
      <c r="S2981" s="29" t="n">
        <v>0</v>
      </c>
      <c r="T2981" t="inlineStr">
        <is>
          <t>25260326975620000130570010000064811001401804</t>
        </is>
      </c>
      <c r="U2981" t="inlineStr">
        <is>
          <t>Não</t>
        </is>
      </c>
    </row>
    <row r="2982">
      <c r="A2982" t="inlineStr">
        <is>
          <t>Frete de venda</t>
        </is>
      </c>
      <c r="B2982" t="inlineStr">
        <is>
          <t>2.01.02 Frete sobre Vendas</t>
        </is>
      </c>
      <c r="C2982" s="30" t="n">
        <v>46082</v>
      </c>
      <c r="D2982" t="inlineStr">
        <is>
          <t>Em 2026</t>
        </is>
      </c>
      <c r="E2982" s="28" t="n">
        <v>46084</v>
      </c>
      <c r="F2982" t="inlineStr">
        <is>
          <t>CT-e</t>
        </is>
      </c>
      <c r="G2982" t="inlineStr">
        <is>
          <t>000006482</t>
        </is>
      </c>
      <c r="H2982" t="inlineStr">
        <is>
          <t>R&amp;R TRANSPORTE E LOGISTICA</t>
        </is>
      </c>
      <c r="J2982" s="29" t="n">
        <v>72.22</v>
      </c>
      <c r="K2982" s="29">
        <f>(1-ISNUMBER(SEARCH("556",M2982)))*(O2982*SUMIFS(Premissas!$C$5:$C$44,Premissas!$A$5:$A$44,$A2982,Premissas!$B$5:$B$44,$B2982)+P2982*SUMIFS(Premissas!$D$5:$D$44,Premissas!$A$5:$A$44,$A2982,Premissas!$B$5:$B$44,$B2982))+R2982*SUMIFS(Premissas!$E$5:$E$44,Premissas!$A$5:$A$44,$A2982,Premissas!$B$5:$B$44,$B2982)+S2982*SUMIFS(Premissas!$F$5:$F$44,Premissas!$A$5:$A$44,$A2982,Premissas!$B$5:$B$44,$B2982)</f>
        <v/>
      </c>
      <c r="L2982" s="29">
        <f>J2982-K2982</f>
        <v/>
      </c>
      <c r="M2982" t="inlineStr">
        <is>
          <t>1.350</t>
        </is>
      </c>
      <c r="N2982" t="inlineStr">
        <is>
          <t>Modalidade: 0 - Por conta do remetente | Parte: SHALLON EMBALAGENS LTDA (49.431.842/0001-97)</t>
        </is>
      </c>
      <c r="O2982" s="29" t="n">
        <v>0</v>
      </c>
      <c r="P2982" s="29" t="n">
        <v>0</v>
      </c>
      <c r="Q2982" s="29" t="n">
        <v>0</v>
      </c>
      <c r="R2982" s="29" t="n">
        <v>0</v>
      </c>
      <c r="S2982" s="29" t="n">
        <v>0</v>
      </c>
      <c r="T2982" t="inlineStr">
        <is>
          <t>25260326975620000130570010000064821001101883</t>
        </is>
      </c>
      <c r="U2982" t="inlineStr">
        <is>
          <t>Não</t>
        </is>
      </c>
    </row>
    <row r="2983">
      <c r="A2983" t="inlineStr">
        <is>
          <t>Frete de venda</t>
        </is>
      </c>
      <c r="B2983" t="inlineStr">
        <is>
          <t>2.01.02 Frete sobre Vendas</t>
        </is>
      </c>
      <c r="C2983" s="30" t="n">
        <v>46082</v>
      </c>
      <c r="D2983" t="inlineStr">
        <is>
          <t>Em 2026</t>
        </is>
      </c>
      <c r="E2983" s="28" t="n">
        <v>46084</v>
      </c>
      <c r="F2983" t="inlineStr">
        <is>
          <t>CT-e</t>
        </is>
      </c>
      <c r="G2983" t="inlineStr">
        <is>
          <t>000006483</t>
        </is>
      </c>
      <c r="H2983" t="inlineStr">
        <is>
          <t>R&amp;R TRANSPORTE E LOGISTICA</t>
        </is>
      </c>
      <c r="J2983" s="29" t="n">
        <v>73.95</v>
      </c>
      <c r="K2983" s="29">
        <f>(1-ISNUMBER(SEARCH("556",M2983)))*(O2983*SUMIFS(Premissas!$C$5:$C$44,Premissas!$A$5:$A$44,$A2983,Premissas!$B$5:$B$44,$B2983)+P2983*SUMIFS(Premissas!$D$5:$D$44,Premissas!$A$5:$A$44,$A2983,Premissas!$B$5:$B$44,$B2983))+R2983*SUMIFS(Premissas!$E$5:$E$44,Premissas!$A$5:$A$44,$A2983,Premissas!$B$5:$B$44,$B2983)+S2983*SUMIFS(Premissas!$F$5:$F$44,Premissas!$A$5:$A$44,$A2983,Premissas!$B$5:$B$44,$B2983)</f>
        <v/>
      </c>
      <c r="L2983" s="29">
        <f>J2983-K2983</f>
        <v/>
      </c>
      <c r="M2983" t="inlineStr">
        <is>
          <t>1.350</t>
        </is>
      </c>
      <c r="N2983" t="inlineStr">
        <is>
          <t>Modalidade: 0 - Por conta do remetente | Parte: FREITAS COMERCIO DE EMBALAGENS LTDA (17.024.400/0001-30)</t>
        </is>
      </c>
      <c r="O2983" s="29" t="n">
        <v>0</v>
      </c>
      <c r="P2983" s="29" t="n">
        <v>0</v>
      </c>
      <c r="Q2983" s="29" t="n">
        <v>0</v>
      </c>
      <c r="R2983" s="29" t="n">
        <v>0</v>
      </c>
      <c r="S2983" s="29" t="n">
        <v>0</v>
      </c>
      <c r="T2983" t="inlineStr">
        <is>
          <t>25260326975620000130570010000064831001901968</t>
        </is>
      </c>
      <c r="U2983" t="inlineStr">
        <is>
          <t>Não</t>
        </is>
      </c>
    </row>
    <row r="2984">
      <c r="A2984" t="inlineStr">
        <is>
          <t>Frete de venda</t>
        </is>
      </c>
      <c r="B2984" t="inlineStr">
        <is>
          <t>2.01.02 Frete sobre Vendas</t>
        </is>
      </c>
      <c r="C2984" s="30" t="n">
        <v>46082</v>
      </c>
      <c r="D2984" t="inlineStr">
        <is>
          <t>Em 2026</t>
        </is>
      </c>
      <c r="E2984" s="28" t="n">
        <v>46084</v>
      </c>
      <c r="F2984" t="inlineStr">
        <is>
          <t>CT-e</t>
        </is>
      </c>
      <c r="G2984" t="inlineStr">
        <is>
          <t>000006484</t>
        </is>
      </c>
      <c r="H2984" t="inlineStr">
        <is>
          <t>R&amp;R TRANSPORTE E LOGISTICA</t>
        </is>
      </c>
      <c r="J2984" s="29" t="n">
        <v>62.08</v>
      </c>
      <c r="K2984" s="29">
        <f>(1-ISNUMBER(SEARCH("556",M2984)))*(O2984*SUMIFS(Premissas!$C$5:$C$44,Premissas!$A$5:$A$44,$A2984,Premissas!$B$5:$B$44,$B2984)+P2984*SUMIFS(Premissas!$D$5:$D$44,Premissas!$A$5:$A$44,$A2984,Premissas!$B$5:$B$44,$B2984))+R2984*SUMIFS(Premissas!$E$5:$E$44,Premissas!$A$5:$A$44,$A2984,Premissas!$B$5:$B$44,$B2984)+S2984*SUMIFS(Premissas!$F$5:$F$44,Premissas!$A$5:$A$44,$A2984,Premissas!$B$5:$B$44,$B2984)</f>
        <v/>
      </c>
      <c r="L2984" s="29">
        <f>J2984-K2984</f>
        <v/>
      </c>
      <c r="M2984" t="inlineStr">
        <is>
          <t>1.350</t>
        </is>
      </c>
      <c r="N2984" t="inlineStr">
        <is>
          <t>Modalidade: 0 - Por conta do remetente | Parte: COMERCIAL SIMAO LTDA (02.745.979/0001-52)</t>
        </is>
      </c>
      <c r="O2984" s="29" t="n">
        <v>0</v>
      </c>
      <c r="P2984" s="29" t="n">
        <v>0</v>
      </c>
      <c r="Q2984" s="29" t="n">
        <v>0</v>
      </c>
      <c r="R2984" s="29" t="n">
        <v>0</v>
      </c>
      <c r="S2984" s="29" t="n">
        <v>0</v>
      </c>
      <c r="T2984" t="inlineStr">
        <is>
          <t>25260326975620000130570010000064841011001312</t>
        </is>
      </c>
      <c r="U2984" t="inlineStr">
        <is>
          <t>Não</t>
        </is>
      </c>
    </row>
    <row r="2985">
      <c r="A2985" t="inlineStr">
        <is>
          <t>Frete de venda</t>
        </is>
      </c>
      <c r="B2985" t="inlineStr">
        <is>
          <t>2.01.02 Frete sobre Vendas</t>
        </is>
      </c>
      <c r="C2985" s="30" t="n">
        <v>46082</v>
      </c>
      <c r="D2985" t="inlineStr">
        <is>
          <t>Em 2026</t>
        </is>
      </c>
      <c r="E2985" s="28" t="n">
        <v>46084</v>
      </c>
      <c r="F2985" t="inlineStr">
        <is>
          <t>CT-e</t>
        </is>
      </c>
      <c r="G2985" t="inlineStr">
        <is>
          <t>000006485</t>
        </is>
      </c>
      <c r="H2985" t="inlineStr">
        <is>
          <t>R&amp;R TRANSPORTE E LOGISTICA</t>
        </is>
      </c>
      <c r="J2985" s="29" t="n">
        <v>25.66</v>
      </c>
      <c r="K2985" s="29">
        <f>(1-ISNUMBER(SEARCH("556",M2985)))*(O2985*SUMIFS(Premissas!$C$5:$C$44,Premissas!$A$5:$A$44,$A2985,Premissas!$B$5:$B$44,$B2985)+P2985*SUMIFS(Premissas!$D$5:$D$44,Premissas!$A$5:$A$44,$A2985,Premissas!$B$5:$B$44,$B2985))+R2985*SUMIFS(Premissas!$E$5:$E$44,Premissas!$A$5:$A$44,$A2985,Premissas!$B$5:$B$44,$B2985)+S2985*SUMIFS(Premissas!$F$5:$F$44,Premissas!$A$5:$A$44,$A2985,Premissas!$B$5:$B$44,$B2985)</f>
        <v/>
      </c>
      <c r="L2985" s="29">
        <f>J2985-K2985</f>
        <v/>
      </c>
      <c r="M2985" t="inlineStr">
        <is>
          <t>1.350</t>
        </is>
      </c>
      <c r="N2985" t="inlineStr">
        <is>
          <t>Modalidade: 0 - Por conta do remetente | Parte: A M E DISTRIBUIDORA DE EMBALAGENS PRODUTOS PARA CONFEITAR (19.310.817/0001-94)</t>
        </is>
      </c>
      <c r="O2985" s="29" t="n">
        <v>0</v>
      </c>
      <c r="P2985" s="29" t="n">
        <v>0</v>
      </c>
      <c r="Q2985" s="29" t="n">
        <v>0</v>
      </c>
      <c r="R2985" s="29" t="n">
        <v>0</v>
      </c>
      <c r="S2985" s="29" t="n">
        <v>0</v>
      </c>
      <c r="T2985" t="inlineStr">
        <is>
          <t>25260326975620000130570010000064851001701394</t>
        </is>
      </c>
      <c r="U2985" t="inlineStr">
        <is>
          <t>Não</t>
        </is>
      </c>
    </row>
    <row r="2986">
      <c r="A2986" t="inlineStr">
        <is>
          <t>Frete de venda</t>
        </is>
      </c>
      <c r="B2986" t="inlineStr">
        <is>
          <t>2.01.02 Frete sobre Vendas</t>
        </is>
      </c>
      <c r="C2986" s="30" t="n">
        <v>46082</v>
      </c>
      <c r="D2986" t="inlineStr">
        <is>
          <t>Em 2026</t>
        </is>
      </c>
      <c r="E2986" s="28" t="n">
        <v>46084</v>
      </c>
      <c r="F2986" t="inlineStr">
        <is>
          <t>CT-e</t>
        </is>
      </c>
      <c r="G2986" t="inlineStr">
        <is>
          <t>000006486</t>
        </is>
      </c>
      <c r="H2986" t="inlineStr">
        <is>
          <t>R&amp;R TRANSPORTE E LOGISTICA</t>
        </is>
      </c>
      <c r="J2986" s="29" t="n">
        <v>30.59</v>
      </c>
      <c r="K2986" s="29">
        <f>(1-ISNUMBER(SEARCH("556",M2986)))*(O2986*SUMIFS(Premissas!$C$5:$C$44,Premissas!$A$5:$A$44,$A2986,Premissas!$B$5:$B$44,$B2986)+P2986*SUMIFS(Premissas!$D$5:$D$44,Premissas!$A$5:$A$44,$A2986,Premissas!$B$5:$B$44,$B2986))+R2986*SUMIFS(Premissas!$E$5:$E$44,Premissas!$A$5:$A$44,$A2986,Premissas!$B$5:$B$44,$B2986)+S2986*SUMIFS(Premissas!$F$5:$F$44,Premissas!$A$5:$A$44,$A2986,Premissas!$B$5:$B$44,$B2986)</f>
        <v/>
      </c>
      <c r="L2986" s="29">
        <f>J2986-K2986</f>
        <v/>
      </c>
      <c r="M2986" t="inlineStr">
        <is>
          <t>1.350</t>
        </is>
      </c>
      <c r="N2986" t="inlineStr">
        <is>
          <t>Modalidade: 0 - Por conta do remetente | Parte: SOL COMERCIO DE EMBALAGENS LTDA (48.993.949/0001-66)</t>
        </is>
      </c>
      <c r="O2986" s="29" t="n">
        <v>0</v>
      </c>
      <c r="P2986" s="29" t="n">
        <v>0</v>
      </c>
      <c r="Q2986" s="29" t="n">
        <v>0</v>
      </c>
      <c r="R2986" s="29" t="n">
        <v>0</v>
      </c>
      <c r="S2986" s="29" t="n">
        <v>0</v>
      </c>
      <c r="T2986" t="inlineStr">
        <is>
          <t>25260326975620000130570010000064861001401479</t>
        </is>
      </c>
      <c r="U2986" t="inlineStr">
        <is>
          <t>Não</t>
        </is>
      </c>
    </row>
    <row r="2987">
      <c r="A2987" t="inlineStr">
        <is>
          <t>Frete de venda</t>
        </is>
      </c>
      <c r="B2987" t="inlineStr">
        <is>
          <t>2.01.02 Frete sobre Vendas</t>
        </is>
      </c>
      <c r="C2987" s="30" t="n">
        <v>46082</v>
      </c>
      <c r="D2987" t="inlineStr">
        <is>
          <t>Em 2026</t>
        </is>
      </c>
      <c r="E2987" s="28" t="n">
        <v>46084</v>
      </c>
      <c r="F2987" t="inlineStr">
        <is>
          <t>CT-e</t>
        </is>
      </c>
      <c r="G2987" t="inlineStr">
        <is>
          <t>000006487</t>
        </is>
      </c>
      <c r="H2987" t="inlineStr">
        <is>
          <t>R&amp;R TRANSPORTE E LOGISTICA</t>
        </is>
      </c>
      <c r="J2987" s="29" t="n">
        <v>24.9</v>
      </c>
      <c r="K2987" s="29">
        <f>(1-ISNUMBER(SEARCH("556",M2987)))*(O2987*SUMIFS(Premissas!$C$5:$C$44,Premissas!$A$5:$A$44,$A2987,Premissas!$B$5:$B$44,$B2987)+P2987*SUMIFS(Premissas!$D$5:$D$44,Premissas!$A$5:$A$44,$A2987,Premissas!$B$5:$B$44,$B2987))+R2987*SUMIFS(Premissas!$E$5:$E$44,Premissas!$A$5:$A$44,$A2987,Premissas!$B$5:$B$44,$B2987)+S2987*SUMIFS(Premissas!$F$5:$F$44,Premissas!$A$5:$A$44,$A2987,Premissas!$B$5:$B$44,$B2987)</f>
        <v/>
      </c>
      <c r="L2987" s="29">
        <f>J2987-K2987</f>
        <v/>
      </c>
      <c r="M2987" t="inlineStr">
        <is>
          <t>1.350</t>
        </is>
      </c>
      <c r="N2987" t="inlineStr">
        <is>
          <t>Modalidade: 0 - Por conta do remetente | Parte: JAB IMPORTACAO E EXPORTACAO LTDA (21.938.705/0002-05)</t>
        </is>
      </c>
      <c r="O2987" s="29" t="n">
        <v>0</v>
      </c>
      <c r="P2987" s="29" t="n">
        <v>0</v>
      </c>
      <c r="Q2987" s="29" t="n">
        <v>0</v>
      </c>
      <c r="R2987" s="29" t="n">
        <v>0</v>
      </c>
      <c r="S2987" s="29" t="n">
        <v>0</v>
      </c>
      <c r="T2987" t="inlineStr">
        <is>
          <t>25260326975620000130570010000064871001101553</t>
        </is>
      </c>
      <c r="U2987" t="inlineStr">
        <is>
          <t>Não</t>
        </is>
      </c>
    </row>
    <row r="2988">
      <c r="A2988" t="inlineStr">
        <is>
          <t>Frete de venda</t>
        </is>
      </c>
      <c r="B2988" t="inlineStr">
        <is>
          <t>2.01.02 Frete sobre Vendas</t>
        </is>
      </c>
      <c r="C2988" s="30" t="n">
        <v>46082</v>
      </c>
      <c r="D2988" t="inlineStr">
        <is>
          <t>Em 2026</t>
        </is>
      </c>
      <c r="E2988" s="28" t="n">
        <v>46084</v>
      </c>
      <c r="F2988" t="inlineStr">
        <is>
          <t>CT-e</t>
        </is>
      </c>
      <c r="G2988" t="inlineStr">
        <is>
          <t>000006488</t>
        </is>
      </c>
      <c r="H2988" t="inlineStr">
        <is>
          <t>R&amp;R TRANSPORTE E LOGISTICA</t>
        </is>
      </c>
      <c r="J2988" s="29" t="n">
        <v>50.45</v>
      </c>
      <c r="K2988" s="29">
        <f>(1-ISNUMBER(SEARCH("556",M2988)))*(O2988*SUMIFS(Premissas!$C$5:$C$44,Premissas!$A$5:$A$44,$A2988,Premissas!$B$5:$B$44,$B2988)+P2988*SUMIFS(Premissas!$D$5:$D$44,Premissas!$A$5:$A$44,$A2988,Premissas!$B$5:$B$44,$B2988))+R2988*SUMIFS(Premissas!$E$5:$E$44,Premissas!$A$5:$A$44,$A2988,Premissas!$B$5:$B$44,$B2988)+S2988*SUMIFS(Premissas!$F$5:$F$44,Premissas!$A$5:$A$44,$A2988,Premissas!$B$5:$B$44,$B2988)</f>
        <v/>
      </c>
      <c r="L2988" s="29">
        <f>J2988-K2988</f>
        <v/>
      </c>
      <c r="M2988" t="inlineStr">
        <is>
          <t>1.350</t>
        </is>
      </c>
      <c r="N2988" t="inlineStr">
        <is>
          <t>Modalidade: 0 - Por conta do remetente | Parte: TYGER ATACADISTA E DISTRIBUIDORA LTDA (36.978.497/0001-64)</t>
        </is>
      </c>
      <c r="O2988" s="29" t="n">
        <v>0</v>
      </c>
      <c r="P2988" s="29" t="n">
        <v>0</v>
      </c>
      <c r="Q2988" s="29" t="n">
        <v>0</v>
      </c>
      <c r="R2988" s="29" t="n">
        <v>0</v>
      </c>
      <c r="S2988" s="29" t="n">
        <v>0</v>
      </c>
      <c r="T2988" t="inlineStr">
        <is>
          <t>25260326975620000130570010000064881001901638</t>
        </is>
      </c>
      <c r="U2988" t="inlineStr">
        <is>
          <t>Não</t>
        </is>
      </c>
    </row>
    <row r="2989">
      <c r="A2989" t="inlineStr">
        <is>
          <t>Frete de venda</t>
        </is>
      </c>
      <c r="B2989" t="inlineStr">
        <is>
          <t>2.01.02 Frete sobre Vendas</t>
        </is>
      </c>
      <c r="C2989" s="30" t="n">
        <v>46082</v>
      </c>
      <c r="D2989" t="inlineStr">
        <is>
          <t>Em 2026</t>
        </is>
      </c>
      <c r="E2989" s="28" t="n">
        <v>46084</v>
      </c>
      <c r="F2989" t="inlineStr">
        <is>
          <t>CT-e</t>
        </is>
      </c>
      <c r="G2989" t="inlineStr">
        <is>
          <t>000006489</t>
        </is>
      </c>
      <c r="H2989" t="inlineStr">
        <is>
          <t>R&amp;R TRANSPORTE E LOGISTICA</t>
        </is>
      </c>
      <c r="J2989" s="29" t="n">
        <v>50.52</v>
      </c>
      <c r="K2989" s="29">
        <f>(1-ISNUMBER(SEARCH("556",M2989)))*(O2989*SUMIFS(Premissas!$C$5:$C$44,Premissas!$A$5:$A$44,$A2989,Premissas!$B$5:$B$44,$B2989)+P2989*SUMIFS(Premissas!$D$5:$D$44,Premissas!$A$5:$A$44,$A2989,Premissas!$B$5:$B$44,$B2989))+R2989*SUMIFS(Premissas!$E$5:$E$44,Premissas!$A$5:$A$44,$A2989,Premissas!$B$5:$B$44,$B2989)+S2989*SUMIFS(Premissas!$F$5:$F$44,Premissas!$A$5:$A$44,$A2989,Premissas!$B$5:$B$44,$B2989)</f>
        <v/>
      </c>
      <c r="L2989" s="29">
        <f>J2989-K2989</f>
        <v/>
      </c>
      <c r="M2989" t="inlineStr">
        <is>
          <t>1.350</t>
        </is>
      </c>
      <c r="N2989" t="inlineStr">
        <is>
          <t>Modalidade: 0 - Por conta do remetente | Parte: LEPETTI DOCES BSB LTDA (27.023.179/0001-59)</t>
        </is>
      </c>
      <c r="O2989" s="29" t="n">
        <v>0</v>
      </c>
      <c r="P2989" s="29" t="n">
        <v>0</v>
      </c>
      <c r="Q2989" s="29" t="n">
        <v>0</v>
      </c>
      <c r="R2989" s="29" t="n">
        <v>0</v>
      </c>
      <c r="S2989" s="29" t="n">
        <v>0</v>
      </c>
      <c r="T2989" t="inlineStr">
        <is>
          <t>25260326975620000130570010000064891001601712</t>
        </is>
      </c>
      <c r="U2989" t="inlineStr">
        <is>
          <t>Não</t>
        </is>
      </c>
    </row>
    <row r="2990">
      <c r="A2990" t="inlineStr">
        <is>
          <t>Frete de venda</t>
        </is>
      </c>
      <c r="B2990" t="inlineStr">
        <is>
          <t>2.01.02 Frete sobre Vendas</t>
        </is>
      </c>
      <c r="C2990" s="30" t="n">
        <v>46082</v>
      </c>
      <c r="D2990" t="inlineStr">
        <is>
          <t>Em 2026</t>
        </is>
      </c>
      <c r="E2990" s="28" t="n">
        <v>46084</v>
      </c>
      <c r="F2990" t="inlineStr">
        <is>
          <t>CT-e</t>
        </is>
      </c>
      <c r="G2990" t="inlineStr">
        <is>
          <t>000006490</t>
        </is>
      </c>
      <c r="H2990" t="inlineStr">
        <is>
          <t>R&amp;R TRANSPORTE E LOGISTICA</t>
        </is>
      </c>
      <c r="J2990" s="29" t="n">
        <v>27.67</v>
      </c>
      <c r="K2990" s="29">
        <f>(1-ISNUMBER(SEARCH("556",M2990)))*(O2990*SUMIFS(Premissas!$C$5:$C$44,Premissas!$A$5:$A$44,$A2990,Premissas!$B$5:$B$44,$B2990)+P2990*SUMIFS(Premissas!$D$5:$D$44,Premissas!$A$5:$A$44,$A2990,Premissas!$B$5:$B$44,$B2990))+R2990*SUMIFS(Premissas!$E$5:$E$44,Premissas!$A$5:$A$44,$A2990,Premissas!$B$5:$B$44,$B2990)+S2990*SUMIFS(Premissas!$F$5:$F$44,Premissas!$A$5:$A$44,$A2990,Premissas!$B$5:$B$44,$B2990)</f>
        <v/>
      </c>
      <c r="L2990" s="29">
        <f>J2990-K2990</f>
        <v/>
      </c>
      <c r="M2990" t="inlineStr">
        <is>
          <t>1.350</t>
        </is>
      </c>
      <c r="N2990" t="inlineStr">
        <is>
          <t>Modalidade: 0 - Por conta do remetente | Parte: BIG COMPACTA EMBALAGENS E FESTAS LTDA (24.932.814/0001-22)</t>
        </is>
      </c>
      <c r="O2990" s="29" t="n">
        <v>0</v>
      </c>
      <c r="P2990" s="29" t="n">
        <v>0</v>
      </c>
      <c r="Q2990" s="29" t="n">
        <v>0</v>
      </c>
      <c r="R2990" s="29" t="n">
        <v>0</v>
      </c>
      <c r="S2990" s="29" t="n">
        <v>0</v>
      </c>
      <c r="T2990" t="inlineStr">
        <is>
          <t>25260326975620000130570010000064901001301795</t>
        </is>
      </c>
      <c r="U2990" t="inlineStr">
        <is>
          <t>Não</t>
        </is>
      </c>
    </row>
    <row r="2991">
      <c r="A2991" t="inlineStr">
        <is>
          <t>Frete de venda</t>
        </is>
      </c>
      <c r="B2991" t="inlineStr">
        <is>
          <t>2.01.02 Frete sobre Vendas</t>
        </is>
      </c>
      <c r="C2991" s="30" t="n">
        <v>46082</v>
      </c>
      <c r="D2991" t="inlineStr">
        <is>
          <t>Em 2026</t>
        </is>
      </c>
      <c r="E2991" s="28" t="n">
        <v>46084</v>
      </c>
      <c r="F2991" t="inlineStr">
        <is>
          <t>CT-e</t>
        </is>
      </c>
      <c r="G2991" t="inlineStr">
        <is>
          <t>000006491</t>
        </is>
      </c>
      <c r="H2991" t="inlineStr">
        <is>
          <t>R&amp;R TRANSPORTE E LOGISTICA</t>
        </is>
      </c>
      <c r="J2991" s="29" t="n">
        <v>35.13</v>
      </c>
      <c r="K2991" s="29">
        <f>(1-ISNUMBER(SEARCH("556",M2991)))*(O2991*SUMIFS(Premissas!$C$5:$C$44,Premissas!$A$5:$A$44,$A2991,Premissas!$B$5:$B$44,$B2991)+P2991*SUMIFS(Premissas!$D$5:$D$44,Premissas!$A$5:$A$44,$A2991,Premissas!$B$5:$B$44,$B2991))+R2991*SUMIFS(Premissas!$E$5:$E$44,Premissas!$A$5:$A$44,$A2991,Premissas!$B$5:$B$44,$B2991)+S2991*SUMIFS(Premissas!$F$5:$F$44,Premissas!$A$5:$A$44,$A2991,Premissas!$B$5:$B$44,$B2991)</f>
        <v/>
      </c>
      <c r="L2991" s="29">
        <f>J2991-K2991</f>
        <v/>
      </c>
      <c r="M2991" t="inlineStr">
        <is>
          <t>1.350</t>
        </is>
      </c>
      <c r="N2991" t="inlineStr">
        <is>
          <t>Modalidade: 0 - Por conta do remetente | Parte: TRES RIOS COMERCIO ATACADISTA E DISTRIBUIDORA LTDA (20.475.473/0001-52)</t>
        </is>
      </c>
      <c r="O2991" s="29" t="n">
        <v>0</v>
      </c>
      <c r="P2991" s="29" t="n">
        <v>0</v>
      </c>
      <c r="Q2991" s="29" t="n">
        <v>0</v>
      </c>
      <c r="R2991" s="29" t="n">
        <v>0</v>
      </c>
      <c r="S2991" s="29" t="n">
        <v>0</v>
      </c>
      <c r="T2991" t="inlineStr">
        <is>
          <t>25260326975620000130570010000064911000101870</t>
        </is>
      </c>
      <c r="U2991" t="inlineStr">
        <is>
          <t>Não</t>
        </is>
      </c>
    </row>
    <row r="2992">
      <c r="A2992" t="inlineStr">
        <is>
          <t>Frete de venda</t>
        </is>
      </c>
      <c r="B2992" t="inlineStr">
        <is>
          <t>2.01.02 Frete sobre Vendas</t>
        </is>
      </c>
      <c r="C2992" s="30" t="n">
        <v>46082</v>
      </c>
      <c r="D2992" t="inlineStr">
        <is>
          <t>Em 2026</t>
        </is>
      </c>
      <c r="E2992" s="28" t="n">
        <v>46084</v>
      </c>
      <c r="F2992" t="inlineStr">
        <is>
          <t>CT-e</t>
        </is>
      </c>
      <c r="G2992" t="inlineStr">
        <is>
          <t>000006492</t>
        </is>
      </c>
      <c r="H2992" t="inlineStr">
        <is>
          <t>R&amp;R TRANSPORTE E LOGISTICA</t>
        </is>
      </c>
      <c r="J2992" s="29" t="n">
        <v>16.29</v>
      </c>
      <c r="K2992" s="29">
        <f>(1-ISNUMBER(SEARCH("556",M2992)))*(O2992*SUMIFS(Premissas!$C$5:$C$44,Premissas!$A$5:$A$44,$A2992,Premissas!$B$5:$B$44,$B2992)+P2992*SUMIFS(Premissas!$D$5:$D$44,Premissas!$A$5:$A$44,$A2992,Premissas!$B$5:$B$44,$B2992))+R2992*SUMIFS(Premissas!$E$5:$E$44,Premissas!$A$5:$A$44,$A2992,Premissas!$B$5:$B$44,$B2992)+S2992*SUMIFS(Premissas!$F$5:$F$44,Premissas!$A$5:$A$44,$A2992,Premissas!$B$5:$B$44,$B2992)</f>
        <v/>
      </c>
      <c r="L2992" s="29">
        <f>J2992-K2992</f>
        <v/>
      </c>
      <c r="M2992" t="inlineStr">
        <is>
          <t>1.350</t>
        </is>
      </c>
      <c r="N2992" t="inlineStr">
        <is>
          <t>Modalidade: 0 - Por conta do remetente | Parte: RIBEIRO E ALVARES DISTRIBUIDORA DE ALIMENTOS LTDA (08.401.031/0001-66)</t>
        </is>
      </c>
      <c r="O2992" s="29" t="n">
        <v>0</v>
      </c>
      <c r="P2992" s="29" t="n">
        <v>0</v>
      </c>
      <c r="Q2992" s="29" t="n">
        <v>0</v>
      </c>
      <c r="R2992" s="29" t="n">
        <v>0</v>
      </c>
      <c r="S2992" s="29" t="n">
        <v>0</v>
      </c>
      <c r="T2992" t="inlineStr">
        <is>
          <t>25260326975620000130570010000064921001801954</t>
        </is>
      </c>
      <c r="U2992" t="inlineStr">
        <is>
          <t>Não</t>
        </is>
      </c>
    </row>
    <row r="2993">
      <c r="A2993" t="inlineStr">
        <is>
          <t>Frete de venda</t>
        </is>
      </c>
      <c r="B2993" t="inlineStr">
        <is>
          <t>2.01.02 Frete sobre Vendas</t>
        </is>
      </c>
      <c r="C2993" s="30" t="n">
        <v>46082</v>
      </c>
      <c r="D2993" t="inlineStr">
        <is>
          <t>Em 2026</t>
        </is>
      </c>
      <c r="E2993" s="28" t="n">
        <v>46084</v>
      </c>
      <c r="F2993" t="inlineStr">
        <is>
          <t>CT-e</t>
        </is>
      </c>
      <c r="G2993" t="inlineStr">
        <is>
          <t>000006493</t>
        </is>
      </c>
      <c r="H2993" t="inlineStr">
        <is>
          <t>R&amp;R TRANSPORTE E LOGISTICA</t>
        </is>
      </c>
      <c r="J2993" s="29" t="n">
        <v>20.78</v>
      </c>
      <c r="K2993" s="29">
        <f>(1-ISNUMBER(SEARCH("556",M2993)))*(O2993*SUMIFS(Premissas!$C$5:$C$44,Premissas!$A$5:$A$44,$A2993,Premissas!$B$5:$B$44,$B2993)+P2993*SUMIFS(Premissas!$D$5:$D$44,Premissas!$A$5:$A$44,$A2993,Premissas!$B$5:$B$44,$B2993))+R2993*SUMIFS(Premissas!$E$5:$E$44,Premissas!$A$5:$A$44,$A2993,Premissas!$B$5:$B$44,$B2993)+S2993*SUMIFS(Premissas!$F$5:$F$44,Premissas!$A$5:$A$44,$A2993,Premissas!$B$5:$B$44,$B2993)</f>
        <v/>
      </c>
      <c r="L2993" s="29">
        <f>J2993-K2993</f>
        <v/>
      </c>
      <c r="M2993" t="inlineStr">
        <is>
          <t>1.350</t>
        </is>
      </c>
      <c r="N2993" t="inlineStr">
        <is>
          <t>Modalidade: 0 - Por conta do remetente | Parte: SAM EMBALAGENS ATACADO E VAREJO LTDA (48.944.969/0001-47)</t>
        </is>
      </c>
      <c r="O2993" s="29" t="n">
        <v>0</v>
      </c>
      <c r="P2993" s="29" t="n">
        <v>0</v>
      </c>
      <c r="Q2993" s="29" t="n">
        <v>0</v>
      </c>
      <c r="R2993" s="29" t="n">
        <v>0</v>
      </c>
      <c r="S2993" s="29" t="n">
        <v>0</v>
      </c>
      <c r="T2993" t="inlineStr">
        <is>
          <t>25260326975620000130570010000064931001502032</t>
        </is>
      </c>
      <c r="U2993" t="inlineStr">
        <is>
          <t>Não</t>
        </is>
      </c>
    </row>
    <row r="2994">
      <c r="A2994" t="inlineStr">
        <is>
          <t>Frete de venda</t>
        </is>
      </c>
      <c r="B2994" t="inlineStr">
        <is>
          <t>2.01.02 Frete sobre Vendas</t>
        </is>
      </c>
      <c r="C2994" s="30" t="n">
        <v>46082</v>
      </c>
      <c r="D2994" t="inlineStr">
        <is>
          <t>Em 2026</t>
        </is>
      </c>
      <c r="E2994" s="28" t="n">
        <v>46084</v>
      </c>
      <c r="F2994" t="inlineStr">
        <is>
          <t>CT-e</t>
        </is>
      </c>
      <c r="G2994" t="inlineStr">
        <is>
          <t>000006494</t>
        </is>
      </c>
      <c r="H2994" t="inlineStr">
        <is>
          <t>R&amp;R TRANSPORTE E LOGISTICA</t>
        </is>
      </c>
      <c r="J2994" s="29" t="n">
        <v>77.69</v>
      </c>
      <c r="K2994" s="29">
        <f>(1-ISNUMBER(SEARCH("556",M2994)))*(O2994*SUMIFS(Premissas!$C$5:$C$44,Premissas!$A$5:$A$44,$A2994,Premissas!$B$5:$B$44,$B2994)+P2994*SUMIFS(Premissas!$D$5:$D$44,Premissas!$A$5:$A$44,$A2994,Premissas!$B$5:$B$44,$B2994))+R2994*SUMIFS(Premissas!$E$5:$E$44,Premissas!$A$5:$A$44,$A2994,Premissas!$B$5:$B$44,$B2994)+S2994*SUMIFS(Premissas!$F$5:$F$44,Premissas!$A$5:$A$44,$A2994,Premissas!$B$5:$B$44,$B2994)</f>
        <v/>
      </c>
      <c r="L2994" s="29">
        <f>J2994-K2994</f>
        <v/>
      </c>
      <c r="M2994" t="inlineStr">
        <is>
          <t>1.350</t>
        </is>
      </c>
      <c r="N2994" t="inlineStr">
        <is>
          <t>Modalidade: 0 - Por conta do remetente | Parte: COMFRIOS DISTRIBUIDORA DE FRIOS LTDA (37.364.486/0001-57)</t>
        </is>
      </c>
      <c r="O2994" s="29" t="n">
        <v>0</v>
      </c>
      <c r="P2994" s="29" t="n">
        <v>0</v>
      </c>
      <c r="Q2994" s="29" t="n">
        <v>0</v>
      </c>
      <c r="R2994" s="29" t="n">
        <v>0</v>
      </c>
      <c r="S2994" s="29" t="n">
        <v>0</v>
      </c>
      <c r="T2994" t="inlineStr">
        <is>
          <t>25260326975620000130570010000064941001601380</t>
        </is>
      </c>
      <c r="U2994" t="inlineStr">
        <is>
          <t>Não</t>
        </is>
      </c>
    </row>
    <row r="2995">
      <c r="A2995" t="inlineStr">
        <is>
          <t>Frete de venda</t>
        </is>
      </c>
      <c r="B2995" t="inlineStr">
        <is>
          <t>2.01.02 Frete sobre Vendas</t>
        </is>
      </c>
      <c r="C2995" s="30" t="n">
        <v>46082</v>
      </c>
      <c r="D2995" t="inlineStr">
        <is>
          <t>Em 2026</t>
        </is>
      </c>
      <c r="E2995" s="28" t="n">
        <v>46084</v>
      </c>
      <c r="F2995" t="inlineStr">
        <is>
          <t>CT-e</t>
        </is>
      </c>
      <c r="G2995" t="inlineStr">
        <is>
          <t>000006495</t>
        </is>
      </c>
      <c r="H2995" t="inlineStr">
        <is>
          <t>R&amp;R TRANSPORTE E LOGISTICA</t>
        </is>
      </c>
      <c r="J2995" s="29" t="n">
        <v>44.23</v>
      </c>
      <c r="K2995" s="29">
        <f>(1-ISNUMBER(SEARCH("556",M2995)))*(O2995*SUMIFS(Premissas!$C$5:$C$44,Premissas!$A$5:$A$44,$A2995,Premissas!$B$5:$B$44,$B2995)+P2995*SUMIFS(Premissas!$D$5:$D$44,Premissas!$A$5:$A$44,$A2995,Premissas!$B$5:$B$44,$B2995))+R2995*SUMIFS(Premissas!$E$5:$E$44,Premissas!$A$5:$A$44,$A2995,Premissas!$B$5:$B$44,$B2995)+S2995*SUMIFS(Premissas!$F$5:$F$44,Premissas!$A$5:$A$44,$A2995,Premissas!$B$5:$B$44,$B2995)</f>
        <v/>
      </c>
      <c r="L2995" s="29">
        <f>J2995-K2995</f>
        <v/>
      </c>
      <c r="M2995" t="inlineStr">
        <is>
          <t>1.350</t>
        </is>
      </c>
      <c r="N2995" t="inlineStr">
        <is>
          <t>Modalidade: 0 - Por conta do remetente | Parte: ALMEIDA CARDOSO EMBALAGENS LTDA (17.514.242/0001-04)</t>
        </is>
      </c>
      <c r="O2995" s="29" t="n">
        <v>0</v>
      </c>
      <c r="P2995" s="29" t="n">
        <v>0</v>
      </c>
      <c r="Q2995" s="29" t="n">
        <v>0</v>
      </c>
      <c r="R2995" s="29" t="n">
        <v>0</v>
      </c>
      <c r="S2995" s="29" t="n">
        <v>0</v>
      </c>
      <c r="T2995" t="inlineStr">
        <is>
          <t>25260326975620000130570010000064951001301465</t>
        </is>
      </c>
      <c r="U2995" t="inlineStr">
        <is>
          <t>Não</t>
        </is>
      </c>
    </row>
    <row r="2996">
      <c r="A2996" t="inlineStr">
        <is>
          <t>Frete de venda</t>
        </is>
      </c>
      <c r="B2996" t="inlineStr">
        <is>
          <t>2.01.02 Frete sobre Vendas</t>
        </is>
      </c>
      <c r="C2996" s="30" t="n">
        <v>46082</v>
      </c>
      <c r="D2996" t="inlineStr">
        <is>
          <t>Em 2026</t>
        </is>
      </c>
      <c r="E2996" s="28" t="n">
        <v>46084</v>
      </c>
      <c r="F2996" t="inlineStr">
        <is>
          <t>CT-e</t>
        </is>
      </c>
      <c r="G2996" t="inlineStr">
        <is>
          <t>000006496</t>
        </is>
      </c>
      <c r="H2996" t="inlineStr">
        <is>
          <t>R&amp;R TRANSPORTE E LOGISTICA</t>
        </is>
      </c>
      <c r="J2996" s="29" t="n">
        <v>14.89</v>
      </c>
      <c r="K2996" s="29">
        <f>(1-ISNUMBER(SEARCH("556",M2996)))*(O2996*SUMIFS(Premissas!$C$5:$C$44,Premissas!$A$5:$A$44,$A2996,Premissas!$B$5:$B$44,$B2996)+P2996*SUMIFS(Premissas!$D$5:$D$44,Premissas!$A$5:$A$44,$A2996,Premissas!$B$5:$B$44,$B2996))+R2996*SUMIFS(Premissas!$E$5:$E$44,Premissas!$A$5:$A$44,$A2996,Premissas!$B$5:$B$44,$B2996)+S2996*SUMIFS(Premissas!$F$5:$F$44,Premissas!$A$5:$A$44,$A2996,Premissas!$B$5:$B$44,$B2996)</f>
        <v/>
      </c>
      <c r="L2996" s="29">
        <f>J2996-K2996</f>
        <v/>
      </c>
      <c r="M2996" t="inlineStr">
        <is>
          <t>1.350</t>
        </is>
      </c>
      <c r="N2996" t="inlineStr">
        <is>
          <t>Modalidade: 0 - Por conta do remetente | Parte: SUPERMERCADO CASA VITAL LTDA (26.882.480/0001-55)</t>
        </is>
      </c>
      <c r="O2996" s="29" t="n">
        <v>0</v>
      </c>
      <c r="P2996" s="29" t="n">
        <v>0</v>
      </c>
      <c r="Q2996" s="29" t="n">
        <v>0</v>
      </c>
      <c r="R2996" s="29" t="n">
        <v>0</v>
      </c>
      <c r="S2996" s="29" t="n">
        <v>0</v>
      </c>
      <c r="T2996" t="inlineStr">
        <is>
          <t>25260326975620000130570010000064961000101540</t>
        </is>
      </c>
      <c r="U2996" t="inlineStr">
        <is>
          <t>Não</t>
        </is>
      </c>
    </row>
    <row r="2997">
      <c r="A2997" t="inlineStr">
        <is>
          <t>Frete de venda</t>
        </is>
      </c>
      <c r="B2997" t="inlineStr">
        <is>
          <t>2.01.02 Frete sobre Vendas</t>
        </is>
      </c>
      <c r="C2997" s="30" t="n">
        <v>46082</v>
      </c>
      <c r="D2997" t="inlineStr">
        <is>
          <t>Em 2026</t>
        </is>
      </c>
      <c r="E2997" s="28" t="n">
        <v>46084</v>
      </c>
      <c r="F2997" t="inlineStr">
        <is>
          <t>CT-e</t>
        </is>
      </c>
      <c r="G2997" t="inlineStr">
        <is>
          <t>000006497</t>
        </is>
      </c>
      <c r="H2997" t="inlineStr">
        <is>
          <t>R&amp;R TRANSPORTE E LOGISTICA</t>
        </is>
      </c>
      <c r="J2997" s="29" t="n">
        <v>38.45</v>
      </c>
      <c r="K2997" s="29">
        <f>(1-ISNUMBER(SEARCH("556",M2997)))*(O2997*SUMIFS(Premissas!$C$5:$C$44,Premissas!$A$5:$A$44,$A2997,Premissas!$B$5:$B$44,$B2997)+P2997*SUMIFS(Premissas!$D$5:$D$44,Premissas!$A$5:$A$44,$A2997,Premissas!$B$5:$B$44,$B2997))+R2997*SUMIFS(Premissas!$E$5:$E$44,Premissas!$A$5:$A$44,$A2997,Premissas!$B$5:$B$44,$B2997)+S2997*SUMIFS(Premissas!$F$5:$F$44,Premissas!$A$5:$A$44,$A2997,Premissas!$B$5:$B$44,$B2997)</f>
        <v/>
      </c>
      <c r="L2997" s="29">
        <f>J2997-K2997</f>
        <v/>
      </c>
      <c r="M2997" t="inlineStr">
        <is>
          <t>1.350</t>
        </is>
      </c>
      <c r="N2997" t="inlineStr">
        <is>
          <t>Modalidade: 0 - Por conta do remetente | Parte: M C PACHECO (17.808.645/0001-58)</t>
        </is>
      </c>
      <c r="O2997" s="29" t="n">
        <v>0</v>
      </c>
      <c r="P2997" s="29" t="n">
        <v>0</v>
      </c>
      <c r="Q2997" s="29" t="n">
        <v>0</v>
      </c>
      <c r="R2997" s="29" t="n">
        <v>0</v>
      </c>
      <c r="S2997" s="29" t="n">
        <v>0</v>
      </c>
      <c r="T2997" t="inlineStr">
        <is>
          <t>25260326975620000130570010000064971001801624</t>
        </is>
      </c>
      <c r="U2997" t="inlineStr">
        <is>
          <t>Não</t>
        </is>
      </c>
    </row>
    <row r="2998">
      <c r="A2998" t="inlineStr">
        <is>
          <t>Frete de venda</t>
        </is>
      </c>
      <c r="B2998" t="inlineStr">
        <is>
          <t>2.01.02 Frete sobre Vendas</t>
        </is>
      </c>
      <c r="C2998" s="30" t="n">
        <v>46082</v>
      </c>
      <c r="D2998" t="inlineStr">
        <is>
          <t>Em 2026</t>
        </is>
      </c>
      <c r="E2998" s="28" t="n">
        <v>46084</v>
      </c>
      <c r="F2998" t="inlineStr">
        <is>
          <t>CT-e</t>
        </is>
      </c>
      <c r="G2998" t="inlineStr">
        <is>
          <t>000006499</t>
        </is>
      </c>
      <c r="H2998" t="inlineStr">
        <is>
          <t>R&amp;R TRANSPORTE E LOGISTICA</t>
        </is>
      </c>
      <c r="J2998" s="29" t="n">
        <v>1400</v>
      </c>
      <c r="K2998" s="29">
        <f>(1-ISNUMBER(SEARCH("556",M2998)))*(O2998*SUMIFS(Premissas!$C$5:$C$44,Premissas!$A$5:$A$44,$A2998,Premissas!$B$5:$B$44,$B2998)+P2998*SUMIFS(Premissas!$D$5:$D$44,Premissas!$A$5:$A$44,$A2998,Premissas!$B$5:$B$44,$B2998))+R2998*SUMIFS(Premissas!$E$5:$E$44,Premissas!$A$5:$A$44,$A2998,Premissas!$B$5:$B$44,$B2998)+S2998*SUMIFS(Premissas!$F$5:$F$44,Premissas!$A$5:$A$44,$A2998,Premissas!$B$5:$B$44,$B2998)</f>
        <v/>
      </c>
      <c r="L2998" s="29">
        <f>J2998-K2998</f>
        <v/>
      </c>
      <c r="M2998" t="inlineStr">
        <is>
          <t>1.350</t>
        </is>
      </c>
      <c r="N2998" t="inlineStr">
        <is>
          <t>Modalidade: 0 - Por conta do remetente | Parte: PRASO PLATAFORMA DE COMERCIO LTDA. (42.434.646/0003-99)</t>
        </is>
      </c>
      <c r="O2998" s="29" t="n">
        <v>0</v>
      </c>
      <c r="P2998" s="29" t="n">
        <v>0</v>
      </c>
      <c r="Q2998" s="29" t="n">
        <v>0</v>
      </c>
      <c r="R2998" s="29" t="n">
        <v>0</v>
      </c>
      <c r="S2998" s="29" t="n">
        <v>0</v>
      </c>
      <c r="T2998" t="inlineStr">
        <is>
          <t>25260326975620000130570010000064991001201788</t>
        </is>
      </c>
      <c r="U2998" t="inlineStr">
        <is>
          <t>Sim</t>
        </is>
      </c>
    </row>
    <row r="2999">
      <c r="A2999" t="inlineStr">
        <is>
          <t>Frete de venda</t>
        </is>
      </c>
      <c r="B2999" t="inlineStr">
        <is>
          <t>2.01.02 Frete sobre Vendas</t>
        </is>
      </c>
      <c r="C2999" s="30" t="n">
        <v>46082</v>
      </c>
      <c r="D2999" t="inlineStr">
        <is>
          <t>Em 2026</t>
        </is>
      </c>
      <c r="E2999" s="28" t="n">
        <v>46085</v>
      </c>
      <c r="F2999" t="inlineStr">
        <is>
          <t>CT-e</t>
        </is>
      </c>
      <c r="G2999" t="inlineStr">
        <is>
          <t>000006502</t>
        </is>
      </c>
      <c r="H2999" t="inlineStr">
        <is>
          <t>R&amp;R TRANSPORTE E LOGISTICA</t>
        </is>
      </c>
      <c r="J2999" s="29" t="n">
        <v>13.9</v>
      </c>
      <c r="K2999" s="29">
        <f>(1-ISNUMBER(SEARCH("556",M2999)))*(O2999*SUMIFS(Premissas!$C$5:$C$44,Premissas!$A$5:$A$44,$A2999,Premissas!$B$5:$B$44,$B2999)+P2999*SUMIFS(Premissas!$D$5:$D$44,Premissas!$A$5:$A$44,$A2999,Premissas!$B$5:$B$44,$B2999))+R2999*SUMIFS(Premissas!$E$5:$E$44,Premissas!$A$5:$A$44,$A2999,Premissas!$B$5:$B$44,$B2999)+S2999*SUMIFS(Premissas!$F$5:$F$44,Premissas!$A$5:$A$44,$A2999,Premissas!$B$5:$B$44,$B2999)</f>
        <v/>
      </c>
      <c r="L2999" s="29">
        <f>J2999-K2999</f>
        <v/>
      </c>
      <c r="M2999" t="inlineStr">
        <is>
          <t>1.350</t>
        </is>
      </c>
      <c r="N2999" t="inlineStr">
        <is>
          <t>Modalidade: 0 - Por conta do remetente | Parte: LBS COMERCIO DE EMBALAGNES LTDA (60.065.852/0001-99)</t>
        </is>
      </c>
      <c r="O2999" s="29" t="n">
        <v>0</v>
      </c>
      <c r="P2999" s="29" t="n">
        <v>0</v>
      </c>
      <c r="Q2999" s="29" t="n">
        <v>0</v>
      </c>
      <c r="R2999" s="29" t="n">
        <v>0</v>
      </c>
      <c r="S2999" s="29" t="n">
        <v>0</v>
      </c>
      <c r="T2999" t="inlineStr">
        <is>
          <t>25260326975620000130570010000065021001402020</t>
        </is>
      </c>
      <c r="U2999" t="inlineStr">
        <is>
          <t>Não</t>
        </is>
      </c>
    </row>
    <row r="3000">
      <c r="A3000" t="inlineStr">
        <is>
          <t>Frete de venda</t>
        </is>
      </c>
      <c r="B3000" t="inlineStr">
        <is>
          <t>2.01.02 Frete sobre Vendas</t>
        </is>
      </c>
      <c r="C3000" s="30" t="n">
        <v>46082</v>
      </c>
      <c r="D3000" t="inlineStr">
        <is>
          <t>Em 2026</t>
        </is>
      </c>
      <c r="E3000" s="28" t="n">
        <v>46085</v>
      </c>
      <c r="F3000" t="inlineStr">
        <is>
          <t>CT-e</t>
        </is>
      </c>
      <c r="G3000" t="inlineStr">
        <is>
          <t>000006503</t>
        </is>
      </c>
      <c r="H3000" t="inlineStr">
        <is>
          <t>R&amp;R TRANSPORTE E LOGISTICA</t>
        </is>
      </c>
      <c r="J3000" s="29" t="n">
        <v>19.87</v>
      </c>
      <c r="K3000" s="29">
        <f>(1-ISNUMBER(SEARCH("556",M3000)))*(O3000*SUMIFS(Premissas!$C$5:$C$44,Premissas!$A$5:$A$44,$A3000,Premissas!$B$5:$B$44,$B3000)+P3000*SUMIFS(Premissas!$D$5:$D$44,Premissas!$A$5:$A$44,$A3000,Premissas!$B$5:$B$44,$B3000))+R3000*SUMIFS(Premissas!$E$5:$E$44,Premissas!$A$5:$A$44,$A3000,Premissas!$B$5:$B$44,$B3000)+S3000*SUMIFS(Premissas!$F$5:$F$44,Premissas!$A$5:$A$44,$A3000,Premissas!$B$5:$B$44,$B3000)</f>
        <v/>
      </c>
      <c r="L3000" s="29">
        <f>J3000-K3000</f>
        <v/>
      </c>
      <c r="M3000" t="inlineStr">
        <is>
          <t>1.350</t>
        </is>
      </c>
      <c r="N3000" t="inlineStr">
        <is>
          <t>Modalidade: 0 - Por conta do remetente | Parte: CARLOS SOARES DE ABREU (52.158.824/0001-98)</t>
        </is>
      </c>
      <c r="O3000" s="29" t="n">
        <v>0</v>
      </c>
      <c r="P3000" s="29" t="n">
        <v>0</v>
      </c>
      <c r="Q3000" s="29" t="n">
        <v>0</v>
      </c>
      <c r="R3000" s="29" t="n">
        <v>0</v>
      </c>
      <c r="S3000" s="29" t="n">
        <v>0</v>
      </c>
      <c r="T3000" t="inlineStr">
        <is>
          <t>25260326975620000130570010000065031001102105</t>
        </is>
      </c>
      <c r="U3000" t="inlineStr">
        <is>
          <t>Não</t>
        </is>
      </c>
    </row>
    <row r="3001">
      <c r="A3001" t="inlineStr">
        <is>
          <t>Frete de venda</t>
        </is>
      </c>
      <c r="B3001" t="inlineStr">
        <is>
          <t>2.01.02 Frete sobre Vendas</t>
        </is>
      </c>
      <c r="C3001" s="30" t="n">
        <v>46082</v>
      </c>
      <c r="D3001" t="inlineStr">
        <is>
          <t>Em 2026</t>
        </is>
      </c>
      <c r="E3001" s="28" t="n">
        <v>46085</v>
      </c>
      <c r="F3001" t="inlineStr">
        <is>
          <t>CT-e</t>
        </is>
      </c>
      <c r="G3001" t="inlineStr">
        <is>
          <t>000006504</t>
        </is>
      </c>
      <c r="H3001" t="inlineStr">
        <is>
          <t>R&amp;R TRANSPORTE E LOGISTICA</t>
        </is>
      </c>
      <c r="J3001" s="29" t="n">
        <v>35.01</v>
      </c>
      <c r="K3001" s="29">
        <f>(1-ISNUMBER(SEARCH("556",M3001)))*(O3001*SUMIFS(Premissas!$C$5:$C$44,Premissas!$A$5:$A$44,$A3001,Premissas!$B$5:$B$44,$B3001)+P3001*SUMIFS(Premissas!$D$5:$D$44,Premissas!$A$5:$A$44,$A3001,Premissas!$B$5:$B$44,$B3001))+R3001*SUMIFS(Premissas!$E$5:$E$44,Premissas!$A$5:$A$44,$A3001,Premissas!$B$5:$B$44,$B3001)+S3001*SUMIFS(Premissas!$F$5:$F$44,Premissas!$A$5:$A$44,$A3001,Premissas!$B$5:$B$44,$B3001)</f>
        <v/>
      </c>
      <c r="L3001" s="29">
        <f>J3001-K3001</f>
        <v/>
      </c>
      <c r="M3001" t="inlineStr">
        <is>
          <t>1.350</t>
        </is>
      </c>
      <c r="N3001" t="inlineStr">
        <is>
          <t>Modalidade: 0 - Por conta do remetente | Parte: REDE FRIOS FOOD SERVICE LTDA (37.862.035/0001-40)</t>
        </is>
      </c>
      <c r="O3001" s="29" t="n">
        <v>0</v>
      </c>
      <c r="P3001" s="29" t="n">
        <v>0</v>
      </c>
      <c r="Q3001" s="29" t="n">
        <v>0</v>
      </c>
      <c r="R3001" s="29" t="n">
        <v>0</v>
      </c>
      <c r="S3001" s="29" t="n">
        <v>0</v>
      </c>
      <c r="T3001" t="inlineStr">
        <is>
          <t>25260326975620000130570010000065041001201453</t>
        </is>
      </c>
      <c r="U3001" t="inlineStr">
        <is>
          <t>Não</t>
        </is>
      </c>
    </row>
    <row r="3002">
      <c r="A3002" t="inlineStr">
        <is>
          <t>Frete de venda</t>
        </is>
      </c>
      <c r="B3002" t="inlineStr">
        <is>
          <t>2.01.02 Frete sobre Vendas</t>
        </is>
      </c>
      <c r="C3002" s="30" t="n">
        <v>46082</v>
      </c>
      <c r="D3002" t="inlineStr">
        <is>
          <t>Em 2026</t>
        </is>
      </c>
      <c r="E3002" s="28" t="n">
        <v>46085</v>
      </c>
      <c r="F3002" t="inlineStr">
        <is>
          <t>CT-e</t>
        </is>
      </c>
      <c r="G3002" t="inlineStr">
        <is>
          <t>000006505</t>
        </is>
      </c>
      <c r="H3002" t="inlineStr">
        <is>
          <t>R&amp;R TRANSPORTE E LOGISTICA</t>
        </is>
      </c>
      <c r="J3002" s="29" t="n">
        <v>18.15</v>
      </c>
      <c r="K3002" s="29">
        <f>(1-ISNUMBER(SEARCH("556",M3002)))*(O3002*SUMIFS(Premissas!$C$5:$C$44,Premissas!$A$5:$A$44,$A3002,Premissas!$B$5:$B$44,$B3002)+P3002*SUMIFS(Premissas!$D$5:$D$44,Premissas!$A$5:$A$44,$A3002,Premissas!$B$5:$B$44,$B3002))+R3002*SUMIFS(Premissas!$E$5:$E$44,Premissas!$A$5:$A$44,$A3002,Premissas!$B$5:$B$44,$B3002)+S3002*SUMIFS(Premissas!$F$5:$F$44,Premissas!$A$5:$A$44,$A3002,Premissas!$B$5:$B$44,$B3002)</f>
        <v/>
      </c>
      <c r="L3002" s="29">
        <f>J3002-K3002</f>
        <v/>
      </c>
      <c r="M3002" t="inlineStr">
        <is>
          <t>1.350</t>
        </is>
      </c>
      <c r="N3002" t="inlineStr">
        <is>
          <t>Modalidade: 0 - Por conta do remetente | Parte: ANA CAROL FESTAS LTDA (04.102.707/0001-60)</t>
        </is>
      </c>
      <c r="O3002" s="29" t="n">
        <v>0</v>
      </c>
      <c r="P3002" s="29" t="n">
        <v>0</v>
      </c>
      <c r="Q3002" s="29" t="n">
        <v>0</v>
      </c>
      <c r="R3002" s="29" t="n">
        <v>0</v>
      </c>
      <c r="S3002" s="29" t="n">
        <v>0</v>
      </c>
      <c r="T3002" t="inlineStr">
        <is>
          <t>25260326975620000130570010000065051011001535</t>
        </is>
      </c>
      <c r="U3002" t="inlineStr">
        <is>
          <t>Não</t>
        </is>
      </c>
    </row>
    <row r="3003">
      <c r="A3003" t="inlineStr">
        <is>
          <t>Frete de venda</t>
        </is>
      </c>
      <c r="B3003" t="inlineStr">
        <is>
          <t>2.01.02 Frete sobre Vendas</t>
        </is>
      </c>
      <c r="C3003" s="30" t="n">
        <v>46082</v>
      </c>
      <c r="D3003" t="inlineStr">
        <is>
          <t>Em 2026</t>
        </is>
      </c>
      <c r="E3003" s="28" t="n">
        <v>46085</v>
      </c>
      <c r="F3003" t="inlineStr">
        <is>
          <t>CT-e</t>
        </is>
      </c>
      <c r="G3003" t="inlineStr">
        <is>
          <t>000006506</t>
        </is>
      </c>
      <c r="H3003" t="inlineStr">
        <is>
          <t>R&amp;R TRANSPORTE E LOGISTICA</t>
        </is>
      </c>
      <c r="J3003" s="29" t="n">
        <v>12.71</v>
      </c>
      <c r="K3003" s="29">
        <f>(1-ISNUMBER(SEARCH("556",M3003)))*(O3003*SUMIFS(Premissas!$C$5:$C$44,Premissas!$A$5:$A$44,$A3003,Premissas!$B$5:$B$44,$B3003)+P3003*SUMIFS(Premissas!$D$5:$D$44,Premissas!$A$5:$A$44,$A3003,Premissas!$B$5:$B$44,$B3003))+R3003*SUMIFS(Premissas!$E$5:$E$44,Premissas!$A$5:$A$44,$A3003,Premissas!$B$5:$B$44,$B3003)+S3003*SUMIFS(Premissas!$F$5:$F$44,Premissas!$A$5:$A$44,$A3003,Premissas!$B$5:$B$44,$B3003)</f>
        <v/>
      </c>
      <c r="L3003" s="29">
        <f>J3003-K3003</f>
        <v/>
      </c>
      <c r="M3003" t="inlineStr">
        <is>
          <t>1.350</t>
        </is>
      </c>
      <c r="N3003" t="inlineStr">
        <is>
          <t>Modalidade: 0 - Por conta do remetente | Parte: ALTO GIRO VALENTE EMBALAGENS E UTILIDADES LTDA (55.077.172/0001-55)</t>
        </is>
      </c>
      <c r="O3003" s="29" t="n">
        <v>0</v>
      </c>
      <c r="P3003" s="29" t="n">
        <v>0</v>
      </c>
      <c r="Q3003" s="29" t="n">
        <v>0</v>
      </c>
      <c r="R3003" s="29" t="n">
        <v>0</v>
      </c>
      <c r="S3003" s="29" t="n">
        <v>0</v>
      </c>
      <c r="T3003" t="inlineStr">
        <is>
          <t>25260326975620000130570010000065061001701612</t>
        </is>
      </c>
      <c r="U3003" t="inlineStr">
        <is>
          <t>Não</t>
        </is>
      </c>
    </row>
    <row r="3004">
      <c r="A3004" t="inlineStr">
        <is>
          <t>Frete de venda</t>
        </is>
      </c>
      <c r="B3004" t="inlineStr">
        <is>
          <t>2.01.02 Frete sobre Vendas</t>
        </is>
      </c>
      <c r="C3004" s="30" t="n">
        <v>46082</v>
      </c>
      <c r="D3004" t="inlineStr">
        <is>
          <t>Em 2026</t>
        </is>
      </c>
      <c r="E3004" s="28" t="n">
        <v>46085</v>
      </c>
      <c r="F3004" t="inlineStr">
        <is>
          <t>CT-e</t>
        </is>
      </c>
      <c r="G3004" t="inlineStr">
        <is>
          <t>000006507</t>
        </is>
      </c>
      <c r="H3004" t="inlineStr">
        <is>
          <t>R&amp;R TRANSPORTE E LOGISTICA</t>
        </is>
      </c>
      <c r="J3004" s="29" t="n">
        <v>20.2</v>
      </c>
      <c r="K3004" s="29">
        <f>(1-ISNUMBER(SEARCH("556",M3004)))*(O3004*SUMIFS(Premissas!$C$5:$C$44,Premissas!$A$5:$A$44,$A3004,Premissas!$B$5:$B$44,$B3004)+P3004*SUMIFS(Premissas!$D$5:$D$44,Premissas!$A$5:$A$44,$A3004,Premissas!$B$5:$B$44,$B3004))+R3004*SUMIFS(Premissas!$E$5:$E$44,Premissas!$A$5:$A$44,$A3004,Premissas!$B$5:$B$44,$B3004)+S3004*SUMIFS(Premissas!$F$5:$F$44,Premissas!$A$5:$A$44,$A3004,Premissas!$B$5:$B$44,$B3004)</f>
        <v/>
      </c>
      <c r="L3004" s="29">
        <f>J3004-K3004</f>
        <v/>
      </c>
      <c r="M3004" t="inlineStr">
        <is>
          <t>1.350</t>
        </is>
      </c>
      <c r="N3004" t="inlineStr">
        <is>
          <t>Modalidade: 0 - Por conta do remetente | Parte: COMERCIAL DE ALIMENTOS PLANETA LTDA (60.405.318/0002-65)</t>
        </is>
      </c>
      <c r="O3004" s="29" t="n">
        <v>0</v>
      </c>
      <c r="P3004" s="29" t="n">
        <v>0</v>
      </c>
      <c r="Q3004" s="29" t="n">
        <v>0</v>
      </c>
      <c r="R3004" s="29" t="n">
        <v>0</v>
      </c>
      <c r="S3004" s="29" t="n">
        <v>0</v>
      </c>
      <c r="T3004" t="inlineStr">
        <is>
          <t>25260326975620000130570010000065071001401691</t>
        </is>
      </c>
      <c r="U3004" t="inlineStr">
        <is>
          <t>Não</t>
        </is>
      </c>
    </row>
    <row r="3005">
      <c r="A3005" t="inlineStr">
        <is>
          <t>Frete de venda</t>
        </is>
      </c>
      <c r="B3005" t="inlineStr">
        <is>
          <t>2.01.02 Frete sobre Vendas</t>
        </is>
      </c>
      <c r="C3005" s="30" t="n">
        <v>46082</v>
      </c>
      <c r="D3005" t="inlineStr">
        <is>
          <t>Em 2026</t>
        </is>
      </c>
      <c r="E3005" s="28" t="n">
        <v>46085</v>
      </c>
      <c r="F3005" t="inlineStr">
        <is>
          <t>CT-e</t>
        </is>
      </c>
      <c r="G3005" t="inlineStr">
        <is>
          <t>000006508</t>
        </is>
      </c>
      <c r="H3005" t="inlineStr">
        <is>
          <t>R&amp;R TRANSPORTE E LOGISTICA</t>
        </is>
      </c>
      <c r="J3005" s="29" t="n">
        <v>13.89</v>
      </c>
      <c r="K3005" s="29">
        <f>(1-ISNUMBER(SEARCH("556",M3005)))*(O3005*SUMIFS(Premissas!$C$5:$C$44,Premissas!$A$5:$A$44,$A3005,Premissas!$B$5:$B$44,$B3005)+P3005*SUMIFS(Premissas!$D$5:$D$44,Premissas!$A$5:$A$44,$A3005,Premissas!$B$5:$B$44,$B3005))+R3005*SUMIFS(Premissas!$E$5:$E$44,Premissas!$A$5:$A$44,$A3005,Premissas!$B$5:$B$44,$B3005)+S3005*SUMIFS(Premissas!$F$5:$F$44,Premissas!$A$5:$A$44,$A3005,Premissas!$B$5:$B$44,$B3005)</f>
        <v/>
      </c>
      <c r="L3005" s="29">
        <f>J3005-K3005</f>
        <v/>
      </c>
      <c r="M3005" t="inlineStr">
        <is>
          <t>1.350</t>
        </is>
      </c>
      <c r="N3005" t="inlineStr">
        <is>
          <t>Modalidade: 0 - Por conta do remetente | Parte: BAIXINHO EMBALAGENS LTDA (49.023.382/0001-68)</t>
        </is>
      </c>
      <c r="O3005" s="29" t="n">
        <v>0</v>
      </c>
      <c r="P3005" s="29" t="n">
        <v>0</v>
      </c>
      <c r="Q3005" s="29" t="n">
        <v>0</v>
      </c>
      <c r="R3005" s="29" t="n">
        <v>0</v>
      </c>
      <c r="S3005" s="29" t="n">
        <v>0</v>
      </c>
      <c r="T3005" t="inlineStr">
        <is>
          <t>25260326975620000130570010000065081001101776</t>
        </is>
      </c>
      <c r="U3005" t="inlineStr">
        <is>
          <t>Não</t>
        </is>
      </c>
    </row>
    <row r="3006">
      <c r="A3006" t="inlineStr">
        <is>
          <t>Frete de venda</t>
        </is>
      </c>
      <c r="B3006" t="inlineStr">
        <is>
          <t>2.01.02 Frete sobre Vendas</t>
        </is>
      </c>
      <c r="C3006" s="30" t="n">
        <v>46082</v>
      </c>
      <c r="D3006" t="inlineStr">
        <is>
          <t>Em 2026</t>
        </is>
      </c>
      <c r="E3006" s="28" t="n">
        <v>46085</v>
      </c>
      <c r="F3006" t="inlineStr">
        <is>
          <t>CT-e</t>
        </is>
      </c>
      <c r="G3006" t="inlineStr">
        <is>
          <t>000006509</t>
        </is>
      </c>
      <c r="H3006" t="inlineStr">
        <is>
          <t>R&amp;R TRANSPORTE E LOGISTICA</t>
        </is>
      </c>
      <c r="J3006" s="29" t="n">
        <v>12.9</v>
      </c>
      <c r="K3006" s="29">
        <f>(1-ISNUMBER(SEARCH("556",M3006)))*(O3006*SUMIFS(Premissas!$C$5:$C$44,Premissas!$A$5:$A$44,$A3006,Premissas!$B$5:$B$44,$B3006)+P3006*SUMIFS(Premissas!$D$5:$D$44,Premissas!$A$5:$A$44,$A3006,Premissas!$B$5:$B$44,$B3006))+R3006*SUMIFS(Premissas!$E$5:$E$44,Premissas!$A$5:$A$44,$A3006,Premissas!$B$5:$B$44,$B3006)+S3006*SUMIFS(Premissas!$F$5:$F$44,Premissas!$A$5:$A$44,$A3006,Premissas!$B$5:$B$44,$B3006)</f>
        <v/>
      </c>
      <c r="L3006" s="29">
        <f>J3006-K3006</f>
        <v/>
      </c>
      <c r="M3006" t="inlineStr">
        <is>
          <t>1.350</t>
        </is>
      </c>
      <c r="N3006" t="inlineStr">
        <is>
          <t>Modalidade: 0 - Por conta do remetente | Parte: MP DESCARTAVEIS LTDA (45.018.069/0001-80)</t>
        </is>
      </c>
      <c r="O3006" s="29" t="n">
        <v>0</v>
      </c>
      <c r="P3006" s="29" t="n">
        <v>0</v>
      </c>
      <c r="Q3006" s="29" t="n">
        <v>0</v>
      </c>
      <c r="R3006" s="29" t="n">
        <v>0</v>
      </c>
      <c r="S3006" s="29" t="n">
        <v>0</v>
      </c>
      <c r="T3006" t="inlineStr">
        <is>
          <t>25260326975620000130570010000065091001901850</t>
        </is>
      </c>
      <c r="U3006" t="inlineStr">
        <is>
          <t>Não</t>
        </is>
      </c>
    </row>
    <row r="3007">
      <c r="A3007" t="inlineStr">
        <is>
          <t>Frete de venda</t>
        </is>
      </c>
      <c r="B3007" t="inlineStr">
        <is>
          <t>2.01.02 Frete sobre Vendas</t>
        </is>
      </c>
      <c r="C3007" s="30" t="n">
        <v>46082</v>
      </c>
      <c r="D3007" t="inlineStr">
        <is>
          <t>Em 2026</t>
        </is>
      </c>
      <c r="E3007" s="28" t="n">
        <v>46085</v>
      </c>
      <c r="F3007" t="inlineStr">
        <is>
          <t>CT-e</t>
        </is>
      </c>
      <c r="G3007" t="inlineStr">
        <is>
          <t>000006510</t>
        </is>
      </c>
      <c r="H3007" t="inlineStr">
        <is>
          <t>R&amp;R TRANSPORTE E LOGISTICA</t>
        </is>
      </c>
      <c r="J3007" s="29" t="n">
        <v>19.66</v>
      </c>
      <c r="K3007" s="29">
        <f>(1-ISNUMBER(SEARCH("556",M3007)))*(O3007*SUMIFS(Premissas!$C$5:$C$44,Premissas!$A$5:$A$44,$A3007,Premissas!$B$5:$B$44,$B3007)+P3007*SUMIFS(Premissas!$D$5:$D$44,Premissas!$A$5:$A$44,$A3007,Premissas!$B$5:$B$44,$B3007))+R3007*SUMIFS(Premissas!$E$5:$E$44,Premissas!$A$5:$A$44,$A3007,Premissas!$B$5:$B$44,$B3007)+S3007*SUMIFS(Premissas!$F$5:$F$44,Premissas!$A$5:$A$44,$A3007,Premissas!$B$5:$B$44,$B3007)</f>
        <v/>
      </c>
      <c r="L3007" s="29">
        <f>J3007-K3007</f>
        <v/>
      </c>
      <c r="M3007" t="inlineStr">
        <is>
          <t>1.350</t>
        </is>
      </c>
      <c r="N3007" t="inlineStr">
        <is>
          <t>Modalidade: 0 - Por conta do remetente | Parte: TRANSTEL COMERCIO E ARMAZENAMENTO E LOGISTICA LTDA (59.254.117/0001-44)</t>
        </is>
      </c>
      <c r="O3007" s="29" t="n">
        <v>0</v>
      </c>
      <c r="P3007" s="29" t="n">
        <v>0</v>
      </c>
      <c r="Q3007" s="29" t="n">
        <v>0</v>
      </c>
      <c r="R3007" s="29" t="n">
        <v>0</v>
      </c>
      <c r="S3007" s="29" t="n">
        <v>0</v>
      </c>
      <c r="T3007" t="inlineStr">
        <is>
          <t>25260326975620000130570010000065101001601939</t>
        </is>
      </c>
      <c r="U3007" t="inlineStr">
        <is>
          <t>Não</t>
        </is>
      </c>
    </row>
    <row r="3008">
      <c r="A3008" t="inlineStr">
        <is>
          <t>Frete de venda</t>
        </is>
      </c>
      <c r="B3008" t="inlineStr">
        <is>
          <t>2.01.02 Frete sobre Vendas</t>
        </is>
      </c>
      <c r="C3008" s="30" t="n">
        <v>46082</v>
      </c>
      <c r="D3008" t="inlineStr">
        <is>
          <t>Em 2026</t>
        </is>
      </c>
      <c r="E3008" s="28" t="n">
        <v>46085</v>
      </c>
      <c r="F3008" t="inlineStr">
        <is>
          <t>CT-e</t>
        </is>
      </c>
      <c r="G3008" t="inlineStr">
        <is>
          <t>000006511</t>
        </is>
      </c>
      <c r="H3008" t="inlineStr">
        <is>
          <t>R&amp;R TRANSPORTE E LOGISTICA</t>
        </is>
      </c>
      <c r="J3008" s="29" t="n">
        <v>12.9</v>
      </c>
      <c r="K3008" s="29">
        <f>(1-ISNUMBER(SEARCH("556",M3008)))*(O3008*SUMIFS(Premissas!$C$5:$C$44,Premissas!$A$5:$A$44,$A3008,Premissas!$B$5:$B$44,$B3008)+P3008*SUMIFS(Premissas!$D$5:$D$44,Premissas!$A$5:$A$44,$A3008,Premissas!$B$5:$B$44,$B3008))+R3008*SUMIFS(Premissas!$E$5:$E$44,Premissas!$A$5:$A$44,$A3008,Premissas!$B$5:$B$44,$B3008)+S3008*SUMIFS(Premissas!$F$5:$F$44,Premissas!$A$5:$A$44,$A3008,Premissas!$B$5:$B$44,$B3008)</f>
        <v/>
      </c>
      <c r="L3008" s="29">
        <f>J3008-K3008</f>
        <v/>
      </c>
      <c r="M3008" t="inlineStr">
        <is>
          <t>1.350</t>
        </is>
      </c>
      <c r="N3008" t="inlineStr">
        <is>
          <t>Modalidade: 0 - Por conta do remetente | Parte: R.J COMERCIO DE EMBALAGENS LTDA (38.204.536/0001-00)</t>
        </is>
      </c>
      <c r="O3008" s="29" t="n">
        <v>0</v>
      </c>
      <c r="P3008" s="29" t="n">
        <v>0</v>
      </c>
      <c r="Q3008" s="29" t="n">
        <v>0</v>
      </c>
      <c r="R3008" s="29" t="n">
        <v>0</v>
      </c>
      <c r="S3008" s="29" t="n">
        <v>0</v>
      </c>
      <c r="T3008" t="inlineStr">
        <is>
          <t>25260326975620000130570010000065111001302017</t>
        </is>
      </c>
      <c r="U3008" t="inlineStr">
        <is>
          <t>Não</t>
        </is>
      </c>
    </row>
    <row r="3009">
      <c r="A3009" t="inlineStr">
        <is>
          <t>Frete de venda</t>
        </is>
      </c>
      <c r="B3009" t="inlineStr">
        <is>
          <t>2.01.02 Frete sobre Vendas</t>
        </is>
      </c>
      <c r="C3009" s="30" t="n">
        <v>46082</v>
      </c>
      <c r="D3009" t="inlineStr">
        <is>
          <t>Em 2026</t>
        </is>
      </c>
      <c r="E3009" s="28" t="n">
        <v>46085</v>
      </c>
      <c r="F3009" t="inlineStr">
        <is>
          <t>CT-e</t>
        </is>
      </c>
      <c r="G3009" t="inlineStr">
        <is>
          <t>000006512</t>
        </is>
      </c>
      <c r="H3009" t="inlineStr">
        <is>
          <t>R&amp;R TRANSPORTE E LOGISTICA</t>
        </is>
      </c>
      <c r="J3009" s="29" t="n">
        <v>24.51</v>
      </c>
      <c r="K3009" s="29">
        <f>(1-ISNUMBER(SEARCH("556",M3009)))*(O3009*SUMIFS(Premissas!$C$5:$C$44,Premissas!$A$5:$A$44,$A3009,Premissas!$B$5:$B$44,$B3009)+P3009*SUMIFS(Premissas!$D$5:$D$44,Premissas!$A$5:$A$44,$A3009,Premissas!$B$5:$B$44,$B3009))+R3009*SUMIFS(Premissas!$E$5:$E$44,Premissas!$A$5:$A$44,$A3009,Premissas!$B$5:$B$44,$B3009)+S3009*SUMIFS(Premissas!$F$5:$F$44,Premissas!$A$5:$A$44,$A3009,Premissas!$B$5:$B$44,$B3009)</f>
        <v/>
      </c>
      <c r="L3009" s="29">
        <f>J3009-K3009</f>
        <v/>
      </c>
      <c r="M3009" t="inlineStr">
        <is>
          <t>1.350</t>
        </is>
      </c>
      <c r="N3009" t="inlineStr">
        <is>
          <t>Modalidade: 0 - Por conta do remetente | Parte: CRISTAL NEWS ALIMENTOS E EMBALAGENS LTDA (04.067.045/0001-34)</t>
        </is>
      </c>
      <c r="O3009" s="29" t="n">
        <v>0</v>
      </c>
      <c r="P3009" s="29" t="n">
        <v>0</v>
      </c>
      <c r="Q3009" s="29" t="n">
        <v>0</v>
      </c>
      <c r="R3009" s="29" t="n">
        <v>0</v>
      </c>
      <c r="S3009" s="29" t="n">
        <v>0</v>
      </c>
      <c r="T3009" t="inlineStr">
        <is>
          <t>25260326975620000130570010000065121000102097</t>
        </is>
      </c>
      <c r="U3009" t="inlineStr">
        <is>
          <t>Não</t>
        </is>
      </c>
    </row>
    <row r="3010">
      <c r="A3010" t="inlineStr">
        <is>
          <t>Frete de venda</t>
        </is>
      </c>
      <c r="B3010" t="inlineStr">
        <is>
          <t>2.01.02 Frete sobre Vendas</t>
        </is>
      </c>
      <c r="C3010" s="30" t="n">
        <v>46082</v>
      </c>
      <c r="D3010" t="inlineStr">
        <is>
          <t>Em 2026</t>
        </is>
      </c>
      <c r="E3010" s="28" t="n">
        <v>46085</v>
      </c>
      <c r="F3010" t="inlineStr">
        <is>
          <t>CT-e</t>
        </is>
      </c>
      <c r="G3010" t="inlineStr">
        <is>
          <t>000006513</t>
        </is>
      </c>
      <c r="H3010" t="inlineStr">
        <is>
          <t>R&amp;R TRANSPORTE E LOGISTICA</t>
        </is>
      </c>
      <c r="J3010" s="29" t="n">
        <v>14.37</v>
      </c>
      <c r="K3010" s="29">
        <f>(1-ISNUMBER(SEARCH("556",M3010)))*(O3010*SUMIFS(Premissas!$C$5:$C$44,Premissas!$A$5:$A$44,$A3010,Premissas!$B$5:$B$44,$B3010)+P3010*SUMIFS(Premissas!$D$5:$D$44,Premissas!$A$5:$A$44,$A3010,Premissas!$B$5:$B$44,$B3010))+R3010*SUMIFS(Premissas!$E$5:$E$44,Premissas!$A$5:$A$44,$A3010,Premissas!$B$5:$B$44,$B3010)+S3010*SUMIFS(Premissas!$F$5:$F$44,Premissas!$A$5:$A$44,$A3010,Premissas!$B$5:$B$44,$B3010)</f>
        <v/>
      </c>
      <c r="L3010" s="29">
        <f>J3010-K3010</f>
        <v/>
      </c>
      <c r="M3010" t="inlineStr">
        <is>
          <t>1.350</t>
        </is>
      </c>
      <c r="N3010" t="inlineStr">
        <is>
          <t>Modalidade: 0 - Por conta do remetente | Parte: MARIO ROCHA RIBEIRO PINTO (49.606.818/0001-41)</t>
        </is>
      </c>
      <c r="O3010" s="29" t="n">
        <v>0</v>
      </c>
      <c r="P3010" s="29" t="n">
        <v>0</v>
      </c>
      <c r="Q3010" s="29" t="n">
        <v>0</v>
      </c>
      <c r="R3010" s="29" t="n">
        <v>0</v>
      </c>
      <c r="S3010" s="29" t="n">
        <v>0</v>
      </c>
      <c r="T3010" t="inlineStr">
        <is>
          <t>25260326975620000130570010000065131001802170</t>
        </is>
      </c>
      <c r="U3010" t="inlineStr">
        <is>
          <t>Não</t>
        </is>
      </c>
    </row>
    <row r="3011">
      <c r="A3011" t="inlineStr">
        <is>
          <t>Frete de venda</t>
        </is>
      </c>
      <c r="B3011" t="inlineStr">
        <is>
          <t>2.01.02 Frete sobre Vendas</t>
        </is>
      </c>
      <c r="C3011" s="30" t="n">
        <v>46082</v>
      </c>
      <c r="D3011" t="inlineStr">
        <is>
          <t>Em 2026</t>
        </is>
      </c>
      <c r="E3011" s="28" t="n">
        <v>46085</v>
      </c>
      <c r="F3011" t="inlineStr">
        <is>
          <t>CT-e</t>
        </is>
      </c>
      <c r="G3011" t="inlineStr">
        <is>
          <t>000006514</t>
        </is>
      </c>
      <c r="H3011" t="inlineStr">
        <is>
          <t>R&amp;R TRANSPORTE E LOGISTICA</t>
        </is>
      </c>
      <c r="J3011" s="29" t="n">
        <v>20</v>
      </c>
      <c r="K3011" s="29">
        <f>(1-ISNUMBER(SEARCH("556",M3011)))*(O3011*SUMIFS(Premissas!$C$5:$C$44,Premissas!$A$5:$A$44,$A3011,Premissas!$B$5:$B$44,$B3011)+P3011*SUMIFS(Premissas!$D$5:$D$44,Premissas!$A$5:$A$44,$A3011,Premissas!$B$5:$B$44,$B3011))+R3011*SUMIFS(Premissas!$E$5:$E$44,Premissas!$A$5:$A$44,$A3011,Premissas!$B$5:$B$44,$B3011)+S3011*SUMIFS(Premissas!$F$5:$F$44,Premissas!$A$5:$A$44,$A3011,Premissas!$B$5:$B$44,$B3011)</f>
        <v/>
      </c>
      <c r="L3011" s="29">
        <f>J3011-K3011</f>
        <v/>
      </c>
      <c r="M3011" t="inlineStr">
        <is>
          <t>1.350</t>
        </is>
      </c>
      <c r="N3011" t="inlineStr">
        <is>
          <t>Modalidade: 0 - Por conta do remetente | Parte: J A COMERCIO DE EMBALAGENS E ARTIGOS PARA FESTA LTDA (54.763.304/0001-30)</t>
        </is>
      </c>
      <c r="O3011" s="29" t="n">
        <v>0</v>
      </c>
      <c r="P3011" s="29" t="n">
        <v>0</v>
      </c>
      <c r="Q3011" s="29" t="n">
        <v>0</v>
      </c>
      <c r="R3011" s="29" t="n">
        <v>0</v>
      </c>
      <c r="S3011" s="29" t="n">
        <v>0</v>
      </c>
      <c r="T3011" t="inlineStr">
        <is>
          <t>25260326975620000130570010000065141000010332</t>
        </is>
      </c>
      <c r="U3011" t="inlineStr">
        <is>
          <t>Não</t>
        </is>
      </c>
    </row>
    <row r="3012">
      <c r="A3012" t="inlineStr">
        <is>
          <t>Frete de venda</t>
        </is>
      </c>
      <c r="B3012" t="inlineStr">
        <is>
          <t>2.01.02 Frete sobre Vendas</t>
        </is>
      </c>
      <c r="C3012" s="30" t="n">
        <v>46082</v>
      </c>
      <c r="D3012" t="inlineStr">
        <is>
          <t>Em 2026</t>
        </is>
      </c>
      <c r="E3012" s="28" t="n">
        <v>46085</v>
      </c>
      <c r="F3012" t="inlineStr">
        <is>
          <t>CT-e</t>
        </is>
      </c>
      <c r="G3012" t="inlineStr">
        <is>
          <t>000006515</t>
        </is>
      </c>
      <c r="H3012" t="inlineStr">
        <is>
          <t>R&amp;R TRANSPORTE E LOGISTICA</t>
        </is>
      </c>
      <c r="J3012" s="29" t="n">
        <v>12.94</v>
      </c>
      <c r="K3012" s="29">
        <f>(1-ISNUMBER(SEARCH("556",M3012)))*(O3012*SUMIFS(Premissas!$C$5:$C$44,Premissas!$A$5:$A$44,$A3012,Premissas!$B$5:$B$44,$B3012)+P3012*SUMIFS(Premissas!$D$5:$D$44,Premissas!$A$5:$A$44,$A3012,Premissas!$B$5:$B$44,$B3012))+R3012*SUMIFS(Premissas!$E$5:$E$44,Premissas!$A$5:$A$44,$A3012,Premissas!$B$5:$B$44,$B3012)+S3012*SUMIFS(Premissas!$F$5:$F$44,Premissas!$A$5:$A$44,$A3012,Premissas!$B$5:$B$44,$B3012)</f>
        <v/>
      </c>
      <c r="L3012" s="29">
        <f>J3012-K3012</f>
        <v/>
      </c>
      <c r="M3012" t="inlineStr">
        <is>
          <t>1.350</t>
        </is>
      </c>
      <c r="N3012" t="inlineStr">
        <is>
          <t>Modalidade: 0 - Por conta do remetente | Parte: CELEBRAR E EMBALAR LTDA (58.433.179/0001-50)</t>
        </is>
      </c>
      <c r="O3012" s="29" t="n">
        <v>0</v>
      </c>
      <c r="P3012" s="29" t="n">
        <v>0</v>
      </c>
      <c r="Q3012" s="29" t="n">
        <v>0</v>
      </c>
      <c r="R3012" s="29" t="n">
        <v>0</v>
      </c>
      <c r="S3012" s="29" t="n">
        <v>0</v>
      </c>
      <c r="T3012" t="inlineStr">
        <is>
          <t>25260326975620000130570010000065151000180413</t>
        </is>
      </c>
      <c r="U3012" t="inlineStr">
        <is>
          <t>Não</t>
        </is>
      </c>
    </row>
    <row r="3013">
      <c r="A3013" t="inlineStr">
        <is>
          <t>Frete de venda</t>
        </is>
      </c>
      <c r="B3013" t="inlineStr">
        <is>
          <t>2.01.02 Frete sobre Vendas</t>
        </is>
      </c>
      <c r="C3013" s="30" t="n">
        <v>46082</v>
      </c>
      <c r="D3013" t="inlineStr">
        <is>
          <t>Em 2026</t>
        </is>
      </c>
      <c r="E3013" s="28" t="n">
        <v>46085</v>
      </c>
      <c r="F3013" t="inlineStr">
        <is>
          <t>CT-e</t>
        </is>
      </c>
      <c r="G3013" t="inlineStr">
        <is>
          <t>000006516</t>
        </is>
      </c>
      <c r="H3013" t="inlineStr">
        <is>
          <t>R&amp;R TRANSPORTE E LOGISTICA</t>
        </is>
      </c>
      <c r="J3013" s="29" t="n">
        <v>16.2</v>
      </c>
      <c r="K3013" s="29">
        <f>(1-ISNUMBER(SEARCH("556",M3013)))*(O3013*SUMIFS(Premissas!$C$5:$C$44,Premissas!$A$5:$A$44,$A3013,Premissas!$B$5:$B$44,$B3013)+P3013*SUMIFS(Premissas!$D$5:$D$44,Premissas!$A$5:$A$44,$A3013,Premissas!$B$5:$B$44,$B3013))+R3013*SUMIFS(Premissas!$E$5:$E$44,Premissas!$A$5:$A$44,$A3013,Premissas!$B$5:$B$44,$B3013)+S3013*SUMIFS(Premissas!$F$5:$F$44,Premissas!$A$5:$A$44,$A3013,Premissas!$B$5:$B$44,$B3013)</f>
        <v/>
      </c>
      <c r="L3013" s="29">
        <f>J3013-K3013</f>
        <v/>
      </c>
      <c r="M3013" t="inlineStr">
        <is>
          <t>1.350</t>
        </is>
      </c>
      <c r="N3013" t="inlineStr">
        <is>
          <t>Modalidade: 0 - Por conta do remetente | Parte: COMERCIO DE MIX E ACAI DO VALLE LTDA (36.951.535/0001-95)</t>
        </is>
      </c>
      <c r="O3013" s="29" t="n">
        <v>0</v>
      </c>
      <c r="P3013" s="29" t="n">
        <v>0</v>
      </c>
      <c r="Q3013" s="29" t="n">
        <v>0</v>
      </c>
      <c r="R3013" s="29" t="n">
        <v>0</v>
      </c>
      <c r="S3013" s="29" t="n">
        <v>0</v>
      </c>
      <c r="T3013" t="inlineStr">
        <is>
          <t>25260326975620000130570010000065161000150490</t>
        </is>
      </c>
      <c r="U3013" t="inlineStr">
        <is>
          <t>Não</t>
        </is>
      </c>
    </row>
    <row r="3014">
      <c r="A3014" t="inlineStr">
        <is>
          <t>Frete de venda</t>
        </is>
      </c>
      <c r="B3014" t="inlineStr">
        <is>
          <t>2.01.02 Frete sobre Vendas</t>
        </is>
      </c>
      <c r="C3014" s="30" t="n">
        <v>46082</v>
      </c>
      <c r="D3014" t="inlineStr">
        <is>
          <t>Em 2026</t>
        </is>
      </c>
      <c r="E3014" s="28" t="n">
        <v>46085</v>
      </c>
      <c r="F3014" t="inlineStr">
        <is>
          <t>CT-e</t>
        </is>
      </c>
      <c r="G3014" t="inlineStr">
        <is>
          <t>000006517</t>
        </is>
      </c>
      <c r="H3014" t="inlineStr">
        <is>
          <t>R&amp;R TRANSPORTE E LOGISTICA</t>
        </is>
      </c>
      <c r="J3014" s="29" t="n">
        <v>12.86</v>
      </c>
      <c r="K3014" s="29">
        <f>(1-ISNUMBER(SEARCH("556",M3014)))*(O3014*SUMIFS(Premissas!$C$5:$C$44,Premissas!$A$5:$A$44,$A3014,Premissas!$B$5:$B$44,$B3014)+P3014*SUMIFS(Premissas!$D$5:$D$44,Premissas!$A$5:$A$44,$A3014,Premissas!$B$5:$B$44,$B3014))+R3014*SUMIFS(Premissas!$E$5:$E$44,Premissas!$A$5:$A$44,$A3014,Premissas!$B$5:$B$44,$B3014)+S3014*SUMIFS(Premissas!$F$5:$F$44,Premissas!$A$5:$A$44,$A3014,Premissas!$B$5:$B$44,$B3014)</f>
        <v/>
      </c>
      <c r="L3014" s="29">
        <f>J3014-K3014</f>
        <v/>
      </c>
      <c r="M3014" t="inlineStr">
        <is>
          <t>1.350</t>
        </is>
      </c>
      <c r="N3014" t="inlineStr">
        <is>
          <t>Modalidade: 0 - Por conta do remetente | Parte: CENTRAL COMERCIAL DE VARIEDADES LTDA (15.596.084/0001-45)</t>
        </is>
      </c>
      <c r="O3014" s="29" t="n">
        <v>0</v>
      </c>
      <c r="P3014" s="29" t="n">
        <v>0</v>
      </c>
      <c r="Q3014" s="29" t="n">
        <v>0</v>
      </c>
      <c r="R3014" s="29" t="n">
        <v>0</v>
      </c>
      <c r="S3014" s="29" t="n">
        <v>0</v>
      </c>
      <c r="T3014" t="inlineStr">
        <is>
          <t>25260326975620000130570010000065171000120571</t>
        </is>
      </c>
      <c r="U3014" t="inlineStr">
        <is>
          <t>Não</t>
        </is>
      </c>
    </row>
    <row r="3015">
      <c r="A3015" t="inlineStr">
        <is>
          <t>Frete de venda</t>
        </is>
      </c>
      <c r="B3015" t="inlineStr">
        <is>
          <t>2.01.02 Frete sobre Vendas</t>
        </is>
      </c>
      <c r="C3015" s="30" t="n">
        <v>46082</v>
      </c>
      <c r="D3015" t="inlineStr">
        <is>
          <t>Em 2026</t>
        </is>
      </c>
      <c r="E3015" s="28" t="n">
        <v>46087</v>
      </c>
      <c r="F3015" t="inlineStr">
        <is>
          <t>CT-e</t>
        </is>
      </c>
      <c r="G3015" t="inlineStr">
        <is>
          <t>000006522</t>
        </is>
      </c>
      <c r="H3015" t="inlineStr">
        <is>
          <t>R&amp;R TRANSPORTE E LOGISTICA</t>
        </is>
      </c>
      <c r="J3015" s="29" t="n">
        <v>32.97</v>
      </c>
      <c r="K3015" s="29">
        <f>(1-ISNUMBER(SEARCH("556",M3015)))*(O3015*SUMIFS(Premissas!$C$5:$C$44,Premissas!$A$5:$A$44,$A3015,Premissas!$B$5:$B$44,$B3015)+P3015*SUMIFS(Premissas!$D$5:$D$44,Premissas!$A$5:$A$44,$A3015,Premissas!$B$5:$B$44,$B3015))+R3015*SUMIFS(Premissas!$E$5:$E$44,Premissas!$A$5:$A$44,$A3015,Premissas!$B$5:$B$44,$B3015)+S3015*SUMIFS(Premissas!$F$5:$F$44,Premissas!$A$5:$A$44,$A3015,Premissas!$B$5:$B$44,$B3015)</f>
        <v/>
      </c>
      <c r="L3015" s="29">
        <f>J3015-K3015</f>
        <v/>
      </c>
      <c r="M3015" t="inlineStr">
        <is>
          <t>1.350</t>
        </is>
      </c>
      <c r="N3015" t="inlineStr">
        <is>
          <t>Modalidade: 0 - Por conta do remetente | Parte: H C COMERCIO DE EMBALAGENS PLASTICA LTDA (69.708.436/0001-36)</t>
        </is>
      </c>
      <c r="O3015" s="29" t="n">
        <v>0</v>
      </c>
      <c r="P3015" s="29" t="n">
        <v>0</v>
      </c>
      <c r="Q3015" s="29" t="n">
        <v>0</v>
      </c>
      <c r="R3015" s="29" t="n">
        <v>0</v>
      </c>
      <c r="S3015" s="29" t="n">
        <v>0</v>
      </c>
      <c r="T3015" t="inlineStr">
        <is>
          <t>25260326975620000130570010000065221000150934</t>
        </is>
      </c>
      <c r="U3015" t="inlineStr">
        <is>
          <t>Não</t>
        </is>
      </c>
    </row>
    <row r="3016">
      <c r="A3016" t="inlineStr">
        <is>
          <t>Frete de venda</t>
        </is>
      </c>
      <c r="B3016" t="inlineStr">
        <is>
          <t>2.01.02 Frete sobre Vendas</t>
        </is>
      </c>
      <c r="C3016" s="30" t="n">
        <v>46082</v>
      </c>
      <c r="D3016" t="inlineStr">
        <is>
          <t>Em 2026</t>
        </is>
      </c>
      <c r="E3016" s="28" t="n">
        <v>46087</v>
      </c>
      <c r="F3016" t="inlineStr">
        <is>
          <t>CT-e</t>
        </is>
      </c>
      <c r="G3016" t="inlineStr">
        <is>
          <t>000006523</t>
        </is>
      </c>
      <c r="H3016" t="inlineStr">
        <is>
          <t>R&amp;R TRANSPORTE E LOGISTICA</t>
        </is>
      </c>
      <c r="J3016" s="29" t="n">
        <v>35.93</v>
      </c>
      <c r="K3016" s="29">
        <f>(1-ISNUMBER(SEARCH("556",M3016)))*(O3016*SUMIFS(Premissas!$C$5:$C$44,Premissas!$A$5:$A$44,$A3016,Premissas!$B$5:$B$44,$B3016)+P3016*SUMIFS(Premissas!$D$5:$D$44,Premissas!$A$5:$A$44,$A3016,Premissas!$B$5:$B$44,$B3016))+R3016*SUMIFS(Premissas!$E$5:$E$44,Premissas!$A$5:$A$44,$A3016,Premissas!$B$5:$B$44,$B3016)+S3016*SUMIFS(Premissas!$F$5:$F$44,Premissas!$A$5:$A$44,$A3016,Premissas!$B$5:$B$44,$B3016)</f>
        <v/>
      </c>
      <c r="L3016" s="29">
        <f>J3016-K3016</f>
        <v/>
      </c>
      <c r="M3016" t="inlineStr">
        <is>
          <t>1.350</t>
        </is>
      </c>
      <c r="N3016" t="inlineStr">
        <is>
          <t>Modalidade: 0 - Por conta do remetente | Parte: JND DISTRIBUIDORA LTDA (36.332.668/0001-83)</t>
        </is>
      </c>
      <c r="O3016" s="29" t="n">
        <v>0</v>
      </c>
      <c r="P3016" s="29" t="n">
        <v>0</v>
      </c>
      <c r="Q3016" s="29" t="n">
        <v>0</v>
      </c>
      <c r="R3016" s="29" t="n">
        <v>0</v>
      </c>
      <c r="S3016" s="29" t="n">
        <v>0</v>
      </c>
      <c r="T3016" t="inlineStr">
        <is>
          <t>25260326975620000130570010000065231001201017</t>
        </is>
      </c>
      <c r="U3016" t="inlineStr">
        <is>
          <t>Não</t>
        </is>
      </c>
    </row>
    <row r="3017">
      <c r="A3017" t="inlineStr">
        <is>
          <t>Frete de venda</t>
        </is>
      </c>
      <c r="B3017" t="inlineStr">
        <is>
          <t>2.01.02 Frete sobre Vendas</t>
        </is>
      </c>
      <c r="C3017" s="30" t="n">
        <v>46082</v>
      </c>
      <c r="D3017" t="inlineStr">
        <is>
          <t>Em 2026</t>
        </is>
      </c>
      <c r="E3017" s="28" t="n">
        <v>46087</v>
      </c>
      <c r="F3017" t="inlineStr">
        <is>
          <t>CT-e</t>
        </is>
      </c>
      <c r="G3017" t="inlineStr">
        <is>
          <t>000006524</t>
        </is>
      </c>
      <c r="H3017" t="inlineStr">
        <is>
          <t>R&amp;R TRANSPORTE E LOGISTICA</t>
        </is>
      </c>
      <c r="J3017" s="29" t="n">
        <v>32.61</v>
      </c>
      <c r="K3017" s="29">
        <f>(1-ISNUMBER(SEARCH("556",M3017)))*(O3017*SUMIFS(Premissas!$C$5:$C$44,Premissas!$A$5:$A$44,$A3017,Premissas!$B$5:$B$44,$B3017)+P3017*SUMIFS(Premissas!$D$5:$D$44,Premissas!$A$5:$A$44,$A3017,Premissas!$B$5:$B$44,$B3017))+R3017*SUMIFS(Premissas!$E$5:$E$44,Premissas!$A$5:$A$44,$A3017,Premissas!$B$5:$B$44,$B3017)+S3017*SUMIFS(Premissas!$F$5:$F$44,Premissas!$A$5:$A$44,$A3017,Premissas!$B$5:$B$44,$B3017)</f>
        <v/>
      </c>
      <c r="L3017" s="29">
        <f>J3017-K3017</f>
        <v/>
      </c>
      <c r="M3017" t="inlineStr">
        <is>
          <t>1.350</t>
        </is>
      </c>
      <c r="N3017" t="inlineStr">
        <is>
          <t>Modalidade: 0 - Por conta do remetente | Parte: E FESTA DISTRIBUIDORA LTDA (53.859.940/0001-05)</t>
        </is>
      </c>
      <c r="O3017" s="29" t="n">
        <v>0</v>
      </c>
      <c r="P3017" s="29" t="n">
        <v>0</v>
      </c>
      <c r="Q3017" s="29" t="n">
        <v>0</v>
      </c>
      <c r="R3017" s="29" t="n">
        <v>0</v>
      </c>
      <c r="S3017" s="29" t="n">
        <v>0</v>
      </c>
      <c r="T3017" t="inlineStr">
        <is>
          <t>25260326975620000130570010000065241011001093</t>
        </is>
      </c>
      <c r="U3017" t="inlineStr">
        <is>
          <t>Não</t>
        </is>
      </c>
    </row>
    <row r="3018">
      <c r="A3018" t="inlineStr">
        <is>
          <t>Frete de venda</t>
        </is>
      </c>
      <c r="B3018" t="inlineStr">
        <is>
          <t>2.01.02 Frete sobre Vendas</t>
        </is>
      </c>
      <c r="C3018" s="30" t="n">
        <v>46082</v>
      </c>
      <c r="D3018" t="inlineStr">
        <is>
          <t>Em 2026</t>
        </is>
      </c>
      <c r="E3018" s="28" t="n">
        <v>46087</v>
      </c>
      <c r="F3018" t="inlineStr">
        <is>
          <t>CT-e</t>
        </is>
      </c>
      <c r="G3018" t="inlineStr">
        <is>
          <t>000006525</t>
        </is>
      </c>
      <c r="H3018" t="inlineStr">
        <is>
          <t>R&amp;R TRANSPORTE E LOGISTICA</t>
        </is>
      </c>
      <c r="J3018" s="29" t="n">
        <v>33.16</v>
      </c>
      <c r="K3018" s="29">
        <f>(1-ISNUMBER(SEARCH("556",M3018)))*(O3018*SUMIFS(Premissas!$C$5:$C$44,Premissas!$A$5:$A$44,$A3018,Premissas!$B$5:$B$44,$B3018)+P3018*SUMIFS(Premissas!$D$5:$D$44,Premissas!$A$5:$A$44,$A3018,Premissas!$B$5:$B$44,$B3018))+R3018*SUMIFS(Premissas!$E$5:$E$44,Premissas!$A$5:$A$44,$A3018,Premissas!$B$5:$B$44,$B3018)+S3018*SUMIFS(Premissas!$F$5:$F$44,Premissas!$A$5:$A$44,$A3018,Premissas!$B$5:$B$44,$B3018)</f>
        <v/>
      </c>
      <c r="L3018" s="29">
        <f>J3018-K3018</f>
        <v/>
      </c>
      <c r="M3018" t="inlineStr">
        <is>
          <t>1.350</t>
        </is>
      </c>
      <c r="N3018" t="inlineStr">
        <is>
          <t>Modalidade: 0 - Por conta do remetente | Parte: DOCA COMERCIO DE PRODUTOS ALIMENTICIOS LTDA (15.258.788/0003-70)</t>
        </is>
      </c>
      <c r="O3018" s="29" t="n">
        <v>0</v>
      </c>
      <c r="P3018" s="29" t="n">
        <v>0</v>
      </c>
      <c r="Q3018" s="29" t="n">
        <v>0</v>
      </c>
      <c r="R3018" s="29" t="n">
        <v>0</v>
      </c>
      <c r="S3018" s="29" t="n">
        <v>0</v>
      </c>
      <c r="T3018" t="inlineStr">
        <is>
          <t>25260326975620000130570010000065251001701170</t>
        </is>
      </c>
      <c r="U3018" t="inlineStr">
        <is>
          <t>Não</t>
        </is>
      </c>
    </row>
    <row r="3019">
      <c r="A3019" t="inlineStr">
        <is>
          <t>Frete de venda</t>
        </is>
      </c>
      <c r="B3019" t="inlineStr">
        <is>
          <t>2.01.02 Frete sobre Vendas</t>
        </is>
      </c>
      <c r="C3019" s="30" t="n">
        <v>46082</v>
      </c>
      <c r="D3019" t="inlineStr">
        <is>
          <t>Em 2026</t>
        </is>
      </c>
      <c r="E3019" s="28" t="n">
        <v>46087</v>
      </c>
      <c r="F3019" t="inlineStr">
        <is>
          <t>CT-e</t>
        </is>
      </c>
      <c r="G3019" t="inlineStr">
        <is>
          <t>000006526</t>
        </is>
      </c>
      <c r="H3019" t="inlineStr">
        <is>
          <t>R&amp;R TRANSPORTE E LOGISTICA</t>
        </is>
      </c>
      <c r="J3019" s="29" t="n">
        <v>58.54</v>
      </c>
      <c r="K3019" s="29">
        <f>(1-ISNUMBER(SEARCH("556",M3019)))*(O3019*SUMIFS(Premissas!$C$5:$C$44,Premissas!$A$5:$A$44,$A3019,Premissas!$B$5:$B$44,$B3019)+P3019*SUMIFS(Premissas!$D$5:$D$44,Premissas!$A$5:$A$44,$A3019,Premissas!$B$5:$B$44,$B3019))+R3019*SUMIFS(Premissas!$E$5:$E$44,Premissas!$A$5:$A$44,$A3019,Premissas!$B$5:$B$44,$B3019)+S3019*SUMIFS(Premissas!$F$5:$F$44,Premissas!$A$5:$A$44,$A3019,Premissas!$B$5:$B$44,$B3019)</f>
        <v/>
      </c>
      <c r="L3019" s="29">
        <f>J3019-K3019</f>
        <v/>
      </c>
      <c r="M3019" t="inlineStr">
        <is>
          <t>1.350</t>
        </is>
      </c>
      <c r="N3019" t="inlineStr">
        <is>
          <t>Modalidade: 0 - Por conta do remetente | Parte: FORTALI DISTRIBUIDORA DE ALIMENTOS LTDA. (09.317.318/0001-75)</t>
        </is>
      </c>
      <c r="O3019" s="29" t="n">
        <v>0</v>
      </c>
      <c r="P3019" s="29" t="n">
        <v>0</v>
      </c>
      <c r="Q3019" s="29" t="n">
        <v>0</v>
      </c>
      <c r="R3019" s="29" t="n">
        <v>0</v>
      </c>
      <c r="S3019" s="29" t="n">
        <v>0</v>
      </c>
      <c r="T3019" t="inlineStr">
        <is>
          <t>25260326975620000130570010000065261001401255</t>
        </is>
      </c>
      <c r="U3019" t="inlineStr">
        <is>
          <t>Não</t>
        </is>
      </c>
    </row>
    <row r="3020">
      <c r="A3020" t="inlineStr">
        <is>
          <t>Frete de venda</t>
        </is>
      </c>
      <c r="B3020" t="inlineStr">
        <is>
          <t>2.01.02 Frete sobre Vendas</t>
        </is>
      </c>
      <c r="C3020" s="30" t="n">
        <v>46082</v>
      </c>
      <c r="D3020" t="inlineStr">
        <is>
          <t>Em 2026</t>
        </is>
      </c>
      <c r="E3020" s="28" t="n">
        <v>46087</v>
      </c>
      <c r="F3020" t="inlineStr">
        <is>
          <t>CT-e</t>
        </is>
      </c>
      <c r="G3020" t="inlineStr">
        <is>
          <t>000006527</t>
        </is>
      </c>
      <c r="H3020" t="inlineStr">
        <is>
          <t>R&amp;R TRANSPORTE E LOGISTICA</t>
        </is>
      </c>
      <c r="J3020" s="29" t="n">
        <v>33.35</v>
      </c>
      <c r="K3020" s="29">
        <f>(1-ISNUMBER(SEARCH("556",M3020)))*(O3020*SUMIFS(Premissas!$C$5:$C$44,Premissas!$A$5:$A$44,$A3020,Premissas!$B$5:$B$44,$B3020)+P3020*SUMIFS(Premissas!$D$5:$D$44,Premissas!$A$5:$A$44,$A3020,Premissas!$B$5:$B$44,$B3020))+R3020*SUMIFS(Premissas!$E$5:$E$44,Premissas!$A$5:$A$44,$A3020,Premissas!$B$5:$B$44,$B3020)+S3020*SUMIFS(Premissas!$F$5:$F$44,Premissas!$A$5:$A$44,$A3020,Premissas!$B$5:$B$44,$B3020)</f>
        <v/>
      </c>
      <c r="L3020" s="29">
        <f>J3020-K3020</f>
        <v/>
      </c>
      <c r="M3020" t="inlineStr">
        <is>
          <t>1.350</t>
        </is>
      </c>
      <c r="N3020" t="inlineStr">
        <is>
          <t>Modalidade: 0 - Por conta do remetente | Parte: COMERCIAL BAHIA LTDA (41.651.670/0001-55)</t>
        </is>
      </c>
      <c r="O3020" s="29" t="n">
        <v>0</v>
      </c>
      <c r="P3020" s="29" t="n">
        <v>0</v>
      </c>
      <c r="Q3020" s="29" t="n">
        <v>0</v>
      </c>
      <c r="R3020" s="29" t="n">
        <v>0</v>
      </c>
      <c r="S3020" s="29" t="n">
        <v>0</v>
      </c>
      <c r="T3020" t="inlineStr">
        <is>
          <t>25260326975620000130570010000065271001101330</t>
        </is>
      </c>
      <c r="U3020" t="inlineStr">
        <is>
          <t>Não</t>
        </is>
      </c>
    </row>
    <row r="3021">
      <c r="A3021" t="inlineStr">
        <is>
          <t>Frete de venda</t>
        </is>
      </c>
      <c r="B3021" t="inlineStr">
        <is>
          <t>2.01.02 Frete sobre Vendas</t>
        </is>
      </c>
      <c r="C3021" s="30" t="n">
        <v>46082</v>
      </c>
      <c r="D3021" t="inlineStr">
        <is>
          <t>Em 2026</t>
        </is>
      </c>
      <c r="E3021" s="28" t="n">
        <v>46087</v>
      </c>
      <c r="F3021" t="inlineStr">
        <is>
          <t>CT-e</t>
        </is>
      </c>
      <c r="G3021" t="inlineStr">
        <is>
          <t>000006528</t>
        </is>
      </c>
      <c r="H3021" t="inlineStr">
        <is>
          <t>R&amp;R TRANSPORTE E LOGISTICA</t>
        </is>
      </c>
      <c r="J3021" s="29" t="n">
        <v>54.17</v>
      </c>
      <c r="K3021" s="29">
        <f>(1-ISNUMBER(SEARCH("556",M3021)))*(O3021*SUMIFS(Premissas!$C$5:$C$44,Premissas!$A$5:$A$44,$A3021,Premissas!$B$5:$B$44,$B3021)+P3021*SUMIFS(Premissas!$D$5:$D$44,Premissas!$A$5:$A$44,$A3021,Premissas!$B$5:$B$44,$B3021))+R3021*SUMIFS(Premissas!$E$5:$E$44,Premissas!$A$5:$A$44,$A3021,Premissas!$B$5:$B$44,$B3021)+S3021*SUMIFS(Premissas!$F$5:$F$44,Premissas!$A$5:$A$44,$A3021,Premissas!$B$5:$B$44,$B3021)</f>
        <v/>
      </c>
      <c r="L3021" s="29">
        <f>J3021-K3021</f>
        <v/>
      </c>
      <c r="M3021" t="inlineStr">
        <is>
          <t>1.350</t>
        </is>
      </c>
      <c r="N3021" t="inlineStr">
        <is>
          <t>Modalidade: 0 - Por conta do remetente | Parte: CASA DEIR FERRAGENS E FERRAMENTAS LTDA (22.904.166/0001-75)</t>
        </is>
      </c>
      <c r="O3021" s="29" t="n">
        <v>0</v>
      </c>
      <c r="P3021" s="29" t="n">
        <v>0</v>
      </c>
      <c r="Q3021" s="29" t="n">
        <v>0</v>
      </c>
      <c r="R3021" s="29" t="n">
        <v>0</v>
      </c>
      <c r="S3021" s="29" t="n">
        <v>0</v>
      </c>
      <c r="T3021" t="inlineStr">
        <is>
          <t>25260326975620000130570010000065281000190751</t>
        </is>
      </c>
      <c r="U3021" t="inlineStr">
        <is>
          <t>Não</t>
        </is>
      </c>
    </row>
    <row r="3022">
      <c r="A3022" t="inlineStr">
        <is>
          <t>Frete de venda</t>
        </is>
      </c>
      <c r="B3022" t="inlineStr">
        <is>
          <t>2.01.02 Frete sobre Vendas</t>
        </is>
      </c>
      <c r="C3022" s="30" t="n">
        <v>46082</v>
      </c>
      <c r="D3022" t="inlineStr">
        <is>
          <t>Em 2026</t>
        </is>
      </c>
      <c r="E3022" s="28" t="n">
        <v>46087</v>
      </c>
      <c r="F3022" t="inlineStr">
        <is>
          <t>CT-e</t>
        </is>
      </c>
      <c r="G3022" t="inlineStr">
        <is>
          <t>000006529</t>
        </is>
      </c>
      <c r="H3022" t="inlineStr">
        <is>
          <t>R&amp;R TRANSPORTE E LOGISTICA</t>
        </is>
      </c>
      <c r="J3022" s="29" t="n">
        <v>53.91</v>
      </c>
      <c r="K3022" s="29">
        <f>(1-ISNUMBER(SEARCH("556",M3022)))*(O3022*SUMIFS(Premissas!$C$5:$C$44,Premissas!$A$5:$A$44,$A3022,Premissas!$B$5:$B$44,$B3022)+P3022*SUMIFS(Premissas!$D$5:$D$44,Premissas!$A$5:$A$44,$A3022,Premissas!$B$5:$B$44,$B3022))+R3022*SUMIFS(Premissas!$E$5:$E$44,Premissas!$A$5:$A$44,$A3022,Premissas!$B$5:$B$44,$B3022)+S3022*SUMIFS(Premissas!$F$5:$F$44,Premissas!$A$5:$A$44,$A3022,Premissas!$B$5:$B$44,$B3022)</f>
        <v/>
      </c>
      <c r="L3022" s="29">
        <f>J3022-K3022</f>
        <v/>
      </c>
      <c r="M3022" t="inlineStr">
        <is>
          <t>1.350</t>
        </is>
      </c>
      <c r="N3022" t="inlineStr">
        <is>
          <t>Modalidade: 0 - Por conta do remetente | Parte: JB FRIOS INDUSTRIA E COMERCIO LTDA (41.966.857/0001-48)</t>
        </is>
      </c>
      <c r="O3022" s="29" t="n">
        <v>0</v>
      </c>
      <c r="P3022" s="29" t="n">
        <v>0</v>
      </c>
      <c r="Q3022" s="29" t="n">
        <v>0</v>
      </c>
      <c r="R3022" s="29" t="n">
        <v>0</v>
      </c>
      <c r="S3022" s="29" t="n">
        <v>0</v>
      </c>
      <c r="T3022" t="inlineStr">
        <is>
          <t>25260326975620000130570010000065291000160833</t>
        </is>
      </c>
      <c r="U3022" t="inlineStr">
        <is>
          <t>Não</t>
        </is>
      </c>
    </row>
    <row r="3023">
      <c r="A3023" t="inlineStr">
        <is>
          <t>Frete de venda</t>
        </is>
      </c>
      <c r="B3023" t="inlineStr">
        <is>
          <t>2.01.02 Frete sobre Vendas</t>
        </is>
      </c>
      <c r="C3023" s="30" t="n">
        <v>46082</v>
      </c>
      <c r="D3023" t="inlineStr">
        <is>
          <t>Em 2026</t>
        </is>
      </c>
      <c r="E3023" s="28" t="n">
        <v>46087</v>
      </c>
      <c r="F3023" t="inlineStr">
        <is>
          <t>CT-e</t>
        </is>
      </c>
      <c r="G3023" t="inlineStr">
        <is>
          <t>000006530</t>
        </is>
      </c>
      <c r="H3023" t="inlineStr">
        <is>
          <t>R&amp;R TRANSPORTE E LOGISTICA</t>
        </is>
      </c>
      <c r="J3023" s="29" t="n">
        <v>57.72</v>
      </c>
      <c r="K3023" s="29">
        <f>(1-ISNUMBER(SEARCH("556",M3023)))*(O3023*SUMIFS(Premissas!$C$5:$C$44,Premissas!$A$5:$A$44,$A3023,Premissas!$B$5:$B$44,$B3023)+P3023*SUMIFS(Premissas!$D$5:$D$44,Premissas!$A$5:$A$44,$A3023,Premissas!$B$5:$B$44,$B3023))+R3023*SUMIFS(Premissas!$E$5:$E$44,Premissas!$A$5:$A$44,$A3023,Premissas!$B$5:$B$44,$B3023)+S3023*SUMIFS(Premissas!$F$5:$F$44,Premissas!$A$5:$A$44,$A3023,Premissas!$B$5:$B$44,$B3023)</f>
        <v/>
      </c>
      <c r="L3023" s="29">
        <f>J3023-K3023</f>
        <v/>
      </c>
      <c r="M3023" t="inlineStr">
        <is>
          <t>1.350</t>
        </is>
      </c>
      <c r="N3023" t="inlineStr">
        <is>
          <t>Modalidade: 0 - Por conta do remetente | Parte: PLASTICENTRO LTDA (23.168.206/0001-20)</t>
        </is>
      </c>
      <c r="O3023" s="29" t="n">
        <v>0</v>
      </c>
      <c r="P3023" s="29" t="n">
        <v>0</v>
      </c>
      <c r="Q3023" s="29" t="n">
        <v>0</v>
      </c>
      <c r="R3023" s="29" t="n">
        <v>0</v>
      </c>
      <c r="S3023" s="29" t="n">
        <v>0</v>
      </c>
      <c r="T3023" t="inlineStr">
        <is>
          <t>25260326975620000130570010000065301000130919</t>
        </is>
      </c>
      <c r="U3023" t="inlineStr">
        <is>
          <t>Não</t>
        </is>
      </c>
    </row>
    <row r="3024">
      <c r="A3024" t="inlineStr">
        <is>
          <t>Frete de venda</t>
        </is>
      </c>
      <c r="B3024" t="inlineStr">
        <is>
          <t>2.01.02 Frete sobre Vendas</t>
        </is>
      </c>
      <c r="C3024" s="30" t="n">
        <v>46082</v>
      </c>
      <c r="D3024" t="inlineStr">
        <is>
          <t>Em 2026</t>
        </is>
      </c>
      <c r="E3024" s="28" t="n">
        <v>46087</v>
      </c>
      <c r="F3024" t="inlineStr">
        <is>
          <t>CT-e</t>
        </is>
      </c>
      <c r="G3024" t="inlineStr">
        <is>
          <t>000006531</t>
        </is>
      </c>
      <c r="H3024" t="inlineStr">
        <is>
          <t>R&amp;R TRANSPORTE E LOGISTICA</t>
        </is>
      </c>
      <c r="J3024" s="29" t="n">
        <v>191.94</v>
      </c>
      <c r="K3024" s="29">
        <f>(1-ISNUMBER(SEARCH("556",M3024)))*(O3024*SUMIFS(Premissas!$C$5:$C$44,Premissas!$A$5:$A$44,$A3024,Premissas!$B$5:$B$44,$B3024)+P3024*SUMIFS(Premissas!$D$5:$D$44,Premissas!$A$5:$A$44,$A3024,Premissas!$B$5:$B$44,$B3024))+R3024*SUMIFS(Premissas!$E$5:$E$44,Premissas!$A$5:$A$44,$A3024,Premissas!$B$5:$B$44,$B3024)+S3024*SUMIFS(Premissas!$F$5:$F$44,Premissas!$A$5:$A$44,$A3024,Premissas!$B$5:$B$44,$B3024)</f>
        <v/>
      </c>
      <c r="L3024" s="29">
        <f>J3024-K3024</f>
        <v/>
      </c>
      <c r="M3024" t="inlineStr">
        <is>
          <t>1.350</t>
        </is>
      </c>
      <c r="N3024" t="inlineStr">
        <is>
          <t>Modalidade: 0 - Por conta do remetente | Parte: BRASILPLAST EMBALAGENS E DESCARTAVEIS LTDA (02.771.903/0001-00)</t>
        </is>
      </c>
      <c r="O3024" s="29" t="n">
        <v>0</v>
      </c>
      <c r="P3024" s="29" t="n">
        <v>0</v>
      </c>
      <c r="Q3024" s="29" t="n">
        <v>0</v>
      </c>
      <c r="R3024" s="29" t="n">
        <v>0</v>
      </c>
      <c r="S3024" s="29" t="n">
        <v>0</v>
      </c>
      <c r="T3024" t="inlineStr">
        <is>
          <t>25260326975620000130570010000065311000010996</t>
        </is>
      </c>
      <c r="U3024" t="inlineStr">
        <is>
          <t>Não</t>
        </is>
      </c>
    </row>
    <row r="3025">
      <c r="A3025" t="inlineStr">
        <is>
          <t>Frete de venda</t>
        </is>
      </c>
      <c r="B3025" t="inlineStr">
        <is>
          <t>2.01.02 Frete sobre Vendas</t>
        </is>
      </c>
      <c r="C3025" s="30" t="n">
        <v>46082</v>
      </c>
      <c r="D3025" t="inlineStr">
        <is>
          <t>Em 2026</t>
        </is>
      </c>
      <c r="E3025" s="28" t="n">
        <v>46087</v>
      </c>
      <c r="F3025" t="inlineStr">
        <is>
          <t>CT-e</t>
        </is>
      </c>
      <c r="G3025" t="inlineStr">
        <is>
          <t>000006532</t>
        </is>
      </c>
      <c r="H3025" t="inlineStr">
        <is>
          <t>R&amp;R TRANSPORTE E LOGISTICA</t>
        </is>
      </c>
      <c r="J3025" s="29" t="n">
        <v>840</v>
      </c>
      <c r="K3025" s="29">
        <f>(1-ISNUMBER(SEARCH("556",M3025)))*(O3025*SUMIFS(Premissas!$C$5:$C$44,Premissas!$A$5:$A$44,$A3025,Premissas!$B$5:$B$44,$B3025)+P3025*SUMIFS(Premissas!$D$5:$D$44,Premissas!$A$5:$A$44,$A3025,Premissas!$B$5:$B$44,$B3025))+R3025*SUMIFS(Premissas!$E$5:$E$44,Premissas!$A$5:$A$44,$A3025,Premissas!$B$5:$B$44,$B3025)+S3025*SUMIFS(Premissas!$F$5:$F$44,Premissas!$A$5:$A$44,$A3025,Premissas!$B$5:$B$44,$B3025)</f>
        <v/>
      </c>
      <c r="L3025" s="29">
        <f>J3025-K3025</f>
        <v/>
      </c>
      <c r="M3025" t="inlineStr">
        <is>
          <t>1.350</t>
        </is>
      </c>
      <c r="N3025" t="inlineStr">
        <is>
          <t>Transportadora de frete de venda, mas pela modalidade do frete a Vinco recebeu a carga | Modalidade: 1 - Por conta do destinatário | Parte: COLAMID (04.781.666/0001-85)</t>
        </is>
      </c>
      <c r="O3025" s="29" t="n">
        <v>0</v>
      </c>
      <c r="P3025" s="29" t="n">
        <v>0</v>
      </c>
      <c r="Q3025" s="29" t="n">
        <v>0</v>
      </c>
      <c r="R3025" s="29" t="n">
        <v>0</v>
      </c>
      <c r="S3025" s="29" t="n">
        <v>0</v>
      </c>
      <c r="T3025" t="inlineStr">
        <is>
          <t>25260326975620000130570010000065321001801072</t>
        </is>
      </c>
      <c r="U3025" t="inlineStr">
        <is>
          <t>Sim</t>
        </is>
      </c>
    </row>
    <row r="3026">
      <c r="A3026" t="inlineStr">
        <is>
          <t>Frete de venda</t>
        </is>
      </c>
      <c r="B3026" t="inlineStr">
        <is>
          <t>2.01.02 Frete sobre Vendas</t>
        </is>
      </c>
      <c r="C3026" s="30" t="n">
        <v>46082</v>
      </c>
      <c r="D3026" t="inlineStr">
        <is>
          <t>Em 2026</t>
        </is>
      </c>
      <c r="E3026" s="28" t="n">
        <v>46088</v>
      </c>
      <c r="F3026" t="inlineStr">
        <is>
          <t>CT-e</t>
        </is>
      </c>
      <c r="G3026" t="inlineStr">
        <is>
          <t>000006538</t>
        </is>
      </c>
      <c r="H3026" t="inlineStr">
        <is>
          <t>R&amp;R TRANSPORTE E LOGISTICA</t>
        </is>
      </c>
      <c r="J3026" s="29" t="n">
        <v>700</v>
      </c>
      <c r="K3026" s="29">
        <f>(1-ISNUMBER(SEARCH("556",M3026)))*(O3026*SUMIFS(Premissas!$C$5:$C$44,Premissas!$A$5:$A$44,$A3026,Premissas!$B$5:$B$44,$B3026)+P3026*SUMIFS(Premissas!$D$5:$D$44,Premissas!$A$5:$A$44,$A3026,Premissas!$B$5:$B$44,$B3026))+R3026*SUMIFS(Premissas!$E$5:$E$44,Premissas!$A$5:$A$44,$A3026,Premissas!$B$5:$B$44,$B3026)+S3026*SUMIFS(Premissas!$F$5:$F$44,Premissas!$A$5:$A$44,$A3026,Premissas!$B$5:$B$44,$B3026)</f>
        <v/>
      </c>
      <c r="L3026" s="29">
        <f>J3026-K3026</f>
        <v/>
      </c>
      <c r="M3026" t="inlineStr">
        <is>
          <t>1.350</t>
        </is>
      </c>
      <c r="N3026" t="inlineStr">
        <is>
          <t>Modalidade: 0 - Por conta do remetente | Parte: COMERCIAL PROLAC LTDA. (07.182.763/0001-40)</t>
        </is>
      </c>
      <c r="O3026" s="29" t="n">
        <v>0</v>
      </c>
      <c r="P3026" s="29" t="n">
        <v>0</v>
      </c>
      <c r="Q3026" s="29" t="n">
        <v>0</v>
      </c>
      <c r="R3026" s="29" t="n">
        <v>0</v>
      </c>
      <c r="S3026" s="29" t="n">
        <v>0</v>
      </c>
      <c r="T3026" t="inlineStr">
        <is>
          <t>25260326975620000130570010000065381000150829</t>
        </is>
      </c>
      <c r="U3026" t="inlineStr">
        <is>
          <t>Sim</t>
        </is>
      </c>
    </row>
    <row r="3027">
      <c r="A3027" t="inlineStr">
        <is>
          <t>Frete de venda</t>
        </is>
      </c>
      <c r="B3027" t="inlineStr">
        <is>
          <t>2.01.02 Frete sobre Vendas</t>
        </is>
      </c>
      <c r="C3027" s="30" t="n">
        <v>46082</v>
      </c>
      <c r="D3027" t="inlineStr">
        <is>
          <t>Em 2026</t>
        </is>
      </c>
      <c r="E3027" s="28" t="n">
        <v>46088</v>
      </c>
      <c r="F3027" t="inlineStr">
        <is>
          <t>CT-e</t>
        </is>
      </c>
      <c r="G3027" t="inlineStr">
        <is>
          <t>000006539</t>
        </is>
      </c>
      <c r="H3027" t="inlineStr">
        <is>
          <t>R&amp;R TRANSPORTE E LOGISTICA</t>
        </is>
      </c>
      <c r="J3027" s="29" t="n">
        <v>700</v>
      </c>
      <c r="K3027" s="29">
        <f>(1-ISNUMBER(SEARCH("556",M3027)))*(O3027*SUMIFS(Premissas!$C$5:$C$44,Premissas!$A$5:$A$44,$A3027,Premissas!$B$5:$B$44,$B3027)+P3027*SUMIFS(Premissas!$D$5:$D$44,Premissas!$A$5:$A$44,$A3027,Premissas!$B$5:$B$44,$B3027))+R3027*SUMIFS(Premissas!$E$5:$E$44,Premissas!$A$5:$A$44,$A3027,Premissas!$B$5:$B$44,$B3027)+S3027*SUMIFS(Premissas!$F$5:$F$44,Premissas!$A$5:$A$44,$A3027,Premissas!$B$5:$B$44,$B3027)</f>
        <v/>
      </c>
      <c r="L3027" s="29">
        <f>J3027-K3027</f>
        <v/>
      </c>
      <c r="M3027" t="inlineStr">
        <is>
          <t>1.350</t>
        </is>
      </c>
      <c r="N3027" t="inlineStr">
        <is>
          <t>Modalidade: 0 - Por conta do remetente | Parte: PRONTO DISTRIBUIDORA LTDA (59.909.633/0001-60)</t>
        </is>
      </c>
      <c r="O3027" s="29" t="n">
        <v>0</v>
      </c>
      <c r="P3027" s="29" t="n">
        <v>0</v>
      </c>
      <c r="Q3027" s="29" t="n">
        <v>0</v>
      </c>
      <c r="R3027" s="29" t="n">
        <v>0</v>
      </c>
      <c r="S3027" s="29" t="n">
        <v>0</v>
      </c>
      <c r="T3027" t="inlineStr">
        <is>
          <t>25260326975620000130570010000065391000120900</t>
        </is>
      </c>
      <c r="U3027" t="inlineStr">
        <is>
          <t>Sim</t>
        </is>
      </c>
    </row>
    <row r="3028">
      <c r="A3028" t="inlineStr">
        <is>
          <t>Frete de venda</t>
        </is>
      </c>
      <c r="B3028" t="inlineStr">
        <is>
          <t>2.01.02 Frete sobre Vendas</t>
        </is>
      </c>
      <c r="C3028" s="30" t="n">
        <v>46082</v>
      </c>
      <c r="D3028" t="inlineStr">
        <is>
          <t>Em 2026</t>
        </is>
      </c>
      <c r="E3028" s="28" t="n">
        <v>46091</v>
      </c>
      <c r="F3028" t="inlineStr">
        <is>
          <t>CT-e</t>
        </is>
      </c>
      <c r="G3028" t="inlineStr">
        <is>
          <t>000006543</t>
        </is>
      </c>
      <c r="H3028" t="inlineStr">
        <is>
          <t>R&amp;R TRANSPORTE E LOGISTICA</t>
        </is>
      </c>
      <c r="J3028" s="29" t="n">
        <v>1650</v>
      </c>
      <c r="K3028" s="29">
        <f>(1-ISNUMBER(SEARCH("556",M3028)))*(O3028*SUMIFS(Premissas!$C$5:$C$44,Premissas!$A$5:$A$44,$A3028,Premissas!$B$5:$B$44,$B3028)+P3028*SUMIFS(Premissas!$D$5:$D$44,Premissas!$A$5:$A$44,$A3028,Premissas!$B$5:$B$44,$B3028))+R3028*SUMIFS(Premissas!$E$5:$E$44,Premissas!$A$5:$A$44,$A3028,Premissas!$B$5:$B$44,$B3028)+S3028*SUMIFS(Premissas!$F$5:$F$44,Premissas!$A$5:$A$44,$A3028,Premissas!$B$5:$B$44,$B3028)</f>
        <v/>
      </c>
      <c r="L3028" s="29">
        <f>J3028-K3028</f>
        <v/>
      </c>
      <c r="M3028" t="inlineStr">
        <is>
          <t>1.350</t>
        </is>
      </c>
      <c r="N3028" t="inlineStr">
        <is>
          <t>Transportadora de frete de venda, mas pela modalidade do frete a Vinco recebeu a carga | Modalidade: 1 - Por conta do destinatário | Parte: COLAMID (04.781.666/0001-85)</t>
        </is>
      </c>
      <c r="O3028" s="29" t="n">
        <v>0</v>
      </c>
      <c r="P3028" s="29" t="n">
        <v>0</v>
      </c>
      <c r="Q3028" s="29" t="n">
        <v>0</v>
      </c>
      <c r="R3028" s="29" t="n">
        <v>0</v>
      </c>
      <c r="S3028" s="29" t="n">
        <v>0</v>
      </c>
      <c r="T3028" t="inlineStr">
        <is>
          <t>25260326975620000130570010000065431001101228</t>
        </is>
      </c>
      <c r="U3028" t="inlineStr">
        <is>
          <t>Sim</t>
        </is>
      </c>
    </row>
    <row r="3029">
      <c r="A3029" t="inlineStr">
        <is>
          <t>Frete de venda</t>
        </is>
      </c>
      <c r="B3029" t="inlineStr">
        <is>
          <t>2.01.02 Frete sobre Vendas</t>
        </is>
      </c>
      <c r="C3029" s="30" t="n">
        <v>46082</v>
      </c>
      <c r="D3029" t="inlineStr">
        <is>
          <t>Em 2026</t>
        </is>
      </c>
      <c r="E3029" s="28" t="n">
        <v>46091</v>
      </c>
      <c r="F3029" t="inlineStr">
        <is>
          <t>CT-e</t>
        </is>
      </c>
      <c r="G3029" t="inlineStr">
        <is>
          <t>000006546</t>
        </is>
      </c>
      <c r="H3029" t="inlineStr">
        <is>
          <t>R&amp;R TRANSPORTE E LOGISTICA</t>
        </is>
      </c>
      <c r="J3029" s="29" t="n">
        <v>750</v>
      </c>
      <c r="K3029" s="29">
        <f>(1-ISNUMBER(SEARCH("556",M3029)))*(O3029*SUMIFS(Premissas!$C$5:$C$44,Premissas!$A$5:$A$44,$A3029,Premissas!$B$5:$B$44,$B3029)+P3029*SUMIFS(Premissas!$D$5:$D$44,Premissas!$A$5:$A$44,$A3029,Premissas!$B$5:$B$44,$B3029))+R3029*SUMIFS(Premissas!$E$5:$E$44,Premissas!$A$5:$A$44,$A3029,Premissas!$B$5:$B$44,$B3029)+S3029*SUMIFS(Premissas!$F$5:$F$44,Premissas!$A$5:$A$44,$A3029,Premissas!$B$5:$B$44,$B3029)</f>
        <v/>
      </c>
      <c r="L3029" s="29">
        <f>J3029-K3029</f>
        <v/>
      </c>
      <c r="M3029" t="inlineStr">
        <is>
          <t>1.350</t>
        </is>
      </c>
      <c r="N3029" t="inlineStr">
        <is>
          <t>Modalidade: 0 - Por conta do remetente | Parte: C M OLIVEIRA ATACADO (41.098.526/0001-33)</t>
        </is>
      </c>
      <c r="O3029" s="29" t="n">
        <v>0</v>
      </c>
      <c r="P3029" s="29" t="n">
        <v>0</v>
      </c>
      <c r="Q3029" s="29" t="n">
        <v>0</v>
      </c>
      <c r="R3029" s="29" t="n">
        <v>0</v>
      </c>
      <c r="S3029" s="29" t="n">
        <v>0</v>
      </c>
      <c r="T3029" t="inlineStr">
        <is>
          <t>25260326975620000130570010000065461000160397</t>
        </is>
      </c>
      <c r="U3029" t="inlineStr">
        <is>
          <t>Sim</t>
        </is>
      </c>
    </row>
    <row r="3030">
      <c r="A3030" t="inlineStr">
        <is>
          <t>Frete de venda</t>
        </is>
      </c>
      <c r="B3030" t="inlineStr">
        <is>
          <t>2.01.02 Frete sobre Vendas</t>
        </is>
      </c>
      <c r="C3030" s="30" t="n">
        <v>46082</v>
      </c>
      <c r="D3030" t="inlineStr">
        <is>
          <t>Em 2026</t>
        </is>
      </c>
      <c r="E3030" s="28" t="n">
        <v>46091</v>
      </c>
      <c r="F3030" t="inlineStr">
        <is>
          <t>CT-e</t>
        </is>
      </c>
      <c r="G3030" t="inlineStr">
        <is>
          <t>000006547</t>
        </is>
      </c>
      <c r="H3030" t="inlineStr">
        <is>
          <t>R&amp;R TRANSPORTE E LOGISTICA</t>
        </is>
      </c>
      <c r="J3030" s="29" t="n">
        <v>750</v>
      </c>
      <c r="K3030" s="29">
        <f>(1-ISNUMBER(SEARCH("556",M3030)))*(O3030*SUMIFS(Premissas!$C$5:$C$44,Premissas!$A$5:$A$44,$A3030,Premissas!$B$5:$B$44,$B3030)+P3030*SUMIFS(Premissas!$D$5:$D$44,Premissas!$A$5:$A$44,$A3030,Premissas!$B$5:$B$44,$B3030))+R3030*SUMIFS(Premissas!$E$5:$E$44,Premissas!$A$5:$A$44,$A3030,Premissas!$B$5:$B$44,$B3030)+S3030*SUMIFS(Premissas!$F$5:$F$44,Premissas!$A$5:$A$44,$A3030,Premissas!$B$5:$B$44,$B3030)</f>
        <v/>
      </c>
      <c r="L3030" s="29">
        <f>J3030-K3030</f>
        <v/>
      </c>
      <c r="M3030" t="inlineStr">
        <is>
          <t>1.350</t>
        </is>
      </c>
      <c r="N3030" t="inlineStr">
        <is>
          <t>Modalidade: 0 - Por conta do remetente | Parte: PRONTO DISTRIBUIDORA LTDA (59.909.633/0001-60)</t>
        </is>
      </c>
      <c r="O3030" s="29" t="n">
        <v>0</v>
      </c>
      <c r="P3030" s="29" t="n">
        <v>0</v>
      </c>
      <c r="Q3030" s="29" t="n">
        <v>0</v>
      </c>
      <c r="R3030" s="29" t="n">
        <v>0</v>
      </c>
      <c r="S3030" s="29" t="n">
        <v>0</v>
      </c>
      <c r="T3030" t="inlineStr">
        <is>
          <t>25260326975620000130570010000065471000130479</t>
        </is>
      </c>
      <c r="U3030" t="inlineStr">
        <is>
          <t>Sim</t>
        </is>
      </c>
    </row>
    <row r="3031">
      <c r="A3031" t="inlineStr">
        <is>
          <t>Frete de venda</t>
        </is>
      </c>
      <c r="B3031" t="inlineStr">
        <is>
          <t>2.01.02 Frete sobre Vendas</t>
        </is>
      </c>
      <c r="C3031" s="30" t="n">
        <v>46082</v>
      </c>
      <c r="D3031" t="inlineStr">
        <is>
          <t>Em 2026</t>
        </is>
      </c>
      <c r="E3031" s="28" t="n">
        <v>46093</v>
      </c>
      <c r="F3031" t="inlineStr">
        <is>
          <t>CT-e</t>
        </is>
      </c>
      <c r="G3031" t="inlineStr">
        <is>
          <t>000006557</t>
        </is>
      </c>
      <c r="H3031" t="inlineStr">
        <is>
          <t>R&amp;R TRANSPORTE E LOGISTICA</t>
        </is>
      </c>
      <c r="J3031" s="29" t="n">
        <v>443.67</v>
      </c>
      <c r="K3031" s="29">
        <f>(1-ISNUMBER(SEARCH("556",M3031)))*(O3031*SUMIFS(Premissas!$C$5:$C$44,Premissas!$A$5:$A$44,$A3031,Premissas!$B$5:$B$44,$B3031)+P3031*SUMIFS(Premissas!$D$5:$D$44,Premissas!$A$5:$A$44,$A3031,Premissas!$B$5:$B$44,$B3031))+R3031*SUMIFS(Premissas!$E$5:$E$44,Premissas!$A$5:$A$44,$A3031,Premissas!$B$5:$B$44,$B3031)+S3031*SUMIFS(Premissas!$F$5:$F$44,Premissas!$A$5:$A$44,$A3031,Premissas!$B$5:$B$44,$B3031)</f>
        <v/>
      </c>
      <c r="L3031" s="29">
        <f>J3031-K3031</f>
        <v/>
      </c>
      <c r="M3031" t="inlineStr">
        <is>
          <t>1.350</t>
        </is>
      </c>
      <c r="N3031" t="inlineStr">
        <is>
          <t>Modalidade: 0 - Por conta do remetente | Parte: RFC COMERCIO DE MIUDEZAS LTDA (26.514.797/0004-81)</t>
        </is>
      </c>
      <c r="O3031" s="29" t="n">
        <v>0</v>
      </c>
      <c r="P3031" s="29" t="n">
        <v>0</v>
      </c>
      <c r="Q3031" s="29" t="n">
        <v>0</v>
      </c>
      <c r="R3031" s="29" t="n">
        <v>0</v>
      </c>
      <c r="S3031" s="29" t="n">
        <v>0</v>
      </c>
      <c r="T3031" t="inlineStr">
        <is>
          <t>25260326975620000130570010000065571001100545</t>
        </is>
      </c>
      <c r="U3031" t="inlineStr">
        <is>
          <t>Não</t>
        </is>
      </c>
    </row>
    <row r="3032">
      <c r="A3032" t="inlineStr">
        <is>
          <t>Frete de venda</t>
        </is>
      </c>
      <c r="B3032" t="inlineStr">
        <is>
          <t>2.01.02 Frete sobre Vendas</t>
        </is>
      </c>
      <c r="C3032" s="30" t="n">
        <v>46082</v>
      </c>
      <c r="D3032" t="inlineStr">
        <is>
          <t>Em 2026</t>
        </is>
      </c>
      <c r="E3032" s="28" t="n">
        <v>46093</v>
      </c>
      <c r="F3032" t="inlineStr">
        <is>
          <t>CT-e</t>
        </is>
      </c>
      <c r="G3032" t="inlineStr">
        <is>
          <t>000006558</t>
        </is>
      </c>
      <c r="H3032" t="inlineStr">
        <is>
          <t>R&amp;R TRANSPORTE E LOGISTICA</t>
        </is>
      </c>
      <c r="J3032" s="29" t="n">
        <v>70.56</v>
      </c>
      <c r="K3032" s="29">
        <f>(1-ISNUMBER(SEARCH("556",M3032)))*(O3032*SUMIFS(Premissas!$C$5:$C$44,Premissas!$A$5:$A$44,$A3032,Premissas!$B$5:$B$44,$B3032)+P3032*SUMIFS(Premissas!$D$5:$D$44,Premissas!$A$5:$A$44,$A3032,Premissas!$B$5:$B$44,$B3032))+R3032*SUMIFS(Premissas!$E$5:$E$44,Premissas!$A$5:$A$44,$A3032,Premissas!$B$5:$B$44,$B3032)+S3032*SUMIFS(Premissas!$F$5:$F$44,Premissas!$A$5:$A$44,$A3032,Premissas!$B$5:$B$44,$B3032)</f>
        <v/>
      </c>
      <c r="L3032" s="29">
        <f>J3032-K3032</f>
        <v/>
      </c>
      <c r="M3032" t="inlineStr">
        <is>
          <t>1.350</t>
        </is>
      </c>
      <c r="N3032" t="inlineStr">
        <is>
          <t>Modalidade: 0 - Por conta do remetente | Parte: DISTRIBUIDORA RIO UTILIDADES FESTAS E ALIMENTOS LTDA (40.961.436/0001-61)</t>
        </is>
      </c>
      <c r="O3032" s="29" t="n">
        <v>0</v>
      </c>
      <c r="P3032" s="29" t="n">
        <v>0</v>
      </c>
      <c r="Q3032" s="29" t="n">
        <v>0</v>
      </c>
      <c r="R3032" s="29" t="n">
        <v>0</v>
      </c>
      <c r="S3032" s="29" t="n">
        <v>0</v>
      </c>
      <c r="T3032" t="inlineStr">
        <is>
          <t>25260326975620000130570010000065581000170628</t>
        </is>
      </c>
      <c r="U3032" t="inlineStr">
        <is>
          <t>Não</t>
        </is>
      </c>
    </row>
    <row r="3033">
      <c r="A3033" t="inlineStr">
        <is>
          <t>Frete de venda</t>
        </is>
      </c>
      <c r="B3033" t="inlineStr">
        <is>
          <t>2.01.02 Frete sobre Vendas</t>
        </is>
      </c>
      <c r="C3033" s="30" t="n">
        <v>46082</v>
      </c>
      <c r="D3033" t="inlineStr">
        <is>
          <t>Em 2026</t>
        </is>
      </c>
      <c r="E3033" s="28" t="n">
        <v>46093</v>
      </c>
      <c r="F3033" t="inlineStr">
        <is>
          <t>CT-e</t>
        </is>
      </c>
      <c r="G3033" t="inlineStr">
        <is>
          <t>000006559</t>
        </is>
      </c>
      <c r="H3033" t="inlineStr">
        <is>
          <t>R&amp;R TRANSPORTE E LOGISTICA</t>
        </is>
      </c>
      <c r="J3033" s="29" t="n">
        <v>78.98</v>
      </c>
      <c r="K3033" s="29">
        <f>(1-ISNUMBER(SEARCH("556",M3033)))*(O3033*SUMIFS(Premissas!$C$5:$C$44,Premissas!$A$5:$A$44,$A3033,Premissas!$B$5:$B$44,$B3033)+P3033*SUMIFS(Premissas!$D$5:$D$44,Premissas!$A$5:$A$44,$A3033,Premissas!$B$5:$B$44,$B3033))+R3033*SUMIFS(Premissas!$E$5:$E$44,Premissas!$A$5:$A$44,$A3033,Premissas!$B$5:$B$44,$B3033)+S3033*SUMIFS(Premissas!$F$5:$F$44,Premissas!$A$5:$A$44,$A3033,Premissas!$B$5:$B$44,$B3033)</f>
        <v/>
      </c>
      <c r="L3033" s="29">
        <f>J3033-K3033</f>
        <v/>
      </c>
      <c r="M3033" t="inlineStr">
        <is>
          <t>1.350</t>
        </is>
      </c>
      <c r="N3033" t="inlineStr">
        <is>
          <t>Modalidade: 0 - Por conta do remetente | Parte: PJ RIO EMBALAGENS LTDA (45.915.682/0001-09)</t>
        </is>
      </c>
      <c r="O3033" s="29" t="n">
        <v>0</v>
      </c>
      <c r="P3033" s="29" t="n">
        <v>0</v>
      </c>
      <c r="Q3033" s="29" t="n">
        <v>0</v>
      </c>
      <c r="R3033" s="29" t="n">
        <v>0</v>
      </c>
      <c r="S3033" s="29" t="n">
        <v>0</v>
      </c>
      <c r="T3033" t="inlineStr">
        <is>
          <t>25260326975620000130570010000065591000140700</t>
        </is>
      </c>
      <c r="U3033" t="inlineStr">
        <is>
          <t>Não</t>
        </is>
      </c>
    </row>
    <row r="3034">
      <c r="A3034" t="inlineStr">
        <is>
          <t>Frete de venda</t>
        </is>
      </c>
      <c r="B3034" t="inlineStr">
        <is>
          <t>2.01.02 Frete sobre Vendas</t>
        </is>
      </c>
      <c r="C3034" s="30" t="n">
        <v>46082</v>
      </c>
      <c r="D3034" t="inlineStr">
        <is>
          <t>Em 2026</t>
        </is>
      </c>
      <c r="E3034" s="28" t="n">
        <v>46093</v>
      </c>
      <c r="F3034" t="inlineStr">
        <is>
          <t>CT-e</t>
        </is>
      </c>
      <c r="G3034" t="inlineStr">
        <is>
          <t>000006560</t>
        </is>
      </c>
      <c r="H3034" t="inlineStr">
        <is>
          <t>R&amp;R TRANSPORTE E LOGISTICA</t>
        </is>
      </c>
      <c r="J3034" s="29" t="n">
        <v>40.45</v>
      </c>
      <c r="K3034" s="29">
        <f>(1-ISNUMBER(SEARCH("556",M3034)))*(O3034*SUMIFS(Premissas!$C$5:$C$44,Premissas!$A$5:$A$44,$A3034,Premissas!$B$5:$B$44,$B3034)+P3034*SUMIFS(Premissas!$D$5:$D$44,Premissas!$A$5:$A$44,$A3034,Premissas!$B$5:$B$44,$B3034))+R3034*SUMIFS(Premissas!$E$5:$E$44,Premissas!$A$5:$A$44,$A3034,Premissas!$B$5:$B$44,$B3034)+S3034*SUMIFS(Premissas!$F$5:$F$44,Premissas!$A$5:$A$44,$A3034,Premissas!$B$5:$B$44,$B3034)</f>
        <v/>
      </c>
      <c r="L3034" s="29">
        <f>J3034-K3034</f>
        <v/>
      </c>
      <c r="M3034" t="inlineStr">
        <is>
          <t>1.350</t>
        </is>
      </c>
      <c r="N3034" t="inlineStr">
        <is>
          <t>Modalidade: 0 - Por conta do remetente | Parte: PAPELARIA BOOZ LTDA (06.888.690/0001-43)</t>
        </is>
      </c>
      <c r="O3034" s="29" t="n">
        <v>0</v>
      </c>
      <c r="P3034" s="29" t="n">
        <v>0</v>
      </c>
      <c r="Q3034" s="29" t="n">
        <v>0</v>
      </c>
      <c r="R3034" s="29" t="n">
        <v>0</v>
      </c>
      <c r="S3034" s="29" t="n">
        <v>0</v>
      </c>
      <c r="T3034" t="inlineStr">
        <is>
          <t>25260326975620000130570010000065601000110780</t>
        </is>
      </c>
      <c r="U3034" t="inlineStr">
        <is>
          <t>Não</t>
        </is>
      </c>
    </row>
    <row r="3035">
      <c r="A3035" t="inlineStr">
        <is>
          <t>Frete de venda</t>
        </is>
      </c>
      <c r="B3035" t="inlineStr">
        <is>
          <t>2.01.02 Frete sobre Vendas</t>
        </is>
      </c>
      <c r="C3035" s="30" t="n">
        <v>46082</v>
      </c>
      <c r="D3035" t="inlineStr">
        <is>
          <t>Em 2026</t>
        </is>
      </c>
      <c r="E3035" s="28" t="n">
        <v>46093</v>
      </c>
      <c r="F3035" t="inlineStr">
        <is>
          <t>CT-e</t>
        </is>
      </c>
      <c r="G3035" t="inlineStr">
        <is>
          <t>000006561</t>
        </is>
      </c>
      <c r="H3035" t="inlineStr">
        <is>
          <t>R&amp;R TRANSPORTE E LOGISTICA</t>
        </is>
      </c>
      <c r="J3035" s="29" t="n">
        <v>47.6</v>
      </c>
      <c r="K3035" s="29">
        <f>(1-ISNUMBER(SEARCH("556",M3035)))*(O3035*SUMIFS(Premissas!$C$5:$C$44,Premissas!$A$5:$A$44,$A3035,Premissas!$B$5:$B$44,$B3035)+P3035*SUMIFS(Premissas!$D$5:$D$44,Premissas!$A$5:$A$44,$A3035,Premissas!$B$5:$B$44,$B3035))+R3035*SUMIFS(Premissas!$E$5:$E$44,Premissas!$A$5:$A$44,$A3035,Premissas!$B$5:$B$44,$B3035)+S3035*SUMIFS(Premissas!$F$5:$F$44,Premissas!$A$5:$A$44,$A3035,Premissas!$B$5:$B$44,$B3035)</f>
        <v/>
      </c>
      <c r="L3035" s="29">
        <f>J3035-K3035</f>
        <v/>
      </c>
      <c r="M3035" t="inlineStr">
        <is>
          <t>1.350</t>
        </is>
      </c>
      <c r="N3035" t="inlineStr">
        <is>
          <t>Modalidade: 0 - Por conta do remetente | Parte: HENRYPLAST COMERCIO DE EMBALAGENS LTDA (35.652.773/0001-37)</t>
        </is>
      </c>
      <c r="O3035" s="29" t="n">
        <v>0</v>
      </c>
      <c r="P3035" s="29" t="n">
        <v>0</v>
      </c>
      <c r="Q3035" s="29" t="n">
        <v>0</v>
      </c>
      <c r="R3035" s="29" t="n">
        <v>0</v>
      </c>
      <c r="S3035" s="29" t="n">
        <v>0</v>
      </c>
      <c r="T3035" t="inlineStr">
        <is>
          <t>25260326975620000130570010000065611000190861</t>
        </is>
      </c>
      <c r="U3035" t="inlineStr">
        <is>
          <t>Não</t>
        </is>
      </c>
    </row>
    <row r="3036">
      <c r="A3036" t="inlineStr">
        <is>
          <t>Frete de venda</t>
        </is>
      </c>
      <c r="B3036" t="inlineStr">
        <is>
          <t>2.01.02 Frete sobre Vendas</t>
        </is>
      </c>
      <c r="C3036" s="30" t="n">
        <v>46082</v>
      </c>
      <c r="D3036" t="inlineStr">
        <is>
          <t>Em 2026</t>
        </is>
      </c>
      <c r="E3036" s="28" t="n">
        <v>46093</v>
      </c>
      <c r="F3036" t="inlineStr">
        <is>
          <t>CT-e</t>
        </is>
      </c>
      <c r="G3036" t="inlineStr">
        <is>
          <t>000006562</t>
        </is>
      </c>
      <c r="H3036" t="inlineStr">
        <is>
          <t>R&amp;R TRANSPORTE E LOGISTICA</t>
        </is>
      </c>
      <c r="J3036" s="29" t="n">
        <v>43.82</v>
      </c>
      <c r="K3036" s="29">
        <f>(1-ISNUMBER(SEARCH("556",M3036)))*(O3036*SUMIFS(Premissas!$C$5:$C$44,Premissas!$A$5:$A$44,$A3036,Premissas!$B$5:$B$44,$B3036)+P3036*SUMIFS(Premissas!$D$5:$D$44,Premissas!$A$5:$A$44,$A3036,Premissas!$B$5:$B$44,$B3036))+R3036*SUMIFS(Premissas!$E$5:$E$44,Premissas!$A$5:$A$44,$A3036,Premissas!$B$5:$B$44,$B3036)+S3036*SUMIFS(Premissas!$F$5:$F$44,Premissas!$A$5:$A$44,$A3036,Premissas!$B$5:$B$44,$B3036)</f>
        <v/>
      </c>
      <c r="L3036" s="29">
        <f>J3036-K3036</f>
        <v/>
      </c>
      <c r="M3036" t="inlineStr">
        <is>
          <t>1.350</t>
        </is>
      </c>
      <c r="N3036" t="inlineStr">
        <is>
          <t>Modalidade: 0 - Por conta do remetente | Parte: NOVA ALIANCA SAQUAREMA BAZAR E EMBALAGENS LTDA (50.217.471/0001-24)</t>
        </is>
      </c>
      <c r="O3036" s="29" t="n">
        <v>0</v>
      </c>
      <c r="P3036" s="29" t="n">
        <v>0</v>
      </c>
      <c r="Q3036" s="29" t="n">
        <v>0</v>
      </c>
      <c r="R3036" s="29" t="n">
        <v>0</v>
      </c>
      <c r="S3036" s="29" t="n">
        <v>0</v>
      </c>
      <c r="T3036" t="inlineStr">
        <is>
          <t>25260326975620000130570010000065621000160943</t>
        </is>
      </c>
      <c r="U3036" t="inlineStr">
        <is>
          <t>Não</t>
        </is>
      </c>
    </row>
    <row r="3037">
      <c r="A3037" t="inlineStr">
        <is>
          <t>Frete de venda</t>
        </is>
      </c>
      <c r="B3037" t="inlineStr">
        <is>
          <t>2.01.02 Frete sobre Vendas</t>
        </is>
      </c>
      <c r="C3037" s="30" t="n">
        <v>46082</v>
      </c>
      <c r="D3037" t="inlineStr">
        <is>
          <t>Em 2026</t>
        </is>
      </c>
      <c r="E3037" s="28" t="n">
        <v>46093</v>
      </c>
      <c r="F3037" t="inlineStr">
        <is>
          <t>CT-e</t>
        </is>
      </c>
      <c r="G3037" t="inlineStr">
        <is>
          <t>000006563</t>
        </is>
      </c>
      <c r="H3037" t="inlineStr">
        <is>
          <t>R&amp;R TRANSPORTE E LOGISTICA</t>
        </is>
      </c>
      <c r="J3037" s="29" t="n">
        <v>66.94</v>
      </c>
      <c r="K3037" s="29">
        <f>(1-ISNUMBER(SEARCH("556",M3037)))*(O3037*SUMIFS(Premissas!$C$5:$C$44,Premissas!$A$5:$A$44,$A3037,Premissas!$B$5:$B$44,$B3037)+P3037*SUMIFS(Premissas!$D$5:$D$44,Premissas!$A$5:$A$44,$A3037,Premissas!$B$5:$B$44,$B3037))+R3037*SUMIFS(Premissas!$E$5:$E$44,Premissas!$A$5:$A$44,$A3037,Premissas!$B$5:$B$44,$B3037)+S3037*SUMIFS(Premissas!$F$5:$F$44,Premissas!$A$5:$A$44,$A3037,Premissas!$B$5:$B$44,$B3037)</f>
        <v/>
      </c>
      <c r="L3037" s="29">
        <f>J3037-K3037</f>
        <v/>
      </c>
      <c r="M3037" t="inlineStr">
        <is>
          <t>1.350</t>
        </is>
      </c>
      <c r="N3037" t="inlineStr">
        <is>
          <t>Modalidade: 0 - Por conta do remetente | Parte: FRONTEIRA EMBALAGENS LTDA (47.115.817/0001-79)</t>
        </is>
      </c>
      <c r="O3037" s="29" t="n">
        <v>0</v>
      </c>
      <c r="P3037" s="29" t="n">
        <v>0</v>
      </c>
      <c r="Q3037" s="29" t="n">
        <v>0</v>
      </c>
      <c r="R3037" s="29" t="n">
        <v>0</v>
      </c>
      <c r="S3037" s="29" t="n">
        <v>0</v>
      </c>
      <c r="T3037" t="inlineStr">
        <is>
          <t>25260326975620000130570010000065631001301025</t>
        </is>
      </c>
      <c r="U3037" t="inlineStr">
        <is>
          <t>Não</t>
        </is>
      </c>
    </row>
    <row r="3038">
      <c r="A3038" t="inlineStr">
        <is>
          <t>Frete de venda</t>
        </is>
      </c>
      <c r="B3038" t="inlineStr">
        <is>
          <t>2.01.02 Frete sobre Vendas</t>
        </is>
      </c>
      <c r="C3038" s="30" t="n">
        <v>46082</v>
      </c>
      <c r="D3038" t="inlineStr">
        <is>
          <t>Em 2026</t>
        </is>
      </c>
      <c r="E3038" s="28" t="n">
        <v>46093</v>
      </c>
      <c r="F3038" t="inlineStr">
        <is>
          <t>CT-e</t>
        </is>
      </c>
      <c r="G3038" t="inlineStr">
        <is>
          <t>000006564</t>
        </is>
      </c>
      <c r="H3038" t="inlineStr">
        <is>
          <t>R&amp;R TRANSPORTE E LOGISTICA</t>
        </is>
      </c>
      <c r="J3038" s="29" t="n">
        <v>43.54</v>
      </c>
      <c r="K3038" s="29">
        <f>(1-ISNUMBER(SEARCH("556",M3038)))*(O3038*SUMIFS(Premissas!$C$5:$C$44,Premissas!$A$5:$A$44,$A3038,Premissas!$B$5:$B$44,$B3038)+P3038*SUMIFS(Premissas!$D$5:$D$44,Premissas!$A$5:$A$44,$A3038,Premissas!$B$5:$B$44,$B3038))+R3038*SUMIFS(Premissas!$E$5:$E$44,Premissas!$A$5:$A$44,$A3038,Premissas!$B$5:$B$44,$B3038)+S3038*SUMIFS(Premissas!$F$5:$F$44,Premissas!$A$5:$A$44,$A3038,Premissas!$B$5:$B$44,$B3038)</f>
        <v/>
      </c>
      <c r="L3038" s="29">
        <f>J3038-K3038</f>
        <v/>
      </c>
      <c r="M3038" t="inlineStr">
        <is>
          <t>1.350</t>
        </is>
      </c>
      <c r="N3038" t="inlineStr">
        <is>
          <t>Modalidade: 0 - Por conta do remetente | Parte: TWOGUYS COMERCIO DE ALIMENTOS LTDA (61.788.604/0001-39)</t>
        </is>
      </c>
      <c r="O3038" s="29" t="n">
        <v>0</v>
      </c>
      <c r="P3038" s="29" t="n">
        <v>0</v>
      </c>
      <c r="Q3038" s="29" t="n">
        <v>0</v>
      </c>
      <c r="R3038" s="29" t="n">
        <v>0</v>
      </c>
      <c r="S3038" s="29" t="n">
        <v>0</v>
      </c>
      <c r="T3038" t="inlineStr">
        <is>
          <t>25260326975620000130570010000065641000101100</t>
        </is>
      </c>
      <c r="U3038" t="inlineStr">
        <is>
          <t>Não</t>
        </is>
      </c>
    </row>
    <row r="3039">
      <c r="A3039" t="inlineStr">
        <is>
          <t>Frete de venda</t>
        </is>
      </c>
      <c r="B3039" t="inlineStr">
        <is>
          <t>2.01.02 Frete sobre Vendas</t>
        </is>
      </c>
      <c r="C3039" s="30" t="n">
        <v>46082</v>
      </c>
      <c r="D3039" t="inlineStr">
        <is>
          <t>Em 2026</t>
        </is>
      </c>
      <c r="E3039" s="28" t="n">
        <v>46093</v>
      </c>
      <c r="F3039" t="inlineStr">
        <is>
          <t>CT-e</t>
        </is>
      </c>
      <c r="G3039" t="inlineStr">
        <is>
          <t>000006565</t>
        </is>
      </c>
      <c r="H3039" t="inlineStr">
        <is>
          <t>R&amp;R TRANSPORTE E LOGISTICA</t>
        </is>
      </c>
      <c r="J3039" s="29" t="n">
        <v>48.77</v>
      </c>
      <c r="K3039" s="29">
        <f>(1-ISNUMBER(SEARCH("556",M3039)))*(O3039*SUMIFS(Premissas!$C$5:$C$44,Premissas!$A$5:$A$44,$A3039,Premissas!$B$5:$B$44,$B3039)+P3039*SUMIFS(Premissas!$D$5:$D$44,Premissas!$A$5:$A$44,$A3039,Premissas!$B$5:$B$44,$B3039))+R3039*SUMIFS(Premissas!$E$5:$E$44,Premissas!$A$5:$A$44,$A3039,Premissas!$B$5:$B$44,$B3039)+S3039*SUMIFS(Premissas!$F$5:$F$44,Premissas!$A$5:$A$44,$A3039,Premissas!$B$5:$B$44,$B3039)</f>
        <v/>
      </c>
      <c r="L3039" s="29">
        <f>J3039-K3039</f>
        <v/>
      </c>
      <c r="M3039" t="inlineStr">
        <is>
          <t>1.350</t>
        </is>
      </c>
      <c r="N3039" t="inlineStr">
        <is>
          <t>Modalidade: 0 - Por conta do remetente | Parte: WELLINGTON PEREIRA DE SOUZA (13.354.012/0001-66)</t>
        </is>
      </c>
      <c r="O3039" s="29" t="n">
        <v>0</v>
      </c>
      <c r="P3039" s="29" t="n">
        <v>0</v>
      </c>
      <c r="Q3039" s="29" t="n">
        <v>0</v>
      </c>
      <c r="R3039" s="29" t="n">
        <v>0</v>
      </c>
      <c r="S3039" s="29" t="n">
        <v>0</v>
      </c>
      <c r="T3039" t="inlineStr">
        <is>
          <t>25260326975620000130570010000065651001801189</t>
        </is>
      </c>
      <c r="U3039" t="inlineStr">
        <is>
          <t>Não</t>
        </is>
      </c>
    </row>
    <row r="3040">
      <c r="A3040" t="inlineStr">
        <is>
          <t>Frete de venda</t>
        </is>
      </c>
      <c r="B3040" t="inlineStr">
        <is>
          <t>2.01.02 Frete sobre Vendas</t>
        </is>
      </c>
      <c r="C3040" s="30" t="n">
        <v>46082</v>
      </c>
      <c r="D3040" t="inlineStr">
        <is>
          <t>Em 2026</t>
        </is>
      </c>
      <c r="E3040" s="28" t="n">
        <v>46094</v>
      </c>
      <c r="F3040" t="inlineStr">
        <is>
          <t>CT-e</t>
        </is>
      </c>
      <c r="G3040" t="inlineStr">
        <is>
          <t>000006569</t>
        </is>
      </c>
      <c r="H3040" t="inlineStr">
        <is>
          <t>R&amp;R TRANSPORTE E LOGISTICA</t>
        </is>
      </c>
      <c r="J3040" s="29" t="n">
        <v>642.6</v>
      </c>
      <c r="K3040" s="29">
        <f>(1-ISNUMBER(SEARCH("556",M3040)))*(O3040*SUMIFS(Premissas!$C$5:$C$44,Premissas!$A$5:$A$44,$A3040,Premissas!$B$5:$B$44,$B3040)+P3040*SUMIFS(Premissas!$D$5:$D$44,Premissas!$A$5:$A$44,$A3040,Premissas!$B$5:$B$44,$B3040))+R3040*SUMIFS(Premissas!$E$5:$E$44,Premissas!$A$5:$A$44,$A3040,Premissas!$B$5:$B$44,$B3040)+S3040*SUMIFS(Premissas!$F$5:$F$44,Premissas!$A$5:$A$44,$A3040,Premissas!$B$5:$B$44,$B3040)</f>
        <v/>
      </c>
      <c r="L3040" s="29">
        <f>J3040-K3040</f>
        <v/>
      </c>
      <c r="M3040" t="inlineStr">
        <is>
          <t>1.350</t>
        </is>
      </c>
      <c r="N3040" t="inlineStr">
        <is>
          <t>Modalidade: 0 - Por conta do remetente | Parte: DISTRIPACK DISTRIBUIDORA DE EMBALAGENS LTDA (11.043.375/0002-36)</t>
        </is>
      </c>
      <c r="O3040" s="29" t="n">
        <v>0</v>
      </c>
      <c r="P3040" s="29" t="n">
        <v>0</v>
      </c>
      <c r="Q3040" s="29" t="n">
        <v>0</v>
      </c>
      <c r="R3040" s="29" t="n">
        <v>0</v>
      </c>
      <c r="S3040" s="29" t="n">
        <v>0</v>
      </c>
      <c r="T3040" t="inlineStr">
        <is>
          <t>25260326975620000130570010000065691001401147</t>
        </is>
      </c>
      <c r="U3040" t="inlineStr">
        <is>
          <t>Não</t>
        </is>
      </c>
    </row>
    <row r="3041">
      <c r="A3041" t="inlineStr">
        <is>
          <t>Frete de venda</t>
        </is>
      </c>
      <c r="B3041" t="inlineStr">
        <is>
          <t>2.01.02 Frete sobre Vendas</t>
        </is>
      </c>
      <c r="C3041" s="30" t="n">
        <v>46082</v>
      </c>
      <c r="D3041" t="inlineStr">
        <is>
          <t>Em 2026</t>
        </is>
      </c>
      <c r="E3041" s="28" t="n">
        <v>46095</v>
      </c>
      <c r="F3041" t="inlineStr">
        <is>
          <t>CT-e</t>
        </is>
      </c>
      <c r="G3041" t="inlineStr">
        <is>
          <t>000006570</t>
        </is>
      </c>
      <c r="H3041" t="inlineStr">
        <is>
          <t>R&amp;R TRANSPORTE E LOGISTICA</t>
        </is>
      </c>
      <c r="J3041" s="29" t="n">
        <v>106.64</v>
      </c>
      <c r="K3041" s="29">
        <f>(1-ISNUMBER(SEARCH("556",M3041)))*(O3041*SUMIFS(Premissas!$C$5:$C$44,Premissas!$A$5:$A$44,$A3041,Premissas!$B$5:$B$44,$B3041)+P3041*SUMIFS(Premissas!$D$5:$D$44,Premissas!$A$5:$A$44,$A3041,Premissas!$B$5:$B$44,$B3041))+R3041*SUMIFS(Premissas!$E$5:$E$44,Premissas!$A$5:$A$44,$A3041,Premissas!$B$5:$B$44,$B3041)+S3041*SUMIFS(Premissas!$F$5:$F$44,Premissas!$A$5:$A$44,$A3041,Premissas!$B$5:$B$44,$B3041)</f>
        <v/>
      </c>
      <c r="L3041" s="29">
        <f>J3041-K3041</f>
        <v/>
      </c>
      <c r="M3041" t="inlineStr">
        <is>
          <t>1.350</t>
        </is>
      </c>
      <c r="N3041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3041" s="29" t="n">
        <v>0</v>
      </c>
      <c r="P3041" s="29" t="n">
        <v>0</v>
      </c>
      <c r="Q3041" s="29" t="n">
        <v>0</v>
      </c>
      <c r="R3041" s="29" t="n">
        <v>0</v>
      </c>
      <c r="S3041" s="29" t="n">
        <v>0</v>
      </c>
      <c r="T3041" t="inlineStr">
        <is>
          <t>25260326975620000130570010000065701000170959</t>
        </is>
      </c>
      <c r="U3041" t="inlineStr">
        <is>
          <t>Não</t>
        </is>
      </c>
    </row>
    <row r="3042">
      <c r="A3042" t="inlineStr">
        <is>
          <t>Frete de venda</t>
        </is>
      </c>
      <c r="B3042" t="inlineStr">
        <is>
          <t>2.01.02 Frete sobre Vendas</t>
        </is>
      </c>
      <c r="C3042" s="30" t="n">
        <v>46082</v>
      </c>
      <c r="D3042" t="inlineStr">
        <is>
          <t>Em 2026</t>
        </is>
      </c>
      <c r="E3042" s="28" t="n">
        <v>46095</v>
      </c>
      <c r="F3042" t="inlineStr">
        <is>
          <t>CT-e</t>
        </is>
      </c>
      <c r="G3042" t="inlineStr">
        <is>
          <t>000006571</t>
        </is>
      </c>
      <c r="H3042" t="inlineStr">
        <is>
          <t>R&amp;R TRANSPORTE E LOGISTICA</t>
        </is>
      </c>
      <c r="J3042" s="29" t="n">
        <v>131.38</v>
      </c>
      <c r="K3042" s="29">
        <f>(1-ISNUMBER(SEARCH("556",M3042)))*(O3042*SUMIFS(Premissas!$C$5:$C$44,Premissas!$A$5:$A$44,$A3042,Premissas!$B$5:$B$44,$B3042)+P3042*SUMIFS(Premissas!$D$5:$D$44,Premissas!$A$5:$A$44,$A3042,Premissas!$B$5:$B$44,$B3042))+R3042*SUMIFS(Premissas!$E$5:$E$44,Premissas!$A$5:$A$44,$A3042,Premissas!$B$5:$B$44,$B3042)+S3042*SUMIFS(Premissas!$F$5:$F$44,Premissas!$A$5:$A$44,$A3042,Premissas!$B$5:$B$44,$B3042)</f>
        <v/>
      </c>
      <c r="L3042" s="29">
        <f>J3042-K3042</f>
        <v/>
      </c>
      <c r="M3042" t="inlineStr">
        <is>
          <t>1.350</t>
        </is>
      </c>
      <c r="N3042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3042" s="29" t="n">
        <v>0</v>
      </c>
      <c r="P3042" s="29" t="n">
        <v>0</v>
      </c>
      <c r="Q3042" s="29" t="n">
        <v>0</v>
      </c>
      <c r="R3042" s="29" t="n">
        <v>0</v>
      </c>
      <c r="S3042" s="29" t="n">
        <v>0</v>
      </c>
      <c r="T3042" t="inlineStr">
        <is>
          <t>25260326975620000130570010000065711001401030</t>
        </is>
      </c>
      <c r="U3042" t="inlineStr">
        <is>
          <t>Não</t>
        </is>
      </c>
    </row>
    <row r="3043">
      <c r="A3043" t="inlineStr">
        <is>
          <t>Frete de venda</t>
        </is>
      </c>
      <c r="B3043" t="inlineStr">
        <is>
          <t>2.01.02 Frete sobre Vendas</t>
        </is>
      </c>
      <c r="C3043" s="30" t="n">
        <v>46082</v>
      </c>
      <c r="D3043" t="inlineStr">
        <is>
          <t>Em 2026</t>
        </is>
      </c>
      <c r="E3043" s="28" t="n">
        <v>46095</v>
      </c>
      <c r="F3043" t="inlineStr">
        <is>
          <t>CT-e</t>
        </is>
      </c>
      <c r="G3043" t="inlineStr">
        <is>
          <t>000006572</t>
        </is>
      </c>
      <c r="H3043" t="inlineStr">
        <is>
          <t>R&amp;R TRANSPORTE E LOGISTICA</t>
        </is>
      </c>
      <c r="J3043" s="29" t="n">
        <v>127.26</v>
      </c>
      <c r="K3043" s="29">
        <f>(1-ISNUMBER(SEARCH("556",M3043)))*(O3043*SUMIFS(Premissas!$C$5:$C$44,Premissas!$A$5:$A$44,$A3043,Premissas!$B$5:$B$44,$B3043)+P3043*SUMIFS(Premissas!$D$5:$D$44,Premissas!$A$5:$A$44,$A3043,Premissas!$B$5:$B$44,$B3043))+R3043*SUMIFS(Premissas!$E$5:$E$44,Premissas!$A$5:$A$44,$A3043,Premissas!$B$5:$B$44,$B3043)+S3043*SUMIFS(Premissas!$F$5:$F$44,Premissas!$A$5:$A$44,$A3043,Premissas!$B$5:$B$44,$B3043)</f>
        <v/>
      </c>
      <c r="L3043" s="29">
        <f>J3043-K3043</f>
        <v/>
      </c>
      <c r="M3043" t="inlineStr">
        <is>
          <t>1.350</t>
        </is>
      </c>
      <c r="N3043" t="inlineStr">
        <is>
          <t>Modalidade: 0 - Por conta do remetente | Parte: J. B. BORGES e CIA LTDA (08.018.936/0001-51)</t>
        </is>
      </c>
      <c r="O3043" s="29" t="n">
        <v>0</v>
      </c>
      <c r="P3043" s="29" t="n">
        <v>0</v>
      </c>
      <c r="Q3043" s="29" t="n">
        <v>0</v>
      </c>
      <c r="R3043" s="29" t="n">
        <v>0</v>
      </c>
      <c r="S3043" s="29" t="n">
        <v>0</v>
      </c>
      <c r="T3043" t="inlineStr">
        <is>
          <t>25260326975620000130570010000065721001101114</t>
        </is>
      </c>
      <c r="U3043" t="inlineStr">
        <is>
          <t>Não</t>
        </is>
      </c>
    </row>
    <row r="3044">
      <c r="A3044" t="inlineStr">
        <is>
          <t>Frete de venda</t>
        </is>
      </c>
      <c r="B3044" t="inlineStr">
        <is>
          <t>2.01.02 Frete sobre Vendas</t>
        </is>
      </c>
      <c r="C3044" s="30" t="n">
        <v>46082</v>
      </c>
      <c r="D3044" t="inlineStr">
        <is>
          <t>Em 2026</t>
        </is>
      </c>
      <c r="E3044" s="28" t="n">
        <v>46097</v>
      </c>
      <c r="F3044" t="inlineStr">
        <is>
          <t>CT-e</t>
        </is>
      </c>
      <c r="G3044" t="inlineStr">
        <is>
          <t>000006577</t>
        </is>
      </c>
      <c r="H3044" t="inlineStr">
        <is>
          <t>R&amp;R TRANSPORTE E LOGISTICA</t>
        </is>
      </c>
      <c r="J3044" s="29" t="n">
        <v>25.32</v>
      </c>
      <c r="K3044" s="29">
        <f>(1-ISNUMBER(SEARCH("556",M3044)))*(O3044*SUMIFS(Premissas!$C$5:$C$44,Premissas!$A$5:$A$44,$A3044,Premissas!$B$5:$B$44,$B3044)+P3044*SUMIFS(Premissas!$D$5:$D$44,Premissas!$A$5:$A$44,$A3044,Premissas!$B$5:$B$44,$B3044))+R3044*SUMIFS(Premissas!$E$5:$E$44,Premissas!$A$5:$A$44,$A3044,Premissas!$B$5:$B$44,$B3044)+S3044*SUMIFS(Premissas!$F$5:$F$44,Premissas!$A$5:$A$44,$A3044,Premissas!$B$5:$B$44,$B3044)</f>
        <v/>
      </c>
      <c r="L3044" s="29">
        <f>J3044-K3044</f>
        <v/>
      </c>
      <c r="M3044" t="inlineStr">
        <is>
          <t>1.350</t>
        </is>
      </c>
      <c r="N3044" t="inlineStr">
        <is>
          <t>Modalidade: 0 - Por conta do remetente | Parte: MANDACARU EMBALAGENS LTDA (46.639.783/0001-59)</t>
        </is>
      </c>
      <c r="O3044" s="29" t="n">
        <v>0</v>
      </c>
      <c r="P3044" s="29" t="n">
        <v>0</v>
      </c>
      <c r="Q3044" s="29" t="n">
        <v>0</v>
      </c>
      <c r="R3044" s="29" t="n">
        <v>0</v>
      </c>
      <c r="S3044" s="29" t="n">
        <v>0</v>
      </c>
      <c r="T3044" t="inlineStr">
        <is>
          <t>25260326975620000130570010000065771001801511</t>
        </is>
      </c>
      <c r="U3044" t="inlineStr">
        <is>
          <t>Não</t>
        </is>
      </c>
    </row>
    <row r="3045">
      <c r="A3045" t="inlineStr">
        <is>
          <t>Frete de venda</t>
        </is>
      </c>
      <c r="B3045" t="inlineStr">
        <is>
          <t>2.01.02 Frete sobre Vendas</t>
        </is>
      </c>
      <c r="C3045" s="30" t="n">
        <v>46082</v>
      </c>
      <c r="D3045" t="inlineStr">
        <is>
          <t>Em 2026</t>
        </is>
      </c>
      <c r="E3045" s="28" t="n">
        <v>46097</v>
      </c>
      <c r="F3045" t="inlineStr">
        <is>
          <t>CT-e</t>
        </is>
      </c>
      <c r="G3045" t="inlineStr">
        <is>
          <t>000006578</t>
        </is>
      </c>
      <c r="H3045" t="inlineStr">
        <is>
          <t>R&amp;R TRANSPORTE E LOGISTICA</t>
        </is>
      </c>
      <c r="J3045" s="29" t="n">
        <v>36.33</v>
      </c>
      <c r="K3045" s="29">
        <f>(1-ISNUMBER(SEARCH("556",M3045)))*(O3045*SUMIFS(Premissas!$C$5:$C$44,Premissas!$A$5:$A$44,$A3045,Premissas!$B$5:$B$44,$B3045)+P3045*SUMIFS(Premissas!$D$5:$D$44,Premissas!$A$5:$A$44,$A3045,Premissas!$B$5:$B$44,$B3045))+R3045*SUMIFS(Premissas!$E$5:$E$44,Premissas!$A$5:$A$44,$A3045,Premissas!$B$5:$B$44,$B3045)+S3045*SUMIFS(Premissas!$F$5:$F$44,Premissas!$A$5:$A$44,$A3045,Premissas!$B$5:$B$44,$B3045)</f>
        <v/>
      </c>
      <c r="L3045" s="29">
        <f>J3045-K3045</f>
        <v/>
      </c>
      <c r="M3045" t="inlineStr">
        <is>
          <t>1.350</t>
        </is>
      </c>
      <c r="N3045" t="inlineStr">
        <is>
          <t>Modalidade: 0 - Por conta do remetente | Parte: COMERCIO DE ALIMENTOS ANHANDUI LTDA (10.602.507/0001-79)</t>
        </is>
      </c>
      <c r="O3045" s="29" t="n">
        <v>0</v>
      </c>
      <c r="P3045" s="29" t="n">
        <v>0</v>
      </c>
      <c r="Q3045" s="29" t="n">
        <v>0</v>
      </c>
      <c r="R3045" s="29" t="n">
        <v>0</v>
      </c>
      <c r="S3045" s="29" t="n">
        <v>0</v>
      </c>
      <c r="T3045" t="inlineStr">
        <is>
          <t>25260326975620000130570010000065781001501590</t>
        </is>
      </c>
      <c r="U3045" t="inlineStr">
        <is>
          <t>Não</t>
        </is>
      </c>
    </row>
    <row r="3046">
      <c r="A3046" t="inlineStr">
        <is>
          <t>Frete de venda</t>
        </is>
      </c>
      <c r="B3046" t="inlineStr">
        <is>
          <t>2.01.02 Frete sobre Vendas</t>
        </is>
      </c>
      <c r="C3046" s="30" t="n">
        <v>46082</v>
      </c>
      <c r="D3046" t="inlineStr">
        <is>
          <t>Em 2026</t>
        </is>
      </c>
      <c r="E3046" s="28" t="n">
        <v>46097</v>
      </c>
      <c r="F3046" t="inlineStr">
        <is>
          <t>CT-e</t>
        </is>
      </c>
      <c r="G3046" t="inlineStr">
        <is>
          <t>000006579</t>
        </is>
      </c>
      <c r="H3046" t="inlineStr">
        <is>
          <t>R&amp;R TRANSPORTE E LOGISTICA</t>
        </is>
      </c>
      <c r="J3046" s="29" t="n">
        <v>28.51</v>
      </c>
      <c r="K3046" s="29">
        <f>(1-ISNUMBER(SEARCH("556",M3046)))*(O3046*SUMIFS(Premissas!$C$5:$C$44,Premissas!$A$5:$A$44,$A3046,Premissas!$B$5:$B$44,$B3046)+P3046*SUMIFS(Premissas!$D$5:$D$44,Premissas!$A$5:$A$44,$A3046,Premissas!$B$5:$B$44,$B3046))+R3046*SUMIFS(Premissas!$E$5:$E$44,Premissas!$A$5:$A$44,$A3046,Premissas!$B$5:$B$44,$B3046)+S3046*SUMIFS(Premissas!$F$5:$F$44,Premissas!$A$5:$A$44,$A3046,Premissas!$B$5:$B$44,$B3046)</f>
        <v/>
      </c>
      <c r="L3046" s="29">
        <f>J3046-K3046</f>
        <v/>
      </c>
      <c r="M3046" t="inlineStr">
        <is>
          <t>1.350</t>
        </is>
      </c>
      <c r="N3046" t="inlineStr">
        <is>
          <t>Modalidade: 0 - Por conta do remetente | Parte: EDIVAL FRANCISCO TAVARES LTDA (47.351.368/0001-68)</t>
        </is>
      </c>
      <c r="O3046" s="29" t="n">
        <v>0</v>
      </c>
      <c r="P3046" s="29" t="n">
        <v>0</v>
      </c>
      <c r="Q3046" s="29" t="n">
        <v>0</v>
      </c>
      <c r="R3046" s="29" t="n">
        <v>0</v>
      </c>
      <c r="S3046" s="29" t="n">
        <v>0</v>
      </c>
      <c r="T3046" t="inlineStr">
        <is>
          <t>25260326975620000130570010000065791001201675</t>
        </is>
      </c>
      <c r="U3046" t="inlineStr">
        <is>
          <t>Não</t>
        </is>
      </c>
    </row>
    <row r="3047">
      <c r="A3047" t="inlineStr">
        <is>
          <t>Frete de venda</t>
        </is>
      </c>
      <c r="B3047" t="inlineStr">
        <is>
          <t>2.01.02 Frete sobre Vendas</t>
        </is>
      </c>
      <c r="C3047" s="30" t="n">
        <v>46082</v>
      </c>
      <c r="D3047" t="inlineStr">
        <is>
          <t>Em 2026</t>
        </is>
      </c>
      <c r="E3047" s="28" t="n">
        <v>46097</v>
      </c>
      <c r="F3047" t="inlineStr">
        <is>
          <t>CT-e</t>
        </is>
      </c>
      <c r="G3047" t="inlineStr">
        <is>
          <t>000006580</t>
        </is>
      </c>
      <c r="H3047" t="inlineStr">
        <is>
          <t>R&amp;R TRANSPORTE E LOGISTICA</t>
        </is>
      </c>
      <c r="J3047" s="29" t="n">
        <v>20.65</v>
      </c>
      <c r="K3047" s="29">
        <f>(1-ISNUMBER(SEARCH("556",M3047)))*(O3047*SUMIFS(Premissas!$C$5:$C$44,Premissas!$A$5:$A$44,$A3047,Premissas!$B$5:$B$44,$B3047)+P3047*SUMIFS(Premissas!$D$5:$D$44,Premissas!$A$5:$A$44,$A3047,Premissas!$B$5:$B$44,$B3047))+R3047*SUMIFS(Premissas!$E$5:$E$44,Premissas!$A$5:$A$44,$A3047,Premissas!$B$5:$B$44,$B3047)+S3047*SUMIFS(Premissas!$F$5:$F$44,Premissas!$A$5:$A$44,$A3047,Premissas!$B$5:$B$44,$B3047)</f>
        <v/>
      </c>
      <c r="L3047" s="29">
        <f>J3047-K3047</f>
        <v/>
      </c>
      <c r="M3047" t="inlineStr">
        <is>
          <t>1.350</t>
        </is>
      </c>
      <c r="N3047" t="inlineStr">
        <is>
          <t>Modalidade: 0 - Por conta do remetente | Parte: GR DOCES E EMBALAGENS LTDA (42.338.637/0001-32)</t>
        </is>
      </c>
      <c r="O3047" s="29" t="n">
        <v>0</v>
      </c>
      <c r="P3047" s="29" t="n">
        <v>0</v>
      </c>
      <c r="Q3047" s="29" t="n">
        <v>0</v>
      </c>
      <c r="R3047" s="29" t="n">
        <v>0</v>
      </c>
      <c r="S3047" s="29" t="n">
        <v>0</v>
      </c>
      <c r="T3047" t="inlineStr">
        <is>
          <t>25260326975620000130570010000065801001301026</t>
        </is>
      </c>
      <c r="U3047" t="inlineStr">
        <is>
          <t>Não</t>
        </is>
      </c>
    </row>
    <row r="3048">
      <c r="A3048" t="inlineStr">
        <is>
          <t>Frete de venda</t>
        </is>
      </c>
      <c r="B3048" t="inlineStr">
        <is>
          <t>2.01.02 Frete sobre Vendas</t>
        </is>
      </c>
      <c r="C3048" s="30" t="n">
        <v>46082</v>
      </c>
      <c r="D3048" t="inlineStr">
        <is>
          <t>Em 2026</t>
        </is>
      </c>
      <c r="E3048" s="28" t="n">
        <v>46097</v>
      </c>
      <c r="F3048" t="inlineStr">
        <is>
          <t>CT-e</t>
        </is>
      </c>
      <c r="G3048" t="inlineStr">
        <is>
          <t>000006581</t>
        </is>
      </c>
      <c r="H3048" t="inlineStr">
        <is>
          <t>R&amp;R TRANSPORTE E LOGISTICA</t>
        </is>
      </c>
      <c r="J3048" s="29" t="n">
        <v>147.63</v>
      </c>
      <c r="K3048" s="29">
        <f>(1-ISNUMBER(SEARCH("556",M3048)))*(O3048*SUMIFS(Premissas!$C$5:$C$44,Premissas!$A$5:$A$44,$A3048,Premissas!$B$5:$B$44,$B3048)+P3048*SUMIFS(Premissas!$D$5:$D$44,Premissas!$A$5:$A$44,$A3048,Premissas!$B$5:$B$44,$B3048))+R3048*SUMIFS(Premissas!$E$5:$E$44,Premissas!$A$5:$A$44,$A3048,Premissas!$B$5:$B$44,$B3048)+S3048*SUMIFS(Premissas!$F$5:$F$44,Premissas!$A$5:$A$44,$A3048,Premissas!$B$5:$B$44,$B3048)</f>
        <v/>
      </c>
      <c r="L3048" s="29">
        <f>J3048-K3048</f>
        <v/>
      </c>
      <c r="M3048" t="inlineStr">
        <is>
          <t>1.350</t>
        </is>
      </c>
      <c r="N3048" t="inlineStr">
        <is>
          <t>Modalidade: 0 - Por conta do remetente | Parte: INDUSTRIAL E COMERCIAL ALMEIDA LTDA (02.623.537/0010-24)</t>
        </is>
      </c>
      <c r="O3048" s="29" t="n">
        <v>0</v>
      </c>
      <c r="P3048" s="29" t="n">
        <v>0</v>
      </c>
      <c r="Q3048" s="29" t="n">
        <v>0</v>
      </c>
      <c r="R3048" s="29" t="n">
        <v>0</v>
      </c>
      <c r="S3048" s="29" t="n">
        <v>0</v>
      </c>
      <c r="T3048" t="inlineStr">
        <is>
          <t>25260326975620000130570010000065811000101101</t>
        </is>
      </c>
      <c r="U3048" t="inlineStr">
        <is>
          <t>Não</t>
        </is>
      </c>
    </row>
    <row r="3049">
      <c r="A3049" t="inlineStr">
        <is>
          <t>Frete de venda</t>
        </is>
      </c>
      <c r="B3049" t="inlineStr">
        <is>
          <t>2.01.02 Frete sobre Vendas</t>
        </is>
      </c>
      <c r="C3049" s="30" t="n">
        <v>46082</v>
      </c>
      <c r="D3049" t="inlineStr">
        <is>
          <t>Em 2026</t>
        </is>
      </c>
      <c r="E3049" s="28" t="n">
        <v>46097</v>
      </c>
      <c r="F3049" t="inlineStr">
        <is>
          <t>CT-e</t>
        </is>
      </c>
      <c r="G3049" t="inlineStr">
        <is>
          <t>000006582</t>
        </is>
      </c>
      <c r="H3049" t="inlineStr">
        <is>
          <t>R&amp;R TRANSPORTE E LOGISTICA</t>
        </is>
      </c>
      <c r="J3049" s="29" t="n">
        <v>41.55</v>
      </c>
      <c r="K3049" s="29">
        <f>(1-ISNUMBER(SEARCH("556",M3049)))*(O3049*SUMIFS(Premissas!$C$5:$C$44,Premissas!$A$5:$A$44,$A3049,Premissas!$B$5:$B$44,$B3049)+P3049*SUMIFS(Premissas!$D$5:$D$44,Premissas!$A$5:$A$44,$A3049,Premissas!$B$5:$B$44,$B3049))+R3049*SUMIFS(Premissas!$E$5:$E$44,Premissas!$A$5:$A$44,$A3049,Premissas!$B$5:$B$44,$B3049)+S3049*SUMIFS(Premissas!$F$5:$F$44,Premissas!$A$5:$A$44,$A3049,Premissas!$B$5:$B$44,$B3049)</f>
        <v/>
      </c>
      <c r="L3049" s="29">
        <f>J3049-K3049</f>
        <v/>
      </c>
      <c r="M3049" t="inlineStr">
        <is>
          <t>1.350</t>
        </is>
      </c>
      <c r="N3049" t="inlineStr">
        <is>
          <t>Modalidade: 0 - Por conta do remetente | Parte: COMERCIAL CARAPA DE SECOS E MOLHADOS LTDA (03.790.904/0002-37)</t>
        </is>
      </c>
      <c r="O3049" s="29" t="n">
        <v>0</v>
      </c>
      <c r="P3049" s="29" t="n">
        <v>0</v>
      </c>
      <c r="Q3049" s="29" t="n">
        <v>0</v>
      </c>
      <c r="R3049" s="29" t="n">
        <v>0</v>
      </c>
      <c r="S3049" s="29" t="n">
        <v>0</v>
      </c>
      <c r="T3049" t="inlineStr">
        <is>
          <t>25260326975620000130570010000065821001801180</t>
        </is>
      </c>
      <c r="U3049" t="inlineStr">
        <is>
          <t>Não</t>
        </is>
      </c>
    </row>
    <row r="3050">
      <c r="A3050" t="inlineStr">
        <is>
          <t>Frete de venda</t>
        </is>
      </c>
      <c r="B3050" t="inlineStr">
        <is>
          <t>2.01.02 Frete sobre Vendas</t>
        </is>
      </c>
      <c r="C3050" s="30" t="n">
        <v>46082</v>
      </c>
      <c r="D3050" t="inlineStr">
        <is>
          <t>Em 2026</t>
        </is>
      </c>
      <c r="E3050" s="28" t="n">
        <v>46097</v>
      </c>
      <c r="F3050" t="inlineStr">
        <is>
          <t>CT-e</t>
        </is>
      </c>
      <c r="G3050" t="inlineStr">
        <is>
          <t>000006583</t>
        </is>
      </c>
      <c r="H3050" t="inlineStr">
        <is>
          <t>R&amp;R TRANSPORTE E LOGISTICA</t>
        </is>
      </c>
      <c r="J3050" s="29" t="n">
        <v>11.95</v>
      </c>
      <c r="K3050" s="29">
        <f>(1-ISNUMBER(SEARCH("556",M3050)))*(O3050*SUMIFS(Premissas!$C$5:$C$44,Premissas!$A$5:$A$44,$A3050,Premissas!$B$5:$B$44,$B3050)+P3050*SUMIFS(Premissas!$D$5:$D$44,Premissas!$A$5:$A$44,$A3050,Premissas!$B$5:$B$44,$B3050))+R3050*SUMIFS(Premissas!$E$5:$E$44,Premissas!$A$5:$A$44,$A3050,Premissas!$B$5:$B$44,$B3050)+S3050*SUMIFS(Premissas!$F$5:$F$44,Premissas!$A$5:$A$44,$A3050,Premissas!$B$5:$B$44,$B3050)</f>
        <v/>
      </c>
      <c r="L3050" s="29">
        <f>J3050-K3050</f>
        <v/>
      </c>
      <c r="M3050" t="inlineStr">
        <is>
          <t>1.350</t>
        </is>
      </c>
      <c r="N3050" t="inlineStr">
        <is>
          <t>Modalidade: 0 - Por conta do remetente | Parte: M. O. FELICIO RIBEIRO LTDA (49.786.983/0001-22)</t>
        </is>
      </c>
      <c r="O3050" s="29" t="n">
        <v>0</v>
      </c>
      <c r="P3050" s="29" t="n">
        <v>0</v>
      </c>
      <c r="Q3050" s="29" t="n">
        <v>0</v>
      </c>
      <c r="R3050" s="29" t="n">
        <v>0</v>
      </c>
      <c r="S3050" s="29" t="n">
        <v>0</v>
      </c>
      <c r="T3050" t="inlineStr">
        <is>
          <t>25260326975620000130570010000065831001501264</t>
        </is>
      </c>
      <c r="U3050" t="inlineStr">
        <is>
          <t>Não</t>
        </is>
      </c>
    </row>
    <row r="3051">
      <c r="A3051" t="inlineStr">
        <is>
          <t>Frete de venda</t>
        </is>
      </c>
      <c r="B3051" t="inlineStr">
        <is>
          <t>2.01.02 Frete sobre Vendas</t>
        </is>
      </c>
      <c r="C3051" s="30" t="n">
        <v>46082</v>
      </c>
      <c r="D3051" t="inlineStr">
        <is>
          <t>Em 2026</t>
        </is>
      </c>
      <c r="E3051" s="28" t="n">
        <v>46097</v>
      </c>
      <c r="F3051" t="inlineStr">
        <is>
          <t>CT-e</t>
        </is>
      </c>
      <c r="G3051" t="inlineStr">
        <is>
          <t>000006584</t>
        </is>
      </c>
      <c r="H3051" t="inlineStr">
        <is>
          <t>R&amp;R TRANSPORTE E LOGISTICA</t>
        </is>
      </c>
      <c r="J3051" s="29" t="n">
        <v>109.19</v>
      </c>
      <c r="K3051" s="29">
        <f>(1-ISNUMBER(SEARCH("556",M3051)))*(O3051*SUMIFS(Premissas!$C$5:$C$44,Premissas!$A$5:$A$44,$A3051,Premissas!$B$5:$B$44,$B3051)+P3051*SUMIFS(Premissas!$D$5:$D$44,Premissas!$A$5:$A$44,$A3051,Premissas!$B$5:$B$44,$B3051))+R3051*SUMIFS(Premissas!$E$5:$E$44,Premissas!$A$5:$A$44,$A3051,Premissas!$B$5:$B$44,$B3051)+S3051*SUMIFS(Premissas!$F$5:$F$44,Premissas!$A$5:$A$44,$A3051,Premissas!$B$5:$B$44,$B3051)</f>
        <v/>
      </c>
      <c r="L3051" s="29">
        <f>J3051-K3051</f>
        <v/>
      </c>
      <c r="M3051" t="inlineStr">
        <is>
          <t>1.350</t>
        </is>
      </c>
      <c r="N3051" t="inlineStr">
        <is>
          <t>Modalidade: 0 - Por conta do remetente | Parte: J. P. ROCKENBARCH DISTRIBUIDORA DE EMBALAGENS (43.619.215/0001-06)</t>
        </is>
      </c>
      <c r="O3051" s="29" t="n">
        <v>0</v>
      </c>
      <c r="P3051" s="29" t="n">
        <v>0</v>
      </c>
      <c r="Q3051" s="29" t="n">
        <v>0</v>
      </c>
      <c r="R3051" s="29" t="n">
        <v>0</v>
      </c>
      <c r="S3051" s="29" t="n">
        <v>0</v>
      </c>
      <c r="T3051" t="inlineStr">
        <is>
          <t>25260326975620000130570010000065841001201349</t>
        </is>
      </c>
      <c r="U3051" t="inlineStr">
        <is>
          <t>Não</t>
        </is>
      </c>
    </row>
    <row r="3052">
      <c r="A3052" t="inlineStr">
        <is>
          <t>Frete de venda</t>
        </is>
      </c>
      <c r="B3052" t="inlineStr">
        <is>
          <t>2.01.02 Frete sobre Vendas</t>
        </is>
      </c>
      <c r="C3052" s="30" t="n">
        <v>46082</v>
      </c>
      <c r="D3052" t="inlineStr">
        <is>
          <t>Em 2026</t>
        </is>
      </c>
      <c r="E3052" s="28" t="n">
        <v>46097</v>
      </c>
      <c r="F3052" t="inlineStr">
        <is>
          <t>CT-e</t>
        </is>
      </c>
      <c r="G3052" t="inlineStr">
        <is>
          <t>000006585</t>
        </is>
      </c>
      <c r="H3052" t="inlineStr">
        <is>
          <t>R&amp;R TRANSPORTE E LOGISTICA</t>
        </is>
      </c>
      <c r="J3052" s="29" t="n">
        <v>22.89</v>
      </c>
      <c r="K3052" s="29">
        <f>(1-ISNUMBER(SEARCH("556",M3052)))*(O3052*SUMIFS(Premissas!$C$5:$C$44,Premissas!$A$5:$A$44,$A3052,Premissas!$B$5:$B$44,$B3052)+P3052*SUMIFS(Premissas!$D$5:$D$44,Premissas!$A$5:$A$44,$A3052,Premissas!$B$5:$B$44,$B3052))+R3052*SUMIFS(Premissas!$E$5:$E$44,Premissas!$A$5:$A$44,$A3052,Premissas!$B$5:$B$44,$B3052)+S3052*SUMIFS(Premissas!$F$5:$F$44,Premissas!$A$5:$A$44,$A3052,Premissas!$B$5:$B$44,$B3052)</f>
        <v/>
      </c>
      <c r="L3052" s="29">
        <f>J3052-K3052</f>
        <v/>
      </c>
      <c r="M3052" t="inlineStr">
        <is>
          <t>1.350</t>
        </is>
      </c>
      <c r="N3052" t="inlineStr">
        <is>
          <t>Modalidade: 0 - Por conta do remetente | Parte: MATOS EMBALAGENS COMERCIO LTDA (01.888.718/0002-00)</t>
        </is>
      </c>
      <c r="O3052" s="29" t="n">
        <v>0</v>
      </c>
      <c r="P3052" s="29" t="n">
        <v>0</v>
      </c>
      <c r="Q3052" s="29" t="n">
        <v>0</v>
      </c>
      <c r="R3052" s="29" t="n">
        <v>0</v>
      </c>
      <c r="S3052" s="29" t="n">
        <v>0</v>
      </c>
      <c r="T3052" t="inlineStr">
        <is>
          <t>25260326975620000130570010000065851011001420</t>
        </is>
      </c>
      <c r="U3052" t="inlineStr">
        <is>
          <t>Não</t>
        </is>
      </c>
    </row>
    <row r="3053">
      <c r="A3053" t="inlineStr">
        <is>
          <t>Frete de venda</t>
        </is>
      </c>
      <c r="B3053" t="inlineStr">
        <is>
          <t>2.01.02 Frete sobre Vendas</t>
        </is>
      </c>
      <c r="C3053" s="30" t="n">
        <v>46082</v>
      </c>
      <c r="D3053" t="inlineStr">
        <is>
          <t>Em 2026</t>
        </is>
      </c>
      <c r="E3053" s="28" t="n">
        <v>46097</v>
      </c>
      <c r="F3053" t="inlineStr">
        <is>
          <t>CT-e</t>
        </is>
      </c>
      <c r="G3053" t="inlineStr">
        <is>
          <t>000006586</t>
        </is>
      </c>
      <c r="H3053" t="inlineStr">
        <is>
          <t>R&amp;R TRANSPORTE E LOGISTICA</t>
        </is>
      </c>
      <c r="J3053" s="29" t="n">
        <v>18.1</v>
      </c>
      <c r="K3053" s="29">
        <f>(1-ISNUMBER(SEARCH("556",M3053)))*(O3053*SUMIFS(Premissas!$C$5:$C$44,Premissas!$A$5:$A$44,$A3053,Premissas!$B$5:$B$44,$B3053)+P3053*SUMIFS(Premissas!$D$5:$D$44,Premissas!$A$5:$A$44,$A3053,Premissas!$B$5:$B$44,$B3053))+R3053*SUMIFS(Premissas!$E$5:$E$44,Premissas!$A$5:$A$44,$A3053,Premissas!$B$5:$B$44,$B3053)+S3053*SUMIFS(Premissas!$F$5:$F$44,Premissas!$A$5:$A$44,$A3053,Premissas!$B$5:$B$44,$B3053)</f>
        <v/>
      </c>
      <c r="L3053" s="29">
        <f>J3053-K3053</f>
        <v/>
      </c>
      <c r="M3053" t="inlineStr">
        <is>
          <t>1.350</t>
        </is>
      </c>
      <c r="N3053" t="inlineStr">
        <is>
          <t>Modalidade: 0 - Por conta do remetente | Parte: A DE O LEMOS NETO LTDA (50.569.720/0001-40)</t>
        </is>
      </c>
      <c r="O3053" s="29" t="n">
        <v>0</v>
      </c>
      <c r="P3053" s="29" t="n">
        <v>0</v>
      </c>
      <c r="Q3053" s="29" t="n">
        <v>0</v>
      </c>
      <c r="R3053" s="29" t="n">
        <v>0</v>
      </c>
      <c r="S3053" s="29" t="n">
        <v>0</v>
      </c>
      <c r="T3053" t="inlineStr">
        <is>
          <t>25260326975620000130570010000065861001701508</t>
        </is>
      </c>
      <c r="U3053" t="inlineStr">
        <is>
          <t>Não</t>
        </is>
      </c>
    </row>
    <row r="3054">
      <c r="A3054" t="inlineStr">
        <is>
          <t>Frete de venda</t>
        </is>
      </c>
      <c r="B3054" t="inlineStr">
        <is>
          <t>2.01.02 Frete sobre Vendas</t>
        </is>
      </c>
      <c r="C3054" s="30" t="n">
        <v>46082</v>
      </c>
      <c r="D3054" t="inlineStr">
        <is>
          <t>Em 2026</t>
        </is>
      </c>
      <c r="E3054" s="28" t="n">
        <v>46097</v>
      </c>
      <c r="F3054" t="inlineStr">
        <is>
          <t>CT-e</t>
        </is>
      </c>
      <c r="G3054" t="inlineStr">
        <is>
          <t>000006587</t>
        </is>
      </c>
      <c r="H3054" t="inlineStr">
        <is>
          <t>R&amp;R TRANSPORTE E LOGISTICA</t>
        </is>
      </c>
      <c r="J3054" s="29" t="n">
        <v>24.44</v>
      </c>
      <c r="K3054" s="29">
        <f>(1-ISNUMBER(SEARCH("556",M3054)))*(O3054*SUMIFS(Premissas!$C$5:$C$44,Premissas!$A$5:$A$44,$A3054,Premissas!$B$5:$B$44,$B3054)+P3054*SUMIFS(Premissas!$D$5:$D$44,Premissas!$A$5:$A$44,$A3054,Premissas!$B$5:$B$44,$B3054))+R3054*SUMIFS(Premissas!$E$5:$E$44,Premissas!$A$5:$A$44,$A3054,Premissas!$B$5:$B$44,$B3054)+S3054*SUMIFS(Premissas!$F$5:$F$44,Premissas!$A$5:$A$44,$A3054,Premissas!$B$5:$B$44,$B3054)</f>
        <v/>
      </c>
      <c r="L3054" s="29">
        <f>J3054-K3054</f>
        <v/>
      </c>
      <c r="M3054" t="inlineStr">
        <is>
          <t>1.350</t>
        </is>
      </c>
      <c r="N3054" t="inlineStr">
        <is>
          <t>Modalidade: 0 - Por conta do remetente | Parte: ELAINE C. DE OLIVEIRA EMBALAGENS (13.288.289/0001-38)</t>
        </is>
      </c>
      <c r="O3054" s="29" t="n">
        <v>0</v>
      </c>
      <c r="P3054" s="29" t="n">
        <v>0</v>
      </c>
      <c r="Q3054" s="29" t="n">
        <v>0</v>
      </c>
      <c r="R3054" s="29" t="n">
        <v>0</v>
      </c>
      <c r="S3054" s="29" t="n">
        <v>0</v>
      </c>
      <c r="T3054" t="inlineStr">
        <is>
          <t>25260326975620000130570010000065871001401587</t>
        </is>
      </c>
      <c r="U3054" t="inlineStr">
        <is>
          <t>Não</t>
        </is>
      </c>
    </row>
    <row r="3055">
      <c r="A3055" t="inlineStr">
        <is>
          <t>Frete de venda</t>
        </is>
      </c>
      <c r="B3055" t="inlineStr">
        <is>
          <t>2.01.02 Frete sobre Vendas</t>
        </is>
      </c>
      <c r="C3055" s="30" t="n">
        <v>46082</v>
      </c>
      <c r="D3055" t="inlineStr">
        <is>
          <t>Em 2026</t>
        </is>
      </c>
      <c r="E3055" s="28" t="n">
        <v>46097</v>
      </c>
      <c r="F3055" t="inlineStr">
        <is>
          <t>CT-e</t>
        </is>
      </c>
      <c r="G3055" t="inlineStr">
        <is>
          <t>000006588</t>
        </is>
      </c>
      <c r="H3055" t="inlineStr">
        <is>
          <t>R&amp;R TRANSPORTE E LOGISTICA</t>
        </is>
      </c>
      <c r="J3055" s="29" t="n">
        <v>37.14</v>
      </c>
      <c r="K3055" s="29">
        <f>(1-ISNUMBER(SEARCH("556",M3055)))*(O3055*SUMIFS(Premissas!$C$5:$C$44,Premissas!$A$5:$A$44,$A3055,Premissas!$B$5:$B$44,$B3055)+P3055*SUMIFS(Premissas!$D$5:$D$44,Premissas!$A$5:$A$44,$A3055,Premissas!$B$5:$B$44,$B3055))+R3055*SUMIFS(Premissas!$E$5:$E$44,Premissas!$A$5:$A$44,$A3055,Premissas!$B$5:$B$44,$B3055)+S3055*SUMIFS(Premissas!$F$5:$F$44,Premissas!$A$5:$A$44,$A3055,Premissas!$B$5:$B$44,$B3055)</f>
        <v/>
      </c>
      <c r="L3055" s="29">
        <f>J3055-K3055</f>
        <v/>
      </c>
      <c r="M3055" t="inlineStr">
        <is>
          <t>1.350</t>
        </is>
      </c>
      <c r="N3055" t="inlineStr">
        <is>
          <t>Modalidade: 0 - Por conta do remetente | Parte: CALIXTO DA SILVA E CIA LTDA (10.680.919/0001-27)</t>
        </is>
      </c>
      <c r="O3055" s="29" t="n">
        <v>0</v>
      </c>
      <c r="P3055" s="29" t="n">
        <v>0</v>
      </c>
      <c r="Q3055" s="29" t="n">
        <v>0</v>
      </c>
      <c r="R3055" s="29" t="n">
        <v>0</v>
      </c>
      <c r="S3055" s="29" t="n">
        <v>0</v>
      </c>
      <c r="T3055" t="inlineStr">
        <is>
          <t>25260326975620000130570010000065881001101661</t>
        </is>
      </c>
      <c r="U3055" t="inlineStr">
        <is>
          <t>Não</t>
        </is>
      </c>
    </row>
    <row r="3056">
      <c r="A3056" t="inlineStr">
        <is>
          <t>Frete de venda</t>
        </is>
      </c>
      <c r="B3056" t="inlineStr">
        <is>
          <t>2.01.02 Frete sobre Vendas</t>
        </is>
      </c>
      <c r="C3056" s="30" t="n">
        <v>46082</v>
      </c>
      <c r="D3056" t="inlineStr">
        <is>
          <t>Em 2026</t>
        </is>
      </c>
      <c r="E3056" s="28" t="n">
        <v>46097</v>
      </c>
      <c r="F3056" t="inlineStr">
        <is>
          <t>CT-e</t>
        </is>
      </c>
      <c r="G3056" t="inlineStr">
        <is>
          <t>000006589</t>
        </is>
      </c>
      <c r="H3056" t="inlineStr">
        <is>
          <t>R&amp;R TRANSPORTE E LOGISTICA</t>
        </is>
      </c>
      <c r="J3056" s="29" t="n">
        <v>15.35</v>
      </c>
      <c r="K3056" s="29">
        <f>(1-ISNUMBER(SEARCH("556",M3056)))*(O3056*SUMIFS(Premissas!$C$5:$C$44,Premissas!$A$5:$A$44,$A3056,Premissas!$B$5:$B$44,$B3056)+P3056*SUMIFS(Premissas!$D$5:$D$44,Premissas!$A$5:$A$44,$A3056,Premissas!$B$5:$B$44,$B3056))+R3056*SUMIFS(Premissas!$E$5:$E$44,Premissas!$A$5:$A$44,$A3056,Premissas!$B$5:$B$44,$B3056)+S3056*SUMIFS(Premissas!$F$5:$F$44,Premissas!$A$5:$A$44,$A3056,Premissas!$B$5:$B$44,$B3056)</f>
        <v/>
      </c>
      <c r="L3056" s="29">
        <f>J3056-K3056</f>
        <v/>
      </c>
      <c r="M3056" t="inlineStr">
        <is>
          <t>1.350</t>
        </is>
      </c>
      <c r="N3056" t="inlineStr">
        <is>
          <t>Modalidade: 0 - Por conta do remetente | Parte: DPH DISTRIBUIDORA DE EMBALAGENS LTDA (21.781.377/0001-03)</t>
        </is>
      </c>
      <c r="O3056" s="29" t="n">
        <v>0</v>
      </c>
      <c r="P3056" s="29" t="n">
        <v>0</v>
      </c>
      <c r="Q3056" s="29" t="n">
        <v>0</v>
      </c>
      <c r="R3056" s="29" t="n">
        <v>0</v>
      </c>
      <c r="S3056" s="29" t="n">
        <v>0</v>
      </c>
      <c r="T3056" t="inlineStr">
        <is>
          <t>25260326975620000130570010000065891001901746</t>
        </is>
      </c>
      <c r="U3056" t="inlineStr">
        <is>
          <t>Não</t>
        </is>
      </c>
    </row>
    <row r="3057">
      <c r="A3057" t="inlineStr">
        <is>
          <t>Frete de venda</t>
        </is>
      </c>
      <c r="B3057" t="inlineStr">
        <is>
          <t>2.01.02 Frete sobre Vendas</t>
        </is>
      </c>
      <c r="C3057" s="30" t="n">
        <v>46082</v>
      </c>
      <c r="D3057" t="inlineStr">
        <is>
          <t>Em 2026</t>
        </is>
      </c>
      <c r="E3057" s="28" t="n">
        <v>46097</v>
      </c>
      <c r="F3057" t="inlineStr">
        <is>
          <t>CT-e</t>
        </is>
      </c>
      <c r="G3057" t="inlineStr">
        <is>
          <t>000006590</t>
        </is>
      </c>
      <c r="H3057" t="inlineStr">
        <is>
          <t>R&amp;R TRANSPORTE E LOGISTICA</t>
        </is>
      </c>
      <c r="J3057" s="29" t="n">
        <v>35</v>
      </c>
      <c r="K3057" s="29">
        <f>(1-ISNUMBER(SEARCH("556",M3057)))*(O3057*SUMIFS(Premissas!$C$5:$C$44,Premissas!$A$5:$A$44,$A3057,Premissas!$B$5:$B$44,$B3057)+P3057*SUMIFS(Premissas!$D$5:$D$44,Premissas!$A$5:$A$44,$A3057,Premissas!$B$5:$B$44,$B3057))+R3057*SUMIFS(Premissas!$E$5:$E$44,Premissas!$A$5:$A$44,$A3057,Premissas!$B$5:$B$44,$B3057)+S3057*SUMIFS(Premissas!$F$5:$F$44,Premissas!$A$5:$A$44,$A3057,Premissas!$B$5:$B$44,$B3057)</f>
        <v/>
      </c>
      <c r="L3057" s="29">
        <f>J3057-K3057</f>
        <v/>
      </c>
      <c r="M3057" t="inlineStr">
        <is>
          <t>1.350</t>
        </is>
      </c>
      <c r="N3057" t="inlineStr">
        <is>
          <t>Modalidade: 0 - Por conta do remetente | Parte: ATACADO NASCAR HIPICA LTDA (04.886.589/0001-28)</t>
        </is>
      </c>
      <c r="O3057" s="29" t="n">
        <v>0</v>
      </c>
      <c r="P3057" s="29" t="n">
        <v>0</v>
      </c>
      <c r="Q3057" s="29" t="n">
        <v>0</v>
      </c>
      <c r="R3057" s="29" t="n">
        <v>0</v>
      </c>
      <c r="S3057" s="29" t="n">
        <v>0</v>
      </c>
      <c r="T3057" t="inlineStr">
        <is>
          <t>25260326975620000130570010000065901000110452</t>
        </is>
      </c>
      <c r="U3057" t="inlineStr">
        <is>
          <t>Não</t>
        </is>
      </c>
    </row>
    <row r="3058">
      <c r="A3058" t="inlineStr">
        <is>
          <t>Frete de venda</t>
        </is>
      </c>
      <c r="B3058" t="inlineStr">
        <is>
          <t>2.01.02 Frete sobre Vendas</t>
        </is>
      </c>
      <c r="C3058" s="30" t="n">
        <v>46082</v>
      </c>
      <c r="D3058" t="inlineStr">
        <is>
          <t>Em 2026</t>
        </is>
      </c>
      <c r="E3058" s="28" t="n">
        <v>46097</v>
      </c>
      <c r="F3058" t="inlineStr">
        <is>
          <t>CT-e</t>
        </is>
      </c>
      <c r="G3058" t="inlineStr">
        <is>
          <t>000006591</t>
        </is>
      </c>
      <c r="H3058" t="inlineStr">
        <is>
          <t>R&amp;R TRANSPORTE E LOGISTICA</t>
        </is>
      </c>
      <c r="J3058" s="29" t="n">
        <v>14.64</v>
      </c>
      <c r="K3058" s="29">
        <f>(1-ISNUMBER(SEARCH("556",M3058)))*(O3058*SUMIFS(Premissas!$C$5:$C$44,Premissas!$A$5:$A$44,$A3058,Premissas!$B$5:$B$44,$B3058)+P3058*SUMIFS(Premissas!$D$5:$D$44,Premissas!$A$5:$A$44,$A3058,Premissas!$B$5:$B$44,$B3058))+R3058*SUMIFS(Premissas!$E$5:$E$44,Premissas!$A$5:$A$44,$A3058,Premissas!$B$5:$B$44,$B3058)+S3058*SUMIFS(Premissas!$F$5:$F$44,Premissas!$A$5:$A$44,$A3058,Premissas!$B$5:$B$44,$B3058)</f>
        <v/>
      </c>
      <c r="L3058" s="29">
        <f>J3058-K3058</f>
        <v/>
      </c>
      <c r="M3058" t="inlineStr">
        <is>
          <t>1.350</t>
        </is>
      </c>
      <c r="N3058" t="inlineStr">
        <is>
          <t>Modalidade: 0 - Por conta do remetente | Parte: FACILITI PRODUTOS DE LIMPEZA LTDA (28.581.388/0001-80)</t>
        </is>
      </c>
      <c r="O3058" s="29" t="n">
        <v>0</v>
      </c>
      <c r="P3058" s="29" t="n">
        <v>0</v>
      </c>
      <c r="Q3058" s="29" t="n">
        <v>0</v>
      </c>
      <c r="R3058" s="29" t="n">
        <v>0</v>
      </c>
      <c r="S3058" s="29" t="n">
        <v>0</v>
      </c>
      <c r="T3058" t="inlineStr">
        <is>
          <t>25260326975620000130570010000065911000190534</t>
        </is>
      </c>
      <c r="U3058" t="inlineStr">
        <is>
          <t>Não</t>
        </is>
      </c>
    </row>
    <row r="3059">
      <c r="A3059" t="inlineStr">
        <is>
          <t>Frete de venda</t>
        </is>
      </c>
      <c r="B3059" t="inlineStr">
        <is>
          <t>2.01.02 Frete sobre Vendas</t>
        </is>
      </c>
      <c r="C3059" s="30" t="n">
        <v>46082</v>
      </c>
      <c r="D3059" t="inlineStr">
        <is>
          <t>Em 2026</t>
        </is>
      </c>
      <c r="E3059" s="28" t="n">
        <v>46097</v>
      </c>
      <c r="F3059" t="inlineStr">
        <is>
          <t>CT-e</t>
        </is>
      </c>
      <c r="G3059" t="inlineStr">
        <is>
          <t>000006592</t>
        </is>
      </c>
      <c r="H3059" t="inlineStr">
        <is>
          <t>R&amp;R TRANSPORTE E LOGISTICA</t>
        </is>
      </c>
      <c r="J3059" s="29" t="n">
        <v>22.55</v>
      </c>
      <c r="K3059" s="29">
        <f>(1-ISNUMBER(SEARCH("556",M3059)))*(O3059*SUMIFS(Premissas!$C$5:$C$44,Premissas!$A$5:$A$44,$A3059,Premissas!$B$5:$B$44,$B3059)+P3059*SUMIFS(Premissas!$D$5:$D$44,Premissas!$A$5:$A$44,$A3059,Premissas!$B$5:$B$44,$B3059))+R3059*SUMIFS(Premissas!$E$5:$E$44,Premissas!$A$5:$A$44,$A3059,Premissas!$B$5:$B$44,$B3059)+S3059*SUMIFS(Premissas!$F$5:$F$44,Premissas!$A$5:$A$44,$A3059,Premissas!$B$5:$B$44,$B3059)</f>
        <v/>
      </c>
      <c r="L3059" s="29">
        <f>J3059-K3059</f>
        <v/>
      </c>
      <c r="M3059" t="inlineStr">
        <is>
          <t>1.350</t>
        </is>
      </c>
      <c r="N3059" t="inlineStr">
        <is>
          <t>Modalidade: 0 - Por conta do remetente | Parte: JOELMA XAVIER LTDA (46.882.996/0003-79)</t>
        </is>
      </c>
      <c r="O3059" s="29" t="n">
        <v>0</v>
      </c>
      <c r="P3059" s="29" t="n">
        <v>0</v>
      </c>
      <c r="Q3059" s="29" t="n">
        <v>0</v>
      </c>
      <c r="R3059" s="29" t="n">
        <v>0</v>
      </c>
      <c r="S3059" s="29" t="n">
        <v>0</v>
      </c>
      <c r="T3059" t="inlineStr">
        <is>
          <t>25260326975620000130570010000065921000160616</t>
        </is>
      </c>
      <c r="U3059" t="inlineStr">
        <is>
          <t>Não</t>
        </is>
      </c>
    </row>
    <row r="3060">
      <c r="A3060" t="inlineStr">
        <is>
          <t>Frete de venda</t>
        </is>
      </c>
      <c r="B3060" t="inlineStr">
        <is>
          <t>2.01.02 Frete sobre Vendas</t>
        </is>
      </c>
      <c r="C3060" s="30" t="n">
        <v>46082</v>
      </c>
      <c r="D3060" t="inlineStr">
        <is>
          <t>Em 2026</t>
        </is>
      </c>
      <c r="E3060" s="28" t="n">
        <v>46097</v>
      </c>
      <c r="F3060" t="inlineStr">
        <is>
          <t>CT-e</t>
        </is>
      </c>
      <c r="G3060" t="inlineStr">
        <is>
          <t>000006593</t>
        </is>
      </c>
      <c r="H3060" t="inlineStr">
        <is>
          <t>R&amp;R TRANSPORTE E LOGISTICA</t>
        </is>
      </c>
      <c r="J3060" s="29" t="n">
        <v>11.95</v>
      </c>
      <c r="K3060" s="29">
        <f>(1-ISNUMBER(SEARCH("556",M3060)))*(O3060*SUMIFS(Premissas!$C$5:$C$44,Premissas!$A$5:$A$44,$A3060,Premissas!$B$5:$B$44,$B3060)+P3060*SUMIFS(Premissas!$D$5:$D$44,Premissas!$A$5:$A$44,$A3060,Premissas!$B$5:$B$44,$B3060))+R3060*SUMIFS(Premissas!$E$5:$E$44,Premissas!$A$5:$A$44,$A3060,Premissas!$B$5:$B$44,$B3060)+S3060*SUMIFS(Premissas!$F$5:$F$44,Premissas!$A$5:$A$44,$A3060,Premissas!$B$5:$B$44,$B3060)</f>
        <v/>
      </c>
      <c r="L3060" s="29">
        <f>J3060-K3060</f>
        <v/>
      </c>
      <c r="M3060" t="inlineStr">
        <is>
          <t>1.350</t>
        </is>
      </c>
      <c r="N3060" t="inlineStr">
        <is>
          <t>Modalidade: 0 - Por conta do remetente | Parte: O DOCEIRO ESCOLA AGRICOLA LTDA (33.518.315/0001-84)</t>
        </is>
      </c>
      <c r="O3060" s="29" t="n">
        <v>0</v>
      </c>
      <c r="P3060" s="29" t="n">
        <v>0</v>
      </c>
      <c r="Q3060" s="29" t="n">
        <v>0</v>
      </c>
      <c r="R3060" s="29" t="n">
        <v>0</v>
      </c>
      <c r="S3060" s="29" t="n">
        <v>0</v>
      </c>
      <c r="T3060" t="inlineStr">
        <is>
          <t>25260326975620000130570010000065931000130692</t>
        </is>
      </c>
      <c r="U3060" t="inlineStr">
        <is>
          <t>Não</t>
        </is>
      </c>
    </row>
    <row r="3061">
      <c r="A3061" t="inlineStr">
        <is>
          <t>Frete de venda</t>
        </is>
      </c>
      <c r="B3061" t="inlineStr">
        <is>
          <t>2.01.02 Frete sobre Vendas</t>
        </is>
      </c>
      <c r="C3061" s="30" t="n">
        <v>46082</v>
      </c>
      <c r="D3061" t="inlineStr">
        <is>
          <t>Em 2026</t>
        </is>
      </c>
      <c r="E3061" s="28" t="n">
        <v>46097</v>
      </c>
      <c r="F3061" t="inlineStr">
        <is>
          <t>CT-e</t>
        </is>
      </c>
      <c r="G3061" t="inlineStr">
        <is>
          <t>000006594</t>
        </is>
      </c>
      <c r="H3061" t="inlineStr">
        <is>
          <t>R&amp;R TRANSPORTE E LOGISTICA</t>
        </is>
      </c>
      <c r="J3061" s="29" t="n">
        <v>21.79</v>
      </c>
      <c r="K3061" s="29">
        <f>(1-ISNUMBER(SEARCH("556",M3061)))*(O3061*SUMIFS(Premissas!$C$5:$C$44,Premissas!$A$5:$A$44,$A3061,Premissas!$B$5:$B$44,$B3061)+P3061*SUMIFS(Premissas!$D$5:$D$44,Premissas!$A$5:$A$44,$A3061,Premissas!$B$5:$B$44,$B3061))+R3061*SUMIFS(Premissas!$E$5:$E$44,Premissas!$A$5:$A$44,$A3061,Premissas!$B$5:$B$44,$B3061)+S3061*SUMIFS(Premissas!$F$5:$F$44,Premissas!$A$5:$A$44,$A3061,Premissas!$B$5:$B$44,$B3061)</f>
        <v/>
      </c>
      <c r="L3061" s="29">
        <f>J3061-K3061</f>
        <v/>
      </c>
      <c r="M3061" t="inlineStr">
        <is>
          <t>1.350</t>
        </is>
      </c>
      <c r="N3061" t="inlineStr">
        <is>
          <t>Modalidade: 0 - Por conta do remetente | Parte: SDB COMERCIAL LTDA (61.788.399/0001-01)</t>
        </is>
      </c>
      <c r="O3061" s="29" t="n">
        <v>0</v>
      </c>
      <c r="P3061" s="29" t="n">
        <v>0</v>
      </c>
      <c r="Q3061" s="29" t="n">
        <v>0</v>
      </c>
      <c r="R3061" s="29" t="n">
        <v>0</v>
      </c>
      <c r="S3061" s="29" t="n">
        <v>0</v>
      </c>
      <c r="T3061" t="inlineStr">
        <is>
          <t>25260326975620000130570010000065941000010775</t>
        </is>
      </c>
      <c r="U3061" t="inlineStr">
        <is>
          <t>Não</t>
        </is>
      </c>
    </row>
    <row r="3062">
      <c r="A3062" t="inlineStr">
        <is>
          <t>Frete de venda</t>
        </is>
      </c>
      <c r="B3062" t="inlineStr">
        <is>
          <t>2.01.02 Frete sobre Vendas</t>
        </is>
      </c>
      <c r="C3062" s="30" t="n">
        <v>46082</v>
      </c>
      <c r="D3062" t="inlineStr">
        <is>
          <t>Em 2026</t>
        </is>
      </c>
      <c r="E3062" s="28" t="n">
        <v>46097</v>
      </c>
      <c r="F3062" t="inlineStr">
        <is>
          <t>CT-e</t>
        </is>
      </c>
      <c r="G3062" t="inlineStr">
        <is>
          <t>000006595</t>
        </is>
      </c>
      <c r="H3062" t="inlineStr">
        <is>
          <t>R&amp;R TRANSPORTE E LOGISTICA</t>
        </is>
      </c>
      <c r="J3062" s="29" t="n">
        <v>16.23</v>
      </c>
      <c r="K3062" s="29">
        <f>(1-ISNUMBER(SEARCH("556",M3062)))*(O3062*SUMIFS(Premissas!$C$5:$C$44,Premissas!$A$5:$A$44,$A3062,Premissas!$B$5:$B$44,$B3062)+P3062*SUMIFS(Premissas!$D$5:$D$44,Premissas!$A$5:$A$44,$A3062,Premissas!$B$5:$B$44,$B3062))+R3062*SUMIFS(Premissas!$E$5:$E$44,Premissas!$A$5:$A$44,$A3062,Premissas!$B$5:$B$44,$B3062)+S3062*SUMIFS(Premissas!$F$5:$F$44,Premissas!$A$5:$A$44,$A3062,Premissas!$B$5:$B$44,$B3062)</f>
        <v/>
      </c>
      <c r="L3062" s="29">
        <f>J3062-K3062</f>
        <v/>
      </c>
      <c r="M3062" t="inlineStr">
        <is>
          <t>1.350</t>
        </is>
      </c>
      <c r="N3062" t="inlineStr">
        <is>
          <t>Modalidade: 0 - Por conta do remetente | Parte: COMERCIO E REPRESENTACOES BELLATO LTDA (83.215.830/0001-63)</t>
        </is>
      </c>
      <c r="O3062" s="29" t="n">
        <v>0</v>
      </c>
      <c r="P3062" s="29" t="n">
        <v>0</v>
      </c>
      <c r="Q3062" s="29" t="n">
        <v>0</v>
      </c>
      <c r="R3062" s="29" t="n">
        <v>0</v>
      </c>
      <c r="S3062" s="29" t="n">
        <v>0</v>
      </c>
      <c r="T3062" t="inlineStr">
        <is>
          <t>25260326975620000130570010000065951000180856</t>
        </is>
      </c>
      <c r="U3062" t="inlineStr">
        <is>
          <t>Não</t>
        </is>
      </c>
    </row>
    <row r="3063">
      <c r="A3063" t="inlineStr">
        <is>
          <t>Frete de venda</t>
        </is>
      </c>
      <c r="B3063" t="inlineStr">
        <is>
          <t>2.01.02 Frete sobre Vendas</t>
        </is>
      </c>
      <c r="C3063" s="30" t="n">
        <v>46082</v>
      </c>
      <c r="D3063" t="inlineStr">
        <is>
          <t>Em 2026</t>
        </is>
      </c>
      <c r="E3063" s="28" t="n">
        <v>46097</v>
      </c>
      <c r="F3063" t="inlineStr">
        <is>
          <t>CT-e</t>
        </is>
      </c>
      <c r="G3063" t="inlineStr">
        <is>
          <t>000006596</t>
        </is>
      </c>
      <c r="H3063" t="inlineStr">
        <is>
          <t>R&amp;R TRANSPORTE E LOGISTICA</t>
        </is>
      </c>
      <c r="J3063" s="29" t="n">
        <v>15.52</v>
      </c>
      <c r="K3063" s="29">
        <f>(1-ISNUMBER(SEARCH("556",M3063)))*(O3063*SUMIFS(Premissas!$C$5:$C$44,Premissas!$A$5:$A$44,$A3063,Premissas!$B$5:$B$44,$B3063)+P3063*SUMIFS(Premissas!$D$5:$D$44,Premissas!$A$5:$A$44,$A3063,Premissas!$B$5:$B$44,$B3063))+R3063*SUMIFS(Premissas!$E$5:$E$44,Premissas!$A$5:$A$44,$A3063,Premissas!$B$5:$B$44,$B3063)+S3063*SUMIFS(Premissas!$F$5:$F$44,Premissas!$A$5:$A$44,$A3063,Premissas!$B$5:$B$44,$B3063)</f>
        <v/>
      </c>
      <c r="L3063" s="29">
        <f>J3063-K3063</f>
        <v/>
      </c>
      <c r="M3063" t="inlineStr">
        <is>
          <t>1.350</t>
        </is>
      </c>
      <c r="N3063" t="inlineStr">
        <is>
          <t>Modalidade: 0 - Por conta do remetente | Parte: TARCISIO J CIDRAL EMBALAGENS (07.324.834/0001-00)</t>
        </is>
      </c>
      <c r="O3063" s="29" t="n">
        <v>0</v>
      </c>
      <c r="P3063" s="29" t="n">
        <v>0</v>
      </c>
      <c r="Q3063" s="29" t="n">
        <v>0</v>
      </c>
      <c r="R3063" s="29" t="n">
        <v>0</v>
      </c>
      <c r="S3063" s="29" t="n">
        <v>0</v>
      </c>
      <c r="T3063" t="inlineStr">
        <is>
          <t>25260326975620000130570010000065961000150938</t>
        </is>
      </c>
      <c r="U3063" t="inlineStr">
        <is>
          <t>Não</t>
        </is>
      </c>
    </row>
    <row r="3064">
      <c r="A3064" t="inlineStr">
        <is>
          <t>Frete de venda</t>
        </is>
      </c>
      <c r="B3064" t="inlineStr">
        <is>
          <t>2.01.02 Frete sobre Vendas</t>
        </is>
      </c>
      <c r="C3064" s="30" t="n">
        <v>46082</v>
      </c>
      <c r="D3064" t="inlineStr">
        <is>
          <t>Em 2026</t>
        </is>
      </c>
      <c r="E3064" s="28" t="n">
        <v>46097</v>
      </c>
      <c r="F3064" t="inlineStr">
        <is>
          <t>CT-e</t>
        </is>
      </c>
      <c r="G3064" t="inlineStr">
        <is>
          <t>000006597</t>
        </is>
      </c>
      <c r="H3064" t="inlineStr">
        <is>
          <t>R&amp;R TRANSPORTE E LOGISTICA</t>
        </is>
      </c>
      <c r="J3064" s="29" t="n">
        <v>16.13</v>
      </c>
      <c r="K3064" s="29">
        <f>(1-ISNUMBER(SEARCH("556",M3064)))*(O3064*SUMIFS(Premissas!$C$5:$C$44,Premissas!$A$5:$A$44,$A3064,Premissas!$B$5:$B$44,$B3064)+P3064*SUMIFS(Premissas!$D$5:$D$44,Premissas!$A$5:$A$44,$A3064,Premissas!$B$5:$B$44,$B3064))+R3064*SUMIFS(Premissas!$E$5:$E$44,Premissas!$A$5:$A$44,$A3064,Premissas!$B$5:$B$44,$B3064)+S3064*SUMIFS(Premissas!$F$5:$F$44,Premissas!$A$5:$A$44,$A3064,Premissas!$B$5:$B$44,$B3064)</f>
        <v/>
      </c>
      <c r="L3064" s="29">
        <f>J3064-K3064</f>
        <v/>
      </c>
      <c r="M3064" t="inlineStr">
        <is>
          <t>1.350</t>
        </is>
      </c>
      <c r="N3064" t="inlineStr">
        <is>
          <t>Modalidade: 0 - Por conta do remetente | Parte: RP REPRESENTACOES COMERCIAIS LTDA (13.501.357/0001-03)</t>
        </is>
      </c>
      <c r="O3064" s="29" t="n">
        <v>0</v>
      </c>
      <c r="P3064" s="29" t="n">
        <v>0</v>
      </c>
      <c r="Q3064" s="29" t="n">
        <v>0</v>
      </c>
      <c r="R3064" s="29" t="n">
        <v>0</v>
      </c>
      <c r="S3064" s="29" t="n">
        <v>0</v>
      </c>
      <c r="T3064" t="inlineStr">
        <is>
          <t>25260326975620000130570010000065971001201010</t>
        </is>
      </c>
      <c r="U3064" t="inlineStr">
        <is>
          <t>Não</t>
        </is>
      </c>
    </row>
    <row r="3065">
      <c r="A3065" t="inlineStr">
        <is>
          <t>Frete de venda</t>
        </is>
      </c>
      <c r="B3065" t="inlineStr">
        <is>
          <t>2.01.02 Frete sobre Vendas</t>
        </is>
      </c>
      <c r="C3065" s="30" t="n">
        <v>46082</v>
      </c>
      <c r="D3065" t="inlineStr">
        <is>
          <t>Em 2026</t>
        </is>
      </c>
      <c r="E3065" s="28" t="n">
        <v>46097</v>
      </c>
      <c r="F3065" t="inlineStr">
        <is>
          <t>CT-e</t>
        </is>
      </c>
      <c r="G3065" t="inlineStr">
        <is>
          <t>000006598</t>
        </is>
      </c>
      <c r="H3065" t="inlineStr">
        <is>
          <t>R&amp;R TRANSPORTE E LOGISTICA</t>
        </is>
      </c>
      <c r="J3065" s="29" t="n">
        <v>24.98</v>
      </c>
      <c r="K3065" s="29">
        <f>(1-ISNUMBER(SEARCH("556",M3065)))*(O3065*SUMIFS(Premissas!$C$5:$C$44,Premissas!$A$5:$A$44,$A3065,Premissas!$B$5:$B$44,$B3065)+P3065*SUMIFS(Premissas!$D$5:$D$44,Premissas!$A$5:$A$44,$A3065,Premissas!$B$5:$B$44,$B3065))+R3065*SUMIFS(Premissas!$E$5:$E$44,Premissas!$A$5:$A$44,$A3065,Premissas!$B$5:$B$44,$B3065)+S3065*SUMIFS(Premissas!$F$5:$F$44,Premissas!$A$5:$A$44,$A3065,Premissas!$B$5:$B$44,$B3065)</f>
        <v/>
      </c>
      <c r="L3065" s="29">
        <f>J3065-K3065</f>
        <v/>
      </c>
      <c r="M3065" t="inlineStr">
        <is>
          <t>1.350</t>
        </is>
      </c>
      <c r="N3065" t="inlineStr">
        <is>
          <t>Modalidade: 0 - Por conta do remetente | Parte: PARAHIBA EMBALAGENS LTDA (20.436.827/0001-50)</t>
        </is>
      </c>
      <c r="O3065" s="29" t="n">
        <v>0</v>
      </c>
      <c r="P3065" s="29" t="n">
        <v>0</v>
      </c>
      <c r="Q3065" s="29" t="n">
        <v>0</v>
      </c>
      <c r="R3065" s="29" t="n">
        <v>0</v>
      </c>
      <c r="S3065" s="29" t="n">
        <v>0</v>
      </c>
      <c r="T3065" t="inlineStr">
        <is>
          <t>25260326975620000130570010000065981011001097</t>
        </is>
      </c>
      <c r="U3065" t="inlineStr">
        <is>
          <t>Não</t>
        </is>
      </c>
    </row>
    <row r="3066">
      <c r="A3066" t="inlineStr">
        <is>
          <t>Frete de venda</t>
        </is>
      </c>
      <c r="B3066" t="inlineStr">
        <is>
          <t>2.01.02 Frete sobre Vendas</t>
        </is>
      </c>
      <c r="C3066" s="30" t="n">
        <v>46082</v>
      </c>
      <c r="D3066" t="inlineStr">
        <is>
          <t>Em 2026</t>
        </is>
      </c>
      <c r="E3066" s="28" t="n">
        <v>46097</v>
      </c>
      <c r="F3066" t="inlineStr">
        <is>
          <t>CT-e</t>
        </is>
      </c>
      <c r="G3066" t="inlineStr">
        <is>
          <t>000006599</t>
        </is>
      </c>
      <c r="H3066" t="inlineStr">
        <is>
          <t>R&amp;R TRANSPORTE E LOGISTICA</t>
        </is>
      </c>
      <c r="J3066" s="29" t="n">
        <v>17.43</v>
      </c>
      <c r="K3066" s="29">
        <f>(1-ISNUMBER(SEARCH("556",M3066)))*(O3066*SUMIFS(Premissas!$C$5:$C$44,Premissas!$A$5:$A$44,$A3066,Premissas!$B$5:$B$44,$B3066)+P3066*SUMIFS(Premissas!$D$5:$D$44,Premissas!$A$5:$A$44,$A3066,Premissas!$B$5:$B$44,$B3066))+R3066*SUMIFS(Premissas!$E$5:$E$44,Premissas!$A$5:$A$44,$A3066,Premissas!$B$5:$B$44,$B3066)+S3066*SUMIFS(Premissas!$F$5:$F$44,Premissas!$A$5:$A$44,$A3066,Premissas!$B$5:$B$44,$B3066)</f>
        <v/>
      </c>
      <c r="L3066" s="29">
        <f>J3066-K3066</f>
        <v/>
      </c>
      <c r="M3066" t="inlineStr">
        <is>
          <t>1.350</t>
        </is>
      </c>
      <c r="N3066" t="inlineStr">
        <is>
          <t>Modalidade: 0 - Por conta do remetente | Parte: EMBRULHE EMBALAGENS BRUSQUE LTDA (03.686.059/0001-73)</t>
        </is>
      </c>
      <c r="O3066" s="29" t="n">
        <v>0</v>
      </c>
      <c r="P3066" s="29" t="n">
        <v>0</v>
      </c>
      <c r="Q3066" s="29" t="n">
        <v>0</v>
      </c>
      <c r="R3066" s="29" t="n">
        <v>0</v>
      </c>
      <c r="S3066" s="29" t="n">
        <v>0</v>
      </c>
      <c r="T3066" t="inlineStr">
        <is>
          <t>25260326975620000130570010000065991001701174</t>
        </is>
      </c>
      <c r="U3066" t="inlineStr">
        <is>
          <t>Não</t>
        </is>
      </c>
    </row>
    <row r="3067">
      <c r="A3067" t="inlineStr">
        <is>
          <t>Frete de venda</t>
        </is>
      </c>
      <c r="B3067" t="inlineStr">
        <is>
          <t>2.01.02 Frete sobre Vendas</t>
        </is>
      </c>
      <c r="C3067" s="30" t="n">
        <v>46082</v>
      </c>
      <c r="D3067" t="inlineStr">
        <is>
          <t>Em 2026</t>
        </is>
      </c>
      <c r="E3067" s="28" t="n">
        <v>46097</v>
      </c>
      <c r="F3067" t="inlineStr">
        <is>
          <t>CT-e</t>
        </is>
      </c>
      <c r="G3067" t="inlineStr">
        <is>
          <t>000006600</t>
        </is>
      </c>
      <c r="H3067" t="inlineStr">
        <is>
          <t>R&amp;R TRANSPORTE E LOGISTICA</t>
        </is>
      </c>
      <c r="J3067" s="29" t="n">
        <v>23.16</v>
      </c>
      <c r="K3067" s="29">
        <f>(1-ISNUMBER(SEARCH("556",M3067)))*(O3067*SUMIFS(Premissas!$C$5:$C$44,Premissas!$A$5:$A$44,$A3067,Premissas!$B$5:$B$44,$B3067)+P3067*SUMIFS(Premissas!$D$5:$D$44,Premissas!$A$5:$A$44,$A3067,Premissas!$B$5:$B$44,$B3067))+R3067*SUMIFS(Premissas!$E$5:$E$44,Premissas!$A$5:$A$44,$A3067,Premissas!$B$5:$B$44,$B3067)+S3067*SUMIFS(Premissas!$F$5:$F$44,Premissas!$A$5:$A$44,$A3067,Premissas!$B$5:$B$44,$B3067)</f>
        <v/>
      </c>
      <c r="L3067" s="29">
        <f>J3067-K3067</f>
        <v/>
      </c>
      <c r="M3067" t="inlineStr">
        <is>
          <t>1.350</t>
        </is>
      </c>
      <c r="N3067" t="inlineStr">
        <is>
          <t>Modalidade: 0 - Por conta do remetente | Parte: RODRIGO BOAVENTURA ROSA e CIA LTDA (07.254.164/0001-94)</t>
        </is>
      </c>
      <c r="O3067" s="29" t="n">
        <v>0</v>
      </c>
      <c r="P3067" s="29" t="n">
        <v>0</v>
      </c>
      <c r="Q3067" s="29" t="n">
        <v>0</v>
      </c>
      <c r="R3067" s="29" t="n">
        <v>0</v>
      </c>
      <c r="S3067" s="29" t="n">
        <v>0</v>
      </c>
      <c r="T3067" t="inlineStr">
        <is>
          <t>25260326975620000130570010000066001000180521</t>
        </is>
      </c>
      <c r="U3067" t="inlineStr">
        <is>
          <t>Não</t>
        </is>
      </c>
    </row>
    <row r="3068">
      <c r="A3068" t="inlineStr">
        <is>
          <t>Frete de venda</t>
        </is>
      </c>
      <c r="B3068" t="inlineStr">
        <is>
          <t>2.01.02 Frete sobre Vendas</t>
        </is>
      </c>
      <c r="C3068" s="30" t="n">
        <v>46082</v>
      </c>
      <c r="D3068" t="inlineStr">
        <is>
          <t>Em 2026</t>
        </is>
      </c>
      <c r="E3068" s="28" t="n">
        <v>46097</v>
      </c>
      <c r="F3068" t="inlineStr">
        <is>
          <t>CT-e</t>
        </is>
      </c>
      <c r="G3068" t="inlineStr">
        <is>
          <t>000006601</t>
        </is>
      </c>
      <c r="H3068" t="inlineStr">
        <is>
          <t>R&amp;R TRANSPORTE E LOGISTICA</t>
        </is>
      </c>
      <c r="J3068" s="29" t="n">
        <v>36</v>
      </c>
      <c r="K3068" s="29">
        <f>(1-ISNUMBER(SEARCH("556",M3068)))*(O3068*SUMIFS(Premissas!$C$5:$C$44,Premissas!$A$5:$A$44,$A3068,Premissas!$B$5:$B$44,$B3068)+P3068*SUMIFS(Premissas!$D$5:$D$44,Premissas!$A$5:$A$44,$A3068,Premissas!$B$5:$B$44,$B3068))+R3068*SUMIFS(Premissas!$E$5:$E$44,Premissas!$A$5:$A$44,$A3068,Premissas!$B$5:$B$44,$B3068)+S3068*SUMIFS(Premissas!$F$5:$F$44,Premissas!$A$5:$A$44,$A3068,Premissas!$B$5:$B$44,$B3068)</f>
        <v/>
      </c>
      <c r="L3068" s="29">
        <f>J3068-K3068</f>
        <v/>
      </c>
      <c r="M3068" t="inlineStr">
        <is>
          <t>1.350</t>
        </is>
      </c>
      <c r="N3068" t="inlineStr">
        <is>
          <t>Modalidade: 0 - Por conta do remetente | Parte: BEV DISTRIBUIDORA LTDA (54.949.786/0001-17)</t>
        </is>
      </c>
      <c r="O3068" s="29" t="n">
        <v>0</v>
      </c>
      <c r="P3068" s="29" t="n">
        <v>0</v>
      </c>
      <c r="Q3068" s="29" t="n">
        <v>0</v>
      </c>
      <c r="R3068" s="29" t="n">
        <v>0</v>
      </c>
      <c r="S3068" s="29" t="n">
        <v>0</v>
      </c>
      <c r="T3068" t="inlineStr">
        <is>
          <t>25260326975620000130570010000066011000150603</t>
        </is>
      </c>
      <c r="U3068" t="inlineStr">
        <is>
          <t>Não</t>
        </is>
      </c>
    </row>
    <row r="3069">
      <c r="A3069" t="inlineStr">
        <is>
          <t>Frete de venda</t>
        </is>
      </c>
      <c r="B3069" t="inlineStr">
        <is>
          <t>2.01.02 Frete sobre Vendas</t>
        </is>
      </c>
      <c r="C3069" s="30" t="n">
        <v>46082</v>
      </c>
      <c r="D3069" t="inlineStr">
        <is>
          <t>Em 2026</t>
        </is>
      </c>
      <c r="E3069" s="28" t="n">
        <v>46097</v>
      </c>
      <c r="F3069" t="inlineStr">
        <is>
          <t>CT-e</t>
        </is>
      </c>
      <c r="G3069" t="inlineStr">
        <is>
          <t>000006602</t>
        </is>
      </c>
      <c r="H3069" t="inlineStr">
        <is>
          <t>R&amp;R TRANSPORTE E LOGISTICA</t>
        </is>
      </c>
      <c r="J3069" s="29" t="n">
        <v>19.55</v>
      </c>
      <c r="K3069" s="29">
        <f>(1-ISNUMBER(SEARCH("556",M3069)))*(O3069*SUMIFS(Premissas!$C$5:$C$44,Premissas!$A$5:$A$44,$A3069,Premissas!$B$5:$B$44,$B3069)+P3069*SUMIFS(Premissas!$D$5:$D$44,Premissas!$A$5:$A$44,$A3069,Premissas!$B$5:$B$44,$B3069))+R3069*SUMIFS(Premissas!$E$5:$E$44,Premissas!$A$5:$A$44,$A3069,Premissas!$B$5:$B$44,$B3069)+S3069*SUMIFS(Premissas!$F$5:$F$44,Premissas!$A$5:$A$44,$A3069,Premissas!$B$5:$B$44,$B3069)</f>
        <v/>
      </c>
      <c r="L3069" s="29">
        <f>J3069-K3069</f>
        <v/>
      </c>
      <c r="M3069" t="inlineStr">
        <is>
          <t>1.350</t>
        </is>
      </c>
      <c r="N3069" t="inlineStr">
        <is>
          <t>Modalidade: 0 - Por conta do remetente | Parte: AVANCINI e JONAS LTDA (33.110.993/0001-03)</t>
        </is>
      </c>
      <c r="O3069" s="29" t="n">
        <v>0</v>
      </c>
      <c r="P3069" s="29" t="n">
        <v>0</v>
      </c>
      <c r="Q3069" s="29" t="n">
        <v>0</v>
      </c>
      <c r="R3069" s="29" t="n">
        <v>0</v>
      </c>
      <c r="S3069" s="29" t="n">
        <v>0</v>
      </c>
      <c r="T3069" t="inlineStr">
        <is>
          <t>25260326975620000130570010000066021000120680</t>
        </is>
      </c>
      <c r="U3069" t="inlineStr">
        <is>
          <t>Não</t>
        </is>
      </c>
    </row>
    <row r="3070">
      <c r="A3070" t="inlineStr">
        <is>
          <t>Frete de venda</t>
        </is>
      </c>
      <c r="B3070" t="inlineStr">
        <is>
          <t>2.01.02 Frete sobre Vendas</t>
        </is>
      </c>
      <c r="C3070" s="30" t="n">
        <v>46082</v>
      </c>
      <c r="D3070" t="inlineStr">
        <is>
          <t>Em 2026</t>
        </is>
      </c>
      <c r="E3070" s="28" t="n">
        <v>46097</v>
      </c>
      <c r="F3070" t="inlineStr">
        <is>
          <t>CT-e</t>
        </is>
      </c>
      <c r="G3070" t="inlineStr">
        <is>
          <t>000006603</t>
        </is>
      </c>
      <c r="H3070" t="inlineStr">
        <is>
          <t>R&amp;R TRANSPORTE E LOGISTICA</t>
        </is>
      </c>
      <c r="J3070" s="29" t="n">
        <v>12.27</v>
      </c>
      <c r="K3070" s="29">
        <f>(1-ISNUMBER(SEARCH("556",M3070)))*(O3070*SUMIFS(Premissas!$C$5:$C$44,Premissas!$A$5:$A$44,$A3070,Premissas!$B$5:$B$44,$B3070)+P3070*SUMIFS(Premissas!$D$5:$D$44,Premissas!$A$5:$A$44,$A3070,Premissas!$B$5:$B$44,$B3070))+R3070*SUMIFS(Premissas!$E$5:$E$44,Premissas!$A$5:$A$44,$A3070,Premissas!$B$5:$B$44,$B3070)+S3070*SUMIFS(Premissas!$F$5:$F$44,Premissas!$A$5:$A$44,$A3070,Premissas!$B$5:$B$44,$B3070)</f>
        <v/>
      </c>
      <c r="L3070" s="29">
        <f>J3070-K3070</f>
        <v/>
      </c>
      <c r="M3070" t="inlineStr">
        <is>
          <t>1.350</t>
        </is>
      </c>
      <c r="N3070" t="inlineStr">
        <is>
          <t>Modalidade: 0 - Por conta do remetente | Parte: KIMURA E CANTO LTDA (38.392.308/0002-83)</t>
        </is>
      </c>
      <c r="O3070" s="29" t="n">
        <v>0</v>
      </c>
      <c r="P3070" s="29" t="n">
        <v>0</v>
      </c>
      <c r="Q3070" s="29" t="n">
        <v>0</v>
      </c>
      <c r="R3070" s="29" t="n">
        <v>0</v>
      </c>
      <c r="S3070" s="29" t="n">
        <v>0</v>
      </c>
      <c r="T3070" t="inlineStr">
        <is>
          <t>25260326975620000130570010000066031001100760</t>
        </is>
      </c>
      <c r="U3070" t="inlineStr">
        <is>
          <t>Não</t>
        </is>
      </c>
    </row>
    <row r="3071">
      <c r="A3071" t="inlineStr">
        <is>
          <t>Frete de venda</t>
        </is>
      </c>
      <c r="B3071" t="inlineStr">
        <is>
          <t>2.01.02 Frete sobre Vendas</t>
        </is>
      </c>
      <c r="C3071" s="30" t="n">
        <v>46082</v>
      </c>
      <c r="D3071" t="inlineStr">
        <is>
          <t>Em 2026</t>
        </is>
      </c>
      <c r="E3071" s="28" t="n">
        <v>46097</v>
      </c>
      <c r="F3071" t="inlineStr">
        <is>
          <t>CT-e</t>
        </is>
      </c>
      <c r="G3071" t="inlineStr">
        <is>
          <t>000006604</t>
        </is>
      </c>
      <c r="H3071" t="inlineStr">
        <is>
          <t>R&amp;R TRANSPORTE E LOGISTICA</t>
        </is>
      </c>
      <c r="J3071" s="29" t="n">
        <v>16.94</v>
      </c>
      <c r="K3071" s="29">
        <f>(1-ISNUMBER(SEARCH("556",M3071)))*(O3071*SUMIFS(Premissas!$C$5:$C$44,Premissas!$A$5:$A$44,$A3071,Premissas!$B$5:$B$44,$B3071)+P3071*SUMIFS(Premissas!$D$5:$D$44,Premissas!$A$5:$A$44,$A3071,Premissas!$B$5:$B$44,$B3071))+R3071*SUMIFS(Premissas!$E$5:$E$44,Premissas!$A$5:$A$44,$A3071,Premissas!$B$5:$B$44,$B3071)+S3071*SUMIFS(Premissas!$F$5:$F$44,Premissas!$A$5:$A$44,$A3071,Premissas!$B$5:$B$44,$B3071)</f>
        <v/>
      </c>
      <c r="L3071" s="29">
        <f>J3071-K3071</f>
        <v/>
      </c>
      <c r="M3071" t="inlineStr">
        <is>
          <t>1.350</t>
        </is>
      </c>
      <c r="N3071" t="inlineStr">
        <is>
          <t>Modalidade: 0 - Por conta do remetente | Parte: MOYSA COMERCIO DE EMBALAGENS PLASTICAS LTDA (79.201.935/0001-96)</t>
        </is>
      </c>
      <c r="O3071" s="29" t="n">
        <v>0</v>
      </c>
      <c r="P3071" s="29" t="n">
        <v>0</v>
      </c>
      <c r="Q3071" s="29" t="n">
        <v>0</v>
      </c>
      <c r="R3071" s="29" t="n">
        <v>0</v>
      </c>
      <c r="S3071" s="29" t="n">
        <v>0</v>
      </c>
      <c r="T3071" t="inlineStr">
        <is>
          <t>25260326975620000130570010000066041000170843</t>
        </is>
      </c>
      <c r="U3071" t="inlineStr">
        <is>
          <t>Não</t>
        </is>
      </c>
    </row>
    <row r="3072">
      <c r="A3072" t="inlineStr">
        <is>
          <t>Frete de venda</t>
        </is>
      </c>
      <c r="B3072" t="inlineStr">
        <is>
          <t>2.01.02 Frete sobre Vendas</t>
        </is>
      </c>
      <c r="C3072" s="30" t="n">
        <v>46082</v>
      </c>
      <c r="D3072" t="inlineStr">
        <is>
          <t>Em 2026</t>
        </is>
      </c>
      <c r="E3072" s="28" t="n">
        <v>46097</v>
      </c>
      <c r="F3072" t="inlineStr">
        <is>
          <t>CT-e</t>
        </is>
      </c>
      <c r="G3072" t="inlineStr">
        <is>
          <t>000006605</t>
        </is>
      </c>
      <c r="H3072" t="inlineStr">
        <is>
          <t>R&amp;R TRANSPORTE E LOGISTICA</t>
        </is>
      </c>
      <c r="J3072" s="29" t="n">
        <v>12.42</v>
      </c>
      <c r="K3072" s="29">
        <f>(1-ISNUMBER(SEARCH("556",M3072)))*(O3072*SUMIFS(Premissas!$C$5:$C$44,Premissas!$A$5:$A$44,$A3072,Premissas!$B$5:$B$44,$B3072)+P3072*SUMIFS(Premissas!$D$5:$D$44,Premissas!$A$5:$A$44,$A3072,Premissas!$B$5:$B$44,$B3072))+R3072*SUMIFS(Premissas!$E$5:$E$44,Premissas!$A$5:$A$44,$A3072,Premissas!$B$5:$B$44,$B3072)+S3072*SUMIFS(Premissas!$F$5:$F$44,Premissas!$A$5:$A$44,$A3072,Premissas!$B$5:$B$44,$B3072)</f>
        <v/>
      </c>
      <c r="L3072" s="29">
        <f>J3072-K3072</f>
        <v/>
      </c>
      <c r="M3072" t="inlineStr">
        <is>
          <t>1.350</t>
        </is>
      </c>
      <c r="N3072" t="inlineStr">
        <is>
          <t>Modalidade: 0 - Por conta do remetente | Parte: MERCADO LEONEL LTDA - EPP (82.008.087/0001-08)</t>
        </is>
      </c>
      <c r="O3072" s="29" t="n">
        <v>0</v>
      </c>
      <c r="P3072" s="29" t="n">
        <v>0</v>
      </c>
      <c r="Q3072" s="29" t="n">
        <v>0</v>
      </c>
      <c r="R3072" s="29" t="n">
        <v>0</v>
      </c>
      <c r="S3072" s="29" t="n">
        <v>0</v>
      </c>
      <c r="T3072" t="inlineStr">
        <is>
          <t>25260326975620000130570010000066051000140925</t>
        </is>
      </c>
      <c r="U3072" t="inlineStr">
        <is>
          <t>Não</t>
        </is>
      </c>
    </row>
    <row r="3073">
      <c r="A3073" t="inlineStr">
        <is>
          <t>Frete de venda</t>
        </is>
      </c>
      <c r="B3073" t="inlineStr">
        <is>
          <t>2.01.02 Frete sobre Vendas</t>
        </is>
      </c>
      <c r="C3073" s="30" t="n">
        <v>46082</v>
      </c>
      <c r="D3073" t="inlineStr">
        <is>
          <t>Em 2026</t>
        </is>
      </c>
      <c r="E3073" s="28" t="n">
        <v>46097</v>
      </c>
      <c r="F3073" t="inlineStr">
        <is>
          <t>CT-e</t>
        </is>
      </c>
      <c r="G3073" t="inlineStr">
        <is>
          <t>000006606</t>
        </is>
      </c>
      <c r="H3073" t="inlineStr">
        <is>
          <t>R&amp;R TRANSPORTE E LOGISTICA</t>
        </is>
      </c>
      <c r="J3073" s="29" t="n">
        <v>26.96</v>
      </c>
      <c r="K3073" s="29">
        <f>(1-ISNUMBER(SEARCH("556",M3073)))*(O3073*SUMIFS(Premissas!$C$5:$C$44,Premissas!$A$5:$A$44,$A3073,Premissas!$B$5:$B$44,$B3073)+P3073*SUMIFS(Premissas!$D$5:$D$44,Premissas!$A$5:$A$44,$A3073,Premissas!$B$5:$B$44,$B3073))+R3073*SUMIFS(Premissas!$E$5:$E$44,Premissas!$A$5:$A$44,$A3073,Premissas!$B$5:$B$44,$B3073)+S3073*SUMIFS(Premissas!$F$5:$F$44,Premissas!$A$5:$A$44,$A3073,Premissas!$B$5:$B$44,$B3073)</f>
        <v/>
      </c>
      <c r="L3073" s="29">
        <f>J3073-K3073</f>
        <v/>
      </c>
      <c r="M3073" t="inlineStr">
        <is>
          <t>1.350</t>
        </is>
      </c>
      <c r="N3073" t="inlineStr">
        <is>
          <t>Modalidade: 0 - Por conta do remetente | Parte: MEIRE F. P. LOURENCO (11.719.420/0001-49)</t>
        </is>
      </c>
      <c r="O3073" s="29" t="n">
        <v>0</v>
      </c>
      <c r="P3073" s="29" t="n">
        <v>0</v>
      </c>
      <c r="Q3073" s="29" t="n">
        <v>0</v>
      </c>
      <c r="R3073" s="29" t="n">
        <v>0</v>
      </c>
      <c r="S3073" s="29" t="n">
        <v>0</v>
      </c>
      <c r="T3073" t="inlineStr">
        <is>
          <t>25260326975620000130570010000066061001101009</t>
        </is>
      </c>
      <c r="U3073" t="inlineStr">
        <is>
          <t>Não</t>
        </is>
      </c>
    </row>
    <row r="3074">
      <c r="A3074" t="inlineStr">
        <is>
          <t>Frete de venda</t>
        </is>
      </c>
      <c r="B3074" t="inlineStr">
        <is>
          <t>2.01.02 Frete sobre Vendas</t>
        </is>
      </c>
      <c r="C3074" s="30" t="n">
        <v>46082</v>
      </c>
      <c r="D3074" t="inlineStr">
        <is>
          <t>Em 2026</t>
        </is>
      </c>
      <c r="E3074" s="28" t="n">
        <v>46097</v>
      </c>
      <c r="F3074" t="inlineStr">
        <is>
          <t>CT-e</t>
        </is>
      </c>
      <c r="G3074" t="inlineStr">
        <is>
          <t>000006607</t>
        </is>
      </c>
      <c r="H3074" t="inlineStr">
        <is>
          <t>R&amp;R TRANSPORTE E LOGISTICA</t>
        </is>
      </c>
      <c r="J3074" s="29" t="n">
        <v>21.5</v>
      </c>
      <c r="K3074" s="29">
        <f>(1-ISNUMBER(SEARCH("556",M3074)))*(O3074*SUMIFS(Premissas!$C$5:$C$44,Premissas!$A$5:$A$44,$A3074,Premissas!$B$5:$B$44,$B3074)+P3074*SUMIFS(Premissas!$D$5:$D$44,Premissas!$A$5:$A$44,$A3074,Premissas!$B$5:$B$44,$B3074))+R3074*SUMIFS(Premissas!$E$5:$E$44,Premissas!$A$5:$A$44,$A3074,Premissas!$B$5:$B$44,$B3074)+S3074*SUMIFS(Premissas!$F$5:$F$44,Premissas!$A$5:$A$44,$A3074,Premissas!$B$5:$B$44,$B3074)</f>
        <v/>
      </c>
      <c r="L3074" s="29">
        <f>J3074-K3074</f>
        <v/>
      </c>
      <c r="M3074" t="inlineStr">
        <is>
          <t>1.350</t>
        </is>
      </c>
      <c r="N3074" t="inlineStr">
        <is>
          <t>Modalidade: 0 - Por conta do remetente | Parte: BEBIFRIOS COMERCIAL LTDA (05.796.195/0001-41)</t>
        </is>
      </c>
      <c r="O3074" s="29" t="n">
        <v>0</v>
      </c>
      <c r="P3074" s="29" t="n">
        <v>0</v>
      </c>
      <c r="Q3074" s="29" t="n">
        <v>0</v>
      </c>
      <c r="R3074" s="29" t="n">
        <v>0</v>
      </c>
      <c r="S3074" s="29" t="n">
        <v>0</v>
      </c>
      <c r="T3074" t="inlineStr">
        <is>
          <t>25260326975620000130570010000066071001901088</t>
        </is>
      </c>
      <c r="U3074" t="inlineStr">
        <is>
          <t>Não</t>
        </is>
      </c>
    </row>
    <row r="3075">
      <c r="A3075" t="inlineStr">
        <is>
          <t>Frete de venda</t>
        </is>
      </c>
      <c r="B3075" t="inlineStr">
        <is>
          <t>2.01.02 Frete sobre Vendas</t>
        </is>
      </c>
      <c r="C3075" s="30" t="n">
        <v>46082</v>
      </c>
      <c r="D3075" t="inlineStr">
        <is>
          <t>Em 2026</t>
        </is>
      </c>
      <c r="E3075" s="28" t="n">
        <v>46097</v>
      </c>
      <c r="F3075" t="inlineStr">
        <is>
          <t>CT-e</t>
        </is>
      </c>
      <c r="G3075" t="inlineStr">
        <is>
          <t>000006608</t>
        </is>
      </c>
      <c r="H3075" t="inlineStr">
        <is>
          <t>R&amp;R TRANSPORTE E LOGISTICA</t>
        </is>
      </c>
      <c r="J3075" s="29" t="n">
        <v>26.16</v>
      </c>
      <c r="K3075" s="29">
        <f>(1-ISNUMBER(SEARCH("556",M3075)))*(O3075*SUMIFS(Premissas!$C$5:$C$44,Premissas!$A$5:$A$44,$A3075,Premissas!$B$5:$B$44,$B3075)+P3075*SUMIFS(Premissas!$D$5:$D$44,Premissas!$A$5:$A$44,$A3075,Premissas!$B$5:$B$44,$B3075))+R3075*SUMIFS(Premissas!$E$5:$E$44,Premissas!$A$5:$A$44,$A3075,Premissas!$B$5:$B$44,$B3075)+S3075*SUMIFS(Premissas!$F$5:$F$44,Premissas!$A$5:$A$44,$A3075,Premissas!$B$5:$B$44,$B3075)</f>
        <v/>
      </c>
      <c r="L3075" s="29">
        <f>J3075-K3075</f>
        <v/>
      </c>
      <c r="M3075" t="inlineStr">
        <is>
          <t>1.350</t>
        </is>
      </c>
      <c r="N3075" t="inlineStr">
        <is>
          <t>Modalidade: 0 - Por conta do remetente | Parte: FAT GUYS FOOD LTDA (59.997.027/0001-43)</t>
        </is>
      </c>
      <c r="O3075" s="29" t="n">
        <v>0</v>
      </c>
      <c r="P3075" s="29" t="n">
        <v>0</v>
      </c>
      <c r="Q3075" s="29" t="n">
        <v>0</v>
      </c>
      <c r="R3075" s="29" t="n">
        <v>0</v>
      </c>
      <c r="S3075" s="29" t="n">
        <v>0</v>
      </c>
      <c r="T3075" t="inlineStr">
        <is>
          <t>25260326975620000130570010000066081001601162</t>
        </is>
      </c>
      <c r="U3075" t="inlineStr">
        <is>
          <t>Não</t>
        </is>
      </c>
    </row>
    <row r="3076">
      <c r="A3076" t="inlineStr">
        <is>
          <t>Frete de venda</t>
        </is>
      </c>
      <c r="B3076" t="inlineStr">
        <is>
          <t>2.01.02 Frete sobre Vendas</t>
        </is>
      </c>
      <c r="C3076" s="30" t="n">
        <v>46082</v>
      </c>
      <c r="D3076" t="inlineStr">
        <is>
          <t>Em 2026</t>
        </is>
      </c>
      <c r="E3076" s="28" t="n">
        <v>46097</v>
      </c>
      <c r="F3076" t="inlineStr">
        <is>
          <t>CT-e</t>
        </is>
      </c>
      <c r="G3076" t="inlineStr">
        <is>
          <t>000006609</t>
        </is>
      </c>
      <c r="H3076" t="inlineStr">
        <is>
          <t>R&amp;R TRANSPORTE E LOGISTICA</t>
        </is>
      </c>
      <c r="J3076" s="29" t="n">
        <v>23.67</v>
      </c>
      <c r="K3076" s="29">
        <f>(1-ISNUMBER(SEARCH("556",M3076)))*(O3076*SUMIFS(Premissas!$C$5:$C$44,Premissas!$A$5:$A$44,$A3076,Premissas!$B$5:$B$44,$B3076)+P3076*SUMIFS(Premissas!$D$5:$D$44,Premissas!$A$5:$A$44,$A3076,Premissas!$B$5:$B$44,$B3076))+R3076*SUMIFS(Premissas!$E$5:$E$44,Premissas!$A$5:$A$44,$A3076,Premissas!$B$5:$B$44,$B3076)+S3076*SUMIFS(Premissas!$F$5:$F$44,Premissas!$A$5:$A$44,$A3076,Premissas!$B$5:$B$44,$B3076)</f>
        <v/>
      </c>
      <c r="L3076" s="29">
        <f>J3076-K3076</f>
        <v/>
      </c>
      <c r="M3076" t="inlineStr">
        <is>
          <t>1.350</t>
        </is>
      </c>
      <c r="N3076" t="inlineStr">
        <is>
          <t>Modalidade: 0 - Por conta do remetente | Parte: FRIOSETE COMERCIO DE FRIOS LTDA (97.426.472/0001-42)</t>
        </is>
      </c>
      <c r="O3076" s="29" t="n">
        <v>0</v>
      </c>
      <c r="P3076" s="29" t="n">
        <v>0</v>
      </c>
      <c r="Q3076" s="29" t="n">
        <v>0</v>
      </c>
      <c r="R3076" s="29" t="n">
        <v>0</v>
      </c>
      <c r="S3076" s="29" t="n">
        <v>0</v>
      </c>
      <c r="T3076" t="inlineStr">
        <is>
          <t>25260326975620000130570010000066091001301247</t>
        </is>
      </c>
      <c r="U3076" t="inlineStr">
        <is>
          <t>Não</t>
        </is>
      </c>
    </row>
    <row r="3077">
      <c r="A3077" t="inlineStr">
        <is>
          <t>Frete de venda</t>
        </is>
      </c>
      <c r="B3077" t="inlineStr">
        <is>
          <t>2.01.02 Frete sobre Vendas</t>
        </is>
      </c>
      <c r="C3077" s="30" t="n">
        <v>46082</v>
      </c>
      <c r="D3077" t="inlineStr">
        <is>
          <t>Em 2026</t>
        </is>
      </c>
      <c r="E3077" s="28" t="n">
        <v>46097</v>
      </c>
      <c r="F3077" t="inlineStr">
        <is>
          <t>CT-e</t>
        </is>
      </c>
      <c r="G3077" t="inlineStr">
        <is>
          <t>000006610</t>
        </is>
      </c>
      <c r="H3077" t="inlineStr">
        <is>
          <t>R&amp;R TRANSPORTE E LOGISTICA</t>
        </is>
      </c>
      <c r="J3077" s="29" t="n">
        <v>53.66</v>
      </c>
      <c r="K3077" s="29">
        <f>(1-ISNUMBER(SEARCH("556",M3077)))*(O3077*SUMIFS(Premissas!$C$5:$C$44,Premissas!$A$5:$A$44,$A3077,Premissas!$B$5:$B$44,$B3077)+P3077*SUMIFS(Premissas!$D$5:$D$44,Premissas!$A$5:$A$44,$A3077,Premissas!$B$5:$B$44,$B3077))+R3077*SUMIFS(Premissas!$E$5:$E$44,Premissas!$A$5:$A$44,$A3077,Premissas!$B$5:$B$44,$B3077)+S3077*SUMIFS(Premissas!$F$5:$F$44,Premissas!$A$5:$A$44,$A3077,Premissas!$B$5:$B$44,$B3077)</f>
        <v/>
      </c>
      <c r="L3077" s="29">
        <f>J3077-K3077</f>
        <v/>
      </c>
      <c r="M3077" t="inlineStr">
        <is>
          <t>1.350</t>
        </is>
      </c>
      <c r="N3077" t="inlineStr">
        <is>
          <t>Modalidade: 0 - Por conta do remetente | Parte: MASS COMERCIO DE EMBALAGENS LTDA (24.396.854/0001-05)</t>
        </is>
      </c>
      <c r="O3077" s="29" t="n">
        <v>0</v>
      </c>
      <c r="P3077" s="29" t="n">
        <v>0</v>
      </c>
      <c r="Q3077" s="29" t="n">
        <v>0</v>
      </c>
      <c r="R3077" s="29" t="n">
        <v>0</v>
      </c>
      <c r="S3077" s="29" t="n">
        <v>0</v>
      </c>
      <c r="T3077" t="inlineStr">
        <is>
          <t>25260326975620000130570010000066101000140593</t>
        </is>
      </c>
      <c r="U3077" t="inlineStr">
        <is>
          <t>Não</t>
        </is>
      </c>
    </row>
    <row r="3078">
      <c r="A3078" t="inlineStr">
        <is>
          <t>Frete de venda</t>
        </is>
      </c>
      <c r="B3078" t="inlineStr">
        <is>
          <t>2.01.02 Frete sobre Vendas</t>
        </is>
      </c>
      <c r="C3078" s="30" t="n">
        <v>46082</v>
      </c>
      <c r="D3078" t="inlineStr">
        <is>
          <t>Em 2026</t>
        </is>
      </c>
      <c r="E3078" s="28" t="n">
        <v>46097</v>
      </c>
      <c r="F3078" t="inlineStr">
        <is>
          <t>CT-e</t>
        </is>
      </c>
      <c r="G3078" t="inlineStr">
        <is>
          <t>000006611</t>
        </is>
      </c>
      <c r="H3078" t="inlineStr">
        <is>
          <t>R&amp;R TRANSPORTE E LOGISTICA</t>
        </is>
      </c>
      <c r="J3078" s="29" t="n">
        <v>23.82</v>
      </c>
      <c r="K3078" s="29">
        <f>(1-ISNUMBER(SEARCH("556",M3078)))*(O3078*SUMIFS(Premissas!$C$5:$C$44,Premissas!$A$5:$A$44,$A3078,Premissas!$B$5:$B$44,$B3078)+P3078*SUMIFS(Premissas!$D$5:$D$44,Premissas!$A$5:$A$44,$A3078,Premissas!$B$5:$B$44,$B3078))+R3078*SUMIFS(Premissas!$E$5:$E$44,Premissas!$A$5:$A$44,$A3078,Premissas!$B$5:$B$44,$B3078)+S3078*SUMIFS(Premissas!$F$5:$F$44,Premissas!$A$5:$A$44,$A3078,Premissas!$B$5:$B$44,$B3078)</f>
        <v/>
      </c>
      <c r="L3078" s="29">
        <f>J3078-K3078</f>
        <v/>
      </c>
      <c r="M3078" t="inlineStr">
        <is>
          <t>1.350</t>
        </is>
      </c>
      <c r="N3078" t="inlineStr">
        <is>
          <t>Modalidade: 0 - Por conta do remetente | Parte: MARECO SCHNEIDER COMERCIO DE EMBALAGENS LTDA (19.221.172/0001-13)</t>
        </is>
      </c>
      <c r="O3078" s="29" t="n">
        <v>0</v>
      </c>
      <c r="P3078" s="29" t="n">
        <v>0</v>
      </c>
      <c r="Q3078" s="29" t="n">
        <v>0</v>
      </c>
      <c r="R3078" s="29" t="n">
        <v>0</v>
      </c>
      <c r="S3078" s="29" t="n">
        <v>0</v>
      </c>
      <c r="T3078" t="inlineStr">
        <is>
          <t>25260326975620000130570010000066111000110675</t>
        </is>
      </c>
      <c r="U3078" t="inlineStr">
        <is>
          <t>Não</t>
        </is>
      </c>
    </row>
    <row r="3079">
      <c r="A3079" t="inlineStr">
        <is>
          <t>Frete de venda</t>
        </is>
      </c>
      <c r="B3079" t="inlineStr">
        <is>
          <t>2.01.02 Frete sobre Vendas</t>
        </is>
      </c>
      <c r="C3079" s="30" t="n">
        <v>46082</v>
      </c>
      <c r="D3079" t="inlineStr">
        <is>
          <t>Em 2026</t>
        </is>
      </c>
      <c r="E3079" s="28" t="n">
        <v>46097</v>
      </c>
      <c r="F3079" t="inlineStr">
        <is>
          <t>CT-e</t>
        </is>
      </c>
      <c r="G3079" t="inlineStr">
        <is>
          <t>000006612</t>
        </is>
      </c>
      <c r="H3079" t="inlineStr">
        <is>
          <t>R&amp;R TRANSPORTE E LOGISTICA</t>
        </is>
      </c>
      <c r="J3079" s="29" t="n">
        <v>14.65</v>
      </c>
      <c r="K3079" s="29">
        <f>(1-ISNUMBER(SEARCH("556",M3079)))*(O3079*SUMIFS(Premissas!$C$5:$C$44,Premissas!$A$5:$A$44,$A3079,Premissas!$B$5:$B$44,$B3079)+P3079*SUMIFS(Premissas!$D$5:$D$44,Premissas!$A$5:$A$44,$A3079,Premissas!$B$5:$B$44,$B3079))+R3079*SUMIFS(Premissas!$E$5:$E$44,Premissas!$A$5:$A$44,$A3079,Premissas!$B$5:$B$44,$B3079)+S3079*SUMIFS(Premissas!$F$5:$F$44,Premissas!$A$5:$A$44,$A3079,Premissas!$B$5:$B$44,$B3079)</f>
        <v/>
      </c>
      <c r="L3079" s="29">
        <f>J3079-K3079</f>
        <v/>
      </c>
      <c r="M3079" t="inlineStr">
        <is>
          <t>1.350</t>
        </is>
      </c>
      <c r="N3079" t="inlineStr">
        <is>
          <t>Modalidade: 0 - Por conta do remetente | Parte: PARK DOCES E FESTAS LTDA (28.446.377/0001-98)</t>
        </is>
      </c>
      <c r="O3079" s="29" t="n">
        <v>0</v>
      </c>
      <c r="P3079" s="29" t="n">
        <v>0</v>
      </c>
      <c r="Q3079" s="29" t="n">
        <v>0</v>
      </c>
      <c r="R3079" s="29" t="n">
        <v>0</v>
      </c>
      <c r="S3079" s="29" t="n">
        <v>0</v>
      </c>
      <c r="T3079" t="inlineStr">
        <is>
          <t>25260326975620000130570010000066121000190757</t>
        </is>
      </c>
      <c r="U3079" t="inlineStr">
        <is>
          <t>Não</t>
        </is>
      </c>
    </row>
    <row r="3080">
      <c r="A3080" t="inlineStr">
        <is>
          <t>Frete de venda</t>
        </is>
      </c>
      <c r="B3080" t="inlineStr">
        <is>
          <t>2.01.02 Frete sobre Vendas</t>
        </is>
      </c>
      <c r="C3080" s="30" t="n">
        <v>46082</v>
      </c>
      <c r="D3080" t="inlineStr">
        <is>
          <t>Em 2026</t>
        </is>
      </c>
      <c r="E3080" s="28" t="n">
        <v>46099</v>
      </c>
      <c r="F3080" t="inlineStr">
        <is>
          <t>CT-e</t>
        </is>
      </c>
      <c r="G3080" t="inlineStr">
        <is>
          <t>000006619</t>
        </is>
      </c>
      <c r="H3080" t="inlineStr">
        <is>
          <t>R&amp;R TRANSPORTE E LOGISTICA</t>
        </is>
      </c>
      <c r="J3080" s="29" t="n">
        <v>43.8</v>
      </c>
      <c r="K3080" s="29">
        <f>(1-ISNUMBER(SEARCH("556",M3080)))*(O3080*SUMIFS(Premissas!$C$5:$C$44,Premissas!$A$5:$A$44,$A3080,Premissas!$B$5:$B$44,$B3080)+P3080*SUMIFS(Premissas!$D$5:$D$44,Premissas!$A$5:$A$44,$A3080,Premissas!$B$5:$B$44,$B3080))+R3080*SUMIFS(Premissas!$E$5:$E$44,Premissas!$A$5:$A$44,$A3080,Premissas!$B$5:$B$44,$B3080)+S3080*SUMIFS(Premissas!$F$5:$F$44,Premissas!$A$5:$A$44,$A3080,Premissas!$B$5:$B$44,$B3080)</f>
        <v/>
      </c>
      <c r="L3080" s="29">
        <f>J3080-K3080</f>
        <v/>
      </c>
      <c r="M3080" t="inlineStr">
        <is>
          <t>1.350</t>
        </is>
      </c>
      <c r="N3080" t="inlineStr">
        <is>
          <t>Modalidade: 0 - Por conta do remetente | Parte: BRASPLAST DISTRIBUIDORA LTDA (51.063.517/0001-60)</t>
        </is>
      </c>
      <c r="O3080" s="29" t="n">
        <v>0</v>
      </c>
      <c r="P3080" s="29" t="n">
        <v>0</v>
      </c>
      <c r="Q3080" s="29" t="n">
        <v>0</v>
      </c>
      <c r="R3080" s="29" t="n">
        <v>0</v>
      </c>
      <c r="S3080" s="29" t="n">
        <v>0</v>
      </c>
      <c r="T3080" t="inlineStr">
        <is>
          <t>25260326975620000130570010000066191001501048</t>
        </is>
      </c>
      <c r="U3080" t="inlineStr">
        <is>
          <t>Não</t>
        </is>
      </c>
    </row>
    <row r="3081">
      <c r="A3081" t="inlineStr">
        <is>
          <t>Frete de venda</t>
        </is>
      </c>
      <c r="B3081" t="inlineStr">
        <is>
          <t>2.01.02 Frete sobre Vendas</t>
        </is>
      </c>
      <c r="C3081" s="30" t="n">
        <v>46082</v>
      </c>
      <c r="D3081" t="inlineStr">
        <is>
          <t>Em 2026</t>
        </is>
      </c>
      <c r="E3081" s="28" t="n">
        <v>46099</v>
      </c>
      <c r="F3081" t="inlineStr">
        <is>
          <t>CT-e</t>
        </is>
      </c>
      <c r="G3081" t="inlineStr">
        <is>
          <t>000006620</t>
        </is>
      </c>
      <c r="H3081" t="inlineStr">
        <is>
          <t>R&amp;R TRANSPORTE E LOGISTICA</t>
        </is>
      </c>
      <c r="J3081" s="29" t="n">
        <v>37.5</v>
      </c>
      <c r="K3081" s="29">
        <f>(1-ISNUMBER(SEARCH("556",M3081)))*(O3081*SUMIFS(Premissas!$C$5:$C$44,Premissas!$A$5:$A$44,$A3081,Premissas!$B$5:$B$44,$B3081)+P3081*SUMIFS(Premissas!$D$5:$D$44,Premissas!$A$5:$A$44,$A3081,Premissas!$B$5:$B$44,$B3081))+R3081*SUMIFS(Premissas!$E$5:$E$44,Premissas!$A$5:$A$44,$A3081,Premissas!$B$5:$B$44,$B3081)+S3081*SUMIFS(Premissas!$F$5:$F$44,Premissas!$A$5:$A$44,$A3081,Premissas!$B$5:$B$44,$B3081)</f>
        <v/>
      </c>
      <c r="L3081" s="29">
        <f>J3081-K3081</f>
        <v/>
      </c>
      <c r="M3081" t="inlineStr">
        <is>
          <t>1.350</t>
        </is>
      </c>
      <c r="N3081" t="inlineStr">
        <is>
          <t>Modalidade: 0 - Por conta do remetente | Parte: CEPLAL COMERCIO DE EMBALAGENS PLASTICAS E PAPEIS LTDA (24.141.350/0001-36)</t>
        </is>
      </c>
      <c r="O3081" s="29" t="n">
        <v>0</v>
      </c>
      <c r="P3081" s="29" t="n">
        <v>0</v>
      </c>
      <c r="Q3081" s="29" t="n">
        <v>0</v>
      </c>
      <c r="R3081" s="29" t="n">
        <v>0</v>
      </c>
      <c r="S3081" s="29" t="n">
        <v>0</v>
      </c>
      <c r="T3081" t="inlineStr">
        <is>
          <t>25260326975620000130570010000066201001201126</t>
        </is>
      </c>
      <c r="U3081" t="inlineStr">
        <is>
          <t>Não</t>
        </is>
      </c>
    </row>
    <row r="3082">
      <c r="A3082" t="inlineStr">
        <is>
          <t>Frete de venda</t>
        </is>
      </c>
      <c r="B3082" t="inlineStr">
        <is>
          <t>2.01.02 Frete sobre Vendas</t>
        </is>
      </c>
      <c r="C3082" s="30" t="n">
        <v>46082</v>
      </c>
      <c r="D3082" t="inlineStr">
        <is>
          <t>Em 2026</t>
        </is>
      </c>
      <c r="E3082" s="28" t="n">
        <v>46099</v>
      </c>
      <c r="F3082" t="inlineStr">
        <is>
          <t>CT-e</t>
        </is>
      </c>
      <c r="G3082" t="inlineStr">
        <is>
          <t>000006621</t>
        </is>
      </c>
      <c r="H3082" t="inlineStr">
        <is>
          <t>R&amp;R TRANSPORTE E LOGISTICA</t>
        </is>
      </c>
      <c r="J3082" s="29" t="n">
        <v>38.49</v>
      </c>
      <c r="K3082" s="29">
        <f>(1-ISNUMBER(SEARCH("556",M3082)))*(O3082*SUMIFS(Premissas!$C$5:$C$44,Premissas!$A$5:$A$44,$A3082,Premissas!$B$5:$B$44,$B3082)+P3082*SUMIFS(Premissas!$D$5:$D$44,Premissas!$A$5:$A$44,$A3082,Premissas!$B$5:$B$44,$B3082))+R3082*SUMIFS(Premissas!$E$5:$E$44,Premissas!$A$5:$A$44,$A3082,Premissas!$B$5:$B$44,$B3082)+S3082*SUMIFS(Premissas!$F$5:$F$44,Premissas!$A$5:$A$44,$A3082,Premissas!$B$5:$B$44,$B3082)</f>
        <v/>
      </c>
      <c r="L3082" s="29">
        <f>J3082-K3082</f>
        <v/>
      </c>
      <c r="M3082" t="inlineStr">
        <is>
          <t>1.350</t>
        </is>
      </c>
      <c r="N3082" t="inlineStr">
        <is>
          <t>Modalidade: 0 - Por conta do remetente | Parte: UNIAO EMBALAGENS COMERCIO REPRESENTACAO LTDA (02.698.151/0001-90)</t>
        </is>
      </c>
      <c r="O3082" s="29" t="n">
        <v>0</v>
      </c>
      <c r="P3082" s="29" t="n">
        <v>0</v>
      </c>
      <c r="Q3082" s="29" t="n">
        <v>0</v>
      </c>
      <c r="R3082" s="29" t="n">
        <v>0</v>
      </c>
      <c r="S3082" s="29" t="n">
        <v>0</v>
      </c>
      <c r="T3082" t="inlineStr">
        <is>
          <t>25260326975620000130570010000066211011001208</t>
        </is>
      </c>
      <c r="U3082" t="inlineStr">
        <is>
          <t>Não</t>
        </is>
      </c>
    </row>
    <row r="3083">
      <c r="A3083" t="inlineStr">
        <is>
          <t>Frete de venda</t>
        </is>
      </c>
      <c r="B3083" t="inlineStr">
        <is>
          <t>2.01.02 Frete sobre Vendas</t>
        </is>
      </c>
      <c r="C3083" s="30" t="n">
        <v>46082</v>
      </c>
      <c r="D3083" t="inlineStr">
        <is>
          <t>Em 2026</t>
        </is>
      </c>
      <c r="E3083" s="28" t="n">
        <v>46099</v>
      </c>
      <c r="F3083" t="inlineStr">
        <is>
          <t>CT-e</t>
        </is>
      </c>
      <c r="G3083" t="inlineStr">
        <is>
          <t>000006622</t>
        </is>
      </c>
      <c r="H3083" t="inlineStr">
        <is>
          <t>R&amp;R TRANSPORTE E LOGISTICA</t>
        </is>
      </c>
      <c r="J3083" s="29" t="n">
        <v>39.56</v>
      </c>
      <c r="K3083" s="29">
        <f>(1-ISNUMBER(SEARCH("556",M3083)))*(O3083*SUMIFS(Premissas!$C$5:$C$44,Premissas!$A$5:$A$44,$A3083,Premissas!$B$5:$B$44,$B3083)+P3083*SUMIFS(Premissas!$D$5:$D$44,Premissas!$A$5:$A$44,$A3083,Premissas!$B$5:$B$44,$B3083))+R3083*SUMIFS(Premissas!$E$5:$E$44,Premissas!$A$5:$A$44,$A3083,Premissas!$B$5:$B$44,$B3083)+S3083*SUMIFS(Premissas!$F$5:$F$44,Premissas!$A$5:$A$44,$A3083,Premissas!$B$5:$B$44,$B3083)</f>
        <v/>
      </c>
      <c r="L3083" s="29">
        <f>J3083-K3083</f>
        <v/>
      </c>
      <c r="M3083" t="inlineStr">
        <is>
          <t>1.350</t>
        </is>
      </c>
      <c r="N3083" t="inlineStr">
        <is>
          <t>Modalidade: 0 - Por conta do remetente | Parte: EMBALACENTER COMERCIO E REPRESENTACOES DE EMBALAGENS DE ... (07.351.681/0002-62)</t>
        </is>
      </c>
      <c r="O3083" s="29" t="n">
        <v>0</v>
      </c>
      <c r="P3083" s="29" t="n">
        <v>0</v>
      </c>
      <c r="Q3083" s="29" t="n">
        <v>0</v>
      </c>
      <c r="R3083" s="29" t="n">
        <v>0</v>
      </c>
      <c r="S3083" s="29" t="n">
        <v>0</v>
      </c>
      <c r="T3083" t="inlineStr">
        <is>
          <t>25260326975620000130570010000066221001701280</t>
        </is>
      </c>
      <c r="U3083" t="inlineStr">
        <is>
          <t>Não</t>
        </is>
      </c>
    </row>
    <row r="3084">
      <c r="A3084" t="inlineStr">
        <is>
          <t>Frete de venda</t>
        </is>
      </c>
      <c r="B3084" t="inlineStr">
        <is>
          <t>2.01.02 Frete sobre Vendas</t>
        </is>
      </c>
      <c r="C3084" s="30" t="n">
        <v>46082</v>
      </c>
      <c r="D3084" t="inlineStr">
        <is>
          <t>Em 2026</t>
        </is>
      </c>
      <c r="E3084" s="28" t="n">
        <v>46099</v>
      </c>
      <c r="F3084" t="inlineStr">
        <is>
          <t>CT-e</t>
        </is>
      </c>
      <c r="G3084" t="inlineStr">
        <is>
          <t>000006623</t>
        </is>
      </c>
      <c r="H3084" t="inlineStr">
        <is>
          <t>R&amp;R TRANSPORTE E LOGISTICA</t>
        </is>
      </c>
      <c r="J3084" s="29" t="n">
        <v>56.35</v>
      </c>
      <c r="K3084" s="29">
        <f>(1-ISNUMBER(SEARCH("556",M3084)))*(O3084*SUMIFS(Premissas!$C$5:$C$44,Premissas!$A$5:$A$44,$A3084,Premissas!$B$5:$B$44,$B3084)+P3084*SUMIFS(Premissas!$D$5:$D$44,Premissas!$A$5:$A$44,$A3084,Premissas!$B$5:$B$44,$B3084))+R3084*SUMIFS(Premissas!$E$5:$E$44,Premissas!$A$5:$A$44,$A3084,Premissas!$B$5:$B$44,$B3084)+S3084*SUMIFS(Premissas!$F$5:$F$44,Premissas!$A$5:$A$44,$A3084,Premissas!$B$5:$B$44,$B3084)</f>
        <v/>
      </c>
      <c r="L3084" s="29">
        <f>J3084-K3084</f>
        <v/>
      </c>
      <c r="M3084" t="inlineStr">
        <is>
          <t>1.350</t>
        </is>
      </c>
      <c r="N3084" t="inlineStr">
        <is>
          <t>Modalidade: 0 - Por conta do remetente | Parte: EDIVALDO BATISTA DOS SANTOS EMBALAGENS LTDA (03.624.188/0001-37)</t>
        </is>
      </c>
      <c r="O3084" s="29" t="n">
        <v>0</v>
      </c>
      <c r="P3084" s="29" t="n">
        <v>0</v>
      </c>
      <c r="Q3084" s="29" t="n">
        <v>0</v>
      </c>
      <c r="R3084" s="29" t="n">
        <v>0</v>
      </c>
      <c r="S3084" s="29" t="n">
        <v>0</v>
      </c>
      <c r="T3084" t="inlineStr">
        <is>
          <t>25260326975620000130570010000066231001401364</t>
        </is>
      </c>
      <c r="U3084" t="inlineStr">
        <is>
          <t>Não</t>
        </is>
      </c>
    </row>
    <row r="3085">
      <c r="A3085" t="inlineStr">
        <is>
          <t>Frete de venda</t>
        </is>
      </c>
      <c r="B3085" t="inlineStr">
        <is>
          <t>2.01.02 Frete sobre Vendas</t>
        </is>
      </c>
      <c r="C3085" s="30" t="n">
        <v>46082</v>
      </c>
      <c r="D3085" t="inlineStr">
        <is>
          <t>Em 2026</t>
        </is>
      </c>
      <c r="E3085" s="28" t="n">
        <v>46100</v>
      </c>
      <c r="F3085" t="inlineStr">
        <is>
          <t>CT-e</t>
        </is>
      </c>
      <c r="G3085" t="inlineStr">
        <is>
          <t>000006624</t>
        </is>
      </c>
      <c r="H3085" t="inlineStr">
        <is>
          <t>R&amp;R TRANSPORTE E LOGISTICA</t>
        </is>
      </c>
      <c r="J3085" s="29" t="n">
        <v>28.33</v>
      </c>
      <c r="K3085" s="29">
        <f>(1-ISNUMBER(SEARCH("556",M3085)))*(O3085*SUMIFS(Premissas!$C$5:$C$44,Premissas!$A$5:$A$44,$A3085,Premissas!$B$5:$B$44,$B3085)+P3085*SUMIFS(Premissas!$D$5:$D$44,Premissas!$A$5:$A$44,$A3085,Premissas!$B$5:$B$44,$B3085))+R3085*SUMIFS(Premissas!$E$5:$E$44,Premissas!$A$5:$A$44,$A3085,Premissas!$B$5:$B$44,$B3085)+S3085*SUMIFS(Premissas!$F$5:$F$44,Premissas!$A$5:$A$44,$A3085,Premissas!$B$5:$B$44,$B3085)</f>
        <v/>
      </c>
      <c r="L3085" s="29">
        <f>J3085-K3085</f>
        <v/>
      </c>
      <c r="M3085" t="inlineStr">
        <is>
          <t>1.350</t>
        </is>
      </c>
      <c r="N3085" t="inlineStr">
        <is>
          <t>Modalidade: 0 - Por conta do remetente | Parte: DISTRIBUIDORA JULIANA LTDA (07.276.402/0001-62)</t>
        </is>
      </c>
      <c r="O3085" s="29" t="n">
        <v>0</v>
      </c>
      <c r="P3085" s="29" t="n">
        <v>0</v>
      </c>
      <c r="Q3085" s="29" t="n">
        <v>0</v>
      </c>
      <c r="R3085" s="29" t="n">
        <v>0</v>
      </c>
      <c r="S3085" s="29" t="n">
        <v>0</v>
      </c>
      <c r="T3085" t="inlineStr">
        <is>
          <t>25260326975620000130570010000066241001901305</t>
        </is>
      </c>
      <c r="U3085" t="inlineStr">
        <is>
          <t>Não</t>
        </is>
      </c>
    </row>
    <row r="3086">
      <c r="A3086" t="inlineStr">
        <is>
          <t>Frete de venda</t>
        </is>
      </c>
      <c r="B3086" t="inlineStr">
        <is>
          <t>2.01.02 Frete sobre Vendas</t>
        </is>
      </c>
      <c r="C3086" s="30" t="n">
        <v>46082</v>
      </c>
      <c r="D3086" t="inlineStr">
        <is>
          <t>Em 2026</t>
        </is>
      </c>
      <c r="E3086" s="28" t="n">
        <v>46100</v>
      </c>
      <c r="F3086" t="inlineStr">
        <is>
          <t>CT-e</t>
        </is>
      </c>
      <c r="G3086" t="inlineStr">
        <is>
          <t>000006625</t>
        </is>
      </c>
      <c r="H3086" t="inlineStr">
        <is>
          <t>R&amp;R TRANSPORTE E LOGISTICA</t>
        </is>
      </c>
      <c r="J3086" s="29" t="n">
        <v>18.72</v>
      </c>
      <c r="K3086" s="29">
        <f>(1-ISNUMBER(SEARCH("556",M3086)))*(O3086*SUMIFS(Premissas!$C$5:$C$44,Premissas!$A$5:$A$44,$A3086,Premissas!$B$5:$B$44,$B3086)+P3086*SUMIFS(Premissas!$D$5:$D$44,Premissas!$A$5:$A$44,$A3086,Premissas!$B$5:$B$44,$B3086))+R3086*SUMIFS(Premissas!$E$5:$E$44,Premissas!$A$5:$A$44,$A3086,Premissas!$B$5:$B$44,$B3086)+S3086*SUMIFS(Premissas!$F$5:$F$44,Premissas!$A$5:$A$44,$A3086,Premissas!$B$5:$B$44,$B3086)</f>
        <v/>
      </c>
      <c r="L3086" s="29">
        <f>J3086-K3086</f>
        <v/>
      </c>
      <c r="M3086" t="inlineStr">
        <is>
          <t>1.350</t>
        </is>
      </c>
      <c r="N3086" t="inlineStr">
        <is>
          <t>Modalidade: 0 - Por conta do remetente | Parte: HERMANO NACCACHE CAMINHA (10.189.001/0002-60)</t>
        </is>
      </c>
      <c r="O3086" s="29" t="n">
        <v>0</v>
      </c>
      <c r="P3086" s="29" t="n">
        <v>0</v>
      </c>
      <c r="Q3086" s="29" t="n">
        <v>0</v>
      </c>
      <c r="R3086" s="29" t="n">
        <v>0</v>
      </c>
      <c r="S3086" s="29" t="n">
        <v>0</v>
      </c>
      <c r="T3086" t="inlineStr">
        <is>
          <t>25260326975620000130570010000066251001100652</t>
        </is>
      </c>
      <c r="U3086" t="inlineStr">
        <is>
          <t>Não</t>
        </is>
      </c>
    </row>
    <row r="3087">
      <c r="A3087" t="inlineStr">
        <is>
          <t>Frete de venda</t>
        </is>
      </c>
      <c r="B3087" t="inlineStr">
        <is>
          <t>2.01.02 Frete sobre Vendas</t>
        </is>
      </c>
      <c r="C3087" s="30" t="n">
        <v>46082</v>
      </c>
      <c r="D3087" t="inlineStr">
        <is>
          <t>Em 2026</t>
        </is>
      </c>
      <c r="E3087" s="28" t="n">
        <v>46100</v>
      </c>
      <c r="F3087" t="inlineStr">
        <is>
          <t>CT-e</t>
        </is>
      </c>
      <c r="G3087" t="inlineStr">
        <is>
          <t>000006626</t>
        </is>
      </c>
      <c r="H3087" t="inlineStr">
        <is>
          <t>R&amp;R TRANSPORTE E LOGISTICA</t>
        </is>
      </c>
      <c r="J3087" s="29" t="n">
        <v>23.65</v>
      </c>
      <c r="K3087" s="29">
        <f>(1-ISNUMBER(SEARCH("556",M3087)))*(O3087*SUMIFS(Premissas!$C$5:$C$44,Premissas!$A$5:$A$44,$A3087,Premissas!$B$5:$B$44,$B3087)+P3087*SUMIFS(Premissas!$D$5:$D$44,Premissas!$A$5:$A$44,$A3087,Premissas!$B$5:$B$44,$B3087))+R3087*SUMIFS(Premissas!$E$5:$E$44,Premissas!$A$5:$A$44,$A3087,Premissas!$B$5:$B$44,$B3087)+S3087*SUMIFS(Premissas!$F$5:$F$44,Premissas!$A$5:$A$44,$A3087,Premissas!$B$5:$B$44,$B3087)</f>
        <v/>
      </c>
      <c r="L3087" s="29">
        <f>J3087-K3087</f>
        <v/>
      </c>
      <c r="M3087" t="inlineStr">
        <is>
          <t>1.350</t>
        </is>
      </c>
      <c r="N3087" t="inlineStr">
        <is>
          <t>Modalidade: 0 - Por conta do remetente | Parte: LITORAL DISTRIBUIDORA S.A (55.104.068/0002-93)</t>
        </is>
      </c>
      <c r="O3087" s="29" t="n">
        <v>0</v>
      </c>
      <c r="P3087" s="29" t="n">
        <v>0</v>
      </c>
      <c r="Q3087" s="29" t="n">
        <v>0</v>
      </c>
      <c r="R3087" s="29" t="n">
        <v>0</v>
      </c>
      <c r="S3087" s="29" t="n">
        <v>0</v>
      </c>
      <c r="T3087" t="inlineStr">
        <is>
          <t>25260326975620000130570010000066261000170735</t>
        </is>
      </c>
      <c r="U3087" t="inlineStr">
        <is>
          <t>Não</t>
        </is>
      </c>
    </row>
    <row r="3088">
      <c r="A3088" t="inlineStr">
        <is>
          <t>Frete de venda</t>
        </is>
      </c>
      <c r="B3088" t="inlineStr">
        <is>
          <t>2.01.02 Frete sobre Vendas</t>
        </is>
      </c>
      <c r="C3088" s="30" t="n">
        <v>46082</v>
      </c>
      <c r="D3088" t="inlineStr">
        <is>
          <t>Em 2026</t>
        </is>
      </c>
      <c r="E3088" s="28" t="n">
        <v>46100</v>
      </c>
      <c r="F3088" t="inlineStr">
        <is>
          <t>CT-e</t>
        </is>
      </c>
      <c r="G3088" t="inlineStr">
        <is>
          <t>000006627</t>
        </is>
      </c>
      <c r="H3088" t="inlineStr">
        <is>
          <t>R&amp;R TRANSPORTE E LOGISTICA</t>
        </is>
      </c>
      <c r="J3088" s="29" t="n">
        <v>22.56</v>
      </c>
      <c r="K3088" s="29">
        <f>(1-ISNUMBER(SEARCH("556",M3088)))*(O3088*SUMIFS(Premissas!$C$5:$C$44,Premissas!$A$5:$A$44,$A3088,Premissas!$B$5:$B$44,$B3088)+P3088*SUMIFS(Premissas!$D$5:$D$44,Premissas!$A$5:$A$44,$A3088,Premissas!$B$5:$B$44,$B3088))+R3088*SUMIFS(Premissas!$E$5:$E$44,Premissas!$A$5:$A$44,$A3088,Premissas!$B$5:$B$44,$B3088)+S3088*SUMIFS(Premissas!$F$5:$F$44,Premissas!$A$5:$A$44,$A3088,Premissas!$B$5:$B$44,$B3088)</f>
        <v/>
      </c>
      <c r="L3088" s="29">
        <f>J3088-K3088</f>
        <v/>
      </c>
      <c r="M3088" t="inlineStr">
        <is>
          <t>1.350</t>
        </is>
      </c>
      <c r="N3088" t="inlineStr">
        <is>
          <t>Modalidade: 0 - Por conta do remetente | Parte: MARIA FESTEIRA COMERCIAL LTDA (00.074.604/0001-82)</t>
        </is>
      </c>
      <c r="O3088" s="29" t="n">
        <v>0</v>
      </c>
      <c r="P3088" s="29" t="n">
        <v>0</v>
      </c>
      <c r="Q3088" s="29" t="n">
        <v>0</v>
      </c>
      <c r="R3088" s="29" t="n">
        <v>0</v>
      </c>
      <c r="S3088" s="29" t="n">
        <v>0</v>
      </c>
      <c r="T3088" t="inlineStr">
        <is>
          <t>25260326975620000130570010000066271000140817</t>
        </is>
      </c>
      <c r="U3088" t="inlineStr">
        <is>
          <t>Não</t>
        </is>
      </c>
    </row>
    <row r="3089">
      <c r="A3089" t="inlineStr">
        <is>
          <t>Frete de venda</t>
        </is>
      </c>
      <c r="B3089" t="inlineStr">
        <is>
          <t>2.01.02 Frete sobre Vendas</t>
        </is>
      </c>
      <c r="C3089" s="30" t="n">
        <v>46082</v>
      </c>
      <c r="D3089" t="inlineStr">
        <is>
          <t>Em 2026</t>
        </is>
      </c>
      <c r="E3089" s="28" t="n">
        <v>46100</v>
      </c>
      <c r="F3089" t="inlineStr">
        <is>
          <t>CT-e</t>
        </is>
      </c>
      <c r="G3089" t="inlineStr">
        <is>
          <t>000006628</t>
        </is>
      </c>
      <c r="H3089" t="inlineStr">
        <is>
          <t>R&amp;R TRANSPORTE E LOGISTICA</t>
        </is>
      </c>
      <c r="J3089" s="29" t="n">
        <v>18.2</v>
      </c>
      <c r="K3089" s="29">
        <f>(1-ISNUMBER(SEARCH("556",M3089)))*(O3089*SUMIFS(Premissas!$C$5:$C$44,Premissas!$A$5:$A$44,$A3089,Premissas!$B$5:$B$44,$B3089)+P3089*SUMIFS(Premissas!$D$5:$D$44,Premissas!$A$5:$A$44,$A3089,Premissas!$B$5:$B$44,$B3089))+R3089*SUMIFS(Premissas!$E$5:$E$44,Premissas!$A$5:$A$44,$A3089,Premissas!$B$5:$B$44,$B3089)+S3089*SUMIFS(Premissas!$F$5:$F$44,Premissas!$A$5:$A$44,$A3089,Premissas!$B$5:$B$44,$B3089)</f>
        <v/>
      </c>
      <c r="L3089" s="29">
        <f>J3089-K3089</f>
        <v/>
      </c>
      <c r="M3089" t="inlineStr">
        <is>
          <t>1.350</t>
        </is>
      </c>
      <c r="N3089" t="inlineStr">
        <is>
          <t>Modalidade: 0 - Por conta do remetente | Parte: BA EMBALAGENS COM ATACADISTA DE EMBALAGENS E BOMBONIERI (09.048.003/0001-70)</t>
        </is>
      </c>
      <c r="O3089" s="29" t="n">
        <v>0</v>
      </c>
      <c r="P3089" s="29" t="n">
        <v>0</v>
      </c>
      <c r="Q3089" s="29" t="n">
        <v>0</v>
      </c>
      <c r="R3089" s="29" t="n">
        <v>0</v>
      </c>
      <c r="S3089" s="29" t="n">
        <v>0</v>
      </c>
      <c r="T3089" t="inlineStr">
        <is>
          <t>25260326975620000130570010000066281000110893</t>
        </is>
      </c>
      <c r="U3089" t="inlineStr">
        <is>
          <t>Não</t>
        </is>
      </c>
    </row>
    <row r="3090">
      <c r="A3090" t="inlineStr">
        <is>
          <t>Frete de venda</t>
        </is>
      </c>
      <c r="B3090" t="inlineStr">
        <is>
          <t>2.01.02 Frete sobre Vendas</t>
        </is>
      </c>
      <c r="C3090" s="30" t="n">
        <v>46082</v>
      </c>
      <c r="D3090" t="inlineStr">
        <is>
          <t>Em 2026</t>
        </is>
      </c>
      <c r="E3090" s="28" t="n">
        <v>46100</v>
      </c>
      <c r="F3090" t="inlineStr">
        <is>
          <t>CT-e</t>
        </is>
      </c>
      <c r="G3090" t="inlineStr">
        <is>
          <t>000006629</t>
        </is>
      </c>
      <c r="H3090" t="inlineStr">
        <is>
          <t>R&amp;R TRANSPORTE E LOGISTICA</t>
        </is>
      </c>
      <c r="J3090" s="29" t="n">
        <v>20.9</v>
      </c>
      <c r="K3090" s="29">
        <f>(1-ISNUMBER(SEARCH("556",M3090)))*(O3090*SUMIFS(Premissas!$C$5:$C$44,Premissas!$A$5:$A$44,$A3090,Premissas!$B$5:$B$44,$B3090)+P3090*SUMIFS(Premissas!$D$5:$D$44,Premissas!$A$5:$A$44,$A3090,Premissas!$B$5:$B$44,$B3090))+R3090*SUMIFS(Premissas!$E$5:$E$44,Premissas!$A$5:$A$44,$A3090,Premissas!$B$5:$B$44,$B3090)+S3090*SUMIFS(Premissas!$F$5:$F$44,Premissas!$A$5:$A$44,$A3090,Premissas!$B$5:$B$44,$B3090)</f>
        <v/>
      </c>
      <c r="L3090" s="29">
        <f>J3090-K3090</f>
        <v/>
      </c>
      <c r="M3090" t="inlineStr">
        <is>
          <t>1.350</t>
        </is>
      </c>
      <c r="N3090" t="inlineStr">
        <is>
          <t>Modalidade: 0 - Por conta do remetente | Parte: JOANICE COMERCIAL DE EMBALAGENS E CONFEITARIA LTDA (50.350.203/0001-86)</t>
        </is>
      </c>
      <c r="O3090" s="29" t="n">
        <v>0</v>
      </c>
      <c r="P3090" s="29" t="n">
        <v>0</v>
      </c>
      <c r="Q3090" s="29" t="n">
        <v>0</v>
      </c>
      <c r="R3090" s="29" t="n">
        <v>0</v>
      </c>
      <c r="S3090" s="29" t="n">
        <v>0</v>
      </c>
      <c r="T3090" t="inlineStr">
        <is>
          <t>25260326975620000130570010000066291000190975</t>
        </is>
      </c>
      <c r="U3090" t="inlineStr">
        <is>
          <t>Não</t>
        </is>
      </c>
    </row>
    <row r="3091">
      <c r="A3091" t="inlineStr">
        <is>
          <t>Frete de venda</t>
        </is>
      </c>
      <c r="B3091" t="inlineStr">
        <is>
          <t>2.01.02 Frete sobre Vendas</t>
        </is>
      </c>
      <c r="C3091" s="30" t="n">
        <v>46082</v>
      </c>
      <c r="D3091" t="inlineStr">
        <is>
          <t>Em 2026</t>
        </is>
      </c>
      <c r="E3091" s="28" t="n">
        <v>46100</v>
      </c>
      <c r="F3091" t="inlineStr">
        <is>
          <t>CT-e</t>
        </is>
      </c>
      <c r="G3091" t="inlineStr">
        <is>
          <t>000006630</t>
        </is>
      </c>
      <c r="H3091" t="inlineStr">
        <is>
          <t>R&amp;R TRANSPORTE E LOGISTICA</t>
        </is>
      </c>
      <c r="J3091" s="29" t="n">
        <v>17.95</v>
      </c>
      <c r="K3091" s="29">
        <f>(1-ISNUMBER(SEARCH("556",M3091)))*(O3091*SUMIFS(Premissas!$C$5:$C$44,Premissas!$A$5:$A$44,$A3091,Premissas!$B$5:$B$44,$B3091)+P3091*SUMIFS(Premissas!$D$5:$D$44,Premissas!$A$5:$A$44,$A3091,Premissas!$B$5:$B$44,$B3091))+R3091*SUMIFS(Premissas!$E$5:$E$44,Premissas!$A$5:$A$44,$A3091,Premissas!$B$5:$B$44,$B3091)+S3091*SUMIFS(Premissas!$F$5:$F$44,Premissas!$A$5:$A$44,$A3091,Premissas!$B$5:$B$44,$B3091)</f>
        <v/>
      </c>
      <c r="L3091" s="29">
        <f>J3091-K3091</f>
        <v/>
      </c>
      <c r="M3091" t="inlineStr">
        <is>
          <t>1.350</t>
        </is>
      </c>
      <c r="N3091" t="inlineStr">
        <is>
          <t>Modalidade: 0 - Por conta do remetente | Parte: R.J COMERCIO DE EMBALAGENS LTDA (38.204.536/0001-00)</t>
        </is>
      </c>
      <c r="O3091" s="29" t="n">
        <v>0</v>
      </c>
      <c r="P3091" s="29" t="n">
        <v>0</v>
      </c>
      <c r="Q3091" s="29" t="n">
        <v>0</v>
      </c>
      <c r="R3091" s="29" t="n">
        <v>0</v>
      </c>
      <c r="S3091" s="29" t="n">
        <v>0</v>
      </c>
      <c r="T3091" t="inlineStr">
        <is>
          <t>25260326975620000130570010000066301001601058</t>
        </is>
      </c>
      <c r="U3091" t="inlineStr">
        <is>
          <t>Não</t>
        </is>
      </c>
    </row>
    <row r="3092">
      <c r="A3092" t="inlineStr">
        <is>
          <t>Frete de venda</t>
        </is>
      </c>
      <c r="B3092" t="inlineStr">
        <is>
          <t>2.01.02 Frete sobre Vendas</t>
        </is>
      </c>
      <c r="C3092" s="30" t="n">
        <v>46082</v>
      </c>
      <c r="D3092" t="inlineStr">
        <is>
          <t>Em 2026</t>
        </is>
      </c>
      <c r="E3092" s="28" t="n">
        <v>46100</v>
      </c>
      <c r="F3092" t="inlineStr">
        <is>
          <t>CT-e</t>
        </is>
      </c>
      <c r="G3092" t="inlineStr">
        <is>
          <t>000006631</t>
        </is>
      </c>
      <c r="H3092" t="inlineStr">
        <is>
          <t>R&amp;R TRANSPORTE E LOGISTICA</t>
        </is>
      </c>
      <c r="J3092" s="29" t="n">
        <v>19.28</v>
      </c>
      <c r="K3092" s="29">
        <f>(1-ISNUMBER(SEARCH("556",M3092)))*(O3092*SUMIFS(Premissas!$C$5:$C$44,Premissas!$A$5:$A$44,$A3092,Premissas!$B$5:$B$44,$B3092)+P3092*SUMIFS(Premissas!$D$5:$D$44,Premissas!$A$5:$A$44,$A3092,Premissas!$B$5:$B$44,$B3092))+R3092*SUMIFS(Premissas!$E$5:$E$44,Premissas!$A$5:$A$44,$A3092,Premissas!$B$5:$B$44,$B3092)+S3092*SUMIFS(Premissas!$F$5:$F$44,Premissas!$A$5:$A$44,$A3092,Premissas!$B$5:$B$44,$B3092)</f>
        <v/>
      </c>
      <c r="L3092" s="29">
        <f>J3092-K3092</f>
        <v/>
      </c>
      <c r="M3092" t="inlineStr">
        <is>
          <t>1.350</t>
        </is>
      </c>
      <c r="N3092" t="inlineStr">
        <is>
          <t>Modalidade: 0 - Por conta do remetente | Parte: V F DECORACOES LTDA (36.698.590/0001-15)</t>
        </is>
      </c>
      <c r="O3092" s="29" t="n">
        <v>0</v>
      </c>
      <c r="P3092" s="29" t="n">
        <v>0</v>
      </c>
      <c r="Q3092" s="29" t="n">
        <v>0</v>
      </c>
      <c r="R3092" s="29" t="n">
        <v>0</v>
      </c>
      <c r="S3092" s="29" t="n">
        <v>0</v>
      </c>
      <c r="T3092" t="inlineStr">
        <is>
          <t>25260326975620000130570010000066311001301132</t>
        </is>
      </c>
      <c r="U3092" t="inlineStr">
        <is>
          <t>Não</t>
        </is>
      </c>
    </row>
    <row r="3093">
      <c r="A3093" t="inlineStr">
        <is>
          <t>Frete de venda</t>
        </is>
      </c>
      <c r="B3093" t="inlineStr">
        <is>
          <t>2.01.02 Frete sobre Vendas</t>
        </is>
      </c>
      <c r="C3093" s="30" t="n">
        <v>46082</v>
      </c>
      <c r="D3093" t="inlineStr">
        <is>
          <t>Em 2026</t>
        </is>
      </c>
      <c r="E3093" s="28" t="n">
        <v>46100</v>
      </c>
      <c r="F3093" t="inlineStr">
        <is>
          <t>CT-e</t>
        </is>
      </c>
      <c r="G3093" t="inlineStr">
        <is>
          <t>000006632</t>
        </is>
      </c>
      <c r="H3093" t="inlineStr">
        <is>
          <t>R&amp;R TRANSPORTE E LOGISTICA</t>
        </is>
      </c>
      <c r="J3093" s="29" t="n">
        <v>46.59</v>
      </c>
      <c r="K3093" s="29">
        <f>(1-ISNUMBER(SEARCH("556",M3093)))*(O3093*SUMIFS(Premissas!$C$5:$C$44,Premissas!$A$5:$A$44,$A3093,Premissas!$B$5:$B$44,$B3093)+P3093*SUMIFS(Premissas!$D$5:$D$44,Premissas!$A$5:$A$44,$A3093,Premissas!$B$5:$B$44,$B3093))+R3093*SUMIFS(Premissas!$E$5:$E$44,Premissas!$A$5:$A$44,$A3093,Premissas!$B$5:$B$44,$B3093)+S3093*SUMIFS(Premissas!$F$5:$F$44,Premissas!$A$5:$A$44,$A3093,Premissas!$B$5:$B$44,$B3093)</f>
        <v/>
      </c>
      <c r="L3093" s="29">
        <f>J3093-K3093</f>
        <v/>
      </c>
      <c r="M3093" t="inlineStr">
        <is>
          <t>1.350</t>
        </is>
      </c>
      <c r="N3093" t="inlineStr">
        <is>
          <t>Modalidade: 0 - Por conta do remetente | Parte: LITORAL DISTRIBUIDORA S.A (55.104.068/0001-02)</t>
        </is>
      </c>
      <c r="O3093" s="29" t="n">
        <v>0</v>
      </c>
      <c r="P3093" s="29" t="n">
        <v>0</v>
      </c>
      <c r="Q3093" s="29" t="n">
        <v>0</v>
      </c>
      <c r="R3093" s="29" t="n">
        <v>0</v>
      </c>
      <c r="S3093" s="29" t="n">
        <v>0</v>
      </c>
      <c r="T3093" t="inlineStr">
        <is>
          <t>25260326975620000130570010000066321000101218</t>
        </is>
      </c>
      <c r="U3093" t="inlineStr">
        <is>
          <t>Não</t>
        </is>
      </c>
    </row>
    <row r="3094">
      <c r="A3094" t="inlineStr">
        <is>
          <t>Frete de venda</t>
        </is>
      </c>
      <c r="B3094" t="inlineStr">
        <is>
          <t>2.01.02 Frete sobre Vendas</t>
        </is>
      </c>
      <c r="C3094" s="30" t="n">
        <v>46082</v>
      </c>
      <c r="D3094" t="inlineStr">
        <is>
          <t>Em 2026</t>
        </is>
      </c>
      <c r="E3094" s="28" t="n">
        <v>46100</v>
      </c>
      <c r="F3094" t="inlineStr">
        <is>
          <t>CT-e</t>
        </is>
      </c>
      <c r="G3094" t="inlineStr">
        <is>
          <t>000006633</t>
        </is>
      </c>
      <c r="H3094" t="inlineStr">
        <is>
          <t>R&amp;R TRANSPORTE E LOGISTICA</t>
        </is>
      </c>
      <c r="J3094" s="29" t="n">
        <v>59.95</v>
      </c>
      <c r="K3094" s="29">
        <f>(1-ISNUMBER(SEARCH("556",M3094)))*(O3094*SUMIFS(Premissas!$C$5:$C$44,Premissas!$A$5:$A$44,$A3094,Premissas!$B$5:$B$44,$B3094)+P3094*SUMIFS(Premissas!$D$5:$D$44,Premissas!$A$5:$A$44,$A3094,Premissas!$B$5:$B$44,$B3094))+R3094*SUMIFS(Premissas!$E$5:$E$44,Premissas!$A$5:$A$44,$A3094,Premissas!$B$5:$B$44,$B3094)+S3094*SUMIFS(Premissas!$F$5:$F$44,Premissas!$A$5:$A$44,$A3094,Premissas!$B$5:$B$44,$B3094)</f>
        <v/>
      </c>
      <c r="L3094" s="29">
        <f>J3094-K3094</f>
        <v/>
      </c>
      <c r="M3094" t="inlineStr">
        <is>
          <t>1.350</t>
        </is>
      </c>
      <c r="N3094" t="inlineStr">
        <is>
          <t>Modalidade: 0 - Por conta do remetente | Parte: SELLPACK DISTRIBUIDORA LTDA (07.747.107/0002-28)</t>
        </is>
      </c>
      <c r="O3094" s="29" t="n">
        <v>0</v>
      </c>
      <c r="P3094" s="29" t="n">
        <v>0</v>
      </c>
      <c r="Q3094" s="29" t="n">
        <v>0</v>
      </c>
      <c r="R3094" s="29" t="n">
        <v>0</v>
      </c>
      <c r="S3094" s="29" t="n">
        <v>0</v>
      </c>
      <c r="T3094" t="inlineStr">
        <is>
          <t>25260326975620000130570010000066331001801296</t>
        </is>
      </c>
      <c r="U3094" t="inlineStr">
        <is>
          <t>Não</t>
        </is>
      </c>
    </row>
    <row r="3095">
      <c r="A3095" t="inlineStr">
        <is>
          <t>Frete de venda</t>
        </is>
      </c>
      <c r="B3095" t="inlineStr">
        <is>
          <t>2.01.02 Frete sobre Vendas</t>
        </is>
      </c>
      <c r="C3095" s="30" t="n">
        <v>46082</v>
      </c>
      <c r="D3095" t="inlineStr">
        <is>
          <t>Em 2026</t>
        </is>
      </c>
      <c r="E3095" s="28" t="n">
        <v>46100</v>
      </c>
      <c r="F3095" t="inlineStr">
        <is>
          <t>CT-e</t>
        </is>
      </c>
      <c r="G3095" t="inlineStr">
        <is>
          <t>000006634</t>
        </is>
      </c>
      <c r="H3095" t="inlineStr">
        <is>
          <t>R&amp;R TRANSPORTE E LOGISTICA</t>
        </is>
      </c>
      <c r="J3095" s="29" t="n">
        <v>175.51</v>
      </c>
      <c r="K3095" s="29">
        <f>(1-ISNUMBER(SEARCH("556",M3095)))*(O3095*SUMIFS(Premissas!$C$5:$C$44,Premissas!$A$5:$A$44,$A3095,Premissas!$B$5:$B$44,$B3095)+P3095*SUMIFS(Premissas!$D$5:$D$44,Premissas!$A$5:$A$44,$A3095,Premissas!$B$5:$B$44,$B3095))+R3095*SUMIFS(Premissas!$E$5:$E$44,Premissas!$A$5:$A$44,$A3095,Premissas!$B$5:$B$44,$B3095)+S3095*SUMIFS(Premissas!$F$5:$F$44,Premissas!$A$5:$A$44,$A3095,Premissas!$B$5:$B$44,$B3095)</f>
        <v/>
      </c>
      <c r="L3095" s="29">
        <f>J3095-K3095</f>
        <v/>
      </c>
      <c r="M3095" t="inlineStr">
        <is>
          <t>1.350</t>
        </is>
      </c>
      <c r="N3095" t="inlineStr">
        <is>
          <t>Modalidade: 0 - Por conta do remetente | Parte: RODRIGUES e DIAS COMERCIO DE HORTIFRUTI GRANJEIROS LTDA (09.143.905/0001-95)</t>
        </is>
      </c>
      <c r="O3095" s="29" t="n">
        <v>0</v>
      </c>
      <c r="P3095" s="29" t="n">
        <v>0</v>
      </c>
      <c r="Q3095" s="29" t="n">
        <v>0</v>
      </c>
      <c r="R3095" s="29" t="n">
        <v>0</v>
      </c>
      <c r="S3095" s="29" t="n">
        <v>0</v>
      </c>
      <c r="T3095" t="inlineStr">
        <is>
          <t>25260326975620000130570010000066341001501370</t>
        </is>
      </c>
      <c r="U3095" t="inlineStr">
        <is>
          <t>Não</t>
        </is>
      </c>
    </row>
    <row r="3096">
      <c r="A3096" t="inlineStr">
        <is>
          <t>Frete de venda</t>
        </is>
      </c>
      <c r="B3096" t="inlineStr">
        <is>
          <t>2.01.02 Frete sobre Vendas</t>
        </is>
      </c>
      <c r="C3096" s="30" t="n">
        <v>46082</v>
      </c>
      <c r="D3096" t="inlineStr">
        <is>
          <t>Em 2026</t>
        </is>
      </c>
      <c r="E3096" s="28" t="n">
        <v>46101</v>
      </c>
      <c r="F3096" t="inlineStr">
        <is>
          <t>CT-e</t>
        </is>
      </c>
      <c r="G3096" t="inlineStr">
        <is>
          <t>000006639</t>
        </is>
      </c>
      <c r="H3096" t="inlineStr">
        <is>
          <t>R&amp;R TRANSPORTE E LOGISTICA</t>
        </is>
      </c>
      <c r="J3096" s="29" t="n">
        <v>98.52</v>
      </c>
      <c r="K3096" s="29">
        <f>(1-ISNUMBER(SEARCH("556",M3096)))*(O3096*SUMIFS(Premissas!$C$5:$C$44,Premissas!$A$5:$A$44,$A3096,Premissas!$B$5:$B$44,$B3096)+P3096*SUMIFS(Premissas!$D$5:$D$44,Premissas!$A$5:$A$44,$A3096,Premissas!$B$5:$B$44,$B3096))+R3096*SUMIFS(Premissas!$E$5:$E$44,Premissas!$A$5:$A$44,$A3096,Premissas!$B$5:$B$44,$B3096)+S3096*SUMIFS(Premissas!$F$5:$F$44,Premissas!$A$5:$A$44,$A3096,Premissas!$B$5:$B$44,$B3096)</f>
        <v/>
      </c>
      <c r="L3096" s="29">
        <f>J3096-K3096</f>
        <v/>
      </c>
      <c r="M3096" t="inlineStr">
        <is>
          <t>1.350</t>
        </is>
      </c>
      <c r="N3096" t="inlineStr">
        <is>
          <t>Modalidade: 0 - Por conta do remetente | Parte: M N L FLORENTINO LTDA (47.068.852/0001-84)</t>
        </is>
      </c>
      <c r="O3096" s="29" t="n">
        <v>0</v>
      </c>
      <c r="P3096" s="29" t="n">
        <v>0</v>
      </c>
      <c r="Q3096" s="29" t="n">
        <v>0</v>
      </c>
      <c r="R3096" s="29" t="n">
        <v>0</v>
      </c>
      <c r="S3096" s="29" t="n">
        <v>0</v>
      </c>
      <c r="T3096" t="inlineStr">
        <is>
          <t>25260326975620000130570010000066391001401364</t>
        </is>
      </c>
      <c r="U3096" t="inlineStr">
        <is>
          <t>Não</t>
        </is>
      </c>
    </row>
    <row r="3097">
      <c r="A3097" t="inlineStr">
        <is>
          <t>Frete de venda</t>
        </is>
      </c>
      <c r="B3097" t="inlineStr">
        <is>
          <t>2.01.02 Frete sobre Vendas</t>
        </is>
      </c>
      <c r="C3097" s="30" t="n">
        <v>46082</v>
      </c>
      <c r="D3097" t="inlineStr">
        <is>
          <t>Em 2026</t>
        </is>
      </c>
      <c r="E3097" s="28" t="n">
        <v>46101</v>
      </c>
      <c r="F3097" t="inlineStr">
        <is>
          <t>CT-e</t>
        </is>
      </c>
      <c r="G3097" t="inlineStr">
        <is>
          <t>000006640</t>
        </is>
      </c>
      <c r="H3097" t="inlineStr">
        <is>
          <t>R&amp;R TRANSPORTE E LOGISTICA</t>
        </is>
      </c>
      <c r="J3097" s="29" t="n">
        <v>94.48</v>
      </c>
      <c r="K3097" s="29">
        <f>(1-ISNUMBER(SEARCH("556",M3097)))*(O3097*SUMIFS(Premissas!$C$5:$C$44,Premissas!$A$5:$A$44,$A3097,Premissas!$B$5:$B$44,$B3097)+P3097*SUMIFS(Premissas!$D$5:$D$44,Premissas!$A$5:$A$44,$A3097,Premissas!$B$5:$B$44,$B3097))+R3097*SUMIFS(Premissas!$E$5:$E$44,Premissas!$A$5:$A$44,$A3097,Premissas!$B$5:$B$44,$B3097)+S3097*SUMIFS(Premissas!$F$5:$F$44,Premissas!$A$5:$A$44,$A3097,Premissas!$B$5:$B$44,$B3097)</f>
        <v/>
      </c>
      <c r="L3097" s="29">
        <f>J3097-K3097</f>
        <v/>
      </c>
      <c r="M3097" t="inlineStr">
        <is>
          <t>1.350</t>
        </is>
      </c>
      <c r="N3097" t="inlineStr">
        <is>
          <t>Modalidade: 0 - Por conta do remetente | Parte: HEMANOEL MOISES SOARES DE SOUZA (11.038.014/0001-10)</t>
        </is>
      </c>
      <c r="O3097" s="29" t="n">
        <v>0</v>
      </c>
      <c r="P3097" s="29" t="n">
        <v>0</v>
      </c>
      <c r="Q3097" s="29" t="n">
        <v>0</v>
      </c>
      <c r="R3097" s="29" t="n">
        <v>0</v>
      </c>
      <c r="S3097" s="29" t="n">
        <v>0</v>
      </c>
      <c r="T3097" t="inlineStr">
        <is>
          <t>25260326975620000130570010000066401001101442</t>
        </is>
      </c>
      <c r="U3097" t="inlineStr">
        <is>
          <t>Não</t>
        </is>
      </c>
    </row>
    <row r="3098">
      <c r="A3098" t="inlineStr">
        <is>
          <t>Frete de venda</t>
        </is>
      </c>
      <c r="B3098" t="inlineStr">
        <is>
          <t>2.01.02 Frete sobre Vendas</t>
        </is>
      </c>
      <c r="C3098" s="30" t="n">
        <v>46082</v>
      </c>
      <c r="D3098" t="inlineStr">
        <is>
          <t>Em 2026</t>
        </is>
      </c>
      <c r="E3098" s="28" t="n">
        <v>46102</v>
      </c>
      <c r="F3098" t="inlineStr">
        <is>
          <t>CT-e</t>
        </is>
      </c>
      <c r="G3098" t="inlineStr">
        <is>
          <t>000006649</t>
        </is>
      </c>
      <c r="H3098" t="inlineStr">
        <is>
          <t>R&amp;R TRANSPORTE E LOGISTICA</t>
        </is>
      </c>
      <c r="J3098" s="29" t="n">
        <v>1031.79</v>
      </c>
      <c r="K3098" s="29">
        <f>(1-ISNUMBER(SEARCH("556",M3098)))*(O3098*SUMIFS(Premissas!$C$5:$C$44,Premissas!$A$5:$A$44,$A3098,Premissas!$B$5:$B$44,$B3098)+P3098*SUMIFS(Premissas!$D$5:$D$44,Premissas!$A$5:$A$44,$A3098,Premissas!$B$5:$B$44,$B3098))+R3098*SUMIFS(Premissas!$E$5:$E$44,Premissas!$A$5:$A$44,$A3098,Premissas!$B$5:$B$44,$B3098)+S3098*SUMIFS(Premissas!$F$5:$F$44,Premissas!$A$5:$A$44,$A3098,Premissas!$B$5:$B$44,$B3098)</f>
        <v/>
      </c>
      <c r="L3098" s="29">
        <f>J3098-K3098</f>
        <v/>
      </c>
      <c r="M3098" t="inlineStr">
        <is>
          <t>1.350</t>
        </is>
      </c>
      <c r="N3098" t="inlineStr">
        <is>
          <t>Modalidade: 0 - Por conta do remetente | Parte: BM3 IMPORTACAO E EXPORTACAO LTDA (12.098.843/0001-51)</t>
        </is>
      </c>
      <c r="O3098" s="29" t="n">
        <v>0</v>
      </c>
      <c r="P3098" s="29" t="n">
        <v>0</v>
      </c>
      <c r="Q3098" s="29" t="n">
        <v>0</v>
      </c>
      <c r="R3098" s="29" t="n">
        <v>0</v>
      </c>
      <c r="S3098" s="29" t="n">
        <v>0</v>
      </c>
      <c r="T3098" t="inlineStr">
        <is>
          <t>25260326975620000130570010000066491000101436</t>
        </is>
      </c>
      <c r="U3098" t="inlineStr">
        <is>
          <t>Não</t>
        </is>
      </c>
    </row>
    <row r="3099">
      <c r="A3099" t="inlineStr">
        <is>
          <t>Frete de venda</t>
        </is>
      </c>
      <c r="B3099" t="inlineStr">
        <is>
          <t>2.01.02 Frete sobre Vendas</t>
        </is>
      </c>
      <c r="C3099" s="30" t="n">
        <v>46082</v>
      </c>
      <c r="D3099" t="inlineStr">
        <is>
          <t>Em 2026</t>
        </is>
      </c>
      <c r="E3099" s="28" t="n">
        <v>46104</v>
      </c>
      <c r="F3099" t="inlineStr">
        <is>
          <t>CT-e</t>
        </is>
      </c>
      <c r="G3099" t="inlineStr">
        <is>
          <t>000006656</t>
        </is>
      </c>
      <c r="H3099" t="inlineStr">
        <is>
          <t>R&amp;R TRANSPORTE E LOGISTICA</t>
        </is>
      </c>
      <c r="J3099" s="29" t="n">
        <v>792</v>
      </c>
      <c r="K3099" s="29">
        <f>(1-ISNUMBER(SEARCH("556",M3099)))*(O3099*SUMIFS(Premissas!$C$5:$C$44,Premissas!$A$5:$A$44,$A3099,Premissas!$B$5:$B$44,$B3099)+P3099*SUMIFS(Premissas!$D$5:$D$44,Premissas!$A$5:$A$44,$A3099,Premissas!$B$5:$B$44,$B3099))+R3099*SUMIFS(Premissas!$E$5:$E$44,Premissas!$A$5:$A$44,$A3099,Premissas!$B$5:$B$44,$B3099)+S3099*SUMIFS(Premissas!$F$5:$F$44,Premissas!$A$5:$A$44,$A3099,Premissas!$B$5:$B$44,$B3099)</f>
        <v/>
      </c>
      <c r="L3099" s="29">
        <f>J3099-K3099</f>
        <v/>
      </c>
      <c r="M3099" t="inlineStr">
        <is>
          <t>1.350</t>
        </is>
      </c>
      <c r="N3099" t="inlineStr">
        <is>
          <t>Modalidade: 0 - Por conta do remetente | Parte: PRONTO DISTRIBUIDORA LTDA (59.909.633/0001-60)</t>
        </is>
      </c>
      <c r="O3099" s="29" t="n">
        <v>0</v>
      </c>
      <c r="P3099" s="29" t="n">
        <v>0</v>
      </c>
      <c r="Q3099" s="29" t="n">
        <v>0</v>
      </c>
      <c r="R3099" s="29" t="n">
        <v>0</v>
      </c>
      <c r="S3099" s="29" t="n">
        <v>0</v>
      </c>
      <c r="T3099" t="inlineStr">
        <is>
          <t>25260326975620000130570010000066561001201781</t>
        </is>
      </c>
      <c r="U3099" t="inlineStr">
        <is>
          <t>Sim</t>
        </is>
      </c>
    </row>
    <row r="3100">
      <c r="A3100" t="inlineStr">
        <is>
          <t>Frete de venda</t>
        </is>
      </c>
      <c r="B3100" t="inlineStr">
        <is>
          <t>2.01.02 Frete sobre Vendas</t>
        </is>
      </c>
      <c r="C3100" s="30" t="n">
        <v>46082</v>
      </c>
      <c r="D3100" t="inlineStr">
        <is>
          <t>Em 2026</t>
        </is>
      </c>
      <c r="E3100" s="28" t="n">
        <v>46105</v>
      </c>
      <c r="F3100" t="inlineStr">
        <is>
          <t>CT-e</t>
        </is>
      </c>
      <c r="G3100" t="inlineStr">
        <is>
          <t>000006658</t>
        </is>
      </c>
      <c r="H3100" t="inlineStr">
        <is>
          <t>R&amp;R TRANSPORTE E LOGISTICA</t>
        </is>
      </c>
      <c r="J3100" s="29" t="n">
        <v>80.86</v>
      </c>
      <c r="K3100" s="29">
        <f>(1-ISNUMBER(SEARCH("556",M3100)))*(O3100*SUMIFS(Premissas!$C$5:$C$44,Premissas!$A$5:$A$44,$A3100,Premissas!$B$5:$B$44,$B3100)+P3100*SUMIFS(Premissas!$D$5:$D$44,Premissas!$A$5:$A$44,$A3100,Premissas!$B$5:$B$44,$B3100))+R3100*SUMIFS(Premissas!$E$5:$E$44,Premissas!$A$5:$A$44,$A3100,Premissas!$B$5:$B$44,$B3100)+S3100*SUMIFS(Premissas!$F$5:$F$44,Premissas!$A$5:$A$44,$A3100,Premissas!$B$5:$B$44,$B3100)</f>
        <v/>
      </c>
      <c r="L3100" s="29">
        <f>J3100-K3100</f>
        <v/>
      </c>
      <c r="M3100" t="inlineStr">
        <is>
          <t>1.350</t>
        </is>
      </c>
      <c r="N3100" t="inlineStr">
        <is>
          <t>Modalidade: 0 - Por conta do remetente | Parte: AGM PLASTICOS LTDA (19.429.803/0001-94)</t>
        </is>
      </c>
      <c r="O3100" s="29" t="n">
        <v>0</v>
      </c>
      <c r="P3100" s="29" t="n">
        <v>0</v>
      </c>
      <c r="Q3100" s="29" t="n">
        <v>0</v>
      </c>
      <c r="R3100" s="29" t="n">
        <v>0</v>
      </c>
      <c r="S3100" s="29" t="n">
        <v>0</v>
      </c>
      <c r="T3100" t="inlineStr">
        <is>
          <t>25260326975620000130570010000066581000120570</t>
        </is>
      </c>
      <c r="U3100" t="inlineStr">
        <is>
          <t>Não</t>
        </is>
      </c>
    </row>
    <row r="3101">
      <c r="A3101" t="inlineStr">
        <is>
          <t>Frete de venda</t>
        </is>
      </c>
      <c r="B3101" t="inlineStr">
        <is>
          <t>2.01.02 Frete sobre Vendas</t>
        </is>
      </c>
      <c r="C3101" s="30" t="n">
        <v>46082</v>
      </c>
      <c r="D3101" t="inlineStr">
        <is>
          <t>Em 2026</t>
        </is>
      </c>
      <c r="E3101" s="28" t="n">
        <v>46105</v>
      </c>
      <c r="F3101" t="inlineStr">
        <is>
          <t>CT-e</t>
        </is>
      </c>
      <c r="G3101" t="inlineStr">
        <is>
          <t>000006659</t>
        </is>
      </c>
      <c r="H3101" t="inlineStr">
        <is>
          <t>R&amp;R TRANSPORTE E LOGISTICA</t>
        </is>
      </c>
      <c r="J3101" s="29" t="n">
        <v>21.55</v>
      </c>
      <c r="K3101" s="29">
        <f>(1-ISNUMBER(SEARCH("556",M3101)))*(O3101*SUMIFS(Premissas!$C$5:$C$44,Premissas!$A$5:$A$44,$A3101,Premissas!$B$5:$B$44,$B3101)+P3101*SUMIFS(Premissas!$D$5:$D$44,Premissas!$A$5:$A$44,$A3101,Premissas!$B$5:$B$44,$B3101))+R3101*SUMIFS(Premissas!$E$5:$E$44,Premissas!$A$5:$A$44,$A3101,Premissas!$B$5:$B$44,$B3101)+S3101*SUMIFS(Premissas!$F$5:$F$44,Premissas!$A$5:$A$44,$A3101,Premissas!$B$5:$B$44,$B3101)</f>
        <v/>
      </c>
      <c r="L3101" s="29">
        <f>J3101-K3101</f>
        <v/>
      </c>
      <c r="M3101" t="inlineStr">
        <is>
          <t>1.350</t>
        </is>
      </c>
      <c r="N3101" t="inlineStr">
        <is>
          <t>Modalidade: 0 - Por conta do remetente | Parte: ROSANGELA ROSA DOS SANTOS (17.382.523/0001-42)</t>
        </is>
      </c>
      <c r="O3101" s="29" t="n">
        <v>0</v>
      </c>
      <c r="P3101" s="29" t="n">
        <v>0</v>
      </c>
      <c r="Q3101" s="29" t="n">
        <v>0</v>
      </c>
      <c r="R3101" s="29" t="n">
        <v>0</v>
      </c>
      <c r="S3101" s="29" t="n">
        <v>0</v>
      </c>
      <c r="T3101" t="inlineStr">
        <is>
          <t>25260326975620000130570010000066591001100650</t>
        </is>
      </c>
      <c r="U3101" t="inlineStr">
        <is>
          <t>Não</t>
        </is>
      </c>
    </row>
    <row r="3102">
      <c r="A3102" t="inlineStr">
        <is>
          <t>Frete de venda</t>
        </is>
      </c>
      <c r="B3102" t="inlineStr">
        <is>
          <t>2.01.02 Frete sobre Vendas</t>
        </is>
      </c>
      <c r="C3102" s="30" t="n">
        <v>46082</v>
      </c>
      <c r="D3102" t="inlineStr">
        <is>
          <t>Em 2026</t>
        </is>
      </c>
      <c r="E3102" s="28" t="n">
        <v>46105</v>
      </c>
      <c r="F3102" t="inlineStr">
        <is>
          <t>CT-e</t>
        </is>
      </c>
      <c r="G3102" t="inlineStr">
        <is>
          <t>000006660</t>
        </is>
      </c>
      <c r="H3102" t="inlineStr">
        <is>
          <t>R&amp;R TRANSPORTE E LOGISTICA</t>
        </is>
      </c>
      <c r="J3102" s="29" t="n">
        <v>124.19</v>
      </c>
      <c r="K3102" s="29">
        <f>(1-ISNUMBER(SEARCH("556",M3102)))*(O3102*SUMIFS(Premissas!$C$5:$C$44,Premissas!$A$5:$A$44,$A3102,Premissas!$B$5:$B$44,$B3102)+P3102*SUMIFS(Premissas!$D$5:$D$44,Premissas!$A$5:$A$44,$A3102,Premissas!$B$5:$B$44,$B3102))+R3102*SUMIFS(Premissas!$E$5:$E$44,Premissas!$A$5:$A$44,$A3102,Premissas!$B$5:$B$44,$B3102)+S3102*SUMIFS(Premissas!$F$5:$F$44,Premissas!$A$5:$A$44,$A3102,Premissas!$B$5:$B$44,$B3102)</f>
        <v/>
      </c>
      <c r="L3102" s="29">
        <f>J3102-K3102</f>
        <v/>
      </c>
      <c r="M3102" t="inlineStr">
        <is>
          <t>1.350</t>
        </is>
      </c>
      <c r="N3102" t="inlineStr">
        <is>
          <t>Modalidade: 0 - Por conta do remetente | Parte: CASA PACK DISTRIBUICAO DE EMBALAGENS LTDA (43.564.720/0001-92)</t>
        </is>
      </c>
      <c r="O3102" s="29" t="n">
        <v>0</v>
      </c>
      <c r="P3102" s="29" t="n">
        <v>0</v>
      </c>
      <c r="Q3102" s="29" t="n">
        <v>0</v>
      </c>
      <c r="R3102" s="29" t="n">
        <v>0</v>
      </c>
      <c r="S3102" s="29" t="n">
        <v>0</v>
      </c>
      <c r="T3102" t="inlineStr">
        <is>
          <t>25260326975620000130570010000066601000170737</t>
        </is>
      </c>
      <c r="U3102" t="inlineStr">
        <is>
          <t>Não</t>
        </is>
      </c>
    </row>
    <row r="3103">
      <c r="A3103" t="inlineStr">
        <is>
          <t>Frete de venda</t>
        </is>
      </c>
      <c r="B3103" t="inlineStr">
        <is>
          <t>2.01.02 Frete sobre Vendas</t>
        </is>
      </c>
      <c r="C3103" s="30" t="n">
        <v>46082</v>
      </c>
      <c r="D3103" t="inlineStr">
        <is>
          <t>Em 2026</t>
        </is>
      </c>
      <c r="E3103" s="28" t="n">
        <v>46105</v>
      </c>
      <c r="F3103" t="inlineStr">
        <is>
          <t>CT-e</t>
        </is>
      </c>
      <c r="G3103" t="inlineStr">
        <is>
          <t>000006661</t>
        </is>
      </c>
      <c r="H3103" t="inlineStr">
        <is>
          <t>R&amp;R TRANSPORTE E LOGISTICA</t>
        </is>
      </c>
      <c r="J3103" s="29" t="n">
        <v>185.48</v>
      </c>
      <c r="K3103" s="29">
        <f>(1-ISNUMBER(SEARCH("556",M3103)))*(O3103*SUMIFS(Premissas!$C$5:$C$44,Premissas!$A$5:$A$44,$A3103,Premissas!$B$5:$B$44,$B3103)+P3103*SUMIFS(Premissas!$D$5:$D$44,Premissas!$A$5:$A$44,$A3103,Premissas!$B$5:$B$44,$B3103))+R3103*SUMIFS(Premissas!$E$5:$E$44,Premissas!$A$5:$A$44,$A3103,Premissas!$B$5:$B$44,$B3103)+S3103*SUMIFS(Premissas!$F$5:$F$44,Premissas!$A$5:$A$44,$A3103,Premissas!$B$5:$B$44,$B3103)</f>
        <v/>
      </c>
      <c r="L3103" s="29">
        <f>J3103-K3103</f>
        <v/>
      </c>
      <c r="M3103" t="inlineStr">
        <is>
          <t>1.350</t>
        </is>
      </c>
      <c r="N3103" t="inlineStr">
        <is>
          <t>Modalidade: 0 - Por conta do remetente | Parte: EMBALE DISTRIBUIDORA LTDA (33.193.258/0001-00)</t>
        </is>
      </c>
      <c r="O3103" s="29" t="n">
        <v>0</v>
      </c>
      <c r="P3103" s="29" t="n">
        <v>0</v>
      </c>
      <c r="Q3103" s="29" t="n">
        <v>0</v>
      </c>
      <c r="R3103" s="29" t="n">
        <v>0</v>
      </c>
      <c r="S3103" s="29" t="n">
        <v>0</v>
      </c>
      <c r="T3103" t="inlineStr">
        <is>
          <t>25260326975620000130570010000066611000140819</t>
        </is>
      </c>
      <c r="U3103" t="inlineStr">
        <is>
          <t>Não</t>
        </is>
      </c>
    </row>
    <row r="3104">
      <c r="A3104" t="inlineStr">
        <is>
          <t>Frete de venda</t>
        </is>
      </c>
      <c r="B3104" t="inlineStr">
        <is>
          <t>2.01.02 Frete sobre Vendas</t>
        </is>
      </c>
      <c r="C3104" s="30" t="n">
        <v>46082</v>
      </c>
      <c r="D3104" t="inlineStr">
        <is>
          <t>Em 2026</t>
        </is>
      </c>
      <c r="E3104" s="28" t="n">
        <v>46105</v>
      </c>
      <c r="F3104" t="inlineStr">
        <is>
          <t>CT-e</t>
        </is>
      </c>
      <c r="G3104" t="inlineStr">
        <is>
          <t>000006662</t>
        </is>
      </c>
      <c r="H3104" t="inlineStr">
        <is>
          <t>R&amp;R TRANSPORTE E LOGISTICA</t>
        </is>
      </c>
      <c r="J3104" s="29" t="n">
        <v>32.08</v>
      </c>
      <c r="K3104" s="29">
        <f>(1-ISNUMBER(SEARCH("556",M3104)))*(O3104*SUMIFS(Premissas!$C$5:$C$44,Premissas!$A$5:$A$44,$A3104,Premissas!$B$5:$B$44,$B3104)+P3104*SUMIFS(Premissas!$D$5:$D$44,Premissas!$A$5:$A$44,$A3104,Premissas!$B$5:$B$44,$B3104))+R3104*SUMIFS(Premissas!$E$5:$E$44,Premissas!$A$5:$A$44,$A3104,Premissas!$B$5:$B$44,$B3104)+S3104*SUMIFS(Premissas!$F$5:$F$44,Premissas!$A$5:$A$44,$A3104,Premissas!$B$5:$B$44,$B3104)</f>
        <v/>
      </c>
      <c r="L3104" s="29">
        <f>J3104-K3104</f>
        <v/>
      </c>
      <c r="M3104" t="inlineStr">
        <is>
          <t>1.350</t>
        </is>
      </c>
      <c r="N3104" t="inlineStr">
        <is>
          <t>Modalidade: 0 - Por conta do remetente | Parte: COMERCIAL DE DOCES E BEBIDAS CENTRAL LTDA (02.830.640/0001-54)</t>
        </is>
      </c>
      <c r="O3104" s="29" t="n">
        <v>0</v>
      </c>
      <c r="P3104" s="29" t="n">
        <v>0</v>
      </c>
      <c r="Q3104" s="29" t="n">
        <v>0</v>
      </c>
      <c r="R3104" s="29" t="n">
        <v>0</v>
      </c>
      <c r="S3104" s="29" t="n">
        <v>0</v>
      </c>
      <c r="T3104" t="inlineStr">
        <is>
          <t>25260326975620000130570010000066621000110895</t>
        </is>
      </c>
      <c r="U3104" t="inlineStr">
        <is>
          <t>Não</t>
        </is>
      </c>
    </row>
    <row r="3105">
      <c r="A3105" t="inlineStr">
        <is>
          <t>Frete de venda</t>
        </is>
      </c>
      <c r="B3105" t="inlineStr">
        <is>
          <t>2.01.02 Frete sobre Vendas</t>
        </is>
      </c>
      <c r="C3105" s="30" t="n">
        <v>46082</v>
      </c>
      <c r="D3105" t="inlineStr">
        <is>
          <t>Em 2026</t>
        </is>
      </c>
      <c r="E3105" s="28" t="n">
        <v>46105</v>
      </c>
      <c r="F3105" t="inlineStr">
        <is>
          <t>CT-e</t>
        </is>
      </c>
      <c r="G3105" t="inlineStr">
        <is>
          <t>000006663</t>
        </is>
      </c>
      <c r="H3105" t="inlineStr">
        <is>
          <t>R&amp;R TRANSPORTE E LOGISTICA</t>
        </is>
      </c>
      <c r="J3105" s="29" t="n">
        <v>17.8</v>
      </c>
      <c r="K3105" s="29">
        <f>(1-ISNUMBER(SEARCH("556",M3105)))*(O3105*SUMIFS(Premissas!$C$5:$C$44,Premissas!$A$5:$A$44,$A3105,Premissas!$B$5:$B$44,$B3105)+P3105*SUMIFS(Premissas!$D$5:$D$44,Premissas!$A$5:$A$44,$A3105,Premissas!$B$5:$B$44,$B3105))+R3105*SUMIFS(Premissas!$E$5:$E$44,Premissas!$A$5:$A$44,$A3105,Premissas!$B$5:$B$44,$B3105)+S3105*SUMIFS(Premissas!$F$5:$F$44,Premissas!$A$5:$A$44,$A3105,Premissas!$B$5:$B$44,$B3105)</f>
        <v/>
      </c>
      <c r="L3105" s="29">
        <f>J3105-K3105</f>
        <v/>
      </c>
      <c r="M3105" t="inlineStr">
        <is>
          <t>1.350</t>
        </is>
      </c>
      <c r="N3105" t="inlineStr">
        <is>
          <t>Modalidade: 0 - Por conta do remetente | Parte: COMERCIO DE DOCES E FESTAS MIAMI LTDA (28.551.610/0001-00)</t>
        </is>
      </c>
      <c r="O3105" s="29" t="n">
        <v>0</v>
      </c>
      <c r="P3105" s="29" t="n">
        <v>0</v>
      </c>
      <c r="Q3105" s="29" t="n">
        <v>0</v>
      </c>
      <c r="R3105" s="29" t="n">
        <v>0</v>
      </c>
      <c r="S3105" s="29" t="n">
        <v>0</v>
      </c>
      <c r="T3105" t="inlineStr">
        <is>
          <t>25260326975620000130570010000066631000190977</t>
        </is>
      </c>
      <c r="U3105" t="inlineStr">
        <is>
          <t>Não</t>
        </is>
      </c>
    </row>
    <row r="3106">
      <c r="A3106" t="inlineStr">
        <is>
          <t>Frete de venda</t>
        </is>
      </c>
      <c r="B3106" t="inlineStr">
        <is>
          <t>2.01.02 Frete sobre Vendas</t>
        </is>
      </c>
      <c r="C3106" s="30" t="n">
        <v>46082</v>
      </c>
      <c r="D3106" t="inlineStr">
        <is>
          <t>Em 2026</t>
        </is>
      </c>
      <c r="E3106" s="28" t="n">
        <v>46105</v>
      </c>
      <c r="F3106" t="inlineStr">
        <is>
          <t>CT-e</t>
        </is>
      </c>
      <c r="G3106" t="inlineStr">
        <is>
          <t>000006664</t>
        </is>
      </c>
      <c r="H3106" t="inlineStr">
        <is>
          <t>R&amp;R TRANSPORTE E LOGISTICA</t>
        </is>
      </c>
      <c r="J3106" s="29" t="n">
        <v>24.79</v>
      </c>
      <c r="K3106" s="29">
        <f>(1-ISNUMBER(SEARCH("556",M3106)))*(O3106*SUMIFS(Premissas!$C$5:$C$44,Premissas!$A$5:$A$44,$A3106,Premissas!$B$5:$B$44,$B3106)+P3106*SUMIFS(Premissas!$D$5:$D$44,Premissas!$A$5:$A$44,$A3106,Premissas!$B$5:$B$44,$B3106))+R3106*SUMIFS(Premissas!$E$5:$E$44,Premissas!$A$5:$A$44,$A3106,Premissas!$B$5:$B$44,$B3106)+S3106*SUMIFS(Premissas!$F$5:$F$44,Premissas!$A$5:$A$44,$A3106,Premissas!$B$5:$B$44,$B3106)</f>
        <v/>
      </c>
      <c r="L3106" s="29">
        <f>J3106-K3106</f>
        <v/>
      </c>
      <c r="M3106" t="inlineStr">
        <is>
          <t>1.350</t>
        </is>
      </c>
      <c r="N3106" t="inlineStr">
        <is>
          <t>Modalidade: 0 - Por conta do remetente | Parte: EDSON G DE CARVALHO COMERCIAL DE ALIMENTOS (22.027.295/0001-22)</t>
        </is>
      </c>
      <c r="O3106" s="29" t="n">
        <v>0</v>
      </c>
      <c r="P3106" s="29" t="n">
        <v>0</v>
      </c>
      <c r="Q3106" s="29" t="n">
        <v>0</v>
      </c>
      <c r="R3106" s="29" t="n">
        <v>0</v>
      </c>
      <c r="S3106" s="29" t="n">
        <v>0</v>
      </c>
      <c r="T3106" t="inlineStr">
        <is>
          <t>25260326975620000130570010000066641001601056</t>
        </is>
      </c>
      <c r="U3106" t="inlineStr">
        <is>
          <t>Não</t>
        </is>
      </c>
    </row>
    <row r="3107">
      <c r="A3107" t="inlineStr">
        <is>
          <t>Frete de venda</t>
        </is>
      </c>
      <c r="B3107" t="inlineStr">
        <is>
          <t>2.01.02 Frete sobre Vendas</t>
        </is>
      </c>
      <c r="C3107" s="30" t="n">
        <v>46082</v>
      </c>
      <c r="D3107" t="inlineStr">
        <is>
          <t>Em 2026</t>
        </is>
      </c>
      <c r="E3107" s="28" t="n">
        <v>46105</v>
      </c>
      <c r="F3107" t="inlineStr">
        <is>
          <t>CT-e</t>
        </is>
      </c>
      <c r="G3107" t="inlineStr">
        <is>
          <t>000006665</t>
        </is>
      </c>
      <c r="H3107" t="inlineStr">
        <is>
          <t>R&amp;R TRANSPORTE E LOGISTICA</t>
        </is>
      </c>
      <c r="J3107" s="29" t="n">
        <v>35.1</v>
      </c>
      <c r="K3107" s="29">
        <f>(1-ISNUMBER(SEARCH("556",M3107)))*(O3107*SUMIFS(Premissas!$C$5:$C$44,Premissas!$A$5:$A$44,$A3107,Premissas!$B$5:$B$44,$B3107)+P3107*SUMIFS(Premissas!$D$5:$D$44,Premissas!$A$5:$A$44,$A3107,Premissas!$B$5:$B$44,$B3107))+R3107*SUMIFS(Premissas!$E$5:$E$44,Premissas!$A$5:$A$44,$A3107,Premissas!$B$5:$B$44,$B3107)+S3107*SUMIFS(Premissas!$F$5:$F$44,Premissas!$A$5:$A$44,$A3107,Premissas!$B$5:$B$44,$B3107)</f>
        <v/>
      </c>
      <c r="L3107" s="29">
        <f>J3107-K3107</f>
        <v/>
      </c>
      <c r="M3107" t="inlineStr">
        <is>
          <t>1.350</t>
        </is>
      </c>
      <c r="N3107" t="inlineStr">
        <is>
          <t>Modalidade: 0 - Por conta do remetente | Parte: BARBOSA EMBALAGENS LTDA (14.913.229/0001-21)</t>
        </is>
      </c>
      <c r="O3107" s="29" t="n">
        <v>0</v>
      </c>
      <c r="P3107" s="29" t="n">
        <v>0</v>
      </c>
      <c r="Q3107" s="29" t="n">
        <v>0</v>
      </c>
      <c r="R3107" s="29" t="n">
        <v>0</v>
      </c>
      <c r="S3107" s="29" t="n">
        <v>0</v>
      </c>
      <c r="T3107" t="inlineStr">
        <is>
          <t>25260326975620000130570010000066651001301130</t>
        </is>
      </c>
      <c r="U3107" t="inlineStr">
        <is>
          <t>Não</t>
        </is>
      </c>
    </row>
    <row r="3108">
      <c r="A3108" t="inlineStr">
        <is>
          <t>Frete de venda</t>
        </is>
      </c>
      <c r="B3108" t="inlineStr">
        <is>
          <t>2.01.02 Frete sobre Vendas</t>
        </is>
      </c>
      <c r="C3108" s="30" t="n">
        <v>46082</v>
      </c>
      <c r="D3108" t="inlineStr">
        <is>
          <t>Em 2026</t>
        </is>
      </c>
      <c r="E3108" s="28" t="n">
        <v>46105</v>
      </c>
      <c r="F3108" t="inlineStr">
        <is>
          <t>CT-e</t>
        </is>
      </c>
      <c r="G3108" t="inlineStr">
        <is>
          <t>000006666</t>
        </is>
      </c>
      <c r="H3108" t="inlineStr">
        <is>
          <t>R&amp;R TRANSPORTE E LOGISTICA</t>
        </is>
      </c>
      <c r="J3108" s="29" t="n">
        <v>30.43</v>
      </c>
      <c r="K3108" s="29">
        <f>(1-ISNUMBER(SEARCH("556",M3108)))*(O3108*SUMIFS(Premissas!$C$5:$C$44,Premissas!$A$5:$A$44,$A3108,Premissas!$B$5:$B$44,$B3108)+P3108*SUMIFS(Premissas!$D$5:$D$44,Premissas!$A$5:$A$44,$A3108,Premissas!$B$5:$B$44,$B3108))+R3108*SUMIFS(Premissas!$E$5:$E$44,Premissas!$A$5:$A$44,$A3108,Premissas!$B$5:$B$44,$B3108)+S3108*SUMIFS(Premissas!$F$5:$F$44,Premissas!$A$5:$A$44,$A3108,Premissas!$B$5:$B$44,$B3108)</f>
        <v/>
      </c>
      <c r="L3108" s="29">
        <f>J3108-K3108</f>
        <v/>
      </c>
      <c r="M3108" t="inlineStr">
        <is>
          <t>1.350</t>
        </is>
      </c>
      <c r="N3108" t="inlineStr">
        <is>
          <t>Modalidade: 0 - Por conta do remetente | Parte: JULIO CESAR PEREIRA LTDA (65.181.473/0001-88)</t>
        </is>
      </c>
      <c r="O3108" s="29" t="n">
        <v>0</v>
      </c>
      <c r="P3108" s="29" t="n">
        <v>0</v>
      </c>
      <c r="Q3108" s="29" t="n">
        <v>0</v>
      </c>
      <c r="R3108" s="29" t="n">
        <v>0</v>
      </c>
      <c r="S3108" s="29" t="n">
        <v>0</v>
      </c>
      <c r="T3108" t="inlineStr">
        <is>
          <t>25260326975620000130570010000066661000101216</t>
        </is>
      </c>
      <c r="U3108" t="inlineStr">
        <is>
          <t>Não</t>
        </is>
      </c>
    </row>
    <row r="3109">
      <c r="A3109" t="inlineStr">
        <is>
          <t>Frete de venda</t>
        </is>
      </c>
      <c r="B3109" t="inlineStr">
        <is>
          <t>2.01.02 Frete sobre Vendas</t>
        </is>
      </c>
      <c r="C3109" s="30" t="n">
        <v>46082</v>
      </c>
      <c r="D3109" t="inlineStr">
        <is>
          <t>Em 2026</t>
        </is>
      </c>
      <c r="E3109" s="28" t="n">
        <v>46105</v>
      </c>
      <c r="F3109" t="inlineStr">
        <is>
          <t>CT-e</t>
        </is>
      </c>
      <c r="G3109" t="inlineStr">
        <is>
          <t>000006667</t>
        </is>
      </c>
      <c r="H3109" t="inlineStr">
        <is>
          <t>R&amp;R TRANSPORTE E LOGISTICA</t>
        </is>
      </c>
      <c r="J3109" s="29" t="n">
        <v>41.27</v>
      </c>
      <c r="K3109" s="29">
        <f>(1-ISNUMBER(SEARCH("556",M3109)))*(O3109*SUMIFS(Premissas!$C$5:$C$44,Premissas!$A$5:$A$44,$A3109,Premissas!$B$5:$B$44,$B3109)+P3109*SUMIFS(Premissas!$D$5:$D$44,Premissas!$A$5:$A$44,$A3109,Premissas!$B$5:$B$44,$B3109))+R3109*SUMIFS(Premissas!$E$5:$E$44,Premissas!$A$5:$A$44,$A3109,Premissas!$B$5:$B$44,$B3109)+S3109*SUMIFS(Premissas!$F$5:$F$44,Premissas!$A$5:$A$44,$A3109,Premissas!$B$5:$B$44,$B3109)</f>
        <v/>
      </c>
      <c r="L3109" s="29">
        <f>J3109-K3109</f>
        <v/>
      </c>
      <c r="M3109" t="inlineStr">
        <is>
          <t>1.350</t>
        </is>
      </c>
      <c r="N3109" t="inlineStr">
        <is>
          <t>Modalidade: 0 - Por conta do remetente | Parte: DISTRIBUIDORA SILVA PRODUTOS DE LIMPEZA E EMBALAGENS LTDA (22.825.692/0001-40)</t>
        </is>
      </c>
      <c r="O3109" s="29" t="n">
        <v>0</v>
      </c>
      <c r="P3109" s="29" t="n">
        <v>0</v>
      </c>
      <c r="Q3109" s="29" t="n">
        <v>0</v>
      </c>
      <c r="R3109" s="29" t="n">
        <v>0</v>
      </c>
      <c r="S3109" s="29" t="n">
        <v>0</v>
      </c>
      <c r="T3109" t="inlineStr">
        <is>
          <t>25260326975620000130570010000066671001801294</t>
        </is>
      </c>
      <c r="U3109" t="inlineStr">
        <is>
          <t>Não</t>
        </is>
      </c>
    </row>
    <row r="3110">
      <c r="A3110" t="inlineStr">
        <is>
          <t>Frete de venda</t>
        </is>
      </c>
      <c r="B3110" t="inlineStr">
        <is>
          <t>2.01.02 Frete sobre Vendas</t>
        </is>
      </c>
      <c r="C3110" s="30" t="n">
        <v>46082</v>
      </c>
      <c r="D3110" t="inlineStr">
        <is>
          <t>Em 2026</t>
        </is>
      </c>
      <c r="E3110" s="28" t="n">
        <v>46105</v>
      </c>
      <c r="F3110" t="inlineStr">
        <is>
          <t>CT-e</t>
        </is>
      </c>
      <c r="G3110" t="inlineStr">
        <is>
          <t>000006668</t>
        </is>
      </c>
      <c r="H3110" t="inlineStr">
        <is>
          <t>R&amp;R TRANSPORTE E LOGISTICA</t>
        </is>
      </c>
      <c r="J3110" s="29" t="n">
        <v>26.83</v>
      </c>
      <c r="K3110" s="29">
        <f>(1-ISNUMBER(SEARCH("556",M3110)))*(O3110*SUMIFS(Premissas!$C$5:$C$44,Premissas!$A$5:$A$44,$A3110,Premissas!$B$5:$B$44,$B3110)+P3110*SUMIFS(Premissas!$D$5:$D$44,Premissas!$A$5:$A$44,$A3110,Premissas!$B$5:$B$44,$B3110))+R3110*SUMIFS(Premissas!$E$5:$E$44,Premissas!$A$5:$A$44,$A3110,Premissas!$B$5:$B$44,$B3110)+S3110*SUMIFS(Premissas!$F$5:$F$44,Premissas!$A$5:$A$44,$A3110,Premissas!$B$5:$B$44,$B3110)</f>
        <v/>
      </c>
      <c r="L3110" s="29">
        <f>J3110-K3110</f>
        <v/>
      </c>
      <c r="M3110" t="inlineStr">
        <is>
          <t>1.350</t>
        </is>
      </c>
      <c r="N3110" t="inlineStr">
        <is>
          <t>Modalidade: 0 - Por conta do remetente | Parte: GEORGES TALGI MAILAH - SUPER LOJAO ECONOMICO (34.697.540/0001-98)</t>
        </is>
      </c>
      <c r="O3110" s="29" t="n">
        <v>0</v>
      </c>
      <c r="P3110" s="29" t="n">
        <v>0</v>
      </c>
      <c r="Q3110" s="29" t="n">
        <v>0</v>
      </c>
      <c r="R3110" s="29" t="n">
        <v>0</v>
      </c>
      <c r="S3110" s="29" t="n">
        <v>0</v>
      </c>
      <c r="T3110" t="inlineStr">
        <is>
          <t>25260326975620000130570010000066681000190647</t>
        </is>
      </c>
      <c r="U3110" t="inlineStr">
        <is>
          <t>Não</t>
        </is>
      </c>
    </row>
    <row r="3111">
      <c r="A3111" t="inlineStr">
        <is>
          <t>Frete de venda</t>
        </is>
      </c>
      <c r="B3111" t="inlineStr">
        <is>
          <t>2.01.02 Frete sobre Vendas</t>
        </is>
      </c>
      <c r="C3111" s="30" t="n">
        <v>46082</v>
      </c>
      <c r="D3111" t="inlineStr">
        <is>
          <t>Em 2026</t>
        </is>
      </c>
      <c r="E3111" s="28" t="n">
        <v>46105</v>
      </c>
      <c r="F3111" t="inlineStr">
        <is>
          <t>CT-e</t>
        </is>
      </c>
      <c r="G3111" t="inlineStr">
        <is>
          <t>000006669</t>
        </is>
      </c>
      <c r="H3111" t="inlineStr">
        <is>
          <t>R&amp;R TRANSPORTE E LOGISTICA</t>
        </is>
      </c>
      <c r="J3111" s="29" t="n">
        <v>34.4</v>
      </c>
      <c r="K3111" s="29">
        <f>(1-ISNUMBER(SEARCH("556",M3111)))*(O3111*SUMIFS(Premissas!$C$5:$C$44,Premissas!$A$5:$A$44,$A3111,Premissas!$B$5:$B$44,$B3111)+P3111*SUMIFS(Premissas!$D$5:$D$44,Premissas!$A$5:$A$44,$A3111,Premissas!$B$5:$B$44,$B3111))+R3111*SUMIFS(Premissas!$E$5:$E$44,Premissas!$A$5:$A$44,$A3111,Premissas!$B$5:$B$44,$B3111)+S3111*SUMIFS(Premissas!$F$5:$F$44,Premissas!$A$5:$A$44,$A3111,Premissas!$B$5:$B$44,$B3111)</f>
        <v/>
      </c>
      <c r="L3111" s="29">
        <f>J3111-K3111</f>
        <v/>
      </c>
      <c r="M3111" t="inlineStr">
        <is>
          <t>1.350</t>
        </is>
      </c>
      <c r="N3111" t="inlineStr">
        <is>
          <t>Modalidade: 0 - Por conta do remetente | Parte: MARCONDES N DE SOUZA LTDA (05.847.768/0001-19)</t>
        </is>
      </c>
      <c r="O3111" s="29" t="n">
        <v>0</v>
      </c>
      <c r="P3111" s="29" t="n">
        <v>0</v>
      </c>
      <c r="Q3111" s="29" t="n">
        <v>0</v>
      </c>
      <c r="R3111" s="29" t="n">
        <v>0</v>
      </c>
      <c r="S3111" s="29" t="n">
        <v>0</v>
      </c>
      <c r="T3111" t="inlineStr">
        <is>
          <t>25260326975620000130570010000066691000160729</t>
        </is>
      </c>
      <c r="U3111" t="inlineStr">
        <is>
          <t>Não</t>
        </is>
      </c>
    </row>
    <row r="3112">
      <c r="A3112" t="inlineStr">
        <is>
          <t>Frete de venda</t>
        </is>
      </c>
      <c r="B3112" t="inlineStr">
        <is>
          <t>2.01.02 Frete sobre Vendas</t>
        </is>
      </c>
      <c r="C3112" s="30" t="n">
        <v>46082</v>
      </c>
      <c r="D3112" t="inlineStr">
        <is>
          <t>Em 2026</t>
        </is>
      </c>
      <c r="E3112" s="28" t="n">
        <v>46105</v>
      </c>
      <c r="F3112" t="inlineStr">
        <is>
          <t>CT-e</t>
        </is>
      </c>
      <c r="G3112" t="inlineStr">
        <is>
          <t>000006670</t>
        </is>
      </c>
      <c r="H3112" t="inlineStr">
        <is>
          <t>R&amp;R TRANSPORTE E LOGISTICA</t>
        </is>
      </c>
      <c r="J3112" s="29" t="n">
        <v>27.73</v>
      </c>
      <c r="K3112" s="29">
        <f>(1-ISNUMBER(SEARCH("556",M3112)))*(O3112*SUMIFS(Premissas!$C$5:$C$44,Premissas!$A$5:$A$44,$A3112,Premissas!$B$5:$B$44,$B3112)+P3112*SUMIFS(Premissas!$D$5:$D$44,Premissas!$A$5:$A$44,$A3112,Premissas!$B$5:$B$44,$B3112))+R3112*SUMIFS(Premissas!$E$5:$E$44,Premissas!$A$5:$A$44,$A3112,Premissas!$B$5:$B$44,$B3112)+S3112*SUMIFS(Premissas!$F$5:$F$44,Premissas!$A$5:$A$44,$A3112,Premissas!$B$5:$B$44,$B3112)</f>
        <v/>
      </c>
      <c r="L3112" s="29">
        <f>J3112-K3112</f>
        <v/>
      </c>
      <c r="M3112" t="inlineStr">
        <is>
          <t>1.350</t>
        </is>
      </c>
      <c r="N3112" t="inlineStr">
        <is>
          <t>Modalidade: 0 - Por conta do remetente | Parte: A. C. D. A. IMPORTACAO E EXPORTACAO LTDA (84.308.980/0014-07)</t>
        </is>
      </c>
      <c r="O3112" s="29" t="n">
        <v>0</v>
      </c>
      <c r="P3112" s="29" t="n">
        <v>0</v>
      </c>
      <c r="Q3112" s="29" t="n">
        <v>0</v>
      </c>
      <c r="R3112" s="29" t="n">
        <v>0</v>
      </c>
      <c r="S3112" s="29" t="n">
        <v>0</v>
      </c>
      <c r="T3112" t="inlineStr">
        <is>
          <t>25260326975620000130570010000066701000130804</t>
        </is>
      </c>
      <c r="U3112" t="inlineStr">
        <is>
          <t>Não</t>
        </is>
      </c>
    </row>
    <row r="3113">
      <c r="A3113" t="inlineStr">
        <is>
          <t>Frete de venda</t>
        </is>
      </c>
      <c r="B3113" t="inlineStr">
        <is>
          <t>2.01.02 Frete sobre Vendas</t>
        </is>
      </c>
      <c r="C3113" s="30" t="n">
        <v>46082</v>
      </c>
      <c r="D3113" t="inlineStr">
        <is>
          <t>Em 2026</t>
        </is>
      </c>
      <c r="E3113" s="28" t="n">
        <v>46105</v>
      </c>
      <c r="F3113" t="inlineStr">
        <is>
          <t>CT-e</t>
        </is>
      </c>
      <c r="G3113" t="inlineStr">
        <is>
          <t>000006671</t>
        </is>
      </c>
      <c r="H3113" t="inlineStr">
        <is>
          <t>R&amp;R TRANSPORTE E LOGISTICA</t>
        </is>
      </c>
      <c r="J3113" s="29" t="n">
        <v>23.48</v>
      </c>
      <c r="K3113" s="29">
        <f>(1-ISNUMBER(SEARCH("556",M3113)))*(O3113*SUMIFS(Premissas!$C$5:$C$44,Premissas!$A$5:$A$44,$A3113,Premissas!$B$5:$B$44,$B3113)+P3113*SUMIFS(Premissas!$D$5:$D$44,Premissas!$A$5:$A$44,$A3113,Premissas!$B$5:$B$44,$B3113))+R3113*SUMIFS(Premissas!$E$5:$E$44,Premissas!$A$5:$A$44,$A3113,Premissas!$B$5:$B$44,$B3113)+S3113*SUMIFS(Premissas!$F$5:$F$44,Premissas!$A$5:$A$44,$A3113,Premissas!$B$5:$B$44,$B3113)</f>
        <v/>
      </c>
      <c r="L3113" s="29">
        <f>J3113-K3113</f>
        <v/>
      </c>
      <c r="M3113" t="inlineStr">
        <is>
          <t>1.350</t>
        </is>
      </c>
      <c r="N3113" t="inlineStr">
        <is>
          <t>Modalidade: 0 - Por conta do remetente | Parte: R. M. P. MARINHO e CIA LTDA (84.311.000/0001-00)</t>
        </is>
      </c>
      <c r="O3113" s="29" t="n">
        <v>0</v>
      </c>
      <c r="P3113" s="29" t="n">
        <v>0</v>
      </c>
      <c r="Q3113" s="29" t="n">
        <v>0</v>
      </c>
      <c r="R3113" s="29" t="n">
        <v>0</v>
      </c>
      <c r="S3113" s="29" t="n">
        <v>0</v>
      </c>
      <c r="T3113" t="inlineStr">
        <is>
          <t>25260326975620000130570010000066711000010881</t>
        </is>
      </c>
      <c r="U3113" t="inlineStr">
        <is>
          <t>Não</t>
        </is>
      </c>
    </row>
    <row r="3114">
      <c r="A3114" t="inlineStr">
        <is>
          <t>Frete de venda</t>
        </is>
      </c>
      <c r="B3114" t="inlineStr">
        <is>
          <t>2.01.02 Frete sobre Vendas</t>
        </is>
      </c>
      <c r="C3114" s="30" t="n">
        <v>46082</v>
      </c>
      <c r="D3114" t="inlineStr">
        <is>
          <t>Em 2026</t>
        </is>
      </c>
      <c r="E3114" s="28" t="n">
        <v>46107</v>
      </c>
      <c r="F3114" t="inlineStr">
        <is>
          <t>CT-e</t>
        </is>
      </c>
      <c r="G3114" t="inlineStr">
        <is>
          <t>000006674</t>
        </is>
      </c>
      <c r="H3114" t="inlineStr">
        <is>
          <t>R&amp;R TRANSPORTE E LOGISTICA</t>
        </is>
      </c>
      <c r="J3114" s="29" t="n">
        <v>176.12</v>
      </c>
      <c r="K3114" s="29">
        <f>(1-ISNUMBER(SEARCH("556",M3114)))*(O3114*SUMIFS(Premissas!$C$5:$C$44,Premissas!$A$5:$A$44,$A3114,Premissas!$B$5:$B$44,$B3114)+P3114*SUMIFS(Premissas!$D$5:$D$44,Premissas!$A$5:$A$44,$A3114,Premissas!$B$5:$B$44,$B3114))+R3114*SUMIFS(Premissas!$E$5:$E$44,Premissas!$A$5:$A$44,$A3114,Premissas!$B$5:$B$44,$B3114)+S3114*SUMIFS(Premissas!$F$5:$F$44,Premissas!$A$5:$A$44,$A3114,Premissas!$B$5:$B$44,$B3114)</f>
        <v/>
      </c>
      <c r="L3114" s="29">
        <f>J3114-K3114</f>
        <v/>
      </c>
      <c r="M3114" t="inlineStr">
        <is>
          <t>1.350</t>
        </is>
      </c>
      <c r="N3114" t="inlineStr">
        <is>
          <t>Modalidade: 0 - Por conta do remetente | Parte: SELLPACK DISTRIBUIDORA LTDA (07.747.107/0002-28)</t>
        </is>
      </c>
      <c r="O3114" s="29" t="n">
        <v>0</v>
      </c>
      <c r="P3114" s="29" t="n">
        <v>0</v>
      </c>
      <c r="Q3114" s="29" t="n">
        <v>0</v>
      </c>
      <c r="R3114" s="29" t="n">
        <v>0</v>
      </c>
      <c r="S3114" s="29" t="n">
        <v>0</v>
      </c>
      <c r="T3114" t="inlineStr">
        <is>
          <t>25260326975620000130570010000066741001301571</t>
        </is>
      </c>
      <c r="U3114" t="inlineStr">
        <is>
          <t>Não</t>
        </is>
      </c>
    </row>
    <row r="3115">
      <c r="A3115" t="inlineStr">
        <is>
          <t>Frete de venda</t>
        </is>
      </c>
      <c r="B3115" t="inlineStr">
        <is>
          <t>2.01.02 Frete sobre Vendas</t>
        </is>
      </c>
      <c r="C3115" s="30" t="n">
        <v>46082</v>
      </c>
      <c r="D3115" t="inlineStr">
        <is>
          <t>Em 2026</t>
        </is>
      </c>
      <c r="E3115" s="28" t="n">
        <v>46107</v>
      </c>
      <c r="F3115" t="inlineStr">
        <is>
          <t>CT-e</t>
        </is>
      </c>
      <c r="G3115" t="inlineStr">
        <is>
          <t>000006675</t>
        </is>
      </c>
      <c r="H3115" t="inlineStr">
        <is>
          <t>R&amp;R TRANSPORTE E LOGISTICA</t>
        </is>
      </c>
      <c r="J3115" s="29" t="n">
        <v>87.37</v>
      </c>
      <c r="K3115" s="29">
        <f>(1-ISNUMBER(SEARCH("556",M3115)))*(O3115*SUMIFS(Premissas!$C$5:$C$44,Premissas!$A$5:$A$44,$A3115,Premissas!$B$5:$B$44,$B3115)+P3115*SUMIFS(Premissas!$D$5:$D$44,Premissas!$A$5:$A$44,$A3115,Premissas!$B$5:$B$44,$B3115))+R3115*SUMIFS(Premissas!$E$5:$E$44,Premissas!$A$5:$A$44,$A3115,Premissas!$B$5:$B$44,$B3115)+S3115*SUMIFS(Premissas!$F$5:$F$44,Premissas!$A$5:$A$44,$A3115,Premissas!$B$5:$B$44,$B3115)</f>
        <v/>
      </c>
      <c r="L3115" s="29">
        <f>J3115-K3115</f>
        <v/>
      </c>
      <c r="M3115" t="inlineStr">
        <is>
          <t>1.350</t>
        </is>
      </c>
      <c r="N3115" t="inlineStr">
        <is>
          <t>Modalidade: 0 - Por conta do remetente | Parte: DISTRIBUIDORA DE EMBALAGENS SUACUI LTDA (10.560.122/0001-96)</t>
        </is>
      </c>
      <c r="O3115" s="29" t="n">
        <v>0</v>
      </c>
      <c r="P3115" s="29" t="n">
        <v>0</v>
      </c>
      <c r="Q3115" s="29" t="n">
        <v>0</v>
      </c>
      <c r="R3115" s="29" t="n">
        <v>0</v>
      </c>
      <c r="S3115" s="29" t="n">
        <v>0</v>
      </c>
      <c r="T3115" t="inlineStr">
        <is>
          <t>25260326975620000130570010000066751000140920</t>
        </is>
      </c>
      <c r="U3115" t="inlineStr">
        <is>
          <t>Não</t>
        </is>
      </c>
    </row>
    <row r="3116">
      <c r="A3116" t="inlineStr">
        <is>
          <t>Frete de venda</t>
        </is>
      </c>
      <c r="B3116" t="inlineStr">
        <is>
          <t>2.01.02 Frete sobre Vendas</t>
        </is>
      </c>
      <c r="C3116" s="30" t="n">
        <v>46082</v>
      </c>
      <c r="D3116" t="inlineStr">
        <is>
          <t>Em 2026</t>
        </is>
      </c>
      <c r="E3116" s="28" t="n">
        <v>46107</v>
      </c>
      <c r="F3116" t="inlineStr">
        <is>
          <t>CT-e</t>
        </is>
      </c>
      <c r="G3116" t="inlineStr">
        <is>
          <t>000006676</t>
        </is>
      </c>
      <c r="H3116" t="inlineStr">
        <is>
          <t>R&amp;R TRANSPORTE E LOGISTICA</t>
        </is>
      </c>
      <c r="J3116" s="29" t="n">
        <v>64.09999999999999</v>
      </c>
      <c r="K3116" s="29">
        <f>(1-ISNUMBER(SEARCH("556",M3116)))*(O3116*SUMIFS(Premissas!$C$5:$C$44,Premissas!$A$5:$A$44,$A3116,Premissas!$B$5:$B$44,$B3116)+P3116*SUMIFS(Premissas!$D$5:$D$44,Premissas!$A$5:$A$44,$A3116,Premissas!$B$5:$B$44,$B3116))+R3116*SUMIFS(Premissas!$E$5:$E$44,Premissas!$A$5:$A$44,$A3116,Premissas!$B$5:$B$44,$B3116)+S3116*SUMIFS(Premissas!$F$5:$F$44,Premissas!$A$5:$A$44,$A3116,Premissas!$B$5:$B$44,$B3116)</f>
        <v/>
      </c>
      <c r="L3116" s="29">
        <f>J3116-K3116</f>
        <v/>
      </c>
      <c r="M3116" t="inlineStr">
        <is>
          <t>1.350</t>
        </is>
      </c>
      <c r="N3116" t="inlineStr">
        <is>
          <t>Modalidade: 0 - Por conta do remetente | Parte: EMBALAGENS DONA BEJA LTDA (07.708.583/0001-59)</t>
        </is>
      </c>
      <c r="O3116" s="29" t="n">
        <v>0</v>
      </c>
      <c r="P3116" s="29" t="n">
        <v>0</v>
      </c>
      <c r="Q3116" s="29" t="n">
        <v>0</v>
      </c>
      <c r="R3116" s="29" t="n">
        <v>0</v>
      </c>
      <c r="S3116" s="29" t="n">
        <v>0</v>
      </c>
      <c r="T3116" t="inlineStr">
        <is>
          <t>25260326975620000130570010000066761001101003</t>
        </is>
      </c>
      <c r="U3116" t="inlineStr">
        <is>
          <t>Não</t>
        </is>
      </c>
    </row>
    <row r="3117">
      <c r="A3117" t="inlineStr">
        <is>
          <t>Frete de venda</t>
        </is>
      </c>
      <c r="B3117" t="inlineStr">
        <is>
          <t>2.01.02 Frete sobre Vendas</t>
        </is>
      </c>
      <c r="C3117" s="30" t="n">
        <v>46082</v>
      </c>
      <c r="D3117" t="inlineStr">
        <is>
          <t>Em 2026</t>
        </is>
      </c>
      <c r="E3117" s="28" t="n">
        <v>46107</v>
      </c>
      <c r="F3117" t="inlineStr">
        <is>
          <t>CT-e</t>
        </is>
      </c>
      <c r="G3117" t="inlineStr">
        <is>
          <t>000006677</t>
        </is>
      </c>
      <c r="H3117" t="inlineStr">
        <is>
          <t>R&amp;R TRANSPORTE E LOGISTICA</t>
        </is>
      </c>
      <c r="J3117" s="29" t="n">
        <v>1900</v>
      </c>
      <c r="K3117" s="29">
        <f>(1-ISNUMBER(SEARCH("556",M3117)))*(O3117*SUMIFS(Premissas!$C$5:$C$44,Premissas!$A$5:$A$44,$A3117,Premissas!$B$5:$B$44,$B3117)+P3117*SUMIFS(Premissas!$D$5:$D$44,Premissas!$A$5:$A$44,$A3117,Premissas!$B$5:$B$44,$B3117))+R3117*SUMIFS(Premissas!$E$5:$E$44,Premissas!$A$5:$A$44,$A3117,Premissas!$B$5:$B$44,$B3117)+S3117*SUMIFS(Premissas!$F$5:$F$44,Premissas!$A$5:$A$44,$A3117,Premissas!$B$5:$B$44,$B3117)</f>
        <v/>
      </c>
      <c r="L3117" s="29">
        <f>J3117-K3117</f>
        <v/>
      </c>
      <c r="M3117" t="inlineStr">
        <is>
          <t>1.350</t>
        </is>
      </c>
      <c r="N3117" t="inlineStr">
        <is>
          <t>Modalidade: 0 - Por conta do remetente | Parte: AL DESCARTAVEIS COMERCIO ATACADISTA LTDA (20.761.196/0001-44)</t>
        </is>
      </c>
      <c r="O3117" s="29" t="n">
        <v>0</v>
      </c>
      <c r="P3117" s="29" t="n">
        <v>0</v>
      </c>
      <c r="Q3117" s="29" t="n">
        <v>0</v>
      </c>
      <c r="R3117" s="29" t="n">
        <v>0</v>
      </c>
      <c r="S3117" s="29" t="n">
        <v>0</v>
      </c>
      <c r="T3117" t="inlineStr">
        <is>
          <t>25260326975620000130570010000066771001301247</t>
        </is>
      </c>
      <c r="U3117" t="inlineStr">
        <is>
          <t>Sim</t>
        </is>
      </c>
    </row>
    <row r="3118">
      <c r="A3118" t="inlineStr">
        <is>
          <t>Frete de venda</t>
        </is>
      </c>
      <c r="B3118" t="inlineStr">
        <is>
          <t>2.01.02 Frete sobre Vendas</t>
        </is>
      </c>
      <c r="C3118" s="30" t="n">
        <v>46082</v>
      </c>
      <c r="D3118" t="inlineStr">
        <is>
          <t>Em 2026</t>
        </is>
      </c>
      <c r="E3118" s="28" t="n">
        <v>46107</v>
      </c>
      <c r="F3118" t="inlineStr">
        <is>
          <t>CT-e</t>
        </is>
      </c>
      <c r="G3118" t="inlineStr">
        <is>
          <t>000006678</t>
        </is>
      </c>
      <c r="H3118" t="inlineStr">
        <is>
          <t>R&amp;R TRANSPORTE E LOGISTICA</t>
        </is>
      </c>
      <c r="J3118" s="29" t="n">
        <v>1900</v>
      </c>
      <c r="K3118" s="29">
        <f>(1-ISNUMBER(SEARCH("556",M3118)))*(O3118*SUMIFS(Premissas!$C$5:$C$44,Premissas!$A$5:$A$44,$A3118,Premissas!$B$5:$B$44,$B3118)+P3118*SUMIFS(Premissas!$D$5:$D$44,Premissas!$A$5:$A$44,$A3118,Premissas!$B$5:$B$44,$B3118))+R3118*SUMIFS(Premissas!$E$5:$E$44,Premissas!$A$5:$A$44,$A3118,Premissas!$B$5:$B$44,$B3118)+S3118*SUMIFS(Premissas!$F$5:$F$44,Premissas!$A$5:$A$44,$A3118,Premissas!$B$5:$B$44,$B3118)</f>
        <v/>
      </c>
      <c r="L3118" s="29">
        <f>J3118-K3118</f>
        <v/>
      </c>
      <c r="M3118" t="inlineStr">
        <is>
          <t>1.350</t>
        </is>
      </c>
      <c r="N3118" t="inlineStr">
        <is>
          <t>Modalidade: 0 - Por conta do remetente | Parte: UP DISTRIBUIDORA DE PRODUTOS DESCARTAVEIS LTDA (12.423.997/0001-71)</t>
        </is>
      </c>
      <c r="O3118" s="29" t="n">
        <v>0</v>
      </c>
      <c r="P3118" s="29" t="n">
        <v>0</v>
      </c>
      <c r="Q3118" s="29" t="n">
        <v>0</v>
      </c>
      <c r="R3118" s="29" t="n">
        <v>0</v>
      </c>
      <c r="S3118" s="29" t="n">
        <v>0</v>
      </c>
      <c r="T3118" t="inlineStr">
        <is>
          <t>25260326975620000130570010000066781000101322</t>
        </is>
      </c>
      <c r="U3118" t="inlineStr">
        <is>
          <t>Sim</t>
        </is>
      </c>
    </row>
    <row r="3119">
      <c r="A3119" t="inlineStr">
        <is>
          <t>Frete de venda</t>
        </is>
      </c>
      <c r="B3119" t="inlineStr">
        <is>
          <t>2.01.02 Frete sobre Vendas</t>
        </is>
      </c>
      <c r="C3119" s="30" t="n">
        <v>46082</v>
      </c>
      <c r="D3119" t="inlineStr">
        <is>
          <t>Em 2026</t>
        </is>
      </c>
      <c r="E3119" s="28" t="n">
        <v>46108</v>
      </c>
      <c r="F3119" t="inlineStr">
        <is>
          <t>CT-e</t>
        </is>
      </c>
      <c r="G3119" t="inlineStr">
        <is>
          <t>000006683</t>
        </is>
      </c>
      <c r="H3119" t="inlineStr">
        <is>
          <t>R&amp;R TRANSPORTE E LOGISTICA</t>
        </is>
      </c>
      <c r="J3119" s="29" t="n">
        <v>11638.48</v>
      </c>
      <c r="K3119" s="29">
        <f>(1-ISNUMBER(SEARCH("556",M3119)))*(O3119*SUMIFS(Premissas!$C$5:$C$44,Premissas!$A$5:$A$44,$A3119,Premissas!$B$5:$B$44,$B3119)+P3119*SUMIFS(Premissas!$D$5:$D$44,Premissas!$A$5:$A$44,$A3119,Premissas!$B$5:$B$44,$B3119))+R3119*SUMIFS(Premissas!$E$5:$E$44,Premissas!$A$5:$A$44,$A3119,Premissas!$B$5:$B$44,$B3119)+S3119*SUMIFS(Premissas!$F$5:$F$44,Premissas!$A$5:$A$44,$A3119,Premissas!$B$5:$B$44,$B3119)</f>
        <v/>
      </c>
      <c r="L3119" s="29">
        <f>J3119-K3119</f>
        <v/>
      </c>
      <c r="M3119" t="inlineStr">
        <is>
          <t>1.350</t>
        </is>
      </c>
      <c r="N3119" t="inlineStr">
        <is>
          <t>Modalidade: 0 - Por conta do remetente | Parte: DISTRIPACK DISTRIBUIDORA DE EMBALAGENS LTDA (11.043.375/0002-36)</t>
        </is>
      </c>
      <c r="O3119" s="29" t="n">
        <v>0</v>
      </c>
      <c r="P3119" s="29" t="n">
        <v>0</v>
      </c>
      <c r="Q3119" s="29" t="n">
        <v>0</v>
      </c>
      <c r="R3119" s="29" t="n">
        <v>0</v>
      </c>
      <c r="S3119" s="29" t="n">
        <v>0</v>
      </c>
      <c r="T3119" t="inlineStr">
        <is>
          <t>25260326975620000130570010000066831000010998</t>
        </is>
      </c>
      <c r="U3119" t="inlineStr">
        <is>
          <t>Não</t>
        </is>
      </c>
    </row>
    <row r="3120">
      <c r="A3120" t="inlineStr">
        <is>
          <t>Frete de venda</t>
        </is>
      </c>
      <c r="B3120" t="inlineStr">
        <is>
          <t>2.01.02 Frete sobre Vendas</t>
        </is>
      </c>
      <c r="C3120" s="30" t="n">
        <v>46082</v>
      </c>
      <c r="D3120" t="inlineStr">
        <is>
          <t>Em 2026</t>
        </is>
      </c>
      <c r="E3120" s="28" t="n">
        <v>46108</v>
      </c>
      <c r="F3120" t="inlineStr">
        <is>
          <t>CT-e</t>
        </is>
      </c>
      <c r="G3120" t="inlineStr">
        <is>
          <t>000006684</t>
        </is>
      </c>
      <c r="H3120" t="inlineStr">
        <is>
          <t>R&amp;R TRANSPORTE E LOGISTICA</t>
        </is>
      </c>
      <c r="J3120" s="29" t="n">
        <v>97.08</v>
      </c>
      <c r="K3120" s="29">
        <f>(1-ISNUMBER(SEARCH("556",M3120)))*(O3120*SUMIFS(Premissas!$C$5:$C$44,Premissas!$A$5:$A$44,$A3120,Premissas!$B$5:$B$44,$B3120)+P3120*SUMIFS(Premissas!$D$5:$D$44,Premissas!$A$5:$A$44,$A3120,Premissas!$B$5:$B$44,$B3120))+R3120*SUMIFS(Premissas!$E$5:$E$44,Premissas!$A$5:$A$44,$A3120,Premissas!$B$5:$B$44,$B3120)+S3120*SUMIFS(Premissas!$F$5:$F$44,Premissas!$A$5:$A$44,$A3120,Premissas!$B$5:$B$44,$B3120)</f>
        <v/>
      </c>
      <c r="L3120" s="29">
        <f>J3120-K3120</f>
        <v/>
      </c>
      <c r="M3120" t="inlineStr">
        <is>
          <t>1.350</t>
        </is>
      </c>
      <c r="N3120" t="inlineStr">
        <is>
          <t>Modalidade: 0 - Por conta do remetente | Parte: VLAJ EMBALAGENS LTDA (54.099.220/0001-43)</t>
        </is>
      </c>
      <c r="O3120" s="29" t="n">
        <v>0</v>
      </c>
      <c r="P3120" s="29" t="n">
        <v>0</v>
      </c>
      <c r="Q3120" s="29" t="n">
        <v>0</v>
      </c>
      <c r="R3120" s="29" t="n">
        <v>0</v>
      </c>
      <c r="S3120" s="29" t="n">
        <v>0</v>
      </c>
      <c r="T3120" t="inlineStr">
        <is>
          <t>25260326975620000130570010000066841001101552</t>
        </is>
      </c>
      <c r="U3120" t="inlineStr">
        <is>
          <t>Não</t>
        </is>
      </c>
    </row>
    <row r="3121">
      <c r="A3121" t="inlineStr">
        <is>
          <t>Frete de venda</t>
        </is>
      </c>
      <c r="B3121" t="inlineStr">
        <is>
          <t>2.01.02 Frete sobre Vendas</t>
        </is>
      </c>
      <c r="C3121" s="30" t="n">
        <v>46082</v>
      </c>
      <c r="D3121" t="inlineStr">
        <is>
          <t>Em 2026</t>
        </is>
      </c>
      <c r="E3121" s="28" t="n">
        <v>46108</v>
      </c>
      <c r="F3121" t="inlineStr">
        <is>
          <t>CT-e</t>
        </is>
      </c>
      <c r="G3121" t="inlineStr">
        <is>
          <t>000006685</t>
        </is>
      </c>
      <c r="H3121" t="inlineStr">
        <is>
          <t>R&amp;R TRANSPORTE E LOGISTICA</t>
        </is>
      </c>
      <c r="J3121" s="29" t="n">
        <v>136.34</v>
      </c>
      <c r="K3121" s="29">
        <f>(1-ISNUMBER(SEARCH("556",M3121)))*(O3121*SUMIFS(Premissas!$C$5:$C$44,Premissas!$A$5:$A$44,$A3121,Premissas!$B$5:$B$44,$B3121)+P3121*SUMIFS(Premissas!$D$5:$D$44,Premissas!$A$5:$A$44,$A3121,Premissas!$B$5:$B$44,$B3121))+R3121*SUMIFS(Premissas!$E$5:$E$44,Premissas!$A$5:$A$44,$A3121,Premissas!$B$5:$B$44,$B3121)+S3121*SUMIFS(Premissas!$F$5:$F$44,Premissas!$A$5:$A$44,$A3121,Premissas!$B$5:$B$44,$B3121)</f>
        <v/>
      </c>
      <c r="L3121" s="29">
        <f>J3121-K3121</f>
        <v/>
      </c>
      <c r="M3121" t="inlineStr">
        <is>
          <t>1.350</t>
        </is>
      </c>
      <c r="N3121" t="inlineStr">
        <is>
          <t>Modalidade: 0 - Por conta do remetente | Parte: EMBALAR DISTRIBUIDORA DE EMBALAGENS LTDA (10.347.424/0001-80)</t>
        </is>
      </c>
      <c r="O3121" s="29" t="n">
        <v>0</v>
      </c>
      <c r="P3121" s="29" t="n">
        <v>0</v>
      </c>
      <c r="Q3121" s="29" t="n">
        <v>0</v>
      </c>
      <c r="R3121" s="29" t="n">
        <v>0</v>
      </c>
      <c r="S3121" s="29" t="n">
        <v>0</v>
      </c>
      <c r="T3121" t="inlineStr">
        <is>
          <t>25260326975620000130570010000066851001901637</t>
        </is>
      </c>
      <c r="U3121" t="inlineStr">
        <is>
          <t>Não</t>
        </is>
      </c>
    </row>
    <row r="3122">
      <c r="A3122" t="inlineStr">
        <is>
          <t>Frete de venda</t>
        </is>
      </c>
      <c r="B3122" t="inlineStr">
        <is>
          <t>2.01.02 Frete sobre Vendas</t>
        </is>
      </c>
      <c r="C3122" s="30" t="n">
        <v>46082</v>
      </c>
      <c r="D3122" t="inlineStr">
        <is>
          <t>Em 2026</t>
        </is>
      </c>
      <c r="E3122" s="28" t="n">
        <v>46109</v>
      </c>
      <c r="F3122" t="inlineStr">
        <is>
          <t>CT-e</t>
        </is>
      </c>
      <c r="G3122" t="inlineStr">
        <is>
          <t>000006688</t>
        </is>
      </c>
      <c r="H3122" t="inlineStr">
        <is>
          <t>R&amp;R TRANSPORTE E LOGISTICA</t>
        </is>
      </c>
      <c r="J3122" s="29" t="n">
        <v>61.68</v>
      </c>
      <c r="K3122" s="29">
        <f>(1-ISNUMBER(SEARCH("556",M3122)))*(O3122*SUMIFS(Premissas!$C$5:$C$44,Premissas!$A$5:$A$44,$A3122,Premissas!$B$5:$B$44,$B3122)+P3122*SUMIFS(Premissas!$D$5:$D$44,Premissas!$A$5:$A$44,$A3122,Premissas!$B$5:$B$44,$B3122))+R3122*SUMIFS(Premissas!$E$5:$E$44,Premissas!$A$5:$A$44,$A3122,Premissas!$B$5:$B$44,$B3122)+S3122*SUMIFS(Premissas!$F$5:$F$44,Premissas!$A$5:$A$44,$A3122,Premissas!$B$5:$B$44,$B3122)</f>
        <v/>
      </c>
      <c r="L3122" s="29">
        <f>J3122-K3122</f>
        <v/>
      </c>
      <c r="M3122" t="inlineStr">
        <is>
          <t>1.350</t>
        </is>
      </c>
      <c r="N3122" t="inlineStr">
        <is>
          <t>Modalidade: 0 - Por conta do remetente | Parte: AP SACARIA EMBALAGENS LTDA (20.402.088/0001-85)</t>
        </is>
      </c>
      <c r="O3122" s="29" t="n">
        <v>0</v>
      </c>
      <c r="P3122" s="29" t="n">
        <v>0</v>
      </c>
      <c r="Q3122" s="29" t="n">
        <v>0</v>
      </c>
      <c r="R3122" s="29" t="n">
        <v>0</v>
      </c>
      <c r="S3122" s="29" t="n">
        <v>0</v>
      </c>
      <c r="T3122" t="inlineStr">
        <is>
          <t>25260326975620000130570010000066881001101225</t>
        </is>
      </c>
      <c r="U3122" t="inlineStr">
        <is>
          <t>Não</t>
        </is>
      </c>
    </row>
    <row r="3123">
      <c r="A3123" t="inlineStr">
        <is>
          <t>Frete de venda</t>
        </is>
      </c>
      <c r="B3123" t="inlineStr">
        <is>
          <t>2.01.02 Frete sobre Vendas</t>
        </is>
      </c>
      <c r="C3123" s="30" t="n">
        <v>46082</v>
      </c>
      <c r="D3123" t="inlineStr">
        <is>
          <t>Em 2026</t>
        </is>
      </c>
      <c r="E3123" s="28" t="n">
        <v>46109</v>
      </c>
      <c r="F3123" t="inlineStr">
        <is>
          <t>CT-e</t>
        </is>
      </c>
      <c r="G3123" t="inlineStr">
        <is>
          <t>000006689</t>
        </is>
      </c>
      <c r="H3123" t="inlineStr">
        <is>
          <t>R&amp;R TRANSPORTE E LOGISTICA</t>
        </is>
      </c>
      <c r="J3123" s="29" t="n">
        <v>126.23</v>
      </c>
      <c r="K3123" s="29">
        <f>(1-ISNUMBER(SEARCH("556",M3123)))*(O3123*SUMIFS(Premissas!$C$5:$C$44,Premissas!$A$5:$A$44,$A3123,Premissas!$B$5:$B$44,$B3123)+P3123*SUMIFS(Premissas!$D$5:$D$44,Premissas!$A$5:$A$44,$A3123,Premissas!$B$5:$B$44,$B3123))+R3123*SUMIFS(Premissas!$E$5:$E$44,Premissas!$A$5:$A$44,$A3123,Premissas!$B$5:$B$44,$B3123)+S3123*SUMIFS(Premissas!$F$5:$F$44,Premissas!$A$5:$A$44,$A3123,Premissas!$B$5:$B$44,$B3123)</f>
        <v/>
      </c>
      <c r="L3123" s="29">
        <f>J3123-K3123</f>
        <v/>
      </c>
      <c r="M3123" t="inlineStr">
        <is>
          <t>1.350</t>
        </is>
      </c>
      <c r="N3123" t="inlineStr">
        <is>
          <t>Modalidade: 0 - Por conta do remetente | Parte: SELLPACK DISTRIBUIDORA LTDA (07.747.107/0001-47)</t>
        </is>
      </c>
      <c r="O3123" s="29" t="n">
        <v>0</v>
      </c>
      <c r="P3123" s="29" t="n">
        <v>0</v>
      </c>
      <c r="Q3123" s="29" t="n">
        <v>0</v>
      </c>
      <c r="R3123" s="29" t="n">
        <v>0</v>
      </c>
      <c r="S3123" s="29" t="n">
        <v>0</v>
      </c>
      <c r="T3123" t="inlineStr">
        <is>
          <t>25260326975620000130570010000066891001901300</t>
        </is>
      </c>
      <c r="U3123" t="inlineStr">
        <is>
          <t>Não</t>
        </is>
      </c>
    </row>
    <row r="3124">
      <c r="A3124" t="inlineStr">
        <is>
          <t>Frete de venda</t>
        </is>
      </c>
      <c r="B3124" t="inlineStr">
        <is>
          <t>2.01.02 Frete sobre Vendas</t>
        </is>
      </c>
      <c r="C3124" s="30" t="n">
        <v>46082</v>
      </c>
      <c r="D3124" t="inlineStr">
        <is>
          <t>Em 2026</t>
        </is>
      </c>
      <c r="E3124" s="28" t="n">
        <v>46109</v>
      </c>
      <c r="F3124" t="inlineStr">
        <is>
          <t>CT-e</t>
        </is>
      </c>
      <c r="G3124" t="inlineStr">
        <is>
          <t>000006690</t>
        </is>
      </c>
      <c r="H3124" t="inlineStr">
        <is>
          <t>R&amp;R TRANSPORTE E LOGISTICA</t>
        </is>
      </c>
      <c r="J3124" s="29" t="n">
        <v>69.53</v>
      </c>
      <c r="K3124" s="29">
        <f>(1-ISNUMBER(SEARCH("556",M3124)))*(O3124*SUMIFS(Premissas!$C$5:$C$44,Premissas!$A$5:$A$44,$A3124,Premissas!$B$5:$B$44,$B3124)+P3124*SUMIFS(Premissas!$D$5:$D$44,Premissas!$A$5:$A$44,$A3124,Premissas!$B$5:$B$44,$B3124))+R3124*SUMIFS(Premissas!$E$5:$E$44,Premissas!$A$5:$A$44,$A3124,Premissas!$B$5:$B$44,$B3124)+S3124*SUMIFS(Premissas!$F$5:$F$44,Premissas!$A$5:$A$44,$A3124,Premissas!$B$5:$B$44,$B3124)</f>
        <v/>
      </c>
      <c r="L3124" s="29">
        <f>J3124-K3124</f>
        <v/>
      </c>
      <c r="M3124" t="inlineStr">
        <is>
          <t>1.350</t>
        </is>
      </c>
      <c r="N3124" t="inlineStr">
        <is>
          <t>Modalidade: 0 - Por conta do remetente | Parte: CAMPEAO 2010 DAS EMBALAGENS LTDA (12.039.358/0002-98)</t>
        </is>
      </c>
      <c r="O3124" s="29" t="n">
        <v>0</v>
      </c>
      <c r="P3124" s="29" t="n">
        <v>0</v>
      </c>
      <c r="Q3124" s="29" t="n">
        <v>0</v>
      </c>
      <c r="R3124" s="29" t="n">
        <v>0</v>
      </c>
      <c r="S3124" s="29" t="n">
        <v>0</v>
      </c>
      <c r="T3124" t="inlineStr">
        <is>
          <t>25260326975620000130570010000066901001601382</t>
        </is>
      </c>
      <c r="U3124" t="inlineStr">
        <is>
          <t>Não</t>
        </is>
      </c>
    </row>
    <row r="3125">
      <c r="A3125" t="inlineStr">
        <is>
          <t>Frete de venda</t>
        </is>
      </c>
      <c r="B3125" t="inlineStr">
        <is>
          <t>2.01.02 Frete sobre Vendas</t>
        </is>
      </c>
      <c r="C3125" s="30" t="n">
        <v>46082</v>
      </c>
      <c r="D3125" t="inlineStr">
        <is>
          <t>Em 2026</t>
        </is>
      </c>
      <c r="E3125" s="28" t="n">
        <v>46109</v>
      </c>
      <c r="F3125" t="inlineStr">
        <is>
          <t>CT-e</t>
        </is>
      </c>
      <c r="G3125" t="inlineStr">
        <is>
          <t>000006691</t>
        </is>
      </c>
      <c r="H3125" t="inlineStr">
        <is>
          <t>R&amp;R TRANSPORTE E LOGISTICA</t>
        </is>
      </c>
      <c r="J3125" s="29" t="n">
        <v>106.54</v>
      </c>
      <c r="K3125" s="29">
        <f>(1-ISNUMBER(SEARCH("556",M3125)))*(O3125*SUMIFS(Premissas!$C$5:$C$44,Premissas!$A$5:$A$44,$A3125,Premissas!$B$5:$B$44,$B3125)+P3125*SUMIFS(Premissas!$D$5:$D$44,Premissas!$A$5:$A$44,$A3125,Premissas!$B$5:$B$44,$B3125))+R3125*SUMIFS(Premissas!$E$5:$E$44,Premissas!$A$5:$A$44,$A3125,Premissas!$B$5:$B$44,$B3125)+S3125*SUMIFS(Premissas!$F$5:$F$44,Premissas!$A$5:$A$44,$A3125,Premissas!$B$5:$B$44,$B3125)</f>
        <v/>
      </c>
      <c r="L3125" s="29">
        <f>J3125-K3125</f>
        <v/>
      </c>
      <c r="M3125" t="inlineStr">
        <is>
          <t>1.350</t>
        </is>
      </c>
      <c r="N3125" t="inlineStr">
        <is>
          <t>Modalidade: 0 - Por conta do remetente | Parte: EMBALAGENS RAYA COMERCIO E DISTRIBUICAO LTDA (42.748.520/0001-27)</t>
        </is>
      </c>
      <c r="O3125" s="29" t="n">
        <v>0</v>
      </c>
      <c r="P3125" s="29" t="n">
        <v>0</v>
      </c>
      <c r="Q3125" s="29" t="n">
        <v>0</v>
      </c>
      <c r="R3125" s="29" t="n">
        <v>0</v>
      </c>
      <c r="S3125" s="29" t="n">
        <v>0</v>
      </c>
      <c r="T3125" t="inlineStr">
        <is>
          <t>25260326975620000130570010000066911001301467</t>
        </is>
      </c>
      <c r="U3125" t="inlineStr">
        <is>
          <t>Não</t>
        </is>
      </c>
    </row>
    <row r="3126">
      <c r="A3126" t="inlineStr">
        <is>
          <t>Frete de venda</t>
        </is>
      </c>
      <c r="B3126" t="inlineStr">
        <is>
          <t>2.01.02 Frete sobre Vendas</t>
        </is>
      </c>
      <c r="C3126" s="30" t="n">
        <v>46082</v>
      </c>
      <c r="D3126" t="inlineStr">
        <is>
          <t>Em 2026</t>
        </is>
      </c>
      <c r="E3126" s="28" t="n">
        <v>46109</v>
      </c>
      <c r="F3126" t="inlineStr">
        <is>
          <t>CT-e</t>
        </is>
      </c>
      <c r="G3126" t="inlineStr">
        <is>
          <t>000006692</t>
        </is>
      </c>
      <c r="H3126" t="inlineStr">
        <is>
          <t>R&amp;R TRANSPORTE E LOGISTICA</t>
        </is>
      </c>
      <c r="J3126" s="29" t="n">
        <v>72.03</v>
      </c>
      <c r="K3126" s="29">
        <f>(1-ISNUMBER(SEARCH("556",M3126)))*(O3126*SUMIFS(Premissas!$C$5:$C$44,Premissas!$A$5:$A$44,$A3126,Premissas!$B$5:$B$44,$B3126)+P3126*SUMIFS(Premissas!$D$5:$D$44,Premissas!$A$5:$A$44,$A3126,Premissas!$B$5:$B$44,$B3126))+R3126*SUMIFS(Premissas!$E$5:$E$44,Premissas!$A$5:$A$44,$A3126,Premissas!$B$5:$B$44,$B3126)+S3126*SUMIFS(Premissas!$F$5:$F$44,Premissas!$A$5:$A$44,$A3126,Premissas!$B$5:$B$44,$B3126)</f>
        <v/>
      </c>
      <c r="L3126" s="29">
        <f>J3126-K3126</f>
        <v/>
      </c>
      <c r="M3126" t="inlineStr">
        <is>
          <t>1.350</t>
        </is>
      </c>
      <c r="N3126" t="inlineStr">
        <is>
          <t>Modalidade: 0 - Por conta do remetente | Parte: M.P. EMBALAGENS LTDA (26.229.380/0001-24)</t>
        </is>
      </c>
      <c r="O3126" s="29" t="n">
        <v>0</v>
      </c>
      <c r="P3126" s="29" t="n">
        <v>0</v>
      </c>
      <c r="Q3126" s="29" t="n">
        <v>0</v>
      </c>
      <c r="R3126" s="29" t="n">
        <v>0</v>
      </c>
      <c r="S3126" s="29" t="n">
        <v>0</v>
      </c>
      <c r="T3126" t="inlineStr">
        <is>
          <t>25260326975620000130570010000066921000101542</t>
        </is>
      </c>
      <c r="U3126" t="inlineStr">
        <is>
          <t>Não</t>
        </is>
      </c>
    </row>
    <row r="3127">
      <c r="A3127" t="inlineStr">
        <is>
          <t>Frete de venda</t>
        </is>
      </c>
      <c r="B3127" t="inlineStr">
        <is>
          <t>2.01.02 Frete sobre Vendas</t>
        </is>
      </c>
      <c r="C3127" s="30" t="n">
        <v>46082</v>
      </c>
      <c r="D3127" t="inlineStr">
        <is>
          <t>Em 2026</t>
        </is>
      </c>
      <c r="E3127" s="28" t="n">
        <v>46109</v>
      </c>
      <c r="F3127" t="inlineStr">
        <is>
          <t>CT-e</t>
        </is>
      </c>
      <c r="G3127" t="inlineStr">
        <is>
          <t>000006693</t>
        </is>
      </c>
      <c r="H3127" t="inlineStr">
        <is>
          <t>R&amp;R TRANSPORTE E LOGISTICA</t>
        </is>
      </c>
      <c r="J3127" s="29" t="n">
        <v>100.42</v>
      </c>
      <c r="K3127" s="29">
        <f>(1-ISNUMBER(SEARCH("556",M3127)))*(O3127*SUMIFS(Premissas!$C$5:$C$44,Premissas!$A$5:$A$44,$A3127,Premissas!$B$5:$B$44,$B3127)+P3127*SUMIFS(Premissas!$D$5:$D$44,Premissas!$A$5:$A$44,$A3127,Premissas!$B$5:$B$44,$B3127))+R3127*SUMIFS(Premissas!$E$5:$E$44,Premissas!$A$5:$A$44,$A3127,Premissas!$B$5:$B$44,$B3127)+S3127*SUMIFS(Premissas!$F$5:$F$44,Premissas!$A$5:$A$44,$A3127,Premissas!$B$5:$B$44,$B3127)</f>
        <v/>
      </c>
      <c r="L3127" s="29">
        <f>J3127-K3127</f>
        <v/>
      </c>
      <c r="M3127" t="inlineStr">
        <is>
          <t>1.350</t>
        </is>
      </c>
      <c r="N3127" t="inlineStr">
        <is>
          <t>Modalidade: 0 - Por conta do remetente | Parte: FORTALI DISTRIBUIDORA DE ALIMENTOS LTDA. (09.317.318/0001-75)</t>
        </is>
      </c>
      <c r="O3127" s="29" t="n">
        <v>0</v>
      </c>
      <c r="P3127" s="29" t="n">
        <v>0</v>
      </c>
      <c r="Q3127" s="29" t="n">
        <v>0</v>
      </c>
      <c r="R3127" s="29" t="n">
        <v>0</v>
      </c>
      <c r="S3127" s="29" t="n">
        <v>0</v>
      </c>
      <c r="T3127" t="inlineStr">
        <is>
          <t>25260326975620000130570010000066931001801626</t>
        </is>
      </c>
      <c r="U3127" t="inlineStr">
        <is>
          <t>Não</t>
        </is>
      </c>
    </row>
    <row r="3128">
      <c r="A3128" t="inlineStr">
        <is>
          <t>Frete de venda</t>
        </is>
      </c>
      <c r="B3128" t="inlineStr">
        <is>
          <t>2.01.02 Frete sobre Vendas</t>
        </is>
      </c>
      <c r="C3128" s="30" t="n">
        <v>46082</v>
      </c>
      <c r="D3128" t="inlineStr">
        <is>
          <t>Em 2026</t>
        </is>
      </c>
      <c r="E3128" s="28" t="n">
        <v>46109</v>
      </c>
      <c r="F3128" t="inlineStr">
        <is>
          <t>CT-e</t>
        </is>
      </c>
      <c r="G3128" t="inlineStr">
        <is>
          <t>000006694</t>
        </is>
      </c>
      <c r="H3128" t="inlineStr">
        <is>
          <t>R&amp;R TRANSPORTE E LOGISTICA</t>
        </is>
      </c>
      <c r="J3128" s="29" t="n">
        <v>75.19</v>
      </c>
      <c r="K3128" s="29">
        <f>(1-ISNUMBER(SEARCH("556",M3128)))*(O3128*SUMIFS(Premissas!$C$5:$C$44,Premissas!$A$5:$A$44,$A3128,Premissas!$B$5:$B$44,$B3128)+P3128*SUMIFS(Premissas!$D$5:$D$44,Premissas!$A$5:$A$44,$A3128,Premissas!$B$5:$B$44,$B3128))+R3128*SUMIFS(Premissas!$E$5:$E$44,Premissas!$A$5:$A$44,$A3128,Premissas!$B$5:$B$44,$B3128)+S3128*SUMIFS(Premissas!$F$5:$F$44,Premissas!$A$5:$A$44,$A3128,Premissas!$B$5:$B$44,$B3128)</f>
        <v/>
      </c>
      <c r="L3128" s="29">
        <f>J3128-K3128</f>
        <v/>
      </c>
      <c r="M3128" t="inlineStr">
        <is>
          <t>1.350</t>
        </is>
      </c>
      <c r="N3128" t="inlineStr">
        <is>
          <t>Modalidade: 0 - Por conta do remetente | Parte: JND DISTRIBUIDORA LTDA (36.332.668/0001-83)</t>
        </is>
      </c>
      <c r="O3128" s="29" t="n">
        <v>0</v>
      </c>
      <c r="P3128" s="29" t="n">
        <v>0</v>
      </c>
      <c r="Q3128" s="29" t="n">
        <v>0</v>
      </c>
      <c r="R3128" s="29" t="n">
        <v>0</v>
      </c>
      <c r="S3128" s="29" t="n">
        <v>0</v>
      </c>
      <c r="T3128" t="inlineStr">
        <is>
          <t>25260326975620000130570010000066941001501700</t>
        </is>
      </c>
      <c r="U3128" t="inlineStr">
        <is>
          <t>Não</t>
        </is>
      </c>
    </row>
    <row r="3129">
      <c r="A3129" t="inlineStr">
        <is>
          <t>Frete de venda</t>
        </is>
      </c>
      <c r="B3129" t="inlineStr">
        <is>
          <t>2.01.02 Frete sobre Vendas</t>
        </is>
      </c>
      <c r="C3129" s="30" t="n">
        <v>46082</v>
      </c>
      <c r="D3129" t="inlineStr">
        <is>
          <t>Em 2026</t>
        </is>
      </c>
      <c r="E3129" s="28" t="n">
        <v>46111</v>
      </c>
      <c r="F3129" t="inlineStr">
        <is>
          <t>CT-e</t>
        </is>
      </c>
      <c r="G3129" t="inlineStr">
        <is>
          <t>000006700</t>
        </is>
      </c>
      <c r="H3129" t="inlineStr">
        <is>
          <t>R&amp;R TRANSPORTE E LOGISTICA</t>
        </is>
      </c>
      <c r="J3129" s="29" t="n">
        <v>531.34</v>
      </c>
      <c r="K3129" s="29">
        <f>(1-ISNUMBER(SEARCH("556",M3129)))*(O3129*SUMIFS(Premissas!$C$5:$C$44,Premissas!$A$5:$A$44,$A3129,Premissas!$B$5:$B$44,$B3129)+P3129*SUMIFS(Premissas!$D$5:$D$44,Premissas!$A$5:$A$44,$A3129,Premissas!$B$5:$B$44,$B3129))+R3129*SUMIFS(Premissas!$E$5:$E$44,Premissas!$A$5:$A$44,$A3129,Premissas!$B$5:$B$44,$B3129)+S3129*SUMIFS(Premissas!$F$5:$F$44,Premissas!$A$5:$A$44,$A3129,Premissas!$B$5:$B$44,$B3129)</f>
        <v/>
      </c>
      <c r="L3129" s="29">
        <f>J3129-K3129</f>
        <v/>
      </c>
      <c r="M3129" t="inlineStr">
        <is>
          <t>1.350</t>
        </is>
      </c>
      <c r="N3129" t="inlineStr">
        <is>
          <t>Modalidade: 0 - Por conta do remetente | Parte: VINCO DISTRIBUIDORA DE EMBALAGENS LTDA (55.333.385/0001-09)</t>
        </is>
      </c>
      <c r="O3129" s="29" t="n">
        <v>0</v>
      </c>
      <c r="P3129" s="29" t="n">
        <v>0</v>
      </c>
      <c r="Q3129" s="29" t="n">
        <v>0</v>
      </c>
      <c r="R3129" s="29" t="n">
        <v>0</v>
      </c>
      <c r="S3129" s="29" t="n">
        <v>0</v>
      </c>
      <c r="T3129" t="inlineStr">
        <is>
          <t>25260326975620000130570010000067001011001530</t>
        </is>
      </c>
      <c r="U3129" t="inlineStr">
        <is>
          <t>Não</t>
        </is>
      </c>
    </row>
    <row r="3130">
      <c r="A3130" t="inlineStr">
        <is>
          <t>Frete de venda</t>
        </is>
      </c>
      <c r="B3130" t="inlineStr">
        <is>
          <t>2.01.02 Frete sobre Vendas</t>
        </is>
      </c>
      <c r="C3130" s="30" t="n">
        <v>46082</v>
      </c>
      <c r="D3130" t="inlineStr">
        <is>
          <t>Em 2026</t>
        </is>
      </c>
      <c r="E3130" s="28" t="n">
        <v>46111</v>
      </c>
      <c r="F3130" t="inlineStr">
        <is>
          <t>CT-e</t>
        </is>
      </c>
      <c r="G3130" t="inlineStr">
        <is>
          <t>000006701</t>
        </is>
      </c>
      <c r="H3130" t="inlineStr">
        <is>
          <t>R&amp;R TRANSPORTE E LOGISTICA</t>
        </is>
      </c>
      <c r="J3130" s="29" t="n">
        <v>161.47</v>
      </c>
      <c r="K3130" s="29">
        <f>(1-ISNUMBER(SEARCH("556",M3130)))*(O3130*SUMIFS(Premissas!$C$5:$C$44,Premissas!$A$5:$A$44,$A3130,Premissas!$B$5:$B$44,$B3130)+P3130*SUMIFS(Premissas!$D$5:$D$44,Premissas!$A$5:$A$44,$A3130,Premissas!$B$5:$B$44,$B3130))+R3130*SUMIFS(Premissas!$E$5:$E$44,Premissas!$A$5:$A$44,$A3130,Premissas!$B$5:$B$44,$B3130)+S3130*SUMIFS(Premissas!$F$5:$F$44,Premissas!$A$5:$A$44,$A3130,Premissas!$B$5:$B$44,$B3130)</f>
        <v/>
      </c>
      <c r="L3130" s="29">
        <f>J3130-K3130</f>
        <v/>
      </c>
      <c r="M3130" t="inlineStr">
        <is>
          <t>1.350</t>
        </is>
      </c>
      <c r="N3130" t="inlineStr">
        <is>
          <t>Transportadora de frete de venda, mas pela modalidade do frete a Vinco recebeu a carga | Modalidade: 2 - Por conta de terceiros | Parte: STAMP DISTRIBUIDORA DE EMBALAGENS DE PAPEL E DESCARTAVEI... (27.707.575/0001-03)</t>
        </is>
      </c>
      <c r="O3130" s="29" t="n">
        <v>0</v>
      </c>
      <c r="P3130" s="29" t="n">
        <v>0</v>
      </c>
      <c r="Q3130" s="29" t="n">
        <v>0</v>
      </c>
      <c r="R3130" s="29" t="n">
        <v>0</v>
      </c>
      <c r="S3130" s="29" t="n">
        <v>0</v>
      </c>
      <c r="T3130" t="inlineStr">
        <is>
          <t>25260326975620000130570010000067011001701617</t>
        </is>
      </c>
      <c r="U3130" t="inlineStr">
        <is>
          <t>Não</t>
        </is>
      </c>
    </row>
    <row r="3131">
      <c r="A3131" t="inlineStr">
        <is>
          <t>Frete de venda</t>
        </is>
      </c>
      <c r="B3131" t="inlineStr">
        <is>
          <t>2.01.02 Frete sobre Vendas</t>
        </is>
      </c>
      <c r="C3131" s="30" t="n">
        <v>46082</v>
      </c>
      <c r="D3131" t="inlineStr">
        <is>
          <t>Em 2026</t>
        </is>
      </c>
      <c r="E3131" s="28" t="n">
        <v>46111</v>
      </c>
      <c r="F3131" t="inlineStr">
        <is>
          <t>CT-e</t>
        </is>
      </c>
      <c r="G3131" t="inlineStr">
        <is>
          <t>000006702</t>
        </is>
      </c>
      <c r="H3131" t="inlineStr">
        <is>
          <t>R&amp;R TRANSPORTE E LOGISTICA</t>
        </is>
      </c>
      <c r="J3131" s="29" t="n">
        <v>27.75</v>
      </c>
      <c r="K3131" s="29">
        <f>(1-ISNUMBER(SEARCH("556",M3131)))*(O3131*SUMIFS(Premissas!$C$5:$C$44,Premissas!$A$5:$A$44,$A3131,Premissas!$B$5:$B$44,$B3131)+P3131*SUMIFS(Premissas!$D$5:$D$44,Premissas!$A$5:$A$44,$A3131,Premissas!$B$5:$B$44,$B3131))+R3131*SUMIFS(Premissas!$E$5:$E$44,Premissas!$A$5:$A$44,$A3131,Premissas!$B$5:$B$44,$B3131)+S3131*SUMIFS(Premissas!$F$5:$F$44,Premissas!$A$5:$A$44,$A3131,Premissas!$B$5:$B$44,$B3131)</f>
        <v/>
      </c>
      <c r="L3131" s="29">
        <f>J3131-K3131</f>
        <v/>
      </c>
      <c r="M3131" t="inlineStr">
        <is>
          <t>1.350</t>
        </is>
      </c>
      <c r="N3131" t="inlineStr">
        <is>
          <t>Modalidade: 0 - Por conta do remetente | Parte: PSCP ATACADISTA, VAREJISTA DE EMBALAGENS, ALIMENTOS E VA... (00.139.108/0001-60)</t>
        </is>
      </c>
      <c r="O3131" s="29" t="n">
        <v>0</v>
      </c>
      <c r="P3131" s="29" t="n">
        <v>0</v>
      </c>
      <c r="Q3131" s="29" t="n">
        <v>0</v>
      </c>
      <c r="R3131" s="29" t="n">
        <v>0</v>
      </c>
      <c r="S3131" s="29" t="n">
        <v>0</v>
      </c>
      <c r="T3131" t="inlineStr">
        <is>
          <t>25260326975620000130570010000067021001401696</t>
        </is>
      </c>
      <c r="U3131" t="inlineStr">
        <is>
          <t>Não</t>
        </is>
      </c>
    </row>
    <row r="3132">
      <c r="A3132" t="inlineStr">
        <is>
          <t>Frete de venda</t>
        </is>
      </c>
      <c r="B3132" t="inlineStr">
        <is>
          <t>2.01.02 Frete sobre Vendas</t>
        </is>
      </c>
      <c r="C3132" s="30" t="n">
        <v>46082</v>
      </c>
      <c r="D3132" t="inlineStr">
        <is>
          <t>Em 2026</t>
        </is>
      </c>
      <c r="E3132" s="28" t="n">
        <v>46111</v>
      </c>
      <c r="F3132" t="inlineStr">
        <is>
          <t>CT-e</t>
        </is>
      </c>
      <c r="G3132" t="inlineStr">
        <is>
          <t>000006703</t>
        </is>
      </c>
      <c r="H3132" t="inlineStr">
        <is>
          <t>R&amp;R TRANSPORTE E LOGISTICA</t>
        </is>
      </c>
      <c r="J3132" s="29" t="n">
        <v>34.04</v>
      </c>
      <c r="K3132" s="29">
        <f>(1-ISNUMBER(SEARCH("556",M3132)))*(O3132*SUMIFS(Premissas!$C$5:$C$44,Premissas!$A$5:$A$44,$A3132,Premissas!$B$5:$B$44,$B3132)+P3132*SUMIFS(Premissas!$D$5:$D$44,Premissas!$A$5:$A$44,$A3132,Premissas!$B$5:$B$44,$B3132))+R3132*SUMIFS(Premissas!$E$5:$E$44,Premissas!$A$5:$A$44,$A3132,Premissas!$B$5:$B$44,$B3132)+S3132*SUMIFS(Premissas!$F$5:$F$44,Premissas!$A$5:$A$44,$A3132,Premissas!$B$5:$B$44,$B3132)</f>
        <v/>
      </c>
      <c r="L3132" s="29">
        <f>J3132-K3132</f>
        <v/>
      </c>
      <c r="M3132" t="inlineStr">
        <is>
          <t>1.350</t>
        </is>
      </c>
      <c r="N3132" t="inlineStr">
        <is>
          <t>Modalidade: 0 - Por conta do remetente | Parte: TRANSTEL COMERCIO E ARMAZENAMENTO E LOGISTICA LTDA (59.254.117/0001-44)</t>
        </is>
      </c>
      <c r="O3132" s="29" t="n">
        <v>0</v>
      </c>
      <c r="P3132" s="29" t="n">
        <v>0</v>
      </c>
      <c r="Q3132" s="29" t="n">
        <v>0</v>
      </c>
      <c r="R3132" s="29" t="n">
        <v>0</v>
      </c>
      <c r="S3132" s="29" t="n">
        <v>0</v>
      </c>
      <c r="T3132" t="inlineStr">
        <is>
          <t>25260326975620000130570010000067031001101770</t>
        </is>
      </c>
      <c r="U3132" t="inlineStr">
        <is>
          <t>Não</t>
        </is>
      </c>
    </row>
    <row r="3133">
      <c r="A3133" t="inlineStr">
        <is>
          <t>Frete de venda</t>
        </is>
      </c>
      <c r="B3133" t="inlineStr">
        <is>
          <t>2.01.02 Frete sobre Vendas</t>
        </is>
      </c>
      <c r="C3133" s="30" t="n">
        <v>46082</v>
      </c>
      <c r="D3133" t="inlineStr">
        <is>
          <t>Em 2026</t>
        </is>
      </c>
      <c r="E3133" s="28" t="n">
        <v>46111</v>
      </c>
      <c r="F3133" t="inlineStr">
        <is>
          <t>CT-e</t>
        </is>
      </c>
      <c r="G3133" t="inlineStr">
        <is>
          <t>000006704</t>
        </is>
      </c>
      <c r="H3133" t="inlineStr">
        <is>
          <t>R&amp;R TRANSPORTE E LOGISTICA</t>
        </is>
      </c>
      <c r="J3133" s="29" t="n">
        <v>36.41</v>
      </c>
      <c r="K3133" s="29">
        <f>(1-ISNUMBER(SEARCH("556",M3133)))*(O3133*SUMIFS(Premissas!$C$5:$C$44,Premissas!$A$5:$A$44,$A3133,Premissas!$B$5:$B$44,$B3133)+P3133*SUMIFS(Premissas!$D$5:$D$44,Premissas!$A$5:$A$44,$A3133,Premissas!$B$5:$B$44,$B3133))+R3133*SUMIFS(Premissas!$E$5:$E$44,Premissas!$A$5:$A$44,$A3133,Premissas!$B$5:$B$44,$B3133)+S3133*SUMIFS(Premissas!$F$5:$F$44,Premissas!$A$5:$A$44,$A3133,Premissas!$B$5:$B$44,$B3133)</f>
        <v/>
      </c>
      <c r="L3133" s="29">
        <f>J3133-K3133</f>
        <v/>
      </c>
      <c r="M3133" t="inlineStr">
        <is>
          <t>1.350</t>
        </is>
      </c>
      <c r="N3133" t="inlineStr">
        <is>
          <t>Modalidade: 0 - Por conta do remetente | Parte: LITORAL DISTRIBUIDORA S.A (55.104.068/0002-93)</t>
        </is>
      </c>
      <c r="O3133" s="29" t="n">
        <v>0</v>
      </c>
      <c r="P3133" s="29" t="n">
        <v>0</v>
      </c>
      <c r="Q3133" s="29" t="n">
        <v>0</v>
      </c>
      <c r="R3133" s="29" t="n">
        <v>0</v>
      </c>
      <c r="S3133" s="29" t="n">
        <v>0</v>
      </c>
      <c r="T3133" t="inlineStr">
        <is>
          <t>25260326975620000130570010000067041001901855</t>
        </is>
      </c>
      <c r="U3133" t="inlineStr">
        <is>
          <t>Não</t>
        </is>
      </c>
    </row>
    <row r="3134">
      <c r="A3134" t="inlineStr">
        <is>
          <t>Frete de venda</t>
        </is>
      </c>
      <c r="B3134" t="inlineStr">
        <is>
          <t>2.01.02 Frete sobre Vendas</t>
        </is>
      </c>
      <c r="C3134" s="30" t="n">
        <v>46082</v>
      </c>
      <c r="D3134" t="inlineStr">
        <is>
          <t>Em 2026</t>
        </is>
      </c>
      <c r="E3134" s="28" t="n">
        <v>46111</v>
      </c>
      <c r="F3134" t="inlineStr">
        <is>
          <t>CT-e</t>
        </is>
      </c>
      <c r="G3134" t="inlineStr">
        <is>
          <t>000006705</t>
        </is>
      </c>
      <c r="H3134" t="inlineStr">
        <is>
          <t>R&amp;R TRANSPORTE E LOGISTICA</t>
        </is>
      </c>
      <c r="J3134" s="29" t="n">
        <v>53.42</v>
      </c>
      <c r="K3134" s="29">
        <f>(1-ISNUMBER(SEARCH("556",M3134)))*(O3134*SUMIFS(Premissas!$C$5:$C$44,Premissas!$A$5:$A$44,$A3134,Premissas!$B$5:$B$44,$B3134)+P3134*SUMIFS(Premissas!$D$5:$D$44,Premissas!$A$5:$A$44,$A3134,Premissas!$B$5:$B$44,$B3134))+R3134*SUMIFS(Premissas!$E$5:$E$44,Premissas!$A$5:$A$44,$A3134,Premissas!$B$5:$B$44,$B3134)+S3134*SUMIFS(Premissas!$F$5:$F$44,Premissas!$A$5:$A$44,$A3134,Premissas!$B$5:$B$44,$B3134)</f>
        <v/>
      </c>
      <c r="L3134" s="29">
        <f>J3134-K3134</f>
        <v/>
      </c>
      <c r="M3134" t="inlineStr">
        <is>
          <t>1.350</t>
        </is>
      </c>
      <c r="N3134" t="inlineStr">
        <is>
          <t>Modalidade: 0 - Por conta do remetente | Parte: LITORAL DISTRIBUIDORA S.A (55.104.068/0001-02)</t>
        </is>
      </c>
      <c r="O3134" s="29" t="n">
        <v>0</v>
      </c>
      <c r="P3134" s="29" t="n">
        <v>0</v>
      </c>
      <c r="Q3134" s="29" t="n">
        <v>0</v>
      </c>
      <c r="R3134" s="29" t="n">
        <v>0</v>
      </c>
      <c r="S3134" s="29" t="n">
        <v>0</v>
      </c>
      <c r="T3134" t="inlineStr">
        <is>
          <t>25260326975620000130570010000067051011001200</t>
        </is>
      </c>
      <c r="U3134" t="inlineStr">
        <is>
          <t>Não</t>
        </is>
      </c>
    </row>
    <row r="3135">
      <c r="A3135" t="inlineStr">
        <is>
          <t>Frete de venda</t>
        </is>
      </c>
      <c r="B3135" t="inlineStr">
        <is>
          <t>2.01.02 Frete sobre Vendas</t>
        </is>
      </c>
      <c r="C3135" s="30" t="n">
        <v>46082</v>
      </c>
      <c r="D3135" t="inlineStr">
        <is>
          <t>Em 2026</t>
        </is>
      </c>
      <c r="E3135" s="28" t="n">
        <v>46111</v>
      </c>
      <c r="F3135" t="inlineStr">
        <is>
          <t>CT-e</t>
        </is>
      </c>
      <c r="G3135" t="inlineStr">
        <is>
          <t>000006706</t>
        </is>
      </c>
      <c r="H3135" t="inlineStr">
        <is>
          <t>R&amp;R TRANSPORTE E LOGISTICA</t>
        </is>
      </c>
      <c r="J3135" s="29" t="n">
        <v>34.19</v>
      </c>
      <c r="K3135" s="29">
        <f>(1-ISNUMBER(SEARCH("556",M3135)))*(O3135*SUMIFS(Premissas!$C$5:$C$44,Premissas!$A$5:$A$44,$A3135,Premissas!$B$5:$B$44,$B3135)+P3135*SUMIFS(Premissas!$D$5:$D$44,Premissas!$A$5:$A$44,$A3135,Premissas!$B$5:$B$44,$B3135))+R3135*SUMIFS(Premissas!$E$5:$E$44,Premissas!$A$5:$A$44,$A3135,Premissas!$B$5:$B$44,$B3135)+S3135*SUMIFS(Premissas!$F$5:$F$44,Premissas!$A$5:$A$44,$A3135,Premissas!$B$5:$B$44,$B3135)</f>
        <v/>
      </c>
      <c r="L3135" s="29">
        <f>J3135-K3135</f>
        <v/>
      </c>
      <c r="M3135" t="inlineStr">
        <is>
          <t>1.350</t>
        </is>
      </c>
      <c r="N3135" t="inlineStr">
        <is>
          <t>Modalidade: 0 - Por conta do remetente | Parte: FG ATACADISTA DE EMBALAGENS E ALIMENTOS LTDA (62.720.773/0001-08)</t>
        </is>
      </c>
      <c r="O3135" s="29" t="n">
        <v>0</v>
      </c>
      <c r="P3135" s="29" t="n">
        <v>0</v>
      </c>
      <c r="Q3135" s="29" t="n">
        <v>0</v>
      </c>
      <c r="R3135" s="29" t="n">
        <v>0</v>
      </c>
      <c r="S3135" s="29" t="n">
        <v>0</v>
      </c>
      <c r="T3135" t="inlineStr">
        <is>
          <t>25260326975620000130570010000067061001701281</t>
        </is>
      </c>
      <c r="U3135" t="inlineStr">
        <is>
          <t>Não</t>
        </is>
      </c>
    </row>
    <row r="3136">
      <c r="A3136" t="inlineStr">
        <is>
          <t>Frete de venda</t>
        </is>
      </c>
      <c r="B3136" t="inlineStr">
        <is>
          <t>2.01.02 Frete sobre Vendas</t>
        </is>
      </c>
      <c r="C3136" s="30" t="n">
        <v>46082</v>
      </c>
      <c r="D3136" t="inlineStr">
        <is>
          <t>Em 2026</t>
        </is>
      </c>
      <c r="E3136" s="28" t="n">
        <v>46111</v>
      </c>
      <c r="F3136" t="inlineStr">
        <is>
          <t>CT-e</t>
        </is>
      </c>
      <c r="G3136" t="inlineStr">
        <is>
          <t>000006707</t>
        </is>
      </c>
      <c r="H3136" t="inlineStr">
        <is>
          <t>R&amp;R TRANSPORTE E LOGISTICA</t>
        </is>
      </c>
      <c r="J3136" s="29" t="n">
        <v>593</v>
      </c>
      <c r="K3136" s="29">
        <f>(1-ISNUMBER(SEARCH("556",M3136)))*(O3136*SUMIFS(Premissas!$C$5:$C$44,Premissas!$A$5:$A$44,$A3136,Premissas!$B$5:$B$44,$B3136)+P3136*SUMIFS(Premissas!$D$5:$D$44,Premissas!$A$5:$A$44,$A3136,Premissas!$B$5:$B$44,$B3136))+R3136*SUMIFS(Premissas!$E$5:$E$44,Premissas!$A$5:$A$44,$A3136,Premissas!$B$5:$B$44,$B3136)+S3136*SUMIFS(Premissas!$F$5:$F$44,Premissas!$A$5:$A$44,$A3136,Premissas!$B$5:$B$44,$B3136)</f>
        <v/>
      </c>
      <c r="L3136" s="29">
        <f>J3136-K3136</f>
        <v/>
      </c>
      <c r="M3136" t="inlineStr">
        <is>
          <t>1.350</t>
        </is>
      </c>
      <c r="N3136" t="inlineStr">
        <is>
          <t>Modalidade: 0 - Por conta do remetente | Parte: UP DISTRIBUIDORA DE PRODUTOS DESCARTAVEIS LTDA (12.423.997/0001-71)</t>
        </is>
      </c>
      <c r="O3136" s="29" t="n">
        <v>0</v>
      </c>
      <c r="P3136" s="29" t="n">
        <v>0</v>
      </c>
      <c r="Q3136" s="29" t="n">
        <v>0</v>
      </c>
      <c r="R3136" s="29" t="n">
        <v>0</v>
      </c>
      <c r="S3136" s="29" t="n">
        <v>0</v>
      </c>
      <c r="T3136" t="inlineStr">
        <is>
          <t>25260326975620000130570010000067071000180633</t>
        </is>
      </c>
      <c r="U3136" t="inlineStr">
        <is>
          <t>Sim</t>
        </is>
      </c>
    </row>
    <row r="3137">
      <c r="A3137" t="inlineStr">
        <is>
          <t>Frete de venda</t>
        </is>
      </c>
      <c r="B3137" t="inlineStr">
        <is>
          <t>2.01.02 Frete sobre Vendas</t>
        </is>
      </c>
      <c r="C3137" s="30" t="n">
        <v>46082</v>
      </c>
      <c r="D3137" t="inlineStr">
        <is>
          <t>Em 2026</t>
        </is>
      </c>
      <c r="E3137" s="28" t="n">
        <v>46093</v>
      </c>
      <c r="F3137" t="inlineStr">
        <is>
          <t>CT-e</t>
        </is>
      </c>
      <c r="G3137" t="inlineStr">
        <is>
          <t>000003069</t>
        </is>
      </c>
      <c r="H3137" t="inlineStr">
        <is>
          <t>RAPIDO XAPURI TRANSPORTES E LOGISTICA LTDA</t>
        </is>
      </c>
      <c r="J3137" s="29" t="n">
        <v>1796.73</v>
      </c>
      <c r="K3137" s="29">
        <f>(1-ISNUMBER(SEARCH("556",M3137)))*(O3137*SUMIFS(Premissas!$C$5:$C$44,Premissas!$A$5:$A$44,$A3137,Premissas!$B$5:$B$44,$B3137)+P3137*SUMIFS(Premissas!$D$5:$D$44,Premissas!$A$5:$A$44,$A3137,Premissas!$B$5:$B$44,$B3137))+R3137*SUMIFS(Premissas!$E$5:$E$44,Premissas!$A$5:$A$44,$A3137,Premissas!$B$5:$B$44,$B3137)+S3137*SUMIFS(Premissas!$F$5:$F$44,Premissas!$A$5:$A$44,$A3137,Premissas!$B$5:$B$44,$B3137)</f>
        <v/>
      </c>
      <c r="L3137" s="29">
        <f>J3137-K3137</f>
        <v/>
      </c>
      <c r="M3137" t="inlineStr">
        <is>
          <t>1.350</t>
        </is>
      </c>
      <c r="N3137" t="inlineStr">
        <is>
          <t>Modalidade: 0 - Por conta do remetente | Parte: COMERCIAL SIMAO LTDA (02.745.979/0001-52)</t>
        </is>
      </c>
      <c r="O3137" s="29" t="n">
        <v>0</v>
      </c>
      <c r="P3137" s="29" t="n">
        <v>125.77</v>
      </c>
      <c r="Q3137" s="29" t="n">
        <v>0</v>
      </c>
      <c r="R3137" s="29" t="n">
        <v>0</v>
      </c>
      <c r="S3137" s="29" t="n">
        <v>0</v>
      </c>
      <c r="T3137" t="inlineStr">
        <is>
          <t>52260327775231000557570010000030691000583442</t>
        </is>
      </c>
      <c r="U3137" t="inlineStr">
        <is>
          <t>Sim</t>
        </is>
      </c>
    </row>
    <row r="3138">
      <c r="A3138" t="inlineStr">
        <is>
          <t>Frete de venda</t>
        </is>
      </c>
      <c r="B3138" t="inlineStr">
        <is>
          <t>2.01.02 Frete sobre Vendas</t>
        </is>
      </c>
      <c r="C3138" s="30" t="n">
        <v>46082</v>
      </c>
      <c r="D3138" t="inlineStr">
        <is>
          <t>Em 2026</t>
        </is>
      </c>
      <c r="E3138" s="28" t="n">
        <v>46109</v>
      </c>
      <c r="F3138" t="inlineStr">
        <is>
          <t>CT-e</t>
        </is>
      </c>
      <c r="G3138" t="inlineStr">
        <is>
          <t>000003314</t>
        </is>
      </c>
      <c r="H3138" t="inlineStr">
        <is>
          <t>RAPIDO XAPURI TRANSPORTES E LOGISTICA LTDA</t>
        </is>
      </c>
      <c r="J3138" s="29" t="n">
        <v>724.8200000000001</v>
      </c>
      <c r="K3138" s="29">
        <f>(1-ISNUMBER(SEARCH("556",M3138)))*(O3138*SUMIFS(Premissas!$C$5:$C$44,Premissas!$A$5:$A$44,$A3138,Premissas!$B$5:$B$44,$B3138)+P3138*SUMIFS(Premissas!$D$5:$D$44,Premissas!$A$5:$A$44,$A3138,Premissas!$B$5:$B$44,$B3138))+R3138*SUMIFS(Premissas!$E$5:$E$44,Premissas!$A$5:$A$44,$A3138,Premissas!$B$5:$B$44,$B3138)+S3138*SUMIFS(Premissas!$F$5:$F$44,Premissas!$A$5:$A$44,$A3138,Premissas!$B$5:$B$44,$B3138)</f>
        <v/>
      </c>
      <c r="L3138" s="29">
        <f>J3138-K3138</f>
        <v/>
      </c>
      <c r="M3138" t="inlineStr">
        <is>
          <t>1.350</t>
        </is>
      </c>
      <c r="N3138" t="inlineStr">
        <is>
          <t>Modalidade: 0 - Por conta do remetente | Parte: GEORGES TALGI MAILAH - SUPER LOJAO ECONOMICO (34.697.540/0001-98)</t>
        </is>
      </c>
      <c r="O3138" s="29" t="n">
        <v>0</v>
      </c>
      <c r="P3138" s="29" t="n">
        <v>86.98</v>
      </c>
      <c r="Q3138" s="29" t="n">
        <v>0</v>
      </c>
      <c r="R3138" s="29" t="n">
        <v>0</v>
      </c>
      <c r="S3138" s="29" t="n">
        <v>0</v>
      </c>
      <c r="T3138" t="inlineStr">
        <is>
          <t>52260327775231000557570010000033141000607722</t>
        </is>
      </c>
      <c r="U3138" t="inlineStr">
        <is>
          <t>Sim</t>
        </is>
      </c>
    </row>
    <row r="3139">
      <c r="A3139" t="inlineStr">
        <is>
          <t>Frete de venda</t>
        </is>
      </c>
      <c r="B3139" t="inlineStr">
        <is>
          <t>2.01.02 Frete sobre Vendas</t>
        </is>
      </c>
      <c r="C3139" s="30" t="n">
        <v>46082</v>
      </c>
      <c r="D3139" t="inlineStr">
        <is>
          <t>Em 2026</t>
        </is>
      </c>
      <c r="E3139" s="28" t="n">
        <v>46109</v>
      </c>
      <c r="F3139" t="inlineStr">
        <is>
          <t>CT-e</t>
        </is>
      </c>
      <c r="G3139" t="inlineStr">
        <is>
          <t>000003315</t>
        </is>
      </c>
      <c r="H3139" t="inlineStr">
        <is>
          <t>RAPIDO XAPURI TRANSPORTES E LOGISTICA LTDA</t>
        </is>
      </c>
      <c r="J3139" s="29" t="n">
        <v>1625</v>
      </c>
      <c r="K3139" s="29">
        <f>(1-ISNUMBER(SEARCH("556",M3139)))*(O3139*SUMIFS(Premissas!$C$5:$C$44,Premissas!$A$5:$A$44,$A3139,Premissas!$B$5:$B$44,$B3139)+P3139*SUMIFS(Premissas!$D$5:$D$44,Premissas!$A$5:$A$44,$A3139,Premissas!$B$5:$B$44,$B3139))+R3139*SUMIFS(Premissas!$E$5:$E$44,Premissas!$A$5:$A$44,$A3139,Premissas!$B$5:$B$44,$B3139)+S3139*SUMIFS(Premissas!$F$5:$F$44,Premissas!$A$5:$A$44,$A3139,Premissas!$B$5:$B$44,$B3139)</f>
        <v/>
      </c>
      <c r="L3139" s="29">
        <f>J3139-K3139</f>
        <v/>
      </c>
      <c r="M3139" t="inlineStr">
        <is>
          <t>1.350</t>
        </is>
      </c>
      <c r="N3139" t="inlineStr">
        <is>
          <t>Modalidade: 0 - Por conta do remetente | Parte: MARCONDES N DE SOUZA LTDA (05.847.768/0001-19)</t>
        </is>
      </c>
      <c r="O3139" s="29" t="n">
        <v>0</v>
      </c>
      <c r="P3139" s="29" t="n">
        <v>195</v>
      </c>
      <c r="Q3139" s="29" t="n">
        <v>0</v>
      </c>
      <c r="R3139" s="29" t="n">
        <v>0</v>
      </c>
      <c r="S3139" s="29" t="n">
        <v>0</v>
      </c>
      <c r="T3139" t="inlineStr">
        <is>
          <t>52260327775231000557570010000033151000607738</t>
        </is>
      </c>
      <c r="U3139" t="inlineStr">
        <is>
          <t>Sim</t>
        </is>
      </c>
    </row>
    <row r="3140">
      <c r="A3140" t="inlineStr">
        <is>
          <t>Frete de venda</t>
        </is>
      </c>
      <c r="B3140" t="inlineStr">
        <is>
          <t>2.01.02 Frete sobre Vendas</t>
        </is>
      </c>
      <c r="C3140" s="30" t="n">
        <v>46082</v>
      </c>
      <c r="D3140" t="inlineStr">
        <is>
          <t>Em 2026</t>
        </is>
      </c>
      <c r="E3140" s="28" t="n">
        <v>46109</v>
      </c>
      <c r="F3140" t="inlineStr">
        <is>
          <t>CT-e</t>
        </is>
      </c>
      <c r="G3140" t="inlineStr">
        <is>
          <t>000003316</t>
        </is>
      </c>
      <c r="H3140" t="inlineStr">
        <is>
          <t>RAPIDO XAPURI TRANSPORTES E LOGISTICA LTDA</t>
        </is>
      </c>
      <c r="J3140" s="29" t="n">
        <v>1210.09</v>
      </c>
      <c r="K3140" s="29">
        <f>(1-ISNUMBER(SEARCH("556",M3140)))*(O3140*SUMIFS(Premissas!$C$5:$C$44,Premissas!$A$5:$A$44,$A3140,Premissas!$B$5:$B$44,$B3140)+P3140*SUMIFS(Premissas!$D$5:$D$44,Premissas!$A$5:$A$44,$A3140,Premissas!$B$5:$B$44,$B3140))+R3140*SUMIFS(Premissas!$E$5:$E$44,Premissas!$A$5:$A$44,$A3140,Premissas!$B$5:$B$44,$B3140)+S3140*SUMIFS(Premissas!$F$5:$F$44,Premissas!$A$5:$A$44,$A3140,Premissas!$B$5:$B$44,$B3140)</f>
        <v/>
      </c>
      <c r="L3140" s="29">
        <f>J3140-K3140</f>
        <v/>
      </c>
      <c r="M3140" t="inlineStr">
        <is>
          <t>1.350</t>
        </is>
      </c>
      <c r="N3140" t="inlineStr">
        <is>
          <t>Modalidade: 0 - Por conta do remetente | Parte: A. C. D. A. IMPORTACAO E EXPORTACAO LTDA (84.308.980/0014-07)</t>
        </is>
      </c>
      <c r="O3140" s="29" t="n">
        <v>0</v>
      </c>
      <c r="P3140" s="29" t="n">
        <v>145.21</v>
      </c>
      <c r="Q3140" s="29" t="n">
        <v>0</v>
      </c>
      <c r="R3140" s="29" t="n">
        <v>0</v>
      </c>
      <c r="S3140" s="29" t="n">
        <v>0</v>
      </c>
      <c r="T3140" t="inlineStr">
        <is>
          <t>52260327775231000557570010000033161000607743</t>
        </is>
      </c>
      <c r="U3140" t="inlineStr">
        <is>
          <t>Sim</t>
        </is>
      </c>
    </row>
    <row r="3141">
      <c r="A3141" t="inlineStr">
        <is>
          <t>Frete de venda</t>
        </is>
      </c>
      <c r="B3141" t="inlineStr">
        <is>
          <t>2.01.02 Frete sobre Vendas</t>
        </is>
      </c>
      <c r="C3141" s="30" t="n">
        <v>46082</v>
      </c>
      <c r="D3141" t="inlineStr">
        <is>
          <t>Em 2026</t>
        </is>
      </c>
      <c r="E3141" s="28" t="n">
        <v>46109</v>
      </c>
      <c r="F3141" t="inlineStr">
        <is>
          <t>CT-e</t>
        </is>
      </c>
      <c r="G3141" t="inlineStr">
        <is>
          <t>000003317</t>
        </is>
      </c>
      <c r="H3141" t="inlineStr">
        <is>
          <t>RAPIDO XAPURI TRANSPORTES E LOGISTICA LTDA</t>
        </is>
      </c>
      <c r="J3141" s="29" t="n">
        <v>657.42</v>
      </c>
      <c r="K3141" s="29">
        <f>(1-ISNUMBER(SEARCH("556",M3141)))*(O3141*SUMIFS(Premissas!$C$5:$C$44,Premissas!$A$5:$A$44,$A3141,Premissas!$B$5:$B$44,$B3141)+P3141*SUMIFS(Premissas!$D$5:$D$44,Premissas!$A$5:$A$44,$A3141,Premissas!$B$5:$B$44,$B3141))+R3141*SUMIFS(Premissas!$E$5:$E$44,Premissas!$A$5:$A$44,$A3141,Premissas!$B$5:$B$44,$B3141)+S3141*SUMIFS(Premissas!$F$5:$F$44,Premissas!$A$5:$A$44,$A3141,Premissas!$B$5:$B$44,$B3141)</f>
        <v/>
      </c>
      <c r="L3141" s="29">
        <f>J3141-K3141</f>
        <v/>
      </c>
      <c r="M3141" t="inlineStr">
        <is>
          <t>1.350</t>
        </is>
      </c>
      <c r="N3141" t="inlineStr">
        <is>
          <t>Modalidade: 0 - Por conta do remetente | Parte: R. M. P. MARINHO e CIA LTDA (84.311.000/0001-00)</t>
        </is>
      </c>
      <c r="O3141" s="29" t="n">
        <v>0</v>
      </c>
      <c r="P3141" s="29" t="n">
        <v>78.89</v>
      </c>
      <c r="Q3141" s="29" t="n">
        <v>0</v>
      </c>
      <c r="R3141" s="29" t="n">
        <v>0</v>
      </c>
      <c r="S3141" s="29" t="n">
        <v>0</v>
      </c>
      <c r="T3141" t="inlineStr">
        <is>
          <t>52260327775231000557570010000033171000607759</t>
        </is>
      </c>
      <c r="U3141" t="inlineStr">
        <is>
          <t>Sim</t>
        </is>
      </c>
    </row>
    <row r="3142">
      <c r="A3142" t="inlineStr">
        <is>
          <t>Frete de venda</t>
        </is>
      </c>
      <c r="B3142" t="inlineStr">
        <is>
          <t>2.01.02 Frete sobre Vendas</t>
        </is>
      </c>
      <c r="C3142" s="30" t="n">
        <v>46082</v>
      </c>
      <c r="D3142" t="inlineStr">
        <is>
          <t>Em 2026</t>
        </is>
      </c>
      <c r="E3142" s="28" t="n">
        <v>46090</v>
      </c>
      <c r="F3142" t="inlineStr">
        <is>
          <t>CT-e</t>
        </is>
      </c>
      <c r="G3142" t="inlineStr">
        <is>
          <t>000000630</t>
        </is>
      </c>
      <c r="H3142" t="inlineStr">
        <is>
          <t>REIMAG - REINALDO DOMINGUES BARROS DA SILVA</t>
        </is>
      </c>
      <c r="J3142" s="29" t="n">
        <v>250</v>
      </c>
      <c r="K3142" s="29">
        <f>(1-ISNUMBER(SEARCH("556",M3142)))*(O3142*SUMIFS(Premissas!$C$5:$C$44,Premissas!$A$5:$A$44,$A3142,Premissas!$B$5:$B$44,$B3142)+P3142*SUMIFS(Premissas!$D$5:$D$44,Premissas!$A$5:$A$44,$A3142,Premissas!$B$5:$B$44,$B3142))+R3142*SUMIFS(Premissas!$E$5:$E$44,Premissas!$A$5:$A$44,$A3142,Premissas!$B$5:$B$44,$B3142)+S3142*SUMIFS(Premissas!$F$5:$F$44,Premissas!$A$5:$A$44,$A3142,Premissas!$B$5:$B$44,$B3142)</f>
        <v/>
      </c>
      <c r="L3142" s="29">
        <f>J3142-K3142</f>
        <v/>
      </c>
      <c r="M3142" t="inlineStr">
        <is>
          <t>1.350</t>
        </is>
      </c>
      <c r="N3142" t="inlineStr">
        <is>
          <t>Modalidade: 0 - Por conta do remetente | Parte: A. ALVES MARTINS EMBALAGENS (52.898.497/0001-00)</t>
        </is>
      </c>
      <c r="O3142" s="29" t="n">
        <v>0</v>
      </c>
      <c r="P3142" s="29" t="n">
        <v>0</v>
      </c>
      <c r="Q3142" s="29" t="n">
        <v>0</v>
      </c>
      <c r="R3142" s="29" t="n">
        <v>0</v>
      </c>
      <c r="S3142" s="29" t="n">
        <v>0</v>
      </c>
      <c r="T3142" t="inlineStr">
        <is>
          <t>25260339962724000151570010000006301494230962</t>
        </is>
      </c>
      <c r="U3142" t="inlineStr">
        <is>
          <t>Sim</t>
        </is>
      </c>
    </row>
    <row r="3143">
      <c r="A3143" t="inlineStr">
        <is>
          <t>Frete de venda</t>
        </is>
      </c>
      <c r="B3143" t="inlineStr">
        <is>
          <t>2.01.02 Frete sobre Vendas</t>
        </is>
      </c>
      <c r="C3143" s="30" t="n">
        <v>46082</v>
      </c>
      <c r="D3143" t="inlineStr">
        <is>
          <t>Em 2026</t>
        </is>
      </c>
      <c r="E3143" s="28" t="n">
        <v>46090</v>
      </c>
      <c r="F3143" t="inlineStr">
        <is>
          <t>CT-e</t>
        </is>
      </c>
      <c r="G3143" t="inlineStr">
        <is>
          <t>000000631</t>
        </is>
      </c>
      <c r="H3143" t="inlineStr">
        <is>
          <t>REIMAG - REINALDO DOMINGUES BARROS DA SILVA</t>
        </is>
      </c>
      <c r="J3143" s="29" t="n">
        <v>250</v>
      </c>
      <c r="K3143" s="29">
        <f>(1-ISNUMBER(SEARCH("556",M3143)))*(O3143*SUMIFS(Premissas!$C$5:$C$44,Premissas!$A$5:$A$44,$A3143,Premissas!$B$5:$B$44,$B3143)+P3143*SUMIFS(Premissas!$D$5:$D$44,Premissas!$A$5:$A$44,$A3143,Premissas!$B$5:$B$44,$B3143))+R3143*SUMIFS(Premissas!$E$5:$E$44,Premissas!$A$5:$A$44,$A3143,Premissas!$B$5:$B$44,$B3143)+S3143*SUMIFS(Premissas!$F$5:$F$44,Premissas!$A$5:$A$44,$A3143,Premissas!$B$5:$B$44,$B3143)</f>
        <v/>
      </c>
      <c r="L3143" s="29">
        <f>J3143-K3143</f>
        <v/>
      </c>
      <c r="M3143" t="inlineStr">
        <is>
          <t>1.350</t>
        </is>
      </c>
      <c r="N3143" t="inlineStr">
        <is>
          <t>Modalidade: 0 - Por conta do remetente | Parte: JVS PRAZERES FESTAS LTDA (59.227.648/0001-48)</t>
        </is>
      </c>
      <c r="O3143" s="29" t="n">
        <v>0</v>
      </c>
      <c r="P3143" s="29" t="n">
        <v>0</v>
      </c>
      <c r="Q3143" s="29" t="n">
        <v>0</v>
      </c>
      <c r="R3143" s="29" t="n">
        <v>0</v>
      </c>
      <c r="S3143" s="29" t="n">
        <v>0</v>
      </c>
      <c r="T3143" t="inlineStr">
        <is>
          <t>25260339962724000151570010000006311617333010</t>
        </is>
      </c>
      <c r="U3143" t="inlineStr">
        <is>
          <t>Sim</t>
        </is>
      </c>
    </row>
    <row r="3144">
      <c r="A3144" t="inlineStr">
        <is>
          <t>Frete de venda</t>
        </is>
      </c>
      <c r="B3144" t="inlineStr">
        <is>
          <t>2.01.02 Frete sobre Vendas</t>
        </is>
      </c>
      <c r="C3144" s="30" t="n">
        <v>46082</v>
      </c>
      <c r="D3144" t="inlineStr">
        <is>
          <t>Em 2026</t>
        </is>
      </c>
      <c r="E3144" s="28" t="n">
        <v>46090</v>
      </c>
      <c r="F3144" t="inlineStr">
        <is>
          <t>CT-e</t>
        </is>
      </c>
      <c r="G3144" t="inlineStr">
        <is>
          <t>000000632</t>
        </is>
      </c>
      <c r="H3144" t="inlineStr">
        <is>
          <t>REIMAG - REINALDO DOMINGUES BARROS DA SILVA</t>
        </is>
      </c>
      <c r="J3144" s="29" t="n">
        <v>250</v>
      </c>
      <c r="K3144" s="29">
        <f>(1-ISNUMBER(SEARCH("556",M3144)))*(O3144*SUMIFS(Premissas!$C$5:$C$44,Premissas!$A$5:$A$44,$A3144,Premissas!$B$5:$B$44,$B3144)+P3144*SUMIFS(Premissas!$D$5:$D$44,Premissas!$A$5:$A$44,$A3144,Premissas!$B$5:$B$44,$B3144))+R3144*SUMIFS(Premissas!$E$5:$E$44,Premissas!$A$5:$A$44,$A3144,Premissas!$B$5:$B$44,$B3144)+S3144*SUMIFS(Premissas!$F$5:$F$44,Premissas!$A$5:$A$44,$A3144,Premissas!$B$5:$B$44,$B3144)</f>
        <v/>
      </c>
      <c r="L3144" s="29">
        <f>J3144-K3144</f>
        <v/>
      </c>
      <c r="M3144" t="inlineStr">
        <is>
          <t>1.350</t>
        </is>
      </c>
      <c r="N3144" t="inlineStr">
        <is>
          <t>Modalidade: 0 - Por conta do remetente | Parte: WRFC EMBALAGENS LTDA (56.093.170/0001-12)</t>
        </is>
      </c>
      <c r="O3144" s="29" t="n">
        <v>0</v>
      </c>
      <c r="P3144" s="29" t="n">
        <v>0</v>
      </c>
      <c r="Q3144" s="29" t="n">
        <v>0</v>
      </c>
      <c r="R3144" s="29" t="n">
        <v>0</v>
      </c>
      <c r="S3144" s="29" t="n">
        <v>0</v>
      </c>
      <c r="T3144" t="inlineStr">
        <is>
          <t>25260339962724000151570010000006321174674023</t>
        </is>
      </c>
      <c r="U3144" t="inlineStr">
        <is>
          <t>Sim</t>
        </is>
      </c>
    </row>
    <row r="3145">
      <c r="A3145" t="inlineStr">
        <is>
          <t>Frete de venda</t>
        </is>
      </c>
      <c r="B3145" t="inlineStr">
        <is>
          <t>2.01.02 Frete sobre Vendas</t>
        </is>
      </c>
      <c r="C3145" s="30" t="n">
        <v>46082</v>
      </c>
      <c r="D3145" t="inlineStr">
        <is>
          <t>Em 2026</t>
        </is>
      </c>
      <c r="E3145" s="28" t="n">
        <v>46097</v>
      </c>
      <c r="F3145" t="inlineStr">
        <is>
          <t>CT-e</t>
        </is>
      </c>
      <c r="G3145" t="inlineStr">
        <is>
          <t>000000636</t>
        </is>
      </c>
      <c r="H3145" t="inlineStr">
        <is>
          <t>REIMAG - REINALDO DOMINGUES BARROS DA SILVA</t>
        </is>
      </c>
      <c r="J3145" s="29" t="n">
        <v>733.33</v>
      </c>
      <c r="K3145" s="29">
        <f>(1-ISNUMBER(SEARCH("556",M3145)))*(O3145*SUMIFS(Premissas!$C$5:$C$44,Premissas!$A$5:$A$44,$A3145,Premissas!$B$5:$B$44,$B3145)+P3145*SUMIFS(Premissas!$D$5:$D$44,Premissas!$A$5:$A$44,$A3145,Premissas!$B$5:$B$44,$B3145))+R3145*SUMIFS(Premissas!$E$5:$E$44,Premissas!$A$5:$A$44,$A3145,Premissas!$B$5:$B$44,$B3145)+S3145*SUMIFS(Premissas!$F$5:$F$44,Premissas!$A$5:$A$44,$A3145,Premissas!$B$5:$B$44,$B3145)</f>
        <v/>
      </c>
      <c r="L3145" s="29">
        <f>J3145-K3145</f>
        <v/>
      </c>
      <c r="M3145" t="inlineStr">
        <is>
          <t>1.350</t>
        </is>
      </c>
      <c r="N3145" t="inlineStr">
        <is>
          <t>Modalidade: 0 - Por conta do remetente | Parte: VAREJAO DOS DESCARTAVEIS LTDA (60.735.655/0001-30)</t>
        </is>
      </c>
      <c r="O3145" s="29" t="n">
        <v>0</v>
      </c>
      <c r="P3145" s="29" t="n">
        <v>0</v>
      </c>
      <c r="Q3145" s="29" t="n">
        <v>0</v>
      </c>
      <c r="R3145" s="29" t="n">
        <v>0</v>
      </c>
      <c r="S3145" s="29" t="n">
        <v>0</v>
      </c>
      <c r="T3145" t="inlineStr">
        <is>
          <t>25260339962724000151570010000006361858462515</t>
        </is>
      </c>
      <c r="U3145" t="inlineStr">
        <is>
          <t>Sim</t>
        </is>
      </c>
    </row>
    <row r="3146">
      <c r="A3146" t="inlineStr">
        <is>
          <t>Frete de venda</t>
        </is>
      </c>
      <c r="B3146" t="inlineStr">
        <is>
          <t>2.01.02 Frete sobre Vendas</t>
        </is>
      </c>
      <c r="C3146" s="30" t="n">
        <v>46082</v>
      </c>
      <c r="D3146" t="inlineStr">
        <is>
          <t>Em 2026</t>
        </is>
      </c>
      <c r="E3146" s="28" t="n">
        <v>46097</v>
      </c>
      <c r="F3146" t="inlineStr">
        <is>
          <t>CT-e</t>
        </is>
      </c>
      <c r="G3146" t="inlineStr">
        <is>
          <t>000000637</t>
        </is>
      </c>
      <c r="H3146" t="inlineStr">
        <is>
          <t>REIMAG - REINALDO DOMINGUES BARROS DA SILVA</t>
        </is>
      </c>
      <c r="J3146" s="29" t="n">
        <v>733.33</v>
      </c>
      <c r="K3146" s="29">
        <f>(1-ISNUMBER(SEARCH("556",M3146)))*(O3146*SUMIFS(Premissas!$C$5:$C$44,Premissas!$A$5:$A$44,$A3146,Premissas!$B$5:$B$44,$B3146)+P3146*SUMIFS(Premissas!$D$5:$D$44,Premissas!$A$5:$A$44,$A3146,Premissas!$B$5:$B$44,$B3146))+R3146*SUMIFS(Premissas!$E$5:$E$44,Premissas!$A$5:$A$44,$A3146,Premissas!$B$5:$B$44,$B3146)+S3146*SUMIFS(Premissas!$F$5:$F$44,Premissas!$A$5:$A$44,$A3146,Premissas!$B$5:$B$44,$B3146)</f>
        <v/>
      </c>
      <c r="L3146" s="29">
        <f>J3146-K3146</f>
        <v/>
      </c>
      <c r="M3146" t="inlineStr">
        <is>
          <t>1.350</t>
        </is>
      </c>
      <c r="N3146" t="inlineStr">
        <is>
          <t>Modalidade: 0 - Por conta do remetente | Parte: J N N COMERCIO DE EMBALAGENS LTDA (42.158.613/0001-00)</t>
        </is>
      </c>
      <c r="O3146" s="29" t="n">
        <v>0</v>
      </c>
      <c r="P3146" s="29" t="n">
        <v>0</v>
      </c>
      <c r="Q3146" s="29" t="n">
        <v>0</v>
      </c>
      <c r="R3146" s="29" t="n">
        <v>0</v>
      </c>
      <c r="S3146" s="29" t="n">
        <v>0</v>
      </c>
      <c r="T3146" t="inlineStr">
        <is>
          <t>25260339962724000151570010000006371004307131</t>
        </is>
      </c>
      <c r="U3146" t="inlineStr">
        <is>
          <t>Sim</t>
        </is>
      </c>
    </row>
    <row r="3147">
      <c r="A3147" t="inlineStr">
        <is>
          <t>Frete de venda</t>
        </is>
      </c>
      <c r="B3147" t="inlineStr">
        <is>
          <t>2.01.02 Frete sobre Vendas</t>
        </is>
      </c>
      <c r="C3147" s="30" t="n">
        <v>46082</v>
      </c>
      <c r="D3147" t="inlineStr">
        <is>
          <t>Em 2026</t>
        </is>
      </c>
      <c r="E3147" s="28" t="n">
        <v>46097</v>
      </c>
      <c r="F3147" t="inlineStr">
        <is>
          <t>CT-e</t>
        </is>
      </c>
      <c r="G3147" t="inlineStr">
        <is>
          <t>000000638</t>
        </is>
      </c>
      <c r="H3147" t="inlineStr">
        <is>
          <t>REIMAG - REINALDO DOMINGUES BARROS DA SILVA</t>
        </is>
      </c>
      <c r="J3147" s="29" t="n">
        <v>733.34</v>
      </c>
      <c r="K3147" s="29">
        <f>(1-ISNUMBER(SEARCH("556",M3147)))*(O3147*SUMIFS(Premissas!$C$5:$C$44,Premissas!$A$5:$A$44,$A3147,Premissas!$B$5:$B$44,$B3147)+P3147*SUMIFS(Premissas!$D$5:$D$44,Premissas!$A$5:$A$44,$A3147,Premissas!$B$5:$B$44,$B3147))+R3147*SUMIFS(Premissas!$E$5:$E$44,Premissas!$A$5:$A$44,$A3147,Premissas!$B$5:$B$44,$B3147)+S3147*SUMIFS(Premissas!$F$5:$F$44,Premissas!$A$5:$A$44,$A3147,Premissas!$B$5:$B$44,$B3147)</f>
        <v/>
      </c>
      <c r="L3147" s="29">
        <f>J3147-K3147</f>
        <v/>
      </c>
      <c r="M3147" t="inlineStr">
        <is>
          <t>1.350</t>
        </is>
      </c>
      <c r="N3147" t="inlineStr">
        <is>
          <t>Modalidade: 0 - Por conta do remetente | Parte: S S DA SILVA (07.554.790/0001-04)</t>
        </is>
      </c>
      <c r="O3147" s="29" t="n">
        <v>0</v>
      </c>
      <c r="P3147" s="29" t="n">
        <v>0</v>
      </c>
      <c r="Q3147" s="29" t="n">
        <v>0</v>
      </c>
      <c r="R3147" s="29" t="n">
        <v>0</v>
      </c>
      <c r="S3147" s="29" t="n">
        <v>0</v>
      </c>
      <c r="T3147" t="inlineStr">
        <is>
          <t>25260339962724000151570010000006381378355264</t>
        </is>
      </c>
      <c r="U3147" t="inlineStr">
        <is>
          <t>Sim</t>
        </is>
      </c>
    </row>
    <row r="3148">
      <c r="A3148" t="inlineStr">
        <is>
          <t>Frete de venda</t>
        </is>
      </c>
      <c r="B3148" t="inlineStr">
        <is>
          <t>2.01.02 Frete sobre Vendas</t>
        </is>
      </c>
      <c r="C3148" s="30" t="n">
        <v>46082</v>
      </c>
      <c r="D3148" t="inlineStr">
        <is>
          <t>Em 2026</t>
        </is>
      </c>
      <c r="E3148" s="28" t="n">
        <v>46100</v>
      </c>
      <c r="F3148" t="inlineStr">
        <is>
          <t>CT-e</t>
        </is>
      </c>
      <c r="G3148" t="inlineStr">
        <is>
          <t>000000639</t>
        </is>
      </c>
      <c r="H3148" t="inlineStr">
        <is>
          <t>REIMAG - REINALDO DOMINGUES BARROS DA SILVA</t>
        </is>
      </c>
      <c r="J3148" s="29" t="n">
        <v>900</v>
      </c>
      <c r="K3148" s="29">
        <f>(1-ISNUMBER(SEARCH("556",M3148)))*(O3148*SUMIFS(Premissas!$C$5:$C$44,Premissas!$A$5:$A$44,$A3148,Premissas!$B$5:$B$44,$B3148)+P3148*SUMIFS(Premissas!$D$5:$D$44,Premissas!$A$5:$A$44,$A3148,Premissas!$B$5:$B$44,$B3148))+R3148*SUMIFS(Premissas!$E$5:$E$44,Premissas!$A$5:$A$44,$A3148,Premissas!$B$5:$B$44,$B3148)+S3148*SUMIFS(Premissas!$F$5:$F$44,Premissas!$A$5:$A$44,$A3148,Premissas!$B$5:$B$44,$B3148)</f>
        <v/>
      </c>
      <c r="L3148" s="29">
        <f>J3148-K3148</f>
        <v/>
      </c>
      <c r="M3148" t="inlineStr">
        <is>
          <t>1.350</t>
        </is>
      </c>
      <c r="N3148" t="inlineStr">
        <is>
          <t>Modalidade: 0 - Por conta do remetente | Parte: MARIO SERGIO ALVES DE OLIVEIRA LTDA (40.784.894/0001-72)</t>
        </is>
      </c>
      <c r="O3148" s="29" t="n">
        <v>0</v>
      </c>
      <c r="P3148" s="29" t="n">
        <v>0</v>
      </c>
      <c r="Q3148" s="29" t="n">
        <v>0</v>
      </c>
      <c r="R3148" s="29" t="n">
        <v>0</v>
      </c>
      <c r="S3148" s="29" t="n">
        <v>0</v>
      </c>
      <c r="T3148" t="inlineStr">
        <is>
          <t>25260339962724000151570010000006391004762518</t>
        </is>
      </c>
      <c r="U3148" t="inlineStr">
        <is>
          <t>Sim</t>
        </is>
      </c>
    </row>
    <row r="3149">
      <c r="A3149" t="inlineStr">
        <is>
          <t>Frete de venda</t>
        </is>
      </c>
      <c r="B3149" t="inlineStr">
        <is>
          <t>2.01.02 Frete sobre Vendas</t>
        </is>
      </c>
      <c r="C3149" s="30" t="n">
        <v>46082</v>
      </c>
      <c r="D3149" t="inlineStr">
        <is>
          <t>Em 2026</t>
        </is>
      </c>
      <c r="E3149" s="28" t="n">
        <v>46100</v>
      </c>
      <c r="F3149" t="inlineStr">
        <is>
          <t>CT-e</t>
        </is>
      </c>
      <c r="G3149" t="inlineStr">
        <is>
          <t>000000640</t>
        </is>
      </c>
      <c r="H3149" t="inlineStr">
        <is>
          <t>REIMAG - REINALDO DOMINGUES BARROS DA SILVA</t>
        </is>
      </c>
      <c r="J3149" s="29" t="n">
        <v>900</v>
      </c>
      <c r="K3149" s="29">
        <f>(1-ISNUMBER(SEARCH("556",M3149)))*(O3149*SUMIFS(Premissas!$C$5:$C$44,Premissas!$A$5:$A$44,$A3149,Premissas!$B$5:$B$44,$B3149)+P3149*SUMIFS(Premissas!$D$5:$D$44,Premissas!$A$5:$A$44,$A3149,Premissas!$B$5:$B$44,$B3149))+R3149*SUMIFS(Premissas!$E$5:$E$44,Premissas!$A$5:$A$44,$A3149,Premissas!$B$5:$B$44,$B3149)+S3149*SUMIFS(Premissas!$F$5:$F$44,Premissas!$A$5:$A$44,$A3149,Premissas!$B$5:$B$44,$B3149)</f>
        <v/>
      </c>
      <c r="L3149" s="29">
        <f>J3149-K3149</f>
        <v/>
      </c>
      <c r="M3149" t="inlineStr">
        <is>
          <t>1.350</t>
        </is>
      </c>
      <c r="N3149" t="inlineStr">
        <is>
          <t>Modalidade: 0 - Por conta do remetente | Parte: MERCOPAIVA COMERCIAL LTDA (45.016.002/0001-07)</t>
        </is>
      </c>
      <c r="O3149" s="29" t="n">
        <v>0</v>
      </c>
      <c r="P3149" s="29" t="n">
        <v>0</v>
      </c>
      <c r="Q3149" s="29" t="n">
        <v>0</v>
      </c>
      <c r="R3149" s="29" t="n">
        <v>0</v>
      </c>
      <c r="S3149" s="29" t="n">
        <v>0</v>
      </c>
      <c r="T3149" t="inlineStr">
        <is>
          <t>25260339962724000151570010000006401908655160</t>
        </is>
      </c>
      <c r="U3149" t="inlineStr">
        <is>
          <t>Sim</t>
        </is>
      </c>
    </row>
    <row r="3150">
      <c r="A3150" t="inlineStr">
        <is>
          <t>Frete de venda</t>
        </is>
      </c>
      <c r="B3150" t="inlineStr">
        <is>
          <t>2.01.02 Frete sobre Vendas</t>
        </is>
      </c>
      <c r="C3150" s="30" t="n">
        <v>46082</v>
      </c>
      <c r="D3150" t="inlineStr">
        <is>
          <t>Em 2026</t>
        </is>
      </c>
      <c r="E3150" s="28" t="n">
        <v>46105</v>
      </c>
      <c r="F3150" t="inlineStr">
        <is>
          <t>CT-e</t>
        </is>
      </c>
      <c r="G3150" t="inlineStr">
        <is>
          <t>000000641</t>
        </is>
      </c>
      <c r="H3150" t="inlineStr">
        <is>
          <t>REIMAG - REINALDO DOMINGUES BARROS DA SILVA</t>
        </is>
      </c>
      <c r="J3150" s="29" t="n">
        <v>400</v>
      </c>
      <c r="K3150" s="29">
        <f>(1-ISNUMBER(SEARCH("556",M3150)))*(O3150*SUMIFS(Premissas!$C$5:$C$44,Premissas!$A$5:$A$44,$A3150,Premissas!$B$5:$B$44,$B3150)+P3150*SUMIFS(Premissas!$D$5:$D$44,Premissas!$A$5:$A$44,$A3150,Premissas!$B$5:$B$44,$B3150))+R3150*SUMIFS(Premissas!$E$5:$E$44,Premissas!$A$5:$A$44,$A3150,Premissas!$B$5:$B$44,$B3150)+S3150*SUMIFS(Premissas!$F$5:$F$44,Premissas!$A$5:$A$44,$A3150,Premissas!$B$5:$B$44,$B3150)</f>
        <v/>
      </c>
      <c r="L3150" s="29">
        <f>J3150-K3150</f>
        <v/>
      </c>
      <c r="M3150" t="inlineStr">
        <is>
          <t>1.350</t>
        </is>
      </c>
      <c r="N3150" t="inlineStr">
        <is>
          <t>Modalidade: 0 - Por conta do remetente | Parte: PRASO PLATAFORMA DE COMERCIO LTDA. (42.434.646/0003-99)</t>
        </is>
      </c>
      <c r="O3150" s="29" t="n">
        <v>0</v>
      </c>
      <c r="P3150" s="29" t="n">
        <v>0</v>
      </c>
      <c r="Q3150" s="29" t="n">
        <v>0</v>
      </c>
      <c r="R3150" s="29" t="n">
        <v>0</v>
      </c>
      <c r="S3150" s="29" t="n">
        <v>0</v>
      </c>
      <c r="T3150" t="inlineStr">
        <is>
          <t>25260339962724000151570010000006411966910418</t>
        </is>
      </c>
      <c r="U3150" t="inlineStr">
        <is>
          <t>Sim</t>
        </is>
      </c>
    </row>
    <row r="3151">
      <c r="A3151" t="inlineStr">
        <is>
          <t>Frete de venda</t>
        </is>
      </c>
      <c r="B3151" t="inlineStr">
        <is>
          <t>2.01.02 Frete sobre Vendas</t>
        </is>
      </c>
      <c r="C3151" s="30" t="n">
        <v>46082</v>
      </c>
      <c r="D3151" t="inlineStr">
        <is>
          <t>Em 2026</t>
        </is>
      </c>
      <c r="E3151" s="28" t="n">
        <v>46105</v>
      </c>
      <c r="F3151" t="inlineStr">
        <is>
          <t>CT-e</t>
        </is>
      </c>
      <c r="G3151" t="inlineStr">
        <is>
          <t>000000642</t>
        </is>
      </c>
      <c r="H3151" t="inlineStr">
        <is>
          <t>REIMAG - REINALDO DOMINGUES BARROS DA SILVA</t>
        </is>
      </c>
      <c r="J3151" s="29" t="n">
        <v>400</v>
      </c>
      <c r="K3151" s="29">
        <f>(1-ISNUMBER(SEARCH("556",M3151)))*(O3151*SUMIFS(Premissas!$C$5:$C$44,Premissas!$A$5:$A$44,$A3151,Premissas!$B$5:$B$44,$B3151)+P3151*SUMIFS(Premissas!$D$5:$D$44,Premissas!$A$5:$A$44,$A3151,Premissas!$B$5:$B$44,$B3151))+R3151*SUMIFS(Premissas!$E$5:$E$44,Premissas!$A$5:$A$44,$A3151,Premissas!$B$5:$B$44,$B3151)+S3151*SUMIFS(Premissas!$F$5:$F$44,Premissas!$A$5:$A$44,$A3151,Premissas!$B$5:$B$44,$B3151)</f>
        <v/>
      </c>
      <c r="L3151" s="29">
        <f>J3151-K3151</f>
        <v/>
      </c>
      <c r="M3151" t="inlineStr">
        <is>
          <t>1.350</t>
        </is>
      </c>
      <c r="N3151" t="inlineStr">
        <is>
          <t>Modalidade: 0 - Por conta do remetente | Parte: BEZERRA ARTIGOS PARA FESTAS LTDA (19.010.824/0001-70)</t>
        </is>
      </c>
      <c r="O3151" s="29" t="n">
        <v>0</v>
      </c>
      <c r="P3151" s="29" t="n">
        <v>0</v>
      </c>
      <c r="Q3151" s="29" t="n">
        <v>0</v>
      </c>
      <c r="R3151" s="29" t="n">
        <v>0</v>
      </c>
      <c r="S3151" s="29" t="n">
        <v>0</v>
      </c>
      <c r="T3151" t="inlineStr">
        <is>
          <t>25260339962724000151570010000006421416234140</t>
        </is>
      </c>
      <c r="U3151" t="inlineStr">
        <is>
          <t>Sim</t>
        </is>
      </c>
    </row>
    <row r="3152">
      <c r="A3152" t="inlineStr">
        <is>
          <t>Frete de venda</t>
        </is>
      </c>
      <c r="B3152" t="inlineStr">
        <is>
          <t>2.01.02 Frete sobre Vendas</t>
        </is>
      </c>
      <c r="C3152" s="30" t="n">
        <v>46082</v>
      </c>
      <c r="D3152" t="inlineStr">
        <is>
          <t>Em 2026</t>
        </is>
      </c>
      <c r="E3152" s="28" t="n">
        <v>46107</v>
      </c>
      <c r="F3152" t="inlineStr">
        <is>
          <t>CT-e</t>
        </is>
      </c>
      <c r="G3152" t="inlineStr">
        <is>
          <t>000000644</t>
        </is>
      </c>
      <c r="H3152" t="inlineStr">
        <is>
          <t>REIMAG - REINALDO DOMINGUES BARROS DA SILVA</t>
        </is>
      </c>
      <c r="J3152" s="29" t="n">
        <v>800</v>
      </c>
      <c r="K3152" s="29">
        <f>(1-ISNUMBER(SEARCH("556",M3152)))*(O3152*SUMIFS(Premissas!$C$5:$C$44,Premissas!$A$5:$A$44,$A3152,Premissas!$B$5:$B$44,$B3152)+P3152*SUMIFS(Premissas!$D$5:$D$44,Premissas!$A$5:$A$44,$A3152,Premissas!$B$5:$B$44,$B3152))+R3152*SUMIFS(Premissas!$E$5:$E$44,Premissas!$A$5:$A$44,$A3152,Premissas!$B$5:$B$44,$B3152)+S3152*SUMIFS(Premissas!$F$5:$F$44,Premissas!$A$5:$A$44,$A3152,Premissas!$B$5:$B$44,$B3152)</f>
        <v/>
      </c>
      <c r="L3152" s="29">
        <f>J3152-K3152</f>
        <v/>
      </c>
      <c r="M3152" t="inlineStr">
        <is>
          <t>1.350</t>
        </is>
      </c>
      <c r="N3152" t="inlineStr">
        <is>
          <t>Modalidade: 0 - Por conta do remetente | Parte: M X COMERCIO E SERVICOS LTDA (11.028.612/0001-09)</t>
        </is>
      </c>
      <c r="O3152" s="29" t="n">
        <v>0</v>
      </c>
      <c r="P3152" s="29" t="n">
        <v>0</v>
      </c>
      <c r="Q3152" s="29" t="n">
        <v>0</v>
      </c>
      <c r="R3152" s="29" t="n">
        <v>0</v>
      </c>
      <c r="S3152" s="29" t="n">
        <v>0</v>
      </c>
      <c r="T3152" t="inlineStr">
        <is>
          <t>25260339962724000151570010000006441513926926</t>
        </is>
      </c>
      <c r="U3152" t="inlineStr">
        <is>
          <t>Sim</t>
        </is>
      </c>
    </row>
    <row r="3153">
      <c r="A3153" t="inlineStr">
        <is>
          <t>Frete de venda</t>
        </is>
      </c>
      <c r="B3153" t="inlineStr">
        <is>
          <t>2.01.02 Frete sobre Vendas</t>
        </is>
      </c>
      <c r="C3153" s="30" t="n">
        <v>46082</v>
      </c>
      <c r="D3153" t="inlineStr">
        <is>
          <t>Em 2026</t>
        </is>
      </c>
      <c r="E3153" s="28" t="n">
        <v>46094</v>
      </c>
      <c r="F3153" t="inlineStr">
        <is>
          <t>CT-e</t>
        </is>
      </c>
      <c r="G3153" t="inlineStr">
        <is>
          <t>000024132</t>
        </is>
      </c>
      <c r="H3153" t="inlineStr">
        <is>
          <t>TRANSPORTE OLIVEIRA E MELLOI - IDEALIZA TRANSPORTES</t>
        </is>
      </c>
      <c r="J3153" s="29" t="n">
        <v>2441.52</v>
      </c>
      <c r="K3153" s="29">
        <f>(1-ISNUMBER(SEARCH("556",M3153)))*(O3153*SUMIFS(Premissas!$C$5:$C$44,Premissas!$A$5:$A$44,$A3153,Premissas!$B$5:$B$44,$B3153)+P3153*SUMIFS(Premissas!$D$5:$D$44,Premissas!$A$5:$A$44,$A3153,Premissas!$B$5:$B$44,$B3153))+R3153*SUMIFS(Premissas!$E$5:$E$44,Premissas!$A$5:$A$44,$A3153,Premissas!$B$5:$B$44,$B3153)+S3153*SUMIFS(Premissas!$F$5:$F$44,Premissas!$A$5:$A$44,$A3153,Premissas!$B$5:$B$44,$B3153)</f>
        <v/>
      </c>
      <c r="L3153" s="29">
        <f>J3153-K3153</f>
        <v/>
      </c>
      <c r="M3153" t="inlineStr">
        <is>
          <t>1.350</t>
        </is>
      </c>
      <c r="N3153" t="inlineStr">
        <is>
          <t>Modalidade: 0 - Por conta do remetente | Parte: LIDER INDUSTRIA E COMERCIO LTDA (45.762.979/0001-73)</t>
        </is>
      </c>
      <c r="O3153" s="29" t="n">
        <v>0</v>
      </c>
      <c r="P3153" s="29" t="n">
        <v>292.98</v>
      </c>
      <c r="Q3153" s="29" t="n">
        <v>0</v>
      </c>
      <c r="R3153" s="29" t="n">
        <v>0</v>
      </c>
      <c r="S3153" s="29" t="n">
        <v>0</v>
      </c>
      <c r="T3153" t="inlineStr">
        <is>
          <t>15260320175042000170570010000241321000050538</t>
        </is>
      </c>
      <c r="U3153" t="inlineStr">
        <is>
          <t>Sim</t>
        </is>
      </c>
    </row>
    <row r="3154">
      <c r="A3154" t="inlineStr">
        <is>
          <t>Frete de venda</t>
        </is>
      </c>
      <c r="B3154" t="inlineStr">
        <is>
          <t>2.01.02 Frete sobre Vendas</t>
        </is>
      </c>
      <c r="C3154" s="30" t="n">
        <v>46082</v>
      </c>
      <c r="D3154" t="inlineStr">
        <is>
          <t>Em 2026</t>
        </is>
      </c>
      <c r="E3154" s="28" t="n">
        <v>46094</v>
      </c>
      <c r="F3154" t="inlineStr">
        <is>
          <t>CT-e</t>
        </is>
      </c>
      <c r="G3154" t="inlineStr">
        <is>
          <t>000024133</t>
        </is>
      </c>
      <c r="H3154" t="inlineStr">
        <is>
          <t>TRANSPORTE OLIVEIRA E MELLOI - IDEALIZA TRANSPORTES</t>
        </is>
      </c>
      <c r="J3154" s="29" t="n">
        <v>257.7</v>
      </c>
      <c r="K3154" s="29">
        <f>(1-ISNUMBER(SEARCH("556",M3154)))*(O3154*SUMIFS(Premissas!$C$5:$C$44,Premissas!$A$5:$A$44,$A3154,Premissas!$B$5:$B$44,$B3154)+P3154*SUMIFS(Premissas!$D$5:$D$44,Premissas!$A$5:$A$44,$A3154,Premissas!$B$5:$B$44,$B3154))+R3154*SUMIFS(Premissas!$E$5:$E$44,Premissas!$A$5:$A$44,$A3154,Premissas!$B$5:$B$44,$B3154)+S3154*SUMIFS(Premissas!$F$5:$F$44,Premissas!$A$5:$A$44,$A3154,Premissas!$B$5:$B$44,$B3154)</f>
        <v/>
      </c>
      <c r="L3154" s="29">
        <f>J3154-K3154</f>
        <v/>
      </c>
      <c r="M3154" t="inlineStr">
        <is>
          <t>1.350</t>
        </is>
      </c>
      <c r="N3154" t="inlineStr">
        <is>
          <t>Modalidade: 0 - Por conta do remetente | Parte: R. J. MARQUES ALMEIDA (26.172.755/0001-67)</t>
        </is>
      </c>
      <c r="O3154" s="29" t="n">
        <v>0</v>
      </c>
      <c r="P3154" s="29" t="n">
        <v>30.92</v>
      </c>
      <c r="Q3154" s="29" t="n">
        <v>0</v>
      </c>
      <c r="R3154" s="29" t="n">
        <v>0</v>
      </c>
      <c r="S3154" s="29" t="n">
        <v>0</v>
      </c>
      <c r="T3154" t="inlineStr">
        <is>
          <t>15260320175042000170570010000241331000050543</t>
        </is>
      </c>
      <c r="U3154" t="inlineStr">
        <is>
          <t>Sim</t>
        </is>
      </c>
    </row>
    <row r="3155">
      <c r="A3155" t="inlineStr">
        <is>
          <t>Frete de venda</t>
        </is>
      </c>
      <c r="B3155" t="inlineStr">
        <is>
          <t>2.01.02 Frete sobre Vendas</t>
        </is>
      </c>
      <c r="C3155" s="30" t="n">
        <v>46082</v>
      </c>
      <c r="D3155" t="inlineStr">
        <is>
          <t>Em 2026</t>
        </is>
      </c>
      <c r="E3155" s="28" t="n">
        <v>46094</v>
      </c>
      <c r="F3155" t="inlineStr">
        <is>
          <t>CT-e</t>
        </is>
      </c>
      <c r="G3155" t="inlineStr">
        <is>
          <t>000024134</t>
        </is>
      </c>
      <c r="H3155" t="inlineStr">
        <is>
          <t>TRANSPORTE OLIVEIRA E MELLOI - IDEALIZA TRANSPORTES</t>
        </is>
      </c>
      <c r="J3155" s="29" t="n">
        <v>1000.7</v>
      </c>
      <c r="K3155" s="29">
        <f>(1-ISNUMBER(SEARCH("556",M3155)))*(O3155*SUMIFS(Premissas!$C$5:$C$44,Premissas!$A$5:$A$44,$A3155,Premissas!$B$5:$B$44,$B3155)+P3155*SUMIFS(Premissas!$D$5:$D$44,Premissas!$A$5:$A$44,$A3155,Premissas!$B$5:$B$44,$B3155))+R3155*SUMIFS(Premissas!$E$5:$E$44,Premissas!$A$5:$A$44,$A3155,Premissas!$B$5:$B$44,$B3155)+S3155*SUMIFS(Premissas!$F$5:$F$44,Premissas!$A$5:$A$44,$A3155,Premissas!$B$5:$B$44,$B3155)</f>
        <v/>
      </c>
      <c r="L3155" s="29">
        <f>J3155-K3155</f>
        <v/>
      </c>
      <c r="M3155" t="inlineStr">
        <is>
          <t>1.350</t>
        </is>
      </c>
      <c r="N3155" t="inlineStr">
        <is>
          <t>Modalidade: 0 - Por conta do remetente | Parte: L. LIMA SA LTDA (60.921.662/0001-26)</t>
        </is>
      </c>
      <c r="O3155" s="29" t="n">
        <v>0</v>
      </c>
      <c r="P3155" s="29" t="n">
        <v>120.08</v>
      </c>
      <c r="Q3155" s="29" t="n">
        <v>0</v>
      </c>
      <c r="R3155" s="29" t="n">
        <v>0</v>
      </c>
      <c r="S3155" s="29" t="n">
        <v>0</v>
      </c>
      <c r="T3155" t="inlineStr">
        <is>
          <t>15260320175042000170570010000241341000050559</t>
        </is>
      </c>
      <c r="U3155" t="inlineStr">
        <is>
          <t>Sim</t>
        </is>
      </c>
    </row>
    <row r="3156">
      <c r="A3156" t="inlineStr">
        <is>
          <t>Frete de venda</t>
        </is>
      </c>
      <c r="B3156" t="inlineStr">
        <is>
          <t>2.01.02 Frete sobre Vendas</t>
        </is>
      </c>
      <c r="C3156" s="30" t="n">
        <v>46082</v>
      </c>
      <c r="D3156" t="inlineStr">
        <is>
          <t>Em 2026</t>
        </is>
      </c>
      <c r="E3156" s="28" t="n">
        <v>46094</v>
      </c>
      <c r="F3156" t="inlineStr">
        <is>
          <t>CT-e</t>
        </is>
      </c>
      <c r="G3156" t="inlineStr">
        <is>
          <t>000024135</t>
        </is>
      </c>
      <c r="H3156" t="inlineStr">
        <is>
          <t>TRANSPORTE OLIVEIRA E MELLOI - IDEALIZA TRANSPORTES</t>
        </is>
      </c>
      <c r="J3156" s="29" t="n">
        <v>982.74</v>
      </c>
      <c r="K3156" s="29">
        <f>(1-ISNUMBER(SEARCH("556",M3156)))*(O3156*SUMIFS(Premissas!$C$5:$C$44,Premissas!$A$5:$A$44,$A3156,Premissas!$B$5:$B$44,$B3156)+P3156*SUMIFS(Premissas!$D$5:$D$44,Premissas!$A$5:$A$44,$A3156,Premissas!$B$5:$B$44,$B3156))+R3156*SUMIFS(Premissas!$E$5:$E$44,Premissas!$A$5:$A$44,$A3156,Premissas!$B$5:$B$44,$B3156)+S3156*SUMIFS(Premissas!$F$5:$F$44,Premissas!$A$5:$A$44,$A3156,Premissas!$B$5:$B$44,$B3156)</f>
        <v/>
      </c>
      <c r="L3156" s="29">
        <f>J3156-K3156</f>
        <v/>
      </c>
      <c r="M3156" t="inlineStr">
        <is>
          <t>1.350</t>
        </is>
      </c>
      <c r="N3156" t="inlineStr">
        <is>
          <t>Modalidade: 0 - Por conta do remetente | Parte: PLASMAR COMERCIO DE PRODUTOS DESCARTAVEIS LTDA (09.354.922/0001-71)</t>
        </is>
      </c>
      <c r="O3156" s="29" t="n">
        <v>0</v>
      </c>
      <c r="P3156" s="29" t="n">
        <v>117.93</v>
      </c>
      <c r="Q3156" s="29" t="n">
        <v>0</v>
      </c>
      <c r="R3156" s="29" t="n">
        <v>0</v>
      </c>
      <c r="S3156" s="29" t="n">
        <v>0</v>
      </c>
      <c r="T3156" t="inlineStr">
        <is>
          <t>15260320175042000170570010000241351000050564</t>
        </is>
      </c>
      <c r="U3156" t="inlineStr">
        <is>
          <t>Sim</t>
        </is>
      </c>
    </row>
    <row r="3157">
      <c r="A3157" t="inlineStr">
        <is>
          <t>Frete de venda</t>
        </is>
      </c>
      <c r="B3157" t="inlineStr">
        <is>
          <t>2.01.02 Frete sobre Vendas</t>
        </is>
      </c>
      <c r="C3157" s="30" t="n">
        <v>46082</v>
      </c>
      <c r="D3157" t="inlineStr">
        <is>
          <t>Em 2026</t>
        </is>
      </c>
      <c r="E3157" s="28" t="n">
        <v>46092</v>
      </c>
      <c r="F3157" t="inlineStr">
        <is>
          <t>CT-e</t>
        </is>
      </c>
      <c r="G3157" t="inlineStr">
        <is>
          <t>000003845</t>
        </is>
      </c>
      <c r="H3157" t="inlineStr">
        <is>
          <t>UNIVERSAL CARGAS EXPRESS</t>
        </is>
      </c>
      <c r="J3157" s="29" t="n">
        <v>500</v>
      </c>
      <c r="K3157" s="29">
        <f>(1-ISNUMBER(SEARCH("556",M3157)))*(O3157*SUMIFS(Premissas!$C$5:$C$44,Premissas!$A$5:$A$44,$A3157,Premissas!$B$5:$B$44,$B3157)+P3157*SUMIFS(Premissas!$D$5:$D$44,Premissas!$A$5:$A$44,$A3157,Premissas!$B$5:$B$44,$B3157))+R3157*SUMIFS(Premissas!$E$5:$E$44,Premissas!$A$5:$A$44,$A3157,Premissas!$B$5:$B$44,$B3157)+S3157*SUMIFS(Premissas!$F$5:$F$44,Premissas!$A$5:$A$44,$A3157,Premissas!$B$5:$B$44,$B3157)</f>
        <v/>
      </c>
      <c r="L3157" s="29">
        <f>J3157-K3157</f>
        <v/>
      </c>
      <c r="M3157" t="inlineStr">
        <is>
          <t>1.350</t>
        </is>
      </c>
      <c r="N3157" t="inlineStr">
        <is>
          <t>Modalidade: 0 - Por conta do remetente | Parte: HIPER PLAST COMERCIO DE EMBALAGENS LTDA (33.649.657/0001-33)</t>
        </is>
      </c>
      <c r="O3157" s="29" t="n">
        <v>0</v>
      </c>
      <c r="P3157" s="29" t="n">
        <v>0</v>
      </c>
      <c r="Q3157" s="29" t="n">
        <v>0</v>
      </c>
      <c r="R3157" s="29" t="n">
        <v>0</v>
      </c>
      <c r="S3157" s="29" t="n">
        <v>0</v>
      </c>
      <c r="T3157" t="inlineStr">
        <is>
          <t>15260344384835000168570020000038451000051855</t>
        </is>
      </c>
      <c r="U3157" t="inlineStr">
        <is>
          <t>Sim</t>
        </is>
      </c>
    </row>
    <row r="3158">
      <c r="A3158" t="inlineStr">
        <is>
          <t>Frete de venda</t>
        </is>
      </c>
      <c r="B3158" t="inlineStr">
        <is>
          <t>2.01.02 Frete sobre Vendas</t>
        </is>
      </c>
      <c r="C3158" s="30" t="n">
        <v>46082</v>
      </c>
      <c r="D3158" t="inlineStr">
        <is>
          <t>Em 2026</t>
        </is>
      </c>
      <c r="E3158" s="28" t="n">
        <v>46092</v>
      </c>
      <c r="F3158" t="inlineStr">
        <is>
          <t>CT-e</t>
        </is>
      </c>
      <c r="G3158" t="inlineStr">
        <is>
          <t>000003846</t>
        </is>
      </c>
      <c r="H3158" t="inlineStr">
        <is>
          <t>UNIVERSAL CARGAS EXPRESS</t>
        </is>
      </c>
      <c r="J3158" s="29" t="n">
        <v>800</v>
      </c>
      <c r="K3158" s="29">
        <f>(1-ISNUMBER(SEARCH("556",M3158)))*(O3158*SUMIFS(Premissas!$C$5:$C$44,Premissas!$A$5:$A$44,$A3158,Premissas!$B$5:$B$44,$B3158)+P3158*SUMIFS(Premissas!$D$5:$D$44,Premissas!$A$5:$A$44,$A3158,Premissas!$B$5:$B$44,$B3158))+R3158*SUMIFS(Premissas!$E$5:$E$44,Premissas!$A$5:$A$44,$A3158,Premissas!$B$5:$B$44,$B3158)+S3158*SUMIFS(Premissas!$F$5:$F$44,Premissas!$A$5:$A$44,$A3158,Premissas!$B$5:$B$44,$B3158)</f>
        <v/>
      </c>
      <c r="L3158" s="29">
        <f>J3158-K3158</f>
        <v/>
      </c>
      <c r="M3158" t="inlineStr">
        <is>
          <t>1.350</t>
        </is>
      </c>
      <c r="N3158" t="inlineStr">
        <is>
          <t>Modalidade: 0 - Por conta do remetente | Parte: A C M DA SILVA COMERCIO (15.485.160/0001-45)</t>
        </is>
      </c>
      <c r="O3158" s="29" t="n">
        <v>0</v>
      </c>
      <c r="P3158" s="29" t="n">
        <v>0</v>
      </c>
      <c r="Q3158" s="29" t="n">
        <v>0</v>
      </c>
      <c r="R3158" s="29" t="n">
        <v>0</v>
      </c>
      <c r="S3158" s="29" t="n">
        <v>0</v>
      </c>
      <c r="T3158" t="inlineStr">
        <is>
          <t>15260344384835000168570020000038461000051860</t>
        </is>
      </c>
      <c r="U3158" t="inlineStr">
        <is>
          <t>Sim</t>
        </is>
      </c>
    </row>
    <row r="3159">
      <c r="A3159" t="inlineStr">
        <is>
          <t>Frete de venda</t>
        </is>
      </c>
      <c r="B3159" t="inlineStr">
        <is>
          <t>2.01.02 Frete sobre Vendas</t>
        </is>
      </c>
      <c r="C3159" s="30" t="n">
        <v>46082</v>
      </c>
      <c r="D3159" t="inlineStr">
        <is>
          <t>Em 2026</t>
        </is>
      </c>
      <c r="E3159" s="28" t="n">
        <v>46092</v>
      </c>
      <c r="F3159" t="inlineStr">
        <is>
          <t>CT-e</t>
        </is>
      </c>
      <c r="G3159" t="inlineStr">
        <is>
          <t>000003847</t>
        </is>
      </c>
      <c r="H3159" t="inlineStr">
        <is>
          <t>UNIVERSAL CARGAS EXPRESS</t>
        </is>
      </c>
      <c r="J3159" s="29" t="n">
        <v>350</v>
      </c>
      <c r="K3159" s="29">
        <f>(1-ISNUMBER(SEARCH("556",M3159)))*(O3159*SUMIFS(Premissas!$C$5:$C$44,Premissas!$A$5:$A$44,$A3159,Premissas!$B$5:$B$44,$B3159)+P3159*SUMIFS(Premissas!$D$5:$D$44,Premissas!$A$5:$A$44,$A3159,Premissas!$B$5:$B$44,$B3159))+R3159*SUMIFS(Premissas!$E$5:$E$44,Premissas!$A$5:$A$44,$A3159,Premissas!$B$5:$B$44,$B3159)+S3159*SUMIFS(Premissas!$F$5:$F$44,Premissas!$A$5:$A$44,$A3159,Premissas!$B$5:$B$44,$B3159)</f>
        <v/>
      </c>
      <c r="L3159" s="29">
        <f>J3159-K3159</f>
        <v/>
      </c>
      <c r="M3159" t="inlineStr">
        <is>
          <t>1.350</t>
        </is>
      </c>
      <c r="N3159" t="inlineStr">
        <is>
          <t>Modalidade: 0 - Por conta do remetente | Parte: CASA DAS EMBALAGENS LTDA (64.892.754/0001-86)</t>
        </is>
      </c>
      <c r="O3159" s="29" t="n">
        <v>0</v>
      </c>
      <c r="P3159" s="29" t="n">
        <v>0</v>
      </c>
      <c r="Q3159" s="29" t="n">
        <v>0</v>
      </c>
      <c r="R3159" s="29" t="n">
        <v>0</v>
      </c>
      <c r="S3159" s="29" t="n">
        <v>0</v>
      </c>
      <c r="T3159" t="inlineStr">
        <is>
          <t>15260344384835000168570020000038471000051876</t>
        </is>
      </c>
      <c r="U3159" t="inlineStr">
        <is>
          <t>Sim</t>
        </is>
      </c>
    </row>
    <row r="3160">
      <c r="A3160" t="inlineStr">
        <is>
          <t>Frete de venda</t>
        </is>
      </c>
      <c r="B3160" t="inlineStr">
        <is>
          <t>2.01.02 Frete sobre Vendas</t>
        </is>
      </c>
      <c r="C3160" s="30" t="n">
        <v>46082</v>
      </c>
      <c r="D3160" t="inlineStr">
        <is>
          <t>Em 2026</t>
        </is>
      </c>
      <c r="E3160" s="28" t="n">
        <v>46092</v>
      </c>
      <c r="F3160" t="inlineStr">
        <is>
          <t>CT-e</t>
        </is>
      </c>
      <c r="G3160" t="inlineStr">
        <is>
          <t>000003848</t>
        </is>
      </c>
      <c r="H3160" t="inlineStr">
        <is>
          <t>UNIVERSAL CARGAS EXPRESS</t>
        </is>
      </c>
      <c r="J3160" s="29" t="n">
        <v>2800</v>
      </c>
      <c r="K3160" s="29">
        <f>(1-ISNUMBER(SEARCH("556",M3160)))*(O3160*SUMIFS(Premissas!$C$5:$C$44,Premissas!$A$5:$A$44,$A3160,Premissas!$B$5:$B$44,$B3160)+P3160*SUMIFS(Premissas!$D$5:$D$44,Premissas!$A$5:$A$44,$A3160,Premissas!$B$5:$B$44,$B3160))+R3160*SUMIFS(Premissas!$E$5:$E$44,Premissas!$A$5:$A$44,$A3160,Premissas!$B$5:$B$44,$B3160)+S3160*SUMIFS(Premissas!$F$5:$F$44,Premissas!$A$5:$A$44,$A3160,Premissas!$B$5:$B$44,$B3160)</f>
        <v/>
      </c>
      <c r="L3160" s="29">
        <f>J3160-K3160</f>
        <v/>
      </c>
      <c r="M3160" t="inlineStr">
        <is>
          <t>1.350</t>
        </is>
      </c>
      <c r="N3160" t="inlineStr">
        <is>
          <t>Modalidade: 0 - Por conta do remetente | Parte: HIPER PLAST COMERCIO DE EMBALAGENS LTDA (33.649.657/0001-33)</t>
        </is>
      </c>
      <c r="O3160" s="29" t="n">
        <v>0</v>
      </c>
      <c r="P3160" s="29" t="n">
        <v>0</v>
      </c>
      <c r="Q3160" s="29" t="n">
        <v>0</v>
      </c>
      <c r="R3160" s="29" t="n">
        <v>0</v>
      </c>
      <c r="S3160" s="29" t="n">
        <v>0</v>
      </c>
      <c r="T3160" t="inlineStr">
        <is>
          <t>15260344384835000168570020000038481000051881</t>
        </is>
      </c>
      <c r="U3160" t="inlineStr">
        <is>
          <t>Sim</t>
        </is>
      </c>
    </row>
    <row r="3161">
      <c r="A3161" t="inlineStr">
        <is>
          <t>Frete de venda</t>
        </is>
      </c>
      <c r="B3161" t="inlineStr">
        <is>
          <t>2.01.02 Frete sobre Vendas</t>
        </is>
      </c>
      <c r="C3161" s="30" t="n">
        <v>46113</v>
      </c>
      <c r="D3161" t="inlineStr">
        <is>
          <t>Em 2026</t>
        </is>
      </c>
      <c r="E3161" s="28" t="n">
        <v>46122</v>
      </c>
      <c r="F3161" t="inlineStr">
        <is>
          <t>CT-e</t>
        </is>
      </c>
      <c r="G3161" t="inlineStr">
        <is>
          <t>001425848</t>
        </is>
      </c>
      <c r="H3161" t="inlineStr">
        <is>
          <t>PICCOLI TRANSPORTES LTDA</t>
        </is>
      </c>
      <c r="J3161" s="29" t="n">
        <v>803.5</v>
      </c>
      <c r="K3161" s="29">
        <f>(1-ISNUMBER(SEARCH("556",M3161)))*(O3161*SUMIFS(Premissas!$C$5:$C$44,Premissas!$A$5:$A$44,$A3161,Premissas!$B$5:$B$44,$B3161)+P3161*SUMIFS(Premissas!$D$5:$D$44,Premissas!$A$5:$A$44,$A3161,Premissas!$B$5:$B$44,$B3161))+R3161*SUMIFS(Premissas!$E$5:$E$44,Premissas!$A$5:$A$44,$A3161,Premissas!$B$5:$B$44,$B3161)+S3161*SUMIFS(Premissas!$F$5:$F$44,Premissas!$A$5:$A$44,$A3161,Premissas!$B$5:$B$44,$B3161)</f>
        <v/>
      </c>
      <c r="L3161" s="29">
        <f>J3161-K3161</f>
        <v/>
      </c>
      <c r="M3161" t="inlineStr">
        <is>
          <t>1.350</t>
        </is>
      </c>
      <c r="N3161" t="inlineStr">
        <is>
          <t>Modalidade: 0 - Por conta do remetente | Parte: INDUSTRIAL E COMERCIAL ALMEIDA LTDA (02.623.537/0010-24)</t>
        </is>
      </c>
      <c r="O3161" s="29" t="n">
        <v>0</v>
      </c>
      <c r="P3161" s="29" t="n">
        <v>56.24</v>
      </c>
      <c r="Q3161" s="29" t="n">
        <v>0</v>
      </c>
      <c r="R3161" s="29" t="n">
        <v>0</v>
      </c>
      <c r="S3161" s="29" t="n">
        <v>0</v>
      </c>
      <c r="T3161" t="inlineStr">
        <is>
          <t>35260401496359000245570010014258481005497862</t>
        </is>
      </c>
      <c r="U3161" t="inlineStr">
        <is>
          <t>Sim</t>
        </is>
      </c>
    </row>
    <row r="3162">
      <c r="A3162" t="inlineStr">
        <is>
          <t>Frete de venda</t>
        </is>
      </c>
      <c r="B3162" t="inlineStr">
        <is>
          <t>2.01.02 Frete sobre Vendas</t>
        </is>
      </c>
      <c r="C3162" s="30" t="n">
        <v>46113</v>
      </c>
      <c r="D3162" t="inlineStr">
        <is>
          <t>Em 2026</t>
        </is>
      </c>
      <c r="E3162" s="28" t="n">
        <v>46114</v>
      </c>
      <c r="F3162" t="inlineStr">
        <is>
          <t>CT-e</t>
        </is>
      </c>
      <c r="G3162" t="inlineStr">
        <is>
          <t>000006708</t>
        </is>
      </c>
      <c r="H3162" t="inlineStr">
        <is>
          <t>R&amp;R TRANSPORTE E LOGISTICA</t>
        </is>
      </c>
      <c r="J3162" s="29" t="n">
        <v>74.56999999999999</v>
      </c>
      <c r="K3162" s="29">
        <f>(1-ISNUMBER(SEARCH("556",M3162)))*(O3162*SUMIFS(Premissas!$C$5:$C$44,Premissas!$A$5:$A$44,$A3162,Premissas!$B$5:$B$44,$B3162)+P3162*SUMIFS(Premissas!$D$5:$D$44,Premissas!$A$5:$A$44,$A3162,Premissas!$B$5:$B$44,$B3162))+R3162*SUMIFS(Premissas!$E$5:$E$44,Premissas!$A$5:$A$44,$A3162,Premissas!$B$5:$B$44,$B3162)+S3162*SUMIFS(Premissas!$F$5:$F$44,Premissas!$A$5:$A$44,$A3162,Premissas!$B$5:$B$44,$B3162)</f>
        <v/>
      </c>
      <c r="L3162" s="29">
        <f>J3162-K3162</f>
        <v/>
      </c>
      <c r="M3162" t="inlineStr">
        <is>
          <t>1.350</t>
        </is>
      </c>
      <c r="N3162" t="inlineStr">
        <is>
          <t>Modalidade: 0 - Por conta do remetente | Parte: SANTOLI DISTRIBUIDORA DE MATERIAL DE LIMPEZA LTDA (51.900.904/0001-04)</t>
        </is>
      </c>
      <c r="O3162" s="29" t="n">
        <v>0</v>
      </c>
      <c r="P3162" s="29" t="n">
        <v>0</v>
      </c>
      <c r="Q3162" s="29" t="n">
        <v>0</v>
      </c>
      <c r="R3162" s="29" t="n">
        <v>0</v>
      </c>
      <c r="S3162" s="29" t="n">
        <v>0</v>
      </c>
      <c r="T3162" t="inlineStr">
        <is>
          <t>25260426975620000130570010000067081001101223</t>
        </is>
      </c>
      <c r="U3162" t="inlineStr">
        <is>
          <t>Não</t>
        </is>
      </c>
    </row>
    <row r="3163">
      <c r="A3163" t="inlineStr">
        <is>
          <t>Frete de venda</t>
        </is>
      </c>
      <c r="B3163" t="inlineStr">
        <is>
          <t>2.01.02 Frete sobre Vendas</t>
        </is>
      </c>
      <c r="C3163" s="30" t="n">
        <v>46113</v>
      </c>
      <c r="D3163" t="inlineStr">
        <is>
          <t>Em 2026</t>
        </is>
      </c>
      <c r="E3163" s="28" t="n">
        <v>46114</v>
      </c>
      <c r="F3163" t="inlineStr">
        <is>
          <t>CT-e</t>
        </is>
      </c>
      <c r="G3163" t="inlineStr">
        <is>
          <t>000006709</t>
        </is>
      </c>
      <c r="H3163" t="inlineStr">
        <is>
          <t>R&amp;R TRANSPORTE E LOGISTICA</t>
        </is>
      </c>
      <c r="J3163" s="29" t="n">
        <v>74.37</v>
      </c>
      <c r="K3163" s="29">
        <f>(1-ISNUMBER(SEARCH("556",M3163)))*(O3163*SUMIFS(Premissas!$C$5:$C$44,Premissas!$A$5:$A$44,$A3163,Premissas!$B$5:$B$44,$B3163)+P3163*SUMIFS(Premissas!$D$5:$D$44,Premissas!$A$5:$A$44,$A3163,Premissas!$B$5:$B$44,$B3163))+R3163*SUMIFS(Premissas!$E$5:$E$44,Premissas!$A$5:$A$44,$A3163,Premissas!$B$5:$B$44,$B3163)+S3163*SUMIFS(Premissas!$F$5:$F$44,Premissas!$A$5:$A$44,$A3163,Premissas!$B$5:$B$44,$B3163)</f>
        <v/>
      </c>
      <c r="L3163" s="29">
        <f>J3163-K3163</f>
        <v/>
      </c>
      <c r="M3163" t="inlineStr">
        <is>
          <t>1.350</t>
        </is>
      </c>
      <c r="N3163" t="inlineStr">
        <is>
          <t>Modalidade: 0 - Por conta do remetente | Parte: LEPETTI DOCES BSB LTDA (27.023.179/0001-59)</t>
        </is>
      </c>
      <c r="O3163" s="29" t="n">
        <v>0</v>
      </c>
      <c r="P3163" s="29" t="n">
        <v>0</v>
      </c>
      <c r="Q3163" s="29" t="n">
        <v>0</v>
      </c>
      <c r="R3163" s="29" t="n">
        <v>0</v>
      </c>
      <c r="S3163" s="29" t="n">
        <v>0</v>
      </c>
      <c r="T3163" t="inlineStr">
        <is>
          <t>25260426975620000130570010000067091001901308</t>
        </is>
      </c>
      <c r="U3163" t="inlineStr">
        <is>
          <t>Não</t>
        </is>
      </c>
    </row>
    <row r="3164">
      <c r="A3164" t="inlineStr">
        <is>
          <t>Frete de venda</t>
        </is>
      </c>
      <c r="B3164" t="inlineStr">
        <is>
          <t>2.01.02 Frete sobre Vendas</t>
        </is>
      </c>
      <c r="C3164" s="30" t="n">
        <v>46113</v>
      </c>
      <c r="D3164" t="inlineStr">
        <is>
          <t>Em 2026</t>
        </is>
      </c>
      <c r="E3164" s="28" t="n">
        <v>46114</v>
      </c>
      <c r="F3164" t="inlineStr">
        <is>
          <t>CT-e</t>
        </is>
      </c>
      <c r="G3164" t="inlineStr">
        <is>
          <t>000006710</t>
        </is>
      </c>
      <c r="H3164" t="inlineStr">
        <is>
          <t>R&amp;R TRANSPORTE E LOGISTICA</t>
        </is>
      </c>
      <c r="J3164" s="29" t="n">
        <v>64.12</v>
      </c>
      <c r="K3164" s="29">
        <f>(1-ISNUMBER(SEARCH("556",M3164)))*(O3164*SUMIFS(Premissas!$C$5:$C$44,Premissas!$A$5:$A$44,$A3164,Premissas!$B$5:$B$44,$B3164)+P3164*SUMIFS(Premissas!$D$5:$D$44,Premissas!$A$5:$A$44,$A3164,Premissas!$B$5:$B$44,$B3164))+R3164*SUMIFS(Premissas!$E$5:$E$44,Premissas!$A$5:$A$44,$A3164,Premissas!$B$5:$B$44,$B3164)+S3164*SUMIFS(Premissas!$F$5:$F$44,Premissas!$A$5:$A$44,$A3164,Premissas!$B$5:$B$44,$B3164)</f>
        <v/>
      </c>
      <c r="L3164" s="29">
        <f>J3164-K3164</f>
        <v/>
      </c>
      <c r="M3164" t="inlineStr">
        <is>
          <t>1.350</t>
        </is>
      </c>
      <c r="N3164" t="inlineStr">
        <is>
          <t>Modalidade: 0 - Por conta do remetente | Parte: SOL COMERCIO DE EMBALAGENS LTDA (48.993.949/0001-66)</t>
        </is>
      </c>
      <c r="O3164" s="29" t="n">
        <v>0</v>
      </c>
      <c r="P3164" s="29" t="n">
        <v>0</v>
      </c>
      <c r="Q3164" s="29" t="n">
        <v>0</v>
      </c>
      <c r="R3164" s="29" t="n">
        <v>0</v>
      </c>
      <c r="S3164" s="29" t="n">
        <v>0</v>
      </c>
      <c r="T3164" t="inlineStr">
        <is>
          <t>25260426975620000130570010000067101001601380</t>
        </is>
      </c>
      <c r="U3164" t="inlineStr">
        <is>
          <t>Não</t>
        </is>
      </c>
    </row>
    <row r="3165">
      <c r="A3165" t="inlineStr">
        <is>
          <t>Frete de venda</t>
        </is>
      </c>
      <c r="B3165" t="inlineStr">
        <is>
          <t>2.01.02 Frete sobre Vendas</t>
        </is>
      </c>
      <c r="C3165" s="30" t="n">
        <v>46113</v>
      </c>
      <c r="D3165" t="inlineStr">
        <is>
          <t>Em 2026</t>
        </is>
      </c>
      <c r="E3165" s="28" t="n">
        <v>46114</v>
      </c>
      <c r="F3165" t="inlineStr">
        <is>
          <t>CT-e</t>
        </is>
      </c>
      <c r="G3165" t="inlineStr">
        <is>
          <t>000006711</t>
        </is>
      </c>
      <c r="H3165" t="inlineStr">
        <is>
          <t>R&amp;R TRANSPORTE E LOGISTICA</t>
        </is>
      </c>
      <c r="J3165" s="29" t="n">
        <v>159.26</v>
      </c>
      <c r="K3165" s="29">
        <f>(1-ISNUMBER(SEARCH("556",M3165)))*(O3165*SUMIFS(Premissas!$C$5:$C$44,Premissas!$A$5:$A$44,$A3165,Premissas!$B$5:$B$44,$B3165)+P3165*SUMIFS(Premissas!$D$5:$D$44,Premissas!$A$5:$A$44,$A3165,Premissas!$B$5:$B$44,$B3165))+R3165*SUMIFS(Premissas!$E$5:$E$44,Premissas!$A$5:$A$44,$A3165,Premissas!$B$5:$B$44,$B3165)+S3165*SUMIFS(Premissas!$F$5:$F$44,Premissas!$A$5:$A$44,$A3165,Premissas!$B$5:$B$44,$B3165)</f>
        <v/>
      </c>
      <c r="L3165" s="29">
        <f>J3165-K3165</f>
        <v/>
      </c>
      <c r="M3165" t="inlineStr">
        <is>
          <t>1.350</t>
        </is>
      </c>
      <c r="N3165" t="inlineStr">
        <is>
          <t>Modalidade: 0 - Por conta do remetente | Parte: RODRIGUES E CIA LTDA (26.144.570/0001-49)</t>
        </is>
      </c>
      <c r="O3165" s="29" t="n">
        <v>0</v>
      </c>
      <c r="P3165" s="29" t="n">
        <v>0</v>
      </c>
      <c r="Q3165" s="29" t="n">
        <v>0</v>
      </c>
      <c r="R3165" s="29" t="n">
        <v>0</v>
      </c>
      <c r="S3165" s="29" t="n">
        <v>0</v>
      </c>
      <c r="T3165" t="inlineStr">
        <is>
          <t>25260426975620000130570010000067111001301465</t>
        </is>
      </c>
      <c r="U3165" t="inlineStr">
        <is>
          <t>Não</t>
        </is>
      </c>
    </row>
    <row r="3166">
      <c r="A3166" t="inlineStr">
        <is>
          <t>Frete de venda</t>
        </is>
      </c>
      <c r="B3166" t="inlineStr">
        <is>
          <t>2.01.02 Frete sobre Vendas</t>
        </is>
      </c>
      <c r="C3166" s="30" t="n">
        <v>46113</v>
      </c>
      <c r="D3166" t="inlineStr">
        <is>
          <t>Em 2026</t>
        </is>
      </c>
      <c r="E3166" s="28" t="n">
        <v>46114</v>
      </c>
      <c r="F3166" t="inlineStr">
        <is>
          <t>CT-e</t>
        </is>
      </c>
      <c r="G3166" t="inlineStr">
        <is>
          <t>000006712</t>
        </is>
      </c>
      <c r="H3166" t="inlineStr">
        <is>
          <t>R&amp;R TRANSPORTE E LOGISTICA</t>
        </is>
      </c>
      <c r="J3166" s="29" t="n">
        <v>63.07</v>
      </c>
      <c r="K3166" s="29">
        <f>(1-ISNUMBER(SEARCH("556",M3166)))*(O3166*SUMIFS(Premissas!$C$5:$C$44,Premissas!$A$5:$A$44,$A3166,Premissas!$B$5:$B$44,$B3166)+P3166*SUMIFS(Premissas!$D$5:$D$44,Premissas!$A$5:$A$44,$A3166,Premissas!$B$5:$B$44,$B3166))+R3166*SUMIFS(Premissas!$E$5:$E$44,Premissas!$A$5:$A$44,$A3166,Premissas!$B$5:$B$44,$B3166)+S3166*SUMIFS(Premissas!$F$5:$F$44,Premissas!$A$5:$A$44,$A3166,Premissas!$B$5:$B$44,$B3166)</f>
        <v/>
      </c>
      <c r="L3166" s="29">
        <f>J3166-K3166</f>
        <v/>
      </c>
      <c r="M3166" t="inlineStr">
        <is>
          <t>1.350</t>
        </is>
      </c>
      <c r="N3166" t="inlineStr">
        <is>
          <t>Modalidade: 0 - Por conta do remetente | Parte: TYGER ATACADISTA E DISTRIBUIDORA LTDA (36.978.497/0001-64)</t>
        </is>
      </c>
      <c r="O3166" s="29" t="n">
        <v>0</v>
      </c>
      <c r="P3166" s="29" t="n">
        <v>0</v>
      </c>
      <c r="Q3166" s="29" t="n">
        <v>0</v>
      </c>
      <c r="R3166" s="29" t="n">
        <v>0</v>
      </c>
      <c r="S3166" s="29" t="n">
        <v>0</v>
      </c>
      <c r="T3166" t="inlineStr">
        <is>
          <t>25260426975620000130570010000067121000101540</t>
        </is>
      </c>
      <c r="U3166" t="inlineStr">
        <is>
          <t>Não</t>
        </is>
      </c>
    </row>
    <row r="3167">
      <c r="A3167" t="inlineStr">
        <is>
          <t>Frete de venda</t>
        </is>
      </c>
      <c r="B3167" t="inlineStr">
        <is>
          <t>2.01.02 Frete sobre Vendas</t>
        </is>
      </c>
      <c r="C3167" s="30" t="n">
        <v>46113</v>
      </c>
      <c r="D3167" t="inlineStr">
        <is>
          <t>Em 2026</t>
        </is>
      </c>
      <c r="E3167" s="28" t="n">
        <v>46114</v>
      </c>
      <c r="F3167" t="inlineStr">
        <is>
          <t>CT-e</t>
        </is>
      </c>
      <c r="G3167" t="inlineStr">
        <is>
          <t>000006713</t>
        </is>
      </c>
      <c r="H3167" t="inlineStr">
        <is>
          <t>R&amp;R TRANSPORTE E LOGISTICA</t>
        </is>
      </c>
      <c r="J3167" s="29" t="n">
        <v>40.11</v>
      </c>
      <c r="K3167" s="29">
        <f>(1-ISNUMBER(SEARCH("556",M3167)))*(O3167*SUMIFS(Premissas!$C$5:$C$44,Premissas!$A$5:$A$44,$A3167,Premissas!$B$5:$B$44,$B3167)+P3167*SUMIFS(Premissas!$D$5:$D$44,Premissas!$A$5:$A$44,$A3167,Premissas!$B$5:$B$44,$B3167))+R3167*SUMIFS(Premissas!$E$5:$E$44,Premissas!$A$5:$A$44,$A3167,Premissas!$B$5:$B$44,$B3167)+S3167*SUMIFS(Premissas!$F$5:$F$44,Premissas!$A$5:$A$44,$A3167,Premissas!$B$5:$B$44,$B3167)</f>
        <v/>
      </c>
      <c r="L3167" s="29">
        <f>J3167-K3167</f>
        <v/>
      </c>
      <c r="M3167" t="inlineStr">
        <is>
          <t>1.350</t>
        </is>
      </c>
      <c r="N3167" t="inlineStr">
        <is>
          <t>Modalidade: 0 - Por conta do remetente | Parte: J. I. DE LIMA DISTRIBUIDORA DE EMBALAGENS E FRIOS (05.267.473/0001-73)</t>
        </is>
      </c>
      <c r="O3167" s="29" t="n">
        <v>0</v>
      </c>
      <c r="P3167" s="29" t="n">
        <v>0</v>
      </c>
      <c r="Q3167" s="29" t="n">
        <v>0</v>
      </c>
      <c r="R3167" s="29" t="n">
        <v>0</v>
      </c>
      <c r="S3167" s="29" t="n">
        <v>0</v>
      </c>
      <c r="T3167" t="inlineStr">
        <is>
          <t>25260426975620000130570010000067131001801624</t>
        </is>
      </c>
      <c r="U3167" t="inlineStr">
        <is>
          <t>Não</t>
        </is>
      </c>
    </row>
    <row r="3168">
      <c r="A3168" t="inlineStr">
        <is>
          <t>Frete de venda</t>
        </is>
      </c>
      <c r="B3168" t="inlineStr">
        <is>
          <t>2.01.02 Frete sobre Vendas</t>
        </is>
      </c>
      <c r="C3168" s="30" t="n">
        <v>46113</v>
      </c>
      <c r="D3168" t="inlineStr">
        <is>
          <t>Em 2026</t>
        </is>
      </c>
      <c r="E3168" s="28" t="n">
        <v>46114</v>
      </c>
      <c r="F3168" t="inlineStr">
        <is>
          <t>CT-e</t>
        </is>
      </c>
      <c r="G3168" t="inlineStr">
        <is>
          <t>000006714</t>
        </is>
      </c>
      <c r="H3168" t="inlineStr">
        <is>
          <t>R&amp;R TRANSPORTE E LOGISTICA</t>
        </is>
      </c>
      <c r="J3168" s="29" t="n">
        <v>45.54</v>
      </c>
      <c r="K3168" s="29">
        <f>(1-ISNUMBER(SEARCH("556",M3168)))*(O3168*SUMIFS(Premissas!$C$5:$C$44,Premissas!$A$5:$A$44,$A3168,Premissas!$B$5:$B$44,$B3168)+P3168*SUMIFS(Premissas!$D$5:$D$44,Premissas!$A$5:$A$44,$A3168,Premissas!$B$5:$B$44,$B3168))+R3168*SUMIFS(Premissas!$E$5:$E$44,Premissas!$A$5:$A$44,$A3168,Premissas!$B$5:$B$44,$B3168)+S3168*SUMIFS(Premissas!$F$5:$F$44,Premissas!$A$5:$A$44,$A3168,Premissas!$B$5:$B$44,$B3168)</f>
        <v/>
      </c>
      <c r="L3168" s="29">
        <f>J3168-K3168</f>
        <v/>
      </c>
      <c r="M3168" t="inlineStr">
        <is>
          <t>1.350</t>
        </is>
      </c>
      <c r="N3168" t="inlineStr">
        <is>
          <t>Modalidade: 0 - Por conta do remetente | Parte: MSM EMBALAGENS LTDA (25.110.956/0001-77)</t>
        </is>
      </c>
      <c r="O3168" s="29" t="n">
        <v>0</v>
      </c>
      <c r="P3168" s="29" t="n">
        <v>0</v>
      </c>
      <c r="Q3168" s="29" t="n">
        <v>0</v>
      </c>
      <c r="R3168" s="29" t="n">
        <v>0</v>
      </c>
      <c r="S3168" s="29" t="n">
        <v>0</v>
      </c>
      <c r="T3168" t="inlineStr">
        <is>
          <t>25260426975620000130570010000067141001501709</t>
        </is>
      </c>
      <c r="U3168" t="inlineStr">
        <is>
          <t>Não</t>
        </is>
      </c>
    </row>
    <row r="3169">
      <c r="A3169" t="inlineStr">
        <is>
          <t>Frete de venda</t>
        </is>
      </c>
      <c r="B3169" t="inlineStr">
        <is>
          <t>2.01.02 Frete sobre Vendas</t>
        </is>
      </c>
      <c r="C3169" s="30" t="n">
        <v>46113</v>
      </c>
      <c r="D3169" t="inlineStr">
        <is>
          <t>Em 2026</t>
        </is>
      </c>
      <c r="E3169" s="28" t="n">
        <v>46118</v>
      </c>
      <c r="F3169" t="inlineStr">
        <is>
          <t>CT-e</t>
        </is>
      </c>
      <c r="G3169" t="inlineStr">
        <is>
          <t>000006722</t>
        </is>
      </c>
      <c r="H3169" t="inlineStr">
        <is>
          <t>R&amp;R TRANSPORTE E LOGISTICA</t>
        </is>
      </c>
      <c r="J3169" s="29" t="n">
        <v>32.16</v>
      </c>
      <c r="K3169" s="29">
        <f>(1-ISNUMBER(SEARCH("556",M3169)))*(O3169*SUMIFS(Premissas!$C$5:$C$44,Premissas!$A$5:$A$44,$A3169,Premissas!$B$5:$B$44,$B3169)+P3169*SUMIFS(Premissas!$D$5:$D$44,Premissas!$A$5:$A$44,$A3169,Premissas!$B$5:$B$44,$B3169))+R3169*SUMIFS(Premissas!$E$5:$E$44,Premissas!$A$5:$A$44,$A3169,Premissas!$B$5:$B$44,$B3169)+S3169*SUMIFS(Premissas!$F$5:$F$44,Premissas!$A$5:$A$44,$A3169,Premissas!$B$5:$B$44,$B3169)</f>
        <v/>
      </c>
      <c r="L3169" s="29">
        <f>J3169-K3169</f>
        <v/>
      </c>
      <c r="M3169" t="inlineStr">
        <is>
          <t>1.350</t>
        </is>
      </c>
      <c r="N3169" t="inlineStr">
        <is>
          <t>Modalidade: 0 - Por conta do remetente | Parte: EMEK DISTRIBUIDORA DE DOCES LTDA (09.206.720/0001-82)</t>
        </is>
      </c>
      <c r="O3169" s="29" t="n">
        <v>0</v>
      </c>
      <c r="P3169" s="29" t="n">
        <v>0</v>
      </c>
      <c r="Q3169" s="29" t="n">
        <v>0</v>
      </c>
      <c r="R3169" s="29" t="n">
        <v>0</v>
      </c>
      <c r="S3169" s="29" t="n">
        <v>0</v>
      </c>
      <c r="T3169" t="inlineStr">
        <is>
          <t>25260426975620000130570010000067221001701610</t>
        </is>
      </c>
      <c r="U3169" t="inlineStr">
        <is>
          <t>Não</t>
        </is>
      </c>
    </row>
    <row r="3170">
      <c r="A3170" t="inlineStr">
        <is>
          <t>Frete de venda</t>
        </is>
      </c>
      <c r="B3170" t="inlineStr">
        <is>
          <t>2.01.02 Frete sobre Vendas</t>
        </is>
      </c>
      <c r="C3170" s="30" t="n">
        <v>46113</v>
      </c>
      <c r="D3170" t="inlineStr">
        <is>
          <t>Em 2026</t>
        </is>
      </c>
      <c r="E3170" s="28" t="n">
        <v>46118</v>
      </c>
      <c r="F3170" t="inlineStr">
        <is>
          <t>CT-e</t>
        </is>
      </c>
      <c r="G3170" t="inlineStr">
        <is>
          <t>000006723</t>
        </is>
      </c>
      <c r="H3170" t="inlineStr">
        <is>
          <t>R&amp;R TRANSPORTE E LOGISTICA</t>
        </is>
      </c>
      <c r="J3170" s="29" t="n">
        <v>37.44</v>
      </c>
      <c r="K3170" s="29">
        <f>(1-ISNUMBER(SEARCH("556",M3170)))*(O3170*SUMIFS(Premissas!$C$5:$C$44,Premissas!$A$5:$A$44,$A3170,Premissas!$B$5:$B$44,$B3170)+P3170*SUMIFS(Premissas!$D$5:$D$44,Premissas!$A$5:$A$44,$A3170,Premissas!$B$5:$B$44,$B3170))+R3170*SUMIFS(Premissas!$E$5:$E$44,Premissas!$A$5:$A$44,$A3170,Premissas!$B$5:$B$44,$B3170)+S3170*SUMIFS(Premissas!$F$5:$F$44,Premissas!$A$5:$A$44,$A3170,Premissas!$B$5:$B$44,$B3170)</f>
        <v/>
      </c>
      <c r="L3170" s="29">
        <f>J3170-K3170</f>
        <v/>
      </c>
      <c r="M3170" t="inlineStr">
        <is>
          <t>1.350</t>
        </is>
      </c>
      <c r="N3170" t="inlineStr">
        <is>
          <t>Modalidade: 0 - Por conta do remetente | Parte: CRISTAL NEWS ALIMENTOS E EMBALAGENS LTDA (04.067.045/0001-34)</t>
        </is>
      </c>
      <c r="O3170" s="29" t="n">
        <v>0</v>
      </c>
      <c r="P3170" s="29" t="n">
        <v>0</v>
      </c>
      <c r="Q3170" s="29" t="n">
        <v>0</v>
      </c>
      <c r="R3170" s="29" t="n">
        <v>0</v>
      </c>
      <c r="S3170" s="29" t="n">
        <v>0</v>
      </c>
      <c r="T3170" t="inlineStr">
        <is>
          <t>25260426975620000130570010000067231001401690</t>
        </is>
      </c>
      <c r="U3170" t="inlineStr">
        <is>
          <t>Não</t>
        </is>
      </c>
    </row>
    <row r="3171">
      <c r="A3171" t="inlineStr">
        <is>
          <t>Frete de venda</t>
        </is>
      </c>
      <c r="B3171" t="inlineStr">
        <is>
          <t>2.01.02 Frete sobre Vendas</t>
        </is>
      </c>
      <c r="C3171" s="30" t="n">
        <v>46113</v>
      </c>
      <c r="D3171" t="inlineStr">
        <is>
          <t>Em 2026</t>
        </is>
      </c>
      <c r="E3171" s="28" t="n">
        <v>46118</v>
      </c>
      <c r="F3171" t="inlineStr">
        <is>
          <t>CT-e</t>
        </is>
      </c>
      <c r="G3171" t="inlineStr">
        <is>
          <t>000006724</t>
        </is>
      </c>
      <c r="H3171" t="inlineStr">
        <is>
          <t>R&amp;R TRANSPORTE E LOGISTICA</t>
        </is>
      </c>
      <c r="J3171" s="29" t="n">
        <v>30.13</v>
      </c>
      <c r="K3171" s="29">
        <f>(1-ISNUMBER(SEARCH("556",M3171)))*(O3171*SUMIFS(Premissas!$C$5:$C$44,Premissas!$A$5:$A$44,$A3171,Premissas!$B$5:$B$44,$B3171)+P3171*SUMIFS(Premissas!$D$5:$D$44,Premissas!$A$5:$A$44,$A3171,Premissas!$B$5:$B$44,$B3171))+R3171*SUMIFS(Premissas!$E$5:$E$44,Premissas!$A$5:$A$44,$A3171,Premissas!$B$5:$B$44,$B3171)+S3171*SUMIFS(Premissas!$F$5:$F$44,Premissas!$A$5:$A$44,$A3171,Premissas!$B$5:$B$44,$B3171)</f>
        <v/>
      </c>
      <c r="L3171" s="29">
        <f>J3171-K3171</f>
        <v/>
      </c>
      <c r="M3171" t="inlineStr">
        <is>
          <t>1.350</t>
        </is>
      </c>
      <c r="N3171" t="inlineStr">
        <is>
          <t>Modalidade: 0 - Por conta do remetente | Parte: DISTRIBUIDORA JULIANA LTDA (07.276.402/0001-62)</t>
        </is>
      </c>
      <c r="O3171" s="29" t="n">
        <v>0</v>
      </c>
      <c r="P3171" s="29" t="n">
        <v>0</v>
      </c>
      <c r="Q3171" s="29" t="n">
        <v>0</v>
      </c>
      <c r="R3171" s="29" t="n">
        <v>0</v>
      </c>
      <c r="S3171" s="29" t="n">
        <v>0</v>
      </c>
      <c r="T3171" t="inlineStr">
        <is>
          <t>25260426975620000130570010000067241001101774</t>
        </is>
      </c>
      <c r="U3171" t="inlineStr">
        <is>
          <t>Não</t>
        </is>
      </c>
    </row>
    <row r="3172">
      <c r="A3172" t="inlineStr">
        <is>
          <t>Frete de venda</t>
        </is>
      </c>
      <c r="B3172" t="inlineStr">
        <is>
          <t>2.01.02 Frete sobre Vendas</t>
        </is>
      </c>
      <c r="C3172" s="30" t="n">
        <v>46113</v>
      </c>
      <c r="D3172" t="inlineStr">
        <is>
          <t>Em 2026</t>
        </is>
      </c>
      <c r="E3172" s="28" t="n">
        <v>46118</v>
      </c>
      <c r="F3172" t="inlineStr">
        <is>
          <t>CT-e</t>
        </is>
      </c>
      <c r="G3172" t="inlineStr">
        <is>
          <t>000006725</t>
        </is>
      </c>
      <c r="H3172" t="inlineStr">
        <is>
          <t>R&amp;R TRANSPORTE E LOGISTICA</t>
        </is>
      </c>
      <c r="J3172" s="29" t="n">
        <v>28.31</v>
      </c>
      <c r="K3172" s="29">
        <f>(1-ISNUMBER(SEARCH("556",M3172)))*(O3172*SUMIFS(Premissas!$C$5:$C$44,Premissas!$A$5:$A$44,$A3172,Premissas!$B$5:$B$44,$B3172)+P3172*SUMIFS(Premissas!$D$5:$D$44,Premissas!$A$5:$A$44,$A3172,Premissas!$B$5:$B$44,$B3172))+R3172*SUMIFS(Premissas!$E$5:$E$44,Premissas!$A$5:$A$44,$A3172,Premissas!$B$5:$B$44,$B3172)+S3172*SUMIFS(Premissas!$F$5:$F$44,Premissas!$A$5:$A$44,$A3172,Premissas!$B$5:$B$44,$B3172)</f>
        <v/>
      </c>
      <c r="L3172" s="29">
        <f>J3172-K3172</f>
        <v/>
      </c>
      <c r="M3172" t="inlineStr">
        <is>
          <t>1.350</t>
        </is>
      </c>
      <c r="N3172" t="inlineStr">
        <is>
          <t>Modalidade: 0 - Por conta do remetente | Parte: ATACADAO DAS EMBALAGENS LTDA (14.050.321/0001-05)</t>
        </is>
      </c>
      <c r="O3172" s="29" t="n">
        <v>0</v>
      </c>
      <c r="P3172" s="29" t="n">
        <v>0</v>
      </c>
      <c r="Q3172" s="29" t="n">
        <v>0</v>
      </c>
      <c r="R3172" s="29" t="n">
        <v>0</v>
      </c>
      <c r="S3172" s="29" t="n">
        <v>0</v>
      </c>
      <c r="T3172" t="inlineStr">
        <is>
          <t>25260426975620000130570010000067251001201121</t>
        </is>
      </c>
      <c r="U3172" t="inlineStr">
        <is>
          <t>Não</t>
        </is>
      </c>
    </row>
    <row r="3173">
      <c r="A3173" t="inlineStr">
        <is>
          <t>Frete de venda</t>
        </is>
      </c>
      <c r="B3173" t="inlineStr">
        <is>
          <t>2.01.02 Frete sobre Vendas</t>
        </is>
      </c>
      <c r="C3173" s="30" t="n">
        <v>46113</v>
      </c>
      <c r="D3173" t="inlineStr">
        <is>
          <t>Em 2026</t>
        </is>
      </c>
      <c r="E3173" s="28" t="n">
        <v>46118</v>
      </c>
      <c r="F3173" t="inlineStr">
        <is>
          <t>CT-e</t>
        </is>
      </c>
      <c r="G3173" t="inlineStr">
        <is>
          <t>000006726</t>
        </is>
      </c>
      <c r="H3173" t="inlineStr">
        <is>
          <t>R&amp;R TRANSPORTE E LOGISTICA</t>
        </is>
      </c>
      <c r="J3173" s="29" t="n">
        <v>29.1</v>
      </c>
      <c r="K3173" s="29">
        <f>(1-ISNUMBER(SEARCH("556",M3173)))*(O3173*SUMIFS(Premissas!$C$5:$C$44,Premissas!$A$5:$A$44,$A3173,Premissas!$B$5:$B$44,$B3173)+P3173*SUMIFS(Premissas!$D$5:$D$44,Premissas!$A$5:$A$44,$A3173,Premissas!$B$5:$B$44,$B3173))+R3173*SUMIFS(Premissas!$E$5:$E$44,Premissas!$A$5:$A$44,$A3173,Premissas!$B$5:$B$44,$B3173)+S3173*SUMIFS(Premissas!$F$5:$F$44,Premissas!$A$5:$A$44,$A3173,Premissas!$B$5:$B$44,$B3173)</f>
        <v/>
      </c>
      <c r="L3173" s="29">
        <f>J3173-K3173</f>
        <v/>
      </c>
      <c r="M3173" t="inlineStr">
        <is>
          <t>1.350</t>
        </is>
      </c>
      <c r="N3173" t="inlineStr">
        <is>
          <t>Modalidade: 0 - Por conta do remetente | Parte: CLAUDIO SERGIO DOS ANJOS BARBOSA E CIA LTDA (18.968.046/0001-64)</t>
        </is>
      </c>
      <c r="O3173" s="29" t="n">
        <v>0</v>
      </c>
      <c r="P3173" s="29" t="n">
        <v>0</v>
      </c>
      <c r="Q3173" s="29" t="n">
        <v>0</v>
      </c>
      <c r="R3173" s="29" t="n">
        <v>0</v>
      </c>
      <c r="S3173" s="29" t="n">
        <v>0</v>
      </c>
      <c r="T3173" t="inlineStr">
        <is>
          <t>25260426975620000130570010000067261011001203</t>
        </is>
      </c>
      <c r="U3173" t="inlineStr">
        <is>
          <t>Não</t>
        </is>
      </c>
    </row>
    <row r="3174">
      <c r="A3174" t="inlineStr">
        <is>
          <t>Frete de venda</t>
        </is>
      </c>
      <c r="B3174" t="inlineStr">
        <is>
          <t>2.01.02 Frete sobre Vendas</t>
        </is>
      </c>
      <c r="C3174" s="30" t="n">
        <v>46113</v>
      </c>
      <c r="D3174" t="inlineStr">
        <is>
          <t>Em 2026</t>
        </is>
      </c>
      <c r="E3174" s="28" t="n">
        <v>46118</v>
      </c>
      <c r="F3174" t="inlineStr">
        <is>
          <t>CT-e</t>
        </is>
      </c>
      <c r="G3174" t="inlineStr">
        <is>
          <t>000006727</t>
        </is>
      </c>
      <c r="H3174" t="inlineStr">
        <is>
          <t>R&amp;R TRANSPORTE E LOGISTICA</t>
        </is>
      </c>
      <c r="J3174" s="29" t="n">
        <v>28.46</v>
      </c>
      <c r="K3174" s="29">
        <f>(1-ISNUMBER(SEARCH("556",M3174)))*(O3174*SUMIFS(Premissas!$C$5:$C$44,Premissas!$A$5:$A$44,$A3174,Premissas!$B$5:$B$44,$B3174)+P3174*SUMIFS(Premissas!$D$5:$D$44,Premissas!$A$5:$A$44,$A3174,Premissas!$B$5:$B$44,$B3174))+R3174*SUMIFS(Premissas!$E$5:$E$44,Premissas!$A$5:$A$44,$A3174,Premissas!$B$5:$B$44,$B3174)+S3174*SUMIFS(Premissas!$F$5:$F$44,Premissas!$A$5:$A$44,$A3174,Premissas!$B$5:$B$44,$B3174)</f>
        <v/>
      </c>
      <c r="L3174" s="29">
        <f>J3174-K3174</f>
        <v/>
      </c>
      <c r="M3174" t="inlineStr">
        <is>
          <t>1.350</t>
        </is>
      </c>
      <c r="N3174" t="inlineStr">
        <is>
          <t>Modalidade: 0 - Por conta do remetente | Parte: ERINALDO VIEIRA LTDA (03.176.141/0002-39)</t>
        </is>
      </c>
      <c r="O3174" s="29" t="n">
        <v>0</v>
      </c>
      <c r="P3174" s="29" t="n">
        <v>0</v>
      </c>
      <c r="Q3174" s="29" t="n">
        <v>0</v>
      </c>
      <c r="R3174" s="29" t="n">
        <v>0</v>
      </c>
      <c r="S3174" s="29" t="n">
        <v>0</v>
      </c>
      <c r="T3174" t="inlineStr">
        <is>
          <t>25260426975620000130570010000067271001701285</t>
        </is>
      </c>
      <c r="U3174" t="inlineStr">
        <is>
          <t>Não</t>
        </is>
      </c>
    </row>
    <row r="3175">
      <c r="A3175" t="inlineStr">
        <is>
          <t>Frete de venda</t>
        </is>
      </c>
      <c r="B3175" t="inlineStr">
        <is>
          <t>2.01.02 Frete sobre Vendas</t>
        </is>
      </c>
      <c r="C3175" s="30" t="n">
        <v>46113</v>
      </c>
      <c r="D3175" t="inlineStr">
        <is>
          <t>Em 2026</t>
        </is>
      </c>
      <c r="E3175" s="28" t="n">
        <v>46118</v>
      </c>
      <c r="F3175" t="inlineStr">
        <is>
          <t>CT-e</t>
        </is>
      </c>
      <c r="G3175" t="inlineStr">
        <is>
          <t>000006728</t>
        </is>
      </c>
      <c r="H3175" t="inlineStr">
        <is>
          <t>R&amp;R TRANSPORTE E LOGISTICA</t>
        </is>
      </c>
      <c r="J3175" s="29" t="n">
        <v>33.75</v>
      </c>
      <c r="K3175" s="29">
        <f>(1-ISNUMBER(SEARCH("556",M3175)))*(O3175*SUMIFS(Premissas!$C$5:$C$44,Premissas!$A$5:$A$44,$A3175,Premissas!$B$5:$B$44,$B3175)+P3175*SUMIFS(Premissas!$D$5:$D$44,Premissas!$A$5:$A$44,$A3175,Premissas!$B$5:$B$44,$B3175))+R3175*SUMIFS(Premissas!$E$5:$E$44,Premissas!$A$5:$A$44,$A3175,Premissas!$B$5:$B$44,$B3175)+S3175*SUMIFS(Premissas!$F$5:$F$44,Premissas!$A$5:$A$44,$A3175,Premissas!$B$5:$B$44,$B3175)</f>
        <v/>
      </c>
      <c r="L3175" s="29">
        <f>J3175-K3175</f>
        <v/>
      </c>
      <c r="M3175" t="inlineStr">
        <is>
          <t>1.350</t>
        </is>
      </c>
      <c r="N3175" t="inlineStr">
        <is>
          <t>Modalidade: 0 - Por conta do remetente | Parte: ERIFANIA BRITO ALMEIDA GOMES (10.472.297/0001-41)</t>
        </is>
      </c>
      <c r="O3175" s="29" t="n">
        <v>0</v>
      </c>
      <c r="P3175" s="29" t="n">
        <v>0</v>
      </c>
      <c r="Q3175" s="29" t="n">
        <v>0</v>
      </c>
      <c r="R3175" s="29" t="n">
        <v>0</v>
      </c>
      <c r="S3175" s="29" t="n">
        <v>0</v>
      </c>
      <c r="T3175" t="inlineStr">
        <is>
          <t>25260426975620000130570010000067281001401360</t>
        </is>
      </c>
      <c r="U3175" t="inlineStr">
        <is>
          <t>Não</t>
        </is>
      </c>
    </row>
    <row r="3176">
      <c r="A3176" t="inlineStr">
        <is>
          <t>Frete de venda</t>
        </is>
      </c>
      <c r="B3176" t="inlineStr">
        <is>
          <t>2.01.02 Frete sobre Vendas</t>
        </is>
      </c>
      <c r="C3176" s="30" t="n">
        <v>46113</v>
      </c>
      <c r="D3176" t="inlineStr">
        <is>
          <t>Em 2026</t>
        </is>
      </c>
      <c r="E3176" s="28" t="n">
        <v>46119</v>
      </c>
      <c r="F3176" t="inlineStr">
        <is>
          <t>CT-e</t>
        </is>
      </c>
      <c r="G3176" t="inlineStr">
        <is>
          <t>000006733</t>
        </is>
      </c>
      <c r="H3176" t="inlineStr">
        <is>
          <t>R&amp;R TRANSPORTE E LOGISTICA</t>
        </is>
      </c>
      <c r="J3176" s="29" t="n">
        <v>18.47</v>
      </c>
      <c r="K3176" s="29">
        <f>(1-ISNUMBER(SEARCH("556",M3176)))*(O3176*SUMIFS(Premissas!$C$5:$C$44,Premissas!$A$5:$A$44,$A3176,Premissas!$B$5:$B$44,$B3176)+P3176*SUMIFS(Premissas!$D$5:$D$44,Premissas!$A$5:$A$44,$A3176,Premissas!$B$5:$B$44,$B3176))+R3176*SUMIFS(Premissas!$E$5:$E$44,Premissas!$A$5:$A$44,$A3176,Premissas!$B$5:$B$44,$B3176)+S3176*SUMIFS(Premissas!$F$5:$F$44,Premissas!$A$5:$A$44,$A3176,Premissas!$B$5:$B$44,$B3176)</f>
        <v/>
      </c>
      <c r="L3176" s="29">
        <f>J3176-K3176</f>
        <v/>
      </c>
      <c r="M3176" t="inlineStr">
        <is>
          <t>1.350</t>
        </is>
      </c>
      <c r="N3176" t="inlineStr">
        <is>
          <t>Modalidade: 0 - Por conta do remetente | Parte: S B C DE OLIVEIRA COMERCIO DE DESCARTAVEIS (05.668.708/0001-39)</t>
        </is>
      </c>
      <c r="O3176" s="29" t="n">
        <v>0</v>
      </c>
      <c r="P3176" s="29" t="n">
        <v>0</v>
      </c>
      <c r="Q3176" s="29" t="n">
        <v>0</v>
      </c>
      <c r="R3176" s="29" t="n">
        <v>0</v>
      </c>
      <c r="S3176" s="29" t="n">
        <v>0</v>
      </c>
      <c r="T3176" t="inlineStr">
        <is>
          <t>25260426975620000130570010000067331000101761</t>
        </is>
      </c>
      <c r="U3176" t="inlineStr">
        <is>
          <t>Não</t>
        </is>
      </c>
    </row>
    <row r="3177">
      <c r="A3177" t="inlineStr">
        <is>
          <t>Frete de venda</t>
        </is>
      </c>
      <c r="B3177" t="inlineStr">
        <is>
          <t>2.01.02 Frete sobre Vendas</t>
        </is>
      </c>
      <c r="C3177" s="30" t="n">
        <v>46113</v>
      </c>
      <c r="D3177" t="inlineStr">
        <is>
          <t>Em 2026</t>
        </is>
      </c>
      <c r="E3177" s="28" t="n">
        <v>46119</v>
      </c>
      <c r="F3177" t="inlineStr">
        <is>
          <t>CT-e</t>
        </is>
      </c>
      <c r="G3177" t="inlineStr">
        <is>
          <t>000006734</t>
        </is>
      </c>
      <c r="H3177" t="inlineStr">
        <is>
          <t>R&amp;R TRANSPORTE E LOGISTICA</t>
        </is>
      </c>
      <c r="J3177" s="29" t="n">
        <v>24.19</v>
      </c>
      <c r="K3177" s="29">
        <f>(1-ISNUMBER(SEARCH("556",M3177)))*(O3177*SUMIFS(Premissas!$C$5:$C$44,Premissas!$A$5:$A$44,$A3177,Premissas!$B$5:$B$44,$B3177)+P3177*SUMIFS(Premissas!$D$5:$D$44,Premissas!$A$5:$A$44,$A3177,Premissas!$B$5:$B$44,$B3177))+R3177*SUMIFS(Premissas!$E$5:$E$44,Premissas!$A$5:$A$44,$A3177,Premissas!$B$5:$B$44,$B3177)+S3177*SUMIFS(Premissas!$F$5:$F$44,Premissas!$A$5:$A$44,$A3177,Premissas!$B$5:$B$44,$B3177)</f>
        <v/>
      </c>
      <c r="L3177" s="29">
        <f>J3177-K3177</f>
        <v/>
      </c>
      <c r="M3177" t="inlineStr">
        <is>
          <t>1.350</t>
        </is>
      </c>
      <c r="N3177" t="inlineStr">
        <is>
          <t>Modalidade: 0 - Por conta do remetente | Parte: CASA DA EMBALAGEM COMERCIO DE EMBALAGENS LTDA (36.826.570/0001-82)</t>
        </is>
      </c>
      <c r="O3177" s="29" t="n">
        <v>0</v>
      </c>
      <c r="P3177" s="29" t="n">
        <v>0</v>
      </c>
      <c r="Q3177" s="29" t="n">
        <v>0</v>
      </c>
      <c r="R3177" s="29" t="n">
        <v>0</v>
      </c>
      <c r="S3177" s="29" t="n">
        <v>0</v>
      </c>
      <c r="T3177" t="inlineStr">
        <is>
          <t>25260426975620000130570010000067341001801845</t>
        </is>
      </c>
      <c r="U3177" t="inlineStr">
        <is>
          <t>Não</t>
        </is>
      </c>
    </row>
    <row r="3178">
      <c r="A3178" t="inlineStr">
        <is>
          <t>Frete de venda</t>
        </is>
      </c>
      <c r="B3178" t="inlineStr">
        <is>
          <t>2.01.02 Frete sobre Vendas</t>
        </is>
      </c>
      <c r="C3178" s="30" t="n">
        <v>46113</v>
      </c>
      <c r="D3178" t="inlineStr">
        <is>
          <t>Em 2026</t>
        </is>
      </c>
      <c r="E3178" s="28" t="n">
        <v>46119</v>
      </c>
      <c r="F3178" t="inlineStr">
        <is>
          <t>CT-e</t>
        </is>
      </c>
      <c r="G3178" t="inlineStr">
        <is>
          <t>000006735</t>
        </is>
      </c>
      <c r="H3178" t="inlineStr">
        <is>
          <t>R&amp;R TRANSPORTE E LOGISTICA</t>
        </is>
      </c>
      <c r="J3178" s="29" t="n">
        <v>19.18</v>
      </c>
      <c r="K3178" s="29">
        <f>(1-ISNUMBER(SEARCH("556",M3178)))*(O3178*SUMIFS(Premissas!$C$5:$C$44,Premissas!$A$5:$A$44,$A3178,Premissas!$B$5:$B$44,$B3178)+P3178*SUMIFS(Premissas!$D$5:$D$44,Premissas!$A$5:$A$44,$A3178,Premissas!$B$5:$B$44,$B3178))+R3178*SUMIFS(Premissas!$E$5:$E$44,Premissas!$A$5:$A$44,$A3178,Premissas!$B$5:$B$44,$B3178)+S3178*SUMIFS(Premissas!$F$5:$F$44,Premissas!$A$5:$A$44,$A3178,Premissas!$B$5:$B$44,$B3178)</f>
        <v/>
      </c>
      <c r="L3178" s="29">
        <f>J3178-K3178</f>
        <v/>
      </c>
      <c r="M3178" t="inlineStr">
        <is>
          <t>1.350</t>
        </is>
      </c>
      <c r="N3178" t="inlineStr">
        <is>
          <t>Modalidade: 0 - Por conta do remetente | Parte: BELLA DISTRIBUIDORA E SUPRIMENTOS CORPORATIVOS LTDA (36.242.997/0001-33)</t>
        </is>
      </c>
      <c r="O3178" s="29" t="n">
        <v>0</v>
      </c>
      <c r="P3178" s="29" t="n">
        <v>0</v>
      </c>
      <c r="Q3178" s="29" t="n">
        <v>0</v>
      </c>
      <c r="R3178" s="29" t="n">
        <v>0</v>
      </c>
      <c r="S3178" s="29" t="n">
        <v>0</v>
      </c>
      <c r="T3178" t="inlineStr">
        <is>
          <t>25260426975620000130570010000067351001901197</t>
        </is>
      </c>
      <c r="U3178" t="inlineStr">
        <is>
          <t>Não</t>
        </is>
      </c>
    </row>
    <row r="3179">
      <c r="A3179" t="inlineStr">
        <is>
          <t>Frete de venda</t>
        </is>
      </c>
      <c r="B3179" t="inlineStr">
        <is>
          <t>2.01.02 Frete sobre Vendas</t>
        </is>
      </c>
      <c r="C3179" s="30" t="n">
        <v>46113</v>
      </c>
      <c r="D3179" t="inlineStr">
        <is>
          <t>Em 2026</t>
        </is>
      </c>
      <c r="E3179" s="28" t="n">
        <v>46119</v>
      </c>
      <c r="F3179" t="inlineStr">
        <is>
          <t>CT-e</t>
        </is>
      </c>
      <c r="G3179" t="inlineStr">
        <is>
          <t>000006736</t>
        </is>
      </c>
      <c r="H3179" t="inlineStr">
        <is>
          <t>R&amp;R TRANSPORTE E LOGISTICA</t>
        </is>
      </c>
      <c r="J3179" s="29" t="n">
        <v>19.02</v>
      </c>
      <c r="K3179" s="29">
        <f>(1-ISNUMBER(SEARCH("556",M3179)))*(O3179*SUMIFS(Premissas!$C$5:$C$44,Premissas!$A$5:$A$44,$A3179,Premissas!$B$5:$B$44,$B3179)+P3179*SUMIFS(Premissas!$D$5:$D$44,Premissas!$A$5:$A$44,$A3179,Premissas!$B$5:$B$44,$B3179))+R3179*SUMIFS(Premissas!$E$5:$E$44,Premissas!$A$5:$A$44,$A3179,Premissas!$B$5:$B$44,$B3179)+S3179*SUMIFS(Premissas!$F$5:$F$44,Premissas!$A$5:$A$44,$A3179,Premissas!$B$5:$B$44,$B3179)</f>
        <v/>
      </c>
      <c r="L3179" s="29">
        <f>J3179-K3179</f>
        <v/>
      </c>
      <c r="M3179" t="inlineStr">
        <is>
          <t>1.350</t>
        </is>
      </c>
      <c r="N3179" t="inlineStr">
        <is>
          <t>Modalidade: 0 - Por conta do remetente | Parte: INGA FESTAS ATACAREJO LTDA (32.293.282/0001-59)</t>
        </is>
      </c>
      <c r="O3179" s="29" t="n">
        <v>0</v>
      </c>
      <c r="P3179" s="29" t="n">
        <v>0</v>
      </c>
      <c r="Q3179" s="29" t="n">
        <v>0</v>
      </c>
      <c r="R3179" s="29" t="n">
        <v>0</v>
      </c>
      <c r="S3179" s="29" t="n">
        <v>0</v>
      </c>
      <c r="T3179" t="inlineStr">
        <is>
          <t>25260426975620000130570010000067361001601271</t>
        </is>
      </c>
      <c r="U3179" t="inlineStr">
        <is>
          <t>Não</t>
        </is>
      </c>
    </row>
    <row r="3180">
      <c r="A3180" t="inlineStr">
        <is>
          <t>Frete de venda</t>
        </is>
      </c>
      <c r="B3180" t="inlineStr">
        <is>
          <t>2.01.02 Frete sobre Vendas</t>
        </is>
      </c>
      <c r="C3180" s="30" t="n">
        <v>46113</v>
      </c>
      <c r="D3180" t="inlineStr">
        <is>
          <t>Em 2026</t>
        </is>
      </c>
      <c r="E3180" s="28" t="n">
        <v>46119</v>
      </c>
      <c r="F3180" t="inlineStr">
        <is>
          <t>CT-e</t>
        </is>
      </c>
      <c r="G3180" t="inlineStr">
        <is>
          <t>000006737</t>
        </is>
      </c>
      <c r="H3180" t="inlineStr">
        <is>
          <t>R&amp;R TRANSPORTE E LOGISTICA</t>
        </is>
      </c>
      <c r="J3180" s="29" t="n">
        <v>41.54</v>
      </c>
      <c r="K3180" s="29">
        <f>(1-ISNUMBER(SEARCH("556",M3180)))*(O3180*SUMIFS(Premissas!$C$5:$C$44,Premissas!$A$5:$A$44,$A3180,Premissas!$B$5:$B$44,$B3180)+P3180*SUMIFS(Premissas!$D$5:$D$44,Premissas!$A$5:$A$44,$A3180,Premissas!$B$5:$B$44,$B3180))+R3180*SUMIFS(Premissas!$E$5:$E$44,Premissas!$A$5:$A$44,$A3180,Premissas!$B$5:$B$44,$B3180)+S3180*SUMIFS(Premissas!$F$5:$F$44,Premissas!$A$5:$A$44,$A3180,Premissas!$B$5:$B$44,$B3180)</f>
        <v/>
      </c>
      <c r="L3180" s="29">
        <f>J3180-K3180</f>
        <v/>
      </c>
      <c r="M3180" t="inlineStr">
        <is>
          <t>1.350</t>
        </is>
      </c>
      <c r="N3180" t="inlineStr">
        <is>
          <t>Modalidade: 0 - Por conta do remetente | Parte: RIO VERDE EMBALAGENS LTDA (15.189.185/0001-00)</t>
        </is>
      </c>
      <c r="O3180" s="29" t="n">
        <v>0</v>
      </c>
      <c r="P3180" s="29" t="n">
        <v>0</v>
      </c>
      <c r="Q3180" s="29" t="n">
        <v>0</v>
      </c>
      <c r="R3180" s="29" t="n">
        <v>0</v>
      </c>
      <c r="S3180" s="29" t="n">
        <v>0</v>
      </c>
      <c r="T3180" t="inlineStr">
        <is>
          <t>25260426975620000130570010000067371001301356</t>
        </is>
      </c>
      <c r="U3180" t="inlineStr">
        <is>
          <t>Não</t>
        </is>
      </c>
    </row>
    <row r="3181">
      <c r="A3181" t="inlineStr">
        <is>
          <t>Frete de venda</t>
        </is>
      </c>
      <c r="B3181" t="inlineStr">
        <is>
          <t>2.01.02 Frete sobre Vendas</t>
        </is>
      </c>
      <c r="C3181" s="30" t="n">
        <v>46113</v>
      </c>
      <c r="D3181" t="inlineStr">
        <is>
          <t>Em 2026</t>
        </is>
      </c>
      <c r="E3181" s="28" t="n">
        <v>46119</v>
      </c>
      <c r="F3181" t="inlineStr">
        <is>
          <t>CT-e</t>
        </is>
      </c>
      <c r="G3181" t="inlineStr">
        <is>
          <t>000006738</t>
        </is>
      </c>
      <c r="H3181" t="inlineStr">
        <is>
          <t>R&amp;R TRANSPORTE E LOGISTICA</t>
        </is>
      </c>
      <c r="J3181" s="29" t="n">
        <v>40.33</v>
      </c>
      <c r="K3181" s="29">
        <f>(1-ISNUMBER(SEARCH("556",M3181)))*(O3181*SUMIFS(Premissas!$C$5:$C$44,Premissas!$A$5:$A$44,$A3181,Premissas!$B$5:$B$44,$B3181)+P3181*SUMIFS(Premissas!$D$5:$D$44,Premissas!$A$5:$A$44,$A3181,Premissas!$B$5:$B$44,$B3181))+R3181*SUMIFS(Premissas!$E$5:$E$44,Premissas!$A$5:$A$44,$A3181,Premissas!$B$5:$B$44,$B3181)+S3181*SUMIFS(Premissas!$F$5:$F$44,Premissas!$A$5:$A$44,$A3181,Premissas!$B$5:$B$44,$B3181)</f>
        <v/>
      </c>
      <c r="L3181" s="29">
        <f>J3181-K3181</f>
        <v/>
      </c>
      <c r="M3181" t="inlineStr">
        <is>
          <t>1.350</t>
        </is>
      </c>
      <c r="N3181" t="inlineStr">
        <is>
          <t>Modalidade: 0 - Por conta do remetente | Parte: DOCE MEL EMBALAGENS E FESTAS (10.989.624/0001-37)</t>
        </is>
      </c>
      <c r="O3181" s="29" t="n">
        <v>0</v>
      </c>
      <c r="P3181" s="29" t="n">
        <v>0</v>
      </c>
      <c r="Q3181" s="29" t="n">
        <v>0</v>
      </c>
      <c r="R3181" s="29" t="n">
        <v>0</v>
      </c>
      <c r="S3181" s="29" t="n">
        <v>0</v>
      </c>
      <c r="T3181" t="inlineStr">
        <is>
          <t>25260426975620000130570010000067381000101431</t>
        </is>
      </c>
      <c r="U3181" t="inlineStr">
        <is>
          <t>Não</t>
        </is>
      </c>
    </row>
    <row r="3182">
      <c r="A3182" t="inlineStr">
        <is>
          <t>Frete de venda</t>
        </is>
      </c>
      <c r="B3182" t="inlineStr">
        <is>
          <t>2.01.02 Frete sobre Vendas</t>
        </is>
      </c>
      <c r="C3182" s="30" t="n">
        <v>46113</v>
      </c>
      <c r="D3182" t="inlineStr">
        <is>
          <t>Em 2026</t>
        </is>
      </c>
      <c r="E3182" s="28" t="n">
        <v>46119</v>
      </c>
      <c r="F3182" t="inlineStr">
        <is>
          <t>CT-e</t>
        </is>
      </c>
      <c r="G3182" t="inlineStr">
        <is>
          <t>000006739</t>
        </is>
      </c>
      <c r="H3182" t="inlineStr">
        <is>
          <t>R&amp;R TRANSPORTE E LOGISTICA</t>
        </is>
      </c>
      <c r="J3182" s="29" t="n">
        <v>30.05</v>
      </c>
      <c r="K3182" s="29">
        <f>(1-ISNUMBER(SEARCH("556",M3182)))*(O3182*SUMIFS(Premissas!$C$5:$C$44,Premissas!$A$5:$A$44,$A3182,Premissas!$B$5:$B$44,$B3182)+P3182*SUMIFS(Premissas!$D$5:$D$44,Premissas!$A$5:$A$44,$A3182,Premissas!$B$5:$B$44,$B3182))+R3182*SUMIFS(Premissas!$E$5:$E$44,Premissas!$A$5:$A$44,$A3182,Premissas!$B$5:$B$44,$B3182)+S3182*SUMIFS(Premissas!$F$5:$F$44,Premissas!$A$5:$A$44,$A3182,Premissas!$B$5:$B$44,$B3182)</f>
        <v/>
      </c>
      <c r="L3182" s="29">
        <f>J3182-K3182</f>
        <v/>
      </c>
      <c r="M3182" t="inlineStr">
        <is>
          <t>1.350</t>
        </is>
      </c>
      <c r="N3182" t="inlineStr">
        <is>
          <t>Modalidade: 0 - Por conta do remetente | Parte: EMBALAGENS PARREIRA LTDA (24.780.871/0001-33)</t>
        </is>
      </c>
      <c r="O3182" s="29" t="n">
        <v>0</v>
      </c>
      <c r="P3182" s="29" t="n">
        <v>0</v>
      </c>
      <c r="Q3182" s="29" t="n">
        <v>0</v>
      </c>
      <c r="R3182" s="29" t="n">
        <v>0</v>
      </c>
      <c r="S3182" s="29" t="n">
        <v>0</v>
      </c>
      <c r="T3182" t="inlineStr">
        <is>
          <t>25260426975620000130570010000067391001801515</t>
        </is>
      </c>
      <c r="U3182" t="inlineStr">
        <is>
          <t>Não</t>
        </is>
      </c>
    </row>
    <row r="3183">
      <c r="A3183" t="inlineStr">
        <is>
          <t>Frete de venda</t>
        </is>
      </c>
      <c r="B3183" t="inlineStr">
        <is>
          <t>2.01.02 Frete sobre Vendas</t>
        </is>
      </c>
      <c r="C3183" s="30" t="n">
        <v>46113</v>
      </c>
      <c r="D3183" t="inlineStr">
        <is>
          <t>Em 2026</t>
        </is>
      </c>
      <c r="E3183" s="28" t="n">
        <v>46119</v>
      </c>
      <c r="F3183" t="inlineStr">
        <is>
          <t>CT-e</t>
        </is>
      </c>
      <c r="G3183" t="inlineStr">
        <is>
          <t>000006740</t>
        </is>
      </c>
      <c r="H3183" t="inlineStr">
        <is>
          <t>R&amp;R TRANSPORTE E LOGISTICA</t>
        </is>
      </c>
      <c r="J3183" s="29" t="n">
        <v>18.05</v>
      </c>
      <c r="K3183" s="29">
        <f>(1-ISNUMBER(SEARCH("556",M3183)))*(O3183*SUMIFS(Premissas!$C$5:$C$44,Premissas!$A$5:$A$44,$A3183,Premissas!$B$5:$B$44,$B3183)+P3183*SUMIFS(Premissas!$D$5:$D$44,Premissas!$A$5:$A$44,$A3183,Premissas!$B$5:$B$44,$B3183))+R3183*SUMIFS(Premissas!$E$5:$E$44,Premissas!$A$5:$A$44,$A3183,Premissas!$B$5:$B$44,$B3183)+S3183*SUMIFS(Premissas!$F$5:$F$44,Premissas!$A$5:$A$44,$A3183,Premissas!$B$5:$B$44,$B3183)</f>
        <v/>
      </c>
      <c r="L3183" s="29">
        <f>J3183-K3183</f>
        <v/>
      </c>
      <c r="M3183" t="inlineStr">
        <is>
          <t>1.350</t>
        </is>
      </c>
      <c r="N3183" t="inlineStr">
        <is>
          <t>Modalidade: 0 - Por conta do remetente | Parte: PONTO DAS EMBALAGENS LTDA (28.434.749/0001-66)</t>
        </is>
      </c>
      <c r="O3183" s="29" t="n">
        <v>0</v>
      </c>
      <c r="P3183" s="29" t="n">
        <v>0</v>
      </c>
      <c r="Q3183" s="29" t="n">
        <v>0</v>
      </c>
      <c r="R3183" s="29" t="n">
        <v>0</v>
      </c>
      <c r="S3183" s="29" t="n">
        <v>0</v>
      </c>
      <c r="T3183" t="inlineStr">
        <is>
          <t>25260426975620000130570010000067401001501598</t>
        </is>
      </c>
      <c r="U3183" t="inlineStr">
        <is>
          <t>Não</t>
        </is>
      </c>
    </row>
    <row r="3184">
      <c r="A3184" t="inlineStr">
        <is>
          <t>Frete de venda</t>
        </is>
      </c>
      <c r="B3184" t="inlineStr">
        <is>
          <t>2.01.02 Frete sobre Vendas</t>
        </is>
      </c>
      <c r="C3184" s="30" t="n">
        <v>46113</v>
      </c>
      <c r="D3184" t="inlineStr">
        <is>
          <t>Em 2026</t>
        </is>
      </c>
      <c r="E3184" s="28" t="n">
        <v>46119</v>
      </c>
      <c r="F3184" t="inlineStr">
        <is>
          <t>CT-e</t>
        </is>
      </c>
      <c r="G3184" t="inlineStr">
        <is>
          <t>000006741</t>
        </is>
      </c>
      <c r="H3184" t="inlineStr">
        <is>
          <t>R&amp;R TRANSPORTE E LOGISTICA</t>
        </is>
      </c>
      <c r="J3184" s="29" t="n">
        <v>17.35</v>
      </c>
      <c r="K3184" s="29">
        <f>(1-ISNUMBER(SEARCH("556",M3184)))*(O3184*SUMIFS(Premissas!$C$5:$C$44,Premissas!$A$5:$A$44,$A3184,Premissas!$B$5:$B$44,$B3184)+P3184*SUMIFS(Premissas!$D$5:$D$44,Premissas!$A$5:$A$44,$A3184,Premissas!$B$5:$B$44,$B3184))+R3184*SUMIFS(Premissas!$E$5:$E$44,Premissas!$A$5:$A$44,$A3184,Premissas!$B$5:$B$44,$B3184)+S3184*SUMIFS(Premissas!$F$5:$F$44,Premissas!$A$5:$A$44,$A3184,Premissas!$B$5:$B$44,$B3184)</f>
        <v/>
      </c>
      <c r="L3184" s="29">
        <f>J3184-K3184</f>
        <v/>
      </c>
      <c r="M3184" t="inlineStr">
        <is>
          <t>1.350</t>
        </is>
      </c>
      <c r="N3184" t="inlineStr">
        <is>
          <t>Modalidade: 0 - Por conta do remetente | Parte: JG COMERCIO DE EMBALAGENS LTDA (29.904.096/0001-02)</t>
        </is>
      </c>
      <c r="O3184" s="29" t="n">
        <v>0</v>
      </c>
      <c r="P3184" s="29" t="n">
        <v>0</v>
      </c>
      <c r="Q3184" s="29" t="n">
        <v>0</v>
      </c>
      <c r="R3184" s="29" t="n">
        <v>0</v>
      </c>
      <c r="S3184" s="29" t="n">
        <v>0</v>
      </c>
      <c r="T3184" t="inlineStr">
        <is>
          <t>25260426975620000130570010000067411001201672</t>
        </is>
      </c>
      <c r="U3184" t="inlineStr">
        <is>
          <t>Não</t>
        </is>
      </c>
    </row>
    <row r="3185">
      <c r="A3185" t="inlineStr">
        <is>
          <t>Frete de venda</t>
        </is>
      </c>
      <c r="B3185" t="inlineStr">
        <is>
          <t>2.01.02 Frete sobre Vendas</t>
        </is>
      </c>
      <c r="C3185" s="30" t="n">
        <v>46113</v>
      </c>
      <c r="D3185" t="inlineStr">
        <is>
          <t>Em 2026</t>
        </is>
      </c>
      <c r="E3185" s="28" t="n">
        <v>46119</v>
      </c>
      <c r="F3185" t="inlineStr">
        <is>
          <t>CT-e</t>
        </is>
      </c>
      <c r="G3185" t="inlineStr">
        <is>
          <t>000006742</t>
        </is>
      </c>
      <c r="H3185" t="inlineStr">
        <is>
          <t>R&amp;R TRANSPORTE E LOGISTICA</t>
        </is>
      </c>
      <c r="J3185" s="29" t="n">
        <v>16.98</v>
      </c>
      <c r="K3185" s="29">
        <f>(1-ISNUMBER(SEARCH("556",M3185)))*(O3185*SUMIFS(Premissas!$C$5:$C$44,Premissas!$A$5:$A$44,$A3185,Premissas!$B$5:$B$44,$B3185)+P3185*SUMIFS(Premissas!$D$5:$D$44,Premissas!$A$5:$A$44,$A3185,Premissas!$B$5:$B$44,$B3185))+R3185*SUMIFS(Premissas!$E$5:$E$44,Premissas!$A$5:$A$44,$A3185,Premissas!$B$5:$B$44,$B3185)+S3185*SUMIFS(Premissas!$F$5:$F$44,Premissas!$A$5:$A$44,$A3185,Premissas!$B$5:$B$44,$B3185)</f>
        <v/>
      </c>
      <c r="L3185" s="29">
        <f>J3185-K3185</f>
        <v/>
      </c>
      <c r="M3185" t="inlineStr">
        <is>
          <t>1.350</t>
        </is>
      </c>
      <c r="N3185" t="inlineStr">
        <is>
          <t>Modalidade: 0 - Por conta do remetente | Parte: NOVA EMBALAGEM LTDA (02.595.624/0001-24)</t>
        </is>
      </c>
      <c r="O3185" s="29" t="n">
        <v>0</v>
      </c>
      <c r="P3185" s="29" t="n">
        <v>0</v>
      </c>
      <c r="Q3185" s="29" t="n">
        <v>0</v>
      </c>
      <c r="R3185" s="29" t="n">
        <v>0</v>
      </c>
      <c r="S3185" s="29" t="n">
        <v>0</v>
      </c>
      <c r="T3185" t="inlineStr">
        <is>
          <t>25260426975620000130570010000067421011001754</t>
        </is>
      </c>
      <c r="U3185" t="inlineStr">
        <is>
          <t>Não</t>
        </is>
      </c>
    </row>
    <row r="3186">
      <c r="A3186" t="inlineStr">
        <is>
          <t>Frete de venda</t>
        </is>
      </c>
      <c r="B3186" t="inlineStr">
        <is>
          <t>2.01.02 Frete sobre Vendas</t>
        </is>
      </c>
      <c r="C3186" s="30" t="n">
        <v>46113</v>
      </c>
      <c r="D3186" t="inlineStr">
        <is>
          <t>Em 2026</t>
        </is>
      </c>
      <c r="E3186" s="28" t="n">
        <v>46119</v>
      </c>
      <c r="F3186" t="inlineStr">
        <is>
          <t>CT-e</t>
        </is>
      </c>
      <c r="G3186" t="inlineStr">
        <is>
          <t>000006743</t>
        </is>
      </c>
      <c r="H3186" t="inlineStr">
        <is>
          <t>R&amp;R TRANSPORTE E LOGISTICA</t>
        </is>
      </c>
      <c r="J3186" s="29" t="n">
        <v>100.38</v>
      </c>
      <c r="K3186" s="29">
        <f>(1-ISNUMBER(SEARCH("556",M3186)))*(O3186*SUMIFS(Premissas!$C$5:$C$44,Premissas!$A$5:$A$44,$A3186,Premissas!$B$5:$B$44,$B3186)+P3186*SUMIFS(Premissas!$D$5:$D$44,Premissas!$A$5:$A$44,$A3186,Premissas!$B$5:$B$44,$B3186))+R3186*SUMIFS(Premissas!$E$5:$E$44,Premissas!$A$5:$A$44,$A3186,Premissas!$B$5:$B$44,$B3186)+S3186*SUMIFS(Premissas!$F$5:$F$44,Premissas!$A$5:$A$44,$A3186,Premissas!$B$5:$B$44,$B3186)</f>
        <v/>
      </c>
      <c r="L3186" s="29">
        <f>J3186-K3186</f>
        <v/>
      </c>
      <c r="M3186" t="inlineStr">
        <is>
          <t>1.350</t>
        </is>
      </c>
      <c r="N3186" t="inlineStr">
        <is>
          <t>Modalidade: 0 - Por conta do remetente | Parte: IRMAOS BATISTA REZENDE LTDA (13.916.629/0001-28)</t>
        </is>
      </c>
      <c r="O3186" s="29" t="n">
        <v>0</v>
      </c>
      <c r="P3186" s="29" t="n">
        <v>0</v>
      </c>
      <c r="Q3186" s="29" t="n">
        <v>0</v>
      </c>
      <c r="R3186" s="29" t="n">
        <v>0</v>
      </c>
      <c r="S3186" s="29" t="n">
        <v>0</v>
      </c>
      <c r="T3186" t="inlineStr">
        <is>
          <t>25260426975620000130570010000067431001701831</t>
        </is>
      </c>
      <c r="U3186" t="inlineStr">
        <is>
          <t>Não</t>
        </is>
      </c>
    </row>
    <row r="3187">
      <c r="A3187" t="inlineStr">
        <is>
          <t>Frete de venda</t>
        </is>
      </c>
      <c r="B3187" t="inlineStr">
        <is>
          <t>2.01.02 Frete sobre Vendas</t>
        </is>
      </c>
      <c r="C3187" s="30" t="n">
        <v>46113</v>
      </c>
      <c r="D3187" t="inlineStr">
        <is>
          <t>Em 2026</t>
        </is>
      </c>
      <c r="E3187" s="28" t="n">
        <v>46119</v>
      </c>
      <c r="F3187" t="inlineStr">
        <is>
          <t>CT-e</t>
        </is>
      </c>
      <c r="G3187" t="inlineStr">
        <is>
          <t>000006744</t>
        </is>
      </c>
      <c r="H3187" t="inlineStr">
        <is>
          <t>R&amp;R TRANSPORTE E LOGISTICA</t>
        </is>
      </c>
      <c r="J3187" s="29" t="n">
        <v>26.93</v>
      </c>
      <c r="K3187" s="29">
        <f>(1-ISNUMBER(SEARCH("556",M3187)))*(O3187*SUMIFS(Premissas!$C$5:$C$44,Premissas!$A$5:$A$44,$A3187,Premissas!$B$5:$B$44,$B3187)+P3187*SUMIFS(Premissas!$D$5:$D$44,Premissas!$A$5:$A$44,$A3187,Premissas!$B$5:$B$44,$B3187))+R3187*SUMIFS(Premissas!$E$5:$E$44,Premissas!$A$5:$A$44,$A3187,Premissas!$B$5:$B$44,$B3187)+S3187*SUMIFS(Premissas!$F$5:$F$44,Premissas!$A$5:$A$44,$A3187,Premissas!$B$5:$B$44,$B3187)</f>
        <v/>
      </c>
      <c r="L3187" s="29">
        <f>J3187-K3187</f>
        <v/>
      </c>
      <c r="M3187" t="inlineStr">
        <is>
          <t>1.350</t>
        </is>
      </c>
      <c r="N3187" t="inlineStr">
        <is>
          <t>Modalidade: 0 - Por conta do remetente | Parte: FJ EMBALAGENS LTDA (09.578.245/0001-75)</t>
        </is>
      </c>
      <c r="O3187" s="29" t="n">
        <v>0</v>
      </c>
      <c r="P3187" s="29" t="n">
        <v>0</v>
      </c>
      <c r="Q3187" s="29" t="n">
        <v>0</v>
      </c>
      <c r="R3187" s="29" t="n">
        <v>0</v>
      </c>
      <c r="S3187" s="29" t="n">
        <v>0</v>
      </c>
      <c r="T3187" t="inlineStr">
        <is>
          <t>25260426975620000130570010000067441001401916</t>
        </is>
      </c>
      <c r="U3187" t="inlineStr">
        <is>
          <t>Não</t>
        </is>
      </c>
    </row>
    <row r="3188">
      <c r="A3188" t="inlineStr">
        <is>
          <t>Frete de venda</t>
        </is>
      </c>
      <c r="B3188" t="inlineStr">
        <is>
          <t>2.01.02 Frete sobre Vendas</t>
        </is>
      </c>
      <c r="C3188" s="30" t="n">
        <v>46113</v>
      </c>
      <c r="D3188" t="inlineStr">
        <is>
          <t>Em 2026</t>
        </is>
      </c>
      <c r="E3188" s="28" t="n">
        <v>46119</v>
      </c>
      <c r="F3188" t="inlineStr">
        <is>
          <t>CT-e</t>
        </is>
      </c>
      <c r="G3188" t="inlineStr">
        <is>
          <t>000006745</t>
        </is>
      </c>
      <c r="H3188" t="inlineStr">
        <is>
          <t>R&amp;R TRANSPORTE E LOGISTICA</t>
        </is>
      </c>
      <c r="J3188" s="29" t="n">
        <v>19.16</v>
      </c>
      <c r="K3188" s="29">
        <f>(1-ISNUMBER(SEARCH("556",M3188)))*(O3188*SUMIFS(Premissas!$C$5:$C$44,Premissas!$A$5:$A$44,$A3188,Premissas!$B$5:$B$44,$B3188)+P3188*SUMIFS(Premissas!$D$5:$D$44,Premissas!$A$5:$A$44,$A3188,Premissas!$B$5:$B$44,$B3188))+R3188*SUMIFS(Premissas!$E$5:$E$44,Premissas!$A$5:$A$44,$A3188,Premissas!$B$5:$B$44,$B3188)+S3188*SUMIFS(Premissas!$F$5:$F$44,Premissas!$A$5:$A$44,$A3188,Premissas!$B$5:$B$44,$B3188)</f>
        <v/>
      </c>
      <c r="L3188" s="29">
        <f>J3188-K3188</f>
        <v/>
      </c>
      <c r="M3188" t="inlineStr">
        <is>
          <t>1.350</t>
        </is>
      </c>
      <c r="N3188" t="inlineStr">
        <is>
          <t>Modalidade: 0 - Por conta do remetente | Parte: F. C. EMBALAGENS e SALGADINHOS (14.025.694/0001-26)</t>
        </is>
      </c>
      <c r="O3188" s="29" t="n">
        <v>0</v>
      </c>
      <c r="P3188" s="29" t="n">
        <v>0</v>
      </c>
      <c r="Q3188" s="29" t="n">
        <v>0</v>
      </c>
      <c r="R3188" s="29" t="n">
        <v>0</v>
      </c>
      <c r="S3188" s="29" t="n">
        <v>0</v>
      </c>
      <c r="T3188" t="inlineStr">
        <is>
          <t>25260426975620000130570010000067451001501268</t>
        </is>
      </c>
      <c r="U3188" t="inlineStr">
        <is>
          <t>Não</t>
        </is>
      </c>
    </row>
    <row r="3189">
      <c r="A3189" t="inlineStr">
        <is>
          <t>Frete de venda</t>
        </is>
      </c>
      <c r="B3189" t="inlineStr">
        <is>
          <t>2.01.02 Frete sobre Vendas</t>
        </is>
      </c>
      <c r="C3189" s="30" t="n">
        <v>46113</v>
      </c>
      <c r="D3189" t="inlineStr">
        <is>
          <t>Em 2026</t>
        </is>
      </c>
      <c r="E3189" s="28" t="n">
        <v>46119</v>
      </c>
      <c r="F3189" t="inlineStr">
        <is>
          <t>CT-e</t>
        </is>
      </c>
      <c r="G3189" t="inlineStr">
        <is>
          <t>000006746</t>
        </is>
      </c>
      <c r="H3189" t="inlineStr">
        <is>
          <t>R&amp;R TRANSPORTE E LOGISTICA</t>
        </is>
      </c>
      <c r="J3189" s="29" t="n">
        <v>19.71</v>
      </c>
      <c r="K3189" s="29">
        <f>(1-ISNUMBER(SEARCH("556",M3189)))*(O3189*SUMIFS(Premissas!$C$5:$C$44,Premissas!$A$5:$A$44,$A3189,Premissas!$B$5:$B$44,$B3189)+P3189*SUMIFS(Premissas!$D$5:$D$44,Premissas!$A$5:$A$44,$A3189,Premissas!$B$5:$B$44,$B3189))+R3189*SUMIFS(Premissas!$E$5:$E$44,Premissas!$A$5:$A$44,$A3189,Premissas!$B$5:$B$44,$B3189)+S3189*SUMIFS(Premissas!$F$5:$F$44,Premissas!$A$5:$A$44,$A3189,Premissas!$B$5:$B$44,$B3189)</f>
        <v/>
      </c>
      <c r="L3189" s="29">
        <f>J3189-K3189</f>
        <v/>
      </c>
      <c r="M3189" t="inlineStr">
        <is>
          <t>1.350</t>
        </is>
      </c>
      <c r="N3189" t="inlineStr">
        <is>
          <t>Modalidade: 0 - Por conta do remetente | Parte: COMERCIAL DUARTE LTDA (27.461.644/0001-33)</t>
        </is>
      </c>
      <c r="O3189" s="29" t="n">
        <v>0</v>
      </c>
      <c r="P3189" s="29" t="n">
        <v>0</v>
      </c>
      <c r="Q3189" s="29" t="n">
        <v>0</v>
      </c>
      <c r="R3189" s="29" t="n">
        <v>0</v>
      </c>
      <c r="S3189" s="29" t="n">
        <v>0</v>
      </c>
      <c r="T3189" t="inlineStr">
        <is>
          <t>25260426975620000130570010000067461001201342</t>
        </is>
      </c>
      <c r="U3189" t="inlineStr">
        <is>
          <t>Não</t>
        </is>
      </c>
    </row>
    <row r="3190">
      <c r="A3190" t="inlineStr">
        <is>
          <t>Frete de venda</t>
        </is>
      </c>
      <c r="B3190" t="inlineStr">
        <is>
          <t>2.01.02 Frete sobre Vendas</t>
        </is>
      </c>
      <c r="C3190" s="30" t="n">
        <v>46113</v>
      </c>
      <c r="D3190" t="inlineStr">
        <is>
          <t>Em 2026</t>
        </is>
      </c>
      <c r="E3190" s="28" t="n">
        <v>46119</v>
      </c>
      <c r="F3190" t="inlineStr">
        <is>
          <t>CT-e</t>
        </is>
      </c>
      <c r="G3190" t="inlineStr">
        <is>
          <t>000006747</t>
        </is>
      </c>
      <c r="H3190" t="inlineStr">
        <is>
          <t>R&amp;R TRANSPORTE E LOGISTICA</t>
        </is>
      </c>
      <c r="J3190" s="29" t="n">
        <v>27.22</v>
      </c>
      <c r="K3190" s="29">
        <f>(1-ISNUMBER(SEARCH("556",M3190)))*(O3190*SUMIFS(Premissas!$C$5:$C$44,Premissas!$A$5:$A$44,$A3190,Premissas!$B$5:$B$44,$B3190)+P3190*SUMIFS(Premissas!$D$5:$D$44,Premissas!$A$5:$A$44,$A3190,Premissas!$B$5:$B$44,$B3190))+R3190*SUMIFS(Premissas!$E$5:$E$44,Premissas!$A$5:$A$44,$A3190,Premissas!$B$5:$B$44,$B3190)+S3190*SUMIFS(Premissas!$F$5:$F$44,Premissas!$A$5:$A$44,$A3190,Premissas!$B$5:$B$44,$B3190)</f>
        <v/>
      </c>
      <c r="L3190" s="29">
        <f>J3190-K3190</f>
        <v/>
      </c>
      <c r="M3190" t="inlineStr">
        <is>
          <t>1.350</t>
        </is>
      </c>
      <c r="N3190" t="inlineStr">
        <is>
          <t>Modalidade: 0 - Por conta do remetente | Parte: CASA DAS EMBALAGENS LTDA (34.264.594/0001-60)</t>
        </is>
      </c>
      <c r="O3190" s="29" t="n">
        <v>0</v>
      </c>
      <c r="P3190" s="29" t="n">
        <v>0</v>
      </c>
      <c r="Q3190" s="29" t="n">
        <v>0</v>
      </c>
      <c r="R3190" s="29" t="n">
        <v>0</v>
      </c>
      <c r="S3190" s="29" t="n">
        <v>0</v>
      </c>
      <c r="T3190" t="inlineStr">
        <is>
          <t>25260426975620000130570010000067471011001424</t>
        </is>
      </c>
      <c r="U3190" t="inlineStr">
        <is>
          <t>Não</t>
        </is>
      </c>
    </row>
    <row r="3191">
      <c r="A3191" t="inlineStr">
        <is>
          <t>Frete de venda</t>
        </is>
      </c>
      <c r="B3191" t="inlineStr">
        <is>
          <t>2.01.02 Frete sobre Vendas</t>
        </is>
      </c>
      <c r="C3191" s="30" t="n">
        <v>46113</v>
      </c>
      <c r="D3191" t="inlineStr">
        <is>
          <t>Em 2026</t>
        </is>
      </c>
      <c r="E3191" s="28" t="n">
        <v>46119</v>
      </c>
      <c r="F3191" t="inlineStr">
        <is>
          <t>CT-e</t>
        </is>
      </c>
      <c r="G3191" t="inlineStr">
        <is>
          <t>000006748</t>
        </is>
      </c>
      <c r="H3191" t="inlineStr">
        <is>
          <t>R&amp;R TRANSPORTE E LOGISTICA</t>
        </is>
      </c>
      <c r="J3191" s="29" t="n">
        <v>32.79</v>
      </c>
      <c r="K3191" s="29">
        <f>(1-ISNUMBER(SEARCH("556",M3191)))*(O3191*SUMIFS(Premissas!$C$5:$C$44,Premissas!$A$5:$A$44,$A3191,Premissas!$B$5:$B$44,$B3191)+P3191*SUMIFS(Premissas!$D$5:$D$44,Premissas!$A$5:$A$44,$A3191,Premissas!$B$5:$B$44,$B3191))+R3191*SUMIFS(Premissas!$E$5:$E$44,Premissas!$A$5:$A$44,$A3191,Premissas!$B$5:$B$44,$B3191)+S3191*SUMIFS(Premissas!$F$5:$F$44,Premissas!$A$5:$A$44,$A3191,Premissas!$B$5:$B$44,$B3191)</f>
        <v/>
      </c>
      <c r="L3191" s="29">
        <f>J3191-K3191</f>
        <v/>
      </c>
      <c r="M3191" t="inlineStr">
        <is>
          <t>1.350</t>
        </is>
      </c>
      <c r="N3191" t="inlineStr">
        <is>
          <t>Modalidade: 0 - Por conta do remetente | Parte: EMBALEMIX LTDA (37.863.505/0001-90)</t>
        </is>
      </c>
      <c r="O3191" s="29" t="n">
        <v>0</v>
      </c>
      <c r="P3191" s="29" t="n">
        <v>0</v>
      </c>
      <c r="Q3191" s="29" t="n">
        <v>0</v>
      </c>
      <c r="R3191" s="29" t="n">
        <v>0</v>
      </c>
      <c r="S3191" s="29" t="n">
        <v>0</v>
      </c>
      <c r="T3191" t="inlineStr">
        <is>
          <t>25260426975620000130570010000067481001701501</t>
        </is>
      </c>
      <c r="U3191" t="inlineStr">
        <is>
          <t>Não</t>
        </is>
      </c>
    </row>
    <row r="3192">
      <c r="A3192" t="inlineStr">
        <is>
          <t>Frete de venda</t>
        </is>
      </c>
      <c r="B3192" t="inlineStr">
        <is>
          <t>2.01.02 Frete sobre Vendas</t>
        </is>
      </c>
      <c r="C3192" s="30" t="n">
        <v>46113</v>
      </c>
      <c r="D3192" t="inlineStr">
        <is>
          <t>Em 2026</t>
        </is>
      </c>
      <c r="E3192" s="28" t="n">
        <v>46119</v>
      </c>
      <c r="F3192" t="inlineStr">
        <is>
          <t>CT-e</t>
        </is>
      </c>
      <c r="G3192" t="inlineStr">
        <is>
          <t>000006749</t>
        </is>
      </c>
      <c r="H3192" t="inlineStr">
        <is>
          <t>R&amp;R TRANSPORTE E LOGISTICA</t>
        </is>
      </c>
      <c r="J3192" s="29" t="n">
        <v>39.32</v>
      </c>
      <c r="K3192" s="29">
        <f>(1-ISNUMBER(SEARCH("556",M3192)))*(O3192*SUMIFS(Premissas!$C$5:$C$44,Premissas!$A$5:$A$44,$A3192,Premissas!$B$5:$B$44,$B3192)+P3192*SUMIFS(Premissas!$D$5:$D$44,Premissas!$A$5:$A$44,$A3192,Premissas!$B$5:$B$44,$B3192))+R3192*SUMIFS(Premissas!$E$5:$E$44,Premissas!$A$5:$A$44,$A3192,Premissas!$B$5:$B$44,$B3192)+S3192*SUMIFS(Premissas!$F$5:$F$44,Premissas!$A$5:$A$44,$A3192,Premissas!$B$5:$B$44,$B3192)</f>
        <v/>
      </c>
      <c r="L3192" s="29">
        <f>J3192-K3192</f>
        <v/>
      </c>
      <c r="M3192" t="inlineStr">
        <is>
          <t>1.350</t>
        </is>
      </c>
      <c r="N3192" t="inlineStr">
        <is>
          <t>Modalidade: 0 - Por conta do remetente | Parte: PALMAS ATACADO DE EMBALAGENS LTDA (17.069.189/0001-71)</t>
        </is>
      </c>
      <c r="O3192" s="29" t="n">
        <v>0</v>
      </c>
      <c r="P3192" s="29" t="n">
        <v>0</v>
      </c>
      <c r="Q3192" s="29" t="n">
        <v>0</v>
      </c>
      <c r="R3192" s="29" t="n">
        <v>0</v>
      </c>
      <c r="S3192" s="29" t="n">
        <v>0</v>
      </c>
      <c r="T3192" t="inlineStr">
        <is>
          <t>25260426975620000130570010000067491001401580</t>
        </is>
      </c>
      <c r="U3192" t="inlineStr">
        <is>
          <t>Não</t>
        </is>
      </c>
    </row>
    <row r="3193">
      <c r="A3193" t="inlineStr">
        <is>
          <t>Frete de venda</t>
        </is>
      </c>
      <c r="B3193" t="inlineStr">
        <is>
          <t>2.01.02 Frete sobre Vendas</t>
        </is>
      </c>
      <c r="C3193" s="30" t="n">
        <v>46113</v>
      </c>
      <c r="D3193" t="inlineStr">
        <is>
          <t>Em 2026</t>
        </is>
      </c>
      <c r="E3193" s="28" t="n">
        <v>46119</v>
      </c>
      <c r="F3193" t="inlineStr">
        <is>
          <t>CT-e</t>
        </is>
      </c>
      <c r="G3193" t="inlineStr">
        <is>
          <t>000006750</t>
        </is>
      </c>
      <c r="H3193" t="inlineStr">
        <is>
          <t>R&amp;R TRANSPORTE E LOGISTICA</t>
        </is>
      </c>
      <c r="J3193" s="29" t="n">
        <v>59.59</v>
      </c>
      <c r="K3193" s="29">
        <f>(1-ISNUMBER(SEARCH("556",M3193)))*(O3193*SUMIFS(Premissas!$C$5:$C$44,Premissas!$A$5:$A$44,$A3193,Premissas!$B$5:$B$44,$B3193)+P3193*SUMIFS(Premissas!$D$5:$D$44,Premissas!$A$5:$A$44,$A3193,Premissas!$B$5:$B$44,$B3193))+R3193*SUMIFS(Premissas!$E$5:$E$44,Premissas!$A$5:$A$44,$A3193,Premissas!$B$5:$B$44,$B3193)+S3193*SUMIFS(Premissas!$F$5:$F$44,Premissas!$A$5:$A$44,$A3193,Premissas!$B$5:$B$44,$B3193)</f>
        <v/>
      </c>
      <c r="L3193" s="29">
        <f>J3193-K3193</f>
        <v/>
      </c>
      <c r="M3193" t="inlineStr">
        <is>
          <t>1.350</t>
        </is>
      </c>
      <c r="N3193" t="inlineStr">
        <is>
          <t>Modalidade: 0 - Por conta do remetente | Parte: M A M CAVALLINI EIRELI - ME (21.715.197/0001-15)</t>
        </is>
      </c>
      <c r="O3193" s="29" t="n">
        <v>0</v>
      </c>
      <c r="P3193" s="29" t="n">
        <v>0</v>
      </c>
      <c r="Q3193" s="29" t="n">
        <v>0</v>
      </c>
      <c r="R3193" s="29" t="n">
        <v>0</v>
      </c>
      <c r="S3193" s="29" t="n">
        <v>0</v>
      </c>
      <c r="T3193" t="inlineStr">
        <is>
          <t>25260426975620000130570010000067501001101669</t>
        </is>
      </c>
      <c r="U3193" t="inlineStr">
        <is>
          <t>Não</t>
        </is>
      </c>
    </row>
    <row r="3194">
      <c r="A3194" t="inlineStr">
        <is>
          <t>Frete de venda</t>
        </is>
      </c>
      <c r="B3194" t="inlineStr">
        <is>
          <t>2.01.02 Frete sobre Vendas</t>
        </is>
      </c>
      <c r="C3194" s="30" t="n">
        <v>46113</v>
      </c>
      <c r="D3194" t="inlineStr">
        <is>
          <t>Em 2026</t>
        </is>
      </c>
      <c r="E3194" s="28" t="n">
        <v>46119</v>
      </c>
      <c r="F3194" t="inlineStr">
        <is>
          <t>CT-e</t>
        </is>
      </c>
      <c r="G3194" t="inlineStr">
        <is>
          <t>000006752</t>
        </is>
      </c>
      <c r="H3194" t="inlineStr">
        <is>
          <t>R&amp;R TRANSPORTE E LOGISTICA</t>
        </is>
      </c>
      <c r="J3194" s="29" t="n">
        <v>86.51000000000001</v>
      </c>
      <c r="K3194" s="29">
        <f>(1-ISNUMBER(SEARCH("556",M3194)))*(O3194*SUMIFS(Premissas!$C$5:$C$44,Premissas!$A$5:$A$44,$A3194,Premissas!$B$5:$B$44,$B3194)+P3194*SUMIFS(Premissas!$D$5:$D$44,Premissas!$A$5:$A$44,$A3194,Premissas!$B$5:$B$44,$B3194))+R3194*SUMIFS(Premissas!$E$5:$E$44,Premissas!$A$5:$A$44,$A3194,Premissas!$B$5:$B$44,$B3194)+S3194*SUMIFS(Premissas!$F$5:$F$44,Premissas!$A$5:$A$44,$A3194,Premissas!$B$5:$B$44,$B3194)</f>
        <v/>
      </c>
      <c r="L3194" s="29">
        <f>J3194-K3194</f>
        <v/>
      </c>
      <c r="M3194" t="inlineStr">
        <is>
          <t>1.350</t>
        </is>
      </c>
      <c r="N3194" t="inlineStr">
        <is>
          <t>Modalidade: 0 - Por conta do remetente | Parte: A. C. D. A. IMPORTACAO E EXPORTACAO LTDA (84.308.980/0008-50)</t>
        </is>
      </c>
      <c r="O3194" s="29" t="n">
        <v>0</v>
      </c>
      <c r="P3194" s="29" t="n">
        <v>0</v>
      </c>
      <c r="Q3194" s="29" t="n">
        <v>0</v>
      </c>
      <c r="R3194" s="29" t="n">
        <v>0</v>
      </c>
      <c r="S3194" s="29" t="n">
        <v>0</v>
      </c>
      <c r="T3194" t="inlineStr">
        <is>
          <t>25260426975620000130570010000067521001601828</t>
        </is>
      </c>
      <c r="U3194" t="inlineStr">
        <is>
          <t>Não</t>
        </is>
      </c>
    </row>
    <row r="3195">
      <c r="A3195" t="inlineStr">
        <is>
          <t>Frete de venda</t>
        </is>
      </c>
      <c r="B3195" t="inlineStr">
        <is>
          <t>2.01.02 Frete sobre Vendas</t>
        </is>
      </c>
      <c r="C3195" s="30" t="n">
        <v>46113</v>
      </c>
      <c r="D3195" t="inlineStr">
        <is>
          <t>Em 2026</t>
        </is>
      </c>
      <c r="E3195" s="28" t="n">
        <v>46120</v>
      </c>
      <c r="F3195" t="inlineStr">
        <is>
          <t>CT-e</t>
        </is>
      </c>
      <c r="G3195" t="inlineStr">
        <is>
          <t>000006753</t>
        </is>
      </c>
      <c r="H3195" t="inlineStr">
        <is>
          <t>R&amp;R TRANSPORTE E LOGISTICA</t>
        </is>
      </c>
      <c r="J3195" s="29" t="n">
        <v>248.33</v>
      </c>
      <c r="K3195" s="29">
        <f>(1-ISNUMBER(SEARCH("556",M3195)))*(O3195*SUMIFS(Premissas!$C$5:$C$44,Premissas!$A$5:$A$44,$A3195,Premissas!$B$5:$B$44,$B3195)+P3195*SUMIFS(Premissas!$D$5:$D$44,Premissas!$A$5:$A$44,$A3195,Premissas!$B$5:$B$44,$B3195))+R3195*SUMIFS(Premissas!$E$5:$E$44,Premissas!$A$5:$A$44,$A3195,Premissas!$B$5:$B$44,$B3195)+S3195*SUMIFS(Premissas!$F$5:$F$44,Premissas!$A$5:$A$44,$A3195,Premissas!$B$5:$B$44,$B3195)</f>
        <v/>
      </c>
      <c r="L3195" s="29">
        <f>J3195-K3195</f>
        <v/>
      </c>
      <c r="M3195" t="inlineStr">
        <is>
          <t>1.350</t>
        </is>
      </c>
      <c r="N3195" t="inlineStr">
        <is>
          <t>Modalidade: 0 - Por conta do remetente | Parte: RODRIGUES e DIAS COMERCIO DE HORTIFRUTI GRANJEIROS LTDA (09.143.905/0001-95)</t>
        </is>
      </c>
      <c r="O3195" s="29" t="n">
        <v>0</v>
      </c>
      <c r="P3195" s="29" t="n">
        <v>0</v>
      </c>
      <c r="Q3195" s="29" t="n">
        <v>0</v>
      </c>
      <c r="R3195" s="29" t="n">
        <v>0</v>
      </c>
      <c r="S3195" s="29" t="n">
        <v>0</v>
      </c>
      <c r="T3195" t="inlineStr">
        <is>
          <t>25260426975620000130570010000067531011001090</t>
        </is>
      </c>
      <c r="U3195" t="inlineStr">
        <is>
          <t>Não</t>
        </is>
      </c>
    </row>
    <row r="3196">
      <c r="A3196" t="inlineStr">
        <is>
          <t>Frete de venda</t>
        </is>
      </c>
      <c r="B3196" t="inlineStr">
        <is>
          <t>2.01.02 Frete sobre Vendas</t>
        </is>
      </c>
      <c r="C3196" s="30" t="n">
        <v>46113</v>
      </c>
      <c r="D3196" t="inlineStr">
        <is>
          <t>Em 2026</t>
        </is>
      </c>
      <c r="E3196" s="28" t="n">
        <v>46120</v>
      </c>
      <c r="F3196" t="inlineStr">
        <is>
          <t>CT-e</t>
        </is>
      </c>
      <c r="G3196" t="inlineStr">
        <is>
          <t>000006754</t>
        </is>
      </c>
      <c r="H3196" t="inlineStr">
        <is>
          <t>R&amp;R TRANSPORTE E LOGISTICA</t>
        </is>
      </c>
      <c r="J3196" s="29" t="n">
        <v>242.57</v>
      </c>
      <c r="K3196" s="29">
        <f>(1-ISNUMBER(SEARCH("556",M3196)))*(O3196*SUMIFS(Premissas!$C$5:$C$44,Premissas!$A$5:$A$44,$A3196,Premissas!$B$5:$B$44,$B3196)+P3196*SUMIFS(Premissas!$D$5:$D$44,Premissas!$A$5:$A$44,$A3196,Premissas!$B$5:$B$44,$B3196))+R3196*SUMIFS(Premissas!$E$5:$E$44,Premissas!$A$5:$A$44,$A3196,Premissas!$B$5:$B$44,$B3196)+S3196*SUMIFS(Premissas!$F$5:$F$44,Premissas!$A$5:$A$44,$A3196,Premissas!$B$5:$B$44,$B3196)</f>
        <v/>
      </c>
      <c r="L3196" s="29">
        <f>J3196-K3196</f>
        <v/>
      </c>
      <c r="M3196" t="inlineStr">
        <is>
          <t>1.350</t>
        </is>
      </c>
      <c r="N3196" t="inlineStr">
        <is>
          <t>Modalidade: 0 - Por conta do remetente | Parte: BRASILPLAST EMBALAGENS E DESCARTAVEIS LTDA (02.771.903/0001-00)</t>
        </is>
      </c>
      <c r="O3196" s="29" t="n">
        <v>0</v>
      </c>
      <c r="P3196" s="29" t="n">
        <v>0</v>
      </c>
      <c r="Q3196" s="29" t="n">
        <v>0</v>
      </c>
      <c r="R3196" s="29" t="n">
        <v>0</v>
      </c>
      <c r="S3196" s="29" t="n">
        <v>0</v>
      </c>
      <c r="T3196" t="inlineStr">
        <is>
          <t>25260426975620000130570010000067541001701177</t>
        </is>
      </c>
      <c r="U3196" t="inlineStr">
        <is>
          <t>Não</t>
        </is>
      </c>
    </row>
    <row r="3197">
      <c r="A3197" t="inlineStr">
        <is>
          <t>Frete de venda</t>
        </is>
      </c>
      <c r="B3197" t="inlineStr">
        <is>
          <t>2.01.02 Frete sobre Vendas</t>
        </is>
      </c>
      <c r="C3197" s="30" t="n">
        <v>46113</v>
      </c>
      <c r="D3197" t="inlineStr">
        <is>
          <t>Em 2026</t>
        </is>
      </c>
      <c r="E3197" s="28" t="n">
        <v>46120</v>
      </c>
      <c r="F3197" t="inlineStr">
        <is>
          <t>CT-e</t>
        </is>
      </c>
      <c r="G3197" t="inlineStr">
        <is>
          <t>000006758</t>
        </is>
      </c>
      <c r="H3197" t="inlineStr">
        <is>
          <t>R&amp;R TRANSPORTE E LOGISTICA</t>
        </is>
      </c>
      <c r="J3197" s="29" t="n">
        <v>1031.64</v>
      </c>
      <c r="K3197" s="29">
        <f>(1-ISNUMBER(SEARCH("556",M3197)))*(O3197*SUMIFS(Premissas!$C$5:$C$44,Premissas!$A$5:$A$44,$A3197,Premissas!$B$5:$B$44,$B3197)+P3197*SUMIFS(Premissas!$D$5:$D$44,Premissas!$A$5:$A$44,$A3197,Premissas!$B$5:$B$44,$B3197))+R3197*SUMIFS(Premissas!$E$5:$E$44,Premissas!$A$5:$A$44,$A3197,Premissas!$B$5:$B$44,$B3197)+S3197*SUMIFS(Premissas!$F$5:$F$44,Premissas!$A$5:$A$44,$A3197,Premissas!$B$5:$B$44,$B3197)</f>
        <v/>
      </c>
      <c r="L3197" s="29">
        <f>J3197-K3197</f>
        <v/>
      </c>
      <c r="M3197" t="inlineStr">
        <is>
          <t>1.350</t>
        </is>
      </c>
      <c r="N3197" t="inlineStr">
        <is>
          <t>Modalidade: 0 - Por conta do remetente | Parte: PLASTICOS E BALAS COMERCIO DE DOCES E EMBALAGENS LTDA (24.241.660/0001-22)</t>
        </is>
      </c>
      <c r="O3197" s="29" t="n">
        <v>0</v>
      </c>
      <c r="P3197" s="29" t="n">
        <v>0</v>
      </c>
      <c r="Q3197" s="29" t="n">
        <v>0</v>
      </c>
      <c r="R3197" s="29" t="n">
        <v>0</v>
      </c>
      <c r="S3197" s="29" t="n">
        <v>0</v>
      </c>
      <c r="T3197" t="inlineStr">
        <is>
          <t>25260426975620000130570010000067581001301461</t>
        </is>
      </c>
      <c r="U3197" t="inlineStr">
        <is>
          <t>Não</t>
        </is>
      </c>
    </row>
    <row r="3198">
      <c r="A3198" t="inlineStr">
        <is>
          <t>Frete de venda</t>
        </is>
      </c>
      <c r="B3198" t="inlineStr">
        <is>
          <t>2.01.02 Frete sobre Vendas</t>
        </is>
      </c>
      <c r="C3198" s="30" t="n">
        <v>46113</v>
      </c>
      <c r="D3198" t="inlineStr">
        <is>
          <t>Em 2026</t>
        </is>
      </c>
      <c r="E3198" s="28" t="n">
        <v>46120</v>
      </c>
      <c r="F3198" t="inlineStr">
        <is>
          <t>CT-e</t>
        </is>
      </c>
      <c r="G3198" t="inlineStr">
        <is>
          <t>000006759</t>
        </is>
      </c>
      <c r="H3198" t="inlineStr">
        <is>
          <t>R&amp;R TRANSPORTE E LOGISTICA</t>
        </is>
      </c>
      <c r="J3198" s="29" t="n">
        <v>1033.74</v>
      </c>
      <c r="K3198" s="29">
        <f>(1-ISNUMBER(SEARCH("556",M3198)))*(O3198*SUMIFS(Premissas!$C$5:$C$44,Premissas!$A$5:$A$44,$A3198,Premissas!$B$5:$B$44,$B3198)+P3198*SUMIFS(Premissas!$D$5:$D$44,Premissas!$A$5:$A$44,$A3198,Premissas!$B$5:$B$44,$B3198))+R3198*SUMIFS(Premissas!$E$5:$E$44,Premissas!$A$5:$A$44,$A3198,Premissas!$B$5:$B$44,$B3198)+S3198*SUMIFS(Premissas!$F$5:$F$44,Premissas!$A$5:$A$44,$A3198,Premissas!$B$5:$B$44,$B3198)</f>
        <v/>
      </c>
      <c r="L3198" s="29">
        <f>J3198-K3198</f>
        <v/>
      </c>
      <c r="M3198" t="inlineStr">
        <is>
          <t>1.350</t>
        </is>
      </c>
      <c r="N3198" t="inlineStr">
        <is>
          <t>Modalidade: 0 - Por conta do remetente | Parte: TORRES DISTRIBUIDORA ATACADISTA DE EMBALAGENS PLASTICAS ... (26.748.294/0001-28)</t>
        </is>
      </c>
      <c r="O3198" s="29" t="n">
        <v>0</v>
      </c>
      <c r="P3198" s="29" t="n">
        <v>0</v>
      </c>
      <c r="Q3198" s="29" t="n">
        <v>0</v>
      </c>
      <c r="R3198" s="29" t="n">
        <v>0</v>
      </c>
      <c r="S3198" s="29" t="n">
        <v>0</v>
      </c>
      <c r="T3198" t="inlineStr">
        <is>
          <t>25260426975620000130570010000067591000101547</t>
        </is>
      </c>
      <c r="U3198" t="inlineStr">
        <is>
          <t>Não</t>
        </is>
      </c>
    </row>
    <row r="3199">
      <c r="A3199" t="inlineStr">
        <is>
          <t>Frete de venda</t>
        </is>
      </c>
      <c r="B3199" t="inlineStr">
        <is>
          <t>2.01.02 Frete sobre Vendas</t>
        </is>
      </c>
      <c r="C3199" s="30" t="n">
        <v>46113</v>
      </c>
      <c r="D3199" t="inlineStr">
        <is>
          <t>Em 2026</t>
        </is>
      </c>
      <c r="E3199" s="28" t="n">
        <v>46120</v>
      </c>
      <c r="F3199" t="inlineStr">
        <is>
          <t>CT-e</t>
        </is>
      </c>
      <c r="G3199" t="inlineStr">
        <is>
          <t>000006760</t>
        </is>
      </c>
      <c r="H3199" t="inlineStr">
        <is>
          <t>R&amp;R TRANSPORTE E LOGISTICA</t>
        </is>
      </c>
      <c r="J3199" s="29" t="n">
        <v>1027.17</v>
      </c>
      <c r="K3199" s="29">
        <f>(1-ISNUMBER(SEARCH("556",M3199)))*(O3199*SUMIFS(Premissas!$C$5:$C$44,Premissas!$A$5:$A$44,$A3199,Premissas!$B$5:$B$44,$B3199)+P3199*SUMIFS(Premissas!$D$5:$D$44,Premissas!$A$5:$A$44,$A3199,Premissas!$B$5:$B$44,$B3199))+R3199*SUMIFS(Premissas!$E$5:$E$44,Premissas!$A$5:$A$44,$A3199,Premissas!$B$5:$B$44,$B3199)+S3199*SUMIFS(Premissas!$F$5:$F$44,Premissas!$A$5:$A$44,$A3199,Premissas!$B$5:$B$44,$B3199)</f>
        <v/>
      </c>
      <c r="L3199" s="29">
        <f>J3199-K3199</f>
        <v/>
      </c>
      <c r="M3199" t="inlineStr">
        <is>
          <t>1.350</t>
        </is>
      </c>
      <c r="N3199" t="inlineStr">
        <is>
          <t>Modalidade: 0 - Por conta do remetente | Parte: MERCOPAIVA COMERCIAL LTDA (45.016.002/0001-07)</t>
        </is>
      </c>
      <c r="O3199" s="29" t="n">
        <v>0</v>
      </c>
      <c r="P3199" s="29" t="n">
        <v>0</v>
      </c>
      <c r="Q3199" s="29" t="n">
        <v>0</v>
      </c>
      <c r="R3199" s="29" t="n">
        <v>0</v>
      </c>
      <c r="S3199" s="29" t="n">
        <v>0</v>
      </c>
      <c r="T3199" t="inlineStr">
        <is>
          <t>25260426975620000130570010000067601001801624</t>
        </is>
      </c>
      <c r="U3199" t="inlineStr">
        <is>
          <t>Não</t>
        </is>
      </c>
    </row>
    <row r="3200">
      <c r="A3200" t="inlineStr">
        <is>
          <t>Frete de venda</t>
        </is>
      </c>
      <c r="B3200" t="inlineStr">
        <is>
          <t>2.01.02 Frete sobre Vendas</t>
        </is>
      </c>
      <c r="C3200" s="30" t="n">
        <v>46113</v>
      </c>
      <c r="D3200" t="inlineStr">
        <is>
          <t>Em 2026</t>
        </is>
      </c>
      <c r="E3200" s="28" t="n">
        <v>46120</v>
      </c>
      <c r="F3200" t="inlineStr">
        <is>
          <t>CT-e</t>
        </is>
      </c>
      <c r="G3200" t="inlineStr">
        <is>
          <t>000006761</t>
        </is>
      </c>
      <c r="H3200" t="inlineStr">
        <is>
          <t>R&amp;R TRANSPORTE E LOGISTICA</t>
        </is>
      </c>
      <c r="J3200" s="29" t="n">
        <v>1020.47</v>
      </c>
      <c r="K3200" s="29">
        <f>(1-ISNUMBER(SEARCH("556",M3200)))*(O3200*SUMIFS(Premissas!$C$5:$C$44,Premissas!$A$5:$A$44,$A3200,Premissas!$B$5:$B$44,$B3200)+P3200*SUMIFS(Premissas!$D$5:$D$44,Premissas!$A$5:$A$44,$A3200,Premissas!$B$5:$B$44,$B3200))+R3200*SUMIFS(Premissas!$E$5:$E$44,Premissas!$A$5:$A$44,$A3200,Premissas!$B$5:$B$44,$B3200)+S3200*SUMIFS(Premissas!$F$5:$F$44,Premissas!$A$5:$A$44,$A3200,Premissas!$B$5:$B$44,$B3200)</f>
        <v/>
      </c>
      <c r="L3200" s="29">
        <f>J3200-K3200</f>
        <v/>
      </c>
      <c r="M3200" t="inlineStr">
        <is>
          <t>1.350</t>
        </is>
      </c>
      <c r="N3200" t="inlineStr">
        <is>
          <t>Modalidade: 0 - Por conta do remetente | Parte: COMERCIAL BAHIA LTDA (41.651.670/0001-55)</t>
        </is>
      </c>
      <c r="O3200" s="29" t="n">
        <v>0</v>
      </c>
      <c r="P3200" s="29" t="n">
        <v>0</v>
      </c>
      <c r="Q3200" s="29" t="n">
        <v>0</v>
      </c>
      <c r="R3200" s="29" t="n">
        <v>0</v>
      </c>
      <c r="S3200" s="29" t="n">
        <v>0</v>
      </c>
      <c r="T3200" t="inlineStr">
        <is>
          <t>25260426975620000130570010000067611000190971</t>
        </is>
      </c>
      <c r="U3200" t="inlineStr">
        <is>
          <t>Não</t>
        </is>
      </c>
    </row>
    <row r="3201">
      <c r="A3201" t="inlineStr">
        <is>
          <t>Frete de venda</t>
        </is>
      </c>
      <c r="B3201" t="inlineStr">
        <is>
          <t>2.01.02 Frete sobre Vendas</t>
        </is>
      </c>
      <c r="C3201" s="30" t="n">
        <v>46113</v>
      </c>
      <c r="D3201" t="inlineStr">
        <is>
          <t>Em 2026</t>
        </is>
      </c>
      <c r="E3201" s="28" t="n">
        <v>46120</v>
      </c>
      <c r="F3201" t="inlineStr">
        <is>
          <t>CT-e</t>
        </is>
      </c>
      <c r="G3201" t="inlineStr">
        <is>
          <t>000006762</t>
        </is>
      </c>
      <c r="H3201" t="inlineStr">
        <is>
          <t>R&amp;R TRANSPORTE E LOGISTICA</t>
        </is>
      </c>
      <c r="J3201" s="29" t="n">
        <v>1023.57</v>
      </c>
      <c r="K3201" s="29">
        <f>(1-ISNUMBER(SEARCH("556",M3201)))*(O3201*SUMIFS(Premissas!$C$5:$C$44,Premissas!$A$5:$A$44,$A3201,Premissas!$B$5:$B$44,$B3201)+P3201*SUMIFS(Premissas!$D$5:$D$44,Premissas!$A$5:$A$44,$A3201,Premissas!$B$5:$B$44,$B3201))+R3201*SUMIFS(Premissas!$E$5:$E$44,Premissas!$A$5:$A$44,$A3201,Premissas!$B$5:$B$44,$B3201)+S3201*SUMIFS(Premissas!$F$5:$F$44,Premissas!$A$5:$A$44,$A3201,Premissas!$B$5:$B$44,$B3201)</f>
        <v/>
      </c>
      <c r="L3201" s="29">
        <f>J3201-K3201</f>
        <v/>
      </c>
      <c r="M3201" t="inlineStr">
        <is>
          <t>1.350</t>
        </is>
      </c>
      <c r="N3201" t="inlineStr">
        <is>
          <t>Modalidade: 0 - Por conta do remetente | Parte: PRASO PLATAFORMA DE COMERCIO LTDA. (42.434.646/0008-01)</t>
        </is>
      </c>
      <c r="O3201" s="29" t="n">
        <v>0</v>
      </c>
      <c r="P3201" s="29" t="n">
        <v>0</v>
      </c>
      <c r="Q3201" s="29" t="n">
        <v>0</v>
      </c>
      <c r="R3201" s="29" t="n">
        <v>0</v>
      </c>
      <c r="S3201" s="29" t="n">
        <v>0</v>
      </c>
      <c r="T3201" t="inlineStr">
        <is>
          <t>25260426975620000130570010000067621001601050</t>
        </is>
      </c>
      <c r="U3201" t="inlineStr">
        <is>
          <t>Não</t>
        </is>
      </c>
    </row>
    <row r="3202">
      <c r="A3202" t="inlineStr">
        <is>
          <t>Frete de venda</t>
        </is>
      </c>
      <c r="B3202" t="inlineStr">
        <is>
          <t>2.01.02 Frete sobre Vendas</t>
        </is>
      </c>
      <c r="C3202" s="30" t="n">
        <v>46113</v>
      </c>
      <c r="D3202" t="inlineStr">
        <is>
          <t>Em 2026</t>
        </is>
      </c>
      <c r="E3202" s="28" t="n">
        <v>46120</v>
      </c>
      <c r="F3202" t="inlineStr">
        <is>
          <t>CT-e</t>
        </is>
      </c>
      <c r="G3202" t="inlineStr">
        <is>
          <t>000006763</t>
        </is>
      </c>
      <c r="H3202" t="inlineStr">
        <is>
          <t>R&amp;R TRANSPORTE E LOGISTICA</t>
        </is>
      </c>
      <c r="J3202" s="29" t="n">
        <v>1025.58</v>
      </c>
      <c r="K3202" s="29">
        <f>(1-ISNUMBER(SEARCH("556",M3202)))*(O3202*SUMIFS(Premissas!$C$5:$C$44,Premissas!$A$5:$A$44,$A3202,Premissas!$B$5:$B$44,$B3202)+P3202*SUMIFS(Premissas!$D$5:$D$44,Premissas!$A$5:$A$44,$A3202,Premissas!$B$5:$B$44,$B3202))+R3202*SUMIFS(Premissas!$E$5:$E$44,Premissas!$A$5:$A$44,$A3202,Premissas!$B$5:$B$44,$B3202)+S3202*SUMIFS(Premissas!$F$5:$F$44,Premissas!$A$5:$A$44,$A3202,Premissas!$B$5:$B$44,$B3202)</f>
        <v/>
      </c>
      <c r="L3202" s="29">
        <f>J3202-K3202</f>
        <v/>
      </c>
      <c r="M3202" t="inlineStr">
        <is>
          <t>1.350</t>
        </is>
      </c>
      <c r="N3202" t="inlineStr">
        <is>
          <t>Modalidade: 0 - Por conta do remetente | Parte: ESTOCK DISTRIBUIDORA DE EMBALAGENS LTDA (42.003.982/0001-15)</t>
        </is>
      </c>
      <c r="O3202" s="29" t="n">
        <v>0</v>
      </c>
      <c r="P3202" s="29" t="n">
        <v>0</v>
      </c>
      <c r="Q3202" s="29" t="n">
        <v>0</v>
      </c>
      <c r="R3202" s="29" t="n">
        <v>0</v>
      </c>
      <c r="S3202" s="29" t="n">
        <v>0</v>
      </c>
      <c r="T3202" t="inlineStr">
        <is>
          <t>25260426975620000130570010000067631001301135</t>
        </is>
      </c>
      <c r="U3202" t="inlineStr">
        <is>
          <t>Não</t>
        </is>
      </c>
    </row>
    <row r="3203">
      <c r="A3203" t="inlineStr">
        <is>
          <t>Frete de venda</t>
        </is>
      </c>
      <c r="B3203" t="inlineStr">
        <is>
          <t>2.01.02 Frete sobre Vendas</t>
        </is>
      </c>
      <c r="C3203" s="30" t="n">
        <v>46113</v>
      </c>
      <c r="D3203" t="inlineStr">
        <is>
          <t>Em 2026</t>
        </is>
      </c>
      <c r="E3203" s="28" t="n">
        <v>46120</v>
      </c>
      <c r="F3203" t="inlineStr">
        <is>
          <t>CT-e</t>
        </is>
      </c>
      <c r="G3203" t="inlineStr">
        <is>
          <t>000006764</t>
        </is>
      </c>
      <c r="H3203" t="inlineStr">
        <is>
          <t>R&amp;R TRANSPORTE E LOGISTICA</t>
        </is>
      </c>
      <c r="J3203" s="29" t="n">
        <v>1021.69</v>
      </c>
      <c r="K3203" s="29">
        <f>(1-ISNUMBER(SEARCH("556",M3203)))*(O3203*SUMIFS(Premissas!$C$5:$C$44,Premissas!$A$5:$A$44,$A3203,Premissas!$B$5:$B$44,$B3203)+P3203*SUMIFS(Premissas!$D$5:$D$44,Premissas!$A$5:$A$44,$A3203,Premissas!$B$5:$B$44,$B3203))+R3203*SUMIFS(Premissas!$E$5:$E$44,Premissas!$A$5:$A$44,$A3203,Premissas!$B$5:$B$44,$B3203)+S3203*SUMIFS(Premissas!$F$5:$F$44,Premissas!$A$5:$A$44,$A3203,Premissas!$B$5:$B$44,$B3203)</f>
        <v/>
      </c>
      <c r="L3203" s="29">
        <f>J3203-K3203</f>
        <v/>
      </c>
      <c r="M3203" t="inlineStr">
        <is>
          <t>1.350</t>
        </is>
      </c>
      <c r="N3203" t="inlineStr">
        <is>
          <t>Modalidade: 0 - Por conta do remetente | Parte: ATACADAO BOLINHA LTDA (17.933.745/0001-06)</t>
        </is>
      </c>
      <c r="O3203" s="29" t="n">
        <v>0</v>
      </c>
      <c r="P3203" s="29" t="n">
        <v>0</v>
      </c>
      <c r="Q3203" s="29" t="n">
        <v>0</v>
      </c>
      <c r="R3203" s="29" t="n">
        <v>0</v>
      </c>
      <c r="S3203" s="29" t="n">
        <v>0</v>
      </c>
      <c r="T3203" t="inlineStr">
        <is>
          <t>25260426975620000130570010000067641000101210</t>
        </is>
      </c>
      <c r="U3203" t="inlineStr">
        <is>
          <t>Não</t>
        </is>
      </c>
    </row>
    <row r="3204">
      <c r="A3204" t="inlineStr">
        <is>
          <t>Frete de venda</t>
        </is>
      </c>
      <c r="B3204" t="inlineStr">
        <is>
          <t>2.01.02 Frete sobre Vendas</t>
        </is>
      </c>
      <c r="C3204" s="30" t="n">
        <v>46113</v>
      </c>
      <c r="D3204" t="inlineStr">
        <is>
          <t>Em 2026</t>
        </is>
      </c>
      <c r="E3204" s="28" t="n">
        <v>46120</v>
      </c>
      <c r="F3204" t="inlineStr">
        <is>
          <t>CT-e</t>
        </is>
      </c>
      <c r="G3204" t="inlineStr">
        <is>
          <t>000006765</t>
        </is>
      </c>
      <c r="H3204" t="inlineStr">
        <is>
          <t>R&amp;R TRANSPORTE E LOGISTICA</t>
        </is>
      </c>
      <c r="J3204" s="29" t="n">
        <v>1028.78</v>
      </c>
      <c r="K3204" s="29">
        <f>(1-ISNUMBER(SEARCH("556",M3204)))*(O3204*SUMIFS(Premissas!$C$5:$C$44,Premissas!$A$5:$A$44,$A3204,Premissas!$B$5:$B$44,$B3204)+P3204*SUMIFS(Premissas!$D$5:$D$44,Premissas!$A$5:$A$44,$A3204,Premissas!$B$5:$B$44,$B3204))+R3204*SUMIFS(Premissas!$E$5:$E$44,Premissas!$A$5:$A$44,$A3204,Premissas!$B$5:$B$44,$B3204)+S3204*SUMIFS(Premissas!$F$5:$F$44,Premissas!$A$5:$A$44,$A3204,Premissas!$B$5:$B$44,$B3204)</f>
        <v/>
      </c>
      <c r="L3204" s="29">
        <f>J3204-K3204</f>
        <v/>
      </c>
      <c r="M3204" t="inlineStr">
        <is>
          <t>1.350</t>
        </is>
      </c>
      <c r="N3204" t="inlineStr">
        <is>
          <t>Modalidade: 0 - Por conta do remetente | Parte: BM - JACKSON JEAN OLIVEIRA (32.079.958/0001-06)</t>
        </is>
      </c>
      <c r="O3204" s="29" t="n">
        <v>0</v>
      </c>
      <c r="P3204" s="29" t="n">
        <v>0</v>
      </c>
      <c r="Q3204" s="29" t="n">
        <v>0</v>
      </c>
      <c r="R3204" s="29" t="n">
        <v>0</v>
      </c>
      <c r="S3204" s="29" t="n">
        <v>0</v>
      </c>
      <c r="T3204" t="inlineStr">
        <is>
          <t>25260426975620000130570010000067651001801299</t>
        </is>
      </c>
      <c r="U3204" t="inlineStr">
        <is>
          <t>Não</t>
        </is>
      </c>
    </row>
    <row r="3205">
      <c r="A3205" t="inlineStr">
        <is>
          <t>Frete de venda</t>
        </is>
      </c>
      <c r="B3205" t="inlineStr">
        <is>
          <t>2.01.02 Frete sobre Vendas</t>
        </is>
      </c>
      <c r="C3205" s="30" t="n">
        <v>46113</v>
      </c>
      <c r="D3205" t="inlineStr">
        <is>
          <t>Em 2026</t>
        </is>
      </c>
      <c r="E3205" s="28" t="n">
        <v>46120</v>
      </c>
      <c r="F3205" t="inlineStr">
        <is>
          <t>CT-e</t>
        </is>
      </c>
      <c r="G3205" t="inlineStr">
        <is>
          <t>000006766</t>
        </is>
      </c>
      <c r="H3205" t="inlineStr">
        <is>
          <t>R&amp;R TRANSPORTE E LOGISTICA</t>
        </is>
      </c>
      <c r="J3205" s="29" t="n">
        <v>1022.02</v>
      </c>
      <c r="K3205" s="29">
        <f>(1-ISNUMBER(SEARCH("556",M3205)))*(O3205*SUMIFS(Premissas!$C$5:$C$44,Premissas!$A$5:$A$44,$A3205,Premissas!$B$5:$B$44,$B3205)+P3205*SUMIFS(Premissas!$D$5:$D$44,Premissas!$A$5:$A$44,$A3205,Premissas!$B$5:$B$44,$B3205))+R3205*SUMIFS(Premissas!$E$5:$E$44,Premissas!$A$5:$A$44,$A3205,Premissas!$B$5:$B$44,$B3205)+S3205*SUMIFS(Premissas!$F$5:$F$44,Premissas!$A$5:$A$44,$A3205,Premissas!$B$5:$B$44,$B3205)</f>
        <v/>
      </c>
      <c r="L3205" s="29">
        <f>J3205-K3205</f>
        <v/>
      </c>
      <c r="M3205" t="inlineStr">
        <is>
          <t>1.350</t>
        </is>
      </c>
      <c r="N3205" t="inlineStr">
        <is>
          <t>Modalidade: 0 - Por conta do remetente | Parte: DOCA COMERCIO DE PRODUTOS ALIMENTICIOS LTDA (15.258.788/0003-70)</t>
        </is>
      </c>
      <c r="O3205" s="29" t="n">
        <v>0</v>
      </c>
      <c r="P3205" s="29" t="n">
        <v>0</v>
      </c>
      <c r="Q3205" s="29" t="n">
        <v>0</v>
      </c>
      <c r="R3205" s="29" t="n">
        <v>0</v>
      </c>
      <c r="S3205" s="29" t="n">
        <v>0</v>
      </c>
      <c r="T3205" t="inlineStr">
        <is>
          <t>25260426975620000130570010000067661001501373</t>
        </is>
      </c>
      <c r="U3205" t="inlineStr">
        <is>
          <t>Não</t>
        </is>
      </c>
    </row>
    <row r="3206">
      <c r="A3206" t="inlineStr">
        <is>
          <t>Frete de venda</t>
        </is>
      </c>
      <c r="B3206" t="inlineStr">
        <is>
          <t>2.01.02 Frete sobre Vendas</t>
        </is>
      </c>
      <c r="C3206" s="30" t="n">
        <v>46113</v>
      </c>
      <c r="D3206" t="inlineStr">
        <is>
          <t>Em 2026</t>
        </is>
      </c>
      <c r="E3206" s="28" t="n">
        <v>46122</v>
      </c>
      <c r="F3206" t="inlineStr">
        <is>
          <t>CT-e</t>
        </is>
      </c>
      <c r="G3206" t="inlineStr">
        <is>
          <t>000006769</t>
        </is>
      </c>
      <c r="H3206" t="inlineStr">
        <is>
          <t>R&amp;R TRANSPORTE E LOGISTICA</t>
        </is>
      </c>
      <c r="J3206" s="29" t="n">
        <v>2891.24</v>
      </c>
      <c r="K3206" s="29">
        <f>(1-ISNUMBER(SEARCH("556",M3206)))*(O3206*SUMIFS(Premissas!$C$5:$C$44,Premissas!$A$5:$A$44,$A3206,Premissas!$B$5:$B$44,$B3206)+P3206*SUMIFS(Premissas!$D$5:$D$44,Premissas!$A$5:$A$44,$A3206,Premissas!$B$5:$B$44,$B3206))+R3206*SUMIFS(Premissas!$E$5:$E$44,Premissas!$A$5:$A$44,$A3206,Premissas!$B$5:$B$44,$B3206)+S3206*SUMIFS(Premissas!$F$5:$F$44,Premissas!$A$5:$A$44,$A3206,Premissas!$B$5:$B$44,$B3206)</f>
        <v/>
      </c>
      <c r="L3206" s="29">
        <f>J3206-K3206</f>
        <v/>
      </c>
      <c r="M3206" t="inlineStr">
        <is>
          <t>1.350</t>
        </is>
      </c>
      <c r="N3206" t="inlineStr">
        <is>
          <t>Modalidade: 0 - Por conta do remetente | Parte: H B COMERCIO DE EMBALAGENS LTDA (05.488.166/0001-12)</t>
        </is>
      </c>
      <c r="O3206" s="29" t="n">
        <v>0</v>
      </c>
      <c r="P3206" s="29" t="n">
        <v>0</v>
      </c>
      <c r="Q3206" s="29" t="n">
        <v>0</v>
      </c>
      <c r="R3206" s="29" t="n">
        <v>0</v>
      </c>
      <c r="S3206" s="29" t="n">
        <v>0</v>
      </c>
      <c r="T3206" t="inlineStr">
        <is>
          <t>25260426975620000130570010000067691001701617</t>
        </is>
      </c>
      <c r="U3206" t="inlineStr">
        <is>
          <t>Não</t>
        </is>
      </c>
    </row>
    <row r="3207">
      <c r="A3207" t="inlineStr">
        <is>
          <t>Frete de venda</t>
        </is>
      </c>
      <c r="B3207" t="inlineStr">
        <is>
          <t>2.01.02 Frete sobre Vendas</t>
        </is>
      </c>
      <c r="C3207" s="30" t="n">
        <v>46113</v>
      </c>
      <c r="D3207" t="inlineStr">
        <is>
          <t>Em 2026</t>
        </is>
      </c>
      <c r="E3207" s="28" t="n">
        <v>46122</v>
      </c>
      <c r="F3207" t="inlineStr">
        <is>
          <t>CT-e</t>
        </is>
      </c>
      <c r="G3207" t="inlineStr">
        <is>
          <t>000006770</t>
        </is>
      </c>
      <c r="H3207" t="inlineStr">
        <is>
          <t>R&amp;R TRANSPORTE E LOGISTICA</t>
        </is>
      </c>
      <c r="J3207" s="29" t="n">
        <v>2881.16</v>
      </c>
      <c r="K3207" s="29">
        <f>(1-ISNUMBER(SEARCH("556",M3207)))*(O3207*SUMIFS(Premissas!$C$5:$C$44,Premissas!$A$5:$A$44,$A3207,Premissas!$B$5:$B$44,$B3207)+P3207*SUMIFS(Premissas!$D$5:$D$44,Premissas!$A$5:$A$44,$A3207,Premissas!$B$5:$B$44,$B3207))+R3207*SUMIFS(Premissas!$E$5:$E$44,Premissas!$A$5:$A$44,$A3207,Premissas!$B$5:$B$44,$B3207)+S3207*SUMIFS(Premissas!$F$5:$F$44,Premissas!$A$5:$A$44,$A3207,Premissas!$B$5:$B$44,$B3207)</f>
        <v/>
      </c>
      <c r="L3207" s="29">
        <f>J3207-K3207</f>
        <v/>
      </c>
      <c r="M3207" t="inlineStr">
        <is>
          <t>1.350</t>
        </is>
      </c>
      <c r="N3207" t="inlineStr">
        <is>
          <t>Modalidade: 0 - Por conta do remetente | Parte: BRAGA e BARCELOS LTDA (11.109.167/0001-01)</t>
        </is>
      </c>
      <c r="O3207" s="29" t="n">
        <v>0</v>
      </c>
      <c r="P3207" s="29" t="n">
        <v>0</v>
      </c>
      <c r="Q3207" s="29" t="n">
        <v>0</v>
      </c>
      <c r="R3207" s="29" t="n">
        <v>0</v>
      </c>
      <c r="S3207" s="29" t="n">
        <v>0</v>
      </c>
      <c r="T3207" t="inlineStr">
        <is>
          <t>25260426975620000130570010000067701001401690</t>
        </is>
      </c>
      <c r="U3207" t="inlineStr">
        <is>
          <t>Não</t>
        </is>
      </c>
    </row>
    <row r="3208">
      <c r="A3208" t="inlineStr">
        <is>
          <t>Frete de venda</t>
        </is>
      </c>
      <c r="B3208" t="inlineStr">
        <is>
          <t>2.01.02 Frete sobre Vendas</t>
        </is>
      </c>
      <c r="C3208" s="30" t="n">
        <v>46113</v>
      </c>
      <c r="D3208" t="inlineStr">
        <is>
          <t>Em 2026</t>
        </is>
      </c>
      <c r="E3208" s="28" t="n">
        <v>46122</v>
      </c>
      <c r="F3208" t="inlineStr">
        <is>
          <t>CT-e</t>
        </is>
      </c>
      <c r="G3208" t="inlineStr">
        <is>
          <t>000006771</t>
        </is>
      </c>
      <c r="H3208" t="inlineStr">
        <is>
          <t>R&amp;R TRANSPORTE E LOGISTICA</t>
        </is>
      </c>
      <c r="J3208" s="29" t="n">
        <v>2865.3</v>
      </c>
      <c r="K3208" s="29">
        <f>(1-ISNUMBER(SEARCH("556",M3208)))*(O3208*SUMIFS(Premissas!$C$5:$C$44,Premissas!$A$5:$A$44,$A3208,Premissas!$B$5:$B$44,$B3208)+P3208*SUMIFS(Premissas!$D$5:$D$44,Premissas!$A$5:$A$44,$A3208,Premissas!$B$5:$B$44,$B3208))+R3208*SUMIFS(Premissas!$E$5:$E$44,Premissas!$A$5:$A$44,$A3208,Premissas!$B$5:$B$44,$B3208)+S3208*SUMIFS(Premissas!$F$5:$F$44,Premissas!$A$5:$A$44,$A3208,Premissas!$B$5:$B$44,$B3208)</f>
        <v/>
      </c>
      <c r="L3208" s="29">
        <f>J3208-K3208</f>
        <v/>
      </c>
      <c r="M3208" t="inlineStr">
        <is>
          <t>1.350</t>
        </is>
      </c>
      <c r="N3208" t="inlineStr">
        <is>
          <t>Modalidade: 0 - Por conta do remetente | Parte: SAM EMBALAGENS ATACADO E VAREJO LTDA (48.944.969/0001-47)</t>
        </is>
      </c>
      <c r="O3208" s="29" t="n">
        <v>0</v>
      </c>
      <c r="P3208" s="29" t="n">
        <v>0</v>
      </c>
      <c r="Q3208" s="29" t="n">
        <v>0</v>
      </c>
      <c r="R3208" s="29" t="n">
        <v>0</v>
      </c>
      <c r="S3208" s="29" t="n">
        <v>0</v>
      </c>
      <c r="T3208" t="inlineStr">
        <is>
          <t>25260426975620000130570010000067711001501047</t>
        </is>
      </c>
      <c r="U3208" t="inlineStr">
        <is>
          <t>Não</t>
        </is>
      </c>
    </row>
    <row r="3209">
      <c r="A3209" t="inlineStr">
        <is>
          <t>Frete de venda</t>
        </is>
      </c>
      <c r="B3209" t="inlineStr">
        <is>
          <t>2.01.02 Frete sobre Vendas</t>
        </is>
      </c>
      <c r="C3209" s="30" t="n">
        <v>46113</v>
      </c>
      <c r="D3209" t="inlineStr">
        <is>
          <t>Em 2026</t>
        </is>
      </c>
      <c r="E3209" s="28" t="n">
        <v>46122</v>
      </c>
      <c r="F3209" t="inlineStr">
        <is>
          <t>CT-e</t>
        </is>
      </c>
      <c r="G3209" t="inlineStr">
        <is>
          <t>000006772</t>
        </is>
      </c>
      <c r="H3209" t="inlineStr">
        <is>
          <t>R&amp;R TRANSPORTE E LOGISTICA</t>
        </is>
      </c>
      <c r="J3209" s="29" t="n">
        <v>2845.47</v>
      </c>
      <c r="K3209" s="29">
        <f>(1-ISNUMBER(SEARCH("556",M3209)))*(O3209*SUMIFS(Premissas!$C$5:$C$44,Premissas!$A$5:$A$44,$A3209,Premissas!$B$5:$B$44,$B3209)+P3209*SUMIFS(Premissas!$D$5:$D$44,Premissas!$A$5:$A$44,$A3209,Premissas!$B$5:$B$44,$B3209))+R3209*SUMIFS(Premissas!$E$5:$E$44,Premissas!$A$5:$A$44,$A3209,Premissas!$B$5:$B$44,$B3209)+S3209*SUMIFS(Premissas!$F$5:$F$44,Premissas!$A$5:$A$44,$A3209,Premissas!$B$5:$B$44,$B3209)</f>
        <v/>
      </c>
      <c r="L3209" s="29">
        <f>J3209-K3209</f>
        <v/>
      </c>
      <c r="M3209" t="inlineStr">
        <is>
          <t>1.350</t>
        </is>
      </c>
      <c r="N3209" t="inlineStr">
        <is>
          <t>Modalidade: 0 - Por conta do remetente | Parte: H B COMERCIO DE EMBALAGENS LTDA (05.488.166/0002-01)</t>
        </is>
      </c>
      <c r="O3209" s="29" t="n">
        <v>0</v>
      </c>
      <c r="P3209" s="29" t="n">
        <v>0</v>
      </c>
      <c r="Q3209" s="29" t="n">
        <v>0</v>
      </c>
      <c r="R3209" s="29" t="n">
        <v>0</v>
      </c>
      <c r="S3209" s="29" t="n">
        <v>0</v>
      </c>
      <c r="T3209" t="inlineStr">
        <is>
          <t>25260426975620000130570010000067721001201121</t>
        </is>
      </c>
      <c r="U3209" t="inlineStr">
        <is>
          <t>Não</t>
        </is>
      </c>
    </row>
    <row r="3210">
      <c r="A3210" t="inlineStr">
        <is>
          <t>Frete de venda</t>
        </is>
      </c>
      <c r="B3210" t="inlineStr">
        <is>
          <t>2.01.02 Frete sobre Vendas</t>
        </is>
      </c>
      <c r="C3210" s="30" t="n">
        <v>46113</v>
      </c>
      <c r="D3210" t="inlineStr">
        <is>
          <t>Em 2026</t>
        </is>
      </c>
      <c r="E3210" s="28" t="n">
        <v>46122</v>
      </c>
      <c r="F3210" t="inlineStr">
        <is>
          <t>CT-e</t>
        </is>
      </c>
      <c r="G3210" t="inlineStr">
        <is>
          <t>000006773</t>
        </is>
      </c>
      <c r="H3210" t="inlineStr">
        <is>
          <t>R&amp;R TRANSPORTE E LOGISTICA</t>
        </is>
      </c>
      <c r="J3210" s="29" t="n">
        <v>2848.05</v>
      </c>
      <c r="K3210" s="29">
        <f>(1-ISNUMBER(SEARCH("556",M3210)))*(O3210*SUMIFS(Premissas!$C$5:$C$44,Premissas!$A$5:$A$44,$A3210,Premissas!$B$5:$B$44,$B3210)+P3210*SUMIFS(Premissas!$D$5:$D$44,Premissas!$A$5:$A$44,$A3210,Premissas!$B$5:$B$44,$B3210))+R3210*SUMIFS(Premissas!$E$5:$E$44,Premissas!$A$5:$A$44,$A3210,Premissas!$B$5:$B$44,$B3210)+S3210*SUMIFS(Premissas!$F$5:$F$44,Premissas!$A$5:$A$44,$A3210,Premissas!$B$5:$B$44,$B3210)</f>
        <v/>
      </c>
      <c r="L3210" s="29">
        <f>J3210-K3210</f>
        <v/>
      </c>
      <c r="M3210" t="inlineStr">
        <is>
          <t>1.350</t>
        </is>
      </c>
      <c r="N3210" t="inlineStr">
        <is>
          <t>Modalidade: 0 - Por conta do remetente | Parte: BRAGA e BARCELOS LTDA (11.109.167/0003-73)</t>
        </is>
      </c>
      <c r="O3210" s="29" t="n">
        <v>0</v>
      </c>
      <c r="P3210" s="29" t="n">
        <v>0</v>
      </c>
      <c r="Q3210" s="29" t="n">
        <v>0</v>
      </c>
      <c r="R3210" s="29" t="n">
        <v>0</v>
      </c>
      <c r="S3210" s="29" t="n">
        <v>0</v>
      </c>
      <c r="T3210" t="inlineStr">
        <is>
          <t>25260426975620000130570010000067731011001203</t>
        </is>
      </c>
      <c r="U3210" t="inlineStr">
        <is>
          <t>Não</t>
        </is>
      </c>
    </row>
    <row r="3211">
      <c r="A3211" t="inlineStr">
        <is>
          <t>Frete de venda</t>
        </is>
      </c>
      <c r="B3211" t="inlineStr">
        <is>
          <t>2.01.02 Frete sobre Vendas</t>
        </is>
      </c>
      <c r="C3211" s="30" t="n">
        <v>46113</v>
      </c>
      <c r="D3211" t="inlineStr">
        <is>
          <t>Em 2026</t>
        </is>
      </c>
      <c r="E3211" s="28" t="n">
        <v>46123</v>
      </c>
      <c r="F3211" t="inlineStr">
        <is>
          <t>CT-e</t>
        </is>
      </c>
      <c r="G3211" t="inlineStr">
        <is>
          <t>000006779</t>
        </is>
      </c>
      <c r="H3211" t="inlineStr">
        <is>
          <t>R&amp;R TRANSPORTE E LOGISTICA</t>
        </is>
      </c>
      <c r="J3211" s="29" t="n">
        <v>960.59</v>
      </c>
      <c r="K3211" s="29">
        <f>(1-ISNUMBER(SEARCH("556",M3211)))*(O3211*SUMIFS(Premissas!$C$5:$C$44,Premissas!$A$5:$A$44,$A3211,Premissas!$B$5:$B$44,$B3211)+P3211*SUMIFS(Premissas!$D$5:$D$44,Premissas!$A$5:$A$44,$A3211,Premissas!$B$5:$B$44,$B3211))+R3211*SUMIFS(Premissas!$E$5:$E$44,Premissas!$A$5:$A$44,$A3211,Premissas!$B$5:$B$44,$B3211)+S3211*SUMIFS(Premissas!$F$5:$F$44,Premissas!$A$5:$A$44,$A3211,Premissas!$B$5:$B$44,$B3211)</f>
        <v/>
      </c>
      <c r="L3211" s="29">
        <f>J3211-K3211</f>
        <v/>
      </c>
      <c r="M3211" t="inlineStr">
        <is>
          <t>1.350</t>
        </is>
      </c>
      <c r="N3211" t="inlineStr">
        <is>
          <t>Modalidade: 0 - Por conta do remetente | Parte: P3 DESCARTAVEIS ATACADO e VAREJO LTDA (12.040.681/0001-09)</t>
        </is>
      </c>
      <c r="O3211" s="29" t="n">
        <v>0</v>
      </c>
      <c r="P3211" s="29" t="n">
        <v>0</v>
      </c>
      <c r="Q3211" s="29" t="n">
        <v>0</v>
      </c>
      <c r="R3211" s="29" t="n">
        <v>0</v>
      </c>
      <c r="S3211" s="29" t="n">
        <v>0</v>
      </c>
      <c r="T3211" t="inlineStr">
        <is>
          <t>25260426975620000130570010000067791001701508</t>
        </is>
      </c>
      <c r="U3211" t="inlineStr">
        <is>
          <t>Não</t>
        </is>
      </c>
    </row>
    <row r="3212">
      <c r="A3212" t="inlineStr">
        <is>
          <t>Frete de venda</t>
        </is>
      </c>
      <c r="B3212" t="inlineStr">
        <is>
          <t>2.01.02 Frete sobre Vendas</t>
        </is>
      </c>
      <c r="C3212" s="30" t="n">
        <v>46113</v>
      </c>
      <c r="D3212" t="inlineStr">
        <is>
          <t>Em 2026</t>
        </is>
      </c>
      <c r="E3212" s="28" t="n">
        <v>46123</v>
      </c>
      <c r="F3212" t="inlineStr">
        <is>
          <t>CT-e</t>
        </is>
      </c>
      <c r="G3212" t="inlineStr">
        <is>
          <t>000006780</t>
        </is>
      </c>
      <c r="H3212" t="inlineStr">
        <is>
          <t>R&amp;R TRANSPORTE E LOGISTICA</t>
        </is>
      </c>
      <c r="J3212" s="29" t="n">
        <v>975.12</v>
      </c>
      <c r="K3212" s="29">
        <f>(1-ISNUMBER(SEARCH("556",M3212)))*(O3212*SUMIFS(Premissas!$C$5:$C$44,Premissas!$A$5:$A$44,$A3212,Premissas!$B$5:$B$44,$B3212)+P3212*SUMIFS(Premissas!$D$5:$D$44,Premissas!$A$5:$A$44,$A3212,Premissas!$B$5:$B$44,$B3212))+R3212*SUMIFS(Premissas!$E$5:$E$44,Premissas!$A$5:$A$44,$A3212,Premissas!$B$5:$B$44,$B3212)+S3212*SUMIFS(Premissas!$F$5:$F$44,Premissas!$A$5:$A$44,$A3212,Premissas!$B$5:$B$44,$B3212)</f>
        <v/>
      </c>
      <c r="L3212" s="29">
        <f>J3212-K3212</f>
        <v/>
      </c>
      <c r="M3212" t="inlineStr">
        <is>
          <t>1.350</t>
        </is>
      </c>
      <c r="N3212" t="inlineStr">
        <is>
          <t>Modalidade: 0 - Por conta do remetente | Parte: D. R. B. DE J. MALAMAO LTDA (31.155.347/0001-37)</t>
        </is>
      </c>
      <c r="O3212" s="29" t="n">
        <v>0</v>
      </c>
      <c r="P3212" s="29" t="n">
        <v>0</v>
      </c>
      <c r="Q3212" s="29" t="n">
        <v>0</v>
      </c>
      <c r="R3212" s="29" t="n">
        <v>0</v>
      </c>
      <c r="S3212" s="29" t="n">
        <v>0</v>
      </c>
      <c r="T3212" t="inlineStr">
        <is>
          <t>25260426975620000130570010000067801001401580</t>
        </is>
      </c>
      <c r="U3212" t="inlineStr">
        <is>
          <t>Não</t>
        </is>
      </c>
    </row>
    <row r="3213">
      <c r="A3213" t="inlineStr">
        <is>
          <t>Frete de venda</t>
        </is>
      </c>
      <c r="B3213" t="inlineStr">
        <is>
          <t>2.01.02 Frete sobre Vendas</t>
        </is>
      </c>
      <c r="C3213" s="30" t="n">
        <v>46113</v>
      </c>
      <c r="D3213" t="inlineStr">
        <is>
          <t>Em 2026</t>
        </is>
      </c>
      <c r="E3213" s="28" t="n">
        <v>46123</v>
      </c>
      <c r="F3213" t="inlineStr">
        <is>
          <t>CT-e</t>
        </is>
      </c>
      <c r="G3213" t="inlineStr">
        <is>
          <t>000006781</t>
        </is>
      </c>
      <c r="H3213" t="inlineStr">
        <is>
          <t>R&amp;R TRANSPORTE E LOGISTICA</t>
        </is>
      </c>
      <c r="J3213" s="29" t="n">
        <v>965.04</v>
      </c>
      <c r="K3213" s="29">
        <f>(1-ISNUMBER(SEARCH("556",M3213)))*(O3213*SUMIFS(Premissas!$C$5:$C$44,Premissas!$A$5:$A$44,$A3213,Premissas!$B$5:$B$44,$B3213)+P3213*SUMIFS(Premissas!$D$5:$D$44,Premissas!$A$5:$A$44,$A3213,Premissas!$B$5:$B$44,$B3213))+R3213*SUMIFS(Premissas!$E$5:$E$44,Premissas!$A$5:$A$44,$A3213,Premissas!$B$5:$B$44,$B3213)+S3213*SUMIFS(Premissas!$F$5:$F$44,Premissas!$A$5:$A$44,$A3213,Premissas!$B$5:$B$44,$B3213)</f>
        <v/>
      </c>
      <c r="L3213" s="29">
        <f>J3213-K3213</f>
        <v/>
      </c>
      <c r="M3213" t="inlineStr">
        <is>
          <t>1.350</t>
        </is>
      </c>
      <c r="N3213" t="inlineStr">
        <is>
          <t>Modalidade: 0 - Por conta do remetente | Parte: R. VALE DOS SANTOS LTDA (21.585.699/0001-79)</t>
        </is>
      </c>
      <c r="O3213" s="29" t="n">
        <v>0</v>
      </c>
      <c r="P3213" s="29" t="n">
        <v>0</v>
      </c>
      <c r="Q3213" s="29" t="n">
        <v>0</v>
      </c>
      <c r="R3213" s="29" t="n">
        <v>0</v>
      </c>
      <c r="S3213" s="29" t="n">
        <v>0</v>
      </c>
      <c r="T3213" t="inlineStr">
        <is>
          <t>25260426975620000130570010000067811001101665</t>
        </is>
      </c>
      <c r="U3213" t="inlineStr">
        <is>
          <t>Não</t>
        </is>
      </c>
    </row>
    <row r="3214">
      <c r="A3214" t="inlineStr">
        <is>
          <t>Frete de venda</t>
        </is>
      </c>
      <c r="B3214" t="inlineStr">
        <is>
          <t>2.01.02 Frete sobre Vendas</t>
        </is>
      </c>
      <c r="C3214" s="30" t="n">
        <v>46113</v>
      </c>
      <c r="D3214" t="inlineStr">
        <is>
          <t>Em 2026</t>
        </is>
      </c>
      <c r="E3214" s="28" t="n">
        <v>46123</v>
      </c>
      <c r="F3214" t="inlineStr">
        <is>
          <t>CT-e</t>
        </is>
      </c>
      <c r="G3214" t="inlineStr">
        <is>
          <t>000006782</t>
        </is>
      </c>
      <c r="H3214" t="inlineStr">
        <is>
          <t>R&amp;R TRANSPORTE E LOGISTICA</t>
        </is>
      </c>
      <c r="J3214" s="29" t="n">
        <v>957.09</v>
      </c>
      <c r="K3214" s="29">
        <f>(1-ISNUMBER(SEARCH("556",M3214)))*(O3214*SUMIFS(Premissas!$C$5:$C$44,Premissas!$A$5:$A$44,$A3214,Premissas!$B$5:$B$44,$B3214)+P3214*SUMIFS(Premissas!$D$5:$D$44,Premissas!$A$5:$A$44,$A3214,Premissas!$B$5:$B$44,$B3214))+R3214*SUMIFS(Premissas!$E$5:$E$44,Premissas!$A$5:$A$44,$A3214,Premissas!$B$5:$B$44,$B3214)+S3214*SUMIFS(Premissas!$F$5:$F$44,Premissas!$A$5:$A$44,$A3214,Premissas!$B$5:$B$44,$B3214)</f>
        <v/>
      </c>
      <c r="L3214" s="29">
        <f>J3214-K3214</f>
        <v/>
      </c>
      <c r="M3214" t="inlineStr">
        <is>
          <t>1.350</t>
        </is>
      </c>
      <c r="N3214" t="inlineStr">
        <is>
          <t>Modalidade: 0 - Por conta do remetente | Parte: JF COMERCIO DE ALIMENTOS E DESCARTAVEIS LTDA. (53.349.159/0001-82)</t>
        </is>
      </c>
      <c r="O3214" s="29" t="n">
        <v>0</v>
      </c>
      <c r="P3214" s="29" t="n">
        <v>0</v>
      </c>
      <c r="Q3214" s="29" t="n">
        <v>0</v>
      </c>
      <c r="R3214" s="29" t="n">
        <v>0</v>
      </c>
      <c r="S3214" s="29" t="n">
        <v>0</v>
      </c>
      <c r="T3214" t="inlineStr">
        <is>
          <t>25260426975620000130570010000067821001901740</t>
        </is>
      </c>
      <c r="U3214" t="inlineStr">
        <is>
          <t>Não</t>
        </is>
      </c>
    </row>
    <row r="3215">
      <c r="A3215" t="inlineStr">
        <is>
          <t>Frete de venda</t>
        </is>
      </c>
      <c r="B3215" t="inlineStr">
        <is>
          <t>2.01.02 Frete sobre Vendas</t>
        </is>
      </c>
      <c r="C3215" s="30" t="n">
        <v>46113</v>
      </c>
      <c r="D3215" t="inlineStr">
        <is>
          <t>Em 2026</t>
        </is>
      </c>
      <c r="E3215" s="28" t="n">
        <v>46123</v>
      </c>
      <c r="F3215" t="inlineStr">
        <is>
          <t>CT-e</t>
        </is>
      </c>
      <c r="G3215" t="inlineStr">
        <is>
          <t>000006783</t>
        </is>
      </c>
      <c r="H3215" t="inlineStr">
        <is>
          <t>R&amp;R TRANSPORTE E LOGISTICA</t>
        </is>
      </c>
      <c r="J3215" s="29" t="n">
        <v>962.01</v>
      </c>
      <c r="K3215" s="29">
        <f>(1-ISNUMBER(SEARCH("556",M3215)))*(O3215*SUMIFS(Premissas!$C$5:$C$44,Premissas!$A$5:$A$44,$A3215,Premissas!$B$5:$B$44,$B3215)+P3215*SUMIFS(Premissas!$D$5:$D$44,Premissas!$A$5:$A$44,$A3215,Premissas!$B$5:$B$44,$B3215))+R3215*SUMIFS(Premissas!$E$5:$E$44,Premissas!$A$5:$A$44,$A3215,Premissas!$B$5:$B$44,$B3215)+S3215*SUMIFS(Premissas!$F$5:$F$44,Premissas!$A$5:$A$44,$A3215,Premissas!$B$5:$B$44,$B3215)</f>
        <v/>
      </c>
      <c r="L3215" s="29">
        <f>J3215-K3215</f>
        <v/>
      </c>
      <c r="M3215" t="inlineStr">
        <is>
          <t>1.350</t>
        </is>
      </c>
      <c r="N3215" t="inlineStr">
        <is>
          <t>Modalidade: 0 - Por conta do remetente | Parte: FAT GUYS HAMBURGERS BELEM LTDA (58.138.291/0001-69)</t>
        </is>
      </c>
      <c r="O3215" s="29" t="n">
        <v>0</v>
      </c>
      <c r="P3215" s="29" t="n">
        <v>0</v>
      </c>
      <c r="Q3215" s="29" t="n">
        <v>0</v>
      </c>
      <c r="R3215" s="29" t="n">
        <v>0</v>
      </c>
      <c r="S3215" s="29" t="n">
        <v>0</v>
      </c>
      <c r="T3215" t="inlineStr">
        <is>
          <t>25260426975620000130570010000067831001601824</t>
        </is>
      </c>
      <c r="U3215" t="inlineStr">
        <is>
          <t>Não</t>
        </is>
      </c>
    </row>
    <row r="3216">
      <c r="A3216" t="inlineStr">
        <is>
          <t>Frete de venda</t>
        </is>
      </c>
      <c r="B3216" t="inlineStr">
        <is>
          <t>2.01.02 Frete sobre Vendas</t>
        </is>
      </c>
      <c r="C3216" s="30" t="n">
        <v>46113</v>
      </c>
      <c r="D3216" t="inlineStr">
        <is>
          <t>Em 2026</t>
        </is>
      </c>
      <c r="E3216" s="28" t="n">
        <v>46123</v>
      </c>
      <c r="F3216" t="inlineStr">
        <is>
          <t>CT-e</t>
        </is>
      </c>
      <c r="G3216" t="inlineStr">
        <is>
          <t>000006784</t>
        </is>
      </c>
      <c r="H3216" t="inlineStr">
        <is>
          <t>R&amp;R TRANSPORTE E LOGISTICA</t>
        </is>
      </c>
      <c r="J3216" s="29" t="n">
        <v>957.72</v>
      </c>
      <c r="K3216" s="29">
        <f>(1-ISNUMBER(SEARCH("556",M3216)))*(O3216*SUMIFS(Premissas!$C$5:$C$44,Premissas!$A$5:$A$44,$A3216,Premissas!$B$5:$B$44,$B3216)+P3216*SUMIFS(Premissas!$D$5:$D$44,Premissas!$A$5:$A$44,$A3216,Premissas!$B$5:$B$44,$B3216))+R3216*SUMIFS(Premissas!$E$5:$E$44,Premissas!$A$5:$A$44,$A3216,Premissas!$B$5:$B$44,$B3216)+S3216*SUMIFS(Premissas!$F$5:$F$44,Premissas!$A$5:$A$44,$A3216,Premissas!$B$5:$B$44,$B3216)</f>
        <v/>
      </c>
      <c r="L3216" s="29">
        <f>J3216-K3216</f>
        <v/>
      </c>
      <c r="M3216" t="inlineStr">
        <is>
          <t>1.350</t>
        </is>
      </c>
      <c r="N3216" t="inlineStr">
        <is>
          <t>Modalidade: 0 - Por conta do remetente | Parte: S S BRAGA DAS ULTILIDADES LTDA (56.044.484/0001-25)</t>
        </is>
      </c>
      <c r="O3216" s="29" t="n">
        <v>0</v>
      </c>
      <c r="P3216" s="29" t="n">
        <v>0</v>
      </c>
      <c r="Q3216" s="29" t="n">
        <v>0</v>
      </c>
      <c r="R3216" s="29" t="n">
        <v>0</v>
      </c>
      <c r="S3216" s="29" t="n">
        <v>0</v>
      </c>
      <c r="T3216" t="inlineStr">
        <is>
          <t>25260426975620000130570010000067841001301909</t>
        </is>
      </c>
      <c r="U3216" t="inlineStr">
        <is>
          <t>Não</t>
        </is>
      </c>
    </row>
    <row r="3217">
      <c r="A3217" t="inlineStr">
        <is>
          <t>Frete de venda</t>
        </is>
      </c>
      <c r="B3217" t="inlineStr">
        <is>
          <t>2.01.02 Frete sobre Vendas</t>
        </is>
      </c>
      <c r="C3217" s="30" t="n">
        <v>46113</v>
      </c>
      <c r="D3217" t="inlineStr">
        <is>
          <t>Em 2026</t>
        </is>
      </c>
      <c r="E3217" s="28" t="n">
        <v>46123</v>
      </c>
      <c r="F3217" t="inlineStr">
        <is>
          <t>CT-e</t>
        </is>
      </c>
      <c r="G3217" t="inlineStr">
        <is>
          <t>000006785</t>
        </is>
      </c>
      <c r="H3217" t="inlineStr">
        <is>
          <t>R&amp;R TRANSPORTE E LOGISTICA</t>
        </is>
      </c>
      <c r="J3217" s="29" t="n">
        <v>960.76</v>
      </c>
      <c r="K3217" s="29">
        <f>(1-ISNUMBER(SEARCH("556",M3217)))*(O3217*SUMIFS(Premissas!$C$5:$C$44,Premissas!$A$5:$A$44,$A3217,Premissas!$B$5:$B$44,$B3217)+P3217*SUMIFS(Premissas!$D$5:$D$44,Premissas!$A$5:$A$44,$A3217,Premissas!$B$5:$B$44,$B3217))+R3217*SUMIFS(Premissas!$E$5:$E$44,Premissas!$A$5:$A$44,$A3217,Premissas!$B$5:$B$44,$B3217)+S3217*SUMIFS(Premissas!$F$5:$F$44,Premissas!$A$5:$A$44,$A3217,Premissas!$B$5:$B$44,$B3217)</f>
        <v/>
      </c>
      <c r="L3217" s="29">
        <f>J3217-K3217</f>
        <v/>
      </c>
      <c r="M3217" t="inlineStr">
        <is>
          <t>1.350</t>
        </is>
      </c>
      <c r="N3217" t="inlineStr">
        <is>
          <t>Modalidade: 0 - Por conta do remetente | Parte: QUERO EMBALAGENS COM DE EMBALAGENS EM GERAL LTDA (57.632.874/0001-89)</t>
        </is>
      </c>
      <c r="O3217" s="29" t="n">
        <v>0</v>
      </c>
      <c r="P3217" s="29" t="n">
        <v>0</v>
      </c>
      <c r="Q3217" s="29" t="n">
        <v>0</v>
      </c>
      <c r="R3217" s="29" t="n">
        <v>0</v>
      </c>
      <c r="S3217" s="29" t="n">
        <v>0</v>
      </c>
      <c r="T3217" t="inlineStr">
        <is>
          <t>25260426975620000130570010000067851001401250</t>
        </is>
      </c>
      <c r="U3217" t="inlineStr">
        <is>
          <t>Não</t>
        </is>
      </c>
    </row>
    <row r="3218">
      <c r="A3218" t="inlineStr">
        <is>
          <t>Frete de venda</t>
        </is>
      </c>
      <c r="B3218" t="inlineStr">
        <is>
          <t>2.01.02 Frete sobre Vendas</t>
        </is>
      </c>
      <c r="C3218" s="30" t="n">
        <v>46113</v>
      </c>
      <c r="D3218" t="inlineStr">
        <is>
          <t>Em 2026</t>
        </is>
      </c>
      <c r="E3218" s="28" t="n">
        <v>46123</v>
      </c>
      <c r="F3218" t="inlineStr">
        <is>
          <t>CT-e</t>
        </is>
      </c>
      <c r="G3218" t="inlineStr">
        <is>
          <t>000006786</t>
        </is>
      </c>
      <c r="H3218" t="inlineStr">
        <is>
          <t>R&amp;R TRANSPORTE E LOGISTICA</t>
        </is>
      </c>
      <c r="J3218" s="29" t="n">
        <v>958.6900000000001</v>
      </c>
      <c r="K3218" s="29">
        <f>(1-ISNUMBER(SEARCH("556",M3218)))*(O3218*SUMIFS(Premissas!$C$5:$C$44,Premissas!$A$5:$A$44,$A3218,Premissas!$B$5:$B$44,$B3218)+P3218*SUMIFS(Premissas!$D$5:$D$44,Premissas!$A$5:$A$44,$A3218,Premissas!$B$5:$B$44,$B3218))+R3218*SUMIFS(Premissas!$E$5:$E$44,Premissas!$A$5:$A$44,$A3218,Premissas!$B$5:$B$44,$B3218)+S3218*SUMIFS(Premissas!$F$5:$F$44,Premissas!$A$5:$A$44,$A3218,Premissas!$B$5:$B$44,$B3218)</f>
        <v/>
      </c>
      <c r="L3218" s="29">
        <f>J3218-K3218</f>
        <v/>
      </c>
      <c r="M3218" t="inlineStr">
        <is>
          <t>1.350</t>
        </is>
      </c>
      <c r="N3218" t="inlineStr">
        <is>
          <t>Modalidade: 0 - Por conta do remetente | Parte: DUARTE COMERCIO VAREJISTA LTDA (37.590.240/0001-01)</t>
        </is>
      </c>
      <c r="O3218" s="29" t="n">
        <v>0</v>
      </c>
      <c r="P3218" s="29" t="n">
        <v>0</v>
      </c>
      <c r="Q3218" s="29" t="n">
        <v>0</v>
      </c>
      <c r="R3218" s="29" t="n">
        <v>0</v>
      </c>
      <c r="S3218" s="29" t="n">
        <v>0</v>
      </c>
      <c r="T3218" t="inlineStr">
        <is>
          <t>25260426975620000130570010000067861001101335</t>
        </is>
      </c>
      <c r="U3218" t="inlineStr">
        <is>
          <t>Não</t>
        </is>
      </c>
    </row>
    <row r="3219">
      <c r="A3219" t="inlineStr">
        <is>
          <t>Frete de venda</t>
        </is>
      </c>
      <c r="B3219" t="inlineStr">
        <is>
          <t>2.01.02 Frete sobre Vendas</t>
        </is>
      </c>
      <c r="C3219" s="30" t="n">
        <v>46113</v>
      </c>
      <c r="D3219" t="inlineStr">
        <is>
          <t>Em 2026</t>
        </is>
      </c>
      <c r="E3219" s="28" t="n">
        <v>46123</v>
      </c>
      <c r="F3219" t="inlineStr">
        <is>
          <t>CT-e</t>
        </is>
      </c>
      <c r="G3219" t="inlineStr">
        <is>
          <t>000006787</t>
        </is>
      </c>
      <c r="H3219" t="inlineStr">
        <is>
          <t>R&amp;R TRANSPORTE E LOGISTICA</t>
        </is>
      </c>
      <c r="J3219" s="29" t="n">
        <v>959.24</v>
      </c>
      <c r="K3219" s="29">
        <f>(1-ISNUMBER(SEARCH("556",M3219)))*(O3219*SUMIFS(Premissas!$C$5:$C$44,Premissas!$A$5:$A$44,$A3219,Premissas!$B$5:$B$44,$B3219)+P3219*SUMIFS(Premissas!$D$5:$D$44,Premissas!$A$5:$A$44,$A3219,Premissas!$B$5:$B$44,$B3219))+R3219*SUMIFS(Premissas!$E$5:$E$44,Premissas!$A$5:$A$44,$A3219,Premissas!$B$5:$B$44,$B3219)+S3219*SUMIFS(Premissas!$F$5:$F$44,Premissas!$A$5:$A$44,$A3219,Premissas!$B$5:$B$44,$B3219)</f>
        <v/>
      </c>
      <c r="L3219" s="29">
        <f>J3219-K3219</f>
        <v/>
      </c>
      <c r="M3219" t="inlineStr">
        <is>
          <t>1.350</t>
        </is>
      </c>
      <c r="N3219" t="inlineStr">
        <is>
          <t>Modalidade: 0 - Por conta do remetente | Parte: A MOTA COMERCIO DE EMBALAGENS E REPRESENTACOES LTDA (52.274.765/0001-13)</t>
        </is>
      </c>
      <c r="O3219" s="29" t="n">
        <v>0</v>
      </c>
      <c r="P3219" s="29" t="n">
        <v>0</v>
      </c>
      <c r="Q3219" s="29" t="n">
        <v>0</v>
      </c>
      <c r="R3219" s="29" t="n">
        <v>0</v>
      </c>
      <c r="S3219" s="29" t="n">
        <v>0</v>
      </c>
      <c r="T3219" t="inlineStr">
        <is>
          <t>25260426975620000130570010000067871001901410</t>
        </is>
      </c>
      <c r="U3219" t="inlineStr">
        <is>
          <t>Não</t>
        </is>
      </c>
    </row>
    <row r="3220">
      <c r="A3220" t="inlineStr">
        <is>
          <t>Frete de venda</t>
        </is>
      </c>
      <c r="B3220" t="inlineStr">
        <is>
          <t>2.01.02 Frete sobre Vendas</t>
        </is>
      </c>
      <c r="C3220" s="30" t="n">
        <v>46113</v>
      </c>
      <c r="D3220" t="inlineStr">
        <is>
          <t>Em 2026</t>
        </is>
      </c>
      <c r="E3220" s="28" t="n">
        <v>46123</v>
      </c>
      <c r="F3220" t="inlineStr">
        <is>
          <t>CT-e</t>
        </is>
      </c>
      <c r="G3220" t="inlineStr">
        <is>
          <t>000006788</t>
        </is>
      </c>
      <c r="H3220" t="inlineStr">
        <is>
          <t>R&amp;R TRANSPORTE E LOGISTICA</t>
        </is>
      </c>
      <c r="J3220" s="29" t="n">
        <v>1024.92</v>
      </c>
      <c r="K3220" s="29">
        <f>(1-ISNUMBER(SEARCH("556",M3220)))*(O3220*SUMIFS(Premissas!$C$5:$C$44,Premissas!$A$5:$A$44,$A3220,Premissas!$B$5:$B$44,$B3220)+P3220*SUMIFS(Premissas!$D$5:$D$44,Premissas!$A$5:$A$44,$A3220,Premissas!$B$5:$B$44,$B3220))+R3220*SUMIFS(Premissas!$E$5:$E$44,Premissas!$A$5:$A$44,$A3220,Premissas!$B$5:$B$44,$B3220)+S3220*SUMIFS(Premissas!$F$5:$F$44,Premissas!$A$5:$A$44,$A3220,Premissas!$B$5:$B$44,$B3220)</f>
        <v/>
      </c>
      <c r="L3220" s="29">
        <f>J3220-K3220</f>
        <v/>
      </c>
      <c r="M3220" t="inlineStr">
        <is>
          <t>1.350</t>
        </is>
      </c>
      <c r="N3220" t="inlineStr">
        <is>
          <t>Modalidade: 0 - Por conta do remetente | Parte: PIAUI PLAST EIRELI (37.914.034/0001-00)</t>
        </is>
      </c>
      <c r="O3220" s="29" t="n">
        <v>0</v>
      </c>
      <c r="P3220" s="29" t="n">
        <v>0</v>
      </c>
      <c r="Q3220" s="29" t="n">
        <v>0</v>
      </c>
      <c r="R3220" s="29" t="n">
        <v>0</v>
      </c>
      <c r="S3220" s="29" t="n">
        <v>0</v>
      </c>
      <c r="T3220" t="inlineStr">
        <is>
          <t>25260426975620000130570010000067881001601499</t>
        </is>
      </c>
      <c r="U3220" t="inlineStr">
        <is>
          <t>Não</t>
        </is>
      </c>
    </row>
    <row r="3221">
      <c r="A3221" t="inlineStr">
        <is>
          <t>Frete de venda</t>
        </is>
      </c>
      <c r="B3221" t="inlineStr">
        <is>
          <t>2.01.02 Frete sobre Vendas</t>
        </is>
      </c>
      <c r="C3221" s="30" t="n">
        <v>46113</v>
      </c>
      <c r="D3221" t="inlineStr">
        <is>
          <t>Em 2026</t>
        </is>
      </c>
      <c r="E3221" s="28" t="n">
        <v>46123</v>
      </c>
      <c r="F3221" t="inlineStr">
        <is>
          <t>CT-e</t>
        </is>
      </c>
      <c r="G3221" t="inlineStr">
        <is>
          <t>000006789</t>
        </is>
      </c>
      <c r="H3221" t="inlineStr">
        <is>
          <t>R&amp;R TRANSPORTE E LOGISTICA</t>
        </is>
      </c>
      <c r="J3221" s="29" t="n">
        <v>979.73</v>
      </c>
      <c r="K3221" s="29">
        <f>(1-ISNUMBER(SEARCH("556",M3221)))*(O3221*SUMIFS(Premissas!$C$5:$C$44,Premissas!$A$5:$A$44,$A3221,Premissas!$B$5:$B$44,$B3221)+P3221*SUMIFS(Premissas!$D$5:$D$44,Premissas!$A$5:$A$44,$A3221,Premissas!$B$5:$B$44,$B3221))+R3221*SUMIFS(Premissas!$E$5:$E$44,Premissas!$A$5:$A$44,$A3221,Premissas!$B$5:$B$44,$B3221)+S3221*SUMIFS(Premissas!$F$5:$F$44,Premissas!$A$5:$A$44,$A3221,Premissas!$B$5:$B$44,$B3221)</f>
        <v/>
      </c>
      <c r="L3221" s="29">
        <f>J3221-K3221</f>
        <v/>
      </c>
      <c r="M3221" t="inlineStr">
        <is>
          <t>1.350</t>
        </is>
      </c>
      <c r="N3221" t="inlineStr">
        <is>
          <t>Modalidade: 0 - Por conta do remetente | Parte: R A DOS SANTOS BARBOSA LTDA (02.444.236/0001-42)</t>
        </is>
      </c>
      <c r="O3221" s="29" t="n">
        <v>0</v>
      </c>
      <c r="P3221" s="29" t="n">
        <v>0</v>
      </c>
      <c r="Q3221" s="29" t="n">
        <v>0</v>
      </c>
      <c r="R3221" s="29" t="n">
        <v>0</v>
      </c>
      <c r="S3221" s="29" t="n">
        <v>0</v>
      </c>
      <c r="T3221" t="inlineStr">
        <is>
          <t>25260426975620000130570010000067891001301573</t>
        </is>
      </c>
      <c r="U3221" t="inlineStr">
        <is>
          <t>Não</t>
        </is>
      </c>
    </row>
    <row r="3222">
      <c r="A3222" t="inlineStr">
        <is>
          <t>Frete de venda</t>
        </is>
      </c>
      <c r="B3222" t="inlineStr">
        <is>
          <t>2.01.02 Frete sobre Vendas</t>
        </is>
      </c>
      <c r="C3222" s="30" t="n">
        <v>46113</v>
      </c>
      <c r="D3222" t="inlineStr">
        <is>
          <t>Em 2026</t>
        </is>
      </c>
      <c r="E3222" s="28" t="n">
        <v>46123</v>
      </c>
      <c r="F3222" t="inlineStr">
        <is>
          <t>CT-e</t>
        </is>
      </c>
      <c r="G3222" t="inlineStr">
        <is>
          <t>000006790</t>
        </is>
      </c>
      <c r="H3222" t="inlineStr">
        <is>
          <t>R&amp;R TRANSPORTE E LOGISTICA</t>
        </is>
      </c>
      <c r="J3222" s="29" t="n">
        <v>969.3200000000001</v>
      </c>
      <c r="K3222" s="29">
        <f>(1-ISNUMBER(SEARCH("556",M3222)))*(O3222*SUMIFS(Premissas!$C$5:$C$44,Premissas!$A$5:$A$44,$A3222,Premissas!$B$5:$B$44,$B3222)+P3222*SUMIFS(Premissas!$D$5:$D$44,Premissas!$A$5:$A$44,$A3222,Premissas!$B$5:$B$44,$B3222))+R3222*SUMIFS(Premissas!$E$5:$E$44,Premissas!$A$5:$A$44,$A3222,Premissas!$B$5:$B$44,$B3222)+S3222*SUMIFS(Premissas!$F$5:$F$44,Premissas!$A$5:$A$44,$A3222,Premissas!$B$5:$B$44,$B3222)</f>
        <v/>
      </c>
      <c r="L3222" s="29">
        <f>J3222-K3222</f>
        <v/>
      </c>
      <c r="M3222" t="inlineStr">
        <is>
          <t>1.350</t>
        </is>
      </c>
      <c r="N3222" t="inlineStr">
        <is>
          <t>Modalidade: 0 - Por conta do remetente | Parte: HAPPY FESTAS LTDA (24.626.452/0001-41)</t>
        </is>
      </c>
      <c r="O3222" s="29" t="n">
        <v>0</v>
      </c>
      <c r="P3222" s="29" t="n">
        <v>0</v>
      </c>
      <c r="Q3222" s="29" t="n">
        <v>0</v>
      </c>
      <c r="R3222" s="29" t="n">
        <v>0</v>
      </c>
      <c r="S3222" s="29" t="n">
        <v>0</v>
      </c>
      <c r="T3222" t="inlineStr">
        <is>
          <t>25260426975620000130570010000067901000101652</t>
        </is>
      </c>
      <c r="U3222" t="inlineStr">
        <is>
          <t>Não</t>
        </is>
      </c>
    </row>
    <row r="3223">
      <c r="A3223" t="inlineStr">
        <is>
          <t>Frete de venda</t>
        </is>
      </c>
      <c r="B3223" t="inlineStr">
        <is>
          <t>2.01.02 Frete sobre Vendas</t>
        </is>
      </c>
      <c r="C3223" s="30" t="n">
        <v>46113</v>
      </c>
      <c r="D3223" t="inlineStr">
        <is>
          <t>Em 2026</t>
        </is>
      </c>
      <c r="E3223" s="28" t="n">
        <v>46123</v>
      </c>
      <c r="F3223" t="inlineStr">
        <is>
          <t>CT-e</t>
        </is>
      </c>
      <c r="G3223" t="inlineStr">
        <is>
          <t>000006791</t>
        </is>
      </c>
      <c r="H3223" t="inlineStr">
        <is>
          <t>R&amp;R TRANSPORTE E LOGISTICA</t>
        </is>
      </c>
      <c r="J3223" s="29" t="n">
        <v>977.28</v>
      </c>
      <c r="K3223" s="29">
        <f>(1-ISNUMBER(SEARCH("556",M3223)))*(O3223*SUMIFS(Premissas!$C$5:$C$44,Premissas!$A$5:$A$44,$A3223,Premissas!$B$5:$B$44,$B3223)+P3223*SUMIFS(Premissas!$D$5:$D$44,Premissas!$A$5:$A$44,$A3223,Premissas!$B$5:$B$44,$B3223))+R3223*SUMIFS(Premissas!$E$5:$E$44,Premissas!$A$5:$A$44,$A3223,Premissas!$B$5:$B$44,$B3223)+S3223*SUMIFS(Premissas!$F$5:$F$44,Premissas!$A$5:$A$44,$A3223,Premissas!$B$5:$B$44,$B3223)</f>
        <v/>
      </c>
      <c r="L3223" s="29">
        <f>J3223-K3223</f>
        <v/>
      </c>
      <c r="M3223" t="inlineStr">
        <is>
          <t>1.350</t>
        </is>
      </c>
      <c r="N3223" t="inlineStr">
        <is>
          <t>Modalidade: 0 - Por conta do remetente | Parte: B A FONTES LTDA (23.108.379/0001-53)</t>
        </is>
      </c>
      <c r="O3223" s="29" t="n">
        <v>0</v>
      </c>
      <c r="P3223" s="29" t="n">
        <v>0</v>
      </c>
      <c r="Q3223" s="29" t="n">
        <v>0</v>
      </c>
      <c r="R3223" s="29" t="n">
        <v>0</v>
      </c>
      <c r="S3223" s="29" t="n">
        <v>0</v>
      </c>
      <c r="T3223" t="inlineStr">
        <is>
          <t>25260426975620000130570010000067911001801736</t>
        </is>
      </c>
      <c r="U3223" t="inlineStr">
        <is>
          <t>Não</t>
        </is>
      </c>
    </row>
    <row r="3224">
      <c r="A3224" t="inlineStr">
        <is>
          <t>Frete de venda</t>
        </is>
      </c>
      <c r="B3224" t="inlineStr">
        <is>
          <t>2.01.02 Frete sobre Vendas</t>
        </is>
      </c>
      <c r="C3224" s="30" t="n">
        <v>46113</v>
      </c>
      <c r="D3224" t="inlineStr">
        <is>
          <t>Em 2026</t>
        </is>
      </c>
      <c r="E3224" s="28" t="n">
        <v>46123</v>
      </c>
      <c r="F3224" t="inlineStr">
        <is>
          <t>CT-e</t>
        </is>
      </c>
      <c r="G3224" t="inlineStr">
        <is>
          <t>000006792</t>
        </is>
      </c>
      <c r="H3224" t="inlineStr">
        <is>
          <t>R&amp;R TRANSPORTE E LOGISTICA</t>
        </is>
      </c>
      <c r="J3224" s="29" t="n">
        <v>1075.98</v>
      </c>
      <c r="K3224" s="29">
        <f>(1-ISNUMBER(SEARCH("556",M3224)))*(O3224*SUMIFS(Premissas!$C$5:$C$44,Premissas!$A$5:$A$44,$A3224,Premissas!$B$5:$B$44,$B3224)+P3224*SUMIFS(Premissas!$D$5:$D$44,Premissas!$A$5:$A$44,$A3224,Premissas!$B$5:$B$44,$B3224))+R3224*SUMIFS(Premissas!$E$5:$E$44,Premissas!$A$5:$A$44,$A3224,Premissas!$B$5:$B$44,$B3224)+S3224*SUMIFS(Premissas!$F$5:$F$44,Premissas!$A$5:$A$44,$A3224,Premissas!$B$5:$B$44,$B3224)</f>
        <v/>
      </c>
      <c r="L3224" s="29">
        <f>J3224-K3224</f>
        <v/>
      </c>
      <c r="M3224" t="inlineStr">
        <is>
          <t>1.350</t>
        </is>
      </c>
      <c r="N3224" t="inlineStr">
        <is>
          <t>Modalidade: 0 - Por conta do remetente | Parte: LIDER INDUSTRIA E COMERCIO LTDA (45.762.979/0001-73)</t>
        </is>
      </c>
      <c r="O3224" s="29" t="n">
        <v>0</v>
      </c>
      <c r="P3224" s="29" t="n">
        <v>0</v>
      </c>
      <c r="Q3224" s="29" t="n">
        <v>0</v>
      </c>
      <c r="R3224" s="29" t="n">
        <v>0</v>
      </c>
      <c r="S3224" s="29" t="n">
        <v>0</v>
      </c>
      <c r="T3224" t="inlineStr">
        <is>
          <t>25260426975620000130570010000067921001501810</t>
        </is>
      </c>
      <c r="U3224" t="inlineStr">
        <is>
          <t>Não</t>
        </is>
      </c>
    </row>
    <row r="3225">
      <c r="A3225" t="inlineStr">
        <is>
          <t>Frete de venda</t>
        </is>
      </c>
      <c r="B3225" t="inlineStr">
        <is>
          <t>2.01.02 Frete sobre Vendas</t>
        </is>
      </c>
      <c r="C3225" s="30" t="n">
        <v>46113</v>
      </c>
      <c r="D3225" t="inlineStr">
        <is>
          <t>Em 2026</t>
        </is>
      </c>
      <c r="E3225" s="28" t="n">
        <v>46123</v>
      </c>
      <c r="F3225" t="inlineStr">
        <is>
          <t>CT-e</t>
        </is>
      </c>
      <c r="G3225" t="inlineStr">
        <is>
          <t>000006793</t>
        </is>
      </c>
      <c r="H3225" t="inlineStr">
        <is>
          <t>R&amp;R TRANSPORTE E LOGISTICA</t>
        </is>
      </c>
      <c r="J3225" s="29" t="n">
        <v>963</v>
      </c>
      <c r="K3225" s="29">
        <f>(1-ISNUMBER(SEARCH("556",M3225)))*(O3225*SUMIFS(Premissas!$C$5:$C$44,Premissas!$A$5:$A$44,$A3225,Premissas!$B$5:$B$44,$B3225)+P3225*SUMIFS(Premissas!$D$5:$D$44,Premissas!$A$5:$A$44,$A3225,Premissas!$B$5:$B$44,$B3225))+R3225*SUMIFS(Premissas!$E$5:$E$44,Premissas!$A$5:$A$44,$A3225,Premissas!$B$5:$B$44,$B3225)+S3225*SUMIFS(Premissas!$F$5:$F$44,Premissas!$A$5:$A$44,$A3225,Premissas!$B$5:$B$44,$B3225)</f>
        <v/>
      </c>
      <c r="L3225" s="29">
        <f>J3225-K3225</f>
        <v/>
      </c>
      <c r="M3225" t="inlineStr">
        <is>
          <t>1.350</t>
        </is>
      </c>
      <c r="N3225" t="inlineStr">
        <is>
          <t>Modalidade: 0 - Por conta do remetente | Parte: L EMBALAGENS COMERCIO e DISTRIBUICAO LTDA (58.390.072/0001-72)</t>
        </is>
      </c>
      <c r="O3225" s="29" t="n">
        <v>0</v>
      </c>
      <c r="P3225" s="29" t="n">
        <v>0</v>
      </c>
      <c r="Q3225" s="29" t="n">
        <v>0</v>
      </c>
      <c r="R3225" s="29" t="n">
        <v>0</v>
      </c>
      <c r="S3225" s="29" t="n">
        <v>0</v>
      </c>
      <c r="T3225" t="inlineStr">
        <is>
          <t>25260426975620000130570010000067931001201890</t>
        </is>
      </c>
      <c r="U3225" t="inlineStr">
        <is>
          <t>Não</t>
        </is>
      </c>
    </row>
    <row r="3226">
      <c r="A3226" t="inlineStr">
        <is>
          <t>Frete de venda</t>
        </is>
      </c>
      <c r="B3226" t="inlineStr">
        <is>
          <t>2.01.02 Frete sobre Vendas</t>
        </is>
      </c>
      <c r="C3226" s="30" t="n">
        <v>46113</v>
      </c>
      <c r="D3226" t="inlineStr">
        <is>
          <t>Em 2026</t>
        </is>
      </c>
      <c r="E3226" s="28" t="n">
        <v>46123</v>
      </c>
      <c r="F3226" t="inlineStr">
        <is>
          <t>CT-e</t>
        </is>
      </c>
      <c r="G3226" t="inlineStr">
        <is>
          <t>000006794</t>
        </is>
      </c>
      <c r="H3226" t="inlineStr">
        <is>
          <t>R&amp;R TRANSPORTE E LOGISTICA</t>
        </is>
      </c>
      <c r="J3226" s="29" t="n">
        <v>750</v>
      </c>
      <c r="K3226" s="29">
        <f>(1-ISNUMBER(SEARCH("556",M3226)))*(O3226*SUMIFS(Premissas!$C$5:$C$44,Premissas!$A$5:$A$44,$A3226,Premissas!$B$5:$B$44,$B3226)+P3226*SUMIFS(Premissas!$D$5:$D$44,Premissas!$A$5:$A$44,$A3226,Premissas!$B$5:$B$44,$B3226))+R3226*SUMIFS(Premissas!$E$5:$E$44,Premissas!$A$5:$A$44,$A3226,Premissas!$B$5:$B$44,$B3226)+S3226*SUMIFS(Premissas!$F$5:$F$44,Premissas!$A$5:$A$44,$A3226,Premissas!$B$5:$B$44,$B3226)</f>
        <v/>
      </c>
      <c r="L3226" s="29">
        <f>J3226-K3226</f>
        <v/>
      </c>
      <c r="M3226" t="inlineStr">
        <is>
          <t>1.350</t>
        </is>
      </c>
      <c r="N3226" t="inlineStr">
        <is>
          <t>Modalidade: 0 - Por conta do remetente | Parte: PRONTO DISTRIBUIDORA LTDA (59.909.633/0001-60)</t>
        </is>
      </c>
      <c r="O3226" s="29" t="n">
        <v>0</v>
      </c>
      <c r="P3226" s="29" t="n">
        <v>0</v>
      </c>
      <c r="Q3226" s="29" t="n">
        <v>0</v>
      </c>
      <c r="R3226" s="29" t="n">
        <v>0</v>
      </c>
      <c r="S3226" s="29" t="n">
        <v>0</v>
      </c>
      <c r="T3226" t="inlineStr">
        <is>
          <t>25260426975620000130570010000067941011001971</t>
        </is>
      </c>
      <c r="U3226" t="inlineStr">
        <is>
          <t>Sim</t>
        </is>
      </c>
    </row>
    <row r="3227">
      <c r="A3227" t="inlineStr">
        <is>
          <t>Frete de venda</t>
        </is>
      </c>
      <c r="B3227" t="inlineStr">
        <is>
          <t>2.01.02 Frete sobre Vendas</t>
        </is>
      </c>
      <c r="C3227" s="30" t="n">
        <v>46113</v>
      </c>
      <c r="D3227" t="inlineStr">
        <is>
          <t>Em 2026</t>
        </is>
      </c>
      <c r="E3227" s="28" t="n">
        <v>46123</v>
      </c>
      <c r="F3227" t="inlineStr">
        <is>
          <t>CT-e</t>
        </is>
      </c>
      <c r="G3227" t="inlineStr">
        <is>
          <t>000006795</t>
        </is>
      </c>
      <c r="H3227" t="inlineStr">
        <is>
          <t>R&amp;R TRANSPORTE E LOGISTICA</t>
        </is>
      </c>
      <c r="J3227" s="29" t="n">
        <v>750</v>
      </c>
      <c r="K3227" s="29">
        <f>(1-ISNUMBER(SEARCH("556",M3227)))*(O3227*SUMIFS(Premissas!$C$5:$C$44,Premissas!$A$5:$A$44,$A3227,Premissas!$B$5:$B$44,$B3227)+P3227*SUMIFS(Premissas!$D$5:$D$44,Premissas!$A$5:$A$44,$A3227,Premissas!$B$5:$B$44,$B3227))+R3227*SUMIFS(Premissas!$E$5:$E$44,Premissas!$A$5:$A$44,$A3227,Premissas!$B$5:$B$44,$B3227)+S3227*SUMIFS(Premissas!$F$5:$F$44,Premissas!$A$5:$A$44,$A3227,Premissas!$B$5:$B$44,$B3227)</f>
        <v/>
      </c>
      <c r="L3227" s="29">
        <f>J3227-K3227</f>
        <v/>
      </c>
      <c r="M3227" t="inlineStr">
        <is>
          <t>1.350</t>
        </is>
      </c>
      <c r="N3227" t="inlineStr">
        <is>
          <t>Modalidade: 0 - Por conta do remetente | Parte: C M OLIVEIRA ATACADO (41.098.526/0001-33)</t>
        </is>
      </c>
      <c r="O3227" s="29" t="n">
        <v>0</v>
      </c>
      <c r="P3227" s="29" t="n">
        <v>0</v>
      </c>
      <c r="Q3227" s="29" t="n">
        <v>0</v>
      </c>
      <c r="R3227" s="29" t="n">
        <v>0</v>
      </c>
      <c r="S3227" s="29" t="n">
        <v>0</v>
      </c>
      <c r="T3227" t="inlineStr">
        <is>
          <t>25260426975620000130570010000067951000101322</t>
        </is>
      </c>
      <c r="U3227" t="inlineStr">
        <is>
          <t>Sim</t>
        </is>
      </c>
    </row>
    <row r="3228">
      <c r="A3228" t="inlineStr">
        <is>
          <t>Frete de venda</t>
        </is>
      </c>
      <c r="B3228" t="inlineStr">
        <is>
          <t>2.01.02 Frete sobre Vendas</t>
        </is>
      </c>
      <c r="C3228" s="30" t="n">
        <v>46113</v>
      </c>
      <c r="D3228" t="inlineStr">
        <is>
          <t>Em 2026</t>
        </is>
      </c>
      <c r="E3228" s="28" t="n">
        <v>46125</v>
      </c>
      <c r="F3228" t="inlineStr">
        <is>
          <t>CT-e</t>
        </is>
      </c>
      <c r="G3228" t="inlineStr">
        <is>
          <t>000006801</t>
        </is>
      </c>
      <c r="H3228" t="inlineStr">
        <is>
          <t>R&amp;R TRANSPORTE E LOGISTICA</t>
        </is>
      </c>
      <c r="J3228" s="29" t="n">
        <v>7521.5</v>
      </c>
      <c r="K3228" s="29">
        <f>(1-ISNUMBER(SEARCH("556",M3228)))*(O3228*SUMIFS(Premissas!$C$5:$C$44,Premissas!$A$5:$A$44,$A3228,Premissas!$B$5:$B$44,$B3228)+P3228*SUMIFS(Premissas!$D$5:$D$44,Premissas!$A$5:$A$44,$A3228,Premissas!$B$5:$B$44,$B3228))+R3228*SUMIFS(Premissas!$E$5:$E$44,Premissas!$A$5:$A$44,$A3228,Premissas!$B$5:$B$44,$B3228)+S3228*SUMIFS(Premissas!$F$5:$F$44,Premissas!$A$5:$A$44,$A3228,Premissas!$B$5:$B$44,$B3228)</f>
        <v/>
      </c>
      <c r="L3228" s="29">
        <f>J3228-K3228</f>
        <v/>
      </c>
      <c r="M3228" t="inlineStr">
        <is>
          <t>1.350</t>
        </is>
      </c>
      <c r="N3228" t="inlineStr">
        <is>
          <t>Modalidade: 0 - Por conta do remetente | Parte: DISTRIPACK DISTRIBUIDORA DE EMBALAGENS LTDA (11.043.375/0002-36)</t>
        </is>
      </c>
      <c r="O3228" s="29" t="n">
        <v>0</v>
      </c>
      <c r="P3228" s="29" t="n">
        <v>0</v>
      </c>
      <c r="Q3228" s="29" t="n">
        <v>0</v>
      </c>
      <c r="R3228" s="29" t="n">
        <v>0</v>
      </c>
      <c r="S3228" s="29" t="n">
        <v>0</v>
      </c>
      <c r="T3228" t="inlineStr">
        <is>
          <t>25260426975620000130570010000068011001401809</t>
        </is>
      </c>
      <c r="U3228" t="inlineStr">
        <is>
          <t>Não</t>
        </is>
      </c>
    </row>
    <row r="3229">
      <c r="A3229" t="inlineStr">
        <is>
          <t>Frete de venda</t>
        </is>
      </c>
      <c r="B3229" t="inlineStr">
        <is>
          <t>2.01.02 Frete sobre Vendas</t>
        </is>
      </c>
      <c r="C3229" s="30" t="n">
        <v>46113</v>
      </c>
      <c r="D3229" t="inlineStr">
        <is>
          <t>Em 2026</t>
        </is>
      </c>
      <c r="E3229" s="28" t="n">
        <v>46125</v>
      </c>
      <c r="F3229" t="inlineStr">
        <is>
          <t>CT-e</t>
        </is>
      </c>
      <c r="G3229" t="inlineStr">
        <is>
          <t>000006802</t>
        </is>
      </c>
      <c r="H3229" t="inlineStr">
        <is>
          <t>R&amp;R TRANSPORTE E LOGISTICA</t>
        </is>
      </c>
      <c r="J3229" s="29" t="n">
        <v>7521.5</v>
      </c>
      <c r="K3229" s="29">
        <f>(1-ISNUMBER(SEARCH("556",M3229)))*(O3229*SUMIFS(Premissas!$C$5:$C$44,Premissas!$A$5:$A$44,$A3229,Premissas!$B$5:$B$44,$B3229)+P3229*SUMIFS(Premissas!$D$5:$D$44,Premissas!$A$5:$A$44,$A3229,Premissas!$B$5:$B$44,$B3229))+R3229*SUMIFS(Premissas!$E$5:$E$44,Premissas!$A$5:$A$44,$A3229,Premissas!$B$5:$B$44,$B3229)+S3229*SUMIFS(Premissas!$F$5:$F$44,Premissas!$A$5:$A$44,$A3229,Premissas!$B$5:$B$44,$B3229)</f>
        <v/>
      </c>
      <c r="L3229" s="29">
        <f>J3229-K3229</f>
        <v/>
      </c>
      <c r="M3229" t="inlineStr">
        <is>
          <t>1.350</t>
        </is>
      </c>
      <c r="N3229" t="inlineStr">
        <is>
          <t>Modalidade: 0 - Por conta do remetente | Parte: DISTRIPACK DISTRIBUIDORA DE EMBALAGENS LTDA (11.043.375/0003-17)</t>
        </is>
      </c>
      <c r="O3229" s="29" t="n">
        <v>0</v>
      </c>
      <c r="P3229" s="29" t="n">
        <v>0</v>
      </c>
      <c r="Q3229" s="29" t="n">
        <v>0</v>
      </c>
      <c r="R3229" s="29" t="n">
        <v>0</v>
      </c>
      <c r="S3229" s="29" t="n">
        <v>0</v>
      </c>
      <c r="T3229" t="inlineStr">
        <is>
          <t>25260426975620000130570010000068021001101888</t>
        </is>
      </c>
      <c r="U3229" t="inlineStr">
        <is>
          <t>Não</t>
        </is>
      </c>
    </row>
    <row r="3230">
      <c r="A3230" t="inlineStr">
        <is>
          <t>Frete de venda</t>
        </is>
      </c>
      <c r="B3230" t="inlineStr">
        <is>
          <t>2.01.02 Frete sobre Vendas</t>
        </is>
      </c>
      <c r="C3230" s="30" t="n">
        <v>46113</v>
      </c>
      <c r="D3230" t="inlineStr">
        <is>
          <t>Em 2026</t>
        </is>
      </c>
      <c r="E3230" s="28" t="n">
        <v>46126</v>
      </c>
      <c r="F3230" t="inlineStr">
        <is>
          <t>CT-e</t>
        </is>
      </c>
      <c r="G3230" t="inlineStr">
        <is>
          <t>000006803</t>
        </is>
      </c>
      <c r="H3230" t="inlineStr">
        <is>
          <t>R&amp;R TRANSPORTE E LOGISTICA</t>
        </is>
      </c>
      <c r="J3230" s="29" t="n">
        <v>1020</v>
      </c>
      <c r="K3230" s="29">
        <f>(1-ISNUMBER(SEARCH("556",M3230)))*(O3230*SUMIFS(Premissas!$C$5:$C$44,Premissas!$A$5:$A$44,$A3230,Premissas!$B$5:$B$44,$B3230)+P3230*SUMIFS(Premissas!$D$5:$D$44,Premissas!$A$5:$A$44,$A3230,Premissas!$B$5:$B$44,$B3230))+R3230*SUMIFS(Premissas!$E$5:$E$44,Premissas!$A$5:$A$44,$A3230,Premissas!$B$5:$B$44,$B3230)+S3230*SUMIFS(Premissas!$F$5:$F$44,Premissas!$A$5:$A$44,$A3230,Premissas!$B$5:$B$44,$B3230)</f>
        <v/>
      </c>
      <c r="L3230" s="29">
        <f>J3230-K3230</f>
        <v/>
      </c>
      <c r="M3230" t="inlineStr">
        <is>
          <t>1.350</t>
        </is>
      </c>
      <c r="N3230" t="inlineStr">
        <is>
          <t>Modalidade: 0 - Por conta do remetente | Parte: C M OLIVEIRA ATACADO (41.098.526/0001-33)</t>
        </is>
      </c>
      <c r="O3230" s="29" t="n">
        <v>0</v>
      </c>
      <c r="P3230" s="29" t="n">
        <v>0</v>
      </c>
      <c r="Q3230" s="29" t="n">
        <v>0</v>
      </c>
      <c r="R3230" s="29" t="n">
        <v>0</v>
      </c>
      <c r="S3230" s="29" t="n">
        <v>0</v>
      </c>
      <c r="T3230" t="inlineStr">
        <is>
          <t>25260426975620000130570010000068031001401250</t>
        </is>
      </c>
      <c r="U3230" t="inlineStr">
        <is>
          <t>Sim</t>
        </is>
      </c>
    </row>
    <row r="3231">
      <c r="A3231" t="inlineStr">
        <is>
          <t>Frete de venda</t>
        </is>
      </c>
      <c r="B3231" t="inlineStr">
        <is>
          <t>2.01.02 Frete sobre Vendas</t>
        </is>
      </c>
      <c r="C3231" s="30" t="n">
        <v>46113</v>
      </c>
      <c r="D3231" t="inlineStr">
        <is>
          <t>Em 2026</t>
        </is>
      </c>
      <c r="E3231" s="28" t="n">
        <v>46127</v>
      </c>
      <c r="F3231" t="inlineStr">
        <is>
          <t>CT-e</t>
        </is>
      </c>
      <c r="G3231" t="inlineStr">
        <is>
          <t>000006804</t>
        </is>
      </c>
      <c r="H3231" t="inlineStr">
        <is>
          <t>R&amp;R TRANSPORTE E LOGISTICA</t>
        </is>
      </c>
      <c r="J3231" s="29" t="n">
        <v>12322.62</v>
      </c>
      <c r="K3231" s="29">
        <f>(1-ISNUMBER(SEARCH("556",M3231)))*(O3231*SUMIFS(Premissas!$C$5:$C$44,Premissas!$A$5:$A$44,$A3231,Premissas!$B$5:$B$44,$B3231)+P3231*SUMIFS(Premissas!$D$5:$D$44,Premissas!$A$5:$A$44,$A3231,Premissas!$B$5:$B$44,$B3231))+R3231*SUMIFS(Premissas!$E$5:$E$44,Premissas!$A$5:$A$44,$A3231,Premissas!$B$5:$B$44,$B3231)+S3231*SUMIFS(Premissas!$F$5:$F$44,Premissas!$A$5:$A$44,$A3231,Premissas!$B$5:$B$44,$B3231)</f>
        <v/>
      </c>
      <c r="L3231" s="29">
        <f>J3231-K3231</f>
        <v/>
      </c>
      <c r="M3231" t="inlineStr">
        <is>
          <t>1.350</t>
        </is>
      </c>
      <c r="N3231" t="inlineStr">
        <is>
          <t>Modalidade: 0 - Por conta do remetente | Parte: RFC COMERCIO DE MIUDEZAS LTDA (26.514.797/0004-81)</t>
        </is>
      </c>
      <c r="O3231" s="29" t="n">
        <v>0</v>
      </c>
      <c r="P3231" s="29" t="n">
        <v>0</v>
      </c>
      <c r="Q3231" s="29" t="n">
        <v>0</v>
      </c>
      <c r="R3231" s="29" t="n">
        <v>0</v>
      </c>
      <c r="S3231" s="29" t="n">
        <v>0</v>
      </c>
      <c r="T3231" t="inlineStr">
        <is>
          <t>25260426975620000130570010000068041001901412</t>
        </is>
      </c>
      <c r="U3231" t="inlineStr">
        <is>
          <t>Não</t>
        </is>
      </c>
    </row>
    <row r="3232">
      <c r="A3232" t="inlineStr">
        <is>
          <t>Frete de venda</t>
        </is>
      </c>
      <c r="B3232" t="inlineStr">
        <is>
          <t>2.01.02 Frete sobre Vendas</t>
        </is>
      </c>
      <c r="C3232" s="30" t="n">
        <v>46113</v>
      </c>
      <c r="D3232" t="inlineStr">
        <is>
          <t>Em 2026</t>
        </is>
      </c>
      <c r="E3232" s="28" t="n">
        <v>46128</v>
      </c>
      <c r="F3232" t="inlineStr">
        <is>
          <t>CT-e</t>
        </is>
      </c>
      <c r="G3232" t="inlineStr">
        <is>
          <t>000006809</t>
        </is>
      </c>
      <c r="H3232" t="inlineStr">
        <is>
          <t>R&amp;R TRANSPORTE E LOGISTICA</t>
        </is>
      </c>
      <c r="J3232" s="29" t="n">
        <v>62.1</v>
      </c>
      <c r="K3232" s="29">
        <f>(1-ISNUMBER(SEARCH("556",M3232)))*(O3232*SUMIFS(Premissas!$C$5:$C$44,Premissas!$A$5:$A$44,$A3232,Premissas!$B$5:$B$44,$B3232)+P3232*SUMIFS(Premissas!$D$5:$D$44,Premissas!$A$5:$A$44,$A3232,Premissas!$B$5:$B$44,$B3232))+R3232*SUMIFS(Premissas!$E$5:$E$44,Premissas!$A$5:$A$44,$A3232,Premissas!$B$5:$B$44,$B3232)+S3232*SUMIFS(Premissas!$F$5:$F$44,Premissas!$A$5:$A$44,$A3232,Premissas!$B$5:$B$44,$B3232)</f>
        <v/>
      </c>
      <c r="L3232" s="29">
        <f>J3232-K3232</f>
        <v/>
      </c>
      <c r="M3232" t="inlineStr">
        <is>
          <t>1.350</t>
        </is>
      </c>
      <c r="N3232" t="inlineStr">
        <is>
          <t>Modalidade: 0 - Por conta do remetente | Parte: JAMES L. H. TOME e CIA LTDA (16.965.024/0006-20)</t>
        </is>
      </c>
      <c r="O3232" s="29" t="n">
        <v>0</v>
      </c>
      <c r="P3232" s="29" t="n">
        <v>0</v>
      </c>
      <c r="Q3232" s="29" t="n">
        <v>0</v>
      </c>
      <c r="R3232" s="29" t="n">
        <v>0</v>
      </c>
      <c r="S3232" s="29" t="n">
        <v>0</v>
      </c>
      <c r="T3232" t="inlineStr">
        <is>
          <t>25260426975620000130570010000068091001201565</t>
        </is>
      </c>
      <c r="U3232" t="inlineStr">
        <is>
          <t>Não</t>
        </is>
      </c>
    </row>
    <row r="3233">
      <c r="A3233" t="inlineStr">
        <is>
          <t>Frete de venda</t>
        </is>
      </c>
      <c r="B3233" t="inlineStr">
        <is>
          <t>2.01.02 Frete sobre Vendas</t>
        </is>
      </c>
      <c r="C3233" s="30" t="n">
        <v>46113</v>
      </c>
      <c r="D3233" t="inlineStr">
        <is>
          <t>Em 2026</t>
        </is>
      </c>
      <c r="E3233" s="28" t="n">
        <v>46128</v>
      </c>
      <c r="F3233" t="inlineStr">
        <is>
          <t>CT-e</t>
        </is>
      </c>
      <c r="G3233" t="inlineStr">
        <is>
          <t>000006810</t>
        </is>
      </c>
      <c r="H3233" t="inlineStr">
        <is>
          <t>R&amp;R TRANSPORTE E LOGISTICA</t>
        </is>
      </c>
      <c r="J3233" s="29" t="n">
        <v>33.39</v>
      </c>
      <c r="K3233" s="29">
        <f>(1-ISNUMBER(SEARCH("556",M3233)))*(O3233*SUMIFS(Premissas!$C$5:$C$44,Premissas!$A$5:$A$44,$A3233,Premissas!$B$5:$B$44,$B3233)+P3233*SUMIFS(Premissas!$D$5:$D$44,Premissas!$A$5:$A$44,$A3233,Premissas!$B$5:$B$44,$B3233))+R3233*SUMIFS(Premissas!$E$5:$E$44,Premissas!$A$5:$A$44,$A3233,Premissas!$B$5:$B$44,$B3233)+S3233*SUMIFS(Premissas!$F$5:$F$44,Premissas!$A$5:$A$44,$A3233,Premissas!$B$5:$B$44,$B3233)</f>
        <v/>
      </c>
      <c r="L3233" s="29">
        <f>J3233-K3233</f>
        <v/>
      </c>
      <c r="M3233" t="inlineStr">
        <is>
          <t>1.350</t>
        </is>
      </c>
      <c r="N3233" t="inlineStr">
        <is>
          <t>Modalidade: 0 - Por conta do remetente | Parte: CAVALCANTE E LAGES LTDA (06.120.924/0001-08)</t>
        </is>
      </c>
      <c r="O3233" s="29" t="n">
        <v>0</v>
      </c>
      <c r="P3233" s="29" t="n">
        <v>0</v>
      </c>
      <c r="Q3233" s="29" t="n">
        <v>0</v>
      </c>
      <c r="R3233" s="29" t="n">
        <v>0</v>
      </c>
      <c r="S3233" s="29" t="n">
        <v>0</v>
      </c>
      <c r="T3233" t="inlineStr">
        <is>
          <t>25260426975620000130570010000068101011001640</t>
        </is>
      </c>
      <c r="U3233" t="inlineStr">
        <is>
          <t>Não</t>
        </is>
      </c>
    </row>
    <row r="3234">
      <c r="A3234" t="inlineStr">
        <is>
          <t>Frete de venda</t>
        </is>
      </c>
      <c r="B3234" t="inlineStr">
        <is>
          <t>2.01.02 Frete sobre Vendas</t>
        </is>
      </c>
      <c r="C3234" s="30" t="n">
        <v>46113</v>
      </c>
      <c r="D3234" t="inlineStr">
        <is>
          <t>Em 2026</t>
        </is>
      </c>
      <c r="E3234" s="28" t="n">
        <v>46128</v>
      </c>
      <c r="F3234" t="inlineStr">
        <is>
          <t>CT-e</t>
        </is>
      </c>
      <c r="G3234" t="inlineStr">
        <is>
          <t>000006811</t>
        </is>
      </c>
      <c r="H3234" t="inlineStr">
        <is>
          <t>R&amp;R TRANSPORTE E LOGISTICA</t>
        </is>
      </c>
      <c r="J3234" s="29" t="n">
        <v>54.63</v>
      </c>
      <c r="K3234" s="29">
        <f>(1-ISNUMBER(SEARCH("556",M3234)))*(O3234*SUMIFS(Premissas!$C$5:$C$44,Premissas!$A$5:$A$44,$A3234,Premissas!$B$5:$B$44,$B3234)+P3234*SUMIFS(Premissas!$D$5:$D$44,Premissas!$A$5:$A$44,$A3234,Premissas!$B$5:$B$44,$B3234))+R3234*SUMIFS(Premissas!$E$5:$E$44,Premissas!$A$5:$A$44,$A3234,Premissas!$B$5:$B$44,$B3234)+S3234*SUMIFS(Premissas!$F$5:$F$44,Premissas!$A$5:$A$44,$A3234,Premissas!$B$5:$B$44,$B3234)</f>
        <v/>
      </c>
      <c r="L3234" s="29">
        <f>J3234-K3234</f>
        <v/>
      </c>
      <c r="M3234" t="inlineStr">
        <is>
          <t>1.350</t>
        </is>
      </c>
      <c r="N3234" t="inlineStr">
        <is>
          <t>Modalidade: 0 - Por conta do remetente | Parte: PLASMAR COMERCIO DE PRODUTOS DESCARTAVEIS LTDA (09.354.922/0001-71)</t>
        </is>
      </c>
      <c r="O3234" s="29" t="n">
        <v>0</v>
      </c>
      <c r="P3234" s="29" t="n">
        <v>0</v>
      </c>
      <c r="Q3234" s="29" t="n">
        <v>0</v>
      </c>
      <c r="R3234" s="29" t="n">
        <v>0</v>
      </c>
      <c r="S3234" s="29" t="n">
        <v>0</v>
      </c>
      <c r="T3234" t="inlineStr">
        <is>
          <t>25260426975620000130570010000068111001701728</t>
        </is>
      </c>
      <c r="U3234" t="inlineStr">
        <is>
          <t>Não</t>
        </is>
      </c>
    </row>
    <row r="3235">
      <c r="A3235" t="inlineStr">
        <is>
          <t>Frete de venda</t>
        </is>
      </c>
      <c r="B3235" t="inlineStr">
        <is>
          <t>2.01.02 Frete sobre Vendas</t>
        </is>
      </c>
      <c r="C3235" s="30" t="n">
        <v>46113</v>
      </c>
      <c r="D3235" t="inlineStr">
        <is>
          <t>Em 2026</t>
        </is>
      </c>
      <c r="E3235" s="28" t="n">
        <v>46128</v>
      </c>
      <c r="F3235" t="inlineStr">
        <is>
          <t>CT-e</t>
        </is>
      </c>
      <c r="G3235" t="inlineStr">
        <is>
          <t>000006812</t>
        </is>
      </c>
      <c r="H3235" t="inlineStr">
        <is>
          <t>R&amp;R TRANSPORTE E LOGISTICA</t>
        </is>
      </c>
      <c r="J3235" s="29" t="n">
        <v>35.43</v>
      </c>
      <c r="K3235" s="29">
        <f>(1-ISNUMBER(SEARCH("556",M3235)))*(O3235*SUMIFS(Premissas!$C$5:$C$44,Premissas!$A$5:$A$44,$A3235,Premissas!$B$5:$B$44,$B3235)+P3235*SUMIFS(Premissas!$D$5:$D$44,Premissas!$A$5:$A$44,$A3235,Premissas!$B$5:$B$44,$B3235))+R3235*SUMIFS(Premissas!$E$5:$E$44,Premissas!$A$5:$A$44,$A3235,Premissas!$B$5:$B$44,$B3235)+S3235*SUMIFS(Premissas!$F$5:$F$44,Premissas!$A$5:$A$44,$A3235,Premissas!$B$5:$B$44,$B3235)</f>
        <v/>
      </c>
      <c r="L3235" s="29">
        <f>J3235-K3235</f>
        <v/>
      </c>
      <c r="M3235" t="inlineStr">
        <is>
          <t>1.350</t>
        </is>
      </c>
      <c r="N3235" t="inlineStr">
        <is>
          <t>Modalidade: 0 - Por conta do remetente | Parte: J. S. DA SILVA LTDA (00.393.164/0001-26)</t>
        </is>
      </c>
      <c r="O3235" s="29" t="n">
        <v>0</v>
      </c>
      <c r="P3235" s="29" t="n">
        <v>0</v>
      </c>
      <c r="Q3235" s="29" t="n">
        <v>0</v>
      </c>
      <c r="R3235" s="29" t="n">
        <v>0</v>
      </c>
      <c r="S3235" s="29" t="n">
        <v>0</v>
      </c>
      <c r="T3235" t="inlineStr">
        <is>
          <t>25260426975620000130570010000068121001401802</t>
        </is>
      </c>
      <c r="U3235" t="inlineStr">
        <is>
          <t>Não</t>
        </is>
      </c>
    </row>
    <row r="3236">
      <c r="A3236" t="inlineStr">
        <is>
          <t>Frete de venda</t>
        </is>
      </c>
      <c r="B3236" t="inlineStr">
        <is>
          <t>2.01.02 Frete sobre Vendas</t>
        </is>
      </c>
      <c r="C3236" s="30" t="n">
        <v>46113</v>
      </c>
      <c r="D3236" t="inlineStr">
        <is>
          <t>Em 2026</t>
        </is>
      </c>
      <c r="E3236" s="28" t="n">
        <v>46128</v>
      </c>
      <c r="F3236" t="inlineStr">
        <is>
          <t>CT-e</t>
        </is>
      </c>
      <c r="G3236" t="inlineStr">
        <is>
          <t>000006813</t>
        </is>
      </c>
      <c r="H3236" t="inlineStr">
        <is>
          <t>R&amp;R TRANSPORTE E LOGISTICA</t>
        </is>
      </c>
      <c r="J3236" s="29" t="n">
        <v>32.08</v>
      </c>
      <c r="K3236" s="29">
        <f>(1-ISNUMBER(SEARCH("556",M3236)))*(O3236*SUMIFS(Premissas!$C$5:$C$44,Premissas!$A$5:$A$44,$A3236,Premissas!$B$5:$B$44,$B3236)+P3236*SUMIFS(Premissas!$D$5:$D$44,Premissas!$A$5:$A$44,$A3236,Premissas!$B$5:$B$44,$B3236))+R3236*SUMIFS(Premissas!$E$5:$E$44,Premissas!$A$5:$A$44,$A3236,Premissas!$B$5:$B$44,$B3236)+S3236*SUMIFS(Premissas!$F$5:$F$44,Premissas!$A$5:$A$44,$A3236,Premissas!$B$5:$B$44,$B3236)</f>
        <v/>
      </c>
      <c r="L3236" s="29">
        <f>J3236-K3236</f>
        <v/>
      </c>
      <c r="M3236" t="inlineStr">
        <is>
          <t>1.350</t>
        </is>
      </c>
      <c r="N3236" t="inlineStr">
        <is>
          <t>Modalidade: 0 - Por conta do remetente | Parte: JAMES L. H. TOME e CIA LTDA (16.965.024/0003-87)</t>
        </is>
      </c>
      <c r="O3236" s="29" t="n">
        <v>0</v>
      </c>
      <c r="P3236" s="29" t="n">
        <v>0</v>
      </c>
      <c r="Q3236" s="29" t="n">
        <v>0</v>
      </c>
      <c r="R3236" s="29" t="n">
        <v>0</v>
      </c>
      <c r="S3236" s="29" t="n">
        <v>0</v>
      </c>
      <c r="T3236" t="inlineStr">
        <is>
          <t>25260426975620000130570010000068131001101881</t>
        </is>
      </c>
      <c r="U3236" t="inlineStr">
        <is>
          <t>Não</t>
        </is>
      </c>
    </row>
    <row r="3237">
      <c r="A3237" t="inlineStr">
        <is>
          <t>Frete de venda</t>
        </is>
      </c>
      <c r="B3237" t="inlineStr">
        <is>
          <t>2.01.02 Frete sobre Vendas</t>
        </is>
      </c>
      <c r="C3237" s="30" t="n">
        <v>46113</v>
      </c>
      <c r="D3237" t="inlineStr">
        <is>
          <t>Em 2026</t>
        </is>
      </c>
      <c r="E3237" s="28" t="n">
        <v>46128</v>
      </c>
      <c r="F3237" t="inlineStr">
        <is>
          <t>CT-e</t>
        </is>
      </c>
      <c r="G3237" t="inlineStr">
        <is>
          <t>000006814</t>
        </is>
      </c>
      <c r="H3237" t="inlineStr">
        <is>
          <t>R&amp;R TRANSPORTE E LOGISTICA</t>
        </is>
      </c>
      <c r="J3237" s="29" t="n">
        <v>46.08</v>
      </c>
      <c r="K3237" s="29">
        <f>(1-ISNUMBER(SEARCH("556",M3237)))*(O3237*SUMIFS(Premissas!$C$5:$C$44,Premissas!$A$5:$A$44,$A3237,Premissas!$B$5:$B$44,$B3237)+P3237*SUMIFS(Premissas!$D$5:$D$44,Premissas!$A$5:$A$44,$A3237,Premissas!$B$5:$B$44,$B3237))+R3237*SUMIFS(Premissas!$E$5:$E$44,Premissas!$A$5:$A$44,$A3237,Premissas!$B$5:$B$44,$B3237)+S3237*SUMIFS(Premissas!$F$5:$F$44,Premissas!$A$5:$A$44,$A3237,Premissas!$B$5:$B$44,$B3237)</f>
        <v/>
      </c>
      <c r="L3237" s="29">
        <f>J3237-K3237</f>
        <v/>
      </c>
      <c r="M3237" t="inlineStr">
        <is>
          <t>1.350</t>
        </is>
      </c>
      <c r="N3237" t="inlineStr">
        <is>
          <t>Modalidade: 0 - Por conta do remetente | Parte: PORTUGAL COMERCIO DE PRODUTOS DESCARTAVEIS LTDA (83.349.563/0001-17)</t>
        </is>
      </c>
      <c r="O3237" s="29" t="n">
        <v>0</v>
      </c>
      <c r="P3237" s="29" t="n">
        <v>0</v>
      </c>
      <c r="Q3237" s="29" t="n">
        <v>0</v>
      </c>
      <c r="R3237" s="29" t="n">
        <v>0</v>
      </c>
      <c r="S3237" s="29" t="n">
        <v>0</v>
      </c>
      <c r="T3237" t="inlineStr">
        <is>
          <t>25260426975620000130570010000068141001901966</t>
        </is>
      </c>
      <c r="U3237" t="inlineStr">
        <is>
          <t>Não</t>
        </is>
      </c>
    </row>
    <row r="3238">
      <c r="A3238" t="inlineStr">
        <is>
          <t>Frete de venda</t>
        </is>
      </c>
      <c r="B3238" t="inlineStr">
        <is>
          <t>2.01.02 Frete sobre Vendas</t>
        </is>
      </c>
      <c r="C3238" s="30" t="n">
        <v>46113</v>
      </c>
      <c r="D3238" t="inlineStr">
        <is>
          <t>Em 2026</t>
        </is>
      </c>
      <c r="E3238" s="28" t="n">
        <v>46128</v>
      </c>
      <c r="F3238" t="inlineStr">
        <is>
          <t>CT-e</t>
        </is>
      </c>
      <c r="G3238" t="inlineStr">
        <is>
          <t>000006815</t>
        </is>
      </c>
      <c r="H3238" t="inlineStr">
        <is>
          <t>R&amp;R TRANSPORTE E LOGISTICA</t>
        </is>
      </c>
      <c r="J3238" s="29" t="n">
        <v>62.22</v>
      </c>
      <c r="K3238" s="29">
        <f>(1-ISNUMBER(SEARCH("556",M3238)))*(O3238*SUMIFS(Premissas!$C$5:$C$44,Premissas!$A$5:$A$44,$A3238,Premissas!$B$5:$B$44,$B3238)+P3238*SUMIFS(Premissas!$D$5:$D$44,Premissas!$A$5:$A$44,$A3238,Premissas!$B$5:$B$44,$B3238))+R3238*SUMIFS(Premissas!$E$5:$E$44,Premissas!$A$5:$A$44,$A3238,Premissas!$B$5:$B$44,$B3238)+S3238*SUMIFS(Premissas!$F$5:$F$44,Premissas!$A$5:$A$44,$A3238,Premissas!$B$5:$B$44,$B3238)</f>
        <v/>
      </c>
      <c r="L3238" s="29">
        <f>J3238-K3238</f>
        <v/>
      </c>
      <c r="M3238" t="inlineStr">
        <is>
          <t>1.350</t>
        </is>
      </c>
      <c r="N3238" t="inlineStr">
        <is>
          <t>Modalidade: 0 - Por conta do remetente | Parte: NEW PLASTICOS DISTRIBUIDORA LTDA (38.438.642/0001-40)</t>
        </is>
      </c>
      <c r="O3238" s="29" t="n">
        <v>0</v>
      </c>
      <c r="P3238" s="29" t="n">
        <v>0</v>
      </c>
      <c r="Q3238" s="29" t="n">
        <v>0</v>
      </c>
      <c r="R3238" s="29" t="n">
        <v>0</v>
      </c>
      <c r="S3238" s="29" t="n">
        <v>0</v>
      </c>
      <c r="T3238" t="inlineStr">
        <is>
          <t>25260426975620000130570010000068151011001310</t>
        </is>
      </c>
      <c r="U3238" t="inlineStr">
        <is>
          <t>Não</t>
        </is>
      </c>
    </row>
    <row r="3239">
      <c r="A3239" t="inlineStr">
        <is>
          <t>Frete de venda</t>
        </is>
      </c>
      <c r="B3239" t="inlineStr">
        <is>
          <t>2.01.02 Frete sobre Vendas</t>
        </is>
      </c>
      <c r="C3239" s="30" t="n">
        <v>46113</v>
      </c>
      <c r="D3239" t="inlineStr">
        <is>
          <t>Em 2026</t>
        </is>
      </c>
      <c r="E3239" s="28" t="n">
        <v>46128</v>
      </c>
      <c r="F3239" t="inlineStr">
        <is>
          <t>CT-e</t>
        </is>
      </c>
      <c r="G3239" t="inlineStr">
        <is>
          <t>000006816</t>
        </is>
      </c>
      <c r="H3239" t="inlineStr">
        <is>
          <t>R&amp;R TRANSPORTE E LOGISTICA</t>
        </is>
      </c>
      <c r="J3239" s="29" t="n">
        <v>42.86</v>
      </c>
      <c r="K3239" s="29">
        <f>(1-ISNUMBER(SEARCH("556",M3239)))*(O3239*SUMIFS(Premissas!$C$5:$C$44,Premissas!$A$5:$A$44,$A3239,Premissas!$B$5:$B$44,$B3239)+P3239*SUMIFS(Premissas!$D$5:$D$44,Premissas!$A$5:$A$44,$A3239,Premissas!$B$5:$B$44,$B3239))+R3239*SUMIFS(Premissas!$E$5:$E$44,Premissas!$A$5:$A$44,$A3239,Premissas!$B$5:$B$44,$B3239)+S3239*SUMIFS(Premissas!$F$5:$F$44,Premissas!$A$5:$A$44,$A3239,Premissas!$B$5:$B$44,$B3239)</f>
        <v/>
      </c>
      <c r="L3239" s="29">
        <f>J3239-K3239</f>
        <v/>
      </c>
      <c r="M3239" t="inlineStr">
        <is>
          <t>1.350</t>
        </is>
      </c>
      <c r="N3239" t="inlineStr">
        <is>
          <t>Modalidade: 0 - Por conta do remetente | Parte: PORTUGAL COMERCIO DE PRODUTOS DESCARTAVEIS LTDA (83.349.563/0003-89)</t>
        </is>
      </c>
      <c r="O3239" s="29" t="n">
        <v>0</v>
      </c>
      <c r="P3239" s="29" t="n">
        <v>0</v>
      </c>
      <c r="Q3239" s="29" t="n">
        <v>0</v>
      </c>
      <c r="R3239" s="29" t="n">
        <v>0</v>
      </c>
      <c r="S3239" s="29" t="n">
        <v>0</v>
      </c>
      <c r="T3239" t="inlineStr">
        <is>
          <t>25260426975620000130570010000068161001701392</t>
        </is>
      </c>
      <c r="U3239" t="inlineStr">
        <is>
          <t>Não</t>
        </is>
      </c>
    </row>
    <row r="3240">
      <c r="A3240" t="inlineStr">
        <is>
          <t>Frete de venda</t>
        </is>
      </c>
      <c r="B3240" t="inlineStr">
        <is>
          <t>2.01.02 Frete sobre Vendas</t>
        </is>
      </c>
      <c r="C3240" s="30" t="n">
        <v>46113</v>
      </c>
      <c r="D3240" t="inlineStr">
        <is>
          <t>Em 2026</t>
        </is>
      </c>
      <c r="E3240" s="28" t="n">
        <v>46128</v>
      </c>
      <c r="F3240" t="inlineStr">
        <is>
          <t>CT-e</t>
        </is>
      </c>
      <c r="G3240" t="inlineStr">
        <is>
          <t>000006817</t>
        </is>
      </c>
      <c r="H3240" t="inlineStr">
        <is>
          <t>R&amp;R TRANSPORTE E LOGISTICA</t>
        </is>
      </c>
      <c r="J3240" s="29" t="n">
        <v>19.91</v>
      </c>
      <c r="K3240" s="29">
        <f>(1-ISNUMBER(SEARCH("556",M3240)))*(O3240*SUMIFS(Premissas!$C$5:$C$44,Premissas!$A$5:$A$44,$A3240,Premissas!$B$5:$B$44,$B3240)+P3240*SUMIFS(Premissas!$D$5:$D$44,Premissas!$A$5:$A$44,$A3240,Premissas!$B$5:$B$44,$B3240))+R3240*SUMIFS(Premissas!$E$5:$E$44,Premissas!$A$5:$A$44,$A3240,Premissas!$B$5:$B$44,$B3240)+S3240*SUMIFS(Premissas!$F$5:$F$44,Premissas!$A$5:$A$44,$A3240,Premissas!$B$5:$B$44,$B3240)</f>
        <v/>
      </c>
      <c r="L3240" s="29">
        <f>J3240-K3240</f>
        <v/>
      </c>
      <c r="M3240" t="inlineStr">
        <is>
          <t>1.350</t>
        </is>
      </c>
      <c r="N3240" t="inlineStr">
        <is>
          <t>Modalidade: 0 - Por conta do remetente | Parte: M. A. RABELO SARAIVA COMERCIO (17.580.120/0001-08)</t>
        </is>
      </c>
      <c r="O3240" s="29" t="n">
        <v>0</v>
      </c>
      <c r="P3240" s="29" t="n">
        <v>0</v>
      </c>
      <c r="Q3240" s="29" t="n">
        <v>0</v>
      </c>
      <c r="R3240" s="29" t="n">
        <v>0</v>
      </c>
      <c r="S3240" s="29" t="n">
        <v>0</v>
      </c>
      <c r="T3240" t="inlineStr">
        <is>
          <t>25260426975620000130570010000068171001401477</t>
        </is>
      </c>
      <c r="U3240" t="inlineStr">
        <is>
          <t>Não</t>
        </is>
      </c>
    </row>
    <row r="3241">
      <c r="A3241" t="inlineStr">
        <is>
          <t>Frete de venda</t>
        </is>
      </c>
      <c r="B3241" t="inlineStr">
        <is>
          <t>2.01.02 Frete sobre Vendas</t>
        </is>
      </c>
      <c r="C3241" s="30" t="n">
        <v>46113</v>
      </c>
      <c r="D3241" t="inlineStr">
        <is>
          <t>Em 2026</t>
        </is>
      </c>
      <c r="E3241" s="28" t="n">
        <v>46128</v>
      </c>
      <c r="F3241" t="inlineStr">
        <is>
          <t>CT-e</t>
        </is>
      </c>
      <c r="G3241" t="inlineStr">
        <is>
          <t>000006818</t>
        </is>
      </c>
      <c r="H3241" t="inlineStr">
        <is>
          <t>R&amp;R TRANSPORTE E LOGISTICA</t>
        </is>
      </c>
      <c r="J3241" s="29" t="n">
        <v>23.36</v>
      </c>
      <c r="K3241" s="29">
        <f>(1-ISNUMBER(SEARCH("556",M3241)))*(O3241*SUMIFS(Premissas!$C$5:$C$44,Premissas!$A$5:$A$44,$A3241,Premissas!$B$5:$B$44,$B3241)+P3241*SUMIFS(Premissas!$D$5:$D$44,Premissas!$A$5:$A$44,$A3241,Premissas!$B$5:$B$44,$B3241))+R3241*SUMIFS(Premissas!$E$5:$E$44,Premissas!$A$5:$A$44,$A3241,Premissas!$B$5:$B$44,$B3241)+S3241*SUMIFS(Premissas!$F$5:$F$44,Premissas!$A$5:$A$44,$A3241,Premissas!$B$5:$B$44,$B3241)</f>
        <v/>
      </c>
      <c r="L3241" s="29">
        <f>J3241-K3241</f>
        <v/>
      </c>
      <c r="M3241" t="inlineStr">
        <is>
          <t>1.350</t>
        </is>
      </c>
      <c r="N3241" t="inlineStr">
        <is>
          <t>Modalidade: 0 - Por conta do remetente | Parte: M. A. DE A. LIMA CARDOSO (34.425.813/0001-45)</t>
        </is>
      </c>
      <c r="O3241" s="29" t="n">
        <v>0</v>
      </c>
      <c r="P3241" s="29" t="n">
        <v>0</v>
      </c>
      <c r="Q3241" s="29" t="n">
        <v>0</v>
      </c>
      <c r="R3241" s="29" t="n">
        <v>0</v>
      </c>
      <c r="S3241" s="29" t="n">
        <v>0</v>
      </c>
      <c r="T3241" t="inlineStr">
        <is>
          <t>25260426975620000130570010000068181001101551</t>
        </is>
      </c>
      <c r="U3241" t="inlineStr">
        <is>
          <t>Não</t>
        </is>
      </c>
    </row>
    <row r="3242">
      <c r="A3242" t="inlineStr">
        <is>
          <t>Frete de venda</t>
        </is>
      </c>
      <c r="B3242" t="inlineStr">
        <is>
          <t>2.01.02 Frete sobre Vendas</t>
        </is>
      </c>
      <c r="C3242" s="30" t="n">
        <v>46113</v>
      </c>
      <c r="D3242" t="inlineStr">
        <is>
          <t>Em 2026</t>
        </is>
      </c>
      <c r="E3242" s="28" t="n">
        <v>46128</v>
      </c>
      <c r="F3242" t="inlineStr">
        <is>
          <t>CT-e</t>
        </is>
      </c>
      <c r="G3242" t="inlineStr">
        <is>
          <t>000006819</t>
        </is>
      </c>
      <c r="H3242" t="inlineStr">
        <is>
          <t>R&amp;R TRANSPORTE E LOGISTICA</t>
        </is>
      </c>
      <c r="J3242" s="29" t="n">
        <v>37.04</v>
      </c>
      <c r="K3242" s="29">
        <f>(1-ISNUMBER(SEARCH("556",M3242)))*(O3242*SUMIFS(Premissas!$C$5:$C$44,Premissas!$A$5:$A$44,$A3242,Premissas!$B$5:$B$44,$B3242)+P3242*SUMIFS(Premissas!$D$5:$D$44,Premissas!$A$5:$A$44,$A3242,Premissas!$B$5:$B$44,$B3242))+R3242*SUMIFS(Premissas!$E$5:$E$44,Premissas!$A$5:$A$44,$A3242,Premissas!$B$5:$B$44,$B3242)+S3242*SUMIFS(Premissas!$F$5:$F$44,Premissas!$A$5:$A$44,$A3242,Premissas!$B$5:$B$44,$B3242)</f>
        <v/>
      </c>
      <c r="L3242" s="29">
        <f>J3242-K3242</f>
        <v/>
      </c>
      <c r="M3242" t="inlineStr">
        <is>
          <t>1.350</t>
        </is>
      </c>
      <c r="N3242" t="inlineStr">
        <is>
          <t>Modalidade: 0 - Por conta do remetente | Parte: R ALBUQUERQUE COMERCIO DE ARTIGOS DE ARMARINHO LTDA (57.701.763/0001-87)</t>
        </is>
      </c>
      <c r="O3242" s="29" t="n">
        <v>0</v>
      </c>
      <c r="P3242" s="29" t="n">
        <v>0</v>
      </c>
      <c r="Q3242" s="29" t="n">
        <v>0</v>
      </c>
      <c r="R3242" s="29" t="n">
        <v>0</v>
      </c>
      <c r="S3242" s="29" t="n">
        <v>0</v>
      </c>
      <c r="T3242" t="inlineStr">
        <is>
          <t>25260426975620000130570010000068191001901636</t>
        </is>
      </c>
      <c r="U3242" t="inlineStr">
        <is>
          <t>Não</t>
        </is>
      </c>
    </row>
    <row r="3243">
      <c r="A3243" t="inlineStr">
        <is>
          <t>Frete de venda</t>
        </is>
      </c>
      <c r="B3243" t="inlineStr">
        <is>
          <t>2.01.02 Frete sobre Vendas</t>
        </is>
      </c>
      <c r="C3243" s="30" t="n">
        <v>46113</v>
      </c>
      <c r="D3243" t="inlineStr">
        <is>
          <t>Em 2026</t>
        </is>
      </c>
      <c r="E3243" s="28" t="n">
        <v>46128</v>
      </c>
      <c r="F3243" t="inlineStr">
        <is>
          <t>CT-e</t>
        </is>
      </c>
      <c r="G3243" t="inlineStr">
        <is>
          <t>000006820</t>
        </is>
      </c>
      <c r="H3243" t="inlineStr">
        <is>
          <t>R&amp;R TRANSPORTE E LOGISTICA</t>
        </is>
      </c>
      <c r="J3243" s="29" t="n">
        <v>53.48</v>
      </c>
      <c r="K3243" s="29">
        <f>(1-ISNUMBER(SEARCH("556",M3243)))*(O3243*SUMIFS(Premissas!$C$5:$C$44,Premissas!$A$5:$A$44,$A3243,Premissas!$B$5:$B$44,$B3243)+P3243*SUMIFS(Premissas!$D$5:$D$44,Premissas!$A$5:$A$44,$A3243,Premissas!$B$5:$B$44,$B3243))+R3243*SUMIFS(Premissas!$E$5:$E$44,Premissas!$A$5:$A$44,$A3243,Premissas!$B$5:$B$44,$B3243)+S3243*SUMIFS(Premissas!$F$5:$F$44,Premissas!$A$5:$A$44,$A3243,Premissas!$B$5:$B$44,$B3243)</f>
        <v/>
      </c>
      <c r="L3243" s="29">
        <f>J3243-K3243</f>
        <v/>
      </c>
      <c r="M3243" t="inlineStr">
        <is>
          <t>1.350</t>
        </is>
      </c>
      <c r="N3243" t="inlineStr">
        <is>
          <t>Modalidade: 0 - Por conta do remetente | Parte: JAMES L H TOME e CIA LTDA (16.965.024/0008-91)</t>
        </is>
      </c>
      <c r="O3243" s="29" t="n">
        <v>0</v>
      </c>
      <c r="P3243" s="29" t="n">
        <v>0</v>
      </c>
      <c r="Q3243" s="29" t="n">
        <v>0</v>
      </c>
      <c r="R3243" s="29" t="n">
        <v>0</v>
      </c>
      <c r="S3243" s="29" t="n">
        <v>0</v>
      </c>
      <c r="T3243" t="inlineStr">
        <is>
          <t>25260426975620000130570010000068201001601714</t>
        </is>
      </c>
      <c r="U3243" t="inlineStr">
        <is>
          <t>Não</t>
        </is>
      </c>
    </row>
    <row r="3244">
      <c r="A3244" t="inlineStr">
        <is>
          <t>Frete de venda</t>
        </is>
      </c>
      <c r="B3244" t="inlineStr">
        <is>
          <t>2.01.02 Frete sobre Vendas</t>
        </is>
      </c>
      <c r="C3244" s="30" t="n">
        <v>46113</v>
      </c>
      <c r="D3244" t="inlineStr">
        <is>
          <t>Em 2026</t>
        </is>
      </c>
      <c r="E3244" s="28" t="n">
        <v>46128</v>
      </c>
      <c r="F3244" t="inlineStr">
        <is>
          <t>CT-e</t>
        </is>
      </c>
      <c r="G3244" t="inlineStr">
        <is>
          <t>000006821</t>
        </is>
      </c>
      <c r="H3244" t="inlineStr">
        <is>
          <t>R&amp;R TRANSPORTE E LOGISTICA</t>
        </is>
      </c>
      <c r="J3244" s="29" t="n">
        <v>47.72</v>
      </c>
      <c r="K3244" s="29">
        <f>(1-ISNUMBER(SEARCH("556",M3244)))*(O3244*SUMIFS(Premissas!$C$5:$C$44,Premissas!$A$5:$A$44,$A3244,Premissas!$B$5:$B$44,$B3244)+P3244*SUMIFS(Premissas!$D$5:$D$44,Premissas!$A$5:$A$44,$A3244,Premissas!$B$5:$B$44,$B3244))+R3244*SUMIFS(Premissas!$E$5:$E$44,Premissas!$A$5:$A$44,$A3244,Premissas!$B$5:$B$44,$B3244)+S3244*SUMIFS(Premissas!$F$5:$F$44,Premissas!$A$5:$A$44,$A3244,Premissas!$B$5:$B$44,$B3244)</f>
        <v/>
      </c>
      <c r="L3244" s="29">
        <f>J3244-K3244</f>
        <v/>
      </c>
      <c r="M3244" t="inlineStr">
        <is>
          <t>1.350</t>
        </is>
      </c>
      <c r="N3244" t="inlineStr">
        <is>
          <t>Modalidade: 0 - Por conta do remetente | Parte: JAMES L. H. TOME e CIA LTDA (16.965.024/0007-00)</t>
        </is>
      </c>
      <c r="O3244" s="29" t="n">
        <v>0</v>
      </c>
      <c r="P3244" s="29" t="n">
        <v>0</v>
      </c>
      <c r="Q3244" s="29" t="n">
        <v>0</v>
      </c>
      <c r="R3244" s="29" t="n">
        <v>0</v>
      </c>
      <c r="S3244" s="29" t="n">
        <v>0</v>
      </c>
      <c r="T3244" t="inlineStr">
        <is>
          <t>25260426975620000130570010000068211001301793</t>
        </is>
      </c>
      <c r="U3244" t="inlineStr">
        <is>
          <t>Não</t>
        </is>
      </c>
    </row>
    <row r="3245">
      <c r="A3245" t="inlineStr">
        <is>
          <t>Frete de venda</t>
        </is>
      </c>
      <c r="B3245" t="inlineStr">
        <is>
          <t>2.01.02 Frete sobre Vendas</t>
        </is>
      </c>
      <c r="C3245" s="30" t="n">
        <v>46113</v>
      </c>
      <c r="D3245" t="inlineStr">
        <is>
          <t>Em 2026</t>
        </is>
      </c>
      <c r="E3245" s="28" t="n">
        <v>46128</v>
      </c>
      <c r="F3245" t="inlineStr">
        <is>
          <t>CT-e</t>
        </is>
      </c>
      <c r="G3245" t="inlineStr">
        <is>
          <t>000006822</t>
        </is>
      </c>
      <c r="H3245" t="inlineStr">
        <is>
          <t>R&amp;R TRANSPORTE E LOGISTICA</t>
        </is>
      </c>
      <c r="J3245" s="29" t="n">
        <v>120.57</v>
      </c>
      <c r="K3245" s="29">
        <f>(1-ISNUMBER(SEARCH("556",M3245)))*(O3245*SUMIFS(Premissas!$C$5:$C$44,Premissas!$A$5:$A$44,$A3245,Premissas!$B$5:$B$44,$B3245)+P3245*SUMIFS(Premissas!$D$5:$D$44,Premissas!$A$5:$A$44,$A3245,Premissas!$B$5:$B$44,$B3245))+R3245*SUMIFS(Premissas!$E$5:$E$44,Premissas!$A$5:$A$44,$A3245,Premissas!$B$5:$B$44,$B3245)+S3245*SUMIFS(Premissas!$F$5:$F$44,Premissas!$A$5:$A$44,$A3245,Premissas!$B$5:$B$44,$B3245)</f>
        <v/>
      </c>
      <c r="L3245" s="29">
        <f>J3245-K3245</f>
        <v/>
      </c>
      <c r="M3245" t="inlineStr">
        <is>
          <t>1.350</t>
        </is>
      </c>
      <c r="N3245" t="inlineStr">
        <is>
          <t>Modalidade: 0 - Por conta do remetente | Parte: JAMES L. H. TOME e CIA LTDA (16.965.024/0002-04)</t>
        </is>
      </c>
      <c r="O3245" s="29" t="n">
        <v>0</v>
      </c>
      <c r="P3245" s="29" t="n">
        <v>0</v>
      </c>
      <c r="Q3245" s="29" t="n">
        <v>0</v>
      </c>
      <c r="R3245" s="29" t="n">
        <v>0</v>
      </c>
      <c r="S3245" s="29" t="n">
        <v>0</v>
      </c>
      <c r="T3245" t="inlineStr">
        <is>
          <t>25260426975620000130570010000068221000101879</t>
        </is>
      </c>
      <c r="U3245" t="inlineStr">
        <is>
          <t>Não</t>
        </is>
      </c>
    </row>
    <row r="3246">
      <c r="A3246" t="inlineStr">
        <is>
          <t>Frete de venda</t>
        </is>
      </c>
      <c r="B3246" t="inlineStr">
        <is>
          <t>2.01.02 Frete sobre Vendas</t>
        </is>
      </c>
      <c r="C3246" s="30" t="n">
        <v>46113</v>
      </c>
      <c r="D3246" t="inlineStr">
        <is>
          <t>Em 2026</t>
        </is>
      </c>
      <c r="E3246" s="28" t="n">
        <v>46128</v>
      </c>
      <c r="F3246" t="inlineStr">
        <is>
          <t>CT-e</t>
        </is>
      </c>
      <c r="G3246" t="inlineStr">
        <is>
          <t>000006823</t>
        </is>
      </c>
      <c r="H3246" t="inlineStr">
        <is>
          <t>R&amp;R TRANSPORTE E LOGISTICA</t>
        </is>
      </c>
      <c r="J3246" s="29" t="n">
        <v>27.83</v>
      </c>
      <c r="K3246" s="29">
        <f>(1-ISNUMBER(SEARCH("556",M3246)))*(O3246*SUMIFS(Premissas!$C$5:$C$44,Premissas!$A$5:$A$44,$A3246,Premissas!$B$5:$B$44,$B3246)+P3246*SUMIFS(Premissas!$D$5:$D$44,Premissas!$A$5:$A$44,$A3246,Premissas!$B$5:$B$44,$B3246))+R3246*SUMIFS(Premissas!$E$5:$E$44,Premissas!$A$5:$A$44,$A3246,Premissas!$B$5:$B$44,$B3246)+S3246*SUMIFS(Premissas!$F$5:$F$44,Premissas!$A$5:$A$44,$A3246,Premissas!$B$5:$B$44,$B3246)</f>
        <v/>
      </c>
      <c r="L3246" s="29">
        <f>J3246-K3246</f>
        <v/>
      </c>
      <c r="M3246" t="inlineStr">
        <is>
          <t>1.350</t>
        </is>
      </c>
      <c r="N3246" t="inlineStr">
        <is>
          <t>Modalidade: 0 - Por conta do remetente | Parte: JAMES L. H. TOME e CIA LTDA (16.965.024/0011-97)</t>
        </is>
      </c>
      <c r="O3246" s="29" t="n">
        <v>0</v>
      </c>
      <c r="P3246" s="29" t="n">
        <v>0</v>
      </c>
      <c r="Q3246" s="29" t="n">
        <v>0</v>
      </c>
      <c r="R3246" s="29" t="n">
        <v>0</v>
      </c>
      <c r="S3246" s="29" t="n">
        <v>0</v>
      </c>
      <c r="T3246" t="inlineStr">
        <is>
          <t>25260426975620000130570010000068231001801952</t>
        </is>
      </c>
      <c r="U3246" t="inlineStr">
        <is>
          <t>Não</t>
        </is>
      </c>
    </row>
    <row r="3247">
      <c r="A3247" t="inlineStr">
        <is>
          <t>Frete de venda</t>
        </is>
      </c>
      <c r="B3247" t="inlineStr">
        <is>
          <t>2.01.02 Frete sobre Vendas</t>
        </is>
      </c>
      <c r="C3247" s="30" t="n">
        <v>46113</v>
      </c>
      <c r="D3247" t="inlineStr">
        <is>
          <t>Em 2026</t>
        </is>
      </c>
      <c r="E3247" s="28" t="n">
        <v>46128</v>
      </c>
      <c r="F3247" t="inlineStr">
        <is>
          <t>CT-e</t>
        </is>
      </c>
      <c r="G3247" t="inlineStr">
        <is>
          <t>000006824</t>
        </is>
      </c>
      <c r="H3247" t="inlineStr">
        <is>
          <t>R&amp;R TRANSPORTE E LOGISTICA</t>
        </is>
      </c>
      <c r="J3247" s="29" t="n">
        <v>80.48999999999999</v>
      </c>
      <c r="K3247" s="29">
        <f>(1-ISNUMBER(SEARCH("556",M3247)))*(O3247*SUMIFS(Premissas!$C$5:$C$44,Premissas!$A$5:$A$44,$A3247,Premissas!$B$5:$B$44,$B3247)+P3247*SUMIFS(Premissas!$D$5:$D$44,Premissas!$A$5:$A$44,$A3247,Premissas!$B$5:$B$44,$B3247))+R3247*SUMIFS(Premissas!$E$5:$E$44,Premissas!$A$5:$A$44,$A3247,Premissas!$B$5:$B$44,$B3247)+S3247*SUMIFS(Premissas!$F$5:$F$44,Premissas!$A$5:$A$44,$A3247,Premissas!$B$5:$B$44,$B3247)</f>
        <v/>
      </c>
      <c r="L3247" s="29">
        <f>J3247-K3247</f>
        <v/>
      </c>
      <c r="M3247" t="inlineStr">
        <is>
          <t>1.350</t>
        </is>
      </c>
      <c r="N3247" t="inlineStr">
        <is>
          <t>Modalidade: 0 - Por conta do remetente | Parte: JAMES L. H. TOME e CIA LTDA (16.965.024/0001-15)</t>
        </is>
      </c>
      <c r="O3247" s="29" t="n">
        <v>0</v>
      </c>
      <c r="P3247" s="29" t="n">
        <v>0</v>
      </c>
      <c r="Q3247" s="29" t="n">
        <v>0</v>
      </c>
      <c r="R3247" s="29" t="n">
        <v>0</v>
      </c>
      <c r="S3247" s="29" t="n">
        <v>0</v>
      </c>
      <c r="T3247" t="inlineStr">
        <is>
          <t>25260426975620000130570010000068241001502030</t>
        </is>
      </c>
      <c r="U3247" t="inlineStr">
        <is>
          <t>Não</t>
        </is>
      </c>
    </row>
    <row r="3248">
      <c r="A3248" t="inlineStr">
        <is>
          <t>Frete de venda</t>
        </is>
      </c>
      <c r="B3248" t="inlineStr">
        <is>
          <t>2.01.02 Frete sobre Vendas</t>
        </is>
      </c>
      <c r="C3248" s="30" t="n">
        <v>46113</v>
      </c>
      <c r="D3248" t="inlineStr">
        <is>
          <t>Em 2026</t>
        </is>
      </c>
      <c r="E3248" s="28" t="n">
        <v>46128</v>
      </c>
      <c r="F3248" t="inlineStr">
        <is>
          <t>CT-e</t>
        </is>
      </c>
      <c r="G3248" t="inlineStr">
        <is>
          <t>000006825</t>
        </is>
      </c>
      <c r="H3248" t="inlineStr">
        <is>
          <t>R&amp;R TRANSPORTE E LOGISTICA</t>
        </is>
      </c>
      <c r="J3248" s="29" t="n">
        <v>45.63</v>
      </c>
      <c r="K3248" s="29">
        <f>(1-ISNUMBER(SEARCH("556",M3248)))*(O3248*SUMIFS(Premissas!$C$5:$C$44,Premissas!$A$5:$A$44,$A3248,Premissas!$B$5:$B$44,$B3248)+P3248*SUMIFS(Premissas!$D$5:$D$44,Premissas!$A$5:$A$44,$A3248,Premissas!$B$5:$B$44,$B3248))+R3248*SUMIFS(Premissas!$E$5:$E$44,Premissas!$A$5:$A$44,$A3248,Premissas!$B$5:$B$44,$B3248)+S3248*SUMIFS(Premissas!$F$5:$F$44,Premissas!$A$5:$A$44,$A3248,Premissas!$B$5:$B$44,$B3248)</f>
        <v/>
      </c>
      <c r="L3248" s="29">
        <f>J3248-K3248</f>
        <v/>
      </c>
      <c r="M3248" t="inlineStr">
        <is>
          <t>1.350</t>
        </is>
      </c>
      <c r="N3248" t="inlineStr">
        <is>
          <t>Modalidade: 0 - Por conta do remetente | Parte: FTL ALIMENTOS LTDA (62.137.689/0001-58)</t>
        </is>
      </c>
      <c r="O3248" s="29" t="n">
        <v>0</v>
      </c>
      <c r="P3248" s="29" t="n">
        <v>0</v>
      </c>
      <c r="Q3248" s="29" t="n">
        <v>0</v>
      </c>
      <c r="R3248" s="29" t="n">
        <v>0</v>
      </c>
      <c r="S3248" s="29" t="n">
        <v>0</v>
      </c>
      <c r="T3248" t="inlineStr">
        <is>
          <t>25260426975620000130570010000068251001601389</t>
        </is>
      </c>
      <c r="U3248" t="inlineStr">
        <is>
          <t>Não</t>
        </is>
      </c>
    </row>
    <row r="3249">
      <c r="A3249" t="inlineStr">
        <is>
          <t>Frete de venda</t>
        </is>
      </c>
      <c r="B3249" t="inlineStr">
        <is>
          <t>2.01.02 Frete sobre Vendas</t>
        </is>
      </c>
      <c r="C3249" s="30" t="n">
        <v>46113</v>
      </c>
      <c r="D3249" t="inlineStr">
        <is>
          <t>Em 2026</t>
        </is>
      </c>
      <c r="E3249" s="28" t="n">
        <v>46128</v>
      </c>
      <c r="F3249" t="inlineStr">
        <is>
          <t>CT-e</t>
        </is>
      </c>
      <c r="G3249" t="inlineStr">
        <is>
          <t>000006826</t>
        </is>
      </c>
      <c r="H3249" t="inlineStr">
        <is>
          <t>R&amp;R TRANSPORTE E LOGISTICA</t>
        </is>
      </c>
      <c r="J3249" s="29" t="n">
        <v>56.9</v>
      </c>
      <c r="K3249" s="29">
        <f>(1-ISNUMBER(SEARCH("556",M3249)))*(O3249*SUMIFS(Premissas!$C$5:$C$44,Premissas!$A$5:$A$44,$A3249,Premissas!$B$5:$B$44,$B3249)+P3249*SUMIFS(Premissas!$D$5:$D$44,Premissas!$A$5:$A$44,$A3249,Premissas!$B$5:$B$44,$B3249))+R3249*SUMIFS(Premissas!$E$5:$E$44,Premissas!$A$5:$A$44,$A3249,Premissas!$B$5:$B$44,$B3249)+S3249*SUMIFS(Premissas!$F$5:$F$44,Premissas!$A$5:$A$44,$A3249,Premissas!$B$5:$B$44,$B3249)</f>
        <v/>
      </c>
      <c r="L3249" s="29">
        <f>J3249-K3249</f>
        <v/>
      </c>
      <c r="M3249" t="inlineStr">
        <is>
          <t>1.350</t>
        </is>
      </c>
      <c r="N3249" t="inlineStr">
        <is>
          <t>Modalidade: 0 - Por conta do remetente | Parte: CANTINHO DISTRIBUIDORA LTDA (44.016.976/0001-28)</t>
        </is>
      </c>
      <c r="O3249" s="29" t="n">
        <v>0</v>
      </c>
      <c r="P3249" s="29" t="n">
        <v>0</v>
      </c>
      <c r="Q3249" s="29" t="n">
        <v>0</v>
      </c>
      <c r="R3249" s="29" t="n">
        <v>0</v>
      </c>
      <c r="S3249" s="29" t="n">
        <v>0</v>
      </c>
      <c r="T3249" t="inlineStr">
        <is>
          <t>25260426975620000130570010000068261001301463</t>
        </is>
      </c>
      <c r="U3249" t="inlineStr">
        <is>
          <t>Não</t>
        </is>
      </c>
    </row>
    <row r="3250">
      <c r="A3250" t="inlineStr">
        <is>
          <t>Frete de venda</t>
        </is>
      </c>
      <c r="B3250" t="inlineStr">
        <is>
          <t>2.01.02 Frete sobre Vendas</t>
        </is>
      </c>
      <c r="C3250" s="30" t="n">
        <v>46113</v>
      </c>
      <c r="D3250" t="inlineStr">
        <is>
          <t>Em 2026</t>
        </is>
      </c>
      <c r="E3250" s="28" t="n">
        <v>46128</v>
      </c>
      <c r="F3250" t="inlineStr">
        <is>
          <t>CT-e</t>
        </is>
      </c>
      <c r="G3250" t="inlineStr">
        <is>
          <t>000006827</t>
        </is>
      </c>
      <c r="H3250" t="inlineStr">
        <is>
          <t>R&amp;R TRANSPORTE E LOGISTICA</t>
        </is>
      </c>
      <c r="J3250" s="29" t="n">
        <v>46.06</v>
      </c>
      <c r="K3250" s="29">
        <f>(1-ISNUMBER(SEARCH("556",M3250)))*(O3250*SUMIFS(Premissas!$C$5:$C$44,Premissas!$A$5:$A$44,$A3250,Premissas!$B$5:$B$44,$B3250)+P3250*SUMIFS(Premissas!$D$5:$D$44,Premissas!$A$5:$A$44,$A3250,Premissas!$B$5:$B$44,$B3250))+R3250*SUMIFS(Premissas!$E$5:$E$44,Premissas!$A$5:$A$44,$A3250,Premissas!$B$5:$B$44,$B3250)+S3250*SUMIFS(Premissas!$F$5:$F$44,Premissas!$A$5:$A$44,$A3250,Premissas!$B$5:$B$44,$B3250)</f>
        <v/>
      </c>
      <c r="L3250" s="29">
        <f>J3250-K3250</f>
        <v/>
      </c>
      <c r="M3250" t="inlineStr">
        <is>
          <t>1.350</t>
        </is>
      </c>
      <c r="N3250" t="inlineStr">
        <is>
          <t>Modalidade: 0 - Por conta do remetente | Parte: DISTRIBUIDORA DE EMBALAGENS MACROPACK LTDA (07.490.507/0001-10)</t>
        </is>
      </c>
      <c r="O3250" s="29" t="n">
        <v>0</v>
      </c>
      <c r="P3250" s="29" t="n">
        <v>0</v>
      </c>
      <c r="Q3250" s="29" t="n">
        <v>0</v>
      </c>
      <c r="R3250" s="29" t="n">
        <v>0</v>
      </c>
      <c r="S3250" s="29" t="n">
        <v>0</v>
      </c>
      <c r="T3250" t="inlineStr">
        <is>
          <t>25260426975620000130570010000068271000101549</t>
        </is>
      </c>
      <c r="U3250" t="inlineStr">
        <is>
          <t>Não</t>
        </is>
      </c>
    </row>
    <row r="3251">
      <c r="A3251" t="inlineStr">
        <is>
          <t>Frete de venda</t>
        </is>
      </c>
      <c r="B3251" t="inlineStr">
        <is>
          <t>2.01.02 Frete sobre Vendas</t>
        </is>
      </c>
      <c r="C3251" s="30" t="n">
        <v>46113</v>
      </c>
      <c r="D3251" t="inlineStr">
        <is>
          <t>Em 2026</t>
        </is>
      </c>
      <c r="E3251" s="28" t="n">
        <v>46128</v>
      </c>
      <c r="F3251" t="inlineStr">
        <is>
          <t>CT-e</t>
        </is>
      </c>
      <c r="G3251" t="inlineStr">
        <is>
          <t>000006828</t>
        </is>
      </c>
      <c r="H3251" t="inlineStr">
        <is>
          <t>R&amp;R TRANSPORTE E LOGISTICA</t>
        </is>
      </c>
      <c r="J3251" s="29" t="n">
        <v>89.86</v>
      </c>
      <c r="K3251" s="29">
        <f>(1-ISNUMBER(SEARCH("556",M3251)))*(O3251*SUMIFS(Premissas!$C$5:$C$44,Premissas!$A$5:$A$44,$A3251,Premissas!$B$5:$B$44,$B3251)+P3251*SUMIFS(Premissas!$D$5:$D$44,Premissas!$A$5:$A$44,$A3251,Premissas!$B$5:$B$44,$B3251))+R3251*SUMIFS(Premissas!$E$5:$E$44,Premissas!$A$5:$A$44,$A3251,Premissas!$B$5:$B$44,$B3251)+S3251*SUMIFS(Premissas!$F$5:$F$44,Premissas!$A$5:$A$44,$A3251,Premissas!$B$5:$B$44,$B3251)</f>
        <v/>
      </c>
      <c r="L3251" s="29">
        <f>J3251-K3251</f>
        <v/>
      </c>
      <c r="M3251" t="inlineStr">
        <is>
          <t>1.350</t>
        </is>
      </c>
      <c r="N3251" t="inlineStr">
        <is>
          <t>Modalidade: 0 - Por conta do remetente | Parte: L M COMERCIO DE PLASTICOS LTDA (54.203.234/0001-65)</t>
        </is>
      </c>
      <c r="O3251" s="29" t="n">
        <v>0</v>
      </c>
      <c r="P3251" s="29" t="n">
        <v>0</v>
      </c>
      <c r="Q3251" s="29" t="n">
        <v>0</v>
      </c>
      <c r="R3251" s="29" t="n">
        <v>0</v>
      </c>
      <c r="S3251" s="29" t="n">
        <v>0</v>
      </c>
      <c r="T3251" t="inlineStr">
        <is>
          <t>25260426975620000130570010000068281001801622</t>
        </is>
      </c>
      <c r="U3251" t="inlineStr">
        <is>
          <t>Não</t>
        </is>
      </c>
    </row>
    <row r="3252">
      <c r="A3252" t="inlineStr">
        <is>
          <t>Frete de venda</t>
        </is>
      </c>
      <c r="B3252" t="inlineStr">
        <is>
          <t>2.01.02 Frete sobre Vendas</t>
        </is>
      </c>
      <c r="C3252" s="30" t="n">
        <v>46113</v>
      </c>
      <c r="D3252" t="inlineStr">
        <is>
          <t>Em 2026</t>
        </is>
      </c>
      <c r="E3252" s="28" t="n">
        <v>46128</v>
      </c>
      <c r="F3252" t="inlineStr">
        <is>
          <t>CT-e</t>
        </is>
      </c>
      <c r="G3252" t="inlineStr">
        <is>
          <t>000006830</t>
        </is>
      </c>
      <c r="H3252" t="inlineStr">
        <is>
          <t>R&amp;R TRANSPORTE E LOGISTICA</t>
        </is>
      </c>
      <c r="J3252" s="29" t="n">
        <v>53.92</v>
      </c>
      <c r="K3252" s="29">
        <f>(1-ISNUMBER(SEARCH("556",M3252)))*(O3252*SUMIFS(Premissas!$C$5:$C$44,Premissas!$A$5:$A$44,$A3252,Premissas!$B$5:$B$44,$B3252)+P3252*SUMIFS(Premissas!$D$5:$D$44,Premissas!$A$5:$A$44,$A3252,Premissas!$B$5:$B$44,$B3252))+R3252*SUMIFS(Premissas!$E$5:$E$44,Premissas!$A$5:$A$44,$A3252,Premissas!$B$5:$B$44,$B3252)+S3252*SUMIFS(Premissas!$F$5:$F$44,Premissas!$A$5:$A$44,$A3252,Premissas!$B$5:$B$44,$B3252)</f>
        <v/>
      </c>
      <c r="L3252" s="29">
        <f>J3252-K3252</f>
        <v/>
      </c>
      <c r="M3252" t="inlineStr">
        <is>
          <t>1.350</t>
        </is>
      </c>
      <c r="N3252" t="inlineStr">
        <is>
          <t>Modalidade: 0 - Por conta do remetente | Parte: CASA VERDE LTDA (04.708.874/0001-59)</t>
        </is>
      </c>
      <c r="O3252" s="29" t="n">
        <v>0</v>
      </c>
      <c r="P3252" s="29" t="n">
        <v>0</v>
      </c>
      <c r="Q3252" s="29" t="n">
        <v>0</v>
      </c>
      <c r="R3252" s="29" t="n">
        <v>0</v>
      </c>
      <c r="S3252" s="29" t="n">
        <v>0</v>
      </c>
      <c r="T3252" t="inlineStr">
        <is>
          <t>25260426975620000130570010000068301001201780</t>
        </is>
      </c>
      <c r="U3252" t="inlineStr">
        <is>
          <t>Não</t>
        </is>
      </c>
    </row>
    <row r="3253">
      <c r="A3253" t="inlineStr">
        <is>
          <t>Frete de venda</t>
        </is>
      </c>
      <c r="B3253" t="inlineStr">
        <is>
          <t>2.01.02 Frete sobre Vendas</t>
        </is>
      </c>
      <c r="C3253" s="30" t="n">
        <v>46113</v>
      </c>
      <c r="D3253" t="inlineStr">
        <is>
          <t>Em 2026</t>
        </is>
      </c>
      <c r="E3253" s="28" t="n">
        <v>46129</v>
      </c>
      <c r="F3253" t="inlineStr">
        <is>
          <t>CT-e</t>
        </is>
      </c>
      <c r="G3253" t="inlineStr">
        <is>
          <t>000006831</t>
        </is>
      </c>
      <c r="H3253" t="inlineStr">
        <is>
          <t>R&amp;R TRANSPORTE E LOGISTICA</t>
        </is>
      </c>
      <c r="J3253" s="29" t="n">
        <v>71.40000000000001</v>
      </c>
      <c r="K3253" s="29">
        <f>(1-ISNUMBER(SEARCH("556",M3253)))*(O3253*SUMIFS(Premissas!$C$5:$C$44,Premissas!$A$5:$A$44,$A3253,Premissas!$B$5:$B$44,$B3253)+P3253*SUMIFS(Premissas!$D$5:$D$44,Premissas!$A$5:$A$44,$A3253,Premissas!$B$5:$B$44,$B3253))+R3253*SUMIFS(Premissas!$E$5:$E$44,Premissas!$A$5:$A$44,$A3253,Premissas!$B$5:$B$44,$B3253)+S3253*SUMIFS(Premissas!$F$5:$F$44,Premissas!$A$5:$A$44,$A3253,Premissas!$B$5:$B$44,$B3253)</f>
        <v/>
      </c>
      <c r="L3253" s="29">
        <f>J3253-K3253</f>
        <v/>
      </c>
      <c r="M3253" t="inlineStr">
        <is>
          <t>1.350</t>
        </is>
      </c>
      <c r="N3253" t="inlineStr">
        <is>
          <t>Modalidade: 0 - Por conta do remetente | Parte: POPULAR COMERCIO DE MERCADORIAS EM GERAL LTDA (32.323.706/0001-80)</t>
        </is>
      </c>
      <c r="O3253" s="29" t="n">
        <v>0</v>
      </c>
      <c r="P3253" s="29" t="n">
        <v>0</v>
      </c>
      <c r="Q3253" s="29" t="n">
        <v>0</v>
      </c>
      <c r="R3253" s="29" t="n">
        <v>0</v>
      </c>
      <c r="S3253" s="29" t="n">
        <v>0</v>
      </c>
      <c r="T3253" t="inlineStr">
        <is>
          <t>25260426975620000130570010000068311011001861</t>
        </is>
      </c>
      <c r="U3253" t="inlineStr">
        <is>
          <t>Não</t>
        </is>
      </c>
    </row>
    <row r="3254">
      <c r="A3254" t="inlineStr">
        <is>
          <t>Frete de venda</t>
        </is>
      </c>
      <c r="B3254" t="inlineStr">
        <is>
          <t>2.01.02 Frete sobre Vendas</t>
        </is>
      </c>
      <c r="C3254" s="30" t="n">
        <v>46113</v>
      </c>
      <c r="D3254" t="inlineStr">
        <is>
          <t>Em 2026</t>
        </is>
      </c>
      <c r="E3254" s="28" t="n">
        <v>46129</v>
      </c>
      <c r="F3254" t="inlineStr">
        <is>
          <t>CT-e</t>
        </is>
      </c>
      <c r="G3254" t="inlineStr">
        <is>
          <t>000006833</t>
        </is>
      </c>
      <c r="H3254" t="inlineStr">
        <is>
          <t>R&amp;R TRANSPORTE E LOGISTICA</t>
        </is>
      </c>
      <c r="J3254" s="29" t="n">
        <v>334.91</v>
      </c>
      <c r="K3254" s="29">
        <f>(1-ISNUMBER(SEARCH("556",M3254)))*(O3254*SUMIFS(Premissas!$C$5:$C$44,Premissas!$A$5:$A$44,$A3254,Premissas!$B$5:$B$44,$B3254)+P3254*SUMIFS(Premissas!$D$5:$D$44,Premissas!$A$5:$A$44,$A3254,Premissas!$B$5:$B$44,$B3254))+R3254*SUMIFS(Premissas!$E$5:$E$44,Premissas!$A$5:$A$44,$A3254,Premissas!$B$5:$B$44,$B3254)+S3254*SUMIFS(Premissas!$F$5:$F$44,Premissas!$A$5:$A$44,$A3254,Premissas!$B$5:$B$44,$B3254)</f>
        <v/>
      </c>
      <c r="L3254" s="29">
        <f>J3254-K3254</f>
        <v/>
      </c>
      <c r="M3254" t="inlineStr">
        <is>
          <t>1.350</t>
        </is>
      </c>
      <c r="N3254" t="inlineStr">
        <is>
          <t>Modalidade: 0 - Por conta do remetente | Parte: BRAZIL FESTAS E EMBALAGENS LTDA (47.199.057/0001-25)</t>
        </is>
      </c>
      <c r="O3254" s="29" t="n">
        <v>0</v>
      </c>
      <c r="P3254" s="29" t="n">
        <v>0</v>
      </c>
      <c r="Q3254" s="29" t="n">
        <v>0</v>
      </c>
      <c r="R3254" s="29" t="n">
        <v>0</v>
      </c>
      <c r="S3254" s="29" t="n">
        <v>0</v>
      </c>
      <c r="T3254" t="inlineStr">
        <is>
          <t>25260426975620000130570010000068331001402027</t>
        </is>
      </c>
      <c r="U3254" t="inlineStr">
        <is>
          <t>Não</t>
        </is>
      </c>
    </row>
    <row r="3255">
      <c r="A3255" t="inlineStr">
        <is>
          <t>Frete de venda</t>
        </is>
      </c>
      <c r="B3255" t="inlineStr">
        <is>
          <t>2.01.02 Frete sobre Vendas</t>
        </is>
      </c>
      <c r="C3255" s="30" t="n">
        <v>46113</v>
      </c>
      <c r="D3255" t="inlineStr">
        <is>
          <t>Em 2026</t>
        </is>
      </c>
      <c r="E3255" s="28" t="n">
        <v>46132</v>
      </c>
      <c r="F3255" t="inlineStr">
        <is>
          <t>CT-e</t>
        </is>
      </c>
      <c r="G3255" t="inlineStr">
        <is>
          <t>000006837</t>
        </is>
      </c>
      <c r="H3255" t="inlineStr">
        <is>
          <t>R&amp;R TRANSPORTE E LOGISTICA</t>
        </is>
      </c>
      <c r="J3255" s="29" t="n">
        <v>89.28</v>
      </c>
      <c r="K3255" s="29">
        <f>(1-ISNUMBER(SEARCH("556",M3255)))*(O3255*SUMIFS(Premissas!$C$5:$C$44,Premissas!$A$5:$A$44,$A3255,Premissas!$B$5:$B$44,$B3255)+P3255*SUMIFS(Premissas!$D$5:$D$44,Premissas!$A$5:$A$44,$A3255,Premissas!$B$5:$B$44,$B3255))+R3255*SUMIFS(Premissas!$E$5:$E$44,Premissas!$A$5:$A$44,$A3255,Premissas!$B$5:$B$44,$B3255)+S3255*SUMIFS(Premissas!$F$5:$F$44,Premissas!$A$5:$A$44,$A3255,Premissas!$B$5:$B$44,$B3255)</f>
        <v/>
      </c>
      <c r="L3255" s="29">
        <f>J3255-K3255</f>
        <v/>
      </c>
      <c r="M3255" t="inlineStr">
        <is>
          <t>1.350</t>
        </is>
      </c>
      <c r="N3255" t="inlineStr">
        <is>
          <t>Modalidade: 0 - Por conta do remetente | Parte: M N L FLORENTINO LTDA (47.068.852/0001-84)</t>
        </is>
      </c>
      <c r="O3255" s="29" t="n">
        <v>0</v>
      </c>
      <c r="P3255" s="29" t="n">
        <v>0</v>
      </c>
      <c r="Q3255" s="29" t="n">
        <v>0</v>
      </c>
      <c r="R3255" s="29" t="n">
        <v>0</v>
      </c>
      <c r="S3255" s="29" t="n">
        <v>0</v>
      </c>
      <c r="T3255" t="inlineStr">
        <is>
          <t>25260426975620000130570010000068371001901529</t>
        </is>
      </c>
      <c r="U3255" t="inlineStr">
        <is>
          <t>Não</t>
        </is>
      </c>
    </row>
    <row r="3256">
      <c r="A3256" t="inlineStr">
        <is>
          <t>Frete de venda</t>
        </is>
      </c>
      <c r="B3256" t="inlineStr">
        <is>
          <t>2.01.02 Frete sobre Vendas</t>
        </is>
      </c>
      <c r="C3256" s="30" t="n">
        <v>46113</v>
      </c>
      <c r="D3256" t="inlineStr">
        <is>
          <t>Em 2026</t>
        </is>
      </c>
      <c r="E3256" s="28" t="n">
        <v>46132</v>
      </c>
      <c r="F3256" t="inlineStr">
        <is>
          <t>CT-e</t>
        </is>
      </c>
      <c r="G3256" t="inlineStr">
        <is>
          <t>000006838</t>
        </is>
      </c>
      <c r="H3256" t="inlineStr">
        <is>
          <t>R&amp;R TRANSPORTE E LOGISTICA</t>
        </is>
      </c>
      <c r="J3256" s="29" t="n">
        <v>71.34999999999999</v>
      </c>
      <c r="K3256" s="29">
        <f>(1-ISNUMBER(SEARCH("556",M3256)))*(O3256*SUMIFS(Premissas!$C$5:$C$44,Premissas!$A$5:$A$44,$A3256,Premissas!$B$5:$B$44,$B3256)+P3256*SUMIFS(Premissas!$D$5:$D$44,Premissas!$A$5:$A$44,$A3256,Premissas!$B$5:$B$44,$B3256))+R3256*SUMIFS(Premissas!$E$5:$E$44,Premissas!$A$5:$A$44,$A3256,Premissas!$B$5:$B$44,$B3256)+S3256*SUMIFS(Premissas!$F$5:$F$44,Premissas!$A$5:$A$44,$A3256,Premissas!$B$5:$B$44,$B3256)</f>
        <v/>
      </c>
      <c r="L3256" s="29">
        <f>J3256-K3256</f>
        <v/>
      </c>
      <c r="M3256" t="inlineStr">
        <is>
          <t>1.350</t>
        </is>
      </c>
      <c r="N3256" t="inlineStr">
        <is>
          <t>Modalidade: 0 - Por conta do remetente | Parte: HEMANOEL MOISES SOARES DE SOUZA (11.038.014/0001-10)</t>
        </is>
      </c>
      <c r="O3256" s="29" t="n">
        <v>0</v>
      </c>
      <c r="P3256" s="29" t="n">
        <v>0</v>
      </c>
      <c r="Q3256" s="29" t="n">
        <v>0</v>
      </c>
      <c r="R3256" s="29" t="n">
        <v>0</v>
      </c>
      <c r="S3256" s="29" t="n">
        <v>0</v>
      </c>
      <c r="T3256" t="inlineStr">
        <is>
          <t>25260426975620000130570010000068381001601603</t>
        </is>
      </c>
      <c r="U3256" t="inlineStr">
        <is>
          <t>Não</t>
        </is>
      </c>
    </row>
    <row r="3257">
      <c r="A3257" t="inlineStr">
        <is>
          <t>Frete de venda</t>
        </is>
      </c>
      <c r="B3257" t="inlineStr">
        <is>
          <t>2.01.02 Frete sobre Vendas</t>
        </is>
      </c>
      <c r="C3257" s="30" t="n">
        <v>46113</v>
      </c>
      <c r="D3257" t="inlineStr">
        <is>
          <t>Em 2026</t>
        </is>
      </c>
      <c r="E3257" s="28" t="n">
        <v>46132</v>
      </c>
      <c r="F3257" t="inlineStr">
        <is>
          <t>CT-e</t>
        </is>
      </c>
      <c r="G3257" t="inlineStr">
        <is>
          <t>000006839</t>
        </is>
      </c>
      <c r="H3257" t="inlineStr">
        <is>
          <t>R&amp;R TRANSPORTE E LOGISTICA</t>
        </is>
      </c>
      <c r="J3257" s="29" t="n">
        <v>70.52</v>
      </c>
      <c r="K3257" s="29">
        <f>(1-ISNUMBER(SEARCH("556",M3257)))*(O3257*SUMIFS(Premissas!$C$5:$C$44,Premissas!$A$5:$A$44,$A3257,Premissas!$B$5:$B$44,$B3257)+P3257*SUMIFS(Premissas!$D$5:$D$44,Premissas!$A$5:$A$44,$A3257,Premissas!$B$5:$B$44,$B3257))+R3257*SUMIFS(Premissas!$E$5:$E$44,Premissas!$A$5:$A$44,$A3257,Premissas!$B$5:$B$44,$B3257)+S3257*SUMIFS(Premissas!$F$5:$F$44,Premissas!$A$5:$A$44,$A3257,Premissas!$B$5:$B$44,$B3257)</f>
        <v/>
      </c>
      <c r="L3257" s="29">
        <f>J3257-K3257</f>
        <v/>
      </c>
      <c r="M3257" t="inlineStr">
        <is>
          <t>1.350</t>
        </is>
      </c>
      <c r="N3257" t="inlineStr">
        <is>
          <t>Modalidade: 0 - Por conta do remetente | Parte: DIRAN COMERCIO VAREJISTA DE EMBALAGENS LTDA (27.489.893/0001-37)</t>
        </is>
      </c>
      <c r="O3257" s="29" t="n">
        <v>0</v>
      </c>
      <c r="P3257" s="29" t="n">
        <v>0</v>
      </c>
      <c r="Q3257" s="29" t="n">
        <v>0</v>
      </c>
      <c r="R3257" s="29" t="n">
        <v>0</v>
      </c>
      <c r="S3257" s="29" t="n">
        <v>0</v>
      </c>
      <c r="T3257" t="inlineStr">
        <is>
          <t>25260426975620000130570010000068391000170959</t>
        </is>
      </c>
      <c r="U3257" t="inlineStr">
        <is>
          <t>Não</t>
        </is>
      </c>
    </row>
    <row r="3258">
      <c r="A3258" t="inlineStr">
        <is>
          <t>Frete de venda</t>
        </is>
      </c>
      <c r="B3258" t="inlineStr">
        <is>
          <t>2.01.02 Frete sobre Vendas</t>
        </is>
      </c>
      <c r="C3258" s="30" t="n">
        <v>46113</v>
      </c>
      <c r="D3258" t="inlineStr">
        <is>
          <t>Em 2026</t>
        </is>
      </c>
      <c r="E3258" s="28" t="n">
        <v>46132</v>
      </c>
      <c r="F3258" t="inlineStr">
        <is>
          <t>CT-e</t>
        </is>
      </c>
      <c r="G3258" t="inlineStr">
        <is>
          <t>000006840</t>
        </is>
      </c>
      <c r="H3258" t="inlineStr">
        <is>
          <t>R&amp;R TRANSPORTE E LOGISTICA</t>
        </is>
      </c>
      <c r="J3258" s="29" t="n">
        <v>2850</v>
      </c>
      <c r="K3258" s="29">
        <f>(1-ISNUMBER(SEARCH("556",M3258)))*(O3258*SUMIFS(Premissas!$C$5:$C$44,Premissas!$A$5:$A$44,$A3258,Premissas!$B$5:$B$44,$B3258)+P3258*SUMIFS(Premissas!$D$5:$D$44,Premissas!$A$5:$A$44,$A3258,Premissas!$B$5:$B$44,$B3258))+R3258*SUMIFS(Premissas!$E$5:$E$44,Premissas!$A$5:$A$44,$A3258,Premissas!$B$5:$B$44,$B3258)+S3258*SUMIFS(Premissas!$F$5:$F$44,Premissas!$A$5:$A$44,$A3258,Premissas!$B$5:$B$44,$B3258)</f>
        <v/>
      </c>
      <c r="L3258" s="29">
        <f>J3258-K3258</f>
        <v/>
      </c>
      <c r="M3258" t="inlineStr">
        <is>
          <t>1.350</t>
        </is>
      </c>
      <c r="N3258" t="inlineStr">
        <is>
          <t>Modalidade: 0 - Por conta do remetente | Parte: FORTALI DISTRIBUIDORA DE ALIMENTOS LTDA. (09.317.318/0001-75)</t>
        </is>
      </c>
      <c r="O3258" s="29" t="n">
        <v>0</v>
      </c>
      <c r="P3258" s="29" t="n">
        <v>0</v>
      </c>
      <c r="Q3258" s="29" t="n">
        <v>0</v>
      </c>
      <c r="R3258" s="29" t="n">
        <v>0</v>
      </c>
      <c r="S3258" s="29" t="n">
        <v>0</v>
      </c>
      <c r="T3258" t="inlineStr">
        <is>
          <t>25260426975620000130570010000068401001401033</t>
        </is>
      </c>
      <c r="U3258" t="inlineStr">
        <is>
          <t>Sim</t>
        </is>
      </c>
    </row>
    <row r="3259">
      <c r="A3259" t="inlineStr">
        <is>
          <t>Frete de venda</t>
        </is>
      </c>
      <c r="B3259" t="inlineStr">
        <is>
          <t>2.01.02 Frete sobre Vendas</t>
        </is>
      </c>
      <c r="C3259" s="30" t="n">
        <v>46113</v>
      </c>
      <c r="D3259" t="inlineStr">
        <is>
          <t>Em 2026</t>
        </is>
      </c>
      <c r="E3259" s="28" t="n">
        <v>46132</v>
      </c>
      <c r="F3259" t="inlineStr">
        <is>
          <t>CT-e</t>
        </is>
      </c>
      <c r="G3259" t="inlineStr">
        <is>
          <t>000006841</t>
        </is>
      </c>
      <c r="H3259" t="inlineStr">
        <is>
          <t>R&amp;R TRANSPORTE E LOGISTICA</t>
        </is>
      </c>
      <c r="J3259" s="29" t="n">
        <v>2850</v>
      </c>
      <c r="K3259" s="29">
        <f>(1-ISNUMBER(SEARCH("556",M3259)))*(O3259*SUMIFS(Premissas!$C$5:$C$44,Premissas!$A$5:$A$44,$A3259,Premissas!$B$5:$B$44,$B3259)+P3259*SUMIFS(Premissas!$D$5:$D$44,Premissas!$A$5:$A$44,$A3259,Premissas!$B$5:$B$44,$B3259))+R3259*SUMIFS(Premissas!$E$5:$E$44,Premissas!$A$5:$A$44,$A3259,Premissas!$B$5:$B$44,$B3259)+S3259*SUMIFS(Premissas!$F$5:$F$44,Premissas!$A$5:$A$44,$A3259,Premissas!$B$5:$B$44,$B3259)</f>
        <v/>
      </c>
      <c r="L3259" s="29">
        <f>J3259-K3259</f>
        <v/>
      </c>
      <c r="M3259" t="inlineStr">
        <is>
          <t>1.350</t>
        </is>
      </c>
      <c r="N3259" t="inlineStr">
        <is>
          <t>Modalidade: 0 - Por conta do remetente | Parte: JND DISTRIBUIDORA LTDA (36.332.668/0001-83)</t>
        </is>
      </c>
      <c r="O3259" s="29" t="n">
        <v>0</v>
      </c>
      <c r="P3259" s="29" t="n">
        <v>0</v>
      </c>
      <c r="Q3259" s="29" t="n">
        <v>0</v>
      </c>
      <c r="R3259" s="29" t="n">
        <v>0</v>
      </c>
      <c r="S3259" s="29" t="n">
        <v>0</v>
      </c>
      <c r="T3259" t="inlineStr">
        <is>
          <t>25260426975620000130570010000068411001101118</t>
        </is>
      </c>
      <c r="U3259" t="inlineStr">
        <is>
          <t>Sim</t>
        </is>
      </c>
    </row>
    <row r="3260">
      <c r="A3260" t="inlineStr">
        <is>
          <t>Frete de venda</t>
        </is>
      </c>
      <c r="B3260" t="inlineStr">
        <is>
          <t>2.01.02 Frete sobre Vendas</t>
        </is>
      </c>
      <c r="C3260" s="30" t="n">
        <v>46113</v>
      </c>
      <c r="D3260" t="inlineStr">
        <is>
          <t>Em 2026</t>
        </is>
      </c>
      <c r="E3260" s="28" t="n">
        <v>46135</v>
      </c>
      <c r="F3260" t="inlineStr">
        <is>
          <t>CT-e</t>
        </is>
      </c>
      <c r="G3260" t="inlineStr">
        <is>
          <t>000006845</t>
        </is>
      </c>
      <c r="H3260" t="inlineStr">
        <is>
          <t>R&amp;R TRANSPORTE E LOGISTICA</t>
        </is>
      </c>
      <c r="J3260" s="29" t="n">
        <v>72.38</v>
      </c>
      <c r="K3260" s="29">
        <f>(1-ISNUMBER(SEARCH("556",M3260)))*(O3260*SUMIFS(Premissas!$C$5:$C$44,Premissas!$A$5:$A$44,$A3260,Premissas!$B$5:$B$44,$B3260)+P3260*SUMIFS(Premissas!$D$5:$D$44,Premissas!$A$5:$A$44,$A3260,Premissas!$B$5:$B$44,$B3260))+R3260*SUMIFS(Premissas!$E$5:$E$44,Premissas!$A$5:$A$44,$A3260,Premissas!$B$5:$B$44,$B3260)+S3260*SUMIFS(Premissas!$F$5:$F$44,Premissas!$A$5:$A$44,$A3260,Premissas!$B$5:$B$44,$B3260)</f>
        <v/>
      </c>
      <c r="L3260" s="29">
        <f>J3260-K3260</f>
        <v/>
      </c>
      <c r="M3260" t="inlineStr">
        <is>
          <t>1.350</t>
        </is>
      </c>
      <c r="N3260" t="inlineStr">
        <is>
          <t>Modalidade: 0 - Por conta do remetente | Parte: CONQUISTA EMBALAGENS E PAPELARIA LTDA (20.822.689/0001-47)</t>
        </is>
      </c>
      <c r="O3260" s="29" t="n">
        <v>0</v>
      </c>
      <c r="P3260" s="29" t="n">
        <v>0</v>
      </c>
      <c r="Q3260" s="29" t="n">
        <v>0</v>
      </c>
      <c r="R3260" s="29" t="n">
        <v>0</v>
      </c>
      <c r="S3260" s="29" t="n">
        <v>0</v>
      </c>
      <c r="T3260" t="inlineStr">
        <is>
          <t>25260426975620000130570010000068451000101547</t>
        </is>
      </c>
      <c r="U3260" t="inlineStr">
        <is>
          <t>Não</t>
        </is>
      </c>
    </row>
    <row r="3261">
      <c r="A3261" t="inlineStr">
        <is>
          <t>Frete de venda</t>
        </is>
      </c>
      <c r="B3261" t="inlineStr">
        <is>
          <t>2.01.02 Frete sobre Vendas</t>
        </is>
      </c>
      <c r="C3261" s="30" t="n">
        <v>46113</v>
      </c>
      <c r="D3261" t="inlineStr">
        <is>
          <t>Em 2026</t>
        </is>
      </c>
      <c r="E3261" s="28" t="n">
        <v>46135</v>
      </c>
      <c r="F3261" t="inlineStr">
        <is>
          <t>CT-e</t>
        </is>
      </c>
      <c r="G3261" t="inlineStr">
        <is>
          <t>000006846</t>
        </is>
      </c>
      <c r="H3261" t="inlineStr">
        <is>
          <t>R&amp;R TRANSPORTE E LOGISTICA</t>
        </is>
      </c>
      <c r="J3261" s="29" t="n">
        <v>55.97</v>
      </c>
      <c r="K3261" s="29">
        <f>(1-ISNUMBER(SEARCH("556",M3261)))*(O3261*SUMIFS(Premissas!$C$5:$C$44,Premissas!$A$5:$A$44,$A3261,Premissas!$B$5:$B$44,$B3261)+P3261*SUMIFS(Premissas!$D$5:$D$44,Premissas!$A$5:$A$44,$A3261,Premissas!$B$5:$B$44,$B3261))+R3261*SUMIFS(Premissas!$E$5:$E$44,Premissas!$A$5:$A$44,$A3261,Premissas!$B$5:$B$44,$B3261)+S3261*SUMIFS(Premissas!$F$5:$F$44,Premissas!$A$5:$A$44,$A3261,Premissas!$B$5:$B$44,$B3261)</f>
        <v/>
      </c>
      <c r="L3261" s="29">
        <f>J3261-K3261</f>
        <v/>
      </c>
      <c r="M3261" t="inlineStr">
        <is>
          <t>1.350</t>
        </is>
      </c>
      <c r="N3261" t="inlineStr">
        <is>
          <t>Modalidade: 0 - Por conta do remetente | Parte: NOVA ROCHA DISTRIBUIDORA DE EMBALAGENS LTDA (25.175.820/0001-45)</t>
        </is>
      </c>
      <c r="O3261" s="29" t="n">
        <v>0</v>
      </c>
      <c r="P3261" s="29" t="n">
        <v>0</v>
      </c>
      <c r="Q3261" s="29" t="n">
        <v>0</v>
      </c>
      <c r="R3261" s="29" t="n">
        <v>0</v>
      </c>
      <c r="S3261" s="29" t="n">
        <v>0</v>
      </c>
      <c r="T3261" t="inlineStr">
        <is>
          <t>25260426975620000130570010000068461001801620</t>
        </is>
      </c>
      <c r="U3261" t="inlineStr">
        <is>
          <t>Não</t>
        </is>
      </c>
    </row>
    <row r="3262">
      <c r="A3262" t="inlineStr">
        <is>
          <t>Frete de venda</t>
        </is>
      </c>
      <c r="B3262" t="inlineStr">
        <is>
          <t>2.01.02 Frete sobre Vendas</t>
        </is>
      </c>
      <c r="C3262" s="30" t="n">
        <v>46113</v>
      </c>
      <c r="D3262" t="inlineStr">
        <is>
          <t>Em 2026</t>
        </is>
      </c>
      <c r="E3262" s="28" t="n">
        <v>46135</v>
      </c>
      <c r="F3262" t="inlineStr">
        <is>
          <t>CT-e</t>
        </is>
      </c>
      <c r="G3262" t="inlineStr">
        <is>
          <t>000006847</t>
        </is>
      </c>
      <c r="H3262" t="inlineStr">
        <is>
          <t>R&amp;R TRANSPORTE E LOGISTICA</t>
        </is>
      </c>
      <c r="J3262" s="29" t="n">
        <v>54.37</v>
      </c>
      <c r="K3262" s="29">
        <f>(1-ISNUMBER(SEARCH("556",M3262)))*(O3262*SUMIFS(Premissas!$C$5:$C$44,Premissas!$A$5:$A$44,$A3262,Premissas!$B$5:$B$44,$B3262)+P3262*SUMIFS(Premissas!$D$5:$D$44,Premissas!$A$5:$A$44,$A3262,Premissas!$B$5:$B$44,$B3262))+R3262*SUMIFS(Premissas!$E$5:$E$44,Premissas!$A$5:$A$44,$A3262,Premissas!$B$5:$B$44,$B3262)+S3262*SUMIFS(Premissas!$F$5:$F$44,Premissas!$A$5:$A$44,$A3262,Premissas!$B$5:$B$44,$B3262)</f>
        <v/>
      </c>
      <c r="L3262" s="29">
        <f>J3262-K3262</f>
        <v/>
      </c>
      <c r="M3262" t="inlineStr">
        <is>
          <t>1.350</t>
        </is>
      </c>
      <c r="N3262" t="inlineStr">
        <is>
          <t>Modalidade: 0 - Por conta do remetente | Parte: PLASPEL COMERCIO DE EMBALAGENS LTDA (43.498.579/0001-77)</t>
        </is>
      </c>
      <c r="O3262" s="29" t="n">
        <v>0</v>
      </c>
      <c r="P3262" s="29" t="n">
        <v>0</v>
      </c>
      <c r="Q3262" s="29" t="n">
        <v>0</v>
      </c>
      <c r="R3262" s="29" t="n">
        <v>0</v>
      </c>
      <c r="S3262" s="29" t="n">
        <v>0</v>
      </c>
      <c r="T3262" t="inlineStr">
        <is>
          <t>25260426975620000130570010000068471001501705</t>
        </is>
      </c>
      <c r="U3262" t="inlineStr">
        <is>
          <t>Não</t>
        </is>
      </c>
    </row>
    <row r="3263">
      <c r="A3263" t="inlineStr">
        <is>
          <t>Frete de venda</t>
        </is>
      </c>
      <c r="B3263" t="inlineStr">
        <is>
          <t>2.01.02 Frete sobre Vendas</t>
        </is>
      </c>
      <c r="C3263" s="30" t="n">
        <v>46113</v>
      </c>
      <c r="D3263" t="inlineStr">
        <is>
          <t>Em 2026</t>
        </is>
      </c>
      <c r="E3263" s="28" t="n">
        <v>46135</v>
      </c>
      <c r="F3263" t="inlineStr">
        <is>
          <t>CT-e</t>
        </is>
      </c>
      <c r="G3263" t="inlineStr">
        <is>
          <t>000006848</t>
        </is>
      </c>
      <c r="H3263" t="inlineStr">
        <is>
          <t>R&amp;R TRANSPORTE E LOGISTICA</t>
        </is>
      </c>
      <c r="J3263" s="29" t="n">
        <v>89.41</v>
      </c>
      <c r="K3263" s="29">
        <f>(1-ISNUMBER(SEARCH("556",M3263)))*(O3263*SUMIFS(Premissas!$C$5:$C$44,Premissas!$A$5:$A$44,$A3263,Premissas!$B$5:$B$44,$B3263)+P3263*SUMIFS(Premissas!$D$5:$D$44,Premissas!$A$5:$A$44,$A3263,Premissas!$B$5:$B$44,$B3263))+R3263*SUMIFS(Premissas!$E$5:$E$44,Premissas!$A$5:$A$44,$A3263,Premissas!$B$5:$B$44,$B3263)+S3263*SUMIFS(Premissas!$F$5:$F$44,Premissas!$A$5:$A$44,$A3263,Premissas!$B$5:$B$44,$B3263)</f>
        <v/>
      </c>
      <c r="L3263" s="29">
        <f>J3263-K3263</f>
        <v/>
      </c>
      <c r="M3263" t="inlineStr">
        <is>
          <t>1.350</t>
        </is>
      </c>
      <c r="N3263" t="inlineStr">
        <is>
          <t>Modalidade: 0 - Por conta do remetente | Parte: GR DOCES E EMBALAGENS LTDA (42.338.637/0001-32)</t>
        </is>
      </c>
      <c r="O3263" s="29" t="n">
        <v>0</v>
      </c>
      <c r="P3263" s="29" t="n">
        <v>0</v>
      </c>
      <c r="Q3263" s="29" t="n">
        <v>0</v>
      </c>
      <c r="R3263" s="29" t="n">
        <v>0</v>
      </c>
      <c r="S3263" s="29" t="n">
        <v>0</v>
      </c>
      <c r="T3263" t="inlineStr">
        <is>
          <t>25260426975620000130570010000068481001201784</t>
        </is>
      </c>
      <c r="U3263" t="inlineStr">
        <is>
          <t>Não</t>
        </is>
      </c>
    </row>
    <row r="3264">
      <c r="A3264" t="inlineStr">
        <is>
          <t>Frete de venda</t>
        </is>
      </c>
      <c r="B3264" t="inlineStr">
        <is>
          <t>2.01.02 Frete sobre Vendas</t>
        </is>
      </c>
      <c r="C3264" s="30" t="n">
        <v>46113</v>
      </c>
      <c r="D3264" t="inlineStr">
        <is>
          <t>Em 2026</t>
        </is>
      </c>
      <c r="E3264" s="28" t="n">
        <v>46135</v>
      </c>
      <c r="F3264" t="inlineStr">
        <is>
          <t>CT-e</t>
        </is>
      </c>
      <c r="G3264" t="inlineStr">
        <is>
          <t>000006849</t>
        </is>
      </c>
      <c r="H3264" t="inlineStr">
        <is>
          <t>R&amp;R TRANSPORTE E LOGISTICA</t>
        </is>
      </c>
      <c r="J3264" s="29" t="n">
        <v>74.84</v>
      </c>
      <c r="K3264" s="29">
        <f>(1-ISNUMBER(SEARCH("556",M3264)))*(O3264*SUMIFS(Premissas!$C$5:$C$44,Premissas!$A$5:$A$44,$A3264,Premissas!$B$5:$B$44,$B3264)+P3264*SUMIFS(Premissas!$D$5:$D$44,Premissas!$A$5:$A$44,$A3264,Premissas!$B$5:$B$44,$B3264))+R3264*SUMIFS(Premissas!$E$5:$E$44,Premissas!$A$5:$A$44,$A3264,Premissas!$B$5:$B$44,$B3264)+S3264*SUMIFS(Premissas!$F$5:$F$44,Premissas!$A$5:$A$44,$A3264,Premissas!$B$5:$B$44,$B3264)</f>
        <v/>
      </c>
      <c r="L3264" s="29">
        <f>J3264-K3264</f>
        <v/>
      </c>
      <c r="M3264" t="inlineStr">
        <is>
          <t>1.350</t>
        </is>
      </c>
      <c r="N3264" t="inlineStr">
        <is>
          <t>Modalidade: 0 - Por conta do remetente | Parte: PITERPLUS COMERCIO DE PRODUTOS DE LIMPEZA LTDA (00.558.995/0001-00)</t>
        </is>
      </c>
      <c r="O3264" s="29" t="n">
        <v>0</v>
      </c>
      <c r="P3264" s="29" t="n">
        <v>0</v>
      </c>
      <c r="Q3264" s="29" t="n">
        <v>0</v>
      </c>
      <c r="R3264" s="29" t="n">
        <v>0</v>
      </c>
      <c r="S3264" s="29" t="n">
        <v>0</v>
      </c>
      <c r="T3264" t="inlineStr">
        <is>
          <t>25260426975620000130570010000068491011001866</t>
        </is>
      </c>
      <c r="U3264" t="inlineStr">
        <is>
          <t>Não</t>
        </is>
      </c>
    </row>
    <row r="3265">
      <c r="A3265" t="inlineStr">
        <is>
          <t>Frete de venda</t>
        </is>
      </c>
      <c r="B3265" t="inlineStr">
        <is>
          <t>2.01.02 Frete sobre Vendas</t>
        </is>
      </c>
      <c r="C3265" s="30" t="n">
        <v>46113</v>
      </c>
      <c r="D3265" t="inlineStr">
        <is>
          <t>Em 2026</t>
        </is>
      </c>
      <c r="E3265" s="28" t="n">
        <v>46135</v>
      </c>
      <c r="F3265" t="inlineStr">
        <is>
          <t>CT-e</t>
        </is>
      </c>
      <c r="G3265" t="inlineStr">
        <is>
          <t>000006850</t>
        </is>
      </c>
      <c r="H3265" t="inlineStr">
        <is>
          <t>R&amp;R TRANSPORTE E LOGISTICA</t>
        </is>
      </c>
      <c r="J3265" s="29" t="n">
        <v>61.76</v>
      </c>
      <c r="K3265" s="29">
        <f>(1-ISNUMBER(SEARCH("556",M3265)))*(O3265*SUMIFS(Premissas!$C$5:$C$44,Premissas!$A$5:$A$44,$A3265,Premissas!$B$5:$B$44,$B3265)+P3265*SUMIFS(Premissas!$D$5:$D$44,Premissas!$A$5:$A$44,$A3265,Premissas!$B$5:$B$44,$B3265))+R3265*SUMIFS(Premissas!$E$5:$E$44,Premissas!$A$5:$A$44,$A3265,Premissas!$B$5:$B$44,$B3265)+S3265*SUMIFS(Premissas!$F$5:$F$44,Premissas!$A$5:$A$44,$A3265,Premissas!$B$5:$B$44,$B3265)</f>
        <v/>
      </c>
      <c r="L3265" s="29">
        <f>J3265-K3265</f>
        <v/>
      </c>
      <c r="M3265" t="inlineStr">
        <is>
          <t>1.350</t>
        </is>
      </c>
      <c r="N3265" t="inlineStr">
        <is>
          <t>Modalidade: 0 - Por conta do remetente | Parte: COMERCIAL CARAPA DE SECOS E MOLHADOS LTDA (03.790.904/0002-37)</t>
        </is>
      </c>
      <c r="O3265" s="29" t="n">
        <v>0</v>
      </c>
      <c r="P3265" s="29" t="n">
        <v>0</v>
      </c>
      <c r="Q3265" s="29" t="n">
        <v>0</v>
      </c>
      <c r="R3265" s="29" t="n">
        <v>0</v>
      </c>
      <c r="S3265" s="29" t="n">
        <v>0</v>
      </c>
      <c r="T3265" t="inlineStr">
        <is>
          <t>25260426975620000130570010000068501001701947</t>
        </is>
      </c>
      <c r="U3265" t="inlineStr">
        <is>
          <t>Não</t>
        </is>
      </c>
    </row>
    <row r="3266">
      <c r="A3266" t="inlineStr">
        <is>
          <t>Frete de venda</t>
        </is>
      </c>
      <c r="B3266" t="inlineStr">
        <is>
          <t>2.01.02 Frete sobre Vendas</t>
        </is>
      </c>
      <c r="C3266" s="30" t="n">
        <v>46113</v>
      </c>
      <c r="D3266" t="inlineStr">
        <is>
          <t>Em 2026</t>
        </is>
      </c>
      <c r="E3266" s="28" t="n">
        <v>46135</v>
      </c>
      <c r="F3266" t="inlineStr">
        <is>
          <t>CT-e</t>
        </is>
      </c>
      <c r="G3266" t="inlineStr">
        <is>
          <t>000006851</t>
        </is>
      </c>
      <c r="H3266" t="inlineStr">
        <is>
          <t>R&amp;R TRANSPORTE E LOGISTICA</t>
        </is>
      </c>
      <c r="J3266" s="29" t="n">
        <v>70.66</v>
      </c>
      <c r="K3266" s="29">
        <f>(1-ISNUMBER(SEARCH("556",M3266)))*(O3266*SUMIFS(Premissas!$C$5:$C$44,Premissas!$A$5:$A$44,$A3266,Premissas!$B$5:$B$44,$B3266)+P3266*SUMIFS(Premissas!$D$5:$D$44,Premissas!$A$5:$A$44,$A3266,Premissas!$B$5:$B$44,$B3266))+R3266*SUMIFS(Premissas!$E$5:$E$44,Premissas!$A$5:$A$44,$A3266,Premissas!$B$5:$B$44,$B3266)+S3266*SUMIFS(Premissas!$F$5:$F$44,Premissas!$A$5:$A$44,$A3266,Premissas!$B$5:$B$44,$B3266)</f>
        <v/>
      </c>
      <c r="L3266" s="29">
        <f>J3266-K3266</f>
        <v/>
      </c>
      <c r="M3266" t="inlineStr">
        <is>
          <t>1.350</t>
        </is>
      </c>
      <c r="N3266" t="inlineStr">
        <is>
          <t>Modalidade: 0 - Por conta do remetente | Parte: GILMAR BOTELHO DIAS e CIA LTDA (03.476.679/0006-92)</t>
        </is>
      </c>
      <c r="O3266" s="29" t="n">
        <v>0</v>
      </c>
      <c r="P3266" s="29" t="n">
        <v>0</v>
      </c>
      <c r="Q3266" s="29" t="n">
        <v>0</v>
      </c>
      <c r="R3266" s="29" t="n">
        <v>0</v>
      </c>
      <c r="S3266" s="29" t="n">
        <v>0</v>
      </c>
      <c r="T3266" t="inlineStr">
        <is>
          <t>25260426975620000130570010000068511001801299</t>
        </is>
      </c>
      <c r="U3266" t="inlineStr">
        <is>
          <t>Não</t>
        </is>
      </c>
    </row>
    <row r="3267">
      <c r="A3267" t="inlineStr">
        <is>
          <t>Frete de venda</t>
        </is>
      </c>
      <c r="B3267" t="inlineStr">
        <is>
          <t>2.01.02 Frete sobre Vendas</t>
        </is>
      </c>
      <c r="C3267" s="30" t="n">
        <v>46113</v>
      </c>
      <c r="D3267" t="inlineStr">
        <is>
          <t>Em 2026</t>
        </is>
      </c>
      <c r="E3267" s="28" t="n">
        <v>46137</v>
      </c>
      <c r="F3267" t="inlineStr">
        <is>
          <t>CT-e</t>
        </is>
      </c>
      <c r="G3267" t="inlineStr">
        <is>
          <t>000006864</t>
        </is>
      </c>
      <c r="H3267" t="inlineStr">
        <is>
          <t>R&amp;R TRANSPORTE E LOGISTICA</t>
        </is>
      </c>
      <c r="J3267" s="29" t="n">
        <v>22.48</v>
      </c>
      <c r="K3267" s="29">
        <f>(1-ISNUMBER(SEARCH("556",M3267)))*(O3267*SUMIFS(Premissas!$C$5:$C$44,Premissas!$A$5:$A$44,$A3267,Premissas!$B$5:$B$44,$B3267)+P3267*SUMIFS(Premissas!$D$5:$D$44,Premissas!$A$5:$A$44,$A3267,Premissas!$B$5:$B$44,$B3267))+R3267*SUMIFS(Premissas!$E$5:$E$44,Premissas!$A$5:$A$44,$A3267,Premissas!$B$5:$B$44,$B3267)+S3267*SUMIFS(Premissas!$F$5:$F$44,Premissas!$A$5:$A$44,$A3267,Premissas!$B$5:$B$44,$B3267)</f>
        <v/>
      </c>
      <c r="L3267" s="29">
        <f>J3267-K3267</f>
        <v/>
      </c>
      <c r="M3267" t="inlineStr">
        <is>
          <t>1.350</t>
        </is>
      </c>
      <c r="N3267" t="inlineStr">
        <is>
          <t>Modalidade: 0 - Por conta do remetente | Parte: ANDRE FERREIRA DE ARAUJO (16.954.088/0001-10)</t>
        </is>
      </c>
      <c r="O3267" s="29" t="n">
        <v>0</v>
      </c>
      <c r="P3267" s="29" t="n">
        <v>0</v>
      </c>
      <c r="Q3267" s="29" t="n">
        <v>0</v>
      </c>
      <c r="R3267" s="29" t="n">
        <v>0</v>
      </c>
      <c r="S3267" s="29" t="n">
        <v>0</v>
      </c>
      <c r="T3267" t="inlineStr">
        <is>
          <t>25260426975620000130570010000068641001201672</t>
        </is>
      </c>
      <c r="U3267" t="inlineStr">
        <is>
          <t>Não</t>
        </is>
      </c>
    </row>
    <row r="3268">
      <c r="A3268" t="inlineStr">
        <is>
          <t>Frete de venda</t>
        </is>
      </c>
      <c r="B3268" t="inlineStr">
        <is>
          <t>2.01.02 Frete sobre Vendas</t>
        </is>
      </c>
      <c r="C3268" s="30" t="n">
        <v>46113</v>
      </c>
      <c r="D3268" t="inlineStr">
        <is>
          <t>Em 2026</t>
        </is>
      </c>
      <c r="E3268" s="28" t="n">
        <v>46137</v>
      </c>
      <c r="F3268" t="inlineStr">
        <is>
          <t>CT-e</t>
        </is>
      </c>
      <c r="G3268" t="inlineStr">
        <is>
          <t>000006865</t>
        </is>
      </c>
      <c r="H3268" t="inlineStr">
        <is>
          <t>R&amp;R TRANSPORTE E LOGISTICA</t>
        </is>
      </c>
      <c r="J3268" s="29" t="n">
        <v>25.19</v>
      </c>
      <c r="K3268" s="29">
        <f>(1-ISNUMBER(SEARCH("556",M3268)))*(O3268*SUMIFS(Premissas!$C$5:$C$44,Premissas!$A$5:$A$44,$A3268,Premissas!$B$5:$B$44,$B3268)+P3268*SUMIFS(Premissas!$D$5:$D$44,Premissas!$A$5:$A$44,$A3268,Premissas!$B$5:$B$44,$B3268))+R3268*SUMIFS(Premissas!$E$5:$E$44,Premissas!$A$5:$A$44,$A3268,Premissas!$B$5:$B$44,$B3268)+S3268*SUMIFS(Premissas!$F$5:$F$44,Premissas!$A$5:$A$44,$A3268,Premissas!$B$5:$B$44,$B3268)</f>
        <v/>
      </c>
      <c r="L3268" s="29">
        <f>J3268-K3268</f>
        <v/>
      </c>
      <c r="M3268" t="inlineStr">
        <is>
          <t>1.350</t>
        </is>
      </c>
      <c r="N3268" t="inlineStr">
        <is>
          <t>Modalidade: 0 - Por conta do remetente | Parte: VANDERLEIA FERREIRA MARQUES (34.169.048/0001-40)</t>
        </is>
      </c>
      <c r="O3268" s="29" t="n">
        <v>0</v>
      </c>
      <c r="P3268" s="29" t="n">
        <v>0</v>
      </c>
      <c r="Q3268" s="29" t="n">
        <v>0</v>
      </c>
      <c r="R3268" s="29" t="n">
        <v>0</v>
      </c>
      <c r="S3268" s="29" t="n">
        <v>0</v>
      </c>
      <c r="T3268" t="inlineStr">
        <is>
          <t>25260426975620000130570010000068651011001754</t>
        </is>
      </c>
      <c r="U3268" t="inlineStr">
        <is>
          <t>Não</t>
        </is>
      </c>
    </row>
    <row r="3269">
      <c r="A3269" t="inlineStr">
        <is>
          <t>Frete de venda</t>
        </is>
      </c>
      <c r="B3269" t="inlineStr">
        <is>
          <t>2.01.02 Frete sobre Vendas</t>
        </is>
      </c>
      <c r="C3269" s="30" t="n">
        <v>46113</v>
      </c>
      <c r="D3269" t="inlineStr">
        <is>
          <t>Em 2026</t>
        </is>
      </c>
      <c r="E3269" s="28" t="n">
        <v>46137</v>
      </c>
      <c r="F3269" t="inlineStr">
        <is>
          <t>CT-e</t>
        </is>
      </c>
      <c r="G3269" t="inlineStr">
        <is>
          <t>000006866</t>
        </is>
      </c>
      <c r="H3269" t="inlineStr">
        <is>
          <t>R&amp;R TRANSPORTE E LOGISTICA</t>
        </is>
      </c>
      <c r="J3269" s="29" t="n">
        <v>19.92</v>
      </c>
      <c r="K3269" s="29">
        <f>(1-ISNUMBER(SEARCH("556",M3269)))*(O3269*SUMIFS(Premissas!$C$5:$C$44,Premissas!$A$5:$A$44,$A3269,Premissas!$B$5:$B$44,$B3269)+P3269*SUMIFS(Premissas!$D$5:$D$44,Premissas!$A$5:$A$44,$A3269,Premissas!$B$5:$B$44,$B3269))+R3269*SUMIFS(Premissas!$E$5:$E$44,Premissas!$A$5:$A$44,$A3269,Premissas!$B$5:$B$44,$B3269)+S3269*SUMIFS(Premissas!$F$5:$F$44,Premissas!$A$5:$A$44,$A3269,Premissas!$B$5:$B$44,$B3269)</f>
        <v/>
      </c>
      <c r="L3269" s="29">
        <f>J3269-K3269</f>
        <v/>
      </c>
      <c r="M3269" t="inlineStr">
        <is>
          <t>1.350</t>
        </is>
      </c>
      <c r="N3269" t="inlineStr">
        <is>
          <t>Modalidade: 0 - Por conta do remetente | Parte: MARIA CLEIDE RAMOS LTDA (42.968.790/0001-43)</t>
        </is>
      </c>
      <c r="O3269" s="29" t="n">
        <v>0</v>
      </c>
      <c r="P3269" s="29" t="n">
        <v>0</v>
      </c>
      <c r="Q3269" s="29" t="n">
        <v>0</v>
      </c>
      <c r="R3269" s="29" t="n">
        <v>0</v>
      </c>
      <c r="S3269" s="29" t="n">
        <v>0</v>
      </c>
      <c r="T3269" t="inlineStr">
        <is>
          <t>25260426975620000130570010000068661001701831</t>
        </is>
      </c>
      <c r="U3269" t="inlineStr">
        <is>
          <t>Não</t>
        </is>
      </c>
    </row>
    <row r="3270">
      <c r="A3270" t="inlineStr">
        <is>
          <t>Frete de venda</t>
        </is>
      </c>
      <c r="B3270" t="inlineStr">
        <is>
          <t>2.01.02 Frete sobre Vendas</t>
        </is>
      </c>
      <c r="C3270" s="30" t="n">
        <v>46113</v>
      </c>
      <c r="D3270" t="inlineStr">
        <is>
          <t>Em 2026</t>
        </is>
      </c>
      <c r="E3270" s="28" t="n">
        <v>46137</v>
      </c>
      <c r="F3270" t="inlineStr">
        <is>
          <t>CT-e</t>
        </is>
      </c>
      <c r="G3270" t="inlineStr">
        <is>
          <t>000006867</t>
        </is>
      </c>
      <c r="H3270" t="inlineStr">
        <is>
          <t>R&amp;R TRANSPORTE E LOGISTICA</t>
        </is>
      </c>
      <c r="J3270" s="29" t="n">
        <v>131.65</v>
      </c>
      <c r="K3270" s="29">
        <f>(1-ISNUMBER(SEARCH("556",M3270)))*(O3270*SUMIFS(Premissas!$C$5:$C$44,Premissas!$A$5:$A$44,$A3270,Premissas!$B$5:$B$44,$B3270)+P3270*SUMIFS(Premissas!$D$5:$D$44,Premissas!$A$5:$A$44,$A3270,Premissas!$B$5:$B$44,$B3270))+R3270*SUMIFS(Premissas!$E$5:$E$44,Premissas!$A$5:$A$44,$A3270,Premissas!$B$5:$B$44,$B3270)+S3270*SUMIFS(Premissas!$F$5:$F$44,Premissas!$A$5:$A$44,$A3270,Premissas!$B$5:$B$44,$B3270)</f>
        <v/>
      </c>
      <c r="L3270" s="29">
        <f>J3270-K3270</f>
        <v/>
      </c>
      <c r="M3270" t="inlineStr">
        <is>
          <t>1.350</t>
        </is>
      </c>
      <c r="N3270" t="inlineStr">
        <is>
          <t>Modalidade: 0 - Por conta do remetente | Parte: DONNA DISTRIBUIDORA LTDA (52.238.099/0001-68)</t>
        </is>
      </c>
      <c r="O3270" s="29" t="n">
        <v>0</v>
      </c>
      <c r="P3270" s="29" t="n">
        <v>0</v>
      </c>
      <c r="Q3270" s="29" t="n">
        <v>0</v>
      </c>
      <c r="R3270" s="29" t="n">
        <v>0</v>
      </c>
      <c r="S3270" s="29" t="n">
        <v>0</v>
      </c>
      <c r="T3270" t="inlineStr">
        <is>
          <t>25260426975620000130570010000068671001401916</t>
        </is>
      </c>
      <c r="U3270" t="inlineStr">
        <is>
          <t>Não</t>
        </is>
      </c>
    </row>
    <row r="3271">
      <c r="A3271" t="inlineStr">
        <is>
          <t>Frete de venda</t>
        </is>
      </c>
      <c r="B3271" t="inlineStr">
        <is>
          <t>2.01.02 Frete sobre Vendas</t>
        </is>
      </c>
      <c r="C3271" s="30" t="n">
        <v>46113</v>
      </c>
      <c r="D3271" t="inlineStr">
        <is>
          <t>Em 2026</t>
        </is>
      </c>
      <c r="E3271" s="28" t="n">
        <v>46137</v>
      </c>
      <c r="F3271" t="inlineStr">
        <is>
          <t>CT-e</t>
        </is>
      </c>
      <c r="G3271" t="inlineStr">
        <is>
          <t>000006868</t>
        </is>
      </c>
      <c r="H3271" t="inlineStr">
        <is>
          <t>R&amp;R TRANSPORTE E LOGISTICA</t>
        </is>
      </c>
      <c r="J3271" s="29" t="n">
        <v>121.06</v>
      </c>
      <c r="K3271" s="29">
        <f>(1-ISNUMBER(SEARCH("556",M3271)))*(O3271*SUMIFS(Premissas!$C$5:$C$44,Premissas!$A$5:$A$44,$A3271,Premissas!$B$5:$B$44,$B3271)+P3271*SUMIFS(Premissas!$D$5:$D$44,Premissas!$A$5:$A$44,$A3271,Premissas!$B$5:$B$44,$B3271))+R3271*SUMIFS(Premissas!$E$5:$E$44,Premissas!$A$5:$A$44,$A3271,Premissas!$B$5:$B$44,$B3271)+S3271*SUMIFS(Premissas!$F$5:$F$44,Premissas!$A$5:$A$44,$A3271,Premissas!$B$5:$B$44,$B3271)</f>
        <v/>
      </c>
      <c r="L3271" s="29">
        <f>J3271-K3271</f>
        <v/>
      </c>
      <c r="M3271" t="inlineStr">
        <is>
          <t>1.350</t>
        </is>
      </c>
      <c r="N3271" t="inlineStr">
        <is>
          <t>Modalidade: 0 - Por conta do remetente | Parte: DISTRIBUIDORA CENTRAL EMBALAGENS LTDA (08.726.563/0001-73)</t>
        </is>
      </c>
      <c r="O3271" s="29" t="n">
        <v>0</v>
      </c>
      <c r="P3271" s="29" t="n">
        <v>0</v>
      </c>
      <c r="Q3271" s="29" t="n">
        <v>0</v>
      </c>
      <c r="R3271" s="29" t="n">
        <v>0</v>
      </c>
      <c r="S3271" s="29" t="n">
        <v>0</v>
      </c>
      <c r="T3271" t="inlineStr">
        <is>
          <t>25260426975620000130570010000068681001101995</t>
        </is>
      </c>
      <c r="U3271" t="inlineStr">
        <is>
          <t>Não</t>
        </is>
      </c>
    </row>
    <row r="3272">
      <c r="A3272" t="inlineStr">
        <is>
          <t>Frete de venda</t>
        </is>
      </c>
      <c r="B3272" t="inlineStr">
        <is>
          <t>2.01.02 Frete sobre Vendas</t>
        </is>
      </c>
      <c r="C3272" s="30" t="n">
        <v>46113</v>
      </c>
      <c r="D3272" t="inlineStr">
        <is>
          <t>Em 2026</t>
        </is>
      </c>
      <c r="E3272" s="28" t="n">
        <v>46137</v>
      </c>
      <c r="F3272" t="inlineStr">
        <is>
          <t>CT-e</t>
        </is>
      </c>
      <c r="G3272" t="inlineStr">
        <is>
          <t>000006869</t>
        </is>
      </c>
      <c r="H3272" t="inlineStr">
        <is>
          <t>R&amp;R TRANSPORTE E LOGISTICA</t>
        </is>
      </c>
      <c r="J3272" s="29" t="n">
        <v>20.62</v>
      </c>
      <c r="K3272" s="29">
        <f>(1-ISNUMBER(SEARCH("556",M3272)))*(O3272*SUMIFS(Premissas!$C$5:$C$44,Premissas!$A$5:$A$44,$A3272,Premissas!$B$5:$B$44,$B3272)+P3272*SUMIFS(Premissas!$D$5:$D$44,Premissas!$A$5:$A$44,$A3272,Premissas!$B$5:$B$44,$B3272))+R3272*SUMIFS(Premissas!$E$5:$E$44,Premissas!$A$5:$A$44,$A3272,Premissas!$B$5:$B$44,$B3272)+S3272*SUMIFS(Premissas!$F$5:$F$44,Premissas!$A$5:$A$44,$A3272,Premissas!$B$5:$B$44,$B3272)</f>
        <v/>
      </c>
      <c r="L3272" s="29">
        <f>J3272-K3272</f>
        <v/>
      </c>
      <c r="M3272" t="inlineStr">
        <is>
          <t>1.350</t>
        </is>
      </c>
      <c r="N3272" t="inlineStr">
        <is>
          <t>Modalidade: 0 - Por conta do remetente | Parte: ROSA SUL TUBARAO LTDA (62.451.631/0001-84)</t>
        </is>
      </c>
      <c r="O3272" s="29" t="n">
        <v>0</v>
      </c>
      <c r="P3272" s="29" t="n">
        <v>0</v>
      </c>
      <c r="Q3272" s="29" t="n">
        <v>0</v>
      </c>
      <c r="R3272" s="29" t="n">
        <v>0</v>
      </c>
      <c r="S3272" s="29" t="n">
        <v>0</v>
      </c>
      <c r="T3272" t="inlineStr">
        <is>
          <t>25260426975620000130570010000068691001902073</t>
        </is>
      </c>
      <c r="U3272" t="inlineStr">
        <is>
          <t>Não</t>
        </is>
      </c>
    </row>
    <row r="3273">
      <c r="A3273" t="inlineStr">
        <is>
          <t>Frete de venda</t>
        </is>
      </c>
      <c r="B3273" t="inlineStr">
        <is>
          <t>2.01.02 Frete sobre Vendas</t>
        </is>
      </c>
      <c r="C3273" s="30" t="n">
        <v>46113</v>
      </c>
      <c r="D3273" t="inlineStr">
        <is>
          <t>Em 2026</t>
        </is>
      </c>
      <c r="E3273" s="28" t="n">
        <v>46137</v>
      </c>
      <c r="F3273" t="inlineStr">
        <is>
          <t>CT-e</t>
        </is>
      </c>
      <c r="G3273" t="inlineStr">
        <is>
          <t>000006870</t>
        </is>
      </c>
      <c r="H3273" t="inlineStr">
        <is>
          <t>R&amp;R TRANSPORTE E LOGISTICA</t>
        </is>
      </c>
      <c r="J3273" s="29" t="n">
        <v>43.34</v>
      </c>
      <c r="K3273" s="29">
        <f>(1-ISNUMBER(SEARCH("556",M3273)))*(O3273*SUMIFS(Premissas!$C$5:$C$44,Premissas!$A$5:$A$44,$A3273,Premissas!$B$5:$B$44,$B3273)+P3273*SUMIFS(Premissas!$D$5:$D$44,Premissas!$A$5:$A$44,$A3273,Premissas!$B$5:$B$44,$B3273))+R3273*SUMIFS(Premissas!$E$5:$E$44,Premissas!$A$5:$A$44,$A3273,Premissas!$B$5:$B$44,$B3273)+S3273*SUMIFS(Premissas!$F$5:$F$44,Premissas!$A$5:$A$44,$A3273,Premissas!$B$5:$B$44,$B3273)</f>
        <v/>
      </c>
      <c r="L3273" s="29">
        <f>J3273-K3273</f>
        <v/>
      </c>
      <c r="M3273" t="inlineStr">
        <is>
          <t>1.350</t>
        </is>
      </c>
      <c r="N3273" t="inlineStr">
        <is>
          <t>Modalidade: 0 - Por conta do remetente | Parte: ROSA SUL ATACADO LTDA (11.579.934/0004-99)</t>
        </is>
      </c>
      <c r="O3273" s="29" t="n">
        <v>0</v>
      </c>
      <c r="P3273" s="29" t="n">
        <v>0</v>
      </c>
      <c r="Q3273" s="29" t="n">
        <v>0</v>
      </c>
      <c r="R3273" s="29" t="n">
        <v>0</v>
      </c>
      <c r="S3273" s="29" t="n">
        <v>0</v>
      </c>
      <c r="T3273" t="inlineStr">
        <is>
          <t>25260426975620000130570010000068701001602151</t>
        </is>
      </c>
      <c r="U3273" t="inlineStr">
        <is>
          <t>Não</t>
        </is>
      </c>
    </row>
    <row r="3274">
      <c r="A3274" t="inlineStr">
        <is>
          <t>Frete de venda</t>
        </is>
      </c>
      <c r="B3274" t="inlineStr">
        <is>
          <t>2.01.02 Frete sobre Vendas</t>
        </is>
      </c>
      <c r="C3274" s="30" t="n">
        <v>46113</v>
      </c>
      <c r="D3274" t="inlineStr">
        <is>
          <t>Em 2026</t>
        </is>
      </c>
      <c r="E3274" s="28" t="n">
        <v>46137</v>
      </c>
      <c r="F3274" t="inlineStr">
        <is>
          <t>CT-e</t>
        </is>
      </c>
      <c r="G3274" t="inlineStr">
        <is>
          <t>000006871</t>
        </is>
      </c>
      <c r="H3274" t="inlineStr">
        <is>
          <t>R&amp;R TRANSPORTE E LOGISTICA</t>
        </is>
      </c>
      <c r="J3274" s="29" t="n">
        <v>20.85</v>
      </c>
      <c r="K3274" s="29">
        <f>(1-ISNUMBER(SEARCH("556",M3274)))*(O3274*SUMIFS(Premissas!$C$5:$C$44,Premissas!$A$5:$A$44,$A3274,Premissas!$B$5:$B$44,$B3274)+P3274*SUMIFS(Premissas!$D$5:$D$44,Premissas!$A$5:$A$44,$A3274,Premissas!$B$5:$B$44,$B3274))+R3274*SUMIFS(Premissas!$E$5:$E$44,Premissas!$A$5:$A$44,$A3274,Premissas!$B$5:$B$44,$B3274)+S3274*SUMIFS(Premissas!$F$5:$F$44,Premissas!$A$5:$A$44,$A3274,Premissas!$B$5:$B$44,$B3274)</f>
        <v/>
      </c>
      <c r="L3274" s="29">
        <f>J3274-K3274</f>
        <v/>
      </c>
      <c r="M3274" t="inlineStr">
        <is>
          <t>1.350</t>
        </is>
      </c>
      <c r="N3274" t="inlineStr">
        <is>
          <t>Modalidade: 0 - Por conta do remetente | Parte: MERCADO VOGFORT LTDA (07.307.013/0001-57)</t>
        </is>
      </c>
      <c r="O3274" s="29" t="n">
        <v>0</v>
      </c>
      <c r="P3274" s="29" t="n">
        <v>0</v>
      </c>
      <c r="Q3274" s="29" t="n">
        <v>0</v>
      </c>
      <c r="R3274" s="29" t="n">
        <v>0</v>
      </c>
      <c r="S3274" s="29" t="n">
        <v>0</v>
      </c>
      <c r="T3274" t="inlineStr">
        <is>
          <t>25260426975620000130570010000068711001701505</t>
        </is>
      </c>
      <c r="U3274" t="inlineStr">
        <is>
          <t>Não</t>
        </is>
      </c>
    </row>
    <row r="3275">
      <c r="A3275" t="inlineStr">
        <is>
          <t>Frete de venda</t>
        </is>
      </c>
      <c r="B3275" t="inlineStr">
        <is>
          <t>2.01.02 Frete sobre Vendas</t>
        </is>
      </c>
      <c r="C3275" s="30" t="n">
        <v>46113</v>
      </c>
      <c r="D3275" t="inlineStr">
        <is>
          <t>Em 2026</t>
        </is>
      </c>
      <c r="E3275" s="28" t="n">
        <v>46137</v>
      </c>
      <c r="F3275" t="inlineStr">
        <is>
          <t>CT-e</t>
        </is>
      </c>
      <c r="G3275" t="inlineStr">
        <is>
          <t>000006872</t>
        </is>
      </c>
      <c r="H3275" t="inlineStr">
        <is>
          <t>R&amp;R TRANSPORTE E LOGISTICA</t>
        </is>
      </c>
      <c r="J3275" s="29" t="n">
        <v>43.18</v>
      </c>
      <c r="K3275" s="29">
        <f>(1-ISNUMBER(SEARCH("556",M3275)))*(O3275*SUMIFS(Premissas!$C$5:$C$44,Premissas!$A$5:$A$44,$A3275,Premissas!$B$5:$B$44,$B3275)+P3275*SUMIFS(Premissas!$D$5:$D$44,Premissas!$A$5:$A$44,$A3275,Premissas!$B$5:$B$44,$B3275))+R3275*SUMIFS(Premissas!$E$5:$E$44,Premissas!$A$5:$A$44,$A3275,Premissas!$B$5:$B$44,$B3275)+S3275*SUMIFS(Premissas!$F$5:$F$44,Premissas!$A$5:$A$44,$A3275,Premissas!$B$5:$B$44,$B3275)</f>
        <v/>
      </c>
      <c r="L3275" s="29">
        <f>J3275-K3275</f>
        <v/>
      </c>
      <c r="M3275" t="inlineStr">
        <is>
          <t>1.350</t>
        </is>
      </c>
      <c r="N3275" t="inlineStr">
        <is>
          <t>Modalidade: 0 - Por conta do remetente | Parte: MARIA DE FATIMA MACHADO SEVERO e CIA LTDA (94.672.557/0001-12)</t>
        </is>
      </c>
      <c r="O3275" s="29" t="n">
        <v>0</v>
      </c>
      <c r="P3275" s="29" t="n">
        <v>0</v>
      </c>
      <c r="Q3275" s="29" t="n">
        <v>0</v>
      </c>
      <c r="R3275" s="29" t="n">
        <v>0</v>
      </c>
      <c r="S3275" s="29" t="n">
        <v>0</v>
      </c>
      <c r="T3275" t="inlineStr">
        <is>
          <t>25260426975620000130570010000068721001401584</t>
        </is>
      </c>
      <c r="U3275" t="inlineStr">
        <is>
          <t>Não</t>
        </is>
      </c>
    </row>
    <row r="3276">
      <c r="A3276" t="inlineStr">
        <is>
          <t>Frete de venda</t>
        </is>
      </c>
      <c r="B3276" t="inlineStr">
        <is>
          <t>2.01.02 Frete sobre Vendas</t>
        </is>
      </c>
      <c r="C3276" s="30" t="n">
        <v>46113</v>
      </c>
      <c r="D3276" t="inlineStr">
        <is>
          <t>Em 2026</t>
        </is>
      </c>
      <c r="E3276" s="28" t="n">
        <v>46137</v>
      </c>
      <c r="F3276" t="inlineStr">
        <is>
          <t>CT-e</t>
        </is>
      </c>
      <c r="G3276" t="inlineStr">
        <is>
          <t>000006873</t>
        </is>
      </c>
      <c r="H3276" t="inlineStr">
        <is>
          <t>R&amp;R TRANSPORTE E LOGISTICA</t>
        </is>
      </c>
      <c r="J3276" s="29" t="n">
        <v>23.93</v>
      </c>
      <c r="K3276" s="29">
        <f>(1-ISNUMBER(SEARCH("556",M3276)))*(O3276*SUMIFS(Premissas!$C$5:$C$44,Premissas!$A$5:$A$44,$A3276,Premissas!$B$5:$B$44,$B3276)+P3276*SUMIFS(Premissas!$D$5:$D$44,Premissas!$A$5:$A$44,$A3276,Premissas!$B$5:$B$44,$B3276))+R3276*SUMIFS(Premissas!$E$5:$E$44,Premissas!$A$5:$A$44,$A3276,Premissas!$B$5:$B$44,$B3276)+S3276*SUMIFS(Premissas!$F$5:$F$44,Premissas!$A$5:$A$44,$A3276,Premissas!$B$5:$B$44,$B3276)</f>
        <v/>
      </c>
      <c r="L3276" s="29">
        <f>J3276-K3276</f>
        <v/>
      </c>
      <c r="M3276" t="inlineStr">
        <is>
          <t>1.350</t>
        </is>
      </c>
      <c r="N3276" t="inlineStr">
        <is>
          <t>Modalidade: 0 - Por conta do remetente | Parte: RESTAURANTE JOY201 LTDA (40.912.704/0001-55)</t>
        </is>
      </c>
      <c r="O3276" s="29" t="n">
        <v>0</v>
      </c>
      <c r="P3276" s="29" t="n">
        <v>0</v>
      </c>
      <c r="Q3276" s="29" t="n">
        <v>0</v>
      </c>
      <c r="R3276" s="29" t="n">
        <v>0</v>
      </c>
      <c r="S3276" s="29" t="n">
        <v>0</v>
      </c>
      <c r="T3276" t="inlineStr">
        <is>
          <t>25260426975620000130570010000068731001101669</t>
        </is>
      </c>
      <c r="U3276" t="inlineStr">
        <is>
          <t>Não</t>
        </is>
      </c>
    </row>
    <row r="3277">
      <c r="A3277" t="inlineStr">
        <is>
          <t>Frete de venda</t>
        </is>
      </c>
      <c r="B3277" t="inlineStr">
        <is>
          <t>2.01.02 Frete sobre Vendas</t>
        </is>
      </c>
      <c r="C3277" s="30" t="n">
        <v>46113</v>
      </c>
      <c r="D3277" t="inlineStr">
        <is>
          <t>Em 2026</t>
        </is>
      </c>
      <c r="E3277" s="28" t="n">
        <v>46137</v>
      </c>
      <c r="F3277" t="inlineStr">
        <is>
          <t>CT-e</t>
        </is>
      </c>
      <c r="G3277" t="inlineStr">
        <is>
          <t>000006874</t>
        </is>
      </c>
      <c r="H3277" t="inlineStr">
        <is>
          <t>R&amp;R TRANSPORTE E LOGISTICA</t>
        </is>
      </c>
      <c r="J3277" s="29" t="n">
        <v>30.05</v>
      </c>
      <c r="K3277" s="29">
        <f>(1-ISNUMBER(SEARCH("556",M3277)))*(O3277*SUMIFS(Premissas!$C$5:$C$44,Premissas!$A$5:$A$44,$A3277,Premissas!$B$5:$B$44,$B3277)+P3277*SUMIFS(Premissas!$D$5:$D$44,Premissas!$A$5:$A$44,$A3277,Premissas!$B$5:$B$44,$B3277))+R3277*SUMIFS(Premissas!$E$5:$E$44,Premissas!$A$5:$A$44,$A3277,Premissas!$B$5:$B$44,$B3277)+S3277*SUMIFS(Premissas!$F$5:$F$44,Premissas!$A$5:$A$44,$A3277,Premissas!$B$5:$B$44,$B3277)</f>
        <v/>
      </c>
      <c r="L3277" s="29">
        <f>J3277-K3277</f>
        <v/>
      </c>
      <c r="M3277" t="inlineStr">
        <is>
          <t>1.350</t>
        </is>
      </c>
      <c r="N3277" t="inlineStr">
        <is>
          <t>Modalidade: 0 - Por conta do remetente | Parte: ELTON DIEGO SOARES DE CASTRO LTDA (28.176.668/0001-03)</t>
        </is>
      </c>
      <c r="O3277" s="29" t="n">
        <v>0</v>
      </c>
      <c r="P3277" s="29" t="n">
        <v>0</v>
      </c>
      <c r="Q3277" s="29" t="n">
        <v>0</v>
      </c>
      <c r="R3277" s="29" t="n">
        <v>0</v>
      </c>
      <c r="S3277" s="29" t="n">
        <v>0</v>
      </c>
      <c r="T3277" t="inlineStr">
        <is>
          <t>25260426975620000130570010000068741001901743</t>
        </is>
      </c>
      <c r="U3277" t="inlineStr">
        <is>
          <t>Não</t>
        </is>
      </c>
    </row>
    <row r="3278">
      <c r="A3278" t="inlineStr">
        <is>
          <t>Frete de venda</t>
        </is>
      </c>
      <c r="B3278" t="inlineStr">
        <is>
          <t>2.01.02 Frete sobre Vendas</t>
        </is>
      </c>
      <c r="C3278" s="30" t="n">
        <v>46113</v>
      </c>
      <c r="D3278" t="inlineStr">
        <is>
          <t>Em 2026</t>
        </is>
      </c>
      <c r="E3278" s="28" t="n">
        <v>46137</v>
      </c>
      <c r="F3278" t="inlineStr">
        <is>
          <t>CT-e</t>
        </is>
      </c>
      <c r="G3278" t="inlineStr">
        <is>
          <t>000006875</t>
        </is>
      </c>
      <c r="H3278" t="inlineStr">
        <is>
          <t>R&amp;R TRANSPORTE E LOGISTICA</t>
        </is>
      </c>
      <c r="J3278" s="29" t="n">
        <v>22.99</v>
      </c>
      <c r="K3278" s="29">
        <f>(1-ISNUMBER(SEARCH("556",M3278)))*(O3278*SUMIFS(Premissas!$C$5:$C$44,Premissas!$A$5:$A$44,$A3278,Premissas!$B$5:$B$44,$B3278)+P3278*SUMIFS(Premissas!$D$5:$D$44,Premissas!$A$5:$A$44,$A3278,Premissas!$B$5:$B$44,$B3278))+R3278*SUMIFS(Premissas!$E$5:$E$44,Premissas!$A$5:$A$44,$A3278,Premissas!$B$5:$B$44,$B3278)+S3278*SUMIFS(Premissas!$F$5:$F$44,Premissas!$A$5:$A$44,$A3278,Premissas!$B$5:$B$44,$B3278)</f>
        <v/>
      </c>
      <c r="L3278" s="29">
        <f>J3278-K3278</f>
        <v/>
      </c>
      <c r="M3278" t="inlineStr">
        <is>
          <t>1.350</t>
        </is>
      </c>
      <c r="N3278" t="inlineStr">
        <is>
          <t>Modalidade: 0 - Por conta do remetente | Parte: HJM DISTRIBUICAO DE FRIOS LTDA (15.491.554/0001-06)</t>
        </is>
      </c>
      <c r="O3278" s="29" t="n">
        <v>0</v>
      </c>
      <c r="P3278" s="29" t="n">
        <v>0</v>
      </c>
      <c r="Q3278" s="29" t="n">
        <v>0</v>
      </c>
      <c r="R3278" s="29" t="n">
        <v>0</v>
      </c>
      <c r="S3278" s="29" t="n">
        <v>0</v>
      </c>
      <c r="T3278" t="inlineStr">
        <is>
          <t>25260426975620000130570010000068751001601828</t>
        </is>
      </c>
      <c r="U3278" t="inlineStr">
        <is>
          <t>Não</t>
        </is>
      </c>
    </row>
    <row r="3279">
      <c r="A3279" t="inlineStr">
        <is>
          <t>Frete de venda</t>
        </is>
      </c>
      <c r="B3279" t="inlineStr">
        <is>
          <t>2.01.02 Frete sobre Vendas</t>
        </is>
      </c>
      <c r="C3279" s="30" t="n">
        <v>46113</v>
      </c>
      <c r="D3279" t="inlineStr">
        <is>
          <t>Em 2026</t>
        </is>
      </c>
      <c r="E3279" s="28" t="n">
        <v>46137</v>
      </c>
      <c r="F3279" t="inlineStr">
        <is>
          <t>CT-e</t>
        </is>
      </c>
      <c r="G3279" t="inlineStr">
        <is>
          <t>000006876</t>
        </is>
      </c>
      <c r="H3279" t="inlineStr">
        <is>
          <t>R&amp;R TRANSPORTE E LOGISTICA</t>
        </is>
      </c>
      <c r="J3279" s="29" t="n">
        <v>21.2</v>
      </c>
      <c r="K3279" s="29">
        <f>(1-ISNUMBER(SEARCH("556",M3279)))*(O3279*SUMIFS(Premissas!$C$5:$C$44,Premissas!$A$5:$A$44,$A3279,Premissas!$B$5:$B$44,$B3279)+P3279*SUMIFS(Premissas!$D$5:$D$44,Premissas!$A$5:$A$44,$A3279,Premissas!$B$5:$B$44,$B3279))+R3279*SUMIFS(Premissas!$E$5:$E$44,Premissas!$A$5:$A$44,$A3279,Premissas!$B$5:$B$44,$B3279)+S3279*SUMIFS(Premissas!$F$5:$F$44,Premissas!$A$5:$A$44,$A3279,Premissas!$B$5:$B$44,$B3279)</f>
        <v/>
      </c>
      <c r="L3279" s="29">
        <f>J3279-K3279</f>
        <v/>
      </c>
      <c r="M3279" t="inlineStr">
        <is>
          <t>1.350</t>
        </is>
      </c>
      <c r="N3279" t="inlineStr">
        <is>
          <t>Modalidade: 0 - Por conta do remetente | Parte: D e J COMERCIAL DISTRIBUIDORA DE EMBALAGENS LTDA (49.035.932/0001-69)</t>
        </is>
      </c>
      <c r="O3279" s="29" t="n">
        <v>0</v>
      </c>
      <c r="P3279" s="29" t="n">
        <v>0</v>
      </c>
      <c r="Q3279" s="29" t="n">
        <v>0</v>
      </c>
      <c r="R3279" s="29" t="n">
        <v>0</v>
      </c>
      <c r="S3279" s="29" t="n">
        <v>0</v>
      </c>
      <c r="T3279" t="inlineStr">
        <is>
          <t>25260426975620000130570010000068761001301902</t>
        </is>
      </c>
      <c r="U3279" t="inlineStr">
        <is>
          <t>Não</t>
        </is>
      </c>
    </row>
    <row r="3280">
      <c r="A3280" t="inlineStr">
        <is>
          <t>Frete de venda</t>
        </is>
      </c>
      <c r="B3280" t="inlineStr">
        <is>
          <t>2.01.02 Frete sobre Vendas</t>
        </is>
      </c>
      <c r="C3280" s="30" t="n">
        <v>46113</v>
      </c>
      <c r="D3280" t="inlineStr">
        <is>
          <t>Em 2026</t>
        </is>
      </c>
      <c r="E3280" s="28" t="n">
        <v>46137</v>
      </c>
      <c r="F3280" t="inlineStr">
        <is>
          <t>CT-e</t>
        </is>
      </c>
      <c r="G3280" t="inlineStr">
        <is>
          <t>000006877</t>
        </is>
      </c>
      <c r="H3280" t="inlineStr">
        <is>
          <t>R&amp;R TRANSPORTE E LOGISTICA</t>
        </is>
      </c>
      <c r="J3280" s="29" t="n">
        <v>25.42</v>
      </c>
      <c r="K3280" s="29">
        <f>(1-ISNUMBER(SEARCH("556",M3280)))*(O3280*SUMIFS(Premissas!$C$5:$C$44,Premissas!$A$5:$A$44,$A3280,Premissas!$B$5:$B$44,$B3280)+P3280*SUMIFS(Premissas!$D$5:$D$44,Premissas!$A$5:$A$44,$A3280,Premissas!$B$5:$B$44,$B3280))+R3280*SUMIFS(Premissas!$E$5:$E$44,Premissas!$A$5:$A$44,$A3280,Premissas!$B$5:$B$44,$B3280)+S3280*SUMIFS(Premissas!$F$5:$F$44,Premissas!$A$5:$A$44,$A3280,Premissas!$B$5:$B$44,$B3280)</f>
        <v/>
      </c>
      <c r="L3280" s="29">
        <f>J3280-K3280</f>
        <v/>
      </c>
      <c r="M3280" t="inlineStr">
        <is>
          <t>1.350</t>
        </is>
      </c>
      <c r="N3280" t="inlineStr">
        <is>
          <t>Modalidade: 0 - Por conta do remetente | Parte: PARAHIBA EMBALAGENS LTDA (20.436.827/0001-50)</t>
        </is>
      </c>
      <c r="O3280" s="29" t="n">
        <v>0</v>
      </c>
      <c r="P3280" s="29" t="n">
        <v>0</v>
      </c>
      <c r="Q3280" s="29" t="n">
        <v>0</v>
      </c>
      <c r="R3280" s="29" t="n">
        <v>0</v>
      </c>
      <c r="S3280" s="29" t="n">
        <v>0</v>
      </c>
      <c r="T3280" t="inlineStr">
        <is>
          <t>25260426975620000130570010000068771000101982</t>
        </is>
      </c>
      <c r="U3280" t="inlineStr">
        <is>
          <t>Não</t>
        </is>
      </c>
    </row>
    <row r="3281">
      <c r="A3281" t="inlineStr">
        <is>
          <t>Frete de venda</t>
        </is>
      </c>
      <c r="B3281" t="inlineStr">
        <is>
          <t>2.01.02 Frete sobre Vendas</t>
        </is>
      </c>
      <c r="C3281" s="30" t="n">
        <v>46113</v>
      </c>
      <c r="D3281" t="inlineStr">
        <is>
          <t>Em 2026</t>
        </is>
      </c>
      <c r="E3281" s="28" t="n">
        <v>46137</v>
      </c>
      <c r="F3281" t="inlineStr">
        <is>
          <t>CT-e</t>
        </is>
      </c>
      <c r="G3281" t="inlineStr">
        <is>
          <t>000006878</t>
        </is>
      </c>
      <c r="H3281" t="inlineStr">
        <is>
          <t>R&amp;R TRANSPORTE E LOGISTICA</t>
        </is>
      </c>
      <c r="J3281" s="29" t="n">
        <v>13.1</v>
      </c>
      <c r="K3281" s="29">
        <f>(1-ISNUMBER(SEARCH("556",M3281)))*(O3281*SUMIFS(Premissas!$C$5:$C$44,Premissas!$A$5:$A$44,$A3281,Premissas!$B$5:$B$44,$B3281)+P3281*SUMIFS(Premissas!$D$5:$D$44,Premissas!$A$5:$A$44,$A3281,Premissas!$B$5:$B$44,$B3281))+R3281*SUMIFS(Premissas!$E$5:$E$44,Premissas!$A$5:$A$44,$A3281,Premissas!$B$5:$B$44,$B3281)+S3281*SUMIFS(Premissas!$F$5:$F$44,Premissas!$A$5:$A$44,$A3281,Premissas!$B$5:$B$44,$B3281)</f>
        <v/>
      </c>
      <c r="L3281" s="29">
        <f>J3281-K3281</f>
        <v/>
      </c>
      <c r="M3281" t="inlineStr">
        <is>
          <t>1.350</t>
        </is>
      </c>
      <c r="N3281" t="inlineStr">
        <is>
          <t>Modalidade: 0 - Por conta do remetente | Parte: EMBALAVILLE COMERCIO DE EMBALAGENS LTDA (66.178.742/0001-10)</t>
        </is>
      </c>
      <c r="O3281" s="29" t="n">
        <v>0</v>
      </c>
      <c r="P3281" s="29" t="n">
        <v>0</v>
      </c>
      <c r="Q3281" s="29" t="n">
        <v>0</v>
      </c>
      <c r="R3281" s="29" t="n">
        <v>0</v>
      </c>
      <c r="S3281" s="29" t="n">
        <v>0</v>
      </c>
      <c r="T3281" t="inlineStr">
        <is>
          <t>25260426975620000130570010000068781001802060</t>
        </is>
      </c>
      <c r="U3281" t="inlineStr">
        <is>
          <t>Não</t>
        </is>
      </c>
    </row>
    <row r="3282">
      <c r="A3282" t="inlineStr">
        <is>
          <t>Frete de venda</t>
        </is>
      </c>
      <c r="B3282" t="inlineStr">
        <is>
          <t>2.01.02 Frete sobre Vendas</t>
        </is>
      </c>
      <c r="C3282" s="30" t="n">
        <v>46113</v>
      </c>
      <c r="D3282" t="inlineStr">
        <is>
          <t>Em 2026</t>
        </is>
      </c>
      <c r="E3282" s="28" t="n">
        <v>46137</v>
      </c>
      <c r="F3282" t="inlineStr">
        <is>
          <t>CT-e</t>
        </is>
      </c>
      <c r="G3282" t="inlineStr">
        <is>
          <t>000006879</t>
        </is>
      </c>
      <c r="H3282" t="inlineStr">
        <is>
          <t>R&amp;R TRANSPORTE E LOGISTICA</t>
        </is>
      </c>
      <c r="J3282" s="29" t="n">
        <v>16.64</v>
      </c>
      <c r="K3282" s="29">
        <f>(1-ISNUMBER(SEARCH("556",M3282)))*(O3282*SUMIFS(Premissas!$C$5:$C$44,Premissas!$A$5:$A$44,$A3282,Premissas!$B$5:$B$44,$B3282)+P3282*SUMIFS(Premissas!$D$5:$D$44,Premissas!$A$5:$A$44,$A3282,Premissas!$B$5:$B$44,$B3282))+R3282*SUMIFS(Premissas!$E$5:$E$44,Premissas!$A$5:$A$44,$A3282,Premissas!$B$5:$B$44,$B3282)+S3282*SUMIFS(Premissas!$F$5:$F$44,Premissas!$A$5:$A$44,$A3282,Premissas!$B$5:$B$44,$B3282)</f>
        <v/>
      </c>
      <c r="L3282" s="29">
        <f>J3282-K3282</f>
        <v/>
      </c>
      <c r="M3282" t="inlineStr">
        <is>
          <t>1.350</t>
        </is>
      </c>
      <c r="N3282" t="inlineStr">
        <is>
          <t>Modalidade: 0 - Por conta do remetente | Parte: SDB COMERCIAL LTDA (61.788.399/0001-01)</t>
        </is>
      </c>
      <c r="O3282" s="29" t="n">
        <v>0</v>
      </c>
      <c r="P3282" s="29" t="n">
        <v>0</v>
      </c>
      <c r="Q3282" s="29" t="n">
        <v>0</v>
      </c>
      <c r="R3282" s="29" t="n">
        <v>0</v>
      </c>
      <c r="S3282" s="29" t="n">
        <v>0</v>
      </c>
      <c r="T3282" t="inlineStr">
        <is>
          <t>25260426975620000130570010000068791001502144</t>
        </is>
      </c>
      <c r="U3282" t="inlineStr">
        <is>
          <t>Não</t>
        </is>
      </c>
    </row>
    <row r="3283">
      <c r="A3283" t="inlineStr">
        <is>
          <t>Frete de venda</t>
        </is>
      </c>
      <c r="B3283" t="inlineStr">
        <is>
          <t>2.01.02 Frete sobre Vendas</t>
        </is>
      </c>
      <c r="C3283" s="30" t="n">
        <v>46113</v>
      </c>
      <c r="D3283" t="inlineStr">
        <is>
          <t>Em 2026</t>
        </is>
      </c>
      <c r="E3283" s="28" t="n">
        <v>46137</v>
      </c>
      <c r="F3283" t="inlineStr">
        <is>
          <t>CT-e</t>
        </is>
      </c>
      <c r="G3283" t="inlineStr">
        <is>
          <t>000006880</t>
        </is>
      </c>
      <c r="H3283" t="inlineStr">
        <is>
          <t>R&amp;R TRANSPORTE E LOGISTICA</t>
        </is>
      </c>
      <c r="J3283" s="29" t="n">
        <v>19.74</v>
      </c>
      <c r="K3283" s="29">
        <f>(1-ISNUMBER(SEARCH("556",M3283)))*(O3283*SUMIFS(Premissas!$C$5:$C$44,Premissas!$A$5:$A$44,$A3283,Premissas!$B$5:$B$44,$B3283)+P3283*SUMIFS(Premissas!$D$5:$D$44,Premissas!$A$5:$A$44,$A3283,Premissas!$B$5:$B$44,$B3283))+R3283*SUMIFS(Premissas!$E$5:$E$44,Premissas!$A$5:$A$44,$A3283,Premissas!$B$5:$B$44,$B3283)+S3283*SUMIFS(Premissas!$F$5:$F$44,Premissas!$A$5:$A$44,$A3283,Premissas!$B$5:$B$44,$B3283)</f>
        <v/>
      </c>
      <c r="L3283" s="29">
        <f>J3283-K3283</f>
        <v/>
      </c>
      <c r="M3283" t="inlineStr">
        <is>
          <t>1.350</t>
        </is>
      </c>
      <c r="N3283" t="inlineStr">
        <is>
          <t>Modalidade: 0 - Por conta do remetente | Parte: COMANDOLLI COMERCIO DE EMBALAGENS LTDA (22.458.084/0001-44)</t>
        </is>
      </c>
      <c r="O3283" s="29" t="n">
        <v>0</v>
      </c>
      <c r="P3283" s="29" t="n">
        <v>0</v>
      </c>
      <c r="Q3283" s="29" t="n">
        <v>0</v>
      </c>
      <c r="R3283" s="29" t="n">
        <v>0</v>
      </c>
      <c r="S3283" s="29" t="n">
        <v>0</v>
      </c>
      <c r="T3283" t="inlineStr">
        <is>
          <t>25260426975620000130570010000068801001202222</t>
        </is>
      </c>
      <c r="U3283" t="inlineStr">
        <is>
          <t>Não</t>
        </is>
      </c>
    </row>
    <row r="3284">
      <c r="A3284" t="inlineStr">
        <is>
          <t>Frete de venda</t>
        </is>
      </c>
      <c r="B3284" t="inlineStr">
        <is>
          <t>2.01.02 Frete sobre Vendas</t>
        </is>
      </c>
      <c r="C3284" s="30" t="n">
        <v>46113</v>
      </c>
      <c r="D3284" t="inlineStr">
        <is>
          <t>Em 2026</t>
        </is>
      </c>
      <c r="E3284" s="28" t="n">
        <v>46137</v>
      </c>
      <c r="F3284" t="inlineStr">
        <is>
          <t>CT-e</t>
        </is>
      </c>
      <c r="G3284" t="inlineStr">
        <is>
          <t>000006881</t>
        </is>
      </c>
      <c r="H3284" t="inlineStr">
        <is>
          <t>R&amp;R TRANSPORTE E LOGISTICA</t>
        </is>
      </c>
      <c r="J3284" s="29" t="n">
        <v>16.79</v>
      </c>
      <c r="K3284" s="29">
        <f>(1-ISNUMBER(SEARCH("556",M3284)))*(O3284*SUMIFS(Premissas!$C$5:$C$44,Premissas!$A$5:$A$44,$A3284,Premissas!$B$5:$B$44,$B3284)+P3284*SUMIFS(Premissas!$D$5:$D$44,Premissas!$A$5:$A$44,$A3284,Premissas!$B$5:$B$44,$B3284))+R3284*SUMIFS(Premissas!$E$5:$E$44,Premissas!$A$5:$A$44,$A3284,Premissas!$B$5:$B$44,$B3284)+S3284*SUMIFS(Premissas!$F$5:$F$44,Premissas!$A$5:$A$44,$A3284,Premissas!$B$5:$B$44,$B3284)</f>
        <v/>
      </c>
      <c r="L3284" s="29">
        <f>J3284-K3284</f>
        <v/>
      </c>
      <c r="M3284" t="inlineStr">
        <is>
          <t>1.350</t>
        </is>
      </c>
      <c r="N3284" t="inlineStr">
        <is>
          <t>Modalidade: 0 - Por conta do remetente | Parte: COMERCIO E REPRESENTACOES BELLATO LTDA (83.215.830/0001-63)</t>
        </is>
      </c>
      <c r="O3284" s="29" t="n">
        <v>0</v>
      </c>
      <c r="P3284" s="29" t="n">
        <v>0</v>
      </c>
      <c r="Q3284" s="29" t="n">
        <v>0</v>
      </c>
      <c r="R3284" s="29" t="n">
        <v>0</v>
      </c>
      <c r="S3284" s="29" t="n">
        <v>0</v>
      </c>
      <c r="T3284" t="inlineStr">
        <is>
          <t>25260426975620000130570010000068811000150382</t>
        </is>
      </c>
      <c r="U3284" t="inlineStr">
        <is>
          <t>Não</t>
        </is>
      </c>
    </row>
    <row r="3285">
      <c r="A3285" t="inlineStr">
        <is>
          <t>Frete de venda</t>
        </is>
      </c>
      <c r="B3285" t="inlineStr">
        <is>
          <t>2.01.02 Frete sobre Vendas</t>
        </is>
      </c>
      <c r="C3285" s="30" t="n">
        <v>46113</v>
      </c>
      <c r="D3285" t="inlineStr">
        <is>
          <t>Em 2026</t>
        </is>
      </c>
      <c r="E3285" s="28" t="n">
        <v>46137</v>
      </c>
      <c r="F3285" t="inlineStr">
        <is>
          <t>CT-e</t>
        </is>
      </c>
      <c r="G3285" t="inlineStr">
        <is>
          <t>000006882</t>
        </is>
      </c>
      <c r="H3285" t="inlineStr">
        <is>
          <t>R&amp;R TRANSPORTE E LOGISTICA</t>
        </is>
      </c>
      <c r="J3285" s="29" t="n">
        <v>37.99</v>
      </c>
      <c r="K3285" s="29">
        <f>(1-ISNUMBER(SEARCH("556",M3285)))*(O3285*SUMIFS(Premissas!$C$5:$C$44,Premissas!$A$5:$A$44,$A3285,Premissas!$B$5:$B$44,$B3285)+P3285*SUMIFS(Premissas!$D$5:$D$44,Premissas!$A$5:$A$44,$A3285,Premissas!$B$5:$B$44,$B3285))+R3285*SUMIFS(Premissas!$E$5:$E$44,Premissas!$A$5:$A$44,$A3285,Premissas!$B$5:$B$44,$B3285)+S3285*SUMIFS(Premissas!$F$5:$F$44,Premissas!$A$5:$A$44,$A3285,Premissas!$B$5:$B$44,$B3285)</f>
        <v/>
      </c>
      <c r="L3285" s="29">
        <f>J3285-K3285</f>
        <v/>
      </c>
      <c r="M3285" t="inlineStr">
        <is>
          <t>1.350</t>
        </is>
      </c>
      <c r="N3285" t="inlineStr">
        <is>
          <t>Modalidade: 0 - Por conta do remetente | Parte: AMAFE FESTAS LTDA (57.492.281/0001-64)</t>
        </is>
      </c>
      <c r="O3285" s="29" t="n">
        <v>0</v>
      </c>
      <c r="P3285" s="29" t="n">
        <v>0</v>
      </c>
      <c r="Q3285" s="29" t="n">
        <v>0</v>
      </c>
      <c r="R3285" s="29" t="n">
        <v>0</v>
      </c>
      <c r="S3285" s="29" t="n">
        <v>0</v>
      </c>
      <c r="T3285" t="inlineStr">
        <is>
          <t>25260426975620000130570010000068821000120464</t>
        </is>
      </c>
      <c r="U3285" t="inlineStr">
        <is>
          <t>Não</t>
        </is>
      </c>
    </row>
    <row r="3286">
      <c r="A3286" t="inlineStr">
        <is>
          <t>Frete de venda</t>
        </is>
      </c>
      <c r="B3286" t="inlineStr">
        <is>
          <t>2.01.02 Frete sobre Vendas</t>
        </is>
      </c>
      <c r="C3286" s="30" t="n">
        <v>46113</v>
      </c>
      <c r="D3286" t="inlineStr">
        <is>
          <t>Em 2026</t>
        </is>
      </c>
      <c r="E3286" s="28" t="n">
        <v>46137</v>
      </c>
      <c r="F3286" t="inlineStr">
        <is>
          <t>CT-e</t>
        </is>
      </c>
      <c r="G3286" t="inlineStr">
        <is>
          <t>000006883</t>
        </is>
      </c>
      <c r="H3286" t="inlineStr">
        <is>
          <t>R&amp;R TRANSPORTE E LOGISTICA</t>
        </is>
      </c>
      <c r="J3286" s="29" t="n">
        <v>35.7</v>
      </c>
      <c r="K3286" s="29">
        <f>(1-ISNUMBER(SEARCH("556",M3286)))*(O3286*SUMIFS(Premissas!$C$5:$C$44,Premissas!$A$5:$A$44,$A3286,Premissas!$B$5:$B$44,$B3286)+P3286*SUMIFS(Premissas!$D$5:$D$44,Premissas!$A$5:$A$44,$A3286,Premissas!$B$5:$B$44,$B3286))+R3286*SUMIFS(Premissas!$E$5:$E$44,Premissas!$A$5:$A$44,$A3286,Premissas!$B$5:$B$44,$B3286)+S3286*SUMIFS(Premissas!$F$5:$F$44,Premissas!$A$5:$A$44,$A3286,Premissas!$B$5:$B$44,$B3286)</f>
        <v/>
      </c>
      <c r="L3286" s="29">
        <f>J3286-K3286</f>
        <v/>
      </c>
      <c r="M3286" t="inlineStr">
        <is>
          <t>1.350</t>
        </is>
      </c>
      <c r="N3286" t="inlineStr">
        <is>
          <t>Modalidade: 0 - Por conta do remetente | Parte: FIBRASIL COMERCIAL LTDA (16.697.552/0001-30)</t>
        </is>
      </c>
      <c r="O3286" s="29" t="n">
        <v>0</v>
      </c>
      <c r="P3286" s="29" t="n">
        <v>0</v>
      </c>
      <c r="Q3286" s="29" t="n">
        <v>0</v>
      </c>
      <c r="R3286" s="29" t="n">
        <v>0</v>
      </c>
      <c r="S3286" s="29" t="n">
        <v>0</v>
      </c>
      <c r="T3286" t="inlineStr">
        <is>
          <t>25260426975620000130570010000068831001100545</t>
        </is>
      </c>
      <c r="U3286" t="inlineStr">
        <is>
          <t>Não</t>
        </is>
      </c>
    </row>
    <row r="3287">
      <c r="A3287" t="inlineStr">
        <is>
          <t>Frete de venda</t>
        </is>
      </c>
      <c r="B3287" t="inlineStr">
        <is>
          <t>2.01.02 Frete sobre Vendas</t>
        </is>
      </c>
      <c r="C3287" s="30" t="n">
        <v>46113</v>
      </c>
      <c r="D3287" t="inlineStr">
        <is>
          <t>Em 2026</t>
        </is>
      </c>
      <c r="E3287" s="28" t="n">
        <v>46137</v>
      </c>
      <c r="F3287" t="inlineStr">
        <is>
          <t>CT-e</t>
        </is>
      </c>
      <c r="G3287" t="inlineStr">
        <is>
          <t>000006884</t>
        </is>
      </c>
      <c r="H3287" t="inlineStr">
        <is>
          <t>R&amp;R TRANSPORTE E LOGISTICA</t>
        </is>
      </c>
      <c r="J3287" s="29" t="n">
        <v>16.78</v>
      </c>
      <c r="K3287" s="29">
        <f>(1-ISNUMBER(SEARCH("556",M3287)))*(O3287*SUMIFS(Premissas!$C$5:$C$44,Premissas!$A$5:$A$44,$A3287,Premissas!$B$5:$B$44,$B3287)+P3287*SUMIFS(Premissas!$D$5:$D$44,Premissas!$A$5:$A$44,$A3287,Premissas!$B$5:$B$44,$B3287))+R3287*SUMIFS(Premissas!$E$5:$E$44,Premissas!$A$5:$A$44,$A3287,Premissas!$B$5:$B$44,$B3287)+S3287*SUMIFS(Premissas!$F$5:$F$44,Premissas!$A$5:$A$44,$A3287,Premissas!$B$5:$B$44,$B3287)</f>
        <v/>
      </c>
      <c r="L3287" s="29">
        <f>J3287-K3287</f>
        <v/>
      </c>
      <c r="M3287" t="inlineStr">
        <is>
          <t>1.350</t>
        </is>
      </c>
      <c r="N3287" t="inlineStr">
        <is>
          <t>Modalidade: 0 - Por conta do remetente | Parte: GALLA DESCARTAVEIS LTDA (08.020.416/0001-83)</t>
        </is>
      </c>
      <c r="O3287" s="29" t="n">
        <v>0</v>
      </c>
      <c r="P3287" s="29" t="n">
        <v>0</v>
      </c>
      <c r="Q3287" s="29" t="n">
        <v>0</v>
      </c>
      <c r="R3287" s="29" t="n">
        <v>0</v>
      </c>
      <c r="S3287" s="29" t="n">
        <v>0</v>
      </c>
      <c r="T3287" t="inlineStr">
        <is>
          <t>25260426975620000130570010000068841000170628</t>
        </is>
      </c>
      <c r="U3287" t="inlineStr">
        <is>
          <t>Não</t>
        </is>
      </c>
    </row>
    <row r="3288">
      <c r="A3288" t="inlineStr">
        <is>
          <t>Frete de venda</t>
        </is>
      </c>
      <c r="B3288" t="inlineStr">
        <is>
          <t>2.01.02 Frete sobre Vendas</t>
        </is>
      </c>
      <c r="C3288" s="30" t="n">
        <v>46113</v>
      </c>
      <c r="D3288" t="inlineStr">
        <is>
          <t>Em 2026</t>
        </is>
      </c>
      <c r="E3288" s="28" t="n">
        <v>46137</v>
      </c>
      <c r="F3288" t="inlineStr">
        <is>
          <t>CT-e</t>
        </is>
      </c>
      <c r="G3288" t="inlineStr">
        <is>
          <t>000006885</t>
        </is>
      </c>
      <c r="H3288" t="inlineStr">
        <is>
          <t>R&amp;R TRANSPORTE E LOGISTICA</t>
        </is>
      </c>
      <c r="J3288" s="29" t="n">
        <v>34.32</v>
      </c>
      <c r="K3288" s="29">
        <f>(1-ISNUMBER(SEARCH("556",M3288)))*(O3288*SUMIFS(Premissas!$C$5:$C$44,Premissas!$A$5:$A$44,$A3288,Premissas!$B$5:$B$44,$B3288)+P3288*SUMIFS(Premissas!$D$5:$D$44,Premissas!$A$5:$A$44,$A3288,Premissas!$B$5:$B$44,$B3288))+R3288*SUMIFS(Premissas!$E$5:$E$44,Premissas!$A$5:$A$44,$A3288,Premissas!$B$5:$B$44,$B3288)+S3288*SUMIFS(Premissas!$F$5:$F$44,Premissas!$A$5:$A$44,$A3288,Premissas!$B$5:$B$44,$B3288)</f>
        <v/>
      </c>
      <c r="L3288" s="29">
        <f>J3288-K3288</f>
        <v/>
      </c>
      <c r="M3288" t="inlineStr">
        <is>
          <t>1.350</t>
        </is>
      </c>
      <c r="N3288" t="inlineStr">
        <is>
          <t>Modalidade: 0 - Por conta do remetente | Parte: CIAPEL - COMERCIO DE PAPEIS E EMBALAGENS LTDA (79.701.744/0001-93)</t>
        </is>
      </c>
      <c r="O3288" s="29" t="n">
        <v>0</v>
      </c>
      <c r="P3288" s="29" t="n">
        <v>0</v>
      </c>
      <c r="Q3288" s="29" t="n">
        <v>0</v>
      </c>
      <c r="R3288" s="29" t="n">
        <v>0</v>
      </c>
      <c r="S3288" s="29" t="n">
        <v>0</v>
      </c>
      <c r="T3288" t="inlineStr">
        <is>
          <t>25260426975620000130570010000068851000140700</t>
        </is>
      </c>
      <c r="U3288" t="inlineStr">
        <is>
          <t>Não</t>
        </is>
      </c>
    </row>
    <row r="3289">
      <c r="A3289" t="inlineStr">
        <is>
          <t>Frete de venda</t>
        </is>
      </c>
      <c r="B3289" t="inlineStr">
        <is>
          <t>2.01.02 Frete sobre Vendas</t>
        </is>
      </c>
      <c r="C3289" s="30" t="n">
        <v>46113</v>
      </c>
      <c r="D3289" t="inlineStr">
        <is>
          <t>Em 2026</t>
        </is>
      </c>
      <c r="E3289" s="28" t="n">
        <v>46137</v>
      </c>
      <c r="F3289" t="inlineStr">
        <is>
          <t>CT-e</t>
        </is>
      </c>
      <c r="G3289" t="inlineStr">
        <is>
          <t>000006886</t>
        </is>
      </c>
      <c r="H3289" t="inlineStr">
        <is>
          <t>R&amp;R TRANSPORTE E LOGISTICA</t>
        </is>
      </c>
      <c r="J3289" s="29" t="n">
        <v>17.12</v>
      </c>
      <c r="K3289" s="29">
        <f>(1-ISNUMBER(SEARCH("556",M3289)))*(O3289*SUMIFS(Premissas!$C$5:$C$44,Premissas!$A$5:$A$44,$A3289,Premissas!$B$5:$B$44,$B3289)+P3289*SUMIFS(Premissas!$D$5:$D$44,Premissas!$A$5:$A$44,$A3289,Premissas!$B$5:$B$44,$B3289))+R3289*SUMIFS(Premissas!$E$5:$E$44,Premissas!$A$5:$A$44,$A3289,Premissas!$B$5:$B$44,$B3289)+S3289*SUMIFS(Premissas!$F$5:$F$44,Premissas!$A$5:$A$44,$A3289,Premissas!$B$5:$B$44,$B3289)</f>
        <v/>
      </c>
      <c r="L3289" s="29">
        <f>J3289-K3289</f>
        <v/>
      </c>
      <c r="M3289" t="inlineStr">
        <is>
          <t>1.350</t>
        </is>
      </c>
      <c r="N3289" t="inlineStr">
        <is>
          <t>Modalidade: 0 - Por conta do remetente | Parte: EMBRULHE EMBALAGENS BRUSQUE LTDA (03.686.059/0001-73)</t>
        </is>
      </c>
      <c r="O3289" s="29" t="n">
        <v>0</v>
      </c>
      <c r="P3289" s="29" t="n">
        <v>0</v>
      </c>
      <c r="Q3289" s="29" t="n">
        <v>0</v>
      </c>
      <c r="R3289" s="29" t="n">
        <v>0</v>
      </c>
      <c r="S3289" s="29" t="n">
        <v>0</v>
      </c>
      <c r="T3289" t="inlineStr">
        <is>
          <t>25260426975620000130570010000068861000110786</t>
        </is>
      </c>
      <c r="U3289" t="inlineStr">
        <is>
          <t>Não</t>
        </is>
      </c>
    </row>
    <row r="3290">
      <c r="A3290" t="inlineStr">
        <is>
          <t>Frete de venda</t>
        </is>
      </c>
      <c r="B3290" t="inlineStr">
        <is>
          <t>2.01.02 Frete sobre Vendas</t>
        </is>
      </c>
      <c r="C3290" s="30" t="n">
        <v>46113</v>
      </c>
      <c r="D3290" t="inlineStr">
        <is>
          <t>Em 2026</t>
        </is>
      </c>
      <c r="E3290" s="28" t="n">
        <v>46137</v>
      </c>
      <c r="F3290" t="inlineStr">
        <is>
          <t>CT-e</t>
        </is>
      </c>
      <c r="G3290" t="inlineStr">
        <is>
          <t>000006887</t>
        </is>
      </c>
      <c r="H3290" t="inlineStr">
        <is>
          <t>R&amp;R TRANSPORTE E LOGISTICA</t>
        </is>
      </c>
      <c r="J3290" s="29" t="n">
        <v>11.05</v>
      </c>
      <c r="K3290" s="29">
        <f>(1-ISNUMBER(SEARCH("556",M3290)))*(O3290*SUMIFS(Premissas!$C$5:$C$44,Premissas!$A$5:$A$44,$A3290,Premissas!$B$5:$B$44,$B3290)+P3290*SUMIFS(Premissas!$D$5:$D$44,Premissas!$A$5:$A$44,$A3290,Premissas!$B$5:$B$44,$B3290))+R3290*SUMIFS(Premissas!$E$5:$E$44,Premissas!$A$5:$A$44,$A3290,Premissas!$B$5:$B$44,$B3290)+S3290*SUMIFS(Premissas!$F$5:$F$44,Premissas!$A$5:$A$44,$A3290,Premissas!$B$5:$B$44,$B3290)</f>
        <v/>
      </c>
      <c r="L3290" s="29">
        <f>J3290-K3290</f>
        <v/>
      </c>
      <c r="M3290" t="inlineStr">
        <is>
          <t>1.350</t>
        </is>
      </c>
      <c r="N3290" t="inlineStr">
        <is>
          <t>Modalidade: 0 - Por conta do remetente | Parte: MULTIPEL EMBALAGENS UMUARAMA LTDA (45.733.992/0001-02)</t>
        </is>
      </c>
      <c r="O3290" s="29" t="n">
        <v>0</v>
      </c>
      <c r="P3290" s="29" t="n">
        <v>0</v>
      </c>
      <c r="Q3290" s="29" t="n">
        <v>0</v>
      </c>
      <c r="R3290" s="29" t="n">
        <v>0</v>
      </c>
      <c r="S3290" s="29" t="n">
        <v>0</v>
      </c>
      <c r="T3290" t="inlineStr">
        <is>
          <t>25260426975620000130570010000068871000190868</t>
        </is>
      </c>
      <c r="U3290" t="inlineStr">
        <is>
          <t>Não</t>
        </is>
      </c>
    </row>
    <row r="3291">
      <c r="A3291" t="inlineStr">
        <is>
          <t>Frete de venda</t>
        </is>
      </c>
      <c r="B3291" t="inlineStr">
        <is>
          <t>2.01.02 Frete sobre Vendas</t>
        </is>
      </c>
      <c r="C3291" s="30" t="n">
        <v>46113</v>
      </c>
      <c r="D3291" t="inlineStr">
        <is>
          <t>Em 2026</t>
        </is>
      </c>
      <c r="E3291" s="28" t="n">
        <v>46137</v>
      </c>
      <c r="F3291" t="inlineStr">
        <is>
          <t>CT-e</t>
        </is>
      </c>
      <c r="G3291" t="inlineStr">
        <is>
          <t>000006888</t>
        </is>
      </c>
      <c r="H3291" t="inlineStr">
        <is>
          <t>R&amp;R TRANSPORTE E LOGISTICA</t>
        </is>
      </c>
      <c r="J3291" s="29" t="n">
        <v>14.73</v>
      </c>
      <c r="K3291" s="29">
        <f>(1-ISNUMBER(SEARCH("556",M3291)))*(O3291*SUMIFS(Premissas!$C$5:$C$44,Premissas!$A$5:$A$44,$A3291,Premissas!$B$5:$B$44,$B3291)+P3291*SUMIFS(Premissas!$D$5:$D$44,Premissas!$A$5:$A$44,$A3291,Premissas!$B$5:$B$44,$B3291))+R3291*SUMIFS(Premissas!$E$5:$E$44,Premissas!$A$5:$A$44,$A3291,Premissas!$B$5:$B$44,$B3291)+S3291*SUMIFS(Premissas!$F$5:$F$44,Premissas!$A$5:$A$44,$A3291,Premissas!$B$5:$B$44,$B3291)</f>
        <v/>
      </c>
      <c r="L3291" s="29">
        <f>J3291-K3291</f>
        <v/>
      </c>
      <c r="M3291" t="inlineStr">
        <is>
          <t>1.350</t>
        </is>
      </c>
      <c r="N3291" t="inlineStr">
        <is>
          <t>Modalidade: 0 - Por conta do remetente | Parte: JB AGGIO LTDA (95.420.758/0001-95)</t>
        </is>
      </c>
      <c r="O3291" s="29" t="n">
        <v>0</v>
      </c>
      <c r="P3291" s="29" t="n">
        <v>0</v>
      </c>
      <c r="Q3291" s="29" t="n">
        <v>0</v>
      </c>
      <c r="R3291" s="29" t="n">
        <v>0</v>
      </c>
      <c r="S3291" s="29" t="n">
        <v>0</v>
      </c>
      <c r="T3291" t="inlineStr">
        <is>
          <t>25260426975620000130570010000068881000160940</t>
        </is>
      </c>
      <c r="U3291" t="inlineStr">
        <is>
          <t>Não</t>
        </is>
      </c>
    </row>
    <row r="3292">
      <c r="A3292" t="inlineStr">
        <is>
          <t>Frete de venda</t>
        </is>
      </c>
      <c r="B3292" t="inlineStr">
        <is>
          <t>2.01.02 Frete sobre Vendas</t>
        </is>
      </c>
      <c r="C3292" s="30" t="n">
        <v>46113</v>
      </c>
      <c r="D3292" t="inlineStr">
        <is>
          <t>Em 2026</t>
        </is>
      </c>
      <c r="E3292" s="28" t="n">
        <v>46137</v>
      </c>
      <c r="F3292" t="inlineStr">
        <is>
          <t>CT-e</t>
        </is>
      </c>
      <c r="G3292" t="inlineStr">
        <is>
          <t>000006889</t>
        </is>
      </c>
      <c r="H3292" t="inlineStr">
        <is>
          <t>R&amp;R TRANSPORTE E LOGISTICA</t>
        </is>
      </c>
      <c r="J3292" s="29" t="n">
        <v>14.8</v>
      </c>
      <c r="K3292" s="29">
        <f>(1-ISNUMBER(SEARCH("556",M3292)))*(O3292*SUMIFS(Premissas!$C$5:$C$44,Premissas!$A$5:$A$44,$A3292,Premissas!$B$5:$B$44,$B3292)+P3292*SUMIFS(Premissas!$D$5:$D$44,Premissas!$A$5:$A$44,$A3292,Premissas!$B$5:$B$44,$B3292))+R3292*SUMIFS(Premissas!$E$5:$E$44,Premissas!$A$5:$A$44,$A3292,Premissas!$B$5:$B$44,$B3292)+S3292*SUMIFS(Premissas!$F$5:$F$44,Premissas!$A$5:$A$44,$A3292,Premissas!$B$5:$B$44,$B3292)</f>
        <v/>
      </c>
      <c r="L3292" s="29">
        <f>J3292-K3292</f>
        <v/>
      </c>
      <c r="M3292" t="inlineStr">
        <is>
          <t>1.350</t>
        </is>
      </c>
      <c r="N3292" t="inlineStr">
        <is>
          <t>Modalidade: 0 - Por conta do remetente | Parte: CENTRAL DA EMBALAGEM LTDA (40.409.557/0001-03)</t>
        </is>
      </c>
      <c r="O3292" s="29" t="n">
        <v>0</v>
      </c>
      <c r="P3292" s="29" t="n">
        <v>0</v>
      </c>
      <c r="Q3292" s="29" t="n">
        <v>0</v>
      </c>
      <c r="R3292" s="29" t="n">
        <v>0</v>
      </c>
      <c r="S3292" s="29" t="n">
        <v>0</v>
      </c>
      <c r="T3292" t="inlineStr">
        <is>
          <t>25260426975620000130570010000068891001301021</t>
        </is>
      </c>
      <c r="U3292" t="inlineStr">
        <is>
          <t>Não</t>
        </is>
      </c>
    </row>
    <row r="3293">
      <c r="A3293" t="inlineStr">
        <is>
          <t>Frete de venda</t>
        </is>
      </c>
      <c r="B3293" t="inlineStr">
        <is>
          <t>2.01.02 Frete sobre Vendas</t>
        </is>
      </c>
      <c r="C3293" s="30" t="n">
        <v>46113</v>
      </c>
      <c r="D3293" t="inlineStr">
        <is>
          <t>Em 2026</t>
        </is>
      </c>
      <c r="E3293" s="28" t="n">
        <v>46137</v>
      </c>
      <c r="F3293" t="inlineStr">
        <is>
          <t>CT-e</t>
        </is>
      </c>
      <c r="G3293" t="inlineStr">
        <is>
          <t>000006890</t>
        </is>
      </c>
      <c r="H3293" t="inlineStr">
        <is>
          <t>R&amp;R TRANSPORTE E LOGISTICA</t>
        </is>
      </c>
      <c r="J3293" s="29" t="n">
        <v>16.9</v>
      </c>
      <c r="K3293" s="29">
        <f>(1-ISNUMBER(SEARCH("556",M3293)))*(O3293*SUMIFS(Premissas!$C$5:$C$44,Premissas!$A$5:$A$44,$A3293,Premissas!$B$5:$B$44,$B3293)+P3293*SUMIFS(Premissas!$D$5:$D$44,Premissas!$A$5:$A$44,$A3293,Premissas!$B$5:$B$44,$B3293))+R3293*SUMIFS(Premissas!$E$5:$E$44,Premissas!$A$5:$A$44,$A3293,Premissas!$B$5:$B$44,$B3293)+S3293*SUMIFS(Premissas!$F$5:$F$44,Premissas!$A$5:$A$44,$A3293,Premissas!$B$5:$B$44,$B3293)</f>
        <v/>
      </c>
      <c r="L3293" s="29">
        <f>J3293-K3293</f>
        <v/>
      </c>
      <c r="M3293" t="inlineStr">
        <is>
          <t>1.350</t>
        </is>
      </c>
      <c r="N3293" t="inlineStr">
        <is>
          <t>Modalidade: 0 - Por conta do remetente | Parte: REINALDO CASSIANO TABONI (28.524.883/0001-58)</t>
        </is>
      </c>
      <c r="O3293" s="29" t="n">
        <v>0</v>
      </c>
      <c r="P3293" s="29" t="n">
        <v>0</v>
      </c>
      <c r="Q3293" s="29" t="n">
        <v>0</v>
      </c>
      <c r="R3293" s="29" t="n">
        <v>0</v>
      </c>
      <c r="S3293" s="29" t="n">
        <v>0</v>
      </c>
      <c r="T3293" t="inlineStr">
        <is>
          <t>25260426975620000130570010000068901000101100</t>
        </is>
      </c>
      <c r="U3293" t="inlineStr">
        <is>
          <t>Não</t>
        </is>
      </c>
    </row>
    <row r="3294">
      <c r="A3294" t="inlineStr">
        <is>
          <t>Frete de venda</t>
        </is>
      </c>
      <c r="B3294" t="inlineStr">
        <is>
          <t>2.01.02 Frete sobre Vendas</t>
        </is>
      </c>
      <c r="C3294" s="30" t="n">
        <v>46113</v>
      </c>
      <c r="D3294" t="inlineStr">
        <is>
          <t>Em 2026</t>
        </is>
      </c>
      <c r="E3294" s="28" t="n">
        <v>46137</v>
      </c>
      <c r="F3294" t="inlineStr">
        <is>
          <t>CT-e</t>
        </is>
      </c>
      <c r="G3294" t="inlineStr">
        <is>
          <t>000006891</t>
        </is>
      </c>
      <c r="H3294" t="inlineStr">
        <is>
          <t>R&amp;R TRANSPORTE E LOGISTICA</t>
        </is>
      </c>
      <c r="J3294" s="29" t="n">
        <v>22.6</v>
      </c>
      <c r="K3294" s="29">
        <f>(1-ISNUMBER(SEARCH("556",M3294)))*(O3294*SUMIFS(Premissas!$C$5:$C$44,Premissas!$A$5:$A$44,$A3294,Premissas!$B$5:$B$44,$B3294)+P3294*SUMIFS(Premissas!$D$5:$D$44,Premissas!$A$5:$A$44,$A3294,Premissas!$B$5:$B$44,$B3294))+R3294*SUMIFS(Premissas!$E$5:$E$44,Premissas!$A$5:$A$44,$A3294,Premissas!$B$5:$B$44,$B3294)+S3294*SUMIFS(Premissas!$F$5:$F$44,Premissas!$A$5:$A$44,$A3294,Premissas!$B$5:$B$44,$B3294)</f>
        <v/>
      </c>
      <c r="L3294" s="29">
        <f>J3294-K3294</f>
        <v/>
      </c>
      <c r="M3294" t="inlineStr">
        <is>
          <t>1.350</t>
        </is>
      </c>
      <c r="N3294" t="inlineStr">
        <is>
          <t>Modalidade: 0 - Por conta do remetente | Parte: CAMPOPLASTIC ATACADO LTDA. (30.385.394/0001-04)</t>
        </is>
      </c>
      <c r="O3294" s="29" t="n">
        <v>0</v>
      </c>
      <c r="P3294" s="29" t="n">
        <v>0</v>
      </c>
      <c r="Q3294" s="29" t="n">
        <v>0</v>
      </c>
      <c r="R3294" s="29" t="n">
        <v>0</v>
      </c>
      <c r="S3294" s="29" t="n">
        <v>0</v>
      </c>
      <c r="T3294" t="inlineStr">
        <is>
          <t>25260426975620000130570010000068911000110450</t>
        </is>
      </c>
      <c r="U3294" t="inlineStr">
        <is>
          <t>Não</t>
        </is>
      </c>
    </row>
    <row r="3295">
      <c r="A3295" t="inlineStr">
        <is>
          <t>Frete de venda</t>
        </is>
      </c>
      <c r="B3295" t="inlineStr">
        <is>
          <t>2.01.02 Frete sobre Vendas</t>
        </is>
      </c>
      <c r="C3295" s="30" t="n">
        <v>46113</v>
      </c>
      <c r="D3295" t="inlineStr">
        <is>
          <t>Em 2026</t>
        </is>
      </c>
      <c r="E3295" s="28" t="n">
        <v>46137</v>
      </c>
      <c r="F3295" t="inlineStr">
        <is>
          <t>CT-e</t>
        </is>
      </c>
      <c r="G3295" t="inlineStr">
        <is>
          <t>000006892</t>
        </is>
      </c>
      <c r="H3295" t="inlineStr">
        <is>
          <t>R&amp;R TRANSPORTE E LOGISTICA</t>
        </is>
      </c>
      <c r="J3295" s="29" t="n">
        <v>17.78</v>
      </c>
      <c r="K3295" s="29">
        <f>(1-ISNUMBER(SEARCH("556",M3295)))*(O3295*SUMIFS(Premissas!$C$5:$C$44,Premissas!$A$5:$A$44,$A3295,Premissas!$B$5:$B$44,$B3295)+P3295*SUMIFS(Premissas!$D$5:$D$44,Premissas!$A$5:$A$44,$A3295,Premissas!$B$5:$B$44,$B3295))+R3295*SUMIFS(Premissas!$E$5:$E$44,Premissas!$A$5:$A$44,$A3295,Premissas!$B$5:$B$44,$B3295)+S3295*SUMIFS(Premissas!$F$5:$F$44,Premissas!$A$5:$A$44,$A3295,Premissas!$B$5:$B$44,$B3295)</f>
        <v/>
      </c>
      <c r="L3295" s="29">
        <f>J3295-K3295</f>
        <v/>
      </c>
      <c r="M3295" t="inlineStr">
        <is>
          <t>1.350</t>
        </is>
      </c>
      <c r="N3295" t="inlineStr">
        <is>
          <t>Modalidade: 0 - Por conta do remetente | Parte: KIMURA E CANTO LTDA (38.392.308/0002-83)</t>
        </is>
      </c>
      <c r="O3295" s="29" t="n">
        <v>0</v>
      </c>
      <c r="P3295" s="29" t="n">
        <v>0</v>
      </c>
      <c r="Q3295" s="29" t="n">
        <v>0</v>
      </c>
      <c r="R3295" s="29" t="n">
        <v>0</v>
      </c>
      <c r="S3295" s="29" t="n">
        <v>0</v>
      </c>
      <c r="T3295" t="inlineStr">
        <is>
          <t>25260426975620000130570010000068921000190531</t>
        </is>
      </c>
      <c r="U3295" t="inlineStr">
        <is>
          <t>Não</t>
        </is>
      </c>
    </row>
    <row r="3296">
      <c r="A3296" t="inlineStr">
        <is>
          <t>Frete de venda</t>
        </is>
      </c>
      <c r="B3296" t="inlineStr">
        <is>
          <t>2.01.02 Frete sobre Vendas</t>
        </is>
      </c>
      <c r="C3296" s="30" t="n">
        <v>46113</v>
      </c>
      <c r="D3296" t="inlineStr">
        <is>
          <t>Em 2026</t>
        </is>
      </c>
      <c r="E3296" s="28" t="n">
        <v>46137</v>
      </c>
      <c r="F3296" t="inlineStr">
        <is>
          <t>CT-e</t>
        </is>
      </c>
      <c r="G3296" t="inlineStr">
        <is>
          <t>000006893</t>
        </is>
      </c>
      <c r="H3296" t="inlineStr">
        <is>
          <t>R&amp;R TRANSPORTE E LOGISTICA</t>
        </is>
      </c>
      <c r="J3296" s="29" t="n">
        <v>94.36</v>
      </c>
      <c r="K3296" s="29">
        <f>(1-ISNUMBER(SEARCH("556",M3296)))*(O3296*SUMIFS(Premissas!$C$5:$C$44,Premissas!$A$5:$A$44,$A3296,Premissas!$B$5:$B$44,$B3296)+P3296*SUMIFS(Premissas!$D$5:$D$44,Premissas!$A$5:$A$44,$A3296,Premissas!$B$5:$B$44,$B3296))+R3296*SUMIFS(Premissas!$E$5:$E$44,Premissas!$A$5:$A$44,$A3296,Premissas!$B$5:$B$44,$B3296)+S3296*SUMIFS(Premissas!$F$5:$F$44,Premissas!$A$5:$A$44,$A3296,Premissas!$B$5:$B$44,$B3296)</f>
        <v/>
      </c>
      <c r="L3296" s="29">
        <f>J3296-K3296</f>
        <v/>
      </c>
      <c r="M3296" t="inlineStr">
        <is>
          <t>1.350</t>
        </is>
      </c>
      <c r="N3296" t="inlineStr">
        <is>
          <t>Modalidade: 0 - Por conta do remetente | Parte: BEV DISTRIBUIDORA LTDA (54.949.786/0001-17)</t>
        </is>
      </c>
      <c r="O3296" s="29" t="n">
        <v>0</v>
      </c>
      <c r="P3296" s="29" t="n">
        <v>0</v>
      </c>
      <c r="Q3296" s="29" t="n">
        <v>0</v>
      </c>
      <c r="R3296" s="29" t="n">
        <v>0</v>
      </c>
      <c r="S3296" s="29" t="n">
        <v>0</v>
      </c>
      <c r="T3296" t="inlineStr">
        <is>
          <t>25260426975620000130570010000068931000160613</t>
        </is>
      </c>
      <c r="U3296" t="inlineStr">
        <is>
          <t>Não</t>
        </is>
      </c>
    </row>
    <row r="3297">
      <c r="A3297" t="inlineStr">
        <is>
          <t>Frete de venda</t>
        </is>
      </c>
      <c r="B3297" t="inlineStr">
        <is>
          <t>2.01.02 Frete sobre Vendas</t>
        </is>
      </c>
      <c r="C3297" s="30" t="n">
        <v>46113</v>
      </c>
      <c r="D3297" t="inlineStr">
        <is>
          <t>Em 2026</t>
        </is>
      </c>
      <c r="E3297" s="28" t="n">
        <v>46137</v>
      </c>
      <c r="F3297" t="inlineStr">
        <is>
          <t>CT-e</t>
        </is>
      </c>
      <c r="G3297" t="inlineStr">
        <is>
          <t>000006894</t>
        </is>
      </c>
      <c r="H3297" t="inlineStr">
        <is>
          <t>R&amp;R TRANSPORTE E LOGISTICA</t>
        </is>
      </c>
      <c r="J3297" s="29" t="n">
        <v>18.5</v>
      </c>
      <c r="K3297" s="29">
        <f>(1-ISNUMBER(SEARCH("556",M3297)))*(O3297*SUMIFS(Premissas!$C$5:$C$44,Premissas!$A$5:$A$44,$A3297,Premissas!$B$5:$B$44,$B3297)+P3297*SUMIFS(Premissas!$D$5:$D$44,Premissas!$A$5:$A$44,$A3297,Premissas!$B$5:$B$44,$B3297))+R3297*SUMIFS(Premissas!$E$5:$E$44,Premissas!$A$5:$A$44,$A3297,Premissas!$B$5:$B$44,$B3297)+S3297*SUMIFS(Premissas!$F$5:$F$44,Premissas!$A$5:$A$44,$A3297,Premissas!$B$5:$B$44,$B3297)</f>
        <v/>
      </c>
      <c r="L3297" s="29">
        <f>J3297-K3297</f>
        <v/>
      </c>
      <c r="M3297" t="inlineStr">
        <is>
          <t>1.350</t>
        </is>
      </c>
      <c r="N3297" t="inlineStr">
        <is>
          <t>Modalidade: 0 - Por conta do remetente | Parte: FRIOSETE COMERCIO DE FRIOS LTDA (97.426.472/0001-42)</t>
        </is>
      </c>
      <c r="O3297" s="29" t="n">
        <v>0</v>
      </c>
      <c r="P3297" s="29" t="n">
        <v>0</v>
      </c>
      <c r="Q3297" s="29" t="n">
        <v>0</v>
      </c>
      <c r="R3297" s="29" t="n">
        <v>0</v>
      </c>
      <c r="S3297" s="29" t="n">
        <v>0</v>
      </c>
      <c r="T3297" t="inlineStr">
        <is>
          <t>25260426975620000130570010000068941000130690</t>
        </is>
      </c>
      <c r="U3297" t="inlineStr">
        <is>
          <t>Não</t>
        </is>
      </c>
    </row>
    <row r="3298">
      <c r="A3298" t="inlineStr">
        <is>
          <t>Frete de venda</t>
        </is>
      </c>
      <c r="B3298" t="inlineStr">
        <is>
          <t>2.01.02 Frete sobre Vendas</t>
        </is>
      </c>
      <c r="C3298" s="30" t="n">
        <v>46113</v>
      </c>
      <c r="D3298" t="inlineStr">
        <is>
          <t>Em 2026</t>
        </is>
      </c>
      <c r="E3298" s="28" t="n">
        <v>46137</v>
      </c>
      <c r="F3298" t="inlineStr">
        <is>
          <t>CT-e</t>
        </is>
      </c>
      <c r="G3298" t="inlineStr">
        <is>
          <t>000006895</t>
        </is>
      </c>
      <c r="H3298" t="inlineStr">
        <is>
          <t>R&amp;R TRANSPORTE E LOGISTICA</t>
        </is>
      </c>
      <c r="J3298" s="29" t="n">
        <v>18.09</v>
      </c>
      <c r="K3298" s="29">
        <f>(1-ISNUMBER(SEARCH("556",M3298)))*(O3298*SUMIFS(Premissas!$C$5:$C$44,Premissas!$A$5:$A$44,$A3298,Premissas!$B$5:$B$44,$B3298)+P3298*SUMIFS(Premissas!$D$5:$D$44,Premissas!$A$5:$A$44,$A3298,Premissas!$B$5:$B$44,$B3298))+R3298*SUMIFS(Premissas!$E$5:$E$44,Premissas!$A$5:$A$44,$A3298,Premissas!$B$5:$B$44,$B3298)+S3298*SUMIFS(Premissas!$F$5:$F$44,Premissas!$A$5:$A$44,$A3298,Premissas!$B$5:$B$44,$B3298)</f>
        <v/>
      </c>
      <c r="L3298" s="29">
        <f>J3298-K3298</f>
        <v/>
      </c>
      <c r="M3298" t="inlineStr">
        <is>
          <t>1.350</t>
        </is>
      </c>
      <c r="N3298" t="inlineStr">
        <is>
          <t>Modalidade: 0 - Por conta do remetente | Parte: TIAKI KAKINOKI LTDA (78.226.768/0001-75)</t>
        </is>
      </c>
      <c r="O3298" s="29" t="n">
        <v>0</v>
      </c>
      <c r="P3298" s="29" t="n">
        <v>0</v>
      </c>
      <c r="Q3298" s="29" t="n">
        <v>0</v>
      </c>
      <c r="R3298" s="29" t="n">
        <v>0</v>
      </c>
      <c r="S3298" s="29" t="n">
        <v>0</v>
      </c>
      <c r="T3298" t="inlineStr">
        <is>
          <t>25260426975620000130570010000068951000010772</t>
        </is>
      </c>
      <c r="U3298" t="inlineStr">
        <is>
          <t>Não</t>
        </is>
      </c>
    </row>
    <row r="3299">
      <c r="A3299" t="inlineStr">
        <is>
          <t>Frete de venda</t>
        </is>
      </c>
      <c r="B3299" t="inlineStr">
        <is>
          <t>2.01.02 Frete sobre Vendas</t>
        </is>
      </c>
      <c r="C3299" s="30" t="n">
        <v>46113</v>
      </c>
      <c r="D3299" t="inlineStr">
        <is>
          <t>Em 2026</t>
        </is>
      </c>
      <c r="E3299" s="28" t="n">
        <v>46137</v>
      </c>
      <c r="F3299" t="inlineStr">
        <is>
          <t>CT-e</t>
        </is>
      </c>
      <c r="G3299" t="inlineStr">
        <is>
          <t>000006896</t>
        </is>
      </c>
      <c r="H3299" t="inlineStr">
        <is>
          <t>R&amp;R TRANSPORTE E LOGISTICA</t>
        </is>
      </c>
      <c r="J3299" s="29" t="n">
        <v>15.9</v>
      </c>
      <c r="K3299" s="29">
        <f>(1-ISNUMBER(SEARCH("556",M3299)))*(O3299*SUMIFS(Premissas!$C$5:$C$44,Premissas!$A$5:$A$44,$A3299,Premissas!$B$5:$B$44,$B3299)+P3299*SUMIFS(Premissas!$D$5:$D$44,Premissas!$A$5:$A$44,$A3299,Premissas!$B$5:$B$44,$B3299))+R3299*SUMIFS(Premissas!$E$5:$E$44,Premissas!$A$5:$A$44,$A3299,Premissas!$B$5:$B$44,$B3299)+S3299*SUMIFS(Premissas!$F$5:$F$44,Premissas!$A$5:$A$44,$A3299,Premissas!$B$5:$B$44,$B3299)</f>
        <v/>
      </c>
      <c r="L3299" s="29">
        <f>J3299-K3299</f>
        <v/>
      </c>
      <c r="M3299" t="inlineStr">
        <is>
          <t>1.350</t>
        </is>
      </c>
      <c r="N3299" t="inlineStr">
        <is>
          <t>Modalidade: 0 - Por conta do remetente | Parte: PLASGI EMBALAGENS LTDA (80.361.579/0001-57)</t>
        </is>
      </c>
      <c r="O3299" s="29" t="n">
        <v>0</v>
      </c>
      <c r="P3299" s="29" t="n">
        <v>0</v>
      </c>
      <c r="Q3299" s="29" t="n">
        <v>0</v>
      </c>
      <c r="R3299" s="29" t="n">
        <v>0</v>
      </c>
      <c r="S3299" s="29" t="n">
        <v>0</v>
      </c>
      <c r="T3299" t="inlineStr">
        <is>
          <t>25260426975620000130570010000068961000180853</t>
        </is>
      </c>
      <c r="U3299" t="inlineStr">
        <is>
          <t>Não</t>
        </is>
      </c>
    </row>
    <row r="3300">
      <c r="A3300" t="inlineStr">
        <is>
          <t>Frete de venda</t>
        </is>
      </c>
      <c r="B3300" t="inlineStr">
        <is>
          <t>2.01.02 Frete sobre Vendas</t>
        </is>
      </c>
      <c r="C3300" s="30" t="n">
        <v>46113</v>
      </c>
      <c r="D3300" t="inlineStr">
        <is>
          <t>Em 2026</t>
        </is>
      </c>
      <c r="E3300" s="28" t="n">
        <v>46137</v>
      </c>
      <c r="F3300" t="inlineStr">
        <is>
          <t>CT-e</t>
        </is>
      </c>
      <c r="G3300" t="inlineStr">
        <is>
          <t>000006897</t>
        </is>
      </c>
      <c r="H3300" t="inlineStr">
        <is>
          <t>R&amp;R TRANSPORTE E LOGISTICA</t>
        </is>
      </c>
      <c r="J3300" s="29" t="n">
        <v>55.21</v>
      </c>
      <c r="K3300" s="29">
        <f>(1-ISNUMBER(SEARCH("556",M3300)))*(O3300*SUMIFS(Premissas!$C$5:$C$44,Premissas!$A$5:$A$44,$A3300,Premissas!$B$5:$B$44,$B3300)+P3300*SUMIFS(Premissas!$D$5:$D$44,Premissas!$A$5:$A$44,$A3300,Premissas!$B$5:$B$44,$B3300))+R3300*SUMIFS(Premissas!$E$5:$E$44,Premissas!$A$5:$A$44,$A3300,Premissas!$B$5:$B$44,$B3300)+S3300*SUMIFS(Premissas!$F$5:$F$44,Premissas!$A$5:$A$44,$A3300,Premissas!$B$5:$B$44,$B3300)</f>
        <v/>
      </c>
      <c r="L3300" s="29">
        <f>J3300-K3300</f>
        <v/>
      </c>
      <c r="M3300" t="inlineStr">
        <is>
          <t>1.350</t>
        </is>
      </c>
      <c r="N3300" t="inlineStr">
        <is>
          <t>Modalidade: 0 - Por conta do remetente | Parte: CASA NOVA COMERCIO DE EMBALAGENS LTDA (05.390.605/0001-50)</t>
        </is>
      </c>
      <c r="O3300" s="29" t="n">
        <v>0</v>
      </c>
      <c r="P3300" s="29" t="n">
        <v>0</v>
      </c>
      <c r="Q3300" s="29" t="n">
        <v>0</v>
      </c>
      <c r="R3300" s="29" t="n">
        <v>0</v>
      </c>
      <c r="S3300" s="29" t="n">
        <v>0</v>
      </c>
      <c r="T3300" t="inlineStr">
        <is>
          <t>25260426975620000130570010000068971000150935</t>
        </is>
      </c>
      <c r="U3300" t="inlineStr">
        <is>
          <t>Não</t>
        </is>
      </c>
    </row>
    <row r="3301">
      <c r="A3301" t="inlineStr">
        <is>
          <t>Frete de venda</t>
        </is>
      </c>
      <c r="B3301" t="inlineStr">
        <is>
          <t>2.01.02 Frete sobre Vendas</t>
        </is>
      </c>
      <c r="C3301" s="30" t="n">
        <v>46113</v>
      </c>
      <c r="D3301" t="inlineStr">
        <is>
          <t>Em 2026</t>
        </is>
      </c>
      <c r="E3301" s="28" t="n">
        <v>46137</v>
      </c>
      <c r="F3301" t="inlineStr">
        <is>
          <t>CT-e</t>
        </is>
      </c>
      <c r="G3301" t="inlineStr">
        <is>
          <t>000006898</t>
        </is>
      </c>
      <c r="H3301" t="inlineStr">
        <is>
          <t>R&amp;R TRANSPORTE E LOGISTICA</t>
        </is>
      </c>
      <c r="J3301" s="29" t="n">
        <v>13.84</v>
      </c>
      <c r="K3301" s="29">
        <f>(1-ISNUMBER(SEARCH("556",M3301)))*(O3301*SUMIFS(Premissas!$C$5:$C$44,Premissas!$A$5:$A$44,$A3301,Premissas!$B$5:$B$44,$B3301)+P3301*SUMIFS(Premissas!$D$5:$D$44,Premissas!$A$5:$A$44,$A3301,Premissas!$B$5:$B$44,$B3301))+R3301*SUMIFS(Premissas!$E$5:$E$44,Premissas!$A$5:$A$44,$A3301,Premissas!$B$5:$B$44,$B3301)+S3301*SUMIFS(Premissas!$F$5:$F$44,Premissas!$A$5:$A$44,$A3301,Premissas!$B$5:$B$44,$B3301)</f>
        <v/>
      </c>
      <c r="L3301" s="29">
        <f>J3301-K3301</f>
        <v/>
      </c>
      <c r="M3301" t="inlineStr">
        <is>
          <t>1.350</t>
        </is>
      </c>
      <c r="N3301" t="inlineStr">
        <is>
          <t>Modalidade: 0 - Por conta do remetente | Parte: MARIA JOSINA DE FREITAS (02.010.967/0001-80)</t>
        </is>
      </c>
      <c r="O3301" s="29" t="n">
        <v>0</v>
      </c>
      <c r="P3301" s="29" t="n">
        <v>0</v>
      </c>
      <c r="Q3301" s="29" t="n">
        <v>0</v>
      </c>
      <c r="R3301" s="29" t="n">
        <v>0</v>
      </c>
      <c r="S3301" s="29" t="n">
        <v>0</v>
      </c>
      <c r="T3301" t="inlineStr">
        <is>
          <t>25260426975620000130570010000068981001201018</t>
        </is>
      </c>
      <c r="U3301" t="inlineStr">
        <is>
          <t>Não</t>
        </is>
      </c>
    </row>
    <row r="3302">
      <c r="A3302" t="inlineStr">
        <is>
          <t>Frete de venda</t>
        </is>
      </c>
      <c r="B3302" t="inlineStr">
        <is>
          <t>2.01.02 Frete sobre Vendas</t>
        </is>
      </c>
      <c r="C3302" s="30" t="n">
        <v>46113</v>
      </c>
      <c r="D3302" t="inlineStr">
        <is>
          <t>Em 2026</t>
        </is>
      </c>
      <c r="E3302" s="28" t="n">
        <v>46137</v>
      </c>
      <c r="F3302" t="inlineStr">
        <is>
          <t>CT-e</t>
        </is>
      </c>
      <c r="G3302" t="inlineStr">
        <is>
          <t>000006899</t>
        </is>
      </c>
      <c r="H3302" t="inlineStr">
        <is>
          <t>R&amp;R TRANSPORTE E LOGISTICA</t>
        </is>
      </c>
      <c r="J3302" s="29" t="n">
        <v>13.71</v>
      </c>
      <c r="K3302" s="29">
        <f>(1-ISNUMBER(SEARCH("556",M3302)))*(O3302*SUMIFS(Premissas!$C$5:$C$44,Premissas!$A$5:$A$44,$A3302,Premissas!$B$5:$B$44,$B3302)+P3302*SUMIFS(Premissas!$D$5:$D$44,Premissas!$A$5:$A$44,$A3302,Premissas!$B$5:$B$44,$B3302))+R3302*SUMIFS(Premissas!$E$5:$E$44,Premissas!$A$5:$A$44,$A3302,Premissas!$B$5:$B$44,$B3302)+S3302*SUMIFS(Premissas!$F$5:$F$44,Premissas!$A$5:$A$44,$A3302,Premissas!$B$5:$B$44,$B3302)</f>
        <v/>
      </c>
      <c r="L3302" s="29">
        <f>J3302-K3302</f>
        <v/>
      </c>
      <c r="M3302" t="inlineStr">
        <is>
          <t>1.350</t>
        </is>
      </c>
      <c r="N3302" t="inlineStr">
        <is>
          <t>Modalidade: 0 - Por conta do remetente | Parte: A B NETO DISTRIBUICAO LTDA (19.822.559/0002-06)</t>
        </is>
      </c>
      <c r="O3302" s="29" t="n">
        <v>0</v>
      </c>
      <c r="P3302" s="29" t="n">
        <v>0</v>
      </c>
      <c r="Q3302" s="29" t="n">
        <v>0</v>
      </c>
      <c r="R3302" s="29" t="n">
        <v>0</v>
      </c>
      <c r="S3302" s="29" t="n">
        <v>0</v>
      </c>
      <c r="T3302" t="inlineStr">
        <is>
          <t>25260426975620000130570010000068991011001094</t>
        </is>
      </c>
      <c r="U3302" t="inlineStr">
        <is>
          <t>Não</t>
        </is>
      </c>
    </row>
    <row r="3303">
      <c r="A3303" t="inlineStr">
        <is>
          <t>Frete de venda</t>
        </is>
      </c>
      <c r="B3303" t="inlineStr">
        <is>
          <t>2.01.02 Frete sobre Vendas</t>
        </is>
      </c>
      <c r="C3303" s="30" t="n">
        <v>46113</v>
      </c>
      <c r="D3303" t="inlineStr">
        <is>
          <t>Em 2026</t>
        </is>
      </c>
      <c r="E3303" s="28" t="n">
        <v>46137</v>
      </c>
      <c r="F3303" t="inlineStr">
        <is>
          <t>CT-e</t>
        </is>
      </c>
      <c r="G3303" t="inlineStr">
        <is>
          <t>000006900</t>
        </is>
      </c>
      <c r="H3303" t="inlineStr">
        <is>
          <t>R&amp;R TRANSPORTE E LOGISTICA</t>
        </is>
      </c>
      <c r="J3303" s="29" t="n">
        <v>52.47</v>
      </c>
      <c r="K3303" s="29">
        <f>(1-ISNUMBER(SEARCH("556",M3303)))*(O3303*SUMIFS(Premissas!$C$5:$C$44,Premissas!$A$5:$A$44,$A3303,Premissas!$B$5:$B$44,$B3303)+P3303*SUMIFS(Premissas!$D$5:$D$44,Premissas!$A$5:$A$44,$A3303,Premissas!$B$5:$B$44,$B3303))+R3303*SUMIFS(Premissas!$E$5:$E$44,Premissas!$A$5:$A$44,$A3303,Premissas!$B$5:$B$44,$B3303)+S3303*SUMIFS(Premissas!$F$5:$F$44,Premissas!$A$5:$A$44,$A3303,Premissas!$B$5:$B$44,$B3303)</f>
        <v/>
      </c>
      <c r="L3303" s="29">
        <f>J3303-K3303</f>
        <v/>
      </c>
      <c r="M3303" t="inlineStr">
        <is>
          <t>1.350</t>
        </is>
      </c>
      <c r="N3303" t="inlineStr">
        <is>
          <t>Modalidade: 0 - Por conta do remetente | Parte: JOIA ATACADO DE EMBALAGENS E COM DE ALIMENTOS LTDA (24.505.271/0001-67)</t>
        </is>
      </c>
      <c r="O3303" s="29" t="n">
        <v>0</v>
      </c>
      <c r="P3303" s="29" t="n">
        <v>0</v>
      </c>
      <c r="Q3303" s="29" t="n">
        <v>0</v>
      </c>
      <c r="R3303" s="29" t="n">
        <v>0</v>
      </c>
      <c r="S3303" s="29" t="n">
        <v>0</v>
      </c>
      <c r="T3303" t="inlineStr">
        <is>
          <t>25260426975620000130570010000069001001701177</t>
        </is>
      </c>
      <c r="U3303" t="inlineStr">
        <is>
          <t>Não</t>
        </is>
      </c>
    </row>
    <row r="3304">
      <c r="A3304" t="inlineStr">
        <is>
          <t>Frete de venda</t>
        </is>
      </c>
      <c r="B3304" t="inlineStr">
        <is>
          <t>2.01.02 Frete sobre Vendas</t>
        </is>
      </c>
      <c r="C3304" s="30" t="n">
        <v>46113</v>
      </c>
      <c r="D3304" t="inlineStr">
        <is>
          <t>Em 2026</t>
        </is>
      </c>
      <c r="E3304" s="28" t="n">
        <v>46137</v>
      </c>
      <c r="F3304" t="inlineStr">
        <is>
          <t>CT-e</t>
        </is>
      </c>
      <c r="G3304" t="inlineStr">
        <is>
          <t>000006901</t>
        </is>
      </c>
      <c r="H3304" t="inlineStr">
        <is>
          <t>R&amp;R TRANSPORTE E LOGISTICA</t>
        </is>
      </c>
      <c r="J3304" s="29" t="n">
        <v>45.97</v>
      </c>
      <c r="K3304" s="29">
        <f>(1-ISNUMBER(SEARCH("556",M3304)))*(O3304*SUMIFS(Premissas!$C$5:$C$44,Premissas!$A$5:$A$44,$A3304,Premissas!$B$5:$B$44,$B3304)+P3304*SUMIFS(Premissas!$D$5:$D$44,Premissas!$A$5:$A$44,$A3304,Premissas!$B$5:$B$44,$B3304))+R3304*SUMIFS(Premissas!$E$5:$E$44,Premissas!$A$5:$A$44,$A3304,Premissas!$B$5:$B$44,$B3304)+S3304*SUMIFS(Premissas!$F$5:$F$44,Premissas!$A$5:$A$44,$A3304,Premissas!$B$5:$B$44,$B3304)</f>
        <v/>
      </c>
      <c r="L3304" s="29">
        <f>J3304-K3304</f>
        <v/>
      </c>
      <c r="M3304" t="inlineStr">
        <is>
          <t>1.350</t>
        </is>
      </c>
      <c r="N3304" t="inlineStr">
        <is>
          <t>Modalidade: 0 - Por conta do remetente | Parte: BEBIFRIOS COMERCIAL LTDA (05.796.195/0001-41)</t>
        </is>
      </c>
      <c r="O3304" s="29" t="n">
        <v>0</v>
      </c>
      <c r="P3304" s="29" t="n">
        <v>0</v>
      </c>
      <c r="Q3304" s="29" t="n">
        <v>0</v>
      </c>
      <c r="R3304" s="29" t="n">
        <v>0</v>
      </c>
      <c r="S3304" s="29" t="n">
        <v>0</v>
      </c>
      <c r="T3304" t="inlineStr">
        <is>
          <t>25260426975620000130570010000069011000180529</t>
        </is>
      </c>
      <c r="U3304" t="inlineStr">
        <is>
          <t>Não</t>
        </is>
      </c>
    </row>
    <row r="3305">
      <c r="A3305" t="inlineStr">
        <is>
          <t>Frete de venda</t>
        </is>
      </c>
      <c r="B3305" t="inlineStr">
        <is>
          <t>2.01.02 Frete sobre Vendas</t>
        </is>
      </c>
      <c r="C3305" s="30" t="n">
        <v>46113</v>
      </c>
      <c r="D3305" t="inlineStr">
        <is>
          <t>Em 2026</t>
        </is>
      </c>
      <c r="E3305" s="28" t="n">
        <v>46137</v>
      </c>
      <c r="F3305" t="inlineStr">
        <is>
          <t>CT-e</t>
        </is>
      </c>
      <c r="G3305" t="inlineStr">
        <is>
          <t>000006902</t>
        </is>
      </c>
      <c r="H3305" t="inlineStr">
        <is>
          <t>R&amp;R TRANSPORTE E LOGISTICA</t>
        </is>
      </c>
      <c r="J3305" s="29" t="n">
        <v>258.35</v>
      </c>
      <c r="K3305" s="29">
        <f>(1-ISNUMBER(SEARCH("556",M3305)))*(O3305*SUMIFS(Premissas!$C$5:$C$44,Premissas!$A$5:$A$44,$A3305,Premissas!$B$5:$B$44,$B3305)+P3305*SUMIFS(Premissas!$D$5:$D$44,Premissas!$A$5:$A$44,$A3305,Premissas!$B$5:$B$44,$B3305))+R3305*SUMIFS(Premissas!$E$5:$E$44,Premissas!$A$5:$A$44,$A3305,Premissas!$B$5:$B$44,$B3305)+S3305*SUMIFS(Premissas!$F$5:$F$44,Premissas!$A$5:$A$44,$A3305,Premissas!$B$5:$B$44,$B3305)</f>
        <v/>
      </c>
      <c r="L3305" s="29">
        <f>J3305-K3305</f>
        <v/>
      </c>
      <c r="M3305" t="inlineStr">
        <is>
          <t>1.350</t>
        </is>
      </c>
      <c r="N3305" t="inlineStr">
        <is>
          <t>Modalidade: 0 - Por conta do remetente | Parte: PRONTO DISTRIBUIDORA LTDA (59.909.633/0001-60)</t>
        </is>
      </c>
      <c r="O3305" s="29" t="n">
        <v>0</v>
      </c>
      <c r="P3305" s="29" t="n">
        <v>0</v>
      </c>
      <c r="Q3305" s="29" t="n">
        <v>0</v>
      </c>
      <c r="R3305" s="29" t="n">
        <v>0</v>
      </c>
      <c r="S3305" s="29" t="n">
        <v>0</v>
      </c>
      <c r="T3305" t="inlineStr">
        <is>
          <t>25260426975620000130570010000069021000150600</t>
        </is>
      </c>
      <c r="U3305" t="inlineStr">
        <is>
          <t>Não</t>
        </is>
      </c>
    </row>
    <row r="3306">
      <c r="A3306" t="inlineStr">
        <is>
          <t>Frete de venda</t>
        </is>
      </c>
      <c r="B3306" t="inlineStr">
        <is>
          <t>2.01.02 Frete sobre Vendas</t>
        </is>
      </c>
      <c r="C3306" s="30" t="n">
        <v>46113</v>
      </c>
      <c r="D3306" t="inlineStr">
        <is>
          <t>Em 2026</t>
        </is>
      </c>
      <c r="E3306" s="28" t="n">
        <v>46138</v>
      </c>
      <c r="F3306" t="inlineStr">
        <is>
          <t>CT-e</t>
        </is>
      </c>
      <c r="G3306" t="inlineStr">
        <is>
          <t>000006905</t>
        </is>
      </c>
      <c r="H3306" t="inlineStr">
        <is>
          <t>R&amp;R TRANSPORTE E LOGISTICA</t>
        </is>
      </c>
      <c r="J3306" s="29" t="n">
        <v>690</v>
      </c>
      <c r="K3306" s="29">
        <f>(1-ISNUMBER(SEARCH("556",M3306)))*(O3306*SUMIFS(Premissas!$C$5:$C$44,Premissas!$A$5:$A$44,$A3306,Premissas!$B$5:$B$44,$B3306)+P3306*SUMIFS(Premissas!$D$5:$D$44,Premissas!$A$5:$A$44,$A3306,Premissas!$B$5:$B$44,$B3306))+R3306*SUMIFS(Premissas!$E$5:$E$44,Premissas!$A$5:$A$44,$A3306,Premissas!$B$5:$B$44,$B3306)+S3306*SUMIFS(Premissas!$F$5:$F$44,Premissas!$A$5:$A$44,$A3306,Premissas!$B$5:$B$44,$B3306)</f>
        <v/>
      </c>
      <c r="L3306" s="29">
        <f>J3306-K3306</f>
        <v/>
      </c>
      <c r="M3306" t="inlineStr">
        <is>
          <t>1.350</t>
        </is>
      </c>
      <c r="N3306" t="inlineStr">
        <is>
          <t>Modalidade: 0 - Por conta do remetente | Parte: JND DISTRIBUIDORA LTDA (36.332.668/0001-83)</t>
        </is>
      </c>
      <c r="O3306" s="29" t="n">
        <v>0</v>
      </c>
      <c r="P3306" s="29" t="n">
        <v>0</v>
      </c>
      <c r="Q3306" s="29" t="n">
        <v>0</v>
      </c>
      <c r="R3306" s="29" t="n">
        <v>0</v>
      </c>
      <c r="S3306" s="29" t="n">
        <v>0</v>
      </c>
      <c r="T3306" t="inlineStr">
        <is>
          <t>25260426975620000130570010000069051000170840</t>
        </is>
      </c>
      <c r="U3306" t="inlineStr">
        <is>
          <t>Sim</t>
        </is>
      </c>
    </row>
    <row r="3307">
      <c r="A3307" t="inlineStr">
        <is>
          <t>Frete de venda</t>
        </is>
      </c>
      <c r="B3307" t="inlineStr">
        <is>
          <t>2.01.02 Frete sobre Vendas</t>
        </is>
      </c>
      <c r="C3307" s="30" t="n">
        <v>46113</v>
      </c>
      <c r="D3307" t="inlineStr">
        <is>
          <t>Em 2026</t>
        </is>
      </c>
      <c r="E3307" s="28" t="n">
        <v>46138</v>
      </c>
      <c r="F3307" t="inlineStr">
        <is>
          <t>CT-e</t>
        </is>
      </c>
      <c r="G3307" t="inlineStr">
        <is>
          <t>000006906</t>
        </is>
      </c>
      <c r="H3307" t="inlineStr">
        <is>
          <t>R&amp;R TRANSPORTE E LOGISTICA</t>
        </is>
      </c>
      <c r="J3307" s="29" t="n">
        <v>1500</v>
      </c>
      <c r="K3307" s="29">
        <f>(1-ISNUMBER(SEARCH("556",M3307)))*(O3307*SUMIFS(Premissas!$C$5:$C$44,Premissas!$A$5:$A$44,$A3307,Premissas!$B$5:$B$44,$B3307)+P3307*SUMIFS(Premissas!$D$5:$D$44,Premissas!$A$5:$A$44,$A3307,Premissas!$B$5:$B$44,$B3307))+R3307*SUMIFS(Premissas!$E$5:$E$44,Premissas!$A$5:$A$44,$A3307,Premissas!$B$5:$B$44,$B3307)+S3307*SUMIFS(Premissas!$F$5:$F$44,Premissas!$A$5:$A$44,$A3307,Premissas!$B$5:$B$44,$B3307)</f>
        <v/>
      </c>
      <c r="L3307" s="29">
        <f>J3307-K3307</f>
        <v/>
      </c>
      <c r="M3307" t="inlineStr">
        <is>
          <t>1.350</t>
        </is>
      </c>
      <c r="N3307" t="inlineStr">
        <is>
          <t>Transportadora de frete de venda, mas pela modalidade do frete a Vinco recebeu a carga | Modalidade: 1 - Por conta do destinatário | Parte: COLAMID (04.781.666/0001-85)</t>
        </is>
      </c>
      <c r="O3307" s="29" t="n">
        <v>0</v>
      </c>
      <c r="P3307" s="29" t="n">
        <v>0</v>
      </c>
      <c r="Q3307" s="29" t="n">
        <v>0</v>
      </c>
      <c r="R3307" s="29" t="n">
        <v>0</v>
      </c>
      <c r="S3307" s="29" t="n">
        <v>0</v>
      </c>
      <c r="T3307" t="inlineStr">
        <is>
          <t>25260426975620000130570010000069061000140922</t>
        </is>
      </c>
      <c r="U3307" t="inlineStr">
        <is>
          <t>Sim</t>
        </is>
      </c>
    </row>
    <row r="3308">
      <c r="A3308" t="inlineStr">
        <is>
          <t>Frete de venda</t>
        </is>
      </c>
      <c r="B3308" t="inlineStr">
        <is>
          <t>2.01.02 Frete sobre Vendas</t>
        </is>
      </c>
      <c r="C3308" s="30" t="n">
        <v>46113</v>
      </c>
      <c r="D3308" t="inlineStr">
        <is>
          <t>Em 2026</t>
        </is>
      </c>
      <c r="E3308" s="28" t="n">
        <v>46140</v>
      </c>
      <c r="F3308" t="inlineStr">
        <is>
          <t>CT-e</t>
        </is>
      </c>
      <c r="G3308" t="inlineStr">
        <is>
          <t>000006911</t>
        </is>
      </c>
      <c r="H3308" t="inlineStr">
        <is>
          <t>R&amp;R TRANSPORTE E LOGISTICA</t>
        </is>
      </c>
      <c r="J3308" s="29" t="n">
        <v>12719.32</v>
      </c>
      <c r="K3308" s="29">
        <f>(1-ISNUMBER(SEARCH("556",M3308)))*(O3308*SUMIFS(Premissas!$C$5:$C$44,Premissas!$A$5:$A$44,$A3308,Premissas!$B$5:$B$44,$B3308)+P3308*SUMIFS(Premissas!$D$5:$D$44,Premissas!$A$5:$A$44,$A3308,Premissas!$B$5:$B$44,$B3308))+R3308*SUMIFS(Premissas!$E$5:$E$44,Premissas!$A$5:$A$44,$A3308,Premissas!$B$5:$B$44,$B3308)+S3308*SUMIFS(Premissas!$F$5:$F$44,Premissas!$A$5:$A$44,$A3308,Premissas!$B$5:$B$44,$B3308)</f>
        <v/>
      </c>
      <c r="L3308" s="29">
        <f>J3308-K3308</f>
        <v/>
      </c>
      <c r="M3308" t="inlineStr">
        <is>
          <t>1.350</t>
        </is>
      </c>
      <c r="N3308" t="inlineStr">
        <is>
          <t>Modalidade: 0 - Por conta do remetente | Parte: DISTRIPACK DISTRIBUIDORA DE EMBALAGENS LTDA (11.043.375/0002-36)</t>
        </is>
      </c>
      <c r="O3308" s="29" t="n">
        <v>0</v>
      </c>
      <c r="P3308" s="29" t="n">
        <v>0</v>
      </c>
      <c r="Q3308" s="29" t="n">
        <v>0</v>
      </c>
      <c r="R3308" s="29" t="n">
        <v>0</v>
      </c>
      <c r="S3308" s="29" t="n">
        <v>0</v>
      </c>
      <c r="T3308" t="inlineStr">
        <is>
          <t>25260426975620000130570010000069111000110675</t>
        </is>
      </c>
      <c r="U3308" t="inlineStr">
        <is>
          <t>Não</t>
        </is>
      </c>
    </row>
    <row r="3309">
      <c r="A3309" t="inlineStr">
        <is>
          <t>Frete de venda</t>
        </is>
      </c>
      <c r="B3309" t="inlineStr">
        <is>
          <t>2.01.02 Frete sobre Vendas</t>
        </is>
      </c>
      <c r="C3309" s="30" t="n">
        <v>46113</v>
      </c>
      <c r="D3309" t="inlineStr">
        <is>
          <t>Em 2026</t>
        </is>
      </c>
      <c r="E3309" s="28" t="n">
        <v>46140</v>
      </c>
      <c r="F3309" t="inlineStr">
        <is>
          <t>CT-e</t>
        </is>
      </c>
      <c r="G3309" t="inlineStr">
        <is>
          <t>000006912</t>
        </is>
      </c>
      <c r="H3309" t="inlineStr">
        <is>
          <t>R&amp;R TRANSPORTE E LOGISTICA</t>
        </is>
      </c>
      <c r="J3309" s="29" t="n">
        <v>111.6</v>
      </c>
      <c r="K3309" s="29">
        <f>(1-ISNUMBER(SEARCH("556",M3309)))*(O3309*SUMIFS(Premissas!$C$5:$C$44,Premissas!$A$5:$A$44,$A3309,Premissas!$B$5:$B$44,$B3309)+P3309*SUMIFS(Premissas!$D$5:$D$44,Premissas!$A$5:$A$44,$A3309,Premissas!$B$5:$B$44,$B3309))+R3309*SUMIFS(Premissas!$E$5:$E$44,Premissas!$A$5:$A$44,$A3309,Premissas!$B$5:$B$44,$B3309)+S3309*SUMIFS(Premissas!$F$5:$F$44,Premissas!$A$5:$A$44,$A3309,Premissas!$B$5:$B$44,$B3309)</f>
        <v/>
      </c>
      <c r="L3309" s="29">
        <f>J3309-K3309</f>
        <v/>
      </c>
      <c r="M3309" t="inlineStr">
        <is>
          <t>1.350</t>
        </is>
      </c>
      <c r="N3309" t="inlineStr">
        <is>
          <t>Modalidade: 0 - Por conta do remetente | Parte: TOP ATACADISTA DE EMBALAGENS LTDA (62.946.602/0001-93)</t>
        </is>
      </c>
      <c r="O3309" s="29" t="n">
        <v>0</v>
      </c>
      <c r="P3309" s="29" t="n">
        <v>0</v>
      </c>
      <c r="Q3309" s="29" t="n">
        <v>0</v>
      </c>
      <c r="R3309" s="29" t="n">
        <v>0</v>
      </c>
      <c r="S3309" s="29" t="n">
        <v>0</v>
      </c>
      <c r="T3309" t="inlineStr">
        <is>
          <t>25260426975620000130570010000069121000190757</t>
        </is>
      </c>
      <c r="U3309" t="inlineStr">
        <is>
          <t>Não</t>
        </is>
      </c>
    </row>
    <row r="3310">
      <c r="A3310" t="inlineStr">
        <is>
          <t>Frete de venda</t>
        </is>
      </c>
      <c r="B3310" t="inlineStr">
        <is>
          <t>2.01.02 Frete sobre Vendas</t>
        </is>
      </c>
      <c r="C3310" s="30" t="n">
        <v>46113</v>
      </c>
      <c r="D3310" t="inlineStr">
        <is>
          <t>Em 2026</t>
        </is>
      </c>
      <c r="E3310" s="28" t="n">
        <v>46140</v>
      </c>
      <c r="F3310" t="inlineStr">
        <is>
          <t>CT-e</t>
        </is>
      </c>
      <c r="G3310" t="inlineStr">
        <is>
          <t>000006913</t>
        </is>
      </c>
      <c r="H3310" t="inlineStr">
        <is>
          <t>R&amp;R TRANSPORTE E LOGISTICA</t>
        </is>
      </c>
      <c r="J3310" s="29" t="n">
        <v>102.25</v>
      </c>
      <c r="K3310" s="29">
        <f>(1-ISNUMBER(SEARCH("556",M3310)))*(O3310*SUMIFS(Premissas!$C$5:$C$44,Premissas!$A$5:$A$44,$A3310,Premissas!$B$5:$B$44,$B3310)+P3310*SUMIFS(Premissas!$D$5:$D$44,Premissas!$A$5:$A$44,$A3310,Premissas!$B$5:$B$44,$B3310))+R3310*SUMIFS(Premissas!$E$5:$E$44,Premissas!$A$5:$A$44,$A3310,Premissas!$B$5:$B$44,$B3310)+S3310*SUMIFS(Premissas!$F$5:$F$44,Premissas!$A$5:$A$44,$A3310,Premissas!$B$5:$B$44,$B3310)</f>
        <v/>
      </c>
      <c r="L3310" s="29">
        <f>J3310-K3310</f>
        <v/>
      </c>
      <c r="M3310" t="inlineStr">
        <is>
          <t>1.350</t>
        </is>
      </c>
      <c r="N3310" t="inlineStr">
        <is>
          <t>Modalidade: 0 - Por conta do remetente | Parte: DML DISTRIBUIDORA DE ALIMENTOS E EMBALAGENS LTDA (07.412.776/0001-68)</t>
        </is>
      </c>
      <c r="O3310" s="29" t="n">
        <v>0</v>
      </c>
      <c r="P3310" s="29" t="n">
        <v>0</v>
      </c>
      <c r="Q3310" s="29" t="n">
        <v>0</v>
      </c>
      <c r="R3310" s="29" t="n">
        <v>0</v>
      </c>
      <c r="S3310" s="29" t="n">
        <v>0</v>
      </c>
      <c r="T3310" t="inlineStr">
        <is>
          <t>25260426975620000130570010000069131000160839</t>
        </is>
      </c>
      <c r="U3310" t="inlineStr">
        <is>
          <t>Não</t>
        </is>
      </c>
    </row>
    <row r="3311">
      <c r="A3311" t="inlineStr">
        <is>
          <t>Frete de venda</t>
        </is>
      </c>
      <c r="B3311" t="inlineStr">
        <is>
          <t>2.01.02 Frete sobre Vendas</t>
        </is>
      </c>
      <c r="C3311" s="30" t="n">
        <v>46113</v>
      </c>
      <c r="D3311" t="inlineStr">
        <is>
          <t>Em 2026</t>
        </is>
      </c>
      <c r="E3311" s="28" t="n">
        <v>46142</v>
      </c>
      <c r="F3311" t="inlineStr">
        <is>
          <t>CT-e</t>
        </is>
      </c>
      <c r="G3311" t="inlineStr">
        <is>
          <t>000006921</t>
        </is>
      </c>
      <c r="H3311" t="inlineStr">
        <is>
          <t>R&amp;R TRANSPORTE E LOGISTICA</t>
        </is>
      </c>
      <c r="J3311" s="29" t="n">
        <v>91.53</v>
      </c>
      <c r="K3311" s="29">
        <f>(1-ISNUMBER(SEARCH("556",M3311)))*(O3311*SUMIFS(Premissas!$C$5:$C$44,Premissas!$A$5:$A$44,$A3311,Premissas!$B$5:$B$44,$B3311)+P3311*SUMIFS(Premissas!$D$5:$D$44,Premissas!$A$5:$A$44,$A3311,Premissas!$B$5:$B$44,$B3311))+R3311*SUMIFS(Premissas!$E$5:$E$44,Premissas!$A$5:$A$44,$A3311,Premissas!$B$5:$B$44,$B3311)+S3311*SUMIFS(Premissas!$F$5:$F$44,Premissas!$A$5:$A$44,$A3311,Premissas!$B$5:$B$44,$B3311)</f>
        <v/>
      </c>
      <c r="L3311" s="29">
        <f>J3311-K3311</f>
        <v/>
      </c>
      <c r="M3311" t="inlineStr">
        <is>
          <t>1.350</t>
        </is>
      </c>
      <c r="N3311" t="inlineStr">
        <is>
          <t>Modalidade: 0 - Por conta do remetente | Parte: SELLPACK DISTRIBUIDORA LTDA (07.747.107/0002-28)</t>
        </is>
      </c>
      <c r="O3311" s="29" t="n">
        <v>0</v>
      </c>
      <c r="P3311" s="29" t="n">
        <v>0</v>
      </c>
      <c r="Q3311" s="29" t="n">
        <v>0</v>
      </c>
      <c r="R3311" s="29" t="n">
        <v>0</v>
      </c>
      <c r="S3311" s="29" t="n">
        <v>0</v>
      </c>
      <c r="T3311" t="inlineStr">
        <is>
          <t>25260426975620000130570010000069211001100980</t>
        </is>
      </c>
      <c r="U3311" t="inlineStr">
        <is>
          <t>Não</t>
        </is>
      </c>
    </row>
    <row r="3312">
      <c r="A3312" t="inlineStr">
        <is>
          <t>Frete de venda</t>
        </is>
      </c>
      <c r="B3312" t="inlineStr">
        <is>
          <t>2.01.02 Frete sobre Vendas</t>
        </is>
      </c>
      <c r="C3312" s="30" t="n">
        <v>46113</v>
      </c>
      <c r="D3312" t="inlineStr">
        <is>
          <t>Em 2026</t>
        </is>
      </c>
      <c r="E3312" s="28" t="n">
        <v>46142</v>
      </c>
      <c r="F3312" t="inlineStr">
        <is>
          <t>CT-e</t>
        </is>
      </c>
      <c r="G3312" t="inlineStr">
        <is>
          <t>000006922</t>
        </is>
      </c>
      <c r="H3312" t="inlineStr">
        <is>
          <t>R&amp;R TRANSPORTE E LOGISTICA</t>
        </is>
      </c>
      <c r="J3312" s="29" t="n">
        <v>40.98</v>
      </c>
      <c r="K3312" s="29">
        <f>(1-ISNUMBER(SEARCH("556",M3312)))*(O3312*SUMIFS(Premissas!$C$5:$C$44,Premissas!$A$5:$A$44,$A3312,Premissas!$B$5:$B$44,$B3312)+P3312*SUMIFS(Premissas!$D$5:$D$44,Premissas!$A$5:$A$44,$A3312,Premissas!$B$5:$B$44,$B3312))+R3312*SUMIFS(Premissas!$E$5:$E$44,Premissas!$A$5:$A$44,$A3312,Premissas!$B$5:$B$44,$B3312)+S3312*SUMIFS(Premissas!$F$5:$F$44,Premissas!$A$5:$A$44,$A3312,Premissas!$B$5:$B$44,$B3312)</f>
        <v/>
      </c>
      <c r="L3312" s="29">
        <f>J3312-K3312</f>
        <v/>
      </c>
      <c r="M3312" t="inlineStr">
        <is>
          <t>1.350</t>
        </is>
      </c>
      <c r="N3312" t="inlineStr">
        <is>
          <t>Modalidade: 0 - Por conta do remetente | Parte: GUGA EMBALAGENS E DESCARTAVEIS LTDA (61.468.311/0001-74)</t>
        </is>
      </c>
      <c r="O3312" s="29" t="n">
        <v>0</v>
      </c>
      <c r="P3312" s="29" t="n">
        <v>0</v>
      </c>
      <c r="Q3312" s="29" t="n">
        <v>0</v>
      </c>
      <c r="R3312" s="29" t="n">
        <v>0</v>
      </c>
      <c r="S3312" s="29" t="n">
        <v>0</v>
      </c>
      <c r="T3312" t="inlineStr">
        <is>
          <t>25260426975620000130570010000069221001701069</t>
        </is>
      </c>
      <c r="U3312" t="inlineStr">
        <is>
          <t>Não</t>
        </is>
      </c>
    </row>
    <row r="3313">
      <c r="A3313" t="inlineStr">
        <is>
          <t>Frete de venda</t>
        </is>
      </c>
      <c r="B3313" t="inlineStr">
        <is>
          <t>2.01.02 Frete sobre Vendas</t>
        </is>
      </c>
      <c r="C3313" s="30" t="n">
        <v>46113</v>
      </c>
      <c r="D3313" t="inlineStr">
        <is>
          <t>Em 2026</t>
        </is>
      </c>
      <c r="E3313" s="28" t="n">
        <v>46142</v>
      </c>
      <c r="F3313" t="inlineStr">
        <is>
          <t>CT-e</t>
        </is>
      </c>
      <c r="G3313" t="inlineStr">
        <is>
          <t>000006923</t>
        </is>
      </c>
      <c r="H3313" t="inlineStr">
        <is>
          <t>R&amp;R TRANSPORTE E LOGISTICA</t>
        </is>
      </c>
      <c r="J3313" s="29" t="n">
        <v>30.89</v>
      </c>
      <c r="K3313" s="29">
        <f>(1-ISNUMBER(SEARCH("556",M3313)))*(O3313*SUMIFS(Premissas!$C$5:$C$44,Premissas!$A$5:$A$44,$A3313,Premissas!$B$5:$B$44,$B3313)+P3313*SUMIFS(Premissas!$D$5:$D$44,Premissas!$A$5:$A$44,$A3313,Premissas!$B$5:$B$44,$B3313))+R3313*SUMIFS(Premissas!$E$5:$E$44,Premissas!$A$5:$A$44,$A3313,Premissas!$B$5:$B$44,$B3313)+S3313*SUMIFS(Premissas!$F$5:$F$44,Premissas!$A$5:$A$44,$A3313,Premissas!$B$5:$B$44,$B3313)</f>
        <v/>
      </c>
      <c r="L3313" s="29">
        <f>J3313-K3313</f>
        <v/>
      </c>
      <c r="M3313" t="inlineStr">
        <is>
          <t>1.350</t>
        </is>
      </c>
      <c r="N3313" t="inlineStr">
        <is>
          <t>Modalidade: 0 - Por conta do remetente | Parte: OPCAO DISTRIBUIDORA COMERCIAL LTDA (42.801.738/0001-06)</t>
        </is>
      </c>
      <c r="O3313" s="29" t="n">
        <v>0</v>
      </c>
      <c r="P3313" s="29" t="n">
        <v>0</v>
      </c>
      <c r="Q3313" s="29" t="n">
        <v>0</v>
      </c>
      <c r="R3313" s="29" t="n">
        <v>0</v>
      </c>
      <c r="S3313" s="29" t="n">
        <v>0</v>
      </c>
      <c r="T3313" t="inlineStr">
        <is>
          <t>25260426975620000130570010000069231001401143</t>
        </is>
      </c>
      <c r="U3313" t="inlineStr">
        <is>
          <t>Não</t>
        </is>
      </c>
    </row>
    <row r="3314">
      <c r="A3314" t="inlineStr">
        <is>
          <t>Frete de venda</t>
        </is>
      </c>
      <c r="B3314" t="inlineStr">
        <is>
          <t>2.01.02 Frete sobre Vendas</t>
        </is>
      </c>
      <c r="C3314" s="30" t="n">
        <v>46113</v>
      </c>
      <c r="D3314" t="inlineStr">
        <is>
          <t>Em 2026</t>
        </is>
      </c>
      <c r="E3314" s="28" t="n">
        <v>46142</v>
      </c>
      <c r="F3314" t="inlineStr">
        <is>
          <t>CT-e</t>
        </is>
      </c>
      <c r="G3314" t="inlineStr">
        <is>
          <t>000006924</t>
        </is>
      </c>
      <c r="H3314" t="inlineStr">
        <is>
          <t>R&amp;R TRANSPORTE E LOGISTICA</t>
        </is>
      </c>
      <c r="J3314" s="29" t="n">
        <v>46.54</v>
      </c>
      <c r="K3314" s="29">
        <f>(1-ISNUMBER(SEARCH("556",M3314)))*(O3314*SUMIFS(Premissas!$C$5:$C$44,Premissas!$A$5:$A$44,$A3314,Premissas!$B$5:$B$44,$B3314)+P3314*SUMIFS(Premissas!$D$5:$D$44,Premissas!$A$5:$A$44,$A3314,Premissas!$B$5:$B$44,$B3314))+R3314*SUMIFS(Premissas!$E$5:$E$44,Premissas!$A$5:$A$44,$A3314,Premissas!$B$5:$B$44,$B3314)+S3314*SUMIFS(Premissas!$F$5:$F$44,Premissas!$A$5:$A$44,$A3314,Premissas!$B$5:$B$44,$B3314)</f>
        <v/>
      </c>
      <c r="L3314" s="29">
        <f>J3314-K3314</f>
        <v/>
      </c>
      <c r="M3314" t="inlineStr">
        <is>
          <t>1.350</t>
        </is>
      </c>
      <c r="N3314" t="inlineStr">
        <is>
          <t>Modalidade: 0 - Por conta do remetente | Parte: PINGO EMBALAGENS LTDA (02.959.832/0001-65)</t>
        </is>
      </c>
      <c r="O3314" s="29" t="n">
        <v>0</v>
      </c>
      <c r="P3314" s="29" t="n">
        <v>0</v>
      </c>
      <c r="Q3314" s="29" t="n">
        <v>0</v>
      </c>
      <c r="R3314" s="29" t="n">
        <v>0</v>
      </c>
      <c r="S3314" s="29" t="n">
        <v>0</v>
      </c>
      <c r="T3314" t="inlineStr">
        <is>
          <t>25260426975620000130570010000069241001101228</t>
        </is>
      </c>
      <c r="U3314" t="inlineStr">
        <is>
          <t>Não</t>
        </is>
      </c>
    </row>
    <row r="3315">
      <c r="A3315" t="inlineStr">
        <is>
          <t>Frete de venda</t>
        </is>
      </c>
      <c r="B3315" t="inlineStr">
        <is>
          <t>2.01.02 Frete sobre Vendas</t>
        </is>
      </c>
      <c r="C3315" s="30" t="n">
        <v>46113</v>
      </c>
      <c r="D3315" t="inlineStr">
        <is>
          <t>Em 2026</t>
        </is>
      </c>
      <c r="E3315" s="28" t="n">
        <v>46142</v>
      </c>
      <c r="F3315" t="inlineStr">
        <is>
          <t>CT-e</t>
        </is>
      </c>
      <c r="G3315" t="inlineStr">
        <is>
          <t>000006925</t>
        </is>
      </c>
      <c r="H3315" t="inlineStr">
        <is>
          <t>R&amp;R TRANSPORTE E LOGISTICA</t>
        </is>
      </c>
      <c r="J3315" s="29" t="n">
        <v>33.3</v>
      </c>
      <c r="K3315" s="29">
        <f>(1-ISNUMBER(SEARCH("556",M3315)))*(O3315*SUMIFS(Premissas!$C$5:$C$44,Premissas!$A$5:$A$44,$A3315,Premissas!$B$5:$B$44,$B3315)+P3315*SUMIFS(Premissas!$D$5:$D$44,Premissas!$A$5:$A$44,$A3315,Premissas!$B$5:$B$44,$B3315))+R3315*SUMIFS(Premissas!$E$5:$E$44,Premissas!$A$5:$A$44,$A3315,Premissas!$B$5:$B$44,$B3315)+S3315*SUMIFS(Premissas!$F$5:$F$44,Premissas!$A$5:$A$44,$A3315,Premissas!$B$5:$B$44,$B3315)</f>
        <v/>
      </c>
      <c r="L3315" s="29">
        <f>J3315-K3315</f>
        <v/>
      </c>
      <c r="M3315" t="inlineStr">
        <is>
          <t>1.350</t>
        </is>
      </c>
      <c r="N3315" t="inlineStr">
        <is>
          <t>Modalidade: 0 - Por conta do remetente | Parte: NC EMBALAGENS LTDA (42.064.062/0001-07)</t>
        </is>
      </c>
      <c r="O3315" s="29" t="n">
        <v>0</v>
      </c>
      <c r="P3315" s="29" t="n">
        <v>0</v>
      </c>
      <c r="Q3315" s="29" t="n">
        <v>0</v>
      </c>
      <c r="R3315" s="29" t="n">
        <v>0</v>
      </c>
      <c r="S3315" s="29" t="n">
        <v>0</v>
      </c>
      <c r="T3315" t="inlineStr">
        <is>
          <t>25260426975620000130570010000069251001901302</t>
        </is>
      </c>
      <c r="U3315" t="inlineStr">
        <is>
          <t>Não</t>
        </is>
      </c>
    </row>
    <row r="3316">
      <c r="A3316" t="inlineStr">
        <is>
          <t>Frete de venda</t>
        </is>
      </c>
      <c r="B3316" t="inlineStr">
        <is>
          <t>2.01.02 Frete sobre Vendas</t>
        </is>
      </c>
      <c r="C3316" s="30" t="n">
        <v>46113</v>
      </c>
      <c r="D3316" t="inlineStr">
        <is>
          <t>Em 2026</t>
        </is>
      </c>
      <c r="E3316" s="28" t="n">
        <v>46142</v>
      </c>
      <c r="F3316" t="inlineStr">
        <is>
          <t>CT-e</t>
        </is>
      </c>
      <c r="G3316" t="inlineStr">
        <is>
          <t>000006926</t>
        </is>
      </c>
      <c r="H3316" t="inlineStr">
        <is>
          <t>R&amp;R TRANSPORTE E LOGISTICA</t>
        </is>
      </c>
      <c r="J3316" s="29" t="n">
        <v>30.35</v>
      </c>
      <c r="K3316" s="29">
        <f>(1-ISNUMBER(SEARCH("556",M3316)))*(O3316*SUMIFS(Premissas!$C$5:$C$44,Premissas!$A$5:$A$44,$A3316,Premissas!$B$5:$B$44,$B3316)+P3316*SUMIFS(Premissas!$D$5:$D$44,Premissas!$A$5:$A$44,$A3316,Premissas!$B$5:$B$44,$B3316))+R3316*SUMIFS(Premissas!$E$5:$E$44,Premissas!$A$5:$A$44,$A3316,Premissas!$B$5:$B$44,$B3316)+S3316*SUMIFS(Premissas!$F$5:$F$44,Premissas!$A$5:$A$44,$A3316,Premissas!$B$5:$B$44,$B3316)</f>
        <v/>
      </c>
      <c r="L3316" s="29">
        <f>J3316-K3316</f>
        <v/>
      </c>
      <c r="M3316" t="inlineStr">
        <is>
          <t>1.350</t>
        </is>
      </c>
      <c r="N3316" t="inlineStr">
        <is>
          <t>Modalidade: 0 - Por conta do remetente | Parte: DISTRIBUIDORA ISAGAM LTDA (41.809.575/0001-37)</t>
        </is>
      </c>
      <c r="O3316" s="29" t="n">
        <v>0</v>
      </c>
      <c r="P3316" s="29" t="n">
        <v>0</v>
      </c>
      <c r="Q3316" s="29" t="n">
        <v>0</v>
      </c>
      <c r="R3316" s="29" t="n">
        <v>0</v>
      </c>
      <c r="S3316" s="29" t="n">
        <v>0</v>
      </c>
      <c r="T3316" t="inlineStr">
        <is>
          <t>25260426975620000130570010000069261001100650</t>
        </is>
      </c>
      <c r="U3316" t="inlineStr">
        <is>
          <t>Não</t>
        </is>
      </c>
    </row>
    <row r="3317">
      <c r="A3317" t="inlineStr">
        <is>
          <t>Frete de venda</t>
        </is>
      </c>
      <c r="B3317" t="inlineStr">
        <is>
          <t>2.01.02 Frete sobre Vendas</t>
        </is>
      </c>
      <c r="C3317" s="30" t="n">
        <v>46113</v>
      </c>
      <c r="D3317" t="inlineStr">
        <is>
          <t>Em 2026</t>
        </is>
      </c>
      <c r="E3317" s="28" t="n">
        <v>46142</v>
      </c>
      <c r="F3317" t="inlineStr">
        <is>
          <t>CT-e</t>
        </is>
      </c>
      <c r="G3317" t="inlineStr">
        <is>
          <t>000006927</t>
        </is>
      </c>
      <c r="H3317" t="inlineStr">
        <is>
          <t>R&amp;R TRANSPORTE E LOGISTICA</t>
        </is>
      </c>
      <c r="J3317" s="29" t="n">
        <v>128.39</v>
      </c>
      <c r="K3317" s="29">
        <f>(1-ISNUMBER(SEARCH("556",M3317)))*(O3317*SUMIFS(Premissas!$C$5:$C$44,Premissas!$A$5:$A$44,$A3317,Premissas!$B$5:$B$44,$B3317)+P3317*SUMIFS(Premissas!$D$5:$D$44,Premissas!$A$5:$A$44,$A3317,Premissas!$B$5:$B$44,$B3317))+R3317*SUMIFS(Premissas!$E$5:$E$44,Premissas!$A$5:$A$44,$A3317,Premissas!$B$5:$B$44,$B3317)+S3317*SUMIFS(Premissas!$F$5:$F$44,Premissas!$A$5:$A$44,$A3317,Premissas!$B$5:$B$44,$B3317)</f>
        <v/>
      </c>
      <c r="L3317" s="29">
        <f>J3317-K3317</f>
        <v/>
      </c>
      <c r="M3317" t="inlineStr">
        <is>
          <t>1.350</t>
        </is>
      </c>
      <c r="N3317" t="inlineStr">
        <is>
          <t>Modalidade: 0 - Por conta do remetente | Parte: RODRIGUES e DIAS COMERCIO DE HORTIFRUTI GRANJEIROS LTDA (09.143.905/0001-95)</t>
        </is>
      </c>
      <c r="O3317" s="29" t="n">
        <v>0</v>
      </c>
      <c r="P3317" s="29" t="n">
        <v>0</v>
      </c>
      <c r="Q3317" s="29" t="n">
        <v>0</v>
      </c>
      <c r="R3317" s="29" t="n">
        <v>0</v>
      </c>
      <c r="S3317" s="29" t="n">
        <v>0</v>
      </c>
      <c r="T3317" t="inlineStr">
        <is>
          <t>25260426975620000130570010000069271000170732</t>
        </is>
      </c>
      <c r="U3317" t="inlineStr">
        <is>
          <t>Não</t>
        </is>
      </c>
    </row>
    <row r="3318">
      <c r="A3318" t="inlineStr">
        <is>
          <t>Frete de venda</t>
        </is>
      </c>
      <c r="B3318" t="inlineStr">
        <is>
          <t>2.01.02 Frete sobre Vendas</t>
        </is>
      </c>
      <c r="C3318" s="30" t="n">
        <v>46113</v>
      </c>
      <c r="D3318" t="inlineStr">
        <is>
          <t>Em 2026</t>
        </is>
      </c>
      <c r="E3318" s="28" t="n">
        <v>46142</v>
      </c>
      <c r="F3318" t="inlineStr">
        <is>
          <t>CT-e</t>
        </is>
      </c>
      <c r="G3318" t="inlineStr">
        <is>
          <t>000006928</t>
        </is>
      </c>
      <c r="H3318" t="inlineStr">
        <is>
          <t>R&amp;R TRANSPORTE E LOGISTICA</t>
        </is>
      </c>
      <c r="J3318" s="29" t="n">
        <v>39.21</v>
      </c>
      <c r="K3318" s="29">
        <f>(1-ISNUMBER(SEARCH("556",M3318)))*(O3318*SUMIFS(Premissas!$C$5:$C$44,Premissas!$A$5:$A$44,$A3318,Premissas!$B$5:$B$44,$B3318)+P3318*SUMIFS(Premissas!$D$5:$D$44,Premissas!$A$5:$A$44,$A3318,Premissas!$B$5:$B$44,$B3318))+R3318*SUMIFS(Premissas!$E$5:$E$44,Premissas!$A$5:$A$44,$A3318,Premissas!$B$5:$B$44,$B3318)+S3318*SUMIFS(Premissas!$F$5:$F$44,Premissas!$A$5:$A$44,$A3318,Premissas!$B$5:$B$44,$B3318)</f>
        <v/>
      </c>
      <c r="L3318" s="29">
        <f>J3318-K3318</f>
        <v/>
      </c>
      <c r="M3318" t="inlineStr">
        <is>
          <t>1.350</t>
        </is>
      </c>
      <c r="N3318" t="inlineStr">
        <is>
          <t>Modalidade: 0 - Por conta do remetente | Parte: DISTRIBUIDORA DE EMBALAGENS SUACUI LTDA (10.560.122/0001-96)</t>
        </is>
      </c>
      <c r="O3318" s="29" t="n">
        <v>0</v>
      </c>
      <c r="P3318" s="29" t="n">
        <v>0</v>
      </c>
      <c r="Q3318" s="29" t="n">
        <v>0</v>
      </c>
      <c r="R3318" s="29" t="n">
        <v>0</v>
      </c>
      <c r="S3318" s="29" t="n">
        <v>0</v>
      </c>
      <c r="T3318" t="inlineStr">
        <is>
          <t>25260426975620000130570010000069281000140814</t>
        </is>
      </c>
      <c r="U3318" t="inlineStr">
        <is>
          <t>Não</t>
        </is>
      </c>
    </row>
    <row r="3319">
      <c r="A3319" t="inlineStr">
        <is>
          <t>Frete de venda</t>
        </is>
      </c>
      <c r="B3319" t="inlineStr">
        <is>
          <t>2.01.02 Frete sobre Vendas</t>
        </is>
      </c>
      <c r="C3319" s="30" t="n">
        <v>46113</v>
      </c>
      <c r="D3319" t="inlineStr">
        <is>
          <t>Em 2026</t>
        </is>
      </c>
      <c r="E3319" s="28" t="n">
        <v>46142</v>
      </c>
      <c r="F3319" t="inlineStr">
        <is>
          <t>CT-e</t>
        </is>
      </c>
      <c r="G3319" t="inlineStr">
        <is>
          <t>000006929</t>
        </is>
      </c>
      <c r="H3319" t="inlineStr">
        <is>
          <t>R&amp;R TRANSPORTE E LOGISTICA</t>
        </is>
      </c>
      <c r="J3319" s="29" t="n">
        <v>47.02</v>
      </c>
      <c r="K3319" s="29">
        <f>(1-ISNUMBER(SEARCH("556",M3319)))*(O3319*SUMIFS(Premissas!$C$5:$C$44,Premissas!$A$5:$A$44,$A3319,Premissas!$B$5:$B$44,$B3319)+P3319*SUMIFS(Premissas!$D$5:$D$44,Premissas!$A$5:$A$44,$A3319,Premissas!$B$5:$B$44,$B3319))+R3319*SUMIFS(Premissas!$E$5:$E$44,Premissas!$A$5:$A$44,$A3319,Premissas!$B$5:$B$44,$B3319)+S3319*SUMIFS(Premissas!$F$5:$F$44,Premissas!$A$5:$A$44,$A3319,Premissas!$B$5:$B$44,$B3319)</f>
        <v/>
      </c>
      <c r="L3319" s="29">
        <f>J3319-K3319</f>
        <v/>
      </c>
      <c r="M3319" t="inlineStr">
        <is>
          <t>1.350</t>
        </is>
      </c>
      <c r="N3319" t="inlineStr">
        <is>
          <t>Modalidade: 0 - Por conta do remetente | Parte: CLG DESCARTAVEIS E EQUIPAMENTOS LTDA (28.182.666/0001-27)</t>
        </is>
      </c>
      <c r="O3319" s="29" t="n">
        <v>0</v>
      </c>
      <c r="P3319" s="29" t="n">
        <v>0</v>
      </c>
      <c r="Q3319" s="29" t="n">
        <v>0</v>
      </c>
      <c r="R3319" s="29" t="n">
        <v>0</v>
      </c>
      <c r="S3319" s="29" t="n">
        <v>0</v>
      </c>
      <c r="T3319" t="inlineStr">
        <is>
          <t>25260426975620000130570010000069291000110890</t>
        </is>
      </c>
      <c r="U3319" t="inlineStr">
        <is>
          <t>Não</t>
        </is>
      </c>
    </row>
    <row r="3320">
      <c r="A3320" t="inlineStr">
        <is>
          <t>Frete de venda</t>
        </is>
      </c>
      <c r="B3320" t="inlineStr">
        <is>
          <t>2.01.02 Frete sobre Vendas</t>
        </is>
      </c>
      <c r="C3320" s="30" t="n">
        <v>46113</v>
      </c>
      <c r="D3320" t="inlineStr">
        <is>
          <t>Em 2026</t>
        </is>
      </c>
      <c r="E3320" s="28" t="n">
        <v>46142</v>
      </c>
      <c r="F3320" t="inlineStr">
        <is>
          <t>CT-e</t>
        </is>
      </c>
      <c r="G3320" t="inlineStr">
        <is>
          <t>000006930</t>
        </is>
      </c>
      <c r="H3320" t="inlineStr">
        <is>
          <t>R&amp;R TRANSPORTE E LOGISTICA</t>
        </is>
      </c>
      <c r="J3320" s="29" t="n">
        <v>67.59999999999999</v>
      </c>
      <c r="K3320" s="29">
        <f>(1-ISNUMBER(SEARCH("556",M3320)))*(O3320*SUMIFS(Premissas!$C$5:$C$44,Premissas!$A$5:$A$44,$A3320,Premissas!$B$5:$B$44,$B3320)+P3320*SUMIFS(Premissas!$D$5:$D$44,Premissas!$A$5:$A$44,$A3320,Premissas!$B$5:$B$44,$B3320))+R3320*SUMIFS(Premissas!$E$5:$E$44,Premissas!$A$5:$A$44,$A3320,Premissas!$B$5:$B$44,$B3320)+S3320*SUMIFS(Premissas!$F$5:$F$44,Premissas!$A$5:$A$44,$A3320,Premissas!$B$5:$B$44,$B3320)</f>
        <v/>
      </c>
      <c r="L3320" s="29">
        <f>J3320-K3320</f>
        <v/>
      </c>
      <c r="M3320" t="inlineStr">
        <is>
          <t>1.350</t>
        </is>
      </c>
      <c r="N3320" t="inlineStr">
        <is>
          <t>Modalidade: 0 - Por conta do remetente | Parte: REIPEL COMERCIAL LTDA (66.283.771/0001-41)</t>
        </is>
      </c>
      <c r="O3320" s="29" t="n">
        <v>0</v>
      </c>
      <c r="P3320" s="29" t="n">
        <v>0</v>
      </c>
      <c r="Q3320" s="29" t="n">
        <v>0</v>
      </c>
      <c r="R3320" s="29" t="n">
        <v>0</v>
      </c>
      <c r="S3320" s="29" t="n">
        <v>0</v>
      </c>
      <c r="T3320" t="inlineStr">
        <is>
          <t>25260426975620000130570010000069301000190976</t>
        </is>
      </c>
      <c r="U3320" t="inlineStr">
        <is>
          <t>Não</t>
        </is>
      </c>
    </row>
    <row r="3321">
      <c r="A3321" t="inlineStr">
        <is>
          <t>Frete de venda</t>
        </is>
      </c>
      <c r="B3321" t="inlineStr">
        <is>
          <t>2.01.02 Frete sobre Vendas</t>
        </is>
      </c>
      <c r="C3321" s="30" t="n">
        <v>46113</v>
      </c>
      <c r="D3321" t="inlineStr">
        <is>
          <t>Em 2026</t>
        </is>
      </c>
      <c r="E3321" s="28" t="n">
        <v>46142</v>
      </c>
      <c r="F3321" t="inlineStr">
        <is>
          <t>CT-e</t>
        </is>
      </c>
      <c r="G3321" t="inlineStr">
        <is>
          <t>000006931</t>
        </is>
      </c>
      <c r="H3321" t="inlineStr">
        <is>
          <t>R&amp;R TRANSPORTE E LOGISTICA</t>
        </is>
      </c>
      <c r="J3321" s="29" t="n">
        <v>46.55</v>
      </c>
      <c r="K3321" s="29">
        <f>(1-ISNUMBER(SEARCH("556",M3321)))*(O3321*SUMIFS(Premissas!$C$5:$C$44,Premissas!$A$5:$A$44,$A3321,Premissas!$B$5:$B$44,$B3321)+P3321*SUMIFS(Premissas!$D$5:$D$44,Premissas!$A$5:$A$44,$A3321,Premissas!$B$5:$B$44,$B3321))+R3321*SUMIFS(Premissas!$E$5:$E$44,Premissas!$A$5:$A$44,$A3321,Premissas!$B$5:$B$44,$B3321)+S3321*SUMIFS(Premissas!$F$5:$F$44,Premissas!$A$5:$A$44,$A3321,Premissas!$B$5:$B$44,$B3321)</f>
        <v/>
      </c>
      <c r="L3321" s="29">
        <f>J3321-K3321</f>
        <v/>
      </c>
      <c r="M3321" t="inlineStr">
        <is>
          <t>1.350</t>
        </is>
      </c>
      <c r="N3321" t="inlineStr">
        <is>
          <t>Modalidade: 0 - Por conta do remetente | Parte: PLASTICENTRO LTDA (23.168.206/0001-20)</t>
        </is>
      </c>
      <c r="O3321" s="29" t="n">
        <v>0</v>
      </c>
      <c r="P3321" s="29" t="n">
        <v>0</v>
      </c>
      <c r="Q3321" s="29" t="n">
        <v>0</v>
      </c>
      <c r="R3321" s="29" t="n">
        <v>0</v>
      </c>
      <c r="S3321" s="29" t="n">
        <v>0</v>
      </c>
      <c r="T3321" t="inlineStr">
        <is>
          <t>25260426975620000130570010000069311001601055</t>
        </is>
      </c>
      <c r="U3321" t="inlineStr">
        <is>
          <t>Não</t>
        </is>
      </c>
    </row>
    <row r="3322">
      <c r="A3322" t="inlineStr">
        <is>
          <t>Frete de venda</t>
        </is>
      </c>
      <c r="B3322" t="inlineStr">
        <is>
          <t>2.01.02 Frete sobre Vendas</t>
        </is>
      </c>
      <c r="C3322" s="30" t="n">
        <v>46113</v>
      </c>
      <c r="D3322" t="inlineStr">
        <is>
          <t>Em 2026</t>
        </is>
      </c>
      <c r="E3322" s="28" t="n">
        <v>46142</v>
      </c>
      <c r="F3322" t="inlineStr">
        <is>
          <t>CT-e</t>
        </is>
      </c>
      <c r="G3322" t="inlineStr">
        <is>
          <t>000006932</t>
        </is>
      </c>
      <c r="H3322" t="inlineStr">
        <is>
          <t>R&amp;R TRANSPORTE E LOGISTICA</t>
        </is>
      </c>
      <c r="J3322" s="29" t="n">
        <v>53.68</v>
      </c>
      <c r="K3322" s="29">
        <f>(1-ISNUMBER(SEARCH("556",M3322)))*(O3322*SUMIFS(Premissas!$C$5:$C$44,Premissas!$A$5:$A$44,$A3322,Premissas!$B$5:$B$44,$B3322)+P3322*SUMIFS(Premissas!$D$5:$D$44,Premissas!$A$5:$A$44,$A3322,Premissas!$B$5:$B$44,$B3322))+R3322*SUMIFS(Premissas!$E$5:$E$44,Premissas!$A$5:$A$44,$A3322,Premissas!$B$5:$B$44,$B3322)+S3322*SUMIFS(Premissas!$F$5:$F$44,Premissas!$A$5:$A$44,$A3322,Premissas!$B$5:$B$44,$B3322)</f>
        <v/>
      </c>
      <c r="L3322" s="29">
        <f>J3322-K3322</f>
        <v/>
      </c>
      <c r="M3322" t="inlineStr">
        <is>
          <t>1.350</t>
        </is>
      </c>
      <c r="N3322" t="inlineStr">
        <is>
          <t>Modalidade: 0 - Por conta do remetente | Parte: CASA DAS EMBALAGENS ARAGUARI LTDA (01.870.495/0001-72)</t>
        </is>
      </c>
      <c r="O3322" s="29" t="n">
        <v>0</v>
      </c>
      <c r="P3322" s="29" t="n">
        <v>0</v>
      </c>
      <c r="Q3322" s="29" t="n">
        <v>0</v>
      </c>
      <c r="R3322" s="29" t="n">
        <v>0</v>
      </c>
      <c r="S3322" s="29" t="n">
        <v>0</v>
      </c>
      <c r="T3322" t="inlineStr">
        <is>
          <t>25260426975620000130570010000069321001301130</t>
        </is>
      </c>
      <c r="U3322" t="inlineStr">
        <is>
          <t>Não</t>
        </is>
      </c>
    </row>
    <row r="3323">
      <c r="A3323" t="inlineStr">
        <is>
          <t>Frete de venda</t>
        </is>
      </c>
      <c r="B3323" t="inlineStr">
        <is>
          <t>2.01.02 Frete sobre Vendas</t>
        </is>
      </c>
      <c r="C3323" s="30" t="n">
        <v>46113</v>
      </c>
      <c r="D3323" t="inlineStr">
        <is>
          <t>Em 2026</t>
        </is>
      </c>
      <c r="E3323" s="28" t="n">
        <v>46142</v>
      </c>
      <c r="F3323" t="inlineStr">
        <is>
          <t>CT-e</t>
        </is>
      </c>
      <c r="G3323" t="inlineStr">
        <is>
          <t>000006933</t>
        </is>
      </c>
      <c r="H3323" t="inlineStr">
        <is>
          <t>R&amp;R TRANSPORTE E LOGISTICA</t>
        </is>
      </c>
      <c r="J3323" s="29" t="n">
        <v>42.62</v>
      </c>
      <c r="K3323" s="29">
        <f>(1-ISNUMBER(SEARCH("556",M3323)))*(O3323*SUMIFS(Premissas!$C$5:$C$44,Premissas!$A$5:$A$44,$A3323,Premissas!$B$5:$B$44,$B3323)+P3323*SUMIFS(Premissas!$D$5:$D$44,Premissas!$A$5:$A$44,$A3323,Premissas!$B$5:$B$44,$B3323))+R3323*SUMIFS(Premissas!$E$5:$E$44,Premissas!$A$5:$A$44,$A3323,Premissas!$B$5:$B$44,$B3323)+S3323*SUMIFS(Premissas!$F$5:$F$44,Premissas!$A$5:$A$44,$A3323,Premissas!$B$5:$B$44,$B3323)</f>
        <v/>
      </c>
      <c r="L3323" s="29">
        <f>J3323-K3323</f>
        <v/>
      </c>
      <c r="M3323" t="inlineStr">
        <is>
          <t>1.350</t>
        </is>
      </c>
      <c r="N3323" t="inlineStr">
        <is>
          <t>Modalidade: 0 - Por conta do remetente | Parte: PONTUAL EMBALAGENS LTDA (20.813.448/0001-31)</t>
        </is>
      </c>
      <c r="O3323" s="29" t="n">
        <v>0</v>
      </c>
      <c r="P3323" s="29" t="n">
        <v>0</v>
      </c>
      <c r="Q3323" s="29" t="n">
        <v>0</v>
      </c>
      <c r="R3323" s="29" t="n">
        <v>0</v>
      </c>
      <c r="S3323" s="29" t="n">
        <v>0</v>
      </c>
      <c r="T3323" t="inlineStr">
        <is>
          <t>25260426975620000130570010000069331000101215</t>
        </is>
      </c>
      <c r="U3323" t="inlineStr">
        <is>
          <t>Não</t>
        </is>
      </c>
    </row>
    <row r="3324">
      <c r="A3324" t="inlineStr">
        <is>
          <t>Frete de venda</t>
        </is>
      </c>
      <c r="B3324" t="inlineStr">
        <is>
          <t>2.01.02 Frete sobre Vendas</t>
        </is>
      </c>
      <c r="C3324" s="30" t="n">
        <v>46113</v>
      </c>
      <c r="D3324" t="inlineStr">
        <is>
          <t>Em 2026</t>
        </is>
      </c>
      <c r="E3324" s="28" t="n">
        <v>46142</v>
      </c>
      <c r="F3324" t="inlineStr">
        <is>
          <t>CT-e</t>
        </is>
      </c>
      <c r="G3324" t="inlineStr">
        <is>
          <t>000006934</t>
        </is>
      </c>
      <c r="H3324" t="inlineStr">
        <is>
          <t>R&amp;R TRANSPORTE E LOGISTICA</t>
        </is>
      </c>
      <c r="J3324" s="29" t="n">
        <v>62.26</v>
      </c>
      <c r="K3324" s="29">
        <f>(1-ISNUMBER(SEARCH("556",M3324)))*(O3324*SUMIFS(Premissas!$C$5:$C$44,Premissas!$A$5:$A$44,$A3324,Premissas!$B$5:$B$44,$B3324)+P3324*SUMIFS(Premissas!$D$5:$D$44,Premissas!$A$5:$A$44,$A3324,Premissas!$B$5:$B$44,$B3324))+R3324*SUMIFS(Premissas!$E$5:$E$44,Premissas!$A$5:$A$44,$A3324,Premissas!$B$5:$B$44,$B3324)+S3324*SUMIFS(Premissas!$F$5:$F$44,Premissas!$A$5:$A$44,$A3324,Premissas!$B$5:$B$44,$B3324)</f>
        <v/>
      </c>
      <c r="L3324" s="29">
        <f>J3324-K3324</f>
        <v/>
      </c>
      <c r="M3324" t="inlineStr">
        <is>
          <t>1.350</t>
        </is>
      </c>
      <c r="N3324" t="inlineStr">
        <is>
          <t>Modalidade: 0 - Por conta do remetente | Parte: DISTRIBUIDORA BELOPACK LTDA (03.053.442/0001-94)</t>
        </is>
      </c>
      <c r="O3324" s="29" t="n">
        <v>0</v>
      </c>
      <c r="P3324" s="29" t="n">
        <v>0</v>
      </c>
      <c r="Q3324" s="29" t="n">
        <v>0</v>
      </c>
      <c r="R3324" s="29" t="n">
        <v>0</v>
      </c>
      <c r="S3324" s="29" t="n">
        <v>0</v>
      </c>
      <c r="T3324" t="inlineStr">
        <is>
          <t>25260426975620000130570010000069341001801293</t>
        </is>
      </c>
      <c r="U3324" t="inlineStr">
        <is>
          <t>Não</t>
        </is>
      </c>
    </row>
    <row r="3325">
      <c r="A3325" t="inlineStr">
        <is>
          <t>Frete de venda</t>
        </is>
      </c>
      <c r="B3325" t="inlineStr">
        <is>
          <t>2.01.02 Frete sobre Vendas</t>
        </is>
      </c>
      <c r="C3325" s="30" t="n">
        <v>46113</v>
      </c>
      <c r="D3325" t="inlineStr">
        <is>
          <t>Em 2026</t>
        </is>
      </c>
      <c r="E3325" s="28" t="n">
        <v>46127</v>
      </c>
      <c r="F3325" t="inlineStr">
        <is>
          <t>CT-e</t>
        </is>
      </c>
      <c r="G3325" t="inlineStr">
        <is>
          <t>000003514</t>
        </is>
      </c>
      <c r="H3325" t="inlineStr">
        <is>
          <t>RAPIDO XAPURI TRANSPORTES E LOGISTICA LTDA</t>
        </is>
      </c>
      <c r="J3325" s="29" t="n">
        <v>880.7</v>
      </c>
      <c r="K3325" s="29">
        <f>(1-ISNUMBER(SEARCH("556",M3325)))*(O3325*SUMIFS(Premissas!$C$5:$C$44,Premissas!$A$5:$A$44,$A3325,Premissas!$B$5:$B$44,$B3325)+P3325*SUMIFS(Premissas!$D$5:$D$44,Premissas!$A$5:$A$44,$A3325,Premissas!$B$5:$B$44,$B3325))+R3325*SUMIFS(Premissas!$E$5:$E$44,Premissas!$A$5:$A$44,$A3325,Premissas!$B$5:$B$44,$B3325)+S3325*SUMIFS(Premissas!$F$5:$F$44,Premissas!$A$5:$A$44,$A3325,Premissas!$B$5:$B$44,$B3325)</f>
        <v/>
      </c>
      <c r="L3325" s="29">
        <f>J3325-K3325</f>
        <v/>
      </c>
      <c r="M3325" t="inlineStr">
        <is>
          <t>1.350</t>
        </is>
      </c>
      <c r="N3325" t="inlineStr">
        <is>
          <t>Modalidade: 0 - Por conta do remetente | Parte: FJ EMBALAGENS LTDA (09.578.245/0001-75)</t>
        </is>
      </c>
      <c r="O3325" s="29" t="n">
        <v>0</v>
      </c>
      <c r="P3325" s="29" t="n">
        <v>105.68</v>
      </c>
      <c r="Q3325" s="29" t="n">
        <v>0</v>
      </c>
      <c r="R3325" s="29" t="n">
        <v>0</v>
      </c>
      <c r="S3325" s="29" t="n">
        <v>0</v>
      </c>
      <c r="T3325" t="inlineStr">
        <is>
          <t>52260427775231000557570010000035141000629550</t>
        </is>
      </c>
      <c r="U3325" t="inlineStr">
        <is>
          <t>Sim</t>
        </is>
      </c>
    </row>
    <row r="3326">
      <c r="A3326" t="inlineStr">
        <is>
          <t>Frete de venda</t>
        </is>
      </c>
      <c r="B3326" t="inlineStr">
        <is>
          <t>2.01.02 Frete sobre Vendas</t>
        </is>
      </c>
      <c r="C3326" s="30" t="n">
        <v>46113</v>
      </c>
      <c r="D3326" t="inlineStr">
        <is>
          <t>Em 2026</t>
        </is>
      </c>
      <c r="E3326" s="28" t="n">
        <v>46127</v>
      </c>
      <c r="F3326" t="inlineStr">
        <is>
          <t>CT-e</t>
        </is>
      </c>
      <c r="G3326" t="inlineStr">
        <is>
          <t>000003515</t>
        </is>
      </c>
      <c r="H3326" t="inlineStr">
        <is>
          <t>RAPIDO XAPURI TRANSPORTES E LOGISTICA LTDA</t>
        </is>
      </c>
      <c r="J3326" s="29" t="n">
        <v>359.61</v>
      </c>
      <c r="K3326" s="29">
        <f>(1-ISNUMBER(SEARCH("556",M3326)))*(O3326*SUMIFS(Premissas!$C$5:$C$44,Premissas!$A$5:$A$44,$A3326,Premissas!$B$5:$B$44,$B3326)+P3326*SUMIFS(Premissas!$D$5:$D$44,Premissas!$A$5:$A$44,$A3326,Premissas!$B$5:$B$44,$B3326))+R3326*SUMIFS(Premissas!$E$5:$E$44,Premissas!$A$5:$A$44,$A3326,Premissas!$B$5:$B$44,$B3326)+S3326*SUMIFS(Premissas!$F$5:$F$44,Premissas!$A$5:$A$44,$A3326,Premissas!$B$5:$B$44,$B3326)</f>
        <v/>
      </c>
      <c r="L3326" s="29">
        <f>J3326-K3326</f>
        <v/>
      </c>
      <c r="M3326" t="inlineStr">
        <is>
          <t>1.350</t>
        </is>
      </c>
      <c r="N3326" t="inlineStr">
        <is>
          <t>Modalidade: 0 - Por conta do remetente | Parte: COMERCIAL DUARTE LTDA (27.461.644/0001-33)</t>
        </is>
      </c>
      <c r="O3326" s="29" t="n">
        <v>0</v>
      </c>
      <c r="P3326" s="29" t="n">
        <v>43.15</v>
      </c>
      <c r="Q3326" s="29" t="n">
        <v>0</v>
      </c>
      <c r="R3326" s="29" t="n">
        <v>0</v>
      </c>
      <c r="S3326" s="29" t="n">
        <v>0</v>
      </c>
      <c r="T3326" t="inlineStr">
        <is>
          <t>52260427775231000557570010000035151000629566</t>
        </is>
      </c>
      <c r="U3326" t="inlineStr">
        <is>
          <t>Sim</t>
        </is>
      </c>
    </row>
    <row r="3327">
      <c r="A3327" t="inlineStr">
        <is>
          <t>Frete de venda</t>
        </is>
      </c>
      <c r="B3327" t="inlineStr">
        <is>
          <t>2.01.02 Frete sobre Vendas</t>
        </is>
      </c>
      <c r="C3327" s="30" t="n">
        <v>46113</v>
      </c>
      <c r="D3327" t="inlineStr">
        <is>
          <t>Em 2026</t>
        </is>
      </c>
      <c r="E3327" s="28" t="n">
        <v>46127</v>
      </c>
      <c r="F3327" t="inlineStr">
        <is>
          <t>CT-e</t>
        </is>
      </c>
      <c r="G3327" t="inlineStr">
        <is>
          <t>000003516</t>
        </is>
      </c>
      <c r="H3327" t="inlineStr">
        <is>
          <t>RAPIDO XAPURI TRANSPORTES E LOGISTICA LTDA</t>
        </is>
      </c>
      <c r="J3327" s="29" t="n">
        <v>361.01</v>
      </c>
      <c r="K3327" s="29">
        <f>(1-ISNUMBER(SEARCH("556",M3327)))*(O3327*SUMIFS(Premissas!$C$5:$C$44,Premissas!$A$5:$A$44,$A3327,Premissas!$B$5:$B$44,$B3327)+P3327*SUMIFS(Premissas!$D$5:$D$44,Premissas!$A$5:$A$44,$A3327,Premissas!$B$5:$B$44,$B3327))+R3327*SUMIFS(Premissas!$E$5:$E$44,Premissas!$A$5:$A$44,$A3327,Premissas!$B$5:$B$44,$B3327)+S3327*SUMIFS(Premissas!$F$5:$F$44,Premissas!$A$5:$A$44,$A3327,Premissas!$B$5:$B$44,$B3327)</f>
        <v/>
      </c>
      <c r="L3327" s="29">
        <f>J3327-K3327</f>
        <v/>
      </c>
      <c r="M3327" t="inlineStr">
        <is>
          <t>1.350</t>
        </is>
      </c>
      <c r="N3327" t="inlineStr">
        <is>
          <t>Modalidade: 0 - Por conta do remetente | Parte: F. C. EMBALAGENS e SALGADINHOS (14.025.694/0001-26)</t>
        </is>
      </c>
      <c r="O3327" s="29" t="n">
        <v>0</v>
      </c>
      <c r="P3327" s="29" t="n">
        <v>43.32</v>
      </c>
      <c r="Q3327" s="29" t="n">
        <v>0</v>
      </c>
      <c r="R3327" s="29" t="n">
        <v>0</v>
      </c>
      <c r="S3327" s="29" t="n">
        <v>0</v>
      </c>
      <c r="T3327" t="inlineStr">
        <is>
          <t>52260427775231000557570010000035161000629571</t>
        </is>
      </c>
      <c r="U3327" t="inlineStr">
        <is>
          <t>Sim</t>
        </is>
      </c>
    </row>
    <row r="3328">
      <c r="A3328" t="inlineStr">
        <is>
          <t>Frete de venda</t>
        </is>
      </c>
      <c r="B3328" t="inlineStr">
        <is>
          <t>2.01.02 Frete sobre Vendas</t>
        </is>
      </c>
      <c r="C3328" s="30" t="n">
        <v>46113</v>
      </c>
      <c r="D3328" t="inlineStr">
        <is>
          <t>Em 2026</t>
        </is>
      </c>
      <c r="E3328" s="28" t="n">
        <v>46127</v>
      </c>
      <c r="F3328" t="inlineStr">
        <is>
          <t>CT-e</t>
        </is>
      </c>
      <c r="G3328" t="inlineStr">
        <is>
          <t>000003517</t>
        </is>
      </c>
      <c r="H3328" t="inlineStr">
        <is>
          <t>RAPIDO XAPURI TRANSPORTES E LOGISTICA LTDA</t>
        </is>
      </c>
      <c r="J3328" s="29" t="n">
        <v>1916.11</v>
      </c>
      <c r="K3328" s="29">
        <f>(1-ISNUMBER(SEARCH("556",M3328)))*(O3328*SUMIFS(Premissas!$C$5:$C$44,Premissas!$A$5:$A$44,$A3328,Premissas!$B$5:$B$44,$B3328)+P3328*SUMIFS(Premissas!$D$5:$D$44,Premissas!$A$5:$A$44,$A3328,Premissas!$B$5:$B$44,$B3328))+R3328*SUMIFS(Premissas!$E$5:$E$44,Premissas!$A$5:$A$44,$A3328,Premissas!$B$5:$B$44,$B3328)+S3328*SUMIFS(Premissas!$F$5:$F$44,Premissas!$A$5:$A$44,$A3328,Premissas!$B$5:$B$44,$B3328)</f>
        <v/>
      </c>
      <c r="L3328" s="29">
        <f>J3328-K3328</f>
        <v/>
      </c>
      <c r="M3328" t="inlineStr">
        <is>
          <t>1.350</t>
        </is>
      </c>
      <c r="N3328" t="inlineStr">
        <is>
          <t>Modalidade: 0 - Por conta do remetente | Parte: CASA DAS EMBALAGENS LTDA (34.264.594/0001-60)</t>
        </is>
      </c>
      <c r="O3328" s="29" t="n">
        <v>0</v>
      </c>
      <c r="P3328" s="29" t="n">
        <v>229.93</v>
      </c>
      <c r="Q3328" s="29" t="n">
        <v>0</v>
      </c>
      <c r="R3328" s="29" t="n">
        <v>0</v>
      </c>
      <c r="S3328" s="29" t="n">
        <v>0</v>
      </c>
      <c r="T3328" t="inlineStr">
        <is>
          <t>52260427775231000557570010000035171000629587</t>
        </is>
      </c>
      <c r="U3328" t="inlineStr">
        <is>
          <t>Sim</t>
        </is>
      </c>
    </row>
    <row r="3329">
      <c r="A3329" t="inlineStr">
        <is>
          <t>Frete de venda</t>
        </is>
      </c>
      <c r="B3329" t="inlineStr">
        <is>
          <t>2.01.02 Frete sobre Vendas</t>
        </is>
      </c>
      <c r="C3329" s="30" t="n">
        <v>46113</v>
      </c>
      <c r="D3329" t="inlineStr">
        <is>
          <t>Em 2026</t>
        </is>
      </c>
      <c r="E3329" s="28" t="n">
        <v>46127</v>
      </c>
      <c r="F3329" t="inlineStr">
        <is>
          <t>CT-e</t>
        </is>
      </c>
      <c r="G3329" t="inlineStr">
        <is>
          <t>000003518</t>
        </is>
      </c>
      <c r="H3329" t="inlineStr">
        <is>
          <t>RAPIDO XAPURI TRANSPORTES E LOGISTICA LTDA</t>
        </is>
      </c>
      <c r="J3329" s="29" t="n">
        <v>4581.11</v>
      </c>
      <c r="K3329" s="29">
        <f>(1-ISNUMBER(SEARCH("556",M3329)))*(O3329*SUMIFS(Premissas!$C$5:$C$44,Premissas!$A$5:$A$44,$A3329,Premissas!$B$5:$B$44,$B3329)+P3329*SUMIFS(Premissas!$D$5:$D$44,Premissas!$A$5:$A$44,$A3329,Premissas!$B$5:$B$44,$B3329))+R3329*SUMIFS(Premissas!$E$5:$E$44,Premissas!$A$5:$A$44,$A3329,Premissas!$B$5:$B$44,$B3329)+S3329*SUMIFS(Premissas!$F$5:$F$44,Premissas!$A$5:$A$44,$A3329,Premissas!$B$5:$B$44,$B3329)</f>
        <v/>
      </c>
      <c r="L3329" s="29">
        <f>J3329-K3329</f>
        <v/>
      </c>
      <c r="M3329" t="inlineStr">
        <is>
          <t>1.350</t>
        </is>
      </c>
      <c r="N3329" t="inlineStr">
        <is>
          <t>Modalidade: 0 - Por conta do remetente | Parte: A. C. D. A. IMPORTACAO E EXPORTACAO LTDA (84.308.980/0008-50)</t>
        </is>
      </c>
      <c r="O3329" s="29" t="n">
        <v>0</v>
      </c>
      <c r="P3329" s="29" t="n">
        <v>549.73</v>
      </c>
      <c r="Q3329" s="29" t="n">
        <v>0</v>
      </c>
      <c r="R3329" s="29" t="n">
        <v>0</v>
      </c>
      <c r="S3329" s="29" t="n">
        <v>0</v>
      </c>
      <c r="T3329" t="inlineStr">
        <is>
          <t>52260427775231000557570010000035181000629592</t>
        </is>
      </c>
      <c r="U3329" t="inlineStr">
        <is>
          <t>Sim</t>
        </is>
      </c>
    </row>
    <row r="3330">
      <c r="A3330" t="inlineStr">
        <is>
          <t>Frete de venda</t>
        </is>
      </c>
      <c r="B3330" t="inlineStr">
        <is>
          <t>2.01.02 Frete sobre Vendas</t>
        </is>
      </c>
      <c r="C3330" s="30" t="n">
        <v>46113</v>
      </c>
      <c r="D3330" t="inlineStr">
        <is>
          <t>Em 2026</t>
        </is>
      </c>
      <c r="E3330" s="28" t="n">
        <v>46120</v>
      </c>
      <c r="F3330" t="inlineStr">
        <is>
          <t>CT-e</t>
        </is>
      </c>
      <c r="G3330" t="inlineStr">
        <is>
          <t>000000655</t>
        </is>
      </c>
      <c r="H3330" t="inlineStr">
        <is>
          <t>REIMAG - REINALDO DOMINGUES BARROS DA SILVA</t>
        </is>
      </c>
      <c r="J3330" s="29" t="n">
        <v>1600</v>
      </c>
      <c r="K3330" s="29">
        <f>(1-ISNUMBER(SEARCH("556",M3330)))*(O3330*SUMIFS(Premissas!$C$5:$C$44,Premissas!$A$5:$A$44,$A3330,Premissas!$B$5:$B$44,$B3330)+P3330*SUMIFS(Premissas!$D$5:$D$44,Premissas!$A$5:$A$44,$A3330,Premissas!$B$5:$B$44,$B3330))+R3330*SUMIFS(Premissas!$E$5:$E$44,Premissas!$A$5:$A$44,$A3330,Premissas!$B$5:$B$44,$B3330)+S3330*SUMIFS(Premissas!$F$5:$F$44,Premissas!$A$5:$A$44,$A3330,Premissas!$B$5:$B$44,$B3330)</f>
        <v/>
      </c>
      <c r="L3330" s="29">
        <f>J3330-K3330</f>
        <v/>
      </c>
      <c r="M3330" t="inlineStr">
        <is>
          <t>1.350</t>
        </is>
      </c>
      <c r="N3330" t="inlineStr">
        <is>
          <t>Modalidade: 0 - Por conta do remetente | Parte: ALLYNE VANESSA DO PRADO ARRUDA EMBALAGENS (26.914.930/0001-44)</t>
        </is>
      </c>
      <c r="O3330" s="29" t="n">
        <v>0</v>
      </c>
      <c r="P3330" s="29" t="n">
        <v>0</v>
      </c>
      <c r="Q3330" s="29" t="n">
        <v>0</v>
      </c>
      <c r="R3330" s="29" t="n">
        <v>0</v>
      </c>
      <c r="S3330" s="29" t="n">
        <v>0</v>
      </c>
      <c r="T3330" t="inlineStr">
        <is>
          <t>25260439962724000151570010000006551902742599</t>
        </is>
      </c>
      <c r="U3330" t="inlineStr">
        <is>
          <t>Sim</t>
        </is>
      </c>
    </row>
    <row r="3331">
      <c r="A3331" t="inlineStr">
        <is>
          <t>Frete de venda</t>
        </is>
      </c>
      <c r="B3331" t="inlineStr">
        <is>
          <t>2.01.02 Frete sobre Vendas</t>
        </is>
      </c>
      <c r="C3331" s="30" t="n">
        <v>46113</v>
      </c>
      <c r="D3331" t="inlineStr">
        <is>
          <t>Em 2026</t>
        </is>
      </c>
      <c r="E3331" s="28" t="n">
        <v>46134</v>
      </c>
      <c r="F3331" t="inlineStr">
        <is>
          <t>CT-e</t>
        </is>
      </c>
      <c r="G3331" t="inlineStr">
        <is>
          <t>000000669</t>
        </is>
      </c>
      <c r="H3331" t="inlineStr">
        <is>
          <t>REIMAG - REINALDO DOMINGUES BARROS DA SILVA</t>
        </is>
      </c>
      <c r="J3331" s="29" t="n">
        <v>800</v>
      </c>
      <c r="K3331" s="29">
        <f>(1-ISNUMBER(SEARCH("556",M3331)))*(O3331*SUMIFS(Premissas!$C$5:$C$44,Premissas!$A$5:$A$44,$A3331,Premissas!$B$5:$B$44,$B3331)+P3331*SUMIFS(Premissas!$D$5:$D$44,Premissas!$A$5:$A$44,$A3331,Premissas!$B$5:$B$44,$B3331))+R3331*SUMIFS(Premissas!$E$5:$E$44,Premissas!$A$5:$A$44,$A3331,Premissas!$B$5:$B$44,$B3331)+S3331*SUMIFS(Premissas!$F$5:$F$44,Premissas!$A$5:$A$44,$A3331,Premissas!$B$5:$B$44,$B3331)</f>
        <v/>
      </c>
      <c r="L3331" s="29">
        <f>J3331-K3331</f>
        <v/>
      </c>
      <c r="M3331" t="inlineStr">
        <is>
          <t>1.350</t>
        </is>
      </c>
      <c r="N3331" t="inlineStr">
        <is>
          <t>Modalidade: 0 - Por conta do remetente | Parte: PRASO PLATAFORMA DE COMERCIO LTDA. (42.434.646/0003-99)</t>
        </is>
      </c>
      <c r="O3331" s="29" t="n">
        <v>0</v>
      </c>
      <c r="P3331" s="29" t="n">
        <v>0</v>
      </c>
      <c r="Q3331" s="29" t="n">
        <v>0</v>
      </c>
      <c r="R3331" s="29" t="n">
        <v>0</v>
      </c>
      <c r="S3331" s="29" t="n">
        <v>0</v>
      </c>
      <c r="T3331" t="inlineStr">
        <is>
          <t>25260439962724000151570010000006691672895548</t>
        </is>
      </c>
      <c r="U3331" t="inlineStr">
        <is>
          <t>Sim</t>
        </is>
      </c>
    </row>
    <row r="3332">
      <c r="A3332" t="inlineStr">
        <is>
          <t>Frete de venda</t>
        </is>
      </c>
      <c r="B3332" t="inlineStr">
        <is>
          <t>2.01.02 Frete sobre Vendas</t>
        </is>
      </c>
      <c r="C3332" s="30" t="n">
        <v>46113</v>
      </c>
      <c r="D3332" t="inlineStr">
        <is>
          <t>Em 2026</t>
        </is>
      </c>
      <c r="E3332" s="28" t="n">
        <v>46141</v>
      </c>
      <c r="F3332" t="inlineStr">
        <is>
          <t>CT-e</t>
        </is>
      </c>
      <c r="G3332" t="inlineStr">
        <is>
          <t>000000675</t>
        </is>
      </c>
      <c r="H3332" t="inlineStr">
        <is>
          <t>REIMAG - REINALDO DOMINGUES BARROS DA SILVA</t>
        </is>
      </c>
      <c r="J3332" s="29" t="n">
        <v>375</v>
      </c>
      <c r="K3332" s="29">
        <f>(1-ISNUMBER(SEARCH("556",M3332)))*(O3332*SUMIFS(Premissas!$C$5:$C$44,Premissas!$A$5:$A$44,$A3332,Premissas!$B$5:$B$44,$B3332)+P3332*SUMIFS(Premissas!$D$5:$D$44,Premissas!$A$5:$A$44,$A3332,Premissas!$B$5:$B$44,$B3332))+R3332*SUMIFS(Premissas!$E$5:$E$44,Premissas!$A$5:$A$44,$A3332,Premissas!$B$5:$B$44,$B3332)+S3332*SUMIFS(Premissas!$F$5:$F$44,Premissas!$A$5:$A$44,$A3332,Premissas!$B$5:$B$44,$B3332)</f>
        <v/>
      </c>
      <c r="L3332" s="29">
        <f>J3332-K3332</f>
        <v/>
      </c>
      <c r="M3332" t="inlineStr">
        <is>
          <t>1.350</t>
        </is>
      </c>
      <c r="N3332" t="inlineStr">
        <is>
          <t>Modalidade: 0 - Por conta do remetente | Parte: GALPLAST EMBALAGENS LTDA (24.273.591/0001-39)</t>
        </is>
      </c>
      <c r="O3332" s="29" t="n">
        <v>0</v>
      </c>
      <c r="P3332" s="29" t="n">
        <v>0</v>
      </c>
      <c r="Q3332" s="29" t="n">
        <v>0</v>
      </c>
      <c r="R3332" s="29" t="n">
        <v>0</v>
      </c>
      <c r="S3332" s="29" t="n">
        <v>0</v>
      </c>
      <c r="T3332" t="inlineStr">
        <is>
          <t>25260439962724000151570010000006751563074940</t>
        </is>
      </c>
      <c r="U3332" t="inlineStr">
        <is>
          <t>Sim</t>
        </is>
      </c>
    </row>
    <row r="3333">
      <c r="A3333" t="inlineStr">
        <is>
          <t>Frete de venda</t>
        </is>
      </c>
      <c r="B3333" t="inlineStr">
        <is>
          <t>2.01.02 Frete sobre Vendas</t>
        </is>
      </c>
      <c r="C3333" s="30" t="n">
        <v>46113</v>
      </c>
      <c r="D3333" t="inlineStr">
        <is>
          <t>Em 2026</t>
        </is>
      </c>
      <c r="E3333" s="28" t="n">
        <v>46141</v>
      </c>
      <c r="F3333" t="inlineStr">
        <is>
          <t>CT-e</t>
        </is>
      </c>
      <c r="G3333" t="inlineStr">
        <is>
          <t>000000676</t>
        </is>
      </c>
      <c r="H3333" t="inlineStr">
        <is>
          <t>REIMAG - REINALDO DOMINGUES BARROS DA SILVA</t>
        </is>
      </c>
      <c r="J3333" s="29" t="n">
        <v>375</v>
      </c>
      <c r="K3333" s="29">
        <f>(1-ISNUMBER(SEARCH("556",M3333)))*(O3333*SUMIFS(Premissas!$C$5:$C$44,Premissas!$A$5:$A$44,$A3333,Premissas!$B$5:$B$44,$B3333)+P3333*SUMIFS(Premissas!$D$5:$D$44,Premissas!$A$5:$A$44,$A3333,Premissas!$B$5:$B$44,$B3333))+R3333*SUMIFS(Premissas!$E$5:$E$44,Premissas!$A$5:$A$44,$A3333,Premissas!$B$5:$B$44,$B3333)+S3333*SUMIFS(Premissas!$F$5:$F$44,Premissas!$A$5:$A$44,$A3333,Premissas!$B$5:$B$44,$B3333)</f>
        <v/>
      </c>
      <c r="L3333" s="29">
        <f>J3333-K3333</f>
        <v/>
      </c>
      <c r="M3333" t="inlineStr">
        <is>
          <t>1.350</t>
        </is>
      </c>
      <c r="N3333" t="inlineStr">
        <is>
          <t>Modalidade: 0 - Por conta do remetente | Parte: MACROPAC PROTECAO E EMBALAGEM LTDA (11.840.014/0001-30)</t>
        </is>
      </c>
      <c r="O3333" s="29" t="n">
        <v>0</v>
      </c>
      <c r="P3333" s="29" t="n">
        <v>0</v>
      </c>
      <c r="Q3333" s="29" t="n">
        <v>0</v>
      </c>
      <c r="R3333" s="29" t="n">
        <v>0</v>
      </c>
      <c r="S3333" s="29" t="n">
        <v>0</v>
      </c>
      <c r="T3333" t="inlineStr">
        <is>
          <t>25260439962724000151570010000006761636603081</t>
        </is>
      </c>
      <c r="U3333" t="inlineStr">
        <is>
          <t>Sim</t>
        </is>
      </c>
    </row>
    <row r="3334">
      <c r="A3334" t="inlineStr">
        <is>
          <t>Frete de venda</t>
        </is>
      </c>
      <c r="B3334" t="inlineStr">
        <is>
          <t>2.01.02 Frete sobre Vendas</t>
        </is>
      </c>
      <c r="C3334" s="30" t="n">
        <v>46113</v>
      </c>
      <c r="D3334" t="inlineStr">
        <is>
          <t>Em 2026</t>
        </is>
      </c>
      <c r="E3334" s="28" t="n">
        <v>46141</v>
      </c>
      <c r="F3334" t="inlineStr">
        <is>
          <t>CT-e</t>
        </is>
      </c>
      <c r="G3334" t="inlineStr">
        <is>
          <t>000024480</t>
        </is>
      </c>
      <c r="H3334" t="inlineStr">
        <is>
          <t>TRANSPORTE OLIVEIRA E MELLOI - IDEALIZA TRANSPORTES</t>
        </is>
      </c>
      <c r="J3334" s="29" t="n">
        <v>779.24</v>
      </c>
      <c r="K3334" s="29">
        <f>(1-ISNUMBER(SEARCH("556",M3334)))*(O3334*SUMIFS(Premissas!$C$5:$C$44,Premissas!$A$5:$A$44,$A3334,Premissas!$B$5:$B$44,$B3334)+P3334*SUMIFS(Premissas!$D$5:$D$44,Premissas!$A$5:$A$44,$A3334,Premissas!$B$5:$B$44,$B3334))+R3334*SUMIFS(Premissas!$E$5:$E$44,Premissas!$A$5:$A$44,$A3334,Premissas!$B$5:$B$44,$B3334)+S3334*SUMIFS(Premissas!$F$5:$F$44,Premissas!$A$5:$A$44,$A3334,Premissas!$B$5:$B$44,$B3334)</f>
        <v/>
      </c>
      <c r="L3334" s="29">
        <f>J3334-K3334</f>
        <v/>
      </c>
      <c r="M3334" t="inlineStr">
        <is>
          <t>1.350</t>
        </is>
      </c>
      <c r="N3334" t="inlineStr">
        <is>
          <t>Modalidade: 0 - Por conta do remetente | Parte: CAVALCANTE E LAGES LTDA (06.120.924/0001-08)</t>
        </is>
      </c>
      <c r="O3334" s="29" t="n">
        <v>0</v>
      </c>
      <c r="P3334" s="29" t="n">
        <v>93.51000000000001</v>
      </c>
      <c r="Q3334" s="29" t="n">
        <v>0</v>
      </c>
      <c r="R3334" s="29" t="n">
        <v>0</v>
      </c>
      <c r="S3334" s="29" t="n">
        <v>0</v>
      </c>
      <c r="T3334" t="inlineStr">
        <is>
          <t>15260420175042000170570010000244801000062452</t>
        </is>
      </c>
      <c r="U3334" t="inlineStr">
        <is>
          <t>Sim</t>
        </is>
      </c>
    </row>
    <row r="3335">
      <c r="A3335" t="inlineStr">
        <is>
          <t>Frete de venda</t>
        </is>
      </c>
      <c r="B3335" t="inlineStr">
        <is>
          <t>2.01.02 Frete sobre Vendas</t>
        </is>
      </c>
      <c r="C3335" s="30" t="n">
        <v>46113</v>
      </c>
      <c r="D3335" t="inlineStr">
        <is>
          <t>Em 2026</t>
        </is>
      </c>
      <c r="E3335" s="28" t="n">
        <v>46141</v>
      </c>
      <c r="F3335" t="inlineStr">
        <is>
          <t>CT-e</t>
        </is>
      </c>
      <c r="G3335" t="inlineStr">
        <is>
          <t>000024481</t>
        </is>
      </c>
      <c r="H3335" t="inlineStr">
        <is>
          <t>TRANSPORTE OLIVEIRA E MELLOI - IDEALIZA TRANSPORTES</t>
        </is>
      </c>
      <c r="J3335" s="29" t="n">
        <v>970.45</v>
      </c>
      <c r="K3335" s="29">
        <f>(1-ISNUMBER(SEARCH("556",M3335)))*(O3335*SUMIFS(Premissas!$C$5:$C$44,Premissas!$A$5:$A$44,$A3335,Premissas!$B$5:$B$44,$B3335)+P3335*SUMIFS(Premissas!$D$5:$D$44,Premissas!$A$5:$A$44,$A3335,Premissas!$B$5:$B$44,$B3335))+R3335*SUMIFS(Premissas!$E$5:$E$44,Premissas!$A$5:$A$44,$A3335,Premissas!$B$5:$B$44,$B3335)+S3335*SUMIFS(Premissas!$F$5:$F$44,Premissas!$A$5:$A$44,$A3335,Premissas!$B$5:$B$44,$B3335)</f>
        <v/>
      </c>
      <c r="L3335" s="29">
        <f>J3335-K3335</f>
        <v/>
      </c>
      <c r="M3335" t="inlineStr">
        <is>
          <t>1.350</t>
        </is>
      </c>
      <c r="N3335" t="inlineStr">
        <is>
          <t>Modalidade: 0 - Por conta do remetente | Parte: PLASMAR COMERCIO DE PRODUTOS DESCARTAVEIS LTDA (09.354.922/0001-71)</t>
        </is>
      </c>
      <c r="O3335" s="29" t="n">
        <v>0</v>
      </c>
      <c r="P3335" s="29" t="n">
        <v>116.45</v>
      </c>
      <c r="Q3335" s="29" t="n">
        <v>0</v>
      </c>
      <c r="R3335" s="29" t="n">
        <v>0</v>
      </c>
      <c r="S3335" s="29" t="n">
        <v>0</v>
      </c>
      <c r="T3335" t="inlineStr">
        <is>
          <t>15260420175042000170570010000244811000062468</t>
        </is>
      </c>
      <c r="U3335" t="inlineStr">
        <is>
          <t>Sim</t>
        </is>
      </c>
    </row>
    <row r="3336">
      <c r="A3336" t="inlineStr">
        <is>
          <t>Frete de venda</t>
        </is>
      </c>
      <c r="B3336" t="inlineStr">
        <is>
          <t>2.01.02 Frete sobre Vendas</t>
        </is>
      </c>
      <c r="C3336" s="30" t="n">
        <v>46113</v>
      </c>
      <c r="D3336" t="inlineStr">
        <is>
          <t>Em 2026</t>
        </is>
      </c>
      <c r="E3336" s="28" t="n">
        <v>46141</v>
      </c>
      <c r="F3336" t="inlineStr">
        <is>
          <t>CT-e</t>
        </is>
      </c>
      <c r="G3336" t="inlineStr">
        <is>
          <t>000024482</t>
        </is>
      </c>
      <c r="H3336" t="inlineStr">
        <is>
          <t>TRANSPORTE OLIVEIRA E MELLOI - IDEALIZA TRANSPORTES</t>
        </is>
      </c>
      <c r="J3336" s="29" t="n">
        <v>968.25</v>
      </c>
      <c r="K3336" s="29">
        <f>(1-ISNUMBER(SEARCH("556",M3336)))*(O3336*SUMIFS(Premissas!$C$5:$C$44,Premissas!$A$5:$A$44,$A3336,Premissas!$B$5:$B$44,$B3336)+P3336*SUMIFS(Premissas!$D$5:$D$44,Premissas!$A$5:$A$44,$A3336,Premissas!$B$5:$B$44,$B3336))+R3336*SUMIFS(Premissas!$E$5:$E$44,Premissas!$A$5:$A$44,$A3336,Premissas!$B$5:$B$44,$B3336)+S3336*SUMIFS(Premissas!$F$5:$F$44,Premissas!$A$5:$A$44,$A3336,Premissas!$B$5:$B$44,$B3336)</f>
        <v/>
      </c>
      <c r="L3336" s="29">
        <f>J3336-K3336</f>
        <v/>
      </c>
      <c r="M3336" t="inlineStr">
        <is>
          <t>1.350</t>
        </is>
      </c>
      <c r="N3336" t="inlineStr">
        <is>
          <t>Modalidade: 0 - Por conta do remetente | Parte: J. S. DA SILVA LTDA (00.393.164/0001-26)</t>
        </is>
      </c>
      <c r="O3336" s="29" t="n">
        <v>0</v>
      </c>
      <c r="P3336" s="29" t="n">
        <v>116.19</v>
      </c>
      <c r="Q3336" s="29" t="n">
        <v>0</v>
      </c>
      <c r="R3336" s="29" t="n">
        <v>0</v>
      </c>
      <c r="S3336" s="29" t="n">
        <v>0</v>
      </c>
      <c r="T3336" t="inlineStr">
        <is>
          <t>15260420175042000170570010000244821000062473</t>
        </is>
      </c>
      <c r="U3336" t="inlineStr">
        <is>
          <t>Sim</t>
        </is>
      </c>
    </row>
    <row r="3337">
      <c r="A3337" t="inlineStr">
        <is>
          <t>Frete de venda</t>
        </is>
      </c>
      <c r="B3337" t="inlineStr">
        <is>
          <t>2.01.02 Frete sobre Vendas</t>
        </is>
      </c>
      <c r="C3337" s="30" t="n">
        <v>46143</v>
      </c>
      <c r="D3337" t="inlineStr">
        <is>
          <t>Em 2026</t>
        </is>
      </c>
      <c r="E3337" s="28" t="n">
        <v>46150</v>
      </c>
      <c r="F3337" t="inlineStr">
        <is>
          <t>CT-e</t>
        </is>
      </c>
      <c r="G3337" t="inlineStr">
        <is>
          <t>000015763</t>
        </is>
      </c>
      <c r="H3337" t="inlineStr">
        <is>
          <t>ANGELA PAULA MASSARUT ME</t>
        </is>
      </c>
      <c r="J3337" s="29" t="n">
        <v>1931.4</v>
      </c>
      <c r="K3337" s="29">
        <f>(1-ISNUMBER(SEARCH("556",M3337)))*(O3337*SUMIFS(Premissas!$C$5:$C$44,Premissas!$A$5:$A$44,$A3337,Premissas!$B$5:$B$44,$B3337)+P3337*SUMIFS(Premissas!$D$5:$D$44,Premissas!$A$5:$A$44,$A3337,Premissas!$B$5:$B$44,$B3337))+R3337*SUMIFS(Premissas!$E$5:$E$44,Premissas!$A$5:$A$44,$A3337,Premissas!$B$5:$B$44,$B3337)+S3337*SUMIFS(Premissas!$F$5:$F$44,Premissas!$A$5:$A$44,$A3337,Premissas!$B$5:$B$44,$B3337)</f>
        <v/>
      </c>
      <c r="L3337" s="29">
        <f>J3337-K3337</f>
        <v/>
      </c>
      <c r="M3337" t="inlineStr">
        <is>
          <t>1.350</t>
        </is>
      </c>
      <c r="N3337" t="inlineStr">
        <is>
          <t>Modalidade: 0 - Por conta do remetente | Parte: DONNA DISTRIBUIDORA LTDA (52.238.099/0001-68)</t>
        </is>
      </c>
      <c r="O3337" s="29" t="n">
        <v>0</v>
      </c>
      <c r="P3337" s="29" t="n">
        <v>231.77</v>
      </c>
      <c r="Q3337" s="29" t="n">
        <v>0</v>
      </c>
      <c r="R3337" s="29" t="n">
        <v>0</v>
      </c>
      <c r="S3337" s="29" t="n">
        <v>0</v>
      </c>
      <c r="T3337" t="inlineStr">
        <is>
          <t>50260513132544000159570020000157631000242949</t>
        </is>
      </c>
      <c r="U3337" t="inlineStr">
        <is>
          <t>Sim</t>
        </is>
      </c>
    </row>
    <row r="3338">
      <c r="A3338" t="inlineStr">
        <is>
          <t>Frete de venda</t>
        </is>
      </c>
      <c r="B3338" t="inlineStr">
        <is>
          <t>2.01.02 Frete sobre Vendas</t>
        </is>
      </c>
      <c r="C3338" s="30" t="n">
        <v>46143</v>
      </c>
      <c r="D3338" t="inlineStr">
        <is>
          <t>Em 2026</t>
        </is>
      </c>
      <c r="E3338" s="28" t="n">
        <v>46150</v>
      </c>
      <c r="F3338" t="inlineStr">
        <is>
          <t>CT-e</t>
        </is>
      </c>
      <c r="G3338" t="inlineStr">
        <is>
          <t>000015764</t>
        </is>
      </c>
      <c r="H3338" t="inlineStr">
        <is>
          <t>ANGELA PAULA MASSARUT ME</t>
        </is>
      </c>
      <c r="J3338" s="29" t="n">
        <v>388.97</v>
      </c>
      <c r="K3338" s="29">
        <f>(1-ISNUMBER(SEARCH("556",M3338)))*(O3338*SUMIFS(Premissas!$C$5:$C$44,Premissas!$A$5:$A$44,$A3338,Premissas!$B$5:$B$44,$B3338)+P3338*SUMIFS(Premissas!$D$5:$D$44,Premissas!$A$5:$A$44,$A3338,Premissas!$B$5:$B$44,$B3338))+R3338*SUMIFS(Premissas!$E$5:$E$44,Premissas!$A$5:$A$44,$A3338,Premissas!$B$5:$B$44,$B3338)+S3338*SUMIFS(Premissas!$F$5:$F$44,Premissas!$A$5:$A$44,$A3338,Premissas!$B$5:$B$44,$B3338)</f>
        <v/>
      </c>
      <c r="L3338" s="29">
        <f>J3338-K3338</f>
        <v/>
      </c>
      <c r="M3338" t="inlineStr">
        <is>
          <t>1.350</t>
        </is>
      </c>
      <c r="N3338" t="inlineStr">
        <is>
          <t>Modalidade: 0 - Por conta do remetente | Parte: ANDRE FERREIRA DE ARAUJO (16.954.088/0001-10)</t>
        </is>
      </c>
      <c r="O3338" s="29" t="n">
        <v>0</v>
      </c>
      <c r="P3338" s="29" t="n">
        <v>46.68</v>
      </c>
      <c r="Q3338" s="29" t="n">
        <v>0</v>
      </c>
      <c r="R3338" s="29" t="n">
        <v>0</v>
      </c>
      <c r="S3338" s="29" t="n">
        <v>0</v>
      </c>
      <c r="T3338" t="inlineStr">
        <is>
          <t>50260513132544000159570020000157641000242954</t>
        </is>
      </c>
      <c r="U3338" t="inlineStr">
        <is>
          <t>Sim</t>
        </is>
      </c>
    </row>
    <row r="3339">
      <c r="A3339" t="inlineStr">
        <is>
          <t>Frete de venda</t>
        </is>
      </c>
      <c r="B3339" t="inlineStr">
        <is>
          <t>2.01.02 Frete sobre Vendas</t>
        </is>
      </c>
      <c r="C3339" s="30" t="n">
        <v>46143</v>
      </c>
      <c r="D3339" t="inlineStr">
        <is>
          <t>Em 2026</t>
        </is>
      </c>
      <c r="E3339" s="28" t="n">
        <v>46160</v>
      </c>
      <c r="F3339" t="inlineStr">
        <is>
          <t>CT-e</t>
        </is>
      </c>
      <c r="G3339" t="inlineStr">
        <is>
          <t>001436459</t>
        </is>
      </c>
      <c r="H3339" t="inlineStr">
        <is>
          <t>PICCOLI TRANSPORTES LTDA</t>
        </is>
      </c>
      <c r="J3339" s="29" t="n">
        <v>466.49</v>
      </c>
      <c r="K3339" s="29">
        <f>(1-ISNUMBER(SEARCH("556",M3339)))*(O3339*SUMIFS(Premissas!$C$5:$C$44,Premissas!$A$5:$A$44,$A3339,Premissas!$B$5:$B$44,$B3339)+P3339*SUMIFS(Premissas!$D$5:$D$44,Premissas!$A$5:$A$44,$A3339,Premissas!$B$5:$B$44,$B3339))+R3339*SUMIFS(Premissas!$E$5:$E$44,Premissas!$A$5:$A$44,$A3339,Premissas!$B$5:$B$44,$B3339)+S3339*SUMIFS(Premissas!$F$5:$F$44,Premissas!$A$5:$A$44,$A3339,Premissas!$B$5:$B$44,$B3339)</f>
        <v/>
      </c>
      <c r="L3339" s="29">
        <f>J3339-K3339</f>
        <v/>
      </c>
      <c r="M3339" t="inlineStr">
        <is>
          <t>2.350</t>
        </is>
      </c>
      <c r="N3339" t="inlineStr">
        <is>
          <t>Modalidade: 0 - Por conta do remetente | Parte: MARIA CLEIDE RAMOS LTDA (42.968.790/0001-43)</t>
        </is>
      </c>
      <c r="O3339" s="29" t="n">
        <v>0</v>
      </c>
      <c r="P3339" s="29" t="n">
        <v>32.65</v>
      </c>
      <c r="Q3339" s="29" t="n">
        <v>0</v>
      </c>
      <c r="R3339" s="29" t="n">
        <v>0</v>
      </c>
      <c r="S3339" s="29" t="n">
        <v>0</v>
      </c>
      <c r="T3339" t="inlineStr">
        <is>
          <t>35260501496359000245570010014364591005633247</t>
        </is>
      </c>
      <c r="U3339" t="inlineStr">
        <is>
          <t>Sim</t>
        </is>
      </c>
    </row>
    <row r="3340">
      <c r="A3340" t="inlineStr">
        <is>
          <t>Frete de venda</t>
        </is>
      </c>
      <c r="B3340" t="inlineStr">
        <is>
          <t>2.01.02 Frete sobre Vendas</t>
        </is>
      </c>
      <c r="C3340" s="30" t="n">
        <v>46143</v>
      </c>
      <c r="D3340" t="inlineStr">
        <is>
          <t>Em 2026</t>
        </is>
      </c>
      <c r="E3340" s="28" t="n">
        <v>46143</v>
      </c>
      <c r="F3340" t="inlineStr">
        <is>
          <t>CT-e</t>
        </is>
      </c>
      <c r="G3340" t="inlineStr">
        <is>
          <t>000006937</t>
        </is>
      </c>
      <c r="H3340" t="inlineStr">
        <is>
          <t>R&amp;R TRANSPORTE E LOGISTICA</t>
        </is>
      </c>
      <c r="J3340" s="29" t="n">
        <v>15.54</v>
      </c>
      <c r="K3340" s="29">
        <f>(1-ISNUMBER(SEARCH("556",M3340)))*(O3340*SUMIFS(Premissas!$C$5:$C$44,Premissas!$A$5:$A$44,$A3340,Premissas!$B$5:$B$44,$B3340)+P3340*SUMIFS(Premissas!$D$5:$D$44,Premissas!$A$5:$A$44,$A3340,Premissas!$B$5:$B$44,$B3340))+R3340*SUMIFS(Premissas!$E$5:$E$44,Premissas!$A$5:$A$44,$A3340,Premissas!$B$5:$B$44,$B3340)+S3340*SUMIFS(Premissas!$F$5:$F$44,Premissas!$A$5:$A$44,$A3340,Premissas!$B$5:$B$44,$B3340)</f>
        <v/>
      </c>
      <c r="L3340" s="29">
        <f>J3340-K3340</f>
        <v/>
      </c>
      <c r="M3340" t="inlineStr">
        <is>
          <t>1.350</t>
        </is>
      </c>
      <c r="N3340" t="inlineStr">
        <is>
          <t>Modalidade: 0 - Por conta do remetente | Parte: SOMA BUFFET E DECORACOES LTDA (27.529.526/0001-10)</t>
        </is>
      </c>
      <c r="O3340" s="29" t="n">
        <v>0</v>
      </c>
      <c r="P3340" s="29" t="n">
        <v>0</v>
      </c>
      <c r="Q3340" s="29" t="n">
        <v>0</v>
      </c>
      <c r="R3340" s="29" t="n">
        <v>0</v>
      </c>
      <c r="S3340" s="29" t="n">
        <v>0</v>
      </c>
      <c r="T3340" t="inlineStr">
        <is>
          <t>25260526975620000130570010000069371000130803</t>
        </is>
      </c>
      <c r="U3340" t="inlineStr">
        <is>
          <t>Não</t>
        </is>
      </c>
    </row>
    <row r="3341">
      <c r="A3341" t="inlineStr">
        <is>
          <t>Frete de venda</t>
        </is>
      </c>
      <c r="B3341" t="inlineStr">
        <is>
          <t>2.01.02 Frete sobre Vendas</t>
        </is>
      </c>
      <c r="C3341" s="30" t="n">
        <v>46143</v>
      </c>
      <c r="D3341" t="inlineStr">
        <is>
          <t>Em 2026</t>
        </is>
      </c>
      <c r="E3341" s="28" t="n">
        <v>46143</v>
      </c>
      <c r="F3341" t="inlineStr">
        <is>
          <t>CT-e</t>
        </is>
      </c>
      <c r="G3341" t="inlineStr">
        <is>
          <t>000006938</t>
        </is>
      </c>
      <c r="H3341" t="inlineStr">
        <is>
          <t>R&amp;R TRANSPORTE E LOGISTICA</t>
        </is>
      </c>
      <c r="J3341" s="29" t="n">
        <v>16.9</v>
      </c>
      <c r="K3341" s="29">
        <f>(1-ISNUMBER(SEARCH("556",M3341)))*(O3341*SUMIFS(Premissas!$C$5:$C$44,Premissas!$A$5:$A$44,$A3341,Premissas!$B$5:$B$44,$B3341)+P3341*SUMIFS(Premissas!$D$5:$D$44,Premissas!$A$5:$A$44,$A3341,Premissas!$B$5:$B$44,$B3341))+R3341*SUMIFS(Premissas!$E$5:$E$44,Premissas!$A$5:$A$44,$A3341,Premissas!$B$5:$B$44,$B3341)+S3341*SUMIFS(Premissas!$F$5:$F$44,Premissas!$A$5:$A$44,$A3341,Premissas!$B$5:$B$44,$B3341)</f>
        <v/>
      </c>
      <c r="L3341" s="29">
        <f>J3341-K3341</f>
        <v/>
      </c>
      <c r="M3341" t="inlineStr">
        <is>
          <t>1.350</t>
        </is>
      </c>
      <c r="N3341" t="inlineStr">
        <is>
          <t>Modalidade: 0 - Por conta do remetente | Parte: JOANICE COMERCIAL DE EMBALAGENS E CONFEITARIA LTDA (50.350.203/0001-86)</t>
        </is>
      </c>
      <c r="O3341" s="29" t="n">
        <v>0</v>
      </c>
      <c r="P3341" s="29" t="n">
        <v>0</v>
      </c>
      <c r="Q3341" s="29" t="n">
        <v>0</v>
      </c>
      <c r="R3341" s="29" t="n">
        <v>0</v>
      </c>
      <c r="S3341" s="29" t="n">
        <v>0</v>
      </c>
      <c r="T3341" t="inlineStr">
        <is>
          <t>25260526975620000130570010000069381000010880</t>
        </is>
      </c>
      <c r="U3341" t="inlineStr">
        <is>
          <t>Não</t>
        </is>
      </c>
    </row>
    <row r="3342">
      <c r="A3342" t="inlineStr">
        <is>
          <t>Frete de venda</t>
        </is>
      </c>
      <c r="B3342" t="inlineStr">
        <is>
          <t>2.01.02 Frete sobre Vendas</t>
        </is>
      </c>
      <c r="C3342" s="30" t="n">
        <v>46143</v>
      </c>
      <c r="D3342" t="inlineStr">
        <is>
          <t>Em 2026</t>
        </is>
      </c>
      <c r="E3342" s="28" t="n">
        <v>46143</v>
      </c>
      <c r="F3342" t="inlineStr">
        <is>
          <t>CT-e</t>
        </is>
      </c>
      <c r="G3342" t="inlineStr">
        <is>
          <t>000006939</t>
        </is>
      </c>
      <c r="H3342" t="inlineStr">
        <is>
          <t>R&amp;R TRANSPORTE E LOGISTICA</t>
        </is>
      </c>
      <c r="J3342" s="29" t="n">
        <v>32.51</v>
      </c>
      <c r="K3342" s="29">
        <f>(1-ISNUMBER(SEARCH("556",M3342)))*(O3342*SUMIFS(Premissas!$C$5:$C$44,Premissas!$A$5:$A$44,$A3342,Premissas!$B$5:$B$44,$B3342)+P3342*SUMIFS(Premissas!$D$5:$D$44,Premissas!$A$5:$A$44,$A3342,Premissas!$B$5:$B$44,$B3342))+R3342*SUMIFS(Premissas!$E$5:$E$44,Premissas!$A$5:$A$44,$A3342,Premissas!$B$5:$B$44,$B3342)+S3342*SUMIFS(Premissas!$F$5:$F$44,Premissas!$A$5:$A$44,$A3342,Premissas!$B$5:$B$44,$B3342)</f>
        <v/>
      </c>
      <c r="L3342" s="29">
        <f>J3342-K3342</f>
        <v/>
      </c>
      <c r="M3342" t="inlineStr">
        <is>
          <t>1.350</t>
        </is>
      </c>
      <c r="N3342" t="inlineStr">
        <is>
          <t>Modalidade: 0 - Por conta do remetente | Parte: CRISTAL NEWS ALIMENTOS E EMBALAGENS LTDA (04.067.045/0001-34)</t>
        </is>
      </c>
      <c r="O3342" s="29" t="n">
        <v>0</v>
      </c>
      <c r="P3342" s="29" t="n">
        <v>0</v>
      </c>
      <c r="Q3342" s="29" t="n">
        <v>0</v>
      </c>
      <c r="R3342" s="29" t="n">
        <v>0</v>
      </c>
      <c r="S3342" s="29" t="n">
        <v>0</v>
      </c>
      <c r="T3342" t="inlineStr">
        <is>
          <t>25260526975620000130570010000069391000180961</t>
        </is>
      </c>
      <c r="U3342" t="inlineStr">
        <is>
          <t>Não</t>
        </is>
      </c>
    </row>
    <row r="3343">
      <c r="A3343" t="inlineStr">
        <is>
          <t>Frete de venda</t>
        </is>
      </c>
      <c r="B3343" t="inlineStr">
        <is>
          <t>2.01.02 Frete sobre Vendas</t>
        </is>
      </c>
      <c r="C3343" s="30" t="n">
        <v>46143</v>
      </c>
      <c r="D3343" t="inlineStr">
        <is>
          <t>Em 2026</t>
        </is>
      </c>
      <c r="E3343" s="28" t="n">
        <v>46143</v>
      </c>
      <c r="F3343" t="inlineStr">
        <is>
          <t>CT-e</t>
        </is>
      </c>
      <c r="G3343" t="inlineStr">
        <is>
          <t>000006940</t>
        </is>
      </c>
      <c r="H3343" t="inlineStr">
        <is>
          <t>R&amp;R TRANSPORTE E LOGISTICA</t>
        </is>
      </c>
      <c r="J3343" s="29" t="n">
        <v>13.16</v>
      </c>
      <c r="K3343" s="29">
        <f>(1-ISNUMBER(SEARCH("556",M3343)))*(O3343*SUMIFS(Premissas!$C$5:$C$44,Premissas!$A$5:$A$44,$A3343,Premissas!$B$5:$B$44,$B3343)+P3343*SUMIFS(Premissas!$D$5:$D$44,Premissas!$A$5:$A$44,$A3343,Premissas!$B$5:$B$44,$B3343))+R3343*SUMIFS(Premissas!$E$5:$E$44,Premissas!$A$5:$A$44,$A3343,Premissas!$B$5:$B$44,$B3343)+S3343*SUMIFS(Premissas!$F$5:$F$44,Premissas!$A$5:$A$44,$A3343,Premissas!$B$5:$B$44,$B3343)</f>
        <v/>
      </c>
      <c r="L3343" s="29">
        <f>J3343-K3343</f>
        <v/>
      </c>
      <c r="M3343" t="inlineStr">
        <is>
          <t>1.350</t>
        </is>
      </c>
      <c r="N3343" t="inlineStr">
        <is>
          <t>Modalidade: 0 - Por conta do remetente | Parte: BOMBONIERE SO ALEGRIA DOCE E FESTA LTDA (23.730.767/0001-71)</t>
        </is>
      </c>
      <c r="O3343" s="29" t="n">
        <v>0</v>
      </c>
      <c r="P3343" s="29" t="n">
        <v>0</v>
      </c>
      <c r="Q3343" s="29" t="n">
        <v>0</v>
      </c>
      <c r="R3343" s="29" t="n">
        <v>0</v>
      </c>
      <c r="S3343" s="29" t="n">
        <v>0</v>
      </c>
      <c r="T3343" t="inlineStr">
        <is>
          <t>25260526975620000130570010000069401001501045</t>
        </is>
      </c>
      <c r="U3343" t="inlineStr">
        <is>
          <t>Não</t>
        </is>
      </c>
    </row>
    <row r="3344">
      <c r="A3344" t="inlineStr">
        <is>
          <t>Frete de venda</t>
        </is>
      </c>
      <c r="B3344" t="inlineStr">
        <is>
          <t>2.01.02 Frete sobre Vendas</t>
        </is>
      </c>
      <c r="C3344" s="30" t="n">
        <v>46143</v>
      </c>
      <c r="D3344" t="inlineStr">
        <is>
          <t>Em 2026</t>
        </is>
      </c>
      <c r="E3344" s="28" t="n">
        <v>46143</v>
      </c>
      <c r="F3344" t="inlineStr">
        <is>
          <t>CT-e</t>
        </is>
      </c>
      <c r="G3344" t="inlineStr">
        <is>
          <t>000006941</t>
        </is>
      </c>
      <c r="H3344" t="inlineStr">
        <is>
          <t>R&amp;R TRANSPORTE E LOGISTICA</t>
        </is>
      </c>
      <c r="J3344" s="29" t="n">
        <v>14.19</v>
      </c>
      <c r="K3344" s="29">
        <f>(1-ISNUMBER(SEARCH("556",M3344)))*(O3344*SUMIFS(Premissas!$C$5:$C$44,Premissas!$A$5:$A$44,$A3344,Premissas!$B$5:$B$44,$B3344)+P3344*SUMIFS(Premissas!$D$5:$D$44,Premissas!$A$5:$A$44,$A3344,Premissas!$B$5:$B$44,$B3344))+R3344*SUMIFS(Premissas!$E$5:$E$44,Premissas!$A$5:$A$44,$A3344,Premissas!$B$5:$B$44,$B3344)+S3344*SUMIFS(Premissas!$F$5:$F$44,Premissas!$A$5:$A$44,$A3344,Premissas!$B$5:$B$44,$B3344)</f>
        <v/>
      </c>
      <c r="L3344" s="29">
        <f>J3344-K3344</f>
        <v/>
      </c>
      <c r="M3344" t="inlineStr">
        <is>
          <t>1.350</t>
        </is>
      </c>
      <c r="N3344" t="inlineStr">
        <is>
          <t>Modalidade: 0 - Por conta do remetente | Parte: VAREJAO DAS EMBALAGENS LTDA (02.853.159/0001-84)</t>
        </is>
      </c>
      <c r="O3344" s="29" t="n">
        <v>0</v>
      </c>
      <c r="P3344" s="29" t="n">
        <v>0</v>
      </c>
      <c r="Q3344" s="29" t="n">
        <v>0</v>
      </c>
      <c r="R3344" s="29" t="n">
        <v>0</v>
      </c>
      <c r="S3344" s="29" t="n">
        <v>0</v>
      </c>
      <c r="T3344" t="inlineStr">
        <is>
          <t>25260526975620000130570010000069411001201120</t>
        </is>
      </c>
      <c r="U3344" t="inlineStr">
        <is>
          <t>Não</t>
        </is>
      </c>
    </row>
    <row r="3345">
      <c r="A3345" t="inlineStr">
        <is>
          <t>Frete de venda</t>
        </is>
      </c>
      <c r="B3345" t="inlineStr">
        <is>
          <t>2.01.02 Frete sobre Vendas</t>
        </is>
      </c>
      <c r="C3345" s="30" t="n">
        <v>46143</v>
      </c>
      <c r="D3345" t="inlineStr">
        <is>
          <t>Em 2026</t>
        </is>
      </c>
      <c r="E3345" s="28" t="n">
        <v>46143</v>
      </c>
      <c r="F3345" t="inlineStr">
        <is>
          <t>CT-e</t>
        </is>
      </c>
      <c r="G3345" t="inlineStr">
        <is>
          <t>000006942</t>
        </is>
      </c>
      <c r="H3345" t="inlineStr">
        <is>
          <t>R&amp;R TRANSPORTE E LOGISTICA</t>
        </is>
      </c>
      <c r="J3345" s="29" t="n">
        <v>17.7</v>
      </c>
      <c r="K3345" s="29">
        <f>(1-ISNUMBER(SEARCH("556",M3345)))*(O3345*SUMIFS(Premissas!$C$5:$C$44,Premissas!$A$5:$A$44,$A3345,Premissas!$B$5:$B$44,$B3345)+P3345*SUMIFS(Premissas!$D$5:$D$44,Premissas!$A$5:$A$44,$A3345,Premissas!$B$5:$B$44,$B3345))+R3345*SUMIFS(Premissas!$E$5:$E$44,Premissas!$A$5:$A$44,$A3345,Premissas!$B$5:$B$44,$B3345)+S3345*SUMIFS(Premissas!$F$5:$F$44,Premissas!$A$5:$A$44,$A3345,Premissas!$B$5:$B$44,$B3345)</f>
        <v/>
      </c>
      <c r="L3345" s="29">
        <f>J3345-K3345</f>
        <v/>
      </c>
      <c r="M3345" t="inlineStr">
        <is>
          <t>1.350</t>
        </is>
      </c>
      <c r="N3345" t="inlineStr">
        <is>
          <t>Modalidade: 0 - Por conta do remetente | Parte: BA EMBALAGENS COM ATACADISTA DE EMBALAGENS E BOMBONIERI (09.048.003/0001-70)</t>
        </is>
      </c>
      <c r="O3345" s="29" t="n">
        <v>0</v>
      </c>
      <c r="P3345" s="29" t="n">
        <v>0</v>
      </c>
      <c r="Q3345" s="29" t="n">
        <v>0</v>
      </c>
      <c r="R3345" s="29" t="n">
        <v>0</v>
      </c>
      <c r="S3345" s="29" t="n">
        <v>0</v>
      </c>
      <c r="T3345" t="inlineStr">
        <is>
          <t>25260526975620000130570010000069421011001201</t>
        </is>
      </c>
      <c r="U3345" t="inlineStr">
        <is>
          <t>Não</t>
        </is>
      </c>
    </row>
    <row r="3346">
      <c r="A3346" t="inlineStr">
        <is>
          <t>Frete de venda</t>
        </is>
      </c>
      <c r="B3346" t="inlineStr">
        <is>
          <t>2.01.02 Frete sobre Vendas</t>
        </is>
      </c>
      <c r="C3346" s="30" t="n">
        <v>46143</v>
      </c>
      <c r="D3346" t="inlineStr">
        <is>
          <t>Em 2026</t>
        </is>
      </c>
      <c r="E3346" s="28" t="n">
        <v>46143</v>
      </c>
      <c r="F3346" t="inlineStr">
        <is>
          <t>CT-e</t>
        </is>
      </c>
      <c r="G3346" t="inlineStr">
        <is>
          <t>000006943</t>
        </is>
      </c>
      <c r="H3346" t="inlineStr">
        <is>
          <t>R&amp;R TRANSPORTE E LOGISTICA</t>
        </is>
      </c>
      <c r="J3346" s="29" t="n">
        <v>11.26</v>
      </c>
      <c r="K3346" s="29">
        <f>(1-ISNUMBER(SEARCH("556",M3346)))*(O3346*SUMIFS(Premissas!$C$5:$C$44,Premissas!$A$5:$A$44,$A3346,Premissas!$B$5:$B$44,$B3346)+P3346*SUMIFS(Premissas!$D$5:$D$44,Premissas!$A$5:$A$44,$A3346,Premissas!$B$5:$B$44,$B3346))+R3346*SUMIFS(Premissas!$E$5:$E$44,Premissas!$A$5:$A$44,$A3346,Premissas!$B$5:$B$44,$B3346)+S3346*SUMIFS(Premissas!$F$5:$F$44,Premissas!$A$5:$A$44,$A3346,Premissas!$B$5:$B$44,$B3346)</f>
        <v/>
      </c>
      <c r="L3346" s="29">
        <f>J3346-K3346</f>
        <v/>
      </c>
      <c r="M3346" t="inlineStr">
        <is>
          <t>1.350</t>
        </is>
      </c>
      <c r="N3346" t="inlineStr">
        <is>
          <t>Modalidade: 0 - Por conta do remetente | Parte: REIS INDUSTRIA E COMERCIO DE ALIMENTOS LTDA (41.983.494/0001-59)</t>
        </is>
      </c>
      <c r="O3346" s="29" t="n">
        <v>0</v>
      </c>
      <c r="P3346" s="29" t="n">
        <v>0</v>
      </c>
      <c r="Q3346" s="29" t="n">
        <v>0</v>
      </c>
      <c r="R3346" s="29" t="n">
        <v>0</v>
      </c>
      <c r="S3346" s="29" t="n">
        <v>0</v>
      </c>
      <c r="T3346" t="inlineStr">
        <is>
          <t>25260526975620000130570010000069431001701283</t>
        </is>
      </c>
      <c r="U3346" t="inlineStr">
        <is>
          <t>Não</t>
        </is>
      </c>
    </row>
    <row r="3347">
      <c r="A3347" t="inlineStr">
        <is>
          <t>Frete de venda</t>
        </is>
      </c>
      <c r="B3347" t="inlineStr">
        <is>
          <t>2.01.02 Frete sobre Vendas</t>
        </is>
      </c>
      <c r="C3347" s="30" t="n">
        <v>46143</v>
      </c>
      <c r="D3347" t="inlineStr">
        <is>
          <t>Em 2026</t>
        </is>
      </c>
      <c r="E3347" s="28" t="n">
        <v>46143</v>
      </c>
      <c r="F3347" t="inlineStr">
        <is>
          <t>CT-e</t>
        </is>
      </c>
      <c r="G3347" t="inlineStr">
        <is>
          <t>000006944</t>
        </is>
      </c>
      <c r="H3347" t="inlineStr">
        <is>
          <t>R&amp;R TRANSPORTE E LOGISTICA</t>
        </is>
      </c>
      <c r="J3347" s="29" t="n">
        <v>12.09</v>
      </c>
      <c r="K3347" s="29">
        <f>(1-ISNUMBER(SEARCH("556",M3347)))*(O3347*SUMIFS(Premissas!$C$5:$C$44,Premissas!$A$5:$A$44,$A3347,Premissas!$B$5:$B$44,$B3347)+P3347*SUMIFS(Premissas!$D$5:$D$44,Premissas!$A$5:$A$44,$A3347,Premissas!$B$5:$B$44,$B3347))+R3347*SUMIFS(Premissas!$E$5:$E$44,Premissas!$A$5:$A$44,$A3347,Premissas!$B$5:$B$44,$B3347)+S3347*SUMIFS(Premissas!$F$5:$F$44,Premissas!$A$5:$A$44,$A3347,Premissas!$B$5:$B$44,$B3347)</f>
        <v/>
      </c>
      <c r="L3347" s="29">
        <f>J3347-K3347</f>
        <v/>
      </c>
      <c r="M3347" t="inlineStr">
        <is>
          <t>1.350</t>
        </is>
      </c>
      <c r="N3347" t="inlineStr">
        <is>
          <t>Modalidade: 0 - Por conta do remetente | Parte: J.R. COMERCIO DE EMBALAGENS LTDA (23.099.779/0001-40)</t>
        </is>
      </c>
      <c r="O3347" s="29" t="n">
        <v>0</v>
      </c>
      <c r="P3347" s="29" t="n">
        <v>0</v>
      </c>
      <c r="Q3347" s="29" t="n">
        <v>0</v>
      </c>
      <c r="R3347" s="29" t="n">
        <v>0</v>
      </c>
      <c r="S3347" s="29" t="n">
        <v>0</v>
      </c>
      <c r="T3347" t="inlineStr">
        <is>
          <t>25260526975620000130570010000069441001401368</t>
        </is>
      </c>
      <c r="U3347" t="inlineStr">
        <is>
          <t>Não</t>
        </is>
      </c>
    </row>
    <row r="3348">
      <c r="A3348" t="inlineStr">
        <is>
          <t>Frete de venda</t>
        </is>
      </c>
      <c r="B3348" t="inlineStr">
        <is>
          <t>2.01.02 Frete sobre Vendas</t>
        </is>
      </c>
      <c r="C3348" s="30" t="n">
        <v>46143</v>
      </c>
      <c r="D3348" t="inlineStr">
        <is>
          <t>Em 2026</t>
        </is>
      </c>
      <c r="E3348" s="28" t="n">
        <v>46143</v>
      </c>
      <c r="F3348" t="inlineStr">
        <is>
          <t>CT-e</t>
        </is>
      </c>
      <c r="G3348" t="inlineStr">
        <is>
          <t>000006945</t>
        </is>
      </c>
      <c r="H3348" t="inlineStr">
        <is>
          <t>R&amp;R TRANSPORTE E LOGISTICA</t>
        </is>
      </c>
      <c r="J3348" s="29" t="n">
        <v>13.15</v>
      </c>
      <c r="K3348" s="29">
        <f>(1-ISNUMBER(SEARCH("556",M3348)))*(O3348*SUMIFS(Premissas!$C$5:$C$44,Premissas!$A$5:$A$44,$A3348,Premissas!$B$5:$B$44,$B3348)+P3348*SUMIFS(Premissas!$D$5:$D$44,Premissas!$A$5:$A$44,$A3348,Premissas!$B$5:$B$44,$B3348))+R3348*SUMIFS(Premissas!$E$5:$E$44,Premissas!$A$5:$A$44,$A3348,Premissas!$B$5:$B$44,$B3348)+S3348*SUMIFS(Premissas!$F$5:$F$44,Premissas!$A$5:$A$44,$A3348,Premissas!$B$5:$B$44,$B3348)</f>
        <v/>
      </c>
      <c r="L3348" s="29">
        <f>J3348-K3348</f>
        <v/>
      </c>
      <c r="M3348" t="inlineStr">
        <is>
          <t>1.350</t>
        </is>
      </c>
      <c r="N3348" t="inlineStr">
        <is>
          <t>Modalidade: 0 - Por conta do remetente | Parte: EAGLE COMERCIO DE MERCADORIAS LTDA (42.762.024/0001-28)</t>
        </is>
      </c>
      <c r="O3348" s="29" t="n">
        <v>0</v>
      </c>
      <c r="P3348" s="29" t="n">
        <v>0</v>
      </c>
      <c r="Q3348" s="29" t="n">
        <v>0</v>
      </c>
      <c r="R3348" s="29" t="n">
        <v>0</v>
      </c>
      <c r="S3348" s="29" t="n">
        <v>0</v>
      </c>
      <c r="T3348" t="inlineStr">
        <is>
          <t>25260526975620000130570010000069451001101442</t>
        </is>
      </c>
      <c r="U3348" t="inlineStr">
        <is>
          <t>Não</t>
        </is>
      </c>
    </row>
    <row r="3349">
      <c r="A3349" t="inlineStr">
        <is>
          <t>Frete de venda</t>
        </is>
      </c>
      <c r="B3349" t="inlineStr">
        <is>
          <t>2.01.02 Frete sobre Vendas</t>
        </is>
      </c>
      <c r="C3349" s="30" t="n">
        <v>46143</v>
      </c>
      <c r="D3349" t="inlineStr">
        <is>
          <t>Em 2026</t>
        </is>
      </c>
      <c r="E3349" s="28" t="n">
        <v>46143</v>
      </c>
      <c r="F3349" t="inlineStr">
        <is>
          <t>CT-e</t>
        </is>
      </c>
      <c r="G3349" t="inlineStr">
        <is>
          <t>000006946</t>
        </is>
      </c>
      <c r="H3349" t="inlineStr">
        <is>
          <t>R&amp;R TRANSPORTE E LOGISTICA</t>
        </is>
      </c>
      <c r="J3349" s="29" t="n">
        <v>24.16</v>
      </c>
      <c r="K3349" s="29">
        <f>(1-ISNUMBER(SEARCH("556",M3349)))*(O3349*SUMIFS(Premissas!$C$5:$C$44,Premissas!$A$5:$A$44,$A3349,Premissas!$B$5:$B$44,$B3349)+P3349*SUMIFS(Premissas!$D$5:$D$44,Premissas!$A$5:$A$44,$A3349,Premissas!$B$5:$B$44,$B3349))+R3349*SUMIFS(Premissas!$E$5:$E$44,Premissas!$A$5:$A$44,$A3349,Premissas!$B$5:$B$44,$B3349)+S3349*SUMIFS(Premissas!$F$5:$F$44,Premissas!$A$5:$A$44,$A3349,Premissas!$B$5:$B$44,$B3349)</f>
        <v/>
      </c>
      <c r="L3349" s="29">
        <f>J3349-K3349</f>
        <v/>
      </c>
      <c r="M3349" t="inlineStr">
        <is>
          <t>1.350</t>
        </is>
      </c>
      <c r="N3349" t="inlineStr">
        <is>
          <t>Modalidade: 0 - Por conta do remetente | Parte: J A COMERCIO DE EMBALAGENS E ARTIGOS PARA FESTA LTDA (54.763.304/0001-30)</t>
        </is>
      </c>
      <c r="O3349" s="29" t="n">
        <v>0</v>
      </c>
      <c r="P3349" s="29" t="n">
        <v>0</v>
      </c>
      <c r="Q3349" s="29" t="n">
        <v>0</v>
      </c>
      <c r="R3349" s="29" t="n">
        <v>0</v>
      </c>
      <c r="S3349" s="29" t="n">
        <v>0</v>
      </c>
      <c r="T3349" t="inlineStr">
        <is>
          <t>25260526975620000130570010000069461000120793</t>
        </is>
      </c>
      <c r="U3349" t="inlineStr">
        <is>
          <t>Não</t>
        </is>
      </c>
    </row>
    <row r="3350">
      <c r="A3350" t="inlineStr">
        <is>
          <t>Frete de venda</t>
        </is>
      </c>
      <c r="B3350" t="inlineStr">
        <is>
          <t>2.01.02 Frete sobre Vendas</t>
        </is>
      </c>
      <c r="C3350" s="30" t="n">
        <v>46143</v>
      </c>
      <c r="D3350" t="inlineStr">
        <is>
          <t>Em 2026</t>
        </is>
      </c>
      <c r="E3350" s="28" t="n">
        <v>46143</v>
      </c>
      <c r="F3350" t="inlineStr">
        <is>
          <t>CT-e</t>
        </is>
      </c>
      <c r="G3350" t="inlineStr">
        <is>
          <t>000006947</t>
        </is>
      </c>
      <c r="H3350" t="inlineStr">
        <is>
          <t>R&amp;R TRANSPORTE E LOGISTICA</t>
        </is>
      </c>
      <c r="J3350" s="29" t="n">
        <v>11.21</v>
      </c>
      <c r="K3350" s="29">
        <f>(1-ISNUMBER(SEARCH("556",M3350)))*(O3350*SUMIFS(Premissas!$C$5:$C$44,Premissas!$A$5:$A$44,$A3350,Premissas!$B$5:$B$44,$B3350)+P3350*SUMIFS(Premissas!$D$5:$D$44,Premissas!$A$5:$A$44,$A3350,Premissas!$B$5:$B$44,$B3350))+R3350*SUMIFS(Premissas!$E$5:$E$44,Premissas!$A$5:$A$44,$A3350,Premissas!$B$5:$B$44,$B3350)+S3350*SUMIFS(Premissas!$F$5:$F$44,Premissas!$A$5:$A$44,$A3350,Premissas!$B$5:$B$44,$B3350)</f>
        <v/>
      </c>
      <c r="L3350" s="29">
        <f>J3350-K3350</f>
        <v/>
      </c>
      <c r="M3350" t="inlineStr">
        <is>
          <t>1.350</t>
        </is>
      </c>
      <c r="N3350" t="inlineStr">
        <is>
          <t>Modalidade: 0 - Por conta do remetente | Parte: BAIXINHO EMBALAGENS LTDA (49.023.382/0001-68)</t>
        </is>
      </c>
      <c r="O3350" s="29" t="n">
        <v>0</v>
      </c>
      <c r="P3350" s="29" t="n">
        <v>0</v>
      </c>
      <c r="Q3350" s="29" t="n">
        <v>0</v>
      </c>
      <c r="R3350" s="29" t="n">
        <v>0</v>
      </c>
      <c r="S3350" s="29" t="n">
        <v>0</v>
      </c>
      <c r="T3350" t="inlineStr">
        <is>
          <t>25260526975620000130570010000069471001100874</t>
        </is>
      </c>
      <c r="U3350" t="inlineStr">
        <is>
          <t>Não</t>
        </is>
      </c>
    </row>
    <row r="3351">
      <c r="A3351" t="inlineStr">
        <is>
          <t>Frete de venda</t>
        </is>
      </c>
      <c r="B3351" t="inlineStr">
        <is>
          <t>2.01.02 Frete sobre Vendas</t>
        </is>
      </c>
      <c r="C3351" s="30" t="n">
        <v>46143</v>
      </c>
      <c r="D3351" t="inlineStr">
        <is>
          <t>Em 2026</t>
        </is>
      </c>
      <c r="E3351" s="28" t="n">
        <v>46143</v>
      </c>
      <c r="F3351" t="inlineStr">
        <is>
          <t>CT-e</t>
        </is>
      </c>
      <c r="G3351" t="inlineStr">
        <is>
          <t>000006948</t>
        </is>
      </c>
      <c r="H3351" t="inlineStr">
        <is>
          <t>R&amp;R TRANSPORTE E LOGISTICA</t>
        </is>
      </c>
      <c r="J3351" s="29" t="n">
        <v>15.7</v>
      </c>
      <c r="K3351" s="29">
        <f>(1-ISNUMBER(SEARCH("556",M3351)))*(O3351*SUMIFS(Premissas!$C$5:$C$44,Premissas!$A$5:$A$44,$A3351,Premissas!$B$5:$B$44,$B3351)+P3351*SUMIFS(Premissas!$D$5:$D$44,Premissas!$A$5:$A$44,$A3351,Premissas!$B$5:$B$44,$B3351))+R3351*SUMIFS(Premissas!$E$5:$E$44,Premissas!$A$5:$A$44,$A3351,Premissas!$B$5:$B$44,$B3351)+S3351*SUMIFS(Premissas!$F$5:$F$44,Premissas!$A$5:$A$44,$A3351,Premissas!$B$5:$B$44,$B3351)</f>
        <v/>
      </c>
      <c r="L3351" s="29">
        <f>J3351-K3351</f>
        <v/>
      </c>
      <c r="M3351" t="inlineStr">
        <is>
          <t>1.350</t>
        </is>
      </c>
      <c r="N3351" t="inlineStr">
        <is>
          <t>Modalidade: 0 - Por conta do remetente | Parte: E.S. BRANDAO FERNANDES (10.341.001/0001-53)</t>
        </is>
      </c>
      <c r="O3351" s="29" t="n">
        <v>0</v>
      </c>
      <c r="P3351" s="29" t="n">
        <v>0</v>
      </c>
      <c r="Q3351" s="29" t="n">
        <v>0</v>
      </c>
      <c r="R3351" s="29" t="n">
        <v>0</v>
      </c>
      <c r="S3351" s="29" t="n">
        <v>0</v>
      </c>
      <c r="T3351" t="inlineStr">
        <is>
          <t>25260526975620000130570010000069481000170957</t>
        </is>
      </c>
      <c r="U3351" t="inlineStr">
        <is>
          <t>Não</t>
        </is>
      </c>
    </row>
    <row r="3352">
      <c r="A3352" t="inlineStr">
        <is>
          <t>Frete de venda</t>
        </is>
      </c>
      <c r="B3352" t="inlineStr">
        <is>
          <t>2.01.02 Frete sobre Vendas</t>
        </is>
      </c>
      <c r="C3352" s="30" t="n">
        <v>46143</v>
      </c>
      <c r="D3352" t="inlineStr">
        <is>
          <t>Em 2026</t>
        </is>
      </c>
      <c r="E3352" s="28" t="n">
        <v>46143</v>
      </c>
      <c r="F3352" t="inlineStr">
        <is>
          <t>CT-e</t>
        </is>
      </c>
      <c r="G3352" t="inlineStr">
        <is>
          <t>000006949</t>
        </is>
      </c>
      <c r="H3352" t="inlineStr">
        <is>
          <t>R&amp;R TRANSPORTE E LOGISTICA</t>
        </is>
      </c>
      <c r="J3352" s="29" t="n">
        <v>13.16</v>
      </c>
      <c r="K3352" s="29">
        <f>(1-ISNUMBER(SEARCH("556",M3352)))*(O3352*SUMIFS(Premissas!$C$5:$C$44,Premissas!$A$5:$A$44,$A3352,Premissas!$B$5:$B$44,$B3352)+P3352*SUMIFS(Premissas!$D$5:$D$44,Premissas!$A$5:$A$44,$A3352,Premissas!$B$5:$B$44,$B3352))+R3352*SUMIFS(Premissas!$E$5:$E$44,Premissas!$A$5:$A$44,$A3352,Premissas!$B$5:$B$44,$B3352)+S3352*SUMIFS(Premissas!$F$5:$F$44,Premissas!$A$5:$A$44,$A3352,Premissas!$B$5:$B$44,$B3352)</f>
        <v/>
      </c>
      <c r="L3352" s="29">
        <f>J3352-K3352</f>
        <v/>
      </c>
      <c r="M3352" t="inlineStr">
        <is>
          <t>1.350</t>
        </is>
      </c>
      <c r="N3352" t="inlineStr">
        <is>
          <t>Modalidade: 0 - Por conta do remetente | Parte: COMERCIAL VAREJISTA EMBALAGENS TERRA NOVA EBENEZER LTDA (11.791.461/0001-46)</t>
        </is>
      </c>
      <c r="O3352" s="29" t="n">
        <v>0</v>
      </c>
      <c r="P3352" s="29" t="n">
        <v>0</v>
      </c>
      <c r="Q3352" s="29" t="n">
        <v>0</v>
      </c>
      <c r="R3352" s="29" t="n">
        <v>0</v>
      </c>
      <c r="S3352" s="29" t="n">
        <v>0</v>
      </c>
      <c r="T3352" t="inlineStr">
        <is>
          <t>25260526975620000130570010000069491001401038</t>
        </is>
      </c>
      <c r="U3352" t="inlineStr">
        <is>
          <t>Não</t>
        </is>
      </c>
    </row>
    <row r="3353">
      <c r="A3353" t="inlineStr">
        <is>
          <t>Frete de venda</t>
        </is>
      </c>
      <c r="B3353" t="inlineStr">
        <is>
          <t>2.01.02 Frete sobre Vendas</t>
        </is>
      </c>
      <c r="C3353" s="30" t="n">
        <v>46143</v>
      </c>
      <c r="D3353" t="inlineStr">
        <is>
          <t>Em 2026</t>
        </is>
      </c>
      <c r="E3353" s="28" t="n">
        <v>46143</v>
      </c>
      <c r="F3353" t="inlineStr">
        <is>
          <t>CT-e</t>
        </is>
      </c>
      <c r="G3353" t="inlineStr">
        <is>
          <t>000006950</t>
        </is>
      </c>
      <c r="H3353" t="inlineStr">
        <is>
          <t>R&amp;R TRANSPORTE E LOGISTICA</t>
        </is>
      </c>
      <c r="J3353" s="29" t="n">
        <v>13.15</v>
      </c>
      <c r="K3353" s="29">
        <f>(1-ISNUMBER(SEARCH("556",M3353)))*(O3353*SUMIFS(Premissas!$C$5:$C$44,Premissas!$A$5:$A$44,$A3353,Premissas!$B$5:$B$44,$B3353)+P3353*SUMIFS(Premissas!$D$5:$D$44,Premissas!$A$5:$A$44,$A3353,Premissas!$B$5:$B$44,$B3353))+R3353*SUMIFS(Premissas!$E$5:$E$44,Premissas!$A$5:$A$44,$A3353,Premissas!$B$5:$B$44,$B3353)+S3353*SUMIFS(Premissas!$F$5:$F$44,Premissas!$A$5:$A$44,$A3353,Premissas!$B$5:$B$44,$B3353)</f>
        <v/>
      </c>
      <c r="L3353" s="29">
        <f>J3353-K3353</f>
        <v/>
      </c>
      <c r="M3353" t="inlineStr">
        <is>
          <t>1.350</t>
        </is>
      </c>
      <c r="N3353" t="inlineStr">
        <is>
          <t>Modalidade: 0 - Por conta do remetente | Parte: CIDADE SOL EMBALAGENS LTDA (29.160.739/0001-42)</t>
        </is>
      </c>
      <c r="O3353" s="29" t="n">
        <v>0</v>
      </c>
      <c r="P3353" s="29" t="n">
        <v>0</v>
      </c>
      <c r="Q3353" s="29" t="n">
        <v>0</v>
      </c>
      <c r="R3353" s="29" t="n">
        <v>0</v>
      </c>
      <c r="S3353" s="29" t="n">
        <v>0</v>
      </c>
      <c r="T3353" t="inlineStr">
        <is>
          <t>25260526975620000130570010000069501001101116</t>
        </is>
      </c>
      <c r="U3353" t="inlineStr">
        <is>
          <t>Não</t>
        </is>
      </c>
    </row>
    <row r="3354">
      <c r="A3354" t="inlineStr">
        <is>
          <t>Frete de venda</t>
        </is>
      </c>
      <c r="B3354" t="inlineStr">
        <is>
          <t>2.01.02 Frete sobre Vendas</t>
        </is>
      </c>
      <c r="C3354" s="30" t="n">
        <v>46143</v>
      </c>
      <c r="D3354" t="inlineStr">
        <is>
          <t>Em 2026</t>
        </is>
      </c>
      <c r="E3354" s="28" t="n">
        <v>46143</v>
      </c>
      <c r="F3354" t="inlineStr">
        <is>
          <t>CT-e</t>
        </is>
      </c>
      <c r="G3354" t="inlineStr">
        <is>
          <t>000006951</t>
        </is>
      </c>
      <c r="H3354" t="inlineStr">
        <is>
          <t>R&amp;R TRANSPORTE E LOGISTICA</t>
        </is>
      </c>
      <c r="J3354" s="29" t="n">
        <v>16.82</v>
      </c>
      <c r="K3354" s="29">
        <f>(1-ISNUMBER(SEARCH("556",M3354)))*(O3354*SUMIFS(Premissas!$C$5:$C$44,Premissas!$A$5:$A$44,$A3354,Premissas!$B$5:$B$44,$B3354)+P3354*SUMIFS(Premissas!$D$5:$D$44,Premissas!$A$5:$A$44,$A3354,Premissas!$B$5:$B$44,$B3354))+R3354*SUMIFS(Premissas!$E$5:$E$44,Premissas!$A$5:$A$44,$A3354,Premissas!$B$5:$B$44,$B3354)+S3354*SUMIFS(Premissas!$F$5:$F$44,Premissas!$A$5:$A$44,$A3354,Premissas!$B$5:$B$44,$B3354)</f>
        <v/>
      </c>
      <c r="L3354" s="29">
        <f>J3354-K3354</f>
        <v/>
      </c>
      <c r="M3354" t="inlineStr">
        <is>
          <t>1.350</t>
        </is>
      </c>
      <c r="N3354" t="inlineStr">
        <is>
          <t>Modalidade: 0 - Por conta do remetente | Parte: FG ATACADISTA DE EMBALAGENS E ALIMENTOS LTDA (62.720.773/0001-08)</t>
        </is>
      </c>
      <c r="O3354" s="29" t="n">
        <v>0</v>
      </c>
      <c r="P3354" s="29" t="n">
        <v>0</v>
      </c>
      <c r="Q3354" s="29" t="n">
        <v>0</v>
      </c>
      <c r="R3354" s="29" t="n">
        <v>0</v>
      </c>
      <c r="S3354" s="29" t="n">
        <v>0</v>
      </c>
      <c r="T3354" t="inlineStr">
        <is>
          <t>25260526975620000130570010000069511001901195</t>
        </is>
      </c>
      <c r="U3354" t="inlineStr">
        <is>
          <t>Não</t>
        </is>
      </c>
    </row>
    <row r="3355">
      <c r="A3355" t="inlineStr">
        <is>
          <t>Frete de venda</t>
        </is>
      </c>
      <c r="B3355" t="inlineStr">
        <is>
          <t>2.01.02 Frete sobre Vendas</t>
        </is>
      </c>
      <c r="C3355" s="30" t="n">
        <v>46143</v>
      </c>
      <c r="D3355" t="inlineStr">
        <is>
          <t>Em 2026</t>
        </is>
      </c>
      <c r="E3355" s="28" t="n">
        <v>46143</v>
      </c>
      <c r="F3355" t="inlineStr">
        <is>
          <t>CT-e</t>
        </is>
      </c>
      <c r="G3355" t="inlineStr">
        <is>
          <t>000006952</t>
        </is>
      </c>
      <c r="H3355" t="inlineStr">
        <is>
          <t>R&amp;R TRANSPORTE E LOGISTICA</t>
        </is>
      </c>
      <c r="J3355" s="29" t="n">
        <v>18.62</v>
      </c>
      <c r="K3355" s="29">
        <f>(1-ISNUMBER(SEARCH("556",M3355)))*(O3355*SUMIFS(Premissas!$C$5:$C$44,Premissas!$A$5:$A$44,$A3355,Premissas!$B$5:$B$44,$B3355)+P3355*SUMIFS(Premissas!$D$5:$D$44,Premissas!$A$5:$A$44,$A3355,Premissas!$B$5:$B$44,$B3355))+R3355*SUMIFS(Premissas!$E$5:$E$44,Premissas!$A$5:$A$44,$A3355,Premissas!$B$5:$B$44,$B3355)+S3355*SUMIFS(Premissas!$F$5:$F$44,Premissas!$A$5:$A$44,$A3355,Premissas!$B$5:$B$44,$B3355)</f>
        <v/>
      </c>
      <c r="L3355" s="29">
        <f>J3355-K3355</f>
        <v/>
      </c>
      <c r="M3355" t="inlineStr">
        <is>
          <t>1.350</t>
        </is>
      </c>
      <c r="N3355" t="inlineStr">
        <is>
          <t>Modalidade: 0 - Por conta do remetente | Parte: C G C EMBALAGENS E DOCES LTDA (42.010.355/0001-01)</t>
        </is>
      </c>
      <c r="O3355" s="29" t="n">
        <v>0</v>
      </c>
      <c r="P3355" s="29" t="n">
        <v>0</v>
      </c>
      <c r="Q3355" s="29" t="n">
        <v>0</v>
      </c>
      <c r="R3355" s="29" t="n">
        <v>0</v>
      </c>
      <c r="S3355" s="29" t="n">
        <v>0</v>
      </c>
      <c r="T3355" t="inlineStr">
        <is>
          <t>25260526975620000130570010000069521001601270</t>
        </is>
      </c>
      <c r="U3355" t="inlineStr">
        <is>
          <t>Não</t>
        </is>
      </c>
    </row>
    <row r="3356">
      <c r="A3356" t="inlineStr">
        <is>
          <t>Frete de venda</t>
        </is>
      </c>
      <c r="B3356" t="inlineStr">
        <is>
          <t>2.01.02 Frete sobre Vendas</t>
        </is>
      </c>
      <c r="C3356" s="30" t="n">
        <v>46143</v>
      </c>
      <c r="D3356" t="inlineStr">
        <is>
          <t>Em 2026</t>
        </is>
      </c>
      <c r="E3356" s="28" t="n">
        <v>46143</v>
      </c>
      <c r="F3356" t="inlineStr">
        <is>
          <t>CT-e</t>
        </is>
      </c>
      <c r="G3356" t="inlineStr">
        <is>
          <t>000006953</t>
        </is>
      </c>
      <c r="H3356" t="inlineStr">
        <is>
          <t>R&amp;R TRANSPORTE E LOGISTICA</t>
        </is>
      </c>
      <c r="J3356" s="29" t="n">
        <v>30.09</v>
      </c>
      <c r="K3356" s="29">
        <f>(1-ISNUMBER(SEARCH("556",M3356)))*(O3356*SUMIFS(Premissas!$C$5:$C$44,Premissas!$A$5:$A$44,$A3356,Premissas!$B$5:$B$44,$B3356)+P3356*SUMIFS(Premissas!$D$5:$D$44,Premissas!$A$5:$A$44,$A3356,Premissas!$B$5:$B$44,$B3356))+R3356*SUMIFS(Premissas!$E$5:$E$44,Premissas!$A$5:$A$44,$A3356,Premissas!$B$5:$B$44,$B3356)+S3356*SUMIFS(Premissas!$F$5:$F$44,Premissas!$A$5:$A$44,$A3356,Premissas!$B$5:$B$44,$B3356)</f>
        <v/>
      </c>
      <c r="L3356" s="29">
        <f>J3356-K3356</f>
        <v/>
      </c>
      <c r="M3356" t="inlineStr">
        <is>
          <t>1.350</t>
        </is>
      </c>
      <c r="N3356" t="inlineStr">
        <is>
          <t>Modalidade: 0 - Por conta do remetente | Parte: LITORAL DISTRIBUIDORA S.A (55.104.068/0001-02)</t>
        </is>
      </c>
      <c r="O3356" s="29" t="n">
        <v>0</v>
      </c>
      <c r="P3356" s="29" t="n">
        <v>0</v>
      </c>
      <c r="Q3356" s="29" t="n">
        <v>0</v>
      </c>
      <c r="R3356" s="29" t="n">
        <v>0</v>
      </c>
      <c r="S3356" s="29" t="n">
        <v>0</v>
      </c>
      <c r="T3356" t="inlineStr">
        <is>
          <t>25260526975620000130570010000069531001301354</t>
        </is>
      </c>
      <c r="U3356" t="inlineStr">
        <is>
          <t>Não</t>
        </is>
      </c>
    </row>
    <row r="3357">
      <c r="A3357" t="inlineStr">
        <is>
          <t>Frete de venda</t>
        </is>
      </c>
      <c r="B3357" t="inlineStr">
        <is>
          <t>2.01.02 Frete sobre Vendas</t>
        </is>
      </c>
      <c r="C3357" s="30" t="n">
        <v>46143</v>
      </c>
      <c r="D3357" t="inlineStr">
        <is>
          <t>Em 2026</t>
        </is>
      </c>
      <c r="E3357" s="28" t="n">
        <v>46143</v>
      </c>
      <c r="F3357" t="inlineStr">
        <is>
          <t>CT-e</t>
        </is>
      </c>
      <c r="G3357" t="inlineStr">
        <is>
          <t>000006954</t>
        </is>
      </c>
      <c r="H3357" t="inlineStr">
        <is>
          <t>R&amp;R TRANSPORTE E LOGISTICA</t>
        </is>
      </c>
      <c r="J3357" s="29" t="n">
        <v>15.18</v>
      </c>
      <c r="K3357" s="29">
        <f>(1-ISNUMBER(SEARCH("556",M3357)))*(O3357*SUMIFS(Premissas!$C$5:$C$44,Premissas!$A$5:$A$44,$A3357,Premissas!$B$5:$B$44,$B3357)+P3357*SUMIFS(Premissas!$D$5:$D$44,Premissas!$A$5:$A$44,$A3357,Premissas!$B$5:$B$44,$B3357))+R3357*SUMIFS(Premissas!$E$5:$E$44,Premissas!$A$5:$A$44,$A3357,Premissas!$B$5:$B$44,$B3357)+S3357*SUMIFS(Premissas!$F$5:$F$44,Premissas!$A$5:$A$44,$A3357,Premissas!$B$5:$B$44,$B3357)</f>
        <v/>
      </c>
      <c r="L3357" s="29">
        <f>J3357-K3357</f>
        <v/>
      </c>
      <c r="M3357" t="inlineStr">
        <is>
          <t>1.350</t>
        </is>
      </c>
      <c r="N3357" t="inlineStr">
        <is>
          <t>Modalidade: 0 - Por conta do remetente | Parte: 56.131.231 JAMILLE TELES MIRANDA PALMA (56.131.231/0001-99)</t>
        </is>
      </c>
      <c r="O3357" s="29" t="n">
        <v>0</v>
      </c>
      <c r="P3357" s="29" t="n">
        <v>0</v>
      </c>
      <c r="Q3357" s="29" t="n">
        <v>0</v>
      </c>
      <c r="R3357" s="29" t="n">
        <v>0</v>
      </c>
      <c r="S3357" s="29" t="n">
        <v>0</v>
      </c>
      <c r="T3357" t="inlineStr">
        <is>
          <t>25260526975620000130570010000069541000101430</t>
        </is>
      </c>
      <c r="U3357" t="inlineStr">
        <is>
          <t>Não</t>
        </is>
      </c>
    </row>
    <row r="3358">
      <c r="A3358" t="inlineStr">
        <is>
          <t>Frete de venda</t>
        </is>
      </c>
      <c r="B3358" t="inlineStr">
        <is>
          <t>2.01.02 Frete sobre Vendas</t>
        </is>
      </c>
      <c r="C3358" s="30" t="n">
        <v>46143</v>
      </c>
      <c r="D3358" t="inlineStr">
        <is>
          <t>Em 2026</t>
        </is>
      </c>
      <c r="E3358" s="28" t="n">
        <v>46143</v>
      </c>
      <c r="F3358" t="inlineStr">
        <is>
          <t>CT-e</t>
        </is>
      </c>
      <c r="G3358" t="inlineStr">
        <is>
          <t>000006955</t>
        </is>
      </c>
      <c r="H3358" t="inlineStr">
        <is>
          <t>R&amp;R TRANSPORTE E LOGISTICA</t>
        </is>
      </c>
      <c r="J3358" s="29" t="n">
        <v>21.45</v>
      </c>
      <c r="K3358" s="29">
        <f>(1-ISNUMBER(SEARCH("556",M3358)))*(O3358*SUMIFS(Premissas!$C$5:$C$44,Premissas!$A$5:$A$44,$A3358,Premissas!$B$5:$B$44,$B3358)+P3358*SUMIFS(Premissas!$D$5:$D$44,Premissas!$A$5:$A$44,$A3358,Premissas!$B$5:$B$44,$B3358))+R3358*SUMIFS(Premissas!$E$5:$E$44,Premissas!$A$5:$A$44,$A3358,Premissas!$B$5:$B$44,$B3358)+S3358*SUMIFS(Premissas!$F$5:$F$44,Premissas!$A$5:$A$44,$A3358,Premissas!$B$5:$B$44,$B3358)</f>
        <v/>
      </c>
      <c r="L3358" s="29">
        <f>J3358-K3358</f>
        <v/>
      </c>
      <c r="M3358" t="inlineStr">
        <is>
          <t>1.350</t>
        </is>
      </c>
      <c r="N3358" t="inlineStr">
        <is>
          <t>Modalidade: 0 - Por conta do remetente | Parte: LITORAL DISTRIBUIDORA S.A (55.104.068/0002-93)</t>
        </is>
      </c>
      <c r="O3358" s="29" t="n">
        <v>0</v>
      </c>
      <c r="P3358" s="29" t="n">
        <v>0</v>
      </c>
      <c r="Q3358" s="29" t="n">
        <v>0</v>
      </c>
      <c r="R3358" s="29" t="n">
        <v>0</v>
      </c>
      <c r="S3358" s="29" t="n">
        <v>0</v>
      </c>
      <c r="T3358" t="inlineStr">
        <is>
          <t>25260526975620000130570010000069551001801513</t>
        </is>
      </c>
      <c r="U3358" t="inlineStr">
        <is>
          <t>Não</t>
        </is>
      </c>
    </row>
    <row r="3359">
      <c r="A3359" t="inlineStr">
        <is>
          <t>Frete de venda</t>
        </is>
      </c>
      <c r="B3359" t="inlineStr">
        <is>
          <t>2.01.02 Frete sobre Vendas</t>
        </is>
      </c>
      <c r="C3359" s="30" t="n">
        <v>46143</v>
      </c>
      <c r="D3359" t="inlineStr">
        <is>
          <t>Em 2026</t>
        </is>
      </c>
      <c r="E3359" s="28" t="n">
        <v>46143</v>
      </c>
      <c r="F3359" t="inlineStr">
        <is>
          <t>CT-e</t>
        </is>
      </c>
      <c r="G3359" t="inlineStr">
        <is>
          <t>000006956</t>
        </is>
      </c>
      <c r="H3359" t="inlineStr">
        <is>
          <t>R&amp;R TRANSPORTE E LOGISTICA</t>
        </is>
      </c>
      <c r="J3359" s="29" t="n">
        <v>12.89</v>
      </c>
      <c r="K3359" s="29">
        <f>(1-ISNUMBER(SEARCH("556",M3359)))*(O3359*SUMIFS(Premissas!$C$5:$C$44,Premissas!$A$5:$A$44,$A3359,Premissas!$B$5:$B$44,$B3359)+P3359*SUMIFS(Premissas!$D$5:$D$44,Premissas!$A$5:$A$44,$A3359,Premissas!$B$5:$B$44,$B3359))+R3359*SUMIFS(Premissas!$E$5:$E$44,Premissas!$A$5:$A$44,$A3359,Premissas!$B$5:$B$44,$B3359)+S3359*SUMIFS(Premissas!$F$5:$F$44,Premissas!$A$5:$A$44,$A3359,Premissas!$B$5:$B$44,$B3359)</f>
        <v/>
      </c>
      <c r="L3359" s="29">
        <f>J3359-K3359</f>
        <v/>
      </c>
      <c r="M3359" t="inlineStr">
        <is>
          <t>1.350</t>
        </is>
      </c>
      <c r="N3359" t="inlineStr">
        <is>
          <t>Modalidade: 0 - Por conta do remetente | Parte: V F DECORACOES LTDA (36.698.590/0001-15)</t>
        </is>
      </c>
      <c r="O3359" s="29" t="n">
        <v>0</v>
      </c>
      <c r="P3359" s="29" t="n">
        <v>0</v>
      </c>
      <c r="Q3359" s="29" t="n">
        <v>0</v>
      </c>
      <c r="R3359" s="29" t="n">
        <v>0</v>
      </c>
      <c r="S3359" s="29" t="n">
        <v>0</v>
      </c>
      <c r="T3359" t="inlineStr">
        <is>
          <t>25260526975620000130570010000069561000190860</t>
        </is>
      </c>
      <c r="U3359" t="inlineStr">
        <is>
          <t>Não</t>
        </is>
      </c>
    </row>
    <row r="3360">
      <c r="A3360" t="inlineStr">
        <is>
          <t>Frete de venda</t>
        </is>
      </c>
      <c r="B3360" t="inlineStr">
        <is>
          <t>2.01.02 Frete sobre Vendas</t>
        </is>
      </c>
      <c r="C3360" s="30" t="n">
        <v>46143</v>
      </c>
      <c r="D3360" t="inlineStr">
        <is>
          <t>Em 2026</t>
        </is>
      </c>
      <c r="E3360" s="28" t="n">
        <v>46143</v>
      </c>
      <c r="F3360" t="inlineStr">
        <is>
          <t>CT-e</t>
        </is>
      </c>
      <c r="G3360" t="inlineStr">
        <is>
          <t>000006957</t>
        </is>
      </c>
      <c r="H3360" t="inlineStr">
        <is>
          <t>R&amp;R TRANSPORTE E LOGISTICA</t>
        </is>
      </c>
      <c r="J3360" s="29" t="n">
        <v>522.5700000000001</v>
      </c>
      <c r="K3360" s="29">
        <f>(1-ISNUMBER(SEARCH("556",M3360)))*(O3360*SUMIFS(Premissas!$C$5:$C$44,Premissas!$A$5:$A$44,$A3360,Premissas!$B$5:$B$44,$B3360)+P3360*SUMIFS(Premissas!$D$5:$D$44,Premissas!$A$5:$A$44,$A3360,Premissas!$B$5:$B$44,$B3360))+R3360*SUMIFS(Premissas!$E$5:$E$44,Premissas!$A$5:$A$44,$A3360,Premissas!$B$5:$B$44,$B3360)+S3360*SUMIFS(Premissas!$F$5:$F$44,Premissas!$A$5:$A$44,$A3360,Premissas!$B$5:$B$44,$B3360)</f>
        <v/>
      </c>
      <c r="L3360" s="29">
        <f>J3360-K3360</f>
        <v/>
      </c>
      <c r="M3360" t="inlineStr">
        <is>
          <t>1.350</t>
        </is>
      </c>
      <c r="N3360" t="inlineStr">
        <is>
          <t>Modalidade: 0 - Por conta do remetente | Parte: SAL DA TERRA COMERCIO DESCARTAVEIS LTDA (12.076.153/0001-00)</t>
        </is>
      </c>
      <c r="O3360" s="29" t="n">
        <v>0</v>
      </c>
      <c r="P3360" s="29" t="n">
        <v>0</v>
      </c>
      <c r="Q3360" s="29" t="n">
        <v>0</v>
      </c>
      <c r="R3360" s="29" t="n">
        <v>0</v>
      </c>
      <c r="S3360" s="29" t="n">
        <v>0</v>
      </c>
      <c r="T3360" t="inlineStr">
        <is>
          <t>25260526975620000130570010000069571000160942</t>
        </is>
      </c>
      <c r="U3360" t="inlineStr">
        <is>
          <t>Não</t>
        </is>
      </c>
    </row>
    <row r="3361">
      <c r="A3361" t="inlineStr">
        <is>
          <t>Frete de venda</t>
        </is>
      </c>
      <c r="B3361" t="inlineStr">
        <is>
          <t>2.01.02 Frete sobre Vendas</t>
        </is>
      </c>
      <c r="C3361" s="30" t="n">
        <v>46143</v>
      </c>
      <c r="D3361" t="inlineStr">
        <is>
          <t>Em 2026</t>
        </is>
      </c>
      <c r="E3361" s="28" t="n">
        <v>46147</v>
      </c>
      <c r="F3361" t="inlineStr">
        <is>
          <t>CT-e</t>
        </is>
      </c>
      <c r="G3361" t="inlineStr">
        <is>
          <t>000006969</t>
        </is>
      </c>
      <c r="H3361" t="inlineStr">
        <is>
          <t>R&amp;R TRANSPORTE E LOGISTICA</t>
        </is>
      </c>
      <c r="J3361" s="29" t="n">
        <v>32.63</v>
      </c>
      <c r="K3361" s="29">
        <f>(1-ISNUMBER(SEARCH("556",M3361)))*(O3361*SUMIFS(Premissas!$C$5:$C$44,Premissas!$A$5:$A$44,$A3361,Premissas!$B$5:$B$44,$B3361)+P3361*SUMIFS(Premissas!$D$5:$D$44,Premissas!$A$5:$A$44,$A3361,Premissas!$B$5:$B$44,$B3361))+R3361*SUMIFS(Premissas!$E$5:$E$44,Premissas!$A$5:$A$44,$A3361,Premissas!$B$5:$B$44,$B3361)+S3361*SUMIFS(Premissas!$F$5:$F$44,Premissas!$A$5:$A$44,$A3361,Premissas!$B$5:$B$44,$B3361)</f>
        <v/>
      </c>
      <c r="L3361" s="29">
        <f>J3361-K3361</f>
        <v/>
      </c>
      <c r="M3361" t="inlineStr">
        <is>
          <t>1.350</t>
        </is>
      </c>
      <c r="N3361" t="inlineStr">
        <is>
          <t>Modalidade: 0 - Por conta do remetente | Parte: ITABERAI FRIOS e EMBALAGENS LTDA (17.206.462/0001-62)</t>
        </is>
      </c>
      <c r="O3361" s="29" t="n">
        <v>0</v>
      </c>
      <c r="P3361" s="29" t="n">
        <v>0</v>
      </c>
      <c r="Q3361" s="29" t="n">
        <v>0</v>
      </c>
      <c r="R3361" s="29" t="n">
        <v>0</v>
      </c>
      <c r="S3361" s="29" t="n">
        <v>0</v>
      </c>
      <c r="T3361" t="inlineStr">
        <is>
          <t>25260526975620000130570010000069691001401251</t>
        </is>
      </c>
      <c r="U3361" t="inlineStr">
        <is>
          <t>Não</t>
        </is>
      </c>
    </row>
    <row r="3362">
      <c r="A3362" t="inlineStr">
        <is>
          <t>Frete de venda</t>
        </is>
      </c>
      <c r="B3362" t="inlineStr">
        <is>
          <t>2.01.02 Frete sobre Vendas</t>
        </is>
      </c>
      <c r="C3362" s="30" t="n">
        <v>46143</v>
      </c>
      <c r="D3362" t="inlineStr">
        <is>
          <t>Em 2026</t>
        </is>
      </c>
      <c r="E3362" s="28" t="n">
        <v>46147</v>
      </c>
      <c r="F3362" t="inlineStr">
        <is>
          <t>CT-e</t>
        </is>
      </c>
      <c r="G3362" t="inlineStr">
        <is>
          <t>000006970</t>
        </is>
      </c>
      <c r="H3362" t="inlineStr">
        <is>
          <t>R&amp;R TRANSPORTE E LOGISTICA</t>
        </is>
      </c>
      <c r="J3362" s="29" t="n">
        <v>18.57</v>
      </c>
      <c r="K3362" s="29">
        <f>(1-ISNUMBER(SEARCH("556",M3362)))*(O3362*SUMIFS(Premissas!$C$5:$C$44,Premissas!$A$5:$A$44,$A3362,Premissas!$B$5:$B$44,$B3362)+P3362*SUMIFS(Premissas!$D$5:$D$44,Premissas!$A$5:$A$44,$A3362,Premissas!$B$5:$B$44,$B3362))+R3362*SUMIFS(Premissas!$E$5:$E$44,Premissas!$A$5:$A$44,$A3362,Premissas!$B$5:$B$44,$B3362)+S3362*SUMIFS(Premissas!$F$5:$F$44,Premissas!$A$5:$A$44,$A3362,Premissas!$B$5:$B$44,$B3362)</f>
        <v/>
      </c>
      <c r="L3362" s="29">
        <f>J3362-K3362</f>
        <v/>
      </c>
      <c r="M3362" t="inlineStr">
        <is>
          <t>1.350</t>
        </is>
      </c>
      <c r="N3362" t="inlineStr">
        <is>
          <t>Modalidade: 0 - Por conta do remetente | Parte: JOAO LUCAS DE ALMEIDA PEREIRA LTDA (32.743.653/0001-57)</t>
        </is>
      </c>
      <c r="O3362" s="29" t="n">
        <v>0</v>
      </c>
      <c r="P3362" s="29" t="n">
        <v>0</v>
      </c>
      <c r="Q3362" s="29" t="n">
        <v>0</v>
      </c>
      <c r="R3362" s="29" t="n">
        <v>0</v>
      </c>
      <c r="S3362" s="29" t="n">
        <v>0</v>
      </c>
      <c r="T3362" t="inlineStr">
        <is>
          <t>25260526975620000130570010000069701001101330</t>
        </is>
      </c>
      <c r="U3362" t="inlineStr">
        <is>
          <t>Não</t>
        </is>
      </c>
    </row>
    <row r="3363">
      <c r="A3363" t="inlineStr">
        <is>
          <t>Frete de venda</t>
        </is>
      </c>
      <c r="B3363" t="inlineStr">
        <is>
          <t>2.01.02 Frete sobre Vendas</t>
        </is>
      </c>
      <c r="C3363" s="30" t="n">
        <v>46143</v>
      </c>
      <c r="D3363" t="inlineStr">
        <is>
          <t>Em 2026</t>
        </is>
      </c>
      <c r="E3363" s="28" t="n">
        <v>46147</v>
      </c>
      <c r="F3363" t="inlineStr">
        <is>
          <t>CT-e</t>
        </is>
      </c>
      <c r="G3363" t="inlineStr">
        <is>
          <t>000006971</t>
        </is>
      </c>
      <c r="H3363" t="inlineStr">
        <is>
          <t>R&amp;R TRANSPORTE E LOGISTICA</t>
        </is>
      </c>
      <c r="J3363" s="29" t="n">
        <v>37.63</v>
      </c>
      <c r="K3363" s="29">
        <f>(1-ISNUMBER(SEARCH("556",M3363)))*(O3363*SUMIFS(Premissas!$C$5:$C$44,Premissas!$A$5:$A$44,$A3363,Premissas!$B$5:$B$44,$B3363)+P3363*SUMIFS(Premissas!$D$5:$D$44,Premissas!$A$5:$A$44,$A3363,Premissas!$B$5:$B$44,$B3363))+R3363*SUMIFS(Premissas!$E$5:$E$44,Premissas!$A$5:$A$44,$A3363,Premissas!$B$5:$B$44,$B3363)+S3363*SUMIFS(Premissas!$F$5:$F$44,Premissas!$A$5:$A$44,$A3363,Premissas!$B$5:$B$44,$B3363)</f>
        <v/>
      </c>
      <c r="L3363" s="29">
        <f>J3363-K3363</f>
        <v/>
      </c>
      <c r="M3363" t="inlineStr">
        <is>
          <t>1.350</t>
        </is>
      </c>
      <c r="N3363" t="inlineStr">
        <is>
          <t>Modalidade: 0 - Por conta do remetente | Parte: LEANDRO DELFINO DE SOUSA (26.593.516/0001-80)</t>
        </is>
      </c>
      <c r="O3363" s="29" t="n">
        <v>0</v>
      </c>
      <c r="P3363" s="29" t="n">
        <v>0</v>
      </c>
      <c r="Q3363" s="29" t="n">
        <v>0</v>
      </c>
      <c r="R3363" s="29" t="n">
        <v>0</v>
      </c>
      <c r="S3363" s="29" t="n">
        <v>0</v>
      </c>
      <c r="T3363" t="inlineStr">
        <is>
          <t>25260526975620000130570010000069711001901414</t>
        </is>
      </c>
      <c r="U3363" t="inlineStr">
        <is>
          <t>Não</t>
        </is>
      </c>
    </row>
    <row r="3364">
      <c r="A3364" t="inlineStr">
        <is>
          <t>Frete de venda</t>
        </is>
      </c>
      <c r="B3364" t="inlineStr">
        <is>
          <t>2.01.02 Frete sobre Vendas</t>
        </is>
      </c>
      <c r="C3364" s="30" t="n">
        <v>46143</v>
      </c>
      <c r="D3364" t="inlineStr">
        <is>
          <t>Em 2026</t>
        </is>
      </c>
      <c r="E3364" s="28" t="n">
        <v>46147</v>
      </c>
      <c r="F3364" t="inlineStr">
        <is>
          <t>CT-e</t>
        </is>
      </c>
      <c r="G3364" t="inlineStr">
        <is>
          <t>000006972</t>
        </is>
      </c>
      <c r="H3364" t="inlineStr">
        <is>
          <t>R&amp;R TRANSPORTE E LOGISTICA</t>
        </is>
      </c>
      <c r="J3364" s="29" t="n">
        <v>66.2</v>
      </c>
      <c r="K3364" s="29">
        <f>(1-ISNUMBER(SEARCH("556",M3364)))*(O3364*SUMIFS(Premissas!$C$5:$C$44,Premissas!$A$5:$A$44,$A3364,Premissas!$B$5:$B$44,$B3364)+P3364*SUMIFS(Premissas!$D$5:$D$44,Premissas!$A$5:$A$44,$A3364,Premissas!$B$5:$B$44,$B3364))+R3364*SUMIFS(Premissas!$E$5:$E$44,Premissas!$A$5:$A$44,$A3364,Premissas!$B$5:$B$44,$B3364)+S3364*SUMIFS(Premissas!$F$5:$F$44,Premissas!$A$5:$A$44,$A3364,Premissas!$B$5:$B$44,$B3364)</f>
        <v/>
      </c>
      <c r="L3364" s="29">
        <f>J3364-K3364</f>
        <v/>
      </c>
      <c r="M3364" t="inlineStr">
        <is>
          <t>1.350</t>
        </is>
      </c>
      <c r="N3364" t="inlineStr">
        <is>
          <t>Modalidade: 0 - Por conta do remetente | Parte: EMBALAGENS K. G. M. LTDA (01.881.938/0001-20)</t>
        </is>
      </c>
      <c r="O3364" s="29" t="n">
        <v>0</v>
      </c>
      <c r="P3364" s="29" t="n">
        <v>0</v>
      </c>
      <c r="Q3364" s="29" t="n">
        <v>0</v>
      </c>
      <c r="R3364" s="29" t="n">
        <v>0</v>
      </c>
      <c r="S3364" s="29" t="n">
        <v>0</v>
      </c>
      <c r="T3364" t="inlineStr">
        <is>
          <t>25260526975620000130570010000069721001601493</t>
        </is>
      </c>
      <c r="U3364" t="inlineStr">
        <is>
          <t>Não</t>
        </is>
      </c>
    </row>
    <row r="3365">
      <c r="A3365" t="inlineStr">
        <is>
          <t>Frete de venda</t>
        </is>
      </c>
      <c r="B3365" t="inlineStr">
        <is>
          <t>2.01.02 Frete sobre Vendas</t>
        </is>
      </c>
      <c r="C3365" s="30" t="n">
        <v>46143</v>
      </c>
      <c r="D3365" t="inlineStr">
        <is>
          <t>Em 2026</t>
        </is>
      </c>
      <c r="E3365" s="28" t="n">
        <v>46147</v>
      </c>
      <c r="F3365" t="inlineStr">
        <is>
          <t>CT-e</t>
        </is>
      </c>
      <c r="G3365" t="inlineStr">
        <is>
          <t>000006973</t>
        </is>
      </c>
      <c r="H3365" t="inlineStr">
        <is>
          <t>R&amp;R TRANSPORTE E LOGISTICA</t>
        </is>
      </c>
      <c r="J3365" s="29" t="n">
        <v>26.69</v>
      </c>
      <c r="K3365" s="29">
        <f>(1-ISNUMBER(SEARCH("556",M3365)))*(O3365*SUMIFS(Premissas!$C$5:$C$44,Premissas!$A$5:$A$44,$A3365,Premissas!$B$5:$B$44,$B3365)+P3365*SUMIFS(Premissas!$D$5:$D$44,Premissas!$A$5:$A$44,$A3365,Premissas!$B$5:$B$44,$B3365))+R3365*SUMIFS(Premissas!$E$5:$E$44,Premissas!$A$5:$A$44,$A3365,Premissas!$B$5:$B$44,$B3365)+S3365*SUMIFS(Premissas!$F$5:$F$44,Premissas!$A$5:$A$44,$A3365,Premissas!$B$5:$B$44,$B3365)</f>
        <v/>
      </c>
      <c r="L3365" s="29">
        <f>J3365-K3365</f>
        <v/>
      </c>
      <c r="M3365" t="inlineStr">
        <is>
          <t>1.350</t>
        </is>
      </c>
      <c r="N3365" t="inlineStr">
        <is>
          <t>Modalidade: 0 - Por conta do remetente | Parte: CASA DA EMBALAGEM COMERCIO DE EMBALAGENS LTDA (36.826.570/0001-82)</t>
        </is>
      </c>
      <c r="O3365" s="29" t="n">
        <v>0</v>
      </c>
      <c r="P3365" s="29" t="n">
        <v>0</v>
      </c>
      <c r="Q3365" s="29" t="n">
        <v>0</v>
      </c>
      <c r="R3365" s="29" t="n">
        <v>0</v>
      </c>
      <c r="S3365" s="29" t="n">
        <v>0</v>
      </c>
      <c r="T3365" t="inlineStr">
        <is>
          <t>25260526975620000130570010000069731001301578</t>
        </is>
      </c>
      <c r="U3365" t="inlineStr">
        <is>
          <t>Não</t>
        </is>
      </c>
    </row>
    <row r="3366">
      <c r="A3366" t="inlineStr">
        <is>
          <t>Frete de venda</t>
        </is>
      </c>
      <c r="B3366" t="inlineStr">
        <is>
          <t>2.01.02 Frete sobre Vendas</t>
        </is>
      </c>
      <c r="C3366" s="30" t="n">
        <v>46143</v>
      </c>
      <c r="D3366" t="inlineStr">
        <is>
          <t>Em 2026</t>
        </is>
      </c>
      <c r="E3366" s="28" t="n">
        <v>46147</v>
      </c>
      <c r="F3366" t="inlineStr">
        <is>
          <t>CT-e</t>
        </is>
      </c>
      <c r="G3366" t="inlineStr">
        <is>
          <t>000006974</t>
        </is>
      </c>
      <c r="H3366" t="inlineStr">
        <is>
          <t>R&amp;R TRANSPORTE E LOGISTICA</t>
        </is>
      </c>
      <c r="J3366" s="29" t="n">
        <v>73.84</v>
      </c>
      <c r="K3366" s="29">
        <f>(1-ISNUMBER(SEARCH("556",M3366)))*(O3366*SUMIFS(Premissas!$C$5:$C$44,Premissas!$A$5:$A$44,$A3366,Premissas!$B$5:$B$44,$B3366)+P3366*SUMIFS(Premissas!$D$5:$D$44,Premissas!$A$5:$A$44,$A3366,Premissas!$B$5:$B$44,$B3366))+R3366*SUMIFS(Premissas!$E$5:$E$44,Premissas!$A$5:$A$44,$A3366,Premissas!$B$5:$B$44,$B3366)+S3366*SUMIFS(Premissas!$F$5:$F$44,Premissas!$A$5:$A$44,$A3366,Premissas!$B$5:$B$44,$B3366)</f>
        <v/>
      </c>
      <c r="L3366" s="29">
        <f>J3366-K3366</f>
        <v/>
      </c>
      <c r="M3366" t="inlineStr">
        <is>
          <t>1.350</t>
        </is>
      </c>
      <c r="N3366" t="inlineStr">
        <is>
          <t>Modalidade: 0 - Por conta do remetente | Parte: SUSIMEIRE DE CASTRO MARTINS e CIA LTDA (19.295.444/0001-20)</t>
        </is>
      </c>
      <c r="O3366" s="29" t="n">
        <v>0</v>
      </c>
      <c r="P3366" s="29" t="n">
        <v>0</v>
      </c>
      <c r="Q3366" s="29" t="n">
        <v>0</v>
      </c>
      <c r="R3366" s="29" t="n">
        <v>0</v>
      </c>
      <c r="S3366" s="29" t="n">
        <v>0</v>
      </c>
      <c r="T3366" t="inlineStr">
        <is>
          <t>25260526975620000130570010000069741000101653</t>
        </is>
      </c>
      <c r="U3366" t="inlineStr">
        <is>
          <t>Não</t>
        </is>
      </c>
    </row>
    <row r="3367">
      <c r="A3367" t="inlineStr">
        <is>
          <t>Frete de venda</t>
        </is>
      </c>
      <c r="B3367" t="inlineStr">
        <is>
          <t>2.01.02 Frete sobre Vendas</t>
        </is>
      </c>
      <c r="C3367" s="30" t="n">
        <v>46143</v>
      </c>
      <c r="D3367" t="inlineStr">
        <is>
          <t>Em 2026</t>
        </is>
      </c>
      <c r="E3367" s="28" t="n">
        <v>46147</v>
      </c>
      <c r="F3367" t="inlineStr">
        <is>
          <t>CT-e</t>
        </is>
      </c>
      <c r="G3367" t="inlineStr">
        <is>
          <t>000006975</t>
        </is>
      </c>
      <c r="H3367" t="inlineStr">
        <is>
          <t>R&amp;R TRANSPORTE E LOGISTICA</t>
        </is>
      </c>
      <c r="J3367" s="29" t="n">
        <v>37.05</v>
      </c>
      <c r="K3367" s="29">
        <f>(1-ISNUMBER(SEARCH("556",M3367)))*(O3367*SUMIFS(Premissas!$C$5:$C$44,Premissas!$A$5:$A$44,$A3367,Premissas!$B$5:$B$44,$B3367)+P3367*SUMIFS(Premissas!$D$5:$D$44,Premissas!$A$5:$A$44,$A3367,Premissas!$B$5:$B$44,$B3367))+R3367*SUMIFS(Premissas!$E$5:$E$44,Premissas!$A$5:$A$44,$A3367,Premissas!$B$5:$B$44,$B3367)+S3367*SUMIFS(Premissas!$F$5:$F$44,Premissas!$A$5:$A$44,$A3367,Premissas!$B$5:$B$44,$B3367)</f>
        <v/>
      </c>
      <c r="L3367" s="29">
        <f>J3367-K3367</f>
        <v/>
      </c>
      <c r="M3367" t="inlineStr">
        <is>
          <t>1.350</t>
        </is>
      </c>
      <c r="N3367" t="inlineStr">
        <is>
          <t>Modalidade: 0 - Por conta do remetente | Parte: CASA PACK DISTRIBUICAO DE EMBALAGENS LTDA (43.564.720/0001-92)</t>
        </is>
      </c>
      <c r="O3367" s="29" t="n">
        <v>0</v>
      </c>
      <c r="P3367" s="29" t="n">
        <v>0</v>
      </c>
      <c r="Q3367" s="29" t="n">
        <v>0</v>
      </c>
      <c r="R3367" s="29" t="n">
        <v>0</v>
      </c>
      <c r="S3367" s="29" t="n">
        <v>0</v>
      </c>
      <c r="T3367" t="inlineStr">
        <is>
          <t>25260526975620000130570010000069751001101000</t>
        </is>
      </c>
      <c r="U3367" t="inlineStr">
        <is>
          <t>Não</t>
        </is>
      </c>
    </row>
    <row r="3368">
      <c r="A3368" t="inlineStr">
        <is>
          <t>Frete de venda</t>
        </is>
      </c>
      <c r="B3368" t="inlineStr">
        <is>
          <t>2.01.02 Frete sobre Vendas</t>
        </is>
      </c>
      <c r="C3368" s="30" t="n">
        <v>46143</v>
      </c>
      <c r="D3368" t="inlineStr">
        <is>
          <t>Em 2026</t>
        </is>
      </c>
      <c r="E3368" s="28" t="n">
        <v>46147</v>
      </c>
      <c r="F3368" t="inlineStr">
        <is>
          <t>CT-e</t>
        </is>
      </c>
      <c r="G3368" t="inlineStr">
        <is>
          <t>000006976</t>
        </is>
      </c>
      <c r="H3368" t="inlineStr">
        <is>
          <t>R&amp;R TRANSPORTE E LOGISTICA</t>
        </is>
      </c>
      <c r="J3368" s="29" t="n">
        <v>44.28</v>
      </c>
      <c r="K3368" s="29">
        <f>(1-ISNUMBER(SEARCH("556",M3368)))*(O3368*SUMIFS(Premissas!$C$5:$C$44,Premissas!$A$5:$A$44,$A3368,Premissas!$B$5:$B$44,$B3368)+P3368*SUMIFS(Premissas!$D$5:$D$44,Premissas!$A$5:$A$44,$A3368,Premissas!$B$5:$B$44,$B3368))+R3368*SUMIFS(Premissas!$E$5:$E$44,Premissas!$A$5:$A$44,$A3368,Premissas!$B$5:$B$44,$B3368)+S3368*SUMIFS(Premissas!$F$5:$F$44,Premissas!$A$5:$A$44,$A3368,Premissas!$B$5:$B$44,$B3368)</f>
        <v/>
      </c>
      <c r="L3368" s="29">
        <f>J3368-K3368</f>
        <v/>
      </c>
      <c r="M3368" t="inlineStr">
        <is>
          <t>1.350</t>
        </is>
      </c>
      <c r="N3368" t="inlineStr">
        <is>
          <t>Modalidade: 0 - Por conta do remetente | Parte: S R FERREIRA COMERCIO DE EMBALAGENS (29.044.977/0001-92)</t>
        </is>
      </c>
      <c r="O3368" s="29" t="n">
        <v>0</v>
      </c>
      <c r="P3368" s="29" t="n">
        <v>0</v>
      </c>
      <c r="Q3368" s="29" t="n">
        <v>0</v>
      </c>
      <c r="R3368" s="29" t="n">
        <v>0</v>
      </c>
      <c r="S3368" s="29" t="n">
        <v>0</v>
      </c>
      <c r="T3368" t="inlineStr">
        <is>
          <t>25260526975620000130570010000069761001901089</t>
        </is>
      </c>
      <c r="U3368" t="inlineStr">
        <is>
          <t>Não</t>
        </is>
      </c>
    </row>
    <row r="3369">
      <c r="A3369" t="inlineStr">
        <is>
          <t>Frete de venda</t>
        </is>
      </c>
      <c r="B3369" t="inlineStr">
        <is>
          <t>2.01.02 Frete sobre Vendas</t>
        </is>
      </c>
      <c r="C3369" s="30" t="n">
        <v>46143</v>
      </c>
      <c r="D3369" t="inlineStr">
        <is>
          <t>Em 2026</t>
        </is>
      </c>
      <c r="E3369" s="28" t="n">
        <v>46147</v>
      </c>
      <c r="F3369" t="inlineStr">
        <is>
          <t>CT-e</t>
        </is>
      </c>
      <c r="G3369" t="inlineStr">
        <is>
          <t>000006977</t>
        </is>
      </c>
      <c r="H3369" t="inlineStr">
        <is>
          <t>R&amp;R TRANSPORTE E LOGISTICA</t>
        </is>
      </c>
      <c r="J3369" s="29" t="n">
        <v>84.01000000000001</v>
      </c>
      <c r="K3369" s="29">
        <f>(1-ISNUMBER(SEARCH("556",M3369)))*(O3369*SUMIFS(Premissas!$C$5:$C$44,Premissas!$A$5:$A$44,$A3369,Premissas!$B$5:$B$44,$B3369)+P3369*SUMIFS(Premissas!$D$5:$D$44,Premissas!$A$5:$A$44,$A3369,Premissas!$B$5:$B$44,$B3369))+R3369*SUMIFS(Premissas!$E$5:$E$44,Premissas!$A$5:$A$44,$A3369,Premissas!$B$5:$B$44,$B3369)+S3369*SUMIFS(Premissas!$F$5:$F$44,Premissas!$A$5:$A$44,$A3369,Premissas!$B$5:$B$44,$B3369)</f>
        <v/>
      </c>
      <c r="L3369" s="29">
        <f>J3369-K3369</f>
        <v/>
      </c>
      <c r="M3369" t="inlineStr">
        <is>
          <t>1.350</t>
        </is>
      </c>
      <c r="N3369" t="inlineStr">
        <is>
          <t>Modalidade: 0 - Por conta do remetente | Parte: COMFRIOS DISTRIBUIDORA DE FRIOS LTDA (37.364.486/0001-57)</t>
        </is>
      </c>
      <c r="O3369" s="29" t="n">
        <v>0</v>
      </c>
      <c r="P3369" s="29" t="n">
        <v>0</v>
      </c>
      <c r="Q3369" s="29" t="n">
        <v>0</v>
      </c>
      <c r="R3369" s="29" t="n">
        <v>0</v>
      </c>
      <c r="S3369" s="29" t="n">
        <v>0</v>
      </c>
      <c r="T3369" t="inlineStr">
        <is>
          <t>25260526975620000130570010000069771001601163</t>
        </is>
      </c>
      <c r="U3369" t="inlineStr">
        <is>
          <t>Não</t>
        </is>
      </c>
    </row>
    <row r="3370">
      <c r="A3370" t="inlineStr">
        <is>
          <t>Frete de venda</t>
        </is>
      </c>
      <c r="B3370" t="inlineStr">
        <is>
          <t>2.01.02 Frete sobre Vendas</t>
        </is>
      </c>
      <c r="C3370" s="30" t="n">
        <v>46143</v>
      </c>
      <c r="D3370" t="inlineStr">
        <is>
          <t>Em 2026</t>
        </is>
      </c>
      <c r="E3370" s="28" t="n">
        <v>46147</v>
      </c>
      <c r="F3370" t="inlineStr">
        <is>
          <t>CT-e</t>
        </is>
      </c>
      <c r="G3370" t="inlineStr">
        <is>
          <t>000006978</t>
        </is>
      </c>
      <c r="H3370" t="inlineStr">
        <is>
          <t>R&amp;R TRANSPORTE E LOGISTICA</t>
        </is>
      </c>
      <c r="J3370" s="29" t="n">
        <v>29.88</v>
      </c>
      <c r="K3370" s="29">
        <f>(1-ISNUMBER(SEARCH("556",M3370)))*(O3370*SUMIFS(Premissas!$C$5:$C$44,Premissas!$A$5:$A$44,$A3370,Premissas!$B$5:$B$44,$B3370)+P3370*SUMIFS(Premissas!$D$5:$D$44,Premissas!$A$5:$A$44,$A3370,Premissas!$B$5:$B$44,$B3370))+R3370*SUMIFS(Premissas!$E$5:$E$44,Premissas!$A$5:$A$44,$A3370,Premissas!$B$5:$B$44,$B3370)+S3370*SUMIFS(Premissas!$F$5:$F$44,Premissas!$A$5:$A$44,$A3370,Premissas!$B$5:$B$44,$B3370)</f>
        <v/>
      </c>
      <c r="L3370" s="29">
        <f>J3370-K3370</f>
        <v/>
      </c>
      <c r="M3370" t="inlineStr">
        <is>
          <t>1.350</t>
        </is>
      </c>
      <c r="N3370" t="inlineStr">
        <is>
          <t>Modalidade: 0 - Por conta do remetente | Parte: ATACADAO DOS FRIOS LTDA (15.659.135/0001-30)</t>
        </is>
      </c>
      <c r="O3370" s="29" t="n">
        <v>0</v>
      </c>
      <c r="P3370" s="29" t="n">
        <v>0</v>
      </c>
      <c r="Q3370" s="29" t="n">
        <v>0</v>
      </c>
      <c r="R3370" s="29" t="n">
        <v>0</v>
      </c>
      <c r="S3370" s="29" t="n">
        <v>0</v>
      </c>
      <c r="T3370" t="inlineStr">
        <is>
          <t>25260526975620000130570010000069781001301248</t>
        </is>
      </c>
      <c r="U3370" t="inlineStr">
        <is>
          <t>Não</t>
        </is>
      </c>
    </row>
    <row r="3371">
      <c r="A3371" t="inlineStr">
        <is>
          <t>Frete de venda</t>
        </is>
      </c>
      <c r="B3371" t="inlineStr">
        <is>
          <t>2.01.02 Frete sobre Vendas</t>
        </is>
      </c>
      <c r="C3371" s="30" t="n">
        <v>46143</v>
      </c>
      <c r="D3371" t="inlineStr">
        <is>
          <t>Em 2026</t>
        </is>
      </c>
      <c r="E3371" s="28" t="n">
        <v>46147</v>
      </c>
      <c r="F3371" t="inlineStr">
        <is>
          <t>CT-e</t>
        </is>
      </c>
      <c r="G3371" t="inlineStr">
        <is>
          <t>000006979</t>
        </is>
      </c>
      <c r="H3371" t="inlineStr">
        <is>
          <t>R&amp;R TRANSPORTE E LOGISTICA</t>
        </is>
      </c>
      <c r="J3371" s="29" t="n">
        <v>31.01</v>
      </c>
      <c r="K3371" s="29">
        <f>(1-ISNUMBER(SEARCH("556",M3371)))*(O3371*SUMIFS(Premissas!$C$5:$C$44,Premissas!$A$5:$A$44,$A3371,Premissas!$B$5:$B$44,$B3371)+P3371*SUMIFS(Premissas!$D$5:$D$44,Premissas!$A$5:$A$44,$A3371,Premissas!$B$5:$B$44,$B3371))+R3371*SUMIFS(Premissas!$E$5:$E$44,Premissas!$A$5:$A$44,$A3371,Premissas!$B$5:$B$44,$B3371)+S3371*SUMIFS(Premissas!$F$5:$F$44,Premissas!$A$5:$A$44,$A3371,Premissas!$B$5:$B$44,$B3371)</f>
        <v/>
      </c>
      <c r="L3371" s="29">
        <f>J3371-K3371</f>
        <v/>
      </c>
      <c r="M3371" t="inlineStr">
        <is>
          <t>1.350</t>
        </is>
      </c>
      <c r="N3371" t="inlineStr">
        <is>
          <t>Modalidade: 0 - Por conta do remetente | Parte: 52.106.813 WERONICA YAMACYRA CORDEIRO (52.106.813/0001-64)</t>
        </is>
      </c>
      <c r="O3371" s="29" t="n">
        <v>0</v>
      </c>
      <c r="P3371" s="29" t="n">
        <v>0</v>
      </c>
      <c r="Q3371" s="29" t="n">
        <v>0</v>
      </c>
      <c r="R3371" s="29" t="n">
        <v>0</v>
      </c>
      <c r="S3371" s="29" t="n">
        <v>0</v>
      </c>
      <c r="T3371" t="inlineStr">
        <is>
          <t>25260526975620000130570010000069791000101323</t>
        </is>
      </c>
      <c r="U3371" t="inlineStr">
        <is>
          <t>Não</t>
        </is>
      </c>
    </row>
    <row r="3372">
      <c r="A3372" t="inlineStr">
        <is>
          <t>Frete de venda</t>
        </is>
      </c>
      <c r="B3372" t="inlineStr">
        <is>
          <t>2.01.02 Frete sobre Vendas</t>
        </is>
      </c>
      <c r="C3372" s="30" t="n">
        <v>46143</v>
      </c>
      <c r="D3372" t="inlineStr">
        <is>
          <t>Em 2026</t>
        </is>
      </c>
      <c r="E3372" s="28" t="n">
        <v>46147</v>
      </c>
      <c r="F3372" t="inlineStr">
        <is>
          <t>CT-e</t>
        </is>
      </c>
      <c r="G3372" t="inlineStr">
        <is>
          <t>000006980</t>
        </is>
      </c>
      <c r="H3372" t="inlineStr">
        <is>
          <t>R&amp;R TRANSPORTE E LOGISTICA</t>
        </is>
      </c>
      <c r="J3372" s="29" t="n">
        <v>20.82</v>
      </c>
      <c r="K3372" s="29">
        <f>(1-ISNUMBER(SEARCH("556",M3372)))*(O3372*SUMIFS(Premissas!$C$5:$C$44,Premissas!$A$5:$A$44,$A3372,Premissas!$B$5:$B$44,$B3372)+P3372*SUMIFS(Premissas!$D$5:$D$44,Premissas!$A$5:$A$44,$A3372,Premissas!$B$5:$B$44,$B3372))+R3372*SUMIFS(Premissas!$E$5:$E$44,Premissas!$A$5:$A$44,$A3372,Premissas!$B$5:$B$44,$B3372)+S3372*SUMIFS(Premissas!$F$5:$F$44,Premissas!$A$5:$A$44,$A3372,Premissas!$B$5:$B$44,$B3372)</f>
        <v/>
      </c>
      <c r="L3372" s="29">
        <f>J3372-K3372</f>
        <v/>
      </c>
      <c r="M3372" t="inlineStr">
        <is>
          <t>1.350</t>
        </is>
      </c>
      <c r="N3372" t="inlineStr">
        <is>
          <t>Modalidade: 0 - Por conta do remetente | Parte: MULTI EMBALAGENS LTDA (04.403.817/0001-61)</t>
        </is>
      </c>
      <c r="O3372" s="29" t="n">
        <v>0</v>
      </c>
      <c r="P3372" s="29" t="n">
        <v>0</v>
      </c>
      <c r="Q3372" s="29" t="n">
        <v>0</v>
      </c>
      <c r="R3372" s="29" t="n">
        <v>0</v>
      </c>
      <c r="S3372" s="29" t="n">
        <v>0</v>
      </c>
      <c r="T3372" t="inlineStr">
        <is>
          <t>25260526975620000130570010000069801001801400</t>
        </is>
      </c>
      <c r="U3372" t="inlineStr">
        <is>
          <t>Não</t>
        </is>
      </c>
    </row>
    <row r="3373">
      <c r="A3373" t="inlineStr">
        <is>
          <t>Frete de venda</t>
        </is>
      </c>
      <c r="B3373" t="inlineStr">
        <is>
          <t>2.01.02 Frete sobre Vendas</t>
        </is>
      </c>
      <c r="C3373" s="30" t="n">
        <v>46143</v>
      </c>
      <c r="D3373" t="inlineStr">
        <is>
          <t>Em 2026</t>
        </is>
      </c>
      <c r="E3373" s="28" t="n">
        <v>46147</v>
      </c>
      <c r="F3373" t="inlineStr">
        <is>
          <t>CT-e</t>
        </is>
      </c>
      <c r="G3373" t="inlineStr">
        <is>
          <t>000006981</t>
        </is>
      </c>
      <c r="H3373" t="inlineStr">
        <is>
          <t>R&amp;R TRANSPORTE E LOGISTICA</t>
        </is>
      </c>
      <c r="J3373" s="29" t="n">
        <v>71.75</v>
      </c>
      <c r="K3373" s="29">
        <f>(1-ISNUMBER(SEARCH("556",M3373)))*(O3373*SUMIFS(Premissas!$C$5:$C$44,Premissas!$A$5:$A$44,$A3373,Premissas!$B$5:$B$44,$B3373)+P3373*SUMIFS(Premissas!$D$5:$D$44,Premissas!$A$5:$A$44,$A3373,Premissas!$B$5:$B$44,$B3373))+R3373*SUMIFS(Premissas!$E$5:$E$44,Premissas!$A$5:$A$44,$A3373,Premissas!$B$5:$B$44,$B3373)+S3373*SUMIFS(Premissas!$F$5:$F$44,Premissas!$A$5:$A$44,$A3373,Premissas!$B$5:$B$44,$B3373)</f>
        <v/>
      </c>
      <c r="L3373" s="29">
        <f>J3373-K3373</f>
        <v/>
      </c>
      <c r="M3373" t="inlineStr">
        <is>
          <t>1.350</t>
        </is>
      </c>
      <c r="N3373" t="inlineStr">
        <is>
          <t>Modalidade: 0 - Por conta do remetente | Parte: EMBALE DISTRIBUIDORA LTDA (33.193.258/0001-00)</t>
        </is>
      </c>
      <c r="O3373" s="29" t="n">
        <v>0</v>
      </c>
      <c r="P3373" s="29" t="n">
        <v>0</v>
      </c>
      <c r="Q3373" s="29" t="n">
        <v>0</v>
      </c>
      <c r="R3373" s="29" t="n">
        <v>0</v>
      </c>
      <c r="S3373" s="29" t="n">
        <v>0</v>
      </c>
      <c r="T3373" t="inlineStr">
        <is>
          <t>25260526975620000130570010000069811001501480</t>
        </is>
      </c>
      <c r="U3373" t="inlineStr">
        <is>
          <t>Não</t>
        </is>
      </c>
    </row>
    <row r="3374">
      <c r="A3374" t="inlineStr">
        <is>
          <t>Frete de venda</t>
        </is>
      </c>
      <c r="B3374" t="inlineStr">
        <is>
          <t>2.01.02 Frete sobre Vendas</t>
        </is>
      </c>
      <c r="C3374" s="30" t="n">
        <v>46143</v>
      </c>
      <c r="D3374" t="inlineStr">
        <is>
          <t>Em 2026</t>
        </is>
      </c>
      <c r="E3374" s="28" t="n">
        <v>46147</v>
      </c>
      <c r="F3374" t="inlineStr">
        <is>
          <t>CT-e</t>
        </is>
      </c>
      <c r="G3374" t="inlineStr">
        <is>
          <t>000006982</t>
        </is>
      </c>
      <c r="H3374" t="inlineStr">
        <is>
          <t>R&amp;R TRANSPORTE E LOGISTICA</t>
        </is>
      </c>
      <c r="J3374" s="29" t="n">
        <v>17.75</v>
      </c>
      <c r="K3374" s="29">
        <f>(1-ISNUMBER(SEARCH("556",M3374)))*(O3374*SUMIFS(Premissas!$C$5:$C$44,Premissas!$A$5:$A$44,$A3374,Premissas!$B$5:$B$44,$B3374)+P3374*SUMIFS(Premissas!$D$5:$D$44,Premissas!$A$5:$A$44,$A3374,Premissas!$B$5:$B$44,$B3374))+R3374*SUMIFS(Premissas!$E$5:$E$44,Premissas!$A$5:$A$44,$A3374,Premissas!$B$5:$B$44,$B3374)+S3374*SUMIFS(Premissas!$F$5:$F$44,Premissas!$A$5:$A$44,$A3374,Premissas!$B$5:$B$44,$B3374)</f>
        <v/>
      </c>
      <c r="L3374" s="29">
        <f>J3374-K3374</f>
        <v/>
      </c>
      <c r="M3374" t="inlineStr">
        <is>
          <t>1.350</t>
        </is>
      </c>
      <c r="N3374" t="inlineStr">
        <is>
          <t>Modalidade: 0 - Por conta do remetente | Parte: JG COMERCIO DE EMBALAGENS LTDA (29.904.096/0001-02)</t>
        </is>
      </c>
      <c r="O3374" s="29" t="n">
        <v>0</v>
      </c>
      <c r="P3374" s="29" t="n">
        <v>0</v>
      </c>
      <c r="Q3374" s="29" t="n">
        <v>0</v>
      </c>
      <c r="R3374" s="29" t="n">
        <v>0</v>
      </c>
      <c r="S3374" s="29" t="n">
        <v>0</v>
      </c>
      <c r="T3374" t="inlineStr">
        <is>
          <t>25260526975620000130570010000069821001201564</t>
        </is>
      </c>
      <c r="U3374" t="inlineStr">
        <is>
          <t>Não</t>
        </is>
      </c>
    </row>
    <row r="3375">
      <c r="A3375" t="inlineStr">
        <is>
          <t>Frete de venda</t>
        </is>
      </c>
      <c r="B3375" t="inlineStr">
        <is>
          <t>2.01.02 Frete sobre Vendas</t>
        </is>
      </c>
      <c r="C3375" s="30" t="n">
        <v>46143</v>
      </c>
      <c r="D3375" t="inlineStr">
        <is>
          <t>Em 2026</t>
        </is>
      </c>
      <c r="E3375" s="28" t="n">
        <v>46147</v>
      </c>
      <c r="F3375" t="inlineStr">
        <is>
          <t>CT-e</t>
        </is>
      </c>
      <c r="G3375" t="inlineStr">
        <is>
          <t>000006983</t>
        </is>
      </c>
      <c r="H3375" t="inlineStr">
        <is>
          <t>R&amp;R TRANSPORTE E LOGISTICA</t>
        </is>
      </c>
      <c r="J3375" s="29" t="n">
        <v>18.09</v>
      </c>
      <c r="K3375" s="29">
        <f>(1-ISNUMBER(SEARCH("556",M3375)))*(O3375*SUMIFS(Premissas!$C$5:$C$44,Premissas!$A$5:$A$44,$A3375,Premissas!$B$5:$B$44,$B3375)+P3375*SUMIFS(Premissas!$D$5:$D$44,Premissas!$A$5:$A$44,$A3375,Premissas!$B$5:$B$44,$B3375))+R3375*SUMIFS(Premissas!$E$5:$E$44,Premissas!$A$5:$A$44,$A3375,Premissas!$B$5:$B$44,$B3375)+S3375*SUMIFS(Premissas!$F$5:$F$44,Premissas!$A$5:$A$44,$A3375,Premissas!$B$5:$B$44,$B3375)</f>
        <v/>
      </c>
      <c r="L3375" s="29">
        <f>J3375-K3375</f>
        <v/>
      </c>
      <c r="M3375" t="inlineStr">
        <is>
          <t>1.350</t>
        </is>
      </c>
      <c r="N3375" t="inlineStr">
        <is>
          <t>Modalidade: 0 - Por conta do remetente | Parte: AGM PLASTICOS LTDA (19.429.803/0001-94)</t>
        </is>
      </c>
      <c r="O3375" s="29" t="n">
        <v>0</v>
      </c>
      <c r="P3375" s="29" t="n">
        <v>0</v>
      </c>
      <c r="Q3375" s="29" t="n">
        <v>0</v>
      </c>
      <c r="R3375" s="29" t="n">
        <v>0</v>
      </c>
      <c r="S3375" s="29" t="n">
        <v>0</v>
      </c>
      <c r="T3375" t="inlineStr">
        <is>
          <t>25260526975620000130570010000069831011001646</t>
        </is>
      </c>
      <c r="U3375" t="inlineStr">
        <is>
          <t>Não</t>
        </is>
      </c>
    </row>
    <row r="3376">
      <c r="A3376" t="inlineStr">
        <is>
          <t>Frete de venda</t>
        </is>
      </c>
      <c r="B3376" t="inlineStr">
        <is>
          <t>2.01.02 Frete sobre Vendas</t>
        </is>
      </c>
      <c r="C3376" s="30" t="n">
        <v>46143</v>
      </c>
      <c r="D3376" t="inlineStr">
        <is>
          <t>Em 2026</t>
        </is>
      </c>
      <c r="E3376" s="28" t="n">
        <v>46147</v>
      </c>
      <c r="F3376" t="inlineStr">
        <is>
          <t>CT-e</t>
        </is>
      </c>
      <c r="G3376" t="inlineStr">
        <is>
          <t>000006984</t>
        </is>
      </c>
      <c r="H3376" t="inlineStr">
        <is>
          <t>R&amp;R TRANSPORTE E LOGISTICA</t>
        </is>
      </c>
      <c r="J3376" s="29" t="n">
        <v>81.29000000000001</v>
      </c>
      <c r="K3376" s="29">
        <f>(1-ISNUMBER(SEARCH("556",M3376)))*(O3376*SUMIFS(Premissas!$C$5:$C$44,Premissas!$A$5:$A$44,$A3376,Premissas!$B$5:$B$44,$B3376)+P3376*SUMIFS(Premissas!$D$5:$D$44,Premissas!$A$5:$A$44,$A3376,Premissas!$B$5:$B$44,$B3376))+R3376*SUMIFS(Premissas!$E$5:$E$44,Premissas!$A$5:$A$44,$A3376,Premissas!$B$5:$B$44,$B3376)+S3376*SUMIFS(Premissas!$F$5:$F$44,Premissas!$A$5:$A$44,$A3376,Premissas!$B$5:$B$44,$B3376)</f>
        <v/>
      </c>
      <c r="L3376" s="29">
        <f>J3376-K3376</f>
        <v/>
      </c>
      <c r="M3376" t="inlineStr">
        <is>
          <t>1.350</t>
        </is>
      </c>
      <c r="N3376" t="inlineStr">
        <is>
          <t>Modalidade: 0 - Por conta do remetente | Parte: SHALLON EMBALAGENS LTDA (49.431.842/0001-97)</t>
        </is>
      </c>
      <c r="O3376" s="29" t="n">
        <v>0</v>
      </c>
      <c r="P3376" s="29" t="n">
        <v>0</v>
      </c>
      <c r="Q3376" s="29" t="n">
        <v>0</v>
      </c>
      <c r="R3376" s="29" t="n">
        <v>0</v>
      </c>
      <c r="S3376" s="29" t="n">
        <v>0</v>
      </c>
      <c r="T3376" t="inlineStr">
        <is>
          <t>25260526975620000130570010000069841001701723</t>
        </is>
      </c>
      <c r="U3376" t="inlineStr">
        <is>
          <t>Não</t>
        </is>
      </c>
    </row>
    <row r="3377">
      <c r="A3377" t="inlineStr">
        <is>
          <t>Frete de venda</t>
        </is>
      </c>
      <c r="B3377" t="inlineStr">
        <is>
          <t>2.01.02 Frete sobre Vendas</t>
        </is>
      </c>
      <c r="C3377" s="30" t="n">
        <v>46143</v>
      </c>
      <c r="D3377" t="inlineStr">
        <is>
          <t>Em 2026</t>
        </is>
      </c>
      <c r="E3377" s="28" t="n">
        <v>46148</v>
      </c>
      <c r="F3377" t="inlineStr">
        <is>
          <t>CT-e</t>
        </is>
      </c>
      <c r="G3377" t="inlineStr">
        <is>
          <t>000006985</t>
        </is>
      </c>
      <c r="H3377" t="inlineStr">
        <is>
          <t>R&amp;R TRANSPORTE E LOGISTICA</t>
        </is>
      </c>
      <c r="J3377" s="29" t="n">
        <v>284.29</v>
      </c>
      <c r="K3377" s="29">
        <f>(1-ISNUMBER(SEARCH("556",M3377)))*(O3377*SUMIFS(Premissas!$C$5:$C$44,Premissas!$A$5:$A$44,$A3377,Premissas!$B$5:$B$44,$B3377)+P3377*SUMIFS(Premissas!$D$5:$D$44,Premissas!$A$5:$A$44,$A3377,Premissas!$B$5:$B$44,$B3377))+R3377*SUMIFS(Premissas!$E$5:$E$44,Premissas!$A$5:$A$44,$A3377,Premissas!$B$5:$B$44,$B3377)+S3377*SUMIFS(Premissas!$F$5:$F$44,Premissas!$A$5:$A$44,$A3377,Premissas!$B$5:$B$44,$B3377)</f>
        <v/>
      </c>
      <c r="L3377" s="29">
        <f>J3377-K3377</f>
        <v/>
      </c>
      <c r="M3377" t="inlineStr">
        <is>
          <t>1.350</t>
        </is>
      </c>
      <c r="N3377" t="inlineStr">
        <is>
          <t>Modalidade: 0 - Por conta do remetente | Parte: RODRIGUES e DIAS COMERCIO DE HORTIFRUTI GRANJEIROS LTDA (09.143.905/0001-95)</t>
        </is>
      </c>
      <c r="O3377" s="29" t="n">
        <v>0</v>
      </c>
      <c r="P3377" s="29" t="n">
        <v>0</v>
      </c>
      <c r="Q3377" s="29" t="n">
        <v>0</v>
      </c>
      <c r="R3377" s="29" t="n">
        <v>0</v>
      </c>
      <c r="S3377" s="29" t="n">
        <v>0</v>
      </c>
      <c r="T3377" t="inlineStr">
        <is>
          <t>25260526975620000130570010000069851001801075</t>
        </is>
      </c>
      <c r="U3377" t="inlineStr">
        <is>
          <t>Não</t>
        </is>
      </c>
    </row>
    <row r="3378">
      <c r="A3378" t="inlineStr">
        <is>
          <t>Frete de venda</t>
        </is>
      </c>
      <c r="B3378" t="inlineStr">
        <is>
          <t>2.01.02 Frete sobre Vendas</t>
        </is>
      </c>
      <c r="C3378" s="30" t="n">
        <v>46143</v>
      </c>
      <c r="D3378" t="inlineStr">
        <is>
          <t>Em 2026</t>
        </is>
      </c>
      <c r="E3378" s="28" t="n">
        <v>46148</v>
      </c>
      <c r="F3378" t="inlineStr">
        <is>
          <t>CT-e</t>
        </is>
      </c>
      <c r="G3378" t="inlineStr">
        <is>
          <t>000006988</t>
        </is>
      </c>
      <c r="H3378" t="inlineStr">
        <is>
          <t>R&amp;R TRANSPORTE E LOGISTICA</t>
        </is>
      </c>
      <c r="J3378" s="29" t="n">
        <v>243.32</v>
      </c>
      <c r="K3378" s="29">
        <f>(1-ISNUMBER(SEARCH("556",M3378)))*(O3378*SUMIFS(Premissas!$C$5:$C$44,Premissas!$A$5:$A$44,$A3378,Premissas!$B$5:$B$44,$B3378)+P3378*SUMIFS(Premissas!$D$5:$D$44,Premissas!$A$5:$A$44,$A3378,Premissas!$B$5:$B$44,$B3378))+R3378*SUMIFS(Premissas!$E$5:$E$44,Premissas!$A$5:$A$44,$A3378,Premissas!$B$5:$B$44,$B3378)+S3378*SUMIFS(Premissas!$F$5:$F$44,Premissas!$A$5:$A$44,$A3378,Premissas!$B$5:$B$44,$B3378)</f>
        <v/>
      </c>
      <c r="L3378" s="29">
        <f>J3378-K3378</f>
        <v/>
      </c>
      <c r="M3378" t="inlineStr">
        <is>
          <t>1.350</t>
        </is>
      </c>
      <c r="N3378" t="inlineStr">
        <is>
          <t>Modalidade: 0 - Por conta do remetente | Parte: CASINHAPEL EMBALAGENS LTDA (13.190.805/0001-97)</t>
        </is>
      </c>
      <c r="O3378" s="29" t="n">
        <v>0</v>
      </c>
      <c r="P3378" s="29" t="n">
        <v>0</v>
      </c>
      <c r="Q3378" s="29" t="n">
        <v>0</v>
      </c>
      <c r="R3378" s="29" t="n">
        <v>0</v>
      </c>
      <c r="S3378" s="29" t="n">
        <v>0</v>
      </c>
      <c r="T3378" t="inlineStr">
        <is>
          <t>25260526975620000130570010000069881011001316</t>
        </is>
      </c>
      <c r="U3378" t="inlineStr">
        <is>
          <t>Não</t>
        </is>
      </c>
    </row>
    <row r="3379">
      <c r="A3379" t="inlineStr">
        <is>
          <t>Frete de venda</t>
        </is>
      </c>
      <c r="B3379" t="inlineStr">
        <is>
          <t>2.01.02 Frete sobre Vendas</t>
        </is>
      </c>
      <c r="C3379" s="30" t="n">
        <v>46143</v>
      </c>
      <c r="D3379" t="inlineStr">
        <is>
          <t>Em 2026</t>
        </is>
      </c>
      <c r="E3379" s="28" t="n">
        <v>46149</v>
      </c>
      <c r="F3379" t="inlineStr">
        <is>
          <t>CT-e</t>
        </is>
      </c>
      <c r="G3379" t="inlineStr">
        <is>
          <t>000006993</t>
        </is>
      </c>
      <c r="H3379" t="inlineStr">
        <is>
          <t>R&amp;R TRANSPORTE E LOGISTICA</t>
        </is>
      </c>
      <c r="J3379" s="29" t="n">
        <v>27.06</v>
      </c>
      <c r="K3379" s="29">
        <f>(1-ISNUMBER(SEARCH("556",M3379)))*(O3379*SUMIFS(Premissas!$C$5:$C$44,Premissas!$A$5:$A$44,$A3379,Premissas!$B$5:$B$44,$B3379)+P3379*SUMIFS(Premissas!$D$5:$D$44,Premissas!$A$5:$A$44,$A3379,Premissas!$B$5:$B$44,$B3379))+R3379*SUMIFS(Premissas!$E$5:$E$44,Premissas!$A$5:$A$44,$A3379,Premissas!$B$5:$B$44,$B3379)+S3379*SUMIFS(Premissas!$F$5:$F$44,Premissas!$A$5:$A$44,$A3379,Premissas!$B$5:$B$44,$B3379)</f>
        <v/>
      </c>
      <c r="L3379" s="29">
        <f>J3379-K3379</f>
        <v/>
      </c>
      <c r="M3379" t="inlineStr">
        <is>
          <t>1.350</t>
        </is>
      </c>
      <c r="N3379" t="inlineStr">
        <is>
          <t>Modalidade: 0 - Por conta do remetente | Parte: ANA PAULA OLIVEIRA ARAUJO (43.154.601/0001-61)</t>
        </is>
      </c>
      <c r="O3379" s="29" t="n">
        <v>0</v>
      </c>
      <c r="P3379" s="29" t="n">
        <v>0</v>
      </c>
      <c r="Q3379" s="29" t="n">
        <v>0</v>
      </c>
      <c r="R3379" s="29" t="n">
        <v>0</v>
      </c>
      <c r="S3379" s="29" t="n">
        <v>0</v>
      </c>
      <c r="T3379" t="inlineStr">
        <is>
          <t>25260526975620000130570010000069931001701064</t>
        </is>
      </c>
      <c r="U3379" t="inlineStr">
        <is>
          <t>Não</t>
        </is>
      </c>
    </row>
    <row r="3380">
      <c r="A3380" t="inlineStr">
        <is>
          <t>Frete de venda</t>
        </is>
      </c>
      <c r="B3380" t="inlineStr">
        <is>
          <t>2.01.02 Frete sobre Vendas</t>
        </is>
      </c>
      <c r="C3380" s="30" t="n">
        <v>46143</v>
      </c>
      <c r="D3380" t="inlineStr">
        <is>
          <t>Em 2026</t>
        </is>
      </c>
      <c r="E3380" s="28" t="n">
        <v>46149</v>
      </c>
      <c r="F3380" t="inlineStr">
        <is>
          <t>CT-e</t>
        </is>
      </c>
      <c r="G3380" t="inlineStr">
        <is>
          <t>000006994</t>
        </is>
      </c>
      <c r="H3380" t="inlineStr">
        <is>
          <t>R&amp;R TRANSPORTE E LOGISTICA</t>
        </is>
      </c>
      <c r="J3380" s="29" t="n">
        <v>37.93</v>
      </c>
      <c r="K3380" s="29">
        <f>(1-ISNUMBER(SEARCH("556",M3380)))*(O3380*SUMIFS(Premissas!$C$5:$C$44,Premissas!$A$5:$A$44,$A3380,Premissas!$B$5:$B$44,$B3380)+P3380*SUMIFS(Premissas!$D$5:$D$44,Premissas!$A$5:$A$44,$A3380,Premissas!$B$5:$B$44,$B3380))+R3380*SUMIFS(Premissas!$E$5:$E$44,Premissas!$A$5:$A$44,$A3380,Premissas!$B$5:$B$44,$B3380)+S3380*SUMIFS(Premissas!$F$5:$F$44,Premissas!$A$5:$A$44,$A3380,Premissas!$B$5:$B$44,$B3380)</f>
        <v/>
      </c>
      <c r="L3380" s="29">
        <f>J3380-K3380</f>
        <v/>
      </c>
      <c r="M3380" t="inlineStr">
        <is>
          <t>1.350</t>
        </is>
      </c>
      <c r="N3380" t="inlineStr">
        <is>
          <t>Modalidade: 0 - Por conta do remetente | Parte: NAYANDRA KELLY H SANTIAGO (49.093.600/0001-30)</t>
        </is>
      </c>
      <c r="O3380" s="29" t="n">
        <v>0</v>
      </c>
      <c r="P3380" s="29" t="n">
        <v>0</v>
      </c>
      <c r="Q3380" s="29" t="n">
        <v>0</v>
      </c>
      <c r="R3380" s="29" t="n">
        <v>0</v>
      </c>
      <c r="S3380" s="29" t="n">
        <v>0</v>
      </c>
      <c r="T3380" t="inlineStr">
        <is>
          <t>25260526975620000130570010000069941001401149</t>
        </is>
      </c>
      <c r="U3380" t="inlineStr">
        <is>
          <t>Não</t>
        </is>
      </c>
    </row>
    <row r="3381">
      <c r="A3381" t="inlineStr">
        <is>
          <t>Frete de venda</t>
        </is>
      </c>
      <c r="B3381" t="inlineStr">
        <is>
          <t>2.01.02 Frete sobre Vendas</t>
        </is>
      </c>
      <c r="C3381" s="30" t="n">
        <v>46143</v>
      </c>
      <c r="D3381" t="inlineStr">
        <is>
          <t>Em 2026</t>
        </is>
      </c>
      <c r="E3381" s="28" t="n">
        <v>46149</v>
      </c>
      <c r="F3381" t="inlineStr">
        <is>
          <t>CT-e</t>
        </is>
      </c>
      <c r="G3381" t="inlineStr">
        <is>
          <t>000006995</t>
        </is>
      </c>
      <c r="H3381" t="inlineStr">
        <is>
          <t>R&amp;R TRANSPORTE E LOGISTICA</t>
        </is>
      </c>
      <c r="J3381" s="29" t="n">
        <v>26.15</v>
      </c>
      <c r="K3381" s="29">
        <f>(1-ISNUMBER(SEARCH("556",M3381)))*(O3381*SUMIFS(Premissas!$C$5:$C$44,Premissas!$A$5:$A$44,$A3381,Premissas!$B$5:$B$44,$B3381)+P3381*SUMIFS(Premissas!$D$5:$D$44,Premissas!$A$5:$A$44,$A3381,Premissas!$B$5:$B$44,$B3381))+R3381*SUMIFS(Premissas!$E$5:$E$44,Premissas!$A$5:$A$44,$A3381,Premissas!$B$5:$B$44,$B3381)+S3381*SUMIFS(Premissas!$F$5:$F$44,Premissas!$A$5:$A$44,$A3381,Premissas!$B$5:$B$44,$B3381)</f>
        <v/>
      </c>
      <c r="L3381" s="29">
        <f>J3381-K3381</f>
        <v/>
      </c>
      <c r="M3381" t="inlineStr">
        <is>
          <t>1.350</t>
        </is>
      </c>
      <c r="N3381" t="inlineStr">
        <is>
          <t>Modalidade: 0 - Por conta do remetente | Parte: L F S COMERCIO E IMPORTACAO DE ALIMENTOS LTDA (15.099.833/0001-29)</t>
        </is>
      </c>
      <c r="O3381" s="29" t="n">
        <v>0</v>
      </c>
      <c r="P3381" s="29" t="n">
        <v>0</v>
      </c>
      <c r="Q3381" s="29" t="n">
        <v>0</v>
      </c>
      <c r="R3381" s="29" t="n">
        <v>0</v>
      </c>
      <c r="S3381" s="29" t="n">
        <v>0</v>
      </c>
      <c r="T3381" t="inlineStr">
        <is>
          <t>25260526975620000130570010000069951001101223</t>
        </is>
      </c>
      <c r="U3381" t="inlineStr">
        <is>
          <t>Não</t>
        </is>
      </c>
    </row>
    <row r="3382">
      <c r="A3382" t="inlineStr">
        <is>
          <t>Frete de venda</t>
        </is>
      </c>
      <c r="B3382" t="inlineStr">
        <is>
          <t>2.01.02 Frete sobre Vendas</t>
        </is>
      </c>
      <c r="C3382" s="30" t="n">
        <v>46143</v>
      </c>
      <c r="D3382" t="inlineStr">
        <is>
          <t>Em 2026</t>
        </is>
      </c>
      <c r="E3382" s="28" t="n">
        <v>46149</v>
      </c>
      <c r="F3382" t="inlineStr">
        <is>
          <t>CT-e</t>
        </is>
      </c>
      <c r="G3382" t="inlineStr">
        <is>
          <t>000006996</t>
        </is>
      </c>
      <c r="H3382" t="inlineStr">
        <is>
          <t>R&amp;R TRANSPORTE E LOGISTICA</t>
        </is>
      </c>
      <c r="J3382" s="29" t="n">
        <v>27.06</v>
      </c>
      <c r="K3382" s="29">
        <f>(1-ISNUMBER(SEARCH("556",M3382)))*(O3382*SUMIFS(Premissas!$C$5:$C$44,Premissas!$A$5:$A$44,$A3382,Premissas!$B$5:$B$44,$B3382)+P3382*SUMIFS(Premissas!$D$5:$D$44,Premissas!$A$5:$A$44,$A3382,Premissas!$B$5:$B$44,$B3382))+R3382*SUMIFS(Premissas!$E$5:$E$44,Premissas!$A$5:$A$44,$A3382,Premissas!$B$5:$B$44,$B3382)+S3382*SUMIFS(Premissas!$F$5:$F$44,Premissas!$A$5:$A$44,$A3382,Premissas!$B$5:$B$44,$B3382)</f>
        <v/>
      </c>
      <c r="L3382" s="29">
        <f>J3382-K3382</f>
        <v/>
      </c>
      <c r="M3382" t="inlineStr">
        <is>
          <t>1.350</t>
        </is>
      </c>
      <c r="N3382" t="inlineStr">
        <is>
          <t>Modalidade: 0 - Por conta do remetente | Parte: FRANCISCO DANTAS DE ARAUJO FILHO (86.979.903/0001-81)</t>
        </is>
      </c>
      <c r="O3382" s="29" t="n">
        <v>0</v>
      </c>
      <c r="P3382" s="29" t="n">
        <v>0</v>
      </c>
      <c r="Q3382" s="29" t="n">
        <v>0</v>
      </c>
      <c r="R3382" s="29" t="n">
        <v>0</v>
      </c>
      <c r="S3382" s="29" t="n">
        <v>0</v>
      </c>
      <c r="T3382" t="inlineStr">
        <is>
          <t>25260526975620000130570010000069961000120574</t>
        </is>
      </c>
      <c r="U3382" t="inlineStr">
        <is>
          <t>Não</t>
        </is>
      </c>
    </row>
    <row r="3383">
      <c r="A3383" t="inlineStr">
        <is>
          <t>Frete de venda</t>
        </is>
      </c>
      <c r="B3383" t="inlineStr">
        <is>
          <t>2.01.02 Frete sobre Vendas</t>
        </is>
      </c>
      <c r="C3383" s="30" t="n">
        <v>46143</v>
      </c>
      <c r="D3383" t="inlineStr">
        <is>
          <t>Em 2026</t>
        </is>
      </c>
      <c r="E3383" s="28" t="n">
        <v>46149</v>
      </c>
      <c r="F3383" t="inlineStr">
        <is>
          <t>CT-e</t>
        </is>
      </c>
      <c r="G3383" t="inlineStr">
        <is>
          <t>000006997</t>
        </is>
      </c>
      <c r="H3383" t="inlineStr">
        <is>
          <t>R&amp;R TRANSPORTE E LOGISTICA</t>
        </is>
      </c>
      <c r="J3383" s="29" t="n">
        <v>30.28</v>
      </c>
      <c r="K3383" s="29">
        <f>(1-ISNUMBER(SEARCH("556",M3383)))*(O3383*SUMIFS(Premissas!$C$5:$C$44,Premissas!$A$5:$A$44,$A3383,Premissas!$B$5:$B$44,$B3383)+P3383*SUMIFS(Premissas!$D$5:$D$44,Premissas!$A$5:$A$44,$A3383,Premissas!$B$5:$B$44,$B3383))+R3383*SUMIFS(Premissas!$E$5:$E$44,Premissas!$A$5:$A$44,$A3383,Premissas!$B$5:$B$44,$B3383)+S3383*SUMIFS(Premissas!$F$5:$F$44,Premissas!$A$5:$A$44,$A3383,Premissas!$B$5:$B$44,$B3383)</f>
        <v/>
      </c>
      <c r="L3383" s="29">
        <f>J3383-K3383</f>
        <v/>
      </c>
      <c r="M3383" t="inlineStr">
        <is>
          <t>1.350</t>
        </is>
      </c>
      <c r="N3383" t="inlineStr">
        <is>
          <t>Modalidade: 0 - Por conta do remetente | Parte: H C COMERCIO DE EMBALAGENS PLASTICA LTDA (69.708.436/0001-36)</t>
        </is>
      </c>
      <c r="O3383" s="29" t="n">
        <v>0</v>
      </c>
      <c r="P3383" s="29" t="n">
        <v>0</v>
      </c>
      <c r="Q3383" s="29" t="n">
        <v>0</v>
      </c>
      <c r="R3383" s="29" t="n">
        <v>0</v>
      </c>
      <c r="S3383" s="29" t="n">
        <v>0</v>
      </c>
      <c r="T3383" t="inlineStr">
        <is>
          <t>25260526975620000130570010000069971001100655</t>
        </is>
      </c>
      <c r="U3383" t="inlineStr">
        <is>
          <t>Não</t>
        </is>
      </c>
    </row>
    <row r="3384">
      <c r="A3384" t="inlineStr">
        <is>
          <t>Frete de venda</t>
        </is>
      </c>
      <c r="B3384" t="inlineStr">
        <is>
          <t>2.01.02 Frete sobre Vendas</t>
        </is>
      </c>
      <c r="C3384" s="30" t="n">
        <v>46143</v>
      </c>
      <c r="D3384" t="inlineStr">
        <is>
          <t>Em 2026</t>
        </is>
      </c>
      <c r="E3384" s="28" t="n">
        <v>46149</v>
      </c>
      <c r="F3384" t="inlineStr">
        <is>
          <t>CT-e</t>
        </is>
      </c>
      <c r="G3384" t="inlineStr">
        <is>
          <t>000006998</t>
        </is>
      </c>
      <c r="H3384" t="inlineStr">
        <is>
          <t>R&amp;R TRANSPORTE E LOGISTICA</t>
        </is>
      </c>
      <c r="J3384" s="29" t="n">
        <v>32.07</v>
      </c>
      <c r="K3384" s="29">
        <f>(1-ISNUMBER(SEARCH("556",M3384)))*(O3384*SUMIFS(Premissas!$C$5:$C$44,Premissas!$A$5:$A$44,$A3384,Premissas!$B$5:$B$44,$B3384)+P3384*SUMIFS(Premissas!$D$5:$D$44,Premissas!$A$5:$A$44,$A3384,Premissas!$B$5:$B$44,$B3384))+R3384*SUMIFS(Premissas!$E$5:$E$44,Premissas!$A$5:$A$44,$A3384,Premissas!$B$5:$B$44,$B3384)+S3384*SUMIFS(Premissas!$F$5:$F$44,Premissas!$A$5:$A$44,$A3384,Premissas!$B$5:$B$44,$B3384)</f>
        <v/>
      </c>
      <c r="L3384" s="29">
        <f>J3384-K3384</f>
        <v/>
      </c>
      <c r="M3384" t="inlineStr">
        <is>
          <t>1.350</t>
        </is>
      </c>
      <c r="N3384" t="inlineStr">
        <is>
          <t>Modalidade: 0 - Por conta do remetente | Parte: F V F DE SOUZA PLASTICOS (19.276.264/0001-09)</t>
        </is>
      </c>
      <c r="O3384" s="29" t="n">
        <v>0</v>
      </c>
      <c r="P3384" s="29" t="n">
        <v>0</v>
      </c>
      <c r="Q3384" s="29" t="n">
        <v>0</v>
      </c>
      <c r="R3384" s="29" t="n">
        <v>0</v>
      </c>
      <c r="S3384" s="29" t="n">
        <v>0</v>
      </c>
      <c r="T3384" t="inlineStr">
        <is>
          <t>25260526975620000130570010000069981000170738</t>
        </is>
      </c>
      <c r="U3384" t="inlineStr">
        <is>
          <t>Não</t>
        </is>
      </c>
    </row>
    <row r="3385">
      <c r="A3385" t="inlineStr">
        <is>
          <t>Frete de venda</t>
        </is>
      </c>
      <c r="B3385" t="inlineStr">
        <is>
          <t>2.01.02 Frete sobre Vendas</t>
        </is>
      </c>
      <c r="C3385" s="30" t="n">
        <v>46143</v>
      </c>
      <c r="D3385" t="inlineStr">
        <is>
          <t>Em 2026</t>
        </is>
      </c>
      <c r="E3385" s="28" t="n">
        <v>46149</v>
      </c>
      <c r="F3385" t="inlineStr">
        <is>
          <t>CT-e</t>
        </is>
      </c>
      <c r="G3385" t="inlineStr">
        <is>
          <t>000006999</t>
        </is>
      </c>
      <c r="H3385" t="inlineStr">
        <is>
          <t>R&amp;R TRANSPORTE E LOGISTICA</t>
        </is>
      </c>
      <c r="J3385" s="29" t="n">
        <v>26.95</v>
      </c>
      <c r="K3385" s="29">
        <f>(1-ISNUMBER(SEARCH("556",M3385)))*(O3385*SUMIFS(Premissas!$C$5:$C$44,Premissas!$A$5:$A$44,$A3385,Premissas!$B$5:$B$44,$B3385)+P3385*SUMIFS(Premissas!$D$5:$D$44,Premissas!$A$5:$A$44,$A3385,Premissas!$B$5:$B$44,$B3385))+R3385*SUMIFS(Premissas!$E$5:$E$44,Premissas!$A$5:$A$44,$A3385,Premissas!$B$5:$B$44,$B3385)+S3385*SUMIFS(Premissas!$F$5:$F$44,Premissas!$A$5:$A$44,$A3385,Premissas!$B$5:$B$44,$B3385)</f>
        <v/>
      </c>
      <c r="L3385" s="29">
        <f>J3385-K3385</f>
        <v/>
      </c>
      <c r="M3385" t="inlineStr">
        <is>
          <t>1.350</t>
        </is>
      </c>
      <c r="N3385" t="inlineStr">
        <is>
          <t>Modalidade: 0 - Por conta do remetente | Parte: BRASIL PLAST COMERCIO DE EMBALAGENS LTDA (10.238.032/0001-83)</t>
        </is>
      </c>
      <c r="O3385" s="29" t="n">
        <v>0</v>
      </c>
      <c r="P3385" s="29" t="n">
        <v>0</v>
      </c>
      <c r="Q3385" s="29" t="n">
        <v>0</v>
      </c>
      <c r="R3385" s="29" t="n">
        <v>0</v>
      </c>
      <c r="S3385" s="29" t="n">
        <v>0</v>
      </c>
      <c r="T3385" t="inlineStr">
        <is>
          <t>25260526975620000130570010000069991000140810</t>
        </is>
      </c>
      <c r="U3385" t="inlineStr">
        <is>
          <t>Não</t>
        </is>
      </c>
    </row>
    <row r="3386">
      <c r="A3386" t="inlineStr">
        <is>
          <t>Frete de venda</t>
        </is>
      </c>
      <c r="B3386" t="inlineStr">
        <is>
          <t>2.01.02 Frete sobre Vendas</t>
        </is>
      </c>
      <c r="C3386" s="30" t="n">
        <v>46143</v>
      </c>
      <c r="D3386" t="inlineStr">
        <is>
          <t>Em 2026</t>
        </is>
      </c>
      <c r="E3386" s="28" t="n">
        <v>46149</v>
      </c>
      <c r="F3386" t="inlineStr">
        <is>
          <t>CT-e</t>
        </is>
      </c>
      <c r="G3386" t="inlineStr">
        <is>
          <t>000007000</t>
        </is>
      </c>
      <c r="H3386" t="inlineStr">
        <is>
          <t>R&amp;R TRANSPORTE E LOGISTICA</t>
        </is>
      </c>
      <c r="J3386" s="29" t="n">
        <v>26.97</v>
      </c>
      <c r="K3386" s="29">
        <f>(1-ISNUMBER(SEARCH("556",M3386)))*(O3386*SUMIFS(Premissas!$C$5:$C$44,Premissas!$A$5:$A$44,$A3386,Premissas!$B$5:$B$44,$B3386)+P3386*SUMIFS(Premissas!$D$5:$D$44,Premissas!$A$5:$A$44,$A3386,Premissas!$B$5:$B$44,$B3386))+R3386*SUMIFS(Premissas!$E$5:$E$44,Premissas!$A$5:$A$44,$A3386,Premissas!$B$5:$B$44,$B3386)+S3386*SUMIFS(Premissas!$F$5:$F$44,Premissas!$A$5:$A$44,$A3386,Premissas!$B$5:$B$44,$B3386)</f>
        <v/>
      </c>
      <c r="L3386" s="29">
        <f>J3386-K3386</f>
        <v/>
      </c>
      <c r="M3386" t="inlineStr">
        <is>
          <t>1.350</t>
        </is>
      </c>
      <c r="N3386" t="inlineStr">
        <is>
          <t>Modalidade: 0 - Por conta do remetente | Parte: EMPORIO FESTA E CONFEITARIA LTDA (46.861.321/0001-81)</t>
        </is>
      </c>
      <c r="O3386" s="29" t="n">
        <v>0</v>
      </c>
      <c r="P3386" s="29" t="n">
        <v>0</v>
      </c>
      <c r="Q3386" s="29" t="n">
        <v>0</v>
      </c>
      <c r="R3386" s="29" t="n">
        <v>0</v>
      </c>
      <c r="S3386" s="29" t="n">
        <v>0</v>
      </c>
      <c r="T3386" t="inlineStr">
        <is>
          <t>25260526975620000130570010000070001000110891</t>
        </is>
      </c>
      <c r="U3386" t="inlineStr">
        <is>
          <t>Não</t>
        </is>
      </c>
    </row>
    <row r="3387">
      <c r="A3387" t="inlineStr">
        <is>
          <t>Frete de venda</t>
        </is>
      </c>
      <c r="B3387" t="inlineStr">
        <is>
          <t>2.01.02 Frete sobre Vendas</t>
        </is>
      </c>
      <c r="C3387" s="30" t="n">
        <v>46143</v>
      </c>
      <c r="D3387" t="inlineStr">
        <is>
          <t>Em 2026</t>
        </is>
      </c>
      <c r="E3387" s="28" t="n">
        <v>46149</v>
      </c>
      <c r="F3387" t="inlineStr">
        <is>
          <t>CT-e</t>
        </is>
      </c>
      <c r="G3387" t="inlineStr">
        <is>
          <t>000007001</t>
        </is>
      </c>
      <c r="H3387" t="inlineStr">
        <is>
          <t>R&amp;R TRANSPORTE E LOGISTICA</t>
        </is>
      </c>
      <c r="J3387" s="29" t="n">
        <v>151.54</v>
      </c>
      <c r="K3387" s="29">
        <f>(1-ISNUMBER(SEARCH("556",M3387)))*(O3387*SUMIFS(Premissas!$C$5:$C$44,Premissas!$A$5:$A$44,$A3387,Premissas!$B$5:$B$44,$B3387)+P3387*SUMIFS(Premissas!$D$5:$D$44,Premissas!$A$5:$A$44,$A3387,Premissas!$B$5:$B$44,$B3387))+R3387*SUMIFS(Premissas!$E$5:$E$44,Premissas!$A$5:$A$44,$A3387,Premissas!$B$5:$B$44,$B3387)+S3387*SUMIFS(Premissas!$F$5:$F$44,Premissas!$A$5:$A$44,$A3387,Premissas!$B$5:$B$44,$B3387)</f>
        <v/>
      </c>
      <c r="L3387" s="29">
        <f>J3387-K3387</f>
        <v/>
      </c>
      <c r="M3387" t="inlineStr">
        <is>
          <t>1.350</t>
        </is>
      </c>
      <c r="N3387" t="inlineStr">
        <is>
          <t>Modalidade: 0 - Por conta do remetente | Parte: PRONTO DISTRIBUIDORA LTDA (59.909.633/0001-60)</t>
        </is>
      </c>
      <c r="O3387" s="29" t="n">
        <v>0</v>
      </c>
      <c r="P3387" s="29" t="n">
        <v>0</v>
      </c>
      <c r="Q3387" s="29" t="n">
        <v>0</v>
      </c>
      <c r="R3387" s="29" t="n">
        <v>0</v>
      </c>
      <c r="S3387" s="29" t="n">
        <v>0</v>
      </c>
      <c r="T3387" t="inlineStr">
        <is>
          <t>25260526975620000130570010000070011000190973</t>
        </is>
      </c>
      <c r="U3387" t="inlineStr">
        <is>
          <t>Não</t>
        </is>
      </c>
    </row>
    <row r="3388">
      <c r="A3388" t="inlineStr">
        <is>
          <t>Frete de venda</t>
        </is>
      </c>
      <c r="B3388" t="inlineStr">
        <is>
          <t>2.01.02 Frete sobre Vendas</t>
        </is>
      </c>
      <c r="C3388" s="30" t="n">
        <v>46143</v>
      </c>
      <c r="D3388" t="inlineStr">
        <is>
          <t>Em 2026</t>
        </is>
      </c>
      <c r="E3388" s="28" t="n">
        <v>46149</v>
      </c>
      <c r="F3388" t="inlineStr">
        <is>
          <t>CT-e</t>
        </is>
      </c>
      <c r="G3388" t="inlineStr">
        <is>
          <t>000007002</t>
        </is>
      </c>
      <c r="H3388" t="inlineStr">
        <is>
          <t>R&amp;R TRANSPORTE E LOGISTICA</t>
        </is>
      </c>
      <c r="J3388" s="29" t="n">
        <v>79.40000000000001</v>
      </c>
      <c r="K3388" s="29">
        <f>(1-ISNUMBER(SEARCH("556",M3388)))*(O3388*SUMIFS(Premissas!$C$5:$C$44,Premissas!$A$5:$A$44,$A3388,Premissas!$B$5:$B$44,$B3388)+P3388*SUMIFS(Premissas!$D$5:$D$44,Premissas!$A$5:$A$44,$A3388,Premissas!$B$5:$B$44,$B3388))+R3388*SUMIFS(Premissas!$E$5:$E$44,Premissas!$A$5:$A$44,$A3388,Premissas!$B$5:$B$44,$B3388)+S3388*SUMIFS(Premissas!$F$5:$F$44,Premissas!$A$5:$A$44,$A3388,Premissas!$B$5:$B$44,$B3388)</f>
        <v/>
      </c>
      <c r="L3388" s="29">
        <f>J3388-K3388</f>
        <v/>
      </c>
      <c r="M3388" t="inlineStr">
        <is>
          <t>1.350</t>
        </is>
      </c>
      <c r="N3388" t="inlineStr">
        <is>
          <t>Modalidade: 0 - Por conta do remetente | Parte: ADILSON RAMOS DE MOURA LTDA (00.794.258/0001-07)</t>
        </is>
      </c>
      <c r="O3388" s="29" t="n">
        <v>0</v>
      </c>
      <c r="P3388" s="29" t="n">
        <v>0</v>
      </c>
      <c r="Q3388" s="29" t="n">
        <v>0</v>
      </c>
      <c r="R3388" s="29" t="n">
        <v>0</v>
      </c>
      <c r="S3388" s="29" t="n">
        <v>0</v>
      </c>
      <c r="T3388" t="inlineStr">
        <is>
          <t>25260526975620000130570010000070021001601052</t>
        </is>
      </c>
      <c r="U3388" t="inlineStr">
        <is>
          <t>Não</t>
        </is>
      </c>
    </row>
    <row r="3389">
      <c r="A3389" t="inlineStr">
        <is>
          <t>Frete de venda</t>
        </is>
      </c>
      <c r="B3389" t="inlineStr">
        <is>
          <t>2.01.02 Frete sobre Vendas</t>
        </is>
      </c>
      <c r="C3389" s="30" t="n">
        <v>46143</v>
      </c>
      <c r="D3389" t="inlineStr">
        <is>
          <t>Em 2026</t>
        </is>
      </c>
      <c r="E3389" s="28" t="n">
        <v>46149</v>
      </c>
      <c r="F3389" t="inlineStr">
        <is>
          <t>CT-e</t>
        </is>
      </c>
      <c r="G3389" t="inlineStr">
        <is>
          <t>000007003</t>
        </is>
      </c>
      <c r="H3389" t="inlineStr">
        <is>
          <t>R&amp;R TRANSPORTE E LOGISTICA</t>
        </is>
      </c>
      <c r="J3389" s="29" t="n">
        <v>75.67</v>
      </c>
      <c r="K3389" s="29">
        <f>(1-ISNUMBER(SEARCH("556",M3389)))*(O3389*SUMIFS(Premissas!$C$5:$C$44,Premissas!$A$5:$A$44,$A3389,Premissas!$B$5:$B$44,$B3389)+P3389*SUMIFS(Premissas!$D$5:$D$44,Premissas!$A$5:$A$44,$A3389,Premissas!$B$5:$B$44,$B3389))+R3389*SUMIFS(Premissas!$E$5:$E$44,Premissas!$A$5:$A$44,$A3389,Premissas!$B$5:$B$44,$B3389)+S3389*SUMIFS(Premissas!$F$5:$F$44,Premissas!$A$5:$A$44,$A3389,Premissas!$B$5:$B$44,$B3389)</f>
        <v/>
      </c>
      <c r="L3389" s="29">
        <f>J3389-K3389</f>
        <v/>
      </c>
      <c r="M3389" t="inlineStr">
        <is>
          <t>1.350</t>
        </is>
      </c>
      <c r="N3389" t="inlineStr">
        <is>
          <t>Modalidade: 0 - Por conta do remetente | Parte: ATACAREJO GALEGO LATICINIOS COMERCIO DE ALIMENTOS LTDA (31.163.107/0001-84)</t>
        </is>
      </c>
      <c r="O3389" s="29" t="n">
        <v>0</v>
      </c>
      <c r="P3389" s="29" t="n">
        <v>0</v>
      </c>
      <c r="Q3389" s="29" t="n">
        <v>0</v>
      </c>
      <c r="R3389" s="29" t="n">
        <v>0</v>
      </c>
      <c r="S3389" s="29" t="n">
        <v>0</v>
      </c>
      <c r="T3389" t="inlineStr">
        <is>
          <t>25260526975620000130570010000070031001301137</t>
        </is>
      </c>
      <c r="U3389" t="inlineStr">
        <is>
          <t>Não</t>
        </is>
      </c>
    </row>
    <row r="3390">
      <c r="A3390" t="inlineStr">
        <is>
          <t>Frete de venda</t>
        </is>
      </c>
      <c r="B3390" t="inlineStr">
        <is>
          <t>2.01.02 Frete sobre Vendas</t>
        </is>
      </c>
      <c r="C3390" s="30" t="n">
        <v>46143</v>
      </c>
      <c r="D3390" t="inlineStr">
        <is>
          <t>Em 2026</t>
        </is>
      </c>
      <c r="E3390" s="28" t="n">
        <v>46150</v>
      </c>
      <c r="F3390" t="inlineStr">
        <is>
          <t>CT-e</t>
        </is>
      </c>
      <c r="G3390" t="inlineStr">
        <is>
          <t>000007006</t>
        </is>
      </c>
      <c r="H3390" t="inlineStr">
        <is>
          <t>R&amp;R TRANSPORTE E LOGISTICA</t>
        </is>
      </c>
      <c r="J3390" s="29" t="n">
        <v>49.75</v>
      </c>
      <c r="K3390" s="29">
        <f>(1-ISNUMBER(SEARCH("556",M3390)))*(O3390*SUMIFS(Premissas!$C$5:$C$44,Premissas!$A$5:$A$44,$A3390,Premissas!$B$5:$B$44,$B3390)+P3390*SUMIFS(Premissas!$D$5:$D$44,Premissas!$A$5:$A$44,$A3390,Premissas!$B$5:$B$44,$B3390))+R3390*SUMIFS(Premissas!$E$5:$E$44,Premissas!$A$5:$A$44,$A3390,Premissas!$B$5:$B$44,$B3390)+S3390*SUMIFS(Premissas!$F$5:$F$44,Premissas!$A$5:$A$44,$A3390,Premissas!$B$5:$B$44,$B3390)</f>
        <v/>
      </c>
      <c r="L3390" s="29">
        <f>J3390-K3390</f>
        <v/>
      </c>
      <c r="M3390" t="inlineStr">
        <is>
          <t>1.350</t>
        </is>
      </c>
      <c r="N3390" t="inlineStr">
        <is>
          <t>Modalidade: 0 - Por conta do remetente | Parte: LHP PRODUTOS DE LIMPEZA E DESCARTAVEIS EM GERAL LTDA (33.533.256/0001-13)</t>
        </is>
      </c>
      <c r="O3390" s="29" t="n">
        <v>0</v>
      </c>
      <c r="P3390" s="29" t="n">
        <v>0</v>
      </c>
      <c r="Q3390" s="29" t="n">
        <v>0</v>
      </c>
      <c r="R3390" s="29" t="n">
        <v>0</v>
      </c>
      <c r="S3390" s="29" t="n">
        <v>0</v>
      </c>
      <c r="T3390" t="inlineStr">
        <is>
          <t>25260526975620000130570010000070061000190643</t>
        </is>
      </c>
      <c r="U3390" t="inlineStr">
        <is>
          <t>Não</t>
        </is>
      </c>
    </row>
    <row r="3391">
      <c r="A3391" t="inlineStr">
        <is>
          <t>Frete de venda</t>
        </is>
      </c>
      <c r="B3391" t="inlineStr">
        <is>
          <t>2.01.02 Frete sobre Vendas</t>
        </is>
      </c>
      <c r="C3391" s="30" t="n">
        <v>46143</v>
      </c>
      <c r="D3391" t="inlineStr">
        <is>
          <t>Em 2026</t>
        </is>
      </c>
      <c r="E3391" s="28" t="n">
        <v>46150</v>
      </c>
      <c r="F3391" t="inlineStr">
        <is>
          <t>CT-e</t>
        </is>
      </c>
      <c r="G3391" t="inlineStr">
        <is>
          <t>000007007</t>
        </is>
      </c>
      <c r="H3391" t="inlineStr">
        <is>
          <t>R&amp;R TRANSPORTE E LOGISTICA</t>
        </is>
      </c>
      <c r="J3391" s="29" t="n">
        <v>57.56</v>
      </c>
      <c r="K3391" s="29">
        <f>(1-ISNUMBER(SEARCH("556",M3391)))*(O3391*SUMIFS(Premissas!$C$5:$C$44,Premissas!$A$5:$A$44,$A3391,Premissas!$B$5:$B$44,$B3391)+P3391*SUMIFS(Premissas!$D$5:$D$44,Premissas!$A$5:$A$44,$A3391,Premissas!$B$5:$B$44,$B3391))+R3391*SUMIFS(Premissas!$E$5:$E$44,Premissas!$A$5:$A$44,$A3391,Premissas!$B$5:$B$44,$B3391)+S3391*SUMIFS(Premissas!$F$5:$F$44,Premissas!$A$5:$A$44,$A3391,Premissas!$B$5:$B$44,$B3391)</f>
        <v/>
      </c>
      <c r="L3391" s="29">
        <f>J3391-K3391</f>
        <v/>
      </c>
      <c r="M3391" t="inlineStr">
        <is>
          <t>1.350</t>
        </is>
      </c>
      <c r="N3391" t="inlineStr">
        <is>
          <t>Modalidade: 0 - Por conta do remetente | Parte: 48.052.469 NATALIA PINHEIRO DA SILVA (48.052.469/0001-09)</t>
        </is>
      </c>
      <c r="O3391" s="29" t="n">
        <v>0</v>
      </c>
      <c r="P3391" s="29" t="n">
        <v>0</v>
      </c>
      <c r="Q3391" s="29" t="n">
        <v>0</v>
      </c>
      <c r="R3391" s="29" t="n">
        <v>0</v>
      </c>
      <c r="S3391" s="29" t="n">
        <v>0</v>
      </c>
      <c r="T3391" t="inlineStr">
        <is>
          <t>25260526975620000130570010000070071000160725</t>
        </is>
      </c>
      <c r="U3391" t="inlineStr">
        <is>
          <t>Não</t>
        </is>
      </c>
    </row>
    <row r="3392">
      <c r="A3392" t="inlineStr">
        <is>
          <t>Frete de venda</t>
        </is>
      </c>
      <c r="B3392" t="inlineStr">
        <is>
          <t>2.01.02 Frete sobre Vendas</t>
        </is>
      </c>
      <c r="C3392" s="30" t="n">
        <v>46143</v>
      </c>
      <c r="D3392" t="inlineStr">
        <is>
          <t>Em 2026</t>
        </is>
      </c>
      <c r="E3392" s="28" t="n">
        <v>46150</v>
      </c>
      <c r="F3392" t="inlineStr">
        <is>
          <t>CT-e</t>
        </is>
      </c>
      <c r="G3392" t="inlineStr">
        <is>
          <t>000007008</t>
        </is>
      </c>
      <c r="H3392" t="inlineStr">
        <is>
          <t>R&amp;R TRANSPORTE E LOGISTICA</t>
        </is>
      </c>
      <c r="J3392" s="29" t="n">
        <v>42.18</v>
      </c>
      <c r="K3392" s="29">
        <f>(1-ISNUMBER(SEARCH("556",M3392)))*(O3392*SUMIFS(Premissas!$C$5:$C$44,Premissas!$A$5:$A$44,$A3392,Premissas!$B$5:$B$44,$B3392)+P3392*SUMIFS(Premissas!$D$5:$D$44,Premissas!$A$5:$A$44,$A3392,Premissas!$B$5:$B$44,$B3392))+R3392*SUMIFS(Premissas!$E$5:$E$44,Premissas!$A$5:$A$44,$A3392,Premissas!$B$5:$B$44,$B3392)+S3392*SUMIFS(Premissas!$F$5:$F$44,Premissas!$A$5:$A$44,$A3392,Premissas!$B$5:$B$44,$B3392)</f>
        <v/>
      </c>
      <c r="L3392" s="29">
        <f>J3392-K3392</f>
        <v/>
      </c>
      <c r="M3392" t="inlineStr">
        <is>
          <t>1.350</t>
        </is>
      </c>
      <c r="N3392" t="inlineStr">
        <is>
          <t>Modalidade: 0 - Por conta do remetente | Parte: NOVA SERRA PLAST COMERCIO DE EMBALAGENS, ALIMENTOS E UTI... (55.651.203/0001-30)</t>
        </is>
      </c>
      <c r="O3392" s="29" t="n">
        <v>0</v>
      </c>
      <c r="P3392" s="29" t="n">
        <v>0</v>
      </c>
      <c r="Q3392" s="29" t="n">
        <v>0</v>
      </c>
      <c r="R3392" s="29" t="n">
        <v>0</v>
      </c>
      <c r="S3392" s="29" t="n">
        <v>0</v>
      </c>
      <c r="T3392" t="inlineStr">
        <is>
          <t>25260526975620000130570010000070081000130807</t>
        </is>
      </c>
      <c r="U3392" t="inlineStr">
        <is>
          <t>Não</t>
        </is>
      </c>
    </row>
    <row r="3393">
      <c r="A3393" t="inlineStr">
        <is>
          <t>Frete de venda</t>
        </is>
      </c>
      <c r="B3393" t="inlineStr">
        <is>
          <t>2.01.02 Frete sobre Vendas</t>
        </is>
      </c>
      <c r="C3393" s="30" t="n">
        <v>46143</v>
      </c>
      <c r="D3393" t="inlineStr">
        <is>
          <t>Em 2026</t>
        </is>
      </c>
      <c r="E3393" s="28" t="n">
        <v>46150</v>
      </c>
      <c r="F3393" t="inlineStr">
        <is>
          <t>CT-e</t>
        </is>
      </c>
      <c r="G3393" t="inlineStr">
        <is>
          <t>000007009</t>
        </is>
      </c>
      <c r="H3393" t="inlineStr">
        <is>
          <t>R&amp;R TRANSPORTE E LOGISTICA</t>
        </is>
      </c>
      <c r="J3393" s="29" t="n">
        <v>42.83</v>
      </c>
      <c r="K3393" s="29">
        <f>(1-ISNUMBER(SEARCH("556",M3393)))*(O3393*SUMIFS(Premissas!$C$5:$C$44,Premissas!$A$5:$A$44,$A3393,Premissas!$B$5:$B$44,$B3393)+P3393*SUMIFS(Premissas!$D$5:$D$44,Premissas!$A$5:$A$44,$A3393,Premissas!$B$5:$B$44,$B3393))+R3393*SUMIFS(Premissas!$E$5:$E$44,Premissas!$A$5:$A$44,$A3393,Premissas!$B$5:$B$44,$B3393)+S3393*SUMIFS(Premissas!$F$5:$F$44,Premissas!$A$5:$A$44,$A3393,Premissas!$B$5:$B$44,$B3393)</f>
        <v/>
      </c>
      <c r="L3393" s="29">
        <f>J3393-K3393</f>
        <v/>
      </c>
      <c r="M3393" t="inlineStr">
        <is>
          <t>1.350</t>
        </is>
      </c>
      <c r="N3393" t="inlineStr">
        <is>
          <t>Modalidade: 0 - Por conta do remetente | Parte: RJ DISTRIBUIDORA DE PRODUTOS ALIMENTICIOS LTDA (39.531.876/0001-08)</t>
        </is>
      </c>
      <c r="O3393" s="29" t="n">
        <v>0</v>
      </c>
      <c r="P3393" s="29" t="n">
        <v>0</v>
      </c>
      <c r="Q3393" s="29" t="n">
        <v>0</v>
      </c>
      <c r="R3393" s="29" t="n">
        <v>0</v>
      </c>
      <c r="S3393" s="29" t="n">
        <v>0</v>
      </c>
      <c r="T3393" t="inlineStr">
        <is>
          <t>25260526975620000130570010000070091000010884</t>
        </is>
      </c>
      <c r="U3393" t="inlineStr">
        <is>
          <t>Não</t>
        </is>
      </c>
    </row>
    <row r="3394">
      <c r="A3394" t="inlineStr">
        <is>
          <t>Frete de venda</t>
        </is>
      </c>
      <c r="B3394" t="inlineStr">
        <is>
          <t>2.01.02 Frete sobre Vendas</t>
        </is>
      </c>
      <c r="C3394" s="30" t="n">
        <v>46143</v>
      </c>
      <c r="D3394" t="inlineStr">
        <is>
          <t>Em 2026</t>
        </is>
      </c>
      <c r="E3394" s="28" t="n">
        <v>46150</v>
      </c>
      <c r="F3394" t="inlineStr">
        <is>
          <t>CT-e</t>
        </is>
      </c>
      <c r="G3394" t="inlineStr">
        <is>
          <t>000007010</t>
        </is>
      </c>
      <c r="H3394" t="inlineStr">
        <is>
          <t>R&amp;R TRANSPORTE E LOGISTICA</t>
        </is>
      </c>
      <c r="J3394" s="29" t="n">
        <v>60.08</v>
      </c>
      <c r="K3394" s="29">
        <f>(1-ISNUMBER(SEARCH("556",M3394)))*(O3394*SUMIFS(Premissas!$C$5:$C$44,Premissas!$A$5:$A$44,$A3394,Premissas!$B$5:$B$44,$B3394)+P3394*SUMIFS(Premissas!$D$5:$D$44,Premissas!$A$5:$A$44,$A3394,Premissas!$B$5:$B$44,$B3394))+R3394*SUMIFS(Premissas!$E$5:$E$44,Premissas!$A$5:$A$44,$A3394,Premissas!$B$5:$B$44,$B3394)+S3394*SUMIFS(Premissas!$F$5:$F$44,Premissas!$A$5:$A$44,$A3394,Premissas!$B$5:$B$44,$B3394)</f>
        <v/>
      </c>
      <c r="L3394" s="29">
        <f>J3394-K3394</f>
        <v/>
      </c>
      <c r="M3394" t="inlineStr">
        <is>
          <t>1.350</t>
        </is>
      </c>
      <c r="N3394" t="inlineStr">
        <is>
          <t>Modalidade: 0 - Por conta do remetente | Parte: FRONTEIRA EMBALAGENS LTDA (47.115.817/0001-79)</t>
        </is>
      </c>
      <c r="O3394" s="29" t="n">
        <v>0</v>
      </c>
      <c r="P3394" s="29" t="n">
        <v>0</v>
      </c>
      <c r="Q3394" s="29" t="n">
        <v>0</v>
      </c>
      <c r="R3394" s="29" t="n">
        <v>0</v>
      </c>
      <c r="S3394" s="29" t="n">
        <v>0</v>
      </c>
      <c r="T3394" t="inlineStr">
        <is>
          <t>25260526975620000130570010000070101000180969</t>
        </is>
      </c>
      <c r="U3394" t="inlineStr">
        <is>
          <t>Não</t>
        </is>
      </c>
    </row>
    <row r="3395">
      <c r="A3395" t="inlineStr">
        <is>
          <t>Frete de venda</t>
        </is>
      </c>
      <c r="B3395" t="inlineStr">
        <is>
          <t>2.01.02 Frete sobre Vendas</t>
        </is>
      </c>
      <c r="C3395" s="30" t="n">
        <v>46143</v>
      </c>
      <c r="D3395" t="inlineStr">
        <is>
          <t>Em 2026</t>
        </is>
      </c>
      <c r="E3395" s="28" t="n">
        <v>46150</v>
      </c>
      <c r="F3395" t="inlineStr">
        <is>
          <t>CT-e</t>
        </is>
      </c>
      <c r="G3395" t="inlineStr">
        <is>
          <t>000007011</t>
        </is>
      </c>
      <c r="H3395" t="inlineStr">
        <is>
          <t>R&amp;R TRANSPORTE E LOGISTICA</t>
        </is>
      </c>
      <c r="J3395" s="29" t="n">
        <v>41.45</v>
      </c>
      <c r="K3395" s="29">
        <f>(1-ISNUMBER(SEARCH("556",M3395)))*(O3395*SUMIFS(Premissas!$C$5:$C$44,Premissas!$A$5:$A$44,$A3395,Premissas!$B$5:$B$44,$B3395)+P3395*SUMIFS(Premissas!$D$5:$D$44,Premissas!$A$5:$A$44,$A3395,Premissas!$B$5:$B$44,$B3395))+R3395*SUMIFS(Premissas!$E$5:$E$44,Premissas!$A$5:$A$44,$A3395,Premissas!$B$5:$B$44,$B3395)+S3395*SUMIFS(Premissas!$F$5:$F$44,Premissas!$A$5:$A$44,$A3395,Premissas!$B$5:$B$44,$B3395)</f>
        <v/>
      </c>
      <c r="L3395" s="29">
        <f>J3395-K3395</f>
        <v/>
      </c>
      <c r="M3395" t="inlineStr">
        <is>
          <t>1.350</t>
        </is>
      </c>
      <c r="N3395" t="inlineStr">
        <is>
          <t>Modalidade: 0 - Por conta do remetente | Parte: NAT'SPEL COMERCIO DE PAPEIS E PLASTICOS LTDA (39.499.686/0001-42)</t>
        </is>
      </c>
      <c r="O3395" s="29" t="n">
        <v>0</v>
      </c>
      <c r="P3395" s="29" t="n">
        <v>0</v>
      </c>
      <c r="Q3395" s="29" t="n">
        <v>0</v>
      </c>
      <c r="R3395" s="29" t="n">
        <v>0</v>
      </c>
      <c r="S3395" s="29" t="n">
        <v>0</v>
      </c>
      <c r="T3395" t="inlineStr">
        <is>
          <t>25260526975620000130570010000070111001501049</t>
        </is>
      </c>
      <c r="U3395" t="inlineStr">
        <is>
          <t>Não</t>
        </is>
      </c>
    </row>
    <row r="3396">
      <c r="A3396" t="inlineStr">
        <is>
          <t>Frete de venda</t>
        </is>
      </c>
      <c r="B3396" t="inlineStr">
        <is>
          <t>2.01.02 Frete sobre Vendas</t>
        </is>
      </c>
      <c r="C3396" s="30" t="n">
        <v>46143</v>
      </c>
      <c r="D3396" t="inlineStr">
        <is>
          <t>Em 2026</t>
        </is>
      </c>
      <c r="E3396" s="28" t="n">
        <v>46150</v>
      </c>
      <c r="F3396" t="inlineStr">
        <is>
          <t>CT-e</t>
        </is>
      </c>
      <c r="G3396" t="inlineStr">
        <is>
          <t>000007012</t>
        </is>
      </c>
      <c r="H3396" t="inlineStr">
        <is>
          <t>R&amp;R TRANSPORTE E LOGISTICA</t>
        </is>
      </c>
      <c r="J3396" s="29" t="n">
        <v>42.8</v>
      </c>
      <c r="K3396" s="29">
        <f>(1-ISNUMBER(SEARCH("556",M3396)))*(O3396*SUMIFS(Premissas!$C$5:$C$44,Premissas!$A$5:$A$44,$A3396,Premissas!$B$5:$B$44,$B3396)+P3396*SUMIFS(Premissas!$D$5:$D$44,Premissas!$A$5:$A$44,$A3396,Premissas!$B$5:$B$44,$B3396))+R3396*SUMIFS(Premissas!$E$5:$E$44,Premissas!$A$5:$A$44,$A3396,Premissas!$B$5:$B$44,$B3396)+S3396*SUMIFS(Premissas!$F$5:$F$44,Premissas!$A$5:$A$44,$A3396,Premissas!$B$5:$B$44,$B3396)</f>
        <v/>
      </c>
      <c r="L3396" s="29">
        <f>J3396-K3396</f>
        <v/>
      </c>
      <c r="M3396" t="inlineStr">
        <is>
          <t>1.350</t>
        </is>
      </c>
      <c r="N3396" t="inlineStr">
        <is>
          <t>Modalidade: 0 - Por conta do remetente | Parte: ATACADAO DA BAIXADA LTDA (22.815.381/0001-08)</t>
        </is>
      </c>
      <c r="O3396" s="29" t="n">
        <v>0</v>
      </c>
      <c r="P3396" s="29" t="n">
        <v>0</v>
      </c>
      <c r="Q3396" s="29" t="n">
        <v>0</v>
      </c>
      <c r="R3396" s="29" t="n">
        <v>0</v>
      </c>
      <c r="S3396" s="29" t="n">
        <v>0</v>
      </c>
      <c r="T3396" t="inlineStr">
        <is>
          <t>25260526975620000130570010000070121001201123</t>
        </is>
      </c>
      <c r="U3396" t="inlineStr">
        <is>
          <t>Não</t>
        </is>
      </c>
    </row>
    <row r="3397">
      <c r="A3397" t="inlineStr">
        <is>
          <t>Frete de venda</t>
        </is>
      </c>
      <c r="B3397" t="inlineStr">
        <is>
          <t>2.01.02 Frete sobre Vendas</t>
        </is>
      </c>
      <c r="C3397" s="30" t="n">
        <v>46143</v>
      </c>
      <c r="D3397" t="inlineStr">
        <is>
          <t>Em 2026</t>
        </is>
      </c>
      <c r="E3397" s="28" t="n">
        <v>46151</v>
      </c>
      <c r="F3397" t="inlineStr">
        <is>
          <t>CT-e</t>
        </is>
      </c>
      <c r="G3397" t="inlineStr">
        <is>
          <t>000007016</t>
        </is>
      </c>
      <c r="H3397" t="inlineStr">
        <is>
          <t>R&amp;R TRANSPORTE E LOGISTICA</t>
        </is>
      </c>
      <c r="J3397" s="29" t="n">
        <v>50.31</v>
      </c>
      <c r="K3397" s="29">
        <f>(1-ISNUMBER(SEARCH("556",M3397)))*(O3397*SUMIFS(Premissas!$C$5:$C$44,Premissas!$A$5:$A$44,$A3397,Premissas!$B$5:$B$44,$B3397)+P3397*SUMIFS(Premissas!$D$5:$D$44,Premissas!$A$5:$A$44,$A3397,Premissas!$B$5:$B$44,$B3397))+R3397*SUMIFS(Premissas!$E$5:$E$44,Premissas!$A$5:$A$44,$A3397,Premissas!$B$5:$B$44,$B3397)+S3397*SUMIFS(Premissas!$F$5:$F$44,Premissas!$A$5:$A$44,$A3397,Premissas!$B$5:$B$44,$B3397)</f>
        <v/>
      </c>
      <c r="L3397" s="29">
        <f>J3397-K3397</f>
        <v/>
      </c>
      <c r="M3397" t="inlineStr">
        <is>
          <t>1.350</t>
        </is>
      </c>
      <c r="N3397" t="inlineStr">
        <is>
          <t>Modalidade: 0 - Por conta do remetente | Parte: LEPETTI DOCES BSB LTDA (27.023.179/0001-59)</t>
        </is>
      </c>
      <c r="O3397" s="29" t="n">
        <v>0</v>
      </c>
      <c r="P3397" s="29" t="n">
        <v>0</v>
      </c>
      <c r="Q3397" s="29" t="n">
        <v>0</v>
      </c>
      <c r="R3397" s="29" t="n">
        <v>0</v>
      </c>
      <c r="S3397" s="29" t="n">
        <v>0</v>
      </c>
      <c r="T3397" t="inlineStr">
        <is>
          <t>25260526975620000130570010000070161001301356</t>
        </is>
      </c>
      <c r="U3397" t="inlineStr">
        <is>
          <t>Não</t>
        </is>
      </c>
    </row>
    <row r="3398">
      <c r="A3398" t="inlineStr">
        <is>
          <t>Frete de venda</t>
        </is>
      </c>
      <c r="B3398" t="inlineStr">
        <is>
          <t>2.01.02 Frete sobre Vendas</t>
        </is>
      </c>
      <c r="C3398" s="30" t="n">
        <v>46143</v>
      </c>
      <c r="D3398" t="inlineStr">
        <is>
          <t>Em 2026</t>
        </is>
      </c>
      <c r="E3398" s="28" t="n">
        <v>46151</v>
      </c>
      <c r="F3398" t="inlineStr">
        <is>
          <t>CT-e</t>
        </is>
      </c>
      <c r="G3398" t="inlineStr">
        <is>
          <t>000007017</t>
        </is>
      </c>
      <c r="H3398" t="inlineStr">
        <is>
          <t>R&amp;R TRANSPORTE E LOGISTICA</t>
        </is>
      </c>
      <c r="J3398" s="29" t="n">
        <v>64.86</v>
      </c>
      <c r="K3398" s="29">
        <f>(1-ISNUMBER(SEARCH("556",M3398)))*(O3398*SUMIFS(Premissas!$C$5:$C$44,Premissas!$A$5:$A$44,$A3398,Premissas!$B$5:$B$44,$B3398)+P3398*SUMIFS(Premissas!$D$5:$D$44,Premissas!$A$5:$A$44,$A3398,Premissas!$B$5:$B$44,$B3398))+R3398*SUMIFS(Premissas!$E$5:$E$44,Premissas!$A$5:$A$44,$A3398,Premissas!$B$5:$B$44,$B3398)+S3398*SUMIFS(Premissas!$F$5:$F$44,Premissas!$A$5:$A$44,$A3398,Premissas!$B$5:$B$44,$B3398)</f>
        <v/>
      </c>
      <c r="L3398" s="29">
        <f>J3398-K3398</f>
        <v/>
      </c>
      <c r="M3398" t="inlineStr">
        <is>
          <t>1.350</t>
        </is>
      </c>
      <c r="N3398" t="inlineStr">
        <is>
          <t>Modalidade: 0 - Por conta do remetente | Parte: TYGER ATACADISTA E DISTRIBUIDORA LTDA (36.978.497/0001-64)</t>
        </is>
      </c>
      <c r="O3398" s="29" t="n">
        <v>0</v>
      </c>
      <c r="P3398" s="29" t="n">
        <v>0</v>
      </c>
      <c r="Q3398" s="29" t="n">
        <v>0</v>
      </c>
      <c r="R3398" s="29" t="n">
        <v>0</v>
      </c>
      <c r="S3398" s="29" t="n">
        <v>0</v>
      </c>
      <c r="T3398" t="inlineStr">
        <is>
          <t>25260526975620000130570010000070171000140704</t>
        </is>
      </c>
      <c r="U3398" t="inlineStr">
        <is>
          <t>Não</t>
        </is>
      </c>
    </row>
    <row r="3399">
      <c r="A3399" t="inlineStr">
        <is>
          <t>Frete de venda</t>
        </is>
      </c>
      <c r="B3399" t="inlineStr">
        <is>
          <t>2.01.02 Frete sobre Vendas</t>
        </is>
      </c>
      <c r="C3399" s="30" t="n">
        <v>46143</v>
      </c>
      <c r="D3399" t="inlineStr">
        <is>
          <t>Em 2026</t>
        </is>
      </c>
      <c r="E3399" s="28" t="n">
        <v>46151</v>
      </c>
      <c r="F3399" t="inlineStr">
        <is>
          <t>CT-e</t>
        </is>
      </c>
      <c r="G3399" t="inlineStr">
        <is>
          <t>000007018</t>
        </is>
      </c>
      <c r="H3399" t="inlineStr">
        <is>
          <t>R&amp;R TRANSPORTE E LOGISTICA</t>
        </is>
      </c>
      <c r="J3399" s="29" t="n">
        <v>26.84</v>
      </c>
      <c r="K3399" s="29">
        <f>(1-ISNUMBER(SEARCH("556",M3399)))*(O3399*SUMIFS(Premissas!$C$5:$C$44,Premissas!$A$5:$A$44,$A3399,Premissas!$B$5:$B$44,$B3399)+P3399*SUMIFS(Premissas!$D$5:$D$44,Premissas!$A$5:$A$44,$A3399,Premissas!$B$5:$B$44,$B3399))+R3399*SUMIFS(Premissas!$E$5:$E$44,Premissas!$A$5:$A$44,$A3399,Premissas!$B$5:$B$44,$B3399)+S3399*SUMIFS(Premissas!$F$5:$F$44,Premissas!$A$5:$A$44,$A3399,Premissas!$B$5:$B$44,$B3399)</f>
        <v/>
      </c>
      <c r="L3399" s="29">
        <f>J3399-K3399</f>
        <v/>
      </c>
      <c r="M3399" t="inlineStr">
        <is>
          <t>1.350</t>
        </is>
      </c>
      <c r="N3399" t="inlineStr">
        <is>
          <t>Modalidade: 0 - Por conta do remetente | Parte: SERGIO MARQUES DO VALE LTDA (17.851.439/0001-20)</t>
        </is>
      </c>
      <c r="O3399" s="29" t="n">
        <v>0</v>
      </c>
      <c r="P3399" s="29" t="n">
        <v>0</v>
      </c>
      <c r="Q3399" s="29" t="n">
        <v>0</v>
      </c>
      <c r="R3399" s="29" t="n">
        <v>0</v>
      </c>
      <c r="S3399" s="29" t="n">
        <v>0</v>
      </c>
      <c r="T3399" t="inlineStr">
        <is>
          <t>25260526975620000130570010000070181000110780</t>
        </is>
      </c>
      <c r="U3399" t="inlineStr">
        <is>
          <t>Não</t>
        </is>
      </c>
    </row>
    <row r="3400">
      <c r="A3400" t="inlineStr">
        <is>
          <t>Frete de venda</t>
        </is>
      </c>
      <c r="B3400" t="inlineStr">
        <is>
          <t>2.01.02 Frete sobre Vendas</t>
        </is>
      </c>
      <c r="C3400" s="30" t="n">
        <v>46143</v>
      </c>
      <c r="D3400" t="inlineStr">
        <is>
          <t>Em 2026</t>
        </is>
      </c>
      <c r="E3400" s="28" t="n">
        <v>46151</v>
      </c>
      <c r="F3400" t="inlineStr">
        <is>
          <t>CT-e</t>
        </is>
      </c>
      <c r="G3400" t="inlineStr">
        <is>
          <t>000007019</t>
        </is>
      </c>
      <c r="H3400" t="inlineStr">
        <is>
          <t>R&amp;R TRANSPORTE E LOGISTICA</t>
        </is>
      </c>
      <c r="J3400" s="29" t="n">
        <v>16.68</v>
      </c>
      <c r="K3400" s="29">
        <f>(1-ISNUMBER(SEARCH("556",M3400)))*(O3400*SUMIFS(Premissas!$C$5:$C$44,Premissas!$A$5:$A$44,$A3400,Premissas!$B$5:$B$44,$B3400)+P3400*SUMIFS(Premissas!$D$5:$D$44,Premissas!$A$5:$A$44,$A3400,Premissas!$B$5:$B$44,$B3400))+R3400*SUMIFS(Premissas!$E$5:$E$44,Premissas!$A$5:$A$44,$A3400,Premissas!$B$5:$B$44,$B3400)+S3400*SUMIFS(Premissas!$F$5:$F$44,Premissas!$A$5:$A$44,$A3400,Premissas!$B$5:$B$44,$B3400)</f>
        <v/>
      </c>
      <c r="L3400" s="29">
        <f>J3400-K3400</f>
        <v/>
      </c>
      <c r="M3400" t="inlineStr">
        <is>
          <t>1.350</t>
        </is>
      </c>
      <c r="N3400" t="inlineStr">
        <is>
          <t>Modalidade: 0 - Por conta do remetente | Parte: EDSON G DE CARVALHO COMERCIAL DE ALIMENTOS (22.027.295/0001-22)</t>
        </is>
      </c>
      <c r="O3400" s="29" t="n">
        <v>0</v>
      </c>
      <c r="P3400" s="29" t="n">
        <v>0</v>
      </c>
      <c r="Q3400" s="29" t="n">
        <v>0</v>
      </c>
      <c r="R3400" s="29" t="n">
        <v>0</v>
      </c>
      <c r="S3400" s="29" t="n">
        <v>0</v>
      </c>
      <c r="T3400" t="inlineStr">
        <is>
          <t>25260526975620000130570010000070191000190862</t>
        </is>
      </c>
      <c r="U3400" t="inlineStr">
        <is>
          <t>Não</t>
        </is>
      </c>
    </row>
    <row r="3401">
      <c r="A3401" t="inlineStr">
        <is>
          <t>Frete de venda</t>
        </is>
      </c>
      <c r="B3401" t="inlineStr">
        <is>
          <t>2.01.02 Frete sobre Vendas</t>
        </is>
      </c>
      <c r="C3401" s="30" t="n">
        <v>46143</v>
      </c>
      <c r="D3401" t="inlineStr">
        <is>
          <t>Em 2026</t>
        </is>
      </c>
      <c r="E3401" s="28" t="n">
        <v>46151</v>
      </c>
      <c r="F3401" t="inlineStr">
        <is>
          <t>CT-e</t>
        </is>
      </c>
      <c r="G3401" t="inlineStr">
        <is>
          <t>000007020</t>
        </is>
      </c>
      <c r="H3401" t="inlineStr">
        <is>
          <t>R&amp;R TRANSPORTE E LOGISTICA</t>
        </is>
      </c>
      <c r="J3401" s="29" t="n">
        <v>18.04</v>
      </c>
      <c r="K3401" s="29">
        <f>(1-ISNUMBER(SEARCH("556",M3401)))*(O3401*SUMIFS(Premissas!$C$5:$C$44,Premissas!$A$5:$A$44,$A3401,Premissas!$B$5:$B$44,$B3401)+P3401*SUMIFS(Premissas!$D$5:$D$44,Premissas!$A$5:$A$44,$A3401,Premissas!$B$5:$B$44,$B3401))+R3401*SUMIFS(Premissas!$E$5:$E$44,Premissas!$A$5:$A$44,$A3401,Premissas!$B$5:$B$44,$B3401)+S3401*SUMIFS(Premissas!$F$5:$F$44,Premissas!$A$5:$A$44,$A3401,Premissas!$B$5:$B$44,$B3401)</f>
        <v/>
      </c>
      <c r="L3401" s="29">
        <f>J3401-K3401</f>
        <v/>
      </c>
      <c r="M3401" t="inlineStr">
        <is>
          <t>1.350</t>
        </is>
      </c>
      <c r="N3401" t="inlineStr">
        <is>
          <t>Modalidade: 0 - Por conta do remetente | Parte: PETYPETA COMERCIO ATACADISTA E VAREJISTA DE PRODUTOS ALIMENT (03.667.049/0001-90)</t>
        </is>
      </c>
      <c r="O3401" s="29" t="n">
        <v>0</v>
      </c>
      <c r="P3401" s="29" t="n">
        <v>0</v>
      </c>
      <c r="Q3401" s="29" t="n">
        <v>0</v>
      </c>
      <c r="R3401" s="29" t="n">
        <v>0</v>
      </c>
      <c r="S3401" s="29" t="n">
        <v>0</v>
      </c>
      <c r="T3401" t="inlineStr">
        <is>
          <t>25260526975620000130570010000070201000160948</t>
        </is>
      </c>
      <c r="U3401" t="inlineStr">
        <is>
          <t>Não</t>
        </is>
      </c>
    </row>
    <row r="3402">
      <c r="A3402" t="inlineStr">
        <is>
          <t>Frete de venda</t>
        </is>
      </c>
      <c r="B3402" t="inlineStr">
        <is>
          <t>2.01.02 Frete sobre Vendas</t>
        </is>
      </c>
      <c r="C3402" s="30" t="n">
        <v>46143</v>
      </c>
      <c r="D3402" t="inlineStr">
        <is>
          <t>Em 2026</t>
        </is>
      </c>
      <c r="E3402" s="28" t="n">
        <v>46151</v>
      </c>
      <c r="F3402" t="inlineStr">
        <is>
          <t>CT-e</t>
        </is>
      </c>
      <c r="G3402" t="inlineStr">
        <is>
          <t>000007021</t>
        </is>
      </c>
      <c r="H3402" t="inlineStr">
        <is>
          <t>R&amp;R TRANSPORTE E LOGISTICA</t>
        </is>
      </c>
      <c r="J3402" s="29" t="n">
        <v>19.79</v>
      </c>
      <c r="K3402" s="29">
        <f>(1-ISNUMBER(SEARCH("556",M3402)))*(O3402*SUMIFS(Premissas!$C$5:$C$44,Premissas!$A$5:$A$44,$A3402,Premissas!$B$5:$B$44,$B3402)+P3402*SUMIFS(Premissas!$D$5:$D$44,Premissas!$A$5:$A$44,$A3402,Premissas!$B$5:$B$44,$B3402))+R3402*SUMIFS(Premissas!$E$5:$E$44,Premissas!$A$5:$A$44,$A3402,Premissas!$B$5:$B$44,$B3402)+S3402*SUMIFS(Premissas!$F$5:$F$44,Premissas!$A$5:$A$44,$A3402,Premissas!$B$5:$B$44,$B3402)</f>
        <v/>
      </c>
      <c r="L3402" s="29">
        <f>J3402-K3402</f>
        <v/>
      </c>
      <c r="M3402" t="inlineStr">
        <is>
          <t>1.350</t>
        </is>
      </c>
      <c r="N3402" t="inlineStr">
        <is>
          <t>Modalidade: 0 - Por conta do remetente | Parte: ROSILEIDE DE SOUZA ALVES MRM FRIOS (29.921.695/0001-26)</t>
        </is>
      </c>
      <c r="O3402" s="29" t="n">
        <v>0</v>
      </c>
      <c r="P3402" s="29" t="n">
        <v>0</v>
      </c>
      <c r="Q3402" s="29" t="n">
        <v>0</v>
      </c>
      <c r="R3402" s="29" t="n">
        <v>0</v>
      </c>
      <c r="S3402" s="29" t="n">
        <v>0</v>
      </c>
      <c r="T3402" t="inlineStr">
        <is>
          <t>25260526975620000130570010000070211001301020</t>
        </is>
      </c>
      <c r="U3402" t="inlineStr">
        <is>
          <t>Não</t>
        </is>
      </c>
    </row>
    <row r="3403">
      <c r="A3403" t="inlineStr">
        <is>
          <t>Frete de venda</t>
        </is>
      </c>
      <c r="B3403" t="inlineStr">
        <is>
          <t>2.01.02 Frete sobre Vendas</t>
        </is>
      </c>
      <c r="C3403" s="30" t="n">
        <v>46143</v>
      </c>
      <c r="D3403" t="inlineStr">
        <is>
          <t>Em 2026</t>
        </is>
      </c>
      <c r="E3403" s="28" t="n">
        <v>46151</v>
      </c>
      <c r="F3403" t="inlineStr">
        <is>
          <t>CT-e</t>
        </is>
      </c>
      <c r="G3403" t="inlineStr">
        <is>
          <t>000007022</t>
        </is>
      </c>
      <c r="H3403" t="inlineStr">
        <is>
          <t>R&amp;R TRANSPORTE E LOGISTICA</t>
        </is>
      </c>
      <c r="J3403" s="29" t="n">
        <v>17</v>
      </c>
      <c r="K3403" s="29">
        <f>(1-ISNUMBER(SEARCH("556",M3403)))*(O3403*SUMIFS(Premissas!$C$5:$C$44,Premissas!$A$5:$A$44,$A3403,Premissas!$B$5:$B$44,$B3403)+P3403*SUMIFS(Premissas!$D$5:$D$44,Premissas!$A$5:$A$44,$A3403,Premissas!$B$5:$B$44,$B3403))+R3403*SUMIFS(Premissas!$E$5:$E$44,Premissas!$A$5:$A$44,$A3403,Premissas!$B$5:$B$44,$B3403)+S3403*SUMIFS(Premissas!$F$5:$F$44,Premissas!$A$5:$A$44,$A3403,Premissas!$B$5:$B$44,$B3403)</f>
        <v/>
      </c>
      <c r="L3403" s="29">
        <f>J3403-K3403</f>
        <v/>
      </c>
      <c r="M3403" t="inlineStr">
        <is>
          <t>1.350</t>
        </is>
      </c>
      <c r="N3403" t="inlineStr">
        <is>
          <t>Modalidade: 0 - Por conta do remetente | Parte: COMERCIO DE DOCES E FESTAS MIAMI LTDA (28.551.610/0001-00)</t>
        </is>
      </c>
      <c r="O3403" s="29" t="n">
        <v>0</v>
      </c>
      <c r="P3403" s="29" t="n">
        <v>0</v>
      </c>
      <c r="Q3403" s="29" t="n">
        <v>0</v>
      </c>
      <c r="R3403" s="29" t="n">
        <v>0</v>
      </c>
      <c r="S3403" s="29" t="n">
        <v>0</v>
      </c>
      <c r="T3403" t="inlineStr">
        <is>
          <t>25260526975620000130570010000070221000101105</t>
        </is>
      </c>
      <c r="U3403" t="inlineStr">
        <is>
          <t>Não</t>
        </is>
      </c>
    </row>
    <row r="3404">
      <c r="A3404" t="inlineStr">
        <is>
          <t>Frete de venda</t>
        </is>
      </c>
      <c r="B3404" t="inlineStr">
        <is>
          <t>2.01.02 Frete sobre Vendas</t>
        </is>
      </c>
      <c r="C3404" s="30" t="n">
        <v>46143</v>
      </c>
      <c r="D3404" t="inlineStr">
        <is>
          <t>Em 2026</t>
        </is>
      </c>
      <c r="E3404" s="28" t="n">
        <v>46151</v>
      </c>
      <c r="F3404" t="inlineStr">
        <is>
          <t>CT-e</t>
        </is>
      </c>
      <c r="G3404" t="inlineStr">
        <is>
          <t>000007023</t>
        </is>
      </c>
      <c r="H3404" t="inlineStr">
        <is>
          <t>R&amp;R TRANSPORTE E LOGISTICA</t>
        </is>
      </c>
      <c r="J3404" s="29" t="n">
        <v>30.7</v>
      </c>
      <c r="K3404" s="29">
        <f>(1-ISNUMBER(SEARCH("556",M3404)))*(O3404*SUMIFS(Premissas!$C$5:$C$44,Premissas!$A$5:$A$44,$A3404,Premissas!$B$5:$B$44,$B3404)+P3404*SUMIFS(Premissas!$D$5:$D$44,Premissas!$A$5:$A$44,$A3404,Premissas!$B$5:$B$44,$B3404))+R3404*SUMIFS(Premissas!$E$5:$E$44,Premissas!$A$5:$A$44,$A3404,Premissas!$B$5:$B$44,$B3404)+S3404*SUMIFS(Premissas!$F$5:$F$44,Premissas!$A$5:$A$44,$A3404,Premissas!$B$5:$B$44,$B3404)</f>
        <v/>
      </c>
      <c r="L3404" s="29">
        <f>J3404-K3404</f>
        <v/>
      </c>
      <c r="M3404" t="inlineStr">
        <is>
          <t>1.350</t>
        </is>
      </c>
      <c r="N3404" t="inlineStr">
        <is>
          <t>Modalidade: 0 - Por conta do remetente | Parte: COMERCIAL DE DOCES E BEBIDAS CENTRAL LTDA (02.830.640/0001-54)</t>
        </is>
      </c>
      <c r="O3404" s="29" t="n">
        <v>0</v>
      </c>
      <c r="P3404" s="29" t="n">
        <v>0</v>
      </c>
      <c r="Q3404" s="29" t="n">
        <v>0</v>
      </c>
      <c r="R3404" s="29" t="n">
        <v>0</v>
      </c>
      <c r="S3404" s="29" t="n">
        <v>0</v>
      </c>
      <c r="T3404" t="inlineStr">
        <is>
          <t>25260526975620000130570010000070231001801183</t>
        </is>
      </c>
      <c r="U3404" t="inlineStr">
        <is>
          <t>Não</t>
        </is>
      </c>
    </row>
    <row r="3405">
      <c r="A3405" t="inlineStr">
        <is>
          <t>Frete de venda</t>
        </is>
      </c>
      <c r="B3405" t="inlineStr">
        <is>
          <t>2.01.02 Frete sobre Vendas</t>
        </is>
      </c>
      <c r="C3405" s="30" t="n">
        <v>46143</v>
      </c>
      <c r="D3405" t="inlineStr">
        <is>
          <t>Em 2026</t>
        </is>
      </c>
      <c r="E3405" s="28" t="n">
        <v>46151</v>
      </c>
      <c r="F3405" t="inlineStr">
        <is>
          <t>CT-e</t>
        </is>
      </c>
      <c r="G3405" t="inlineStr">
        <is>
          <t>000007024</t>
        </is>
      </c>
      <c r="H3405" t="inlineStr">
        <is>
          <t>R&amp;R TRANSPORTE E LOGISTICA</t>
        </is>
      </c>
      <c r="J3405" s="29" t="n">
        <v>22.65</v>
      </c>
      <c r="K3405" s="29">
        <f>(1-ISNUMBER(SEARCH("556",M3405)))*(O3405*SUMIFS(Premissas!$C$5:$C$44,Premissas!$A$5:$A$44,$A3405,Premissas!$B$5:$B$44,$B3405)+P3405*SUMIFS(Premissas!$D$5:$D$44,Premissas!$A$5:$A$44,$A3405,Premissas!$B$5:$B$44,$B3405))+R3405*SUMIFS(Premissas!$E$5:$E$44,Premissas!$A$5:$A$44,$A3405,Premissas!$B$5:$B$44,$B3405)+S3405*SUMIFS(Premissas!$F$5:$F$44,Premissas!$A$5:$A$44,$A3405,Premissas!$B$5:$B$44,$B3405)</f>
        <v/>
      </c>
      <c r="L3405" s="29">
        <f>J3405-K3405</f>
        <v/>
      </c>
      <c r="M3405" t="inlineStr">
        <is>
          <t>1.350</t>
        </is>
      </c>
      <c r="N3405" t="inlineStr">
        <is>
          <t>Modalidade: 0 - Por conta do remetente | Parte: COMERCIAL 510 SUL LTDA (54.694.269/0001-44)</t>
        </is>
      </c>
      <c r="O3405" s="29" t="n">
        <v>0</v>
      </c>
      <c r="P3405" s="29" t="n">
        <v>0</v>
      </c>
      <c r="Q3405" s="29" t="n">
        <v>0</v>
      </c>
      <c r="R3405" s="29" t="n">
        <v>0</v>
      </c>
      <c r="S3405" s="29" t="n">
        <v>0</v>
      </c>
      <c r="T3405" t="inlineStr">
        <is>
          <t>25260526975620000130570010000070241001501268</t>
        </is>
      </c>
      <c r="U3405" t="inlineStr">
        <is>
          <t>Não</t>
        </is>
      </c>
    </row>
    <row r="3406">
      <c r="A3406" t="inlineStr">
        <is>
          <t>Frete de venda</t>
        </is>
      </c>
      <c r="B3406" t="inlineStr">
        <is>
          <t>2.01.02 Frete sobre Vendas</t>
        </is>
      </c>
      <c r="C3406" s="30" t="n">
        <v>46143</v>
      </c>
      <c r="D3406" t="inlineStr">
        <is>
          <t>Em 2026</t>
        </is>
      </c>
      <c r="E3406" s="28" t="n">
        <v>46151</v>
      </c>
      <c r="F3406" t="inlineStr">
        <is>
          <t>CT-e</t>
        </is>
      </c>
      <c r="G3406" t="inlineStr">
        <is>
          <t>000007025</t>
        </is>
      </c>
      <c r="H3406" t="inlineStr">
        <is>
          <t>R&amp;R TRANSPORTE E LOGISTICA</t>
        </is>
      </c>
      <c r="J3406" s="29" t="n">
        <v>18.79</v>
      </c>
      <c r="K3406" s="29">
        <f>(1-ISNUMBER(SEARCH("556",M3406)))*(O3406*SUMIFS(Premissas!$C$5:$C$44,Premissas!$A$5:$A$44,$A3406,Premissas!$B$5:$B$44,$B3406)+P3406*SUMIFS(Premissas!$D$5:$D$44,Premissas!$A$5:$A$44,$A3406,Premissas!$B$5:$B$44,$B3406))+R3406*SUMIFS(Premissas!$E$5:$E$44,Premissas!$A$5:$A$44,$A3406,Premissas!$B$5:$B$44,$B3406)+S3406*SUMIFS(Premissas!$F$5:$F$44,Premissas!$A$5:$A$44,$A3406,Premissas!$B$5:$B$44,$B3406)</f>
        <v/>
      </c>
      <c r="L3406" s="29">
        <f>J3406-K3406</f>
        <v/>
      </c>
      <c r="M3406" t="inlineStr">
        <is>
          <t>1.350</t>
        </is>
      </c>
      <c r="N3406" t="inlineStr">
        <is>
          <t>Modalidade: 0 - Por conta do remetente | Parte: RAMON MENDES PITANGUI FRANCA (19.862.602/0001-86)</t>
        </is>
      </c>
      <c r="O3406" s="29" t="n">
        <v>0</v>
      </c>
      <c r="P3406" s="29" t="n">
        <v>0</v>
      </c>
      <c r="Q3406" s="29" t="n">
        <v>0</v>
      </c>
      <c r="R3406" s="29" t="n">
        <v>0</v>
      </c>
      <c r="S3406" s="29" t="n">
        <v>0</v>
      </c>
      <c r="T3406" t="inlineStr">
        <is>
          <t>25260526975620000130570010000070251001201342</t>
        </is>
      </c>
      <c r="U3406" t="inlineStr">
        <is>
          <t>Não</t>
        </is>
      </c>
    </row>
    <row r="3407">
      <c r="A3407" t="inlineStr">
        <is>
          <t>Frete de venda</t>
        </is>
      </c>
      <c r="B3407" t="inlineStr">
        <is>
          <t>2.01.02 Frete sobre Vendas</t>
        </is>
      </c>
      <c r="C3407" s="30" t="n">
        <v>46143</v>
      </c>
      <c r="D3407" t="inlineStr">
        <is>
          <t>Em 2026</t>
        </is>
      </c>
      <c r="E3407" s="28" t="n">
        <v>46151</v>
      </c>
      <c r="F3407" t="inlineStr">
        <is>
          <t>CT-e</t>
        </is>
      </c>
      <c r="G3407" t="inlineStr">
        <is>
          <t>000007026</t>
        </is>
      </c>
      <c r="H3407" t="inlineStr">
        <is>
          <t>R&amp;R TRANSPORTE E LOGISTICA</t>
        </is>
      </c>
      <c r="J3407" s="29" t="n">
        <v>22.03</v>
      </c>
      <c r="K3407" s="29">
        <f>(1-ISNUMBER(SEARCH("556",M3407)))*(O3407*SUMIFS(Premissas!$C$5:$C$44,Premissas!$A$5:$A$44,$A3407,Premissas!$B$5:$B$44,$B3407)+P3407*SUMIFS(Premissas!$D$5:$D$44,Premissas!$A$5:$A$44,$A3407,Premissas!$B$5:$B$44,$B3407))+R3407*SUMIFS(Premissas!$E$5:$E$44,Premissas!$A$5:$A$44,$A3407,Premissas!$B$5:$B$44,$B3407)+S3407*SUMIFS(Premissas!$F$5:$F$44,Premissas!$A$5:$A$44,$A3407,Premissas!$B$5:$B$44,$B3407)</f>
        <v/>
      </c>
      <c r="L3407" s="29">
        <f>J3407-K3407</f>
        <v/>
      </c>
      <c r="M3407" t="inlineStr">
        <is>
          <t>1.350</t>
        </is>
      </c>
      <c r="N3407" t="inlineStr">
        <is>
          <t>Modalidade: 0 - Por conta do remetente | Parte: COMERCIAL 512 SUL LTDA (56.979.656/0001-52)</t>
        </is>
      </c>
      <c r="O3407" s="29" t="n">
        <v>0</v>
      </c>
      <c r="P3407" s="29" t="n">
        <v>0</v>
      </c>
      <c r="Q3407" s="29" t="n">
        <v>0</v>
      </c>
      <c r="R3407" s="29" t="n">
        <v>0</v>
      </c>
      <c r="S3407" s="29" t="n">
        <v>0</v>
      </c>
      <c r="T3407" t="inlineStr">
        <is>
          <t>25260526975620000130570010000070261011001424</t>
        </is>
      </c>
      <c r="U3407" t="inlineStr">
        <is>
          <t>Não</t>
        </is>
      </c>
    </row>
    <row r="3408">
      <c r="A3408" t="inlineStr">
        <is>
          <t>Frete de venda</t>
        </is>
      </c>
      <c r="B3408" t="inlineStr">
        <is>
          <t>2.01.02 Frete sobre Vendas</t>
        </is>
      </c>
      <c r="C3408" s="30" t="n">
        <v>46143</v>
      </c>
      <c r="D3408" t="inlineStr">
        <is>
          <t>Em 2026</t>
        </is>
      </c>
      <c r="E3408" s="28" t="n">
        <v>46151</v>
      </c>
      <c r="F3408" t="inlineStr">
        <is>
          <t>CT-e</t>
        </is>
      </c>
      <c r="G3408" t="inlineStr">
        <is>
          <t>000007027</t>
        </is>
      </c>
      <c r="H3408" t="inlineStr">
        <is>
          <t>R&amp;R TRANSPORTE E LOGISTICA</t>
        </is>
      </c>
      <c r="J3408" s="29" t="n">
        <v>67.22</v>
      </c>
      <c r="K3408" s="29">
        <f>(1-ISNUMBER(SEARCH("556",M3408)))*(O3408*SUMIFS(Premissas!$C$5:$C$44,Premissas!$A$5:$A$44,$A3408,Premissas!$B$5:$B$44,$B3408)+P3408*SUMIFS(Premissas!$D$5:$D$44,Premissas!$A$5:$A$44,$A3408,Premissas!$B$5:$B$44,$B3408))+R3408*SUMIFS(Premissas!$E$5:$E$44,Premissas!$A$5:$A$44,$A3408,Premissas!$B$5:$B$44,$B3408)+S3408*SUMIFS(Premissas!$F$5:$F$44,Premissas!$A$5:$A$44,$A3408,Premissas!$B$5:$B$44,$B3408)</f>
        <v/>
      </c>
      <c r="L3408" s="29">
        <f>J3408-K3408</f>
        <v/>
      </c>
      <c r="M3408" t="inlineStr">
        <is>
          <t>1.350</t>
        </is>
      </c>
      <c r="N3408" t="inlineStr">
        <is>
          <t>Modalidade: 0 - Por conta do remetente | Parte: 65.970.751 ERIK RODRIGUES DA SILVA GUIMARAES (65.970.751/0001-86)</t>
        </is>
      </c>
      <c r="O3408" s="29" t="n">
        <v>0</v>
      </c>
      <c r="P3408" s="29" t="n">
        <v>0</v>
      </c>
      <c r="Q3408" s="29" t="n">
        <v>0</v>
      </c>
      <c r="R3408" s="29" t="n">
        <v>0</v>
      </c>
      <c r="S3408" s="29" t="n">
        <v>0</v>
      </c>
      <c r="T3408" t="inlineStr">
        <is>
          <t>25260526975620000130570010000070271000010777</t>
        </is>
      </c>
      <c r="U3408" t="inlineStr">
        <is>
          <t>Não</t>
        </is>
      </c>
    </row>
    <row r="3409">
      <c r="A3409" t="inlineStr">
        <is>
          <t>Frete de venda</t>
        </is>
      </c>
      <c r="B3409" t="inlineStr">
        <is>
          <t>2.01.02 Frete sobre Vendas</t>
        </is>
      </c>
      <c r="C3409" s="30" t="n">
        <v>46143</v>
      </c>
      <c r="D3409" t="inlineStr">
        <is>
          <t>Em 2026</t>
        </is>
      </c>
      <c r="E3409" s="28" t="n">
        <v>46151</v>
      </c>
      <c r="F3409" t="inlineStr">
        <is>
          <t>CT-e</t>
        </is>
      </c>
      <c r="G3409" t="inlineStr">
        <is>
          <t>000007028</t>
        </is>
      </c>
      <c r="H3409" t="inlineStr">
        <is>
          <t>R&amp;R TRANSPORTE E LOGISTICA</t>
        </is>
      </c>
      <c r="J3409" s="29" t="n">
        <v>49.23</v>
      </c>
      <c r="K3409" s="29">
        <f>(1-ISNUMBER(SEARCH("556",M3409)))*(O3409*SUMIFS(Premissas!$C$5:$C$44,Premissas!$A$5:$A$44,$A3409,Premissas!$B$5:$B$44,$B3409)+P3409*SUMIFS(Premissas!$D$5:$D$44,Premissas!$A$5:$A$44,$A3409,Premissas!$B$5:$B$44,$B3409))+R3409*SUMIFS(Premissas!$E$5:$E$44,Premissas!$A$5:$A$44,$A3409,Premissas!$B$5:$B$44,$B3409)+S3409*SUMIFS(Premissas!$F$5:$F$44,Premissas!$A$5:$A$44,$A3409,Premissas!$B$5:$B$44,$B3409)</f>
        <v/>
      </c>
      <c r="L3409" s="29">
        <f>J3409-K3409</f>
        <v/>
      </c>
      <c r="M3409" t="inlineStr">
        <is>
          <t>1.350</t>
        </is>
      </c>
      <c r="N3409" t="inlineStr">
        <is>
          <t>Modalidade: 0 - Por conta do remetente | Parte: GOL COMERCIO VAREJISTA DE EMBALAGENS LTDA (38.304.923/0001-00)</t>
        </is>
      </c>
      <c r="O3409" s="29" t="n">
        <v>0</v>
      </c>
      <c r="P3409" s="29" t="n">
        <v>0</v>
      </c>
      <c r="Q3409" s="29" t="n">
        <v>0</v>
      </c>
      <c r="R3409" s="29" t="n">
        <v>0</v>
      </c>
      <c r="S3409" s="29" t="n">
        <v>0</v>
      </c>
      <c r="T3409" t="inlineStr">
        <is>
          <t>25260526975620000130570010000070281000180858</t>
        </is>
      </c>
      <c r="U3409" t="inlineStr">
        <is>
          <t>Não</t>
        </is>
      </c>
    </row>
    <row r="3410">
      <c r="A3410" t="inlineStr">
        <is>
          <t>Frete de venda</t>
        </is>
      </c>
      <c r="B3410" t="inlineStr">
        <is>
          <t>2.01.02 Frete sobre Vendas</t>
        </is>
      </c>
      <c r="C3410" s="30" t="n">
        <v>46143</v>
      </c>
      <c r="D3410" t="inlineStr">
        <is>
          <t>Em 2026</t>
        </is>
      </c>
      <c r="E3410" s="28" t="n">
        <v>46151</v>
      </c>
      <c r="F3410" t="inlineStr">
        <is>
          <t>CT-e</t>
        </is>
      </c>
      <c r="G3410" t="inlineStr">
        <is>
          <t>000007029</t>
        </is>
      </c>
      <c r="H3410" t="inlineStr">
        <is>
          <t>R&amp;R TRANSPORTE E LOGISTICA</t>
        </is>
      </c>
      <c r="J3410" s="29" t="n">
        <v>26.19</v>
      </c>
      <c r="K3410" s="29">
        <f>(1-ISNUMBER(SEARCH("556",M3410)))*(O3410*SUMIFS(Premissas!$C$5:$C$44,Premissas!$A$5:$A$44,$A3410,Premissas!$B$5:$B$44,$B3410)+P3410*SUMIFS(Premissas!$D$5:$D$44,Premissas!$A$5:$A$44,$A3410,Premissas!$B$5:$B$44,$B3410))+R3410*SUMIFS(Premissas!$E$5:$E$44,Premissas!$A$5:$A$44,$A3410,Premissas!$B$5:$B$44,$B3410)+S3410*SUMIFS(Premissas!$F$5:$F$44,Premissas!$A$5:$A$44,$A3410,Premissas!$B$5:$B$44,$B3410)</f>
        <v/>
      </c>
      <c r="L3410" s="29">
        <f>J3410-K3410</f>
        <v/>
      </c>
      <c r="M3410" t="inlineStr">
        <is>
          <t>1.350</t>
        </is>
      </c>
      <c r="N3410" t="inlineStr">
        <is>
          <t>Modalidade: 0 - Por conta do remetente | Parte: PALHOCA O SEU SUPERMERCADO LTDA (00.393.873/0001-01)</t>
        </is>
      </c>
      <c r="O3410" s="29" t="n">
        <v>0</v>
      </c>
      <c r="P3410" s="29" t="n">
        <v>0</v>
      </c>
      <c r="Q3410" s="29" t="n">
        <v>0</v>
      </c>
      <c r="R3410" s="29" t="n">
        <v>0</v>
      </c>
      <c r="S3410" s="29" t="n">
        <v>0</v>
      </c>
      <c r="T3410" t="inlineStr">
        <is>
          <t>25260526975620000130570010000070291000150930</t>
        </is>
      </c>
      <c r="U3410" t="inlineStr">
        <is>
          <t>Não</t>
        </is>
      </c>
    </row>
    <row r="3411">
      <c r="A3411" t="inlineStr">
        <is>
          <t>Frete de venda</t>
        </is>
      </c>
      <c r="B3411" t="inlineStr">
        <is>
          <t>2.01.02 Frete sobre Vendas</t>
        </is>
      </c>
      <c r="C3411" s="30" t="n">
        <v>46143</v>
      </c>
      <c r="D3411" t="inlineStr">
        <is>
          <t>Em 2026</t>
        </is>
      </c>
      <c r="E3411" s="28" t="n">
        <v>46151</v>
      </c>
      <c r="F3411" t="inlineStr">
        <is>
          <t>CT-e</t>
        </is>
      </c>
      <c r="G3411" t="inlineStr">
        <is>
          <t>000007030</t>
        </is>
      </c>
      <c r="H3411" t="inlineStr">
        <is>
          <t>R&amp;R TRANSPORTE E LOGISTICA</t>
        </is>
      </c>
      <c r="J3411" s="29" t="n">
        <v>14.67</v>
      </c>
      <c r="K3411" s="29">
        <f>(1-ISNUMBER(SEARCH("556",M3411)))*(O3411*SUMIFS(Premissas!$C$5:$C$44,Premissas!$A$5:$A$44,$A3411,Premissas!$B$5:$B$44,$B3411)+P3411*SUMIFS(Premissas!$D$5:$D$44,Premissas!$A$5:$A$44,$A3411,Premissas!$B$5:$B$44,$B3411))+R3411*SUMIFS(Premissas!$E$5:$E$44,Premissas!$A$5:$A$44,$A3411,Premissas!$B$5:$B$44,$B3411)+S3411*SUMIFS(Premissas!$F$5:$F$44,Premissas!$A$5:$A$44,$A3411,Premissas!$B$5:$B$44,$B3411)</f>
        <v/>
      </c>
      <c r="L3411" s="29">
        <f>J3411-K3411</f>
        <v/>
      </c>
      <c r="M3411" t="inlineStr">
        <is>
          <t>1.350</t>
        </is>
      </c>
      <c r="N3411" t="inlineStr">
        <is>
          <t>Modalidade: 0 - Por conta do remetente | Parte: NEIDE DO CARMO ARAUJO (21.589.016/0001-51)</t>
        </is>
      </c>
      <c r="O3411" s="29" t="n">
        <v>0</v>
      </c>
      <c r="P3411" s="29" t="n">
        <v>0</v>
      </c>
      <c r="Q3411" s="29" t="n">
        <v>0</v>
      </c>
      <c r="R3411" s="29" t="n">
        <v>0</v>
      </c>
      <c r="S3411" s="29" t="n">
        <v>0</v>
      </c>
      <c r="T3411" t="inlineStr">
        <is>
          <t>25260526975620000130570010000070301001201016</t>
        </is>
      </c>
      <c r="U3411" t="inlineStr">
        <is>
          <t>Não</t>
        </is>
      </c>
    </row>
    <row r="3412">
      <c r="A3412" t="inlineStr">
        <is>
          <t>Frete de venda</t>
        </is>
      </c>
      <c r="B3412" t="inlineStr">
        <is>
          <t>2.01.02 Frete sobre Vendas</t>
        </is>
      </c>
      <c r="C3412" s="30" t="n">
        <v>46143</v>
      </c>
      <c r="D3412" t="inlineStr">
        <is>
          <t>Em 2026</t>
        </is>
      </c>
      <c r="E3412" s="28" t="n">
        <v>46151</v>
      </c>
      <c r="F3412" t="inlineStr">
        <is>
          <t>CT-e</t>
        </is>
      </c>
      <c r="G3412" t="inlineStr">
        <is>
          <t>000007031</t>
        </is>
      </c>
      <c r="H3412" t="inlineStr">
        <is>
          <t>R&amp;R TRANSPORTE E LOGISTICA</t>
        </is>
      </c>
      <c r="J3412" s="29" t="n">
        <v>29.55</v>
      </c>
      <c r="K3412" s="29">
        <f>(1-ISNUMBER(SEARCH("556",M3412)))*(O3412*SUMIFS(Premissas!$C$5:$C$44,Premissas!$A$5:$A$44,$A3412,Premissas!$B$5:$B$44,$B3412)+P3412*SUMIFS(Premissas!$D$5:$D$44,Premissas!$A$5:$A$44,$A3412,Premissas!$B$5:$B$44,$B3412))+R3412*SUMIFS(Premissas!$E$5:$E$44,Premissas!$A$5:$A$44,$A3412,Premissas!$B$5:$B$44,$B3412)+S3412*SUMIFS(Premissas!$F$5:$F$44,Premissas!$A$5:$A$44,$A3412,Premissas!$B$5:$B$44,$B3412)</f>
        <v/>
      </c>
      <c r="L3412" s="29">
        <f>J3412-K3412</f>
        <v/>
      </c>
      <c r="M3412" t="inlineStr">
        <is>
          <t>1.350</t>
        </is>
      </c>
      <c r="N3412" t="inlineStr">
        <is>
          <t>Modalidade: 0 - Por conta do remetente | Parte: J T TOSTA (00.746.849/0001-09)</t>
        </is>
      </c>
      <c r="O3412" s="29" t="n">
        <v>0</v>
      </c>
      <c r="P3412" s="29" t="n">
        <v>0</v>
      </c>
      <c r="Q3412" s="29" t="n">
        <v>0</v>
      </c>
      <c r="R3412" s="29" t="n">
        <v>0</v>
      </c>
      <c r="S3412" s="29" t="n">
        <v>0</v>
      </c>
      <c r="T3412" t="inlineStr">
        <is>
          <t>25260526975620000130570010000070311011001092</t>
        </is>
      </c>
      <c r="U3412" t="inlineStr">
        <is>
          <t>Não</t>
        </is>
      </c>
    </row>
    <row r="3413">
      <c r="A3413" t="inlineStr">
        <is>
          <t>Frete de venda</t>
        </is>
      </c>
      <c r="B3413" t="inlineStr">
        <is>
          <t>2.01.02 Frete sobre Vendas</t>
        </is>
      </c>
      <c r="C3413" s="30" t="n">
        <v>46143</v>
      </c>
      <c r="D3413" t="inlineStr">
        <is>
          <t>Em 2026</t>
        </is>
      </c>
      <c r="E3413" s="28" t="n">
        <v>46151</v>
      </c>
      <c r="F3413" t="inlineStr">
        <is>
          <t>CT-e</t>
        </is>
      </c>
      <c r="G3413" t="inlineStr">
        <is>
          <t>000007032</t>
        </is>
      </c>
      <c r="H3413" t="inlineStr">
        <is>
          <t>R&amp;R TRANSPORTE E LOGISTICA</t>
        </is>
      </c>
      <c r="J3413" s="29" t="n">
        <v>46.3</v>
      </c>
      <c r="K3413" s="29">
        <f>(1-ISNUMBER(SEARCH("556",M3413)))*(O3413*SUMIFS(Premissas!$C$5:$C$44,Premissas!$A$5:$A$44,$A3413,Premissas!$B$5:$B$44,$B3413)+P3413*SUMIFS(Premissas!$D$5:$D$44,Premissas!$A$5:$A$44,$A3413,Premissas!$B$5:$B$44,$B3413))+R3413*SUMIFS(Premissas!$E$5:$E$44,Premissas!$A$5:$A$44,$A3413,Premissas!$B$5:$B$44,$B3413)+S3413*SUMIFS(Premissas!$F$5:$F$44,Premissas!$A$5:$A$44,$A3413,Premissas!$B$5:$B$44,$B3413)</f>
        <v/>
      </c>
      <c r="L3413" s="29">
        <f>J3413-K3413</f>
        <v/>
      </c>
      <c r="M3413" t="inlineStr">
        <is>
          <t>1.350</t>
        </is>
      </c>
      <c r="N3413" t="inlineStr">
        <is>
          <t>Modalidade: 0 - Por conta do remetente | Parte: DISTRIBUIDORA DE FRIOS IRMAOS MARTINS LTDA (35.027.845/0001-55)</t>
        </is>
      </c>
      <c r="O3413" s="29" t="n">
        <v>0</v>
      </c>
      <c r="P3413" s="29" t="n">
        <v>0</v>
      </c>
      <c r="Q3413" s="29" t="n">
        <v>0</v>
      </c>
      <c r="R3413" s="29" t="n">
        <v>0</v>
      </c>
      <c r="S3413" s="29" t="n">
        <v>0</v>
      </c>
      <c r="T3413" t="inlineStr">
        <is>
          <t>25260526975620000130570010000070321001701170</t>
        </is>
      </c>
      <c r="U3413" t="inlineStr">
        <is>
          <t>Não</t>
        </is>
      </c>
    </row>
    <row r="3414">
      <c r="A3414" t="inlineStr">
        <is>
          <t>Frete de venda</t>
        </is>
      </c>
      <c r="B3414" t="inlineStr">
        <is>
          <t>2.01.02 Frete sobre Vendas</t>
        </is>
      </c>
      <c r="C3414" s="30" t="n">
        <v>46143</v>
      </c>
      <c r="D3414" t="inlineStr">
        <is>
          <t>Em 2026</t>
        </is>
      </c>
      <c r="E3414" s="28" t="n">
        <v>46151</v>
      </c>
      <c r="F3414" t="inlineStr">
        <is>
          <t>CT-e</t>
        </is>
      </c>
      <c r="G3414" t="inlineStr">
        <is>
          <t>000007033</t>
        </is>
      </c>
      <c r="H3414" t="inlineStr">
        <is>
          <t>R&amp;R TRANSPORTE E LOGISTICA</t>
        </is>
      </c>
      <c r="J3414" s="29" t="n">
        <v>18.92</v>
      </c>
      <c r="K3414" s="29">
        <f>(1-ISNUMBER(SEARCH("556",M3414)))*(O3414*SUMIFS(Premissas!$C$5:$C$44,Premissas!$A$5:$A$44,$A3414,Premissas!$B$5:$B$44,$B3414)+P3414*SUMIFS(Premissas!$D$5:$D$44,Premissas!$A$5:$A$44,$A3414,Premissas!$B$5:$B$44,$B3414))+R3414*SUMIFS(Premissas!$E$5:$E$44,Premissas!$A$5:$A$44,$A3414,Premissas!$B$5:$B$44,$B3414)+S3414*SUMIFS(Premissas!$F$5:$F$44,Premissas!$A$5:$A$44,$A3414,Premissas!$B$5:$B$44,$B3414)</f>
        <v/>
      </c>
      <c r="L3414" s="29">
        <f>J3414-K3414</f>
        <v/>
      </c>
      <c r="M3414" t="inlineStr">
        <is>
          <t>1.350</t>
        </is>
      </c>
      <c r="N3414" t="inlineStr">
        <is>
          <t>Modalidade: 0 - Por conta do remetente | Parte: FRIOS FESTA UTILIDADES LTDA (48.196.330/0001-20)</t>
        </is>
      </c>
      <c r="O3414" s="29" t="n">
        <v>0</v>
      </c>
      <c r="P3414" s="29" t="n">
        <v>0</v>
      </c>
      <c r="Q3414" s="29" t="n">
        <v>0</v>
      </c>
      <c r="R3414" s="29" t="n">
        <v>0</v>
      </c>
      <c r="S3414" s="29" t="n">
        <v>0</v>
      </c>
      <c r="T3414" t="inlineStr">
        <is>
          <t>25260526975620000130570010000070331001401254</t>
        </is>
      </c>
      <c r="U3414" t="inlineStr">
        <is>
          <t>Não</t>
        </is>
      </c>
    </row>
    <row r="3415">
      <c r="A3415" t="inlineStr">
        <is>
          <t>Frete de venda</t>
        </is>
      </c>
      <c r="B3415" t="inlineStr">
        <is>
          <t>2.01.02 Frete sobre Vendas</t>
        </is>
      </c>
      <c r="C3415" s="30" t="n">
        <v>46143</v>
      </c>
      <c r="D3415" t="inlineStr">
        <is>
          <t>Em 2026</t>
        </is>
      </c>
      <c r="E3415" s="28" t="n">
        <v>46151</v>
      </c>
      <c r="F3415" t="inlineStr">
        <is>
          <t>CT-e</t>
        </is>
      </c>
      <c r="G3415" t="inlineStr">
        <is>
          <t>000007034</t>
        </is>
      </c>
      <c r="H3415" t="inlineStr">
        <is>
          <t>R&amp;R TRANSPORTE E LOGISTICA</t>
        </is>
      </c>
      <c r="J3415" s="29" t="n">
        <v>17.5</v>
      </c>
      <c r="K3415" s="29">
        <f>(1-ISNUMBER(SEARCH("556",M3415)))*(O3415*SUMIFS(Premissas!$C$5:$C$44,Premissas!$A$5:$A$44,$A3415,Premissas!$B$5:$B$44,$B3415)+P3415*SUMIFS(Premissas!$D$5:$D$44,Premissas!$A$5:$A$44,$A3415,Premissas!$B$5:$B$44,$B3415))+R3415*SUMIFS(Premissas!$E$5:$E$44,Premissas!$A$5:$A$44,$A3415,Premissas!$B$5:$B$44,$B3415)+S3415*SUMIFS(Premissas!$F$5:$F$44,Premissas!$A$5:$A$44,$A3415,Premissas!$B$5:$B$44,$B3415)</f>
        <v/>
      </c>
      <c r="L3415" s="29">
        <f>J3415-K3415</f>
        <v/>
      </c>
      <c r="M3415" t="inlineStr">
        <is>
          <t>1.350</t>
        </is>
      </c>
      <c r="N3415" t="inlineStr">
        <is>
          <t>Modalidade: 0 - Por conta do remetente | Parte: ROTA 040 EMBALAGENS LTDA (40.498.051/0001-00)</t>
        </is>
      </c>
      <c r="O3415" s="29" t="n">
        <v>0</v>
      </c>
      <c r="P3415" s="29" t="n">
        <v>0</v>
      </c>
      <c r="Q3415" s="29" t="n">
        <v>0</v>
      </c>
      <c r="R3415" s="29" t="n">
        <v>0</v>
      </c>
      <c r="S3415" s="29" t="n">
        <v>0</v>
      </c>
      <c r="T3415" t="inlineStr">
        <is>
          <t>25260526975620000130570010000070341001101339</t>
        </is>
      </c>
      <c r="U3415" t="inlineStr">
        <is>
          <t>Não</t>
        </is>
      </c>
    </row>
    <row r="3416">
      <c r="A3416" t="inlineStr">
        <is>
          <t>Frete de venda</t>
        </is>
      </c>
      <c r="B3416" t="inlineStr">
        <is>
          <t>2.01.02 Frete sobre Vendas</t>
        </is>
      </c>
      <c r="C3416" s="30" t="n">
        <v>46143</v>
      </c>
      <c r="D3416" t="inlineStr">
        <is>
          <t>Em 2026</t>
        </is>
      </c>
      <c r="E3416" s="28" t="n">
        <v>46151</v>
      </c>
      <c r="F3416" t="inlineStr">
        <is>
          <t>CT-e</t>
        </is>
      </c>
      <c r="G3416" t="inlineStr">
        <is>
          <t>000007035</t>
        </is>
      </c>
      <c r="H3416" t="inlineStr">
        <is>
          <t>R&amp;R TRANSPORTE E LOGISTICA</t>
        </is>
      </c>
      <c r="J3416" s="29" t="n">
        <v>40.67</v>
      </c>
      <c r="K3416" s="29">
        <f>(1-ISNUMBER(SEARCH("556",M3416)))*(O3416*SUMIFS(Premissas!$C$5:$C$44,Premissas!$A$5:$A$44,$A3416,Premissas!$B$5:$B$44,$B3416)+P3416*SUMIFS(Premissas!$D$5:$D$44,Premissas!$A$5:$A$44,$A3416,Premissas!$B$5:$B$44,$B3416))+R3416*SUMIFS(Premissas!$E$5:$E$44,Premissas!$A$5:$A$44,$A3416,Premissas!$B$5:$B$44,$B3416)+S3416*SUMIFS(Premissas!$F$5:$F$44,Premissas!$A$5:$A$44,$A3416,Premissas!$B$5:$B$44,$B3416)</f>
        <v/>
      </c>
      <c r="L3416" s="29">
        <f>J3416-K3416</f>
        <v/>
      </c>
      <c r="M3416" t="inlineStr">
        <is>
          <t>1.350</t>
        </is>
      </c>
      <c r="N3416" t="inlineStr">
        <is>
          <t>Modalidade: 0 - Por conta do remetente | Parte: DRP DISTRIBUIDORA DE POLPA LTDA (07.298.955/0001-16)</t>
        </is>
      </c>
      <c r="O3416" s="29" t="n">
        <v>0</v>
      </c>
      <c r="P3416" s="29" t="n">
        <v>0</v>
      </c>
      <c r="Q3416" s="29" t="n">
        <v>0</v>
      </c>
      <c r="R3416" s="29" t="n">
        <v>0</v>
      </c>
      <c r="S3416" s="29" t="n">
        <v>0</v>
      </c>
      <c r="T3416" t="inlineStr">
        <is>
          <t>25260526975620000130570010000070351001901413</t>
        </is>
      </c>
      <c r="U3416" t="inlineStr">
        <is>
          <t>Não</t>
        </is>
      </c>
    </row>
    <row r="3417">
      <c r="A3417" t="inlineStr">
        <is>
          <t>Frete de venda</t>
        </is>
      </c>
      <c r="B3417" t="inlineStr">
        <is>
          <t>2.01.02 Frete sobre Vendas</t>
        </is>
      </c>
      <c r="C3417" s="30" t="n">
        <v>46143</v>
      </c>
      <c r="D3417" t="inlineStr">
        <is>
          <t>Em 2026</t>
        </is>
      </c>
      <c r="E3417" s="28" t="n">
        <v>46151</v>
      </c>
      <c r="F3417" t="inlineStr">
        <is>
          <t>CT-e</t>
        </is>
      </c>
      <c r="G3417" t="inlineStr">
        <is>
          <t>000007036</t>
        </is>
      </c>
      <c r="H3417" t="inlineStr">
        <is>
          <t>R&amp;R TRANSPORTE E LOGISTICA</t>
        </is>
      </c>
      <c r="J3417" s="29" t="n">
        <v>19.86</v>
      </c>
      <c r="K3417" s="29">
        <f>(1-ISNUMBER(SEARCH("556",M3417)))*(O3417*SUMIFS(Premissas!$C$5:$C$44,Premissas!$A$5:$A$44,$A3417,Premissas!$B$5:$B$44,$B3417)+P3417*SUMIFS(Premissas!$D$5:$D$44,Premissas!$A$5:$A$44,$A3417,Premissas!$B$5:$B$44,$B3417))+R3417*SUMIFS(Premissas!$E$5:$E$44,Premissas!$A$5:$A$44,$A3417,Premissas!$B$5:$B$44,$B3417)+S3417*SUMIFS(Premissas!$F$5:$F$44,Premissas!$A$5:$A$44,$A3417,Premissas!$B$5:$B$44,$B3417)</f>
        <v/>
      </c>
      <c r="L3417" s="29">
        <f>J3417-K3417</f>
        <v/>
      </c>
      <c r="M3417" t="inlineStr">
        <is>
          <t>1.350</t>
        </is>
      </c>
      <c r="N3417" t="inlineStr">
        <is>
          <t>Modalidade: 0 - Por conta do remetente | Parte: KRIATIVA FESTAS E EMBALAGENS LTDA (21.295.394/0001-22)</t>
        </is>
      </c>
      <c r="O3417" s="29" t="n">
        <v>0</v>
      </c>
      <c r="P3417" s="29" t="n">
        <v>0</v>
      </c>
      <c r="Q3417" s="29" t="n">
        <v>0</v>
      </c>
      <c r="R3417" s="29" t="n">
        <v>0</v>
      </c>
      <c r="S3417" s="29" t="n">
        <v>0</v>
      </c>
      <c r="T3417" t="inlineStr">
        <is>
          <t>25260526975620000130570010000070361001601492</t>
        </is>
      </c>
      <c r="U3417" t="inlineStr">
        <is>
          <t>Não</t>
        </is>
      </c>
    </row>
    <row r="3418">
      <c r="A3418" t="inlineStr">
        <is>
          <t>Frete de venda</t>
        </is>
      </c>
      <c r="B3418" t="inlineStr">
        <is>
          <t>2.01.02 Frete sobre Vendas</t>
        </is>
      </c>
      <c r="C3418" s="30" t="n">
        <v>46143</v>
      </c>
      <c r="D3418" t="inlineStr">
        <is>
          <t>Em 2026</t>
        </is>
      </c>
      <c r="E3418" s="28" t="n">
        <v>46151</v>
      </c>
      <c r="F3418" t="inlineStr">
        <is>
          <t>CT-e</t>
        </is>
      </c>
      <c r="G3418" t="inlineStr">
        <is>
          <t>000007037</t>
        </is>
      </c>
      <c r="H3418" t="inlineStr">
        <is>
          <t>R&amp;R TRANSPORTE E LOGISTICA</t>
        </is>
      </c>
      <c r="J3418" s="29" t="n">
        <v>61.62</v>
      </c>
      <c r="K3418" s="29">
        <f>(1-ISNUMBER(SEARCH("556",M3418)))*(O3418*SUMIFS(Premissas!$C$5:$C$44,Premissas!$A$5:$A$44,$A3418,Premissas!$B$5:$B$44,$B3418)+P3418*SUMIFS(Premissas!$D$5:$D$44,Premissas!$A$5:$A$44,$A3418,Premissas!$B$5:$B$44,$B3418))+R3418*SUMIFS(Premissas!$E$5:$E$44,Premissas!$A$5:$A$44,$A3418,Premissas!$B$5:$B$44,$B3418)+S3418*SUMIFS(Premissas!$F$5:$F$44,Premissas!$A$5:$A$44,$A3418,Premissas!$B$5:$B$44,$B3418)</f>
        <v/>
      </c>
      <c r="L3418" s="29">
        <f>J3418-K3418</f>
        <v/>
      </c>
      <c r="M3418" t="inlineStr">
        <is>
          <t>1.350</t>
        </is>
      </c>
      <c r="N3418" t="inlineStr">
        <is>
          <t>Modalidade: 0 - Por conta do remetente | Parte: DANIEL HENRIQUE SILVA BORGES E PIRES LTDA (06.901.586/0001-41)</t>
        </is>
      </c>
      <c r="O3418" s="29" t="n">
        <v>0</v>
      </c>
      <c r="P3418" s="29" t="n">
        <v>0</v>
      </c>
      <c r="Q3418" s="29" t="n">
        <v>0</v>
      </c>
      <c r="R3418" s="29" t="n">
        <v>0</v>
      </c>
      <c r="S3418" s="29" t="n">
        <v>0</v>
      </c>
      <c r="T3418" t="inlineStr">
        <is>
          <t>25260526975620000130570010000070371000170843</t>
        </is>
      </c>
      <c r="U3418" t="inlineStr">
        <is>
          <t>Não</t>
        </is>
      </c>
    </row>
    <row r="3419">
      <c r="A3419" t="inlineStr">
        <is>
          <t>Frete de venda</t>
        </is>
      </c>
      <c r="B3419" t="inlineStr">
        <is>
          <t>2.01.02 Frete sobre Vendas</t>
        </is>
      </c>
      <c r="C3419" s="30" t="n">
        <v>46143</v>
      </c>
      <c r="D3419" t="inlineStr">
        <is>
          <t>Em 2026</t>
        </is>
      </c>
      <c r="E3419" s="28" t="n">
        <v>46151</v>
      </c>
      <c r="F3419" t="inlineStr">
        <is>
          <t>CT-e</t>
        </is>
      </c>
      <c r="G3419" t="inlineStr">
        <is>
          <t>000007038</t>
        </is>
      </c>
      <c r="H3419" t="inlineStr">
        <is>
          <t>R&amp;R TRANSPORTE E LOGISTICA</t>
        </is>
      </c>
      <c r="J3419" s="29" t="n">
        <v>79.17</v>
      </c>
      <c r="K3419" s="29">
        <f>(1-ISNUMBER(SEARCH("556",M3419)))*(O3419*SUMIFS(Premissas!$C$5:$C$44,Premissas!$A$5:$A$44,$A3419,Premissas!$B$5:$B$44,$B3419)+P3419*SUMIFS(Premissas!$D$5:$D$44,Premissas!$A$5:$A$44,$A3419,Premissas!$B$5:$B$44,$B3419))+R3419*SUMIFS(Premissas!$E$5:$E$44,Premissas!$A$5:$A$44,$A3419,Premissas!$B$5:$B$44,$B3419)+S3419*SUMIFS(Premissas!$F$5:$F$44,Premissas!$A$5:$A$44,$A3419,Premissas!$B$5:$B$44,$B3419)</f>
        <v/>
      </c>
      <c r="L3419" s="29">
        <f>J3419-K3419</f>
        <v/>
      </c>
      <c r="M3419" t="inlineStr">
        <is>
          <t>1.350</t>
        </is>
      </c>
      <c r="N3419" t="inlineStr">
        <is>
          <t>Modalidade: 0 - Por conta do remetente | Parte: IRMAOS BATISTA REZENDE LTDA (13.916.629/0001-28)</t>
        </is>
      </c>
      <c r="O3419" s="29" t="n">
        <v>0</v>
      </c>
      <c r="P3419" s="29" t="n">
        <v>0</v>
      </c>
      <c r="Q3419" s="29" t="n">
        <v>0</v>
      </c>
      <c r="R3419" s="29" t="n">
        <v>0</v>
      </c>
      <c r="S3419" s="29" t="n">
        <v>0</v>
      </c>
      <c r="T3419" t="inlineStr">
        <is>
          <t>25260526975620000130570010000070381000140925</t>
        </is>
      </c>
      <c r="U3419" t="inlineStr">
        <is>
          <t>Não</t>
        </is>
      </c>
    </row>
    <row r="3420">
      <c r="A3420" t="inlineStr">
        <is>
          <t>Frete de venda</t>
        </is>
      </c>
      <c r="B3420" t="inlineStr">
        <is>
          <t>2.01.02 Frete sobre Vendas</t>
        </is>
      </c>
      <c r="C3420" s="30" t="n">
        <v>46143</v>
      </c>
      <c r="D3420" t="inlineStr">
        <is>
          <t>Em 2026</t>
        </is>
      </c>
      <c r="E3420" s="28" t="n">
        <v>46153</v>
      </c>
      <c r="F3420" t="inlineStr">
        <is>
          <t>CT-e</t>
        </is>
      </c>
      <c r="G3420" t="inlineStr">
        <is>
          <t>000007042</t>
        </is>
      </c>
      <c r="H3420" t="inlineStr">
        <is>
          <t>R&amp;R TRANSPORTE E LOGISTICA</t>
        </is>
      </c>
      <c r="J3420" s="29" t="n">
        <v>12143.14</v>
      </c>
      <c r="K3420" s="29">
        <f>(1-ISNUMBER(SEARCH("556",M3420)))*(O3420*SUMIFS(Premissas!$C$5:$C$44,Premissas!$A$5:$A$44,$A3420,Premissas!$B$5:$B$44,$B3420)+P3420*SUMIFS(Premissas!$D$5:$D$44,Premissas!$A$5:$A$44,$A3420,Premissas!$B$5:$B$44,$B3420))+R3420*SUMIFS(Premissas!$E$5:$E$44,Premissas!$A$5:$A$44,$A3420,Premissas!$B$5:$B$44,$B3420)+S3420*SUMIFS(Premissas!$F$5:$F$44,Premissas!$A$5:$A$44,$A3420,Premissas!$B$5:$B$44,$B3420)</f>
        <v/>
      </c>
      <c r="L3420" s="29">
        <f>J3420-K3420</f>
        <v/>
      </c>
      <c r="M3420" t="inlineStr">
        <is>
          <t>1.350</t>
        </is>
      </c>
      <c r="N3420" t="inlineStr">
        <is>
          <t>Modalidade: 0 - Por conta do remetente | Parte: DISTRIPACK DISTRIBUIDORA DE EMBALAGENS LTDA (11.043.375/0002-36)</t>
        </is>
      </c>
      <c r="O3420" s="29" t="n">
        <v>0</v>
      </c>
      <c r="P3420" s="29" t="n">
        <v>0</v>
      </c>
      <c r="Q3420" s="29" t="n">
        <v>0</v>
      </c>
      <c r="R3420" s="29" t="n">
        <v>0</v>
      </c>
      <c r="S3420" s="29" t="n">
        <v>0</v>
      </c>
      <c r="T3420" t="inlineStr">
        <is>
          <t>25260526975620000130570010000070421001301135</t>
        </is>
      </c>
      <c r="U3420" t="inlineStr">
        <is>
          <t>Não</t>
        </is>
      </c>
    </row>
    <row r="3421">
      <c r="A3421" t="inlineStr">
        <is>
          <t>Frete de venda</t>
        </is>
      </c>
      <c r="B3421" t="inlineStr">
        <is>
          <t>2.01.02 Frete sobre Vendas</t>
        </is>
      </c>
      <c r="C3421" s="30" t="n">
        <v>46143</v>
      </c>
      <c r="D3421" t="inlineStr">
        <is>
          <t>Em 2026</t>
        </is>
      </c>
      <c r="E3421" s="28" t="n">
        <v>46153</v>
      </c>
      <c r="F3421" t="inlineStr">
        <is>
          <t>CT-e</t>
        </is>
      </c>
      <c r="G3421" t="inlineStr">
        <is>
          <t>000007044</t>
        </is>
      </c>
      <c r="H3421" t="inlineStr">
        <is>
          <t>R&amp;R TRANSPORTE E LOGISTICA</t>
        </is>
      </c>
      <c r="J3421" s="29" t="n">
        <v>57.5</v>
      </c>
      <c r="K3421" s="29">
        <f>(1-ISNUMBER(SEARCH("556",M3421)))*(O3421*SUMIFS(Premissas!$C$5:$C$44,Premissas!$A$5:$A$44,$A3421,Premissas!$B$5:$B$44,$B3421)+P3421*SUMIFS(Premissas!$D$5:$D$44,Premissas!$A$5:$A$44,$A3421,Premissas!$B$5:$B$44,$B3421))+R3421*SUMIFS(Premissas!$E$5:$E$44,Premissas!$A$5:$A$44,$A3421,Premissas!$B$5:$B$44,$B3421)+S3421*SUMIFS(Premissas!$F$5:$F$44,Premissas!$A$5:$A$44,$A3421,Premissas!$B$5:$B$44,$B3421)</f>
        <v/>
      </c>
      <c r="L3421" s="29">
        <f>J3421-K3421</f>
        <v/>
      </c>
      <c r="M3421" t="inlineStr">
        <is>
          <t>1.350</t>
        </is>
      </c>
      <c r="N3421" t="inlineStr">
        <is>
          <t>Modalidade: 0 - Por conta do remetente | Parte: JND DISTRIBUIDORA LTDA (36.332.668/0001-83)</t>
        </is>
      </c>
      <c r="O3421" s="29" t="n">
        <v>0</v>
      </c>
      <c r="P3421" s="29" t="n">
        <v>0</v>
      </c>
      <c r="Q3421" s="29" t="n">
        <v>0</v>
      </c>
      <c r="R3421" s="29" t="n">
        <v>0</v>
      </c>
      <c r="S3421" s="29" t="n">
        <v>0</v>
      </c>
      <c r="T3421" t="inlineStr">
        <is>
          <t>25260526975620000130570010000070441000170848</t>
        </is>
      </c>
      <c r="U3421" t="inlineStr">
        <is>
          <t>Não</t>
        </is>
      </c>
    </row>
    <row r="3422">
      <c r="A3422" t="inlineStr">
        <is>
          <t>Frete de venda</t>
        </is>
      </c>
      <c r="B3422" t="inlineStr">
        <is>
          <t>2.01.02 Frete sobre Vendas</t>
        </is>
      </c>
      <c r="C3422" s="30" t="n">
        <v>46143</v>
      </c>
      <c r="D3422" t="inlineStr">
        <is>
          <t>Em 2026</t>
        </is>
      </c>
      <c r="E3422" s="28" t="n">
        <v>46153</v>
      </c>
      <c r="F3422" t="inlineStr">
        <is>
          <t>CT-e</t>
        </is>
      </c>
      <c r="G3422" t="inlineStr">
        <is>
          <t>000007045</t>
        </is>
      </c>
      <c r="H3422" t="inlineStr">
        <is>
          <t>R&amp;R TRANSPORTE E LOGISTICA</t>
        </is>
      </c>
      <c r="J3422" s="29" t="n">
        <v>107.52</v>
      </c>
      <c r="K3422" s="29">
        <f>(1-ISNUMBER(SEARCH("556",M3422)))*(O3422*SUMIFS(Premissas!$C$5:$C$44,Premissas!$A$5:$A$44,$A3422,Premissas!$B$5:$B$44,$B3422)+P3422*SUMIFS(Premissas!$D$5:$D$44,Premissas!$A$5:$A$44,$A3422,Premissas!$B$5:$B$44,$B3422))+R3422*SUMIFS(Premissas!$E$5:$E$44,Premissas!$A$5:$A$44,$A3422,Premissas!$B$5:$B$44,$B3422)+S3422*SUMIFS(Premissas!$F$5:$F$44,Premissas!$A$5:$A$44,$A3422,Premissas!$B$5:$B$44,$B3422)</f>
        <v/>
      </c>
      <c r="L3422" s="29">
        <f>J3422-K3422</f>
        <v/>
      </c>
      <c r="M3422" t="inlineStr">
        <is>
          <t>1.350</t>
        </is>
      </c>
      <c r="N3422" t="inlineStr">
        <is>
          <t>Modalidade: 0 - Por conta do remetente | Parte: FORTALI DISTRIBUIDORA DE ALIMENTOS LTDA. (09.317.318/0001-75)</t>
        </is>
      </c>
      <c r="O3422" s="29" t="n">
        <v>0</v>
      </c>
      <c r="P3422" s="29" t="n">
        <v>0</v>
      </c>
      <c r="Q3422" s="29" t="n">
        <v>0</v>
      </c>
      <c r="R3422" s="29" t="n">
        <v>0</v>
      </c>
      <c r="S3422" s="29" t="n">
        <v>0</v>
      </c>
      <c r="T3422" t="inlineStr">
        <is>
          <t>25260526975620000130570010000070451000140920</t>
        </is>
      </c>
      <c r="U3422" t="inlineStr">
        <is>
          <t>Não</t>
        </is>
      </c>
    </row>
    <row r="3423">
      <c r="A3423" t="inlineStr">
        <is>
          <t>Frete de venda</t>
        </is>
      </c>
      <c r="B3423" t="inlineStr">
        <is>
          <t>2.01.02 Frete sobre Vendas</t>
        </is>
      </c>
      <c r="C3423" s="30" t="n">
        <v>46143</v>
      </c>
      <c r="D3423" t="inlineStr">
        <is>
          <t>Em 2026</t>
        </is>
      </c>
      <c r="E3423" s="28" t="n">
        <v>46153</v>
      </c>
      <c r="F3423" t="inlineStr">
        <is>
          <t>CT-e</t>
        </is>
      </c>
      <c r="G3423" t="inlineStr">
        <is>
          <t>000007046</t>
        </is>
      </c>
      <c r="H3423" t="inlineStr">
        <is>
          <t>R&amp;R TRANSPORTE E LOGISTICA</t>
        </is>
      </c>
      <c r="J3423" s="29" t="n">
        <v>54.78</v>
      </c>
      <c r="K3423" s="29">
        <f>(1-ISNUMBER(SEARCH("556",M3423)))*(O3423*SUMIFS(Premissas!$C$5:$C$44,Premissas!$A$5:$A$44,$A3423,Premissas!$B$5:$B$44,$B3423)+P3423*SUMIFS(Premissas!$D$5:$D$44,Premissas!$A$5:$A$44,$A3423,Premissas!$B$5:$B$44,$B3423))+R3423*SUMIFS(Premissas!$E$5:$E$44,Premissas!$A$5:$A$44,$A3423,Premissas!$B$5:$B$44,$B3423)+S3423*SUMIFS(Premissas!$F$5:$F$44,Premissas!$A$5:$A$44,$A3423,Premissas!$B$5:$B$44,$B3423)</f>
        <v/>
      </c>
      <c r="L3423" s="29">
        <f>J3423-K3423</f>
        <v/>
      </c>
      <c r="M3423" t="inlineStr">
        <is>
          <t>1.350</t>
        </is>
      </c>
      <c r="N3423" t="inlineStr">
        <is>
          <t>Modalidade: 0 - Por conta do remetente | Parte: COMERCIAL BAHIA LTDA (41.651.670/0001-55)</t>
        </is>
      </c>
      <c r="O3423" s="29" t="n">
        <v>0</v>
      </c>
      <c r="P3423" s="29" t="n">
        <v>0</v>
      </c>
      <c r="Q3423" s="29" t="n">
        <v>0</v>
      </c>
      <c r="R3423" s="29" t="n">
        <v>0</v>
      </c>
      <c r="S3423" s="29" t="n">
        <v>0</v>
      </c>
      <c r="T3423" t="inlineStr">
        <is>
          <t>25260526975620000130570010000070461001101003</t>
        </is>
      </c>
      <c r="U3423" t="inlineStr">
        <is>
          <t>Não</t>
        </is>
      </c>
    </row>
    <row r="3424">
      <c r="A3424" t="inlineStr">
        <is>
          <t>Frete de venda</t>
        </is>
      </c>
      <c r="B3424" t="inlineStr">
        <is>
          <t>2.01.02 Frete sobre Vendas</t>
        </is>
      </c>
      <c r="C3424" s="30" t="n">
        <v>46143</v>
      </c>
      <c r="D3424" t="inlineStr">
        <is>
          <t>Em 2026</t>
        </is>
      </c>
      <c r="E3424" s="28" t="n">
        <v>46153</v>
      </c>
      <c r="F3424" t="inlineStr">
        <is>
          <t>CT-e</t>
        </is>
      </c>
      <c r="G3424" t="inlineStr">
        <is>
          <t>000007047</t>
        </is>
      </c>
      <c r="H3424" t="inlineStr">
        <is>
          <t>R&amp;R TRANSPORTE E LOGISTICA</t>
        </is>
      </c>
      <c r="J3424" s="29" t="n">
        <v>54.41</v>
      </c>
      <c r="K3424" s="29">
        <f>(1-ISNUMBER(SEARCH("556",M3424)))*(O3424*SUMIFS(Premissas!$C$5:$C$44,Premissas!$A$5:$A$44,$A3424,Premissas!$B$5:$B$44,$B3424)+P3424*SUMIFS(Premissas!$D$5:$D$44,Premissas!$A$5:$A$44,$A3424,Premissas!$B$5:$B$44,$B3424))+R3424*SUMIFS(Premissas!$E$5:$E$44,Premissas!$A$5:$A$44,$A3424,Premissas!$B$5:$B$44,$B3424)+S3424*SUMIFS(Premissas!$F$5:$F$44,Premissas!$A$5:$A$44,$A3424,Premissas!$B$5:$B$44,$B3424)</f>
        <v/>
      </c>
      <c r="L3424" s="29">
        <f>J3424-K3424</f>
        <v/>
      </c>
      <c r="M3424" t="inlineStr">
        <is>
          <t>1.350</t>
        </is>
      </c>
      <c r="N3424" t="inlineStr">
        <is>
          <t>Modalidade: 0 - Por conta do remetente | Parte: MERCOPAIVA COMERCIAL LTDA (45.016.002/0001-07)</t>
        </is>
      </c>
      <c r="O3424" s="29" t="n">
        <v>0</v>
      </c>
      <c r="P3424" s="29" t="n">
        <v>0</v>
      </c>
      <c r="Q3424" s="29" t="n">
        <v>0</v>
      </c>
      <c r="R3424" s="29" t="n">
        <v>0</v>
      </c>
      <c r="S3424" s="29" t="n">
        <v>0</v>
      </c>
      <c r="T3424" t="inlineStr">
        <is>
          <t>25260526975620000130570010000070471001901082</t>
        </is>
      </c>
      <c r="U3424" t="inlineStr">
        <is>
          <t>Não</t>
        </is>
      </c>
    </row>
    <row r="3425">
      <c r="A3425" t="inlineStr">
        <is>
          <t>Frete de venda</t>
        </is>
      </c>
      <c r="B3425" t="inlineStr">
        <is>
          <t>2.01.02 Frete sobre Vendas</t>
        </is>
      </c>
      <c r="C3425" s="30" t="n">
        <v>46143</v>
      </c>
      <c r="D3425" t="inlineStr">
        <is>
          <t>Em 2026</t>
        </is>
      </c>
      <c r="E3425" s="28" t="n">
        <v>46154</v>
      </c>
      <c r="F3425" t="inlineStr">
        <is>
          <t>CT-e</t>
        </is>
      </c>
      <c r="G3425" t="inlineStr">
        <is>
          <t>000007052</t>
        </is>
      </c>
      <c r="H3425" t="inlineStr">
        <is>
          <t>R&amp;R TRANSPORTE E LOGISTICA</t>
        </is>
      </c>
      <c r="J3425" s="29" t="n">
        <v>70</v>
      </c>
      <c r="K3425" s="29">
        <f>(1-ISNUMBER(SEARCH("556",M3425)))*(O3425*SUMIFS(Premissas!$C$5:$C$44,Premissas!$A$5:$A$44,$A3425,Premissas!$B$5:$B$44,$B3425)+P3425*SUMIFS(Premissas!$D$5:$D$44,Premissas!$A$5:$A$44,$A3425,Premissas!$B$5:$B$44,$B3425))+R3425*SUMIFS(Premissas!$E$5:$E$44,Premissas!$A$5:$A$44,$A3425,Premissas!$B$5:$B$44,$B3425)+S3425*SUMIFS(Premissas!$F$5:$F$44,Premissas!$A$5:$A$44,$A3425,Premissas!$B$5:$B$44,$B3425)</f>
        <v/>
      </c>
      <c r="L3425" s="29">
        <f>J3425-K3425</f>
        <v/>
      </c>
      <c r="M3425" t="inlineStr">
        <is>
          <t>1.350</t>
        </is>
      </c>
      <c r="N3425" t="inlineStr">
        <is>
          <t>Modalidade: 0 - Por conta do remetente | Parte: D R MENDES RODRIGUES (55.114.125/0001-34)</t>
        </is>
      </c>
      <c r="O3425" s="29" t="n">
        <v>0</v>
      </c>
      <c r="P3425" s="29" t="n">
        <v>0</v>
      </c>
      <c r="Q3425" s="29" t="n">
        <v>0</v>
      </c>
      <c r="R3425" s="29" t="n">
        <v>0</v>
      </c>
      <c r="S3425" s="29" t="n">
        <v>0</v>
      </c>
      <c r="T3425" t="inlineStr">
        <is>
          <t>25260526975620000130570010000070521000140924</t>
        </is>
      </c>
      <c r="U3425" t="inlineStr">
        <is>
          <t>Não</t>
        </is>
      </c>
    </row>
    <row r="3426">
      <c r="A3426" t="inlineStr">
        <is>
          <t>Frete de venda</t>
        </is>
      </c>
      <c r="B3426" t="inlineStr">
        <is>
          <t>2.01.02 Frete sobre Vendas</t>
        </is>
      </c>
      <c r="C3426" s="30" t="n">
        <v>46143</v>
      </c>
      <c r="D3426" t="inlineStr">
        <is>
          <t>Em 2026</t>
        </is>
      </c>
      <c r="E3426" s="28" t="n">
        <v>46154</v>
      </c>
      <c r="F3426" t="inlineStr">
        <is>
          <t>CT-e</t>
        </is>
      </c>
      <c r="G3426" t="inlineStr">
        <is>
          <t>000007053</t>
        </is>
      </c>
      <c r="H3426" t="inlineStr">
        <is>
          <t>R&amp;R TRANSPORTE E LOGISTICA</t>
        </is>
      </c>
      <c r="J3426" s="29" t="n">
        <v>95.8</v>
      </c>
      <c r="K3426" s="29">
        <f>(1-ISNUMBER(SEARCH("556",M3426)))*(O3426*SUMIFS(Premissas!$C$5:$C$44,Premissas!$A$5:$A$44,$A3426,Premissas!$B$5:$B$44,$B3426)+P3426*SUMIFS(Premissas!$D$5:$D$44,Premissas!$A$5:$A$44,$A3426,Premissas!$B$5:$B$44,$B3426))+R3426*SUMIFS(Premissas!$E$5:$E$44,Premissas!$A$5:$A$44,$A3426,Premissas!$B$5:$B$44,$B3426)+S3426*SUMIFS(Premissas!$F$5:$F$44,Premissas!$A$5:$A$44,$A3426,Premissas!$B$5:$B$44,$B3426)</f>
        <v/>
      </c>
      <c r="L3426" s="29">
        <f>J3426-K3426</f>
        <v/>
      </c>
      <c r="M3426" t="inlineStr">
        <is>
          <t>1.350</t>
        </is>
      </c>
      <c r="N3426" t="inlineStr">
        <is>
          <t>Modalidade: 0 - Por conta do remetente | Parte: MARCOS NATANAEL DOS SANTOS ROCHA (14.727.584/0001-06)</t>
        </is>
      </c>
      <c r="O3426" s="29" t="n">
        <v>0</v>
      </c>
      <c r="P3426" s="29" t="n">
        <v>0</v>
      </c>
      <c r="Q3426" s="29" t="n">
        <v>0</v>
      </c>
      <c r="R3426" s="29" t="n">
        <v>0</v>
      </c>
      <c r="S3426" s="29" t="n">
        <v>0</v>
      </c>
      <c r="T3426" t="inlineStr">
        <is>
          <t>25260526975620000130570010000070531001101008</t>
        </is>
      </c>
      <c r="U3426" t="inlineStr">
        <is>
          <t>Não</t>
        </is>
      </c>
    </row>
    <row r="3427">
      <c r="A3427" t="inlineStr">
        <is>
          <t>Frete de venda</t>
        </is>
      </c>
      <c r="B3427" t="inlineStr">
        <is>
          <t>2.01.02 Frete sobre Vendas</t>
        </is>
      </c>
      <c r="C3427" s="30" t="n">
        <v>46143</v>
      </c>
      <c r="D3427" t="inlineStr">
        <is>
          <t>Em 2026</t>
        </is>
      </c>
      <c r="E3427" s="28" t="n">
        <v>46154</v>
      </c>
      <c r="F3427" t="inlineStr">
        <is>
          <t>CT-e</t>
        </is>
      </c>
      <c r="G3427" t="inlineStr">
        <is>
          <t>000007054</t>
        </is>
      </c>
      <c r="H3427" t="inlineStr">
        <is>
          <t>R&amp;R TRANSPORTE E LOGISTICA</t>
        </is>
      </c>
      <c r="J3427" s="29" t="n">
        <v>77.28</v>
      </c>
      <c r="K3427" s="29">
        <f>(1-ISNUMBER(SEARCH("556",M3427)))*(O3427*SUMIFS(Premissas!$C$5:$C$44,Premissas!$A$5:$A$44,$A3427,Premissas!$B$5:$B$44,$B3427)+P3427*SUMIFS(Premissas!$D$5:$D$44,Premissas!$A$5:$A$44,$A3427,Premissas!$B$5:$B$44,$B3427))+R3427*SUMIFS(Premissas!$E$5:$E$44,Premissas!$A$5:$A$44,$A3427,Premissas!$B$5:$B$44,$B3427)+S3427*SUMIFS(Premissas!$F$5:$F$44,Premissas!$A$5:$A$44,$A3427,Premissas!$B$5:$B$44,$B3427)</f>
        <v/>
      </c>
      <c r="L3427" s="29">
        <f>J3427-K3427</f>
        <v/>
      </c>
      <c r="M3427" t="inlineStr">
        <is>
          <t>1.350</t>
        </is>
      </c>
      <c r="N3427" t="inlineStr">
        <is>
          <t>Modalidade: 0 - Por conta do remetente | Parte: FABIANO MOTA DE SOUZA (63.542.864/0001-55)</t>
        </is>
      </c>
      <c r="O3427" s="29" t="n">
        <v>0</v>
      </c>
      <c r="P3427" s="29" t="n">
        <v>0</v>
      </c>
      <c r="Q3427" s="29" t="n">
        <v>0</v>
      </c>
      <c r="R3427" s="29" t="n">
        <v>0</v>
      </c>
      <c r="S3427" s="29" t="n">
        <v>0</v>
      </c>
      <c r="T3427" t="inlineStr">
        <is>
          <t>25260526975620000130570010000070541001901087</t>
        </is>
      </c>
      <c r="U3427" t="inlineStr">
        <is>
          <t>Não</t>
        </is>
      </c>
    </row>
    <row r="3428">
      <c r="A3428" t="inlineStr">
        <is>
          <t>Frete de venda</t>
        </is>
      </c>
      <c r="B3428" t="inlineStr">
        <is>
          <t>2.01.02 Frete sobre Vendas</t>
        </is>
      </c>
      <c r="C3428" s="30" t="n">
        <v>46143</v>
      </c>
      <c r="D3428" t="inlineStr">
        <is>
          <t>Em 2026</t>
        </is>
      </c>
      <c r="E3428" s="28" t="n">
        <v>46156</v>
      </c>
      <c r="F3428" t="inlineStr">
        <is>
          <t>CT-e</t>
        </is>
      </c>
      <c r="G3428" t="inlineStr">
        <is>
          <t>000007062</t>
        </is>
      </c>
      <c r="H3428" t="inlineStr">
        <is>
          <t>R&amp;R TRANSPORTE E LOGISTICA</t>
        </is>
      </c>
      <c r="J3428" s="29" t="n">
        <v>648.51</v>
      </c>
      <c r="K3428" s="29">
        <f>(1-ISNUMBER(SEARCH("556",M3428)))*(O3428*SUMIFS(Premissas!$C$5:$C$44,Premissas!$A$5:$A$44,$A3428,Premissas!$B$5:$B$44,$B3428)+P3428*SUMIFS(Premissas!$D$5:$D$44,Premissas!$A$5:$A$44,$A3428,Premissas!$B$5:$B$44,$B3428))+R3428*SUMIFS(Premissas!$E$5:$E$44,Premissas!$A$5:$A$44,$A3428,Premissas!$B$5:$B$44,$B3428)+S3428*SUMIFS(Premissas!$F$5:$F$44,Premissas!$A$5:$A$44,$A3428,Premissas!$B$5:$B$44,$B3428)</f>
        <v/>
      </c>
      <c r="L3428" s="29">
        <f>J3428-K3428</f>
        <v/>
      </c>
      <c r="M3428" t="inlineStr">
        <is>
          <t>1.350</t>
        </is>
      </c>
      <c r="N3428" t="inlineStr">
        <is>
          <t>Modalidade: 0 - Por conta do remetente | Parte: SAL DA TERRA COMERCIO DESCARTAVEIS LTDA (12.076.153/0001-00)</t>
        </is>
      </c>
      <c r="O3428" s="29" t="n">
        <v>0</v>
      </c>
      <c r="P3428" s="29" t="n">
        <v>0</v>
      </c>
      <c r="Q3428" s="29" t="n">
        <v>0</v>
      </c>
      <c r="R3428" s="29" t="n">
        <v>0</v>
      </c>
      <c r="S3428" s="29" t="n">
        <v>0</v>
      </c>
      <c r="T3428" t="inlineStr">
        <is>
          <t>25260526975620000130570010000070621001201125</t>
        </is>
      </c>
      <c r="U3428" t="inlineStr">
        <is>
          <t>Não</t>
        </is>
      </c>
    </row>
    <row r="3429">
      <c r="A3429" t="inlineStr">
        <is>
          <t>Frete de venda</t>
        </is>
      </c>
      <c r="B3429" t="inlineStr">
        <is>
          <t>2.01.02 Frete sobre Vendas</t>
        </is>
      </c>
      <c r="C3429" s="30" t="n">
        <v>46143</v>
      </c>
      <c r="D3429" t="inlineStr">
        <is>
          <t>Em 2026</t>
        </is>
      </c>
      <c r="E3429" s="28" t="n">
        <v>46157</v>
      </c>
      <c r="F3429" t="inlineStr">
        <is>
          <t>CT-e</t>
        </is>
      </c>
      <c r="G3429" t="inlineStr">
        <is>
          <t>000007064</t>
        </is>
      </c>
      <c r="H3429" t="inlineStr">
        <is>
          <t>R&amp;R TRANSPORTE E LOGISTICA</t>
        </is>
      </c>
      <c r="J3429" s="29" t="n">
        <v>31.7</v>
      </c>
      <c r="K3429" s="29">
        <f>(1-ISNUMBER(SEARCH("556",M3429)))*(O3429*SUMIFS(Premissas!$C$5:$C$44,Premissas!$A$5:$A$44,$A3429,Premissas!$B$5:$B$44,$B3429)+P3429*SUMIFS(Premissas!$D$5:$D$44,Premissas!$A$5:$A$44,$A3429,Premissas!$B$5:$B$44,$B3429))+R3429*SUMIFS(Premissas!$E$5:$E$44,Premissas!$A$5:$A$44,$A3429,Premissas!$B$5:$B$44,$B3429)+S3429*SUMIFS(Premissas!$F$5:$F$44,Premissas!$A$5:$A$44,$A3429,Premissas!$B$5:$B$44,$B3429)</f>
        <v/>
      </c>
      <c r="L3429" s="29">
        <f>J3429-K3429</f>
        <v/>
      </c>
      <c r="M3429" t="inlineStr">
        <is>
          <t>1.350</t>
        </is>
      </c>
      <c r="N3429" t="inlineStr">
        <is>
          <t>Modalidade: 0 - Por conta do remetente | Parte: ARMAZEM DO QUEIJO COMERCIO DE LATICINIOS LTDA (33.554.984/0002-92)</t>
        </is>
      </c>
      <c r="O3429" s="29" t="n">
        <v>0</v>
      </c>
      <c r="P3429" s="29" t="n">
        <v>0</v>
      </c>
      <c r="Q3429" s="29" t="n">
        <v>0</v>
      </c>
      <c r="R3429" s="29" t="n">
        <v>0</v>
      </c>
      <c r="S3429" s="29" t="n">
        <v>0</v>
      </c>
      <c r="T3429" t="inlineStr">
        <is>
          <t>25260526975620000130570010000070641001101443</t>
        </is>
      </c>
      <c r="U3429" t="inlineStr">
        <is>
          <t>Não</t>
        </is>
      </c>
    </row>
    <row r="3430">
      <c r="A3430" t="inlineStr">
        <is>
          <t>Frete de venda</t>
        </is>
      </c>
      <c r="B3430" t="inlineStr">
        <is>
          <t>2.01.02 Frete sobre Vendas</t>
        </is>
      </c>
      <c r="C3430" s="30" t="n">
        <v>46143</v>
      </c>
      <c r="D3430" t="inlineStr">
        <is>
          <t>Em 2026</t>
        </is>
      </c>
      <c r="E3430" s="28" t="n">
        <v>46157</v>
      </c>
      <c r="F3430" t="inlineStr">
        <is>
          <t>CT-e</t>
        </is>
      </c>
      <c r="G3430" t="inlineStr">
        <is>
          <t>000007065</t>
        </is>
      </c>
      <c r="H3430" t="inlineStr">
        <is>
          <t>R&amp;R TRANSPORTE E LOGISTICA</t>
        </is>
      </c>
      <c r="J3430" s="29" t="n">
        <v>59.7</v>
      </c>
      <c r="K3430" s="29">
        <f>(1-ISNUMBER(SEARCH("556",M3430)))*(O3430*SUMIFS(Premissas!$C$5:$C$44,Premissas!$A$5:$A$44,$A3430,Premissas!$B$5:$B$44,$B3430)+P3430*SUMIFS(Premissas!$D$5:$D$44,Premissas!$A$5:$A$44,$A3430,Premissas!$B$5:$B$44,$B3430))+R3430*SUMIFS(Premissas!$E$5:$E$44,Premissas!$A$5:$A$44,$A3430,Premissas!$B$5:$B$44,$B3430)+S3430*SUMIFS(Premissas!$F$5:$F$44,Premissas!$A$5:$A$44,$A3430,Premissas!$B$5:$B$44,$B3430)</f>
        <v/>
      </c>
      <c r="L3430" s="29">
        <f>J3430-K3430</f>
        <v/>
      </c>
      <c r="M3430" t="inlineStr">
        <is>
          <t>1.350</t>
        </is>
      </c>
      <c r="N3430" t="inlineStr">
        <is>
          <t>Modalidade: 0 - Por conta do remetente | Parte: L. C. DE ANDRADE LTDA (51.921.825/0001-80)</t>
        </is>
      </c>
      <c r="O3430" s="29" t="n">
        <v>0</v>
      </c>
      <c r="P3430" s="29" t="n">
        <v>0</v>
      </c>
      <c r="Q3430" s="29" t="n">
        <v>0</v>
      </c>
      <c r="R3430" s="29" t="n">
        <v>0</v>
      </c>
      <c r="S3430" s="29" t="n">
        <v>0</v>
      </c>
      <c r="T3430" t="inlineStr">
        <is>
          <t>25260526975620000130570010000070651001901528</t>
        </is>
      </c>
      <c r="U3430" t="inlineStr">
        <is>
          <t>Não</t>
        </is>
      </c>
    </row>
    <row r="3431">
      <c r="A3431" t="inlineStr">
        <is>
          <t>Frete de venda</t>
        </is>
      </c>
      <c r="B3431" t="inlineStr">
        <is>
          <t>2.01.02 Frete sobre Vendas</t>
        </is>
      </c>
      <c r="C3431" s="30" t="n">
        <v>46143</v>
      </c>
      <c r="D3431" t="inlineStr">
        <is>
          <t>Em 2026</t>
        </is>
      </c>
      <c r="E3431" s="28" t="n">
        <v>46157</v>
      </c>
      <c r="F3431" t="inlineStr">
        <is>
          <t>CT-e</t>
        </is>
      </c>
      <c r="G3431" t="inlineStr">
        <is>
          <t>000007066</t>
        </is>
      </c>
      <c r="H3431" t="inlineStr">
        <is>
          <t>R&amp;R TRANSPORTE E LOGISTICA</t>
        </is>
      </c>
      <c r="J3431" s="29" t="n">
        <v>51.67</v>
      </c>
      <c r="K3431" s="29">
        <f>(1-ISNUMBER(SEARCH("556",M3431)))*(O3431*SUMIFS(Premissas!$C$5:$C$44,Premissas!$A$5:$A$44,$A3431,Premissas!$B$5:$B$44,$B3431)+P3431*SUMIFS(Premissas!$D$5:$D$44,Premissas!$A$5:$A$44,$A3431,Premissas!$B$5:$B$44,$B3431))+R3431*SUMIFS(Premissas!$E$5:$E$44,Premissas!$A$5:$A$44,$A3431,Premissas!$B$5:$B$44,$B3431)+S3431*SUMIFS(Premissas!$F$5:$F$44,Premissas!$A$5:$A$44,$A3431,Premissas!$B$5:$B$44,$B3431)</f>
        <v/>
      </c>
      <c r="L3431" s="29">
        <f>J3431-K3431</f>
        <v/>
      </c>
      <c r="M3431" t="inlineStr">
        <is>
          <t>1.350</t>
        </is>
      </c>
      <c r="N3431" t="inlineStr">
        <is>
          <t>Modalidade: 0 - Por conta do remetente | Parte: RM FRIOS (39.405.968/0001-33)</t>
        </is>
      </c>
      <c r="O3431" s="29" t="n">
        <v>0</v>
      </c>
      <c r="P3431" s="29" t="n">
        <v>0</v>
      </c>
      <c r="Q3431" s="29" t="n">
        <v>0</v>
      </c>
      <c r="R3431" s="29" t="n">
        <v>0</v>
      </c>
      <c r="S3431" s="29" t="n">
        <v>0</v>
      </c>
      <c r="T3431" t="inlineStr">
        <is>
          <t>25260526975620000130570010000070661001601602</t>
        </is>
      </c>
      <c r="U3431" t="inlineStr">
        <is>
          <t>Não</t>
        </is>
      </c>
    </row>
    <row r="3432">
      <c r="A3432" t="inlineStr">
        <is>
          <t>Frete de venda</t>
        </is>
      </c>
      <c r="B3432" t="inlineStr">
        <is>
          <t>2.01.02 Frete sobre Vendas</t>
        </is>
      </c>
      <c r="C3432" s="30" t="n">
        <v>46143</v>
      </c>
      <c r="D3432" t="inlineStr">
        <is>
          <t>Em 2026</t>
        </is>
      </c>
      <c r="E3432" s="28" t="n">
        <v>46157</v>
      </c>
      <c r="F3432" t="inlineStr">
        <is>
          <t>CT-e</t>
        </is>
      </c>
      <c r="G3432" t="inlineStr">
        <is>
          <t>000007067</t>
        </is>
      </c>
      <c r="H3432" t="inlineStr">
        <is>
          <t>R&amp;R TRANSPORTE E LOGISTICA</t>
        </is>
      </c>
      <c r="J3432" s="29" t="n">
        <v>53.07</v>
      </c>
      <c r="K3432" s="29">
        <f>(1-ISNUMBER(SEARCH("556",M3432)))*(O3432*SUMIFS(Premissas!$C$5:$C$44,Premissas!$A$5:$A$44,$A3432,Premissas!$B$5:$B$44,$B3432)+P3432*SUMIFS(Premissas!$D$5:$D$44,Premissas!$A$5:$A$44,$A3432,Premissas!$B$5:$B$44,$B3432))+R3432*SUMIFS(Premissas!$E$5:$E$44,Premissas!$A$5:$A$44,$A3432,Premissas!$B$5:$B$44,$B3432)+S3432*SUMIFS(Premissas!$F$5:$F$44,Premissas!$A$5:$A$44,$A3432,Premissas!$B$5:$B$44,$B3432)</f>
        <v/>
      </c>
      <c r="L3432" s="29">
        <f>J3432-K3432</f>
        <v/>
      </c>
      <c r="M3432" t="inlineStr">
        <is>
          <t>1.350</t>
        </is>
      </c>
      <c r="N3432" t="inlineStr">
        <is>
          <t>Modalidade: 0 - Por conta do remetente | Parte: MERCANTIL DANTAS LTDA (03.581.785/0001-21)</t>
        </is>
      </c>
      <c r="O3432" s="29" t="n">
        <v>0</v>
      </c>
      <c r="P3432" s="29" t="n">
        <v>0</v>
      </c>
      <c r="Q3432" s="29" t="n">
        <v>0</v>
      </c>
      <c r="R3432" s="29" t="n">
        <v>0</v>
      </c>
      <c r="S3432" s="29" t="n">
        <v>0</v>
      </c>
      <c r="T3432" t="inlineStr">
        <is>
          <t>25260526975620000130570010000070671001301681</t>
        </is>
      </c>
      <c r="U3432" t="inlineStr">
        <is>
          <t>Não</t>
        </is>
      </c>
    </row>
    <row r="3433">
      <c r="A3433" t="inlineStr">
        <is>
          <t>Frete de venda</t>
        </is>
      </c>
      <c r="B3433" t="inlineStr">
        <is>
          <t>2.01.02 Frete sobre Vendas</t>
        </is>
      </c>
      <c r="C3433" s="30" t="n">
        <v>46143</v>
      </c>
      <c r="D3433" t="inlineStr">
        <is>
          <t>Em 2026</t>
        </is>
      </c>
      <c r="E3433" s="28" t="n">
        <v>46157</v>
      </c>
      <c r="F3433" t="inlineStr">
        <is>
          <t>CT-e</t>
        </is>
      </c>
      <c r="G3433" t="inlineStr">
        <is>
          <t>000007068</t>
        </is>
      </c>
      <c r="H3433" t="inlineStr">
        <is>
          <t>R&amp;R TRANSPORTE E LOGISTICA</t>
        </is>
      </c>
      <c r="J3433" s="29" t="n">
        <v>128.55</v>
      </c>
      <c r="K3433" s="29">
        <f>(1-ISNUMBER(SEARCH("556",M3433)))*(O3433*SUMIFS(Premissas!$C$5:$C$44,Premissas!$A$5:$A$44,$A3433,Premissas!$B$5:$B$44,$B3433)+P3433*SUMIFS(Premissas!$D$5:$D$44,Premissas!$A$5:$A$44,$A3433,Premissas!$B$5:$B$44,$B3433))+R3433*SUMIFS(Premissas!$E$5:$E$44,Premissas!$A$5:$A$44,$A3433,Premissas!$B$5:$B$44,$B3433)+S3433*SUMIFS(Premissas!$F$5:$F$44,Premissas!$A$5:$A$44,$A3433,Premissas!$B$5:$B$44,$B3433)</f>
        <v/>
      </c>
      <c r="L3433" s="29">
        <f>J3433-K3433</f>
        <v/>
      </c>
      <c r="M3433" t="inlineStr">
        <is>
          <t>1.350</t>
        </is>
      </c>
      <c r="N3433" t="inlineStr">
        <is>
          <t>Modalidade: 0 - Por conta do remetente | Parte: A. C. D. A. IMPORTACAO E EXPORTACAO LTDA (84.308.980/0008-50)</t>
        </is>
      </c>
      <c r="O3433" s="29" t="n">
        <v>0</v>
      </c>
      <c r="P3433" s="29" t="n">
        <v>0</v>
      </c>
      <c r="Q3433" s="29" t="n">
        <v>0</v>
      </c>
      <c r="R3433" s="29" t="n">
        <v>0</v>
      </c>
      <c r="S3433" s="29" t="n">
        <v>0</v>
      </c>
      <c r="T3433" t="inlineStr">
        <is>
          <t>25260526975620000130570010000070681001401039</t>
        </is>
      </c>
      <c r="U3433" t="inlineStr">
        <is>
          <t>Não</t>
        </is>
      </c>
    </row>
    <row r="3434">
      <c r="A3434" t="inlineStr">
        <is>
          <t>Frete de venda</t>
        </is>
      </c>
      <c r="B3434" t="inlineStr">
        <is>
          <t>2.01.02 Frete sobre Vendas</t>
        </is>
      </c>
      <c r="C3434" s="30" t="n">
        <v>46143</v>
      </c>
      <c r="D3434" t="inlineStr">
        <is>
          <t>Em 2026</t>
        </is>
      </c>
      <c r="E3434" s="28" t="n">
        <v>46157</v>
      </c>
      <c r="F3434" t="inlineStr">
        <is>
          <t>CT-e</t>
        </is>
      </c>
      <c r="G3434" t="inlineStr">
        <is>
          <t>000007069</t>
        </is>
      </c>
      <c r="H3434" t="inlineStr">
        <is>
          <t>R&amp;R TRANSPORTE E LOGISTICA</t>
        </is>
      </c>
      <c r="J3434" s="29" t="n">
        <v>23.68</v>
      </c>
      <c r="K3434" s="29">
        <f>(1-ISNUMBER(SEARCH("556",M3434)))*(O3434*SUMIFS(Premissas!$C$5:$C$44,Premissas!$A$5:$A$44,$A3434,Premissas!$B$5:$B$44,$B3434)+P3434*SUMIFS(Premissas!$D$5:$D$44,Premissas!$A$5:$A$44,$A3434,Premissas!$B$5:$B$44,$B3434))+R3434*SUMIFS(Premissas!$E$5:$E$44,Premissas!$A$5:$A$44,$A3434,Premissas!$B$5:$B$44,$B3434)+S3434*SUMIFS(Premissas!$F$5:$F$44,Premissas!$A$5:$A$44,$A3434,Premissas!$B$5:$B$44,$B3434)</f>
        <v/>
      </c>
      <c r="L3434" s="29">
        <f>J3434-K3434</f>
        <v/>
      </c>
      <c r="M3434" t="inlineStr">
        <is>
          <t>1.350</t>
        </is>
      </c>
      <c r="N3434" t="inlineStr">
        <is>
          <t>Modalidade: 0 - Por conta do remetente | Parte: DISTRIBUIDORA DE EMBALAGENS UNIVERSO LTDA (12.555.781/0001-60)</t>
        </is>
      </c>
      <c r="O3434" s="29" t="n">
        <v>0</v>
      </c>
      <c r="P3434" s="29" t="n">
        <v>0</v>
      </c>
      <c r="Q3434" s="29" t="n">
        <v>0</v>
      </c>
      <c r="R3434" s="29" t="n">
        <v>0</v>
      </c>
      <c r="S3434" s="29" t="n">
        <v>0</v>
      </c>
      <c r="T3434" t="inlineStr">
        <is>
          <t>25260526975620000130570010000070691001101113</t>
        </is>
      </c>
      <c r="U3434" t="inlineStr">
        <is>
          <t>Não</t>
        </is>
      </c>
    </row>
    <row r="3435">
      <c r="A3435" t="inlineStr">
        <is>
          <t>Frete de venda</t>
        </is>
      </c>
      <c r="B3435" t="inlineStr">
        <is>
          <t>2.01.02 Frete sobre Vendas</t>
        </is>
      </c>
      <c r="C3435" s="30" t="n">
        <v>46143</v>
      </c>
      <c r="D3435" t="inlineStr">
        <is>
          <t>Em 2026</t>
        </is>
      </c>
      <c r="E3435" s="28" t="n">
        <v>46157</v>
      </c>
      <c r="F3435" t="inlineStr">
        <is>
          <t>CT-e</t>
        </is>
      </c>
      <c r="G3435" t="inlineStr">
        <is>
          <t>000007070</t>
        </is>
      </c>
      <c r="H3435" t="inlineStr">
        <is>
          <t>R&amp;R TRANSPORTE E LOGISTICA</t>
        </is>
      </c>
      <c r="J3435" s="29" t="n">
        <v>61.82</v>
      </c>
      <c r="K3435" s="29">
        <f>(1-ISNUMBER(SEARCH("556",M3435)))*(O3435*SUMIFS(Premissas!$C$5:$C$44,Premissas!$A$5:$A$44,$A3435,Premissas!$B$5:$B$44,$B3435)+P3435*SUMIFS(Premissas!$D$5:$D$44,Premissas!$A$5:$A$44,$A3435,Premissas!$B$5:$B$44,$B3435))+R3435*SUMIFS(Premissas!$E$5:$E$44,Premissas!$A$5:$A$44,$A3435,Premissas!$B$5:$B$44,$B3435)+S3435*SUMIFS(Premissas!$F$5:$F$44,Premissas!$A$5:$A$44,$A3435,Premissas!$B$5:$B$44,$B3435)</f>
        <v/>
      </c>
      <c r="L3435" s="29">
        <f>J3435-K3435</f>
        <v/>
      </c>
      <c r="M3435" t="inlineStr">
        <is>
          <t>1.350</t>
        </is>
      </c>
      <c r="N3435" t="inlineStr">
        <is>
          <t>Modalidade: 0 - Por conta do remetente | Parte: F. C. EMBALAGENS e SALGADINHOS (14.025.694/0001-26)</t>
        </is>
      </c>
      <c r="O3435" s="29" t="n">
        <v>0</v>
      </c>
      <c r="P3435" s="29" t="n">
        <v>0</v>
      </c>
      <c r="Q3435" s="29" t="n">
        <v>0</v>
      </c>
      <c r="R3435" s="29" t="n">
        <v>0</v>
      </c>
      <c r="S3435" s="29" t="n">
        <v>0</v>
      </c>
      <c r="T3435" t="inlineStr">
        <is>
          <t>25260526975620000130570010000070701001901196</t>
        </is>
      </c>
      <c r="U3435" t="inlineStr">
        <is>
          <t>Não</t>
        </is>
      </c>
    </row>
    <row r="3436">
      <c r="A3436" t="inlineStr">
        <is>
          <t>Frete de venda</t>
        </is>
      </c>
      <c r="B3436" t="inlineStr">
        <is>
          <t>2.01.02 Frete sobre Vendas</t>
        </is>
      </c>
      <c r="C3436" s="30" t="n">
        <v>46143</v>
      </c>
      <c r="D3436" t="inlineStr">
        <is>
          <t>Em 2026</t>
        </is>
      </c>
      <c r="E3436" s="28" t="n">
        <v>46157</v>
      </c>
      <c r="F3436" t="inlineStr">
        <is>
          <t>CT-e</t>
        </is>
      </c>
      <c r="G3436" t="inlineStr">
        <is>
          <t>000007071</t>
        </is>
      </c>
      <c r="H3436" t="inlineStr">
        <is>
          <t>R&amp;R TRANSPORTE E LOGISTICA</t>
        </is>
      </c>
      <c r="J3436" s="29" t="n">
        <v>50.97</v>
      </c>
      <c r="K3436" s="29">
        <f>(1-ISNUMBER(SEARCH("556",M3436)))*(O3436*SUMIFS(Premissas!$C$5:$C$44,Premissas!$A$5:$A$44,$A3436,Premissas!$B$5:$B$44,$B3436)+P3436*SUMIFS(Premissas!$D$5:$D$44,Premissas!$A$5:$A$44,$A3436,Premissas!$B$5:$B$44,$B3436))+R3436*SUMIFS(Premissas!$E$5:$E$44,Premissas!$A$5:$A$44,$A3436,Premissas!$B$5:$B$44,$B3436)+S3436*SUMIFS(Premissas!$F$5:$F$44,Premissas!$A$5:$A$44,$A3436,Premissas!$B$5:$B$44,$B3436)</f>
        <v/>
      </c>
      <c r="L3436" s="29">
        <f>J3436-K3436</f>
        <v/>
      </c>
      <c r="M3436" t="inlineStr">
        <is>
          <t>1.350</t>
        </is>
      </c>
      <c r="N3436" t="inlineStr">
        <is>
          <t>Modalidade: 0 - Por conta do remetente | Parte: SOL COMERCIO DE EMBALAGENS LTDA (48.993.949/0001-66)</t>
        </is>
      </c>
      <c r="O3436" s="29" t="n">
        <v>0</v>
      </c>
      <c r="P3436" s="29" t="n">
        <v>0</v>
      </c>
      <c r="Q3436" s="29" t="n">
        <v>0</v>
      </c>
      <c r="R3436" s="29" t="n">
        <v>0</v>
      </c>
      <c r="S3436" s="29" t="n">
        <v>0</v>
      </c>
      <c r="T3436" t="inlineStr">
        <is>
          <t>25260526975620000130570010000070711001601270</t>
        </is>
      </c>
      <c r="U3436" t="inlineStr">
        <is>
          <t>Não</t>
        </is>
      </c>
    </row>
    <row r="3437">
      <c r="A3437" t="inlineStr">
        <is>
          <t>Frete de venda</t>
        </is>
      </c>
      <c r="B3437" t="inlineStr">
        <is>
          <t>2.01.02 Frete sobre Vendas</t>
        </is>
      </c>
      <c r="C3437" s="30" t="n">
        <v>46143</v>
      </c>
      <c r="D3437" t="inlineStr">
        <is>
          <t>Em 2026</t>
        </is>
      </c>
      <c r="E3437" s="28" t="n">
        <v>46157</v>
      </c>
      <c r="F3437" t="inlineStr">
        <is>
          <t>CT-e</t>
        </is>
      </c>
      <c r="G3437" t="inlineStr">
        <is>
          <t>000007072</t>
        </is>
      </c>
      <c r="H3437" t="inlineStr">
        <is>
          <t>R&amp;R TRANSPORTE E LOGISTICA</t>
        </is>
      </c>
      <c r="J3437" s="29" t="n">
        <v>29.69</v>
      </c>
      <c r="K3437" s="29">
        <f>(1-ISNUMBER(SEARCH("556",M3437)))*(O3437*SUMIFS(Premissas!$C$5:$C$44,Premissas!$A$5:$A$44,$A3437,Premissas!$B$5:$B$44,$B3437)+P3437*SUMIFS(Premissas!$D$5:$D$44,Premissas!$A$5:$A$44,$A3437,Premissas!$B$5:$B$44,$B3437))+R3437*SUMIFS(Premissas!$E$5:$E$44,Premissas!$A$5:$A$44,$A3437,Premissas!$B$5:$B$44,$B3437)+S3437*SUMIFS(Premissas!$F$5:$F$44,Premissas!$A$5:$A$44,$A3437,Premissas!$B$5:$B$44,$B3437)</f>
        <v/>
      </c>
      <c r="L3437" s="29">
        <f>J3437-K3437</f>
        <v/>
      </c>
      <c r="M3437" t="inlineStr">
        <is>
          <t>1.350</t>
        </is>
      </c>
      <c r="N3437" t="inlineStr">
        <is>
          <t>Modalidade: 0 - Por conta do remetente | Parte: PSR SANTA RITA ATACADISTA LTDA (48.284.402/0001-91)</t>
        </is>
      </c>
      <c r="O3437" s="29" t="n">
        <v>0</v>
      </c>
      <c r="P3437" s="29" t="n">
        <v>0</v>
      </c>
      <c r="Q3437" s="29" t="n">
        <v>0</v>
      </c>
      <c r="R3437" s="29" t="n">
        <v>0</v>
      </c>
      <c r="S3437" s="29" t="n">
        <v>0</v>
      </c>
      <c r="T3437" t="inlineStr">
        <is>
          <t>25260526975620000130570010000070721001301355</t>
        </is>
      </c>
      <c r="U3437" t="inlineStr">
        <is>
          <t>Não</t>
        </is>
      </c>
    </row>
    <row r="3438">
      <c r="A3438" t="inlineStr">
        <is>
          <t>Frete de venda</t>
        </is>
      </c>
      <c r="B3438" t="inlineStr">
        <is>
          <t>2.01.02 Frete sobre Vendas</t>
        </is>
      </c>
      <c r="C3438" s="30" t="n">
        <v>46143</v>
      </c>
      <c r="D3438" t="inlineStr">
        <is>
          <t>Em 2026</t>
        </is>
      </c>
      <c r="E3438" s="28" t="n">
        <v>46157</v>
      </c>
      <c r="F3438" t="inlineStr">
        <is>
          <t>CT-e</t>
        </is>
      </c>
      <c r="G3438" t="inlineStr">
        <is>
          <t>000007073</t>
        </is>
      </c>
      <c r="H3438" t="inlineStr">
        <is>
          <t>R&amp;R TRANSPORTE E LOGISTICA</t>
        </is>
      </c>
      <c r="J3438" s="29" t="n">
        <v>34.8</v>
      </c>
      <c r="K3438" s="29">
        <f>(1-ISNUMBER(SEARCH("556",M3438)))*(O3438*SUMIFS(Premissas!$C$5:$C$44,Premissas!$A$5:$A$44,$A3438,Premissas!$B$5:$B$44,$B3438)+P3438*SUMIFS(Premissas!$D$5:$D$44,Premissas!$A$5:$A$44,$A3438,Premissas!$B$5:$B$44,$B3438))+R3438*SUMIFS(Premissas!$E$5:$E$44,Premissas!$A$5:$A$44,$A3438,Premissas!$B$5:$B$44,$B3438)+S3438*SUMIFS(Premissas!$F$5:$F$44,Premissas!$A$5:$A$44,$A3438,Premissas!$B$5:$B$44,$B3438)</f>
        <v/>
      </c>
      <c r="L3438" s="29">
        <f>J3438-K3438</f>
        <v/>
      </c>
      <c r="M3438" t="inlineStr">
        <is>
          <t>1.350</t>
        </is>
      </c>
      <c r="N3438" t="inlineStr">
        <is>
          <t>Modalidade: 0 - Por conta do remetente | Parte: ALMEIDA CARDOSO EMBALAGENS LTDA (17.514.242/0001-04)</t>
        </is>
      </c>
      <c r="O3438" s="29" t="n">
        <v>0</v>
      </c>
      <c r="P3438" s="29" t="n">
        <v>0</v>
      </c>
      <c r="Q3438" s="29" t="n">
        <v>0</v>
      </c>
      <c r="R3438" s="29" t="n">
        <v>0</v>
      </c>
      <c r="S3438" s="29" t="n">
        <v>0</v>
      </c>
      <c r="T3438" t="inlineStr">
        <is>
          <t>25260526975620000130570010000070731000101430</t>
        </is>
      </c>
      <c r="U3438" t="inlineStr">
        <is>
          <t>Não</t>
        </is>
      </c>
    </row>
    <row r="3439">
      <c r="A3439" t="inlineStr">
        <is>
          <t>Frete de venda</t>
        </is>
      </c>
      <c r="B3439" t="inlineStr">
        <is>
          <t>2.01.02 Frete sobre Vendas</t>
        </is>
      </c>
      <c r="C3439" s="30" t="n">
        <v>46143</v>
      </c>
      <c r="D3439" t="inlineStr">
        <is>
          <t>Em 2026</t>
        </is>
      </c>
      <c r="E3439" s="28" t="n">
        <v>46157</v>
      </c>
      <c r="F3439" t="inlineStr">
        <is>
          <t>CT-e</t>
        </is>
      </c>
      <c r="G3439" t="inlineStr">
        <is>
          <t>000007074</t>
        </is>
      </c>
      <c r="H3439" t="inlineStr">
        <is>
          <t>R&amp;R TRANSPORTE E LOGISTICA</t>
        </is>
      </c>
      <c r="J3439" s="29" t="n">
        <v>27.49</v>
      </c>
      <c r="K3439" s="29">
        <f>(1-ISNUMBER(SEARCH("556",M3439)))*(O3439*SUMIFS(Premissas!$C$5:$C$44,Premissas!$A$5:$A$44,$A3439,Premissas!$B$5:$B$44,$B3439)+P3439*SUMIFS(Premissas!$D$5:$D$44,Premissas!$A$5:$A$44,$A3439,Premissas!$B$5:$B$44,$B3439))+R3439*SUMIFS(Premissas!$E$5:$E$44,Premissas!$A$5:$A$44,$A3439,Premissas!$B$5:$B$44,$B3439)+S3439*SUMIFS(Premissas!$F$5:$F$44,Premissas!$A$5:$A$44,$A3439,Premissas!$B$5:$B$44,$B3439)</f>
        <v/>
      </c>
      <c r="L3439" s="29">
        <f>J3439-K3439</f>
        <v/>
      </c>
      <c r="M3439" t="inlineStr">
        <is>
          <t>1.350</t>
        </is>
      </c>
      <c r="N3439" t="inlineStr">
        <is>
          <t>Modalidade: 0 - Por conta do remetente | Parte: IRACI ROSA DA CUNHA LTDA (01.180.241/0001-22)</t>
        </is>
      </c>
      <c r="O3439" s="29" t="n">
        <v>0</v>
      </c>
      <c r="P3439" s="29" t="n">
        <v>0</v>
      </c>
      <c r="Q3439" s="29" t="n">
        <v>0</v>
      </c>
      <c r="R3439" s="29" t="n">
        <v>0</v>
      </c>
      <c r="S3439" s="29" t="n">
        <v>0</v>
      </c>
      <c r="T3439" t="inlineStr">
        <is>
          <t>25260526975620000130570010000070741001801514</t>
        </is>
      </c>
      <c r="U3439" t="inlineStr">
        <is>
          <t>Não</t>
        </is>
      </c>
    </row>
    <row r="3440">
      <c r="A3440" t="inlineStr">
        <is>
          <t>Frete de venda</t>
        </is>
      </c>
      <c r="B3440" t="inlineStr">
        <is>
          <t>2.01.02 Frete sobre Vendas</t>
        </is>
      </c>
      <c r="C3440" s="30" t="n">
        <v>46143</v>
      </c>
      <c r="D3440" t="inlineStr">
        <is>
          <t>Em 2026</t>
        </is>
      </c>
      <c r="E3440" s="28" t="n">
        <v>46157</v>
      </c>
      <c r="F3440" t="inlineStr">
        <is>
          <t>CT-e</t>
        </is>
      </c>
      <c r="G3440" t="inlineStr">
        <is>
          <t>000007078</t>
        </is>
      </c>
      <c r="H3440" t="inlineStr">
        <is>
          <t>R&amp;R TRANSPORTE E LOGISTICA</t>
        </is>
      </c>
      <c r="J3440" s="29" t="n">
        <v>50.87</v>
      </c>
      <c r="K3440" s="29">
        <f>(1-ISNUMBER(SEARCH("556",M3440)))*(O3440*SUMIFS(Premissas!$C$5:$C$44,Premissas!$A$5:$A$44,$A3440,Premissas!$B$5:$B$44,$B3440)+P3440*SUMIFS(Premissas!$D$5:$D$44,Premissas!$A$5:$A$44,$A3440,Premissas!$B$5:$B$44,$B3440))+R3440*SUMIFS(Premissas!$E$5:$E$44,Premissas!$A$5:$A$44,$A3440,Premissas!$B$5:$B$44,$B3440)+S3440*SUMIFS(Premissas!$F$5:$F$44,Premissas!$A$5:$A$44,$A3440,Premissas!$B$5:$B$44,$B3440)</f>
        <v/>
      </c>
      <c r="L3440" s="29">
        <f>J3440-K3440</f>
        <v/>
      </c>
      <c r="M3440" t="inlineStr">
        <is>
          <t>1.350</t>
        </is>
      </c>
      <c r="N3440" t="inlineStr">
        <is>
          <t>Modalidade: 0 - Por conta do remetente | Parte: JAMES L H TOME e CIA LTDA (16.965.024/0008-91)</t>
        </is>
      </c>
      <c r="O3440" s="29" t="n">
        <v>0</v>
      </c>
      <c r="P3440" s="29" t="n">
        <v>0</v>
      </c>
      <c r="Q3440" s="29" t="n">
        <v>0</v>
      </c>
      <c r="R3440" s="29" t="n">
        <v>0</v>
      </c>
      <c r="S3440" s="29" t="n">
        <v>0</v>
      </c>
      <c r="T3440" t="inlineStr">
        <is>
          <t>25260526975620000130570010000070781001201125</t>
        </is>
      </c>
      <c r="U3440" t="inlineStr">
        <is>
          <t>Não</t>
        </is>
      </c>
    </row>
    <row r="3441">
      <c r="A3441" t="inlineStr">
        <is>
          <t>Frete de venda</t>
        </is>
      </c>
      <c r="B3441" t="inlineStr">
        <is>
          <t>2.01.02 Frete sobre Vendas</t>
        </is>
      </c>
      <c r="C3441" s="30" t="n">
        <v>46143</v>
      </c>
      <c r="D3441" t="inlineStr">
        <is>
          <t>Em 2026</t>
        </is>
      </c>
      <c r="E3441" s="28" t="n">
        <v>46157</v>
      </c>
      <c r="F3441" t="inlineStr">
        <is>
          <t>CT-e</t>
        </is>
      </c>
      <c r="G3441" t="inlineStr">
        <is>
          <t>000007079</t>
        </is>
      </c>
      <c r="H3441" t="inlineStr">
        <is>
          <t>R&amp;R TRANSPORTE E LOGISTICA</t>
        </is>
      </c>
      <c r="J3441" s="29" t="n">
        <v>39.18</v>
      </c>
      <c r="K3441" s="29">
        <f>(1-ISNUMBER(SEARCH("556",M3441)))*(O3441*SUMIFS(Premissas!$C$5:$C$44,Premissas!$A$5:$A$44,$A3441,Premissas!$B$5:$B$44,$B3441)+P3441*SUMIFS(Premissas!$D$5:$D$44,Premissas!$A$5:$A$44,$A3441,Premissas!$B$5:$B$44,$B3441))+R3441*SUMIFS(Premissas!$E$5:$E$44,Premissas!$A$5:$A$44,$A3441,Premissas!$B$5:$B$44,$B3441)+S3441*SUMIFS(Premissas!$F$5:$F$44,Premissas!$A$5:$A$44,$A3441,Premissas!$B$5:$B$44,$B3441)</f>
        <v/>
      </c>
      <c r="L3441" s="29">
        <f>J3441-K3441</f>
        <v/>
      </c>
      <c r="M3441" t="inlineStr">
        <is>
          <t>1.350</t>
        </is>
      </c>
      <c r="N3441" t="inlineStr">
        <is>
          <t>Modalidade: 0 - Por conta do remetente | Parte: JAMES L. H. TOME e CIA LTDA (16.965.024/0003-87)</t>
        </is>
      </c>
      <c r="O3441" s="29" t="n">
        <v>0</v>
      </c>
      <c r="P3441" s="29" t="n">
        <v>0</v>
      </c>
      <c r="Q3441" s="29" t="n">
        <v>0</v>
      </c>
      <c r="R3441" s="29" t="n">
        <v>0</v>
      </c>
      <c r="S3441" s="29" t="n">
        <v>0</v>
      </c>
      <c r="T3441" t="inlineStr">
        <is>
          <t>25260526975620000130570010000070791011001207</t>
        </is>
      </c>
      <c r="U3441" t="inlineStr">
        <is>
          <t>Não</t>
        </is>
      </c>
    </row>
    <row r="3442">
      <c r="A3442" t="inlineStr">
        <is>
          <t>Frete de venda</t>
        </is>
      </c>
      <c r="B3442" t="inlineStr">
        <is>
          <t>2.01.02 Frete sobre Vendas</t>
        </is>
      </c>
      <c r="C3442" s="30" t="n">
        <v>46143</v>
      </c>
      <c r="D3442" t="inlineStr">
        <is>
          <t>Em 2026</t>
        </is>
      </c>
      <c r="E3442" s="28" t="n">
        <v>46157</v>
      </c>
      <c r="F3442" t="inlineStr">
        <is>
          <t>CT-e</t>
        </is>
      </c>
      <c r="G3442" t="inlineStr">
        <is>
          <t>000007080</t>
        </is>
      </c>
      <c r="H3442" t="inlineStr">
        <is>
          <t>R&amp;R TRANSPORTE E LOGISTICA</t>
        </is>
      </c>
      <c r="J3442" s="29" t="n">
        <v>47.27</v>
      </c>
      <c r="K3442" s="29">
        <f>(1-ISNUMBER(SEARCH("556",M3442)))*(O3442*SUMIFS(Premissas!$C$5:$C$44,Premissas!$A$5:$A$44,$A3442,Premissas!$B$5:$B$44,$B3442)+P3442*SUMIFS(Premissas!$D$5:$D$44,Premissas!$A$5:$A$44,$A3442,Premissas!$B$5:$B$44,$B3442))+R3442*SUMIFS(Premissas!$E$5:$E$44,Premissas!$A$5:$A$44,$A3442,Premissas!$B$5:$B$44,$B3442)+S3442*SUMIFS(Premissas!$F$5:$F$44,Premissas!$A$5:$A$44,$A3442,Premissas!$B$5:$B$44,$B3442)</f>
        <v/>
      </c>
      <c r="L3442" s="29">
        <f>J3442-K3442</f>
        <v/>
      </c>
      <c r="M3442" t="inlineStr">
        <is>
          <t>1.350</t>
        </is>
      </c>
      <c r="N3442" t="inlineStr">
        <is>
          <t>Modalidade: 0 - Por conta do remetente | Parte: JAMES L. H. TOME e CIA LTDA (16.965.024/0007-00)</t>
        </is>
      </c>
      <c r="O3442" s="29" t="n">
        <v>0</v>
      </c>
      <c r="P3442" s="29" t="n">
        <v>0</v>
      </c>
      <c r="Q3442" s="29" t="n">
        <v>0</v>
      </c>
      <c r="R3442" s="29" t="n">
        <v>0</v>
      </c>
      <c r="S3442" s="29" t="n">
        <v>0</v>
      </c>
      <c r="T3442" t="inlineStr">
        <is>
          <t>25260526975620000130570010000070801001701282</t>
        </is>
      </c>
      <c r="U3442" t="inlineStr">
        <is>
          <t>Não</t>
        </is>
      </c>
    </row>
    <row r="3443">
      <c r="A3443" t="inlineStr">
        <is>
          <t>Frete de venda</t>
        </is>
      </c>
      <c r="B3443" t="inlineStr">
        <is>
          <t>2.01.02 Frete sobre Vendas</t>
        </is>
      </c>
      <c r="C3443" s="30" t="n">
        <v>46143</v>
      </c>
      <c r="D3443" t="inlineStr">
        <is>
          <t>Em 2026</t>
        </is>
      </c>
      <c r="E3443" s="28" t="n">
        <v>46157</v>
      </c>
      <c r="F3443" t="inlineStr">
        <is>
          <t>CT-e</t>
        </is>
      </c>
      <c r="G3443" t="inlineStr">
        <is>
          <t>000007081</t>
        </is>
      </c>
      <c r="H3443" t="inlineStr">
        <is>
          <t>R&amp;R TRANSPORTE E LOGISTICA</t>
        </is>
      </c>
      <c r="J3443" s="29" t="n">
        <v>95.01000000000001</v>
      </c>
      <c r="K3443" s="29">
        <f>(1-ISNUMBER(SEARCH("556",M3443)))*(O3443*SUMIFS(Premissas!$C$5:$C$44,Premissas!$A$5:$A$44,$A3443,Premissas!$B$5:$B$44,$B3443)+P3443*SUMIFS(Premissas!$D$5:$D$44,Premissas!$A$5:$A$44,$A3443,Premissas!$B$5:$B$44,$B3443))+R3443*SUMIFS(Premissas!$E$5:$E$44,Premissas!$A$5:$A$44,$A3443,Premissas!$B$5:$B$44,$B3443)+S3443*SUMIFS(Premissas!$F$5:$F$44,Premissas!$A$5:$A$44,$A3443,Premissas!$B$5:$B$44,$B3443)</f>
        <v/>
      </c>
      <c r="L3443" s="29">
        <f>J3443-K3443</f>
        <v/>
      </c>
      <c r="M3443" t="inlineStr">
        <is>
          <t>1.350</t>
        </is>
      </c>
      <c r="N3443" t="inlineStr">
        <is>
          <t>Modalidade: 0 - Por conta do remetente | Parte: M. N. ROCHA DE SOUSA LTDA (52.989.831/0001-31)</t>
        </is>
      </c>
      <c r="O3443" s="29" t="n">
        <v>0</v>
      </c>
      <c r="P3443" s="29" t="n">
        <v>0</v>
      </c>
      <c r="Q3443" s="29" t="n">
        <v>0</v>
      </c>
      <c r="R3443" s="29" t="n">
        <v>0</v>
      </c>
      <c r="S3443" s="29" t="n">
        <v>0</v>
      </c>
      <c r="T3443" t="inlineStr">
        <is>
          <t>25260526975620000130570010000070811001401367</t>
        </is>
      </c>
      <c r="U3443" t="inlineStr">
        <is>
          <t>Não</t>
        </is>
      </c>
    </row>
    <row r="3444">
      <c r="A3444" t="inlineStr">
        <is>
          <t>Frete de venda</t>
        </is>
      </c>
      <c r="B3444" t="inlineStr">
        <is>
          <t>2.01.02 Frete sobre Vendas</t>
        </is>
      </c>
      <c r="C3444" s="30" t="n">
        <v>46143</v>
      </c>
      <c r="D3444" t="inlineStr">
        <is>
          <t>Em 2026</t>
        </is>
      </c>
      <c r="E3444" s="28" t="n">
        <v>46157</v>
      </c>
      <c r="F3444" t="inlineStr">
        <is>
          <t>CT-e</t>
        </is>
      </c>
      <c r="G3444" t="inlineStr">
        <is>
          <t>000007082</t>
        </is>
      </c>
      <c r="H3444" t="inlineStr">
        <is>
          <t>R&amp;R TRANSPORTE E LOGISTICA</t>
        </is>
      </c>
      <c r="J3444" s="29" t="n">
        <v>49.15</v>
      </c>
      <c r="K3444" s="29">
        <f>(1-ISNUMBER(SEARCH("556",M3444)))*(O3444*SUMIFS(Premissas!$C$5:$C$44,Premissas!$A$5:$A$44,$A3444,Premissas!$B$5:$B$44,$B3444)+P3444*SUMIFS(Premissas!$D$5:$D$44,Premissas!$A$5:$A$44,$A3444,Premissas!$B$5:$B$44,$B3444))+R3444*SUMIFS(Premissas!$E$5:$E$44,Premissas!$A$5:$A$44,$A3444,Premissas!$B$5:$B$44,$B3444)+S3444*SUMIFS(Premissas!$F$5:$F$44,Premissas!$A$5:$A$44,$A3444,Premissas!$B$5:$B$44,$B3444)</f>
        <v/>
      </c>
      <c r="L3444" s="29">
        <f>J3444-K3444</f>
        <v/>
      </c>
      <c r="M3444" t="inlineStr">
        <is>
          <t>1.350</t>
        </is>
      </c>
      <c r="N3444" t="inlineStr">
        <is>
          <t>Modalidade: 0 - Por conta do remetente | Parte: JAMES L. H. TOME e CIA LTDA (16.965.024/0006-20)</t>
        </is>
      </c>
      <c r="O3444" s="29" t="n">
        <v>0</v>
      </c>
      <c r="P3444" s="29" t="n">
        <v>0</v>
      </c>
      <c r="Q3444" s="29" t="n">
        <v>0</v>
      </c>
      <c r="R3444" s="29" t="n">
        <v>0</v>
      </c>
      <c r="S3444" s="29" t="n">
        <v>0</v>
      </c>
      <c r="T3444" t="inlineStr">
        <is>
          <t>25260526975620000130570010000070821001101441</t>
        </is>
      </c>
      <c r="U3444" t="inlineStr">
        <is>
          <t>Não</t>
        </is>
      </c>
    </row>
    <row r="3445">
      <c r="A3445" t="inlineStr">
        <is>
          <t>Frete de venda</t>
        </is>
      </c>
      <c r="B3445" t="inlineStr">
        <is>
          <t>2.01.02 Frete sobre Vendas</t>
        </is>
      </c>
      <c r="C3445" s="30" t="n">
        <v>46143</v>
      </c>
      <c r="D3445" t="inlineStr">
        <is>
          <t>Em 2026</t>
        </is>
      </c>
      <c r="E3445" s="28" t="n">
        <v>46157</v>
      </c>
      <c r="F3445" t="inlineStr">
        <is>
          <t>CT-e</t>
        </is>
      </c>
      <c r="G3445" t="inlineStr">
        <is>
          <t>000007083</t>
        </is>
      </c>
      <c r="H3445" t="inlineStr">
        <is>
          <t>R&amp;R TRANSPORTE E LOGISTICA</t>
        </is>
      </c>
      <c r="J3445" s="29" t="n">
        <v>30.34</v>
      </c>
      <c r="K3445" s="29">
        <f>(1-ISNUMBER(SEARCH("556",M3445)))*(O3445*SUMIFS(Premissas!$C$5:$C$44,Premissas!$A$5:$A$44,$A3445,Premissas!$B$5:$B$44,$B3445)+P3445*SUMIFS(Premissas!$D$5:$D$44,Premissas!$A$5:$A$44,$A3445,Premissas!$B$5:$B$44,$B3445))+R3445*SUMIFS(Premissas!$E$5:$E$44,Premissas!$A$5:$A$44,$A3445,Premissas!$B$5:$B$44,$B3445)+S3445*SUMIFS(Premissas!$F$5:$F$44,Premissas!$A$5:$A$44,$A3445,Premissas!$B$5:$B$44,$B3445)</f>
        <v/>
      </c>
      <c r="L3445" s="29">
        <f>J3445-K3445</f>
        <v/>
      </c>
      <c r="M3445" t="inlineStr">
        <is>
          <t>1.350</t>
        </is>
      </c>
      <c r="N3445" t="inlineStr">
        <is>
          <t>Modalidade: 0 - Por conta do remetente | Parte: MARCIO C. RIBEIRO (07.428.119/0001-09)</t>
        </is>
      </c>
      <c r="O3445" s="29" t="n">
        <v>0</v>
      </c>
      <c r="P3445" s="29" t="n">
        <v>0</v>
      </c>
      <c r="Q3445" s="29" t="n">
        <v>0</v>
      </c>
      <c r="R3445" s="29" t="n">
        <v>0</v>
      </c>
      <c r="S3445" s="29" t="n">
        <v>0</v>
      </c>
      <c r="T3445" t="inlineStr">
        <is>
          <t>25260526975620000130570010000070831001901526</t>
        </is>
      </c>
      <c r="U3445" t="inlineStr">
        <is>
          <t>Não</t>
        </is>
      </c>
    </row>
    <row r="3446">
      <c r="A3446" t="inlineStr">
        <is>
          <t>Frete de venda</t>
        </is>
      </c>
      <c r="B3446" t="inlineStr">
        <is>
          <t>2.01.02 Frete sobre Vendas</t>
        </is>
      </c>
      <c r="C3446" s="30" t="n">
        <v>46143</v>
      </c>
      <c r="D3446" t="inlineStr">
        <is>
          <t>Em 2026</t>
        </is>
      </c>
      <c r="E3446" s="28" t="n">
        <v>46157</v>
      </c>
      <c r="F3446" t="inlineStr">
        <is>
          <t>CT-e</t>
        </is>
      </c>
      <c r="G3446" t="inlineStr">
        <is>
          <t>000007084</t>
        </is>
      </c>
      <c r="H3446" t="inlineStr">
        <is>
          <t>R&amp;R TRANSPORTE E LOGISTICA</t>
        </is>
      </c>
      <c r="J3446" s="29" t="n">
        <v>42.21</v>
      </c>
      <c r="K3446" s="29">
        <f>(1-ISNUMBER(SEARCH("556",M3446)))*(O3446*SUMIFS(Premissas!$C$5:$C$44,Premissas!$A$5:$A$44,$A3446,Premissas!$B$5:$B$44,$B3446)+P3446*SUMIFS(Premissas!$D$5:$D$44,Premissas!$A$5:$A$44,$A3446,Premissas!$B$5:$B$44,$B3446))+R3446*SUMIFS(Premissas!$E$5:$E$44,Premissas!$A$5:$A$44,$A3446,Premissas!$B$5:$B$44,$B3446)+S3446*SUMIFS(Premissas!$F$5:$F$44,Premissas!$A$5:$A$44,$A3446,Premissas!$B$5:$B$44,$B3446)</f>
        <v/>
      </c>
      <c r="L3446" s="29">
        <f>J3446-K3446</f>
        <v/>
      </c>
      <c r="M3446" t="inlineStr">
        <is>
          <t>1.350</t>
        </is>
      </c>
      <c r="N3446" t="inlineStr">
        <is>
          <t>Modalidade: 0 - Por conta do remetente | Parte: A. L. SILVA E SILVA (50.748.955/0001-08)</t>
        </is>
      </c>
      <c r="O3446" s="29" t="n">
        <v>0</v>
      </c>
      <c r="P3446" s="29" t="n">
        <v>0</v>
      </c>
      <c r="Q3446" s="29" t="n">
        <v>0</v>
      </c>
      <c r="R3446" s="29" t="n">
        <v>0</v>
      </c>
      <c r="S3446" s="29" t="n">
        <v>0</v>
      </c>
      <c r="T3446" t="inlineStr">
        <is>
          <t>25260526975620000130570010000070841001601600</t>
        </is>
      </c>
      <c r="U3446" t="inlineStr">
        <is>
          <t>Não</t>
        </is>
      </c>
    </row>
    <row r="3447">
      <c r="A3447" t="inlineStr">
        <is>
          <t>Frete de venda</t>
        </is>
      </c>
      <c r="B3447" t="inlineStr">
        <is>
          <t>2.01.02 Frete sobre Vendas</t>
        </is>
      </c>
      <c r="C3447" s="30" t="n">
        <v>46143</v>
      </c>
      <c r="D3447" t="inlineStr">
        <is>
          <t>Em 2026</t>
        </is>
      </c>
      <c r="E3447" s="28" t="n">
        <v>46157</v>
      </c>
      <c r="F3447" t="inlineStr">
        <is>
          <t>CT-e</t>
        </is>
      </c>
      <c r="G3447" t="inlineStr">
        <is>
          <t>000007085</t>
        </is>
      </c>
      <c r="H3447" t="inlineStr">
        <is>
          <t>R&amp;R TRANSPORTE E LOGISTICA</t>
        </is>
      </c>
      <c r="J3447" s="29" t="n">
        <v>30.9</v>
      </c>
      <c r="K3447" s="29">
        <f>(1-ISNUMBER(SEARCH("556",M3447)))*(O3447*SUMIFS(Premissas!$C$5:$C$44,Premissas!$A$5:$A$44,$A3447,Premissas!$B$5:$B$44,$B3447)+P3447*SUMIFS(Premissas!$D$5:$D$44,Premissas!$A$5:$A$44,$A3447,Premissas!$B$5:$B$44,$B3447))+R3447*SUMIFS(Premissas!$E$5:$E$44,Premissas!$A$5:$A$44,$A3447,Premissas!$B$5:$B$44,$B3447)+S3447*SUMIFS(Premissas!$F$5:$F$44,Premissas!$A$5:$A$44,$A3447,Premissas!$B$5:$B$44,$B3447)</f>
        <v/>
      </c>
      <c r="L3447" s="29">
        <f>J3447-K3447</f>
        <v/>
      </c>
      <c r="M3447" t="inlineStr">
        <is>
          <t>1.350</t>
        </is>
      </c>
      <c r="N3447" t="inlineStr">
        <is>
          <t>Modalidade: 0 - Por conta do remetente | Parte: JAMES L. H. TOME e CIA LTDA (16.965.024/0011-97)</t>
        </is>
      </c>
      <c r="O3447" s="29" t="n">
        <v>0</v>
      </c>
      <c r="P3447" s="29" t="n">
        <v>0</v>
      </c>
      <c r="Q3447" s="29" t="n">
        <v>0</v>
      </c>
      <c r="R3447" s="29" t="n">
        <v>0</v>
      </c>
      <c r="S3447" s="29" t="n">
        <v>0</v>
      </c>
      <c r="T3447" t="inlineStr">
        <is>
          <t>25260526975620000130570010000070851000170956</t>
        </is>
      </c>
      <c r="U3447" t="inlineStr">
        <is>
          <t>Não</t>
        </is>
      </c>
    </row>
    <row r="3448">
      <c r="A3448" t="inlineStr">
        <is>
          <t>Frete de venda</t>
        </is>
      </c>
      <c r="B3448" t="inlineStr">
        <is>
          <t>2.01.02 Frete sobre Vendas</t>
        </is>
      </c>
      <c r="C3448" s="30" t="n">
        <v>46143</v>
      </c>
      <c r="D3448" t="inlineStr">
        <is>
          <t>Em 2026</t>
        </is>
      </c>
      <c r="E3448" s="28" t="n">
        <v>46157</v>
      </c>
      <c r="F3448" t="inlineStr">
        <is>
          <t>CT-e</t>
        </is>
      </c>
      <c r="G3448" t="inlineStr">
        <is>
          <t>000007086</t>
        </is>
      </c>
      <c r="H3448" t="inlineStr">
        <is>
          <t>R&amp;R TRANSPORTE E LOGISTICA</t>
        </is>
      </c>
      <c r="J3448" s="29" t="n">
        <v>72.45999999999999</v>
      </c>
      <c r="K3448" s="29">
        <f>(1-ISNUMBER(SEARCH("556",M3448)))*(O3448*SUMIFS(Premissas!$C$5:$C$44,Premissas!$A$5:$A$44,$A3448,Premissas!$B$5:$B$44,$B3448)+P3448*SUMIFS(Premissas!$D$5:$D$44,Premissas!$A$5:$A$44,$A3448,Premissas!$B$5:$B$44,$B3448))+R3448*SUMIFS(Premissas!$E$5:$E$44,Premissas!$A$5:$A$44,$A3448,Premissas!$B$5:$B$44,$B3448)+S3448*SUMIFS(Premissas!$F$5:$F$44,Premissas!$A$5:$A$44,$A3448,Premissas!$B$5:$B$44,$B3448)</f>
        <v/>
      </c>
      <c r="L3448" s="29">
        <f>J3448-K3448</f>
        <v/>
      </c>
      <c r="M3448" t="inlineStr">
        <is>
          <t>1.350</t>
        </is>
      </c>
      <c r="N3448" t="inlineStr">
        <is>
          <t>Modalidade: 0 - Por conta do remetente | Parte: LIDER INDUSTRIA E COMERCIO LTDA (45.762.979/0001-73)</t>
        </is>
      </c>
      <c r="O3448" s="29" t="n">
        <v>0</v>
      </c>
      <c r="P3448" s="29" t="n">
        <v>0</v>
      </c>
      <c r="Q3448" s="29" t="n">
        <v>0</v>
      </c>
      <c r="R3448" s="29" t="n">
        <v>0</v>
      </c>
      <c r="S3448" s="29" t="n">
        <v>0</v>
      </c>
      <c r="T3448" t="inlineStr">
        <is>
          <t>25260526975620000130570010000070861001401037</t>
        </is>
      </c>
      <c r="U3448" t="inlineStr">
        <is>
          <t>Não</t>
        </is>
      </c>
    </row>
    <row r="3449">
      <c r="A3449" t="inlineStr">
        <is>
          <t>Frete de venda</t>
        </is>
      </c>
      <c r="B3449" t="inlineStr">
        <is>
          <t>2.01.02 Frete sobre Vendas</t>
        </is>
      </c>
      <c r="C3449" s="30" t="n">
        <v>46143</v>
      </c>
      <c r="D3449" t="inlineStr">
        <is>
          <t>Em 2026</t>
        </is>
      </c>
      <c r="E3449" s="28" t="n">
        <v>46157</v>
      </c>
      <c r="F3449" t="inlineStr">
        <is>
          <t>CT-e</t>
        </is>
      </c>
      <c r="G3449" t="inlineStr">
        <is>
          <t>000007087</t>
        </is>
      </c>
      <c r="H3449" t="inlineStr">
        <is>
          <t>R&amp;R TRANSPORTE E LOGISTICA</t>
        </is>
      </c>
      <c r="J3449" s="29" t="n">
        <v>66.02</v>
      </c>
      <c r="K3449" s="29">
        <f>(1-ISNUMBER(SEARCH("556",M3449)))*(O3449*SUMIFS(Premissas!$C$5:$C$44,Premissas!$A$5:$A$44,$A3449,Premissas!$B$5:$B$44,$B3449)+P3449*SUMIFS(Premissas!$D$5:$D$44,Premissas!$A$5:$A$44,$A3449,Premissas!$B$5:$B$44,$B3449))+R3449*SUMIFS(Premissas!$E$5:$E$44,Premissas!$A$5:$A$44,$A3449,Premissas!$B$5:$B$44,$B3449)+S3449*SUMIFS(Premissas!$F$5:$F$44,Premissas!$A$5:$A$44,$A3449,Premissas!$B$5:$B$44,$B3449)</f>
        <v/>
      </c>
      <c r="L3449" s="29">
        <f>J3449-K3449</f>
        <v/>
      </c>
      <c r="M3449" t="inlineStr">
        <is>
          <t>1.350</t>
        </is>
      </c>
      <c r="N3449" t="inlineStr">
        <is>
          <t>Modalidade: 0 - Por conta do remetente | Parte: IBIAPINA VARIEDADES LTDA (46.211.356/0001-75)</t>
        </is>
      </c>
      <c r="O3449" s="29" t="n">
        <v>0</v>
      </c>
      <c r="P3449" s="29" t="n">
        <v>0</v>
      </c>
      <c r="Q3449" s="29" t="n">
        <v>0</v>
      </c>
      <c r="R3449" s="29" t="n">
        <v>0</v>
      </c>
      <c r="S3449" s="29" t="n">
        <v>0</v>
      </c>
      <c r="T3449" t="inlineStr">
        <is>
          <t>25260526975620000130570010000070871001101111</t>
        </is>
      </c>
      <c r="U3449" t="inlineStr">
        <is>
          <t>Não</t>
        </is>
      </c>
    </row>
    <row r="3450">
      <c r="A3450" t="inlineStr">
        <is>
          <t>Frete de venda</t>
        </is>
      </c>
      <c r="B3450" t="inlineStr">
        <is>
          <t>2.01.02 Frete sobre Vendas</t>
        </is>
      </c>
      <c r="C3450" s="30" t="n">
        <v>46143</v>
      </c>
      <c r="D3450" t="inlineStr">
        <is>
          <t>Em 2026</t>
        </is>
      </c>
      <c r="E3450" s="28" t="n">
        <v>46157</v>
      </c>
      <c r="F3450" t="inlineStr">
        <is>
          <t>CT-e</t>
        </is>
      </c>
      <c r="G3450" t="inlineStr">
        <is>
          <t>000007088</t>
        </is>
      </c>
      <c r="H3450" t="inlineStr">
        <is>
          <t>R&amp;R TRANSPORTE E LOGISTICA</t>
        </is>
      </c>
      <c r="J3450" s="29" t="n">
        <v>32.25</v>
      </c>
      <c r="K3450" s="29">
        <f>(1-ISNUMBER(SEARCH("556",M3450)))*(O3450*SUMIFS(Premissas!$C$5:$C$44,Premissas!$A$5:$A$44,$A3450,Premissas!$B$5:$B$44,$B3450)+P3450*SUMIFS(Premissas!$D$5:$D$44,Premissas!$A$5:$A$44,$A3450,Premissas!$B$5:$B$44,$B3450))+R3450*SUMIFS(Premissas!$E$5:$E$44,Premissas!$A$5:$A$44,$A3450,Premissas!$B$5:$B$44,$B3450)+S3450*SUMIFS(Premissas!$F$5:$F$44,Premissas!$A$5:$A$44,$A3450,Premissas!$B$5:$B$44,$B3450)</f>
        <v/>
      </c>
      <c r="L3450" s="29">
        <f>J3450-K3450</f>
        <v/>
      </c>
      <c r="M3450" t="inlineStr">
        <is>
          <t>1.350</t>
        </is>
      </c>
      <c r="N3450" t="inlineStr">
        <is>
          <t>Modalidade: 0 - Por conta do remetente | Parte: R. VALE DOS SANTOS LTDA (21.585.699/0001-79)</t>
        </is>
      </c>
      <c r="O3450" s="29" t="n">
        <v>0</v>
      </c>
      <c r="P3450" s="29" t="n">
        <v>0</v>
      </c>
      <c r="Q3450" s="29" t="n">
        <v>0</v>
      </c>
      <c r="R3450" s="29" t="n">
        <v>0</v>
      </c>
      <c r="S3450" s="29" t="n">
        <v>0</v>
      </c>
      <c r="T3450" t="inlineStr">
        <is>
          <t>25260526975620000130570010000070881001901190</t>
        </is>
      </c>
      <c r="U3450" t="inlineStr">
        <is>
          <t>Não</t>
        </is>
      </c>
    </row>
    <row r="3451">
      <c r="A3451" t="inlineStr">
        <is>
          <t>Frete de venda</t>
        </is>
      </c>
      <c r="B3451" t="inlineStr">
        <is>
          <t>2.01.02 Frete sobre Vendas</t>
        </is>
      </c>
      <c r="C3451" s="30" t="n">
        <v>46143</v>
      </c>
      <c r="D3451" t="inlineStr">
        <is>
          <t>Em 2026</t>
        </is>
      </c>
      <c r="E3451" s="28" t="n">
        <v>46157</v>
      </c>
      <c r="F3451" t="inlineStr">
        <is>
          <t>CT-e</t>
        </is>
      </c>
      <c r="G3451" t="inlineStr">
        <is>
          <t>000007089</t>
        </is>
      </c>
      <c r="H3451" t="inlineStr">
        <is>
          <t>R&amp;R TRANSPORTE E LOGISTICA</t>
        </is>
      </c>
      <c r="J3451" s="29" t="n">
        <v>47.95</v>
      </c>
      <c r="K3451" s="29">
        <f>(1-ISNUMBER(SEARCH("556",M3451)))*(O3451*SUMIFS(Premissas!$C$5:$C$44,Premissas!$A$5:$A$44,$A3451,Premissas!$B$5:$B$44,$B3451)+P3451*SUMIFS(Premissas!$D$5:$D$44,Premissas!$A$5:$A$44,$A3451,Premissas!$B$5:$B$44,$B3451))+R3451*SUMIFS(Premissas!$E$5:$E$44,Premissas!$A$5:$A$44,$A3451,Premissas!$B$5:$B$44,$B3451)+S3451*SUMIFS(Premissas!$F$5:$F$44,Premissas!$A$5:$A$44,$A3451,Premissas!$B$5:$B$44,$B3451)</f>
        <v/>
      </c>
      <c r="L3451" s="29">
        <f>J3451-K3451</f>
        <v/>
      </c>
      <c r="M3451" t="inlineStr">
        <is>
          <t>1.350</t>
        </is>
      </c>
      <c r="N3451" t="inlineStr">
        <is>
          <t>Modalidade: 0 - Por conta do remetente | Parte: P3 DESCARTAVEIS ATACADO e VAREJO LTDA (12.040.681/0001-09)</t>
        </is>
      </c>
      <c r="O3451" s="29" t="n">
        <v>0</v>
      </c>
      <c r="P3451" s="29" t="n">
        <v>0</v>
      </c>
      <c r="Q3451" s="29" t="n">
        <v>0</v>
      </c>
      <c r="R3451" s="29" t="n">
        <v>0</v>
      </c>
      <c r="S3451" s="29" t="n">
        <v>0</v>
      </c>
      <c r="T3451" t="inlineStr">
        <is>
          <t>25260526975620000130570010000070891001601275</t>
        </is>
      </c>
      <c r="U3451" t="inlineStr">
        <is>
          <t>Não</t>
        </is>
      </c>
    </row>
    <row r="3452">
      <c r="A3452" t="inlineStr">
        <is>
          <t>Frete de venda</t>
        </is>
      </c>
      <c r="B3452" t="inlineStr">
        <is>
          <t>2.01.02 Frete sobre Vendas</t>
        </is>
      </c>
      <c r="C3452" s="30" t="n">
        <v>46143</v>
      </c>
      <c r="D3452" t="inlineStr">
        <is>
          <t>Em 2026</t>
        </is>
      </c>
      <c r="E3452" s="28" t="n">
        <v>46163</v>
      </c>
      <c r="F3452" t="inlineStr">
        <is>
          <t>CT-e</t>
        </is>
      </c>
      <c r="G3452" t="inlineStr">
        <is>
          <t>000007105</t>
        </is>
      </c>
      <c r="H3452" t="inlineStr">
        <is>
          <t>R&amp;R TRANSPORTE E LOGISTICA</t>
        </is>
      </c>
      <c r="J3452" s="29" t="n">
        <v>268.67</v>
      </c>
      <c r="K3452" s="29">
        <f>(1-ISNUMBER(SEARCH("556",M3452)))*(O3452*SUMIFS(Premissas!$C$5:$C$44,Premissas!$A$5:$A$44,$A3452,Premissas!$B$5:$B$44,$B3452)+P3452*SUMIFS(Premissas!$D$5:$D$44,Premissas!$A$5:$A$44,$A3452,Premissas!$B$5:$B$44,$B3452))+R3452*SUMIFS(Premissas!$E$5:$E$44,Premissas!$A$5:$A$44,$A3452,Premissas!$B$5:$B$44,$B3452)+S3452*SUMIFS(Premissas!$F$5:$F$44,Premissas!$A$5:$A$44,$A3452,Premissas!$B$5:$B$44,$B3452)</f>
        <v/>
      </c>
      <c r="L3452" s="29">
        <f>J3452-K3452</f>
        <v/>
      </c>
      <c r="M3452" t="inlineStr">
        <is>
          <t>1.350</t>
        </is>
      </c>
      <c r="N3452" t="inlineStr">
        <is>
          <t>Modalidade: 0 - Por conta do remetente | Parte: RODRIGUES e DIAS COMERCIO DE HORTIFRUTI GRANJEIROS LTDA (09.143.905/0001-95)</t>
        </is>
      </c>
      <c r="O3452" s="29" t="n">
        <v>0</v>
      </c>
      <c r="P3452" s="29" t="n">
        <v>0</v>
      </c>
      <c r="Q3452" s="29" t="n">
        <v>0</v>
      </c>
      <c r="R3452" s="29" t="n">
        <v>0</v>
      </c>
      <c r="S3452" s="29" t="n">
        <v>0</v>
      </c>
      <c r="T3452" t="inlineStr">
        <is>
          <t>25260526975620000130570010000071051001401255</t>
        </is>
      </c>
      <c r="U3452" t="inlineStr">
        <is>
          <t>Não</t>
        </is>
      </c>
    </row>
    <row r="3453">
      <c r="A3453" t="inlineStr">
        <is>
          <t>Frete de venda</t>
        </is>
      </c>
      <c r="B3453" t="inlineStr">
        <is>
          <t>2.01.02 Frete sobre Vendas</t>
        </is>
      </c>
      <c r="C3453" s="30" t="n">
        <v>46143</v>
      </c>
      <c r="D3453" t="inlineStr">
        <is>
          <t>Em 2026</t>
        </is>
      </c>
      <c r="E3453" s="28" t="n">
        <v>46163</v>
      </c>
      <c r="F3453" t="inlineStr">
        <is>
          <t>CT-e</t>
        </is>
      </c>
      <c r="G3453" t="inlineStr">
        <is>
          <t>000007106</t>
        </is>
      </c>
      <c r="H3453" t="inlineStr">
        <is>
          <t>R&amp;R TRANSPORTE E LOGISTICA</t>
        </is>
      </c>
      <c r="J3453" s="29" t="n">
        <v>31.65</v>
      </c>
      <c r="K3453" s="29">
        <f>(1-ISNUMBER(SEARCH("556",M3453)))*(O3453*SUMIFS(Premissas!$C$5:$C$44,Premissas!$A$5:$A$44,$A3453,Premissas!$B$5:$B$44,$B3453)+P3453*SUMIFS(Premissas!$D$5:$D$44,Premissas!$A$5:$A$44,$A3453,Premissas!$B$5:$B$44,$B3453))+R3453*SUMIFS(Premissas!$E$5:$E$44,Premissas!$A$5:$A$44,$A3453,Premissas!$B$5:$B$44,$B3453)+S3453*SUMIFS(Premissas!$F$5:$F$44,Premissas!$A$5:$A$44,$A3453,Premissas!$B$5:$B$44,$B3453)</f>
        <v/>
      </c>
      <c r="L3453" s="29">
        <f>J3453-K3453</f>
        <v/>
      </c>
      <c r="M3453" t="inlineStr">
        <is>
          <t>1.350</t>
        </is>
      </c>
      <c r="N3453" t="inlineStr">
        <is>
          <t>Modalidade: 0 - Por conta do remetente | Parte: DISTRIBUIDORA DE EMBALAGENS SUACUI LTDA (10.560.122/0001-96)</t>
        </is>
      </c>
      <c r="O3453" s="29" t="n">
        <v>0</v>
      </c>
      <c r="P3453" s="29" t="n">
        <v>0</v>
      </c>
      <c r="Q3453" s="29" t="n">
        <v>0</v>
      </c>
      <c r="R3453" s="29" t="n">
        <v>0</v>
      </c>
      <c r="S3453" s="29" t="n">
        <v>0</v>
      </c>
      <c r="T3453" t="inlineStr">
        <is>
          <t>25260526975620000130570010000071061001101330</t>
        </is>
      </c>
      <c r="U3453" t="inlineStr">
        <is>
          <t>Não</t>
        </is>
      </c>
    </row>
    <row r="3454">
      <c r="A3454" t="inlineStr">
        <is>
          <t>Frete de venda</t>
        </is>
      </c>
      <c r="B3454" t="inlineStr">
        <is>
          <t>2.01.02 Frete sobre Vendas</t>
        </is>
      </c>
      <c r="C3454" s="30" t="n">
        <v>46143</v>
      </c>
      <c r="D3454" t="inlineStr">
        <is>
          <t>Em 2026</t>
        </is>
      </c>
      <c r="E3454" s="28" t="n">
        <v>46163</v>
      </c>
      <c r="F3454" t="inlineStr">
        <is>
          <t>CT-e</t>
        </is>
      </c>
      <c r="G3454" t="inlineStr">
        <is>
          <t>000007107</t>
        </is>
      </c>
      <c r="H3454" t="inlineStr">
        <is>
          <t>R&amp;R TRANSPORTE E LOGISTICA</t>
        </is>
      </c>
      <c r="J3454" s="29" t="n">
        <v>33.27</v>
      </c>
      <c r="K3454" s="29">
        <f>(1-ISNUMBER(SEARCH("556",M3454)))*(O3454*SUMIFS(Premissas!$C$5:$C$44,Premissas!$A$5:$A$44,$A3454,Premissas!$B$5:$B$44,$B3454)+P3454*SUMIFS(Premissas!$D$5:$D$44,Premissas!$A$5:$A$44,$A3454,Premissas!$B$5:$B$44,$B3454))+R3454*SUMIFS(Premissas!$E$5:$E$44,Premissas!$A$5:$A$44,$A3454,Premissas!$B$5:$B$44,$B3454)+S3454*SUMIFS(Premissas!$F$5:$F$44,Premissas!$A$5:$A$44,$A3454,Premissas!$B$5:$B$44,$B3454)</f>
        <v/>
      </c>
      <c r="L3454" s="29">
        <f>J3454-K3454</f>
        <v/>
      </c>
      <c r="M3454" t="inlineStr">
        <is>
          <t>1.350</t>
        </is>
      </c>
      <c r="N3454" t="inlineStr">
        <is>
          <t>Modalidade: 0 - Por conta do remetente | Parte: COMERCIAL DE UTILIDADES MULT MATOS LTDA (35.027.191/0001-60)</t>
        </is>
      </c>
      <c r="O3454" s="29" t="n">
        <v>0</v>
      </c>
      <c r="P3454" s="29" t="n">
        <v>0</v>
      </c>
      <c r="Q3454" s="29" t="n">
        <v>0</v>
      </c>
      <c r="R3454" s="29" t="n">
        <v>0</v>
      </c>
      <c r="S3454" s="29" t="n">
        <v>0</v>
      </c>
      <c r="T3454" t="inlineStr">
        <is>
          <t>25260526975620000130570010000071071001901414</t>
        </is>
      </c>
      <c r="U3454" t="inlineStr">
        <is>
          <t>Não</t>
        </is>
      </c>
    </row>
    <row r="3455">
      <c r="A3455" t="inlineStr">
        <is>
          <t>Frete de venda</t>
        </is>
      </c>
      <c r="B3455" t="inlineStr">
        <is>
          <t>2.01.02 Frete sobre Vendas</t>
        </is>
      </c>
      <c r="C3455" s="30" t="n">
        <v>46143</v>
      </c>
      <c r="D3455" t="inlineStr">
        <is>
          <t>Em 2026</t>
        </is>
      </c>
      <c r="E3455" s="28" t="n">
        <v>46163</v>
      </c>
      <c r="F3455" t="inlineStr">
        <is>
          <t>CT-e</t>
        </is>
      </c>
      <c r="G3455" t="inlineStr">
        <is>
          <t>000007108</t>
        </is>
      </c>
      <c r="H3455" t="inlineStr">
        <is>
          <t>R&amp;R TRANSPORTE E LOGISTICA</t>
        </is>
      </c>
      <c r="J3455" s="29" t="n">
        <v>23.9</v>
      </c>
      <c r="K3455" s="29">
        <f>(1-ISNUMBER(SEARCH("556",M3455)))*(O3455*SUMIFS(Premissas!$C$5:$C$44,Premissas!$A$5:$A$44,$A3455,Premissas!$B$5:$B$44,$B3455)+P3455*SUMIFS(Premissas!$D$5:$D$44,Premissas!$A$5:$A$44,$A3455,Premissas!$B$5:$B$44,$B3455))+R3455*SUMIFS(Premissas!$E$5:$E$44,Premissas!$A$5:$A$44,$A3455,Premissas!$B$5:$B$44,$B3455)+S3455*SUMIFS(Premissas!$F$5:$F$44,Premissas!$A$5:$A$44,$A3455,Premissas!$B$5:$B$44,$B3455)</f>
        <v/>
      </c>
      <c r="L3455" s="29">
        <f>J3455-K3455</f>
        <v/>
      </c>
      <c r="M3455" t="inlineStr">
        <is>
          <t>1.350</t>
        </is>
      </c>
      <c r="N3455" t="inlineStr">
        <is>
          <t>Modalidade: 0 - Por conta do remetente | Parte: PADARIA DELICIA PREMIUM LTDA (57.725.054/0001-31)</t>
        </is>
      </c>
      <c r="O3455" s="29" t="n">
        <v>0</v>
      </c>
      <c r="P3455" s="29" t="n">
        <v>0</v>
      </c>
      <c r="Q3455" s="29" t="n">
        <v>0</v>
      </c>
      <c r="R3455" s="29" t="n">
        <v>0</v>
      </c>
      <c r="S3455" s="29" t="n">
        <v>0</v>
      </c>
      <c r="T3455" t="inlineStr">
        <is>
          <t>25260526975620000130570010000071081001601493</t>
        </is>
      </c>
      <c r="U3455" t="inlineStr">
        <is>
          <t>Não</t>
        </is>
      </c>
    </row>
    <row r="3456">
      <c r="A3456" t="inlineStr">
        <is>
          <t>Frete de venda</t>
        </is>
      </c>
      <c r="B3456" t="inlineStr">
        <is>
          <t>2.01.02 Frete sobre Vendas</t>
        </is>
      </c>
      <c r="C3456" s="30" t="n">
        <v>46143</v>
      </c>
      <c r="D3456" t="inlineStr">
        <is>
          <t>Em 2026</t>
        </is>
      </c>
      <c r="E3456" s="28" t="n">
        <v>46163</v>
      </c>
      <c r="F3456" t="inlineStr">
        <is>
          <t>CT-e</t>
        </is>
      </c>
      <c r="G3456" t="inlineStr">
        <is>
          <t>000007109</t>
        </is>
      </c>
      <c r="H3456" t="inlineStr">
        <is>
          <t>R&amp;R TRANSPORTE E LOGISTICA</t>
        </is>
      </c>
      <c r="J3456" s="29" t="n">
        <v>36.86</v>
      </c>
      <c r="K3456" s="29">
        <f>(1-ISNUMBER(SEARCH("556",M3456)))*(O3456*SUMIFS(Premissas!$C$5:$C$44,Premissas!$A$5:$A$44,$A3456,Premissas!$B$5:$B$44,$B3456)+P3456*SUMIFS(Premissas!$D$5:$D$44,Premissas!$A$5:$A$44,$A3456,Premissas!$B$5:$B$44,$B3456))+R3456*SUMIFS(Premissas!$E$5:$E$44,Premissas!$A$5:$A$44,$A3456,Premissas!$B$5:$B$44,$B3456)+S3456*SUMIFS(Premissas!$F$5:$F$44,Premissas!$A$5:$A$44,$A3456,Premissas!$B$5:$B$44,$B3456)</f>
        <v/>
      </c>
      <c r="L3456" s="29">
        <f>J3456-K3456</f>
        <v/>
      </c>
      <c r="M3456" t="inlineStr">
        <is>
          <t>1.350</t>
        </is>
      </c>
      <c r="N3456" t="inlineStr">
        <is>
          <t>Modalidade: 0 - Por conta do remetente | Parte: WR INDUSTRIA E COMERCIO DE EMBALAGENS LTDA (02.692.206/0001-55)</t>
        </is>
      </c>
      <c r="O3456" s="29" t="n">
        <v>0</v>
      </c>
      <c r="P3456" s="29" t="n">
        <v>0</v>
      </c>
      <c r="Q3456" s="29" t="n">
        <v>0</v>
      </c>
      <c r="R3456" s="29" t="n">
        <v>0</v>
      </c>
      <c r="S3456" s="29" t="n">
        <v>0</v>
      </c>
      <c r="T3456" t="inlineStr">
        <is>
          <t>25260526975620000130570010000071091001301578</t>
        </is>
      </c>
      <c r="U3456" t="inlineStr">
        <is>
          <t>Não</t>
        </is>
      </c>
    </row>
    <row r="3457">
      <c r="A3457" t="inlineStr">
        <is>
          <t>Frete de venda</t>
        </is>
      </c>
      <c r="B3457" t="inlineStr">
        <is>
          <t>2.01.02 Frete sobre Vendas</t>
        </is>
      </c>
      <c r="C3457" s="30" t="n">
        <v>46143</v>
      </c>
      <c r="D3457" t="inlineStr">
        <is>
          <t>Em 2026</t>
        </is>
      </c>
      <c r="E3457" s="28" t="n">
        <v>46163</v>
      </c>
      <c r="F3457" t="inlineStr">
        <is>
          <t>CT-e</t>
        </is>
      </c>
      <c r="G3457" t="inlineStr">
        <is>
          <t>000007110</t>
        </is>
      </c>
      <c r="H3457" t="inlineStr">
        <is>
          <t>R&amp;R TRANSPORTE E LOGISTICA</t>
        </is>
      </c>
      <c r="J3457" s="29" t="n">
        <v>32.34</v>
      </c>
      <c r="K3457" s="29">
        <f>(1-ISNUMBER(SEARCH("556",M3457)))*(O3457*SUMIFS(Premissas!$C$5:$C$44,Premissas!$A$5:$A$44,$A3457,Premissas!$B$5:$B$44,$B3457)+P3457*SUMIFS(Premissas!$D$5:$D$44,Premissas!$A$5:$A$44,$A3457,Premissas!$B$5:$B$44,$B3457))+R3457*SUMIFS(Premissas!$E$5:$E$44,Premissas!$A$5:$A$44,$A3457,Premissas!$B$5:$B$44,$B3457)+S3457*SUMIFS(Premissas!$F$5:$F$44,Premissas!$A$5:$A$44,$A3457,Premissas!$B$5:$B$44,$B3457)</f>
        <v/>
      </c>
      <c r="L3457" s="29">
        <f>J3457-K3457</f>
        <v/>
      </c>
      <c r="M3457" t="inlineStr">
        <is>
          <t>1.350</t>
        </is>
      </c>
      <c r="N3457" t="inlineStr">
        <is>
          <t>Modalidade: 0 - Por conta do remetente | Parte: CENTRAL EMBALAGENS ALTERNATIVAS LTDA. (07.335.109/0001-29)</t>
        </is>
      </c>
      <c r="O3457" s="29" t="n">
        <v>0</v>
      </c>
      <c r="P3457" s="29" t="n">
        <v>0</v>
      </c>
      <c r="Q3457" s="29" t="n">
        <v>0</v>
      </c>
      <c r="R3457" s="29" t="n">
        <v>0</v>
      </c>
      <c r="S3457" s="29" t="n">
        <v>0</v>
      </c>
      <c r="T3457" t="inlineStr">
        <is>
          <t>25260526975620000130570010000071101000101657</t>
        </is>
      </c>
      <c r="U3457" t="inlineStr">
        <is>
          <t>Não</t>
        </is>
      </c>
    </row>
    <row r="3458">
      <c r="A3458" t="inlineStr">
        <is>
          <t>Frete de venda</t>
        </is>
      </c>
      <c r="B3458" t="inlineStr">
        <is>
          <t>2.01.02 Frete sobre Vendas</t>
        </is>
      </c>
      <c r="C3458" s="30" t="n">
        <v>46143</v>
      </c>
      <c r="D3458" t="inlineStr">
        <is>
          <t>Em 2026</t>
        </is>
      </c>
      <c r="E3458" s="28" t="n">
        <v>46163</v>
      </c>
      <c r="F3458" t="inlineStr">
        <is>
          <t>CT-e</t>
        </is>
      </c>
      <c r="G3458" t="inlineStr">
        <is>
          <t>000007111</t>
        </is>
      </c>
      <c r="H3458" t="inlineStr">
        <is>
          <t>R&amp;R TRANSPORTE E LOGISTICA</t>
        </is>
      </c>
      <c r="J3458" s="29" t="n">
        <v>22.57</v>
      </c>
      <c r="K3458" s="29">
        <f>(1-ISNUMBER(SEARCH("556",M3458)))*(O3458*SUMIFS(Premissas!$C$5:$C$44,Premissas!$A$5:$A$44,$A3458,Premissas!$B$5:$B$44,$B3458)+P3458*SUMIFS(Premissas!$D$5:$D$44,Premissas!$A$5:$A$44,$A3458,Premissas!$B$5:$B$44,$B3458))+R3458*SUMIFS(Premissas!$E$5:$E$44,Premissas!$A$5:$A$44,$A3458,Premissas!$B$5:$B$44,$B3458)+S3458*SUMIFS(Premissas!$F$5:$F$44,Premissas!$A$5:$A$44,$A3458,Premissas!$B$5:$B$44,$B3458)</f>
        <v/>
      </c>
      <c r="L3458" s="29">
        <f>J3458-K3458</f>
        <v/>
      </c>
      <c r="M3458" t="inlineStr">
        <is>
          <t>1.350</t>
        </is>
      </c>
      <c r="N3458" t="inlineStr">
        <is>
          <t>Modalidade: 0 - Por conta do remetente | Parte: CASA DEIR FERRAGENS E FERRAMENTAS LTDA (22.904.166/0001-75)</t>
        </is>
      </c>
      <c r="O3458" s="29" t="n">
        <v>0</v>
      </c>
      <c r="P3458" s="29" t="n">
        <v>0</v>
      </c>
      <c r="Q3458" s="29" t="n">
        <v>0</v>
      </c>
      <c r="R3458" s="29" t="n">
        <v>0</v>
      </c>
      <c r="S3458" s="29" t="n">
        <v>0</v>
      </c>
      <c r="T3458" t="inlineStr">
        <is>
          <t>25260526975620000130570010000071111001801730</t>
        </is>
      </c>
      <c r="U3458" t="inlineStr">
        <is>
          <t>Não</t>
        </is>
      </c>
    </row>
    <row r="3459">
      <c r="A3459" t="inlineStr">
        <is>
          <t>Frete de venda</t>
        </is>
      </c>
      <c r="B3459" t="inlineStr">
        <is>
          <t>2.01.02 Frete sobre Vendas</t>
        </is>
      </c>
      <c r="C3459" s="30" t="n">
        <v>46143</v>
      </c>
      <c r="D3459" t="inlineStr">
        <is>
          <t>Em 2026</t>
        </is>
      </c>
      <c r="E3459" s="28" t="n">
        <v>46163</v>
      </c>
      <c r="F3459" t="inlineStr">
        <is>
          <t>CT-e</t>
        </is>
      </c>
      <c r="G3459" t="inlineStr">
        <is>
          <t>000007112</t>
        </is>
      </c>
      <c r="H3459" t="inlineStr">
        <is>
          <t>R&amp;R TRANSPORTE E LOGISTICA</t>
        </is>
      </c>
      <c r="J3459" s="29" t="n">
        <v>25.72</v>
      </c>
      <c r="K3459" s="29">
        <f>(1-ISNUMBER(SEARCH("556",M3459)))*(O3459*SUMIFS(Premissas!$C$5:$C$44,Premissas!$A$5:$A$44,$A3459,Premissas!$B$5:$B$44,$B3459)+P3459*SUMIFS(Premissas!$D$5:$D$44,Premissas!$A$5:$A$44,$A3459,Premissas!$B$5:$B$44,$B3459))+R3459*SUMIFS(Premissas!$E$5:$E$44,Premissas!$A$5:$A$44,$A3459,Premissas!$B$5:$B$44,$B3459)+S3459*SUMIFS(Premissas!$F$5:$F$44,Premissas!$A$5:$A$44,$A3459,Premissas!$B$5:$B$44,$B3459)</f>
        <v/>
      </c>
      <c r="L3459" s="29">
        <f>J3459-K3459</f>
        <v/>
      </c>
      <c r="M3459" t="inlineStr">
        <is>
          <t>1.350</t>
        </is>
      </c>
      <c r="N3459" t="inlineStr">
        <is>
          <t>Modalidade: 0 - Por conta do remetente | Parte: CASA DAS EMBALAGENS OLIVEIRA LTDA (09.016.431/0001-10)</t>
        </is>
      </c>
      <c r="O3459" s="29" t="n">
        <v>0</v>
      </c>
      <c r="P3459" s="29" t="n">
        <v>0</v>
      </c>
      <c r="Q3459" s="29" t="n">
        <v>0</v>
      </c>
      <c r="R3459" s="29" t="n">
        <v>0</v>
      </c>
      <c r="S3459" s="29" t="n">
        <v>0</v>
      </c>
      <c r="T3459" t="inlineStr">
        <is>
          <t>25260526975620000130570010000071121001501815</t>
        </is>
      </c>
      <c r="U3459" t="inlineStr">
        <is>
          <t>Não</t>
        </is>
      </c>
    </row>
    <row r="3460">
      <c r="A3460" t="inlineStr">
        <is>
          <t>Frete de venda</t>
        </is>
      </c>
      <c r="B3460" t="inlineStr">
        <is>
          <t>2.01.02 Frete sobre Vendas</t>
        </is>
      </c>
      <c r="C3460" s="30" t="n">
        <v>46143</v>
      </c>
      <c r="D3460" t="inlineStr">
        <is>
          <t>Em 2026</t>
        </is>
      </c>
      <c r="E3460" s="28" t="n">
        <v>46163</v>
      </c>
      <c r="F3460" t="inlineStr">
        <is>
          <t>CT-e</t>
        </is>
      </c>
      <c r="G3460" t="inlineStr">
        <is>
          <t>000007113</t>
        </is>
      </c>
      <c r="H3460" t="inlineStr">
        <is>
          <t>R&amp;R TRANSPORTE E LOGISTICA</t>
        </is>
      </c>
      <c r="J3460" s="29" t="n">
        <v>38.65</v>
      </c>
      <c r="K3460" s="29">
        <f>(1-ISNUMBER(SEARCH("556",M3460)))*(O3460*SUMIFS(Premissas!$C$5:$C$44,Premissas!$A$5:$A$44,$A3460,Premissas!$B$5:$B$44,$B3460)+P3460*SUMIFS(Premissas!$D$5:$D$44,Premissas!$A$5:$A$44,$A3460,Premissas!$B$5:$B$44,$B3460))+R3460*SUMIFS(Premissas!$E$5:$E$44,Premissas!$A$5:$A$44,$A3460,Premissas!$B$5:$B$44,$B3460)+S3460*SUMIFS(Premissas!$F$5:$F$44,Premissas!$A$5:$A$44,$A3460,Premissas!$B$5:$B$44,$B3460)</f>
        <v/>
      </c>
      <c r="L3460" s="29">
        <f>J3460-K3460</f>
        <v/>
      </c>
      <c r="M3460" t="inlineStr">
        <is>
          <t>1.350</t>
        </is>
      </c>
      <c r="N3460" t="inlineStr">
        <is>
          <t>Modalidade: 0 - Por conta do remetente | Parte: SELLPACK DISTRIBUIDORA LTDA (07.747.107/0002-28)</t>
        </is>
      </c>
      <c r="O3460" s="29" t="n">
        <v>0</v>
      </c>
      <c r="P3460" s="29" t="n">
        <v>0</v>
      </c>
      <c r="Q3460" s="29" t="n">
        <v>0</v>
      </c>
      <c r="R3460" s="29" t="n">
        <v>0</v>
      </c>
      <c r="S3460" s="29" t="n">
        <v>0</v>
      </c>
      <c r="T3460" t="inlineStr">
        <is>
          <t>25260526975620000130570010000071131001601167</t>
        </is>
      </c>
      <c r="U3460" t="inlineStr">
        <is>
          <t>Não</t>
        </is>
      </c>
    </row>
    <row r="3461">
      <c r="A3461" t="inlineStr">
        <is>
          <t>Frete de venda</t>
        </is>
      </c>
      <c r="B3461" t="inlineStr">
        <is>
          <t>2.01.02 Frete sobre Vendas</t>
        </is>
      </c>
      <c r="C3461" s="30" t="n">
        <v>46143</v>
      </c>
      <c r="D3461" t="inlineStr">
        <is>
          <t>Em 2026</t>
        </is>
      </c>
      <c r="E3461" s="28" t="n">
        <v>46163</v>
      </c>
      <c r="F3461" t="inlineStr">
        <is>
          <t>CT-e</t>
        </is>
      </c>
      <c r="G3461" t="inlineStr">
        <is>
          <t>000007114</t>
        </is>
      </c>
      <c r="H3461" t="inlineStr">
        <is>
          <t>R&amp;R TRANSPORTE E LOGISTICA</t>
        </is>
      </c>
      <c r="J3461" s="29" t="n">
        <v>30.78</v>
      </c>
      <c r="K3461" s="29">
        <f>(1-ISNUMBER(SEARCH("556",M3461)))*(O3461*SUMIFS(Premissas!$C$5:$C$44,Premissas!$A$5:$A$44,$A3461,Premissas!$B$5:$B$44,$B3461)+P3461*SUMIFS(Premissas!$D$5:$D$44,Premissas!$A$5:$A$44,$A3461,Premissas!$B$5:$B$44,$B3461))+R3461*SUMIFS(Premissas!$E$5:$E$44,Premissas!$A$5:$A$44,$A3461,Premissas!$B$5:$B$44,$B3461)+S3461*SUMIFS(Premissas!$F$5:$F$44,Premissas!$A$5:$A$44,$A3461,Premissas!$B$5:$B$44,$B3461)</f>
        <v/>
      </c>
      <c r="L3461" s="29">
        <f>J3461-K3461</f>
        <v/>
      </c>
      <c r="M3461" t="inlineStr">
        <is>
          <t>1.350</t>
        </is>
      </c>
      <c r="N3461" t="inlineStr">
        <is>
          <t>Modalidade: 0 - Por conta do remetente | Parte: ROSANGELA CLEMENCIA NASCIMENTO BONFIM (25.976.846/0001-92)</t>
        </is>
      </c>
      <c r="O3461" s="29" t="n">
        <v>0</v>
      </c>
      <c r="P3461" s="29" t="n">
        <v>0</v>
      </c>
      <c r="Q3461" s="29" t="n">
        <v>0</v>
      </c>
      <c r="R3461" s="29" t="n">
        <v>0</v>
      </c>
      <c r="S3461" s="29" t="n">
        <v>0</v>
      </c>
      <c r="T3461" t="inlineStr">
        <is>
          <t>25260526975620000130570010000071141001301241</t>
        </is>
      </c>
      <c r="U3461" t="inlineStr">
        <is>
          <t>Não</t>
        </is>
      </c>
    </row>
    <row r="3462">
      <c r="A3462" t="inlineStr">
        <is>
          <t>Frete de venda</t>
        </is>
      </c>
      <c r="B3462" t="inlineStr">
        <is>
          <t>2.01.02 Frete sobre Vendas</t>
        </is>
      </c>
      <c r="C3462" s="30" t="n">
        <v>46143</v>
      </c>
      <c r="D3462" t="inlineStr">
        <is>
          <t>Em 2026</t>
        </is>
      </c>
      <c r="E3462" s="28" t="n">
        <v>46163</v>
      </c>
      <c r="F3462" t="inlineStr">
        <is>
          <t>CT-e</t>
        </is>
      </c>
      <c r="G3462" t="inlineStr">
        <is>
          <t>000007115</t>
        </is>
      </c>
      <c r="H3462" t="inlineStr">
        <is>
          <t>R&amp;R TRANSPORTE E LOGISTICA</t>
        </is>
      </c>
      <c r="J3462" s="29" t="n">
        <v>11926.02</v>
      </c>
      <c r="K3462" s="29">
        <f>(1-ISNUMBER(SEARCH("556",M3462)))*(O3462*SUMIFS(Premissas!$C$5:$C$44,Premissas!$A$5:$A$44,$A3462,Premissas!$B$5:$B$44,$B3462)+P3462*SUMIFS(Premissas!$D$5:$D$44,Premissas!$A$5:$A$44,$A3462,Premissas!$B$5:$B$44,$B3462))+R3462*SUMIFS(Premissas!$E$5:$E$44,Premissas!$A$5:$A$44,$A3462,Premissas!$B$5:$B$44,$B3462)+S3462*SUMIFS(Premissas!$F$5:$F$44,Premissas!$A$5:$A$44,$A3462,Premissas!$B$5:$B$44,$B3462)</f>
        <v/>
      </c>
      <c r="L3462" s="29">
        <f>J3462-K3462</f>
        <v/>
      </c>
      <c r="M3462" t="inlineStr">
        <is>
          <t>1.350</t>
        </is>
      </c>
      <c r="N3462" t="inlineStr">
        <is>
          <t>Modalidade: 0 - Por conta do remetente | Parte: DISTRIPACK DISTRIBUIDORA DE EMBALAGENS LTDA (11.043.375/0003-17)</t>
        </is>
      </c>
      <c r="O3462" s="29" t="n">
        <v>0</v>
      </c>
      <c r="P3462" s="29" t="n">
        <v>0</v>
      </c>
      <c r="Q3462" s="29" t="n">
        <v>0</v>
      </c>
      <c r="R3462" s="29" t="n">
        <v>0</v>
      </c>
      <c r="S3462" s="29" t="n">
        <v>0</v>
      </c>
      <c r="T3462" t="inlineStr">
        <is>
          <t>25260526975620000130570010000071151000101327</t>
        </is>
      </c>
      <c r="U3462" t="inlineStr">
        <is>
          <t>Não</t>
        </is>
      </c>
    </row>
    <row r="3463">
      <c r="A3463" t="inlineStr">
        <is>
          <t>Frete de venda</t>
        </is>
      </c>
      <c r="B3463" t="inlineStr">
        <is>
          <t>2.01.02 Frete sobre Vendas</t>
        </is>
      </c>
      <c r="C3463" s="30" t="n">
        <v>46143</v>
      </c>
      <c r="D3463" t="inlineStr">
        <is>
          <t>Em 2026</t>
        </is>
      </c>
      <c r="E3463" s="28" t="n">
        <v>46164</v>
      </c>
      <c r="F3463" t="inlineStr">
        <is>
          <t>CT-e</t>
        </is>
      </c>
      <c r="G3463" t="inlineStr">
        <is>
          <t>000007118</t>
        </is>
      </c>
      <c r="H3463" t="inlineStr">
        <is>
          <t>R&amp;R TRANSPORTE E LOGISTICA</t>
        </is>
      </c>
      <c r="J3463" s="29" t="n">
        <v>27.69</v>
      </c>
      <c r="K3463" s="29">
        <f>(1-ISNUMBER(SEARCH("556",M3463)))*(O3463*SUMIFS(Premissas!$C$5:$C$44,Premissas!$A$5:$A$44,$A3463,Premissas!$B$5:$B$44,$B3463)+P3463*SUMIFS(Premissas!$D$5:$D$44,Premissas!$A$5:$A$44,$A3463,Premissas!$B$5:$B$44,$B3463))+R3463*SUMIFS(Premissas!$E$5:$E$44,Premissas!$A$5:$A$44,$A3463,Premissas!$B$5:$B$44,$B3463)+S3463*SUMIFS(Premissas!$F$5:$F$44,Premissas!$A$5:$A$44,$A3463,Premissas!$B$5:$B$44,$B3463)</f>
        <v/>
      </c>
      <c r="L3463" s="29">
        <f>J3463-K3463</f>
        <v/>
      </c>
      <c r="M3463" t="inlineStr">
        <is>
          <t>1.350</t>
        </is>
      </c>
      <c r="N3463" t="inlineStr">
        <is>
          <t>Modalidade: 0 - Por conta do remetente | Parte: R C SOARES DISTRIBUIDORA E COMERCIO DE DESCARTAVEIS LTDA. (38.078.643/0001-20)</t>
        </is>
      </c>
      <c r="O3463" s="29" t="n">
        <v>0</v>
      </c>
      <c r="P3463" s="29" t="n">
        <v>0</v>
      </c>
      <c r="Q3463" s="29" t="n">
        <v>0</v>
      </c>
      <c r="R3463" s="29" t="n">
        <v>0</v>
      </c>
      <c r="S3463" s="29" t="n">
        <v>0</v>
      </c>
      <c r="T3463" t="inlineStr">
        <is>
          <t>25260526975620000130570010000071181001601490</t>
        </is>
      </c>
      <c r="U3463" t="inlineStr">
        <is>
          <t>Não</t>
        </is>
      </c>
    </row>
    <row r="3464">
      <c r="A3464" t="inlineStr">
        <is>
          <t>Frete de venda</t>
        </is>
      </c>
      <c r="B3464" t="inlineStr">
        <is>
          <t>2.01.02 Frete sobre Vendas</t>
        </is>
      </c>
      <c r="C3464" s="30" t="n">
        <v>46143</v>
      </c>
      <c r="D3464" t="inlineStr">
        <is>
          <t>Em 2026</t>
        </is>
      </c>
      <c r="E3464" s="28" t="n">
        <v>46164</v>
      </c>
      <c r="F3464" t="inlineStr">
        <is>
          <t>CT-e</t>
        </is>
      </c>
      <c r="G3464" t="inlineStr">
        <is>
          <t>000007119</t>
        </is>
      </c>
      <c r="H3464" t="inlineStr">
        <is>
          <t>R&amp;R TRANSPORTE E LOGISTICA</t>
        </is>
      </c>
      <c r="J3464" s="29" t="n">
        <v>38.91</v>
      </c>
      <c r="K3464" s="29">
        <f>(1-ISNUMBER(SEARCH("556",M3464)))*(O3464*SUMIFS(Premissas!$C$5:$C$44,Premissas!$A$5:$A$44,$A3464,Premissas!$B$5:$B$44,$B3464)+P3464*SUMIFS(Premissas!$D$5:$D$44,Premissas!$A$5:$A$44,$A3464,Premissas!$B$5:$B$44,$B3464))+R3464*SUMIFS(Premissas!$E$5:$E$44,Premissas!$A$5:$A$44,$A3464,Premissas!$B$5:$B$44,$B3464)+S3464*SUMIFS(Premissas!$F$5:$F$44,Premissas!$A$5:$A$44,$A3464,Premissas!$B$5:$B$44,$B3464)</f>
        <v/>
      </c>
      <c r="L3464" s="29">
        <f>J3464-K3464</f>
        <v/>
      </c>
      <c r="M3464" t="inlineStr">
        <is>
          <t>1.350</t>
        </is>
      </c>
      <c r="N3464" t="inlineStr">
        <is>
          <t>Modalidade: 0 - Por conta do remetente | Parte: ARMOL COMERCIO E DISTRIBUIDORA LTDA (00.321.104/0001-06)</t>
        </is>
      </c>
      <c r="O3464" s="29" t="n">
        <v>0</v>
      </c>
      <c r="P3464" s="29" t="n">
        <v>0</v>
      </c>
      <c r="Q3464" s="29" t="n">
        <v>0</v>
      </c>
      <c r="R3464" s="29" t="n">
        <v>0</v>
      </c>
      <c r="S3464" s="29" t="n">
        <v>0</v>
      </c>
      <c r="T3464" t="inlineStr">
        <is>
          <t>25260526975620000130570010000071191001301574</t>
        </is>
      </c>
      <c r="U3464" t="inlineStr">
        <is>
          <t>Não</t>
        </is>
      </c>
    </row>
    <row r="3465">
      <c r="A3465" t="inlineStr">
        <is>
          <t>Frete de venda</t>
        </is>
      </c>
      <c r="B3465" t="inlineStr">
        <is>
          <t>2.01.02 Frete sobre Vendas</t>
        </is>
      </c>
      <c r="C3465" s="30" t="n">
        <v>46143</v>
      </c>
      <c r="D3465" t="inlineStr">
        <is>
          <t>Em 2026</t>
        </is>
      </c>
      <c r="E3465" s="28" t="n">
        <v>46164</v>
      </c>
      <c r="F3465" t="inlineStr">
        <is>
          <t>CT-e</t>
        </is>
      </c>
      <c r="G3465" t="inlineStr">
        <is>
          <t>000007120</t>
        </is>
      </c>
      <c r="H3465" t="inlineStr">
        <is>
          <t>R&amp;R TRANSPORTE E LOGISTICA</t>
        </is>
      </c>
      <c r="J3465" s="29" t="n">
        <v>46.25</v>
      </c>
      <c r="K3465" s="29">
        <f>(1-ISNUMBER(SEARCH("556",M3465)))*(O3465*SUMIFS(Premissas!$C$5:$C$44,Premissas!$A$5:$A$44,$A3465,Premissas!$B$5:$B$44,$B3465)+P3465*SUMIFS(Premissas!$D$5:$D$44,Premissas!$A$5:$A$44,$A3465,Premissas!$B$5:$B$44,$B3465))+R3465*SUMIFS(Premissas!$E$5:$E$44,Premissas!$A$5:$A$44,$A3465,Premissas!$B$5:$B$44,$B3465)+S3465*SUMIFS(Premissas!$F$5:$F$44,Premissas!$A$5:$A$44,$A3465,Premissas!$B$5:$B$44,$B3465)</f>
        <v/>
      </c>
      <c r="L3465" s="29">
        <f>J3465-K3465</f>
        <v/>
      </c>
      <c r="M3465" t="inlineStr">
        <is>
          <t>1.350</t>
        </is>
      </c>
      <c r="N3465" t="inlineStr">
        <is>
          <t>Modalidade: 0 - Por conta do remetente | Parte: CAMPEAO 2010 DAS EMBALAGENS LTDA (12.039.358/0002-98)</t>
        </is>
      </c>
      <c r="O3465" s="29" t="n">
        <v>0</v>
      </c>
      <c r="P3465" s="29" t="n">
        <v>0</v>
      </c>
      <c r="Q3465" s="29" t="n">
        <v>0</v>
      </c>
      <c r="R3465" s="29" t="n">
        <v>0</v>
      </c>
      <c r="S3465" s="29" t="n">
        <v>0</v>
      </c>
      <c r="T3465" t="inlineStr">
        <is>
          <t>25260526975620000130570010000071201000101653</t>
        </is>
      </c>
      <c r="U3465" t="inlineStr">
        <is>
          <t>Não</t>
        </is>
      </c>
    </row>
    <row r="3466">
      <c r="A3466" t="inlineStr">
        <is>
          <t>Frete de venda</t>
        </is>
      </c>
      <c r="B3466" t="inlineStr">
        <is>
          <t>2.01.02 Frete sobre Vendas</t>
        </is>
      </c>
      <c r="C3466" s="30" t="n">
        <v>46143</v>
      </c>
      <c r="D3466" t="inlineStr">
        <is>
          <t>Em 2026</t>
        </is>
      </c>
      <c r="E3466" s="28" t="n">
        <v>46164</v>
      </c>
      <c r="F3466" t="inlineStr">
        <is>
          <t>CT-e</t>
        </is>
      </c>
      <c r="G3466" t="inlineStr">
        <is>
          <t>000007121</t>
        </is>
      </c>
      <c r="H3466" t="inlineStr">
        <is>
          <t>R&amp;R TRANSPORTE E LOGISTICA</t>
        </is>
      </c>
      <c r="J3466" s="29" t="n">
        <v>25.95</v>
      </c>
      <c r="K3466" s="29">
        <f>(1-ISNUMBER(SEARCH("556",M3466)))*(O3466*SUMIFS(Premissas!$C$5:$C$44,Premissas!$A$5:$A$44,$A3466,Premissas!$B$5:$B$44,$B3466)+P3466*SUMIFS(Premissas!$D$5:$D$44,Premissas!$A$5:$A$44,$A3466,Premissas!$B$5:$B$44,$B3466))+R3466*SUMIFS(Premissas!$E$5:$E$44,Premissas!$A$5:$A$44,$A3466,Premissas!$B$5:$B$44,$B3466)+S3466*SUMIFS(Premissas!$F$5:$F$44,Premissas!$A$5:$A$44,$A3466,Premissas!$B$5:$B$44,$B3466)</f>
        <v/>
      </c>
      <c r="L3466" s="29">
        <f>J3466-K3466</f>
        <v/>
      </c>
      <c r="M3466" t="inlineStr">
        <is>
          <t>1.350</t>
        </is>
      </c>
      <c r="N3466" t="inlineStr">
        <is>
          <t>Modalidade: 0 - Por conta do remetente | Parte: DISTRIBUIDORA RIO UTILIDADES FESTAS E ALIMENTOS LTDA (40.961.436/0001-61)</t>
        </is>
      </c>
      <c r="O3466" s="29" t="n">
        <v>0</v>
      </c>
      <c r="P3466" s="29" t="n">
        <v>0</v>
      </c>
      <c r="Q3466" s="29" t="n">
        <v>0</v>
      </c>
      <c r="R3466" s="29" t="n">
        <v>0</v>
      </c>
      <c r="S3466" s="29" t="n">
        <v>0</v>
      </c>
      <c r="T3466" t="inlineStr">
        <is>
          <t>25260526975620000130570010000071211001801737</t>
        </is>
      </c>
      <c r="U3466" t="inlineStr">
        <is>
          <t>Não</t>
        </is>
      </c>
    </row>
    <row r="3467">
      <c r="A3467" t="inlineStr">
        <is>
          <t>Frete de venda</t>
        </is>
      </c>
      <c r="B3467" t="inlineStr">
        <is>
          <t>2.01.02 Frete sobre Vendas</t>
        </is>
      </c>
      <c r="C3467" s="30" t="n">
        <v>46143</v>
      </c>
      <c r="D3467" t="inlineStr">
        <is>
          <t>Em 2026</t>
        </is>
      </c>
      <c r="E3467" s="28" t="n">
        <v>46164</v>
      </c>
      <c r="F3467" t="inlineStr">
        <is>
          <t>CT-e</t>
        </is>
      </c>
      <c r="G3467" t="inlineStr">
        <is>
          <t>000007122</t>
        </is>
      </c>
      <c r="H3467" t="inlineStr">
        <is>
          <t>R&amp;R TRANSPORTE E LOGISTICA</t>
        </is>
      </c>
      <c r="J3467" s="29" t="n">
        <v>55.46</v>
      </c>
      <c r="K3467" s="29">
        <f>(1-ISNUMBER(SEARCH("556",M3467)))*(O3467*SUMIFS(Premissas!$C$5:$C$44,Premissas!$A$5:$A$44,$A3467,Premissas!$B$5:$B$44,$B3467)+P3467*SUMIFS(Premissas!$D$5:$D$44,Premissas!$A$5:$A$44,$A3467,Premissas!$B$5:$B$44,$B3467))+R3467*SUMIFS(Premissas!$E$5:$E$44,Premissas!$A$5:$A$44,$A3467,Premissas!$B$5:$B$44,$B3467)+S3467*SUMIFS(Premissas!$F$5:$F$44,Premissas!$A$5:$A$44,$A3467,Premissas!$B$5:$B$44,$B3467)</f>
        <v/>
      </c>
      <c r="L3467" s="29">
        <f>J3467-K3467</f>
        <v/>
      </c>
      <c r="M3467" t="inlineStr">
        <is>
          <t>1.350</t>
        </is>
      </c>
      <c r="N3467" t="inlineStr">
        <is>
          <t>Modalidade: 0 - Por conta do remetente | Parte: A C CAMPOS SOARES VIANA LTDA (01.513.007/0001-70)</t>
        </is>
      </c>
      <c r="O3467" s="29" t="n">
        <v>0</v>
      </c>
      <c r="P3467" s="29" t="n">
        <v>0</v>
      </c>
      <c r="Q3467" s="29" t="n">
        <v>0</v>
      </c>
      <c r="R3467" s="29" t="n">
        <v>0</v>
      </c>
      <c r="S3467" s="29" t="n">
        <v>0</v>
      </c>
      <c r="T3467" t="inlineStr">
        <is>
          <t>25260526975620000130570010000071221001901089</t>
        </is>
      </c>
      <c r="U3467" t="inlineStr">
        <is>
          <t>Não</t>
        </is>
      </c>
    </row>
    <row r="3468">
      <c r="A3468" t="inlineStr">
        <is>
          <t>Frete de venda</t>
        </is>
      </c>
      <c r="B3468" t="inlineStr">
        <is>
          <t>2.01.02 Frete sobre Vendas</t>
        </is>
      </c>
      <c r="C3468" s="30" t="n">
        <v>46143</v>
      </c>
      <c r="D3468" t="inlineStr">
        <is>
          <t>Em 2026</t>
        </is>
      </c>
      <c r="E3468" s="28" t="n">
        <v>46164</v>
      </c>
      <c r="F3468" t="inlineStr">
        <is>
          <t>CT-e</t>
        </is>
      </c>
      <c r="G3468" t="inlineStr">
        <is>
          <t>000007123</t>
        </is>
      </c>
      <c r="H3468" t="inlineStr">
        <is>
          <t>R&amp;R TRANSPORTE E LOGISTICA</t>
        </is>
      </c>
      <c r="J3468" s="29" t="n">
        <v>96.73999999999999</v>
      </c>
      <c r="K3468" s="29">
        <f>(1-ISNUMBER(SEARCH("556",M3468)))*(O3468*SUMIFS(Premissas!$C$5:$C$44,Premissas!$A$5:$A$44,$A3468,Premissas!$B$5:$B$44,$B3468)+P3468*SUMIFS(Premissas!$D$5:$D$44,Premissas!$A$5:$A$44,$A3468,Premissas!$B$5:$B$44,$B3468))+R3468*SUMIFS(Premissas!$E$5:$E$44,Premissas!$A$5:$A$44,$A3468,Premissas!$B$5:$B$44,$B3468)+S3468*SUMIFS(Premissas!$F$5:$F$44,Premissas!$A$5:$A$44,$A3468,Premissas!$B$5:$B$44,$B3468)</f>
        <v/>
      </c>
      <c r="L3468" s="29">
        <f>J3468-K3468</f>
        <v/>
      </c>
      <c r="M3468" t="inlineStr">
        <is>
          <t>1.350</t>
        </is>
      </c>
      <c r="N3468" t="inlineStr">
        <is>
          <t>Modalidade: 0 - Por conta do remetente | Parte: SELLPACK DISTRIBUIDORA LTDA (07.747.107/0001-47)</t>
        </is>
      </c>
      <c r="O3468" s="29" t="n">
        <v>0</v>
      </c>
      <c r="P3468" s="29" t="n">
        <v>0</v>
      </c>
      <c r="Q3468" s="29" t="n">
        <v>0</v>
      </c>
      <c r="R3468" s="29" t="n">
        <v>0</v>
      </c>
      <c r="S3468" s="29" t="n">
        <v>0</v>
      </c>
      <c r="T3468" t="inlineStr">
        <is>
          <t>25260526975620000130570010000071231001601163</t>
        </is>
      </c>
      <c r="U3468" t="inlineStr">
        <is>
          <t>Não</t>
        </is>
      </c>
    </row>
    <row r="3469">
      <c r="A3469" t="inlineStr">
        <is>
          <t>Frete de venda</t>
        </is>
      </c>
      <c r="B3469" t="inlineStr">
        <is>
          <t>2.01.02 Frete sobre Vendas</t>
        </is>
      </c>
      <c r="C3469" s="30" t="n">
        <v>46143</v>
      </c>
      <c r="D3469" t="inlineStr">
        <is>
          <t>Em 2026</t>
        </is>
      </c>
      <c r="E3469" s="28" t="n">
        <v>46164</v>
      </c>
      <c r="F3469" t="inlineStr">
        <is>
          <t>CT-e</t>
        </is>
      </c>
      <c r="G3469" t="inlineStr">
        <is>
          <t>000007124</t>
        </is>
      </c>
      <c r="H3469" t="inlineStr">
        <is>
          <t>R&amp;R TRANSPORTE E LOGISTICA</t>
        </is>
      </c>
      <c r="J3469" s="29" t="n">
        <v>31.41</v>
      </c>
      <c r="K3469" s="29">
        <f>(1-ISNUMBER(SEARCH("556",M3469)))*(O3469*SUMIFS(Premissas!$C$5:$C$44,Premissas!$A$5:$A$44,$A3469,Premissas!$B$5:$B$44,$B3469)+P3469*SUMIFS(Premissas!$D$5:$D$44,Premissas!$A$5:$A$44,$A3469,Premissas!$B$5:$B$44,$B3469))+R3469*SUMIFS(Premissas!$E$5:$E$44,Premissas!$A$5:$A$44,$A3469,Premissas!$B$5:$B$44,$B3469)+S3469*SUMIFS(Premissas!$F$5:$F$44,Premissas!$A$5:$A$44,$A3469,Premissas!$B$5:$B$44,$B3469)</f>
        <v/>
      </c>
      <c r="L3469" s="29">
        <f>J3469-K3469</f>
        <v/>
      </c>
      <c r="M3469" t="inlineStr">
        <is>
          <t>1.350</t>
        </is>
      </c>
      <c r="N3469" t="inlineStr">
        <is>
          <t>Modalidade: 0 - Por conta do remetente | Parte: NOROESTE EMBALAGENS LTDA (03.217.838/0001-20)</t>
        </is>
      </c>
      <c r="O3469" s="29" t="n">
        <v>0</v>
      </c>
      <c r="P3469" s="29" t="n">
        <v>0</v>
      </c>
      <c r="Q3469" s="29" t="n">
        <v>0</v>
      </c>
      <c r="R3469" s="29" t="n">
        <v>0</v>
      </c>
      <c r="S3469" s="29" t="n">
        <v>0</v>
      </c>
      <c r="T3469" t="inlineStr">
        <is>
          <t>25260526975620000130570010000071241001301248</t>
        </is>
      </c>
      <c r="U3469" t="inlineStr">
        <is>
          <t>Não</t>
        </is>
      </c>
    </row>
    <row r="3470">
      <c r="A3470" t="inlineStr">
        <is>
          <t>Frete de venda</t>
        </is>
      </c>
      <c r="B3470" t="inlineStr">
        <is>
          <t>2.01.02 Frete sobre Vendas</t>
        </is>
      </c>
      <c r="C3470" s="30" t="n">
        <v>46143</v>
      </c>
      <c r="D3470" t="inlineStr">
        <is>
          <t>Em 2026</t>
        </is>
      </c>
      <c r="E3470" s="28" t="n">
        <v>46165</v>
      </c>
      <c r="F3470" t="inlineStr">
        <is>
          <t>CT-e</t>
        </is>
      </c>
      <c r="G3470" t="inlineStr">
        <is>
          <t>000007125</t>
        </is>
      </c>
      <c r="H3470" t="inlineStr">
        <is>
          <t>R&amp;R TRANSPORTE E LOGISTICA</t>
        </is>
      </c>
      <c r="J3470" s="29" t="n">
        <v>138.75</v>
      </c>
      <c r="K3470" s="29">
        <f>(1-ISNUMBER(SEARCH("556",M3470)))*(O3470*SUMIFS(Premissas!$C$5:$C$44,Premissas!$A$5:$A$44,$A3470,Premissas!$B$5:$B$44,$B3470)+P3470*SUMIFS(Premissas!$D$5:$D$44,Premissas!$A$5:$A$44,$A3470,Premissas!$B$5:$B$44,$B3470))+R3470*SUMIFS(Premissas!$E$5:$E$44,Premissas!$A$5:$A$44,$A3470,Premissas!$B$5:$B$44,$B3470)+S3470*SUMIFS(Premissas!$F$5:$F$44,Premissas!$A$5:$A$44,$A3470,Premissas!$B$5:$B$44,$B3470)</f>
        <v/>
      </c>
      <c r="L3470" s="29">
        <f>J3470-K3470</f>
        <v/>
      </c>
      <c r="M3470" t="inlineStr">
        <is>
          <t>1.350</t>
        </is>
      </c>
      <c r="N3470" t="inlineStr">
        <is>
          <t>Modalidade: 0 - Por conta do remetente | Parte: BRAGA e BARCELOS LTDA (11.109.167/0003-73)</t>
        </is>
      </c>
      <c r="O3470" s="29" t="n">
        <v>0</v>
      </c>
      <c r="P3470" s="29" t="n">
        <v>0</v>
      </c>
      <c r="Q3470" s="29" t="n">
        <v>0</v>
      </c>
      <c r="R3470" s="29" t="n">
        <v>0</v>
      </c>
      <c r="S3470" s="29" t="n">
        <v>0</v>
      </c>
      <c r="T3470" t="inlineStr">
        <is>
          <t>25260526975620000130570010000071251000101323</t>
        </is>
      </c>
      <c r="U3470" t="inlineStr">
        <is>
          <t>Não</t>
        </is>
      </c>
    </row>
    <row r="3471">
      <c r="A3471" t="inlineStr">
        <is>
          <t>Frete de venda</t>
        </is>
      </c>
      <c r="B3471" t="inlineStr">
        <is>
          <t>2.01.02 Frete sobre Vendas</t>
        </is>
      </c>
      <c r="C3471" s="30" t="n">
        <v>46143</v>
      </c>
      <c r="D3471" t="inlineStr">
        <is>
          <t>Em 2026</t>
        </is>
      </c>
      <c r="E3471" s="28" t="n">
        <v>46165</v>
      </c>
      <c r="F3471" t="inlineStr">
        <is>
          <t>CT-e</t>
        </is>
      </c>
      <c r="G3471" t="inlineStr">
        <is>
          <t>000007126</t>
        </is>
      </c>
      <c r="H3471" t="inlineStr">
        <is>
          <t>R&amp;R TRANSPORTE E LOGISTICA</t>
        </is>
      </c>
      <c r="J3471" s="29" t="n">
        <v>183.65</v>
      </c>
      <c r="K3471" s="29">
        <f>(1-ISNUMBER(SEARCH("556",M3471)))*(O3471*SUMIFS(Premissas!$C$5:$C$44,Premissas!$A$5:$A$44,$A3471,Premissas!$B$5:$B$44,$B3471)+P3471*SUMIFS(Premissas!$D$5:$D$44,Premissas!$A$5:$A$44,$A3471,Premissas!$B$5:$B$44,$B3471))+R3471*SUMIFS(Premissas!$E$5:$E$44,Premissas!$A$5:$A$44,$A3471,Premissas!$B$5:$B$44,$B3471)+S3471*SUMIFS(Premissas!$F$5:$F$44,Premissas!$A$5:$A$44,$A3471,Premissas!$B$5:$B$44,$B3471)</f>
        <v/>
      </c>
      <c r="L3471" s="29">
        <f>J3471-K3471</f>
        <v/>
      </c>
      <c r="M3471" t="inlineStr">
        <is>
          <t>1.350</t>
        </is>
      </c>
      <c r="N3471" t="inlineStr">
        <is>
          <t>Modalidade: 0 - Por conta do remetente | Parte: BRAGA e BARCELOS LTDA (11.109.167/0001-01)</t>
        </is>
      </c>
      <c r="O3471" s="29" t="n">
        <v>0</v>
      </c>
      <c r="P3471" s="29" t="n">
        <v>0</v>
      </c>
      <c r="Q3471" s="29" t="n">
        <v>0</v>
      </c>
      <c r="R3471" s="29" t="n">
        <v>0</v>
      </c>
      <c r="S3471" s="29" t="n">
        <v>0</v>
      </c>
      <c r="T3471" t="inlineStr">
        <is>
          <t>25260526975620000130570010000071261001801407</t>
        </is>
      </c>
      <c r="U3471" t="inlineStr">
        <is>
          <t>Não</t>
        </is>
      </c>
    </row>
    <row r="3472">
      <c r="A3472" t="inlineStr">
        <is>
          <t>Frete de venda</t>
        </is>
      </c>
      <c r="B3472" t="inlineStr">
        <is>
          <t>2.01.02 Frete sobre Vendas</t>
        </is>
      </c>
      <c r="C3472" s="30" t="n">
        <v>46143</v>
      </c>
      <c r="D3472" t="inlineStr">
        <is>
          <t>Em 2026</t>
        </is>
      </c>
      <c r="E3472" s="28" t="n">
        <v>46165</v>
      </c>
      <c r="F3472" t="inlineStr">
        <is>
          <t>CT-e</t>
        </is>
      </c>
      <c r="G3472" t="inlineStr">
        <is>
          <t>000007127</t>
        </is>
      </c>
      <c r="H3472" t="inlineStr">
        <is>
          <t>R&amp;R TRANSPORTE E LOGISTICA</t>
        </is>
      </c>
      <c r="J3472" s="29" t="n">
        <v>182.21</v>
      </c>
      <c r="K3472" s="29">
        <f>(1-ISNUMBER(SEARCH("556",M3472)))*(O3472*SUMIFS(Premissas!$C$5:$C$44,Premissas!$A$5:$A$44,$A3472,Premissas!$B$5:$B$44,$B3472)+P3472*SUMIFS(Premissas!$D$5:$D$44,Premissas!$A$5:$A$44,$A3472,Premissas!$B$5:$B$44,$B3472))+R3472*SUMIFS(Premissas!$E$5:$E$44,Premissas!$A$5:$A$44,$A3472,Premissas!$B$5:$B$44,$B3472)+S3472*SUMIFS(Premissas!$F$5:$F$44,Premissas!$A$5:$A$44,$A3472,Premissas!$B$5:$B$44,$B3472)</f>
        <v/>
      </c>
      <c r="L3472" s="29">
        <f>J3472-K3472</f>
        <v/>
      </c>
      <c r="M3472" t="inlineStr">
        <is>
          <t>1.350</t>
        </is>
      </c>
      <c r="N3472" t="inlineStr">
        <is>
          <t>Modalidade: 0 - Por conta do remetente | Parte: H B COMERCIO DE EMBALAGENS LTDA (05.488.166/0001-12)</t>
        </is>
      </c>
      <c r="O3472" s="29" t="n">
        <v>0</v>
      </c>
      <c r="P3472" s="29" t="n">
        <v>0</v>
      </c>
      <c r="Q3472" s="29" t="n">
        <v>0</v>
      </c>
      <c r="R3472" s="29" t="n">
        <v>0</v>
      </c>
      <c r="S3472" s="29" t="n">
        <v>0</v>
      </c>
      <c r="T3472" t="inlineStr">
        <is>
          <t>25260526975620000130570010000071271001501486</t>
        </is>
      </c>
      <c r="U3472" t="inlineStr">
        <is>
          <t>Não</t>
        </is>
      </c>
    </row>
    <row r="3473">
      <c r="A3473" t="inlineStr">
        <is>
          <t>Frete de venda</t>
        </is>
      </c>
      <c r="B3473" t="inlineStr">
        <is>
          <t>2.01.02 Frete sobre Vendas</t>
        </is>
      </c>
      <c r="C3473" s="30" t="n">
        <v>46143</v>
      </c>
      <c r="D3473" t="inlineStr">
        <is>
          <t>Em 2026</t>
        </is>
      </c>
      <c r="E3473" s="28" t="n">
        <v>46165</v>
      </c>
      <c r="F3473" t="inlineStr">
        <is>
          <t>CT-e</t>
        </is>
      </c>
      <c r="G3473" t="inlineStr">
        <is>
          <t>000007128</t>
        </is>
      </c>
      <c r="H3473" t="inlineStr">
        <is>
          <t>R&amp;R TRANSPORTE E LOGISTICA</t>
        </is>
      </c>
      <c r="J3473" s="29" t="n">
        <v>138.75</v>
      </c>
      <c r="K3473" s="29">
        <f>(1-ISNUMBER(SEARCH("556",M3473)))*(O3473*SUMIFS(Premissas!$C$5:$C$44,Premissas!$A$5:$A$44,$A3473,Premissas!$B$5:$B$44,$B3473)+P3473*SUMIFS(Premissas!$D$5:$D$44,Premissas!$A$5:$A$44,$A3473,Premissas!$B$5:$B$44,$B3473))+R3473*SUMIFS(Premissas!$E$5:$E$44,Premissas!$A$5:$A$44,$A3473,Premissas!$B$5:$B$44,$B3473)+S3473*SUMIFS(Premissas!$F$5:$F$44,Premissas!$A$5:$A$44,$A3473,Premissas!$B$5:$B$44,$B3473)</f>
        <v/>
      </c>
      <c r="L3473" s="29">
        <f>J3473-K3473</f>
        <v/>
      </c>
      <c r="M3473" t="inlineStr">
        <is>
          <t>1.350</t>
        </is>
      </c>
      <c r="N3473" t="inlineStr">
        <is>
          <t>Modalidade: 0 - Por conta do remetente | Parte: H B COMERCIO DE EMBALAGENS LTDA (05.488.166/0002-01)</t>
        </is>
      </c>
      <c r="O3473" s="29" t="n">
        <v>0</v>
      </c>
      <c r="P3473" s="29" t="n">
        <v>0</v>
      </c>
      <c r="Q3473" s="29" t="n">
        <v>0</v>
      </c>
      <c r="R3473" s="29" t="n">
        <v>0</v>
      </c>
      <c r="S3473" s="29" t="n">
        <v>0</v>
      </c>
      <c r="T3473" t="inlineStr">
        <is>
          <t>25260526975620000130570010000071281001201560</t>
        </is>
      </c>
      <c r="U3473" t="inlineStr">
        <is>
          <t>Não</t>
        </is>
      </c>
    </row>
    <row r="3474">
      <c r="A3474" t="inlineStr">
        <is>
          <t>Frete de venda</t>
        </is>
      </c>
      <c r="B3474" t="inlineStr">
        <is>
          <t>2.01.02 Frete sobre Vendas</t>
        </is>
      </c>
      <c r="C3474" s="30" t="n">
        <v>46143</v>
      </c>
      <c r="D3474" t="inlineStr">
        <is>
          <t>Em 2026</t>
        </is>
      </c>
      <c r="E3474" s="28" t="n">
        <v>46165</v>
      </c>
      <c r="F3474" t="inlineStr">
        <is>
          <t>CT-e</t>
        </is>
      </c>
      <c r="G3474" t="inlineStr">
        <is>
          <t>000007129</t>
        </is>
      </c>
      <c r="H3474" t="inlineStr">
        <is>
          <t>R&amp;R TRANSPORTE E LOGISTICA</t>
        </is>
      </c>
      <c r="J3474" s="29" t="n">
        <v>64.06999999999999</v>
      </c>
      <c r="K3474" s="29">
        <f>(1-ISNUMBER(SEARCH("556",M3474)))*(O3474*SUMIFS(Premissas!$C$5:$C$44,Premissas!$A$5:$A$44,$A3474,Premissas!$B$5:$B$44,$B3474)+P3474*SUMIFS(Premissas!$D$5:$D$44,Premissas!$A$5:$A$44,$A3474,Premissas!$B$5:$B$44,$B3474))+R3474*SUMIFS(Premissas!$E$5:$E$44,Premissas!$A$5:$A$44,$A3474,Premissas!$B$5:$B$44,$B3474)+S3474*SUMIFS(Premissas!$F$5:$F$44,Premissas!$A$5:$A$44,$A3474,Premissas!$B$5:$B$44,$B3474)</f>
        <v/>
      </c>
      <c r="L3474" s="29">
        <f>J3474-K3474</f>
        <v/>
      </c>
      <c r="M3474" t="inlineStr">
        <is>
          <t>1.350</t>
        </is>
      </c>
      <c r="N3474" t="inlineStr">
        <is>
          <t>Modalidade: 0 - Por conta do remetente | Parte: ECOFAMA COMERCIO E REPRESENTACAO DE EMBALAGENS LTDA (44.309.535/0001-14)</t>
        </is>
      </c>
      <c r="O3474" s="29" t="n">
        <v>0</v>
      </c>
      <c r="P3474" s="29" t="n">
        <v>0</v>
      </c>
      <c r="Q3474" s="29" t="n">
        <v>0</v>
      </c>
      <c r="R3474" s="29" t="n">
        <v>0</v>
      </c>
      <c r="S3474" s="29" t="n">
        <v>0</v>
      </c>
      <c r="T3474" t="inlineStr">
        <is>
          <t>25260526975620000130570010000071291011001642</t>
        </is>
      </c>
      <c r="U3474" t="inlineStr">
        <is>
          <t>Não</t>
        </is>
      </c>
    </row>
    <row r="3475">
      <c r="A3475" t="inlineStr">
        <is>
          <t>Frete de venda</t>
        </is>
      </c>
      <c r="B3475" t="inlineStr">
        <is>
          <t>2.01.02 Frete sobre Vendas</t>
        </is>
      </c>
      <c r="C3475" s="30" t="n">
        <v>46143</v>
      </c>
      <c r="D3475" t="inlineStr">
        <is>
          <t>Em 2026</t>
        </is>
      </c>
      <c r="E3475" s="28" t="n">
        <v>46165</v>
      </c>
      <c r="F3475" t="inlineStr">
        <is>
          <t>CT-e</t>
        </is>
      </c>
      <c r="G3475" t="inlineStr">
        <is>
          <t>000007130</t>
        </is>
      </c>
      <c r="H3475" t="inlineStr">
        <is>
          <t>R&amp;R TRANSPORTE E LOGISTICA</t>
        </is>
      </c>
      <c r="J3475" s="29" t="n">
        <v>189.4</v>
      </c>
      <c r="K3475" s="29">
        <f>(1-ISNUMBER(SEARCH("556",M3475)))*(O3475*SUMIFS(Premissas!$C$5:$C$44,Premissas!$A$5:$A$44,$A3475,Premissas!$B$5:$B$44,$B3475)+P3475*SUMIFS(Premissas!$D$5:$D$44,Premissas!$A$5:$A$44,$A3475,Premissas!$B$5:$B$44,$B3475))+R3475*SUMIFS(Premissas!$E$5:$E$44,Premissas!$A$5:$A$44,$A3475,Premissas!$B$5:$B$44,$B3475)+S3475*SUMIFS(Premissas!$F$5:$F$44,Premissas!$A$5:$A$44,$A3475,Premissas!$B$5:$B$44,$B3475)</f>
        <v/>
      </c>
      <c r="L3475" s="29">
        <f>J3475-K3475</f>
        <v/>
      </c>
      <c r="M3475" t="inlineStr">
        <is>
          <t>1.350</t>
        </is>
      </c>
      <c r="N3475" t="inlineStr">
        <is>
          <t>Modalidade: 0 - Por conta do remetente | Parte: JAMES L. H. TOME e CIA LTDA (16.965.024/0002-04)</t>
        </is>
      </c>
      <c r="O3475" s="29" t="n">
        <v>0</v>
      </c>
      <c r="P3475" s="29" t="n">
        <v>0</v>
      </c>
      <c r="Q3475" s="29" t="n">
        <v>0</v>
      </c>
      <c r="R3475" s="29" t="n">
        <v>0</v>
      </c>
      <c r="S3475" s="29" t="n">
        <v>0</v>
      </c>
      <c r="T3475" t="inlineStr">
        <is>
          <t>25260526975620000130570010000071301001701723</t>
        </is>
      </c>
      <c r="U3475" t="inlineStr">
        <is>
          <t>Não</t>
        </is>
      </c>
    </row>
    <row r="3476">
      <c r="A3476" t="inlineStr">
        <is>
          <t>Frete de venda</t>
        </is>
      </c>
      <c r="B3476" t="inlineStr">
        <is>
          <t>2.01.02 Frete sobre Vendas</t>
        </is>
      </c>
      <c r="C3476" s="30" t="n">
        <v>46143</v>
      </c>
      <c r="D3476" t="inlineStr">
        <is>
          <t>Em 2026</t>
        </is>
      </c>
      <c r="E3476" s="28" t="n">
        <v>46165</v>
      </c>
      <c r="F3476" t="inlineStr">
        <is>
          <t>CT-e</t>
        </is>
      </c>
      <c r="G3476" t="inlineStr">
        <is>
          <t>000007131</t>
        </is>
      </c>
      <c r="H3476" t="inlineStr">
        <is>
          <t>R&amp;R TRANSPORTE E LOGISTICA</t>
        </is>
      </c>
      <c r="J3476" s="29" t="n">
        <v>61.53</v>
      </c>
      <c r="K3476" s="29">
        <f>(1-ISNUMBER(SEARCH("556",M3476)))*(O3476*SUMIFS(Premissas!$C$5:$C$44,Premissas!$A$5:$A$44,$A3476,Premissas!$B$5:$B$44,$B3476)+P3476*SUMIFS(Premissas!$D$5:$D$44,Premissas!$A$5:$A$44,$A3476,Premissas!$B$5:$B$44,$B3476))+R3476*SUMIFS(Premissas!$E$5:$E$44,Premissas!$A$5:$A$44,$A3476,Premissas!$B$5:$B$44,$B3476)+S3476*SUMIFS(Premissas!$F$5:$F$44,Premissas!$A$5:$A$44,$A3476,Premissas!$B$5:$B$44,$B3476)</f>
        <v/>
      </c>
      <c r="L3476" s="29">
        <f>J3476-K3476</f>
        <v/>
      </c>
      <c r="M3476" t="inlineStr">
        <is>
          <t>1.350</t>
        </is>
      </c>
      <c r="N3476" t="inlineStr">
        <is>
          <t>Modalidade: 0 - Por conta do remetente | Parte: K C O F DO NASCIMENTO (53.959.331/0001-10)</t>
        </is>
      </c>
      <c r="O3476" s="29" t="n">
        <v>0</v>
      </c>
      <c r="P3476" s="29" t="n">
        <v>0</v>
      </c>
      <c r="Q3476" s="29" t="n">
        <v>0</v>
      </c>
      <c r="R3476" s="29" t="n">
        <v>0</v>
      </c>
      <c r="S3476" s="29" t="n">
        <v>0</v>
      </c>
      <c r="T3476" t="inlineStr">
        <is>
          <t>25260526975620000130570010000071311001401808</t>
        </is>
      </c>
      <c r="U3476" t="inlineStr">
        <is>
          <t>Não</t>
        </is>
      </c>
    </row>
    <row r="3477">
      <c r="A3477" t="inlineStr">
        <is>
          <t>Frete de venda</t>
        </is>
      </c>
      <c r="B3477" t="inlineStr">
        <is>
          <t>2.01.02 Frete sobre Vendas</t>
        </is>
      </c>
      <c r="C3477" s="30" t="n">
        <v>46143</v>
      </c>
      <c r="D3477" t="inlineStr">
        <is>
          <t>Em 2026</t>
        </is>
      </c>
      <c r="E3477" s="28" t="n">
        <v>46165</v>
      </c>
      <c r="F3477" t="inlineStr">
        <is>
          <t>CT-e</t>
        </is>
      </c>
      <c r="G3477" t="inlineStr">
        <is>
          <t>000007132</t>
        </is>
      </c>
      <c r="H3477" t="inlineStr">
        <is>
          <t>R&amp;R TRANSPORTE E LOGISTICA</t>
        </is>
      </c>
      <c r="J3477" s="29" t="n">
        <v>68.2</v>
      </c>
      <c r="K3477" s="29">
        <f>(1-ISNUMBER(SEARCH("556",M3477)))*(O3477*SUMIFS(Premissas!$C$5:$C$44,Premissas!$A$5:$A$44,$A3477,Premissas!$B$5:$B$44,$B3477)+P3477*SUMIFS(Premissas!$D$5:$D$44,Premissas!$A$5:$A$44,$A3477,Premissas!$B$5:$B$44,$B3477))+R3477*SUMIFS(Premissas!$E$5:$E$44,Premissas!$A$5:$A$44,$A3477,Premissas!$B$5:$B$44,$B3477)+S3477*SUMIFS(Premissas!$F$5:$F$44,Premissas!$A$5:$A$44,$A3477,Premissas!$B$5:$B$44,$B3477)</f>
        <v/>
      </c>
      <c r="L3477" s="29">
        <f>J3477-K3477</f>
        <v/>
      </c>
      <c r="M3477" t="inlineStr">
        <is>
          <t>1.350</t>
        </is>
      </c>
      <c r="N3477" t="inlineStr">
        <is>
          <t>Modalidade: 0 - Por conta do remetente | Parte: A SARAIVA DA CRUZ COMERCIAL LTDA (01.342.240/0001-37)</t>
        </is>
      </c>
      <c r="O3477" s="29" t="n">
        <v>0</v>
      </c>
      <c r="P3477" s="29" t="n">
        <v>0</v>
      </c>
      <c r="Q3477" s="29" t="n">
        <v>0</v>
      </c>
      <c r="R3477" s="29" t="n">
        <v>0</v>
      </c>
      <c r="S3477" s="29" t="n">
        <v>0</v>
      </c>
      <c r="T3477" t="inlineStr">
        <is>
          <t>25260526975620000130570010000071321001501150</t>
        </is>
      </c>
      <c r="U3477" t="inlineStr">
        <is>
          <t>Não</t>
        </is>
      </c>
    </row>
    <row r="3478">
      <c r="A3478" t="inlineStr">
        <is>
          <t>Frete de venda</t>
        </is>
      </c>
      <c r="B3478" t="inlineStr">
        <is>
          <t>2.01.02 Frete sobre Vendas</t>
        </is>
      </c>
      <c r="C3478" s="30" t="n">
        <v>46143</v>
      </c>
      <c r="D3478" t="inlineStr">
        <is>
          <t>Em 2026</t>
        </is>
      </c>
      <c r="E3478" s="28" t="n">
        <v>46165</v>
      </c>
      <c r="F3478" t="inlineStr">
        <is>
          <t>CT-e</t>
        </is>
      </c>
      <c r="G3478" t="inlineStr">
        <is>
          <t>000007133</t>
        </is>
      </c>
      <c r="H3478" t="inlineStr">
        <is>
          <t>R&amp;R TRANSPORTE E LOGISTICA</t>
        </is>
      </c>
      <c r="J3478" s="29" t="n">
        <v>138.53</v>
      </c>
      <c r="K3478" s="29">
        <f>(1-ISNUMBER(SEARCH("556",M3478)))*(O3478*SUMIFS(Premissas!$C$5:$C$44,Premissas!$A$5:$A$44,$A3478,Premissas!$B$5:$B$44,$B3478)+P3478*SUMIFS(Premissas!$D$5:$D$44,Premissas!$A$5:$A$44,$A3478,Premissas!$B$5:$B$44,$B3478))+R3478*SUMIFS(Premissas!$E$5:$E$44,Premissas!$A$5:$A$44,$A3478,Premissas!$B$5:$B$44,$B3478)+S3478*SUMIFS(Premissas!$F$5:$F$44,Premissas!$A$5:$A$44,$A3478,Premissas!$B$5:$B$44,$B3478)</f>
        <v/>
      </c>
      <c r="L3478" s="29">
        <f>J3478-K3478</f>
        <v/>
      </c>
      <c r="M3478" t="inlineStr">
        <is>
          <t>1.350</t>
        </is>
      </c>
      <c r="N3478" t="inlineStr">
        <is>
          <t>Modalidade: 0 - Por conta do remetente | Parte: POPULAR COMERCIO DE MERCADORIAS EM GERAL LTDA (32.323.706/0001-80)</t>
        </is>
      </c>
      <c r="O3478" s="29" t="n">
        <v>0</v>
      </c>
      <c r="P3478" s="29" t="n">
        <v>0</v>
      </c>
      <c r="Q3478" s="29" t="n">
        <v>0</v>
      </c>
      <c r="R3478" s="29" t="n">
        <v>0</v>
      </c>
      <c r="S3478" s="29" t="n">
        <v>0</v>
      </c>
      <c r="T3478" t="inlineStr">
        <is>
          <t>25260526975620000130570010000071331001201234</t>
        </is>
      </c>
      <c r="U3478" t="inlineStr">
        <is>
          <t>Não</t>
        </is>
      </c>
    </row>
    <row r="3479">
      <c r="A3479" t="inlineStr">
        <is>
          <t>Frete de venda</t>
        </is>
      </c>
      <c r="B3479" t="inlineStr">
        <is>
          <t>2.01.02 Frete sobre Vendas</t>
        </is>
      </c>
      <c r="C3479" s="30" t="n">
        <v>46143</v>
      </c>
      <c r="D3479" t="inlineStr">
        <is>
          <t>Em 2026</t>
        </is>
      </c>
      <c r="E3479" s="28" t="n">
        <v>46167</v>
      </c>
      <c r="F3479" t="inlineStr">
        <is>
          <t>CT-e</t>
        </is>
      </c>
      <c r="G3479" t="inlineStr">
        <is>
          <t>000007136</t>
        </is>
      </c>
      <c r="H3479" t="inlineStr">
        <is>
          <t>R&amp;R TRANSPORTE E LOGISTICA</t>
        </is>
      </c>
      <c r="J3479" s="29" t="n">
        <v>17.34</v>
      </c>
      <c r="K3479" s="29">
        <f>(1-ISNUMBER(SEARCH("556",M3479)))*(O3479*SUMIFS(Premissas!$C$5:$C$44,Premissas!$A$5:$A$44,$A3479,Premissas!$B$5:$B$44,$B3479)+P3479*SUMIFS(Premissas!$D$5:$D$44,Premissas!$A$5:$A$44,$A3479,Premissas!$B$5:$B$44,$B3479))+R3479*SUMIFS(Premissas!$E$5:$E$44,Premissas!$A$5:$A$44,$A3479,Premissas!$B$5:$B$44,$B3479)+S3479*SUMIFS(Premissas!$F$5:$F$44,Premissas!$A$5:$A$44,$A3479,Premissas!$B$5:$B$44,$B3479)</f>
        <v/>
      </c>
      <c r="L3479" s="29">
        <f>J3479-K3479</f>
        <v/>
      </c>
      <c r="M3479" t="inlineStr">
        <is>
          <t>1.350</t>
        </is>
      </c>
      <c r="N3479" t="inlineStr">
        <is>
          <t>Modalidade: 0 - Por conta do remetente | Parte: MARIA FESTEIRA COMERCIAL LTDA (00.074.604/0001-82)</t>
        </is>
      </c>
      <c r="O3479" s="29" t="n">
        <v>0</v>
      </c>
      <c r="P3479" s="29" t="n">
        <v>0</v>
      </c>
      <c r="Q3479" s="29" t="n">
        <v>0</v>
      </c>
      <c r="R3479" s="29" t="n">
        <v>0</v>
      </c>
      <c r="S3479" s="29" t="n">
        <v>0</v>
      </c>
      <c r="T3479" t="inlineStr">
        <is>
          <t>25260526975620000130570010000071361001401472</t>
        </is>
      </c>
      <c r="U3479" t="inlineStr">
        <is>
          <t>Não</t>
        </is>
      </c>
    </row>
    <row r="3480">
      <c r="A3480" t="inlineStr">
        <is>
          <t>Frete de venda</t>
        </is>
      </c>
      <c r="B3480" t="inlineStr">
        <is>
          <t>2.01.02 Frete sobre Vendas</t>
        </is>
      </c>
      <c r="C3480" s="30" t="n">
        <v>46143</v>
      </c>
      <c r="D3480" t="inlineStr">
        <is>
          <t>Em 2026</t>
        </is>
      </c>
      <c r="E3480" s="28" t="n">
        <v>46167</v>
      </c>
      <c r="F3480" t="inlineStr">
        <is>
          <t>CT-e</t>
        </is>
      </c>
      <c r="G3480" t="inlineStr">
        <is>
          <t>000007137</t>
        </is>
      </c>
      <c r="H3480" t="inlineStr">
        <is>
          <t>R&amp;R TRANSPORTE E LOGISTICA</t>
        </is>
      </c>
      <c r="J3480" s="29" t="n">
        <v>13.47</v>
      </c>
      <c r="K3480" s="29">
        <f>(1-ISNUMBER(SEARCH("556",M3480)))*(O3480*SUMIFS(Premissas!$C$5:$C$44,Premissas!$A$5:$A$44,$A3480,Premissas!$B$5:$B$44,$B3480)+P3480*SUMIFS(Premissas!$D$5:$D$44,Premissas!$A$5:$A$44,$A3480,Premissas!$B$5:$B$44,$B3480))+R3480*SUMIFS(Premissas!$E$5:$E$44,Premissas!$A$5:$A$44,$A3480,Premissas!$B$5:$B$44,$B3480)+S3480*SUMIFS(Premissas!$F$5:$F$44,Premissas!$A$5:$A$44,$A3480,Premissas!$B$5:$B$44,$B3480)</f>
        <v/>
      </c>
      <c r="L3480" s="29">
        <f>J3480-K3480</f>
        <v/>
      </c>
      <c r="M3480" t="inlineStr">
        <is>
          <t>1.350</t>
        </is>
      </c>
      <c r="N3480" t="inlineStr">
        <is>
          <t>Modalidade: 0 - Por conta do remetente | Parte: LBS COMERCIO DE EMBALAGNES LTDA (60.065.852/0001-99)</t>
        </is>
      </c>
      <c r="O3480" s="29" t="n">
        <v>0</v>
      </c>
      <c r="P3480" s="29" t="n">
        <v>0</v>
      </c>
      <c r="Q3480" s="29" t="n">
        <v>0</v>
      </c>
      <c r="R3480" s="29" t="n">
        <v>0</v>
      </c>
      <c r="S3480" s="29" t="n">
        <v>0</v>
      </c>
      <c r="T3480" t="inlineStr">
        <is>
          <t>25260526975620000130570010000071371001101557</t>
        </is>
      </c>
      <c r="U3480" t="inlineStr">
        <is>
          <t>Não</t>
        </is>
      </c>
    </row>
    <row r="3481">
      <c r="A3481" t="inlineStr">
        <is>
          <t>Frete de venda</t>
        </is>
      </c>
      <c r="B3481" t="inlineStr">
        <is>
          <t>2.01.02 Frete sobre Vendas</t>
        </is>
      </c>
      <c r="C3481" s="30" t="n">
        <v>46143</v>
      </c>
      <c r="D3481" t="inlineStr">
        <is>
          <t>Em 2026</t>
        </is>
      </c>
      <c r="E3481" s="28" t="n">
        <v>46167</v>
      </c>
      <c r="F3481" t="inlineStr">
        <is>
          <t>CT-e</t>
        </is>
      </c>
      <c r="G3481" t="inlineStr">
        <is>
          <t>000007138</t>
        </is>
      </c>
      <c r="H3481" t="inlineStr">
        <is>
          <t>R&amp;R TRANSPORTE E LOGISTICA</t>
        </is>
      </c>
      <c r="J3481" s="29" t="n">
        <v>12.87</v>
      </c>
      <c r="K3481" s="29">
        <f>(1-ISNUMBER(SEARCH("556",M3481)))*(O3481*SUMIFS(Premissas!$C$5:$C$44,Premissas!$A$5:$A$44,$A3481,Premissas!$B$5:$B$44,$B3481)+P3481*SUMIFS(Premissas!$D$5:$D$44,Premissas!$A$5:$A$44,$A3481,Premissas!$B$5:$B$44,$B3481))+R3481*SUMIFS(Premissas!$E$5:$E$44,Premissas!$A$5:$A$44,$A3481,Premissas!$B$5:$B$44,$B3481)+S3481*SUMIFS(Premissas!$F$5:$F$44,Premissas!$A$5:$A$44,$A3481,Premissas!$B$5:$B$44,$B3481)</f>
        <v/>
      </c>
      <c r="L3481" s="29">
        <f>J3481-K3481</f>
        <v/>
      </c>
      <c r="M3481" t="inlineStr">
        <is>
          <t>1.350</t>
        </is>
      </c>
      <c r="N3481" t="inlineStr">
        <is>
          <t>Modalidade: 0 - Por conta do remetente | Parte: LA SERAFIM COMERCIO DE EMBALAGENS LTDA (07.797.641/0001-68)</t>
        </is>
      </c>
      <c r="O3481" s="29" t="n">
        <v>0</v>
      </c>
      <c r="P3481" s="29" t="n">
        <v>0</v>
      </c>
      <c r="Q3481" s="29" t="n">
        <v>0</v>
      </c>
      <c r="R3481" s="29" t="n">
        <v>0</v>
      </c>
      <c r="S3481" s="29" t="n">
        <v>0</v>
      </c>
      <c r="T3481" t="inlineStr">
        <is>
          <t>25260526975620000130570010000071381001901631</t>
        </is>
      </c>
      <c r="U3481" t="inlineStr">
        <is>
          <t>Não</t>
        </is>
      </c>
    </row>
    <row r="3482">
      <c r="A3482" t="inlineStr">
        <is>
          <t>Frete de venda</t>
        </is>
      </c>
      <c r="B3482" t="inlineStr">
        <is>
          <t>2.01.02 Frete sobre Vendas</t>
        </is>
      </c>
      <c r="C3482" s="30" t="n">
        <v>46143</v>
      </c>
      <c r="D3482" t="inlineStr">
        <is>
          <t>Em 2026</t>
        </is>
      </c>
      <c r="E3482" s="28" t="n">
        <v>46167</v>
      </c>
      <c r="F3482" t="inlineStr">
        <is>
          <t>CT-e</t>
        </is>
      </c>
      <c r="G3482" t="inlineStr">
        <is>
          <t>000007139</t>
        </is>
      </c>
      <c r="H3482" t="inlineStr">
        <is>
          <t>R&amp;R TRANSPORTE E LOGISTICA</t>
        </is>
      </c>
      <c r="J3482" s="29" t="n">
        <v>15.08</v>
      </c>
      <c r="K3482" s="29">
        <f>(1-ISNUMBER(SEARCH("556",M3482)))*(O3482*SUMIFS(Premissas!$C$5:$C$44,Premissas!$A$5:$A$44,$A3482,Premissas!$B$5:$B$44,$B3482)+P3482*SUMIFS(Premissas!$D$5:$D$44,Premissas!$A$5:$A$44,$A3482,Premissas!$B$5:$B$44,$B3482))+R3482*SUMIFS(Premissas!$E$5:$E$44,Premissas!$A$5:$A$44,$A3482,Premissas!$B$5:$B$44,$B3482)+S3482*SUMIFS(Premissas!$F$5:$F$44,Premissas!$A$5:$A$44,$A3482,Premissas!$B$5:$B$44,$B3482)</f>
        <v/>
      </c>
      <c r="L3482" s="29">
        <f>J3482-K3482</f>
        <v/>
      </c>
      <c r="M3482" t="inlineStr">
        <is>
          <t>1.350</t>
        </is>
      </c>
      <c r="N3482" t="inlineStr">
        <is>
          <t>Modalidade: 0 - Por conta do remetente | Parte: R.L SERAFIM LTDA (66.426.039/0001-83)</t>
        </is>
      </c>
      <c r="O3482" s="29" t="n">
        <v>0</v>
      </c>
      <c r="P3482" s="29" t="n">
        <v>0</v>
      </c>
      <c r="Q3482" s="29" t="n">
        <v>0</v>
      </c>
      <c r="R3482" s="29" t="n">
        <v>0</v>
      </c>
      <c r="S3482" s="29" t="n">
        <v>0</v>
      </c>
      <c r="T3482" t="inlineStr">
        <is>
          <t>25260526975620000130570010000071391001601716</t>
        </is>
      </c>
      <c r="U3482" t="inlineStr">
        <is>
          <t>Não</t>
        </is>
      </c>
    </row>
    <row r="3483">
      <c r="A3483" t="inlineStr">
        <is>
          <t>Frete de venda</t>
        </is>
      </c>
      <c r="B3483" t="inlineStr">
        <is>
          <t>2.01.02 Frete sobre Vendas</t>
        </is>
      </c>
      <c r="C3483" s="30" t="n">
        <v>46143</v>
      </c>
      <c r="D3483" t="inlineStr">
        <is>
          <t>Em 2026</t>
        </is>
      </c>
      <c r="E3483" s="28" t="n">
        <v>46167</v>
      </c>
      <c r="F3483" t="inlineStr">
        <is>
          <t>CT-e</t>
        </is>
      </c>
      <c r="G3483" t="inlineStr">
        <is>
          <t>000007140</t>
        </is>
      </c>
      <c r="H3483" t="inlineStr">
        <is>
          <t>R&amp;R TRANSPORTE E LOGISTICA</t>
        </is>
      </c>
      <c r="J3483" s="29" t="n">
        <v>24.08</v>
      </c>
      <c r="K3483" s="29">
        <f>(1-ISNUMBER(SEARCH("556",M3483)))*(O3483*SUMIFS(Premissas!$C$5:$C$44,Premissas!$A$5:$A$44,$A3483,Premissas!$B$5:$B$44,$B3483)+P3483*SUMIFS(Premissas!$D$5:$D$44,Premissas!$A$5:$A$44,$A3483,Premissas!$B$5:$B$44,$B3483))+R3483*SUMIFS(Premissas!$E$5:$E$44,Premissas!$A$5:$A$44,$A3483,Premissas!$B$5:$B$44,$B3483)+S3483*SUMIFS(Premissas!$F$5:$F$44,Premissas!$A$5:$A$44,$A3483,Premissas!$B$5:$B$44,$B3483)</f>
        <v/>
      </c>
      <c r="L3483" s="29">
        <f>J3483-K3483</f>
        <v/>
      </c>
      <c r="M3483" t="inlineStr">
        <is>
          <t>1.350</t>
        </is>
      </c>
      <c r="N3483" t="inlineStr">
        <is>
          <t>Modalidade: 0 - Por conta do remetente | Parte: LITORAL DISTRIBUIDORA S.A (55.104.068/0001-02)</t>
        </is>
      </c>
      <c r="O3483" s="29" t="n">
        <v>0</v>
      </c>
      <c r="P3483" s="29" t="n">
        <v>0</v>
      </c>
      <c r="Q3483" s="29" t="n">
        <v>0</v>
      </c>
      <c r="R3483" s="29" t="n">
        <v>0</v>
      </c>
      <c r="S3483" s="29" t="n">
        <v>0</v>
      </c>
      <c r="T3483" t="inlineStr">
        <is>
          <t>25260526975620000130570010000071401001301799</t>
        </is>
      </c>
      <c r="U3483" t="inlineStr">
        <is>
          <t>Não</t>
        </is>
      </c>
    </row>
    <row r="3484">
      <c r="A3484" t="inlineStr">
        <is>
          <t>Frete de venda</t>
        </is>
      </c>
      <c r="B3484" t="inlineStr">
        <is>
          <t>2.01.02 Frete sobre Vendas</t>
        </is>
      </c>
      <c r="C3484" s="30" t="n">
        <v>46143</v>
      </c>
      <c r="D3484" t="inlineStr">
        <is>
          <t>Em 2026</t>
        </is>
      </c>
      <c r="E3484" s="28" t="n">
        <v>46167</v>
      </c>
      <c r="F3484" t="inlineStr">
        <is>
          <t>CT-e</t>
        </is>
      </c>
      <c r="G3484" t="inlineStr">
        <is>
          <t>000007141</t>
        </is>
      </c>
      <c r="H3484" t="inlineStr">
        <is>
          <t>R&amp;R TRANSPORTE E LOGISTICA</t>
        </is>
      </c>
      <c r="J3484" s="29" t="n">
        <v>20.45</v>
      </c>
      <c r="K3484" s="29">
        <f>(1-ISNUMBER(SEARCH("556",M3484)))*(O3484*SUMIFS(Premissas!$C$5:$C$44,Premissas!$A$5:$A$44,$A3484,Premissas!$B$5:$B$44,$B3484)+P3484*SUMIFS(Premissas!$D$5:$D$44,Premissas!$A$5:$A$44,$A3484,Premissas!$B$5:$B$44,$B3484))+R3484*SUMIFS(Premissas!$E$5:$E$44,Premissas!$A$5:$A$44,$A3484,Premissas!$B$5:$B$44,$B3484)+S3484*SUMIFS(Premissas!$F$5:$F$44,Premissas!$A$5:$A$44,$A3484,Premissas!$B$5:$B$44,$B3484)</f>
        <v/>
      </c>
      <c r="L3484" s="29">
        <f>J3484-K3484</f>
        <v/>
      </c>
      <c r="M3484" t="inlineStr">
        <is>
          <t>1.350</t>
        </is>
      </c>
      <c r="N3484" t="inlineStr">
        <is>
          <t>Modalidade: 0 - Por conta do remetente | Parte: COMERCIAL DE ALIMENTOS PLANETA LTDA (60.405.318/0002-65)</t>
        </is>
      </c>
      <c r="O3484" s="29" t="n">
        <v>0</v>
      </c>
      <c r="P3484" s="29" t="n">
        <v>0</v>
      </c>
      <c r="Q3484" s="29" t="n">
        <v>0</v>
      </c>
      <c r="R3484" s="29" t="n">
        <v>0</v>
      </c>
      <c r="S3484" s="29" t="n">
        <v>0</v>
      </c>
      <c r="T3484" t="inlineStr">
        <is>
          <t>25260526975620000130570010000071411000101874</t>
        </is>
      </c>
      <c r="U3484" t="inlineStr">
        <is>
          <t>Não</t>
        </is>
      </c>
    </row>
    <row r="3485">
      <c r="A3485" t="inlineStr">
        <is>
          <t>Frete de venda</t>
        </is>
      </c>
      <c r="B3485" t="inlineStr">
        <is>
          <t>2.01.02 Frete sobre Vendas</t>
        </is>
      </c>
      <c r="C3485" s="30" t="n">
        <v>46143</v>
      </c>
      <c r="D3485" t="inlineStr">
        <is>
          <t>Em 2026</t>
        </is>
      </c>
      <c r="E3485" s="28" t="n">
        <v>46167</v>
      </c>
      <c r="F3485" t="inlineStr">
        <is>
          <t>CT-e</t>
        </is>
      </c>
      <c r="G3485" t="inlineStr">
        <is>
          <t>000007142</t>
        </is>
      </c>
      <c r="H3485" t="inlineStr">
        <is>
          <t>R&amp;R TRANSPORTE E LOGISTICA</t>
        </is>
      </c>
      <c r="J3485" s="29" t="n">
        <v>13.58</v>
      </c>
      <c r="K3485" s="29">
        <f>(1-ISNUMBER(SEARCH("556",M3485)))*(O3485*SUMIFS(Premissas!$C$5:$C$44,Premissas!$A$5:$A$44,$A3485,Premissas!$B$5:$B$44,$B3485)+P3485*SUMIFS(Premissas!$D$5:$D$44,Premissas!$A$5:$A$44,$A3485,Premissas!$B$5:$B$44,$B3485))+R3485*SUMIFS(Premissas!$E$5:$E$44,Premissas!$A$5:$A$44,$A3485,Premissas!$B$5:$B$44,$B3485)+S3485*SUMIFS(Premissas!$F$5:$F$44,Premissas!$A$5:$A$44,$A3485,Premissas!$B$5:$B$44,$B3485)</f>
        <v/>
      </c>
      <c r="L3485" s="29">
        <f>J3485-K3485</f>
        <v/>
      </c>
      <c r="M3485" t="inlineStr">
        <is>
          <t>1.350</t>
        </is>
      </c>
      <c r="N3485" t="inlineStr">
        <is>
          <t>Modalidade: 0 - Por conta do remetente | Parte: BAIXINHO EMBALAGENS LTDA (49.023.382/0001-68)</t>
        </is>
      </c>
      <c r="O3485" s="29" t="n">
        <v>0</v>
      </c>
      <c r="P3485" s="29" t="n">
        <v>0</v>
      </c>
      <c r="Q3485" s="29" t="n">
        <v>0</v>
      </c>
      <c r="R3485" s="29" t="n">
        <v>0</v>
      </c>
      <c r="S3485" s="29" t="n">
        <v>0</v>
      </c>
      <c r="T3485" t="inlineStr">
        <is>
          <t>25260526975620000130570010000071421001101220</t>
        </is>
      </c>
      <c r="U3485" t="inlineStr">
        <is>
          <t>Não</t>
        </is>
      </c>
    </row>
    <row r="3486">
      <c r="A3486" t="inlineStr">
        <is>
          <t>Frete de venda</t>
        </is>
      </c>
      <c r="B3486" t="inlineStr">
        <is>
          <t>2.01.02 Frete sobre Vendas</t>
        </is>
      </c>
      <c r="C3486" s="30" t="n">
        <v>46143</v>
      </c>
      <c r="D3486" t="inlineStr">
        <is>
          <t>Em 2026</t>
        </is>
      </c>
      <c r="E3486" s="28" t="n">
        <v>46167</v>
      </c>
      <c r="F3486" t="inlineStr">
        <is>
          <t>CT-e</t>
        </is>
      </c>
      <c r="G3486" t="inlineStr">
        <is>
          <t>000007143</t>
        </is>
      </c>
      <c r="H3486" t="inlineStr">
        <is>
          <t>R&amp;R TRANSPORTE E LOGISTICA</t>
        </is>
      </c>
      <c r="J3486" s="29" t="n">
        <v>15.79</v>
      </c>
      <c r="K3486" s="29">
        <f>(1-ISNUMBER(SEARCH("556",M3486)))*(O3486*SUMIFS(Premissas!$C$5:$C$44,Premissas!$A$5:$A$44,$A3486,Premissas!$B$5:$B$44,$B3486)+P3486*SUMIFS(Premissas!$D$5:$D$44,Premissas!$A$5:$A$44,$A3486,Premissas!$B$5:$B$44,$B3486))+R3486*SUMIFS(Premissas!$E$5:$E$44,Premissas!$A$5:$A$44,$A3486,Premissas!$B$5:$B$44,$B3486)+S3486*SUMIFS(Premissas!$F$5:$F$44,Premissas!$A$5:$A$44,$A3486,Premissas!$B$5:$B$44,$B3486)</f>
        <v/>
      </c>
      <c r="L3486" s="29">
        <f>J3486-K3486</f>
        <v/>
      </c>
      <c r="M3486" t="inlineStr">
        <is>
          <t>1.350</t>
        </is>
      </c>
      <c r="N3486" t="inlineStr">
        <is>
          <t>Modalidade: 0 - Por conta do remetente | Parte: MARIO ROCHA RIBEIRO PINTO (49.606.818/0001-41)</t>
        </is>
      </c>
      <c r="O3486" s="29" t="n">
        <v>0</v>
      </c>
      <c r="P3486" s="29" t="n">
        <v>0</v>
      </c>
      <c r="Q3486" s="29" t="n">
        <v>0</v>
      </c>
      <c r="R3486" s="29" t="n">
        <v>0</v>
      </c>
      <c r="S3486" s="29" t="n">
        <v>0</v>
      </c>
      <c r="T3486" t="inlineStr">
        <is>
          <t>25260526975620000130570010000071431001901305</t>
        </is>
      </c>
      <c r="U3486" t="inlineStr">
        <is>
          <t>Não</t>
        </is>
      </c>
    </row>
    <row r="3487">
      <c r="A3487" t="inlineStr">
        <is>
          <t>Frete de venda</t>
        </is>
      </c>
      <c r="B3487" t="inlineStr">
        <is>
          <t>2.01.02 Frete sobre Vendas</t>
        </is>
      </c>
      <c r="C3487" s="30" t="n">
        <v>46143</v>
      </c>
      <c r="D3487" t="inlineStr">
        <is>
          <t>Em 2026</t>
        </is>
      </c>
      <c r="E3487" s="28" t="n">
        <v>46167</v>
      </c>
      <c r="F3487" t="inlineStr">
        <is>
          <t>CT-e</t>
        </is>
      </c>
      <c r="G3487" t="inlineStr">
        <is>
          <t>000007144</t>
        </is>
      </c>
      <c r="H3487" t="inlineStr">
        <is>
          <t>R&amp;R TRANSPORTE E LOGISTICA</t>
        </is>
      </c>
      <c r="J3487" s="29" t="n">
        <v>25.55</v>
      </c>
      <c r="K3487" s="29">
        <f>(1-ISNUMBER(SEARCH("556",M3487)))*(O3487*SUMIFS(Premissas!$C$5:$C$44,Premissas!$A$5:$A$44,$A3487,Premissas!$B$5:$B$44,$B3487)+P3487*SUMIFS(Premissas!$D$5:$D$44,Premissas!$A$5:$A$44,$A3487,Premissas!$B$5:$B$44,$B3487))+R3487*SUMIFS(Premissas!$E$5:$E$44,Premissas!$A$5:$A$44,$A3487,Premissas!$B$5:$B$44,$B3487)+S3487*SUMIFS(Premissas!$F$5:$F$44,Premissas!$A$5:$A$44,$A3487,Premissas!$B$5:$B$44,$B3487)</f>
        <v/>
      </c>
      <c r="L3487" s="29">
        <f>J3487-K3487</f>
        <v/>
      </c>
      <c r="M3487" t="inlineStr">
        <is>
          <t>1.350</t>
        </is>
      </c>
      <c r="N3487" t="inlineStr">
        <is>
          <t>Modalidade: 0 - Por conta do remetente | Parte: MIX COMERCIO DE EMBALAGENS LTDA (52.348.061/0001-48)</t>
        </is>
      </c>
      <c r="O3487" s="29" t="n">
        <v>0</v>
      </c>
      <c r="P3487" s="29" t="n">
        <v>0</v>
      </c>
      <c r="Q3487" s="29" t="n">
        <v>0</v>
      </c>
      <c r="R3487" s="29" t="n">
        <v>0</v>
      </c>
      <c r="S3487" s="29" t="n">
        <v>0</v>
      </c>
      <c r="T3487" t="inlineStr">
        <is>
          <t>25260526975620000130570010000071441001601384</t>
        </is>
      </c>
      <c r="U3487" t="inlineStr">
        <is>
          <t>Não</t>
        </is>
      </c>
    </row>
    <row r="3488">
      <c r="A3488" t="inlineStr">
        <is>
          <t>Frete de venda</t>
        </is>
      </c>
      <c r="B3488" t="inlineStr">
        <is>
          <t>2.01.02 Frete sobre Vendas</t>
        </is>
      </c>
      <c r="C3488" s="30" t="n">
        <v>46143</v>
      </c>
      <c r="D3488" t="inlineStr">
        <is>
          <t>Em 2026</t>
        </is>
      </c>
      <c r="E3488" s="28" t="n">
        <v>46167</v>
      </c>
      <c r="F3488" t="inlineStr">
        <is>
          <t>CT-e</t>
        </is>
      </c>
      <c r="G3488" t="inlineStr">
        <is>
          <t>000007145</t>
        </is>
      </c>
      <c r="H3488" t="inlineStr">
        <is>
          <t>R&amp;R TRANSPORTE E LOGISTICA</t>
        </is>
      </c>
      <c r="J3488" s="29" t="n">
        <v>32.29</v>
      </c>
      <c r="K3488" s="29">
        <f>(1-ISNUMBER(SEARCH("556",M3488)))*(O3488*SUMIFS(Premissas!$C$5:$C$44,Premissas!$A$5:$A$44,$A3488,Premissas!$B$5:$B$44,$B3488)+P3488*SUMIFS(Premissas!$D$5:$D$44,Premissas!$A$5:$A$44,$A3488,Premissas!$B$5:$B$44,$B3488))+R3488*SUMIFS(Premissas!$E$5:$E$44,Premissas!$A$5:$A$44,$A3488,Premissas!$B$5:$B$44,$B3488)+S3488*SUMIFS(Premissas!$F$5:$F$44,Premissas!$A$5:$A$44,$A3488,Premissas!$B$5:$B$44,$B3488)</f>
        <v/>
      </c>
      <c r="L3488" s="29">
        <f>J3488-K3488</f>
        <v/>
      </c>
      <c r="M3488" t="inlineStr">
        <is>
          <t>1.350</t>
        </is>
      </c>
      <c r="N3488" t="inlineStr">
        <is>
          <t>Modalidade: 0 - Por conta do remetente | Parte: RM DISTRIBUICOES LTDA (24.963.348/0001-42)</t>
        </is>
      </c>
      <c r="O3488" s="29" t="n">
        <v>0</v>
      </c>
      <c r="P3488" s="29" t="n">
        <v>0</v>
      </c>
      <c r="Q3488" s="29" t="n">
        <v>0</v>
      </c>
      <c r="R3488" s="29" t="n">
        <v>0</v>
      </c>
      <c r="S3488" s="29" t="n">
        <v>0</v>
      </c>
      <c r="T3488" t="inlineStr">
        <is>
          <t>25260526975620000130570010000071451001301469</t>
        </is>
      </c>
      <c r="U3488" t="inlineStr">
        <is>
          <t>Não</t>
        </is>
      </c>
    </row>
    <row r="3489">
      <c r="A3489" t="inlineStr">
        <is>
          <t>Frete de venda</t>
        </is>
      </c>
      <c r="B3489" t="inlineStr">
        <is>
          <t>2.01.02 Frete sobre Vendas</t>
        </is>
      </c>
      <c r="C3489" s="30" t="n">
        <v>46143</v>
      </c>
      <c r="D3489" t="inlineStr">
        <is>
          <t>Em 2026</t>
        </is>
      </c>
      <c r="E3489" s="28" t="n">
        <v>46167</v>
      </c>
      <c r="F3489" t="inlineStr">
        <is>
          <t>CT-e</t>
        </is>
      </c>
      <c r="G3489" t="inlineStr">
        <is>
          <t>000007146</t>
        </is>
      </c>
      <c r="H3489" t="inlineStr">
        <is>
          <t>R&amp;R TRANSPORTE E LOGISTICA</t>
        </is>
      </c>
      <c r="J3489" s="29" t="n">
        <v>19.11</v>
      </c>
      <c r="K3489" s="29">
        <f>(1-ISNUMBER(SEARCH("556",M3489)))*(O3489*SUMIFS(Premissas!$C$5:$C$44,Premissas!$A$5:$A$44,$A3489,Premissas!$B$5:$B$44,$B3489)+P3489*SUMIFS(Premissas!$D$5:$D$44,Premissas!$A$5:$A$44,$A3489,Premissas!$B$5:$B$44,$B3489))+R3489*SUMIFS(Premissas!$E$5:$E$44,Premissas!$A$5:$A$44,$A3489,Premissas!$B$5:$B$44,$B3489)+S3489*SUMIFS(Premissas!$F$5:$F$44,Premissas!$A$5:$A$44,$A3489,Premissas!$B$5:$B$44,$B3489)</f>
        <v/>
      </c>
      <c r="L3489" s="29">
        <f>J3489-K3489</f>
        <v/>
      </c>
      <c r="M3489" t="inlineStr">
        <is>
          <t>1.350</t>
        </is>
      </c>
      <c r="N3489" t="inlineStr">
        <is>
          <t>Modalidade: 0 - Por conta do remetente | Parte: ANA CAROL FESTAS LTDA (04.102.707/0001-60)</t>
        </is>
      </c>
      <c r="O3489" s="29" t="n">
        <v>0</v>
      </c>
      <c r="P3489" s="29" t="n">
        <v>0</v>
      </c>
      <c r="Q3489" s="29" t="n">
        <v>0</v>
      </c>
      <c r="R3489" s="29" t="n">
        <v>0</v>
      </c>
      <c r="S3489" s="29" t="n">
        <v>0</v>
      </c>
      <c r="T3489" t="inlineStr">
        <is>
          <t>25260526975620000130570010000071461000101544</t>
        </is>
      </c>
      <c r="U3489" t="inlineStr">
        <is>
          <t>Não</t>
        </is>
      </c>
    </row>
    <row r="3490">
      <c r="A3490" t="inlineStr">
        <is>
          <t>Frete de venda</t>
        </is>
      </c>
      <c r="B3490" t="inlineStr">
        <is>
          <t>2.01.02 Frete sobre Vendas</t>
        </is>
      </c>
      <c r="C3490" s="30" t="n">
        <v>46143</v>
      </c>
      <c r="D3490" t="inlineStr">
        <is>
          <t>Em 2026</t>
        </is>
      </c>
      <c r="E3490" s="28" t="n">
        <v>46167</v>
      </c>
      <c r="F3490" t="inlineStr">
        <is>
          <t>CT-e</t>
        </is>
      </c>
      <c r="G3490" t="inlineStr">
        <is>
          <t>000007147</t>
        </is>
      </c>
      <c r="H3490" t="inlineStr">
        <is>
          <t>R&amp;R TRANSPORTE E LOGISTICA</t>
        </is>
      </c>
      <c r="J3490" s="29" t="n">
        <v>16.25</v>
      </c>
      <c r="K3490" s="29">
        <f>(1-ISNUMBER(SEARCH("556",M3490)))*(O3490*SUMIFS(Premissas!$C$5:$C$44,Premissas!$A$5:$A$44,$A3490,Premissas!$B$5:$B$44,$B3490)+P3490*SUMIFS(Premissas!$D$5:$D$44,Premissas!$A$5:$A$44,$A3490,Premissas!$B$5:$B$44,$B3490))+R3490*SUMIFS(Premissas!$E$5:$E$44,Premissas!$A$5:$A$44,$A3490,Premissas!$B$5:$B$44,$B3490)+S3490*SUMIFS(Premissas!$F$5:$F$44,Premissas!$A$5:$A$44,$A3490,Premissas!$B$5:$B$44,$B3490)</f>
        <v/>
      </c>
      <c r="L3490" s="29">
        <f>J3490-K3490</f>
        <v/>
      </c>
      <c r="M3490" t="inlineStr">
        <is>
          <t>1.350</t>
        </is>
      </c>
      <c r="N3490" t="inlineStr">
        <is>
          <t>Modalidade: 0 - Por conta do remetente | Parte: COMERCIO DE MIX E ACAI DO VALLE LTDA (36.951.535/0003-57)</t>
        </is>
      </c>
      <c r="O3490" s="29" t="n">
        <v>0</v>
      </c>
      <c r="P3490" s="29" t="n">
        <v>0</v>
      </c>
      <c r="Q3490" s="29" t="n">
        <v>0</v>
      </c>
      <c r="R3490" s="29" t="n">
        <v>0</v>
      </c>
      <c r="S3490" s="29" t="n">
        <v>0</v>
      </c>
      <c r="T3490" t="inlineStr">
        <is>
          <t>25260526975620000130570010000071471001801628</t>
        </is>
      </c>
      <c r="U3490" t="inlineStr">
        <is>
          <t>Não</t>
        </is>
      </c>
    </row>
    <row r="3491">
      <c r="A3491" t="inlineStr">
        <is>
          <t>Frete de venda</t>
        </is>
      </c>
      <c r="B3491" t="inlineStr">
        <is>
          <t>2.01.02 Frete sobre Vendas</t>
        </is>
      </c>
      <c r="C3491" s="30" t="n">
        <v>46143</v>
      </c>
      <c r="D3491" t="inlineStr">
        <is>
          <t>Em 2026</t>
        </is>
      </c>
      <c r="E3491" s="28" t="n">
        <v>46167</v>
      </c>
      <c r="F3491" t="inlineStr">
        <is>
          <t>CT-e</t>
        </is>
      </c>
      <c r="G3491" t="inlineStr">
        <is>
          <t>000007148</t>
        </is>
      </c>
      <c r="H3491" t="inlineStr">
        <is>
          <t>R&amp;R TRANSPORTE E LOGISTICA</t>
        </is>
      </c>
      <c r="J3491" s="29" t="n">
        <v>33.82</v>
      </c>
      <c r="K3491" s="29">
        <f>(1-ISNUMBER(SEARCH("556",M3491)))*(O3491*SUMIFS(Premissas!$C$5:$C$44,Premissas!$A$5:$A$44,$A3491,Premissas!$B$5:$B$44,$B3491)+P3491*SUMIFS(Premissas!$D$5:$D$44,Premissas!$A$5:$A$44,$A3491,Premissas!$B$5:$B$44,$B3491))+R3491*SUMIFS(Premissas!$E$5:$E$44,Premissas!$A$5:$A$44,$A3491,Premissas!$B$5:$B$44,$B3491)+S3491*SUMIFS(Premissas!$F$5:$F$44,Premissas!$A$5:$A$44,$A3491,Premissas!$B$5:$B$44,$B3491)</f>
        <v/>
      </c>
      <c r="L3491" s="29">
        <f>J3491-K3491</f>
        <v/>
      </c>
      <c r="M3491" t="inlineStr">
        <is>
          <t>1.350</t>
        </is>
      </c>
      <c r="N3491" t="inlineStr">
        <is>
          <t>Modalidade: 0 - Por conta do remetente | Parte: DISTRIBUIDORA JULIANA LTDA (07.276.402/0001-62)</t>
        </is>
      </c>
      <c r="O3491" s="29" t="n">
        <v>0</v>
      </c>
      <c r="P3491" s="29" t="n">
        <v>0</v>
      </c>
      <c r="Q3491" s="29" t="n">
        <v>0</v>
      </c>
      <c r="R3491" s="29" t="n">
        <v>0</v>
      </c>
      <c r="S3491" s="29" t="n">
        <v>0</v>
      </c>
      <c r="T3491" t="inlineStr">
        <is>
          <t>25260526975620000130570010000071481001501702</t>
        </is>
      </c>
      <c r="U3491" t="inlineStr">
        <is>
          <t>Não</t>
        </is>
      </c>
    </row>
    <row r="3492">
      <c r="A3492" t="inlineStr">
        <is>
          <t>Frete de venda</t>
        </is>
      </c>
      <c r="B3492" t="inlineStr">
        <is>
          <t>2.01.02 Frete sobre Vendas</t>
        </is>
      </c>
      <c r="C3492" s="30" t="n">
        <v>46143</v>
      </c>
      <c r="D3492" t="inlineStr">
        <is>
          <t>Em 2026</t>
        </is>
      </c>
      <c r="E3492" s="28" t="n">
        <v>46167</v>
      </c>
      <c r="F3492" t="inlineStr">
        <is>
          <t>CT-e</t>
        </is>
      </c>
      <c r="G3492" t="inlineStr">
        <is>
          <t>000007149</t>
        </is>
      </c>
      <c r="H3492" t="inlineStr">
        <is>
          <t>R&amp;R TRANSPORTE E LOGISTICA</t>
        </is>
      </c>
      <c r="J3492" s="29" t="n">
        <v>13.28</v>
      </c>
      <c r="K3492" s="29">
        <f>(1-ISNUMBER(SEARCH("556",M3492)))*(O3492*SUMIFS(Premissas!$C$5:$C$44,Premissas!$A$5:$A$44,$A3492,Premissas!$B$5:$B$44,$B3492)+P3492*SUMIFS(Premissas!$D$5:$D$44,Premissas!$A$5:$A$44,$A3492,Premissas!$B$5:$B$44,$B3492))+R3492*SUMIFS(Premissas!$E$5:$E$44,Premissas!$A$5:$A$44,$A3492,Premissas!$B$5:$B$44,$B3492)+S3492*SUMIFS(Premissas!$F$5:$F$44,Premissas!$A$5:$A$44,$A3492,Premissas!$B$5:$B$44,$B3492)</f>
        <v/>
      </c>
      <c r="L3492" s="29">
        <f>J3492-K3492</f>
        <v/>
      </c>
      <c r="M3492" t="inlineStr">
        <is>
          <t>1.350</t>
        </is>
      </c>
      <c r="N3492" t="inlineStr">
        <is>
          <t>Modalidade: 0 - Por conta do remetente | Parte: J.R. COMERCIO DE EMBALAGENS LTDA (23.099.779/0001-40)</t>
        </is>
      </c>
      <c r="O3492" s="29" t="n">
        <v>0</v>
      </c>
      <c r="P3492" s="29" t="n">
        <v>0</v>
      </c>
      <c r="Q3492" s="29" t="n">
        <v>0</v>
      </c>
      <c r="R3492" s="29" t="n">
        <v>0</v>
      </c>
      <c r="S3492" s="29" t="n">
        <v>0</v>
      </c>
      <c r="T3492" t="inlineStr">
        <is>
          <t>25260526975620000130570010000071491001201781</t>
        </is>
      </c>
      <c r="U3492" t="inlineStr">
        <is>
          <t>Não</t>
        </is>
      </c>
    </row>
    <row r="3493">
      <c r="A3493" t="inlineStr">
        <is>
          <t>Frete de venda</t>
        </is>
      </c>
      <c r="B3493" t="inlineStr">
        <is>
          <t>2.01.02 Frete sobre Vendas</t>
        </is>
      </c>
      <c r="C3493" s="30" t="n">
        <v>46143</v>
      </c>
      <c r="D3493" t="inlineStr">
        <is>
          <t>Em 2026</t>
        </is>
      </c>
      <c r="E3493" s="28" t="n">
        <v>46167</v>
      </c>
      <c r="F3493" t="inlineStr">
        <is>
          <t>CT-e</t>
        </is>
      </c>
      <c r="G3493" t="inlineStr">
        <is>
          <t>000007150</t>
        </is>
      </c>
      <c r="H3493" t="inlineStr">
        <is>
          <t>R&amp;R TRANSPORTE E LOGISTICA</t>
        </is>
      </c>
      <c r="J3493" s="29" t="n">
        <v>21.17</v>
      </c>
      <c r="K3493" s="29">
        <f>(1-ISNUMBER(SEARCH("556",M3493)))*(O3493*SUMIFS(Premissas!$C$5:$C$44,Premissas!$A$5:$A$44,$A3493,Premissas!$B$5:$B$44,$B3493)+P3493*SUMIFS(Premissas!$D$5:$D$44,Premissas!$A$5:$A$44,$A3493,Premissas!$B$5:$B$44,$B3493))+R3493*SUMIFS(Premissas!$E$5:$E$44,Premissas!$A$5:$A$44,$A3493,Premissas!$B$5:$B$44,$B3493)+S3493*SUMIFS(Premissas!$F$5:$F$44,Premissas!$A$5:$A$44,$A3493,Premissas!$B$5:$B$44,$B3493)</f>
        <v/>
      </c>
      <c r="L3493" s="29">
        <f>J3493-K3493</f>
        <v/>
      </c>
      <c r="M3493" t="inlineStr">
        <is>
          <t>1.350</t>
        </is>
      </c>
      <c r="N3493" t="inlineStr">
        <is>
          <t>Modalidade: 0 - Por conta do remetente | Parte: EMBALAGENS CAMACARI ABC LTDA (62.587.067/0001-21)</t>
        </is>
      </c>
      <c r="O3493" s="29" t="n">
        <v>0</v>
      </c>
      <c r="P3493" s="29" t="n">
        <v>0</v>
      </c>
      <c r="Q3493" s="29" t="n">
        <v>0</v>
      </c>
      <c r="R3493" s="29" t="n">
        <v>0</v>
      </c>
      <c r="S3493" s="29" t="n">
        <v>0</v>
      </c>
      <c r="T3493" t="inlineStr">
        <is>
          <t>25260526975620000130570010000071501011001867</t>
        </is>
      </c>
      <c r="U3493" t="inlineStr">
        <is>
          <t>Não</t>
        </is>
      </c>
    </row>
    <row r="3494">
      <c r="A3494" t="inlineStr">
        <is>
          <t>Frete de venda</t>
        </is>
      </c>
      <c r="B3494" t="inlineStr">
        <is>
          <t>2.01.02 Frete sobre Vendas</t>
        </is>
      </c>
      <c r="C3494" s="30" t="n">
        <v>46143</v>
      </c>
      <c r="D3494" t="inlineStr">
        <is>
          <t>Em 2026</t>
        </is>
      </c>
      <c r="E3494" s="28" t="n">
        <v>46167</v>
      </c>
      <c r="F3494" t="inlineStr">
        <is>
          <t>CT-e</t>
        </is>
      </c>
      <c r="G3494" t="inlineStr">
        <is>
          <t>000007151</t>
        </is>
      </c>
      <c r="H3494" t="inlineStr">
        <is>
          <t>R&amp;R TRANSPORTE E LOGISTICA</t>
        </is>
      </c>
      <c r="J3494" s="29" t="n">
        <v>13.03</v>
      </c>
      <c r="K3494" s="29">
        <f>(1-ISNUMBER(SEARCH("556",M3494)))*(O3494*SUMIFS(Premissas!$C$5:$C$44,Premissas!$A$5:$A$44,$A3494,Premissas!$B$5:$B$44,$B3494)+P3494*SUMIFS(Premissas!$D$5:$D$44,Premissas!$A$5:$A$44,$A3494,Premissas!$B$5:$B$44,$B3494))+R3494*SUMIFS(Premissas!$E$5:$E$44,Premissas!$A$5:$A$44,$A3494,Premissas!$B$5:$B$44,$B3494)+S3494*SUMIFS(Premissas!$F$5:$F$44,Premissas!$A$5:$A$44,$A3494,Premissas!$B$5:$B$44,$B3494)</f>
        <v/>
      </c>
      <c r="L3494" s="29">
        <f>J3494-K3494</f>
        <v/>
      </c>
      <c r="M3494" t="inlineStr">
        <is>
          <t>1.350</t>
        </is>
      </c>
      <c r="N3494" t="inlineStr">
        <is>
          <t>Modalidade: 0 - Por conta do remetente | Parte: PRO-VAREJO COMERCIO DE EMBALAGENS LTDA (45.181.701/0001-02)</t>
        </is>
      </c>
      <c r="O3494" s="29" t="n">
        <v>0</v>
      </c>
      <c r="P3494" s="29" t="n">
        <v>0</v>
      </c>
      <c r="Q3494" s="29" t="n">
        <v>0</v>
      </c>
      <c r="R3494" s="29" t="n">
        <v>0</v>
      </c>
      <c r="S3494" s="29" t="n">
        <v>0</v>
      </c>
      <c r="T3494" t="inlineStr">
        <is>
          <t>25260526975620000130570010000071511001701944</t>
        </is>
      </c>
      <c r="U3494" t="inlineStr">
        <is>
          <t>Não</t>
        </is>
      </c>
    </row>
    <row r="3495">
      <c r="A3495" t="inlineStr">
        <is>
          <t>Frete de venda</t>
        </is>
      </c>
      <c r="B3495" t="inlineStr">
        <is>
          <t>2.01.02 Frete sobre Vendas</t>
        </is>
      </c>
      <c r="C3495" s="30" t="n">
        <v>46143</v>
      </c>
      <c r="D3495" t="inlineStr">
        <is>
          <t>Em 2026</t>
        </is>
      </c>
      <c r="E3495" s="28" t="n">
        <v>46168</v>
      </c>
      <c r="F3495" t="inlineStr">
        <is>
          <t>CT-e</t>
        </is>
      </c>
      <c r="G3495" t="inlineStr">
        <is>
          <t>000007152</t>
        </is>
      </c>
      <c r="H3495" t="inlineStr">
        <is>
          <t>R&amp;R TRANSPORTE E LOGISTICA</t>
        </is>
      </c>
      <c r="J3495" s="29" t="n">
        <v>6000</v>
      </c>
      <c r="K3495" s="29">
        <f>(1-ISNUMBER(SEARCH("556",M3495)))*(O3495*SUMIFS(Premissas!$C$5:$C$44,Premissas!$A$5:$A$44,$A3495,Premissas!$B$5:$B$44,$B3495)+P3495*SUMIFS(Premissas!$D$5:$D$44,Premissas!$A$5:$A$44,$A3495,Premissas!$B$5:$B$44,$B3495))+R3495*SUMIFS(Premissas!$E$5:$E$44,Premissas!$A$5:$A$44,$A3495,Premissas!$B$5:$B$44,$B3495)+S3495*SUMIFS(Premissas!$F$5:$F$44,Premissas!$A$5:$A$44,$A3495,Premissas!$B$5:$B$44,$B3495)</f>
        <v/>
      </c>
      <c r="L3495" s="29">
        <f>J3495-K3495</f>
        <v/>
      </c>
      <c r="M3495" t="inlineStr">
        <is>
          <t>1.350</t>
        </is>
      </c>
      <c r="N3495" t="inlineStr">
        <is>
          <t>Modalidade: 0 - Por conta do remetente | Parte: M N L FLORENTINO LTDA (47.068.852/0001-84)</t>
        </is>
      </c>
      <c r="O3495" s="29" t="n">
        <v>0</v>
      </c>
      <c r="P3495" s="29" t="n">
        <v>0</v>
      </c>
      <c r="Q3495" s="29" t="n">
        <v>0</v>
      </c>
      <c r="R3495" s="29" t="n">
        <v>0</v>
      </c>
      <c r="S3495" s="29" t="n">
        <v>0</v>
      </c>
      <c r="T3495" t="inlineStr">
        <is>
          <t>25260526975620000130570010000071521001201450</t>
        </is>
      </c>
      <c r="U3495" t="inlineStr">
        <is>
          <t>Não</t>
        </is>
      </c>
    </row>
    <row r="3496">
      <c r="A3496" t="inlineStr">
        <is>
          <t>Frete de venda</t>
        </is>
      </c>
      <c r="B3496" t="inlineStr">
        <is>
          <t>2.01.02 Frete sobre Vendas</t>
        </is>
      </c>
      <c r="C3496" s="30" t="n">
        <v>46143</v>
      </c>
      <c r="D3496" t="inlineStr">
        <is>
          <t>Em 2026</t>
        </is>
      </c>
      <c r="E3496" s="28" t="n">
        <v>46168</v>
      </c>
      <c r="F3496" t="inlineStr">
        <is>
          <t>CT-e</t>
        </is>
      </c>
      <c r="G3496" t="inlineStr">
        <is>
          <t>000007153</t>
        </is>
      </c>
      <c r="H3496" t="inlineStr">
        <is>
          <t>R&amp;R TRANSPORTE E LOGISTICA</t>
        </is>
      </c>
      <c r="J3496" s="29" t="n">
        <v>46.74</v>
      </c>
      <c r="K3496" s="29">
        <f>(1-ISNUMBER(SEARCH("556",M3496)))*(O3496*SUMIFS(Premissas!$C$5:$C$44,Premissas!$A$5:$A$44,$A3496,Premissas!$B$5:$B$44,$B3496)+P3496*SUMIFS(Premissas!$D$5:$D$44,Premissas!$A$5:$A$44,$A3496,Premissas!$B$5:$B$44,$B3496))+R3496*SUMIFS(Premissas!$E$5:$E$44,Premissas!$A$5:$A$44,$A3496,Premissas!$B$5:$B$44,$B3496)+S3496*SUMIFS(Premissas!$F$5:$F$44,Premissas!$A$5:$A$44,$A3496,Premissas!$B$5:$B$44,$B3496)</f>
        <v/>
      </c>
      <c r="L3496" s="29">
        <f>J3496-K3496</f>
        <v/>
      </c>
      <c r="M3496" t="inlineStr">
        <is>
          <t>1.350</t>
        </is>
      </c>
      <c r="N3496" t="inlineStr">
        <is>
          <t>Modalidade: 0 - Por conta do remetente | Parte: DOCA COMERCIO DE PRODUTOS ALIMENTICIOS LTDA (15.258.788/0001-08)</t>
        </is>
      </c>
      <c r="O3496" s="29" t="n">
        <v>0</v>
      </c>
      <c r="P3496" s="29" t="n">
        <v>0</v>
      </c>
      <c r="Q3496" s="29" t="n">
        <v>0</v>
      </c>
      <c r="R3496" s="29" t="n">
        <v>0</v>
      </c>
      <c r="S3496" s="29" t="n">
        <v>0</v>
      </c>
      <c r="T3496" t="inlineStr">
        <is>
          <t>25260526975620000130570010000071531001101003</t>
        </is>
      </c>
      <c r="U3496" t="inlineStr">
        <is>
          <t>Não</t>
        </is>
      </c>
    </row>
    <row r="3497">
      <c r="A3497" t="inlineStr">
        <is>
          <t>Frete de venda</t>
        </is>
      </c>
      <c r="B3497" t="inlineStr">
        <is>
          <t>2.01.02 Frete sobre Vendas</t>
        </is>
      </c>
      <c r="C3497" s="30" t="n">
        <v>46143</v>
      </c>
      <c r="D3497" t="inlineStr">
        <is>
          <t>Em 2026</t>
        </is>
      </c>
      <c r="E3497" s="28" t="n">
        <v>46168</v>
      </c>
      <c r="F3497" t="inlineStr">
        <is>
          <t>CT-e</t>
        </is>
      </c>
      <c r="G3497" t="inlineStr">
        <is>
          <t>000007154</t>
        </is>
      </c>
      <c r="H3497" t="inlineStr">
        <is>
          <t>R&amp;R TRANSPORTE E LOGISTICA</t>
        </is>
      </c>
      <c r="J3497" s="29" t="n">
        <v>42.29</v>
      </c>
      <c r="K3497" s="29">
        <f>(1-ISNUMBER(SEARCH("556",M3497)))*(O3497*SUMIFS(Premissas!$C$5:$C$44,Premissas!$A$5:$A$44,$A3497,Premissas!$B$5:$B$44,$B3497)+P3497*SUMIFS(Premissas!$D$5:$D$44,Premissas!$A$5:$A$44,$A3497,Premissas!$B$5:$B$44,$B3497))+R3497*SUMIFS(Premissas!$E$5:$E$44,Premissas!$A$5:$A$44,$A3497,Premissas!$B$5:$B$44,$B3497)+S3497*SUMIFS(Premissas!$F$5:$F$44,Premissas!$A$5:$A$44,$A3497,Premissas!$B$5:$B$44,$B3497)</f>
        <v/>
      </c>
      <c r="L3497" s="29">
        <f>J3497-K3497</f>
        <v/>
      </c>
      <c r="M3497" t="inlineStr">
        <is>
          <t>1.350</t>
        </is>
      </c>
      <c r="N3497" t="inlineStr">
        <is>
          <t>Modalidade: 0 - Por conta do remetente | Parte: JOSE JEFFERSON DO CARMO AZEVEDO (44.129.896/0001-89)</t>
        </is>
      </c>
      <c r="O3497" s="29" t="n">
        <v>0</v>
      </c>
      <c r="P3497" s="29" t="n">
        <v>0</v>
      </c>
      <c r="Q3497" s="29" t="n">
        <v>0</v>
      </c>
      <c r="R3497" s="29" t="n">
        <v>0</v>
      </c>
      <c r="S3497" s="29" t="n">
        <v>0</v>
      </c>
      <c r="T3497" t="inlineStr">
        <is>
          <t>25260526975620000130570010000071541001901082</t>
        </is>
      </c>
      <c r="U3497" t="inlineStr">
        <is>
          <t>Não</t>
        </is>
      </c>
    </row>
    <row r="3498">
      <c r="A3498" t="inlineStr">
        <is>
          <t>Frete de venda</t>
        </is>
      </c>
      <c r="B3498" t="inlineStr">
        <is>
          <t>2.01.02 Frete sobre Vendas</t>
        </is>
      </c>
      <c r="C3498" s="30" t="n">
        <v>46143</v>
      </c>
      <c r="D3498" t="inlineStr">
        <is>
          <t>Em 2026</t>
        </is>
      </c>
      <c r="E3498" s="28" t="n">
        <v>46168</v>
      </c>
      <c r="F3498" t="inlineStr">
        <is>
          <t>CT-e</t>
        </is>
      </c>
      <c r="G3498" t="inlineStr">
        <is>
          <t>000007155</t>
        </is>
      </c>
      <c r="H3498" t="inlineStr">
        <is>
          <t>R&amp;R TRANSPORTE E LOGISTICA</t>
        </is>
      </c>
      <c r="J3498" s="29" t="n">
        <v>42.95</v>
      </c>
      <c r="K3498" s="29">
        <f>(1-ISNUMBER(SEARCH("556",M3498)))*(O3498*SUMIFS(Premissas!$C$5:$C$44,Premissas!$A$5:$A$44,$A3498,Premissas!$B$5:$B$44,$B3498)+P3498*SUMIFS(Premissas!$D$5:$D$44,Premissas!$A$5:$A$44,$A3498,Premissas!$B$5:$B$44,$B3498))+R3498*SUMIFS(Premissas!$E$5:$E$44,Premissas!$A$5:$A$44,$A3498,Premissas!$B$5:$B$44,$B3498)+S3498*SUMIFS(Premissas!$F$5:$F$44,Premissas!$A$5:$A$44,$A3498,Premissas!$B$5:$B$44,$B3498)</f>
        <v/>
      </c>
      <c r="L3498" s="29">
        <f>J3498-K3498</f>
        <v/>
      </c>
      <c r="M3498" t="inlineStr">
        <is>
          <t>1.350</t>
        </is>
      </c>
      <c r="N3498" t="inlineStr">
        <is>
          <t>Modalidade: 0 - Por conta do remetente | Parte: A. S DIAS DE SOUSA EMBALAGENS LTDA (14.062.724/0001-74)</t>
        </is>
      </c>
      <c r="O3498" s="29" t="n">
        <v>0</v>
      </c>
      <c r="P3498" s="29" t="n">
        <v>0</v>
      </c>
      <c r="Q3498" s="29" t="n">
        <v>0</v>
      </c>
      <c r="R3498" s="29" t="n">
        <v>0</v>
      </c>
      <c r="S3498" s="29" t="n">
        <v>0</v>
      </c>
      <c r="T3498" t="inlineStr">
        <is>
          <t>25260526975620000130570010000071551001601167</t>
        </is>
      </c>
      <c r="U3498" t="inlineStr">
        <is>
          <t>Não</t>
        </is>
      </c>
    </row>
    <row r="3499">
      <c r="A3499" t="inlineStr">
        <is>
          <t>Frete de venda</t>
        </is>
      </c>
      <c r="B3499" t="inlineStr">
        <is>
          <t>2.01.02 Frete sobre Vendas</t>
        </is>
      </c>
      <c r="C3499" s="30" t="n">
        <v>46143</v>
      </c>
      <c r="D3499" t="inlineStr">
        <is>
          <t>Em 2026</t>
        </is>
      </c>
      <c r="E3499" s="28" t="n">
        <v>46168</v>
      </c>
      <c r="F3499" t="inlineStr">
        <is>
          <t>CT-e</t>
        </is>
      </c>
      <c r="G3499" t="inlineStr">
        <is>
          <t>000007156</t>
        </is>
      </c>
      <c r="H3499" t="inlineStr">
        <is>
          <t>R&amp;R TRANSPORTE E LOGISTICA</t>
        </is>
      </c>
      <c r="J3499" s="29" t="n">
        <v>48.34</v>
      </c>
      <c r="K3499" s="29">
        <f>(1-ISNUMBER(SEARCH("556",M3499)))*(O3499*SUMIFS(Premissas!$C$5:$C$44,Premissas!$A$5:$A$44,$A3499,Premissas!$B$5:$B$44,$B3499)+P3499*SUMIFS(Premissas!$D$5:$D$44,Premissas!$A$5:$A$44,$A3499,Premissas!$B$5:$B$44,$B3499))+R3499*SUMIFS(Premissas!$E$5:$E$44,Premissas!$A$5:$A$44,$A3499,Premissas!$B$5:$B$44,$B3499)+S3499*SUMIFS(Premissas!$F$5:$F$44,Premissas!$A$5:$A$44,$A3499,Premissas!$B$5:$B$44,$B3499)</f>
        <v/>
      </c>
      <c r="L3499" s="29">
        <f>J3499-K3499</f>
        <v/>
      </c>
      <c r="M3499" t="inlineStr">
        <is>
          <t>1.350</t>
        </is>
      </c>
      <c r="N3499" t="inlineStr">
        <is>
          <t>Modalidade: 0 - Por conta do remetente | Parte: JND DISTRIBUIDORA LTDA (36.332.668/0001-83)</t>
        </is>
      </c>
      <c r="O3499" s="29" t="n">
        <v>0</v>
      </c>
      <c r="P3499" s="29" t="n">
        <v>0</v>
      </c>
      <c r="Q3499" s="29" t="n">
        <v>0</v>
      </c>
      <c r="R3499" s="29" t="n">
        <v>0</v>
      </c>
      <c r="S3499" s="29" t="n">
        <v>0</v>
      </c>
      <c r="T3499" t="inlineStr">
        <is>
          <t>25260526975620000130570010000071561001301241</t>
        </is>
      </c>
      <c r="U3499" t="inlineStr">
        <is>
          <t>Não</t>
        </is>
      </c>
    </row>
    <row r="3500">
      <c r="A3500" t="inlineStr">
        <is>
          <t>Frete de venda</t>
        </is>
      </c>
      <c r="B3500" t="inlineStr">
        <is>
          <t>2.01.02 Frete sobre Vendas</t>
        </is>
      </c>
      <c r="C3500" s="30" t="n">
        <v>46143</v>
      </c>
      <c r="D3500" t="inlineStr">
        <is>
          <t>Em 2026</t>
        </is>
      </c>
      <c r="E3500" s="28" t="n">
        <v>46168</v>
      </c>
      <c r="F3500" t="inlineStr">
        <is>
          <t>CT-e</t>
        </is>
      </c>
      <c r="G3500" t="inlineStr">
        <is>
          <t>000007157</t>
        </is>
      </c>
      <c r="H3500" t="inlineStr">
        <is>
          <t>R&amp;R TRANSPORTE E LOGISTICA</t>
        </is>
      </c>
      <c r="J3500" s="29" t="n">
        <v>43.26</v>
      </c>
      <c r="K3500" s="29">
        <f>(1-ISNUMBER(SEARCH("556",M3500)))*(O3500*SUMIFS(Premissas!$C$5:$C$44,Premissas!$A$5:$A$44,$A3500,Premissas!$B$5:$B$44,$B3500)+P3500*SUMIFS(Premissas!$D$5:$D$44,Premissas!$A$5:$A$44,$A3500,Premissas!$B$5:$B$44,$B3500))+R3500*SUMIFS(Premissas!$E$5:$E$44,Premissas!$A$5:$A$44,$A3500,Premissas!$B$5:$B$44,$B3500)+S3500*SUMIFS(Premissas!$F$5:$F$44,Premissas!$A$5:$A$44,$A3500,Premissas!$B$5:$B$44,$B3500)</f>
        <v/>
      </c>
      <c r="L3500" s="29">
        <f>J3500-K3500</f>
        <v/>
      </c>
      <c r="M3500" t="inlineStr">
        <is>
          <t>1.350</t>
        </is>
      </c>
      <c r="N3500" t="inlineStr">
        <is>
          <t>Modalidade: 0 - Por conta do remetente | Parte: F. HELENA DA PONTE (01.911.796/0001-05)</t>
        </is>
      </c>
      <c r="O3500" s="29" t="n">
        <v>0</v>
      </c>
      <c r="P3500" s="29" t="n">
        <v>0</v>
      </c>
      <c r="Q3500" s="29" t="n">
        <v>0</v>
      </c>
      <c r="R3500" s="29" t="n">
        <v>0</v>
      </c>
      <c r="S3500" s="29" t="n">
        <v>0</v>
      </c>
      <c r="T3500" t="inlineStr">
        <is>
          <t>25260526975620000130570010000071571000101327</t>
        </is>
      </c>
      <c r="U3500" t="inlineStr">
        <is>
          <t>Não</t>
        </is>
      </c>
    </row>
    <row r="3501">
      <c r="A3501" t="inlineStr">
        <is>
          <t>Frete de venda</t>
        </is>
      </c>
      <c r="B3501" t="inlineStr">
        <is>
          <t>2.01.02 Frete sobre Vendas</t>
        </is>
      </c>
      <c r="C3501" s="30" t="n">
        <v>46143</v>
      </c>
      <c r="D3501" t="inlineStr">
        <is>
          <t>Em 2026</t>
        </is>
      </c>
      <c r="E3501" s="28" t="n">
        <v>46170</v>
      </c>
      <c r="F3501" t="inlineStr">
        <is>
          <t>CT-e</t>
        </is>
      </c>
      <c r="G3501" t="inlineStr">
        <is>
          <t>000007168</t>
        </is>
      </c>
      <c r="H3501" t="inlineStr">
        <is>
          <t>R&amp;R TRANSPORTE E LOGISTICA</t>
        </is>
      </c>
      <c r="J3501" s="29" t="n">
        <v>30.59</v>
      </c>
      <c r="K3501" s="29">
        <f>(1-ISNUMBER(SEARCH("556",M3501)))*(O3501*SUMIFS(Premissas!$C$5:$C$44,Premissas!$A$5:$A$44,$A3501,Premissas!$B$5:$B$44,$B3501)+P3501*SUMIFS(Premissas!$D$5:$D$44,Premissas!$A$5:$A$44,$A3501,Premissas!$B$5:$B$44,$B3501))+R3501*SUMIFS(Premissas!$E$5:$E$44,Premissas!$A$5:$A$44,$A3501,Premissas!$B$5:$B$44,$B3501)+S3501*SUMIFS(Premissas!$F$5:$F$44,Premissas!$A$5:$A$44,$A3501,Premissas!$B$5:$B$44,$B3501)</f>
        <v/>
      </c>
      <c r="L3501" s="29">
        <f>J3501-K3501</f>
        <v/>
      </c>
      <c r="M3501" t="inlineStr">
        <is>
          <t>1.350</t>
        </is>
      </c>
      <c r="N3501" t="inlineStr">
        <is>
          <t>Modalidade: 0 - Por conta do remetente | Parte: REINALDO CASSIANO TABONI (28.524.883/0001-58)</t>
        </is>
      </c>
      <c r="O3501" s="29" t="n">
        <v>0</v>
      </c>
      <c r="P3501" s="29" t="n">
        <v>0</v>
      </c>
      <c r="Q3501" s="29" t="n">
        <v>0</v>
      </c>
      <c r="R3501" s="29" t="n">
        <v>0</v>
      </c>
      <c r="S3501" s="29" t="n">
        <v>0</v>
      </c>
      <c r="T3501" t="inlineStr">
        <is>
          <t>25260526975620000130570010000071681011001535</t>
        </is>
      </c>
      <c r="U3501" t="inlineStr">
        <is>
          <t>Não</t>
        </is>
      </c>
    </row>
    <row r="3502">
      <c r="A3502" t="inlineStr">
        <is>
          <t>Frete de venda</t>
        </is>
      </c>
      <c r="B3502" t="inlineStr">
        <is>
          <t>2.01.02 Frete sobre Vendas</t>
        </is>
      </c>
      <c r="C3502" s="30" t="n">
        <v>46143</v>
      </c>
      <c r="D3502" t="inlineStr">
        <is>
          <t>Em 2026</t>
        </is>
      </c>
      <c r="E3502" s="28" t="n">
        <v>46170</v>
      </c>
      <c r="F3502" t="inlineStr">
        <is>
          <t>CT-e</t>
        </is>
      </c>
      <c r="G3502" t="inlineStr">
        <is>
          <t>000007172</t>
        </is>
      </c>
      <c r="H3502" t="inlineStr">
        <is>
          <t>R&amp;R TRANSPORTE E LOGISTICA</t>
        </is>
      </c>
      <c r="J3502" s="29" t="n">
        <v>28.25</v>
      </c>
      <c r="K3502" s="29">
        <f>(1-ISNUMBER(SEARCH("556",M3502)))*(O3502*SUMIFS(Premissas!$C$5:$C$44,Premissas!$A$5:$A$44,$A3502,Premissas!$B$5:$B$44,$B3502)+P3502*SUMIFS(Premissas!$D$5:$D$44,Premissas!$A$5:$A$44,$A3502,Premissas!$B$5:$B$44,$B3502))+R3502*SUMIFS(Premissas!$E$5:$E$44,Premissas!$A$5:$A$44,$A3502,Premissas!$B$5:$B$44,$B3502)+S3502*SUMIFS(Premissas!$F$5:$F$44,Premissas!$A$5:$A$44,$A3502,Premissas!$B$5:$B$44,$B3502)</f>
        <v/>
      </c>
      <c r="L3502" s="29">
        <f>J3502-K3502</f>
        <v/>
      </c>
      <c r="M3502" t="inlineStr">
        <is>
          <t>1.350</t>
        </is>
      </c>
      <c r="N3502" t="inlineStr">
        <is>
          <t>Modalidade: 0 - Por conta do remetente | Parte: BRUNA CRISTINA VIEIRA (20.310.142/0001-62)</t>
        </is>
      </c>
      <c r="O3502" s="29" t="n">
        <v>0</v>
      </c>
      <c r="P3502" s="29" t="n">
        <v>0</v>
      </c>
      <c r="Q3502" s="29" t="n">
        <v>0</v>
      </c>
      <c r="R3502" s="29" t="n">
        <v>0</v>
      </c>
      <c r="S3502" s="29" t="n">
        <v>0</v>
      </c>
      <c r="T3502" t="inlineStr">
        <is>
          <t>25260526975620000130570010000071721001901854</t>
        </is>
      </c>
      <c r="U3502" t="inlineStr">
        <is>
          <t>Não</t>
        </is>
      </c>
    </row>
    <row r="3503">
      <c r="A3503" t="inlineStr">
        <is>
          <t>Frete de venda</t>
        </is>
      </c>
      <c r="B3503" t="inlineStr">
        <is>
          <t>2.01.02 Frete sobre Vendas</t>
        </is>
      </c>
      <c r="C3503" s="30" t="n">
        <v>46143</v>
      </c>
      <c r="D3503" t="inlineStr">
        <is>
          <t>Em 2026</t>
        </is>
      </c>
      <c r="E3503" s="28" t="n">
        <v>46170</v>
      </c>
      <c r="F3503" t="inlineStr">
        <is>
          <t>CT-e</t>
        </is>
      </c>
      <c r="G3503" t="inlineStr">
        <is>
          <t>000007173</t>
        </is>
      </c>
      <c r="H3503" t="inlineStr">
        <is>
          <t>R&amp;R TRANSPORTE E LOGISTICA</t>
        </is>
      </c>
      <c r="J3503" s="29" t="n">
        <v>103.77</v>
      </c>
      <c r="K3503" s="29">
        <f>(1-ISNUMBER(SEARCH("556",M3503)))*(O3503*SUMIFS(Premissas!$C$5:$C$44,Premissas!$A$5:$A$44,$A3503,Premissas!$B$5:$B$44,$B3503)+P3503*SUMIFS(Premissas!$D$5:$D$44,Premissas!$A$5:$A$44,$A3503,Premissas!$B$5:$B$44,$B3503))+R3503*SUMIFS(Premissas!$E$5:$E$44,Premissas!$A$5:$A$44,$A3503,Premissas!$B$5:$B$44,$B3503)+S3503*SUMIFS(Premissas!$F$5:$F$44,Premissas!$A$5:$A$44,$A3503,Premissas!$B$5:$B$44,$B3503)</f>
        <v/>
      </c>
      <c r="L3503" s="29">
        <f>J3503-K3503</f>
        <v/>
      </c>
      <c r="M3503" t="inlineStr">
        <is>
          <t>1.350</t>
        </is>
      </c>
      <c r="N3503" t="inlineStr">
        <is>
          <t>Modalidade: 0 - Por conta do remetente | Parte: FRIOSETE COMERCIO DE FRIOS LTDA (97.426.472/0001-42)</t>
        </is>
      </c>
      <c r="O3503" s="29" t="n">
        <v>0</v>
      </c>
      <c r="P3503" s="29" t="n">
        <v>0</v>
      </c>
      <c r="Q3503" s="29" t="n">
        <v>0</v>
      </c>
      <c r="R3503" s="29" t="n">
        <v>0</v>
      </c>
      <c r="S3503" s="29" t="n">
        <v>0</v>
      </c>
      <c r="T3503" t="inlineStr">
        <is>
          <t>25260526975620000130570010000071731011001209</t>
        </is>
      </c>
      <c r="U3503" t="inlineStr">
        <is>
          <t>Não</t>
        </is>
      </c>
    </row>
    <row r="3504">
      <c r="A3504" t="inlineStr">
        <is>
          <t>Frete de venda</t>
        </is>
      </c>
      <c r="B3504" t="inlineStr">
        <is>
          <t>2.01.02 Frete sobre Vendas</t>
        </is>
      </c>
      <c r="C3504" s="30" t="n">
        <v>46143</v>
      </c>
      <c r="D3504" t="inlineStr">
        <is>
          <t>Em 2026</t>
        </is>
      </c>
      <c r="E3504" s="28" t="n">
        <v>46170</v>
      </c>
      <c r="F3504" t="inlineStr">
        <is>
          <t>CT-e</t>
        </is>
      </c>
      <c r="G3504" t="inlineStr">
        <is>
          <t>000007175</t>
        </is>
      </c>
      <c r="H3504" t="inlineStr">
        <is>
          <t>R&amp;R TRANSPORTE E LOGISTICA</t>
        </is>
      </c>
      <c r="J3504" s="29" t="n">
        <v>30.61</v>
      </c>
      <c r="K3504" s="29">
        <f>(1-ISNUMBER(SEARCH("556",M3504)))*(O3504*SUMIFS(Premissas!$C$5:$C$44,Premissas!$A$5:$A$44,$A3504,Premissas!$B$5:$B$44,$B3504)+P3504*SUMIFS(Premissas!$D$5:$D$44,Premissas!$A$5:$A$44,$A3504,Premissas!$B$5:$B$44,$B3504))+R3504*SUMIFS(Premissas!$E$5:$E$44,Premissas!$A$5:$A$44,$A3504,Premissas!$B$5:$B$44,$B3504)+S3504*SUMIFS(Premissas!$F$5:$F$44,Premissas!$A$5:$A$44,$A3504,Premissas!$B$5:$B$44,$B3504)</f>
        <v/>
      </c>
      <c r="L3504" s="29">
        <f>J3504-K3504</f>
        <v/>
      </c>
      <c r="M3504" t="inlineStr">
        <is>
          <t>1.350</t>
        </is>
      </c>
      <c r="N3504" t="inlineStr">
        <is>
          <t>Modalidade: 0 - Por conta do remetente | Parte: MEIRE F. P. LOURENCO (11.719.420/0001-49)</t>
        </is>
      </c>
      <c r="O3504" s="29" t="n">
        <v>0</v>
      </c>
      <c r="P3504" s="29" t="n">
        <v>0</v>
      </c>
      <c r="Q3504" s="29" t="n">
        <v>0</v>
      </c>
      <c r="R3504" s="29" t="n">
        <v>0</v>
      </c>
      <c r="S3504" s="29" t="n">
        <v>0</v>
      </c>
      <c r="T3504" t="inlineStr">
        <is>
          <t>25260526975620000130570010000071751001401365</t>
        </is>
      </c>
      <c r="U3504" t="inlineStr">
        <is>
          <t>Não</t>
        </is>
      </c>
    </row>
    <row r="3505">
      <c r="A3505" t="inlineStr">
        <is>
          <t>Frete de venda</t>
        </is>
      </c>
      <c r="B3505" t="inlineStr">
        <is>
          <t>2.01.02 Frete sobre Vendas</t>
        </is>
      </c>
      <c r="C3505" s="30" t="n">
        <v>46143</v>
      </c>
      <c r="D3505" t="inlineStr">
        <is>
          <t>Em 2026</t>
        </is>
      </c>
      <c r="E3505" s="28" t="n">
        <v>46170</v>
      </c>
      <c r="F3505" t="inlineStr">
        <is>
          <t>CT-e</t>
        </is>
      </c>
      <c r="G3505" t="inlineStr">
        <is>
          <t>000007176</t>
        </is>
      </c>
      <c r="H3505" t="inlineStr">
        <is>
          <t>R&amp;R TRANSPORTE E LOGISTICA</t>
        </is>
      </c>
      <c r="J3505" s="29" t="n">
        <v>730.75</v>
      </c>
      <c r="K3505" s="29">
        <f>(1-ISNUMBER(SEARCH("556",M3505)))*(O3505*SUMIFS(Premissas!$C$5:$C$44,Premissas!$A$5:$A$44,$A3505,Premissas!$B$5:$B$44,$B3505)+P3505*SUMIFS(Premissas!$D$5:$D$44,Premissas!$A$5:$A$44,$A3505,Premissas!$B$5:$B$44,$B3505))+R3505*SUMIFS(Premissas!$E$5:$E$44,Premissas!$A$5:$A$44,$A3505,Premissas!$B$5:$B$44,$B3505)+S3505*SUMIFS(Premissas!$F$5:$F$44,Premissas!$A$5:$A$44,$A3505,Premissas!$B$5:$B$44,$B3505)</f>
        <v/>
      </c>
      <c r="L3505" s="29">
        <f>J3505-K3505</f>
        <v/>
      </c>
      <c r="M3505" t="inlineStr">
        <is>
          <t>1.350</t>
        </is>
      </c>
      <c r="N3505" t="inlineStr">
        <is>
          <t>Modalidade: 0 - Por conta do remetente | Parte: BM3 IMPORTACAO E EXPORTACAO LTDA (12.098.843/0001-51)</t>
        </is>
      </c>
      <c r="O3505" s="29" t="n">
        <v>0</v>
      </c>
      <c r="P3505" s="29" t="n">
        <v>0</v>
      </c>
      <c r="Q3505" s="29" t="n">
        <v>0</v>
      </c>
      <c r="R3505" s="29" t="n">
        <v>0</v>
      </c>
      <c r="S3505" s="29" t="n">
        <v>0</v>
      </c>
      <c r="T3505" t="inlineStr">
        <is>
          <t>25260526975620000130570010000071761001101440</t>
        </is>
      </c>
      <c r="U3505" t="inlineStr">
        <is>
          <t>Não</t>
        </is>
      </c>
    </row>
    <row r="3506">
      <c r="A3506" t="inlineStr">
        <is>
          <t>Frete de venda</t>
        </is>
      </c>
      <c r="B3506" t="inlineStr">
        <is>
          <t>2.01.02 Frete sobre Vendas</t>
        </is>
      </c>
      <c r="C3506" s="30" t="n">
        <v>46143</v>
      </c>
      <c r="D3506" t="inlineStr">
        <is>
          <t>Em 2026</t>
        </is>
      </c>
      <c r="E3506" s="28" t="n">
        <v>46170</v>
      </c>
      <c r="F3506" t="inlineStr">
        <is>
          <t>CT-e</t>
        </is>
      </c>
      <c r="G3506" t="inlineStr">
        <is>
          <t>000007177</t>
        </is>
      </c>
      <c r="H3506" t="inlineStr">
        <is>
          <t>R&amp;R TRANSPORTE E LOGISTICA</t>
        </is>
      </c>
      <c r="J3506" s="29" t="n">
        <v>33.31</v>
      </c>
      <c r="K3506" s="29">
        <f>(1-ISNUMBER(SEARCH("556",M3506)))*(O3506*SUMIFS(Premissas!$C$5:$C$44,Premissas!$A$5:$A$44,$A3506,Premissas!$B$5:$B$44,$B3506)+P3506*SUMIFS(Premissas!$D$5:$D$44,Premissas!$A$5:$A$44,$A3506,Premissas!$B$5:$B$44,$B3506))+R3506*SUMIFS(Premissas!$E$5:$E$44,Premissas!$A$5:$A$44,$A3506,Premissas!$B$5:$B$44,$B3506)+S3506*SUMIFS(Premissas!$F$5:$F$44,Premissas!$A$5:$A$44,$A3506,Premissas!$B$5:$B$44,$B3506)</f>
        <v/>
      </c>
      <c r="L3506" s="29">
        <f>J3506-K3506</f>
        <v/>
      </c>
      <c r="M3506" t="inlineStr">
        <is>
          <t>1.350</t>
        </is>
      </c>
      <c r="N3506" t="inlineStr">
        <is>
          <t>Modalidade: 0 - Por conta do remetente | Parte: SANDRA HELENA GALANTE RODRIGUES LTDA (10.326.778/0001-49)</t>
        </is>
      </c>
      <c r="O3506" s="29" t="n">
        <v>0</v>
      </c>
      <c r="P3506" s="29" t="n">
        <v>0</v>
      </c>
      <c r="Q3506" s="29" t="n">
        <v>0</v>
      </c>
      <c r="R3506" s="29" t="n">
        <v>0</v>
      </c>
      <c r="S3506" s="29" t="n">
        <v>0</v>
      </c>
      <c r="T3506" t="inlineStr">
        <is>
          <t>25260526975620000130570010000071771001901524</t>
        </is>
      </c>
      <c r="U3506" t="inlineStr">
        <is>
          <t>Não</t>
        </is>
      </c>
    </row>
    <row r="3507">
      <c r="A3507" t="inlineStr">
        <is>
          <t>Frete de venda</t>
        </is>
      </c>
      <c r="B3507" t="inlineStr">
        <is>
          <t>2.01.02 Frete sobre Vendas</t>
        </is>
      </c>
      <c r="C3507" s="30" t="n">
        <v>46143</v>
      </c>
      <c r="D3507" t="inlineStr">
        <is>
          <t>Em 2026</t>
        </is>
      </c>
      <c r="E3507" s="28" t="n">
        <v>46170</v>
      </c>
      <c r="F3507" t="inlineStr">
        <is>
          <t>CT-e</t>
        </is>
      </c>
      <c r="G3507" t="inlineStr">
        <is>
          <t>000007178</t>
        </is>
      </c>
      <c r="H3507" t="inlineStr">
        <is>
          <t>R&amp;R TRANSPORTE E LOGISTICA</t>
        </is>
      </c>
      <c r="J3507" s="29" t="n">
        <v>27.62</v>
      </c>
      <c r="K3507" s="29">
        <f>(1-ISNUMBER(SEARCH("556",M3507)))*(O3507*SUMIFS(Premissas!$C$5:$C$44,Premissas!$A$5:$A$44,$A3507,Premissas!$B$5:$B$44,$B3507)+P3507*SUMIFS(Premissas!$D$5:$D$44,Premissas!$A$5:$A$44,$A3507,Premissas!$B$5:$B$44,$B3507))+R3507*SUMIFS(Premissas!$E$5:$E$44,Premissas!$A$5:$A$44,$A3507,Premissas!$B$5:$B$44,$B3507)+S3507*SUMIFS(Premissas!$F$5:$F$44,Premissas!$A$5:$A$44,$A3507,Premissas!$B$5:$B$44,$B3507)</f>
        <v/>
      </c>
      <c r="L3507" s="29">
        <f>J3507-K3507</f>
        <v/>
      </c>
      <c r="M3507" t="inlineStr">
        <is>
          <t>1.350</t>
        </is>
      </c>
      <c r="N3507" t="inlineStr">
        <is>
          <t>Modalidade: 0 - Por conta do remetente | Parte: MERCADO LEONEL LTDA - EPP (82.008.087/0001-08)</t>
        </is>
      </c>
      <c r="O3507" s="29" t="n">
        <v>0</v>
      </c>
      <c r="P3507" s="29" t="n">
        <v>0</v>
      </c>
      <c r="Q3507" s="29" t="n">
        <v>0</v>
      </c>
      <c r="R3507" s="29" t="n">
        <v>0</v>
      </c>
      <c r="S3507" s="29" t="n">
        <v>0</v>
      </c>
      <c r="T3507" t="inlineStr">
        <is>
          <t>25260526975620000130570010000071781001601609</t>
        </is>
      </c>
      <c r="U3507" t="inlineStr">
        <is>
          <t>Não</t>
        </is>
      </c>
    </row>
    <row r="3508">
      <c r="A3508" t="inlineStr">
        <is>
          <t>Frete de venda</t>
        </is>
      </c>
      <c r="B3508" t="inlineStr">
        <is>
          <t>2.01.02 Frete sobre Vendas</t>
        </is>
      </c>
      <c r="C3508" s="30" t="n">
        <v>46143</v>
      </c>
      <c r="D3508" t="inlineStr">
        <is>
          <t>Em 2026</t>
        </is>
      </c>
      <c r="E3508" s="28" t="n">
        <v>46170</v>
      </c>
      <c r="F3508" t="inlineStr">
        <is>
          <t>CT-e</t>
        </is>
      </c>
      <c r="G3508" t="inlineStr">
        <is>
          <t>000007179</t>
        </is>
      </c>
      <c r="H3508" t="inlineStr">
        <is>
          <t>R&amp;R TRANSPORTE E LOGISTICA</t>
        </is>
      </c>
      <c r="J3508" s="29" t="n">
        <v>28.5</v>
      </c>
      <c r="K3508" s="29">
        <f>(1-ISNUMBER(SEARCH("556",M3508)))*(O3508*SUMIFS(Premissas!$C$5:$C$44,Premissas!$A$5:$A$44,$A3508,Premissas!$B$5:$B$44,$B3508)+P3508*SUMIFS(Premissas!$D$5:$D$44,Premissas!$A$5:$A$44,$A3508,Premissas!$B$5:$B$44,$B3508))+R3508*SUMIFS(Premissas!$E$5:$E$44,Premissas!$A$5:$A$44,$A3508,Premissas!$B$5:$B$44,$B3508)+S3508*SUMIFS(Premissas!$F$5:$F$44,Premissas!$A$5:$A$44,$A3508,Premissas!$B$5:$B$44,$B3508)</f>
        <v/>
      </c>
      <c r="L3508" s="29">
        <f>J3508-K3508</f>
        <v/>
      </c>
      <c r="M3508" t="inlineStr">
        <is>
          <t>1.350</t>
        </is>
      </c>
      <c r="N3508" t="inlineStr">
        <is>
          <t>Modalidade: 0 - Por conta do remetente | Parte: CENTRAL DA EMBALAGEM LTDA (40.409.557/0001-03)</t>
        </is>
      </c>
      <c r="O3508" s="29" t="n">
        <v>0</v>
      </c>
      <c r="P3508" s="29" t="n">
        <v>0</v>
      </c>
      <c r="Q3508" s="29" t="n">
        <v>0</v>
      </c>
      <c r="R3508" s="29" t="n">
        <v>0</v>
      </c>
      <c r="S3508" s="29" t="n">
        <v>0</v>
      </c>
      <c r="T3508" t="inlineStr">
        <is>
          <t>25260526975620000130570010000071791001301688</t>
        </is>
      </c>
      <c r="U3508" t="inlineStr">
        <is>
          <t>Não</t>
        </is>
      </c>
    </row>
    <row r="3509">
      <c r="A3509" t="inlineStr">
        <is>
          <t>Frete de venda</t>
        </is>
      </c>
      <c r="B3509" t="inlineStr">
        <is>
          <t>2.01.02 Frete sobre Vendas</t>
        </is>
      </c>
      <c r="C3509" s="30" t="n">
        <v>46143</v>
      </c>
      <c r="D3509" t="inlineStr">
        <is>
          <t>Em 2026</t>
        </is>
      </c>
      <c r="E3509" s="28" t="n">
        <v>46170</v>
      </c>
      <c r="F3509" t="inlineStr">
        <is>
          <t>CT-e</t>
        </is>
      </c>
      <c r="G3509" t="inlineStr">
        <is>
          <t>000007182</t>
        </is>
      </c>
      <c r="H3509" t="inlineStr">
        <is>
          <t>R&amp;R TRANSPORTE E LOGISTICA</t>
        </is>
      </c>
      <c r="J3509" s="29" t="n">
        <v>20.64</v>
      </c>
      <c r="K3509" s="29">
        <f>(1-ISNUMBER(SEARCH("556",M3509)))*(O3509*SUMIFS(Premissas!$C$5:$C$44,Premissas!$A$5:$A$44,$A3509,Premissas!$B$5:$B$44,$B3509)+P3509*SUMIFS(Premissas!$D$5:$D$44,Premissas!$A$5:$A$44,$A3509,Premissas!$B$5:$B$44,$B3509))+R3509*SUMIFS(Premissas!$E$5:$E$44,Premissas!$A$5:$A$44,$A3509,Premissas!$B$5:$B$44,$B3509)+S3509*SUMIFS(Premissas!$F$5:$F$44,Premissas!$A$5:$A$44,$A3509,Premissas!$B$5:$B$44,$B3509)</f>
        <v/>
      </c>
      <c r="L3509" s="29">
        <f>J3509-K3509</f>
        <v/>
      </c>
      <c r="M3509" t="inlineStr">
        <is>
          <t>1.350</t>
        </is>
      </c>
      <c r="N3509" t="inlineStr">
        <is>
          <t>Modalidade: 0 - Por conta do remetente | Parte: MGL COMERCIO DE PRODUTOS ALIMENTICIOS LTDA (28.029.616/0001-04)</t>
        </is>
      </c>
      <c r="O3509" s="29" t="n">
        <v>0</v>
      </c>
      <c r="P3509" s="29" t="n">
        <v>0</v>
      </c>
      <c r="Q3509" s="29" t="n">
        <v>0</v>
      </c>
      <c r="R3509" s="29" t="n">
        <v>0</v>
      </c>
      <c r="S3509" s="29" t="n">
        <v>0</v>
      </c>
      <c r="T3509" t="inlineStr">
        <is>
          <t>25260526975620000130570010000071821001501925</t>
        </is>
      </c>
      <c r="U3509" t="inlineStr">
        <is>
          <t>Não</t>
        </is>
      </c>
    </row>
    <row r="3510">
      <c r="A3510" t="inlineStr">
        <is>
          <t>Frete de venda</t>
        </is>
      </c>
      <c r="B3510" t="inlineStr">
        <is>
          <t>2.01.02 Frete sobre Vendas</t>
        </is>
      </c>
      <c r="C3510" s="30" t="n">
        <v>46143</v>
      </c>
      <c r="D3510" t="inlineStr">
        <is>
          <t>Em 2026</t>
        </is>
      </c>
      <c r="E3510" s="28" t="n">
        <v>46170</v>
      </c>
      <c r="F3510" t="inlineStr">
        <is>
          <t>CT-e</t>
        </is>
      </c>
      <c r="G3510" t="inlineStr">
        <is>
          <t>000007183</t>
        </is>
      </c>
      <c r="H3510" t="inlineStr">
        <is>
          <t>R&amp;R TRANSPORTE E LOGISTICA</t>
        </is>
      </c>
      <c r="J3510" s="29" t="n">
        <v>17.63</v>
      </c>
      <c r="K3510" s="29">
        <f>(1-ISNUMBER(SEARCH("556",M3510)))*(O3510*SUMIFS(Premissas!$C$5:$C$44,Premissas!$A$5:$A$44,$A3510,Premissas!$B$5:$B$44,$B3510)+P3510*SUMIFS(Premissas!$D$5:$D$44,Premissas!$A$5:$A$44,$A3510,Premissas!$B$5:$B$44,$B3510))+R3510*SUMIFS(Premissas!$E$5:$E$44,Premissas!$A$5:$A$44,$A3510,Premissas!$B$5:$B$44,$B3510)+S3510*SUMIFS(Premissas!$F$5:$F$44,Premissas!$A$5:$A$44,$A3510,Premissas!$B$5:$B$44,$B3510)</f>
        <v/>
      </c>
      <c r="L3510" s="29">
        <f>J3510-K3510</f>
        <v/>
      </c>
      <c r="M3510" t="inlineStr">
        <is>
          <t>1.350</t>
        </is>
      </c>
      <c r="N3510" t="inlineStr">
        <is>
          <t>Modalidade: 0 - Por conta do remetente | Parte: COMERCIAL KAZZA E FESTAS LTDA (49.084.192/0001-50)</t>
        </is>
      </c>
      <c r="O3510" s="29" t="n">
        <v>0</v>
      </c>
      <c r="P3510" s="29" t="n">
        <v>0</v>
      </c>
      <c r="Q3510" s="29" t="n">
        <v>0</v>
      </c>
      <c r="R3510" s="29" t="n">
        <v>0</v>
      </c>
      <c r="S3510" s="29" t="n">
        <v>0</v>
      </c>
      <c r="T3510" t="inlineStr">
        <is>
          <t>25260526975620000130570010000071831001601277</t>
        </is>
      </c>
      <c r="U3510" t="inlineStr">
        <is>
          <t>Não</t>
        </is>
      </c>
    </row>
    <row r="3511">
      <c r="A3511" t="inlineStr">
        <is>
          <t>Frete de venda</t>
        </is>
      </c>
      <c r="B3511" t="inlineStr">
        <is>
          <t>2.01.02 Frete sobre Vendas</t>
        </is>
      </c>
      <c r="C3511" s="30" t="n">
        <v>46143</v>
      </c>
      <c r="D3511" t="inlineStr">
        <is>
          <t>Em 2026</t>
        </is>
      </c>
      <c r="E3511" s="28" t="n">
        <v>46170</v>
      </c>
      <c r="F3511" t="inlineStr">
        <is>
          <t>CT-e</t>
        </is>
      </c>
      <c r="G3511" t="inlineStr">
        <is>
          <t>000007184</t>
        </is>
      </c>
      <c r="H3511" t="inlineStr">
        <is>
          <t>R&amp;R TRANSPORTE E LOGISTICA</t>
        </is>
      </c>
      <c r="J3511" s="29" t="n">
        <v>16.46</v>
      </c>
      <c r="K3511" s="29">
        <f>(1-ISNUMBER(SEARCH("556",M3511)))*(O3511*SUMIFS(Premissas!$C$5:$C$44,Premissas!$A$5:$A$44,$A3511,Premissas!$B$5:$B$44,$B3511)+P3511*SUMIFS(Premissas!$D$5:$D$44,Premissas!$A$5:$A$44,$A3511,Premissas!$B$5:$B$44,$B3511))+R3511*SUMIFS(Premissas!$E$5:$E$44,Premissas!$A$5:$A$44,$A3511,Premissas!$B$5:$B$44,$B3511)+S3511*SUMIFS(Premissas!$F$5:$F$44,Premissas!$A$5:$A$44,$A3511,Premissas!$B$5:$B$44,$B3511)</f>
        <v/>
      </c>
      <c r="L3511" s="29">
        <f>J3511-K3511</f>
        <v/>
      </c>
      <c r="M3511" t="inlineStr">
        <is>
          <t>1.350</t>
        </is>
      </c>
      <c r="N3511" t="inlineStr">
        <is>
          <t>Modalidade: 0 - Por conta do remetente | Parte: EMBRULHE EMBALAGENS BRUSQUE LTDA (03.686.059/0001-73)</t>
        </is>
      </c>
      <c r="O3511" s="29" t="n">
        <v>0</v>
      </c>
      <c r="P3511" s="29" t="n">
        <v>0</v>
      </c>
      <c r="Q3511" s="29" t="n">
        <v>0</v>
      </c>
      <c r="R3511" s="29" t="n">
        <v>0</v>
      </c>
      <c r="S3511" s="29" t="n">
        <v>0</v>
      </c>
      <c r="T3511" t="inlineStr">
        <is>
          <t>25260526975620000130570010000071841001301351</t>
        </is>
      </c>
      <c r="U3511" t="inlineStr">
        <is>
          <t>Não</t>
        </is>
      </c>
    </row>
    <row r="3512">
      <c r="A3512" t="inlineStr">
        <is>
          <t>Frete de venda</t>
        </is>
      </c>
      <c r="B3512" t="inlineStr">
        <is>
          <t>2.01.02 Frete sobre Vendas</t>
        </is>
      </c>
      <c r="C3512" s="30" t="n">
        <v>46143</v>
      </c>
      <c r="D3512" t="inlineStr">
        <is>
          <t>Em 2026</t>
        </is>
      </c>
      <c r="E3512" s="28" t="n">
        <v>46170</v>
      </c>
      <c r="F3512" t="inlineStr">
        <is>
          <t>CT-e</t>
        </is>
      </c>
      <c r="G3512" t="inlineStr">
        <is>
          <t>000007185</t>
        </is>
      </c>
      <c r="H3512" t="inlineStr">
        <is>
          <t>R&amp;R TRANSPORTE E LOGISTICA</t>
        </is>
      </c>
      <c r="J3512" s="29" t="n">
        <v>32.46</v>
      </c>
      <c r="K3512" s="29">
        <f>(1-ISNUMBER(SEARCH("556",M3512)))*(O3512*SUMIFS(Premissas!$C$5:$C$44,Premissas!$A$5:$A$44,$A3512,Premissas!$B$5:$B$44,$B3512)+P3512*SUMIFS(Premissas!$D$5:$D$44,Premissas!$A$5:$A$44,$A3512,Premissas!$B$5:$B$44,$B3512))+R3512*SUMIFS(Premissas!$E$5:$E$44,Premissas!$A$5:$A$44,$A3512,Premissas!$B$5:$B$44,$B3512)+S3512*SUMIFS(Premissas!$F$5:$F$44,Premissas!$A$5:$A$44,$A3512,Premissas!$B$5:$B$44,$B3512)</f>
        <v/>
      </c>
      <c r="L3512" s="29">
        <f>J3512-K3512</f>
        <v/>
      </c>
      <c r="M3512" t="inlineStr">
        <is>
          <t>1.350</t>
        </is>
      </c>
      <c r="N3512" t="inlineStr">
        <is>
          <t>Modalidade: 0 - Por conta do remetente | Parte: COMANDOLLI COMERCIO DE EMBALAGENS LTDA (22.458.084/0001-44)</t>
        </is>
      </c>
      <c r="O3512" s="29" t="n">
        <v>0</v>
      </c>
      <c r="P3512" s="29" t="n">
        <v>0</v>
      </c>
      <c r="Q3512" s="29" t="n">
        <v>0</v>
      </c>
      <c r="R3512" s="29" t="n">
        <v>0</v>
      </c>
      <c r="S3512" s="29" t="n">
        <v>0</v>
      </c>
      <c r="T3512" t="inlineStr">
        <is>
          <t>25260526975620000130570010000071851000101437</t>
        </is>
      </c>
      <c r="U3512" t="inlineStr">
        <is>
          <t>Não</t>
        </is>
      </c>
    </row>
    <row r="3513">
      <c r="A3513" t="inlineStr">
        <is>
          <t>Frete de venda</t>
        </is>
      </c>
      <c r="B3513" t="inlineStr">
        <is>
          <t>2.01.02 Frete sobre Vendas</t>
        </is>
      </c>
      <c r="C3513" s="30" t="n">
        <v>46143</v>
      </c>
      <c r="D3513" t="inlineStr">
        <is>
          <t>Em 2026</t>
        </is>
      </c>
      <c r="E3513" s="28" t="n">
        <v>46170</v>
      </c>
      <c r="F3513" t="inlineStr">
        <is>
          <t>CT-e</t>
        </is>
      </c>
      <c r="G3513" t="inlineStr">
        <is>
          <t>000007186</t>
        </is>
      </c>
      <c r="H3513" t="inlineStr">
        <is>
          <t>R&amp;R TRANSPORTE E LOGISTICA</t>
        </is>
      </c>
      <c r="J3513" s="29" t="n">
        <v>17.4</v>
      </c>
      <c r="K3513" s="29">
        <f>(1-ISNUMBER(SEARCH("556",M3513)))*(O3513*SUMIFS(Premissas!$C$5:$C$44,Premissas!$A$5:$A$44,$A3513,Premissas!$B$5:$B$44,$B3513)+P3513*SUMIFS(Premissas!$D$5:$D$44,Premissas!$A$5:$A$44,$A3513,Premissas!$B$5:$B$44,$B3513))+R3513*SUMIFS(Premissas!$E$5:$E$44,Premissas!$A$5:$A$44,$A3513,Premissas!$B$5:$B$44,$B3513)+S3513*SUMIFS(Premissas!$F$5:$F$44,Premissas!$A$5:$A$44,$A3513,Premissas!$B$5:$B$44,$B3513)</f>
        <v/>
      </c>
      <c r="L3513" s="29">
        <f>J3513-K3513</f>
        <v/>
      </c>
      <c r="M3513" t="inlineStr">
        <is>
          <t>1.350</t>
        </is>
      </c>
      <c r="N3513" t="inlineStr">
        <is>
          <t>Modalidade: 0 - Por conta do remetente | Parte: AMIL ATACADO LTDA (23.358.540/0001-47)</t>
        </is>
      </c>
      <c r="O3513" s="29" t="n">
        <v>0</v>
      </c>
      <c r="P3513" s="29" t="n">
        <v>0</v>
      </c>
      <c r="Q3513" s="29" t="n">
        <v>0</v>
      </c>
      <c r="R3513" s="29" t="n">
        <v>0</v>
      </c>
      <c r="S3513" s="29" t="n">
        <v>0</v>
      </c>
      <c r="T3513" t="inlineStr">
        <is>
          <t>25260526975620000130570010000071861001801510</t>
        </is>
      </c>
      <c r="U3513" t="inlineStr">
        <is>
          <t>Não</t>
        </is>
      </c>
    </row>
    <row r="3514">
      <c r="A3514" t="inlineStr">
        <is>
          <t>Frete de venda</t>
        </is>
      </c>
      <c r="B3514" t="inlineStr">
        <is>
          <t>2.01.02 Frete sobre Vendas</t>
        </is>
      </c>
      <c r="C3514" s="30" t="n">
        <v>46143</v>
      </c>
      <c r="D3514" t="inlineStr">
        <is>
          <t>Em 2026</t>
        </is>
      </c>
      <c r="E3514" s="28" t="n">
        <v>46170</v>
      </c>
      <c r="F3514" t="inlineStr">
        <is>
          <t>CT-e</t>
        </is>
      </c>
      <c r="G3514" t="inlineStr">
        <is>
          <t>000007187</t>
        </is>
      </c>
      <c r="H3514" t="inlineStr">
        <is>
          <t>R&amp;R TRANSPORTE E LOGISTICA</t>
        </is>
      </c>
      <c r="J3514" s="29" t="n">
        <v>11.86</v>
      </c>
      <c r="K3514" s="29">
        <f>(1-ISNUMBER(SEARCH("556",M3514)))*(O3514*SUMIFS(Premissas!$C$5:$C$44,Premissas!$A$5:$A$44,$A3514,Premissas!$B$5:$B$44,$B3514)+P3514*SUMIFS(Premissas!$D$5:$D$44,Premissas!$A$5:$A$44,$A3514,Premissas!$B$5:$B$44,$B3514))+R3514*SUMIFS(Premissas!$E$5:$E$44,Premissas!$A$5:$A$44,$A3514,Premissas!$B$5:$B$44,$B3514)+S3514*SUMIFS(Premissas!$F$5:$F$44,Premissas!$A$5:$A$44,$A3514,Premissas!$B$5:$B$44,$B3514)</f>
        <v/>
      </c>
      <c r="L3514" s="29">
        <f>J3514-K3514</f>
        <v/>
      </c>
      <c r="M3514" t="inlineStr">
        <is>
          <t>1.350</t>
        </is>
      </c>
      <c r="N3514" t="inlineStr">
        <is>
          <t>Modalidade: 0 - Por conta do remetente | Parte: CARAMELO DOCES E FESTAS LTDA. (16.787.142/0001-80)</t>
        </is>
      </c>
      <c r="O3514" s="29" t="n">
        <v>0</v>
      </c>
      <c r="P3514" s="29" t="n">
        <v>0</v>
      </c>
      <c r="Q3514" s="29" t="n">
        <v>0</v>
      </c>
      <c r="R3514" s="29" t="n">
        <v>0</v>
      </c>
      <c r="S3514" s="29" t="n">
        <v>0</v>
      </c>
      <c r="T3514" t="inlineStr">
        <is>
          <t>25260526975620000130570010000071871001501590</t>
        </is>
      </c>
      <c r="U3514" t="inlineStr">
        <is>
          <t>Não</t>
        </is>
      </c>
    </row>
    <row r="3515">
      <c r="A3515" t="inlineStr">
        <is>
          <t>Frete de venda</t>
        </is>
      </c>
      <c r="B3515" t="inlineStr">
        <is>
          <t>2.01.02 Frete sobre Vendas</t>
        </is>
      </c>
      <c r="C3515" s="30" t="n">
        <v>46143</v>
      </c>
      <c r="D3515" t="inlineStr">
        <is>
          <t>Em 2026</t>
        </is>
      </c>
      <c r="E3515" s="28" t="n">
        <v>46170</v>
      </c>
      <c r="F3515" t="inlineStr">
        <is>
          <t>CT-e</t>
        </is>
      </c>
      <c r="G3515" t="inlineStr">
        <is>
          <t>000007188</t>
        </is>
      </c>
      <c r="H3515" t="inlineStr">
        <is>
          <t>R&amp;R TRANSPORTE E LOGISTICA</t>
        </is>
      </c>
      <c r="J3515" s="29" t="n">
        <v>15.72</v>
      </c>
      <c r="K3515" s="29">
        <f>(1-ISNUMBER(SEARCH("556",M3515)))*(O3515*SUMIFS(Premissas!$C$5:$C$44,Premissas!$A$5:$A$44,$A3515,Premissas!$B$5:$B$44,$B3515)+P3515*SUMIFS(Premissas!$D$5:$D$44,Premissas!$A$5:$A$44,$A3515,Premissas!$B$5:$B$44,$B3515))+R3515*SUMIFS(Premissas!$E$5:$E$44,Premissas!$A$5:$A$44,$A3515,Premissas!$B$5:$B$44,$B3515)+S3515*SUMIFS(Premissas!$F$5:$F$44,Premissas!$A$5:$A$44,$A3515,Premissas!$B$5:$B$44,$B3515)</f>
        <v/>
      </c>
      <c r="L3515" s="29">
        <f>J3515-K3515</f>
        <v/>
      </c>
      <c r="M3515" t="inlineStr">
        <is>
          <t>1.350</t>
        </is>
      </c>
      <c r="N3515" t="inlineStr">
        <is>
          <t>Modalidade: 0 - Por conta do remetente | Parte: PONTO FORTE COMERCIO DE ALIMENTOS LTDA (15.072.642/0001-73)</t>
        </is>
      </c>
      <c r="O3515" s="29" t="n">
        <v>0</v>
      </c>
      <c r="P3515" s="29" t="n">
        <v>0</v>
      </c>
      <c r="Q3515" s="29" t="n">
        <v>0</v>
      </c>
      <c r="R3515" s="29" t="n">
        <v>0</v>
      </c>
      <c r="S3515" s="29" t="n">
        <v>0</v>
      </c>
      <c r="T3515" t="inlineStr">
        <is>
          <t>25260526975620000130570010000071881001201674</t>
        </is>
      </c>
      <c r="U3515" t="inlineStr">
        <is>
          <t>Não</t>
        </is>
      </c>
    </row>
    <row r="3516">
      <c r="A3516" t="inlineStr">
        <is>
          <t>Frete de venda</t>
        </is>
      </c>
      <c r="B3516" t="inlineStr">
        <is>
          <t>2.01.02 Frete sobre Vendas</t>
        </is>
      </c>
      <c r="C3516" s="30" t="n">
        <v>46143</v>
      </c>
      <c r="D3516" t="inlineStr">
        <is>
          <t>Em 2026</t>
        </is>
      </c>
      <c r="E3516" s="28" t="n">
        <v>46170</v>
      </c>
      <c r="F3516" t="inlineStr">
        <is>
          <t>CT-e</t>
        </is>
      </c>
      <c r="G3516" t="inlineStr">
        <is>
          <t>000007189</t>
        </is>
      </c>
      <c r="H3516" t="inlineStr">
        <is>
          <t>R&amp;R TRANSPORTE E LOGISTICA</t>
        </is>
      </c>
      <c r="J3516" s="29" t="n">
        <v>13.18</v>
      </c>
      <c r="K3516" s="29">
        <f>(1-ISNUMBER(SEARCH("556",M3516)))*(O3516*SUMIFS(Premissas!$C$5:$C$44,Premissas!$A$5:$A$44,$A3516,Premissas!$B$5:$B$44,$B3516)+P3516*SUMIFS(Premissas!$D$5:$D$44,Premissas!$A$5:$A$44,$A3516,Premissas!$B$5:$B$44,$B3516))+R3516*SUMIFS(Premissas!$E$5:$E$44,Premissas!$A$5:$A$44,$A3516,Premissas!$B$5:$B$44,$B3516)+S3516*SUMIFS(Premissas!$F$5:$F$44,Premissas!$A$5:$A$44,$A3516,Premissas!$B$5:$B$44,$B3516)</f>
        <v/>
      </c>
      <c r="L3516" s="29">
        <f>J3516-K3516</f>
        <v/>
      </c>
      <c r="M3516" t="inlineStr">
        <is>
          <t>1.350</t>
        </is>
      </c>
      <c r="N3516" t="inlineStr">
        <is>
          <t>Modalidade: 0 - Por conta do remetente | Parte: RJ SILVEIRA LTDA (11.378.222/0001-69)</t>
        </is>
      </c>
      <c r="O3516" s="29" t="n">
        <v>0</v>
      </c>
      <c r="P3516" s="29" t="n">
        <v>0</v>
      </c>
      <c r="Q3516" s="29" t="n">
        <v>0</v>
      </c>
      <c r="R3516" s="29" t="n">
        <v>0</v>
      </c>
      <c r="S3516" s="29" t="n">
        <v>0</v>
      </c>
      <c r="T3516" t="inlineStr">
        <is>
          <t>25260526975620000130570010000071891011001756</t>
        </is>
      </c>
      <c r="U3516" t="inlineStr">
        <is>
          <t>Não</t>
        </is>
      </c>
    </row>
    <row r="3517">
      <c r="A3517" t="inlineStr">
        <is>
          <t>Frete de venda</t>
        </is>
      </c>
      <c r="B3517" t="inlineStr">
        <is>
          <t>2.01.02 Frete sobre Vendas</t>
        </is>
      </c>
      <c r="C3517" s="30" t="n">
        <v>46143</v>
      </c>
      <c r="D3517" t="inlineStr">
        <is>
          <t>Em 2026</t>
        </is>
      </c>
      <c r="E3517" s="28" t="n">
        <v>46170</v>
      </c>
      <c r="F3517" t="inlineStr">
        <is>
          <t>CT-e</t>
        </is>
      </c>
      <c r="G3517" t="inlineStr">
        <is>
          <t>000007190</t>
        </is>
      </c>
      <c r="H3517" t="inlineStr">
        <is>
          <t>R&amp;R TRANSPORTE E LOGISTICA</t>
        </is>
      </c>
      <c r="J3517" s="29" t="n">
        <v>22.83</v>
      </c>
      <c r="K3517" s="29">
        <f>(1-ISNUMBER(SEARCH("556",M3517)))*(O3517*SUMIFS(Premissas!$C$5:$C$44,Premissas!$A$5:$A$44,$A3517,Premissas!$B$5:$B$44,$B3517)+P3517*SUMIFS(Premissas!$D$5:$D$44,Premissas!$A$5:$A$44,$A3517,Premissas!$B$5:$B$44,$B3517))+R3517*SUMIFS(Premissas!$E$5:$E$44,Premissas!$A$5:$A$44,$A3517,Premissas!$B$5:$B$44,$B3517)+S3517*SUMIFS(Premissas!$F$5:$F$44,Premissas!$A$5:$A$44,$A3517,Premissas!$B$5:$B$44,$B3517)</f>
        <v/>
      </c>
      <c r="L3517" s="29">
        <f>J3517-K3517</f>
        <v/>
      </c>
      <c r="M3517" t="inlineStr">
        <is>
          <t>1.350</t>
        </is>
      </c>
      <c r="N3517" t="inlineStr">
        <is>
          <t>Modalidade: 0 - Por conta do remetente | Parte: JOELMA XAVIER LTDA (46.882.996/0003-79)</t>
        </is>
      </c>
      <c r="O3517" s="29" t="n">
        <v>0</v>
      </c>
      <c r="P3517" s="29" t="n">
        <v>0</v>
      </c>
      <c r="Q3517" s="29" t="n">
        <v>0</v>
      </c>
      <c r="R3517" s="29" t="n">
        <v>0</v>
      </c>
      <c r="S3517" s="29" t="n">
        <v>0</v>
      </c>
      <c r="T3517" t="inlineStr">
        <is>
          <t>25260526975620000130570010000071901001701837</t>
        </is>
      </c>
      <c r="U3517" t="inlineStr">
        <is>
          <t>Não</t>
        </is>
      </c>
    </row>
    <row r="3518">
      <c r="A3518" t="inlineStr">
        <is>
          <t>Frete de venda</t>
        </is>
      </c>
      <c r="B3518" t="inlineStr">
        <is>
          <t>2.01.02 Frete sobre Vendas</t>
        </is>
      </c>
      <c r="C3518" s="30" t="n">
        <v>46143</v>
      </c>
      <c r="D3518" t="inlineStr">
        <is>
          <t>Em 2026</t>
        </is>
      </c>
      <c r="E3518" s="28" t="n">
        <v>46170</v>
      </c>
      <c r="F3518" t="inlineStr">
        <is>
          <t>CT-e</t>
        </is>
      </c>
      <c r="G3518" t="inlineStr">
        <is>
          <t>000007191</t>
        </is>
      </c>
      <c r="H3518" t="inlineStr">
        <is>
          <t>R&amp;R TRANSPORTE E LOGISTICA</t>
        </is>
      </c>
      <c r="J3518" s="29" t="n">
        <v>21.62</v>
      </c>
      <c r="K3518" s="29">
        <f>(1-ISNUMBER(SEARCH("556",M3518)))*(O3518*SUMIFS(Premissas!$C$5:$C$44,Premissas!$A$5:$A$44,$A3518,Premissas!$B$5:$B$44,$B3518)+P3518*SUMIFS(Premissas!$D$5:$D$44,Premissas!$A$5:$A$44,$A3518,Premissas!$B$5:$B$44,$B3518))+R3518*SUMIFS(Premissas!$E$5:$E$44,Premissas!$A$5:$A$44,$A3518,Premissas!$B$5:$B$44,$B3518)+S3518*SUMIFS(Premissas!$F$5:$F$44,Premissas!$A$5:$A$44,$A3518,Premissas!$B$5:$B$44,$B3518)</f>
        <v/>
      </c>
      <c r="L3518" s="29">
        <f>J3518-K3518</f>
        <v/>
      </c>
      <c r="M3518" t="inlineStr">
        <is>
          <t>1.350</t>
        </is>
      </c>
      <c r="N3518" t="inlineStr">
        <is>
          <t>Modalidade: 0 - Por conta do remetente | Parte: DK COMERCIO DE PRODUTOS ALIMENTICIOS LTDA (34.829.407/0001-48)</t>
        </is>
      </c>
      <c r="O3518" s="29" t="n">
        <v>0</v>
      </c>
      <c r="P3518" s="29" t="n">
        <v>0</v>
      </c>
      <c r="Q3518" s="29" t="n">
        <v>0</v>
      </c>
      <c r="R3518" s="29" t="n">
        <v>0</v>
      </c>
      <c r="S3518" s="29" t="n">
        <v>0</v>
      </c>
      <c r="T3518" t="inlineStr">
        <is>
          <t>25260526975620000130570010000071911001401911</t>
        </is>
      </c>
      <c r="U3518" t="inlineStr">
        <is>
          <t>Não</t>
        </is>
      </c>
    </row>
    <row r="3519">
      <c r="A3519" t="inlineStr">
        <is>
          <t>Frete de venda</t>
        </is>
      </c>
      <c r="B3519" t="inlineStr">
        <is>
          <t>2.01.02 Frete sobre Vendas</t>
        </is>
      </c>
      <c r="C3519" s="30" t="n">
        <v>46143</v>
      </c>
      <c r="D3519" t="inlineStr">
        <is>
          <t>Em 2026</t>
        </is>
      </c>
      <c r="E3519" s="28" t="n">
        <v>46170</v>
      </c>
      <c r="F3519" t="inlineStr">
        <is>
          <t>CT-e</t>
        </is>
      </c>
      <c r="G3519" t="inlineStr">
        <is>
          <t>000007192</t>
        </is>
      </c>
      <c r="H3519" t="inlineStr">
        <is>
          <t>R&amp;R TRANSPORTE E LOGISTICA</t>
        </is>
      </c>
      <c r="J3519" s="29" t="n">
        <v>28.78</v>
      </c>
      <c r="K3519" s="29">
        <f>(1-ISNUMBER(SEARCH("556",M3519)))*(O3519*SUMIFS(Premissas!$C$5:$C$44,Premissas!$A$5:$A$44,$A3519,Premissas!$B$5:$B$44,$B3519)+P3519*SUMIFS(Premissas!$D$5:$D$44,Premissas!$A$5:$A$44,$A3519,Premissas!$B$5:$B$44,$B3519))+R3519*SUMIFS(Premissas!$E$5:$E$44,Premissas!$A$5:$A$44,$A3519,Premissas!$B$5:$B$44,$B3519)+S3519*SUMIFS(Premissas!$F$5:$F$44,Premissas!$A$5:$A$44,$A3519,Premissas!$B$5:$B$44,$B3519)</f>
        <v/>
      </c>
      <c r="L3519" s="29">
        <f>J3519-K3519</f>
        <v/>
      </c>
      <c r="M3519" t="inlineStr">
        <is>
          <t>1.350</t>
        </is>
      </c>
      <c r="N3519" t="inlineStr">
        <is>
          <t>Modalidade: 0 - Por conta do remetente | Parte: JULIANO JACINTO (03.102.933/0001-88)</t>
        </is>
      </c>
      <c r="O3519" s="29" t="n">
        <v>0</v>
      </c>
      <c r="P3519" s="29" t="n">
        <v>0</v>
      </c>
      <c r="Q3519" s="29" t="n">
        <v>0</v>
      </c>
      <c r="R3519" s="29" t="n">
        <v>0</v>
      </c>
      <c r="S3519" s="29" t="n">
        <v>0</v>
      </c>
      <c r="T3519" t="inlineStr">
        <is>
          <t>25260526975620000130570010000071921001101990</t>
        </is>
      </c>
      <c r="U3519" t="inlineStr">
        <is>
          <t>Não</t>
        </is>
      </c>
    </row>
    <row r="3520">
      <c r="A3520" t="inlineStr">
        <is>
          <t>Frete de venda</t>
        </is>
      </c>
      <c r="B3520" t="inlineStr">
        <is>
          <t>2.01.02 Frete sobre Vendas</t>
        </is>
      </c>
      <c r="C3520" s="30" t="n">
        <v>46143</v>
      </c>
      <c r="D3520" t="inlineStr">
        <is>
          <t>Em 2026</t>
        </is>
      </c>
      <c r="E3520" s="28" t="n">
        <v>46170</v>
      </c>
      <c r="F3520" t="inlineStr">
        <is>
          <t>CT-e</t>
        </is>
      </c>
      <c r="G3520" t="inlineStr">
        <is>
          <t>000007193</t>
        </is>
      </c>
      <c r="H3520" t="inlineStr">
        <is>
          <t>R&amp;R TRANSPORTE E LOGISTICA</t>
        </is>
      </c>
      <c r="J3520" s="29" t="n">
        <v>21.41</v>
      </c>
      <c r="K3520" s="29">
        <f>(1-ISNUMBER(SEARCH("556",M3520)))*(O3520*SUMIFS(Premissas!$C$5:$C$44,Premissas!$A$5:$A$44,$A3520,Premissas!$B$5:$B$44,$B3520)+P3520*SUMIFS(Premissas!$D$5:$D$44,Premissas!$A$5:$A$44,$A3520,Premissas!$B$5:$B$44,$B3520))+R3520*SUMIFS(Premissas!$E$5:$E$44,Premissas!$A$5:$A$44,$A3520,Premissas!$B$5:$B$44,$B3520)+S3520*SUMIFS(Premissas!$F$5:$F$44,Premissas!$A$5:$A$44,$A3520,Premissas!$B$5:$B$44,$B3520)</f>
        <v/>
      </c>
      <c r="L3520" s="29">
        <f>J3520-K3520</f>
        <v/>
      </c>
      <c r="M3520" t="inlineStr">
        <is>
          <t>1.350</t>
        </is>
      </c>
      <c r="N3520" t="inlineStr">
        <is>
          <t>Modalidade: 0 - Por conta do remetente | Parte: DISPACK DISTRIBUIDORA DE EMBALAGENS E DESCARTAVEIS LTDA (04.017.008/0001-11)</t>
        </is>
      </c>
      <c r="O3520" s="29" t="n">
        <v>0</v>
      </c>
      <c r="P3520" s="29" t="n">
        <v>0</v>
      </c>
      <c r="Q3520" s="29" t="n">
        <v>0</v>
      </c>
      <c r="R3520" s="29" t="n">
        <v>0</v>
      </c>
      <c r="S3520" s="29" t="n">
        <v>0</v>
      </c>
      <c r="T3520" t="inlineStr">
        <is>
          <t>25260526975620000130570010000071931001201348</t>
        </is>
      </c>
      <c r="U3520" t="inlineStr">
        <is>
          <t>Não</t>
        </is>
      </c>
    </row>
    <row r="3521">
      <c r="A3521" t="inlineStr">
        <is>
          <t>Frete de venda</t>
        </is>
      </c>
      <c r="B3521" t="inlineStr">
        <is>
          <t>2.01.02 Frete sobre Vendas</t>
        </is>
      </c>
      <c r="C3521" s="30" t="n">
        <v>46143</v>
      </c>
      <c r="D3521" t="inlineStr">
        <is>
          <t>Em 2026</t>
        </is>
      </c>
      <c r="E3521" s="28" t="n">
        <v>46170</v>
      </c>
      <c r="F3521" t="inlineStr">
        <is>
          <t>CT-e</t>
        </is>
      </c>
      <c r="G3521" t="inlineStr">
        <is>
          <t>000007194</t>
        </is>
      </c>
      <c r="H3521" t="inlineStr">
        <is>
          <t>R&amp;R TRANSPORTE E LOGISTICA</t>
        </is>
      </c>
      <c r="J3521" s="29" t="n">
        <v>20.09</v>
      </c>
      <c r="K3521" s="29">
        <f>(1-ISNUMBER(SEARCH("556",M3521)))*(O3521*SUMIFS(Premissas!$C$5:$C$44,Premissas!$A$5:$A$44,$A3521,Premissas!$B$5:$B$44,$B3521)+P3521*SUMIFS(Premissas!$D$5:$D$44,Premissas!$A$5:$A$44,$A3521,Premissas!$B$5:$B$44,$B3521))+R3521*SUMIFS(Premissas!$E$5:$E$44,Premissas!$A$5:$A$44,$A3521,Premissas!$B$5:$B$44,$B3521)+S3521*SUMIFS(Premissas!$F$5:$F$44,Premissas!$A$5:$A$44,$A3521,Premissas!$B$5:$B$44,$B3521)</f>
        <v/>
      </c>
      <c r="L3521" s="29">
        <f>J3521-K3521</f>
        <v/>
      </c>
      <c r="M3521" t="inlineStr">
        <is>
          <t>1.350</t>
        </is>
      </c>
      <c r="N3521" t="inlineStr">
        <is>
          <t>Modalidade: 0 - Por conta do remetente | Parte: SILVA DALLA CORTE e CIA LTDA (24.241.188/0001-28)</t>
        </is>
      </c>
      <c r="O3521" s="29" t="n">
        <v>0</v>
      </c>
      <c r="P3521" s="29" t="n">
        <v>0</v>
      </c>
      <c r="Q3521" s="29" t="n">
        <v>0</v>
      </c>
      <c r="R3521" s="29" t="n">
        <v>0</v>
      </c>
      <c r="S3521" s="29" t="n">
        <v>0</v>
      </c>
      <c r="T3521" t="inlineStr">
        <is>
          <t>25260526975620000130570010000071941011001420</t>
        </is>
      </c>
      <c r="U3521" t="inlineStr">
        <is>
          <t>Não</t>
        </is>
      </c>
    </row>
    <row r="3522">
      <c r="A3522" t="inlineStr">
        <is>
          <t>Frete de venda</t>
        </is>
      </c>
      <c r="B3522" t="inlineStr">
        <is>
          <t>2.01.02 Frete sobre Vendas</t>
        </is>
      </c>
      <c r="C3522" s="30" t="n">
        <v>46143</v>
      </c>
      <c r="D3522" t="inlineStr">
        <is>
          <t>Em 2026</t>
        </is>
      </c>
      <c r="E3522" s="28" t="n">
        <v>46170</v>
      </c>
      <c r="F3522" t="inlineStr">
        <is>
          <t>CT-e</t>
        </is>
      </c>
      <c r="G3522" t="inlineStr">
        <is>
          <t>000007195</t>
        </is>
      </c>
      <c r="H3522" t="inlineStr">
        <is>
          <t>R&amp;R TRANSPORTE E LOGISTICA</t>
        </is>
      </c>
      <c r="J3522" s="29" t="n">
        <v>18.08</v>
      </c>
      <c r="K3522" s="29">
        <f>(1-ISNUMBER(SEARCH("556",M3522)))*(O3522*SUMIFS(Premissas!$C$5:$C$44,Premissas!$A$5:$A$44,$A3522,Premissas!$B$5:$B$44,$B3522)+P3522*SUMIFS(Premissas!$D$5:$D$44,Premissas!$A$5:$A$44,$A3522,Premissas!$B$5:$B$44,$B3522))+R3522*SUMIFS(Premissas!$E$5:$E$44,Premissas!$A$5:$A$44,$A3522,Premissas!$B$5:$B$44,$B3522)+S3522*SUMIFS(Premissas!$F$5:$F$44,Premissas!$A$5:$A$44,$A3522,Premissas!$B$5:$B$44,$B3522)</f>
        <v/>
      </c>
      <c r="L3522" s="29">
        <f>J3522-K3522</f>
        <v/>
      </c>
      <c r="M3522" t="inlineStr">
        <is>
          <t>1.350</t>
        </is>
      </c>
      <c r="N3522" t="inlineStr">
        <is>
          <t>Modalidade: 0 - Por conta do remetente | Parte: EMG EMBALAGENS E SUPRIMENTOS LTDA (66.338.959/0001-40)</t>
        </is>
      </c>
      <c r="O3522" s="29" t="n">
        <v>0</v>
      </c>
      <c r="P3522" s="29" t="n">
        <v>0</v>
      </c>
      <c r="Q3522" s="29" t="n">
        <v>0</v>
      </c>
      <c r="R3522" s="29" t="n">
        <v>0</v>
      </c>
      <c r="S3522" s="29" t="n">
        <v>0</v>
      </c>
      <c r="T3522" t="inlineStr">
        <is>
          <t>25260526975620000130570010000071951001701507</t>
        </is>
      </c>
      <c r="U3522" t="inlineStr">
        <is>
          <t>Não</t>
        </is>
      </c>
    </row>
    <row r="3523">
      <c r="A3523" t="inlineStr">
        <is>
          <t>Frete de venda</t>
        </is>
      </c>
      <c r="B3523" t="inlineStr">
        <is>
          <t>2.01.02 Frete sobre Vendas</t>
        </is>
      </c>
      <c r="C3523" s="30" t="n">
        <v>46143</v>
      </c>
      <c r="D3523" t="inlineStr">
        <is>
          <t>Em 2026</t>
        </is>
      </c>
      <c r="E3523" s="28" t="n">
        <v>46170</v>
      </c>
      <c r="F3523" t="inlineStr">
        <is>
          <t>CT-e</t>
        </is>
      </c>
      <c r="G3523" t="inlineStr">
        <is>
          <t>000007196</t>
        </is>
      </c>
      <c r="H3523" t="inlineStr">
        <is>
          <t>R&amp;R TRANSPORTE E LOGISTICA</t>
        </is>
      </c>
      <c r="J3523" s="29" t="n">
        <v>20.65</v>
      </c>
      <c r="K3523" s="29">
        <f>(1-ISNUMBER(SEARCH("556",M3523)))*(O3523*SUMIFS(Premissas!$C$5:$C$44,Premissas!$A$5:$A$44,$A3523,Premissas!$B$5:$B$44,$B3523)+P3523*SUMIFS(Premissas!$D$5:$D$44,Premissas!$A$5:$A$44,$A3523,Premissas!$B$5:$B$44,$B3523))+R3523*SUMIFS(Premissas!$E$5:$E$44,Premissas!$A$5:$A$44,$A3523,Premissas!$B$5:$B$44,$B3523)+S3523*SUMIFS(Premissas!$F$5:$F$44,Premissas!$A$5:$A$44,$A3523,Premissas!$B$5:$B$44,$B3523)</f>
        <v/>
      </c>
      <c r="L3523" s="29">
        <f>J3523-K3523</f>
        <v/>
      </c>
      <c r="M3523" t="inlineStr">
        <is>
          <t>1.350</t>
        </is>
      </c>
      <c r="N3523" t="inlineStr">
        <is>
          <t>Modalidade: 0 - Por conta do remetente | Parte: CEM % COMERCIO DE EQUIPAMENTOS LTDA (20.462.901/0001-02)</t>
        </is>
      </c>
      <c r="O3523" s="29" t="n">
        <v>0</v>
      </c>
      <c r="P3523" s="29" t="n">
        <v>0</v>
      </c>
      <c r="Q3523" s="29" t="n">
        <v>0</v>
      </c>
      <c r="R3523" s="29" t="n">
        <v>0</v>
      </c>
      <c r="S3523" s="29" t="n">
        <v>0</v>
      </c>
      <c r="T3523" t="inlineStr">
        <is>
          <t>25260526975620000130570010000071961001401586</t>
        </is>
      </c>
      <c r="U3523" t="inlineStr">
        <is>
          <t>Não</t>
        </is>
      </c>
    </row>
    <row r="3524">
      <c r="A3524" t="inlineStr">
        <is>
          <t>Frete de venda</t>
        </is>
      </c>
      <c r="B3524" t="inlineStr">
        <is>
          <t>2.01.02 Frete sobre Vendas</t>
        </is>
      </c>
      <c r="C3524" s="30" t="n">
        <v>46143</v>
      </c>
      <c r="D3524" t="inlineStr">
        <is>
          <t>Em 2026</t>
        </is>
      </c>
      <c r="E3524" s="28" t="n">
        <v>46170</v>
      </c>
      <c r="F3524" t="inlineStr">
        <is>
          <t>CT-e</t>
        </is>
      </c>
      <c r="G3524" t="inlineStr">
        <is>
          <t>000007197</t>
        </is>
      </c>
      <c r="H3524" t="inlineStr">
        <is>
          <t>R&amp;R TRANSPORTE E LOGISTICA</t>
        </is>
      </c>
      <c r="J3524" s="29" t="n">
        <v>78.22</v>
      </c>
      <c r="K3524" s="29">
        <f>(1-ISNUMBER(SEARCH("556",M3524)))*(O3524*SUMIFS(Premissas!$C$5:$C$44,Premissas!$A$5:$A$44,$A3524,Premissas!$B$5:$B$44,$B3524)+P3524*SUMIFS(Premissas!$D$5:$D$44,Premissas!$A$5:$A$44,$A3524,Premissas!$B$5:$B$44,$B3524))+R3524*SUMIFS(Premissas!$E$5:$E$44,Premissas!$A$5:$A$44,$A3524,Premissas!$B$5:$B$44,$B3524)+S3524*SUMIFS(Premissas!$F$5:$F$44,Premissas!$A$5:$A$44,$A3524,Premissas!$B$5:$B$44,$B3524)</f>
        <v/>
      </c>
      <c r="L3524" s="29">
        <f>J3524-K3524</f>
        <v/>
      </c>
      <c r="M3524" t="inlineStr">
        <is>
          <t>1.350</t>
        </is>
      </c>
      <c r="N3524" t="inlineStr">
        <is>
          <t>Modalidade: 0 - Por conta do remetente | Parte: MASS COMERCIO DE EMBALAGENS LTDA (24.396.854/0001-05)</t>
        </is>
      </c>
      <c r="O3524" s="29" t="n">
        <v>0</v>
      </c>
      <c r="P3524" s="29" t="n">
        <v>0</v>
      </c>
      <c r="Q3524" s="29" t="n">
        <v>0</v>
      </c>
      <c r="R3524" s="29" t="n">
        <v>0</v>
      </c>
      <c r="S3524" s="29" t="n">
        <v>0</v>
      </c>
      <c r="T3524" t="inlineStr">
        <is>
          <t>25260526975620000130570010000071971001101660</t>
        </is>
      </c>
      <c r="U3524" t="inlineStr">
        <is>
          <t>Não</t>
        </is>
      </c>
    </row>
    <row r="3525">
      <c r="A3525" t="inlineStr">
        <is>
          <t>Frete de venda</t>
        </is>
      </c>
      <c r="B3525" t="inlineStr">
        <is>
          <t>2.01.02 Frete sobre Vendas</t>
        </is>
      </c>
      <c r="C3525" s="30" t="n">
        <v>46143</v>
      </c>
      <c r="D3525" t="inlineStr">
        <is>
          <t>Em 2026</t>
        </is>
      </c>
      <c r="E3525" s="28" t="n">
        <v>46170</v>
      </c>
      <c r="F3525" t="inlineStr">
        <is>
          <t>CT-e</t>
        </is>
      </c>
      <c r="G3525" t="inlineStr">
        <is>
          <t>000007198</t>
        </is>
      </c>
      <c r="H3525" t="inlineStr">
        <is>
          <t>R&amp;R TRANSPORTE E LOGISTICA</t>
        </is>
      </c>
      <c r="J3525" s="29" t="n">
        <v>11.13</v>
      </c>
      <c r="K3525" s="29">
        <f>(1-ISNUMBER(SEARCH("556",M3525)))*(O3525*SUMIFS(Premissas!$C$5:$C$44,Premissas!$A$5:$A$44,$A3525,Premissas!$B$5:$B$44,$B3525)+P3525*SUMIFS(Premissas!$D$5:$D$44,Premissas!$A$5:$A$44,$A3525,Premissas!$B$5:$B$44,$B3525))+R3525*SUMIFS(Premissas!$E$5:$E$44,Premissas!$A$5:$A$44,$A3525,Premissas!$B$5:$B$44,$B3525)+S3525*SUMIFS(Premissas!$F$5:$F$44,Premissas!$A$5:$A$44,$A3525,Premissas!$B$5:$B$44,$B3525)</f>
        <v/>
      </c>
      <c r="L3525" s="29">
        <f>J3525-K3525</f>
        <v/>
      </c>
      <c r="M3525" t="inlineStr">
        <is>
          <t>1.350</t>
        </is>
      </c>
      <c r="N3525" t="inlineStr">
        <is>
          <t>Modalidade: 0 - Por conta do remetente | Parte: TC COMERCIO DE EMBALAGENS LTDA (97.193.502/0001-18)</t>
        </is>
      </c>
      <c r="O3525" s="29" t="n">
        <v>0</v>
      </c>
      <c r="P3525" s="29" t="n">
        <v>0</v>
      </c>
      <c r="Q3525" s="29" t="n">
        <v>0</v>
      </c>
      <c r="R3525" s="29" t="n">
        <v>0</v>
      </c>
      <c r="S3525" s="29" t="n">
        <v>0</v>
      </c>
      <c r="T3525" t="inlineStr">
        <is>
          <t>25260526975620000130570010000071981001901745</t>
        </is>
      </c>
      <c r="U3525" t="inlineStr">
        <is>
          <t>Não</t>
        </is>
      </c>
    </row>
    <row r="3526">
      <c r="A3526" t="inlineStr">
        <is>
          <t>Frete de venda</t>
        </is>
      </c>
      <c r="B3526" t="inlineStr">
        <is>
          <t>2.01.02 Frete sobre Vendas</t>
        </is>
      </c>
      <c r="C3526" s="30" t="n">
        <v>46143</v>
      </c>
      <c r="D3526" t="inlineStr">
        <is>
          <t>Em 2026</t>
        </is>
      </c>
      <c r="E3526" s="28" t="n">
        <v>46170</v>
      </c>
      <c r="F3526" t="inlineStr">
        <is>
          <t>CT-e</t>
        </is>
      </c>
      <c r="G3526" t="inlineStr">
        <is>
          <t>000007199</t>
        </is>
      </c>
      <c r="H3526" t="inlineStr">
        <is>
          <t>R&amp;R TRANSPORTE E LOGISTICA</t>
        </is>
      </c>
      <c r="J3526" s="29" t="n">
        <v>27.39</v>
      </c>
      <c r="K3526" s="29">
        <f>(1-ISNUMBER(SEARCH("556",M3526)))*(O3526*SUMIFS(Premissas!$C$5:$C$44,Premissas!$A$5:$A$44,$A3526,Premissas!$B$5:$B$44,$B3526)+P3526*SUMIFS(Premissas!$D$5:$D$44,Premissas!$A$5:$A$44,$A3526,Premissas!$B$5:$B$44,$B3526))+R3526*SUMIFS(Premissas!$E$5:$E$44,Premissas!$A$5:$A$44,$A3526,Premissas!$B$5:$B$44,$B3526)+S3526*SUMIFS(Premissas!$F$5:$F$44,Premissas!$A$5:$A$44,$A3526,Premissas!$B$5:$B$44,$B3526)</f>
        <v/>
      </c>
      <c r="L3526" s="29">
        <f>J3526-K3526</f>
        <v/>
      </c>
      <c r="M3526" t="inlineStr">
        <is>
          <t>1.350</t>
        </is>
      </c>
      <c r="N3526" t="inlineStr">
        <is>
          <t>Modalidade: 0 - Por conta do remetente | Parte: ROSSET EMBALAGENS E PAPELARIA LTDA (50.656.847/0001-05)</t>
        </is>
      </c>
      <c r="O3526" s="29" t="n">
        <v>0</v>
      </c>
      <c r="P3526" s="29" t="n">
        <v>0</v>
      </c>
      <c r="Q3526" s="29" t="n">
        <v>0</v>
      </c>
      <c r="R3526" s="29" t="n">
        <v>0</v>
      </c>
      <c r="S3526" s="29" t="n">
        <v>0</v>
      </c>
      <c r="T3526" t="inlineStr">
        <is>
          <t>25260526975620000130570010000071991001601820</t>
        </is>
      </c>
      <c r="U3526" t="inlineStr">
        <is>
          <t>Não</t>
        </is>
      </c>
    </row>
    <row r="3527">
      <c r="A3527" t="inlineStr">
        <is>
          <t>Frete de venda</t>
        </is>
      </c>
      <c r="B3527" t="inlineStr">
        <is>
          <t>2.01.02 Frete sobre Vendas</t>
        </is>
      </c>
      <c r="C3527" s="30" t="n">
        <v>46143</v>
      </c>
      <c r="D3527" t="inlineStr">
        <is>
          <t>Em 2026</t>
        </is>
      </c>
      <c r="E3527" s="28" t="n">
        <v>46170</v>
      </c>
      <c r="F3527" t="inlineStr">
        <is>
          <t>CT-e</t>
        </is>
      </c>
      <c r="G3527" t="inlineStr">
        <is>
          <t>000007200</t>
        </is>
      </c>
      <c r="H3527" t="inlineStr">
        <is>
          <t>R&amp;R TRANSPORTE E LOGISTICA</t>
        </is>
      </c>
      <c r="J3527" s="29" t="n">
        <v>40.51</v>
      </c>
      <c r="K3527" s="29">
        <f>(1-ISNUMBER(SEARCH("556",M3527)))*(O3527*SUMIFS(Premissas!$C$5:$C$44,Premissas!$A$5:$A$44,$A3527,Premissas!$B$5:$B$44,$B3527)+P3527*SUMIFS(Premissas!$D$5:$D$44,Premissas!$A$5:$A$44,$A3527,Premissas!$B$5:$B$44,$B3527))+R3527*SUMIFS(Premissas!$E$5:$E$44,Premissas!$A$5:$A$44,$A3527,Premissas!$B$5:$B$44,$B3527)+S3527*SUMIFS(Premissas!$F$5:$F$44,Premissas!$A$5:$A$44,$A3527,Premissas!$B$5:$B$44,$B3527)</f>
        <v/>
      </c>
      <c r="L3527" s="29">
        <f>J3527-K3527</f>
        <v/>
      </c>
      <c r="M3527" t="inlineStr">
        <is>
          <t>1.350</t>
        </is>
      </c>
      <c r="N3527" t="inlineStr">
        <is>
          <t>Modalidade: 0 - Por conta do remetente | Parte: ATACADO NASCAR HIPICA LTDA (04.886.589/0001-28)</t>
        </is>
      </c>
      <c r="O3527" s="29" t="n">
        <v>0</v>
      </c>
      <c r="P3527" s="29" t="n">
        <v>0</v>
      </c>
      <c r="Q3527" s="29" t="n">
        <v>0</v>
      </c>
      <c r="R3527" s="29" t="n">
        <v>0</v>
      </c>
      <c r="S3527" s="29" t="n">
        <v>0</v>
      </c>
      <c r="T3527" t="inlineStr">
        <is>
          <t>25260526975620000130570010000072001001301900</t>
        </is>
      </c>
      <c r="U3527" t="inlineStr">
        <is>
          <t>Não</t>
        </is>
      </c>
    </row>
    <row r="3528">
      <c r="A3528" t="inlineStr">
        <is>
          <t>Frete de venda</t>
        </is>
      </c>
      <c r="B3528" t="inlineStr">
        <is>
          <t>2.01.02 Frete sobre Vendas</t>
        </is>
      </c>
      <c r="C3528" s="30" t="n">
        <v>46143</v>
      </c>
      <c r="D3528" t="inlineStr">
        <is>
          <t>Em 2026</t>
        </is>
      </c>
      <c r="E3528" s="28" t="n">
        <v>46170</v>
      </c>
      <c r="F3528" t="inlineStr">
        <is>
          <t>CT-e</t>
        </is>
      </c>
      <c r="G3528" t="inlineStr">
        <is>
          <t>000007201</t>
        </is>
      </c>
      <c r="H3528" t="inlineStr">
        <is>
          <t>R&amp;R TRANSPORTE E LOGISTICA</t>
        </is>
      </c>
      <c r="J3528" s="29" t="n">
        <v>23.55</v>
      </c>
      <c r="K3528" s="29">
        <f>(1-ISNUMBER(SEARCH("556",M3528)))*(O3528*SUMIFS(Premissas!$C$5:$C$44,Premissas!$A$5:$A$44,$A3528,Premissas!$B$5:$B$44,$B3528)+P3528*SUMIFS(Premissas!$D$5:$D$44,Premissas!$A$5:$A$44,$A3528,Premissas!$B$5:$B$44,$B3528))+R3528*SUMIFS(Premissas!$E$5:$E$44,Premissas!$A$5:$A$44,$A3528,Premissas!$B$5:$B$44,$B3528)+S3528*SUMIFS(Premissas!$F$5:$F$44,Premissas!$A$5:$A$44,$A3528,Premissas!$B$5:$B$44,$B3528)</f>
        <v/>
      </c>
      <c r="L3528" s="29">
        <f>J3528-K3528</f>
        <v/>
      </c>
      <c r="M3528" t="inlineStr">
        <is>
          <t>1.350</t>
        </is>
      </c>
      <c r="N3528" t="inlineStr">
        <is>
          <t>Modalidade: 0 - Por conta do remetente | Parte: JOSE VIDALETTI (92.566.298/0001-10)</t>
        </is>
      </c>
      <c r="O3528" s="29" t="n">
        <v>0</v>
      </c>
      <c r="P3528" s="29" t="n">
        <v>0</v>
      </c>
      <c r="Q3528" s="29" t="n">
        <v>0</v>
      </c>
      <c r="R3528" s="29" t="n">
        <v>0</v>
      </c>
      <c r="S3528" s="29" t="n">
        <v>0</v>
      </c>
      <c r="T3528" t="inlineStr">
        <is>
          <t>25260526975620000130570010000072011000101980</t>
        </is>
      </c>
      <c r="U3528" t="inlineStr">
        <is>
          <t>Não</t>
        </is>
      </c>
    </row>
    <row r="3529">
      <c r="A3529" t="inlineStr">
        <is>
          <t>Frete de venda</t>
        </is>
      </c>
      <c r="B3529" t="inlineStr">
        <is>
          <t>2.01.02 Frete sobre Vendas</t>
        </is>
      </c>
      <c r="C3529" s="30" t="n">
        <v>46143</v>
      </c>
      <c r="D3529" t="inlineStr">
        <is>
          <t>Em 2026</t>
        </is>
      </c>
      <c r="E3529" s="28" t="n">
        <v>46170</v>
      </c>
      <c r="F3529" t="inlineStr">
        <is>
          <t>CT-e</t>
        </is>
      </c>
      <c r="G3529" t="inlineStr">
        <is>
          <t>000007202</t>
        </is>
      </c>
      <c r="H3529" t="inlineStr">
        <is>
          <t>R&amp;R TRANSPORTE E LOGISTICA</t>
        </is>
      </c>
      <c r="J3529" s="29" t="n">
        <v>19.53</v>
      </c>
      <c r="K3529" s="29">
        <f>(1-ISNUMBER(SEARCH("556",M3529)))*(O3529*SUMIFS(Premissas!$C$5:$C$44,Premissas!$A$5:$A$44,$A3529,Premissas!$B$5:$B$44,$B3529)+P3529*SUMIFS(Premissas!$D$5:$D$44,Premissas!$A$5:$A$44,$A3529,Premissas!$B$5:$B$44,$B3529))+R3529*SUMIFS(Premissas!$E$5:$E$44,Premissas!$A$5:$A$44,$A3529,Premissas!$B$5:$B$44,$B3529)+S3529*SUMIFS(Premissas!$F$5:$F$44,Premissas!$A$5:$A$44,$A3529,Premissas!$B$5:$B$44,$B3529)</f>
        <v/>
      </c>
      <c r="L3529" s="29">
        <f>J3529-K3529</f>
        <v/>
      </c>
      <c r="M3529" t="inlineStr">
        <is>
          <t>1.350</t>
        </is>
      </c>
      <c r="N3529" t="inlineStr">
        <is>
          <t>Modalidade: 0 - Por conta do remetente | Parte: FRANCIELLI BOLICO PASSAIA 87756773004 (47.822.532/0001-78)</t>
        </is>
      </c>
      <c r="O3529" s="29" t="n">
        <v>0</v>
      </c>
      <c r="P3529" s="29" t="n">
        <v>0</v>
      </c>
      <c r="Q3529" s="29" t="n">
        <v>0</v>
      </c>
      <c r="R3529" s="29" t="n">
        <v>0</v>
      </c>
      <c r="S3529" s="29" t="n">
        <v>0</v>
      </c>
      <c r="T3529" t="inlineStr">
        <is>
          <t>25260526975620000130570010000072021001802067</t>
        </is>
      </c>
      <c r="U3529" t="inlineStr">
        <is>
          <t>Não</t>
        </is>
      </c>
    </row>
    <row r="3530">
      <c r="A3530" t="inlineStr">
        <is>
          <t>Frete de venda</t>
        </is>
      </c>
      <c r="B3530" t="inlineStr">
        <is>
          <t>2.01.02 Frete sobre Vendas</t>
        </is>
      </c>
      <c r="C3530" s="30" t="n">
        <v>46143</v>
      </c>
      <c r="D3530" t="inlineStr">
        <is>
          <t>Em 2026</t>
        </is>
      </c>
      <c r="E3530" s="28" t="n">
        <v>46170</v>
      </c>
      <c r="F3530" t="inlineStr">
        <is>
          <t>CT-e</t>
        </is>
      </c>
      <c r="G3530" t="inlineStr">
        <is>
          <t>000007203</t>
        </is>
      </c>
      <c r="H3530" t="inlineStr">
        <is>
          <t>R&amp;R TRANSPORTE E LOGISTICA</t>
        </is>
      </c>
      <c r="J3530" s="29" t="n">
        <v>18.34</v>
      </c>
      <c r="K3530" s="29">
        <f>(1-ISNUMBER(SEARCH("556",M3530)))*(O3530*SUMIFS(Premissas!$C$5:$C$44,Premissas!$A$5:$A$44,$A3530,Premissas!$B$5:$B$44,$B3530)+P3530*SUMIFS(Premissas!$D$5:$D$44,Premissas!$A$5:$A$44,$A3530,Premissas!$B$5:$B$44,$B3530))+R3530*SUMIFS(Premissas!$E$5:$E$44,Premissas!$A$5:$A$44,$A3530,Premissas!$B$5:$B$44,$B3530)+S3530*SUMIFS(Premissas!$F$5:$F$44,Premissas!$A$5:$A$44,$A3530,Premissas!$B$5:$B$44,$B3530)</f>
        <v/>
      </c>
      <c r="L3530" s="29">
        <f>J3530-K3530</f>
        <v/>
      </c>
      <c r="M3530" t="inlineStr">
        <is>
          <t>1.350</t>
        </is>
      </c>
      <c r="N3530" t="inlineStr">
        <is>
          <t>Modalidade: 0 - Por conta do remetente | Parte: MERCADO VOGFORT LTDA (07.307.013/0001-57)</t>
        </is>
      </c>
      <c r="O3530" s="29" t="n">
        <v>0</v>
      </c>
      <c r="P3530" s="29" t="n">
        <v>0</v>
      </c>
      <c r="Q3530" s="29" t="n">
        <v>0</v>
      </c>
      <c r="R3530" s="29" t="n">
        <v>0</v>
      </c>
      <c r="S3530" s="29" t="n">
        <v>0</v>
      </c>
      <c r="T3530" t="inlineStr">
        <is>
          <t>25260526975620000130570010000072031001901410</t>
        </is>
      </c>
      <c r="U3530" t="inlineStr">
        <is>
          <t>Não</t>
        </is>
      </c>
    </row>
    <row r="3531">
      <c r="A3531" t="inlineStr">
        <is>
          <t>Frete de venda</t>
        </is>
      </c>
      <c r="B3531" t="inlineStr">
        <is>
          <t>2.01.02 Frete sobre Vendas</t>
        </is>
      </c>
      <c r="C3531" s="30" t="n">
        <v>46143</v>
      </c>
      <c r="D3531" t="inlineStr">
        <is>
          <t>Em 2026</t>
        </is>
      </c>
      <c r="E3531" s="28" t="n">
        <v>46170</v>
      </c>
      <c r="F3531" t="inlineStr">
        <is>
          <t>CT-e</t>
        </is>
      </c>
      <c r="G3531" t="inlineStr">
        <is>
          <t>000007204</t>
        </is>
      </c>
      <c r="H3531" t="inlineStr">
        <is>
          <t>R&amp;R TRANSPORTE E LOGISTICA</t>
        </is>
      </c>
      <c r="J3531" s="29" t="n">
        <v>27.31</v>
      </c>
      <c r="K3531" s="29">
        <f>(1-ISNUMBER(SEARCH("556",M3531)))*(O3531*SUMIFS(Premissas!$C$5:$C$44,Premissas!$A$5:$A$44,$A3531,Premissas!$B$5:$B$44,$B3531)+P3531*SUMIFS(Premissas!$D$5:$D$44,Premissas!$A$5:$A$44,$A3531,Premissas!$B$5:$B$44,$B3531))+R3531*SUMIFS(Premissas!$E$5:$E$44,Premissas!$A$5:$A$44,$A3531,Premissas!$B$5:$B$44,$B3531)+S3531*SUMIFS(Premissas!$F$5:$F$44,Premissas!$A$5:$A$44,$A3531,Premissas!$B$5:$B$44,$B3531)</f>
        <v/>
      </c>
      <c r="L3531" s="29">
        <f>J3531-K3531</f>
        <v/>
      </c>
      <c r="M3531" t="inlineStr">
        <is>
          <t>1.350</t>
        </is>
      </c>
      <c r="N3531" t="inlineStr">
        <is>
          <t>Modalidade: 0 - Por conta do remetente | Parte: CAMPOPLASTIC ATACADO LTDA. (30.385.394/0001-04)</t>
        </is>
      </c>
      <c r="O3531" s="29" t="n">
        <v>0</v>
      </c>
      <c r="P3531" s="29" t="n">
        <v>0</v>
      </c>
      <c r="Q3531" s="29" t="n">
        <v>0</v>
      </c>
      <c r="R3531" s="29" t="n">
        <v>0</v>
      </c>
      <c r="S3531" s="29" t="n">
        <v>0</v>
      </c>
      <c r="T3531" t="inlineStr">
        <is>
          <t>25260526975620000130570010000072041001601490</t>
        </is>
      </c>
      <c r="U3531" t="inlineStr">
        <is>
          <t>Não</t>
        </is>
      </c>
    </row>
    <row r="3532">
      <c r="A3532" t="inlineStr">
        <is>
          <t>Frete de venda</t>
        </is>
      </c>
      <c r="B3532" t="inlineStr">
        <is>
          <t>2.01.02 Frete sobre Vendas</t>
        </is>
      </c>
      <c r="C3532" s="30" t="n">
        <v>46143</v>
      </c>
      <c r="D3532" t="inlineStr">
        <is>
          <t>Em 2026</t>
        </is>
      </c>
      <c r="E3532" s="28" t="n">
        <v>46170</v>
      </c>
      <c r="F3532" t="inlineStr">
        <is>
          <t>CT-e</t>
        </is>
      </c>
      <c r="G3532" t="inlineStr">
        <is>
          <t>000007205</t>
        </is>
      </c>
      <c r="H3532" t="inlineStr">
        <is>
          <t>R&amp;R TRANSPORTE E LOGISTICA</t>
        </is>
      </c>
      <c r="J3532" s="29" t="n">
        <v>28.73</v>
      </c>
      <c r="K3532" s="29">
        <f>(1-ISNUMBER(SEARCH("556",M3532)))*(O3532*SUMIFS(Premissas!$C$5:$C$44,Premissas!$A$5:$A$44,$A3532,Premissas!$B$5:$B$44,$B3532)+P3532*SUMIFS(Premissas!$D$5:$D$44,Premissas!$A$5:$A$44,$A3532,Premissas!$B$5:$B$44,$B3532))+R3532*SUMIFS(Premissas!$E$5:$E$44,Premissas!$A$5:$A$44,$A3532,Premissas!$B$5:$B$44,$B3532)+S3532*SUMIFS(Premissas!$F$5:$F$44,Premissas!$A$5:$A$44,$A3532,Premissas!$B$5:$B$44,$B3532)</f>
        <v/>
      </c>
      <c r="L3532" s="29">
        <f>J3532-K3532</f>
        <v/>
      </c>
      <c r="M3532" t="inlineStr">
        <is>
          <t>1.350</t>
        </is>
      </c>
      <c r="N3532" t="inlineStr">
        <is>
          <t>Modalidade: 0 - Por conta do remetente | Parte: HJM DISTRIBUICAO DE FRIOS LTDA (15.491.554/0001-06)</t>
        </is>
      </c>
      <c r="O3532" s="29" t="n">
        <v>0</v>
      </c>
      <c r="P3532" s="29" t="n">
        <v>0</v>
      </c>
      <c r="Q3532" s="29" t="n">
        <v>0</v>
      </c>
      <c r="R3532" s="29" t="n">
        <v>0</v>
      </c>
      <c r="S3532" s="29" t="n">
        <v>0</v>
      </c>
      <c r="T3532" t="inlineStr">
        <is>
          <t>25260526975620000130570010000072051001301574</t>
        </is>
      </c>
      <c r="U3532" t="inlineStr">
        <is>
          <t>Não</t>
        </is>
      </c>
    </row>
    <row r="3533">
      <c r="A3533" t="inlineStr">
        <is>
          <t>Frete de venda</t>
        </is>
      </c>
      <c r="B3533" t="inlineStr">
        <is>
          <t>2.01.02 Frete sobre Vendas</t>
        </is>
      </c>
      <c r="C3533" s="30" t="n">
        <v>46143</v>
      </c>
      <c r="D3533" t="inlineStr">
        <is>
          <t>Em 2026</t>
        </is>
      </c>
      <c r="E3533" s="28" t="n">
        <v>46170</v>
      </c>
      <c r="F3533" t="inlineStr">
        <is>
          <t>CT-e</t>
        </is>
      </c>
      <c r="G3533" t="inlineStr">
        <is>
          <t>000007206</t>
        </is>
      </c>
      <c r="H3533" t="inlineStr">
        <is>
          <t>R&amp;R TRANSPORTE E LOGISTICA</t>
        </is>
      </c>
      <c r="J3533" s="29" t="n">
        <v>102.72</v>
      </c>
      <c r="K3533" s="29">
        <f>(1-ISNUMBER(SEARCH("556",M3533)))*(O3533*SUMIFS(Premissas!$C$5:$C$44,Premissas!$A$5:$A$44,$A3533,Premissas!$B$5:$B$44,$B3533)+P3533*SUMIFS(Premissas!$D$5:$D$44,Premissas!$A$5:$A$44,$A3533,Premissas!$B$5:$B$44,$B3533))+R3533*SUMIFS(Premissas!$E$5:$E$44,Premissas!$A$5:$A$44,$A3533,Premissas!$B$5:$B$44,$B3533)+S3533*SUMIFS(Premissas!$F$5:$F$44,Premissas!$A$5:$A$44,$A3533,Premissas!$B$5:$B$44,$B3533)</f>
        <v/>
      </c>
      <c r="L3533" s="29">
        <f>J3533-K3533</f>
        <v/>
      </c>
      <c r="M3533" t="inlineStr">
        <is>
          <t>1.350</t>
        </is>
      </c>
      <c r="N3533" t="inlineStr">
        <is>
          <t>Modalidade: 0 - Por conta do remetente | Parte: BEBIFRIOS COMERCIAL LTDA (05.796.195/0001-41)</t>
        </is>
      </c>
      <c r="O3533" s="29" t="n">
        <v>0</v>
      </c>
      <c r="P3533" s="29" t="n">
        <v>0</v>
      </c>
      <c r="Q3533" s="29" t="n">
        <v>0</v>
      </c>
      <c r="R3533" s="29" t="n">
        <v>0</v>
      </c>
      <c r="S3533" s="29" t="n">
        <v>0</v>
      </c>
      <c r="T3533" t="inlineStr">
        <is>
          <t>25260526975620000130570010000072061000101650</t>
        </is>
      </c>
      <c r="U3533" t="inlineStr">
        <is>
          <t>Não</t>
        </is>
      </c>
    </row>
    <row r="3534">
      <c r="A3534" t="inlineStr">
        <is>
          <t>Frete de venda</t>
        </is>
      </c>
      <c r="B3534" t="inlineStr">
        <is>
          <t>2.01.02 Frete sobre Vendas</t>
        </is>
      </c>
      <c r="C3534" s="30" t="n">
        <v>46143</v>
      </c>
      <c r="D3534" t="inlineStr">
        <is>
          <t>Em 2026</t>
        </is>
      </c>
      <c r="E3534" s="28" t="n">
        <v>46170</v>
      </c>
      <c r="F3534" t="inlineStr">
        <is>
          <t>CT-e</t>
        </is>
      </c>
      <c r="G3534" t="inlineStr">
        <is>
          <t>000007207</t>
        </is>
      </c>
      <c r="H3534" t="inlineStr">
        <is>
          <t>R&amp;R TRANSPORTE E LOGISTICA</t>
        </is>
      </c>
      <c r="J3534" s="29" t="n">
        <v>12.93</v>
      </c>
      <c r="K3534" s="29">
        <f>(1-ISNUMBER(SEARCH("556",M3534)))*(O3534*SUMIFS(Premissas!$C$5:$C$44,Premissas!$A$5:$A$44,$A3534,Premissas!$B$5:$B$44,$B3534)+P3534*SUMIFS(Premissas!$D$5:$D$44,Premissas!$A$5:$A$44,$A3534,Premissas!$B$5:$B$44,$B3534))+R3534*SUMIFS(Premissas!$E$5:$E$44,Premissas!$A$5:$A$44,$A3534,Premissas!$B$5:$B$44,$B3534)+S3534*SUMIFS(Premissas!$F$5:$F$44,Premissas!$A$5:$A$44,$A3534,Premissas!$B$5:$B$44,$B3534)</f>
        <v/>
      </c>
      <c r="L3534" s="29">
        <f>J3534-K3534</f>
        <v/>
      </c>
      <c r="M3534" t="inlineStr">
        <is>
          <t>1.350</t>
        </is>
      </c>
      <c r="N3534" t="inlineStr">
        <is>
          <t>Modalidade: 0 - Por conta do remetente | Parte: MIL COMERCIO DE EMBALAGENS LTDA (03.000.441/0001-81)</t>
        </is>
      </c>
      <c r="O3534" s="29" t="n">
        <v>0</v>
      </c>
      <c r="P3534" s="29" t="n">
        <v>0</v>
      </c>
      <c r="Q3534" s="29" t="n">
        <v>0</v>
      </c>
      <c r="R3534" s="29" t="n">
        <v>0</v>
      </c>
      <c r="S3534" s="29" t="n">
        <v>0</v>
      </c>
      <c r="T3534" t="inlineStr">
        <is>
          <t>25260526975620000130570010000072071001801733</t>
        </is>
      </c>
      <c r="U3534" t="inlineStr">
        <is>
          <t>Não</t>
        </is>
      </c>
    </row>
    <row r="3535">
      <c r="A3535" t="inlineStr">
        <is>
          <t>Frete de venda</t>
        </is>
      </c>
      <c r="B3535" t="inlineStr">
        <is>
          <t>2.01.02 Frete sobre Vendas</t>
        </is>
      </c>
      <c r="C3535" s="30" t="n">
        <v>46143</v>
      </c>
      <c r="D3535" t="inlineStr">
        <is>
          <t>Em 2026</t>
        </is>
      </c>
      <c r="E3535" s="28" t="n">
        <v>46170</v>
      </c>
      <c r="F3535" t="inlineStr">
        <is>
          <t>CT-e</t>
        </is>
      </c>
      <c r="G3535" t="inlineStr">
        <is>
          <t>000007208</t>
        </is>
      </c>
      <c r="H3535" t="inlineStr">
        <is>
          <t>R&amp;R TRANSPORTE E LOGISTICA</t>
        </is>
      </c>
      <c r="J3535" s="29" t="n">
        <v>23.19</v>
      </c>
      <c r="K3535" s="29">
        <f>(1-ISNUMBER(SEARCH("556",M3535)))*(O3535*SUMIFS(Premissas!$C$5:$C$44,Premissas!$A$5:$A$44,$A3535,Premissas!$B$5:$B$44,$B3535)+P3535*SUMIFS(Premissas!$D$5:$D$44,Premissas!$A$5:$A$44,$A3535,Premissas!$B$5:$B$44,$B3535))+R3535*SUMIFS(Premissas!$E$5:$E$44,Premissas!$A$5:$A$44,$A3535,Premissas!$B$5:$B$44,$B3535)+S3535*SUMIFS(Premissas!$F$5:$F$44,Premissas!$A$5:$A$44,$A3535,Premissas!$B$5:$B$44,$B3535)</f>
        <v/>
      </c>
      <c r="L3535" s="29">
        <f>J3535-K3535</f>
        <v/>
      </c>
      <c r="M3535" t="inlineStr">
        <is>
          <t>1.350</t>
        </is>
      </c>
      <c r="N3535" t="inlineStr">
        <is>
          <t>Modalidade: 0 - Por conta do remetente | Parte: JONATAN SCREMIN COMERCIO E DISTRIBUICAO DE FRIOS (36.612.674/0001-94)</t>
        </is>
      </c>
      <c r="O3535" s="29" t="n">
        <v>0</v>
      </c>
      <c r="P3535" s="29" t="n">
        <v>0</v>
      </c>
      <c r="Q3535" s="29" t="n">
        <v>0</v>
      </c>
      <c r="R3535" s="29" t="n">
        <v>0</v>
      </c>
      <c r="S3535" s="29" t="n">
        <v>0</v>
      </c>
      <c r="T3535" t="inlineStr">
        <is>
          <t>25260526975620000130570010000072081001501818</t>
        </is>
      </c>
      <c r="U3535" t="inlineStr">
        <is>
          <t>Não</t>
        </is>
      </c>
    </row>
    <row r="3536">
      <c r="A3536" t="inlineStr">
        <is>
          <t>Frete de venda</t>
        </is>
      </c>
      <c r="B3536" t="inlineStr">
        <is>
          <t>2.01.02 Frete sobre Vendas</t>
        </is>
      </c>
      <c r="C3536" s="30" t="n">
        <v>46143</v>
      </c>
      <c r="D3536" t="inlineStr">
        <is>
          <t>Em 2026</t>
        </is>
      </c>
      <c r="E3536" s="28" t="n">
        <v>46172</v>
      </c>
      <c r="F3536" t="inlineStr">
        <is>
          <t>CT-e</t>
        </is>
      </c>
      <c r="G3536" t="inlineStr">
        <is>
          <t>000007212</t>
        </is>
      </c>
      <c r="H3536" t="inlineStr">
        <is>
          <t>R&amp;R TRANSPORTE E LOGISTICA</t>
        </is>
      </c>
      <c r="J3536" s="29" t="n">
        <v>800</v>
      </c>
      <c r="K3536" s="29">
        <f>(1-ISNUMBER(SEARCH("556",M3536)))*(O3536*SUMIFS(Premissas!$C$5:$C$44,Premissas!$A$5:$A$44,$A3536,Premissas!$B$5:$B$44,$B3536)+P3536*SUMIFS(Premissas!$D$5:$D$44,Premissas!$A$5:$A$44,$A3536,Premissas!$B$5:$B$44,$B3536))+R3536*SUMIFS(Premissas!$E$5:$E$44,Premissas!$A$5:$A$44,$A3536,Premissas!$B$5:$B$44,$B3536)+S3536*SUMIFS(Premissas!$F$5:$F$44,Premissas!$A$5:$A$44,$A3536,Premissas!$B$5:$B$44,$B3536)</f>
        <v/>
      </c>
      <c r="L3536" s="29">
        <f>J3536-K3536</f>
        <v/>
      </c>
      <c r="M3536" t="inlineStr">
        <is>
          <t>2.350</t>
        </is>
      </c>
      <c r="N3536" t="inlineStr">
        <is>
          <t>Modalidade: 0 - Por conta do remetente | Parte: M N L FLORENTINO LTDA (47.068.852/0001-84)</t>
        </is>
      </c>
      <c r="O3536" s="29" t="n">
        <v>0</v>
      </c>
      <c r="P3536" s="29" t="n">
        <v>0</v>
      </c>
      <c r="Q3536" s="29" t="n">
        <v>0</v>
      </c>
      <c r="R3536" s="29" t="n">
        <v>0</v>
      </c>
      <c r="S3536" s="29" t="n">
        <v>0</v>
      </c>
      <c r="T3536" t="inlineStr">
        <is>
          <t>25260526975620000130570010000072121000130916</t>
        </is>
      </c>
      <c r="U3536" t="inlineStr">
        <is>
          <t>Não</t>
        </is>
      </c>
    </row>
    <row r="3537">
      <c r="A3537" t="inlineStr">
        <is>
          <t>Frete de venda</t>
        </is>
      </c>
      <c r="B3537" t="inlineStr">
        <is>
          <t>2.01.02 Frete sobre Vendas</t>
        </is>
      </c>
      <c r="C3537" s="30" t="n">
        <v>46143</v>
      </c>
      <c r="D3537" t="inlineStr">
        <is>
          <t>Em 2026</t>
        </is>
      </c>
      <c r="E3537" s="28" t="n">
        <v>46172</v>
      </c>
      <c r="F3537" t="inlineStr">
        <is>
          <t>CT-e</t>
        </is>
      </c>
      <c r="G3537" t="inlineStr">
        <is>
          <t>000007213</t>
        </is>
      </c>
      <c r="H3537" t="inlineStr">
        <is>
          <t>R&amp;R TRANSPORTE E LOGISTICA</t>
        </is>
      </c>
      <c r="J3537" s="29" t="n">
        <v>107.4</v>
      </c>
      <c r="K3537" s="29">
        <f>(1-ISNUMBER(SEARCH("556",M3537)))*(O3537*SUMIFS(Premissas!$C$5:$C$44,Premissas!$A$5:$A$44,$A3537,Premissas!$B$5:$B$44,$B3537)+P3537*SUMIFS(Premissas!$D$5:$D$44,Premissas!$A$5:$A$44,$A3537,Premissas!$B$5:$B$44,$B3537))+R3537*SUMIFS(Premissas!$E$5:$E$44,Premissas!$A$5:$A$44,$A3537,Premissas!$B$5:$B$44,$B3537)+S3537*SUMIFS(Premissas!$F$5:$F$44,Premissas!$A$5:$A$44,$A3537,Premissas!$B$5:$B$44,$B3537)</f>
        <v/>
      </c>
      <c r="L3537" s="29">
        <f>J3537-K3537</f>
        <v/>
      </c>
      <c r="M3537" t="inlineStr">
        <is>
          <t>2.350</t>
        </is>
      </c>
      <c r="N3537" t="inlineStr">
        <is>
          <t>Modalidade: 0 - Por conta do remetente | Parte: EMBALAGENS RAYA COMERCIO E DISTRIBUICAO LTDA (42.748.520/0001-27)</t>
        </is>
      </c>
      <c r="O3537" s="29" t="n">
        <v>0</v>
      </c>
      <c r="P3537" s="29" t="n">
        <v>0</v>
      </c>
      <c r="Q3537" s="29" t="n">
        <v>0</v>
      </c>
      <c r="R3537" s="29" t="n">
        <v>0</v>
      </c>
      <c r="S3537" s="29" t="n">
        <v>0</v>
      </c>
      <c r="T3537" t="inlineStr">
        <is>
          <t>25260526975620000130570010000072131000010993</t>
        </is>
      </c>
      <c r="U3537" t="inlineStr">
        <is>
          <t>Não</t>
        </is>
      </c>
    </row>
    <row r="3538">
      <c r="A3538" t="inlineStr">
        <is>
          <t>Frete de venda</t>
        </is>
      </c>
      <c r="B3538" t="inlineStr">
        <is>
          <t>2.01.02 Frete sobre Vendas</t>
        </is>
      </c>
      <c r="C3538" s="30" t="n">
        <v>46143</v>
      </c>
      <c r="D3538" t="inlineStr">
        <is>
          <t>Em 2026</t>
        </is>
      </c>
      <c r="E3538" s="28" t="n">
        <v>46172</v>
      </c>
      <c r="F3538" t="inlineStr">
        <is>
          <t>CT-e</t>
        </is>
      </c>
      <c r="G3538" t="inlineStr">
        <is>
          <t>000007214</t>
        </is>
      </c>
      <c r="H3538" t="inlineStr">
        <is>
          <t>R&amp;R TRANSPORTE E LOGISTICA</t>
        </is>
      </c>
      <c r="J3538" s="29" t="n">
        <v>50</v>
      </c>
      <c r="K3538" s="29">
        <f>(1-ISNUMBER(SEARCH("556",M3538)))*(O3538*SUMIFS(Premissas!$C$5:$C$44,Premissas!$A$5:$A$44,$A3538,Premissas!$B$5:$B$44,$B3538)+P3538*SUMIFS(Premissas!$D$5:$D$44,Premissas!$A$5:$A$44,$A3538,Premissas!$B$5:$B$44,$B3538))+R3538*SUMIFS(Premissas!$E$5:$E$44,Premissas!$A$5:$A$44,$A3538,Premissas!$B$5:$B$44,$B3538)+S3538*SUMIFS(Premissas!$F$5:$F$44,Premissas!$A$5:$A$44,$A3538,Premissas!$B$5:$B$44,$B3538)</f>
        <v/>
      </c>
      <c r="L3538" s="29">
        <f>J3538-K3538</f>
        <v/>
      </c>
      <c r="M3538" t="inlineStr">
        <is>
          <t>2.350</t>
        </is>
      </c>
      <c r="N3538" t="inlineStr">
        <is>
          <t>Modalidade: 0 - Por conta do remetente | Parte: IMPERADOR DISTRIBUIDOR DE EMBALAGENS LTDA (10.575.734/0001-52)</t>
        </is>
      </c>
      <c r="O3538" s="29" t="n">
        <v>0</v>
      </c>
      <c r="P3538" s="29" t="n">
        <v>0</v>
      </c>
      <c r="Q3538" s="29" t="n">
        <v>0</v>
      </c>
      <c r="R3538" s="29" t="n">
        <v>0</v>
      </c>
      <c r="S3538" s="29" t="n">
        <v>0</v>
      </c>
      <c r="T3538" t="inlineStr">
        <is>
          <t>25260526975620000130570010000072141001801070</t>
        </is>
      </c>
      <c r="U3538" t="inlineStr">
        <is>
          <t>Não</t>
        </is>
      </c>
    </row>
    <row r="3539">
      <c r="A3539" t="inlineStr">
        <is>
          <t>Frete de venda</t>
        </is>
      </c>
      <c r="B3539" t="inlineStr">
        <is>
          <t>2.01.02 Frete sobre Vendas</t>
        </is>
      </c>
      <c r="C3539" s="30" t="n">
        <v>46143</v>
      </c>
      <c r="D3539" t="inlineStr">
        <is>
          <t>Em 2026</t>
        </is>
      </c>
      <c r="E3539" s="28" t="n">
        <v>46172</v>
      </c>
      <c r="F3539" t="inlineStr">
        <is>
          <t>CT-e</t>
        </is>
      </c>
      <c r="G3539" t="inlineStr">
        <is>
          <t>000007215</t>
        </is>
      </c>
      <c r="H3539" t="inlineStr">
        <is>
          <t>R&amp;R TRANSPORTE E LOGISTICA</t>
        </is>
      </c>
      <c r="J3539" s="29" t="n">
        <v>406.66</v>
      </c>
      <c r="K3539" s="29">
        <f>(1-ISNUMBER(SEARCH("556",M3539)))*(O3539*SUMIFS(Premissas!$C$5:$C$44,Premissas!$A$5:$A$44,$A3539,Premissas!$B$5:$B$44,$B3539)+P3539*SUMIFS(Premissas!$D$5:$D$44,Premissas!$A$5:$A$44,$A3539,Premissas!$B$5:$B$44,$B3539))+R3539*SUMIFS(Premissas!$E$5:$E$44,Premissas!$A$5:$A$44,$A3539,Premissas!$B$5:$B$44,$B3539)+S3539*SUMIFS(Premissas!$F$5:$F$44,Premissas!$A$5:$A$44,$A3539,Premissas!$B$5:$B$44,$B3539)</f>
        <v/>
      </c>
      <c r="L3539" s="29">
        <f>J3539-K3539</f>
        <v/>
      </c>
      <c r="M3539" t="inlineStr">
        <is>
          <t>2.350</t>
        </is>
      </c>
      <c r="N3539" t="inlineStr">
        <is>
          <t>Modalidade: 0 - Por conta do remetente | Parte: INDUSTRIAL E COMERCIAL ALMEIDA LTDA (02.623.537/0010-24)</t>
        </is>
      </c>
      <c r="O3539" s="29" t="n">
        <v>0</v>
      </c>
      <c r="P3539" s="29" t="n">
        <v>0</v>
      </c>
      <c r="Q3539" s="29" t="n">
        <v>0</v>
      </c>
      <c r="R3539" s="29" t="n">
        <v>0</v>
      </c>
      <c r="S3539" s="29" t="n">
        <v>0</v>
      </c>
      <c r="T3539" t="inlineStr">
        <is>
          <t>25260526975620000130570010000072151001501154</t>
        </is>
      </c>
      <c r="U3539" t="inlineStr">
        <is>
          <t>Não</t>
        </is>
      </c>
    </row>
    <row r="3540">
      <c r="A3540" t="inlineStr">
        <is>
          <t>Frete de venda</t>
        </is>
      </c>
      <c r="B3540" t="inlineStr">
        <is>
          <t>2.01.02 Frete sobre Vendas</t>
        </is>
      </c>
      <c r="C3540" s="30" t="n">
        <v>46143</v>
      </c>
      <c r="D3540" t="inlineStr">
        <is>
          <t>Em 2026</t>
        </is>
      </c>
      <c r="E3540" s="28" t="n">
        <v>46172</v>
      </c>
      <c r="F3540" t="inlineStr">
        <is>
          <t>CT-e</t>
        </is>
      </c>
      <c r="G3540" t="inlineStr">
        <is>
          <t>000007216</t>
        </is>
      </c>
      <c r="H3540" t="inlineStr">
        <is>
          <t>R&amp;R TRANSPORTE E LOGISTICA</t>
        </is>
      </c>
      <c r="J3540" s="29" t="n">
        <v>86.52</v>
      </c>
      <c r="K3540" s="29">
        <f>(1-ISNUMBER(SEARCH("556",M3540)))*(O3540*SUMIFS(Premissas!$C$5:$C$44,Premissas!$A$5:$A$44,$A3540,Premissas!$B$5:$B$44,$B3540)+P3540*SUMIFS(Premissas!$D$5:$D$44,Premissas!$A$5:$A$44,$A3540,Premissas!$B$5:$B$44,$B3540))+R3540*SUMIFS(Premissas!$E$5:$E$44,Premissas!$A$5:$A$44,$A3540,Premissas!$B$5:$B$44,$B3540)+S3540*SUMIFS(Premissas!$F$5:$F$44,Premissas!$A$5:$A$44,$A3540,Premissas!$B$5:$B$44,$B3540)</f>
        <v/>
      </c>
      <c r="L3540" s="29">
        <f>J3540-K3540</f>
        <v/>
      </c>
      <c r="M3540" t="inlineStr">
        <is>
          <t>2.350</t>
        </is>
      </c>
      <c r="N3540" t="inlineStr">
        <is>
          <t>Modalidade: 0 - Por conta do remetente | Parte: GR DOCES E EMBALAGENS LTDA (42.338.637/0001-32)</t>
        </is>
      </c>
      <c r="O3540" s="29" t="n">
        <v>0</v>
      </c>
      <c r="P3540" s="29" t="n">
        <v>0</v>
      </c>
      <c r="Q3540" s="29" t="n">
        <v>0</v>
      </c>
      <c r="R3540" s="29" t="n">
        <v>0</v>
      </c>
      <c r="S3540" s="29" t="n">
        <v>0</v>
      </c>
      <c r="T3540" t="inlineStr">
        <is>
          <t>25260526975620000130570010000072161000160504</t>
        </is>
      </c>
      <c r="U3540" t="inlineStr">
        <is>
          <t>Não</t>
        </is>
      </c>
    </row>
    <row r="3541">
      <c r="A3541" t="inlineStr">
        <is>
          <t>Frete de venda</t>
        </is>
      </c>
      <c r="B3541" t="inlineStr">
        <is>
          <t>2.01.02 Frete sobre Vendas</t>
        </is>
      </c>
      <c r="C3541" s="30" t="n">
        <v>46143</v>
      </c>
      <c r="D3541" t="inlineStr">
        <is>
          <t>Em 2026</t>
        </is>
      </c>
      <c r="E3541" s="28" t="n">
        <v>46172</v>
      </c>
      <c r="F3541" t="inlineStr">
        <is>
          <t>CT-e</t>
        </is>
      </c>
      <c r="G3541" t="inlineStr">
        <is>
          <t>000007217</t>
        </is>
      </c>
      <c r="H3541" t="inlineStr">
        <is>
          <t>R&amp;R TRANSPORTE E LOGISTICA</t>
        </is>
      </c>
      <c r="J3541" s="29" t="n">
        <v>260.3</v>
      </c>
      <c r="K3541" s="29">
        <f>(1-ISNUMBER(SEARCH("556",M3541)))*(O3541*SUMIFS(Premissas!$C$5:$C$44,Premissas!$A$5:$A$44,$A3541,Premissas!$B$5:$B$44,$B3541)+P3541*SUMIFS(Premissas!$D$5:$D$44,Premissas!$A$5:$A$44,$A3541,Premissas!$B$5:$B$44,$B3541))+R3541*SUMIFS(Premissas!$E$5:$E$44,Premissas!$A$5:$A$44,$A3541,Premissas!$B$5:$B$44,$B3541)+S3541*SUMIFS(Premissas!$F$5:$F$44,Premissas!$A$5:$A$44,$A3541,Premissas!$B$5:$B$44,$B3541)</f>
        <v/>
      </c>
      <c r="L3541" s="29">
        <f>J3541-K3541</f>
        <v/>
      </c>
      <c r="M3541" t="inlineStr">
        <is>
          <t>2.350</t>
        </is>
      </c>
      <c r="N3541" t="inlineStr">
        <is>
          <t>Modalidade: 0 - Por conta do remetente | Parte: COMERCIAL CARAPA DE SECOS E MOLHADOS LTDA (03.790.904/0002-37)</t>
        </is>
      </c>
      <c r="O3541" s="29" t="n">
        <v>0</v>
      </c>
      <c r="P3541" s="29" t="n">
        <v>0</v>
      </c>
      <c r="Q3541" s="29" t="n">
        <v>0</v>
      </c>
      <c r="R3541" s="29" t="n">
        <v>0</v>
      </c>
      <c r="S3541" s="29" t="n">
        <v>0</v>
      </c>
      <c r="T3541" t="inlineStr">
        <is>
          <t>25260526975620000130570010000072171000130580</t>
        </is>
      </c>
      <c r="U3541" t="inlineStr">
        <is>
          <t>Não</t>
        </is>
      </c>
    </row>
    <row r="3542">
      <c r="A3542" t="inlineStr">
        <is>
          <t>Frete de venda</t>
        </is>
      </c>
      <c r="B3542" t="inlineStr">
        <is>
          <t>2.01.02 Frete sobre Vendas</t>
        </is>
      </c>
      <c r="C3542" s="30" t="n">
        <v>46143</v>
      </c>
      <c r="D3542" t="inlineStr">
        <is>
          <t>Em 2026</t>
        </is>
      </c>
      <c r="E3542" s="28" t="n">
        <v>46172</v>
      </c>
      <c r="F3542" t="inlineStr">
        <is>
          <t>CT-e</t>
        </is>
      </c>
      <c r="G3542" t="inlineStr">
        <is>
          <t>000007218</t>
        </is>
      </c>
      <c r="H3542" t="inlineStr">
        <is>
          <t>R&amp;R TRANSPORTE E LOGISTICA</t>
        </is>
      </c>
      <c r="J3542" s="29" t="n">
        <v>133.8</v>
      </c>
      <c r="K3542" s="29">
        <f>(1-ISNUMBER(SEARCH("556",M3542)))*(O3542*SUMIFS(Premissas!$C$5:$C$44,Premissas!$A$5:$A$44,$A3542,Premissas!$B$5:$B$44,$B3542)+P3542*SUMIFS(Premissas!$D$5:$D$44,Premissas!$A$5:$A$44,$A3542,Premissas!$B$5:$B$44,$B3542))+R3542*SUMIFS(Premissas!$E$5:$E$44,Premissas!$A$5:$A$44,$A3542,Premissas!$B$5:$B$44,$B3542)+S3542*SUMIFS(Premissas!$F$5:$F$44,Premissas!$A$5:$A$44,$A3542,Premissas!$B$5:$B$44,$B3542)</f>
        <v/>
      </c>
      <c r="L3542" s="29">
        <f>J3542-K3542</f>
        <v/>
      </c>
      <c r="M3542" t="inlineStr">
        <is>
          <t>2.350</t>
        </is>
      </c>
      <c r="N3542" t="inlineStr">
        <is>
          <t>Modalidade: 0 - Por conta do remetente | Parte: BEIRA RIO COMERCIO DE EMBALAGENS LTDA (34.018.326/0001-68)</t>
        </is>
      </c>
      <c r="O3542" s="29" t="n">
        <v>0</v>
      </c>
      <c r="P3542" s="29" t="n">
        <v>0</v>
      </c>
      <c r="Q3542" s="29" t="n">
        <v>0</v>
      </c>
      <c r="R3542" s="29" t="n">
        <v>0</v>
      </c>
      <c r="S3542" s="29" t="n">
        <v>0</v>
      </c>
      <c r="T3542" t="inlineStr">
        <is>
          <t>25260526975620000130570010000072181000010663</t>
        </is>
      </c>
      <c r="U3542" t="inlineStr">
        <is>
          <t>Não</t>
        </is>
      </c>
    </row>
    <row r="3543">
      <c r="A3543" t="inlineStr">
        <is>
          <t>Frete de venda</t>
        </is>
      </c>
      <c r="B3543" t="inlineStr">
        <is>
          <t>2.01.02 Frete sobre Vendas</t>
        </is>
      </c>
      <c r="C3543" s="30" t="n">
        <v>46143</v>
      </c>
      <c r="D3543" t="inlineStr">
        <is>
          <t>Em 2026</t>
        </is>
      </c>
      <c r="E3543" s="28" t="n">
        <v>46172</v>
      </c>
      <c r="F3543" t="inlineStr">
        <is>
          <t>CT-e</t>
        </is>
      </c>
      <c r="G3543" t="inlineStr">
        <is>
          <t>000007219</t>
        </is>
      </c>
      <c r="H3543" t="inlineStr">
        <is>
          <t>R&amp;R TRANSPORTE E LOGISTICA</t>
        </is>
      </c>
      <c r="J3543" s="29" t="n">
        <v>64.45</v>
      </c>
      <c r="K3543" s="29">
        <f>(1-ISNUMBER(SEARCH("556",M3543)))*(O3543*SUMIFS(Premissas!$C$5:$C$44,Premissas!$A$5:$A$44,$A3543,Premissas!$B$5:$B$44,$B3543)+P3543*SUMIFS(Premissas!$D$5:$D$44,Premissas!$A$5:$A$44,$A3543,Premissas!$B$5:$B$44,$B3543))+R3543*SUMIFS(Premissas!$E$5:$E$44,Premissas!$A$5:$A$44,$A3543,Premissas!$B$5:$B$44,$B3543)+S3543*SUMIFS(Premissas!$F$5:$F$44,Premissas!$A$5:$A$44,$A3543,Premissas!$B$5:$B$44,$B3543)</f>
        <v/>
      </c>
      <c r="L3543" s="29">
        <f>J3543-K3543</f>
        <v/>
      </c>
      <c r="M3543" t="inlineStr">
        <is>
          <t>2.350</t>
        </is>
      </c>
      <c r="N3543" t="inlineStr">
        <is>
          <t>Modalidade: 0 - Por conta do remetente | Parte: C. G. L CASA FORTE LTDA (49.610.263/0001-01)</t>
        </is>
      </c>
      <c r="O3543" s="29" t="n">
        <v>0</v>
      </c>
      <c r="P3543" s="29" t="n">
        <v>0</v>
      </c>
      <c r="Q3543" s="29" t="n">
        <v>0</v>
      </c>
      <c r="R3543" s="29" t="n">
        <v>0</v>
      </c>
      <c r="S3543" s="29" t="n">
        <v>0</v>
      </c>
      <c r="T3543" t="inlineStr">
        <is>
          <t>25260526975620000130570010000072191000180744</t>
        </is>
      </c>
      <c r="U3543" t="inlineStr">
        <is>
          <t>Não</t>
        </is>
      </c>
    </row>
    <row r="3544">
      <c r="A3544" t="inlineStr">
        <is>
          <t>Frete de venda</t>
        </is>
      </c>
      <c r="B3544" t="inlineStr">
        <is>
          <t>2.01.02 Frete sobre Vendas</t>
        </is>
      </c>
      <c r="C3544" s="30" t="n">
        <v>46143</v>
      </c>
      <c r="D3544" t="inlineStr">
        <is>
          <t>Em 2026</t>
        </is>
      </c>
      <c r="E3544" s="28" t="n">
        <v>46172</v>
      </c>
      <c r="F3544" t="inlineStr">
        <is>
          <t>CT-e</t>
        </is>
      </c>
      <c r="G3544" t="inlineStr">
        <is>
          <t>000007220</t>
        </is>
      </c>
      <c r="H3544" t="inlineStr">
        <is>
          <t>R&amp;R TRANSPORTE E LOGISTICA</t>
        </is>
      </c>
      <c r="J3544" s="29" t="n">
        <v>71.34999999999999</v>
      </c>
      <c r="K3544" s="29">
        <f>(1-ISNUMBER(SEARCH("556",M3544)))*(O3544*SUMIFS(Premissas!$C$5:$C$44,Premissas!$A$5:$A$44,$A3544,Premissas!$B$5:$B$44,$B3544)+P3544*SUMIFS(Premissas!$D$5:$D$44,Premissas!$A$5:$A$44,$A3544,Premissas!$B$5:$B$44,$B3544))+R3544*SUMIFS(Premissas!$E$5:$E$44,Premissas!$A$5:$A$44,$A3544,Premissas!$B$5:$B$44,$B3544)+S3544*SUMIFS(Premissas!$F$5:$F$44,Premissas!$A$5:$A$44,$A3544,Premissas!$B$5:$B$44,$B3544)</f>
        <v/>
      </c>
      <c r="L3544" s="29">
        <f>J3544-K3544</f>
        <v/>
      </c>
      <c r="M3544" t="inlineStr">
        <is>
          <t>2.350</t>
        </is>
      </c>
      <c r="N3544" t="inlineStr">
        <is>
          <t>Modalidade: 0 - Por conta do remetente | Parte: MATOS EMBALAGENS COMERCIO LTDA (01.888.718/0001-29)</t>
        </is>
      </c>
      <c r="O3544" s="29" t="n">
        <v>0</v>
      </c>
      <c r="P3544" s="29" t="n">
        <v>0</v>
      </c>
      <c r="Q3544" s="29" t="n">
        <v>0</v>
      </c>
      <c r="R3544" s="29" t="n">
        <v>0</v>
      </c>
      <c r="S3544" s="29" t="n">
        <v>0</v>
      </c>
      <c r="T3544" t="inlineStr">
        <is>
          <t>25260526975620000130570010000072201000150820</t>
        </is>
      </c>
      <c r="U3544" t="inlineStr">
        <is>
          <t>Não</t>
        </is>
      </c>
    </row>
    <row r="3545">
      <c r="A3545" t="inlineStr">
        <is>
          <t>Frete de venda</t>
        </is>
      </c>
      <c r="B3545" t="inlineStr">
        <is>
          <t>2.01.02 Frete sobre Vendas</t>
        </is>
      </c>
      <c r="C3545" s="30" t="n">
        <v>46143</v>
      </c>
      <c r="D3545" t="inlineStr">
        <is>
          <t>Em 2026</t>
        </is>
      </c>
      <c r="E3545" s="28" t="n">
        <v>46172</v>
      </c>
      <c r="F3545" t="inlineStr">
        <is>
          <t>CT-e</t>
        </is>
      </c>
      <c r="G3545" t="inlineStr">
        <is>
          <t>000007221</t>
        </is>
      </c>
      <c r="H3545" t="inlineStr">
        <is>
          <t>R&amp;R TRANSPORTE E LOGISTICA</t>
        </is>
      </c>
      <c r="J3545" s="29" t="n">
        <v>30</v>
      </c>
      <c r="K3545" s="29">
        <f>(1-ISNUMBER(SEARCH("556",M3545)))*(O3545*SUMIFS(Premissas!$C$5:$C$44,Premissas!$A$5:$A$44,$A3545,Premissas!$B$5:$B$44,$B3545)+P3545*SUMIFS(Premissas!$D$5:$D$44,Premissas!$A$5:$A$44,$A3545,Premissas!$B$5:$B$44,$B3545))+R3545*SUMIFS(Premissas!$E$5:$E$44,Premissas!$A$5:$A$44,$A3545,Premissas!$B$5:$B$44,$B3545)+S3545*SUMIFS(Premissas!$F$5:$F$44,Premissas!$A$5:$A$44,$A3545,Premissas!$B$5:$B$44,$B3545)</f>
        <v/>
      </c>
      <c r="L3545" s="29">
        <f>J3545-K3545</f>
        <v/>
      </c>
      <c r="M3545" t="inlineStr">
        <is>
          <t>2.350</t>
        </is>
      </c>
      <c r="N3545" t="inlineStr">
        <is>
          <t>Modalidade: 0 - Por conta do remetente | Parte: M. ARTHUR LEITE DE MELO LTDA (31.551.324/0001-41)</t>
        </is>
      </c>
      <c r="O3545" s="29" t="n">
        <v>0</v>
      </c>
      <c r="P3545" s="29" t="n">
        <v>0</v>
      </c>
      <c r="Q3545" s="29" t="n">
        <v>0</v>
      </c>
      <c r="R3545" s="29" t="n">
        <v>0</v>
      </c>
      <c r="S3545" s="29" t="n">
        <v>0</v>
      </c>
      <c r="T3545" t="inlineStr">
        <is>
          <t>25260526975620000130570010000072211000120901</t>
        </is>
      </c>
      <c r="U3545" t="inlineStr">
        <is>
          <t>Não</t>
        </is>
      </c>
    </row>
    <row r="3546">
      <c r="A3546" t="inlineStr">
        <is>
          <t>Frete de venda</t>
        </is>
      </c>
      <c r="B3546" t="inlineStr">
        <is>
          <t>2.01.02 Frete sobre Vendas</t>
        </is>
      </c>
      <c r="C3546" s="30" t="n">
        <v>46143</v>
      </c>
      <c r="D3546" t="inlineStr">
        <is>
          <t>Em 2026</t>
        </is>
      </c>
      <c r="E3546" s="28" t="n">
        <v>46172</v>
      </c>
      <c r="F3546" t="inlineStr">
        <is>
          <t>CT-e</t>
        </is>
      </c>
      <c r="G3546" t="inlineStr">
        <is>
          <t>000007223</t>
        </is>
      </c>
      <c r="H3546" t="inlineStr">
        <is>
          <t>R&amp;R TRANSPORTE E LOGISTICA</t>
        </is>
      </c>
      <c r="J3546" s="29" t="n">
        <v>49.2</v>
      </c>
      <c r="K3546" s="29">
        <f>(1-ISNUMBER(SEARCH("556",M3546)))*(O3546*SUMIFS(Premissas!$C$5:$C$44,Premissas!$A$5:$A$44,$A3546,Premissas!$B$5:$B$44,$B3546)+P3546*SUMIFS(Premissas!$D$5:$D$44,Premissas!$A$5:$A$44,$A3546,Premissas!$B$5:$B$44,$B3546))+R3546*SUMIFS(Premissas!$E$5:$E$44,Premissas!$A$5:$A$44,$A3546,Premissas!$B$5:$B$44,$B3546)+S3546*SUMIFS(Premissas!$F$5:$F$44,Premissas!$A$5:$A$44,$A3546,Premissas!$B$5:$B$44,$B3546)</f>
        <v/>
      </c>
      <c r="L3546" s="29">
        <f>J3546-K3546</f>
        <v/>
      </c>
      <c r="M3546" t="inlineStr">
        <is>
          <t>2.350</t>
        </is>
      </c>
      <c r="N3546" t="inlineStr">
        <is>
          <t>Modalidade: 0 - Por conta do remetente | Parte: ALICAMBRA IMPORTACAO E EXPORTACAO DE INGREDIENTES E SUPRIMEN (52.991.907/0001-63)</t>
        </is>
      </c>
      <c r="O3546" s="29" t="n">
        <v>0</v>
      </c>
      <c r="P3546" s="29" t="n">
        <v>0</v>
      </c>
      <c r="Q3546" s="29" t="n">
        <v>0</v>
      </c>
      <c r="R3546" s="29" t="n">
        <v>0</v>
      </c>
      <c r="S3546" s="29" t="n">
        <v>0</v>
      </c>
      <c r="T3546" t="inlineStr">
        <is>
          <t>25260526975620000130570010000072231001701066</t>
        </is>
      </c>
      <c r="U3546" t="inlineStr">
        <is>
          <t>Não</t>
        </is>
      </c>
    </row>
    <row r="3547">
      <c r="A3547" t="inlineStr">
        <is>
          <t>Frete de venda</t>
        </is>
      </c>
      <c r="B3547" t="inlineStr">
        <is>
          <t>2.01.02 Frete sobre Vendas</t>
        </is>
      </c>
      <c r="C3547" s="30" t="n">
        <v>46143</v>
      </c>
      <c r="D3547" t="inlineStr">
        <is>
          <t>Em 2026</t>
        </is>
      </c>
      <c r="E3547" s="28" t="n">
        <v>46172</v>
      </c>
      <c r="F3547" t="inlineStr">
        <is>
          <t>CT-e</t>
        </is>
      </c>
      <c r="G3547" t="inlineStr">
        <is>
          <t>000007224</t>
        </is>
      </c>
      <c r="H3547" t="inlineStr">
        <is>
          <t>R&amp;R TRANSPORTE E LOGISTICA</t>
        </is>
      </c>
      <c r="J3547" s="29" t="n">
        <v>99.15000000000001</v>
      </c>
      <c r="K3547" s="29">
        <f>(1-ISNUMBER(SEARCH("556",M3547)))*(O3547*SUMIFS(Premissas!$C$5:$C$44,Premissas!$A$5:$A$44,$A3547,Premissas!$B$5:$B$44,$B3547)+P3547*SUMIFS(Premissas!$D$5:$D$44,Premissas!$A$5:$A$44,$A3547,Premissas!$B$5:$B$44,$B3547))+R3547*SUMIFS(Premissas!$E$5:$E$44,Premissas!$A$5:$A$44,$A3547,Premissas!$B$5:$B$44,$B3547)+S3547*SUMIFS(Premissas!$F$5:$F$44,Premissas!$A$5:$A$44,$A3547,Premissas!$B$5:$B$44,$B3547)</f>
        <v/>
      </c>
      <c r="L3547" s="29">
        <f>J3547-K3547</f>
        <v/>
      </c>
      <c r="M3547" t="inlineStr">
        <is>
          <t>2.350</t>
        </is>
      </c>
      <c r="N3547" t="inlineStr">
        <is>
          <t>Modalidade: 0 - Por conta do remetente | Parte: ANDRE FERREIRA DE ARAUJO (16.954.088/0001-10)</t>
        </is>
      </c>
      <c r="O3547" s="29" t="n">
        <v>0</v>
      </c>
      <c r="P3547" s="29" t="n">
        <v>0</v>
      </c>
      <c r="Q3547" s="29" t="n">
        <v>0</v>
      </c>
      <c r="R3547" s="29" t="n">
        <v>0</v>
      </c>
      <c r="S3547" s="29" t="n">
        <v>0</v>
      </c>
      <c r="T3547" t="inlineStr">
        <is>
          <t>25260526975620000130570010000072241001401140</t>
        </is>
      </c>
      <c r="U3547" t="inlineStr">
        <is>
          <t>Não</t>
        </is>
      </c>
    </row>
    <row r="3548">
      <c r="A3548" t="inlineStr">
        <is>
          <t>Frete de venda</t>
        </is>
      </c>
      <c r="B3548" t="inlineStr">
        <is>
          <t>2.01.02 Frete sobre Vendas</t>
        </is>
      </c>
      <c r="C3548" s="30" t="n">
        <v>46143</v>
      </c>
      <c r="D3548" t="inlineStr">
        <is>
          <t>Em 2026</t>
        </is>
      </c>
      <c r="E3548" s="28" t="n">
        <v>46172</v>
      </c>
      <c r="F3548" t="inlineStr">
        <is>
          <t>CT-e</t>
        </is>
      </c>
      <c r="G3548" t="inlineStr">
        <is>
          <t>000007225</t>
        </is>
      </c>
      <c r="H3548" t="inlineStr">
        <is>
          <t>R&amp;R TRANSPORTE E LOGISTICA</t>
        </is>
      </c>
      <c r="J3548" s="29" t="n">
        <v>72.40000000000001</v>
      </c>
      <c r="K3548" s="29">
        <f>(1-ISNUMBER(SEARCH("556",M3548)))*(O3548*SUMIFS(Premissas!$C$5:$C$44,Premissas!$A$5:$A$44,$A3548,Premissas!$B$5:$B$44,$B3548)+P3548*SUMIFS(Premissas!$D$5:$D$44,Premissas!$A$5:$A$44,$A3548,Premissas!$B$5:$B$44,$B3548))+R3548*SUMIFS(Premissas!$E$5:$E$44,Premissas!$A$5:$A$44,$A3548,Premissas!$B$5:$B$44,$B3548)+S3548*SUMIFS(Premissas!$F$5:$F$44,Premissas!$A$5:$A$44,$A3548,Premissas!$B$5:$B$44,$B3548)</f>
        <v/>
      </c>
      <c r="L3548" s="29">
        <f>J3548-K3548</f>
        <v/>
      </c>
      <c r="M3548" t="inlineStr">
        <is>
          <t>2.350</t>
        </is>
      </c>
      <c r="N3548" t="inlineStr">
        <is>
          <t>Modalidade: 0 - Por conta do remetente | Parte: COMERCIO DE ALIMENTOS ANHANDUI LTDA (10.602.507/0001-79)</t>
        </is>
      </c>
      <c r="O3548" s="29" t="n">
        <v>0</v>
      </c>
      <c r="P3548" s="29" t="n">
        <v>0</v>
      </c>
      <c r="Q3548" s="29" t="n">
        <v>0</v>
      </c>
      <c r="R3548" s="29" t="n">
        <v>0</v>
      </c>
      <c r="S3548" s="29" t="n">
        <v>0</v>
      </c>
      <c r="T3548" t="inlineStr">
        <is>
          <t>25260526975620000130570010000072251001101225</t>
        </is>
      </c>
      <c r="U3548" t="inlineStr">
        <is>
          <t>Não</t>
        </is>
      </c>
    </row>
    <row r="3549">
      <c r="A3549" t="inlineStr">
        <is>
          <t>Frete de venda</t>
        </is>
      </c>
      <c r="B3549" t="inlineStr">
        <is>
          <t>2.01.02 Frete sobre Vendas</t>
        </is>
      </c>
      <c r="C3549" s="30" t="n">
        <v>46143</v>
      </c>
      <c r="D3549" t="inlineStr">
        <is>
          <t>Em 2026</t>
        </is>
      </c>
      <c r="E3549" s="28" t="n">
        <v>46172</v>
      </c>
      <c r="F3549" t="inlineStr">
        <is>
          <t>CT-e</t>
        </is>
      </c>
      <c r="G3549" t="inlineStr">
        <is>
          <t>000007226</t>
        </is>
      </c>
      <c r="H3549" t="inlineStr">
        <is>
          <t>R&amp;R TRANSPORTE E LOGISTICA</t>
        </is>
      </c>
      <c r="J3549" s="29" t="n">
        <v>72.40000000000001</v>
      </c>
      <c r="K3549" s="29">
        <f>(1-ISNUMBER(SEARCH("556",M3549)))*(O3549*SUMIFS(Premissas!$C$5:$C$44,Premissas!$A$5:$A$44,$A3549,Premissas!$B$5:$B$44,$B3549)+P3549*SUMIFS(Premissas!$D$5:$D$44,Premissas!$A$5:$A$44,$A3549,Premissas!$B$5:$B$44,$B3549))+R3549*SUMIFS(Premissas!$E$5:$E$44,Premissas!$A$5:$A$44,$A3549,Premissas!$B$5:$B$44,$B3549)+S3549*SUMIFS(Premissas!$F$5:$F$44,Premissas!$A$5:$A$44,$A3549,Premissas!$B$5:$B$44,$B3549)</f>
        <v/>
      </c>
      <c r="L3549" s="29">
        <f>J3549-K3549</f>
        <v/>
      </c>
      <c r="M3549" t="inlineStr">
        <is>
          <t>2.350</t>
        </is>
      </c>
      <c r="N3549" t="inlineStr">
        <is>
          <t>Modalidade: 0 - Por conta do remetente | Parte: EDIVAL FRANCISCO TAVARES LTDA (47.351.368/0001-68)</t>
        </is>
      </c>
      <c r="O3549" s="29" t="n">
        <v>0</v>
      </c>
      <c r="P3549" s="29" t="n">
        <v>0</v>
      </c>
      <c r="Q3549" s="29" t="n">
        <v>0</v>
      </c>
      <c r="R3549" s="29" t="n">
        <v>0</v>
      </c>
      <c r="S3549" s="29" t="n">
        <v>0</v>
      </c>
      <c r="T3549" t="inlineStr">
        <is>
          <t>25260526975620000130570010000072261000120576</t>
        </is>
      </c>
      <c r="U3549" t="inlineStr">
        <is>
          <t>Não</t>
        </is>
      </c>
    </row>
    <row r="3550">
      <c r="A3550" t="inlineStr">
        <is>
          <t>Frete de venda</t>
        </is>
      </c>
      <c r="B3550" t="inlineStr">
        <is>
          <t>2.01.02 Frete sobre Vendas</t>
        </is>
      </c>
      <c r="C3550" s="30" t="n">
        <v>46143</v>
      </c>
      <c r="D3550" t="inlineStr">
        <is>
          <t>Em 2026</t>
        </is>
      </c>
      <c r="E3550" s="28" t="n">
        <v>46172</v>
      </c>
      <c r="F3550" t="inlineStr">
        <is>
          <t>CT-e</t>
        </is>
      </c>
      <c r="G3550" t="inlineStr">
        <is>
          <t>000007227</t>
        </is>
      </c>
      <c r="H3550" t="inlineStr">
        <is>
          <t>R&amp;R TRANSPORTE E LOGISTICA</t>
        </is>
      </c>
      <c r="J3550" s="29" t="n">
        <v>36.4</v>
      </c>
      <c r="K3550" s="29">
        <f>(1-ISNUMBER(SEARCH("556",M3550)))*(O3550*SUMIFS(Premissas!$C$5:$C$44,Premissas!$A$5:$A$44,$A3550,Premissas!$B$5:$B$44,$B3550)+P3550*SUMIFS(Premissas!$D$5:$D$44,Premissas!$A$5:$A$44,$A3550,Premissas!$B$5:$B$44,$B3550))+R3550*SUMIFS(Premissas!$E$5:$E$44,Premissas!$A$5:$A$44,$A3550,Premissas!$B$5:$B$44,$B3550)+S3550*SUMIFS(Premissas!$F$5:$F$44,Premissas!$A$5:$A$44,$A3550,Premissas!$B$5:$B$44,$B3550)</f>
        <v/>
      </c>
      <c r="L3550" s="29">
        <f>J3550-K3550</f>
        <v/>
      </c>
      <c r="M3550" t="inlineStr">
        <is>
          <t>2.350</t>
        </is>
      </c>
      <c r="N3550" t="inlineStr">
        <is>
          <t>Modalidade: 0 - Por conta do remetente | Parte: SIDRO EMBALAGENS LTDA (11.897.285/0001-21)</t>
        </is>
      </c>
      <c r="O3550" s="29" t="n">
        <v>0</v>
      </c>
      <c r="P3550" s="29" t="n">
        <v>0</v>
      </c>
      <c r="Q3550" s="29" t="n">
        <v>0</v>
      </c>
      <c r="R3550" s="29" t="n">
        <v>0</v>
      </c>
      <c r="S3550" s="29" t="n">
        <v>0</v>
      </c>
      <c r="T3550" t="inlineStr">
        <is>
          <t>25260526975620000130570010000072271001100657</t>
        </is>
      </c>
      <c r="U3550" t="inlineStr">
        <is>
          <t>Não</t>
        </is>
      </c>
    </row>
    <row r="3551">
      <c r="A3551" t="inlineStr">
        <is>
          <t>Frete de venda</t>
        </is>
      </c>
      <c r="B3551" t="inlineStr">
        <is>
          <t>2.01.02 Frete sobre Vendas</t>
        </is>
      </c>
      <c r="C3551" s="30" t="n">
        <v>46143</v>
      </c>
      <c r="D3551" t="inlineStr">
        <is>
          <t>Em 2026</t>
        </is>
      </c>
      <c r="E3551" s="28" t="n">
        <v>46172</v>
      </c>
      <c r="F3551" t="inlineStr">
        <is>
          <t>CT-e</t>
        </is>
      </c>
      <c r="G3551" t="inlineStr">
        <is>
          <t>000007228</t>
        </is>
      </c>
      <c r="H3551" t="inlineStr">
        <is>
          <t>R&amp;R TRANSPORTE E LOGISTICA</t>
        </is>
      </c>
      <c r="J3551" s="29" t="n">
        <v>92.5</v>
      </c>
      <c r="K3551" s="29">
        <f>(1-ISNUMBER(SEARCH("556",M3551)))*(O3551*SUMIFS(Premissas!$C$5:$C$44,Premissas!$A$5:$A$44,$A3551,Premissas!$B$5:$B$44,$B3551)+P3551*SUMIFS(Premissas!$D$5:$D$44,Premissas!$A$5:$A$44,$A3551,Premissas!$B$5:$B$44,$B3551))+R3551*SUMIFS(Premissas!$E$5:$E$44,Premissas!$A$5:$A$44,$A3551,Premissas!$B$5:$B$44,$B3551)+S3551*SUMIFS(Premissas!$F$5:$F$44,Premissas!$A$5:$A$44,$A3551,Premissas!$B$5:$B$44,$B3551)</f>
        <v/>
      </c>
      <c r="L3551" s="29">
        <f>J3551-K3551</f>
        <v/>
      </c>
      <c r="M3551" t="inlineStr">
        <is>
          <t>2.350</t>
        </is>
      </c>
      <c r="N3551" t="inlineStr">
        <is>
          <t>Modalidade: 0 - Por conta do remetente | Parte: COMERCIAL FENIX ALIMENTOS LTDA (04.364.799/0001-56)</t>
        </is>
      </c>
      <c r="O3551" s="29" t="n">
        <v>0</v>
      </c>
      <c r="P3551" s="29" t="n">
        <v>0</v>
      </c>
      <c r="Q3551" s="29" t="n">
        <v>0</v>
      </c>
      <c r="R3551" s="29" t="n">
        <v>0</v>
      </c>
      <c r="S3551" s="29" t="n">
        <v>0</v>
      </c>
      <c r="T3551" t="inlineStr">
        <is>
          <t>25260526975620000130570010000072281000170730</t>
        </is>
      </c>
      <c r="U3551" t="inlineStr">
        <is>
          <t>Não</t>
        </is>
      </c>
    </row>
    <row r="3552">
      <c r="A3552" t="inlineStr">
        <is>
          <t>Frete de venda</t>
        </is>
      </c>
      <c r="B3552" t="inlineStr">
        <is>
          <t>2.01.02 Frete sobre Vendas</t>
        </is>
      </c>
      <c r="C3552" s="30" t="n">
        <v>46143</v>
      </c>
      <c r="D3552" t="inlineStr">
        <is>
          <t>Em 2026</t>
        </is>
      </c>
      <c r="E3552" s="28" t="n">
        <v>46172</v>
      </c>
      <c r="F3552" t="inlineStr">
        <is>
          <t>CT-e</t>
        </is>
      </c>
      <c r="G3552" t="inlineStr">
        <is>
          <t>000007229</t>
        </is>
      </c>
      <c r="H3552" t="inlineStr">
        <is>
          <t>R&amp;R TRANSPORTE E LOGISTICA</t>
        </is>
      </c>
      <c r="J3552" s="29" t="n">
        <v>32</v>
      </c>
      <c r="K3552" s="29">
        <f>(1-ISNUMBER(SEARCH("556",M3552)))*(O3552*SUMIFS(Premissas!$C$5:$C$44,Premissas!$A$5:$A$44,$A3552,Premissas!$B$5:$B$44,$B3552)+P3552*SUMIFS(Premissas!$D$5:$D$44,Premissas!$A$5:$A$44,$A3552,Premissas!$B$5:$B$44,$B3552))+R3552*SUMIFS(Premissas!$E$5:$E$44,Premissas!$A$5:$A$44,$A3552,Premissas!$B$5:$B$44,$B3552)+S3552*SUMIFS(Premissas!$F$5:$F$44,Premissas!$A$5:$A$44,$A3552,Premissas!$B$5:$B$44,$B3552)</f>
        <v/>
      </c>
      <c r="L3552" s="29">
        <f>J3552-K3552</f>
        <v/>
      </c>
      <c r="M3552" t="inlineStr">
        <is>
          <t>2.350</t>
        </is>
      </c>
      <c r="N3552" t="inlineStr">
        <is>
          <t>Modalidade: 0 - Por conta do remetente | Parte: ALICAMBRA IMPORTACAO E EXPORTACAO DE INGREDIENTES E SUPRIMEN (52.991.907/0001-63)</t>
        </is>
      </c>
      <c r="O3552" s="29" t="n">
        <v>0</v>
      </c>
      <c r="P3552" s="29" t="n">
        <v>0</v>
      </c>
      <c r="Q3552" s="29" t="n">
        <v>0</v>
      </c>
      <c r="R3552" s="29" t="n">
        <v>0</v>
      </c>
      <c r="S3552" s="29" t="n">
        <v>0</v>
      </c>
      <c r="T3552" t="inlineStr">
        <is>
          <t>25260526975620000130570010000072291000140811</t>
        </is>
      </c>
      <c r="U3552" t="inlineStr">
        <is>
          <t>Não</t>
        </is>
      </c>
    </row>
    <row r="3553">
      <c r="A3553" t="inlineStr">
        <is>
          <t>Frete de venda</t>
        </is>
      </c>
      <c r="B3553" t="inlineStr">
        <is>
          <t>2.01.02 Frete sobre Vendas</t>
        </is>
      </c>
      <c r="C3553" s="30" t="n">
        <v>46143</v>
      </c>
      <c r="D3553" t="inlineStr">
        <is>
          <t>Em 2026</t>
        </is>
      </c>
      <c r="E3553" s="28" t="n">
        <v>46162</v>
      </c>
      <c r="F3553" t="inlineStr">
        <is>
          <t>CT-e</t>
        </is>
      </c>
      <c r="G3553" t="inlineStr">
        <is>
          <t>000003874</t>
        </is>
      </c>
      <c r="H3553" t="inlineStr">
        <is>
          <t>RAPIDO XAPURI TRANSPORTES E LOGISTICA LTDA</t>
        </is>
      </c>
      <c r="J3553" s="29" t="n">
        <v>5466.51</v>
      </c>
      <c r="K3553" s="29">
        <f>(1-ISNUMBER(SEARCH("556",M3553)))*(O3553*SUMIFS(Premissas!$C$5:$C$44,Premissas!$A$5:$A$44,$A3553,Premissas!$B$5:$B$44,$B3553)+P3553*SUMIFS(Premissas!$D$5:$D$44,Premissas!$A$5:$A$44,$A3553,Premissas!$B$5:$B$44,$B3553))+R3553*SUMIFS(Premissas!$E$5:$E$44,Premissas!$A$5:$A$44,$A3553,Premissas!$B$5:$B$44,$B3553)+S3553*SUMIFS(Premissas!$F$5:$F$44,Premissas!$A$5:$A$44,$A3553,Premissas!$B$5:$B$44,$B3553)</f>
        <v/>
      </c>
      <c r="L3553" s="29">
        <f>J3553-K3553</f>
        <v/>
      </c>
      <c r="M3553" t="inlineStr">
        <is>
          <t>2.350</t>
        </is>
      </c>
      <c r="N3553" t="inlineStr">
        <is>
          <t>Modalidade: 0 - Por conta do remetente | Parte: A. C. D. A. IMPORTACAO E EXPORTACAO LTDA (84.308.980/0008-50)</t>
        </is>
      </c>
      <c r="O3553" s="29" t="n">
        <v>0</v>
      </c>
      <c r="P3553" s="29" t="n">
        <v>655.98</v>
      </c>
      <c r="Q3553" s="29" t="n">
        <v>0</v>
      </c>
      <c r="R3553" s="29" t="n">
        <v>0</v>
      </c>
      <c r="S3553" s="29" t="n">
        <v>0</v>
      </c>
      <c r="T3553" t="inlineStr">
        <is>
          <t>52260527775231000557570010000038741000671890</t>
        </is>
      </c>
      <c r="U3553" t="inlineStr">
        <is>
          <t>Sim</t>
        </is>
      </c>
    </row>
    <row r="3554">
      <c r="A3554" t="inlineStr">
        <is>
          <t>Frete de venda</t>
        </is>
      </c>
      <c r="B3554" t="inlineStr">
        <is>
          <t>2.01.02 Frete sobre Vendas</t>
        </is>
      </c>
      <c r="C3554" s="30" t="n">
        <v>46143</v>
      </c>
      <c r="D3554" t="inlineStr">
        <is>
          <t>Em 2026</t>
        </is>
      </c>
      <c r="E3554" s="28" t="n">
        <v>46162</v>
      </c>
      <c r="F3554" t="inlineStr">
        <is>
          <t>CT-e</t>
        </is>
      </c>
      <c r="G3554" t="inlineStr">
        <is>
          <t>000003875</t>
        </is>
      </c>
      <c r="H3554" t="inlineStr">
        <is>
          <t>RAPIDO XAPURI TRANSPORTES E LOGISTICA LTDA</t>
        </is>
      </c>
      <c r="J3554" s="29" t="n">
        <v>1923.59</v>
      </c>
      <c r="K3554" s="29">
        <f>(1-ISNUMBER(SEARCH("556",M3554)))*(O3554*SUMIFS(Premissas!$C$5:$C$44,Premissas!$A$5:$A$44,$A3554,Premissas!$B$5:$B$44,$B3554)+P3554*SUMIFS(Premissas!$D$5:$D$44,Premissas!$A$5:$A$44,$A3554,Premissas!$B$5:$B$44,$B3554))+R3554*SUMIFS(Premissas!$E$5:$E$44,Premissas!$A$5:$A$44,$A3554,Premissas!$B$5:$B$44,$B3554)+S3554*SUMIFS(Premissas!$F$5:$F$44,Premissas!$A$5:$A$44,$A3554,Premissas!$B$5:$B$44,$B3554)</f>
        <v/>
      </c>
      <c r="L3554" s="29">
        <f>J3554-K3554</f>
        <v/>
      </c>
      <c r="M3554" t="inlineStr">
        <is>
          <t>2.350</t>
        </is>
      </c>
      <c r="N3554" t="inlineStr">
        <is>
          <t>Modalidade: 0 - Por conta do remetente | Parte: MERCANTIL DANTAS LTDA (03.581.785/0001-21)</t>
        </is>
      </c>
      <c r="O3554" s="29" t="n">
        <v>0</v>
      </c>
      <c r="P3554" s="29" t="n">
        <v>230.83</v>
      </c>
      <c r="Q3554" s="29" t="n">
        <v>0</v>
      </c>
      <c r="R3554" s="29" t="n">
        <v>0</v>
      </c>
      <c r="S3554" s="29" t="n">
        <v>0</v>
      </c>
      <c r="T3554" t="inlineStr">
        <is>
          <t>52260527775231000557570010000038751000671900</t>
        </is>
      </c>
      <c r="U3554" t="inlineStr">
        <is>
          <t>Sim</t>
        </is>
      </c>
    </row>
    <row r="3555">
      <c r="A3555" t="inlineStr">
        <is>
          <t>Frete de venda</t>
        </is>
      </c>
      <c r="B3555" t="inlineStr">
        <is>
          <t>2.01.02 Frete sobre Vendas</t>
        </is>
      </c>
      <c r="C3555" s="30" t="n">
        <v>46143</v>
      </c>
      <c r="D3555" t="inlineStr">
        <is>
          <t>Em 2026</t>
        </is>
      </c>
      <c r="E3555" s="28" t="n">
        <v>46162</v>
      </c>
      <c r="F3555" t="inlineStr">
        <is>
          <t>CT-e</t>
        </is>
      </c>
      <c r="G3555" t="inlineStr">
        <is>
          <t>000003876</t>
        </is>
      </c>
      <c r="H3555" t="inlineStr">
        <is>
          <t>RAPIDO XAPURI TRANSPORTES E LOGISTICA LTDA</t>
        </is>
      </c>
      <c r="J3555" s="29" t="n">
        <v>1980.03</v>
      </c>
      <c r="K3555" s="29">
        <f>(1-ISNUMBER(SEARCH("556",M3555)))*(O3555*SUMIFS(Premissas!$C$5:$C$44,Premissas!$A$5:$A$44,$A3555,Premissas!$B$5:$B$44,$B3555)+P3555*SUMIFS(Premissas!$D$5:$D$44,Premissas!$A$5:$A$44,$A3555,Premissas!$B$5:$B$44,$B3555))+R3555*SUMIFS(Premissas!$E$5:$E$44,Premissas!$A$5:$A$44,$A3555,Premissas!$B$5:$B$44,$B3555)+S3555*SUMIFS(Premissas!$F$5:$F$44,Premissas!$A$5:$A$44,$A3555,Premissas!$B$5:$B$44,$B3555)</f>
        <v/>
      </c>
      <c r="L3555" s="29">
        <f>J3555-K3555</f>
        <v/>
      </c>
      <c r="M3555" t="inlineStr">
        <is>
          <t>2.350</t>
        </is>
      </c>
      <c r="N3555" t="inlineStr">
        <is>
          <t>Modalidade: 0 - Por conta do remetente | Parte: L. C. DE ANDRADE LTDA (51.921.825/0001-80)</t>
        </is>
      </c>
      <c r="O3555" s="29" t="n">
        <v>0</v>
      </c>
      <c r="P3555" s="29" t="n">
        <v>237.6</v>
      </c>
      <c r="Q3555" s="29" t="n">
        <v>0</v>
      </c>
      <c r="R3555" s="29" t="n">
        <v>0</v>
      </c>
      <c r="S3555" s="29" t="n">
        <v>0</v>
      </c>
      <c r="T3555" t="inlineStr">
        <is>
          <t>52260527775231000557570010000038761000671916</t>
        </is>
      </c>
      <c r="U3555" t="inlineStr">
        <is>
          <t>Sim</t>
        </is>
      </c>
    </row>
    <row r="3556">
      <c r="A3556" t="inlineStr">
        <is>
          <t>Frete de venda</t>
        </is>
      </c>
      <c r="B3556" t="inlineStr">
        <is>
          <t>2.01.02 Frete sobre Vendas</t>
        </is>
      </c>
      <c r="C3556" s="30" t="n">
        <v>46143</v>
      </c>
      <c r="D3556" t="inlineStr">
        <is>
          <t>Em 2026</t>
        </is>
      </c>
      <c r="E3556" s="28" t="n">
        <v>46162</v>
      </c>
      <c r="F3556" t="inlineStr">
        <is>
          <t>CT-e</t>
        </is>
      </c>
      <c r="G3556" t="inlineStr">
        <is>
          <t>000003877</t>
        </is>
      </c>
      <c r="H3556" t="inlineStr">
        <is>
          <t>RAPIDO XAPURI TRANSPORTES E LOGISTICA LTDA</t>
        </is>
      </c>
      <c r="J3556" s="29" t="n">
        <v>3081.55</v>
      </c>
      <c r="K3556" s="29">
        <f>(1-ISNUMBER(SEARCH("556",M3556)))*(O3556*SUMIFS(Premissas!$C$5:$C$44,Premissas!$A$5:$A$44,$A3556,Premissas!$B$5:$B$44,$B3556)+P3556*SUMIFS(Premissas!$D$5:$D$44,Premissas!$A$5:$A$44,$A3556,Premissas!$B$5:$B$44,$B3556))+R3556*SUMIFS(Premissas!$E$5:$E$44,Premissas!$A$5:$A$44,$A3556,Premissas!$B$5:$B$44,$B3556)+S3556*SUMIFS(Premissas!$F$5:$F$44,Premissas!$A$5:$A$44,$A3556,Premissas!$B$5:$B$44,$B3556)</f>
        <v/>
      </c>
      <c r="L3556" s="29">
        <f>J3556-K3556</f>
        <v/>
      </c>
      <c r="M3556" t="inlineStr">
        <is>
          <t>2.350</t>
        </is>
      </c>
      <c r="N3556" t="inlineStr">
        <is>
          <t>Modalidade: 0 - Por conta do remetente | Parte: F. C. EMBALAGENS e SALGADINHOS (14.025.694/0001-26)</t>
        </is>
      </c>
      <c r="O3556" s="29" t="n">
        <v>0</v>
      </c>
      <c r="P3556" s="29" t="n">
        <v>369.79</v>
      </c>
      <c r="Q3556" s="29" t="n">
        <v>0</v>
      </c>
      <c r="R3556" s="29" t="n">
        <v>0</v>
      </c>
      <c r="S3556" s="29" t="n">
        <v>0</v>
      </c>
      <c r="T3556" t="inlineStr">
        <is>
          <t>52260527775231000557570010000038771000671921</t>
        </is>
      </c>
      <c r="U3556" t="inlineStr">
        <is>
          <t>Sim</t>
        </is>
      </c>
    </row>
    <row r="3557">
      <c r="A3557" t="inlineStr">
        <is>
          <t>Frete de venda</t>
        </is>
      </c>
      <c r="B3557" t="inlineStr">
        <is>
          <t>2.01.02 Frete sobre Vendas</t>
        </is>
      </c>
      <c r="C3557" s="30" t="n">
        <v>46143</v>
      </c>
      <c r="D3557" t="inlineStr">
        <is>
          <t>Em 2026</t>
        </is>
      </c>
      <c r="E3557" s="28" t="n">
        <v>46145</v>
      </c>
      <c r="F3557" t="inlineStr">
        <is>
          <t>CT-e</t>
        </is>
      </c>
      <c r="G3557" t="inlineStr">
        <is>
          <t>000000678</t>
        </is>
      </c>
      <c r="H3557" t="inlineStr">
        <is>
          <t>REIMAG - REINALDO DOMINGUES BARROS DA SILVA</t>
        </is>
      </c>
      <c r="J3557" s="29" t="n">
        <v>2800</v>
      </c>
      <c r="K3557" s="29">
        <f>(1-ISNUMBER(SEARCH("556",M3557)))*(O3557*SUMIFS(Premissas!$C$5:$C$44,Premissas!$A$5:$A$44,$A3557,Premissas!$B$5:$B$44,$B3557)+P3557*SUMIFS(Premissas!$D$5:$D$44,Premissas!$A$5:$A$44,$A3557,Premissas!$B$5:$B$44,$B3557))+R3557*SUMIFS(Premissas!$E$5:$E$44,Premissas!$A$5:$A$44,$A3557,Premissas!$B$5:$B$44,$B3557)+S3557*SUMIFS(Premissas!$F$5:$F$44,Premissas!$A$5:$A$44,$A3557,Premissas!$B$5:$B$44,$B3557)</f>
        <v/>
      </c>
      <c r="L3557" s="29">
        <f>J3557-K3557</f>
        <v/>
      </c>
      <c r="M3557" t="inlineStr">
        <is>
          <t>2.350</t>
        </is>
      </c>
      <c r="N3557" t="inlineStr">
        <is>
          <t>Modalidade: 0 - Por conta do remetente | Parte: EDIVALDO BATISTA DOS SANTOS EMBALAGENS LTDA (03.624.188/0001-37)</t>
        </is>
      </c>
      <c r="O3557" s="29" t="n">
        <v>0</v>
      </c>
      <c r="P3557" s="29" t="n">
        <v>0</v>
      </c>
      <c r="Q3557" s="29" t="n">
        <v>0</v>
      </c>
      <c r="R3557" s="29" t="n">
        <v>0</v>
      </c>
      <c r="S3557" s="29" t="n">
        <v>0</v>
      </c>
      <c r="T3557" t="inlineStr">
        <is>
          <t>25260539962724000151570010000006781192216054</t>
        </is>
      </c>
      <c r="U3557" t="inlineStr">
        <is>
          <t>Sim</t>
        </is>
      </c>
    </row>
    <row r="3558">
      <c r="A3558" t="inlineStr">
        <is>
          <t>Frete de venda</t>
        </is>
      </c>
      <c r="B3558" t="inlineStr">
        <is>
          <t>2.01.02 Frete sobre Vendas</t>
        </is>
      </c>
      <c r="C3558" s="30" t="n">
        <v>46143</v>
      </c>
      <c r="D3558" t="inlineStr">
        <is>
          <t>Em 2026</t>
        </is>
      </c>
      <c r="E3558" s="28" t="n">
        <v>46171</v>
      </c>
      <c r="F3558" t="inlineStr">
        <is>
          <t>CT-e</t>
        </is>
      </c>
      <c r="G3558" t="inlineStr">
        <is>
          <t>000045352</t>
        </is>
      </c>
      <c r="H3558" t="inlineStr">
        <is>
          <t>TRANSFORRECHI TRANSPORTES LTDA</t>
        </is>
      </c>
      <c r="J3558" s="29" t="n">
        <v>1720</v>
      </c>
      <c r="K3558" s="29">
        <f>(1-ISNUMBER(SEARCH("556",M3558)))*(O3558*SUMIFS(Premissas!$C$5:$C$44,Premissas!$A$5:$A$44,$A3558,Premissas!$B$5:$B$44,$B3558)+P3558*SUMIFS(Premissas!$D$5:$D$44,Premissas!$A$5:$A$44,$A3558,Premissas!$B$5:$B$44,$B3558))+R3558*SUMIFS(Premissas!$E$5:$E$44,Premissas!$A$5:$A$44,$A3558,Premissas!$B$5:$B$44,$B3558)+S3558*SUMIFS(Premissas!$F$5:$F$44,Premissas!$A$5:$A$44,$A3558,Premissas!$B$5:$B$44,$B3558)</f>
        <v/>
      </c>
      <c r="L3558" s="29">
        <f>J3558-K3558</f>
        <v/>
      </c>
      <c r="M3558" t="inlineStr">
        <is>
          <t>2.350</t>
        </is>
      </c>
      <c r="N3558" t="inlineStr">
        <is>
          <t>Modalidade: 0 - Por conta do remetente | Parte: SELLPACK DISTRIBUIDORA LTDA (07.747.107/0004-90)</t>
        </is>
      </c>
      <c r="O3558" s="29" t="n">
        <v>0</v>
      </c>
      <c r="P3558" s="29" t="n">
        <v>206.4</v>
      </c>
      <c r="Q3558" s="29" t="n">
        <v>0</v>
      </c>
      <c r="R3558" s="29" t="n">
        <v>0</v>
      </c>
      <c r="S3558" s="29" t="n">
        <v>0</v>
      </c>
      <c r="T3558" t="inlineStr">
        <is>
          <t>32260503710040000115570010000453521000458593</t>
        </is>
      </c>
      <c r="U3558" t="inlineStr">
        <is>
          <t>Sim</t>
        </is>
      </c>
    </row>
    <row r="3559">
      <c r="A3559" t="inlineStr">
        <is>
          <t>Frete de venda</t>
        </is>
      </c>
      <c r="B3559" t="inlineStr">
        <is>
          <t>2.01.02 Frete sobre Vendas</t>
        </is>
      </c>
      <c r="C3559" s="30" t="n">
        <v>46143</v>
      </c>
      <c r="D3559" t="inlineStr">
        <is>
          <t>Em 2026</t>
        </is>
      </c>
      <c r="E3559" s="28" t="n">
        <v>46171</v>
      </c>
      <c r="F3559" t="inlineStr">
        <is>
          <t>CT-e</t>
        </is>
      </c>
      <c r="G3559" t="inlineStr">
        <is>
          <t>000045353</t>
        </is>
      </c>
      <c r="H3559" t="inlineStr">
        <is>
          <t>TRANSFORRECHI TRANSPORTES LTDA</t>
        </is>
      </c>
      <c r="J3559" s="29" t="n">
        <v>60</v>
      </c>
      <c r="K3559" s="29">
        <f>(1-ISNUMBER(SEARCH("556",M3559)))*(O3559*SUMIFS(Premissas!$C$5:$C$44,Premissas!$A$5:$A$44,$A3559,Premissas!$B$5:$B$44,$B3559)+P3559*SUMIFS(Premissas!$D$5:$D$44,Premissas!$A$5:$A$44,$A3559,Premissas!$B$5:$B$44,$B3559))+R3559*SUMIFS(Premissas!$E$5:$E$44,Premissas!$A$5:$A$44,$A3559,Premissas!$B$5:$B$44,$B3559)+S3559*SUMIFS(Premissas!$F$5:$F$44,Premissas!$A$5:$A$44,$A3559,Premissas!$B$5:$B$44,$B3559)</f>
        <v/>
      </c>
      <c r="L3559" s="29">
        <f>J3559-K3559</f>
        <v/>
      </c>
      <c r="M3559" t="inlineStr">
        <is>
          <t>2.350</t>
        </is>
      </c>
      <c r="N3559" t="inlineStr">
        <is>
          <t>Modalidade: 0 - Por conta do remetente | Parte: SELLPACK DISTRIBUIDORA LTDA (07.747.107/0004-90)</t>
        </is>
      </c>
      <c r="O3559" s="29" t="n">
        <v>0</v>
      </c>
      <c r="P3559" s="29" t="n">
        <v>7.2</v>
      </c>
      <c r="Q3559" s="29" t="n">
        <v>0</v>
      </c>
      <c r="R3559" s="29" t="n">
        <v>0</v>
      </c>
      <c r="S3559" s="29" t="n">
        <v>0</v>
      </c>
      <c r="T3559" t="inlineStr">
        <is>
          <t>32260503710040000115570010000453531000458604</t>
        </is>
      </c>
      <c r="U3559" t="inlineStr">
        <is>
          <t>Sim</t>
        </is>
      </c>
    </row>
    <row r="3560">
      <c r="A3560" t="inlineStr">
        <is>
          <t>Frete de venda</t>
        </is>
      </c>
      <c r="B3560" t="inlineStr">
        <is>
          <t>2.01.02 Frete sobre Vendas</t>
        </is>
      </c>
      <c r="C3560" s="30" t="n">
        <v>46143</v>
      </c>
      <c r="D3560" t="inlineStr">
        <is>
          <t>Em 2026</t>
        </is>
      </c>
      <c r="E3560" s="28" t="n">
        <v>46167</v>
      </c>
      <c r="F3560" t="inlineStr">
        <is>
          <t>CT-e</t>
        </is>
      </c>
      <c r="G3560" t="inlineStr">
        <is>
          <t>000024665</t>
        </is>
      </c>
      <c r="H3560" t="inlineStr">
        <is>
          <t>TRANSPORTE OLIVEIRA E MELLOI - IDEALIZA TRANSPORTES</t>
        </is>
      </c>
      <c r="J3560" s="29" t="n">
        <v>1719.11</v>
      </c>
      <c r="K3560" s="29">
        <f>(1-ISNUMBER(SEARCH("556",M3560)))*(O3560*SUMIFS(Premissas!$C$5:$C$44,Premissas!$A$5:$A$44,$A3560,Premissas!$B$5:$B$44,$B3560)+P3560*SUMIFS(Premissas!$D$5:$D$44,Premissas!$A$5:$A$44,$A3560,Premissas!$B$5:$B$44,$B3560))+R3560*SUMIFS(Premissas!$E$5:$E$44,Premissas!$A$5:$A$44,$A3560,Premissas!$B$5:$B$44,$B3560)+S3560*SUMIFS(Premissas!$F$5:$F$44,Premissas!$A$5:$A$44,$A3560,Premissas!$B$5:$B$44,$B3560)</f>
        <v/>
      </c>
      <c r="L3560" s="29">
        <f>J3560-K3560</f>
        <v/>
      </c>
      <c r="M3560" t="inlineStr">
        <is>
          <t>2.350</t>
        </is>
      </c>
      <c r="N3560" t="inlineStr">
        <is>
          <t>Modalidade: 0 - Por conta do remetente | Parte: LIDER INDUSTRIA E COMERCIO LTDA (45.762.979/0001-73)</t>
        </is>
      </c>
      <c r="O3560" s="29" t="n">
        <v>0</v>
      </c>
      <c r="P3560" s="29" t="n">
        <v>206.29</v>
      </c>
      <c r="Q3560" s="29" t="n">
        <v>0</v>
      </c>
      <c r="R3560" s="29" t="n">
        <v>0</v>
      </c>
      <c r="S3560" s="29" t="n">
        <v>0</v>
      </c>
      <c r="T3560" t="inlineStr">
        <is>
          <t>15260520175042000170570010000246651000068149</t>
        </is>
      </c>
      <c r="U3560" t="inlineStr">
        <is>
          <t>Sim</t>
        </is>
      </c>
    </row>
    <row r="3561">
      <c r="A3561" t="inlineStr">
        <is>
          <t>Frete de venda</t>
        </is>
      </c>
      <c r="B3561" t="inlineStr">
        <is>
          <t>2.01.02 Frete sobre Vendas</t>
        </is>
      </c>
      <c r="C3561" s="30" t="n">
        <v>46143</v>
      </c>
      <c r="D3561" t="inlineStr">
        <is>
          <t>Em 2026</t>
        </is>
      </c>
      <c r="E3561" s="28" t="n">
        <v>46167</v>
      </c>
      <c r="F3561" t="inlineStr">
        <is>
          <t>CT-e</t>
        </is>
      </c>
      <c r="G3561" t="inlineStr">
        <is>
          <t>000024666</t>
        </is>
      </c>
      <c r="H3561" t="inlineStr">
        <is>
          <t>TRANSPORTE OLIVEIRA E MELLOI - IDEALIZA TRANSPORTES</t>
        </is>
      </c>
      <c r="J3561" s="29" t="n">
        <v>2491.8</v>
      </c>
      <c r="K3561" s="29">
        <f>(1-ISNUMBER(SEARCH("556",M3561)))*(O3561*SUMIFS(Premissas!$C$5:$C$44,Premissas!$A$5:$A$44,$A3561,Premissas!$B$5:$B$44,$B3561)+P3561*SUMIFS(Premissas!$D$5:$D$44,Premissas!$A$5:$A$44,$A3561,Premissas!$B$5:$B$44,$B3561))+R3561*SUMIFS(Premissas!$E$5:$E$44,Premissas!$A$5:$A$44,$A3561,Premissas!$B$5:$B$44,$B3561)+S3561*SUMIFS(Premissas!$F$5:$F$44,Premissas!$A$5:$A$44,$A3561,Premissas!$B$5:$B$44,$B3561)</f>
        <v/>
      </c>
      <c r="L3561" s="29">
        <f>J3561-K3561</f>
        <v/>
      </c>
      <c r="M3561" t="inlineStr">
        <is>
          <t>2.350</t>
        </is>
      </c>
      <c r="N3561" t="inlineStr">
        <is>
          <t>Modalidade: 0 - Por conta do remetente | Parte: M. N. ROCHA DE SOUSA LTDA (52.989.831/0001-31)</t>
        </is>
      </c>
      <c r="O3561" s="29" t="n">
        <v>0</v>
      </c>
      <c r="P3561" s="29" t="n">
        <v>299.02</v>
      </c>
      <c r="Q3561" s="29" t="n">
        <v>0</v>
      </c>
      <c r="R3561" s="29" t="n">
        <v>0</v>
      </c>
      <c r="S3561" s="29" t="n">
        <v>0</v>
      </c>
      <c r="T3561" t="inlineStr">
        <is>
          <t>15260520175042000170570010000246661000068154</t>
        </is>
      </c>
      <c r="U3561" t="inlineStr">
        <is>
          <t>Sim</t>
        </is>
      </c>
    </row>
    <row r="3562">
      <c r="A3562" t="inlineStr">
        <is>
          <t>Frete de venda</t>
        </is>
      </c>
      <c r="B3562" t="inlineStr">
        <is>
          <t>2.01.02 Frete sobre Vendas</t>
        </is>
      </c>
      <c r="C3562" s="30" t="n">
        <v>46143</v>
      </c>
      <c r="D3562" t="inlineStr">
        <is>
          <t>Em 2026</t>
        </is>
      </c>
      <c r="E3562" s="28" t="n">
        <v>46167</v>
      </c>
      <c r="F3562" t="inlineStr">
        <is>
          <t>CT-e</t>
        </is>
      </c>
      <c r="G3562" t="inlineStr">
        <is>
          <t>000024667</t>
        </is>
      </c>
      <c r="H3562" t="inlineStr">
        <is>
          <t>TRANSPORTE OLIVEIRA E MELLOI - IDEALIZA TRANSPORTES</t>
        </is>
      </c>
      <c r="J3562" s="29" t="n">
        <v>770.74</v>
      </c>
      <c r="K3562" s="29">
        <f>(1-ISNUMBER(SEARCH("556",M3562)))*(O3562*SUMIFS(Premissas!$C$5:$C$44,Premissas!$A$5:$A$44,$A3562,Premissas!$B$5:$B$44,$B3562)+P3562*SUMIFS(Premissas!$D$5:$D$44,Premissas!$A$5:$A$44,$A3562,Premissas!$B$5:$B$44,$B3562))+R3562*SUMIFS(Premissas!$E$5:$E$44,Premissas!$A$5:$A$44,$A3562,Premissas!$B$5:$B$44,$B3562)+S3562*SUMIFS(Premissas!$F$5:$F$44,Premissas!$A$5:$A$44,$A3562,Premissas!$B$5:$B$44,$B3562)</f>
        <v/>
      </c>
      <c r="L3562" s="29">
        <f>J3562-K3562</f>
        <v/>
      </c>
      <c r="M3562" t="inlineStr">
        <is>
          <t>2.350</t>
        </is>
      </c>
      <c r="N3562" t="inlineStr">
        <is>
          <t>Modalidade: 0 - Por conta do remetente | Parte: A. L. SILVA E SILVA (50.748.955/0001-08)</t>
        </is>
      </c>
      <c r="O3562" s="29" t="n">
        <v>0</v>
      </c>
      <c r="P3562" s="29" t="n">
        <v>92.48999999999999</v>
      </c>
      <c r="Q3562" s="29" t="n">
        <v>0</v>
      </c>
      <c r="R3562" s="29" t="n">
        <v>0</v>
      </c>
      <c r="S3562" s="29" t="n">
        <v>0</v>
      </c>
      <c r="T3562" t="inlineStr">
        <is>
          <t>15260520175042000170570010000246671000068160</t>
        </is>
      </c>
      <c r="U3562" t="inlineStr">
        <is>
          <t>Sim</t>
        </is>
      </c>
    </row>
    <row r="3563">
      <c r="A3563" t="inlineStr">
        <is>
          <t>Frete de venda</t>
        </is>
      </c>
      <c r="B3563" t="inlineStr">
        <is>
          <t>2.01.02 Frete sobre Vendas</t>
        </is>
      </c>
      <c r="C3563" s="30" t="n">
        <v>46143</v>
      </c>
      <c r="D3563" t="inlineStr">
        <is>
          <t>Em 2026</t>
        </is>
      </c>
      <c r="E3563" s="28" t="n">
        <v>46167</v>
      </c>
      <c r="F3563" t="inlineStr">
        <is>
          <t>CT-e</t>
        </is>
      </c>
      <c r="G3563" t="inlineStr">
        <is>
          <t>000024668</t>
        </is>
      </c>
      <c r="H3563" t="inlineStr">
        <is>
          <t>TRANSPORTE OLIVEIRA E MELLOI - IDEALIZA TRANSPORTES</t>
        </is>
      </c>
      <c r="J3563" s="29" t="n">
        <v>1584.59</v>
      </c>
      <c r="K3563" s="29">
        <f>(1-ISNUMBER(SEARCH("556",M3563)))*(O3563*SUMIFS(Premissas!$C$5:$C$44,Premissas!$A$5:$A$44,$A3563,Premissas!$B$5:$B$44,$B3563)+P3563*SUMIFS(Premissas!$D$5:$D$44,Premissas!$A$5:$A$44,$A3563,Premissas!$B$5:$B$44,$B3563))+R3563*SUMIFS(Premissas!$E$5:$E$44,Premissas!$A$5:$A$44,$A3563,Premissas!$B$5:$B$44,$B3563)+S3563*SUMIFS(Premissas!$F$5:$F$44,Premissas!$A$5:$A$44,$A3563,Premissas!$B$5:$B$44,$B3563)</f>
        <v/>
      </c>
      <c r="L3563" s="29">
        <f>J3563-K3563</f>
        <v/>
      </c>
      <c r="M3563" t="inlineStr">
        <is>
          <t>2.350</t>
        </is>
      </c>
      <c r="N3563" t="inlineStr">
        <is>
          <t>Modalidade: 0 - Por conta do remetente | Parte: IBIAPINA VARIEDADES LTDA (46.211.356/0001-75)</t>
        </is>
      </c>
      <c r="O3563" s="29" t="n">
        <v>0</v>
      </c>
      <c r="P3563" s="29" t="n">
        <v>190.15</v>
      </c>
      <c r="Q3563" s="29" t="n">
        <v>0</v>
      </c>
      <c r="R3563" s="29" t="n">
        <v>0</v>
      </c>
      <c r="S3563" s="29" t="n">
        <v>0</v>
      </c>
      <c r="T3563" t="inlineStr">
        <is>
          <t>15260520175042000170570010000246681000068175</t>
        </is>
      </c>
      <c r="U3563" t="inlineStr">
        <is>
          <t>Sim</t>
        </is>
      </c>
    </row>
    <row r="3564">
      <c r="A3564" t="inlineStr">
        <is>
          <t>Frete de venda</t>
        </is>
      </c>
      <c r="B3564" t="inlineStr">
        <is>
          <t>2.01.02 Frete sobre Vendas</t>
        </is>
      </c>
      <c r="C3564" s="30" t="n">
        <v>46143</v>
      </c>
      <c r="D3564" t="inlineStr">
        <is>
          <t>Em 2026</t>
        </is>
      </c>
      <c r="E3564" s="28" t="n">
        <v>46167</v>
      </c>
      <c r="F3564" t="inlineStr">
        <is>
          <t>CT-e</t>
        </is>
      </c>
      <c r="G3564" t="inlineStr">
        <is>
          <t>000024669</t>
        </is>
      </c>
      <c r="H3564" t="inlineStr">
        <is>
          <t>TRANSPORTE OLIVEIRA E MELLOI - IDEALIZA TRANSPORTES</t>
        </is>
      </c>
      <c r="J3564" s="29" t="n">
        <v>1455.01</v>
      </c>
      <c r="K3564" s="29">
        <f>(1-ISNUMBER(SEARCH("556",M3564)))*(O3564*SUMIFS(Premissas!$C$5:$C$44,Premissas!$A$5:$A$44,$A3564,Premissas!$B$5:$B$44,$B3564)+P3564*SUMIFS(Premissas!$D$5:$D$44,Premissas!$A$5:$A$44,$A3564,Premissas!$B$5:$B$44,$B3564))+R3564*SUMIFS(Premissas!$E$5:$E$44,Premissas!$A$5:$A$44,$A3564,Premissas!$B$5:$B$44,$B3564)+S3564*SUMIFS(Premissas!$F$5:$F$44,Premissas!$A$5:$A$44,$A3564,Premissas!$B$5:$B$44,$B3564)</f>
        <v/>
      </c>
      <c r="L3564" s="29">
        <f>J3564-K3564</f>
        <v/>
      </c>
      <c r="M3564" t="inlineStr">
        <is>
          <t>2.350</t>
        </is>
      </c>
      <c r="N3564" t="inlineStr">
        <is>
          <t>Modalidade: 0 - Por conta do remetente | Parte: P3 DESCARTAVEIS ATACADO e VAREJO LTDA (12.040.681/0001-09)</t>
        </is>
      </c>
      <c r="O3564" s="29" t="n">
        <v>0</v>
      </c>
      <c r="P3564" s="29" t="n">
        <v>174.6</v>
      </c>
      <c r="Q3564" s="29" t="n">
        <v>0</v>
      </c>
      <c r="R3564" s="29" t="n">
        <v>0</v>
      </c>
      <c r="S3564" s="29" t="n">
        <v>0</v>
      </c>
      <c r="T3564" t="inlineStr">
        <is>
          <t>15260520175042000170570010000246691000068180</t>
        </is>
      </c>
      <c r="U3564" t="inlineStr">
        <is>
          <t>Sim</t>
        </is>
      </c>
    </row>
    <row r="3565">
      <c r="A3565" t="inlineStr">
        <is>
          <t>Frete de venda</t>
        </is>
      </c>
      <c r="B3565" t="inlineStr">
        <is>
          <t>2.01.02 Frete sobre Vendas</t>
        </is>
      </c>
      <c r="C3565" s="30" t="n">
        <v>46143</v>
      </c>
      <c r="D3565" t="inlineStr">
        <is>
          <t>Em 2026</t>
        </is>
      </c>
      <c r="E3565" s="28" t="n">
        <v>46169</v>
      </c>
      <c r="F3565" t="inlineStr">
        <is>
          <t>CT-e</t>
        </is>
      </c>
      <c r="G3565" t="inlineStr">
        <is>
          <t>000024683</t>
        </is>
      </c>
      <c r="H3565" t="inlineStr">
        <is>
          <t>TRANSPORTE OLIVEIRA E MELLOI - IDEALIZA TRANSPORTES</t>
        </is>
      </c>
      <c r="J3565" s="29" t="n">
        <v>547.84</v>
      </c>
      <c r="K3565" s="29">
        <f>(1-ISNUMBER(SEARCH("556",M3565)))*(O3565*SUMIFS(Premissas!$C$5:$C$44,Premissas!$A$5:$A$44,$A3565,Premissas!$B$5:$B$44,$B3565)+P3565*SUMIFS(Premissas!$D$5:$D$44,Premissas!$A$5:$A$44,$A3565,Premissas!$B$5:$B$44,$B3565))+R3565*SUMIFS(Premissas!$E$5:$E$44,Premissas!$A$5:$A$44,$A3565,Premissas!$B$5:$B$44,$B3565)+S3565*SUMIFS(Premissas!$F$5:$F$44,Premissas!$A$5:$A$44,$A3565,Premissas!$B$5:$B$44,$B3565)</f>
        <v/>
      </c>
      <c r="L3565" s="29">
        <f>J3565-K3565</f>
        <v/>
      </c>
      <c r="M3565" t="inlineStr">
        <is>
          <t>2.350</t>
        </is>
      </c>
      <c r="N3565" t="inlineStr">
        <is>
          <t>Modalidade: 0 - Por conta do remetente | Parte: MARCIO C. RIBEIRO (07.428.119/0001-09)</t>
        </is>
      </c>
      <c r="O3565" s="29" t="n">
        <v>0</v>
      </c>
      <c r="P3565" s="29" t="n">
        <v>65.73999999999999</v>
      </c>
      <c r="Q3565" s="29" t="n">
        <v>0</v>
      </c>
      <c r="R3565" s="29" t="n">
        <v>0</v>
      </c>
      <c r="S3565" s="29" t="n">
        <v>0</v>
      </c>
      <c r="T3565" t="inlineStr">
        <is>
          <t>15260520175042000170570010000246831000068333</t>
        </is>
      </c>
      <c r="U3565" t="inlineStr">
        <is>
          <t>Sim</t>
        </is>
      </c>
    </row>
    <row r="3566">
      <c r="A3566" t="inlineStr">
        <is>
          <t>Frete de venda</t>
        </is>
      </c>
      <c r="B3566" t="inlineStr">
        <is>
          <t>2.01.02 Frete sobre Vendas</t>
        </is>
      </c>
      <c r="C3566" s="30" t="n">
        <v>46143</v>
      </c>
      <c r="D3566" t="inlineStr">
        <is>
          <t>Em 2026</t>
        </is>
      </c>
      <c r="E3566" s="28" t="n">
        <v>46169</v>
      </c>
      <c r="F3566" t="inlineStr">
        <is>
          <t>CT-e</t>
        </is>
      </c>
      <c r="G3566" t="inlineStr">
        <is>
          <t>000024684</t>
        </is>
      </c>
      <c r="H3566" t="inlineStr">
        <is>
          <t>TRANSPORTE OLIVEIRA E MELLOI - IDEALIZA TRANSPORTES</t>
        </is>
      </c>
      <c r="J3566" s="29" t="n">
        <v>440.56</v>
      </c>
      <c r="K3566" s="29">
        <f>(1-ISNUMBER(SEARCH("556",M3566)))*(O3566*SUMIFS(Premissas!$C$5:$C$44,Premissas!$A$5:$A$44,$A3566,Premissas!$B$5:$B$44,$B3566)+P3566*SUMIFS(Premissas!$D$5:$D$44,Premissas!$A$5:$A$44,$A3566,Premissas!$B$5:$B$44,$B3566))+R3566*SUMIFS(Premissas!$E$5:$E$44,Premissas!$A$5:$A$44,$A3566,Premissas!$B$5:$B$44,$B3566)+S3566*SUMIFS(Premissas!$F$5:$F$44,Premissas!$A$5:$A$44,$A3566,Premissas!$B$5:$B$44,$B3566)</f>
        <v/>
      </c>
      <c r="L3566" s="29">
        <f>J3566-K3566</f>
        <v/>
      </c>
      <c r="M3566" t="inlineStr">
        <is>
          <t>2.350</t>
        </is>
      </c>
      <c r="N3566" t="inlineStr">
        <is>
          <t>Modalidade: 0 - Por conta do remetente | Parte: R. VALE DOS SANTOS LTDA (21.585.699/0001-79)</t>
        </is>
      </c>
      <c r="O3566" s="29" t="n">
        <v>0</v>
      </c>
      <c r="P3566" s="29" t="n">
        <v>52.87</v>
      </c>
      <c r="Q3566" s="29" t="n">
        <v>0</v>
      </c>
      <c r="R3566" s="29" t="n">
        <v>0</v>
      </c>
      <c r="S3566" s="29" t="n">
        <v>0</v>
      </c>
      <c r="T3566" t="inlineStr">
        <is>
          <t>15260520175042000170570010000246841000068349</t>
        </is>
      </c>
      <c r="U3566" t="inlineStr">
        <is>
          <t>Sim</t>
        </is>
      </c>
    </row>
    <row r="3567">
      <c r="A3567" t="inlineStr">
        <is>
          <t>Frete de venda</t>
        </is>
      </c>
      <c r="B3567" t="inlineStr">
        <is>
          <t>2.01.02 Frete sobre Vendas</t>
        </is>
      </c>
      <c r="C3567" s="30" t="n">
        <v>46174</v>
      </c>
      <c r="D3567" t="inlineStr">
        <is>
          <t>Em 2026</t>
        </is>
      </c>
      <c r="E3567" s="28" t="n">
        <v>46189</v>
      </c>
      <c r="F3567" t="inlineStr">
        <is>
          <t>CT-e</t>
        </is>
      </c>
      <c r="G3567" t="inlineStr">
        <is>
          <t>000001110</t>
        </is>
      </c>
      <c r="H3567" t="inlineStr">
        <is>
          <t>ADIL CARLOS DA SILVA</t>
        </is>
      </c>
      <c r="J3567" s="29" t="n">
        <v>1</v>
      </c>
      <c r="K3567" s="29">
        <f>(1-ISNUMBER(SEARCH("556",M3567)))*(O3567*SUMIFS(Premissas!$C$5:$C$44,Premissas!$A$5:$A$44,$A3567,Premissas!$B$5:$B$44,$B3567)+P3567*SUMIFS(Premissas!$D$5:$D$44,Premissas!$A$5:$A$44,$A3567,Premissas!$B$5:$B$44,$B3567))+R3567*SUMIFS(Premissas!$E$5:$E$44,Premissas!$A$5:$A$44,$A3567,Premissas!$B$5:$B$44,$B3567)+S3567*SUMIFS(Premissas!$F$5:$F$44,Premissas!$A$5:$A$44,$A3567,Premissas!$B$5:$B$44,$B3567)</f>
        <v/>
      </c>
      <c r="L3567" s="29">
        <f>J3567-K3567</f>
        <v/>
      </c>
      <c r="M3567" t="inlineStr">
        <is>
          <t>2.350</t>
        </is>
      </c>
      <c r="N3567" t="inlineStr">
        <is>
          <t>Modalidade: 0 - Por conta do remetente | Parte: M N L FLORENTINO LTDA (47.068.852/0001-84)</t>
        </is>
      </c>
      <c r="O3567" s="29" t="n">
        <v>0</v>
      </c>
      <c r="P3567" s="29" t="n">
        <v>0</v>
      </c>
      <c r="Q3567" s="29" t="n">
        <v>0</v>
      </c>
      <c r="R3567" s="29" t="n">
        <v>0</v>
      </c>
      <c r="S3567" s="29" t="n">
        <v>0</v>
      </c>
      <c r="T3567" t="inlineStr">
        <is>
          <t>25260634595800000114570010000011101000011109</t>
        </is>
      </c>
      <c r="U3567" t="inlineStr">
        <is>
          <t>Não</t>
        </is>
      </c>
    </row>
    <row r="3568">
      <c r="A3568" t="inlineStr">
        <is>
          <t>Frete de venda</t>
        </is>
      </c>
      <c r="B3568" t="inlineStr">
        <is>
          <t>2.01.02 Frete sobre Vendas</t>
        </is>
      </c>
      <c r="C3568" s="30" t="n">
        <v>46174</v>
      </c>
      <c r="D3568" t="inlineStr">
        <is>
          <t>Em 2026</t>
        </is>
      </c>
      <c r="E3568" s="28" t="n">
        <v>46185</v>
      </c>
      <c r="F3568" t="inlineStr">
        <is>
          <t>CT-e</t>
        </is>
      </c>
      <c r="G3568" t="inlineStr">
        <is>
          <t>000008880</t>
        </is>
      </c>
      <c r="H3568" t="inlineStr">
        <is>
          <t>BEM TRANSPORTES E LOGISTICA</t>
        </is>
      </c>
      <c r="J3568" s="29" t="n">
        <v>5812.5</v>
      </c>
      <c r="K3568" s="29">
        <f>(1-ISNUMBER(SEARCH("556",M3568)))*(O3568*SUMIFS(Premissas!$C$5:$C$44,Premissas!$A$5:$A$44,$A3568,Premissas!$B$5:$B$44,$B3568)+P3568*SUMIFS(Premissas!$D$5:$D$44,Premissas!$A$5:$A$44,$A3568,Premissas!$B$5:$B$44,$B3568))+R3568*SUMIFS(Premissas!$E$5:$E$44,Premissas!$A$5:$A$44,$A3568,Premissas!$B$5:$B$44,$B3568)+S3568*SUMIFS(Premissas!$F$5:$F$44,Premissas!$A$5:$A$44,$A3568,Premissas!$B$5:$B$44,$B3568)</f>
        <v/>
      </c>
      <c r="L3568" s="29">
        <f>J3568-K3568</f>
        <v/>
      </c>
      <c r="M3568" t="inlineStr">
        <is>
          <t>2.350</t>
        </is>
      </c>
      <c r="N3568" t="inlineStr">
        <is>
          <t>Modalidade: 0 - Por conta do remetente | Parte: EDGAR COUTO PIRES (05.857.084/0001-06)</t>
        </is>
      </c>
      <c r="O3568" s="29" t="n">
        <v>0</v>
      </c>
      <c r="P3568" s="29" t="n">
        <v>0</v>
      </c>
      <c r="Q3568" s="29" t="n">
        <v>0</v>
      </c>
      <c r="R3568" s="29" t="n">
        <v>0</v>
      </c>
      <c r="S3568" s="29" t="n">
        <v>0</v>
      </c>
      <c r="T3568" t="inlineStr">
        <is>
          <t>31260645731099000130570010000088801000089019</t>
        </is>
      </c>
      <c r="U3568" t="inlineStr">
        <is>
          <t>Sim</t>
        </is>
      </c>
    </row>
    <row r="3569">
      <c r="A3569" t="inlineStr">
        <is>
          <t>Frete de venda</t>
        </is>
      </c>
      <c r="B3569" t="inlineStr">
        <is>
          <t>2.01.02 Frete sobre Vendas</t>
        </is>
      </c>
      <c r="C3569" s="30" t="n">
        <v>46174</v>
      </c>
      <c r="D3569" t="inlineStr">
        <is>
          <t>Em 2026</t>
        </is>
      </c>
      <c r="E3569" s="28" t="n">
        <v>46176</v>
      </c>
      <c r="F3569" t="inlineStr">
        <is>
          <t>CT-e</t>
        </is>
      </c>
      <c r="G3569" t="inlineStr">
        <is>
          <t>000223648</t>
        </is>
      </c>
      <c r="H3569" t="inlineStr">
        <is>
          <t>CAZAN TRANSPORTES LTDA</t>
        </is>
      </c>
      <c r="J3569" s="29" t="n">
        <v>145.91</v>
      </c>
      <c r="K3569" s="29">
        <f>(1-ISNUMBER(SEARCH("556",M3569)))*(O3569*SUMIFS(Premissas!$C$5:$C$44,Premissas!$A$5:$A$44,$A3569,Premissas!$B$5:$B$44,$B3569)+P3569*SUMIFS(Premissas!$D$5:$D$44,Premissas!$A$5:$A$44,$A3569,Premissas!$B$5:$B$44,$B3569))+R3569*SUMIFS(Premissas!$E$5:$E$44,Premissas!$A$5:$A$44,$A3569,Premissas!$B$5:$B$44,$B3569)+S3569*SUMIFS(Premissas!$F$5:$F$44,Premissas!$A$5:$A$44,$A3569,Premissas!$B$5:$B$44,$B3569)</f>
        <v/>
      </c>
      <c r="L3569" s="29">
        <f>J3569-K3569</f>
        <v/>
      </c>
      <c r="M3569" t="inlineStr">
        <is>
          <t>1.350</t>
        </is>
      </c>
      <c r="N3569" t="inlineStr">
        <is>
          <t>Modalidade: 1 - Por conta do destinatário | Parte: TRANSBELT - COMERCIO, IMPORTACAO E EXPORTACAO DE CORREIAS IN (24.889.612/0001-45)</t>
        </is>
      </c>
      <c r="O3569" s="29" t="n">
        <v>0</v>
      </c>
      <c r="P3569" s="29" t="n">
        <v>10.21</v>
      </c>
      <c r="Q3569" s="29" t="n">
        <v>0</v>
      </c>
      <c r="R3569" s="29" t="n">
        <v>0</v>
      </c>
      <c r="S3569" s="29" t="n">
        <v>0</v>
      </c>
      <c r="T3569" t="inlineStr">
        <is>
          <t>35260607797011000193570010002236481471055726</t>
        </is>
      </c>
      <c r="U3569" t="inlineStr">
        <is>
          <t>Sim</t>
        </is>
      </c>
    </row>
    <row r="3570">
      <c r="A3570" t="inlineStr">
        <is>
          <t>Frete de venda</t>
        </is>
      </c>
      <c r="B3570" t="inlineStr">
        <is>
          <t>2.01.02 Frete sobre Vendas</t>
        </is>
      </c>
      <c r="C3570" s="30" t="n">
        <v>46174</v>
      </c>
      <c r="D3570" t="inlineStr">
        <is>
          <t>Em 2026</t>
        </is>
      </c>
      <c r="E3570" s="28" t="n">
        <v>46176</v>
      </c>
      <c r="F3570" t="inlineStr">
        <is>
          <t>CT-e</t>
        </is>
      </c>
      <c r="G3570" t="inlineStr">
        <is>
          <t>001441974</t>
        </is>
      </c>
      <c r="H3570" t="inlineStr">
        <is>
          <t>PICCOLI TRANSPORTES LTDA</t>
        </is>
      </c>
      <c r="J3570" s="29" t="n">
        <v>0.1</v>
      </c>
      <c r="K3570" s="29">
        <f>(1-ISNUMBER(SEARCH("556",M3570)))*(O3570*SUMIFS(Premissas!$C$5:$C$44,Premissas!$A$5:$A$44,$A3570,Premissas!$B$5:$B$44,$B3570)+P3570*SUMIFS(Premissas!$D$5:$D$44,Premissas!$A$5:$A$44,$A3570,Premissas!$B$5:$B$44,$B3570))+R3570*SUMIFS(Premissas!$E$5:$E$44,Premissas!$A$5:$A$44,$A3570,Premissas!$B$5:$B$44,$B3570)+S3570*SUMIFS(Premissas!$F$5:$F$44,Premissas!$A$5:$A$44,$A3570,Premissas!$B$5:$B$44,$B3570)</f>
        <v/>
      </c>
      <c r="L3570" s="29">
        <f>J3570-K3570</f>
        <v/>
      </c>
      <c r="M3570" t="inlineStr">
        <is>
          <t>2.350</t>
        </is>
      </c>
      <c r="N3570" t="inlineStr">
        <is>
          <t>Modalidade: 0 - Por conta do remetente | Parte: C. G. L CASA FORTE LTDA (49.610.263/0001-01)</t>
        </is>
      </c>
      <c r="O3570" s="29" t="n">
        <v>0</v>
      </c>
      <c r="P3570" s="29" t="n">
        <v>0.01</v>
      </c>
      <c r="Q3570" s="29" t="n">
        <v>0</v>
      </c>
      <c r="R3570" s="29" t="n">
        <v>0</v>
      </c>
      <c r="S3570" s="29" t="n">
        <v>0</v>
      </c>
      <c r="T3570" t="inlineStr">
        <is>
          <t>35260601496359000245570010014419741005702492</t>
        </is>
      </c>
      <c r="U3570" t="inlineStr">
        <is>
          <t>Não</t>
        </is>
      </c>
    </row>
    <row r="3571">
      <c r="A3571" t="inlineStr">
        <is>
          <t>Frete de venda</t>
        </is>
      </c>
      <c r="B3571" t="inlineStr">
        <is>
          <t>2.01.02 Frete sobre Vendas</t>
        </is>
      </c>
      <c r="C3571" s="30" t="n">
        <v>46174</v>
      </c>
      <c r="D3571" t="inlineStr">
        <is>
          <t>Em 2026</t>
        </is>
      </c>
      <c r="E3571" s="28" t="n">
        <v>46176</v>
      </c>
      <c r="F3571" t="inlineStr">
        <is>
          <t>CT-e</t>
        </is>
      </c>
      <c r="G3571" t="inlineStr">
        <is>
          <t>001442016</t>
        </is>
      </c>
      <c r="H3571" t="inlineStr">
        <is>
          <t>PICCOLI TRANSPORTES LTDA</t>
        </is>
      </c>
      <c r="J3571" s="29" t="n">
        <v>0.1</v>
      </c>
      <c r="K3571" s="29">
        <f>(1-ISNUMBER(SEARCH("556",M3571)))*(O3571*SUMIFS(Premissas!$C$5:$C$44,Premissas!$A$5:$A$44,$A3571,Premissas!$B$5:$B$44,$B3571)+P3571*SUMIFS(Premissas!$D$5:$D$44,Premissas!$A$5:$A$44,$A3571,Premissas!$B$5:$B$44,$B3571))+R3571*SUMIFS(Premissas!$E$5:$E$44,Premissas!$A$5:$A$44,$A3571,Premissas!$B$5:$B$44,$B3571)+S3571*SUMIFS(Premissas!$F$5:$F$44,Premissas!$A$5:$A$44,$A3571,Premissas!$B$5:$B$44,$B3571)</f>
        <v/>
      </c>
      <c r="L3571" s="29">
        <f>J3571-K3571</f>
        <v/>
      </c>
      <c r="M3571" t="inlineStr">
        <is>
          <t>2.350</t>
        </is>
      </c>
      <c r="N3571" t="inlineStr">
        <is>
          <t>Modalidade: 0 - Por conta do remetente | Parte: BEIRA RIO COMERCIO DE EMBALAGENS LTDA (34.018.326/0001-68)</t>
        </is>
      </c>
      <c r="O3571" s="29" t="n">
        <v>0</v>
      </c>
      <c r="P3571" s="29" t="n">
        <v>0.01</v>
      </c>
      <c r="Q3571" s="29" t="n">
        <v>0</v>
      </c>
      <c r="R3571" s="29" t="n">
        <v>0</v>
      </c>
      <c r="S3571" s="29" t="n">
        <v>0</v>
      </c>
      <c r="T3571" t="inlineStr">
        <is>
          <t>35260601496359000245570010014420161005703245</t>
        </is>
      </c>
      <c r="U3571" t="inlineStr">
        <is>
          <t>Não</t>
        </is>
      </c>
    </row>
    <row r="3572">
      <c r="A3572" t="inlineStr">
        <is>
          <t>Frete de venda</t>
        </is>
      </c>
      <c r="B3572" t="inlineStr">
        <is>
          <t>2.01.02 Frete sobre Vendas</t>
        </is>
      </c>
      <c r="C3572" s="30" t="n">
        <v>46174</v>
      </c>
      <c r="D3572" t="inlineStr">
        <is>
          <t>Em 2026</t>
        </is>
      </c>
      <c r="E3572" s="28" t="n">
        <v>46176</v>
      </c>
      <c r="F3572" t="inlineStr">
        <is>
          <t>CT-e</t>
        </is>
      </c>
      <c r="G3572" t="inlineStr">
        <is>
          <t>001442027</t>
        </is>
      </c>
      <c r="H3572" t="inlineStr">
        <is>
          <t>PICCOLI TRANSPORTES LTDA</t>
        </is>
      </c>
      <c r="J3572" s="29" t="n">
        <v>0.1</v>
      </c>
      <c r="K3572" s="29">
        <f>(1-ISNUMBER(SEARCH("556",M3572)))*(O3572*SUMIFS(Premissas!$C$5:$C$44,Premissas!$A$5:$A$44,$A3572,Premissas!$B$5:$B$44,$B3572)+P3572*SUMIFS(Premissas!$D$5:$D$44,Premissas!$A$5:$A$44,$A3572,Premissas!$B$5:$B$44,$B3572))+R3572*SUMIFS(Premissas!$E$5:$E$44,Premissas!$A$5:$A$44,$A3572,Premissas!$B$5:$B$44,$B3572)+S3572*SUMIFS(Premissas!$F$5:$F$44,Premissas!$A$5:$A$44,$A3572,Premissas!$B$5:$B$44,$B3572)</f>
        <v/>
      </c>
      <c r="L3572" s="29">
        <f>J3572-K3572</f>
        <v/>
      </c>
      <c r="M3572" t="inlineStr">
        <is>
          <t>2.350</t>
        </is>
      </c>
      <c r="N3572" t="inlineStr">
        <is>
          <t>Modalidade: 0 - Por conta do remetente | Parte: IMPERADOR DISTRIBUIDOR DE EMBALAGENS LTDA (10.575.734/0001-52)</t>
        </is>
      </c>
      <c r="O3572" s="29" t="n">
        <v>0</v>
      </c>
      <c r="P3572" s="29" t="n">
        <v>0.01</v>
      </c>
      <c r="Q3572" s="29" t="n">
        <v>0</v>
      </c>
      <c r="R3572" s="29" t="n">
        <v>0</v>
      </c>
      <c r="S3572" s="29" t="n">
        <v>0</v>
      </c>
      <c r="T3572" t="inlineStr">
        <is>
          <t>35260601496359000245570010014420271005703354</t>
        </is>
      </c>
      <c r="U3572" t="inlineStr">
        <is>
          <t>Não</t>
        </is>
      </c>
    </row>
    <row r="3573">
      <c r="A3573" t="inlineStr">
        <is>
          <t>Frete de venda</t>
        </is>
      </c>
      <c r="B3573" t="inlineStr">
        <is>
          <t>2.01.02 Frete sobre Vendas</t>
        </is>
      </c>
      <c r="C3573" s="30" t="n">
        <v>46174</v>
      </c>
      <c r="D3573" t="inlineStr">
        <is>
          <t>Em 2026</t>
        </is>
      </c>
      <c r="E3573" s="28" t="n">
        <v>46176</v>
      </c>
      <c r="F3573" t="inlineStr">
        <is>
          <t>CT-e</t>
        </is>
      </c>
      <c r="G3573" t="inlineStr">
        <is>
          <t>001442029</t>
        </is>
      </c>
      <c r="H3573" t="inlineStr">
        <is>
          <t>PICCOLI TRANSPORTES LTDA</t>
        </is>
      </c>
      <c r="J3573" s="29" t="n">
        <v>0.1</v>
      </c>
      <c r="K3573" s="29">
        <f>(1-ISNUMBER(SEARCH("556",M3573)))*(O3573*SUMIFS(Premissas!$C$5:$C$44,Premissas!$A$5:$A$44,$A3573,Premissas!$B$5:$B$44,$B3573)+P3573*SUMIFS(Premissas!$D$5:$D$44,Premissas!$A$5:$A$44,$A3573,Premissas!$B$5:$B$44,$B3573))+R3573*SUMIFS(Premissas!$E$5:$E$44,Premissas!$A$5:$A$44,$A3573,Premissas!$B$5:$B$44,$B3573)+S3573*SUMIFS(Premissas!$F$5:$F$44,Premissas!$A$5:$A$44,$A3573,Premissas!$B$5:$B$44,$B3573)</f>
        <v/>
      </c>
      <c r="L3573" s="29">
        <f>J3573-K3573</f>
        <v/>
      </c>
      <c r="M3573" t="inlineStr">
        <is>
          <t>2.350</t>
        </is>
      </c>
      <c r="N3573" t="inlineStr">
        <is>
          <t>Modalidade: 0 - Por conta do remetente | Parte: GR DOCES E EMBALAGENS LTDA (42.338.637/0001-32)</t>
        </is>
      </c>
      <c r="O3573" s="29" t="n">
        <v>0</v>
      </c>
      <c r="P3573" s="29" t="n">
        <v>0.01</v>
      </c>
      <c r="Q3573" s="29" t="n">
        <v>0</v>
      </c>
      <c r="R3573" s="29" t="n">
        <v>0</v>
      </c>
      <c r="S3573" s="29" t="n">
        <v>0</v>
      </c>
      <c r="T3573" t="inlineStr">
        <is>
          <t>35260601496359000245570010014420291005703375</t>
        </is>
      </c>
      <c r="U3573" t="inlineStr">
        <is>
          <t>Não</t>
        </is>
      </c>
    </row>
    <row r="3574">
      <c r="A3574" t="inlineStr">
        <is>
          <t>Frete de venda</t>
        </is>
      </c>
      <c r="B3574" t="inlineStr">
        <is>
          <t>2.01.02 Frete sobre Vendas</t>
        </is>
      </c>
      <c r="C3574" s="30" t="n">
        <v>46174</v>
      </c>
      <c r="D3574" t="inlineStr">
        <is>
          <t>Em 2026</t>
        </is>
      </c>
      <c r="E3574" s="28" t="n">
        <v>46176</v>
      </c>
      <c r="F3574" t="inlineStr">
        <is>
          <t>CT-e</t>
        </is>
      </c>
      <c r="G3574" t="inlineStr">
        <is>
          <t>001442032</t>
        </is>
      </c>
      <c r="H3574" t="inlineStr">
        <is>
          <t>PICCOLI TRANSPORTES LTDA</t>
        </is>
      </c>
      <c r="J3574" s="29" t="n">
        <v>0.1</v>
      </c>
      <c r="K3574" s="29">
        <f>(1-ISNUMBER(SEARCH("556",M3574)))*(O3574*SUMIFS(Premissas!$C$5:$C$44,Premissas!$A$5:$A$44,$A3574,Premissas!$B$5:$B$44,$B3574)+P3574*SUMIFS(Premissas!$D$5:$D$44,Premissas!$A$5:$A$44,$A3574,Premissas!$B$5:$B$44,$B3574))+R3574*SUMIFS(Premissas!$E$5:$E$44,Premissas!$A$5:$A$44,$A3574,Premissas!$B$5:$B$44,$B3574)+S3574*SUMIFS(Premissas!$F$5:$F$44,Premissas!$A$5:$A$44,$A3574,Premissas!$B$5:$B$44,$B3574)</f>
        <v/>
      </c>
      <c r="L3574" s="29">
        <f>J3574-K3574</f>
        <v/>
      </c>
      <c r="M3574" t="inlineStr">
        <is>
          <t>2.350</t>
        </is>
      </c>
      <c r="N3574" t="inlineStr">
        <is>
          <t>Modalidade: 0 - Por conta do remetente | Parte: MATOS EMBALAGENS COMERCIO LTDA (01.888.718/0001-29)</t>
        </is>
      </c>
      <c r="O3574" s="29" t="n">
        <v>0</v>
      </c>
      <c r="P3574" s="29" t="n">
        <v>0.01</v>
      </c>
      <c r="Q3574" s="29" t="n">
        <v>0</v>
      </c>
      <c r="R3574" s="29" t="n">
        <v>0</v>
      </c>
      <c r="S3574" s="29" t="n">
        <v>0</v>
      </c>
      <c r="T3574" t="inlineStr">
        <is>
          <t>35260601496359000245570010014420321005703400</t>
        </is>
      </c>
      <c r="U3574" t="inlineStr">
        <is>
          <t>Não</t>
        </is>
      </c>
    </row>
    <row r="3575">
      <c r="A3575" t="inlineStr">
        <is>
          <t>Frete de venda</t>
        </is>
      </c>
      <c r="B3575" t="inlineStr">
        <is>
          <t>2.01.02 Frete sobre Vendas</t>
        </is>
      </c>
      <c r="C3575" s="30" t="n">
        <v>46174</v>
      </c>
      <c r="D3575" t="inlineStr">
        <is>
          <t>Em 2026</t>
        </is>
      </c>
      <c r="E3575" s="28" t="n">
        <v>46176</v>
      </c>
      <c r="F3575" t="inlineStr">
        <is>
          <t>CT-e</t>
        </is>
      </c>
      <c r="G3575" t="inlineStr">
        <is>
          <t>001442034</t>
        </is>
      </c>
      <c r="H3575" t="inlineStr">
        <is>
          <t>PICCOLI TRANSPORTES LTDA</t>
        </is>
      </c>
      <c r="J3575" s="29" t="n">
        <v>0.1</v>
      </c>
      <c r="K3575" s="29">
        <f>(1-ISNUMBER(SEARCH("556",M3575)))*(O3575*SUMIFS(Premissas!$C$5:$C$44,Premissas!$A$5:$A$44,$A3575,Premissas!$B$5:$B$44,$B3575)+P3575*SUMIFS(Premissas!$D$5:$D$44,Premissas!$A$5:$A$44,$A3575,Premissas!$B$5:$B$44,$B3575))+R3575*SUMIFS(Premissas!$E$5:$E$44,Premissas!$A$5:$A$44,$A3575,Premissas!$B$5:$B$44,$B3575)+S3575*SUMIFS(Premissas!$F$5:$F$44,Premissas!$A$5:$A$44,$A3575,Premissas!$B$5:$B$44,$B3575)</f>
        <v/>
      </c>
      <c r="L3575" s="29">
        <f>J3575-K3575</f>
        <v/>
      </c>
      <c r="M3575" t="inlineStr">
        <is>
          <t>2.350</t>
        </is>
      </c>
      <c r="N3575" t="inlineStr">
        <is>
          <t>Modalidade: 0 - Por conta do remetente | Parte: INDUSTRIAL E COMERCIAL ALMEIDA LTDA (02.623.537/0010-24)</t>
        </is>
      </c>
      <c r="O3575" s="29" t="n">
        <v>0</v>
      </c>
      <c r="P3575" s="29" t="n">
        <v>0.01</v>
      </c>
      <c r="Q3575" s="29" t="n">
        <v>0</v>
      </c>
      <c r="R3575" s="29" t="n">
        <v>0</v>
      </c>
      <c r="S3575" s="29" t="n">
        <v>0</v>
      </c>
      <c r="T3575" t="inlineStr">
        <is>
          <t>35260601496359000245570010014420341005703421</t>
        </is>
      </c>
      <c r="U3575" t="inlineStr">
        <is>
          <t>Não</t>
        </is>
      </c>
    </row>
    <row r="3576">
      <c r="A3576" t="inlineStr">
        <is>
          <t>Frete de venda</t>
        </is>
      </c>
      <c r="B3576" t="inlineStr">
        <is>
          <t>2.01.02 Frete sobre Vendas</t>
        </is>
      </c>
      <c r="C3576" s="30" t="n">
        <v>46174</v>
      </c>
      <c r="D3576" t="inlineStr">
        <is>
          <t>Em 2026</t>
        </is>
      </c>
      <c r="E3576" s="28" t="n">
        <v>46178</v>
      </c>
      <c r="F3576" t="inlineStr">
        <is>
          <t>CT-e</t>
        </is>
      </c>
      <c r="G3576" t="inlineStr">
        <is>
          <t>001442539</t>
        </is>
      </c>
      <c r="H3576" t="inlineStr">
        <is>
          <t>PICCOLI TRANSPORTES LTDA</t>
        </is>
      </c>
      <c r="J3576" s="29" t="n">
        <v>896.28</v>
      </c>
      <c r="K3576" s="29">
        <f>(1-ISNUMBER(SEARCH("556",M3576)))*(O3576*SUMIFS(Premissas!$C$5:$C$44,Premissas!$A$5:$A$44,$A3576,Premissas!$B$5:$B$44,$B3576)+P3576*SUMIFS(Premissas!$D$5:$D$44,Premissas!$A$5:$A$44,$A3576,Premissas!$B$5:$B$44,$B3576))+R3576*SUMIFS(Premissas!$E$5:$E$44,Premissas!$A$5:$A$44,$A3576,Premissas!$B$5:$B$44,$B3576)+S3576*SUMIFS(Premissas!$F$5:$F$44,Premissas!$A$5:$A$44,$A3576,Premissas!$B$5:$B$44,$B3576)</f>
        <v/>
      </c>
      <c r="L3576" s="29">
        <f>J3576-K3576</f>
        <v/>
      </c>
      <c r="M3576" t="inlineStr">
        <is>
          <t>1.350</t>
        </is>
      </c>
      <c r="N3576" t="inlineStr">
        <is>
          <t>Modalidade: 0 - Por conta do remetente | Parte: MATOS EMBALAGENS COMERCIO LTDA (01.888.718/0001-29)</t>
        </is>
      </c>
      <c r="O3576" s="29" t="n">
        <v>0</v>
      </c>
      <c r="P3576" s="29" t="n">
        <v>62.74</v>
      </c>
      <c r="Q3576" s="29" t="n">
        <v>0</v>
      </c>
      <c r="R3576" s="29" t="n">
        <v>0</v>
      </c>
      <c r="S3576" s="29" t="n">
        <v>0</v>
      </c>
      <c r="T3576" t="inlineStr">
        <is>
          <t>35260601496359000245570010014425391005709504</t>
        </is>
      </c>
      <c r="U3576" t="inlineStr">
        <is>
          <t>Sim</t>
        </is>
      </c>
    </row>
    <row r="3577">
      <c r="A3577" t="inlineStr">
        <is>
          <t>Frete de venda</t>
        </is>
      </c>
      <c r="B3577" t="inlineStr">
        <is>
          <t>2.01.02 Frete sobre Vendas</t>
        </is>
      </c>
      <c r="C3577" s="30" t="n">
        <v>46174</v>
      </c>
      <c r="D3577" t="inlineStr">
        <is>
          <t>Em 2026</t>
        </is>
      </c>
      <c r="E3577" s="28" t="n">
        <v>46178</v>
      </c>
      <c r="F3577" t="inlineStr">
        <is>
          <t>CT-e</t>
        </is>
      </c>
      <c r="G3577" t="inlineStr">
        <is>
          <t>001442540</t>
        </is>
      </c>
      <c r="H3577" t="inlineStr">
        <is>
          <t>PICCOLI TRANSPORTES LTDA</t>
        </is>
      </c>
      <c r="J3577" s="29" t="n">
        <v>270.2</v>
      </c>
      <c r="K3577" s="29">
        <f>(1-ISNUMBER(SEARCH("556",M3577)))*(O3577*SUMIFS(Premissas!$C$5:$C$44,Premissas!$A$5:$A$44,$A3577,Premissas!$B$5:$B$44,$B3577)+P3577*SUMIFS(Premissas!$D$5:$D$44,Premissas!$A$5:$A$44,$A3577,Premissas!$B$5:$B$44,$B3577))+R3577*SUMIFS(Premissas!$E$5:$E$44,Premissas!$A$5:$A$44,$A3577,Premissas!$B$5:$B$44,$B3577)+S3577*SUMIFS(Premissas!$F$5:$F$44,Premissas!$A$5:$A$44,$A3577,Premissas!$B$5:$B$44,$B3577)</f>
        <v/>
      </c>
      <c r="L3577" s="29">
        <f>J3577-K3577</f>
        <v/>
      </c>
      <c r="M3577" t="inlineStr">
        <is>
          <t>1.350</t>
        </is>
      </c>
      <c r="N3577" t="inlineStr">
        <is>
          <t>Modalidade: 0 - Por conta do remetente | Parte: IMPERADOR DISTRIBUIDOR DE EMBALAGENS LTDA (10.575.734/0001-52)</t>
        </is>
      </c>
      <c r="O3577" s="29" t="n">
        <v>0</v>
      </c>
      <c r="P3577" s="29" t="n">
        <v>18.91</v>
      </c>
      <c r="Q3577" s="29" t="n">
        <v>0</v>
      </c>
      <c r="R3577" s="29" t="n">
        <v>0</v>
      </c>
      <c r="S3577" s="29" t="n">
        <v>0</v>
      </c>
      <c r="T3577" t="inlineStr">
        <is>
          <t>35260601496359000245570010014425401005709513</t>
        </is>
      </c>
      <c r="U3577" t="inlineStr">
        <is>
          <t>Sim</t>
        </is>
      </c>
    </row>
    <row r="3578">
      <c r="A3578" t="inlineStr">
        <is>
          <t>Frete de venda</t>
        </is>
      </c>
      <c r="B3578" t="inlineStr">
        <is>
          <t>2.01.02 Frete sobre Vendas</t>
        </is>
      </c>
      <c r="C3578" s="30" t="n">
        <v>46174</v>
      </c>
      <c r="D3578" t="inlineStr">
        <is>
          <t>Em 2026</t>
        </is>
      </c>
      <c r="E3578" s="28" t="n">
        <v>46178</v>
      </c>
      <c r="F3578" t="inlineStr">
        <is>
          <t>CT-e</t>
        </is>
      </c>
      <c r="G3578" t="inlineStr">
        <is>
          <t>001442541</t>
        </is>
      </c>
      <c r="H3578" t="inlineStr">
        <is>
          <t>PICCOLI TRANSPORTES LTDA</t>
        </is>
      </c>
      <c r="J3578" s="29" t="n">
        <v>1302.5</v>
      </c>
      <c r="K3578" s="29">
        <f>(1-ISNUMBER(SEARCH("556",M3578)))*(O3578*SUMIFS(Premissas!$C$5:$C$44,Premissas!$A$5:$A$44,$A3578,Premissas!$B$5:$B$44,$B3578)+P3578*SUMIFS(Premissas!$D$5:$D$44,Premissas!$A$5:$A$44,$A3578,Premissas!$B$5:$B$44,$B3578))+R3578*SUMIFS(Premissas!$E$5:$E$44,Premissas!$A$5:$A$44,$A3578,Premissas!$B$5:$B$44,$B3578)+S3578*SUMIFS(Premissas!$F$5:$F$44,Premissas!$A$5:$A$44,$A3578,Premissas!$B$5:$B$44,$B3578)</f>
        <v/>
      </c>
      <c r="L3578" s="29">
        <f>J3578-K3578</f>
        <v/>
      </c>
      <c r="M3578" t="inlineStr">
        <is>
          <t>1.350</t>
        </is>
      </c>
      <c r="N3578" t="inlineStr">
        <is>
          <t>Modalidade: 0 - Por conta do remetente | Parte: GR DOCES E EMBALAGENS LTDA (42.338.637/0001-32)</t>
        </is>
      </c>
      <c r="O3578" s="29" t="n">
        <v>0</v>
      </c>
      <c r="P3578" s="29" t="n">
        <v>91.18000000000001</v>
      </c>
      <c r="Q3578" s="29" t="n">
        <v>0</v>
      </c>
      <c r="R3578" s="29" t="n">
        <v>0</v>
      </c>
      <c r="S3578" s="29" t="n">
        <v>0</v>
      </c>
      <c r="T3578" t="inlineStr">
        <is>
          <t>35260601496359000245570010014425411005709529</t>
        </is>
      </c>
      <c r="U3578" t="inlineStr">
        <is>
          <t>Sim</t>
        </is>
      </c>
    </row>
    <row r="3579">
      <c r="A3579" t="inlineStr">
        <is>
          <t>Frete de venda</t>
        </is>
      </c>
      <c r="B3579" t="inlineStr">
        <is>
          <t>2.01.02 Frete sobre Vendas</t>
        </is>
      </c>
      <c r="C3579" s="30" t="n">
        <v>46174</v>
      </c>
      <c r="D3579" t="inlineStr">
        <is>
          <t>Em 2026</t>
        </is>
      </c>
      <c r="E3579" s="28" t="n">
        <v>46178</v>
      </c>
      <c r="F3579" t="inlineStr">
        <is>
          <t>CT-e</t>
        </is>
      </c>
      <c r="G3579" t="inlineStr">
        <is>
          <t>001442542</t>
        </is>
      </c>
      <c r="H3579" t="inlineStr">
        <is>
          <t>PICCOLI TRANSPORTES LTDA</t>
        </is>
      </c>
      <c r="J3579" s="29" t="n">
        <v>492.97</v>
      </c>
      <c r="K3579" s="29">
        <f>(1-ISNUMBER(SEARCH("556",M3579)))*(O3579*SUMIFS(Premissas!$C$5:$C$44,Premissas!$A$5:$A$44,$A3579,Premissas!$B$5:$B$44,$B3579)+P3579*SUMIFS(Premissas!$D$5:$D$44,Premissas!$A$5:$A$44,$A3579,Premissas!$B$5:$B$44,$B3579))+R3579*SUMIFS(Premissas!$E$5:$E$44,Premissas!$A$5:$A$44,$A3579,Premissas!$B$5:$B$44,$B3579)+S3579*SUMIFS(Premissas!$F$5:$F$44,Premissas!$A$5:$A$44,$A3579,Premissas!$B$5:$B$44,$B3579)</f>
        <v/>
      </c>
      <c r="L3579" s="29">
        <f>J3579-K3579</f>
        <v/>
      </c>
      <c r="M3579" t="inlineStr">
        <is>
          <t>1.350</t>
        </is>
      </c>
      <c r="N3579" t="inlineStr">
        <is>
          <t>Modalidade: 0 - Por conta do remetente | Parte: C. G. L CASA FORTE LTDA (49.610.263/0001-01)</t>
        </is>
      </c>
      <c r="O3579" s="29" t="n">
        <v>0</v>
      </c>
      <c r="P3579" s="29" t="n">
        <v>34.51</v>
      </c>
      <c r="Q3579" s="29" t="n">
        <v>0</v>
      </c>
      <c r="R3579" s="29" t="n">
        <v>0</v>
      </c>
      <c r="S3579" s="29" t="n">
        <v>0</v>
      </c>
      <c r="T3579" t="inlineStr">
        <is>
          <t>35260601496359000245570010014425421005709534</t>
        </is>
      </c>
      <c r="U3579" t="inlineStr">
        <is>
          <t>Sim</t>
        </is>
      </c>
    </row>
    <row r="3580">
      <c r="A3580" t="inlineStr">
        <is>
          <t>Frete de venda</t>
        </is>
      </c>
      <c r="B3580" t="inlineStr">
        <is>
          <t>2.01.02 Frete sobre Vendas</t>
        </is>
      </c>
      <c r="C3580" s="30" t="n">
        <v>46174</v>
      </c>
      <c r="D3580" t="inlineStr">
        <is>
          <t>Em 2026</t>
        </is>
      </c>
      <c r="E3580" s="28" t="n">
        <v>46178</v>
      </c>
      <c r="F3580" t="inlineStr">
        <is>
          <t>CT-e</t>
        </is>
      </c>
      <c r="G3580" t="inlineStr">
        <is>
          <t>001442543</t>
        </is>
      </c>
      <c r="H3580" t="inlineStr">
        <is>
          <t>PICCOLI TRANSPORTES LTDA</t>
        </is>
      </c>
      <c r="J3580" s="29" t="n">
        <v>1856.73</v>
      </c>
      <c r="K3580" s="29">
        <f>(1-ISNUMBER(SEARCH("556",M3580)))*(O3580*SUMIFS(Premissas!$C$5:$C$44,Premissas!$A$5:$A$44,$A3580,Premissas!$B$5:$B$44,$B3580)+P3580*SUMIFS(Premissas!$D$5:$D$44,Premissas!$A$5:$A$44,$A3580,Premissas!$B$5:$B$44,$B3580))+R3580*SUMIFS(Premissas!$E$5:$E$44,Premissas!$A$5:$A$44,$A3580,Premissas!$B$5:$B$44,$B3580)+S3580*SUMIFS(Premissas!$F$5:$F$44,Premissas!$A$5:$A$44,$A3580,Premissas!$B$5:$B$44,$B3580)</f>
        <v/>
      </c>
      <c r="L3580" s="29">
        <f>J3580-K3580</f>
        <v/>
      </c>
      <c r="M3580" t="inlineStr">
        <is>
          <t>1.350</t>
        </is>
      </c>
      <c r="N3580" t="inlineStr">
        <is>
          <t>Modalidade: 0 - Por conta do remetente | Parte: BEIRA RIO COMERCIO DE EMBALAGENS LTDA (34.018.326/0001-68)</t>
        </is>
      </c>
      <c r="O3580" s="29" t="n">
        <v>0</v>
      </c>
      <c r="P3580" s="29" t="n">
        <v>129.97</v>
      </c>
      <c r="Q3580" s="29" t="n">
        <v>0</v>
      </c>
      <c r="R3580" s="29" t="n">
        <v>0</v>
      </c>
      <c r="S3580" s="29" t="n">
        <v>0</v>
      </c>
      <c r="T3580" t="inlineStr">
        <is>
          <t>35260601496359000245570010014425431005709540</t>
        </is>
      </c>
      <c r="U3580" t="inlineStr">
        <is>
          <t>Sim</t>
        </is>
      </c>
    </row>
    <row r="3581">
      <c r="A3581" t="inlineStr">
        <is>
          <t>Frete de venda</t>
        </is>
      </c>
      <c r="B3581" t="inlineStr">
        <is>
          <t>2.01.02 Frete sobre Vendas</t>
        </is>
      </c>
      <c r="C3581" s="30" t="n">
        <v>46174</v>
      </c>
      <c r="D3581" t="inlineStr">
        <is>
          <t>Em 2026</t>
        </is>
      </c>
      <c r="E3581" s="28" t="n">
        <v>46183</v>
      </c>
      <c r="F3581" t="inlineStr">
        <is>
          <t>CT-e</t>
        </is>
      </c>
      <c r="G3581" t="inlineStr">
        <is>
          <t>001443736</t>
        </is>
      </c>
      <c r="H3581" t="inlineStr">
        <is>
          <t>PICCOLI TRANSPORTES LTDA</t>
        </is>
      </c>
      <c r="J3581" s="29" t="n">
        <v>6431.74</v>
      </c>
      <c r="K3581" s="29">
        <f>(1-ISNUMBER(SEARCH("556",M3581)))*(O3581*SUMIFS(Premissas!$C$5:$C$44,Premissas!$A$5:$A$44,$A3581,Premissas!$B$5:$B$44,$B3581)+P3581*SUMIFS(Premissas!$D$5:$D$44,Premissas!$A$5:$A$44,$A3581,Premissas!$B$5:$B$44,$B3581))+R3581*SUMIFS(Premissas!$E$5:$E$44,Premissas!$A$5:$A$44,$A3581,Premissas!$B$5:$B$44,$B3581)+S3581*SUMIFS(Premissas!$F$5:$F$44,Premissas!$A$5:$A$44,$A3581,Premissas!$B$5:$B$44,$B3581)</f>
        <v/>
      </c>
      <c r="L3581" s="29">
        <f>J3581-K3581</f>
        <v/>
      </c>
      <c r="M3581" t="inlineStr">
        <is>
          <t>1.350</t>
        </is>
      </c>
      <c r="N3581" t="inlineStr">
        <is>
          <t>Modalidade: 0 - Por conta do remetente | Parte: INDUSTRIAL E COMERCIAL ALMEIDA LTDA (02.623.537/0010-24)</t>
        </is>
      </c>
      <c r="O3581" s="29" t="n">
        <v>0</v>
      </c>
      <c r="P3581" s="29" t="n">
        <v>450.22</v>
      </c>
      <c r="Q3581" s="29" t="n">
        <v>0</v>
      </c>
      <c r="R3581" s="29" t="n">
        <v>0</v>
      </c>
      <c r="S3581" s="29" t="n">
        <v>0</v>
      </c>
      <c r="T3581" t="inlineStr">
        <is>
          <t>35260601496359000245570010014437361005724892</t>
        </is>
      </c>
      <c r="U3581" t="inlineStr">
        <is>
          <t>Sim</t>
        </is>
      </c>
    </row>
    <row r="3582">
      <c r="A3582" t="inlineStr">
        <is>
          <t>Frete de venda</t>
        </is>
      </c>
      <c r="B3582" t="inlineStr">
        <is>
          <t>2.01.02 Frete sobre Vendas</t>
        </is>
      </c>
      <c r="C3582" s="30" t="n">
        <v>46174</v>
      </c>
      <c r="D3582" t="inlineStr">
        <is>
          <t>Em 2026</t>
        </is>
      </c>
      <c r="E3582" s="28" t="n">
        <v>46174</v>
      </c>
      <c r="F3582" t="inlineStr">
        <is>
          <t>CT-e</t>
        </is>
      </c>
      <c r="G3582" t="inlineStr">
        <is>
          <t>000007237</t>
        </is>
      </c>
      <c r="H3582" t="inlineStr">
        <is>
          <t>R&amp;R TRANSPORTE E LOGISTICA</t>
        </is>
      </c>
      <c r="J3582" s="29" t="n">
        <v>26.7</v>
      </c>
      <c r="K3582" s="29">
        <f>(1-ISNUMBER(SEARCH("556",M3582)))*(O3582*SUMIFS(Premissas!$C$5:$C$44,Premissas!$A$5:$A$44,$A3582,Premissas!$B$5:$B$44,$B3582)+P3582*SUMIFS(Premissas!$D$5:$D$44,Premissas!$A$5:$A$44,$A3582,Premissas!$B$5:$B$44,$B3582))+R3582*SUMIFS(Premissas!$E$5:$E$44,Premissas!$A$5:$A$44,$A3582,Premissas!$B$5:$B$44,$B3582)+S3582*SUMIFS(Premissas!$F$5:$F$44,Premissas!$A$5:$A$44,$A3582,Premissas!$B$5:$B$44,$B3582)</f>
        <v/>
      </c>
      <c r="L3582" s="29">
        <f>J3582-K3582</f>
        <v/>
      </c>
      <c r="M3582" t="inlineStr">
        <is>
          <t>2.350</t>
        </is>
      </c>
      <c r="N3582" t="inlineStr">
        <is>
          <t>Modalidade: 0 - Por conta do remetente | Parte: GALERIA DESCARTAVEIS E FERRAGENS LTDA (15.151.041/0001-56)</t>
        </is>
      </c>
      <c r="O3582" s="29" t="n">
        <v>0</v>
      </c>
      <c r="P3582" s="29" t="n">
        <v>0</v>
      </c>
      <c r="Q3582" s="29" t="n">
        <v>0</v>
      </c>
      <c r="R3582" s="29" t="n">
        <v>0</v>
      </c>
      <c r="S3582" s="29" t="n">
        <v>0</v>
      </c>
      <c r="T3582" t="inlineStr">
        <is>
          <t>25260626975620000130570010000072371000130803</t>
        </is>
      </c>
      <c r="U3582" t="inlineStr">
        <is>
          <t>Não</t>
        </is>
      </c>
    </row>
    <row r="3583">
      <c r="A3583" t="inlineStr">
        <is>
          <t>Frete de venda</t>
        </is>
      </c>
      <c r="B3583" t="inlineStr">
        <is>
          <t>2.01.02 Frete sobre Vendas</t>
        </is>
      </c>
      <c r="C3583" s="30" t="n">
        <v>46174</v>
      </c>
      <c r="D3583" t="inlineStr">
        <is>
          <t>Em 2026</t>
        </is>
      </c>
      <c r="E3583" s="28" t="n">
        <v>46174</v>
      </c>
      <c r="F3583" t="inlineStr">
        <is>
          <t>CT-e</t>
        </is>
      </c>
      <c r="G3583" t="inlineStr">
        <is>
          <t>000007238</t>
        </is>
      </c>
      <c r="H3583" t="inlineStr">
        <is>
          <t>R&amp;R TRANSPORTE E LOGISTICA</t>
        </is>
      </c>
      <c r="J3583" s="29" t="n">
        <v>35.6</v>
      </c>
      <c r="K3583" s="29">
        <f>(1-ISNUMBER(SEARCH("556",M3583)))*(O3583*SUMIFS(Premissas!$C$5:$C$44,Premissas!$A$5:$A$44,$A3583,Premissas!$B$5:$B$44,$B3583)+P3583*SUMIFS(Premissas!$D$5:$D$44,Premissas!$A$5:$A$44,$A3583,Premissas!$B$5:$B$44,$B3583))+R3583*SUMIFS(Premissas!$E$5:$E$44,Premissas!$A$5:$A$44,$A3583,Premissas!$B$5:$B$44,$B3583)+S3583*SUMIFS(Premissas!$F$5:$F$44,Premissas!$A$5:$A$44,$A3583,Premissas!$B$5:$B$44,$B3583)</f>
        <v/>
      </c>
      <c r="L3583" s="29">
        <f>J3583-K3583</f>
        <v/>
      </c>
      <c r="M3583" t="inlineStr">
        <is>
          <t>2.350</t>
        </is>
      </c>
      <c r="N3583" t="inlineStr">
        <is>
          <t>Modalidade: 0 - Por conta do remetente | Parte: M. A. DE A. LIMA CARDOSO (34.425.813/0001-45)</t>
        </is>
      </c>
      <c r="O3583" s="29" t="n">
        <v>0</v>
      </c>
      <c r="P3583" s="29" t="n">
        <v>0</v>
      </c>
      <c r="Q3583" s="29" t="n">
        <v>0</v>
      </c>
      <c r="R3583" s="29" t="n">
        <v>0</v>
      </c>
      <c r="S3583" s="29" t="n">
        <v>0</v>
      </c>
      <c r="T3583" t="inlineStr">
        <is>
          <t>25260626975620000130570010000072381000010880</t>
        </is>
      </c>
      <c r="U3583" t="inlineStr">
        <is>
          <t>Não</t>
        </is>
      </c>
    </row>
    <row r="3584">
      <c r="A3584" t="inlineStr">
        <is>
          <t>Frete de venda</t>
        </is>
      </c>
      <c r="B3584" t="inlineStr">
        <is>
          <t>2.01.02 Frete sobre Vendas</t>
        </is>
      </c>
      <c r="C3584" s="30" t="n">
        <v>46174</v>
      </c>
      <c r="D3584" t="inlineStr">
        <is>
          <t>Em 2026</t>
        </is>
      </c>
      <c r="E3584" s="28" t="n">
        <v>46174</v>
      </c>
      <c r="F3584" t="inlineStr">
        <is>
          <t>CT-e</t>
        </is>
      </c>
      <c r="G3584" t="inlineStr">
        <is>
          <t>000007239</t>
        </is>
      </c>
      <c r="H3584" t="inlineStr">
        <is>
          <t>R&amp;R TRANSPORTE E LOGISTICA</t>
        </is>
      </c>
      <c r="J3584" s="29" t="n">
        <v>57.2</v>
      </c>
      <c r="K3584" s="29">
        <f>(1-ISNUMBER(SEARCH("556",M3584)))*(O3584*SUMIFS(Premissas!$C$5:$C$44,Premissas!$A$5:$A$44,$A3584,Premissas!$B$5:$B$44,$B3584)+P3584*SUMIFS(Premissas!$D$5:$D$44,Premissas!$A$5:$A$44,$A3584,Premissas!$B$5:$B$44,$B3584))+R3584*SUMIFS(Premissas!$E$5:$E$44,Premissas!$A$5:$A$44,$A3584,Premissas!$B$5:$B$44,$B3584)+S3584*SUMIFS(Premissas!$F$5:$F$44,Premissas!$A$5:$A$44,$A3584,Premissas!$B$5:$B$44,$B3584)</f>
        <v/>
      </c>
      <c r="L3584" s="29">
        <f>J3584-K3584</f>
        <v/>
      </c>
      <c r="M3584" t="inlineStr">
        <is>
          <t>2.350</t>
        </is>
      </c>
      <c r="N3584" t="inlineStr">
        <is>
          <t>Modalidade: 0 - Por conta do remetente | Parte: R A DOS SANTOS BARBOSA LTDA (02.444.236/0001-42)</t>
        </is>
      </c>
      <c r="O3584" s="29" t="n">
        <v>0</v>
      </c>
      <c r="P3584" s="29" t="n">
        <v>0</v>
      </c>
      <c r="Q3584" s="29" t="n">
        <v>0</v>
      </c>
      <c r="R3584" s="29" t="n">
        <v>0</v>
      </c>
      <c r="S3584" s="29" t="n">
        <v>0</v>
      </c>
      <c r="T3584" t="inlineStr">
        <is>
          <t>25260626975620000130570010000072391000180961</t>
        </is>
      </c>
      <c r="U3584" t="inlineStr">
        <is>
          <t>Não</t>
        </is>
      </c>
    </row>
    <row r="3585">
      <c r="A3585" t="inlineStr">
        <is>
          <t>Frete de venda</t>
        </is>
      </c>
      <c r="B3585" t="inlineStr">
        <is>
          <t>2.01.02 Frete sobre Vendas</t>
        </is>
      </c>
      <c r="C3585" s="30" t="n">
        <v>46174</v>
      </c>
      <c r="D3585" t="inlineStr">
        <is>
          <t>Em 2026</t>
        </is>
      </c>
      <c r="E3585" s="28" t="n">
        <v>46174</v>
      </c>
      <c r="F3585" t="inlineStr">
        <is>
          <t>CT-e</t>
        </is>
      </c>
      <c r="G3585" t="inlineStr">
        <is>
          <t>000007240</t>
        </is>
      </c>
      <c r="H3585" t="inlineStr">
        <is>
          <t>R&amp;R TRANSPORTE E LOGISTICA</t>
        </is>
      </c>
      <c r="J3585" s="29" t="n">
        <v>99.40000000000001</v>
      </c>
      <c r="K3585" s="29">
        <f>(1-ISNUMBER(SEARCH("556",M3585)))*(O3585*SUMIFS(Premissas!$C$5:$C$44,Premissas!$A$5:$A$44,$A3585,Premissas!$B$5:$B$44,$B3585)+P3585*SUMIFS(Premissas!$D$5:$D$44,Premissas!$A$5:$A$44,$A3585,Premissas!$B$5:$B$44,$B3585))+R3585*SUMIFS(Premissas!$E$5:$E$44,Premissas!$A$5:$A$44,$A3585,Premissas!$B$5:$B$44,$B3585)+S3585*SUMIFS(Premissas!$F$5:$F$44,Premissas!$A$5:$A$44,$A3585,Premissas!$B$5:$B$44,$B3585)</f>
        <v/>
      </c>
      <c r="L3585" s="29">
        <f>J3585-K3585</f>
        <v/>
      </c>
      <c r="M3585" t="inlineStr">
        <is>
          <t>2.350</t>
        </is>
      </c>
      <c r="N3585" t="inlineStr">
        <is>
          <t>Modalidade: 0 - Por conta do remetente | Parte: JAMES L. H. TOME e CIA LTDA (16.965.024/0001-15)</t>
        </is>
      </c>
      <c r="O3585" s="29" t="n">
        <v>0</v>
      </c>
      <c r="P3585" s="29" t="n">
        <v>0</v>
      </c>
      <c r="Q3585" s="29" t="n">
        <v>0</v>
      </c>
      <c r="R3585" s="29" t="n">
        <v>0</v>
      </c>
      <c r="S3585" s="29" t="n">
        <v>0</v>
      </c>
      <c r="T3585" t="inlineStr">
        <is>
          <t>25260626975620000130570010000072401001501045</t>
        </is>
      </c>
      <c r="U3585" t="inlineStr">
        <is>
          <t>Não</t>
        </is>
      </c>
    </row>
    <row r="3586">
      <c r="A3586" t="inlineStr">
        <is>
          <t>Frete de venda</t>
        </is>
      </c>
      <c r="B3586" t="inlineStr">
        <is>
          <t>2.01.02 Frete sobre Vendas</t>
        </is>
      </c>
      <c r="C3586" s="30" t="n">
        <v>46174</v>
      </c>
      <c r="D3586" t="inlineStr">
        <is>
          <t>Em 2026</t>
        </is>
      </c>
      <c r="E3586" s="28" t="n">
        <v>46174</v>
      </c>
      <c r="F3586" t="inlineStr">
        <is>
          <t>CT-e</t>
        </is>
      </c>
      <c r="G3586" t="inlineStr">
        <is>
          <t>000007241</t>
        </is>
      </c>
      <c r="H3586" t="inlineStr">
        <is>
          <t>R&amp;R TRANSPORTE E LOGISTICA</t>
        </is>
      </c>
      <c r="J3586" s="29" t="n">
        <v>28.7</v>
      </c>
      <c r="K3586" s="29">
        <f>(1-ISNUMBER(SEARCH("556",M3586)))*(O3586*SUMIFS(Premissas!$C$5:$C$44,Premissas!$A$5:$A$44,$A3586,Premissas!$B$5:$B$44,$B3586)+P3586*SUMIFS(Premissas!$D$5:$D$44,Premissas!$A$5:$A$44,$A3586,Premissas!$B$5:$B$44,$B3586))+R3586*SUMIFS(Premissas!$E$5:$E$44,Premissas!$A$5:$A$44,$A3586,Premissas!$B$5:$B$44,$B3586)+S3586*SUMIFS(Premissas!$F$5:$F$44,Premissas!$A$5:$A$44,$A3586,Premissas!$B$5:$B$44,$B3586)</f>
        <v/>
      </c>
      <c r="L3586" s="29">
        <f>J3586-K3586</f>
        <v/>
      </c>
      <c r="M3586" t="inlineStr">
        <is>
          <t>2.350</t>
        </is>
      </c>
      <c r="N3586" t="inlineStr">
        <is>
          <t>Modalidade: 0 - Por conta do remetente | Parte: U. F. CAMPOS LTDA (36.952.330/0001-24)</t>
        </is>
      </c>
      <c r="O3586" s="29" t="n">
        <v>0</v>
      </c>
      <c r="P3586" s="29" t="n">
        <v>0</v>
      </c>
      <c r="Q3586" s="29" t="n">
        <v>0</v>
      </c>
      <c r="R3586" s="29" t="n">
        <v>0</v>
      </c>
      <c r="S3586" s="29" t="n">
        <v>0</v>
      </c>
      <c r="T3586" t="inlineStr">
        <is>
          <t>25260626975620000130570010000072411001201120</t>
        </is>
      </c>
      <c r="U3586" t="inlineStr">
        <is>
          <t>Não</t>
        </is>
      </c>
    </row>
    <row r="3587">
      <c r="A3587" t="inlineStr">
        <is>
          <t>Frete de venda</t>
        </is>
      </c>
      <c r="B3587" t="inlineStr">
        <is>
          <t>2.01.02 Frete sobre Vendas</t>
        </is>
      </c>
      <c r="C3587" s="30" t="n">
        <v>46174</v>
      </c>
      <c r="D3587" t="inlineStr">
        <is>
          <t>Em 2026</t>
        </is>
      </c>
      <c r="E3587" s="28" t="n">
        <v>46174</v>
      </c>
      <c r="F3587" t="inlineStr">
        <is>
          <t>CT-e</t>
        </is>
      </c>
      <c r="G3587" t="inlineStr">
        <is>
          <t>000007242</t>
        </is>
      </c>
      <c r="H3587" t="inlineStr">
        <is>
          <t>R&amp;R TRANSPORTE E LOGISTICA</t>
        </is>
      </c>
      <c r="J3587" s="29" t="n">
        <v>43.3</v>
      </c>
      <c r="K3587" s="29">
        <f>(1-ISNUMBER(SEARCH("556",M3587)))*(O3587*SUMIFS(Premissas!$C$5:$C$44,Premissas!$A$5:$A$44,$A3587,Premissas!$B$5:$B$44,$B3587)+P3587*SUMIFS(Premissas!$D$5:$D$44,Premissas!$A$5:$A$44,$A3587,Premissas!$B$5:$B$44,$B3587))+R3587*SUMIFS(Premissas!$E$5:$E$44,Premissas!$A$5:$A$44,$A3587,Premissas!$B$5:$B$44,$B3587)+S3587*SUMIFS(Premissas!$F$5:$F$44,Premissas!$A$5:$A$44,$A3587,Premissas!$B$5:$B$44,$B3587)</f>
        <v/>
      </c>
      <c r="L3587" s="29">
        <f>J3587-K3587</f>
        <v/>
      </c>
      <c r="M3587" t="inlineStr">
        <is>
          <t>2.350</t>
        </is>
      </c>
      <c r="N3587" t="inlineStr">
        <is>
          <t>Modalidade: 0 - Por conta do remetente | Parte: MEGA FESTAS LTDA (07.064.216/0002-40)</t>
        </is>
      </c>
      <c r="O3587" s="29" t="n">
        <v>0</v>
      </c>
      <c r="P3587" s="29" t="n">
        <v>0</v>
      </c>
      <c r="Q3587" s="29" t="n">
        <v>0</v>
      </c>
      <c r="R3587" s="29" t="n">
        <v>0</v>
      </c>
      <c r="S3587" s="29" t="n">
        <v>0</v>
      </c>
      <c r="T3587" t="inlineStr">
        <is>
          <t>25260626975620000130570010000072421011001201</t>
        </is>
      </c>
      <c r="U3587" t="inlineStr">
        <is>
          <t>Não</t>
        </is>
      </c>
    </row>
    <row r="3588">
      <c r="A3588" t="inlineStr">
        <is>
          <t>Frete de venda</t>
        </is>
      </c>
      <c r="B3588" t="inlineStr">
        <is>
          <t>2.01.02 Frete sobre Vendas</t>
        </is>
      </c>
      <c r="C3588" s="30" t="n">
        <v>46174</v>
      </c>
      <c r="D3588" t="inlineStr">
        <is>
          <t>Em 2026</t>
        </is>
      </c>
      <c r="E3588" s="28" t="n">
        <v>46174</v>
      </c>
      <c r="F3588" t="inlineStr">
        <is>
          <t>CT-e</t>
        </is>
      </c>
      <c r="G3588" t="inlineStr">
        <is>
          <t>000007243</t>
        </is>
      </c>
      <c r="H3588" t="inlineStr">
        <is>
          <t>R&amp;R TRANSPORTE E LOGISTICA</t>
        </is>
      </c>
      <c r="J3588" s="29" t="n">
        <v>29.15</v>
      </c>
      <c r="K3588" s="29">
        <f>(1-ISNUMBER(SEARCH("556",M3588)))*(O3588*SUMIFS(Premissas!$C$5:$C$44,Premissas!$A$5:$A$44,$A3588,Premissas!$B$5:$B$44,$B3588)+P3588*SUMIFS(Premissas!$D$5:$D$44,Premissas!$A$5:$A$44,$A3588,Premissas!$B$5:$B$44,$B3588))+R3588*SUMIFS(Premissas!$E$5:$E$44,Premissas!$A$5:$A$44,$A3588,Premissas!$B$5:$B$44,$B3588)+S3588*SUMIFS(Premissas!$F$5:$F$44,Premissas!$A$5:$A$44,$A3588,Premissas!$B$5:$B$44,$B3588)</f>
        <v/>
      </c>
      <c r="L3588" s="29">
        <f>J3588-K3588</f>
        <v/>
      </c>
      <c r="M3588" t="inlineStr">
        <is>
          <t>2.350</t>
        </is>
      </c>
      <c r="N3588" t="inlineStr">
        <is>
          <t>Modalidade: 0 - Por conta do remetente | Parte: COMERCIAL DE PRODUTOS DESCARTAVEIS CAMPINA LTDA (11.692.314/0001-19)</t>
        </is>
      </c>
      <c r="O3588" s="29" t="n">
        <v>0</v>
      </c>
      <c r="P3588" s="29" t="n">
        <v>0</v>
      </c>
      <c r="Q3588" s="29" t="n">
        <v>0</v>
      </c>
      <c r="R3588" s="29" t="n">
        <v>0</v>
      </c>
      <c r="S3588" s="29" t="n">
        <v>0</v>
      </c>
      <c r="T3588" t="inlineStr">
        <is>
          <t>25260626975620000130570010000072431001701283</t>
        </is>
      </c>
      <c r="U3588" t="inlineStr">
        <is>
          <t>Não</t>
        </is>
      </c>
    </row>
    <row r="3589">
      <c r="A3589" t="inlineStr">
        <is>
          <t>Frete de venda</t>
        </is>
      </c>
      <c r="B3589" t="inlineStr">
        <is>
          <t>2.01.02 Frete sobre Vendas</t>
        </is>
      </c>
      <c r="C3589" s="30" t="n">
        <v>46174</v>
      </c>
      <c r="D3589" t="inlineStr">
        <is>
          <t>Em 2026</t>
        </is>
      </c>
      <c r="E3589" s="28" t="n">
        <v>46174</v>
      </c>
      <c r="F3589" t="inlineStr">
        <is>
          <t>CT-e</t>
        </is>
      </c>
      <c r="G3589" t="inlineStr">
        <is>
          <t>000007244</t>
        </is>
      </c>
      <c r="H3589" t="inlineStr">
        <is>
          <t>R&amp;R TRANSPORTE E LOGISTICA</t>
        </is>
      </c>
      <c r="J3589" s="29" t="n">
        <v>73.84999999999999</v>
      </c>
      <c r="K3589" s="29">
        <f>(1-ISNUMBER(SEARCH("556",M3589)))*(O3589*SUMIFS(Premissas!$C$5:$C$44,Premissas!$A$5:$A$44,$A3589,Premissas!$B$5:$B$44,$B3589)+P3589*SUMIFS(Premissas!$D$5:$D$44,Premissas!$A$5:$A$44,$A3589,Premissas!$B$5:$B$44,$B3589))+R3589*SUMIFS(Premissas!$E$5:$E$44,Premissas!$A$5:$A$44,$A3589,Premissas!$B$5:$B$44,$B3589)+S3589*SUMIFS(Premissas!$F$5:$F$44,Premissas!$A$5:$A$44,$A3589,Premissas!$B$5:$B$44,$B3589)</f>
        <v/>
      </c>
      <c r="L3589" s="29">
        <f>J3589-K3589</f>
        <v/>
      </c>
      <c r="M3589" t="inlineStr">
        <is>
          <t>2.350</t>
        </is>
      </c>
      <c r="N3589" t="inlineStr">
        <is>
          <t>Modalidade: 0 - Por conta do remetente | Parte: R ALBUQUERQUE COMERCIO DE ARTIGOS DE ARMARINHO LTDA (57.701.763/0001-87)</t>
        </is>
      </c>
      <c r="O3589" s="29" t="n">
        <v>0</v>
      </c>
      <c r="P3589" s="29" t="n">
        <v>0</v>
      </c>
      <c r="Q3589" s="29" t="n">
        <v>0</v>
      </c>
      <c r="R3589" s="29" t="n">
        <v>0</v>
      </c>
      <c r="S3589" s="29" t="n">
        <v>0</v>
      </c>
      <c r="T3589" t="inlineStr">
        <is>
          <t>25260626975620000130570010000072441001401368</t>
        </is>
      </c>
      <c r="U3589" t="inlineStr">
        <is>
          <t>Não</t>
        </is>
      </c>
    </row>
    <row r="3590">
      <c r="A3590" t="inlineStr">
        <is>
          <t>Frete de venda</t>
        </is>
      </c>
      <c r="B3590" t="inlineStr">
        <is>
          <t>2.01.02 Frete sobre Vendas</t>
        </is>
      </c>
      <c r="C3590" s="30" t="n">
        <v>46174</v>
      </c>
      <c r="D3590" t="inlineStr">
        <is>
          <t>Em 2026</t>
        </is>
      </c>
      <c r="E3590" s="28" t="n">
        <v>46174</v>
      </c>
      <c r="F3590" t="inlineStr">
        <is>
          <t>CT-e</t>
        </is>
      </c>
      <c r="G3590" t="inlineStr">
        <is>
          <t>000007245</t>
        </is>
      </c>
      <c r="H3590" t="inlineStr">
        <is>
          <t>R&amp;R TRANSPORTE E LOGISTICA</t>
        </is>
      </c>
      <c r="J3590" s="29" t="n">
        <v>43</v>
      </c>
      <c r="K3590" s="29">
        <f>(1-ISNUMBER(SEARCH("556",M3590)))*(O3590*SUMIFS(Premissas!$C$5:$C$44,Premissas!$A$5:$A$44,$A3590,Premissas!$B$5:$B$44,$B3590)+P3590*SUMIFS(Premissas!$D$5:$D$44,Premissas!$A$5:$A$44,$A3590,Premissas!$B$5:$B$44,$B3590))+R3590*SUMIFS(Premissas!$E$5:$E$44,Premissas!$A$5:$A$44,$A3590,Premissas!$B$5:$B$44,$B3590)+S3590*SUMIFS(Premissas!$F$5:$F$44,Premissas!$A$5:$A$44,$A3590,Premissas!$B$5:$B$44,$B3590)</f>
        <v/>
      </c>
      <c r="L3590" s="29">
        <f>J3590-K3590</f>
        <v/>
      </c>
      <c r="M3590" t="inlineStr">
        <is>
          <t>2.350</t>
        </is>
      </c>
      <c r="N3590" t="inlineStr">
        <is>
          <t>Modalidade: 0 - Por conta do remetente | Parte: A. S. MALAMAO LTDA (18.965.796/0001-82)</t>
        </is>
      </c>
      <c r="O3590" s="29" t="n">
        <v>0</v>
      </c>
      <c r="P3590" s="29" t="n">
        <v>0</v>
      </c>
      <c r="Q3590" s="29" t="n">
        <v>0</v>
      </c>
      <c r="R3590" s="29" t="n">
        <v>0</v>
      </c>
      <c r="S3590" s="29" t="n">
        <v>0</v>
      </c>
      <c r="T3590" t="inlineStr">
        <is>
          <t>25260626975620000130570010000072451000150717</t>
        </is>
      </c>
      <c r="U3590" t="inlineStr">
        <is>
          <t>Não</t>
        </is>
      </c>
    </row>
    <row r="3591">
      <c r="A3591" t="inlineStr">
        <is>
          <t>Frete de venda</t>
        </is>
      </c>
      <c r="B3591" t="inlineStr">
        <is>
          <t>2.01.02 Frete sobre Vendas</t>
        </is>
      </c>
      <c r="C3591" s="30" t="n">
        <v>46174</v>
      </c>
      <c r="D3591" t="inlineStr">
        <is>
          <t>Em 2026</t>
        </is>
      </c>
      <c r="E3591" s="28" t="n">
        <v>46174</v>
      </c>
      <c r="F3591" t="inlineStr">
        <is>
          <t>CT-e</t>
        </is>
      </c>
      <c r="G3591" t="inlineStr">
        <is>
          <t>000007246</t>
        </is>
      </c>
      <c r="H3591" t="inlineStr">
        <is>
          <t>R&amp;R TRANSPORTE E LOGISTICA</t>
        </is>
      </c>
      <c r="J3591" s="29" t="n">
        <v>46.3</v>
      </c>
      <c r="K3591" s="29">
        <f>(1-ISNUMBER(SEARCH("556",M3591)))*(O3591*SUMIFS(Premissas!$C$5:$C$44,Premissas!$A$5:$A$44,$A3591,Premissas!$B$5:$B$44,$B3591)+P3591*SUMIFS(Premissas!$D$5:$D$44,Premissas!$A$5:$A$44,$A3591,Premissas!$B$5:$B$44,$B3591))+R3591*SUMIFS(Premissas!$E$5:$E$44,Premissas!$A$5:$A$44,$A3591,Premissas!$B$5:$B$44,$B3591)+S3591*SUMIFS(Premissas!$F$5:$F$44,Premissas!$A$5:$A$44,$A3591,Premissas!$B$5:$B$44,$B3591)</f>
        <v/>
      </c>
      <c r="L3591" s="29">
        <f>J3591-K3591</f>
        <v/>
      </c>
      <c r="M3591" t="inlineStr">
        <is>
          <t>2.350</t>
        </is>
      </c>
      <c r="N3591" t="inlineStr">
        <is>
          <t>Modalidade: 0 - Por conta do remetente | Parte: LIDER INDUSTRIA E COMERCIO LTDA (45.762.979/0001-73)</t>
        </is>
      </c>
      <c r="O3591" s="29" t="n">
        <v>0</v>
      </c>
      <c r="P3591" s="29" t="n">
        <v>0</v>
      </c>
      <c r="Q3591" s="29" t="n">
        <v>0</v>
      </c>
      <c r="R3591" s="29" t="n">
        <v>0</v>
      </c>
      <c r="S3591" s="29" t="n">
        <v>0</v>
      </c>
      <c r="T3591" t="inlineStr">
        <is>
          <t>25260626975620000130570010000072461000120793</t>
        </is>
      </c>
      <c r="U3591" t="inlineStr">
        <is>
          <t>Não</t>
        </is>
      </c>
    </row>
    <row r="3592">
      <c r="A3592" t="inlineStr">
        <is>
          <t>Frete de venda</t>
        </is>
      </c>
      <c r="B3592" t="inlineStr">
        <is>
          <t>2.01.02 Frete sobre Vendas</t>
        </is>
      </c>
      <c r="C3592" s="30" t="n">
        <v>46174</v>
      </c>
      <c r="D3592" t="inlineStr">
        <is>
          <t>Em 2026</t>
        </is>
      </c>
      <c r="E3592" s="28" t="n">
        <v>46176</v>
      </c>
      <c r="F3592" t="inlineStr">
        <is>
          <t>CT-e</t>
        </is>
      </c>
      <c r="G3592" t="inlineStr">
        <is>
          <t>000007247</t>
        </is>
      </c>
      <c r="H3592" t="inlineStr">
        <is>
          <t>R&amp;R TRANSPORTE E LOGISTICA</t>
        </is>
      </c>
      <c r="J3592" s="29" t="n">
        <v>53</v>
      </c>
      <c r="K3592" s="29">
        <f>(1-ISNUMBER(SEARCH("556",M3592)))*(O3592*SUMIFS(Premissas!$C$5:$C$44,Premissas!$A$5:$A$44,$A3592,Premissas!$B$5:$B$44,$B3592)+P3592*SUMIFS(Premissas!$D$5:$D$44,Premissas!$A$5:$A$44,$A3592,Premissas!$B$5:$B$44,$B3592))+R3592*SUMIFS(Premissas!$E$5:$E$44,Premissas!$A$5:$A$44,$A3592,Premissas!$B$5:$B$44,$B3592)+S3592*SUMIFS(Premissas!$F$5:$F$44,Premissas!$A$5:$A$44,$A3592,Premissas!$B$5:$B$44,$B3592)</f>
        <v/>
      </c>
      <c r="L3592" s="29">
        <f>J3592-K3592</f>
        <v/>
      </c>
      <c r="M3592" t="inlineStr">
        <is>
          <t>1.350</t>
        </is>
      </c>
      <c r="N3592" t="inlineStr">
        <is>
          <t>Modalidade: 0 - Por conta do remetente | Parte: RODRIGUES E CIA LTDA (26.144.570/0001-49)</t>
        </is>
      </c>
      <c r="O3592" s="29" t="n">
        <v>0</v>
      </c>
      <c r="P3592" s="29" t="n">
        <v>0</v>
      </c>
      <c r="Q3592" s="29" t="n">
        <v>0</v>
      </c>
      <c r="R3592" s="29" t="n">
        <v>0</v>
      </c>
      <c r="S3592" s="29" t="n">
        <v>0</v>
      </c>
      <c r="T3592" t="inlineStr">
        <is>
          <t>25260626975620000130570010000072471000010774</t>
        </is>
      </c>
      <c r="U3592" t="inlineStr">
        <is>
          <t>Não</t>
        </is>
      </c>
    </row>
    <row r="3593">
      <c r="A3593" t="inlineStr">
        <is>
          <t>Frete de venda</t>
        </is>
      </c>
      <c r="B3593" t="inlineStr">
        <is>
          <t>2.01.02 Frete sobre Vendas</t>
        </is>
      </c>
      <c r="C3593" s="30" t="n">
        <v>46174</v>
      </c>
      <c r="D3593" t="inlineStr">
        <is>
          <t>Em 2026</t>
        </is>
      </c>
      <c r="E3593" s="28" t="n">
        <v>46176</v>
      </c>
      <c r="F3593" t="inlineStr">
        <is>
          <t>CT-e</t>
        </is>
      </c>
      <c r="G3593" t="inlineStr">
        <is>
          <t>000007248</t>
        </is>
      </c>
      <c r="H3593" t="inlineStr">
        <is>
          <t>R&amp;R TRANSPORTE E LOGISTICA</t>
        </is>
      </c>
      <c r="J3593" s="29" t="n">
        <v>53</v>
      </c>
      <c r="K3593" s="29">
        <f>(1-ISNUMBER(SEARCH("556",M3593)))*(O3593*SUMIFS(Premissas!$C$5:$C$44,Premissas!$A$5:$A$44,$A3593,Premissas!$B$5:$B$44,$B3593)+P3593*SUMIFS(Premissas!$D$5:$D$44,Premissas!$A$5:$A$44,$A3593,Premissas!$B$5:$B$44,$B3593))+R3593*SUMIFS(Premissas!$E$5:$E$44,Premissas!$A$5:$A$44,$A3593,Premissas!$B$5:$B$44,$B3593)+S3593*SUMIFS(Premissas!$F$5:$F$44,Premissas!$A$5:$A$44,$A3593,Premissas!$B$5:$B$44,$B3593)</f>
        <v/>
      </c>
      <c r="L3593" s="29">
        <f>J3593-K3593</f>
        <v/>
      </c>
      <c r="M3593" t="inlineStr">
        <is>
          <t>1.350</t>
        </is>
      </c>
      <c r="N3593" t="inlineStr">
        <is>
          <t>Modalidade: 0 - Por conta do remetente | Parte: PARTY MAX COMERCIO ATACADISTA DE EMBALAGENS LTDA (30.711.974/0001-44)</t>
        </is>
      </c>
      <c r="O3593" s="29" t="n">
        <v>0</v>
      </c>
      <c r="P3593" s="29" t="n">
        <v>0</v>
      </c>
      <c r="Q3593" s="29" t="n">
        <v>0</v>
      </c>
      <c r="R3593" s="29" t="n">
        <v>0</v>
      </c>
      <c r="S3593" s="29" t="n">
        <v>0</v>
      </c>
      <c r="T3593" t="inlineStr">
        <is>
          <t>25260626975620000130570010000072481000180855</t>
        </is>
      </c>
      <c r="U3593" t="inlineStr">
        <is>
          <t>Não</t>
        </is>
      </c>
    </row>
    <row r="3594">
      <c r="A3594" t="inlineStr">
        <is>
          <t>Frete de venda</t>
        </is>
      </c>
      <c r="B3594" t="inlineStr">
        <is>
          <t>2.01.02 Frete sobre Vendas</t>
        </is>
      </c>
      <c r="C3594" s="30" t="n">
        <v>46174</v>
      </c>
      <c r="D3594" t="inlineStr">
        <is>
          <t>Em 2026</t>
        </is>
      </c>
      <c r="E3594" s="28" t="n">
        <v>46176</v>
      </c>
      <c r="F3594" t="inlineStr">
        <is>
          <t>CT-e</t>
        </is>
      </c>
      <c r="G3594" t="inlineStr">
        <is>
          <t>000007249</t>
        </is>
      </c>
      <c r="H3594" t="inlineStr">
        <is>
          <t>R&amp;R TRANSPORTE E LOGISTICA</t>
        </is>
      </c>
      <c r="J3594" s="29" t="n">
        <v>53</v>
      </c>
      <c r="K3594" s="29">
        <f>(1-ISNUMBER(SEARCH("556",M3594)))*(O3594*SUMIFS(Premissas!$C$5:$C$44,Premissas!$A$5:$A$44,$A3594,Premissas!$B$5:$B$44,$B3594)+P3594*SUMIFS(Premissas!$D$5:$D$44,Premissas!$A$5:$A$44,$A3594,Premissas!$B$5:$B$44,$B3594))+R3594*SUMIFS(Premissas!$E$5:$E$44,Premissas!$A$5:$A$44,$A3594,Premissas!$B$5:$B$44,$B3594)+S3594*SUMIFS(Premissas!$F$5:$F$44,Premissas!$A$5:$A$44,$A3594,Premissas!$B$5:$B$44,$B3594)</f>
        <v/>
      </c>
      <c r="L3594" s="29">
        <f>J3594-K3594</f>
        <v/>
      </c>
      <c r="M3594" t="inlineStr">
        <is>
          <t>1.350</t>
        </is>
      </c>
      <c r="N3594" t="inlineStr">
        <is>
          <t>Modalidade: 0 - Por conta do remetente | Parte: F. T. SILVA LTDA (04.398.484/0001-20)</t>
        </is>
      </c>
      <c r="O3594" s="29" t="n">
        <v>0</v>
      </c>
      <c r="P3594" s="29" t="n">
        <v>0</v>
      </c>
      <c r="Q3594" s="29" t="n">
        <v>0</v>
      </c>
      <c r="R3594" s="29" t="n">
        <v>0</v>
      </c>
      <c r="S3594" s="29" t="n">
        <v>0</v>
      </c>
      <c r="T3594" t="inlineStr">
        <is>
          <t>25260626975620000130570010000072491000150937</t>
        </is>
      </c>
      <c r="U3594" t="inlineStr">
        <is>
          <t>Não</t>
        </is>
      </c>
    </row>
    <row r="3595">
      <c r="A3595" t="inlineStr">
        <is>
          <t>Frete de venda</t>
        </is>
      </c>
      <c r="B3595" t="inlineStr">
        <is>
          <t>2.01.02 Frete sobre Vendas</t>
        </is>
      </c>
      <c r="C3595" s="30" t="n">
        <v>46174</v>
      </c>
      <c r="D3595" t="inlineStr">
        <is>
          <t>Em 2026</t>
        </is>
      </c>
      <c r="E3595" s="28" t="n">
        <v>46176</v>
      </c>
      <c r="F3595" t="inlineStr">
        <is>
          <t>CT-e</t>
        </is>
      </c>
      <c r="G3595" t="inlineStr">
        <is>
          <t>000007250</t>
        </is>
      </c>
      <c r="H3595" t="inlineStr">
        <is>
          <t>R&amp;R TRANSPORTE E LOGISTICA</t>
        </is>
      </c>
      <c r="J3595" s="29" t="n">
        <v>53</v>
      </c>
      <c r="K3595" s="29">
        <f>(1-ISNUMBER(SEARCH("556",M3595)))*(O3595*SUMIFS(Premissas!$C$5:$C$44,Premissas!$A$5:$A$44,$A3595,Premissas!$B$5:$B$44,$B3595)+P3595*SUMIFS(Premissas!$D$5:$D$44,Premissas!$A$5:$A$44,$A3595,Premissas!$B$5:$B$44,$B3595))+R3595*SUMIFS(Premissas!$E$5:$E$44,Premissas!$A$5:$A$44,$A3595,Premissas!$B$5:$B$44,$B3595)+S3595*SUMIFS(Premissas!$F$5:$F$44,Premissas!$A$5:$A$44,$A3595,Premissas!$B$5:$B$44,$B3595)</f>
        <v/>
      </c>
      <c r="L3595" s="29">
        <f>J3595-K3595</f>
        <v/>
      </c>
      <c r="M3595" t="inlineStr">
        <is>
          <t>1.350</t>
        </is>
      </c>
      <c r="N3595" t="inlineStr">
        <is>
          <t>Modalidade: 0 - Por conta do remetente | Parte: MARCONDES N DE SOUZA LTDA (05.847.768/0001-19)</t>
        </is>
      </c>
      <c r="O3595" s="29" t="n">
        <v>0</v>
      </c>
      <c r="P3595" s="29" t="n">
        <v>0</v>
      </c>
      <c r="Q3595" s="29" t="n">
        <v>0</v>
      </c>
      <c r="R3595" s="29" t="n">
        <v>0</v>
      </c>
      <c r="S3595" s="29" t="n">
        <v>0</v>
      </c>
      <c r="T3595" t="inlineStr">
        <is>
          <t>25260626975620000130570010000072501001201013</t>
        </is>
      </c>
      <c r="U3595" t="inlineStr">
        <is>
          <t>Não</t>
        </is>
      </c>
    </row>
    <row r="3596">
      <c r="A3596" t="inlineStr">
        <is>
          <t>Frete de venda</t>
        </is>
      </c>
      <c r="B3596" t="inlineStr">
        <is>
          <t>2.01.02 Frete sobre Vendas</t>
        </is>
      </c>
      <c r="C3596" s="30" t="n">
        <v>46174</v>
      </c>
      <c r="D3596" t="inlineStr">
        <is>
          <t>Em 2026</t>
        </is>
      </c>
      <c r="E3596" s="28" t="n">
        <v>46176</v>
      </c>
      <c r="F3596" t="inlineStr">
        <is>
          <t>CT-e</t>
        </is>
      </c>
      <c r="G3596" t="inlineStr">
        <is>
          <t>000007251</t>
        </is>
      </c>
      <c r="H3596" t="inlineStr">
        <is>
          <t>R&amp;R TRANSPORTE E LOGISTICA</t>
        </is>
      </c>
      <c r="J3596" s="29" t="n">
        <v>53</v>
      </c>
      <c r="K3596" s="29">
        <f>(1-ISNUMBER(SEARCH("556",M3596)))*(O3596*SUMIFS(Premissas!$C$5:$C$44,Premissas!$A$5:$A$44,$A3596,Premissas!$B$5:$B$44,$B3596)+P3596*SUMIFS(Premissas!$D$5:$D$44,Premissas!$A$5:$A$44,$A3596,Premissas!$B$5:$B$44,$B3596))+R3596*SUMIFS(Premissas!$E$5:$E$44,Premissas!$A$5:$A$44,$A3596,Premissas!$B$5:$B$44,$B3596)+S3596*SUMIFS(Premissas!$F$5:$F$44,Premissas!$A$5:$A$44,$A3596,Premissas!$B$5:$B$44,$B3596)</f>
        <v/>
      </c>
      <c r="L3596" s="29">
        <f>J3596-K3596</f>
        <v/>
      </c>
      <c r="M3596" t="inlineStr">
        <is>
          <t>1.350</t>
        </is>
      </c>
      <c r="N3596" t="inlineStr">
        <is>
          <t>Modalidade: 0 - Por conta do remetente | Parte: CASA MATOS LTDA (34.693.747/0001-94)</t>
        </is>
      </c>
      <c r="O3596" s="29" t="n">
        <v>0</v>
      </c>
      <c r="P3596" s="29" t="n">
        <v>0</v>
      </c>
      <c r="Q3596" s="29" t="n">
        <v>0</v>
      </c>
      <c r="R3596" s="29" t="n">
        <v>0</v>
      </c>
      <c r="S3596" s="29" t="n">
        <v>0</v>
      </c>
      <c r="T3596" t="inlineStr">
        <is>
          <t>25260626975620000130570010000072511011001090</t>
        </is>
      </c>
      <c r="U3596" t="inlineStr">
        <is>
          <t>Não</t>
        </is>
      </c>
    </row>
    <row r="3597">
      <c r="A3597" t="inlineStr">
        <is>
          <t>Frete de venda</t>
        </is>
      </c>
      <c r="B3597" t="inlineStr">
        <is>
          <t>2.01.02 Frete sobre Vendas</t>
        </is>
      </c>
      <c r="C3597" s="30" t="n">
        <v>46174</v>
      </c>
      <c r="D3597" t="inlineStr">
        <is>
          <t>Em 2026</t>
        </is>
      </c>
      <c r="E3597" s="28" t="n">
        <v>46176</v>
      </c>
      <c r="F3597" t="inlineStr">
        <is>
          <t>CT-e</t>
        </is>
      </c>
      <c r="G3597" t="inlineStr">
        <is>
          <t>000007252</t>
        </is>
      </c>
      <c r="H3597" t="inlineStr">
        <is>
          <t>R&amp;R TRANSPORTE E LOGISTICA</t>
        </is>
      </c>
      <c r="J3597" s="29" t="n">
        <v>53</v>
      </c>
      <c r="K3597" s="29">
        <f>(1-ISNUMBER(SEARCH("556",M3597)))*(O3597*SUMIFS(Premissas!$C$5:$C$44,Premissas!$A$5:$A$44,$A3597,Premissas!$B$5:$B$44,$B3597)+P3597*SUMIFS(Premissas!$D$5:$D$44,Premissas!$A$5:$A$44,$A3597,Premissas!$B$5:$B$44,$B3597))+R3597*SUMIFS(Premissas!$E$5:$E$44,Premissas!$A$5:$A$44,$A3597,Premissas!$B$5:$B$44,$B3597)+S3597*SUMIFS(Premissas!$F$5:$F$44,Premissas!$A$5:$A$44,$A3597,Premissas!$B$5:$B$44,$B3597)</f>
        <v/>
      </c>
      <c r="L3597" s="29">
        <f>J3597-K3597</f>
        <v/>
      </c>
      <c r="M3597" t="inlineStr">
        <is>
          <t>1.350</t>
        </is>
      </c>
      <c r="N3597" t="inlineStr">
        <is>
          <t>Modalidade: 0 - Por conta do remetente | Parte: R S LIRA (14.413.090/0001-57)</t>
        </is>
      </c>
      <c r="O3597" s="29" t="n">
        <v>0</v>
      </c>
      <c r="P3597" s="29" t="n">
        <v>0</v>
      </c>
      <c r="Q3597" s="29" t="n">
        <v>0</v>
      </c>
      <c r="R3597" s="29" t="n">
        <v>0</v>
      </c>
      <c r="S3597" s="29" t="n">
        <v>0</v>
      </c>
      <c r="T3597" t="inlineStr">
        <is>
          <t>25260626975620000130570010000072521001701177</t>
        </is>
      </c>
      <c r="U3597" t="inlineStr">
        <is>
          <t>Não</t>
        </is>
      </c>
    </row>
    <row r="3598">
      <c r="A3598" t="inlineStr">
        <is>
          <t>Frete de venda</t>
        </is>
      </c>
      <c r="B3598" t="inlineStr">
        <is>
          <t>2.01.02 Frete sobre Vendas</t>
        </is>
      </c>
      <c r="C3598" s="30" t="n">
        <v>46174</v>
      </c>
      <c r="D3598" t="inlineStr">
        <is>
          <t>Em 2026</t>
        </is>
      </c>
      <c r="E3598" s="28" t="n">
        <v>46176</v>
      </c>
      <c r="F3598" t="inlineStr">
        <is>
          <t>CT-e</t>
        </is>
      </c>
      <c r="G3598" t="inlineStr">
        <is>
          <t>000007253</t>
        </is>
      </c>
      <c r="H3598" t="inlineStr">
        <is>
          <t>R&amp;R TRANSPORTE E LOGISTICA</t>
        </is>
      </c>
      <c r="J3598" s="29" t="n">
        <v>53</v>
      </c>
      <c r="K3598" s="29">
        <f>(1-ISNUMBER(SEARCH("556",M3598)))*(O3598*SUMIFS(Premissas!$C$5:$C$44,Premissas!$A$5:$A$44,$A3598,Premissas!$B$5:$B$44,$B3598)+P3598*SUMIFS(Premissas!$D$5:$D$44,Premissas!$A$5:$A$44,$A3598,Premissas!$B$5:$B$44,$B3598))+R3598*SUMIFS(Premissas!$E$5:$E$44,Premissas!$A$5:$A$44,$A3598,Premissas!$B$5:$B$44,$B3598)+S3598*SUMIFS(Premissas!$F$5:$F$44,Premissas!$A$5:$A$44,$A3598,Premissas!$B$5:$B$44,$B3598)</f>
        <v/>
      </c>
      <c r="L3598" s="29">
        <f>J3598-K3598</f>
        <v/>
      </c>
      <c r="M3598" t="inlineStr">
        <is>
          <t>1.350</t>
        </is>
      </c>
      <c r="N3598" t="inlineStr">
        <is>
          <t>Modalidade: 0 - Por conta do remetente | Parte: T.T MUNIZ LTDA (65.867.637/0001-25)</t>
        </is>
      </c>
      <c r="O3598" s="29" t="n">
        <v>0</v>
      </c>
      <c r="P3598" s="29" t="n">
        <v>0</v>
      </c>
      <c r="Q3598" s="29" t="n">
        <v>0</v>
      </c>
      <c r="R3598" s="29" t="n">
        <v>0</v>
      </c>
      <c r="S3598" s="29" t="n">
        <v>0</v>
      </c>
      <c r="T3598" t="inlineStr">
        <is>
          <t>25260626975620000130570010000072531001401251</t>
        </is>
      </c>
      <c r="U3598" t="inlineStr">
        <is>
          <t>Não</t>
        </is>
      </c>
    </row>
    <row r="3599">
      <c r="A3599" t="inlineStr">
        <is>
          <t>Frete de venda</t>
        </is>
      </c>
      <c r="B3599" t="inlineStr">
        <is>
          <t>2.01.02 Frete sobre Vendas</t>
        </is>
      </c>
      <c r="C3599" s="30" t="n">
        <v>46174</v>
      </c>
      <c r="D3599" t="inlineStr">
        <is>
          <t>Em 2026</t>
        </is>
      </c>
      <c r="E3599" s="28" t="n">
        <v>46176</v>
      </c>
      <c r="F3599" t="inlineStr">
        <is>
          <t>CT-e</t>
        </is>
      </c>
      <c r="G3599" t="inlineStr">
        <is>
          <t>000007254</t>
        </is>
      </c>
      <c r="H3599" t="inlineStr">
        <is>
          <t>R&amp;R TRANSPORTE E LOGISTICA</t>
        </is>
      </c>
      <c r="J3599" s="29" t="n">
        <v>53</v>
      </c>
      <c r="K3599" s="29">
        <f>(1-ISNUMBER(SEARCH("556",M3599)))*(O3599*SUMIFS(Premissas!$C$5:$C$44,Premissas!$A$5:$A$44,$A3599,Premissas!$B$5:$B$44,$B3599)+P3599*SUMIFS(Premissas!$D$5:$D$44,Premissas!$A$5:$A$44,$A3599,Premissas!$B$5:$B$44,$B3599))+R3599*SUMIFS(Premissas!$E$5:$E$44,Premissas!$A$5:$A$44,$A3599,Premissas!$B$5:$B$44,$B3599)+S3599*SUMIFS(Premissas!$F$5:$F$44,Premissas!$A$5:$A$44,$A3599,Premissas!$B$5:$B$44,$B3599)</f>
        <v/>
      </c>
      <c r="L3599" s="29">
        <f>J3599-K3599</f>
        <v/>
      </c>
      <c r="M3599" t="inlineStr">
        <is>
          <t>1.350</t>
        </is>
      </c>
      <c r="N3599" t="inlineStr">
        <is>
          <t>Modalidade: 0 - Por conta do remetente | Parte: COMERCIAL SIMAO LTDA (02.745.979/0001-52)</t>
        </is>
      </c>
      <c r="O3599" s="29" t="n">
        <v>0</v>
      </c>
      <c r="P3599" s="29" t="n">
        <v>0</v>
      </c>
      <c r="Q3599" s="29" t="n">
        <v>0</v>
      </c>
      <c r="R3599" s="29" t="n">
        <v>0</v>
      </c>
      <c r="S3599" s="29" t="n">
        <v>0</v>
      </c>
      <c r="T3599" t="inlineStr">
        <is>
          <t>25260626975620000130570010000072541001101336</t>
        </is>
      </c>
      <c r="U3599" t="inlineStr">
        <is>
          <t>Não</t>
        </is>
      </c>
    </row>
    <row r="3600">
      <c r="A3600" t="inlineStr">
        <is>
          <t>Frete de venda</t>
        </is>
      </c>
      <c r="B3600" t="inlineStr">
        <is>
          <t>2.01.02 Frete sobre Vendas</t>
        </is>
      </c>
      <c r="C3600" s="30" t="n">
        <v>46174</v>
      </c>
      <c r="D3600" t="inlineStr">
        <is>
          <t>Em 2026</t>
        </is>
      </c>
      <c r="E3600" s="28" t="n">
        <v>46176</v>
      </c>
      <c r="F3600" t="inlineStr">
        <is>
          <t>CT-e</t>
        </is>
      </c>
      <c r="G3600" t="inlineStr">
        <is>
          <t>000007255</t>
        </is>
      </c>
      <c r="H3600" t="inlineStr">
        <is>
          <t>R&amp;R TRANSPORTE E LOGISTICA</t>
        </is>
      </c>
      <c r="J3600" s="29" t="n">
        <v>53</v>
      </c>
      <c r="K3600" s="29">
        <f>(1-ISNUMBER(SEARCH("556",M3600)))*(O3600*SUMIFS(Premissas!$C$5:$C$44,Premissas!$A$5:$A$44,$A3600,Premissas!$B$5:$B$44,$B3600)+P3600*SUMIFS(Premissas!$D$5:$D$44,Premissas!$A$5:$A$44,$A3600,Premissas!$B$5:$B$44,$B3600))+R3600*SUMIFS(Premissas!$E$5:$E$44,Premissas!$A$5:$A$44,$A3600,Premissas!$B$5:$B$44,$B3600)+S3600*SUMIFS(Premissas!$F$5:$F$44,Premissas!$A$5:$A$44,$A3600,Premissas!$B$5:$B$44,$B3600)</f>
        <v/>
      </c>
      <c r="L3600" s="29">
        <f>J3600-K3600</f>
        <v/>
      </c>
      <c r="M3600" t="inlineStr">
        <is>
          <t>1.350</t>
        </is>
      </c>
      <c r="N3600" t="inlineStr">
        <is>
          <t>Modalidade: 0 - Por conta do remetente | Parte: PEREIRA e RABELO LTDA (14.924.495/0001-50)</t>
        </is>
      </c>
      <c r="O3600" s="29" t="n">
        <v>0</v>
      </c>
      <c r="P3600" s="29" t="n">
        <v>0</v>
      </c>
      <c r="Q3600" s="29" t="n">
        <v>0</v>
      </c>
      <c r="R3600" s="29" t="n">
        <v>0</v>
      </c>
      <c r="S3600" s="29" t="n">
        <v>0</v>
      </c>
      <c r="T3600" t="inlineStr">
        <is>
          <t>25260626975620000130570010000072551001901410</t>
        </is>
      </c>
      <c r="U3600" t="inlineStr">
        <is>
          <t>Não</t>
        </is>
      </c>
    </row>
    <row r="3601">
      <c r="A3601" t="inlineStr">
        <is>
          <t>Frete de venda</t>
        </is>
      </c>
      <c r="B3601" t="inlineStr">
        <is>
          <t>2.01.02 Frete sobre Vendas</t>
        </is>
      </c>
      <c r="C3601" s="30" t="n">
        <v>46174</v>
      </c>
      <c r="D3601" t="inlineStr">
        <is>
          <t>Em 2026</t>
        </is>
      </c>
      <c r="E3601" s="28" t="n">
        <v>46176</v>
      </c>
      <c r="F3601" t="inlineStr">
        <is>
          <t>CT-e</t>
        </is>
      </c>
      <c r="G3601" t="inlineStr">
        <is>
          <t>000007256</t>
        </is>
      </c>
      <c r="H3601" t="inlineStr">
        <is>
          <t>R&amp;R TRANSPORTE E LOGISTICA</t>
        </is>
      </c>
      <c r="J3601" s="29" t="n">
        <v>53</v>
      </c>
      <c r="K3601" s="29">
        <f>(1-ISNUMBER(SEARCH("556",M3601)))*(O3601*SUMIFS(Premissas!$C$5:$C$44,Premissas!$A$5:$A$44,$A3601,Premissas!$B$5:$B$44,$B3601)+P3601*SUMIFS(Premissas!$D$5:$D$44,Premissas!$A$5:$A$44,$A3601,Premissas!$B$5:$B$44,$B3601))+R3601*SUMIFS(Premissas!$E$5:$E$44,Premissas!$A$5:$A$44,$A3601,Premissas!$B$5:$B$44,$B3601)+S3601*SUMIFS(Premissas!$F$5:$F$44,Premissas!$A$5:$A$44,$A3601,Premissas!$B$5:$B$44,$B3601)</f>
        <v/>
      </c>
      <c r="L3601" s="29">
        <f>J3601-K3601</f>
        <v/>
      </c>
      <c r="M3601" t="inlineStr">
        <is>
          <t>1.350</t>
        </is>
      </c>
      <c r="N3601" t="inlineStr">
        <is>
          <t>Modalidade: 0 - Por conta do remetente | Parte: DRP DISTRIBUIDORA DE POLPA LTDA (07.298.955/0001-16)</t>
        </is>
      </c>
      <c r="O3601" s="29" t="n">
        <v>0</v>
      </c>
      <c r="P3601" s="29" t="n">
        <v>0</v>
      </c>
      <c r="Q3601" s="29" t="n">
        <v>0</v>
      </c>
      <c r="R3601" s="29" t="n">
        <v>0</v>
      </c>
      <c r="S3601" s="29" t="n">
        <v>0</v>
      </c>
      <c r="T3601" t="inlineStr">
        <is>
          <t>25260626975620000130570010000072561001601490</t>
        </is>
      </c>
      <c r="U3601" t="inlineStr">
        <is>
          <t>Não</t>
        </is>
      </c>
    </row>
    <row r="3602">
      <c r="A3602" t="inlineStr">
        <is>
          <t>Frete de venda</t>
        </is>
      </c>
      <c r="B3602" t="inlineStr">
        <is>
          <t>2.01.02 Frete sobre Vendas</t>
        </is>
      </c>
      <c r="C3602" s="30" t="n">
        <v>46174</v>
      </c>
      <c r="D3602" t="inlineStr">
        <is>
          <t>Em 2026</t>
        </is>
      </c>
      <c r="E3602" s="28" t="n">
        <v>46176</v>
      </c>
      <c r="F3602" t="inlineStr">
        <is>
          <t>CT-e</t>
        </is>
      </c>
      <c r="G3602" t="inlineStr">
        <is>
          <t>000007257</t>
        </is>
      </c>
      <c r="H3602" t="inlineStr">
        <is>
          <t>R&amp;R TRANSPORTE E LOGISTICA</t>
        </is>
      </c>
      <c r="J3602" s="29" t="n">
        <v>53</v>
      </c>
      <c r="K3602" s="29">
        <f>(1-ISNUMBER(SEARCH("556",M3602)))*(O3602*SUMIFS(Premissas!$C$5:$C$44,Premissas!$A$5:$A$44,$A3602,Premissas!$B$5:$B$44,$B3602)+P3602*SUMIFS(Premissas!$D$5:$D$44,Premissas!$A$5:$A$44,$A3602,Premissas!$B$5:$B$44,$B3602))+R3602*SUMIFS(Premissas!$E$5:$E$44,Premissas!$A$5:$A$44,$A3602,Premissas!$B$5:$B$44,$B3602)+S3602*SUMIFS(Premissas!$F$5:$F$44,Premissas!$A$5:$A$44,$A3602,Premissas!$B$5:$B$44,$B3602)</f>
        <v/>
      </c>
      <c r="L3602" s="29">
        <f>J3602-K3602</f>
        <v/>
      </c>
      <c r="M3602" t="inlineStr">
        <is>
          <t>1.350</t>
        </is>
      </c>
      <c r="N3602" t="inlineStr">
        <is>
          <t>Modalidade: 0 - Por conta do remetente | Parte: JULIO CESAR PEREIRA LTDA (65.181.473/0001-88)</t>
        </is>
      </c>
      <c r="O3602" s="29" t="n">
        <v>0</v>
      </c>
      <c r="P3602" s="29" t="n">
        <v>0</v>
      </c>
      <c r="Q3602" s="29" t="n">
        <v>0</v>
      </c>
      <c r="R3602" s="29" t="n">
        <v>0</v>
      </c>
      <c r="S3602" s="29" t="n">
        <v>0</v>
      </c>
      <c r="T3602" t="inlineStr">
        <is>
          <t>25260626975620000130570010000072571000170840</t>
        </is>
      </c>
      <c r="U3602" t="inlineStr">
        <is>
          <t>Não</t>
        </is>
      </c>
    </row>
    <row r="3603">
      <c r="A3603" t="inlineStr">
        <is>
          <t>Frete de venda</t>
        </is>
      </c>
      <c r="B3603" t="inlineStr">
        <is>
          <t>2.01.02 Frete sobre Vendas</t>
        </is>
      </c>
      <c r="C3603" s="30" t="n">
        <v>46174</v>
      </c>
      <c r="D3603" t="inlineStr">
        <is>
          <t>Em 2026</t>
        </is>
      </c>
      <c r="E3603" s="28" t="n">
        <v>46176</v>
      </c>
      <c r="F3603" t="inlineStr">
        <is>
          <t>CT-e</t>
        </is>
      </c>
      <c r="G3603" t="inlineStr">
        <is>
          <t>000007258</t>
        </is>
      </c>
      <c r="H3603" t="inlineStr">
        <is>
          <t>R&amp;R TRANSPORTE E LOGISTICA</t>
        </is>
      </c>
      <c r="J3603" s="29" t="n">
        <v>53</v>
      </c>
      <c r="K3603" s="29">
        <f>(1-ISNUMBER(SEARCH("556",M3603)))*(O3603*SUMIFS(Premissas!$C$5:$C$44,Premissas!$A$5:$A$44,$A3603,Premissas!$B$5:$B$44,$B3603)+P3603*SUMIFS(Premissas!$D$5:$D$44,Premissas!$A$5:$A$44,$A3603,Premissas!$B$5:$B$44,$B3603))+R3603*SUMIFS(Premissas!$E$5:$E$44,Premissas!$A$5:$A$44,$A3603,Premissas!$B$5:$B$44,$B3603)+S3603*SUMIFS(Premissas!$F$5:$F$44,Premissas!$A$5:$A$44,$A3603,Premissas!$B$5:$B$44,$B3603)</f>
        <v/>
      </c>
      <c r="L3603" s="29">
        <f>J3603-K3603</f>
        <v/>
      </c>
      <c r="M3603" t="inlineStr">
        <is>
          <t>1.350</t>
        </is>
      </c>
      <c r="N3603" t="inlineStr">
        <is>
          <t>Modalidade: 0 - Por conta do remetente | Parte: ARMAZEM DO QUEIJO COMERCIO DE LATICINIOS LTDA (33.554.984/0001-01)</t>
        </is>
      </c>
      <c r="O3603" s="29" t="n">
        <v>0</v>
      </c>
      <c r="P3603" s="29" t="n">
        <v>0</v>
      </c>
      <c r="Q3603" s="29" t="n">
        <v>0</v>
      </c>
      <c r="R3603" s="29" t="n">
        <v>0</v>
      </c>
      <c r="S3603" s="29" t="n">
        <v>0</v>
      </c>
      <c r="T3603" t="inlineStr">
        <is>
          <t>25260626975620000130570010000072581000140922</t>
        </is>
      </c>
      <c r="U3603" t="inlineStr">
        <is>
          <t>Não</t>
        </is>
      </c>
    </row>
    <row r="3604">
      <c r="A3604" t="inlineStr">
        <is>
          <t>Frete de venda</t>
        </is>
      </c>
      <c r="B3604" t="inlineStr">
        <is>
          <t>2.01.02 Frete sobre Vendas</t>
        </is>
      </c>
      <c r="C3604" s="30" t="n">
        <v>46174</v>
      </c>
      <c r="D3604" t="inlineStr">
        <is>
          <t>Em 2026</t>
        </is>
      </c>
      <c r="E3604" s="28" t="n">
        <v>46176</v>
      </c>
      <c r="F3604" t="inlineStr">
        <is>
          <t>CT-e</t>
        </is>
      </c>
      <c r="G3604" t="inlineStr">
        <is>
          <t>000007259</t>
        </is>
      </c>
      <c r="H3604" t="inlineStr">
        <is>
          <t>R&amp;R TRANSPORTE E LOGISTICA</t>
        </is>
      </c>
      <c r="J3604" s="29" t="n">
        <v>53</v>
      </c>
      <c r="K3604" s="29">
        <f>(1-ISNUMBER(SEARCH("556",M3604)))*(O3604*SUMIFS(Premissas!$C$5:$C$44,Premissas!$A$5:$A$44,$A3604,Premissas!$B$5:$B$44,$B3604)+P3604*SUMIFS(Premissas!$D$5:$D$44,Premissas!$A$5:$A$44,$A3604,Premissas!$B$5:$B$44,$B3604))+R3604*SUMIFS(Premissas!$E$5:$E$44,Premissas!$A$5:$A$44,$A3604,Premissas!$B$5:$B$44,$B3604)+S3604*SUMIFS(Premissas!$F$5:$F$44,Premissas!$A$5:$A$44,$A3604,Premissas!$B$5:$B$44,$B3604)</f>
        <v/>
      </c>
      <c r="L3604" s="29">
        <f>J3604-K3604</f>
        <v/>
      </c>
      <c r="M3604" t="inlineStr">
        <is>
          <t>1.350</t>
        </is>
      </c>
      <c r="N3604" t="inlineStr">
        <is>
          <t>Modalidade: 0 - Por conta do remetente | Parte: MAGALHAES REPRESENTACOES GOIAS E SERVICOS LTDA (54.491.506/0001-70)</t>
        </is>
      </c>
      <c r="O3604" s="29" t="n">
        <v>0</v>
      </c>
      <c r="P3604" s="29" t="n">
        <v>0</v>
      </c>
      <c r="Q3604" s="29" t="n">
        <v>0</v>
      </c>
      <c r="R3604" s="29" t="n">
        <v>0</v>
      </c>
      <c r="S3604" s="29" t="n">
        <v>0</v>
      </c>
      <c r="T3604" t="inlineStr">
        <is>
          <t>25260626975620000130570010000072591001101006</t>
        </is>
      </c>
      <c r="U3604" t="inlineStr">
        <is>
          <t>Não</t>
        </is>
      </c>
    </row>
    <row r="3605">
      <c r="A3605" t="inlineStr">
        <is>
          <t>Frete de venda</t>
        </is>
      </c>
      <c r="B3605" t="inlineStr">
        <is>
          <t>2.01.02 Frete sobre Vendas</t>
        </is>
      </c>
      <c r="C3605" s="30" t="n">
        <v>46174</v>
      </c>
      <c r="D3605" t="inlineStr">
        <is>
          <t>Em 2026</t>
        </is>
      </c>
      <c r="E3605" s="28" t="n">
        <v>46176</v>
      </c>
      <c r="F3605" t="inlineStr">
        <is>
          <t>CT-e</t>
        </is>
      </c>
      <c r="G3605" t="inlineStr">
        <is>
          <t>000007260</t>
        </is>
      </c>
      <c r="H3605" t="inlineStr">
        <is>
          <t>R&amp;R TRANSPORTE E LOGISTICA</t>
        </is>
      </c>
      <c r="J3605" s="29" t="n">
        <v>53</v>
      </c>
      <c r="K3605" s="29">
        <f>(1-ISNUMBER(SEARCH("556",M3605)))*(O3605*SUMIFS(Premissas!$C$5:$C$44,Premissas!$A$5:$A$44,$A3605,Premissas!$B$5:$B$44,$B3605)+P3605*SUMIFS(Premissas!$D$5:$D$44,Premissas!$A$5:$A$44,$A3605,Premissas!$B$5:$B$44,$B3605))+R3605*SUMIFS(Premissas!$E$5:$E$44,Premissas!$A$5:$A$44,$A3605,Premissas!$B$5:$B$44,$B3605)+S3605*SUMIFS(Premissas!$F$5:$F$44,Premissas!$A$5:$A$44,$A3605,Premissas!$B$5:$B$44,$B3605)</f>
        <v/>
      </c>
      <c r="L3605" s="29">
        <f>J3605-K3605</f>
        <v/>
      </c>
      <c r="M3605" t="inlineStr">
        <is>
          <t>1.350</t>
        </is>
      </c>
      <c r="N3605" t="inlineStr">
        <is>
          <t>Modalidade: 0 - Por conta do remetente | Parte: JG EMBALAGENS LTDA (26.672.298/0001-70)</t>
        </is>
      </c>
      <c r="O3605" s="29" t="n">
        <v>0</v>
      </c>
      <c r="P3605" s="29" t="n">
        <v>0</v>
      </c>
      <c r="Q3605" s="29" t="n">
        <v>0</v>
      </c>
      <c r="R3605" s="29" t="n">
        <v>0</v>
      </c>
      <c r="S3605" s="29" t="n">
        <v>0</v>
      </c>
      <c r="T3605" t="inlineStr">
        <is>
          <t>25260626975620000130570010000072601001901089</t>
        </is>
      </c>
      <c r="U3605" t="inlineStr">
        <is>
          <t>Não</t>
        </is>
      </c>
    </row>
    <row r="3606">
      <c r="A3606" t="inlineStr">
        <is>
          <t>Frete de venda</t>
        </is>
      </c>
      <c r="B3606" t="inlineStr">
        <is>
          <t>2.01.02 Frete sobre Vendas</t>
        </is>
      </c>
      <c r="C3606" s="30" t="n">
        <v>46174</v>
      </c>
      <c r="D3606" t="inlineStr">
        <is>
          <t>Em 2026</t>
        </is>
      </c>
      <c r="E3606" s="28" t="n">
        <v>46176</v>
      </c>
      <c r="F3606" t="inlineStr">
        <is>
          <t>CT-e</t>
        </is>
      </c>
      <c r="G3606" t="inlineStr">
        <is>
          <t>000007261</t>
        </is>
      </c>
      <c r="H3606" t="inlineStr">
        <is>
          <t>R&amp;R TRANSPORTE E LOGISTICA</t>
        </is>
      </c>
      <c r="J3606" s="29" t="n">
        <v>53</v>
      </c>
      <c r="K3606" s="29">
        <f>(1-ISNUMBER(SEARCH("556",M3606)))*(O3606*SUMIFS(Premissas!$C$5:$C$44,Premissas!$A$5:$A$44,$A3606,Premissas!$B$5:$B$44,$B3606)+P3606*SUMIFS(Premissas!$D$5:$D$44,Premissas!$A$5:$A$44,$A3606,Premissas!$B$5:$B$44,$B3606))+R3606*SUMIFS(Premissas!$E$5:$E$44,Premissas!$A$5:$A$44,$A3606,Premissas!$B$5:$B$44,$B3606)+S3606*SUMIFS(Premissas!$F$5:$F$44,Premissas!$A$5:$A$44,$A3606,Premissas!$B$5:$B$44,$B3606)</f>
        <v/>
      </c>
      <c r="L3606" s="29">
        <f>J3606-K3606</f>
        <v/>
      </c>
      <c r="M3606" t="inlineStr">
        <is>
          <t>1.350</t>
        </is>
      </c>
      <c r="N3606" t="inlineStr">
        <is>
          <t>Modalidade: 0 - Por conta do remetente | Parte: EDSON G DE CARVALHO COMERCIAL DE ALIMENTOS (22.027.295/0001-22)</t>
        </is>
      </c>
      <c r="O3606" s="29" t="n">
        <v>0</v>
      </c>
      <c r="P3606" s="29" t="n">
        <v>0</v>
      </c>
      <c r="Q3606" s="29" t="n">
        <v>0</v>
      </c>
      <c r="R3606" s="29" t="n">
        <v>0</v>
      </c>
      <c r="S3606" s="29" t="n">
        <v>0</v>
      </c>
      <c r="T3606" t="inlineStr">
        <is>
          <t>25260626975620000130570010000072611001601163</t>
        </is>
      </c>
      <c r="U3606" t="inlineStr">
        <is>
          <t>Não</t>
        </is>
      </c>
    </row>
    <row r="3607">
      <c r="A3607" t="inlineStr">
        <is>
          <t>Frete de venda</t>
        </is>
      </c>
      <c r="B3607" t="inlineStr">
        <is>
          <t>2.01.02 Frete sobre Vendas</t>
        </is>
      </c>
      <c r="C3607" s="30" t="n">
        <v>46174</v>
      </c>
      <c r="D3607" t="inlineStr">
        <is>
          <t>Em 2026</t>
        </is>
      </c>
      <c r="E3607" s="28" t="n">
        <v>46176</v>
      </c>
      <c r="F3607" t="inlineStr">
        <is>
          <t>CT-e</t>
        </is>
      </c>
      <c r="G3607" t="inlineStr">
        <is>
          <t>000007262</t>
        </is>
      </c>
      <c r="H3607" t="inlineStr">
        <is>
          <t>R&amp;R TRANSPORTE E LOGISTICA</t>
        </is>
      </c>
      <c r="J3607" s="29" t="n">
        <v>53</v>
      </c>
      <c r="K3607" s="29">
        <f>(1-ISNUMBER(SEARCH("556",M3607)))*(O3607*SUMIFS(Premissas!$C$5:$C$44,Premissas!$A$5:$A$44,$A3607,Premissas!$B$5:$B$44,$B3607)+P3607*SUMIFS(Premissas!$D$5:$D$44,Premissas!$A$5:$A$44,$A3607,Premissas!$B$5:$B$44,$B3607))+R3607*SUMIFS(Premissas!$E$5:$E$44,Premissas!$A$5:$A$44,$A3607,Premissas!$B$5:$B$44,$B3607)+S3607*SUMIFS(Premissas!$F$5:$F$44,Premissas!$A$5:$A$44,$A3607,Premissas!$B$5:$B$44,$B3607)</f>
        <v/>
      </c>
      <c r="L3607" s="29">
        <f>J3607-K3607</f>
        <v/>
      </c>
      <c r="M3607" t="inlineStr">
        <is>
          <t>1.350</t>
        </is>
      </c>
      <c r="N3607" t="inlineStr">
        <is>
          <t>Modalidade: 0 - Por conta do remetente | Parte: JAB IMPORTACAO E EXPORTACAO LTDA (21.938.705/0002-05)</t>
        </is>
      </c>
      <c r="O3607" s="29" t="n">
        <v>0</v>
      </c>
      <c r="P3607" s="29" t="n">
        <v>0</v>
      </c>
      <c r="Q3607" s="29" t="n">
        <v>0</v>
      </c>
      <c r="R3607" s="29" t="n">
        <v>0</v>
      </c>
      <c r="S3607" s="29" t="n">
        <v>0</v>
      </c>
      <c r="T3607" t="inlineStr">
        <is>
          <t>25260626975620000130570010000072621001301248</t>
        </is>
      </c>
      <c r="U3607" t="inlineStr">
        <is>
          <t>Não</t>
        </is>
      </c>
    </row>
    <row r="3608">
      <c r="A3608" t="inlineStr">
        <is>
          <t>Frete de venda</t>
        </is>
      </c>
      <c r="B3608" t="inlineStr">
        <is>
          <t>2.01.02 Frete sobre Vendas</t>
        </is>
      </c>
      <c r="C3608" s="30" t="n">
        <v>46174</v>
      </c>
      <c r="D3608" t="inlineStr">
        <is>
          <t>Em 2026</t>
        </is>
      </c>
      <c r="E3608" s="28" t="n">
        <v>46176</v>
      </c>
      <c r="F3608" t="inlineStr">
        <is>
          <t>CT-e</t>
        </is>
      </c>
      <c r="G3608" t="inlineStr">
        <is>
          <t>000007263</t>
        </is>
      </c>
      <c r="H3608" t="inlineStr">
        <is>
          <t>R&amp;R TRANSPORTE E LOGISTICA</t>
        </is>
      </c>
      <c r="J3608" s="29" t="n">
        <v>53</v>
      </c>
      <c r="K3608" s="29">
        <f>(1-ISNUMBER(SEARCH("556",M3608)))*(O3608*SUMIFS(Premissas!$C$5:$C$44,Premissas!$A$5:$A$44,$A3608,Premissas!$B$5:$B$44,$B3608)+P3608*SUMIFS(Premissas!$D$5:$D$44,Premissas!$A$5:$A$44,$A3608,Premissas!$B$5:$B$44,$B3608))+R3608*SUMIFS(Premissas!$E$5:$E$44,Premissas!$A$5:$A$44,$A3608,Premissas!$B$5:$B$44,$B3608)+S3608*SUMIFS(Premissas!$F$5:$F$44,Premissas!$A$5:$A$44,$A3608,Premissas!$B$5:$B$44,$B3608)</f>
        <v/>
      </c>
      <c r="L3608" s="29">
        <f>J3608-K3608</f>
        <v/>
      </c>
      <c r="M3608" t="inlineStr">
        <is>
          <t>1.350</t>
        </is>
      </c>
      <c r="N3608" t="inlineStr">
        <is>
          <t>Modalidade: 0 - Por conta do remetente | Parte: ATACADAO DAS EMBALAGENS LTDA (29.788.159/0001-02)</t>
        </is>
      </c>
      <c r="O3608" s="29" t="n">
        <v>0</v>
      </c>
      <c r="P3608" s="29" t="n">
        <v>0</v>
      </c>
      <c r="Q3608" s="29" t="n">
        <v>0</v>
      </c>
      <c r="R3608" s="29" t="n">
        <v>0</v>
      </c>
      <c r="S3608" s="29" t="n">
        <v>0</v>
      </c>
      <c r="T3608" t="inlineStr">
        <is>
          <t>25260626975620000130570010000072631000101323</t>
        </is>
      </c>
      <c r="U3608" t="inlineStr">
        <is>
          <t>Não</t>
        </is>
      </c>
    </row>
    <row r="3609">
      <c r="A3609" t="inlineStr">
        <is>
          <t>Frete de venda</t>
        </is>
      </c>
      <c r="B3609" t="inlineStr">
        <is>
          <t>2.01.02 Frete sobre Vendas</t>
        </is>
      </c>
      <c r="C3609" s="30" t="n">
        <v>46174</v>
      </c>
      <c r="D3609" t="inlineStr">
        <is>
          <t>Em 2026</t>
        </is>
      </c>
      <c r="E3609" s="28" t="n">
        <v>46176</v>
      </c>
      <c r="F3609" t="inlineStr">
        <is>
          <t>CT-e</t>
        </is>
      </c>
      <c r="G3609" t="inlineStr">
        <is>
          <t>000007264</t>
        </is>
      </c>
      <c r="H3609" t="inlineStr">
        <is>
          <t>R&amp;R TRANSPORTE E LOGISTICA</t>
        </is>
      </c>
      <c r="J3609" s="29" t="n">
        <v>53</v>
      </c>
      <c r="K3609" s="29">
        <f>(1-ISNUMBER(SEARCH("556",M3609)))*(O3609*SUMIFS(Premissas!$C$5:$C$44,Premissas!$A$5:$A$44,$A3609,Premissas!$B$5:$B$44,$B3609)+P3609*SUMIFS(Premissas!$D$5:$D$44,Premissas!$A$5:$A$44,$A3609,Premissas!$B$5:$B$44,$B3609))+R3609*SUMIFS(Premissas!$E$5:$E$44,Premissas!$A$5:$A$44,$A3609,Premissas!$B$5:$B$44,$B3609)+S3609*SUMIFS(Premissas!$F$5:$F$44,Premissas!$A$5:$A$44,$A3609,Premissas!$B$5:$B$44,$B3609)</f>
        <v/>
      </c>
      <c r="L3609" s="29">
        <f>J3609-K3609</f>
        <v/>
      </c>
      <c r="M3609" t="inlineStr">
        <is>
          <t>1.350</t>
        </is>
      </c>
      <c r="N3609" t="inlineStr">
        <is>
          <t>Modalidade: 0 - Por conta do remetente | Parte: SAM EMBALAGENS ATACADO E VAREJO LTDA (48.944.969/0001-47)</t>
        </is>
      </c>
      <c r="O3609" s="29" t="n">
        <v>0</v>
      </c>
      <c r="P3609" s="29" t="n">
        <v>0</v>
      </c>
      <c r="Q3609" s="29" t="n">
        <v>0</v>
      </c>
      <c r="R3609" s="29" t="n">
        <v>0</v>
      </c>
      <c r="S3609" s="29" t="n">
        <v>0</v>
      </c>
      <c r="T3609" t="inlineStr">
        <is>
          <t>25260626975620000130570010000072641001801407</t>
        </is>
      </c>
      <c r="U3609" t="inlineStr">
        <is>
          <t>Não</t>
        </is>
      </c>
    </row>
    <row r="3610">
      <c r="A3610" t="inlineStr">
        <is>
          <t>Frete de venda</t>
        </is>
      </c>
      <c r="B3610" t="inlineStr">
        <is>
          <t>2.01.02 Frete sobre Vendas</t>
        </is>
      </c>
      <c r="C3610" s="30" t="n">
        <v>46174</v>
      </c>
      <c r="D3610" t="inlineStr">
        <is>
          <t>Em 2026</t>
        </is>
      </c>
      <c r="E3610" s="28" t="n">
        <v>46176</v>
      </c>
      <c r="F3610" t="inlineStr">
        <is>
          <t>CT-e</t>
        </is>
      </c>
      <c r="G3610" t="inlineStr">
        <is>
          <t>000007265</t>
        </is>
      </c>
      <c r="H3610" t="inlineStr">
        <is>
          <t>R&amp;R TRANSPORTE E LOGISTICA</t>
        </is>
      </c>
      <c r="J3610" s="29" t="n">
        <v>53</v>
      </c>
      <c r="K3610" s="29">
        <f>(1-ISNUMBER(SEARCH("556",M3610)))*(O3610*SUMIFS(Premissas!$C$5:$C$44,Premissas!$A$5:$A$44,$A3610,Premissas!$B$5:$B$44,$B3610)+P3610*SUMIFS(Premissas!$D$5:$D$44,Premissas!$A$5:$A$44,$A3610,Premissas!$B$5:$B$44,$B3610))+R3610*SUMIFS(Premissas!$E$5:$E$44,Premissas!$A$5:$A$44,$A3610,Premissas!$B$5:$B$44,$B3610)+S3610*SUMIFS(Premissas!$F$5:$F$44,Premissas!$A$5:$A$44,$A3610,Premissas!$B$5:$B$44,$B3610)</f>
        <v/>
      </c>
      <c r="L3610" s="29">
        <f>J3610-K3610</f>
        <v/>
      </c>
      <c r="M3610" t="inlineStr">
        <is>
          <t>1.350</t>
        </is>
      </c>
      <c r="N3610" t="inlineStr">
        <is>
          <t>Modalidade: 0 - Por conta do remetente | Parte: SIMAO DISTRIBUIDORA DE PRODUTOS ALIMENTICIOS E EMBALAGENS LT (60.491.308/0001-09)</t>
        </is>
      </c>
      <c r="O3610" s="29" t="n">
        <v>0</v>
      </c>
      <c r="P3610" s="29" t="n">
        <v>0</v>
      </c>
      <c r="Q3610" s="29" t="n">
        <v>0</v>
      </c>
      <c r="R3610" s="29" t="n">
        <v>0</v>
      </c>
      <c r="S3610" s="29" t="n">
        <v>0</v>
      </c>
      <c r="T3610" t="inlineStr">
        <is>
          <t>25260626975620000130570010000072651001501486</t>
        </is>
      </c>
      <c r="U3610" t="inlineStr">
        <is>
          <t>Não</t>
        </is>
      </c>
    </row>
    <row r="3611">
      <c r="A3611" t="inlineStr">
        <is>
          <t>Frete de venda</t>
        </is>
      </c>
      <c r="B3611" t="inlineStr">
        <is>
          <t>2.01.02 Frete sobre Vendas</t>
        </is>
      </c>
      <c r="C3611" s="30" t="n">
        <v>46174</v>
      </c>
      <c r="D3611" t="inlineStr">
        <is>
          <t>Em 2026</t>
        </is>
      </c>
      <c r="E3611" s="28" t="n">
        <v>46177</v>
      </c>
      <c r="F3611" t="inlineStr">
        <is>
          <t>CT-e</t>
        </is>
      </c>
      <c r="G3611" t="inlineStr">
        <is>
          <t>000007267</t>
        </is>
      </c>
      <c r="H3611" t="inlineStr">
        <is>
          <t>R&amp;R TRANSPORTE E LOGISTICA</t>
        </is>
      </c>
      <c r="J3611" s="29" t="n">
        <v>12044.57</v>
      </c>
      <c r="K3611" s="29">
        <f>(1-ISNUMBER(SEARCH("556",M3611)))*(O3611*SUMIFS(Premissas!$C$5:$C$44,Premissas!$A$5:$A$44,$A3611,Premissas!$B$5:$B$44,$B3611)+P3611*SUMIFS(Premissas!$D$5:$D$44,Premissas!$A$5:$A$44,$A3611,Premissas!$B$5:$B$44,$B3611))+R3611*SUMIFS(Premissas!$E$5:$E$44,Premissas!$A$5:$A$44,$A3611,Premissas!$B$5:$B$44,$B3611)+S3611*SUMIFS(Premissas!$F$5:$F$44,Premissas!$A$5:$A$44,$A3611,Premissas!$B$5:$B$44,$B3611)</f>
        <v/>
      </c>
      <c r="L3611" s="29">
        <f>J3611-K3611</f>
        <v/>
      </c>
      <c r="M3611" t="inlineStr">
        <is>
          <t>1.350</t>
        </is>
      </c>
      <c r="N3611" t="inlineStr">
        <is>
          <t>Modalidade: 0 - Por conta do remetente | Parte: DISTRIPACK DISTRIBUIDORA DE EMBALAGENS LTDA (11.043.375/0002-36)</t>
        </is>
      </c>
      <c r="O3611" s="29" t="n">
        <v>0</v>
      </c>
      <c r="P3611" s="29" t="n">
        <v>0</v>
      </c>
      <c r="Q3611" s="29" t="n">
        <v>0</v>
      </c>
      <c r="R3611" s="29" t="n">
        <v>0</v>
      </c>
      <c r="S3611" s="29" t="n">
        <v>0</v>
      </c>
      <c r="T3611" t="inlineStr">
        <is>
          <t>25260626975620000130570010000072671000010998</t>
        </is>
      </c>
      <c r="U3611" t="inlineStr">
        <is>
          <t>Não</t>
        </is>
      </c>
    </row>
    <row r="3612">
      <c r="A3612" t="inlineStr">
        <is>
          <t>Frete de venda</t>
        </is>
      </c>
      <c r="B3612" t="inlineStr">
        <is>
          <t>2.01.02 Frete sobre Vendas</t>
        </is>
      </c>
      <c r="C3612" s="30" t="n">
        <v>46174</v>
      </c>
      <c r="D3612" t="inlineStr">
        <is>
          <t>Em 2026</t>
        </is>
      </c>
      <c r="E3612" s="28" t="n">
        <v>46177</v>
      </c>
      <c r="F3612" t="inlineStr">
        <is>
          <t>CT-e</t>
        </is>
      </c>
      <c r="G3612" t="inlineStr">
        <is>
          <t>000007268</t>
        </is>
      </c>
      <c r="H3612" t="inlineStr">
        <is>
          <t>R&amp;R TRANSPORTE E LOGISTICA</t>
        </is>
      </c>
      <c r="J3612" s="29" t="n">
        <v>317.8</v>
      </c>
      <c r="K3612" s="29">
        <f>(1-ISNUMBER(SEARCH("556",M3612)))*(O3612*SUMIFS(Premissas!$C$5:$C$44,Premissas!$A$5:$A$44,$A3612,Premissas!$B$5:$B$44,$B3612)+P3612*SUMIFS(Premissas!$D$5:$D$44,Premissas!$A$5:$A$44,$A3612,Premissas!$B$5:$B$44,$B3612))+R3612*SUMIFS(Premissas!$E$5:$E$44,Premissas!$A$5:$A$44,$A3612,Premissas!$B$5:$B$44,$B3612)+S3612*SUMIFS(Premissas!$F$5:$F$44,Premissas!$A$5:$A$44,$A3612,Premissas!$B$5:$B$44,$B3612)</f>
        <v/>
      </c>
      <c r="L3612" s="29">
        <f>J3612-K3612</f>
        <v/>
      </c>
      <c r="M3612" t="inlineStr">
        <is>
          <t>1.350</t>
        </is>
      </c>
      <c r="N3612" t="inlineStr">
        <is>
          <t>Modalidade: 0 - Por conta do remetente | Parte: RODRIGUES e DIAS COMERCIO DE HORTIFRUTI GRANJEIROS LTDA (09.143.905/0001-95)</t>
        </is>
      </c>
      <c r="O3612" s="29" t="n">
        <v>0</v>
      </c>
      <c r="P3612" s="29" t="n">
        <v>0</v>
      </c>
      <c r="Q3612" s="29" t="n">
        <v>0</v>
      </c>
      <c r="R3612" s="29" t="n">
        <v>0</v>
      </c>
      <c r="S3612" s="29" t="n">
        <v>0</v>
      </c>
      <c r="T3612" t="inlineStr">
        <is>
          <t>25260626975620000130570010000072681001801074</t>
        </is>
      </c>
      <c r="U3612" t="inlineStr">
        <is>
          <t>Não</t>
        </is>
      </c>
    </row>
    <row r="3613">
      <c r="A3613" t="inlineStr">
        <is>
          <t>Frete de venda</t>
        </is>
      </c>
      <c r="B3613" t="inlineStr">
        <is>
          <t>2.01.02 Frete sobre Vendas</t>
        </is>
      </c>
      <c r="C3613" s="30" t="n">
        <v>46174</v>
      </c>
      <c r="D3613" t="inlineStr">
        <is>
          <t>Em 2026</t>
        </is>
      </c>
      <c r="E3613" s="28" t="n">
        <v>46178</v>
      </c>
      <c r="F3613" t="inlineStr">
        <is>
          <t>CT-e</t>
        </is>
      </c>
      <c r="G3613" t="inlineStr">
        <is>
          <t>000007271</t>
        </is>
      </c>
      <c r="H3613" t="inlineStr">
        <is>
          <t>R&amp;R TRANSPORTE E LOGISTICA</t>
        </is>
      </c>
      <c r="J3613" s="29" t="n">
        <v>160.5</v>
      </c>
      <c r="K3613" s="29">
        <f>(1-ISNUMBER(SEARCH("556",M3613)))*(O3613*SUMIFS(Premissas!$C$5:$C$44,Premissas!$A$5:$A$44,$A3613,Premissas!$B$5:$B$44,$B3613)+P3613*SUMIFS(Premissas!$D$5:$D$44,Premissas!$A$5:$A$44,$A3613,Premissas!$B$5:$B$44,$B3613))+R3613*SUMIFS(Premissas!$E$5:$E$44,Premissas!$A$5:$A$44,$A3613,Premissas!$B$5:$B$44,$B3613)+S3613*SUMIFS(Premissas!$F$5:$F$44,Premissas!$A$5:$A$44,$A3613,Premissas!$B$5:$B$44,$B3613)</f>
        <v/>
      </c>
      <c r="L3613" s="29">
        <f>J3613-K3613</f>
        <v/>
      </c>
      <c r="M3613" t="inlineStr">
        <is>
          <t>1.350</t>
        </is>
      </c>
      <c r="N3613" t="inlineStr">
        <is>
          <t>Modalidade: 0 - Por conta do remetente | Parte: SELLPACK DISTRIBUIDORA LTDA (07.747.107/0002-28)</t>
        </is>
      </c>
      <c r="O3613" s="29" t="n">
        <v>0</v>
      </c>
      <c r="P3613" s="29" t="n">
        <v>0</v>
      </c>
      <c r="Q3613" s="29" t="n">
        <v>0</v>
      </c>
      <c r="R3613" s="29" t="n">
        <v>0</v>
      </c>
      <c r="S3613" s="29" t="n">
        <v>0</v>
      </c>
      <c r="T3613" t="inlineStr">
        <is>
          <t>25260626975620000130570010000072711011001319</t>
        </is>
      </c>
      <c r="U3613" t="inlineStr">
        <is>
          <t>Não</t>
        </is>
      </c>
    </row>
    <row r="3614">
      <c r="A3614" t="inlineStr">
        <is>
          <t>Frete de venda</t>
        </is>
      </c>
      <c r="B3614" t="inlineStr">
        <is>
          <t>2.01.02 Frete sobre Vendas</t>
        </is>
      </c>
      <c r="C3614" s="30" t="n">
        <v>46174</v>
      </c>
      <c r="D3614" t="inlineStr">
        <is>
          <t>Em 2026</t>
        </is>
      </c>
      <c r="E3614" s="28" t="n">
        <v>46178</v>
      </c>
      <c r="F3614" t="inlineStr">
        <is>
          <t>CT-e</t>
        </is>
      </c>
      <c r="G3614" t="inlineStr">
        <is>
          <t>000007272</t>
        </is>
      </c>
      <c r="H3614" t="inlineStr">
        <is>
          <t>R&amp;R TRANSPORTE E LOGISTICA</t>
        </is>
      </c>
      <c r="J3614" s="29" t="n">
        <v>160.5</v>
      </c>
      <c r="K3614" s="29">
        <f>(1-ISNUMBER(SEARCH("556",M3614)))*(O3614*SUMIFS(Premissas!$C$5:$C$44,Premissas!$A$5:$A$44,$A3614,Premissas!$B$5:$B$44,$B3614)+P3614*SUMIFS(Premissas!$D$5:$D$44,Premissas!$A$5:$A$44,$A3614,Premissas!$B$5:$B$44,$B3614))+R3614*SUMIFS(Premissas!$E$5:$E$44,Premissas!$A$5:$A$44,$A3614,Premissas!$B$5:$B$44,$B3614)+S3614*SUMIFS(Premissas!$F$5:$F$44,Premissas!$A$5:$A$44,$A3614,Premissas!$B$5:$B$44,$B3614)</f>
        <v/>
      </c>
      <c r="L3614" s="29">
        <f>J3614-K3614</f>
        <v/>
      </c>
      <c r="M3614" t="inlineStr">
        <is>
          <t>1.350</t>
        </is>
      </c>
      <c r="N3614" t="inlineStr">
        <is>
          <t>Modalidade: 0 - Por conta do remetente | Parte: EDGAR COUTO PIRES (05.857.084/0001-06)</t>
        </is>
      </c>
      <c r="O3614" s="29" t="n">
        <v>0</v>
      </c>
      <c r="P3614" s="29" t="n">
        <v>0</v>
      </c>
      <c r="Q3614" s="29" t="n">
        <v>0</v>
      </c>
      <c r="R3614" s="29" t="n">
        <v>0</v>
      </c>
      <c r="S3614" s="29" t="n">
        <v>0</v>
      </c>
      <c r="T3614" t="inlineStr">
        <is>
          <t>25260626975620000130570010000072721001701390</t>
        </is>
      </c>
      <c r="U3614" t="inlineStr">
        <is>
          <t>Não</t>
        </is>
      </c>
    </row>
    <row r="3615">
      <c r="A3615" t="inlineStr">
        <is>
          <t>Frete de venda</t>
        </is>
      </c>
      <c r="B3615" t="inlineStr">
        <is>
          <t>2.01.02 Frete sobre Vendas</t>
        </is>
      </c>
      <c r="C3615" s="30" t="n">
        <v>46174</v>
      </c>
      <c r="D3615" t="inlineStr">
        <is>
          <t>Em 2026</t>
        </is>
      </c>
      <c r="E3615" s="28" t="n">
        <v>46179</v>
      </c>
      <c r="F3615" t="inlineStr">
        <is>
          <t>CT-e</t>
        </is>
      </c>
      <c r="G3615" t="inlineStr">
        <is>
          <t>000007276</t>
        </is>
      </c>
      <c r="H3615" t="inlineStr">
        <is>
          <t>R&amp;R TRANSPORTE E LOGISTICA</t>
        </is>
      </c>
      <c r="J3615" s="29" t="n">
        <v>685</v>
      </c>
      <c r="K3615" s="29">
        <f>(1-ISNUMBER(SEARCH("556",M3615)))*(O3615*SUMIFS(Premissas!$C$5:$C$44,Premissas!$A$5:$A$44,$A3615,Premissas!$B$5:$B$44,$B3615)+P3615*SUMIFS(Premissas!$D$5:$D$44,Premissas!$A$5:$A$44,$A3615,Premissas!$B$5:$B$44,$B3615))+R3615*SUMIFS(Premissas!$E$5:$E$44,Premissas!$A$5:$A$44,$A3615,Premissas!$B$5:$B$44,$B3615)+S3615*SUMIFS(Premissas!$F$5:$F$44,Premissas!$A$5:$A$44,$A3615,Premissas!$B$5:$B$44,$B3615)</f>
        <v/>
      </c>
      <c r="L3615" s="29">
        <f>J3615-K3615</f>
        <v/>
      </c>
      <c r="M3615" t="inlineStr">
        <is>
          <t>1.350</t>
        </is>
      </c>
      <c r="N3615" t="inlineStr">
        <is>
          <t>Modalidade: 0 - Por conta do remetente | Parte: DISTRIPACK DISTRIBUIDORA DE EMBALAGENS LTDA (11.043.375/0003-17)</t>
        </is>
      </c>
      <c r="O3615" s="29" t="n">
        <v>0</v>
      </c>
      <c r="P3615" s="29" t="n">
        <v>0</v>
      </c>
      <c r="Q3615" s="29" t="n">
        <v>0</v>
      </c>
      <c r="R3615" s="29" t="n">
        <v>0</v>
      </c>
      <c r="S3615" s="29" t="n">
        <v>0</v>
      </c>
      <c r="T3615" t="inlineStr">
        <is>
          <t>25260626975620000130570010000072761001100981</t>
        </is>
      </c>
      <c r="U3615" t="inlineStr">
        <is>
          <t>Não</t>
        </is>
      </c>
    </row>
    <row r="3616">
      <c r="A3616" t="inlineStr">
        <is>
          <t>Frete de venda</t>
        </is>
      </c>
      <c r="B3616" t="inlineStr">
        <is>
          <t>2.01.02 Frete sobre Vendas</t>
        </is>
      </c>
      <c r="C3616" s="30" t="n">
        <v>46174</v>
      </c>
      <c r="D3616" t="inlineStr">
        <is>
          <t>Em 2026</t>
        </is>
      </c>
      <c r="E3616" s="28" t="n">
        <v>46181</v>
      </c>
      <c r="F3616" t="inlineStr">
        <is>
          <t>CT-e</t>
        </is>
      </c>
      <c r="G3616" t="inlineStr">
        <is>
          <t>000007279</t>
        </is>
      </c>
      <c r="H3616" t="inlineStr">
        <is>
          <t>R&amp;R TRANSPORTE E LOGISTICA</t>
        </is>
      </c>
      <c r="J3616" s="29" t="n">
        <v>500</v>
      </c>
      <c r="K3616" s="29">
        <f>(1-ISNUMBER(SEARCH("556",M3616)))*(O3616*SUMIFS(Premissas!$C$5:$C$44,Premissas!$A$5:$A$44,$A3616,Premissas!$B$5:$B$44,$B3616)+P3616*SUMIFS(Premissas!$D$5:$D$44,Premissas!$A$5:$A$44,$A3616,Premissas!$B$5:$B$44,$B3616))+R3616*SUMIFS(Premissas!$E$5:$E$44,Premissas!$A$5:$A$44,$A3616,Premissas!$B$5:$B$44,$B3616)+S3616*SUMIFS(Premissas!$F$5:$F$44,Premissas!$A$5:$A$44,$A3616,Premissas!$B$5:$B$44,$B3616)</f>
        <v/>
      </c>
      <c r="L3616" s="29">
        <f>J3616-K3616</f>
        <v/>
      </c>
      <c r="M3616" t="inlineStr">
        <is>
          <t>1.350</t>
        </is>
      </c>
      <c r="N3616" t="inlineStr">
        <is>
          <t>Modalidade: 0 - Por conta do remetente | Parte: PRONTO DISTRIBUIDORA LTDA (59.909.633/0001-60)</t>
        </is>
      </c>
      <c r="O3616" s="29" t="n">
        <v>0</v>
      </c>
      <c r="P3616" s="29" t="n">
        <v>0</v>
      </c>
      <c r="Q3616" s="29" t="n">
        <v>0</v>
      </c>
      <c r="R3616" s="29" t="n">
        <v>0</v>
      </c>
      <c r="S3616" s="29" t="n">
        <v>0</v>
      </c>
      <c r="T3616" t="inlineStr">
        <is>
          <t>25260626975620000130570010000072791011001538</t>
        </is>
      </c>
      <c r="U3616" t="inlineStr">
        <is>
          <t>Não</t>
        </is>
      </c>
    </row>
    <row r="3617">
      <c r="A3617" t="inlineStr">
        <is>
          <t>Frete de venda</t>
        </is>
      </c>
      <c r="B3617" t="inlineStr">
        <is>
          <t>2.01.02 Frete sobre Vendas</t>
        </is>
      </c>
      <c r="C3617" s="30" t="n">
        <v>46174</v>
      </c>
      <c r="D3617" t="inlineStr">
        <is>
          <t>Em 2026</t>
        </is>
      </c>
      <c r="E3617" s="28" t="n">
        <v>46181</v>
      </c>
      <c r="F3617" t="inlineStr">
        <is>
          <t>CT-e</t>
        </is>
      </c>
      <c r="G3617" t="inlineStr">
        <is>
          <t>000007280</t>
        </is>
      </c>
      <c r="H3617" t="inlineStr">
        <is>
          <t>R&amp;R TRANSPORTE E LOGISTICA</t>
        </is>
      </c>
      <c r="J3617" s="29" t="n">
        <v>500</v>
      </c>
      <c r="K3617" s="29">
        <f>(1-ISNUMBER(SEARCH("556",M3617)))*(O3617*SUMIFS(Premissas!$C$5:$C$44,Premissas!$A$5:$A$44,$A3617,Premissas!$B$5:$B$44,$B3617)+P3617*SUMIFS(Premissas!$D$5:$D$44,Premissas!$A$5:$A$44,$A3617,Premissas!$B$5:$B$44,$B3617))+R3617*SUMIFS(Premissas!$E$5:$E$44,Premissas!$A$5:$A$44,$A3617,Premissas!$B$5:$B$44,$B3617)+S3617*SUMIFS(Premissas!$F$5:$F$44,Premissas!$A$5:$A$44,$A3617,Premissas!$B$5:$B$44,$B3617)</f>
        <v/>
      </c>
      <c r="L3617" s="29">
        <f>J3617-K3617</f>
        <v/>
      </c>
      <c r="M3617" t="inlineStr">
        <is>
          <t>1.350</t>
        </is>
      </c>
      <c r="N3617" t="inlineStr">
        <is>
          <t>Modalidade: 0 - Por conta do remetente | Parte: TOP ATACADISTA DE EMBALAGENS LTDA (62.946.602/0001-93)</t>
        </is>
      </c>
      <c r="O3617" s="29" t="n">
        <v>0</v>
      </c>
      <c r="P3617" s="29" t="n">
        <v>0</v>
      </c>
      <c r="Q3617" s="29" t="n">
        <v>0</v>
      </c>
      <c r="R3617" s="29" t="n">
        <v>0</v>
      </c>
      <c r="S3617" s="29" t="n">
        <v>0</v>
      </c>
      <c r="T3617" t="inlineStr">
        <is>
          <t>25260626975620000130570010000072801001701619</t>
        </is>
      </c>
      <c r="U3617" t="inlineStr">
        <is>
          <t>Não</t>
        </is>
      </c>
    </row>
    <row r="3618">
      <c r="A3618" t="inlineStr">
        <is>
          <t>Frete de venda</t>
        </is>
      </c>
      <c r="B3618" t="inlineStr">
        <is>
          <t>2.01.02 Frete sobre Vendas</t>
        </is>
      </c>
      <c r="C3618" s="30" t="n">
        <v>46174</v>
      </c>
      <c r="D3618" t="inlineStr">
        <is>
          <t>Em 2026</t>
        </is>
      </c>
      <c r="E3618" s="28" t="n">
        <v>46181</v>
      </c>
      <c r="F3618" t="inlineStr">
        <is>
          <t>CT-e</t>
        </is>
      </c>
      <c r="G3618" t="inlineStr">
        <is>
          <t>000007281</t>
        </is>
      </c>
      <c r="H3618" t="inlineStr">
        <is>
          <t>R&amp;R TRANSPORTE E LOGISTICA</t>
        </is>
      </c>
      <c r="J3618" s="29" t="n">
        <v>500</v>
      </c>
      <c r="K3618" s="29">
        <f>(1-ISNUMBER(SEARCH("556",M3618)))*(O3618*SUMIFS(Premissas!$C$5:$C$44,Premissas!$A$5:$A$44,$A3618,Premissas!$B$5:$B$44,$B3618)+P3618*SUMIFS(Premissas!$D$5:$D$44,Premissas!$A$5:$A$44,$A3618,Premissas!$B$5:$B$44,$B3618))+R3618*SUMIFS(Premissas!$E$5:$E$44,Premissas!$A$5:$A$44,$A3618,Premissas!$B$5:$B$44,$B3618)+S3618*SUMIFS(Premissas!$F$5:$F$44,Premissas!$A$5:$A$44,$A3618,Premissas!$B$5:$B$44,$B3618)</f>
        <v/>
      </c>
      <c r="L3618" s="29">
        <f>J3618-K3618</f>
        <v/>
      </c>
      <c r="M3618" t="inlineStr">
        <is>
          <t>1.350</t>
        </is>
      </c>
      <c r="N3618" t="inlineStr">
        <is>
          <t>Modalidade: 0 - Por conta do remetente | Parte: C M OLIVEIRA ATACADO (41.098.526/0001-33)</t>
        </is>
      </c>
      <c r="O3618" s="29" t="n">
        <v>0</v>
      </c>
      <c r="P3618" s="29" t="n">
        <v>0</v>
      </c>
      <c r="Q3618" s="29" t="n">
        <v>0</v>
      </c>
      <c r="R3618" s="29" t="n">
        <v>0</v>
      </c>
      <c r="S3618" s="29" t="n">
        <v>0</v>
      </c>
      <c r="T3618" t="inlineStr">
        <is>
          <t>25260626975620000130570010000072811001401698</t>
        </is>
      </c>
      <c r="U3618" t="inlineStr">
        <is>
          <t>Não</t>
        </is>
      </c>
    </row>
    <row r="3619">
      <c r="A3619" t="inlineStr">
        <is>
          <t>Frete de venda</t>
        </is>
      </c>
      <c r="B3619" t="inlineStr">
        <is>
          <t>2.01.02 Frete sobre Vendas</t>
        </is>
      </c>
      <c r="C3619" s="30" t="n">
        <v>46174</v>
      </c>
      <c r="D3619" t="inlineStr">
        <is>
          <t>Em 2026</t>
        </is>
      </c>
      <c r="E3619" s="28" t="n">
        <v>46183</v>
      </c>
      <c r="F3619" t="inlineStr">
        <is>
          <t>CT-e</t>
        </is>
      </c>
      <c r="G3619" t="inlineStr">
        <is>
          <t>000007285</t>
        </is>
      </c>
      <c r="H3619" t="inlineStr">
        <is>
          <t>R&amp;R TRANSPORTE E LOGISTICA</t>
        </is>
      </c>
      <c r="J3619" s="29" t="n">
        <v>1305</v>
      </c>
      <c r="K3619" s="29">
        <f>(1-ISNUMBER(SEARCH("556",M3619)))*(O3619*SUMIFS(Premissas!$C$5:$C$44,Premissas!$A$5:$A$44,$A3619,Premissas!$B$5:$B$44,$B3619)+P3619*SUMIFS(Premissas!$D$5:$D$44,Premissas!$A$5:$A$44,$A3619,Premissas!$B$5:$B$44,$B3619))+R3619*SUMIFS(Premissas!$E$5:$E$44,Premissas!$A$5:$A$44,$A3619,Premissas!$B$5:$B$44,$B3619)+S3619*SUMIFS(Premissas!$F$5:$F$44,Premissas!$A$5:$A$44,$A3619,Premissas!$B$5:$B$44,$B3619)</f>
        <v/>
      </c>
      <c r="L3619" s="29">
        <f>J3619-K3619</f>
        <v/>
      </c>
      <c r="M3619" t="inlineStr">
        <is>
          <t>1.350</t>
        </is>
      </c>
      <c r="N3619" t="inlineStr">
        <is>
          <t>Modalidade: 0 - Por conta do remetente | Parte: C M OLIVEIRA ATACADO (41.098.526/0001-33)</t>
        </is>
      </c>
      <c r="O3619" s="29" t="n">
        <v>0</v>
      </c>
      <c r="P3619" s="29" t="n">
        <v>0</v>
      </c>
      <c r="Q3619" s="29" t="n">
        <v>0</v>
      </c>
      <c r="R3619" s="29" t="n">
        <v>0</v>
      </c>
      <c r="S3619" s="29" t="n">
        <v>0</v>
      </c>
      <c r="T3619" t="inlineStr">
        <is>
          <t>25260626975620000130570010000072851001801075</t>
        </is>
      </c>
      <c r="U3619" t="inlineStr">
        <is>
          <t>Não</t>
        </is>
      </c>
    </row>
    <row r="3620">
      <c r="A3620" t="inlineStr">
        <is>
          <t>Frete de venda</t>
        </is>
      </c>
      <c r="B3620" t="inlineStr">
        <is>
          <t>2.01.02 Frete sobre Vendas</t>
        </is>
      </c>
      <c r="C3620" s="30" t="n">
        <v>46174</v>
      </c>
      <c r="D3620" t="inlineStr">
        <is>
          <t>Em 2026</t>
        </is>
      </c>
      <c r="E3620" s="28" t="n">
        <v>46183</v>
      </c>
      <c r="F3620" t="inlineStr">
        <is>
          <t>CT-e</t>
        </is>
      </c>
      <c r="G3620" t="inlineStr">
        <is>
          <t>000007286</t>
        </is>
      </c>
      <c r="H3620" t="inlineStr">
        <is>
          <t>R&amp;R TRANSPORTE E LOGISTICA</t>
        </is>
      </c>
      <c r="J3620" s="29" t="n">
        <v>129.85</v>
      </c>
      <c r="K3620" s="29">
        <f>(1-ISNUMBER(SEARCH("556",M3620)))*(O3620*SUMIFS(Premissas!$C$5:$C$44,Premissas!$A$5:$A$44,$A3620,Premissas!$B$5:$B$44,$B3620)+P3620*SUMIFS(Premissas!$D$5:$D$44,Premissas!$A$5:$A$44,$A3620,Premissas!$B$5:$B$44,$B3620))+R3620*SUMIFS(Premissas!$E$5:$E$44,Premissas!$A$5:$A$44,$A3620,Premissas!$B$5:$B$44,$B3620)+S3620*SUMIFS(Premissas!$F$5:$F$44,Premissas!$A$5:$A$44,$A3620,Premissas!$B$5:$B$44,$B3620)</f>
        <v/>
      </c>
      <c r="L3620" s="29">
        <f>J3620-K3620</f>
        <v/>
      </c>
      <c r="M3620" t="inlineStr">
        <is>
          <t>1.350</t>
        </is>
      </c>
      <c r="N3620" t="inlineStr">
        <is>
          <t>Modalidade: 0 - Por conta do remetente | Parte: UP DISTRIBUIDORA DE PRODUTOS DESCARTAVEIS LTDA (12.423.997/0001-71)</t>
        </is>
      </c>
      <c r="O3620" s="29" t="n">
        <v>0</v>
      </c>
      <c r="P3620" s="29" t="n">
        <v>0</v>
      </c>
      <c r="Q3620" s="29" t="n">
        <v>0</v>
      </c>
      <c r="R3620" s="29" t="n">
        <v>0</v>
      </c>
      <c r="S3620" s="29" t="n">
        <v>0</v>
      </c>
      <c r="T3620" t="inlineStr">
        <is>
          <t>25260626975620000130570010000072861001501150</t>
        </is>
      </c>
      <c r="U3620" t="inlineStr">
        <is>
          <t>Não</t>
        </is>
      </c>
    </row>
    <row r="3621">
      <c r="A3621" t="inlineStr">
        <is>
          <t>Frete de venda</t>
        </is>
      </c>
      <c r="B3621" t="inlineStr">
        <is>
          <t>2.01.02 Frete sobre Vendas</t>
        </is>
      </c>
      <c r="C3621" s="30" t="n">
        <v>46174</v>
      </c>
      <c r="D3621" t="inlineStr">
        <is>
          <t>Em 2026</t>
        </is>
      </c>
      <c r="E3621" s="28" t="n">
        <v>46183</v>
      </c>
      <c r="F3621" t="inlineStr">
        <is>
          <t>CT-e</t>
        </is>
      </c>
      <c r="G3621" t="inlineStr">
        <is>
          <t>000007287</t>
        </is>
      </c>
      <c r="H3621" t="inlineStr">
        <is>
          <t>R&amp;R TRANSPORTE E LOGISTICA</t>
        </is>
      </c>
      <c r="J3621" s="29" t="n">
        <v>161.04</v>
      </c>
      <c r="K3621" s="29">
        <f>(1-ISNUMBER(SEARCH("556",M3621)))*(O3621*SUMIFS(Premissas!$C$5:$C$44,Premissas!$A$5:$A$44,$A3621,Premissas!$B$5:$B$44,$B3621)+P3621*SUMIFS(Premissas!$D$5:$D$44,Premissas!$A$5:$A$44,$A3621,Premissas!$B$5:$B$44,$B3621))+R3621*SUMIFS(Premissas!$E$5:$E$44,Premissas!$A$5:$A$44,$A3621,Premissas!$B$5:$B$44,$B3621)+S3621*SUMIFS(Premissas!$F$5:$F$44,Premissas!$A$5:$A$44,$A3621,Premissas!$B$5:$B$44,$B3621)</f>
        <v/>
      </c>
      <c r="L3621" s="29">
        <f>J3621-K3621</f>
        <v/>
      </c>
      <c r="M3621" t="inlineStr">
        <is>
          <t>1.350</t>
        </is>
      </c>
      <c r="N3621" t="inlineStr">
        <is>
          <t>Modalidade: 0 - Por conta do remetente | Parte: EMBALAR DISTRIBUIDORA DE EMBALAGENS LTDA (10.347.424/0001-80)</t>
        </is>
      </c>
      <c r="O3621" s="29" t="n">
        <v>0</v>
      </c>
      <c r="P3621" s="29" t="n">
        <v>0</v>
      </c>
      <c r="Q3621" s="29" t="n">
        <v>0</v>
      </c>
      <c r="R3621" s="29" t="n">
        <v>0</v>
      </c>
      <c r="S3621" s="29" t="n">
        <v>0</v>
      </c>
      <c r="T3621" t="inlineStr">
        <is>
          <t>25260626975620000130570010000072871001201234</t>
        </is>
      </c>
      <c r="U3621" t="inlineStr">
        <is>
          <t>Não</t>
        </is>
      </c>
    </row>
    <row r="3622">
      <c r="A3622" t="inlineStr">
        <is>
          <t>Frete de venda</t>
        </is>
      </c>
      <c r="B3622" t="inlineStr">
        <is>
          <t>2.01.02 Frete sobre Vendas</t>
        </is>
      </c>
      <c r="C3622" s="30" t="n">
        <v>46174</v>
      </c>
      <c r="D3622" t="inlineStr">
        <is>
          <t>Em 2026</t>
        </is>
      </c>
      <c r="E3622" s="28" t="n">
        <v>46184</v>
      </c>
      <c r="F3622" t="inlineStr">
        <is>
          <t>CT-e</t>
        </is>
      </c>
      <c r="G3622" t="inlineStr">
        <is>
          <t>000007291</t>
        </is>
      </c>
      <c r="H3622" t="inlineStr">
        <is>
          <t>R&amp;R TRANSPORTE E LOGISTICA</t>
        </is>
      </c>
      <c r="J3622" s="29" t="n">
        <v>750</v>
      </c>
      <c r="K3622" s="29">
        <f>(1-ISNUMBER(SEARCH("556",M3622)))*(O3622*SUMIFS(Premissas!$C$5:$C$44,Premissas!$A$5:$A$44,$A3622,Premissas!$B$5:$B$44,$B3622)+P3622*SUMIFS(Premissas!$D$5:$D$44,Premissas!$A$5:$A$44,$A3622,Premissas!$B$5:$B$44,$B3622))+R3622*SUMIFS(Premissas!$E$5:$E$44,Premissas!$A$5:$A$44,$A3622,Premissas!$B$5:$B$44,$B3622)+S3622*SUMIFS(Premissas!$F$5:$F$44,Premissas!$A$5:$A$44,$A3622,Premissas!$B$5:$B$44,$B3622)</f>
        <v/>
      </c>
      <c r="L3622" s="29">
        <f>J3622-K3622</f>
        <v/>
      </c>
      <c r="M3622" t="inlineStr">
        <is>
          <t>1.350</t>
        </is>
      </c>
      <c r="N3622" t="inlineStr">
        <is>
          <t>Modalidade: 0 - Por conta do remetente | Parte: ADILSON RAMOS DE MOURA LTDA (00.794.258/0001-07)</t>
        </is>
      </c>
      <c r="O3622" s="29" t="n">
        <v>0</v>
      </c>
      <c r="P3622" s="29" t="n">
        <v>0</v>
      </c>
      <c r="Q3622" s="29" t="n">
        <v>0</v>
      </c>
      <c r="R3622" s="29" t="n">
        <v>0</v>
      </c>
      <c r="S3622" s="29" t="n">
        <v>0</v>
      </c>
      <c r="T3622" t="inlineStr">
        <is>
          <t>25260626975620000130570010000072911001100988</t>
        </is>
      </c>
      <c r="U3622" t="inlineStr">
        <is>
          <t>Não</t>
        </is>
      </c>
    </row>
    <row r="3623">
      <c r="A3623" t="inlineStr">
        <is>
          <t>Frete de venda</t>
        </is>
      </c>
      <c r="B3623" t="inlineStr">
        <is>
          <t>2.01.02 Frete sobre Vendas</t>
        </is>
      </c>
      <c r="C3623" s="30" t="n">
        <v>46174</v>
      </c>
      <c r="D3623" t="inlineStr">
        <is>
          <t>Em 2026</t>
        </is>
      </c>
      <c r="E3623" s="28" t="n">
        <v>46184</v>
      </c>
      <c r="F3623" t="inlineStr">
        <is>
          <t>CT-e</t>
        </is>
      </c>
      <c r="G3623" t="inlineStr">
        <is>
          <t>000007292</t>
        </is>
      </c>
      <c r="H3623" t="inlineStr">
        <is>
          <t>R&amp;R TRANSPORTE E LOGISTICA</t>
        </is>
      </c>
      <c r="J3623" s="29" t="n">
        <v>750</v>
      </c>
      <c r="K3623" s="29">
        <f>(1-ISNUMBER(SEARCH("556",M3623)))*(O3623*SUMIFS(Premissas!$C$5:$C$44,Premissas!$A$5:$A$44,$A3623,Premissas!$B$5:$B$44,$B3623)+P3623*SUMIFS(Premissas!$D$5:$D$44,Premissas!$A$5:$A$44,$A3623,Premissas!$B$5:$B$44,$B3623))+R3623*SUMIFS(Premissas!$E$5:$E$44,Premissas!$A$5:$A$44,$A3623,Premissas!$B$5:$B$44,$B3623)+S3623*SUMIFS(Premissas!$F$5:$F$44,Premissas!$A$5:$A$44,$A3623,Premissas!$B$5:$B$44,$B3623)</f>
        <v/>
      </c>
      <c r="L3623" s="29">
        <f>J3623-K3623</f>
        <v/>
      </c>
      <c r="M3623" t="inlineStr">
        <is>
          <t>1.350</t>
        </is>
      </c>
      <c r="N3623" t="inlineStr">
        <is>
          <t>Modalidade: 0 - Por conta do remetente | Parte: COMERCIAL PROLAC LTDA. (07.182.763/0001-40)</t>
        </is>
      </c>
      <c r="O3623" s="29" t="n">
        <v>0</v>
      </c>
      <c r="P3623" s="29" t="n">
        <v>0</v>
      </c>
      <c r="Q3623" s="29" t="n">
        <v>0</v>
      </c>
      <c r="R3623" s="29" t="n">
        <v>0</v>
      </c>
      <c r="S3623" s="29" t="n">
        <v>0</v>
      </c>
      <c r="T3623" t="inlineStr">
        <is>
          <t>25260626975620000130570010000072921001701067</t>
        </is>
      </c>
      <c r="U3623" t="inlineStr">
        <is>
          <t>Não</t>
        </is>
      </c>
    </row>
    <row r="3624">
      <c r="A3624" t="inlineStr">
        <is>
          <t>Frete de venda</t>
        </is>
      </c>
      <c r="B3624" t="inlineStr">
        <is>
          <t>2.01.02 Frete sobre Vendas</t>
        </is>
      </c>
      <c r="C3624" s="30" t="n">
        <v>46174</v>
      </c>
      <c r="D3624" t="inlineStr">
        <is>
          <t>Em 2026</t>
        </is>
      </c>
      <c r="E3624" s="28" t="n">
        <v>46184</v>
      </c>
      <c r="F3624" t="inlineStr">
        <is>
          <t>CT-e</t>
        </is>
      </c>
      <c r="G3624" t="inlineStr">
        <is>
          <t>000007293</t>
        </is>
      </c>
      <c r="H3624" t="inlineStr">
        <is>
          <t>R&amp;R TRANSPORTE E LOGISTICA</t>
        </is>
      </c>
      <c r="J3624" s="29" t="n">
        <v>29.65</v>
      </c>
      <c r="K3624" s="29">
        <f>(1-ISNUMBER(SEARCH("556",M3624)))*(O3624*SUMIFS(Premissas!$C$5:$C$44,Premissas!$A$5:$A$44,$A3624,Premissas!$B$5:$B$44,$B3624)+P3624*SUMIFS(Premissas!$D$5:$D$44,Premissas!$A$5:$A$44,$A3624,Premissas!$B$5:$B$44,$B3624))+R3624*SUMIFS(Premissas!$E$5:$E$44,Premissas!$A$5:$A$44,$A3624,Premissas!$B$5:$B$44,$B3624)+S3624*SUMIFS(Premissas!$F$5:$F$44,Premissas!$A$5:$A$44,$A3624,Premissas!$B$5:$B$44,$B3624)</f>
        <v/>
      </c>
      <c r="L3624" s="29">
        <f>J3624-K3624</f>
        <v/>
      </c>
      <c r="M3624" t="inlineStr">
        <is>
          <t>1.350</t>
        </is>
      </c>
      <c r="N3624" t="inlineStr">
        <is>
          <t>Modalidade: 0 - Por conta do remetente | Parte: AMERICA ATACADISTA ALIMENTOS E EMBALAGENS LTDA (51.238.409/0001-81)</t>
        </is>
      </c>
      <c r="O3624" s="29" t="n">
        <v>0</v>
      </c>
      <c r="P3624" s="29" t="n">
        <v>0</v>
      </c>
      <c r="Q3624" s="29" t="n">
        <v>0</v>
      </c>
      <c r="R3624" s="29" t="n">
        <v>0</v>
      </c>
      <c r="S3624" s="29" t="n">
        <v>0</v>
      </c>
      <c r="T3624" t="inlineStr">
        <is>
          <t>25260626975620000130570010000072931001101229</t>
        </is>
      </c>
      <c r="U3624" t="inlineStr">
        <is>
          <t>Não</t>
        </is>
      </c>
    </row>
    <row r="3625">
      <c r="A3625" t="inlineStr">
        <is>
          <t>Frete de venda</t>
        </is>
      </c>
      <c r="B3625" t="inlineStr">
        <is>
          <t>2.01.02 Frete sobre Vendas</t>
        </is>
      </c>
      <c r="C3625" s="30" t="n">
        <v>46174</v>
      </c>
      <c r="D3625" t="inlineStr">
        <is>
          <t>Em 2026</t>
        </is>
      </c>
      <c r="E3625" s="28" t="n">
        <v>46184</v>
      </c>
      <c r="F3625" t="inlineStr">
        <is>
          <t>CT-e</t>
        </is>
      </c>
      <c r="G3625" t="inlineStr">
        <is>
          <t>000007294</t>
        </is>
      </c>
      <c r="H3625" t="inlineStr">
        <is>
          <t>R&amp;R TRANSPORTE E LOGISTICA</t>
        </is>
      </c>
      <c r="J3625" s="29" t="n">
        <v>26.54</v>
      </c>
      <c r="K3625" s="29">
        <f>(1-ISNUMBER(SEARCH("556",M3625)))*(O3625*SUMIFS(Premissas!$C$5:$C$44,Premissas!$A$5:$A$44,$A3625,Premissas!$B$5:$B$44,$B3625)+P3625*SUMIFS(Premissas!$D$5:$D$44,Premissas!$A$5:$A$44,$A3625,Premissas!$B$5:$B$44,$B3625))+R3625*SUMIFS(Premissas!$E$5:$E$44,Premissas!$A$5:$A$44,$A3625,Premissas!$B$5:$B$44,$B3625)+S3625*SUMIFS(Premissas!$F$5:$F$44,Premissas!$A$5:$A$44,$A3625,Premissas!$B$5:$B$44,$B3625)</f>
        <v/>
      </c>
      <c r="L3625" s="29">
        <f>J3625-K3625</f>
        <v/>
      </c>
      <c r="M3625" t="inlineStr">
        <is>
          <t>1.350</t>
        </is>
      </c>
      <c r="N3625" t="inlineStr">
        <is>
          <t>Modalidade: 0 - Por conta do remetente | Parte: CAITTO PALHARES DA SILVA 05668249735 (26.647.620/0001-00)</t>
        </is>
      </c>
      <c r="O3625" s="29" t="n">
        <v>0</v>
      </c>
      <c r="P3625" s="29" t="n">
        <v>0</v>
      </c>
      <c r="Q3625" s="29" t="n">
        <v>0</v>
      </c>
      <c r="R3625" s="29" t="n">
        <v>0</v>
      </c>
      <c r="S3625" s="29" t="n">
        <v>0</v>
      </c>
      <c r="T3625" t="inlineStr">
        <is>
          <t>25260626975620000130570010000072941001901303</t>
        </is>
      </c>
      <c r="U3625" t="inlineStr">
        <is>
          <t>Não</t>
        </is>
      </c>
    </row>
    <row r="3626">
      <c r="A3626" t="inlineStr">
        <is>
          <t>Frete de venda</t>
        </is>
      </c>
      <c r="B3626" t="inlineStr">
        <is>
          <t>2.01.02 Frete sobre Vendas</t>
        </is>
      </c>
      <c r="C3626" s="30" t="n">
        <v>46174</v>
      </c>
      <c r="D3626" t="inlineStr">
        <is>
          <t>Em 2026</t>
        </is>
      </c>
      <c r="E3626" s="28" t="n">
        <v>46184</v>
      </c>
      <c r="F3626" t="inlineStr">
        <is>
          <t>CT-e</t>
        </is>
      </c>
      <c r="G3626" t="inlineStr">
        <is>
          <t>000007295</t>
        </is>
      </c>
      <c r="H3626" t="inlineStr">
        <is>
          <t>R&amp;R TRANSPORTE E LOGISTICA</t>
        </is>
      </c>
      <c r="J3626" s="29" t="n">
        <v>29.65</v>
      </c>
      <c r="K3626" s="29">
        <f>(1-ISNUMBER(SEARCH("556",M3626)))*(O3626*SUMIFS(Premissas!$C$5:$C$44,Premissas!$A$5:$A$44,$A3626,Premissas!$B$5:$B$44,$B3626)+P3626*SUMIFS(Premissas!$D$5:$D$44,Premissas!$A$5:$A$44,$A3626,Premissas!$B$5:$B$44,$B3626))+R3626*SUMIFS(Premissas!$E$5:$E$44,Premissas!$A$5:$A$44,$A3626,Premissas!$B$5:$B$44,$B3626)+S3626*SUMIFS(Premissas!$F$5:$F$44,Premissas!$A$5:$A$44,$A3626,Premissas!$B$5:$B$44,$B3626)</f>
        <v/>
      </c>
      <c r="L3626" s="29">
        <f>J3626-K3626</f>
        <v/>
      </c>
      <c r="M3626" t="inlineStr">
        <is>
          <t>1.350</t>
        </is>
      </c>
      <c r="N3626" t="inlineStr">
        <is>
          <t>Modalidade: 0 - Por conta do remetente | Parte: ATACADAO DA BAIXADA LTDA (22.815.381/0001-08)</t>
        </is>
      </c>
      <c r="O3626" s="29" t="n">
        <v>0</v>
      </c>
      <c r="P3626" s="29" t="n">
        <v>0</v>
      </c>
      <c r="Q3626" s="29" t="n">
        <v>0</v>
      </c>
      <c r="R3626" s="29" t="n">
        <v>0</v>
      </c>
      <c r="S3626" s="29" t="n">
        <v>0</v>
      </c>
      <c r="T3626" t="inlineStr">
        <is>
          <t>25260626975620000130570010000072951001601382</t>
        </is>
      </c>
      <c r="U3626" t="inlineStr">
        <is>
          <t>Não</t>
        </is>
      </c>
    </row>
    <row r="3627">
      <c r="A3627" t="inlineStr">
        <is>
          <t>Frete de venda</t>
        </is>
      </c>
      <c r="B3627" t="inlineStr">
        <is>
          <t>2.01.02 Frete sobre Vendas</t>
        </is>
      </c>
      <c r="C3627" s="30" t="n">
        <v>46174</v>
      </c>
      <c r="D3627" t="inlineStr">
        <is>
          <t>Em 2026</t>
        </is>
      </c>
      <c r="E3627" s="28" t="n">
        <v>46184</v>
      </c>
      <c r="F3627" t="inlineStr">
        <is>
          <t>CT-e</t>
        </is>
      </c>
      <c r="G3627" t="inlineStr">
        <is>
          <t>000007296</t>
        </is>
      </c>
      <c r="H3627" t="inlineStr">
        <is>
          <t>R&amp;R TRANSPORTE E LOGISTICA</t>
        </is>
      </c>
      <c r="J3627" s="29" t="n">
        <v>33.03</v>
      </c>
      <c r="K3627" s="29">
        <f>(1-ISNUMBER(SEARCH("556",M3627)))*(O3627*SUMIFS(Premissas!$C$5:$C$44,Premissas!$A$5:$A$44,$A3627,Premissas!$B$5:$B$44,$B3627)+P3627*SUMIFS(Premissas!$D$5:$D$44,Premissas!$A$5:$A$44,$A3627,Premissas!$B$5:$B$44,$B3627))+R3627*SUMIFS(Premissas!$E$5:$E$44,Premissas!$A$5:$A$44,$A3627,Premissas!$B$5:$B$44,$B3627)+S3627*SUMIFS(Premissas!$F$5:$F$44,Premissas!$A$5:$A$44,$A3627,Premissas!$B$5:$B$44,$B3627)</f>
        <v/>
      </c>
      <c r="L3627" s="29">
        <f>J3627-K3627</f>
        <v/>
      </c>
      <c r="M3627" t="inlineStr">
        <is>
          <t>1.350</t>
        </is>
      </c>
      <c r="N3627" t="inlineStr">
        <is>
          <t>Modalidade: 0 - Por conta do remetente | Parte: PROPACK COMERCIAL LTDA (43.437.401/0001-16)</t>
        </is>
      </c>
      <c r="O3627" s="29" t="n">
        <v>0</v>
      </c>
      <c r="P3627" s="29" t="n">
        <v>0</v>
      </c>
      <c r="Q3627" s="29" t="n">
        <v>0</v>
      </c>
      <c r="R3627" s="29" t="n">
        <v>0</v>
      </c>
      <c r="S3627" s="29" t="n">
        <v>0</v>
      </c>
      <c r="T3627" t="inlineStr">
        <is>
          <t>25260626975620000130570010000072961001301467</t>
        </is>
      </c>
      <c r="U3627" t="inlineStr">
        <is>
          <t>Não</t>
        </is>
      </c>
    </row>
    <row r="3628">
      <c r="A3628" t="inlineStr">
        <is>
          <t>Frete de venda</t>
        </is>
      </c>
      <c r="B3628" t="inlineStr">
        <is>
          <t>2.01.02 Frete sobre Vendas</t>
        </is>
      </c>
      <c r="C3628" s="30" t="n">
        <v>46174</v>
      </c>
      <c r="D3628" t="inlineStr">
        <is>
          <t>Em 2026</t>
        </is>
      </c>
      <c r="E3628" s="28" t="n">
        <v>46184</v>
      </c>
      <c r="F3628" t="inlineStr">
        <is>
          <t>CT-e</t>
        </is>
      </c>
      <c r="G3628" t="inlineStr">
        <is>
          <t>000007297</t>
        </is>
      </c>
      <c r="H3628" t="inlineStr">
        <is>
          <t>R&amp;R TRANSPORTE E LOGISTICA</t>
        </is>
      </c>
      <c r="J3628" s="29" t="n">
        <v>57.42</v>
      </c>
      <c r="K3628" s="29">
        <f>(1-ISNUMBER(SEARCH("556",M3628)))*(O3628*SUMIFS(Premissas!$C$5:$C$44,Premissas!$A$5:$A$44,$A3628,Premissas!$B$5:$B$44,$B3628)+P3628*SUMIFS(Premissas!$D$5:$D$44,Premissas!$A$5:$A$44,$A3628,Premissas!$B$5:$B$44,$B3628))+R3628*SUMIFS(Premissas!$E$5:$E$44,Premissas!$A$5:$A$44,$A3628,Premissas!$B$5:$B$44,$B3628)+S3628*SUMIFS(Premissas!$F$5:$F$44,Premissas!$A$5:$A$44,$A3628,Premissas!$B$5:$B$44,$B3628)</f>
        <v/>
      </c>
      <c r="L3628" s="29">
        <f>J3628-K3628</f>
        <v/>
      </c>
      <c r="M3628" t="inlineStr">
        <is>
          <t>1.350</t>
        </is>
      </c>
      <c r="N3628" t="inlineStr">
        <is>
          <t>Modalidade: 0 - Por conta do remetente | Parte: BENTO ATACADO E VAREJO LTDA (17.531.075/0001-00)</t>
        </is>
      </c>
      <c r="O3628" s="29" t="n">
        <v>0</v>
      </c>
      <c r="P3628" s="29" t="n">
        <v>0</v>
      </c>
      <c r="Q3628" s="29" t="n">
        <v>0</v>
      </c>
      <c r="R3628" s="29" t="n">
        <v>0</v>
      </c>
      <c r="S3628" s="29" t="n">
        <v>0</v>
      </c>
      <c r="T3628" t="inlineStr">
        <is>
          <t>25260626975620000130570010000072971000101542</t>
        </is>
      </c>
      <c r="U3628" t="inlineStr">
        <is>
          <t>Não</t>
        </is>
      </c>
    </row>
    <row r="3629">
      <c r="A3629" t="inlineStr">
        <is>
          <t>Frete de venda</t>
        </is>
      </c>
      <c r="B3629" t="inlineStr">
        <is>
          <t>2.01.02 Frete sobre Vendas</t>
        </is>
      </c>
      <c r="C3629" s="30" t="n">
        <v>46174</v>
      </c>
      <c r="D3629" t="inlineStr">
        <is>
          <t>Em 2026</t>
        </is>
      </c>
      <c r="E3629" s="28" t="n">
        <v>46184</v>
      </c>
      <c r="F3629" t="inlineStr">
        <is>
          <t>CT-e</t>
        </is>
      </c>
      <c r="G3629" t="inlineStr">
        <is>
          <t>000007298</t>
        </is>
      </c>
      <c r="H3629" t="inlineStr">
        <is>
          <t>R&amp;R TRANSPORTE E LOGISTICA</t>
        </is>
      </c>
      <c r="J3629" s="29" t="n">
        <v>42.96</v>
      </c>
      <c r="K3629" s="29">
        <f>(1-ISNUMBER(SEARCH("556",M3629)))*(O3629*SUMIFS(Premissas!$C$5:$C$44,Premissas!$A$5:$A$44,$A3629,Premissas!$B$5:$B$44,$B3629)+P3629*SUMIFS(Premissas!$D$5:$D$44,Premissas!$A$5:$A$44,$A3629,Premissas!$B$5:$B$44,$B3629))+R3629*SUMIFS(Premissas!$E$5:$E$44,Premissas!$A$5:$A$44,$A3629,Premissas!$B$5:$B$44,$B3629)+S3629*SUMIFS(Premissas!$F$5:$F$44,Premissas!$A$5:$A$44,$A3629,Premissas!$B$5:$B$44,$B3629)</f>
        <v/>
      </c>
      <c r="L3629" s="29">
        <f>J3629-K3629</f>
        <v/>
      </c>
      <c r="M3629" t="inlineStr">
        <is>
          <t>1.350</t>
        </is>
      </c>
      <c r="N3629" t="inlineStr">
        <is>
          <t>Modalidade: 0 - Por conta do remetente | Parte: WELLINGTON PEREIRA DE SOUZA (13.354.012/0001-66)</t>
        </is>
      </c>
      <c r="O3629" s="29" t="n">
        <v>0</v>
      </c>
      <c r="P3629" s="29" t="n">
        <v>0</v>
      </c>
      <c r="Q3629" s="29" t="n">
        <v>0</v>
      </c>
      <c r="R3629" s="29" t="n">
        <v>0</v>
      </c>
      <c r="S3629" s="29" t="n">
        <v>0</v>
      </c>
      <c r="T3629" t="inlineStr">
        <is>
          <t>25260626975620000130570010000072981001801626</t>
        </is>
      </c>
      <c r="U3629" t="inlineStr">
        <is>
          <t>Não</t>
        </is>
      </c>
    </row>
    <row r="3630">
      <c r="A3630" t="inlineStr">
        <is>
          <t>Frete de venda</t>
        </is>
      </c>
      <c r="B3630" t="inlineStr">
        <is>
          <t>2.01.02 Frete sobre Vendas</t>
        </is>
      </c>
      <c r="C3630" s="30" t="n">
        <v>46174</v>
      </c>
      <c r="D3630" t="inlineStr">
        <is>
          <t>Em 2026</t>
        </is>
      </c>
      <c r="E3630" s="28" t="n">
        <v>46184</v>
      </c>
      <c r="F3630" t="inlineStr">
        <is>
          <t>CT-e</t>
        </is>
      </c>
      <c r="G3630" t="inlineStr">
        <is>
          <t>000007299</t>
        </is>
      </c>
      <c r="H3630" t="inlineStr">
        <is>
          <t>R&amp;R TRANSPORTE E LOGISTICA</t>
        </is>
      </c>
      <c r="J3630" s="29" t="n">
        <v>35.71</v>
      </c>
      <c r="K3630" s="29">
        <f>(1-ISNUMBER(SEARCH("556",M3630)))*(O3630*SUMIFS(Premissas!$C$5:$C$44,Premissas!$A$5:$A$44,$A3630,Premissas!$B$5:$B$44,$B3630)+P3630*SUMIFS(Premissas!$D$5:$D$44,Premissas!$A$5:$A$44,$A3630,Premissas!$B$5:$B$44,$B3630))+R3630*SUMIFS(Premissas!$E$5:$E$44,Premissas!$A$5:$A$44,$A3630,Premissas!$B$5:$B$44,$B3630)+S3630*SUMIFS(Premissas!$F$5:$F$44,Premissas!$A$5:$A$44,$A3630,Premissas!$B$5:$B$44,$B3630)</f>
        <v/>
      </c>
      <c r="L3630" s="29">
        <f>J3630-K3630</f>
        <v/>
      </c>
      <c r="M3630" t="inlineStr">
        <is>
          <t>1.350</t>
        </is>
      </c>
      <c r="N3630" t="inlineStr">
        <is>
          <t>Modalidade: 0 - Por conta do remetente | Parte: MAVI ATACADISTA DE EMBALAGENS LTDA (57.506.378/0001-89)</t>
        </is>
      </c>
      <c r="O3630" s="29" t="n">
        <v>0</v>
      </c>
      <c r="P3630" s="29" t="n">
        <v>0</v>
      </c>
      <c r="Q3630" s="29" t="n">
        <v>0</v>
      </c>
      <c r="R3630" s="29" t="n">
        <v>0</v>
      </c>
      <c r="S3630" s="29" t="n">
        <v>0</v>
      </c>
      <c r="T3630" t="inlineStr">
        <is>
          <t>25260626975620000130570010000072991000190973</t>
        </is>
      </c>
      <c r="U3630" t="inlineStr">
        <is>
          <t>Não</t>
        </is>
      </c>
    </row>
    <row r="3631">
      <c r="A3631" t="inlineStr">
        <is>
          <t>Frete de venda</t>
        </is>
      </c>
      <c r="B3631" t="inlineStr">
        <is>
          <t>2.01.02 Frete sobre Vendas</t>
        </is>
      </c>
      <c r="C3631" s="30" t="n">
        <v>46174</v>
      </c>
      <c r="D3631" t="inlineStr">
        <is>
          <t>Em 2026</t>
        </is>
      </c>
      <c r="E3631" s="28" t="n">
        <v>46184</v>
      </c>
      <c r="F3631" t="inlineStr">
        <is>
          <t>CT-e</t>
        </is>
      </c>
      <c r="G3631" t="inlineStr">
        <is>
          <t>000007300</t>
        </is>
      </c>
      <c r="H3631" t="inlineStr">
        <is>
          <t>R&amp;R TRANSPORTE E LOGISTICA</t>
        </is>
      </c>
      <c r="J3631" s="29" t="n">
        <v>39.59</v>
      </c>
      <c r="K3631" s="29">
        <f>(1-ISNUMBER(SEARCH("556",M3631)))*(O3631*SUMIFS(Premissas!$C$5:$C$44,Premissas!$A$5:$A$44,$A3631,Premissas!$B$5:$B$44,$B3631)+P3631*SUMIFS(Premissas!$D$5:$D$44,Premissas!$A$5:$A$44,$A3631,Premissas!$B$5:$B$44,$B3631))+R3631*SUMIFS(Premissas!$E$5:$E$44,Premissas!$A$5:$A$44,$A3631,Premissas!$B$5:$B$44,$B3631)+S3631*SUMIFS(Premissas!$F$5:$F$44,Premissas!$A$5:$A$44,$A3631,Premissas!$B$5:$B$44,$B3631)</f>
        <v/>
      </c>
      <c r="L3631" s="29">
        <f>J3631-K3631</f>
        <v/>
      </c>
      <c r="M3631" t="inlineStr">
        <is>
          <t>1.350</t>
        </is>
      </c>
      <c r="N3631" t="inlineStr">
        <is>
          <t>Modalidade: 0 - Por conta do remetente | Parte: HENRYPLAST COMERCIO DE EMBALAGENS LTDA (35.652.773/0001-37)</t>
        </is>
      </c>
      <c r="O3631" s="29" t="n">
        <v>0</v>
      </c>
      <c r="P3631" s="29" t="n">
        <v>0</v>
      </c>
      <c r="Q3631" s="29" t="n">
        <v>0</v>
      </c>
      <c r="R3631" s="29" t="n">
        <v>0</v>
      </c>
      <c r="S3631" s="29" t="n">
        <v>0</v>
      </c>
      <c r="T3631" t="inlineStr">
        <is>
          <t>25260626975620000130570010000073001001601058</t>
        </is>
      </c>
      <c r="U3631" t="inlineStr">
        <is>
          <t>Não</t>
        </is>
      </c>
    </row>
    <row r="3632">
      <c r="A3632" t="inlineStr">
        <is>
          <t>Frete de venda</t>
        </is>
      </c>
      <c r="B3632" t="inlineStr">
        <is>
          <t>2.01.02 Frete sobre Vendas</t>
        </is>
      </c>
      <c r="C3632" s="30" t="n">
        <v>46174</v>
      </c>
      <c r="D3632" t="inlineStr">
        <is>
          <t>Em 2026</t>
        </is>
      </c>
      <c r="E3632" s="28" t="n">
        <v>46184</v>
      </c>
      <c r="F3632" t="inlineStr">
        <is>
          <t>CT-e</t>
        </is>
      </c>
      <c r="G3632" t="inlineStr">
        <is>
          <t>000007301</t>
        </is>
      </c>
      <c r="H3632" t="inlineStr">
        <is>
          <t>R&amp;R TRANSPORTE E LOGISTICA</t>
        </is>
      </c>
      <c r="J3632" s="29" t="n">
        <v>112.43</v>
      </c>
      <c r="K3632" s="29">
        <f>(1-ISNUMBER(SEARCH("556",M3632)))*(O3632*SUMIFS(Premissas!$C$5:$C$44,Premissas!$A$5:$A$44,$A3632,Premissas!$B$5:$B$44,$B3632)+P3632*SUMIFS(Premissas!$D$5:$D$44,Premissas!$A$5:$A$44,$A3632,Premissas!$B$5:$B$44,$B3632))+R3632*SUMIFS(Premissas!$E$5:$E$44,Premissas!$A$5:$A$44,$A3632,Premissas!$B$5:$B$44,$B3632)+S3632*SUMIFS(Premissas!$F$5:$F$44,Premissas!$A$5:$A$44,$A3632,Premissas!$B$5:$B$44,$B3632)</f>
        <v/>
      </c>
      <c r="L3632" s="29">
        <f>J3632-K3632</f>
        <v/>
      </c>
      <c r="M3632" t="inlineStr">
        <is>
          <t>1.350</t>
        </is>
      </c>
      <c r="N3632" t="inlineStr">
        <is>
          <t>Modalidade: 0 - Por conta do remetente | Parte: F. B. A. EMBALAGENS, DESCARTAVEIS E PAPELARIA LTDA (97.546.680/0002-66)</t>
        </is>
      </c>
      <c r="O3632" s="29" t="n">
        <v>0</v>
      </c>
      <c r="P3632" s="29" t="n">
        <v>0</v>
      </c>
      <c r="Q3632" s="29" t="n">
        <v>0</v>
      </c>
      <c r="R3632" s="29" t="n">
        <v>0</v>
      </c>
      <c r="S3632" s="29" t="n">
        <v>0</v>
      </c>
      <c r="T3632" t="inlineStr">
        <is>
          <t>25260626975620000130570010000073011001301132</t>
        </is>
      </c>
      <c r="U3632" t="inlineStr">
        <is>
          <t>Não</t>
        </is>
      </c>
    </row>
    <row r="3633">
      <c r="A3633" t="inlineStr">
        <is>
          <t>Frete de venda</t>
        </is>
      </c>
      <c r="B3633" t="inlineStr">
        <is>
          <t>2.01.02 Frete sobre Vendas</t>
        </is>
      </c>
      <c r="C3633" s="30" t="n">
        <v>46174</v>
      </c>
      <c r="D3633" t="inlineStr">
        <is>
          <t>Em 2026</t>
        </is>
      </c>
      <c r="E3633" s="28" t="n">
        <v>46184</v>
      </c>
      <c r="F3633" t="inlineStr">
        <is>
          <t>CT-e</t>
        </is>
      </c>
      <c r="G3633" t="inlineStr">
        <is>
          <t>000007302</t>
        </is>
      </c>
      <c r="H3633" t="inlineStr">
        <is>
          <t>R&amp;R TRANSPORTE E LOGISTICA</t>
        </is>
      </c>
      <c r="J3633" s="29" t="n">
        <v>32.05</v>
      </c>
      <c r="K3633" s="29">
        <f>(1-ISNUMBER(SEARCH("556",M3633)))*(O3633*SUMIFS(Premissas!$C$5:$C$44,Premissas!$A$5:$A$44,$A3633,Premissas!$B$5:$B$44,$B3633)+P3633*SUMIFS(Premissas!$D$5:$D$44,Premissas!$A$5:$A$44,$A3633,Premissas!$B$5:$B$44,$B3633))+R3633*SUMIFS(Premissas!$E$5:$E$44,Premissas!$A$5:$A$44,$A3633,Premissas!$B$5:$B$44,$B3633)+S3633*SUMIFS(Premissas!$F$5:$F$44,Premissas!$A$5:$A$44,$A3633,Premissas!$B$5:$B$44,$B3633)</f>
        <v/>
      </c>
      <c r="L3633" s="29">
        <f>J3633-K3633</f>
        <v/>
      </c>
      <c r="M3633" t="inlineStr">
        <is>
          <t>1.350</t>
        </is>
      </c>
      <c r="N3633" t="inlineStr">
        <is>
          <t>Modalidade: 0 - Por conta do remetente | Parte: A P C DOS SANTOS DISTRIBUIDORA EM GERAL (19.872.821/0001-46)</t>
        </is>
      </c>
      <c r="O3633" s="29" t="n">
        <v>0</v>
      </c>
      <c r="P3633" s="29" t="n">
        <v>0</v>
      </c>
      <c r="Q3633" s="29" t="n">
        <v>0</v>
      </c>
      <c r="R3633" s="29" t="n">
        <v>0</v>
      </c>
      <c r="S3633" s="29" t="n">
        <v>0</v>
      </c>
      <c r="T3633" t="inlineStr">
        <is>
          <t>25260626975620000130570010000073021000101218</t>
        </is>
      </c>
      <c r="U3633" t="inlineStr">
        <is>
          <t>Não</t>
        </is>
      </c>
    </row>
    <row r="3634">
      <c r="A3634" t="inlineStr">
        <is>
          <t>Frete de venda</t>
        </is>
      </c>
      <c r="B3634" t="inlineStr">
        <is>
          <t>2.01.02 Frete sobre Vendas</t>
        </is>
      </c>
      <c r="C3634" s="30" t="n">
        <v>46174</v>
      </c>
      <c r="D3634" t="inlineStr">
        <is>
          <t>Em 2026</t>
        </is>
      </c>
      <c r="E3634" s="28" t="n">
        <v>46186</v>
      </c>
      <c r="F3634" t="inlineStr">
        <is>
          <t>CT-e</t>
        </is>
      </c>
      <c r="G3634" t="inlineStr">
        <is>
          <t>000007309</t>
        </is>
      </c>
      <c r="H3634" t="inlineStr">
        <is>
          <t>R&amp;R TRANSPORTE E LOGISTICA</t>
        </is>
      </c>
      <c r="J3634" s="29" t="n">
        <v>21.69</v>
      </c>
      <c r="K3634" s="29">
        <f>(1-ISNUMBER(SEARCH("556",M3634)))*(O3634*SUMIFS(Premissas!$C$5:$C$44,Premissas!$A$5:$A$44,$A3634,Premissas!$B$5:$B$44,$B3634)+P3634*SUMIFS(Premissas!$D$5:$D$44,Premissas!$A$5:$A$44,$A3634,Premissas!$B$5:$B$44,$B3634))+R3634*SUMIFS(Premissas!$E$5:$E$44,Premissas!$A$5:$A$44,$A3634,Premissas!$B$5:$B$44,$B3634)+S3634*SUMIFS(Premissas!$F$5:$F$44,Premissas!$A$5:$A$44,$A3634,Premissas!$B$5:$B$44,$B3634)</f>
        <v/>
      </c>
      <c r="L3634" s="29">
        <f>J3634-K3634</f>
        <v/>
      </c>
      <c r="M3634" t="inlineStr">
        <is>
          <t>1.350</t>
        </is>
      </c>
      <c r="N3634" t="inlineStr">
        <is>
          <t>Modalidade: 0 - Por conta do remetente | Parte: CACE COMERCIO DE TINTAS E IMPERMEABILIZANTES LTDA (57.905.702/0001-31)</t>
        </is>
      </c>
      <c r="O3634" s="29" t="n">
        <v>0</v>
      </c>
      <c r="P3634" s="29" t="n">
        <v>0</v>
      </c>
      <c r="Q3634" s="29" t="n">
        <v>0</v>
      </c>
      <c r="R3634" s="29" t="n">
        <v>0</v>
      </c>
      <c r="S3634" s="29" t="n">
        <v>0</v>
      </c>
      <c r="T3634" t="inlineStr">
        <is>
          <t>25260626975620000130570010000073091001601827</t>
        </is>
      </c>
      <c r="U3634" t="inlineStr">
        <is>
          <t>Não</t>
        </is>
      </c>
    </row>
    <row r="3635">
      <c r="A3635" t="inlineStr">
        <is>
          <t>Frete de venda</t>
        </is>
      </c>
      <c r="B3635" t="inlineStr">
        <is>
          <t>2.01.02 Frete sobre Vendas</t>
        </is>
      </c>
      <c r="C3635" s="30" t="n">
        <v>46174</v>
      </c>
      <c r="D3635" t="inlineStr">
        <is>
          <t>Em 2026</t>
        </is>
      </c>
      <c r="E3635" s="28" t="n">
        <v>46186</v>
      </c>
      <c r="F3635" t="inlineStr">
        <is>
          <t>CT-e</t>
        </is>
      </c>
      <c r="G3635" t="inlineStr">
        <is>
          <t>000007310</t>
        </is>
      </c>
      <c r="H3635" t="inlineStr">
        <is>
          <t>R&amp;R TRANSPORTE E LOGISTICA</t>
        </is>
      </c>
      <c r="J3635" s="29" t="n">
        <v>27.55</v>
      </c>
      <c r="K3635" s="29">
        <f>(1-ISNUMBER(SEARCH("556",M3635)))*(O3635*SUMIFS(Premissas!$C$5:$C$44,Premissas!$A$5:$A$44,$A3635,Premissas!$B$5:$B$44,$B3635)+P3635*SUMIFS(Premissas!$D$5:$D$44,Premissas!$A$5:$A$44,$A3635,Premissas!$B$5:$B$44,$B3635))+R3635*SUMIFS(Premissas!$E$5:$E$44,Premissas!$A$5:$A$44,$A3635,Premissas!$B$5:$B$44,$B3635)+S3635*SUMIFS(Premissas!$F$5:$F$44,Premissas!$A$5:$A$44,$A3635,Premissas!$B$5:$B$44,$B3635)</f>
        <v/>
      </c>
      <c r="L3635" s="29">
        <f>J3635-K3635</f>
        <v/>
      </c>
      <c r="M3635" t="inlineStr">
        <is>
          <t>1.350</t>
        </is>
      </c>
      <c r="N3635" t="inlineStr">
        <is>
          <t>Modalidade: 0 - Por conta do remetente | Parte: F V F DE SOUZA PLASTICOS (19.276.264/0001-09)</t>
        </is>
      </c>
      <c r="O3635" s="29" t="n">
        <v>0</v>
      </c>
      <c r="P3635" s="29" t="n">
        <v>0</v>
      </c>
      <c r="Q3635" s="29" t="n">
        <v>0</v>
      </c>
      <c r="R3635" s="29" t="n">
        <v>0</v>
      </c>
      <c r="S3635" s="29" t="n">
        <v>0</v>
      </c>
      <c r="T3635" t="inlineStr">
        <is>
          <t>25260626975620000130570010000073101001301905</t>
        </is>
      </c>
      <c r="U3635" t="inlineStr">
        <is>
          <t>Não</t>
        </is>
      </c>
    </row>
    <row r="3636">
      <c r="A3636" t="inlineStr">
        <is>
          <t>Frete de venda</t>
        </is>
      </c>
      <c r="B3636" t="inlineStr">
        <is>
          <t>2.01.02 Frete sobre Vendas</t>
        </is>
      </c>
      <c r="C3636" s="30" t="n">
        <v>46174</v>
      </c>
      <c r="D3636" t="inlineStr">
        <is>
          <t>Em 2026</t>
        </is>
      </c>
      <c r="E3636" s="28" t="n">
        <v>46186</v>
      </c>
      <c r="F3636" t="inlineStr">
        <is>
          <t>CT-e</t>
        </is>
      </c>
      <c r="G3636" t="inlineStr">
        <is>
          <t>000007311</t>
        </is>
      </c>
      <c r="H3636" t="inlineStr">
        <is>
          <t>R&amp;R TRANSPORTE E LOGISTICA</t>
        </is>
      </c>
      <c r="J3636" s="29" t="n">
        <v>23.92</v>
      </c>
      <c r="K3636" s="29">
        <f>(1-ISNUMBER(SEARCH("556",M3636)))*(O3636*SUMIFS(Premissas!$C$5:$C$44,Premissas!$A$5:$A$44,$A3636,Premissas!$B$5:$B$44,$B3636)+P3636*SUMIFS(Premissas!$D$5:$D$44,Premissas!$A$5:$A$44,$A3636,Premissas!$B$5:$B$44,$B3636))+R3636*SUMIFS(Premissas!$E$5:$E$44,Premissas!$A$5:$A$44,$A3636,Premissas!$B$5:$B$44,$B3636)+S3636*SUMIFS(Premissas!$F$5:$F$44,Premissas!$A$5:$A$44,$A3636,Premissas!$B$5:$B$44,$B3636)</f>
        <v/>
      </c>
      <c r="L3636" s="29">
        <f>J3636-K3636</f>
        <v/>
      </c>
      <c r="M3636" t="inlineStr">
        <is>
          <t>1.350</t>
        </is>
      </c>
      <c r="N3636" t="inlineStr">
        <is>
          <t>Modalidade: 0 - Por conta do remetente | Parte: NAYANDRA KELLY H SANTIAGO (49.093.600/0001-30)</t>
        </is>
      </c>
      <c r="O3636" s="29" t="n">
        <v>0</v>
      </c>
      <c r="P3636" s="29" t="n">
        <v>0</v>
      </c>
      <c r="Q3636" s="29" t="n">
        <v>0</v>
      </c>
      <c r="R3636" s="29" t="n">
        <v>0</v>
      </c>
      <c r="S3636" s="29" t="n">
        <v>0</v>
      </c>
      <c r="T3636" t="inlineStr">
        <is>
          <t>25260626975620000130570010000073111000160612</t>
        </is>
      </c>
      <c r="U3636" t="inlineStr">
        <is>
          <t>Não</t>
        </is>
      </c>
    </row>
    <row r="3637">
      <c r="A3637" t="inlineStr">
        <is>
          <t>Frete de venda</t>
        </is>
      </c>
      <c r="B3637" t="inlineStr">
        <is>
          <t>2.01.02 Frete sobre Vendas</t>
        </is>
      </c>
      <c r="C3637" s="30" t="n">
        <v>46174</v>
      </c>
      <c r="D3637" t="inlineStr">
        <is>
          <t>Em 2026</t>
        </is>
      </c>
      <c r="E3637" s="28" t="n">
        <v>46186</v>
      </c>
      <c r="F3637" t="inlineStr">
        <is>
          <t>CT-e</t>
        </is>
      </c>
      <c r="G3637" t="inlineStr">
        <is>
          <t>000007312</t>
        </is>
      </c>
      <c r="H3637" t="inlineStr">
        <is>
          <t>R&amp;R TRANSPORTE E LOGISTICA</t>
        </is>
      </c>
      <c r="J3637" s="29" t="n">
        <v>21.43</v>
      </c>
      <c r="K3637" s="29">
        <f>(1-ISNUMBER(SEARCH("556",M3637)))*(O3637*SUMIFS(Premissas!$C$5:$C$44,Premissas!$A$5:$A$44,$A3637,Premissas!$B$5:$B$44,$B3637)+P3637*SUMIFS(Premissas!$D$5:$D$44,Premissas!$A$5:$A$44,$A3637,Premissas!$B$5:$B$44,$B3637))+R3637*SUMIFS(Premissas!$E$5:$E$44,Premissas!$A$5:$A$44,$A3637,Premissas!$B$5:$B$44,$B3637)+S3637*SUMIFS(Premissas!$F$5:$F$44,Premissas!$A$5:$A$44,$A3637,Premissas!$B$5:$B$44,$B3637)</f>
        <v/>
      </c>
      <c r="L3637" s="29">
        <f>J3637-K3637</f>
        <v/>
      </c>
      <c r="M3637" t="inlineStr">
        <is>
          <t>1.350</t>
        </is>
      </c>
      <c r="N3637" t="inlineStr">
        <is>
          <t>Modalidade: 0 - Por conta do remetente | Parte: INACIO PARENTE AGUIAR ME (04.999.197/0001-75)</t>
        </is>
      </c>
      <c r="O3637" s="29" t="n">
        <v>0</v>
      </c>
      <c r="P3637" s="29" t="n">
        <v>0</v>
      </c>
      <c r="Q3637" s="29" t="n">
        <v>0</v>
      </c>
      <c r="R3637" s="29" t="n">
        <v>0</v>
      </c>
      <c r="S3637" s="29" t="n">
        <v>0</v>
      </c>
      <c r="T3637" t="inlineStr">
        <is>
          <t>25260626975620000130570010000073121000130699</t>
        </is>
      </c>
      <c r="U3637" t="inlineStr">
        <is>
          <t>Não</t>
        </is>
      </c>
    </row>
    <row r="3638">
      <c r="A3638" t="inlineStr">
        <is>
          <t>Frete de venda</t>
        </is>
      </c>
      <c r="B3638" t="inlineStr">
        <is>
          <t>2.01.02 Frete sobre Vendas</t>
        </is>
      </c>
      <c r="C3638" s="30" t="n">
        <v>46174</v>
      </c>
      <c r="D3638" t="inlineStr">
        <is>
          <t>Em 2026</t>
        </is>
      </c>
      <c r="E3638" s="28" t="n">
        <v>46186</v>
      </c>
      <c r="F3638" t="inlineStr">
        <is>
          <t>CT-e</t>
        </is>
      </c>
      <c r="G3638" t="inlineStr">
        <is>
          <t>000007313</t>
        </is>
      </c>
      <c r="H3638" t="inlineStr">
        <is>
          <t>R&amp;R TRANSPORTE E LOGISTICA</t>
        </is>
      </c>
      <c r="J3638" s="29" t="n">
        <v>22.03</v>
      </c>
      <c r="K3638" s="29">
        <f>(1-ISNUMBER(SEARCH("556",M3638)))*(O3638*SUMIFS(Premissas!$C$5:$C$44,Premissas!$A$5:$A$44,$A3638,Premissas!$B$5:$B$44,$B3638)+P3638*SUMIFS(Premissas!$D$5:$D$44,Premissas!$A$5:$A$44,$A3638,Premissas!$B$5:$B$44,$B3638))+R3638*SUMIFS(Premissas!$E$5:$E$44,Premissas!$A$5:$A$44,$A3638,Premissas!$B$5:$B$44,$B3638)+S3638*SUMIFS(Premissas!$F$5:$F$44,Premissas!$A$5:$A$44,$A3638,Premissas!$B$5:$B$44,$B3638)</f>
        <v/>
      </c>
      <c r="L3638" s="29">
        <f>J3638-K3638</f>
        <v/>
      </c>
      <c r="M3638" t="inlineStr">
        <is>
          <t>1.350</t>
        </is>
      </c>
      <c r="N3638" t="inlineStr">
        <is>
          <t>Modalidade: 0 - Por conta do remetente | Parte: JND DISTRIBUIDORA LTDA (36.332.668/0001-83)</t>
        </is>
      </c>
      <c r="O3638" s="29" t="n">
        <v>0</v>
      </c>
      <c r="P3638" s="29" t="n">
        <v>0</v>
      </c>
      <c r="Q3638" s="29" t="n">
        <v>0</v>
      </c>
      <c r="R3638" s="29" t="n">
        <v>0</v>
      </c>
      <c r="S3638" s="29" t="n">
        <v>0</v>
      </c>
      <c r="T3638" t="inlineStr">
        <is>
          <t>25260626975620000130570010000073131000010771</t>
        </is>
      </c>
      <c r="U3638" t="inlineStr">
        <is>
          <t>Não</t>
        </is>
      </c>
    </row>
    <row r="3639">
      <c r="A3639" t="inlineStr">
        <is>
          <t>Frete de venda</t>
        </is>
      </c>
      <c r="B3639" t="inlineStr">
        <is>
          <t>2.01.02 Frete sobre Vendas</t>
        </is>
      </c>
      <c r="C3639" s="30" t="n">
        <v>46174</v>
      </c>
      <c r="D3639" t="inlineStr">
        <is>
          <t>Em 2026</t>
        </is>
      </c>
      <c r="E3639" s="28" t="n">
        <v>46186</v>
      </c>
      <c r="F3639" t="inlineStr">
        <is>
          <t>CT-e</t>
        </is>
      </c>
      <c r="G3639" t="inlineStr">
        <is>
          <t>000007314</t>
        </is>
      </c>
      <c r="H3639" t="inlineStr">
        <is>
          <t>R&amp;R TRANSPORTE E LOGISTICA</t>
        </is>
      </c>
      <c r="J3639" s="29" t="n">
        <v>21.11</v>
      </c>
      <c r="K3639" s="29">
        <f>(1-ISNUMBER(SEARCH("556",M3639)))*(O3639*SUMIFS(Premissas!$C$5:$C$44,Premissas!$A$5:$A$44,$A3639,Premissas!$B$5:$B$44,$B3639)+P3639*SUMIFS(Premissas!$D$5:$D$44,Premissas!$A$5:$A$44,$A3639,Premissas!$B$5:$B$44,$B3639))+R3639*SUMIFS(Premissas!$E$5:$E$44,Premissas!$A$5:$A$44,$A3639,Premissas!$B$5:$B$44,$B3639)+S3639*SUMIFS(Premissas!$F$5:$F$44,Premissas!$A$5:$A$44,$A3639,Premissas!$B$5:$B$44,$B3639)</f>
        <v/>
      </c>
      <c r="L3639" s="29">
        <f>J3639-K3639</f>
        <v/>
      </c>
      <c r="M3639" t="inlineStr">
        <is>
          <t>1.350</t>
        </is>
      </c>
      <c r="N3639" t="inlineStr">
        <is>
          <t>Modalidade: 0 - Por conta do remetente | Parte: BM - JACKSON JEAN OLIVEIRA (32.079.958/0001-06)</t>
        </is>
      </c>
      <c r="O3639" s="29" t="n">
        <v>0</v>
      </c>
      <c r="P3639" s="29" t="n">
        <v>0</v>
      </c>
      <c r="Q3639" s="29" t="n">
        <v>0</v>
      </c>
      <c r="R3639" s="29" t="n">
        <v>0</v>
      </c>
      <c r="S3639" s="29" t="n">
        <v>0</v>
      </c>
      <c r="T3639" t="inlineStr">
        <is>
          <t>25260626975620000130570010000073141000180852</t>
        </is>
      </c>
      <c r="U3639" t="inlineStr">
        <is>
          <t>Não</t>
        </is>
      </c>
    </row>
    <row r="3640">
      <c r="A3640" t="inlineStr">
        <is>
          <t>Frete de venda</t>
        </is>
      </c>
      <c r="B3640" t="inlineStr">
        <is>
          <t>2.01.02 Frete sobre Vendas</t>
        </is>
      </c>
      <c r="C3640" s="30" t="n">
        <v>46174</v>
      </c>
      <c r="D3640" t="inlineStr">
        <is>
          <t>Em 2026</t>
        </is>
      </c>
      <c r="E3640" s="28" t="n">
        <v>46186</v>
      </c>
      <c r="F3640" t="inlineStr">
        <is>
          <t>CT-e</t>
        </is>
      </c>
      <c r="G3640" t="inlineStr">
        <is>
          <t>000007315</t>
        </is>
      </c>
      <c r="H3640" t="inlineStr">
        <is>
          <t>R&amp;R TRANSPORTE E LOGISTICA</t>
        </is>
      </c>
      <c r="J3640" s="29" t="n">
        <v>29.69</v>
      </c>
      <c r="K3640" s="29">
        <f>(1-ISNUMBER(SEARCH("556",M3640)))*(O3640*SUMIFS(Premissas!$C$5:$C$44,Premissas!$A$5:$A$44,$A3640,Premissas!$B$5:$B$44,$B3640)+P3640*SUMIFS(Premissas!$D$5:$D$44,Premissas!$A$5:$A$44,$A3640,Premissas!$B$5:$B$44,$B3640))+R3640*SUMIFS(Premissas!$E$5:$E$44,Premissas!$A$5:$A$44,$A3640,Premissas!$B$5:$B$44,$B3640)+S3640*SUMIFS(Premissas!$F$5:$F$44,Premissas!$A$5:$A$44,$A3640,Premissas!$B$5:$B$44,$B3640)</f>
        <v/>
      </c>
      <c r="L3640" s="29">
        <f>J3640-K3640</f>
        <v/>
      </c>
      <c r="M3640" t="inlineStr">
        <is>
          <t>1.350</t>
        </is>
      </c>
      <c r="N3640" t="inlineStr">
        <is>
          <t>Modalidade: 0 - Por conta do remetente | Parte: NJ ARTIGOS PARA FESTAS LTDA (13.157.678/0001-24)</t>
        </is>
      </c>
      <c r="O3640" s="29" t="n">
        <v>0</v>
      </c>
      <c r="P3640" s="29" t="n">
        <v>0</v>
      </c>
      <c r="Q3640" s="29" t="n">
        <v>0</v>
      </c>
      <c r="R3640" s="29" t="n">
        <v>0</v>
      </c>
      <c r="S3640" s="29" t="n">
        <v>0</v>
      </c>
      <c r="T3640" t="inlineStr">
        <is>
          <t>25260626975620000130570010000073151000150934</t>
        </is>
      </c>
      <c r="U3640" t="inlineStr">
        <is>
          <t>Não</t>
        </is>
      </c>
    </row>
    <row r="3641">
      <c r="A3641" t="inlineStr">
        <is>
          <t>Frete de venda</t>
        </is>
      </c>
      <c r="B3641" t="inlineStr">
        <is>
          <t>2.01.02 Frete sobre Vendas</t>
        </is>
      </c>
      <c r="C3641" s="30" t="n">
        <v>46174</v>
      </c>
      <c r="D3641" t="inlineStr">
        <is>
          <t>Em 2026</t>
        </is>
      </c>
      <c r="E3641" s="28" t="n">
        <v>46186</v>
      </c>
      <c r="F3641" t="inlineStr">
        <is>
          <t>CT-e</t>
        </is>
      </c>
      <c r="G3641" t="inlineStr">
        <is>
          <t>000007316</t>
        </is>
      </c>
      <c r="H3641" t="inlineStr">
        <is>
          <t>R&amp;R TRANSPORTE E LOGISTICA</t>
        </is>
      </c>
      <c r="J3641" s="29" t="n">
        <v>20.75</v>
      </c>
      <c r="K3641" s="29">
        <f>(1-ISNUMBER(SEARCH("556",M3641)))*(O3641*SUMIFS(Premissas!$C$5:$C$44,Premissas!$A$5:$A$44,$A3641,Premissas!$B$5:$B$44,$B3641)+P3641*SUMIFS(Premissas!$D$5:$D$44,Premissas!$A$5:$A$44,$A3641,Premissas!$B$5:$B$44,$B3641))+R3641*SUMIFS(Premissas!$E$5:$E$44,Premissas!$A$5:$A$44,$A3641,Premissas!$B$5:$B$44,$B3641)+S3641*SUMIFS(Premissas!$F$5:$F$44,Premissas!$A$5:$A$44,$A3641,Premissas!$B$5:$B$44,$B3641)</f>
        <v/>
      </c>
      <c r="L3641" s="29">
        <f>J3641-K3641</f>
        <v/>
      </c>
      <c r="M3641" t="inlineStr">
        <is>
          <t>1.350</t>
        </is>
      </c>
      <c r="N3641" t="inlineStr">
        <is>
          <t>Modalidade: 0 - Por conta do remetente | Parte: F. A. B. ARAUJO ARTIGOS DE FESTAS LTDA (38.251.934/0001-79)</t>
        </is>
      </c>
      <c r="O3641" s="29" t="n">
        <v>0</v>
      </c>
      <c r="P3641" s="29" t="n">
        <v>0</v>
      </c>
      <c r="Q3641" s="29" t="n">
        <v>0</v>
      </c>
      <c r="R3641" s="29" t="n">
        <v>0</v>
      </c>
      <c r="S3641" s="29" t="n">
        <v>0</v>
      </c>
      <c r="T3641" t="inlineStr">
        <is>
          <t>25260626975620000130570010000073161001201017</t>
        </is>
      </c>
      <c r="U3641" t="inlineStr">
        <is>
          <t>Não</t>
        </is>
      </c>
    </row>
    <row r="3642">
      <c r="A3642" t="inlineStr">
        <is>
          <t>Frete de venda</t>
        </is>
      </c>
      <c r="B3642" t="inlineStr">
        <is>
          <t>2.01.02 Frete sobre Vendas</t>
        </is>
      </c>
      <c r="C3642" s="30" t="n">
        <v>46174</v>
      </c>
      <c r="D3642" t="inlineStr">
        <is>
          <t>Em 2026</t>
        </is>
      </c>
      <c r="E3642" s="28" t="n">
        <v>46186</v>
      </c>
      <c r="F3642" t="inlineStr">
        <is>
          <t>CT-e</t>
        </is>
      </c>
      <c r="G3642" t="inlineStr">
        <is>
          <t>000007317</t>
        </is>
      </c>
      <c r="H3642" t="inlineStr">
        <is>
          <t>R&amp;R TRANSPORTE E LOGISTICA</t>
        </is>
      </c>
      <c r="J3642" s="29" t="n">
        <v>19.28</v>
      </c>
      <c r="K3642" s="29">
        <f>(1-ISNUMBER(SEARCH("556",M3642)))*(O3642*SUMIFS(Premissas!$C$5:$C$44,Premissas!$A$5:$A$44,$A3642,Premissas!$B$5:$B$44,$B3642)+P3642*SUMIFS(Premissas!$D$5:$D$44,Premissas!$A$5:$A$44,$A3642,Premissas!$B$5:$B$44,$B3642))+R3642*SUMIFS(Premissas!$E$5:$E$44,Premissas!$A$5:$A$44,$A3642,Premissas!$B$5:$B$44,$B3642)+S3642*SUMIFS(Premissas!$F$5:$F$44,Premissas!$A$5:$A$44,$A3642,Premissas!$B$5:$B$44,$B3642)</f>
        <v/>
      </c>
      <c r="L3642" s="29">
        <f>J3642-K3642</f>
        <v/>
      </c>
      <c r="M3642" t="inlineStr">
        <is>
          <t>1.350</t>
        </is>
      </c>
      <c r="N3642" t="inlineStr">
        <is>
          <t>Modalidade: 0 - Por conta do remetente | Parte: FAST INDUSTRIA LTDA (49.899.207/0001-39)</t>
        </is>
      </c>
      <c r="O3642" s="29" t="n">
        <v>0</v>
      </c>
      <c r="P3642" s="29" t="n">
        <v>0</v>
      </c>
      <c r="Q3642" s="29" t="n">
        <v>0</v>
      </c>
      <c r="R3642" s="29" t="n">
        <v>0</v>
      </c>
      <c r="S3642" s="29" t="n">
        <v>0</v>
      </c>
      <c r="T3642" t="inlineStr">
        <is>
          <t>25260626975620000130570010000073171011001093</t>
        </is>
      </c>
      <c r="U3642" t="inlineStr">
        <is>
          <t>Não</t>
        </is>
      </c>
    </row>
    <row r="3643">
      <c r="A3643" t="inlineStr">
        <is>
          <t>Frete de venda</t>
        </is>
      </c>
      <c r="B3643" t="inlineStr">
        <is>
          <t>2.01.02 Frete sobre Vendas</t>
        </is>
      </c>
      <c r="C3643" s="30" t="n">
        <v>46174</v>
      </c>
      <c r="D3643" t="inlineStr">
        <is>
          <t>Em 2026</t>
        </is>
      </c>
      <c r="E3643" s="28" t="n">
        <v>46186</v>
      </c>
      <c r="F3643" t="inlineStr">
        <is>
          <t>CT-e</t>
        </is>
      </c>
      <c r="G3643" t="inlineStr">
        <is>
          <t>000007318</t>
        </is>
      </c>
      <c r="H3643" t="inlineStr">
        <is>
          <t>R&amp;R TRANSPORTE E LOGISTICA</t>
        </is>
      </c>
      <c r="J3643" s="29" t="n">
        <v>20.31</v>
      </c>
      <c r="K3643" s="29">
        <f>(1-ISNUMBER(SEARCH("556",M3643)))*(O3643*SUMIFS(Premissas!$C$5:$C$44,Premissas!$A$5:$A$44,$A3643,Premissas!$B$5:$B$44,$B3643)+P3643*SUMIFS(Premissas!$D$5:$D$44,Premissas!$A$5:$A$44,$A3643,Premissas!$B$5:$B$44,$B3643))+R3643*SUMIFS(Premissas!$E$5:$E$44,Premissas!$A$5:$A$44,$A3643,Premissas!$B$5:$B$44,$B3643)+S3643*SUMIFS(Premissas!$F$5:$F$44,Premissas!$A$5:$A$44,$A3643,Premissas!$B$5:$B$44,$B3643)</f>
        <v/>
      </c>
      <c r="L3643" s="29">
        <f>J3643-K3643</f>
        <v/>
      </c>
      <c r="M3643" t="inlineStr">
        <is>
          <t>1.350</t>
        </is>
      </c>
      <c r="N3643" t="inlineStr">
        <is>
          <t>Modalidade: 0 - Por conta do remetente | Parte: IGLU FEST LTDA (23.593.429/0001-35)</t>
        </is>
      </c>
      <c r="O3643" s="29" t="n">
        <v>0</v>
      </c>
      <c r="P3643" s="29" t="n">
        <v>0</v>
      </c>
      <c r="Q3643" s="29" t="n">
        <v>0</v>
      </c>
      <c r="R3643" s="29" t="n">
        <v>0</v>
      </c>
      <c r="S3643" s="29" t="n">
        <v>0</v>
      </c>
      <c r="T3643" t="inlineStr">
        <is>
          <t>25260626975620000130570010000073181001701170</t>
        </is>
      </c>
      <c r="U3643" t="inlineStr">
        <is>
          <t>Não</t>
        </is>
      </c>
    </row>
    <row r="3644">
      <c r="A3644" t="inlineStr">
        <is>
          <t>Frete de venda</t>
        </is>
      </c>
      <c r="B3644" t="inlineStr">
        <is>
          <t>2.01.02 Frete sobre Vendas</t>
        </is>
      </c>
      <c r="C3644" s="30" t="n">
        <v>46174</v>
      </c>
      <c r="D3644" t="inlineStr">
        <is>
          <t>Em 2026</t>
        </is>
      </c>
      <c r="E3644" s="28" t="n">
        <v>46186</v>
      </c>
      <c r="F3644" t="inlineStr">
        <is>
          <t>CT-e</t>
        </is>
      </c>
      <c r="G3644" t="inlineStr">
        <is>
          <t>000007319</t>
        </is>
      </c>
      <c r="H3644" t="inlineStr">
        <is>
          <t>R&amp;R TRANSPORTE E LOGISTICA</t>
        </is>
      </c>
      <c r="J3644" s="29" t="n">
        <v>24.14</v>
      </c>
      <c r="K3644" s="29">
        <f>(1-ISNUMBER(SEARCH("556",M3644)))*(O3644*SUMIFS(Premissas!$C$5:$C$44,Premissas!$A$5:$A$44,$A3644,Premissas!$B$5:$B$44,$B3644)+P3644*SUMIFS(Premissas!$D$5:$D$44,Premissas!$A$5:$A$44,$A3644,Premissas!$B$5:$B$44,$B3644))+R3644*SUMIFS(Premissas!$E$5:$E$44,Premissas!$A$5:$A$44,$A3644,Premissas!$B$5:$B$44,$B3644)+S3644*SUMIFS(Premissas!$F$5:$F$44,Premissas!$A$5:$A$44,$A3644,Premissas!$B$5:$B$44,$B3644)</f>
        <v/>
      </c>
      <c r="L3644" s="29">
        <f>J3644-K3644</f>
        <v/>
      </c>
      <c r="M3644" t="inlineStr">
        <is>
          <t>1.350</t>
        </is>
      </c>
      <c r="N3644" t="inlineStr">
        <is>
          <t>Modalidade: 0 - Por conta do remetente | Parte: PRASO PLATAFORMA DE COMERCIO LTDA. (42.434.646/0007-12)</t>
        </is>
      </c>
      <c r="O3644" s="29" t="n">
        <v>0</v>
      </c>
      <c r="P3644" s="29" t="n">
        <v>0</v>
      </c>
      <c r="Q3644" s="29" t="n">
        <v>0</v>
      </c>
      <c r="R3644" s="29" t="n">
        <v>0</v>
      </c>
      <c r="S3644" s="29" t="n">
        <v>0</v>
      </c>
      <c r="T3644" t="inlineStr">
        <is>
          <t>25260626975620000130570010000073191001401255</t>
        </is>
      </c>
      <c r="U3644" t="inlineStr">
        <is>
          <t>Não</t>
        </is>
      </c>
    </row>
    <row r="3645">
      <c r="A3645" t="inlineStr">
        <is>
          <t>Frete de venda</t>
        </is>
      </c>
      <c r="B3645" t="inlineStr">
        <is>
          <t>2.01.02 Frete sobre Vendas</t>
        </is>
      </c>
      <c r="C3645" s="30" t="n">
        <v>46174</v>
      </c>
      <c r="D3645" t="inlineStr">
        <is>
          <t>Em 2026</t>
        </is>
      </c>
      <c r="E3645" s="28" t="n">
        <v>46186</v>
      </c>
      <c r="F3645" t="inlineStr">
        <is>
          <t>CT-e</t>
        </is>
      </c>
      <c r="G3645" t="inlineStr">
        <is>
          <t>000007320</t>
        </is>
      </c>
      <c r="H3645" t="inlineStr">
        <is>
          <t>R&amp;R TRANSPORTE E LOGISTICA</t>
        </is>
      </c>
      <c r="J3645" s="29" t="n">
        <v>31.29</v>
      </c>
      <c r="K3645" s="29">
        <f>(1-ISNUMBER(SEARCH("556",M3645)))*(O3645*SUMIFS(Premissas!$C$5:$C$44,Premissas!$A$5:$A$44,$A3645,Premissas!$B$5:$B$44,$B3645)+P3645*SUMIFS(Premissas!$D$5:$D$44,Premissas!$A$5:$A$44,$A3645,Premissas!$B$5:$B$44,$B3645))+R3645*SUMIFS(Premissas!$E$5:$E$44,Premissas!$A$5:$A$44,$A3645,Premissas!$B$5:$B$44,$B3645)+S3645*SUMIFS(Premissas!$F$5:$F$44,Premissas!$A$5:$A$44,$A3645,Premissas!$B$5:$B$44,$B3645)</f>
        <v/>
      </c>
      <c r="L3645" s="29">
        <f>J3645-K3645</f>
        <v/>
      </c>
      <c r="M3645" t="inlineStr">
        <is>
          <t>1.350</t>
        </is>
      </c>
      <c r="N3645" t="inlineStr">
        <is>
          <t>Modalidade: 0 - Por conta do remetente | Parte: FAST INDUSTRIA LTDA (49.899.207/0001-39)</t>
        </is>
      </c>
      <c r="O3645" s="29" t="n">
        <v>0</v>
      </c>
      <c r="P3645" s="29" t="n">
        <v>0</v>
      </c>
      <c r="Q3645" s="29" t="n">
        <v>0</v>
      </c>
      <c r="R3645" s="29" t="n">
        <v>0</v>
      </c>
      <c r="S3645" s="29" t="n">
        <v>0</v>
      </c>
      <c r="T3645" t="inlineStr">
        <is>
          <t>25260626975620000130570010000073201001101333</t>
        </is>
      </c>
      <c r="U3645" t="inlineStr">
        <is>
          <t>Não</t>
        </is>
      </c>
    </row>
    <row r="3646">
      <c r="A3646" t="inlineStr">
        <is>
          <t>Frete de venda</t>
        </is>
      </c>
      <c r="B3646" t="inlineStr">
        <is>
          <t>2.01.02 Frete sobre Vendas</t>
        </is>
      </c>
      <c r="C3646" s="30" t="n">
        <v>46174</v>
      </c>
      <c r="D3646" t="inlineStr">
        <is>
          <t>Em 2026</t>
        </is>
      </c>
      <c r="E3646" s="28" t="n">
        <v>46186</v>
      </c>
      <c r="F3646" t="inlineStr">
        <is>
          <t>CT-e</t>
        </is>
      </c>
      <c r="G3646" t="inlineStr">
        <is>
          <t>000007321</t>
        </is>
      </c>
      <c r="H3646" t="inlineStr">
        <is>
          <t>R&amp;R TRANSPORTE E LOGISTICA</t>
        </is>
      </c>
      <c r="J3646" s="29" t="n">
        <v>16.79</v>
      </c>
      <c r="K3646" s="29">
        <f>(1-ISNUMBER(SEARCH("556",M3646)))*(O3646*SUMIFS(Premissas!$C$5:$C$44,Premissas!$A$5:$A$44,$A3646,Premissas!$B$5:$B$44,$B3646)+P3646*SUMIFS(Premissas!$D$5:$D$44,Premissas!$A$5:$A$44,$A3646,Premissas!$B$5:$B$44,$B3646))+R3646*SUMIFS(Premissas!$E$5:$E$44,Premissas!$A$5:$A$44,$A3646,Premissas!$B$5:$B$44,$B3646)+S3646*SUMIFS(Premissas!$F$5:$F$44,Premissas!$A$5:$A$44,$A3646,Premissas!$B$5:$B$44,$B3646)</f>
        <v/>
      </c>
      <c r="L3646" s="29">
        <f>J3646-K3646</f>
        <v/>
      </c>
      <c r="M3646" t="inlineStr">
        <is>
          <t>1.350</t>
        </is>
      </c>
      <c r="N3646" t="inlineStr">
        <is>
          <t>Modalidade: 0 - Por conta do remetente | Parte: A M CERQUEIRA EMBALAGENS LTDA (08.870.004/0001-32)</t>
        </is>
      </c>
      <c r="O3646" s="29" t="n">
        <v>0</v>
      </c>
      <c r="P3646" s="29" t="n">
        <v>0</v>
      </c>
      <c r="Q3646" s="29" t="n">
        <v>0</v>
      </c>
      <c r="R3646" s="29" t="n">
        <v>0</v>
      </c>
      <c r="S3646" s="29" t="n">
        <v>0</v>
      </c>
      <c r="T3646" t="inlineStr">
        <is>
          <t>25260626975620000130570010000073211000120684</t>
        </is>
      </c>
      <c r="U3646" t="inlineStr">
        <is>
          <t>Não</t>
        </is>
      </c>
    </row>
    <row r="3647">
      <c r="A3647" t="inlineStr">
        <is>
          <t>Frete de venda</t>
        </is>
      </c>
      <c r="B3647" t="inlineStr">
        <is>
          <t>2.01.02 Frete sobre Vendas</t>
        </is>
      </c>
      <c r="C3647" s="30" t="n">
        <v>46174</v>
      </c>
      <c r="D3647" t="inlineStr">
        <is>
          <t>Em 2026</t>
        </is>
      </c>
      <c r="E3647" s="28" t="n">
        <v>46186</v>
      </c>
      <c r="F3647" t="inlineStr">
        <is>
          <t>CT-e</t>
        </is>
      </c>
      <c r="G3647" t="inlineStr">
        <is>
          <t>000007322</t>
        </is>
      </c>
      <c r="H3647" t="inlineStr">
        <is>
          <t>R&amp;R TRANSPORTE E LOGISTICA</t>
        </is>
      </c>
      <c r="J3647" s="29" t="n">
        <v>16.24</v>
      </c>
      <c r="K3647" s="29">
        <f>(1-ISNUMBER(SEARCH("556",M3647)))*(O3647*SUMIFS(Premissas!$C$5:$C$44,Premissas!$A$5:$A$44,$A3647,Premissas!$B$5:$B$44,$B3647)+P3647*SUMIFS(Premissas!$D$5:$D$44,Premissas!$A$5:$A$44,$A3647,Premissas!$B$5:$B$44,$B3647))+R3647*SUMIFS(Premissas!$E$5:$E$44,Premissas!$A$5:$A$44,$A3647,Premissas!$B$5:$B$44,$B3647)+S3647*SUMIFS(Premissas!$F$5:$F$44,Premissas!$A$5:$A$44,$A3647,Premissas!$B$5:$B$44,$B3647)</f>
        <v/>
      </c>
      <c r="L3647" s="29">
        <f>J3647-K3647</f>
        <v/>
      </c>
      <c r="M3647" t="inlineStr">
        <is>
          <t>1.350</t>
        </is>
      </c>
      <c r="N3647" t="inlineStr">
        <is>
          <t>Modalidade: 0 - Por conta do remetente | Parte: BAIXINHO EMBALAGENS LTDA (49.023.382/0001-68)</t>
        </is>
      </c>
      <c r="O3647" s="29" t="n">
        <v>0</v>
      </c>
      <c r="P3647" s="29" t="n">
        <v>0</v>
      </c>
      <c r="Q3647" s="29" t="n">
        <v>0</v>
      </c>
      <c r="R3647" s="29" t="n">
        <v>0</v>
      </c>
      <c r="S3647" s="29" t="n">
        <v>0</v>
      </c>
      <c r="T3647" t="inlineStr">
        <is>
          <t>25260626975620000130570010000073221001100765</t>
        </is>
      </c>
      <c r="U3647" t="inlineStr">
        <is>
          <t>Não</t>
        </is>
      </c>
    </row>
    <row r="3648">
      <c r="A3648" t="inlineStr">
        <is>
          <t>Frete de venda</t>
        </is>
      </c>
      <c r="B3648" t="inlineStr">
        <is>
          <t>2.01.02 Frete sobre Vendas</t>
        </is>
      </c>
      <c r="C3648" s="30" t="n">
        <v>46174</v>
      </c>
      <c r="D3648" t="inlineStr">
        <is>
          <t>Em 2026</t>
        </is>
      </c>
      <c r="E3648" s="28" t="n">
        <v>46186</v>
      </c>
      <c r="F3648" t="inlineStr">
        <is>
          <t>CT-e</t>
        </is>
      </c>
      <c r="G3648" t="inlineStr">
        <is>
          <t>000007323</t>
        </is>
      </c>
      <c r="H3648" t="inlineStr">
        <is>
          <t>R&amp;R TRANSPORTE E LOGISTICA</t>
        </is>
      </c>
      <c r="J3648" s="29" t="n">
        <v>14.01</v>
      </c>
      <c r="K3648" s="29">
        <f>(1-ISNUMBER(SEARCH("556",M3648)))*(O3648*SUMIFS(Premissas!$C$5:$C$44,Premissas!$A$5:$A$44,$A3648,Premissas!$B$5:$B$44,$B3648)+P3648*SUMIFS(Premissas!$D$5:$D$44,Premissas!$A$5:$A$44,$A3648,Premissas!$B$5:$B$44,$B3648))+R3648*SUMIFS(Premissas!$E$5:$E$44,Premissas!$A$5:$A$44,$A3648,Premissas!$B$5:$B$44,$B3648)+S3648*SUMIFS(Premissas!$F$5:$F$44,Premissas!$A$5:$A$44,$A3648,Premissas!$B$5:$B$44,$B3648)</f>
        <v/>
      </c>
      <c r="L3648" s="29">
        <f>J3648-K3648</f>
        <v/>
      </c>
      <c r="M3648" t="inlineStr">
        <is>
          <t>1.350</t>
        </is>
      </c>
      <c r="N3648" t="inlineStr">
        <is>
          <t>Modalidade: 0 - Por conta do remetente | Parte: GRACILIANO QUEIROZ PEREIRA DE MELO (02.604.364/0001-06)</t>
        </is>
      </c>
      <c r="O3648" s="29" t="n">
        <v>0</v>
      </c>
      <c r="P3648" s="29" t="n">
        <v>0</v>
      </c>
      <c r="Q3648" s="29" t="n">
        <v>0</v>
      </c>
      <c r="R3648" s="29" t="n">
        <v>0</v>
      </c>
      <c r="S3648" s="29" t="n">
        <v>0</v>
      </c>
      <c r="T3648" t="inlineStr">
        <is>
          <t>25260626975620000130570010000073231000170848</t>
        </is>
      </c>
      <c r="U3648" t="inlineStr">
        <is>
          <t>Não</t>
        </is>
      </c>
    </row>
    <row r="3649">
      <c r="A3649" t="inlineStr">
        <is>
          <t>Frete de venda</t>
        </is>
      </c>
      <c r="B3649" t="inlineStr">
        <is>
          <t>2.01.02 Frete sobre Vendas</t>
        </is>
      </c>
      <c r="C3649" s="30" t="n">
        <v>46174</v>
      </c>
      <c r="D3649" t="inlineStr">
        <is>
          <t>Em 2026</t>
        </is>
      </c>
      <c r="E3649" s="28" t="n">
        <v>46186</v>
      </c>
      <c r="F3649" t="inlineStr">
        <is>
          <t>CT-e</t>
        </is>
      </c>
      <c r="G3649" t="inlineStr">
        <is>
          <t>000007324</t>
        </is>
      </c>
      <c r="H3649" t="inlineStr">
        <is>
          <t>R&amp;R TRANSPORTE E LOGISTICA</t>
        </is>
      </c>
      <c r="J3649" s="29" t="n">
        <v>14.79</v>
      </c>
      <c r="K3649" s="29">
        <f>(1-ISNUMBER(SEARCH("556",M3649)))*(O3649*SUMIFS(Premissas!$C$5:$C$44,Premissas!$A$5:$A$44,$A3649,Premissas!$B$5:$B$44,$B3649)+P3649*SUMIFS(Premissas!$D$5:$D$44,Premissas!$A$5:$A$44,$A3649,Premissas!$B$5:$B$44,$B3649))+R3649*SUMIFS(Premissas!$E$5:$E$44,Premissas!$A$5:$A$44,$A3649,Premissas!$B$5:$B$44,$B3649)+S3649*SUMIFS(Premissas!$F$5:$F$44,Premissas!$A$5:$A$44,$A3649,Premissas!$B$5:$B$44,$B3649)</f>
        <v/>
      </c>
      <c r="L3649" s="29">
        <f>J3649-K3649</f>
        <v/>
      </c>
      <c r="M3649" t="inlineStr">
        <is>
          <t>1.350</t>
        </is>
      </c>
      <c r="N3649" t="inlineStr">
        <is>
          <t>Modalidade: 0 - Por conta do remetente | Parte: CENTRAL COMERCIAL DE VARIEDADES LTDA (15.596.084/0001-45)</t>
        </is>
      </c>
      <c r="O3649" s="29" t="n">
        <v>0</v>
      </c>
      <c r="P3649" s="29" t="n">
        <v>0</v>
      </c>
      <c r="Q3649" s="29" t="n">
        <v>0</v>
      </c>
      <c r="R3649" s="29" t="n">
        <v>0</v>
      </c>
      <c r="S3649" s="29" t="n">
        <v>0</v>
      </c>
      <c r="T3649" t="inlineStr">
        <is>
          <t>25260626975620000130570010000073241000140920</t>
        </is>
      </c>
      <c r="U3649" t="inlineStr">
        <is>
          <t>Não</t>
        </is>
      </c>
    </row>
    <row r="3650">
      <c r="A3650" t="inlineStr">
        <is>
          <t>Frete de venda</t>
        </is>
      </c>
      <c r="B3650" t="inlineStr">
        <is>
          <t>2.01.02 Frete sobre Vendas</t>
        </is>
      </c>
      <c r="C3650" s="30" t="n">
        <v>46174</v>
      </c>
      <c r="D3650" t="inlineStr">
        <is>
          <t>Em 2026</t>
        </is>
      </c>
      <c r="E3650" s="28" t="n">
        <v>46186</v>
      </c>
      <c r="F3650" t="inlineStr">
        <is>
          <t>CT-e</t>
        </is>
      </c>
      <c r="G3650" t="inlineStr">
        <is>
          <t>000007325</t>
        </is>
      </c>
      <c r="H3650" t="inlineStr">
        <is>
          <t>R&amp;R TRANSPORTE E LOGISTICA</t>
        </is>
      </c>
      <c r="J3650" s="29" t="n">
        <v>19.7</v>
      </c>
      <c r="K3650" s="29">
        <f>(1-ISNUMBER(SEARCH("556",M3650)))*(O3650*SUMIFS(Premissas!$C$5:$C$44,Premissas!$A$5:$A$44,$A3650,Premissas!$B$5:$B$44,$B3650)+P3650*SUMIFS(Premissas!$D$5:$D$44,Premissas!$A$5:$A$44,$A3650,Premissas!$B$5:$B$44,$B3650))+R3650*SUMIFS(Premissas!$E$5:$E$44,Premissas!$A$5:$A$44,$A3650,Premissas!$B$5:$B$44,$B3650)+S3650*SUMIFS(Premissas!$F$5:$F$44,Premissas!$A$5:$A$44,$A3650,Premissas!$B$5:$B$44,$B3650)</f>
        <v/>
      </c>
      <c r="L3650" s="29">
        <f>J3650-K3650</f>
        <v/>
      </c>
      <c r="M3650" t="inlineStr">
        <is>
          <t>1.350</t>
        </is>
      </c>
      <c r="N3650" t="inlineStr">
        <is>
          <t>Modalidade: 0 - Por conta do remetente | Parte: AMORIM ALVES TEMPEROS E EMBALAGENS LTDA (13.330.874/0001-59)</t>
        </is>
      </c>
      <c r="O3650" s="29" t="n">
        <v>0</v>
      </c>
      <c r="P3650" s="29" t="n">
        <v>0</v>
      </c>
      <c r="Q3650" s="29" t="n">
        <v>0</v>
      </c>
      <c r="R3650" s="29" t="n">
        <v>0</v>
      </c>
      <c r="S3650" s="29" t="n">
        <v>0</v>
      </c>
      <c r="T3650" t="inlineStr">
        <is>
          <t>25260626975620000130570010000073251001101003</t>
        </is>
      </c>
      <c r="U3650" t="inlineStr">
        <is>
          <t>Não</t>
        </is>
      </c>
    </row>
    <row r="3651">
      <c r="A3651" t="inlineStr">
        <is>
          <t>Frete de venda</t>
        </is>
      </c>
      <c r="B3651" t="inlineStr">
        <is>
          <t>2.01.02 Frete sobre Vendas</t>
        </is>
      </c>
      <c r="C3651" s="30" t="n">
        <v>46174</v>
      </c>
      <c r="D3651" t="inlineStr">
        <is>
          <t>Em 2026</t>
        </is>
      </c>
      <c r="E3651" s="28" t="n">
        <v>46186</v>
      </c>
      <c r="F3651" t="inlineStr">
        <is>
          <t>CT-e</t>
        </is>
      </c>
      <c r="G3651" t="inlineStr">
        <is>
          <t>000007326</t>
        </is>
      </c>
      <c r="H3651" t="inlineStr">
        <is>
          <t>R&amp;R TRANSPORTE E LOGISTICA</t>
        </is>
      </c>
      <c r="J3651" s="29" t="n">
        <v>15.37</v>
      </c>
      <c r="K3651" s="29">
        <f>(1-ISNUMBER(SEARCH("556",M3651)))*(O3651*SUMIFS(Premissas!$C$5:$C$44,Premissas!$A$5:$A$44,$A3651,Premissas!$B$5:$B$44,$B3651)+P3651*SUMIFS(Premissas!$D$5:$D$44,Premissas!$A$5:$A$44,$A3651,Premissas!$B$5:$B$44,$B3651))+R3651*SUMIFS(Premissas!$E$5:$E$44,Premissas!$A$5:$A$44,$A3651,Premissas!$B$5:$B$44,$B3651)+S3651*SUMIFS(Premissas!$F$5:$F$44,Premissas!$A$5:$A$44,$A3651,Premissas!$B$5:$B$44,$B3651)</f>
        <v/>
      </c>
      <c r="L3651" s="29">
        <f>J3651-K3651</f>
        <v/>
      </c>
      <c r="M3651" t="inlineStr">
        <is>
          <t>1.350</t>
        </is>
      </c>
      <c r="N3651" t="inlineStr">
        <is>
          <t>Modalidade: 0 - Por conta do remetente | Parte: COMERCIAL DE ALIMENTOS PLANETA LTDA (60.405.318/0002-65)</t>
        </is>
      </c>
      <c r="O3651" s="29" t="n">
        <v>0</v>
      </c>
      <c r="P3651" s="29" t="n">
        <v>0</v>
      </c>
      <c r="Q3651" s="29" t="n">
        <v>0</v>
      </c>
      <c r="R3651" s="29" t="n">
        <v>0</v>
      </c>
      <c r="S3651" s="29" t="n">
        <v>0</v>
      </c>
      <c r="T3651" t="inlineStr">
        <is>
          <t>25260626975620000130570010000073261001901082</t>
        </is>
      </c>
      <c r="U3651" t="inlineStr">
        <is>
          <t>Não</t>
        </is>
      </c>
    </row>
    <row r="3652">
      <c r="A3652" t="inlineStr">
        <is>
          <t>Frete de venda</t>
        </is>
      </c>
      <c r="B3652" t="inlineStr">
        <is>
          <t>2.01.02 Frete sobre Vendas</t>
        </is>
      </c>
      <c r="C3652" s="30" t="n">
        <v>46174</v>
      </c>
      <c r="D3652" t="inlineStr">
        <is>
          <t>Em 2026</t>
        </is>
      </c>
      <c r="E3652" s="28" t="n">
        <v>46186</v>
      </c>
      <c r="F3652" t="inlineStr">
        <is>
          <t>CT-e</t>
        </is>
      </c>
      <c r="G3652" t="inlineStr">
        <is>
          <t>000007327</t>
        </is>
      </c>
      <c r="H3652" t="inlineStr">
        <is>
          <t>R&amp;R TRANSPORTE E LOGISTICA</t>
        </is>
      </c>
      <c r="J3652" s="29" t="n">
        <v>19.43</v>
      </c>
      <c r="K3652" s="29">
        <f>(1-ISNUMBER(SEARCH("556",M3652)))*(O3652*SUMIFS(Premissas!$C$5:$C$44,Premissas!$A$5:$A$44,$A3652,Premissas!$B$5:$B$44,$B3652)+P3652*SUMIFS(Premissas!$D$5:$D$44,Premissas!$A$5:$A$44,$A3652,Premissas!$B$5:$B$44,$B3652))+R3652*SUMIFS(Premissas!$E$5:$E$44,Premissas!$A$5:$A$44,$A3652,Premissas!$B$5:$B$44,$B3652)+S3652*SUMIFS(Premissas!$F$5:$F$44,Premissas!$A$5:$A$44,$A3652,Premissas!$B$5:$B$44,$B3652)</f>
        <v/>
      </c>
      <c r="L3652" s="29">
        <f>J3652-K3652</f>
        <v/>
      </c>
      <c r="M3652" t="inlineStr">
        <is>
          <t>1.350</t>
        </is>
      </c>
      <c r="N3652" t="inlineStr">
        <is>
          <t>Modalidade: 0 - Por conta do remetente | Parte: E.S. BRANDAO FERNANDES (10.341.001/0001-53)</t>
        </is>
      </c>
      <c r="O3652" s="29" t="n">
        <v>0</v>
      </c>
      <c r="P3652" s="29" t="n">
        <v>0</v>
      </c>
      <c r="Q3652" s="29" t="n">
        <v>0</v>
      </c>
      <c r="R3652" s="29" t="n">
        <v>0</v>
      </c>
      <c r="S3652" s="29" t="n">
        <v>0</v>
      </c>
      <c r="T3652" t="inlineStr">
        <is>
          <t>25260626975620000130570010000073271001601167</t>
        </is>
      </c>
      <c r="U3652" t="inlineStr">
        <is>
          <t>Não</t>
        </is>
      </c>
    </row>
    <row r="3653">
      <c r="A3653" t="inlineStr">
        <is>
          <t>Frete de venda</t>
        </is>
      </c>
      <c r="B3653" t="inlineStr">
        <is>
          <t>2.01.02 Frete sobre Vendas</t>
        </is>
      </c>
      <c r="C3653" s="30" t="n">
        <v>46174</v>
      </c>
      <c r="D3653" t="inlineStr">
        <is>
          <t>Em 2026</t>
        </is>
      </c>
      <c r="E3653" s="28" t="n">
        <v>46186</v>
      </c>
      <c r="F3653" t="inlineStr">
        <is>
          <t>CT-e</t>
        </is>
      </c>
      <c r="G3653" t="inlineStr">
        <is>
          <t>000007328</t>
        </is>
      </c>
      <c r="H3653" t="inlineStr">
        <is>
          <t>R&amp;R TRANSPORTE E LOGISTICA</t>
        </is>
      </c>
      <c r="J3653" s="29" t="n">
        <v>30.68</v>
      </c>
      <c r="K3653" s="29">
        <f>(1-ISNUMBER(SEARCH("556",M3653)))*(O3653*SUMIFS(Premissas!$C$5:$C$44,Premissas!$A$5:$A$44,$A3653,Premissas!$B$5:$B$44,$B3653)+P3653*SUMIFS(Premissas!$D$5:$D$44,Premissas!$A$5:$A$44,$A3653,Premissas!$B$5:$B$44,$B3653))+R3653*SUMIFS(Premissas!$E$5:$E$44,Premissas!$A$5:$A$44,$A3653,Premissas!$B$5:$B$44,$B3653)+S3653*SUMIFS(Premissas!$F$5:$F$44,Premissas!$A$5:$A$44,$A3653,Premissas!$B$5:$B$44,$B3653)</f>
        <v/>
      </c>
      <c r="L3653" s="29">
        <f>J3653-K3653</f>
        <v/>
      </c>
      <c r="M3653" t="inlineStr">
        <is>
          <t>1.350</t>
        </is>
      </c>
      <c r="N3653" t="inlineStr">
        <is>
          <t>Modalidade: 0 - Por conta do remetente | Parte: PRISCILA INGRID AMORIM DE SOUZA LTDA (53.818.421/0001-90)</t>
        </is>
      </c>
      <c r="O3653" s="29" t="n">
        <v>0</v>
      </c>
      <c r="P3653" s="29" t="n">
        <v>0</v>
      </c>
      <c r="Q3653" s="29" t="n">
        <v>0</v>
      </c>
      <c r="R3653" s="29" t="n">
        <v>0</v>
      </c>
      <c r="S3653" s="29" t="n">
        <v>0</v>
      </c>
      <c r="T3653" t="inlineStr">
        <is>
          <t>25260626975620000130570010000073281001301241</t>
        </is>
      </c>
      <c r="U3653" t="inlineStr">
        <is>
          <t>Não</t>
        </is>
      </c>
    </row>
    <row r="3654">
      <c r="A3654" t="inlineStr">
        <is>
          <t>Frete de venda</t>
        </is>
      </c>
      <c r="B3654" t="inlineStr">
        <is>
          <t>2.01.02 Frete sobre Vendas</t>
        </is>
      </c>
      <c r="C3654" s="30" t="n">
        <v>46174</v>
      </c>
      <c r="D3654" t="inlineStr">
        <is>
          <t>Em 2026</t>
        </is>
      </c>
      <c r="E3654" s="28" t="n">
        <v>46186</v>
      </c>
      <c r="F3654" t="inlineStr">
        <is>
          <t>CT-e</t>
        </is>
      </c>
      <c r="G3654" t="inlineStr">
        <is>
          <t>000007329</t>
        </is>
      </c>
      <c r="H3654" t="inlineStr">
        <is>
          <t>R&amp;R TRANSPORTE E LOGISTICA</t>
        </is>
      </c>
      <c r="J3654" s="29" t="n">
        <v>14.74</v>
      </c>
      <c r="K3654" s="29">
        <f>(1-ISNUMBER(SEARCH("556",M3654)))*(O3654*SUMIFS(Premissas!$C$5:$C$44,Premissas!$A$5:$A$44,$A3654,Premissas!$B$5:$B$44,$B3654)+P3654*SUMIFS(Premissas!$D$5:$D$44,Premissas!$A$5:$A$44,$A3654,Premissas!$B$5:$B$44,$B3654))+R3654*SUMIFS(Premissas!$E$5:$E$44,Premissas!$A$5:$A$44,$A3654,Premissas!$B$5:$B$44,$B3654)+S3654*SUMIFS(Premissas!$F$5:$F$44,Premissas!$A$5:$A$44,$A3654,Premissas!$B$5:$B$44,$B3654)</f>
        <v/>
      </c>
      <c r="L3654" s="29">
        <f>J3654-K3654</f>
        <v/>
      </c>
      <c r="M3654" t="inlineStr">
        <is>
          <t>1.350</t>
        </is>
      </c>
      <c r="N3654" t="inlineStr">
        <is>
          <t>Modalidade: 0 - Por conta do remetente | Parte: BOMBONIERE SO ALEGRIA DOCE E FESTA LTDA (23.730.767/0001-71)</t>
        </is>
      </c>
      <c r="O3654" s="29" t="n">
        <v>0</v>
      </c>
      <c r="P3654" s="29" t="n">
        <v>0</v>
      </c>
      <c r="Q3654" s="29" t="n">
        <v>0</v>
      </c>
      <c r="R3654" s="29" t="n">
        <v>0</v>
      </c>
      <c r="S3654" s="29" t="n">
        <v>0</v>
      </c>
      <c r="T3654" t="inlineStr">
        <is>
          <t>25260626975620000130570010000073291000101327</t>
        </is>
      </c>
      <c r="U3654" t="inlineStr">
        <is>
          <t>Não</t>
        </is>
      </c>
    </row>
    <row r="3655">
      <c r="A3655" t="inlineStr">
        <is>
          <t>Frete de venda</t>
        </is>
      </c>
      <c r="B3655" t="inlineStr">
        <is>
          <t>2.01.02 Frete sobre Vendas</t>
        </is>
      </c>
      <c r="C3655" s="30" t="n">
        <v>46174</v>
      </c>
      <c r="D3655" t="inlineStr">
        <is>
          <t>Em 2026</t>
        </is>
      </c>
      <c r="E3655" s="28" t="n">
        <v>46186</v>
      </c>
      <c r="F3655" t="inlineStr">
        <is>
          <t>CT-e</t>
        </is>
      </c>
      <c r="G3655" t="inlineStr">
        <is>
          <t>000007330</t>
        </is>
      </c>
      <c r="H3655" t="inlineStr">
        <is>
          <t>R&amp;R TRANSPORTE E LOGISTICA</t>
        </is>
      </c>
      <c r="J3655" s="29" t="n">
        <v>14.4</v>
      </c>
      <c r="K3655" s="29">
        <f>(1-ISNUMBER(SEARCH("556",M3655)))*(O3655*SUMIFS(Premissas!$C$5:$C$44,Premissas!$A$5:$A$44,$A3655,Premissas!$B$5:$B$44,$B3655)+P3655*SUMIFS(Premissas!$D$5:$D$44,Premissas!$A$5:$A$44,$A3655,Premissas!$B$5:$B$44,$B3655))+R3655*SUMIFS(Premissas!$E$5:$E$44,Premissas!$A$5:$A$44,$A3655,Premissas!$B$5:$B$44,$B3655)+S3655*SUMIFS(Premissas!$F$5:$F$44,Premissas!$A$5:$A$44,$A3655,Premissas!$B$5:$B$44,$B3655)</f>
        <v/>
      </c>
      <c r="L3655" s="29">
        <f>J3655-K3655</f>
        <v/>
      </c>
      <c r="M3655" t="inlineStr">
        <is>
          <t>1.350</t>
        </is>
      </c>
      <c r="N3655" t="inlineStr">
        <is>
          <t>Modalidade: 0 - Por conta do remetente | Parte: R.L SERAFIM LTDA (66.426.039/0001-83)</t>
        </is>
      </c>
      <c r="O3655" s="29" t="n">
        <v>0</v>
      </c>
      <c r="P3655" s="29" t="n">
        <v>0</v>
      </c>
      <c r="Q3655" s="29" t="n">
        <v>0</v>
      </c>
      <c r="R3655" s="29" t="n">
        <v>0</v>
      </c>
      <c r="S3655" s="29" t="n">
        <v>0</v>
      </c>
      <c r="T3655" t="inlineStr">
        <is>
          <t>25260626975620000130570010000073301001801404</t>
        </is>
      </c>
      <c r="U3655" t="inlineStr">
        <is>
          <t>Não</t>
        </is>
      </c>
    </row>
    <row r="3656">
      <c r="A3656" t="inlineStr">
        <is>
          <t>Frete de venda</t>
        </is>
      </c>
      <c r="B3656" t="inlineStr">
        <is>
          <t>2.01.02 Frete sobre Vendas</t>
        </is>
      </c>
      <c r="C3656" s="30" t="n">
        <v>46174</v>
      </c>
      <c r="D3656" t="inlineStr">
        <is>
          <t>Em 2026</t>
        </is>
      </c>
      <c r="E3656" s="28" t="n">
        <v>46186</v>
      </c>
      <c r="F3656" t="inlineStr">
        <is>
          <t>CT-e</t>
        </is>
      </c>
      <c r="G3656" t="inlineStr">
        <is>
          <t>000007331</t>
        </is>
      </c>
      <c r="H3656" t="inlineStr">
        <is>
          <t>R&amp;R TRANSPORTE E LOGISTICA</t>
        </is>
      </c>
      <c r="J3656" s="29" t="n">
        <v>15.16</v>
      </c>
      <c r="K3656" s="29">
        <f>(1-ISNUMBER(SEARCH("556",M3656)))*(O3656*SUMIFS(Premissas!$C$5:$C$44,Premissas!$A$5:$A$44,$A3656,Premissas!$B$5:$B$44,$B3656)+P3656*SUMIFS(Premissas!$D$5:$D$44,Premissas!$A$5:$A$44,$A3656,Premissas!$B$5:$B$44,$B3656))+R3656*SUMIFS(Premissas!$E$5:$E$44,Premissas!$A$5:$A$44,$A3656,Premissas!$B$5:$B$44,$B3656)+S3656*SUMIFS(Premissas!$F$5:$F$44,Premissas!$A$5:$A$44,$A3656,Premissas!$B$5:$B$44,$B3656)</f>
        <v/>
      </c>
      <c r="L3656" s="29">
        <f>J3656-K3656</f>
        <v/>
      </c>
      <c r="M3656" t="inlineStr">
        <is>
          <t>1.350</t>
        </is>
      </c>
      <c r="N3656" t="inlineStr">
        <is>
          <t>Modalidade: 0 - Por conta do remetente | Parte: CASTRO e LARANJEIRA LTDA (40.467.946/0001-87)</t>
        </is>
      </c>
      <c r="O3656" s="29" t="n">
        <v>0</v>
      </c>
      <c r="P3656" s="29" t="n">
        <v>0</v>
      </c>
      <c r="Q3656" s="29" t="n">
        <v>0</v>
      </c>
      <c r="R3656" s="29" t="n">
        <v>0</v>
      </c>
      <c r="S3656" s="29" t="n">
        <v>0</v>
      </c>
      <c r="T3656" t="inlineStr">
        <is>
          <t>25260626975620000130570010000073311000190751</t>
        </is>
      </c>
      <c r="U3656" t="inlineStr">
        <is>
          <t>Não</t>
        </is>
      </c>
    </row>
    <row r="3657">
      <c r="A3657" t="inlineStr">
        <is>
          <t>Frete de venda</t>
        </is>
      </c>
      <c r="B3657" t="inlineStr">
        <is>
          <t>2.01.02 Frete sobre Vendas</t>
        </is>
      </c>
      <c r="C3657" s="30" t="n">
        <v>46174</v>
      </c>
      <c r="D3657" t="inlineStr">
        <is>
          <t>Em 2026</t>
        </is>
      </c>
      <c r="E3657" s="28" t="n">
        <v>46186</v>
      </c>
      <c r="F3657" t="inlineStr">
        <is>
          <t>CT-e</t>
        </is>
      </c>
      <c r="G3657" t="inlineStr">
        <is>
          <t>000007332</t>
        </is>
      </c>
      <c r="H3657" t="inlineStr">
        <is>
          <t>R&amp;R TRANSPORTE E LOGISTICA</t>
        </is>
      </c>
      <c r="J3657" s="29" t="n">
        <v>24.11</v>
      </c>
      <c r="K3657" s="29">
        <f>(1-ISNUMBER(SEARCH("556",M3657)))*(O3657*SUMIFS(Premissas!$C$5:$C$44,Premissas!$A$5:$A$44,$A3657,Premissas!$B$5:$B$44,$B3657)+P3657*SUMIFS(Premissas!$D$5:$D$44,Premissas!$A$5:$A$44,$A3657,Premissas!$B$5:$B$44,$B3657))+R3657*SUMIFS(Premissas!$E$5:$E$44,Premissas!$A$5:$A$44,$A3657,Premissas!$B$5:$B$44,$B3657)+S3657*SUMIFS(Premissas!$F$5:$F$44,Premissas!$A$5:$A$44,$A3657,Premissas!$B$5:$B$44,$B3657)</f>
        <v/>
      </c>
      <c r="L3657" s="29">
        <f>J3657-K3657</f>
        <v/>
      </c>
      <c r="M3657" t="inlineStr">
        <is>
          <t>1.350</t>
        </is>
      </c>
      <c r="N3657" t="inlineStr">
        <is>
          <t>Modalidade: 0 - Por conta do remetente | Parte: GIRO FOODS COMERCIO DE ALIMENTOS LTDA (28.400.428/0001-40)</t>
        </is>
      </c>
      <c r="O3657" s="29" t="n">
        <v>0</v>
      </c>
      <c r="P3657" s="29" t="n">
        <v>0</v>
      </c>
      <c r="Q3657" s="29" t="n">
        <v>0</v>
      </c>
      <c r="R3657" s="29" t="n">
        <v>0</v>
      </c>
      <c r="S3657" s="29" t="n">
        <v>0</v>
      </c>
      <c r="T3657" t="inlineStr">
        <is>
          <t>25260626975620000130570010000073321000160833</t>
        </is>
      </c>
      <c r="U3657" t="inlineStr">
        <is>
          <t>Não</t>
        </is>
      </c>
    </row>
    <row r="3658">
      <c r="A3658" t="inlineStr">
        <is>
          <t>Frete de venda</t>
        </is>
      </c>
      <c r="B3658" t="inlineStr">
        <is>
          <t>2.01.02 Frete sobre Vendas</t>
        </is>
      </c>
      <c r="C3658" s="30" t="n">
        <v>46174</v>
      </c>
      <c r="D3658" t="inlineStr">
        <is>
          <t>Em 2026</t>
        </is>
      </c>
      <c r="E3658" s="28" t="n">
        <v>46186</v>
      </c>
      <c r="F3658" t="inlineStr">
        <is>
          <t>CT-e</t>
        </is>
      </c>
      <c r="G3658" t="inlineStr">
        <is>
          <t>000007333</t>
        </is>
      </c>
      <c r="H3658" t="inlineStr">
        <is>
          <t>R&amp;R TRANSPORTE E LOGISTICA</t>
        </is>
      </c>
      <c r="J3658" s="29" t="n">
        <v>20.22</v>
      </c>
      <c r="K3658" s="29">
        <f>(1-ISNUMBER(SEARCH("556",M3658)))*(O3658*SUMIFS(Premissas!$C$5:$C$44,Premissas!$A$5:$A$44,$A3658,Premissas!$B$5:$B$44,$B3658)+P3658*SUMIFS(Premissas!$D$5:$D$44,Premissas!$A$5:$A$44,$A3658,Premissas!$B$5:$B$44,$B3658))+R3658*SUMIFS(Premissas!$E$5:$E$44,Premissas!$A$5:$A$44,$A3658,Premissas!$B$5:$B$44,$B3658)+S3658*SUMIFS(Premissas!$F$5:$F$44,Premissas!$A$5:$A$44,$A3658,Premissas!$B$5:$B$44,$B3658)</f>
        <v/>
      </c>
      <c r="L3658" s="29">
        <f>J3658-K3658</f>
        <v/>
      </c>
      <c r="M3658" t="inlineStr">
        <is>
          <t>1.350</t>
        </is>
      </c>
      <c r="N3658" t="inlineStr">
        <is>
          <t>Modalidade: 0 - Por conta do remetente | Parte: TRANSTEL COMERCIO E ARMAZENAMENTO E LOGISTICA LTDA (59.254.117/0001-44)</t>
        </is>
      </c>
      <c r="O3658" s="29" t="n">
        <v>0</v>
      </c>
      <c r="P3658" s="29" t="n">
        <v>0</v>
      </c>
      <c r="Q3658" s="29" t="n">
        <v>0</v>
      </c>
      <c r="R3658" s="29" t="n">
        <v>0</v>
      </c>
      <c r="S3658" s="29" t="n">
        <v>0</v>
      </c>
      <c r="T3658" t="inlineStr">
        <is>
          <t>25260626975620000130570010000073331000130915</t>
        </is>
      </c>
      <c r="U3658" t="inlineStr">
        <is>
          <t>Não</t>
        </is>
      </c>
    </row>
    <row r="3659">
      <c r="A3659" t="inlineStr">
        <is>
          <t>Frete de venda</t>
        </is>
      </c>
      <c r="B3659" t="inlineStr">
        <is>
          <t>2.01.02 Frete sobre Vendas</t>
        </is>
      </c>
      <c r="C3659" s="30" t="n">
        <v>46174</v>
      </c>
      <c r="D3659" t="inlineStr">
        <is>
          <t>Em 2026</t>
        </is>
      </c>
      <c r="E3659" s="28" t="n">
        <v>46186</v>
      </c>
      <c r="F3659" t="inlineStr">
        <is>
          <t>CT-e</t>
        </is>
      </c>
      <c r="G3659" t="inlineStr">
        <is>
          <t>000007334</t>
        </is>
      </c>
      <c r="H3659" t="inlineStr">
        <is>
          <t>R&amp;R TRANSPORTE E LOGISTICA</t>
        </is>
      </c>
      <c r="J3659" s="29" t="n">
        <v>16.04</v>
      </c>
      <c r="K3659" s="29">
        <f>(1-ISNUMBER(SEARCH("556",M3659)))*(O3659*SUMIFS(Premissas!$C$5:$C$44,Premissas!$A$5:$A$44,$A3659,Premissas!$B$5:$B$44,$B3659)+P3659*SUMIFS(Premissas!$D$5:$D$44,Premissas!$A$5:$A$44,$A3659,Premissas!$B$5:$B$44,$B3659))+R3659*SUMIFS(Premissas!$E$5:$E$44,Premissas!$A$5:$A$44,$A3659,Premissas!$B$5:$B$44,$B3659)+S3659*SUMIFS(Premissas!$F$5:$F$44,Premissas!$A$5:$A$44,$A3659,Premissas!$B$5:$B$44,$B3659)</f>
        <v/>
      </c>
      <c r="L3659" s="29">
        <f>J3659-K3659</f>
        <v/>
      </c>
      <c r="M3659" t="inlineStr">
        <is>
          <t>1.350</t>
        </is>
      </c>
      <c r="N3659" t="inlineStr">
        <is>
          <t>Modalidade: 0 - Por conta do remetente | Parte: R.J COMERCIO DE EMBALAGENS LTDA (38.204.536/0001-00)</t>
        </is>
      </c>
      <c r="O3659" s="29" t="n">
        <v>0</v>
      </c>
      <c r="P3659" s="29" t="n">
        <v>0</v>
      </c>
      <c r="Q3659" s="29" t="n">
        <v>0</v>
      </c>
      <c r="R3659" s="29" t="n">
        <v>0</v>
      </c>
      <c r="S3659" s="29" t="n">
        <v>0</v>
      </c>
      <c r="T3659" t="inlineStr">
        <is>
          <t>25260626975620000130570010000073341000010992</t>
        </is>
      </c>
      <c r="U3659" t="inlineStr">
        <is>
          <t>Não</t>
        </is>
      </c>
    </row>
    <row r="3660">
      <c r="A3660" t="inlineStr">
        <is>
          <t>Frete de venda</t>
        </is>
      </c>
      <c r="B3660" t="inlineStr">
        <is>
          <t>2.01.02 Frete sobre Vendas</t>
        </is>
      </c>
      <c r="C3660" s="30" t="n">
        <v>46174</v>
      </c>
      <c r="D3660" t="inlineStr">
        <is>
          <t>Em 2026</t>
        </is>
      </c>
      <c r="E3660" s="28" t="n">
        <v>46186</v>
      </c>
      <c r="F3660" t="inlineStr">
        <is>
          <t>CT-e</t>
        </is>
      </c>
      <c r="G3660" t="inlineStr">
        <is>
          <t>000007335</t>
        </is>
      </c>
      <c r="H3660" t="inlineStr">
        <is>
          <t>R&amp;R TRANSPORTE E LOGISTICA</t>
        </is>
      </c>
      <c r="J3660" s="29" t="n">
        <v>15.58</v>
      </c>
      <c r="K3660" s="29">
        <f>(1-ISNUMBER(SEARCH("556",M3660)))*(O3660*SUMIFS(Premissas!$C$5:$C$44,Premissas!$A$5:$A$44,$A3660,Premissas!$B$5:$B$44,$B3660)+P3660*SUMIFS(Premissas!$D$5:$D$44,Premissas!$A$5:$A$44,$A3660,Premissas!$B$5:$B$44,$B3660))+R3660*SUMIFS(Premissas!$E$5:$E$44,Premissas!$A$5:$A$44,$A3660,Premissas!$B$5:$B$44,$B3660)+S3660*SUMIFS(Premissas!$F$5:$F$44,Premissas!$A$5:$A$44,$A3660,Premissas!$B$5:$B$44,$B3660)</f>
        <v/>
      </c>
      <c r="L3660" s="29">
        <f>J3660-K3660</f>
        <v/>
      </c>
      <c r="M3660" t="inlineStr">
        <is>
          <t>1.350</t>
        </is>
      </c>
      <c r="N3660" t="inlineStr">
        <is>
          <t>Modalidade: 0 - Por conta do remetente | Parte: CRISTAL NEWS ALIMENTOS E EMBALAGENS LTDA (04.067.045/0001-34)</t>
        </is>
      </c>
      <c r="O3660" s="29" t="n">
        <v>0</v>
      </c>
      <c r="P3660" s="29" t="n">
        <v>0</v>
      </c>
      <c r="Q3660" s="29" t="n">
        <v>0</v>
      </c>
      <c r="R3660" s="29" t="n">
        <v>0</v>
      </c>
      <c r="S3660" s="29" t="n">
        <v>0</v>
      </c>
      <c r="T3660" t="inlineStr">
        <is>
          <t>25260626975620000130570010000073351001801079</t>
        </is>
      </c>
      <c r="U3660" t="inlineStr">
        <is>
          <t>Não</t>
        </is>
      </c>
    </row>
    <row r="3661">
      <c r="A3661" t="inlineStr">
        <is>
          <t>Frete de venda</t>
        </is>
      </c>
      <c r="B3661" t="inlineStr">
        <is>
          <t>2.01.02 Frete sobre Vendas</t>
        </is>
      </c>
      <c r="C3661" s="30" t="n">
        <v>46174</v>
      </c>
      <c r="D3661" t="inlineStr">
        <is>
          <t>Em 2026</t>
        </is>
      </c>
      <c r="E3661" s="28" t="n">
        <v>46186</v>
      </c>
      <c r="F3661" t="inlineStr">
        <is>
          <t>CT-e</t>
        </is>
      </c>
      <c r="G3661" t="inlineStr">
        <is>
          <t>000007336</t>
        </is>
      </c>
      <c r="H3661" t="inlineStr">
        <is>
          <t>R&amp;R TRANSPORTE E LOGISTICA</t>
        </is>
      </c>
      <c r="J3661" s="29" t="n">
        <v>540</v>
      </c>
      <c r="K3661" s="29">
        <f>(1-ISNUMBER(SEARCH("556",M3661)))*(O3661*SUMIFS(Premissas!$C$5:$C$44,Premissas!$A$5:$A$44,$A3661,Premissas!$B$5:$B$44,$B3661)+P3661*SUMIFS(Premissas!$D$5:$D$44,Premissas!$A$5:$A$44,$A3661,Premissas!$B$5:$B$44,$B3661))+R3661*SUMIFS(Premissas!$E$5:$E$44,Premissas!$A$5:$A$44,$A3661,Premissas!$B$5:$B$44,$B3661)+S3661*SUMIFS(Premissas!$F$5:$F$44,Premissas!$A$5:$A$44,$A3661,Premissas!$B$5:$B$44,$B3661)</f>
        <v/>
      </c>
      <c r="L3661" s="29">
        <f>J3661-K3661</f>
        <v/>
      </c>
      <c r="M3661" t="inlineStr">
        <is>
          <t>1.350</t>
        </is>
      </c>
      <c r="N3661" t="inlineStr">
        <is>
          <t>Modalidade: 0 - Por conta do remetente | Parte: IDEAL COMERCIO DE EMBALAGENS LTDA (09.485.481/0001-47)</t>
        </is>
      </c>
      <c r="O3661" s="29" t="n">
        <v>0</v>
      </c>
      <c r="P3661" s="29" t="n">
        <v>0</v>
      </c>
      <c r="Q3661" s="29" t="n">
        <v>0</v>
      </c>
      <c r="R3661" s="29" t="n">
        <v>0</v>
      </c>
      <c r="S3661" s="29" t="n">
        <v>0</v>
      </c>
      <c r="T3661" t="inlineStr">
        <is>
          <t>25260626975620000130570010000073361001501153</t>
        </is>
      </c>
      <c r="U3661" t="inlineStr">
        <is>
          <t>Não</t>
        </is>
      </c>
    </row>
    <row r="3662">
      <c r="A3662" t="inlineStr">
        <is>
          <t>Frete de venda</t>
        </is>
      </c>
      <c r="B3662" t="inlineStr">
        <is>
          <t>2.01.02 Frete sobre Vendas</t>
        </is>
      </c>
      <c r="C3662" s="30" t="n">
        <v>46174</v>
      </c>
      <c r="D3662" t="inlineStr">
        <is>
          <t>Em 2026</t>
        </is>
      </c>
      <c r="E3662" s="28" t="n">
        <v>46186</v>
      </c>
      <c r="F3662" t="inlineStr">
        <is>
          <t>CT-e</t>
        </is>
      </c>
      <c r="G3662" t="inlineStr">
        <is>
          <t>000007337</t>
        </is>
      </c>
      <c r="H3662" t="inlineStr">
        <is>
          <t>R&amp;R TRANSPORTE E LOGISTICA</t>
        </is>
      </c>
      <c r="J3662" s="29" t="n">
        <v>540</v>
      </c>
      <c r="K3662" s="29">
        <f>(1-ISNUMBER(SEARCH("556",M3662)))*(O3662*SUMIFS(Premissas!$C$5:$C$44,Premissas!$A$5:$A$44,$A3662,Premissas!$B$5:$B$44,$B3662)+P3662*SUMIFS(Premissas!$D$5:$D$44,Premissas!$A$5:$A$44,$A3662,Premissas!$B$5:$B$44,$B3662))+R3662*SUMIFS(Premissas!$E$5:$E$44,Premissas!$A$5:$A$44,$A3662,Premissas!$B$5:$B$44,$B3662)+S3662*SUMIFS(Premissas!$F$5:$F$44,Premissas!$A$5:$A$44,$A3662,Premissas!$B$5:$B$44,$B3662)</f>
        <v/>
      </c>
      <c r="L3662" s="29">
        <f>J3662-K3662</f>
        <v/>
      </c>
      <c r="M3662" t="inlineStr">
        <is>
          <t>1.350</t>
        </is>
      </c>
      <c r="N3662" t="inlineStr">
        <is>
          <t>Modalidade: 0 - Por conta do remetente | Parte: EDIVALDO BATISTA DOS SANTOS EMBALAGENS LTDA (03.624.188/0001-37)</t>
        </is>
      </c>
      <c r="O3662" s="29" t="n">
        <v>0</v>
      </c>
      <c r="P3662" s="29" t="n">
        <v>0</v>
      </c>
      <c r="Q3662" s="29" t="n">
        <v>0</v>
      </c>
      <c r="R3662" s="29" t="n">
        <v>0</v>
      </c>
      <c r="S3662" s="29" t="n">
        <v>0</v>
      </c>
      <c r="T3662" t="inlineStr">
        <is>
          <t>25260626975620000130570010000073371001201238</t>
        </is>
      </c>
      <c r="U3662" t="inlineStr">
        <is>
          <t>Não</t>
        </is>
      </c>
    </row>
    <row r="3663">
      <c r="A3663" t="inlineStr">
        <is>
          <t>Frete de venda</t>
        </is>
      </c>
      <c r="B3663" t="inlineStr">
        <is>
          <t>2.01.02 Frete sobre Vendas</t>
        </is>
      </c>
      <c r="C3663" s="30" t="n">
        <v>46174</v>
      </c>
      <c r="D3663" t="inlineStr">
        <is>
          <t>Em 2026</t>
        </is>
      </c>
      <c r="E3663" s="28" t="n">
        <v>46186</v>
      </c>
      <c r="F3663" t="inlineStr">
        <is>
          <t>CT-e</t>
        </is>
      </c>
      <c r="G3663" t="inlineStr">
        <is>
          <t>000007338</t>
        </is>
      </c>
      <c r="H3663" t="inlineStr">
        <is>
          <t>R&amp;R TRANSPORTE E LOGISTICA</t>
        </is>
      </c>
      <c r="J3663" s="29" t="n">
        <v>540</v>
      </c>
      <c r="K3663" s="29">
        <f>(1-ISNUMBER(SEARCH("556",M3663)))*(O3663*SUMIFS(Premissas!$C$5:$C$44,Premissas!$A$5:$A$44,$A3663,Premissas!$B$5:$B$44,$B3663)+P3663*SUMIFS(Premissas!$D$5:$D$44,Premissas!$A$5:$A$44,$A3663,Premissas!$B$5:$B$44,$B3663))+R3663*SUMIFS(Premissas!$E$5:$E$44,Premissas!$A$5:$A$44,$A3663,Premissas!$B$5:$B$44,$B3663)+S3663*SUMIFS(Premissas!$F$5:$F$44,Premissas!$A$5:$A$44,$A3663,Premissas!$B$5:$B$44,$B3663)</f>
        <v/>
      </c>
      <c r="L3663" s="29">
        <f>J3663-K3663</f>
        <v/>
      </c>
      <c r="M3663" t="inlineStr">
        <is>
          <t>1.350</t>
        </is>
      </c>
      <c r="N3663" t="inlineStr">
        <is>
          <t>Modalidade: 0 - Por conta do remetente | Parte: MIRAILDE MAZZE PEREIRA LTDA (55.507.471/0001-82)</t>
        </is>
      </c>
      <c r="O3663" s="29" t="n">
        <v>0</v>
      </c>
      <c r="P3663" s="29" t="n">
        <v>0</v>
      </c>
      <c r="Q3663" s="29" t="n">
        <v>0</v>
      </c>
      <c r="R3663" s="29" t="n">
        <v>0</v>
      </c>
      <c r="S3663" s="29" t="n">
        <v>0</v>
      </c>
      <c r="T3663" t="inlineStr">
        <is>
          <t>25260626975620000130570010000073381011001310</t>
        </is>
      </c>
      <c r="U3663" t="inlineStr">
        <is>
          <t>Não</t>
        </is>
      </c>
    </row>
    <row r="3664">
      <c r="A3664" t="inlineStr">
        <is>
          <t>Frete de venda</t>
        </is>
      </c>
      <c r="B3664" t="inlineStr">
        <is>
          <t>2.01.02 Frete sobre Vendas</t>
        </is>
      </c>
      <c r="C3664" s="30" t="n">
        <v>46174</v>
      </c>
      <c r="D3664" t="inlineStr">
        <is>
          <t>Em 2026</t>
        </is>
      </c>
      <c r="E3664" s="28" t="n">
        <v>46186</v>
      </c>
      <c r="F3664" t="inlineStr">
        <is>
          <t>CT-e</t>
        </is>
      </c>
      <c r="G3664" t="inlineStr">
        <is>
          <t>000007339</t>
        </is>
      </c>
      <c r="H3664" t="inlineStr">
        <is>
          <t>R&amp;R TRANSPORTE E LOGISTICA</t>
        </is>
      </c>
      <c r="J3664" s="29" t="n">
        <v>540</v>
      </c>
      <c r="K3664" s="29">
        <f>(1-ISNUMBER(SEARCH("556",M3664)))*(O3664*SUMIFS(Premissas!$C$5:$C$44,Premissas!$A$5:$A$44,$A3664,Premissas!$B$5:$B$44,$B3664)+P3664*SUMIFS(Premissas!$D$5:$D$44,Premissas!$A$5:$A$44,$A3664,Premissas!$B$5:$B$44,$B3664))+R3664*SUMIFS(Premissas!$E$5:$E$44,Premissas!$A$5:$A$44,$A3664,Premissas!$B$5:$B$44,$B3664)+S3664*SUMIFS(Premissas!$F$5:$F$44,Premissas!$A$5:$A$44,$A3664,Premissas!$B$5:$B$44,$B3664)</f>
        <v/>
      </c>
      <c r="L3664" s="29">
        <f>J3664-K3664</f>
        <v/>
      </c>
      <c r="M3664" t="inlineStr">
        <is>
          <t>1.350</t>
        </is>
      </c>
      <c r="N3664" t="inlineStr">
        <is>
          <t>Modalidade: 0 - Por conta do remetente | Parte: VLAJ EMBALAGENS LTDA (54.099.220/0001-43)</t>
        </is>
      </c>
      <c r="O3664" s="29" t="n">
        <v>0</v>
      </c>
      <c r="P3664" s="29" t="n">
        <v>0</v>
      </c>
      <c r="Q3664" s="29" t="n">
        <v>0</v>
      </c>
      <c r="R3664" s="29" t="n">
        <v>0</v>
      </c>
      <c r="S3664" s="29" t="n">
        <v>0</v>
      </c>
      <c r="T3664" t="inlineStr">
        <is>
          <t>25260626975620000130570010000073391001701391</t>
        </is>
      </c>
      <c r="U3664" t="inlineStr">
        <is>
          <t>Não</t>
        </is>
      </c>
    </row>
    <row r="3665">
      <c r="A3665" t="inlineStr">
        <is>
          <t>Frete de venda</t>
        </is>
      </c>
      <c r="B3665" t="inlineStr">
        <is>
          <t>2.01.02 Frete sobre Vendas</t>
        </is>
      </c>
      <c r="C3665" s="30" t="n">
        <v>46174</v>
      </c>
      <c r="D3665" t="inlineStr">
        <is>
          <t>Em 2026</t>
        </is>
      </c>
      <c r="E3665" s="28" t="n">
        <v>46186</v>
      </c>
      <c r="F3665" t="inlineStr">
        <is>
          <t>CT-e</t>
        </is>
      </c>
      <c r="G3665" t="inlineStr">
        <is>
          <t>000007340</t>
        </is>
      </c>
      <c r="H3665" t="inlineStr">
        <is>
          <t>R&amp;R TRANSPORTE E LOGISTICA</t>
        </is>
      </c>
      <c r="J3665" s="29" t="n">
        <v>540</v>
      </c>
      <c r="K3665" s="29">
        <f>(1-ISNUMBER(SEARCH("556",M3665)))*(O3665*SUMIFS(Premissas!$C$5:$C$44,Premissas!$A$5:$A$44,$A3665,Premissas!$B$5:$B$44,$B3665)+P3665*SUMIFS(Premissas!$D$5:$D$44,Premissas!$A$5:$A$44,$A3665,Premissas!$B$5:$B$44,$B3665))+R3665*SUMIFS(Premissas!$E$5:$E$44,Premissas!$A$5:$A$44,$A3665,Premissas!$B$5:$B$44,$B3665)+S3665*SUMIFS(Premissas!$F$5:$F$44,Premissas!$A$5:$A$44,$A3665,Premissas!$B$5:$B$44,$B3665)</f>
        <v/>
      </c>
      <c r="L3665" s="29">
        <f>J3665-K3665</f>
        <v/>
      </c>
      <c r="M3665" t="inlineStr">
        <is>
          <t>1.350</t>
        </is>
      </c>
      <c r="N3665" t="inlineStr">
        <is>
          <t>Modalidade: 0 - Por conta do remetente | Parte: DISTRIBUIDORA TIO LUIZ LTDA (07.750.620/0001-97)</t>
        </is>
      </c>
      <c r="O3665" s="29" t="n">
        <v>0</v>
      </c>
      <c r="P3665" s="29" t="n">
        <v>0</v>
      </c>
      <c r="Q3665" s="29" t="n">
        <v>0</v>
      </c>
      <c r="R3665" s="29" t="n">
        <v>0</v>
      </c>
      <c r="S3665" s="29" t="n">
        <v>0</v>
      </c>
      <c r="T3665" t="inlineStr">
        <is>
          <t>25260626975620000130570010000073401001401470</t>
        </is>
      </c>
      <c r="U3665" t="inlineStr">
        <is>
          <t>Não</t>
        </is>
      </c>
    </row>
    <row r="3666">
      <c r="A3666" t="inlineStr">
        <is>
          <t>Frete de venda</t>
        </is>
      </c>
      <c r="B3666" t="inlineStr">
        <is>
          <t>2.01.02 Frete sobre Vendas</t>
        </is>
      </c>
      <c r="C3666" s="30" t="n">
        <v>46174</v>
      </c>
      <c r="D3666" t="inlineStr">
        <is>
          <t>Em 2026</t>
        </is>
      </c>
      <c r="E3666" s="28" t="n">
        <v>46186</v>
      </c>
      <c r="F3666" t="inlineStr">
        <is>
          <t>CT-e</t>
        </is>
      </c>
      <c r="G3666" t="inlineStr">
        <is>
          <t>000007341</t>
        </is>
      </c>
      <c r="H3666" t="inlineStr">
        <is>
          <t>R&amp;R TRANSPORTE E LOGISTICA</t>
        </is>
      </c>
      <c r="J3666" s="29" t="n">
        <v>540</v>
      </c>
      <c r="K3666" s="29">
        <f>(1-ISNUMBER(SEARCH("556",M3666)))*(O3666*SUMIFS(Premissas!$C$5:$C$44,Premissas!$A$5:$A$44,$A3666,Premissas!$B$5:$B$44,$B3666)+P3666*SUMIFS(Premissas!$D$5:$D$44,Premissas!$A$5:$A$44,$A3666,Premissas!$B$5:$B$44,$B3666))+R3666*SUMIFS(Premissas!$E$5:$E$44,Premissas!$A$5:$A$44,$A3666,Premissas!$B$5:$B$44,$B3666)+S3666*SUMIFS(Premissas!$F$5:$F$44,Premissas!$A$5:$A$44,$A3666,Premissas!$B$5:$B$44,$B3666)</f>
        <v/>
      </c>
      <c r="L3666" s="29">
        <f>J3666-K3666</f>
        <v/>
      </c>
      <c r="M3666" t="inlineStr">
        <is>
          <t>1.350</t>
        </is>
      </c>
      <c r="N3666" t="inlineStr">
        <is>
          <t>Modalidade: 0 - Por conta do remetente | Parte: ALBUQUERQUE E FREIRE LTDA (09.358.347/0001-85)</t>
        </is>
      </c>
      <c r="O3666" s="29" t="n">
        <v>0</v>
      </c>
      <c r="P3666" s="29" t="n">
        <v>0</v>
      </c>
      <c r="Q3666" s="29" t="n">
        <v>0</v>
      </c>
      <c r="R3666" s="29" t="n">
        <v>0</v>
      </c>
      <c r="S3666" s="29" t="n">
        <v>0</v>
      </c>
      <c r="T3666" t="inlineStr">
        <is>
          <t>25260626975620000130570010000073411000150829</t>
        </is>
      </c>
      <c r="U3666" t="inlineStr">
        <is>
          <t>Não</t>
        </is>
      </c>
    </row>
    <row r="3667">
      <c r="A3667" t="inlineStr">
        <is>
          <t>Frete de venda</t>
        </is>
      </c>
      <c r="B3667" t="inlineStr">
        <is>
          <t>2.01.02 Frete sobre Vendas</t>
        </is>
      </c>
      <c r="C3667" s="30" t="n">
        <v>46174</v>
      </c>
      <c r="D3667" t="inlineStr">
        <is>
          <t>Em 2026</t>
        </is>
      </c>
      <c r="E3667" s="28" t="n">
        <v>46186</v>
      </c>
      <c r="F3667" t="inlineStr">
        <is>
          <t>CT-e</t>
        </is>
      </c>
      <c r="G3667" t="inlineStr">
        <is>
          <t>000007342</t>
        </is>
      </c>
      <c r="H3667" t="inlineStr">
        <is>
          <t>R&amp;R TRANSPORTE E LOGISTICA</t>
        </is>
      </c>
      <c r="J3667" s="29" t="n">
        <v>540</v>
      </c>
      <c r="K3667" s="29">
        <f>(1-ISNUMBER(SEARCH("556",M3667)))*(O3667*SUMIFS(Premissas!$C$5:$C$44,Premissas!$A$5:$A$44,$A3667,Premissas!$B$5:$B$44,$B3667)+P3667*SUMIFS(Premissas!$D$5:$D$44,Premissas!$A$5:$A$44,$A3667,Premissas!$B$5:$B$44,$B3667))+R3667*SUMIFS(Premissas!$E$5:$E$44,Premissas!$A$5:$A$44,$A3667,Premissas!$B$5:$B$44,$B3667)+S3667*SUMIFS(Premissas!$F$5:$F$44,Premissas!$A$5:$A$44,$A3667,Premissas!$B$5:$B$44,$B3667)</f>
        <v/>
      </c>
      <c r="L3667" s="29">
        <f>J3667-K3667</f>
        <v/>
      </c>
      <c r="M3667" t="inlineStr">
        <is>
          <t>1.350</t>
        </is>
      </c>
      <c r="N3667" t="inlineStr">
        <is>
          <t>Modalidade: 0 - Por conta do remetente | Parte: ALBUQUERQUE E FREIRE LTDA (09.358.347/0002-66)</t>
        </is>
      </c>
      <c r="O3667" s="29" t="n">
        <v>0</v>
      </c>
      <c r="P3667" s="29" t="n">
        <v>0</v>
      </c>
      <c r="Q3667" s="29" t="n">
        <v>0</v>
      </c>
      <c r="R3667" s="29" t="n">
        <v>0</v>
      </c>
      <c r="S3667" s="29" t="n">
        <v>0</v>
      </c>
      <c r="T3667" t="inlineStr">
        <is>
          <t>25260626975620000130570010000073421000120900</t>
        </is>
      </c>
      <c r="U3667" t="inlineStr">
        <is>
          <t>Não</t>
        </is>
      </c>
    </row>
    <row r="3668">
      <c r="A3668" t="inlineStr">
        <is>
          <t>Frete de venda</t>
        </is>
      </c>
      <c r="B3668" t="inlineStr">
        <is>
          <t>2.01.02 Frete sobre Vendas</t>
        </is>
      </c>
      <c r="C3668" s="30" t="n">
        <v>46174</v>
      </c>
      <c r="D3668" t="inlineStr">
        <is>
          <t>Em 2026</t>
        </is>
      </c>
      <c r="E3668" s="28" t="n">
        <v>46186</v>
      </c>
      <c r="F3668" t="inlineStr">
        <is>
          <t>CT-e</t>
        </is>
      </c>
      <c r="G3668" t="inlineStr">
        <is>
          <t>000007343</t>
        </is>
      </c>
      <c r="H3668" t="inlineStr">
        <is>
          <t>R&amp;R TRANSPORTE E LOGISTICA</t>
        </is>
      </c>
      <c r="J3668" s="29" t="n">
        <v>540</v>
      </c>
      <c r="K3668" s="29">
        <f>(1-ISNUMBER(SEARCH("556",M3668)))*(O3668*SUMIFS(Premissas!$C$5:$C$44,Premissas!$A$5:$A$44,$A3668,Premissas!$B$5:$B$44,$B3668)+P3668*SUMIFS(Premissas!$D$5:$D$44,Premissas!$A$5:$A$44,$A3668,Premissas!$B$5:$B$44,$B3668))+R3668*SUMIFS(Premissas!$E$5:$E$44,Premissas!$A$5:$A$44,$A3668,Premissas!$B$5:$B$44,$B3668)+S3668*SUMIFS(Premissas!$F$5:$F$44,Premissas!$A$5:$A$44,$A3668,Premissas!$B$5:$B$44,$B3668)</f>
        <v/>
      </c>
      <c r="L3668" s="29">
        <f>J3668-K3668</f>
        <v/>
      </c>
      <c r="M3668" t="inlineStr">
        <is>
          <t>1.350</t>
        </is>
      </c>
      <c r="N3668" t="inlineStr">
        <is>
          <t>Modalidade: 0 - Por conta do remetente | Parte: ALBUQUERQUE DISTRIBUIDORA DE ALIMENTOS LTDA (29.295.287/0001-06)</t>
        </is>
      </c>
      <c r="O3668" s="29" t="n">
        <v>0</v>
      </c>
      <c r="P3668" s="29" t="n">
        <v>0</v>
      </c>
      <c r="Q3668" s="29" t="n">
        <v>0</v>
      </c>
      <c r="R3668" s="29" t="n">
        <v>0</v>
      </c>
      <c r="S3668" s="29" t="n">
        <v>0</v>
      </c>
      <c r="T3668" t="inlineStr">
        <is>
          <t>25260626975620000130570010000073431001100986</t>
        </is>
      </c>
      <c r="U3668" t="inlineStr">
        <is>
          <t>Não</t>
        </is>
      </c>
    </row>
    <row r="3669">
      <c r="A3669" t="inlineStr">
        <is>
          <t>Frete de venda</t>
        </is>
      </c>
      <c r="B3669" t="inlineStr">
        <is>
          <t>2.01.02 Frete sobre Vendas</t>
        </is>
      </c>
      <c r="C3669" s="30" t="n">
        <v>46174</v>
      </c>
      <c r="D3669" t="inlineStr">
        <is>
          <t>Em 2026</t>
        </is>
      </c>
      <c r="E3669" s="28" t="n">
        <v>46186</v>
      </c>
      <c r="F3669" t="inlineStr">
        <is>
          <t>CT-e</t>
        </is>
      </c>
      <c r="G3669" t="inlineStr">
        <is>
          <t>000007344</t>
        </is>
      </c>
      <c r="H3669" t="inlineStr">
        <is>
          <t>R&amp;R TRANSPORTE E LOGISTICA</t>
        </is>
      </c>
      <c r="J3669" s="29" t="n">
        <v>540</v>
      </c>
      <c r="K3669" s="29">
        <f>(1-ISNUMBER(SEARCH("556",M3669)))*(O3669*SUMIFS(Premissas!$C$5:$C$44,Premissas!$A$5:$A$44,$A3669,Premissas!$B$5:$B$44,$B3669)+P3669*SUMIFS(Premissas!$D$5:$D$44,Premissas!$A$5:$A$44,$A3669,Premissas!$B$5:$B$44,$B3669))+R3669*SUMIFS(Premissas!$E$5:$E$44,Premissas!$A$5:$A$44,$A3669,Premissas!$B$5:$B$44,$B3669)+S3669*SUMIFS(Premissas!$F$5:$F$44,Premissas!$A$5:$A$44,$A3669,Premissas!$B$5:$B$44,$B3669)</f>
        <v/>
      </c>
      <c r="L3669" s="29">
        <f>J3669-K3669</f>
        <v/>
      </c>
      <c r="M3669" t="inlineStr">
        <is>
          <t>1.350</t>
        </is>
      </c>
      <c r="N3669" t="inlineStr">
        <is>
          <t>Modalidade: 0 - Por conta do remetente | Parte: PLASTIPEL EMBALAGENS E DESCARTAVEIS (36.091.781/0001-14)</t>
        </is>
      </c>
      <c r="O3669" s="29" t="n">
        <v>0</v>
      </c>
      <c r="P3669" s="29" t="n">
        <v>0</v>
      </c>
      <c r="Q3669" s="29" t="n">
        <v>0</v>
      </c>
      <c r="R3669" s="29" t="n">
        <v>0</v>
      </c>
      <c r="S3669" s="29" t="n">
        <v>0</v>
      </c>
      <c r="T3669" t="inlineStr">
        <is>
          <t>25260626975620000130570010000073441001701065</t>
        </is>
      </c>
      <c r="U3669" t="inlineStr">
        <is>
          <t>Não</t>
        </is>
      </c>
    </row>
    <row r="3670">
      <c r="A3670" t="inlineStr">
        <is>
          <t>Frete de venda</t>
        </is>
      </c>
      <c r="B3670" t="inlineStr">
        <is>
          <t>2.01.02 Frete sobre Vendas</t>
        </is>
      </c>
      <c r="C3670" s="30" t="n">
        <v>46174</v>
      </c>
      <c r="D3670" t="inlineStr">
        <is>
          <t>Em 2026</t>
        </is>
      </c>
      <c r="E3670" s="28" t="n">
        <v>46186</v>
      </c>
      <c r="F3670" t="inlineStr">
        <is>
          <t>CT-e</t>
        </is>
      </c>
      <c r="G3670" t="inlineStr">
        <is>
          <t>000007345</t>
        </is>
      </c>
      <c r="H3670" t="inlineStr">
        <is>
          <t>R&amp;R TRANSPORTE E LOGISTICA</t>
        </is>
      </c>
      <c r="J3670" s="29" t="n">
        <v>540</v>
      </c>
      <c r="K3670" s="29">
        <f>(1-ISNUMBER(SEARCH("556",M3670)))*(O3670*SUMIFS(Premissas!$C$5:$C$44,Premissas!$A$5:$A$44,$A3670,Premissas!$B$5:$B$44,$B3670)+P3670*SUMIFS(Premissas!$D$5:$D$44,Premissas!$A$5:$A$44,$A3670,Premissas!$B$5:$B$44,$B3670))+R3670*SUMIFS(Premissas!$E$5:$E$44,Premissas!$A$5:$A$44,$A3670,Premissas!$B$5:$B$44,$B3670)+S3670*SUMIFS(Premissas!$F$5:$F$44,Premissas!$A$5:$A$44,$A3670,Premissas!$B$5:$B$44,$B3670)</f>
        <v/>
      </c>
      <c r="L3670" s="29">
        <f>J3670-K3670</f>
        <v/>
      </c>
      <c r="M3670" t="inlineStr">
        <is>
          <t>1.350</t>
        </is>
      </c>
      <c r="N3670" t="inlineStr">
        <is>
          <t>Modalidade: 0 - Por conta do remetente | Parte: F. G. ANDRADE FRIOS (14.045.333/0001-41)</t>
        </is>
      </c>
      <c r="O3670" s="29" t="n">
        <v>0</v>
      </c>
      <c r="P3670" s="29" t="n">
        <v>0</v>
      </c>
      <c r="Q3670" s="29" t="n">
        <v>0</v>
      </c>
      <c r="R3670" s="29" t="n">
        <v>0</v>
      </c>
      <c r="S3670" s="29" t="n">
        <v>0</v>
      </c>
      <c r="T3670" t="inlineStr">
        <is>
          <t>25260626975620000130570010000073451001401140</t>
        </is>
      </c>
      <c r="U3670" t="inlineStr">
        <is>
          <t>Não</t>
        </is>
      </c>
    </row>
    <row r="3671">
      <c r="A3671" t="inlineStr">
        <is>
          <t>Frete de venda</t>
        </is>
      </c>
      <c r="B3671" t="inlineStr">
        <is>
          <t>2.01.02 Frete sobre Vendas</t>
        </is>
      </c>
      <c r="C3671" s="30" t="n">
        <v>46174</v>
      </c>
      <c r="D3671" t="inlineStr">
        <is>
          <t>Em 2026</t>
        </is>
      </c>
      <c r="E3671" s="28" t="n">
        <v>46186</v>
      </c>
      <c r="F3671" t="inlineStr">
        <is>
          <t>CT-e</t>
        </is>
      </c>
      <c r="G3671" t="inlineStr">
        <is>
          <t>000007346</t>
        </is>
      </c>
      <c r="H3671" t="inlineStr">
        <is>
          <t>R&amp;R TRANSPORTE E LOGISTICA</t>
        </is>
      </c>
      <c r="J3671" s="29" t="n">
        <v>540</v>
      </c>
      <c r="K3671" s="29">
        <f>(1-ISNUMBER(SEARCH("556",M3671)))*(O3671*SUMIFS(Premissas!$C$5:$C$44,Premissas!$A$5:$A$44,$A3671,Premissas!$B$5:$B$44,$B3671)+P3671*SUMIFS(Premissas!$D$5:$D$44,Premissas!$A$5:$A$44,$A3671,Premissas!$B$5:$B$44,$B3671))+R3671*SUMIFS(Premissas!$E$5:$E$44,Premissas!$A$5:$A$44,$A3671,Premissas!$B$5:$B$44,$B3671)+S3671*SUMIFS(Premissas!$F$5:$F$44,Premissas!$A$5:$A$44,$A3671,Premissas!$B$5:$B$44,$B3671)</f>
        <v/>
      </c>
      <c r="L3671" s="29">
        <f>J3671-K3671</f>
        <v/>
      </c>
      <c r="M3671" t="inlineStr">
        <is>
          <t>1.350</t>
        </is>
      </c>
      <c r="N3671" t="inlineStr">
        <is>
          <t>Modalidade: 0 - Por conta do remetente | Parte: S PESSOA DISTRIBUIDOR IMPORT E EXPORT LTDA (04.823.214/0001-19)</t>
        </is>
      </c>
      <c r="O3671" s="29" t="n">
        <v>0</v>
      </c>
      <c r="P3671" s="29" t="n">
        <v>0</v>
      </c>
      <c r="Q3671" s="29" t="n">
        <v>0</v>
      </c>
      <c r="R3671" s="29" t="n">
        <v>0</v>
      </c>
      <c r="S3671" s="29" t="n">
        <v>0</v>
      </c>
      <c r="T3671" t="inlineStr">
        <is>
          <t>25260626975620000130570010000073461001101224</t>
        </is>
      </c>
      <c r="U3671" t="inlineStr">
        <is>
          <t>Não</t>
        </is>
      </c>
    </row>
    <row r="3672">
      <c r="A3672" t="inlineStr">
        <is>
          <t>Frete de venda</t>
        </is>
      </c>
      <c r="B3672" t="inlineStr">
        <is>
          <t>2.01.02 Frete sobre Vendas</t>
        </is>
      </c>
      <c r="C3672" s="30" t="n">
        <v>46174</v>
      </c>
      <c r="D3672" t="inlineStr">
        <is>
          <t>Em 2026</t>
        </is>
      </c>
      <c r="E3672" s="28" t="n">
        <v>46186</v>
      </c>
      <c r="F3672" t="inlineStr">
        <is>
          <t>CT-e</t>
        </is>
      </c>
      <c r="G3672" t="inlineStr">
        <is>
          <t>000007347</t>
        </is>
      </c>
      <c r="H3672" t="inlineStr">
        <is>
          <t>R&amp;R TRANSPORTE E LOGISTICA</t>
        </is>
      </c>
      <c r="J3672" s="29" t="n">
        <v>225.69</v>
      </c>
      <c r="K3672" s="29">
        <f>(1-ISNUMBER(SEARCH("556",M3672)))*(O3672*SUMIFS(Premissas!$C$5:$C$44,Premissas!$A$5:$A$44,$A3672,Premissas!$B$5:$B$44,$B3672)+P3672*SUMIFS(Premissas!$D$5:$D$44,Premissas!$A$5:$A$44,$A3672,Premissas!$B$5:$B$44,$B3672))+R3672*SUMIFS(Premissas!$E$5:$E$44,Premissas!$A$5:$A$44,$A3672,Premissas!$B$5:$B$44,$B3672)+S3672*SUMIFS(Premissas!$F$5:$F$44,Premissas!$A$5:$A$44,$A3672,Premissas!$B$5:$B$44,$B3672)</f>
        <v/>
      </c>
      <c r="L3672" s="29">
        <f>J3672-K3672</f>
        <v/>
      </c>
      <c r="M3672" t="inlineStr">
        <is>
          <t>1.350</t>
        </is>
      </c>
      <c r="N3672" t="inlineStr">
        <is>
          <t>Modalidade: 0 - Por conta do remetente | Parte: BRASILPLAST EMBALAGENS E DESCARTAVEIS LTDA (02.771.903/0001-00)</t>
        </is>
      </c>
      <c r="O3672" s="29" t="n">
        <v>0</v>
      </c>
      <c r="P3672" s="29" t="n">
        <v>0</v>
      </c>
      <c r="Q3672" s="29" t="n">
        <v>0</v>
      </c>
      <c r="R3672" s="29" t="n">
        <v>0</v>
      </c>
      <c r="S3672" s="29" t="n">
        <v>0</v>
      </c>
      <c r="T3672" t="inlineStr">
        <is>
          <t>25260626975620000130570010000073471001901309</t>
        </is>
      </c>
      <c r="U3672" t="inlineStr">
        <is>
          <t>Não</t>
        </is>
      </c>
    </row>
    <row r="3673">
      <c r="A3673" t="inlineStr">
        <is>
          <t>Frete de venda</t>
        </is>
      </c>
      <c r="B3673" t="inlineStr">
        <is>
          <t>2.01.02 Frete sobre Vendas</t>
        </is>
      </c>
      <c r="C3673" s="30" t="n">
        <v>46174</v>
      </c>
      <c r="D3673" t="inlineStr">
        <is>
          <t>Em 2026</t>
        </is>
      </c>
      <c r="E3673" s="28" t="n">
        <v>46186</v>
      </c>
      <c r="F3673" t="inlineStr">
        <is>
          <t>CT-e</t>
        </is>
      </c>
      <c r="G3673" t="inlineStr">
        <is>
          <t>000007348</t>
        </is>
      </c>
      <c r="H3673" t="inlineStr">
        <is>
          <t>R&amp;R TRANSPORTE E LOGISTICA</t>
        </is>
      </c>
      <c r="J3673" s="29" t="n">
        <v>30.46</v>
      </c>
      <c r="K3673" s="29">
        <f>(1-ISNUMBER(SEARCH("556",M3673)))*(O3673*SUMIFS(Premissas!$C$5:$C$44,Premissas!$A$5:$A$44,$A3673,Premissas!$B$5:$B$44,$B3673)+P3673*SUMIFS(Premissas!$D$5:$D$44,Premissas!$A$5:$A$44,$A3673,Premissas!$B$5:$B$44,$B3673))+R3673*SUMIFS(Premissas!$E$5:$E$44,Premissas!$A$5:$A$44,$A3673,Premissas!$B$5:$B$44,$B3673)+S3673*SUMIFS(Premissas!$F$5:$F$44,Premissas!$A$5:$A$44,$A3673,Premissas!$B$5:$B$44,$B3673)</f>
        <v/>
      </c>
      <c r="L3673" s="29">
        <f>J3673-K3673</f>
        <v/>
      </c>
      <c r="M3673" t="inlineStr">
        <is>
          <t>1.350</t>
        </is>
      </c>
      <c r="N3673" t="inlineStr">
        <is>
          <t>Modalidade: 0 - Por conta do remetente | Parte: PANTER COMERCIO DE ALIMENTOS E DESCARTAVEIS LTDA (65.277.949/0001-89)</t>
        </is>
      </c>
      <c r="O3673" s="29" t="n">
        <v>0</v>
      </c>
      <c r="P3673" s="29" t="n">
        <v>0</v>
      </c>
      <c r="Q3673" s="29" t="n">
        <v>0</v>
      </c>
      <c r="R3673" s="29" t="n">
        <v>0</v>
      </c>
      <c r="S3673" s="29" t="n">
        <v>0</v>
      </c>
      <c r="T3673" t="inlineStr">
        <is>
          <t>25260626975620000130570010000073481001601388</t>
        </is>
      </c>
      <c r="U3673" t="inlineStr">
        <is>
          <t>Não</t>
        </is>
      </c>
    </row>
    <row r="3674">
      <c r="A3674" t="inlineStr">
        <is>
          <t>Frete de venda</t>
        </is>
      </c>
      <c r="B3674" t="inlineStr">
        <is>
          <t>2.01.02 Frete sobre Vendas</t>
        </is>
      </c>
      <c r="C3674" s="30" t="n">
        <v>46174</v>
      </c>
      <c r="D3674" t="inlineStr">
        <is>
          <t>Em 2026</t>
        </is>
      </c>
      <c r="E3674" s="28" t="n">
        <v>46186</v>
      </c>
      <c r="F3674" t="inlineStr">
        <is>
          <t>CT-e</t>
        </is>
      </c>
      <c r="G3674" t="inlineStr">
        <is>
          <t>000007349</t>
        </is>
      </c>
      <c r="H3674" t="inlineStr">
        <is>
          <t>R&amp;R TRANSPORTE E LOGISTICA</t>
        </is>
      </c>
      <c r="J3674" s="29" t="n">
        <v>198.27</v>
      </c>
      <c r="K3674" s="29">
        <f>(1-ISNUMBER(SEARCH("556",M3674)))*(O3674*SUMIFS(Premissas!$C$5:$C$44,Premissas!$A$5:$A$44,$A3674,Premissas!$B$5:$B$44,$B3674)+P3674*SUMIFS(Premissas!$D$5:$D$44,Premissas!$A$5:$A$44,$A3674,Premissas!$B$5:$B$44,$B3674))+R3674*SUMIFS(Premissas!$E$5:$E$44,Premissas!$A$5:$A$44,$A3674,Premissas!$B$5:$B$44,$B3674)+S3674*SUMIFS(Premissas!$F$5:$F$44,Premissas!$A$5:$A$44,$A3674,Premissas!$B$5:$B$44,$B3674)</f>
        <v/>
      </c>
      <c r="L3674" s="29">
        <f>J3674-K3674</f>
        <v/>
      </c>
      <c r="M3674" t="inlineStr">
        <is>
          <t>1.350</t>
        </is>
      </c>
      <c r="N3674" t="inlineStr">
        <is>
          <t>Modalidade: 0 - Por conta do remetente | Parte: EMBALAMONTES COMERCIO DE EMBALAGENS LTDA (09.397.478/0001-71)</t>
        </is>
      </c>
      <c r="O3674" s="29" t="n">
        <v>0</v>
      </c>
      <c r="P3674" s="29" t="n">
        <v>0</v>
      </c>
      <c r="Q3674" s="29" t="n">
        <v>0</v>
      </c>
      <c r="R3674" s="29" t="n">
        <v>0</v>
      </c>
      <c r="S3674" s="29" t="n">
        <v>0</v>
      </c>
      <c r="T3674" t="inlineStr">
        <is>
          <t>25260626975620000130570010000073491001301462</t>
        </is>
      </c>
      <c r="U3674" t="inlineStr">
        <is>
          <t>Não</t>
        </is>
      </c>
    </row>
    <row r="3675">
      <c r="A3675" t="inlineStr">
        <is>
          <t>Frete de venda</t>
        </is>
      </c>
      <c r="B3675" t="inlineStr">
        <is>
          <t>2.01.02 Frete sobre Vendas</t>
        </is>
      </c>
      <c r="C3675" s="30" t="n">
        <v>46174</v>
      </c>
      <c r="D3675" t="inlineStr">
        <is>
          <t>Em 2026</t>
        </is>
      </c>
      <c r="E3675" s="28" t="n">
        <v>46189</v>
      </c>
      <c r="F3675" t="inlineStr">
        <is>
          <t>CT-e</t>
        </is>
      </c>
      <c r="G3675" t="inlineStr">
        <is>
          <t>000007356</t>
        </is>
      </c>
      <c r="H3675" t="inlineStr">
        <is>
          <t>R&amp;R TRANSPORTE E LOGISTICA</t>
        </is>
      </c>
      <c r="J3675" s="29" t="n">
        <v>22.36</v>
      </c>
      <c r="K3675" s="29">
        <f>(1-ISNUMBER(SEARCH("556",M3675)))*(O3675*SUMIFS(Premissas!$C$5:$C$44,Premissas!$A$5:$A$44,$A3675,Premissas!$B$5:$B$44,$B3675)+P3675*SUMIFS(Premissas!$D$5:$D$44,Premissas!$A$5:$A$44,$A3675,Premissas!$B$5:$B$44,$B3675))+R3675*SUMIFS(Premissas!$E$5:$E$44,Premissas!$A$5:$A$44,$A3675,Premissas!$B$5:$B$44,$B3675)+S3675*SUMIFS(Premissas!$F$5:$F$44,Premissas!$A$5:$A$44,$A3675,Premissas!$B$5:$B$44,$B3675)</f>
        <v/>
      </c>
      <c r="L3675" s="29">
        <f>J3675-K3675</f>
        <v/>
      </c>
      <c r="M3675" t="inlineStr">
        <is>
          <t>1.350</t>
        </is>
      </c>
      <c r="N3675" t="inlineStr">
        <is>
          <t>Modalidade: 0 - Por conta do remetente | Parte: ARMAZEM DO QUEIJO ATACAREJO LTDA (47.477.316/0001-32)</t>
        </is>
      </c>
      <c r="O3675" s="29" t="n">
        <v>0</v>
      </c>
      <c r="P3675" s="29" t="n">
        <v>0</v>
      </c>
      <c r="Q3675" s="29" t="n">
        <v>0</v>
      </c>
      <c r="R3675" s="29" t="n">
        <v>0</v>
      </c>
      <c r="S3675" s="29" t="n">
        <v>0</v>
      </c>
      <c r="T3675" t="inlineStr">
        <is>
          <t>25260626975620000130570010000073561001201454</t>
        </is>
      </c>
      <c r="U3675" t="inlineStr">
        <is>
          <t>Não</t>
        </is>
      </c>
    </row>
    <row r="3676">
      <c r="A3676" t="inlineStr">
        <is>
          <t>Frete de venda</t>
        </is>
      </c>
      <c r="B3676" t="inlineStr">
        <is>
          <t>2.01.02 Frete sobre Vendas</t>
        </is>
      </c>
      <c r="C3676" s="30" t="n">
        <v>46174</v>
      </c>
      <c r="D3676" t="inlineStr">
        <is>
          <t>Em 2026</t>
        </is>
      </c>
      <c r="E3676" s="28" t="n">
        <v>46189</v>
      </c>
      <c r="F3676" t="inlineStr">
        <is>
          <t>CT-e</t>
        </is>
      </c>
      <c r="G3676" t="inlineStr">
        <is>
          <t>000007357</t>
        </is>
      </c>
      <c r="H3676" t="inlineStr">
        <is>
          <t>R&amp;R TRANSPORTE E LOGISTICA</t>
        </is>
      </c>
      <c r="J3676" s="29" t="n">
        <v>29.29</v>
      </c>
      <c r="K3676" s="29">
        <f>(1-ISNUMBER(SEARCH("556",M3676)))*(O3676*SUMIFS(Premissas!$C$5:$C$44,Premissas!$A$5:$A$44,$A3676,Premissas!$B$5:$B$44,$B3676)+P3676*SUMIFS(Premissas!$D$5:$D$44,Premissas!$A$5:$A$44,$A3676,Premissas!$B$5:$B$44,$B3676))+R3676*SUMIFS(Premissas!$E$5:$E$44,Premissas!$A$5:$A$44,$A3676,Premissas!$B$5:$B$44,$B3676)+S3676*SUMIFS(Premissas!$F$5:$F$44,Premissas!$A$5:$A$44,$A3676,Premissas!$B$5:$B$44,$B3676)</f>
        <v/>
      </c>
      <c r="L3676" s="29">
        <f>J3676-K3676</f>
        <v/>
      </c>
      <c r="M3676" t="inlineStr">
        <is>
          <t>1.350</t>
        </is>
      </c>
      <c r="N3676" t="inlineStr">
        <is>
          <t>Modalidade: 0 - Por conta do remetente | Parte: EDILANE DE SOUZA SILVA (48.163.209/0001-00)</t>
        </is>
      </c>
      <c r="O3676" s="29" t="n">
        <v>0</v>
      </c>
      <c r="P3676" s="29" t="n">
        <v>0</v>
      </c>
      <c r="Q3676" s="29" t="n">
        <v>0</v>
      </c>
      <c r="R3676" s="29" t="n">
        <v>0</v>
      </c>
      <c r="S3676" s="29" t="n">
        <v>0</v>
      </c>
      <c r="T3676" t="inlineStr">
        <is>
          <t>25260626975620000130570010000073571011001536</t>
        </is>
      </c>
      <c r="U3676" t="inlineStr">
        <is>
          <t>Não</t>
        </is>
      </c>
    </row>
    <row r="3677">
      <c r="A3677" t="inlineStr">
        <is>
          <t>Frete de venda</t>
        </is>
      </c>
      <c r="B3677" t="inlineStr">
        <is>
          <t>2.01.02 Frete sobre Vendas</t>
        </is>
      </c>
      <c r="C3677" s="30" t="n">
        <v>46174</v>
      </c>
      <c r="D3677" t="inlineStr">
        <is>
          <t>Em 2026</t>
        </is>
      </c>
      <c r="E3677" s="28" t="n">
        <v>46189</v>
      </c>
      <c r="F3677" t="inlineStr">
        <is>
          <t>CT-e</t>
        </is>
      </c>
      <c r="G3677" t="inlineStr">
        <is>
          <t>000007358</t>
        </is>
      </c>
      <c r="H3677" t="inlineStr">
        <is>
          <t>R&amp;R TRANSPORTE E LOGISTICA</t>
        </is>
      </c>
      <c r="J3677" s="29" t="n">
        <v>87.98999999999999</v>
      </c>
      <c r="K3677" s="29">
        <f>(1-ISNUMBER(SEARCH("556",M3677)))*(O3677*SUMIFS(Premissas!$C$5:$C$44,Premissas!$A$5:$A$44,$A3677,Premissas!$B$5:$B$44,$B3677)+P3677*SUMIFS(Premissas!$D$5:$D$44,Premissas!$A$5:$A$44,$A3677,Premissas!$B$5:$B$44,$B3677))+R3677*SUMIFS(Premissas!$E$5:$E$44,Premissas!$A$5:$A$44,$A3677,Premissas!$B$5:$B$44,$B3677)+S3677*SUMIFS(Premissas!$F$5:$F$44,Premissas!$A$5:$A$44,$A3677,Premissas!$B$5:$B$44,$B3677)</f>
        <v/>
      </c>
      <c r="L3677" s="29">
        <f>J3677-K3677</f>
        <v/>
      </c>
      <c r="M3677" t="inlineStr">
        <is>
          <t>1.350</t>
        </is>
      </c>
      <c r="N3677" t="inlineStr">
        <is>
          <t>Modalidade: 0 - Por conta do remetente | Parte: RODRIGUES E CIA LTDA (26.144.570/0001-49)</t>
        </is>
      </c>
      <c r="O3677" s="29" t="n">
        <v>0</v>
      </c>
      <c r="P3677" s="29" t="n">
        <v>0</v>
      </c>
      <c r="Q3677" s="29" t="n">
        <v>0</v>
      </c>
      <c r="R3677" s="29" t="n">
        <v>0</v>
      </c>
      <c r="S3677" s="29" t="n">
        <v>0</v>
      </c>
      <c r="T3677" t="inlineStr">
        <is>
          <t>25260626975620000130570010000073581001701613</t>
        </is>
      </c>
      <c r="U3677" t="inlineStr">
        <is>
          <t>Não</t>
        </is>
      </c>
    </row>
    <row r="3678">
      <c r="A3678" t="inlineStr">
        <is>
          <t>Frete de venda</t>
        </is>
      </c>
      <c r="B3678" t="inlineStr">
        <is>
          <t>2.01.02 Frete sobre Vendas</t>
        </is>
      </c>
      <c r="C3678" s="30" t="n">
        <v>46174</v>
      </c>
      <c r="D3678" t="inlineStr">
        <is>
          <t>Em 2026</t>
        </is>
      </c>
      <c r="E3678" s="28" t="n">
        <v>46189</v>
      </c>
      <c r="F3678" t="inlineStr">
        <is>
          <t>CT-e</t>
        </is>
      </c>
      <c r="G3678" t="inlineStr">
        <is>
          <t>000007359</t>
        </is>
      </c>
      <c r="H3678" t="inlineStr">
        <is>
          <t>R&amp;R TRANSPORTE E LOGISTICA</t>
        </is>
      </c>
      <c r="J3678" s="29" t="n">
        <v>27.17</v>
      </c>
      <c r="K3678" s="29">
        <f>(1-ISNUMBER(SEARCH("556",M3678)))*(O3678*SUMIFS(Premissas!$C$5:$C$44,Premissas!$A$5:$A$44,$A3678,Premissas!$B$5:$B$44,$B3678)+P3678*SUMIFS(Premissas!$D$5:$D$44,Premissas!$A$5:$A$44,$A3678,Premissas!$B$5:$B$44,$B3678))+R3678*SUMIFS(Premissas!$E$5:$E$44,Premissas!$A$5:$A$44,$A3678,Premissas!$B$5:$B$44,$B3678)+S3678*SUMIFS(Premissas!$F$5:$F$44,Premissas!$A$5:$A$44,$A3678,Premissas!$B$5:$B$44,$B3678)</f>
        <v/>
      </c>
      <c r="L3678" s="29">
        <f>J3678-K3678</f>
        <v/>
      </c>
      <c r="M3678" t="inlineStr">
        <is>
          <t>1.350</t>
        </is>
      </c>
      <c r="N3678" t="inlineStr">
        <is>
          <t>Modalidade: 0 - Por conta do remetente | Parte: JAB IMPORTACAO E EXPORTACAO LTDA (21.938.705/0002-05)</t>
        </is>
      </c>
      <c r="O3678" s="29" t="n">
        <v>0</v>
      </c>
      <c r="P3678" s="29" t="n">
        <v>0</v>
      </c>
      <c r="Q3678" s="29" t="n">
        <v>0</v>
      </c>
      <c r="R3678" s="29" t="n">
        <v>0</v>
      </c>
      <c r="S3678" s="29" t="n">
        <v>0</v>
      </c>
      <c r="T3678" t="inlineStr">
        <is>
          <t>25260626975620000130570010000073591000180960</t>
        </is>
      </c>
      <c r="U3678" t="inlineStr">
        <is>
          <t>Não</t>
        </is>
      </c>
    </row>
    <row r="3679">
      <c r="A3679" t="inlineStr">
        <is>
          <t>Frete de venda</t>
        </is>
      </c>
      <c r="B3679" t="inlineStr">
        <is>
          <t>2.01.02 Frete sobre Vendas</t>
        </is>
      </c>
      <c r="C3679" s="30" t="n">
        <v>46174</v>
      </c>
      <c r="D3679" t="inlineStr">
        <is>
          <t>Em 2026</t>
        </is>
      </c>
      <c r="E3679" s="28" t="n">
        <v>46189</v>
      </c>
      <c r="F3679" t="inlineStr">
        <is>
          <t>CT-e</t>
        </is>
      </c>
      <c r="G3679" t="inlineStr">
        <is>
          <t>000007360</t>
        </is>
      </c>
      <c r="H3679" t="inlineStr">
        <is>
          <t>R&amp;R TRANSPORTE E LOGISTICA</t>
        </is>
      </c>
      <c r="J3679" s="29" t="n">
        <v>41.88</v>
      </c>
      <c r="K3679" s="29">
        <f>(1-ISNUMBER(SEARCH("556",M3679)))*(O3679*SUMIFS(Premissas!$C$5:$C$44,Premissas!$A$5:$A$44,$A3679,Premissas!$B$5:$B$44,$B3679)+P3679*SUMIFS(Premissas!$D$5:$D$44,Premissas!$A$5:$A$44,$A3679,Premissas!$B$5:$B$44,$B3679))+R3679*SUMIFS(Premissas!$E$5:$E$44,Premissas!$A$5:$A$44,$A3679,Premissas!$B$5:$B$44,$B3679)+S3679*SUMIFS(Premissas!$F$5:$F$44,Premissas!$A$5:$A$44,$A3679,Premissas!$B$5:$B$44,$B3679)</f>
        <v/>
      </c>
      <c r="L3679" s="29">
        <f>J3679-K3679</f>
        <v/>
      </c>
      <c r="M3679" t="inlineStr">
        <is>
          <t>1.350</t>
        </is>
      </c>
      <c r="N3679" t="inlineStr">
        <is>
          <t>Modalidade: 0 - Por conta do remetente | Parte: PALMAS ATACADO DE EMBALAGENS LTDA (17.069.189/0001-71)</t>
        </is>
      </c>
      <c r="O3679" s="29" t="n">
        <v>0</v>
      </c>
      <c r="P3679" s="29" t="n">
        <v>0</v>
      </c>
      <c r="Q3679" s="29" t="n">
        <v>0</v>
      </c>
      <c r="R3679" s="29" t="n">
        <v>0</v>
      </c>
      <c r="S3679" s="29" t="n">
        <v>0</v>
      </c>
      <c r="T3679" t="inlineStr">
        <is>
          <t>25260626975620000130570010000073601001501043</t>
        </is>
      </c>
      <c r="U3679" t="inlineStr">
        <is>
          <t>Não</t>
        </is>
      </c>
    </row>
    <row r="3680">
      <c r="A3680" t="inlineStr">
        <is>
          <t>Frete de venda</t>
        </is>
      </c>
      <c r="B3680" t="inlineStr">
        <is>
          <t>2.01.02 Frete sobre Vendas</t>
        </is>
      </c>
      <c r="C3680" s="30" t="n">
        <v>46174</v>
      </c>
      <c r="D3680" t="inlineStr">
        <is>
          <t>Em 2026</t>
        </is>
      </c>
      <c r="E3680" s="28" t="n">
        <v>46189</v>
      </c>
      <c r="F3680" t="inlineStr">
        <is>
          <t>CT-e</t>
        </is>
      </c>
      <c r="G3680" t="inlineStr">
        <is>
          <t>000007361</t>
        </is>
      </c>
      <c r="H3680" t="inlineStr">
        <is>
          <t>R&amp;R TRANSPORTE E LOGISTICA</t>
        </is>
      </c>
      <c r="J3680" s="29" t="n">
        <v>41.37</v>
      </c>
      <c r="K3680" s="29">
        <f>(1-ISNUMBER(SEARCH("556",M3680)))*(O3680*SUMIFS(Premissas!$C$5:$C$44,Premissas!$A$5:$A$44,$A3680,Premissas!$B$5:$B$44,$B3680)+P3680*SUMIFS(Premissas!$D$5:$D$44,Premissas!$A$5:$A$44,$A3680,Premissas!$B$5:$B$44,$B3680))+R3680*SUMIFS(Premissas!$E$5:$E$44,Premissas!$A$5:$A$44,$A3680,Premissas!$B$5:$B$44,$B3680)+S3680*SUMIFS(Premissas!$F$5:$F$44,Premissas!$A$5:$A$44,$A3680,Premissas!$B$5:$B$44,$B3680)</f>
        <v/>
      </c>
      <c r="L3680" s="29">
        <f>J3680-K3680</f>
        <v/>
      </c>
      <c r="M3680" t="inlineStr">
        <is>
          <t>1.350</t>
        </is>
      </c>
      <c r="N3680" t="inlineStr">
        <is>
          <t>Modalidade: 0 - Por conta do remetente | Parte: COTART COMERCIO DE PRODUTOS PARA CONFEITARIA LTDA (39.428.152/0001-25)</t>
        </is>
      </c>
      <c r="O3680" s="29" t="n">
        <v>0</v>
      </c>
      <c r="P3680" s="29" t="n">
        <v>0</v>
      </c>
      <c r="Q3680" s="29" t="n">
        <v>0</v>
      </c>
      <c r="R3680" s="29" t="n">
        <v>0</v>
      </c>
      <c r="S3680" s="29" t="n">
        <v>0</v>
      </c>
      <c r="T3680" t="inlineStr">
        <is>
          <t>25260626975620000130570010000073611001201128</t>
        </is>
      </c>
      <c r="U3680" t="inlineStr">
        <is>
          <t>Não</t>
        </is>
      </c>
    </row>
    <row r="3681">
      <c r="A3681" t="inlineStr">
        <is>
          <t>Frete de venda</t>
        </is>
      </c>
      <c r="B3681" t="inlineStr">
        <is>
          <t>2.01.02 Frete sobre Vendas</t>
        </is>
      </c>
      <c r="C3681" s="30" t="n">
        <v>46174</v>
      </c>
      <c r="D3681" t="inlineStr">
        <is>
          <t>Em 2026</t>
        </is>
      </c>
      <c r="E3681" s="28" t="n">
        <v>46189</v>
      </c>
      <c r="F3681" t="inlineStr">
        <is>
          <t>CT-e</t>
        </is>
      </c>
      <c r="G3681" t="inlineStr">
        <is>
          <t>000007362</t>
        </is>
      </c>
      <c r="H3681" t="inlineStr">
        <is>
          <t>R&amp;R TRANSPORTE E LOGISTICA</t>
        </is>
      </c>
      <c r="J3681" s="29" t="n">
        <v>60.37</v>
      </c>
      <c r="K3681" s="29">
        <f>(1-ISNUMBER(SEARCH("556",M3681)))*(O3681*SUMIFS(Premissas!$C$5:$C$44,Premissas!$A$5:$A$44,$A3681,Premissas!$B$5:$B$44,$B3681)+P3681*SUMIFS(Premissas!$D$5:$D$44,Premissas!$A$5:$A$44,$A3681,Premissas!$B$5:$B$44,$B3681))+R3681*SUMIFS(Premissas!$E$5:$E$44,Premissas!$A$5:$A$44,$A3681,Premissas!$B$5:$B$44,$B3681)+S3681*SUMIFS(Premissas!$F$5:$F$44,Premissas!$A$5:$A$44,$A3681,Premissas!$B$5:$B$44,$B3681)</f>
        <v/>
      </c>
      <c r="L3681" s="29">
        <f>J3681-K3681</f>
        <v/>
      </c>
      <c r="M3681" t="inlineStr">
        <is>
          <t>1.350</t>
        </is>
      </c>
      <c r="N3681" t="inlineStr">
        <is>
          <t>Modalidade: 0 - Por conta do remetente | Parte: LEPETTI DOCES BSB LTDA (27.023.179/0001-59)</t>
        </is>
      </c>
      <c r="O3681" s="29" t="n">
        <v>0</v>
      </c>
      <c r="P3681" s="29" t="n">
        <v>0</v>
      </c>
      <c r="Q3681" s="29" t="n">
        <v>0</v>
      </c>
      <c r="R3681" s="29" t="n">
        <v>0</v>
      </c>
      <c r="S3681" s="29" t="n">
        <v>0</v>
      </c>
      <c r="T3681" t="inlineStr">
        <is>
          <t>25260626975620000130570010000073621011001200</t>
        </is>
      </c>
      <c r="U3681" t="inlineStr">
        <is>
          <t>Não</t>
        </is>
      </c>
    </row>
    <row r="3682">
      <c r="A3682" t="inlineStr">
        <is>
          <t>Frete de venda</t>
        </is>
      </c>
      <c r="B3682" t="inlineStr">
        <is>
          <t>2.01.02 Frete sobre Vendas</t>
        </is>
      </c>
      <c r="C3682" s="30" t="n">
        <v>46174</v>
      </c>
      <c r="D3682" t="inlineStr">
        <is>
          <t>Em 2026</t>
        </is>
      </c>
      <c r="E3682" s="28" t="n">
        <v>46189</v>
      </c>
      <c r="F3682" t="inlineStr">
        <is>
          <t>CT-e</t>
        </is>
      </c>
      <c r="G3682" t="inlineStr">
        <is>
          <t>000007363</t>
        </is>
      </c>
      <c r="H3682" t="inlineStr">
        <is>
          <t>R&amp;R TRANSPORTE E LOGISTICA</t>
        </is>
      </c>
      <c r="J3682" s="29" t="n">
        <v>31.58</v>
      </c>
      <c r="K3682" s="29">
        <f>(1-ISNUMBER(SEARCH("556",M3682)))*(O3682*SUMIFS(Premissas!$C$5:$C$44,Premissas!$A$5:$A$44,$A3682,Premissas!$B$5:$B$44,$B3682)+P3682*SUMIFS(Premissas!$D$5:$D$44,Premissas!$A$5:$A$44,$A3682,Premissas!$B$5:$B$44,$B3682))+R3682*SUMIFS(Premissas!$E$5:$E$44,Premissas!$A$5:$A$44,$A3682,Premissas!$B$5:$B$44,$B3682)+S3682*SUMIFS(Premissas!$F$5:$F$44,Premissas!$A$5:$A$44,$A3682,Premissas!$B$5:$B$44,$B3682)</f>
        <v/>
      </c>
      <c r="L3682" s="29">
        <f>J3682-K3682</f>
        <v/>
      </c>
      <c r="M3682" t="inlineStr">
        <is>
          <t>1.350</t>
        </is>
      </c>
      <c r="N3682" t="inlineStr">
        <is>
          <t>Modalidade: 0 - Por conta do remetente | Parte: ARMAZEM DO QUEIJO COMERCIO DE LATICINIOS LTDA (33.554.984/0002-92)</t>
        </is>
      </c>
      <c r="O3682" s="29" t="n">
        <v>0</v>
      </c>
      <c r="P3682" s="29" t="n">
        <v>0</v>
      </c>
      <c r="Q3682" s="29" t="n">
        <v>0</v>
      </c>
      <c r="R3682" s="29" t="n">
        <v>0</v>
      </c>
      <c r="S3682" s="29" t="n">
        <v>0</v>
      </c>
      <c r="T3682" t="inlineStr">
        <is>
          <t>25260626975620000130570010000073631001701281</t>
        </is>
      </c>
      <c r="U3682" t="inlineStr">
        <is>
          <t>Não</t>
        </is>
      </c>
    </row>
    <row r="3683">
      <c r="A3683" t="inlineStr">
        <is>
          <t>Frete de venda</t>
        </is>
      </c>
      <c r="B3683" t="inlineStr">
        <is>
          <t>2.01.02 Frete sobre Vendas</t>
        </is>
      </c>
      <c r="C3683" s="30" t="n">
        <v>46174</v>
      </c>
      <c r="D3683" t="inlineStr">
        <is>
          <t>Em 2026</t>
        </is>
      </c>
      <c r="E3683" s="28" t="n">
        <v>46189</v>
      </c>
      <c r="F3683" t="inlineStr">
        <is>
          <t>CT-e</t>
        </is>
      </c>
      <c r="G3683" t="inlineStr">
        <is>
          <t>000007364</t>
        </is>
      </c>
      <c r="H3683" t="inlineStr">
        <is>
          <t>R&amp;R TRANSPORTE E LOGISTICA</t>
        </is>
      </c>
      <c r="J3683" s="29" t="n">
        <v>20.7</v>
      </c>
      <c r="K3683" s="29">
        <f>(1-ISNUMBER(SEARCH("556",M3683)))*(O3683*SUMIFS(Premissas!$C$5:$C$44,Premissas!$A$5:$A$44,$A3683,Premissas!$B$5:$B$44,$B3683)+P3683*SUMIFS(Premissas!$D$5:$D$44,Premissas!$A$5:$A$44,$A3683,Premissas!$B$5:$B$44,$B3683))+R3683*SUMIFS(Premissas!$E$5:$E$44,Premissas!$A$5:$A$44,$A3683,Premissas!$B$5:$B$44,$B3683)+S3683*SUMIFS(Premissas!$F$5:$F$44,Premissas!$A$5:$A$44,$A3683,Premissas!$B$5:$B$44,$B3683)</f>
        <v/>
      </c>
      <c r="L3683" s="29">
        <f>J3683-K3683</f>
        <v/>
      </c>
      <c r="M3683" t="inlineStr">
        <is>
          <t>1.350</t>
        </is>
      </c>
      <c r="N3683" t="inlineStr">
        <is>
          <t>Modalidade: 0 - Por conta do remetente | Parte: J. I. DE LIMA DISTRIBUIDORA DE EMBALAGENS E FRIOS (05.267.473/0001-73)</t>
        </is>
      </c>
      <c r="O3683" s="29" t="n">
        <v>0</v>
      </c>
      <c r="P3683" s="29" t="n">
        <v>0</v>
      </c>
      <c r="Q3683" s="29" t="n">
        <v>0</v>
      </c>
      <c r="R3683" s="29" t="n">
        <v>0</v>
      </c>
      <c r="S3683" s="29" t="n">
        <v>0</v>
      </c>
      <c r="T3683" t="inlineStr">
        <is>
          <t>25260626975620000130570010000073641001401366</t>
        </is>
      </c>
      <c r="U3683" t="inlineStr">
        <is>
          <t>Não</t>
        </is>
      </c>
    </row>
    <row r="3684">
      <c r="A3684" t="inlineStr">
        <is>
          <t>Frete de venda</t>
        </is>
      </c>
      <c r="B3684" t="inlineStr">
        <is>
          <t>2.01.02 Frete sobre Vendas</t>
        </is>
      </c>
      <c r="C3684" s="30" t="n">
        <v>46174</v>
      </c>
      <c r="D3684" t="inlineStr">
        <is>
          <t>Em 2026</t>
        </is>
      </c>
      <c r="E3684" s="28" t="n">
        <v>46189</v>
      </c>
      <c r="F3684" t="inlineStr">
        <is>
          <t>CT-e</t>
        </is>
      </c>
      <c r="G3684" t="inlineStr">
        <is>
          <t>000007365</t>
        </is>
      </c>
      <c r="H3684" t="inlineStr">
        <is>
          <t>R&amp;R TRANSPORTE E LOGISTICA</t>
        </is>
      </c>
      <c r="J3684" s="29" t="n">
        <v>21.24</v>
      </c>
      <c r="K3684" s="29">
        <f>(1-ISNUMBER(SEARCH("556",M3684)))*(O3684*SUMIFS(Premissas!$C$5:$C$44,Premissas!$A$5:$A$44,$A3684,Premissas!$B$5:$B$44,$B3684)+P3684*SUMIFS(Premissas!$D$5:$D$44,Premissas!$A$5:$A$44,$A3684,Premissas!$B$5:$B$44,$B3684))+R3684*SUMIFS(Premissas!$E$5:$E$44,Premissas!$A$5:$A$44,$A3684,Premissas!$B$5:$B$44,$B3684)+S3684*SUMIFS(Premissas!$F$5:$F$44,Premissas!$A$5:$A$44,$A3684,Premissas!$B$5:$B$44,$B3684)</f>
        <v/>
      </c>
      <c r="L3684" s="29">
        <f>J3684-K3684</f>
        <v/>
      </c>
      <c r="M3684" t="inlineStr">
        <is>
          <t>1.350</t>
        </is>
      </c>
      <c r="N3684" t="inlineStr">
        <is>
          <t>Modalidade: 0 - Por conta do remetente | Parte: G. I. C. CAMELI (09.007.823/0001-13)</t>
        </is>
      </c>
      <c r="O3684" s="29" t="n">
        <v>0</v>
      </c>
      <c r="P3684" s="29" t="n">
        <v>0</v>
      </c>
      <c r="Q3684" s="29" t="n">
        <v>0</v>
      </c>
      <c r="R3684" s="29" t="n">
        <v>0</v>
      </c>
      <c r="S3684" s="29" t="n">
        <v>0</v>
      </c>
      <c r="T3684" t="inlineStr">
        <is>
          <t>25260626975620000130570010000073651001101440</t>
        </is>
      </c>
      <c r="U3684" t="inlineStr">
        <is>
          <t>Não</t>
        </is>
      </c>
    </row>
    <row r="3685">
      <c r="A3685" t="inlineStr">
        <is>
          <t>Frete de venda</t>
        </is>
      </c>
      <c r="B3685" t="inlineStr">
        <is>
          <t>2.01.02 Frete sobre Vendas</t>
        </is>
      </c>
      <c r="C3685" s="30" t="n">
        <v>46174</v>
      </c>
      <c r="D3685" t="inlineStr">
        <is>
          <t>Em 2026</t>
        </is>
      </c>
      <c r="E3685" s="28" t="n">
        <v>46189</v>
      </c>
      <c r="F3685" t="inlineStr">
        <is>
          <t>CT-e</t>
        </is>
      </c>
      <c r="G3685" t="inlineStr">
        <is>
          <t>000007366</t>
        </is>
      </c>
      <c r="H3685" t="inlineStr">
        <is>
          <t>R&amp;R TRANSPORTE E LOGISTICA</t>
        </is>
      </c>
      <c r="J3685" s="29" t="n">
        <v>24.19</v>
      </c>
      <c r="K3685" s="29">
        <f>(1-ISNUMBER(SEARCH("556",M3685)))*(O3685*SUMIFS(Premissas!$C$5:$C$44,Premissas!$A$5:$A$44,$A3685,Premissas!$B$5:$B$44,$B3685)+P3685*SUMIFS(Premissas!$D$5:$D$44,Premissas!$A$5:$A$44,$A3685,Premissas!$B$5:$B$44,$B3685))+R3685*SUMIFS(Premissas!$E$5:$E$44,Premissas!$A$5:$A$44,$A3685,Premissas!$B$5:$B$44,$B3685)+S3685*SUMIFS(Premissas!$F$5:$F$44,Premissas!$A$5:$A$44,$A3685,Premissas!$B$5:$B$44,$B3685)</f>
        <v/>
      </c>
      <c r="L3685" s="29">
        <f>J3685-K3685</f>
        <v/>
      </c>
      <c r="M3685" t="inlineStr">
        <is>
          <t>1.350</t>
        </is>
      </c>
      <c r="N3685" t="inlineStr">
        <is>
          <t>Modalidade: 0 - Por conta do remetente | Parte: MARCONDES N DE SOUZA LTDA (05.847.768/0001-19)</t>
        </is>
      </c>
      <c r="O3685" s="29" t="n">
        <v>0</v>
      </c>
      <c r="P3685" s="29" t="n">
        <v>0</v>
      </c>
      <c r="Q3685" s="29" t="n">
        <v>0</v>
      </c>
      <c r="R3685" s="29" t="n">
        <v>0</v>
      </c>
      <c r="S3685" s="29" t="n">
        <v>0</v>
      </c>
      <c r="T3685" t="inlineStr">
        <is>
          <t>25260626975620000130570010000073661001901525</t>
        </is>
      </c>
      <c r="U3685" t="inlineStr">
        <is>
          <t>Não</t>
        </is>
      </c>
    </row>
    <row r="3686">
      <c r="A3686" t="inlineStr">
        <is>
          <t>Frete de venda</t>
        </is>
      </c>
      <c r="B3686" t="inlineStr">
        <is>
          <t>2.01.02 Frete sobre Vendas</t>
        </is>
      </c>
      <c r="C3686" s="30" t="n">
        <v>46174</v>
      </c>
      <c r="D3686" t="inlineStr">
        <is>
          <t>Em 2026</t>
        </is>
      </c>
      <c r="E3686" s="28" t="n">
        <v>46189</v>
      </c>
      <c r="F3686" t="inlineStr">
        <is>
          <t>CT-e</t>
        </is>
      </c>
      <c r="G3686" t="inlineStr">
        <is>
          <t>000007367</t>
        </is>
      </c>
      <c r="H3686" t="inlineStr">
        <is>
          <t>R&amp;R TRANSPORTE E LOGISTICA</t>
        </is>
      </c>
      <c r="J3686" s="29" t="n">
        <v>25.5</v>
      </c>
      <c r="K3686" s="29">
        <f>(1-ISNUMBER(SEARCH("556",M3686)))*(O3686*SUMIFS(Premissas!$C$5:$C$44,Premissas!$A$5:$A$44,$A3686,Premissas!$B$5:$B$44,$B3686)+P3686*SUMIFS(Premissas!$D$5:$D$44,Premissas!$A$5:$A$44,$A3686,Premissas!$B$5:$B$44,$B3686))+R3686*SUMIFS(Premissas!$E$5:$E$44,Premissas!$A$5:$A$44,$A3686,Premissas!$B$5:$B$44,$B3686)+S3686*SUMIFS(Premissas!$F$5:$F$44,Premissas!$A$5:$A$44,$A3686,Premissas!$B$5:$B$44,$B3686)</f>
        <v/>
      </c>
      <c r="L3686" s="29">
        <f>J3686-K3686</f>
        <v/>
      </c>
      <c r="M3686" t="inlineStr">
        <is>
          <t>1.350</t>
        </is>
      </c>
      <c r="N3686" t="inlineStr">
        <is>
          <t>Modalidade: 0 - Por conta do remetente | Parte: GL COMERCIO DE PRODUTOS PARA FESTAS LTDA (36.410.730/0001-08)</t>
        </is>
      </c>
      <c r="O3686" s="29" t="n">
        <v>0</v>
      </c>
      <c r="P3686" s="29" t="n">
        <v>0</v>
      </c>
      <c r="Q3686" s="29" t="n">
        <v>0</v>
      </c>
      <c r="R3686" s="29" t="n">
        <v>0</v>
      </c>
      <c r="S3686" s="29" t="n">
        <v>0</v>
      </c>
      <c r="T3686" t="inlineStr">
        <is>
          <t>25260626975620000130570010000073671001601600</t>
        </is>
      </c>
      <c r="U3686" t="inlineStr">
        <is>
          <t>Não</t>
        </is>
      </c>
    </row>
    <row r="3687">
      <c r="A3687" t="inlineStr">
        <is>
          <t>Frete de venda</t>
        </is>
      </c>
      <c r="B3687" t="inlineStr">
        <is>
          <t>2.01.02 Frete sobre Vendas</t>
        </is>
      </c>
      <c r="C3687" s="30" t="n">
        <v>46174</v>
      </c>
      <c r="D3687" t="inlineStr">
        <is>
          <t>Em 2026</t>
        </is>
      </c>
      <c r="E3687" s="28" t="n">
        <v>46189</v>
      </c>
      <c r="F3687" t="inlineStr">
        <is>
          <t>CT-e</t>
        </is>
      </c>
      <c r="G3687" t="inlineStr">
        <is>
          <t>000007368</t>
        </is>
      </c>
      <c r="H3687" t="inlineStr">
        <is>
          <t>R&amp;R TRANSPORTE E LOGISTICA</t>
        </is>
      </c>
      <c r="J3687" s="29" t="n">
        <v>40.93</v>
      </c>
      <c r="K3687" s="29">
        <f>(1-ISNUMBER(SEARCH("556",M3687)))*(O3687*SUMIFS(Premissas!$C$5:$C$44,Premissas!$A$5:$A$44,$A3687,Premissas!$B$5:$B$44,$B3687)+P3687*SUMIFS(Premissas!$D$5:$D$44,Premissas!$A$5:$A$44,$A3687,Premissas!$B$5:$B$44,$B3687))+R3687*SUMIFS(Premissas!$E$5:$E$44,Premissas!$A$5:$A$44,$A3687,Premissas!$B$5:$B$44,$B3687)+S3687*SUMIFS(Premissas!$F$5:$F$44,Premissas!$A$5:$A$44,$A3687,Premissas!$B$5:$B$44,$B3687)</f>
        <v/>
      </c>
      <c r="L3687" s="29">
        <f>J3687-K3687</f>
        <v/>
      </c>
      <c r="M3687" t="inlineStr">
        <is>
          <t>1.350</t>
        </is>
      </c>
      <c r="N3687" t="inlineStr">
        <is>
          <t>Modalidade: 0 - Por conta do remetente | Parte: RM COMERCIO DE ARTIGOS PARA FESTA LTDA (30.878.046/0001-79)</t>
        </is>
      </c>
      <c r="O3687" s="29" t="n">
        <v>0</v>
      </c>
      <c r="P3687" s="29" t="n">
        <v>0</v>
      </c>
      <c r="Q3687" s="29" t="n">
        <v>0</v>
      </c>
      <c r="R3687" s="29" t="n">
        <v>0</v>
      </c>
      <c r="S3687" s="29" t="n">
        <v>0</v>
      </c>
      <c r="T3687" t="inlineStr">
        <is>
          <t>25260626975620000130570010000073681001301689</t>
        </is>
      </c>
      <c r="U3687" t="inlineStr">
        <is>
          <t>Não</t>
        </is>
      </c>
    </row>
    <row r="3688">
      <c r="A3688" t="inlineStr">
        <is>
          <t>Frete de venda</t>
        </is>
      </c>
      <c r="B3688" t="inlineStr">
        <is>
          <t>2.01.02 Frete sobre Vendas</t>
        </is>
      </c>
      <c r="C3688" s="30" t="n">
        <v>46174</v>
      </c>
      <c r="D3688" t="inlineStr">
        <is>
          <t>Em 2026</t>
        </is>
      </c>
      <c r="E3688" s="28" t="n">
        <v>46189</v>
      </c>
      <c r="F3688" t="inlineStr">
        <is>
          <t>CT-e</t>
        </is>
      </c>
      <c r="G3688" t="inlineStr">
        <is>
          <t>000007369</t>
        </is>
      </c>
      <c r="H3688" t="inlineStr">
        <is>
          <t>R&amp;R TRANSPORTE E LOGISTICA</t>
        </is>
      </c>
      <c r="J3688" s="29" t="n">
        <v>26.19</v>
      </c>
      <c r="K3688" s="29">
        <f>(1-ISNUMBER(SEARCH("556",M3688)))*(O3688*SUMIFS(Premissas!$C$5:$C$44,Premissas!$A$5:$A$44,$A3688,Premissas!$B$5:$B$44,$B3688)+P3688*SUMIFS(Premissas!$D$5:$D$44,Premissas!$A$5:$A$44,$A3688,Premissas!$B$5:$B$44,$B3688))+R3688*SUMIFS(Premissas!$E$5:$E$44,Premissas!$A$5:$A$44,$A3688,Premissas!$B$5:$B$44,$B3688)+S3688*SUMIFS(Premissas!$F$5:$F$44,Premissas!$A$5:$A$44,$A3688,Premissas!$B$5:$B$44,$B3688)</f>
        <v/>
      </c>
      <c r="L3688" s="29">
        <f>J3688-K3688</f>
        <v/>
      </c>
      <c r="M3688" t="inlineStr">
        <is>
          <t>1.350</t>
        </is>
      </c>
      <c r="N3688" t="inlineStr">
        <is>
          <t>Modalidade: 0 - Por conta do remetente | Parte: SUPERMERCADO LOS PAMPAS LTDA (44.292.093/0001-40)</t>
        </is>
      </c>
      <c r="O3688" s="29" t="n">
        <v>0</v>
      </c>
      <c r="P3688" s="29" t="n">
        <v>0</v>
      </c>
      <c r="Q3688" s="29" t="n">
        <v>0</v>
      </c>
      <c r="R3688" s="29" t="n">
        <v>0</v>
      </c>
      <c r="S3688" s="29" t="n">
        <v>0</v>
      </c>
      <c r="T3688" t="inlineStr">
        <is>
          <t>25260626975620000130570010000073691001401036</t>
        </is>
      </c>
      <c r="U3688" t="inlineStr">
        <is>
          <t>Não</t>
        </is>
      </c>
    </row>
    <row r="3689">
      <c r="A3689" t="inlineStr">
        <is>
          <t>Frete de venda</t>
        </is>
      </c>
      <c r="B3689" t="inlineStr">
        <is>
          <t>2.01.02 Frete sobre Vendas</t>
        </is>
      </c>
      <c r="C3689" s="30" t="n">
        <v>46174</v>
      </c>
      <c r="D3689" t="inlineStr">
        <is>
          <t>Em 2026</t>
        </is>
      </c>
      <c r="E3689" s="28" t="n">
        <v>46189</v>
      </c>
      <c r="F3689" t="inlineStr">
        <is>
          <t>CT-e</t>
        </is>
      </c>
      <c r="G3689" t="inlineStr">
        <is>
          <t>000007370</t>
        </is>
      </c>
      <c r="H3689" t="inlineStr">
        <is>
          <t>R&amp;R TRANSPORTE E LOGISTICA</t>
        </is>
      </c>
      <c r="J3689" s="29" t="n">
        <v>57.76</v>
      </c>
      <c r="K3689" s="29">
        <f>(1-ISNUMBER(SEARCH("556",M3689)))*(O3689*SUMIFS(Premissas!$C$5:$C$44,Premissas!$A$5:$A$44,$A3689,Premissas!$B$5:$B$44,$B3689)+P3689*SUMIFS(Premissas!$D$5:$D$44,Premissas!$A$5:$A$44,$A3689,Premissas!$B$5:$B$44,$B3689))+R3689*SUMIFS(Premissas!$E$5:$E$44,Premissas!$A$5:$A$44,$A3689,Premissas!$B$5:$B$44,$B3689)+S3689*SUMIFS(Premissas!$F$5:$F$44,Premissas!$A$5:$A$44,$A3689,Premissas!$B$5:$B$44,$B3689)</f>
        <v/>
      </c>
      <c r="L3689" s="29">
        <f>J3689-K3689</f>
        <v/>
      </c>
      <c r="M3689" t="inlineStr">
        <is>
          <t>1.350</t>
        </is>
      </c>
      <c r="N3689" t="inlineStr">
        <is>
          <t>Modalidade: 0 - Por conta do remetente | Parte: MORENO FESTAS LTDA (18.133.456/0001-95)</t>
        </is>
      </c>
      <c r="O3689" s="29" t="n">
        <v>0</v>
      </c>
      <c r="P3689" s="29" t="n">
        <v>0</v>
      </c>
      <c r="Q3689" s="29" t="n">
        <v>0</v>
      </c>
      <c r="R3689" s="29" t="n">
        <v>0</v>
      </c>
      <c r="S3689" s="29" t="n">
        <v>0</v>
      </c>
      <c r="T3689" t="inlineStr">
        <is>
          <t>25260626975620000130570010000073701001101114</t>
        </is>
      </c>
      <c r="U3689" t="inlineStr">
        <is>
          <t>Não</t>
        </is>
      </c>
    </row>
    <row r="3690">
      <c r="A3690" t="inlineStr">
        <is>
          <t>Frete de venda</t>
        </is>
      </c>
      <c r="B3690" t="inlineStr">
        <is>
          <t>2.01.02 Frete sobre Vendas</t>
        </is>
      </c>
      <c r="C3690" s="30" t="n">
        <v>46174</v>
      </c>
      <c r="D3690" t="inlineStr">
        <is>
          <t>Em 2026</t>
        </is>
      </c>
      <c r="E3690" s="28" t="n">
        <v>46189</v>
      </c>
      <c r="F3690" t="inlineStr">
        <is>
          <t>CT-e</t>
        </is>
      </c>
      <c r="G3690" t="inlineStr">
        <is>
          <t>000007371</t>
        </is>
      </c>
      <c r="H3690" t="inlineStr">
        <is>
          <t>R&amp;R TRANSPORTE E LOGISTICA</t>
        </is>
      </c>
      <c r="J3690" s="29" t="n">
        <v>29.22</v>
      </c>
      <c r="K3690" s="29">
        <f>(1-ISNUMBER(SEARCH("556",M3690)))*(O3690*SUMIFS(Premissas!$C$5:$C$44,Premissas!$A$5:$A$44,$A3690,Premissas!$B$5:$B$44,$B3690)+P3690*SUMIFS(Premissas!$D$5:$D$44,Premissas!$A$5:$A$44,$A3690,Premissas!$B$5:$B$44,$B3690))+R3690*SUMIFS(Premissas!$E$5:$E$44,Premissas!$A$5:$A$44,$A3690,Premissas!$B$5:$B$44,$B3690)+S3690*SUMIFS(Premissas!$F$5:$F$44,Premissas!$A$5:$A$44,$A3690,Premissas!$B$5:$B$44,$B3690)</f>
        <v/>
      </c>
      <c r="L3690" s="29">
        <f>J3690-K3690</f>
        <v/>
      </c>
      <c r="M3690" t="inlineStr">
        <is>
          <t>1.350</t>
        </is>
      </c>
      <c r="N3690" t="inlineStr">
        <is>
          <t>Modalidade: 0 - Por conta do remetente | Parte: F. C. EMBALAGENS e SALGADINHOS (14.025.694/0001-26)</t>
        </is>
      </c>
      <c r="O3690" s="29" t="n">
        <v>0</v>
      </c>
      <c r="P3690" s="29" t="n">
        <v>0</v>
      </c>
      <c r="Q3690" s="29" t="n">
        <v>0</v>
      </c>
      <c r="R3690" s="29" t="n">
        <v>0</v>
      </c>
      <c r="S3690" s="29" t="n">
        <v>0</v>
      </c>
      <c r="T3690" t="inlineStr">
        <is>
          <t>25260626975620000130570010000073711001901193</t>
        </is>
      </c>
      <c r="U3690" t="inlineStr">
        <is>
          <t>Não</t>
        </is>
      </c>
    </row>
    <row r="3691">
      <c r="A3691" t="inlineStr">
        <is>
          <t>Frete de venda</t>
        </is>
      </c>
      <c r="B3691" t="inlineStr">
        <is>
          <t>2.01.02 Frete sobre Vendas</t>
        </is>
      </c>
      <c r="C3691" s="30" t="n">
        <v>46174</v>
      </c>
      <c r="D3691" t="inlineStr">
        <is>
          <t>Em 2026</t>
        </is>
      </c>
      <c r="E3691" s="28" t="n">
        <v>46190</v>
      </c>
      <c r="F3691" t="inlineStr">
        <is>
          <t>CT-e</t>
        </is>
      </c>
      <c r="G3691" t="inlineStr">
        <is>
          <t>000007373</t>
        </is>
      </c>
      <c r="H3691" t="inlineStr">
        <is>
          <t>R&amp;R TRANSPORTE E LOGISTICA</t>
        </is>
      </c>
      <c r="J3691" s="29" t="n">
        <v>24.21</v>
      </c>
      <c r="K3691" s="29">
        <f>(1-ISNUMBER(SEARCH("556",M3691)))*(O3691*SUMIFS(Premissas!$C$5:$C$44,Premissas!$A$5:$A$44,$A3691,Premissas!$B$5:$B$44,$B3691)+P3691*SUMIFS(Premissas!$D$5:$D$44,Premissas!$A$5:$A$44,$A3691,Premissas!$B$5:$B$44,$B3691))+R3691*SUMIFS(Premissas!$E$5:$E$44,Premissas!$A$5:$A$44,$A3691,Premissas!$B$5:$B$44,$B3691)+S3691*SUMIFS(Premissas!$F$5:$F$44,Premissas!$A$5:$A$44,$A3691,Premissas!$B$5:$B$44,$B3691)</f>
        <v/>
      </c>
      <c r="L3691" s="29">
        <f>J3691-K3691</f>
        <v/>
      </c>
      <c r="M3691" t="inlineStr">
        <is>
          <t>1.350</t>
        </is>
      </c>
      <c r="N3691" t="inlineStr">
        <is>
          <t>Modalidade: 0 - Por conta do remetente | Parte: J. TRINDADE SOUZA LTDA (21.924.013/0001-27)</t>
        </is>
      </c>
      <c r="O3691" s="29" t="n">
        <v>0</v>
      </c>
      <c r="P3691" s="29" t="n">
        <v>0</v>
      </c>
      <c r="Q3691" s="29" t="n">
        <v>0</v>
      </c>
      <c r="R3691" s="29" t="n">
        <v>0</v>
      </c>
      <c r="S3691" s="29" t="n">
        <v>0</v>
      </c>
      <c r="T3691" t="inlineStr">
        <is>
          <t>25260626975620000130570010000073731000101325</t>
        </is>
      </c>
      <c r="U3691" t="inlineStr">
        <is>
          <t>Não</t>
        </is>
      </c>
    </row>
    <row r="3692">
      <c r="A3692" t="inlineStr">
        <is>
          <t>Frete de venda</t>
        </is>
      </c>
      <c r="B3692" t="inlineStr">
        <is>
          <t>2.01.02 Frete sobre Vendas</t>
        </is>
      </c>
      <c r="C3692" s="30" t="n">
        <v>46174</v>
      </c>
      <c r="D3692" t="inlineStr">
        <is>
          <t>Em 2026</t>
        </is>
      </c>
      <c r="E3692" s="28" t="n">
        <v>46190</v>
      </c>
      <c r="F3692" t="inlineStr">
        <is>
          <t>CT-e</t>
        </is>
      </c>
      <c r="G3692" t="inlineStr">
        <is>
          <t>000007374</t>
        </is>
      </c>
      <c r="H3692" t="inlineStr">
        <is>
          <t>R&amp;R TRANSPORTE E LOGISTICA</t>
        </is>
      </c>
      <c r="J3692" s="29" t="n">
        <v>51.63</v>
      </c>
      <c r="K3692" s="29">
        <f>(1-ISNUMBER(SEARCH("556",M3692)))*(O3692*SUMIFS(Premissas!$C$5:$C$44,Premissas!$A$5:$A$44,$A3692,Premissas!$B$5:$B$44,$B3692)+P3692*SUMIFS(Premissas!$D$5:$D$44,Premissas!$A$5:$A$44,$A3692,Premissas!$B$5:$B$44,$B3692))+R3692*SUMIFS(Premissas!$E$5:$E$44,Premissas!$A$5:$A$44,$A3692,Premissas!$B$5:$B$44,$B3692)+S3692*SUMIFS(Premissas!$F$5:$F$44,Premissas!$A$5:$A$44,$A3692,Premissas!$B$5:$B$44,$B3692)</f>
        <v/>
      </c>
      <c r="L3692" s="29">
        <f>J3692-K3692</f>
        <v/>
      </c>
      <c r="M3692" t="inlineStr">
        <is>
          <t>1.350</t>
        </is>
      </c>
      <c r="N3692" t="inlineStr">
        <is>
          <t>Modalidade: 0 - Por conta do remetente | Parte: CASA GOIAS EMBALAGENS LTDA (17.592.588/0001-12)</t>
        </is>
      </c>
      <c r="O3692" s="29" t="n">
        <v>0</v>
      </c>
      <c r="P3692" s="29" t="n">
        <v>0</v>
      </c>
      <c r="Q3692" s="29" t="n">
        <v>0</v>
      </c>
      <c r="R3692" s="29" t="n">
        <v>0</v>
      </c>
      <c r="S3692" s="29" t="n">
        <v>0</v>
      </c>
      <c r="T3692" t="inlineStr">
        <is>
          <t>25260626975620000130570010000073741001801409</t>
        </is>
      </c>
      <c r="U3692" t="inlineStr">
        <is>
          <t>Não</t>
        </is>
      </c>
    </row>
    <row r="3693">
      <c r="A3693" t="inlineStr">
        <is>
          <t>Frete de venda</t>
        </is>
      </c>
      <c r="B3693" t="inlineStr">
        <is>
          <t>2.01.02 Frete sobre Vendas</t>
        </is>
      </c>
      <c r="C3693" s="30" t="n">
        <v>46174</v>
      </c>
      <c r="D3693" t="inlineStr">
        <is>
          <t>Em 2026</t>
        </is>
      </c>
      <c r="E3693" s="28" t="n">
        <v>46190</v>
      </c>
      <c r="F3693" t="inlineStr">
        <is>
          <t>CT-e</t>
        </is>
      </c>
      <c r="G3693" t="inlineStr">
        <is>
          <t>000007375</t>
        </is>
      </c>
      <c r="H3693" t="inlineStr">
        <is>
          <t>R&amp;R TRANSPORTE E LOGISTICA</t>
        </is>
      </c>
      <c r="J3693" s="29" t="n">
        <v>49.59</v>
      </c>
      <c r="K3693" s="29">
        <f>(1-ISNUMBER(SEARCH("556",M3693)))*(O3693*SUMIFS(Premissas!$C$5:$C$44,Premissas!$A$5:$A$44,$A3693,Premissas!$B$5:$B$44,$B3693)+P3693*SUMIFS(Premissas!$D$5:$D$44,Premissas!$A$5:$A$44,$A3693,Premissas!$B$5:$B$44,$B3693))+R3693*SUMIFS(Premissas!$E$5:$E$44,Premissas!$A$5:$A$44,$A3693,Premissas!$B$5:$B$44,$B3693)+S3693*SUMIFS(Premissas!$F$5:$F$44,Premissas!$A$5:$A$44,$A3693,Premissas!$B$5:$B$44,$B3693)</f>
        <v/>
      </c>
      <c r="L3693" s="29">
        <f>J3693-K3693</f>
        <v/>
      </c>
      <c r="M3693" t="inlineStr">
        <is>
          <t>1.350</t>
        </is>
      </c>
      <c r="N3693" t="inlineStr">
        <is>
          <t>Modalidade: 0 - Por conta do remetente | Parte: DISTRIBUIDORA SILVA PRODUTOS DE LIMPEZA E EMBALAGENS LTDA (22.825.692/0001-40)</t>
        </is>
      </c>
      <c r="O3693" s="29" t="n">
        <v>0</v>
      </c>
      <c r="P3693" s="29" t="n">
        <v>0</v>
      </c>
      <c r="Q3693" s="29" t="n">
        <v>0</v>
      </c>
      <c r="R3693" s="29" t="n">
        <v>0</v>
      </c>
      <c r="S3693" s="29" t="n">
        <v>0</v>
      </c>
      <c r="T3693" t="inlineStr">
        <is>
          <t>25260626975620000130570010000073751001501488</t>
        </is>
      </c>
      <c r="U3693" t="inlineStr">
        <is>
          <t>Não</t>
        </is>
      </c>
    </row>
    <row r="3694">
      <c r="A3694" t="inlineStr">
        <is>
          <t>Frete de venda</t>
        </is>
      </c>
      <c r="B3694" t="inlineStr">
        <is>
          <t>2.01.02 Frete sobre Vendas</t>
        </is>
      </c>
      <c r="C3694" s="30" t="n">
        <v>46174</v>
      </c>
      <c r="D3694" t="inlineStr">
        <is>
          <t>Em 2026</t>
        </is>
      </c>
      <c r="E3694" s="28" t="n">
        <v>46190</v>
      </c>
      <c r="F3694" t="inlineStr">
        <is>
          <t>CT-e</t>
        </is>
      </c>
      <c r="G3694" t="inlineStr">
        <is>
          <t>000007376</t>
        </is>
      </c>
      <c r="H3694" t="inlineStr">
        <is>
          <t>R&amp;R TRANSPORTE E LOGISTICA</t>
        </is>
      </c>
      <c r="J3694" s="29" t="n">
        <v>26.72</v>
      </c>
      <c r="K3694" s="29">
        <f>(1-ISNUMBER(SEARCH("556",M3694)))*(O3694*SUMIFS(Premissas!$C$5:$C$44,Premissas!$A$5:$A$44,$A3694,Premissas!$B$5:$B$44,$B3694)+P3694*SUMIFS(Premissas!$D$5:$D$44,Premissas!$A$5:$A$44,$A3694,Premissas!$B$5:$B$44,$B3694))+R3694*SUMIFS(Premissas!$E$5:$E$44,Premissas!$A$5:$A$44,$A3694,Premissas!$B$5:$B$44,$B3694)+S3694*SUMIFS(Premissas!$F$5:$F$44,Premissas!$A$5:$A$44,$A3694,Premissas!$B$5:$B$44,$B3694)</f>
        <v/>
      </c>
      <c r="L3694" s="29">
        <f>J3694-K3694</f>
        <v/>
      </c>
      <c r="M3694" t="inlineStr">
        <is>
          <t>1.350</t>
        </is>
      </c>
      <c r="N3694" t="inlineStr">
        <is>
          <t>Modalidade: 0 - Por conta do remetente | Parte: LEANDRO DELFINO DE SOUSA (26.593.516/0001-80)</t>
        </is>
      </c>
      <c r="O3694" s="29" t="n">
        <v>0</v>
      </c>
      <c r="P3694" s="29" t="n">
        <v>0</v>
      </c>
      <c r="Q3694" s="29" t="n">
        <v>0</v>
      </c>
      <c r="R3694" s="29" t="n">
        <v>0</v>
      </c>
      <c r="S3694" s="29" t="n">
        <v>0</v>
      </c>
      <c r="T3694" t="inlineStr">
        <is>
          <t>25260626975620000130570010000073761001201562</t>
        </is>
      </c>
      <c r="U3694" t="inlineStr">
        <is>
          <t>Não</t>
        </is>
      </c>
    </row>
    <row r="3695">
      <c r="A3695" t="inlineStr">
        <is>
          <t>Frete de venda</t>
        </is>
      </c>
      <c r="B3695" t="inlineStr">
        <is>
          <t>2.01.02 Frete sobre Vendas</t>
        </is>
      </c>
      <c r="C3695" s="30" t="n">
        <v>46174</v>
      </c>
      <c r="D3695" t="inlineStr">
        <is>
          <t>Em 2026</t>
        </is>
      </c>
      <c r="E3695" s="28" t="n">
        <v>46190</v>
      </c>
      <c r="F3695" t="inlineStr">
        <is>
          <t>CT-e</t>
        </is>
      </c>
      <c r="G3695" t="inlineStr">
        <is>
          <t>000007377</t>
        </is>
      </c>
      <c r="H3695" t="inlineStr">
        <is>
          <t>R&amp;R TRANSPORTE E LOGISTICA</t>
        </is>
      </c>
      <c r="J3695" s="29" t="n">
        <v>38.81</v>
      </c>
      <c r="K3695" s="29">
        <f>(1-ISNUMBER(SEARCH("556",M3695)))*(O3695*SUMIFS(Premissas!$C$5:$C$44,Premissas!$A$5:$A$44,$A3695,Premissas!$B$5:$B$44,$B3695)+P3695*SUMIFS(Premissas!$D$5:$D$44,Premissas!$A$5:$A$44,$A3695,Premissas!$B$5:$B$44,$B3695))+R3695*SUMIFS(Premissas!$E$5:$E$44,Premissas!$A$5:$A$44,$A3695,Premissas!$B$5:$B$44,$B3695)+S3695*SUMIFS(Premissas!$F$5:$F$44,Premissas!$A$5:$A$44,$A3695,Premissas!$B$5:$B$44,$B3695)</f>
        <v/>
      </c>
      <c r="L3695" s="29">
        <f>J3695-K3695</f>
        <v/>
      </c>
      <c r="M3695" t="inlineStr">
        <is>
          <t>1.350</t>
        </is>
      </c>
      <c r="N3695" t="inlineStr">
        <is>
          <t>Modalidade: 0 - Por conta do remetente | Parte: M C PACHECO (17.808.645/0001-58)</t>
        </is>
      </c>
      <c r="O3695" s="29" t="n">
        <v>0</v>
      </c>
      <c r="P3695" s="29" t="n">
        <v>0</v>
      </c>
      <c r="Q3695" s="29" t="n">
        <v>0</v>
      </c>
      <c r="R3695" s="29" t="n">
        <v>0</v>
      </c>
      <c r="S3695" s="29" t="n">
        <v>0</v>
      </c>
      <c r="T3695" t="inlineStr">
        <is>
          <t>25260626975620000130570010000073771011001644</t>
        </is>
      </c>
      <c r="U3695" t="inlineStr">
        <is>
          <t>Não</t>
        </is>
      </c>
    </row>
    <row r="3696">
      <c r="A3696" t="inlineStr">
        <is>
          <t>Frete de venda</t>
        </is>
      </c>
      <c r="B3696" t="inlineStr">
        <is>
          <t>2.01.02 Frete sobre Vendas</t>
        </is>
      </c>
      <c r="C3696" s="30" t="n">
        <v>46174</v>
      </c>
      <c r="D3696" t="inlineStr">
        <is>
          <t>Em 2026</t>
        </is>
      </c>
      <c r="E3696" s="28" t="n">
        <v>46190</v>
      </c>
      <c r="F3696" t="inlineStr">
        <is>
          <t>CT-e</t>
        </is>
      </c>
      <c r="G3696" t="inlineStr">
        <is>
          <t>000007378</t>
        </is>
      </c>
      <c r="H3696" t="inlineStr">
        <is>
          <t>R&amp;R TRANSPORTE E LOGISTICA</t>
        </is>
      </c>
      <c r="J3696" s="29" t="n">
        <v>21.46</v>
      </c>
      <c r="K3696" s="29">
        <f>(1-ISNUMBER(SEARCH("556",M3696)))*(O3696*SUMIFS(Premissas!$C$5:$C$44,Premissas!$A$5:$A$44,$A3696,Premissas!$B$5:$B$44,$B3696)+P3696*SUMIFS(Premissas!$D$5:$D$44,Premissas!$A$5:$A$44,$A3696,Premissas!$B$5:$B$44,$B3696))+R3696*SUMIFS(Premissas!$E$5:$E$44,Premissas!$A$5:$A$44,$A3696,Premissas!$B$5:$B$44,$B3696)+S3696*SUMIFS(Premissas!$F$5:$F$44,Premissas!$A$5:$A$44,$A3696,Premissas!$B$5:$B$44,$B3696)</f>
        <v/>
      </c>
      <c r="L3696" s="29">
        <f>J3696-K3696</f>
        <v/>
      </c>
      <c r="M3696" t="inlineStr">
        <is>
          <t>1.350</t>
        </is>
      </c>
      <c r="N3696" t="inlineStr">
        <is>
          <t>Modalidade: 0 - Por conta do remetente | Parte: INGA FESTAS ATACAREJO LTDA (32.293.282/0001-59)</t>
        </is>
      </c>
      <c r="O3696" s="29" t="n">
        <v>0</v>
      </c>
      <c r="P3696" s="29" t="n">
        <v>0</v>
      </c>
      <c r="Q3696" s="29" t="n">
        <v>0</v>
      </c>
      <c r="R3696" s="29" t="n">
        <v>0</v>
      </c>
      <c r="S3696" s="29" t="n">
        <v>0</v>
      </c>
      <c r="T3696" t="inlineStr">
        <is>
          <t>25260626975620000130570010000073781001701721</t>
        </is>
      </c>
      <c r="U3696" t="inlineStr">
        <is>
          <t>Não</t>
        </is>
      </c>
    </row>
    <row r="3697">
      <c r="A3697" t="inlineStr">
        <is>
          <t>Frete de venda</t>
        </is>
      </c>
      <c r="B3697" t="inlineStr">
        <is>
          <t>2.01.02 Frete sobre Vendas</t>
        </is>
      </c>
      <c r="C3697" s="30" t="n">
        <v>46174</v>
      </c>
      <c r="D3697" t="inlineStr">
        <is>
          <t>Em 2026</t>
        </is>
      </c>
      <c r="E3697" s="28" t="n">
        <v>46190</v>
      </c>
      <c r="F3697" t="inlineStr">
        <is>
          <t>CT-e</t>
        </is>
      </c>
      <c r="G3697" t="inlineStr">
        <is>
          <t>000007379</t>
        </is>
      </c>
      <c r="H3697" t="inlineStr">
        <is>
          <t>R&amp;R TRANSPORTE E LOGISTICA</t>
        </is>
      </c>
      <c r="J3697" s="29" t="n">
        <v>43.56</v>
      </c>
      <c r="K3697" s="29">
        <f>(1-ISNUMBER(SEARCH("556",M3697)))*(O3697*SUMIFS(Premissas!$C$5:$C$44,Premissas!$A$5:$A$44,$A3697,Premissas!$B$5:$B$44,$B3697)+P3697*SUMIFS(Premissas!$D$5:$D$44,Premissas!$A$5:$A$44,$A3697,Premissas!$B$5:$B$44,$B3697))+R3697*SUMIFS(Premissas!$E$5:$E$44,Premissas!$A$5:$A$44,$A3697,Premissas!$B$5:$B$44,$B3697)+S3697*SUMIFS(Premissas!$F$5:$F$44,Premissas!$A$5:$A$44,$A3697,Premissas!$B$5:$B$44,$B3697)</f>
        <v/>
      </c>
      <c r="L3697" s="29">
        <f>J3697-K3697</f>
        <v/>
      </c>
      <c r="M3697" t="inlineStr">
        <is>
          <t>1.350</t>
        </is>
      </c>
      <c r="N3697" t="inlineStr">
        <is>
          <t>Modalidade: 0 - Por conta do remetente | Parte: DOCE MEL EMBALAGENS E FESTAS (10.989.624/0001-37)</t>
        </is>
      </c>
      <c r="O3697" s="29" t="n">
        <v>0</v>
      </c>
      <c r="P3697" s="29" t="n">
        <v>0</v>
      </c>
      <c r="Q3697" s="29" t="n">
        <v>0</v>
      </c>
      <c r="R3697" s="29" t="n">
        <v>0</v>
      </c>
      <c r="S3697" s="29" t="n">
        <v>0</v>
      </c>
      <c r="T3697" t="inlineStr">
        <is>
          <t>25260626975620000130570010000073791001401806</t>
        </is>
      </c>
      <c r="U3697" t="inlineStr">
        <is>
          <t>Não</t>
        </is>
      </c>
    </row>
    <row r="3698">
      <c r="A3698" t="inlineStr">
        <is>
          <t>Frete de venda</t>
        </is>
      </c>
      <c r="B3698" t="inlineStr">
        <is>
          <t>2.01.02 Frete sobre Vendas</t>
        </is>
      </c>
      <c r="C3698" s="30" t="n">
        <v>46174</v>
      </c>
      <c r="D3698" t="inlineStr">
        <is>
          <t>Em 2026</t>
        </is>
      </c>
      <c r="E3698" s="28" t="n">
        <v>46190</v>
      </c>
      <c r="F3698" t="inlineStr">
        <is>
          <t>CT-e</t>
        </is>
      </c>
      <c r="G3698" t="inlineStr">
        <is>
          <t>000007380</t>
        </is>
      </c>
      <c r="H3698" t="inlineStr">
        <is>
          <t>R&amp;R TRANSPORTE E LOGISTICA</t>
        </is>
      </c>
      <c r="J3698" s="29" t="n">
        <v>22.72</v>
      </c>
      <c r="K3698" s="29">
        <f>(1-ISNUMBER(SEARCH("556",M3698)))*(O3698*SUMIFS(Premissas!$C$5:$C$44,Premissas!$A$5:$A$44,$A3698,Premissas!$B$5:$B$44,$B3698)+P3698*SUMIFS(Premissas!$D$5:$D$44,Premissas!$A$5:$A$44,$A3698,Premissas!$B$5:$B$44,$B3698))+R3698*SUMIFS(Premissas!$E$5:$E$44,Premissas!$A$5:$A$44,$A3698,Premissas!$B$5:$B$44,$B3698)+S3698*SUMIFS(Premissas!$F$5:$F$44,Premissas!$A$5:$A$44,$A3698,Premissas!$B$5:$B$44,$B3698)</f>
        <v/>
      </c>
      <c r="L3698" s="29">
        <f>J3698-K3698</f>
        <v/>
      </c>
      <c r="M3698" t="inlineStr">
        <is>
          <t>1.350</t>
        </is>
      </c>
      <c r="N3698" t="inlineStr">
        <is>
          <t>Modalidade: 0 - Por conta do remetente | Parte: FRIOS FESTA UTILIDADES LTDA (48.196.330/0001-20)</t>
        </is>
      </c>
      <c r="O3698" s="29" t="n">
        <v>0</v>
      </c>
      <c r="P3698" s="29" t="n">
        <v>0</v>
      </c>
      <c r="Q3698" s="29" t="n">
        <v>0</v>
      </c>
      <c r="R3698" s="29" t="n">
        <v>0</v>
      </c>
      <c r="S3698" s="29" t="n">
        <v>0</v>
      </c>
      <c r="T3698" t="inlineStr">
        <is>
          <t>25260626975620000130570010000073801001101889</t>
        </is>
      </c>
      <c r="U3698" t="inlineStr">
        <is>
          <t>Não</t>
        </is>
      </c>
    </row>
    <row r="3699">
      <c r="A3699" t="inlineStr">
        <is>
          <t>Frete de venda</t>
        </is>
      </c>
      <c r="B3699" t="inlineStr">
        <is>
          <t>2.01.02 Frete sobre Vendas</t>
        </is>
      </c>
      <c r="C3699" s="30" t="n">
        <v>46174</v>
      </c>
      <c r="D3699" t="inlineStr">
        <is>
          <t>Em 2026</t>
        </is>
      </c>
      <c r="E3699" s="28" t="n">
        <v>46190</v>
      </c>
      <c r="F3699" t="inlineStr">
        <is>
          <t>CT-e</t>
        </is>
      </c>
      <c r="G3699" t="inlineStr">
        <is>
          <t>000007381</t>
        </is>
      </c>
      <c r="H3699" t="inlineStr">
        <is>
          <t>R&amp;R TRANSPORTE E LOGISTICA</t>
        </is>
      </c>
      <c r="J3699" s="29" t="n">
        <v>16.98</v>
      </c>
      <c r="K3699" s="29">
        <f>(1-ISNUMBER(SEARCH("556",M3699)))*(O3699*SUMIFS(Premissas!$C$5:$C$44,Premissas!$A$5:$A$44,$A3699,Premissas!$B$5:$B$44,$B3699)+P3699*SUMIFS(Premissas!$D$5:$D$44,Premissas!$A$5:$A$44,$A3699,Premissas!$B$5:$B$44,$B3699))+R3699*SUMIFS(Premissas!$E$5:$E$44,Premissas!$A$5:$A$44,$A3699,Premissas!$B$5:$B$44,$B3699)+S3699*SUMIFS(Premissas!$F$5:$F$44,Premissas!$A$5:$A$44,$A3699,Premissas!$B$5:$B$44,$B3699)</f>
        <v/>
      </c>
      <c r="L3699" s="29">
        <f>J3699-K3699</f>
        <v/>
      </c>
      <c r="M3699" t="inlineStr">
        <is>
          <t>1.350</t>
        </is>
      </c>
      <c r="N3699" t="inlineStr">
        <is>
          <t>Modalidade: 0 - Por conta do remetente | Parte: IRACI ROSA DA CUNHA LTDA (01.180.241/0001-22)</t>
        </is>
      </c>
      <c r="O3699" s="29" t="n">
        <v>0</v>
      </c>
      <c r="P3699" s="29" t="n">
        <v>0</v>
      </c>
      <c r="Q3699" s="29" t="n">
        <v>0</v>
      </c>
      <c r="R3699" s="29" t="n">
        <v>0</v>
      </c>
      <c r="S3699" s="29" t="n">
        <v>0</v>
      </c>
      <c r="T3699" t="inlineStr">
        <is>
          <t>25260626975620000130570010000073811001901963</t>
        </is>
      </c>
      <c r="U3699" t="inlineStr">
        <is>
          <t>Não</t>
        </is>
      </c>
    </row>
    <row r="3700">
      <c r="A3700" t="inlineStr">
        <is>
          <t>Frete de venda</t>
        </is>
      </c>
      <c r="B3700" t="inlineStr">
        <is>
          <t>2.01.02 Frete sobre Vendas</t>
        </is>
      </c>
      <c r="C3700" s="30" t="n">
        <v>46174</v>
      </c>
      <c r="D3700" t="inlineStr">
        <is>
          <t>Em 2026</t>
        </is>
      </c>
      <c r="E3700" s="28" t="n">
        <v>46190</v>
      </c>
      <c r="F3700" t="inlineStr">
        <is>
          <t>CT-e</t>
        </is>
      </c>
      <c r="G3700" t="inlineStr">
        <is>
          <t>000007382</t>
        </is>
      </c>
      <c r="H3700" t="inlineStr">
        <is>
          <t>R&amp;R TRANSPORTE E LOGISTICA</t>
        </is>
      </c>
      <c r="J3700" s="29" t="n">
        <v>39.48</v>
      </c>
      <c r="K3700" s="29">
        <f>(1-ISNUMBER(SEARCH("556",M3700)))*(O3700*SUMIFS(Premissas!$C$5:$C$44,Premissas!$A$5:$A$44,$A3700,Premissas!$B$5:$B$44,$B3700)+P3700*SUMIFS(Premissas!$D$5:$D$44,Premissas!$A$5:$A$44,$A3700,Premissas!$B$5:$B$44,$B3700))+R3700*SUMIFS(Premissas!$E$5:$E$44,Premissas!$A$5:$A$44,$A3700,Premissas!$B$5:$B$44,$B3700)+S3700*SUMIFS(Premissas!$F$5:$F$44,Premissas!$A$5:$A$44,$A3700,Premissas!$B$5:$B$44,$B3700)</f>
        <v/>
      </c>
      <c r="L3700" s="29">
        <f>J3700-K3700</f>
        <v/>
      </c>
      <c r="M3700" t="inlineStr">
        <is>
          <t>1.350</t>
        </is>
      </c>
      <c r="N3700" t="inlineStr">
        <is>
          <t>Modalidade: 0 - Por conta do remetente | Parte: AGM PLASTICOS LTDA (19.429.803/0001-94)</t>
        </is>
      </c>
      <c r="O3700" s="29" t="n">
        <v>0</v>
      </c>
      <c r="P3700" s="29" t="n">
        <v>0</v>
      </c>
      <c r="Q3700" s="29" t="n">
        <v>0</v>
      </c>
      <c r="R3700" s="29" t="n">
        <v>0</v>
      </c>
      <c r="S3700" s="29" t="n">
        <v>0</v>
      </c>
      <c r="T3700" t="inlineStr">
        <is>
          <t>25260626975620000130570010000073821000110676</t>
        </is>
      </c>
      <c r="U3700" t="inlineStr">
        <is>
          <t>Não</t>
        </is>
      </c>
    </row>
    <row r="3701">
      <c r="A3701" t="inlineStr">
        <is>
          <t>Frete de venda</t>
        </is>
      </c>
      <c r="B3701" t="inlineStr">
        <is>
          <t>2.01.02 Frete sobre Vendas</t>
        </is>
      </c>
      <c r="C3701" s="30" t="n">
        <v>46174</v>
      </c>
      <c r="D3701" t="inlineStr">
        <is>
          <t>Em 2026</t>
        </is>
      </c>
      <c r="E3701" s="28" t="n">
        <v>46190</v>
      </c>
      <c r="F3701" t="inlineStr">
        <is>
          <t>CT-e</t>
        </is>
      </c>
      <c r="G3701" t="inlineStr">
        <is>
          <t>000007383</t>
        </is>
      </c>
      <c r="H3701" t="inlineStr">
        <is>
          <t>R&amp;R TRANSPORTE E LOGISTICA</t>
        </is>
      </c>
      <c r="J3701" s="29" t="n">
        <v>27.06</v>
      </c>
      <c r="K3701" s="29">
        <f>(1-ISNUMBER(SEARCH("556",M3701)))*(O3701*SUMIFS(Premissas!$C$5:$C$44,Premissas!$A$5:$A$44,$A3701,Premissas!$B$5:$B$44,$B3701)+P3701*SUMIFS(Premissas!$D$5:$D$44,Premissas!$A$5:$A$44,$A3701,Premissas!$B$5:$B$44,$B3701))+R3701*SUMIFS(Premissas!$E$5:$E$44,Premissas!$A$5:$A$44,$A3701,Premissas!$B$5:$B$44,$B3701)+S3701*SUMIFS(Premissas!$F$5:$F$44,Premissas!$A$5:$A$44,$A3701,Premissas!$B$5:$B$44,$B3701)</f>
        <v/>
      </c>
      <c r="L3701" s="29">
        <f>J3701-K3701</f>
        <v/>
      </c>
      <c r="M3701" t="inlineStr">
        <is>
          <t>1.350</t>
        </is>
      </c>
      <c r="N3701" t="inlineStr">
        <is>
          <t>Modalidade: 0 - Por conta do remetente | Parte: WILTON MARTINS DE SOUSA (52.568.727/0001-73)</t>
        </is>
      </c>
      <c r="O3701" s="29" t="n">
        <v>0</v>
      </c>
      <c r="P3701" s="29" t="n">
        <v>0</v>
      </c>
      <c r="Q3701" s="29" t="n">
        <v>0</v>
      </c>
      <c r="R3701" s="29" t="n">
        <v>0</v>
      </c>
      <c r="S3701" s="29" t="n">
        <v>0</v>
      </c>
      <c r="T3701" t="inlineStr">
        <is>
          <t>25260626975620000130570010000073831000190758</t>
        </is>
      </c>
      <c r="U3701" t="inlineStr">
        <is>
          <t>Não</t>
        </is>
      </c>
    </row>
    <row r="3702">
      <c r="A3702" t="inlineStr">
        <is>
          <t>Frete de venda</t>
        </is>
      </c>
      <c r="B3702" t="inlineStr">
        <is>
          <t>2.01.02 Frete sobre Vendas</t>
        </is>
      </c>
      <c r="C3702" s="30" t="n">
        <v>46174</v>
      </c>
      <c r="D3702" t="inlineStr">
        <is>
          <t>Em 2026</t>
        </is>
      </c>
      <c r="E3702" s="28" t="n">
        <v>46190</v>
      </c>
      <c r="F3702" t="inlineStr">
        <is>
          <t>CT-e</t>
        </is>
      </c>
      <c r="G3702" t="inlineStr">
        <is>
          <t>000007384</t>
        </is>
      </c>
      <c r="H3702" t="inlineStr">
        <is>
          <t>R&amp;R TRANSPORTE E LOGISTICA</t>
        </is>
      </c>
      <c r="J3702" s="29" t="n">
        <v>17.52</v>
      </c>
      <c r="K3702" s="29">
        <f>(1-ISNUMBER(SEARCH("556",M3702)))*(O3702*SUMIFS(Premissas!$C$5:$C$44,Premissas!$A$5:$A$44,$A3702,Premissas!$B$5:$B$44,$B3702)+P3702*SUMIFS(Premissas!$D$5:$D$44,Premissas!$A$5:$A$44,$A3702,Premissas!$B$5:$B$44,$B3702))+R3702*SUMIFS(Premissas!$E$5:$E$44,Premissas!$A$5:$A$44,$A3702,Premissas!$B$5:$B$44,$B3702)+S3702*SUMIFS(Premissas!$F$5:$F$44,Premissas!$A$5:$A$44,$A3702,Premissas!$B$5:$B$44,$B3702)</f>
        <v/>
      </c>
      <c r="L3702" s="29">
        <f>J3702-K3702</f>
        <v/>
      </c>
      <c r="M3702" t="inlineStr">
        <is>
          <t>1.350</t>
        </is>
      </c>
      <c r="N3702" t="inlineStr">
        <is>
          <t>Modalidade: 0 - Por conta do remetente | Parte: JL COMERCIO DE EMBALAGENS LTDA (44.623.770/0001-66)</t>
        </is>
      </c>
      <c r="O3702" s="29" t="n">
        <v>0</v>
      </c>
      <c r="P3702" s="29" t="n">
        <v>0</v>
      </c>
      <c r="Q3702" s="29" t="n">
        <v>0</v>
      </c>
      <c r="R3702" s="29" t="n">
        <v>0</v>
      </c>
      <c r="S3702" s="29" t="n">
        <v>0</v>
      </c>
      <c r="T3702" t="inlineStr">
        <is>
          <t>25260626975620000130570010000073841000160830</t>
        </is>
      </c>
      <c r="U3702" t="inlineStr">
        <is>
          <t>Não</t>
        </is>
      </c>
    </row>
    <row r="3703">
      <c r="A3703" t="inlineStr">
        <is>
          <t>Frete de venda</t>
        </is>
      </c>
      <c r="B3703" t="inlineStr">
        <is>
          <t>2.01.02 Frete sobre Vendas</t>
        </is>
      </c>
      <c r="C3703" s="30" t="n">
        <v>46174</v>
      </c>
      <c r="D3703" t="inlineStr">
        <is>
          <t>Em 2026</t>
        </is>
      </c>
      <c r="E3703" s="28" t="n">
        <v>46190</v>
      </c>
      <c r="F3703" t="inlineStr">
        <is>
          <t>CT-e</t>
        </is>
      </c>
      <c r="G3703" t="inlineStr">
        <is>
          <t>000007385</t>
        </is>
      </c>
      <c r="H3703" t="inlineStr">
        <is>
          <t>R&amp;R TRANSPORTE E LOGISTICA</t>
        </is>
      </c>
      <c r="J3703" s="29" t="n">
        <v>40.91</v>
      </c>
      <c r="K3703" s="29">
        <f>(1-ISNUMBER(SEARCH("556",M3703)))*(O3703*SUMIFS(Premissas!$C$5:$C$44,Premissas!$A$5:$A$44,$A3703,Premissas!$B$5:$B$44,$B3703)+P3703*SUMIFS(Premissas!$D$5:$D$44,Premissas!$A$5:$A$44,$A3703,Premissas!$B$5:$B$44,$B3703))+R3703*SUMIFS(Premissas!$E$5:$E$44,Premissas!$A$5:$A$44,$A3703,Premissas!$B$5:$B$44,$B3703)+S3703*SUMIFS(Premissas!$F$5:$F$44,Premissas!$A$5:$A$44,$A3703,Premissas!$B$5:$B$44,$B3703)</f>
        <v/>
      </c>
      <c r="L3703" s="29">
        <f>J3703-K3703</f>
        <v/>
      </c>
      <c r="M3703" t="inlineStr">
        <is>
          <t>1.350</t>
        </is>
      </c>
      <c r="N3703" t="inlineStr">
        <is>
          <t>Modalidade: 0 - Por conta do remetente | Parte: ATACAREJO DE BEBIDAS LTDA (44.438.467/0001-93)</t>
        </is>
      </c>
      <c r="O3703" s="29" t="n">
        <v>0</v>
      </c>
      <c r="P3703" s="29" t="n">
        <v>0</v>
      </c>
      <c r="Q3703" s="29" t="n">
        <v>0</v>
      </c>
      <c r="R3703" s="29" t="n">
        <v>0</v>
      </c>
      <c r="S3703" s="29" t="n">
        <v>0</v>
      </c>
      <c r="T3703" t="inlineStr">
        <is>
          <t>25260626975620000130570010000073851000130911</t>
        </is>
      </c>
      <c r="U3703" t="inlineStr">
        <is>
          <t>Não</t>
        </is>
      </c>
    </row>
    <row r="3704">
      <c r="A3704" t="inlineStr">
        <is>
          <t>Frete de venda</t>
        </is>
      </c>
      <c r="B3704" t="inlineStr">
        <is>
          <t>2.01.02 Frete sobre Vendas</t>
        </is>
      </c>
      <c r="C3704" s="30" t="n">
        <v>46174</v>
      </c>
      <c r="D3704" t="inlineStr">
        <is>
          <t>Em 2026</t>
        </is>
      </c>
      <c r="E3704" s="28" t="n">
        <v>46190</v>
      </c>
      <c r="F3704" t="inlineStr">
        <is>
          <t>CT-e</t>
        </is>
      </c>
      <c r="G3704" t="inlineStr">
        <is>
          <t>000007386</t>
        </is>
      </c>
      <c r="H3704" t="inlineStr">
        <is>
          <t>R&amp;R TRANSPORTE E LOGISTICA</t>
        </is>
      </c>
      <c r="J3704" s="29" t="n">
        <v>59.09</v>
      </c>
      <c r="K3704" s="29">
        <f>(1-ISNUMBER(SEARCH("556",M3704)))*(O3704*SUMIFS(Premissas!$C$5:$C$44,Premissas!$A$5:$A$44,$A3704,Premissas!$B$5:$B$44,$B3704)+P3704*SUMIFS(Premissas!$D$5:$D$44,Premissas!$A$5:$A$44,$A3704,Premissas!$B$5:$B$44,$B3704))+R3704*SUMIFS(Premissas!$E$5:$E$44,Premissas!$A$5:$A$44,$A3704,Premissas!$B$5:$B$44,$B3704)+S3704*SUMIFS(Premissas!$F$5:$F$44,Premissas!$A$5:$A$44,$A3704,Premissas!$B$5:$B$44,$B3704)</f>
        <v/>
      </c>
      <c r="L3704" s="29">
        <f>J3704-K3704</f>
        <v/>
      </c>
      <c r="M3704" t="inlineStr">
        <is>
          <t>1.350</t>
        </is>
      </c>
      <c r="N3704" t="inlineStr">
        <is>
          <t>Modalidade: 0 - Por conta do remetente | Parte: CASA PACK DISTRIBUICAO DE EMBALAGENS LTDA (43.564.720/0001-92)</t>
        </is>
      </c>
      <c r="O3704" s="29" t="n">
        <v>0</v>
      </c>
      <c r="P3704" s="29" t="n">
        <v>0</v>
      </c>
      <c r="Q3704" s="29" t="n">
        <v>0</v>
      </c>
      <c r="R3704" s="29" t="n">
        <v>0</v>
      </c>
      <c r="S3704" s="29" t="n">
        <v>0</v>
      </c>
      <c r="T3704" t="inlineStr">
        <is>
          <t>25260626975620000130570010000073861000010999</t>
        </is>
      </c>
      <c r="U3704" t="inlineStr">
        <is>
          <t>Não</t>
        </is>
      </c>
    </row>
    <row r="3705">
      <c r="A3705" t="inlineStr">
        <is>
          <t>Frete de venda</t>
        </is>
      </c>
      <c r="B3705" t="inlineStr">
        <is>
          <t>2.01.02 Frete sobre Vendas</t>
        </is>
      </c>
      <c r="C3705" s="30" t="n">
        <v>46174</v>
      </c>
      <c r="D3705" t="inlineStr">
        <is>
          <t>Em 2026</t>
        </is>
      </c>
      <c r="E3705" s="28" t="n">
        <v>46190</v>
      </c>
      <c r="F3705" t="inlineStr">
        <is>
          <t>CT-e</t>
        </is>
      </c>
      <c r="G3705" t="inlineStr">
        <is>
          <t>000007387</t>
        </is>
      </c>
      <c r="H3705" t="inlineStr">
        <is>
          <t>R&amp;R TRANSPORTE E LOGISTICA</t>
        </is>
      </c>
      <c r="J3705" s="29" t="n">
        <v>42.87</v>
      </c>
      <c r="K3705" s="29">
        <f>(1-ISNUMBER(SEARCH("556",M3705)))*(O3705*SUMIFS(Premissas!$C$5:$C$44,Premissas!$A$5:$A$44,$A3705,Premissas!$B$5:$B$44,$B3705)+P3705*SUMIFS(Premissas!$D$5:$D$44,Premissas!$A$5:$A$44,$A3705,Premissas!$B$5:$B$44,$B3705))+R3705*SUMIFS(Premissas!$E$5:$E$44,Premissas!$A$5:$A$44,$A3705,Premissas!$B$5:$B$44,$B3705)+S3705*SUMIFS(Premissas!$F$5:$F$44,Premissas!$A$5:$A$44,$A3705,Premissas!$B$5:$B$44,$B3705)</f>
        <v/>
      </c>
      <c r="L3705" s="29">
        <f>J3705-K3705</f>
        <v/>
      </c>
      <c r="M3705" t="inlineStr">
        <is>
          <t>1.350</t>
        </is>
      </c>
      <c r="N3705" t="inlineStr">
        <is>
          <t>Modalidade: 0 - Por conta do remetente | Parte: 52.106.813 WERONICA YAMACYRA CORDEIRO (52.106.813/0001-64)</t>
        </is>
      </c>
      <c r="O3705" s="29" t="n">
        <v>0</v>
      </c>
      <c r="P3705" s="29" t="n">
        <v>0</v>
      </c>
      <c r="Q3705" s="29" t="n">
        <v>0</v>
      </c>
      <c r="R3705" s="29" t="n">
        <v>0</v>
      </c>
      <c r="S3705" s="29" t="n">
        <v>0</v>
      </c>
      <c r="T3705" t="inlineStr">
        <is>
          <t>25260626975620000130570010000073871001801075</t>
        </is>
      </c>
      <c r="U3705" t="inlineStr">
        <is>
          <t>Não</t>
        </is>
      </c>
    </row>
    <row r="3706">
      <c r="A3706" t="inlineStr">
        <is>
          <t>Frete de venda</t>
        </is>
      </c>
      <c r="B3706" t="inlineStr">
        <is>
          <t>2.01.02 Frete sobre Vendas</t>
        </is>
      </c>
      <c r="C3706" s="30" t="n">
        <v>46174</v>
      </c>
      <c r="D3706" t="inlineStr">
        <is>
          <t>Em 2026</t>
        </is>
      </c>
      <c r="E3706" s="28" t="n">
        <v>46190</v>
      </c>
      <c r="F3706" t="inlineStr">
        <is>
          <t>CT-e</t>
        </is>
      </c>
      <c r="G3706" t="inlineStr">
        <is>
          <t>000007388</t>
        </is>
      </c>
      <c r="H3706" t="inlineStr">
        <is>
          <t>R&amp;R TRANSPORTE E LOGISTICA</t>
        </is>
      </c>
      <c r="J3706" s="29" t="n">
        <v>48.56</v>
      </c>
      <c r="K3706" s="29">
        <f>(1-ISNUMBER(SEARCH("556",M3706)))*(O3706*SUMIFS(Premissas!$C$5:$C$44,Premissas!$A$5:$A$44,$A3706,Premissas!$B$5:$B$44,$B3706)+P3706*SUMIFS(Premissas!$D$5:$D$44,Premissas!$A$5:$A$44,$A3706,Premissas!$B$5:$B$44,$B3706))+R3706*SUMIFS(Premissas!$E$5:$E$44,Premissas!$A$5:$A$44,$A3706,Premissas!$B$5:$B$44,$B3706)+S3706*SUMIFS(Premissas!$F$5:$F$44,Premissas!$A$5:$A$44,$A3706,Premissas!$B$5:$B$44,$B3706)</f>
        <v/>
      </c>
      <c r="L3706" s="29">
        <f>J3706-K3706</f>
        <v/>
      </c>
      <c r="M3706" t="inlineStr">
        <is>
          <t>1.350</t>
        </is>
      </c>
      <c r="N3706" t="inlineStr">
        <is>
          <t>Modalidade: 0 - Por conta do remetente | Parte: EMBALE DISTRIBUIDORA LTDA (33.193.258/0001-00)</t>
        </is>
      </c>
      <c r="O3706" s="29" t="n">
        <v>0</v>
      </c>
      <c r="P3706" s="29" t="n">
        <v>0</v>
      </c>
      <c r="Q3706" s="29" t="n">
        <v>0</v>
      </c>
      <c r="R3706" s="29" t="n">
        <v>0</v>
      </c>
      <c r="S3706" s="29" t="n">
        <v>0</v>
      </c>
      <c r="T3706" t="inlineStr">
        <is>
          <t>25260626975620000130570010000073881001501150</t>
        </is>
      </c>
      <c r="U3706" t="inlineStr">
        <is>
          <t>Não</t>
        </is>
      </c>
    </row>
    <row r="3707">
      <c r="A3707" t="inlineStr">
        <is>
          <t>Frete de venda</t>
        </is>
      </c>
      <c r="B3707" t="inlineStr">
        <is>
          <t>2.01.02 Frete sobre Vendas</t>
        </is>
      </c>
      <c r="C3707" s="30" t="n">
        <v>46174</v>
      </c>
      <c r="D3707" t="inlineStr">
        <is>
          <t>Em 2026</t>
        </is>
      </c>
      <c r="E3707" s="28" t="n">
        <v>46191</v>
      </c>
      <c r="F3707" t="inlineStr">
        <is>
          <t>CT-e</t>
        </is>
      </c>
      <c r="G3707" t="inlineStr">
        <is>
          <t>000007389</t>
        </is>
      </c>
      <c r="H3707" t="inlineStr">
        <is>
          <t>R&amp;R TRANSPORTE E LOGISTICA</t>
        </is>
      </c>
      <c r="J3707" s="29" t="n">
        <v>200</v>
      </c>
      <c r="K3707" s="29">
        <f>(1-ISNUMBER(SEARCH("556",M3707)))*(O3707*SUMIFS(Premissas!$C$5:$C$44,Premissas!$A$5:$A$44,$A3707,Premissas!$B$5:$B$44,$B3707)+P3707*SUMIFS(Premissas!$D$5:$D$44,Premissas!$A$5:$A$44,$A3707,Premissas!$B$5:$B$44,$B3707))+R3707*SUMIFS(Premissas!$E$5:$E$44,Premissas!$A$5:$A$44,$A3707,Premissas!$B$5:$B$44,$B3707)+S3707*SUMIFS(Premissas!$F$5:$F$44,Premissas!$A$5:$A$44,$A3707,Premissas!$B$5:$B$44,$B3707)</f>
        <v/>
      </c>
      <c r="L3707" s="29">
        <f>J3707-K3707</f>
        <v/>
      </c>
      <c r="M3707" t="inlineStr">
        <is>
          <t>1.350</t>
        </is>
      </c>
      <c r="N3707" t="inlineStr">
        <is>
          <t>Modalidade: 0 - Por conta do remetente | Parte: JR EMBALAGENS LTDA (05.441.117/0001-24)</t>
        </is>
      </c>
      <c r="O3707" s="29" t="n">
        <v>0</v>
      </c>
      <c r="P3707" s="29" t="n">
        <v>0</v>
      </c>
      <c r="Q3707" s="29" t="n">
        <v>0</v>
      </c>
      <c r="R3707" s="29" t="n">
        <v>0</v>
      </c>
      <c r="S3707" s="29" t="n">
        <v>0</v>
      </c>
      <c r="T3707" t="inlineStr">
        <is>
          <t>25260626975620000130570010000073891001201234</t>
        </is>
      </c>
      <c r="U3707" t="inlineStr">
        <is>
          <t>Não</t>
        </is>
      </c>
    </row>
    <row r="3708">
      <c r="A3708" t="inlineStr">
        <is>
          <t>Frete de venda</t>
        </is>
      </c>
      <c r="B3708" t="inlineStr">
        <is>
          <t>2.01.02 Frete sobre Vendas</t>
        </is>
      </c>
      <c r="C3708" s="30" t="n">
        <v>46174</v>
      </c>
      <c r="D3708" t="inlineStr">
        <is>
          <t>Em 2026</t>
        </is>
      </c>
      <c r="E3708" s="28" t="n">
        <v>46191</v>
      </c>
      <c r="F3708" t="inlineStr">
        <is>
          <t>CT-e</t>
        </is>
      </c>
      <c r="G3708" t="inlineStr">
        <is>
          <t>000007390</t>
        </is>
      </c>
      <c r="H3708" t="inlineStr">
        <is>
          <t>R&amp;R TRANSPORTE E LOGISTICA</t>
        </is>
      </c>
      <c r="J3708" s="29" t="n">
        <v>200</v>
      </c>
      <c r="K3708" s="29">
        <f>(1-ISNUMBER(SEARCH("556",M3708)))*(O3708*SUMIFS(Premissas!$C$5:$C$44,Premissas!$A$5:$A$44,$A3708,Premissas!$B$5:$B$44,$B3708)+P3708*SUMIFS(Premissas!$D$5:$D$44,Premissas!$A$5:$A$44,$A3708,Premissas!$B$5:$B$44,$B3708))+R3708*SUMIFS(Premissas!$E$5:$E$44,Premissas!$A$5:$A$44,$A3708,Premissas!$B$5:$B$44,$B3708)+S3708*SUMIFS(Premissas!$F$5:$F$44,Premissas!$A$5:$A$44,$A3708,Premissas!$B$5:$B$44,$B3708)</f>
        <v/>
      </c>
      <c r="L3708" s="29">
        <f>J3708-K3708</f>
        <v/>
      </c>
      <c r="M3708" t="inlineStr">
        <is>
          <t>1.350</t>
        </is>
      </c>
      <c r="N3708" t="inlineStr">
        <is>
          <t>Modalidade: 0 - Por conta do remetente | Parte: IRMAOS HALULI LTDA (10.773.984/0001-05)</t>
        </is>
      </c>
      <c r="O3708" s="29" t="n">
        <v>0</v>
      </c>
      <c r="P3708" s="29" t="n">
        <v>0</v>
      </c>
      <c r="Q3708" s="29" t="n">
        <v>0</v>
      </c>
      <c r="R3708" s="29" t="n">
        <v>0</v>
      </c>
      <c r="S3708" s="29" t="n">
        <v>0</v>
      </c>
      <c r="T3708" t="inlineStr">
        <is>
          <t>25260626975620000130570010000073901011001310</t>
        </is>
      </c>
      <c r="U3708" t="inlineStr">
        <is>
          <t>Não</t>
        </is>
      </c>
    </row>
    <row r="3709">
      <c r="A3709" t="inlineStr">
        <is>
          <t>Frete de venda</t>
        </is>
      </c>
      <c r="B3709" t="inlineStr">
        <is>
          <t>2.01.02 Frete sobre Vendas</t>
        </is>
      </c>
      <c r="C3709" s="30" t="n">
        <v>46174</v>
      </c>
      <c r="D3709" t="inlineStr">
        <is>
          <t>Em 2026</t>
        </is>
      </c>
      <c r="E3709" s="28" t="n">
        <v>46191</v>
      </c>
      <c r="F3709" t="inlineStr">
        <is>
          <t>CT-e</t>
        </is>
      </c>
      <c r="G3709" t="inlineStr">
        <is>
          <t>000007391</t>
        </is>
      </c>
      <c r="H3709" t="inlineStr">
        <is>
          <t>R&amp;R TRANSPORTE E LOGISTICA</t>
        </is>
      </c>
      <c r="J3709" s="29" t="n">
        <v>200</v>
      </c>
      <c r="K3709" s="29">
        <f>(1-ISNUMBER(SEARCH("556",M3709)))*(O3709*SUMIFS(Premissas!$C$5:$C$44,Premissas!$A$5:$A$44,$A3709,Premissas!$B$5:$B$44,$B3709)+P3709*SUMIFS(Premissas!$D$5:$D$44,Premissas!$A$5:$A$44,$A3709,Premissas!$B$5:$B$44,$B3709))+R3709*SUMIFS(Premissas!$E$5:$E$44,Premissas!$A$5:$A$44,$A3709,Premissas!$B$5:$B$44,$B3709)+S3709*SUMIFS(Premissas!$F$5:$F$44,Premissas!$A$5:$A$44,$A3709,Premissas!$B$5:$B$44,$B3709)</f>
        <v/>
      </c>
      <c r="L3709" s="29">
        <f>J3709-K3709</f>
        <v/>
      </c>
      <c r="M3709" t="inlineStr">
        <is>
          <t>1.350</t>
        </is>
      </c>
      <c r="N3709" t="inlineStr">
        <is>
          <t>Modalidade: 0 - Por conta do remetente | Parte: MACROPAC PROTECAO E EMBALAGEM LTDA (11.840.014/0001-30)</t>
        </is>
      </c>
      <c r="O3709" s="29" t="n">
        <v>0</v>
      </c>
      <c r="P3709" s="29" t="n">
        <v>0</v>
      </c>
      <c r="Q3709" s="29" t="n">
        <v>0</v>
      </c>
      <c r="R3709" s="29" t="n">
        <v>0</v>
      </c>
      <c r="S3709" s="29" t="n">
        <v>0</v>
      </c>
      <c r="T3709" t="inlineStr">
        <is>
          <t>25260626975620000130570010000073911001701391</t>
        </is>
      </c>
      <c r="U3709" t="inlineStr">
        <is>
          <t>Não</t>
        </is>
      </c>
    </row>
    <row r="3710">
      <c r="A3710" t="inlineStr">
        <is>
          <t>Frete de venda</t>
        </is>
      </c>
      <c r="B3710" t="inlineStr">
        <is>
          <t>2.01.02 Frete sobre Vendas</t>
        </is>
      </c>
      <c r="C3710" s="30" t="n">
        <v>46174</v>
      </c>
      <c r="D3710" t="inlineStr">
        <is>
          <t>Em 2026</t>
        </is>
      </c>
      <c r="E3710" s="28" t="n">
        <v>46191</v>
      </c>
      <c r="F3710" t="inlineStr">
        <is>
          <t>CT-e</t>
        </is>
      </c>
      <c r="G3710" t="inlineStr">
        <is>
          <t>000007392</t>
        </is>
      </c>
      <c r="H3710" t="inlineStr">
        <is>
          <t>R&amp;R TRANSPORTE E LOGISTICA</t>
        </is>
      </c>
      <c r="J3710" s="29" t="n">
        <v>200</v>
      </c>
      <c r="K3710" s="29">
        <f>(1-ISNUMBER(SEARCH("556",M3710)))*(O3710*SUMIFS(Premissas!$C$5:$C$44,Premissas!$A$5:$A$44,$A3710,Premissas!$B$5:$B$44,$B3710)+P3710*SUMIFS(Premissas!$D$5:$D$44,Premissas!$A$5:$A$44,$A3710,Premissas!$B$5:$B$44,$B3710))+R3710*SUMIFS(Premissas!$E$5:$E$44,Premissas!$A$5:$A$44,$A3710,Premissas!$B$5:$B$44,$B3710)+S3710*SUMIFS(Premissas!$F$5:$F$44,Premissas!$A$5:$A$44,$A3710,Premissas!$B$5:$B$44,$B3710)</f>
        <v/>
      </c>
      <c r="L3710" s="29">
        <f>J3710-K3710</f>
        <v/>
      </c>
      <c r="M3710" t="inlineStr">
        <is>
          <t>1.350</t>
        </is>
      </c>
      <c r="N3710" t="inlineStr">
        <is>
          <t>Modalidade: 0 - Por conta do remetente | Parte: MACROFOOD SERVICE LTDA (63.233.517/0001-40)</t>
        </is>
      </c>
      <c r="O3710" s="29" t="n">
        <v>0</v>
      </c>
      <c r="P3710" s="29" t="n">
        <v>0</v>
      </c>
      <c r="Q3710" s="29" t="n">
        <v>0</v>
      </c>
      <c r="R3710" s="29" t="n">
        <v>0</v>
      </c>
      <c r="S3710" s="29" t="n">
        <v>0</v>
      </c>
      <c r="T3710" t="inlineStr">
        <is>
          <t>25260626975620000130570010000073921000180743</t>
        </is>
      </c>
      <c r="U3710" t="inlineStr">
        <is>
          <t>Não</t>
        </is>
      </c>
    </row>
    <row r="3711">
      <c r="A3711" t="inlineStr">
        <is>
          <t>Frete de venda</t>
        </is>
      </c>
      <c r="B3711" t="inlineStr">
        <is>
          <t>2.01.02 Frete sobre Vendas</t>
        </is>
      </c>
      <c r="C3711" s="30" t="n">
        <v>46174</v>
      </c>
      <c r="D3711" t="inlineStr">
        <is>
          <t>Em 2026</t>
        </is>
      </c>
      <c r="E3711" s="28" t="n">
        <v>46191</v>
      </c>
      <c r="F3711" t="inlineStr">
        <is>
          <t>CT-e</t>
        </is>
      </c>
      <c r="G3711" t="inlineStr">
        <is>
          <t>000007393</t>
        </is>
      </c>
      <c r="H3711" t="inlineStr">
        <is>
          <t>R&amp;R TRANSPORTE E LOGISTICA</t>
        </is>
      </c>
      <c r="J3711" s="29" t="n">
        <v>950</v>
      </c>
      <c r="K3711" s="29">
        <f>(1-ISNUMBER(SEARCH("556",M3711)))*(O3711*SUMIFS(Premissas!$C$5:$C$44,Premissas!$A$5:$A$44,$A3711,Premissas!$B$5:$B$44,$B3711)+P3711*SUMIFS(Premissas!$D$5:$D$44,Premissas!$A$5:$A$44,$A3711,Premissas!$B$5:$B$44,$B3711))+R3711*SUMIFS(Premissas!$E$5:$E$44,Premissas!$A$5:$A$44,$A3711,Premissas!$B$5:$B$44,$B3711)+S3711*SUMIFS(Premissas!$F$5:$F$44,Premissas!$A$5:$A$44,$A3711,Premissas!$B$5:$B$44,$B3711)</f>
        <v/>
      </c>
      <c r="L3711" s="29">
        <f>J3711-K3711</f>
        <v/>
      </c>
      <c r="M3711" t="inlineStr">
        <is>
          <t>1.350</t>
        </is>
      </c>
      <c r="N3711" t="inlineStr">
        <is>
          <t>Modalidade: 0 - Por conta do remetente | Parte: S PESSOA DISTRIBUIDOR IMPORT E EXPORT LTDA (04.823.214/0001-19)</t>
        </is>
      </c>
      <c r="O3711" s="29" t="n">
        <v>0</v>
      </c>
      <c r="P3711" s="29" t="n">
        <v>0</v>
      </c>
      <c r="Q3711" s="29" t="n">
        <v>0</v>
      </c>
      <c r="R3711" s="29" t="n">
        <v>0</v>
      </c>
      <c r="S3711" s="29" t="n">
        <v>0</v>
      </c>
      <c r="T3711" t="inlineStr">
        <is>
          <t>25260626975620000130570010000073931000120900</t>
        </is>
      </c>
      <c r="U3711" t="inlineStr">
        <is>
          <t>Não</t>
        </is>
      </c>
    </row>
    <row r="3712">
      <c r="A3712" t="inlineStr">
        <is>
          <t>Frete de venda</t>
        </is>
      </c>
      <c r="B3712" t="inlineStr">
        <is>
          <t>2.01.02 Frete sobre Vendas</t>
        </is>
      </c>
      <c r="C3712" s="30" t="n">
        <v>46174</v>
      </c>
      <c r="D3712" t="inlineStr">
        <is>
          <t>Em 2026</t>
        </is>
      </c>
      <c r="E3712" s="28" t="n">
        <v>46192</v>
      </c>
      <c r="F3712" t="inlineStr">
        <is>
          <t>CT-e</t>
        </is>
      </c>
      <c r="G3712" t="inlineStr">
        <is>
          <t>000007395</t>
        </is>
      </c>
      <c r="H3712" t="inlineStr">
        <is>
          <t>R&amp;R TRANSPORTE E LOGISTICA</t>
        </is>
      </c>
      <c r="J3712" s="29" t="n">
        <v>27.98</v>
      </c>
      <c r="K3712" s="29">
        <f>(1-ISNUMBER(SEARCH("556",M3712)))*(O3712*SUMIFS(Premissas!$C$5:$C$44,Premissas!$A$5:$A$44,$A3712,Premissas!$B$5:$B$44,$B3712)+P3712*SUMIFS(Premissas!$D$5:$D$44,Premissas!$A$5:$A$44,$A3712,Premissas!$B$5:$B$44,$B3712))+R3712*SUMIFS(Premissas!$E$5:$E$44,Premissas!$A$5:$A$44,$A3712,Premissas!$B$5:$B$44,$B3712)+S3712*SUMIFS(Premissas!$F$5:$F$44,Premissas!$A$5:$A$44,$A3712,Premissas!$B$5:$B$44,$B3712)</f>
        <v/>
      </c>
      <c r="L3712" s="29">
        <f>J3712-K3712</f>
        <v/>
      </c>
      <c r="M3712" t="inlineStr">
        <is>
          <t>1.350</t>
        </is>
      </c>
      <c r="N3712" t="inlineStr">
        <is>
          <t>Modalidade: 0 - Por conta do remetente | Parte: PARAHIBA EMBALAGENS LTDA (20.436.827/0001-50)</t>
        </is>
      </c>
      <c r="O3712" s="29" t="n">
        <v>0</v>
      </c>
      <c r="P3712" s="29" t="n">
        <v>0</v>
      </c>
      <c r="Q3712" s="29" t="n">
        <v>0</v>
      </c>
      <c r="R3712" s="29" t="n">
        <v>0</v>
      </c>
      <c r="S3712" s="29" t="n">
        <v>0</v>
      </c>
      <c r="T3712" t="inlineStr">
        <is>
          <t>25260626975620000130570010000073951000130802</t>
        </is>
      </c>
      <c r="U3712" t="inlineStr">
        <is>
          <t>Não</t>
        </is>
      </c>
    </row>
    <row r="3713">
      <c r="A3713" t="inlineStr">
        <is>
          <t>Frete de venda</t>
        </is>
      </c>
      <c r="B3713" t="inlineStr">
        <is>
          <t>2.01.02 Frete sobre Vendas</t>
        </is>
      </c>
      <c r="C3713" s="30" t="n">
        <v>46174</v>
      </c>
      <c r="D3713" t="inlineStr">
        <is>
          <t>Em 2026</t>
        </is>
      </c>
      <c r="E3713" s="28" t="n">
        <v>46192</v>
      </c>
      <c r="F3713" t="inlineStr">
        <is>
          <t>CT-e</t>
        </is>
      </c>
      <c r="G3713" t="inlineStr">
        <is>
          <t>000007396</t>
        </is>
      </c>
      <c r="H3713" t="inlineStr">
        <is>
          <t>R&amp;R TRANSPORTE E LOGISTICA</t>
        </is>
      </c>
      <c r="J3713" s="29" t="n">
        <v>20.71</v>
      </c>
      <c r="K3713" s="29">
        <f>(1-ISNUMBER(SEARCH("556",M3713)))*(O3713*SUMIFS(Premissas!$C$5:$C$44,Premissas!$A$5:$A$44,$A3713,Premissas!$B$5:$B$44,$B3713)+P3713*SUMIFS(Premissas!$D$5:$D$44,Premissas!$A$5:$A$44,$A3713,Premissas!$B$5:$B$44,$B3713))+R3713*SUMIFS(Premissas!$E$5:$E$44,Premissas!$A$5:$A$44,$A3713,Premissas!$B$5:$B$44,$B3713)+S3713*SUMIFS(Premissas!$F$5:$F$44,Premissas!$A$5:$A$44,$A3713,Premissas!$B$5:$B$44,$B3713)</f>
        <v/>
      </c>
      <c r="L3713" s="29">
        <f>J3713-K3713</f>
        <v/>
      </c>
      <c r="M3713" t="inlineStr">
        <is>
          <t>1.350</t>
        </is>
      </c>
      <c r="N3713" t="inlineStr">
        <is>
          <t>Modalidade: 0 - Por conta do remetente | Parte: KR DISTRIBUIDORA LTDA (22.108.289/0001-08)</t>
        </is>
      </c>
      <c r="O3713" s="29" t="n">
        <v>0</v>
      </c>
      <c r="P3713" s="29" t="n">
        <v>0</v>
      </c>
      <c r="Q3713" s="29" t="n">
        <v>0</v>
      </c>
      <c r="R3713" s="29" t="n">
        <v>0</v>
      </c>
      <c r="S3713" s="29" t="n">
        <v>0</v>
      </c>
      <c r="T3713" t="inlineStr">
        <is>
          <t>25260626975620000130570010000073961000010880</t>
        </is>
      </c>
      <c r="U3713" t="inlineStr">
        <is>
          <t>Não</t>
        </is>
      </c>
    </row>
    <row r="3714">
      <c r="A3714" t="inlineStr">
        <is>
          <t>Frete de venda</t>
        </is>
      </c>
      <c r="B3714" t="inlineStr">
        <is>
          <t>2.01.02 Frete sobre Vendas</t>
        </is>
      </c>
      <c r="C3714" s="30" t="n">
        <v>46174</v>
      </c>
      <c r="D3714" t="inlineStr">
        <is>
          <t>Em 2026</t>
        </is>
      </c>
      <c r="E3714" s="28" t="n">
        <v>46192</v>
      </c>
      <c r="F3714" t="inlineStr">
        <is>
          <t>CT-e</t>
        </is>
      </c>
      <c r="G3714" t="inlineStr">
        <is>
          <t>000007397</t>
        </is>
      </c>
      <c r="H3714" t="inlineStr">
        <is>
          <t>R&amp;R TRANSPORTE E LOGISTICA</t>
        </is>
      </c>
      <c r="J3714" s="29" t="n">
        <v>13.71</v>
      </c>
      <c r="K3714" s="29">
        <f>(1-ISNUMBER(SEARCH("556",M3714)))*(O3714*SUMIFS(Premissas!$C$5:$C$44,Premissas!$A$5:$A$44,$A3714,Premissas!$B$5:$B$44,$B3714)+P3714*SUMIFS(Premissas!$D$5:$D$44,Premissas!$A$5:$A$44,$A3714,Premissas!$B$5:$B$44,$B3714))+R3714*SUMIFS(Premissas!$E$5:$E$44,Premissas!$A$5:$A$44,$A3714,Premissas!$B$5:$B$44,$B3714)+S3714*SUMIFS(Premissas!$F$5:$F$44,Premissas!$A$5:$A$44,$A3714,Premissas!$B$5:$B$44,$B3714)</f>
        <v/>
      </c>
      <c r="L3714" s="29">
        <f>J3714-K3714</f>
        <v/>
      </c>
      <c r="M3714" t="inlineStr">
        <is>
          <t>1.350</t>
        </is>
      </c>
      <c r="N3714" t="inlineStr">
        <is>
          <t>Modalidade: 0 - Por conta do remetente | Parte: CEM % COMERCIO DE EQUIPAMENTOS LTDA (20.462.901/0001-02)</t>
        </is>
      </c>
      <c r="O3714" s="29" t="n">
        <v>0</v>
      </c>
      <c r="P3714" s="29" t="n">
        <v>0</v>
      </c>
      <c r="Q3714" s="29" t="n">
        <v>0</v>
      </c>
      <c r="R3714" s="29" t="n">
        <v>0</v>
      </c>
      <c r="S3714" s="29" t="n">
        <v>0</v>
      </c>
      <c r="T3714" t="inlineStr">
        <is>
          <t>25260626975620000130570010000073971000180960</t>
        </is>
      </c>
      <c r="U3714" t="inlineStr">
        <is>
          <t>Não</t>
        </is>
      </c>
    </row>
    <row r="3715">
      <c r="A3715" t="inlineStr">
        <is>
          <t>Frete de venda</t>
        </is>
      </c>
      <c r="B3715" t="inlineStr">
        <is>
          <t>2.01.02 Frete sobre Vendas</t>
        </is>
      </c>
      <c r="C3715" s="30" t="n">
        <v>46174</v>
      </c>
      <c r="D3715" t="inlineStr">
        <is>
          <t>Em 2026</t>
        </is>
      </c>
      <c r="E3715" s="28" t="n">
        <v>46192</v>
      </c>
      <c r="F3715" t="inlineStr">
        <is>
          <t>CT-e</t>
        </is>
      </c>
      <c r="G3715" t="inlineStr">
        <is>
          <t>000007398</t>
        </is>
      </c>
      <c r="H3715" t="inlineStr">
        <is>
          <t>R&amp;R TRANSPORTE E LOGISTICA</t>
        </is>
      </c>
      <c r="J3715" s="29" t="n">
        <v>17.26</v>
      </c>
      <c r="K3715" s="29">
        <f>(1-ISNUMBER(SEARCH("556",M3715)))*(O3715*SUMIFS(Premissas!$C$5:$C$44,Premissas!$A$5:$A$44,$A3715,Premissas!$B$5:$B$44,$B3715)+P3715*SUMIFS(Premissas!$D$5:$D$44,Premissas!$A$5:$A$44,$A3715,Premissas!$B$5:$B$44,$B3715))+R3715*SUMIFS(Premissas!$E$5:$E$44,Premissas!$A$5:$A$44,$A3715,Premissas!$B$5:$B$44,$B3715)+S3715*SUMIFS(Premissas!$F$5:$F$44,Premissas!$A$5:$A$44,$A3715,Premissas!$B$5:$B$44,$B3715)</f>
        <v/>
      </c>
      <c r="L3715" s="29">
        <f>J3715-K3715</f>
        <v/>
      </c>
      <c r="M3715" t="inlineStr">
        <is>
          <t>1.350</t>
        </is>
      </c>
      <c r="N3715" t="inlineStr">
        <is>
          <t>Modalidade: 0 - Por conta do remetente | Parte: TC COMERCIO DE EMBALAGENS LTDA (97.193.502/0001-18)</t>
        </is>
      </c>
      <c r="O3715" s="29" t="n">
        <v>0</v>
      </c>
      <c r="P3715" s="29" t="n">
        <v>0</v>
      </c>
      <c r="Q3715" s="29" t="n">
        <v>0</v>
      </c>
      <c r="R3715" s="29" t="n">
        <v>0</v>
      </c>
      <c r="S3715" s="29" t="n">
        <v>0</v>
      </c>
      <c r="T3715" t="inlineStr">
        <is>
          <t>25260626975620000130570010000073981001501040</t>
        </is>
      </c>
      <c r="U3715" t="inlineStr">
        <is>
          <t>Não</t>
        </is>
      </c>
    </row>
    <row r="3716">
      <c r="A3716" t="inlineStr">
        <is>
          <t>Frete de venda</t>
        </is>
      </c>
      <c r="B3716" t="inlineStr">
        <is>
          <t>2.01.02 Frete sobre Vendas</t>
        </is>
      </c>
      <c r="C3716" s="30" t="n">
        <v>46174</v>
      </c>
      <c r="D3716" t="inlineStr">
        <is>
          <t>Em 2026</t>
        </is>
      </c>
      <c r="E3716" s="28" t="n">
        <v>46192</v>
      </c>
      <c r="F3716" t="inlineStr">
        <is>
          <t>CT-e</t>
        </is>
      </c>
      <c r="G3716" t="inlineStr">
        <is>
          <t>000007399</t>
        </is>
      </c>
      <c r="H3716" t="inlineStr">
        <is>
          <t>R&amp;R TRANSPORTE E LOGISTICA</t>
        </is>
      </c>
      <c r="J3716" s="29" t="n">
        <v>18.93</v>
      </c>
      <c r="K3716" s="29">
        <f>(1-ISNUMBER(SEARCH("556",M3716)))*(O3716*SUMIFS(Premissas!$C$5:$C$44,Premissas!$A$5:$A$44,$A3716,Premissas!$B$5:$B$44,$B3716)+P3716*SUMIFS(Premissas!$D$5:$D$44,Premissas!$A$5:$A$44,$A3716,Premissas!$B$5:$B$44,$B3716))+R3716*SUMIFS(Premissas!$E$5:$E$44,Premissas!$A$5:$A$44,$A3716,Premissas!$B$5:$B$44,$B3716)+S3716*SUMIFS(Premissas!$F$5:$F$44,Premissas!$A$5:$A$44,$A3716,Premissas!$B$5:$B$44,$B3716)</f>
        <v/>
      </c>
      <c r="L3716" s="29">
        <f>J3716-K3716</f>
        <v/>
      </c>
      <c r="M3716" t="inlineStr">
        <is>
          <t>1.350</t>
        </is>
      </c>
      <c r="N3716" t="inlineStr">
        <is>
          <t>Modalidade: 0 - Por conta do remetente | Parte: M. FLORENCIA CAZALES CARDOZO LTDA (62.439.663/0001-64)</t>
        </is>
      </c>
      <c r="O3716" s="29" t="n">
        <v>0</v>
      </c>
      <c r="P3716" s="29" t="n">
        <v>0</v>
      </c>
      <c r="Q3716" s="29" t="n">
        <v>0</v>
      </c>
      <c r="R3716" s="29" t="n">
        <v>0</v>
      </c>
      <c r="S3716" s="29" t="n">
        <v>0</v>
      </c>
      <c r="T3716" t="inlineStr">
        <is>
          <t>25260626975620000130570010000073991001201125</t>
        </is>
      </c>
      <c r="U3716" t="inlineStr">
        <is>
          <t>Não</t>
        </is>
      </c>
    </row>
    <row r="3717">
      <c r="A3717" t="inlineStr">
        <is>
          <t>Frete de venda</t>
        </is>
      </c>
      <c r="B3717" t="inlineStr">
        <is>
          <t>2.01.02 Frete sobre Vendas</t>
        </is>
      </c>
      <c r="C3717" s="30" t="n">
        <v>46174</v>
      </c>
      <c r="D3717" t="inlineStr">
        <is>
          <t>Em 2026</t>
        </is>
      </c>
      <c r="E3717" s="28" t="n">
        <v>46192</v>
      </c>
      <c r="F3717" t="inlineStr">
        <is>
          <t>CT-e</t>
        </is>
      </c>
      <c r="G3717" t="inlineStr">
        <is>
          <t>000007400</t>
        </is>
      </c>
      <c r="H3717" t="inlineStr">
        <is>
          <t>R&amp;R TRANSPORTE E LOGISTICA</t>
        </is>
      </c>
      <c r="J3717" s="29" t="n">
        <v>40.7</v>
      </c>
      <c r="K3717" s="29">
        <f>(1-ISNUMBER(SEARCH("556",M3717)))*(O3717*SUMIFS(Premissas!$C$5:$C$44,Premissas!$A$5:$A$44,$A3717,Premissas!$B$5:$B$44,$B3717)+P3717*SUMIFS(Premissas!$D$5:$D$44,Premissas!$A$5:$A$44,$A3717,Premissas!$B$5:$B$44,$B3717))+R3717*SUMIFS(Premissas!$E$5:$E$44,Premissas!$A$5:$A$44,$A3717,Premissas!$B$5:$B$44,$B3717)+S3717*SUMIFS(Premissas!$F$5:$F$44,Premissas!$A$5:$A$44,$A3717,Premissas!$B$5:$B$44,$B3717)</f>
        <v/>
      </c>
      <c r="L3717" s="29">
        <f>J3717-K3717</f>
        <v/>
      </c>
      <c r="M3717" t="inlineStr">
        <is>
          <t>1.350</t>
        </is>
      </c>
      <c r="N3717" t="inlineStr">
        <is>
          <t>Modalidade: 0 - Por conta do remetente | Parte: ELTON DIEGO SOARES DE CASTRO LTDA (28.176.668/0001-03)</t>
        </is>
      </c>
      <c r="O3717" s="29" t="n">
        <v>0</v>
      </c>
      <c r="P3717" s="29" t="n">
        <v>0</v>
      </c>
      <c r="Q3717" s="29" t="n">
        <v>0</v>
      </c>
      <c r="R3717" s="29" t="n">
        <v>0</v>
      </c>
      <c r="S3717" s="29" t="n">
        <v>0</v>
      </c>
      <c r="T3717" t="inlineStr">
        <is>
          <t>25260626975620000130570010000074001011001202</t>
        </is>
      </c>
      <c r="U3717" t="inlineStr">
        <is>
          <t>Não</t>
        </is>
      </c>
    </row>
    <row r="3718">
      <c r="A3718" t="inlineStr">
        <is>
          <t>Frete de venda</t>
        </is>
      </c>
      <c r="B3718" t="inlineStr">
        <is>
          <t>2.01.02 Frete sobre Vendas</t>
        </is>
      </c>
      <c r="C3718" s="30" t="n">
        <v>46174</v>
      </c>
      <c r="D3718" t="inlineStr">
        <is>
          <t>Em 2026</t>
        </is>
      </c>
      <c r="E3718" s="28" t="n">
        <v>46192</v>
      </c>
      <c r="F3718" t="inlineStr">
        <is>
          <t>CT-e</t>
        </is>
      </c>
      <c r="G3718" t="inlineStr">
        <is>
          <t>000007401</t>
        </is>
      </c>
      <c r="H3718" t="inlineStr">
        <is>
          <t>R&amp;R TRANSPORTE E LOGISTICA</t>
        </is>
      </c>
      <c r="J3718" s="29" t="n">
        <v>69.79000000000001</v>
      </c>
      <c r="K3718" s="29">
        <f>(1-ISNUMBER(SEARCH("556",M3718)))*(O3718*SUMIFS(Premissas!$C$5:$C$44,Premissas!$A$5:$A$44,$A3718,Premissas!$B$5:$B$44,$B3718)+P3718*SUMIFS(Premissas!$D$5:$D$44,Premissas!$A$5:$A$44,$A3718,Premissas!$B$5:$B$44,$B3718))+R3718*SUMIFS(Premissas!$E$5:$E$44,Premissas!$A$5:$A$44,$A3718,Premissas!$B$5:$B$44,$B3718)+S3718*SUMIFS(Premissas!$F$5:$F$44,Premissas!$A$5:$A$44,$A3718,Premissas!$B$5:$B$44,$B3718)</f>
        <v/>
      </c>
      <c r="L3718" s="29">
        <f>J3718-K3718</f>
        <v/>
      </c>
      <c r="M3718" t="inlineStr">
        <is>
          <t>1.350</t>
        </is>
      </c>
      <c r="N3718" t="inlineStr">
        <is>
          <t>Modalidade: 0 - Por conta do remetente | Parte: TRIPACK DISTRIBUIDORA LTDA (35.313.349/0001-68)</t>
        </is>
      </c>
      <c r="O3718" s="29" t="n">
        <v>0</v>
      </c>
      <c r="P3718" s="29" t="n">
        <v>0</v>
      </c>
      <c r="Q3718" s="29" t="n">
        <v>0</v>
      </c>
      <c r="R3718" s="29" t="n">
        <v>0</v>
      </c>
      <c r="S3718" s="29" t="n">
        <v>0</v>
      </c>
      <c r="T3718" t="inlineStr">
        <is>
          <t>25260626975620000130570010000074011001701284</t>
        </is>
      </c>
      <c r="U3718" t="inlineStr">
        <is>
          <t>Não</t>
        </is>
      </c>
    </row>
    <row r="3719">
      <c r="A3719" t="inlineStr">
        <is>
          <t>Frete de venda</t>
        </is>
      </c>
      <c r="B3719" t="inlineStr">
        <is>
          <t>2.01.02 Frete sobre Vendas</t>
        </is>
      </c>
      <c r="C3719" s="30" t="n">
        <v>46174</v>
      </c>
      <c r="D3719" t="inlineStr">
        <is>
          <t>Em 2026</t>
        </is>
      </c>
      <c r="E3719" s="28" t="n">
        <v>46192</v>
      </c>
      <c r="F3719" t="inlineStr">
        <is>
          <t>CT-e</t>
        </is>
      </c>
      <c r="G3719" t="inlineStr">
        <is>
          <t>000007402</t>
        </is>
      </c>
      <c r="H3719" t="inlineStr">
        <is>
          <t>R&amp;R TRANSPORTE E LOGISTICA</t>
        </is>
      </c>
      <c r="J3719" s="29" t="n">
        <v>11.85</v>
      </c>
      <c r="K3719" s="29">
        <f>(1-ISNUMBER(SEARCH("556",M3719)))*(O3719*SUMIFS(Premissas!$C$5:$C$44,Premissas!$A$5:$A$44,$A3719,Premissas!$B$5:$B$44,$B3719)+P3719*SUMIFS(Premissas!$D$5:$D$44,Premissas!$A$5:$A$44,$A3719,Premissas!$B$5:$B$44,$B3719))+R3719*SUMIFS(Premissas!$E$5:$E$44,Premissas!$A$5:$A$44,$A3719,Premissas!$B$5:$B$44,$B3719)+S3719*SUMIFS(Premissas!$F$5:$F$44,Premissas!$A$5:$A$44,$A3719,Premissas!$B$5:$B$44,$B3719)</f>
        <v/>
      </c>
      <c r="L3719" s="29">
        <f>J3719-K3719</f>
        <v/>
      </c>
      <c r="M3719" t="inlineStr">
        <is>
          <t>1.350</t>
        </is>
      </c>
      <c r="N3719" t="inlineStr">
        <is>
          <t>Modalidade: 0 - Por conta do remetente | Parte: FRANCIELLI BOLICO PASSAIA 87756773004 (47.822.532/0001-78)</t>
        </is>
      </c>
      <c r="O3719" s="29" t="n">
        <v>0</v>
      </c>
      <c r="P3719" s="29" t="n">
        <v>0</v>
      </c>
      <c r="Q3719" s="29" t="n">
        <v>0</v>
      </c>
      <c r="R3719" s="29" t="n">
        <v>0</v>
      </c>
      <c r="S3719" s="29" t="n">
        <v>0</v>
      </c>
      <c r="T3719" t="inlineStr">
        <is>
          <t>25260626975620000130570010000074021001401369</t>
        </is>
      </c>
      <c r="U3719" t="inlineStr">
        <is>
          <t>Não</t>
        </is>
      </c>
    </row>
    <row r="3720">
      <c r="A3720" t="inlineStr">
        <is>
          <t>Frete de venda</t>
        </is>
      </c>
      <c r="B3720" t="inlineStr">
        <is>
          <t>2.01.02 Frete sobre Vendas</t>
        </is>
      </c>
      <c r="C3720" s="30" t="n">
        <v>46174</v>
      </c>
      <c r="D3720" t="inlineStr">
        <is>
          <t>Em 2026</t>
        </is>
      </c>
      <c r="E3720" s="28" t="n">
        <v>46192</v>
      </c>
      <c r="F3720" t="inlineStr">
        <is>
          <t>CT-e</t>
        </is>
      </c>
      <c r="G3720" t="inlineStr">
        <is>
          <t>000007403</t>
        </is>
      </c>
      <c r="H3720" t="inlineStr">
        <is>
          <t>R&amp;R TRANSPORTE E LOGISTICA</t>
        </is>
      </c>
      <c r="J3720" s="29" t="n">
        <v>31.37</v>
      </c>
      <c r="K3720" s="29">
        <f>(1-ISNUMBER(SEARCH("556",M3720)))*(O3720*SUMIFS(Premissas!$C$5:$C$44,Premissas!$A$5:$A$44,$A3720,Premissas!$B$5:$B$44,$B3720)+P3720*SUMIFS(Premissas!$D$5:$D$44,Premissas!$A$5:$A$44,$A3720,Premissas!$B$5:$B$44,$B3720))+R3720*SUMIFS(Premissas!$E$5:$E$44,Premissas!$A$5:$A$44,$A3720,Premissas!$B$5:$B$44,$B3720)+S3720*SUMIFS(Premissas!$F$5:$F$44,Premissas!$A$5:$A$44,$A3720,Premissas!$B$5:$B$44,$B3720)</f>
        <v/>
      </c>
      <c r="L3720" s="29">
        <f>J3720-K3720</f>
        <v/>
      </c>
      <c r="M3720" t="inlineStr">
        <is>
          <t>1.350</t>
        </is>
      </c>
      <c r="N3720" t="inlineStr">
        <is>
          <t>Modalidade: 0 - Por conta do remetente | Parte: TARCISIO J CIDRAL EMBALAGENS (07.324.834/0001-00)</t>
        </is>
      </c>
      <c r="O3720" s="29" t="n">
        <v>0</v>
      </c>
      <c r="P3720" s="29" t="n">
        <v>0</v>
      </c>
      <c r="Q3720" s="29" t="n">
        <v>0</v>
      </c>
      <c r="R3720" s="29" t="n">
        <v>0</v>
      </c>
      <c r="S3720" s="29" t="n">
        <v>0</v>
      </c>
      <c r="T3720" t="inlineStr">
        <is>
          <t>25260626975620000130570010000074031001101443</t>
        </is>
      </c>
      <c r="U3720" t="inlineStr">
        <is>
          <t>Não</t>
        </is>
      </c>
    </row>
    <row r="3721">
      <c r="A3721" t="inlineStr">
        <is>
          <t>Frete de venda</t>
        </is>
      </c>
      <c r="B3721" t="inlineStr">
        <is>
          <t>2.01.02 Frete sobre Vendas</t>
        </is>
      </c>
      <c r="C3721" s="30" t="n">
        <v>46174</v>
      </c>
      <c r="D3721" t="inlineStr">
        <is>
          <t>Em 2026</t>
        </is>
      </c>
      <c r="E3721" s="28" t="n">
        <v>46192</v>
      </c>
      <c r="F3721" t="inlineStr">
        <is>
          <t>CT-e</t>
        </is>
      </c>
      <c r="G3721" t="inlineStr">
        <is>
          <t>000007404</t>
        </is>
      </c>
      <c r="H3721" t="inlineStr">
        <is>
          <t>R&amp;R TRANSPORTE E LOGISTICA</t>
        </is>
      </c>
      <c r="J3721" s="29" t="n">
        <v>21.02</v>
      </c>
      <c r="K3721" s="29">
        <f>(1-ISNUMBER(SEARCH("556",M3721)))*(O3721*SUMIFS(Premissas!$C$5:$C$44,Premissas!$A$5:$A$44,$A3721,Premissas!$B$5:$B$44,$B3721)+P3721*SUMIFS(Premissas!$D$5:$D$44,Premissas!$A$5:$A$44,$A3721,Premissas!$B$5:$B$44,$B3721))+R3721*SUMIFS(Premissas!$E$5:$E$44,Premissas!$A$5:$A$44,$A3721,Premissas!$B$5:$B$44,$B3721)+S3721*SUMIFS(Premissas!$F$5:$F$44,Premissas!$A$5:$A$44,$A3721,Premissas!$B$5:$B$44,$B3721)</f>
        <v/>
      </c>
      <c r="L3721" s="29">
        <f>J3721-K3721</f>
        <v/>
      </c>
      <c r="M3721" t="inlineStr">
        <is>
          <t>1.350</t>
        </is>
      </c>
      <c r="N3721" t="inlineStr">
        <is>
          <t>Modalidade: 0 - Por conta do remetente | Parte: PLANALTO LTDA (16.890.040/0001-96)</t>
        </is>
      </c>
      <c r="O3721" s="29" t="n">
        <v>0</v>
      </c>
      <c r="P3721" s="29" t="n">
        <v>0</v>
      </c>
      <c r="Q3721" s="29" t="n">
        <v>0</v>
      </c>
      <c r="R3721" s="29" t="n">
        <v>0</v>
      </c>
      <c r="S3721" s="29" t="n">
        <v>0</v>
      </c>
      <c r="T3721" t="inlineStr">
        <is>
          <t>25260626975620000130570010000074041001901528</t>
        </is>
      </c>
      <c r="U3721" t="inlineStr">
        <is>
          <t>Não</t>
        </is>
      </c>
    </row>
    <row r="3722">
      <c r="A3722" t="inlineStr">
        <is>
          <t>Frete de venda</t>
        </is>
      </c>
      <c r="B3722" t="inlineStr">
        <is>
          <t>2.01.02 Frete sobre Vendas</t>
        </is>
      </c>
      <c r="C3722" s="30" t="n">
        <v>46174</v>
      </c>
      <c r="D3722" t="inlineStr">
        <is>
          <t>Em 2026</t>
        </is>
      </c>
      <c r="E3722" s="28" t="n">
        <v>46192</v>
      </c>
      <c r="F3722" t="inlineStr">
        <is>
          <t>CT-e</t>
        </is>
      </c>
      <c r="G3722" t="inlineStr">
        <is>
          <t>000007405</t>
        </is>
      </c>
      <c r="H3722" t="inlineStr">
        <is>
          <t>R&amp;R TRANSPORTE E LOGISTICA</t>
        </is>
      </c>
      <c r="J3722" s="29" t="n">
        <v>16.17</v>
      </c>
      <c r="K3722" s="29">
        <f>(1-ISNUMBER(SEARCH("556",M3722)))*(O3722*SUMIFS(Premissas!$C$5:$C$44,Premissas!$A$5:$A$44,$A3722,Premissas!$B$5:$B$44,$B3722)+P3722*SUMIFS(Premissas!$D$5:$D$44,Premissas!$A$5:$A$44,$A3722,Premissas!$B$5:$B$44,$B3722))+R3722*SUMIFS(Premissas!$E$5:$E$44,Premissas!$A$5:$A$44,$A3722,Premissas!$B$5:$B$44,$B3722)+S3722*SUMIFS(Premissas!$F$5:$F$44,Premissas!$A$5:$A$44,$A3722,Premissas!$B$5:$B$44,$B3722)</f>
        <v/>
      </c>
      <c r="L3722" s="29">
        <f>J3722-K3722</f>
        <v/>
      </c>
      <c r="M3722" t="inlineStr">
        <is>
          <t>1.350</t>
        </is>
      </c>
      <c r="N3722" t="inlineStr">
        <is>
          <t>Modalidade: 0 - Por conta do remetente | Parte: LP EMBALAGENS LTDA (54.687.706/0001-00)</t>
        </is>
      </c>
      <c r="O3722" s="29" t="n">
        <v>0</v>
      </c>
      <c r="P3722" s="29" t="n">
        <v>0</v>
      </c>
      <c r="Q3722" s="29" t="n">
        <v>0</v>
      </c>
      <c r="R3722" s="29" t="n">
        <v>0</v>
      </c>
      <c r="S3722" s="29" t="n">
        <v>0</v>
      </c>
      <c r="T3722" t="inlineStr">
        <is>
          <t>25260626975620000130570010000074051001100875</t>
        </is>
      </c>
      <c r="U3722" t="inlineStr">
        <is>
          <t>Não</t>
        </is>
      </c>
    </row>
    <row r="3723">
      <c r="A3723" t="inlineStr">
        <is>
          <t>Frete de venda</t>
        </is>
      </c>
      <c r="B3723" t="inlineStr">
        <is>
          <t>2.01.02 Frete sobre Vendas</t>
        </is>
      </c>
      <c r="C3723" s="30" t="n">
        <v>46174</v>
      </c>
      <c r="D3723" t="inlineStr">
        <is>
          <t>Em 2026</t>
        </is>
      </c>
      <c r="E3723" s="28" t="n">
        <v>46192</v>
      </c>
      <c r="F3723" t="inlineStr">
        <is>
          <t>CT-e</t>
        </is>
      </c>
      <c r="G3723" t="inlineStr">
        <is>
          <t>000007406</t>
        </is>
      </c>
      <c r="H3723" t="inlineStr">
        <is>
          <t>R&amp;R TRANSPORTE E LOGISTICA</t>
        </is>
      </c>
      <c r="J3723" s="29" t="n">
        <v>26.25</v>
      </c>
      <c r="K3723" s="29">
        <f>(1-ISNUMBER(SEARCH("556",M3723)))*(O3723*SUMIFS(Premissas!$C$5:$C$44,Premissas!$A$5:$A$44,$A3723,Premissas!$B$5:$B$44,$B3723)+P3723*SUMIFS(Premissas!$D$5:$D$44,Premissas!$A$5:$A$44,$A3723,Premissas!$B$5:$B$44,$B3723))+R3723*SUMIFS(Premissas!$E$5:$E$44,Premissas!$A$5:$A$44,$A3723,Premissas!$B$5:$B$44,$B3723)+S3723*SUMIFS(Premissas!$F$5:$F$44,Premissas!$A$5:$A$44,$A3723,Premissas!$B$5:$B$44,$B3723)</f>
        <v/>
      </c>
      <c r="L3723" s="29">
        <f>J3723-K3723</f>
        <v/>
      </c>
      <c r="M3723" t="inlineStr">
        <is>
          <t>1.350</t>
        </is>
      </c>
      <c r="N3723" t="inlineStr">
        <is>
          <t>Modalidade: 0 - Por conta do remetente | Parte: COMERCIO E REPRESENTACOES BELLATO LTDA (83.215.830/0001-63)</t>
        </is>
      </c>
      <c r="O3723" s="29" t="n">
        <v>0</v>
      </c>
      <c r="P3723" s="29" t="n">
        <v>0</v>
      </c>
      <c r="Q3723" s="29" t="n">
        <v>0</v>
      </c>
      <c r="R3723" s="29" t="n">
        <v>0</v>
      </c>
      <c r="S3723" s="29" t="n">
        <v>0</v>
      </c>
      <c r="T3723" t="inlineStr">
        <is>
          <t>25260626975620000130570010000074061000170958</t>
        </is>
      </c>
      <c r="U3723" t="inlineStr">
        <is>
          <t>Não</t>
        </is>
      </c>
    </row>
    <row r="3724">
      <c r="A3724" t="inlineStr">
        <is>
          <t>Frete de venda</t>
        </is>
      </c>
      <c r="B3724" t="inlineStr">
        <is>
          <t>2.01.02 Frete sobre Vendas</t>
        </is>
      </c>
      <c r="C3724" s="30" t="n">
        <v>46174</v>
      </c>
      <c r="D3724" t="inlineStr">
        <is>
          <t>Em 2026</t>
        </is>
      </c>
      <c r="E3724" s="28" t="n">
        <v>46192</v>
      </c>
      <c r="F3724" t="inlineStr">
        <is>
          <t>CT-e</t>
        </is>
      </c>
      <c r="G3724" t="inlineStr">
        <is>
          <t>000007407</t>
        </is>
      </c>
      <c r="H3724" t="inlineStr">
        <is>
          <t>R&amp;R TRANSPORTE E LOGISTICA</t>
        </is>
      </c>
      <c r="J3724" s="29" t="n">
        <v>56.61</v>
      </c>
      <c r="K3724" s="29">
        <f>(1-ISNUMBER(SEARCH("556",M3724)))*(O3724*SUMIFS(Premissas!$C$5:$C$44,Premissas!$A$5:$A$44,$A3724,Premissas!$B$5:$B$44,$B3724)+P3724*SUMIFS(Premissas!$D$5:$D$44,Premissas!$A$5:$A$44,$A3724,Premissas!$B$5:$B$44,$B3724))+R3724*SUMIFS(Premissas!$E$5:$E$44,Premissas!$A$5:$A$44,$A3724,Premissas!$B$5:$B$44,$B3724)+S3724*SUMIFS(Premissas!$F$5:$F$44,Premissas!$A$5:$A$44,$A3724,Premissas!$B$5:$B$44,$B3724)</f>
        <v/>
      </c>
      <c r="L3724" s="29">
        <f>J3724-K3724</f>
        <v/>
      </c>
      <c r="M3724" t="inlineStr">
        <is>
          <t>1.350</t>
        </is>
      </c>
      <c r="N3724" t="inlineStr">
        <is>
          <t>Modalidade: 0 - Por conta do remetente | Parte: AMAFE FESTAS LTDA (57.492.281/0001-64)</t>
        </is>
      </c>
      <c r="O3724" s="29" t="n">
        <v>0</v>
      </c>
      <c r="P3724" s="29" t="n">
        <v>0</v>
      </c>
      <c r="Q3724" s="29" t="n">
        <v>0</v>
      </c>
      <c r="R3724" s="29" t="n">
        <v>0</v>
      </c>
      <c r="S3724" s="29" t="n">
        <v>0</v>
      </c>
      <c r="T3724" t="inlineStr">
        <is>
          <t>25260626975620000130570010000074071001401039</t>
        </is>
      </c>
      <c r="U3724" t="inlineStr">
        <is>
          <t>Não</t>
        </is>
      </c>
    </row>
    <row r="3725">
      <c r="A3725" t="inlineStr">
        <is>
          <t>Frete de venda</t>
        </is>
      </c>
      <c r="B3725" t="inlineStr">
        <is>
          <t>2.01.02 Frete sobre Vendas</t>
        </is>
      </c>
      <c r="C3725" s="30" t="n">
        <v>46174</v>
      </c>
      <c r="D3725" t="inlineStr">
        <is>
          <t>Em 2026</t>
        </is>
      </c>
      <c r="E3725" s="28" t="n">
        <v>46192</v>
      </c>
      <c r="F3725" t="inlineStr">
        <is>
          <t>CT-e</t>
        </is>
      </c>
      <c r="G3725" t="inlineStr">
        <is>
          <t>000007408</t>
        </is>
      </c>
      <c r="H3725" t="inlineStr">
        <is>
          <t>R&amp;R TRANSPORTE E LOGISTICA</t>
        </is>
      </c>
      <c r="J3725" s="29" t="n">
        <v>37.2</v>
      </c>
      <c r="K3725" s="29">
        <f>(1-ISNUMBER(SEARCH("556",M3725)))*(O3725*SUMIFS(Premissas!$C$5:$C$44,Premissas!$A$5:$A$44,$A3725,Premissas!$B$5:$B$44,$B3725)+P3725*SUMIFS(Premissas!$D$5:$D$44,Premissas!$A$5:$A$44,$A3725,Premissas!$B$5:$B$44,$B3725))+R3725*SUMIFS(Premissas!$E$5:$E$44,Premissas!$A$5:$A$44,$A3725,Premissas!$B$5:$B$44,$B3725)+S3725*SUMIFS(Premissas!$F$5:$F$44,Premissas!$A$5:$A$44,$A3725,Premissas!$B$5:$B$44,$B3725)</f>
        <v/>
      </c>
      <c r="L3725" s="29">
        <f>J3725-K3725</f>
        <v/>
      </c>
      <c r="M3725" t="inlineStr">
        <is>
          <t>1.350</t>
        </is>
      </c>
      <c r="N3725" t="inlineStr">
        <is>
          <t>Modalidade: 0 - Por conta do remetente | Parte: BEBIFRIOS COMERCIAL LTDA (05.796.195/0001-41)</t>
        </is>
      </c>
      <c r="O3725" s="29" t="n">
        <v>0</v>
      </c>
      <c r="P3725" s="29" t="n">
        <v>0</v>
      </c>
      <c r="Q3725" s="29" t="n">
        <v>0</v>
      </c>
      <c r="R3725" s="29" t="n">
        <v>0</v>
      </c>
      <c r="S3725" s="29" t="n">
        <v>0</v>
      </c>
      <c r="T3725" t="inlineStr">
        <is>
          <t>25260626975620000130570010000074081001101113</t>
        </is>
      </c>
      <c r="U3725" t="inlineStr">
        <is>
          <t>Não</t>
        </is>
      </c>
    </row>
    <row r="3726">
      <c r="A3726" t="inlineStr">
        <is>
          <t>Frete de venda</t>
        </is>
      </c>
      <c r="B3726" t="inlineStr">
        <is>
          <t>2.01.02 Frete sobre Vendas</t>
        </is>
      </c>
      <c r="C3726" s="30" t="n">
        <v>46174</v>
      </c>
      <c r="D3726" t="inlineStr">
        <is>
          <t>Em 2026</t>
        </is>
      </c>
      <c r="E3726" s="28" t="n">
        <v>46192</v>
      </c>
      <c r="F3726" t="inlineStr">
        <is>
          <t>CT-e</t>
        </is>
      </c>
      <c r="G3726" t="inlineStr">
        <is>
          <t>000007409</t>
        </is>
      </c>
      <c r="H3726" t="inlineStr">
        <is>
          <t>R&amp;R TRANSPORTE E LOGISTICA</t>
        </is>
      </c>
      <c r="J3726" s="29" t="n">
        <v>23.32</v>
      </c>
      <c r="K3726" s="29">
        <f>(1-ISNUMBER(SEARCH("556",M3726)))*(O3726*SUMIFS(Premissas!$C$5:$C$44,Premissas!$A$5:$A$44,$A3726,Premissas!$B$5:$B$44,$B3726)+P3726*SUMIFS(Premissas!$D$5:$D$44,Premissas!$A$5:$A$44,$A3726,Premissas!$B$5:$B$44,$B3726))+R3726*SUMIFS(Premissas!$E$5:$E$44,Premissas!$A$5:$A$44,$A3726,Premissas!$B$5:$B$44,$B3726)+S3726*SUMIFS(Premissas!$F$5:$F$44,Premissas!$A$5:$A$44,$A3726,Premissas!$B$5:$B$44,$B3726)</f>
        <v/>
      </c>
      <c r="L3726" s="29">
        <f>J3726-K3726</f>
        <v/>
      </c>
      <c r="M3726" t="inlineStr">
        <is>
          <t>1.350</t>
        </is>
      </c>
      <c r="N3726" t="inlineStr">
        <is>
          <t>Modalidade: 0 - Por conta do remetente | Parte: PLASGI EMBALAGENS LTDA (80.361.579/0001-57)</t>
        </is>
      </c>
      <c r="O3726" s="29" t="n">
        <v>0</v>
      </c>
      <c r="P3726" s="29" t="n">
        <v>0</v>
      </c>
      <c r="Q3726" s="29" t="n">
        <v>0</v>
      </c>
      <c r="R3726" s="29" t="n">
        <v>0</v>
      </c>
      <c r="S3726" s="29" t="n">
        <v>0</v>
      </c>
      <c r="T3726" t="inlineStr">
        <is>
          <t>25260626975620000130570010000074091001901192</t>
        </is>
      </c>
      <c r="U3726" t="inlineStr">
        <is>
          <t>Não</t>
        </is>
      </c>
    </row>
    <row r="3727">
      <c r="A3727" t="inlineStr">
        <is>
          <t>Frete de venda</t>
        </is>
      </c>
      <c r="B3727" t="inlineStr">
        <is>
          <t>2.01.02 Frete sobre Vendas</t>
        </is>
      </c>
      <c r="C3727" s="30" t="n">
        <v>46174</v>
      </c>
      <c r="D3727" t="inlineStr">
        <is>
          <t>Em 2026</t>
        </is>
      </c>
      <c r="E3727" s="28" t="n">
        <v>46192</v>
      </c>
      <c r="F3727" t="inlineStr">
        <is>
          <t>CT-e</t>
        </is>
      </c>
      <c r="G3727" t="inlineStr">
        <is>
          <t>000007410</t>
        </is>
      </c>
      <c r="H3727" t="inlineStr">
        <is>
          <t>R&amp;R TRANSPORTE E LOGISTICA</t>
        </is>
      </c>
      <c r="J3727" s="29" t="n">
        <v>11.82</v>
      </c>
      <c r="K3727" s="29">
        <f>(1-ISNUMBER(SEARCH("556",M3727)))*(O3727*SUMIFS(Premissas!$C$5:$C$44,Premissas!$A$5:$A$44,$A3727,Premissas!$B$5:$B$44,$B3727)+P3727*SUMIFS(Premissas!$D$5:$D$44,Premissas!$A$5:$A$44,$A3727,Premissas!$B$5:$B$44,$B3727))+R3727*SUMIFS(Premissas!$E$5:$E$44,Premissas!$A$5:$A$44,$A3727,Premissas!$B$5:$B$44,$B3727)+S3727*SUMIFS(Premissas!$F$5:$F$44,Premissas!$A$5:$A$44,$A3727,Premissas!$B$5:$B$44,$B3727)</f>
        <v/>
      </c>
      <c r="L3727" s="29">
        <f>J3727-K3727</f>
        <v/>
      </c>
      <c r="M3727" t="inlineStr">
        <is>
          <t>1.350</t>
        </is>
      </c>
      <c r="N3727" t="inlineStr">
        <is>
          <t>Modalidade: 0 - Por conta do remetente | Parte: PIPOTECA COMERCIO DE DOCES LTDA (12.612.747/0001-80)</t>
        </is>
      </c>
      <c r="O3727" s="29" t="n">
        <v>0</v>
      </c>
      <c r="P3727" s="29" t="n">
        <v>0</v>
      </c>
      <c r="Q3727" s="29" t="n">
        <v>0</v>
      </c>
      <c r="R3727" s="29" t="n">
        <v>0</v>
      </c>
      <c r="S3727" s="29" t="n">
        <v>0</v>
      </c>
      <c r="T3727" t="inlineStr">
        <is>
          <t>25260626975620000130570010000074101001601270</t>
        </is>
      </c>
      <c r="U3727" t="inlineStr">
        <is>
          <t>Não</t>
        </is>
      </c>
    </row>
    <row r="3728">
      <c r="A3728" t="inlineStr">
        <is>
          <t>Frete de venda</t>
        </is>
      </c>
      <c r="B3728" t="inlineStr">
        <is>
          <t>2.01.02 Frete sobre Vendas</t>
        </is>
      </c>
      <c r="C3728" s="30" t="n">
        <v>46174</v>
      </c>
      <c r="D3728" t="inlineStr">
        <is>
          <t>Em 2026</t>
        </is>
      </c>
      <c r="E3728" s="28" t="n">
        <v>46192</v>
      </c>
      <c r="F3728" t="inlineStr">
        <is>
          <t>CT-e</t>
        </is>
      </c>
      <c r="G3728" t="inlineStr">
        <is>
          <t>000007411</t>
        </is>
      </c>
      <c r="H3728" t="inlineStr">
        <is>
          <t>R&amp;R TRANSPORTE E LOGISTICA</t>
        </is>
      </c>
      <c r="J3728" s="29" t="n">
        <v>20.25</v>
      </c>
      <c r="K3728" s="29">
        <f>(1-ISNUMBER(SEARCH("556",M3728)))*(O3728*SUMIFS(Premissas!$C$5:$C$44,Premissas!$A$5:$A$44,$A3728,Premissas!$B$5:$B$44,$B3728)+P3728*SUMIFS(Premissas!$D$5:$D$44,Premissas!$A$5:$A$44,$A3728,Premissas!$B$5:$B$44,$B3728))+R3728*SUMIFS(Premissas!$E$5:$E$44,Premissas!$A$5:$A$44,$A3728,Premissas!$B$5:$B$44,$B3728)+S3728*SUMIFS(Premissas!$F$5:$F$44,Premissas!$A$5:$A$44,$A3728,Premissas!$B$5:$B$44,$B3728)</f>
        <v/>
      </c>
      <c r="L3728" s="29">
        <f>J3728-K3728</f>
        <v/>
      </c>
      <c r="M3728" t="inlineStr">
        <is>
          <t>1.350</t>
        </is>
      </c>
      <c r="N3728" t="inlineStr">
        <is>
          <t>Modalidade: 0 - Por conta do remetente | Parte: MERCADO OSTERNACK LTDA (26.297.171/0001-18)</t>
        </is>
      </c>
      <c r="O3728" s="29" t="n">
        <v>0</v>
      </c>
      <c r="P3728" s="29" t="n">
        <v>0</v>
      </c>
      <c r="Q3728" s="29" t="n">
        <v>0</v>
      </c>
      <c r="R3728" s="29" t="n">
        <v>0</v>
      </c>
      <c r="S3728" s="29" t="n">
        <v>0</v>
      </c>
      <c r="T3728" t="inlineStr">
        <is>
          <t>25260626975620000130570010000074111001301355</t>
        </is>
      </c>
      <c r="U3728" t="inlineStr">
        <is>
          <t>Não</t>
        </is>
      </c>
    </row>
    <row r="3729">
      <c r="A3729" t="inlineStr">
        <is>
          <t>Frete de venda</t>
        </is>
      </c>
      <c r="B3729" t="inlineStr">
        <is>
          <t>2.01.02 Frete sobre Vendas</t>
        </is>
      </c>
      <c r="C3729" s="30" t="n">
        <v>46174</v>
      </c>
      <c r="D3729" t="inlineStr">
        <is>
          <t>Em 2026</t>
        </is>
      </c>
      <c r="E3729" s="28" t="n">
        <v>46192</v>
      </c>
      <c r="F3729" t="inlineStr">
        <is>
          <t>CT-e</t>
        </is>
      </c>
      <c r="G3729" t="inlineStr">
        <is>
          <t>000007412</t>
        </is>
      </c>
      <c r="H3729" t="inlineStr">
        <is>
          <t>R&amp;R TRANSPORTE E LOGISTICA</t>
        </is>
      </c>
      <c r="J3729" s="29" t="n">
        <v>26.89</v>
      </c>
      <c r="K3729" s="29">
        <f>(1-ISNUMBER(SEARCH("556",M3729)))*(O3729*SUMIFS(Premissas!$C$5:$C$44,Premissas!$A$5:$A$44,$A3729,Premissas!$B$5:$B$44,$B3729)+P3729*SUMIFS(Premissas!$D$5:$D$44,Premissas!$A$5:$A$44,$A3729,Premissas!$B$5:$B$44,$B3729))+R3729*SUMIFS(Premissas!$E$5:$E$44,Premissas!$A$5:$A$44,$A3729,Premissas!$B$5:$B$44,$B3729)+S3729*SUMIFS(Premissas!$F$5:$F$44,Premissas!$A$5:$A$44,$A3729,Premissas!$B$5:$B$44,$B3729)</f>
        <v/>
      </c>
      <c r="L3729" s="29">
        <f>J3729-K3729</f>
        <v/>
      </c>
      <c r="M3729" t="inlineStr">
        <is>
          <t>1.350</t>
        </is>
      </c>
      <c r="N3729" t="inlineStr">
        <is>
          <t>Modalidade: 0 - Por conta do remetente | Parte: MOYSA COMERCIO DE EMBALAGENS PLASTICAS LTDA (79.201.935/0001-96)</t>
        </is>
      </c>
      <c r="O3729" s="29" t="n">
        <v>0</v>
      </c>
      <c r="P3729" s="29" t="n">
        <v>0</v>
      </c>
      <c r="Q3729" s="29" t="n">
        <v>0</v>
      </c>
      <c r="R3729" s="29" t="n">
        <v>0</v>
      </c>
      <c r="S3729" s="29" t="n">
        <v>0</v>
      </c>
      <c r="T3729" t="inlineStr">
        <is>
          <t>25260626975620000130570010000074121000101430</t>
        </is>
      </c>
      <c r="U3729" t="inlineStr">
        <is>
          <t>Não</t>
        </is>
      </c>
    </row>
    <row r="3730">
      <c r="A3730" t="inlineStr">
        <is>
          <t>Frete de venda</t>
        </is>
      </c>
      <c r="B3730" t="inlineStr">
        <is>
          <t>2.01.02 Frete sobre Vendas</t>
        </is>
      </c>
      <c r="C3730" s="30" t="n">
        <v>46174</v>
      </c>
      <c r="D3730" t="inlineStr">
        <is>
          <t>Em 2026</t>
        </is>
      </c>
      <c r="E3730" s="28" t="n">
        <v>46192</v>
      </c>
      <c r="F3730" t="inlineStr">
        <is>
          <t>CT-e</t>
        </is>
      </c>
      <c r="G3730" t="inlineStr">
        <is>
          <t>000007413</t>
        </is>
      </c>
      <c r="H3730" t="inlineStr">
        <is>
          <t>R&amp;R TRANSPORTE E LOGISTICA</t>
        </is>
      </c>
      <c r="J3730" s="29" t="n">
        <v>14.22</v>
      </c>
      <c r="K3730" s="29">
        <f>(1-ISNUMBER(SEARCH("556",M3730)))*(O3730*SUMIFS(Premissas!$C$5:$C$44,Premissas!$A$5:$A$44,$A3730,Premissas!$B$5:$B$44,$B3730)+P3730*SUMIFS(Premissas!$D$5:$D$44,Premissas!$A$5:$A$44,$A3730,Premissas!$B$5:$B$44,$B3730))+R3730*SUMIFS(Premissas!$E$5:$E$44,Premissas!$A$5:$A$44,$A3730,Premissas!$B$5:$B$44,$B3730)+S3730*SUMIFS(Premissas!$F$5:$F$44,Premissas!$A$5:$A$44,$A3730,Premissas!$B$5:$B$44,$B3730)</f>
        <v/>
      </c>
      <c r="L3730" s="29">
        <f>J3730-K3730</f>
        <v/>
      </c>
      <c r="M3730" t="inlineStr">
        <is>
          <t>1.350</t>
        </is>
      </c>
      <c r="N3730" t="inlineStr">
        <is>
          <t>Modalidade: 0 - Por conta do remetente | Parte: EMPORIUM DAS GULOSEIMAS FESTAS E DECORACOES LTDA (13.151.187/0001-76)</t>
        </is>
      </c>
      <c r="O3730" s="29" t="n">
        <v>0</v>
      </c>
      <c r="P3730" s="29" t="n">
        <v>0</v>
      </c>
      <c r="Q3730" s="29" t="n">
        <v>0</v>
      </c>
      <c r="R3730" s="29" t="n">
        <v>0</v>
      </c>
      <c r="S3730" s="29" t="n">
        <v>0</v>
      </c>
      <c r="T3730" t="inlineStr">
        <is>
          <t>25260626975620000130570010000074131001801514</t>
        </is>
      </c>
      <c r="U3730" t="inlineStr">
        <is>
          <t>Não</t>
        </is>
      </c>
    </row>
    <row r="3731">
      <c r="A3731" t="inlineStr">
        <is>
          <t>Frete de venda</t>
        </is>
      </c>
      <c r="B3731" t="inlineStr">
        <is>
          <t>2.01.02 Frete sobre Vendas</t>
        </is>
      </c>
      <c r="C3731" s="30" t="n">
        <v>46174</v>
      </c>
      <c r="D3731" t="inlineStr">
        <is>
          <t>Em 2026</t>
        </is>
      </c>
      <c r="E3731" s="28" t="n">
        <v>46192</v>
      </c>
      <c r="F3731" t="inlineStr">
        <is>
          <t>CT-e</t>
        </is>
      </c>
      <c r="G3731" t="inlineStr">
        <is>
          <t>000007414</t>
        </is>
      </c>
      <c r="H3731" t="inlineStr">
        <is>
          <t>R&amp;R TRANSPORTE E LOGISTICA</t>
        </is>
      </c>
      <c r="J3731" s="29" t="n">
        <v>29.27</v>
      </c>
      <c r="K3731" s="29">
        <f>(1-ISNUMBER(SEARCH("556",M3731)))*(O3731*SUMIFS(Premissas!$C$5:$C$44,Premissas!$A$5:$A$44,$A3731,Premissas!$B$5:$B$44,$B3731)+P3731*SUMIFS(Premissas!$D$5:$D$44,Premissas!$A$5:$A$44,$A3731,Premissas!$B$5:$B$44,$B3731))+R3731*SUMIFS(Premissas!$E$5:$E$44,Premissas!$A$5:$A$44,$A3731,Premissas!$B$5:$B$44,$B3731)+S3731*SUMIFS(Premissas!$F$5:$F$44,Premissas!$A$5:$A$44,$A3731,Premissas!$B$5:$B$44,$B3731)</f>
        <v/>
      </c>
      <c r="L3731" s="29">
        <f>J3731-K3731</f>
        <v/>
      </c>
      <c r="M3731" t="inlineStr">
        <is>
          <t>1.350</t>
        </is>
      </c>
      <c r="N3731" t="inlineStr">
        <is>
          <t>Modalidade: 0 - Por conta do remetente | Parte: HCR - COMERCIO DE EMBALAGENS LTDA (01.730.981/0001-95)</t>
        </is>
      </c>
      <c r="O3731" s="29" t="n">
        <v>0</v>
      </c>
      <c r="P3731" s="29" t="n">
        <v>0</v>
      </c>
      <c r="Q3731" s="29" t="n">
        <v>0</v>
      </c>
      <c r="R3731" s="29" t="n">
        <v>0</v>
      </c>
      <c r="S3731" s="29" t="n">
        <v>0</v>
      </c>
      <c r="T3731" t="inlineStr">
        <is>
          <t>25260626975620000130570010000074141001501593</t>
        </is>
      </c>
      <c r="U3731" t="inlineStr">
        <is>
          <t>Não</t>
        </is>
      </c>
    </row>
    <row r="3732">
      <c r="A3732" t="inlineStr">
        <is>
          <t>Frete de venda</t>
        </is>
      </c>
      <c r="B3732" t="inlineStr">
        <is>
          <t>2.01.02 Frete sobre Vendas</t>
        </is>
      </c>
      <c r="C3732" s="30" t="n">
        <v>46174</v>
      </c>
      <c r="D3732" t="inlineStr">
        <is>
          <t>Em 2026</t>
        </is>
      </c>
      <c r="E3732" s="28" t="n">
        <v>46192</v>
      </c>
      <c r="F3732" t="inlineStr">
        <is>
          <t>CT-e</t>
        </is>
      </c>
      <c r="G3732" t="inlineStr">
        <is>
          <t>000007415</t>
        </is>
      </c>
      <c r="H3732" t="inlineStr">
        <is>
          <t>R&amp;R TRANSPORTE E LOGISTICA</t>
        </is>
      </c>
      <c r="J3732" s="29" t="n">
        <v>19.27</v>
      </c>
      <c r="K3732" s="29">
        <f>(1-ISNUMBER(SEARCH("556",M3732)))*(O3732*SUMIFS(Premissas!$C$5:$C$44,Premissas!$A$5:$A$44,$A3732,Premissas!$B$5:$B$44,$B3732)+P3732*SUMIFS(Premissas!$D$5:$D$44,Premissas!$A$5:$A$44,$A3732,Premissas!$B$5:$B$44,$B3732))+R3732*SUMIFS(Premissas!$E$5:$E$44,Premissas!$A$5:$A$44,$A3732,Premissas!$B$5:$B$44,$B3732)+S3732*SUMIFS(Premissas!$F$5:$F$44,Premissas!$A$5:$A$44,$A3732,Premissas!$B$5:$B$44,$B3732)</f>
        <v/>
      </c>
      <c r="L3732" s="29">
        <f>J3732-K3732</f>
        <v/>
      </c>
      <c r="M3732" t="inlineStr">
        <is>
          <t>1.350</t>
        </is>
      </c>
      <c r="N3732" t="inlineStr">
        <is>
          <t>Modalidade: 0 - Por conta do remetente | Parte: GD COMERCIO DE EMBALAGENS LTDA (66.843.669/0001-53)</t>
        </is>
      </c>
      <c r="O3732" s="29" t="n">
        <v>0</v>
      </c>
      <c r="P3732" s="29" t="n">
        <v>0</v>
      </c>
      <c r="Q3732" s="29" t="n">
        <v>0</v>
      </c>
      <c r="R3732" s="29" t="n">
        <v>0</v>
      </c>
      <c r="S3732" s="29" t="n">
        <v>0</v>
      </c>
      <c r="T3732" t="inlineStr">
        <is>
          <t>25260626975620000130570010000074151000160943</t>
        </is>
      </c>
      <c r="U3732" t="inlineStr">
        <is>
          <t>Não</t>
        </is>
      </c>
    </row>
    <row r="3733">
      <c r="A3733" t="inlineStr">
        <is>
          <t>Frete de venda</t>
        </is>
      </c>
      <c r="B3733" t="inlineStr">
        <is>
          <t>2.01.02 Frete sobre Vendas</t>
        </is>
      </c>
      <c r="C3733" s="30" t="n">
        <v>46174</v>
      </c>
      <c r="D3733" t="inlineStr">
        <is>
          <t>Em 2026</t>
        </is>
      </c>
      <c r="E3733" s="28" t="n">
        <v>46192</v>
      </c>
      <c r="F3733" t="inlineStr">
        <is>
          <t>CT-e</t>
        </is>
      </c>
      <c r="G3733" t="inlineStr">
        <is>
          <t>000007416</t>
        </is>
      </c>
      <c r="H3733" t="inlineStr">
        <is>
          <t>R&amp;R TRANSPORTE E LOGISTICA</t>
        </is>
      </c>
      <c r="J3733" s="29" t="n">
        <v>13.52</v>
      </c>
      <c r="K3733" s="29">
        <f>(1-ISNUMBER(SEARCH("556",M3733)))*(O3733*SUMIFS(Premissas!$C$5:$C$44,Premissas!$A$5:$A$44,$A3733,Premissas!$B$5:$B$44,$B3733)+P3733*SUMIFS(Premissas!$D$5:$D$44,Premissas!$A$5:$A$44,$A3733,Premissas!$B$5:$B$44,$B3733))+R3733*SUMIFS(Premissas!$E$5:$E$44,Premissas!$A$5:$A$44,$A3733,Premissas!$B$5:$B$44,$B3733)+S3733*SUMIFS(Premissas!$F$5:$F$44,Premissas!$A$5:$A$44,$A3733,Premissas!$B$5:$B$44,$B3733)</f>
        <v/>
      </c>
      <c r="L3733" s="29">
        <f>J3733-K3733</f>
        <v/>
      </c>
      <c r="M3733" t="inlineStr">
        <is>
          <t>1.350</t>
        </is>
      </c>
      <c r="N3733" t="inlineStr">
        <is>
          <t>Modalidade: 0 - Por conta do remetente | Parte: CASA DAS EMBALAGENS ARAGUARI LTDA (01.870.495/0001-72)</t>
        </is>
      </c>
      <c r="O3733" s="29" t="n">
        <v>0</v>
      </c>
      <c r="P3733" s="29" t="n">
        <v>0</v>
      </c>
      <c r="Q3733" s="29" t="n">
        <v>0</v>
      </c>
      <c r="R3733" s="29" t="n">
        <v>0</v>
      </c>
      <c r="S3733" s="29" t="n">
        <v>0</v>
      </c>
      <c r="T3733" t="inlineStr">
        <is>
          <t>25260626975620000130570010000074161001301025</t>
        </is>
      </c>
      <c r="U3733" t="inlineStr">
        <is>
          <t>Não</t>
        </is>
      </c>
    </row>
    <row r="3734">
      <c r="A3734" t="inlineStr">
        <is>
          <t>Frete de venda</t>
        </is>
      </c>
      <c r="B3734" t="inlineStr">
        <is>
          <t>2.01.02 Frete sobre Vendas</t>
        </is>
      </c>
      <c r="C3734" s="30" t="n">
        <v>46174</v>
      </c>
      <c r="D3734" t="inlineStr">
        <is>
          <t>Em 2026</t>
        </is>
      </c>
      <c r="E3734" s="28" t="n">
        <v>46192</v>
      </c>
      <c r="F3734" t="inlineStr">
        <is>
          <t>CT-e</t>
        </is>
      </c>
      <c r="G3734" t="inlineStr">
        <is>
          <t>000007417</t>
        </is>
      </c>
      <c r="H3734" t="inlineStr">
        <is>
          <t>R&amp;R TRANSPORTE E LOGISTICA</t>
        </is>
      </c>
      <c r="J3734" s="29" t="n">
        <v>25.96</v>
      </c>
      <c r="K3734" s="29">
        <f>(1-ISNUMBER(SEARCH("556",M3734)))*(O3734*SUMIFS(Premissas!$C$5:$C$44,Premissas!$A$5:$A$44,$A3734,Premissas!$B$5:$B$44,$B3734)+P3734*SUMIFS(Premissas!$D$5:$D$44,Premissas!$A$5:$A$44,$A3734,Premissas!$B$5:$B$44,$B3734))+R3734*SUMIFS(Premissas!$E$5:$E$44,Premissas!$A$5:$A$44,$A3734,Premissas!$B$5:$B$44,$B3734)+S3734*SUMIFS(Premissas!$F$5:$F$44,Premissas!$A$5:$A$44,$A3734,Premissas!$B$5:$B$44,$B3734)</f>
        <v/>
      </c>
      <c r="L3734" s="29">
        <f>J3734-K3734</f>
        <v/>
      </c>
      <c r="M3734" t="inlineStr">
        <is>
          <t>1.350</t>
        </is>
      </c>
      <c r="N3734" t="inlineStr">
        <is>
          <t>Modalidade: 0 - Por conta do remetente | Parte: EMBALAGENS BRASIL LTDA (66.430.737/0001-52)</t>
        </is>
      </c>
      <c r="O3734" s="29" t="n">
        <v>0</v>
      </c>
      <c r="P3734" s="29" t="n">
        <v>0</v>
      </c>
      <c r="Q3734" s="29" t="n">
        <v>0</v>
      </c>
      <c r="R3734" s="29" t="n">
        <v>0</v>
      </c>
      <c r="S3734" s="29" t="n">
        <v>0</v>
      </c>
      <c r="T3734" t="inlineStr">
        <is>
          <t>25260626975620000130570010000074171000101100</t>
        </is>
      </c>
      <c r="U3734" t="inlineStr">
        <is>
          <t>Não</t>
        </is>
      </c>
    </row>
    <row r="3735">
      <c r="A3735" t="inlineStr">
        <is>
          <t>Frete de venda</t>
        </is>
      </c>
      <c r="B3735" t="inlineStr">
        <is>
          <t>2.01.02 Frete sobre Vendas</t>
        </is>
      </c>
      <c r="C3735" s="30" t="n">
        <v>46174</v>
      </c>
      <c r="D3735" t="inlineStr">
        <is>
          <t>Em 2026</t>
        </is>
      </c>
      <c r="E3735" s="28" t="n">
        <v>46192</v>
      </c>
      <c r="F3735" t="inlineStr">
        <is>
          <t>CT-e</t>
        </is>
      </c>
      <c r="G3735" t="inlineStr">
        <is>
          <t>000007418</t>
        </is>
      </c>
      <c r="H3735" t="inlineStr">
        <is>
          <t>R&amp;R TRANSPORTE E LOGISTICA</t>
        </is>
      </c>
      <c r="J3735" s="29" t="n">
        <v>25.71</v>
      </c>
      <c r="K3735" s="29">
        <f>(1-ISNUMBER(SEARCH("556",M3735)))*(O3735*SUMIFS(Premissas!$C$5:$C$44,Premissas!$A$5:$A$44,$A3735,Premissas!$B$5:$B$44,$B3735)+P3735*SUMIFS(Premissas!$D$5:$D$44,Premissas!$A$5:$A$44,$A3735,Premissas!$B$5:$B$44,$B3735))+R3735*SUMIFS(Premissas!$E$5:$E$44,Premissas!$A$5:$A$44,$A3735,Premissas!$B$5:$B$44,$B3735)+S3735*SUMIFS(Premissas!$F$5:$F$44,Premissas!$A$5:$A$44,$A3735,Premissas!$B$5:$B$44,$B3735)</f>
        <v/>
      </c>
      <c r="L3735" s="29">
        <f>J3735-K3735</f>
        <v/>
      </c>
      <c r="M3735" t="inlineStr">
        <is>
          <t>1.350</t>
        </is>
      </c>
      <c r="N3735" t="inlineStr">
        <is>
          <t>Modalidade: 0 - Por conta do remetente | Parte: DISTRIBUIDORA BHF EMBALAGENS E FATIADOS LTDA (35.483.634/0001-27)</t>
        </is>
      </c>
      <c r="O3735" s="29" t="n">
        <v>0</v>
      </c>
      <c r="P3735" s="29" t="n">
        <v>0</v>
      </c>
      <c r="Q3735" s="29" t="n">
        <v>0</v>
      </c>
      <c r="R3735" s="29" t="n">
        <v>0</v>
      </c>
      <c r="S3735" s="29" t="n">
        <v>0</v>
      </c>
      <c r="T3735" t="inlineStr">
        <is>
          <t>25260626975620000130570010000074181001801189</t>
        </is>
      </c>
      <c r="U3735" t="inlineStr">
        <is>
          <t>Não</t>
        </is>
      </c>
    </row>
    <row r="3736">
      <c r="A3736" t="inlineStr">
        <is>
          <t>Frete de venda</t>
        </is>
      </c>
      <c r="B3736" t="inlineStr">
        <is>
          <t>2.01.02 Frete sobre Vendas</t>
        </is>
      </c>
      <c r="C3736" s="30" t="n">
        <v>46174</v>
      </c>
      <c r="D3736" t="inlineStr">
        <is>
          <t>Em 2026</t>
        </is>
      </c>
      <c r="E3736" s="28" t="n">
        <v>46192</v>
      </c>
      <c r="F3736" t="inlineStr">
        <is>
          <t>CT-e</t>
        </is>
      </c>
      <c r="G3736" t="inlineStr">
        <is>
          <t>000007419</t>
        </is>
      </c>
      <c r="H3736" t="inlineStr">
        <is>
          <t>R&amp;R TRANSPORTE E LOGISTICA</t>
        </is>
      </c>
      <c r="J3736" s="29" t="n">
        <v>15.48</v>
      </c>
      <c r="K3736" s="29">
        <f>(1-ISNUMBER(SEARCH("556",M3736)))*(O3736*SUMIFS(Premissas!$C$5:$C$44,Premissas!$A$5:$A$44,$A3736,Premissas!$B$5:$B$44,$B3736)+P3736*SUMIFS(Premissas!$D$5:$D$44,Premissas!$A$5:$A$44,$A3736,Premissas!$B$5:$B$44,$B3736))+R3736*SUMIFS(Premissas!$E$5:$E$44,Premissas!$A$5:$A$44,$A3736,Premissas!$B$5:$B$44,$B3736)+S3736*SUMIFS(Premissas!$F$5:$F$44,Premissas!$A$5:$A$44,$A3736,Premissas!$B$5:$B$44,$B3736)</f>
        <v/>
      </c>
      <c r="L3736" s="29">
        <f>J3736-K3736</f>
        <v/>
      </c>
      <c r="M3736" t="inlineStr">
        <is>
          <t>1.350</t>
        </is>
      </c>
      <c r="N3736" t="inlineStr">
        <is>
          <t>Modalidade: 0 - Por conta do remetente | Parte: DEO PRIME COMERCIO DE PRODUTOS DE HIGIENE E LIMPEZA LTDA (41.843.812/0001-86)</t>
        </is>
      </c>
      <c r="O3736" s="29" t="n">
        <v>0</v>
      </c>
      <c r="P3736" s="29" t="n">
        <v>0</v>
      </c>
      <c r="Q3736" s="29" t="n">
        <v>0</v>
      </c>
      <c r="R3736" s="29" t="n">
        <v>0</v>
      </c>
      <c r="S3736" s="29" t="n">
        <v>0</v>
      </c>
      <c r="T3736" t="inlineStr">
        <is>
          <t>25260626975620000130570010000074191001501263</t>
        </is>
      </c>
      <c r="U3736" t="inlineStr">
        <is>
          <t>Não</t>
        </is>
      </c>
    </row>
    <row r="3737">
      <c r="A3737" t="inlineStr">
        <is>
          <t>Frete de venda</t>
        </is>
      </c>
      <c r="B3737" t="inlineStr">
        <is>
          <t>2.01.02 Frete sobre Vendas</t>
        </is>
      </c>
      <c r="C3737" s="30" t="n">
        <v>46174</v>
      </c>
      <c r="D3737" t="inlineStr">
        <is>
          <t>Em 2026</t>
        </is>
      </c>
      <c r="E3737" s="28" t="n">
        <v>46192</v>
      </c>
      <c r="F3737" t="inlineStr">
        <is>
          <t>CT-e</t>
        </is>
      </c>
      <c r="G3737" t="inlineStr">
        <is>
          <t>000007420</t>
        </is>
      </c>
      <c r="H3737" t="inlineStr">
        <is>
          <t>R&amp;R TRANSPORTE E LOGISTICA</t>
        </is>
      </c>
      <c r="J3737" s="29" t="n">
        <v>33.47</v>
      </c>
      <c r="K3737" s="29">
        <f>(1-ISNUMBER(SEARCH("556",M3737)))*(O3737*SUMIFS(Premissas!$C$5:$C$44,Premissas!$A$5:$A$44,$A3737,Premissas!$B$5:$B$44,$B3737)+P3737*SUMIFS(Premissas!$D$5:$D$44,Premissas!$A$5:$A$44,$A3737,Premissas!$B$5:$B$44,$B3737))+R3737*SUMIFS(Premissas!$E$5:$E$44,Premissas!$A$5:$A$44,$A3737,Premissas!$B$5:$B$44,$B3737)+S3737*SUMIFS(Premissas!$F$5:$F$44,Premissas!$A$5:$A$44,$A3737,Premissas!$B$5:$B$44,$B3737)</f>
        <v/>
      </c>
      <c r="L3737" s="29">
        <f>J3737-K3737</f>
        <v/>
      </c>
      <c r="M3737" t="inlineStr">
        <is>
          <t>1.350</t>
        </is>
      </c>
      <c r="N3737" t="inlineStr">
        <is>
          <t>Modalidade: 0 - Por conta do remetente | Parte: PADUA EMBALAGENS E DESCARTAVEIS LTDA (29.312.016/0001-11)</t>
        </is>
      </c>
      <c r="O3737" s="29" t="n">
        <v>0</v>
      </c>
      <c r="P3737" s="29" t="n">
        <v>0</v>
      </c>
      <c r="Q3737" s="29" t="n">
        <v>0</v>
      </c>
      <c r="R3737" s="29" t="n">
        <v>0</v>
      </c>
      <c r="S3737" s="29" t="n">
        <v>0</v>
      </c>
      <c r="T3737" t="inlineStr">
        <is>
          <t>25260626975620000130570010000074201001201341</t>
        </is>
      </c>
      <c r="U3737" t="inlineStr">
        <is>
          <t>Não</t>
        </is>
      </c>
    </row>
    <row r="3738">
      <c r="A3738" t="inlineStr">
        <is>
          <t>Frete de venda</t>
        </is>
      </c>
      <c r="B3738" t="inlineStr">
        <is>
          <t>2.01.02 Frete sobre Vendas</t>
        </is>
      </c>
      <c r="C3738" s="30" t="n">
        <v>46174</v>
      </c>
      <c r="D3738" t="inlineStr">
        <is>
          <t>Em 2026</t>
        </is>
      </c>
      <c r="E3738" s="28" t="n">
        <v>46192</v>
      </c>
      <c r="F3738" t="inlineStr">
        <is>
          <t>CT-e</t>
        </is>
      </c>
      <c r="G3738" t="inlineStr">
        <is>
          <t>000007421</t>
        </is>
      </c>
      <c r="H3738" t="inlineStr">
        <is>
          <t>R&amp;R TRANSPORTE E LOGISTICA</t>
        </is>
      </c>
      <c r="J3738" s="29" t="n">
        <v>21.91</v>
      </c>
      <c r="K3738" s="29">
        <f>(1-ISNUMBER(SEARCH("556",M3738)))*(O3738*SUMIFS(Premissas!$C$5:$C$44,Premissas!$A$5:$A$44,$A3738,Premissas!$B$5:$B$44,$B3738)+P3738*SUMIFS(Premissas!$D$5:$D$44,Premissas!$A$5:$A$44,$A3738,Premissas!$B$5:$B$44,$B3738))+R3738*SUMIFS(Premissas!$E$5:$E$44,Premissas!$A$5:$A$44,$A3738,Premissas!$B$5:$B$44,$B3738)+S3738*SUMIFS(Premissas!$F$5:$F$44,Premissas!$A$5:$A$44,$A3738,Premissas!$B$5:$B$44,$B3738)</f>
        <v/>
      </c>
      <c r="L3738" s="29">
        <f>J3738-K3738</f>
        <v/>
      </c>
      <c r="M3738" t="inlineStr">
        <is>
          <t>1.350</t>
        </is>
      </c>
      <c r="N3738" t="inlineStr">
        <is>
          <t>Modalidade: 0 - Por conta do remetente | Parte: PLASTICENTRO LTDA (23.168.206/0001-20)</t>
        </is>
      </c>
      <c r="O3738" s="29" t="n">
        <v>0</v>
      </c>
      <c r="P3738" s="29" t="n">
        <v>0</v>
      </c>
      <c r="Q3738" s="29" t="n">
        <v>0</v>
      </c>
      <c r="R3738" s="29" t="n">
        <v>0</v>
      </c>
      <c r="S3738" s="29" t="n">
        <v>0</v>
      </c>
      <c r="T3738" t="inlineStr">
        <is>
          <t>25260626975620000130570010000074211011001423</t>
        </is>
      </c>
      <c r="U3738" t="inlineStr">
        <is>
          <t>Não</t>
        </is>
      </c>
    </row>
    <row r="3739">
      <c r="A3739" t="inlineStr">
        <is>
          <t>Frete de venda</t>
        </is>
      </c>
      <c r="B3739" t="inlineStr">
        <is>
          <t>2.01.02 Frete sobre Vendas</t>
        </is>
      </c>
      <c r="C3739" s="30" t="n">
        <v>46174</v>
      </c>
      <c r="D3739" t="inlineStr">
        <is>
          <t>Em 2026</t>
        </is>
      </c>
      <c r="E3739" s="28" t="n">
        <v>46192</v>
      </c>
      <c r="F3739" t="inlineStr">
        <is>
          <t>CT-e</t>
        </is>
      </c>
      <c r="G3739" t="inlineStr">
        <is>
          <t>000007422</t>
        </is>
      </c>
      <c r="H3739" t="inlineStr">
        <is>
          <t>R&amp;R TRANSPORTE E LOGISTICA</t>
        </is>
      </c>
      <c r="J3739" s="29" t="n">
        <v>25.04</v>
      </c>
      <c r="K3739" s="29">
        <f>(1-ISNUMBER(SEARCH("556",M3739)))*(O3739*SUMIFS(Premissas!$C$5:$C$44,Premissas!$A$5:$A$44,$A3739,Premissas!$B$5:$B$44,$B3739)+P3739*SUMIFS(Premissas!$D$5:$D$44,Premissas!$A$5:$A$44,$A3739,Premissas!$B$5:$B$44,$B3739))+R3739*SUMIFS(Premissas!$E$5:$E$44,Premissas!$A$5:$A$44,$A3739,Premissas!$B$5:$B$44,$B3739)+S3739*SUMIFS(Premissas!$F$5:$F$44,Premissas!$A$5:$A$44,$A3739,Premissas!$B$5:$B$44,$B3739)</f>
        <v/>
      </c>
      <c r="L3739" s="29">
        <f>J3739-K3739</f>
        <v/>
      </c>
      <c r="M3739" t="inlineStr">
        <is>
          <t>1.350</t>
        </is>
      </c>
      <c r="N3739" t="inlineStr">
        <is>
          <t>Modalidade: 0 - Por conta do remetente | Parte: LIDERPACK EMBALAGENS LTDA (46.994.972/0001-40)</t>
        </is>
      </c>
      <c r="O3739" s="29" t="n">
        <v>0</v>
      </c>
      <c r="P3739" s="29" t="n">
        <v>0</v>
      </c>
      <c r="Q3739" s="29" t="n">
        <v>0</v>
      </c>
      <c r="R3739" s="29" t="n">
        <v>0</v>
      </c>
      <c r="S3739" s="29" t="n">
        <v>0</v>
      </c>
      <c r="T3739" t="inlineStr">
        <is>
          <t>25260626975620000130570010000074221001701500</t>
        </is>
      </c>
      <c r="U3739" t="inlineStr">
        <is>
          <t>Não</t>
        </is>
      </c>
    </row>
    <row r="3740">
      <c r="A3740" t="inlineStr">
        <is>
          <t>Frete de venda</t>
        </is>
      </c>
      <c r="B3740" t="inlineStr">
        <is>
          <t>2.01.02 Frete sobre Vendas</t>
        </is>
      </c>
      <c r="C3740" s="30" t="n">
        <v>46174</v>
      </c>
      <c r="D3740" t="inlineStr">
        <is>
          <t>Em 2026</t>
        </is>
      </c>
      <c r="E3740" s="28" t="n">
        <v>46192</v>
      </c>
      <c r="F3740" t="inlineStr">
        <is>
          <t>CT-e</t>
        </is>
      </c>
      <c r="G3740" t="inlineStr">
        <is>
          <t>000007424</t>
        </is>
      </c>
      <c r="H3740" t="inlineStr">
        <is>
          <t>R&amp;R TRANSPORTE E LOGISTICA</t>
        </is>
      </c>
      <c r="J3740" s="29" t="n">
        <v>32.7</v>
      </c>
      <c r="K3740" s="29">
        <f>(1-ISNUMBER(SEARCH("556",M3740)))*(O3740*SUMIFS(Premissas!$C$5:$C$44,Premissas!$A$5:$A$44,$A3740,Premissas!$B$5:$B$44,$B3740)+P3740*SUMIFS(Premissas!$D$5:$D$44,Premissas!$A$5:$A$44,$A3740,Premissas!$B$5:$B$44,$B3740))+R3740*SUMIFS(Premissas!$E$5:$E$44,Premissas!$A$5:$A$44,$A3740,Premissas!$B$5:$B$44,$B3740)+S3740*SUMIFS(Premissas!$F$5:$F$44,Premissas!$A$5:$A$44,$A3740,Premissas!$B$5:$B$44,$B3740)</f>
        <v/>
      </c>
      <c r="L3740" s="29">
        <f>J3740-K3740</f>
        <v/>
      </c>
      <c r="M3740" t="inlineStr">
        <is>
          <t>1.350</t>
        </is>
      </c>
      <c r="N3740" t="inlineStr">
        <is>
          <t>Modalidade: 0 - Por conta do remetente | Parte: DOCA COMERCIO DE PRODUTOS ALIMENTICIOS LTDA (15.258.788/0003-70)</t>
        </is>
      </c>
      <c r="O3740" s="29" t="n">
        <v>0</v>
      </c>
      <c r="P3740" s="29" t="n">
        <v>0</v>
      </c>
      <c r="Q3740" s="29" t="n">
        <v>0</v>
      </c>
      <c r="R3740" s="29" t="n">
        <v>0</v>
      </c>
      <c r="S3740" s="29" t="n">
        <v>0</v>
      </c>
      <c r="T3740" t="inlineStr">
        <is>
          <t>25260626975620000130570010000074241001101664</t>
        </is>
      </c>
      <c r="U3740" t="inlineStr">
        <is>
          <t>Não</t>
        </is>
      </c>
    </row>
    <row r="3741">
      <c r="A3741" t="inlineStr">
        <is>
          <t>Frete de venda</t>
        </is>
      </c>
      <c r="B3741" t="inlineStr">
        <is>
          <t>2.01.02 Frete sobre Vendas</t>
        </is>
      </c>
      <c r="C3741" s="30" t="n">
        <v>46174</v>
      </c>
      <c r="D3741" t="inlineStr">
        <is>
          <t>Em 2026</t>
        </is>
      </c>
      <c r="E3741" s="28" t="n">
        <v>46192</v>
      </c>
      <c r="F3741" t="inlineStr">
        <is>
          <t>CT-e</t>
        </is>
      </c>
      <c r="G3741" t="inlineStr">
        <is>
          <t>000007425</t>
        </is>
      </c>
      <c r="H3741" t="inlineStr">
        <is>
          <t>R&amp;R TRANSPORTE E LOGISTICA</t>
        </is>
      </c>
      <c r="J3741" s="29" t="n">
        <v>33.7</v>
      </c>
      <c r="K3741" s="29">
        <f>(1-ISNUMBER(SEARCH("556",M3741)))*(O3741*SUMIFS(Premissas!$C$5:$C$44,Premissas!$A$5:$A$44,$A3741,Premissas!$B$5:$B$44,$B3741)+P3741*SUMIFS(Premissas!$D$5:$D$44,Premissas!$A$5:$A$44,$A3741,Premissas!$B$5:$B$44,$B3741))+R3741*SUMIFS(Premissas!$E$5:$E$44,Premissas!$A$5:$A$44,$A3741,Premissas!$B$5:$B$44,$B3741)+S3741*SUMIFS(Premissas!$F$5:$F$44,Premissas!$A$5:$A$44,$A3741,Premissas!$B$5:$B$44,$B3741)</f>
        <v/>
      </c>
      <c r="L3741" s="29">
        <f>J3741-K3741</f>
        <v/>
      </c>
      <c r="M3741" t="inlineStr">
        <is>
          <t>1.350</t>
        </is>
      </c>
      <c r="N3741" t="inlineStr">
        <is>
          <t>Modalidade: 0 - Por conta do remetente | Parte: DOCA COMERCIO DE PRODUTOS ALIMENTICIOS LTDA (15.258.788/0002-99)</t>
        </is>
      </c>
      <c r="O3741" s="29" t="n">
        <v>0</v>
      </c>
      <c r="P3741" s="29" t="n">
        <v>0</v>
      </c>
      <c r="Q3741" s="29" t="n">
        <v>0</v>
      </c>
      <c r="R3741" s="29" t="n">
        <v>0</v>
      </c>
      <c r="S3741" s="29" t="n">
        <v>0</v>
      </c>
      <c r="T3741" t="inlineStr">
        <is>
          <t>25260626975620000130570010000074251001201011</t>
        </is>
      </c>
      <c r="U3741" t="inlineStr">
        <is>
          <t>Não</t>
        </is>
      </c>
    </row>
    <row r="3742">
      <c r="A3742" t="inlineStr">
        <is>
          <t>Frete de venda</t>
        </is>
      </c>
      <c r="B3742" t="inlineStr">
        <is>
          <t>2.01.02 Frete sobre Vendas</t>
        </is>
      </c>
      <c r="C3742" s="30" t="n">
        <v>46174</v>
      </c>
      <c r="D3742" t="inlineStr">
        <is>
          <t>Em 2026</t>
        </is>
      </c>
      <c r="E3742" s="28" t="n">
        <v>46192</v>
      </c>
      <c r="F3742" t="inlineStr">
        <is>
          <t>CT-e</t>
        </is>
      </c>
      <c r="G3742" t="inlineStr">
        <is>
          <t>000007426</t>
        </is>
      </c>
      <c r="H3742" t="inlineStr">
        <is>
          <t>R&amp;R TRANSPORTE E LOGISTICA</t>
        </is>
      </c>
      <c r="J3742" s="29" t="n">
        <v>80.43000000000001</v>
      </c>
      <c r="K3742" s="29">
        <f>(1-ISNUMBER(SEARCH("556",M3742)))*(O3742*SUMIFS(Premissas!$C$5:$C$44,Premissas!$A$5:$A$44,$A3742,Premissas!$B$5:$B$44,$B3742)+P3742*SUMIFS(Premissas!$D$5:$D$44,Premissas!$A$5:$A$44,$A3742,Premissas!$B$5:$B$44,$B3742))+R3742*SUMIFS(Premissas!$E$5:$E$44,Premissas!$A$5:$A$44,$A3742,Premissas!$B$5:$B$44,$B3742)+S3742*SUMIFS(Premissas!$F$5:$F$44,Premissas!$A$5:$A$44,$A3742,Premissas!$B$5:$B$44,$B3742)</f>
        <v/>
      </c>
      <c r="L3742" s="29">
        <f>J3742-K3742</f>
        <v/>
      </c>
      <c r="M3742" t="inlineStr">
        <is>
          <t>1.350</t>
        </is>
      </c>
      <c r="N3742" t="inlineStr">
        <is>
          <t>Modalidade: 0 - Por conta do remetente | Parte: TORRES DISTRIBUIDORA ATACADISTA DE EMBALAGENS PLASTICAS ... (26.748.294/0001-28)</t>
        </is>
      </c>
      <c r="O3742" s="29" t="n">
        <v>0</v>
      </c>
      <c r="P3742" s="29" t="n">
        <v>0</v>
      </c>
      <c r="Q3742" s="29" t="n">
        <v>0</v>
      </c>
      <c r="R3742" s="29" t="n">
        <v>0</v>
      </c>
      <c r="S3742" s="29" t="n">
        <v>0</v>
      </c>
      <c r="T3742" t="inlineStr">
        <is>
          <t>25260626975620000130570010000074261011001098</t>
        </is>
      </c>
      <c r="U3742" t="inlineStr">
        <is>
          <t>Não</t>
        </is>
      </c>
    </row>
    <row r="3743">
      <c r="A3743" t="inlineStr">
        <is>
          <t>Frete de venda</t>
        </is>
      </c>
      <c r="B3743" t="inlineStr">
        <is>
          <t>2.01.02 Frete sobre Vendas</t>
        </is>
      </c>
      <c r="C3743" s="30" t="n">
        <v>46174</v>
      </c>
      <c r="D3743" t="inlineStr">
        <is>
          <t>Em 2026</t>
        </is>
      </c>
      <c r="E3743" s="28" t="n">
        <v>46192</v>
      </c>
      <c r="F3743" t="inlineStr">
        <is>
          <t>CT-e</t>
        </is>
      </c>
      <c r="G3743" t="inlineStr">
        <is>
          <t>000007427</t>
        </is>
      </c>
      <c r="H3743" t="inlineStr">
        <is>
          <t>R&amp;R TRANSPORTE E LOGISTICA</t>
        </is>
      </c>
      <c r="J3743" s="29" t="n">
        <v>34.82</v>
      </c>
      <c r="K3743" s="29">
        <f>(1-ISNUMBER(SEARCH("556",M3743)))*(O3743*SUMIFS(Premissas!$C$5:$C$44,Premissas!$A$5:$A$44,$A3743,Premissas!$B$5:$B$44,$B3743)+P3743*SUMIFS(Premissas!$D$5:$D$44,Premissas!$A$5:$A$44,$A3743,Premissas!$B$5:$B$44,$B3743))+R3743*SUMIFS(Premissas!$E$5:$E$44,Premissas!$A$5:$A$44,$A3743,Premissas!$B$5:$B$44,$B3743)+S3743*SUMIFS(Premissas!$F$5:$F$44,Premissas!$A$5:$A$44,$A3743,Premissas!$B$5:$B$44,$B3743)</f>
        <v/>
      </c>
      <c r="L3743" s="29">
        <f>J3743-K3743</f>
        <v/>
      </c>
      <c r="M3743" t="inlineStr">
        <is>
          <t>1.350</t>
        </is>
      </c>
      <c r="N3743" t="inlineStr">
        <is>
          <t>Modalidade: 0 - Por conta do remetente | Parte: H C COMERCIO DE EMBALAGENS PLASTICA LTDA (69.708.436/0001-36)</t>
        </is>
      </c>
      <c r="O3743" s="29" t="n">
        <v>0</v>
      </c>
      <c r="P3743" s="29" t="n">
        <v>0</v>
      </c>
      <c r="Q3743" s="29" t="n">
        <v>0</v>
      </c>
      <c r="R3743" s="29" t="n">
        <v>0</v>
      </c>
      <c r="S3743" s="29" t="n">
        <v>0</v>
      </c>
      <c r="T3743" t="inlineStr">
        <is>
          <t>25260626975620000130570010000074271001701175</t>
        </is>
      </c>
      <c r="U3743" t="inlineStr">
        <is>
          <t>Não</t>
        </is>
      </c>
    </row>
    <row r="3744">
      <c r="A3744" t="inlineStr">
        <is>
          <t>Frete de venda</t>
        </is>
      </c>
      <c r="B3744" t="inlineStr">
        <is>
          <t>2.01.02 Frete sobre Vendas</t>
        </is>
      </c>
      <c r="C3744" s="30" t="n">
        <v>46174</v>
      </c>
      <c r="D3744" t="inlineStr">
        <is>
          <t>Em 2026</t>
        </is>
      </c>
      <c r="E3744" s="28" t="n">
        <v>46192</v>
      </c>
      <c r="F3744" t="inlineStr">
        <is>
          <t>CT-e</t>
        </is>
      </c>
      <c r="G3744" t="inlineStr">
        <is>
          <t>000007428</t>
        </is>
      </c>
      <c r="H3744" t="inlineStr">
        <is>
          <t>R&amp;R TRANSPORTE E LOGISTICA</t>
        </is>
      </c>
      <c r="J3744" s="29" t="n">
        <v>29.77</v>
      </c>
      <c r="K3744" s="29">
        <f>(1-ISNUMBER(SEARCH("556",M3744)))*(O3744*SUMIFS(Premissas!$C$5:$C$44,Premissas!$A$5:$A$44,$A3744,Premissas!$B$5:$B$44,$B3744)+P3744*SUMIFS(Premissas!$D$5:$D$44,Premissas!$A$5:$A$44,$A3744,Premissas!$B$5:$B$44,$B3744))+R3744*SUMIFS(Premissas!$E$5:$E$44,Premissas!$A$5:$A$44,$A3744,Premissas!$B$5:$B$44,$B3744)+S3744*SUMIFS(Premissas!$F$5:$F$44,Premissas!$A$5:$A$44,$A3744,Premissas!$B$5:$B$44,$B3744)</f>
        <v/>
      </c>
      <c r="L3744" s="29">
        <f>J3744-K3744</f>
        <v/>
      </c>
      <c r="M3744" t="inlineStr">
        <is>
          <t>1.350</t>
        </is>
      </c>
      <c r="N3744" t="inlineStr">
        <is>
          <t>Modalidade: 0 - Por conta do remetente | Parte: NJ ARTIGOS PARA FESTAS LTDA (13.157.678/0001-24)</t>
        </is>
      </c>
      <c r="O3744" s="29" t="n">
        <v>0</v>
      </c>
      <c r="P3744" s="29" t="n">
        <v>0</v>
      </c>
      <c r="Q3744" s="29" t="n">
        <v>0</v>
      </c>
      <c r="R3744" s="29" t="n">
        <v>0</v>
      </c>
      <c r="S3744" s="29" t="n">
        <v>0</v>
      </c>
      <c r="T3744" t="inlineStr">
        <is>
          <t>25260626975620000130570010000074281001401250</t>
        </is>
      </c>
      <c r="U3744" t="inlineStr">
        <is>
          <t>Não</t>
        </is>
      </c>
    </row>
    <row r="3745">
      <c r="A3745" t="inlineStr">
        <is>
          <t>Frete de venda</t>
        </is>
      </c>
      <c r="B3745" t="inlineStr">
        <is>
          <t>2.01.02 Frete sobre Vendas</t>
        </is>
      </c>
      <c r="C3745" s="30" t="n">
        <v>46174</v>
      </c>
      <c r="D3745" t="inlineStr">
        <is>
          <t>Em 2026</t>
        </is>
      </c>
      <c r="E3745" s="28" t="n">
        <v>46192</v>
      </c>
      <c r="F3745" t="inlineStr">
        <is>
          <t>CT-e</t>
        </is>
      </c>
      <c r="G3745" t="inlineStr">
        <is>
          <t>000007429</t>
        </is>
      </c>
      <c r="H3745" t="inlineStr">
        <is>
          <t>R&amp;R TRANSPORTE E LOGISTICA</t>
        </is>
      </c>
      <c r="J3745" s="29" t="n">
        <v>30.97</v>
      </c>
      <c r="K3745" s="29">
        <f>(1-ISNUMBER(SEARCH("556",M3745)))*(O3745*SUMIFS(Premissas!$C$5:$C$44,Premissas!$A$5:$A$44,$A3745,Premissas!$B$5:$B$44,$B3745)+P3745*SUMIFS(Premissas!$D$5:$D$44,Premissas!$A$5:$A$44,$A3745,Premissas!$B$5:$B$44,$B3745))+R3745*SUMIFS(Premissas!$E$5:$E$44,Premissas!$A$5:$A$44,$A3745,Premissas!$B$5:$B$44,$B3745)+S3745*SUMIFS(Premissas!$F$5:$F$44,Premissas!$A$5:$A$44,$A3745,Premissas!$B$5:$B$44,$B3745)</f>
        <v/>
      </c>
      <c r="L3745" s="29">
        <f>J3745-K3745</f>
        <v/>
      </c>
      <c r="M3745" t="inlineStr">
        <is>
          <t>1.350</t>
        </is>
      </c>
      <c r="N3745" t="inlineStr">
        <is>
          <t>Modalidade: 0 - Por conta do remetente | Parte: FRANCISCO DANTAS DE ARAUJO FILHO (86.979.903/0001-81)</t>
        </is>
      </c>
      <c r="O3745" s="29" t="n">
        <v>0</v>
      </c>
      <c r="P3745" s="29" t="n">
        <v>0</v>
      </c>
      <c r="Q3745" s="29" t="n">
        <v>0</v>
      </c>
      <c r="R3745" s="29" t="n">
        <v>0</v>
      </c>
      <c r="S3745" s="29" t="n">
        <v>0</v>
      </c>
      <c r="T3745" t="inlineStr">
        <is>
          <t>25260626975620000130570010000074291001101334</t>
        </is>
      </c>
      <c r="U3745" t="inlineStr">
        <is>
          <t>Não</t>
        </is>
      </c>
    </row>
    <row r="3746">
      <c r="A3746" t="inlineStr">
        <is>
          <t>Frete de venda</t>
        </is>
      </c>
      <c r="B3746" t="inlineStr">
        <is>
          <t>2.01.02 Frete sobre Vendas</t>
        </is>
      </c>
      <c r="C3746" s="30" t="n">
        <v>46174</v>
      </c>
      <c r="D3746" t="inlineStr">
        <is>
          <t>Em 2026</t>
        </is>
      </c>
      <c r="E3746" s="28" t="n">
        <v>46192</v>
      </c>
      <c r="F3746" t="inlineStr">
        <is>
          <t>CT-e</t>
        </is>
      </c>
      <c r="G3746" t="inlineStr">
        <is>
          <t>000007430</t>
        </is>
      </c>
      <c r="H3746" t="inlineStr">
        <is>
          <t>R&amp;R TRANSPORTE E LOGISTICA</t>
        </is>
      </c>
      <c r="J3746" s="29" t="n">
        <v>470</v>
      </c>
      <c r="K3746" s="29">
        <f>(1-ISNUMBER(SEARCH("556",M3746)))*(O3746*SUMIFS(Premissas!$C$5:$C$44,Premissas!$A$5:$A$44,$A3746,Premissas!$B$5:$B$44,$B3746)+P3746*SUMIFS(Premissas!$D$5:$D$44,Premissas!$A$5:$A$44,$A3746,Premissas!$B$5:$B$44,$B3746))+R3746*SUMIFS(Premissas!$E$5:$E$44,Premissas!$A$5:$A$44,$A3746,Premissas!$B$5:$B$44,$B3746)+S3746*SUMIFS(Premissas!$F$5:$F$44,Premissas!$A$5:$A$44,$A3746,Premissas!$B$5:$B$44,$B3746)</f>
        <v/>
      </c>
      <c r="L3746" s="29">
        <f>J3746-K3746</f>
        <v/>
      </c>
      <c r="M3746" t="inlineStr">
        <is>
          <t>1.350</t>
        </is>
      </c>
      <c r="N3746" t="inlineStr">
        <is>
          <t>Modalidade: 0 - Por conta do remetente | Parte: DURA MAIS TRANSPORTES LTDA (59.256.389/0002-64)</t>
        </is>
      </c>
      <c r="O3746" s="29" t="n">
        <v>0</v>
      </c>
      <c r="P3746" s="29" t="n">
        <v>0</v>
      </c>
      <c r="Q3746" s="29" t="n">
        <v>0</v>
      </c>
      <c r="R3746" s="29" t="n">
        <v>0</v>
      </c>
      <c r="S3746" s="29" t="n">
        <v>0</v>
      </c>
      <c r="T3746" t="inlineStr">
        <is>
          <t>25260626975620000130570010000074301000101323</t>
        </is>
      </c>
      <c r="U3746" t="inlineStr">
        <is>
          <t>Não</t>
        </is>
      </c>
    </row>
    <row r="3747">
      <c r="A3747" t="inlineStr">
        <is>
          <t>Frete de venda</t>
        </is>
      </c>
      <c r="B3747" t="inlineStr">
        <is>
          <t>2.01.02 Frete sobre Vendas</t>
        </is>
      </c>
      <c r="C3747" s="30" t="n">
        <v>46174</v>
      </c>
      <c r="D3747" t="inlineStr">
        <is>
          <t>Em 2026</t>
        </is>
      </c>
      <c r="E3747" s="28" t="n">
        <v>46193</v>
      </c>
      <c r="F3747" t="inlineStr">
        <is>
          <t>CT-e</t>
        </is>
      </c>
      <c r="G3747" t="inlineStr">
        <is>
          <t>000007431</t>
        </is>
      </c>
      <c r="H3747" t="inlineStr">
        <is>
          <t>R&amp;R TRANSPORTE E LOGISTICA</t>
        </is>
      </c>
      <c r="J3747" s="29" t="n">
        <v>304.32</v>
      </c>
      <c r="K3747" s="29">
        <f>(1-ISNUMBER(SEARCH("556",M3747)))*(O3747*SUMIFS(Premissas!$C$5:$C$44,Premissas!$A$5:$A$44,$A3747,Premissas!$B$5:$B$44,$B3747)+P3747*SUMIFS(Premissas!$D$5:$D$44,Premissas!$A$5:$A$44,$A3747,Premissas!$B$5:$B$44,$B3747))+R3747*SUMIFS(Premissas!$E$5:$E$44,Premissas!$A$5:$A$44,$A3747,Premissas!$B$5:$B$44,$B3747)+S3747*SUMIFS(Premissas!$F$5:$F$44,Premissas!$A$5:$A$44,$A3747,Premissas!$B$5:$B$44,$B3747)</f>
        <v/>
      </c>
      <c r="L3747" s="29">
        <f>J3747-K3747</f>
        <v/>
      </c>
      <c r="M3747" t="inlineStr">
        <is>
          <t>1.350</t>
        </is>
      </c>
      <c r="N3747" t="inlineStr">
        <is>
          <t>Modalidade: 0 - Por conta do remetente | Parte: RFC COMERCIO DE MIUDEZAS LTDA (26.514.797/0004-81)</t>
        </is>
      </c>
      <c r="O3747" s="29" t="n">
        <v>0</v>
      </c>
      <c r="P3747" s="29" t="n">
        <v>0</v>
      </c>
      <c r="Q3747" s="29" t="n">
        <v>0</v>
      </c>
      <c r="R3747" s="29" t="n">
        <v>0</v>
      </c>
      <c r="S3747" s="29" t="n">
        <v>0</v>
      </c>
      <c r="T3747" t="inlineStr">
        <is>
          <t>25260626975620000130570010000074311001801407</t>
        </is>
      </c>
      <c r="U3747" t="inlineStr">
        <is>
          <t>Não</t>
        </is>
      </c>
    </row>
    <row r="3748">
      <c r="A3748" t="inlineStr">
        <is>
          <t>Frete de venda</t>
        </is>
      </c>
      <c r="B3748" t="inlineStr">
        <is>
          <t>2.01.02 Frete sobre Vendas</t>
        </is>
      </c>
      <c r="C3748" s="30" t="n">
        <v>46174</v>
      </c>
      <c r="D3748" t="inlineStr">
        <is>
          <t>Em 2026</t>
        </is>
      </c>
      <c r="E3748" s="28" t="n">
        <v>46193</v>
      </c>
      <c r="F3748" t="inlineStr">
        <is>
          <t>CT-e</t>
        </is>
      </c>
      <c r="G3748" t="inlineStr">
        <is>
          <t>000007432</t>
        </is>
      </c>
      <c r="H3748" t="inlineStr">
        <is>
          <t>R&amp;R TRANSPORTE E LOGISTICA</t>
        </is>
      </c>
      <c r="J3748" s="29" t="n">
        <v>68.48</v>
      </c>
      <c r="K3748" s="29">
        <f>(1-ISNUMBER(SEARCH("556",M3748)))*(O3748*SUMIFS(Premissas!$C$5:$C$44,Premissas!$A$5:$A$44,$A3748,Premissas!$B$5:$B$44,$B3748)+P3748*SUMIFS(Premissas!$D$5:$D$44,Premissas!$A$5:$A$44,$A3748,Premissas!$B$5:$B$44,$B3748))+R3748*SUMIFS(Premissas!$E$5:$E$44,Premissas!$A$5:$A$44,$A3748,Premissas!$B$5:$B$44,$B3748)+S3748*SUMIFS(Premissas!$F$5:$F$44,Premissas!$A$5:$A$44,$A3748,Premissas!$B$5:$B$44,$B3748)</f>
        <v/>
      </c>
      <c r="L3748" s="29">
        <f>J3748-K3748</f>
        <v/>
      </c>
      <c r="M3748" t="inlineStr">
        <is>
          <t>1.350</t>
        </is>
      </c>
      <c r="N3748" t="inlineStr">
        <is>
          <t>Modalidade: 0 - Por conta do remetente | Parte: AP SACARIA EMBALAGENS LTDA (20.402.088/0001-85)</t>
        </is>
      </c>
      <c r="O3748" s="29" t="n">
        <v>0</v>
      </c>
      <c r="P3748" s="29" t="n">
        <v>0</v>
      </c>
      <c r="Q3748" s="29" t="n">
        <v>0</v>
      </c>
      <c r="R3748" s="29" t="n">
        <v>0</v>
      </c>
      <c r="S3748" s="29" t="n">
        <v>0</v>
      </c>
      <c r="T3748" t="inlineStr">
        <is>
          <t>25260626975620000130570010000074321001501486</t>
        </is>
      </c>
      <c r="U3748" t="inlineStr">
        <is>
          <t>Não</t>
        </is>
      </c>
    </row>
    <row r="3749">
      <c r="A3749" t="inlineStr">
        <is>
          <t>Frete de venda</t>
        </is>
      </c>
      <c r="B3749" t="inlineStr">
        <is>
          <t>2.01.02 Frete sobre Vendas</t>
        </is>
      </c>
      <c r="C3749" s="30" t="n">
        <v>46174</v>
      </c>
      <c r="D3749" t="inlineStr">
        <is>
          <t>Em 2026</t>
        </is>
      </c>
      <c r="E3749" s="28" t="n">
        <v>46193</v>
      </c>
      <c r="F3749" t="inlineStr">
        <is>
          <t>CT-e</t>
        </is>
      </c>
      <c r="G3749" t="inlineStr">
        <is>
          <t>000007433</t>
        </is>
      </c>
      <c r="H3749" t="inlineStr">
        <is>
          <t>R&amp;R TRANSPORTE E LOGISTICA</t>
        </is>
      </c>
      <c r="J3749" s="29" t="n">
        <v>53.85</v>
      </c>
      <c r="K3749" s="29">
        <f>(1-ISNUMBER(SEARCH("556",M3749)))*(O3749*SUMIFS(Premissas!$C$5:$C$44,Premissas!$A$5:$A$44,$A3749,Premissas!$B$5:$B$44,$B3749)+P3749*SUMIFS(Premissas!$D$5:$D$44,Premissas!$A$5:$A$44,$A3749,Premissas!$B$5:$B$44,$B3749))+R3749*SUMIFS(Premissas!$E$5:$E$44,Premissas!$A$5:$A$44,$A3749,Premissas!$B$5:$B$44,$B3749)+S3749*SUMIFS(Premissas!$F$5:$F$44,Premissas!$A$5:$A$44,$A3749,Premissas!$B$5:$B$44,$B3749)</f>
        <v/>
      </c>
      <c r="L3749" s="29">
        <f>J3749-K3749</f>
        <v/>
      </c>
      <c r="M3749" t="inlineStr">
        <is>
          <t>1.350</t>
        </is>
      </c>
      <c r="N3749" t="inlineStr">
        <is>
          <t>Modalidade: 0 - Por conta do remetente | Parte: EMBALAGEM RIO DE JANEIRO LTDA (45.902.549/0001-00)</t>
        </is>
      </c>
      <c r="O3749" s="29" t="n">
        <v>0</v>
      </c>
      <c r="P3749" s="29" t="n">
        <v>0</v>
      </c>
      <c r="Q3749" s="29" t="n">
        <v>0</v>
      </c>
      <c r="R3749" s="29" t="n">
        <v>0</v>
      </c>
      <c r="S3749" s="29" t="n">
        <v>0</v>
      </c>
      <c r="T3749" t="inlineStr">
        <is>
          <t>25260626975620000130570010000074331001201560</t>
        </is>
      </c>
      <c r="U3749" t="inlineStr">
        <is>
          <t>Não</t>
        </is>
      </c>
    </row>
    <row r="3750">
      <c r="A3750" t="inlineStr">
        <is>
          <t>Frete de venda</t>
        </is>
      </c>
      <c r="B3750" t="inlineStr">
        <is>
          <t>2.01.02 Frete sobre Vendas</t>
        </is>
      </c>
      <c r="C3750" s="30" t="n">
        <v>46174</v>
      </c>
      <c r="D3750" t="inlineStr">
        <is>
          <t>Em 2026</t>
        </is>
      </c>
      <c r="E3750" s="28" t="n">
        <v>46193</v>
      </c>
      <c r="F3750" t="inlineStr">
        <is>
          <t>CT-e</t>
        </is>
      </c>
      <c r="G3750" t="inlineStr">
        <is>
          <t>000007434</t>
        </is>
      </c>
      <c r="H3750" t="inlineStr">
        <is>
          <t>R&amp;R TRANSPORTE E LOGISTICA</t>
        </is>
      </c>
      <c r="J3750" s="29" t="n">
        <v>64.31</v>
      </c>
      <c r="K3750" s="29">
        <f>(1-ISNUMBER(SEARCH("556",M3750)))*(O3750*SUMIFS(Premissas!$C$5:$C$44,Premissas!$A$5:$A$44,$A3750,Premissas!$B$5:$B$44,$B3750)+P3750*SUMIFS(Premissas!$D$5:$D$44,Premissas!$A$5:$A$44,$A3750,Premissas!$B$5:$B$44,$B3750))+R3750*SUMIFS(Premissas!$E$5:$E$44,Premissas!$A$5:$A$44,$A3750,Premissas!$B$5:$B$44,$B3750)+S3750*SUMIFS(Premissas!$F$5:$F$44,Premissas!$A$5:$A$44,$A3750,Premissas!$B$5:$B$44,$B3750)</f>
        <v/>
      </c>
      <c r="L3750" s="29">
        <f>J3750-K3750</f>
        <v/>
      </c>
      <c r="M3750" t="inlineStr">
        <is>
          <t>1.350</t>
        </is>
      </c>
      <c r="N3750" t="inlineStr">
        <is>
          <t>Modalidade: 0 - Por conta do remetente | Parte: FACILITA EMBALAGENS E DESCARTAVEIS LTDA (51.588.750/0001-67)</t>
        </is>
      </c>
      <c r="O3750" s="29" t="n">
        <v>0</v>
      </c>
      <c r="P3750" s="29" t="n">
        <v>0</v>
      </c>
      <c r="Q3750" s="29" t="n">
        <v>0</v>
      </c>
      <c r="R3750" s="29" t="n">
        <v>0</v>
      </c>
      <c r="S3750" s="29" t="n">
        <v>0</v>
      </c>
      <c r="T3750" t="inlineStr">
        <is>
          <t>25260626975620000130570010000074341011001642</t>
        </is>
      </c>
      <c r="U3750" t="inlineStr">
        <is>
          <t>Não</t>
        </is>
      </c>
    </row>
    <row r="3751">
      <c r="A3751" t="inlineStr">
        <is>
          <t>Frete de venda</t>
        </is>
      </c>
      <c r="B3751" t="inlineStr">
        <is>
          <t>2.01.02 Frete sobre Vendas</t>
        </is>
      </c>
      <c r="C3751" s="30" t="n">
        <v>46174</v>
      </c>
      <c r="D3751" t="inlineStr">
        <is>
          <t>Em 2026</t>
        </is>
      </c>
      <c r="E3751" s="28" t="n">
        <v>46193</v>
      </c>
      <c r="F3751" t="inlineStr">
        <is>
          <t>CT-e</t>
        </is>
      </c>
      <c r="G3751" t="inlineStr">
        <is>
          <t>000007436</t>
        </is>
      </c>
      <c r="H3751" t="inlineStr">
        <is>
          <t>R&amp;R TRANSPORTE E LOGISTICA</t>
        </is>
      </c>
      <c r="J3751" s="29" t="n">
        <v>580.71</v>
      </c>
      <c r="K3751" s="29">
        <f>(1-ISNUMBER(SEARCH("556",M3751)))*(O3751*SUMIFS(Premissas!$C$5:$C$44,Premissas!$A$5:$A$44,$A3751,Premissas!$B$5:$B$44,$B3751)+P3751*SUMIFS(Premissas!$D$5:$D$44,Premissas!$A$5:$A$44,$A3751,Premissas!$B$5:$B$44,$B3751))+R3751*SUMIFS(Premissas!$E$5:$E$44,Premissas!$A$5:$A$44,$A3751,Premissas!$B$5:$B$44,$B3751)+S3751*SUMIFS(Premissas!$F$5:$F$44,Premissas!$A$5:$A$44,$A3751,Premissas!$B$5:$B$44,$B3751)</f>
        <v/>
      </c>
      <c r="L3751" s="29">
        <f>J3751-K3751</f>
        <v/>
      </c>
      <c r="M3751" t="inlineStr">
        <is>
          <t>1.350</t>
        </is>
      </c>
      <c r="N3751" t="inlineStr">
        <is>
          <t>Modalidade: 0 - Por conta do remetente | Parte: VINCO DISTRIBUIDORA DE EMBALAGENS LTDA (55.333.385/0001-09)</t>
        </is>
      </c>
      <c r="O3751" s="29" t="n">
        <v>0</v>
      </c>
      <c r="P3751" s="29" t="n">
        <v>0</v>
      </c>
      <c r="Q3751" s="29" t="n">
        <v>0</v>
      </c>
      <c r="R3751" s="29" t="n">
        <v>0</v>
      </c>
      <c r="S3751" s="29" t="n">
        <v>0</v>
      </c>
      <c r="T3751" t="inlineStr">
        <is>
          <t>25260626975620000130570010000074361001401804</t>
        </is>
      </c>
      <c r="U3751" t="inlineStr">
        <is>
          <t>Não</t>
        </is>
      </c>
    </row>
    <row r="3752">
      <c r="A3752" t="inlineStr">
        <is>
          <t>Frete de venda</t>
        </is>
      </c>
      <c r="B3752" t="inlineStr">
        <is>
          <t>2.01.02 Frete sobre Vendas</t>
        </is>
      </c>
      <c r="C3752" s="30" t="n">
        <v>46174</v>
      </c>
      <c r="D3752" t="inlineStr">
        <is>
          <t>Em 2026</t>
        </is>
      </c>
      <c r="E3752" s="28" t="n">
        <v>46193</v>
      </c>
      <c r="F3752" t="inlineStr">
        <is>
          <t>CT-e</t>
        </is>
      </c>
      <c r="G3752" t="inlineStr">
        <is>
          <t>000007437</t>
        </is>
      </c>
      <c r="H3752" t="inlineStr">
        <is>
          <t>R&amp;R TRANSPORTE E LOGISTICA</t>
        </is>
      </c>
      <c r="J3752" s="29" t="n">
        <v>535.48</v>
      </c>
      <c r="K3752" s="29">
        <f>(1-ISNUMBER(SEARCH("556",M3752)))*(O3752*SUMIFS(Premissas!$C$5:$C$44,Premissas!$A$5:$A$44,$A3752,Premissas!$B$5:$B$44,$B3752)+P3752*SUMIFS(Premissas!$D$5:$D$44,Premissas!$A$5:$A$44,$A3752,Premissas!$B$5:$B$44,$B3752))+R3752*SUMIFS(Premissas!$E$5:$E$44,Premissas!$A$5:$A$44,$A3752,Premissas!$B$5:$B$44,$B3752)+S3752*SUMIFS(Premissas!$F$5:$F$44,Premissas!$A$5:$A$44,$A3752,Premissas!$B$5:$B$44,$B3752)</f>
        <v/>
      </c>
      <c r="L3752" s="29">
        <f>J3752-K3752</f>
        <v/>
      </c>
      <c r="M3752" t="inlineStr">
        <is>
          <t>1.350</t>
        </is>
      </c>
      <c r="N3752" t="inlineStr">
        <is>
          <t>Modalidade: 0 - Por conta do remetente | Parte: DISTRIPACK DISTRIBUIDORA DE EMBALAGENS LTDA (11.043.375/0002-36)</t>
        </is>
      </c>
      <c r="O3752" s="29" t="n">
        <v>0</v>
      </c>
      <c r="P3752" s="29" t="n">
        <v>0</v>
      </c>
      <c r="Q3752" s="29" t="n">
        <v>0</v>
      </c>
      <c r="R3752" s="29" t="n">
        <v>0</v>
      </c>
      <c r="S3752" s="29" t="n">
        <v>0</v>
      </c>
      <c r="T3752" t="inlineStr">
        <is>
          <t>25260626975620000130570010000074371001501156</t>
        </is>
      </c>
      <c r="U3752" t="inlineStr">
        <is>
          <t>Não</t>
        </is>
      </c>
    </row>
    <row r="3753">
      <c r="A3753" t="inlineStr">
        <is>
          <t>Frete de venda</t>
        </is>
      </c>
      <c r="B3753" t="inlineStr">
        <is>
          <t>2.01.02 Frete sobre Vendas</t>
        </is>
      </c>
      <c r="C3753" s="30" t="n">
        <v>46174</v>
      </c>
      <c r="D3753" t="inlineStr">
        <is>
          <t>Em 2026</t>
        </is>
      </c>
      <c r="E3753" s="28" t="n">
        <v>46196</v>
      </c>
      <c r="F3753" t="inlineStr">
        <is>
          <t>CT-e</t>
        </is>
      </c>
      <c r="G3753" t="inlineStr">
        <is>
          <t>000007442</t>
        </is>
      </c>
      <c r="H3753" t="inlineStr">
        <is>
          <t>R&amp;R TRANSPORTE E LOGISTICA</t>
        </is>
      </c>
      <c r="J3753" s="29" t="n">
        <v>32.38</v>
      </c>
      <c r="K3753" s="29">
        <f>(1-ISNUMBER(SEARCH("556",M3753)))*(O3753*SUMIFS(Premissas!$C$5:$C$44,Premissas!$A$5:$A$44,$A3753,Premissas!$B$5:$B$44,$B3753)+P3753*SUMIFS(Premissas!$D$5:$D$44,Premissas!$A$5:$A$44,$A3753,Premissas!$B$5:$B$44,$B3753))+R3753*SUMIFS(Premissas!$E$5:$E$44,Premissas!$A$5:$A$44,$A3753,Premissas!$B$5:$B$44,$B3753)+S3753*SUMIFS(Premissas!$F$5:$F$44,Premissas!$A$5:$A$44,$A3753,Premissas!$B$5:$B$44,$B3753)</f>
        <v/>
      </c>
      <c r="L3753" s="29">
        <f>J3753-K3753</f>
        <v/>
      </c>
      <c r="M3753" t="inlineStr">
        <is>
          <t>1.350</t>
        </is>
      </c>
      <c r="N3753" t="inlineStr">
        <is>
          <t>Modalidade: 0 - Por conta do remetente | Parte: R.L SERAFIM LTDA (66.426.039/0001-83)</t>
        </is>
      </c>
      <c r="O3753" s="29" t="n">
        <v>0</v>
      </c>
      <c r="P3753" s="29" t="n">
        <v>0</v>
      </c>
      <c r="Q3753" s="29" t="n">
        <v>0</v>
      </c>
      <c r="R3753" s="29" t="n">
        <v>0</v>
      </c>
      <c r="S3753" s="29" t="n">
        <v>0</v>
      </c>
      <c r="T3753" t="inlineStr">
        <is>
          <t>25260626975620000130570010000074421001501482</t>
        </is>
      </c>
      <c r="U3753" t="inlineStr">
        <is>
          <t>Não</t>
        </is>
      </c>
    </row>
    <row r="3754">
      <c r="A3754" t="inlineStr">
        <is>
          <t>Frete de venda</t>
        </is>
      </c>
      <c r="B3754" t="inlineStr">
        <is>
          <t>2.01.02 Frete sobre Vendas</t>
        </is>
      </c>
      <c r="C3754" s="30" t="n">
        <v>46174</v>
      </c>
      <c r="D3754" t="inlineStr">
        <is>
          <t>Em 2026</t>
        </is>
      </c>
      <c r="E3754" s="28" t="n">
        <v>46196</v>
      </c>
      <c r="F3754" t="inlineStr">
        <is>
          <t>CT-e</t>
        </is>
      </c>
      <c r="G3754" t="inlineStr">
        <is>
          <t>000007443</t>
        </is>
      </c>
      <c r="H3754" t="inlineStr">
        <is>
          <t>R&amp;R TRANSPORTE E LOGISTICA</t>
        </is>
      </c>
      <c r="J3754" s="29" t="n">
        <v>36.79</v>
      </c>
      <c r="K3754" s="29">
        <f>(1-ISNUMBER(SEARCH("556",M3754)))*(O3754*SUMIFS(Premissas!$C$5:$C$44,Premissas!$A$5:$A$44,$A3754,Premissas!$B$5:$B$44,$B3754)+P3754*SUMIFS(Premissas!$D$5:$D$44,Premissas!$A$5:$A$44,$A3754,Premissas!$B$5:$B$44,$B3754))+R3754*SUMIFS(Premissas!$E$5:$E$44,Premissas!$A$5:$A$44,$A3754,Premissas!$B$5:$B$44,$B3754)+S3754*SUMIFS(Premissas!$F$5:$F$44,Premissas!$A$5:$A$44,$A3754,Premissas!$B$5:$B$44,$B3754)</f>
        <v/>
      </c>
      <c r="L3754" s="29">
        <f>J3754-K3754</f>
        <v/>
      </c>
      <c r="M3754" t="inlineStr">
        <is>
          <t>1.350</t>
        </is>
      </c>
      <c r="N3754" t="inlineStr">
        <is>
          <t>Modalidade: 0 - Por conta do remetente | Parte: TRANSTEL COMERCIO E ARMAZENAMENTO E LOGISTICA LTDA (59.254.117/0001-44)</t>
        </is>
      </c>
      <c r="O3754" s="29" t="n">
        <v>0</v>
      </c>
      <c r="P3754" s="29" t="n">
        <v>0</v>
      </c>
      <c r="Q3754" s="29" t="n">
        <v>0</v>
      </c>
      <c r="R3754" s="29" t="n">
        <v>0</v>
      </c>
      <c r="S3754" s="29" t="n">
        <v>0</v>
      </c>
      <c r="T3754" t="inlineStr">
        <is>
          <t>25260626975620000130570010000074431001201567</t>
        </is>
      </c>
      <c r="U3754" t="inlineStr">
        <is>
          <t>Não</t>
        </is>
      </c>
    </row>
    <row r="3755">
      <c r="A3755" t="inlineStr">
        <is>
          <t>Frete de venda</t>
        </is>
      </c>
      <c r="B3755" t="inlineStr">
        <is>
          <t>2.01.02 Frete sobre Vendas</t>
        </is>
      </c>
      <c r="C3755" s="30" t="n">
        <v>46174</v>
      </c>
      <c r="D3755" t="inlineStr">
        <is>
          <t>Em 2026</t>
        </is>
      </c>
      <c r="E3755" s="28" t="n">
        <v>46196</v>
      </c>
      <c r="F3755" t="inlineStr">
        <is>
          <t>CT-e</t>
        </is>
      </c>
      <c r="G3755" t="inlineStr">
        <is>
          <t>000007444</t>
        </is>
      </c>
      <c r="H3755" t="inlineStr">
        <is>
          <t>R&amp;R TRANSPORTE E LOGISTICA</t>
        </is>
      </c>
      <c r="J3755" s="29" t="n">
        <v>37.17</v>
      </c>
      <c r="K3755" s="29">
        <f>(1-ISNUMBER(SEARCH("556",M3755)))*(O3755*SUMIFS(Premissas!$C$5:$C$44,Premissas!$A$5:$A$44,$A3755,Premissas!$B$5:$B$44,$B3755)+P3755*SUMIFS(Premissas!$D$5:$D$44,Premissas!$A$5:$A$44,$A3755,Premissas!$B$5:$B$44,$B3755))+R3755*SUMIFS(Premissas!$E$5:$E$44,Premissas!$A$5:$A$44,$A3755,Premissas!$B$5:$B$44,$B3755)+S3755*SUMIFS(Premissas!$F$5:$F$44,Premissas!$A$5:$A$44,$A3755,Premissas!$B$5:$B$44,$B3755)</f>
        <v/>
      </c>
      <c r="L3755" s="29">
        <f>J3755-K3755</f>
        <v/>
      </c>
      <c r="M3755" t="inlineStr">
        <is>
          <t>1.350</t>
        </is>
      </c>
      <c r="N3755" t="inlineStr">
        <is>
          <t>Modalidade: 0 - Por conta do remetente | Parte: LITORAL DISTRIBUIDORA S.A (55.104.068/0002-93)</t>
        </is>
      </c>
      <c r="O3755" s="29" t="n">
        <v>0</v>
      </c>
      <c r="P3755" s="29" t="n">
        <v>0</v>
      </c>
      <c r="Q3755" s="29" t="n">
        <v>0</v>
      </c>
      <c r="R3755" s="29" t="n">
        <v>0</v>
      </c>
      <c r="S3755" s="29" t="n">
        <v>0</v>
      </c>
      <c r="T3755" t="inlineStr">
        <is>
          <t>25260626975620000130570010000074441011001649</t>
        </is>
      </c>
      <c r="U3755" t="inlineStr">
        <is>
          <t>Não</t>
        </is>
      </c>
    </row>
    <row r="3756">
      <c r="A3756" t="inlineStr">
        <is>
          <t>Frete de venda</t>
        </is>
      </c>
      <c r="B3756" t="inlineStr">
        <is>
          <t>2.01.02 Frete sobre Vendas</t>
        </is>
      </c>
      <c r="C3756" s="30" t="n">
        <v>46174</v>
      </c>
      <c r="D3756" t="inlineStr">
        <is>
          <t>Em 2026</t>
        </is>
      </c>
      <c r="E3756" s="28" t="n">
        <v>46196</v>
      </c>
      <c r="F3756" t="inlineStr">
        <is>
          <t>CT-e</t>
        </is>
      </c>
      <c r="G3756" t="inlineStr">
        <is>
          <t>000007445</t>
        </is>
      </c>
      <c r="H3756" t="inlineStr">
        <is>
          <t>R&amp;R TRANSPORTE E LOGISTICA</t>
        </is>
      </c>
      <c r="J3756" s="29" t="n">
        <v>61.87</v>
      </c>
      <c r="K3756" s="29">
        <f>(1-ISNUMBER(SEARCH("556",M3756)))*(O3756*SUMIFS(Premissas!$C$5:$C$44,Premissas!$A$5:$A$44,$A3756,Premissas!$B$5:$B$44,$B3756)+P3756*SUMIFS(Premissas!$D$5:$D$44,Premissas!$A$5:$A$44,$A3756,Premissas!$B$5:$B$44,$B3756))+R3756*SUMIFS(Premissas!$E$5:$E$44,Premissas!$A$5:$A$44,$A3756,Premissas!$B$5:$B$44,$B3756)+S3756*SUMIFS(Premissas!$F$5:$F$44,Premissas!$A$5:$A$44,$A3756,Premissas!$B$5:$B$44,$B3756)</f>
        <v/>
      </c>
      <c r="L3756" s="29">
        <f>J3756-K3756</f>
        <v/>
      </c>
      <c r="M3756" t="inlineStr">
        <is>
          <t>1.350</t>
        </is>
      </c>
      <c r="N3756" t="inlineStr">
        <is>
          <t>Modalidade: 0 - Por conta do remetente | Parte: LITORAL DISTRIBUIDORA S.A (55.104.068/0001-02)</t>
        </is>
      </c>
      <c r="O3756" s="29" t="n">
        <v>0</v>
      </c>
      <c r="P3756" s="29" t="n">
        <v>0</v>
      </c>
      <c r="Q3756" s="29" t="n">
        <v>0</v>
      </c>
      <c r="R3756" s="29" t="n">
        <v>0</v>
      </c>
      <c r="S3756" s="29" t="n">
        <v>0</v>
      </c>
      <c r="T3756" t="inlineStr">
        <is>
          <t>25260626975620000130570010000074451001701726</t>
        </is>
      </c>
      <c r="U3756" t="inlineStr">
        <is>
          <t>Não</t>
        </is>
      </c>
    </row>
    <row r="3757">
      <c r="A3757" t="inlineStr">
        <is>
          <t>Frete de venda</t>
        </is>
      </c>
      <c r="B3757" t="inlineStr">
        <is>
          <t>2.01.02 Frete sobre Vendas</t>
        </is>
      </c>
      <c r="C3757" s="30" t="n">
        <v>46174</v>
      </c>
      <c r="D3757" t="inlineStr">
        <is>
          <t>Em 2026</t>
        </is>
      </c>
      <c r="E3757" s="28" t="n">
        <v>46196</v>
      </c>
      <c r="F3757" t="inlineStr">
        <is>
          <t>CT-e</t>
        </is>
      </c>
      <c r="G3757" t="inlineStr">
        <is>
          <t>000007446</t>
        </is>
      </c>
      <c r="H3757" t="inlineStr">
        <is>
          <t>R&amp;R TRANSPORTE E LOGISTICA</t>
        </is>
      </c>
      <c r="J3757" s="29" t="n">
        <v>33.48</v>
      </c>
      <c r="K3757" s="29">
        <f>(1-ISNUMBER(SEARCH("556",M3757)))*(O3757*SUMIFS(Premissas!$C$5:$C$44,Premissas!$A$5:$A$44,$A3757,Premissas!$B$5:$B$44,$B3757)+P3757*SUMIFS(Premissas!$D$5:$D$44,Premissas!$A$5:$A$44,$A3757,Premissas!$B$5:$B$44,$B3757))+R3757*SUMIFS(Premissas!$E$5:$E$44,Premissas!$A$5:$A$44,$A3757,Premissas!$B$5:$B$44,$B3757)+S3757*SUMIFS(Premissas!$F$5:$F$44,Premissas!$A$5:$A$44,$A3757,Premissas!$B$5:$B$44,$B3757)</f>
        <v/>
      </c>
      <c r="L3757" s="29">
        <f>J3757-K3757</f>
        <v/>
      </c>
      <c r="M3757" t="inlineStr">
        <is>
          <t>1.350</t>
        </is>
      </c>
      <c r="N3757" t="inlineStr">
        <is>
          <t>Modalidade: 0 - Por conta do remetente | Parte: CANAA COMERCIO DE EMBALAGENS LTDA (44.730.457/0001-27)</t>
        </is>
      </c>
      <c r="O3757" s="29" t="n">
        <v>0</v>
      </c>
      <c r="P3757" s="29" t="n">
        <v>0</v>
      </c>
      <c r="Q3757" s="29" t="n">
        <v>0</v>
      </c>
      <c r="R3757" s="29" t="n">
        <v>0</v>
      </c>
      <c r="S3757" s="29" t="n">
        <v>0</v>
      </c>
      <c r="T3757" t="inlineStr">
        <is>
          <t>25260626975620000130570010000074461001801078</t>
        </is>
      </c>
      <c r="U3757" t="inlineStr">
        <is>
          <t>Não</t>
        </is>
      </c>
    </row>
    <row r="3758">
      <c r="A3758" t="inlineStr">
        <is>
          <t>Frete de venda</t>
        </is>
      </c>
      <c r="B3758" t="inlineStr">
        <is>
          <t>2.01.02 Frete sobre Vendas</t>
        </is>
      </c>
      <c r="C3758" s="30" t="n">
        <v>46174</v>
      </c>
      <c r="D3758" t="inlineStr">
        <is>
          <t>Em 2026</t>
        </is>
      </c>
      <c r="E3758" s="28" t="n">
        <v>46196</v>
      </c>
      <c r="F3758" t="inlineStr">
        <is>
          <t>CT-e</t>
        </is>
      </c>
      <c r="G3758" t="inlineStr">
        <is>
          <t>000007447</t>
        </is>
      </c>
      <c r="H3758" t="inlineStr">
        <is>
          <t>R&amp;R TRANSPORTE E LOGISTICA</t>
        </is>
      </c>
      <c r="J3758" s="29" t="n">
        <v>43.07</v>
      </c>
      <c r="K3758" s="29">
        <f>(1-ISNUMBER(SEARCH("556",M3758)))*(O3758*SUMIFS(Premissas!$C$5:$C$44,Premissas!$A$5:$A$44,$A3758,Premissas!$B$5:$B$44,$B3758)+P3758*SUMIFS(Premissas!$D$5:$D$44,Premissas!$A$5:$A$44,$A3758,Premissas!$B$5:$B$44,$B3758))+R3758*SUMIFS(Premissas!$E$5:$E$44,Premissas!$A$5:$A$44,$A3758,Premissas!$B$5:$B$44,$B3758)+S3758*SUMIFS(Premissas!$F$5:$F$44,Premissas!$A$5:$A$44,$A3758,Premissas!$B$5:$B$44,$B3758)</f>
        <v/>
      </c>
      <c r="L3758" s="29">
        <f>J3758-K3758</f>
        <v/>
      </c>
      <c r="M3758" t="inlineStr">
        <is>
          <t>1.350</t>
        </is>
      </c>
      <c r="N3758" t="inlineStr">
        <is>
          <t>Modalidade: 0 - Por conta do remetente | Parte: EDINALDO MATOS SANTA ROSA (30.651.989/0001-64)</t>
        </is>
      </c>
      <c r="O3758" s="29" t="n">
        <v>0</v>
      </c>
      <c r="P3758" s="29" t="n">
        <v>0</v>
      </c>
      <c r="Q3758" s="29" t="n">
        <v>0</v>
      </c>
      <c r="R3758" s="29" t="n">
        <v>0</v>
      </c>
      <c r="S3758" s="29" t="n">
        <v>0</v>
      </c>
      <c r="T3758" t="inlineStr">
        <is>
          <t>25260626975620000130570010000074471001501152</t>
        </is>
      </c>
      <c r="U3758" t="inlineStr">
        <is>
          <t>Não</t>
        </is>
      </c>
    </row>
    <row r="3759">
      <c r="A3759" t="inlineStr">
        <is>
          <t>Frete de venda</t>
        </is>
      </c>
      <c r="B3759" t="inlineStr">
        <is>
          <t>2.01.02 Frete sobre Vendas</t>
        </is>
      </c>
      <c r="C3759" s="30" t="n">
        <v>46174</v>
      </c>
      <c r="D3759" t="inlineStr">
        <is>
          <t>Em 2026</t>
        </is>
      </c>
      <c r="E3759" s="28" t="n">
        <v>46196</v>
      </c>
      <c r="F3759" t="inlineStr">
        <is>
          <t>CT-e</t>
        </is>
      </c>
      <c r="G3759" t="inlineStr">
        <is>
          <t>000007448</t>
        </is>
      </c>
      <c r="H3759" t="inlineStr">
        <is>
          <t>R&amp;R TRANSPORTE E LOGISTICA</t>
        </is>
      </c>
      <c r="J3759" s="29" t="n">
        <v>37.26</v>
      </c>
      <c r="K3759" s="29">
        <f>(1-ISNUMBER(SEARCH("556",M3759)))*(O3759*SUMIFS(Premissas!$C$5:$C$44,Premissas!$A$5:$A$44,$A3759,Premissas!$B$5:$B$44,$B3759)+P3759*SUMIFS(Premissas!$D$5:$D$44,Premissas!$A$5:$A$44,$A3759,Premissas!$B$5:$B$44,$B3759))+R3759*SUMIFS(Premissas!$E$5:$E$44,Premissas!$A$5:$A$44,$A3759,Premissas!$B$5:$B$44,$B3759)+S3759*SUMIFS(Premissas!$F$5:$F$44,Premissas!$A$5:$A$44,$A3759,Premissas!$B$5:$B$44,$B3759)</f>
        <v/>
      </c>
      <c r="L3759" s="29">
        <f>J3759-K3759</f>
        <v/>
      </c>
      <c r="M3759" t="inlineStr">
        <is>
          <t>1.350</t>
        </is>
      </c>
      <c r="N3759" t="inlineStr">
        <is>
          <t>Modalidade: 0 - Por conta do remetente | Parte: SOUTO EMBALAGENS E FESTAS LTDA (57.158.488/0001-05)</t>
        </is>
      </c>
      <c r="O3759" s="29" t="n">
        <v>0</v>
      </c>
      <c r="P3759" s="29" t="n">
        <v>0</v>
      </c>
      <c r="Q3759" s="29" t="n">
        <v>0</v>
      </c>
      <c r="R3759" s="29" t="n">
        <v>0</v>
      </c>
      <c r="S3759" s="29" t="n">
        <v>0</v>
      </c>
      <c r="T3759" t="inlineStr">
        <is>
          <t>25260626975620000130570010000074481001201237</t>
        </is>
      </c>
      <c r="U3759" t="inlineStr">
        <is>
          <t>Não</t>
        </is>
      </c>
    </row>
    <row r="3760">
      <c r="A3760" t="inlineStr">
        <is>
          <t>Frete de venda</t>
        </is>
      </c>
      <c r="B3760" t="inlineStr">
        <is>
          <t>2.01.02 Frete sobre Vendas</t>
        </is>
      </c>
      <c r="C3760" s="30" t="n">
        <v>46174</v>
      </c>
      <c r="D3760" t="inlineStr">
        <is>
          <t>Em 2026</t>
        </is>
      </c>
      <c r="E3760" s="28" t="n">
        <v>46196</v>
      </c>
      <c r="F3760" t="inlineStr">
        <is>
          <t>CT-e</t>
        </is>
      </c>
      <c r="G3760" t="inlineStr">
        <is>
          <t>000007449</t>
        </is>
      </c>
      <c r="H3760" t="inlineStr">
        <is>
          <t>R&amp;R TRANSPORTE E LOGISTICA</t>
        </is>
      </c>
      <c r="J3760" s="29" t="n">
        <v>200</v>
      </c>
      <c r="K3760" s="29">
        <f>(1-ISNUMBER(SEARCH("556",M3760)))*(O3760*SUMIFS(Premissas!$C$5:$C$44,Premissas!$A$5:$A$44,$A3760,Premissas!$B$5:$B$44,$B3760)+P3760*SUMIFS(Premissas!$D$5:$D$44,Premissas!$A$5:$A$44,$A3760,Premissas!$B$5:$B$44,$B3760))+R3760*SUMIFS(Premissas!$E$5:$E$44,Premissas!$A$5:$A$44,$A3760,Premissas!$B$5:$B$44,$B3760)+S3760*SUMIFS(Premissas!$F$5:$F$44,Premissas!$A$5:$A$44,$A3760,Premissas!$B$5:$B$44,$B3760)</f>
        <v/>
      </c>
      <c r="L3760" s="29">
        <f>J3760-K3760</f>
        <v/>
      </c>
      <c r="M3760" t="inlineStr">
        <is>
          <t>1.350</t>
        </is>
      </c>
      <c r="N3760" t="inlineStr">
        <is>
          <t>Modalidade: 0 - Por conta do remetente | Parte: MUNDO DOS DESCARTAVEIS LTDA (40.211.407/0001-82)</t>
        </is>
      </c>
      <c r="O3760" s="29" t="n">
        <v>0</v>
      </c>
      <c r="P3760" s="29" t="n">
        <v>0</v>
      </c>
      <c r="Q3760" s="29" t="n">
        <v>0</v>
      </c>
      <c r="R3760" s="29" t="n">
        <v>0</v>
      </c>
      <c r="S3760" s="29" t="n">
        <v>0</v>
      </c>
      <c r="T3760" t="inlineStr">
        <is>
          <t>25260626975620000130570010000074491011001319</t>
        </is>
      </c>
      <c r="U3760" t="inlineStr">
        <is>
          <t>Não</t>
        </is>
      </c>
    </row>
    <row r="3761">
      <c r="A3761" t="inlineStr">
        <is>
          <t>Frete de venda</t>
        </is>
      </c>
      <c r="B3761" t="inlineStr">
        <is>
          <t>2.01.02 Frete sobre Vendas</t>
        </is>
      </c>
      <c r="C3761" s="30" t="n">
        <v>46174</v>
      </c>
      <c r="D3761" t="inlineStr">
        <is>
          <t>Em 2026</t>
        </is>
      </c>
      <c r="E3761" s="28" t="n">
        <v>46196</v>
      </c>
      <c r="F3761" t="inlineStr">
        <is>
          <t>CT-e</t>
        </is>
      </c>
      <c r="G3761" t="inlineStr">
        <is>
          <t>000007450</t>
        </is>
      </c>
      <c r="H3761" t="inlineStr">
        <is>
          <t>R&amp;R TRANSPORTE E LOGISTICA</t>
        </is>
      </c>
      <c r="J3761" s="29" t="n">
        <v>200</v>
      </c>
      <c r="K3761" s="29">
        <f>(1-ISNUMBER(SEARCH("556",M3761)))*(O3761*SUMIFS(Premissas!$C$5:$C$44,Premissas!$A$5:$A$44,$A3761,Premissas!$B$5:$B$44,$B3761)+P3761*SUMIFS(Premissas!$D$5:$D$44,Premissas!$A$5:$A$44,$A3761,Premissas!$B$5:$B$44,$B3761))+R3761*SUMIFS(Premissas!$E$5:$E$44,Premissas!$A$5:$A$44,$A3761,Premissas!$B$5:$B$44,$B3761)+S3761*SUMIFS(Premissas!$F$5:$F$44,Premissas!$A$5:$A$44,$A3761,Premissas!$B$5:$B$44,$B3761)</f>
        <v/>
      </c>
      <c r="L3761" s="29">
        <f>J3761-K3761</f>
        <v/>
      </c>
      <c r="M3761" t="inlineStr">
        <is>
          <t>1.350</t>
        </is>
      </c>
      <c r="N3761" t="inlineStr">
        <is>
          <t>Modalidade: 0 - Por conta do remetente | Parte: G1 DISTRIBUIDORA DE PRODUTOS FARMACEUTICOS LTDA (23.837.936/0002-58)</t>
        </is>
      </c>
      <c r="O3761" s="29" t="n">
        <v>0</v>
      </c>
      <c r="P3761" s="29" t="n">
        <v>0</v>
      </c>
      <c r="Q3761" s="29" t="n">
        <v>0</v>
      </c>
      <c r="R3761" s="29" t="n">
        <v>0</v>
      </c>
      <c r="S3761" s="29" t="n">
        <v>0</v>
      </c>
      <c r="T3761" t="inlineStr">
        <is>
          <t>25260626975620000130570010000074501001701394</t>
        </is>
      </c>
      <c r="U3761" t="inlineStr">
        <is>
          <t>Não</t>
        </is>
      </c>
    </row>
    <row r="3762">
      <c r="A3762" t="inlineStr">
        <is>
          <t>Frete de venda</t>
        </is>
      </c>
      <c r="B3762" t="inlineStr">
        <is>
          <t>2.01.02 Frete sobre Vendas</t>
        </is>
      </c>
      <c r="C3762" s="30" t="n">
        <v>46174</v>
      </c>
      <c r="D3762" t="inlineStr">
        <is>
          <t>Em 2026</t>
        </is>
      </c>
      <c r="E3762" s="28" t="n">
        <v>46196</v>
      </c>
      <c r="F3762" t="inlineStr">
        <is>
          <t>CT-e</t>
        </is>
      </c>
      <c r="G3762" t="inlineStr">
        <is>
          <t>000007451</t>
        </is>
      </c>
      <c r="H3762" t="inlineStr">
        <is>
          <t>R&amp;R TRANSPORTE E LOGISTICA</t>
        </is>
      </c>
      <c r="J3762" s="29" t="n">
        <v>200</v>
      </c>
      <c r="K3762" s="29">
        <f>(1-ISNUMBER(SEARCH("556",M3762)))*(O3762*SUMIFS(Premissas!$C$5:$C$44,Premissas!$A$5:$A$44,$A3762,Premissas!$B$5:$B$44,$B3762)+P3762*SUMIFS(Premissas!$D$5:$D$44,Premissas!$A$5:$A$44,$A3762,Premissas!$B$5:$B$44,$B3762))+R3762*SUMIFS(Premissas!$E$5:$E$44,Premissas!$A$5:$A$44,$A3762,Premissas!$B$5:$B$44,$B3762)+S3762*SUMIFS(Premissas!$F$5:$F$44,Premissas!$A$5:$A$44,$A3762,Premissas!$B$5:$B$44,$B3762)</f>
        <v/>
      </c>
      <c r="L3762" s="29">
        <f>J3762-K3762</f>
        <v/>
      </c>
      <c r="M3762" t="inlineStr">
        <is>
          <t>1.350</t>
        </is>
      </c>
      <c r="N3762" t="inlineStr">
        <is>
          <t>Modalidade: 0 - Por conta do remetente | Parte: ALEX S. J. MARTINS (15.102.358/0001-00)</t>
        </is>
      </c>
      <c r="O3762" s="29" t="n">
        <v>0</v>
      </c>
      <c r="P3762" s="29" t="n">
        <v>0</v>
      </c>
      <c r="Q3762" s="29" t="n">
        <v>0</v>
      </c>
      <c r="R3762" s="29" t="n">
        <v>0</v>
      </c>
      <c r="S3762" s="29" t="n">
        <v>0</v>
      </c>
      <c r="T3762" t="inlineStr">
        <is>
          <t>25260626975620000130570010000074511001401479</t>
        </is>
      </c>
      <c r="U3762" t="inlineStr">
        <is>
          <t>Não</t>
        </is>
      </c>
    </row>
    <row r="3763">
      <c r="A3763" t="inlineStr">
        <is>
          <t>Frete de venda</t>
        </is>
      </c>
      <c r="B3763" t="inlineStr">
        <is>
          <t>2.01.02 Frete sobre Vendas</t>
        </is>
      </c>
      <c r="C3763" s="30" t="n">
        <v>46174</v>
      </c>
      <c r="D3763" t="inlineStr">
        <is>
          <t>Em 2026</t>
        </is>
      </c>
      <c r="E3763" s="28" t="n">
        <v>46196</v>
      </c>
      <c r="F3763" t="inlineStr">
        <is>
          <t>CT-e</t>
        </is>
      </c>
      <c r="G3763" t="inlineStr">
        <is>
          <t>000007452</t>
        </is>
      </c>
      <c r="H3763" t="inlineStr">
        <is>
          <t>R&amp;R TRANSPORTE E LOGISTICA</t>
        </is>
      </c>
      <c r="J3763" s="29" t="n">
        <v>200</v>
      </c>
      <c r="K3763" s="29">
        <f>(1-ISNUMBER(SEARCH("556",M3763)))*(O3763*SUMIFS(Premissas!$C$5:$C$44,Premissas!$A$5:$A$44,$A3763,Premissas!$B$5:$B$44,$B3763)+P3763*SUMIFS(Premissas!$D$5:$D$44,Premissas!$A$5:$A$44,$A3763,Premissas!$B$5:$B$44,$B3763))+R3763*SUMIFS(Premissas!$E$5:$E$44,Premissas!$A$5:$A$44,$A3763,Premissas!$B$5:$B$44,$B3763)+S3763*SUMIFS(Premissas!$F$5:$F$44,Premissas!$A$5:$A$44,$A3763,Premissas!$B$5:$B$44,$B3763)</f>
        <v/>
      </c>
      <c r="L3763" s="29">
        <f>J3763-K3763</f>
        <v/>
      </c>
      <c r="M3763" t="inlineStr">
        <is>
          <t>1.350</t>
        </is>
      </c>
      <c r="N3763" t="inlineStr">
        <is>
          <t>Modalidade: 0 - Por conta do remetente | Parte: DESCARTOP LTDA (65.584.892/0001-60)</t>
        </is>
      </c>
      <c r="O3763" s="29" t="n">
        <v>0</v>
      </c>
      <c r="P3763" s="29" t="n">
        <v>0</v>
      </c>
      <c r="Q3763" s="29" t="n">
        <v>0</v>
      </c>
      <c r="R3763" s="29" t="n">
        <v>0</v>
      </c>
      <c r="S3763" s="29" t="n">
        <v>0</v>
      </c>
      <c r="T3763" t="inlineStr">
        <is>
          <t>25260626975620000130570010000074521001101553</t>
        </is>
      </c>
      <c r="U3763" t="inlineStr">
        <is>
          <t>Não</t>
        </is>
      </c>
    </row>
    <row r="3764">
      <c r="A3764" t="inlineStr">
        <is>
          <t>Frete de venda</t>
        </is>
      </c>
      <c r="B3764" t="inlineStr">
        <is>
          <t>2.01.02 Frete sobre Vendas</t>
        </is>
      </c>
      <c r="C3764" s="30" t="n">
        <v>46174</v>
      </c>
      <c r="D3764" t="inlineStr">
        <is>
          <t>Em 2026</t>
        </is>
      </c>
      <c r="E3764" s="28" t="n">
        <v>46198</v>
      </c>
      <c r="F3764" t="inlineStr">
        <is>
          <t>CT-e</t>
        </is>
      </c>
      <c r="G3764" t="inlineStr">
        <is>
          <t>000007458</t>
        </is>
      </c>
      <c r="H3764" t="inlineStr">
        <is>
          <t>R&amp;R TRANSPORTE E LOGISTICA</t>
        </is>
      </c>
      <c r="J3764" s="29" t="n">
        <v>98.70999999999999</v>
      </c>
      <c r="K3764" s="29">
        <f>(1-ISNUMBER(SEARCH("556",M3764)))*(O3764*SUMIFS(Premissas!$C$5:$C$44,Premissas!$A$5:$A$44,$A3764,Premissas!$B$5:$B$44,$B3764)+P3764*SUMIFS(Premissas!$D$5:$D$44,Premissas!$A$5:$A$44,$A3764,Premissas!$B$5:$B$44,$B3764))+R3764*SUMIFS(Premissas!$E$5:$E$44,Premissas!$A$5:$A$44,$A3764,Premissas!$B$5:$B$44,$B3764)+S3764*SUMIFS(Premissas!$F$5:$F$44,Premissas!$A$5:$A$44,$A3764,Premissas!$B$5:$B$44,$B3764)</f>
        <v/>
      </c>
      <c r="L3764" s="29">
        <f>J3764-K3764</f>
        <v/>
      </c>
      <c r="M3764" t="inlineStr">
        <is>
          <t>1.350</t>
        </is>
      </c>
      <c r="N3764" t="inlineStr">
        <is>
          <t>Modalidade: 0 - Por conta do remetente | Parte: COMERCIAL CARAPA DE SECOS E MOLHADOS LTDA (03.790.904/0002-37)</t>
        </is>
      </c>
      <c r="O3764" s="29" t="n">
        <v>0</v>
      </c>
      <c r="P3764" s="29" t="n">
        <v>0</v>
      </c>
      <c r="Q3764" s="29" t="n">
        <v>0</v>
      </c>
      <c r="R3764" s="29" t="n">
        <v>0</v>
      </c>
      <c r="S3764" s="29" t="n">
        <v>0</v>
      </c>
      <c r="T3764" t="inlineStr">
        <is>
          <t>25260626975620000130570010000074581001901308</t>
        </is>
      </c>
      <c r="U3764" t="inlineStr">
        <is>
          <t>Não</t>
        </is>
      </c>
    </row>
    <row r="3765">
      <c r="A3765" t="inlineStr">
        <is>
          <t>Frete de venda</t>
        </is>
      </c>
      <c r="B3765" t="inlineStr">
        <is>
          <t>2.01.02 Frete sobre Vendas</t>
        </is>
      </c>
      <c r="C3765" s="30" t="n">
        <v>46174</v>
      </c>
      <c r="D3765" t="inlineStr">
        <is>
          <t>Em 2026</t>
        </is>
      </c>
      <c r="E3765" s="28" t="n">
        <v>46198</v>
      </c>
      <c r="F3765" t="inlineStr">
        <is>
          <t>CT-e</t>
        </is>
      </c>
      <c r="G3765" t="inlineStr">
        <is>
          <t>000007459</t>
        </is>
      </c>
      <c r="H3765" t="inlineStr">
        <is>
          <t>R&amp;R TRANSPORTE E LOGISTICA</t>
        </is>
      </c>
      <c r="J3765" s="29" t="n">
        <v>31.64</v>
      </c>
      <c r="K3765" s="29">
        <f>(1-ISNUMBER(SEARCH("556",M3765)))*(O3765*SUMIFS(Premissas!$C$5:$C$44,Premissas!$A$5:$A$44,$A3765,Premissas!$B$5:$B$44,$B3765)+P3765*SUMIFS(Premissas!$D$5:$D$44,Premissas!$A$5:$A$44,$A3765,Premissas!$B$5:$B$44,$B3765))+R3765*SUMIFS(Premissas!$E$5:$E$44,Premissas!$A$5:$A$44,$A3765,Premissas!$B$5:$B$44,$B3765)+S3765*SUMIFS(Premissas!$F$5:$F$44,Premissas!$A$5:$A$44,$A3765,Premissas!$B$5:$B$44,$B3765)</f>
        <v/>
      </c>
      <c r="L3765" s="29">
        <f>J3765-K3765</f>
        <v/>
      </c>
      <c r="M3765" t="inlineStr">
        <is>
          <t>1.350</t>
        </is>
      </c>
      <c r="N3765" t="inlineStr">
        <is>
          <t>Modalidade: 0 - Por conta do remetente | Parte: MARIA CLEIDE RAMOS LTDA (42.968.790/0001-43)</t>
        </is>
      </c>
      <c r="O3765" s="29" t="n">
        <v>0</v>
      </c>
      <c r="P3765" s="29" t="n">
        <v>0</v>
      </c>
      <c r="Q3765" s="29" t="n">
        <v>0</v>
      </c>
      <c r="R3765" s="29" t="n">
        <v>0</v>
      </c>
      <c r="S3765" s="29" t="n">
        <v>0</v>
      </c>
      <c r="T3765" t="inlineStr">
        <is>
          <t>25260626975620000130570010000074591001601387</t>
        </is>
      </c>
      <c r="U3765" t="inlineStr">
        <is>
          <t>Não</t>
        </is>
      </c>
    </row>
    <row r="3766">
      <c r="A3766" t="inlineStr">
        <is>
          <t>Frete de venda</t>
        </is>
      </c>
      <c r="B3766" t="inlineStr">
        <is>
          <t>2.01.02 Frete sobre Vendas</t>
        </is>
      </c>
      <c r="C3766" s="30" t="n">
        <v>46174</v>
      </c>
      <c r="D3766" t="inlineStr">
        <is>
          <t>Em 2026</t>
        </is>
      </c>
      <c r="E3766" s="28" t="n">
        <v>46198</v>
      </c>
      <c r="F3766" t="inlineStr">
        <is>
          <t>CT-e</t>
        </is>
      </c>
      <c r="G3766" t="inlineStr">
        <is>
          <t>000007460</t>
        </is>
      </c>
      <c r="H3766" t="inlineStr">
        <is>
          <t>R&amp;R TRANSPORTE E LOGISTICA</t>
        </is>
      </c>
      <c r="J3766" s="29" t="n">
        <v>140.78</v>
      </c>
      <c r="K3766" s="29">
        <f>(1-ISNUMBER(SEARCH("556",M3766)))*(O3766*SUMIFS(Premissas!$C$5:$C$44,Premissas!$A$5:$A$44,$A3766,Premissas!$B$5:$B$44,$B3766)+P3766*SUMIFS(Premissas!$D$5:$D$44,Premissas!$A$5:$A$44,$A3766,Premissas!$B$5:$B$44,$B3766))+R3766*SUMIFS(Premissas!$E$5:$E$44,Premissas!$A$5:$A$44,$A3766,Premissas!$B$5:$B$44,$B3766)+S3766*SUMIFS(Premissas!$F$5:$F$44,Premissas!$A$5:$A$44,$A3766,Premissas!$B$5:$B$44,$B3766)</f>
        <v/>
      </c>
      <c r="L3766" s="29">
        <f>J3766-K3766</f>
        <v/>
      </c>
      <c r="M3766" t="inlineStr">
        <is>
          <t>1.350</t>
        </is>
      </c>
      <c r="N3766" t="inlineStr">
        <is>
          <t>Modalidade: 0 - Por conta do remetente | Parte: DISTRIBUIDORA CENTRAL EMBALAGENS LTDA (08.726.563/0001-73)</t>
        </is>
      </c>
      <c r="O3766" s="29" t="n">
        <v>0</v>
      </c>
      <c r="P3766" s="29" t="n">
        <v>0</v>
      </c>
      <c r="Q3766" s="29" t="n">
        <v>0</v>
      </c>
      <c r="R3766" s="29" t="n">
        <v>0</v>
      </c>
      <c r="S3766" s="29" t="n">
        <v>0</v>
      </c>
      <c r="T3766" t="inlineStr">
        <is>
          <t>25260626975620000130570010000074601001301465</t>
        </is>
      </c>
      <c r="U3766" t="inlineStr">
        <is>
          <t>Não</t>
        </is>
      </c>
    </row>
    <row r="3767">
      <c r="A3767" t="inlineStr">
        <is>
          <t>Frete de venda</t>
        </is>
      </c>
      <c r="B3767" t="inlineStr">
        <is>
          <t>2.01.02 Frete sobre Vendas</t>
        </is>
      </c>
      <c r="C3767" s="30" t="n">
        <v>46174</v>
      </c>
      <c r="D3767" t="inlineStr">
        <is>
          <t>Em 2026</t>
        </is>
      </c>
      <c r="E3767" s="28" t="n">
        <v>46198</v>
      </c>
      <c r="F3767" t="inlineStr">
        <is>
          <t>CT-e</t>
        </is>
      </c>
      <c r="G3767" t="inlineStr">
        <is>
          <t>000007461</t>
        </is>
      </c>
      <c r="H3767" t="inlineStr">
        <is>
          <t>R&amp;R TRANSPORTE E LOGISTICA</t>
        </is>
      </c>
      <c r="J3767" s="29" t="n">
        <v>50.11</v>
      </c>
      <c r="K3767" s="29">
        <f>(1-ISNUMBER(SEARCH("556",M3767)))*(O3767*SUMIFS(Premissas!$C$5:$C$44,Premissas!$A$5:$A$44,$A3767,Premissas!$B$5:$B$44,$B3767)+P3767*SUMIFS(Premissas!$D$5:$D$44,Premissas!$A$5:$A$44,$A3767,Premissas!$B$5:$B$44,$B3767))+R3767*SUMIFS(Premissas!$E$5:$E$44,Premissas!$A$5:$A$44,$A3767,Premissas!$B$5:$B$44,$B3767)+S3767*SUMIFS(Premissas!$F$5:$F$44,Premissas!$A$5:$A$44,$A3767,Premissas!$B$5:$B$44,$B3767)</f>
        <v/>
      </c>
      <c r="L3767" s="29">
        <f>J3767-K3767</f>
        <v/>
      </c>
      <c r="M3767" t="inlineStr">
        <is>
          <t>1.350</t>
        </is>
      </c>
      <c r="N3767" t="inlineStr">
        <is>
          <t>Modalidade: 0 - Por conta do remetente | Parte: KOP COMERCIO ATACADISTA E VAREJISTA DE ALIMENTOS LTDA (53.863.735/0001-05)</t>
        </is>
      </c>
      <c r="O3767" s="29" t="n">
        <v>0</v>
      </c>
      <c r="P3767" s="29" t="n">
        <v>0</v>
      </c>
      <c r="Q3767" s="29" t="n">
        <v>0</v>
      </c>
      <c r="R3767" s="29" t="n">
        <v>0</v>
      </c>
      <c r="S3767" s="29" t="n">
        <v>0</v>
      </c>
      <c r="T3767" t="inlineStr">
        <is>
          <t>25260626975620000130570010000074611000101540</t>
        </is>
      </c>
      <c r="U3767" t="inlineStr">
        <is>
          <t>Não</t>
        </is>
      </c>
    </row>
    <row r="3768">
      <c r="A3768" t="inlineStr">
        <is>
          <t>Frete de venda</t>
        </is>
      </c>
      <c r="B3768" t="inlineStr">
        <is>
          <t>2.01.02 Frete sobre Vendas</t>
        </is>
      </c>
      <c r="C3768" s="30" t="n">
        <v>46174</v>
      </c>
      <c r="D3768" t="inlineStr">
        <is>
          <t>Em 2026</t>
        </is>
      </c>
      <c r="E3768" s="28" t="n">
        <v>46198</v>
      </c>
      <c r="F3768" t="inlineStr">
        <is>
          <t>CT-e</t>
        </is>
      </c>
      <c r="G3768" t="inlineStr">
        <is>
          <t>000007462</t>
        </is>
      </c>
      <c r="H3768" t="inlineStr">
        <is>
          <t>R&amp;R TRANSPORTE E LOGISTICA</t>
        </is>
      </c>
      <c r="J3768" s="29" t="n">
        <v>63.02</v>
      </c>
      <c r="K3768" s="29">
        <f>(1-ISNUMBER(SEARCH("556",M3768)))*(O3768*SUMIFS(Premissas!$C$5:$C$44,Premissas!$A$5:$A$44,$A3768,Premissas!$B$5:$B$44,$B3768)+P3768*SUMIFS(Premissas!$D$5:$D$44,Premissas!$A$5:$A$44,$A3768,Premissas!$B$5:$B$44,$B3768))+R3768*SUMIFS(Premissas!$E$5:$E$44,Premissas!$A$5:$A$44,$A3768,Premissas!$B$5:$B$44,$B3768)+S3768*SUMIFS(Premissas!$F$5:$F$44,Premissas!$A$5:$A$44,$A3768,Premissas!$B$5:$B$44,$B3768)</f>
        <v/>
      </c>
      <c r="L3768" s="29">
        <f>J3768-K3768</f>
        <v/>
      </c>
      <c r="M3768" t="inlineStr">
        <is>
          <t>1.350</t>
        </is>
      </c>
      <c r="N3768" t="inlineStr">
        <is>
          <t>Modalidade: 0 - Por conta do remetente | Parte: JK EMBALAGENS LTDA (20.894.355/0001-89)</t>
        </is>
      </c>
      <c r="O3768" s="29" t="n">
        <v>0</v>
      </c>
      <c r="P3768" s="29" t="n">
        <v>0</v>
      </c>
      <c r="Q3768" s="29" t="n">
        <v>0</v>
      </c>
      <c r="R3768" s="29" t="n">
        <v>0</v>
      </c>
      <c r="S3768" s="29" t="n">
        <v>0</v>
      </c>
      <c r="T3768" t="inlineStr">
        <is>
          <t>25260626975620000130570010000074621001801624</t>
        </is>
      </c>
      <c r="U3768" t="inlineStr">
        <is>
          <t>Não</t>
        </is>
      </c>
    </row>
    <row r="3769">
      <c r="A3769" t="inlineStr">
        <is>
          <t>Frete de venda</t>
        </is>
      </c>
      <c r="B3769" t="inlineStr">
        <is>
          <t>2.01.02 Frete sobre Vendas</t>
        </is>
      </c>
      <c r="C3769" s="30" t="n">
        <v>46174</v>
      </c>
      <c r="D3769" t="inlineStr">
        <is>
          <t>Em 2026</t>
        </is>
      </c>
      <c r="E3769" s="28" t="n">
        <v>46198</v>
      </c>
      <c r="F3769" t="inlineStr">
        <is>
          <t>CT-e</t>
        </is>
      </c>
      <c r="G3769" t="inlineStr">
        <is>
          <t>000007463</t>
        </is>
      </c>
      <c r="H3769" t="inlineStr">
        <is>
          <t>R&amp;R TRANSPORTE E LOGISTICA</t>
        </is>
      </c>
      <c r="J3769" s="29" t="n">
        <v>40.75</v>
      </c>
      <c r="K3769" s="29">
        <f>(1-ISNUMBER(SEARCH("556",M3769)))*(O3769*SUMIFS(Premissas!$C$5:$C$44,Premissas!$A$5:$A$44,$A3769,Premissas!$B$5:$B$44,$B3769)+P3769*SUMIFS(Premissas!$D$5:$D$44,Premissas!$A$5:$A$44,$A3769,Premissas!$B$5:$B$44,$B3769))+R3769*SUMIFS(Premissas!$E$5:$E$44,Premissas!$A$5:$A$44,$A3769,Premissas!$B$5:$B$44,$B3769)+S3769*SUMIFS(Premissas!$F$5:$F$44,Premissas!$A$5:$A$44,$A3769,Premissas!$B$5:$B$44,$B3769)</f>
        <v/>
      </c>
      <c r="L3769" s="29">
        <f>J3769-K3769</f>
        <v/>
      </c>
      <c r="M3769" t="inlineStr">
        <is>
          <t>1.350</t>
        </is>
      </c>
      <c r="N3769" t="inlineStr">
        <is>
          <t>Modalidade: 0 - Por conta do remetente | Parte: 59.070.238 MARIA EDUARDA OLIVEIRA CARDOSO (59.070.238/0001-36)</t>
        </is>
      </c>
      <c r="O3769" s="29" t="n">
        <v>0</v>
      </c>
      <c r="P3769" s="29" t="n">
        <v>0</v>
      </c>
      <c r="Q3769" s="29" t="n">
        <v>0</v>
      </c>
      <c r="R3769" s="29" t="n">
        <v>0</v>
      </c>
      <c r="S3769" s="29" t="n">
        <v>0</v>
      </c>
      <c r="T3769" t="inlineStr">
        <is>
          <t>25260626975620000130570010000074631001501709</t>
        </is>
      </c>
      <c r="U3769" t="inlineStr">
        <is>
          <t>Não</t>
        </is>
      </c>
    </row>
    <row r="3770">
      <c r="A3770" t="inlineStr">
        <is>
          <t>Frete de venda</t>
        </is>
      </c>
      <c r="B3770" t="inlineStr">
        <is>
          <t>2.01.02 Frete sobre Vendas</t>
        </is>
      </c>
      <c r="C3770" s="30" t="n">
        <v>46174</v>
      </c>
      <c r="D3770" t="inlineStr">
        <is>
          <t>Em 2026</t>
        </is>
      </c>
      <c r="E3770" s="28" t="n">
        <v>46198</v>
      </c>
      <c r="F3770" t="inlineStr">
        <is>
          <t>CT-e</t>
        </is>
      </c>
      <c r="G3770" t="inlineStr">
        <is>
          <t>000007464</t>
        </is>
      </c>
      <c r="H3770" t="inlineStr">
        <is>
          <t>R&amp;R TRANSPORTE E LOGISTICA</t>
        </is>
      </c>
      <c r="J3770" s="29" t="n">
        <v>27.33</v>
      </c>
      <c r="K3770" s="29">
        <f>(1-ISNUMBER(SEARCH("556",M3770)))*(O3770*SUMIFS(Premissas!$C$5:$C$44,Premissas!$A$5:$A$44,$A3770,Premissas!$B$5:$B$44,$B3770)+P3770*SUMIFS(Premissas!$D$5:$D$44,Premissas!$A$5:$A$44,$A3770,Premissas!$B$5:$B$44,$B3770))+R3770*SUMIFS(Premissas!$E$5:$E$44,Premissas!$A$5:$A$44,$A3770,Premissas!$B$5:$B$44,$B3770)+S3770*SUMIFS(Premissas!$F$5:$F$44,Premissas!$A$5:$A$44,$A3770,Premissas!$B$5:$B$44,$B3770)</f>
        <v/>
      </c>
      <c r="L3770" s="29">
        <f>J3770-K3770</f>
        <v/>
      </c>
      <c r="M3770" t="inlineStr">
        <is>
          <t>1.350</t>
        </is>
      </c>
      <c r="N3770" t="inlineStr">
        <is>
          <t>Modalidade: 0 - Por conta do remetente | Parte: CHINA ATACADISTA IMPORTADORA E EXPORTADORA LTDA (53.677.669/0002-60)</t>
        </is>
      </c>
      <c r="O3770" s="29" t="n">
        <v>0</v>
      </c>
      <c r="P3770" s="29" t="n">
        <v>0</v>
      </c>
      <c r="Q3770" s="29" t="n">
        <v>0</v>
      </c>
      <c r="R3770" s="29" t="n">
        <v>0</v>
      </c>
      <c r="S3770" s="29" t="n">
        <v>0</v>
      </c>
      <c r="T3770" t="inlineStr">
        <is>
          <t>25260626975620000130570010000074641001201788</t>
        </is>
      </c>
      <c r="U3770" t="inlineStr">
        <is>
          <t>Não</t>
        </is>
      </c>
    </row>
    <row r="3771">
      <c r="A3771" t="inlineStr">
        <is>
          <t>Frete de venda</t>
        </is>
      </c>
      <c r="B3771" t="inlineStr">
        <is>
          <t>2.01.02 Frete sobre Vendas</t>
        </is>
      </c>
      <c r="C3771" s="30" t="n">
        <v>46174</v>
      </c>
      <c r="D3771" t="inlineStr">
        <is>
          <t>Em 2026</t>
        </is>
      </c>
      <c r="E3771" s="28" t="n">
        <v>46198</v>
      </c>
      <c r="F3771" t="inlineStr">
        <is>
          <t>CT-e</t>
        </is>
      </c>
      <c r="G3771" t="inlineStr">
        <is>
          <t>000007465</t>
        </is>
      </c>
      <c r="H3771" t="inlineStr">
        <is>
          <t>R&amp;R TRANSPORTE E LOGISTICA</t>
        </is>
      </c>
      <c r="J3771" s="29" t="n">
        <v>22.08</v>
      </c>
      <c r="K3771" s="29">
        <f>(1-ISNUMBER(SEARCH("556",M3771)))*(O3771*SUMIFS(Premissas!$C$5:$C$44,Premissas!$A$5:$A$44,$A3771,Premissas!$B$5:$B$44,$B3771)+P3771*SUMIFS(Premissas!$D$5:$D$44,Premissas!$A$5:$A$44,$A3771,Premissas!$B$5:$B$44,$B3771))+R3771*SUMIFS(Premissas!$E$5:$E$44,Premissas!$A$5:$A$44,$A3771,Premissas!$B$5:$B$44,$B3771)+S3771*SUMIFS(Premissas!$F$5:$F$44,Premissas!$A$5:$A$44,$A3771,Premissas!$B$5:$B$44,$B3771)</f>
        <v/>
      </c>
      <c r="L3771" s="29">
        <f>J3771-K3771</f>
        <v/>
      </c>
      <c r="M3771" t="inlineStr">
        <is>
          <t>1.350</t>
        </is>
      </c>
      <c r="N3771" t="inlineStr">
        <is>
          <t>Modalidade: 0 - Por conta do remetente | Parte: DISTRIBUIDORA ISAGAM LTDA (41.809.575/0001-37)</t>
        </is>
      </c>
      <c r="O3771" s="29" t="n">
        <v>0</v>
      </c>
      <c r="P3771" s="29" t="n">
        <v>0</v>
      </c>
      <c r="Q3771" s="29" t="n">
        <v>0</v>
      </c>
      <c r="R3771" s="29" t="n">
        <v>0</v>
      </c>
      <c r="S3771" s="29" t="n">
        <v>0</v>
      </c>
      <c r="T3771" t="inlineStr">
        <is>
          <t>25260626975620000130570010000074651011001860</t>
        </is>
      </c>
      <c r="U3771" t="inlineStr">
        <is>
          <t>Não</t>
        </is>
      </c>
    </row>
    <row r="3772">
      <c r="A3772" t="inlineStr">
        <is>
          <t>Frete de venda</t>
        </is>
      </c>
      <c r="B3772" t="inlineStr">
        <is>
          <t>2.01.02 Frete sobre Vendas</t>
        </is>
      </c>
      <c r="C3772" s="30" t="n">
        <v>46174</v>
      </c>
      <c r="D3772" t="inlineStr">
        <is>
          <t>Em 2026</t>
        </is>
      </c>
      <c r="E3772" s="28" t="n">
        <v>46198</v>
      </c>
      <c r="F3772" t="inlineStr">
        <is>
          <t>CT-e</t>
        </is>
      </c>
      <c r="G3772" t="inlineStr">
        <is>
          <t>000007466</t>
        </is>
      </c>
      <c r="H3772" t="inlineStr">
        <is>
          <t>R&amp;R TRANSPORTE E LOGISTICA</t>
        </is>
      </c>
      <c r="J3772" s="29" t="n">
        <v>27.84</v>
      </c>
      <c r="K3772" s="29">
        <f>(1-ISNUMBER(SEARCH("556",M3772)))*(O3772*SUMIFS(Premissas!$C$5:$C$44,Premissas!$A$5:$A$44,$A3772,Premissas!$B$5:$B$44,$B3772)+P3772*SUMIFS(Premissas!$D$5:$D$44,Premissas!$A$5:$A$44,$A3772,Premissas!$B$5:$B$44,$B3772))+R3772*SUMIFS(Premissas!$E$5:$E$44,Premissas!$A$5:$A$44,$A3772,Premissas!$B$5:$B$44,$B3772)+S3772*SUMIFS(Premissas!$F$5:$F$44,Premissas!$A$5:$A$44,$A3772,Premissas!$B$5:$B$44,$B3772)</f>
        <v/>
      </c>
      <c r="L3772" s="29">
        <f>J3772-K3772</f>
        <v/>
      </c>
      <c r="M3772" t="inlineStr">
        <is>
          <t>1.350</t>
        </is>
      </c>
      <c r="N3772" t="inlineStr">
        <is>
          <t>Modalidade: 0 - Por conta do remetente | Parte: DISTRIBUIDORA DE EMBALAGENS SUACUI LTDA (10.560.122/0001-96)</t>
        </is>
      </c>
      <c r="O3772" s="29" t="n">
        <v>0</v>
      </c>
      <c r="P3772" s="29" t="n">
        <v>0</v>
      </c>
      <c r="Q3772" s="29" t="n">
        <v>0</v>
      </c>
      <c r="R3772" s="29" t="n">
        <v>0</v>
      </c>
      <c r="S3772" s="29" t="n">
        <v>0</v>
      </c>
      <c r="T3772" t="inlineStr">
        <is>
          <t>25260626975620000130570010000074661000101210</t>
        </is>
      </c>
      <c r="U3772" t="inlineStr">
        <is>
          <t>Não</t>
        </is>
      </c>
    </row>
    <row r="3773">
      <c r="A3773" t="inlineStr">
        <is>
          <t>Frete de venda</t>
        </is>
      </c>
      <c r="B3773" t="inlineStr">
        <is>
          <t>2.01.02 Frete sobre Vendas</t>
        </is>
      </c>
      <c r="C3773" s="30" t="n">
        <v>46174</v>
      </c>
      <c r="D3773" t="inlineStr">
        <is>
          <t>Em 2026</t>
        </is>
      </c>
      <c r="E3773" s="28" t="n">
        <v>46198</v>
      </c>
      <c r="F3773" t="inlineStr">
        <is>
          <t>CT-e</t>
        </is>
      </c>
      <c r="G3773" t="inlineStr">
        <is>
          <t>000007467</t>
        </is>
      </c>
      <c r="H3773" t="inlineStr">
        <is>
          <t>R&amp;R TRANSPORTE E LOGISTICA</t>
        </is>
      </c>
      <c r="J3773" s="29" t="n">
        <v>32.94</v>
      </c>
      <c r="K3773" s="29">
        <f>(1-ISNUMBER(SEARCH("556",M3773)))*(O3773*SUMIFS(Premissas!$C$5:$C$44,Premissas!$A$5:$A$44,$A3773,Premissas!$B$5:$B$44,$B3773)+P3773*SUMIFS(Premissas!$D$5:$D$44,Premissas!$A$5:$A$44,$A3773,Premissas!$B$5:$B$44,$B3773))+R3773*SUMIFS(Premissas!$E$5:$E$44,Premissas!$A$5:$A$44,$A3773,Premissas!$B$5:$B$44,$B3773)+S3773*SUMIFS(Premissas!$F$5:$F$44,Premissas!$A$5:$A$44,$A3773,Premissas!$B$5:$B$44,$B3773)</f>
        <v/>
      </c>
      <c r="L3773" s="29">
        <f>J3773-K3773</f>
        <v/>
      </c>
      <c r="M3773" t="inlineStr">
        <is>
          <t>1.350</t>
        </is>
      </c>
      <c r="N3773" t="inlineStr">
        <is>
          <t>Modalidade: 0 - Por conta do remetente | Parte: FAC ATACADISTA LTDA (32.184.114/0001-25)</t>
        </is>
      </c>
      <c r="O3773" s="29" t="n">
        <v>0</v>
      </c>
      <c r="P3773" s="29" t="n">
        <v>0</v>
      </c>
      <c r="Q3773" s="29" t="n">
        <v>0</v>
      </c>
      <c r="R3773" s="29" t="n">
        <v>0</v>
      </c>
      <c r="S3773" s="29" t="n">
        <v>0</v>
      </c>
      <c r="T3773" t="inlineStr">
        <is>
          <t>25260626975620000130570010000074671001801299</t>
        </is>
      </c>
      <c r="U3773" t="inlineStr">
        <is>
          <t>Não</t>
        </is>
      </c>
    </row>
    <row r="3774">
      <c r="A3774" t="inlineStr">
        <is>
          <t>Frete de venda</t>
        </is>
      </c>
      <c r="B3774" t="inlineStr">
        <is>
          <t>2.01.02 Frete sobre Vendas</t>
        </is>
      </c>
      <c r="C3774" s="30" t="n">
        <v>46174</v>
      </c>
      <c r="D3774" t="inlineStr">
        <is>
          <t>Em 2026</t>
        </is>
      </c>
      <c r="E3774" s="28" t="n">
        <v>46198</v>
      </c>
      <c r="F3774" t="inlineStr">
        <is>
          <t>CT-e</t>
        </is>
      </c>
      <c r="G3774" t="inlineStr">
        <is>
          <t>000007468</t>
        </is>
      </c>
      <c r="H3774" t="inlineStr">
        <is>
          <t>R&amp;R TRANSPORTE E LOGISTICA</t>
        </is>
      </c>
      <c r="J3774" s="29" t="n">
        <v>42.34</v>
      </c>
      <c r="K3774" s="29">
        <f>(1-ISNUMBER(SEARCH("556",M3774)))*(O3774*SUMIFS(Premissas!$C$5:$C$44,Premissas!$A$5:$A$44,$A3774,Premissas!$B$5:$B$44,$B3774)+P3774*SUMIFS(Premissas!$D$5:$D$44,Premissas!$A$5:$A$44,$A3774,Premissas!$B$5:$B$44,$B3774))+R3774*SUMIFS(Premissas!$E$5:$E$44,Premissas!$A$5:$A$44,$A3774,Premissas!$B$5:$B$44,$B3774)+S3774*SUMIFS(Premissas!$F$5:$F$44,Premissas!$A$5:$A$44,$A3774,Premissas!$B$5:$B$44,$B3774)</f>
        <v/>
      </c>
      <c r="L3774" s="29">
        <f>J3774-K3774</f>
        <v/>
      </c>
      <c r="M3774" t="inlineStr">
        <is>
          <t>1.350</t>
        </is>
      </c>
      <c r="N3774" t="inlineStr">
        <is>
          <t>Modalidade: 0 - Por conta do remetente | Parte: COMERCIAL DE UTILIDADES MULT MATOS LTDA (35.027.191/0001-60)</t>
        </is>
      </c>
      <c r="O3774" s="29" t="n">
        <v>0</v>
      </c>
      <c r="P3774" s="29" t="n">
        <v>0</v>
      </c>
      <c r="Q3774" s="29" t="n">
        <v>0</v>
      </c>
      <c r="R3774" s="29" t="n">
        <v>0</v>
      </c>
      <c r="S3774" s="29" t="n">
        <v>0</v>
      </c>
      <c r="T3774" t="inlineStr">
        <is>
          <t>25260626975620000130570010000074681001501373</t>
        </is>
      </c>
      <c r="U3774" t="inlineStr">
        <is>
          <t>Não</t>
        </is>
      </c>
    </row>
    <row r="3775">
      <c r="A3775" t="inlineStr">
        <is>
          <t>Frete de venda</t>
        </is>
      </c>
      <c r="B3775" t="inlineStr">
        <is>
          <t>2.01.02 Frete sobre Vendas</t>
        </is>
      </c>
      <c r="C3775" s="30" t="n">
        <v>46174</v>
      </c>
      <c r="D3775" t="inlineStr">
        <is>
          <t>Em 2026</t>
        </is>
      </c>
      <c r="E3775" s="28" t="n">
        <v>46198</v>
      </c>
      <c r="F3775" t="inlineStr">
        <is>
          <t>CT-e</t>
        </is>
      </c>
      <c r="G3775" t="inlineStr">
        <is>
          <t>000007469</t>
        </is>
      </c>
      <c r="H3775" t="inlineStr">
        <is>
          <t>R&amp;R TRANSPORTE E LOGISTICA</t>
        </is>
      </c>
      <c r="J3775" s="29" t="n">
        <v>37.44</v>
      </c>
      <c r="K3775" s="29">
        <f>(1-ISNUMBER(SEARCH("556",M3775)))*(O3775*SUMIFS(Premissas!$C$5:$C$44,Premissas!$A$5:$A$44,$A3775,Premissas!$B$5:$B$44,$B3775)+P3775*SUMIFS(Premissas!$D$5:$D$44,Premissas!$A$5:$A$44,$A3775,Premissas!$B$5:$B$44,$B3775))+R3775*SUMIFS(Premissas!$E$5:$E$44,Premissas!$A$5:$A$44,$A3775,Premissas!$B$5:$B$44,$B3775)+S3775*SUMIFS(Premissas!$F$5:$F$44,Premissas!$A$5:$A$44,$A3775,Premissas!$B$5:$B$44,$B3775)</f>
        <v/>
      </c>
      <c r="L3775" s="29">
        <f>J3775-K3775</f>
        <v/>
      </c>
      <c r="M3775" t="inlineStr">
        <is>
          <t>1.350</t>
        </is>
      </c>
      <c r="N3775" t="inlineStr">
        <is>
          <t>Modalidade: 0 - Por conta do remetente | Parte: GUGA EMBALAGENS E DESCARTAVEIS LTDA (61.468.311/0001-74)</t>
        </is>
      </c>
      <c r="O3775" s="29" t="n">
        <v>0</v>
      </c>
      <c r="P3775" s="29" t="n">
        <v>0</v>
      </c>
      <c r="Q3775" s="29" t="n">
        <v>0</v>
      </c>
      <c r="R3775" s="29" t="n">
        <v>0</v>
      </c>
      <c r="S3775" s="29" t="n">
        <v>0</v>
      </c>
      <c r="T3775" t="inlineStr">
        <is>
          <t>25260626975620000130570010000074691001201458</t>
        </is>
      </c>
      <c r="U3775" t="inlineStr">
        <is>
          <t>Não</t>
        </is>
      </c>
    </row>
    <row r="3776">
      <c r="A3776" t="inlineStr">
        <is>
          <t>Frete de venda</t>
        </is>
      </c>
      <c r="B3776" t="inlineStr">
        <is>
          <t>2.01.02 Frete sobre Vendas</t>
        </is>
      </c>
      <c r="C3776" s="30" t="n">
        <v>46174</v>
      </c>
      <c r="D3776" t="inlineStr">
        <is>
          <t>Em 2026</t>
        </is>
      </c>
      <c r="E3776" s="28" t="n">
        <v>46198</v>
      </c>
      <c r="F3776" t="inlineStr">
        <is>
          <t>CT-e</t>
        </is>
      </c>
      <c r="G3776" t="inlineStr">
        <is>
          <t>000007470</t>
        </is>
      </c>
      <c r="H3776" t="inlineStr">
        <is>
          <t>R&amp;R TRANSPORTE E LOGISTICA</t>
        </is>
      </c>
      <c r="J3776" s="29" t="n">
        <v>5800</v>
      </c>
      <c r="K3776" s="29">
        <f>(1-ISNUMBER(SEARCH("556",M3776)))*(O3776*SUMIFS(Premissas!$C$5:$C$44,Premissas!$A$5:$A$44,$A3776,Premissas!$B$5:$B$44,$B3776)+P3776*SUMIFS(Premissas!$D$5:$D$44,Premissas!$A$5:$A$44,$A3776,Premissas!$B$5:$B$44,$B3776))+R3776*SUMIFS(Premissas!$E$5:$E$44,Premissas!$A$5:$A$44,$A3776,Premissas!$B$5:$B$44,$B3776)+S3776*SUMIFS(Premissas!$F$5:$F$44,Premissas!$A$5:$A$44,$A3776,Premissas!$B$5:$B$44,$B3776)</f>
        <v/>
      </c>
      <c r="L3776" s="29">
        <f>J3776-K3776</f>
        <v/>
      </c>
      <c r="M3776" t="inlineStr">
        <is>
          <t>1.350</t>
        </is>
      </c>
      <c r="N3776" t="inlineStr">
        <is>
          <t>Modalidade: 0 - Por conta do remetente | Parte: M N L FLORENTINO LTDA (47.068.852/0001-84)</t>
        </is>
      </c>
      <c r="O3776" s="29" t="n">
        <v>0</v>
      </c>
      <c r="P3776" s="29" t="n">
        <v>0</v>
      </c>
      <c r="Q3776" s="29" t="n">
        <v>0</v>
      </c>
      <c r="R3776" s="29" t="n">
        <v>0</v>
      </c>
      <c r="S3776" s="29" t="n">
        <v>0</v>
      </c>
      <c r="T3776" t="inlineStr">
        <is>
          <t>25260626975620000130570010000074701011001533</t>
        </is>
      </c>
      <c r="U3776" t="inlineStr">
        <is>
          <t>Não</t>
        </is>
      </c>
    </row>
    <row r="3777">
      <c r="A3777" t="inlineStr">
        <is>
          <t>Frete de venda</t>
        </is>
      </c>
      <c r="B3777" t="inlineStr">
        <is>
          <t>2.01.02 Frete sobre Vendas</t>
        </is>
      </c>
      <c r="C3777" s="30" t="n">
        <v>46174</v>
      </c>
      <c r="D3777" t="inlineStr">
        <is>
          <t>Em 2026</t>
        </is>
      </c>
      <c r="E3777" s="28" t="n">
        <v>46199</v>
      </c>
      <c r="F3777" t="inlineStr">
        <is>
          <t>CT-e</t>
        </is>
      </c>
      <c r="G3777" t="inlineStr">
        <is>
          <t>000007473</t>
        </is>
      </c>
      <c r="H3777" t="inlineStr">
        <is>
          <t>R&amp;R TRANSPORTE E LOGISTICA</t>
        </is>
      </c>
      <c r="J3777" s="29" t="n">
        <v>700</v>
      </c>
      <c r="K3777" s="29">
        <f>(1-ISNUMBER(SEARCH("556",M3777)))*(O3777*SUMIFS(Premissas!$C$5:$C$44,Premissas!$A$5:$A$44,$A3777,Premissas!$B$5:$B$44,$B3777)+P3777*SUMIFS(Premissas!$D$5:$D$44,Premissas!$A$5:$A$44,$A3777,Premissas!$B$5:$B$44,$B3777))+R3777*SUMIFS(Premissas!$E$5:$E$44,Premissas!$A$5:$A$44,$A3777,Premissas!$B$5:$B$44,$B3777)+S3777*SUMIFS(Premissas!$F$5:$F$44,Premissas!$A$5:$A$44,$A3777,Premissas!$B$5:$B$44,$B3777)</f>
        <v/>
      </c>
      <c r="L3777" s="29">
        <f>J3777-K3777</f>
        <v/>
      </c>
      <c r="M3777" t="inlineStr">
        <is>
          <t>1.350</t>
        </is>
      </c>
      <c r="N3777" t="inlineStr">
        <is>
          <t>Transportadora de frete de venda, mas pela modalidade do frete a Vinco recebeu a carga | Modalidade: 1 - Por conta do destinatário | Parte: REQUIM PRODUTOS QUIMICOS LTDA (06.935.804/0001-69)</t>
        </is>
      </c>
      <c r="O3777" s="29" t="n">
        <v>0</v>
      </c>
      <c r="P3777" s="29" t="n">
        <v>0</v>
      </c>
      <c r="Q3777" s="29" t="n">
        <v>0</v>
      </c>
      <c r="R3777" s="29" t="n">
        <v>0</v>
      </c>
      <c r="S3777" s="29" t="n">
        <v>0</v>
      </c>
      <c r="T3777" t="inlineStr">
        <is>
          <t>25260626975620000130570010000074731001101774</t>
        </is>
      </c>
      <c r="U3777" t="inlineStr">
        <is>
          <t>Não</t>
        </is>
      </c>
    </row>
    <row r="3778">
      <c r="A3778" t="inlineStr">
        <is>
          <t>Frete de venda</t>
        </is>
      </c>
      <c r="B3778" t="inlineStr">
        <is>
          <t>2.01.02 Frete sobre Vendas</t>
        </is>
      </c>
      <c r="C3778" s="30" t="n">
        <v>46174</v>
      </c>
      <c r="D3778" t="inlineStr">
        <is>
          <t>Em 2026</t>
        </is>
      </c>
      <c r="E3778" s="28" t="n">
        <v>46199</v>
      </c>
      <c r="F3778" t="inlineStr">
        <is>
          <t>CT-e</t>
        </is>
      </c>
      <c r="G3778" t="inlineStr">
        <is>
          <t>000007475</t>
        </is>
      </c>
      <c r="H3778" t="inlineStr">
        <is>
          <t>R&amp;R TRANSPORTE E LOGISTICA</t>
        </is>
      </c>
      <c r="J3778" s="29" t="n">
        <v>24.65</v>
      </c>
      <c r="K3778" s="29">
        <f>(1-ISNUMBER(SEARCH("556",M3778)))*(O3778*SUMIFS(Premissas!$C$5:$C$44,Premissas!$A$5:$A$44,$A3778,Premissas!$B$5:$B$44,$B3778)+P3778*SUMIFS(Premissas!$D$5:$D$44,Premissas!$A$5:$A$44,$A3778,Premissas!$B$5:$B$44,$B3778))+R3778*SUMIFS(Premissas!$E$5:$E$44,Premissas!$A$5:$A$44,$A3778,Premissas!$B$5:$B$44,$B3778)+S3778*SUMIFS(Premissas!$F$5:$F$44,Premissas!$A$5:$A$44,$A3778,Premissas!$B$5:$B$44,$B3778)</f>
        <v/>
      </c>
      <c r="L3778" s="29">
        <f>J3778-K3778</f>
        <v/>
      </c>
      <c r="M3778" t="inlineStr">
        <is>
          <t>1.350</t>
        </is>
      </c>
      <c r="N3778" t="inlineStr">
        <is>
          <t>Modalidade: 0 - Por conta do remetente | Parte: JF COMERCIO DE ALIMENTOS E DESCARTAVEIS LTDA. (53.349.159/0001-82)</t>
        </is>
      </c>
      <c r="O3778" s="29" t="n">
        <v>0</v>
      </c>
      <c r="P3778" s="29" t="n">
        <v>0</v>
      </c>
      <c r="Q3778" s="29" t="n">
        <v>0</v>
      </c>
      <c r="R3778" s="29" t="n">
        <v>0</v>
      </c>
      <c r="S3778" s="29" t="n">
        <v>0</v>
      </c>
      <c r="T3778" t="inlineStr">
        <is>
          <t>25260626975620000130570010000074751001201676</t>
        </is>
      </c>
      <c r="U3778" t="inlineStr">
        <is>
          <t>Não</t>
        </is>
      </c>
    </row>
    <row r="3779">
      <c r="A3779" t="inlineStr">
        <is>
          <t>Frete de venda</t>
        </is>
      </c>
      <c r="B3779" t="inlineStr">
        <is>
          <t>2.01.02 Frete sobre Vendas</t>
        </is>
      </c>
      <c r="C3779" s="30" t="n">
        <v>46174</v>
      </c>
      <c r="D3779" t="inlineStr">
        <is>
          <t>Em 2026</t>
        </is>
      </c>
      <c r="E3779" s="28" t="n">
        <v>46199</v>
      </c>
      <c r="F3779" t="inlineStr">
        <is>
          <t>CT-e</t>
        </is>
      </c>
      <c r="G3779" t="inlineStr">
        <is>
          <t>000007476</t>
        </is>
      </c>
      <c r="H3779" t="inlineStr">
        <is>
          <t>R&amp;R TRANSPORTE E LOGISTICA</t>
        </is>
      </c>
      <c r="J3779" s="29" t="n">
        <v>27.8</v>
      </c>
      <c r="K3779" s="29">
        <f>(1-ISNUMBER(SEARCH("556",M3779)))*(O3779*SUMIFS(Premissas!$C$5:$C$44,Premissas!$A$5:$A$44,$A3779,Premissas!$B$5:$B$44,$B3779)+P3779*SUMIFS(Premissas!$D$5:$D$44,Premissas!$A$5:$A$44,$A3779,Premissas!$B$5:$B$44,$B3779))+R3779*SUMIFS(Premissas!$E$5:$E$44,Premissas!$A$5:$A$44,$A3779,Premissas!$B$5:$B$44,$B3779)+S3779*SUMIFS(Premissas!$F$5:$F$44,Premissas!$A$5:$A$44,$A3779,Premissas!$B$5:$B$44,$B3779)</f>
        <v/>
      </c>
      <c r="L3779" s="29">
        <f>J3779-K3779</f>
        <v/>
      </c>
      <c r="M3779" t="inlineStr">
        <is>
          <t>1.350</t>
        </is>
      </c>
      <c r="N3779" t="inlineStr">
        <is>
          <t>Modalidade: 0 - Por conta do remetente | Parte: JAMES L. H. TOME e CIA LTDA (16.965.024/0007-00)</t>
        </is>
      </c>
      <c r="O3779" s="29" t="n">
        <v>0</v>
      </c>
      <c r="P3779" s="29" t="n">
        <v>0</v>
      </c>
      <c r="Q3779" s="29" t="n">
        <v>0</v>
      </c>
      <c r="R3779" s="29" t="n">
        <v>0</v>
      </c>
      <c r="S3779" s="29" t="n">
        <v>0</v>
      </c>
      <c r="T3779" t="inlineStr">
        <is>
          <t>25260626975620000130570010000074761011001758</t>
        </is>
      </c>
      <c r="U3779" t="inlineStr">
        <is>
          <t>Não</t>
        </is>
      </c>
    </row>
    <row r="3780">
      <c r="A3780" t="inlineStr">
        <is>
          <t>Frete de venda</t>
        </is>
      </c>
      <c r="B3780" t="inlineStr">
        <is>
          <t>2.01.02 Frete sobre Vendas</t>
        </is>
      </c>
      <c r="C3780" s="30" t="n">
        <v>46174</v>
      </c>
      <c r="D3780" t="inlineStr">
        <is>
          <t>Em 2026</t>
        </is>
      </c>
      <c r="E3780" s="28" t="n">
        <v>46199</v>
      </c>
      <c r="F3780" t="inlineStr">
        <is>
          <t>CT-e</t>
        </is>
      </c>
      <c r="G3780" t="inlineStr">
        <is>
          <t>000007477</t>
        </is>
      </c>
      <c r="H3780" t="inlineStr">
        <is>
          <t>R&amp;R TRANSPORTE E LOGISTICA</t>
        </is>
      </c>
      <c r="J3780" s="29" t="n">
        <v>24.5</v>
      </c>
      <c r="K3780" s="29">
        <f>(1-ISNUMBER(SEARCH("556",M3780)))*(O3780*SUMIFS(Premissas!$C$5:$C$44,Premissas!$A$5:$A$44,$A3780,Premissas!$B$5:$B$44,$B3780)+P3780*SUMIFS(Premissas!$D$5:$D$44,Premissas!$A$5:$A$44,$A3780,Premissas!$B$5:$B$44,$B3780))+R3780*SUMIFS(Premissas!$E$5:$E$44,Premissas!$A$5:$A$44,$A3780,Premissas!$B$5:$B$44,$B3780)+S3780*SUMIFS(Premissas!$F$5:$F$44,Premissas!$A$5:$A$44,$A3780,Premissas!$B$5:$B$44,$B3780)</f>
        <v/>
      </c>
      <c r="L3780" s="29">
        <f>J3780-K3780</f>
        <v/>
      </c>
      <c r="M3780" t="inlineStr">
        <is>
          <t>1.350</t>
        </is>
      </c>
      <c r="N3780" t="inlineStr">
        <is>
          <t>Modalidade: 0 - Por conta do remetente | Parte: HAPPY COMERCIO DE VARIEDADES LTDA (28.235.159/0001-04)</t>
        </is>
      </c>
      <c r="O3780" s="29" t="n">
        <v>0</v>
      </c>
      <c r="P3780" s="29" t="n">
        <v>0</v>
      </c>
      <c r="Q3780" s="29" t="n">
        <v>0</v>
      </c>
      <c r="R3780" s="29" t="n">
        <v>0</v>
      </c>
      <c r="S3780" s="29" t="n">
        <v>0</v>
      </c>
      <c r="T3780" t="inlineStr">
        <is>
          <t>25260626975620000130570010000074771001701835</t>
        </is>
      </c>
      <c r="U3780" t="inlineStr">
        <is>
          <t>Não</t>
        </is>
      </c>
    </row>
    <row r="3781">
      <c r="A3781" t="inlineStr">
        <is>
          <t>Frete de venda</t>
        </is>
      </c>
      <c r="B3781" t="inlineStr">
        <is>
          <t>2.01.02 Frete sobre Vendas</t>
        </is>
      </c>
      <c r="C3781" s="30" t="n">
        <v>46174</v>
      </c>
      <c r="D3781" t="inlineStr">
        <is>
          <t>Em 2026</t>
        </is>
      </c>
      <c r="E3781" s="28" t="n">
        <v>46199</v>
      </c>
      <c r="F3781" t="inlineStr">
        <is>
          <t>CT-e</t>
        </is>
      </c>
      <c r="G3781" t="inlineStr">
        <is>
          <t>000007478</t>
        </is>
      </c>
      <c r="H3781" t="inlineStr">
        <is>
          <t>R&amp;R TRANSPORTE E LOGISTICA</t>
        </is>
      </c>
      <c r="J3781" s="29" t="n">
        <v>24</v>
      </c>
      <c r="K3781" s="29">
        <f>(1-ISNUMBER(SEARCH("556",M3781)))*(O3781*SUMIFS(Premissas!$C$5:$C$44,Premissas!$A$5:$A$44,$A3781,Premissas!$B$5:$B$44,$B3781)+P3781*SUMIFS(Premissas!$D$5:$D$44,Premissas!$A$5:$A$44,$A3781,Premissas!$B$5:$B$44,$B3781))+R3781*SUMIFS(Premissas!$E$5:$E$44,Premissas!$A$5:$A$44,$A3781,Premissas!$B$5:$B$44,$B3781)+S3781*SUMIFS(Premissas!$F$5:$F$44,Premissas!$A$5:$A$44,$A3781,Premissas!$B$5:$B$44,$B3781)</f>
        <v/>
      </c>
      <c r="L3781" s="29">
        <f>J3781-K3781</f>
        <v/>
      </c>
      <c r="M3781" t="inlineStr">
        <is>
          <t>1.350</t>
        </is>
      </c>
      <c r="N3781" t="inlineStr">
        <is>
          <t>Modalidade: 0 - Por conta do remetente | Parte: J DA C ESTUMANO (12.711.497/0001-35)</t>
        </is>
      </c>
      <c r="O3781" s="29" t="n">
        <v>0</v>
      </c>
      <c r="P3781" s="29" t="n">
        <v>0</v>
      </c>
      <c r="Q3781" s="29" t="n">
        <v>0</v>
      </c>
      <c r="R3781" s="29" t="n">
        <v>0</v>
      </c>
      <c r="S3781" s="29" t="n">
        <v>0</v>
      </c>
      <c r="T3781" t="inlineStr">
        <is>
          <t>25260626975620000130570010000074781001401910</t>
        </is>
      </c>
      <c r="U3781" t="inlineStr">
        <is>
          <t>Não</t>
        </is>
      </c>
    </row>
    <row r="3782">
      <c r="A3782" t="inlineStr">
        <is>
          <t>Frete de venda</t>
        </is>
      </c>
      <c r="B3782" t="inlineStr">
        <is>
          <t>2.01.02 Frete sobre Vendas</t>
        </is>
      </c>
      <c r="C3782" s="30" t="n">
        <v>46174</v>
      </c>
      <c r="D3782" t="inlineStr">
        <is>
          <t>Em 2026</t>
        </is>
      </c>
      <c r="E3782" s="28" t="n">
        <v>46199</v>
      </c>
      <c r="F3782" t="inlineStr">
        <is>
          <t>CT-e</t>
        </is>
      </c>
      <c r="G3782" t="inlineStr">
        <is>
          <t>000007479</t>
        </is>
      </c>
      <c r="H3782" t="inlineStr">
        <is>
          <t>R&amp;R TRANSPORTE E LOGISTICA</t>
        </is>
      </c>
      <c r="J3782" s="29" t="n">
        <v>38.6</v>
      </c>
      <c r="K3782" s="29">
        <f>(1-ISNUMBER(SEARCH("556",M3782)))*(O3782*SUMIFS(Premissas!$C$5:$C$44,Premissas!$A$5:$A$44,$A3782,Premissas!$B$5:$B$44,$B3782)+P3782*SUMIFS(Premissas!$D$5:$D$44,Premissas!$A$5:$A$44,$A3782,Premissas!$B$5:$B$44,$B3782))+R3782*SUMIFS(Premissas!$E$5:$E$44,Premissas!$A$5:$A$44,$A3782,Premissas!$B$5:$B$44,$B3782)+S3782*SUMIFS(Premissas!$F$5:$F$44,Premissas!$A$5:$A$44,$A3782,Premissas!$B$5:$B$44,$B3782)</f>
        <v/>
      </c>
      <c r="L3782" s="29">
        <f>J3782-K3782</f>
        <v/>
      </c>
      <c r="M3782" t="inlineStr">
        <is>
          <t>1.350</t>
        </is>
      </c>
      <c r="N3782" t="inlineStr">
        <is>
          <t>Modalidade: 0 - Por conta do remetente | Parte: IBIAPINA VARIEDADES LTDA (46.211.356/0001-75)</t>
        </is>
      </c>
      <c r="O3782" s="29" t="n">
        <v>0</v>
      </c>
      <c r="P3782" s="29" t="n">
        <v>0</v>
      </c>
      <c r="Q3782" s="29" t="n">
        <v>0</v>
      </c>
      <c r="R3782" s="29" t="n">
        <v>0</v>
      </c>
      <c r="S3782" s="29" t="n">
        <v>0</v>
      </c>
      <c r="T3782" t="inlineStr">
        <is>
          <t>25260626975620000130570010000074791001101999</t>
        </is>
      </c>
      <c r="U3782" t="inlineStr">
        <is>
          <t>Não</t>
        </is>
      </c>
    </row>
    <row r="3783">
      <c r="A3783" t="inlineStr">
        <is>
          <t>Frete de venda</t>
        </is>
      </c>
      <c r="B3783" t="inlineStr">
        <is>
          <t>2.01.02 Frete sobre Vendas</t>
        </is>
      </c>
      <c r="C3783" s="30" t="n">
        <v>46174</v>
      </c>
      <c r="D3783" t="inlineStr">
        <is>
          <t>Em 2026</t>
        </is>
      </c>
      <c r="E3783" s="28" t="n">
        <v>46199</v>
      </c>
      <c r="F3783" t="inlineStr">
        <is>
          <t>CT-e</t>
        </is>
      </c>
      <c r="G3783" t="inlineStr">
        <is>
          <t>000007480</t>
        </is>
      </c>
      <c r="H3783" t="inlineStr">
        <is>
          <t>R&amp;R TRANSPORTE E LOGISTICA</t>
        </is>
      </c>
      <c r="J3783" s="29" t="n">
        <v>32.3</v>
      </c>
      <c r="K3783" s="29">
        <f>(1-ISNUMBER(SEARCH("556",M3783)))*(O3783*SUMIFS(Premissas!$C$5:$C$44,Premissas!$A$5:$A$44,$A3783,Premissas!$B$5:$B$44,$B3783)+P3783*SUMIFS(Premissas!$D$5:$D$44,Premissas!$A$5:$A$44,$A3783,Premissas!$B$5:$B$44,$B3783))+R3783*SUMIFS(Premissas!$E$5:$E$44,Premissas!$A$5:$A$44,$A3783,Premissas!$B$5:$B$44,$B3783)+S3783*SUMIFS(Premissas!$F$5:$F$44,Premissas!$A$5:$A$44,$A3783,Premissas!$B$5:$B$44,$B3783)</f>
        <v/>
      </c>
      <c r="L3783" s="29">
        <f>J3783-K3783</f>
        <v/>
      </c>
      <c r="M3783" t="inlineStr">
        <is>
          <t>1.350</t>
        </is>
      </c>
      <c r="N3783" t="inlineStr">
        <is>
          <t>Modalidade: 0 - Por conta do remetente | Parte: L. LIMA SA LTDA (60.921.662/0001-26)</t>
        </is>
      </c>
      <c r="O3783" s="29" t="n">
        <v>0</v>
      </c>
      <c r="P3783" s="29" t="n">
        <v>0</v>
      </c>
      <c r="Q3783" s="29" t="n">
        <v>0</v>
      </c>
      <c r="R3783" s="29" t="n">
        <v>0</v>
      </c>
      <c r="S3783" s="29" t="n">
        <v>0</v>
      </c>
      <c r="T3783" t="inlineStr">
        <is>
          <t>25260626975620000130570010000074801001902070</t>
        </is>
      </c>
      <c r="U3783" t="inlineStr">
        <is>
          <t>Não</t>
        </is>
      </c>
    </row>
    <row r="3784">
      <c r="A3784" t="inlineStr">
        <is>
          <t>Frete de venda</t>
        </is>
      </c>
      <c r="B3784" t="inlineStr">
        <is>
          <t>2.01.02 Frete sobre Vendas</t>
        </is>
      </c>
      <c r="C3784" s="30" t="n">
        <v>46174</v>
      </c>
      <c r="D3784" t="inlineStr">
        <is>
          <t>Em 2026</t>
        </is>
      </c>
      <c r="E3784" s="28" t="n">
        <v>46199</v>
      </c>
      <c r="F3784" t="inlineStr">
        <is>
          <t>CT-e</t>
        </is>
      </c>
      <c r="G3784" t="inlineStr">
        <is>
          <t>000007481</t>
        </is>
      </c>
      <c r="H3784" t="inlineStr">
        <is>
          <t>R&amp;R TRANSPORTE E LOGISTICA</t>
        </is>
      </c>
      <c r="J3784" s="29" t="n">
        <v>60.6</v>
      </c>
      <c r="K3784" s="29">
        <f>(1-ISNUMBER(SEARCH("556",M3784)))*(O3784*SUMIFS(Premissas!$C$5:$C$44,Premissas!$A$5:$A$44,$A3784,Premissas!$B$5:$B$44,$B3784)+P3784*SUMIFS(Premissas!$D$5:$D$44,Premissas!$A$5:$A$44,$A3784,Premissas!$B$5:$B$44,$B3784))+R3784*SUMIFS(Premissas!$E$5:$E$44,Premissas!$A$5:$A$44,$A3784,Premissas!$B$5:$B$44,$B3784)+S3784*SUMIFS(Premissas!$F$5:$F$44,Premissas!$A$5:$A$44,$A3784,Premissas!$B$5:$B$44,$B3784)</f>
        <v/>
      </c>
      <c r="L3784" s="29">
        <f>J3784-K3784</f>
        <v/>
      </c>
      <c r="M3784" t="inlineStr">
        <is>
          <t>1.350</t>
        </is>
      </c>
      <c r="N3784" t="inlineStr">
        <is>
          <t>Modalidade: 0 - Por conta do remetente | Parte: M. R. ARAUJO SOPRAN (07.444.901/0001-11)</t>
        </is>
      </c>
      <c r="O3784" s="29" t="n">
        <v>0</v>
      </c>
      <c r="P3784" s="29" t="n">
        <v>0</v>
      </c>
      <c r="Q3784" s="29" t="n">
        <v>0</v>
      </c>
      <c r="R3784" s="29" t="n">
        <v>0</v>
      </c>
      <c r="S3784" s="29" t="n">
        <v>0</v>
      </c>
      <c r="T3784" t="inlineStr">
        <is>
          <t>25260626975620000130570010000074811011001421</t>
        </is>
      </c>
      <c r="U3784" t="inlineStr">
        <is>
          <t>Não</t>
        </is>
      </c>
    </row>
    <row r="3785">
      <c r="A3785" t="inlineStr">
        <is>
          <t>Frete de venda</t>
        </is>
      </c>
      <c r="B3785" t="inlineStr">
        <is>
          <t>2.01.02 Frete sobre Vendas</t>
        </is>
      </c>
      <c r="C3785" s="30" t="n">
        <v>46174</v>
      </c>
      <c r="D3785" t="inlineStr">
        <is>
          <t>Em 2026</t>
        </is>
      </c>
      <c r="E3785" s="28" t="n">
        <v>46199</v>
      </c>
      <c r="F3785" t="inlineStr">
        <is>
          <t>CT-e</t>
        </is>
      </c>
      <c r="G3785" t="inlineStr">
        <is>
          <t>000007482</t>
        </is>
      </c>
      <c r="H3785" t="inlineStr">
        <is>
          <t>R&amp;R TRANSPORTE E LOGISTICA</t>
        </is>
      </c>
      <c r="J3785" s="29" t="n">
        <v>54</v>
      </c>
      <c r="K3785" s="29">
        <f>(1-ISNUMBER(SEARCH("556",M3785)))*(O3785*SUMIFS(Premissas!$C$5:$C$44,Premissas!$A$5:$A$44,$A3785,Premissas!$B$5:$B$44,$B3785)+P3785*SUMIFS(Premissas!$D$5:$D$44,Premissas!$A$5:$A$44,$A3785,Premissas!$B$5:$B$44,$B3785))+R3785*SUMIFS(Premissas!$E$5:$E$44,Premissas!$A$5:$A$44,$A3785,Premissas!$B$5:$B$44,$B3785)+S3785*SUMIFS(Premissas!$F$5:$F$44,Premissas!$A$5:$A$44,$A3785,Premissas!$B$5:$B$44,$B3785)</f>
        <v/>
      </c>
      <c r="L3785" s="29">
        <f>J3785-K3785</f>
        <v/>
      </c>
      <c r="M3785" t="inlineStr">
        <is>
          <t>1.350</t>
        </is>
      </c>
      <c r="N3785" t="inlineStr">
        <is>
          <t>Modalidade: 0 - Por conta do remetente | Parte: P3 DESCARTAVEIS ATACADO e VAREJO LTDA (12.040.681/0001-09)</t>
        </is>
      </c>
      <c r="O3785" s="29" t="n">
        <v>0</v>
      </c>
      <c r="P3785" s="29" t="n">
        <v>0</v>
      </c>
      <c r="Q3785" s="29" t="n">
        <v>0</v>
      </c>
      <c r="R3785" s="29" t="n">
        <v>0</v>
      </c>
      <c r="S3785" s="29" t="n">
        <v>0</v>
      </c>
      <c r="T3785" t="inlineStr">
        <is>
          <t>25260626975620000130570010000074821001701509</t>
        </is>
      </c>
      <c r="U3785" t="inlineStr">
        <is>
          <t>Não</t>
        </is>
      </c>
    </row>
    <row r="3786">
      <c r="A3786" t="inlineStr">
        <is>
          <t>Frete de venda</t>
        </is>
      </c>
      <c r="B3786" t="inlineStr">
        <is>
          <t>2.01.02 Frete sobre Vendas</t>
        </is>
      </c>
      <c r="C3786" s="30" t="n">
        <v>46174</v>
      </c>
      <c r="D3786" t="inlineStr">
        <is>
          <t>Em 2026</t>
        </is>
      </c>
      <c r="E3786" s="28" t="n">
        <v>46199</v>
      </c>
      <c r="F3786" t="inlineStr">
        <is>
          <t>CT-e</t>
        </is>
      </c>
      <c r="G3786" t="inlineStr">
        <is>
          <t>000007483</t>
        </is>
      </c>
      <c r="H3786" t="inlineStr">
        <is>
          <t>R&amp;R TRANSPORTE E LOGISTICA</t>
        </is>
      </c>
      <c r="J3786" s="29" t="n">
        <v>87.2</v>
      </c>
      <c r="K3786" s="29">
        <f>(1-ISNUMBER(SEARCH("556",M3786)))*(O3786*SUMIFS(Premissas!$C$5:$C$44,Premissas!$A$5:$A$44,$A3786,Premissas!$B$5:$B$44,$B3786)+P3786*SUMIFS(Premissas!$D$5:$D$44,Premissas!$A$5:$A$44,$A3786,Premissas!$B$5:$B$44,$B3786))+R3786*SUMIFS(Premissas!$E$5:$E$44,Premissas!$A$5:$A$44,$A3786,Premissas!$B$5:$B$44,$B3786)+S3786*SUMIFS(Premissas!$F$5:$F$44,Premissas!$A$5:$A$44,$A3786,Premissas!$B$5:$B$44,$B3786)</f>
        <v/>
      </c>
      <c r="L3786" s="29">
        <f>J3786-K3786</f>
        <v/>
      </c>
      <c r="M3786" t="inlineStr">
        <is>
          <t>1.350</t>
        </is>
      </c>
      <c r="N3786" t="inlineStr">
        <is>
          <t>Modalidade: 0 - Por conta do remetente | Parte: LIDER INDUSTRIA E COMERCIO LTDA (45.762.979/0001-73)</t>
        </is>
      </c>
      <c r="O3786" s="29" t="n">
        <v>0</v>
      </c>
      <c r="P3786" s="29" t="n">
        <v>0</v>
      </c>
      <c r="Q3786" s="29" t="n">
        <v>0</v>
      </c>
      <c r="R3786" s="29" t="n">
        <v>0</v>
      </c>
      <c r="S3786" s="29" t="n">
        <v>0</v>
      </c>
      <c r="T3786" t="inlineStr">
        <is>
          <t>25260626975620000130570010000074831001401588</t>
        </is>
      </c>
      <c r="U3786" t="inlineStr">
        <is>
          <t>Não</t>
        </is>
      </c>
    </row>
    <row r="3787">
      <c r="A3787" t="inlineStr">
        <is>
          <t>Frete de venda</t>
        </is>
      </c>
      <c r="B3787" t="inlineStr">
        <is>
          <t>2.01.02 Frete sobre Vendas</t>
        </is>
      </c>
      <c r="C3787" s="30" t="n">
        <v>46174</v>
      </c>
      <c r="D3787" t="inlineStr">
        <is>
          <t>Em 2026</t>
        </is>
      </c>
      <c r="E3787" s="28" t="n">
        <v>46199</v>
      </c>
      <c r="F3787" t="inlineStr">
        <is>
          <t>CT-e</t>
        </is>
      </c>
      <c r="G3787" t="inlineStr">
        <is>
          <t>000007484</t>
        </is>
      </c>
      <c r="H3787" t="inlineStr">
        <is>
          <t>R&amp;R TRANSPORTE E LOGISTICA</t>
        </is>
      </c>
      <c r="J3787" s="29" t="n">
        <v>93.8</v>
      </c>
      <c r="K3787" s="29">
        <f>(1-ISNUMBER(SEARCH("556",M3787)))*(O3787*SUMIFS(Premissas!$C$5:$C$44,Premissas!$A$5:$A$44,$A3787,Premissas!$B$5:$B$44,$B3787)+P3787*SUMIFS(Premissas!$D$5:$D$44,Premissas!$A$5:$A$44,$A3787,Premissas!$B$5:$B$44,$B3787))+R3787*SUMIFS(Premissas!$E$5:$E$44,Premissas!$A$5:$A$44,$A3787,Premissas!$B$5:$B$44,$B3787)+S3787*SUMIFS(Premissas!$F$5:$F$44,Premissas!$A$5:$A$44,$A3787,Premissas!$B$5:$B$44,$B3787)</f>
        <v/>
      </c>
      <c r="L3787" s="29">
        <f>J3787-K3787</f>
        <v/>
      </c>
      <c r="M3787" t="inlineStr">
        <is>
          <t>1.350</t>
        </is>
      </c>
      <c r="N3787" t="inlineStr">
        <is>
          <t>Modalidade: 0 - Por conta do remetente | Parte: JPM COMERCIO DE EMBALAGENS LTDA (64.643.151/0001-40)</t>
        </is>
      </c>
      <c r="O3787" s="29" t="n">
        <v>0</v>
      </c>
      <c r="P3787" s="29" t="n">
        <v>0</v>
      </c>
      <c r="Q3787" s="29" t="n">
        <v>0</v>
      </c>
      <c r="R3787" s="29" t="n">
        <v>0</v>
      </c>
      <c r="S3787" s="29" t="n">
        <v>0</v>
      </c>
      <c r="T3787" t="inlineStr">
        <is>
          <t>25260626975620000130570010000074841001101662</t>
        </is>
      </c>
      <c r="U3787" t="inlineStr">
        <is>
          <t>Não</t>
        </is>
      </c>
    </row>
    <row r="3788">
      <c r="A3788" t="inlineStr">
        <is>
          <t>Frete de venda</t>
        </is>
      </c>
      <c r="B3788" t="inlineStr">
        <is>
          <t>2.01.02 Frete sobre Vendas</t>
        </is>
      </c>
      <c r="C3788" s="30" t="n">
        <v>46174</v>
      </c>
      <c r="D3788" t="inlineStr">
        <is>
          <t>Em 2026</t>
        </is>
      </c>
      <c r="E3788" s="28" t="n">
        <v>46199</v>
      </c>
      <c r="F3788" t="inlineStr">
        <is>
          <t>CT-e</t>
        </is>
      </c>
      <c r="G3788" t="inlineStr">
        <is>
          <t>000007485</t>
        </is>
      </c>
      <c r="H3788" t="inlineStr">
        <is>
          <t>R&amp;R TRANSPORTE E LOGISTICA</t>
        </is>
      </c>
      <c r="J3788" s="29" t="n">
        <v>33.35</v>
      </c>
      <c r="K3788" s="29">
        <f>(1-ISNUMBER(SEARCH("556",M3788)))*(O3788*SUMIFS(Premissas!$C$5:$C$44,Premissas!$A$5:$A$44,$A3788,Premissas!$B$5:$B$44,$B3788)+P3788*SUMIFS(Premissas!$D$5:$D$44,Premissas!$A$5:$A$44,$A3788,Premissas!$B$5:$B$44,$B3788))+R3788*SUMIFS(Premissas!$E$5:$E$44,Premissas!$A$5:$A$44,$A3788,Premissas!$B$5:$B$44,$B3788)+S3788*SUMIFS(Premissas!$F$5:$F$44,Premissas!$A$5:$A$44,$A3788,Premissas!$B$5:$B$44,$B3788)</f>
        <v/>
      </c>
      <c r="L3788" s="29">
        <f>J3788-K3788</f>
        <v/>
      </c>
      <c r="M3788" t="inlineStr">
        <is>
          <t>1.350</t>
        </is>
      </c>
      <c r="N3788" t="inlineStr">
        <is>
          <t>Modalidade: 0 - Por conta do remetente | Parte: QUERO EMBALAGENS COM DE EMBALAGENS EM GERAL LTDA (57.632.874/0001-89)</t>
        </is>
      </c>
      <c r="O3788" s="29" t="n">
        <v>0</v>
      </c>
      <c r="P3788" s="29" t="n">
        <v>0</v>
      </c>
      <c r="Q3788" s="29" t="n">
        <v>0</v>
      </c>
      <c r="R3788" s="29" t="n">
        <v>0</v>
      </c>
      <c r="S3788" s="29" t="n">
        <v>0</v>
      </c>
      <c r="T3788" t="inlineStr">
        <is>
          <t>25260626975620000130570010000074851001901747</t>
        </is>
      </c>
      <c r="U3788" t="inlineStr">
        <is>
          <t>Não</t>
        </is>
      </c>
    </row>
    <row r="3789">
      <c r="A3789" t="inlineStr">
        <is>
          <t>Frete de venda</t>
        </is>
      </c>
      <c r="B3789" t="inlineStr">
        <is>
          <t>2.01.02 Frete sobre Vendas</t>
        </is>
      </c>
      <c r="C3789" s="30" t="n">
        <v>46174</v>
      </c>
      <c r="D3789" t="inlineStr">
        <is>
          <t>Em 2026</t>
        </is>
      </c>
      <c r="E3789" s="28" t="n">
        <v>46199</v>
      </c>
      <c r="F3789" t="inlineStr">
        <is>
          <t>CT-e</t>
        </is>
      </c>
      <c r="G3789" t="inlineStr">
        <is>
          <t>000007486</t>
        </is>
      </c>
      <c r="H3789" t="inlineStr">
        <is>
          <t>R&amp;R TRANSPORTE E LOGISTICA</t>
        </is>
      </c>
      <c r="J3789" s="29" t="n">
        <v>27.8</v>
      </c>
      <c r="K3789" s="29">
        <f>(1-ISNUMBER(SEARCH("556",M3789)))*(O3789*SUMIFS(Premissas!$C$5:$C$44,Premissas!$A$5:$A$44,$A3789,Premissas!$B$5:$B$44,$B3789)+P3789*SUMIFS(Premissas!$D$5:$D$44,Premissas!$A$5:$A$44,$A3789,Premissas!$B$5:$B$44,$B3789))+R3789*SUMIFS(Premissas!$E$5:$E$44,Premissas!$A$5:$A$44,$A3789,Premissas!$B$5:$B$44,$B3789)+S3789*SUMIFS(Premissas!$F$5:$F$44,Premissas!$A$5:$A$44,$A3789,Premissas!$B$5:$B$44,$B3789)</f>
        <v/>
      </c>
      <c r="L3789" s="29">
        <f>J3789-K3789</f>
        <v/>
      </c>
      <c r="M3789" t="inlineStr">
        <is>
          <t>1.350</t>
        </is>
      </c>
      <c r="N3789" t="inlineStr">
        <is>
          <t>Modalidade: 0 - Por conta do remetente | Parte: M. A. DE A. LIMA CARDOSO (34.425.813/0001-45)</t>
        </is>
      </c>
      <c r="O3789" s="29" t="n">
        <v>0</v>
      </c>
      <c r="P3789" s="29" t="n">
        <v>0</v>
      </c>
      <c r="Q3789" s="29" t="n">
        <v>0</v>
      </c>
      <c r="R3789" s="29" t="n">
        <v>0</v>
      </c>
      <c r="S3789" s="29" t="n">
        <v>0</v>
      </c>
      <c r="T3789" t="inlineStr">
        <is>
          <t>25260626975620000130570010000074861001601821</t>
        </is>
      </c>
      <c r="U3789" t="inlineStr">
        <is>
          <t>Não</t>
        </is>
      </c>
    </row>
    <row r="3790">
      <c r="A3790" t="inlineStr">
        <is>
          <t>Frete de venda</t>
        </is>
      </c>
      <c r="B3790" t="inlineStr">
        <is>
          <t>2.01.02 Frete sobre Vendas</t>
        </is>
      </c>
      <c r="C3790" s="30" t="n">
        <v>46174</v>
      </c>
      <c r="D3790" t="inlineStr">
        <is>
          <t>Em 2026</t>
        </is>
      </c>
      <c r="E3790" s="28" t="n">
        <v>46199</v>
      </c>
      <c r="F3790" t="inlineStr">
        <is>
          <t>CT-e</t>
        </is>
      </c>
      <c r="G3790" t="inlineStr">
        <is>
          <t>000007487</t>
        </is>
      </c>
      <c r="H3790" t="inlineStr">
        <is>
          <t>R&amp;R TRANSPORTE E LOGISTICA</t>
        </is>
      </c>
      <c r="J3790" s="29" t="n">
        <v>78.59999999999999</v>
      </c>
      <c r="K3790" s="29">
        <f>(1-ISNUMBER(SEARCH("556",M3790)))*(O3790*SUMIFS(Premissas!$C$5:$C$44,Premissas!$A$5:$A$44,$A3790,Premissas!$B$5:$B$44,$B3790)+P3790*SUMIFS(Premissas!$D$5:$D$44,Premissas!$A$5:$A$44,$A3790,Premissas!$B$5:$B$44,$B3790))+R3790*SUMIFS(Premissas!$E$5:$E$44,Premissas!$A$5:$A$44,$A3790,Premissas!$B$5:$B$44,$B3790)+S3790*SUMIFS(Premissas!$F$5:$F$44,Premissas!$A$5:$A$44,$A3790,Premissas!$B$5:$B$44,$B3790)</f>
        <v/>
      </c>
      <c r="L3790" s="29">
        <f>J3790-K3790</f>
        <v/>
      </c>
      <c r="M3790" t="inlineStr">
        <is>
          <t>1.350</t>
        </is>
      </c>
      <c r="N3790" t="inlineStr">
        <is>
          <t>Modalidade: 0 - Por conta do remetente | Parte: JAMES L. H. TOME e CIA LTDA (16.965.024/0001-15)</t>
        </is>
      </c>
      <c r="O3790" s="29" t="n">
        <v>0</v>
      </c>
      <c r="P3790" s="29" t="n">
        <v>0</v>
      </c>
      <c r="Q3790" s="29" t="n">
        <v>0</v>
      </c>
      <c r="R3790" s="29" t="n">
        <v>0</v>
      </c>
      <c r="S3790" s="29" t="n">
        <v>0</v>
      </c>
      <c r="T3790" t="inlineStr">
        <is>
          <t>25260626975620000130570010000074871001301906</t>
        </is>
      </c>
      <c r="U3790" t="inlineStr">
        <is>
          <t>Não</t>
        </is>
      </c>
    </row>
    <row r="3791">
      <c r="A3791" t="inlineStr">
        <is>
          <t>Frete de venda</t>
        </is>
      </c>
      <c r="B3791" t="inlineStr">
        <is>
          <t>2.01.02 Frete sobre Vendas</t>
        </is>
      </c>
      <c r="C3791" s="30" t="n">
        <v>46174</v>
      </c>
      <c r="D3791" t="inlineStr">
        <is>
          <t>Em 2026</t>
        </is>
      </c>
      <c r="E3791" s="28" t="n">
        <v>46199</v>
      </c>
      <c r="F3791" t="inlineStr">
        <is>
          <t>CT-e</t>
        </is>
      </c>
      <c r="G3791" t="inlineStr">
        <is>
          <t>000007488</t>
        </is>
      </c>
      <c r="H3791" t="inlineStr">
        <is>
          <t>R&amp;R TRANSPORTE E LOGISTICA</t>
        </is>
      </c>
      <c r="J3791" s="29" t="n">
        <v>136</v>
      </c>
      <c r="K3791" s="29">
        <f>(1-ISNUMBER(SEARCH("556",M3791)))*(O3791*SUMIFS(Premissas!$C$5:$C$44,Premissas!$A$5:$A$44,$A3791,Premissas!$B$5:$B$44,$B3791)+P3791*SUMIFS(Premissas!$D$5:$D$44,Premissas!$A$5:$A$44,$A3791,Premissas!$B$5:$B$44,$B3791))+R3791*SUMIFS(Premissas!$E$5:$E$44,Premissas!$A$5:$A$44,$A3791,Premissas!$B$5:$B$44,$B3791)+S3791*SUMIFS(Premissas!$F$5:$F$44,Premissas!$A$5:$A$44,$A3791,Premissas!$B$5:$B$44,$B3791)</f>
        <v/>
      </c>
      <c r="L3791" s="29">
        <f>J3791-K3791</f>
        <v/>
      </c>
      <c r="M3791" t="inlineStr">
        <is>
          <t>1.350</t>
        </is>
      </c>
      <c r="N3791" t="inlineStr">
        <is>
          <t>Modalidade: 0 - Por conta do remetente | Parte: M. N. ROCHA DE SOUSA LTDA (52.989.831/0001-31)</t>
        </is>
      </c>
      <c r="O3791" s="29" t="n">
        <v>0</v>
      </c>
      <c r="P3791" s="29" t="n">
        <v>0</v>
      </c>
      <c r="Q3791" s="29" t="n">
        <v>0</v>
      </c>
      <c r="R3791" s="29" t="n">
        <v>0</v>
      </c>
      <c r="S3791" s="29" t="n">
        <v>0</v>
      </c>
      <c r="T3791" t="inlineStr">
        <is>
          <t>25260626975620000130570010000074881000101986</t>
        </is>
      </c>
      <c r="U3791" t="inlineStr">
        <is>
          <t>Não</t>
        </is>
      </c>
    </row>
    <row r="3792">
      <c r="A3792" t="inlineStr">
        <is>
          <t>Frete de venda</t>
        </is>
      </c>
      <c r="B3792" t="inlineStr">
        <is>
          <t>2.01.02 Frete sobre Vendas</t>
        </is>
      </c>
      <c r="C3792" s="30" t="n">
        <v>46174</v>
      </c>
      <c r="D3792" t="inlineStr">
        <is>
          <t>Em 2026</t>
        </is>
      </c>
      <c r="E3792" s="28" t="n">
        <v>46199</v>
      </c>
      <c r="F3792" t="inlineStr">
        <is>
          <t>CT-e</t>
        </is>
      </c>
      <c r="G3792" t="inlineStr">
        <is>
          <t>000007489</t>
        </is>
      </c>
      <c r="H3792" t="inlineStr">
        <is>
          <t>R&amp;R TRANSPORTE E LOGISTICA</t>
        </is>
      </c>
      <c r="J3792" s="29" t="n">
        <v>31.47</v>
      </c>
      <c r="K3792" s="29">
        <f>(1-ISNUMBER(SEARCH("556",M3792)))*(O3792*SUMIFS(Premissas!$C$5:$C$44,Premissas!$A$5:$A$44,$A3792,Premissas!$B$5:$B$44,$B3792)+P3792*SUMIFS(Premissas!$D$5:$D$44,Premissas!$A$5:$A$44,$A3792,Premissas!$B$5:$B$44,$B3792))+R3792*SUMIFS(Premissas!$E$5:$E$44,Premissas!$A$5:$A$44,$A3792,Premissas!$B$5:$B$44,$B3792)+S3792*SUMIFS(Premissas!$F$5:$F$44,Premissas!$A$5:$A$44,$A3792,Premissas!$B$5:$B$44,$B3792)</f>
        <v/>
      </c>
      <c r="L3792" s="29">
        <f>J3792-K3792</f>
        <v/>
      </c>
      <c r="M3792" t="inlineStr">
        <is>
          <t>1.350</t>
        </is>
      </c>
      <c r="N3792" t="inlineStr">
        <is>
          <t>Modalidade: 0 - Por conta do remetente | Parte: JG E BM ATACAREJO LTDA (37.667.238/0001-85)</t>
        </is>
      </c>
      <c r="O3792" s="29" t="n">
        <v>0</v>
      </c>
      <c r="P3792" s="29" t="n">
        <v>0</v>
      </c>
      <c r="Q3792" s="29" t="n">
        <v>0</v>
      </c>
      <c r="R3792" s="29" t="n">
        <v>0</v>
      </c>
      <c r="S3792" s="29" t="n">
        <v>0</v>
      </c>
      <c r="T3792" t="inlineStr">
        <is>
          <t>25260626975620000130570010000074891001802063</t>
        </is>
      </c>
      <c r="U3792" t="inlineStr">
        <is>
          <t>Não</t>
        </is>
      </c>
    </row>
    <row r="3793">
      <c r="A3793" t="inlineStr">
        <is>
          <t>Frete de venda</t>
        </is>
      </c>
      <c r="B3793" t="inlineStr">
        <is>
          <t>2.01.02 Frete sobre Vendas</t>
        </is>
      </c>
      <c r="C3793" s="30" t="n">
        <v>46174</v>
      </c>
      <c r="D3793" t="inlineStr">
        <is>
          <t>Em 2026</t>
        </is>
      </c>
      <c r="E3793" s="28" t="n">
        <v>46199</v>
      </c>
      <c r="F3793" t="inlineStr">
        <is>
          <t>CT-e</t>
        </is>
      </c>
      <c r="G3793" t="inlineStr">
        <is>
          <t>000007490</t>
        </is>
      </c>
      <c r="H3793" t="inlineStr">
        <is>
          <t>R&amp;R TRANSPORTE E LOGISTICA</t>
        </is>
      </c>
      <c r="J3793" s="29" t="n">
        <v>100.21</v>
      </c>
      <c r="K3793" s="29">
        <f>(1-ISNUMBER(SEARCH("556",M3793)))*(O3793*SUMIFS(Premissas!$C$5:$C$44,Premissas!$A$5:$A$44,$A3793,Premissas!$B$5:$B$44,$B3793)+P3793*SUMIFS(Premissas!$D$5:$D$44,Premissas!$A$5:$A$44,$A3793,Premissas!$B$5:$B$44,$B3793))+R3793*SUMIFS(Premissas!$E$5:$E$44,Premissas!$A$5:$A$44,$A3793,Premissas!$B$5:$B$44,$B3793)+S3793*SUMIFS(Premissas!$F$5:$F$44,Premissas!$A$5:$A$44,$A3793,Premissas!$B$5:$B$44,$B3793)</f>
        <v/>
      </c>
      <c r="L3793" s="29">
        <f>J3793-K3793</f>
        <v/>
      </c>
      <c r="M3793" t="inlineStr">
        <is>
          <t>1.350</t>
        </is>
      </c>
      <c r="N3793" t="inlineStr">
        <is>
          <t>Modalidade: 0 - Por conta do remetente | Parte: PLASMAR COMERCIO DE PRODUTOS DESCARTAVEIS LTDA (09.354.922/0001-71)</t>
        </is>
      </c>
      <c r="O3793" s="29" t="n">
        <v>0</v>
      </c>
      <c r="P3793" s="29" t="n">
        <v>0</v>
      </c>
      <c r="Q3793" s="29" t="n">
        <v>0</v>
      </c>
      <c r="R3793" s="29" t="n">
        <v>0</v>
      </c>
      <c r="S3793" s="29" t="n">
        <v>0</v>
      </c>
      <c r="T3793" t="inlineStr">
        <is>
          <t>25260626975620000130570010000074901001502141</t>
        </is>
      </c>
      <c r="U3793" t="inlineStr">
        <is>
          <t>Não</t>
        </is>
      </c>
    </row>
    <row r="3794">
      <c r="A3794" t="inlineStr">
        <is>
          <t>Frete de venda</t>
        </is>
      </c>
      <c r="B3794" t="inlineStr">
        <is>
          <t>2.01.02 Frete sobre Vendas</t>
        </is>
      </c>
      <c r="C3794" s="30" t="n">
        <v>46174</v>
      </c>
      <c r="D3794" t="inlineStr">
        <is>
          <t>Em 2026</t>
        </is>
      </c>
      <c r="E3794" s="28" t="n">
        <v>46199</v>
      </c>
      <c r="F3794" t="inlineStr">
        <is>
          <t>CT-e</t>
        </is>
      </c>
      <c r="G3794" t="inlineStr">
        <is>
          <t>000007491</t>
        </is>
      </c>
      <c r="H3794" t="inlineStr">
        <is>
          <t>R&amp;R TRANSPORTE E LOGISTICA</t>
        </is>
      </c>
      <c r="J3794" s="29" t="n">
        <v>27.88</v>
      </c>
      <c r="K3794" s="29">
        <f>(1-ISNUMBER(SEARCH("556",M3794)))*(O3794*SUMIFS(Premissas!$C$5:$C$44,Premissas!$A$5:$A$44,$A3794,Premissas!$B$5:$B$44,$B3794)+P3794*SUMIFS(Premissas!$D$5:$D$44,Premissas!$A$5:$A$44,$A3794,Premissas!$B$5:$B$44,$B3794))+R3794*SUMIFS(Premissas!$E$5:$E$44,Premissas!$A$5:$A$44,$A3794,Premissas!$B$5:$B$44,$B3794)+S3794*SUMIFS(Premissas!$F$5:$F$44,Premissas!$A$5:$A$44,$A3794,Premissas!$B$5:$B$44,$B3794)</f>
        <v/>
      </c>
      <c r="L3794" s="29">
        <f>J3794-K3794</f>
        <v/>
      </c>
      <c r="M3794" t="inlineStr">
        <is>
          <t>1.350</t>
        </is>
      </c>
      <c r="N3794" t="inlineStr">
        <is>
          <t>Modalidade: 0 - Por conta do remetente | Parte: VICTOR EDUARDO DA SILVA (43.488.716/0001-92)</t>
        </is>
      </c>
      <c r="O3794" s="29" t="n">
        <v>0</v>
      </c>
      <c r="P3794" s="29" t="n">
        <v>0</v>
      </c>
      <c r="Q3794" s="29" t="n">
        <v>0</v>
      </c>
      <c r="R3794" s="29" t="n">
        <v>0</v>
      </c>
      <c r="S3794" s="29" t="n">
        <v>0</v>
      </c>
      <c r="T3794" t="inlineStr">
        <is>
          <t>25260626975620000130570010000074911000180857</t>
        </is>
      </c>
      <c r="U3794" t="inlineStr">
        <is>
          <t>Não</t>
        </is>
      </c>
    </row>
    <row r="3795">
      <c r="A3795" t="inlineStr">
        <is>
          <t>Frete de venda</t>
        </is>
      </c>
      <c r="B3795" t="inlineStr">
        <is>
          <t>2.01.02 Frete sobre Vendas</t>
        </is>
      </c>
      <c r="C3795" s="30" t="n">
        <v>46174</v>
      </c>
      <c r="D3795" t="inlineStr">
        <is>
          <t>Em 2026</t>
        </is>
      </c>
      <c r="E3795" s="28" t="n">
        <v>46199</v>
      </c>
      <c r="F3795" t="inlineStr">
        <is>
          <t>CT-e</t>
        </is>
      </c>
      <c r="G3795" t="inlineStr">
        <is>
          <t>000007492</t>
        </is>
      </c>
      <c r="H3795" t="inlineStr">
        <is>
          <t>R&amp;R TRANSPORTE E LOGISTICA</t>
        </is>
      </c>
      <c r="J3795" s="29" t="n">
        <v>31.29</v>
      </c>
      <c r="K3795" s="29">
        <f>(1-ISNUMBER(SEARCH("556",M3795)))*(O3795*SUMIFS(Premissas!$C$5:$C$44,Premissas!$A$5:$A$44,$A3795,Premissas!$B$5:$B$44,$B3795)+P3795*SUMIFS(Premissas!$D$5:$D$44,Premissas!$A$5:$A$44,$A3795,Premissas!$B$5:$B$44,$B3795))+R3795*SUMIFS(Premissas!$E$5:$E$44,Premissas!$A$5:$A$44,$A3795,Premissas!$B$5:$B$44,$B3795)+S3795*SUMIFS(Premissas!$F$5:$F$44,Premissas!$A$5:$A$44,$A3795,Premissas!$B$5:$B$44,$B3795)</f>
        <v/>
      </c>
      <c r="L3795" s="29">
        <f>J3795-K3795</f>
        <v/>
      </c>
      <c r="M3795" t="inlineStr">
        <is>
          <t>1.350</t>
        </is>
      </c>
      <c r="N3795" t="inlineStr">
        <is>
          <t>Modalidade: 0 - Por conta do remetente | Parte: DISTRIBUIDORA DE EMBALAGENS MACROPACK LTDA (07.490.507/0001-10)</t>
        </is>
      </c>
      <c r="O3795" s="29" t="n">
        <v>0</v>
      </c>
      <c r="P3795" s="29" t="n">
        <v>0</v>
      </c>
      <c r="Q3795" s="29" t="n">
        <v>0</v>
      </c>
      <c r="R3795" s="29" t="n">
        <v>0</v>
      </c>
      <c r="S3795" s="29" t="n">
        <v>0</v>
      </c>
      <c r="T3795" t="inlineStr">
        <is>
          <t>25260626975620000130570010000074921000150939</t>
        </is>
      </c>
      <c r="U3795" t="inlineStr">
        <is>
          <t>Não</t>
        </is>
      </c>
    </row>
    <row r="3796">
      <c r="A3796" t="inlineStr">
        <is>
          <t>Frete de venda</t>
        </is>
      </c>
      <c r="B3796" t="inlineStr">
        <is>
          <t>2.01.02 Frete sobre Vendas</t>
        </is>
      </c>
      <c r="C3796" s="30" t="n">
        <v>46174</v>
      </c>
      <c r="D3796" t="inlineStr">
        <is>
          <t>Em 2026</t>
        </is>
      </c>
      <c r="E3796" s="28" t="n">
        <v>46199</v>
      </c>
      <c r="F3796" t="inlineStr">
        <is>
          <t>CT-e</t>
        </is>
      </c>
      <c r="G3796" t="inlineStr">
        <is>
          <t>000007493</t>
        </is>
      </c>
      <c r="H3796" t="inlineStr">
        <is>
          <t>R&amp;R TRANSPORTE E LOGISTICA</t>
        </is>
      </c>
      <c r="J3796" s="29" t="n">
        <v>27.47</v>
      </c>
      <c r="K3796" s="29">
        <f>(1-ISNUMBER(SEARCH("556",M3796)))*(O3796*SUMIFS(Premissas!$C$5:$C$44,Premissas!$A$5:$A$44,$A3796,Premissas!$B$5:$B$44,$B3796)+P3796*SUMIFS(Premissas!$D$5:$D$44,Premissas!$A$5:$A$44,$A3796,Premissas!$B$5:$B$44,$B3796))+R3796*SUMIFS(Premissas!$E$5:$E$44,Premissas!$A$5:$A$44,$A3796,Premissas!$B$5:$B$44,$B3796)+S3796*SUMIFS(Premissas!$F$5:$F$44,Premissas!$A$5:$A$44,$A3796,Premissas!$B$5:$B$44,$B3796)</f>
        <v/>
      </c>
      <c r="L3796" s="29">
        <f>J3796-K3796</f>
        <v/>
      </c>
      <c r="M3796" t="inlineStr">
        <is>
          <t>1.350</t>
        </is>
      </c>
      <c r="N3796" t="inlineStr">
        <is>
          <t>Modalidade: 0 - Por conta do remetente | Parte: CACE COMERCIO DE TINTAS E IMPERMEABILIZANTES LTDA (57.905.702/0001-31)</t>
        </is>
      </c>
      <c r="O3796" s="29" t="n">
        <v>0</v>
      </c>
      <c r="P3796" s="29" t="n">
        <v>0</v>
      </c>
      <c r="Q3796" s="29" t="n">
        <v>0</v>
      </c>
      <c r="R3796" s="29" t="n">
        <v>0</v>
      </c>
      <c r="S3796" s="29" t="n">
        <v>0</v>
      </c>
      <c r="T3796" t="inlineStr">
        <is>
          <t>25260626975620000130570010000074931001201011</t>
        </is>
      </c>
      <c r="U3796" t="inlineStr">
        <is>
          <t>Não</t>
        </is>
      </c>
    </row>
    <row r="3797">
      <c r="A3797" t="inlineStr">
        <is>
          <t>Frete de venda</t>
        </is>
      </c>
      <c r="B3797" t="inlineStr">
        <is>
          <t>2.01.02 Frete sobre Vendas</t>
        </is>
      </c>
      <c r="C3797" s="30" t="n">
        <v>46174</v>
      </c>
      <c r="D3797" t="inlineStr">
        <is>
          <t>Em 2026</t>
        </is>
      </c>
      <c r="E3797" s="28" t="n">
        <v>46199</v>
      </c>
      <c r="F3797" t="inlineStr">
        <is>
          <t>CT-e</t>
        </is>
      </c>
      <c r="G3797" t="inlineStr">
        <is>
          <t>000007494</t>
        </is>
      </c>
      <c r="H3797" t="inlineStr">
        <is>
          <t>R&amp;R TRANSPORTE E LOGISTICA</t>
        </is>
      </c>
      <c r="J3797" s="29" t="n">
        <v>38.83</v>
      </c>
      <c r="K3797" s="29">
        <f>(1-ISNUMBER(SEARCH("556",M3797)))*(O3797*SUMIFS(Premissas!$C$5:$C$44,Premissas!$A$5:$A$44,$A3797,Premissas!$B$5:$B$44,$B3797)+P3797*SUMIFS(Premissas!$D$5:$D$44,Premissas!$A$5:$A$44,$A3797,Premissas!$B$5:$B$44,$B3797))+R3797*SUMIFS(Premissas!$E$5:$E$44,Premissas!$A$5:$A$44,$A3797,Premissas!$B$5:$B$44,$B3797)+S3797*SUMIFS(Premissas!$F$5:$F$44,Premissas!$A$5:$A$44,$A3797,Premissas!$B$5:$B$44,$B3797)</f>
        <v/>
      </c>
      <c r="L3797" s="29">
        <f>J3797-K3797</f>
        <v/>
      </c>
      <c r="M3797" t="inlineStr">
        <is>
          <t>1.350</t>
        </is>
      </c>
      <c r="N3797" t="inlineStr">
        <is>
          <t>Modalidade: 0 - Por conta do remetente | Parte: CANTINHO DISTRIBUIDORA LTDA (44.016.976/0001-28)</t>
        </is>
      </c>
      <c r="O3797" s="29" t="n">
        <v>0</v>
      </c>
      <c r="P3797" s="29" t="n">
        <v>0</v>
      </c>
      <c r="Q3797" s="29" t="n">
        <v>0</v>
      </c>
      <c r="R3797" s="29" t="n">
        <v>0</v>
      </c>
      <c r="S3797" s="29" t="n">
        <v>0</v>
      </c>
      <c r="T3797" t="inlineStr">
        <is>
          <t>25260626975620000130570010000074941011001098</t>
        </is>
      </c>
      <c r="U3797" t="inlineStr">
        <is>
          <t>Não</t>
        </is>
      </c>
    </row>
    <row r="3798">
      <c r="A3798" t="inlineStr">
        <is>
          <t>Frete de venda</t>
        </is>
      </c>
      <c r="B3798" t="inlineStr">
        <is>
          <t>2.01.02 Frete sobre Vendas</t>
        </is>
      </c>
      <c r="C3798" s="30" t="n">
        <v>46174</v>
      </c>
      <c r="D3798" t="inlineStr">
        <is>
          <t>Em 2026</t>
        </is>
      </c>
      <c r="E3798" s="28" t="n">
        <v>46199</v>
      </c>
      <c r="F3798" t="inlineStr">
        <is>
          <t>CT-e</t>
        </is>
      </c>
      <c r="G3798" t="inlineStr">
        <is>
          <t>000007495</t>
        </is>
      </c>
      <c r="H3798" t="inlineStr">
        <is>
          <t>R&amp;R TRANSPORTE E LOGISTICA</t>
        </is>
      </c>
      <c r="J3798" s="29" t="n">
        <v>34.72</v>
      </c>
      <c r="K3798" s="29">
        <f>(1-ISNUMBER(SEARCH("556",M3798)))*(O3798*SUMIFS(Premissas!$C$5:$C$44,Premissas!$A$5:$A$44,$A3798,Premissas!$B$5:$B$44,$B3798)+P3798*SUMIFS(Premissas!$D$5:$D$44,Premissas!$A$5:$A$44,$A3798,Premissas!$B$5:$B$44,$B3798))+R3798*SUMIFS(Premissas!$E$5:$E$44,Premissas!$A$5:$A$44,$A3798,Premissas!$B$5:$B$44,$B3798)+S3798*SUMIFS(Premissas!$F$5:$F$44,Premissas!$A$5:$A$44,$A3798,Premissas!$B$5:$B$44,$B3798)</f>
        <v/>
      </c>
      <c r="L3798" s="29">
        <f>J3798-K3798</f>
        <v/>
      </c>
      <c r="M3798" t="inlineStr">
        <is>
          <t>1.350</t>
        </is>
      </c>
      <c r="N3798" t="inlineStr">
        <is>
          <t>Modalidade: 0 - Por conta do remetente | Parte: PRASO PLATAFORMA DE COMERCIO LTDA. (42.434.646/0008-01)</t>
        </is>
      </c>
      <c r="O3798" s="29" t="n">
        <v>0</v>
      </c>
      <c r="P3798" s="29" t="n">
        <v>0</v>
      </c>
      <c r="Q3798" s="29" t="n">
        <v>0</v>
      </c>
      <c r="R3798" s="29" t="n">
        <v>0</v>
      </c>
      <c r="S3798" s="29" t="n">
        <v>0</v>
      </c>
      <c r="T3798" t="inlineStr">
        <is>
          <t>25260626975620000130570010000074951001701175</t>
        </is>
      </c>
      <c r="U3798" t="inlineStr">
        <is>
          <t>Não</t>
        </is>
      </c>
    </row>
    <row r="3799">
      <c r="A3799" t="inlineStr">
        <is>
          <t>Frete de venda</t>
        </is>
      </c>
      <c r="B3799" t="inlineStr">
        <is>
          <t>2.01.02 Frete sobre Vendas</t>
        </is>
      </c>
      <c r="C3799" s="30" t="n">
        <v>46174</v>
      </c>
      <c r="D3799" t="inlineStr">
        <is>
          <t>Em 2026</t>
        </is>
      </c>
      <c r="E3799" s="28" t="n">
        <v>46199</v>
      </c>
      <c r="F3799" t="inlineStr">
        <is>
          <t>CT-e</t>
        </is>
      </c>
      <c r="G3799" t="inlineStr">
        <is>
          <t>000007496</t>
        </is>
      </c>
      <c r="H3799" t="inlineStr">
        <is>
          <t>R&amp;R TRANSPORTE E LOGISTICA</t>
        </is>
      </c>
      <c r="J3799" s="29" t="n">
        <v>46.1</v>
      </c>
      <c r="K3799" s="29">
        <f>(1-ISNUMBER(SEARCH("556",M3799)))*(O3799*SUMIFS(Premissas!$C$5:$C$44,Premissas!$A$5:$A$44,$A3799,Premissas!$B$5:$B$44,$B3799)+P3799*SUMIFS(Premissas!$D$5:$D$44,Premissas!$A$5:$A$44,$A3799,Premissas!$B$5:$B$44,$B3799))+R3799*SUMIFS(Premissas!$E$5:$E$44,Premissas!$A$5:$A$44,$A3799,Premissas!$B$5:$B$44,$B3799)+S3799*SUMIFS(Premissas!$F$5:$F$44,Premissas!$A$5:$A$44,$A3799,Premissas!$B$5:$B$44,$B3799)</f>
        <v/>
      </c>
      <c r="L3799" s="29">
        <f>J3799-K3799</f>
        <v/>
      </c>
      <c r="M3799" t="inlineStr">
        <is>
          <t>1.350</t>
        </is>
      </c>
      <c r="N3799" t="inlineStr">
        <is>
          <t>Modalidade: 0 - Por conta do remetente | Parte: MERCADO DO SABOR COMERCIO DE ALIMENTOS LTDA (03.623.218/0002-71)</t>
        </is>
      </c>
      <c r="O3799" s="29" t="n">
        <v>0</v>
      </c>
      <c r="P3799" s="29" t="n">
        <v>0</v>
      </c>
      <c r="Q3799" s="29" t="n">
        <v>0</v>
      </c>
      <c r="R3799" s="29" t="n">
        <v>0</v>
      </c>
      <c r="S3799" s="29" t="n">
        <v>0</v>
      </c>
      <c r="T3799" t="inlineStr">
        <is>
          <t>25260626975620000130570010000074961001401250</t>
        </is>
      </c>
      <c r="U3799" t="inlineStr">
        <is>
          <t>Não</t>
        </is>
      </c>
    </row>
    <row r="3800">
      <c r="A3800" t="inlineStr">
        <is>
          <t>Frete de venda</t>
        </is>
      </c>
      <c r="B3800" t="inlineStr">
        <is>
          <t>2.01.02 Frete sobre Vendas</t>
        </is>
      </c>
      <c r="C3800" s="30" t="n">
        <v>46174</v>
      </c>
      <c r="D3800" t="inlineStr">
        <is>
          <t>Em 2026</t>
        </is>
      </c>
      <c r="E3800" s="28" t="n">
        <v>46199</v>
      </c>
      <c r="F3800" t="inlineStr">
        <is>
          <t>CT-e</t>
        </is>
      </c>
      <c r="G3800" t="inlineStr">
        <is>
          <t>000007497</t>
        </is>
      </c>
      <c r="H3800" t="inlineStr">
        <is>
          <t>R&amp;R TRANSPORTE E LOGISTICA</t>
        </is>
      </c>
      <c r="J3800" s="29" t="n">
        <v>459.69</v>
      </c>
      <c r="K3800" s="29">
        <f>(1-ISNUMBER(SEARCH("556",M3800)))*(O3800*SUMIFS(Premissas!$C$5:$C$44,Premissas!$A$5:$A$44,$A3800,Premissas!$B$5:$B$44,$B3800)+P3800*SUMIFS(Premissas!$D$5:$D$44,Premissas!$A$5:$A$44,$A3800,Premissas!$B$5:$B$44,$B3800))+R3800*SUMIFS(Premissas!$E$5:$E$44,Premissas!$A$5:$A$44,$A3800,Premissas!$B$5:$B$44,$B3800)+S3800*SUMIFS(Premissas!$F$5:$F$44,Premissas!$A$5:$A$44,$A3800,Premissas!$B$5:$B$44,$B3800)</f>
        <v/>
      </c>
      <c r="L3800" s="29">
        <f>J3800-K3800</f>
        <v/>
      </c>
      <c r="M3800" t="inlineStr">
        <is>
          <t>1.350</t>
        </is>
      </c>
      <c r="N3800" t="inlineStr">
        <is>
          <t>Modalidade: 0 - Por conta do remetente | Parte: RFC COMERCIO DE MIUDEZAS LTDA (26.514.797/0004-81)</t>
        </is>
      </c>
      <c r="O3800" s="29" t="n">
        <v>0</v>
      </c>
      <c r="P3800" s="29" t="n">
        <v>0</v>
      </c>
      <c r="Q3800" s="29" t="n">
        <v>0</v>
      </c>
      <c r="R3800" s="29" t="n">
        <v>0</v>
      </c>
      <c r="S3800" s="29" t="n">
        <v>0</v>
      </c>
      <c r="T3800" t="inlineStr">
        <is>
          <t>25260626975620000130570010000074971001101334</t>
        </is>
      </c>
      <c r="U3800" t="inlineStr">
        <is>
          <t>Não</t>
        </is>
      </c>
    </row>
    <row r="3801">
      <c r="A3801" t="inlineStr">
        <is>
          <t>Frete de venda</t>
        </is>
      </c>
      <c r="B3801" t="inlineStr">
        <is>
          <t>2.01.02 Frete sobre Vendas</t>
        </is>
      </c>
      <c r="C3801" s="30" t="n">
        <v>46174</v>
      </c>
      <c r="D3801" t="inlineStr">
        <is>
          <t>Em 2026</t>
        </is>
      </c>
      <c r="E3801" s="28" t="n">
        <v>46200</v>
      </c>
      <c r="F3801" t="inlineStr">
        <is>
          <t>CT-e</t>
        </is>
      </c>
      <c r="G3801" t="inlineStr">
        <is>
          <t>000007500</t>
        </is>
      </c>
      <c r="H3801" t="inlineStr">
        <is>
          <t>R&amp;R TRANSPORTE E LOGISTICA</t>
        </is>
      </c>
      <c r="J3801" s="29" t="n">
        <v>700</v>
      </c>
      <c r="K3801" s="29">
        <f>(1-ISNUMBER(SEARCH("556",M3801)))*(O3801*SUMIFS(Premissas!$C$5:$C$44,Premissas!$A$5:$A$44,$A3801,Premissas!$B$5:$B$44,$B3801)+P3801*SUMIFS(Premissas!$D$5:$D$44,Premissas!$A$5:$A$44,$A3801,Premissas!$B$5:$B$44,$B3801))+R3801*SUMIFS(Premissas!$E$5:$E$44,Premissas!$A$5:$A$44,$A3801,Premissas!$B$5:$B$44,$B3801)+S3801*SUMIFS(Premissas!$F$5:$F$44,Premissas!$A$5:$A$44,$A3801,Premissas!$B$5:$B$44,$B3801)</f>
        <v/>
      </c>
      <c r="L3801" s="29">
        <f>J3801-K3801</f>
        <v/>
      </c>
      <c r="M3801" t="inlineStr">
        <is>
          <t>1.350</t>
        </is>
      </c>
      <c r="N3801" t="inlineStr">
        <is>
          <t>Modalidade: 0 - Por conta do remetente | Parte: COMERCIAL PROLAC LTDA. (07.182.763/0001-40)</t>
        </is>
      </c>
      <c r="O3801" s="29" t="n">
        <v>0</v>
      </c>
      <c r="P3801" s="29" t="n">
        <v>0</v>
      </c>
      <c r="Q3801" s="29" t="n">
        <v>0</v>
      </c>
      <c r="R3801" s="29" t="n">
        <v>0</v>
      </c>
      <c r="S3801" s="29" t="n">
        <v>0</v>
      </c>
      <c r="T3801" t="inlineStr">
        <is>
          <t>25260626975620000130570010000075001001301578</t>
        </is>
      </c>
      <c r="U3801" t="inlineStr">
        <is>
          <t>Não</t>
        </is>
      </c>
    </row>
    <row r="3802">
      <c r="A3802" t="inlineStr">
        <is>
          <t>Frete de venda</t>
        </is>
      </c>
      <c r="B3802" t="inlineStr">
        <is>
          <t>2.01.02 Frete sobre Vendas</t>
        </is>
      </c>
      <c r="C3802" s="30" t="n">
        <v>46174</v>
      </c>
      <c r="D3802" t="inlineStr">
        <is>
          <t>Em 2026</t>
        </is>
      </c>
      <c r="E3802" s="28" t="n">
        <v>46181</v>
      </c>
      <c r="F3802" t="inlineStr">
        <is>
          <t>CT-e</t>
        </is>
      </c>
      <c r="G3802" t="inlineStr">
        <is>
          <t>000004099</t>
        </is>
      </c>
      <c r="H3802" t="inlineStr">
        <is>
          <t>RAPIDO XAPURI TRANSPORTES E LOGISTICA LTDA</t>
        </is>
      </c>
      <c r="J3802" s="29" t="n">
        <v>1799.31</v>
      </c>
      <c r="K3802" s="29">
        <f>(1-ISNUMBER(SEARCH("556",M3802)))*(O3802*SUMIFS(Premissas!$C$5:$C$44,Premissas!$A$5:$A$44,$A3802,Premissas!$B$5:$B$44,$B3802)+P3802*SUMIFS(Premissas!$D$5:$D$44,Premissas!$A$5:$A$44,$A3802,Premissas!$B$5:$B$44,$B3802))+R3802*SUMIFS(Premissas!$E$5:$E$44,Premissas!$A$5:$A$44,$A3802,Premissas!$B$5:$B$44,$B3802)+S3802*SUMIFS(Premissas!$F$5:$F$44,Premissas!$A$5:$A$44,$A3802,Premissas!$B$5:$B$44,$B3802)</f>
        <v/>
      </c>
      <c r="L3802" s="29">
        <f>J3802-K3802</f>
        <v/>
      </c>
      <c r="M3802" t="inlineStr">
        <is>
          <t>1.350</t>
        </is>
      </c>
      <c r="N3802" t="inlineStr">
        <is>
          <t>Modalidade: 0 - Por conta do remetente | Parte: COMERCIAL SIMAO LTDA (02.745.979/0001-52)</t>
        </is>
      </c>
      <c r="O3802" s="29" t="n">
        <v>0</v>
      </c>
      <c r="P3802" s="29" t="n">
        <v>215.92</v>
      </c>
      <c r="Q3802" s="29" t="n">
        <v>0</v>
      </c>
      <c r="R3802" s="29" t="n">
        <v>0</v>
      </c>
      <c r="S3802" s="29" t="n">
        <v>0</v>
      </c>
      <c r="T3802" t="inlineStr">
        <is>
          <t>52260627775231000557570010000040991000699631</t>
        </is>
      </c>
      <c r="U3802" t="inlineStr">
        <is>
          <t>Sim</t>
        </is>
      </c>
    </row>
    <row r="3803">
      <c r="A3803" t="inlineStr">
        <is>
          <t>Frete de venda</t>
        </is>
      </c>
      <c r="B3803" t="inlineStr">
        <is>
          <t>2.01.02 Frete sobre Vendas</t>
        </is>
      </c>
      <c r="C3803" s="30" t="n">
        <v>46174</v>
      </c>
      <c r="D3803" t="inlineStr">
        <is>
          <t>Em 2026</t>
        </is>
      </c>
      <c r="E3803" s="28" t="n">
        <v>46181</v>
      </c>
      <c r="F3803" t="inlineStr">
        <is>
          <t>CT-e</t>
        </is>
      </c>
      <c r="G3803" t="inlineStr">
        <is>
          <t>000004100</t>
        </is>
      </c>
      <c r="H3803" t="inlineStr">
        <is>
          <t>RAPIDO XAPURI TRANSPORTES E LOGISTICA LTDA</t>
        </is>
      </c>
      <c r="J3803" s="29" t="n">
        <v>2838.45</v>
      </c>
      <c r="K3803" s="29">
        <f>(1-ISNUMBER(SEARCH("556",M3803)))*(O3803*SUMIFS(Premissas!$C$5:$C$44,Premissas!$A$5:$A$44,$A3803,Premissas!$B$5:$B$44,$B3803)+P3803*SUMIFS(Premissas!$D$5:$D$44,Premissas!$A$5:$A$44,$A3803,Premissas!$B$5:$B$44,$B3803))+R3803*SUMIFS(Premissas!$E$5:$E$44,Premissas!$A$5:$A$44,$A3803,Premissas!$B$5:$B$44,$B3803)+S3803*SUMIFS(Premissas!$F$5:$F$44,Premissas!$A$5:$A$44,$A3803,Premissas!$B$5:$B$44,$B3803)</f>
        <v/>
      </c>
      <c r="L3803" s="29">
        <f>J3803-K3803</f>
        <v/>
      </c>
      <c r="M3803" t="inlineStr">
        <is>
          <t>1.350</t>
        </is>
      </c>
      <c r="N3803" t="inlineStr">
        <is>
          <t>Modalidade: 0 - Por conta do remetente | Parte: SIMAO DISTRIBUIDORA DE PRODUTOS ALIMENTICIOS E EMBALAGENS LT (60.491.308/0001-09)</t>
        </is>
      </c>
      <c r="O3803" s="29" t="n">
        <v>0</v>
      </c>
      <c r="P3803" s="29" t="n">
        <v>340.61</v>
      </c>
      <c r="Q3803" s="29" t="n">
        <v>0</v>
      </c>
      <c r="R3803" s="29" t="n">
        <v>0</v>
      </c>
      <c r="S3803" s="29" t="n">
        <v>0</v>
      </c>
      <c r="T3803" t="inlineStr">
        <is>
          <t>52260627775231000557570010000041001000699642</t>
        </is>
      </c>
      <c r="U3803" t="inlineStr">
        <is>
          <t>Sim</t>
        </is>
      </c>
    </row>
    <row r="3804">
      <c r="A3804" t="inlineStr">
        <is>
          <t>Frete de venda</t>
        </is>
      </c>
      <c r="B3804" t="inlineStr">
        <is>
          <t>2.01.02 Frete sobre Vendas</t>
        </is>
      </c>
      <c r="C3804" s="30" t="n">
        <v>46174</v>
      </c>
      <c r="D3804" t="inlineStr">
        <is>
          <t>Em 2026</t>
        </is>
      </c>
      <c r="E3804" s="28" t="n">
        <v>46181</v>
      </c>
      <c r="F3804" t="inlineStr">
        <is>
          <t>CT-e</t>
        </is>
      </c>
      <c r="G3804" t="inlineStr">
        <is>
          <t>000004101</t>
        </is>
      </c>
      <c r="H3804" t="inlineStr">
        <is>
          <t>RAPIDO XAPURI TRANSPORTES E LOGISTICA LTDA</t>
        </is>
      </c>
      <c r="J3804" s="29" t="n">
        <v>680.63</v>
      </c>
      <c r="K3804" s="29">
        <f>(1-ISNUMBER(SEARCH("556",M3804)))*(O3804*SUMIFS(Premissas!$C$5:$C$44,Premissas!$A$5:$A$44,$A3804,Premissas!$B$5:$B$44,$B3804)+P3804*SUMIFS(Premissas!$D$5:$D$44,Premissas!$A$5:$A$44,$A3804,Premissas!$B$5:$B$44,$B3804))+R3804*SUMIFS(Premissas!$E$5:$E$44,Premissas!$A$5:$A$44,$A3804,Premissas!$B$5:$B$44,$B3804)+S3804*SUMIFS(Premissas!$F$5:$F$44,Premissas!$A$5:$A$44,$A3804,Premissas!$B$5:$B$44,$B3804)</f>
        <v/>
      </c>
      <c r="L3804" s="29">
        <f>J3804-K3804</f>
        <v/>
      </c>
      <c r="M3804" t="inlineStr">
        <is>
          <t>1.350</t>
        </is>
      </c>
      <c r="N3804" t="inlineStr">
        <is>
          <t>Modalidade: 0 - Por conta do remetente | Parte: T.T MUNIZ LTDA (65.867.637/0001-25)</t>
        </is>
      </c>
      <c r="O3804" s="29" t="n">
        <v>0</v>
      </c>
      <c r="P3804" s="29" t="n">
        <v>81.68000000000001</v>
      </c>
      <c r="Q3804" s="29" t="n">
        <v>0</v>
      </c>
      <c r="R3804" s="29" t="n">
        <v>0</v>
      </c>
      <c r="S3804" s="29" t="n">
        <v>0</v>
      </c>
      <c r="T3804" t="inlineStr">
        <is>
          <t>52260627775231000557570010000041011000699658</t>
        </is>
      </c>
      <c r="U3804" t="inlineStr">
        <is>
          <t>Sim</t>
        </is>
      </c>
    </row>
    <row r="3805">
      <c r="A3805" t="inlineStr">
        <is>
          <t>Frete de venda</t>
        </is>
      </c>
      <c r="B3805" t="inlineStr">
        <is>
          <t>2.01.02 Frete sobre Vendas</t>
        </is>
      </c>
      <c r="C3805" s="30" t="n">
        <v>46174</v>
      </c>
      <c r="D3805" t="inlineStr">
        <is>
          <t>Em 2026</t>
        </is>
      </c>
      <c r="E3805" s="28" t="n">
        <v>46181</v>
      </c>
      <c r="F3805" t="inlineStr">
        <is>
          <t>CT-e</t>
        </is>
      </c>
      <c r="G3805" t="inlineStr">
        <is>
          <t>000004102</t>
        </is>
      </c>
      <c r="H3805" t="inlineStr">
        <is>
          <t>RAPIDO XAPURI TRANSPORTES E LOGISTICA LTDA</t>
        </is>
      </c>
      <c r="J3805" s="29" t="n">
        <v>768.27</v>
      </c>
      <c r="K3805" s="29">
        <f>(1-ISNUMBER(SEARCH("556",M3805)))*(O3805*SUMIFS(Premissas!$C$5:$C$44,Premissas!$A$5:$A$44,$A3805,Premissas!$B$5:$B$44,$B3805)+P3805*SUMIFS(Premissas!$D$5:$D$44,Premissas!$A$5:$A$44,$A3805,Premissas!$B$5:$B$44,$B3805))+R3805*SUMIFS(Premissas!$E$5:$E$44,Premissas!$A$5:$A$44,$A3805,Premissas!$B$5:$B$44,$B3805)+S3805*SUMIFS(Premissas!$F$5:$F$44,Premissas!$A$5:$A$44,$A3805,Premissas!$B$5:$B$44,$B3805)</f>
        <v/>
      </c>
      <c r="L3805" s="29">
        <f>J3805-K3805</f>
        <v/>
      </c>
      <c r="M3805" t="inlineStr">
        <is>
          <t>1.350</t>
        </is>
      </c>
      <c r="N3805" t="inlineStr">
        <is>
          <t>Modalidade: 0 - Por conta do remetente | Parte: R S LIRA (14.413.090/0001-57)</t>
        </is>
      </c>
      <c r="O3805" s="29" t="n">
        <v>0</v>
      </c>
      <c r="P3805" s="29" t="n">
        <v>92.19</v>
      </c>
      <c r="Q3805" s="29" t="n">
        <v>0</v>
      </c>
      <c r="R3805" s="29" t="n">
        <v>0</v>
      </c>
      <c r="S3805" s="29" t="n">
        <v>0</v>
      </c>
      <c r="T3805" t="inlineStr">
        <is>
          <t>52260627775231000557570010000041021000699663</t>
        </is>
      </c>
      <c r="U3805" t="inlineStr">
        <is>
          <t>Sim</t>
        </is>
      </c>
    </row>
    <row r="3806">
      <c r="A3806" t="inlineStr">
        <is>
          <t>Frete de venda</t>
        </is>
      </c>
      <c r="B3806" t="inlineStr">
        <is>
          <t>2.01.02 Frete sobre Vendas</t>
        </is>
      </c>
      <c r="C3806" s="30" t="n">
        <v>46174</v>
      </c>
      <c r="D3806" t="inlineStr">
        <is>
          <t>Em 2026</t>
        </is>
      </c>
      <c r="E3806" s="28" t="n">
        <v>46181</v>
      </c>
      <c r="F3806" t="inlineStr">
        <is>
          <t>CT-e</t>
        </is>
      </c>
      <c r="G3806" t="inlineStr">
        <is>
          <t>000004103</t>
        </is>
      </c>
      <c r="H3806" t="inlineStr">
        <is>
          <t>RAPIDO XAPURI TRANSPORTES E LOGISTICA LTDA</t>
        </is>
      </c>
      <c r="J3806" s="29" t="n">
        <v>1841.5</v>
      </c>
      <c r="K3806" s="29">
        <f>(1-ISNUMBER(SEARCH("556",M3806)))*(O3806*SUMIFS(Premissas!$C$5:$C$44,Premissas!$A$5:$A$44,$A3806,Premissas!$B$5:$B$44,$B3806)+P3806*SUMIFS(Premissas!$D$5:$D$44,Premissas!$A$5:$A$44,$A3806,Premissas!$B$5:$B$44,$B3806))+R3806*SUMIFS(Premissas!$E$5:$E$44,Premissas!$A$5:$A$44,$A3806,Premissas!$B$5:$B$44,$B3806)+S3806*SUMIFS(Premissas!$F$5:$F$44,Premissas!$A$5:$A$44,$A3806,Premissas!$B$5:$B$44,$B3806)</f>
        <v/>
      </c>
      <c r="L3806" s="29">
        <f>J3806-K3806</f>
        <v/>
      </c>
      <c r="M3806" t="inlineStr">
        <is>
          <t>1.350</t>
        </is>
      </c>
      <c r="N3806" t="inlineStr">
        <is>
          <t>Modalidade: 0 - Por conta do remetente | Parte: CASA MATOS LTDA (34.693.747/0001-94)</t>
        </is>
      </c>
      <c r="O3806" s="29" t="n">
        <v>0</v>
      </c>
      <c r="P3806" s="29" t="n">
        <v>220.98</v>
      </c>
      <c r="Q3806" s="29" t="n">
        <v>0</v>
      </c>
      <c r="R3806" s="29" t="n">
        <v>0</v>
      </c>
      <c r="S3806" s="29" t="n">
        <v>0</v>
      </c>
      <c r="T3806" t="inlineStr">
        <is>
          <t>52260627775231000557570010000041031000699679</t>
        </is>
      </c>
      <c r="U3806" t="inlineStr">
        <is>
          <t>Sim</t>
        </is>
      </c>
    </row>
    <row r="3807">
      <c r="A3807" t="inlineStr">
        <is>
          <t>Frete de venda</t>
        </is>
      </c>
      <c r="B3807" t="inlineStr">
        <is>
          <t>2.01.02 Frete sobre Vendas</t>
        </is>
      </c>
      <c r="C3807" s="30" t="n">
        <v>46174</v>
      </c>
      <c r="D3807" t="inlineStr">
        <is>
          <t>Em 2026</t>
        </is>
      </c>
      <c r="E3807" s="28" t="n">
        <v>46181</v>
      </c>
      <c r="F3807" t="inlineStr">
        <is>
          <t>CT-e</t>
        </is>
      </c>
      <c r="G3807" t="inlineStr">
        <is>
          <t>000004105</t>
        </is>
      </c>
      <c r="H3807" t="inlineStr">
        <is>
          <t>RAPIDO XAPURI TRANSPORTES E LOGISTICA LTDA</t>
        </is>
      </c>
      <c r="J3807" s="29" t="n">
        <v>775.5700000000001</v>
      </c>
      <c r="K3807" s="29">
        <f>(1-ISNUMBER(SEARCH("556",M3807)))*(O3807*SUMIFS(Premissas!$C$5:$C$44,Premissas!$A$5:$A$44,$A3807,Premissas!$B$5:$B$44,$B3807)+P3807*SUMIFS(Premissas!$D$5:$D$44,Premissas!$A$5:$A$44,$A3807,Premissas!$B$5:$B$44,$B3807))+R3807*SUMIFS(Premissas!$E$5:$E$44,Premissas!$A$5:$A$44,$A3807,Premissas!$B$5:$B$44,$B3807)+S3807*SUMIFS(Premissas!$F$5:$F$44,Premissas!$A$5:$A$44,$A3807,Premissas!$B$5:$B$44,$B3807)</f>
        <v/>
      </c>
      <c r="L3807" s="29">
        <f>J3807-K3807</f>
        <v/>
      </c>
      <c r="M3807" t="inlineStr">
        <is>
          <t>1.350</t>
        </is>
      </c>
      <c r="N3807" t="inlineStr">
        <is>
          <t>Modalidade: 0 - Por conta do remetente | Parte: F. T. SILVA LTDA (04.398.484/0001-20)</t>
        </is>
      </c>
      <c r="O3807" s="29" t="n">
        <v>0</v>
      </c>
      <c r="P3807" s="29" t="n">
        <v>93.06999999999999</v>
      </c>
      <c r="Q3807" s="29" t="n">
        <v>0</v>
      </c>
      <c r="R3807" s="29" t="n">
        <v>0</v>
      </c>
      <c r="S3807" s="29" t="n">
        <v>0</v>
      </c>
      <c r="T3807" t="inlineStr">
        <is>
          <t>52260627775231000557570010000041051000699690</t>
        </is>
      </c>
      <c r="U3807" t="inlineStr">
        <is>
          <t>Sim</t>
        </is>
      </c>
    </row>
    <row r="3808">
      <c r="A3808" t="inlineStr">
        <is>
          <t>Frete de venda</t>
        </is>
      </c>
      <c r="B3808" t="inlineStr">
        <is>
          <t>2.01.02 Frete sobre Vendas</t>
        </is>
      </c>
      <c r="C3808" s="30" t="n">
        <v>46174</v>
      </c>
      <c r="D3808" t="inlineStr">
        <is>
          <t>Em 2026</t>
        </is>
      </c>
      <c r="E3808" s="28" t="n">
        <v>46181</v>
      </c>
      <c r="F3808" t="inlineStr">
        <is>
          <t>CT-e</t>
        </is>
      </c>
      <c r="G3808" t="inlineStr">
        <is>
          <t>000004106</t>
        </is>
      </c>
      <c r="H3808" t="inlineStr">
        <is>
          <t>RAPIDO XAPURI TRANSPORTES E LOGISTICA LTDA</t>
        </is>
      </c>
      <c r="J3808" s="29" t="n">
        <v>1634.92</v>
      </c>
      <c r="K3808" s="29">
        <f>(1-ISNUMBER(SEARCH("556",M3808)))*(O3808*SUMIFS(Premissas!$C$5:$C$44,Premissas!$A$5:$A$44,$A3808,Premissas!$B$5:$B$44,$B3808)+P3808*SUMIFS(Premissas!$D$5:$D$44,Premissas!$A$5:$A$44,$A3808,Premissas!$B$5:$B$44,$B3808))+R3808*SUMIFS(Premissas!$E$5:$E$44,Premissas!$A$5:$A$44,$A3808,Premissas!$B$5:$B$44,$B3808)+S3808*SUMIFS(Premissas!$F$5:$F$44,Premissas!$A$5:$A$44,$A3808,Premissas!$B$5:$B$44,$B3808)</f>
        <v/>
      </c>
      <c r="L3808" s="29">
        <f>J3808-K3808</f>
        <v/>
      </c>
      <c r="M3808" t="inlineStr">
        <is>
          <t>1.350</t>
        </is>
      </c>
      <c r="N3808" t="inlineStr">
        <is>
          <t>Modalidade: 0 - Por conta do remetente | Parte: PARTY MAX COMERCIO ATACADISTA DE EMBALAGENS LTDA (30.711.974/0001-44)</t>
        </is>
      </c>
      <c r="O3808" s="29" t="n">
        <v>0</v>
      </c>
      <c r="P3808" s="29" t="n">
        <v>196.19</v>
      </c>
      <c r="Q3808" s="29" t="n">
        <v>0</v>
      </c>
      <c r="R3808" s="29" t="n">
        <v>0</v>
      </c>
      <c r="S3808" s="29" t="n">
        <v>0</v>
      </c>
      <c r="T3808" t="inlineStr">
        <is>
          <t>52260627775231000557570010000041061000699700</t>
        </is>
      </c>
      <c r="U3808" t="inlineStr">
        <is>
          <t>Sim</t>
        </is>
      </c>
    </row>
    <row r="3809">
      <c r="A3809" t="inlineStr">
        <is>
          <t>Frete de venda</t>
        </is>
      </c>
      <c r="B3809" t="inlineStr">
        <is>
          <t>2.01.02 Frete sobre Vendas</t>
        </is>
      </c>
      <c r="C3809" s="30" t="n">
        <v>46174</v>
      </c>
      <c r="D3809" t="inlineStr">
        <is>
          <t>Em 2026</t>
        </is>
      </c>
      <c r="E3809" s="28" t="n">
        <v>46181</v>
      </c>
      <c r="F3809" t="inlineStr">
        <is>
          <t>CT-e</t>
        </is>
      </c>
      <c r="G3809" t="inlineStr">
        <is>
          <t>000004107</t>
        </is>
      </c>
      <c r="H3809" t="inlineStr">
        <is>
          <t>RAPIDO XAPURI TRANSPORTES E LOGISTICA LTDA</t>
        </is>
      </c>
      <c r="J3809" s="29" t="n">
        <v>10288.26</v>
      </c>
      <c r="K3809" s="29">
        <f>(1-ISNUMBER(SEARCH("556",M3809)))*(O3809*SUMIFS(Premissas!$C$5:$C$44,Premissas!$A$5:$A$44,$A3809,Premissas!$B$5:$B$44,$B3809)+P3809*SUMIFS(Premissas!$D$5:$D$44,Premissas!$A$5:$A$44,$A3809,Premissas!$B$5:$B$44,$B3809))+R3809*SUMIFS(Premissas!$E$5:$E$44,Premissas!$A$5:$A$44,$A3809,Premissas!$B$5:$B$44,$B3809)+S3809*SUMIFS(Premissas!$F$5:$F$44,Premissas!$A$5:$A$44,$A3809,Premissas!$B$5:$B$44,$B3809)</f>
        <v/>
      </c>
      <c r="L3809" s="29">
        <f>J3809-K3809</f>
        <v/>
      </c>
      <c r="M3809" t="inlineStr">
        <is>
          <t>1.350</t>
        </is>
      </c>
      <c r="N3809" t="inlineStr">
        <is>
          <t>Modalidade: 0 - Por conta do remetente | Parte: MARCONDES N DE SOUZA LTDA (05.847.768/0001-19)</t>
        </is>
      </c>
      <c r="O3809" s="29" t="n">
        <v>0</v>
      </c>
      <c r="P3809" s="29" t="n">
        <v>1234.59</v>
      </c>
      <c r="Q3809" s="29" t="n">
        <v>0</v>
      </c>
      <c r="R3809" s="29" t="n">
        <v>0</v>
      </c>
      <c r="S3809" s="29" t="n">
        <v>0</v>
      </c>
      <c r="T3809" t="inlineStr">
        <is>
          <t>52260627775231000557570010000041071000699716</t>
        </is>
      </c>
      <c r="U3809" t="inlineStr">
        <is>
          <t>Sim</t>
        </is>
      </c>
    </row>
    <row r="3810">
      <c r="A3810" t="inlineStr">
        <is>
          <t>Frete de venda</t>
        </is>
      </c>
      <c r="B3810" t="inlineStr">
        <is>
          <t>2.01.02 Frete sobre Vendas</t>
        </is>
      </c>
      <c r="C3810" s="30" t="n">
        <v>46174</v>
      </c>
      <c r="D3810" t="inlineStr">
        <is>
          <t>Em 2026</t>
        </is>
      </c>
      <c r="E3810" s="28" t="n">
        <v>46192</v>
      </c>
      <c r="F3810" t="inlineStr">
        <is>
          <t>CT-e</t>
        </is>
      </c>
      <c r="G3810" t="inlineStr">
        <is>
          <t>000004252</t>
        </is>
      </c>
      <c r="H3810" t="inlineStr">
        <is>
          <t>RAPIDO XAPURI TRANSPORTES E LOGISTICA LTDA</t>
        </is>
      </c>
      <c r="J3810" s="29" t="n">
        <v>1001.01</v>
      </c>
      <c r="K3810" s="29">
        <f>(1-ISNUMBER(SEARCH("556",M3810)))*(O3810*SUMIFS(Premissas!$C$5:$C$44,Premissas!$A$5:$A$44,$A3810,Premissas!$B$5:$B$44,$B3810)+P3810*SUMIFS(Premissas!$D$5:$D$44,Premissas!$A$5:$A$44,$A3810,Premissas!$B$5:$B$44,$B3810))+R3810*SUMIFS(Premissas!$E$5:$E$44,Premissas!$A$5:$A$44,$A3810,Premissas!$B$5:$B$44,$B3810)+S3810*SUMIFS(Premissas!$F$5:$F$44,Premissas!$A$5:$A$44,$A3810,Premissas!$B$5:$B$44,$B3810)</f>
        <v/>
      </c>
      <c r="L3810" s="29">
        <f>J3810-K3810</f>
        <v/>
      </c>
      <c r="M3810" t="inlineStr">
        <is>
          <t>2.350</t>
        </is>
      </c>
      <c r="N3810" t="inlineStr">
        <is>
          <t>Modalidade: 0 - Por conta do remetente | Parte: F. C. EMBALAGENS e SALGADINHOS (14.025.694/0001-26)</t>
        </is>
      </c>
      <c r="O3810" s="29" t="n">
        <v>0</v>
      </c>
      <c r="P3810" s="29" t="n">
        <v>120.12</v>
      </c>
      <c r="Q3810" s="29" t="n">
        <v>0</v>
      </c>
      <c r="R3810" s="29" t="n">
        <v>0</v>
      </c>
      <c r="S3810" s="29" t="n">
        <v>0</v>
      </c>
      <c r="T3810" t="inlineStr">
        <is>
          <t>52260627775231000557570010000042521000716638</t>
        </is>
      </c>
      <c r="U3810" t="inlineStr">
        <is>
          <t>Sim</t>
        </is>
      </c>
    </row>
    <row r="3811">
      <c r="A3811" t="inlineStr">
        <is>
          <t>Frete de venda</t>
        </is>
      </c>
      <c r="B3811" t="inlineStr">
        <is>
          <t>2.01.02 Frete sobre Vendas</t>
        </is>
      </c>
      <c r="C3811" s="30" t="n">
        <v>46174</v>
      </c>
      <c r="D3811" t="inlineStr">
        <is>
          <t>Em 2026</t>
        </is>
      </c>
      <c r="E3811" s="28" t="n">
        <v>46192</v>
      </c>
      <c r="F3811" t="inlineStr">
        <is>
          <t>CT-e</t>
        </is>
      </c>
      <c r="G3811" t="inlineStr">
        <is>
          <t>000004253</t>
        </is>
      </c>
      <c r="H3811" t="inlineStr">
        <is>
          <t>RAPIDO XAPURI TRANSPORTES E LOGISTICA LTDA</t>
        </is>
      </c>
      <c r="J3811" s="29" t="n">
        <v>1115.39</v>
      </c>
      <c r="K3811" s="29">
        <f>(1-ISNUMBER(SEARCH("556",M3811)))*(O3811*SUMIFS(Premissas!$C$5:$C$44,Premissas!$A$5:$A$44,$A3811,Premissas!$B$5:$B$44,$B3811)+P3811*SUMIFS(Premissas!$D$5:$D$44,Premissas!$A$5:$A$44,$A3811,Premissas!$B$5:$B$44,$B3811))+R3811*SUMIFS(Premissas!$E$5:$E$44,Premissas!$A$5:$A$44,$A3811,Premissas!$B$5:$B$44,$B3811)+S3811*SUMIFS(Premissas!$F$5:$F$44,Premissas!$A$5:$A$44,$A3811,Premissas!$B$5:$B$44,$B3811)</f>
        <v/>
      </c>
      <c r="L3811" s="29">
        <f>J3811-K3811</f>
        <v/>
      </c>
      <c r="M3811" t="inlineStr">
        <is>
          <t>2.350</t>
        </is>
      </c>
      <c r="N3811" t="inlineStr">
        <is>
          <t>Modalidade: 0 - Por conta do remetente | Parte: SUPERMERCADO LOS PAMPAS LTDA (44.292.093/0001-40)</t>
        </is>
      </c>
      <c r="O3811" s="29" t="n">
        <v>0</v>
      </c>
      <c r="P3811" s="29" t="n">
        <v>133.85</v>
      </c>
      <c r="Q3811" s="29" t="n">
        <v>0</v>
      </c>
      <c r="R3811" s="29" t="n">
        <v>0</v>
      </c>
      <c r="S3811" s="29" t="n">
        <v>0</v>
      </c>
      <c r="T3811" t="inlineStr">
        <is>
          <t>52260627775231000557570010000042531000716643</t>
        </is>
      </c>
      <c r="U3811" t="inlineStr">
        <is>
          <t>Sim</t>
        </is>
      </c>
    </row>
    <row r="3812">
      <c r="A3812" t="inlineStr">
        <is>
          <t>Frete de venda</t>
        </is>
      </c>
      <c r="B3812" t="inlineStr">
        <is>
          <t>2.01.02 Frete sobre Vendas</t>
        </is>
      </c>
      <c r="C3812" s="30" t="n">
        <v>46174</v>
      </c>
      <c r="D3812" t="inlineStr">
        <is>
          <t>Em 2026</t>
        </is>
      </c>
      <c r="E3812" s="28" t="n">
        <v>46192</v>
      </c>
      <c r="F3812" t="inlineStr">
        <is>
          <t>CT-e</t>
        </is>
      </c>
      <c r="G3812" t="inlineStr">
        <is>
          <t>000004254</t>
        </is>
      </c>
      <c r="H3812" t="inlineStr">
        <is>
          <t>RAPIDO XAPURI TRANSPORTES E LOGISTICA LTDA</t>
        </is>
      </c>
      <c r="J3812" s="29" t="n">
        <v>3195.94</v>
      </c>
      <c r="K3812" s="29">
        <f>(1-ISNUMBER(SEARCH("556",M3812)))*(O3812*SUMIFS(Premissas!$C$5:$C$44,Premissas!$A$5:$A$44,$A3812,Premissas!$B$5:$B$44,$B3812)+P3812*SUMIFS(Premissas!$D$5:$D$44,Premissas!$A$5:$A$44,$A3812,Premissas!$B$5:$B$44,$B3812))+R3812*SUMIFS(Premissas!$E$5:$E$44,Premissas!$A$5:$A$44,$A3812,Premissas!$B$5:$B$44,$B3812)+S3812*SUMIFS(Premissas!$F$5:$F$44,Premissas!$A$5:$A$44,$A3812,Premissas!$B$5:$B$44,$B3812)</f>
        <v/>
      </c>
      <c r="L3812" s="29">
        <f>J3812-K3812</f>
        <v/>
      </c>
      <c r="M3812" t="inlineStr">
        <is>
          <t>2.350</t>
        </is>
      </c>
      <c r="N3812" t="inlineStr">
        <is>
          <t>Modalidade: 0 - Por conta do remetente | Parte: MORENO FESTAS LTDA (18.133.456/0001-95)</t>
        </is>
      </c>
      <c r="O3812" s="29" t="n">
        <v>0</v>
      </c>
      <c r="P3812" s="29" t="n">
        <v>383.51</v>
      </c>
      <c r="Q3812" s="29" t="n">
        <v>0</v>
      </c>
      <c r="R3812" s="29" t="n">
        <v>0</v>
      </c>
      <c r="S3812" s="29" t="n">
        <v>0</v>
      </c>
      <c r="T3812" t="inlineStr">
        <is>
          <t>52260627775231000557570010000042541000716659</t>
        </is>
      </c>
      <c r="U3812" t="inlineStr">
        <is>
          <t>Sim</t>
        </is>
      </c>
    </row>
    <row r="3813">
      <c r="A3813" t="inlineStr">
        <is>
          <t>Frete de venda</t>
        </is>
      </c>
      <c r="B3813" t="inlineStr">
        <is>
          <t>2.01.02 Frete sobre Vendas</t>
        </is>
      </c>
      <c r="C3813" s="30" t="n">
        <v>46174</v>
      </c>
      <c r="D3813" t="inlineStr">
        <is>
          <t>Em 2026</t>
        </is>
      </c>
      <c r="E3813" s="28" t="n">
        <v>46192</v>
      </c>
      <c r="F3813" t="inlineStr">
        <is>
          <t>CT-e</t>
        </is>
      </c>
      <c r="G3813" t="inlineStr">
        <is>
          <t>000004255</t>
        </is>
      </c>
      <c r="H3813" t="inlineStr">
        <is>
          <t>RAPIDO XAPURI TRANSPORTES E LOGISTICA LTDA</t>
        </is>
      </c>
      <c r="J3813" s="29" t="n">
        <v>1562.26</v>
      </c>
      <c r="K3813" s="29">
        <f>(1-ISNUMBER(SEARCH("556",M3813)))*(O3813*SUMIFS(Premissas!$C$5:$C$44,Premissas!$A$5:$A$44,$A3813,Premissas!$B$5:$B$44,$B3813)+P3813*SUMIFS(Premissas!$D$5:$D$44,Premissas!$A$5:$A$44,$A3813,Premissas!$B$5:$B$44,$B3813))+R3813*SUMIFS(Premissas!$E$5:$E$44,Premissas!$A$5:$A$44,$A3813,Premissas!$B$5:$B$44,$B3813)+S3813*SUMIFS(Premissas!$F$5:$F$44,Premissas!$A$5:$A$44,$A3813,Premissas!$B$5:$B$44,$B3813)</f>
        <v/>
      </c>
      <c r="L3813" s="29">
        <f>J3813-K3813</f>
        <v/>
      </c>
      <c r="M3813" t="inlineStr">
        <is>
          <t>2.350</t>
        </is>
      </c>
      <c r="N3813" t="inlineStr">
        <is>
          <t>Modalidade: 0 - Por conta do remetente | Parte: RM COMERCIO DE ARTIGOS PARA FESTA LTDA (30.878.046/0001-79)</t>
        </is>
      </c>
      <c r="O3813" s="29" t="n">
        <v>0</v>
      </c>
      <c r="P3813" s="29" t="n">
        <v>187.47</v>
      </c>
      <c r="Q3813" s="29" t="n">
        <v>0</v>
      </c>
      <c r="R3813" s="29" t="n">
        <v>0</v>
      </c>
      <c r="S3813" s="29" t="n">
        <v>0</v>
      </c>
      <c r="T3813" t="inlineStr">
        <is>
          <t>52260627775231000557570010000042551000716664</t>
        </is>
      </c>
      <c r="U3813" t="inlineStr">
        <is>
          <t>Sim</t>
        </is>
      </c>
    </row>
    <row r="3814">
      <c r="A3814" t="inlineStr">
        <is>
          <t>Frete de venda</t>
        </is>
      </c>
      <c r="B3814" t="inlineStr">
        <is>
          <t>2.01.02 Frete sobre Vendas</t>
        </is>
      </c>
      <c r="C3814" s="30" t="n">
        <v>46174</v>
      </c>
      <c r="D3814" t="inlineStr">
        <is>
          <t>Em 2026</t>
        </is>
      </c>
      <c r="E3814" s="28" t="n">
        <v>46192</v>
      </c>
      <c r="F3814" t="inlineStr">
        <is>
          <t>CT-e</t>
        </is>
      </c>
      <c r="G3814" t="inlineStr">
        <is>
          <t>000004256</t>
        </is>
      </c>
      <c r="H3814" t="inlineStr">
        <is>
          <t>RAPIDO XAPURI TRANSPORTES E LOGISTICA LTDA</t>
        </is>
      </c>
      <c r="J3814" s="29" t="n">
        <v>826.3099999999999</v>
      </c>
      <c r="K3814" s="29">
        <f>(1-ISNUMBER(SEARCH("556",M3814)))*(O3814*SUMIFS(Premissas!$C$5:$C$44,Premissas!$A$5:$A$44,$A3814,Premissas!$B$5:$B$44,$B3814)+P3814*SUMIFS(Premissas!$D$5:$D$44,Premissas!$A$5:$A$44,$A3814,Premissas!$B$5:$B$44,$B3814))+R3814*SUMIFS(Premissas!$E$5:$E$44,Premissas!$A$5:$A$44,$A3814,Premissas!$B$5:$B$44,$B3814)+S3814*SUMIFS(Premissas!$F$5:$F$44,Premissas!$A$5:$A$44,$A3814,Premissas!$B$5:$B$44,$B3814)</f>
        <v/>
      </c>
      <c r="L3814" s="29">
        <f>J3814-K3814</f>
        <v/>
      </c>
      <c r="M3814" t="inlineStr">
        <is>
          <t>2.350</t>
        </is>
      </c>
      <c r="N3814" t="inlineStr">
        <is>
          <t>Modalidade: 0 - Por conta do remetente | Parte: MARCONDES N DE SOUZA LTDA (05.847.768/0001-19)</t>
        </is>
      </c>
      <c r="O3814" s="29" t="n">
        <v>0</v>
      </c>
      <c r="P3814" s="29" t="n">
        <v>99.16</v>
      </c>
      <c r="Q3814" s="29" t="n">
        <v>0</v>
      </c>
      <c r="R3814" s="29" t="n">
        <v>0</v>
      </c>
      <c r="S3814" s="29" t="n">
        <v>0</v>
      </c>
      <c r="T3814" t="inlineStr">
        <is>
          <t>52260627775231000557570010000042561000716670</t>
        </is>
      </c>
      <c r="U3814" t="inlineStr">
        <is>
          <t>Sim</t>
        </is>
      </c>
    </row>
    <row r="3815">
      <c r="A3815" t="inlineStr">
        <is>
          <t>Frete de venda</t>
        </is>
      </c>
      <c r="B3815" t="inlineStr">
        <is>
          <t>2.01.02 Frete sobre Vendas</t>
        </is>
      </c>
      <c r="C3815" s="30" t="n">
        <v>46174</v>
      </c>
      <c r="D3815" t="inlineStr">
        <is>
          <t>Em 2026</t>
        </is>
      </c>
      <c r="E3815" s="28" t="n">
        <v>46192</v>
      </c>
      <c r="F3815" t="inlineStr">
        <is>
          <t>CT-e</t>
        </is>
      </c>
      <c r="G3815" t="inlineStr">
        <is>
          <t>000004257</t>
        </is>
      </c>
      <c r="H3815" t="inlineStr">
        <is>
          <t>RAPIDO XAPURI TRANSPORTES E LOGISTICA LTDA</t>
        </is>
      </c>
      <c r="J3815" s="29" t="n">
        <v>267.14</v>
      </c>
      <c r="K3815" s="29">
        <f>(1-ISNUMBER(SEARCH("556",M3815)))*(O3815*SUMIFS(Premissas!$C$5:$C$44,Premissas!$A$5:$A$44,$A3815,Premissas!$B$5:$B$44,$B3815)+P3815*SUMIFS(Premissas!$D$5:$D$44,Premissas!$A$5:$A$44,$A3815,Premissas!$B$5:$B$44,$B3815))+R3815*SUMIFS(Premissas!$E$5:$E$44,Premissas!$A$5:$A$44,$A3815,Premissas!$B$5:$B$44,$B3815)+S3815*SUMIFS(Premissas!$F$5:$F$44,Premissas!$A$5:$A$44,$A3815,Premissas!$B$5:$B$44,$B3815)</f>
        <v/>
      </c>
      <c r="L3815" s="29">
        <f>J3815-K3815</f>
        <v/>
      </c>
      <c r="M3815" t="inlineStr">
        <is>
          <t>2.350</t>
        </is>
      </c>
      <c r="N3815" t="inlineStr">
        <is>
          <t>Modalidade: 0 - Por conta do remetente | Parte: G. I. C. CAMELI (09.007.823/0001-13)</t>
        </is>
      </c>
      <c r="O3815" s="29" t="n">
        <v>0</v>
      </c>
      <c r="P3815" s="29" t="n">
        <v>32.06</v>
      </c>
      <c r="Q3815" s="29" t="n">
        <v>0</v>
      </c>
      <c r="R3815" s="29" t="n">
        <v>0</v>
      </c>
      <c r="S3815" s="29" t="n">
        <v>0</v>
      </c>
      <c r="T3815" t="inlineStr">
        <is>
          <t>52260627775231000557570010000042571000716685</t>
        </is>
      </c>
      <c r="U3815" t="inlineStr">
        <is>
          <t>Sim</t>
        </is>
      </c>
    </row>
    <row r="3816">
      <c r="A3816" t="inlineStr">
        <is>
          <t>Frete de venda</t>
        </is>
      </c>
      <c r="B3816" t="inlineStr">
        <is>
          <t>2.01.02 Frete sobre Vendas</t>
        </is>
      </c>
      <c r="C3816" s="30" t="n">
        <v>46174</v>
      </c>
      <c r="D3816" t="inlineStr">
        <is>
          <t>Em 2026</t>
        </is>
      </c>
      <c r="E3816" s="28" t="n">
        <v>46192</v>
      </c>
      <c r="F3816" t="inlineStr">
        <is>
          <t>CT-e</t>
        </is>
      </c>
      <c r="G3816" t="inlineStr">
        <is>
          <t>000004258</t>
        </is>
      </c>
      <c r="H3816" t="inlineStr">
        <is>
          <t>RAPIDO XAPURI TRANSPORTES E LOGISTICA LTDA</t>
        </is>
      </c>
      <c r="J3816" s="29" t="n">
        <v>1414.66</v>
      </c>
      <c r="K3816" s="29">
        <f>(1-ISNUMBER(SEARCH("556",M3816)))*(O3816*SUMIFS(Premissas!$C$5:$C$44,Premissas!$A$5:$A$44,$A3816,Premissas!$B$5:$B$44,$B3816)+P3816*SUMIFS(Premissas!$D$5:$D$44,Premissas!$A$5:$A$44,$A3816,Premissas!$B$5:$B$44,$B3816))+R3816*SUMIFS(Premissas!$E$5:$E$44,Premissas!$A$5:$A$44,$A3816,Premissas!$B$5:$B$44,$B3816)+S3816*SUMIFS(Premissas!$F$5:$F$44,Premissas!$A$5:$A$44,$A3816,Premissas!$B$5:$B$44,$B3816)</f>
        <v/>
      </c>
      <c r="L3816" s="29">
        <f>J3816-K3816</f>
        <v/>
      </c>
      <c r="M3816" t="inlineStr">
        <is>
          <t>2.350</t>
        </is>
      </c>
      <c r="N3816" t="inlineStr">
        <is>
          <t>Modalidade: 0 - Por conta do remetente | Parte: EDILANE DE SOUZA SILVA (48.163.209/0001-00)</t>
        </is>
      </c>
      <c r="O3816" s="29" t="n">
        <v>0</v>
      </c>
      <c r="P3816" s="29" t="n">
        <v>169.76</v>
      </c>
      <c r="Q3816" s="29" t="n">
        <v>0</v>
      </c>
      <c r="R3816" s="29" t="n">
        <v>0</v>
      </c>
      <c r="S3816" s="29" t="n">
        <v>0</v>
      </c>
      <c r="T3816" t="inlineStr">
        <is>
          <t>52260627775231000557570010000042581000716690</t>
        </is>
      </c>
      <c r="U3816" t="inlineStr">
        <is>
          <t>Sim</t>
        </is>
      </c>
    </row>
    <row r="3817">
      <c r="A3817" t="inlineStr">
        <is>
          <t>Frete de venda</t>
        </is>
      </c>
      <c r="B3817" t="inlineStr">
        <is>
          <t>2.01.02 Frete sobre Vendas</t>
        </is>
      </c>
      <c r="C3817" s="30" t="n">
        <v>46174</v>
      </c>
      <c r="D3817" t="inlineStr">
        <is>
          <t>Em 2026</t>
        </is>
      </c>
      <c r="E3817" s="28" t="n">
        <v>46182</v>
      </c>
      <c r="F3817" t="inlineStr">
        <is>
          <t>CT-e</t>
        </is>
      </c>
      <c r="G3817" t="inlineStr">
        <is>
          <t>000000689</t>
        </is>
      </c>
      <c r="H3817" t="inlineStr">
        <is>
          <t>REIMAG - REINALDO DOMINGUES BARROS DA SILVA</t>
        </is>
      </c>
      <c r="J3817" s="29" t="n">
        <v>266.66</v>
      </c>
      <c r="K3817" s="29">
        <f>(1-ISNUMBER(SEARCH("556",M3817)))*(O3817*SUMIFS(Premissas!$C$5:$C$44,Premissas!$A$5:$A$44,$A3817,Premissas!$B$5:$B$44,$B3817)+P3817*SUMIFS(Premissas!$D$5:$D$44,Premissas!$A$5:$A$44,$A3817,Premissas!$B$5:$B$44,$B3817))+R3817*SUMIFS(Premissas!$E$5:$E$44,Premissas!$A$5:$A$44,$A3817,Premissas!$B$5:$B$44,$B3817)+S3817*SUMIFS(Premissas!$F$5:$F$44,Premissas!$A$5:$A$44,$A3817,Premissas!$B$5:$B$44,$B3817)</f>
        <v/>
      </c>
      <c r="L3817" s="29">
        <f>J3817-K3817</f>
        <v/>
      </c>
      <c r="M3817" t="inlineStr">
        <is>
          <t>1.350</t>
        </is>
      </c>
      <c r="N3817" t="inlineStr">
        <is>
          <t>Modalidade: 0 - Por conta do remetente | Parte: M J DOS SANTOS EMBALAGENS (20.988.384/0001-00)</t>
        </is>
      </c>
      <c r="O3817" s="29" t="n">
        <v>0</v>
      </c>
      <c r="P3817" s="29" t="n">
        <v>0</v>
      </c>
      <c r="Q3817" s="29" t="n">
        <v>0</v>
      </c>
      <c r="R3817" s="29" t="n">
        <v>0</v>
      </c>
      <c r="S3817" s="29" t="n">
        <v>0</v>
      </c>
      <c r="T3817" t="inlineStr">
        <is>
          <t>25260639962724000151570010000006891686587050</t>
        </is>
      </c>
      <c r="U3817" t="inlineStr">
        <is>
          <t>Sim</t>
        </is>
      </c>
    </row>
    <row r="3818">
      <c r="A3818" t="inlineStr">
        <is>
          <t>Frete de venda</t>
        </is>
      </c>
      <c r="B3818" t="inlineStr">
        <is>
          <t>2.01.02 Frete sobre Vendas</t>
        </is>
      </c>
      <c r="C3818" s="30" t="n">
        <v>46174</v>
      </c>
      <c r="D3818" t="inlineStr">
        <is>
          <t>Em 2026</t>
        </is>
      </c>
      <c r="E3818" s="28" t="n">
        <v>46182</v>
      </c>
      <c r="F3818" t="inlineStr">
        <is>
          <t>CT-e</t>
        </is>
      </c>
      <c r="G3818" t="inlineStr">
        <is>
          <t>000000690</t>
        </is>
      </c>
      <c r="H3818" t="inlineStr">
        <is>
          <t>REIMAG - REINALDO DOMINGUES BARROS DA SILVA</t>
        </is>
      </c>
      <c r="J3818" s="29" t="n">
        <v>266.67</v>
      </c>
      <c r="K3818" s="29">
        <f>(1-ISNUMBER(SEARCH("556",M3818)))*(O3818*SUMIFS(Premissas!$C$5:$C$44,Premissas!$A$5:$A$44,$A3818,Premissas!$B$5:$B$44,$B3818)+P3818*SUMIFS(Premissas!$D$5:$D$44,Premissas!$A$5:$A$44,$A3818,Premissas!$B$5:$B$44,$B3818))+R3818*SUMIFS(Premissas!$E$5:$E$44,Premissas!$A$5:$A$44,$A3818,Premissas!$B$5:$B$44,$B3818)+S3818*SUMIFS(Premissas!$F$5:$F$44,Premissas!$A$5:$A$44,$A3818,Premissas!$B$5:$B$44,$B3818)</f>
        <v/>
      </c>
      <c r="L3818" s="29">
        <f>J3818-K3818</f>
        <v/>
      </c>
      <c r="M3818" t="inlineStr">
        <is>
          <t>1.350</t>
        </is>
      </c>
      <c r="N3818" t="inlineStr">
        <is>
          <t>Modalidade: 0 - Por conta do remetente | Parte: JVS PRAZERES FESTAS LTDA (59.227.648/0001-48)</t>
        </is>
      </c>
      <c r="O3818" s="29" t="n">
        <v>0</v>
      </c>
      <c r="P3818" s="29" t="n">
        <v>0</v>
      </c>
      <c r="Q3818" s="29" t="n">
        <v>0</v>
      </c>
      <c r="R3818" s="29" t="n">
        <v>0</v>
      </c>
      <c r="S3818" s="29" t="n">
        <v>0</v>
      </c>
      <c r="T3818" t="inlineStr">
        <is>
          <t>25260639962724000151570010000006901571841702</t>
        </is>
      </c>
      <c r="U3818" t="inlineStr">
        <is>
          <t>Sim</t>
        </is>
      </c>
    </row>
    <row r="3819">
      <c r="A3819" t="inlineStr">
        <is>
          <t>Frete de venda</t>
        </is>
      </c>
      <c r="B3819" t="inlineStr">
        <is>
          <t>2.01.02 Frete sobre Vendas</t>
        </is>
      </c>
      <c r="C3819" s="30" t="n">
        <v>46174</v>
      </c>
      <c r="D3819" t="inlineStr">
        <is>
          <t>Em 2026</t>
        </is>
      </c>
      <c r="E3819" s="28" t="n">
        <v>46182</v>
      </c>
      <c r="F3819" t="inlineStr">
        <is>
          <t>CT-e</t>
        </is>
      </c>
      <c r="G3819" t="inlineStr">
        <is>
          <t>000000691</t>
        </is>
      </c>
      <c r="H3819" t="inlineStr">
        <is>
          <t>REIMAG - REINALDO DOMINGUES BARROS DA SILVA</t>
        </is>
      </c>
      <c r="J3819" s="29" t="n">
        <v>266.67</v>
      </c>
      <c r="K3819" s="29">
        <f>(1-ISNUMBER(SEARCH("556",M3819)))*(O3819*SUMIFS(Premissas!$C$5:$C$44,Premissas!$A$5:$A$44,$A3819,Premissas!$B$5:$B$44,$B3819)+P3819*SUMIFS(Premissas!$D$5:$D$44,Premissas!$A$5:$A$44,$A3819,Premissas!$B$5:$B$44,$B3819))+R3819*SUMIFS(Premissas!$E$5:$E$44,Premissas!$A$5:$A$44,$A3819,Premissas!$B$5:$B$44,$B3819)+S3819*SUMIFS(Premissas!$F$5:$F$44,Premissas!$A$5:$A$44,$A3819,Premissas!$B$5:$B$44,$B3819)</f>
        <v/>
      </c>
      <c r="L3819" s="29">
        <f>J3819-K3819</f>
        <v/>
      </c>
      <c r="M3819" t="inlineStr">
        <is>
          <t>1.350</t>
        </is>
      </c>
      <c r="N3819" t="inlineStr">
        <is>
          <t>Modalidade: 0 - Por conta do remetente | Parte: JRE FRIOS LTDA (20.737.827/0001-90)</t>
        </is>
      </c>
      <c r="O3819" s="29" t="n">
        <v>0</v>
      </c>
      <c r="P3819" s="29" t="n">
        <v>0</v>
      </c>
      <c r="Q3819" s="29" t="n">
        <v>0</v>
      </c>
      <c r="R3819" s="29" t="n">
        <v>0</v>
      </c>
      <c r="S3819" s="29" t="n">
        <v>0</v>
      </c>
      <c r="T3819" t="inlineStr">
        <is>
          <t>25260639962724000151570010000006911017540455</t>
        </is>
      </c>
      <c r="U3819" t="inlineStr">
        <is>
          <t>Sim</t>
        </is>
      </c>
    </row>
    <row r="3820">
      <c r="A3820" t="inlineStr">
        <is>
          <t>Frete de venda</t>
        </is>
      </c>
      <c r="B3820" t="inlineStr">
        <is>
          <t>2.01.02 Frete sobre Vendas</t>
        </is>
      </c>
      <c r="C3820" s="30" t="n">
        <v>46174</v>
      </c>
      <c r="D3820" t="inlineStr">
        <is>
          <t>Em 2026</t>
        </is>
      </c>
      <c r="E3820" s="28" t="n">
        <v>46182</v>
      </c>
      <c r="F3820" t="inlineStr">
        <is>
          <t>CT-e</t>
        </is>
      </c>
      <c r="G3820" t="inlineStr">
        <is>
          <t>000000692</t>
        </is>
      </c>
      <c r="H3820" t="inlineStr">
        <is>
          <t>REIMAG - REINALDO DOMINGUES BARROS DA SILVA</t>
        </is>
      </c>
      <c r="J3820" s="29" t="n">
        <v>275</v>
      </c>
      <c r="K3820" s="29">
        <f>(1-ISNUMBER(SEARCH("556",M3820)))*(O3820*SUMIFS(Premissas!$C$5:$C$44,Premissas!$A$5:$A$44,$A3820,Premissas!$B$5:$B$44,$B3820)+P3820*SUMIFS(Premissas!$D$5:$D$44,Premissas!$A$5:$A$44,$A3820,Premissas!$B$5:$B$44,$B3820))+R3820*SUMIFS(Premissas!$E$5:$E$44,Premissas!$A$5:$A$44,$A3820,Premissas!$B$5:$B$44,$B3820)+S3820*SUMIFS(Premissas!$F$5:$F$44,Premissas!$A$5:$A$44,$A3820,Premissas!$B$5:$B$44,$B3820)</f>
        <v/>
      </c>
      <c r="L3820" s="29">
        <f>J3820-K3820</f>
        <v/>
      </c>
      <c r="M3820" t="inlineStr">
        <is>
          <t>1.350</t>
        </is>
      </c>
      <c r="N3820" t="inlineStr">
        <is>
          <t>Modalidade: 0 - Por conta do remetente | Parte: A. ALVES MARTINS EMBALAGENS (52.898.497/0002-91)</t>
        </is>
      </c>
      <c r="O3820" s="29" t="n">
        <v>0</v>
      </c>
      <c r="P3820" s="29" t="n">
        <v>0</v>
      </c>
      <c r="Q3820" s="29" t="n">
        <v>0</v>
      </c>
      <c r="R3820" s="29" t="n">
        <v>0</v>
      </c>
      <c r="S3820" s="29" t="n">
        <v>0</v>
      </c>
      <c r="T3820" t="inlineStr">
        <is>
          <t>25260639962724000151570010000006921028200348</t>
        </is>
      </c>
      <c r="U3820" t="inlineStr">
        <is>
          <t>Sim</t>
        </is>
      </c>
    </row>
    <row r="3821">
      <c r="A3821" t="inlineStr">
        <is>
          <t>Frete de venda</t>
        </is>
      </c>
      <c r="B3821" t="inlineStr">
        <is>
          <t>2.01.02 Frete sobre Vendas</t>
        </is>
      </c>
      <c r="C3821" s="30" t="n">
        <v>46174</v>
      </c>
      <c r="D3821" t="inlineStr">
        <is>
          <t>Em 2026</t>
        </is>
      </c>
      <c r="E3821" s="28" t="n">
        <v>46182</v>
      </c>
      <c r="F3821" t="inlineStr">
        <is>
          <t>CT-e</t>
        </is>
      </c>
      <c r="G3821" t="inlineStr">
        <is>
          <t>000000693</t>
        </is>
      </c>
      <c r="H3821" t="inlineStr">
        <is>
          <t>REIMAG - REINALDO DOMINGUES BARROS DA SILVA</t>
        </is>
      </c>
      <c r="J3821" s="29" t="n">
        <v>275</v>
      </c>
      <c r="K3821" s="29">
        <f>(1-ISNUMBER(SEARCH("556",M3821)))*(O3821*SUMIFS(Premissas!$C$5:$C$44,Premissas!$A$5:$A$44,$A3821,Premissas!$B$5:$B$44,$B3821)+P3821*SUMIFS(Premissas!$D$5:$D$44,Premissas!$A$5:$A$44,$A3821,Premissas!$B$5:$B$44,$B3821))+R3821*SUMIFS(Premissas!$E$5:$E$44,Premissas!$A$5:$A$44,$A3821,Premissas!$B$5:$B$44,$B3821)+S3821*SUMIFS(Premissas!$F$5:$F$44,Premissas!$A$5:$A$44,$A3821,Premissas!$B$5:$B$44,$B3821)</f>
        <v/>
      </c>
      <c r="L3821" s="29">
        <f>J3821-K3821</f>
        <v/>
      </c>
      <c r="M3821" t="inlineStr">
        <is>
          <t>1.350</t>
        </is>
      </c>
      <c r="N3821" t="inlineStr">
        <is>
          <t>Modalidade: 0 - Por conta do remetente | Parte: CEPLAL COMERCIO DE EMBALAGENS PLASTICAS E PAPEIS LTDA (24.141.350/0001-36)</t>
        </is>
      </c>
      <c r="O3821" s="29" t="n">
        <v>0</v>
      </c>
      <c r="P3821" s="29" t="n">
        <v>0</v>
      </c>
      <c r="Q3821" s="29" t="n">
        <v>0</v>
      </c>
      <c r="R3821" s="29" t="n">
        <v>0</v>
      </c>
      <c r="S3821" s="29" t="n">
        <v>0</v>
      </c>
      <c r="T3821" t="inlineStr">
        <is>
          <t>25260639962724000151570010000006931594685709</t>
        </is>
      </c>
      <c r="U3821" t="inlineStr">
        <is>
          <t>Sim</t>
        </is>
      </c>
    </row>
    <row r="3822">
      <c r="A3822" t="inlineStr">
        <is>
          <t>Frete de venda</t>
        </is>
      </c>
      <c r="B3822" t="inlineStr">
        <is>
          <t>2.01.02 Frete sobre Vendas</t>
        </is>
      </c>
      <c r="C3822" s="30" t="n">
        <v>46174</v>
      </c>
      <c r="D3822" t="inlineStr">
        <is>
          <t>Em 2026</t>
        </is>
      </c>
      <c r="E3822" s="28" t="n">
        <v>46182</v>
      </c>
      <c r="F3822" t="inlineStr">
        <is>
          <t>CT-e</t>
        </is>
      </c>
      <c r="G3822" t="inlineStr">
        <is>
          <t>000000694</t>
        </is>
      </c>
      <c r="H3822" t="inlineStr">
        <is>
          <t>REIMAG - REINALDO DOMINGUES BARROS DA SILVA</t>
        </is>
      </c>
      <c r="J3822" s="29" t="n">
        <v>275</v>
      </c>
      <c r="K3822" s="29">
        <f>(1-ISNUMBER(SEARCH("556",M3822)))*(O3822*SUMIFS(Premissas!$C$5:$C$44,Premissas!$A$5:$A$44,$A3822,Premissas!$B$5:$B$44,$B3822)+P3822*SUMIFS(Premissas!$D$5:$D$44,Premissas!$A$5:$A$44,$A3822,Premissas!$B$5:$B$44,$B3822))+R3822*SUMIFS(Premissas!$E$5:$E$44,Premissas!$A$5:$A$44,$A3822,Premissas!$B$5:$B$44,$B3822)+S3822*SUMIFS(Premissas!$F$5:$F$44,Premissas!$A$5:$A$44,$A3822,Premissas!$B$5:$B$44,$B3822)</f>
        <v/>
      </c>
      <c r="L3822" s="29">
        <f>J3822-K3822</f>
        <v/>
      </c>
      <c r="M3822" t="inlineStr">
        <is>
          <t>1.350</t>
        </is>
      </c>
      <c r="N3822" t="inlineStr">
        <is>
          <t>Modalidade: 0 - Por conta do remetente | Parte: SOUZA MARTINS EMBALAGENS LTDA (55.411.236/0001-02)</t>
        </is>
      </c>
      <c r="O3822" s="29" t="n">
        <v>0</v>
      </c>
      <c r="P3822" s="29" t="n">
        <v>0</v>
      </c>
      <c r="Q3822" s="29" t="n">
        <v>0</v>
      </c>
      <c r="R3822" s="29" t="n">
        <v>0</v>
      </c>
      <c r="S3822" s="29" t="n">
        <v>0</v>
      </c>
      <c r="T3822" t="inlineStr">
        <is>
          <t>25260639962724000151570010000006941731430534</t>
        </is>
      </c>
      <c r="U3822" t="inlineStr">
        <is>
          <t>Sim</t>
        </is>
      </c>
    </row>
    <row r="3823">
      <c r="A3823" t="inlineStr">
        <is>
          <t>Frete de venda</t>
        </is>
      </c>
      <c r="B3823" t="inlineStr">
        <is>
          <t>2.01.02 Frete sobre Vendas</t>
        </is>
      </c>
      <c r="C3823" s="30" t="n">
        <v>46174</v>
      </c>
      <c r="D3823" t="inlineStr">
        <is>
          <t>Em 2026</t>
        </is>
      </c>
      <c r="E3823" s="28" t="n">
        <v>46182</v>
      </c>
      <c r="F3823" t="inlineStr">
        <is>
          <t>CT-e</t>
        </is>
      </c>
      <c r="G3823" t="inlineStr">
        <is>
          <t>000000695</t>
        </is>
      </c>
      <c r="H3823" t="inlineStr">
        <is>
          <t>REIMAG - REINALDO DOMINGUES BARROS DA SILVA</t>
        </is>
      </c>
      <c r="J3823" s="29" t="n">
        <v>275</v>
      </c>
      <c r="K3823" s="29">
        <f>(1-ISNUMBER(SEARCH("556",M3823)))*(O3823*SUMIFS(Premissas!$C$5:$C$44,Premissas!$A$5:$A$44,$A3823,Premissas!$B$5:$B$44,$B3823)+P3823*SUMIFS(Premissas!$D$5:$D$44,Premissas!$A$5:$A$44,$A3823,Premissas!$B$5:$B$44,$B3823))+R3823*SUMIFS(Premissas!$E$5:$E$44,Premissas!$A$5:$A$44,$A3823,Premissas!$B$5:$B$44,$B3823)+S3823*SUMIFS(Premissas!$F$5:$F$44,Premissas!$A$5:$A$44,$A3823,Premissas!$B$5:$B$44,$B3823)</f>
        <v/>
      </c>
      <c r="L3823" s="29">
        <f>J3823-K3823</f>
        <v/>
      </c>
      <c r="M3823" t="inlineStr">
        <is>
          <t>1.350</t>
        </is>
      </c>
      <c r="N3823" t="inlineStr">
        <is>
          <t>Modalidade: 0 - Por conta do remetente | Parte: G1 DISTRIBUIDORA DE PRODUTOS FARMACEUTICOS LTDA (23.837.936/0002-58)</t>
        </is>
      </c>
      <c r="O3823" s="29" t="n">
        <v>0</v>
      </c>
      <c r="P3823" s="29" t="n">
        <v>0</v>
      </c>
      <c r="Q3823" s="29" t="n">
        <v>0</v>
      </c>
      <c r="R3823" s="29" t="n">
        <v>0</v>
      </c>
      <c r="S3823" s="29" t="n">
        <v>0</v>
      </c>
      <c r="T3823" t="inlineStr">
        <is>
          <t>25260639962724000151570010000006951765734223</t>
        </is>
      </c>
      <c r="U3823" t="inlineStr">
        <is>
          <t>Sim</t>
        </is>
      </c>
    </row>
    <row r="3824">
      <c r="A3824" t="inlineStr">
        <is>
          <t>Frete de venda</t>
        </is>
      </c>
      <c r="B3824" t="inlineStr">
        <is>
          <t>2.01.02 Frete sobre Vendas</t>
        </is>
      </c>
      <c r="C3824" s="30" t="n">
        <v>46174</v>
      </c>
      <c r="D3824" t="inlineStr">
        <is>
          <t>Em 2026</t>
        </is>
      </c>
      <c r="E3824" s="28" t="n">
        <v>46184</v>
      </c>
      <c r="F3824" t="inlineStr">
        <is>
          <t>CT-e</t>
        </is>
      </c>
      <c r="G3824" t="inlineStr">
        <is>
          <t>000000697</t>
        </is>
      </c>
      <c r="H3824" t="inlineStr">
        <is>
          <t>REIMAG - REINALDO DOMINGUES BARROS DA SILVA</t>
        </is>
      </c>
      <c r="J3824" s="29" t="n">
        <v>400</v>
      </c>
      <c r="K3824" s="29">
        <f>(1-ISNUMBER(SEARCH("556",M3824)))*(O3824*SUMIFS(Premissas!$C$5:$C$44,Premissas!$A$5:$A$44,$A3824,Premissas!$B$5:$B$44,$B3824)+P3824*SUMIFS(Premissas!$D$5:$D$44,Premissas!$A$5:$A$44,$A3824,Premissas!$B$5:$B$44,$B3824))+R3824*SUMIFS(Premissas!$E$5:$E$44,Premissas!$A$5:$A$44,$A3824,Premissas!$B$5:$B$44,$B3824)+S3824*SUMIFS(Premissas!$F$5:$F$44,Premissas!$A$5:$A$44,$A3824,Premissas!$B$5:$B$44,$B3824)</f>
        <v/>
      </c>
      <c r="L3824" s="29">
        <f>J3824-K3824</f>
        <v/>
      </c>
      <c r="M3824" t="inlineStr">
        <is>
          <t>1.350</t>
        </is>
      </c>
      <c r="N3824" t="inlineStr">
        <is>
          <t>Modalidade: 0 - Por conta do remetente | Parte: FSCG RESTAURANTE E LANCHONETE LTDA (21.606.897/0001-71)</t>
        </is>
      </c>
      <c r="O3824" s="29" t="n">
        <v>0</v>
      </c>
      <c r="P3824" s="29" t="n">
        <v>0</v>
      </c>
      <c r="Q3824" s="29" t="n">
        <v>0</v>
      </c>
      <c r="R3824" s="29" t="n">
        <v>0</v>
      </c>
      <c r="S3824" s="29" t="n">
        <v>0</v>
      </c>
      <c r="T3824" t="inlineStr">
        <is>
          <t>25260639962724000151570010000006971499290807</t>
        </is>
      </c>
      <c r="U3824" t="inlineStr">
        <is>
          <t>Sim</t>
        </is>
      </c>
    </row>
    <row r="3825">
      <c r="A3825" t="inlineStr">
        <is>
          <t>Frete de venda</t>
        </is>
      </c>
      <c r="B3825" t="inlineStr">
        <is>
          <t>2.01.02 Frete sobre Vendas</t>
        </is>
      </c>
      <c r="C3825" s="30" t="n">
        <v>46174</v>
      </c>
      <c r="D3825" t="inlineStr">
        <is>
          <t>Em 2026</t>
        </is>
      </c>
      <c r="E3825" s="28" t="n">
        <v>46184</v>
      </c>
      <c r="F3825" t="inlineStr">
        <is>
          <t>CT-e</t>
        </is>
      </c>
      <c r="G3825" t="inlineStr">
        <is>
          <t>000000698</t>
        </is>
      </c>
      <c r="H3825" t="inlineStr">
        <is>
          <t>REIMAG - REINALDO DOMINGUES BARROS DA SILVA</t>
        </is>
      </c>
      <c r="J3825" s="29" t="n">
        <v>400</v>
      </c>
      <c r="K3825" s="29">
        <f>(1-ISNUMBER(SEARCH("556",M3825)))*(O3825*SUMIFS(Premissas!$C$5:$C$44,Premissas!$A$5:$A$44,$A3825,Premissas!$B$5:$B$44,$B3825)+P3825*SUMIFS(Premissas!$D$5:$D$44,Premissas!$A$5:$A$44,$A3825,Premissas!$B$5:$B$44,$B3825))+R3825*SUMIFS(Premissas!$E$5:$E$44,Premissas!$A$5:$A$44,$A3825,Premissas!$B$5:$B$44,$B3825)+S3825*SUMIFS(Premissas!$F$5:$F$44,Premissas!$A$5:$A$44,$A3825,Premissas!$B$5:$B$44,$B3825)</f>
        <v/>
      </c>
      <c r="L3825" s="29">
        <f>J3825-K3825</f>
        <v/>
      </c>
      <c r="M3825" t="inlineStr">
        <is>
          <t>1.350</t>
        </is>
      </c>
      <c r="N3825" t="inlineStr">
        <is>
          <t>Modalidade: 0 - Por conta do remetente | Parte: M X COMERCIO E SERVICOS LTDA (11.028.612/0001-09)</t>
        </is>
      </c>
      <c r="O3825" s="29" t="n">
        <v>0</v>
      </c>
      <c r="P3825" s="29" t="n">
        <v>0</v>
      </c>
      <c r="Q3825" s="29" t="n">
        <v>0</v>
      </c>
      <c r="R3825" s="29" t="n">
        <v>0</v>
      </c>
      <c r="S3825" s="29" t="n">
        <v>0</v>
      </c>
      <c r="T3825" t="inlineStr">
        <is>
          <t>25260639962724000151570010000006981825210235</t>
        </is>
      </c>
      <c r="U3825" t="inlineStr">
        <is>
          <t>Sim</t>
        </is>
      </c>
    </row>
    <row r="3826">
      <c r="A3826" t="inlineStr">
        <is>
          <t>Frete de venda</t>
        </is>
      </c>
      <c r="B3826" t="inlineStr">
        <is>
          <t>2.01.02 Frete sobre Vendas</t>
        </is>
      </c>
      <c r="C3826" s="30" t="n">
        <v>46174</v>
      </c>
      <c r="D3826" t="inlineStr">
        <is>
          <t>Em 2026</t>
        </is>
      </c>
      <c r="E3826" s="28" t="n">
        <v>46188</v>
      </c>
      <c r="F3826" t="inlineStr">
        <is>
          <t>CT-e</t>
        </is>
      </c>
      <c r="G3826" t="inlineStr">
        <is>
          <t>000000700</t>
        </is>
      </c>
      <c r="H3826" t="inlineStr">
        <is>
          <t>REIMAG - REINALDO DOMINGUES BARROS DA SILVA</t>
        </is>
      </c>
      <c r="J3826" s="29" t="n">
        <v>350</v>
      </c>
      <c r="K3826" s="29">
        <f>(1-ISNUMBER(SEARCH("556",M3826)))*(O3826*SUMIFS(Premissas!$C$5:$C$44,Premissas!$A$5:$A$44,$A3826,Premissas!$B$5:$B$44,$B3826)+P3826*SUMIFS(Premissas!$D$5:$D$44,Premissas!$A$5:$A$44,$A3826,Premissas!$B$5:$B$44,$B3826))+R3826*SUMIFS(Premissas!$E$5:$E$44,Premissas!$A$5:$A$44,$A3826,Premissas!$B$5:$B$44,$B3826)+S3826*SUMIFS(Premissas!$F$5:$F$44,Premissas!$A$5:$A$44,$A3826,Premissas!$B$5:$B$44,$B3826)</f>
        <v/>
      </c>
      <c r="L3826" s="29">
        <f>J3826-K3826</f>
        <v/>
      </c>
      <c r="M3826" t="inlineStr">
        <is>
          <t>1.350</t>
        </is>
      </c>
      <c r="N3826" t="inlineStr">
        <is>
          <t>Modalidade: 0 - Por conta do remetente | Parte: MAIN COMERCIO DE DESCARTAVEIS EIRELI (32.422.584/0001-80)</t>
        </is>
      </c>
      <c r="O3826" s="29" t="n">
        <v>0</v>
      </c>
      <c r="P3826" s="29" t="n">
        <v>0</v>
      </c>
      <c r="Q3826" s="29" t="n">
        <v>0</v>
      </c>
      <c r="R3826" s="29" t="n">
        <v>0</v>
      </c>
      <c r="S3826" s="29" t="n">
        <v>0</v>
      </c>
      <c r="T3826" t="inlineStr">
        <is>
          <t>25260639962724000151570010000007001319792288</t>
        </is>
      </c>
      <c r="U3826" t="inlineStr">
        <is>
          <t>Sim</t>
        </is>
      </c>
    </row>
    <row r="3827">
      <c r="A3827" t="inlineStr">
        <is>
          <t>Frete de venda</t>
        </is>
      </c>
      <c r="B3827" t="inlineStr">
        <is>
          <t>2.01.02 Frete sobre Vendas</t>
        </is>
      </c>
      <c r="C3827" s="30" t="n">
        <v>46174</v>
      </c>
      <c r="D3827" t="inlineStr">
        <is>
          <t>Em 2026</t>
        </is>
      </c>
      <c r="E3827" s="28" t="n">
        <v>46190</v>
      </c>
      <c r="F3827" t="inlineStr">
        <is>
          <t>CT-e</t>
        </is>
      </c>
      <c r="G3827" t="inlineStr">
        <is>
          <t>000000702</t>
        </is>
      </c>
      <c r="H3827" t="inlineStr">
        <is>
          <t>REIMAG - REINALDO DOMINGUES BARROS DA SILVA</t>
        </is>
      </c>
      <c r="J3827" s="29" t="n">
        <v>800</v>
      </c>
      <c r="K3827" s="29">
        <f>(1-ISNUMBER(SEARCH("556",M3827)))*(O3827*SUMIFS(Premissas!$C$5:$C$44,Premissas!$A$5:$A$44,$A3827,Premissas!$B$5:$B$44,$B3827)+P3827*SUMIFS(Premissas!$D$5:$D$44,Premissas!$A$5:$A$44,$A3827,Premissas!$B$5:$B$44,$B3827))+R3827*SUMIFS(Premissas!$E$5:$E$44,Premissas!$A$5:$A$44,$A3827,Premissas!$B$5:$B$44,$B3827)+S3827*SUMIFS(Premissas!$F$5:$F$44,Premissas!$A$5:$A$44,$A3827,Premissas!$B$5:$B$44,$B3827)</f>
        <v/>
      </c>
      <c r="L3827" s="29">
        <f>J3827-K3827</f>
        <v/>
      </c>
      <c r="M3827" t="inlineStr">
        <is>
          <t>1.350</t>
        </is>
      </c>
      <c r="N3827" t="inlineStr">
        <is>
          <t>Modalidade: 0 - Por conta do remetente | Parte: PRASO PLATAFORMA DE COMERCIO LTDA. (42.434.646/0003-99)</t>
        </is>
      </c>
      <c r="O3827" s="29" t="n">
        <v>0</v>
      </c>
      <c r="P3827" s="29" t="n">
        <v>0</v>
      </c>
      <c r="Q3827" s="29" t="n">
        <v>0</v>
      </c>
      <c r="R3827" s="29" t="n">
        <v>0</v>
      </c>
      <c r="S3827" s="29" t="n">
        <v>0</v>
      </c>
      <c r="T3827" t="inlineStr">
        <is>
          <t>25260639962724000151570010000007021752760367</t>
        </is>
      </c>
      <c r="U3827" t="inlineStr">
        <is>
          <t>Sim</t>
        </is>
      </c>
    </row>
    <row r="3828">
      <c r="A3828" t="inlineStr">
        <is>
          <t>Frete de venda</t>
        </is>
      </c>
      <c r="B3828" t="inlineStr">
        <is>
          <t>2.01.02 Frete sobre Vendas</t>
        </is>
      </c>
      <c r="C3828" s="30" t="n">
        <v>46174</v>
      </c>
      <c r="D3828" t="inlineStr">
        <is>
          <t>Em 2026</t>
        </is>
      </c>
      <c r="E3828" s="28" t="n">
        <v>46196</v>
      </c>
      <c r="F3828" t="inlineStr">
        <is>
          <t>CT-e</t>
        </is>
      </c>
      <c r="G3828" t="inlineStr">
        <is>
          <t>000000703</t>
        </is>
      </c>
      <c r="H3828" t="inlineStr">
        <is>
          <t>REIMAG - REINALDO DOMINGUES BARROS DA SILVA</t>
        </is>
      </c>
      <c r="J3828" s="29" t="n">
        <v>400</v>
      </c>
      <c r="K3828" s="29">
        <f>(1-ISNUMBER(SEARCH("556",M3828)))*(O3828*SUMIFS(Premissas!$C$5:$C$44,Premissas!$A$5:$A$44,$A3828,Premissas!$B$5:$B$44,$B3828)+P3828*SUMIFS(Premissas!$D$5:$D$44,Premissas!$A$5:$A$44,$A3828,Premissas!$B$5:$B$44,$B3828))+R3828*SUMIFS(Premissas!$E$5:$E$44,Premissas!$A$5:$A$44,$A3828,Premissas!$B$5:$B$44,$B3828)+S3828*SUMIFS(Premissas!$F$5:$F$44,Premissas!$A$5:$A$44,$A3828,Premissas!$B$5:$B$44,$B3828)</f>
        <v/>
      </c>
      <c r="L3828" s="29">
        <f>J3828-K3828</f>
        <v/>
      </c>
      <c r="M3828" t="inlineStr">
        <is>
          <t>1.350</t>
        </is>
      </c>
      <c r="N3828" t="inlineStr">
        <is>
          <t>Modalidade: 0 - Por conta do remetente | Parte: VILA COMERCIO DE FRIOS LTDA (33.787.186/0003-91)</t>
        </is>
      </c>
      <c r="O3828" s="29" t="n">
        <v>0</v>
      </c>
      <c r="P3828" s="29" t="n">
        <v>0</v>
      </c>
      <c r="Q3828" s="29" t="n">
        <v>0</v>
      </c>
      <c r="R3828" s="29" t="n">
        <v>0</v>
      </c>
      <c r="S3828" s="29" t="n">
        <v>0</v>
      </c>
      <c r="T3828" t="inlineStr">
        <is>
          <t>25260639962724000151570010000007031691728148</t>
        </is>
      </c>
      <c r="U3828" t="inlineStr">
        <is>
          <t>Sim</t>
        </is>
      </c>
    </row>
    <row r="3829">
      <c r="A3829" t="inlineStr">
        <is>
          <t>Frete de venda</t>
        </is>
      </c>
      <c r="B3829" t="inlineStr">
        <is>
          <t>2.01.02 Frete sobre Vendas</t>
        </is>
      </c>
      <c r="C3829" s="30" t="n">
        <v>46174</v>
      </c>
      <c r="D3829" t="inlineStr">
        <is>
          <t>Em 2026</t>
        </is>
      </c>
      <c r="E3829" s="28" t="n">
        <v>46196</v>
      </c>
      <c r="F3829" t="inlineStr">
        <is>
          <t>CT-e</t>
        </is>
      </c>
      <c r="G3829" t="inlineStr">
        <is>
          <t>000000704</t>
        </is>
      </c>
      <c r="H3829" t="inlineStr">
        <is>
          <t>REIMAG - REINALDO DOMINGUES BARROS DA SILVA</t>
        </is>
      </c>
      <c r="J3829" s="29" t="n">
        <v>400</v>
      </c>
      <c r="K3829" s="29">
        <f>(1-ISNUMBER(SEARCH("556",M3829)))*(O3829*SUMIFS(Premissas!$C$5:$C$44,Premissas!$A$5:$A$44,$A3829,Premissas!$B$5:$B$44,$B3829)+P3829*SUMIFS(Premissas!$D$5:$D$44,Premissas!$A$5:$A$44,$A3829,Premissas!$B$5:$B$44,$B3829))+R3829*SUMIFS(Premissas!$E$5:$E$44,Premissas!$A$5:$A$44,$A3829,Premissas!$B$5:$B$44,$B3829)+S3829*SUMIFS(Premissas!$F$5:$F$44,Premissas!$A$5:$A$44,$A3829,Premissas!$B$5:$B$44,$B3829)</f>
        <v/>
      </c>
      <c r="L3829" s="29">
        <f>J3829-K3829</f>
        <v/>
      </c>
      <c r="M3829" t="inlineStr">
        <is>
          <t>1.350</t>
        </is>
      </c>
      <c r="N3829" t="inlineStr">
        <is>
          <t>Modalidade: 0 - Por conta do remetente | Parte: EDUARDO V G DA COSTA (33.251.648/0001-90)</t>
        </is>
      </c>
      <c r="O3829" s="29" t="n">
        <v>0</v>
      </c>
      <c r="P3829" s="29" t="n">
        <v>0</v>
      </c>
      <c r="Q3829" s="29" t="n">
        <v>0</v>
      </c>
      <c r="R3829" s="29" t="n">
        <v>0</v>
      </c>
      <c r="S3829" s="29" t="n">
        <v>0</v>
      </c>
      <c r="T3829" t="inlineStr">
        <is>
          <t>25260639962724000151570010000007041455485285</t>
        </is>
      </c>
      <c r="U3829" t="inlineStr">
        <is>
          <t>Sim</t>
        </is>
      </c>
    </row>
    <row r="3830">
      <c r="A3830" t="inlineStr">
        <is>
          <t>Frete de venda</t>
        </is>
      </c>
      <c r="B3830" t="inlineStr">
        <is>
          <t>2.01.02 Frete sobre Vendas</t>
        </is>
      </c>
      <c r="C3830" s="30" t="n">
        <v>46174</v>
      </c>
      <c r="D3830" t="inlineStr">
        <is>
          <t>Em 2026</t>
        </is>
      </c>
      <c r="E3830" s="28" t="n">
        <v>46203</v>
      </c>
      <c r="F3830" t="inlineStr">
        <is>
          <t>CT-e</t>
        </is>
      </c>
      <c r="G3830" t="inlineStr">
        <is>
          <t>000000706</t>
        </is>
      </c>
      <c r="H3830" t="inlineStr">
        <is>
          <t>REIMAG - REINALDO DOMINGUES BARROS DA SILVA</t>
        </is>
      </c>
      <c r="J3830" s="29" t="n">
        <v>850</v>
      </c>
      <c r="K3830" s="29">
        <f>(1-ISNUMBER(SEARCH("556",M3830)))*(O3830*SUMIFS(Premissas!$C$5:$C$44,Premissas!$A$5:$A$44,$A3830,Premissas!$B$5:$B$44,$B3830)+P3830*SUMIFS(Premissas!$D$5:$D$44,Premissas!$A$5:$A$44,$A3830,Premissas!$B$5:$B$44,$B3830))+R3830*SUMIFS(Premissas!$E$5:$E$44,Premissas!$A$5:$A$44,$A3830,Premissas!$B$5:$B$44,$B3830)+S3830*SUMIFS(Premissas!$F$5:$F$44,Premissas!$A$5:$A$44,$A3830,Premissas!$B$5:$B$44,$B3830)</f>
        <v/>
      </c>
      <c r="L3830" s="29">
        <f>J3830-K3830</f>
        <v/>
      </c>
      <c r="M3830" t="inlineStr">
        <is>
          <t>2.350</t>
        </is>
      </c>
      <c r="N3830" t="inlineStr">
        <is>
          <t>Modalidade: 0 - Por conta do remetente | Parte: F D COMERCIO DE DESCARTAVEIS LTDA (36.156.444/0001-68)</t>
        </is>
      </c>
      <c r="O3830" s="29" t="n">
        <v>0</v>
      </c>
      <c r="P3830" s="29" t="n">
        <v>0</v>
      </c>
      <c r="Q3830" s="29" t="n">
        <v>0</v>
      </c>
      <c r="R3830" s="29" t="n">
        <v>0</v>
      </c>
      <c r="S3830" s="29" t="n">
        <v>0</v>
      </c>
      <c r="T3830" t="inlineStr">
        <is>
          <t>25260639962724000151570010000007061533948394</t>
        </is>
      </c>
      <c r="U3830" t="inlineStr">
        <is>
          <t>Sim</t>
        </is>
      </c>
    </row>
    <row r="3831">
      <c r="A3831" t="inlineStr">
        <is>
          <t>Frete de venda</t>
        </is>
      </c>
      <c r="B3831" t="inlineStr">
        <is>
          <t>2.01.02 Frete sobre Vendas</t>
        </is>
      </c>
      <c r="C3831" s="30" t="n">
        <v>46174</v>
      </c>
      <c r="D3831" t="inlineStr">
        <is>
          <t>Em 2026</t>
        </is>
      </c>
      <c r="E3831" s="28" t="n">
        <v>46203</v>
      </c>
      <c r="F3831" t="inlineStr">
        <is>
          <t>CT-e</t>
        </is>
      </c>
      <c r="G3831" t="inlineStr">
        <is>
          <t>000000707</t>
        </is>
      </c>
      <c r="H3831" t="inlineStr">
        <is>
          <t>REIMAG - REINALDO DOMINGUES BARROS DA SILVA</t>
        </is>
      </c>
      <c r="J3831" s="29" t="n">
        <v>850</v>
      </c>
      <c r="K3831" s="29">
        <f>(1-ISNUMBER(SEARCH("556",M3831)))*(O3831*SUMIFS(Premissas!$C$5:$C$44,Premissas!$A$5:$A$44,$A3831,Premissas!$B$5:$B$44,$B3831)+P3831*SUMIFS(Premissas!$D$5:$D$44,Premissas!$A$5:$A$44,$A3831,Premissas!$B$5:$B$44,$B3831))+R3831*SUMIFS(Premissas!$E$5:$E$44,Premissas!$A$5:$A$44,$A3831,Premissas!$B$5:$B$44,$B3831)+S3831*SUMIFS(Premissas!$F$5:$F$44,Premissas!$A$5:$A$44,$A3831,Premissas!$B$5:$B$44,$B3831)</f>
        <v/>
      </c>
      <c r="L3831" s="29">
        <f>J3831-K3831</f>
        <v/>
      </c>
      <c r="M3831" t="inlineStr">
        <is>
          <t>2.350</t>
        </is>
      </c>
      <c r="N3831" t="inlineStr">
        <is>
          <t>Modalidade: 0 - Por conta do remetente | Parte: PRECO BOM DISTRIBUIDORA DE PANIFICACAO LTDA (56.319.435/0001-58)</t>
        </is>
      </c>
      <c r="O3831" s="29" t="n">
        <v>0</v>
      </c>
      <c r="P3831" s="29" t="n">
        <v>0</v>
      </c>
      <c r="Q3831" s="29" t="n">
        <v>0</v>
      </c>
      <c r="R3831" s="29" t="n">
        <v>0</v>
      </c>
      <c r="S3831" s="29" t="n">
        <v>0</v>
      </c>
      <c r="T3831" t="inlineStr">
        <is>
          <t>25260639962724000151570010000007071749498769</t>
        </is>
      </c>
      <c r="U3831" t="inlineStr">
        <is>
          <t>Sim</t>
        </is>
      </c>
    </row>
    <row r="3832">
      <c r="A3832" t="inlineStr">
        <is>
          <t>Frete de venda</t>
        </is>
      </c>
      <c r="B3832" t="inlineStr">
        <is>
          <t>2.01.02 Frete sobre Vendas</t>
        </is>
      </c>
      <c r="C3832" s="30" t="n">
        <v>46174</v>
      </c>
      <c r="D3832" t="inlineStr">
        <is>
          <t>Em 2026</t>
        </is>
      </c>
      <c r="E3832" s="28" t="n">
        <v>46185</v>
      </c>
      <c r="F3832" t="inlineStr">
        <is>
          <t>CT-e</t>
        </is>
      </c>
      <c r="G3832" t="inlineStr">
        <is>
          <t>000024791</t>
        </is>
      </c>
      <c r="H3832" t="inlineStr">
        <is>
          <t>TRANSPORTE OLIVEIRA E MELLOI - IDEALIZA TRANSPORTES</t>
        </is>
      </c>
      <c r="J3832" s="29" t="n">
        <v>1017.08</v>
      </c>
      <c r="K3832" s="29">
        <f>(1-ISNUMBER(SEARCH("556",M3832)))*(O3832*SUMIFS(Premissas!$C$5:$C$44,Premissas!$A$5:$A$44,$A3832,Premissas!$B$5:$B$44,$B3832)+P3832*SUMIFS(Premissas!$D$5:$D$44,Premissas!$A$5:$A$44,$A3832,Premissas!$B$5:$B$44,$B3832))+R3832*SUMIFS(Premissas!$E$5:$E$44,Premissas!$A$5:$A$44,$A3832,Premissas!$B$5:$B$44,$B3832)+S3832*SUMIFS(Premissas!$F$5:$F$44,Premissas!$A$5:$A$44,$A3832,Premissas!$B$5:$B$44,$B3832)</f>
        <v/>
      </c>
      <c r="L3832" s="29">
        <f>J3832-K3832</f>
        <v/>
      </c>
      <c r="M3832" t="inlineStr">
        <is>
          <t>1.350</t>
        </is>
      </c>
      <c r="N3832" t="inlineStr">
        <is>
          <t>Modalidade: 0 - Por conta do remetente | Parte: A. S. MALAMAO LTDA (18.965.796/0001-82)</t>
        </is>
      </c>
      <c r="O3832" s="29" t="n">
        <v>0</v>
      </c>
      <c r="P3832" s="29" t="n">
        <v>122.05</v>
      </c>
      <c r="Q3832" s="29" t="n">
        <v>0</v>
      </c>
      <c r="R3832" s="29" t="n">
        <v>0</v>
      </c>
      <c r="S3832" s="29" t="n">
        <v>0</v>
      </c>
      <c r="T3832" t="inlineStr">
        <is>
          <t>15260620175042000170570010000247911000071530</t>
        </is>
      </c>
      <c r="U3832" t="inlineStr">
        <is>
          <t>Sim</t>
        </is>
      </c>
    </row>
    <row r="3833">
      <c r="A3833" t="inlineStr">
        <is>
          <t>Frete de venda</t>
        </is>
      </c>
      <c r="B3833" t="inlineStr">
        <is>
          <t>2.01.02 Frete sobre Vendas</t>
        </is>
      </c>
      <c r="C3833" s="30" t="n">
        <v>46174</v>
      </c>
      <c r="D3833" t="inlineStr">
        <is>
          <t>Em 2026</t>
        </is>
      </c>
      <c r="E3833" s="28" t="n">
        <v>46185</v>
      </c>
      <c r="F3833" t="inlineStr">
        <is>
          <t>CT-e</t>
        </is>
      </c>
      <c r="G3833" t="inlineStr">
        <is>
          <t>000024792</t>
        </is>
      </c>
      <c r="H3833" t="inlineStr">
        <is>
          <t>TRANSPORTE OLIVEIRA E MELLOI - IDEALIZA TRANSPORTES</t>
        </is>
      </c>
      <c r="J3833" s="29" t="n">
        <v>1673.11</v>
      </c>
      <c r="K3833" s="29">
        <f>(1-ISNUMBER(SEARCH("556",M3833)))*(O3833*SUMIFS(Premissas!$C$5:$C$44,Premissas!$A$5:$A$44,$A3833,Premissas!$B$5:$B$44,$B3833)+P3833*SUMIFS(Premissas!$D$5:$D$44,Premissas!$A$5:$A$44,$A3833,Premissas!$B$5:$B$44,$B3833))+R3833*SUMIFS(Premissas!$E$5:$E$44,Premissas!$A$5:$A$44,$A3833,Premissas!$B$5:$B$44,$B3833)+S3833*SUMIFS(Premissas!$F$5:$F$44,Premissas!$A$5:$A$44,$A3833,Premissas!$B$5:$B$44,$B3833)</f>
        <v/>
      </c>
      <c r="L3833" s="29">
        <f>J3833-K3833</f>
        <v/>
      </c>
      <c r="M3833" t="inlineStr">
        <is>
          <t>1.350</t>
        </is>
      </c>
      <c r="N3833" t="inlineStr">
        <is>
          <t>Modalidade: 0 - Por conta do remetente | Parte: R A DOS SANTOS BARBOSA LTDA (02.444.236/0001-42)</t>
        </is>
      </c>
      <c r="O3833" s="29" t="n">
        <v>0</v>
      </c>
      <c r="P3833" s="29" t="n">
        <v>200.77</v>
      </c>
      <c r="Q3833" s="29" t="n">
        <v>0</v>
      </c>
      <c r="R3833" s="29" t="n">
        <v>0</v>
      </c>
      <c r="S3833" s="29" t="n">
        <v>0</v>
      </c>
      <c r="T3833" t="inlineStr">
        <is>
          <t>15260620175042000170570010000247921000071545</t>
        </is>
      </c>
      <c r="U3833" t="inlineStr">
        <is>
          <t>Sim</t>
        </is>
      </c>
    </row>
    <row r="3834">
      <c r="A3834" t="inlineStr">
        <is>
          <t>Frete de venda</t>
        </is>
      </c>
      <c r="B3834" t="inlineStr">
        <is>
          <t>2.01.02 Frete sobre Vendas</t>
        </is>
      </c>
      <c r="C3834" s="30" t="n">
        <v>46174</v>
      </c>
      <c r="D3834" t="inlineStr">
        <is>
          <t>Em 2026</t>
        </is>
      </c>
      <c r="E3834" s="28" t="n">
        <v>46185</v>
      </c>
      <c r="F3834" t="inlineStr">
        <is>
          <t>CT-e</t>
        </is>
      </c>
      <c r="G3834" t="inlineStr">
        <is>
          <t>000024793</t>
        </is>
      </c>
      <c r="H3834" t="inlineStr">
        <is>
          <t>TRANSPORTE OLIVEIRA E MELLOI - IDEALIZA TRANSPORTES</t>
        </is>
      </c>
      <c r="J3834" s="29" t="n">
        <v>651.2</v>
      </c>
      <c r="K3834" s="29">
        <f>(1-ISNUMBER(SEARCH("556",M3834)))*(O3834*SUMIFS(Premissas!$C$5:$C$44,Premissas!$A$5:$A$44,$A3834,Premissas!$B$5:$B$44,$B3834)+P3834*SUMIFS(Premissas!$D$5:$D$44,Premissas!$A$5:$A$44,$A3834,Premissas!$B$5:$B$44,$B3834))+R3834*SUMIFS(Premissas!$E$5:$E$44,Premissas!$A$5:$A$44,$A3834,Premissas!$B$5:$B$44,$B3834)+S3834*SUMIFS(Premissas!$F$5:$F$44,Premissas!$A$5:$A$44,$A3834,Premissas!$B$5:$B$44,$B3834)</f>
        <v/>
      </c>
      <c r="L3834" s="29">
        <f>J3834-K3834</f>
        <v/>
      </c>
      <c r="M3834" t="inlineStr">
        <is>
          <t>1.350</t>
        </is>
      </c>
      <c r="N3834" t="inlineStr">
        <is>
          <t>Modalidade: 0 - Por conta do remetente | Parte: LIDER INDUSTRIA E COMERCIO LTDA (45.762.979/0001-73)</t>
        </is>
      </c>
      <c r="O3834" s="29" t="n">
        <v>0</v>
      </c>
      <c r="P3834" s="29" t="n">
        <v>78.14</v>
      </c>
      <c r="Q3834" s="29" t="n">
        <v>0</v>
      </c>
      <c r="R3834" s="29" t="n">
        <v>0</v>
      </c>
      <c r="S3834" s="29" t="n">
        <v>0</v>
      </c>
      <c r="T3834" t="inlineStr">
        <is>
          <t>15260620175042000170570010000247931000071550</t>
        </is>
      </c>
      <c r="U3834" t="inlineStr">
        <is>
          <t>Sim</t>
        </is>
      </c>
    </row>
    <row r="3835">
      <c r="A3835" t="inlineStr">
        <is>
          <t>Frete de venda</t>
        </is>
      </c>
      <c r="B3835" t="inlineStr">
        <is>
          <t>2.01.02 Frete sobre Vendas</t>
        </is>
      </c>
      <c r="C3835" s="30" t="n">
        <v>46204</v>
      </c>
      <c r="D3835" t="inlineStr">
        <is>
          <t>Em 2026</t>
        </is>
      </c>
      <c r="E3835" s="28" t="n">
        <v>46205</v>
      </c>
      <c r="F3835" t="inlineStr">
        <is>
          <t>CT-e</t>
        </is>
      </c>
      <c r="G3835" t="inlineStr">
        <is>
          <t>000001149</t>
        </is>
      </c>
      <c r="H3835" t="inlineStr">
        <is>
          <t>ADIL CARLOS DA SILVA</t>
        </is>
      </c>
      <c r="J3835" s="29" t="n">
        <v>1</v>
      </c>
      <c r="K3835" s="29">
        <f>(1-ISNUMBER(SEARCH("556",M3835)))*(O3835*SUMIFS(Premissas!$C$5:$C$44,Premissas!$A$5:$A$44,$A3835,Premissas!$B$5:$B$44,$B3835)+P3835*SUMIFS(Premissas!$D$5:$D$44,Premissas!$A$5:$A$44,$A3835,Premissas!$B$5:$B$44,$B3835))+R3835*SUMIFS(Premissas!$E$5:$E$44,Premissas!$A$5:$A$44,$A3835,Premissas!$B$5:$B$44,$B3835)+S3835*SUMIFS(Premissas!$F$5:$F$44,Premissas!$A$5:$A$44,$A3835,Premissas!$B$5:$B$44,$B3835)</f>
        <v/>
      </c>
      <c r="L3835" s="29">
        <f>J3835-K3835</f>
        <v/>
      </c>
      <c r="M3835" t="inlineStr">
        <is>
          <t>2.350</t>
        </is>
      </c>
      <c r="N3835" t="inlineStr">
        <is>
          <t>Modalidade: 0 - Por conta do remetente | Parte: UP DISTRIBUIDORA DE PRODUTOS DESCARTAVEIS LTDA (12.423.997/0001-71)</t>
        </is>
      </c>
      <c r="O3835" s="29" t="n">
        <v>0</v>
      </c>
      <c r="P3835" s="29" t="n">
        <v>0</v>
      </c>
      <c r="Q3835" s="29" t="n">
        <v>0</v>
      </c>
      <c r="R3835" s="29" t="n">
        <v>0</v>
      </c>
      <c r="S3835" s="29" t="n">
        <v>0</v>
      </c>
      <c r="T3835" t="inlineStr">
        <is>
          <t>25260734595800000114570010000011491000011492</t>
        </is>
      </c>
      <c r="U3835" t="inlineStr">
        <is>
          <t>Não</t>
        </is>
      </c>
    </row>
    <row r="3836">
      <c r="A3836" t="inlineStr">
        <is>
          <t>Frete de venda</t>
        </is>
      </c>
      <c r="B3836" t="inlineStr">
        <is>
          <t>2.01.02 Frete sobre Vendas</t>
        </is>
      </c>
      <c r="C3836" s="30" t="n">
        <v>46204</v>
      </c>
      <c r="D3836" t="inlineStr">
        <is>
          <t>Em 2026</t>
        </is>
      </c>
      <c r="E3836" s="28" t="n">
        <v>46205</v>
      </c>
      <c r="F3836" t="inlineStr">
        <is>
          <t>CT-e</t>
        </is>
      </c>
      <c r="G3836" t="inlineStr">
        <is>
          <t>000001150</t>
        </is>
      </c>
      <c r="H3836" t="inlineStr">
        <is>
          <t>ADIL CARLOS DA SILVA</t>
        </is>
      </c>
      <c r="J3836" s="29" t="n">
        <v>100</v>
      </c>
      <c r="K3836" s="29">
        <f>(1-ISNUMBER(SEARCH("556",M3836)))*(O3836*SUMIFS(Premissas!$C$5:$C$44,Premissas!$A$5:$A$44,$A3836,Premissas!$B$5:$B$44,$B3836)+P3836*SUMIFS(Premissas!$D$5:$D$44,Premissas!$A$5:$A$44,$A3836,Premissas!$B$5:$B$44,$B3836))+R3836*SUMIFS(Premissas!$E$5:$E$44,Premissas!$A$5:$A$44,$A3836,Premissas!$B$5:$B$44,$B3836)+S3836*SUMIFS(Premissas!$F$5:$F$44,Premissas!$A$5:$A$44,$A3836,Premissas!$B$5:$B$44,$B3836)</f>
        <v/>
      </c>
      <c r="L3836" s="29">
        <f>J3836-K3836</f>
        <v/>
      </c>
      <c r="M3836" t="inlineStr">
        <is>
          <t>2.350</t>
        </is>
      </c>
      <c r="N3836" t="inlineStr">
        <is>
          <t>Modalidade: 0 - Por conta do remetente | Parte: UP DISTRIBUIDORA DE PRODUTOS DESCARTAVEIS LTDA (12.423.997/0001-71)</t>
        </is>
      </c>
      <c r="O3836" s="29" t="n">
        <v>0</v>
      </c>
      <c r="P3836" s="29" t="n">
        <v>0</v>
      </c>
      <c r="Q3836" s="29" t="n">
        <v>0</v>
      </c>
      <c r="R3836" s="29" t="n">
        <v>0</v>
      </c>
      <c r="S3836" s="29" t="n">
        <v>0</v>
      </c>
      <c r="T3836" t="inlineStr">
        <is>
          <t>25260734595800000114570010000011501000011507</t>
        </is>
      </c>
      <c r="U3836" t="inlineStr">
        <is>
          <t>Não</t>
        </is>
      </c>
    </row>
    <row r="3837">
      <c r="A3837" t="inlineStr">
        <is>
          <t>Frete de venda</t>
        </is>
      </c>
      <c r="B3837" t="inlineStr">
        <is>
          <t>2.01.02 Frete sobre Vendas</t>
        </is>
      </c>
      <c r="C3837" s="30" t="n">
        <v>46204</v>
      </c>
      <c r="D3837" t="inlineStr">
        <is>
          <t>Em 2026</t>
        </is>
      </c>
      <c r="E3837" s="28" t="n">
        <v>46221</v>
      </c>
      <c r="F3837" t="inlineStr">
        <is>
          <t>CT-e</t>
        </is>
      </c>
      <c r="G3837" t="inlineStr">
        <is>
          <t>000001200</t>
        </is>
      </c>
      <c r="H3837" t="inlineStr">
        <is>
          <t>ADIL CARLOS DA SILVA</t>
        </is>
      </c>
      <c r="J3837" s="29" t="n">
        <v>1</v>
      </c>
      <c r="K3837" s="29">
        <f>(1-ISNUMBER(SEARCH("556",M3837)))*(O3837*SUMIFS(Premissas!$C$5:$C$44,Premissas!$A$5:$A$44,$A3837,Premissas!$B$5:$B$44,$B3837)+P3837*SUMIFS(Premissas!$D$5:$D$44,Premissas!$A$5:$A$44,$A3837,Premissas!$B$5:$B$44,$B3837))+R3837*SUMIFS(Premissas!$E$5:$E$44,Premissas!$A$5:$A$44,$A3837,Premissas!$B$5:$B$44,$B3837)+S3837*SUMIFS(Premissas!$F$5:$F$44,Premissas!$A$5:$A$44,$A3837,Premissas!$B$5:$B$44,$B3837)</f>
        <v/>
      </c>
      <c r="L3837" s="29">
        <f>J3837-K3837</f>
        <v/>
      </c>
      <c r="M3837" t="inlineStr">
        <is>
          <t>2.350</t>
        </is>
      </c>
      <c r="N3837" t="inlineStr">
        <is>
          <t>Modalidade: 0 - Por conta do remetente | Parte: BIG DISTRIBUIDOR IMPORTACAO E EXPORTACAO LTDA (05.466.036/0001-89)</t>
        </is>
      </c>
      <c r="O3837" s="29" t="n">
        <v>0</v>
      </c>
      <c r="P3837" s="29" t="n">
        <v>0</v>
      </c>
      <c r="Q3837" s="29" t="n">
        <v>0</v>
      </c>
      <c r="R3837" s="29" t="n">
        <v>0</v>
      </c>
      <c r="S3837" s="29" t="n">
        <v>0</v>
      </c>
      <c r="T3837" t="inlineStr">
        <is>
          <t>25260734595800000114570010000012001000012000</t>
        </is>
      </c>
      <c r="U3837" t="inlineStr">
        <is>
          <t>Não</t>
        </is>
      </c>
    </row>
    <row r="3838">
      <c r="A3838" t="inlineStr">
        <is>
          <t>Frete de venda</t>
        </is>
      </c>
      <c r="B3838" t="inlineStr">
        <is>
          <t>2.01.02 Frete sobre Vendas</t>
        </is>
      </c>
      <c r="C3838" s="30" t="n">
        <v>46204</v>
      </c>
      <c r="D3838" t="inlineStr">
        <is>
          <t>Em 2026</t>
        </is>
      </c>
      <c r="E3838" s="28" t="n">
        <v>46221</v>
      </c>
      <c r="F3838" t="inlineStr">
        <is>
          <t>CT-e</t>
        </is>
      </c>
      <c r="G3838" t="inlineStr">
        <is>
          <t>000001201</t>
        </is>
      </c>
      <c r="H3838" t="inlineStr">
        <is>
          <t>ADIL CARLOS DA SILVA</t>
        </is>
      </c>
      <c r="J3838" s="29" t="n">
        <v>1</v>
      </c>
      <c r="K3838" s="29">
        <f>(1-ISNUMBER(SEARCH("556",M3838)))*(O3838*SUMIFS(Premissas!$C$5:$C$44,Premissas!$A$5:$A$44,$A3838,Premissas!$B$5:$B$44,$B3838)+P3838*SUMIFS(Premissas!$D$5:$D$44,Premissas!$A$5:$A$44,$A3838,Premissas!$B$5:$B$44,$B3838))+R3838*SUMIFS(Premissas!$E$5:$E$44,Premissas!$A$5:$A$44,$A3838,Premissas!$B$5:$B$44,$B3838)+S3838*SUMIFS(Premissas!$F$5:$F$44,Premissas!$A$5:$A$44,$A3838,Premissas!$B$5:$B$44,$B3838)</f>
        <v/>
      </c>
      <c r="L3838" s="29">
        <f>J3838-K3838</f>
        <v/>
      </c>
      <c r="M3838" t="inlineStr">
        <is>
          <t>2.350</t>
        </is>
      </c>
      <c r="N3838" t="inlineStr">
        <is>
          <t>Modalidade: 0 - Por conta do remetente | Parte: M N L FLORENTINO LTDA (47.068.852/0001-84)</t>
        </is>
      </c>
      <c r="O3838" s="29" t="n">
        <v>0</v>
      </c>
      <c r="P3838" s="29" t="n">
        <v>0</v>
      </c>
      <c r="Q3838" s="29" t="n">
        <v>0</v>
      </c>
      <c r="R3838" s="29" t="n">
        <v>0</v>
      </c>
      <c r="S3838" s="29" t="n">
        <v>0</v>
      </c>
      <c r="T3838" t="inlineStr">
        <is>
          <t>25260734595800000114570010000012011000012016</t>
        </is>
      </c>
      <c r="U3838" t="inlineStr">
        <is>
          <t>Não</t>
        </is>
      </c>
    </row>
    <row r="3839">
      <c r="A3839" t="inlineStr">
        <is>
          <t>Frete de venda</t>
        </is>
      </c>
      <c r="B3839" t="inlineStr">
        <is>
          <t>2.01.02 Frete sobre Vendas</t>
        </is>
      </c>
      <c r="C3839" s="30" t="n">
        <v>46204</v>
      </c>
      <c r="D3839" t="inlineStr">
        <is>
          <t>Em 2026</t>
        </is>
      </c>
      <c r="E3839" s="28" t="n">
        <v>46221</v>
      </c>
      <c r="F3839" t="inlineStr">
        <is>
          <t>CT-e</t>
        </is>
      </c>
      <c r="G3839" t="inlineStr">
        <is>
          <t>000001202</t>
        </is>
      </c>
      <c r="H3839" t="inlineStr">
        <is>
          <t>ADIL CARLOS DA SILVA</t>
        </is>
      </c>
      <c r="J3839" s="29" t="n">
        <v>100</v>
      </c>
      <c r="K3839" s="29">
        <f>(1-ISNUMBER(SEARCH("556",M3839)))*(O3839*SUMIFS(Premissas!$C$5:$C$44,Premissas!$A$5:$A$44,$A3839,Premissas!$B$5:$B$44,$B3839)+P3839*SUMIFS(Premissas!$D$5:$D$44,Premissas!$A$5:$A$44,$A3839,Premissas!$B$5:$B$44,$B3839))+R3839*SUMIFS(Premissas!$E$5:$E$44,Premissas!$A$5:$A$44,$A3839,Premissas!$B$5:$B$44,$B3839)+S3839*SUMIFS(Premissas!$F$5:$F$44,Premissas!$A$5:$A$44,$A3839,Premissas!$B$5:$B$44,$B3839)</f>
        <v/>
      </c>
      <c r="L3839" s="29">
        <f>J3839-K3839</f>
        <v/>
      </c>
      <c r="M3839" t="inlineStr">
        <is>
          <t>2.350</t>
        </is>
      </c>
      <c r="N3839" t="inlineStr">
        <is>
          <t>Modalidade: 0 - Por conta do remetente | Parte: M N L FLORENTINO LTDA (47.068.852/0001-84)</t>
        </is>
      </c>
      <c r="O3839" s="29" t="n">
        <v>0</v>
      </c>
      <c r="P3839" s="29" t="n">
        <v>0</v>
      </c>
      <c r="Q3839" s="29" t="n">
        <v>0</v>
      </c>
      <c r="R3839" s="29" t="n">
        <v>0</v>
      </c>
      <c r="S3839" s="29" t="n">
        <v>0</v>
      </c>
      <c r="T3839" t="inlineStr">
        <is>
          <t>25260734595800000114570010000012021000012021</t>
        </is>
      </c>
      <c r="U3839" t="inlineStr">
        <is>
          <t>Não</t>
        </is>
      </c>
    </row>
    <row r="3840">
      <c r="A3840" t="inlineStr">
        <is>
          <t>Frete de venda</t>
        </is>
      </c>
      <c r="B3840" t="inlineStr">
        <is>
          <t>2.01.02 Frete sobre Vendas</t>
        </is>
      </c>
      <c r="C3840" s="30" t="n">
        <v>46204</v>
      </c>
      <c r="D3840" t="inlineStr">
        <is>
          <t>Em 2026</t>
        </is>
      </c>
      <c r="E3840" s="28" t="n">
        <v>46224</v>
      </c>
      <c r="F3840" t="inlineStr">
        <is>
          <t>CT-e</t>
        </is>
      </c>
      <c r="G3840" t="inlineStr">
        <is>
          <t>000018911</t>
        </is>
      </c>
      <c r="H3840" t="inlineStr">
        <is>
          <t>ANGELA PAULA MASSARUT ME</t>
        </is>
      </c>
      <c r="J3840" s="29" t="n">
        <v>470</v>
      </c>
      <c r="K3840" s="29">
        <f>(1-ISNUMBER(SEARCH("556",M3840)))*(O3840*SUMIFS(Premissas!$C$5:$C$44,Premissas!$A$5:$A$44,$A3840,Premissas!$B$5:$B$44,$B3840)+P3840*SUMIFS(Premissas!$D$5:$D$44,Premissas!$A$5:$A$44,$A3840,Premissas!$B$5:$B$44,$B3840))+R3840*SUMIFS(Premissas!$E$5:$E$44,Premissas!$A$5:$A$44,$A3840,Premissas!$B$5:$B$44,$B3840)+S3840*SUMIFS(Premissas!$F$5:$F$44,Premissas!$A$5:$A$44,$A3840,Premissas!$B$5:$B$44,$B3840)</f>
        <v/>
      </c>
      <c r="L3840" s="29">
        <f>J3840-K3840</f>
        <v/>
      </c>
      <c r="M3840" t="inlineStr">
        <is>
          <t>2.350</t>
        </is>
      </c>
      <c r="N3840" t="inlineStr">
        <is>
          <t>Modalidade: 0 - Por conta do remetente | Parte: COMERCIO DE ALIMENTOS ANHANDUI LTDA (10.602.507/0001-79)</t>
        </is>
      </c>
      <c r="O3840" s="29" t="n">
        <v>0</v>
      </c>
      <c r="P3840" s="29" t="n">
        <v>56.4</v>
      </c>
      <c r="Q3840" s="29" t="n">
        <v>0</v>
      </c>
      <c r="R3840" s="29" t="n">
        <v>0</v>
      </c>
      <c r="S3840" s="29" t="n">
        <v>0</v>
      </c>
      <c r="T3840" t="inlineStr">
        <is>
          <t>50260713132544000159570020000189111000274420</t>
        </is>
      </c>
      <c r="U3840" t="inlineStr">
        <is>
          <t>Sim</t>
        </is>
      </c>
    </row>
    <row r="3841">
      <c r="A3841" t="inlineStr">
        <is>
          <t>Frete de venda</t>
        </is>
      </c>
      <c r="B3841" t="inlineStr">
        <is>
          <t>2.01.02 Frete sobre Vendas</t>
        </is>
      </c>
      <c r="C3841" s="30" t="n">
        <v>46204</v>
      </c>
      <c r="D3841" t="inlineStr">
        <is>
          <t>Em 2026</t>
        </is>
      </c>
      <c r="E3841" s="28" t="n">
        <v>46233</v>
      </c>
      <c r="F3841" t="inlineStr">
        <is>
          <t>CT-e</t>
        </is>
      </c>
      <c r="G3841" t="inlineStr">
        <is>
          <t>000026342</t>
        </is>
      </c>
      <c r="H3841" t="inlineStr">
        <is>
          <t>DR CARGO TRANSPORTE DE CARGAS LTDA</t>
        </is>
      </c>
      <c r="J3841" s="29" t="n">
        <v>470.61</v>
      </c>
      <c r="K3841" s="29">
        <f>(1-ISNUMBER(SEARCH("556",M3841)))*(O3841*SUMIFS(Premissas!$C$5:$C$44,Premissas!$A$5:$A$44,$A3841,Premissas!$B$5:$B$44,$B3841)+P3841*SUMIFS(Premissas!$D$5:$D$44,Premissas!$A$5:$A$44,$A3841,Premissas!$B$5:$B$44,$B3841))+R3841*SUMIFS(Premissas!$E$5:$E$44,Premissas!$A$5:$A$44,$A3841,Premissas!$B$5:$B$44,$B3841)+S3841*SUMIFS(Premissas!$F$5:$F$44,Premissas!$A$5:$A$44,$A3841,Premissas!$B$5:$B$44,$B3841)</f>
        <v/>
      </c>
      <c r="L3841" s="29">
        <f>J3841-K3841</f>
        <v/>
      </c>
      <c r="M3841" t="inlineStr">
        <is>
          <t>2.350</t>
        </is>
      </c>
      <c r="N3841" t="inlineStr">
        <is>
          <t>Modalidade: 0 - Por conta do remetente | Parte: FORTALI DISTRIBUIDORA DE ALIMENTOS LTDA. (09.317.318/0001-75)</t>
        </is>
      </c>
      <c r="O3841" s="29" t="n">
        <v>0</v>
      </c>
      <c r="P3841" s="29" t="n">
        <v>56.47</v>
      </c>
      <c r="Q3841" s="29" t="n">
        <v>0</v>
      </c>
      <c r="R3841" s="29" t="n">
        <v>0</v>
      </c>
      <c r="S3841" s="29" t="n">
        <v>0</v>
      </c>
      <c r="T3841" t="inlineStr">
        <is>
          <t>25260743668289000396570010000263421000452001</t>
        </is>
      </c>
      <c r="U3841" t="inlineStr">
        <is>
          <t>Sim</t>
        </is>
      </c>
    </row>
    <row r="3842">
      <c r="A3842" t="inlineStr">
        <is>
          <t>Frete de venda</t>
        </is>
      </c>
      <c r="B3842" t="inlineStr">
        <is>
          <t>2.01.02 Frete sobre Vendas</t>
        </is>
      </c>
      <c r="C3842" s="30" t="n">
        <v>46204</v>
      </c>
      <c r="D3842" t="inlineStr">
        <is>
          <t>Em 2026</t>
        </is>
      </c>
      <c r="E3842" s="28" t="n">
        <v>46233</v>
      </c>
      <c r="F3842" t="inlineStr">
        <is>
          <t>CT-e</t>
        </is>
      </c>
      <c r="G3842" t="inlineStr">
        <is>
          <t>000026343</t>
        </is>
      </c>
      <c r="H3842" t="inlineStr">
        <is>
          <t>DR CARGO TRANSPORTE DE CARGAS LTDA</t>
        </is>
      </c>
      <c r="J3842" s="29" t="n">
        <v>2658.9</v>
      </c>
      <c r="K3842" s="29">
        <f>(1-ISNUMBER(SEARCH("556",M3842)))*(O3842*SUMIFS(Premissas!$C$5:$C$44,Premissas!$A$5:$A$44,$A3842,Premissas!$B$5:$B$44,$B3842)+P3842*SUMIFS(Premissas!$D$5:$D$44,Premissas!$A$5:$A$44,$A3842,Premissas!$B$5:$B$44,$B3842))+R3842*SUMIFS(Premissas!$E$5:$E$44,Premissas!$A$5:$A$44,$A3842,Premissas!$B$5:$B$44,$B3842)+S3842*SUMIFS(Premissas!$F$5:$F$44,Premissas!$A$5:$A$44,$A3842,Premissas!$B$5:$B$44,$B3842)</f>
        <v/>
      </c>
      <c r="L3842" s="29">
        <f>J3842-K3842</f>
        <v/>
      </c>
      <c r="M3842" t="inlineStr">
        <is>
          <t>2.350</t>
        </is>
      </c>
      <c r="N3842" t="inlineStr">
        <is>
          <t>Modalidade: 0 - Por conta do remetente | Parte: H C COMERCIO DE EMBALAGENS PLASTICA LTDA (69.708.436/0001-36)</t>
        </is>
      </c>
      <c r="O3842" s="29" t="n">
        <v>0</v>
      </c>
      <c r="P3842" s="29" t="n">
        <v>319.07</v>
      </c>
      <c r="Q3842" s="29" t="n">
        <v>0</v>
      </c>
      <c r="R3842" s="29" t="n">
        <v>0</v>
      </c>
      <c r="S3842" s="29" t="n">
        <v>0</v>
      </c>
      <c r="T3842" t="inlineStr">
        <is>
          <t>25260743668289000396570010000263431000452017</t>
        </is>
      </c>
      <c r="U3842" t="inlineStr">
        <is>
          <t>Sim</t>
        </is>
      </c>
    </row>
    <row r="3843">
      <c r="A3843" t="inlineStr">
        <is>
          <t>Frete de venda</t>
        </is>
      </c>
      <c r="B3843" t="inlineStr">
        <is>
          <t>2.01.02 Frete sobre Vendas</t>
        </is>
      </c>
      <c r="C3843" s="30" t="n">
        <v>46204</v>
      </c>
      <c r="D3843" t="inlineStr">
        <is>
          <t>Em 2026</t>
        </is>
      </c>
      <c r="E3843" s="28" t="n">
        <v>46233</v>
      </c>
      <c r="F3843" t="inlineStr">
        <is>
          <t>CT-e</t>
        </is>
      </c>
      <c r="G3843" t="inlineStr">
        <is>
          <t>000026344</t>
        </is>
      </c>
      <c r="H3843" t="inlineStr">
        <is>
          <t>DR CARGO TRANSPORTE DE CARGAS LTDA</t>
        </is>
      </c>
      <c r="J3843" s="29" t="n">
        <v>230.83</v>
      </c>
      <c r="K3843" s="29">
        <f>(1-ISNUMBER(SEARCH("556",M3843)))*(O3843*SUMIFS(Premissas!$C$5:$C$44,Premissas!$A$5:$A$44,$A3843,Premissas!$B$5:$B$44,$B3843)+P3843*SUMIFS(Premissas!$D$5:$D$44,Premissas!$A$5:$A$44,$A3843,Premissas!$B$5:$B$44,$B3843))+R3843*SUMIFS(Premissas!$E$5:$E$44,Premissas!$A$5:$A$44,$A3843,Premissas!$B$5:$B$44,$B3843)+S3843*SUMIFS(Premissas!$F$5:$F$44,Premissas!$A$5:$A$44,$A3843,Premissas!$B$5:$B$44,$B3843)</f>
        <v/>
      </c>
      <c r="L3843" s="29">
        <f>J3843-K3843</f>
        <v/>
      </c>
      <c r="M3843" t="inlineStr">
        <is>
          <t>2.350</t>
        </is>
      </c>
      <c r="N3843" t="inlineStr">
        <is>
          <t>Modalidade: 0 - Por conta do remetente | Parte: BALLOON MANIA LTDA (12.027.912/0001-36)</t>
        </is>
      </c>
      <c r="O3843" s="29" t="n">
        <v>0</v>
      </c>
      <c r="P3843" s="29" t="n">
        <v>27.7</v>
      </c>
      <c r="Q3843" s="29" t="n">
        <v>0</v>
      </c>
      <c r="R3843" s="29" t="n">
        <v>0</v>
      </c>
      <c r="S3843" s="29" t="n">
        <v>0</v>
      </c>
      <c r="T3843" t="inlineStr">
        <is>
          <t>25260743668289000396570010000263441000452022</t>
        </is>
      </c>
      <c r="U3843" t="inlineStr">
        <is>
          <t>Sim</t>
        </is>
      </c>
    </row>
    <row r="3844">
      <c r="A3844" t="inlineStr">
        <is>
          <t>Frete de venda</t>
        </is>
      </c>
      <c r="B3844" t="inlineStr">
        <is>
          <t>2.01.02 Frete sobre Vendas</t>
        </is>
      </c>
      <c r="C3844" s="30" t="n">
        <v>46204</v>
      </c>
      <c r="D3844" t="inlineStr">
        <is>
          <t>Em 2026</t>
        </is>
      </c>
      <c r="E3844" s="28" t="n">
        <v>46233</v>
      </c>
      <c r="F3844" t="inlineStr">
        <is>
          <t>CT-e</t>
        </is>
      </c>
      <c r="G3844" t="inlineStr">
        <is>
          <t>000026345</t>
        </is>
      </c>
      <c r="H3844" t="inlineStr">
        <is>
          <t>DR CARGO TRANSPORTE DE CARGAS LTDA</t>
        </is>
      </c>
      <c r="J3844" s="29" t="n">
        <v>833.0700000000001</v>
      </c>
      <c r="K3844" s="29">
        <f>(1-ISNUMBER(SEARCH("556",M3844)))*(O3844*SUMIFS(Premissas!$C$5:$C$44,Premissas!$A$5:$A$44,$A3844,Premissas!$B$5:$B$44,$B3844)+P3844*SUMIFS(Premissas!$D$5:$D$44,Premissas!$A$5:$A$44,$A3844,Premissas!$B$5:$B$44,$B3844))+R3844*SUMIFS(Premissas!$E$5:$E$44,Premissas!$A$5:$A$44,$A3844,Premissas!$B$5:$B$44,$B3844)+S3844*SUMIFS(Premissas!$F$5:$F$44,Premissas!$A$5:$A$44,$A3844,Premissas!$B$5:$B$44,$B3844)</f>
        <v/>
      </c>
      <c r="L3844" s="29">
        <f>J3844-K3844</f>
        <v/>
      </c>
      <c r="M3844" t="inlineStr">
        <is>
          <t>2.350</t>
        </is>
      </c>
      <c r="N3844" t="inlineStr">
        <is>
          <t>Modalidade: 0 - Por conta do remetente | Parte: PRASO PLATAFORMA DE COMERCIO LTDA. (42.434.646/0008-01)</t>
        </is>
      </c>
      <c r="O3844" s="29" t="n">
        <v>0</v>
      </c>
      <c r="P3844" s="29" t="n">
        <v>99.97</v>
      </c>
      <c r="Q3844" s="29" t="n">
        <v>0</v>
      </c>
      <c r="R3844" s="29" t="n">
        <v>0</v>
      </c>
      <c r="S3844" s="29" t="n">
        <v>0</v>
      </c>
      <c r="T3844" t="inlineStr">
        <is>
          <t>25260743668289000396570010000263451000452038</t>
        </is>
      </c>
      <c r="U3844" t="inlineStr">
        <is>
          <t>Sim</t>
        </is>
      </c>
    </row>
    <row r="3845">
      <c r="A3845" t="inlineStr">
        <is>
          <t>Frete de venda</t>
        </is>
      </c>
      <c r="B3845" t="inlineStr">
        <is>
          <t>2.01.02 Frete sobre Vendas</t>
        </is>
      </c>
      <c r="C3845" s="30" t="n">
        <v>46204</v>
      </c>
      <c r="D3845" t="inlineStr">
        <is>
          <t>Em 2026</t>
        </is>
      </c>
      <c r="E3845" s="28" t="n">
        <v>46233</v>
      </c>
      <c r="F3845" t="inlineStr">
        <is>
          <t>CT-e</t>
        </is>
      </c>
      <c r="G3845" t="inlineStr">
        <is>
          <t>000026346</t>
        </is>
      </c>
      <c r="H3845" t="inlineStr">
        <is>
          <t>DR CARGO TRANSPORTE DE CARGAS LTDA</t>
        </is>
      </c>
      <c r="J3845" s="29" t="n">
        <v>387.15</v>
      </c>
      <c r="K3845" s="29">
        <f>(1-ISNUMBER(SEARCH("556",M3845)))*(O3845*SUMIFS(Premissas!$C$5:$C$44,Premissas!$A$5:$A$44,$A3845,Premissas!$B$5:$B$44,$B3845)+P3845*SUMIFS(Premissas!$D$5:$D$44,Premissas!$A$5:$A$44,$A3845,Premissas!$B$5:$B$44,$B3845))+R3845*SUMIFS(Premissas!$E$5:$E$44,Premissas!$A$5:$A$44,$A3845,Premissas!$B$5:$B$44,$B3845)+S3845*SUMIFS(Premissas!$F$5:$F$44,Premissas!$A$5:$A$44,$A3845,Premissas!$B$5:$B$44,$B3845)</f>
        <v/>
      </c>
      <c r="L3845" s="29">
        <f>J3845-K3845</f>
        <v/>
      </c>
      <c r="M3845" t="inlineStr">
        <is>
          <t>2.350</t>
        </is>
      </c>
      <c r="N3845" t="inlineStr">
        <is>
          <t>Modalidade: 0 - Por conta do remetente | Parte: JG E BM ATACAREJO LTDA (37.667.238/0001-85)</t>
        </is>
      </c>
      <c r="O3845" s="29" t="n">
        <v>0</v>
      </c>
      <c r="P3845" s="29" t="n">
        <v>46.46</v>
      </c>
      <c r="Q3845" s="29" t="n">
        <v>0</v>
      </c>
      <c r="R3845" s="29" t="n">
        <v>0</v>
      </c>
      <c r="S3845" s="29" t="n">
        <v>0</v>
      </c>
      <c r="T3845" t="inlineStr">
        <is>
          <t>25260743668289000396570010000263461000452043</t>
        </is>
      </c>
      <c r="U3845" t="inlineStr">
        <is>
          <t>Sim</t>
        </is>
      </c>
    </row>
    <row r="3846">
      <c r="A3846" t="inlineStr">
        <is>
          <t>Frete de venda</t>
        </is>
      </c>
      <c r="B3846" t="inlineStr">
        <is>
          <t>2.01.02 Frete sobre Vendas</t>
        </is>
      </c>
      <c r="C3846" s="30" t="n">
        <v>46204</v>
      </c>
      <c r="D3846" t="inlineStr">
        <is>
          <t>Em 2026</t>
        </is>
      </c>
      <c r="E3846" s="28" t="n">
        <v>46233</v>
      </c>
      <c r="F3846" t="inlineStr">
        <is>
          <t>CT-e</t>
        </is>
      </c>
      <c r="G3846" t="inlineStr">
        <is>
          <t>000026347</t>
        </is>
      </c>
      <c r="H3846" t="inlineStr">
        <is>
          <t>DR CARGO TRANSPORTE DE CARGAS LTDA</t>
        </is>
      </c>
      <c r="J3846" s="29" t="n">
        <v>389.35</v>
      </c>
      <c r="K3846" s="29">
        <f>(1-ISNUMBER(SEARCH("556",M3846)))*(O3846*SUMIFS(Premissas!$C$5:$C$44,Premissas!$A$5:$A$44,$A3846,Premissas!$B$5:$B$44,$B3846)+P3846*SUMIFS(Premissas!$D$5:$D$44,Premissas!$A$5:$A$44,$A3846,Premissas!$B$5:$B$44,$B3846))+R3846*SUMIFS(Premissas!$E$5:$E$44,Premissas!$A$5:$A$44,$A3846,Premissas!$B$5:$B$44,$B3846)+S3846*SUMIFS(Premissas!$F$5:$F$44,Premissas!$A$5:$A$44,$A3846,Premissas!$B$5:$B$44,$B3846)</f>
        <v/>
      </c>
      <c r="L3846" s="29">
        <f>J3846-K3846</f>
        <v/>
      </c>
      <c r="M3846" t="inlineStr">
        <is>
          <t>2.350</t>
        </is>
      </c>
      <c r="N3846" t="inlineStr">
        <is>
          <t>Modalidade: 0 - Por conta do remetente | Parte: COMERCIAL BAHIA LTDA (41.651.670/0001-55)</t>
        </is>
      </c>
      <c r="O3846" s="29" t="n">
        <v>0</v>
      </c>
      <c r="P3846" s="29" t="n">
        <v>46.72</v>
      </c>
      <c r="Q3846" s="29" t="n">
        <v>0</v>
      </c>
      <c r="R3846" s="29" t="n">
        <v>0</v>
      </c>
      <c r="S3846" s="29" t="n">
        <v>0</v>
      </c>
      <c r="T3846" t="inlineStr">
        <is>
          <t>25260743668289000396570010000263471000452059</t>
        </is>
      </c>
      <c r="U3846" t="inlineStr">
        <is>
          <t>Sim</t>
        </is>
      </c>
    </row>
    <row r="3847">
      <c r="A3847" t="inlineStr">
        <is>
          <t>Frete de venda</t>
        </is>
      </c>
      <c r="B3847" t="inlineStr">
        <is>
          <t>2.01.02 Frete sobre Vendas</t>
        </is>
      </c>
      <c r="C3847" s="30" t="n">
        <v>46204</v>
      </c>
      <c r="D3847" t="inlineStr">
        <is>
          <t>Em 2026</t>
        </is>
      </c>
      <c r="E3847" s="28" t="n">
        <v>46233</v>
      </c>
      <c r="F3847" t="inlineStr">
        <is>
          <t>CT-e</t>
        </is>
      </c>
      <c r="G3847" t="inlineStr">
        <is>
          <t>000026348</t>
        </is>
      </c>
      <c r="H3847" t="inlineStr">
        <is>
          <t>DR CARGO TRANSPORTE DE CARGAS LTDA</t>
        </is>
      </c>
      <c r="J3847" s="29" t="n">
        <v>797.86</v>
      </c>
      <c r="K3847" s="29">
        <f>(1-ISNUMBER(SEARCH("556",M3847)))*(O3847*SUMIFS(Premissas!$C$5:$C$44,Premissas!$A$5:$A$44,$A3847,Premissas!$B$5:$B$44,$B3847)+P3847*SUMIFS(Premissas!$D$5:$D$44,Premissas!$A$5:$A$44,$A3847,Premissas!$B$5:$B$44,$B3847))+R3847*SUMIFS(Premissas!$E$5:$E$44,Premissas!$A$5:$A$44,$A3847,Premissas!$B$5:$B$44,$B3847)+S3847*SUMIFS(Premissas!$F$5:$F$44,Premissas!$A$5:$A$44,$A3847,Premissas!$B$5:$B$44,$B3847)</f>
        <v/>
      </c>
      <c r="L3847" s="29">
        <f>J3847-K3847</f>
        <v/>
      </c>
      <c r="M3847" t="inlineStr">
        <is>
          <t>2.350</t>
        </is>
      </c>
      <c r="N3847" t="inlineStr">
        <is>
          <t>Modalidade: 0 - Por conta do remetente | Parte: STOCK DO CHEF ATACADO LTDA (48.940.717/0001-40)</t>
        </is>
      </c>
      <c r="O3847" s="29" t="n">
        <v>0</v>
      </c>
      <c r="P3847" s="29" t="n">
        <v>95.73999999999999</v>
      </c>
      <c r="Q3847" s="29" t="n">
        <v>0</v>
      </c>
      <c r="R3847" s="29" t="n">
        <v>0</v>
      </c>
      <c r="S3847" s="29" t="n">
        <v>0</v>
      </c>
      <c r="T3847" t="inlineStr">
        <is>
          <t>25260743668289000396570010000263481000452064</t>
        </is>
      </c>
      <c r="U3847" t="inlineStr">
        <is>
          <t>Sim</t>
        </is>
      </c>
    </row>
    <row r="3848">
      <c r="A3848" t="inlineStr">
        <is>
          <t>Frete de venda</t>
        </is>
      </c>
      <c r="B3848" t="inlineStr">
        <is>
          <t>2.01.02 Frete sobre Vendas</t>
        </is>
      </c>
      <c r="C3848" s="30" t="n">
        <v>46204</v>
      </c>
      <c r="D3848" t="inlineStr">
        <is>
          <t>Em 2026</t>
        </is>
      </c>
      <c r="E3848" s="28" t="n">
        <v>46233</v>
      </c>
      <c r="F3848" t="inlineStr">
        <is>
          <t>CT-e</t>
        </is>
      </c>
      <c r="G3848" t="inlineStr">
        <is>
          <t>000026349</t>
        </is>
      </c>
      <c r="H3848" t="inlineStr">
        <is>
          <t>DR CARGO TRANSPORTE DE CARGAS LTDA</t>
        </is>
      </c>
      <c r="J3848" s="29" t="n">
        <v>3044.02</v>
      </c>
      <c r="K3848" s="29">
        <f>(1-ISNUMBER(SEARCH("556",M3848)))*(O3848*SUMIFS(Premissas!$C$5:$C$44,Premissas!$A$5:$A$44,$A3848,Premissas!$B$5:$B$44,$B3848)+P3848*SUMIFS(Premissas!$D$5:$D$44,Premissas!$A$5:$A$44,$A3848,Premissas!$B$5:$B$44,$B3848))+R3848*SUMIFS(Premissas!$E$5:$E$44,Premissas!$A$5:$A$44,$A3848,Premissas!$B$5:$B$44,$B3848)+S3848*SUMIFS(Premissas!$F$5:$F$44,Premissas!$A$5:$A$44,$A3848,Premissas!$B$5:$B$44,$B3848)</f>
        <v/>
      </c>
      <c r="L3848" s="29">
        <f>J3848-K3848</f>
        <v/>
      </c>
      <c r="M3848" t="inlineStr">
        <is>
          <t>2.350</t>
        </is>
      </c>
      <c r="N3848" t="inlineStr">
        <is>
          <t>Modalidade: 0 - Por conta do remetente | Parte: MERCOPAIVA COMERCIAL LTDA (45.016.002/0001-07)</t>
        </is>
      </c>
      <c r="O3848" s="29" t="n">
        <v>0</v>
      </c>
      <c r="P3848" s="29" t="n">
        <v>365.28</v>
      </c>
      <c r="Q3848" s="29" t="n">
        <v>0</v>
      </c>
      <c r="R3848" s="29" t="n">
        <v>0</v>
      </c>
      <c r="S3848" s="29" t="n">
        <v>0</v>
      </c>
      <c r="T3848" t="inlineStr">
        <is>
          <t>25260743668289000396570010000263491000452070</t>
        </is>
      </c>
      <c r="U3848" t="inlineStr">
        <is>
          <t>Sim</t>
        </is>
      </c>
    </row>
    <row r="3849">
      <c r="A3849" t="inlineStr">
        <is>
          <t>Frete de venda</t>
        </is>
      </c>
      <c r="B3849" t="inlineStr">
        <is>
          <t>2.01.02 Frete sobre Vendas</t>
        </is>
      </c>
      <c r="C3849" s="30" t="n">
        <v>46204</v>
      </c>
      <c r="D3849" t="inlineStr">
        <is>
          <t>Em 2026</t>
        </is>
      </c>
      <c r="E3849" s="28" t="n">
        <v>46204</v>
      </c>
      <c r="F3849" t="inlineStr">
        <is>
          <t>CT-e</t>
        </is>
      </c>
      <c r="G3849" t="inlineStr">
        <is>
          <t>000033945</t>
        </is>
      </c>
      <c r="H3849" t="inlineStr">
        <is>
          <t>PICCOLI LOGISTICA E TRANSPORTES LTDA</t>
        </is>
      </c>
      <c r="J3849" s="29" t="n">
        <v>470.11</v>
      </c>
      <c r="K3849" s="29">
        <f>(1-ISNUMBER(SEARCH("556",M3849)))*(O3849*SUMIFS(Premissas!$C$5:$C$44,Premissas!$A$5:$A$44,$A3849,Premissas!$B$5:$B$44,$B3849)+P3849*SUMIFS(Premissas!$D$5:$D$44,Premissas!$A$5:$A$44,$A3849,Premissas!$B$5:$B$44,$B3849))+R3849*SUMIFS(Premissas!$E$5:$E$44,Premissas!$A$5:$A$44,$A3849,Premissas!$B$5:$B$44,$B3849)+S3849*SUMIFS(Premissas!$F$5:$F$44,Premissas!$A$5:$A$44,$A3849,Premissas!$B$5:$B$44,$B3849)</f>
        <v/>
      </c>
      <c r="L3849" s="29">
        <f>J3849-K3849</f>
        <v/>
      </c>
      <c r="M3849" t="inlineStr">
        <is>
          <t>2.350</t>
        </is>
      </c>
      <c r="N3849" t="inlineStr">
        <is>
          <t>Modalidade: 0 - Por conta do remetente | Parte: 59.070.238 MARIA EDUARDA OLIVEIRA CARDOSO (59.070.238/0001-36)</t>
        </is>
      </c>
      <c r="O3849" s="29" t="n">
        <v>0</v>
      </c>
      <c r="P3849" s="29" t="n">
        <v>32.91</v>
      </c>
      <c r="Q3849" s="29" t="n">
        <v>0</v>
      </c>
      <c r="R3849" s="29" t="n">
        <v>0</v>
      </c>
      <c r="S3849" s="29" t="n">
        <v>0</v>
      </c>
      <c r="T3849" t="inlineStr">
        <is>
          <t>35260756910992000149570010000339451005805254</t>
        </is>
      </c>
      <c r="U3849" t="inlineStr">
        <is>
          <t>Sim</t>
        </is>
      </c>
    </row>
    <row r="3850">
      <c r="A3850" t="inlineStr">
        <is>
          <t>Frete de venda</t>
        </is>
      </c>
      <c r="B3850" t="inlineStr">
        <is>
          <t>2.01.02 Frete sobre Vendas</t>
        </is>
      </c>
      <c r="C3850" s="30" t="n">
        <v>46204</v>
      </c>
      <c r="D3850" t="inlineStr">
        <is>
          <t>Em 2026</t>
        </is>
      </c>
      <c r="E3850" s="28" t="n">
        <v>46204</v>
      </c>
      <c r="F3850" t="inlineStr">
        <is>
          <t>CT-e</t>
        </is>
      </c>
      <c r="G3850" t="inlineStr">
        <is>
          <t>000033946</t>
        </is>
      </c>
      <c r="H3850" t="inlineStr">
        <is>
          <t>PICCOLI LOGISTICA E TRANSPORTES LTDA</t>
        </is>
      </c>
      <c r="J3850" s="29" t="n">
        <v>679.5</v>
      </c>
      <c r="K3850" s="29">
        <f>(1-ISNUMBER(SEARCH("556",M3850)))*(O3850*SUMIFS(Premissas!$C$5:$C$44,Premissas!$A$5:$A$44,$A3850,Premissas!$B$5:$B$44,$B3850)+P3850*SUMIFS(Premissas!$D$5:$D$44,Premissas!$A$5:$A$44,$A3850,Premissas!$B$5:$B$44,$B3850))+R3850*SUMIFS(Premissas!$E$5:$E$44,Premissas!$A$5:$A$44,$A3850,Premissas!$B$5:$B$44,$B3850)+S3850*SUMIFS(Premissas!$F$5:$F$44,Premissas!$A$5:$A$44,$A3850,Premissas!$B$5:$B$44,$B3850)</f>
        <v/>
      </c>
      <c r="L3850" s="29">
        <f>J3850-K3850</f>
        <v/>
      </c>
      <c r="M3850" t="inlineStr">
        <is>
          <t>2.350</t>
        </is>
      </c>
      <c r="N3850" t="inlineStr">
        <is>
          <t>Modalidade: 0 - Por conta do remetente | Parte: KOP COMERCIO ATACADISTA E VAREJISTA DE ALIMENTOS LTDA (53.863.735/0001-05)</t>
        </is>
      </c>
      <c r="O3850" s="29" t="n">
        <v>0</v>
      </c>
      <c r="P3850" s="29" t="n">
        <v>47.57</v>
      </c>
      <c r="Q3850" s="29" t="n">
        <v>0</v>
      </c>
      <c r="R3850" s="29" t="n">
        <v>0</v>
      </c>
      <c r="S3850" s="29" t="n">
        <v>0</v>
      </c>
      <c r="T3850" t="inlineStr">
        <is>
          <t>35260756910992000149570010000339461005805260</t>
        </is>
      </c>
      <c r="U3850" t="inlineStr">
        <is>
          <t>Sim</t>
        </is>
      </c>
    </row>
    <row r="3851">
      <c r="A3851" t="inlineStr">
        <is>
          <t>Frete de venda</t>
        </is>
      </c>
      <c r="B3851" t="inlineStr">
        <is>
          <t>2.01.02 Frete sobre Vendas</t>
        </is>
      </c>
      <c r="C3851" s="30" t="n">
        <v>46204</v>
      </c>
      <c r="D3851" t="inlineStr">
        <is>
          <t>Em 2026</t>
        </is>
      </c>
      <c r="E3851" s="28" t="n">
        <v>46233</v>
      </c>
      <c r="F3851" t="inlineStr">
        <is>
          <t>CT-e</t>
        </is>
      </c>
      <c r="G3851" t="inlineStr">
        <is>
          <t>000035599</t>
        </is>
      </c>
      <c r="H3851" t="inlineStr">
        <is>
          <t>PICCOLI LOGISTICA E TRANSPORTES LTDA</t>
        </is>
      </c>
      <c r="J3851" s="29" t="n">
        <v>4126.44</v>
      </c>
      <c r="K3851" s="29">
        <f>(1-ISNUMBER(SEARCH("556",M3851)))*(O3851*SUMIFS(Premissas!$C$5:$C$44,Premissas!$A$5:$A$44,$A3851,Premissas!$B$5:$B$44,$B3851)+P3851*SUMIFS(Premissas!$D$5:$D$44,Premissas!$A$5:$A$44,$A3851,Premissas!$B$5:$B$44,$B3851))+R3851*SUMIFS(Premissas!$E$5:$E$44,Premissas!$A$5:$A$44,$A3851,Premissas!$B$5:$B$44,$B3851)+S3851*SUMIFS(Premissas!$F$5:$F$44,Premissas!$A$5:$A$44,$A3851,Premissas!$B$5:$B$44,$B3851)</f>
        <v/>
      </c>
      <c r="L3851" s="29">
        <f>J3851-K3851</f>
        <v/>
      </c>
      <c r="M3851" t="inlineStr">
        <is>
          <t>2.350</t>
        </is>
      </c>
      <c r="N3851" t="inlineStr">
        <is>
          <t>Modalidade: 0 - Por conta do remetente | Parte: DISTRIBUIDORA CENTRAL EMBALAGENS LTDA (08.726.563/0001-73)</t>
        </is>
      </c>
      <c r="O3851" s="29" t="n">
        <v>0</v>
      </c>
      <c r="P3851" s="29" t="n">
        <v>288.85</v>
      </c>
      <c r="Q3851" s="29" t="n">
        <v>0</v>
      </c>
      <c r="R3851" s="29" t="n">
        <v>0</v>
      </c>
      <c r="S3851" s="29" t="n">
        <v>0</v>
      </c>
      <c r="T3851" t="inlineStr">
        <is>
          <t>35260756910992000149570010000355991005918200</t>
        </is>
      </c>
      <c r="U3851" t="inlineStr">
        <is>
          <t>Sim</t>
        </is>
      </c>
    </row>
    <row r="3852">
      <c r="A3852" t="inlineStr">
        <is>
          <t>Frete de venda</t>
        </is>
      </c>
      <c r="B3852" t="inlineStr">
        <is>
          <t>2.01.02 Frete sobre Vendas</t>
        </is>
      </c>
      <c r="C3852" s="30" t="n">
        <v>46204</v>
      </c>
      <c r="D3852" t="inlineStr">
        <is>
          <t>Em 2026</t>
        </is>
      </c>
      <c r="E3852" s="28" t="n">
        <v>46204</v>
      </c>
      <c r="F3852" t="inlineStr">
        <is>
          <t>CT-e</t>
        </is>
      </c>
      <c r="G3852" t="inlineStr">
        <is>
          <t>001450069</t>
        </is>
      </c>
      <c r="H3852" t="inlineStr">
        <is>
          <t>PICCOLI TRANSPORTES LTDA</t>
        </is>
      </c>
      <c r="J3852" s="29" t="n">
        <v>2588.85</v>
      </c>
      <c r="K3852" s="29">
        <f>(1-ISNUMBER(SEARCH("556",M3852)))*(O3852*SUMIFS(Premissas!$C$5:$C$44,Premissas!$A$5:$A$44,$A3852,Premissas!$B$5:$B$44,$B3852)+P3852*SUMIFS(Premissas!$D$5:$D$44,Premissas!$A$5:$A$44,$A3852,Premissas!$B$5:$B$44,$B3852))+R3852*SUMIFS(Premissas!$E$5:$E$44,Premissas!$A$5:$A$44,$A3852,Premissas!$B$5:$B$44,$B3852)+S3852*SUMIFS(Premissas!$F$5:$F$44,Premissas!$A$5:$A$44,$A3852,Premissas!$B$5:$B$44,$B3852)</f>
        <v/>
      </c>
      <c r="L3852" s="29">
        <f>J3852-K3852</f>
        <v/>
      </c>
      <c r="M3852" t="inlineStr">
        <is>
          <t>2.350</t>
        </is>
      </c>
      <c r="N3852" t="inlineStr">
        <is>
          <t>Modalidade: 0 - Por conta do remetente | Parte: COMERCIAL CARAPA DE SECOS E MOLHADOS LTDA (03.790.904/0002-37)</t>
        </is>
      </c>
      <c r="O3852" s="29" t="n">
        <v>0</v>
      </c>
      <c r="P3852" s="29" t="n">
        <v>181.22</v>
      </c>
      <c r="Q3852" s="29" t="n">
        <v>0</v>
      </c>
      <c r="R3852" s="29" t="n">
        <v>0</v>
      </c>
      <c r="S3852" s="29" t="n">
        <v>0</v>
      </c>
      <c r="T3852" t="inlineStr">
        <is>
          <t>35260701496359000245570010014500691005805163</t>
        </is>
      </c>
      <c r="U3852" t="inlineStr">
        <is>
          <t>Sim</t>
        </is>
      </c>
    </row>
    <row r="3853">
      <c r="A3853" t="inlineStr">
        <is>
          <t>Frete de venda</t>
        </is>
      </c>
      <c r="B3853" t="inlineStr">
        <is>
          <t>2.01.02 Frete sobre Vendas</t>
        </is>
      </c>
      <c r="C3853" s="30" t="n">
        <v>46204</v>
      </c>
      <c r="D3853" t="inlineStr">
        <is>
          <t>Em 2026</t>
        </is>
      </c>
      <c r="E3853" s="28" t="n">
        <v>46204</v>
      </c>
      <c r="F3853" t="inlineStr">
        <is>
          <t>CT-e</t>
        </is>
      </c>
      <c r="G3853" t="inlineStr">
        <is>
          <t>001450133</t>
        </is>
      </c>
      <c r="H3853" t="inlineStr">
        <is>
          <t>PICCOLI TRANSPORTES LTDA</t>
        </is>
      </c>
      <c r="J3853" s="29" t="n">
        <v>698.37</v>
      </c>
      <c r="K3853" s="29">
        <f>(1-ISNUMBER(SEARCH("556",M3853)))*(O3853*SUMIFS(Premissas!$C$5:$C$44,Premissas!$A$5:$A$44,$A3853,Premissas!$B$5:$B$44,$B3853)+P3853*SUMIFS(Premissas!$D$5:$D$44,Premissas!$A$5:$A$44,$A3853,Premissas!$B$5:$B$44,$B3853))+R3853*SUMIFS(Premissas!$E$5:$E$44,Premissas!$A$5:$A$44,$A3853,Premissas!$B$5:$B$44,$B3853)+S3853*SUMIFS(Premissas!$F$5:$F$44,Premissas!$A$5:$A$44,$A3853,Premissas!$B$5:$B$44,$B3853)</f>
        <v/>
      </c>
      <c r="L3853" s="29">
        <f>J3853-K3853</f>
        <v/>
      </c>
      <c r="M3853" t="inlineStr">
        <is>
          <t>2.350</t>
        </is>
      </c>
      <c r="N3853" t="inlineStr">
        <is>
          <t>Modalidade: 0 - Por conta do remetente | Parte: MARIA CLEIDE RAMOS LTDA (42.968.790/0001-43)</t>
        </is>
      </c>
      <c r="O3853" s="29" t="n">
        <v>0</v>
      </c>
      <c r="P3853" s="29" t="n">
        <v>48.89</v>
      </c>
      <c r="Q3853" s="29" t="n">
        <v>0</v>
      </c>
      <c r="R3853" s="29" t="n">
        <v>0</v>
      </c>
      <c r="S3853" s="29" t="n">
        <v>0</v>
      </c>
      <c r="T3853" t="inlineStr">
        <is>
          <t>35260701496359000245570010014501331005806162</t>
        </is>
      </c>
      <c r="U3853" t="inlineStr">
        <is>
          <t>Sim</t>
        </is>
      </c>
    </row>
    <row r="3854">
      <c r="A3854" t="inlineStr">
        <is>
          <t>Frete de venda</t>
        </is>
      </c>
      <c r="B3854" t="inlineStr">
        <is>
          <t>2.01.02 Frete sobre Vendas</t>
        </is>
      </c>
      <c r="C3854" s="30" t="n">
        <v>46204</v>
      </c>
      <c r="D3854" t="inlineStr">
        <is>
          <t>Em 2026</t>
        </is>
      </c>
      <c r="E3854" s="28" t="n">
        <v>46204</v>
      </c>
      <c r="F3854" t="inlineStr">
        <is>
          <t>CT-e</t>
        </is>
      </c>
      <c r="G3854" t="inlineStr">
        <is>
          <t>001450134</t>
        </is>
      </c>
      <c r="H3854" t="inlineStr">
        <is>
          <t>PICCOLI TRANSPORTES LTDA</t>
        </is>
      </c>
      <c r="J3854" s="29" t="n">
        <v>1428.67</v>
      </c>
      <c r="K3854" s="29">
        <f>(1-ISNUMBER(SEARCH("556",M3854)))*(O3854*SUMIFS(Premissas!$C$5:$C$44,Premissas!$A$5:$A$44,$A3854,Premissas!$B$5:$B$44,$B3854)+P3854*SUMIFS(Premissas!$D$5:$D$44,Premissas!$A$5:$A$44,$A3854,Premissas!$B$5:$B$44,$B3854))+R3854*SUMIFS(Premissas!$E$5:$E$44,Premissas!$A$5:$A$44,$A3854,Premissas!$B$5:$B$44,$B3854)+S3854*SUMIFS(Premissas!$F$5:$F$44,Premissas!$A$5:$A$44,$A3854,Premissas!$B$5:$B$44,$B3854)</f>
        <v/>
      </c>
      <c r="L3854" s="29">
        <f>J3854-K3854</f>
        <v/>
      </c>
      <c r="M3854" t="inlineStr">
        <is>
          <t>2.350</t>
        </is>
      </c>
      <c r="N3854" t="inlineStr">
        <is>
          <t>Modalidade: 0 - Por conta do remetente | Parte: JK EMBALAGENS LTDA (20.894.355/0001-89)</t>
        </is>
      </c>
      <c r="O3854" s="29" t="n">
        <v>0</v>
      </c>
      <c r="P3854" s="29" t="n">
        <v>100.01</v>
      </c>
      <c r="Q3854" s="29" t="n">
        <v>0</v>
      </c>
      <c r="R3854" s="29" t="n">
        <v>0</v>
      </c>
      <c r="S3854" s="29" t="n">
        <v>0</v>
      </c>
      <c r="T3854" t="inlineStr">
        <is>
          <t>35260701496359000245570010014501341005806178</t>
        </is>
      </c>
      <c r="U3854" t="inlineStr">
        <is>
          <t>Sim</t>
        </is>
      </c>
    </row>
    <row r="3855">
      <c r="A3855" t="inlineStr">
        <is>
          <t>Frete de venda</t>
        </is>
      </c>
      <c r="B3855" t="inlineStr">
        <is>
          <t>2.01.02 Frete sobre Vendas</t>
        </is>
      </c>
      <c r="C3855" s="30" t="n">
        <v>46204</v>
      </c>
      <c r="D3855" t="inlineStr">
        <is>
          <t>Em 2026</t>
        </is>
      </c>
      <c r="E3855" s="28" t="n">
        <v>46205</v>
      </c>
      <c r="F3855" t="inlineStr">
        <is>
          <t>CT-e</t>
        </is>
      </c>
      <c r="G3855" t="inlineStr">
        <is>
          <t>001450723</t>
        </is>
      </c>
      <c r="H3855" t="inlineStr">
        <is>
          <t>PICCOLI TRANSPORTES LTDA</t>
        </is>
      </c>
      <c r="J3855" s="29" t="n">
        <v>708.97</v>
      </c>
      <c r="K3855" s="29">
        <f>(1-ISNUMBER(SEARCH("556",M3855)))*(O3855*SUMIFS(Premissas!$C$5:$C$44,Premissas!$A$5:$A$44,$A3855,Premissas!$B$5:$B$44,$B3855)+P3855*SUMIFS(Premissas!$D$5:$D$44,Premissas!$A$5:$A$44,$A3855,Premissas!$B$5:$B$44,$B3855))+R3855*SUMIFS(Premissas!$E$5:$E$44,Premissas!$A$5:$A$44,$A3855,Premissas!$B$5:$B$44,$B3855)+S3855*SUMIFS(Premissas!$F$5:$F$44,Premissas!$A$5:$A$44,$A3855,Premissas!$B$5:$B$44,$B3855)</f>
        <v/>
      </c>
      <c r="L3855" s="29">
        <f>J3855-K3855</f>
        <v/>
      </c>
      <c r="M3855" t="inlineStr">
        <is>
          <t>2.350</t>
        </is>
      </c>
      <c r="N3855" t="inlineStr">
        <is>
          <t>Modalidade: 0 - Por conta do remetente | Parte: INDUSTRIAL E COMERCIAL ALMEIDA LTDA (02.623.537/0010-24)</t>
        </is>
      </c>
      <c r="O3855" s="29" t="n">
        <v>0</v>
      </c>
      <c r="P3855" s="29" t="n">
        <v>49.63</v>
      </c>
      <c r="Q3855" s="29" t="n">
        <v>0</v>
      </c>
      <c r="R3855" s="29" t="n">
        <v>0</v>
      </c>
      <c r="S3855" s="29" t="n">
        <v>0</v>
      </c>
      <c r="T3855" t="inlineStr">
        <is>
          <t>35260701496359000245570010014507231005813777</t>
        </is>
      </c>
      <c r="U3855" t="inlineStr">
        <is>
          <t>Sim</t>
        </is>
      </c>
    </row>
    <row r="3856">
      <c r="A3856" t="inlineStr">
        <is>
          <t>Frete de venda</t>
        </is>
      </c>
      <c r="B3856" t="inlineStr">
        <is>
          <t>2.01.02 Frete sobre Vendas</t>
        </is>
      </c>
      <c r="C3856" s="30" t="n">
        <v>46204</v>
      </c>
      <c r="D3856" t="inlineStr">
        <is>
          <t>Em 2026</t>
        </is>
      </c>
      <c r="E3856" s="28" t="n">
        <v>46224</v>
      </c>
      <c r="F3856" t="inlineStr">
        <is>
          <t>CT-e</t>
        </is>
      </c>
      <c r="G3856" t="inlineStr">
        <is>
          <t>001455976</t>
        </is>
      </c>
      <c r="H3856" t="inlineStr">
        <is>
          <t>PICCOLI TRANSPORTES LTDA</t>
        </is>
      </c>
      <c r="J3856" s="29" t="n">
        <v>3039.24</v>
      </c>
      <c r="K3856" s="29">
        <f>(1-ISNUMBER(SEARCH("556",M3856)))*(O3856*SUMIFS(Premissas!$C$5:$C$44,Premissas!$A$5:$A$44,$A3856,Premissas!$B$5:$B$44,$B3856)+P3856*SUMIFS(Premissas!$D$5:$D$44,Premissas!$A$5:$A$44,$A3856,Premissas!$B$5:$B$44,$B3856))+R3856*SUMIFS(Premissas!$E$5:$E$44,Premissas!$A$5:$A$44,$A3856,Premissas!$B$5:$B$44,$B3856)+S3856*SUMIFS(Premissas!$F$5:$F$44,Premissas!$A$5:$A$44,$A3856,Premissas!$B$5:$B$44,$B3856)</f>
        <v/>
      </c>
      <c r="L3856" s="29">
        <f>J3856-K3856</f>
        <v/>
      </c>
      <c r="M3856" t="inlineStr">
        <is>
          <t>2.350</t>
        </is>
      </c>
      <c r="N3856" t="inlineStr">
        <is>
          <t>Modalidade: 0 - Por conta do remetente | Parte: INDUSTRIAL E COMERCIAL ALMEIDA LTDA (02.623.537/0010-24)</t>
        </is>
      </c>
      <c r="O3856" s="29" t="n">
        <v>0</v>
      </c>
      <c r="P3856" s="29" t="n">
        <v>212.75</v>
      </c>
      <c r="Q3856" s="29" t="n">
        <v>0</v>
      </c>
      <c r="R3856" s="29" t="n">
        <v>0</v>
      </c>
      <c r="S3856" s="29" t="n">
        <v>0</v>
      </c>
      <c r="T3856" t="inlineStr">
        <is>
          <t>35260701496359000245570010014559761005880960</t>
        </is>
      </c>
      <c r="U3856" t="inlineStr">
        <is>
          <t>Sim</t>
        </is>
      </c>
    </row>
    <row r="3857">
      <c r="A3857" t="inlineStr">
        <is>
          <t>Frete de venda</t>
        </is>
      </c>
      <c r="B3857" t="inlineStr">
        <is>
          <t>2.01.02 Frete sobre Vendas</t>
        </is>
      </c>
      <c r="C3857" s="30" t="n">
        <v>46204</v>
      </c>
      <c r="D3857" t="inlineStr">
        <is>
          <t>Em 2026</t>
        </is>
      </c>
      <c r="E3857" s="28" t="n">
        <v>46204</v>
      </c>
      <c r="F3857" t="inlineStr">
        <is>
          <t>CT-e</t>
        </is>
      </c>
      <c r="G3857" t="inlineStr">
        <is>
          <t>000007519</t>
        </is>
      </c>
      <c r="H3857" t="inlineStr">
        <is>
          <t>R&amp;R TRANSPORTE E LOGISTICA</t>
        </is>
      </c>
      <c r="J3857" s="29" t="n">
        <v>99.26000000000001</v>
      </c>
      <c r="K3857" s="29">
        <f>(1-ISNUMBER(SEARCH("556",M3857)))*(O3857*SUMIFS(Premissas!$C$5:$C$44,Premissas!$A$5:$A$44,$A3857,Premissas!$B$5:$B$44,$B3857)+P3857*SUMIFS(Premissas!$D$5:$D$44,Premissas!$A$5:$A$44,$A3857,Premissas!$B$5:$B$44,$B3857))+R3857*SUMIFS(Premissas!$E$5:$E$44,Premissas!$A$5:$A$44,$A3857,Premissas!$B$5:$B$44,$B3857)+S3857*SUMIFS(Premissas!$F$5:$F$44,Premissas!$A$5:$A$44,$A3857,Premissas!$B$5:$B$44,$B3857)</f>
        <v/>
      </c>
      <c r="L3857" s="29">
        <f>J3857-K3857</f>
        <v/>
      </c>
      <c r="M3857" t="inlineStr">
        <is>
          <t>2.350</t>
        </is>
      </c>
      <c r="N3857" t="inlineStr">
        <is>
          <t>Modalidade: 0 - Por conta do remetente | Parte: EMBALAGENS RAYA COMERCIO E DISTRIBUICAO LTDA (42.748.520/0001-27)</t>
        </is>
      </c>
      <c r="O3857" s="29" t="n">
        <v>0</v>
      </c>
      <c r="P3857" s="29" t="n">
        <v>0</v>
      </c>
      <c r="Q3857" s="29" t="n">
        <v>0</v>
      </c>
      <c r="R3857" s="29" t="n">
        <v>0</v>
      </c>
      <c r="S3857" s="29" t="n">
        <v>0</v>
      </c>
      <c r="T3857" t="inlineStr">
        <is>
          <t>25260726975620000130570010000075191001701393</t>
        </is>
      </c>
      <c r="U3857" t="inlineStr">
        <is>
          <t>Não</t>
        </is>
      </c>
    </row>
    <row r="3858">
      <c r="A3858" t="inlineStr">
        <is>
          <t>Frete de venda</t>
        </is>
      </c>
      <c r="B3858" t="inlineStr">
        <is>
          <t>2.01.02 Frete sobre Vendas</t>
        </is>
      </c>
      <c r="C3858" s="30" t="n">
        <v>46204</v>
      </c>
      <c r="D3858" t="inlineStr">
        <is>
          <t>Em 2026</t>
        </is>
      </c>
      <c r="E3858" s="28" t="n">
        <v>46204</v>
      </c>
      <c r="F3858" t="inlineStr">
        <is>
          <t>CT-e</t>
        </is>
      </c>
      <c r="G3858" t="inlineStr">
        <is>
          <t>000007520</t>
        </is>
      </c>
      <c r="H3858" t="inlineStr">
        <is>
          <t>R&amp;R TRANSPORTE E LOGISTICA</t>
        </is>
      </c>
      <c r="J3858" s="29" t="n">
        <v>71.76000000000001</v>
      </c>
      <c r="K3858" s="29">
        <f>(1-ISNUMBER(SEARCH("556",M3858)))*(O3858*SUMIFS(Premissas!$C$5:$C$44,Premissas!$A$5:$A$44,$A3858,Premissas!$B$5:$B$44,$B3858)+P3858*SUMIFS(Premissas!$D$5:$D$44,Premissas!$A$5:$A$44,$A3858,Premissas!$B$5:$B$44,$B3858))+R3858*SUMIFS(Premissas!$E$5:$E$44,Premissas!$A$5:$A$44,$A3858,Premissas!$B$5:$B$44,$B3858)+S3858*SUMIFS(Premissas!$F$5:$F$44,Premissas!$A$5:$A$44,$A3858,Premissas!$B$5:$B$44,$B3858)</f>
        <v/>
      </c>
      <c r="L3858" s="29">
        <f>J3858-K3858</f>
        <v/>
      </c>
      <c r="M3858" t="inlineStr">
        <is>
          <t>2.350</t>
        </is>
      </c>
      <c r="N3858" t="inlineStr">
        <is>
          <t>Modalidade: 0 - Por conta do remetente | Parte: DISTRIBUIDORA DE EMBALAGENS CASTROPIL LTDA. (08.961.274/0007-44)</t>
        </is>
      </c>
      <c r="O3858" s="29" t="n">
        <v>0</v>
      </c>
      <c r="P3858" s="29" t="n">
        <v>0</v>
      </c>
      <c r="Q3858" s="29" t="n">
        <v>0</v>
      </c>
      <c r="R3858" s="29" t="n">
        <v>0</v>
      </c>
      <c r="S3858" s="29" t="n">
        <v>0</v>
      </c>
      <c r="T3858" t="inlineStr">
        <is>
          <t>25260726975620000130570010000075201001401471</t>
        </is>
      </c>
      <c r="U3858" t="inlineStr">
        <is>
          <t>Não</t>
        </is>
      </c>
    </row>
    <row r="3859">
      <c r="A3859" t="inlineStr">
        <is>
          <t>Frete de venda</t>
        </is>
      </c>
      <c r="B3859" t="inlineStr">
        <is>
          <t>2.01.02 Frete sobre Vendas</t>
        </is>
      </c>
      <c r="C3859" s="30" t="n">
        <v>46204</v>
      </c>
      <c r="D3859" t="inlineStr">
        <is>
          <t>Em 2026</t>
        </is>
      </c>
      <c r="E3859" s="28" t="n">
        <v>46204</v>
      </c>
      <c r="F3859" t="inlineStr">
        <is>
          <t>CT-e</t>
        </is>
      </c>
      <c r="G3859" t="inlineStr">
        <is>
          <t>000007521</t>
        </is>
      </c>
      <c r="H3859" t="inlineStr">
        <is>
          <t>R&amp;R TRANSPORTE E LOGISTICA</t>
        </is>
      </c>
      <c r="J3859" s="29" t="n">
        <v>291.4</v>
      </c>
      <c r="K3859" s="29">
        <f>(1-ISNUMBER(SEARCH("556",M3859)))*(O3859*SUMIFS(Premissas!$C$5:$C$44,Premissas!$A$5:$A$44,$A3859,Premissas!$B$5:$B$44,$B3859)+P3859*SUMIFS(Premissas!$D$5:$D$44,Premissas!$A$5:$A$44,$A3859,Premissas!$B$5:$B$44,$B3859))+R3859*SUMIFS(Premissas!$E$5:$E$44,Premissas!$A$5:$A$44,$A3859,Premissas!$B$5:$B$44,$B3859)+S3859*SUMIFS(Premissas!$F$5:$F$44,Premissas!$A$5:$A$44,$A3859,Premissas!$B$5:$B$44,$B3859)</f>
        <v/>
      </c>
      <c r="L3859" s="29">
        <f>J3859-K3859</f>
        <v/>
      </c>
      <c r="M3859" t="inlineStr">
        <is>
          <t>2.350</t>
        </is>
      </c>
      <c r="N3859" t="inlineStr">
        <is>
          <t>Modalidade: 0 - Por conta do remetente | Parte: RODRIGUES e DIAS COMERCIO DE HORTIFRUTI GRANJEIROS LTDA (09.143.905/0001-95)</t>
        </is>
      </c>
      <c r="O3859" s="29" t="n">
        <v>0</v>
      </c>
      <c r="P3859" s="29" t="n">
        <v>0</v>
      </c>
      <c r="Q3859" s="29" t="n">
        <v>0</v>
      </c>
      <c r="R3859" s="29" t="n">
        <v>0</v>
      </c>
      <c r="S3859" s="29" t="n">
        <v>0</v>
      </c>
      <c r="T3859" t="inlineStr">
        <is>
          <t>25260726975620000130570010000075211001101556</t>
        </is>
      </c>
      <c r="U3859" t="inlineStr">
        <is>
          <t>Não</t>
        </is>
      </c>
    </row>
    <row r="3860">
      <c r="A3860" t="inlineStr">
        <is>
          <t>Frete de venda</t>
        </is>
      </c>
      <c r="B3860" t="inlineStr">
        <is>
          <t>2.01.02 Frete sobre Vendas</t>
        </is>
      </c>
      <c r="C3860" s="30" t="n">
        <v>46204</v>
      </c>
      <c r="D3860" t="inlineStr">
        <is>
          <t>Em 2026</t>
        </is>
      </c>
      <c r="E3860" s="28" t="n">
        <v>46204</v>
      </c>
      <c r="F3860" t="inlineStr">
        <is>
          <t>CT-e</t>
        </is>
      </c>
      <c r="G3860" t="inlineStr">
        <is>
          <t>000007522</t>
        </is>
      </c>
      <c r="H3860" t="inlineStr">
        <is>
          <t>R&amp;R TRANSPORTE E LOGISTICA</t>
        </is>
      </c>
      <c r="J3860" s="29" t="n">
        <v>71.86</v>
      </c>
      <c r="K3860" s="29">
        <f>(1-ISNUMBER(SEARCH("556",M3860)))*(O3860*SUMIFS(Premissas!$C$5:$C$44,Premissas!$A$5:$A$44,$A3860,Premissas!$B$5:$B$44,$B3860)+P3860*SUMIFS(Premissas!$D$5:$D$44,Premissas!$A$5:$A$44,$A3860,Premissas!$B$5:$B$44,$B3860))+R3860*SUMIFS(Premissas!$E$5:$E$44,Premissas!$A$5:$A$44,$A3860,Premissas!$B$5:$B$44,$B3860)+S3860*SUMIFS(Premissas!$F$5:$F$44,Premissas!$A$5:$A$44,$A3860,Premissas!$B$5:$B$44,$B3860)</f>
        <v/>
      </c>
      <c r="L3860" s="29">
        <f>J3860-K3860</f>
        <v/>
      </c>
      <c r="M3860" t="inlineStr">
        <is>
          <t>2.350</t>
        </is>
      </c>
      <c r="N3860" t="inlineStr">
        <is>
          <t>Modalidade: 0 - Por conta do remetente | Parte: SELLPACK DISTRIBUIDORA LTDA (07.747.107/0002-28)</t>
        </is>
      </c>
      <c r="O3860" s="29" t="n">
        <v>0</v>
      </c>
      <c r="P3860" s="29" t="n">
        <v>0</v>
      </c>
      <c r="Q3860" s="29" t="n">
        <v>0</v>
      </c>
      <c r="R3860" s="29" t="n">
        <v>0</v>
      </c>
      <c r="S3860" s="29" t="n">
        <v>0</v>
      </c>
      <c r="T3860" t="inlineStr">
        <is>
          <t>25260726975620000130570010000075221001901630</t>
        </is>
      </c>
      <c r="U3860" t="inlineStr">
        <is>
          <t>Não</t>
        </is>
      </c>
    </row>
    <row r="3861">
      <c r="A3861" t="inlineStr">
        <is>
          <t>Frete de venda</t>
        </is>
      </c>
      <c r="B3861" t="inlineStr">
        <is>
          <t>2.01.02 Frete sobre Vendas</t>
        </is>
      </c>
      <c r="C3861" s="30" t="n">
        <v>46204</v>
      </c>
      <c r="D3861" t="inlineStr">
        <is>
          <t>Em 2026</t>
        </is>
      </c>
      <c r="E3861" s="28" t="n">
        <v>46204</v>
      </c>
      <c r="F3861" t="inlineStr">
        <is>
          <t>CT-e</t>
        </is>
      </c>
      <c r="G3861" t="inlineStr">
        <is>
          <t>000007523</t>
        </is>
      </c>
      <c r="H3861" t="inlineStr">
        <is>
          <t>R&amp;R TRANSPORTE E LOGISTICA</t>
        </is>
      </c>
      <c r="J3861" s="29" t="n">
        <v>88.79000000000001</v>
      </c>
      <c r="K3861" s="29">
        <f>(1-ISNUMBER(SEARCH("556",M3861)))*(O3861*SUMIFS(Premissas!$C$5:$C$44,Premissas!$A$5:$A$44,$A3861,Premissas!$B$5:$B$44,$B3861)+P3861*SUMIFS(Premissas!$D$5:$D$44,Premissas!$A$5:$A$44,$A3861,Premissas!$B$5:$B$44,$B3861))+R3861*SUMIFS(Premissas!$E$5:$E$44,Premissas!$A$5:$A$44,$A3861,Premissas!$B$5:$B$44,$B3861)+S3861*SUMIFS(Premissas!$F$5:$F$44,Premissas!$A$5:$A$44,$A3861,Premissas!$B$5:$B$44,$B3861)</f>
        <v/>
      </c>
      <c r="L3861" s="29">
        <f>J3861-K3861</f>
        <v/>
      </c>
      <c r="M3861" t="inlineStr">
        <is>
          <t>2.350</t>
        </is>
      </c>
      <c r="N3861" t="inlineStr">
        <is>
          <t>Modalidade: 0 - Por conta do remetente | Parte: SELLPACK DISTRIBUIDORA LTDA (07.747.107/0004-90)</t>
        </is>
      </c>
      <c r="O3861" s="29" t="n">
        <v>0</v>
      </c>
      <c r="P3861" s="29" t="n">
        <v>0</v>
      </c>
      <c r="Q3861" s="29" t="n">
        <v>0</v>
      </c>
      <c r="R3861" s="29" t="n">
        <v>0</v>
      </c>
      <c r="S3861" s="29" t="n">
        <v>0</v>
      </c>
      <c r="T3861" t="inlineStr">
        <is>
          <t>25260726975620000130570010000075231001100988</t>
        </is>
      </c>
      <c r="U3861" t="inlineStr">
        <is>
          <t>Não</t>
        </is>
      </c>
    </row>
    <row r="3862">
      <c r="A3862" t="inlineStr">
        <is>
          <t>Frete de venda</t>
        </is>
      </c>
      <c r="B3862" t="inlineStr">
        <is>
          <t>2.01.02 Frete sobre Vendas</t>
        </is>
      </c>
      <c r="C3862" s="30" t="n">
        <v>46204</v>
      </c>
      <c r="D3862" t="inlineStr">
        <is>
          <t>Em 2026</t>
        </is>
      </c>
      <c r="E3862" s="28" t="n">
        <v>46205</v>
      </c>
      <c r="F3862" t="inlineStr">
        <is>
          <t>CT-e</t>
        </is>
      </c>
      <c r="G3862" t="inlineStr">
        <is>
          <t>000007532</t>
        </is>
      </c>
      <c r="H3862" t="inlineStr">
        <is>
          <t>R&amp;R TRANSPORTE E LOGISTICA</t>
        </is>
      </c>
      <c r="J3862" s="29" t="n">
        <v>234.5</v>
      </c>
      <c r="K3862" s="29">
        <f>(1-ISNUMBER(SEARCH("556",M3862)))*(O3862*SUMIFS(Premissas!$C$5:$C$44,Premissas!$A$5:$A$44,$A3862,Premissas!$B$5:$B$44,$B3862)+P3862*SUMIFS(Premissas!$D$5:$D$44,Premissas!$A$5:$A$44,$A3862,Premissas!$B$5:$B$44,$B3862))+R3862*SUMIFS(Premissas!$E$5:$E$44,Premissas!$A$5:$A$44,$A3862,Premissas!$B$5:$B$44,$B3862)+S3862*SUMIFS(Premissas!$F$5:$F$44,Premissas!$A$5:$A$44,$A3862,Premissas!$B$5:$B$44,$B3862)</f>
        <v/>
      </c>
      <c r="L3862" s="29">
        <f>J3862-K3862</f>
        <v/>
      </c>
      <c r="M3862" t="inlineStr">
        <is>
          <t>2.350</t>
        </is>
      </c>
      <c r="N3862" t="inlineStr">
        <is>
          <t>Modalidade: 0 - Por conta do remetente | Parte: PRONTO DISTRIBUIDORA LTDA (59.909.633/0001-60)</t>
        </is>
      </c>
      <c r="O3862" s="29" t="n">
        <v>0</v>
      </c>
      <c r="P3862" s="29" t="n">
        <v>0</v>
      </c>
      <c r="Q3862" s="29" t="n">
        <v>0</v>
      </c>
      <c r="R3862" s="29" t="n">
        <v>0</v>
      </c>
      <c r="S3862" s="29" t="n">
        <v>0</v>
      </c>
      <c r="T3862" t="inlineStr">
        <is>
          <t>25260726975620000130570010000075321001501701</t>
        </is>
      </c>
      <c r="U3862" t="inlineStr">
        <is>
          <t>Não</t>
        </is>
      </c>
    </row>
    <row r="3863">
      <c r="A3863" t="inlineStr">
        <is>
          <t>Frete de venda</t>
        </is>
      </c>
      <c r="B3863" t="inlineStr">
        <is>
          <t>2.01.02 Frete sobre Vendas</t>
        </is>
      </c>
      <c r="C3863" s="30" t="n">
        <v>46204</v>
      </c>
      <c r="D3863" t="inlineStr">
        <is>
          <t>Em 2026</t>
        </is>
      </c>
      <c r="E3863" s="28" t="n">
        <v>46210</v>
      </c>
      <c r="F3863" t="inlineStr">
        <is>
          <t>CT-e</t>
        </is>
      </c>
      <c r="G3863" t="inlineStr">
        <is>
          <t>000007540</t>
        </is>
      </c>
      <c r="H3863" t="inlineStr">
        <is>
          <t>R&amp;R TRANSPORTE E LOGISTICA</t>
        </is>
      </c>
      <c r="J3863" s="29" t="n">
        <v>275.4</v>
      </c>
      <c r="K3863" s="29">
        <f>(1-ISNUMBER(SEARCH("556",M3863)))*(O3863*SUMIFS(Premissas!$C$5:$C$44,Premissas!$A$5:$A$44,$A3863,Premissas!$B$5:$B$44,$B3863)+P3863*SUMIFS(Premissas!$D$5:$D$44,Premissas!$A$5:$A$44,$A3863,Premissas!$B$5:$B$44,$B3863))+R3863*SUMIFS(Premissas!$E$5:$E$44,Premissas!$A$5:$A$44,$A3863,Premissas!$B$5:$B$44,$B3863)+S3863*SUMIFS(Premissas!$F$5:$F$44,Premissas!$A$5:$A$44,$A3863,Premissas!$B$5:$B$44,$B3863)</f>
        <v/>
      </c>
      <c r="L3863" s="29">
        <f>J3863-K3863</f>
        <v/>
      </c>
      <c r="M3863" t="inlineStr">
        <is>
          <t>2.350</t>
        </is>
      </c>
      <c r="N3863" t="inlineStr">
        <is>
          <t>Modalidade: 0 - Por conta do remetente | Parte: DISTRIPACK DISTRIBUIDORA DE EMBALAGENS LTDA (11.043.375/0003-17)</t>
        </is>
      </c>
      <c r="O3863" s="29" t="n">
        <v>0</v>
      </c>
      <c r="P3863" s="29" t="n">
        <v>0</v>
      </c>
      <c r="Q3863" s="29" t="n">
        <v>0</v>
      </c>
      <c r="R3863" s="29" t="n">
        <v>0</v>
      </c>
      <c r="S3863" s="29" t="n">
        <v>0</v>
      </c>
      <c r="T3863" t="inlineStr">
        <is>
          <t>25260726975620000130570010000075401001701281</t>
        </is>
      </c>
      <c r="U3863" t="inlineStr">
        <is>
          <t>Não</t>
        </is>
      </c>
    </row>
    <row r="3864">
      <c r="A3864" t="inlineStr">
        <is>
          <t>Frete de venda</t>
        </is>
      </c>
      <c r="B3864" t="inlineStr">
        <is>
          <t>2.01.02 Frete sobre Vendas</t>
        </is>
      </c>
      <c r="C3864" s="30" t="n">
        <v>46204</v>
      </c>
      <c r="D3864" t="inlineStr">
        <is>
          <t>Em 2026</t>
        </is>
      </c>
      <c r="E3864" s="28" t="n">
        <v>46210</v>
      </c>
      <c r="F3864" t="inlineStr">
        <is>
          <t>CT-e</t>
        </is>
      </c>
      <c r="G3864" t="inlineStr">
        <is>
          <t>000007541</t>
        </is>
      </c>
      <c r="H3864" t="inlineStr">
        <is>
          <t>R&amp;R TRANSPORTE E LOGISTICA</t>
        </is>
      </c>
      <c r="J3864" s="29" t="n">
        <v>458.2</v>
      </c>
      <c r="K3864" s="29">
        <f>(1-ISNUMBER(SEARCH("556",M3864)))*(O3864*SUMIFS(Premissas!$C$5:$C$44,Premissas!$A$5:$A$44,$A3864,Premissas!$B$5:$B$44,$B3864)+P3864*SUMIFS(Premissas!$D$5:$D$44,Premissas!$A$5:$A$44,$A3864,Premissas!$B$5:$B$44,$B3864))+R3864*SUMIFS(Premissas!$E$5:$E$44,Premissas!$A$5:$A$44,$A3864,Premissas!$B$5:$B$44,$B3864)+S3864*SUMIFS(Premissas!$F$5:$F$44,Premissas!$A$5:$A$44,$A3864,Premissas!$B$5:$B$44,$B3864)</f>
        <v/>
      </c>
      <c r="L3864" s="29">
        <f>J3864-K3864</f>
        <v/>
      </c>
      <c r="M3864" t="inlineStr">
        <is>
          <t>2.350</t>
        </is>
      </c>
      <c r="N3864" t="inlineStr">
        <is>
          <t>Modalidade: 0 - Por conta do remetente | Parte: DISTRIPACK DISTRIBUIDORA DE EMBALAGENS LTDA (11.043.375/0002-36)</t>
        </is>
      </c>
      <c r="O3864" s="29" t="n">
        <v>0</v>
      </c>
      <c r="P3864" s="29" t="n">
        <v>0</v>
      </c>
      <c r="Q3864" s="29" t="n">
        <v>0</v>
      </c>
      <c r="R3864" s="29" t="n">
        <v>0</v>
      </c>
      <c r="S3864" s="29" t="n">
        <v>0</v>
      </c>
      <c r="T3864" t="inlineStr">
        <is>
          <t>25260726975620000130570010000075411001401366</t>
        </is>
      </c>
      <c r="U3864" t="inlineStr">
        <is>
          <t>Não</t>
        </is>
      </c>
    </row>
    <row r="3865">
      <c r="A3865" t="inlineStr">
        <is>
          <t>Frete de venda</t>
        </is>
      </c>
      <c r="B3865" t="inlineStr">
        <is>
          <t>2.01.02 Frete sobre Vendas</t>
        </is>
      </c>
      <c r="C3865" s="30" t="n">
        <v>46204</v>
      </c>
      <c r="D3865" t="inlineStr">
        <is>
          <t>Em 2026</t>
        </is>
      </c>
      <c r="E3865" s="28" t="n">
        <v>46210</v>
      </c>
      <c r="F3865" t="inlineStr">
        <is>
          <t>CT-e</t>
        </is>
      </c>
      <c r="G3865" t="inlineStr">
        <is>
          <t>000007545</t>
        </is>
      </c>
      <c r="H3865" t="inlineStr">
        <is>
          <t>R&amp;R TRANSPORTE E LOGISTICA</t>
        </is>
      </c>
      <c r="J3865" s="29" t="n">
        <v>750</v>
      </c>
      <c r="K3865" s="29">
        <f>(1-ISNUMBER(SEARCH("556",M3865)))*(O3865*SUMIFS(Premissas!$C$5:$C$44,Premissas!$A$5:$A$44,$A3865,Premissas!$B$5:$B$44,$B3865)+P3865*SUMIFS(Premissas!$D$5:$D$44,Premissas!$A$5:$A$44,$A3865,Premissas!$B$5:$B$44,$B3865))+R3865*SUMIFS(Premissas!$E$5:$E$44,Premissas!$A$5:$A$44,$A3865,Premissas!$B$5:$B$44,$B3865)+S3865*SUMIFS(Premissas!$F$5:$F$44,Premissas!$A$5:$A$44,$A3865,Premissas!$B$5:$B$44,$B3865)</f>
        <v/>
      </c>
      <c r="L3865" s="29">
        <f>J3865-K3865</f>
        <v/>
      </c>
      <c r="M3865" t="inlineStr">
        <is>
          <t>2.350</t>
        </is>
      </c>
      <c r="N3865" t="inlineStr">
        <is>
          <t>Modalidade: 0 - Por conta do remetente | Parte: CLOVES BEZERRA DE ARAUJO (010.366.654-02)</t>
        </is>
      </c>
      <c r="O3865" s="29" t="n">
        <v>0</v>
      </c>
      <c r="P3865" s="29" t="n">
        <v>0</v>
      </c>
      <c r="Q3865" s="29" t="n">
        <v>0</v>
      </c>
      <c r="R3865" s="29" t="n">
        <v>0</v>
      </c>
      <c r="S3865" s="29" t="n">
        <v>0</v>
      </c>
      <c r="T3865" t="inlineStr">
        <is>
          <t>25260726975620000130570010000075451001301352</t>
        </is>
      </c>
      <c r="U3865" t="inlineStr">
        <is>
          <t>Não</t>
        </is>
      </c>
    </row>
    <row r="3866">
      <c r="A3866" t="inlineStr">
        <is>
          <t>Frete de venda</t>
        </is>
      </c>
      <c r="B3866" t="inlineStr">
        <is>
          <t>2.01.02 Frete sobre Vendas</t>
        </is>
      </c>
      <c r="C3866" s="30" t="n">
        <v>46204</v>
      </c>
      <c r="D3866" t="inlineStr">
        <is>
          <t>Em 2026</t>
        </is>
      </c>
      <c r="E3866" s="28" t="n">
        <v>46211</v>
      </c>
      <c r="F3866" t="inlineStr">
        <is>
          <t>CT-e</t>
        </is>
      </c>
      <c r="G3866" t="inlineStr">
        <is>
          <t>000007547</t>
        </is>
      </c>
      <c r="H3866" t="inlineStr">
        <is>
          <t>R&amp;R TRANSPORTE E LOGISTICA</t>
        </is>
      </c>
      <c r="J3866" s="29" t="n">
        <v>64.98999999999999</v>
      </c>
      <c r="K3866" s="29">
        <f>(1-ISNUMBER(SEARCH("556",M3866)))*(O3866*SUMIFS(Premissas!$C$5:$C$44,Premissas!$A$5:$A$44,$A3866,Premissas!$B$5:$B$44,$B3866)+P3866*SUMIFS(Premissas!$D$5:$D$44,Premissas!$A$5:$A$44,$A3866,Premissas!$B$5:$B$44,$B3866))+R3866*SUMIFS(Premissas!$E$5:$E$44,Premissas!$A$5:$A$44,$A3866,Premissas!$B$5:$B$44,$B3866)+S3866*SUMIFS(Premissas!$F$5:$F$44,Premissas!$A$5:$A$44,$A3866,Premissas!$B$5:$B$44,$B3866)</f>
        <v/>
      </c>
      <c r="L3866" s="29">
        <f>J3866-K3866</f>
        <v/>
      </c>
      <c r="M3866" t="inlineStr">
        <is>
          <t>2.350</t>
        </is>
      </c>
      <c r="N3866" t="inlineStr">
        <is>
          <t>Modalidade: 0 - Por conta do remetente | Parte: DOCE MEL EMBALAGENS E FESTAS (10.989.624/0001-37)</t>
        </is>
      </c>
      <c r="O3866" s="29" t="n">
        <v>0</v>
      </c>
      <c r="P3866" s="29" t="n">
        <v>0</v>
      </c>
      <c r="Q3866" s="29" t="n">
        <v>0</v>
      </c>
      <c r="R3866" s="29" t="n">
        <v>0</v>
      </c>
      <c r="S3866" s="29" t="n">
        <v>0</v>
      </c>
      <c r="T3866" t="inlineStr">
        <is>
          <t>25260726975620000130570010000075471001501593</t>
        </is>
      </c>
      <c r="U3866" t="inlineStr">
        <is>
          <t>Não</t>
        </is>
      </c>
    </row>
    <row r="3867">
      <c r="A3867" t="inlineStr">
        <is>
          <t>Frete de venda</t>
        </is>
      </c>
      <c r="B3867" t="inlineStr">
        <is>
          <t>2.01.02 Frete sobre Vendas</t>
        </is>
      </c>
      <c r="C3867" s="30" t="n">
        <v>46204</v>
      </c>
      <c r="D3867" t="inlineStr">
        <is>
          <t>Em 2026</t>
        </is>
      </c>
      <c r="E3867" s="28" t="n">
        <v>46211</v>
      </c>
      <c r="F3867" t="inlineStr">
        <is>
          <t>CT-e</t>
        </is>
      </c>
      <c r="G3867" t="inlineStr">
        <is>
          <t>000007548</t>
        </is>
      </c>
      <c r="H3867" t="inlineStr">
        <is>
          <t>R&amp;R TRANSPORTE E LOGISTICA</t>
        </is>
      </c>
      <c r="J3867" s="29" t="n">
        <v>89.91</v>
      </c>
      <c r="K3867" s="29">
        <f>(1-ISNUMBER(SEARCH("556",M3867)))*(O3867*SUMIFS(Premissas!$C$5:$C$44,Premissas!$A$5:$A$44,$A3867,Premissas!$B$5:$B$44,$B3867)+P3867*SUMIFS(Premissas!$D$5:$D$44,Premissas!$A$5:$A$44,$A3867,Premissas!$B$5:$B$44,$B3867))+R3867*SUMIFS(Premissas!$E$5:$E$44,Premissas!$A$5:$A$44,$A3867,Premissas!$B$5:$B$44,$B3867)+S3867*SUMIFS(Premissas!$F$5:$F$44,Premissas!$A$5:$A$44,$A3867,Premissas!$B$5:$B$44,$B3867)</f>
        <v/>
      </c>
      <c r="L3867" s="29">
        <f>J3867-K3867</f>
        <v/>
      </c>
      <c r="M3867" t="inlineStr">
        <is>
          <t>2.350</t>
        </is>
      </c>
      <c r="N3867" t="inlineStr">
        <is>
          <t>Modalidade: 0 - Por conta do remetente | Parte: RODRIGUES E CIA LTDA (26.144.570/0001-49)</t>
        </is>
      </c>
      <c r="O3867" s="29" t="n">
        <v>0</v>
      </c>
      <c r="P3867" s="29" t="n">
        <v>0</v>
      </c>
      <c r="Q3867" s="29" t="n">
        <v>0</v>
      </c>
      <c r="R3867" s="29" t="n">
        <v>0</v>
      </c>
      <c r="S3867" s="29" t="n">
        <v>0</v>
      </c>
      <c r="T3867" t="inlineStr">
        <is>
          <t>25260726975620000130570010000075481001201678</t>
        </is>
      </c>
      <c r="U3867" t="inlineStr">
        <is>
          <t>Não</t>
        </is>
      </c>
    </row>
    <row r="3868">
      <c r="A3868" t="inlineStr">
        <is>
          <t>Frete de venda</t>
        </is>
      </c>
      <c r="B3868" t="inlineStr">
        <is>
          <t>2.01.02 Frete sobre Vendas</t>
        </is>
      </c>
      <c r="C3868" s="30" t="n">
        <v>46204</v>
      </c>
      <c r="D3868" t="inlineStr">
        <is>
          <t>Em 2026</t>
        </is>
      </c>
      <c r="E3868" s="28" t="n">
        <v>46211</v>
      </c>
      <c r="F3868" t="inlineStr">
        <is>
          <t>CT-e</t>
        </is>
      </c>
      <c r="G3868" t="inlineStr">
        <is>
          <t>000007549</t>
        </is>
      </c>
      <c r="H3868" t="inlineStr">
        <is>
          <t>R&amp;R TRANSPORTE E LOGISTICA</t>
        </is>
      </c>
      <c r="J3868" s="29" t="n">
        <v>38.75</v>
      </c>
      <c r="K3868" s="29">
        <f>(1-ISNUMBER(SEARCH("556",M3868)))*(O3868*SUMIFS(Premissas!$C$5:$C$44,Premissas!$A$5:$A$44,$A3868,Premissas!$B$5:$B$44,$B3868)+P3868*SUMIFS(Premissas!$D$5:$D$44,Premissas!$A$5:$A$44,$A3868,Premissas!$B$5:$B$44,$B3868))+R3868*SUMIFS(Premissas!$E$5:$E$44,Premissas!$A$5:$A$44,$A3868,Premissas!$B$5:$B$44,$B3868)+S3868*SUMIFS(Premissas!$F$5:$F$44,Premissas!$A$5:$A$44,$A3868,Premissas!$B$5:$B$44,$B3868)</f>
        <v/>
      </c>
      <c r="L3868" s="29">
        <f>J3868-K3868</f>
        <v/>
      </c>
      <c r="M3868" t="inlineStr">
        <is>
          <t>2.350</t>
        </is>
      </c>
      <c r="N3868" t="inlineStr">
        <is>
          <t>Modalidade: 0 - Por conta do remetente | Parte: RM COMERCIO DE ARTIGOS PARA FESTA LTDA (30.878.046/0001-79)</t>
        </is>
      </c>
      <c r="O3868" s="29" t="n">
        <v>0</v>
      </c>
      <c r="P3868" s="29" t="n">
        <v>0</v>
      </c>
      <c r="Q3868" s="29" t="n">
        <v>0</v>
      </c>
      <c r="R3868" s="29" t="n">
        <v>0</v>
      </c>
      <c r="S3868" s="29" t="n">
        <v>0</v>
      </c>
      <c r="T3868" t="inlineStr">
        <is>
          <t>25260726975620000130570010000075491011001750</t>
        </is>
      </c>
      <c r="U3868" t="inlineStr">
        <is>
          <t>Não</t>
        </is>
      </c>
    </row>
    <row r="3869">
      <c r="A3869" t="inlineStr">
        <is>
          <t>Frete de venda</t>
        </is>
      </c>
      <c r="B3869" t="inlineStr">
        <is>
          <t>2.01.02 Frete sobre Vendas</t>
        </is>
      </c>
      <c r="C3869" s="30" t="n">
        <v>46204</v>
      </c>
      <c r="D3869" t="inlineStr">
        <is>
          <t>Em 2026</t>
        </is>
      </c>
      <c r="E3869" s="28" t="n">
        <v>46211</v>
      </c>
      <c r="F3869" t="inlineStr">
        <is>
          <t>CT-e</t>
        </is>
      </c>
      <c r="G3869" t="inlineStr">
        <is>
          <t>000007550</t>
        </is>
      </c>
      <c r="H3869" t="inlineStr">
        <is>
          <t>R&amp;R TRANSPORTE E LOGISTICA</t>
        </is>
      </c>
      <c r="J3869" s="29" t="n">
        <v>111.32</v>
      </c>
      <c r="K3869" s="29">
        <f>(1-ISNUMBER(SEARCH("556",M3869)))*(O3869*SUMIFS(Premissas!$C$5:$C$44,Premissas!$A$5:$A$44,$A3869,Premissas!$B$5:$B$44,$B3869)+P3869*SUMIFS(Premissas!$D$5:$D$44,Premissas!$A$5:$A$44,$A3869,Premissas!$B$5:$B$44,$B3869))+R3869*SUMIFS(Premissas!$E$5:$E$44,Premissas!$A$5:$A$44,$A3869,Premissas!$B$5:$B$44,$B3869)+S3869*SUMIFS(Premissas!$F$5:$F$44,Premissas!$A$5:$A$44,$A3869,Premissas!$B$5:$B$44,$B3869)</f>
        <v/>
      </c>
      <c r="L3869" s="29">
        <f>J3869-K3869</f>
        <v/>
      </c>
      <c r="M3869" t="inlineStr">
        <is>
          <t>2.350</t>
        </is>
      </c>
      <c r="N3869" t="inlineStr">
        <is>
          <t>Modalidade: 0 - Por conta do remetente | Parte: DANIEL HENRIQUE SILVA BORGES E PIRES LTDA (06.901.586/0001-41)</t>
        </is>
      </c>
      <c r="O3869" s="29" t="n">
        <v>0</v>
      </c>
      <c r="P3869" s="29" t="n">
        <v>0</v>
      </c>
      <c r="Q3869" s="29" t="n">
        <v>0</v>
      </c>
      <c r="R3869" s="29" t="n">
        <v>0</v>
      </c>
      <c r="S3869" s="29" t="n">
        <v>0</v>
      </c>
      <c r="T3869" t="inlineStr">
        <is>
          <t>25260726975620000130570010000075501001701830</t>
        </is>
      </c>
      <c r="U3869" t="inlineStr">
        <is>
          <t>Não</t>
        </is>
      </c>
    </row>
    <row r="3870">
      <c r="A3870" t="inlineStr">
        <is>
          <t>Frete de venda</t>
        </is>
      </c>
      <c r="B3870" t="inlineStr">
        <is>
          <t>2.01.02 Frete sobre Vendas</t>
        </is>
      </c>
      <c r="C3870" s="30" t="n">
        <v>46204</v>
      </c>
      <c r="D3870" t="inlineStr">
        <is>
          <t>Em 2026</t>
        </is>
      </c>
      <c r="E3870" s="28" t="n">
        <v>46211</v>
      </c>
      <c r="F3870" t="inlineStr">
        <is>
          <t>CT-e</t>
        </is>
      </c>
      <c r="G3870" t="inlineStr">
        <is>
          <t>000007551</t>
        </is>
      </c>
      <c r="H3870" t="inlineStr">
        <is>
          <t>R&amp;R TRANSPORTE E LOGISTICA</t>
        </is>
      </c>
      <c r="J3870" s="29" t="n">
        <v>33.31</v>
      </c>
      <c r="K3870" s="29">
        <f>(1-ISNUMBER(SEARCH("556",M3870)))*(O3870*SUMIFS(Premissas!$C$5:$C$44,Premissas!$A$5:$A$44,$A3870,Premissas!$B$5:$B$44,$B3870)+P3870*SUMIFS(Premissas!$D$5:$D$44,Premissas!$A$5:$A$44,$A3870,Premissas!$B$5:$B$44,$B3870))+R3870*SUMIFS(Premissas!$E$5:$E$44,Premissas!$A$5:$A$44,$A3870,Premissas!$B$5:$B$44,$B3870)+S3870*SUMIFS(Premissas!$F$5:$F$44,Premissas!$A$5:$A$44,$A3870,Premissas!$B$5:$B$44,$B3870)</f>
        <v/>
      </c>
      <c r="L3870" s="29">
        <f>J3870-K3870</f>
        <v/>
      </c>
      <c r="M3870" t="inlineStr">
        <is>
          <t>2.350</t>
        </is>
      </c>
      <c r="N3870" t="inlineStr">
        <is>
          <t>Modalidade: 0 - Por conta do remetente | Parte: ALMEIDA CARDOSO EMBALAGENS LTDA (17.514.242/0001-04)</t>
        </is>
      </c>
      <c r="O3870" s="29" t="n">
        <v>0</v>
      </c>
      <c r="P3870" s="29" t="n">
        <v>0</v>
      </c>
      <c r="Q3870" s="29" t="n">
        <v>0</v>
      </c>
      <c r="R3870" s="29" t="n">
        <v>0</v>
      </c>
      <c r="S3870" s="29" t="n">
        <v>0</v>
      </c>
      <c r="T3870" t="inlineStr">
        <is>
          <t>25260726975620000130570010000075511001401915</t>
        </is>
      </c>
      <c r="U3870" t="inlineStr">
        <is>
          <t>Não</t>
        </is>
      </c>
    </row>
    <row r="3871">
      <c r="A3871" t="inlineStr">
        <is>
          <t>Frete de venda</t>
        </is>
      </c>
      <c r="B3871" t="inlineStr">
        <is>
          <t>2.01.02 Frete sobre Vendas</t>
        </is>
      </c>
      <c r="C3871" s="30" t="n">
        <v>46204</v>
      </c>
      <c r="D3871" t="inlineStr">
        <is>
          <t>Em 2026</t>
        </is>
      </c>
      <c r="E3871" s="28" t="n">
        <v>46211</v>
      </c>
      <c r="F3871" t="inlineStr">
        <is>
          <t>CT-e</t>
        </is>
      </c>
      <c r="G3871" t="inlineStr">
        <is>
          <t>000007552</t>
        </is>
      </c>
      <c r="H3871" t="inlineStr">
        <is>
          <t>R&amp;R TRANSPORTE E LOGISTICA</t>
        </is>
      </c>
      <c r="J3871" s="29" t="n">
        <v>99.36</v>
      </c>
      <c r="K3871" s="29">
        <f>(1-ISNUMBER(SEARCH("556",M3871)))*(O3871*SUMIFS(Premissas!$C$5:$C$44,Premissas!$A$5:$A$44,$A3871,Premissas!$B$5:$B$44,$B3871)+P3871*SUMIFS(Premissas!$D$5:$D$44,Premissas!$A$5:$A$44,$A3871,Premissas!$B$5:$B$44,$B3871))+R3871*SUMIFS(Premissas!$E$5:$E$44,Premissas!$A$5:$A$44,$A3871,Premissas!$B$5:$B$44,$B3871)+S3871*SUMIFS(Premissas!$F$5:$F$44,Premissas!$A$5:$A$44,$A3871,Premissas!$B$5:$B$44,$B3871)</f>
        <v/>
      </c>
      <c r="L3871" s="29">
        <f>J3871-K3871</f>
        <v/>
      </c>
      <c r="M3871" t="inlineStr">
        <is>
          <t>2.350</t>
        </is>
      </c>
      <c r="N3871" t="inlineStr">
        <is>
          <t>Modalidade: 0 - Por conta do remetente | Parte: MORENO FESTAS LTDA (18.133.456/0001-95)</t>
        </is>
      </c>
      <c r="O3871" s="29" t="n">
        <v>0</v>
      </c>
      <c r="P3871" s="29" t="n">
        <v>0</v>
      </c>
      <c r="Q3871" s="29" t="n">
        <v>0</v>
      </c>
      <c r="R3871" s="29" t="n">
        <v>0</v>
      </c>
      <c r="S3871" s="29" t="n">
        <v>0</v>
      </c>
      <c r="T3871" t="inlineStr">
        <is>
          <t>25260726975620000130570010000075521001501267</t>
        </is>
      </c>
      <c r="U3871" t="inlineStr">
        <is>
          <t>Não</t>
        </is>
      </c>
    </row>
    <row r="3872">
      <c r="A3872" t="inlineStr">
        <is>
          <t>Frete de venda</t>
        </is>
      </c>
      <c r="B3872" t="inlineStr">
        <is>
          <t>2.01.02 Frete sobre Vendas</t>
        </is>
      </c>
      <c r="C3872" s="30" t="n">
        <v>46204</v>
      </c>
      <c r="D3872" t="inlineStr">
        <is>
          <t>Em 2026</t>
        </is>
      </c>
      <c r="E3872" s="28" t="n">
        <v>46211</v>
      </c>
      <c r="F3872" t="inlineStr">
        <is>
          <t>CT-e</t>
        </is>
      </c>
      <c r="G3872" t="inlineStr">
        <is>
          <t>000007553</t>
        </is>
      </c>
      <c r="H3872" t="inlineStr">
        <is>
          <t>R&amp;R TRANSPORTE E LOGISTICA</t>
        </is>
      </c>
      <c r="J3872" s="29" t="n">
        <v>32.17</v>
      </c>
      <c r="K3872" s="29">
        <f>(1-ISNUMBER(SEARCH("556",M3872)))*(O3872*SUMIFS(Premissas!$C$5:$C$44,Premissas!$A$5:$A$44,$A3872,Premissas!$B$5:$B$44,$B3872)+P3872*SUMIFS(Premissas!$D$5:$D$44,Premissas!$A$5:$A$44,$A3872,Premissas!$B$5:$B$44,$B3872))+R3872*SUMIFS(Premissas!$E$5:$E$44,Premissas!$A$5:$A$44,$A3872,Premissas!$B$5:$B$44,$B3872)+S3872*SUMIFS(Premissas!$F$5:$F$44,Premissas!$A$5:$A$44,$A3872,Premissas!$B$5:$B$44,$B3872)</f>
        <v/>
      </c>
      <c r="L3872" s="29">
        <f>J3872-K3872</f>
        <v/>
      </c>
      <c r="M3872" t="inlineStr">
        <is>
          <t>2.350</t>
        </is>
      </c>
      <c r="N3872" t="inlineStr">
        <is>
          <t>Modalidade: 0 - Por conta do remetente | Parte: ELIANE EMBALAGEM LTDA (46.840.612/0001-93)</t>
        </is>
      </c>
      <c r="O3872" s="29" t="n">
        <v>0</v>
      </c>
      <c r="P3872" s="29" t="n">
        <v>0</v>
      </c>
      <c r="Q3872" s="29" t="n">
        <v>0</v>
      </c>
      <c r="R3872" s="29" t="n">
        <v>0</v>
      </c>
      <c r="S3872" s="29" t="n">
        <v>0</v>
      </c>
      <c r="T3872" t="inlineStr">
        <is>
          <t>25260726975620000130570010000075531001201341</t>
        </is>
      </c>
      <c r="U3872" t="inlineStr">
        <is>
          <t>Não</t>
        </is>
      </c>
    </row>
    <row r="3873">
      <c r="A3873" t="inlineStr">
        <is>
          <t>Frete de venda</t>
        </is>
      </c>
      <c r="B3873" t="inlineStr">
        <is>
          <t>2.01.02 Frete sobre Vendas</t>
        </is>
      </c>
      <c r="C3873" s="30" t="n">
        <v>46204</v>
      </c>
      <c r="D3873" t="inlineStr">
        <is>
          <t>Em 2026</t>
        </is>
      </c>
      <c r="E3873" s="28" t="n">
        <v>46211</v>
      </c>
      <c r="F3873" t="inlineStr">
        <is>
          <t>CT-e</t>
        </is>
      </c>
      <c r="G3873" t="inlineStr">
        <is>
          <t>000007554</t>
        </is>
      </c>
      <c r="H3873" t="inlineStr">
        <is>
          <t>R&amp;R TRANSPORTE E LOGISTICA</t>
        </is>
      </c>
      <c r="J3873" s="29" t="n">
        <v>51.32</v>
      </c>
      <c r="K3873" s="29">
        <f>(1-ISNUMBER(SEARCH("556",M3873)))*(O3873*SUMIFS(Premissas!$C$5:$C$44,Premissas!$A$5:$A$44,$A3873,Premissas!$B$5:$B$44,$B3873)+P3873*SUMIFS(Premissas!$D$5:$D$44,Premissas!$A$5:$A$44,$A3873,Premissas!$B$5:$B$44,$B3873))+R3873*SUMIFS(Premissas!$E$5:$E$44,Premissas!$A$5:$A$44,$A3873,Premissas!$B$5:$B$44,$B3873)+S3873*SUMIFS(Premissas!$F$5:$F$44,Premissas!$A$5:$A$44,$A3873,Premissas!$B$5:$B$44,$B3873)</f>
        <v/>
      </c>
      <c r="L3873" s="29">
        <f>J3873-K3873</f>
        <v/>
      </c>
      <c r="M3873" t="inlineStr">
        <is>
          <t>2.350</t>
        </is>
      </c>
      <c r="N3873" t="inlineStr">
        <is>
          <t>Modalidade: 0 - Por conta do remetente | Parte: NOVA ROCHA DISTRIBUIDORA DE EMBALAGENS LTDA (25.175.820/0001-45)</t>
        </is>
      </c>
      <c r="O3873" s="29" t="n">
        <v>0</v>
      </c>
      <c r="P3873" s="29" t="n">
        <v>0</v>
      </c>
      <c r="Q3873" s="29" t="n">
        <v>0</v>
      </c>
      <c r="R3873" s="29" t="n">
        <v>0</v>
      </c>
      <c r="S3873" s="29" t="n">
        <v>0</v>
      </c>
      <c r="T3873" t="inlineStr">
        <is>
          <t>25260726975620000130570010000075541011001423</t>
        </is>
      </c>
      <c r="U3873" t="inlineStr">
        <is>
          <t>Não</t>
        </is>
      </c>
    </row>
    <row r="3874">
      <c r="A3874" t="inlineStr">
        <is>
          <t>Frete de venda</t>
        </is>
      </c>
      <c r="B3874" t="inlineStr">
        <is>
          <t>2.01.02 Frete sobre Vendas</t>
        </is>
      </c>
      <c r="C3874" s="30" t="n">
        <v>46204</v>
      </c>
      <c r="D3874" t="inlineStr">
        <is>
          <t>Em 2026</t>
        </is>
      </c>
      <c r="E3874" s="28" t="n">
        <v>46211</v>
      </c>
      <c r="F3874" t="inlineStr">
        <is>
          <t>CT-e</t>
        </is>
      </c>
      <c r="G3874" t="inlineStr">
        <is>
          <t>000007555</t>
        </is>
      </c>
      <c r="H3874" t="inlineStr">
        <is>
          <t>R&amp;R TRANSPORTE E LOGISTICA</t>
        </is>
      </c>
      <c r="J3874" s="29" t="n">
        <v>31.25</v>
      </c>
      <c r="K3874" s="29">
        <f>(1-ISNUMBER(SEARCH("556",M3874)))*(O3874*SUMIFS(Premissas!$C$5:$C$44,Premissas!$A$5:$A$44,$A3874,Premissas!$B$5:$B$44,$B3874)+P3874*SUMIFS(Premissas!$D$5:$D$44,Premissas!$A$5:$A$44,$A3874,Premissas!$B$5:$B$44,$B3874))+R3874*SUMIFS(Premissas!$E$5:$E$44,Premissas!$A$5:$A$44,$A3874,Premissas!$B$5:$B$44,$B3874)+S3874*SUMIFS(Premissas!$F$5:$F$44,Premissas!$A$5:$A$44,$A3874,Premissas!$B$5:$B$44,$B3874)</f>
        <v/>
      </c>
      <c r="L3874" s="29">
        <f>J3874-K3874</f>
        <v/>
      </c>
      <c r="M3874" t="inlineStr">
        <is>
          <t>2.350</t>
        </is>
      </c>
      <c r="N3874" t="inlineStr">
        <is>
          <t>Modalidade: 0 - Por conta do remetente | Parte: A DE O LEMOS NETO LTDA (50.569.720/0001-40)</t>
        </is>
      </c>
      <c r="O3874" s="29" t="n">
        <v>0</v>
      </c>
      <c r="P3874" s="29" t="n">
        <v>0</v>
      </c>
      <c r="Q3874" s="29" t="n">
        <v>0</v>
      </c>
      <c r="R3874" s="29" t="n">
        <v>0</v>
      </c>
      <c r="S3874" s="29" t="n">
        <v>0</v>
      </c>
      <c r="T3874" t="inlineStr">
        <is>
          <t>25260726975620000130570010000075551001701500</t>
        </is>
      </c>
      <c r="U3874" t="inlineStr">
        <is>
          <t>Não</t>
        </is>
      </c>
    </row>
    <row r="3875">
      <c r="A3875" t="inlineStr">
        <is>
          <t>Frete de venda</t>
        </is>
      </c>
      <c r="B3875" t="inlineStr">
        <is>
          <t>2.01.02 Frete sobre Vendas</t>
        </is>
      </c>
      <c r="C3875" s="30" t="n">
        <v>46204</v>
      </c>
      <c r="D3875" t="inlineStr">
        <is>
          <t>Em 2026</t>
        </is>
      </c>
      <c r="E3875" s="28" t="n">
        <v>46211</v>
      </c>
      <c r="F3875" t="inlineStr">
        <is>
          <t>CT-e</t>
        </is>
      </c>
      <c r="G3875" t="inlineStr">
        <is>
          <t>000007556</t>
        </is>
      </c>
      <c r="H3875" t="inlineStr">
        <is>
          <t>R&amp;R TRANSPORTE E LOGISTICA</t>
        </is>
      </c>
      <c r="J3875" s="29" t="n">
        <v>42.73</v>
      </c>
      <c r="K3875" s="29">
        <f>(1-ISNUMBER(SEARCH("556",M3875)))*(O3875*SUMIFS(Premissas!$C$5:$C$44,Premissas!$A$5:$A$44,$A3875,Premissas!$B$5:$B$44,$B3875)+P3875*SUMIFS(Premissas!$D$5:$D$44,Premissas!$A$5:$A$44,$A3875,Premissas!$B$5:$B$44,$B3875))+R3875*SUMIFS(Premissas!$E$5:$E$44,Premissas!$A$5:$A$44,$A3875,Premissas!$B$5:$B$44,$B3875)+S3875*SUMIFS(Premissas!$F$5:$F$44,Premissas!$A$5:$A$44,$A3875,Premissas!$B$5:$B$44,$B3875)</f>
        <v/>
      </c>
      <c r="L3875" s="29">
        <f>J3875-K3875</f>
        <v/>
      </c>
      <c r="M3875" t="inlineStr">
        <is>
          <t>2.350</t>
        </is>
      </c>
      <c r="N3875" t="inlineStr">
        <is>
          <t>Modalidade: 0 - Por conta do remetente | Parte: PLASPEL COMERCIO DE EMBALAGENS LTDA (43.498.579/0001-77)</t>
        </is>
      </c>
      <c r="O3875" s="29" t="n">
        <v>0</v>
      </c>
      <c r="P3875" s="29" t="n">
        <v>0</v>
      </c>
      <c r="Q3875" s="29" t="n">
        <v>0</v>
      </c>
      <c r="R3875" s="29" t="n">
        <v>0</v>
      </c>
      <c r="S3875" s="29" t="n">
        <v>0</v>
      </c>
      <c r="T3875" t="inlineStr">
        <is>
          <t>25260726975620000130570010000075561001401580</t>
        </is>
      </c>
      <c r="U3875" t="inlineStr">
        <is>
          <t>Não</t>
        </is>
      </c>
    </row>
    <row r="3876">
      <c r="A3876" t="inlineStr">
        <is>
          <t>Frete de venda</t>
        </is>
      </c>
      <c r="B3876" t="inlineStr">
        <is>
          <t>2.01.02 Frete sobre Vendas</t>
        </is>
      </c>
      <c r="C3876" s="30" t="n">
        <v>46204</v>
      </c>
      <c r="D3876" t="inlineStr">
        <is>
          <t>Em 2026</t>
        </is>
      </c>
      <c r="E3876" s="28" t="n">
        <v>46211</v>
      </c>
      <c r="F3876" t="inlineStr">
        <is>
          <t>CT-e</t>
        </is>
      </c>
      <c r="G3876" t="inlineStr">
        <is>
          <t>000007557</t>
        </is>
      </c>
      <c r="H3876" t="inlineStr">
        <is>
          <t>R&amp;R TRANSPORTE E LOGISTICA</t>
        </is>
      </c>
      <c r="J3876" s="29" t="n">
        <v>34.24</v>
      </c>
      <c r="K3876" s="29">
        <f>(1-ISNUMBER(SEARCH("556",M3876)))*(O3876*SUMIFS(Premissas!$C$5:$C$44,Premissas!$A$5:$A$44,$A3876,Premissas!$B$5:$B$44,$B3876)+P3876*SUMIFS(Premissas!$D$5:$D$44,Premissas!$A$5:$A$44,$A3876,Premissas!$B$5:$B$44,$B3876))+R3876*SUMIFS(Premissas!$E$5:$E$44,Premissas!$A$5:$A$44,$A3876,Premissas!$B$5:$B$44,$B3876)+S3876*SUMIFS(Premissas!$F$5:$F$44,Premissas!$A$5:$A$44,$A3876,Premissas!$B$5:$B$44,$B3876)</f>
        <v/>
      </c>
      <c r="L3876" s="29">
        <f>J3876-K3876</f>
        <v/>
      </c>
      <c r="M3876" t="inlineStr">
        <is>
          <t>2.350</t>
        </is>
      </c>
      <c r="N3876" t="inlineStr">
        <is>
          <t>Modalidade: 0 - Por conta do remetente | Parte: DONNA DISTRIBUIDORA LTDA (52.238.099/0001-68)</t>
        </is>
      </c>
      <c r="O3876" s="29" t="n">
        <v>0</v>
      </c>
      <c r="P3876" s="29" t="n">
        <v>0</v>
      </c>
      <c r="Q3876" s="29" t="n">
        <v>0</v>
      </c>
      <c r="R3876" s="29" t="n">
        <v>0</v>
      </c>
      <c r="S3876" s="29" t="n">
        <v>0</v>
      </c>
      <c r="T3876" t="inlineStr">
        <is>
          <t>25260726975620000130570010000075571001101664</t>
        </is>
      </c>
      <c r="U3876" t="inlineStr">
        <is>
          <t>Não</t>
        </is>
      </c>
    </row>
    <row r="3877">
      <c r="A3877" t="inlineStr">
        <is>
          <t>Frete de venda</t>
        </is>
      </c>
      <c r="B3877" t="inlineStr">
        <is>
          <t>2.01.02 Frete sobre Vendas</t>
        </is>
      </c>
      <c r="C3877" s="30" t="n">
        <v>46204</v>
      </c>
      <c r="D3877" t="inlineStr">
        <is>
          <t>Em 2026</t>
        </is>
      </c>
      <c r="E3877" s="28" t="n">
        <v>46211</v>
      </c>
      <c r="F3877" t="inlineStr">
        <is>
          <t>CT-e</t>
        </is>
      </c>
      <c r="G3877" t="inlineStr">
        <is>
          <t>000007560</t>
        </is>
      </c>
      <c r="H3877" t="inlineStr">
        <is>
          <t>R&amp;R TRANSPORTE E LOGISTICA</t>
        </is>
      </c>
      <c r="J3877" s="29" t="n">
        <v>31.29</v>
      </c>
      <c r="K3877" s="29">
        <f>(1-ISNUMBER(SEARCH("556",M3877)))*(O3877*SUMIFS(Premissas!$C$5:$C$44,Premissas!$A$5:$A$44,$A3877,Premissas!$B$5:$B$44,$B3877)+P3877*SUMIFS(Premissas!$D$5:$D$44,Premissas!$A$5:$A$44,$A3877,Premissas!$B$5:$B$44,$B3877))+R3877*SUMIFS(Premissas!$E$5:$E$44,Premissas!$A$5:$A$44,$A3877,Premissas!$B$5:$B$44,$B3877)+S3877*SUMIFS(Premissas!$F$5:$F$44,Premissas!$A$5:$A$44,$A3877,Premissas!$B$5:$B$44,$B3877)</f>
        <v/>
      </c>
      <c r="L3877" s="29">
        <f>J3877-K3877</f>
        <v/>
      </c>
      <c r="M3877" t="inlineStr">
        <is>
          <t>2.350</t>
        </is>
      </c>
      <c r="N3877" t="inlineStr">
        <is>
          <t>Modalidade: 0 - Por conta do remetente | Parte: TROPICAL FESTAS E EMBALAGENS - C. A. NOLETO DA COSTA (34.906.974/0001-50)</t>
        </is>
      </c>
      <c r="O3877" s="29" t="n">
        <v>0</v>
      </c>
      <c r="P3877" s="29" t="n">
        <v>0</v>
      </c>
      <c r="Q3877" s="29" t="n">
        <v>0</v>
      </c>
      <c r="R3877" s="29" t="n">
        <v>0</v>
      </c>
      <c r="S3877" s="29" t="n">
        <v>0</v>
      </c>
      <c r="T3877" t="inlineStr">
        <is>
          <t>25260726975620000130570010000075601001301901</t>
        </is>
      </c>
      <c r="U3877" t="inlineStr">
        <is>
          <t>Não</t>
        </is>
      </c>
    </row>
    <row r="3878">
      <c r="A3878" t="inlineStr">
        <is>
          <t>Frete de venda</t>
        </is>
      </c>
      <c r="B3878" t="inlineStr">
        <is>
          <t>2.01.02 Frete sobre Vendas</t>
        </is>
      </c>
      <c r="C3878" s="30" t="n">
        <v>46204</v>
      </c>
      <c r="D3878" t="inlineStr">
        <is>
          <t>Em 2026</t>
        </is>
      </c>
      <c r="E3878" s="28" t="n">
        <v>46211</v>
      </c>
      <c r="F3878" t="inlineStr">
        <is>
          <t>CT-e</t>
        </is>
      </c>
      <c r="G3878" t="inlineStr">
        <is>
          <t>000007561</t>
        </is>
      </c>
      <c r="H3878" t="inlineStr">
        <is>
          <t>R&amp;R TRANSPORTE E LOGISTICA</t>
        </is>
      </c>
      <c r="J3878" s="29" t="n">
        <v>64.48</v>
      </c>
      <c r="K3878" s="29">
        <f>(1-ISNUMBER(SEARCH("556",M3878)))*(O3878*SUMIFS(Premissas!$C$5:$C$44,Premissas!$A$5:$A$44,$A3878,Premissas!$B$5:$B$44,$B3878)+P3878*SUMIFS(Premissas!$D$5:$D$44,Premissas!$A$5:$A$44,$A3878,Premissas!$B$5:$B$44,$B3878))+R3878*SUMIFS(Premissas!$E$5:$E$44,Premissas!$A$5:$A$44,$A3878,Premissas!$B$5:$B$44,$B3878)+S3878*SUMIFS(Premissas!$F$5:$F$44,Premissas!$A$5:$A$44,$A3878,Premissas!$B$5:$B$44,$B3878)</f>
        <v/>
      </c>
      <c r="L3878" s="29">
        <f>J3878-K3878</f>
        <v/>
      </c>
      <c r="M3878" t="inlineStr">
        <is>
          <t>2.350</t>
        </is>
      </c>
      <c r="N3878" t="inlineStr">
        <is>
          <t>Modalidade: 0 - Por conta do remetente | Parte: JAMES L. H. TOME e CIA LTDA (16.965.024/0006-20)</t>
        </is>
      </c>
      <c r="O3878" s="29" t="n">
        <v>0</v>
      </c>
      <c r="P3878" s="29" t="n">
        <v>0</v>
      </c>
      <c r="Q3878" s="29" t="n">
        <v>0</v>
      </c>
      <c r="R3878" s="29" t="n">
        <v>0</v>
      </c>
      <c r="S3878" s="29" t="n">
        <v>0</v>
      </c>
      <c r="T3878" t="inlineStr">
        <is>
          <t>25260726975620000130570010000075611000101981</t>
        </is>
      </c>
      <c r="U3878" t="inlineStr">
        <is>
          <t>Não</t>
        </is>
      </c>
    </row>
    <row r="3879">
      <c r="A3879" t="inlineStr">
        <is>
          <t>Frete de venda</t>
        </is>
      </c>
      <c r="B3879" t="inlineStr">
        <is>
          <t>2.01.02 Frete sobre Vendas</t>
        </is>
      </c>
      <c r="C3879" s="30" t="n">
        <v>46204</v>
      </c>
      <c r="D3879" t="inlineStr">
        <is>
          <t>Em 2026</t>
        </is>
      </c>
      <c r="E3879" s="28" t="n">
        <v>46211</v>
      </c>
      <c r="F3879" t="inlineStr">
        <is>
          <t>CT-e</t>
        </is>
      </c>
      <c r="G3879" t="inlineStr">
        <is>
          <t>000007562</t>
        </is>
      </c>
      <c r="H3879" t="inlineStr">
        <is>
          <t>R&amp;R TRANSPORTE E LOGISTICA</t>
        </is>
      </c>
      <c r="J3879" s="29" t="n">
        <v>45.82</v>
      </c>
      <c r="K3879" s="29">
        <f>(1-ISNUMBER(SEARCH("556",M3879)))*(O3879*SUMIFS(Premissas!$C$5:$C$44,Premissas!$A$5:$A$44,$A3879,Premissas!$B$5:$B$44,$B3879)+P3879*SUMIFS(Premissas!$D$5:$D$44,Premissas!$A$5:$A$44,$A3879,Premissas!$B$5:$B$44,$B3879))+R3879*SUMIFS(Premissas!$E$5:$E$44,Premissas!$A$5:$A$44,$A3879,Premissas!$B$5:$B$44,$B3879)+S3879*SUMIFS(Premissas!$F$5:$F$44,Premissas!$A$5:$A$44,$A3879,Premissas!$B$5:$B$44,$B3879)</f>
        <v/>
      </c>
      <c r="L3879" s="29">
        <f>J3879-K3879</f>
        <v/>
      </c>
      <c r="M3879" t="inlineStr">
        <is>
          <t>2.350</t>
        </is>
      </c>
      <c r="N3879" t="inlineStr">
        <is>
          <t>Modalidade: 0 - Por conta do remetente | Parte: CAVALCANTE E LAGES LTDA (06.120.924/0001-08)</t>
        </is>
      </c>
      <c r="O3879" s="29" t="n">
        <v>0</v>
      </c>
      <c r="P3879" s="29" t="n">
        <v>0</v>
      </c>
      <c r="Q3879" s="29" t="n">
        <v>0</v>
      </c>
      <c r="R3879" s="29" t="n">
        <v>0</v>
      </c>
      <c r="S3879" s="29" t="n">
        <v>0</v>
      </c>
      <c r="T3879" t="inlineStr">
        <is>
          <t>25260726975620000130570010000075621001101338</t>
        </is>
      </c>
      <c r="U3879" t="inlineStr">
        <is>
          <t>Não</t>
        </is>
      </c>
    </row>
    <row r="3880">
      <c r="A3880" t="inlineStr">
        <is>
          <t>Frete de venda</t>
        </is>
      </c>
      <c r="B3880" t="inlineStr">
        <is>
          <t>2.01.02 Frete sobre Vendas</t>
        </is>
      </c>
      <c r="C3880" s="30" t="n">
        <v>46204</v>
      </c>
      <c r="D3880" t="inlineStr">
        <is>
          <t>Em 2026</t>
        </is>
      </c>
      <c r="E3880" s="28" t="n">
        <v>46211</v>
      </c>
      <c r="F3880" t="inlineStr">
        <is>
          <t>CT-e</t>
        </is>
      </c>
      <c r="G3880" t="inlineStr">
        <is>
          <t>000007563</t>
        </is>
      </c>
      <c r="H3880" t="inlineStr">
        <is>
          <t>R&amp;R TRANSPORTE E LOGISTICA</t>
        </is>
      </c>
      <c r="J3880" s="29" t="n">
        <v>41.24</v>
      </c>
      <c r="K3880" s="29">
        <f>(1-ISNUMBER(SEARCH("556",M3880)))*(O3880*SUMIFS(Premissas!$C$5:$C$44,Premissas!$A$5:$A$44,$A3880,Premissas!$B$5:$B$44,$B3880)+P3880*SUMIFS(Premissas!$D$5:$D$44,Premissas!$A$5:$A$44,$A3880,Premissas!$B$5:$B$44,$B3880))+R3880*SUMIFS(Premissas!$E$5:$E$44,Premissas!$A$5:$A$44,$A3880,Premissas!$B$5:$B$44,$B3880)+S3880*SUMIFS(Premissas!$F$5:$F$44,Premissas!$A$5:$A$44,$A3880,Premissas!$B$5:$B$44,$B3880)</f>
        <v/>
      </c>
      <c r="L3880" s="29">
        <f>J3880-K3880</f>
        <v/>
      </c>
      <c r="M3880" t="inlineStr">
        <is>
          <t>2.350</t>
        </is>
      </c>
      <c r="N3880" t="inlineStr">
        <is>
          <t>Modalidade: 0 - Por conta do remetente | Parte: A SARAIVA DA CRUZ COMERCIAL LTDA (01.342.240/0001-37)</t>
        </is>
      </c>
      <c r="O3880" s="29" t="n">
        <v>0</v>
      </c>
      <c r="P3880" s="29" t="n">
        <v>0</v>
      </c>
      <c r="Q3880" s="29" t="n">
        <v>0</v>
      </c>
      <c r="R3880" s="29" t="n">
        <v>0</v>
      </c>
      <c r="S3880" s="29" t="n">
        <v>0</v>
      </c>
      <c r="T3880" t="inlineStr">
        <is>
          <t>25260726975620000130570010000075631001901412</t>
        </is>
      </c>
      <c r="U3880" t="inlineStr">
        <is>
          <t>Não</t>
        </is>
      </c>
    </row>
    <row r="3881">
      <c r="A3881" t="inlineStr">
        <is>
          <t>Frete de venda</t>
        </is>
      </c>
      <c r="B3881" t="inlineStr">
        <is>
          <t>2.01.02 Frete sobre Vendas</t>
        </is>
      </c>
      <c r="C3881" s="30" t="n">
        <v>46204</v>
      </c>
      <c r="D3881" t="inlineStr">
        <is>
          <t>Em 2026</t>
        </is>
      </c>
      <c r="E3881" s="28" t="n">
        <v>46211</v>
      </c>
      <c r="F3881" t="inlineStr">
        <is>
          <t>CT-e</t>
        </is>
      </c>
      <c r="G3881" t="inlineStr">
        <is>
          <t>000007564</t>
        </is>
      </c>
      <c r="H3881" t="inlineStr">
        <is>
          <t>R&amp;R TRANSPORTE E LOGISTICA</t>
        </is>
      </c>
      <c r="J3881" s="29" t="n">
        <v>103.38</v>
      </c>
      <c r="K3881" s="29">
        <f>(1-ISNUMBER(SEARCH("556",M3881)))*(O3881*SUMIFS(Premissas!$C$5:$C$44,Premissas!$A$5:$A$44,$A3881,Premissas!$B$5:$B$44,$B3881)+P3881*SUMIFS(Premissas!$D$5:$D$44,Premissas!$A$5:$A$44,$A3881,Premissas!$B$5:$B$44,$B3881))+R3881*SUMIFS(Premissas!$E$5:$E$44,Premissas!$A$5:$A$44,$A3881,Premissas!$B$5:$B$44,$B3881)+S3881*SUMIFS(Premissas!$F$5:$F$44,Premissas!$A$5:$A$44,$A3881,Premissas!$B$5:$B$44,$B3881)</f>
        <v/>
      </c>
      <c r="L3881" s="29">
        <f>J3881-K3881</f>
        <v/>
      </c>
      <c r="M3881" t="inlineStr">
        <is>
          <t>2.350</t>
        </is>
      </c>
      <c r="N3881" t="inlineStr">
        <is>
          <t>Modalidade: 0 - Por conta do remetente | Parte: LIDER INDUSTRIA E COMERCIO LTDA (45.762.979/0001-73)</t>
        </is>
      </c>
      <c r="O3881" s="29" t="n">
        <v>0</v>
      </c>
      <c r="P3881" s="29" t="n">
        <v>0</v>
      </c>
      <c r="Q3881" s="29" t="n">
        <v>0</v>
      </c>
      <c r="R3881" s="29" t="n">
        <v>0</v>
      </c>
      <c r="S3881" s="29" t="n">
        <v>0</v>
      </c>
      <c r="T3881" t="inlineStr">
        <is>
          <t>25260726975620000130570010000075641001601491</t>
        </is>
      </c>
      <c r="U3881" t="inlineStr">
        <is>
          <t>Não</t>
        </is>
      </c>
    </row>
    <row r="3882">
      <c r="A3882" t="inlineStr">
        <is>
          <t>Frete de venda</t>
        </is>
      </c>
      <c r="B3882" t="inlineStr">
        <is>
          <t>2.01.02 Frete sobre Vendas</t>
        </is>
      </c>
      <c r="C3882" s="30" t="n">
        <v>46204</v>
      </c>
      <c r="D3882" t="inlineStr">
        <is>
          <t>Em 2026</t>
        </is>
      </c>
      <c r="E3882" s="28" t="n">
        <v>46211</v>
      </c>
      <c r="F3882" t="inlineStr">
        <is>
          <t>CT-e</t>
        </is>
      </c>
      <c r="G3882" t="inlineStr">
        <is>
          <t>000007565</t>
        </is>
      </c>
      <c r="H3882" t="inlineStr">
        <is>
          <t>R&amp;R TRANSPORTE E LOGISTICA</t>
        </is>
      </c>
      <c r="J3882" s="29" t="n">
        <v>32.97</v>
      </c>
      <c r="K3882" s="29">
        <f>(1-ISNUMBER(SEARCH("556",M3882)))*(O3882*SUMIFS(Premissas!$C$5:$C$44,Premissas!$A$5:$A$44,$A3882,Premissas!$B$5:$B$44,$B3882)+P3882*SUMIFS(Premissas!$D$5:$D$44,Premissas!$A$5:$A$44,$A3882,Premissas!$B$5:$B$44,$B3882))+R3882*SUMIFS(Premissas!$E$5:$E$44,Premissas!$A$5:$A$44,$A3882,Premissas!$B$5:$B$44,$B3882)+S3882*SUMIFS(Premissas!$F$5:$F$44,Premissas!$A$5:$A$44,$A3882,Premissas!$B$5:$B$44,$B3882)</f>
        <v/>
      </c>
      <c r="L3882" s="29">
        <f>J3882-K3882</f>
        <v/>
      </c>
      <c r="M3882" t="inlineStr">
        <is>
          <t>2.350</t>
        </is>
      </c>
      <c r="N3882" t="inlineStr">
        <is>
          <t>Modalidade: 0 - Por conta do remetente | Parte: K C P COSTA COMERCIO (52.126.955/0001-93)</t>
        </is>
      </c>
      <c r="O3882" s="29" t="n">
        <v>0</v>
      </c>
      <c r="P3882" s="29" t="n">
        <v>0</v>
      </c>
      <c r="Q3882" s="29" t="n">
        <v>0</v>
      </c>
      <c r="R3882" s="29" t="n">
        <v>0</v>
      </c>
      <c r="S3882" s="29" t="n">
        <v>0</v>
      </c>
      <c r="T3882" t="inlineStr">
        <is>
          <t>25260726975620000130570010000075651001301576</t>
        </is>
      </c>
      <c r="U3882" t="inlineStr">
        <is>
          <t>Não</t>
        </is>
      </c>
    </row>
    <row r="3883">
      <c r="A3883" t="inlineStr">
        <is>
          <t>Frete de venda</t>
        </is>
      </c>
      <c r="B3883" t="inlineStr">
        <is>
          <t>2.01.02 Frete sobre Vendas</t>
        </is>
      </c>
      <c r="C3883" s="30" t="n">
        <v>46204</v>
      </c>
      <c r="D3883" t="inlineStr">
        <is>
          <t>Em 2026</t>
        </is>
      </c>
      <c r="E3883" s="28" t="n">
        <v>46211</v>
      </c>
      <c r="F3883" t="inlineStr">
        <is>
          <t>CT-e</t>
        </is>
      </c>
      <c r="G3883" t="inlineStr">
        <is>
          <t>000007566</t>
        </is>
      </c>
      <c r="H3883" t="inlineStr">
        <is>
          <t>R&amp;R TRANSPORTE E LOGISTICA</t>
        </is>
      </c>
      <c r="J3883" s="29" t="n">
        <v>35.62</v>
      </c>
      <c r="K3883" s="29">
        <f>(1-ISNUMBER(SEARCH("556",M3883)))*(O3883*SUMIFS(Premissas!$C$5:$C$44,Premissas!$A$5:$A$44,$A3883,Premissas!$B$5:$B$44,$B3883)+P3883*SUMIFS(Premissas!$D$5:$D$44,Premissas!$A$5:$A$44,$A3883,Premissas!$B$5:$B$44,$B3883))+R3883*SUMIFS(Premissas!$E$5:$E$44,Premissas!$A$5:$A$44,$A3883,Premissas!$B$5:$B$44,$B3883)+S3883*SUMIFS(Premissas!$F$5:$F$44,Premissas!$A$5:$A$44,$A3883,Premissas!$B$5:$B$44,$B3883)</f>
        <v/>
      </c>
      <c r="L3883" s="29">
        <f>J3883-K3883</f>
        <v/>
      </c>
      <c r="M3883" t="inlineStr">
        <is>
          <t>2.350</t>
        </is>
      </c>
      <c r="N3883" t="inlineStr">
        <is>
          <t>Modalidade: 0 - Por conta do remetente | Parte: M F FRANCO MATOS LTDA (37.308.649/0001-84)</t>
        </is>
      </c>
      <c r="O3883" s="29" t="n">
        <v>0</v>
      </c>
      <c r="P3883" s="29" t="n">
        <v>0</v>
      </c>
      <c r="Q3883" s="29" t="n">
        <v>0</v>
      </c>
      <c r="R3883" s="29" t="n">
        <v>0</v>
      </c>
      <c r="S3883" s="29" t="n">
        <v>0</v>
      </c>
      <c r="T3883" t="inlineStr">
        <is>
          <t>25260726975620000130570010000075661000101651</t>
        </is>
      </c>
      <c r="U3883" t="inlineStr">
        <is>
          <t>Não</t>
        </is>
      </c>
    </row>
    <row r="3884">
      <c r="A3884" t="inlineStr">
        <is>
          <t>Frete de venda</t>
        </is>
      </c>
      <c r="B3884" t="inlineStr">
        <is>
          <t>2.01.02 Frete sobre Vendas</t>
        </is>
      </c>
      <c r="C3884" s="30" t="n">
        <v>46204</v>
      </c>
      <c r="D3884" t="inlineStr">
        <is>
          <t>Em 2026</t>
        </is>
      </c>
      <c r="E3884" s="28" t="n">
        <v>46211</v>
      </c>
      <c r="F3884" t="inlineStr">
        <is>
          <t>CT-e</t>
        </is>
      </c>
      <c r="G3884" t="inlineStr">
        <is>
          <t>000007567</t>
        </is>
      </c>
      <c r="H3884" t="inlineStr">
        <is>
          <t>R&amp;R TRANSPORTE E LOGISTICA</t>
        </is>
      </c>
      <c r="J3884" s="29" t="n">
        <v>35.83</v>
      </c>
      <c r="K3884" s="29">
        <f>(1-ISNUMBER(SEARCH("556",M3884)))*(O3884*SUMIFS(Premissas!$C$5:$C$44,Premissas!$A$5:$A$44,$A3884,Premissas!$B$5:$B$44,$B3884)+P3884*SUMIFS(Premissas!$D$5:$D$44,Premissas!$A$5:$A$44,$A3884,Premissas!$B$5:$B$44,$B3884))+R3884*SUMIFS(Premissas!$E$5:$E$44,Premissas!$A$5:$A$44,$A3884,Premissas!$B$5:$B$44,$B3884)+S3884*SUMIFS(Premissas!$F$5:$F$44,Premissas!$A$5:$A$44,$A3884,Premissas!$B$5:$B$44,$B3884)</f>
        <v/>
      </c>
      <c r="L3884" s="29">
        <f>J3884-K3884</f>
        <v/>
      </c>
      <c r="M3884" t="inlineStr">
        <is>
          <t>2.350</t>
        </is>
      </c>
      <c r="N3884" t="inlineStr">
        <is>
          <t>Modalidade: 0 - Por conta do remetente | Parte: SUPER PLASTICOS ATACAREJO LTDA (48.268.818/0001-16)</t>
        </is>
      </c>
      <c r="O3884" s="29" t="n">
        <v>0</v>
      </c>
      <c r="P3884" s="29" t="n">
        <v>0</v>
      </c>
      <c r="Q3884" s="29" t="n">
        <v>0</v>
      </c>
      <c r="R3884" s="29" t="n">
        <v>0</v>
      </c>
      <c r="S3884" s="29" t="n">
        <v>0</v>
      </c>
      <c r="T3884" t="inlineStr">
        <is>
          <t>25260726975620000130570010000075671001801735</t>
        </is>
      </c>
      <c r="U3884" t="inlineStr">
        <is>
          <t>Não</t>
        </is>
      </c>
    </row>
    <row r="3885">
      <c r="A3885" t="inlineStr">
        <is>
          <t>Frete de venda</t>
        </is>
      </c>
      <c r="B3885" t="inlineStr">
        <is>
          <t>2.01.02 Frete sobre Vendas</t>
        </is>
      </c>
      <c r="C3885" s="30" t="n">
        <v>46204</v>
      </c>
      <c r="D3885" t="inlineStr">
        <is>
          <t>Em 2026</t>
        </is>
      </c>
      <c r="E3885" s="28" t="n">
        <v>46211</v>
      </c>
      <c r="F3885" t="inlineStr">
        <is>
          <t>CT-e</t>
        </is>
      </c>
      <c r="G3885" t="inlineStr">
        <is>
          <t>000007568</t>
        </is>
      </c>
      <c r="H3885" t="inlineStr">
        <is>
          <t>R&amp;R TRANSPORTE E LOGISTICA</t>
        </is>
      </c>
      <c r="J3885" s="29" t="n">
        <v>51.1</v>
      </c>
      <c r="K3885" s="29">
        <f>(1-ISNUMBER(SEARCH("556",M3885)))*(O3885*SUMIFS(Premissas!$C$5:$C$44,Premissas!$A$5:$A$44,$A3885,Premissas!$B$5:$B$44,$B3885)+P3885*SUMIFS(Premissas!$D$5:$D$44,Premissas!$A$5:$A$44,$A3885,Premissas!$B$5:$B$44,$B3885))+R3885*SUMIFS(Premissas!$E$5:$E$44,Premissas!$A$5:$A$44,$A3885,Premissas!$B$5:$B$44,$B3885)+S3885*SUMIFS(Premissas!$F$5:$F$44,Premissas!$A$5:$A$44,$A3885,Premissas!$B$5:$B$44,$B3885)</f>
        <v/>
      </c>
      <c r="L3885" s="29">
        <f>J3885-K3885</f>
        <v/>
      </c>
      <c r="M3885" t="inlineStr">
        <is>
          <t>2.350</t>
        </is>
      </c>
      <c r="N3885" t="inlineStr">
        <is>
          <t>Modalidade: 0 - Por conta do remetente | Parte: M A SOUSA PLASTICOS LTDA (54.684.971/0001-27)</t>
        </is>
      </c>
      <c r="O3885" s="29" t="n">
        <v>0</v>
      </c>
      <c r="P3885" s="29" t="n">
        <v>0</v>
      </c>
      <c r="Q3885" s="29" t="n">
        <v>0</v>
      </c>
      <c r="R3885" s="29" t="n">
        <v>0</v>
      </c>
      <c r="S3885" s="29" t="n">
        <v>0</v>
      </c>
      <c r="T3885" t="inlineStr">
        <is>
          <t>25260726975620000130570010000075681001501810</t>
        </is>
      </c>
      <c r="U3885" t="inlineStr">
        <is>
          <t>Não</t>
        </is>
      </c>
    </row>
    <row r="3886">
      <c r="A3886" t="inlineStr">
        <is>
          <t>Frete de venda</t>
        </is>
      </c>
      <c r="B3886" t="inlineStr">
        <is>
          <t>2.01.02 Frete sobre Vendas</t>
        </is>
      </c>
      <c r="C3886" s="30" t="n">
        <v>46204</v>
      </c>
      <c r="D3886" t="inlineStr">
        <is>
          <t>Em 2026</t>
        </is>
      </c>
      <c r="E3886" s="28" t="n">
        <v>46212</v>
      </c>
      <c r="F3886" t="inlineStr">
        <is>
          <t>CT-e</t>
        </is>
      </c>
      <c r="G3886" t="inlineStr">
        <is>
          <t>000007569</t>
        </is>
      </c>
      <c r="H3886" t="inlineStr">
        <is>
          <t>R&amp;R TRANSPORTE E LOGISTICA</t>
        </is>
      </c>
      <c r="J3886" s="29" t="n">
        <v>24.09</v>
      </c>
      <c r="K3886" s="29">
        <f>(1-ISNUMBER(SEARCH("556",M3886)))*(O3886*SUMIFS(Premissas!$C$5:$C$44,Premissas!$A$5:$A$44,$A3886,Premissas!$B$5:$B$44,$B3886)+P3886*SUMIFS(Premissas!$D$5:$D$44,Premissas!$A$5:$A$44,$A3886,Premissas!$B$5:$B$44,$B3886))+R3886*SUMIFS(Premissas!$E$5:$E$44,Premissas!$A$5:$A$44,$A3886,Premissas!$B$5:$B$44,$B3886)+S3886*SUMIFS(Premissas!$F$5:$F$44,Premissas!$A$5:$A$44,$A3886,Premissas!$B$5:$B$44,$B3886)</f>
        <v/>
      </c>
      <c r="L3886" s="29">
        <f>J3886-K3886</f>
        <v/>
      </c>
      <c r="M3886" t="inlineStr">
        <is>
          <t>2.350</t>
        </is>
      </c>
      <c r="N3886" t="inlineStr">
        <is>
          <t>Modalidade: 0 - Por conta do remetente | Parte: MIL COMERCIO DE EMBALAGENS LTDA (03.000.441/0001-81)</t>
        </is>
      </c>
      <c r="O3886" s="29" t="n">
        <v>0</v>
      </c>
      <c r="P3886" s="29" t="n">
        <v>0</v>
      </c>
      <c r="Q3886" s="29" t="n">
        <v>0</v>
      </c>
      <c r="R3886" s="29" t="n">
        <v>0</v>
      </c>
      <c r="S3886" s="29" t="n">
        <v>0</v>
      </c>
      <c r="T3886" t="inlineStr">
        <is>
          <t>25260726975620000130570010000075691001601609</t>
        </is>
      </c>
      <c r="U3886" t="inlineStr">
        <is>
          <t>Não</t>
        </is>
      </c>
    </row>
    <row r="3887">
      <c r="A3887" t="inlineStr">
        <is>
          <t>Frete de venda</t>
        </is>
      </c>
      <c r="B3887" t="inlineStr">
        <is>
          <t>2.01.02 Frete sobre Vendas</t>
        </is>
      </c>
      <c r="C3887" s="30" t="n">
        <v>46204</v>
      </c>
      <c r="D3887" t="inlineStr">
        <is>
          <t>Em 2026</t>
        </is>
      </c>
      <c r="E3887" s="28" t="n">
        <v>46212</v>
      </c>
      <c r="F3887" t="inlineStr">
        <is>
          <t>CT-e</t>
        </is>
      </c>
      <c r="G3887" t="inlineStr">
        <is>
          <t>000007570</t>
        </is>
      </c>
      <c r="H3887" t="inlineStr">
        <is>
          <t>R&amp;R TRANSPORTE E LOGISTICA</t>
        </is>
      </c>
      <c r="J3887" s="29" t="n">
        <v>24.09</v>
      </c>
      <c r="K3887" s="29">
        <f>(1-ISNUMBER(SEARCH("556",M3887)))*(O3887*SUMIFS(Premissas!$C$5:$C$44,Premissas!$A$5:$A$44,$A3887,Premissas!$B$5:$B$44,$B3887)+P3887*SUMIFS(Premissas!$D$5:$D$44,Premissas!$A$5:$A$44,$A3887,Premissas!$B$5:$B$44,$B3887))+R3887*SUMIFS(Premissas!$E$5:$E$44,Premissas!$A$5:$A$44,$A3887,Premissas!$B$5:$B$44,$B3887)+S3887*SUMIFS(Premissas!$F$5:$F$44,Premissas!$A$5:$A$44,$A3887,Premissas!$B$5:$B$44,$B3887)</f>
        <v/>
      </c>
      <c r="L3887" s="29">
        <f>J3887-K3887</f>
        <v/>
      </c>
      <c r="M3887" t="inlineStr">
        <is>
          <t>2.350</t>
        </is>
      </c>
      <c r="N3887" t="inlineStr">
        <is>
          <t>Modalidade: 0 - Por conta do remetente | Parte: BITTENCOURT E SCARDUELLI LTDA ME (24.112.232/0001-08)</t>
        </is>
      </c>
      <c r="O3887" s="29" t="n">
        <v>0</v>
      </c>
      <c r="P3887" s="29" t="n">
        <v>0</v>
      </c>
      <c r="Q3887" s="29" t="n">
        <v>0</v>
      </c>
      <c r="R3887" s="29" t="n">
        <v>0</v>
      </c>
      <c r="S3887" s="29" t="n">
        <v>0</v>
      </c>
      <c r="T3887" t="inlineStr">
        <is>
          <t>25260726975620000130570010000075701001301681</t>
        </is>
      </c>
      <c r="U3887" t="inlineStr">
        <is>
          <t>Não</t>
        </is>
      </c>
    </row>
    <row r="3888">
      <c r="A3888" t="inlineStr">
        <is>
          <t>Frete de venda</t>
        </is>
      </c>
      <c r="B3888" t="inlineStr">
        <is>
          <t>2.01.02 Frete sobre Vendas</t>
        </is>
      </c>
      <c r="C3888" s="30" t="n">
        <v>46204</v>
      </c>
      <c r="D3888" t="inlineStr">
        <is>
          <t>Em 2026</t>
        </is>
      </c>
      <c r="E3888" s="28" t="n">
        <v>46212</v>
      </c>
      <c r="F3888" t="inlineStr">
        <is>
          <t>CT-e</t>
        </is>
      </c>
      <c r="G3888" t="inlineStr">
        <is>
          <t>000007571</t>
        </is>
      </c>
      <c r="H3888" t="inlineStr">
        <is>
          <t>R&amp;R TRANSPORTE E LOGISTICA</t>
        </is>
      </c>
      <c r="J3888" s="29" t="n">
        <v>24.09</v>
      </c>
      <c r="K3888" s="29">
        <f>(1-ISNUMBER(SEARCH("556",M3888)))*(O3888*SUMIFS(Premissas!$C$5:$C$44,Premissas!$A$5:$A$44,$A3888,Premissas!$B$5:$B$44,$B3888)+P3888*SUMIFS(Premissas!$D$5:$D$44,Premissas!$A$5:$A$44,$A3888,Premissas!$B$5:$B$44,$B3888))+R3888*SUMIFS(Premissas!$E$5:$E$44,Premissas!$A$5:$A$44,$A3888,Premissas!$B$5:$B$44,$B3888)+S3888*SUMIFS(Premissas!$F$5:$F$44,Premissas!$A$5:$A$44,$A3888,Premissas!$B$5:$B$44,$B3888)</f>
        <v/>
      </c>
      <c r="L3888" s="29">
        <f>J3888-K3888</f>
        <v/>
      </c>
      <c r="M3888" t="inlineStr">
        <is>
          <t>2.350</t>
        </is>
      </c>
      <c r="N3888" t="inlineStr">
        <is>
          <t>Modalidade: 0 - Por conta do remetente | Parte: JESSICA NUNES MACHADO (57.436.850/0001-54)</t>
        </is>
      </c>
      <c r="O3888" s="29" t="n">
        <v>0</v>
      </c>
      <c r="P3888" s="29" t="n">
        <v>0</v>
      </c>
      <c r="Q3888" s="29" t="n">
        <v>0</v>
      </c>
      <c r="R3888" s="29" t="n">
        <v>0</v>
      </c>
      <c r="S3888" s="29" t="n">
        <v>0</v>
      </c>
      <c r="T3888" t="inlineStr">
        <is>
          <t>25260726975620000130570010000075711000101767</t>
        </is>
      </c>
      <c r="U3888" t="inlineStr">
        <is>
          <t>Não</t>
        </is>
      </c>
    </row>
    <row r="3889">
      <c r="A3889" t="inlineStr">
        <is>
          <t>Frete de venda</t>
        </is>
      </c>
      <c r="B3889" t="inlineStr">
        <is>
          <t>2.01.02 Frete sobre Vendas</t>
        </is>
      </c>
      <c r="C3889" s="30" t="n">
        <v>46204</v>
      </c>
      <c r="D3889" t="inlineStr">
        <is>
          <t>Em 2026</t>
        </is>
      </c>
      <c r="E3889" s="28" t="n">
        <v>46212</v>
      </c>
      <c r="F3889" t="inlineStr">
        <is>
          <t>CT-e</t>
        </is>
      </c>
      <c r="G3889" t="inlineStr">
        <is>
          <t>000007572</t>
        </is>
      </c>
      <c r="H3889" t="inlineStr">
        <is>
          <t>R&amp;R TRANSPORTE E LOGISTICA</t>
        </is>
      </c>
      <c r="J3889" s="29" t="n">
        <v>24.09</v>
      </c>
      <c r="K3889" s="29">
        <f>(1-ISNUMBER(SEARCH("556",M3889)))*(O3889*SUMIFS(Premissas!$C$5:$C$44,Premissas!$A$5:$A$44,$A3889,Premissas!$B$5:$B$44,$B3889)+P3889*SUMIFS(Premissas!$D$5:$D$44,Premissas!$A$5:$A$44,$A3889,Premissas!$B$5:$B$44,$B3889))+R3889*SUMIFS(Premissas!$E$5:$E$44,Premissas!$A$5:$A$44,$A3889,Premissas!$B$5:$B$44,$B3889)+S3889*SUMIFS(Premissas!$F$5:$F$44,Premissas!$A$5:$A$44,$A3889,Premissas!$B$5:$B$44,$B3889)</f>
        <v/>
      </c>
      <c r="L3889" s="29">
        <f>J3889-K3889</f>
        <v/>
      </c>
      <c r="M3889" t="inlineStr">
        <is>
          <t>2.350</t>
        </is>
      </c>
      <c r="N3889" t="inlineStr">
        <is>
          <t>Modalidade: 0 - Por conta do remetente | Parte: CASA NOVA COMERCIO DE EMBALAGENS LTDA (05.390.605/0001-50)</t>
        </is>
      </c>
      <c r="O3889" s="29" t="n">
        <v>0</v>
      </c>
      <c r="P3889" s="29" t="n">
        <v>0</v>
      </c>
      <c r="Q3889" s="29" t="n">
        <v>0</v>
      </c>
      <c r="R3889" s="29" t="n">
        <v>0</v>
      </c>
      <c r="S3889" s="29" t="n">
        <v>0</v>
      </c>
      <c r="T3889" t="inlineStr">
        <is>
          <t>25260726975620000130570010000075721001801840</t>
        </is>
      </c>
      <c r="U3889" t="inlineStr">
        <is>
          <t>Não</t>
        </is>
      </c>
    </row>
    <row r="3890">
      <c r="A3890" t="inlineStr">
        <is>
          <t>Frete de venda</t>
        </is>
      </c>
      <c r="B3890" t="inlineStr">
        <is>
          <t>2.01.02 Frete sobre Vendas</t>
        </is>
      </c>
      <c r="C3890" s="30" t="n">
        <v>46204</v>
      </c>
      <c r="D3890" t="inlineStr">
        <is>
          <t>Em 2026</t>
        </is>
      </c>
      <c r="E3890" s="28" t="n">
        <v>46212</v>
      </c>
      <c r="F3890" t="inlineStr">
        <is>
          <t>CT-e</t>
        </is>
      </c>
      <c r="G3890" t="inlineStr">
        <is>
          <t>000007573</t>
        </is>
      </c>
      <c r="H3890" t="inlineStr">
        <is>
          <t>R&amp;R TRANSPORTE E LOGISTICA</t>
        </is>
      </c>
      <c r="J3890" s="29" t="n">
        <v>24.09</v>
      </c>
      <c r="K3890" s="29">
        <f>(1-ISNUMBER(SEARCH("556",M3890)))*(O3890*SUMIFS(Premissas!$C$5:$C$44,Premissas!$A$5:$A$44,$A3890,Premissas!$B$5:$B$44,$B3890)+P3890*SUMIFS(Premissas!$D$5:$D$44,Premissas!$A$5:$A$44,$A3890,Premissas!$B$5:$B$44,$B3890))+R3890*SUMIFS(Premissas!$E$5:$E$44,Premissas!$A$5:$A$44,$A3890,Premissas!$B$5:$B$44,$B3890)+S3890*SUMIFS(Premissas!$F$5:$F$44,Premissas!$A$5:$A$44,$A3890,Premissas!$B$5:$B$44,$B3890)</f>
        <v/>
      </c>
      <c r="L3890" s="29">
        <f>J3890-K3890</f>
        <v/>
      </c>
      <c r="M3890" t="inlineStr">
        <is>
          <t>2.350</t>
        </is>
      </c>
      <c r="N3890" t="inlineStr">
        <is>
          <t>Modalidade: 0 - Por conta do remetente | Parte: JB AGGIO LTDA (95.420.758/0001-95)</t>
        </is>
      </c>
      <c r="O3890" s="29" t="n">
        <v>0</v>
      </c>
      <c r="P3890" s="29" t="n">
        <v>0</v>
      </c>
      <c r="Q3890" s="29" t="n">
        <v>0</v>
      </c>
      <c r="R3890" s="29" t="n">
        <v>0</v>
      </c>
      <c r="S3890" s="29" t="n">
        <v>0</v>
      </c>
      <c r="T3890" t="inlineStr">
        <is>
          <t>25260726975620000130570010000075731001501925</t>
        </is>
      </c>
      <c r="U3890" t="inlineStr">
        <is>
          <t>Não</t>
        </is>
      </c>
    </row>
    <row r="3891">
      <c r="A3891" t="inlineStr">
        <is>
          <t>Frete de venda</t>
        </is>
      </c>
      <c r="B3891" t="inlineStr">
        <is>
          <t>2.01.02 Frete sobre Vendas</t>
        </is>
      </c>
      <c r="C3891" s="30" t="n">
        <v>46204</v>
      </c>
      <c r="D3891" t="inlineStr">
        <is>
          <t>Em 2026</t>
        </is>
      </c>
      <c r="E3891" s="28" t="n">
        <v>46212</v>
      </c>
      <c r="F3891" t="inlineStr">
        <is>
          <t>CT-e</t>
        </is>
      </c>
      <c r="G3891" t="inlineStr">
        <is>
          <t>000007574</t>
        </is>
      </c>
      <c r="H3891" t="inlineStr">
        <is>
          <t>R&amp;R TRANSPORTE E LOGISTICA</t>
        </is>
      </c>
      <c r="J3891" s="29" t="n">
        <v>24.09</v>
      </c>
      <c r="K3891" s="29">
        <f>(1-ISNUMBER(SEARCH("556",M3891)))*(O3891*SUMIFS(Premissas!$C$5:$C$44,Premissas!$A$5:$A$44,$A3891,Premissas!$B$5:$B$44,$B3891)+P3891*SUMIFS(Premissas!$D$5:$D$44,Premissas!$A$5:$A$44,$A3891,Premissas!$B$5:$B$44,$B3891))+R3891*SUMIFS(Premissas!$E$5:$E$44,Premissas!$A$5:$A$44,$A3891,Premissas!$B$5:$B$44,$B3891)+S3891*SUMIFS(Premissas!$F$5:$F$44,Premissas!$A$5:$A$44,$A3891,Premissas!$B$5:$B$44,$B3891)</f>
        <v/>
      </c>
      <c r="L3891" s="29">
        <f>J3891-K3891</f>
        <v/>
      </c>
      <c r="M3891" t="inlineStr">
        <is>
          <t>2.350</t>
        </is>
      </c>
      <c r="N3891" t="inlineStr">
        <is>
          <t>Modalidade: 0 - Por conta do remetente | Parte: CELSO LUIZ NOVACH (04.904.552/0001-85)</t>
        </is>
      </c>
      <c r="O3891" s="29" t="n">
        <v>0</v>
      </c>
      <c r="P3891" s="29" t="n">
        <v>0</v>
      </c>
      <c r="Q3891" s="29" t="n">
        <v>0</v>
      </c>
      <c r="R3891" s="29" t="n">
        <v>0</v>
      </c>
      <c r="S3891" s="29" t="n">
        <v>0</v>
      </c>
      <c r="T3891" t="inlineStr">
        <is>
          <t>25260726975620000130570010000075741001202003</t>
        </is>
      </c>
      <c r="U3891" t="inlineStr">
        <is>
          <t>Não</t>
        </is>
      </c>
    </row>
    <row r="3892">
      <c r="A3892" t="inlineStr">
        <is>
          <t>Frete de venda</t>
        </is>
      </c>
      <c r="B3892" t="inlineStr">
        <is>
          <t>2.01.02 Frete sobre Vendas</t>
        </is>
      </c>
      <c r="C3892" s="30" t="n">
        <v>46204</v>
      </c>
      <c r="D3892" t="inlineStr">
        <is>
          <t>Em 2026</t>
        </is>
      </c>
      <c r="E3892" s="28" t="n">
        <v>46212</v>
      </c>
      <c r="F3892" t="inlineStr">
        <is>
          <t>CT-e</t>
        </is>
      </c>
      <c r="G3892" t="inlineStr">
        <is>
          <t>000007575</t>
        </is>
      </c>
      <c r="H3892" t="inlineStr">
        <is>
          <t>R&amp;R TRANSPORTE E LOGISTICA</t>
        </is>
      </c>
      <c r="J3892" s="29" t="n">
        <v>24.09</v>
      </c>
      <c r="K3892" s="29">
        <f>(1-ISNUMBER(SEARCH("556",M3892)))*(O3892*SUMIFS(Premissas!$C$5:$C$44,Premissas!$A$5:$A$44,$A3892,Premissas!$B$5:$B$44,$B3892)+P3892*SUMIFS(Premissas!$D$5:$D$44,Premissas!$A$5:$A$44,$A3892,Premissas!$B$5:$B$44,$B3892))+R3892*SUMIFS(Premissas!$E$5:$E$44,Premissas!$A$5:$A$44,$A3892,Premissas!$B$5:$B$44,$B3892)+S3892*SUMIFS(Premissas!$F$5:$F$44,Premissas!$A$5:$A$44,$A3892,Premissas!$B$5:$B$44,$B3892)</f>
        <v/>
      </c>
      <c r="L3892" s="29">
        <f>J3892-K3892</f>
        <v/>
      </c>
      <c r="M3892" t="inlineStr">
        <is>
          <t>2.350</t>
        </is>
      </c>
      <c r="N3892" t="inlineStr">
        <is>
          <t>Modalidade: 0 - Por conta do remetente | Parte: BEBIFRIOS COMERCIAL LTDA (05.796.195/0001-41)</t>
        </is>
      </c>
      <c r="O3892" s="29" t="n">
        <v>0</v>
      </c>
      <c r="P3892" s="29" t="n">
        <v>0</v>
      </c>
      <c r="Q3892" s="29" t="n">
        <v>0</v>
      </c>
      <c r="R3892" s="29" t="n">
        <v>0</v>
      </c>
      <c r="S3892" s="29" t="n">
        <v>0</v>
      </c>
      <c r="T3892" t="inlineStr">
        <is>
          <t>25260726975620000130570010000075751011002080</t>
        </is>
      </c>
      <c r="U3892" t="inlineStr">
        <is>
          <t>Não</t>
        </is>
      </c>
    </row>
    <row r="3893">
      <c r="A3893" t="inlineStr">
        <is>
          <t>Frete de venda</t>
        </is>
      </c>
      <c r="B3893" t="inlineStr">
        <is>
          <t>2.01.02 Frete sobre Vendas</t>
        </is>
      </c>
      <c r="C3893" s="30" t="n">
        <v>46204</v>
      </c>
      <c r="D3893" t="inlineStr">
        <is>
          <t>Em 2026</t>
        </is>
      </c>
      <c r="E3893" s="28" t="n">
        <v>46212</v>
      </c>
      <c r="F3893" t="inlineStr">
        <is>
          <t>CT-e</t>
        </is>
      </c>
      <c r="G3893" t="inlineStr">
        <is>
          <t>000007576</t>
        </is>
      </c>
      <c r="H3893" t="inlineStr">
        <is>
          <t>R&amp;R TRANSPORTE E LOGISTICA</t>
        </is>
      </c>
      <c r="J3893" s="29" t="n">
        <v>24.09</v>
      </c>
      <c r="K3893" s="29">
        <f>(1-ISNUMBER(SEARCH("556",M3893)))*(O3893*SUMIFS(Premissas!$C$5:$C$44,Premissas!$A$5:$A$44,$A3893,Premissas!$B$5:$B$44,$B3893)+P3893*SUMIFS(Premissas!$D$5:$D$44,Premissas!$A$5:$A$44,$A3893,Premissas!$B$5:$B$44,$B3893))+R3893*SUMIFS(Premissas!$E$5:$E$44,Premissas!$A$5:$A$44,$A3893,Premissas!$B$5:$B$44,$B3893)+S3893*SUMIFS(Premissas!$F$5:$F$44,Premissas!$A$5:$A$44,$A3893,Premissas!$B$5:$B$44,$B3893)</f>
        <v/>
      </c>
      <c r="L3893" s="29">
        <f>J3893-K3893</f>
        <v/>
      </c>
      <c r="M3893" t="inlineStr">
        <is>
          <t>2.350</t>
        </is>
      </c>
      <c r="N3893" t="inlineStr">
        <is>
          <t>Modalidade: 0 - Por conta do remetente | Parte: JOVANI RODRIGUES (25.093.490/0001-49)</t>
        </is>
      </c>
      <c r="O3893" s="29" t="n">
        <v>0</v>
      </c>
      <c r="P3893" s="29" t="n">
        <v>0</v>
      </c>
      <c r="Q3893" s="29" t="n">
        <v>0</v>
      </c>
      <c r="R3893" s="29" t="n">
        <v>0</v>
      </c>
      <c r="S3893" s="29" t="n">
        <v>0</v>
      </c>
      <c r="T3893" t="inlineStr">
        <is>
          <t>25260726975620000130570010000075761001702167</t>
        </is>
      </c>
      <c r="U3893" t="inlineStr">
        <is>
          <t>Não</t>
        </is>
      </c>
    </row>
    <row r="3894">
      <c r="A3894" t="inlineStr">
        <is>
          <t>Frete de venda</t>
        </is>
      </c>
      <c r="B3894" t="inlineStr">
        <is>
          <t>2.01.02 Frete sobre Vendas</t>
        </is>
      </c>
      <c r="C3894" s="30" t="n">
        <v>46204</v>
      </c>
      <c r="D3894" t="inlineStr">
        <is>
          <t>Em 2026</t>
        </is>
      </c>
      <c r="E3894" s="28" t="n">
        <v>46212</v>
      </c>
      <c r="F3894" t="inlineStr">
        <is>
          <t>CT-e</t>
        </is>
      </c>
      <c r="G3894" t="inlineStr">
        <is>
          <t>000007577</t>
        </is>
      </c>
      <c r="H3894" t="inlineStr">
        <is>
          <t>R&amp;R TRANSPORTE E LOGISTICA</t>
        </is>
      </c>
      <c r="J3894" s="29" t="n">
        <v>24.09</v>
      </c>
      <c r="K3894" s="29">
        <f>(1-ISNUMBER(SEARCH("556",M3894)))*(O3894*SUMIFS(Premissas!$C$5:$C$44,Premissas!$A$5:$A$44,$A3894,Premissas!$B$5:$B$44,$B3894)+P3894*SUMIFS(Premissas!$D$5:$D$44,Premissas!$A$5:$A$44,$A3894,Premissas!$B$5:$B$44,$B3894))+R3894*SUMIFS(Premissas!$E$5:$E$44,Premissas!$A$5:$A$44,$A3894,Premissas!$B$5:$B$44,$B3894)+S3894*SUMIFS(Premissas!$F$5:$F$44,Premissas!$A$5:$A$44,$A3894,Premissas!$B$5:$B$44,$B3894)</f>
        <v/>
      </c>
      <c r="L3894" s="29">
        <f>J3894-K3894</f>
        <v/>
      </c>
      <c r="M3894" t="inlineStr">
        <is>
          <t>2.350</t>
        </is>
      </c>
      <c r="N3894" t="inlineStr">
        <is>
          <t>Modalidade: 0 - Por conta do remetente | Parte: RODRIGO BOAVENTURA ROSA e CIA LTDA (07.254.164/0001-94)</t>
        </is>
      </c>
      <c r="O3894" s="29" t="n">
        <v>0</v>
      </c>
      <c r="P3894" s="29" t="n">
        <v>0</v>
      </c>
      <c r="Q3894" s="29" t="n">
        <v>0</v>
      </c>
      <c r="R3894" s="29" t="n">
        <v>0</v>
      </c>
      <c r="S3894" s="29" t="n">
        <v>0</v>
      </c>
      <c r="T3894" t="inlineStr">
        <is>
          <t>25260726975620000130570010000075771001402241</t>
        </is>
      </c>
      <c r="U3894" t="inlineStr">
        <is>
          <t>Não</t>
        </is>
      </c>
    </row>
    <row r="3895">
      <c r="A3895" t="inlineStr">
        <is>
          <t>Frete de venda</t>
        </is>
      </c>
      <c r="B3895" t="inlineStr">
        <is>
          <t>2.01.02 Frete sobre Vendas</t>
        </is>
      </c>
      <c r="C3895" s="30" t="n">
        <v>46204</v>
      </c>
      <c r="D3895" t="inlineStr">
        <is>
          <t>Em 2026</t>
        </is>
      </c>
      <c r="E3895" s="28" t="n">
        <v>46212</v>
      </c>
      <c r="F3895" t="inlineStr">
        <is>
          <t>CT-e</t>
        </is>
      </c>
      <c r="G3895" t="inlineStr">
        <is>
          <t>000007578</t>
        </is>
      </c>
      <c r="H3895" t="inlineStr">
        <is>
          <t>R&amp;R TRANSPORTE E LOGISTICA</t>
        </is>
      </c>
      <c r="J3895" s="29" t="n">
        <v>24.09</v>
      </c>
      <c r="K3895" s="29">
        <f>(1-ISNUMBER(SEARCH("556",M3895)))*(O3895*SUMIFS(Premissas!$C$5:$C$44,Premissas!$A$5:$A$44,$A3895,Premissas!$B$5:$B$44,$B3895)+P3895*SUMIFS(Premissas!$D$5:$D$44,Premissas!$A$5:$A$44,$A3895,Premissas!$B$5:$B$44,$B3895))+R3895*SUMIFS(Premissas!$E$5:$E$44,Premissas!$A$5:$A$44,$A3895,Premissas!$B$5:$B$44,$B3895)+S3895*SUMIFS(Premissas!$F$5:$F$44,Premissas!$A$5:$A$44,$A3895,Premissas!$B$5:$B$44,$B3895)</f>
        <v/>
      </c>
      <c r="L3895" s="29">
        <f>J3895-K3895</f>
        <v/>
      </c>
      <c r="M3895" t="inlineStr">
        <is>
          <t>2.350</t>
        </is>
      </c>
      <c r="N3895" t="inlineStr">
        <is>
          <t>Modalidade: 0 - Por conta do remetente | Parte: PRESTIGE COMERCIO ATACADISTA DE EMBALAGENS LTDA (12.497.666/0001-86)</t>
        </is>
      </c>
      <c r="O3895" s="29" t="n">
        <v>0</v>
      </c>
      <c r="P3895" s="29" t="n">
        <v>0</v>
      </c>
      <c r="Q3895" s="29" t="n">
        <v>0</v>
      </c>
      <c r="R3895" s="29" t="n">
        <v>0</v>
      </c>
      <c r="S3895" s="29" t="n">
        <v>0</v>
      </c>
      <c r="T3895" t="inlineStr">
        <is>
          <t>25260726975620000130570010000075781001102326</t>
        </is>
      </c>
      <c r="U3895" t="inlineStr">
        <is>
          <t>Não</t>
        </is>
      </c>
    </row>
    <row r="3896">
      <c r="A3896" t="inlineStr">
        <is>
          <t>Frete de venda</t>
        </is>
      </c>
      <c r="B3896" t="inlineStr">
        <is>
          <t>2.01.02 Frete sobre Vendas</t>
        </is>
      </c>
      <c r="C3896" s="30" t="n">
        <v>46204</v>
      </c>
      <c r="D3896" t="inlineStr">
        <is>
          <t>Em 2026</t>
        </is>
      </c>
      <c r="E3896" s="28" t="n">
        <v>46212</v>
      </c>
      <c r="F3896" t="inlineStr">
        <is>
          <t>CT-e</t>
        </is>
      </c>
      <c r="G3896" t="inlineStr">
        <is>
          <t>000007579</t>
        </is>
      </c>
      <c r="H3896" t="inlineStr">
        <is>
          <t>R&amp;R TRANSPORTE E LOGISTICA</t>
        </is>
      </c>
      <c r="J3896" s="29" t="n">
        <v>24.09</v>
      </c>
      <c r="K3896" s="29">
        <f>(1-ISNUMBER(SEARCH("556",M3896)))*(O3896*SUMIFS(Premissas!$C$5:$C$44,Premissas!$A$5:$A$44,$A3896,Premissas!$B$5:$B$44,$B3896)+P3896*SUMIFS(Premissas!$D$5:$D$44,Premissas!$A$5:$A$44,$A3896,Premissas!$B$5:$B$44,$B3896))+R3896*SUMIFS(Premissas!$E$5:$E$44,Premissas!$A$5:$A$44,$A3896,Premissas!$B$5:$B$44,$B3896)+S3896*SUMIFS(Premissas!$F$5:$F$44,Premissas!$A$5:$A$44,$A3896,Premissas!$B$5:$B$44,$B3896)</f>
        <v/>
      </c>
      <c r="L3896" s="29">
        <f>J3896-K3896</f>
        <v/>
      </c>
      <c r="M3896" t="inlineStr">
        <is>
          <t>2.350</t>
        </is>
      </c>
      <c r="N3896" t="inlineStr">
        <is>
          <t>Modalidade: 0 - Por conta do remetente | Parte: MERCADO VOGFORT LTDA (07.307.013/0001-57)</t>
        </is>
      </c>
      <c r="O3896" s="29" t="n">
        <v>0</v>
      </c>
      <c r="P3896" s="29" t="n">
        <v>0</v>
      </c>
      <c r="Q3896" s="29" t="n">
        <v>0</v>
      </c>
      <c r="R3896" s="29" t="n">
        <v>0</v>
      </c>
      <c r="S3896" s="29" t="n">
        <v>0</v>
      </c>
      <c r="T3896" t="inlineStr">
        <is>
          <t>25260726975620000130570010000075791000140485</t>
        </is>
      </c>
      <c r="U3896" t="inlineStr">
        <is>
          <t>Não</t>
        </is>
      </c>
    </row>
    <row r="3897">
      <c r="A3897" t="inlineStr">
        <is>
          <t>Frete de venda</t>
        </is>
      </c>
      <c r="B3897" t="inlineStr">
        <is>
          <t>2.01.02 Frete sobre Vendas</t>
        </is>
      </c>
      <c r="C3897" s="30" t="n">
        <v>46204</v>
      </c>
      <c r="D3897" t="inlineStr">
        <is>
          <t>Em 2026</t>
        </is>
      </c>
      <c r="E3897" s="28" t="n">
        <v>46212</v>
      </c>
      <c r="F3897" t="inlineStr">
        <is>
          <t>CT-e</t>
        </is>
      </c>
      <c r="G3897" t="inlineStr">
        <is>
          <t>000007580</t>
        </is>
      </c>
      <c r="H3897" t="inlineStr">
        <is>
          <t>R&amp;R TRANSPORTE E LOGISTICA</t>
        </is>
      </c>
      <c r="J3897" s="29" t="n">
        <v>24.09</v>
      </c>
      <c r="K3897" s="29">
        <f>(1-ISNUMBER(SEARCH("556",M3897)))*(O3897*SUMIFS(Premissas!$C$5:$C$44,Premissas!$A$5:$A$44,$A3897,Premissas!$B$5:$B$44,$B3897)+P3897*SUMIFS(Premissas!$D$5:$D$44,Premissas!$A$5:$A$44,$A3897,Premissas!$B$5:$B$44,$B3897))+R3897*SUMIFS(Premissas!$E$5:$E$44,Premissas!$A$5:$A$44,$A3897,Premissas!$B$5:$B$44,$B3897)+S3897*SUMIFS(Premissas!$F$5:$F$44,Premissas!$A$5:$A$44,$A3897,Premissas!$B$5:$B$44,$B3897)</f>
        <v/>
      </c>
      <c r="L3897" s="29">
        <f>J3897-K3897</f>
        <v/>
      </c>
      <c r="M3897" t="inlineStr">
        <is>
          <t>2.350</t>
        </is>
      </c>
      <c r="N3897" t="inlineStr">
        <is>
          <t>Modalidade: 0 - Por conta do remetente | Parte: MARIA DE FATIMA MACHADO SEVERO e CIA LTDA (94.672.557/0001-12)</t>
        </is>
      </c>
      <c r="O3897" s="29" t="n">
        <v>0</v>
      </c>
      <c r="P3897" s="29" t="n">
        <v>0</v>
      </c>
      <c r="Q3897" s="29" t="n">
        <v>0</v>
      </c>
      <c r="R3897" s="29" t="n">
        <v>0</v>
      </c>
      <c r="S3897" s="29" t="n">
        <v>0</v>
      </c>
      <c r="T3897" t="inlineStr">
        <is>
          <t>25260726975620000130570010000075801000110560</t>
        </is>
      </c>
      <c r="U3897" t="inlineStr">
        <is>
          <t>Não</t>
        </is>
      </c>
    </row>
    <row r="3898">
      <c r="A3898" t="inlineStr">
        <is>
          <t>Frete de venda</t>
        </is>
      </c>
      <c r="B3898" t="inlineStr">
        <is>
          <t>2.01.02 Frete sobre Vendas</t>
        </is>
      </c>
      <c r="C3898" s="30" t="n">
        <v>46204</v>
      </c>
      <c r="D3898" t="inlineStr">
        <is>
          <t>Em 2026</t>
        </is>
      </c>
      <c r="E3898" s="28" t="n">
        <v>46212</v>
      </c>
      <c r="F3898" t="inlineStr">
        <is>
          <t>CT-e</t>
        </is>
      </c>
      <c r="G3898" t="inlineStr">
        <is>
          <t>000007581</t>
        </is>
      </c>
      <c r="H3898" t="inlineStr">
        <is>
          <t>R&amp;R TRANSPORTE E LOGISTICA</t>
        </is>
      </c>
      <c r="J3898" s="29" t="n">
        <v>24.09</v>
      </c>
      <c r="K3898" s="29">
        <f>(1-ISNUMBER(SEARCH("556",M3898)))*(O3898*SUMIFS(Premissas!$C$5:$C$44,Premissas!$A$5:$A$44,$A3898,Premissas!$B$5:$B$44,$B3898)+P3898*SUMIFS(Premissas!$D$5:$D$44,Premissas!$A$5:$A$44,$A3898,Premissas!$B$5:$B$44,$B3898))+R3898*SUMIFS(Premissas!$E$5:$E$44,Premissas!$A$5:$A$44,$A3898,Premissas!$B$5:$B$44,$B3898)+S3898*SUMIFS(Premissas!$F$5:$F$44,Premissas!$A$5:$A$44,$A3898,Premissas!$B$5:$B$44,$B3898)</f>
        <v/>
      </c>
      <c r="L3898" s="29">
        <f>J3898-K3898</f>
        <v/>
      </c>
      <c r="M3898" t="inlineStr">
        <is>
          <t>2.350</t>
        </is>
      </c>
      <c r="N3898" t="inlineStr">
        <is>
          <t>Modalidade: 0 - Por conta do remetente | Parte: MERCADO LEONEL LTDA - EPP (82.008.087/0001-08)</t>
        </is>
      </c>
      <c r="O3898" s="29" t="n">
        <v>0</v>
      </c>
      <c r="P3898" s="29" t="n">
        <v>0</v>
      </c>
      <c r="Q3898" s="29" t="n">
        <v>0</v>
      </c>
      <c r="R3898" s="29" t="n">
        <v>0</v>
      </c>
      <c r="S3898" s="29" t="n">
        <v>0</v>
      </c>
      <c r="T3898" t="inlineStr">
        <is>
          <t>25260726975620000130570010000075811000190642</t>
        </is>
      </c>
      <c r="U3898" t="inlineStr">
        <is>
          <t>Não</t>
        </is>
      </c>
    </row>
    <row r="3899">
      <c r="A3899" t="inlineStr">
        <is>
          <t>Frete de venda</t>
        </is>
      </c>
      <c r="B3899" t="inlineStr">
        <is>
          <t>2.01.02 Frete sobre Vendas</t>
        </is>
      </c>
      <c r="C3899" s="30" t="n">
        <v>46204</v>
      </c>
      <c r="D3899" t="inlineStr">
        <is>
          <t>Em 2026</t>
        </is>
      </c>
      <c r="E3899" s="28" t="n">
        <v>46212</v>
      </c>
      <c r="F3899" t="inlineStr">
        <is>
          <t>CT-e</t>
        </is>
      </c>
      <c r="G3899" t="inlineStr">
        <is>
          <t>000007582</t>
        </is>
      </c>
      <c r="H3899" t="inlineStr">
        <is>
          <t>R&amp;R TRANSPORTE E LOGISTICA</t>
        </is>
      </c>
      <c r="J3899" s="29" t="n">
        <v>24.09</v>
      </c>
      <c r="K3899" s="29">
        <f>(1-ISNUMBER(SEARCH("556",M3899)))*(O3899*SUMIFS(Premissas!$C$5:$C$44,Premissas!$A$5:$A$44,$A3899,Premissas!$B$5:$B$44,$B3899)+P3899*SUMIFS(Premissas!$D$5:$D$44,Premissas!$A$5:$A$44,$A3899,Premissas!$B$5:$B$44,$B3899))+R3899*SUMIFS(Premissas!$E$5:$E$44,Premissas!$A$5:$A$44,$A3899,Premissas!$B$5:$B$44,$B3899)+S3899*SUMIFS(Premissas!$F$5:$F$44,Premissas!$A$5:$A$44,$A3899,Premissas!$B$5:$B$44,$B3899)</f>
        <v/>
      </c>
      <c r="L3899" s="29">
        <f>J3899-K3899</f>
        <v/>
      </c>
      <c r="M3899" t="inlineStr">
        <is>
          <t>2.350</t>
        </is>
      </c>
      <c r="N3899" t="inlineStr">
        <is>
          <t>Modalidade: 0 - Por conta do remetente | Parte: PARAHIBA EMBALAGENS LTDA (20.436.827/0001-50)</t>
        </is>
      </c>
      <c r="O3899" s="29" t="n">
        <v>0</v>
      </c>
      <c r="P3899" s="29" t="n">
        <v>0</v>
      </c>
      <c r="Q3899" s="29" t="n">
        <v>0</v>
      </c>
      <c r="R3899" s="29" t="n">
        <v>0</v>
      </c>
      <c r="S3899" s="29" t="n">
        <v>0</v>
      </c>
      <c r="T3899" t="inlineStr">
        <is>
          <t>25260726975620000130570010000075821000160724</t>
        </is>
      </c>
      <c r="U3899" t="inlineStr">
        <is>
          <t>Não</t>
        </is>
      </c>
    </row>
    <row r="3900">
      <c r="A3900" t="inlineStr">
        <is>
          <t>Frete de venda</t>
        </is>
      </c>
      <c r="B3900" t="inlineStr">
        <is>
          <t>2.01.02 Frete sobre Vendas</t>
        </is>
      </c>
      <c r="C3900" s="30" t="n">
        <v>46204</v>
      </c>
      <c r="D3900" t="inlineStr">
        <is>
          <t>Em 2026</t>
        </is>
      </c>
      <c r="E3900" s="28" t="n">
        <v>46212</v>
      </c>
      <c r="F3900" t="inlineStr">
        <is>
          <t>CT-e</t>
        </is>
      </c>
      <c r="G3900" t="inlineStr">
        <is>
          <t>000007583</t>
        </is>
      </c>
      <c r="H3900" t="inlineStr">
        <is>
          <t>R&amp;R TRANSPORTE E LOGISTICA</t>
        </is>
      </c>
      <c r="J3900" s="29" t="n">
        <v>24.09</v>
      </c>
      <c r="K3900" s="29">
        <f>(1-ISNUMBER(SEARCH("556",M3900)))*(O3900*SUMIFS(Premissas!$C$5:$C$44,Premissas!$A$5:$A$44,$A3900,Premissas!$B$5:$B$44,$B3900)+P3900*SUMIFS(Premissas!$D$5:$D$44,Premissas!$A$5:$A$44,$A3900,Premissas!$B$5:$B$44,$B3900))+R3900*SUMIFS(Premissas!$E$5:$E$44,Premissas!$A$5:$A$44,$A3900,Premissas!$B$5:$B$44,$B3900)+S3900*SUMIFS(Premissas!$F$5:$F$44,Premissas!$A$5:$A$44,$A3900,Premissas!$B$5:$B$44,$B3900)</f>
        <v/>
      </c>
      <c r="L3900" s="29">
        <f>J3900-K3900</f>
        <v/>
      </c>
      <c r="M3900" t="inlineStr">
        <is>
          <t>2.350</t>
        </is>
      </c>
      <c r="N3900" t="inlineStr">
        <is>
          <t>Modalidade: 0 - Por conta do remetente | Parte: ATACADAO DAS FESTAS E EMBALAGENS LTDA (11.390.297/0001-65)</t>
        </is>
      </c>
      <c r="O3900" s="29" t="n">
        <v>0</v>
      </c>
      <c r="P3900" s="29" t="n">
        <v>0</v>
      </c>
      <c r="Q3900" s="29" t="n">
        <v>0</v>
      </c>
      <c r="R3900" s="29" t="n">
        <v>0</v>
      </c>
      <c r="S3900" s="29" t="n">
        <v>0</v>
      </c>
      <c r="T3900" t="inlineStr">
        <is>
          <t>25260726975620000130570010000075831000130806</t>
        </is>
      </c>
      <c r="U3900" t="inlineStr">
        <is>
          <t>Não</t>
        </is>
      </c>
    </row>
    <row r="3901">
      <c r="A3901" t="inlineStr">
        <is>
          <t>Frete de venda</t>
        </is>
      </c>
      <c r="B3901" t="inlineStr">
        <is>
          <t>2.01.02 Frete sobre Vendas</t>
        </is>
      </c>
      <c r="C3901" s="30" t="n">
        <v>46204</v>
      </c>
      <c r="D3901" t="inlineStr">
        <is>
          <t>Em 2026</t>
        </is>
      </c>
      <c r="E3901" s="28" t="n">
        <v>46212</v>
      </c>
      <c r="F3901" t="inlineStr">
        <is>
          <t>CT-e</t>
        </is>
      </c>
      <c r="G3901" t="inlineStr">
        <is>
          <t>000007584</t>
        </is>
      </c>
      <c r="H3901" t="inlineStr">
        <is>
          <t>R&amp;R TRANSPORTE E LOGISTICA</t>
        </is>
      </c>
      <c r="J3901" s="29" t="n">
        <v>24.09</v>
      </c>
      <c r="K3901" s="29">
        <f>(1-ISNUMBER(SEARCH("556",M3901)))*(O3901*SUMIFS(Premissas!$C$5:$C$44,Premissas!$A$5:$A$44,$A3901,Premissas!$B$5:$B$44,$B3901)+P3901*SUMIFS(Premissas!$D$5:$D$44,Premissas!$A$5:$A$44,$A3901,Premissas!$B$5:$B$44,$B3901))+R3901*SUMIFS(Premissas!$E$5:$E$44,Premissas!$A$5:$A$44,$A3901,Premissas!$B$5:$B$44,$B3901)+S3901*SUMIFS(Premissas!$F$5:$F$44,Premissas!$A$5:$A$44,$A3901,Premissas!$B$5:$B$44,$B3901)</f>
        <v/>
      </c>
      <c r="L3901" s="29">
        <f>J3901-K3901</f>
        <v/>
      </c>
      <c r="M3901" t="inlineStr">
        <is>
          <t>2.350</t>
        </is>
      </c>
      <c r="N3901" t="inlineStr">
        <is>
          <t>Modalidade: 0 - Por conta do remetente | Parte: KAILANE DOS SANTOS DE SOUZA LTDA (53.770.296/0001-96)</t>
        </is>
      </c>
      <c r="O3901" s="29" t="n">
        <v>0</v>
      </c>
      <c r="P3901" s="29" t="n">
        <v>0</v>
      </c>
      <c r="Q3901" s="29" t="n">
        <v>0</v>
      </c>
      <c r="R3901" s="29" t="n">
        <v>0</v>
      </c>
      <c r="S3901" s="29" t="n">
        <v>0</v>
      </c>
      <c r="T3901" t="inlineStr">
        <is>
          <t>25260726975620000130570010000075841000010883</t>
        </is>
      </c>
      <c r="U3901" t="inlineStr">
        <is>
          <t>Não</t>
        </is>
      </c>
    </row>
    <row r="3902">
      <c r="A3902" t="inlineStr">
        <is>
          <t>Frete de venda</t>
        </is>
      </c>
      <c r="B3902" t="inlineStr">
        <is>
          <t>2.01.02 Frete sobre Vendas</t>
        </is>
      </c>
      <c r="C3902" s="30" t="n">
        <v>46204</v>
      </c>
      <c r="D3902" t="inlineStr">
        <is>
          <t>Em 2026</t>
        </is>
      </c>
      <c r="E3902" s="28" t="n">
        <v>46212</v>
      </c>
      <c r="F3902" t="inlineStr">
        <is>
          <t>CT-e</t>
        </is>
      </c>
      <c r="G3902" t="inlineStr">
        <is>
          <t>000007585</t>
        </is>
      </c>
      <c r="H3902" t="inlineStr">
        <is>
          <t>R&amp;R TRANSPORTE E LOGISTICA</t>
        </is>
      </c>
      <c r="J3902" s="29" t="n">
        <v>24.09</v>
      </c>
      <c r="K3902" s="29">
        <f>(1-ISNUMBER(SEARCH("556",M3902)))*(O3902*SUMIFS(Premissas!$C$5:$C$44,Premissas!$A$5:$A$44,$A3902,Premissas!$B$5:$B$44,$B3902)+P3902*SUMIFS(Premissas!$D$5:$D$44,Premissas!$A$5:$A$44,$A3902,Premissas!$B$5:$B$44,$B3902))+R3902*SUMIFS(Premissas!$E$5:$E$44,Premissas!$A$5:$A$44,$A3902,Premissas!$B$5:$B$44,$B3902)+S3902*SUMIFS(Premissas!$F$5:$F$44,Premissas!$A$5:$A$44,$A3902,Premissas!$B$5:$B$44,$B3902)</f>
        <v/>
      </c>
      <c r="L3902" s="29">
        <f>J3902-K3902</f>
        <v/>
      </c>
      <c r="M3902" t="inlineStr">
        <is>
          <t>2.350</t>
        </is>
      </c>
      <c r="N3902" t="inlineStr">
        <is>
          <t>Modalidade: 0 - Por conta do remetente | Parte: SACARIA APOLO LTDA (87.148.623/0001-94)</t>
        </is>
      </c>
      <c r="O3902" s="29" t="n">
        <v>0</v>
      </c>
      <c r="P3902" s="29" t="n">
        <v>0</v>
      </c>
      <c r="Q3902" s="29" t="n">
        <v>0</v>
      </c>
      <c r="R3902" s="29" t="n">
        <v>0</v>
      </c>
      <c r="S3902" s="29" t="n">
        <v>0</v>
      </c>
      <c r="T3902" t="inlineStr">
        <is>
          <t>25260726975620000130570010000075851000180964</t>
        </is>
      </c>
      <c r="U3902" t="inlineStr">
        <is>
          <t>Não</t>
        </is>
      </c>
    </row>
    <row r="3903">
      <c r="A3903" t="inlineStr">
        <is>
          <t>Frete de venda</t>
        </is>
      </c>
      <c r="B3903" t="inlineStr">
        <is>
          <t>2.01.02 Frete sobre Vendas</t>
        </is>
      </c>
      <c r="C3903" s="30" t="n">
        <v>46204</v>
      </c>
      <c r="D3903" t="inlineStr">
        <is>
          <t>Em 2026</t>
        </is>
      </c>
      <c r="E3903" s="28" t="n">
        <v>46212</v>
      </c>
      <c r="F3903" t="inlineStr">
        <is>
          <t>CT-e</t>
        </is>
      </c>
      <c r="G3903" t="inlineStr">
        <is>
          <t>000007586</t>
        </is>
      </c>
      <c r="H3903" t="inlineStr">
        <is>
          <t>R&amp;R TRANSPORTE E LOGISTICA</t>
        </is>
      </c>
      <c r="J3903" s="29" t="n">
        <v>24.09</v>
      </c>
      <c r="K3903" s="29">
        <f>(1-ISNUMBER(SEARCH("556",M3903)))*(O3903*SUMIFS(Premissas!$C$5:$C$44,Premissas!$A$5:$A$44,$A3903,Premissas!$B$5:$B$44,$B3903)+P3903*SUMIFS(Premissas!$D$5:$D$44,Premissas!$A$5:$A$44,$A3903,Premissas!$B$5:$B$44,$B3903))+R3903*SUMIFS(Premissas!$E$5:$E$44,Premissas!$A$5:$A$44,$A3903,Premissas!$B$5:$B$44,$B3903)+S3903*SUMIFS(Premissas!$F$5:$F$44,Premissas!$A$5:$A$44,$A3903,Premissas!$B$5:$B$44,$B3903)</f>
        <v/>
      </c>
      <c r="L3903" s="29">
        <f>J3903-K3903</f>
        <v/>
      </c>
      <c r="M3903" t="inlineStr">
        <is>
          <t>2.350</t>
        </is>
      </c>
      <c r="N3903" t="inlineStr">
        <is>
          <t>Modalidade: 0 - Por conta do remetente | Parte: FAT GUYS FOOD LTDA (59.997.027/0001-43)</t>
        </is>
      </c>
      <c r="O3903" s="29" t="n">
        <v>0</v>
      </c>
      <c r="P3903" s="29" t="n">
        <v>0</v>
      </c>
      <c r="Q3903" s="29" t="n">
        <v>0</v>
      </c>
      <c r="R3903" s="29" t="n">
        <v>0</v>
      </c>
      <c r="S3903" s="29" t="n">
        <v>0</v>
      </c>
      <c r="T3903" t="inlineStr">
        <is>
          <t>25260726975620000130570010000075861001501044</t>
        </is>
      </c>
      <c r="U3903" t="inlineStr">
        <is>
          <t>Não</t>
        </is>
      </c>
    </row>
    <row r="3904">
      <c r="A3904" t="inlineStr">
        <is>
          <t>Frete de venda</t>
        </is>
      </c>
      <c r="B3904" t="inlineStr">
        <is>
          <t>2.01.02 Frete sobre Vendas</t>
        </is>
      </c>
      <c r="C3904" s="30" t="n">
        <v>46204</v>
      </c>
      <c r="D3904" t="inlineStr">
        <is>
          <t>Em 2026</t>
        </is>
      </c>
      <c r="E3904" s="28" t="n">
        <v>46212</v>
      </c>
      <c r="F3904" t="inlineStr">
        <is>
          <t>CT-e</t>
        </is>
      </c>
      <c r="G3904" t="inlineStr">
        <is>
          <t>000007587</t>
        </is>
      </c>
      <c r="H3904" t="inlineStr">
        <is>
          <t>R&amp;R TRANSPORTE E LOGISTICA</t>
        </is>
      </c>
      <c r="J3904" s="29" t="n">
        <v>24.09</v>
      </c>
      <c r="K3904" s="29">
        <f>(1-ISNUMBER(SEARCH("556",M3904)))*(O3904*SUMIFS(Premissas!$C$5:$C$44,Premissas!$A$5:$A$44,$A3904,Premissas!$B$5:$B$44,$B3904)+P3904*SUMIFS(Premissas!$D$5:$D$44,Premissas!$A$5:$A$44,$A3904,Premissas!$B$5:$B$44,$B3904))+R3904*SUMIFS(Premissas!$E$5:$E$44,Premissas!$A$5:$A$44,$A3904,Premissas!$B$5:$B$44,$B3904)+S3904*SUMIFS(Premissas!$F$5:$F$44,Premissas!$A$5:$A$44,$A3904,Premissas!$B$5:$B$44,$B3904)</f>
        <v/>
      </c>
      <c r="L3904" s="29">
        <f>J3904-K3904</f>
        <v/>
      </c>
      <c r="M3904" t="inlineStr">
        <is>
          <t>2.350</t>
        </is>
      </c>
      <c r="N3904" t="inlineStr">
        <is>
          <t>Modalidade: 0 - Por conta do remetente | Parte: FABRICIO EMBALAGENS LTDA (13.692.641/0001-04)</t>
        </is>
      </c>
      <c r="O3904" s="29" t="n">
        <v>0</v>
      </c>
      <c r="P3904" s="29" t="n">
        <v>0</v>
      </c>
      <c r="Q3904" s="29" t="n">
        <v>0</v>
      </c>
      <c r="R3904" s="29" t="n">
        <v>0</v>
      </c>
      <c r="S3904" s="29" t="n">
        <v>0</v>
      </c>
      <c r="T3904" t="inlineStr">
        <is>
          <t>25260726975620000130570010000075871001201129</t>
        </is>
      </c>
      <c r="U3904" t="inlineStr">
        <is>
          <t>Não</t>
        </is>
      </c>
    </row>
    <row r="3905">
      <c r="A3905" t="inlineStr">
        <is>
          <t>Frete de venda</t>
        </is>
      </c>
      <c r="B3905" t="inlineStr">
        <is>
          <t>2.01.02 Frete sobre Vendas</t>
        </is>
      </c>
      <c r="C3905" s="30" t="n">
        <v>46204</v>
      </c>
      <c r="D3905" t="inlineStr">
        <is>
          <t>Em 2026</t>
        </is>
      </c>
      <c r="E3905" s="28" t="n">
        <v>46212</v>
      </c>
      <c r="F3905" t="inlineStr">
        <is>
          <t>CT-e</t>
        </is>
      </c>
      <c r="G3905" t="inlineStr">
        <is>
          <t>000007588</t>
        </is>
      </c>
      <c r="H3905" t="inlineStr">
        <is>
          <t>R&amp;R TRANSPORTE E LOGISTICA</t>
        </is>
      </c>
      <c r="J3905" s="29" t="n">
        <v>24.09</v>
      </c>
      <c r="K3905" s="29">
        <f>(1-ISNUMBER(SEARCH("556",M3905)))*(O3905*SUMIFS(Premissas!$C$5:$C$44,Premissas!$A$5:$A$44,$A3905,Premissas!$B$5:$B$44,$B3905)+P3905*SUMIFS(Premissas!$D$5:$D$44,Premissas!$A$5:$A$44,$A3905,Premissas!$B$5:$B$44,$B3905))+R3905*SUMIFS(Premissas!$E$5:$E$44,Premissas!$A$5:$A$44,$A3905,Premissas!$B$5:$B$44,$B3905)+S3905*SUMIFS(Premissas!$F$5:$F$44,Premissas!$A$5:$A$44,$A3905,Premissas!$B$5:$B$44,$B3905)</f>
        <v/>
      </c>
      <c r="L3905" s="29">
        <f>J3905-K3905</f>
        <v/>
      </c>
      <c r="M3905" t="inlineStr">
        <is>
          <t>2.350</t>
        </is>
      </c>
      <c r="N3905" t="inlineStr">
        <is>
          <t>Modalidade: 0 - Por conta do remetente | Parte: V F DECORACOES LTDA (36.698.590/0001-15)</t>
        </is>
      </c>
      <c r="O3905" s="29" t="n">
        <v>0</v>
      </c>
      <c r="P3905" s="29" t="n">
        <v>0</v>
      </c>
      <c r="Q3905" s="29" t="n">
        <v>0</v>
      </c>
      <c r="R3905" s="29" t="n">
        <v>0</v>
      </c>
      <c r="S3905" s="29" t="n">
        <v>0</v>
      </c>
      <c r="T3905" t="inlineStr">
        <is>
          <t>25260726975620000130570010000075881011001200</t>
        </is>
      </c>
      <c r="U3905" t="inlineStr">
        <is>
          <t>Não</t>
        </is>
      </c>
    </row>
    <row r="3906">
      <c r="A3906" t="inlineStr">
        <is>
          <t>Frete de venda</t>
        </is>
      </c>
      <c r="B3906" t="inlineStr">
        <is>
          <t>2.01.02 Frete sobre Vendas</t>
        </is>
      </c>
      <c r="C3906" s="30" t="n">
        <v>46204</v>
      </c>
      <c r="D3906" t="inlineStr">
        <is>
          <t>Em 2026</t>
        </is>
      </c>
      <c r="E3906" s="28" t="n">
        <v>46212</v>
      </c>
      <c r="F3906" t="inlineStr">
        <is>
          <t>CT-e</t>
        </is>
      </c>
      <c r="G3906" t="inlineStr">
        <is>
          <t>000007589</t>
        </is>
      </c>
      <c r="H3906" t="inlineStr">
        <is>
          <t>R&amp;R TRANSPORTE E LOGISTICA</t>
        </is>
      </c>
      <c r="J3906" s="29" t="n">
        <v>24.09</v>
      </c>
      <c r="K3906" s="29">
        <f>(1-ISNUMBER(SEARCH("556",M3906)))*(O3906*SUMIFS(Premissas!$C$5:$C$44,Premissas!$A$5:$A$44,$A3906,Premissas!$B$5:$B$44,$B3906)+P3906*SUMIFS(Premissas!$D$5:$D$44,Premissas!$A$5:$A$44,$A3906,Premissas!$B$5:$B$44,$B3906))+R3906*SUMIFS(Premissas!$E$5:$E$44,Premissas!$A$5:$A$44,$A3906,Premissas!$B$5:$B$44,$B3906)+S3906*SUMIFS(Premissas!$F$5:$F$44,Premissas!$A$5:$A$44,$A3906,Premissas!$B$5:$B$44,$B3906)</f>
        <v/>
      </c>
      <c r="L3906" s="29">
        <f>J3906-K3906</f>
        <v/>
      </c>
      <c r="M3906" t="inlineStr">
        <is>
          <t>2.350</t>
        </is>
      </c>
      <c r="N3906" t="inlineStr">
        <is>
          <t>Modalidade: 0 - Por conta do remetente | Parte: CRISTAL NEWS ALIMENTOS E EMBALAGENS LTDA (04.067.045/0001-34)</t>
        </is>
      </c>
      <c r="O3906" s="29" t="n">
        <v>0</v>
      </c>
      <c r="P3906" s="29" t="n">
        <v>0</v>
      </c>
      <c r="Q3906" s="29" t="n">
        <v>0</v>
      </c>
      <c r="R3906" s="29" t="n">
        <v>0</v>
      </c>
      <c r="S3906" s="29" t="n">
        <v>0</v>
      </c>
      <c r="T3906" t="inlineStr">
        <is>
          <t>25260726975620000130570010000075891000010553</t>
        </is>
      </c>
      <c r="U3906" t="inlineStr">
        <is>
          <t>Não</t>
        </is>
      </c>
    </row>
    <row r="3907">
      <c r="A3907" t="inlineStr">
        <is>
          <t>Frete de venda</t>
        </is>
      </c>
      <c r="B3907" t="inlineStr">
        <is>
          <t>2.01.02 Frete sobre Vendas</t>
        </is>
      </c>
      <c r="C3907" s="30" t="n">
        <v>46204</v>
      </c>
      <c r="D3907" t="inlineStr">
        <is>
          <t>Em 2026</t>
        </is>
      </c>
      <c r="E3907" s="28" t="n">
        <v>46212</v>
      </c>
      <c r="F3907" t="inlineStr">
        <is>
          <t>CT-e</t>
        </is>
      </c>
      <c r="G3907" t="inlineStr">
        <is>
          <t>000007590</t>
        </is>
      </c>
      <c r="H3907" t="inlineStr">
        <is>
          <t>R&amp;R TRANSPORTE E LOGISTICA</t>
        </is>
      </c>
      <c r="J3907" s="29" t="n">
        <v>24.09</v>
      </c>
      <c r="K3907" s="29">
        <f>(1-ISNUMBER(SEARCH("556",M3907)))*(O3907*SUMIFS(Premissas!$C$5:$C$44,Premissas!$A$5:$A$44,$A3907,Premissas!$B$5:$B$44,$B3907)+P3907*SUMIFS(Premissas!$D$5:$D$44,Premissas!$A$5:$A$44,$A3907,Premissas!$B$5:$B$44,$B3907))+R3907*SUMIFS(Premissas!$E$5:$E$44,Premissas!$A$5:$A$44,$A3907,Premissas!$B$5:$B$44,$B3907)+S3907*SUMIFS(Premissas!$F$5:$F$44,Premissas!$A$5:$A$44,$A3907,Premissas!$B$5:$B$44,$B3907)</f>
        <v/>
      </c>
      <c r="L3907" s="29">
        <f>J3907-K3907</f>
        <v/>
      </c>
      <c r="M3907" t="inlineStr">
        <is>
          <t>2.350</t>
        </is>
      </c>
      <c r="N3907" t="inlineStr">
        <is>
          <t>Modalidade: 0 - Por conta do remetente | Parte: ERNESTO COUTO COMERCIO E REPRESENTACOES LTDA (01.613.555/0001-71)</t>
        </is>
      </c>
      <c r="O3907" s="29" t="n">
        <v>0</v>
      </c>
      <c r="P3907" s="29" t="n">
        <v>0</v>
      </c>
      <c r="Q3907" s="29" t="n">
        <v>0</v>
      </c>
      <c r="R3907" s="29" t="n">
        <v>0</v>
      </c>
      <c r="S3907" s="29" t="n">
        <v>0</v>
      </c>
      <c r="T3907" t="inlineStr">
        <is>
          <t>25260726975620000130570010000075901000180638</t>
        </is>
      </c>
      <c r="U3907" t="inlineStr">
        <is>
          <t>Não</t>
        </is>
      </c>
    </row>
    <row r="3908">
      <c r="A3908" t="inlineStr">
        <is>
          <t>Frete de venda</t>
        </is>
      </c>
      <c r="B3908" t="inlineStr">
        <is>
          <t>2.01.02 Frete sobre Vendas</t>
        </is>
      </c>
      <c r="C3908" s="30" t="n">
        <v>46204</v>
      </c>
      <c r="D3908" t="inlineStr">
        <is>
          <t>Em 2026</t>
        </is>
      </c>
      <c r="E3908" s="28" t="n">
        <v>46212</v>
      </c>
      <c r="F3908" t="inlineStr">
        <is>
          <t>CT-e</t>
        </is>
      </c>
      <c r="G3908" t="inlineStr">
        <is>
          <t>000007591</t>
        </is>
      </c>
      <c r="H3908" t="inlineStr">
        <is>
          <t>R&amp;R TRANSPORTE E LOGISTICA</t>
        </is>
      </c>
      <c r="J3908" s="29" t="n">
        <v>24.09</v>
      </c>
      <c r="K3908" s="29">
        <f>(1-ISNUMBER(SEARCH("556",M3908)))*(O3908*SUMIFS(Premissas!$C$5:$C$44,Premissas!$A$5:$A$44,$A3908,Premissas!$B$5:$B$44,$B3908)+P3908*SUMIFS(Premissas!$D$5:$D$44,Premissas!$A$5:$A$44,$A3908,Premissas!$B$5:$B$44,$B3908))+R3908*SUMIFS(Premissas!$E$5:$E$44,Premissas!$A$5:$A$44,$A3908,Premissas!$B$5:$B$44,$B3908)+S3908*SUMIFS(Premissas!$F$5:$F$44,Premissas!$A$5:$A$44,$A3908,Premissas!$B$5:$B$44,$B3908)</f>
        <v/>
      </c>
      <c r="L3908" s="29">
        <f>J3908-K3908</f>
        <v/>
      </c>
      <c r="M3908" t="inlineStr">
        <is>
          <t>2.350</t>
        </is>
      </c>
      <c r="N3908" t="inlineStr">
        <is>
          <t>Modalidade: 0 - Por conta do remetente | Parte: MARIO ROCHA RIBEIRO PINTO (49.606.818/0001-41)</t>
        </is>
      </c>
      <c r="O3908" s="29" t="n">
        <v>0</v>
      </c>
      <c r="P3908" s="29" t="n">
        <v>0</v>
      </c>
      <c r="Q3908" s="29" t="n">
        <v>0</v>
      </c>
      <c r="R3908" s="29" t="n">
        <v>0</v>
      </c>
      <c r="S3908" s="29" t="n">
        <v>0</v>
      </c>
      <c r="T3908" t="inlineStr">
        <is>
          <t>25260726975620000130570010000075911000150710</t>
        </is>
      </c>
      <c r="U3908" t="inlineStr">
        <is>
          <t>Não</t>
        </is>
      </c>
    </row>
    <row r="3909">
      <c r="A3909" t="inlineStr">
        <is>
          <t>Frete de venda</t>
        </is>
      </c>
      <c r="B3909" t="inlineStr">
        <is>
          <t>2.01.02 Frete sobre Vendas</t>
        </is>
      </c>
      <c r="C3909" s="30" t="n">
        <v>46204</v>
      </c>
      <c r="D3909" t="inlineStr">
        <is>
          <t>Em 2026</t>
        </is>
      </c>
      <c r="E3909" s="28" t="n">
        <v>46212</v>
      </c>
      <c r="F3909" t="inlineStr">
        <is>
          <t>CT-e</t>
        </is>
      </c>
      <c r="G3909" t="inlineStr">
        <is>
          <t>000007592</t>
        </is>
      </c>
      <c r="H3909" t="inlineStr">
        <is>
          <t>R&amp;R TRANSPORTE E LOGISTICA</t>
        </is>
      </c>
      <c r="J3909" s="29" t="n">
        <v>24.09</v>
      </c>
      <c r="K3909" s="29">
        <f>(1-ISNUMBER(SEARCH("556",M3909)))*(O3909*SUMIFS(Premissas!$C$5:$C$44,Premissas!$A$5:$A$44,$A3909,Premissas!$B$5:$B$44,$B3909)+P3909*SUMIFS(Premissas!$D$5:$D$44,Premissas!$A$5:$A$44,$A3909,Premissas!$B$5:$B$44,$B3909))+R3909*SUMIFS(Premissas!$E$5:$E$44,Premissas!$A$5:$A$44,$A3909,Premissas!$B$5:$B$44,$B3909)+S3909*SUMIFS(Premissas!$F$5:$F$44,Premissas!$A$5:$A$44,$A3909,Premissas!$B$5:$B$44,$B3909)</f>
        <v/>
      </c>
      <c r="L3909" s="29">
        <f>J3909-K3909</f>
        <v/>
      </c>
      <c r="M3909" t="inlineStr">
        <is>
          <t>2.350</t>
        </is>
      </c>
      <c r="N3909" t="inlineStr">
        <is>
          <t>Modalidade: 0 - Por conta do remetente | Parte: RM DISTRIBUICOES LTDA (24.963.348/0001-42)</t>
        </is>
      </c>
      <c r="O3909" s="29" t="n">
        <v>0</v>
      </c>
      <c r="P3909" s="29" t="n">
        <v>0</v>
      </c>
      <c r="Q3909" s="29" t="n">
        <v>0</v>
      </c>
      <c r="R3909" s="29" t="n">
        <v>0</v>
      </c>
      <c r="S3909" s="29" t="n">
        <v>0</v>
      </c>
      <c r="T3909" t="inlineStr">
        <is>
          <t>25260726975620000130570010000075921000120796</t>
        </is>
      </c>
      <c r="U3909" t="inlineStr">
        <is>
          <t>Não</t>
        </is>
      </c>
    </row>
    <row r="3910">
      <c r="A3910" t="inlineStr">
        <is>
          <t>Frete de venda</t>
        </is>
      </c>
      <c r="B3910" t="inlineStr">
        <is>
          <t>2.01.02 Frete sobre Vendas</t>
        </is>
      </c>
      <c r="C3910" s="30" t="n">
        <v>46204</v>
      </c>
      <c r="D3910" t="inlineStr">
        <is>
          <t>Em 2026</t>
        </is>
      </c>
      <c r="E3910" s="28" t="n">
        <v>46212</v>
      </c>
      <c r="F3910" t="inlineStr">
        <is>
          <t>CT-e</t>
        </is>
      </c>
      <c r="G3910" t="inlineStr">
        <is>
          <t>000007593</t>
        </is>
      </c>
      <c r="H3910" t="inlineStr">
        <is>
          <t>R&amp;R TRANSPORTE E LOGISTICA</t>
        </is>
      </c>
      <c r="J3910" s="29" t="n">
        <v>24.09</v>
      </c>
      <c r="K3910" s="29">
        <f>(1-ISNUMBER(SEARCH("556",M3910)))*(O3910*SUMIFS(Premissas!$C$5:$C$44,Premissas!$A$5:$A$44,$A3910,Premissas!$B$5:$B$44,$B3910)+P3910*SUMIFS(Premissas!$D$5:$D$44,Premissas!$A$5:$A$44,$A3910,Premissas!$B$5:$B$44,$B3910))+R3910*SUMIFS(Premissas!$E$5:$E$44,Premissas!$A$5:$A$44,$A3910,Premissas!$B$5:$B$44,$B3910)+S3910*SUMIFS(Premissas!$F$5:$F$44,Premissas!$A$5:$A$44,$A3910,Premissas!$B$5:$B$44,$B3910)</f>
        <v/>
      </c>
      <c r="L3910" s="29">
        <f>J3910-K3910</f>
        <v/>
      </c>
      <c r="M3910" t="inlineStr">
        <is>
          <t>2.350</t>
        </is>
      </c>
      <c r="N3910" t="inlineStr">
        <is>
          <t>Modalidade: 0 - Por conta do remetente | Parte: RICARDO LUIZ QUEIROZ CRUZ (15.987.081/0001-32)</t>
        </is>
      </c>
      <c r="O3910" s="29" t="n">
        <v>0</v>
      </c>
      <c r="P3910" s="29" t="n">
        <v>0</v>
      </c>
      <c r="Q3910" s="29" t="n">
        <v>0</v>
      </c>
      <c r="R3910" s="29" t="n">
        <v>0</v>
      </c>
      <c r="S3910" s="29" t="n">
        <v>0</v>
      </c>
      <c r="T3910" t="inlineStr">
        <is>
          <t>25260726975620000130570010000075931001100877</t>
        </is>
      </c>
      <c r="U3910" t="inlineStr">
        <is>
          <t>Não</t>
        </is>
      </c>
    </row>
    <row r="3911">
      <c r="A3911" t="inlineStr">
        <is>
          <t>Frete de venda</t>
        </is>
      </c>
      <c r="B3911" t="inlineStr">
        <is>
          <t>2.01.02 Frete sobre Vendas</t>
        </is>
      </c>
      <c r="C3911" s="30" t="n">
        <v>46204</v>
      </c>
      <c r="D3911" t="inlineStr">
        <is>
          <t>Em 2026</t>
        </is>
      </c>
      <c r="E3911" s="28" t="n">
        <v>46212</v>
      </c>
      <c r="F3911" t="inlineStr">
        <is>
          <t>CT-e</t>
        </is>
      </c>
      <c r="G3911" t="inlineStr">
        <is>
          <t>000007594</t>
        </is>
      </c>
      <c r="H3911" t="inlineStr">
        <is>
          <t>R&amp;R TRANSPORTE E LOGISTICA</t>
        </is>
      </c>
      <c r="J3911" s="29" t="n">
        <v>24.09</v>
      </c>
      <c r="K3911" s="29">
        <f>(1-ISNUMBER(SEARCH("556",M3911)))*(O3911*SUMIFS(Premissas!$C$5:$C$44,Premissas!$A$5:$A$44,$A3911,Premissas!$B$5:$B$44,$B3911)+P3911*SUMIFS(Premissas!$D$5:$D$44,Premissas!$A$5:$A$44,$A3911,Premissas!$B$5:$B$44,$B3911))+R3911*SUMIFS(Premissas!$E$5:$E$44,Premissas!$A$5:$A$44,$A3911,Premissas!$B$5:$B$44,$B3911)+S3911*SUMIFS(Premissas!$F$5:$F$44,Premissas!$A$5:$A$44,$A3911,Premissas!$B$5:$B$44,$B3911)</f>
        <v/>
      </c>
      <c r="L3911" s="29">
        <f>J3911-K3911</f>
        <v/>
      </c>
      <c r="M3911" t="inlineStr">
        <is>
          <t>2.350</t>
        </is>
      </c>
      <c r="N3911" t="inlineStr">
        <is>
          <t>Modalidade: 0 - Por conta do remetente | Parte: Reicosta comercio de embalagens e alimentos ltda (26.112.407/0001-02)</t>
        </is>
      </c>
      <c r="O3911" s="29" t="n">
        <v>0</v>
      </c>
      <c r="P3911" s="29" t="n">
        <v>0</v>
      </c>
      <c r="Q3911" s="29" t="n">
        <v>0</v>
      </c>
      <c r="R3911" s="29" t="n">
        <v>0</v>
      </c>
      <c r="S3911" s="29" t="n">
        <v>0</v>
      </c>
      <c r="T3911" t="inlineStr">
        <is>
          <t>25260726975620000130570010000075941000170950</t>
        </is>
      </c>
      <c r="U3911" t="inlineStr">
        <is>
          <t>Não</t>
        </is>
      </c>
    </row>
    <row r="3912">
      <c r="A3912" t="inlineStr">
        <is>
          <t>Frete de venda</t>
        </is>
      </c>
      <c r="B3912" t="inlineStr">
        <is>
          <t>2.01.02 Frete sobre Vendas</t>
        </is>
      </c>
      <c r="C3912" s="30" t="n">
        <v>46204</v>
      </c>
      <c r="D3912" t="inlineStr">
        <is>
          <t>Em 2026</t>
        </is>
      </c>
      <c r="E3912" s="28" t="n">
        <v>46212</v>
      </c>
      <c r="F3912" t="inlineStr">
        <is>
          <t>CT-e</t>
        </is>
      </c>
      <c r="G3912" t="inlineStr">
        <is>
          <t>000007595</t>
        </is>
      </c>
      <c r="H3912" t="inlineStr">
        <is>
          <t>R&amp;R TRANSPORTE E LOGISTICA</t>
        </is>
      </c>
      <c r="J3912" s="29" t="n">
        <v>24.09</v>
      </c>
      <c r="K3912" s="29">
        <f>(1-ISNUMBER(SEARCH("556",M3912)))*(O3912*SUMIFS(Premissas!$C$5:$C$44,Premissas!$A$5:$A$44,$A3912,Premissas!$B$5:$B$44,$B3912)+P3912*SUMIFS(Premissas!$D$5:$D$44,Premissas!$A$5:$A$44,$A3912,Premissas!$B$5:$B$44,$B3912))+R3912*SUMIFS(Premissas!$E$5:$E$44,Premissas!$A$5:$A$44,$A3912,Premissas!$B$5:$B$44,$B3912)+S3912*SUMIFS(Premissas!$F$5:$F$44,Premissas!$A$5:$A$44,$A3912,Premissas!$B$5:$B$44,$B3912)</f>
        <v/>
      </c>
      <c r="L3912" s="29">
        <f>J3912-K3912</f>
        <v/>
      </c>
      <c r="M3912" t="inlineStr">
        <is>
          <t>2.350</t>
        </is>
      </c>
      <c r="N3912" t="inlineStr">
        <is>
          <t>Modalidade: 0 - Por conta do remetente | Parte: DOCE FESTA EMBALAGENS E BOMBONIERE LTDA (31.898.437/0001-18)</t>
        </is>
      </c>
      <c r="O3912" s="29" t="n">
        <v>0</v>
      </c>
      <c r="P3912" s="29" t="n">
        <v>0</v>
      </c>
      <c r="Q3912" s="29" t="n">
        <v>0</v>
      </c>
      <c r="R3912" s="29" t="n">
        <v>0</v>
      </c>
      <c r="S3912" s="29" t="n">
        <v>0</v>
      </c>
      <c r="T3912" t="inlineStr">
        <is>
          <t>25260726975620000130570010000075951001401030</t>
        </is>
      </c>
      <c r="U3912" t="inlineStr">
        <is>
          <t>Não</t>
        </is>
      </c>
    </row>
    <row r="3913">
      <c r="A3913" t="inlineStr">
        <is>
          <t>Frete de venda</t>
        </is>
      </c>
      <c r="B3913" t="inlineStr">
        <is>
          <t>2.01.02 Frete sobre Vendas</t>
        </is>
      </c>
      <c r="C3913" s="30" t="n">
        <v>46204</v>
      </c>
      <c r="D3913" t="inlineStr">
        <is>
          <t>Em 2026</t>
        </is>
      </c>
      <c r="E3913" s="28" t="n">
        <v>46213</v>
      </c>
      <c r="F3913" t="inlineStr">
        <is>
          <t>CT-e</t>
        </is>
      </c>
      <c r="G3913" t="inlineStr">
        <is>
          <t>000007596</t>
        </is>
      </c>
      <c r="H3913" t="inlineStr">
        <is>
          <t>R&amp;R TRANSPORTE E LOGISTICA</t>
        </is>
      </c>
      <c r="J3913" s="29" t="n">
        <v>50.61</v>
      </c>
      <c r="K3913" s="29">
        <f>(1-ISNUMBER(SEARCH("556",M3913)))*(O3913*SUMIFS(Premissas!$C$5:$C$44,Premissas!$A$5:$A$44,$A3913,Premissas!$B$5:$B$44,$B3913)+P3913*SUMIFS(Premissas!$D$5:$D$44,Premissas!$A$5:$A$44,$A3913,Premissas!$B$5:$B$44,$B3913))+R3913*SUMIFS(Premissas!$E$5:$E$44,Premissas!$A$5:$A$44,$A3913,Premissas!$B$5:$B$44,$B3913)+S3913*SUMIFS(Premissas!$F$5:$F$44,Premissas!$A$5:$A$44,$A3913,Premissas!$B$5:$B$44,$B3913)</f>
        <v/>
      </c>
      <c r="L3913" s="29">
        <f>J3913-K3913</f>
        <v/>
      </c>
      <c r="M3913" t="inlineStr">
        <is>
          <t>2.350</t>
        </is>
      </c>
      <c r="N3913" t="inlineStr">
        <is>
          <t>Modalidade: 0 - Por conta do remetente | Parte: A PREFERIDA DE MACAE ON LINE UTILIDADES LTDA (54.387.461/0001-98)</t>
        </is>
      </c>
      <c r="O3913" s="29" t="n">
        <v>0</v>
      </c>
      <c r="P3913" s="29" t="n">
        <v>0</v>
      </c>
      <c r="Q3913" s="29" t="n">
        <v>0</v>
      </c>
      <c r="R3913" s="29" t="n">
        <v>0</v>
      </c>
      <c r="S3913" s="29" t="n">
        <v>0</v>
      </c>
      <c r="T3913" t="inlineStr">
        <is>
          <t>25260726975620000130570010000075961001101115</t>
        </is>
      </c>
      <c r="U3913" t="inlineStr">
        <is>
          <t>Não</t>
        </is>
      </c>
    </row>
    <row r="3914">
      <c r="A3914" t="inlineStr">
        <is>
          <t>Frete de venda</t>
        </is>
      </c>
      <c r="B3914" t="inlineStr">
        <is>
          <t>2.01.02 Frete sobre Vendas</t>
        </is>
      </c>
      <c r="C3914" s="30" t="n">
        <v>46204</v>
      </c>
      <c r="D3914" t="inlineStr">
        <is>
          <t>Em 2026</t>
        </is>
      </c>
      <c r="E3914" s="28" t="n">
        <v>46213</v>
      </c>
      <c r="F3914" t="inlineStr">
        <is>
          <t>CT-e</t>
        </is>
      </c>
      <c r="G3914" t="inlineStr">
        <is>
          <t>000007597</t>
        </is>
      </c>
      <c r="H3914" t="inlineStr">
        <is>
          <t>R&amp;R TRANSPORTE E LOGISTICA</t>
        </is>
      </c>
      <c r="J3914" s="29" t="n">
        <v>44.92</v>
      </c>
      <c r="K3914" s="29">
        <f>(1-ISNUMBER(SEARCH("556",M3914)))*(O3914*SUMIFS(Premissas!$C$5:$C$44,Premissas!$A$5:$A$44,$A3914,Premissas!$B$5:$B$44,$B3914)+P3914*SUMIFS(Premissas!$D$5:$D$44,Premissas!$A$5:$A$44,$A3914,Premissas!$B$5:$B$44,$B3914))+R3914*SUMIFS(Premissas!$E$5:$E$44,Premissas!$A$5:$A$44,$A3914,Premissas!$B$5:$B$44,$B3914)+S3914*SUMIFS(Premissas!$F$5:$F$44,Premissas!$A$5:$A$44,$A3914,Premissas!$B$5:$B$44,$B3914)</f>
        <v/>
      </c>
      <c r="L3914" s="29">
        <f>J3914-K3914</f>
        <v/>
      </c>
      <c r="M3914" t="inlineStr">
        <is>
          <t>2.350</t>
        </is>
      </c>
      <c r="N3914" t="inlineStr">
        <is>
          <t>Modalidade: 0 - Por conta do remetente | Parte: AP SACARIA EMBALAGENS LTDA (20.402.088/0001-85)</t>
        </is>
      </c>
      <c r="O3914" s="29" t="n">
        <v>0</v>
      </c>
      <c r="P3914" s="29" t="n">
        <v>0</v>
      </c>
      <c r="Q3914" s="29" t="n">
        <v>0</v>
      </c>
      <c r="R3914" s="29" t="n">
        <v>0</v>
      </c>
      <c r="S3914" s="29" t="n">
        <v>0</v>
      </c>
      <c r="T3914" t="inlineStr">
        <is>
          <t>25260726975620000130570010000075971001901194</t>
        </is>
      </c>
      <c r="U3914" t="inlineStr">
        <is>
          <t>Não</t>
        </is>
      </c>
    </row>
    <row r="3915">
      <c r="A3915" t="inlineStr">
        <is>
          <t>Frete de venda</t>
        </is>
      </c>
      <c r="B3915" t="inlineStr">
        <is>
          <t>2.01.02 Frete sobre Vendas</t>
        </is>
      </c>
      <c r="C3915" s="30" t="n">
        <v>46204</v>
      </c>
      <c r="D3915" t="inlineStr">
        <is>
          <t>Em 2026</t>
        </is>
      </c>
      <c r="E3915" s="28" t="n">
        <v>46213</v>
      </c>
      <c r="F3915" t="inlineStr">
        <is>
          <t>CT-e</t>
        </is>
      </c>
      <c r="G3915" t="inlineStr">
        <is>
          <t>000007598</t>
        </is>
      </c>
      <c r="H3915" t="inlineStr">
        <is>
          <t>R&amp;R TRANSPORTE E LOGISTICA</t>
        </is>
      </c>
      <c r="J3915" s="29" t="n">
        <v>73.77</v>
      </c>
      <c r="K3915" s="29">
        <f>(1-ISNUMBER(SEARCH("556",M3915)))*(O3915*SUMIFS(Premissas!$C$5:$C$44,Premissas!$A$5:$A$44,$A3915,Premissas!$B$5:$B$44,$B3915)+P3915*SUMIFS(Premissas!$D$5:$D$44,Premissas!$A$5:$A$44,$A3915,Premissas!$B$5:$B$44,$B3915))+R3915*SUMIFS(Premissas!$E$5:$E$44,Premissas!$A$5:$A$44,$A3915,Premissas!$B$5:$B$44,$B3915)+S3915*SUMIFS(Premissas!$F$5:$F$44,Premissas!$A$5:$A$44,$A3915,Premissas!$B$5:$B$44,$B3915)</f>
        <v/>
      </c>
      <c r="L3915" s="29">
        <f>J3915-K3915</f>
        <v/>
      </c>
      <c r="M3915" t="inlineStr">
        <is>
          <t>2.350</t>
        </is>
      </c>
      <c r="N3915" t="inlineStr">
        <is>
          <t>Modalidade: 0 - Por conta do remetente | Parte: NOVA DEL FIORE EMBALAGENS LTDA (37.175.325/0001-15)</t>
        </is>
      </c>
      <c r="O3915" s="29" t="n">
        <v>0</v>
      </c>
      <c r="P3915" s="29" t="n">
        <v>0</v>
      </c>
      <c r="Q3915" s="29" t="n">
        <v>0</v>
      </c>
      <c r="R3915" s="29" t="n">
        <v>0</v>
      </c>
      <c r="S3915" s="29" t="n">
        <v>0</v>
      </c>
      <c r="T3915" t="inlineStr">
        <is>
          <t>25260726975620000130570010000075981001601279</t>
        </is>
      </c>
      <c r="U3915" t="inlineStr">
        <is>
          <t>Não</t>
        </is>
      </c>
    </row>
    <row r="3916">
      <c r="A3916" t="inlineStr">
        <is>
          <t>Frete de venda</t>
        </is>
      </c>
      <c r="B3916" t="inlineStr">
        <is>
          <t>2.01.02 Frete sobre Vendas</t>
        </is>
      </c>
      <c r="C3916" s="30" t="n">
        <v>46204</v>
      </c>
      <c r="D3916" t="inlineStr">
        <is>
          <t>Em 2026</t>
        </is>
      </c>
      <c r="E3916" s="28" t="n">
        <v>46213</v>
      </c>
      <c r="F3916" t="inlineStr">
        <is>
          <t>CT-e</t>
        </is>
      </c>
      <c r="G3916" t="inlineStr">
        <is>
          <t>000007599</t>
        </is>
      </c>
      <c r="H3916" t="inlineStr">
        <is>
          <t>R&amp;R TRANSPORTE E LOGISTICA</t>
        </is>
      </c>
      <c r="J3916" s="29" t="n">
        <v>103.38</v>
      </c>
      <c r="K3916" s="29">
        <f>(1-ISNUMBER(SEARCH("556",M3916)))*(O3916*SUMIFS(Premissas!$C$5:$C$44,Premissas!$A$5:$A$44,$A3916,Premissas!$B$5:$B$44,$B3916)+P3916*SUMIFS(Premissas!$D$5:$D$44,Premissas!$A$5:$A$44,$A3916,Premissas!$B$5:$B$44,$B3916))+R3916*SUMIFS(Premissas!$E$5:$E$44,Premissas!$A$5:$A$44,$A3916,Premissas!$B$5:$B$44,$B3916)+S3916*SUMIFS(Premissas!$F$5:$F$44,Premissas!$A$5:$A$44,$A3916,Premissas!$B$5:$B$44,$B3916)</f>
        <v/>
      </c>
      <c r="L3916" s="29">
        <f>J3916-K3916</f>
        <v/>
      </c>
      <c r="M3916" t="inlineStr">
        <is>
          <t>2.350</t>
        </is>
      </c>
      <c r="N3916" t="inlineStr">
        <is>
          <t>Modalidade: 0 - Por conta do remetente | Parte: FRONTEIRA EMBALAGENS LTDA (47.115.817/0001-79)</t>
        </is>
      </c>
      <c r="O3916" s="29" t="n">
        <v>0</v>
      </c>
      <c r="P3916" s="29" t="n">
        <v>0</v>
      </c>
      <c r="Q3916" s="29" t="n">
        <v>0</v>
      </c>
      <c r="R3916" s="29" t="n">
        <v>0</v>
      </c>
      <c r="S3916" s="29" t="n">
        <v>0</v>
      </c>
      <c r="T3916" t="inlineStr">
        <is>
          <t>25260726975620000130570010000075991000170620</t>
        </is>
      </c>
      <c r="U3916" t="inlineStr">
        <is>
          <t>Não</t>
        </is>
      </c>
    </row>
    <row r="3917">
      <c r="A3917" t="inlineStr">
        <is>
          <t>Frete de venda</t>
        </is>
      </c>
      <c r="B3917" t="inlineStr">
        <is>
          <t>2.01.02 Frete sobre Vendas</t>
        </is>
      </c>
      <c r="C3917" s="30" t="n">
        <v>46204</v>
      </c>
      <c r="D3917" t="inlineStr">
        <is>
          <t>Em 2026</t>
        </is>
      </c>
      <c r="E3917" s="28" t="n">
        <v>46213</v>
      </c>
      <c r="F3917" t="inlineStr">
        <is>
          <t>CT-e</t>
        </is>
      </c>
      <c r="G3917" t="inlineStr">
        <is>
          <t>000007600</t>
        </is>
      </c>
      <c r="H3917" t="inlineStr">
        <is>
          <t>R&amp;R TRANSPORTE E LOGISTICA</t>
        </is>
      </c>
      <c r="J3917" s="29" t="n">
        <v>64.17</v>
      </c>
      <c r="K3917" s="29">
        <f>(1-ISNUMBER(SEARCH("556",M3917)))*(O3917*SUMIFS(Premissas!$C$5:$C$44,Premissas!$A$5:$A$44,$A3917,Premissas!$B$5:$B$44,$B3917)+P3917*SUMIFS(Premissas!$D$5:$D$44,Premissas!$A$5:$A$44,$A3917,Premissas!$B$5:$B$44,$B3917))+R3917*SUMIFS(Premissas!$E$5:$E$44,Premissas!$A$5:$A$44,$A3917,Premissas!$B$5:$B$44,$B3917)+S3917*SUMIFS(Premissas!$F$5:$F$44,Premissas!$A$5:$A$44,$A3917,Premissas!$B$5:$B$44,$B3917)</f>
        <v/>
      </c>
      <c r="L3917" s="29">
        <f>J3917-K3917</f>
        <v/>
      </c>
      <c r="M3917" t="inlineStr">
        <is>
          <t>2.350</t>
        </is>
      </c>
      <c r="N3917" t="inlineStr">
        <is>
          <t>Modalidade: 0 - Por conta do remetente | Parte: P RAVAGLIA NETO UTILIDADES PARA O LAR LTDA (15.360.767/0001-07)</t>
        </is>
      </c>
      <c r="O3917" s="29" t="n">
        <v>0</v>
      </c>
      <c r="P3917" s="29" t="n">
        <v>0</v>
      </c>
      <c r="Q3917" s="29" t="n">
        <v>0</v>
      </c>
      <c r="R3917" s="29" t="n">
        <v>0</v>
      </c>
      <c r="S3917" s="29" t="n">
        <v>0</v>
      </c>
      <c r="T3917" t="inlineStr">
        <is>
          <t>25260726975620000130570010000076001000140707</t>
        </is>
      </c>
      <c r="U3917" t="inlineStr">
        <is>
          <t>Não</t>
        </is>
      </c>
    </row>
    <row r="3918">
      <c r="A3918" t="inlineStr">
        <is>
          <t>Frete de venda</t>
        </is>
      </c>
      <c r="B3918" t="inlineStr">
        <is>
          <t>2.01.02 Frete sobre Vendas</t>
        </is>
      </c>
      <c r="C3918" s="30" t="n">
        <v>46204</v>
      </c>
      <c r="D3918" t="inlineStr">
        <is>
          <t>Em 2026</t>
        </is>
      </c>
      <c r="E3918" s="28" t="n">
        <v>46214</v>
      </c>
      <c r="F3918" t="inlineStr">
        <is>
          <t>CT-e</t>
        </is>
      </c>
      <c r="G3918" t="inlineStr">
        <is>
          <t>000007602</t>
        </is>
      </c>
      <c r="H3918" t="inlineStr">
        <is>
          <t>R&amp;R TRANSPORTE E LOGISTICA</t>
        </is>
      </c>
      <c r="J3918" s="29" t="n">
        <v>38.61</v>
      </c>
      <c r="K3918" s="29">
        <f>(1-ISNUMBER(SEARCH("556",M3918)))*(O3918*SUMIFS(Premissas!$C$5:$C$44,Premissas!$A$5:$A$44,$A3918,Premissas!$B$5:$B$44,$B3918)+P3918*SUMIFS(Premissas!$D$5:$D$44,Premissas!$A$5:$A$44,$A3918,Premissas!$B$5:$B$44,$B3918))+R3918*SUMIFS(Premissas!$E$5:$E$44,Premissas!$A$5:$A$44,$A3918,Premissas!$B$5:$B$44,$B3918)+S3918*SUMIFS(Premissas!$F$5:$F$44,Premissas!$A$5:$A$44,$A3918,Premissas!$B$5:$B$44,$B3918)</f>
        <v/>
      </c>
      <c r="L3918" s="29">
        <f>J3918-K3918</f>
        <v/>
      </c>
      <c r="M3918" t="inlineStr">
        <is>
          <t>2.350</t>
        </is>
      </c>
      <c r="N3918" t="inlineStr">
        <is>
          <t>Modalidade: 0 - Por conta do remetente | Parte: ERS MINAS EMBALAGENS GV LTDA (17.937.402/0001-10)</t>
        </is>
      </c>
      <c r="O3918" s="29" t="n">
        <v>0</v>
      </c>
      <c r="P3918" s="29" t="n">
        <v>0</v>
      </c>
      <c r="Q3918" s="29" t="n">
        <v>0</v>
      </c>
      <c r="R3918" s="29" t="n">
        <v>0</v>
      </c>
      <c r="S3918" s="29" t="n">
        <v>0</v>
      </c>
      <c r="T3918" t="inlineStr">
        <is>
          <t>25260726975620000130570010000076021000130919</t>
        </is>
      </c>
      <c r="U3918" t="inlineStr">
        <is>
          <t>Não</t>
        </is>
      </c>
    </row>
    <row r="3919">
      <c r="A3919" t="inlineStr">
        <is>
          <t>Frete de venda</t>
        </is>
      </c>
      <c r="B3919" t="inlineStr">
        <is>
          <t>2.01.02 Frete sobre Vendas</t>
        </is>
      </c>
      <c r="C3919" s="30" t="n">
        <v>46204</v>
      </c>
      <c r="D3919" t="inlineStr">
        <is>
          <t>Em 2026</t>
        </is>
      </c>
      <c r="E3919" s="28" t="n">
        <v>46214</v>
      </c>
      <c r="F3919" t="inlineStr">
        <is>
          <t>CT-e</t>
        </is>
      </c>
      <c r="G3919" t="inlineStr">
        <is>
          <t>000007603</t>
        </is>
      </c>
      <c r="H3919" t="inlineStr">
        <is>
          <t>R&amp;R TRANSPORTE E LOGISTICA</t>
        </is>
      </c>
      <c r="J3919" s="29" t="n">
        <v>38.61</v>
      </c>
      <c r="K3919" s="29">
        <f>(1-ISNUMBER(SEARCH("556",M3919)))*(O3919*SUMIFS(Premissas!$C$5:$C$44,Premissas!$A$5:$A$44,$A3919,Premissas!$B$5:$B$44,$B3919)+P3919*SUMIFS(Premissas!$D$5:$D$44,Premissas!$A$5:$A$44,$A3919,Premissas!$B$5:$B$44,$B3919))+R3919*SUMIFS(Premissas!$E$5:$E$44,Premissas!$A$5:$A$44,$A3919,Premissas!$B$5:$B$44,$B3919)+S3919*SUMIFS(Premissas!$F$5:$F$44,Premissas!$A$5:$A$44,$A3919,Premissas!$B$5:$B$44,$B3919)</f>
        <v/>
      </c>
      <c r="L3919" s="29">
        <f>J3919-K3919</f>
        <v/>
      </c>
      <c r="M3919" t="inlineStr">
        <is>
          <t>2.350</t>
        </is>
      </c>
      <c r="N3919" t="inlineStr">
        <is>
          <t>Modalidade: 0 - Por conta do remetente | Parte: ATACADU EMBALAGENS E DESCARTAVEIS LTDA (44.319.634/0001-87)</t>
        </is>
      </c>
      <c r="O3919" s="29" t="n">
        <v>0</v>
      </c>
      <c r="P3919" s="29" t="n">
        <v>0</v>
      </c>
      <c r="Q3919" s="29" t="n">
        <v>0</v>
      </c>
      <c r="R3919" s="29" t="n">
        <v>0</v>
      </c>
      <c r="S3919" s="29" t="n">
        <v>0</v>
      </c>
      <c r="T3919" t="inlineStr">
        <is>
          <t>25260726975620000130570010000076031000010996</t>
        </is>
      </c>
      <c r="U3919" t="inlineStr">
        <is>
          <t>Não</t>
        </is>
      </c>
    </row>
    <row r="3920">
      <c r="A3920" t="inlineStr">
        <is>
          <t>Frete de venda</t>
        </is>
      </c>
      <c r="B3920" t="inlineStr">
        <is>
          <t>2.01.02 Frete sobre Vendas</t>
        </is>
      </c>
      <c r="C3920" s="30" t="n">
        <v>46204</v>
      </c>
      <c r="D3920" t="inlineStr">
        <is>
          <t>Em 2026</t>
        </is>
      </c>
      <c r="E3920" s="28" t="n">
        <v>46214</v>
      </c>
      <c r="F3920" t="inlineStr">
        <is>
          <t>CT-e</t>
        </is>
      </c>
      <c r="G3920" t="inlineStr">
        <is>
          <t>000007604</t>
        </is>
      </c>
      <c r="H3920" t="inlineStr">
        <is>
          <t>R&amp;R TRANSPORTE E LOGISTICA</t>
        </is>
      </c>
      <c r="J3920" s="29" t="n">
        <v>38.61</v>
      </c>
      <c r="K3920" s="29">
        <f>(1-ISNUMBER(SEARCH("556",M3920)))*(O3920*SUMIFS(Premissas!$C$5:$C$44,Premissas!$A$5:$A$44,$A3920,Premissas!$B$5:$B$44,$B3920)+P3920*SUMIFS(Premissas!$D$5:$D$44,Premissas!$A$5:$A$44,$A3920,Premissas!$B$5:$B$44,$B3920))+R3920*SUMIFS(Premissas!$E$5:$E$44,Premissas!$A$5:$A$44,$A3920,Premissas!$B$5:$B$44,$B3920)+S3920*SUMIFS(Premissas!$F$5:$F$44,Premissas!$A$5:$A$44,$A3920,Premissas!$B$5:$B$44,$B3920)</f>
        <v/>
      </c>
      <c r="L3920" s="29">
        <f>J3920-K3920</f>
        <v/>
      </c>
      <c r="M3920" t="inlineStr">
        <is>
          <t>2.350</t>
        </is>
      </c>
      <c r="N3920" t="inlineStr">
        <is>
          <t>Modalidade: 0 - Por conta do remetente | Parte: COMERCIAL OLIVEIRA e SA LTDA (07.377.076/0001-80)</t>
        </is>
      </c>
      <c r="O3920" s="29" t="n">
        <v>0</v>
      </c>
      <c r="P3920" s="29" t="n">
        <v>0</v>
      </c>
      <c r="Q3920" s="29" t="n">
        <v>0</v>
      </c>
      <c r="R3920" s="29" t="n">
        <v>0</v>
      </c>
      <c r="S3920" s="29" t="n">
        <v>0</v>
      </c>
      <c r="T3920" t="inlineStr">
        <is>
          <t>25260726975620000130570010000076041001801072</t>
        </is>
      </c>
      <c r="U3920" t="inlineStr">
        <is>
          <t>Não</t>
        </is>
      </c>
    </row>
    <row r="3921">
      <c r="A3921" t="inlineStr">
        <is>
          <t>Frete de venda</t>
        </is>
      </c>
      <c r="B3921" t="inlineStr">
        <is>
          <t>2.01.02 Frete sobre Vendas</t>
        </is>
      </c>
      <c r="C3921" s="30" t="n">
        <v>46204</v>
      </c>
      <c r="D3921" t="inlineStr">
        <is>
          <t>Em 2026</t>
        </is>
      </c>
      <c r="E3921" s="28" t="n">
        <v>46214</v>
      </c>
      <c r="F3921" t="inlineStr">
        <is>
          <t>CT-e</t>
        </is>
      </c>
      <c r="G3921" t="inlineStr">
        <is>
          <t>000007605</t>
        </is>
      </c>
      <c r="H3921" t="inlineStr">
        <is>
          <t>R&amp;R TRANSPORTE E LOGISTICA</t>
        </is>
      </c>
      <c r="J3921" s="29" t="n">
        <v>38.61</v>
      </c>
      <c r="K3921" s="29">
        <f>(1-ISNUMBER(SEARCH("556",M3921)))*(O3921*SUMIFS(Premissas!$C$5:$C$44,Premissas!$A$5:$A$44,$A3921,Premissas!$B$5:$B$44,$B3921)+P3921*SUMIFS(Premissas!$D$5:$D$44,Premissas!$A$5:$A$44,$A3921,Premissas!$B$5:$B$44,$B3921))+R3921*SUMIFS(Premissas!$E$5:$E$44,Premissas!$A$5:$A$44,$A3921,Premissas!$B$5:$B$44,$B3921)+S3921*SUMIFS(Premissas!$F$5:$F$44,Premissas!$A$5:$A$44,$A3921,Premissas!$B$5:$B$44,$B3921)</f>
        <v/>
      </c>
      <c r="L3921" s="29">
        <f>J3921-K3921</f>
        <v/>
      </c>
      <c r="M3921" t="inlineStr">
        <is>
          <t>2.350</t>
        </is>
      </c>
      <c r="N3921" t="inlineStr">
        <is>
          <t>Modalidade: 0 - Por conta do remetente | Parte: DISTRIBUIDORA NACIONAL DE PAPEL E EMBALAGENS LTDA (22.043.046/0001-20)</t>
        </is>
      </c>
      <c r="O3921" s="29" t="n">
        <v>0</v>
      </c>
      <c r="P3921" s="29" t="n">
        <v>0</v>
      </c>
      <c r="Q3921" s="29" t="n">
        <v>0</v>
      </c>
      <c r="R3921" s="29" t="n">
        <v>0</v>
      </c>
      <c r="S3921" s="29" t="n">
        <v>0</v>
      </c>
      <c r="T3921" t="inlineStr">
        <is>
          <t>25260726975620000130570010000076051001501157</t>
        </is>
      </c>
      <c r="U3921" t="inlineStr">
        <is>
          <t>Não</t>
        </is>
      </c>
    </row>
    <row r="3922">
      <c r="A3922" t="inlineStr">
        <is>
          <t>Frete de venda</t>
        </is>
      </c>
      <c r="B3922" t="inlineStr">
        <is>
          <t>2.01.02 Frete sobre Vendas</t>
        </is>
      </c>
      <c r="C3922" s="30" t="n">
        <v>46204</v>
      </c>
      <c r="D3922" t="inlineStr">
        <is>
          <t>Em 2026</t>
        </is>
      </c>
      <c r="E3922" s="28" t="n">
        <v>46214</v>
      </c>
      <c r="F3922" t="inlineStr">
        <is>
          <t>CT-e</t>
        </is>
      </c>
      <c r="G3922" t="inlineStr">
        <is>
          <t>000007606</t>
        </is>
      </c>
      <c r="H3922" t="inlineStr">
        <is>
          <t>R&amp;R TRANSPORTE E LOGISTICA</t>
        </is>
      </c>
      <c r="J3922" s="29" t="n">
        <v>38.61</v>
      </c>
      <c r="K3922" s="29">
        <f>(1-ISNUMBER(SEARCH("556",M3922)))*(O3922*SUMIFS(Premissas!$C$5:$C$44,Premissas!$A$5:$A$44,$A3922,Premissas!$B$5:$B$44,$B3922)+P3922*SUMIFS(Premissas!$D$5:$D$44,Premissas!$A$5:$A$44,$A3922,Premissas!$B$5:$B$44,$B3922))+R3922*SUMIFS(Premissas!$E$5:$E$44,Premissas!$A$5:$A$44,$A3922,Premissas!$B$5:$B$44,$B3922)+S3922*SUMIFS(Premissas!$F$5:$F$44,Premissas!$A$5:$A$44,$A3922,Premissas!$B$5:$B$44,$B3922)</f>
        <v/>
      </c>
      <c r="L3922" s="29">
        <f>J3922-K3922</f>
        <v/>
      </c>
      <c r="M3922" t="inlineStr">
        <is>
          <t>2.350</t>
        </is>
      </c>
      <c r="N3922" t="inlineStr">
        <is>
          <t>Modalidade: 0 - Por conta do remetente | Parte: FAMA EMBALAGEM LTDA (06.942.616/0001-68)</t>
        </is>
      </c>
      <c r="O3922" s="29" t="n">
        <v>0</v>
      </c>
      <c r="P3922" s="29" t="n">
        <v>0</v>
      </c>
      <c r="Q3922" s="29" t="n">
        <v>0</v>
      </c>
      <c r="R3922" s="29" t="n">
        <v>0</v>
      </c>
      <c r="S3922" s="29" t="n">
        <v>0</v>
      </c>
      <c r="T3922" t="inlineStr">
        <is>
          <t>25260726975620000130570010000076061001201231</t>
        </is>
      </c>
      <c r="U3922" t="inlineStr">
        <is>
          <t>Não</t>
        </is>
      </c>
    </row>
    <row r="3923">
      <c r="A3923" t="inlineStr">
        <is>
          <t>Frete de venda</t>
        </is>
      </c>
      <c r="B3923" t="inlineStr">
        <is>
          <t>2.01.02 Frete sobre Vendas</t>
        </is>
      </c>
      <c r="C3923" s="30" t="n">
        <v>46204</v>
      </c>
      <c r="D3923" t="inlineStr">
        <is>
          <t>Em 2026</t>
        </is>
      </c>
      <c r="E3923" s="28" t="n">
        <v>46214</v>
      </c>
      <c r="F3923" t="inlineStr">
        <is>
          <t>CT-e</t>
        </is>
      </c>
      <c r="G3923" t="inlineStr">
        <is>
          <t>000007607</t>
        </is>
      </c>
      <c r="H3923" t="inlineStr">
        <is>
          <t>R&amp;R TRANSPORTE E LOGISTICA</t>
        </is>
      </c>
      <c r="J3923" s="29" t="n">
        <v>38.61</v>
      </c>
      <c r="K3923" s="29">
        <f>(1-ISNUMBER(SEARCH("556",M3923)))*(O3923*SUMIFS(Premissas!$C$5:$C$44,Premissas!$A$5:$A$44,$A3923,Premissas!$B$5:$B$44,$B3923)+P3923*SUMIFS(Premissas!$D$5:$D$44,Premissas!$A$5:$A$44,$A3923,Premissas!$B$5:$B$44,$B3923))+R3923*SUMIFS(Premissas!$E$5:$E$44,Premissas!$A$5:$A$44,$A3923,Premissas!$B$5:$B$44,$B3923)+S3923*SUMIFS(Premissas!$F$5:$F$44,Premissas!$A$5:$A$44,$A3923,Premissas!$B$5:$B$44,$B3923)</f>
        <v/>
      </c>
      <c r="L3923" s="29">
        <f>J3923-K3923</f>
        <v/>
      </c>
      <c r="M3923" t="inlineStr">
        <is>
          <t>2.350</t>
        </is>
      </c>
      <c r="N3923" t="inlineStr">
        <is>
          <t>Modalidade: 0 - Por conta do remetente | Parte: CASA DEIR FERRAGENS E FERRAMENTAS LTDA (22.904.166/0001-75)</t>
        </is>
      </c>
      <c r="O3923" s="29" t="n">
        <v>0</v>
      </c>
      <c r="P3923" s="29" t="n">
        <v>0</v>
      </c>
      <c r="Q3923" s="29" t="n">
        <v>0</v>
      </c>
      <c r="R3923" s="29" t="n">
        <v>0</v>
      </c>
      <c r="S3923" s="29" t="n">
        <v>0</v>
      </c>
      <c r="T3923" t="inlineStr">
        <is>
          <t>25260726975620000130570010000076071011001313</t>
        </is>
      </c>
      <c r="U3923" t="inlineStr">
        <is>
          <t>Não</t>
        </is>
      </c>
    </row>
    <row r="3924">
      <c r="A3924" t="inlineStr">
        <is>
          <t>Frete de venda</t>
        </is>
      </c>
      <c r="B3924" t="inlineStr">
        <is>
          <t>2.01.02 Frete sobre Vendas</t>
        </is>
      </c>
      <c r="C3924" s="30" t="n">
        <v>46204</v>
      </c>
      <c r="D3924" t="inlineStr">
        <is>
          <t>Em 2026</t>
        </is>
      </c>
      <c r="E3924" s="28" t="n">
        <v>46214</v>
      </c>
      <c r="F3924" t="inlineStr">
        <is>
          <t>CT-e</t>
        </is>
      </c>
      <c r="G3924" t="inlineStr">
        <is>
          <t>000007608</t>
        </is>
      </c>
      <c r="H3924" t="inlineStr">
        <is>
          <t>R&amp;R TRANSPORTE E LOGISTICA</t>
        </is>
      </c>
      <c r="J3924" s="29" t="n">
        <v>38.61</v>
      </c>
      <c r="K3924" s="29">
        <f>(1-ISNUMBER(SEARCH("556",M3924)))*(O3924*SUMIFS(Premissas!$C$5:$C$44,Premissas!$A$5:$A$44,$A3924,Premissas!$B$5:$B$44,$B3924)+P3924*SUMIFS(Premissas!$D$5:$D$44,Premissas!$A$5:$A$44,$A3924,Premissas!$B$5:$B$44,$B3924))+R3924*SUMIFS(Premissas!$E$5:$E$44,Premissas!$A$5:$A$44,$A3924,Premissas!$B$5:$B$44,$B3924)+S3924*SUMIFS(Premissas!$F$5:$F$44,Premissas!$A$5:$A$44,$A3924,Premissas!$B$5:$B$44,$B3924)</f>
        <v/>
      </c>
      <c r="L3924" s="29">
        <f>J3924-K3924</f>
        <v/>
      </c>
      <c r="M3924" t="inlineStr">
        <is>
          <t>2.350</t>
        </is>
      </c>
      <c r="N3924" t="inlineStr">
        <is>
          <t>Modalidade: 0 - Por conta do remetente | Parte: ARMAZEM DO QUEIJO COMERCIO DE LATICINIOS LTDA (33.554.984/0001-01)</t>
        </is>
      </c>
      <c r="O3924" s="29" t="n">
        <v>0</v>
      </c>
      <c r="P3924" s="29" t="n">
        <v>0</v>
      </c>
      <c r="Q3924" s="29" t="n">
        <v>0</v>
      </c>
      <c r="R3924" s="29" t="n">
        <v>0</v>
      </c>
      <c r="S3924" s="29" t="n">
        <v>0</v>
      </c>
      <c r="T3924" t="inlineStr">
        <is>
          <t>25260726975620000130570010000076081001701395</t>
        </is>
      </c>
      <c r="U3924" t="inlineStr">
        <is>
          <t>Não</t>
        </is>
      </c>
    </row>
    <row r="3925">
      <c r="A3925" t="inlineStr">
        <is>
          <t>Frete de venda</t>
        </is>
      </c>
      <c r="B3925" t="inlineStr">
        <is>
          <t>2.01.02 Frete sobre Vendas</t>
        </is>
      </c>
      <c r="C3925" s="30" t="n">
        <v>46204</v>
      </c>
      <c r="D3925" t="inlineStr">
        <is>
          <t>Em 2026</t>
        </is>
      </c>
      <c r="E3925" s="28" t="n">
        <v>46214</v>
      </c>
      <c r="F3925" t="inlineStr">
        <is>
          <t>CT-e</t>
        </is>
      </c>
      <c r="G3925" t="inlineStr">
        <is>
          <t>000007609</t>
        </is>
      </c>
      <c r="H3925" t="inlineStr">
        <is>
          <t>R&amp;R TRANSPORTE E LOGISTICA</t>
        </is>
      </c>
      <c r="J3925" s="29" t="n">
        <v>38.61</v>
      </c>
      <c r="K3925" s="29">
        <f>(1-ISNUMBER(SEARCH("556",M3925)))*(O3925*SUMIFS(Premissas!$C$5:$C$44,Premissas!$A$5:$A$44,$A3925,Premissas!$B$5:$B$44,$B3925)+P3925*SUMIFS(Premissas!$D$5:$D$44,Premissas!$A$5:$A$44,$A3925,Premissas!$B$5:$B$44,$B3925))+R3925*SUMIFS(Premissas!$E$5:$E$44,Premissas!$A$5:$A$44,$A3925,Premissas!$B$5:$B$44,$B3925)+S3925*SUMIFS(Premissas!$F$5:$F$44,Premissas!$A$5:$A$44,$A3925,Premissas!$B$5:$B$44,$B3925)</f>
        <v/>
      </c>
      <c r="L3925" s="29">
        <f>J3925-K3925</f>
        <v/>
      </c>
      <c r="M3925" t="inlineStr">
        <is>
          <t>2.350</t>
        </is>
      </c>
      <c r="N3925" t="inlineStr">
        <is>
          <t>Modalidade: 0 - Por conta do remetente | Parte: ARMAZEM DO QUEIJO COMERCIO DE LATICINIOS LTDA (33.554.984/0002-92)</t>
        </is>
      </c>
      <c r="O3925" s="29" t="n">
        <v>0</v>
      </c>
      <c r="P3925" s="29" t="n">
        <v>0</v>
      </c>
      <c r="Q3925" s="29" t="n">
        <v>0</v>
      </c>
      <c r="R3925" s="29" t="n">
        <v>0</v>
      </c>
      <c r="S3925" s="29" t="n">
        <v>0</v>
      </c>
      <c r="T3925" t="inlineStr">
        <is>
          <t>25260726975620000130570010000076091001401470</t>
        </is>
      </c>
      <c r="U3925" t="inlineStr">
        <is>
          <t>Não</t>
        </is>
      </c>
    </row>
    <row r="3926">
      <c r="A3926" t="inlineStr">
        <is>
          <t>Frete de venda</t>
        </is>
      </c>
      <c r="B3926" t="inlineStr">
        <is>
          <t>2.01.02 Frete sobre Vendas</t>
        </is>
      </c>
      <c r="C3926" s="30" t="n">
        <v>46204</v>
      </c>
      <c r="D3926" t="inlineStr">
        <is>
          <t>Em 2026</t>
        </is>
      </c>
      <c r="E3926" s="28" t="n">
        <v>46214</v>
      </c>
      <c r="F3926" t="inlineStr">
        <is>
          <t>CT-e</t>
        </is>
      </c>
      <c r="G3926" t="inlineStr">
        <is>
          <t>000007610</t>
        </is>
      </c>
      <c r="H3926" t="inlineStr">
        <is>
          <t>R&amp;R TRANSPORTE E LOGISTICA</t>
        </is>
      </c>
      <c r="J3926" s="29" t="n">
        <v>38.61</v>
      </c>
      <c r="K3926" s="29">
        <f>(1-ISNUMBER(SEARCH("556",M3926)))*(O3926*SUMIFS(Premissas!$C$5:$C$44,Premissas!$A$5:$A$44,$A3926,Premissas!$B$5:$B$44,$B3926)+P3926*SUMIFS(Premissas!$D$5:$D$44,Premissas!$A$5:$A$44,$A3926,Premissas!$B$5:$B$44,$B3926))+R3926*SUMIFS(Premissas!$E$5:$E$44,Premissas!$A$5:$A$44,$A3926,Premissas!$B$5:$B$44,$B3926)+S3926*SUMIFS(Premissas!$F$5:$F$44,Premissas!$A$5:$A$44,$A3926,Premissas!$B$5:$B$44,$B3926)</f>
        <v/>
      </c>
      <c r="L3926" s="29">
        <f>J3926-K3926</f>
        <v/>
      </c>
      <c r="M3926" t="inlineStr">
        <is>
          <t>2.350</t>
        </is>
      </c>
      <c r="N3926" t="inlineStr">
        <is>
          <t>Modalidade: 0 - Por conta do remetente | Parte: IRMAOS BATISTA REZENDE LTDA (13.916.629/0001-28)</t>
        </is>
      </c>
      <c r="O3926" s="29" t="n">
        <v>0</v>
      </c>
      <c r="P3926" s="29" t="n">
        <v>0</v>
      </c>
      <c r="Q3926" s="29" t="n">
        <v>0</v>
      </c>
      <c r="R3926" s="29" t="n">
        <v>0</v>
      </c>
      <c r="S3926" s="29" t="n">
        <v>0</v>
      </c>
      <c r="T3926" t="inlineStr">
        <is>
          <t>25260726975620000130570010000076101001101558</t>
        </is>
      </c>
      <c r="U3926" t="inlineStr">
        <is>
          <t>Não</t>
        </is>
      </c>
    </row>
    <row r="3927">
      <c r="A3927" t="inlineStr">
        <is>
          <t>Frete de venda</t>
        </is>
      </c>
      <c r="B3927" t="inlineStr">
        <is>
          <t>2.01.02 Frete sobre Vendas</t>
        </is>
      </c>
      <c r="C3927" s="30" t="n">
        <v>46204</v>
      </c>
      <c r="D3927" t="inlineStr">
        <is>
          <t>Em 2026</t>
        </is>
      </c>
      <c r="E3927" s="28" t="n">
        <v>46214</v>
      </c>
      <c r="F3927" t="inlineStr">
        <is>
          <t>CT-e</t>
        </is>
      </c>
      <c r="G3927" t="inlineStr">
        <is>
          <t>000007611</t>
        </is>
      </c>
      <c r="H3927" t="inlineStr">
        <is>
          <t>R&amp;R TRANSPORTE E LOGISTICA</t>
        </is>
      </c>
      <c r="J3927" s="29" t="n">
        <v>38.61</v>
      </c>
      <c r="K3927" s="29">
        <f>(1-ISNUMBER(SEARCH("556",M3927)))*(O3927*SUMIFS(Premissas!$C$5:$C$44,Premissas!$A$5:$A$44,$A3927,Premissas!$B$5:$B$44,$B3927)+P3927*SUMIFS(Premissas!$D$5:$D$44,Premissas!$A$5:$A$44,$A3927,Premissas!$B$5:$B$44,$B3927))+R3927*SUMIFS(Premissas!$E$5:$E$44,Premissas!$A$5:$A$44,$A3927,Premissas!$B$5:$B$44,$B3927)+S3927*SUMIFS(Premissas!$F$5:$F$44,Premissas!$A$5:$A$44,$A3927,Premissas!$B$5:$B$44,$B3927)</f>
        <v/>
      </c>
      <c r="L3927" s="29">
        <f>J3927-K3927</f>
        <v/>
      </c>
      <c r="M3927" t="inlineStr">
        <is>
          <t>2.350</t>
        </is>
      </c>
      <c r="N3927" t="inlineStr">
        <is>
          <t>Modalidade: 0 - Por conta do remetente | Parte: JULIO CESAR PEREIRA LTDA (65.181.473/0001-88)</t>
        </is>
      </c>
      <c r="O3927" s="29" t="n">
        <v>0</v>
      </c>
      <c r="P3927" s="29" t="n">
        <v>0</v>
      </c>
      <c r="Q3927" s="29" t="n">
        <v>0</v>
      </c>
      <c r="R3927" s="29" t="n">
        <v>0</v>
      </c>
      <c r="S3927" s="29" t="n">
        <v>0</v>
      </c>
      <c r="T3927" t="inlineStr">
        <is>
          <t>25260726975620000130570010000076111000120904</t>
        </is>
      </c>
      <c r="U3927" t="inlineStr">
        <is>
          <t>Não</t>
        </is>
      </c>
    </row>
    <row r="3928">
      <c r="A3928" t="inlineStr">
        <is>
          <t>Frete de venda</t>
        </is>
      </c>
      <c r="B3928" t="inlineStr">
        <is>
          <t>2.01.02 Frete sobre Vendas</t>
        </is>
      </c>
      <c r="C3928" s="30" t="n">
        <v>46204</v>
      </c>
      <c r="D3928" t="inlineStr">
        <is>
          <t>Em 2026</t>
        </is>
      </c>
      <c r="E3928" s="28" t="n">
        <v>46214</v>
      </c>
      <c r="F3928" t="inlineStr">
        <is>
          <t>CT-e</t>
        </is>
      </c>
      <c r="G3928" t="inlineStr">
        <is>
          <t>000007612</t>
        </is>
      </c>
      <c r="H3928" t="inlineStr">
        <is>
          <t>R&amp;R TRANSPORTE E LOGISTICA</t>
        </is>
      </c>
      <c r="J3928" s="29" t="n">
        <v>38.61</v>
      </c>
      <c r="K3928" s="29">
        <f>(1-ISNUMBER(SEARCH("556",M3928)))*(O3928*SUMIFS(Premissas!$C$5:$C$44,Premissas!$A$5:$A$44,$A3928,Premissas!$B$5:$B$44,$B3928)+P3928*SUMIFS(Premissas!$D$5:$D$44,Premissas!$A$5:$A$44,$A3928,Premissas!$B$5:$B$44,$B3928))+R3928*SUMIFS(Premissas!$E$5:$E$44,Premissas!$A$5:$A$44,$A3928,Premissas!$B$5:$B$44,$B3928)+S3928*SUMIFS(Premissas!$F$5:$F$44,Premissas!$A$5:$A$44,$A3928,Premissas!$B$5:$B$44,$B3928)</f>
        <v/>
      </c>
      <c r="L3928" s="29">
        <f>J3928-K3928</f>
        <v/>
      </c>
      <c r="M3928" t="inlineStr">
        <is>
          <t>2.350</t>
        </is>
      </c>
      <c r="N3928" t="inlineStr">
        <is>
          <t>Modalidade: 0 - Por conta do remetente | Parte: DMS INDUSTRIA DE ALIMENTOS PANIFICADOS LTDA (48.184.627/0001-76)</t>
        </is>
      </c>
      <c r="O3928" s="29" t="n">
        <v>0</v>
      </c>
      <c r="P3928" s="29" t="n">
        <v>0</v>
      </c>
      <c r="Q3928" s="29" t="n">
        <v>0</v>
      </c>
      <c r="R3928" s="29" t="n">
        <v>0</v>
      </c>
      <c r="S3928" s="29" t="n">
        <v>0</v>
      </c>
      <c r="T3928" t="inlineStr">
        <is>
          <t>25260726975620000130570010000076121001100980</t>
        </is>
      </c>
      <c r="U3928" t="inlineStr">
        <is>
          <t>Não</t>
        </is>
      </c>
    </row>
    <row r="3929">
      <c r="A3929" t="inlineStr">
        <is>
          <t>Frete de venda</t>
        </is>
      </c>
      <c r="B3929" t="inlineStr">
        <is>
          <t>2.01.02 Frete sobre Vendas</t>
        </is>
      </c>
      <c r="C3929" s="30" t="n">
        <v>46204</v>
      </c>
      <c r="D3929" t="inlineStr">
        <is>
          <t>Em 2026</t>
        </is>
      </c>
      <c r="E3929" s="28" t="n">
        <v>46214</v>
      </c>
      <c r="F3929" t="inlineStr">
        <is>
          <t>CT-e</t>
        </is>
      </c>
      <c r="G3929" t="inlineStr">
        <is>
          <t>000007613</t>
        </is>
      </c>
      <c r="H3929" t="inlineStr">
        <is>
          <t>R&amp;R TRANSPORTE E LOGISTICA</t>
        </is>
      </c>
      <c r="J3929" s="29" t="n">
        <v>38.61</v>
      </c>
      <c r="K3929" s="29">
        <f>(1-ISNUMBER(SEARCH("556",M3929)))*(O3929*SUMIFS(Premissas!$C$5:$C$44,Premissas!$A$5:$A$44,$A3929,Premissas!$B$5:$B$44,$B3929)+P3929*SUMIFS(Premissas!$D$5:$D$44,Premissas!$A$5:$A$44,$A3929,Premissas!$B$5:$B$44,$B3929))+R3929*SUMIFS(Premissas!$E$5:$E$44,Premissas!$A$5:$A$44,$A3929,Premissas!$B$5:$B$44,$B3929)+S3929*SUMIFS(Premissas!$F$5:$F$44,Premissas!$A$5:$A$44,$A3929,Premissas!$B$5:$B$44,$B3929)</f>
        <v/>
      </c>
      <c r="L3929" s="29">
        <f>J3929-K3929</f>
        <v/>
      </c>
      <c r="M3929" t="inlineStr">
        <is>
          <t>2.350</t>
        </is>
      </c>
      <c r="N3929" t="inlineStr">
        <is>
          <t>Modalidade: 0 - Por conta do remetente | Parte: DOCE MEL EMBALAGENS E FESTAS (10.989.624/0001-37)</t>
        </is>
      </c>
      <c r="O3929" s="29" t="n">
        <v>0</v>
      </c>
      <c r="P3929" s="29" t="n">
        <v>0</v>
      </c>
      <c r="Q3929" s="29" t="n">
        <v>0</v>
      </c>
      <c r="R3929" s="29" t="n">
        <v>0</v>
      </c>
      <c r="S3929" s="29" t="n">
        <v>0</v>
      </c>
      <c r="T3929" t="inlineStr">
        <is>
          <t>25260726975620000130570010000076131001701069</t>
        </is>
      </c>
      <c r="U3929" t="inlineStr">
        <is>
          <t>Não</t>
        </is>
      </c>
    </row>
    <row r="3930">
      <c r="A3930" t="inlineStr">
        <is>
          <t>Frete de venda</t>
        </is>
      </c>
      <c r="B3930" t="inlineStr">
        <is>
          <t>2.01.02 Frete sobre Vendas</t>
        </is>
      </c>
      <c r="C3930" s="30" t="n">
        <v>46204</v>
      </c>
      <c r="D3930" t="inlineStr">
        <is>
          <t>Em 2026</t>
        </is>
      </c>
      <c r="E3930" s="28" t="n">
        <v>46214</v>
      </c>
      <c r="F3930" t="inlineStr">
        <is>
          <t>CT-e</t>
        </is>
      </c>
      <c r="G3930" t="inlineStr">
        <is>
          <t>000007614</t>
        </is>
      </c>
      <c r="H3930" t="inlineStr">
        <is>
          <t>R&amp;R TRANSPORTE E LOGISTICA</t>
        </is>
      </c>
      <c r="J3930" s="29" t="n">
        <v>38.61</v>
      </c>
      <c r="K3930" s="29">
        <f>(1-ISNUMBER(SEARCH("556",M3930)))*(O3930*SUMIFS(Premissas!$C$5:$C$44,Premissas!$A$5:$A$44,$A3930,Premissas!$B$5:$B$44,$B3930)+P3930*SUMIFS(Premissas!$D$5:$D$44,Premissas!$A$5:$A$44,$A3930,Premissas!$B$5:$B$44,$B3930))+R3930*SUMIFS(Premissas!$E$5:$E$44,Premissas!$A$5:$A$44,$A3930,Premissas!$B$5:$B$44,$B3930)+S3930*SUMIFS(Premissas!$F$5:$F$44,Premissas!$A$5:$A$44,$A3930,Premissas!$B$5:$B$44,$B3930)</f>
        <v/>
      </c>
      <c r="L3930" s="29">
        <f>J3930-K3930</f>
        <v/>
      </c>
      <c r="M3930" t="inlineStr">
        <is>
          <t>2.350</t>
        </is>
      </c>
      <c r="N3930" t="inlineStr">
        <is>
          <t>Modalidade: 0 - Por conta do remetente | Parte: SEM NOME FESTAS LIMITADA (03.380.097/0001-01)</t>
        </is>
      </c>
      <c r="O3930" s="29" t="n">
        <v>0</v>
      </c>
      <c r="P3930" s="29" t="n">
        <v>0</v>
      </c>
      <c r="Q3930" s="29" t="n">
        <v>0</v>
      </c>
      <c r="R3930" s="29" t="n">
        <v>0</v>
      </c>
      <c r="S3930" s="29" t="n">
        <v>0</v>
      </c>
      <c r="T3930" t="inlineStr">
        <is>
          <t>25260726975620000130570010000076141001401143</t>
        </is>
      </c>
      <c r="U3930" t="inlineStr">
        <is>
          <t>Não</t>
        </is>
      </c>
    </row>
    <row r="3931">
      <c r="A3931" t="inlineStr">
        <is>
          <t>Frete de venda</t>
        </is>
      </c>
      <c r="B3931" t="inlineStr">
        <is>
          <t>2.01.02 Frete sobre Vendas</t>
        </is>
      </c>
      <c r="C3931" s="30" t="n">
        <v>46204</v>
      </c>
      <c r="D3931" t="inlineStr">
        <is>
          <t>Em 2026</t>
        </is>
      </c>
      <c r="E3931" s="28" t="n">
        <v>46214</v>
      </c>
      <c r="F3931" t="inlineStr">
        <is>
          <t>CT-e</t>
        </is>
      </c>
      <c r="G3931" t="inlineStr">
        <is>
          <t>000007615</t>
        </is>
      </c>
      <c r="H3931" t="inlineStr">
        <is>
          <t>R&amp;R TRANSPORTE E LOGISTICA</t>
        </is>
      </c>
      <c r="J3931" s="29" t="n">
        <v>38.61</v>
      </c>
      <c r="K3931" s="29">
        <f>(1-ISNUMBER(SEARCH("556",M3931)))*(O3931*SUMIFS(Premissas!$C$5:$C$44,Premissas!$A$5:$A$44,$A3931,Premissas!$B$5:$B$44,$B3931)+P3931*SUMIFS(Premissas!$D$5:$D$44,Premissas!$A$5:$A$44,$A3931,Premissas!$B$5:$B$44,$B3931))+R3931*SUMIFS(Premissas!$E$5:$E$44,Premissas!$A$5:$A$44,$A3931,Premissas!$B$5:$B$44,$B3931)+S3931*SUMIFS(Premissas!$F$5:$F$44,Premissas!$A$5:$A$44,$A3931,Premissas!$B$5:$B$44,$B3931)</f>
        <v/>
      </c>
      <c r="L3931" s="29">
        <f>J3931-K3931</f>
        <v/>
      </c>
      <c r="M3931" t="inlineStr">
        <is>
          <t>2.350</t>
        </is>
      </c>
      <c r="N3931" t="inlineStr">
        <is>
          <t>Modalidade: 0 - Por conta do remetente | Parte: DISTRIBUIDORA BELOPACK LTDA (03.053.442/0001-94)</t>
        </is>
      </c>
      <c r="O3931" s="29" t="n">
        <v>0</v>
      </c>
      <c r="P3931" s="29" t="n">
        <v>0</v>
      </c>
      <c r="Q3931" s="29" t="n">
        <v>0</v>
      </c>
      <c r="R3931" s="29" t="n">
        <v>0</v>
      </c>
      <c r="S3931" s="29" t="n">
        <v>0</v>
      </c>
      <c r="T3931" t="inlineStr">
        <is>
          <t>25260726975620000130570010000076151001101228</t>
        </is>
      </c>
      <c r="U3931" t="inlineStr">
        <is>
          <t>Não</t>
        </is>
      </c>
    </row>
    <row r="3932">
      <c r="A3932" t="inlineStr">
        <is>
          <t>Frete de venda</t>
        </is>
      </c>
      <c r="B3932" t="inlineStr">
        <is>
          <t>2.01.02 Frete sobre Vendas</t>
        </is>
      </c>
      <c r="C3932" s="30" t="n">
        <v>46204</v>
      </c>
      <c r="D3932" t="inlineStr">
        <is>
          <t>Em 2026</t>
        </is>
      </c>
      <c r="E3932" s="28" t="n">
        <v>46214</v>
      </c>
      <c r="F3932" t="inlineStr">
        <is>
          <t>CT-e</t>
        </is>
      </c>
      <c r="G3932" t="inlineStr">
        <is>
          <t>000007616</t>
        </is>
      </c>
      <c r="H3932" t="inlineStr">
        <is>
          <t>R&amp;R TRANSPORTE E LOGISTICA</t>
        </is>
      </c>
      <c r="J3932" s="29" t="n">
        <v>38.61</v>
      </c>
      <c r="K3932" s="29">
        <f>(1-ISNUMBER(SEARCH("556",M3932)))*(O3932*SUMIFS(Premissas!$C$5:$C$44,Premissas!$A$5:$A$44,$A3932,Premissas!$B$5:$B$44,$B3932)+P3932*SUMIFS(Premissas!$D$5:$D$44,Premissas!$A$5:$A$44,$A3932,Premissas!$B$5:$B$44,$B3932))+R3932*SUMIFS(Premissas!$E$5:$E$44,Premissas!$A$5:$A$44,$A3932,Premissas!$B$5:$B$44,$B3932)+S3932*SUMIFS(Premissas!$F$5:$F$44,Premissas!$A$5:$A$44,$A3932,Premissas!$B$5:$B$44,$B3932)</f>
        <v/>
      </c>
      <c r="L3932" s="29">
        <f>J3932-K3932</f>
        <v/>
      </c>
      <c r="M3932" t="inlineStr">
        <is>
          <t>2.350</t>
        </is>
      </c>
      <c r="N3932" t="inlineStr">
        <is>
          <t>Modalidade: 0 - Por conta do remetente | Parte: MISTER CENTRO DE DISTRIBUICAO LTDA (32.254.966/0001-41)</t>
        </is>
      </c>
      <c r="O3932" s="29" t="n">
        <v>0</v>
      </c>
      <c r="P3932" s="29" t="n">
        <v>0</v>
      </c>
      <c r="Q3932" s="29" t="n">
        <v>0</v>
      </c>
      <c r="R3932" s="29" t="n">
        <v>0</v>
      </c>
      <c r="S3932" s="29" t="n">
        <v>0</v>
      </c>
      <c r="T3932" t="inlineStr">
        <is>
          <t>25260726975620000130570010000076161001901302</t>
        </is>
      </c>
      <c r="U3932" t="inlineStr">
        <is>
          <t>Não</t>
        </is>
      </c>
    </row>
    <row r="3933">
      <c r="A3933" t="inlineStr">
        <is>
          <t>Frete de venda</t>
        </is>
      </c>
      <c r="B3933" t="inlineStr">
        <is>
          <t>2.01.02 Frete sobre Vendas</t>
        </is>
      </c>
      <c r="C3933" s="30" t="n">
        <v>46204</v>
      </c>
      <c r="D3933" t="inlineStr">
        <is>
          <t>Em 2026</t>
        </is>
      </c>
      <c r="E3933" s="28" t="n">
        <v>46214</v>
      </c>
      <c r="F3933" t="inlineStr">
        <is>
          <t>CT-e</t>
        </is>
      </c>
      <c r="G3933" t="inlineStr">
        <is>
          <t>000007617</t>
        </is>
      </c>
      <c r="H3933" t="inlineStr">
        <is>
          <t>R&amp;R TRANSPORTE E LOGISTICA</t>
        </is>
      </c>
      <c r="J3933" s="29" t="n">
        <v>38.61</v>
      </c>
      <c r="K3933" s="29">
        <f>(1-ISNUMBER(SEARCH("556",M3933)))*(O3933*SUMIFS(Premissas!$C$5:$C$44,Premissas!$A$5:$A$44,$A3933,Premissas!$B$5:$B$44,$B3933)+P3933*SUMIFS(Premissas!$D$5:$D$44,Premissas!$A$5:$A$44,$A3933,Premissas!$B$5:$B$44,$B3933))+R3933*SUMIFS(Premissas!$E$5:$E$44,Premissas!$A$5:$A$44,$A3933,Premissas!$B$5:$B$44,$B3933)+S3933*SUMIFS(Premissas!$F$5:$F$44,Premissas!$A$5:$A$44,$A3933,Premissas!$B$5:$B$44,$B3933)</f>
        <v/>
      </c>
      <c r="L3933" s="29">
        <f>J3933-K3933</f>
        <v/>
      </c>
      <c r="M3933" t="inlineStr">
        <is>
          <t>2.350</t>
        </is>
      </c>
      <c r="N3933" t="inlineStr">
        <is>
          <t>Modalidade: 0 - Por conta do remetente | Parte: M A M CAVALLINI EIRELI - ME (21.715.197/0001-15)</t>
        </is>
      </c>
      <c r="O3933" s="29" t="n">
        <v>0</v>
      </c>
      <c r="P3933" s="29" t="n">
        <v>0</v>
      </c>
      <c r="Q3933" s="29" t="n">
        <v>0</v>
      </c>
      <c r="R3933" s="29" t="n">
        <v>0</v>
      </c>
      <c r="S3933" s="29" t="n">
        <v>0</v>
      </c>
      <c r="T3933" t="inlineStr">
        <is>
          <t>25260726975620000130570010000076171001601381</t>
        </is>
      </c>
      <c r="U3933" t="inlineStr">
        <is>
          <t>Não</t>
        </is>
      </c>
    </row>
    <row r="3934">
      <c r="A3934" t="inlineStr">
        <is>
          <t>Frete de venda</t>
        </is>
      </c>
      <c r="B3934" t="inlineStr">
        <is>
          <t>2.01.02 Frete sobre Vendas</t>
        </is>
      </c>
      <c r="C3934" s="30" t="n">
        <v>46204</v>
      </c>
      <c r="D3934" t="inlineStr">
        <is>
          <t>Em 2026</t>
        </is>
      </c>
      <c r="E3934" s="28" t="n">
        <v>46214</v>
      </c>
      <c r="F3934" t="inlineStr">
        <is>
          <t>CT-e</t>
        </is>
      </c>
      <c r="G3934" t="inlineStr">
        <is>
          <t>000007618</t>
        </is>
      </c>
      <c r="H3934" t="inlineStr">
        <is>
          <t>R&amp;R TRANSPORTE E LOGISTICA</t>
        </is>
      </c>
      <c r="J3934" s="29" t="n">
        <v>38.61</v>
      </c>
      <c r="K3934" s="29">
        <f>(1-ISNUMBER(SEARCH("556",M3934)))*(O3934*SUMIFS(Premissas!$C$5:$C$44,Premissas!$A$5:$A$44,$A3934,Premissas!$B$5:$B$44,$B3934)+P3934*SUMIFS(Premissas!$D$5:$D$44,Premissas!$A$5:$A$44,$A3934,Premissas!$B$5:$B$44,$B3934))+R3934*SUMIFS(Premissas!$E$5:$E$44,Premissas!$A$5:$A$44,$A3934,Premissas!$B$5:$B$44,$B3934)+S3934*SUMIFS(Premissas!$F$5:$F$44,Premissas!$A$5:$A$44,$A3934,Premissas!$B$5:$B$44,$B3934)</f>
        <v/>
      </c>
      <c r="L3934" s="29">
        <f>J3934-K3934</f>
        <v/>
      </c>
      <c r="M3934" t="inlineStr">
        <is>
          <t>2.350</t>
        </is>
      </c>
      <c r="N3934" t="inlineStr">
        <is>
          <t>Modalidade: 0 - Por conta do remetente | Parte: REIPEL COMERCIAL LTDA (66.283.771/0001-41)</t>
        </is>
      </c>
      <c r="O3934" s="29" t="n">
        <v>0</v>
      </c>
      <c r="P3934" s="29" t="n">
        <v>0</v>
      </c>
      <c r="Q3934" s="29" t="n">
        <v>0</v>
      </c>
      <c r="R3934" s="29" t="n">
        <v>0</v>
      </c>
      <c r="S3934" s="29" t="n">
        <v>0</v>
      </c>
      <c r="T3934" t="inlineStr">
        <is>
          <t>25260726975620000130570010000076181001301466</t>
        </is>
      </c>
      <c r="U3934" t="inlineStr">
        <is>
          <t>Não</t>
        </is>
      </c>
    </row>
    <row r="3935">
      <c r="A3935" t="inlineStr">
        <is>
          <t>Frete de venda</t>
        </is>
      </c>
      <c r="B3935" t="inlineStr">
        <is>
          <t>2.01.02 Frete sobre Vendas</t>
        </is>
      </c>
      <c r="C3935" s="30" t="n">
        <v>46204</v>
      </c>
      <c r="D3935" t="inlineStr">
        <is>
          <t>Em 2026</t>
        </is>
      </c>
      <c r="E3935" s="28" t="n">
        <v>46214</v>
      </c>
      <c r="F3935" t="inlineStr">
        <is>
          <t>CT-e</t>
        </is>
      </c>
      <c r="G3935" t="inlineStr">
        <is>
          <t>000007620</t>
        </is>
      </c>
      <c r="H3935" t="inlineStr">
        <is>
          <t>R&amp;R TRANSPORTE E LOGISTICA</t>
        </is>
      </c>
      <c r="J3935" s="29" t="n">
        <v>250</v>
      </c>
      <c r="K3935" s="29">
        <f>(1-ISNUMBER(SEARCH("556",M3935)))*(O3935*SUMIFS(Premissas!$C$5:$C$44,Premissas!$A$5:$A$44,$A3935,Premissas!$B$5:$B$44,$B3935)+P3935*SUMIFS(Premissas!$D$5:$D$44,Premissas!$A$5:$A$44,$A3935,Premissas!$B$5:$B$44,$B3935))+R3935*SUMIFS(Premissas!$E$5:$E$44,Premissas!$A$5:$A$44,$A3935,Premissas!$B$5:$B$44,$B3935)+S3935*SUMIFS(Premissas!$F$5:$F$44,Premissas!$A$5:$A$44,$A3935,Premissas!$B$5:$B$44,$B3935)</f>
        <v/>
      </c>
      <c r="L3935" s="29">
        <f>J3935-K3935</f>
        <v/>
      </c>
      <c r="M3935" t="inlineStr">
        <is>
          <t>2.350</t>
        </is>
      </c>
      <c r="N3935" t="inlineStr">
        <is>
          <t>Modalidade: 0 - Por conta do remetente | Parte: PRONTO DISTRIBUIDORA LTDA (59.909.633/0001-60)</t>
        </is>
      </c>
      <c r="O3935" s="29" t="n">
        <v>0</v>
      </c>
      <c r="P3935" s="29" t="n">
        <v>0</v>
      </c>
      <c r="Q3935" s="29" t="n">
        <v>0</v>
      </c>
      <c r="R3935" s="29" t="n">
        <v>0</v>
      </c>
      <c r="S3935" s="29" t="n">
        <v>0</v>
      </c>
      <c r="T3935" t="inlineStr">
        <is>
          <t>25260726975620000130570010000076201001801629</t>
        </is>
      </c>
      <c r="U3935" t="inlineStr">
        <is>
          <t>Não</t>
        </is>
      </c>
    </row>
    <row r="3936">
      <c r="A3936" t="inlineStr">
        <is>
          <t>Frete de venda</t>
        </is>
      </c>
      <c r="B3936" t="inlineStr">
        <is>
          <t>2.01.02 Frete sobre Vendas</t>
        </is>
      </c>
      <c r="C3936" s="30" t="n">
        <v>46204</v>
      </c>
      <c r="D3936" t="inlineStr">
        <is>
          <t>Em 2026</t>
        </is>
      </c>
      <c r="E3936" s="28" t="n">
        <v>46214</v>
      </c>
      <c r="F3936" t="inlineStr">
        <is>
          <t>CT-e</t>
        </is>
      </c>
      <c r="G3936" t="inlineStr">
        <is>
          <t>000007621</t>
        </is>
      </c>
      <c r="H3936" t="inlineStr">
        <is>
          <t>R&amp;R TRANSPORTE E LOGISTICA</t>
        </is>
      </c>
      <c r="J3936" s="29" t="n">
        <v>250</v>
      </c>
      <c r="K3936" s="29">
        <f>(1-ISNUMBER(SEARCH("556",M3936)))*(O3936*SUMIFS(Premissas!$C$5:$C$44,Premissas!$A$5:$A$44,$A3936,Premissas!$B$5:$B$44,$B3936)+P3936*SUMIFS(Premissas!$D$5:$D$44,Premissas!$A$5:$A$44,$A3936,Premissas!$B$5:$B$44,$B3936))+R3936*SUMIFS(Premissas!$E$5:$E$44,Premissas!$A$5:$A$44,$A3936,Premissas!$B$5:$B$44,$B3936)+S3936*SUMIFS(Premissas!$F$5:$F$44,Premissas!$A$5:$A$44,$A3936,Premissas!$B$5:$B$44,$B3936)</f>
        <v/>
      </c>
      <c r="L3936" s="29">
        <f>J3936-K3936</f>
        <v/>
      </c>
      <c r="M3936" t="inlineStr">
        <is>
          <t>2.350</t>
        </is>
      </c>
      <c r="N3936" t="inlineStr">
        <is>
          <t>Modalidade: 0 - Por conta do remetente | Parte: VILA COMERCIO DE FRIOS LTDA (33.787.186/0002-00)</t>
        </is>
      </c>
      <c r="O3936" s="29" t="n">
        <v>0</v>
      </c>
      <c r="P3936" s="29" t="n">
        <v>0</v>
      </c>
      <c r="Q3936" s="29" t="n">
        <v>0</v>
      </c>
      <c r="R3936" s="29" t="n">
        <v>0</v>
      </c>
      <c r="S3936" s="29" t="n">
        <v>0</v>
      </c>
      <c r="T3936" t="inlineStr">
        <is>
          <t>25260726975620000130570010000076211000190976</t>
        </is>
      </c>
      <c r="U3936" t="inlineStr">
        <is>
          <t>Não</t>
        </is>
      </c>
    </row>
    <row r="3937">
      <c r="A3937" t="inlineStr">
        <is>
          <t>Frete de venda</t>
        </is>
      </c>
      <c r="B3937" t="inlineStr">
        <is>
          <t>2.01.02 Frete sobre Vendas</t>
        </is>
      </c>
      <c r="C3937" s="30" t="n">
        <v>46204</v>
      </c>
      <c r="D3937" t="inlineStr">
        <is>
          <t>Em 2026</t>
        </is>
      </c>
      <c r="E3937" s="28" t="n">
        <v>46214</v>
      </c>
      <c r="F3937" t="inlineStr">
        <is>
          <t>CT-e</t>
        </is>
      </c>
      <c r="G3937" t="inlineStr">
        <is>
          <t>000007622</t>
        </is>
      </c>
      <c r="H3937" t="inlineStr">
        <is>
          <t>R&amp;R TRANSPORTE E LOGISTICA</t>
        </is>
      </c>
      <c r="J3937" s="29" t="n">
        <v>250</v>
      </c>
      <c r="K3937" s="29">
        <f>(1-ISNUMBER(SEARCH("556",M3937)))*(O3937*SUMIFS(Premissas!$C$5:$C$44,Premissas!$A$5:$A$44,$A3937,Premissas!$B$5:$B$44,$B3937)+P3937*SUMIFS(Premissas!$D$5:$D$44,Premissas!$A$5:$A$44,$A3937,Premissas!$B$5:$B$44,$B3937))+R3937*SUMIFS(Premissas!$E$5:$E$44,Premissas!$A$5:$A$44,$A3937,Premissas!$B$5:$B$44,$B3937)+S3937*SUMIFS(Premissas!$F$5:$F$44,Premissas!$A$5:$A$44,$A3937,Premissas!$B$5:$B$44,$B3937)</f>
        <v/>
      </c>
      <c r="L3937" s="29">
        <f>J3937-K3937</f>
        <v/>
      </c>
      <c r="M3937" t="inlineStr">
        <is>
          <t>2.350</t>
        </is>
      </c>
      <c r="N3937" t="inlineStr">
        <is>
          <t>Modalidade: 0 - Por conta do remetente | Parte: VILA COMERCIO DE FRIOS LTDA (33.787.186/0003-91)</t>
        </is>
      </c>
      <c r="O3937" s="29" t="n">
        <v>0</v>
      </c>
      <c r="P3937" s="29" t="n">
        <v>0</v>
      </c>
      <c r="Q3937" s="29" t="n">
        <v>0</v>
      </c>
      <c r="R3937" s="29" t="n">
        <v>0</v>
      </c>
      <c r="S3937" s="29" t="n">
        <v>0</v>
      </c>
      <c r="T3937" t="inlineStr">
        <is>
          <t>25260726975620000130570010000076221001601055</t>
        </is>
      </c>
      <c r="U3937" t="inlineStr">
        <is>
          <t>Não</t>
        </is>
      </c>
    </row>
    <row r="3938">
      <c r="A3938" t="inlineStr">
        <is>
          <t>Frete de venda</t>
        </is>
      </c>
      <c r="B3938" t="inlineStr">
        <is>
          <t>2.01.02 Frete sobre Vendas</t>
        </is>
      </c>
      <c r="C3938" s="30" t="n">
        <v>46204</v>
      </c>
      <c r="D3938" t="inlineStr">
        <is>
          <t>Em 2026</t>
        </is>
      </c>
      <c r="E3938" s="28" t="n">
        <v>46214</v>
      </c>
      <c r="F3938" t="inlineStr">
        <is>
          <t>CT-e</t>
        </is>
      </c>
      <c r="G3938" t="inlineStr">
        <is>
          <t>000007623</t>
        </is>
      </c>
      <c r="H3938" t="inlineStr">
        <is>
          <t>R&amp;R TRANSPORTE E LOGISTICA</t>
        </is>
      </c>
      <c r="J3938" s="29" t="n">
        <v>250</v>
      </c>
      <c r="K3938" s="29">
        <f>(1-ISNUMBER(SEARCH("556",M3938)))*(O3938*SUMIFS(Premissas!$C$5:$C$44,Premissas!$A$5:$A$44,$A3938,Premissas!$B$5:$B$44,$B3938)+P3938*SUMIFS(Premissas!$D$5:$D$44,Premissas!$A$5:$A$44,$A3938,Premissas!$B$5:$B$44,$B3938))+R3938*SUMIFS(Premissas!$E$5:$E$44,Premissas!$A$5:$A$44,$A3938,Premissas!$B$5:$B$44,$B3938)+S3938*SUMIFS(Premissas!$F$5:$F$44,Premissas!$A$5:$A$44,$A3938,Premissas!$B$5:$B$44,$B3938)</f>
        <v/>
      </c>
      <c r="L3938" s="29">
        <f>J3938-K3938</f>
        <v/>
      </c>
      <c r="M3938" t="inlineStr">
        <is>
          <t>2.350</t>
        </is>
      </c>
      <c r="N3938" t="inlineStr">
        <is>
          <t>Modalidade: 0 - Por conta do remetente | Parte: VILA COMERCIO DE FRIOS LTDA (33.787.186/0001-20)</t>
        </is>
      </c>
      <c r="O3938" s="29" t="n">
        <v>0</v>
      </c>
      <c r="P3938" s="29" t="n">
        <v>0</v>
      </c>
      <c r="Q3938" s="29" t="n">
        <v>0</v>
      </c>
      <c r="R3938" s="29" t="n">
        <v>0</v>
      </c>
      <c r="S3938" s="29" t="n">
        <v>0</v>
      </c>
      <c r="T3938" t="inlineStr">
        <is>
          <t>25260726975620000130570010000076231001301130</t>
        </is>
      </c>
      <c r="U3938" t="inlineStr">
        <is>
          <t>Não</t>
        </is>
      </c>
    </row>
    <row r="3939">
      <c r="A3939" t="inlineStr">
        <is>
          <t>Frete de venda</t>
        </is>
      </c>
      <c r="B3939" t="inlineStr">
        <is>
          <t>2.01.02 Frete sobre Vendas</t>
        </is>
      </c>
      <c r="C3939" s="30" t="n">
        <v>46204</v>
      </c>
      <c r="D3939" t="inlineStr">
        <is>
          <t>Em 2026</t>
        </is>
      </c>
      <c r="E3939" s="28" t="n">
        <v>46214</v>
      </c>
      <c r="F3939" t="inlineStr">
        <is>
          <t>CT-e</t>
        </is>
      </c>
      <c r="G3939" t="inlineStr">
        <is>
          <t>000007624</t>
        </is>
      </c>
      <c r="H3939" t="inlineStr">
        <is>
          <t>R&amp;R TRANSPORTE E LOGISTICA</t>
        </is>
      </c>
      <c r="J3939" s="29" t="n">
        <v>250</v>
      </c>
      <c r="K3939" s="29">
        <f>(1-ISNUMBER(SEARCH("556",M3939)))*(O3939*SUMIFS(Premissas!$C$5:$C$44,Premissas!$A$5:$A$44,$A3939,Premissas!$B$5:$B$44,$B3939)+P3939*SUMIFS(Premissas!$D$5:$D$44,Premissas!$A$5:$A$44,$A3939,Premissas!$B$5:$B$44,$B3939))+R3939*SUMIFS(Premissas!$E$5:$E$44,Premissas!$A$5:$A$44,$A3939,Premissas!$B$5:$B$44,$B3939)+S3939*SUMIFS(Premissas!$F$5:$F$44,Premissas!$A$5:$A$44,$A3939,Premissas!$B$5:$B$44,$B3939)</f>
        <v/>
      </c>
      <c r="L3939" s="29">
        <f>J3939-K3939</f>
        <v/>
      </c>
      <c r="M3939" t="inlineStr">
        <is>
          <t>2.350</t>
        </is>
      </c>
      <c r="N3939" t="inlineStr">
        <is>
          <t>Modalidade: 0 - Por conta do remetente | Parte: ADILSON RAMOS DE MOURA LTDA (00.794.258/0001-07)</t>
        </is>
      </c>
      <c r="O3939" s="29" t="n">
        <v>0</v>
      </c>
      <c r="P3939" s="29" t="n">
        <v>0</v>
      </c>
      <c r="Q3939" s="29" t="n">
        <v>0</v>
      </c>
      <c r="R3939" s="29" t="n">
        <v>0</v>
      </c>
      <c r="S3939" s="29" t="n">
        <v>0</v>
      </c>
      <c r="T3939" t="inlineStr">
        <is>
          <t>25260726975620000130570010000076241000101215</t>
        </is>
      </c>
      <c r="U3939" t="inlineStr">
        <is>
          <t>Não</t>
        </is>
      </c>
    </row>
    <row r="3940">
      <c r="A3940" t="inlineStr">
        <is>
          <t>Frete de venda</t>
        </is>
      </c>
      <c r="B3940" t="inlineStr">
        <is>
          <t>2.01.02 Frete sobre Vendas</t>
        </is>
      </c>
      <c r="C3940" s="30" t="n">
        <v>46204</v>
      </c>
      <c r="D3940" t="inlineStr">
        <is>
          <t>Em 2026</t>
        </is>
      </c>
      <c r="E3940" s="28" t="n">
        <v>46214</v>
      </c>
      <c r="F3940" t="inlineStr">
        <is>
          <t>CT-e</t>
        </is>
      </c>
      <c r="G3940" t="inlineStr">
        <is>
          <t>000007625</t>
        </is>
      </c>
      <c r="H3940" t="inlineStr">
        <is>
          <t>R&amp;R TRANSPORTE E LOGISTICA</t>
        </is>
      </c>
      <c r="J3940" s="29" t="n">
        <v>250</v>
      </c>
      <c r="K3940" s="29">
        <f>(1-ISNUMBER(SEARCH("556",M3940)))*(O3940*SUMIFS(Premissas!$C$5:$C$44,Premissas!$A$5:$A$44,$A3940,Premissas!$B$5:$B$44,$B3940)+P3940*SUMIFS(Premissas!$D$5:$D$44,Premissas!$A$5:$A$44,$A3940,Premissas!$B$5:$B$44,$B3940))+R3940*SUMIFS(Premissas!$E$5:$E$44,Premissas!$A$5:$A$44,$A3940,Premissas!$B$5:$B$44,$B3940)+S3940*SUMIFS(Premissas!$F$5:$F$44,Premissas!$A$5:$A$44,$A3940,Premissas!$B$5:$B$44,$B3940)</f>
        <v/>
      </c>
      <c r="L3940" s="29">
        <f>J3940-K3940</f>
        <v/>
      </c>
      <c r="M3940" t="inlineStr">
        <is>
          <t>2.350</t>
        </is>
      </c>
      <c r="N3940" t="inlineStr">
        <is>
          <t>Modalidade: 0 - Por conta do remetente | Parte: COMERCIAL PROLAC LTDA. (07.182.763/0001-40)</t>
        </is>
      </c>
      <c r="O3940" s="29" t="n">
        <v>0</v>
      </c>
      <c r="P3940" s="29" t="n">
        <v>0</v>
      </c>
      <c r="Q3940" s="29" t="n">
        <v>0</v>
      </c>
      <c r="R3940" s="29" t="n">
        <v>0</v>
      </c>
      <c r="S3940" s="29" t="n">
        <v>0</v>
      </c>
      <c r="T3940" t="inlineStr">
        <is>
          <t>25260726975620000130570010000076251001801293</t>
        </is>
      </c>
      <c r="U3940" t="inlineStr">
        <is>
          <t>Não</t>
        </is>
      </c>
    </row>
    <row r="3941">
      <c r="A3941" t="inlineStr">
        <is>
          <t>Frete de venda</t>
        </is>
      </c>
      <c r="B3941" t="inlineStr">
        <is>
          <t>2.01.02 Frete sobre Vendas</t>
        </is>
      </c>
      <c r="C3941" s="30" t="n">
        <v>46204</v>
      </c>
      <c r="D3941" t="inlineStr">
        <is>
          <t>Em 2026</t>
        </is>
      </c>
      <c r="E3941" s="28" t="n">
        <v>46217</v>
      </c>
      <c r="F3941" t="inlineStr">
        <is>
          <t>CT-e</t>
        </is>
      </c>
      <c r="G3941" t="inlineStr">
        <is>
          <t>000007629</t>
        </is>
      </c>
      <c r="H3941" t="inlineStr">
        <is>
          <t>R&amp;R TRANSPORTE E LOGISTICA</t>
        </is>
      </c>
      <c r="J3941" s="29" t="n">
        <v>41.6</v>
      </c>
      <c r="K3941" s="29">
        <f>(1-ISNUMBER(SEARCH("556",M3941)))*(O3941*SUMIFS(Premissas!$C$5:$C$44,Premissas!$A$5:$A$44,$A3941,Premissas!$B$5:$B$44,$B3941)+P3941*SUMIFS(Premissas!$D$5:$D$44,Premissas!$A$5:$A$44,$A3941,Premissas!$B$5:$B$44,$B3941))+R3941*SUMIFS(Premissas!$E$5:$E$44,Premissas!$A$5:$A$44,$A3941,Premissas!$B$5:$B$44,$B3941)+S3941*SUMIFS(Premissas!$F$5:$F$44,Premissas!$A$5:$A$44,$A3941,Premissas!$B$5:$B$44,$B3941)</f>
        <v/>
      </c>
      <c r="L3941" s="29">
        <f>J3941-K3941</f>
        <v/>
      </c>
      <c r="M3941" t="inlineStr">
        <is>
          <t>2.350</t>
        </is>
      </c>
      <c r="N3941" t="inlineStr">
        <is>
          <t>Modalidade: 0 - Por conta do remetente | Parte: L F S COMERCIO E IMPORTACAO DE ALIMENTOS LTDA (15.099.833/0001-29)</t>
        </is>
      </c>
      <c r="O3941" s="29" t="n">
        <v>0</v>
      </c>
      <c r="P3941" s="29" t="n">
        <v>0</v>
      </c>
      <c r="Q3941" s="29" t="n">
        <v>0</v>
      </c>
      <c r="R3941" s="29" t="n">
        <v>0</v>
      </c>
      <c r="S3941" s="29" t="n">
        <v>0</v>
      </c>
      <c r="T3941" t="inlineStr">
        <is>
          <t>25260726975620000130570010000076291001701611</t>
        </is>
      </c>
      <c r="U3941" t="inlineStr">
        <is>
          <t>Não</t>
        </is>
      </c>
    </row>
    <row r="3942">
      <c r="A3942" t="inlineStr">
        <is>
          <t>Frete de venda</t>
        </is>
      </c>
      <c r="B3942" t="inlineStr">
        <is>
          <t>2.01.02 Frete sobre Vendas</t>
        </is>
      </c>
      <c r="C3942" s="30" t="n">
        <v>46204</v>
      </c>
      <c r="D3942" t="inlineStr">
        <is>
          <t>Em 2026</t>
        </is>
      </c>
      <c r="E3942" s="28" t="n">
        <v>46217</v>
      </c>
      <c r="F3942" t="inlineStr">
        <is>
          <t>CT-e</t>
        </is>
      </c>
      <c r="G3942" t="inlineStr">
        <is>
          <t>000007630</t>
        </is>
      </c>
      <c r="H3942" t="inlineStr">
        <is>
          <t>R&amp;R TRANSPORTE E LOGISTICA</t>
        </is>
      </c>
      <c r="J3942" s="29" t="n">
        <v>43.95</v>
      </c>
      <c r="K3942" s="29">
        <f>(1-ISNUMBER(SEARCH("556",M3942)))*(O3942*SUMIFS(Premissas!$C$5:$C$44,Premissas!$A$5:$A$44,$A3942,Premissas!$B$5:$B$44,$B3942)+P3942*SUMIFS(Premissas!$D$5:$D$44,Premissas!$A$5:$A$44,$A3942,Premissas!$B$5:$B$44,$B3942))+R3942*SUMIFS(Premissas!$E$5:$E$44,Premissas!$A$5:$A$44,$A3942,Premissas!$B$5:$B$44,$B3942)+S3942*SUMIFS(Premissas!$F$5:$F$44,Premissas!$A$5:$A$44,$A3942,Premissas!$B$5:$B$44,$B3942)</f>
        <v/>
      </c>
      <c r="L3942" s="29">
        <f>J3942-K3942</f>
        <v/>
      </c>
      <c r="M3942" t="inlineStr">
        <is>
          <t>2.350</t>
        </is>
      </c>
      <c r="N3942" t="inlineStr">
        <is>
          <t>Modalidade: 0 - Por conta do remetente | Parte: IMPERIAL PLAST LTDA (43.506.253/0001-44)</t>
        </is>
      </c>
      <c r="O3942" s="29" t="n">
        <v>0</v>
      </c>
      <c r="P3942" s="29" t="n">
        <v>0</v>
      </c>
      <c r="Q3942" s="29" t="n">
        <v>0</v>
      </c>
      <c r="R3942" s="29" t="n">
        <v>0</v>
      </c>
      <c r="S3942" s="29" t="n">
        <v>0</v>
      </c>
      <c r="T3942" t="inlineStr">
        <is>
          <t>25260726975620000130570010000076301001401694</t>
        </is>
      </c>
      <c r="U3942" t="inlineStr">
        <is>
          <t>Não</t>
        </is>
      </c>
    </row>
    <row r="3943">
      <c r="A3943" t="inlineStr">
        <is>
          <t>Frete de venda</t>
        </is>
      </c>
      <c r="B3943" t="inlineStr">
        <is>
          <t>2.01.02 Frete sobre Vendas</t>
        </is>
      </c>
      <c r="C3943" s="30" t="n">
        <v>46204</v>
      </c>
      <c r="D3943" t="inlineStr">
        <is>
          <t>Em 2026</t>
        </is>
      </c>
      <c r="E3943" s="28" t="n">
        <v>46217</v>
      </c>
      <c r="F3943" t="inlineStr">
        <is>
          <t>CT-e</t>
        </is>
      </c>
      <c r="G3943" t="inlineStr">
        <is>
          <t>000007631</t>
        </is>
      </c>
      <c r="H3943" t="inlineStr">
        <is>
          <t>R&amp;R TRANSPORTE E LOGISTICA</t>
        </is>
      </c>
      <c r="J3943" s="29" t="n">
        <v>42.73</v>
      </c>
      <c r="K3943" s="29">
        <f>(1-ISNUMBER(SEARCH("556",M3943)))*(O3943*SUMIFS(Premissas!$C$5:$C$44,Premissas!$A$5:$A$44,$A3943,Premissas!$B$5:$B$44,$B3943)+P3943*SUMIFS(Premissas!$D$5:$D$44,Premissas!$A$5:$A$44,$A3943,Premissas!$B$5:$B$44,$B3943))+R3943*SUMIFS(Premissas!$E$5:$E$44,Premissas!$A$5:$A$44,$A3943,Premissas!$B$5:$B$44,$B3943)+S3943*SUMIFS(Premissas!$F$5:$F$44,Premissas!$A$5:$A$44,$A3943,Premissas!$B$5:$B$44,$B3943)</f>
        <v/>
      </c>
      <c r="L3943" s="29">
        <f>J3943-K3943</f>
        <v/>
      </c>
      <c r="M3943" t="inlineStr">
        <is>
          <t>2.350</t>
        </is>
      </c>
      <c r="N3943" t="inlineStr">
        <is>
          <t>Modalidade: 0 - Por conta do remetente | Parte: NAYANDRA DE SOUSA FARIAS MAGALHAES (23.942.421/0001-37)</t>
        </is>
      </c>
      <c r="O3943" s="29" t="n">
        <v>0</v>
      </c>
      <c r="P3943" s="29" t="n">
        <v>0</v>
      </c>
      <c r="Q3943" s="29" t="n">
        <v>0</v>
      </c>
      <c r="R3943" s="29" t="n">
        <v>0</v>
      </c>
      <c r="S3943" s="29" t="n">
        <v>0</v>
      </c>
      <c r="T3943" t="inlineStr">
        <is>
          <t>25260726975620000130570010000076311001501041</t>
        </is>
      </c>
      <c r="U3943" t="inlineStr">
        <is>
          <t>Não</t>
        </is>
      </c>
    </row>
    <row r="3944">
      <c r="A3944" t="inlineStr">
        <is>
          <t>Frete de venda</t>
        </is>
      </c>
      <c r="B3944" t="inlineStr">
        <is>
          <t>2.01.02 Frete sobre Vendas</t>
        </is>
      </c>
      <c r="C3944" s="30" t="n">
        <v>46204</v>
      </c>
      <c r="D3944" t="inlineStr">
        <is>
          <t>Em 2026</t>
        </is>
      </c>
      <c r="E3944" s="28" t="n">
        <v>46217</v>
      </c>
      <c r="F3944" t="inlineStr">
        <is>
          <t>CT-e</t>
        </is>
      </c>
      <c r="G3944" t="inlineStr">
        <is>
          <t>000007632</t>
        </is>
      </c>
      <c r="H3944" t="inlineStr">
        <is>
          <t>R&amp;R TRANSPORTE E LOGISTICA</t>
        </is>
      </c>
      <c r="J3944" s="29" t="n">
        <v>41.53</v>
      </c>
      <c r="K3944" s="29">
        <f>(1-ISNUMBER(SEARCH("556",M3944)))*(O3944*SUMIFS(Premissas!$C$5:$C$44,Premissas!$A$5:$A$44,$A3944,Premissas!$B$5:$B$44,$B3944)+P3944*SUMIFS(Premissas!$D$5:$D$44,Premissas!$A$5:$A$44,$A3944,Premissas!$B$5:$B$44,$B3944))+R3944*SUMIFS(Premissas!$E$5:$E$44,Premissas!$A$5:$A$44,$A3944,Premissas!$B$5:$B$44,$B3944)+S3944*SUMIFS(Premissas!$F$5:$F$44,Premissas!$A$5:$A$44,$A3944,Premissas!$B$5:$B$44,$B3944)</f>
        <v/>
      </c>
      <c r="L3944" s="29">
        <f>J3944-K3944</f>
        <v/>
      </c>
      <c r="M3944" t="inlineStr">
        <is>
          <t>2.350</t>
        </is>
      </c>
      <c r="N3944" t="inlineStr">
        <is>
          <t>Modalidade: 0 - Por conta do remetente | Parte: E FESTA DISTRIBUIDORA LTDA (53.859.940/0001-05)</t>
        </is>
      </c>
      <c r="O3944" s="29" t="n">
        <v>0</v>
      </c>
      <c r="P3944" s="29" t="n">
        <v>0</v>
      </c>
      <c r="Q3944" s="29" t="n">
        <v>0</v>
      </c>
      <c r="R3944" s="29" t="n">
        <v>0</v>
      </c>
      <c r="S3944" s="29" t="n">
        <v>0</v>
      </c>
      <c r="T3944" t="inlineStr">
        <is>
          <t>25260726975620000130570010000076321001201126</t>
        </is>
      </c>
      <c r="U3944" t="inlineStr">
        <is>
          <t>Não</t>
        </is>
      </c>
    </row>
    <row r="3945">
      <c r="A3945" t="inlineStr">
        <is>
          <t>Frete de venda</t>
        </is>
      </c>
      <c r="B3945" t="inlineStr">
        <is>
          <t>2.01.02 Frete sobre Vendas</t>
        </is>
      </c>
      <c r="C3945" s="30" t="n">
        <v>46204</v>
      </c>
      <c r="D3945" t="inlineStr">
        <is>
          <t>Em 2026</t>
        </is>
      </c>
      <c r="E3945" s="28" t="n">
        <v>46217</v>
      </c>
      <c r="F3945" t="inlineStr">
        <is>
          <t>CT-e</t>
        </is>
      </c>
      <c r="G3945" t="inlineStr">
        <is>
          <t>000007633</t>
        </is>
      </c>
      <c r="H3945" t="inlineStr">
        <is>
          <t>R&amp;R TRANSPORTE E LOGISTICA</t>
        </is>
      </c>
      <c r="J3945" s="29" t="n">
        <v>47.49</v>
      </c>
      <c r="K3945" s="29">
        <f>(1-ISNUMBER(SEARCH("556",M3945)))*(O3945*SUMIFS(Premissas!$C$5:$C$44,Premissas!$A$5:$A$44,$A3945,Premissas!$B$5:$B$44,$B3945)+P3945*SUMIFS(Premissas!$D$5:$D$44,Premissas!$A$5:$A$44,$A3945,Premissas!$B$5:$B$44,$B3945))+R3945*SUMIFS(Premissas!$E$5:$E$44,Premissas!$A$5:$A$44,$A3945,Premissas!$B$5:$B$44,$B3945)+S3945*SUMIFS(Premissas!$F$5:$F$44,Premissas!$A$5:$A$44,$A3945,Premissas!$B$5:$B$44,$B3945)</f>
        <v/>
      </c>
      <c r="L3945" s="29">
        <f>J3945-K3945</f>
        <v/>
      </c>
      <c r="M3945" t="inlineStr">
        <is>
          <t>2.350</t>
        </is>
      </c>
      <c r="N3945" t="inlineStr">
        <is>
          <t>Modalidade: 0 - Por conta do remetente | Parte: MNA DISTRIBUIDORA DE EMBALAGENS LTDA (66.935.955/0001-49)</t>
        </is>
      </c>
      <c r="O3945" s="29" t="n">
        <v>0</v>
      </c>
      <c r="P3945" s="29" t="n">
        <v>0</v>
      </c>
      <c r="Q3945" s="29" t="n">
        <v>0</v>
      </c>
      <c r="R3945" s="29" t="n">
        <v>0</v>
      </c>
      <c r="S3945" s="29" t="n">
        <v>0</v>
      </c>
      <c r="T3945" t="inlineStr">
        <is>
          <t>25260726975620000130570010000076331011001208</t>
        </is>
      </c>
      <c r="U3945" t="inlineStr">
        <is>
          <t>Não</t>
        </is>
      </c>
    </row>
    <row r="3946">
      <c r="A3946" t="inlineStr">
        <is>
          <t>Frete de venda</t>
        </is>
      </c>
      <c r="B3946" t="inlineStr">
        <is>
          <t>2.01.02 Frete sobre Vendas</t>
        </is>
      </c>
      <c r="C3946" s="30" t="n">
        <v>46204</v>
      </c>
      <c r="D3946" t="inlineStr">
        <is>
          <t>Em 2026</t>
        </is>
      </c>
      <c r="E3946" s="28" t="n">
        <v>46217</v>
      </c>
      <c r="F3946" t="inlineStr">
        <is>
          <t>CT-e</t>
        </is>
      </c>
      <c r="G3946" t="inlineStr">
        <is>
          <t>000007636</t>
        </is>
      </c>
      <c r="H3946" t="inlineStr">
        <is>
          <t>R&amp;R TRANSPORTE E LOGISTICA</t>
        </is>
      </c>
      <c r="J3946" s="29" t="n">
        <v>780</v>
      </c>
      <c r="K3946" s="29">
        <f>(1-ISNUMBER(SEARCH("556",M3946)))*(O3946*SUMIFS(Premissas!$C$5:$C$44,Premissas!$A$5:$A$44,$A3946,Premissas!$B$5:$B$44,$B3946)+P3946*SUMIFS(Premissas!$D$5:$D$44,Premissas!$A$5:$A$44,$A3946,Premissas!$B$5:$B$44,$B3946))+R3946*SUMIFS(Premissas!$E$5:$E$44,Premissas!$A$5:$A$44,$A3946,Premissas!$B$5:$B$44,$B3946)+S3946*SUMIFS(Premissas!$F$5:$F$44,Premissas!$A$5:$A$44,$A3946,Premissas!$B$5:$B$44,$B3946)</f>
        <v/>
      </c>
      <c r="L3946" s="29">
        <f>J3946-K3946</f>
        <v/>
      </c>
      <c r="M3946" t="inlineStr">
        <is>
          <t>2.350</t>
        </is>
      </c>
      <c r="N3946" t="inlineStr">
        <is>
          <t>Modalidade: 0 - Por conta do remetente | Parte: ADILSON RAMOS DE MOURA LTDA (00.794.258/0001-07)</t>
        </is>
      </c>
      <c r="O3946" s="29" t="n">
        <v>0</v>
      </c>
      <c r="P3946" s="29" t="n">
        <v>0</v>
      </c>
      <c r="Q3946" s="29" t="n">
        <v>0</v>
      </c>
      <c r="R3946" s="29" t="n">
        <v>0</v>
      </c>
      <c r="S3946" s="29" t="n">
        <v>0</v>
      </c>
      <c r="T3946" t="inlineStr">
        <is>
          <t>25260726975620000130570010000076361000160611</t>
        </is>
      </c>
      <c r="U3946" t="inlineStr">
        <is>
          <t>Não</t>
        </is>
      </c>
    </row>
    <row r="3947">
      <c r="A3947" t="inlineStr">
        <is>
          <t>Frete de venda</t>
        </is>
      </c>
      <c r="B3947" t="inlineStr">
        <is>
          <t>2.01.02 Frete sobre Vendas</t>
        </is>
      </c>
      <c r="C3947" s="30" t="n">
        <v>46204</v>
      </c>
      <c r="D3947" t="inlineStr">
        <is>
          <t>Em 2026</t>
        </is>
      </c>
      <c r="E3947" s="28" t="n">
        <v>46217</v>
      </c>
      <c r="F3947" t="inlineStr">
        <is>
          <t>CT-e</t>
        </is>
      </c>
      <c r="G3947" t="inlineStr">
        <is>
          <t>000007637</t>
        </is>
      </c>
      <c r="H3947" t="inlineStr">
        <is>
          <t>R&amp;R TRANSPORTE E LOGISTICA</t>
        </is>
      </c>
      <c r="J3947" s="29" t="n">
        <v>700</v>
      </c>
      <c r="K3947" s="29">
        <f>(1-ISNUMBER(SEARCH("556",M3947)))*(O3947*SUMIFS(Premissas!$C$5:$C$44,Premissas!$A$5:$A$44,$A3947,Premissas!$B$5:$B$44,$B3947)+P3947*SUMIFS(Premissas!$D$5:$D$44,Premissas!$A$5:$A$44,$A3947,Premissas!$B$5:$B$44,$B3947))+R3947*SUMIFS(Premissas!$E$5:$E$44,Premissas!$A$5:$A$44,$A3947,Premissas!$B$5:$B$44,$B3947)+S3947*SUMIFS(Premissas!$F$5:$F$44,Premissas!$A$5:$A$44,$A3947,Premissas!$B$5:$B$44,$B3947)</f>
        <v/>
      </c>
      <c r="L3947" s="29">
        <f>J3947-K3947</f>
        <v/>
      </c>
      <c r="M3947" t="inlineStr">
        <is>
          <t>2.350</t>
        </is>
      </c>
      <c r="N3947" t="inlineStr">
        <is>
          <t>Modalidade: 0 - Por conta do remetente | Parte: COMERCIAL PROLAC LTDA. (07.182.763/0001-40)</t>
        </is>
      </c>
      <c r="O3947" s="29" t="n">
        <v>0</v>
      </c>
      <c r="P3947" s="29" t="n">
        <v>0</v>
      </c>
      <c r="Q3947" s="29" t="n">
        <v>0</v>
      </c>
      <c r="R3947" s="29" t="n">
        <v>0</v>
      </c>
      <c r="S3947" s="29" t="n">
        <v>0</v>
      </c>
      <c r="T3947" t="inlineStr">
        <is>
          <t>25260726975620000130570010000076371000130698</t>
        </is>
      </c>
      <c r="U3947" t="inlineStr">
        <is>
          <t>Não</t>
        </is>
      </c>
    </row>
    <row r="3948">
      <c r="A3948" t="inlineStr">
        <is>
          <t>Frete de venda</t>
        </is>
      </c>
      <c r="B3948" t="inlineStr">
        <is>
          <t>2.01.02 Frete sobre Vendas</t>
        </is>
      </c>
      <c r="C3948" s="30" t="n">
        <v>46204</v>
      </c>
      <c r="D3948" t="inlineStr">
        <is>
          <t>Em 2026</t>
        </is>
      </c>
      <c r="E3948" s="28" t="n">
        <v>46217</v>
      </c>
      <c r="F3948" t="inlineStr">
        <is>
          <t>CT-e</t>
        </is>
      </c>
      <c r="G3948" t="inlineStr">
        <is>
          <t>000007638</t>
        </is>
      </c>
      <c r="H3948" t="inlineStr">
        <is>
          <t>R&amp;R TRANSPORTE E LOGISTICA</t>
        </is>
      </c>
      <c r="J3948" s="29" t="n">
        <v>61.89</v>
      </c>
      <c r="K3948" s="29">
        <f>(1-ISNUMBER(SEARCH("556",M3948)))*(O3948*SUMIFS(Premissas!$C$5:$C$44,Premissas!$A$5:$A$44,$A3948,Premissas!$B$5:$B$44,$B3948)+P3948*SUMIFS(Premissas!$D$5:$D$44,Premissas!$A$5:$A$44,$A3948,Premissas!$B$5:$B$44,$B3948))+R3948*SUMIFS(Premissas!$E$5:$E$44,Premissas!$A$5:$A$44,$A3948,Premissas!$B$5:$B$44,$B3948)+S3948*SUMIFS(Premissas!$F$5:$F$44,Premissas!$A$5:$A$44,$A3948,Premissas!$B$5:$B$44,$B3948)</f>
        <v/>
      </c>
      <c r="L3948" s="29">
        <f>J3948-K3948</f>
        <v/>
      </c>
      <c r="M3948" t="inlineStr">
        <is>
          <t>2.350</t>
        </is>
      </c>
      <c r="N3948" t="inlineStr">
        <is>
          <t>Modalidade: 0 - Por conta do remetente | Parte: REIS e MACHADO LTDA (36.957.718/0001-18)</t>
        </is>
      </c>
      <c r="O3948" s="29" t="n">
        <v>0</v>
      </c>
      <c r="P3948" s="29" t="n">
        <v>0</v>
      </c>
      <c r="Q3948" s="29" t="n">
        <v>0</v>
      </c>
      <c r="R3948" s="29" t="n">
        <v>0</v>
      </c>
      <c r="S3948" s="29" t="n">
        <v>0</v>
      </c>
      <c r="T3948" t="inlineStr">
        <is>
          <t>25260726975620000130570010000076381000010770</t>
        </is>
      </c>
      <c r="U3948" t="inlineStr">
        <is>
          <t>Não</t>
        </is>
      </c>
    </row>
    <row r="3949">
      <c r="A3949" t="inlineStr">
        <is>
          <t>Frete de venda</t>
        </is>
      </c>
      <c r="B3949" t="inlineStr">
        <is>
          <t>2.01.02 Frete sobre Vendas</t>
        </is>
      </c>
      <c r="C3949" s="30" t="n">
        <v>46204</v>
      </c>
      <c r="D3949" t="inlineStr">
        <is>
          <t>Em 2026</t>
        </is>
      </c>
      <c r="E3949" s="28" t="n">
        <v>46217</v>
      </c>
      <c r="F3949" t="inlineStr">
        <is>
          <t>CT-e</t>
        </is>
      </c>
      <c r="G3949" t="inlineStr">
        <is>
          <t>000007639</t>
        </is>
      </c>
      <c r="H3949" t="inlineStr">
        <is>
          <t>R&amp;R TRANSPORTE E LOGISTICA</t>
        </is>
      </c>
      <c r="J3949" s="29" t="n">
        <v>58.45</v>
      </c>
      <c r="K3949" s="29">
        <f>(1-ISNUMBER(SEARCH("556",M3949)))*(O3949*SUMIFS(Premissas!$C$5:$C$44,Premissas!$A$5:$A$44,$A3949,Premissas!$B$5:$B$44,$B3949)+P3949*SUMIFS(Premissas!$D$5:$D$44,Premissas!$A$5:$A$44,$A3949,Premissas!$B$5:$B$44,$B3949))+R3949*SUMIFS(Premissas!$E$5:$E$44,Premissas!$A$5:$A$44,$A3949,Premissas!$B$5:$B$44,$B3949)+S3949*SUMIFS(Premissas!$F$5:$F$44,Premissas!$A$5:$A$44,$A3949,Premissas!$B$5:$B$44,$B3949)</f>
        <v/>
      </c>
      <c r="L3949" s="29">
        <f>J3949-K3949</f>
        <v/>
      </c>
      <c r="M3949" t="inlineStr">
        <is>
          <t>2.350</t>
        </is>
      </c>
      <c r="N3949" t="inlineStr">
        <is>
          <t>Modalidade: 0 - Por conta do remetente | Parte: LOJAS EMBALAR LTDA (50.317.815/0006-81)</t>
        </is>
      </c>
      <c r="O3949" s="29" t="n">
        <v>0</v>
      </c>
      <c r="P3949" s="29" t="n">
        <v>0</v>
      </c>
      <c r="Q3949" s="29" t="n">
        <v>0</v>
      </c>
      <c r="R3949" s="29" t="n">
        <v>0</v>
      </c>
      <c r="S3949" s="29" t="n">
        <v>0</v>
      </c>
      <c r="T3949" t="inlineStr">
        <is>
          <t>25260726975620000130570010000076391000180851</t>
        </is>
      </c>
      <c r="U3949" t="inlineStr">
        <is>
          <t>Não</t>
        </is>
      </c>
    </row>
    <row r="3950">
      <c r="A3950" t="inlineStr">
        <is>
          <t>Frete de venda</t>
        </is>
      </c>
      <c r="B3950" t="inlineStr">
        <is>
          <t>2.01.02 Frete sobre Vendas</t>
        </is>
      </c>
      <c r="C3950" s="30" t="n">
        <v>46204</v>
      </c>
      <c r="D3950" t="inlineStr">
        <is>
          <t>Em 2026</t>
        </is>
      </c>
      <c r="E3950" s="28" t="n">
        <v>46217</v>
      </c>
      <c r="F3950" t="inlineStr">
        <is>
          <t>CT-e</t>
        </is>
      </c>
      <c r="G3950" t="inlineStr">
        <is>
          <t>000007640</t>
        </is>
      </c>
      <c r="H3950" t="inlineStr">
        <is>
          <t>R&amp;R TRANSPORTE E LOGISTICA</t>
        </is>
      </c>
      <c r="J3950" s="29" t="n">
        <v>102.19</v>
      </c>
      <c r="K3950" s="29">
        <f>(1-ISNUMBER(SEARCH("556",M3950)))*(O3950*SUMIFS(Premissas!$C$5:$C$44,Premissas!$A$5:$A$44,$A3950,Premissas!$B$5:$B$44,$B3950)+P3950*SUMIFS(Premissas!$D$5:$D$44,Premissas!$A$5:$A$44,$A3950,Premissas!$B$5:$B$44,$B3950))+R3950*SUMIFS(Premissas!$E$5:$E$44,Premissas!$A$5:$A$44,$A3950,Premissas!$B$5:$B$44,$B3950)+S3950*SUMIFS(Premissas!$F$5:$F$44,Premissas!$A$5:$A$44,$A3950,Premissas!$B$5:$B$44,$B3950)</f>
        <v/>
      </c>
      <c r="L3950" s="29">
        <f>J3950-K3950</f>
        <v/>
      </c>
      <c r="M3950" t="inlineStr">
        <is>
          <t>2.350</t>
        </is>
      </c>
      <c r="N3950" t="inlineStr">
        <is>
          <t>Modalidade: 0 - Por conta do remetente | Parte: L M COMERCIO DE PLASTICOS LTDA (54.203.234/0001-65)</t>
        </is>
      </c>
      <c r="O3950" s="29" t="n">
        <v>0</v>
      </c>
      <c r="P3950" s="29" t="n">
        <v>0</v>
      </c>
      <c r="Q3950" s="29" t="n">
        <v>0</v>
      </c>
      <c r="R3950" s="29" t="n">
        <v>0</v>
      </c>
      <c r="S3950" s="29" t="n">
        <v>0</v>
      </c>
      <c r="T3950" t="inlineStr">
        <is>
          <t>25260726975620000130570010000076401000150937</t>
        </is>
      </c>
      <c r="U3950" t="inlineStr">
        <is>
          <t>Não</t>
        </is>
      </c>
    </row>
    <row r="3951">
      <c r="A3951" t="inlineStr">
        <is>
          <t>Frete de venda</t>
        </is>
      </c>
      <c r="B3951" t="inlineStr">
        <is>
          <t>2.01.02 Frete sobre Vendas</t>
        </is>
      </c>
      <c r="C3951" s="30" t="n">
        <v>46204</v>
      </c>
      <c r="D3951" t="inlineStr">
        <is>
          <t>Em 2026</t>
        </is>
      </c>
      <c r="E3951" s="28" t="n">
        <v>46217</v>
      </c>
      <c r="F3951" t="inlineStr">
        <is>
          <t>CT-e</t>
        </is>
      </c>
      <c r="G3951" t="inlineStr">
        <is>
          <t>000007641</t>
        </is>
      </c>
      <c r="H3951" t="inlineStr">
        <is>
          <t>R&amp;R TRANSPORTE E LOGISTICA</t>
        </is>
      </c>
      <c r="J3951" s="29" t="n">
        <v>86.62</v>
      </c>
      <c r="K3951" s="29">
        <f>(1-ISNUMBER(SEARCH("556",M3951)))*(O3951*SUMIFS(Premissas!$C$5:$C$44,Premissas!$A$5:$A$44,$A3951,Premissas!$B$5:$B$44,$B3951)+P3951*SUMIFS(Premissas!$D$5:$D$44,Premissas!$A$5:$A$44,$A3951,Premissas!$B$5:$B$44,$B3951))+R3951*SUMIFS(Premissas!$E$5:$E$44,Premissas!$A$5:$A$44,$A3951,Premissas!$B$5:$B$44,$B3951)+S3951*SUMIFS(Premissas!$F$5:$F$44,Premissas!$A$5:$A$44,$A3951,Premissas!$B$5:$B$44,$B3951)</f>
        <v/>
      </c>
      <c r="L3951" s="29">
        <f>J3951-K3951</f>
        <v/>
      </c>
      <c r="M3951" t="inlineStr">
        <is>
          <t>2.350</t>
        </is>
      </c>
      <c r="N3951" t="inlineStr">
        <is>
          <t>Modalidade: 0 - Por conta do remetente | Parte: ARMAZEM MATEUS S.A. (23.439.441/0064-73)</t>
        </is>
      </c>
      <c r="O3951" s="29" t="n">
        <v>0</v>
      </c>
      <c r="P3951" s="29" t="n">
        <v>0</v>
      </c>
      <c r="Q3951" s="29" t="n">
        <v>0</v>
      </c>
      <c r="R3951" s="29" t="n">
        <v>0</v>
      </c>
      <c r="S3951" s="29" t="n">
        <v>0</v>
      </c>
      <c r="T3951" t="inlineStr">
        <is>
          <t>25260726975620000130570010000076411001201010</t>
        </is>
      </c>
      <c r="U3951" t="inlineStr">
        <is>
          <t>Não</t>
        </is>
      </c>
    </row>
    <row r="3952">
      <c r="A3952" t="inlineStr">
        <is>
          <t>Frete de venda</t>
        </is>
      </c>
      <c r="B3952" t="inlineStr">
        <is>
          <t>2.01.02 Frete sobre Vendas</t>
        </is>
      </c>
      <c r="C3952" s="30" t="n">
        <v>46204</v>
      </c>
      <c r="D3952" t="inlineStr">
        <is>
          <t>Em 2026</t>
        </is>
      </c>
      <c r="E3952" s="28" t="n">
        <v>46218</v>
      </c>
      <c r="F3952" t="inlineStr">
        <is>
          <t>CT-e</t>
        </is>
      </c>
      <c r="G3952" t="inlineStr">
        <is>
          <t>000007645</t>
        </is>
      </c>
      <c r="H3952" t="inlineStr">
        <is>
          <t>R&amp;R TRANSPORTE E LOGISTICA</t>
        </is>
      </c>
      <c r="J3952" s="29" t="n">
        <v>925</v>
      </c>
      <c r="K3952" s="29">
        <f>(1-ISNUMBER(SEARCH("556",M3952)))*(O3952*SUMIFS(Premissas!$C$5:$C$44,Premissas!$A$5:$A$44,$A3952,Premissas!$B$5:$B$44,$B3952)+P3952*SUMIFS(Premissas!$D$5:$D$44,Premissas!$A$5:$A$44,$A3952,Premissas!$B$5:$B$44,$B3952))+R3952*SUMIFS(Premissas!$E$5:$E$44,Premissas!$A$5:$A$44,$A3952,Premissas!$B$5:$B$44,$B3952)+S3952*SUMIFS(Premissas!$F$5:$F$44,Premissas!$A$5:$A$44,$A3952,Premissas!$B$5:$B$44,$B3952)</f>
        <v/>
      </c>
      <c r="L3952" s="29">
        <f>J3952-K3952</f>
        <v/>
      </c>
      <c r="M3952" t="inlineStr">
        <is>
          <t>2.350</t>
        </is>
      </c>
      <c r="N3952" t="inlineStr">
        <is>
          <t>Modalidade: 0 - Por conta do remetente | Parte: ALBUQUERQUE E FREIRE LTDA (09.358.347/0001-85)</t>
        </is>
      </c>
      <c r="O3952" s="29" t="n">
        <v>0</v>
      </c>
      <c r="P3952" s="29" t="n">
        <v>0</v>
      </c>
      <c r="Q3952" s="29" t="n">
        <v>0</v>
      </c>
      <c r="R3952" s="29" t="n">
        <v>0</v>
      </c>
      <c r="S3952" s="29" t="n">
        <v>0</v>
      </c>
      <c r="T3952" t="inlineStr">
        <is>
          <t>25260726975620000130570010000076451001201124</t>
        </is>
      </c>
      <c r="U3952" t="inlineStr">
        <is>
          <t>Não</t>
        </is>
      </c>
    </row>
    <row r="3953">
      <c r="A3953" t="inlineStr">
        <is>
          <t>Frete de venda</t>
        </is>
      </c>
      <c r="B3953" t="inlineStr">
        <is>
          <t>2.01.02 Frete sobre Vendas</t>
        </is>
      </c>
      <c r="C3953" s="30" t="n">
        <v>46204</v>
      </c>
      <c r="D3953" t="inlineStr">
        <is>
          <t>Em 2026</t>
        </is>
      </c>
      <c r="E3953" s="28" t="n">
        <v>46218</v>
      </c>
      <c r="F3953" t="inlineStr">
        <is>
          <t>CT-e</t>
        </is>
      </c>
      <c r="G3953" t="inlineStr">
        <is>
          <t>000007646</t>
        </is>
      </c>
      <c r="H3953" t="inlineStr">
        <is>
          <t>R&amp;R TRANSPORTE E LOGISTICA</t>
        </is>
      </c>
      <c r="J3953" s="29" t="n">
        <v>925</v>
      </c>
      <c r="K3953" s="29">
        <f>(1-ISNUMBER(SEARCH("556",M3953)))*(O3953*SUMIFS(Premissas!$C$5:$C$44,Premissas!$A$5:$A$44,$A3953,Premissas!$B$5:$B$44,$B3953)+P3953*SUMIFS(Premissas!$D$5:$D$44,Premissas!$A$5:$A$44,$A3953,Premissas!$B$5:$B$44,$B3953))+R3953*SUMIFS(Premissas!$E$5:$E$44,Premissas!$A$5:$A$44,$A3953,Premissas!$B$5:$B$44,$B3953)+S3953*SUMIFS(Premissas!$F$5:$F$44,Premissas!$A$5:$A$44,$A3953,Premissas!$B$5:$B$44,$B3953)</f>
        <v/>
      </c>
      <c r="L3953" s="29">
        <f>J3953-K3953</f>
        <v/>
      </c>
      <c r="M3953" t="inlineStr">
        <is>
          <t>2.350</t>
        </is>
      </c>
      <c r="N3953" t="inlineStr">
        <is>
          <t>Modalidade: 0 - Por conta do remetente | Parte: ALBUQUERQUE E FREIRE LTDA (09.358.347/0002-66)</t>
        </is>
      </c>
      <c r="O3953" s="29" t="n">
        <v>0</v>
      </c>
      <c r="P3953" s="29" t="n">
        <v>0</v>
      </c>
      <c r="Q3953" s="29" t="n">
        <v>0</v>
      </c>
      <c r="R3953" s="29" t="n">
        <v>0</v>
      </c>
      <c r="S3953" s="29" t="n">
        <v>0</v>
      </c>
      <c r="T3953" t="inlineStr">
        <is>
          <t>25260726975620000130570010000076461011001206</t>
        </is>
      </c>
      <c r="U3953" t="inlineStr">
        <is>
          <t>Não</t>
        </is>
      </c>
    </row>
    <row r="3954">
      <c r="A3954" t="inlineStr">
        <is>
          <t>Frete de venda</t>
        </is>
      </c>
      <c r="B3954" t="inlineStr">
        <is>
          <t>2.01.02 Frete sobre Vendas</t>
        </is>
      </c>
      <c r="C3954" s="30" t="n">
        <v>46204</v>
      </c>
      <c r="D3954" t="inlineStr">
        <is>
          <t>Em 2026</t>
        </is>
      </c>
      <c r="E3954" s="28" t="n">
        <v>46218</v>
      </c>
      <c r="F3954" t="inlineStr">
        <is>
          <t>CT-e</t>
        </is>
      </c>
      <c r="G3954" t="inlineStr">
        <is>
          <t>000007647</t>
        </is>
      </c>
      <c r="H3954" t="inlineStr">
        <is>
          <t>R&amp;R TRANSPORTE E LOGISTICA</t>
        </is>
      </c>
      <c r="J3954" s="29" t="n">
        <v>925</v>
      </c>
      <c r="K3954" s="29">
        <f>(1-ISNUMBER(SEARCH("556",M3954)))*(O3954*SUMIFS(Premissas!$C$5:$C$44,Premissas!$A$5:$A$44,$A3954,Premissas!$B$5:$B$44,$B3954)+P3954*SUMIFS(Premissas!$D$5:$D$44,Premissas!$A$5:$A$44,$A3954,Premissas!$B$5:$B$44,$B3954))+R3954*SUMIFS(Premissas!$E$5:$E$44,Premissas!$A$5:$A$44,$A3954,Premissas!$B$5:$B$44,$B3954)+S3954*SUMIFS(Premissas!$F$5:$F$44,Premissas!$A$5:$A$44,$A3954,Premissas!$B$5:$B$44,$B3954)</f>
        <v/>
      </c>
      <c r="L3954" s="29">
        <f>J3954-K3954</f>
        <v/>
      </c>
      <c r="M3954" t="inlineStr">
        <is>
          <t>2.350</t>
        </is>
      </c>
      <c r="N3954" t="inlineStr">
        <is>
          <t>Modalidade: 0 - Por conta do remetente | Parte: UP DISTRIBUIDORA DE PRODUTOS DESCARTAVEIS LTDA (12.423.997/0001-71)</t>
        </is>
      </c>
      <c r="O3954" s="29" t="n">
        <v>0</v>
      </c>
      <c r="P3954" s="29" t="n">
        <v>0</v>
      </c>
      <c r="Q3954" s="29" t="n">
        <v>0</v>
      </c>
      <c r="R3954" s="29" t="n">
        <v>0</v>
      </c>
      <c r="S3954" s="29" t="n">
        <v>0</v>
      </c>
      <c r="T3954" t="inlineStr">
        <is>
          <t>25260726975620000130570010000076471001701288</t>
        </is>
      </c>
      <c r="U3954" t="inlineStr">
        <is>
          <t>Não</t>
        </is>
      </c>
    </row>
    <row r="3955">
      <c r="A3955" t="inlineStr">
        <is>
          <t>Frete de venda</t>
        </is>
      </c>
      <c r="B3955" t="inlineStr">
        <is>
          <t>2.01.02 Frete sobre Vendas</t>
        </is>
      </c>
      <c r="C3955" s="30" t="n">
        <v>46204</v>
      </c>
      <c r="D3955" t="inlineStr">
        <is>
          <t>Em 2026</t>
        </is>
      </c>
      <c r="E3955" s="28" t="n">
        <v>46218</v>
      </c>
      <c r="F3955" t="inlineStr">
        <is>
          <t>CT-e</t>
        </is>
      </c>
      <c r="G3955" t="inlineStr">
        <is>
          <t>000007648</t>
        </is>
      </c>
      <c r="H3955" t="inlineStr">
        <is>
          <t>R&amp;R TRANSPORTE E LOGISTICA</t>
        </is>
      </c>
      <c r="J3955" s="29" t="n">
        <v>925</v>
      </c>
      <c r="K3955" s="29">
        <f>(1-ISNUMBER(SEARCH("556",M3955)))*(O3955*SUMIFS(Premissas!$C$5:$C$44,Premissas!$A$5:$A$44,$A3955,Premissas!$B$5:$B$44,$B3955)+P3955*SUMIFS(Premissas!$D$5:$D$44,Premissas!$A$5:$A$44,$A3955,Premissas!$B$5:$B$44,$B3955))+R3955*SUMIFS(Premissas!$E$5:$E$44,Premissas!$A$5:$A$44,$A3955,Premissas!$B$5:$B$44,$B3955)+S3955*SUMIFS(Premissas!$F$5:$F$44,Premissas!$A$5:$A$44,$A3955,Premissas!$B$5:$B$44,$B3955)</f>
        <v/>
      </c>
      <c r="L3955" s="29">
        <f>J3955-K3955</f>
        <v/>
      </c>
      <c r="M3955" t="inlineStr">
        <is>
          <t>2.350</t>
        </is>
      </c>
      <c r="N3955" t="inlineStr">
        <is>
          <t>Modalidade: 0 - Por conta do remetente | Parte: ALBUQUERQUE DISTRIBUIDORA DE ALIMENTOS LTDA (29.295.287/0001-06)</t>
        </is>
      </c>
      <c r="O3955" s="29" t="n">
        <v>0</v>
      </c>
      <c r="P3955" s="29" t="n">
        <v>0</v>
      </c>
      <c r="Q3955" s="29" t="n">
        <v>0</v>
      </c>
      <c r="R3955" s="29" t="n">
        <v>0</v>
      </c>
      <c r="S3955" s="29" t="n">
        <v>0</v>
      </c>
      <c r="T3955" t="inlineStr">
        <is>
          <t>25260726975620000130570010000076481001401362</t>
        </is>
      </c>
      <c r="U3955" t="inlineStr">
        <is>
          <t>Não</t>
        </is>
      </c>
    </row>
    <row r="3956">
      <c r="A3956" t="inlineStr">
        <is>
          <t>Frete de venda</t>
        </is>
      </c>
      <c r="B3956" t="inlineStr">
        <is>
          <t>2.01.02 Frete sobre Vendas</t>
        </is>
      </c>
      <c r="C3956" s="30" t="n">
        <v>46204</v>
      </c>
      <c r="D3956" t="inlineStr">
        <is>
          <t>Em 2026</t>
        </is>
      </c>
      <c r="E3956" s="28" t="n">
        <v>46219</v>
      </c>
      <c r="F3956" t="inlineStr">
        <is>
          <t>CT-e</t>
        </is>
      </c>
      <c r="G3956" t="inlineStr">
        <is>
          <t>000007652</t>
        </is>
      </c>
      <c r="H3956" t="inlineStr">
        <is>
          <t>R&amp;R TRANSPORTE E LOGISTICA</t>
        </is>
      </c>
      <c r="J3956" s="29" t="n">
        <v>58.2</v>
      </c>
      <c r="K3956" s="29">
        <f>(1-ISNUMBER(SEARCH("556",M3956)))*(O3956*SUMIFS(Premissas!$C$5:$C$44,Premissas!$A$5:$A$44,$A3956,Premissas!$B$5:$B$44,$B3956)+P3956*SUMIFS(Premissas!$D$5:$D$44,Premissas!$A$5:$A$44,$A3956,Premissas!$B$5:$B$44,$B3956))+R3956*SUMIFS(Premissas!$E$5:$E$44,Premissas!$A$5:$A$44,$A3956,Premissas!$B$5:$B$44,$B3956)+S3956*SUMIFS(Premissas!$F$5:$F$44,Premissas!$A$5:$A$44,$A3956,Premissas!$B$5:$B$44,$B3956)</f>
        <v/>
      </c>
      <c r="L3956" s="29">
        <f>J3956-K3956</f>
        <v/>
      </c>
      <c r="M3956" t="inlineStr">
        <is>
          <t>2.350</t>
        </is>
      </c>
      <c r="N3956" t="inlineStr">
        <is>
          <t>Modalidade: 0 - Por conta do remetente | Parte: COMERCIO DE ALIMENTOS ANHANDUI LTDA (10.602.507/0001-79)</t>
        </is>
      </c>
      <c r="O3956" s="29" t="n">
        <v>0</v>
      </c>
      <c r="P3956" s="29" t="n">
        <v>0</v>
      </c>
      <c r="Q3956" s="29" t="n">
        <v>0</v>
      </c>
      <c r="R3956" s="29" t="n">
        <v>0</v>
      </c>
      <c r="S3956" s="29" t="n">
        <v>0</v>
      </c>
      <c r="T3956" t="inlineStr">
        <is>
          <t>25260726975620000130570010000076521001301689</t>
        </is>
      </c>
      <c r="U3956" t="inlineStr">
        <is>
          <t>Não</t>
        </is>
      </c>
    </row>
    <row r="3957">
      <c r="A3957" t="inlineStr">
        <is>
          <t>Frete de venda</t>
        </is>
      </c>
      <c r="B3957" t="inlineStr">
        <is>
          <t>2.01.02 Frete sobre Vendas</t>
        </is>
      </c>
      <c r="C3957" s="30" t="n">
        <v>46204</v>
      </c>
      <c r="D3957" t="inlineStr">
        <is>
          <t>Em 2026</t>
        </is>
      </c>
      <c r="E3957" s="28" t="n">
        <v>46219</v>
      </c>
      <c r="F3957" t="inlineStr">
        <is>
          <t>CT-e</t>
        </is>
      </c>
      <c r="G3957" t="inlineStr">
        <is>
          <t>000007653</t>
        </is>
      </c>
      <c r="H3957" t="inlineStr">
        <is>
          <t>R&amp;R TRANSPORTE E LOGISTICA</t>
        </is>
      </c>
      <c r="J3957" s="29" t="n">
        <v>58.2</v>
      </c>
      <c r="K3957" s="29">
        <f>(1-ISNUMBER(SEARCH("556",M3957)))*(O3957*SUMIFS(Premissas!$C$5:$C$44,Premissas!$A$5:$A$44,$A3957,Premissas!$B$5:$B$44,$B3957)+P3957*SUMIFS(Premissas!$D$5:$D$44,Premissas!$A$5:$A$44,$A3957,Premissas!$B$5:$B$44,$B3957))+R3957*SUMIFS(Premissas!$E$5:$E$44,Premissas!$A$5:$A$44,$A3957,Premissas!$B$5:$B$44,$B3957)+S3957*SUMIFS(Premissas!$F$5:$F$44,Premissas!$A$5:$A$44,$A3957,Premissas!$B$5:$B$44,$B3957)</f>
        <v/>
      </c>
      <c r="L3957" s="29">
        <f>J3957-K3957</f>
        <v/>
      </c>
      <c r="M3957" t="inlineStr">
        <is>
          <t>2.350</t>
        </is>
      </c>
      <c r="N3957" t="inlineStr">
        <is>
          <t>Modalidade: 0 - Por conta do remetente | Parte: INDUSTRIAL E COMERCIAL ALMEIDA LTDA (02.623.537/0010-24)</t>
        </is>
      </c>
      <c r="O3957" s="29" t="n">
        <v>0</v>
      </c>
      <c r="P3957" s="29" t="n">
        <v>0</v>
      </c>
      <c r="Q3957" s="29" t="n">
        <v>0</v>
      </c>
      <c r="R3957" s="29" t="n">
        <v>0</v>
      </c>
      <c r="S3957" s="29" t="n">
        <v>0</v>
      </c>
      <c r="T3957" t="inlineStr">
        <is>
          <t>25260726975620000130570010000076531001401036</t>
        </is>
      </c>
      <c r="U3957" t="inlineStr">
        <is>
          <t>Não</t>
        </is>
      </c>
    </row>
    <row r="3958">
      <c r="A3958" t="inlineStr">
        <is>
          <t>Frete de venda</t>
        </is>
      </c>
      <c r="B3958" t="inlineStr">
        <is>
          <t>2.01.02 Frete sobre Vendas</t>
        </is>
      </c>
      <c r="C3958" s="30" t="n">
        <v>46204</v>
      </c>
      <c r="D3958" t="inlineStr">
        <is>
          <t>Em 2026</t>
        </is>
      </c>
      <c r="E3958" s="28" t="n">
        <v>46219</v>
      </c>
      <c r="F3958" t="inlineStr">
        <is>
          <t>CT-e</t>
        </is>
      </c>
      <c r="G3958" t="inlineStr">
        <is>
          <t>000007654</t>
        </is>
      </c>
      <c r="H3958" t="inlineStr">
        <is>
          <t>R&amp;R TRANSPORTE E LOGISTICA</t>
        </is>
      </c>
      <c r="J3958" s="29" t="n">
        <v>58.2</v>
      </c>
      <c r="K3958" s="29">
        <f>(1-ISNUMBER(SEARCH("556",M3958)))*(O3958*SUMIFS(Premissas!$C$5:$C$44,Premissas!$A$5:$A$44,$A3958,Premissas!$B$5:$B$44,$B3958)+P3958*SUMIFS(Premissas!$D$5:$D$44,Premissas!$A$5:$A$44,$A3958,Premissas!$B$5:$B$44,$B3958))+R3958*SUMIFS(Premissas!$E$5:$E$44,Premissas!$A$5:$A$44,$A3958,Premissas!$B$5:$B$44,$B3958)+S3958*SUMIFS(Premissas!$F$5:$F$44,Premissas!$A$5:$A$44,$A3958,Premissas!$B$5:$B$44,$B3958)</f>
        <v/>
      </c>
      <c r="L3958" s="29">
        <f>J3958-K3958</f>
        <v/>
      </c>
      <c r="M3958" t="inlineStr">
        <is>
          <t>2.350</t>
        </is>
      </c>
      <c r="N3958" t="inlineStr">
        <is>
          <t>Modalidade: 0 - Por conta do remetente | Parte: DISTRIBUIDORA SUPER FORTE LTDA (21.351.587/0001-53)</t>
        </is>
      </c>
      <c r="O3958" s="29" t="n">
        <v>0</v>
      </c>
      <c r="P3958" s="29" t="n">
        <v>0</v>
      </c>
      <c r="Q3958" s="29" t="n">
        <v>0</v>
      </c>
      <c r="R3958" s="29" t="n">
        <v>0</v>
      </c>
      <c r="S3958" s="29" t="n">
        <v>0</v>
      </c>
      <c r="T3958" t="inlineStr">
        <is>
          <t>25260726975620000130570010000076541001101110</t>
        </is>
      </c>
      <c r="U3958" t="inlineStr">
        <is>
          <t>Não</t>
        </is>
      </c>
    </row>
    <row r="3959">
      <c r="A3959" t="inlineStr">
        <is>
          <t>Frete de venda</t>
        </is>
      </c>
      <c r="B3959" t="inlineStr">
        <is>
          <t>2.01.02 Frete sobre Vendas</t>
        </is>
      </c>
      <c r="C3959" s="30" t="n">
        <v>46204</v>
      </c>
      <c r="D3959" t="inlineStr">
        <is>
          <t>Em 2026</t>
        </is>
      </c>
      <c r="E3959" s="28" t="n">
        <v>46219</v>
      </c>
      <c r="F3959" t="inlineStr">
        <is>
          <t>CT-e</t>
        </is>
      </c>
      <c r="G3959" t="inlineStr">
        <is>
          <t>000007655</t>
        </is>
      </c>
      <c r="H3959" t="inlineStr">
        <is>
          <t>R&amp;R TRANSPORTE E LOGISTICA</t>
        </is>
      </c>
      <c r="J3959" s="29" t="n">
        <v>58.2</v>
      </c>
      <c r="K3959" s="29">
        <f>(1-ISNUMBER(SEARCH("556",M3959)))*(O3959*SUMIFS(Premissas!$C$5:$C$44,Premissas!$A$5:$A$44,$A3959,Premissas!$B$5:$B$44,$B3959)+P3959*SUMIFS(Premissas!$D$5:$D$44,Premissas!$A$5:$A$44,$A3959,Premissas!$B$5:$B$44,$B3959))+R3959*SUMIFS(Premissas!$E$5:$E$44,Premissas!$A$5:$A$44,$A3959,Premissas!$B$5:$B$44,$B3959)+S3959*SUMIFS(Premissas!$F$5:$F$44,Premissas!$A$5:$A$44,$A3959,Premissas!$B$5:$B$44,$B3959)</f>
        <v/>
      </c>
      <c r="L3959" s="29">
        <f>J3959-K3959</f>
        <v/>
      </c>
      <c r="M3959" t="inlineStr">
        <is>
          <t>2.350</t>
        </is>
      </c>
      <c r="N3959" t="inlineStr">
        <is>
          <t>Modalidade: 0 - Por conta do remetente | Parte: BRANDAO DISTRIBUIDORA DE EMBALAGENS E PAPEIS LTDA (01.871.114/0001-70)</t>
        </is>
      </c>
      <c r="O3959" s="29" t="n">
        <v>0</v>
      </c>
      <c r="P3959" s="29" t="n">
        <v>0</v>
      </c>
      <c r="Q3959" s="29" t="n">
        <v>0</v>
      </c>
      <c r="R3959" s="29" t="n">
        <v>0</v>
      </c>
      <c r="S3959" s="29" t="n">
        <v>0</v>
      </c>
      <c r="T3959" t="inlineStr">
        <is>
          <t>25260726975620000130570010000076551001901190</t>
        </is>
      </c>
      <c r="U3959" t="inlineStr">
        <is>
          <t>Não</t>
        </is>
      </c>
    </row>
    <row r="3960">
      <c r="A3960" t="inlineStr">
        <is>
          <t>Frete de venda</t>
        </is>
      </c>
      <c r="B3960" t="inlineStr">
        <is>
          <t>2.01.02 Frete sobre Vendas</t>
        </is>
      </c>
      <c r="C3960" s="30" t="n">
        <v>46204</v>
      </c>
      <c r="D3960" t="inlineStr">
        <is>
          <t>Em 2026</t>
        </is>
      </c>
      <c r="E3960" s="28" t="n">
        <v>46219</v>
      </c>
      <c r="F3960" t="inlineStr">
        <is>
          <t>CT-e</t>
        </is>
      </c>
      <c r="G3960" t="inlineStr">
        <is>
          <t>000007656</t>
        </is>
      </c>
      <c r="H3960" t="inlineStr">
        <is>
          <t>R&amp;R TRANSPORTE E LOGISTICA</t>
        </is>
      </c>
      <c r="J3960" s="29" t="n">
        <v>58.2</v>
      </c>
      <c r="K3960" s="29">
        <f>(1-ISNUMBER(SEARCH("556",M3960)))*(O3960*SUMIFS(Premissas!$C$5:$C$44,Premissas!$A$5:$A$44,$A3960,Premissas!$B$5:$B$44,$B3960)+P3960*SUMIFS(Premissas!$D$5:$D$44,Premissas!$A$5:$A$44,$A3960,Premissas!$B$5:$B$44,$B3960))+R3960*SUMIFS(Premissas!$E$5:$E$44,Premissas!$A$5:$A$44,$A3960,Premissas!$B$5:$B$44,$B3960)+S3960*SUMIFS(Premissas!$F$5:$F$44,Premissas!$A$5:$A$44,$A3960,Premissas!$B$5:$B$44,$B3960)</f>
        <v/>
      </c>
      <c r="L3960" s="29">
        <f>J3960-K3960</f>
        <v/>
      </c>
      <c r="M3960" t="inlineStr">
        <is>
          <t>2.350</t>
        </is>
      </c>
      <c r="N3960" t="inlineStr">
        <is>
          <t>Modalidade: 0 - Por conta do remetente | Parte: DISTRIBUIDORA CENTRAL EMBALAGENS LTDA (08.726.563/0001-73)</t>
        </is>
      </c>
      <c r="O3960" s="29" t="n">
        <v>0</v>
      </c>
      <c r="P3960" s="29" t="n">
        <v>0</v>
      </c>
      <c r="Q3960" s="29" t="n">
        <v>0</v>
      </c>
      <c r="R3960" s="29" t="n">
        <v>0</v>
      </c>
      <c r="S3960" s="29" t="n">
        <v>0</v>
      </c>
      <c r="T3960" t="inlineStr">
        <is>
          <t>25260726975620000130570010000076561001601274</t>
        </is>
      </c>
      <c r="U3960" t="inlineStr">
        <is>
          <t>Não</t>
        </is>
      </c>
    </row>
    <row r="3961">
      <c r="A3961" t="inlineStr">
        <is>
          <t>Frete de venda</t>
        </is>
      </c>
      <c r="B3961" t="inlineStr">
        <is>
          <t>2.01.02 Frete sobre Vendas</t>
        </is>
      </c>
      <c r="C3961" s="30" t="n">
        <v>46204</v>
      </c>
      <c r="D3961" t="inlineStr">
        <is>
          <t>Em 2026</t>
        </is>
      </c>
      <c r="E3961" s="28" t="n">
        <v>46219</v>
      </c>
      <c r="F3961" t="inlineStr">
        <is>
          <t>CT-e</t>
        </is>
      </c>
      <c r="G3961" t="inlineStr">
        <is>
          <t>000007657</t>
        </is>
      </c>
      <c r="H3961" t="inlineStr">
        <is>
          <t>R&amp;R TRANSPORTE E LOGISTICA</t>
        </is>
      </c>
      <c r="J3961" s="29" t="n">
        <v>58.2</v>
      </c>
      <c r="K3961" s="29">
        <f>(1-ISNUMBER(SEARCH("556",M3961)))*(O3961*SUMIFS(Premissas!$C$5:$C$44,Premissas!$A$5:$A$44,$A3961,Premissas!$B$5:$B$44,$B3961)+P3961*SUMIFS(Premissas!$D$5:$D$44,Premissas!$A$5:$A$44,$A3961,Premissas!$B$5:$B$44,$B3961))+R3961*SUMIFS(Premissas!$E$5:$E$44,Premissas!$A$5:$A$44,$A3961,Premissas!$B$5:$B$44,$B3961)+S3961*SUMIFS(Premissas!$F$5:$F$44,Premissas!$A$5:$A$44,$A3961,Premissas!$B$5:$B$44,$B3961)</f>
        <v/>
      </c>
      <c r="L3961" s="29">
        <f>J3961-K3961</f>
        <v/>
      </c>
      <c r="M3961" t="inlineStr">
        <is>
          <t>2.350</t>
        </is>
      </c>
      <c r="N3961" t="inlineStr">
        <is>
          <t>Modalidade: 0 - Por conta do remetente | Parte: DISTRIBUIDORA DE EMBALAGENS SUACUI LTDA (10.560.122/0001-96)</t>
        </is>
      </c>
      <c r="O3961" s="29" t="n">
        <v>0</v>
      </c>
      <c r="P3961" s="29" t="n">
        <v>0</v>
      </c>
      <c r="Q3961" s="29" t="n">
        <v>0</v>
      </c>
      <c r="R3961" s="29" t="n">
        <v>0</v>
      </c>
      <c r="S3961" s="29" t="n">
        <v>0</v>
      </c>
      <c r="T3961" t="inlineStr">
        <is>
          <t>25260726975620000130570010000076571001301359</t>
        </is>
      </c>
      <c r="U3961" t="inlineStr">
        <is>
          <t>Não</t>
        </is>
      </c>
    </row>
    <row r="3962">
      <c r="A3962" t="inlineStr">
        <is>
          <t>Frete de venda</t>
        </is>
      </c>
      <c r="B3962" t="inlineStr">
        <is>
          <t>2.01.02 Frete sobre Vendas</t>
        </is>
      </c>
      <c r="C3962" s="30" t="n">
        <v>46204</v>
      </c>
      <c r="D3962" t="inlineStr">
        <is>
          <t>Em 2026</t>
        </is>
      </c>
      <c r="E3962" s="28" t="n">
        <v>46219</v>
      </c>
      <c r="F3962" t="inlineStr">
        <is>
          <t>CT-e</t>
        </is>
      </c>
      <c r="G3962" t="inlineStr">
        <is>
          <t>000007658</t>
        </is>
      </c>
      <c r="H3962" t="inlineStr">
        <is>
          <t>R&amp;R TRANSPORTE E LOGISTICA</t>
        </is>
      </c>
      <c r="J3962" s="29" t="n">
        <v>58.2</v>
      </c>
      <c r="K3962" s="29">
        <f>(1-ISNUMBER(SEARCH("556",M3962)))*(O3962*SUMIFS(Premissas!$C$5:$C$44,Premissas!$A$5:$A$44,$A3962,Premissas!$B$5:$B$44,$B3962)+P3962*SUMIFS(Premissas!$D$5:$D$44,Premissas!$A$5:$A$44,$A3962,Premissas!$B$5:$B$44,$B3962))+R3962*SUMIFS(Premissas!$E$5:$E$44,Premissas!$A$5:$A$44,$A3962,Premissas!$B$5:$B$44,$B3962)+S3962*SUMIFS(Premissas!$F$5:$F$44,Premissas!$A$5:$A$44,$A3962,Premissas!$B$5:$B$44,$B3962)</f>
        <v/>
      </c>
      <c r="L3962" s="29">
        <f>J3962-K3962</f>
        <v/>
      </c>
      <c r="M3962" t="inlineStr">
        <is>
          <t>2.350</t>
        </is>
      </c>
      <c r="N3962" t="inlineStr">
        <is>
          <t>Modalidade: 0 - Por conta do remetente | Parte: VALE DO ACO EMBALAGENS LTDA (11.019.078/0001-74)</t>
        </is>
      </c>
      <c r="O3962" s="29" t="n">
        <v>0</v>
      </c>
      <c r="P3962" s="29" t="n">
        <v>0</v>
      </c>
      <c r="Q3962" s="29" t="n">
        <v>0</v>
      </c>
      <c r="R3962" s="29" t="n">
        <v>0</v>
      </c>
      <c r="S3962" s="29" t="n">
        <v>0</v>
      </c>
      <c r="T3962" t="inlineStr">
        <is>
          <t>25260726975620000130570010000076581000101434</t>
        </is>
      </c>
      <c r="U3962" t="inlineStr">
        <is>
          <t>Não</t>
        </is>
      </c>
    </row>
    <row r="3963">
      <c r="A3963" t="inlineStr">
        <is>
          <t>Frete de venda</t>
        </is>
      </c>
      <c r="B3963" t="inlineStr">
        <is>
          <t>2.01.02 Frete sobre Vendas</t>
        </is>
      </c>
      <c r="C3963" s="30" t="n">
        <v>46204</v>
      </c>
      <c r="D3963" t="inlineStr">
        <is>
          <t>Em 2026</t>
        </is>
      </c>
      <c r="E3963" s="28" t="n">
        <v>46219</v>
      </c>
      <c r="F3963" t="inlineStr">
        <is>
          <t>CT-e</t>
        </is>
      </c>
      <c r="G3963" t="inlineStr">
        <is>
          <t>000007659</t>
        </is>
      </c>
      <c r="H3963" t="inlineStr">
        <is>
          <t>R&amp;R TRANSPORTE E LOGISTICA</t>
        </is>
      </c>
      <c r="J3963" s="29" t="n">
        <v>58.2</v>
      </c>
      <c r="K3963" s="29">
        <f>(1-ISNUMBER(SEARCH("556",M3963)))*(O3963*SUMIFS(Premissas!$C$5:$C$44,Premissas!$A$5:$A$44,$A3963,Premissas!$B$5:$B$44,$B3963)+P3963*SUMIFS(Premissas!$D$5:$D$44,Premissas!$A$5:$A$44,$A3963,Premissas!$B$5:$B$44,$B3963))+R3963*SUMIFS(Premissas!$E$5:$E$44,Premissas!$A$5:$A$44,$A3963,Premissas!$B$5:$B$44,$B3963)+S3963*SUMIFS(Premissas!$F$5:$F$44,Premissas!$A$5:$A$44,$A3963,Premissas!$B$5:$B$44,$B3963)</f>
        <v/>
      </c>
      <c r="L3963" s="29">
        <f>J3963-K3963</f>
        <v/>
      </c>
      <c r="M3963" t="inlineStr">
        <is>
          <t>2.350</t>
        </is>
      </c>
      <c r="N3963" t="inlineStr">
        <is>
          <t>Modalidade: 0 - Por conta do remetente | Parte: LIDER RUBBO DISTRIBUICOES LTDA (35.355.642/0001-98)</t>
        </is>
      </c>
      <c r="O3963" s="29" t="n">
        <v>0</v>
      </c>
      <c r="P3963" s="29" t="n">
        <v>0</v>
      </c>
      <c r="Q3963" s="29" t="n">
        <v>0</v>
      </c>
      <c r="R3963" s="29" t="n">
        <v>0</v>
      </c>
      <c r="S3963" s="29" t="n">
        <v>0</v>
      </c>
      <c r="T3963" t="inlineStr">
        <is>
          <t>25260726975620000130570010000076591001801518</t>
        </is>
      </c>
      <c r="U3963" t="inlineStr">
        <is>
          <t>Não</t>
        </is>
      </c>
    </row>
    <row r="3964">
      <c r="A3964" t="inlineStr">
        <is>
          <t>Frete de venda</t>
        </is>
      </c>
      <c r="B3964" t="inlineStr">
        <is>
          <t>2.01.02 Frete sobre Vendas</t>
        </is>
      </c>
      <c r="C3964" s="30" t="n">
        <v>46204</v>
      </c>
      <c r="D3964" t="inlineStr">
        <is>
          <t>Em 2026</t>
        </is>
      </c>
      <c r="E3964" s="28" t="n">
        <v>46219</v>
      </c>
      <c r="F3964" t="inlineStr">
        <is>
          <t>CT-e</t>
        </is>
      </c>
      <c r="G3964" t="inlineStr">
        <is>
          <t>000007660</t>
        </is>
      </c>
      <c r="H3964" t="inlineStr">
        <is>
          <t>R&amp;R TRANSPORTE E LOGISTICA</t>
        </is>
      </c>
      <c r="J3964" s="29" t="n">
        <v>58.2</v>
      </c>
      <c r="K3964" s="29">
        <f>(1-ISNUMBER(SEARCH("556",M3964)))*(O3964*SUMIFS(Premissas!$C$5:$C$44,Premissas!$A$5:$A$44,$A3964,Premissas!$B$5:$B$44,$B3964)+P3964*SUMIFS(Premissas!$D$5:$D$44,Premissas!$A$5:$A$44,$A3964,Premissas!$B$5:$B$44,$B3964))+R3964*SUMIFS(Premissas!$E$5:$E$44,Premissas!$A$5:$A$44,$A3964,Premissas!$B$5:$B$44,$B3964)+S3964*SUMIFS(Premissas!$F$5:$F$44,Premissas!$A$5:$A$44,$A3964,Premissas!$B$5:$B$44,$B3964)</f>
        <v/>
      </c>
      <c r="L3964" s="29">
        <f>J3964-K3964</f>
        <v/>
      </c>
      <c r="M3964" t="inlineStr">
        <is>
          <t>2.350</t>
        </is>
      </c>
      <c r="N3964" t="inlineStr">
        <is>
          <t>Modalidade: 0 - Por conta do remetente | Parte: ITAVALE DISTRIBUIDORA LTDA (05.452.972/0001-30)</t>
        </is>
      </c>
      <c r="O3964" s="29" t="n">
        <v>0</v>
      </c>
      <c r="P3964" s="29" t="n">
        <v>0</v>
      </c>
      <c r="Q3964" s="29" t="n">
        <v>0</v>
      </c>
      <c r="R3964" s="29" t="n">
        <v>0</v>
      </c>
      <c r="S3964" s="29" t="n">
        <v>0</v>
      </c>
      <c r="T3964" t="inlineStr">
        <is>
          <t>25260726975620000130570010000076601001501590</t>
        </is>
      </c>
      <c r="U3964" t="inlineStr">
        <is>
          <t>Não</t>
        </is>
      </c>
    </row>
    <row r="3965">
      <c r="A3965" t="inlineStr">
        <is>
          <t>Frete de venda</t>
        </is>
      </c>
      <c r="B3965" t="inlineStr">
        <is>
          <t>2.01.02 Frete sobre Vendas</t>
        </is>
      </c>
      <c r="C3965" s="30" t="n">
        <v>46204</v>
      </c>
      <c r="D3965" t="inlineStr">
        <is>
          <t>Em 2026</t>
        </is>
      </c>
      <c r="E3965" s="28" t="n">
        <v>46219</v>
      </c>
      <c r="F3965" t="inlineStr">
        <is>
          <t>CT-e</t>
        </is>
      </c>
      <c r="G3965" t="inlineStr">
        <is>
          <t>000007661</t>
        </is>
      </c>
      <c r="H3965" t="inlineStr">
        <is>
          <t>R&amp;R TRANSPORTE E LOGISTICA</t>
        </is>
      </c>
      <c r="J3965" s="29" t="n">
        <v>58.2</v>
      </c>
      <c r="K3965" s="29">
        <f>(1-ISNUMBER(SEARCH("556",M3965)))*(O3965*SUMIFS(Premissas!$C$5:$C$44,Premissas!$A$5:$A$44,$A3965,Premissas!$B$5:$B$44,$B3965)+P3965*SUMIFS(Premissas!$D$5:$D$44,Premissas!$A$5:$A$44,$A3965,Premissas!$B$5:$B$44,$B3965))+R3965*SUMIFS(Premissas!$E$5:$E$44,Premissas!$A$5:$A$44,$A3965,Premissas!$B$5:$B$44,$B3965)+S3965*SUMIFS(Premissas!$F$5:$F$44,Premissas!$A$5:$A$44,$A3965,Premissas!$B$5:$B$44,$B3965)</f>
        <v/>
      </c>
      <c r="L3965" s="29">
        <f>J3965-K3965</f>
        <v/>
      </c>
      <c r="M3965" t="inlineStr">
        <is>
          <t>2.350</t>
        </is>
      </c>
      <c r="N3965" t="inlineStr">
        <is>
          <t>Modalidade: 0 - Por conta do remetente | Parte: PADARIA E DISTRIBUIDORA CARAVELAS LTDA (08.056.022/0001-85)</t>
        </is>
      </c>
      <c r="O3965" s="29" t="n">
        <v>0</v>
      </c>
      <c r="P3965" s="29" t="n">
        <v>0</v>
      </c>
      <c r="Q3965" s="29" t="n">
        <v>0</v>
      </c>
      <c r="R3965" s="29" t="n">
        <v>0</v>
      </c>
      <c r="S3965" s="29" t="n">
        <v>0</v>
      </c>
      <c r="T3965" t="inlineStr">
        <is>
          <t>25260726975620000130570010000076611001201675</t>
        </is>
      </c>
      <c r="U3965" t="inlineStr">
        <is>
          <t>Não</t>
        </is>
      </c>
    </row>
    <row r="3966">
      <c r="A3966" t="inlineStr">
        <is>
          <t>Frete de venda</t>
        </is>
      </c>
      <c r="B3966" t="inlineStr">
        <is>
          <t>2.01.02 Frete sobre Vendas</t>
        </is>
      </c>
      <c r="C3966" s="30" t="n">
        <v>46204</v>
      </c>
      <c r="D3966" t="inlineStr">
        <is>
          <t>Em 2026</t>
        </is>
      </c>
      <c r="E3966" s="28" t="n">
        <v>46219</v>
      </c>
      <c r="F3966" t="inlineStr">
        <is>
          <t>CT-e</t>
        </is>
      </c>
      <c r="G3966" t="inlineStr">
        <is>
          <t>000007662</t>
        </is>
      </c>
      <c r="H3966" t="inlineStr">
        <is>
          <t>R&amp;R TRANSPORTE E LOGISTICA</t>
        </is>
      </c>
      <c r="J3966" s="29" t="n">
        <v>58.2</v>
      </c>
      <c r="K3966" s="29">
        <f>(1-ISNUMBER(SEARCH("556",M3966)))*(O3966*SUMIFS(Premissas!$C$5:$C$44,Premissas!$A$5:$A$44,$A3966,Premissas!$B$5:$B$44,$B3966)+P3966*SUMIFS(Premissas!$D$5:$D$44,Premissas!$A$5:$A$44,$A3966,Premissas!$B$5:$B$44,$B3966))+R3966*SUMIFS(Premissas!$E$5:$E$44,Premissas!$A$5:$A$44,$A3966,Premissas!$B$5:$B$44,$B3966)+S3966*SUMIFS(Premissas!$F$5:$F$44,Premissas!$A$5:$A$44,$A3966,Premissas!$B$5:$B$44,$B3966)</f>
        <v/>
      </c>
      <c r="L3966" s="29">
        <f>J3966-K3966</f>
        <v/>
      </c>
      <c r="M3966" t="inlineStr">
        <is>
          <t>2.350</t>
        </is>
      </c>
      <c r="N3966" t="inlineStr">
        <is>
          <t>Modalidade: 0 - Por conta do remetente | Parte: ND FESTAS LTDA (15.615.417/0001-36)</t>
        </is>
      </c>
      <c r="O3966" s="29" t="n">
        <v>0</v>
      </c>
      <c r="P3966" s="29" t="n">
        <v>0</v>
      </c>
      <c r="Q3966" s="29" t="n">
        <v>0</v>
      </c>
      <c r="R3966" s="29" t="n">
        <v>0</v>
      </c>
      <c r="S3966" s="29" t="n">
        <v>0</v>
      </c>
      <c r="T3966" t="inlineStr">
        <is>
          <t>25260726975620000130570010000076621011001757</t>
        </is>
      </c>
      <c r="U3966" t="inlineStr">
        <is>
          <t>Não</t>
        </is>
      </c>
    </row>
    <row r="3967">
      <c r="A3967" t="inlineStr">
        <is>
          <t>Frete de venda</t>
        </is>
      </c>
      <c r="B3967" t="inlineStr">
        <is>
          <t>2.01.02 Frete sobre Vendas</t>
        </is>
      </c>
      <c r="C3967" s="30" t="n">
        <v>46204</v>
      </c>
      <c r="D3967" t="inlineStr">
        <is>
          <t>Em 2026</t>
        </is>
      </c>
      <c r="E3967" s="28" t="n">
        <v>46219</v>
      </c>
      <c r="F3967" t="inlineStr">
        <is>
          <t>CT-e</t>
        </is>
      </c>
      <c r="G3967" t="inlineStr">
        <is>
          <t>000007663</t>
        </is>
      </c>
      <c r="H3967" t="inlineStr">
        <is>
          <t>R&amp;R TRANSPORTE E LOGISTICA</t>
        </is>
      </c>
      <c r="J3967" s="29" t="n">
        <v>58.2</v>
      </c>
      <c r="K3967" s="29">
        <f>(1-ISNUMBER(SEARCH("556",M3967)))*(O3967*SUMIFS(Premissas!$C$5:$C$44,Premissas!$A$5:$A$44,$A3967,Premissas!$B$5:$B$44,$B3967)+P3967*SUMIFS(Premissas!$D$5:$D$44,Premissas!$A$5:$A$44,$A3967,Premissas!$B$5:$B$44,$B3967))+R3967*SUMIFS(Premissas!$E$5:$E$44,Premissas!$A$5:$A$44,$A3967,Premissas!$B$5:$B$44,$B3967)+S3967*SUMIFS(Premissas!$F$5:$F$44,Premissas!$A$5:$A$44,$A3967,Premissas!$B$5:$B$44,$B3967)</f>
        <v/>
      </c>
      <c r="L3967" s="29">
        <f>J3967-K3967</f>
        <v/>
      </c>
      <c r="M3967" t="inlineStr">
        <is>
          <t>2.350</t>
        </is>
      </c>
      <c r="N3967" t="inlineStr">
        <is>
          <t>Modalidade: 0 - Por conta do remetente | Parte: VALE DO ACO EMBALAGENS LTDA (11.019.078/0003-36)</t>
        </is>
      </c>
      <c r="O3967" s="29" t="n">
        <v>0</v>
      </c>
      <c r="P3967" s="29" t="n">
        <v>0</v>
      </c>
      <c r="Q3967" s="29" t="n">
        <v>0</v>
      </c>
      <c r="R3967" s="29" t="n">
        <v>0</v>
      </c>
      <c r="S3967" s="29" t="n">
        <v>0</v>
      </c>
      <c r="T3967" t="inlineStr">
        <is>
          <t>25260726975620000130570010000076631000101108</t>
        </is>
      </c>
      <c r="U3967" t="inlineStr">
        <is>
          <t>Não</t>
        </is>
      </c>
    </row>
    <row r="3968">
      <c r="A3968" t="inlineStr">
        <is>
          <t>Frete de venda</t>
        </is>
      </c>
      <c r="B3968" t="inlineStr">
        <is>
          <t>2.01.02 Frete sobre Vendas</t>
        </is>
      </c>
      <c r="C3968" s="30" t="n">
        <v>46204</v>
      </c>
      <c r="D3968" t="inlineStr">
        <is>
          <t>Em 2026</t>
        </is>
      </c>
      <c r="E3968" s="28" t="n">
        <v>46219</v>
      </c>
      <c r="F3968" t="inlineStr">
        <is>
          <t>CT-e</t>
        </is>
      </c>
      <c r="G3968" t="inlineStr">
        <is>
          <t>000007664</t>
        </is>
      </c>
      <c r="H3968" t="inlineStr">
        <is>
          <t>R&amp;R TRANSPORTE E LOGISTICA</t>
        </is>
      </c>
      <c r="J3968" s="29" t="n">
        <v>58.2</v>
      </c>
      <c r="K3968" s="29">
        <f>(1-ISNUMBER(SEARCH("556",M3968)))*(O3968*SUMIFS(Premissas!$C$5:$C$44,Premissas!$A$5:$A$44,$A3968,Premissas!$B$5:$B$44,$B3968)+P3968*SUMIFS(Premissas!$D$5:$D$44,Premissas!$A$5:$A$44,$A3968,Premissas!$B$5:$B$44,$B3968))+R3968*SUMIFS(Premissas!$E$5:$E$44,Premissas!$A$5:$A$44,$A3968,Premissas!$B$5:$B$44,$B3968)+S3968*SUMIFS(Premissas!$F$5:$F$44,Premissas!$A$5:$A$44,$A3968,Premissas!$B$5:$B$44,$B3968)</f>
        <v/>
      </c>
      <c r="L3968" s="29">
        <f>J3968-K3968</f>
        <v/>
      </c>
      <c r="M3968" t="inlineStr">
        <is>
          <t>2.350</t>
        </is>
      </c>
      <c r="N3968" t="inlineStr">
        <is>
          <t>Modalidade: 0 - Por conta do remetente | Parte: C.F.S.DISTRIBUIDORA LTDA (05.823.544/0001-77)</t>
        </is>
      </c>
      <c r="O3968" s="29" t="n">
        <v>0</v>
      </c>
      <c r="P3968" s="29" t="n">
        <v>0</v>
      </c>
      <c r="Q3968" s="29" t="n">
        <v>0</v>
      </c>
      <c r="R3968" s="29" t="n">
        <v>0</v>
      </c>
      <c r="S3968" s="29" t="n">
        <v>0</v>
      </c>
      <c r="T3968" t="inlineStr">
        <is>
          <t>25260726975620000130570010000076641001801186</t>
        </is>
      </c>
      <c r="U3968" t="inlineStr">
        <is>
          <t>Não</t>
        </is>
      </c>
    </row>
    <row r="3969">
      <c r="A3969" t="inlineStr">
        <is>
          <t>Frete de venda</t>
        </is>
      </c>
      <c r="B3969" t="inlineStr">
        <is>
          <t>2.01.02 Frete sobre Vendas</t>
        </is>
      </c>
      <c r="C3969" s="30" t="n">
        <v>46204</v>
      </c>
      <c r="D3969" t="inlineStr">
        <is>
          <t>Em 2026</t>
        </is>
      </c>
      <c r="E3969" s="28" t="n">
        <v>46219</v>
      </c>
      <c r="F3969" t="inlineStr">
        <is>
          <t>CT-e</t>
        </is>
      </c>
      <c r="G3969" t="inlineStr">
        <is>
          <t>000007665</t>
        </is>
      </c>
      <c r="H3969" t="inlineStr">
        <is>
          <t>R&amp;R TRANSPORTE E LOGISTICA</t>
        </is>
      </c>
      <c r="J3969" s="29" t="n">
        <v>110.89</v>
      </c>
      <c r="K3969" s="29">
        <f>(1-ISNUMBER(SEARCH("556",M3969)))*(O3969*SUMIFS(Premissas!$C$5:$C$44,Premissas!$A$5:$A$44,$A3969,Premissas!$B$5:$B$44,$B3969)+P3969*SUMIFS(Premissas!$D$5:$D$44,Premissas!$A$5:$A$44,$A3969,Premissas!$B$5:$B$44,$B3969))+R3969*SUMIFS(Premissas!$E$5:$E$44,Premissas!$A$5:$A$44,$A3969,Premissas!$B$5:$B$44,$B3969)+S3969*SUMIFS(Premissas!$F$5:$F$44,Premissas!$A$5:$A$44,$A3969,Premissas!$B$5:$B$44,$B3969)</f>
        <v/>
      </c>
      <c r="L3969" s="29">
        <f>J3969-K3969</f>
        <v/>
      </c>
      <c r="M3969" t="inlineStr">
        <is>
          <t>2.350</t>
        </is>
      </c>
      <c r="N3969" t="inlineStr">
        <is>
          <t>Modalidade: 0 - Por conta do remetente | Parte: KATIA CILENE ARAUJO FARIAS COMERCIO (02.991.231/0001-30)</t>
        </is>
      </c>
      <c r="O3969" s="29" t="n">
        <v>0</v>
      </c>
      <c r="P3969" s="29" t="n">
        <v>0</v>
      </c>
      <c r="Q3969" s="29" t="n">
        <v>0</v>
      </c>
      <c r="R3969" s="29" t="n">
        <v>0</v>
      </c>
      <c r="S3969" s="29" t="n">
        <v>0</v>
      </c>
      <c r="T3969" t="inlineStr">
        <is>
          <t>25260726975620000130570010000076651001501260</t>
        </is>
      </c>
      <c r="U3969" t="inlineStr">
        <is>
          <t>Não</t>
        </is>
      </c>
    </row>
    <row r="3970">
      <c r="A3970" t="inlineStr">
        <is>
          <t>Frete de venda</t>
        </is>
      </c>
      <c r="B3970" t="inlineStr">
        <is>
          <t>2.01.02 Frete sobre Vendas</t>
        </is>
      </c>
      <c r="C3970" s="30" t="n">
        <v>46204</v>
      </c>
      <c r="D3970" t="inlineStr">
        <is>
          <t>Em 2026</t>
        </is>
      </c>
      <c r="E3970" s="28" t="n">
        <v>46219</v>
      </c>
      <c r="F3970" t="inlineStr">
        <is>
          <t>CT-e</t>
        </is>
      </c>
      <c r="G3970" t="inlineStr">
        <is>
          <t>000007666</t>
        </is>
      </c>
      <c r="H3970" t="inlineStr">
        <is>
          <t>R&amp;R TRANSPORTE E LOGISTICA</t>
        </is>
      </c>
      <c r="J3970" s="29" t="n">
        <v>110.89</v>
      </c>
      <c r="K3970" s="29">
        <f>(1-ISNUMBER(SEARCH("556",M3970)))*(O3970*SUMIFS(Premissas!$C$5:$C$44,Premissas!$A$5:$A$44,$A3970,Premissas!$B$5:$B$44,$B3970)+P3970*SUMIFS(Premissas!$D$5:$D$44,Premissas!$A$5:$A$44,$A3970,Premissas!$B$5:$B$44,$B3970))+R3970*SUMIFS(Premissas!$E$5:$E$44,Premissas!$A$5:$A$44,$A3970,Premissas!$B$5:$B$44,$B3970)+S3970*SUMIFS(Premissas!$F$5:$F$44,Premissas!$A$5:$A$44,$A3970,Premissas!$B$5:$B$44,$B3970)</f>
        <v/>
      </c>
      <c r="L3970" s="29">
        <f>J3970-K3970</f>
        <v/>
      </c>
      <c r="M3970" t="inlineStr">
        <is>
          <t>2.350</t>
        </is>
      </c>
      <c r="N3970" t="inlineStr">
        <is>
          <t>Modalidade: 0 - Por conta do remetente | Parte: ATACAREJO GALEGO LATICINIOS COMERCIO DE ALIMENTOS LTDA (31.163.107/0001-84)</t>
        </is>
      </c>
      <c r="O3970" s="29" t="n">
        <v>0</v>
      </c>
      <c r="P3970" s="29" t="n">
        <v>0</v>
      </c>
      <c r="Q3970" s="29" t="n">
        <v>0</v>
      </c>
      <c r="R3970" s="29" t="n">
        <v>0</v>
      </c>
      <c r="S3970" s="29" t="n">
        <v>0</v>
      </c>
      <c r="T3970" t="inlineStr">
        <is>
          <t>25260726975620000130570010000076661001201345</t>
        </is>
      </c>
      <c r="U3970" t="inlineStr">
        <is>
          <t>Não</t>
        </is>
      </c>
    </row>
    <row r="3971">
      <c r="A3971" t="inlineStr">
        <is>
          <t>Frete de venda</t>
        </is>
      </c>
      <c r="B3971" t="inlineStr">
        <is>
          <t>2.01.02 Frete sobre Vendas</t>
        </is>
      </c>
      <c r="C3971" s="30" t="n">
        <v>46204</v>
      </c>
      <c r="D3971" t="inlineStr">
        <is>
          <t>Em 2026</t>
        </is>
      </c>
      <c r="E3971" s="28" t="n">
        <v>46220</v>
      </c>
      <c r="F3971" t="inlineStr">
        <is>
          <t>CT-e</t>
        </is>
      </c>
      <c r="G3971" t="inlineStr">
        <is>
          <t>000007673</t>
        </is>
      </c>
      <c r="H3971" t="inlineStr">
        <is>
          <t>R&amp;R TRANSPORTE E LOGISTICA</t>
        </is>
      </c>
      <c r="J3971" s="29" t="n">
        <v>890.29</v>
      </c>
      <c r="K3971" s="29">
        <f>(1-ISNUMBER(SEARCH("556",M3971)))*(O3971*SUMIFS(Premissas!$C$5:$C$44,Premissas!$A$5:$A$44,$A3971,Premissas!$B$5:$B$44,$B3971)+P3971*SUMIFS(Premissas!$D$5:$D$44,Premissas!$A$5:$A$44,$A3971,Premissas!$B$5:$B$44,$B3971))+R3971*SUMIFS(Premissas!$E$5:$E$44,Premissas!$A$5:$A$44,$A3971,Premissas!$B$5:$B$44,$B3971)+S3971*SUMIFS(Premissas!$F$5:$F$44,Premissas!$A$5:$A$44,$A3971,Premissas!$B$5:$B$44,$B3971)</f>
        <v/>
      </c>
      <c r="L3971" s="29">
        <f>J3971-K3971</f>
        <v/>
      </c>
      <c r="M3971" t="inlineStr">
        <is>
          <t>2.350</t>
        </is>
      </c>
      <c r="N3971" t="inlineStr">
        <is>
          <t>Modalidade: 0 - Por conta do remetente | Parte: BM3 IMPORTACAO E EXPORTACAO LTDA (12.098.843/0001-51)</t>
        </is>
      </c>
      <c r="O3971" s="29" t="n">
        <v>0</v>
      </c>
      <c r="P3971" s="29" t="n">
        <v>0</v>
      </c>
      <c r="Q3971" s="29" t="n">
        <v>0</v>
      </c>
      <c r="R3971" s="29" t="n">
        <v>0</v>
      </c>
      <c r="S3971" s="29" t="n">
        <v>0</v>
      </c>
      <c r="T3971" t="inlineStr">
        <is>
          <t>25260726975620000130570010000076731000160836</t>
        </is>
      </c>
      <c r="U3971" t="inlineStr">
        <is>
          <t>Não</t>
        </is>
      </c>
    </row>
    <row r="3972">
      <c r="A3972" t="inlineStr">
        <is>
          <t>Frete de venda</t>
        </is>
      </c>
      <c r="B3972" t="inlineStr">
        <is>
          <t>2.01.02 Frete sobre Vendas</t>
        </is>
      </c>
      <c r="C3972" s="30" t="n">
        <v>46204</v>
      </c>
      <c r="D3972" t="inlineStr">
        <is>
          <t>Em 2026</t>
        </is>
      </c>
      <c r="E3972" s="28" t="n">
        <v>46223</v>
      </c>
      <c r="F3972" t="inlineStr">
        <is>
          <t>CT-e</t>
        </is>
      </c>
      <c r="G3972" t="inlineStr">
        <is>
          <t>000007683</t>
        </is>
      </c>
      <c r="H3972" t="inlineStr">
        <is>
          <t>R&amp;R TRANSPORTE E LOGISTICA</t>
        </is>
      </c>
      <c r="J3972" s="29" t="n">
        <v>1400</v>
      </c>
      <c r="K3972" s="29">
        <f>(1-ISNUMBER(SEARCH("556",M3972)))*(O3972*SUMIFS(Premissas!$C$5:$C$44,Premissas!$A$5:$A$44,$A3972,Premissas!$B$5:$B$44,$B3972)+P3972*SUMIFS(Premissas!$D$5:$D$44,Premissas!$A$5:$A$44,$A3972,Premissas!$B$5:$B$44,$B3972))+R3972*SUMIFS(Premissas!$E$5:$E$44,Premissas!$A$5:$A$44,$A3972,Premissas!$B$5:$B$44,$B3972)+S3972*SUMIFS(Premissas!$F$5:$F$44,Premissas!$A$5:$A$44,$A3972,Premissas!$B$5:$B$44,$B3972)</f>
        <v/>
      </c>
      <c r="L3972" s="29">
        <f>J3972-K3972</f>
        <v/>
      </c>
      <c r="M3972" t="inlineStr">
        <is>
          <t>2.350</t>
        </is>
      </c>
      <c r="N3972" t="inlineStr">
        <is>
          <t>Modalidade: 0 - Por conta do remetente | Parte: C M DE F BARROSO LTDA (55.191.729/0001-84)</t>
        </is>
      </c>
      <c r="O3972" s="29" t="n">
        <v>0</v>
      </c>
      <c r="P3972" s="29" t="n">
        <v>0</v>
      </c>
      <c r="Q3972" s="29" t="n">
        <v>0</v>
      </c>
      <c r="R3972" s="29" t="n">
        <v>0</v>
      </c>
      <c r="S3972" s="29" t="n">
        <v>0</v>
      </c>
      <c r="T3972" t="inlineStr">
        <is>
          <t>25260726975620000130570010000076831000120903</t>
        </is>
      </c>
      <c r="U3972" t="inlineStr">
        <is>
          <t>Não</t>
        </is>
      </c>
    </row>
    <row r="3973">
      <c r="A3973" t="inlineStr">
        <is>
          <t>Frete de venda</t>
        </is>
      </c>
      <c r="B3973" t="inlineStr">
        <is>
          <t>2.01.02 Frete sobre Vendas</t>
        </is>
      </c>
      <c r="C3973" s="30" t="n">
        <v>46204</v>
      </c>
      <c r="D3973" t="inlineStr">
        <is>
          <t>Em 2026</t>
        </is>
      </c>
      <c r="E3973" s="28" t="n">
        <v>46223</v>
      </c>
      <c r="F3973" t="inlineStr">
        <is>
          <t>CT-e</t>
        </is>
      </c>
      <c r="G3973" t="inlineStr">
        <is>
          <t>000007684</t>
        </is>
      </c>
      <c r="H3973" t="inlineStr">
        <is>
          <t>R&amp;R TRANSPORTE E LOGISTICA</t>
        </is>
      </c>
      <c r="J3973" s="29" t="n">
        <v>1400</v>
      </c>
      <c r="K3973" s="29">
        <f>(1-ISNUMBER(SEARCH("556",M3973)))*(O3973*SUMIFS(Premissas!$C$5:$C$44,Premissas!$A$5:$A$44,$A3973,Premissas!$B$5:$B$44,$B3973)+P3973*SUMIFS(Premissas!$D$5:$D$44,Premissas!$A$5:$A$44,$A3973,Premissas!$B$5:$B$44,$B3973))+R3973*SUMIFS(Premissas!$E$5:$E$44,Premissas!$A$5:$A$44,$A3973,Premissas!$B$5:$B$44,$B3973)+S3973*SUMIFS(Premissas!$F$5:$F$44,Premissas!$A$5:$A$44,$A3973,Premissas!$B$5:$B$44,$B3973)</f>
        <v/>
      </c>
      <c r="L3973" s="29">
        <f>J3973-K3973</f>
        <v/>
      </c>
      <c r="M3973" t="inlineStr">
        <is>
          <t>2.350</t>
        </is>
      </c>
      <c r="N3973" t="inlineStr">
        <is>
          <t>Modalidade: 0 - Por conta do remetente | Parte: BALLOON MANIA LTDA (12.027.912/0001-36)</t>
        </is>
      </c>
      <c r="O3973" s="29" t="n">
        <v>0</v>
      </c>
      <c r="P3973" s="29" t="n">
        <v>0</v>
      </c>
      <c r="Q3973" s="29" t="n">
        <v>0</v>
      </c>
      <c r="R3973" s="29" t="n">
        <v>0</v>
      </c>
      <c r="S3973" s="29" t="n">
        <v>0</v>
      </c>
      <c r="T3973" t="inlineStr">
        <is>
          <t>25260726975620000130570010000076841001100989</t>
        </is>
      </c>
      <c r="U3973" t="inlineStr">
        <is>
          <t>Não</t>
        </is>
      </c>
    </row>
    <row r="3974">
      <c r="A3974" t="inlineStr">
        <is>
          <t>Frete de venda</t>
        </is>
      </c>
      <c r="B3974" t="inlineStr">
        <is>
          <t>2.01.02 Frete sobre Vendas</t>
        </is>
      </c>
      <c r="C3974" s="30" t="n">
        <v>46204</v>
      </c>
      <c r="D3974" t="inlineStr">
        <is>
          <t>Em 2026</t>
        </is>
      </c>
      <c r="E3974" s="28" t="n">
        <v>46223</v>
      </c>
      <c r="F3974" t="inlineStr">
        <is>
          <t>CT-e</t>
        </is>
      </c>
      <c r="G3974" t="inlineStr">
        <is>
          <t>000007685</t>
        </is>
      </c>
      <c r="H3974" t="inlineStr">
        <is>
          <t>R&amp;R TRANSPORTE E LOGISTICA</t>
        </is>
      </c>
      <c r="J3974" s="29" t="n">
        <v>1400</v>
      </c>
      <c r="K3974" s="29">
        <f>(1-ISNUMBER(SEARCH("556",M3974)))*(O3974*SUMIFS(Premissas!$C$5:$C$44,Premissas!$A$5:$A$44,$A3974,Premissas!$B$5:$B$44,$B3974)+P3974*SUMIFS(Premissas!$D$5:$D$44,Premissas!$A$5:$A$44,$A3974,Premissas!$B$5:$B$44,$B3974))+R3974*SUMIFS(Premissas!$E$5:$E$44,Premissas!$A$5:$A$44,$A3974,Premissas!$B$5:$B$44,$B3974)+S3974*SUMIFS(Premissas!$F$5:$F$44,Premissas!$A$5:$A$44,$A3974,Premissas!$B$5:$B$44,$B3974)</f>
        <v/>
      </c>
      <c r="L3974" s="29">
        <f>J3974-K3974</f>
        <v/>
      </c>
      <c r="M3974" t="inlineStr">
        <is>
          <t>2.350</t>
        </is>
      </c>
      <c r="N3974" t="inlineStr">
        <is>
          <t>Modalidade: 0 - Por conta do remetente | Parte: FORTALI DISTRIBUIDORA DE ALIMENTOS LTDA. (09.317.318/0001-75)</t>
        </is>
      </c>
      <c r="O3974" s="29" t="n">
        <v>0</v>
      </c>
      <c r="P3974" s="29" t="n">
        <v>0</v>
      </c>
      <c r="Q3974" s="29" t="n">
        <v>0</v>
      </c>
      <c r="R3974" s="29" t="n">
        <v>0</v>
      </c>
      <c r="S3974" s="29" t="n">
        <v>0</v>
      </c>
      <c r="T3974" t="inlineStr">
        <is>
          <t>25260726975620000130570010000076851001701068</t>
        </is>
      </c>
      <c r="U3974" t="inlineStr">
        <is>
          <t>Não</t>
        </is>
      </c>
    </row>
    <row r="3975">
      <c r="A3975" t="inlineStr">
        <is>
          <t>Frete de venda</t>
        </is>
      </c>
      <c r="B3975" t="inlineStr">
        <is>
          <t>2.01.02 Frete sobre Vendas</t>
        </is>
      </c>
      <c r="C3975" s="30" t="n">
        <v>46204</v>
      </c>
      <c r="D3975" t="inlineStr">
        <is>
          <t>Em 2026</t>
        </is>
      </c>
      <c r="E3975" s="28" t="n">
        <v>46223</v>
      </c>
      <c r="F3975" t="inlineStr">
        <is>
          <t>CT-e</t>
        </is>
      </c>
      <c r="G3975" t="inlineStr">
        <is>
          <t>000007686</t>
        </is>
      </c>
      <c r="H3975" t="inlineStr">
        <is>
          <t>R&amp;R TRANSPORTE E LOGISTICA</t>
        </is>
      </c>
      <c r="J3975" s="29" t="n">
        <v>1400</v>
      </c>
      <c r="K3975" s="29">
        <f>(1-ISNUMBER(SEARCH("556",M3975)))*(O3975*SUMIFS(Premissas!$C$5:$C$44,Premissas!$A$5:$A$44,$A3975,Premissas!$B$5:$B$44,$B3975)+P3975*SUMIFS(Premissas!$D$5:$D$44,Premissas!$A$5:$A$44,$A3975,Premissas!$B$5:$B$44,$B3975))+R3975*SUMIFS(Premissas!$E$5:$E$44,Premissas!$A$5:$A$44,$A3975,Premissas!$B$5:$B$44,$B3975)+S3975*SUMIFS(Premissas!$F$5:$F$44,Premissas!$A$5:$A$44,$A3975,Premissas!$B$5:$B$44,$B3975)</f>
        <v/>
      </c>
      <c r="L3975" s="29">
        <f>J3975-K3975</f>
        <v/>
      </c>
      <c r="M3975" t="inlineStr">
        <is>
          <t>2.350</t>
        </is>
      </c>
      <c r="N3975" t="inlineStr">
        <is>
          <t>Modalidade: 0 - Por conta do remetente | Parte: DISTAK COMERCIAL ATACADISTA LTDA (56.223.570/0001-03)</t>
        </is>
      </c>
      <c r="O3975" s="29" t="n">
        <v>0</v>
      </c>
      <c r="P3975" s="29" t="n">
        <v>0</v>
      </c>
      <c r="Q3975" s="29" t="n">
        <v>0</v>
      </c>
      <c r="R3975" s="29" t="n">
        <v>0</v>
      </c>
      <c r="S3975" s="29" t="n">
        <v>0</v>
      </c>
      <c r="T3975" t="inlineStr">
        <is>
          <t>25260726975620000130570010000076861001401142</t>
        </is>
      </c>
      <c r="U3975" t="inlineStr">
        <is>
          <t>Não</t>
        </is>
      </c>
    </row>
    <row r="3976">
      <c r="A3976" t="inlineStr">
        <is>
          <t>Frete de venda</t>
        </is>
      </c>
      <c r="B3976" t="inlineStr">
        <is>
          <t>2.01.02 Frete sobre Vendas</t>
        </is>
      </c>
      <c r="C3976" s="30" t="n">
        <v>46204</v>
      </c>
      <c r="D3976" t="inlineStr">
        <is>
          <t>Em 2026</t>
        </is>
      </c>
      <c r="E3976" s="28" t="n">
        <v>46223</v>
      </c>
      <c r="F3976" t="inlineStr">
        <is>
          <t>CT-e</t>
        </is>
      </c>
      <c r="G3976" t="inlineStr">
        <is>
          <t>000007688</t>
        </is>
      </c>
      <c r="H3976" t="inlineStr">
        <is>
          <t>R&amp;R TRANSPORTE E LOGISTICA</t>
        </is>
      </c>
      <c r="J3976" s="29" t="n">
        <v>1400</v>
      </c>
      <c r="K3976" s="29">
        <f>(1-ISNUMBER(SEARCH("556",M3976)))*(O3976*SUMIFS(Premissas!$C$5:$C$44,Premissas!$A$5:$A$44,$A3976,Premissas!$B$5:$B$44,$B3976)+P3976*SUMIFS(Premissas!$D$5:$D$44,Premissas!$A$5:$A$44,$A3976,Premissas!$B$5:$B$44,$B3976))+R3976*SUMIFS(Premissas!$E$5:$E$44,Premissas!$A$5:$A$44,$A3976,Premissas!$B$5:$B$44,$B3976)+S3976*SUMIFS(Premissas!$F$5:$F$44,Premissas!$A$5:$A$44,$A3976,Premissas!$B$5:$B$44,$B3976)</f>
        <v/>
      </c>
      <c r="L3976" s="29">
        <f>J3976-K3976</f>
        <v/>
      </c>
      <c r="M3976" t="inlineStr">
        <is>
          <t>2.350</t>
        </is>
      </c>
      <c r="N3976" t="inlineStr">
        <is>
          <t>Modalidade: 0 - Por conta do remetente | Parte: MARIA ALICE DE ALMEIDA FESTAS LTDA (21.995.884/0001-31)</t>
        </is>
      </c>
      <c r="O3976" s="29" t="n">
        <v>0</v>
      </c>
      <c r="P3976" s="29" t="n">
        <v>0</v>
      </c>
      <c r="Q3976" s="29" t="n">
        <v>0</v>
      </c>
      <c r="R3976" s="29" t="n">
        <v>0</v>
      </c>
      <c r="S3976" s="29" t="n">
        <v>0</v>
      </c>
      <c r="T3976" t="inlineStr">
        <is>
          <t>25260726975620000130570010000076881001901301</t>
        </is>
      </c>
      <c r="U3976" t="inlineStr">
        <is>
          <t>Não</t>
        </is>
      </c>
    </row>
    <row r="3977">
      <c r="A3977" t="inlineStr">
        <is>
          <t>Frete de venda</t>
        </is>
      </c>
      <c r="B3977" t="inlineStr">
        <is>
          <t>2.01.02 Frete sobre Vendas</t>
        </is>
      </c>
      <c r="C3977" s="30" t="n">
        <v>46204</v>
      </c>
      <c r="D3977" t="inlineStr">
        <is>
          <t>Em 2026</t>
        </is>
      </c>
      <c r="E3977" s="28" t="n">
        <v>46223</v>
      </c>
      <c r="F3977" t="inlineStr">
        <is>
          <t>CT-e</t>
        </is>
      </c>
      <c r="G3977" t="inlineStr">
        <is>
          <t>000007689</t>
        </is>
      </c>
      <c r="H3977" t="inlineStr">
        <is>
          <t>R&amp;R TRANSPORTE E LOGISTICA</t>
        </is>
      </c>
      <c r="J3977" s="29" t="n">
        <v>100</v>
      </c>
      <c r="K3977" s="29">
        <f>(1-ISNUMBER(SEARCH("556",M3977)))*(O3977*SUMIFS(Premissas!$C$5:$C$44,Premissas!$A$5:$A$44,$A3977,Premissas!$B$5:$B$44,$B3977)+P3977*SUMIFS(Premissas!$D$5:$D$44,Premissas!$A$5:$A$44,$A3977,Premissas!$B$5:$B$44,$B3977))+R3977*SUMIFS(Premissas!$E$5:$E$44,Premissas!$A$5:$A$44,$A3977,Premissas!$B$5:$B$44,$B3977)+S3977*SUMIFS(Premissas!$F$5:$F$44,Premissas!$A$5:$A$44,$A3977,Premissas!$B$5:$B$44,$B3977)</f>
        <v/>
      </c>
      <c r="L3977" s="29">
        <f>J3977-K3977</f>
        <v/>
      </c>
      <c r="M3977" t="inlineStr">
        <is>
          <t>2.350</t>
        </is>
      </c>
      <c r="N3977" t="inlineStr">
        <is>
          <t>Modalidade: 0 - Por conta do remetente | Parte: MUCAMBO PLASTICOS LTDA (03.336.067/0001-90)</t>
        </is>
      </c>
      <c r="O3977" s="29" t="n">
        <v>0</v>
      </c>
      <c r="P3977" s="29" t="n">
        <v>0</v>
      </c>
      <c r="Q3977" s="29" t="n">
        <v>0</v>
      </c>
      <c r="R3977" s="29" t="n">
        <v>0</v>
      </c>
      <c r="S3977" s="29" t="n">
        <v>0</v>
      </c>
      <c r="T3977" t="inlineStr">
        <is>
          <t>25260726975620000130570010000076891001601380</t>
        </is>
      </c>
      <c r="U3977" t="inlineStr">
        <is>
          <t>Não</t>
        </is>
      </c>
    </row>
    <row r="3978">
      <c r="A3978" t="inlineStr">
        <is>
          <t>Frete de venda</t>
        </is>
      </c>
      <c r="B3978" t="inlineStr">
        <is>
          <t>2.01.02 Frete sobre Vendas</t>
        </is>
      </c>
      <c r="C3978" s="30" t="n">
        <v>46204</v>
      </c>
      <c r="D3978" t="inlineStr">
        <is>
          <t>Em 2026</t>
        </is>
      </c>
      <c r="E3978" s="28" t="n">
        <v>46223</v>
      </c>
      <c r="F3978" t="inlineStr">
        <is>
          <t>CT-e</t>
        </is>
      </c>
      <c r="G3978" t="inlineStr">
        <is>
          <t>000007690</t>
        </is>
      </c>
      <c r="H3978" t="inlineStr">
        <is>
          <t>R&amp;R TRANSPORTE E LOGISTICA</t>
        </is>
      </c>
      <c r="J3978" s="29" t="n">
        <v>146.34</v>
      </c>
      <c r="K3978" s="29">
        <f>(1-ISNUMBER(SEARCH("556",M3978)))*(O3978*SUMIFS(Premissas!$C$5:$C$44,Premissas!$A$5:$A$44,$A3978,Premissas!$B$5:$B$44,$B3978)+P3978*SUMIFS(Premissas!$D$5:$D$44,Premissas!$A$5:$A$44,$A3978,Premissas!$B$5:$B$44,$B3978))+R3978*SUMIFS(Premissas!$E$5:$E$44,Premissas!$A$5:$A$44,$A3978,Premissas!$B$5:$B$44,$B3978)+S3978*SUMIFS(Premissas!$F$5:$F$44,Premissas!$A$5:$A$44,$A3978,Premissas!$B$5:$B$44,$B3978)</f>
        <v/>
      </c>
      <c r="L3978" s="29">
        <f>J3978-K3978</f>
        <v/>
      </c>
      <c r="M3978" t="inlineStr">
        <is>
          <t>2.350</t>
        </is>
      </c>
      <c r="N3978" t="inlineStr">
        <is>
          <t>Modalidade: 0 - Por conta do remetente | Parte: SILVA DISTRIBUIDORA DE EMBALAGENS LTDA (31.362.906/0001-80)</t>
        </is>
      </c>
      <c r="O3978" s="29" t="n">
        <v>0</v>
      </c>
      <c r="P3978" s="29" t="n">
        <v>0</v>
      </c>
      <c r="Q3978" s="29" t="n">
        <v>0</v>
      </c>
      <c r="R3978" s="29" t="n">
        <v>0</v>
      </c>
      <c r="S3978" s="29" t="n">
        <v>0</v>
      </c>
      <c r="T3978" t="inlineStr">
        <is>
          <t>25260726975620000130570010000076901001301469</t>
        </is>
      </c>
      <c r="U3978" t="inlineStr">
        <is>
          <t>Não</t>
        </is>
      </c>
    </row>
    <row r="3979">
      <c r="A3979" t="inlineStr">
        <is>
          <t>Frete de venda</t>
        </is>
      </c>
      <c r="B3979" t="inlineStr">
        <is>
          <t>2.01.02 Frete sobre Vendas</t>
        </is>
      </c>
      <c r="C3979" s="30" t="n">
        <v>46204</v>
      </c>
      <c r="D3979" t="inlineStr">
        <is>
          <t>Em 2026</t>
        </is>
      </c>
      <c r="E3979" s="28" t="n">
        <v>46223</v>
      </c>
      <c r="F3979" t="inlineStr">
        <is>
          <t>CT-e</t>
        </is>
      </c>
      <c r="G3979" t="inlineStr">
        <is>
          <t>000007691</t>
        </is>
      </c>
      <c r="H3979" t="inlineStr">
        <is>
          <t>R&amp;R TRANSPORTE E LOGISTICA</t>
        </is>
      </c>
      <c r="J3979" s="29" t="n">
        <v>62.17</v>
      </c>
      <c r="K3979" s="29">
        <f>(1-ISNUMBER(SEARCH("556",M3979)))*(O3979*SUMIFS(Premissas!$C$5:$C$44,Premissas!$A$5:$A$44,$A3979,Premissas!$B$5:$B$44,$B3979)+P3979*SUMIFS(Premissas!$D$5:$D$44,Premissas!$A$5:$A$44,$A3979,Premissas!$B$5:$B$44,$B3979))+R3979*SUMIFS(Premissas!$E$5:$E$44,Premissas!$A$5:$A$44,$A3979,Premissas!$B$5:$B$44,$B3979)+S3979*SUMIFS(Premissas!$F$5:$F$44,Premissas!$A$5:$A$44,$A3979,Premissas!$B$5:$B$44,$B3979)</f>
        <v/>
      </c>
      <c r="L3979" s="29">
        <f>J3979-K3979</f>
        <v/>
      </c>
      <c r="M3979" t="inlineStr">
        <is>
          <t>2.350</t>
        </is>
      </c>
      <c r="N3979" t="inlineStr">
        <is>
          <t>Modalidade: 0 - Por conta do remetente | Parte: LEPETTI FESTA e FESTA LTDA (54.018.435/0001-92)</t>
        </is>
      </c>
      <c r="O3979" s="29" t="n">
        <v>0</v>
      </c>
      <c r="P3979" s="29" t="n">
        <v>0</v>
      </c>
      <c r="Q3979" s="29" t="n">
        <v>0</v>
      </c>
      <c r="R3979" s="29" t="n">
        <v>0</v>
      </c>
      <c r="S3979" s="29" t="n">
        <v>0</v>
      </c>
      <c r="T3979" t="inlineStr">
        <is>
          <t>25260726975620000130570010000076911000140817</t>
        </is>
      </c>
      <c r="U3979" t="inlineStr">
        <is>
          <t>Não</t>
        </is>
      </c>
    </row>
    <row r="3980">
      <c r="A3980" t="inlineStr">
        <is>
          <t>Frete de venda</t>
        </is>
      </c>
      <c r="B3980" t="inlineStr">
        <is>
          <t>2.01.02 Frete sobre Vendas</t>
        </is>
      </c>
      <c r="C3980" s="30" t="n">
        <v>46204</v>
      </c>
      <c r="D3980" t="inlineStr">
        <is>
          <t>Em 2026</t>
        </is>
      </c>
      <c r="E3980" s="28" t="n">
        <v>46223</v>
      </c>
      <c r="F3980" t="inlineStr">
        <is>
          <t>CT-e</t>
        </is>
      </c>
      <c r="G3980" t="inlineStr">
        <is>
          <t>000007692</t>
        </is>
      </c>
      <c r="H3980" t="inlineStr">
        <is>
          <t>R&amp;R TRANSPORTE E LOGISTICA</t>
        </is>
      </c>
      <c r="J3980" s="29" t="n">
        <v>32.08</v>
      </c>
      <c r="K3980" s="29">
        <f>(1-ISNUMBER(SEARCH("556",M3980)))*(O3980*SUMIFS(Premissas!$C$5:$C$44,Premissas!$A$5:$A$44,$A3980,Premissas!$B$5:$B$44,$B3980)+P3980*SUMIFS(Premissas!$D$5:$D$44,Premissas!$A$5:$A$44,$A3980,Premissas!$B$5:$B$44,$B3980))+R3980*SUMIFS(Premissas!$E$5:$E$44,Premissas!$A$5:$A$44,$A3980,Premissas!$B$5:$B$44,$B3980)+S3980*SUMIFS(Premissas!$F$5:$F$44,Premissas!$A$5:$A$44,$A3980,Premissas!$B$5:$B$44,$B3980)</f>
        <v/>
      </c>
      <c r="L3980" s="29">
        <f>J3980-K3980</f>
        <v/>
      </c>
      <c r="M3980" t="inlineStr">
        <is>
          <t>2.350</t>
        </is>
      </c>
      <c r="N3980" t="inlineStr">
        <is>
          <t>Modalidade: 0 - Por conta do remetente | Parte: NOVA CAPITAL DISTRIBUIDORA DE EMBALAGENS LTDA (19.132.557/0001-04)</t>
        </is>
      </c>
      <c r="O3980" s="29" t="n">
        <v>0</v>
      </c>
      <c r="P3980" s="29" t="n">
        <v>0</v>
      </c>
      <c r="Q3980" s="29" t="n">
        <v>0</v>
      </c>
      <c r="R3980" s="29" t="n">
        <v>0</v>
      </c>
      <c r="S3980" s="29" t="n">
        <v>0</v>
      </c>
      <c r="T3980" t="inlineStr">
        <is>
          <t>25260726975620000130570010000076921000110893</t>
        </is>
      </c>
      <c r="U3980" t="inlineStr">
        <is>
          <t>Não</t>
        </is>
      </c>
    </row>
    <row r="3981">
      <c r="A3981" t="inlineStr">
        <is>
          <t>Frete de venda</t>
        </is>
      </c>
      <c r="B3981" t="inlineStr">
        <is>
          <t>2.01.02 Frete sobre Vendas</t>
        </is>
      </c>
      <c r="C3981" s="30" t="n">
        <v>46204</v>
      </c>
      <c r="D3981" t="inlineStr">
        <is>
          <t>Em 2026</t>
        </is>
      </c>
      <c r="E3981" s="28" t="n">
        <v>46223</v>
      </c>
      <c r="F3981" t="inlineStr">
        <is>
          <t>CT-e</t>
        </is>
      </c>
      <c r="G3981" t="inlineStr">
        <is>
          <t>000007693</t>
        </is>
      </c>
      <c r="H3981" t="inlineStr">
        <is>
          <t>R&amp;R TRANSPORTE E LOGISTICA</t>
        </is>
      </c>
      <c r="J3981" s="29" t="n">
        <v>54.17</v>
      </c>
      <c r="K3981" s="29">
        <f>(1-ISNUMBER(SEARCH("556",M3981)))*(O3981*SUMIFS(Premissas!$C$5:$C$44,Premissas!$A$5:$A$44,$A3981,Premissas!$B$5:$B$44,$B3981)+P3981*SUMIFS(Premissas!$D$5:$D$44,Premissas!$A$5:$A$44,$A3981,Premissas!$B$5:$B$44,$B3981))+R3981*SUMIFS(Premissas!$E$5:$E$44,Premissas!$A$5:$A$44,$A3981,Premissas!$B$5:$B$44,$B3981)+S3981*SUMIFS(Premissas!$F$5:$F$44,Premissas!$A$5:$A$44,$A3981,Premissas!$B$5:$B$44,$B3981)</f>
        <v/>
      </c>
      <c r="L3981" s="29">
        <f>J3981-K3981</f>
        <v/>
      </c>
      <c r="M3981" t="inlineStr">
        <is>
          <t>2.350</t>
        </is>
      </c>
      <c r="N3981" t="inlineStr">
        <is>
          <t>Modalidade: 0 - Por conta do remetente | Parte: B RIBAS COMERCIO LTDA (01.403.594/0001-44)</t>
        </is>
      </c>
      <c r="O3981" s="29" t="n">
        <v>0</v>
      </c>
      <c r="P3981" s="29" t="n">
        <v>0</v>
      </c>
      <c r="Q3981" s="29" t="n">
        <v>0</v>
      </c>
      <c r="R3981" s="29" t="n">
        <v>0</v>
      </c>
      <c r="S3981" s="29" t="n">
        <v>0</v>
      </c>
      <c r="T3981" t="inlineStr">
        <is>
          <t>25260726975620000130570010000076931000190975</t>
        </is>
      </c>
      <c r="U3981" t="inlineStr">
        <is>
          <t>Não</t>
        </is>
      </c>
    </row>
    <row r="3982">
      <c r="A3982" t="inlineStr">
        <is>
          <t>Frete de venda</t>
        </is>
      </c>
      <c r="B3982" t="inlineStr">
        <is>
          <t>2.01.02 Frete sobre Vendas</t>
        </is>
      </c>
      <c r="C3982" s="30" t="n">
        <v>46204</v>
      </c>
      <c r="D3982" t="inlineStr">
        <is>
          <t>Em 2026</t>
        </is>
      </c>
      <c r="E3982" s="28" t="n">
        <v>46223</v>
      </c>
      <c r="F3982" t="inlineStr">
        <is>
          <t>CT-e</t>
        </is>
      </c>
      <c r="G3982" t="inlineStr">
        <is>
          <t>000007694</t>
        </is>
      </c>
      <c r="H3982" t="inlineStr">
        <is>
          <t>R&amp;R TRANSPORTE E LOGISTICA</t>
        </is>
      </c>
      <c r="J3982" s="29" t="n">
        <v>80.69</v>
      </c>
      <c r="K3982" s="29">
        <f>(1-ISNUMBER(SEARCH("556",M3982)))*(O3982*SUMIFS(Premissas!$C$5:$C$44,Premissas!$A$5:$A$44,$A3982,Premissas!$B$5:$B$44,$B3982)+P3982*SUMIFS(Premissas!$D$5:$D$44,Premissas!$A$5:$A$44,$A3982,Premissas!$B$5:$B$44,$B3982))+R3982*SUMIFS(Premissas!$E$5:$E$44,Premissas!$A$5:$A$44,$A3982,Premissas!$B$5:$B$44,$B3982)+S3982*SUMIFS(Premissas!$F$5:$F$44,Premissas!$A$5:$A$44,$A3982,Premissas!$B$5:$B$44,$B3982)</f>
        <v/>
      </c>
      <c r="L3982" s="29">
        <f>J3982-K3982</f>
        <v/>
      </c>
      <c r="M3982" t="inlineStr">
        <is>
          <t>2.350</t>
        </is>
      </c>
      <c r="N3982" t="inlineStr">
        <is>
          <t>Modalidade: 0 - Por conta do remetente | Parte: FREITAS COMERCIO DE EMBALAGENS LTDA (17.024.400/0001-30)</t>
        </is>
      </c>
      <c r="O3982" s="29" t="n">
        <v>0</v>
      </c>
      <c r="P3982" s="29" t="n">
        <v>0</v>
      </c>
      <c r="Q3982" s="29" t="n">
        <v>0</v>
      </c>
      <c r="R3982" s="29" t="n">
        <v>0</v>
      </c>
      <c r="S3982" s="29" t="n">
        <v>0</v>
      </c>
      <c r="T3982" t="inlineStr">
        <is>
          <t>25260726975620000130570010000076941001601054</t>
        </is>
      </c>
      <c r="U3982" t="inlineStr">
        <is>
          <t>Não</t>
        </is>
      </c>
    </row>
    <row r="3983">
      <c r="A3983" t="inlineStr">
        <is>
          <t>Frete de venda</t>
        </is>
      </c>
      <c r="B3983" t="inlineStr">
        <is>
          <t>2.01.02 Frete sobre Vendas</t>
        </is>
      </c>
      <c r="C3983" s="30" t="n">
        <v>46204</v>
      </c>
      <c r="D3983" t="inlineStr">
        <is>
          <t>Em 2026</t>
        </is>
      </c>
      <c r="E3983" s="28" t="n">
        <v>46223</v>
      </c>
      <c r="F3983" t="inlineStr">
        <is>
          <t>CT-e</t>
        </is>
      </c>
      <c r="G3983" t="inlineStr">
        <is>
          <t>000007695</t>
        </is>
      </c>
      <c r="H3983" t="inlineStr">
        <is>
          <t>R&amp;R TRANSPORTE E LOGISTICA</t>
        </is>
      </c>
      <c r="J3983" s="29" t="n">
        <v>39.07</v>
      </c>
      <c r="K3983" s="29">
        <f>(1-ISNUMBER(SEARCH("556",M3983)))*(O3983*SUMIFS(Premissas!$C$5:$C$44,Premissas!$A$5:$A$44,$A3983,Premissas!$B$5:$B$44,$B3983)+P3983*SUMIFS(Premissas!$D$5:$D$44,Premissas!$A$5:$A$44,$A3983,Premissas!$B$5:$B$44,$B3983))+R3983*SUMIFS(Premissas!$E$5:$E$44,Premissas!$A$5:$A$44,$A3983,Premissas!$B$5:$B$44,$B3983)+S3983*SUMIFS(Premissas!$F$5:$F$44,Premissas!$A$5:$A$44,$A3983,Premissas!$B$5:$B$44,$B3983)</f>
        <v/>
      </c>
      <c r="L3983" s="29">
        <f>J3983-K3983</f>
        <v/>
      </c>
      <c r="M3983" t="inlineStr">
        <is>
          <t>2.350</t>
        </is>
      </c>
      <c r="N3983" t="inlineStr">
        <is>
          <t>Modalidade: 0 - Por conta do remetente | Parte: ATACADAO DOS FRIOS LTDA (15.659.135/0001-30)</t>
        </is>
      </c>
      <c r="O3983" s="29" t="n">
        <v>0</v>
      </c>
      <c r="P3983" s="29" t="n">
        <v>0</v>
      </c>
      <c r="Q3983" s="29" t="n">
        <v>0</v>
      </c>
      <c r="R3983" s="29" t="n">
        <v>0</v>
      </c>
      <c r="S3983" s="29" t="n">
        <v>0</v>
      </c>
      <c r="T3983" t="inlineStr">
        <is>
          <t>25260726975620000130570010000076951001301139</t>
        </is>
      </c>
      <c r="U3983" t="inlineStr">
        <is>
          <t>Não</t>
        </is>
      </c>
    </row>
    <row r="3984">
      <c r="A3984" t="inlineStr">
        <is>
          <t>Frete de venda</t>
        </is>
      </c>
      <c r="B3984" t="inlineStr">
        <is>
          <t>2.01.02 Frete sobre Vendas</t>
        </is>
      </c>
      <c r="C3984" s="30" t="n">
        <v>46204</v>
      </c>
      <c r="D3984" t="inlineStr">
        <is>
          <t>Em 2026</t>
        </is>
      </c>
      <c r="E3984" s="28" t="n">
        <v>46223</v>
      </c>
      <c r="F3984" t="inlineStr">
        <is>
          <t>CT-e</t>
        </is>
      </c>
      <c r="G3984" t="inlineStr">
        <is>
          <t>000007696</t>
        </is>
      </c>
      <c r="H3984" t="inlineStr">
        <is>
          <t>R&amp;R TRANSPORTE E LOGISTICA</t>
        </is>
      </c>
      <c r="J3984" s="29" t="n">
        <v>86.58</v>
      </c>
      <c r="K3984" s="29">
        <f>(1-ISNUMBER(SEARCH("556",M3984)))*(O3984*SUMIFS(Premissas!$C$5:$C$44,Premissas!$A$5:$A$44,$A3984,Premissas!$B$5:$B$44,$B3984)+P3984*SUMIFS(Premissas!$D$5:$D$44,Premissas!$A$5:$A$44,$A3984,Premissas!$B$5:$B$44,$B3984))+R3984*SUMIFS(Premissas!$E$5:$E$44,Premissas!$A$5:$A$44,$A3984,Premissas!$B$5:$B$44,$B3984)+S3984*SUMIFS(Premissas!$F$5:$F$44,Premissas!$A$5:$A$44,$A3984,Premissas!$B$5:$B$44,$B3984)</f>
        <v/>
      </c>
      <c r="L3984" s="29">
        <f>J3984-K3984</f>
        <v/>
      </c>
      <c r="M3984" t="inlineStr">
        <is>
          <t>2.350</t>
        </is>
      </c>
      <c r="N3984" t="inlineStr">
        <is>
          <t>Modalidade: 0 - Por conta do remetente | Parte: COSTA E M DESCARTAVEIS LTDA (63.004.435/0001-24)</t>
        </is>
      </c>
      <c r="O3984" s="29" t="n">
        <v>0</v>
      </c>
      <c r="P3984" s="29" t="n">
        <v>0</v>
      </c>
      <c r="Q3984" s="29" t="n">
        <v>0</v>
      </c>
      <c r="R3984" s="29" t="n">
        <v>0</v>
      </c>
      <c r="S3984" s="29" t="n">
        <v>0</v>
      </c>
      <c r="T3984" t="inlineStr">
        <is>
          <t>25260726975620000130570010000076961000101214</t>
        </is>
      </c>
      <c r="U3984" t="inlineStr">
        <is>
          <t>Não</t>
        </is>
      </c>
    </row>
    <row r="3985">
      <c r="A3985" t="inlineStr">
        <is>
          <t>Frete de venda</t>
        </is>
      </c>
      <c r="B3985" t="inlineStr">
        <is>
          <t>2.01.02 Frete sobre Vendas</t>
        </is>
      </c>
      <c r="C3985" s="30" t="n">
        <v>46204</v>
      </c>
      <c r="D3985" t="inlineStr">
        <is>
          <t>Em 2026</t>
        </is>
      </c>
      <c r="E3985" s="28" t="n">
        <v>46223</v>
      </c>
      <c r="F3985" t="inlineStr">
        <is>
          <t>CT-e</t>
        </is>
      </c>
      <c r="G3985" t="inlineStr">
        <is>
          <t>000007697</t>
        </is>
      </c>
      <c r="H3985" t="inlineStr">
        <is>
          <t>R&amp;R TRANSPORTE E LOGISTICA</t>
        </is>
      </c>
      <c r="J3985" s="29" t="n">
        <v>43.62</v>
      </c>
      <c r="K3985" s="29">
        <f>(1-ISNUMBER(SEARCH("556",M3985)))*(O3985*SUMIFS(Premissas!$C$5:$C$44,Premissas!$A$5:$A$44,$A3985,Premissas!$B$5:$B$44,$B3985)+P3985*SUMIFS(Premissas!$D$5:$D$44,Premissas!$A$5:$A$44,$A3985,Premissas!$B$5:$B$44,$B3985))+R3985*SUMIFS(Premissas!$E$5:$E$44,Premissas!$A$5:$A$44,$A3985,Premissas!$B$5:$B$44,$B3985)+S3985*SUMIFS(Premissas!$F$5:$F$44,Premissas!$A$5:$A$44,$A3985,Premissas!$B$5:$B$44,$B3985)</f>
        <v/>
      </c>
      <c r="L3985" s="29">
        <f>J3985-K3985</f>
        <v/>
      </c>
      <c r="M3985" t="inlineStr">
        <is>
          <t>2.350</t>
        </is>
      </c>
      <c r="N3985" t="inlineStr">
        <is>
          <t>Modalidade: 0 - Por conta do remetente | Parte: CENTROSUL EMBALAGENS LTDA (37.758.715/0001-18)</t>
        </is>
      </c>
      <c r="O3985" s="29" t="n">
        <v>0</v>
      </c>
      <c r="P3985" s="29" t="n">
        <v>0</v>
      </c>
      <c r="Q3985" s="29" t="n">
        <v>0</v>
      </c>
      <c r="R3985" s="29" t="n">
        <v>0</v>
      </c>
      <c r="S3985" s="29" t="n">
        <v>0</v>
      </c>
      <c r="T3985" t="inlineStr">
        <is>
          <t>25260726975620000130570010000076971001801292</t>
        </is>
      </c>
      <c r="U3985" t="inlineStr">
        <is>
          <t>Não</t>
        </is>
      </c>
    </row>
    <row r="3986">
      <c r="A3986" t="inlineStr">
        <is>
          <t>Frete de venda</t>
        </is>
      </c>
      <c r="B3986" t="inlineStr">
        <is>
          <t>2.01.02 Frete sobre Vendas</t>
        </is>
      </c>
      <c r="C3986" s="30" t="n">
        <v>46204</v>
      </c>
      <c r="D3986" t="inlineStr">
        <is>
          <t>Em 2026</t>
        </is>
      </c>
      <c r="E3986" s="28" t="n">
        <v>46224</v>
      </c>
      <c r="F3986" t="inlineStr">
        <is>
          <t>CT-e</t>
        </is>
      </c>
      <c r="G3986" t="inlineStr">
        <is>
          <t>000007700</t>
        </is>
      </c>
      <c r="H3986" t="inlineStr">
        <is>
          <t>R&amp;R TRANSPORTE E LOGISTICA</t>
        </is>
      </c>
      <c r="J3986" s="29" t="n">
        <v>39.17</v>
      </c>
      <c r="K3986" s="29">
        <f>(1-ISNUMBER(SEARCH("556",M3986)))*(O3986*SUMIFS(Premissas!$C$5:$C$44,Premissas!$A$5:$A$44,$A3986,Premissas!$B$5:$B$44,$B3986)+P3986*SUMIFS(Premissas!$D$5:$D$44,Premissas!$A$5:$A$44,$A3986,Premissas!$B$5:$B$44,$B3986))+R3986*SUMIFS(Premissas!$E$5:$E$44,Premissas!$A$5:$A$44,$A3986,Premissas!$B$5:$B$44,$B3986)+S3986*SUMIFS(Premissas!$F$5:$F$44,Premissas!$A$5:$A$44,$A3986,Premissas!$B$5:$B$44,$B3986)</f>
        <v/>
      </c>
      <c r="L3986" s="29">
        <f>J3986-K3986</f>
        <v/>
      </c>
      <c r="M3986" t="inlineStr">
        <is>
          <t>2.350</t>
        </is>
      </c>
      <c r="N3986" t="inlineStr">
        <is>
          <t>Modalidade: 0 - Por conta do remetente | Parte: NEW PLASTICOS DISTRIBUIDORA LTDA (38.438.642/0001-40)</t>
        </is>
      </c>
      <c r="O3986" s="29" t="n">
        <v>0</v>
      </c>
      <c r="P3986" s="29" t="n">
        <v>0</v>
      </c>
      <c r="Q3986" s="29" t="n">
        <v>0</v>
      </c>
      <c r="R3986" s="29" t="n">
        <v>0</v>
      </c>
      <c r="S3986" s="29" t="n">
        <v>0</v>
      </c>
      <c r="T3986" t="inlineStr">
        <is>
          <t>25260726975620000130570010000077001001801516</t>
        </is>
      </c>
      <c r="U3986" t="inlineStr">
        <is>
          <t>Não</t>
        </is>
      </c>
    </row>
    <row r="3987">
      <c r="A3987" t="inlineStr">
        <is>
          <t>Frete de venda</t>
        </is>
      </c>
      <c r="B3987" t="inlineStr">
        <is>
          <t>2.01.02 Frete sobre Vendas</t>
        </is>
      </c>
      <c r="C3987" s="30" t="n">
        <v>46204</v>
      </c>
      <c r="D3987" t="inlineStr">
        <is>
          <t>Em 2026</t>
        </is>
      </c>
      <c r="E3987" s="28" t="n">
        <v>46224</v>
      </c>
      <c r="F3987" t="inlineStr">
        <is>
          <t>CT-e</t>
        </is>
      </c>
      <c r="G3987" t="inlineStr">
        <is>
          <t>000007701</t>
        </is>
      </c>
      <c r="H3987" t="inlineStr">
        <is>
          <t>R&amp;R TRANSPORTE E LOGISTICA</t>
        </is>
      </c>
      <c r="J3987" s="29" t="n">
        <v>23.8</v>
      </c>
      <c r="K3987" s="29">
        <f>(1-ISNUMBER(SEARCH("556",M3987)))*(O3987*SUMIFS(Premissas!$C$5:$C$44,Premissas!$A$5:$A$44,$A3987,Premissas!$B$5:$B$44,$B3987)+P3987*SUMIFS(Premissas!$D$5:$D$44,Premissas!$A$5:$A$44,$A3987,Premissas!$B$5:$B$44,$B3987))+R3987*SUMIFS(Premissas!$E$5:$E$44,Premissas!$A$5:$A$44,$A3987,Premissas!$B$5:$B$44,$B3987)+S3987*SUMIFS(Premissas!$F$5:$F$44,Premissas!$A$5:$A$44,$A3987,Premissas!$B$5:$B$44,$B3987)</f>
        <v/>
      </c>
      <c r="L3987" s="29">
        <f>J3987-K3987</f>
        <v/>
      </c>
      <c r="M3987" t="inlineStr">
        <is>
          <t>2.350</t>
        </is>
      </c>
      <c r="N3987" t="inlineStr">
        <is>
          <t>Modalidade: 0 - Por conta do remetente | Parte: CASA DAS EMBALAGENS LTDA (64.892.754/0001-86)</t>
        </is>
      </c>
      <c r="O3987" s="29" t="n">
        <v>0</v>
      </c>
      <c r="P3987" s="29" t="n">
        <v>0</v>
      </c>
      <c r="Q3987" s="29" t="n">
        <v>0</v>
      </c>
      <c r="R3987" s="29" t="n">
        <v>0</v>
      </c>
      <c r="S3987" s="29" t="n">
        <v>0</v>
      </c>
      <c r="T3987" t="inlineStr">
        <is>
          <t>25260726975620000130570010000077011001501595</t>
        </is>
      </c>
      <c r="U3987" t="inlineStr">
        <is>
          <t>Não</t>
        </is>
      </c>
    </row>
    <row r="3988">
      <c r="A3988" t="inlineStr">
        <is>
          <t>Frete de venda</t>
        </is>
      </c>
      <c r="B3988" t="inlineStr">
        <is>
          <t>2.01.02 Frete sobre Vendas</t>
        </is>
      </c>
      <c r="C3988" s="30" t="n">
        <v>46204</v>
      </c>
      <c r="D3988" t="inlineStr">
        <is>
          <t>Em 2026</t>
        </is>
      </c>
      <c r="E3988" s="28" t="n">
        <v>46224</v>
      </c>
      <c r="F3988" t="inlineStr">
        <is>
          <t>CT-e</t>
        </is>
      </c>
      <c r="G3988" t="inlineStr">
        <is>
          <t>000007702</t>
        </is>
      </c>
      <c r="H3988" t="inlineStr">
        <is>
          <t>R&amp;R TRANSPORTE E LOGISTICA</t>
        </is>
      </c>
      <c r="J3988" s="29" t="n">
        <v>31.4</v>
      </c>
      <c r="K3988" s="29">
        <f>(1-ISNUMBER(SEARCH("556",M3988)))*(O3988*SUMIFS(Premissas!$C$5:$C$44,Premissas!$A$5:$A$44,$A3988,Premissas!$B$5:$B$44,$B3988)+P3988*SUMIFS(Premissas!$D$5:$D$44,Premissas!$A$5:$A$44,$A3988,Premissas!$B$5:$B$44,$B3988))+R3988*SUMIFS(Premissas!$E$5:$E$44,Premissas!$A$5:$A$44,$A3988,Premissas!$B$5:$B$44,$B3988)+S3988*SUMIFS(Premissas!$F$5:$F$44,Premissas!$A$5:$A$44,$A3988,Premissas!$B$5:$B$44,$B3988)</f>
        <v/>
      </c>
      <c r="L3988" s="29">
        <f>J3988-K3988</f>
        <v/>
      </c>
      <c r="M3988" t="inlineStr">
        <is>
          <t>2.350</t>
        </is>
      </c>
      <c r="N3988" t="inlineStr">
        <is>
          <t>Modalidade: 0 - Por conta do remetente | Parte: DMT COMERCIO DE EMBALAGENS LTDA (33.086.330/0001-09)</t>
        </is>
      </c>
      <c r="O3988" s="29" t="n">
        <v>0</v>
      </c>
      <c r="P3988" s="29" t="n">
        <v>0</v>
      </c>
      <c r="Q3988" s="29" t="n">
        <v>0</v>
      </c>
      <c r="R3988" s="29" t="n">
        <v>0</v>
      </c>
      <c r="S3988" s="29" t="n">
        <v>0</v>
      </c>
      <c r="T3988" t="inlineStr">
        <is>
          <t>25260726975620000130570010000077021001201670</t>
        </is>
      </c>
      <c r="U3988" t="inlineStr">
        <is>
          <t>Não</t>
        </is>
      </c>
    </row>
    <row r="3989">
      <c r="A3989" t="inlineStr">
        <is>
          <t>Frete de venda</t>
        </is>
      </c>
      <c r="B3989" t="inlineStr">
        <is>
          <t>2.01.02 Frete sobre Vendas</t>
        </is>
      </c>
      <c r="C3989" s="30" t="n">
        <v>46204</v>
      </c>
      <c r="D3989" t="inlineStr">
        <is>
          <t>Em 2026</t>
        </is>
      </c>
      <c r="E3989" s="28" t="n">
        <v>46224</v>
      </c>
      <c r="F3989" t="inlineStr">
        <is>
          <t>CT-e</t>
        </is>
      </c>
      <c r="G3989" t="inlineStr">
        <is>
          <t>000007703</t>
        </is>
      </c>
      <c r="H3989" t="inlineStr">
        <is>
          <t>R&amp;R TRANSPORTE E LOGISTICA</t>
        </is>
      </c>
      <c r="J3989" s="29" t="n">
        <v>23.2</v>
      </c>
      <c r="K3989" s="29">
        <f>(1-ISNUMBER(SEARCH("556",M3989)))*(O3989*SUMIFS(Premissas!$C$5:$C$44,Premissas!$A$5:$A$44,$A3989,Premissas!$B$5:$B$44,$B3989)+P3989*SUMIFS(Premissas!$D$5:$D$44,Premissas!$A$5:$A$44,$A3989,Premissas!$B$5:$B$44,$B3989))+R3989*SUMIFS(Premissas!$E$5:$E$44,Premissas!$A$5:$A$44,$A3989,Premissas!$B$5:$B$44,$B3989)+S3989*SUMIFS(Premissas!$F$5:$F$44,Premissas!$A$5:$A$44,$A3989,Premissas!$B$5:$B$44,$B3989)</f>
        <v/>
      </c>
      <c r="L3989" s="29">
        <f>J3989-K3989</f>
        <v/>
      </c>
      <c r="M3989" t="inlineStr">
        <is>
          <t>2.350</t>
        </is>
      </c>
      <c r="N3989" t="inlineStr">
        <is>
          <t>Modalidade: 0 - Por conta do remetente | Parte: S S BRAGA DAS ULTILIDADES LTDA (56.044.484/0001-25)</t>
        </is>
      </c>
      <c r="O3989" s="29" t="n">
        <v>0</v>
      </c>
      <c r="P3989" s="29" t="n">
        <v>0</v>
      </c>
      <c r="Q3989" s="29" t="n">
        <v>0</v>
      </c>
      <c r="R3989" s="29" t="n">
        <v>0</v>
      </c>
      <c r="S3989" s="29" t="n">
        <v>0</v>
      </c>
      <c r="T3989" t="inlineStr">
        <is>
          <t>25260726975620000130570010000077031001301027</t>
        </is>
      </c>
      <c r="U3989" t="inlineStr">
        <is>
          <t>Não</t>
        </is>
      </c>
    </row>
    <row r="3990">
      <c r="A3990" t="inlineStr">
        <is>
          <t>Frete de venda</t>
        </is>
      </c>
      <c r="B3990" t="inlineStr">
        <is>
          <t>2.01.02 Frete sobre Vendas</t>
        </is>
      </c>
      <c r="C3990" s="30" t="n">
        <v>46204</v>
      </c>
      <c r="D3990" t="inlineStr">
        <is>
          <t>Em 2026</t>
        </is>
      </c>
      <c r="E3990" s="28" t="n">
        <v>46224</v>
      </c>
      <c r="F3990" t="inlineStr">
        <is>
          <t>CT-e</t>
        </is>
      </c>
      <c r="G3990" t="inlineStr">
        <is>
          <t>000007704</t>
        </is>
      </c>
      <c r="H3990" t="inlineStr">
        <is>
          <t>R&amp;R TRANSPORTE E LOGISTICA</t>
        </is>
      </c>
      <c r="J3990" s="29" t="n">
        <v>23.29</v>
      </c>
      <c r="K3990" s="29">
        <f>(1-ISNUMBER(SEARCH("556",M3990)))*(O3990*SUMIFS(Premissas!$C$5:$C$44,Premissas!$A$5:$A$44,$A3990,Premissas!$B$5:$B$44,$B3990)+P3990*SUMIFS(Premissas!$D$5:$D$44,Premissas!$A$5:$A$44,$A3990,Premissas!$B$5:$B$44,$B3990))+R3990*SUMIFS(Premissas!$E$5:$E$44,Premissas!$A$5:$A$44,$A3990,Premissas!$B$5:$B$44,$B3990)+S3990*SUMIFS(Premissas!$F$5:$F$44,Premissas!$A$5:$A$44,$A3990,Premissas!$B$5:$B$44,$B3990)</f>
        <v/>
      </c>
      <c r="L3990" s="29">
        <f>J3990-K3990</f>
        <v/>
      </c>
      <c r="M3990" t="inlineStr">
        <is>
          <t>2.350</t>
        </is>
      </c>
      <c r="N3990" t="inlineStr">
        <is>
          <t>Modalidade: 0 - Por conta do remetente | Parte: L EMBALAGENS COMERCIO e DISTRIBUICAO LTDA (58.390.072/0001-72)</t>
        </is>
      </c>
      <c r="O3990" s="29" t="n">
        <v>0</v>
      </c>
      <c r="P3990" s="29" t="n">
        <v>0</v>
      </c>
      <c r="Q3990" s="29" t="n">
        <v>0</v>
      </c>
      <c r="R3990" s="29" t="n">
        <v>0</v>
      </c>
      <c r="S3990" s="29" t="n">
        <v>0</v>
      </c>
      <c r="T3990" t="inlineStr">
        <is>
          <t>25260726975620000130570010000077041000101102</t>
        </is>
      </c>
      <c r="U3990" t="inlineStr">
        <is>
          <t>Não</t>
        </is>
      </c>
    </row>
    <row r="3991">
      <c r="A3991" t="inlineStr">
        <is>
          <t>Frete de venda</t>
        </is>
      </c>
      <c r="B3991" t="inlineStr">
        <is>
          <t>2.01.02 Frete sobre Vendas</t>
        </is>
      </c>
      <c r="C3991" s="30" t="n">
        <v>46204</v>
      </c>
      <c r="D3991" t="inlineStr">
        <is>
          <t>Em 2026</t>
        </is>
      </c>
      <c r="E3991" s="28" t="n">
        <v>46224</v>
      </c>
      <c r="F3991" t="inlineStr">
        <is>
          <t>CT-e</t>
        </is>
      </c>
      <c r="G3991" t="inlineStr">
        <is>
          <t>000007705</t>
        </is>
      </c>
      <c r="H3991" t="inlineStr">
        <is>
          <t>R&amp;R TRANSPORTE E LOGISTICA</t>
        </is>
      </c>
      <c r="J3991" s="29" t="n">
        <v>58.09</v>
      </c>
      <c r="K3991" s="29">
        <f>(1-ISNUMBER(SEARCH("556",M3991)))*(O3991*SUMIFS(Premissas!$C$5:$C$44,Premissas!$A$5:$A$44,$A3991,Premissas!$B$5:$B$44,$B3991)+P3991*SUMIFS(Premissas!$D$5:$D$44,Premissas!$A$5:$A$44,$A3991,Premissas!$B$5:$B$44,$B3991))+R3991*SUMIFS(Premissas!$E$5:$E$44,Premissas!$A$5:$A$44,$A3991,Premissas!$B$5:$B$44,$B3991)+S3991*SUMIFS(Premissas!$F$5:$F$44,Premissas!$A$5:$A$44,$A3991,Premissas!$B$5:$B$44,$B3991)</f>
        <v/>
      </c>
      <c r="L3991" s="29">
        <f>J3991-K3991</f>
        <v/>
      </c>
      <c r="M3991" t="inlineStr">
        <is>
          <t>2.350</t>
        </is>
      </c>
      <c r="N3991" t="inlineStr">
        <is>
          <t>Modalidade: 0 - Por conta do remetente | Parte: B A FONTES LTDA (23.108.379/0001-53)</t>
        </is>
      </c>
      <c r="O3991" s="29" t="n">
        <v>0</v>
      </c>
      <c r="P3991" s="29" t="n">
        <v>0</v>
      </c>
      <c r="Q3991" s="29" t="n">
        <v>0</v>
      </c>
      <c r="R3991" s="29" t="n">
        <v>0</v>
      </c>
      <c r="S3991" s="29" t="n">
        <v>0</v>
      </c>
      <c r="T3991" t="inlineStr">
        <is>
          <t>25260726975620000130570010000077051001801180</t>
        </is>
      </c>
      <c r="U3991" t="inlineStr">
        <is>
          <t>Não</t>
        </is>
      </c>
    </row>
    <row r="3992">
      <c r="A3992" t="inlineStr">
        <is>
          <t>Frete de venda</t>
        </is>
      </c>
      <c r="B3992" t="inlineStr">
        <is>
          <t>2.01.02 Frete sobre Vendas</t>
        </is>
      </c>
      <c r="C3992" s="30" t="n">
        <v>46204</v>
      </c>
      <c r="D3992" t="inlineStr">
        <is>
          <t>Em 2026</t>
        </is>
      </c>
      <c r="E3992" s="28" t="n">
        <v>46224</v>
      </c>
      <c r="F3992" t="inlineStr">
        <is>
          <t>CT-e</t>
        </is>
      </c>
      <c r="G3992" t="inlineStr">
        <is>
          <t>000007706</t>
        </is>
      </c>
      <c r="H3992" t="inlineStr">
        <is>
          <t>R&amp;R TRANSPORTE E LOGISTICA</t>
        </is>
      </c>
      <c r="J3992" s="29" t="n">
        <v>44.75</v>
      </c>
      <c r="K3992" s="29">
        <f>(1-ISNUMBER(SEARCH("556",M3992)))*(O3992*SUMIFS(Premissas!$C$5:$C$44,Premissas!$A$5:$A$44,$A3992,Premissas!$B$5:$B$44,$B3992)+P3992*SUMIFS(Premissas!$D$5:$D$44,Premissas!$A$5:$A$44,$A3992,Premissas!$B$5:$B$44,$B3992))+R3992*SUMIFS(Premissas!$E$5:$E$44,Premissas!$A$5:$A$44,$A3992,Premissas!$B$5:$B$44,$B3992)+S3992*SUMIFS(Premissas!$F$5:$F$44,Premissas!$A$5:$A$44,$A3992,Premissas!$B$5:$B$44,$B3992)</f>
        <v/>
      </c>
      <c r="L3992" s="29">
        <f>J3992-K3992</f>
        <v/>
      </c>
      <c r="M3992" t="inlineStr">
        <is>
          <t>2.350</t>
        </is>
      </c>
      <c r="N3992" t="inlineStr">
        <is>
          <t>Modalidade: 0 - Por conta do remetente | Parte: SUPRIMENTOS EMBALAGENS LTDA (09.060.520/0001-64)</t>
        </is>
      </c>
      <c r="O3992" s="29" t="n">
        <v>0</v>
      </c>
      <c r="P3992" s="29" t="n">
        <v>0</v>
      </c>
      <c r="Q3992" s="29" t="n">
        <v>0</v>
      </c>
      <c r="R3992" s="29" t="n">
        <v>0</v>
      </c>
      <c r="S3992" s="29" t="n">
        <v>0</v>
      </c>
      <c r="T3992" t="inlineStr">
        <is>
          <t>25260726975620000130570010000077061001501265</t>
        </is>
      </c>
      <c r="U3992" t="inlineStr">
        <is>
          <t>Não</t>
        </is>
      </c>
    </row>
    <row r="3993">
      <c r="A3993" t="inlineStr">
        <is>
          <t>Frete de venda</t>
        </is>
      </c>
      <c r="B3993" t="inlineStr">
        <is>
          <t>2.01.02 Frete sobre Vendas</t>
        </is>
      </c>
      <c r="C3993" s="30" t="n">
        <v>46204</v>
      </c>
      <c r="D3993" t="inlineStr">
        <is>
          <t>Em 2026</t>
        </is>
      </c>
      <c r="E3993" s="28" t="n">
        <v>46224</v>
      </c>
      <c r="F3993" t="inlineStr">
        <is>
          <t>CT-e</t>
        </is>
      </c>
      <c r="G3993" t="inlineStr">
        <is>
          <t>000007707</t>
        </is>
      </c>
      <c r="H3993" t="inlineStr">
        <is>
          <t>R&amp;R TRANSPORTE E LOGISTICA</t>
        </is>
      </c>
      <c r="J3993" s="29" t="n">
        <v>53.22</v>
      </c>
      <c r="K3993" s="29">
        <f>(1-ISNUMBER(SEARCH("556",M3993)))*(O3993*SUMIFS(Premissas!$C$5:$C$44,Premissas!$A$5:$A$44,$A3993,Premissas!$B$5:$B$44,$B3993)+P3993*SUMIFS(Premissas!$D$5:$D$44,Premissas!$A$5:$A$44,$A3993,Premissas!$B$5:$B$44,$B3993))+R3993*SUMIFS(Premissas!$E$5:$E$44,Premissas!$A$5:$A$44,$A3993,Premissas!$B$5:$B$44,$B3993)+S3993*SUMIFS(Premissas!$F$5:$F$44,Premissas!$A$5:$A$44,$A3993,Premissas!$B$5:$B$44,$B3993)</f>
        <v/>
      </c>
      <c r="L3993" s="29">
        <f>J3993-K3993</f>
        <v/>
      </c>
      <c r="M3993" t="inlineStr">
        <is>
          <t>2.350</t>
        </is>
      </c>
      <c r="N3993" t="inlineStr">
        <is>
          <t>Modalidade: 0 - Por conta do remetente | Parte: A C M DA SILVA COMERCIO (15.485.160/0001-45)</t>
        </is>
      </c>
      <c r="O3993" s="29" t="n">
        <v>0</v>
      </c>
      <c r="P3993" s="29" t="n">
        <v>0</v>
      </c>
      <c r="Q3993" s="29" t="n">
        <v>0</v>
      </c>
      <c r="R3993" s="29" t="n">
        <v>0</v>
      </c>
      <c r="S3993" s="29" t="n">
        <v>0</v>
      </c>
      <c r="T3993" t="inlineStr">
        <is>
          <t>25260726975620000130570010000077071001201340</t>
        </is>
      </c>
      <c r="U3993" t="inlineStr">
        <is>
          <t>Não</t>
        </is>
      </c>
    </row>
    <row r="3994">
      <c r="A3994" t="inlineStr">
        <is>
          <t>Frete de venda</t>
        </is>
      </c>
      <c r="B3994" t="inlineStr">
        <is>
          <t>2.01.02 Frete sobre Vendas</t>
        </is>
      </c>
      <c r="C3994" s="30" t="n">
        <v>46204</v>
      </c>
      <c r="D3994" t="inlineStr">
        <is>
          <t>Em 2026</t>
        </is>
      </c>
      <c r="E3994" s="28" t="n">
        <v>46224</v>
      </c>
      <c r="F3994" t="inlineStr">
        <is>
          <t>CT-e</t>
        </is>
      </c>
      <c r="G3994" t="inlineStr">
        <is>
          <t>000007708</t>
        </is>
      </c>
      <c r="H3994" t="inlineStr">
        <is>
          <t>R&amp;R TRANSPORTE E LOGISTICA</t>
        </is>
      </c>
      <c r="J3994" s="29" t="n">
        <v>43.41</v>
      </c>
      <c r="K3994" s="29">
        <f>(1-ISNUMBER(SEARCH("556",M3994)))*(O3994*SUMIFS(Premissas!$C$5:$C$44,Premissas!$A$5:$A$44,$A3994,Premissas!$B$5:$B$44,$B3994)+P3994*SUMIFS(Premissas!$D$5:$D$44,Premissas!$A$5:$A$44,$A3994,Premissas!$B$5:$B$44,$B3994))+R3994*SUMIFS(Premissas!$E$5:$E$44,Premissas!$A$5:$A$44,$A3994,Premissas!$B$5:$B$44,$B3994)+S3994*SUMIFS(Premissas!$F$5:$F$44,Premissas!$A$5:$A$44,$A3994,Premissas!$B$5:$B$44,$B3994)</f>
        <v/>
      </c>
      <c r="L3994" s="29">
        <f>J3994-K3994</f>
        <v/>
      </c>
      <c r="M3994" t="inlineStr">
        <is>
          <t>2.350</t>
        </is>
      </c>
      <c r="N3994" t="inlineStr">
        <is>
          <t>Modalidade: 0 - Por conta do remetente | Parte: PORTUGAL COMERCIO DE PRODUTOS DESCARTAVEIS LTDA (83.349.563/0001-17)</t>
        </is>
      </c>
      <c r="O3994" s="29" t="n">
        <v>0</v>
      </c>
      <c r="P3994" s="29" t="n">
        <v>0</v>
      </c>
      <c r="Q3994" s="29" t="n">
        <v>0</v>
      </c>
      <c r="R3994" s="29" t="n">
        <v>0</v>
      </c>
      <c r="S3994" s="29" t="n">
        <v>0</v>
      </c>
      <c r="T3994" t="inlineStr">
        <is>
          <t>25260726975620000130570010000077081011001421</t>
        </is>
      </c>
      <c r="U3994" t="inlineStr">
        <is>
          <t>Não</t>
        </is>
      </c>
    </row>
    <row r="3995">
      <c r="A3995" t="inlineStr">
        <is>
          <t>Frete de venda</t>
        </is>
      </c>
      <c r="B3995" t="inlineStr">
        <is>
          <t>2.01.02 Frete sobre Vendas</t>
        </is>
      </c>
      <c r="C3995" s="30" t="n">
        <v>46204</v>
      </c>
      <c r="D3995" t="inlineStr">
        <is>
          <t>Em 2026</t>
        </is>
      </c>
      <c r="E3995" s="28" t="n">
        <v>46224</v>
      </c>
      <c r="F3995" t="inlineStr">
        <is>
          <t>CT-e</t>
        </is>
      </c>
      <c r="G3995" t="inlineStr">
        <is>
          <t>000007709</t>
        </is>
      </c>
      <c r="H3995" t="inlineStr">
        <is>
          <t>R&amp;R TRANSPORTE E LOGISTICA</t>
        </is>
      </c>
      <c r="J3995" s="29" t="n">
        <v>38.89</v>
      </c>
      <c r="K3995" s="29">
        <f>(1-ISNUMBER(SEARCH("556",M3995)))*(O3995*SUMIFS(Premissas!$C$5:$C$44,Premissas!$A$5:$A$44,$A3995,Premissas!$B$5:$B$44,$B3995)+P3995*SUMIFS(Premissas!$D$5:$D$44,Premissas!$A$5:$A$44,$A3995,Premissas!$B$5:$B$44,$B3995))+R3995*SUMIFS(Premissas!$E$5:$E$44,Premissas!$A$5:$A$44,$A3995,Premissas!$B$5:$B$44,$B3995)+S3995*SUMIFS(Premissas!$F$5:$F$44,Premissas!$A$5:$A$44,$A3995,Premissas!$B$5:$B$44,$B3995)</f>
        <v/>
      </c>
      <c r="L3995" s="29">
        <f>J3995-K3995</f>
        <v/>
      </c>
      <c r="M3995" t="inlineStr">
        <is>
          <t>2.350</t>
        </is>
      </c>
      <c r="N3995" t="inlineStr">
        <is>
          <t>Modalidade: 0 - Por conta do remetente | Parte: PORTUGAL COMERCIO DE PRODUTOS DESCARTAVEIS LTDA (83.349.563/0003-89)</t>
        </is>
      </c>
      <c r="O3995" s="29" t="n">
        <v>0</v>
      </c>
      <c r="P3995" s="29" t="n">
        <v>0</v>
      </c>
      <c r="Q3995" s="29" t="n">
        <v>0</v>
      </c>
      <c r="R3995" s="29" t="n">
        <v>0</v>
      </c>
      <c r="S3995" s="29" t="n">
        <v>0</v>
      </c>
      <c r="T3995" t="inlineStr">
        <is>
          <t>25260726975620000130570010000077091001701509</t>
        </is>
      </c>
      <c r="U3995" t="inlineStr">
        <is>
          <t>Não</t>
        </is>
      </c>
    </row>
    <row r="3996">
      <c r="A3996" t="inlineStr">
        <is>
          <t>Frete de venda</t>
        </is>
      </c>
      <c r="B3996" t="inlineStr">
        <is>
          <t>2.01.02 Frete sobre Vendas</t>
        </is>
      </c>
      <c r="C3996" s="30" t="n">
        <v>46204</v>
      </c>
      <c r="D3996" t="inlineStr">
        <is>
          <t>Em 2026</t>
        </is>
      </c>
      <c r="E3996" s="28" t="n">
        <v>46224</v>
      </c>
      <c r="F3996" t="inlineStr">
        <is>
          <t>CT-e</t>
        </is>
      </c>
      <c r="G3996" t="inlineStr">
        <is>
          <t>000007710</t>
        </is>
      </c>
      <c r="H3996" t="inlineStr">
        <is>
          <t>R&amp;R TRANSPORTE E LOGISTICA</t>
        </is>
      </c>
      <c r="J3996" s="29" t="n">
        <v>83.47</v>
      </c>
      <c r="K3996" s="29">
        <f>(1-ISNUMBER(SEARCH("556",M3996)))*(O3996*SUMIFS(Premissas!$C$5:$C$44,Premissas!$A$5:$A$44,$A3996,Premissas!$B$5:$B$44,$B3996)+P3996*SUMIFS(Premissas!$D$5:$D$44,Premissas!$A$5:$A$44,$A3996,Premissas!$B$5:$B$44,$B3996))+R3996*SUMIFS(Premissas!$E$5:$E$44,Premissas!$A$5:$A$44,$A3996,Premissas!$B$5:$B$44,$B3996)+S3996*SUMIFS(Premissas!$F$5:$F$44,Premissas!$A$5:$A$44,$A3996,Premissas!$B$5:$B$44,$B3996)</f>
        <v/>
      </c>
      <c r="L3996" s="29">
        <f>J3996-K3996</f>
        <v/>
      </c>
      <c r="M3996" t="inlineStr">
        <is>
          <t>2.350</t>
        </is>
      </c>
      <c r="N3996" t="inlineStr">
        <is>
          <t>Modalidade: 0 - Por conta do remetente | Parte: JAMES L. H. TOME e CIA LTDA (16.965.024/0007-00)</t>
        </is>
      </c>
      <c r="O3996" s="29" t="n">
        <v>0</v>
      </c>
      <c r="P3996" s="29" t="n">
        <v>0</v>
      </c>
      <c r="Q3996" s="29" t="n">
        <v>0</v>
      </c>
      <c r="R3996" s="29" t="n">
        <v>0</v>
      </c>
      <c r="S3996" s="29" t="n">
        <v>0</v>
      </c>
      <c r="T3996" t="inlineStr">
        <is>
          <t>25260726975620000130570010000077101001401581</t>
        </is>
      </c>
      <c r="U3996" t="inlineStr">
        <is>
          <t>Não</t>
        </is>
      </c>
    </row>
    <row r="3997">
      <c r="A3997" t="inlineStr">
        <is>
          <t>Frete de venda</t>
        </is>
      </c>
      <c r="B3997" t="inlineStr">
        <is>
          <t>2.01.02 Frete sobre Vendas</t>
        </is>
      </c>
      <c r="C3997" s="30" t="n">
        <v>46204</v>
      </c>
      <c r="D3997" t="inlineStr">
        <is>
          <t>Em 2026</t>
        </is>
      </c>
      <c r="E3997" s="28" t="n">
        <v>46224</v>
      </c>
      <c r="F3997" t="inlineStr">
        <is>
          <t>CT-e</t>
        </is>
      </c>
      <c r="G3997" t="inlineStr">
        <is>
          <t>000007711</t>
        </is>
      </c>
      <c r="H3997" t="inlineStr">
        <is>
          <t>R&amp;R TRANSPORTE E LOGISTICA</t>
        </is>
      </c>
      <c r="J3997" s="29" t="n">
        <v>49.41</v>
      </c>
      <c r="K3997" s="29">
        <f>(1-ISNUMBER(SEARCH("556",M3997)))*(O3997*SUMIFS(Premissas!$C$5:$C$44,Premissas!$A$5:$A$44,$A3997,Premissas!$B$5:$B$44,$B3997)+P3997*SUMIFS(Premissas!$D$5:$D$44,Premissas!$A$5:$A$44,$A3997,Premissas!$B$5:$B$44,$B3997))+R3997*SUMIFS(Premissas!$E$5:$E$44,Premissas!$A$5:$A$44,$A3997,Premissas!$B$5:$B$44,$B3997)+S3997*SUMIFS(Premissas!$F$5:$F$44,Premissas!$A$5:$A$44,$A3997,Premissas!$B$5:$B$44,$B3997)</f>
        <v/>
      </c>
      <c r="L3997" s="29">
        <f>J3997-K3997</f>
        <v/>
      </c>
      <c r="M3997" t="inlineStr">
        <is>
          <t>2.350</t>
        </is>
      </c>
      <c r="N3997" t="inlineStr">
        <is>
          <t>Modalidade: 0 - Por conta do remetente | Parte: JAMES L. H. TOME e CIA LTDA (16.965.024/0003-87)</t>
        </is>
      </c>
      <c r="O3997" s="29" t="n">
        <v>0</v>
      </c>
      <c r="P3997" s="29" t="n">
        <v>0</v>
      </c>
      <c r="Q3997" s="29" t="n">
        <v>0</v>
      </c>
      <c r="R3997" s="29" t="n">
        <v>0</v>
      </c>
      <c r="S3997" s="29" t="n">
        <v>0</v>
      </c>
      <c r="T3997" t="inlineStr">
        <is>
          <t>25260726975620000130570010000077111001101666</t>
        </is>
      </c>
      <c r="U3997" t="inlineStr">
        <is>
          <t>Não</t>
        </is>
      </c>
    </row>
    <row r="3998">
      <c r="A3998" t="inlineStr">
        <is>
          <t>Frete de venda</t>
        </is>
      </c>
      <c r="B3998" t="inlineStr">
        <is>
          <t>2.01.02 Frete sobre Vendas</t>
        </is>
      </c>
      <c r="C3998" s="30" t="n">
        <v>46204</v>
      </c>
      <c r="D3998" t="inlineStr">
        <is>
          <t>Em 2026</t>
        </is>
      </c>
      <c r="E3998" s="28" t="n">
        <v>46224</v>
      </c>
      <c r="F3998" t="inlineStr">
        <is>
          <t>CT-e</t>
        </is>
      </c>
      <c r="G3998" t="inlineStr">
        <is>
          <t>000007712</t>
        </is>
      </c>
      <c r="H3998" t="inlineStr">
        <is>
          <t>R&amp;R TRANSPORTE E LOGISTICA</t>
        </is>
      </c>
      <c r="J3998" s="29" t="n">
        <v>46.63</v>
      </c>
      <c r="K3998" s="29">
        <f>(1-ISNUMBER(SEARCH("556",M3998)))*(O3998*SUMIFS(Premissas!$C$5:$C$44,Premissas!$A$5:$A$44,$A3998,Premissas!$B$5:$B$44,$B3998)+P3998*SUMIFS(Premissas!$D$5:$D$44,Premissas!$A$5:$A$44,$A3998,Premissas!$B$5:$B$44,$B3998))+R3998*SUMIFS(Premissas!$E$5:$E$44,Premissas!$A$5:$A$44,$A3998,Premissas!$B$5:$B$44,$B3998)+S3998*SUMIFS(Premissas!$F$5:$F$44,Premissas!$A$5:$A$44,$A3998,Premissas!$B$5:$B$44,$B3998)</f>
        <v/>
      </c>
      <c r="L3998" s="29">
        <f>J3998-K3998</f>
        <v/>
      </c>
      <c r="M3998" t="inlineStr">
        <is>
          <t>2.350</t>
        </is>
      </c>
      <c r="N3998" t="inlineStr">
        <is>
          <t>Modalidade: 0 - Por conta do remetente | Parte: R ALBUQUERQUE COMERCIO DE ARTIGOS DE ARMARINHO LTDA (57.701.763/0001-87)</t>
        </is>
      </c>
      <c r="O3998" s="29" t="n">
        <v>0</v>
      </c>
      <c r="P3998" s="29" t="n">
        <v>0</v>
      </c>
      <c r="Q3998" s="29" t="n">
        <v>0</v>
      </c>
      <c r="R3998" s="29" t="n">
        <v>0</v>
      </c>
      <c r="S3998" s="29" t="n">
        <v>0</v>
      </c>
      <c r="T3998" t="inlineStr">
        <is>
          <t>25260726975620000130570010000077121001901740</t>
        </is>
      </c>
      <c r="U3998" t="inlineStr">
        <is>
          <t>Não</t>
        </is>
      </c>
    </row>
    <row r="3999">
      <c r="A3999" t="inlineStr">
        <is>
          <t>Frete de venda</t>
        </is>
      </c>
      <c r="B3999" t="inlineStr">
        <is>
          <t>2.01.02 Frete sobre Vendas</t>
        </is>
      </c>
      <c r="C3999" s="30" t="n">
        <v>46204</v>
      </c>
      <c r="D3999" t="inlineStr">
        <is>
          <t>Em 2026</t>
        </is>
      </c>
      <c r="E3999" s="28" t="n">
        <v>46225</v>
      </c>
      <c r="F3999" t="inlineStr">
        <is>
          <t>CT-e</t>
        </is>
      </c>
      <c r="G3999" t="inlineStr">
        <is>
          <t>000007716</t>
        </is>
      </c>
      <c r="H3999" t="inlineStr">
        <is>
          <t>R&amp;R TRANSPORTE E LOGISTICA</t>
        </is>
      </c>
      <c r="J3999" s="29" t="n">
        <v>360</v>
      </c>
      <c r="K3999" s="29">
        <f>(1-ISNUMBER(SEARCH("556",M3999)))*(O3999*SUMIFS(Premissas!$C$5:$C$44,Premissas!$A$5:$A$44,$A3999,Premissas!$B$5:$B$44,$B3999)+P3999*SUMIFS(Premissas!$D$5:$D$44,Premissas!$A$5:$A$44,$A3999,Premissas!$B$5:$B$44,$B3999))+R3999*SUMIFS(Premissas!$E$5:$E$44,Premissas!$A$5:$A$44,$A3999,Premissas!$B$5:$B$44,$B3999)+S3999*SUMIFS(Premissas!$F$5:$F$44,Premissas!$A$5:$A$44,$A3999,Premissas!$B$5:$B$44,$B3999)</f>
        <v/>
      </c>
      <c r="L3999" s="29">
        <f>J3999-K3999</f>
        <v/>
      </c>
      <c r="M3999" t="inlineStr">
        <is>
          <t>2.350</t>
        </is>
      </c>
      <c r="N3999" t="inlineStr">
        <is>
          <t>Modalidade: 0 - Por conta do remetente | Parte: ALBUQUERQUE DISTRIBUIDORA DE ALIMENTOS LTDA (29.295.287/0001-06)</t>
        </is>
      </c>
      <c r="O3999" s="29" t="n">
        <v>0</v>
      </c>
      <c r="P3999" s="29" t="n">
        <v>0</v>
      </c>
      <c r="Q3999" s="29" t="n">
        <v>0</v>
      </c>
      <c r="R3999" s="29" t="n">
        <v>0</v>
      </c>
      <c r="S3999" s="29" t="n">
        <v>0</v>
      </c>
      <c r="T3999" t="inlineStr">
        <is>
          <t>25260726975620000130570010000077161001301130</t>
        </is>
      </c>
      <c r="U3999" t="inlineStr">
        <is>
          <t>Não</t>
        </is>
      </c>
    </row>
    <row r="4000">
      <c r="A4000" t="inlineStr">
        <is>
          <t>Frete de venda</t>
        </is>
      </c>
      <c r="B4000" t="inlineStr">
        <is>
          <t>2.01.02 Frete sobre Vendas</t>
        </is>
      </c>
      <c r="C4000" s="30" t="n">
        <v>46204</v>
      </c>
      <c r="D4000" t="inlineStr">
        <is>
          <t>Em 2026</t>
        </is>
      </c>
      <c r="E4000" s="28" t="n">
        <v>46225</v>
      </c>
      <c r="F4000" t="inlineStr">
        <is>
          <t>CT-e</t>
        </is>
      </c>
      <c r="G4000" t="inlineStr">
        <is>
          <t>000007717</t>
        </is>
      </c>
      <c r="H4000" t="inlineStr">
        <is>
          <t>R&amp;R TRANSPORTE E LOGISTICA</t>
        </is>
      </c>
      <c r="J4000" s="29" t="n">
        <v>19.68</v>
      </c>
      <c r="K4000" s="29">
        <f>(1-ISNUMBER(SEARCH("556",M4000)))*(O4000*SUMIFS(Premissas!$C$5:$C$44,Premissas!$A$5:$A$44,$A4000,Premissas!$B$5:$B$44,$B4000)+P4000*SUMIFS(Premissas!$D$5:$D$44,Premissas!$A$5:$A$44,$A4000,Premissas!$B$5:$B$44,$B4000))+R4000*SUMIFS(Premissas!$E$5:$E$44,Premissas!$A$5:$A$44,$A4000,Premissas!$B$5:$B$44,$B4000)+S4000*SUMIFS(Premissas!$F$5:$F$44,Premissas!$A$5:$A$44,$A4000,Premissas!$B$5:$B$44,$B4000)</f>
        <v/>
      </c>
      <c r="L4000" s="29">
        <f>J4000-K4000</f>
        <v/>
      </c>
      <c r="M4000" t="inlineStr">
        <is>
          <t>2.350</t>
        </is>
      </c>
      <c r="N4000" t="inlineStr">
        <is>
          <t>Modalidade: 0 - Por conta do remetente | Parte: ERINALDO VIEIRA LTDA (03.176.141/0002-39)</t>
        </is>
      </c>
      <c r="O4000" s="29" t="n">
        <v>0</v>
      </c>
      <c r="P4000" s="29" t="n">
        <v>0</v>
      </c>
      <c r="Q4000" s="29" t="n">
        <v>0</v>
      </c>
      <c r="R4000" s="29" t="n">
        <v>0</v>
      </c>
      <c r="S4000" s="29" t="n">
        <v>0</v>
      </c>
      <c r="T4000" t="inlineStr">
        <is>
          <t>25260726975620000130570010000077171000101216</t>
        </is>
      </c>
      <c r="U4000" t="inlineStr">
        <is>
          <t>Não</t>
        </is>
      </c>
    </row>
    <row r="4001">
      <c r="A4001" t="inlineStr">
        <is>
          <t>Frete de venda</t>
        </is>
      </c>
      <c r="B4001" t="inlineStr">
        <is>
          <t>2.01.02 Frete sobre Vendas</t>
        </is>
      </c>
      <c r="C4001" s="30" t="n">
        <v>46204</v>
      </c>
      <c r="D4001" t="inlineStr">
        <is>
          <t>Em 2026</t>
        </is>
      </c>
      <c r="E4001" s="28" t="n">
        <v>46225</v>
      </c>
      <c r="F4001" t="inlineStr">
        <is>
          <t>CT-e</t>
        </is>
      </c>
      <c r="G4001" t="inlineStr">
        <is>
          <t>000007718</t>
        </is>
      </c>
      <c r="H4001" t="inlineStr">
        <is>
          <t>R&amp;R TRANSPORTE E LOGISTICA</t>
        </is>
      </c>
      <c r="J4001" s="29" t="n">
        <v>19.22</v>
      </c>
      <c r="K4001" s="29">
        <f>(1-ISNUMBER(SEARCH("556",M4001)))*(O4001*SUMIFS(Premissas!$C$5:$C$44,Premissas!$A$5:$A$44,$A4001,Premissas!$B$5:$B$44,$B4001)+P4001*SUMIFS(Premissas!$D$5:$D$44,Premissas!$A$5:$A$44,$A4001,Premissas!$B$5:$B$44,$B4001))+R4001*SUMIFS(Premissas!$E$5:$E$44,Premissas!$A$5:$A$44,$A4001,Premissas!$B$5:$B$44,$B4001)+S4001*SUMIFS(Premissas!$F$5:$F$44,Premissas!$A$5:$A$44,$A4001,Premissas!$B$5:$B$44,$B4001)</f>
        <v/>
      </c>
      <c r="L4001" s="29">
        <f>J4001-K4001</f>
        <v/>
      </c>
      <c r="M4001" t="inlineStr">
        <is>
          <t>2.350</t>
        </is>
      </c>
      <c r="N4001" t="inlineStr">
        <is>
          <t>Modalidade: 0 - Por conta do remetente | Parte: R.J COMERCIO DE EMBALAGENS LTDA (38.204.536/0001-00)</t>
        </is>
      </c>
      <c r="O4001" s="29" t="n">
        <v>0</v>
      </c>
      <c r="P4001" s="29" t="n">
        <v>0</v>
      </c>
      <c r="Q4001" s="29" t="n">
        <v>0</v>
      </c>
      <c r="R4001" s="29" t="n">
        <v>0</v>
      </c>
      <c r="S4001" s="29" t="n">
        <v>0</v>
      </c>
      <c r="T4001" t="inlineStr">
        <is>
          <t>25260726975620000130570010000077181001801294</t>
        </is>
      </c>
      <c r="U4001" t="inlineStr">
        <is>
          <t>Não</t>
        </is>
      </c>
    </row>
    <row r="4002">
      <c r="A4002" t="inlineStr">
        <is>
          <t>Frete de venda</t>
        </is>
      </c>
      <c r="B4002" t="inlineStr">
        <is>
          <t>2.01.02 Frete sobre Vendas</t>
        </is>
      </c>
      <c r="C4002" s="30" t="n">
        <v>46204</v>
      </c>
      <c r="D4002" t="inlineStr">
        <is>
          <t>Em 2026</t>
        </is>
      </c>
      <c r="E4002" s="28" t="n">
        <v>46225</v>
      </c>
      <c r="F4002" t="inlineStr">
        <is>
          <t>CT-e</t>
        </is>
      </c>
      <c r="G4002" t="inlineStr">
        <is>
          <t>000007719</t>
        </is>
      </c>
      <c r="H4002" t="inlineStr">
        <is>
          <t>R&amp;R TRANSPORTE E LOGISTICA</t>
        </is>
      </c>
      <c r="J4002" s="29" t="n">
        <v>20.31</v>
      </c>
      <c r="K4002" s="29">
        <f>(1-ISNUMBER(SEARCH("556",M4002)))*(O4002*SUMIFS(Premissas!$C$5:$C$44,Premissas!$A$5:$A$44,$A4002,Premissas!$B$5:$B$44,$B4002)+P4002*SUMIFS(Premissas!$D$5:$D$44,Premissas!$A$5:$A$44,$A4002,Premissas!$B$5:$B$44,$B4002))+R4002*SUMIFS(Premissas!$E$5:$E$44,Premissas!$A$5:$A$44,$A4002,Premissas!$B$5:$B$44,$B4002)+S4002*SUMIFS(Premissas!$F$5:$F$44,Premissas!$A$5:$A$44,$A4002,Premissas!$B$5:$B$44,$B4002)</f>
        <v/>
      </c>
      <c r="L4002" s="29">
        <f>J4002-K4002</f>
        <v/>
      </c>
      <c r="M4002" t="inlineStr">
        <is>
          <t>2.350</t>
        </is>
      </c>
      <c r="N4002" t="inlineStr">
        <is>
          <t>Modalidade: 0 - Por conta do remetente | Parte: FABIO DA S. XAVIER (01.682.646/0001-69)</t>
        </is>
      </c>
      <c r="O4002" s="29" t="n">
        <v>0</v>
      </c>
      <c r="P4002" s="29" t="n">
        <v>0</v>
      </c>
      <c r="Q4002" s="29" t="n">
        <v>0</v>
      </c>
      <c r="R4002" s="29" t="n">
        <v>0</v>
      </c>
      <c r="S4002" s="29" t="n">
        <v>0</v>
      </c>
      <c r="T4002" t="inlineStr">
        <is>
          <t>25260726975620000130570010000077191001501379</t>
        </is>
      </c>
      <c r="U4002" t="inlineStr">
        <is>
          <t>Não</t>
        </is>
      </c>
    </row>
    <row r="4003">
      <c r="A4003" t="inlineStr">
        <is>
          <t>Frete de venda</t>
        </is>
      </c>
      <c r="B4003" t="inlineStr">
        <is>
          <t>2.01.02 Frete sobre Vendas</t>
        </is>
      </c>
      <c r="C4003" s="30" t="n">
        <v>46204</v>
      </c>
      <c r="D4003" t="inlineStr">
        <is>
          <t>Em 2026</t>
        </is>
      </c>
      <c r="E4003" s="28" t="n">
        <v>46225</v>
      </c>
      <c r="F4003" t="inlineStr">
        <is>
          <t>CT-e</t>
        </is>
      </c>
      <c r="G4003" t="inlineStr">
        <is>
          <t>000007720</t>
        </is>
      </c>
      <c r="H4003" t="inlineStr">
        <is>
          <t>R&amp;R TRANSPORTE E LOGISTICA</t>
        </is>
      </c>
      <c r="J4003" s="29" t="n">
        <v>21.47</v>
      </c>
      <c r="K4003" s="29">
        <f>(1-ISNUMBER(SEARCH("556",M4003)))*(O4003*SUMIFS(Premissas!$C$5:$C$44,Premissas!$A$5:$A$44,$A4003,Premissas!$B$5:$B$44,$B4003)+P4003*SUMIFS(Premissas!$D$5:$D$44,Premissas!$A$5:$A$44,$A4003,Premissas!$B$5:$B$44,$B4003))+R4003*SUMIFS(Premissas!$E$5:$E$44,Premissas!$A$5:$A$44,$A4003,Premissas!$B$5:$B$44,$B4003)+S4003*SUMIFS(Premissas!$F$5:$F$44,Premissas!$A$5:$A$44,$A4003,Premissas!$B$5:$B$44,$B4003)</f>
        <v/>
      </c>
      <c r="L4003" s="29">
        <f>J4003-K4003</f>
        <v/>
      </c>
      <c r="M4003" t="inlineStr">
        <is>
          <t>2.350</t>
        </is>
      </c>
      <c r="N4003" t="inlineStr">
        <is>
          <t>Modalidade: 0 - Por conta do remetente | Parte: 43.794.117 ELUCILANDIA ALMEIDA SILVA (43.794.117/0001-05)</t>
        </is>
      </c>
      <c r="O4003" s="29" t="n">
        <v>0</v>
      </c>
      <c r="P4003" s="29" t="n">
        <v>0</v>
      </c>
      <c r="Q4003" s="29" t="n">
        <v>0</v>
      </c>
      <c r="R4003" s="29" t="n">
        <v>0</v>
      </c>
      <c r="S4003" s="29" t="n">
        <v>0</v>
      </c>
      <c r="T4003" t="inlineStr">
        <is>
          <t>25260726975620000130570010000077201001201457</t>
        </is>
      </c>
      <c r="U4003" t="inlineStr">
        <is>
          <t>Não</t>
        </is>
      </c>
    </row>
    <row r="4004">
      <c r="A4004" t="inlineStr">
        <is>
          <t>Frete de venda</t>
        </is>
      </c>
      <c r="B4004" t="inlineStr">
        <is>
          <t>2.01.02 Frete sobre Vendas</t>
        </is>
      </c>
      <c r="C4004" s="30" t="n">
        <v>46204</v>
      </c>
      <c r="D4004" t="inlineStr">
        <is>
          <t>Em 2026</t>
        </is>
      </c>
      <c r="E4004" s="28" t="n">
        <v>46225</v>
      </c>
      <c r="F4004" t="inlineStr">
        <is>
          <t>CT-e</t>
        </is>
      </c>
      <c r="G4004" t="inlineStr">
        <is>
          <t>000007721</t>
        </is>
      </c>
      <c r="H4004" t="inlineStr">
        <is>
          <t>R&amp;R TRANSPORTE E LOGISTICA</t>
        </is>
      </c>
      <c r="J4004" s="29" t="n">
        <v>23.33</v>
      </c>
      <c r="K4004" s="29">
        <f>(1-ISNUMBER(SEARCH("556",M4004)))*(O4004*SUMIFS(Premissas!$C$5:$C$44,Premissas!$A$5:$A$44,$A4004,Premissas!$B$5:$B$44,$B4004)+P4004*SUMIFS(Premissas!$D$5:$D$44,Premissas!$A$5:$A$44,$A4004,Premissas!$B$5:$B$44,$B4004))+R4004*SUMIFS(Premissas!$E$5:$E$44,Premissas!$A$5:$A$44,$A4004,Premissas!$B$5:$B$44,$B4004)+S4004*SUMIFS(Premissas!$F$5:$F$44,Premissas!$A$5:$A$44,$A4004,Premissas!$B$5:$B$44,$B4004)</f>
        <v/>
      </c>
      <c r="L4004" s="29">
        <f>J4004-K4004</f>
        <v/>
      </c>
      <c r="M4004" t="inlineStr">
        <is>
          <t>2.350</t>
        </is>
      </c>
      <c r="N4004" t="inlineStr">
        <is>
          <t>Modalidade: 0 - Por conta do remetente | Parte: MIRA DOCES LTDA (11.152.556/0001-10)</t>
        </is>
      </c>
      <c r="O4004" s="29" t="n">
        <v>0</v>
      </c>
      <c r="P4004" s="29" t="n">
        <v>0</v>
      </c>
      <c r="Q4004" s="29" t="n">
        <v>0</v>
      </c>
      <c r="R4004" s="29" t="n">
        <v>0</v>
      </c>
      <c r="S4004" s="29" t="n">
        <v>0</v>
      </c>
      <c r="T4004" t="inlineStr">
        <is>
          <t>25260726975620000130570010000077211000130804</t>
        </is>
      </c>
      <c r="U4004" t="inlineStr">
        <is>
          <t>Não</t>
        </is>
      </c>
    </row>
    <row r="4005">
      <c r="A4005" t="inlineStr">
        <is>
          <t>Frete de venda</t>
        </is>
      </c>
      <c r="B4005" t="inlineStr">
        <is>
          <t>2.01.02 Frete sobre Vendas</t>
        </is>
      </c>
      <c r="C4005" s="30" t="n">
        <v>46204</v>
      </c>
      <c r="D4005" t="inlineStr">
        <is>
          <t>Em 2026</t>
        </is>
      </c>
      <c r="E4005" s="28" t="n">
        <v>46225</v>
      </c>
      <c r="F4005" t="inlineStr">
        <is>
          <t>CT-e</t>
        </is>
      </c>
      <c r="G4005" t="inlineStr">
        <is>
          <t>000007722</t>
        </is>
      </c>
      <c r="H4005" t="inlineStr">
        <is>
          <t>R&amp;R TRANSPORTE E LOGISTICA</t>
        </is>
      </c>
      <c r="J4005" s="29" t="n">
        <v>23.09</v>
      </c>
      <c r="K4005" s="29">
        <f>(1-ISNUMBER(SEARCH("556",M4005)))*(O4005*SUMIFS(Premissas!$C$5:$C$44,Premissas!$A$5:$A$44,$A4005,Premissas!$B$5:$B$44,$B4005)+P4005*SUMIFS(Premissas!$D$5:$D$44,Premissas!$A$5:$A$44,$A4005,Premissas!$B$5:$B$44,$B4005))+R4005*SUMIFS(Premissas!$E$5:$E$44,Premissas!$A$5:$A$44,$A4005,Premissas!$B$5:$B$44,$B4005)+S4005*SUMIFS(Premissas!$F$5:$F$44,Premissas!$A$5:$A$44,$A4005,Premissas!$B$5:$B$44,$B4005)</f>
        <v/>
      </c>
      <c r="L4005" s="29">
        <f>J4005-K4005</f>
        <v/>
      </c>
      <c r="M4005" t="inlineStr">
        <is>
          <t>2.350</t>
        </is>
      </c>
      <c r="N4005" t="inlineStr">
        <is>
          <t>Modalidade: 0 - Por conta do remetente | Parte: 65.558.659 ANA PAULA DAMASCENA SANTOS (65.558.659/0001-03)</t>
        </is>
      </c>
      <c r="O4005" s="29" t="n">
        <v>0</v>
      </c>
      <c r="P4005" s="29" t="n">
        <v>0</v>
      </c>
      <c r="Q4005" s="29" t="n">
        <v>0</v>
      </c>
      <c r="R4005" s="29" t="n">
        <v>0</v>
      </c>
      <c r="S4005" s="29" t="n">
        <v>0</v>
      </c>
      <c r="T4005" t="inlineStr">
        <is>
          <t>25260726975620000130570010000077221000010881</t>
        </is>
      </c>
      <c r="U4005" t="inlineStr">
        <is>
          <t>Não</t>
        </is>
      </c>
    </row>
    <row r="4006">
      <c r="A4006" t="inlineStr">
        <is>
          <t>Frete de venda</t>
        </is>
      </c>
      <c r="B4006" t="inlineStr">
        <is>
          <t>2.01.02 Frete sobre Vendas</t>
        </is>
      </c>
      <c r="C4006" s="30" t="n">
        <v>46204</v>
      </c>
      <c r="D4006" t="inlineStr">
        <is>
          <t>Em 2026</t>
        </is>
      </c>
      <c r="E4006" s="28" t="n">
        <v>46225</v>
      </c>
      <c r="F4006" t="inlineStr">
        <is>
          <t>CT-e</t>
        </is>
      </c>
      <c r="G4006" t="inlineStr">
        <is>
          <t>000007723</t>
        </is>
      </c>
      <c r="H4006" t="inlineStr">
        <is>
          <t>R&amp;R TRANSPORTE E LOGISTICA</t>
        </is>
      </c>
      <c r="J4006" s="29" t="n">
        <v>20.97</v>
      </c>
      <c r="K4006" s="29">
        <f>(1-ISNUMBER(SEARCH("556",M4006)))*(O4006*SUMIFS(Premissas!$C$5:$C$44,Premissas!$A$5:$A$44,$A4006,Premissas!$B$5:$B$44,$B4006)+P4006*SUMIFS(Premissas!$D$5:$D$44,Premissas!$A$5:$A$44,$A4006,Premissas!$B$5:$B$44,$B4006))+R4006*SUMIFS(Premissas!$E$5:$E$44,Premissas!$A$5:$A$44,$A4006,Premissas!$B$5:$B$44,$B4006)+S4006*SUMIFS(Premissas!$F$5:$F$44,Premissas!$A$5:$A$44,$A4006,Premissas!$B$5:$B$44,$B4006)</f>
        <v/>
      </c>
      <c r="L4006" s="29">
        <f>J4006-K4006</f>
        <v/>
      </c>
      <c r="M4006" t="inlineStr">
        <is>
          <t>2.350</t>
        </is>
      </c>
      <c r="N4006" t="inlineStr">
        <is>
          <t>Modalidade: 0 - Por conta do remetente | Parte: SACOLA FORTE CEASA (49.879.615/0001-29)</t>
        </is>
      </c>
      <c r="O4006" s="29" t="n">
        <v>0</v>
      </c>
      <c r="P4006" s="29" t="n">
        <v>0</v>
      </c>
      <c r="Q4006" s="29" t="n">
        <v>0</v>
      </c>
      <c r="R4006" s="29" t="n">
        <v>0</v>
      </c>
      <c r="S4006" s="29" t="n">
        <v>0</v>
      </c>
      <c r="T4006" t="inlineStr">
        <is>
          <t>25260726975620000130570010000077231000180962</t>
        </is>
      </c>
      <c r="U4006" t="inlineStr">
        <is>
          <t>Não</t>
        </is>
      </c>
    </row>
    <row r="4007">
      <c r="A4007" t="inlineStr">
        <is>
          <t>Frete de venda</t>
        </is>
      </c>
      <c r="B4007" t="inlineStr">
        <is>
          <t>2.01.02 Frete sobre Vendas</t>
        </is>
      </c>
      <c r="C4007" s="30" t="n">
        <v>46204</v>
      </c>
      <c r="D4007" t="inlineStr">
        <is>
          <t>Em 2026</t>
        </is>
      </c>
      <c r="E4007" s="28" t="n">
        <v>46225</v>
      </c>
      <c r="F4007" t="inlineStr">
        <is>
          <t>CT-e</t>
        </is>
      </c>
      <c r="G4007" t="inlineStr">
        <is>
          <t>000007724</t>
        </is>
      </c>
      <c r="H4007" t="inlineStr">
        <is>
          <t>R&amp;R TRANSPORTE E LOGISTICA</t>
        </is>
      </c>
      <c r="J4007" s="29" t="n">
        <v>32.13</v>
      </c>
      <c r="K4007" s="29">
        <f>(1-ISNUMBER(SEARCH("556",M4007)))*(O4007*SUMIFS(Premissas!$C$5:$C$44,Premissas!$A$5:$A$44,$A4007,Premissas!$B$5:$B$44,$B4007)+P4007*SUMIFS(Premissas!$D$5:$D$44,Premissas!$A$5:$A$44,$A4007,Premissas!$B$5:$B$44,$B4007))+R4007*SUMIFS(Premissas!$E$5:$E$44,Premissas!$A$5:$A$44,$A4007,Premissas!$B$5:$B$44,$B4007)+S4007*SUMIFS(Premissas!$F$5:$F$44,Premissas!$A$5:$A$44,$A4007,Premissas!$B$5:$B$44,$B4007)</f>
        <v/>
      </c>
      <c r="L4007" s="29">
        <f>J4007-K4007</f>
        <v/>
      </c>
      <c r="M4007" t="inlineStr">
        <is>
          <t>2.350</t>
        </is>
      </c>
      <c r="N4007" t="inlineStr">
        <is>
          <t>Modalidade: 0 - Por conta do remetente | Parte: DISTRIBUIDORA JULIANA LTDA (07.276.402/0001-62)</t>
        </is>
      </c>
      <c r="O4007" s="29" t="n">
        <v>0</v>
      </c>
      <c r="P4007" s="29" t="n">
        <v>0</v>
      </c>
      <c r="Q4007" s="29" t="n">
        <v>0</v>
      </c>
      <c r="R4007" s="29" t="n">
        <v>0</v>
      </c>
      <c r="S4007" s="29" t="n">
        <v>0</v>
      </c>
      <c r="T4007" t="inlineStr">
        <is>
          <t>25260726975620000130570010000077241001501042</t>
        </is>
      </c>
      <c r="U4007" t="inlineStr">
        <is>
          <t>Não</t>
        </is>
      </c>
    </row>
    <row r="4008">
      <c r="A4008" t="inlineStr">
        <is>
          <t>Frete de venda</t>
        </is>
      </c>
      <c r="B4008" t="inlineStr">
        <is>
          <t>2.01.02 Frete sobre Vendas</t>
        </is>
      </c>
      <c r="C4008" s="30" t="n">
        <v>46204</v>
      </c>
      <c r="D4008" t="inlineStr">
        <is>
          <t>Em 2026</t>
        </is>
      </c>
      <c r="E4008" s="28" t="n">
        <v>46225</v>
      </c>
      <c r="F4008" t="inlineStr">
        <is>
          <t>CT-e</t>
        </is>
      </c>
      <c r="G4008" t="inlineStr">
        <is>
          <t>000007725</t>
        </is>
      </c>
      <c r="H4008" t="inlineStr">
        <is>
          <t>R&amp;R TRANSPORTE E LOGISTICA</t>
        </is>
      </c>
      <c r="J4008" s="29" t="n">
        <v>22.02</v>
      </c>
      <c r="K4008" s="29">
        <f>(1-ISNUMBER(SEARCH("556",M4008)))*(O4008*SUMIFS(Premissas!$C$5:$C$44,Premissas!$A$5:$A$44,$A4008,Premissas!$B$5:$B$44,$B4008)+P4008*SUMIFS(Premissas!$D$5:$D$44,Premissas!$A$5:$A$44,$A4008,Premissas!$B$5:$B$44,$B4008))+R4008*SUMIFS(Premissas!$E$5:$E$44,Premissas!$A$5:$A$44,$A4008,Premissas!$B$5:$B$44,$B4008)+S4008*SUMIFS(Premissas!$F$5:$F$44,Premissas!$A$5:$A$44,$A4008,Premissas!$B$5:$B$44,$B4008)</f>
        <v/>
      </c>
      <c r="L4008" s="29">
        <f>J4008-K4008</f>
        <v/>
      </c>
      <c r="M4008" t="inlineStr">
        <is>
          <t>2.350</t>
        </is>
      </c>
      <c r="N4008" t="inlineStr">
        <is>
          <t>Modalidade: 0 - Por conta do remetente | Parte: COMERCIO DE MIX E ACAI DO VALLE LTDA (36.951.535/0001-95)</t>
        </is>
      </c>
      <c r="O4008" s="29" t="n">
        <v>0</v>
      </c>
      <c r="P4008" s="29" t="n">
        <v>0</v>
      </c>
      <c r="Q4008" s="29" t="n">
        <v>0</v>
      </c>
      <c r="R4008" s="29" t="n">
        <v>0</v>
      </c>
      <c r="S4008" s="29" t="n">
        <v>0</v>
      </c>
      <c r="T4008" t="inlineStr">
        <is>
          <t>25260726975620000130570010000077251001201127</t>
        </is>
      </c>
      <c r="U4008" t="inlineStr">
        <is>
          <t>Não</t>
        </is>
      </c>
    </row>
    <row r="4009">
      <c r="A4009" t="inlineStr">
        <is>
          <t>Frete de venda</t>
        </is>
      </c>
      <c r="B4009" t="inlineStr">
        <is>
          <t>2.01.02 Frete sobre Vendas</t>
        </is>
      </c>
      <c r="C4009" s="30" t="n">
        <v>46204</v>
      </c>
      <c r="D4009" t="inlineStr">
        <is>
          <t>Em 2026</t>
        </is>
      </c>
      <c r="E4009" s="28" t="n">
        <v>46225</v>
      </c>
      <c r="F4009" t="inlineStr">
        <is>
          <t>CT-e</t>
        </is>
      </c>
      <c r="G4009" t="inlineStr">
        <is>
          <t>000007726</t>
        </is>
      </c>
      <c r="H4009" t="inlineStr">
        <is>
          <t>R&amp;R TRANSPORTE E LOGISTICA</t>
        </is>
      </c>
      <c r="J4009" s="29" t="n">
        <v>21.17</v>
      </c>
      <c r="K4009" s="29">
        <f>(1-ISNUMBER(SEARCH("556",M4009)))*(O4009*SUMIFS(Premissas!$C$5:$C$44,Premissas!$A$5:$A$44,$A4009,Premissas!$B$5:$B$44,$B4009)+P4009*SUMIFS(Premissas!$D$5:$D$44,Premissas!$A$5:$A$44,$A4009,Premissas!$B$5:$B$44,$B4009))+R4009*SUMIFS(Premissas!$E$5:$E$44,Premissas!$A$5:$A$44,$A4009,Premissas!$B$5:$B$44,$B4009)+S4009*SUMIFS(Premissas!$F$5:$F$44,Premissas!$A$5:$A$44,$A4009,Premissas!$B$5:$B$44,$B4009)</f>
        <v/>
      </c>
      <c r="L4009" s="29">
        <f>J4009-K4009</f>
        <v/>
      </c>
      <c r="M4009" t="inlineStr">
        <is>
          <t>2.350</t>
        </is>
      </c>
      <c r="N4009" t="inlineStr">
        <is>
          <t>Modalidade: 0 - Por conta do remetente | Parte: BA EMBALAGENS COM ATACADISTA DE EMBALAGENS E BOMBONIERI (09.048.003/0001-70)</t>
        </is>
      </c>
      <c r="O4009" s="29" t="n">
        <v>0</v>
      </c>
      <c r="P4009" s="29" t="n">
        <v>0</v>
      </c>
      <c r="Q4009" s="29" t="n">
        <v>0</v>
      </c>
      <c r="R4009" s="29" t="n">
        <v>0</v>
      </c>
      <c r="S4009" s="29" t="n">
        <v>0</v>
      </c>
      <c r="T4009" t="inlineStr">
        <is>
          <t>25260726975620000130570010000077261011001209</t>
        </is>
      </c>
      <c r="U4009" t="inlineStr">
        <is>
          <t>Não</t>
        </is>
      </c>
    </row>
    <row r="4010">
      <c r="A4010" t="inlineStr">
        <is>
          <t>Frete de venda</t>
        </is>
      </c>
      <c r="B4010" t="inlineStr">
        <is>
          <t>2.01.02 Frete sobre Vendas</t>
        </is>
      </c>
      <c r="C4010" s="30" t="n">
        <v>46204</v>
      </c>
      <c r="D4010" t="inlineStr">
        <is>
          <t>Em 2026</t>
        </is>
      </c>
      <c r="E4010" s="28" t="n">
        <v>46225</v>
      </c>
      <c r="F4010" t="inlineStr">
        <is>
          <t>CT-e</t>
        </is>
      </c>
      <c r="G4010" t="inlineStr">
        <is>
          <t>000007727</t>
        </is>
      </c>
      <c r="H4010" t="inlineStr">
        <is>
          <t>R&amp;R TRANSPORTE E LOGISTICA</t>
        </is>
      </c>
      <c r="J4010" s="29" t="n">
        <v>21.17</v>
      </c>
      <c r="K4010" s="29">
        <f>(1-ISNUMBER(SEARCH("556",M4010)))*(O4010*SUMIFS(Premissas!$C$5:$C$44,Premissas!$A$5:$A$44,$A4010,Premissas!$B$5:$B$44,$B4010)+P4010*SUMIFS(Premissas!$D$5:$D$44,Premissas!$A$5:$A$44,$A4010,Premissas!$B$5:$B$44,$B4010))+R4010*SUMIFS(Premissas!$E$5:$E$44,Premissas!$A$5:$A$44,$A4010,Premissas!$B$5:$B$44,$B4010)+S4010*SUMIFS(Premissas!$F$5:$F$44,Premissas!$A$5:$A$44,$A4010,Premissas!$B$5:$B$44,$B4010)</f>
        <v/>
      </c>
      <c r="L4010" s="29">
        <f>J4010-K4010</f>
        <v/>
      </c>
      <c r="M4010" t="inlineStr">
        <is>
          <t>2.350</t>
        </is>
      </c>
      <c r="N4010" t="inlineStr">
        <is>
          <t>Modalidade: 0 - Por conta do remetente | Parte: JOANICE COMERCIAL DE EMBALAGENS E CONFEITARIA LTDA (50.350.203/0001-86)</t>
        </is>
      </c>
      <c r="O4010" s="29" t="n">
        <v>0</v>
      </c>
      <c r="P4010" s="29" t="n">
        <v>0</v>
      </c>
      <c r="Q4010" s="29" t="n">
        <v>0</v>
      </c>
      <c r="R4010" s="29" t="n">
        <v>0</v>
      </c>
      <c r="S4010" s="29" t="n">
        <v>0</v>
      </c>
      <c r="T4010" t="inlineStr">
        <is>
          <t>25260726975620000130570010000077271001701280</t>
        </is>
      </c>
      <c r="U4010" t="inlineStr">
        <is>
          <t>Não</t>
        </is>
      </c>
    </row>
    <row r="4011">
      <c r="A4011" t="inlineStr">
        <is>
          <t>Frete de venda</t>
        </is>
      </c>
      <c r="B4011" t="inlineStr">
        <is>
          <t>2.01.02 Frete sobre Vendas</t>
        </is>
      </c>
      <c r="C4011" s="30" t="n">
        <v>46204</v>
      </c>
      <c r="D4011" t="inlineStr">
        <is>
          <t>Em 2026</t>
        </is>
      </c>
      <c r="E4011" s="28" t="n">
        <v>46225</v>
      </c>
      <c r="F4011" t="inlineStr">
        <is>
          <t>CT-e</t>
        </is>
      </c>
      <c r="G4011" t="inlineStr">
        <is>
          <t>000007728</t>
        </is>
      </c>
      <c r="H4011" t="inlineStr">
        <is>
          <t>R&amp;R TRANSPORTE E LOGISTICA</t>
        </is>
      </c>
      <c r="J4011" s="29" t="n">
        <v>19.55</v>
      </c>
      <c r="K4011" s="29">
        <f>(1-ISNUMBER(SEARCH("556",M4011)))*(O4011*SUMIFS(Premissas!$C$5:$C$44,Premissas!$A$5:$A$44,$A4011,Premissas!$B$5:$B$44,$B4011)+P4011*SUMIFS(Premissas!$D$5:$D$44,Premissas!$A$5:$A$44,$A4011,Premissas!$B$5:$B$44,$B4011))+R4011*SUMIFS(Premissas!$E$5:$E$44,Premissas!$A$5:$A$44,$A4011,Premissas!$B$5:$B$44,$B4011)+S4011*SUMIFS(Premissas!$F$5:$F$44,Premissas!$A$5:$A$44,$A4011,Premissas!$B$5:$B$44,$B4011)</f>
        <v/>
      </c>
      <c r="L4011" s="29">
        <f>J4011-K4011</f>
        <v/>
      </c>
      <c r="M4011" t="inlineStr">
        <is>
          <t>2.350</t>
        </is>
      </c>
      <c r="N4011" t="inlineStr">
        <is>
          <t>Modalidade: 0 - Por conta do remetente | Parte: FG ATACADISTA DE EMBALAGENS E ALIMENTOS LTDA (62.720.773/0001-08)</t>
        </is>
      </c>
      <c r="O4011" s="29" t="n">
        <v>0</v>
      </c>
      <c r="P4011" s="29" t="n">
        <v>0</v>
      </c>
      <c r="Q4011" s="29" t="n">
        <v>0</v>
      </c>
      <c r="R4011" s="29" t="n">
        <v>0</v>
      </c>
      <c r="S4011" s="29" t="n">
        <v>0</v>
      </c>
      <c r="T4011" t="inlineStr">
        <is>
          <t>25260726975620000130570010000077281001401365</t>
        </is>
      </c>
      <c r="U4011" t="inlineStr">
        <is>
          <t>Não</t>
        </is>
      </c>
    </row>
    <row r="4012">
      <c r="A4012" t="inlineStr">
        <is>
          <t>Frete de venda</t>
        </is>
      </c>
      <c r="B4012" t="inlineStr">
        <is>
          <t>2.01.02 Frete sobre Vendas</t>
        </is>
      </c>
      <c r="C4012" s="30" t="n">
        <v>46204</v>
      </c>
      <c r="D4012" t="inlineStr">
        <is>
          <t>Em 2026</t>
        </is>
      </c>
      <c r="E4012" s="28" t="n">
        <v>46225</v>
      </c>
      <c r="F4012" t="inlineStr">
        <is>
          <t>CT-e</t>
        </is>
      </c>
      <c r="G4012" t="inlineStr">
        <is>
          <t>000007730</t>
        </is>
      </c>
      <c r="H4012" t="inlineStr">
        <is>
          <t>R&amp;R TRANSPORTE E LOGISTICA</t>
        </is>
      </c>
      <c r="J4012" s="29" t="n">
        <v>28.44</v>
      </c>
      <c r="K4012" s="29">
        <f>(1-ISNUMBER(SEARCH("556",M4012)))*(O4012*SUMIFS(Premissas!$C$5:$C$44,Premissas!$A$5:$A$44,$A4012,Premissas!$B$5:$B$44,$B4012)+P4012*SUMIFS(Premissas!$D$5:$D$44,Premissas!$A$5:$A$44,$A4012,Premissas!$B$5:$B$44,$B4012))+R4012*SUMIFS(Premissas!$E$5:$E$44,Premissas!$A$5:$A$44,$A4012,Premissas!$B$5:$B$44,$B4012)+S4012*SUMIFS(Premissas!$F$5:$F$44,Premissas!$A$5:$A$44,$A4012,Premissas!$B$5:$B$44,$B4012)</f>
        <v/>
      </c>
      <c r="L4012" s="29">
        <f>J4012-K4012</f>
        <v/>
      </c>
      <c r="M4012" t="inlineStr">
        <is>
          <t>2.350</t>
        </is>
      </c>
      <c r="N4012" t="inlineStr">
        <is>
          <t>Modalidade: 0 - Por conta do remetente | Parte: PAPELARIA BOOZ LTDA (06.888.690/0001-43)</t>
        </is>
      </c>
      <c r="O4012" s="29" t="n">
        <v>0</v>
      </c>
      <c r="P4012" s="29" t="n">
        <v>0</v>
      </c>
      <c r="Q4012" s="29" t="n">
        <v>0</v>
      </c>
      <c r="R4012" s="29" t="n">
        <v>0</v>
      </c>
      <c r="S4012" s="29" t="n">
        <v>0</v>
      </c>
      <c r="T4012" t="inlineStr">
        <is>
          <t>25260726975620000130570010000077301001901528</t>
        </is>
      </c>
      <c r="U4012" t="inlineStr">
        <is>
          <t>Não</t>
        </is>
      </c>
    </row>
    <row r="4013">
      <c r="A4013" t="inlineStr">
        <is>
          <t>Frete de venda</t>
        </is>
      </c>
      <c r="B4013" t="inlineStr">
        <is>
          <t>2.01.02 Frete sobre Vendas</t>
        </is>
      </c>
      <c r="C4013" s="30" t="n">
        <v>46204</v>
      </c>
      <c r="D4013" t="inlineStr">
        <is>
          <t>Em 2026</t>
        </is>
      </c>
      <c r="E4013" s="28" t="n">
        <v>46225</v>
      </c>
      <c r="F4013" t="inlineStr">
        <is>
          <t>CT-e</t>
        </is>
      </c>
      <c r="G4013" t="inlineStr">
        <is>
          <t>000007731</t>
        </is>
      </c>
      <c r="H4013" t="inlineStr">
        <is>
          <t>R&amp;R TRANSPORTE E LOGISTICA</t>
        </is>
      </c>
      <c r="J4013" s="29" t="n">
        <v>32.7</v>
      </c>
      <c r="K4013" s="29">
        <f>(1-ISNUMBER(SEARCH("556",M4013)))*(O4013*SUMIFS(Premissas!$C$5:$C$44,Premissas!$A$5:$A$44,$A4013,Premissas!$B$5:$B$44,$B4013)+P4013*SUMIFS(Premissas!$D$5:$D$44,Premissas!$A$5:$A$44,$A4013,Premissas!$B$5:$B$44,$B4013))+R4013*SUMIFS(Premissas!$E$5:$E$44,Premissas!$A$5:$A$44,$A4013,Premissas!$B$5:$B$44,$B4013)+S4013*SUMIFS(Premissas!$F$5:$F$44,Premissas!$A$5:$A$44,$A4013,Premissas!$B$5:$B$44,$B4013)</f>
        <v/>
      </c>
      <c r="L4013" s="29">
        <f>J4013-K4013</f>
        <v/>
      </c>
      <c r="M4013" t="inlineStr">
        <is>
          <t>2.350</t>
        </is>
      </c>
      <c r="N4013" t="inlineStr">
        <is>
          <t>Modalidade: 0 - Por conta do remetente | Parte: MATRIX UNIVERSAL LTDA (10.637.293/0001-76)</t>
        </is>
      </c>
      <c r="O4013" s="29" t="n">
        <v>0</v>
      </c>
      <c r="P4013" s="29" t="n">
        <v>0</v>
      </c>
      <c r="Q4013" s="29" t="n">
        <v>0</v>
      </c>
      <c r="R4013" s="29" t="n">
        <v>0</v>
      </c>
      <c r="S4013" s="29" t="n">
        <v>0</v>
      </c>
      <c r="T4013" t="inlineStr">
        <is>
          <t>25260726975620000130570010000077311001100875</t>
        </is>
      </c>
      <c r="U4013" t="inlineStr">
        <is>
          <t>Não</t>
        </is>
      </c>
    </row>
    <row r="4014">
      <c r="A4014" t="inlineStr">
        <is>
          <t>Frete de venda</t>
        </is>
      </c>
      <c r="B4014" t="inlineStr">
        <is>
          <t>2.01.02 Frete sobre Vendas</t>
        </is>
      </c>
      <c r="C4014" s="30" t="n">
        <v>46204</v>
      </c>
      <c r="D4014" t="inlineStr">
        <is>
          <t>Em 2026</t>
        </is>
      </c>
      <c r="E4014" s="28" t="n">
        <v>46225</v>
      </c>
      <c r="F4014" t="inlineStr">
        <is>
          <t>CT-e</t>
        </is>
      </c>
      <c r="G4014" t="inlineStr">
        <is>
          <t>000007732</t>
        </is>
      </c>
      <c r="H4014" t="inlineStr">
        <is>
          <t>R&amp;R TRANSPORTE E LOGISTICA</t>
        </is>
      </c>
      <c r="J4014" s="29" t="n">
        <v>33.91</v>
      </c>
      <c r="K4014" s="29">
        <f>(1-ISNUMBER(SEARCH("556",M4014)))*(O4014*SUMIFS(Premissas!$C$5:$C$44,Premissas!$A$5:$A$44,$A4014,Premissas!$B$5:$B$44,$B4014)+P4014*SUMIFS(Premissas!$D$5:$D$44,Premissas!$A$5:$A$44,$A4014,Premissas!$B$5:$B$44,$B4014))+R4014*SUMIFS(Premissas!$E$5:$E$44,Premissas!$A$5:$A$44,$A4014,Premissas!$B$5:$B$44,$B4014)+S4014*SUMIFS(Premissas!$F$5:$F$44,Premissas!$A$5:$A$44,$A4014,Premissas!$B$5:$B$44,$B4014)</f>
        <v/>
      </c>
      <c r="L4014" s="29">
        <f>J4014-K4014</f>
        <v/>
      </c>
      <c r="M4014" t="inlineStr">
        <is>
          <t>2.350</t>
        </is>
      </c>
      <c r="N4014" t="inlineStr">
        <is>
          <t>Modalidade: 0 - Por conta do remetente | Parte: MERCEARIA MEGAPLAST FIGUEIRA LTDA (12.063.573/0001-43)</t>
        </is>
      </c>
      <c r="O4014" s="29" t="n">
        <v>0</v>
      </c>
      <c r="P4014" s="29" t="n">
        <v>0</v>
      </c>
      <c r="Q4014" s="29" t="n">
        <v>0</v>
      </c>
      <c r="R4014" s="29" t="n">
        <v>0</v>
      </c>
      <c r="S4014" s="29" t="n">
        <v>0</v>
      </c>
      <c r="T4014" t="inlineStr">
        <is>
          <t>25260726975620000130570010000077321000170958</t>
        </is>
      </c>
      <c r="U4014" t="inlineStr">
        <is>
          <t>Não</t>
        </is>
      </c>
    </row>
    <row r="4015">
      <c r="A4015" t="inlineStr">
        <is>
          <t>Frete de venda</t>
        </is>
      </c>
      <c r="B4015" t="inlineStr">
        <is>
          <t>2.01.02 Frete sobre Vendas</t>
        </is>
      </c>
      <c r="C4015" s="30" t="n">
        <v>46204</v>
      </c>
      <c r="D4015" t="inlineStr">
        <is>
          <t>Em 2026</t>
        </is>
      </c>
      <c r="E4015" s="28" t="n">
        <v>46225</v>
      </c>
      <c r="F4015" t="inlineStr">
        <is>
          <t>CT-e</t>
        </is>
      </c>
      <c r="G4015" t="inlineStr">
        <is>
          <t>000007733</t>
        </is>
      </c>
      <c r="H4015" t="inlineStr">
        <is>
          <t>R&amp;R TRANSPORTE E LOGISTICA</t>
        </is>
      </c>
      <c r="J4015" s="29" t="n">
        <v>30.45</v>
      </c>
      <c r="K4015" s="29">
        <f>(1-ISNUMBER(SEARCH("556",M4015)))*(O4015*SUMIFS(Premissas!$C$5:$C$44,Premissas!$A$5:$A$44,$A4015,Premissas!$B$5:$B$44,$B4015)+P4015*SUMIFS(Premissas!$D$5:$D$44,Premissas!$A$5:$A$44,$A4015,Premissas!$B$5:$B$44,$B4015))+R4015*SUMIFS(Premissas!$E$5:$E$44,Premissas!$A$5:$A$44,$A4015,Premissas!$B$5:$B$44,$B4015)+S4015*SUMIFS(Premissas!$F$5:$F$44,Premissas!$A$5:$A$44,$A4015,Premissas!$B$5:$B$44,$B4015)</f>
        <v/>
      </c>
      <c r="L4015" s="29">
        <f>J4015-K4015</f>
        <v/>
      </c>
      <c r="M4015" t="inlineStr">
        <is>
          <t>2.350</t>
        </is>
      </c>
      <c r="N4015" t="inlineStr">
        <is>
          <t>Modalidade: 0 - Por conta do remetente | Parte: DISTRIBUIDORA RIO UTILIDADES FESTAS E ALIMENTOS LTDA (40.961.436/0001-61)</t>
        </is>
      </c>
      <c r="O4015" s="29" t="n">
        <v>0</v>
      </c>
      <c r="P4015" s="29" t="n">
        <v>0</v>
      </c>
      <c r="Q4015" s="29" t="n">
        <v>0</v>
      </c>
      <c r="R4015" s="29" t="n">
        <v>0</v>
      </c>
      <c r="S4015" s="29" t="n">
        <v>0</v>
      </c>
      <c r="T4015" t="inlineStr">
        <is>
          <t>25260726975620000130570010000077331001401039</t>
        </is>
      </c>
      <c r="U4015" t="inlineStr">
        <is>
          <t>Não</t>
        </is>
      </c>
    </row>
    <row r="4016">
      <c r="A4016" t="inlineStr">
        <is>
          <t>Frete de venda</t>
        </is>
      </c>
      <c r="B4016" t="inlineStr">
        <is>
          <t>2.01.02 Frete sobre Vendas</t>
        </is>
      </c>
      <c r="C4016" s="30" t="n">
        <v>46204</v>
      </c>
      <c r="D4016" t="inlineStr">
        <is>
          <t>Em 2026</t>
        </is>
      </c>
      <c r="E4016" s="28" t="n">
        <v>46225</v>
      </c>
      <c r="F4016" t="inlineStr">
        <is>
          <t>CT-e</t>
        </is>
      </c>
      <c r="G4016" t="inlineStr">
        <is>
          <t>000007734</t>
        </is>
      </c>
      <c r="H4016" t="inlineStr">
        <is>
          <t>R&amp;R TRANSPORTE E LOGISTICA</t>
        </is>
      </c>
      <c r="J4016" s="29" t="n">
        <v>29.69</v>
      </c>
      <c r="K4016" s="29">
        <f>(1-ISNUMBER(SEARCH("556",M4016)))*(O4016*SUMIFS(Premissas!$C$5:$C$44,Premissas!$A$5:$A$44,$A4016,Premissas!$B$5:$B$44,$B4016)+P4016*SUMIFS(Premissas!$D$5:$D$44,Premissas!$A$5:$A$44,$A4016,Premissas!$B$5:$B$44,$B4016))+R4016*SUMIFS(Premissas!$E$5:$E$44,Premissas!$A$5:$A$44,$A4016,Premissas!$B$5:$B$44,$B4016)+S4016*SUMIFS(Premissas!$F$5:$F$44,Premissas!$A$5:$A$44,$A4016,Premissas!$B$5:$B$44,$B4016)</f>
        <v/>
      </c>
      <c r="L4016" s="29">
        <f>J4016-K4016</f>
        <v/>
      </c>
      <c r="M4016" t="inlineStr">
        <is>
          <t>2.350</t>
        </is>
      </c>
      <c r="N4016" t="inlineStr">
        <is>
          <t>Modalidade: 0 - Por conta do remetente | Parte: DISKARTAVEIS (10.534.218/0001-80)</t>
        </is>
      </c>
      <c r="O4016" s="29" t="n">
        <v>0</v>
      </c>
      <c r="P4016" s="29" t="n">
        <v>0</v>
      </c>
      <c r="Q4016" s="29" t="n">
        <v>0</v>
      </c>
      <c r="R4016" s="29" t="n">
        <v>0</v>
      </c>
      <c r="S4016" s="29" t="n">
        <v>0</v>
      </c>
      <c r="T4016" t="inlineStr">
        <is>
          <t>25260726975620000130570010000077341001101113</t>
        </is>
      </c>
      <c r="U4016" t="inlineStr">
        <is>
          <t>Não</t>
        </is>
      </c>
    </row>
    <row r="4017">
      <c r="A4017" t="inlineStr">
        <is>
          <t>Frete de venda</t>
        </is>
      </c>
      <c r="B4017" t="inlineStr">
        <is>
          <t>2.01.02 Frete sobre Vendas</t>
        </is>
      </c>
      <c r="C4017" s="30" t="n">
        <v>46204</v>
      </c>
      <c r="D4017" t="inlineStr">
        <is>
          <t>Em 2026</t>
        </is>
      </c>
      <c r="E4017" s="28" t="n">
        <v>46225</v>
      </c>
      <c r="F4017" t="inlineStr">
        <is>
          <t>CT-e</t>
        </is>
      </c>
      <c r="G4017" t="inlineStr">
        <is>
          <t>000007735</t>
        </is>
      </c>
      <c r="H4017" t="inlineStr">
        <is>
          <t>R&amp;R TRANSPORTE E LOGISTICA</t>
        </is>
      </c>
      <c r="J4017" s="29" t="n">
        <v>55.8</v>
      </c>
      <c r="K4017" s="29">
        <f>(1-ISNUMBER(SEARCH("556",M4017)))*(O4017*SUMIFS(Premissas!$C$5:$C$44,Premissas!$A$5:$A$44,$A4017,Premissas!$B$5:$B$44,$B4017)+P4017*SUMIFS(Premissas!$D$5:$D$44,Premissas!$A$5:$A$44,$A4017,Premissas!$B$5:$B$44,$B4017))+R4017*SUMIFS(Premissas!$E$5:$E$44,Premissas!$A$5:$A$44,$A4017,Premissas!$B$5:$B$44,$B4017)+S4017*SUMIFS(Premissas!$F$5:$F$44,Premissas!$A$5:$A$44,$A4017,Premissas!$B$5:$B$44,$B4017)</f>
        <v/>
      </c>
      <c r="L4017" s="29">
        <f>J4017-K4017</f>
        <v/>
      </c>
      <c r="M4017" t="inlineStr">
        <is>
          <t>2.350</t>
        </is>
      </c>
      <c r="N4017" t="inlineStr">
        <is>
          <t>Modalidade: 0 - Por conta do remetente | Parte: NOVA SERRA PLAST COMERCIO DE EMBALAGENS, ALIMENTOS E UTI... (55.651.203/0001-30)</t>
        </is>
      </c>
      <c r="O4017" s="29" t="n">
        <v>0</v>
      </c>
      <c r="P4017" s="29" t="n">
        <v>0</v>
      </c>
      <c r="Q4017" s="29" t="n">
        <v>0</v>
      </c>
      <c r="R4017" s="29" t="n">
        <v>0</v>
      </c>
      <c r="S4017" s="29" t="n">
        <v>0</v>
      </c>
      <c r="T4017" t="inlineStr">
        <is>
          <t>25260726975620000130570010000077351001901192</t>
        </is>
      </c>
      <c r="U4017" t="inlineStr">
        <is>
          <t>Não</t>
        </is>
      </c>
    </row>
    <row r="4018">
      <c r="A4018" t="inlineStr">
        <is>
          <t>Frete de venda</t>
        </is>
      </c>
      <c r="B4018" t="inlineStr">
        <is>
          <t>2.01.02 Frete sobre Vendas</t>
        </is>
      </c>
      <c r="C4018" s="30" t="n">
        <v>46204</v>
      </c>
      <c r="D4018" t="inlineStr">
        <is>
          <t>Em 2026</t>
        </is>
      </c>
      <c r="E4018" s="28" t="n">
        <v>46225</v>
      </c>
      <c r="F4018" t="inlineStr">
        <is>
          <t>CT-e</t>
        </is>
      </c>
      <c r="G4018" t="inlineStr">
        <is>
          <t>000007736</t>
        </is>
      </c>
      <c r="H4018" t="inlineStr">
        <is>
          <t>R&amp;R TRANSPORTE E LOGISTICA</t>
        </is>
      </c>
      <c r="J4018" s="29" t="n">
        <v>24.26</v>
      </c>
      <c r="K4018" s="29">
        <f>(1-ISNUMBER(SEARCH("556",M4018)))*(O4018*SUMIFS(Premissas!$C$5:$C$44,Premissas!$A$5:$A$44,$A4018,Premissas!$B$5:$B$44,$B4018)+P4018*SUMIFS(Premissas!$D$5:$D$44,Premissas!$A$5:$A$44,$A4018,Premissas!$B$5:$B$44,$B4018))+R4018*SUMIFS(Premissas!$E$5:$E$44,Premissas!$A$5:$A$44,$A4018,Premissas!$B$5:$B$44,$B4018)+S4018*SUMIFS(Premissas!$F$5:$F$44,Premissas!$A$5:$A$44,$A4018,Premissas!$B$5:$B$44,$B4018)</f>
        <v/>
      </c>
      <c r="L4018" s="29">
        <f>J4018-K4018</f>
        <v/>
      </c>
      <c r="M4018" t="inlineStr">
        <is>
          <t>2.350</t>
        </is>
      </c>
      <c r="N4018" t="inlineStr">
        <is>
          <t>Modalidade: 0 - Por conta do remetente | Parte: R C SOARES DISTRIBUIDORA E COMERCIO DE DESCARTAVEIS LTDA. (38.078.643/0001-20)</t>
        </is>
      </c>
      <c r="O4018" s="29" t="n">
        <v>0</v>
      </c>
      <c r="P4018" s="29" t="n">
        <v>0</v>
      </c>
      <c r="Q4018" s="29" t="n">
        <v>0</v>
      </c>
      <c r="R4018" s="29" t="n">
        <v>0</v>
      </c>
      <c r="S4018" s="29" t="n">
        <v>0</v>
      </c>
      <c r="T4018" t="inlineStr">
        <is>
          <t>25260726975620000130570010000077361001601277</t>
        </is>
      </c>
      <c r="U4018" t="inlineStr">
        <is>
          <t>Não</t>
        </is>
      </c>
    </row>
    <row r="4019">
      <c r="A4019" t="inlineStr">
        <is>
          <t>Frete de venda</t>
        </is>
      </c>
      <c r="B4019" t="inlineStr">
        <is>
          <t>2.01.02 Frete sobre Vendas</t>
        </is>
      </c>
      <c r="C4019" s="30" t="n">
        <v>46204</v>
      </c>
      <c r="D4019" t="inlineStr">
        <is>
          <t>Em 2026</t>
        </is>
      </c>
      <c r="E4019" s="28" t="n">
        <v>46225</v>
      </c>
      <c r="F4019" t="inlineStr">
        <is>
          <t>CT-e</t>
        </is>
      </c>
      <c r="G4019" t="inlineStr">
        <is>
          <t>000007737</t>
        </is>
      </c>
      <c r="H4019" t="inlineStr">
        <is>
          <t>R&amp;R TRANSPORTE E LOGISTICA</t>
        </is>
      </c>
      <c r="J4019" s="29" t="n">
        <v>25.94</v>
      </c>
      <c r="K4019" s="29">
        <f>(1-ISNUMBER(SEARCH("556",M4019)))*(O4019*SUMIFS(Premissas!$C$5:$C$44,Premissas!$A$5:$A$44,$A4019,Premissas!$B$5:$B$44,$B4019)+P4019*SUMIFS(Premissas!$D$5:$D$44,Premissas!$A$5:$A$44,$A4019,Premissas!$B$5:$B$44,$B4019))+R4019*SUMIFS(Premissas!$E$5:$E$44,Premissas!$A$5:$A$44,$A4019,Premissas!$B$5:$B$44,$B4019)+S4019*SUMIFS(Premissas!$F$5:$F$44,Premissas!$A$5:$A$44,$A4019,Premissas!$B$5:$B$44,$B4019)</f>
        <v/>
      </c>
      <c r="L4019" s="29">
        <f>J4019-K4019</f>
        <v/>
      </c>
      <c r="M4019" t="inlineStr">
        <is>
          <t>2.350</t>
        </is>
      </c>
      <c r="N4019" t="inlineStr">
        <is>
          <t>Modalidade: 0 - Por conta do remetente | Parte: AP SACARIA EMBALAGENS LTDA (20.402.088/0001-85)</t>
        </is>
      </c>
      <c r="O4019" s="29" t="n">
        <v>0</v>
      </c>
      <c r="P4019" s="29" t="n">
        <v>0</v>
      </c>
      <c r="Q4019" s="29" t="n">
        <v>0</v>
      </c>
      <c r="R4019" s="29" t="n">
        <v>0</v>
      </c>
      <c r="S4019" s="29" t="n">
        <v>0</v>
      </c>
      <c r="T4019" t="inlineStr">
        <is>
          <t>25260726975620000130570010000077371001301351</t>
        </is>
      </c>
      <c r="U4019" t="inlineStr">
        <is>
          <t>Não</t>
        </is>
      </c>
    </row>
    <row r="4020">
      <c r="A4020" t="inlineStr">
        <is>
          <t>Frete de venda</t>
        </is>
      </c>
      <c r="B4020" t="inlineStr">
        <is>
          <t>2.01.02 Frete sobre Vendas</t>
        </is>
      </c>
      <c r="C4020" s="30" t="n">
        <v>46204</v>
      </c>
      <c r="D4020" t="inlineStr">
        <is>
          <t>Em 2026</t>
        </is>
      </c>
      <c r="E4020" s="28" t="n">
        <v>46225</v>
      </c>
      <c r="F4020" t="inlineStr">
        <is>
          <t>CT-e</t>
        </is>
      </c>
      <c r="G4020" t="inlineStr">
        <is>
          <t>000007738</t>
        </is>
      </c>
      <c r="H4020" t="inlineStr">
        <is>
          <t>R&amp;R TRANSPORTE E LOGISTICA</t>
        </is>
      </c>
      <c r="J4020" s="29" t="n">
        <v>40.74</v>
      </c>
      <c r="K4020" s="29">
        <f>(1-ISNUMBER(SEARCH("556",M4020)))*(O4020*SUMIFS(Premissas!$C$5:$C$44,Premissas!$A$5:$A$44,$A4020,Premissas!$B$5:$B$44,$B4020)+P4020*SUMIFS(Premissas!$D$5:$D$44,Premissas!$A$5:$A$44,$A4020,Premissas!$B$5:$B$44,$B4020))+R4020*SUMIFS(Premissas!$E$5:$E$44,Premissas!$A$5:$A$44,$A4020,Premissas!$B$5:$B$44,$B4020)+S4020*SUMIFS(Premissas!$F$5:$F$44,Premissas!$A$5:$A$44,$A4020,Premissas!$B$5:$B$44,$B4020)</f>
        <v/>
      </c>
      <c r="L4020" s="29">
        <f>J4020-K4020</f>
        <v/>
      </c>
      <c r="M4020" t="inlineStr">
        <is>
          <t>2.350</t>
        </is>
      </c>
      <c r="N4020" t="inlineStr">
        <is>
          <t>Modalidade: 0 - Por conta do remetente | Parte: DIOGO FERNANDO VIANA AREIA 14096825794 (41.701.911/0001-23)</t>
        </is>
      </c>
      <c r="O4020" s="29" t="n">
        <v>0</v>
      </c>
      <c r="P4020" s="29" t="n">
        <v>0</v>
      </c>
      <c r="Q4020" s="29" t="n">
        <v>0</v>
      </c>
      <c r="R4020" s="29" t="n">
        <v>0</v>
      </c>
      <c r="S4020" s="29" t="n">
        <v>0</v>
      </c>
      <c r="T4020" t="inlineStr">
        <is>
          <t>25260726975620000130570010000077381000101437</t>
        </is>
      </c>
      <c r="U4020" t="inlineStr">
        <is>
          <t>Não</t>
        </is>
      </c>
    </row>
    <row r="4021">
      <c r="A4021" t="inlineStr">
        <is>
          <t>Frete de venda</t>
        </is>
      </c>
      <c r="B4021" t="inlineStr">
        <is>
          <t>2.01.02 Frete sobre Vendas</t>
        </is>
      </c>
      <c r="C4021" s="30" t="n">
        <v>46204</v>
      </c>
      <c r="D4021" t="inlineStr">
        <is>
          <t>Em 2026</t>
        </is>
      </c>
      <c r="E4021" s="28" t="n">
        <v>46225</v>
      </c>
      <c r="F4021" t="inlineStr">
        <is>
          <t>CT-e</t>
        </is>
      </c>
      <c r="G4021" t="inlineStr">
        <is>
          <t>000007739</t>
        </is>
      </c>
      <c r="H4021" t="inlineStr">
        <is>
          <t>R&amp;R TRANSPORTE E LOGISTICA</t>
        </is>
      </c>
      <c r="J4021" s="29" t="n">
        <v>40.19</v>
      </c>
      <c r="K4021" s="29">
        <f>(1-ISNUMBER(SEARCH("556",M4021)))*(O4021*SUMIFS(Premissas!$C$5:$C$44,Premissas!$A$5:$A$44,$A4021,Premissas!$B$5:$B$44,$B4021)+P4021*SUMIFS(Premissas!$D$5:$D$44,Premissas!$A$5:$A$44,$A4021,Premissas!$B$5:$B$44,$B4021))+R4021*SUMIFS(Premissas!$E$5:$E$44,Premissas!$A$5:$A$44,$A4021,Premissas!$B$5:$B$44,$B4021)+S4021*SUMIFS(Premissas!$F$5:$F$44,Premissas!$A$5:$A$44,$A4021,Premissas!$B$5:$B$44,$B4021)</f>
        <v/>
      </c>
      <c r="L4021" s="29">
        <f>J4021-K4021</f>
        <v/>
      </c>
      <c r="M4021" t="inlineStr">
        <is>
          <t>2.350</t>
        </is>
      </c>
      <c r="N4021" t="inlineStr">
        <is>
          <t>Modalidade: 0 - Por conta do remetente | Parte: S M PONTES DISTRIBUIDORA LTDA. (19.174.100/0001-62)</t>
        </is>
      </c>
      <c r="O4021" s="29" t="n">
        <v>0</v>
      </c>
      <c r="P4021" s="29" t="n">
        <v>0</v>
      </c>
      <c r="Q4021" s="29" t="n">
        <v>0</v>
      </c>
      <c r="R4021" s="29" t="n">
        <v>0</v>
      </c>
      <c r="S4021" s="29" t="n">
        <v>0</v>
      </c>
      <c r="T4021" t="inlineStr">
        <is>
          <t>25260726975620000130570010000077391001801510</t>
        </is>
      </c>
      <c r="U4021" t="inlineStr">
        <is>
          <t>Não</t>
        </is>
      </c>
    </row>
    <row r="4022">
      <c r="A4022" t="inlineStr">
        <is>
          <t>Frete de venda</t>
        </is>
      </c>
      <c r="B4022" t="inlineStr">
        <is>
          <t>2.01.02 Frete sobre Vendas</t>
        </is>
      </c>
      <c r="C4022" s="30" t="n">
        <v>46204</v>
      </c>
      <c r="D4022" t="inlineStr">
        <is>
          <t>Em 2026</t>
        </is>
      </c>
      <c r="E4022" s="28" t="n">
        <v>46226</v>
      </c>
      <c r="F4022" t="inlineStr">
        <is>
          <t>CT-e</t>
        </is>
      </c>
      <c r="G4022" t="inlineStr">
        <is>
          <t>000007741</t>
        </is>
      </c>
      <c r="H4022" t="inlineStr">
        <is>
          <t>R&amp;R TRANSPORTE E LOGISTICA</t>
        </is>
      </c>
      <c r="J4022" s="29" t="n">
        <v>37.18</v>
      </c>
      <c r="K4022" s="29">
        <f>(1-ISNUMBER(SEARCH("556",M4022)))*(O4022*SUMIFS(Premissas!$C$5:$C$44,Premissas!$A$5:$A$44,$A4022,Premissas!$B$5:$B$44,$B4022)+P4022*SUMIFS(Premissas!$D$5:$D$44,Premissas!$A$5:$A$44,$A4022,Premissas!$B$5:$B$44,$B4022))+R4022*SUMIFS(Premissas!$E$5:$E$44,Premissas!$A$5:$A$44,$A4022,Premissas!$B$5:$B$44,$B4022)+S4022*SUMIFS(Premissas!$F$5:$F$44,Premissas!$A$5:$A$44,$A4022,Premissas!$B$5:$B$44,$B4022)</f>
        <v/>
      </c>
      <c r="L4022" s="29">
        <f>J4022-K4022</f>
        <v/>
      </c>
      <c r="M4022" t="inlineStr">
        <is>
          <t>2.350</t>
        </is>
      </c>
      <c r="N4022" t="inlineStr">
        <is>
          <t>Modalidade: 0 - Por conta do remetente | Parte: WDMATTOS DISTRIBUIDORA LTDA (62.535.498/0001-44)</t>
        </is>
      </c>
      <c r="O4022" s="29" t="n">
        <v>0</v>
      </c>
      <c r="P4022" s="29" t="n">
        <v>0</v>
      </c>
      <c r="Q4022" s="29" t="n">
        <v>0</v>
      </c>
      <c r="R4022" s="29" t="n">
        <v>0</v>
      </c>
      <c r="S4022" s="29" t="n">
        <v>0</v>
      </c>
      <c r="T4022" t="inlineStr">
        <is>
          <t>25260726975620000130570010000077411000160943</t>
        </is>
      </c>
      <c r="U4022" t="inlineStr">
        <is>
          <t>Não</t>
        </is>
      </c>
    </row>
    <row r="4023">
      <c r="A4023" t="inlineStr">
        <is>
          <t>Frete de venda</t>
        </is>
      </c>
      <c r="B4023" t="inlineStr">
        <is>
          <t>2.01.02 Frete sobre Vendas</t>
        </is>
      </c>
      <c r="C4023" s="30" t="n">
        <v>46204</v>
      </c>
      <c r="D4023" t="inlineStr">
        <is>
          <t>Em 2026</t>
        </is>
      </c>
      <c r="E4023" s="28" t="n">
        <v>46226</v>
      </c>
      <c r="F4023" t="inlineStr">
        <is>
          <t>CT-e</t>
        </is>
      </c>
      <c r="G4023" t="inlineStr">
        <is>
          <t>000007742</t>
        </is>
      </c>
      <c r="H4023" t="inlineStr">
        <is>
          <t>R&amp;R TRANSPORTE E LOGISTICA</t>
        </is>
      </c>
      <c r="J4023" s="29" t="n">
        <v>39.08</v>
      </c>
      <c r="K4023" s="29">
        <f>(1-ISNUMBER(SEARCH("556",M4023)))*(O4023*SUMIFS(Premissas!$C$5:$C$44,Premissas!$A$5:$A$44,$A4023,Premissas!$B$5:$B$44,$B4023)+P4023*SUMIFS(Premissas!$D$5:$D$44,Premissas!$A$5:$A$44,$A4023,Premissas!$B$5:$B$44,$B4023))+R4023*SUMIFS(Premissas!$E$5:$E$44,Premissas!$A$5:$A$44,$A4023,Premissas!$B$5:$B$44,$B4023)+S4023*SUMIFS(Premissas!$F$5:$F$44,Premissas!$A$5:$A$44,$A4023,Premissas!$B$5:$B$44,$B4023)</f>
        <v/>
      </c>
      <c r="L4023" s="29">
        <f>J4023-K4023</f>
        <v/>
      </c>
      <c r="M4023" t="inlineStr">
        <is>
          <t>2.350</t>
        </is>
      </c>
      <c r="N4023" t="inlineStr">
        <is>
          <t>Modalidade: 0 - Por conta do remetente | Parte: COMERCIAL OBA OBA LTDA (86.386.778/0001-04)</t>
        </is>
      </c>
      <c r="O4023" s="29" t="n">
        <v>0</v>
      </c>
      <c r="P4023" s="29" t="n">
        <v>0</v>
      </c>
      <c r="Q4023" s="29" t="n">
        <v>0</v>
      </c>
      <c r="R4023" s="29" t="n">
        <v>0</v>
      </c>
      <c r="S4023" s="29" t="n">
        <v>0</v>
      </c>
      <c r="T4023" t="inlineStr">
        <is>
          <t>25260726975620000130570010000077421001301025</t>
        </is>
      </c>
      <c r="U4023" t="inlineStr">
        <is>
          <t>Não</t>
        </is>
      </c>
    </row>
    <row r="4024">
      <c r="A4024" t="inlineStr">
        <is>
          <t>Frete de venda</t>
        </is>
      </c>
      <c r="B4024" t="inlineStr">
        <is>
          <t>2.01.02 Frete sobre Vendas</t>
        </is>
      </c>
      <c r="C4024" s="30" t="n">
        <v>46204</v>
      </c>
      <c r="D4024" t="inlineStr">
        <is>
          <t>Em 2026</t>
        </is>
      </c>
      <c r="E4024" s="28" t="n">
        <v>46226</v>
      </c>
      <c r="F4024" t="inlineStr">
        <is>
          <t>CT-e</t>
        </is>
      </c>
      <c r="G4024" t="inlineStr">
        <is>
          <t>000007743</t>
        </is>
      </c>
      <c r="H4024" t="inlineStr">
        <is>
          <t>R&amp;R TRANSPORTE E LOGISTICA</t>
        </is>
      </c>
      <c r="J4024" s="29" t="n">
        <v>45.49</v>
      </c>
      <c r="K4024" s="29">
        <f>(1-ISNUMBER(SEARCH("556",M4024)))*(O4024*SUMIFS(Premissas!$C$5:$C$44,Premissas!$A$5:$A$44,$A4024,Premissas!$B$5:$B$44,$B4024)+P4024*SUMIFS(Premissas!$D$5:$D$44,Premissas!$A$5:$A$44,$A4024,Premissas!$B$5:$B$44,$B4024))+R4024*SUMIFS(Premissas!$E$5:$E$44,Premissas!$A$5:$A$44,$A4024,Premissas!$B$5:$B$44,$B4024)+S4024*SUMIFS(Premissas!$F$5:$F$44,Premissas!$A$5:$A$44,$A4024,Premissas!$B$5:$B$44,$B4024)</f>
        <v/>
      </c>
      <c r="L4024" s="29">
        <f>J4024-K4024</f>
        <v/>
      </c>
      <c r="M4024" t="inlineStr">
        <is>
          <t>2.350</t>
        </is>
      </c>
      <c r="N4024" t="inlineStr">
        <is>
          <t>Modalidade: 0 - Por conta do remetente | Parte: CASA DAS EMBALAGENS OLIVEIRA LTDA (09.016.431/0001-10)</t>
        </is>
      </c>
      <c r="O4024" s="29" t="n">
        <v>0</v>
      </c>
      <c r="P4024" s="29" t="n">
        <v>0</v>
      </c>
      <c r="Q4024" s="29" t="n">
        <v>0</v>
      </c>
      <c r="R4024" s="29" t="n">
        <v>0</v>
      </c>
      <c r="S4024" s="29" t="n">
        <v>0</v>
      </c>
      <c r="T4024" t="inlineStr">
        <is>
          <t>25260726975620000130570010000077431000101100</t>
        </is>
      </c>
      <c r="U4024" t="inlineStr">
        <is>
          <t>Não</t>
        </is>
      </c>
    </row>
    <row r="4025">
      <c r="A4025" t="inlineStr">
        <is>
          <t>Frete de venda</t>
        </is>
      </c>
      <c r="B4025" t="inlineStr">
        <is>
          <t>2.01.02 Frete sobre Vendas</t>
        </is>
      </c>
      <c r="C4025" s="30" t="n">
        <v>46204</v>
      </c>
      <c r="D4025" t="inlineStr">
        <is>
          <t>Em 2026</t>
        </is>
      </c>
      <c r="E4025" s="28" t="n">
        <v>46226</v>
      </c>
      <c r="F4025" t="inlineStr">
        <is>
          <t>CT-e</t>
        </is>
      </c>
      <c r="G4025" t="inlineStr">
        <is>
          <t>000007744</t>
        </is>
      </c>
      <c r="H4025" t="inlineStr">
        <is>
          <t>R&amp;R TRANSPORTE E LOGISTICA</t>
        </is>
      </c>
      <c r="J4025" s="29" t="n">
        <v>48.12</v>
      </c>
      <c r="K4025" s="29">
        <f>(1-ISNUMBER(SEARCH("556",M4025)))*(O4025*SUMIFS(Premissas!$C$5:$C$44,Premissas!$A$5:$A$44,$A4025,Premissas!$B$5:$B$44,$B4025)+P4025*SUMIFS(Premissas!$D$5:$D$44,Premissas!$A$5:$A$44,$A4025,Premissas!$B$5:$B$44,$B4025))+R4025*SUMIFS(Premissas!$E$5:$E$44,Premissas!$A$5:$A$44,$A4025,Premissas!$B$5:$B$44,$B4025)+S4025*SUMIFS(Premissas!$F$5:$F$44,Premissas!$A$5:$A$44,$A4025,Premissas!$B$5:$B$44,$B4025)</f>
        <v/>
      </c>
      <c r="L4025" s="29">
        <f>J4025-K4025</f>
        <v/>
      </c>
      <c r="M4025" t="inlineStr">
        <is>
          <t>2.350</t>
        </is>
      </c>
      <c r="N4025" t="inlineStr">
        <is>
          <t>Modalidade: 0 - Por conta do remetente | Parte: MULTI-EMBALAGENS (02.034.889/0001-53)</t>
        </is>
      </c>
      <c r="O4025" s="29" t="n">
        <v>0</v>
      </c>
      <c r="P4025" s="29" t="n">
        <v>0</v>
      </c>
      <c r="Q4025" s="29" t="n">
        <v>0</v>
      </c>
      <c r="R4025" s="29" t="n">
        <v>0</v>
      </c>
      <c r="S4025" s="29" t="n">
        <v>0</v>
      </c>
      <c r="T4025" t="inlineStr">
        <is>
          <t>25260726975620000130570010000077441001801189</t>
        </is>
      </c>
      <c r="U4025" t="inlineStr">
        <is>
          <t>Não</t>
        </is>
      </c>
    </row>
    <row r="4026">
      <c r="A4026" t="inlineStr">
        <is>
          <t>Frete de venda</t>
        </is>
      </c>
      <c r="B4026" t="inlineStr">
        <is>
          <t>2.01.02 Frete sobre Vendas</t>
        </is>
      </c>
      <c r="C4026" s="30" t="n">
        <v>46204</v>
      </c>
      <c r="D4026" t="inlineStr">
        <is>
          <t>Em 2026</t>
        </is>
      </c>
      <c r="E4026" s="28" t="n">
        <v>46226</v>
      </c>
      <c r="F4026" t="inlineStr">
        <is>
          <t>CT-e</t>
        </is>
      </c>
      <c r="G4026" t="inlineStr">
        <is>
          <t>000007745</t>
        </is>
      </c>
      <c r="H4026" t="inlineStr">
        <is>
          <t>R&amp;R TRANSPORTE E LOGISTICA</t>
        </is>
      </c>
      <c r="J4026" s="29" t="n">
        <v>66.01000000000001</v>
      </c>
      <c r="K4026" s="29">
        <f>(1-ISNUMBER(SEARCH("556",M4026)))*(O4026*SUMIFS(Premissas!$C$5:$C$44,Premissas!$A$5:$A$44,$A4026,Premissas!$B$5:$B$44,$B4026)+P4026*SUMIFS(Premissas!$D$5:$D$44,Premissas!$A$5:$A$44,$A4026,Premissas!$B$5:$B$44,$B4026))+R4026*SUMIFS(Premissas!$E$5:$E$44,Premissas!$A$5:$A$44,$A4026,Premissas!$B$5:$B$44,$B4026)+S4026*SUMIFS(Premissas!$F$5:$F$44,Premissas!$A$5:$A$44,$A4026,Premissas!$B$5:$B$44,$B4026)</f>
        <v/>
      </c>
      <c r="L4026" s="29">
        <f>J4026-K4026</f>
        <v/>
      </c>
      <c r="M4026" t="inlineStr">
        <is>
          <t>2.350</t>
        </is>
      </c>
      <c r="N4026" t="inlineStr">
        <is>
          <t>Modalidade: 0 - Por conta do remetente | Parte: PLASTICENTRO LTDA (23.168.206/0001-20)</t>
        </is>
      </c>
      <c r="O4026" s="29" t="n">
        <v>0</v>
      </c>
      <c r="P4026" s="29" t="n">
        <v>0</v>
      </c>
      <c r="Q4026" s="29" t="n">
        <v>0</v>
      </c>
      <c r="R4026" s="29" t="n">
        <v>0</v>
      </c>
      <c r="S4026" s="29" t="n">
        <v>0</v>
      </c>
      <c r="T4026" t="inlineStr">
        <is>
          <t>25260726975620000130570010000077451001501263</t>
        </is>
      </c>
      <c r="U4026" t="inlineStr">
        <is>
          <t>Não</t>
        </is>
      </c>
    </row>
    <row r="4027">
      <c r="A4027" t="inlineStr">
        <is>
          <t>Frete de venda</t>
        </is>
      </c>
      <c r="B4027" t="inlineStr">
        <is>
          <t>2.01.02 Frete sobre Vendas</t>
        </is>
      </c>
      <c r="C4027" s="30" t="n">
        <v>46204</v>
      </c>
      <c r="D4027" t="inlineStr">
        <is>
          <t>Em 2026</t>
        </is>
      </c>
      <c r="E4027" s="28" t="n">
        <v>46226</v>
      </c>
      <c r="F4027" t="inlineStr">
        <is>
          <t>CT-e</t>
        </is>
      </c>
      <c r="G4027" t="inlineStr">
        <is>
          <t>000007746</t>
        </is>
      </c>
      <c r="H4027" t="inlineStr">
        <is>
          <t>R&amp;R TRANSPORTE E LOGISTICA</t>
        </is>
      </c>
      <c r="J4027" s="29" t="n">
        <v>39.58</v>
      </c>
      <c r="K4027" s="29">
        <f>(1-ISNUMBER(SEARCH("556",M4027)))*(O4027*SUMIFS(Premissas!$C$5:$C$44,Premissas!$A$5:$A$44,$A4027,Premissas!$B$5:$B$44,$B4027)+P4027*SUMIFS(Premissas!$D$5:$D$44,Premissas!$A$5:$A$44,$A4027,Premissas!$B$5:$B$44,$B4027))+R4027*SUMIFS(Premissas!$E$5:$E$44,Premissas!$A$5:$A$44,$A4027,Premissas!$B$5:$B$44,$B4027)+S4027*SUMIFS(Premissas!$F$5:$F$44,Premissas!$A$5:$A$44,$A4027,Premissas!$B$5:$B$44,$B4027)</f>
        <v/>
      </c>
      <c r="L4027" s="29">
        <f>J4027-K4027</f>
        <v/>
      </c>
      <c r="M4027" t="inlineStr">
        <is>
          <t>2.350</t>
        </is>
      </c>
      <c r="N4027" t="inlineStr">
        <is>
          <t>Modalidade: 0 - Por conta do remetente | Parte: DED DISTRIBUIDORA DE EMBALAGENS E DESCARTAVEIS LTDA (30.216.827/0001-06)</t>
        </is>
      </c>
      <c r="O4027" s="29" t="n">
        <v>0</v>
      </c>
      <c r="P4027" s="29" t="n">
        <v>0</v>
      </c>
      <c r="Q4027" s="29" t="n">
        <v>0</v>
      </c>
      <c r="R4027" s="29" t="n">
        <v>0</v>
      </c>
      <c r="S4027" s="29" t="n">
        <v>0</v>
      </c>
      <c r="T4027" t="inlineStr">
        <is>
          <t>25260726975620000130570010000077461001201348</t>
        </is>
      </c>
      <c r="U4027" t="inlineStr">
        <is>
          <t>Não</t>
        </is>
      </c>
    </row>
    <row r="4028">
      <c r="A4028" t="inlineStr">
        <is>
          <t>Frete de venda</t>
        </is>
      </c>
      <c r="B4028" t="inlineStr">
        <is>
          <t>2.01.02 Frete sobre Vendas</t>
        </is>
      </c>
      <c r="C4028" s="30" t="n">
        <v>46204</v>
      </c>
      <c r="D4028" t="inlineStr">
        <is>
          <t>Em 2026</t>
        </is>
      </c>
      <c r="E4028" s="28" t="n">
        <v>46226</v>
      </c>
      <c r="F4028" t="inlineStr">
        <is>
          <t>CT-e</t>
        </is>
      </c>
      <c r="G4028" t="inlineStr">
        <is>
          <t>000007747</t>
        </is>
      </c>
      <c r="H4028" t="inlineStr">
        <is>
          <t>R&amp;R TRANSPORTE E LOGISTICA</t>
        </is>
      </c>
      <c r="J4028" s="29" t="n">
        <v>193.12</v>
      </c>
      <c r="K4028" s="29">
        <f>(1-ISNUMBER(SEARCH("556",M4028)))*(O4028*SUMIFS(Premissas!$C$5:$C$44,Premissas!$A$5:$A$44,$A4028,Premissas!$B$5:$B$44,$B4028)+P4028*SUMIFS(Premissas!$D$5:$D$44,Premissas!$A$5:$A$44,$A4028,Premissas!$B$5:$B$44,$B4028))+R4028*SUMIFS(Premissas!$E$5:$E$44,Premissas!$A$5:$A$44,$A4028,Premissas!$B$5:$B$44,$B4028)+S4028*SUMIFS(Premissas!$F$5:$F$44,Premissas!$A$5:$A$44,$A4028,Premissas!$B$5:$B$44,$B4028)</f>
        <v/>
      </c>
      <c r="L4028" s="29">
        <f>J4028-K4028</f>
        <v/>
      </c>
      <c r="M4028" t="inlineStr">
        <is>
          <t>2.350</t>
        </is>
      </c>
      <c r="N4028" t="inlineStr">
        <is>
          <t>Modalidade: 0 - Por conta do remetente | Parte: BRASILPLAST EMBALAGENS E DESCARTAVEIS LTDA (02.771.903/0001-00)</t>
        </is>
      </c>
      <c r="O4028" s="29" t="n">
        <v>0</v>
      </c>
      <c r="P4028" s="29" t="n">
        <v>0</v>
      </c>
      <c r="Q4028" s="29" t="n">
        <v>0</v>
      </c>
      <c r="R4028" s="29" t="n">
        <v>0</v>
      </c>
      <c r="S4028" s="29" t="n">
        <v>0</v>
      </c>
      <c r="T4028" t="inlineStr">
        <is>
          <t>25260726975620000130570010000077471011001420</t>
        </is>
      </c>
      <c r="U4028" t="inlineStr">
        <is>
          <t>Não</t>
        </is>
      </c>
    </row>
    <row r="4029">
      <c r="A4029" t="inlineStr">
        <is>
          <t>Frete de venda</t>
        </is>
      </c>
      <c r="B4029" t="inlineStr">
        <is>
          <t>2.01.02 Frete sobre Vendas</t>
        </is>
      </c>
      <c r="C4029" s="30" t="n">
        <v>46204</v>
      </c>
      <c r="D4029" t="inlineStr">
        <is>
          <t>Em 2026</t>
        </is>
      </c>
      <c r="E4029" s="28" t="n">
        <v>46226</v>
      </c>
      <c r="F4029" t="inlineStr">
        <is>
          <t>CT-e</t>
        </is>
      </c>
      <c r="G4029" t="inlineStr">
        <is>
          <t>000007748</t>
        </is>
      </c>
      <c r="H4029" t="inlineStr">
        <is>
          <t>R&amp;R TRANSPORTE E LOGISTICA</t>
        </is>
      </c>
      <c r="J4029" s="29" t="n">
        <v>30.35</v>
      </c>
      <c r="K4029" s="29">
        <f>(1-ISNUMBER(SEARCH("556",M4029)))*(O4029*SUMIFS(Premissas!$C$5:$C$44,Premissas!$A$5:$A$44,$A4029,Premissas!$B$5:$B$44,$B4029)+P4029*SUMIFS(Premissas!$D$5:$D$44,Premissas!$A$5:$A$44,$A4029,Premissas!$B$5:$B$44,$B4029))+R4029*SUMIFS(Premissas!$E$5:$E$44,Premissas!$A$5:$A$44,$A4029,Premissas!$B$5:$B$44,$B4029)+S4029*SUMIFS(Premissas!$F$5:$F$44,Premissas!$A$5:$A$44,$A4029,Premissas!$B$5:$B$44,$B4029)</f>
        <v/>
      </c>
      <c r="L4029" s="29">
        <f>J4029-K4029</f>
        <v/>
      </c>
      <c r="M4029" t="inlineStr">
        <is>
          <t>1.350</t>
        </is>
      </c>
      <c r="N4029" t="inlineStr">
        <is>
          <t>Modalidade: 0 - Por conta do remetente | Parte: IMPRESART GRAFICA E EDITORA LTDA (05.138.123/0001-07)</t>
        </is>
      </c>
      <c r="O4029" s="29" t="n">
        <v>0</v>
      </c>
      <c r="P4029" s="29" t="n">
        <v>0</v>
      </c>
      <c r="Q4029" s="29" t="n">
        <v>0</v>
      </c>
      <c r="R4029" s="29" t="n">
        <v>0</v>
      </c>
      <c r="S4029" s="29" t="n">
        <v>0</v>
      </c>
      <c r="T4029" t="inlineStr">
        <is>
          <t>25260726975620000130570010000077481001701507</t>
        </is>
      </c>
      <c r="U4029" t="inlineStr">
        <is>
          <t>Não</t>
        </is>
      </c>
    </row>
    <row r="4030">
      <c r="A4030" t="inlineStr">
        <is>
          <t>Frete de venda</t>
        </is>
      </c>
      <c r="B4030" t="inlineStr">
        <is>
          <t>2.01.02 Frete sobre Vendas</t>
        </is>
      </c>
      <c r="C4030" s="30" t="n">
        <v>46204</v>
      </c>
      <c r="D4030" t="inlineStr">
        <is>
          <t>Em 2026</t>
        </is>
      </c>
      <c r="E4030" s="28" t="n">
        <v>46226</v>
      </c>
      <c r="F4030" t="inlineStr">
        <is>
          <t>CT-e</t>
        </is>
      </c>
      <c r="G4030" t="inlineStr">
        <is>
          <t>000007749</t>
        </is>
      </c>
      <c r="H4030" t="inlineStr">
        <is>
          <t>R&amp;R TRANSPORTE E LOGISTICA</t>
        </is>
      </c>
      <c r="J4030" s="29" t="n">
        <v>30.16</v>
      </c>
      <c r="K4030" s="29">
        <f>(1-ISNUMBER(SEARCH("556",M4030)))*(O4030*SUMIFS(Premissas!$C$5:$C$44,Premissas!$A$5:$A$44,$A4030,Premissas!$B$5:$B$44,$B4030)+P4030*SUMIFS(Premissas!$D$5:$D$44,Premissas!$A$5:$A$44,$A4030,Premissas!$B$5:$B$44,$B4030))+R4030*SUMIFS(Premissas!$E$5:$E$44,Premissas!$A$5:$A$44,$A4030,Premissas!$B$5:$B$44,$B4030)+S4030*SUMIFS(Premissas!$F$5:$F$44,Premissas!$A$5:$A$44,$A4030,Premissas!$B$5:$B$44,$B4030)</f>
        <v/>
      </c>
      <c r="L4030" s="29">
        <f>J4030-K4030</f>
        <v/>
      </c>
      <c r="M4030" t="inlineStr">
        <is>
          <t>1.350</t>
        </is>
      </c>
      <c r="N4030" t="inlineStr">
        <is>
          <t>Modalidade: 0 - Por conta do remetente | Parte: UNIAO EMBALAGENS COMERCIO REPRESENTACAO LTDA (02.698.151/0001-90)</t>
        </is>
      </c>
      <c r="O4030" s="29" t="n">
        <v>0</v>
      </c>
      <c r="P4030" s="29" t="n">
        <v>0</v>
      </c>
      <c r="Q4030" s="29" t="n">
        <v>0</v>
      </c>
      <c r="R4030" s="29" t="n">
        <v>0</v>
      </c>
      <c r="S4030" s="29" t="n">
        <v>0</v>
      </c>
      <c r="T4030" t="inlineStr">
        <is>
          <t>25260726975620000130570010000077491001401586</t>
        </is>
      </c>
      <c r="U4030" t="inlineStr">
        <is>
          <t>Não</t>
        </is>
      </c>
    </row>
    <row r="4031">
      <c r="A4031" t="inlineStr">
        <is>
          <t>Frete de venda</t>
        </is>
      </c>
      <c r="B4031" t="inlineStr">
        <is>
          <t>2.01.02 Frete sobre Vendas</t>
        </is>
      </c>
      <c r="C4031" s="30" t="n">
        <v>46204</v>
      </c>
      <c r="D4031" t="inlineStr">
        <is>
          <t>Em 2026</t>
        </is>
      </c>
      <c r="E4031" s="28" t="n">
        <v>46226</v>
      </c>
      <c r="F4031" t="inlineStr">
        <is>
          <t>CT-e</t>
        </is>
      </c>
      <c r="G4031" t="inlineStr">
        <is>
          <t>000007750</t>
        </is>
      </c>
      <c r="H4031" t="inlineStr">
        <is>
          <t>R&amp;R TRANSPORTE E LOGISTICA</t>
        </is>
      </c>
      <c r="J4031" s="29" t="n">
        <v>31.52</v>
      </c>
      <c r="K4031" s="29">
        <f>(1-ISNUMBER(SEARCH("556",M4031)))*(O4031*SUMIFS(Premissas!$C$5:$C$44,Premissas!$A$5:$A$44,$A4031,Premissas!$B$5:$B$44,$B4031)+P4031*SUMIFS(Premissas!$D$5:$D$44,Premissas!$A$5:$A$44,$A4031,Premissas!$B$5:$B$44,$B4031))+R4031*SUMIFS(Premissas!$E$5:$E$44,Premissas!$A$5:$A$44,$A4031,Premissas!$B$5:$B$44,$B4031)+S4031*SUMIFS(Premissas!$F$5:$F$44,Premissas!$A$5:$A$44,$A4031,Premissas!$B$5:$B$44,$B4031)</f>
        <v/>
      </c>
      <c r="L4031" s="29">
        <f>J4031-K4031</f>
        <v/>
      </c>
      <c r="M4031" t="inlineStr">
        <is>
          <t>1.350</t>
        </is>
      </c>
      <c r="N4031" t="inlineStr">
        <is>
          <t>Modalidade: 0 - Por conta do remetente | Parte: ATALAIA DESCARTAVEIS LTDA (59.668.540/0001-90)</t>
        </is>
      </c>
      <c r="O4031" s="29" t="n">
        <v>0</v>
      </c>
      <c r="P4031" s="29" t="n">
        <v>0</v>
      </c>
      <c r="Q4031" s="29" t="n">
        <v>0</v>
      </c>
      <c r="R4031" s="29" t="n">
        <v>0</v>
      </c>
      <c r="S4031" s="29" t="n">
        <v>0</v>
      </c>
      <c r="T4031" t="inlineStr">
        <is>
          <t>25260726975620000130570010000077501001101664</t>
        </is>
      </c>
      <c r="U4031" t="inlineStr">
        <is>
          <t>Não</t>
        </is>
      </c>
    </row>
    <row r="4032">
      <c r="A4032" t="inlineStr">
        <is>
          <t>Frete de venda</t>
        </is>
      </c>
      <c r="B4032" t="inlineStr">
        <is>
          <t>2.01.02 Frete sobre Vendas</t>
        </is>
      </c>
      <c r="C4032" s="30" t="n">
        <v>46204</v>
      </c>
      <c r="D4032" t="inlineStr">
        <is>
          <t>Em 2026</t>
        </is>
      </c>
      <c r="E4032" s="28" t="n">
        <v>46226</v>
      </c>
      <c r="F4032" t="inlineStr">
        <is>
          <t>CT-e</t>
        </is>
      </c>
      <c r="G4032" t="inlineStr">
        <is>
          <t>000007751</t>
        </is>
      </c>
      <c r="H4032" t="inlineStr">
        <is>
          <t>R&amp;R TRANSPORTE E LOGISTICA</t>
        </is>
      </c>
      <c r="J4032" s="29" t="n">
        <v>45.65</v>
      </c>
      <c r="K4032" s="29">
        <f>(1-ISNUMBER(SEARCH("556",M4032)))*(O4032*SUMIFS(Premissas!$C$5:$C$44,Premissas!$A$5:$A$44,$A4032,Premissas!$B$5:$B$44,$B4032)+P4032*SUMIFS(Premissas!$D$5:$D$44,Premissas!$A$5:$A$44,$A4032,Premissas!$B$5:$B$44,$B4032))+R4032*SUMIFS(Premissas!$E$5:$E$44,Premissas!$A$5:$A$44,$A4032,Premissas!$B$5:$B$44,$B4032)+S4032*SUMIFS(Premissas!$F$5:$F$44,Premissas!$A$5:$A$44,$A4032,Premissas!$B$5:$B$44,$B4032)</f>
        <v/>
      </c>
      <c r="L4032" s="29">
        <f>J4032-K4032</f>
        <v/>
      </c>
      <c r="M4032" t="inlineStr">
        <is>
          <t>1.350</t>
        </is>
      </c>
      <c r="N4032" t="inlineStr">
        <is>
          <t>Modalidade: 0 - Por conta do remetente | Parte: TREVO COMERCIO DE EMBALAGENS LTDA (08.178.510/0001-65)</t>
        </is>
      </c>
      <c r="O4032" s="29" t="n">
        <v>0</v>
      </c>
      <c r="P4032" s="29" t="n">
        <v>0</v>
      </c>
      <c r="Q4032" s="29" t="n">
        <v>0</v>
      </c>
      <c r="R4032" s="29" t="n">
        <v>0</v>
      </c>
      <c r="S4032" s="29" t="n">
        <v>0</v>
      </c>
      <c r="T4032" t="inlineStr">
        <is>
          <t>25260726975620000130570010000077511001201011</t>
        </is>
      </c>
      <c r="U4032" t="inlineStr">
        <is>
          <t>Não</t>
        </is>
      </c>
    </row>
    <row r="4033">
      <c r="A4033" t="inlineStr">
        <is>
          <t>Frete de venda</t>
        </is>
      </c>
      <c r="B4033" t="inlineStr">
        <is>
          <t>2.01.02 Frete sobre Vendas</t>
        </is>
      </c>
      <c r="C4033" s="30" t="n">
        <v>46204</v>
      </c>
      <c r="D4033" t="inlineStr">
        <is>
          <t>Em 2026</t>
        </is>
      </c>
      <c r="E4033" s="28" t="n">
        <v>46226</v>
      </c>
      <c r="F4033" t="inlineStr">
        <is>
          <t>CT-e</t>
        </is>
      </c>
      <c r="G4033" t="inlineStr">
        <is>
          <t>000007752</t>
        </is>
      </c>
      <c r="H4033" t="inlineStr">
        <is>
          <t>R&amp;R TRANSPORTE E LOGISTICA</t>
        </is>
      </c>
      <c r="J4033" s="29" t="n">
        <v>37.77</v>
      </c>
      <c r="K4033" s="29">
        <f>(1-ISNUMBER(SEARCH("556",M4033)))*(O4033*SUMIFS(Premissas!$C$5:$C$44,Premissas!$A$5:$A$44,$A4033,Premissas!$B$5:$B$44,$B4033)+P4033*SUMIFS(Premissas!$D$5:$D$44,Premissas!$A$5:$A$44,$A4033,Premissas!$B$5:$B$44,$B4033))+R4033*SUMIFS(Premissas!$E$5:$E$44,Premissas!$A$5:$A$44,$A4033,Premissas!$B$5:$B$44,$B4033)+S4033*SUMIFS(Premissas!$F$5:$F$44,Premissas!$A$5:$A$44,$A4033,Premissas!$B$5:$B$44,$B4033)</f>
        <v/>
      </c>
      <c r="L4033" s="29">
        <f>J4033-K4033</f>
        <v/>
      </c>
      <c r="M4033" t="inlineStr">
        <is>
          <t>1.350</t>
        </is>
      </c>
      <c r="N4033" t="inlineStr">
        <is>
          <t>Modalidade: 0 - Por conta do remetente | Parte: BRASPLAST DISTRIBUIDORA LTDA (51.063.517/0001-60)</t>
        </is>
      </c>
      <c r="O4033" s="29" t="n">
        <v>0</v>
      </c>
      <c r="P4033" s="29" t="n">
        <v>0</v>
      </c>
      <c r="Q4033" s="29" t="n">
        <v>0</v>
      </c>
      <c r="R4033" s="29" t="n">
        <v>0</v>
      </c>
      <c r="S4033" s="29" t="n">
        <v>0</v>
      </c>
      <c r="T4033" t="inlineStr">
        <is>
          <t>25260726975620000130570010000077521011001098</t>
        </is>
      </c>
      <c r="U4033" t="inlineStr">
        <is>
          <t>Não</t>
        </is>
      </c>
    </row>
    <row r="4034">
      <c r="A4034" t="inlineStr">
        <is>
          <t>Frete de venda</t>
        </is>
      </c>
      <c r="B4034" t="inlineStr">
        <is>
          <t>2.01.02 Frete sobre Vendas</t>
        </is>
      </c>
      <c r="C4034" s="30" t="n">
        <v>46204</v>
      </c>
      <c r="D4034" t="inlineStr">
        <is>
          <t>Em 2026</t>
        </is>
      </c>
      <c r="E4034" s="28" t="n">
        <v>46226</v>
      </c>
      <c r="F4034" t="inlineStr">
        <is>
          <t>CT-e</t>
        </is>
      </c>
      <c r="G4034" t="inlineStr">
        <is>
          <t>000007753</t>
        </is>
      </c>
      <c r="H4034" t="inlineStr">
        <is>
          <t>R&amp;R TRANSPORTE E LOGISTICA</t>
        </is>
      </c>
      <c r="J4034" s="29" t="n">
        <v>94.39</v>
      </c>
      <c r="K4034" s="29">
        <f>(1-ISNUMBER(SEARCH("556",M4034)))*(O4034*SUMIFS(Premissas!$C$5:$C$44,Premissas!$A$5:$A$44,$A4034,Premissas!$B$5:$B$44,$B4034)+P4034*SUMIFS(Premissas!$D$5:$D$44,Premissas!$A$5:$A$44,$A4034,Premissas!$B$5:$B$44,$B4034))+R4034*SUMIFS(Premissas!$E$5:$E$44,Premissas!$A$5:$A$44,$A4034,Premissas!$B$5:$B$44,$B4034)+S4034*SUMIFS(Premissas!$F$5:$F$44,Premissas!$A$5:$A$44,$A4034,Premissas!$B$5:$B$44,$B4034)</f>
        <v/>
      </c>
      <c r="L4034" s="29">
        <f>J4034-K4034</f>
        <v/>
      </c>
      <c r="M4034" t="inlineStr">
        <is>
          <t>1.350</t>
        </is>
      </c>
      <c r="N4034" t="inlineStr">
        <is>
          <t>Modalidade: 0 - Por conta do remetente | Parte: EMBALAR DISTRIBUIDORA DE EMBALAGENS LTDA (10.347.424/0001-80)</t>
        </is>
      </c>
      <c r="O4034" s="29" t="n">
        <v>0</v>
      </c>
      <c r="P4034" s="29" t="n">
        <v>0</v>
      </c>
      <c r="Q4034" s="29" t="n">
        <v>0</v>
      </c>
      <c r="R4034" s="29" t="n">
        <v>0</v>
      </c>
      <c r="S4034" s="29" t="n">
        <v>0</v>
      </c>
      <c r="T4034" t="inlineStr">
        <is>
          <t>25260726975620000130570010000077531001701175</t>
        </is>
      </c>
      <c r="U4034" t="inlineStr">
        <is>
          <t>Não</t>
        </is>
      </c>
    </row>
    <row r="4035">
      <c r="A4035" t="inlineStr">
        <is>
          <t>Frete de venda</t>
        </is>
      </c>
      <c r="B4035" t="inlineStr">
        <is>
          <t>2.01.02 Frete sobre Vendas</t>
        </is>
      </c>
      <c r="C4035" s="30" t="n">
        <v>46204</v>
      </c>
      <c r="D4035" t="inlineStr">
        <is>
          <t>Em 2026</t>
        </is>
      </c>
      <c r="E4035" s="28" t="n">
        <v>46226</v>
      </c>
      <c r="F4035" t="inlineStr">
        <is>
          <t>CT-e</t>
        </is>
      </c>
      <c r="G4035" t="inlineStr">
        <is>
          <t>000007754</t>
        </is>
      </c>
      <c r="H4035" t="inlineStr">
        <is>
          <t>R&amp;R TRANSPORTE E LOGISTICA</t>
        </is>
      </c>
      <c r="J4035" s="29" t="n">
        <v>33.5</v>
      </c>
      <c r="K4035" s="29">
        <f>(1-ISNUMBER(SEARCH("556",M4035)))*(O4035*SUMIFS(Premissas!$C$5:$C$44,Premissas!$A$5:$A$44,$A4035,Premissas!$B$5:$B$44,$B4035)+P4035*SUMIFS(Premissas!$D$5:$D$44,Premissas!$A$5:$A$44,$A4035,Premissas!$B$5:$B$44,$B4035))+R4035*SUMIFS(Premissas!$E$5:$E$44,Premissas!$A$5:$A$44,$A4035,Premissas!$B$5:$B$44,$B4035)+S4035*SUMIFS(Premissas!$F$5:$F$44,Premissas!$A$5:$A$44,$A4035,Premissas!$B$5:$B$44,$B4035)</f>
        <v/>
      </c>
      <c r="L4035" s="29">
        <f>J4035-K4035</f>
        <v/>
      </c>
      <c r="M4035" t="inlineStr">
        <is>
          <t>1.350</t>
        </is>
      </c>
      <c r="N4035" t="inlineStr">
        <is>
          <t>Modalidade: 0 - Por conta do remetente | Parte: L e J COMERCIO DE EMBALAGENS LTDA (08.293.267/0001-26)</t>
        </is>
      </c>
      <c r="O4035" s="29" t="n">
        <v>0</v>
      </c>
      <c r="P4035" s="29" t="n">
        <v>0</v>
      </c>
      <c r="Q4035" s="29" t="n">
        <v>0</v>
      </c>
      <c r="R4035" s="29" t="n">
        <v>0</v>
      </c>
      <c r="S4035" s="29" t="n">
        <v>0</v>
      </c>
      <c r="T4035" t="inlineStr">
        <is>
          <t>25260726975620000130570010000077541001401250</t>
        </is>
      </c>
      <c r="U4035" t="inlineStr">
        <is>
          <t>Não</t>
        </is>
      </c>
    </row>
    <row r="4036">
      <c r="A4036" t="inlineStr">
        <is>
          <t>Frete de venda</t>
        </is>
      </c>
      <c r="B4036" t="inlineStr">
        <is>
          <t>2.01.02 Frete sobre Vendas</t>
        </is>
      </c>
      <c r="C4036" s="30" t="n">
        <v>46204</v>
      </c>
      <c r="D4036" t="inlineStr">
        <is>
          <t>Em 2026</t>
        </is>
      </c>
      <c r="E4036" s="28" t="n">
        <v>46227</v>
      </c>
      <c r="F4036" t="inlineStr">
        <is>
          <t>CT-e</t>
        </is>
      </c>
      <c r="G4036" t="inlineStr">
        <is>
          <t>000007757</t>
        </is>
      </c>
      <c r="H4036" t="inlineStr">
        <is>
          <t>R&amp;R TRANSPORTE E LOGISTICA</t>
        </is>
      </c>
      <c r="J4036" s="29" t="n">
        <v>13.52</v>
      </c>
      <c r="K4036" s="29">
        <f>(1-ISNUMBER(SEARCH("556",M4036)))*(O4036*SUMIFS(Premissas!$C$5:$C$44,Premissas!$A$5:$A$44,$A4036,Premissas!$B$5:$B$44,$B4036)+P4036*SUMIFS(Premissas!$D$5:$D$44,Premissas!$A$5:$A$44,$A4036,Premissas!$B$5:$B$44,$B4036))+R4036*SUMIFS(Premissas!$E$5:$E$44,Premissas!$A$5:$A$44,$A4036,Premissas!$B$5:$B$44,$B4036)+S4036*SUMIFS(Premissas!$F$5:$F$44,Premissas!$A$5:$A$44,$A4036,Premissas!$B$5:$B$44,$B4036)</f>
        <v/>
      </c>
      <c r="L4036" s="29">
        <f>J4036-K4036</f>
        <v/>
      </c>
      <c r="M4036" t="inlineStr">
        <is>
          <t>1.350</t>
        </is>
      </c>
      <c r="N4036" t="inlineStr">
        <is>
          <t>Modalidade: 0 - Por conta do remetente | Parte: CANAA COMERCIO DE EMBALAGENS LTDA (44.730.457/0001-27)</t>
        </is>
      </c>
      <c r="O4036" s="29" t="n">
        <v>0</v>
      </c>
      <c r="P4036" s="29" t="n">
        <v>0</v>
      </c>
      <c r="Q4036" s="29" t="n">
        <v>0</v>
      </c>
      <c r="R4036" s="29" t="n">
        <v>0</v>
      </c>
      <c r="S4036" s="29" t="n">
        <v>0</v>
      </c>
      <c r="T4036" t="inlineStr">
        <is>
          <t>25260726975620000130570010000077571001101223</t>
        </is>
      </c>
      <c r="U4036" t="inlineStr">
        <is>
          <t>Não</t>
        </is>
      </c>
    </row>
    <row r="4037">
      <c r="A4037" t="inlineStr">
        <is>
          <t>Frete de venda</t>
        </is>
      </c>
      <c r="B4037" t="inlineStr">
        <is>
          <t>2.01.02 Frete sobre Vendas</t>
        </is>
      </c>
      <c r="C4037" s="30" t="n">
        <v>46204</v>
      </c>
      <c r="D4037" t="inlineStr">
        <is>
          <t>Em 2026</t>
        </is>
      </c>
      <c r="E4037" s="28" t="n">
        <v>46227</v>
      </c>
      <c r="F4037" t="inlineStr">
        <is>
          <t>CT-e</t>
        </is>
      </c>
      <c r="G4037" t="inlineStr">
        <is>
          <t>000007758</t>
        </is>
      </c>
      <c r="H4037" t="inlineStr">
        <is>
          <t>R&amp;R TRANSPORTE E LOGISTICA</t>
        </is>
      </c>
      <c r="J4037" s="29" t="n">
        <v>11.28</v>
      </c>
      <c r="K4037" s="29">
        <f>(1-ISNUMBER(SEARCH("556",M4037)))*(O4037*SUMIFS(Premissas!$C$5:$C$44,Premissas!$A$5:$A$44,$A4037,Premissas!$B$5:$B$44,$B4037)+P4037*SUMIFS(Premissas!$D$5:$D$44,Premissas!$A$5:$A$44,$A4037,Premissas!$B$5:$B$44,$B4037))+R4037*SUMIFS(Premissas!$E$5:$E$44,Premissas!$A$5:$A$44,$A4037,Premissas!$B$5:$B$44,$B4037)+S4037*SUMIFS(Premissas!$F$5:$F$44,Premissas!$A$5:$A$44,$A4037,Premissas!$B$5:$B$44,$B4037)</f>
        <v/>
      </c>
      <c r="L4037" s="29">
        <f>J4037-K4037</f>
        <v/>
      </c>
      <c r="M4037" t="inlineStr">
        <is>
          <t>1.350</t>
        </is>
      </c>
      <c r="N4037" t="inlineStr">
        <is>
          <t>Modalidade: 0 - Por conta do remetente | Parte: SACOLA FORTE COMERCIO DE EMBALAGENS LTDA (50.626.070/0001-28)</t>
        </is>
      </c>
      <c r="O4037" s="29" t="n">
        <v>0</v>
      </c>
      <c r="P4037" s="29" t="n">
        <v>0</v>
      </c>
      <c r="Q4037" s="29" t="n">
        <v>0</v>
      </c>
      <c r="R4037" s="29" t="n">
        <v>0</v>
      </c>
      <c r="S4037" s="29" t="n">
        <v>0</v>
      </c>
      <c r="T4037" t="inlineStr">
        <is>
          <t>25260726975620000130570010000077581001901308</t>
        </is>
      </c>
      <c r="U4037" t="inlineStr">
        <is>
          <t>Não</t>
        </is>
      </c>
    </row>
    <row r="4038">
      <c r="A4038" t="inlineStr">
        <is>
          <t>Frete de venda</t>
        </is>
      </c>
      <c r="B4038" t="inlineStr">
        <is>
          <t>2.01.02 Frete sobre Vendas</t>
        </is>
      </c>
      <c r="C4038" s="30" t="n">
        <v>46204</v>
      </c>
      <c r="D4038" t="inlineStr">
        <is>
          <t>Em 2026</t>
        </is>
      </c>
      <c r="E4038" s="28" t="n">
        <v>46227</v>
      </c>
      <c r="F4038" t="inlineStr">
        <is>
          <t>CT-e</t>
        </is>
      </c>
      <c r="G4038" t="inlineStr">
        <is>
          <t>000007759</t>
        </is>
      </c>
      <c r="H4038" t="inlineStr">
        <is>
          <t>R&amp;R TRANSPORTE E LOGISTICA</t>
        </is>
      </c>
      <c r="J4038" s="29" t="n">
        <v>16.48</v>
      </c>
      <c r="K4038" s="29">
        <f>(1-ISNUMBER(SEARCH("556",M4038)))*(O4038*SUMIFS(Premissas!$C$5:$C$44,Premissas!$A$5:$A$44,$A4038,Premissas!$B$5:$B$44,$B4038)+P4038*SUMIFS(Premissas!$D$5:$D$44,Premissas!$A$5:$A$44,$A4038,Premissas!$B$5:$B$44,$B4038))+R4038*SUMIFS(Premissas!$E$5:$E$44,Premissas!$A$5:$A$44,$A4038,Premissas!$B$5:$B$44,$B4038)+S4038*SUMIFS(Premissas!$F$5:$F$44,Premissas!$A$5:$A$44,$A4038,Premissas!$B$5:$B$44,$B4038)</f>
        <v/>
      </c>
      <c r="L4038" s="29">
        <f>J4038-K4038</f>
        <v/>
      </c>
      <c r="M4038" t="inlineStr">
        <is>
          <t>1.350</t>
        </is>
      </c>
      <c r="N4038" t="inlineStr">
        <is>
          <t>Modalidade: 0 - Por conta do remetente | Parte: FELIPE SARAIVA SANTOS (27.138.356/0001-42)</t>
        </is>
      </c>
      <c r="O4038" s="29" t="n">
        <v>0</v>
      </c>
      <c r="P4038" s="29" t="n">
        <v>0</v>
      </c>
      <c r="Q4038" s="29" t="n">
        <v>0</v>
      </c>
      <c r="R4038" s="29" t="n">
        <v>0</v>
      </c>
      <c r="S4038" s="29" t="n">
        <v>0</v>
      </c>
      <c r="T4038" t="inlineStr">
        <is>
          <t>25260726975620000130570010000077591001601387</t>
        </is>
      </c>
      <c r="U4038" t="inlineStr">
        <is>
          <t>Não</t>
        </is>
      </c>
    </row>
    <row r="4039">
      <c r="A4039" t="inlineStr">
        <is>
          <t>Frete de venda</t>
        </is>
      </c>
      <c r="B4039" t="inlineStr">
        <is>
          <t>2.01.02 Frete sobre Vendas</t>
        </is>
      </c>
      <c r="C4039" s="30" t="n">
        <v>46204</v>
      </c>
      <c r="D4039" t="inlineStr">
        <is>
          <t>Em 2026</t>
        </is>
      </c>
      <c r="E4039" s="28" t="n">
        <v>46227</v>
      </c>
      <c r="F4039" t="inlineStr">
        <is>
          <t>CT-e</t>
        </is>
      </c>
      <c r="G4039" t="inlineStr">
        <is>
          <t>000007760</t>
        </is>
      </c>
      <c r="H4039" t="inlineStr">
        <is>
          <t>R&amp;R TRANSPORTE E LOGISTICA</t>
        </is>
      </c>
      <c r="J4039" s="29" t="n">
        <v>12.33</v>
      </c>
      <c r="K4039" s="29">
        <f>(1-ISNUMBER(SEARCH("556",M4039)))*(O4039*SUMIFS(Premissas!$C$5:$C$44,Premissas!$A$5:$A$44,$A4039,Premissas!$B$5:$B$44,$B4039)+P4039*SUMIFS(Premissas!$D$5:$D$44,Premissas!$A$5:$A$44,$A4039,Premissas!$B$5:$B$44,$B4039))+R4039*SUMIFS(Premissas!$E$5:$E$44,Premissas!$A$5:$A$44,$A4039,Premissas!$B$5:$B$44,$B4039)+S4039*SUMIFS(Premissas!$F$5:$F$44,Premissas!$A$5:$A$44,$A4039,Premissas!$B$5:$B$44,$B4039)</f>
        <v/>
      </c>
      <c r="L4039" s="29">
        <f>J4039-K4039</f>
        <v/>
      </c>
      <c r="M4039" t="inlineStr">
        <is>
          <t>1.350</t>
        </is>
      </c>
      <c r="N4039" t="inlineStr">
        <is>
          <t>Modalidade: 0 - Por conta do remetente | Parte: EMBALAGENS GOIAS LTDA (04.521.976/0001-60)</t>
        </is>
      </c>
      <c r="O4039" s="29" t="n">
        <v>0</v>
      </c>
      <c r="P4039" s="29" t="n">
        <v>0</v>
      </c>
      <c r="Q4039" s="29" t="n">
        <v>0</v>
      </c>
      <c r="R4039" s="29" t="n">
        <v>0</v>
      </c>
      <c r="S4039" s="29" t="n">
        <v>0</v>
      </c>
      <c r="T4039" t="inlineStr">
        <is>
          <t>25260726975620000130570010000077601001301465</t>
        </is>
      </c>
      <c r="U4039" t="inlineStr">
        <is>
          <t>Não</t>
        </is>
      </c>
    </row>
    <row r="4040">
      <c r="A4040" t="inlineStr">
        <is>
          <t>Frete de venda</t>
        </is>
      </c>
      <c r="B4040" t="inlineStr">
        <is>
          <t>2.01.02 Frete sobre Vendas</t>
        </is>
      </c>
      <c r="C4040" s="30" t="n">
        <v>46204</v>
      </c>
      <c r="D4040" t="inlineStr">
        <is>
          <t>Em 2026</t>
        </is>
      </c>
      <c r="E4040" s="28" t="n">
        <v>46227</v>
      </c>
      <c r="F4040" t="inlineStr">
        <is>
          <t>CT-e</t>
        </is>
      </c>
      <c r="G4040" t="inlineStr">
        <is>
          <t>000007761</t>
        </is>
      </c>
      <c r="H4040" t="inlineStr">
        <is>
          <t>R&amp;R TRANSPORTE E LOGISTICA</t>
        </is>
      </c>
      <c r="J4040" s="29" t="n">
        <v>10.38</v>
      </c>
      <c r="K4040" s="29">
        <f>(1-ISNUMBER(SEARCH("556",M4040)))*(O4040*SUMIFS(Premissas!$C$5:$C$44,Premissas!$A$5:$A$44,$A4040,Premissas!$B$5:$B$44,$B4040)+P4040*SUMIFS(Premissas!$D$5:$D$44,Premissas!$A$5:$A$44,$A4040,Premissas!$B$5:$B$44,$B4040))+R4040*SUMIFS(Premissas!$E$5:$E$44,Premissas!$A$5:$A$44,$A4040,Premissas!$B$5:$B$44,$B4040)+S4040*SUMIFS(Premissas!$F$5:$F$44,Premissas!$A$5:$A$44,$A4040,Premissas!$B$5:$B$44,$B4040)</f>
        <v/>
      </c>
      <c r="L4040" s="29">
        <f>J4040-K4040</f>
        <v/>
      </c>
      <c r="M4040" t="inlineStr">
        <is>
          <t>1.350</t>
        </is>
      </c>
      <c r="N4040" t="inlineStr">
        <is>
          <t>Modalidade: 0 - Por conta do remetente | Parte: MAURI FESTA LTDA (15.299.740/0002-29)</t>
        </is>
      </c>
      <c r="O4040" s="29" t="n">
        <v>0</v>
      </c>
      <c r="P4040" s="29" t="n">
        <v>0</v>
      </c>
      <c r="Q4040" s="29" t="n">
        <v>0</v>
      </c>
      <c r="R4040" s="29" t="n">
        <v>0</v>
      </c>
      <c r="S4040" s="29" t="n">
        <v>0</v>
      </c>
      <c r="T4040" t="inlineStr">
        <is>
          <t>25260726975620000130570010000077611000101540</t>
        </is>
      </c>
      <c r="U4040" t="inlineStr">
        <is>
          <t>Não</t>
        </is>
      </c>
    </row>
    <row r="4041">
      <c r="A4041" t="inlineStr">
        <is>
          <t>Frete de venda</t>
        </is>
      </c>
      <c r="B4041" t="inlineStr">
        <is>
          <t>2.01.02 Frete sobre Vendas</t>
        </is>
      </c>
      <c r="C4041" s="30" t="n">
        <v>46204</v>
      </c>
      <c r="D4041" t="inlineStr">
        <is>
          <t>Em 2026</t>
        </is>
      </c>
      <c r="E4041" s="28" t="n">
        <v>46227</v>
      </c>
      <c r="F4041" t="inlineStr">
        <is>
          <t>CT-e</t>
        </is>
      </c>
      <c r="G4041" t="inlineStr">
        <is>
          <t>000007762</t>
        </is>
      </c>
      <c r="H4041" t="inlineStr">
        <is>
          <t>R&amp;R TRANSPORTE E LOGISTICA</t>
        </is>
      </c>
      <c r="J4041" s="29" t="n">
        <v>13.82</v>
      </c>
      <c r="K4041" s="29">
        <f>(1-ISNUMBER(SEARCH("556",M4041)))*(O4041*SUMIFS(Premissas!$C$5:$C$44,Premissas!$A$5:$A$44,$A4041,Premissas!$B$5:$B$44,$B4041)+P4041*SUMIFS(Premissas!$D$5:$D$44,Premissas!$A$5:$A$44,$A4041,Premissas!$B$5:$B$44,$B4041))+R4041*SUMIFS(Premissas!$E$5:$E$44,Premissas!$A$5:$A$44,$A4041,Premissas!$B$5:$B$44,$B4041)+S4041*SUMIFS(Premissas!$F$5:$F$44,Premissas!$A$5:$A$44,$A4041,Premissas!$B$5:$B$44,$B4041)</f>
        <v/>
      </c>
      <c r="L4041" s="29">
        <f>J4041-K4041</f>
        <v/>
      </c>
      <c r="M4041" t="inlineStr">
        <is>
          <t>1.350</t>
        </is>
      </c>
      <c r="N4041" t="inlineStr">
        <is>
          <t>Modalidade: 0 - Por conta do remetente | Parte: EDINALDO MATOS SANTA ROSA (30.651.989/0001-64)</t>
        </is>
      </c>
      <c r="O4041" s="29" t="n">
        <v>0</v>
      </c>
      <c r="P4041" s="29" t="n">
        <v>0</v>
      </c>
      <c r="Q4041" s="29" t="n">
        <v>0</v>
      </c>
      <c r="R4041" s="29" t="n">
        <v>0</v>
      </c>
      <c r="S4041" s="29" t="n">
        <v>0</v>
      </c>
      <c r="T4041" t="inlineStr">
        <is>
          <t>25260726975620000130570010000077621001801624</t>
        </is>
      </c>
      <c r="U4041" t="inlineStr">
        <is>
          <t>Não</t>
        </is>
      </c>
    </row>
    <row r="4042">
      <c r="A4042" t="inlineStr">
        <is>
          <t>Frete de venda</t>
        </is>
      </c>
      <c r="B4042" t="inlineStr">
        <is>
          <t>2.01.02 Frete sobre Vendas</t>
        </is>
      </c>
      <c r="C4042" s="30" t="n">
        <v>46204</v>
      </c>
      <c r="D4042" t="inlineStr">
        <is>
          <t>Em 2026</t>
        </is>
      </c>
      <c r="E4042" s="28" t="n">
        <v>46227</v>
      </c>
      <c r="F4042" t="inlineStr">
        <is>
          <t>CT-e</t>
        </is>
      </c>
      <c r="G4042" t="inlineStr">
        <is>
          <t>000007763</t>
        </is>
      </c>
      <c r="H4042" t="inlineStr">
        <is>
          <t>R&amp;R TRANSPORTE E LOGISTICA</t>
        </is>
      </c>
      <c r="J4042" s="29" t="n">
        <v>9.300000000000001</v>
      </c>
      <c r="K4042" s="29">
        <f>(1-ISNUMBER(SEARCH("556",M4042)))*(O4042*SUMIFS(Premissas!$C$5:$C$44,Premissas!$A$5:$A$44,$A4042,Premissas!$B$5:$B$44,$B4042)+P4042*SUMIFS(Premissas!$D$5:$D$44,Premissas!$A$5:$A$44,$A4042,Premissas!$B$5:$B$44,$B4042))+R4042*SUMIFS(Premissas!$E$5:$E$44,Premissas!$A$5:$A$44,$A4042,Premissas!$B$5:$B$44,$B4042)+S4042*SUMIFS(Premissas!$F$5:$F$44,Premissas!$A$5:$A$44,$A4042,Premissas!$B$5:$B$44,$B4042)</f>
        <v/>
      </c>
      <c r="L4042" s="29">
        <f>J4042-K4042</f>
        <v/>
      </c>
      <c r="M4042" t="inlineStr">
        <is>
          <t>1.350</t>
        </is>
      </c>
      <c r="N4042" t="inlineStr">
        <is>
          <t>Modalidade: 0 - Por conta do remetente | Parte: MASS COMERCIO DE EMBALAGENS LTDA (24.396.854/0001-05)</t>
        </is>
      </c>
      <c r="O4042" s="29" t="n">
        <v>0</v>
      </c>
      <c r="P4042" s="29" t="n">
        <v>0</v>
      </c>
      <c r="Q4042" s="29" t="n">
        <v>0</v>
      </c>
      <c r="R4042" s="29" t="n">
        <v>0</v>
      </c>
      <c r="S4042" s="29" t="n">
        <v>0</v>
      </c>
      <c r="T4042" t="inlineStr">
        <is>
          <t>25260726975620000130570010000077631001501709</t>
        </is>
      </c>
      <c r="U4042" t="inlineStr">
        <is>
          <t>Não</t>
        </is>
      </c>
    </row>
    <row r="4043">
      <c r="A4043" t="inlineStr">
        <is>
          <t>Frete de venda</t>
        </is>
      </c>
      <c r="B4043" t="inlineStr">
        <is>
          <t>2.01.02 Frete sobre Vendas</t>
        </is>
      </c>
      <c r="C4043" s="30" t="n">
        <v>46204</v>
      </c>
      <c r="D4043" t="inlineStr">
        <is>
          <t>Em 2026</t>
        </is>
      </c>
      <c r="E4043" s="28" t="n">
        <v>46227</v>
      </c>
      <c r="F4043" t="inlineStr">
        <is>
          <t>CT-e</t>
        </is>
      </c>
      <c r="G4043" t="inlineStr">
        <is>
          <t>000007764</t>
        </is>
      </c>
      <c r="H4043" t="inlineStr">
        <is>
          <t>R&amp;R TRANSPORTE E LOGISTICA</t>
        </is>
      </c>
      <c r="J4043" s="29" t="n">
        <v>20.3</v>
      </c>
      <c r="K4043" s="29">
        <f>(1-ISNUMBER(SEARCH("556",M4043)))*(O4043*SUMIFS(Premissas!$C$5:$C$44,Premissas!$A$5:$A$44,$A4043,Premissas!$B$5:$B$44,$B4043)+P4043*SUMIFS(Premissas!$D$5:$D$44,Premissas!$A$5:$A$44,$A4043,Premissas!$B$5:$B$44,$B4043))+R4043*SUMIFS(Premissas!$E$5:$E$44,Premissas!$A$5:$A$44,$A4043,Premissas!$B$5:$B$44,$B4043)+S4043*SUMIFS(Premissas!$F$5:$F$44,Premissas!$A$5:$A$44,$A4043,Premissas!$B$5:$B$44,$B4043)</f>
        <v/>
      </c>
      <c r="L4043" s="29">
        <f>J4043-K4043</f>
        <v/>
      </c>
      <c r="M4043" t="inlineStr">
        <is>
          <t>1.350</t>
        </is>
      </c>
      <c r="N4043" t="inlineStr">
        <is>
          <t>Modalidade: 0 - Por conta do remetente | Parte: AMIL ATACADO LTDA (23.358.540/0001-47)</t>
        </is>
      </c>
      <c r="O4043" s="29" t="n">
        <v>0</v>
      </c>
      <c r="P4043" s="29" t="n">
        <v>0</v>
      </c>
      <c r="Q4043" s="29" t="n">
        <v>0</v>
      </c>
      <c r="R4043" s="29" t="n">
        <v>0</v>
      </c>
      <c r="S4043" s="29" t="n">
        <v>0</v>
      </c>
      <c r="T4043" t="inlineStr">
        <is>
          <t>25260726975620000130570010000077641001201788</t>
        </is>
      </c>
      <c r="U4043" t="inlineStr">
        <is>
          <t>Não</t>
        </is>
      </c>
    </row>
    <row r="4044">
      <c r="A4044" t="inlineStr">
        <is>
          <t>Frete de venda</t>
        </is>
      </c>
      <c r="B4044" t="inlineStr">
        <is>
          <t>2.01.02 Frete sobre Vendas</t>
        </is>
      </c>
      <c r="C4044" s="30" t="n">
        <v>46204</v>
      </c>
      <c r="D4044" t="inlineStr">
        <is>
          <t>Em 2026</t>
        </is>
      </c>
      <c r="E4044" s="28" t="n">
        <v>46227</v>
      </c>
      <c r="F4044" t="inlineStr">
        <is>
          <t>CT-e</t>
        </is>
      </c>
      <c r="G4044" t="inlineStr">
        <is>
          <t>000007765</t>
        </is>
      </c>
      <c r="H4044" t="inlineStr">
        <is>
          <t>R&amp;R TRANSPORTE E LOGISTICA</t>
        </is>
      </c>
      <c r="J4044" s="29" t="n">
        <v>30.5</v>
      </c>
      <c r="K4044" s="29">
        <f>(1-ISNUMBER(SEARCH("556",M4044)))*(O4044*SUMIFS(Premissas!$C$5:$C$44,Premissas!$A$5:$A$44,$A4044,Premissas!$B$5:$B$44,$B4044)+P4044*SUMIFS(Premissas!$D$5:$D$44,Premissas!$A$5:$A$44,$A4044,Premissas!$B$5:$B$44,$B4044))+R4044*SUMIFS(Premissas!$E$5:$E$44,Premissas!$A$5:$A$44,$A4044,Premissas!$B$5:$B$44,$B4044)+S4044*SUMIFS(Premissas!$F$5:$F$44,Premissas!$A$5:$A$44,$A4044,Premissas!$B$5:$B$44,$B4044)</f>
        <v/>
      </c>
      <c r="L4044" s="29">
        <f>J4044-K4044</f>
        <v/>
      </c>
      <c r="M4044" t="inlineStr">
        <is>
          <t>1.350</t>
        </is>
      </c>
      <c r="N4044" t="inlineStr">
        <is>
          <t>Modalidade: 0 - Por conta do remetente | Parte: DPH DISTRIBUIDORA DE EMBALAGENS LTDA (21.781.377/0001-03)</t>
        </is>
      </c>
      <c r="O4044" s="29" t="n">
        <v>0</v>
      </c>
      <c r="P4044" s="29" t="n">
        <v>0</v>
      </c>
      <c r="Q4044" s="29" t="n">
        <v>0</v>
      </c>
      <c r="R4044" s="29" t="n">
        <v>0</v>
      </c>
      <c r="S4044" s="29" t="n">
        <v>0</v>
      </c>
      <c r="T4044" t="inlineStr">
        <is>
          <t>25260726975620000130570010000077651011001860</t>
        </is>
      </c>
      <c r="U4044" t="inlineStr">
        <is>
          <t>Não</t>
        </is>
      </c>
    </row>
    <row r="4045">
      <c r="A4045" t="inlineStr">
        <is>
          <t>Frete de venda</t>
        </is>
      </c>
      <c r="B4045" t="inlineStr">
        <is>
          <t>2.01.02 Frete sobre Vendas</t>
        </is>
      </c>
      <c r="C4045" s="30" t="n">
        <v>46204</v>
      </c>
      <c r="D4045" t="inlineStr">
        <is>
          <t>Em 2026</t>
        </is>
      </c>
      <c r="E4045" s="28" t="n">
        <v>46227</v>
      </c>
      <c r="F4045" t="inlineStr">
        <is>
          <t>CT-e</t>
        </is>
      </c>
      <c r="G4045" t="inlineStr">
        <is>
          <t>000007766</t>
        </is>
      </c>
      <c r="H4045" t="inlineStr">
        <is>
          <t>R&amp;R TRANSPORTE E LOGISTICA</t>
        </is>
      </c>
      <c r="J4045" s="29" t="n">
        <v>20.63</v>
      </c>
      <c r="K4045" s="29">
        <f>(1-ISNUMBER(SEARCH("556",M4045)))*(O4045*SUMIFS(Premissas!$C$5:$C$44,Premissas!$A$5:$A$44,$A4045,Premissas!$B$5:$B$44,$B4045)+P4045*SUMIFS(Premissas!$D$5:$D$44,Premissas!$A$5:$A$44,$A4045,Premissas!$B$5:$B$44,$B4045))+R4045*SUMIFS(Premissas!$E$5:$E$44,Premissas!$A$5:$A$44,$A4045,Premissas!$B$5:$B$44,$B4045)+S4045*SUMIFS(Premissas!$F$5:$F$44,Premissas!$A$5:$A$44,$A4045,Premissas!$B$5:$B$44,$B4045)</f>
        <v/>
      </c>
      <c r="L4045" s="29">
        <f>J4045-K4045</f>
        <v/>
      </c>
      <c r="M4045" t="inlineStr">
        <is>
          <t>1.350</t>
        </is>
      </c>
      <c r="N4045" t="inlineStr">
        <is>
          <t>Modalidade: 0 - Por conta do remetente | Parte: REINALDO CASSIANO TABONI (28.524.883/0001-58)</t>
        </is>
      </c>
      <c r="O4045" s="29" t="n">
        <v>0</v>
      </c>
      <c r="P4045" s="29" t="n">
        <v>0</v>
      </c>
      <c r="Q4045" s="29" t="n">
        <v>0</v>
      </c>
      <c r="R4045" s="29" t="n">
        <v>0</v>
      </c>
      <c r="S4045" s="29" t="n">
        <v>0</v>
      </c>
      <c r="T4045" t="inlineStr">
        <is>
          <t>25260726975620000130570010000077661001701947</t>
        </is>
      </c>
      <c r="U4045" t="inlineStr">
        <is>
          <t>Não</t>
        </is>
      </c>
    </row>
    <row r="4046">
      <c r="A4046" t="inlineStr">
        <is>
          <t>Frete de venda</t>
        </is>
      </c>
      <c r="B4046" t="inlineStr">
        <is>
          <t>2.01.02 Frete sobre Vendas</t>
        </is>
      </c>
      <c r="C4046" s="30" t="n">
        <v>46204</v>
      </c>
      <c r="D4046" t="inlineStr">
        <is>
          <t>Em 2026</t>
        </is>
      </c>
      <c r="E4046" s="28" t="n">
        <v>46227</v>
      </c>
      <c r="F4046" t="inlineStr">
        <is>
          <t>CT-e</t>
        </is>
      </c>
      <c r="G4046" t="inlineStr">
        <is>
          <t>000007767</t>
        </is>
      </c>
      <c r="H4046" t="inlineStr">
        <is>
          <t>R&amp;R TRANSPORTE E LOGISTICA</t>
        </is>
      </c>
      <c r="J4046" s="29" t="n">
        <v>39.41</v>
      </c>
      <c r="K4046" s="29">
        <f>(1-ISNUMBER(SEARCH("556",M4046)))*(O4046*SUMIFS(Premissas!$C$5:$C$44,Premissas!$A$5:$A$44,$A4046,Premissas!$B$5:$B$44,$B4046)+P4046*SUMIFS(Premissas!$D$5:$D$44,Premissas!$A$5:$A$44,$A4046,Premissas!$B$5:$B$44,$B4046))+R4046*SUMIFS(Premissas!$E$5:$E$44,Premissas!$A$5:$A$44,$A4046,Premissas!$B$5:$B$44,$B4046)+S4046*SUMIFS(Premissas!$F$5:$F$44,Premissas!$A$5:$A$44,$A4046,Premissas!$B$5:$B$44,$B4046)</f>
        <v/>
      </c>
      <c r="L4046" s="29">
        <f>J4046-K4046</f>
        <v/>
      </c>
      <c r="M4046" t="inlineStr">
        <is>
          <t>1.350</t>
        </is>
      </c>
      <c r="N4046" t="inlineStr">
        <is>
          <t>Modalidade: 0 - Por conta do remetente | Parte: TC COMERCIO DE EMBALAGENS LTDA (97.193.502/0001-18)</t>
        </is>
      </c>
      <c r="O4046" s="29" t="n">
        <v>0</v>
      </c>
      <c r="P4046" s="29" t="n">
        <v>0</v>
      </c>
      <c r="Q4046" s="29" t="n">
        <v>0</v>
      </c>
      <c r="R4046" s="29" t="n">
        <v>0</v>
      </c>
      <c r="S4046" s="29" t="n">
        <v>0</v>
      </c>
      <c r="T4046" t="inlineStr">
        <is>
          <t>25260726975620000130570010000077671001801299</t>
        </is>
      </c>
      <c r="U4046" t="inlineStr">
        <is>
          <t>Não</t>
        </is>
      </c>
    </row>
    <row r="4047">
      <c r="A4047" t="inlineStr">
        <is>
          <t>Frete de venda</t>
        </is>
      </c>
      <c r="B4047" t="inlineStr">
        <is>
          <t>2.01.02 Frete sobre Vendas</t>
        </is>
      </c>
      <c r="C4047" s="30" t="n">
        <v>46204</v>
      </c>
      <c r="D4047" t="inlineStr">
        <is>
          <t>Em 2026</t>
        </is>
      </c>
      <c r="E4047" s="28" t="n">
        <v>46227</v>
      </c>
      <c r="F4047" t="inlineStr">
        <is>
          <t>CT-e</t>
        </is>
      </c>
      <c r="G4047" t="inlineStr">
        <is>
          <t>000007768</t>
        </is>
      </c>
      <c r="H4047" t="inlineStr">
        <is>
          <t>R&amp;R TRANSPORTE E LOGISTICA</t>
        </is>
      </c>
      <c r="J4047" s="29" t="n">
        <v>22.7</v>
      </c>
      <c r="K4047" s="29">
        <f>(1-ISNUMBER(SEARCH("556",M4047)))*(O4047*SUMIFS(Premissas!$C$5:$C$44,Premissas!$A$5:$A$44,$A4047,Premissas!$B$5:$B$44,$B4047)+P4047*SUMIFS(Premissas!$D$5:$D$44,Premissas!$A$5:$A$44,$A4047,Premissas!$B$5:$B$44,$B4047))+R4047*SUMIFS(Premissas!$E$5:$E$44,Premissas!$A$5:$A$44,$A4047,Premissas!$B$5:$B$44,$B4047)+S4047*SUMIFS(Premissas!$F$5:$F$44,Premissas!$A$5:$A$44,$A4047,Premissas!$B$5:$B$44,$B4047)</f>
        <v/>
      </c>
      <c r="L4047" s="29">
        <f>J4047-K4047</f>
        <v/>
      </c>
      <c r="M4047" t="inlineStr">
        <is>
          <t>1.350</t>
        </is>
      </c>
      <c r="N4047" t="inlineStr">
        <is>
          <t>Modalidade: 0 - Por conta do remetente | Parte: COMERCIO E REPRESENTACOES BELLATO LTDA (83.215.830/0001-63)</t>
        </is>
      </c>
      <c r="O4047" s="29" t="n">
        <v>0</v>
      </c>
      <c r="P4047" s="29" t="n">
        <v>0</v>
      </c>
      <c r="Q4047" s="29" t="n">
        <v>0</v>
      </c>
      <c r="R4047" s="29" t="n">
        <v>0</v>
      </c>
      <c r="S4047" s="29" t="n">
        <v>0</v>
      </c>
      <c r="T4047" t="inlineStr">
        <is>
          <t>25260726975620000130570010000077681001501373</t>
        </is>
      </c>
      <c r="U4047" t="inlineStr">
        <is>
          <t>Não</t>
        </is>
      </c>
    </row>
    <row r="4048">
      <c r="A4048" t="inlineStr">
        <is>
          <t>Frete de venda</t>
        </is>
      </c>
      <c r="B4048" t="inlineStr">
        <is>
          <t>2.01.02 Frete sobre Vendas</t>
        </is>
      </c>
      <c r="C4048" s="30" t="n">
        <v>46204</v>
      </c>
      <c r="D4048" t="inlineStr">
        <is>
          <t>Em 2026</t>
        </is>
      </c>
      <c r="E4048" s="28" t="n">
        <v>46227</v>
      </c>
      <c r="F4048" t="inlineStr">
        <is>
          <t>CT-e</t>
        </is>
      </c>
      <c r="G4048" t="inlineStr">
        <is>
          <t>000007769</t>
        </is>
      </c>
      <c r="H4048" t="inlineStr">
        <is>
          <t>R&amp;R TRANSPORTE E LOGISTICA</t>
        </is>
      </c>
      <c r="J4048" s="29" t="n">
        <v>36.46</v>
      </c>
      <c r="K4048" s="29">
        <f>(1-ISNUMBER(SEARCH("556",M4048)))*(O4048*SUMIFS(Premissas!$C$5:$C$44,Premissas!$A$5:$A$44,$A4048,Premissas!$B$5:$B$44,$B4048)+P4048*SUMIFS(Premissas!$D$5:$D$44,Premissas!$A$5:$A$44,$A4048,Premissas!$B$5:$B$44,$B4048))+R4048*SUMIFS(Premissas!$E$5:$E$44,Premissas!$A$5:$A$44,$A4048,Premissas!$B$5:$B$44,$B4048)+S4048*SUMIFS(Premissas!$F$5:$F$44,Premissas!$A$5:$A$44,$A4048,Premissas!$B$5:$B$44,$B4048)</f>
        <v/>
      </c>
      <c r="L4048" s="29">
        <f>J4048-K4048</f>
        <v/>
      </c>
      <c r="M4048" t="inlineStr">
        <is>
          <t>1.350</t>
        </is>
      </c>
      <c r="N4048" t="inlineStr">
        <is>
          <t>Modalidade: 0 - Por conta do remetente | Parte: MEIRE F. P. LOURENCO (11.719.420/0001-49)</t>
        </is>
      </c>
      <c r="O4048" s="29" t="n">
        <v>0</v>
      </c>
      <c r="P4048" s="29" t="n">
        <v>0</v>
      </c>
      <c r="Q4048" s="29" t="n">
        <v>0</v>
      </c>
      <c r="R4048" s="29" t="n">
        <v>0</v>
      </c>
      <c r="S4048" s="29" t="n">
        <v>0</v>
      </c>
      <c r="T4048" t="inlineStr">
        <is>
          <t>25260726975620000130570010000077691001201458</t>
        </is>
      </c>
      <c r="U4048" t="inlineStr">
        <is>
          <t>Não</t>
        </is>
      </c>
    </row>
    <row r="4049">
      <c r="A4049" t="inlineStr">
        <is>
          <t>Frete de venda</t>
        </is>
      </c>
      <c r="B4049" t="inlineStr">
        <is>
          <t>2.01.02 Frete sobre Vendas</t>
        </is>
      </c>
      <c r="C4049" s="30" t="n">
        <v>46204</v>
      </c>
      <c r="D4049" t="inlineStr">
        <is>
          <t>Em 2026</t>
        </is>
      </c>
      <c r="E4049" s="28" t="n">
        <v>46227</v>
      </c>
      <c r="F4049" t="inlineStr">
        <is>
          <t>CT-e</t>
        </is>
      </c>
      <c r="G4049" t="inlineStr">
        <is>
          <t>000007770</t>
        </is>
      </c>
      <c r="H4049" t="inlineStr">
        <is>
          <t>R&amp;R TRANSPORTE E LOGISTICA</t>
        </is>
      </c>
      <c r="J4049" s="29" t="n">
        <v>22.53</v>
      </c>
      <c r="K4049" s="29">
        <f>(1-ISNUMBER(SEARCH("556",M4049)))*(O4049*SUMIFS(Premissas!$C$5:$C$44,Premissas!$A$5:$A$44,$A4049,Premissas!$B$5:$B$44,$B4049)+P4049*SUMIFS(Premissas!$D$5:$D$44,Premissas!$A$5:$A$44,$A4049,Premissas!$B$5:$B$44,$B4049))+R4049*SUMIFS(Premissas!$E$5:$E$44,Premissas!$A$5:$A$44,$A4049,Premissas!$B$5:$B$44,$B4049)+S4049*SUMIFS(Premissas!$F$5:$F$44,Premissas!$A$5:$A$44,$A4049,Premissas!$B$5:$B$44,$B4049)</f>
        <v/>
      </c>
      <c r="L4049" s="29">
        <f>J4049-K4049</f>
        <v/>
      </c>
      <c r="M4049" t="inlineStr">
        <is>
          <t>1.350</t>
        </is>
      </c>
      <c r="N4049" t="inlineStr">
        <is>
          <t>Modalidade: 0 - Por conta do remetente | Parte: KR DISTRIBUIDORA LTDA (22.108.289/0001-08)</t>
        </is>
      </c>
      <c r="O4049" s="29" t="n">
        <v>0</v>
      </c>
      <c r="P4049" s="29" t="n">
        <v>0</v>
      </c>
      <c r="Q4049" s="29" t="n">
        <v>0</v>
      </c>
      <c r="R4049" s="29" t="n">
        <v>0</v>
      </c>
      <c r="S4049" s="29" t="n">
        <v>0</v>
      </c>
      <c r="T4049" t="inlineStr">
        <is>
          <t>25260726975620000130570010000077701011001533</t>
        </is>
      </c>
      <c r="U4049" t="inlineStr">
        <is>
          <t>Não</t>
        </is>
      </c>
    </row>
    <row r="4050">
      <c r="A4050" t="inlineStr">
        <is>
          <t>Frete de venda</t>
        </is>
      </c>
      <c r="B4050" t="inlineStr">
        <is>
          <t>2.01.02 Frete sobre Vendas</t>
        </is>
      </c>
      <c r="C4050" s="30" t="n">
        <v>46204</v>
      </c>
      <c r="D4050" t="inlineStr">
        <is>
          <t>Em 2026</t>
        </is>
      </c>
      <c r="E4050" s="28" t="n">
        <v>46227</v>
      </c>
      <c r="F4050" t="inlineStr">
        <is>
          <t>CT-e</t>
        </is>
      </c>
      <c r="G4050" t="inlineStr">
        <is>
          <t>000007771</t>
        </is>
      </c>
      <c r="H4050" t="inlineStr">
        <is>
          <t>R&amp;R TRANSPORTE E LOGISTICA</t>
        </is>
      </c>
      <c r="J4050" s="29" t="n">
        <v>27.54</v>
      </c>
      <c r="K4050" s="29">
        <f>(1-ISNUMBER(SEARCH("556",M4050)))*(O4050*SUMIFS(Premissas!$C$5:$C$44,Premissas!$A$5:$A$44,$A4050,Premissas!$B$5:$B$44,$B4050)+P4050*SUMIFS(Premissas!$D$5:$D$44,Premissas!$A$5:$A$44,$A4050,Premissas!$B$5:$B$44,$B4050))+R4050*SUMIFS(Premissas!$E$5:$E$44,Premissas!$A$5:$A$44,$A4050,Premissas!$B$5:$B$44,$B4050)+S4050*SUMIFS(Premissas!$F$5:$F$44,Premissas!$A$5:$A$44,$A4050,Premissas!$B$5:$B$44,$B4050)</f>
        <v/>
      </c>
      <c r="L4050" s="29">
        <f>J4050-K4050</f>
        <v/>
      </c>
      <c r="M4050" t="inlineStr">
        <is>
          <t>1.350</t>
        </is>
      </c>
      <c r="N4050" t="inlineStr">
        <is>
          <t>Modalidade: 0 - Por conta do remetente | Parte: KUPICKI COMERCIO DE PRODUTOS ALIMENTICIOS E EMBALAGENS LTDA (02.745.965/0002-10)</t>
        </is>
      </c>
      <c r="O4050" s="29" t="n">
        <v>0</v>
      </c>
      <c r="P4050" s="29" t="n">
        <v>0</v>
      </c>
      <c r="Q4050" s="29" t="n">
        <v>0</v>
      </c>
      <c r="R4050" s="29" t="n">
        <v>0</v>
      </c>
      <c r="S4050" s="29" t="n">
        <v>0</v>
      </c>
      <c r="T4050" t="inlineStr">
        <is>
          <t>25260726975620000130570010000077711001701610</t>
        </is>
      </c>
      <c r="U4050" t="inlineStr">
        <is>
          <t>Não</t>
        </is>
      </c>
    </row>
    <row r="4051">
      <c r="A4051" t="inlineStr">
        <is>
          <t>Frete de venda</t>
        </is>
      </c>
      <c r="B4051" t="inlineStr">
        <is>
          <t>2.01.02 Frete sobre Vendas</t>
        </is>
      </c>
      <c r="C4051" s="30" t="n">
        <v>46204</v>
      </c>
      <c r="D4051" t="inlineStr">
        <is>
          <t>Em 2026</t>
        </is>
      </c>
      <c r="E4051" s="28" t="n">
        <v>46227</v>
      </c>
      <c r="F4051" t="inlineStr">
        <is>
          <t>CT-e</t>
        </is>
      </c>
      <c r="G4051" t="inlineStr">
        <is>
          <t>000007772</t>
        </is>
      </c>
      <c r="H4051" t="inlineStr">
        <is>
          <t>R&amp;R TRANSPORTE E LOGISTICA</t>
        </is>
      </c>
      <c r="J4051" s="29" t="n">
        <v>22.09</v>
      </c>
      <c r="K4051" s="29">
        <f>(1-ISNUMBER(SEARCH("556",M4051)))*(O4051*SUMIFS(Premissas!$C$5:$C$44,Premissas!$A$5:$A$44,$A4051,Premissas!$B$5:$B$44,$B4051)+P4051*SUMIFS(Premissas!$D$5:$D$44,Premissas!$A$5:$A$44,$A4051,Premissas!$B$5:$B$44,$B4051))+R4051*SUMIFS(Premissas!$E$5:$E$44,Premissas!$A$5:$A$44,$A4051,Premissas!$B$5:$B$44,$B4051)+S4051*SUMIFS(Premissas!$F$5:$F$44,Premissas!$A$5:$A$44,$A4051,Premissas!$B$5:$B$44,$B4051)</f>
        <v/>
      </c>
      <c r="L4051" s="29">
        <f>J4051-K4051</f>
        <v/>
      </c>
      <c r="M4051" t="inlineStr">
        <is>
          <t>1.350</t>
        </is>
      </c>
      <c r="N4051" t="inlineStr">
        <is>
          <t>Modalidade: 0 - Por conta do remetente | Parte: VICTOR E VITORIA COMERCIO VAREJISTA E ATACADISTA DE DOCE... (33.549.814/0001-39)</t>
        </is>
      </c>
      <c r="O4051" s="29" t="n">
        <v>0</v>
      </c>
      <c r="P4051" s="29" t="n">
        <v>0</v>
      </c>
      <c r="Q4051" s="29" t="n">
        <v>0</v>
      </c>
      <c r="R4051" s="29" t="n">
        <v>0</v>
      </c>
      <c r="S4051" s="29" t="n">
        <v>0</v>
      </c>
      <c r="T4051" t="inlineStr">
        <is>
          <t>25260726975620000130570010000077721001401690</t>
        </is>
      </c>
      <c r="U4051" t="inlineStr">
        <is>
          <t>Não</t>
        </is>
      </c>
    </row>
    <row r="4052">
      <c r="A4052" t="inlineStr">
        <is>
          <t>Frete de venda</t>
        </is>
      </c>
      <c r="B4052" t="inlineStr">
        <is>
          <t>2.01.02 Frete sobre Vendas</t>
        </is>
      </c>
      <c r="C4052" s="30" t="n">
        <v>46204</v>
      </c>
      <c r="D4052" t="inlineStr">
        <is>
          <t>Em 2026</t>
        </is>
      </c>
      <c r="E4052" s="28" t="n">
        <v>46227</v>
      </c>
      <c r="F4052" t="inlineStr">
        <is>
          <t>CT-e</t>
        </is>
      </c>
      <c r="G4052" t="inlineStr">
        <is>
          <t>000007773</t>
        </is>
      </c>
      <c r="H4052" t="inlineStr">
        <is>
          <t>R&amp;R TRANSPORTE E LOGISTICA</t>
        </is>
      </c>
      <c r="J4052" s="29" t="n">
        <v>51.64</v>
      </c>
      <c r="K4052" s="29">
        <f>(1-ISNUMBER(SEARCH("556",M4052)))*(O4052*SUMIFS(Premissas!$C$5:$C$44,Premissas!$A$5:$A$44,$A4052,Premissas!$B$5:$B$44,$B4052)+P4052*SUMIFS(Premissas!$D$5:$D$44,Premissas!$A$5:$A$44,$A4052,Premissas!$B$5:$B$44,$B4052))+R4052*SUMIFS(Premissas!$E$5:$E$44,Premissas!$A$5:$A$44,$A4052,Premissas!$B$5:$B$44,$B4052)+S4052*SUMIFS(Premissas!$F$5:$F$44,Premissas!$A$5:$A$44,$A4052,Premissas!$B$5:$B$44,$B4052)</f>
        <v/>
      </c>
      <c r="L4052" s="29">
        <f>J4052-K4052</f>
        <v/>
      </c>
      <c r="M4052" t="inlineStr">
        <is>
          <t>1.350</t>
        </is>
      </c>
      <c r="N4052" t="inlineStr">
        <is>
          <t>Modalidade: 0 - Por conta do remetente | Parte: FRIOSETE COMERCIO DE FRIOS LTDA (97.426.472/0001-42)</t>
        </is>
      </c>
      <c r="O4052" s="29" t="n">
        <v>0</v>
      </c>
      <c r="P4052" s="29" t="n">
        <v>0</v>
      </c>
      <c r="Q4052" s="29" t="n">
        <v>0</v>
      </c>
      <c r="R4052" s="29" t="n">
        <v>0</v>
      </c>
      <c r="S4052" s="29" t="n">
        <v>0</v>
      </c>
      <c r="T4052" t="inlineStr">
        <is>
          <t>25260726975620000130570010000077731001101774</t>
        </is>
      </c>
      <c r="U4052" t="inlineStr">
        <is>
          <t>Não</t>
        </is>
      </c>
    </row>
    <row r="4053">
      <c r="A4053" t="inlineStr">
        <is>
          <t>Frete de venda</t>
        </is>
      </c>
      <c r="B4053" t="inlineStr">
        <is>
          <t>2.01.02 Frete sobre Vendas</t>
        </is>
      </c>
      <c r="C4053" s="30" t="n">
        <v>46204</v>
      </c>
      <c r="D4053" t="inlineStr">
        <is>
          <t>Em 2026</t>
        </is>
      </c>
      <c r="E4053" s="28" t="n">
        <v>46227</v>
      </c>
      <c r="F4053" t="inlineStr">
        <is>
          <t>CT-e</t>
        </is>
      </c>
      <c r="G4053" t="inlineStr">
        <is>
          <t>000007774</t>
        </is>
      </c>
      <c r="H4053" t="inlineStr">
        <is>
          <t>R&amp;R TRANSPORTE E LOGISTICA</t>
        </is>
      </c>
      <c r="J4053" s="29" t="n">
        <v>20.25</v>
      </c>
      <c r="K4053" s="29">
        <f>(1-ISNUMBER(SEARCH("556",M4053)))*(O4053*SUMIFS(Premissas!$C$5:$C$44,Premissas!$A$5:$A$44,$A4053,Premissas!$B$5:$B$44,$B4053)+P4053*SUMIFS(Premissas!$D$5:$D$44,Premissas!$A$5:$A$44,$A4053,Premissas!$B$5:$B$44,$B4053))+R4053*SUMIFS(Premissas!$E$5:$E$44,Premissas!$A$5:$A$44,$A4053,Premissas!$B$5:$B$44,$B4053)+S4053*SUMIFS(Premissas!$F$5:$F$44,Premissas!$A$5:$A$44,$A4053,Premissas!$B$5:$B$44,$B4053)</f>
        <v/>
      </c>
      <c r="L4053" s="29">
        <f>J4053-K4053</f>
        <v/>
      </c>
      <c r="M4053" t="inlineStr">
        <is>
          <t>1.350</t>
        </is>
      </c>
      <c r="N4053" t="inlineStr">
        <is>
          <t>Modalidade: 0 - Por conta do remetente | Parte: JOELMA XAVIER LTDA (46.882.996/0003-79)</t>
        </is>
      </c>
      <c r="O4053" s="29" t="n">
        <v>0</v>
      </c>
      <c r="P4053" s="29" t="n">
        <v>0</v>
      </c>
      <c r="Q4053" s="29" t="n">
        <v>0</v>
      </c>
      <c r="R4053" s="29" t="n">
        <v>0</v>
      </c>
      <c r="S4053" s="29" t="n">
        <v>0</v>
      </c>
      <c r="T4053" t="inlineStr">
        <is>
          <t>25260726975620000130570010000077741001901859</t>
        </is>
      </c>
      <c r="U4053" t="inlineStr">
        <is>
          <t>Não</t>
        </is>
      </c>
    </row>
    <row r="4054">
      <c r="A4054" t="inlineStr">
        <is>
          <t>Frete de venda</t>
        </is>
      </c>
      <c r="B4054" t="inlineStr">
        <is>
          <t>2.01.02 Frete sobre Vendas</t>
        </is>
      </c>
      <c r="C4054" s="30" t="n">
        <v>46204</v>
      </c>
      <c r="D4054" t="inlineStr">
        <is>
          <t>Em 2026</t>
        </is>
      </c>
      <c r="E4054" s="28" t="n">
        <v>46227</v>
      </c>
      <c r="F4054" t="inlineStr">
        <is>
          <t>CT-e</t>
        </is>
      </c>
      <c r="G4054" t="inlineStr">
        <is>
          <t>000007775</t>
        </is>
      </c>
      <c r="H4054" t="inlineStr">
        <is>
          <t>R&amp;R TRANSPORTE E LOGISTICA</t>
        </is>
      </c>
      <c r="J4054" s="29" t="n">
        <v>39.02</v>
      </c>
      <c r="K4054" s="29">
        <f>(1-ISNUMBER(SEARCH("556",M4054)))*(O4054*SUMIFS(Premissas!$C$5:$C$44,Premissas!$A$5:$A$44,$A4054,Premissas!$B$5:$B$44,$B4054)+P4054*SUMIFS(Premissas!$D$5:$D$44,Premissas!$A$5:$A$44,$A4054,Premissas!$B$5:$B$44,$B4054))+R4054*SUMIFS(Premissas!$E$5:$E$44,Premissas!$A$5:$A$44,$A4054,Premissas!$B$5:$B$44,$B4054)+S4054*SUMIFS(Premissas!$F$5:$F$44,Premissas!$A$5:$A$44,$A4054,Premissas!$B$5:$B$44,$B4054)</f>
        <v/>
      </c>
      <c r="L4054" s="29">
        <f>J4054-K4054</f>
        <v/>
      </c>
      <c r="M4054" t="inlineStr">
        <is>
          <t>1.350</t>
        </is>
      </c>
      <c r="N4054" t="inlineStr">
        <is>
          <t>Modalidade: 0 - Por conta do remetente | Parte: ROSA SUL EMBALAGENS LTDA (49.362.935/0001-07)</t>
        </is>
      </c>
      <c r="O4054" s="29" t="n">
        <v>0</v>
      </c>
      <c r="P4054" s="29" t="n">
        <v>0</v>
      </c>
      <c r="Q4054" s="29" t="n">
        <v>0</v>
      </c>
      <c r="R4054" s="29" t="n">
        <v>0</v>
      </c>
      <c r="S4054" s="29" t="n">
        <v>0</v>
      </c>
      <c r="T4054" t="inlineStr">
        <is>
          <t>25260726975620000130570010000077751001601933</t>
        </is>
      </c>
      <c r="U4054" t="inlineStr">
        <is>
          <t>Não</t>
        </is>
      </c>
    </row>
    <row r="4055">
      <c r="A4055" t="inlineStr">
        <is>
          <t>Frete de venda</t>
        </is>
      </c>
      <c r="B4055" t="inlineStr">
        <is>
          <t>2.01.02 Frete sobre Vendas</t>
        </is>
      </c>
      <c r="C4055" s="30" t="n">
        <v>46204</v>
      </c>
      <c r="D4055" t="inlineStr">
        <is>
          <t>Em 2026</t>
        </is>
      </c>
      <c r="E4055" s="28" t="n">
        <v>46227</v>
      </c>
      <c r="F4055" t="inlineStr">
        <is>
          <t>CT-e</t>
        </is>
      </c>
      <c r="G4055" t="inlineStr">
        <is>
          <t>000007776</t>
        </is>
      </c>
      <c r="H4055" t="inlineStr">
        <is>
          <t>R&amp;R TRANSPORTE E LOGISTICA</t>
        </is>
      </c>
      <c r="J4055" s="29" t="n">
        <v>20.45</v>
      </c>
      <c r="K4055" s="29">
        <f>(1-ISNUMBER(SEARCH("556",M4055)))*(O4055*SUMIFS(Premissas!$C$5:$C$44,Premissas!$A$5:$A$44,$A4055,Premissas!$B$5:$B$44,$B4055)+P4055*SUMIFS(Premissas!$D$5:$D$44,Premissas!$A$5:$A$44,$A4055,Premissas!$B$5:$B$44,$B4055))+R4055*SUMIFS(Premissas!$E$5:$E$44,Premissas!$A$5:$A$44,$A4055,Premissas!$B$5:$B$44,$B4055)+S4055*SUMIFS(Premissas!$F$5:$F$44,Premissas!$A$5:$A$44,$A4055,Premissas!$B$5:$B$44,$B4055)</f>
        <v/>
      </c>
      <c r="L4055" s="29">
        <f>J4055-K4055</f>
        <v/>
      </c>
      <c r="M4055" t="inlineStr">
        <is>
          <t>1.350</t>
        </is>
      </c>
      <c r="N4055" t="inlineStr">
        <is>
          <t>Modalidade: 0 - Por conta do remetente | Parte: JB AGGIO LTDA (95.420.758/0001-95)</t>
        </is>
      </c>
      <c r="O4055" s="29" t="n">
        <v>0</v>
      </c>
      <c r="P4055" s="29" t="n">
        <v>0</v>
      </c>
      <c r="Q4055" s="29" t="n">
        <v>0</v>
      </c>
      <c r="R4055" s="29" t="n">
        <v>0</v>
      </c>
      <c r="S4055" s="29" t="n">
        <v>0</v>
      </c>
      <c r="T4055" t="inlineStr">
        <is>
          <t>25260726975620000130570010000077761001302011</t>
        </is>
      </c>
      <c r="U4055" t="inlineStr">
        <is>
          <t>Não</t>
        </is>
      </c>
    </row>
    <row r="4056">
      <c r="A4056" t="inlineStr">
        <is>
          <t>Frete de venda</t>
        </is>
      </c>
      <c r="B4056" t="inlineStr">
        <is>
          <t>2.01.02 Frete sobre Vendas</t>
        </is>
      </c>
      <c r="C4056" s="30" t="n">
        <v>46204</v>
      </c>
      <c r="D4056" t="inlineStr">
        <is>
          <t>Em 2026</t>
        </is>
      </c>
      <c r="E4056" s="28" t="n">
        <v>46227</v>
      </c>
      <c r="F4056" t="inlineStr">
        <is>
          <t>CT-e</t>
        </is>
      </c>
      <c r="G4056" t="inlineStr">
        <is>
          <t>000007777</t>
        </is>
      </c>
      <c r="H4056" t="inlineStr">
        <is>
          <t>R&amp;R TRANSPORTE E LOGISTICA</t>
        </is>
      </c>
      <c r="J4056" s="29" t="n">
        <v>26.08</v>
      </c>
      <c r="K4056" s="29">
        <f>(1-ISNUMBER(SEARCH("556",M4056)))*(O4056*SUMIFS(Premissas!$C$5:$C$44,Premissas!$A$5:$A$44,$A4056,Premissas!$B$5:$B$44,$B4056)+P4056*SUMIFS(Premissas!$D$5:$D$44,Premissas!$A$5:$A$44,$A4056,Premissas!$B$5:$B$44,$B4056))+R4056*SUMIFS(Premissas!$E$5:$E$44,Premissas!$A$5:$A$44,$A4056,Premissas!$B$5:$B$44,$B4056)+S4056*SUMIFS(Premissas!$F$5:$F$44,Premissas!$A$5:$A$44,$A4056,Premissas!$B$5:$B$44,$B4056)</f>
        <v/>
      </c>
      <c r="L4056" s="29">
        <f>J4056-K4056</f>
        <v/>
      </c>
      <c r="M4056" t="inlineStr">
        <is>
          <t>1.350</t>
        </is>
      </c>
      <c r="N4056" t="inlineStr">
        <is>
          <t>Modalidade: 0 - Por conta do remetente | Parte: ROSA SUL PATO BRANCO LTDA (67.511.868/0001-27)</t>
        </is>
      </c>
      <c r="O4056" s="29" t="n">
        <v>0</v>
      </c>
      <c r="P4056" s="29" t="n">
        <v>0</v>
      </c>
      <c r="Q4056" s="29" t="n">
        <v>0</v>
      </c>
      <c r="R4056" s="29" t="n">
        <v>0</v>
      </c>
      <c r="S4056" s="29" t="n">
        <v>0</v>
      </c>
      <c r="T4056" t="inlineStr">
        <is>
          <t>25260726975620000130570010000077771000160725</t>
        </is>
      </c>
      <c r="U4056" t="inlineStr">
        <is>
          <t>Não</t>
        </is>
      </c>
    </row>
    <row r="4057">
      <c r="A4057" t="inlineStr">
        <is>
          <t>Frete de venda</t>
        </is>
      </c>
      <c r="B4057" t="inlineStr">
        <is>
          <t>2.01.02 Frete sobre Vendas</t>
        </is>
      </c>
      <c r="C4057" s="30" t="n">
        <v>46204</v>
      </c>
      <c r="D4057" t="inlineStr">
        <is>
          <t>Em 2026</t>
        </is>
      </c>
      <c r="E4057" s="28" t="n">
        <v>46227</v>
      </c>
      <c r="F4057" t="inlineStr">
        <is>
          <t>CT-e</t>
        </is>
      </c>
      <c r="G4057" t="inlineStr">
        <is>
          <t>000007778</t>
        </is>
      </c>
      <c r="H4057" t="inlineStr">
        <is>
          <t>R&amp;R TRANSPORTE E LOGISTICA</t>
        </is>
      </c>
      <c r="J4057" s="29" t="n">
        <v>17.7</v>
      </c>
      <c r="K4057" s="29">
        <f>(1-ISNUMBER(SEARCH("556",M4057)))*(O4057*SUMIFS(Premissas!$C$5:$C$44,Premissas!$A$5:$A$44,$A4057,Premissas!$B$5:$B$44,$B4057)+P4057*SUMIFS(Premissas!$D$5:$D$44,Premissas!$A$5:$A$44,$A4057,Premissas!$B$5:$B$44,$B4057))+R4057*SUMIFS(Premissas!$E$5:$E$44,Premissas!$A$5:$A$44,$A4057,Premissas!$B$5:$B$44,$B4057)+S4057*SUMIFS(Premissas!$F$5:$F$44,Premissas!$A$5:$A$44,$A4057,Premissas!$B$5:$B$44,$B4057)</f>
        <v/>
      </c>
      <c r="L4057" s="29">
        <f>J4057-K4057</f>
        <v/>
      </c>
      <c r="M4057" t="inlineStr">
        <is>
          <t>1.350</t>
        </is>
      </c>
      <c r="N4057" t="inlineStr">
        <is>
          <t>Modalidade: 0 - Por conta do remetente | Parte: LALU COMERCIO DE ARTIGOS PARA FESTAS LTDA (50.476.358/0001-63)</t>
        </is>
      </c>
      <c r="O4057" s="29" t="n">
        <v>0</v>
      </c>
      <c r="P4057" s="29" t="n">
        <v>0</v>
      </c>
      <c r="Q4057" s="29" t="n">
        <v>0</v>
      </c>
      <c r="R4057" s="29" t="n">
        <v>0</v>
      </c>
      <c r="S4057" s="29" t="n">
        <v>0</v>
      </c>
      <c r="T4057" t="inlineStr">
        <is>
          <t>25260726975620000130570010000077781000130807</t>
        </is>
      </c>
      <c r="U4057" t="inlineStr">
        <is>
          <t>Não</t>
        </is>
      </c>
    </row>
    <row r="4058">
      <c r="A4058" t="inlineStr">
        <is>
          <t>Frete de venda</t>
        </is>
      </c>
      <c r="B4058" t="inlineStr">
        <is>
          <t>2.01.02 Frete sobre Vendas</t>
        </is>
      </c>
      <c r="C4058" s="30" t="n">
        <v>46204</v>
      </c>
      <c r="D4058" t="inlineStr">
        <is>
          <t>Em 2026</t>
        </is>
      </c>
      <c r="E4058" s="28" t="n">
        <v>46227</v>
      </c>
      <c r="F4058" t="inlineStr">
        <is>
          <t>CT-e</t>
        </is>
      </c>
      <c r="G4058" t="inlineStr">
        <is>
          <t>000007779</t>
        </is>
      </c>
      <c r="H4058" t="inlineStr">
        <is>
          <t>R&amp;R TRANSPORTE E LOGISTICA</t>
        </is>
      </c>
      <c r="J4058" s="29" t="n">
        <v>20.33</v>
      </c>
      <c r="K4058" s="29">
        <f>(1-ISNUMBER(SEARCH("556",M4058)))*(O4058*SUMIFS(Premissas!$C$5:$C$44,Premissas!$A$5:$A$44,$A4058,Premissas!$B$5:$B$44,$B4058)+P4058*SUMIFS(Premissas!$D$5:$D$44,Premissas!$A$5:$A$44,$A4058,Premissas!$B$5:$B$44,$B4058))+R4058*SUMIFS(Premissas!$E$5:$E$44,Premissas!$A$5:$A$44,$A4058,Premissas!$B$5:$B$44,$B4058)+S4058*SUMIFS(Premissas!$F$5:$F$44,Premissas!$A$5:$A$44,$A4058,Premissas!$B$5:$B$44,$B4058)</f>
        <v/>
      </c>
      <c r="L4058" s="29">
        <f>J4058-K4058</f>
        <v/>
      </c>
      <c r="M4058" t="inlineStr">
        <is>
          <t>1.350</t>
        </is>
      </c>
      <c r="N4058" t="inlineStr">
        <is>
          <t>Modalidade: 0 - Por conta do remetente | Parte: CIAPEL - COMERCIO DE PAPEIS E EMBALAGENS LTDA (79.701.744/0001-93)</t>
        </is>
      </c>
      <c r="O4058" s="29" t="n">
        <v>0</v>
      </c>
      <c r="P4058" s="29" t="n">
        <v>0</v>
      </c>
      <c r="Q4058" s="29" t="n">
        <v>0</v>
      </c>
      <c r="R4058" s="29" t="n">
        <v>0</v>
      </c>
      <c r="S4058" s="29" t="n">
        <v>0</v>
      </c>
      <c r="T4058" t="inlineStr">
        <is>
          <t>25260726975620000130570010000077791000010884</t>
        </is>
      </c>
      <c r="U4058" t="inlineStr">
        <is>
          <t>Não</t>
        </is>
      </c>
    </row>
    <row r="4059">
      <c r="A4059" t="inlineStr">
        <is>
          <t>Frete de venda</t>
        </is>
      </c>
      <c r="B4059" t="inlineStr">
        <is>
          <t>2.01.02 Frete sobre Vendas</t>
        </is>
      </c>
      <c r="C4059" s="30" t="n">
        <v>46204</v>
      </c>
      <c r="D4059" t="inlineStr">
        <is>
          <t>Em 2026</t>
        </is>
      </c>
      <c r="E4059" s="28" t="n">
        <v>46227</v>
      </c>
      <c r="F4059" t="inlineStr">
        <is>
          <t>CT-e</t>
        </is>
      </c>
      <c r="G4059" t="inlineStr">
        <is>
          <t>000007780</t>
        </is>
      </c>
      <c r="H4059" t="inlineStr">
        <is>
          <t>R&amp;R TRANSPORTE E LOGISTICA</t>
        </is>
      </c>
      <c r="J4059" s="29" t="n">
        <v>61.05</v>
      </c>
      <c r="K4059" s="29">
        <f>(1-ISNUMBER(SEARCH("556",M4059)))*(O4059*SUMIFS(Premissas!$C$5:$C$44,Premissas!$A$5:$A$44,$A4059,Premissas!$B$5:$B$44,$B4059)+P4059*SUMIFS(Premissas!$D$5:$D$44,Premissas!$A$5:$A$44,$A4059,Premissas!$B$5:$B$44,$B4059))+R4059*SUMIFS(Premissas!$E$5:$E$44,Premissas!$A$5:$A$44,$A4059,Premissas!$B$5:$B$44,$B4059)+S4059*SUMIFS(Premissas!$F$5:$F$44,Premissas!$A$5:$A$44,$A4059,Premissas!$B$5:$B$44,$B4059)</f>
        <v/>
      </c>
      <c r="L4059" s="29">
        <f>J4059-K4059</f>
        <v/>
      </c>
      <c r="M4059" t="inlineStr">
        <is>
          <t>1.350</t>
        </is>
      </c>
      <c r="N4059" t="inlineStr">
        <is>
          <t>Modalidade: 0 - Por conta do remetente | Parte: BEBIFRIOS COMERCIAL LTDA (05.796.195/0001-41)</t>
        </is>
      </c>
      <c r="O4059" s="29" t="n">
        <v>0</v>
      </c>
      <c r="P4059" s="29" t="n">
        <v>0</v>
      </c>
      <c r="Q4059" s="29" t="n">
        <v>0</v>
      </c>
      <c r="R4059" s="29" t="n">
        <v>0</v>
      </c>
      <c r="S4059" s="29" t="n">
        <v>0</v>
      </c>
      <c r="T4059" t="inlineStr">
        <is>
          <t>25260726975620000130570010000077801000180969</t>
        </is>
      </c>
      <c r="U4059" t="inlineStr">
        <is>
          <t>Não</t>
        </is>
      </c>
    </row>
    <row r="4060">
      <c r="A4060" t="inlineStr">
        <is>
          <t>Frete de venda</t>
        </is>
      </c>
      <c r="B4060" t="inlineStr">
        <is>
          <t>2.01.02 Frete sobre Vendas</t>
        </is>
      </c>
      <c r="C4060" s="30" t="n">
        <v>46204</v>
      </c>
      <c r="D4060" t="inlineStr">
        <is>
          <t>Em 2026</t>
        </is>
      </c>
      <c r="E4060" s="28" t="n">
        <v>46227</v>
      </c>
      <c r="F4060" t="inlineStr">
        <is>
          <t>CT-e</t>
        </is>
      </c>
      <c r="G4060" t="inlineStr">
        <is>
          <t>000007781</t>
        </is>
      </c>
      <c r="H4060" t="inlineStr">
        <is>
          <t>R&amp;R TRANSPORTE E LOGISTICA</t>
        </is>
      </c>
      <c r="J4060" s="29" t="n">
        <v>47.18</v>
      </c>
      <c r="K4060" s="29">
        <f>(1-ISNUMBER(SEARCH("556",M4060)))*(O4060*SUMIFS(Premissas!$C$5:$C$44,Premissas!$A$5:$A$44,$A4060,Premissas!$B$5:$B$44,$B4060)+P4060*SUMIFS(Premissas!$D$5:$D$44,Premissas!$A$5:$A$44,$A4060,Premissas!$B$5:$B$44,$B4060))+R4060*SUMIFS(Premissas!$E$5:$E$44,Premissas!$A$5:$A$44,$A4060,Premissas!$B$5:$B$44,$B4060)+S4060*SUMIFS(Premissas!$F$5:$F$44,Premissas!$A$5:$A$44,$A4060,Premissas!$B$5:$B$44,$B4060)</f>
        <v/>
      </c>
      <c r="L4060" s="29">
        <f>J4060-K4060</f>
        <v/>
      </c>
      <c r="M4060" t="inlineStr">
        <is>
          <t>1.350</t>
        </is>
      </c>
      <c r="N4060" t="inlineStr">
        <is>
          <t>Modalidade: 0 - Por conta do remetente | Parte: EDIVAL FRANCISCO TAVARES LTDA (47.351.368/0001-68)</t>
        </is>
      </c>
      <c r="O4060" s="29" t="n">
        <v>0</v>
      </c>
      <c r="P4060" s="29" t="n">
        <v>0</v>
      </c>
      <c r="Q4060" s="29" t="n">
        <v>0</v>
      </c>
      <c r="R4060" s="29" t="n">
        <v>0</v>
      </c>
      <c r="S4060" s="29" t="n">
        <v>0</v>
      </c>
      <c r="T4060" t="inlineStr">
        <is>
          <t>25260726975620000130570010000077811001501049</t>
        </is>
      </c>
      <c r="U4060" t="inlineStr">
        <is>
          <t>Não</t>
        </is>
      </c>
    </row>
    <row r="4061">
      <c r="A4061" t="inlineStr">
        <is>
          <t>Frete de venda</t>
        </is>
      </c>
      <c r="B4061" t="inlineStr">
        <is>
          <t>2.01.02 Frete sobre Vendas</t>
        </is>
      </c>
      <c r="C4061" s="30" t="n">
        <v>46204</v>
      </c>
      <c r="D4061" t="inlineStr">
        <is>
          <t>Em 2026</t>
        </is>
      </c>
      <c r="E4061" s="28" t="n">
        <v>46227</v>
      </c>
      <c r="F4061" t="inlineStr">
        <is>
          <t>CT-e</t>
        </is>
      </c>
      <c r="G4061" t="inlineStr">
        <is>
          <t>000007782</t>
        </is>
      </c>
      <c r="H4061" t="inlineStr">
        <is>
          <t>R&amp;R TRANSPORTE E LOGISTICA</t>
        </is>
      </c>
      <c r="J4061" s="29" t="n">
        <v>180.99</v>
      </c>
      <c r="K4061" s="29">
        <f>(1-ISNUMBER(SEARCH("556",M4061)))*(O4061*SUMIFS(Premissas!$C$5:$C$44,Premissas!$A$5:$A$44,$A4061,Premissas!$B$5:$B$44,$B4061)+P4061*SUMIFS(Premissas!$D$5:$D$44,Premissas!$A$5:$A$44,$A4061,Premissas!$B$5:$B$44,$B4061))+R4061*SUMIFS(Premissas!$E$5:$E$44,Premissas!$A$5:$A$44,$A4061,Premissas!$B$5:$B$44,$B4061)+S4061*SUMIFS(Premissas!$F$5:$F$44,Premissas!$A$5:$A$44,$A4061,Premissas!$B$5:$B$44,$B4061)</f>
        <v/>
      </c>
      <c r="L4061" s="29">
        <f>J4061-K4061</f>
        <v/>
      </c>
      <c r="M4061" t="inlineStr">
        <is>
          <t>1.350</t>
        </is>
      </c>
      <c r="N4061" t="inlineStr">
        <is>
          <t>Modalidade: 0 - Por conta do remetente | Parte: DONNA DISTRIBUIDORA LTDA (52.238.099/0001-68)</t>
        </is>
      </c>
      <c r="O4061" s="29" t="n">
        <v>0</v>
      </c>
      <c r="P4061" s="29" t="n">
        <v>0</v>
      </c>
      <c r="Q4061" s="29" t="n">
        <v>0</v>
      </c>
      <c r="R4061" s="29" t="n">
        <v>0</v>
      </c>
      <c r="S4061" s="29" t="n">
        <v>0</v>
      </c>
      <c r="T4061" t="inlineStr">
        <is>
          <t>25260726975620000130570010000077821001201123</t>
        </is>
      </c>
      <c r="U4061" t="inlineStr">
        <is>
          <t>Não</t>
        </is>
      </c>
    </row>
    <row r="4062">
      <c r="A4062" t="inlineStr">
        <is>
          <t>Frete de venda</t>
        </is>
      </c>
      <c r="B4062" t="inlineStr">
        <is>
          <t>2.01.02 Frete sobre Vendas</t>
        </is>
      </c>
      <c r="C4062" s="30" t="n">
        <v>46204</v>
      </c>
      <c r="D4062" t="inlineStr">
        <is>
          <t>Em 2026</t>
        </is>
      </c>
      <c r="E4062" s="28" t="n">
        <v>46231</v>
      </c>
      <c r="F4062" t="inlineStr">
        <is>
          <t>CT-e</t>
        </is>
      </c>
      <c r="G4062" t="inlineStr">
        <is>
          <t>000007789</t>
        </is>
      </c>
      <c r="H4062" t="inlineStr">
        <is>
          <t>R&amp;R TRANSPORTE E LOGISTICA</t>
        </is>
      </c>
      <c r="J4062" s="29" t="n">
        <v>1860</v>
      </c>
      <c r="K4062" s="29">
        <f>(1-ISNUMBER(SEARCH("556",M4062)))*(O4062*SUMIFS(Premissas!$C$5:$C$44,Premissas!$A$5:$A$44,$A4062,Premissas!$B$5:$B$44,$B4062)+P4062*SUMIFS(Premissas!$D$5:$D$44,Premissas!$A$5:$A$44,$A4062,Premissas!$B$5:$B$44,$B4062))+R4062*SUMIFS(Premissas!$E$5:$E$44,Premissas!$A$5:$A$44,$A4062,Premissas!$B$5:$B$44,$B4062)+S4062*SUMIFS(Premissas!$F$5:$F$44,Premissas!$A$5:$A$44,$A4062,Premissas!$B$5:$B$44,$B4062)</f>
        <v/>
      </c>
      <c r="L4062" s="29">
        <f>J4062-K4062</f>
        <v/>
      </c>
      <c r="M4062" t="inlineStr">
        <is>
          <t>1.350</t>
        </is>
      </c>
      <c r="N4062" t="inlineStr">
        <is>
          <t>Modalidade: 0 - Por conta do remetente | Parte: DISTAK COMERCIAL ATACADISTA LTDA (56.223.570/0001-03)</t>
        </is>
      </c>
      <c r="O4062" s="29" t="n">
        <v>0</v>
      </c>
      <c r="P4062" s="29" t="n">
        <v>0</v>
      </c>
      <c r="Q4062" s="29" t="n">
        <v>0</v>
      </c>
      <c r="R4062" s="29" t="n">
        <v>0</v>
      </c>
      <c r="S4062" s="29" t="n">
        <v>0</v>
      </c>
      <c r="T4062" t="inlineStr">
        <is>
          <t>25260726975620000130570010000077891001501152</t>
        </is>
      </c>
      <c r="U4062" t="inlineStr">
        <is>
          <t>Sim</t>
        </is>
      </c>
    </row>
    <row r="4063">
      <c r="A4063" t="inlineStr">
        <is>
          <t>Frete de venda</t>
        </is>
      </c>
      <c r="B4063" t="inlineStr">
        <is>
          <t>2.01.02 Frete sobre Vendas</t>
        </is>
      </c>
      <c r="C4063" s="30" t="n">
        <v>46204</v>
      </c>
      <c r="D4063" t="inlineStr">
        <is>
          <t>Em 2026</t>
        </is>
      </c>
      <c r="E4063" s="28" t="n">
        <v>46231</v>
      </c>
      <c r="F4063" t="inlineStr">
        <is>
          <t>CT-e</t>
        </is>
      </c>
      <c r="G4063" t="inlineStr">
        <is>
          <t>000007793</t>
        </is>
      </c>
      <c r="H4063" t="inlineStr">
        <is>
          <t>R&amp;R TRANSPORTE E LOGISTICA</t>
        </is>
      </c>
      <c r="J4063" s="29" t="n">
        <v>131.21</v>
      </c>
      <c r="K4063" s="29">
        <f>(1-ISNUMBER(SEARCH("556",M4063)))*(O4063*SUMIFS(Premissas!$C$5:$C$44,Premissas!$A$5:$A$44,$A4063,Premissas!$B$5:$B$44,$B4063)+P4063*SUMIFS(Premissas!$D$5:$D$44,Premissas!$A$5:$A$44,$A4063,Premissas!$B$5:$B$44,$B4063))+R4063*SUMIFS(Premissas!$E$5:$E$44,Premissas!$A$5:$A$44,$A4063,Premissas!$B$5:$B$44,$B4063)+S4063*SUMIFS(Premissas!$F$5:$F$44,Premissas!$A$5:$A$44,$A4063,Premissas!$B$5:$B$44,$B4063)</f>
        <v/>
      </c>
      <c r="L4063" s="29">
        <f>J4063-K4063</f>
        <v/>
      </c>
      <c r="M4063" t="inlineStr">
        <is>
          <t>1.350</t>
        </is>
      </c>
      <c r="N4063" t="inlineStr">
        <is>
          <t>Modalidade: 0 - Por conta do remetente | Parte: C M OLIVEIRA ATACADO (41.098.526/0001-33)</t>
        </is>
      </c>
      <c r="O4063" s="29" t="n">
        <v>0</v>
      </c>
      <c r="P4063" s="29" t="n">
        <v>0</v>
      </c>
      <c r="Q4063" s="29" t="n">
        <v>0</v>
      </c>
      <c r="R4063" s="29" t="n">
        <v>0</v>
      </c>
      <c r="S4063" s="29" t="n">
        <v>0</v>
      </c>
      <c r="T4063" t="inlineStr">
        <is>
          <t>25260726975620000130570010000077931001301466</t>
        </is>
      </c>
      <c r="U4063" t="inlineStr">
        <is>
          <t>Não</t>
        </is>
      </c>
    </row>
    <row r="4064">
      <c r="A4064" t="inlineStr">
        <is>
          <t>Frete de venda</t>
        </is>
      </c>
      <c r="B4064" t="inlineStr">
        <is>
          <t>2.01.02 Frete sobre Vendas</t>
        </is>
      </c>
      <c r="C4064" s="30" t="n">
        <v>46204</v>
      </c>
      <c r="D4064" t="inlineStr">
        <is>
          <t>Em 2026</t>
        </is>
      </c>
      <c r="E4064" s="28" t="n">
        <v>46231</v>
      </c>
      <c r="F4064" t="inlineStr">
        <is>
          <t>CT-e</t>
        </is>
      </c>
      <c r="G4064" t="inlineStr">
        <is>
          <t>000007794</t>
        </is>
      </c>
      <c r="H4064" t="inlineStr">
        <is>
          <t>R&amp;R TRANSPORTE E LOGISTICA</t>
        </is>
      </c>
      <c r="J4064" s="29" t="n">
        <v>106.36</v>
      </c>
      <c r="K4064" s="29">
        <f>(1-ISNUMBER(SEARCH("556",M4064)))*(O4064*SUMIFS(Premissas!$C$5:$C$44,Premissas!$A$5:$A$44,$A4064,Premissas!$B$5:$B$44,$B4064)+P4064*SUMIFS(Premissas!$D$5:$D$44,Premissas!$A$5:$A$44,$A4064,Premissas!$B$5:$B$44,$B4064))+R4064*SUMIFS(Premissas!$E$5:$E$44,Premissas!$A$5:$A$44,$A4064,Premissas!$B$5:$B$44,$B4064)+S4064*SUMIFS(Premissas!$F$5:$F$44,Premissas!$A$5:$A$44,$A4064,Premissas!$B$5:$B$44,$B4064)</f>
        <v/>
      </c>
      <c r="L4064" s="29">
        <f>J4064-K4064</f>
        <v/>
      </c>
      <c r="M4064" t="inlineStr">
        <is>
          <t>1.350</t>
        </is>
      </c>
      <c r="N4064" t="inlineStr">
        <is>
          <t>Modalidade: 0 - Por conta do remetente | Parte: PMAK DESCARTAVEIS LTDA (48.022.950/0001-43)</t>
        </is>
      </c>
      <c r="O4064" s="29" t="n">
        <v>0</v>
      </c>
      <c r="P4064" s="29" t="n">
        <v>0</v>
      </c>
      <c r="Q4064" s="29" t="n">
        <v>0</v>
      </c>
      <c r="R4064" s="29" t="n">
        <v>0</v>
      </c>
      <c r="S4064" s="29" t="n">
        <v>0</v>
      </c>
      <c r="T4064" t="inlineStr">
        <is>
          <t>25260726975620000130570010000077941000101541</t>
        </is>
      </c>
      <c r="U4064" t="inlineStr">
        <is>
          <t>Não</t>
        </is>
      </c>
    </row>
    <row r="4065">
      <c r="A4065" t="inlineStr">
        <is>
          <t>Frete de venda</t>
        </is>
      </c>
      <c r="B4065" t="inlineStr">
        <is>
          <t>2.01.02 Frete sobre Vendas</t>
        </is>
      </c>
      <c r="C4065" s="30" t="n">
        <v>46204</v>
      </c>
      <c r="D4065" t="inlineStr">
        <is>
          <t>Em 2026</t>
        </is>
      </c>
      <c r="E4065" s="28" t="n">
        <v>46233</v>
      </c>
      <c r="F4065" t="inlineStr">
        <is>
          <t>CT-e</t>
        </is>
      </c>
      <c r="G4065" t="inlineStr">
        <is>
          <t>000007798</t>
        </is>
      </c>
      <c r="H4065" t="inlineStr">
        <is>
          <t>R&amp;R TRANSPORTE E LOGISTICA</t>
        </is>
      </c>
      <c r="J4065" s="29" t="n">
        <v>37.45</v>
      </c>
      <c r="K4065" s="29">
        <f>(1-ISNUMBER(SEARCH("556",M4065)))*(O4065*SUMIFS(Premissas!$C$5:$C$44,Premissas!$A$5:$A$44,$A4065,Premissas!$B$5:$B$44,$B4065)+P4065*SUMIFS(Premissas!$D$5:$D$44,Premissas!$A$5:$A$44,$A4065,Premissas!$B$5:$B$44,$B4065))+R4065*SUMIFS(Premissas!$E$5:$E$44,Premissas!$A$5:$A$44,$A4065,Premissas!$B$5:$B$44,$B4065)+S4065*SUMIFS(Premissas!$F$5:$F$44,Premissas!$A$5:$A$44,$A4065,Premissas!$B$5:$B$44,$B4065)</f>
        <v/>
      </c>
      <c r="L4065" s="29">
        <f>J4065-K4065</f>
        <v/>
      </c>
      <c r="M4065" t="inlineStr">
        <is>
          <t>1.350</t>
        </is>
      </c>
      <c r="N4065" t="inlineStr">
        <is>
          <t>Modalidade: 0 - Por conta do remetente | Parte: MARCOS NATANAEL DOS SANTOS ROCHA (14.727.584/0001-06)</t>
        </is>
      </c>
      <c r="O4065" s="29" t="n">
        <v>0</v>
      </c>
      <c r="P4065" s="29" t="n">
        <v>0</v>
      </c>
      <c r="Q4065" s="29" t="n">
        <v>0</v>
      </c>
      <c r="R4065" s="29" t="n">
        <v>0</v>
      </c>
      <c r="S4065" s="29" t="n">
        <v>0</v>
      </c>
      <c r="T4065" t="inlineStr">
        <is>
          <t>25260726975620000130570010000077981001401696</t>
        </is>
      </c>
      <c r="U4065" t="inlineStr">
        <is>
          <t>Não</t>
        </is>
      </c>
    </row>
    <row r="4066">
      <c r="A4066" t="inlineStr">
        <is>
          <t>Frete de venda</t>
        </is>
      </c>
      <c r="B4066" t="inlineStr">
        <is>
          <t>2.01.02 Frete sobre Vendas</t>
        </is>
      </c>
      <c r="C4066" s="30" t="n">
        <v>46204</v>
      </c>
      <c r="D4066" t="inlineStr">
        <is>
          <t>Em 2026</t>
        </is>
      </c>
      <c r="E4066" s="28" t="n">
        <v>46233</v>
      </c>
      <c r="F4066" t="inlineStr">
        <is>
          <t>CT-e</t>
        </is>
      </c>
      <c r="G4066" t="inlineStr">
        <is>
          <t>000007799</t>
        </is>
      </c>
      <c r="H4066" t="inlineStr">
        <is>
          <t>R&amp;R TRANSPORTE E LOGISTICA</t>
        </is>
      </c>
      <c r="J4066" s="29" t="n">
        <v>30.6</v>
      </c>
      <c r="K4066" s="29">
        <f>(1-ISNUMBER(SEARCH("556",M4066)))*(O4066*SUMIFS(Premissas!$C$5:$C$44,Premissas!$A$5:$A$44,$A4066,Premissas!$B$5:$B$44,$B4066)+P4066*SUMIFS(Premissas!$D$5:$D$44,Premissas!$A$5:$A$44,$A4066,Premissas!$B$5:$B$44,$B4066))+R4066*SUMIFS(Premissas!$E$5:$E$44,Premissas!$A$5:$A$44,$A4066,Premissas!$B$5:$B$44,$B4066)+S4066*SUMIFS(Premissas!$F$5:$F$44,Premissas!$A$5:$A$44,$A4066,Premissas!$B$5:$B$44,$B4066)</f>
        <v/>
      </c>
      <c r="L4066" s="29">
        <f>J4066-K4066</f>
        <v/>
      </c>
      <c r="M4066" t="inlineStr">
        <is>
          <t>1.350</t>
        </is>
      </c>
      <c r="N4066" t="inlineStr">
        <is>
          <t>Modalidade: 0 - Por conta do remetente | Parte: M. O. GALVAO ATACADISTA LTDA (00.598.043/0001-10)</t>
        </is>
      </c>
      <c r="O4066" s="29" t="n">
        <v>0</v>
      </c>
      <c r="P4066" s="29" t="n">
        <v>0</v>
      </c>
      <c r="Q4066" s="29" t="n">
        <v>0</v>
      </c>
      <c r="R4066" s="29" t="n">
        <v>0</v>
      </c>
      <c r="S4066" s="29" t="n">
        <v>0</v>
      </c>
      <c r="T4066" t="inlineStr">
        <is>
          <t>25260726975620000130570010000077991001101770</t>
        </is>
      </c>
      <c r="U4066" t="inlineStr">
        <is>
          <t>Não</t>
        </is>
      </c>
    </row>
    <row r="4067">
      <c r="A4067" t="inlineStr">
        <is>
          <t>Frete de venda</t>
        </is>
      </c>
      <c r="B4067" t="inlineStr">
        <is>
          <t>2.01.02 Frete sobre Vendas</t>
        </is>
      </c>
      <c r="C4067" s="30" t="n">
        <v>46204</v>
      </c>
      <c r="D4067" t="inlineStr">
        <is>
          <t>Em 2026</t>
        </is>
      </c>
      <c r="E4067" s="28" t="n">
        <v>46233</v>
      </c>
      <c r="F4067" t="inlineStr">
        <is>
          <t>CT-e</t>
        </is>
      </c>
      <c r="G4067" t="inlineStr">
        <is>
          <t>000007800</t>
        </is>
      </c>
      <c r="H4067" t="inlineStr">
        <is>
          <t>R&amp;R TRANSPORTE E LOGISTICA</t>
        </is>
      </c>
      <c r="J4067" s="29" t="n">
        <v>33.32</v>
      </c>
      <c r="K4067" s="29">
        <f>(1-ISNUMBER(SEARCH("556",M4067)))*(O4067*SUMIFS(Premissas!$C$5:$C$44,Premissas!$A$5:$A$44,$A4067,Premissas!$B$5:$B$44,$B4067)+P4067*SUMIFS(Premissas!$D$5:$D$44,Premissas!$A$5:$A$44,$A4067,Premissas!$B$5:$B$44,$B4067))+R4067*SUMIFS(Premissas!$E$5:$E$44,Premissas!$A$5:$A$44,$A4067,Premissas!$B$5:$B$44,$B4067)+S4067*SUMIFS(Premissas!$F$5:$F$44,Premissas!$A$5:$A$44,$A4067,Premissas!$B$5:$B$44,$B4067)</f>
        <v/>
      </c>
      <c r="L4067" s="29">
        <f>J4067-K4067</f>
        <v/>
      </c>
      <c r="M4067" t="inlineStr">
        <is>
          <t>1.350</t>
        </is>
      </c>
      <c r="N4067" t="inlineStr">
        <is>
          <t>Modalidade: 0 - Por conta do remetente | Parte: BOTELHO E LEITE COMERCIO LTDA (69.615.623/0001-75)</t>
        </is>
      </c>
      <c r="O4067" s="29" t="n">
        <v>0</v>
      </c>
      <c r="P4067" s="29" t="n">
        <v>0</v>
      </c>
      <c r="Q4067" s="29" t="n">
        <v>0</v>
      </c>
      <c r="R4067" s="29" t="n">
        <v>0</v>
      </c>
      <c r="S4067" s="29" t="n">
        <v>0</v>
      </c>
      <c r="T4067" t="inlineStr">
        <is>
          <t>25260726975620000130570010000078001001901850</t>
        </is>
      </c>
      <c r="U4067" t="inlineStr">
        <is>
          <t>Não</t>
        </is>
      </c>
    </row>
    <row r="4068">
      <c r="A4068" t="inlineStr">
        <is>
          <t>Frete de venda</t>
        </is>
      </c>
      <c r="B4068" t="inlineStr">
        <is>
          <t>2.01.02 Frete sobre Vendas</t>
        </is>
      </c>
      <c r="C4068" s="30" t="n">
        <v>46204</v>
      </c>
      <c r="D4068" t="inlineStr">
        <is>
          <t>Em 2026</t>
        </is>
      </c>
      <c r="E4068" s="28" t="n">
        <v>46233</v>
      </c>
      <c r="F4068" t="inlineStr">
        <is>
          <t>CT-e</t>
        </is>
      </c>
      <c r="G4068" t="inlineStr">
        <is>
          <t>000007801</t>
        </is>
      </c>
      <c r="H4068" t="inlineStr">
        <is>
          <t>R&amp;R TRANSPORTE E LOGISTICA</t>
        </is>
      </c>
      <c r="J4068" s="29" t="n">
        <v>30.77</v>
      </c>
      <c r="K4068" s="29">
        <f>(1-ISNUMBER(SEARCH("556",M4068)))*(O4068*SUMIFS(Premissas!$C$5:$C$44,Premissas!$A$5:$A$44,$A4068,Premissas!$B$5:$B$44,$B4068)+P4068*SUMIFS(Premissas!$D$5:$D$44,Premissas!$A$5:$A$44,$A4068,Premissas!$B$5:$B$44,$B4068))+R4068*SUMIFS(Premissas!$E$5:$E$44,Premissas!$A$5:$A$44,$A4068,Premissas!$B$5:$B$44,$B4068)+S4068*SUMIFS(Premissas!$F$5:$F$44,Premissas!$A$5:$A$44,$A4068,Premissas!$B$5:$B$44,$B4068)</f>
        <v/>
      </c>
      <c r="L4068" s="29">
        <f>J4068-K4068</f>
        <v/>
      </c>
      <c r="M4068" t="inlineStr">
        <is>
          <t>1.350</t>
        </is>
      </c>
      <c r="N4068" t="inlineStr">
        <is>
          <t>Modalidade: 0 - Por conta do remetente | Parte: P H F PAIVA SILVEIRA (31.108.227/0001-89)</t>
        </is>
      </c>
      <c r="O4068" s="29" t="n">
        <v>0</v>
      </c>
      <c r="P4068" s="29" t="n">
        <v>0</v>
      </c>
      <c r="Q4068" s="29" t="n">
        <v>0</v>
      </c>
      <c r="R4068" s="29" t="n">
        <v>0</v>
      </c>
      <c r="S4068" s="29" t="n">
        <v>0</v>
      </c>
      <c r="T4068" t="inlineStr">
        <is>
          <t>25260726975620000130570010000078011011001205</t>
        </is>
      </c>
      <c r="U4068" t="inlineStr">
        <is>
          <t>Não</t>
        </is>
      </c>
    </row>
    <row r="4069">
      <c r="A4069" t="inlineStr">
        <is>
          <t>Frete de venda</t>
        </is>
      </c>
      <c r="B4069" t="inlineStr">
        <is>
          <t>2.01.02 Frete sobre Vendas</t>
        </is>
      </c>
      <c r="C4069" s="30" t="n">
        <v>46204</v>
      </c>
      <c r="D4069" t="inlineStr">
        <is>
          <t>Em 2026</t>
        </is>
      </c>
      <c r="E4069" s="28" t="n">
        <v>46233</v>
      </c>
      <c r="F4069" t="inlineStr">
        <is>
          <t>CT-e</t>
        </is>
      </c>
      <c r="G4069" t="inlineStr">
        <is>
          <t>000007802</t>
        </is>
      </c>
      <c r="H4069" t="inlineStr">
        <is>
          <t>R&amp;R TRANSPORTE E LOGISTICA</t>
        </is>
      </c>
      <c r="J4069" s="29" t="n">
        <v>30.92</v>
      </c>
      <c r="K4069" s="29">
        <f>(1-ISNUMBER(SEARCH("556",M4069)))*(O4069*SUMIFS(Premissas!$C$5:$C$44,Premissas!$A$5:$A$44,$A4069,Premissas!$B$5:$B$44,$B4069)+P4069*SUMIFS(Premissas!$D$5:$D$44,Premissas!$A$5:$A$44,$A4069,Premissas!$B$5:$B$44,$B4069))+R4069*SUMIFS(Premissas!$E$5:$E$44,Premissas!$A$5:$A$44,$A4069,Premissas!$B$5:$B$44,$B4069)+S4069*SUMIFS(Premissas!$F$5:$F$44,Premissas!$A$5:$A$44,$A4069,Premissas!$B$5:$B$44,$B4069)</f>
        <v/>
      </c>
      <c r="L4069" s="29">
        <f>J4069-K4069</f>
        <v/>
      </c>
      <c r="M4069" t="inlineStr">
        <is>
          <t>1.350</t>
        </is>
      </c>
      <c r="N4069" t="inlineStr">
        <is>
          <t>Modalidade: 0 - Por conta do remetente | Parte: LAR DO FITNESS LTDA (57.978.072/0001-25)</t>
        </is>
      </c>
      <c r="O4069" s="29" t="n">
        <v>0</v>
      </c>
      <c r="P4069" s="29" t="n">
        <v>0</v>
      </c>
      <c r="Q4069" s="29" t="n">
        <v>0</v>
      </c>
      <c r="R4069" s="29" t="n">
        <v>0</v>
      </c>
      <c r="S4069" s="29" t="n">
        <v>0</v>
      </c>
      <c r="T4069" t="inlineStr">
        <is>
          <t>25260726975620000130570010000078021001701287</t>
        </is>
      </c>
      <c r="U4069" t="inlineStr">
        <is>
          <t>Não</t>
        </is>
      </c>
    </row>
    <row r="4070">
      <c r="A4070" t="inlineStr">
        <is>
          <t>Frete de venda</t>
        </is>
      </c>
      <c r="B4070" t="inlineStr">
        <is>
          <t>2.01.02 Frete sobre Vendas</t>
        </is>
      </c>
      <c r="C4070" s="30" t="n">
        <v>46204</v>
      </c>
      <c r="D4070" t="inlineStr">
        <is>
          <t>Em 2026</t>
        </is>
      </c>
      <c r="E4070" s="28" t="n">
        <v>46233</v>
      </c>
      <c r="F4070" t="inlineStr">
        <is>
          <t>CT-e</t>
        </is>
      </c>
      <c r="G4070" t="inlineStr">
        <is>
          <t>000007803</t>
        </is>
      </c>
      <c r="H4070" t="inlineStr">
        <is>
          <t>R&amp;R TRANSPORTE E LOGISTICA</t>
        </is>
      </c>
      <c r="J4070" s="29" t="n">
        <v>30.71</v>
      </c>
      <c r="K4070" s="29">
        <f>(1-ISNUMBER(SEARCH("556",M4070)))*(O4070*SUMIFS(Premissas!$C$5:$C$44,Premissas!$A$5:$A$44,$A4070,Premissas!$B$5:$B$44,$B4070)+P4070*SUMIFS(Premissas!$D$5:$D$44,Premissas!$A$5:$A$44,$A4070,Premissas!$B$5:$B$44,$B4070))+R4070*SUMIFS(Premissas!$E$5:$E$44,Premissas!$A$5:$A$44,$A4070,Premissas!$B$5:$B$44,$B4070)+S4070*SUMIFS(Premissas!$F$5:$F$44,Premissas!$A$5:$A$44,$A4070,Premissas!$B$5:$B$44,$B4070)</f>
        <v/>
      </c>
      <c r="L4070" s="29">
        <f>J4070-K4070</f>
        <v/>
      </c>
      <c r="M4070" t="inlineStr">
        <is>
          <t>1.350</t>
        </is>
      </c>
      <c r="N4070" t="inlineStr">
        <is>
          <t>Modalidade: 0 - Por conta do remetente | Parte: MIX NORTE ACAI INDUSTRIA LTDA (46.826.180/0002-47)</t>
        </is>
      </c>
      <c r="O4070" s="29" t="n">
        <v>0</v>
      </c>
      <c r="P4070" s="29" t="n">
        <v>0</v>
      </c>
      <c r="Q4070" s="29" t="n">
        <v>0</v>
      </c>
      <c r="R4070" s="29" t="n">
        <v>0</v>
      </c>
      <c r="S4070" s="29" t="n">
        <v>0</v>
      </c>
      <c r="T4070" t="inlineStr">
        <is>
          <t>25260726975620000130570010000078031001401361</t>
        </is>
      </c>
      <c r="U4070" t="inlineStr">
        <is>
          <t>Não</t>
        </is>
      </c>
    </row>
    <row r="4071">
      <c r="A4071" t="inlineStr">
        <is>
          <t>Frete de venda</t>
        </is>
      </c>
      <c r="B4071" t="inlineStr">
        <is>
          <t>2.01.02 Frete sobre Vendas</t>
        </is>
      </c>
      <c r="C4071" s="30" t="n">
        <v>46204</v>
      </c>
      <c r="D4071" t="inlineStr">
        <is>
          <t>Em 2026</t>
        </is>
      </c>
      <c r="E4071" s="28" t="n">
        <v>46233</v>
      </c>
      <c r="F4071" t="inlineStr">
        <is>
          <t>CT-e</t>
        </is>
      </c>
      <c r="G4071" t="inlineStr">
        <is>
          <t>000007804</t>
        </is>
      </c>
      <c r="H4071" t="inlineStr">
        <is>
          <t>R&amp;R TRANSPORTE E LOGISTICA</t>
        </is>
      </c>
      <c r="J4071" s="29" t="n">
        <v>30.92</v>
      </c>
      <c r="K4071" s="29">
        <f>(1-ISNUMBER(SEARCH("556",M4071)))*(O4071*SUMIFS(Premissas!$C$5:$C$44,Premissas!$A$5:$A$44,$A4071,Premissas!$B$5:$B$44,$B4071)+P4071*SUMIFS(Premissas!$D$5:$D$44,Premissas!$A$5:$A$44,$A4071,Premissas!$B$5:$B$44,$B4071))+R4071*SUMIFS(Premissas!$E$5:$E$44,Premissas!$A$5:$A$44,$A4071,Premissas!$B$5:$B$44,$B4071)+S4071*SUMIFS(Premissas!$F$5:$F$44,Premissas!$A$5:$A$44,$A4071,Premissas!$B$5:$B$44,$B4071)</f>
        <v/>
      </c>
      <c r="L4071" s="29">
        <f>J4071-K4071</f>
        <v/>
      </c>
      <c r="M4071" t="inlineStr">
        <is>
          <t>1.350</t>
        </is>
      </c>
      <c r="N4071" t="inlineStr">
        <is>
          <t>Modalidade: 0 - Por conta do remetente | Parte: DOCE FIT FESTAS LTDA (46.894.141/0001-04)</t>
        </is>
      </c>
      <c r="O4071" s="29" t="n">
        <v>0</v>
      </c>
      <c r="P4071" s="29" t="n">
        <v>0</v>
      </c>
      <c r="Q4071" s="29" t="n">
        <v>0</v>
      </c>
      <c r="R4071" s="29" t="n">
        <v>0</v>
      </c>
      <c r="S4071" s="29" t="n">
        <v>0</v>
      </c>
      <c r="T4071" t="inlineStr">
        <is>
          <t>25260726975620000130570010000078041001101446</t>
        </is>
      </c>
      <c r="U4071" t="inlineStr">
        <is>
          <t>Não</t>
        </is>
      </c>
    </row>
    <row r="4072">
      <c r="A4072" t="inlineStr">
        <is>
          <t>Frete de venda</t>
        </is>
      </c>
      <c r="B4072" t="inlineStr">
        <is>
          <t>2.01.02 Frete sobre Vendas</t>
        </is>
      </c>
      <c r="C4072" s="30" t="n">
        <v>46204</v>
      </c>
      <c r="D4072" t="inlineStr">
        <is>
          <t>Em 2026</t>
        </is>
      </c>
      <c r="E4072" s="28" t="n">
        <v>46233</v>
      </c>
      <c r="F4072" t="inlineStr">
        <is>
          <t>CT-e</t>
        </is>
      </c>
      <c r="G4072" t="inlineStr">
        <is>
          <t>000007805</t>
        </is>
      </c>
      <c r="H4072" t="inlineStr">
        <is>
          <t>R&amp;R TRANSPORTE E LOGISTICA</t>
        </is>
      </c>
      <c r="J4072" s="29" t="n">
        <v>941.36</v>
      </c>
      <c r="K4072" s="29">
        <f>(1-ISNUMBER(SEARCH("556",M4072)))*(O4072*SUMIFS(Premissas!$C$5:$C$44,Premissas!$A$5:$A$44,$A4072,Premissas!$B$5:$B$44,$B4072)+P4072*SUMIFS(Premissas!$D$5:$D$44,Premissas!$A$5:$A$44,$A4072,Premissas!$B$5:$B$44,$B4072))+R4072*SUMIFS(Premissas!$E$5:$E$44,Premissas!$A$5:$A$44,$A4072,Premissas!$B$5:$B$44,$B4072)+S4072*SUMIFS(Premissas!$F$5:$F$44,Premissas!$A$5:$A$44,$A4072,Premissas!$B$5:$B$44,$B4072)</f>
        <v/>
      </c>
      <c r="L4072" s="29">
        <f>J4072-K4072</f>
        <v/>
      </c>
      <c r="M4072" t="inlineStr">
        <is>
          <t>1.350</t>
        </is>
      </c>
      <c r="N4072" t="inlineStr">
        <is>
          <t>Modalidade: 0 - Por conta do remetente | Parte: VINCO DISTRIBUIDORA DE EMBALAGENS LTDA (55.333.385/0001-09)</t>
        </is>
      </c>
      <c r="O4072" s="29" t="n">
        <v>0</v>
      </c>
      <c r="P4072" s="29" t="n">
        <v>0</v>
      </c>
      <c r="Q4072" s="29" t="n">
        <v>0</v>
      </c>
      <c r="R4072" s="29" t="n">
        <v>0</v>
      </c>
      <c r="S4072" s="29" t="n">
        <v>0</v>
      </c>
      <c r="T4072" t="inlineStr">
        <is>
          <t>25260726975620000130570010000078051001901520</t>
        </is>
      </c>
      <c r="U4072" t="inlineStr">
        <is>
          <t>Não</t>
        </is>
      </c>
    </row>
    <row r="4073">
      <c r="A4073" t="inlineStr">
        <is>
          <t>Frete de venda</t>
        </is>
      </c>
      <c r="B4073" t="inlineStr">
        <is>
          <t>2.01.02 Frete sobre Vendas</t>
        </is>
      </c>
      <c r="C4073" s="30" t="n">
        <v>46204</v>
      </c>
      <c r="D4073" t="inlineStr">
        <is>
          <t>Em 2026</t>
        </is>
      </c>
      <c r="E4073" s="28" t="n">
        <v>46233</v>
      </c>
      <c r="F4073" t="inlineStr">
        <is>
          <t>CT-e</t>
        </is>
      </c>
      <c r="G4073" t="inlineStr">
        <is>
          <t>000007806</t>
        </is>
      </c>
      <c r="H4073" t="inlineStr">
        <is>
          <t>R&amp;R TRANSPORTE E LOGISTICA</t>
        </is>
      </c>
      <c r="J4073" s="29" t="n">
        <v>101.01</v>
      </c>
      <c r="K4073" s="29">
        <f>(1-ISNUMBER(SEARCH("556",M4073)))*(O4073*SUMIFS(Premissas!$C$5:$C$44,Premissas!$A$5:$A$44,$A4073,Premissas!$B$5:$B$44,$B4073)+P4073*SUMIFS(Premissas!$D$5:$D$44,Premissas!$A$5:$A$44,$A4073,Premissas!$B$5:$B$44,$B4073))+R4073*SUMIFS(Premissas!$E$5:$E$44,Premissas!$A$5:$A$44,$A4073,Premissas!$B$5:$B$44,$B4073)+S4073*SUMIFS(Premissas!$F$5:$F$44,Premissas!$A$5:$A$44,$A4073,Premissas!$B$5:$B$44,$B4073)</f>
        <v/>
      </c>
      <c r="L4073" s="29">
        <f>J4073-K4073</f>
        <v/>
      </c>
      <c r="M4073" t="inlineStr">
        <is>
          <t>2.350</t>
        </is>
      </c>
      <c r="N4073" t="inlineStr">
        <is>
          <t>Modalidade: 0 - Por conta do remetente | Parte: CLOVES BEZERRA DE ARAUJO (010.366.654-02)</t>
        </is>
      </c>
      <c r="O4073" s="29" t="n">
        <v>0</v>
      </c>
      <c r="P4073" s="29" t="n">
        <v>0</v>
      </c>
      <c r="Q4073" s="29" t="n">
        <v>0</v>
      </c>
      <c r="R4073" s="29" t="n">
        <v>0</v>
      </c>
      <c r="S4073" s="29" t="n">
        <v>0</v>
      </c>
      <c r="T4073" t="inlineStr">
        <is>
          <t>25260726975620000130570010000078061001601605</t>
        </is>
      </c>
      <c r="U4073" t="inlineStr">
        <is>
          <t>Não</t>
        </is>
      </c>
    </row>
    <row r="4074">
      <c r="A4074" t="inlineStr">
        <is>
          <t>Frete de venda</t>
        </is>
      </c>
      <c r="B4074" t="inlineStr">
        <is>
          <t>2.01.02 Frete sobre Vendas</t>
        </is>
      </c>
      <c r="C4074" s="30" t="n">
        <v>46204</v>
      </c>
      <c r="D4074" t="inlineStr">
        <is>
          <t>Em 2026</t>
        </is>
      </c>
      <c r="E4074" s="28" t="n">
        <v>46233</v>
      </c>
      <c r="F4074" t="inlineStr">
        <is>
          <t>CT-e</t>
        </is>
      </c>
      <c r="G4074" t="inlineStr">
        <is>
          <t>000007807</t>
        </is>
      </c>
      <c r="H4074" t="inlineStr">
        <is>
          <t>R&amp;R TRANSPORTE E LOGISTICA</t>
        </is>
      </c>
      <c r="J4074" s="29" t="n">
        <v>128.32</v>
      </c>
      <c r="K4074" s="29">
        <f>(1-ISNUMBER(SEARCH("556",M4074)))*(O4074*SUMIFS(Premissas!$C$5:$C$44,Premissas!$A$5:$A$44,$A4074,Premissas!$B$5:$B$44,$B4074)+P4074*SUMIFS(Premissas!$D$5:$D$44,Premissas!$A$5:$A$44,$A4074,Premissas!$B$5:$B$44,$B4074))+R4074*SUMIFS(Premissas!$E$5:$E$44,Premissas!$A$5:$A$44,$A4074,Premissas!$B$5:$B$44,$B4074)+S4074*SUMIFS(Premissas!$F$5:$F$44,Premissas!$A$5:$A$44,$A4074,Premissas!$B$5:$B$44,$B4074)</f>
        <v/>
      </c>
      <c r="L4074" s="29">
        <f>J4074-K4074</f>
        <v/>
      </c>
      <c r="M4074" t="inlineStr">
        <is>
          <t>2.350</t>
        </is>
      </c>
      <c r="N4074" t="inlineStr">
        <is>
          <t>Modalidade: 0 - Por conta do remetente | Parte: M X COMERCIO E SERVICOS LTDA (11.028.612/0001-09)</t>
        </is>
      </c>
      <c r="O4074" s="29" t="n">
        <v>0</v>
      </c>
      <c r="P4074" s="29" t="n">
        <v>0</v>
      </c>
      <c r="Q4074" s="29" t="n">
        <v>0</v>
      </c>
      <c r="R4074" s="29" t="n">
        <v>0</v>
      </c>
      <c r="S4074" s="29" t="n">
        <v>0</v>
      </c>
      <c r="T4074" t="inlineStr">
        <is>
          <t>25260726975620000130570010000078071001301684</t>
        </is>
      </c>
      <c r="U4074" t="inlineStr">
        <is>
          <t>Não</t>
        </is>
      </c>
    </row>
    <row r="4075">
      <c r="A4075" t="inlineStr">
        <is>
          <t>Frete de venda</t>
        </is>
      </c>
      <c r="B4075" t="inlineStr">
        <is>
          <t>2.01.02 Frete sobre Vendas</t>
        </is>
      </c>
      <c r="C4075" s="30" t="n">
        <v>46204</v>
      </c>
      <c r="D4075" t="inlineStr">
        <is>
          <t>Em 2026</t>
        </is>
      </c>
      <c r="E4075" s="28" t="n">
        <v>46234</v>
      </c>
      <c r="F4075" t="inlineStr">
        <is>
          <t>CT-e</t>
        </is>
      </c>
      <c r="G4075" t="inlineStr">
        <is>
          <t>000007808</t>
        </is>
      </c>
      <c r="H4075" t="inlineStr">
        <is>
          <t>R&amp;R TRANSPORTE E LOGISTICA</t>
        </is>
      </c>
      <c r="J4075" s="29" t="n">
        <v>79.19</v>
      </c>
      <c r="K4075" s="29">
        <f>(1-ISNUMBER(SEARCH("556",M4075)))*(O4075*SUMIFS(Premissas!$C$5:$C$44,Premissas!$A$5:$A$44,$A4075,Premissas!$B$5:$B$44,$B4075)+P4075*SUMIFS(Premissas!$D$5:$D$44,Premissas!$A$5:$A$44,$A4075,Premissas!$B$5:$B$44,$B4075))+R4075*SUMIFS(Premissas!$E$5:$E$44,Premissas!$A$5:$A$44,$A4075,Premissas!$B$5:$B$44,$B4075)+S4075*SUMIFS(Premissas!$F$5:$F$44,Premissas!$A$5:$A$44,$A4075,Premissas!$B$5:$B$44,$B4075)</f>
        <v/>
      </c>
      <c r="L4075" s="29">
        <f>J4075-K4075</f>
        <v/>
      </c>
      <c r="M4075" t="inlineStr">
        <is>
          <t>2.350</t>
        </is>
      </c>
      <c r="N4075" t="inlineStr">
        <is>
          <t>Modalidade: 0 - Por conta do remetente | Parte: COMERCIAL W.J.S LTDA (04.851.906/0001-70)</t>
        </is>
      </c>
      <c r="O4075" s="29" t="n">
        <v>0</v>
      </c>
      <c r="P4075" s="29" t="n">
        <v>0</v>
      </c>
      <c r="Q4075" s="29" t="n">
        <v>0</v>
      </c>
      <c r="R4075" s="29" t="n">
        <v>0</v>
      </c>
      <c r="S4075" s="29" t="n">
        <v>0</v>
      </c>
      <c r="T4075" t="inlineStr">
        <is>
          <t>25260726975620000130570010000078081001801510</t>
        </is>
      </c>
      <c r="U4075" t="inlineStr">
        <is>
          <t>Não</t>
        </is>
      </c>
    </row>
    <row r="4076">
      <c r="A4076" t="inlineStr">
        <is>
          <t>Frete de venda</t>
        </is>
      </c>
      <c r="B4076" t="inlineStr">
        <is>
          <t>2.01.02 Frete sobre Vendas</t>
        </is>
      </c>
      <c r="C4076" s="30" t="n">
        <v>46204</v>
      </c>
      <c r="D4076" t="inlineStr">
        <is>
          <t>Em 2026</t>
        </is>
      </c>
      <c r="E4076" s="28" t="n">
        <v>46234</v>
      </c>
      <c r="F4076" t="inlineStr">
        <is>
          <t>CT-e</t>
        </is>
      </c>
      <c r="G4076" t="inlineStr">
        <is>
          <t>000007809</t>
        </is>
      </c>
      <c r="H4076" t="inlineStr">
        <is>
          <t>R&amp;R TRANSPORTE E LOGISTICA</t>
        </is>
      </c>
      <c r="J4076" s="29" t="n">
        <v>39.7</v>
      </c>
      <c r="K4076" s="29">
        <f>(1-ISNUMBER(SEARCH("556",M4076)))*(O4076*SUMIFS(Premissas!$C$5:$C$44,Premissas!$A$5:$A$44,$A4076,Premissas!$B$5:$B$44,$B4076)+P4076*SUMIFS(Premissas!$D$5:$D$44,Premissas!$A$5:$A$44,$A4076,Premissas!$B$5:$B$44,$B4076))+R4076*SUMIFS(Premissas!$E$5:$E$44,Premissas!$A$5:$A$44,$A4076,Premissas!$B$5:$B$44,$B4076)+S4076*SUMIFS(Premissas!$F$5:$F$44,Premissas!$A$5:$A$44,$A4076,Premissas!$B$5:$B$44,$B4076)</f>
        <v/>
      </c>
      <c r="L4076" s="29">
        <f>J4076-K4076</f>
        <v/>
      </c>
      <c r="M4076" t="inlineStr">
        <is>
          <t>2.350</t>
        </is>
      </c>
      <c r="N4076" t="inlineStr">
        <is>
          <t>Modalidade: 0 - Por conta do remetente | Parte: MULTPEL COMERCIO DE PAPEIS E EMBALAGENS LTDA (02.262.785/0001-04)</t>
        </is>
      </c>
      <c r="O4076" s="29" t="n">
        <v>0</v>
      </c>
      <c r="P4076" s="29" t="n">
        <v>0</v>
      </c>
      <c r="Q4076" s="29" t="n">
        <v>0</v>
      </c>
      <c r="R4076" s="29" t="n">
        <v>0</v>
      </c>
      <c r="S4076" s="29" t="n">
        <v>0</v>
      </c>
      <c r="T4076" t="inlineStr">
        <is>
          <t>25260726975620000130570010000078091001501599</t>
        </is>
      </c>
      <c r="U4076" t="inlineStr">
        <is>
          <t>Não</t>
        </is>
      </c>
    </row>
    <row r="4077">
      <c r="A4077" t="inlineStr">
        <is>
          <t>Frete de venda</t>
        </is>
      </c>
      <c r="B4077" t="inlineStr">
        <is>
          <t>2.01.02 Frete sobre Vendas</t>
        </is>
      </c>
      <c r="C4077" s="30" t="n">
        <v>46204</v>
      </c>
      <c r="D4077" t="inlineStr">
        <is>
          <t>Em 2026</t>
        </is>
      </c>
      <c r="E4077" s="28" t="n">
        <v>46234</v>
      </c>
      <c r="F4077" t="inlineStr">
        <is>
          <t>CT-e</t>
        </is>
      </c>
      <c r="G4077" t="inlineStr">
        <is>
          <t>000007810</t>
        </is>
      </c>
      <c r="H4077" t="inlineStr">
        <is>
          <t>R&amp;R TRANSPORTE E LOGISTICA</t>
        </is>
      </c>
      <c r="J4077" s="29" t="n">
        <v>27.78</v>
      </c>
      <c r="K4077" s="29">
        <f>(1-ISNUMBER(SEARCH("556",M4077)))*(O4077*SUMIFS(Premissas!$C$5:$C$44,Premissas!$A$5:$A$44,$A4077,Premissas!$B$5:$B$44,$B4077)+P4077*SUMIFS(Premissas!$D$5:$D$44,Premissas!$A$5:$A$44,$A4077,Premissas!$B$5:$B$44,$B4077))+R4077*SUMIFS(Premissas!$E$5:$E$44,Premissas!$A$5:$A$44,$A4077,Premissas!$B$5:$B$44,$B4077)+S4077*SUMIFS(Premissas!$F$5:$F$44,Premissas!$A$5:$A$44,$A4077,Premissas!$B$5:$B$44,$B4077)</f>
        <v/>
      </c>
      <c r="L4077" s="29">
        <f>J4077-K4077</f>
        <v/>
      </c>
      <c r="M4077" t="inlineStr">
        <is>
          <t>2.350</t>
        </is>
      </c>
      <c r="N4077" t="inlineStr">
        <is>
          <t>Modalidade: 0 - Por conta do remetente | Parte: COLORADO FESTAS LTDA (38.183.127/0001-66)</t>
        </is>
      </c>
      <c r="O4077" s="29" t="n">
        <v>0</v>
      </c>
      <c r="P4077" s="29" t="n">
        <v>0</v>
      </c>
      <c r="Q4077" s="29" t="n">
        <v>0</v>
      </c>
      <c r="R4077" s="29" t="n">
        <v>0</v>
      </c>
      <c r="S4077" s="29" t="n">
        <v>0</v>
      </c>
      <c r="T4077" t="inlineStr">
        <is>
          <t>25260726975620000130570010000078101001201677</t>
        </is>
      </c>
      <c r="U4077" t="inlineStr">
        <is>
          <t>Não</t>
        </is>
      </c>
    </row>
    <row r="4078">
      <c r="A4078" t="inlineStr">
        <is>
          <t>Frete de venda</t>
        </is>
      </c>
      <c r="B4078" t="inlineStr">
        <is>
          <t>2.01.02 Frete sobre Vendas</t>
        </is>
      </c>
      <c r="C4078" s="30" t="n">
        <v>46204</v>
      </c>
      <c r="D4078" t="inlineStr">
        <is>
          <t>Em 2026</t>
        </is>
      </c>
      <c r="E4078" s="28" t="n">
        <v>46234</v>
      </c>
      <c r="F4078" t="inlineStr">
        <is>
          <t>CT-e</t>
        </is>
      </c>
      <c r="G4078" t="inlineStr">
        <is>
          <t>000007811</t>
        </is>
      </c>
      <c r="H4078" t="inlineStr">
        <is>
          <t>R&amp;R TRANSPORTE E LOGISTICA</t>
        </is>
      </c>
      <c r="J4078" s="29" t="n">
        <v>58.57</v>
      </c>
      <c r="K4078" s="29">
        <f>(1-ISNUMBER(SEARCH("556",M4078)))*(O4078*SUMIFS(Premissas!$C$5:$C$44,Premissas!$A$5:$A$44,$A4078,Premissas!$B$5:$B$44,$B4078)+P4078*SUMIFS(Premissas!$D$5:$D$44,Premissas!$A$5:$A$44,$A4078,Premissas!$B$5:$B$44,$B4078))+R4078*SUMIFS(Premissas!$E$5:$E$44,Premissas!$A$5:$A$44,$A4078,Premissas!$B$5:$B$44,$B4078)+S4078*SUMIFS(Premissas!$F$5:$F$44,Premissas!$A$5:$A$44,$A4078,Premissas!$B$5:$B$44,$B4078)</f>
        <v/>
      </c>
      <c r="L4078" s="29">
        <f>J4078-K4078</f>
        <v/>
      </c>
      <c r="M4078" t="inlineStr">
        <is>
          <t>2.350</t>
        </is>
      </c>
      <c r="N4078" t="inlineStr">
        <is>
          <t>Modalidade: 0 - Por conta do remetente | Parte: ATACADO SAO PAULO LTDA (28.410.074/0003-87)</t>
        </is>
      </c>
      <c r="O4078" s="29" t="n">
        <v>0</v>
      </c>
      <c r="P4078" s="29" t="n">
        <v>0</v>
      </c>
      <c r="Q4078" s="29" t="n">
        <v>0</v>
      </c>
      <c r="R4078" s="29" t="n">
        <v>0</v>
      </c>
      <c r="S4078" s="29" t="n">
        <v>0</v>
      </c>
      <c r="T4078" t="inlineStr">
        <is>
          <t>25260726975620000130570010000078111011001759</t>
        </is>
      </c>
      <c r="U4078" t="inlineStr">
        <is>
          <t>Não</t>
        </is>
      </c>
    </row>
    <row r="4079">
      <c r="A4079" t="inlineStr">
        <is>
          <t>Frete de venda</t>
        </is>
      </c>
      <c r="B4079" t="inlineStr">
        <is>
          <t>2.01.02 Frete sobre Vendas</t>
        </is>
      </c>
      <c r="C4079" s="30" t="n">
        <v>46204</v>
      </c>
      <c r="D4079" t="inlineStr">
        <is>
          <t>Em 2026</t>
        </is>
      </c>
      <c r="E4079" s="28" t="n">
        <v>46234</v>
      </c>
      <c r="F4079" t="inlineStr">
        <is>
          <t>CT-e</t>
        </is>
      </c>
      <c r="G4079" t="inlineStr">
        <is>
          <t>000007812</t>
        </is>
      </c>
      <c r="H4079" t="inlineStr">
        <is>
          <t>R&amp;R TRANSPORTE E LOGISTICA</t>
        </is>
      </c>
      <c r="J4079" s="29" t="n">
        <v>29.73</v>
      </c>
      <c r="K4079" s="29">
        <f>(1-ISNUMBER(SEARCH("556",M4079)))*(O4079*SUMIFS(Premissas!$C$5:$C$44,Premissas!$A$5:$A$44,$A4079,Premissas!$B$5:$B$44,$B4079)+P4079*SUMIFS(Premissas!$D$5:$D$44,Premissas!$A$5:$A$44,$A4079,Premissas!$B$5:$B$44,$B4079))+R4079*SUMIFS(Premissas!$E$5:$E$44,Premissas!$A$5:$A$44,$A4079,Premissas!$B$5:$B$44,$B4079)+S4079*SUMIFS(Premissas!$F$5:$F$44,Premissas!$A$5:$A$44,$A4079,Premissas!$B$5:$B$44,$B4079)</f>
        <v/>
      </c>
      <c r="L4079" s="29">
        <f>J4079-K4079</f>
        <v/>
      </c>
      <c r="M4079" t="inlineStr">
        <is>
          <t>2.350</t>
        </is>
      </c>
      <c r="N4079" t="inlineStr">
        <is>
          <t>Modalidade: 0 - Por conta do remetente | Parte: VILA RUBIM COMERCIO DE EMBALAGENS DESCARTAVEIS LTDA (35.657.160/0001-92)</t>
        </is>
      </c>
      <c r="O4079" s="29" t="n">
        <v>0</v>
      </c>
      <c r="P4079" s="29" t="n">
        <v>0</v>
      </c>
      <c r="Q4079" s="29" t="n">
        <v>0</v>
      </c>
      <c r="R4079" s="29" t="n">
        <v>0</v>
      </c>
      <c r="S4079" s="29" t="n">
        <v>0</v>
      </c>
      <c r="T4079" t="inlineStr">
        <is>
          <t>25260726975620000130570010000078121001701836</t>
        </is>
      </c>
      <c r="U4079" t="inlineStr">
        <is>
          <t>Não</t>
        </is>
      </c>
    </row>
    <row r="4080">
      <c r="A4080" t="inlineStr">
        <is>
          <t>Frete de venda</t>
        </is>
      </c>
      <c r="B4080" t="inlineStr">
        <is>
          <t>2.01.02 Frete sobre Vendas</t>
        </is>
      </c>
      <c r="C4080" s="30" t="n">
        <v>46204</v>
      </c>
      <c r="D4080" t="inlineStr">
        <is>
          <t>Em 2026</t>
        </is>
      </c>
      <c r="E4080" s="28" t="n">
        <v>46234</v>
      </c>
      <c r="F4080" t="inlineStr">
        <is>
          <t>CT-e</t>
        </is>
      </c>
      <c r="G4080" t="inlineStr">
        <is>
          <t>000007813</t>
        </is>
      </c>
      <c r="H4080" t="inlineStr">
        <is>
          <t>R&amp;R TRANSPORTE E LOGISTICA</t>
        </is>
      </c>
      <c r="J4080" s="29" t="n">
        <v>35.46</v>
      </c>
      <c r="K4080" s="29">
        <f>(1-ISNUMBER(SEARCH("556",M4080)))*(O4080*SUMIFS(Premissas!$C$5:$C$44,Premissas!$A$5:$A$44,$A4080,Premissas!$B$5:$B$44,$B4080)+P4080*SUMIFS(Premissas!$D$5:$D$44,Premissas!$A$5:$A$44,$A4080,Premissas!$B$5:$B$44,$B4080))+R4080*SUMIFS(Premissas!$E$5:$E$44,Premissas!$A$5:$A$44,$A4080,Premissas!$B$5:$B$44,$B4080)+S4080*SUMIFS(Premissas!$F$5:$F$44,Premissas!$A$5:$A$44,$A4080,Premissas!$B$5:$B$44,$B4080)</f>
        <v/>
      </c>
      <c r="L4080" s="29">
        <f>J4080-K4080</f>
        <v/>
      </c>
      <c r="M4080" t="inlineStr">
        <is>
          <t>2.350</t>
        </is>
      </c>
      <c r="N4080" t="inlineStr">
        <is>
          <t>Modalidade: 0 - Por conta do remetente | Parte: NORBIATO VARIEDADES E MINIMERCADO LTDA (25.190.765/0001-62)</t>
        </is>
      </c>
      <c r="O4080" s="29" t="n">
        <v>0</v>
      </c>
      <c r="P4080" s="29" t="n">
        <v>0</v>
      </c>
      <c r="Q4080" s="29" t="n">
        <v>0</v>
      </c>
      <c r="R4080" s="29" t="n">
        <v>0</v>
      </c>
      <c r="S4080" s="29" t="n">
        <v>0</v>
      </c>
      <c r="T4080" t="inlineStr">
        <is>
          <t>25260726975620000130570010000078131001401910</t>
        </is>
      </c>
      <c r="U4080" t="inlineStr">
        <is>
          <t>Não</t>
        </is>
      </c>
    </row>
    <row r="4081">
      <c r="A4081" t="inlineStr">
        <is>
          <t>Frete de venda</t>
        </is>
      </c>
      <c r="B4081" t="inlineStr">
        <is>
          <t>2.01.02 Frete sobre Vendas</t>
        </is>
      </c>
      <c r="C4081" s="30" t="n">
        <v>46204</v>
      </c>
      <c r="D4081" t="inlineStr">
        <is>
          <t>Em 2026</t>
        </is>
      </c>
      <c r="E4081" s="28" t="n">
        <v>46234</v>
      </c>
      <c r="F4081" t="inlineStr">
        <is>
          <t>CT-e</t>
        </is>
      </c>
      <c r="G4081" t="inlineStr">
        <is>
          <t>000007814</t>
        </is>
      </c>
      <c r="H4081" t="inlineStr">
        <is>
          <t>R&amp;R TRANSPORTE E LOGISTICA</t>
        </is>
      </c>
      <c r="J4081" s="29" t="n">
        <v>33.44</v>
      </c>
      <c r="K4081" s="29">
        <f>(1-ISNUMBER(SEARCH("556",M4081)))*(O4081*SUMIFS(Premissas!$C$5:$C$44,Premissas!$A$5:$A$44,$A4081,Premissas!$B$5:$B$44,$B4081)+P4081*SUMIFS(Premissas!$D$5:$D$44,Premissas!$A$5:$A$44,$A4081,Premissas!$B$5:$B$44,$B4081))+R4081*SUMIFS(Premissas!$E$5:$E$44,Premissas!$A$5:$A$44,$A4081,Premissas!$B$5:$B$44,$B4081)+S4081*SUMIFS(Premissas!$F$5:$F$44,Premissas!$A$5:$A$44,$A4081,Premissas!$B$5:$B$44,$B4081)</f>
        <v/>
      </c>
      <c r="L4081" s="29">
        <f>J4081-K4081</f>
        <v/>
      </c>
      <c r="M4081" t="inlineStr">
        <is>
          <t>2.350</t>
        </is>
      </c>
      <c r="N4081" t="inlineStr">
        <is>
          <t>Modalidade: 0 - Por conta do remetente | Parte: COMERCIAL DISKPAN LTDA (02.691.482/0001-07)</t>
        </is>
      </c>
      <c r="O4081" s="29" t="n">
        <v>0</v>
      </c>
      <c r="P4081" s="29" t="n">
        <v>0</v>
      </c>
      <c r="Q4081" s="29" t="n">
        <v>0</v>
      </c>
      <c r="R4081" s="29" t="n">
        <v>0</v>
      </c>
      <c r="S4081" s="29" t="n">
        <v>0</v>
      </c>
      <c r="T4081" t="inlineStr">
        <is>
          <t>25260726975620000130570010000078141001101990</t>
        </is>
      </c>
      <c r="U4081" t="inlineStr">
        <is>
          <t>Não</t>
        </is>
      </c>
    </row>
    <row r="4082">
      <c r="A4082" t="inlineStr">
        <is>
          <t>Frete de venda</t>
        </is>
      </c>
      <c r="B4082" t="inlineStr">
        <is>
          <t>2.01.02 Frete sobre Vendas</t>
        </is>
      </c>
      <c r="C4082" s="30" t="n">
        <v>46204</v>
      </c>
      <c r="D4082" t="inlineStr">
        <is>
          <t>Em 2026</t>
        </is>
      </c>
      <c r="E4082" s="28" t="n">
        <v>46234</v>
      </c>
      <c r="F4082" t="inlineStr">
        <is>
          <t>CT-e</t>
        </is>
      </c>
      <c r="G4082" t="inlineStr">
        <is>
          <t>000007819</t>
        </is>
      </c>
      <c r="H4082" t="inlineStr">
        <is>
          <t>R&amp;R TRANSPORTE E LOGISTICA</t>
        </is>
      </c>
      <c r="J4082" s="29" t="n">
        <v>231.36</v>
      </c>
      <c r="K4082" s="29">
        <f>(1-ISNUMBER(SEARCH("556",M4082)))*(O4082*SUMIFS(Premissas!$C$5:$C$44,Premissas!$A$5:$A$44,$A4082,Premissas!$B$5:$B$44,$B4082)+P4082*SUMIFS(Premissas!$D$5:$D$44,Premissas!$A$5:$A$44,$A4082,Premissas!$B$5:$B$44,$B4082))+R4082*SUMIFS(Premissas!$E$5:$E$44,Premissas!$A$5:$A$44,$A4082,Premissas!$B$5:$B$44,$B4082)+S4082*SUMIFS(Premissas!$F$5:$F$44,Premissas!$A$5:$A$44,$A4082,Premissas!$B$5:$B$44,$B4082)</f>
        <v/>
      </c>
      <c r="L4082" s="29">
        <f>J4082-K4082</f>
        <v/>
      </c>
      <c r="M4082" t="inlineStr">
        <is>
          <t>2.350</t>
        </is>
      </c>
      <c r="N4082" t="inlineStr">
        <is>
          <t>Modalidade: 0 - Por conta do remetente | Parte: UP DISTRIBUIDORA DE PRODUTOS DESCARTAVEIS LTDA (12.423.997/0001-71)</t>
        </is>
      </c>
      <c r="O4082" s="29" t="n">
        <v>0</v>
      </c>
      <c r="P4082" s="29" t="n">
        <v>0</v>
      </c>
      <c r="Q4082" s="29" t="n">
        <v>0</v>
      </c>
      <c r="R4082" s="29" t="n">
        <v>0</v>
      </c>
      <c r="S4082" s="29" t="n">
        <v>0</v>
      </c>
      <c r="T4082" t="inlineStr">
        <is>
          <t>25260726975620000130570010000078191001101660</t>
        </is>
      </c>
      <c r="U4082" t="inlineStr">
        <is>
          <t>Não</t>
        </is>
      </c>
    </row>
    <row r="4083">
      <c r="A4083" t="inlineStr">
        <is>
          <t>Frete de venda</t>
        </is>
      </c>
      <c r="B4083" t="inlineStr">
        <is>
          <t>2.01.02 Frete sobre Vendas</t>
        </is>
      </c>
      <c r="C4083" s="30" t="n">
        <v>46204</v>
      </c>
      <c r="D4083" t="inlineStr">
        <is>
          <t>Em 2026</t>
        </is>
      </c>
      <c r="E4083" s="28" t="n">
        <v>46216</v>
      </c>
      <c r="F4083" t="inlineStr">
        <is>
          <t>CT-e</t>
        </is>
      </c>
      <c r="G4083" t="inlineStr">
        <is>
          <t>000004496</t>
        </is>
      </c>
      <c r="H4083" t="inlineStr">
        <is>
          <t>RAPIDO XAPURI TRANSPORTES E LOGISTICA LTDA</t>
        </is>
      </c>
      <c r="J4083" s="29" t="n">
        <v>1445.73</v>
      </c>
      <c r="K4083" s="29">
        <f>(1-ISNUMBER(SEARCH("556",M4083)))*(O4083*SUMIFS(Premissas!$C$5:$C$44,Premissas!$A$5:$A$44,$A4083,Premissas!$B$5:$B$44,$B4083)+P4083*SUMIFS(Premissas!$D$5:$D$44,Premissas!$A$5:$A$44,$A4083,Premissas!$B$5:$B$44,$B4083))+R4083*SUMIFS(Premissas!$E$5:$E$44,Premissas!$A$5:$A$44,$A4083,Premissas!$B$5:$B$44,$B4083)+S4083*SUMIFS(Premissas!$F$5:$F$44,Premissas!$A$5:$A$44,$A4083,Premissas!$B$5:$B$44,$B4083)</f>
        <v/>
      </c>
      <c r="L4083" s="29">
        <f>J4083-K4083</f>
        <v/>
      </c>
      <c r="M4083" t="inlineStr">
        <is>
          <t>2.350</t>
        </is>
      </c>
      <c r="N4083" t="inlineStr">
        <is>
          <t>Modalidade: 0 - Por conta do remetente | Parte: RM COMERCIO DE ARTIGOS PARA FESTA LTDA (30.878.046/0001-79)</t>
        </is>
      </c>
      <c r="O4083" s="29" t="n">
        <v>0</v>
      </c>
      <c r="P4083" s="29" t="n">
        <v>173.49</v>
      </c>
      <c r="Q4083" s="29" t="n">
        <v>0</v>
      </c>
      <c r="R4083" s="29" t="n">
        <v>0</v>
      </c>
      <c r="S4083" s="29" t="n">
        <v>0</v>
      </c>
      <c r="T4083" t="inlineStr">
        <is>
          <t>52260727775231000557570010000044961000746862</t>
        </is>
      </c>
      <c r="U4083" t="inlineStr">
        <is>
          <t>Sim</t>
        </is>
      </c>
    </row>
    <row r="4084">
      <c r="A4084" t="inlineStr">
        <is>
          <t>Frete de venda</t>
        </is>
      </c>
      <c r="B4084" t="inlineStr">
        <is>
          <t>2.01.02 Frete sobre Vendas</t>
        </is>
      </c>
      <c r="C4084" s="30" t="n">
        <v>46204</v>
      </c>
      <c r="D4084" t="inlineStr">
        <is>
          <t>Em 2026</t>
        </is>
      </c>
      <c r="E4084" s="28" t="n">
        <v>46216</v>
      </c>
      <c r="F4084" t="inlineStr">
        <is>
          <t>CT-e</t>
        </is>
      </c>
      <c r="G4084" t="inlineStr">
        <is>
          <t>000004497</t>
        </is>
      </c>
      <c r="H4084" t="inlineStr">
        <is>
          <t>RAPIDO XAPURI TRANSPORTES E LOGISTICA LTDA</t>
        </is>
      </c>
      <c r="J4084" s="29" t="n">
        <v>6545.7</v>
      </c>
      <c r="K4084" s="29">
        <f>(1-ISNUMBER(SEARCH("556",M4084)))*(O4084*SUMIFS(Premissas!$C$5:$C$44,Premissas!$A$5:$A$44,$A4084,Premissas!$B$5:$B$44,$B4084)+P4084*SUMIFS(Premissas!$D$5:$D$44,Premissas!$A$5:$A$44,$A4084,Premissas!$B$5:$B$44,$B4084))+R4084*SUMIFS(Premissas!$E$5:$E$44,Premissas!$A$5:$A$44,$A4084,Premissas!$B$5:$B$44,$B4084)+S4084*SUMIFS(Premissas!$F$5:$F$44,Premissas!$A$5:$A$44,$A4084,Premissas!$B$5:$B$44,$B4084)</f>
        <v/>
      </c>
      <c r="L4084" s="29">
        <f>J4084-K4084</f>
        <v/>
      </c>
      <c r="M4084" t="inlineStr">
        <is>
          <t>2.350</t>
        </is>
      </c>
      <c r="N4084" t="inlineStr">
        <is>
          <t>Modalidade: 0 - Por conta do remetente | Parte: MORENO FESTAS LTDA (18.133.456/0001-95)</t>
        </is>
      </c>
      <c r="O4084" s="29" t="n">
        <v>0</v>
      </c>
      <c r="P4084" s="29" t="n">
        <v>785.48</v>
      </c>
      <c r="Q4084" s="29" t="n">
        <v>0</v>
      </c>
      <c r="R4084" s="29" t="n">
        <v>0</v>
      </c>
      <c r="S4084" s="29" t="n">
        <v>0</v>
      </c>
      <c r="T4084" t="inlineStr">
        <is>
          <t>52260727775231000557570010000044971000746878</t>
        </is>
      </c>
      <c r="U4084" t="inlineStr">
        <is>
          <t>Sim</t>
        </is>
      </c>
    </row>
    <row r="4085">
      <c r="A4085" t="inlineStr">
        <is>
          <t>Frete de venda</t>
        </is>
      </c>
      <c r="B4085" t="inlineStr">
        <is>
          <t>2.01.02 Frete sobre Vendas</t>
        </is>
      </c>
      <c r="C4085" s="30" t="n">
        <v>46204</v>
      </c>
      <c r="D4085" t="inlineStr">
        <is>
          <t>Em 2026</t>
        </is>
      </c>
      <c r="E4085" s="28" t="n">
        <v>46205</v>
      </c>
      <c r="F4085" t="inlineStr">
        <is>
          <t>CT-e</t>
        </is>
      </c>
      <c r="G4085" t="inlineStr">
        <is>
          <t>000000708</t>
        </is>
      </c>
      <c r="H4085" t="inlineStr">
        <is>
          <t>REIMAG - REINALDO DOMINGUES BARROS DA SILVA</t>
        </is>
      </c>
      <c r="J4085" s="29" t="n">
        <v>266</v>
      </c>
      <c r="K4085" s="29">
        <f>(1-ISNUMBER(SEARCH("556",M4085)))*(O4085*SUMIFS(Premissas!$C$5:$C$44,Premissas!$A$5:$A$44,$A4085,Premissas!$B$5:$B$44,$B4085)+P4085*SUMIFS(Premissas!$D$5:$D$44,Premissas!$A$5:$A$44,$A4085,Premissas!$B$5:$B$44,$B4085))+R4085*SUMIFS(Premissas!$E$5:$E$44,Premissas!$A$5:$A$44,$A4085,Premissas!$B$5:$B$44,$B4085)+S4085*SUMIFS(Premissas!$F$5:$F$44,Premissas!$A$5:$A$44,$A4085,Premissas!$B$5:$B$44,$B4085)</f>
        <v/>
      </c>
      <c r="L4085" s="29">
        <f>J4085-K4085</f>
        <v/>
      </c>
      <c r="M4085" t="inlineStr">
        <is>
          <t>2.350</t>
        </is>
      </c>
      <c r="N4085" t="inlineStr">
        <is>
          <t>Modalidade: 0 - Por conta do remetente | Parte: MACROPAC PROTECAO E EMBALAGEM LTDA (11.840.014/0001-30)</t>
        </is>
      </c>
      <c r="O4085" s="29" t="n">
        <v>0</v>
      </c>
      <c r="P4085" s="29" t="n">
        <v>0</v>
      </c>
      <c r="Q4085" s="29" t="n">
        <v>0</v>
      </c>
      <c r="R4085" s="29" t="n">
        <v>0</v>
      </c>
      <c r="S4085" s="29" t="n">
        <v>0</v>
      </c>
      <c r="T4085" t="inlineStr">
        <is>
          <t>25260739962724000151570010000007081719364536</t>
        </is>
      </c>
      <c r="U4085" t="inlineStr">
        <is>
          <t>Sim</t>
        </is>
      </c>
    </row>
    <row r="4086">
      <c r="A4086" t="inlineStr">
        <is>
          <t>Frete de venda</t>
        </is>
      </c>
      <c r="B4086" t="inlineStr">
        <is>
          <t>2.01.02 Frete sobre Vendas</t>
        </is>
      </c>
      <c r="C4086" s="30" t="n">
        <v>46204</v>
      </c>
      <c r="D4086" t="inlineStr">
        <is>
          <t>Em 2026</t>
        </is>
      </c>
      <c r="E4086" s="28" t="n">
        <v>46205</v>
      </c>
      <c r="F4086" t="inlineStr">
        <is>
          <t>CT-e</t>
        </is>
      </c>
      <c r="G4086" t="inlineStr">
        <is>
          <t>000000709</t>
        </is>
      </c>
      <c r="H4086" t="inlineStr">
        <is>
          <t>REIMAG - REINALDO DOMINGUES BARROS DA SILVA</t>
        </is>
      </c>
      <c r="J4086" s="29" t="n">
        <v>267</v>
      </c>
      <c r="K4086" s="29">
        <f>(1-ISNUMBER(SEARCH("556",M4086)))*(O4086*SUMIFS(Premissas!$C$5:$C$44,Premissas!$A$5:$A$44,$A4086,Premissas!$B$5:$B$44,$B4086)+P4086*SUMIFS(Premissas!$D$5:$D$44,Premissas!$A$5:$A$44,$A4086,Premissas!$B$5:$B$44,$B4086))+R4086*SUMIFS(Premissas!$E$5:$E$44,Premissas!$A$5:$A$44,$A4086,Premissas!$B$5:$B$44,$B4086)+S4086*SUMIFS(Premissas!$F$5:$F$44,Premissas!$A$5:$A$44,$A4086,Premissas!$B$5:$B$44,$B4086)</f>
        <v/>
      </c>
      <c r="L4086" s="29">
        <f>J4086-K4086</f>
        <v/>
      </c>
      <c r="M4086" t="inlineStr">
        <is>
          <t>2.350</t>
        </is>
      </c>
      <c r="N4086" t="inlineStr">
        <is>
          <t>Modalidade: 0 - Por conta do remetente | Parte: GALPLAST EMBALAGENS LTDA (24.273.591/0001-39)</t>
        </is>
      </c>
      <c r="O4086" s="29" t="n">
        <v>0</v>
      </c>
      <c r="P4086" s="29" t="n">
        <v>0</v>
      </c>
      <c r="Q4086" s="29" t="n">
        <v>0</v>
      </c>
      <c r="R4086" s="29" t="n">
        <v>0</v>
      </c>
      <c r="S4086" s="29" t="n">
        <v>0</v>
      </c>
      <c r="T4086" t="inlineStr">
        <is>
          <t>25260739962724000151570010000007091612523138</t>
        </is>
      </c>
      <c r="U4086" t="inlineStr">
        <is>
          <t>Sim</t>
        </is>
      </c>
    </row>
    <row r="4087">
      <c r="A4087" t="inlineStr">
        <is>
          <t>Frete de venda</t>
        </is>
      </c>
      <c r="B4087" t="inlineStr">
        <is>
          <t>2.01.02 Frete sobre Vendas</t>
        </is>
      </c>
      <c r="C4087" s="30" t="n">
        <v>46204</v>
      </c>
      <c r="D4087" t="inlineStr">
        <is>
          <t>Em 2026</t>
        </is>
      </c>
      <c r="E4087" s="28" t="n">
        <v>46205</v>
      </c>
      <c r="F4087" t="inlineStr">
        <is>
          <t>CT-e</t>
        </is>
      </c>
      <c r="G4087" t="inlineStr">
        <is>
          <t>000000710</t>
        </is>
      </c>
      <c r="H4087" t="inlineStr">
        <is>
          <t>REIMAG - REINALDO DOMINGUES BARROS DA SILVA</t>
        </is>
      </c>
      <c r="J4087" s="29" t="n">
        <v>267</v>
      </c>
      <c r="K4087" s="29">
        <f>(1-ISNUMBER(SEARCH("556",M4087)))*(O4087*SUMIFS(Premissas!$C$5:$C$44,Premissas!$A$5:$A$44,$A4087,Premissas!$B$5:$B$44,$B4087)+P4087*SUMIFS(Premissas!$D$5:$D$44,Premissas!$A$5:$A$44,$A4087,Premissas!$B$5:$B$44,$B4087))+R4087*SUMIFS(Premissas!$E$5:$E$44,Premissas!$A$5:$A$44,$A4087,Premissas!$B$5:$B$44,$B4087)+S4087*SUMIFS(Premissas!$F$5:$F$44,Premissas!$A$5:$A$44,$A4087,Premissas!$B$5:$B$44,$B4087)</f>
        <v/>
      </c>
      <c r="L4087" s="29">
        <f>J4087-K4087</f>
        <v/>
      </c>
      <c r="M4087" t="inlineStr">
        <is>
          <t>2.350</t>
        </is>
      </c>
      <c r="N4087" t="inlineStr">
        <is>
          <t>Modalidade: 0 - Por conta do remetente | Parte: MILES GENUINO DA SILVA (34.701.027/0001-23)</t>
        </is>
      </c>
      <c r="O4087" s="29" t="n">
        <v>0</v>
      </c>
      <c r="P4087" s="29" t="n">
        <v>0</v>
      </c>
      <c r="Q4087" s="29" t="n">
        <v>0</v>
      </c>
      <c r="R4087" s="29" t="n">
        <v>0</v>
      </c>
      <c r="S4087" s="29" t="n">
        <v>0</v>
      </c>
      <c r="T4087" t="inlineStr">
        <is>
          <t>25260739962724000151570010000007101886187616</t>
        </is>
      </c>
      <c r="U4087" t="inlineStr">
        <is>
          <t>Sim</t>
        </is>
      </c>
    </row>
    <row r="4088">
      <c r="A4088" t="inlineStr">
        <is>
          <t>Frete de venda</t>
        </is>
      </c>
      <c r="B4088" t="inlineStr">
        <is>
          <t>2.01.02 Frete sobre Vendas</t>
        </is>
      </c>
      <c r="C4088" s="30" t="n">
        <v>46204</v>
      </c>
      <c r="D4088" t="inlineStr">
        <is>
          <t>Em 2026</t>
        </is>
      </c>
      <c r="E4088" s="28" t="n">
        <v>46214</v>
      </c>
      <c r="F4088" t="inlineStr">
        <is>
          <t>CT-e</t>
        </is>
      </c>
      <c r="G4088" t="inlineStr">
        <is>
          <t>000000713</t>
        </is>
      </c>
      <c r="H4088" t="inlineStr">
        <is>
          <t>REIMAG - REINALDO DOMINGUES BARROS DA SILVA</t>
        </is>
      </c>
      <c r="J4088" s="29" t="n">
        <v>266</v>
      </c>
      <c r="K4088" s="29">
        <f>(1-ISNUMBER(SEARCH("556",M4088)))*(O4088*SUMIFS(Premissas!$C$5:$C$44,Premissas!$A$5:$A$44,$A4088,Premissas!$B$5:$B$44,$B4088)+P4088*SUMIFS(Premissas!$D$5:$D$44,Premissas!$A$5:$A$44,$A4088,Premissas!$B$5:$B$44,$B4088))+R4088*SUMIFS(Premissas!$E$5:$E$44,Premissas!$A$5:$A$44,$A4088,Premissas!$B$5:$B$44,$B4088)+S4088*SUMIFS(Premissas!$F$5:$F$44,Premissas!$A$5:$A$44,$A4088,Premissas!$B$5:$B$44,$B4088)</f>
        <v/>
      </c>
      <c r="L4088" s="29">
        <f>J4088-K4088</f>
        <v/>
      </c>
      <c r="M4088" t="inlineStr">
        <is>
          <t>2.350</t>
        </is>
      </c>
      <c r="N4088" t="inlineStr">
        <is>
          <t>Modalidade: 0 - Por conta do remetente | Parte: G1 DISTRIBUIDORA DE PRODUTOS FARMACEUTICOS LTDA (23.837.936/0002-58)</t>
        </is>
      </c>
      <c r="O4088" s="29" t="n">
        <v>0</v>
      </c>
      <c r="P4088" s="29" t="n">
        <v>0</v>
      </c>
      <c r="Q4088" s="29" t="n">
        <v>0</v>
      </c>
      <c r="R4088" s="29" t="n">
        <v>0</v>
      </c>
      <c r="S4088" s="29" t="n">
        <v>0</v>
      </c>
      <c r="T4088" t="inlineStr">
        <is>
          <t>25260739962724000151570010000007131465975229</t>
        </is>
      </c>
      <c r="U4088" t="inlineStr">
        <is>
          <t>Sim</t>
        </is>
      </c>
    </row>
    <row r="4089">
      <c r="A4089" t="inlineStr">
        <is>
          <t>Frete de venda</t>
        </is>
      </c>
      <c r="B4089" t="inlineStr">
        <is>
          <t>2.01.02 Frete sobre Vendas</t>
        </is>
      </c>
      <c r="C4089" s="30" t="n">
        <v>46204</v>
      </c>
      <c r="D4089" t="inlineStr">
        <is>
          <t>Em 2026</t>
        </is>
      </c>
      <c r="E4089" s="28" t="n">
        <v>46214</v>
      </c>
      <c r="F4089" t="inlineStr">
        <is>
          <t>CT-e</t>
        </is>
      </c>
      <c r="G4089" t="inlineStr">
        <is>
          <t>000000714</t>
        </is>
      </c>
      <c r="H4089" t="inlineStr">
        <is>
          <t>REIMAG - REINALDO DOMINGUES BARROS DA SILVA</t>
        </is>
      </c>
      <c r="J4089" s="29" t="n">
        <v>267</v>
      </c>
      <c r="K4089" s="29">
        <f>(1-ISNUMBER(SEARCH("556",M4089)))*(O4089*SUMIFS(Premissas!$C$5:$C$44,Premissas!$A$5:$A$44,$A4089,Premissas!$B$5:$B$44,$B4089)+P4089*SUMIFS(Premissas!$D$5:$D$44,Premissas!$A$5:$A$44,$A4089,Premissas!$B$5:$B$44,$B4089))+R4089*SUMIFS(Premissas!$E$5:$E$44,Premissas!$A$5:$A$44,$A4089,Premissas!$B$5:$B$44,$B4089)+S4089*SUMIFS(Premissas!$F$5:$F$44,Premissas!$A$5:$A$44,$A4089,Premissas!$B$5:$B$44,$B4089)</f>
        <v/>
      </c>
      <c r="L4089" s="29">
        <f>J4089-K4089</f>
        <v/>
      </c>
      <c r="M4089" t="inlineStr">
        <is>
          <t>2.350</t>
        </is>
      </c>
      <c r="N4089" t="inlineStr">
        <is>
          <t>Modalidade: 0 - Por conta do remetente | Parte: LJ COSTA REGO ARTIGOS PARA FESTA LTDA (10.788.933/0001-49)</t>
        </is>
      </c>
      <c r="O4089" s="29" t="n">
        <v>0</v>
      </c>
      <c r="P4089" s="29" t="n">
        <v>0</v>
      </c>
      <c r="Q4089" s="29" t="n">
        <v>0</v>
      </c>
      <c r="R4089" s="29" t="n">
        <v>0</v>
      </c>
      <c r="S4089" s="29" t="n">
        <v>0</v>
      </c>
      <c r="T4089" t="inlineStr">
        <is>
          <t>25260739962724000151570010000007141048762077</t>
        </is>
      </c>
      <c r="U4089" t="inlineStr">
        <is>
          <t>Sim</t>
        </is>
      </c>
    </row>
    <row r="4090">
      <c r="A4090" t="inlineStr">
        <is>
          <t>Frete de venda</t>
        </is>
      </c>
      <c r="B4090" t="inlineStr">
        <is>
          <t>2.01.02 Frete sobre Vendas</t>
        </is>
      </c>
      <c r="C4090" s="30" t="n">
        <v>46204</v>
      </c>
      <c r="D4090" t="inlineStr">
        <is>
          <t>Em 2026</t>
        </is>
      </c>
      <c r="E4090" s="28" t="n">
        <v>46214</v>
      </c>
      <c r="F4090" t="inlineStr">
        <is>
          <t>CT-e</t>
        </is>
      </c>
      <c r="G4090" t="inlineStr">
        <is>
          <t>000000715</t>
        </is>
      </c>
      <c r="H4090" t="inlineStr">
        <is>
          <t>REIMAG - REINALDO DOMINGUES BARROS DA SILVA</t>
        </is>
      </c>
      <c r="J4090" s="29" t="n">
        <v>267</v>
      </c>
      <c r="K4090" s="29">
        <f>(1-ISNUMBER(SEARCH("556",M4090)))*(O4090*SUMIFS(Premissas!$C$5:$C$44,Premissas!$A$5:$A$44,$A4090,Premissas!$B$5:$B$44,$B4090)+P4090*SUMIFS(Premissas!$D$5:$D$44,Premissas!$A$5:$A$44,$A4090,Premissas!$B$5:$B$44,$B4090))+R4090*SUMIFS(Premissas!$E$5:$E$44,Premissas!$A$5:$A$44,$A4090,Premissas!$B$5:$B$44,$B4090)+S4090*SUMIFS(Premissas!$F$5:$F$44,Premissas!$A$5:$A$44,$A4090,Premissas!$B$5:$B$44,$B4090)</f>
        <v/>
      </c>
      <c r="L4090" s="29">
        <f>J4090-K4090</f>
        <v/>
      </c>
      <c r="M4090" t="inlineStr">
        <is>
          <t>2.350</t>
        </is>
      </c>
      <c r="N4090" t="inlineStr">
        <is>
          <t>Modalidade: 0 - Por conta do remetente | Parte: MACROPAC PROTECAO E EMBALAGEM LTDA (11.840.014/0001-30)</t>
        </is>
      </c>
      <c r="O4090" s="29" t="n">
        <v>0</v>
      </c>
      <c r="P4090" s="29" t="n">
        <v>0</v>
      </c>
      <c r="Q4090" s="29" t="n">
        <v>0</v>
      </c>
      <c r="R4090" s="29" t="n">
        <v>0</v>
      </c>
      <c r="S4090" s="29" t="n">
        <v>0</v>
      </c>
      <c r="T4090" t="inlineStr">
        <is>
          <t>25260739962724000151570010000007151274052082</t>
        </is>
      </c>
      <c r="U4090" t="inlineStr">
        <is>
          <t>Sim</t>
        </is>
      </c>
    </row>
    <row r="4091">
      <c r="A4091" t="inlineStr">
        <is>
          <t>Frete de venda</t>
        </is>
      </c>
      <c r="B4091" t="inlineStr">
        <is>
          <t>2.01.02 Frete sobre Vendas</t>
        </is>
      </c>
      <c r="C4091" s="30" t="n">
        <v>46204</v>
      </c>
      <c r="D4091" t="inlineStr">
        <is>
          <t>Em 2026</t>
        </is>
      </c>
      <c r="E4091" s="28" t="n">
        <v>46222</v>
      </c>
      <c r="F4091" t="inlineStr">
        <is>
          <t>CT-e</t>
        </is>
      </c>
      <c r="G4091" t="inlineStr">
        <is>
          <t>000000718</t>
        </is>
      </c>
      <c r="H4091" t="inlineStr">
        <is>
          <t>REIMAG - REINALDO DOMINGUES BARROS DA SILVA</t>
        </is>
      </c>
      <c r="J4091" s="29" t="n">
        <v>800</v>
      </c>
      <c r="K4091" s="29">
        <f>(1-ISNUMBER(SEARCH("556",M4091)))*(O4091*SUMIFS(Premissas!$C$5:$C$44,Premissas!$A$5:$A$44,$A4091,Premissas!$B$5:$B$44,$B4091)+P4091*SUMIFS(Premissas!$D$5:$D$44,Premissas!$A$5:$A$44,$A4091,Premissas!$B$5:$B$44,$B4091))+R4091*SUMIFS(Premissas!$E$5:$E$44,Premissas!$A$5:$A$44,$A4091,Premissas!$B$5:$B$44,$B4091)+S4091*SUMIFS(Premissas!$F$5:$F$44,Premissas!$A$5:$A$44,$A4091,Premissas!$B$5:$B$44,$B4091)</f>
        <v/>
      </c>
      <c r="L4091" s="29">
        <f>J4091-K4091</f>
        <v/>
      </c>
      <c r="M4091" t="inlineStr">
        <is>
          <t>2.350</t>
        </is>
      </c>
      <c r="N4091" t="inlineStr">
        <is>
          <t>Modalidade: 0 - Por conta do remetente | Parte: M J DOS SANTOS EMBALAGENS (20.988.384/0001-00)</t>
        </is>
      </c>
      <c r="O4091" s="29" t="n">
        <v>0</v>
      </c>
      <c r="P4091" s="29" t="n">
        <v>0</v>
      </c>
      <c r="Q4091" s="29" t="n">
        <v>0</v>
      </c>
      <c r="R4091" s="29" t="n">
        <v>0</v>
      </c>
      <c r="S4091" s="29" t="n">
        <v>0</v>
      </c>
      <c r="T4091" t="inlineStr">
        <is>
          <t>25260739962724000151570010000007181808146808</t>
        </is>
      </c>
      <c r="U4091" t="inlineStr">
        <is>
          <t>Sim</t>
        </is>
      </c>
    </row>
    <row r="4092">
      <c r="A4092" t="inlineStr">
        <is>
          <t>Frete de venda</t>
        </is>
      </c>
      <c r="B4092" t="inlineStr">
        <is>
          <t>2.01.02 Frete sobre Vendas</t>
        </is>
      </c>
      <c r="C4092" s="30" t="n">
        <v>46204</v>
      </c>
      <c r="D4092" t="inlineStr">
        <is>
          <t>Em 2026</t>
        </is>
      </c>
      <c r="E4092" s="28" t="n">
        <v>46222</v>
      </c>
      <c r="F4092" t="inlineStr">
        <is>
          <t>CT-e</t>
        </is>
      </c>
      <c r="G4092" t="inlineStr">
        <is>
          <t>000000719</t>
        </is>
      </c>
      <c r="H4092" t="inlineStr">
        <is>
          <t>REIMAG - REINALDO DOMINGUES BARROS DA SILVA</t>
        </is>
      </c>
      <c r="J4092" s="29" t="n">
        <v>800</v>
      </c>
      <c r="K4092" s="29">
        <f>(1-ISNUMBER(SEARCH("556",M4092)))*(O4092*SUMIFS(Premissas!$C$5:$C$44,Premissas!$A$5:$A$44,$A4092,Premissas!$B$5:$B$44,$B4092)+P4092*SUMIFS(Premissas!$D$5:$D$44,Premissas!$A$5:$A$44,$A4092,Premissas!$B$5:$B$44,$B4092))+R4092*SUMIFS(Premissas!$E$5:$E$44,Premissas!$A$5:$A$44,$A4092,Premissas!$B$5:$B$44,$B4092)+S4092*SUMIFS(Premissas!$F$5:$F$44,Premissas!$A$5:$A$44,$A4092,Premissas!$B$5:$B$44,$B4092)</f>
        <v/>
      </c>
      <c r="L4092" s="29">
        <f>J4092-K4092</f>
        <v/>
      </c>
      <c r="M4092" t="inlineStr">
        <is>
          <t>2.350</t>
        </is>
      </c>
      <c r="N4092" t="inlineStr">
        <is>
          <t>Modalidade: 0 - Por conta do remetente | Parte: PMAK DESCARTAVEIS LTDA (48.022.950/0001-43)</t>
        </is>
      </c>
      <c r="O4092" s="29" t="n">
        <v>0</v>
      </c>
      <c r="P4092" s="29" t="n">
        <v>0</v>
      </c>
      <c r="Q4092" s="29" t="n">
        <v>0</v>
      </c>
      <c r="R4092" s="29" t="n">
        <v>0</v>
      </c>
      <c r="S4092" s="29" t="n">
        <v>0</v>
      </c>
      <c r="T4092" t="inlineStr">
        <is>
          <t>25260739962724000151570010000007191030662808</t>
        </is>
      </c>
      <c r="U4092" t="inlineStr">
        <is>
          <t>Sim</t>
        </is>
      </c>
    </row>
    <row r="4093">
      <c r="A4093" t="inlineStr">
        <is>
          <t>Frete de venda</t>
        </is>
      </c>
      <c r="B4093" t="inlineStr">
        <is>
          <t>2.01.02 Frete sobre Vendas</t>
        </is>
      </c>
      <c r="C4093" s="30" t="n">
        <v>46204</v>
      </c>
      <c r="D4093" t="inlineStr">
        <is>
          <t>Em 2026</t>
        </is>
      </c>
      <c r="E4093" s="28" t="n">
        <v>46224</v>
      </c>
      <c r="F4093" t="inlineStr">
        <is>
          <t>CT-e</t>
        </is>
      </c>
      <c r="G4093" t="inlineStr">
        <is>
          <t>000000720</t>
        </is>
      </c>
      <c r="H4093" t="inlineStr">
        <is>
          <t>REIMAG - REINALDO DOMINGUES BARROS DA SILVA</t>
        </is>
      </c>
      <c r="J4093" s="29" t="n">
        <v>800</v>
      </c>
      <c r="K4093" s="29">
        <f>(1-ISNUMBER(SEARCH("556",M4093)))*(O4093*SUMIFS(Premissas!$C$5:$C$44,Premissas!$A$5:$A$44,$A4093,Premissas!$B$5:$B$44,$B4093)+P4093*SUMIFS(Premissas!$D$5:$D$44,Premissas!$A$5:$A$44,$A4093,Premissas!$B$5:$B$44,$B4093))+R4093*SUMIFS(Premissas!$E$5:$E$44,Premissas!$A$5:$A$44,$A4093,Premissas!$B$5:$B$44,$B4093)+S4093*SUMIFS(Premissas!$F$5:$F$44,Premissas!$A$5:$A$44,$A4093,Premissas!$B$5:$B$44,$B4093)</f>
        <v/>
      </c>
      <c r="L4093" s="29">
        <f>J4093-K4093</f>
        <v/>
      </c>
      <c r="M4093" t="inlineStr">
        <is>
          <t>2.350</t>
        </is>
      </c>
      <c r="N4093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4093" s="29" t="n">
        <v>0</v>
      </c>
      <c r="P4093" s="29" t="n">
        <v>0</v>
      </c>
      <c r="Q4093" s="29" t="n">
        <v>0</v>
      </c>
      <c r="R4093" s="29" t="n">
        <v>0</v>
      </c>
      <c r="S4093" s="29" t="n">
        <v>0</v>
      </c>
      <c r="T4093" t="inlineStr">
        <is>
          <t>25260739962724000151570010000007201602382237</t>
        </is>
      </c>
      <c r="U4093" t="inlineStr">
        <is>
          <t>Sim</t>
        </is>
      </c>
    </row>
    <row r="4094">
      <c r="A4094" t="inlineStr">
        <is>
          <t>Frete de venda</t>
        </is>
      </c>
      <c r="B4094" t="inlineStr">
        <is>
          <t>2.01.02 Frete sobre Vendas</t>
        </is>
      </c>
      <c r="C4094" s="30" t="n">
        <v>46204</v>
      </c>
      <c r="D4094" t="inlineStr">
        <is>
          <t>Em 2026</t>
        </is>
      </c>
      <c r="E4094" s="28" t="n">
        <v>46226</v>
      </c>
      <c r="F4094" t="inlineStr">
        <is>
          <t>CT-e</t>
        </is>
      </c>
      <c r="G4094" t="inlineStr">
        <is>
          <t>000000721</t>
        </is>
      </c>
      <c r="H4094" t="inlineStr">
        <is>
          <t>REIMAG - REINALDO DOMINGUES BARROS DA SILVA</t>
        </is>
      </c>
      <c r="J4094" s="29" t="n">
        <v>800</v>
      </c>
      <c r="K4094" s="29">
        <f>(1-ISNUMBER(SEARCH("556",M4094)))*(O4094*SUMIFS(Premissas!$C$5:$C$44,Premissas!$A$5:$A$44,$A4094,Premissas!$B$5:$B$44,$B4094)+P4094*SUMIFS(Premissas!$D$5:$D$44,Premissas!$A$5:$A$44,$A4094,Premissas!$B$5:$B$44,$B4094))+R4094*SUMIFS(Premissas!$E$5:$E$44,Premissas!$A$5:$A$44,$A4094,Premissas!$B$5:$B$44,$B4094)+S4094*SUMIFS(Premissas!$F$5:$F$44,Premissas!$A$5:$A$44,$A4094,Premissas!$B$5:$B$44,$B4094)</f>
        <v/>
      </c>
      <c r="L4094" s="29">
        <f>J4094-K4094</f>
        <v/>
      </c>
      <c r="M4094" t="inlineStr">
        <is>
          <t>2.350</t>
        </is>
      </c>
      <c r="N4094" t="inlineStr">
        <is>
          <t>Modalidade: 0 - Por conta do remetente | Parte: C E PEREIRA DA SILVA (43.411.126/0001-61)</t>
        </is>
      </c>
      <c r="O4094" s="29" t="n">
        <v>0</v>
      </c>
      <c r="P4094" s="29" t="n">
        <v>0</v>
      </c>
      <c r="Q4094" s="29" t="n">
        <v>0</v>
      </c>
      <c r="R4094" s="29" t="n">
        <v>0</v>
      </c>
      <c r="S4094" s="29" t="n">
        <v>0</v>
      </c>
      <c r="T4094" t="inlineStr">
        <is>
          <t>25260739962724000151570010000007211082435029</t>
        </is>
      </c>
      <c r="U4094" t="inlineStr">
        <is>
          <t>Sim</t>
        </is>
      </c>
    </row>
    <row r="4095">
      <c r="A4095" t="inlineStr">
        <is>
          <t>Frete de venda</t>
        </is>
      </c>
      <c r="B4095" t="inlineStr">
        <is>
          <t>2.01.02 Frete sobre Vendas</t>
        </is>
      </c>
      <c r="C4095" s="30" t="n">
        <v>46204</v>
      </c>
      <c r="D4095" t="inlineStr">
        <is>
          <t>Em 2026</t>
        </is>
      </c>
      <c r="E4095" s="28" t="n">
        <v>46226</v>
      </c>
      <c r="F4095" t="inlineStr">
        <is>
          <t>CT-e</t>
        </is>
      </c>
      <c r="G4095" t="inlineStr">
        <is>
          <t>000000722</t>
        </is>
      </c>
      <c r="H4095" t="inlineStr">
        <is>
          <t>REIMAG - REINALDO DOMINGUES BARROS DA SILVA</t>
        </is>
      </c>
      <c r="J4095" s="29" t="n">
        <v>800</v>
      </c>
      <c r="K4095" s="29">
        <f>(1-ISNUMBER(SEARCH("556",M4095)))*(O4095*SUMIFS(Premissas!$C$5:$C$44,Premissas!$A$5:$A$44,$A4095,Premissas!$B$5:$B$44,$B4095)+P4095*SUMIFS(Premissas!$D$5:$D$44,Premissas!$A$5:$A$44,$A4095,Premissas!$B$5:$B$44,$B4095))+R4095*SUMIFS(Premissas!$E$5:$E$44,Premissas!$A$5:$A$44,$A4095,Premissas!$B$5:$B$44,$B4095)+S4095*SUMIFS(Premissas!$F$5:$F$44,Premissas!$A$5:$A$44,$A4095,Premissas!$B$5:$B$44,$B4095)</f>
        <v/>
      </c>
      <c r="L4095" s="29">
        <f>J4095-K4095</f>
        <v/>
      </c>
      <c r="M4095" t="inlineStr">
        <is>
          <t>2.350</t>
        </is>
      </c>
      <c r="N4095" t="inlineStr">
        <is>
          <t>Modalidade: 0 - Por conta do remetente | Parte: MARIA DE FATIMA MOTA SANTOS COMERCIO DE EMBALAGENS LTDA (41.074.543/0002-11)</t>
        </is>
      </c>
      <c r="O4095" s="29" t="n">
        <v>0</v>
      </c>
      <c r="P4095" s="29" t="n">
        <v>0</v>
      </c>
      <c r="Q4095" s="29" t="n">
        <v>0</v>
      </c>
      <c r="R4095" s="29" t="n">
        <v>0</v>
      </c>
      <c r="S4095" s="29" t="n">
        <v>0</v>
      </c>
      <c r="T4095" t="inlineStr">
        <is>
          <t>25260739962724000151570010000007221537138777</t>
        </is>
      </c>
      <c r="U4095" t="inlineStr">
        <is>
          <t>Sim</t>
        </is>
      </c>
    </row>
    <row r="4096">
      <c r="A4096" t="inlineStr">
        <is>
          <t>Frete de venda</t>
        </is>
      </c>
      <c r="B4096" t="inlineStr">
        <is>
          <t>2.01.02 Frete sobre Vendas</t>
        </is>
      </c>
      <c r="C4096" s="30" t="n">
        <v>46204</v>
      </c>
      <c r="D4096" t="inlineStr">
        <is>
          <t>Em 2026</t>
        </is>
      </c>
      <c r="E4096" s="28" t="n">
        <v>46226</v>
      </c>
      <c r="F4096" t="inlineStr">
        <is>
          <t>CT-e</t>
        </is>
      </c>
      <c r="G4096" t="inlineStr">
        <is>
          <t>000000723</t>
        </is>
      </c>
      <c r="H4096" t="inlineStr">
        <is>
          <t>REIMAG - REINALDO DOMINGUES BARROS DA SILVA</t>
        </is>
      </c>
      <c r="J4096" s="29" t="n">
        <v>800</v>
      </c>
      <c r="K4096" s="29">
        <f>(1-ISNUMBER(SEARCH("556",M4096)))*(O4096*SUMIFS(Premissas!$C$5:$C$44,Premissas!$A$5:$A$44,$A4096,Premissas!$B$5:$B$44,$B4096)+P4096*SUMIFS(Premissas!$D$5:$D$44,Premissas!$A$5:$A$44,$A4096,Premissas!$B$5:$B$44,$B4096))+R4096*SUMIFS(Premissas!$E$5:$E$44,Premissas!$A$5:$A$44,$A4096,Premissas!$B$5:$B$44,$B4096)+S4096*SUMIFS(Premissas!$F$5:$F$44,Premissas!$A$5:$A$44,$A4096,Premissas!$B$5:$B$44,$B4096)</f>
        <v/>
      </c>
      <c r="L4096" s="29">
        <f>J4096-K4096</f>
        <v/>
      </c>
      <c r="M4096" t="inlineStr">
        <is>
          <t>2.350</t>
        </is>
      </c>
      <c r="N4096" t="inlineStr">
        <is>
          <t>Modalidade: 0 - Por conta do remetente | Parte: PRASO PLATAFORMA DE COMERCIO LTDA. (42.434.646/0003-99)</t>
        </is>
      </c>
      <c r="O4096" s="29" t="n">
        <v>0</v>
      </c>
      <c r="P4096" s="29" t="n">
        <v>0</v>
      </c>
      <c r="Q4096" s="29" t="n">
        <v>0</v>
      </c>
      <c r="R4096" s="29" t="n">
        <v>0</v>
      </c>
      <c r="S4096" s="29" t="n">
        <v>0</v>
      </c>
      <c r="T4096" t="inlineStr">
        <is>
          <t>25260739962724000151570010000007231077707851</t>
        </is>
      </c>
      <c r="U4096" t="inlineStr">
        <is>
          <t>Sim</t>
        </is>
      </c>
    </row>
    <row r="4097">
      <c r="A4097" t="inlineStr">
        <is>
          <t>Frete de venda</t>
        </is>
      </c>
      <c r="B4097" t="inlineStr">
        <is>
          <t>2.01.02 Frete sobre Vendas</t>
        </is>
      </c>
      <c r="C4097" s="30" t="n">
        <v>46204</v>
      </c>
      <c r="D4097" t="inlineStr">
        <is>
          <t>Em 2026</t>
        </is>
      </c>
      <c r="E4097" s="28" t="n">
        <v>46232</v>
      </c>
      <c r="F4097" t="inlineStr">
        <is>
          <t>CT-e</t>
        </is>
      </c>
      <c r="G4097" t="inlineStr">
        <is>
          <t>000000724</t>
        </is>
      </c>
      <c r="H4097" t="inlineStr">
        <is>
          <t>REIMAG - REINALDO DOMINGUES BARROS DA SILVA</t>
        </is>
      </c>
      <c r="J4097" s="29" t="n">
        <v>250</v>
      </c>
      <c r="K4097" s="29">
        <f>(1-ISNUMBER(SEARCH("556",M4097)))*(O4097*SUMIFS(Premissas!$C$5:$C$44,Premissas!$A$5:$A$44,$A4097,Premissas!$B$5:$B$44,$B4097)+P4097*SUMIFS(Premissas!$D$5:$D$44,Premissas!$A$5:$A$44,$A4097,Premissas!$B$5:$B$44,$B4097))+R4097*SUMIFS(Premissas!$E$5:$E$44,Premissas!$A$5:$A$44,$A4097,Premissas!$B$5:$B$44,$B4097)+S4097*SUMIFS(Premissas!$F$5:$F$44,Premissas!$A$5:$A$44,$A4097,Premissas!$B$5:$B$44,$B4097)</f>
        <v/>
      </c>
      <c r="L4097" s="29">
        <f>J4097-K4097</f>
        <v/>
      </c>
      <c r="M4097" t="inlineStr">
        <is>
          <t>2.350</t>
        </is>
      </c>
      <c r="N4097" t="inlineStr">
        <is>
          <t>Modalidade: 0 - Por conta do remetente | Parte: MAIN PLASTICOS E FESTAS LTDA (61.707.696/0001-85)</t>
        </is>
      </c>
      <c r="O4097" s="29" t="n">
        <v>0</v>
      </c>
      <c r="P4097" s="29" t="n">
        <v>0</v>
      </c>
      <c r="Q4097" s="29" t="n">
        <v>0</v>
      </c>
      <c r="R4097" s="29" t="n">
        <v>0</v>
      </c>
      <c r="S4097" s="29" t="n">
        <v>0</v>
      </c>
      <c r="T4097" t="inlineStr">
        <is>
          <t>25260739962724000151570010000007241212135005</t>
        </is>
      </c>
      <c r="U4097" t="inlineStr">
        <is>
          <t>Sim</t>
        </is>
      </c>
    </row>
    <row r="4098">
      <c r="A4098" t="inlineStr">
        <is>
          <t>Frete de venda</t>
        </is>
      </c>
      <c r="B4098" t="inlineStr">
        <is>
          <t>2.01.02 Frete sobre Vendas</t>
        </is>
      </c>
      <c r="C4098" s="30" t="n">
        <v>46204</v>
      </c>
      <c r="D4098" t="inlineStr">
        <is>
          <t>Em 2026</t>
        </is>
      </c>
      <c r="E4098" s="28" t="n">
        <v>46233</v>
      </c>
      <c r="F4098" t="inlineStr">
        <is>
          <t>CT-e</t>
        </is>
      </c>
      <c r="G4098" t="inlineStr">
        <is>
          <t>000000725</t>
        </is>
      </c>
      <c r="H4098" t="inlineStr">
        <is>
          <t>REIMAG - REINALDO DOMINGUES BARROS DA SILVA</t>
        </is>
      </c>
      <c r="J4098" s="29" t="n">
        <v>800</v>
      </c>
      <c r="K4098" s="29">
        <f>(1-ISNUMBER(SEARCH("556",M4098)))*(O4098*SUMIFS(Premissas!$C$5:$C$44,Premissas!$A$5:$A$44,$A4098,Premissas!$B$5:$B$44,$B4098)+P4098*SUMIFS(Premissas!$D$5:$D$44,Premissas!$A$5:$A$44,$A4098,Premissas!$B$5:$B$44,$B4098))+R4098*SUMIFS(Premissas!$E$5:$E$44,Premissas!$A$5:$A$44,$A4098,Premissas!$B$5:$B$44,$B4098)+S4098*SUMIFS(Premissas!$F$5:$F$44,Premissas!$A$5:$A$44,$A4098,Premissas!$B$5:$B$44,$B4098)</f>
        <v/>
      </c>
      <c r="L4098" s="29">
        <f>J4098-K4098</f>
        <v/>
      </c>
      <c r="M4098" t="inlineStr">
        <is>
          <t>2.350</t>
        </is>
      </c>
      <c r="N4098" t="inlineStr">
        <is>
          <t>Transportadora de frete de venda, mas pela modalidade do frete a Vinco recebeu a carga | Modalidade: 1 - Por conta do destinatário | Parte: REQUIM PRODUTOS QUIMICOS LTDA (06.935.804/0001-69)</t>
        </is>
      </c>
      <c r="O4098" s="29" t="n">
        <v>0</v>
      </c>
      <c r="P4098" s="29" t="n">
        <v>0</v>
      </c>
      <c r="Q4098" s="29" t="n">
        <v>0</v>
      </c>
      <c r="R4098" s="29" t="n">
        <v>0</v>
      </c>
      <c r="S4098" s="29" t="n">
        <v>0</v>
      </c>
      <c r="T4098" t="inlineStr">
        <is>
          <t>25260739962724000151570010000007251139168228</t>
        </is>
      </c>
      <c r="U4098" t="inlineStr">
        <is>
          <t>Sim</t>
        </is>
      </c>
    </row>
    <row r="4099">
      <c r="A4099" t="inlineStr">
        <is>
          <t>Frete de venda</t>
        </is>
      </c>
      <c r="B4099" t="inlineStr">
        <is>
          <t>2.01.02 Frete sobre Vendas</t>
        </is>
      </c>
      <c r="C4099" s="30" t="n">
        <v>46204</v>
      </c>
      <c r="D4099" t="inlineStr">
        <is>
          <t>Em 2026</t>
        </is>
      </c>
      <c r="E4099" s="28" t="n">
        <v>46220</v>
      </c>
      <c r="F4099" t="inlineStr">
        <is>
          <t>CT-e</t>
        </is>
      </c>
      <c r="G4099" t="inlineStr">
        <is>
          <t>000046050</t>
        </is>
      </c>
      <c r="H4099" t="inlineStr">
        <is>
          <t>TRANSFORRECHI TRANSPORTES LTDA</t>
        </is>
      </c>
      <c r="J4099" s="29" t="n">
        <v>720</v>
      </c>
      <c r="K4099" s="29">
        <f>(1-ISNUMBER(SEARCH("556",M4099)))*(O4099*SUMIFS(Premissas!$C$5:$C$44,Premissas!$A$5:$A$44,$A4099,Premissas!$B$5:$B$44,$B4099)+P4099*SUMIFS(Premissas!$D$5:$D$44,Premissas!$A$5:$A$44,$A4099,Premissas!$B$5:$B$44,$B4099))+R4099*SUMIFS(Premissas!$E$5:$E$44,Premissas!$A$5:$A$44,$A4099,Premissas!$B$5:$B$44,$B4099)+S4099*SUMIFS(Premissas!$F$5:$F$44,Premissas!$A$5:$A$44,$A4099,Premissas!$B$5:$B$44,$B4099)</f>
        <v/>
      </c>
      <c r="L4099" s="29">
        <f>J4099-K4099</f>
        <v/>
      </c>
      <c r="M4099" t="inlineStr">
        <is>
          <t>2.350</t>
        </is>
      </c>
      <c r="N4099" t="inlineStr">
        <is>
          <t>Modalidade: 0 - Por conta do remetente | Parte: SANTOS FESTAS E EMBALAGENS LTDA (27.886.667/0001-90)</t>
        </is>
      </c>
      <c r="O4099" s="29" t="n">
        <v>0</v>
      </c>
      <c r="P4099" s="29" t="n">
        <v>86.40000000000001</v>
      </c>
      <c r="Q4099" s="29" t="n">
        <v>0</v>
      </c>
      <c r="R4099" s="29" t="n">
        <v>0</v>
      </c>
      <c r="S4099" s="29" t="n">
        <v>0</v>
      </c>
      <c r="T4099" t="inlineStr">
        <is>
          <t>32260703710040000115570010000460501000472996</t>
        </is>
      </c>
      <c r="U4099" t="inlineStr">
        <is>
          <t>Sim</t>
        </is>
      </c>
    </row>
    <row r="4100">
      <c r="A4100" t="inlineStr">
        <is>
          <t>Frete de venda</t>
        </is>
      </c>
      <c r="B4100" t="inlineStr">
        <is>
          <t>2.01.02 Frete sobre Vendas</t>
        </is>
      </c>
      <c r="C4100" s="30" t="n">
        <v>46204</v>
      </c>
      <c r="D4100" t="inlineStr">
        <is>
          <t>Em 2026</t>
        </is>
      </c>
      <c r="E4100" s="28" t="n">
        <v>46211</v>
      </c>
      <c r="F4100" t="inlineStr">
        <is>
          <t>CT-e</t>
        </is>
      </c>
      <c r="G4100" t="inlineStr">
        <is>
          <t>000025014</t>
        </is>
      </c>
      <c r="H4100" t="inlineStr">
        <is>
          <t>TRANSPORTE OLIVEIRA E MELLOI - IDEALIZA TRANSPORTES</t>
        </is>
      </c>
      <c r="J4100" s="29" t="n">
        <v>1730.67</v>
      </c>
      <c r="K4100" s="29">
        <f>(1-ISNUMBER(SEARCH("556",M4100)))*(O4100*SUMIFS(Premissas!$C$5:$C$44,Premissas!$A$5:$A$44,$A4100,Premissas!$B$5:$B$44,$B4100)+P4100*SUMIFS(Premissas!$D$5:$D$44,Premissas!$A$5:$A$44,$A4100,Premissas!$B$5:$B$44,$B4100))+R4100*SUMIFS(Premissas!$E$5:$E$44,Premissas!$A$5:$A$44,$A4100,Premissas!$B$5:$B$44,$B4100)+S4100*SUMIFS(Premissas!$F$5:$F$44,Premissas!$A$5:$A$44,$A4100,Premissas!$B$5:$B$44,$B4100)</f>
        <v/>
      </c>
      <c r="L4100" s="29">
        <f>J4100-K4100</f>
        <v/>
      </c>
      <c r="M4100" t="inlineStr">
        <is>
          <t>2.350</t>
        </is>
      </c>
      <c r="N4100" t="inlineStr">
        <is>
          <t>Modalidade: 0 - Por conta do remetente | Parte: PLASMAR COMERCIO DE PRODUTOS DESCARTAVEIS LTDA (09.354.922/0001-71)</t>
        </is>
      </c>
      <c r="O4100" s="29" t="n">
        <v>0</v>
      </c>
      <c r="P4100" s="29" t="n">
        <v>207.68</v>
      </c>
      <c r="Q4100" s="29" t="n">
        <v>0</v>
      </c>
      <c r="R4100" s="29" t="n">
        <v>0</v>
      </c>
      <c r="S4100" s="29" t="n">
        <v>0</v>
      </c>
      <c r="T4100" t="inlineStr">
        <is>
          <t>15260720175042000170570010000250141000079671</t>
        </is>
      </c>
      <c r="U4100" t="inlineStr">
        <is>
          <t>Sim</t>
        </is>
      </c>
    </row>
    <row r="4101">
      <c r="A4101" t="inlineStr">
        <is>
          <t>Frete de venda</t>
        </is>
      </c>
      <c r="B4101" t="inlineStr">
        <is>
          <t>2.01.02 Frete sobre Vendas</t>
        </is>
      </c>
      <c r="C4101" s="30" t="n">
        <v>46204</v>
      </c>
      <c r="D4101" t="inlineStr">
        <is>
          <t>Em 2026</t>
        </is>
      </c>
      <c r="E4101" s="28" t="n">
        <v>46214</v>
      </c>
      <c r="F4101" t="inlineStr">
        <is>
          <t>CT-e</t>
        </is>
      </c>
      <c r="G4101" t="inlineStr">
        <is>
          <t>000025064</t>
        </is>
      </c>
      <c r="H4101" t="inlineStr">
        <is>
          <t>TRANSPORTE OLIVEIRA E MELLOI - IDEALIZA TRANSPORTES</t>
        </is>
      </c>
      <c r="J4101" s="29" t="n">
        <v>3554.2</v>
      </c>
      <c r="K4101" s="29">
        <f>(1-ISNUMBER(SEARCH("556",M4101)))*(O4101*SUMIFS(Premissas!$C$5:$C$44,Premissas!$A$5:$A$44,$A4101,Premissas!$B$5:$B$44,$B4101)+P4101*SUMIFS(Premissas!$D$5:$D$44,Premissas!$A$5:$A$44,$A4101,Premissas!$B$5:$B$44,$B4101))+R4101*SUMIFS(Premissas!$E$5:$E$44,Premissas!$A$5:$A$44,$A4101,Premissas!$B$5:$B$44,$B4101)+S4101*SUMIFS(Premissas!$F$5:$F$44,Premissas!$A$5:$A$44,$A4101,Premissas!$B$5:$B$44,$B4101)</f>
        <v/>
      </c>
      <c r="L4101" s="29">
        <f>J4101-K4101</f>
        <v/>
      </c>
      <c r="M4101" t="inlineStr">
        <is>
          <t>2.350</t>
        </is>
      </c>
      <c r="N4101" t="inlineStr">
        <is>
          <t>Modalidade: 0 - Por conta do remetente | Parte: M. N. ROCHA DE SOUSA LTDA (52.989.831/0001-31)</t>
        </is>
      </c>
      <c r="O4101" s="29" t="n">
        <v>0</v>
      </c>
      <c r="P4101" s="29" t="n">
        <v>426.5</v>
      </c>
      <c r="Q4101" s="29" t="n">
        <v>0</v>
      </c>
      <c r="R4101" s="29" t="n">
        <v>0</v>
      </c>
      <c r="S4101" s="29" t="n">
        <v>0</v>
      </c>
      <c r="T4101" t="inlineStr">
        <is>
          <t>15260720175042000170570010000250641000080922</t>
        </is>
      </c>
      <c r="U4101" t="inlineStr">
        <is>
          <t>Sim</t>
        </is>
      </c>
    </row>
    <row r="4102">
      <c r="A4102" t="inlineStr">
        <is>
          <t>Frete de venda</t>
        </is>
      </c>
      <c r="B4102" t="inlineStr">
        <is>
          <t>2.01.02 Frete sobre Vendas</t>
        </is>
      </c>
      <c r="C4102" s="30" t="n">
        <v>46204</v>
      </c>
      <c r="D4102" t="inlineStr">
        <is>
          <t>Em 2026</t>
        </is>
      </c>
      <c r="E4102" s="28" t="n">
        <v>46216</v>
      </c>
      <c r="F4102" t="inlineStr">
        <is>
          <t>CT-e</t>
        </is>
      </c>
      <c r="G4102" t="inlineStr">
        <is>
          <t>000025071</t>
        </is>
      </c>
      <c r="H4102" t="inlineStr">
        <is>
          <t>TRANSPORTE OLIVEIRA E MELLOI - IDEALIZA TRANSPORTES</t>
        </is>
      </c>
      <c r="J4102" s="29" t="n">
        <v>1210.1</v>
      </c>
      <c r="K4102" s="29">
        <f>(1-ISNUMBER(SEARCH("556",M4102)))*(O4102*SUMIFS(Premissas!$C$5:$C$44,Premissas!$A$5:$A$44,$A4102,Premissas!$B$5:$B$44,$B4102)+P4102*SUMIFS(Premissas!$D$5:$D$44,Premissas!$A$5:$A$44,$A4102,Premissas!$B$5:$B$44,$B4102))+R4102*SUMIFS(Premissas!$E$5:$E$44,Premissas!$A$5:$A$44,$A4102,Premissas!$B$5:$B$44,$B4102)+S4102*SUMIFS(Premissas!$F$5:$F$44,Premissas!$A$5:$A$44,$A4102,Premissas!$B$5:$B$44,$B4102)</f>
        <v/>
      </c>
      <c r="L4102" s="29">
        <f>J4102-K4102</f>
        <v/>
      </c>
      <c r="M4102" t="inlineStr">
        <is>
          <t>2.350</t>
        </is>
      </c>
      <c r="N4102" t="inlineStr">
        <is>
          <t>Modalidade: 0 - Por conta do remetente | Parte: P3 DESCARTAVEIS ATACADO e VAREJO LTDA (12.040.681/0001-09)</t>
        </is>
      </c>
      <c r="O4102" s="29" t="n">
        <v>0</v>
      </c>
      <c r="P4102" s="29" t="n">
        <v>145.21</v>
      </c>
      <c r="Q4102" s="29" t="n">
        <v>0</v>
      </c>
      <c r="R4102" s="29" t="n">
        <v>0</v>
      </c>
      <c r="S4102" s="29" t="n">
        <v>0</v>
      </c>
      <c r="T4102" t="inlineStr">
        <is>
          <t>15260720175042000170570010000250711000080994</t>
        </is>
      </c>
      <c r="U4102" t="inlineStr">
        <is>
          <t>Sim</t>
        </is>
      </c>
    </row>
    <row r="4103">
      <c r="A4103" t="inlineStr">
        <is>
          <t>Frete de venda</t>
        </is>
      </c>
      <c r="B4103" t="inlineStr">
        <is>
          <t>2.01.02 Frete sobre Vendas</t>
        </is>
      </c>
      <c r="C4103" s="30" t="n">
        <v>46204</v>
      </c>
      <c r="D4103" t="inlineStr">
        <is>
          <t>Em 2026</t>
        </is>
      </c>
      <c r="E4103" s="28" t="n">
        <v>46216</v>
      </c>
      <c r="F4103" t="inlineStr">
        <is>
          <t>CT-e</t>
        </is>
      </c>
      <c r="G4103" t="inlineStr">
        <is>
          <t>000025072</t>
        </is>
      </c>
      <c r="H4103" t="inlineStr">
        <is>
          <t>TRANSPORTE OLIVEIRA E MELLOI - IDEALIZA TRANSPORTES</t>
        </is>
      </c>
      <c r="J4103" s="29" t="n">
        <v>1149.58</v>
      </c>
      <c r="K4103" s="29">
        <f>(1-ISNUMBER(SEARCH("556",M4103)))*(O4103*SUMIFS(Premissas!$C$5:$C$44,Premissas!$A$5:$A$44,$A4103,Premissas!$B$5:$B$44,$B4103)+P4103*SUMIFS(Premissas!$D$5:$D$44,Premissas!$A$5:$A$44,$A4103,Premissas!$B$5:$B$44,$B4103))+R4103*SUMIFS(Premissas!$E$5:$E$44,Premissas!$A$5:$A$44,$A4103,Premissas!$B$5:$B$44,$B4103)+S4103*SUMIFS(Premissas!$F$5:$F$44,Premissas!$A$5:$A$44,$A4103,Premissas!$B$5:$B$44,$B4103)</f>
        <v/>
      </c>
      <c r="L4103" s="29">
        <f>J4103-K4103</f>
        <v/>
      </c>
      <c r="M4103" t="inlineStr">
        <is>
          <t>2.350</t>
        </is>
      </c>
      <c r="N4103" t="inlineStr">
        <is>
          <t>Modalidade: 0 - Por conta do remetente | Parte: LIDER INDUSTRIA E COMERCIO LTDA (45.762.979/0001-73)</t>
        </is>
      </c>
      <c r="O4103" s="29" t="n">
        <v>0</v>
      </c>
      <c r="P4103" s="29" t="n">
        <v>137.95</v>
      </c>
      <c r="Q4103" s="29" t="n">
        <v>0</v>
      </c>
      <c r="R4103" s="29" t="n">
        <v>0</v>
      </c>
      <c r="S4103" s="29" t="n">
        <v>0</v>
      </c>
      <c r="T4103" t="inlineStr">
        <is>
          <t>15260720175042000170570010000250721000081009</t>
        </is>
      </c>
      <c r="U4103" t="inlineStr">
        <is>
          <t>Sim</t>
        </is>
      </c>
    </row>
    <row r="4104">
      <c r="A4104" t="inlineStr">
        <is>
          <t>Frete de venda</t>
        </is>
      </c>
      <c r="B4104" t="inlineStr">
        <is>
          <t>2.01.02 Frete sobre Vendas</t>
        </is>
      </c>
      <c r="C4104" s="30" t="n">
        <v>46204</v>
      </c>
      <c r="D4104" t="inlineStr">
        <is>
          <t>Em 2026</t>
        </is>
      </c>
      <c r="E4104" s="28" t="n">
        <v>46216</v>
      </c>
      <c r="F4104" t="inlineStr">
        <is>
          <t>CT-e</t>
        </is>
      </c>
      <c r="G4104" t="inlineStr">
        <is>
          <t>000025073</t>
        </is>
      </c>
      <c r="H4104" t="inlineStr">
        <is>
          <t>TRANSPORTE OLIVEIRA E MELLOI - IDEALIZA TRANSPORTES</t>
        </is>
      </c>
      <c r="J4104" s="29" t="n">
        <v>681.89</v>
      </c>
      <c r="K4104" s="29">
        <f>(1-ISNUMBER(SEARCH("556",M4104)))*(O4104*SUMIFS(Premissas!$C$5:$C$44,Premissas!$A$5:$A$44,$A4104,Premissas!$B$5:$B$44,$B4104)+P4104*SUMIFS(Premissas!$D$5:$D$44,Premissas!$A$5:$A$44,$A4104,Premissas!$B$5:$B$44,$B4104))+R4104*SUMIFS(Premissas!$E$5:$E$44,Premissas!$A$5:$A$44,$A4104,Premissas!$B$5:$B$44,$B4104)+S4104*SUMIFS(Premissas!$F$5:$F$44,Premissas!$A$5:$A$44,$A4104,Premissas!$B$5:$B$44,$B4104)</f>
        <v/>
      </c>
      <c r="L4104" s="29">
        <f>J4104-K4104</f>
        <v/>
      </c>
      <c r="M4104" t="inlineStr">
        <is>
          <t>2.350</t>
        </is>
      </c>
      <c r="N4104" t="inlineStr">
        <is>
          <t>Modalidade: 0 - Por conta do remetente | Parte: IBIAPINA VARIEDADES LTDA (46.211.356/0001-75)</t>
        </is>
      </c>
      <c r="O4104" s="29" t="n">
        <v>0</v>
      </c>
      <c r="P4104" s="29" t="n">
        <v>81.83</v>
      </c>
      <c r="Q4104" s="29" t="n">
        <v>0</v>
      </c>
      <c r="R4104" s="29" t="n">
        <v>0</v>
      </c>
      <c r="S4104" s="29" t="n">
        <v>0</v>
      </c>
      <c r="T4104" t="inlineStr">
        <is>
          <t>15260720175042000170570010000250731000081014</t>
        </is>
      </c>
      <c r="U4104" t="inlineStr">
        <is>
          <t>Sim</t>
        </is>
      </c>
    </row>
    <row r="4105">
      <c r="A4105" t="inlineStr">
        <is>
          <t>Frete de venda</t>
        </is>
      </c>
      <c r="B4105" t="inlineStr">
        <is>
          <t>2.01.02 Frete sobre Vendas</t>
        </is>
      </c>
      <c r="C4105" s="30" t="n">
        <v>46204</v>
      </c>
      <c r="D4105" t="inlineStr">
        <is>
          <t>Em 2026</t>
        </is>
      </c>
      <c r="E4105" s="28" t="n">
        <v>46216</v>
      </c>
      <c r="F4105" t="inlineStr">
        <is>
          <t>CT-e</t>
        </is>
      </c>
      <c r="G4105" t="inlineStr">
        <is>
          <t>000025074</t>
        </is>
      </c>
      <c r="H4105" t="inlineStr">
        <is>
          <t>TRANSPORTE OLIVEIRA E MELLOI - IDEALIZA TRANSPORTES</t>
        </is>
      </c>
      <c r="J4105" s="29" t="n">
        <v>668.0599999999999</v>
      </c>
      <c r="K4105" s="29">
        <f>(1-ISNUMBER(SEARCH("556",M4105)))*(O4105*SUMIFS(Premissas!$C$5:$C$44,Premissas!$A$5:$A$44,$A4105,Premissas!$B$5:$B$44,$B4105)+P4105*SUMIFS(Premissas!$D$5:$D$44,Premissas!$A$5:$A$44,$A4105,Premissas!$B$5:$B$44,$B4105))+R4105*SUMIFS(Premissas!$E$5:$E$44,Premissas!$A$5:$A$44,$A4105,Premissas!$B$5:$B$44,$B4105)+S4105*SUMIFS(Premissas!$F$5:$F$44,Premissas!$A$5:$A$44,$A4105,Premissas!$B$5:$B$44,$B4105)</f>
        <v/>
      </c>
      <c r="L4105" s="29">
        <f>J4105-K4105</f>
        <v/>
      </c>
      <c r="M4105" t="inlineStr">
        <is>
          <t>2.350</t>
        </is>
      </c>
      <c r="N4105" t="inlineStr">
        <is>
          <t>Modalidade: 0 - Por conta do remetente | Parte: L. LIMA SA LTDA (60.921.662/0001-26)</t>
        </is>
      </c>
      <c r="O4105" s="29" t="n">
        <v>0</v>
      </c>
      <c r="P4105" s="29" t="n">
        <v>80.17</v>
      </c>
      <c r="Q4105" s="29" t="n">
        <v>0</v>
      </c>
      <c r="R4105" s="29" t="n">
        <v>0</v>
      </c>
      <c r="S4105" s="29" t="n">
        <v>0</v>
      </c>
      <c r="T4105" t="inlineStr">
        <is>
          <t>15260720175042000170570010000250741000081020</t>
        </is>
      </c>
      <c r="U4105" t="inlineStr">
        <is>
          <t>Sim</t>
        </is>
      </c>
    </row>
    <row r="4106">
      <c r="A4106" t="inlineStr">
        <is>
          <t>Frete de venda</t>
        </is>
      </c>
      <c r="B4106" t="inlineStr">
        <is>
          <t>2.01.02 Frete sobre Vendas</t>
        </is>
      </c>
      <c r="C4106" s="30" t="n">
        <v>46204</v>
      </c>
      <c r="D4106" t="inlineStr">
        <is>
          <t>Em 2026</t>
        </is>
      </c>
      <c r="E4106" s="28" t="n">
        <v>46218</v>
      </c>
      <c r="F4106" t="inlineStr">
        <is>
          <t>CT-e</t>
        </is>
      </c>
      <c r="G4106" t="inlineStr">
        <is>
          <t>000025079</t>
        </is>
      </c>
      <c r="H4106" t="inlineStr">
        <is>
          <t>TRANSPORTE OLIVEIRA E MELLOI - IDEALIZA TRANSPORTES</t>
        </is>
      </c>
      <c r="J4106" s="29" t="n">
        <v>2705.76</v>
      </c>
      <c r="K4106" s="29">
        <f>(1-ISNUMBER(SEARCH("556",M4106)))*(O4106*SUMIFS(Premissas!$C$5:$C$44,Premissas!$A$5:$A$44,$A4106,Premissas!$B$5:$B$44,$B4106)+P4106*SUMIFS(Premissas!$D$5:$D$44,Premissas!$A$5:$A$44,$A4106,Premissas!$B$5:$B$44,$B4106))+R4106*SUMIFS(Premissas!$E$5:$E$44,Premissas!$A$5:$A$44,$A4106,Premissas!$B$5:$B$44,$B4106)+S4106*SUMIFS(Premissas!$F$5:$F$44,Premissas!$A$5:$A$44,$A4106,Premissas!$B$5:$B$44,$B4106)</f>
        <v/>
      </c>
      <c r="L4106" s="29">
        <f>J4106-K4106</f>
        <v/>
      </c>
      <c r="M4106" t="inlineStr">
        <is>
          <t>2.350</t>
        </is>
      </c>
      <c r="N4106" t="inlineStr">
        <is>
          <t>Modalidade: 0 - Por conta do remetente | Parte: LIDER INDUSTRIA E COMERCIO LTDA (45.762.979/0001-73)</t>
        </is>
      </c>
      <c r="O4106" s="29" t="n">
        <v>0</v>
      </c>
      <c r="P4106" s="29" t="n">
        <v>324.69</v>
      </c>
      <c r="Q4106" s="29" t="n">
        <v>0</v>
      </c>
      <c r="R4106" s="29" t="n">
        <v>0</v>
      </c>
      <c r="S4106" s="29" t="n">
        <v>0</v>
      </c>
      <c r="T4106" t="inlineStr">
        <is>
          <t>15260720175042000170570010000250791000081530</t>
        </is>
      </c>
      <c r="U4106" t="inlineStr">
        <is>
          <t>Sim</t>
        </is>
      </c>
    </row>
    <row r="4107">
      <c r="A4107" t="inlineStr">
        <is>
          <t>Frete de venda</t>
        </is>
      </c>
      <c r="B4107" t="inlineStr">
        <is>
          <t>2.01.02 Frete sobre Vendas</t>
        </is>
      </c>
      <c r="C4107" s="30" t="n">
        <v>46204</v>
      </c>
      <c r="D4107" t="inlineStr">
        <is>
          <t>Em 2026</t>
        </is>
      </c>
      <c r="E4107" s="28" t="n">
        <v>46218</v>
      </c>
      <c r="F4107" t="inlineStr">
        <is>
          <t>CT-e</t>
        </is>
      </c>
      <c r="G4107" t="inlineStr">
        <is>
          <t>000025080</t>
        </is>
      </c>
      <c r="H4107" t="inlineStr">
        <is>
          <t>TRANSPORTE OLIVEIRA E MELLOI - IDEALIZA TRANSPORTES</t>
        </is>
      </c>
      <c r="J4107" s="29" t="n">
        <v>906.9</v>
      </c>
      <c r="K4107" s="29">
        <f>(1-ISNUMBER(SEARCH("556",M4107)))*(O4107*SUMIFS(Premissas!$C$5:$C$44,Premissas!$A$5:$A$44,$A4107,Premissas!$B$5:$B$44,$B4107)+P4107*SUMIFS(Premissas!$D$5:$D$44,Premissas!$A$5:$A$44,$A4107,Premissas!$B$5:$B$44,$B4107))+R4107*SUMIFS(Premissas!$E$5:$E$44,Premissas!$A$5:$A$44,$A4107,Premissas!$B$5:$B$44,$B4107)+S4107*SUMIFS(Premissas!$F$5:$F$44,Premissas!$A$5:$A$44,$A4107,Premissas!$B$5:$B$44,$B4107)</f>
        <v/>
      </c>
      <c r="L4107" s="29">
        <f>J4107-K4107</f>
        <v/>
      </c>
      <c r="M4107" t="inlineStr">
        <is>
          <t>2.350</t>
        </is>
      </c>
      <c r="N4107" t="inlineStr">
        <is>
          <t>Modalidade: 0 - Por conta do remetente | Parte: CAVALCANTE E LAGES LTDA (06.120.924/0001-08)</t>
        </is>
      </c>
      <c r="O4107" s="29" t="n">
        <v>0</v>
      </c>
      <c r="P4107" s="29" t="n">
        <v>108.83</v>
      </c>
      <c r="Q4107" s="29" t="n">
        <v>0</v>
      </c>
      <c r="R4107" s="29" t="n">
        <v>0</v>
      </c>
      <c r="S4107" s="29" t="n">
        <v>0</v>
      </c>
      <c r="T4107" t="inlineStr">
        <is>
          <t>15260720175042000170570010000250801000081540</t>
        </is>
      </c>
      <c r="U4107" t="inlineStr">
        <is>
          <t>Sim</t>
        </is>
      </c>
    </row>
    <row r="4108">
      <c r="A4108" t="inlineStr">
        <is>
          <t>Frete de venda</t>
        </is>
      </c>
      <c r="B4108" t="inlineStr">
        <is>
          <t>2.01.02 Frete sobre Vendas</t>
        </is>
      </c>
      <c r="C4108" s="30" t="n">
        <v>46204</v>
      </c>
      <c r="D4108" t="inlineStr">
        <is>
          <t>Em 2026</t>
        </is>
      </c>
      <c r="E4108" s="28" t="n">
        <v>46210</v>
      </c>
      <c r="F4108" t="inlineStr">
        <is>
          <t>CT-e</t>
        </is>
      </c>
      <c r="G4108" t="inlineStr">
        <is>
          <t>000004921</t>
        </is>
      </c>
      <c r="H4108" t="inlineStr">
        <is>
          <t>UNIVERSAL CARGAS EXPRESS</t>
        </is>
      </c>
      <c r="J4108" s="29" t="n">
        <v>1600</v>
      </c>
      <c r="K4108" s="29">
        <f>(1-ISNUMBER(SEARCH("556",M4108)))*(O4108*SUMIFS(Premissas!$C$5:$C$44,Premissas!$A$5:$A$44,$A4108,Premissas!$B$5:$B$44,$B4108)+P4108*SUMIFS(Premissas!$D$5:$D$44,Premissas!$A$5:$A$44,$A4108,Premissas!$B$5:$B$44,$B4108))+R4108*SUMIFS(Premissas!$E$5:$E$44,Premissas!$A$5:$A$44,$A4108,Premissas!$B$5:$B$44,$B4108)+S4108*SUMIFS(Premissas!$F$5:$F$44,Premissas!$A$5:$A$44,$A4108,Premissas!$B$5:$B$44,$B4108)</f>
        <v/>
      </c>
      <c r="L4108" s="29">
        <f>J4108-K4108</f>
        <v/>
      </c>
      <c r="M4108" t="inlineStr">
        <is>
          <t>2.350</t>
        </is>
      </c>
      <c r="N4108" t="inlineStr">
        <is>
          <t>Modalidade: 0 - Por conta do remetente | Parte: JPM COMERCIO DE EMBALAGENS LTDA (64.643.151/0001-40)</t>
        </is>
      </c>
      <c r="O4108" s="29" t="n">
        <v>0</v>
      </c>
      <c r="P4108" s="29" t="n">
        <v>0</v>
      </c>
      <c r="Q4108" s="29" t="n">
        <v>0</v>
      </c>
      <c r="R4108" s="29" t="n">
        <v>0</v>
      </c>
      <c r="S4108" s="29" t="n">
        <v>0</v>
      </c>
      <c r="T4108" t="inlineStr">
        <is>
          <t>15260744384835000168570020000049211000062620</t>
        </is>
      </c>
      <c r="U4108" t="inlineStr">
        <is>
          <t>Sim</t>
        </is>
      </c>
    </row>
    <row r="4109">
      <c r="A4109" t="inlineStr">
        <is>
          <t>Frete de venda</t>
        </is>
      </c>
      <c r="B4109" t="inlineStr">
        <is>
          <t>2.01.02 Frete sobre Vendas</t>
        </is>
      </c>
      <c r="C4109" s="30" t="n">
        <v>46204</v>
      </c>
      <c r="D4109" t="inlineStr">
        <is>
          <t>Em 2026</t>
        </is>
      </c>
      <c r="E4109" s="28" t="n">
        <v>46210</v>
      </c>
      <c r="F4109" t="inlineStr">
        <is>
          <t>CT-e</t>
        </is>
      </c>
      <c r="G4109" t="inlineStr">
        <is>
          <t>000004922</t>
        </is>
      </c>
      <c r="H4109" t="inlineStr">
        <is>
          <t>UNIVERSAL CARGAS EXPRESS</t>
        </is>
      </c>
      <c r="J4109" s="29" t="n">
        <v>380</v>
      </c>
      <c r="K4109" s="29">
        <f>(1-ISNUMBER(SEARCH("556",M4109)))*(O4109*SUMIFS(Premissas!$C$5:$C$44,Premissas!$A$5:$A$44,$A4109,Premissas!$B$5:$B$44,$B4109)+P4109*SUMIFS(Premissas!$D$5:$D$44,Premissas!$A$5:$A$44,$A4109,Premissas!$B$5:$B$44,$B4109))+R4109*SUMIFS(Premissas!$E$5:$E$44,Premissas!$A$5:$A$44,$A4109,Premissas!$B$5:$B$44,$B4109)+S4109*SUMIFS(Premissas!$F$5:$F$44,Premissas!$A$5:$A$44,$A4109,Premissas!$B$5:$B$44,$B4109)</f>
        <v/>
      </c>
      <c r="L4109" s="29">
        <f>J4109-K4109</f>
        <v/>
      </c>
      <c r="M4109" t="inlineStr">
        <is>
          <t>2.350</t>
        </is>
      </c>
      <c r="N4109" t="inlineStr">
        <is>
          <t>Modalidade: 0 - Por conta do remetente | Parte: QUERO EMBALAGENS COM DE EMBALAGENS EM GERAL LTDA (57.632.874/0001-89)</t>
        </is>
      </c>
      <c r="O4109" s="29" t="n">
        <v>0</v>
      </c>
      <c r="P4109" s="29" t="n">
        <v>0</v>
      </c>
      <c r="Q4109" s="29" t="n">
        <v>0</v>
      </c>
      <c r="R4109" s="29" t="n">
        <v>0</v>
      </c>
      <c r="S4109" s="29" t="n">
        <v>0</v>
      </c>
      <c r="T4109" t="inlineStr">
        <is>
          <t>15260744384835000168570020000049221000062636</t>
        </is>
      </c>
      <c r="U4109" t="inlineStr">
        <is>
          <t>Sim</t>
        </is>
      </c>
    </row>
    <row r="4110">
      <c r="A4110" t="inlineStr">
        <is>
          <t>Frete de venda</t>
        </is>
      </c>
      <c r="B4110" t="inlineStr">
        <is>
          <t>2.01.02 Frete sobre Vendas</t>
        </is>
      </c>
      <c r="C4110" s="30" t="n">
        <v>46204</v>
      </c>
      <c r="D4110" t="inlineStr">
        <is>
          <t>Em 2026</t>
        </is>
      </c>
      <c r="E4110" s="28" t="n">
        <v>46210</v>
      </c>
      <c r="F4110" t="inlineStr">
        <is>
          <t>CT-e</t>
        </is>
      </c>
      <c r="G4110" t="inlineStr">
        <is>
          <t>000004923</t>
        </is>
      </c>
      <c r="H4110" t="inlineStr">
        <is>
          <t>UNIVERSAL CARGAS EXPRESS</t>
        </is>
      </c>
      <c r="J4110" s="29" t="n">
        <v>350</v>
      </c>
      <c r="K4110" s="29">
        <f>(1-ISNUMBER(SEARCH("556",M4110)))*(O4110*SUMIFS(Premissas!$C$5:$C$44,Premissas!$A$5:$A$44,$A4110,Premissas!$B$5:$B$44,$B4110)+P4110*SUMIFS(Premissas!$D$5:$D$44,Premissas!$A$5:$A$44,$A4110,Premissas!$B$5:$B$44,$B4110))+R4110*SUMIFS(Premissas!$E$5:$E$44,Premissas!$A$5:$A$44,$A4110,Premissas!$B$5:$B$44,$B4110)+S4110*SUMIFS(Premissas!$F$5:$F$44,Premissas!$A$5:$A$44,$A4110,Premissas!$B$5:$B$44,$B4110)</f>
        <v/>
      </c>
      <c r="L4110" s="29">
        <f>J4110-K4110</f>
        <v/>
      </c>
      <c r="M4110" t="inlineStr">
        <is>
          <t>2.350</t>
        </is>
      </c>
      <c r="N4110" t="inlineStr">
        <is>
          <t>Modalidade: 0 - Por conta do remetente | Parte: J DA C ESTUMANO (12.711.497/0001-35)</t>
        </is>
      </c>
      <c r="O4110" s="29" t="n">
        <v>0</v>
      </c>
      <c r="P4110" s="29" t="n">
        <v>0</v>
      </c>
      <c r="Q4110" s="29" t="n">
        <v>0</v>
      </c>
      <c r="R4110" s="29" t="n">
        <v>0</v>
      </c>
      <c r="S4110" s="29" t="n">
        <v>0</v>
      </c>
      <c r="T4110" t="inlineStr">
        <is>
          <t>15260744384835000168570020000049231000062641</t>
        </is>
      </c>
      <c r="U4110" t="inlineStr">
        <is>
          <t>Sim</t>
        </is>
      </c>
    </row>
    <row r="4111">
      <c r="A4111" t="inlineStr">
        <is>
          <t>Frete de venda</t>
        </is>
      </c>
      <c r="B4111" t="inlineStr">
        <is>
          <t>2.01.02 Frete sobre Vendas</t>
        </is>
      </c>
      <c r="C4111" s="30" t="n">
        <v>46204</v>
      </c>
      <c r="D4111" t="inlineStr">
        <is>
          <t>Em 2026</t>
        </is>
      </c>
      <c r="E4111" s="28" t="n">
        <v>46210</v>
      </c>
      <c r="F4111" t="inlineStr">
        <is>
          <t>CT-e</t>
        </is>
      </c>
      <c r="G4111" t="inlineStr">
        <is>
          <t>000004924</t>
        </is>
      </c>
      <c r="H4111" t="inlineStr">
        <is>
          <t>UNIVERSAL CARGAS EXPRESS</t>
        </is>
      </c>
      <c r="J4111" s="29" t="n">
        <v>1200</v>
      </c>
      <c r="K4111" s="29">
        <f>(1-ISNUMBER(SEARCH("556",M4111)))*(O4111*SUMIFS(Premissas!$C$5:$C$44,Premissas!$A$5:$A$44,$A4111,Premissas!$B$5:$B$44,$B4111)+P4111*SUMIFS(Premissas!$D$5:$D$44,Premissas!$A$5:$A$44,$A4111,Premissas!$B$5:$B$44,$B4111))+R4111*SUMIFS(Premissas!$E$5:$E$44,Premissas!$A$5:$A$44,$A4111,Premissas!$B$5:$B$44,$B4111)+S4111*SUMIFS(Premissas!$F$5:$F$44,Premissas!$A$5:$A$44,$A4111,Premissas!$B$5:$B$44,$B4111)</f>
        <v/>
      </c>
      <c r="L4111" s="29">
        <f>J4111-K4111</f>
        <v/>
      </c>
      <c r="M4111" t="inlineStr">
        <is>
          <t>2.350</t>
        </is>
      </c>
      <c r="N4111" t="inlineStr">
        <is>
          <t>Modalidade: 0 - Por conta do remetente | Parte: M. R. ARAUJO SOPRAN (07.444.901/0001-11)</t>
        </is>
      </c>
      <c r="O4111" s="29" t="n">
        <v>0</v>
      </c>
      <c r="P4111" s="29" t="n">
        <v>0</v>
      </c>
      <c r="Q4111" s="29" t="n">
        <v>0</v>
      </c>
      <c r="R4111" s="29" t="n">
        <v>0</v>
      </c>
      <c r="S4111" s="29" t="n">
        <v>0</v>
      </c>
      <c r="T4111" t="inlineStr">
        <is>
          <t>15260744384835000168570020000049241000062657</t>
        </is>
      </c>
      <c r="U4111" t="inlineStr">
        <is>
          <t>Sim</t>
        </is>
      </c>
    </row>
    <row r="4112">
      <c r="A4112" t="inlineStr">
        <is>
          <t>Frete de venda</t>
        </is>
      </c>
      <c r="B4112" t="inlineStr">
        <is>
          <t>2.01.02 Frete sobre Vendas</t>
        </is>
      </c>
      <c r="C4112" s="30" t="n">
        <v>46204</v>
      </c>
      <c r="D4112" t="inlineStr">
        <is>
          <t>Em 2026</t>
        </is>
      </c>
      <c r="E4112" s="28" t="n">
        <v>46227</v>
      </c>
      <c r="F4112" t="inlineStr">
        <is>
          <t>CT-e</t>
        </is>
      </c>
      <c r="G4112" t="inlineStr">
        <is>
          <t>000005430</t>
        </is>
      </c>
      <c r="H4112" t="inlineStr">
        <is>
          <t>UNIVERSAL CARGAS EXPRESS</t>
        </is>
      </c>
      <c r="J4112" s="29" t="n">
        <v>350</v>
      </c>
      <c r="K4112" s="29">
        <f>(1-ISNUMBER(SEARCH("556",M4112)))*(O4112*SUMIFS(Premissas!$C$5:$C$44,Premissas!$A$5:$A$44,$A4112,Premissas!$B$5:$B$44,$B4112)+P4112*SUMIFS(Premissas!$D$5:$D$44,Premissas!$A$5:$A$44,$A4112,Premissas!$B$5:$B$44,$B4112))+R4112*SUMIFS(Premissas!$E$5:$E$44,Premissas!$A$5:$A$44,$A4112,Premissas!$B$5:$B$44,$B4112)+S4112*SUMIFS(Premissas!$F$5:$F$44,Premissas!$A$5:$A$44,$A4112,Premissas!$B$5:$B$44,$B4112)</f>
        <v/>
      </c>
      <c r="L4112" s="29">
        <f>J4112-K4112</f>
        <v/>
      </c>
      <c r="M4112" t="inlineStr">
        <is>
          <t>2.350</t>
        </is>
      </c>
      <c r="N4112" t="inlineStr">
        <is>
          <t>Modalidade: 0 - Por conta do remetente | Parte: TROPICAL FESTAS E EMBALAGENS - C. A. NOLETO DA COSTA (34.906.974/0001-50)</t>
        </is>
      </c>
      <c r="O4112" s="29" t="n">
        <v>0</v>
      </c>
      <c r="P4112" s="29" t="n">
        <v>0</v>
      </c>
      <c r="Q4112" s="29" t="n">
        <v>0</v>
      </c>
      <c r="R4112" s="29" t="n">
        <v>0</v>
      </c>
      <c r="S4112" s="29" t="n">
        <v>0</v>
      </c>
      <c r="T4112" t="inlineStr">
        <is>
          <t>15260744384835000168570020000054301000067718</t>
        </is>
      </c>
      <c r="U4112" t="inlineStr">
        <is>
          <t>Sim</t>
        </is>
      </c>
    </row>
    <row r="4113">
      <c r="A4113" t="inlineStr">
        <is>
          <t>Frete de venda</t>
        </is>
      </c>
      <c r="B4113" t="inlineStr">
        <is>
          <t>2.01.02 Frete sobre Vendas</t>
        </is>
      </c>
      <c r="C4113" s="30" t="n">
        <v>46204</v>
      </c>
      <c r="D4113" t="inlineStr">
        <is>
          <t>Em 2026</t>
        </is>
      </c>
      <c r="E4113" s="28" t="n">
        <v>46231</v>
      </c>
      <c r="F4113" t="inlineStr">
        <is>
          <t>CT-e</t>
        </is>
      </c>
      <c r="G4113" t="inlineStr">
        <is>
          <t>000005476</t>
        </is>
      </c>
      <c r="H4113" t="inlineStr">
        <is>
          <t>UNIVERSAL CARGAS EXPRESS</t>
        </is>
      </c>
      <c r="J4113" s="29" t="n">
        <v>800</v>
      </c>
      <c r="K4113" s="29">
        <f>(1-ISNUMBER(SEARCH("556",M4113)))*(O4113*SUMIFS(Premissas!$C$5:$C$44,Premissas!$A$5:$A$44,$A4113,Premissas!$B$5:$B$44,$B4113)+P4113*SUMIFS(Premissas!$D$5:$D$44,Premissas!$A$5:$A$44,$A4113,Premissas!$B$5:$B$44,$B4113))+R4113*SUMIFS(Premissas!$E$5:$E$44,Premissas!$A$5:$A$44,$A4113,Premissas!$B$5:$B$44,$B4113)+S4113*SUMIFS(Premissas!$F$5:$F$44,Premissas!$A$5:$A$44,$A4113,Premissas!$B$5:$B$44,$B4113)</f>
        <v/>
      </c>
      <c r="L4113" s="29">
        <f>J4113-K4113</f>
        <v/>
      </c>
      <c r="M4113" t="inlineStr">
        <is>
          <t>2.350</t>
        </is>
      </c>
      <c r="N4113" t="inlineStr">
        <is>
          <t>Modalidade: 0 - Por conta do remetente | Parte: DMT COMERCIO DE EMBALAGENS LTDA (33.086.330/0001-09)</t>
        </is>
      </c>
      <c r="O4113" s="29" t="n">
        <v>0</v>
      </c>
      <c r="P4113" s="29" t="n">
        <v>0</v>
      </c>
      <c r="Q4113" s="29" t="n">
        <v>0</v>
      </c>
      <c r="R4113" s="29" t="n">
        <v>0</v>
      </c>
      <c r="S4113" s="29" t="n">
        <v>0</v>
      </c>
      <c r="T4113" t="inlineStr">
        <is>
          <t>15260744384835000168570020000054761000068179</t>
        </is>
      </c>
      <c r="U4113" t="inlineStr">
        <is>
          <t>Sim</t>
        </is>
      </c>
    </row>
    <row r="4114">
      <c r="A4114" t="inlineStr">
        <is>
          <t>Frete de venda</t>
        </is>
      </c>
      <c r="B4114" t="inlineStr">
        <is>
          <t>2.01.02 Frete sobre Vendas</t>
        </is>
      </c>
      <c r="C4114" s="30" t="n">
        <v>46204</v>
      </c>
      <c r="D4114" t="inlineStr">
        <is>
          <t>Em 2026</t>
        </is>
      </c>
      <c r="E4114" s="28" t="n">
        <v>46231</v>
      </c>
      <c r="F4114" t="inlineStr">
        <is>
          <t>CT-e</t>
        </is>
      </c>
      <c r="G4114" t="inlineStr">
        <is>
          <t>000005478</t>
        </is>
      </c>
      <c r="H4114" t="inlineStr">
        <is>
          <t>UNIVERSAL CARGAS EXPRESS</t>
        </is>
      </c>
      <c r="J4114" s="29" t="n">
        <v>380</v>
      </c>
      <c r="K4114" s="29">
        <f>(1-ISNUMBER(SEARCH("556",M4114)))*(O4114*SUMIFS(Premissas!$C$5:$C$44,Premissas!$A$5:$A$44,$A4114,Premissas!$B$5:$B$44,$B4114)+P4114*SUMIFS(Premissas!$D$5:$D$44,Premissas!$A$5:$A$44,$A4114,Premissas!$B$5:$B$44,$B4114))+R4114*SUMIFS(Premissas!$E$5:$E$44,Premissas!$A$5:$A$44,$A4114,Premissas!$B$5:$B$44,$B4114)+S4114*SUMIFS(Premissas!$F$5:$F$44,Premissas!$A$5:$A$44,$A4114,Premissas!$B$5:$B$44,$B4114)</f>
        <v/>
      </c>
      <c r="L4114" s="29">
        <f>J4114-K4114</f>
        <v/>
      </c>
      <c r="M4114" t="inlineStr">
        <is>
          <t>2.350</t>
        </is>
      </c>
      <c r="N4114" t="inlineStr">
        <is>
          <t>Modalidade: 0 - Por conta do remetente | Parte: S S BRAGA DAS ULTILIDADES LTDA (56.044.484/0001-25)</t>
        </is>
      </c>
      <c r="O4114" s="29" t="n">
        <v>0</v>
      </c>
      <c r="P4114" s="29" t="n">
        <v>0</v>
      </c>
      <c r="Q4114" s="29" t="n">
        <v>0</v>
      </c>
      <c r="R4114" s="29" t="n">
        <v>0</v>
      </c>
      <c r="S4114" s="29" t="n">
        <v>0</v>
      </c>
      <c r="T4114" t="inlineStr">
        <is>
          <t>15260744384835000168570020000054781000068190</t>
        </is>
      </c>
      <c r="U4114" t="inlineStr">
        <is>
          <t>Sim</t>
        </is>
      </c>
    </row>
    <row r="4115">
      <c r="A4115" t="inlineStr">
        <is>
          <t>Frete de venda</t>
        </is>
      </c>
      <c r="B4115" t="inlineStr">
        <is>
          <t>2.01.02 Frete sobre Vendas</t>
        </is>
      </c>
      <c r="C4115" s="30" t="n">
        <v>46204</v>
      </c>
      <c r="D4115" t="inlineStr">
        <is>
          <t>Em 2026</t>
        </is>
      </c>
      <c r="E4115" s="28" t="n">
        <v>46231</v>
      </c>
      <c r="F4115" t="inlineStr">
        <is>
          <t>CT-e</t>
        </is>
      </c>
      <c r="G4115" t="inlineStr">
        <is>
          <t>000005479</t>
        </is>
      </c>
      <c r="H4115" t="inlineStr">
        <is>
          <t>UNIVERSAL CARGAS EXPRESS</t>
        </is>
      </c>
      <c r="J4115" s="29" t="n">
        <v>350</v>
      </c>
      <c r="K4115" s="29">
        <f>(1-ISNUMBER(SEARCH("556",M4115)))*(O4115*SUMIFS(Premissas!$C$5:$C$44,Premissas!$A$5:$A$44,$A4115,Premissas!$B$5:$B$44,$B4115)+P4115*SUMIFS(Premissas!$D$5:$D$44,Premissas!$A$5:$A$44,$A4115,Premissas!$B$5:$B$44,$B4115))+R4115*SUMIFS(Premissas!$E$5:$E$44,Premissas!$A$5:$A$44,$A4115,Premissas!$B$5:$B$44,$B4115)+S4115*SUMIFS(Premissas!$F$5:$F$44,Premissas!$A$5:$A$44,$A4115,Premissas!$B$5:$B$44,$B4115)</f>
        <v/>
      </c>
      <c r="L4115" s="29">
        <f>J4115-K4115</f>
        <v/>
      </c>
      <c r="M4115" t="inlineStr">
        <is>
          <t>2.350</t>
        </is>
      </c>
      <c r="N4115" t="inlineStr">
        <is>
          <t>Modalidade: 0 - Por conta do remetente | Parte: CASA DAS EMBALAGENS LTDA (64.892.754/0001-86)</t>
        </is>
      </c>
      <c r="O4115" s="29" t="n">
        <v>0</v>
      </c>
      <c r="P4115" s="29" t="n">
        <v>0</v>
      </c>
      <c r="Q4115" s="29" t="n">
        <v>0</v>
      </c>
      <c r="R4115" s="29" t="n">
        <v>0</v>
      </c>
      <c r="S4115" s="29" t="n">
        <v>0</v>
      </c>
      <c r="T4115" t="inlineStr">
        <is>
          <t>15260744384835000168570020000054791000068200</t>
        </is>
      </c>
      <c r="U4115" t="inlineStr">
        <is>
          <t>Sim</t>
        </is>
      </c>
    </row>
    <row r="4116">
      <c r="A4116" t="inlineStr">
        <is>
          <t>Frete de venda</t>
        </is>
      </c>
      <c r="B4116" t="inlineStr">
        <is>
          <t>2.01.02 Frete sobre Vendas</t>
        </is>
      </c>
      <c r="C4116" s="30" t="n">
        <v>46204</v>
      </c>
      <c r="D4116" t="inlineStr">
        <is>
          <t>Em 2026</t>
        </is>
      </c>
      <c r="E4116" s="28" t="n">
        <v>46231</v>
      </c>
      <c r="F4116" t="inlineStr">
        <is>
          <t>CT-e</t>
        </is>
      </c>
      <c r="G4116" t="inlineStr">
        <is>
          <t>000005480</t>
        </is>
      </c>
      <c r="H4116" t="inlineStr">
        <is>
          <t>UNIVERSAL CARGAS EXPRESS</t>
        </is>
      </c>
      <c r="J4116" s="29" t="n">
        <v>960</v>
      </c>
      <c r="K4116" s="29">
        <f>(1-ISNUMBER(SEARCH("556",M4116)))*(O4116*SUMIFS(Premissas!$C$5:$C$44,Premissas!$A$5:$A$44,$A4116,Premissas!$B$5:$B$44,$B4116)+P4116*SUMIFS(Premissas!$D$5:$D$44,Premissas!$A$5:$A$44,$A4116,Premissas!$B$5:$B$44,$B4116))+R4116*SUMIFS(Premissas!$E$5:$E$44,Premissas!$A$5:$A$44,$A4116,Premissas!$B$5:$B$44,$B4116)+S4116*SUMIFS(Premissas!$F$5:$F$44,Premissas!$A$5:$A$44,$A4116,Premissas!$B$5:$B$44,$B4116)</f>
        <v/>
      </c>
      <c r="L4116" s="29">
        <f>J4116-K4116</f>
        <v/>
      </c>
      <c r="M4116" t="inlineStr">
        <is>
          <t>2.350</t>
        </is>
      </c>
      <c r="N4116" t="inlineStr">
        <is>
          <t>Modalidade: 0 - Por conta do remetente | Parte: A C M DA SILVA COMERCIO (15.485.160/0001-45)</t>
        </is>
      </c>
      <c r="O4116" s="29" t="n">
        <v>0</v>
      </c>
      <c r="P4116" s="29" t="n">
        <v>0</v>
      </c>
      <c r="Q4116" s="29" t="n">
        <v>0</v>
      </c>
      <c r="R4116" s="29" t="n">
        <v>0</v>
      </c>
      <c r="S4116" s="29" t="n">
        <v>0</v>
      </c>
      <c r="T4116" t="inlineStr">
        <is>
          <t>15260744384835000168570020000054801000068210</t>
        </is>
      </c>
      <c r="U4116" t="inlineStr">
        <is>
          <t>Sim</t>
        </is>
      </c>
    </row>
    <row r="4117">
      <c r="A4117" t="inlineStr">
        <is>
          <t>Frete de venda</t>
        </is>
      </c>
      <c r="B4117" t="inlineStr">
        <is>
          <t>2.01.02 Frete sobre Vendas</t>
        </is>
      </c>
      <c r="C4117" s="30" t="n">
        <v>46235</v>
      </c>
      <c r="D4117" t="inlineStr">
        <is>
          <t>Em 2026</t>
        </is>
      </c>
      <c r="E4117" s="28" t="n"/>
      <c r="F4117" t="inlineStr">
        <is>
          <t>Pgto sem CT-e</t>
        </is>
      </c>
      <c r="G4117" t="inlineStr">
        <is>
          <t>000000056</t>
        </is>
      </c>
      <c r="H4117" t="inlineStr">
        <is>
          <t>26.221.654 ROGERIO DA CUNHA FERREIRA</t>
        </is>
      </c>
      <c r="J4117" s="29" t="n">
        <v>18300</v>
      </c>
      <c r="K4117" s="29">
        <f>(1-ISNUMBER(SEARCH("556",M4117)))*(O4117*SUMIFS(Premissas!$C$5:$C$44,Premissas!$A$5:$A$44,$A4117,Premissas!$B$5:$B$44,$B4117)+P4117*SUMIFS(Premissas!$D$5:$D$44,Premissas!$A$5:$A$44,$A4117,Premissas!$B$5:$B$44,$B4117))+R4117*SUMIFS(Premissas!$E$5:$E$44,Premissas!$A$5:$A$44,$A4117,Premissas!$B$5:$B$44,$B4117)+S4117*SUMIFS(Premissas!$F$5:$F$44,Premissas!$A$5:$A$44,$A4117,Premissas!$B$5:$B$44,$B4117)</f>
        <v/>
      </c>
      <c r="L4117" s="29">
        <f>J4117-K4117</f>
        <v/>
      </c>
      <c r="N4117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 | Parte: (pagamento sem CT-e - cliente nao identificado)</t>
        </is>
      </c>
      <c r="O4117" s="29" t="n">
        <v>0</v>
      </c>
      <c r="P4117" s="29" t="n">
        <v>0</v>
      </c>
      <c r="Q4117" s="29" t="n">
        <v>0</v>
      </c>
      <c r="R4117" s="29" t="n">
        <v>0</v>
      </c>
      <c r="S4117" s="29" t="n">
        <v>0</v>
      </c>
      <c r="U4117" t="inlineStr">
        <is>
          <t>n/d</t>
        </is>
      </c>
    </row>
    <row r="4118">
      <c r="A4118" t="inlineStr">
        <is>
          <t>Frete de venda</t>
        </is>
      </c>
      <c r="B4118" t="inlineStr">
        <is>
          <t>2.01.02 Frete sobre Vendas</t>
        </is>
      </c>
      <c r="C4118" s="30" t="n">
        <v>46235</v>
      </c>
      <c r="D4118" t="inlineStr">
        <is>
          <t>Em 2026</t>
        </is>
      </c>
      <c r="E4118" s="28" t="n"/>
      <c r="F4118" t="inlineStr">
        <is>
          <t>Pgto sem CT-e</t>
        </is>
      </c>
      <c r="G4118" t="inlineStr">
        <is>
          <t>FATURA</t>
        </is>
      </c>
      <c r="H4118" t="inlineStr">
        <is>
          <t>ADIL CARLOS DA SILVA</t>
        </is>
      </c>
      <c r="J4118" s="29" t="n">
        <v>34500</v>
      </c>
      <c r="K4118" s="29">
        <f>(1-ISNUMBER(SEARCH("556",M4118)))*(O4118*SUMIFS(Premissas!$C$5:$C$44,Premissas!$A$5:$A$44,$A4118,Premissas!$B$5:$B$44,$B4118)+P4118*SUMIFS(Premissas!$D$5:$D$44,Premissas!$A$5:$A$44,$A4118,Premissas!$B$5:$B$44,$B4118))+R4118*SUMIFS(Premissas!$E$5:$E$44,Premissas!$A$5:$A$44,$A4118,Premissas!$B$5:$B$44,$B4118)+S4118*SUMIFS(Premissas!$F$5:$F$44,Premissas!$A$5:$A$44,$A4118,Premissas!$B$5:$B$44,$B4118)</f>
        <v/>
      </c>
      <c r="L4118" s="29">
        <f>J4118-K4118</f>
        <v/>
      </c>
      <c r="N4118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 | Parte: (pagamento sem CT-e - cliente nao identificado)</t>
        </is>
      </c>
      <c r="O4118" s="29" t="n">
        <v>0</v>
      </c>
      <c r="P4118" s="29" t="n">
        <v>0</v>
      </c>
      <c r="Q4118" s="29" t="n">
        <v>0</v>
      </c>
      <c r="R4118" s="29" t="n">
        <v>0</v>
      </c>
      <c r="S4118" s="29" t="n">
        <v>0</v>
      </c>
      <c r="U4118" t="inlineStr">
        <is>
          <t>n/d</t>
        </is>
      </c>
    </row>
    <row r="4119">
      <c r="A4119" t="inlineStr">
        <is>
          <t>Frete de venda</t>
        </is>
      </c>
      <c r="B4119" t="inlineStr">
        <is>
          <t>2.01.02 Frete sobre Vendas</t>
        </is>
      </c>
      <c r="C4119" s="30" t="n">
        <v>46235</v>
      </c>
      <c r="D4119" t="inlineStr">
        <is>
          <t>Em 2026</t>
        </is>
      </c>
      <c r="E4119" s="28" t="n">
        <v>46265</v>
      </c>
      <c r="F4119" t="inlineStr">
        <is>
          <t>CT-e</t>
        </is>
      </c>
      <c r="G4119" t="inlineStr">
        <is>
          <t>000020402</t>
        </is>
      </c>
      <c r="H4119" t="inlineStr">
        <is>
          <t>ANGELA PAULA MASSARUT ME</t>
        </is>
      </c>
      <c r="J4119" s="29" t="n">
        <v>1000</v>
      </c>
      <c r="K4119" s="29">
        <f>(1-ISNUMBER(SEARCH("556",M4119)))*(O4119*SUMIFS(Premissas!$C$5:$C$44,Premissas!$A$5:$A$44,$A4119,Premissas!$B$5:$B$44,$B4119)+P4119*SUMIFS(Premissas!$D$5:$D$44,Premissas!$A$5:$A$44,$A4119,Premissas!$B$5:$B$44,$B4119))+R4119*SUMIFS(Premissas!$E$5:$E$44,Premissas!$A$5:$A$44,$A4119,Premissas!$B$5:$B$44,$B4119)+S4119*SUMIFS(Premissas!$F$5:$F$44,Premissas!$A$5:$A$44,$A4119,Premissas!$B$5:$B$44,$B4119)</f>
        <v/>
      </c>
      <c r="L4119" s="29">
        <f>J4119-K4119</f>
        <v/>
      </c>
      <c r="M4119" t="inlineStr">
        <is>
          <t>2.350</t>
        </is>
      </c>
      <c r="N4119" t="inlineStr">
        <is>
          <t>Modalidade: 0 - Por conta do remetente | Parte: COMERCIAL FENIX ALIMENTOS LTDA (04.364.799/0001-56)</t>
        </is>
      </c>
      <c r="O4119" s="29" t="n">
        <v>0</v>
      </c>
      <c r="P4119" s="29" t="n">
        <v>120</v>
      </c>
      <c r="Q4119" s="29" t="n">
        <v>0</v>
      </c>
      <c r="R4119" s="29" t="n">
        <v>0</v>
      </c>
      <c r="S4119" s="29" t="n">
        <v>0</v>
      </c>
      <c r="T4119" t="inlineStr">
        <is>
          <t>50260813132544000159570020000204021000289350</t>
        </is>
      </c>
      <c r="U4119" t="inlineStr">
        <is>
          <t>Sim</t>
        </is>
      </c>
    </row>
    <row r="4120">
      <c r="A4120" t="inlineStr">
        <is>
          <t>Frete de venda</t>
        </is>
      </c>
      <c r="B4120" t="inlineStr">
        <is>
          <t>2.01.02 Frete sobre Vendas</t>
        </is>
      </c>
      <c r="C4120" s="30" t="n">
        <v>46235</v>
      </c>
      <c r="D4120" t="inlineStr">
        <is>
          <t>Em 2026</t>
        </is>
      </c>
      <c r="E4120" s="28" t="n">
        <v>46245</v>
      </c>
      <c r="F4120" t="inlineStr">
        <is>
          <t>CT-e</t>
        </is>
      </c>
      <c r="G4120" t="inlineStr">
        <is>
          <t>000009550</t>
        </is>
      </c>
      <c r="H4120" t="inlineStr">
        <is>
          <t>BEM TRANSPORTES E LOGISTICA</t>
        </is>
      </c>
      <c r="J4120" s="29" t="n">
        <v>1445.61</v>
      </c>
      <c r="K4120" s="29">
        <f>(1-ISNUMBER(SEARCH("556",M4120)))*(O4120*SUMIFS(Premissas!$C$5:$C$44,Premissas!$A$5:$A$44,$A4120,Premissas!$B$5:$B$44,$B4120)+P4120*SUMIFS(Premissas!$D$5:$D$44,Premissas!$A$5:$A$44,$A4120,Premissas!$B$5:$B$44,$B4120))+R4120*SUMIFS(Premissas!$E$5:$E$44,Premissas!$A$5:$A$44,$A4120,Premissas!$B$5:$B$44,$B4120)+S4120*SUMIFS(Premissas!$F$5:$F$44,Premissas!$A$5:$A$44,$A4120,Premissas!$B$5:$B$44,$B4120)</f>
        <v/>
      </c>
      <c r="L4120" s="29">
        <f>J4120-K4120</f>
        <v/>
      </c>
      <c r="M4120" t="inlineStr">
        <is>
          <t>2.350</t>
        </is>
      </c>
      <c r="N4120" t="inlineStr">
        <is>
          <t>Modalidade: 0 - Por conta do remetente | Parte: JOMIG LTDA (19.991.629/0001-79)</t>
        </is>
      </c>
      <c r="O4120" s="29" t="n">
        <v>0</v>
      </c>
      <c r="P4120" s="29" t="n">
        <v>0</v>
      </c>
      <c r="Q4120" s="29" t="n">
        <v>0</v>
      </c>
      <c r="R4120" s="29" t="n">
        <v>0</v>
      </c>
      <c r="S4120" s="29" t="n">
        <v>0</v>
      </c>
      <c r="T4120" t="inlineStr">
        <is>
          <t>31260845731099000130570010000095501000095716</t>
        </is>
      </c>
      <c r="U4120" t="inlineStr">
        <is>
          <t>Sim</t>
        </is>
      </c>
    </row>
    <row r="4121">
      <c r="A4121" t="inlineStr">
        <is>
          <t>Frete de venda</t>
        </is>
      </c>
      <c r="B4121" t="inlineStr">
        <is>
          <t>2.01.02 Frete sobre Vendas</t>
        </is>
      </c>
      <c r="C4121" s="30" t="n">
        <v>46235</v>
      </c>
      <c r="D4121" t="inlineStr">
        <is>
          <t>Em 2026</t>
        </is>
      </c>
      <c r="E4121" s="28" t="n">
        <v>46240</v>
      </c>
      <c r="F4121" t="inlineStr">
        <is>
          <t>CT-e</t>
        </is>
      </c>
      <c r="G4121" t="inlineStr">
        <is>
          <t>000026501</t>
        </is>
      </c>
      <c r="H4121" t="inlineStr">
        <is>
          <t>DR CARGO TRANSPORTE DE CARGAS LTDA</t>
        </is>
      </c>
      <c r="J4121" s="29" t="n">
        <v>3777.05</v>
      </c>
      <c r="K4121" s="29">
        <f>(1-ISNUMBER(SEARCH("556",M4121)))*(O4121*SUMIFS(Premissas!$C$5:$C$44,Premissas!$A$5:$A$44,$A4121,Premissas!$B$5:$B$44,$B4121)+P4121*SUMIFS(Premissas!$D$5:$D$44,Premissas!$A$5:$A$44,$A4121,Premissas!$B$5:$B$44,$B4121))+R4121*SUMIFS(Premissas!$E$5:$E$44,Premissas!$A$5:$A$44,$A4121,Premissas!$B$5:$B$44,$B4121)+S4121*SUMIFS(Premissas!$F$5:$F$44,Premissas!$A$5:$A$44,$A4121,Premissas!$B$5:$B$44,$B4121)</f>
        <v/>
      </c>
      <c r="L4121" s="29">
        <f>J4121-K4121</f>
        <v/>
      </c>
      <c r="M4121" t="inlineStr">
        <is>
          <t>2.350</t>
        </is>
      </c>
      <c r="N4121" t="inlineStr">
        <is>
          <t>Modalidade: 0 - Por conta do remetente | Parte: F. R. B. ARAUJO LTDA (47.477.677/0001-89)</t>
        </is>
      </c>
      <c r="O4121" s="29" t="n">
        <v>0</v>
      </c>
      <c r="P4121" s="29" t="n">
        <v>453.25</v>
      </c>
      <c r="Q4121" s="29" t="n">
        <v>0</v>
      </c>
      <c r="R4121" s="29" t="n">
        <v>0</v>
      </c>
      <c r="S4121" s="29" t="n">
        <v>0</v>
      </c>
      <c r="T4121" t="inlineStr">
        <is>
          <t>25260843668289000396570010000265011000456793</t>
        </is>
      </c>
      <c r="U4121" t="inlineStr">
        <is>
          <t>Sim</t>
        </is>
      </c>
    </row>
    <row r="4122">
      <c r="A4122" t="inlineStr">
        <is>
          <t>Frete de venda</t>
        </is>
      </c>
      <c r="B4122" t="inlineStr">
        <is>
          <t>2.01.02 Frete sobre Vendas</t>
        </is>
      </c>
      <c r="C4122" s="30" t="n">
        <v>46235</v>
      </c>
      <c r="D4122" t="inlineStr">
        <is>
          <t>Em 2026</t>
        </is>
      </c>
      <c r="E4122" s="28" t="n">
        <v>46240</v>
      </c>
      <c r="F4122" t="inlineStr">
        <is>
          <t>CT-e</t>
        </is>
      </c>
      <c r="G4122" t="inlineStr">
        <is>
          <t>000026502</t>
        </is>
      </c>
      <c r="H4122" t="inlineStr">
        <is>
          <t>DR CARGO TRANSPORTE DE CARGAS LTDA</t>
        </is>
      </c>
      <c r="J4122" s="29" t="n">
        <v>1901.89</v>
      </c>
      <c r="K4122" s="29">
        <f>(1-ISNUMBER(SEARCH("556",M4122)))*(O4122*SUMIFS(Premissas!$C$5:$C$44,Premissas!$A$5:$A$44,$A4122,Premissas!$B$5:$B$44,$B4122)+P4122*SUMIFS(Premissas!$D$5:$D$44,Premissas!$A$5:$A$44,$A4122,Premissas!$B$5:$B$44,$B4122))+R4122*SUMIFS(Premissas!$E$5:$E$44,Premissas!$A$5:$A$44,$A4122,Premissas!$B$5:$B$44,$B4122)+S4122*SUMIFS(Premissas!$F$5:$F$44,Premissas!$A$5:$A$44,$A4122,Premissas!$B$5:$B$44,$B4122)</f>
        <v/>
      </c>
      <c r="L4122" s="29">
        <f>J4122-K4122</f>
        <v/>
      </c>
      <c r="M4122" t="inlineStr">
        <is>
          <t>2.350</t>
        </is>
      </c>
      <c r="N4122" t="inlineStr">
        <is>
          <t>Modalidade: 0 - Por conta do remetente | Parte: JND DISTRIBUIDORA LTDA (36.332.668/0001-83)</t>
        </is>
      </c>
      <c r="O4122" s="29" t="n">
        <v>0</v>
      </c>
      <c r="P4122" s="29" t="n">
        <v>228.23</v>
      </c>
      <c r="Q4122" s="29" t="n">
        <v>0</v>
      </c>
      <c r="R4122" s="29" t="n">
        <v>0</v>
      </c>
      <c r="S4122" s="29" t="n">
        <v>0</v>
      </c>
      <c r="T4122" t="inlineStr">
        <is>
          <t>25260843668289000396570010000265021000456804</t>
        </is>
      </c>
      <c r="U4122" t="inlineStr">
        <is>
          <t>Sim</t>
        </is>
      </c>
    </row>
    <row r="4123">
      <c r="A4123" t="inlineStr">
        <is>
          <t>Frete de venda</t>
        </is>
      </c>
      <c r="B4123" t="inlineStr">
        <is>
          <t>2.01.02 Frete sobre Vendas</t>
        </is>
      </c>
      <c r="C4123" s="30" t="n">
        <v>46235</v>
      </c>
      <c r="D4123" t="inlineStr">
        <is>
          <t>Em 2026</t>
        </is>
      </c>
      <c r="E4123" s="28" t="n">
        <v>46240</v>
      </c>
      <c r="F4123" t="inlineStr">
        <is>
          <t>CT-e</t>
        </is>
      </c>
      <c r="G4123" t="inlineStr">
        <is>
          <t>000026503</t>
        </is>
      </c>
      <c r="H4123" t="inlineStr">
        <is>
          <t>DR CARGO TRANSPORTE DE CARGAS LTDA</t>
        </is>
      </c>
      <c r="J4123" s="29" t="n">
        <v>903.97</v>
      </c>
      <c r="K4123" s="29">
        <f>(1-ISNUMBER(SEARCH("556",M4123)))*(O4123*SUMIFS(Premissas!$C$5:$C$44,Premissas!$A$5:$A$44,$A4123,Premissas!$B$5:$B$44,$B4123)+P4123*SUMIFS(Premissas!$D$5:$D$44,Premissas!$A$5:$A$44,$A4123,Premissas!$B$5:$B$44,$B4123))+R4123*SUMIFS(Premissas!$E$5:$E$44,Premissas!$A$5:$A$44,$A4123,Premissas!$B$5:$B$44,$B4123)+S4123*SUMIFS(Premissas!$F$5:$F$44,Premissas!$A$5:$A$44,$A4123,Premissas!$B$5:$B$44,$B4123)</f>
        <v/>
      </c>
      <c r="L4123" s="29">
        <f>J4123-K4123</f>
        <v/>
      </c>
      <c r="M4123" t="inlineStr">
        <is>
          <t>2.350</t>
        </is>
      </c>
      <c r="N4123" t="inlineStr">
        <is>
          <t>Modalidade: 0 - Por conta do remetente | Parte: ATACADAO BOLINHA LTDA (17.933.745/0001-06)</t>
        </is>
      </c>
      <c r="O4123" s="29" t="n">
        <v>0</v>
      </c>
      <c r="P4123" s="29" t="n">
        <v>108.48</v>
      </c>
      <c r="Q4123" s="29" t="n">
        <v>0</v>
      </c>
      <c r="R4123" s="29" t="n">
        <v>0</v>
      </c>
      <c r="S4123" s="29" t="n">
        <v>0</v>
      </c>
      <c r="T4123" t="inlineStr">
        <is>
          <t>25260843668289000396570010000265031000456810</t>
        </is>
      </c>
      <c r="U4123" t="inlineStr">
        <is>
          <t>Sim</t>
        </is>
      </c>
    </row>
    <row r="4124">
      <c r="A4124" t="inlineStr">
        <is>
          <t>Frete de venda</t>
        </is>
      </c>
      <c r="B4124" t="inlineStr">
        <is>
          <t>2.01.02 Frete sobre Vendas</t>
        </is>
      </c>
      <c r="C4124" s="30" t="n">
        <v>46235</v>
      </c>
      <c r="D4124" t="inlineStr">
        <is>
          <t>Em 2026</t>
        </is>
      </c>
      <c r="E4124" s="28" t="n">
        <v>46239</v>
      </c>
      <c r="F4124" t="inlineStr">
        <is>
          <t>CT-e</t>
        </is>
      </c>
      <c r="G4124" t="inlineStr">
        <is>
          <t>000000122</t>
        </is>
      </c>
      <c r="H4124" t="inlineStr">
        <is>
          <t>DURA MAIS TRANSPORTES LTDA</t>
        </is>
      </c>
      <c r="J4124" s="29" t="n">
        <v>14175</v>
      </c>
      <c r="K4124" s="29">
        <f>(1-ISNUMBER(SEARCH("556",M4124)))*(O4124*SUMIFS(Premissas!$C$5:$C$44,Premissas!$A$5:$A$44,$A4124,Premissas!$B$5:$B$44,$B4124)+P4124*SUMIFS(Premissas!$D$5:$D$44,Premissas!$A$5:$A$44,$A4124,Premissas!$B$5:$B$44,$B4124))+R4124*SUMIFS(Premissas!$E$5:$E$44,Premissas!$A$5:$A$44,$A4124,Premissas!$B$5:$B$44,$B4124)+S4124*SUMIFS(Premissas!$F$5:$F$44,Premissas!$A$5:$A$44,$A4124,Premissas!$B$5:$B$44,$B4124)</f>
        <v/>
      </c>
      <c r="L4124" s="29">
        <f>J4124-K4124</f>
        <v/>
      </c>
      <c r="M4124" t="inlineStr">
        <is>
          <t>1.350</t>
        </is>
      </c>
      <c r="N4124" t="inlineStr">
        <is>
          <t>Modalidade: 0 - Por conta do remetente | Parte: DISTRIPACK DISTRIBUIDORA DE EMBALAGENS LTDA (11.043.375/0003-17)</t>
        </is>
      </c>
      <c r="O4124" s="29" t="n">
        <v>0</v>
      </c>
      <c r="P4124" s="29" t="n">
        <v>1701</v>
      </c>
      <c r="Q4124" s="29" t="n">
        <v>0</v>
      </c>
      <c r="R4124" s="29" t="n">
        <v>0</v>
      </c>
      <c r="S4124" s="29" t="n">
        <v>0</v>
      </c>
      <c r="T4124" t="inlineStr">
        <is>
          <t>25260859256389000183570010000001221000170623</t>
        </is>
      </c>
      <c r="U4124" t="inlineStr">
        <is>
          <t>Não</t>
        </is>
      </c>
    </row>
    <row r="4125">
      <c r="A4125" t="inlineStr">
        <is>
          <t>Frete de venda</t>
        </is>
      </c>
      <c r="B4125" t="inlineStr">
        <is>
          <t>2.01.02 Frete sobre Vendas</t>
        </is>
      </c>
      <c r="C4125" s="30" t="n">
        <v>46235</v>
      </c>
      <c r="D4125" t="inlineStr">
        <is>
          <t>Em 2026</t>
        </is>
      </c>
      <c r="E4125" s="28" t="n">
        <v>46239</v>
      </c>
      <c r="F4125" t="inlineStr">
        <is>
          <t>CT-e</t>
        </is>
      </c>
      <c r="G4125" t="inlineStr">
        <is>
          <t>000000127</t>
        </is>
      </c>
      <c r="H4125" t="inlineStr">
        <is>
          <t>DURA MAIS TRANSPORTES LTDA</t>
        </is>
      </c>
      <c r="J4125" s="29" t="n">
        <v>1050</v>
      </c>
      <c r="K4125" s="29">
        <f>(1-ISNUMBER(SEARCH("556",M4125)))*(O4125*SUMIFS(Premissas!$C$5:$C$44,Premissas!$A$5:$A$44,$A4125,Premissas!$B$5:$B$44,$B4125)+P4125*SUMIFS(Premissas!$D$5:$D$44,Premissas!$A$5:$A$44,$A4125,Premissas!$B$5:$B$44,$B4125))+R4125*SUMIFS(Premissas!$E$5:$E$44,Premissas!$A$5:$A$44,$A4125,Premissas!$B$5:$B$44,$B4125)+S4125*SUMIFS(Premissas!$F$5:$F$44,Premissas!$A$5:$A$44,$A4125,Premissas!$B$5:$B$44,$B4125)</f>
        <v/>
      </c>
      <c r="L4125" s="29">
        <f>J4125-K4125</f>
        <v/>
      </c>
      <c r="M4125" t="inlineStr">
        <is>
          <t>1.350</t>
        </is>
      </c>
      <c r="N4125" t="inlineStr">
        <is>
          <t>Modalidade: 0 - Por conta do remetente | Parte: C G C EMBALAGENS E DOCES LTDA (42.010.355/0001-01)</t>
        </is>
      </c>
      <c r="O4125" s="29" t="n">
        <v>0</v>
      </c>
      <c r="P4125" s="29" t="n">
        <v>126</v>
      </c>
      <c r="Q4125" s="29" t="n">
        <v>0</v>
      </c>
      <c r="R4125" s="29" t="n">
        <v>0</v>
      </c>
      <c r="S4125" s="29" t="n">
        <v>0</v>
      </c>
      <c r="T4125" t="inlineStr">
        <is>
          <t>25260859256389000183570010000001271000101105</t>
        </is>
      </c>
      <c r="U4125" t="inlineStr">
        <is>
          <t>Não</t>
        </is>
      </c>
    </row>
    <row r="4126">
      <c r="A4126" t="inlineStr">
        <is>
          <t>Frete de venda</t>
        </is>
      </c>
      <c r="B4126" t="inlineStr">
        <is>
          <t>2.01.02 Frete sobre Vendas</t>
        </is>
      </c>
      <c r="C4126" s="30" t="n">
        <v>46235</v>
      </c>
      <c r="D4126" t="inlineStr">
        <is>
          <t>Em 2026</t>
        </is>
      </c>
      <c r="E4126" s="28" t="n">
        <v>46239</v>
      </c>
      <c r="F4126" t="inlineStr">
        <is>
          <t>CT-e</t>
        </is>
      </c>
      <c r="G4126" t="inlineStr">
        <is>
          <t>000000128</t>
        </is>
      </c>
      <c r="H4126" t="inlineStr">
        <is>
          <t>DURA MAIS TRANSPORTES LTDA</t>
        </is>
      </c>
      <c r="J4126" s="29" t="n">
        <v>1050</v>
      </c>
      <c r="K4126" s="29">
        <f>(1-ISNUMBER(SEARCH("556",M4126)))*(O4126*SUMIFS(Premissas!$C$5:$C$44,Premissas!$A$5:$A$44,$A4126,Premissas!$B$5:$B$44,$B4126)+P4126*SUMIFS(Premissas!$D$5:$D$44,Premissas!$A$5:$A$44,$A4126,Premissas!$B$5:$B$44,$B4126))+R4126*SUMIFS(Premissas!$E$5:$E$44,Premissas!$A$5:$A$44,$A4126,Premissas!$B$5:$B$44,$B4126)+S4126*SUMIFS(Premissas!$F$5:$F$44,Premissas!$A$5:$A$44,$A4126,Premissas!$B$5:$B$44,$B4126)</f>
        <v/>
      </c>
      <c r="L4126" s="29">
        <f>J4126-K4126</f>
        <v/>
      </c>
      <c r="M4126" t="inlineStr">
        <is>
          <t>1.350</t>
        </is>
      </c>
      <c r="N4126" t="inlineStr">
        <is>
          <t>Modalidade: 0 - Por conta do remetente | Parte: MARIA FESTEIRA COMERCIAL LTDA (00.074.604/0001-82)</t>
        </is>
      </c>
      <c r="O4126" s="29" t="n">
        <v>0</v>
      </c>
      <c r="P4126" s="29" t="n">
        <v>126</v>
      </c>
      <c r="Q4126" s="29" t="n">
        <v>0</v>
      </c>
      <c r="R4126" s="29" t="n">
        <v>0</v>
      </c>
      <c r="S4126" s="29" t="n">
        <v>0</v>
      </c>
      <c r="T4126" t="inlineStr">
        <is>
          <t>25260859256389000183570010000001281001801183</t>
        </is>
      </c>
      <c r="U4126" t="inlineStr">
        <is>
          <t>Não</t>
        </is>
      </c>
    </row>
    <row r="4127">
      <c r="A4127" t="inlineStr">
        <is>
          <t>Frete de venda</t>
        </is>
      </c>
      <c r="B4127" t="inlineStr">
        <is>
          <t>2.01.02 Frete sobre Vendas</t>
        </is>
      </c>
      <c r="C4127" s="30" t="n">
        <v>46235</v>
      </c>
      <c r="D4127" t="inlineStr">
        <is>
          <t>Em 2026</t>
        </is>
      </c>
      <c r="E4127" s="28" t="n">
        <v>46239</v>
      </c>
      <c r="F4127" t="inlineStr">
        <is>
          <t>CT-e</t>
        </is>
      </c>
      <c r="G4127" t="inlineStr">
        <is>
          <t>000000129</t>
        </is>
      </c>
      <c r="H4127" t="inlineStr">
        <is>
          <t>DURA MAIS TRANSPORTES LTDA</t>
        </is>
      </c>
      <c r="J4127" s="29" t="n">
        <v>525</v>
      </c>
      <c r="K4127" s="29">
        <f>(1-ISNUMBER(SEARCH("556",M4127)))*(O4127*SUMIFS(Premissas!$C$5:$C$44,Premissas!$A$5:$A$44,$A4127,Premissas!$B$5:$B$44,$B4127)+P4127*SUMIFS(Premissas!$D$5:$D$44,Premissas!$A$5:$A$44,$A4127,Premissas!$B$5:$B$44,$B4127))+R4127*SUMIFS(Premissas!$E$5:$E$44,Premissas!$A$5:$A$44,$A4127,Premissas!$B$5:$B$44,$B4127)+S4127*SUMIFS(Premissas!$F$5:$F$44,Premissas!$A$5:$A$44,$A4127,Premissas!$B$5:$B$44,$B4127)</f>
        <v/>
      </c>
      <c r="L4127" s="29">
        <f>J4127-K4127</f>
        <v/>
      </c>
      <c r="M4127" t="inlineStr">
        <is>
          <t>1.350</t>
        </is>
      </c>
      <c r="N4127" t="inlineStr">
        <is>
          <t>Modalidade: 0 - Por conta do remetente | Parte: W BRANDAO FREITAS LTDA (07.044.972/0001-27)</t>
        </is>
      </c>
      <c r="O4127" s="29" t="n">
        <v>0</v>
      </c>
      <c r="P4127" s="29" t="n">
        <v>63</v>
      </c>
      <c r="Q4127" s="29" t="n">
        <v>0</v>
      </c>
      <c r="R4127" s="29" t="n">
        <v>0</v>
      </c>
      <c r="S4127" s="29" t="n">
        <v>0</v>
      </c>
      <c r="T4127" t="inlineStr">
        <is>
          <t>25260859256389000183570010000001291001501268</t>
        </is>
      </c>
      <c r="U4127" t="inlineStr">
        <is>
          <t>Não</t>
        </is>
      </c>
    </row>
    <row r="4128">
      <c r="A4128" t="inlineStr">
        <is>
          <t>Frete de venda</t>
        </is>
      </c>
      <c r="B4128" t="inlineStr">
        <is>
          <t>2.01.02 Frete sobre Vendas</t>
        </is>
      </c>
      <c r="C4128" s="30" t="n">
        <v>46235</v>
      </c>
      <c r="D4128" t="inlineStr">
        <is>
          <t>Em 2026</t>
        </is>
      </c>
      <c r="E4128" s="28" t="n">
        <v>46239</v>
      </c>
      <c r="F4128" t="inlineStr">
        <is>
          <t>CT-e</t>
        </is>
      </c>
      <c r="G4128" t="inlineStr">
        <is>
          <t>000000130</t>
        </is>
      </c>
      <c r="H4128" t="inlineStr">
        <is>
          <t>DURA MAIS TRANSPORTES LTDA</t>
        </is>
      </c>
      <c r="J4128" s="29" t="n">
        <v>525</v>
      </c>
      <c r="K4128" s="29">
        <f>(1-ISNUMBER(SEARCH("556",M4128)))*(O4128*SUMIFS(Premissas!$C$5:$C$44,Premissas!$A$5:$A$44,$A4128,Premissas!$B$5:$B$44,$B4128)+P4128*SUMIFS(Premissas!$D$5:$D$44,Premissas!$A$5:$A$44,$A4128,Premissas!$B$5:$B$44,$B4128))+R4128*SUMIFS(Premissas!$E$5:$E$44,Premissas!$A$5:$A$44,$A4128,Premissas!$B$5:$B$44,$B4128)+S4128*SUMIFS(Premissas!$F$5:$F$44,Premissas!$A$5:$A$44,$A4128,Premissas!$B$5:$B$44,$B4128)</f>
        <v/>
      </c>
      <c r="L4128" s="29">
        <f>J4128-K4128</f>
        <v/>
      </c>
      <c r="M4128" t="inlineStr">
        <is>
          <t>1.350</t>
        </is>
      </c>
      <c r="N4128" t="inlineStr">
        <is>
          <t>Modalidade: 0 - Por conta do remetente | Parte: COMPORTO FESTAS E DESCARTAVEIS LTDA (23.110.575/0001-62)</t>
        </is>
      </c>
      <c r="O4128" s="29" t="n">
        <v>0</v>
      </c>
      <c r="P4128" s="29" t="n">
        <v>63</v>
      </c>
      <c r="Q4128" s="29" t="n">
        <v>0</v>
      </c>
      <c r="R4128" s="29" t="n">
        <v>0</v>
      </c>
      <c r="S4128" s="29" t="n">
        <v>0</v>
      </c>
      <c r="T4128" t="inlineStr">
        <is>
          <t>25260859256389000183570010000001301000160611</t>
        </is>
      </c>
      <c r="U4128" t="inlineStr">
        <is>
          <t>Não</t>
        </is>
      </c>
    </row>
    <row r="4129">
      <c r="A4129" t="inlineStr">
        <is>
          <t>Frete de venda</t>
        </is>
      </c>
      <c r="B4129" t="inlineStr">
        <is>
          <t>2.01.02 Frete sobre Vendas</t>
        </is>
      </c>
      <c r="C4129" s="30" t="n">
        <v>46235</v>
      </c>
      <c r="D4129" t="inlineStr">
        <is>
          <t>Em 2026</t>
        </is>
      </c>
      <c r="E4129" s="28" t="n">
        <v>46239</v>
      </c>
      <c r="F4129" t="inlineStr">
        <is>
          <t>CT-e</t>
        </is>
      </c>
      <c r="G4129" t="inlineStr">
        <is>
          <t>000000131</t>
        </is>
      </c>
      <c r="H4129" t="inlineStr">
        <is>
          <t>DURA MAIS TRANSPORTES LTDA</t>
        </is>
      </c>
      <c r="J4129" s="29" t="n">
        <v>1050</v>
      </c>
      <c r="K4129" s="29">
        <f>(1-ISNUMBER(SEARCH("556",M4129)))*(O4129*SUMIFS(Premissas!$C$5:$C$44,Premissas!$A$5:$A$44,$A4129,Premissas!$B$5:$B$44,$B4129)+P4129*SUMIFS(Premissas!$D$5:$D$44,Premissas!$A$5:$A$44,$A4129,Premissas!$B$5:$B$44,$B4129))+R4129*SUMIFS(Premissas!$E$5:$E$44,Premissas!$A$5:$A$44,$A4129,Premissas!$B$5:$B$44,$B4129)+S4129*SUMIFS(Premissas!$F$5:$F$44,Premissas!$A$5:$A$44,$A4129,Premissas!$B$5:$B$44,$B4129)</f>
        <v/>
      </c>
      <c r="L4129" s="29">
        <f>J4129-K4129</f>
        <v/>
      </c>
      <c r="M4129" t="inlineStr">
        <is>
          <t>1.350</t>
        </is>
      </c>
      <c r="N4129" t="inlineStr">
        <is>
          <t>Modalidade: 0 - Por conta do remetente | Parte: CASA DAS EMBALAGENS ARAGUARI LTDA (01.870.495/0001-72)</t>
        </is>
      </c>
      <c r="O4129" s="29" t="n">
        <v>0</v>
      </c>
      <c r="P4129" s="29" t="n">
        <v>126</v>
      </c>
      <c r="Q4129" s="29" t="n">
        <v>0</v>
      </c>
      <c r="R4129" s="29" t="n">
        <v>0</v>
      </c>
      <c r="S4129" s="29" t="n">
        <v>0</v>
      </c>
      <c r="T4129" t="inlineStr">
        <is>
          <t>25260859256389000183570010000001311000130698</t>
        </is>
      </c>
      <c r="U4129" t="inlineStr">
        <is>
          <t>Não</t>
        </is>
      </c>
    </row>
    <row r="4130">
      <c r="A4130" t="inlineStr">
        <is>
          <t>Frete de venda</t>
        </is>
      </c>
      <c r="B4130" t="inlineStr">
        <is>
          <t>2.01.02 Frete sobre Vendas</t>
        </is>
      </c>
      <c r="C4130" s="30" t="n">
        <v>46235</v>
      </c>
      <c r="D4130" t="inlineStr">
        <is>
          <t>Em 2026</t>
        </is>
      </c>
      <c r="E4130" s="28" t="n">
        <v>46239</v>
      </c>
      <c r="F4130" t="inlineStr">
        <is>
          <t>CT-e</t>
        </is>
      </c>
      <c r="G4130" t="inlineStr">
        <is>
          <t>000000132</t>
        </is>
      </c>
      <c r="H4130" t="inlineStr">
        <is>
          <t>DURA MAIS TRANSPORTES LTDA</t>
        </is>
      </c>
      <c r="J4130" s="29" t="n">
        <v>1050</v>
      </c>
      <c r="K4130" s="29">
        <f>(1-ISNUMBER(SEARCH("556",M4130)))*(O4130*SUMIFS(Premissas!$C$5:$C$44,Premissas!$A$5:$A$44,$A4130,Premissas!$B$5:$B$44,$B4130)+P4130*SUMIFS(Premissas!$D$5:$D$44,Premissas!$A$5:$A$44,$A4130,Premissas!$B$5:$B$44,$B4130))+R4130*SUMIFS(Premissas!$E$5:$E$44,Premissas!$A$5:$A$44,$A4130,Premissas!$B$5:$B$44,$B4130)+S4130*SUMIFS(Premissas!$F$5:$F$44,Premissas!$A$5:$A$44,$A4130,Premissas!$B$5:$B$44,$B4130)</f>
        <v/>
      </c>
      <c r="L4130" s="29">
        <f>J4130-K4130</f>
        <v/>
      </c>
      <c r="M4130" t="inlineStr">
        <is>
          <t>1.350</t>
        </is>
      </c>
      <c r="N4130" t="inlineStr">
        <is>
          <t>Modalidade: 0 - Por conta do remetente | Parte: SELLPACK DISTRIBUIDORA LTDA (07.747.107/0002-28)</t>
        </is>
      </c>
      <c r="O4130" s="29" t="n">
        <v>0</v>
      </c>
      <c r="P4130" s="29" t="n">
        <v>126</v>
      </c>
      <c r="Q4130" s="29" t="n">
        <v>0</v>
      </c>
      <c r="R4130" s="29" t="n">
        <v>0</v>
      </c>
      <c r="S4130" s="29" t="n">
        <v>0</v>
      </c>
      <c r="T4130" t="inlineStr">
        <is>
          <t>25260859256389000183570010000001321000010770</t>
        </is>
      </c>
      <c r="U4130" t="inlineStr">
        <is>
          <t>Não</t>
        </is>
      </c>
    </row>
    <row r="4131">
      <c r="A4131" t="inlineStr">
        <is>
          <t>Frete de venda</t>
        </is>
      </c>
      <c r="B4131" t="inlineStr">
        <is>
          <t>2.01.02 Frete sobre Vendas</t>
        </is>
      </c>
      <c r="C4131" s="30" t="n">
        <v>46235</v>
      </c>
      <c r="D4131" t="inlineStr">
        <is>
          <t>Em 2026</t>
        </is>
      </c>
      <c r="E4131" s="28" t="n">
        <v>46239</v>
      </c>
      <c r="F4131" t="inlineStr">
        <is>
          <t>CT-e</t>
        </is>
      </c>
      <c r="G4131" t="inlineStr">
        <is>
          <t>000000133</t>
        </is>
      </c>
      <c r="H4131" t="inlineStr">
        <is>
          <t>DURA MAIS TRANSPORTES LTDA</t>
        </is>
      </c>
      <c r="J4131" s="29" t="n">
        <v>1050</v>
      </c>
      <c r="K4131" s="29">
        <f>(1-ISNUMBER(SEARCH("556",M4131)))*(O4131*SUMIFS(Premissas!$C$5:$C$44,Premissas!$A$5:$A$44,$A4131,Premissas!$B$5:$B$44,$B4131)+P4131*SUMIFS(Premissas!$D$5:$D$44,Premissas!$A$5:$A$44,$A4131,Premissas!$B$5:$B$44,$B4131))+R4131*SUMIFS(Premissas!$E$5:$E$44,Premissas!$A$5:$A$44,$A4131,Premissas!$B$5:$B$44,$B4131)+S4131*SUMIFS(Premissas!$F$5:$F$44,Premissas!$A$5:$A$44,$A4131,Premissas!$B$5:$B$44,$B4131)</f>
        <v/>
      </c>
      <c r="L4131" s="29">
        <f>J4131-K4131</f>
        <v/>
      </c>
      <c r="M4131" t="inlineStr">
        <is>
          <t>1.350</t>
        </is>
      </c>
      <c r="N4131" t="inlineStr">
        <is>
          <t>Modalidade: 0 - Por conta do remetente | Parte: ITACOLOMY DISTRIBUIDORA DE EMBALAGENS E DOCES LTDA (31.655.351/0001-64)</t>
        </is>
      </c>
      <c r="O4131" s="29" t="n">
        <v>0</v>
      </c>
      <c r="P4131" s="29" t="n">
        <v>126</v>
      </c>
      <c r="Q4131" s="29" t="n">
        <v>0</v>
      </c>
      <c r="R4131" s="29" t="n">
        <v>0</v>
      </c>
      <c r="S4131" s="29" t="n">
        <v>0</v>
      </c>
      <c r="T4131" t="inlineStr">
        <is>
          <t>25260859256389000183570010000001331000180851</t>
        </is>
      </c>
      <c r="U4131" t="inlineStr">
        <is>
          <t>Não</t>
        </is>
      </c>
    </row>
    <row r="4132">
      <c r="A4132" t="inlineStr">
        <is>
          <t>Frete de venda</t>
        </is>
      </c>
      <c r="B4132" t="inlineStr">
        <is>
          <t>2.01.02 Frete sobre Vendas</t>
        </is>
      </c>
      <c r="C4132" s="30" t="n">
        <v>46235</v>
      </c>
      <c r="D4132" t="inlineStr">
        <is>
          <t>Em 2026</t>
        </is>
      </c>
      <c r="E4132" s="28" t="n">
        <v>46239</v>
      </c>
      <c r="F4132" t="inlineStr">
        <is>
          <t>CT-e</t>
        </is>
      </c>
      <c r="G4132" t="inlineStr">
        <is>
          <t>000000134</t>
        </is>
      </c>
      <c r="H4132" t="inlineStr">
        <is>
          <t>DURA MAIS TRANSPORTES LTDA</t>
        </is>
      </c>
      <c r="J4132" s="29" t="n">
        <v>1050</v>
      </c>
      <c r="K4132" s="29">
        <f>(1-ISNUMBER(SEARCH("556",M4132)))*(O4132*SUMIFS(Premissas!$C$5:$C$44,Premissas!$A$5:$A$44,$A4132,Premissas!$B$5:$B$44,$B4132)+P4132*SUMIFS(Premissas!$D$5:$D$44,Premissas!$A$5:$A$44,$A4132,Premissas!$B$5:$B$44,$B4132))+R4132*SUMIFS(Premissas!$E$5:$E$44,Premissas!$A$5:$A$44,$A4132,Premissas!$B$5:$B$44,$B4132)+S4132*SUMIFS(Premissas!$F$5:$F$44,Premissas!$A$5:$A$44,$A4132,Premissas!$B$5:$B$44,$B4132)</f>
        <v/>
      </c>
      <c r="L4132" s="29">
        <f>J4132-K4132</f>
        <v/>
      </c>
      <c r="M4132" t="inlineStr">
        <is>
          <t>1.350</t>
        </is>
      </c>
      <c r="N4132" t="inlineStr">
        <is>
          <t>Modalidade: 0 - Por conta do remetente | Parte: PLASTILANDIA LTDA (01.208.961/0001-59)</t>
        </is>
      </c>
      <c r="O4132" s="29" t="n">
        <v>0</v>
      </c>
      <c r="P4132" s="29" t="n">
        <v>126</v>
      </c>
      <c r="Q4132" s="29" t="n">
        <v>0</v>
      </c>
      <c r="R4132" s="29" t="n">
        <v>0</v>
      </c>
      <c r="S4132" s="29" t="n">
        <v>0</v>
      </c>
      <c r="T4132" t="inlineStr">
        <is>
          <t>25260859256389000183570010000001341000150933</t>
        </is>
      </c>
      <c r="U4132" t="inlineStr">
        <is>
          <t>Não</t>
        </is>
      </c>
    </row>
    <row r="4133">
      <c r="A4133" t="inlineStr">
        <is>
          <t>Frete de venda</t>
        </is>
      </c>
      <c r="B4133" t="inlineStr">
        <is>
          <t>2.01.02 Frete sobre Vendas</t>
        </is>
      </c>
      <c r="C4133" s="30" t="n">
        <v>46235</v>
      </c>
      <c r="D4133" t="inlineStr">
        <is>
          <t>Em 2026</t>
        </is>
      </c>
      <c r="E4133" s="28" t="n">
        <v>46239</v>
      </c>
      <c r="F4133" t="inlineStr">
        <is>
          <t>CT-e</t>
        </is>
      </c>
      <c r="G4133" t="inlineStr">
        <is>
          <t>000000135</t>
        </is>
      </c>
      <c r="H4133" t="inlineStr">
        <is>
          <t>DURA MAIS TRANSPORTES LTDA</t>
        </is>
      </c>
      <c r="J4133" s="29" t="n">
        <v>525</v>
      </c>
      <c r="K4133" s="29">
        <f>(1-ISNUMBER(SEARCH("556",M4133)))*(O4133*SUMIFS(Premissas!$C$5:$C$44,Premissas!$A$5:$A$44,$A4133,Premissas!$B$5:$B$44,$B4133)+P4133*SUMIFS(Premissas!$D$5:$D$44,Premissas!$A$5:$A$44,$A4133,Premissas!$B$5:$B$44,$B4133))+R4133*SUMIFS(Premissas!$E$5:$E$44,Premissas!$A$5:$A$44,$A4133,Premissas!$B$5:$B$44,$B4133)+S4133*SUMIFS(Premissas!$F$5:$F$44,Premissas!$A$5:$A$44,$A4133,Premissas!$B$5:$B$44,$B4133)</f>
        <v/>
      </c>
      <c r="L4133" s="29">
        <f>J4133-K4133</f>
        <v/>
      </c>
      <c r="M4133" t="inlineStr">
        <is>
          <t>1.350</t>
        </is>
      </c>
      <c r="N4133" t="inlineStr">
        <is>
          <t>Modalidade: 0 - Por conta do remetente | Parte: DISTRIBUIDORA DE EMBALAGENS SUACUI LTDA (10.560.122/0001-96)</t>
        </is>
      </c>
      <c r="O4133" s="29" t="n">
        <v>0</v>
      </c>
      <c r="P4133" s="29" t="n">
        <v>63</v>
      </c>
      <c r="Q4133" s="29" t="n">
        <v>0</v>
      </c>
      <c r="R4133" s="29" t="n">
        <v>0</v>
      </c>
      <c r="S4133" s="29" t="n">
        <v>0</v>
      </c>
      <c r="T4133" t="inlineStr">
        <is>
          <t>25260859256389000183570010000001351001201016</t>
        </is>
      </c>
      <c r="U4133" t="inlineStr">
        <is>
          <t>Não</t>
        </is>
      </c>
    </row>
    <row r="4134">
      <c r="A4134" t="inlineStr">
        <is>
          <t>Frete de venda</t>
        </is>
      </c>
      <c r="B4134" t="inlineStr">
        <is>
          <t>2.01.02 Frete sobre Vendas</t>
        </is>
      </c>
      <c r="C4134" s="30" t="n">
        <v>46235</v>
      </c>
      <c r="D4134" t="inlineStr">
        <is>
          <t>Em 2026</t>
        </is>
      </c>
      <c r="E4134" s="28" t="n">
        <v>46239</v>
      </c>
      <c r="F4134" t="inlineStr">
        <is>
          <t>CT-e</t>
        </is>
      </c>
      <c r="G4134" t="inlineStr">
        <is>
          <t>000000136</t>
        </is>
      </c>
      <c r="H4134" t="inlineStr">
        <is>
          <t>DURA MAIS TRANSPORTES LTDA</t>
        </is>
      </c>
      <c r="J4134" s="29" t="n">
        <v>525</v>
      </c>
      <c r="K4134" s="29">
        <f>(1-ISNUMBER(SEARCH("556",M4134)))*(O4134*SUMIFS(Premissas!$C$5:$C$44,Premissas!$A$5:$A$44,$A4134,Premissas!$B$5:$B$44,$B4134)+P4134*SUMIFS(Premissas!$D$5:$D$44,Premissas!$A$5:$A$44,$A4134,Premissas!$B$5:$B$44,$B4134))+R4134*SUMIFS(Premissas!$E$5:$E$44,Premissas!$A$5:$A$44,$A4134,Premissas!$B$5:$B$44,$B4134)+S4134*SUMIFS(Premissas!$F$5:$F$44,Premissas!$A$5:$A$44,$A4134,Premissas!$B$5:$B$44,$B4134)</f>
        <v/>
      </c>
      <c r="L4134" s="29">
        <f>J4134-K4134</f>
        <v/>
      </c>
      <c r="M4134" t="inlineStr">
        <is>
          <t>1.350</t>
        </is>
      </c>
      <c r="N4134" t="inlineStr">
        <is>
          <t>Modalidade: 0 - Por conta do remetente | Parte: CARAMEL ATACADISTA LTDA (28.501.301/0001-18)</t>
        </is>
      </c>
      <c r="O4134" s="29" t="n">
        <v>0</v>
      </c>
      <c r="P4134" s="29" t="n">
        <v>63</v>
      </c>
      <c r="Q4134" s="29" t="n">
        <v>0</v>
      </c>
      <c r="R4134" s="29" t="n">
        <v>0</v>
      </c>
      <c r="S4134" s="29" t="n">
        <v>0</v>
      </c>
      <c r="T4134" t="inlineStr">
        <is>
          <t>25260859256389000183570010000001361011001092</t>
        </is>
      </c>
      <c r="U4134" t="inlineStr">
        <is>
          <t>Não</t>
        </is>
      </c>
    </row>
    <row r="4135">
      <c r="A4135" t="inlineStr">
        <is>
          <t>Frete de venda</t>
        </is>
      </c>
      <c r="B4135" t="inlineStr">
        <is>
          <t>2.01.02 Frete sobre Vendas</t>
        </is>
      </c>
      <c r="C4135" s="30" t="n">
        <v>46235</v>
      </c>
      <c r="D4135" t="inlineStr">
        <is>
          <t>Em 2026</t>
        </is>
      </c>
      <c r="E4135" s="28" t="n">
        <v>46239</v>
      </c>
      <c r="F4135" t="inlineStr">
        <is>
          <t>CT-e</t>
        </is>
      </c>
      <c r="G4135" t="inlineStr">
        <is>
          <t>000000137</t>
        </is>
      </c>
      <c r="H4135" t="inlineStr">
        <is>
          <t>DURA MAIS TRANSPORTES LTDA</t>
        </is>
      </c>
      <c r="J4135" s="29" t="n">
        <v>525</v>
      </c>
      <c r="K4135" s="29">
        <f>(1-ISNUMBER(SEARCH("556",M4135)))*(O4135*SUMIFS(Premissas!$C$5:$C$44,Premissas!$A$5:$A$44,$A4135,Premissas!$B$5:$B$44,$B4135)+P4135*SUMIFS(Premissas!$D$5:$D$44,Premissas!$A$5:$A$44,$A4135,Premissas!$B$5:$B$44,$B4135))+R4135*SUMIFS(Premissas!$E$5:$E$44,Premissas!$A$5:$A$44,$A4135,Premissas!$B$5:$B$44,$B4135)+S4135*SUMIFS(Premissas!$F$5:$F$44,Premissas!$A$5:$A$44,$A4135,Premissas!$B$5:$B$44,$B4135)</f>
        <v/>
      </c>
      <c r="L4135" s="29">
        <f>J4135-K4135</f>
        <v/>
      </c>
      <c r="M4135" t="inlineStr">
        <is>
          <t>1.350</t>
        </is>
      </c>
      <c r="N4135" t="inlineStr">
        <is>
          <t>Modalidade: 0 - Por conta do remetente | Parte: JILO MAGAZINE LTDA (66.885.878/0001-60)</t>
        </is>
      </c>
      <c r="O4135" s="29" t="n">
        <v>0</v>
      </c>
      <c r="P4135" s="29" t="n">
        <v>63</v>
      </c>
      <c r="Q4135" s="29" t="n">
        <v>0</v>
      </c>
      <c r="R4135" s="29" t="n">
        <v>0</v>
      </c>
      <c r="S4135" s="29" t="n">
        <v>0</v>
      </c>
      <c r="T4135" t="inlineStr">
        <is>
          <t>25260859256389000183570010000001371001701170</t>
        </is>
      </c>
      <c r="U4135" t="inlineStr">
        <is>
          <t>Não</t>
        </is>
      </c>
    </row>
    <row r="4136">
      <c r="A4136" t="inlineStr">
        <is>
          <t>Frete de venda</t>
        </is>
      </c>
      <c r="B4136" t="inlineStr">
        <is>
          <t>2.01.02 Frete sobre Vendas</t>
        </is>
      </c>
      <c r="C4136" s="30" t="n">
        <v>46235</v>
      </c>
      <c r="D4136" t="inlineStr">
        <is>
          <t>Em 2026</t>
        </is>
      </c>
      <c r="E4136" s="28" t="n">
        <v>46239</v>
      </c>
      <c r="F4136" t="inlineStr">
        <is>
          <t>CT-e</t>
        </is>
      </c>
      <c r="G4136" t="inlineStr">
        <is>
          <t>000000138</t>
        </is>
      </c>
      <c r="H4136" t="inlineStr">
        <is>
          <t>DURA MAIS TRANSPORTES LTDA</t>
        </is>
      </c>
      <c r="J4136" s="29" t="n">
        <v>525</v>
      </c>
      <c r="K4136" s="29">
        <f>(1-ISNUMBER(SEARCH("556",M4136)))*(O4136*SUMIFS(Premissas!$C$5:$C$44,Premissas!$A$5:$A$44,$A4136,Premissas!$B$5:$B$44,$B4136)+P4136*SUMIFS(Premissas!$D$5:$D$44,Premissas!$A$5:$A$44,$A4136,Premissas!$B$5:$B$44,$B4136))+R4136*SUMIFS(Premissas!$E$5:$E$44,Premissas!$A$5:$A$44,$A4136,Premissas!$B$5:$B$44,$B4136)+S4136*SUMIFS(Premissas!$F$5:$F$44,Premissas!$A$5:$A$44,$A4136,Premissas!$B$5:$B$44,$B4136)</f>
        <v/>
      </c>
      <c r="L4136" s="29">
        <f>J4136-K4136</f>
        <v/>
      </c>
      <c r="M4136" t="inlineStr">
        <is>
          <t>1.350</t>
        </is>
      </c>
      <c r="N4136" t="inlineStr">
        <is>
          <t>Modalidade: 0 - Por conta do remetente | Parte: PADARIA E DISTRIBUIDORA CARAVELAS LTDA (08.056.022/0001-85)</t>
        </is>
      </c>
      <c r="O4136" s="29" t="n">
        <v>0</v>
      </c>
      <c r="P4136" s="29" t="n">
        <v>63</v>
      </c>
      <c r="Q4136" s="29" t="n">
        <v>0</v>
      </c>
      <c r="R4136" s="29" t="n">
        <v>0</v>
      </c>
      <c r="S4136" s="29" t="n">
        <v>0</v>
      </c>
      <c r="T4136" t="inlineStr">
        <is>
          <t>25260859256389000183570010000001381001401254</t>
        </is>
      </c>
      <c r="U4136" t="inlineStr">
        <is>
          <t>Não</t>
        </is>
      </c>
    </row>
    <row r="4137">
      <c r="A4137" t="inlineStr">
        <is>
          <t>Frete de venda</t>
        </is>
      </c>
      <c r="B4137" t="inlineStr">
        <is>
          <t>2.01.02 Frete sobre Vendas</t>
        </is>
      </c>
      <c r="C4137" s="30" t="n">
        <v>46235</v>
      </c>
      <c r="D4137" t="inlineStr">
        <is>
          <t>Em 2026</t>
        </is>
      </c>
      <c r="E4137" s="28" t="n">
        <v>46239</v>
      </c>
      <c r="F4137" t="inlineStr">
        <is>
          <t>CT-e</t>
        </is>
      </c>
      <c r="G4137" t="inlineStr">
        <is>
          <t>000000139</t>
        </is>
      </c>
      <c r="H4137" t="inlineStr">
        <is>
          <t>DURA MAIS TRANSPORTES LTDA</t>
        </is>
      </c>
      <c r="J4137" s="29" t="n">
        <v>525</v>
      </c>
      <c r="K4137" s="29">
        <f>(1-ISNUMBER(SEARCH("556",M4137)))*(O4137*SUMIFS(Premissas!$C$5:$C$44,Premissas!$A$5:$A$44,$A4137,Premissas!$B$5:$B$44,$B4137)+P4137*SUMIFS(Premissas!$D$5:$D$44,Premissas!$A$5:$A$44,$A4137,Premissas!$B$5:$B$44,$B4137))+R4137*SUMIFS(Premissas!$E$5:$E$44,Premissas!$A$5:$A$44,$A4137,Premissas!$B$5:$B$44,$B4137)+S4137*SUMIFS(Premissas!$F$5:$F$44,Premissas!$A$5:$A$44,$A4137,Premissas!$B$5:$B$44,$B4137)</f>
        <v/>
      </c>
      <c r="L4137" s="29">
        <f>J4137-K4137</f>
        <v/>
      </c>
      <c r="M4137" t="inlineStr">
        <is>
          <t>1.350</t>
        </is>
      </c>
      <c r="N4137" t="inlineStr">
        <is>
          <t>Modalidade: 0 - Por conta do remetente | Parte: COMERCIAL DE DOCES MATTOS LTDA (86.473.220/0003-10)</t>
        </is>
      </c>
      <c r="O4137" s="29" t="n">
        <v>0</v>
      </c>
      <c r="P4137" s="29" t="n">
        <v>63</v>
      </c>
      <c r="Q4137" s="29" t="n">
        <v>0</v>
      </c>
      <c r="R4137" s="29" t="n">
        <v>0</v>
      </c>
      <c r="S4137" s="29" t="n">
        <v>0</v>
      </c>
      <c r="T4137" t="inlineStr">
        <is>
          <t>25260859256389000183570010000001391001101339</t>
        </is>
      </c>
      <c r="U4137" t="inlineStr">
        <is>
          <t>Não</t>
        </is>
      </c>
    </row>
    <row r="4138">
      <c r="A4138" t="inlineStr">
        <is>
          <t>Frete de venda</t>
        </is>
      </c>
      <c r="B4138" t="inlineStr">
        <is>
          <t>2.01.02 Frete sobre Vendas</t>
        </is>
      </c>
      <c r="C4138" s="30" t="n">
        <v>46235</v>
      </c>
      <c r="D4138" t="inlineStr">
        <is>
          <t>Em 2026</t>
        </is>
      </c>
      <c r="E4138" s="28" t="n">
        <v>46239</v>
      </c>
      <c r="F4138" t="inlineStr">
        <is>
          <t>CT-e</t>
        </is>
      </c>
      <c r="G4138" t="inlineStr">
        <is>
          <t>000000140</t>
        </is>
      </c>
      <c r="H4138" t="inlineStr">
        <is>
          <t>DURA MAIS TRANSPORTES LTDA</t>
        </is>
      </c>
      <c r="J4138" s="29" t="n">
        <v>525</v>
      </c>
      <c r="K4138" s="29">
        <f>(1-ISNUMBER(SEARCH("556",M4138)))*(O4138*SUMIFS(Premissas!$C$5:$C$44,Premissas!$A$5:$A$44,$A4138,Premissas!$B$5:$B$44,$B4138)+P4138*SUMIFS(Premissas!$D$5:$D$44,Premissas!$A$5:$A$44,$A4138,Premissas!$B$5:$B$44,$B4138))+R4138*SUMIFS(Premissas!$E$5:$E$44,Premissas!$A$5:$A$44,$A4138,Premissas!$B$5:$B$44,$B4138)+S4138*SUMIFS(Premissas!$F$5:$F$44,Premissas!$A$5:$A$44,$A4138,Premissas!$B$5:$B$44,$B4138)</f>
        <v/>
      </c>
      <c r="L4138" s="29">
        <f>J4138-K4138</f>
        <v/>
      </c>
      <c r="M4138" t="inlineStr">
        <is>
          <t>1.350</t>
        </is>
      </c>
      <c r="N4138" t="inlineStr">
        <is>
          <t>Modalidade: 0 - Por conta do remetente | Parte: OPCAO DISTRIBUIDORA COMERCIAL LTDA (42.801.738/0001-06)</t>
        </is>
      </c>
      <c r="O4138" s="29" t="n">
        <v>0</v>
      </c>
      <c r="P4138" s="29" t="n">
        <v>63</v>
      </c>
      <c r="Q4138" s="29" t="n">
        <v>0</v>
      </c>
      <c r="R4138" s="29" t="n">
        <v>0</v>
      </c>
      <c r="S4138" s="29" t="n">
        <v>0</v>
      </c>
      <c r="T4138" t="inlineStr">
        <is>
          <t>25260859256389000183570010000001401000120683</t>
        </is>
      </c>
      <c r="U4138" t="inlineStr">
        <is>
          <t>Não</t>
        </is>
      </c>
    </row>
    <row r="4139">
      <c r="A4139" t="inlineStr">
        <is>
          <t>Frete de venda</t>
        </is>
      </c>
      <c r="B4139" t="inlineStr">
        <is>
          <t>2.01.02 Frete sobre Vendas</t>
        </is>
      </c>
      <c r="C4139" s="30" t="n">
        <v>46235</v>
      </c>
      <c r="D4139" t="inlineStr">
        <is>
          <t>Em 2026</t>
        </is>
      </c>
      <c r="E4139" s="28" t="n">
        <v>46239</v>
      </c>
      <c r="F4139" t="inlineStr">
        <is>
          <t>CT-e</t>
        </is>
      </c>
      <c r="G4139" t="inlineStr">
        <is>
          <t>000000141</t>
        </is>
      </c>
      <c r="H4139" t="inlineStr">
        <is>
          <t>DURA MAIS TRANSPORTES LTDA</t>
        </is>
      </c>
      <c r="J4139" s="29" t="n">
        <v>1050</v>
      </c>
      <c r="K4139" s="29">
        <f>(1-ISNUMBER(SEARCH("556",M4139)))*(O4139*SUMIFS(Premissas!$C$5:$C$44,Premissas!$A$5:$A$44,$A4139,Premissas!$B$5:$B$44,$B4139)+P4139*SUMIFS(Premissas!$D$5:$D$44,Premissas!$A$5:$A$44,$A4139,Premissas!$B$5:$B$44,$B4139))+R4139*SUMIFS(Premissas!$E$5:$E$44,Premissas!$A$5:$A$44,$A4139,Premissas!$B$5:$B$44,$B4139)+S4139*SUMIFS(Premissas!$F$5:$F$44,Premissas!$A$5:$A$44,$A4139,Premissas!$B$5:$B$44,$B4139)</f>
        <v/>
      </c>
      <c r="L4139" s="29">
        <f>J4139-K4139</f>
        <v/>
      </c>
      <c r="M4139" t="inlineStr">
        <is>
          <t>1.350</t>
        </is>
      </c>
      <c r="N4139" t="inlineStr">
        <is>
          <t>Modalidade: 0 - Por conta do remetente | Parte: CRISTO REI EMBALAGENS LTDA (24.977.786/0001-60)</t>
        </is>
      </c>
      <c r="O4139" s="29" t="n">
        <v>0</v>
      </c>
      <c r="P4139" s="29" t="n">
        <v>126</v>
      </c>
      <c r="Q4139" s="29" t="n">
        <v>0</v>
      </c>
      <c r="R4139" s="29" t="n">
        <v>0</v>
      </c>
      <c r="S4139" s="29" t="n">
        <v>0</v>
      </c>
      <c r="T4139" t="inlineStr">
        <is>
          <t>25260859256389000183570010000001411001100764</t>
        </is>
      </c>
      <c r="U4139" t="inlineStr">
        <is>
          <t>Não</t>
        </is>
      </c>
    </row>
    <row r="4140">
      <c r="A4140" t="inlineStr">
        <is>
          <t>Frete de venda</t>
        </is>
      </c>
      <c r="B4140" t="inlineStr">
        <is>
          <t>2.01.02 Frete sobre Vendas</t>
        </is>
      </c>
      <c r="C4140" s="30" t="n">
        <v>46235</v>
      </c>
      <c r="D4140" t="inlineStr">
        <is>
          <t>Em 2026</t>
        </is>
      </c>
      <c r="E4140" s="28" t="n">
        <v>46239</v>
      </c>
      <c r="F4140" t="inlineStr">
        <is>
          <t>CT-e</t>
        </is>
      </c>
      <c r="G4140" t="inlineStr">
        <is>
          <t>000000142</t>
        </is>
      </c>
      <c r="H4140" t="inlineStr">
        <is>
          <t>DURA MAIS TRANSPORTES LTDA</t>
        </is>
      </c>
      <c r="J4140" s="29" t="n">
        <v>525</v>
      </c>
      <c r="K4140" s="29">
        <f>(1-ISNUMBER(SEARCH("556",M4140)))*(O4140*SUMIFS(Premissas!$C$5:$C$44,Premissas!$A$5:$A$44,$A4140,Premissas!$B$5:$B$44,$B4140)+P4140*SUMIFS(Premissas!$D$5:$D$44,Premissas!$A$5:$A$44,$A4140,Premissas!$B$5:$B$44,$B4140))+R4140*SUMIFS(Premissas!$E$5:$E$44,Premissas!$A$5:$A$44,$A4140,Premissas!$B$5:$B$44,$B4140)+S4140*SUMIFS(Premissas!$F$5:$F$44,Premissas!$A$5:$A$44,$A4140,Premissas!$B$5:$B$44,$B4140)</f>
        <v/>
      </c>
      <c r="L4140" s="29">
        <f>J4140-K4140</f>
        <v/>
      </c>
      <c r="M4140" t="inlineStr">
        <is>
          <t>1.350</t>
        </is>
      </c>
      <c r="N4140" t="inlineStr">
        <is>
          <t>Modalidade: 0 - Por conta do remetente | Parte: JOMIG LTDA (19.991.629/0001-79)</t>
        </is>
      </c>
      <c r="O4140" s="29" t="n">
        <v>0</v>
      </c>
      <c r="P4140" s="29" t="n">
        <v>63</v>
      </c>
      <c r="Q4140" s="29" t="n">
        <v>0</v>
      </c>
      <c r="R4140" s="29" t="n">
        <v>0</v>
      </c>
      <c r="S4140" s="29" t="n">
        <v>0</v>
      </c>
      <c r="T4140" t="inlineStr">
        <is>
          <t>25260859256389000183570010000001421000170847</t>
        </is>
      </c>
      <c r="U4140" t="inlineStr">
        <is>
          <t>Não</t>
        </is>
      </c>
    </row>
    <row r="4141">
      <c r="A4141" t="inlineStr">
        <is>
          <t>Frete de venda</t>
        </is>
      </c>
      <c r="B4141" t="inlineStr">
        <is>
          <t>2.01.02 Frete sobre Vendas</t>
        </is>
      </c>
      <c r="C4141" s="30" t="n">
        <v>46235</v>
      </c>
      <c r="D4141" t="inlineStr">
        <is>
          <t>Em 2026</t>
        </is>
      </c>
      <c r="E4141" s="28" t="n">
        <v>46239</v>
      </c>
      <c r="F4141" t="inlineStr">
        <is>
          <t>CT-e</t>
        </is>
      </c>
      <c r="G4141" t="inlineStr">
        <is>
          <t>000000143</t>
        </is>
      </c>
      <c r="H4141" t="inlineStr">
        <is>
          <t>DURA MAIS TRANSPORTES LTDA</t>
        </is>
      </c>
      <c r="J4141" s="29" t="n">
        <v>525</v>
      </c>
      <c r="K4141" s="29">
        <f>(1-ISNUMBER(SEARCH("556",M4141)))*(O4141*SUMIFS(Premissas!$C$5:$C$44,Premissas!$A$5:$A$44,$A4141,Premissas!$B$5:$B$44,$B4141)+P4141*SUMIFS(Premissas!$D$5:$D$44,Premissas!$A$5:$A$44,$A4141,Premissas!$B$5:$B$44,$B4141))+R4141*SUMIFS(Premissas!$E$5:$E$44,Premissas!$A$5:$A$44,$A4141,Premissas!$B$5:$B$44,$B4141)+S4141*SUMIFS(Premissas!$F$5:$F$44,Premissas!$A$5:$A$44,$A4141,Premissas!$B$5:$B$44,$B4141)</f>
        <v/>
      </c>
      <c r="L4141" s="29">
        <f>J4141-K4141</f>
        <v/>
      </c>
      <c r="M4141" t="inlineStr">
        <is>
          <t>1.350</t>
        </is>
      </c>
      <c r="N4141" t="inlineStr">
        <is>
          <t>Modalidade: 0 - Por conta do remetente | Parte: PADARIA DELICIA PREMIUM LTDA (57.725.054/0001-31)</t>
        </is>
      </c>
      <c r="O4141" s="29" t="n">
        <v>0</v>
      </c>
      <c r="P4141" s="29" t="n">
        <v>63</v>
      </c>
      <c r="Q4141" s="29" t="n">
        <v>0</v>
      </c>
      <c r="R4141" s="29" t="n">
        <v>0</v>
      </c>
      <c r="S4141" s="29" t="n">
        <v>0</v>
      </c>
      <c r="T4141" t="inlineStr">
        <is>
          <t>25260859256389000183570010000001431000140929</t>
        </is>
      </c>
      <c r="U4141" t="inlineStr">
        <is>
          <t>Não</t>
        </is>
      </c>
    </row>
    <row r="4142">
      <c r="A4142" t="inlineStr">
        <is>
          <t>Frete de venda</t>
        </is>
      </c>
      <c r="B4142" t="inlineStr">
        <is>
          <t>2.01.02 Frete sobre Vendas</t>
        </is>
      </c>
      <c r="C4142" s="30" t="n">
        <v>46235</v>
      </c>
      <c r="D4142" t="inlineStr">
        <is>
          <t>Em 2026</t>
        </is>
      </c>
      <c r="E4142" s="28" t="n">
        <v>46239</v>
      </c>
      <c r="F4142" t="inlineStr">
        <is>
          <t>CT-e</t>
        </is>
      </c>
      <c r="G4142" t="inlineStr">
        <is>
          <t>000000144</t>
        </is>
      </c>
      <c r="H4142" t="inlineStr">
        <is>
          <t>DURA MAIS TRANSPORTES LTDA</t>
        </is>
      </c>
      <c r="J4142" s="29" t="n">
        <v>1050</v>
      </c>
      <c r="K4142" s="29">
        <f>(1-ISNUMBER(SEARCH("556",M4142)))*(O4142*SUMIFS(Premissas!$C$5:$C$44,Premissas!$A$5:$A$44,$A4142,Premissas!$B$5:$B$44,$B4142)+P4142*SUMIFS(Premissas!$D$5:$D$44,Premissas!$A$5:$A$44,$A4142,Premissas!$B$5:$B$44,$B4142))+R4142*SUMIFS(Premissas!$E$5:$E$44,Premissas!$A$5:$A$44,$A4142,Premissas!$B$5:$B$44,$B4142)+S4142*SUMIFS(Premissas!$F$5:$F$44,Premissas!$A$5:$A$44,$A4142,Premissas!$B$5:$B$44,$B4142)</f>
        <v/>
      </c>
      <c r="L4142" s="29">
        <f>J4142-K4142</f>
        <v/>
      </c>
      <c r="M4142" t="inlineStr">
        <is>
          <t>1.350</t>
        </is>
      </c>
      <c r="N4142" t="inlineStr">
        <is>
          <t>Modalidade: 0 - Por conta do remetente | Parte: COMERCIAL SO FESTAS E EMBALAGENS LTDA (31.671.298/0001-95)</t>
        </is>
      </c>
      <c r="O4142" s="29" t="n">
        <v>0</v>
      </c>
      <c r="P4142" s="29" t="n">
        <v>126</v>
      </c>
      <c r="Q4142" s="29" t="n">
        <v>0</v>
      </c>
      <c r="R4142" s="29" t="n">
        <v>0</v>
      </c>
      <c r="S4142" s="29" t="n">
        <v>0</v>
      </c>
      <c r="T4142" t="inlineStr">
        <is>
          <t>25260859256389000183570010000001441001101002</t>
        </is>
      </c>
      <c r="U4142" t="inlineStr">
        <is>
          <t>Não</t>
        </is>
      </c>
    </row>
    <row r="4143">
      <c r="A4143" t="inlineStr">
        <is>
          <t>Frete de venda</t>
        </is>
      </c>
      <c r="B4143" t="inlineStr">
        <is>
          <t>2.01.02 Frete sobre Vendas</t>
        </is>
      </c>
      <c r="C4143" s="30" t="n">
        <v>46235</v>
      </c>
      <c r="D4143" t="inlineStr">
        <is>
          <t>Em 2026</t>
        </is>
      </c>
      <c r="E4143" s="28" t="n">
        <v>46240</v>
      </c>
      <c r="F4143" t="inlineStr">
        <is>
          <t>CT-e</t>
        </is>
      </c>
      <c r="G4143" t="inlineStr">
        <is>
          <t>000000147</t>
        </is>
      </c>
      <c r="H4143" t="inlineStr">
        <is>
          <t>DURA MAIS TRANSPORTES LTDA</t>
        </is>
      </c>
      <c r="J4143" s="29" t="n">
        <v>525</v>
      </c>
      <c r="K4143" s="29">
        <f>(1-ISNUMBER(SEARCH("556",M4143)))*(O4143*SUMIFS(Premissas!$C$5:$C$44,Premissas!$A$5:$A$44,$A4143,Premissas!$B$5:$B$44,$B4143)+P4143*SUMIFS(Premissas!$D$5:$D$44,Premissas!$A$5:$A$44,$A4143,Premissas!$B$5:$B$44,$B4143))+R4143*SUMIFS(Premissas!$E$5:$E$44,Premissas!$A$5:$A$44,$A4143,Premissas!$B$5:$B$44,$B4143)+S4143*SUMIFS(Premissas!$F$5:$F$44,Premissas!$A$5:$A$44,$A4143,Premissas!$B$5:$B$44,$B4143)</f>
        <v/>
      </c>
      <c r="L4143" s="29">
        <f>J4143-K4143</f>
        <v/>
      </c>
      <c r="M4143" t="inlineStr">
        <is>
          <t>1.350</t>
        </is>
      </c>
      <c r="N4143" t="inlineStr">
        <is>
          <t>Modalidade: 0 - Por conta do remetente | Parte: COMERCIAL DE DOCES MATTOS LTDA (86.473.220/0003-10)</t>
        </is>
      </c>
      <c r="O4143" s="29" t="n">
        <v>0</v>
      </c>
      <c r="P4143" s="29" t="n">
        <v>63</v>
      </c>
      <c r="Q4143" s="29" t="n">
        <v>0</v>
      </c>
      <c r="R4143" s="29" t="n">
        <v>0</v>
      </c>
      <c r="S4143" s="29" t="n">
        <v>0</v>
      </c>
      <c r="T4143" t="inlineStr">
        <is>
          <t>25260859256389000183570010000001471000101329</t>
        </is>
      </c>
      <c r="U4143" t="inlineStr">
        <is>
          <t>Não</t>
        </is>
      </c>
    </row>
    <row r="4144">
      <c r="A4144" t="inlineStr">
        <is>
          <t>Frete de venda</t>
        </is>
      </c>
      <c r="B4144" t="inlineStr">
        <is>
          <t>2.01.02 Frete sobre Vendas</t>
        </is>
      </c>
      <c r="C4144" s="30" t="n">
        <v>46235</v>
      </c>
      <c r="D4144" t="inlineStr">
        <is>
          <t>Em 2026</t>
        </is>
      </c>
      <c r="E4144" s="28" t="n">
        <v>46240</v>
      </c>
      <c r="F4144" t="inlineStr">
        <is>
          <t>CT-e</t>
        </is>
      </c>
      <c r="G4144" t="inlineStr">
        <is>
          <t>000000150</t>
        </is>
      </c>
      <c r="H4144" t="inlineStr">
        <is>
          <t>DURA MAIS TRANSPORTES LTDA</t>
        </is>
      </c>
      <c r="J4144" s="29" t="n">
        <v>4725</v>
      </c>
      <c r="K4144" s="29">
        <f>(1-ISNUMBER(SEARCH("556",M4144)))*(O4144*SUMIFS(Premissas!$C$5:$C$44,Premissas!$A$5:$A$44,$A4144,Premissas!$B$5:$B$44,$B4144)+P4144*SUMIFS(Premissas!$D$5:$D$44,Premissas!$A$5:$A$44,$A4144,Premissas!$B$5:$B$44,$B4144))+R4144*SUMIFS(Premissas!$E$5:$E$44,Premissas!$A$5:$A$44,$A4144,Premissas!$B$5:$B$44,$B4144)+S4144*SUMIFS(Premissas!$F$5:$F$44,Premissas!$A$5:$A$44,$A4144,Premissas!$B$5:$B$44,$B4144)</f>
        <v/>
      </c>
      <c r="L4144" s="29">
        <f>J4144-K4144</f>
        <v/>
      </c>
      <c r="M4144" t="inlineStr">
        <is>
          <t>1.350</t>
        </is>
      </c>
      <c r="N4144" t="inlineStr">
        <is>
          <t>Modalidade: 0 - Por conta do remetente | Parte: SIMAO DISTRIBUIDORA DE PRODUTOS ALIMENTICIOS E EMBALAGENS LT (60.491.308/0001-09)</t>
        </is>
      </c>
      <c r="O4144" s="29" t="n">
        <v>0</v>
      </c>
      <c r="P4144" s="29" t="n">
        <v>567</v>
      </c>
      <c r="Q4144" s="29" t="n">
        <v>0</v>
      </c>
      <c r="R4144" s="29" t="n">
        <v>0</v>
      </c>
      <c r="S4144" s="29" t="n">
        <v>0</v>
      </c>
      <c r="T4144" t="inlineStr">
        <is>
          <t>25260859256389000183570010000001501000130910</t>
        </is>
      </c>
      <c r="U4144" t="inlineStr">
        <is>
          <t>Sim</t>
        </is>
      </c>
    </row>
    <row r="4145">
      <c r="A4145" t="inlineStr">
        <is>
          <t>Frete de venda</t>
        </is>
      </c>
      <c r="B4145" t="inlineStr">
        <is>
          <t>2.01.02 Frete sobre Vendas</t>
        </is>
      </c>
      <c r="C4145" s="30" t="n">
        <v>46235</v>
      </c>
      <c r="D4145" t="inlineStr">
        <is>
          <t>Em 2026</t>
        </is>
      </c>
      <c r="E4145" s="28" t="n">
        <v>46240</v>
      </c>
      <c r="F4145" t="inlineStr">
        <is>
          <t>CT-e</t>
        </is>
      </c>
      <c r="G4145" t="inlineStr">
        <is>
          <t>000000151</t>
        </is>
      </c>
      <c r="H4145" t="inlineStr">
        <is>
          <t>DURA MAIS TRANSPORTES LTDA</t>
        </is>
      </c>
      <c r="J4145" s="29" t="n">
        <v>4725</v>
      </c>
      <c r="K4145" s="29">
        <f>(1-ISNUMBER(SEARCH("556",M4145)))*(O4145*SUMIFS(Premissas!$C$5:$C$44,Premissas!$A$5:$A$44,$A4145,Premissas!$B$5:$B$44,$B4145)+P4145*SUMIFS(Premissas!$D$5:$D$44,Premissas!$A$5:$A$44,$A4145,Premissas!$B$5:$B$44,$B4145))+R4145*SUMIFS(Premissas!$E$5:$E$44,Premissas!$A$5:$A$44,$A4145,Premissas!$B$5:$B$44,$B4145)+S4145*SUMIFS(Premissas!$F$5:$F$44,Premissas!$A$5:$A$44,$A4145,Premissas!$B$5:$B$44,$B4145)</f>
        <v/>
      </c>
      <c r="L4145" s="29">
        <f>J4145-K4145</f>
        <v/>
      </c>
      <c r="M4145" t="inlineStr">
        <is>
          <t>1.350</t>
        </is>
      </c>
      <c r="N4145" t="inlineStr">
        <is>
          <t>Modalidade: 0 - Por conta do remetente | Parte: A M E DISTRIBUIDORA DE EMBALAGENS PRODUTOS PARA CONFEITAR (19.310.817/0001-94)</t>
        </is>
      </c>
      <c r="O4145" s="29" t="n">
        <v>0</v>
      </c>
      <c r="P4145" s="29" t="n">
        <v>567</v>
      </c>
      <c r="Q4145" s="29" t="n">
        <v>0</v>
      </c>
      <c r="R4145" s="29" t="n">
        <v>0</v>
      </c>
      <c r="S4145" s="29" t="n">
        <v>0</v>
      </c>
      <c r="T4145" t="inlineStr">
        <is>
          <t>25260859256389000183570010000001511000010997</t>
        </is>
      </c>
      <c r="U4145" t="inlineStr">
        <is>
          <t>Sim</t>
        </is>
      </c>
    </row>
    <row r="4146">
      <c r="A4146" t="inlineStr">
        <is>
          <t>Frete de venda</t>
        </is>
      </c>
      <c r="B4146" t="inlineStr">
        <is>
          <t>2.01.02 Frete sobre Vendas</t>
        </is>
      </c>
      <c r="C4146" s="30" t="n">
        <v>46235</v>
      </c>
      <c r="D4146" t="inlineStr">
        <is>
          <t>Em 2026</t>
        </is>
      </c>
      <c r="E4146" s="28" t="n">
        <v>46240</v>
      </c>
      <c r="F4146" t="inlineStr">
        <is>
          <t>CT-e</t>
        </is>
      </c>
      <c r="G4146" t="inlineStr">
        <is>
          <t>000000152</t>
        </is>
      </c>
      <c r="H4146" t="inlineStr">
        <is>
          <t>DURA MAIS TRANSPORTES LTDA</t>
        </is>
      </c>
      <c r="J4146" s="29" t="n">
        <v>4725</v>
      </c>
      <c r="K4146" s="29">
        <f>(1-ISNUMBER(SEARCH("556",M4146)))*(O4146*SUMIFS(Premissas!$C$5:$C$44,Premissas!$A$5:$A$44,$A4146,Premissas!$B$5:$B$44,$B4146)+P4146*SUMIFS(Premissas!$D$5:$D$44,Premissas!$A$5:$A$44,$A4146,Premissas!$B$5:$B$44,$B4146))+R4146*SUMIFS(Premissas!$E$5:$E$44,Premissas!$A$5:$A$44,$A4146,Premissas!$B$5:$B$44,$B4146)+S4146*SUMIFS(Premissas!$F$5:$F$44,Premissas!$A$5:$A$44,$A4146,Premissas!$B$5:$B$44,$B4146)</f>
        <v/>
      </c>
      <c r="L4146" s="29">
        <f>J4146-K4146</f>
        <v/>
      </c>
      <c r="M4146" t="inlineStr">
        <is>
          <t>1.350</t>
        </is>
      </c>
      <c r="N4146" t="inlineStr">
        <is>
          <t>Modalidade: 0 - Por conta do remetente | Parte: EMBALAGENS PARREIRA LTDA (24.780.871/0001-33)</t>
        </is>
      </c>
      <c r="O4146" s="29" t="n">
        <v>0</v>
      </c>
      <c r="P4146" s="29" t="n">
        <v>567</v>
      </c>
      <c r="Q4146" s="29" t="n">
        <v>0</v>
      </c>
      <c r="R4146" s="29" t="n">
        <v>0</v>
      </c>
      <c r="S4146" s="29" t="n">
        <v>0</v>
      </c>
      <c r="T4146" t="inlineStr">
        <is>
          <t>25260859256389000183570010000001521001801073</t>
        </is>
      </c>
      <c r="U4146" t="inlineStr">
        <is>
          <t>Sim</t>
        </is>
      </c>
    </row>
    <row r="4147">
      <c r="A4147" t="inlineStr">
        <is>
          <t>Frete de venda</t>
        </is>
      </c>
      <c r="B4147" t="inlineStr">
        <is>
          <t>2.01.02 Frete sobre Vendas</t>
        </is>
      </c>
      <c r="C4147" s="30" t="n">
        <v>46235</v>
      </c>
      <c r="D4147" t="inlineStr">
        <is>
          <t>Em 2026</t>
        </is>
      </c>
      <c r="E4147" s="28" t="n">
        <v>46245</v>
      </c>
      <c r="F4147" t="inlineStr">
        <is>
          <t>CT-e</t>
        </is>
      </c>
      <c r="G4147" t="inlineStr">
        <is>
          <t>000000164</t>
        </is>
      </c>
      <c r="H4147" t="inlineStr">
        <is>
          <t>DURA MAIS TRANSPORTES LTDA</t>
        </is>
      </c>
      <c r="J4147" s="29" t="n">
        <v>5000</v>
      </c>
      <c r="K4147" s="29">
        <f>(1-ISNUMBER(SEARCH("556",M4147)))*(O4147*SUMIFS(Premissas!$C$5:$C$44,Premissas!$A$5:$A$44,$A4147,Premissas!$B$5:$B$44,$B4147)+P4147*SUMIFS(Premissas!$D$5:$D$44,Premissas!$A$5:$A$44,$A4147,Premissas!$B$5:$B$44,$B4147))+R4147*SUMIFS(Premissas!$E$5:$E$44,Premissas!$A$5:$A$44,$A4147,Premissas!$B$5:$B$44,$B4147)+S4147*SUMIFS(Premissas!$F$5:$F$44,Premissas!$A$5:$A$44,$A4147,Premissas!$B$5:$B$44,$B4147)</f>
        <v/>
      </c>
      <c r="L4147" s="29">
        <f>J4147-K4147</f>
        <v/>
      </c>
      <c r="M4147" t="inlineStr">
        <is>
          <t>2.350</t>
        </is>
      </c>
      <c r="N4147" t="inlineStr">
        <is>
          <t>Modalidade: 0 - Por conta do remetente | Parte: IBIAPINA VARIEDADES LTDA (46.211.356/0001-75)</t>
        </is>
      </c>
      <c r="O4147" s="29" t="n">
        <v>0</v>
      </c>
      <c r="P4147" s="29" t="n">
        <v>600</v>
      </c>
      <c r="Q4147" s="29" t="n">
        <v>0</v>
      </c>
      <c r="R4147" s="29" t="n">
        <v>0</v>
      </c>
      <c r="S4147" s="29" t="n">
        <v>0</v>
      </c>
      <c r="T4147" t="inlineStr">
        <is>
          <t>25260859256389000183570010000001641001601385</t>
        </is>
      </c>
      <c r="U4147" t="inlineStr">
        <is>
          <t>Sim</t>
        </is>
      </c>
    </row>
    <row r="4148">
      <c r="A4148" t="inlineStr">
        <is>
          <t>Frete de venda</t>
        </is>
      </c>
      <c r="B4148" t="inlineStr">
        <is>
          <t>2.01.02 Frete sobre Vendas</t>
        </is>
      </c>
      <c r="C4148" s="30" t="n">
        <v>46235</v>
      </c>
      <c r="D4148" t="inlineStr">
        <is>
          <t>Em 2026</t>
        </is>
      </c>
      <c r="E4148" s="28" t="n">
        <v>46245</v>
      </c>
      <c r="F4148" t="inlineStr">
        <is>
          <t>CT-e</t>
        </is>
      </c>
      <c r="G4148" t="inlineStr">
        <is>
          <t>000000165</t>
        </is>
      </c>
      <c r="H4148" t="inlineStr">
        <is>
          <t>DURA MAIS TRANSPORTES LTDA</t>
        </is>
      </c>
      <c r="J4148" s="29" t="n">
        <v>4000</v>
      </c>
      <c r="K4148" s="29">
        <f>(1-ISNUMBER(SEARCH("556",M4148)))*(O4148*SUMIFS(Premissas!$C$5:$C$44,Premissas!$A$5:$A$44,$A4148,Premissas!$B$5:$B$44,$B4148)+P4148*SUMIFS(Premissas!$D$5:$D$44,Premissas!$A$5:$A$44,$A4148,Premissas!$B$5:$B$44,$B4148))+R4148*SUMIFS(Premissas!$E$5:$E$44,Premissas!$A$5:$A$44,$A4148,Premissas!$B$5:$B$44,$B4148)+S4148*SUMIFS(Premissas!$F$5:$F$44,Premissas!$A$5:$A$44,$A4148,Premissas!$B$5:$B$44,$B4148)</f>
        <v/>
      </c>
      <c r="L4148" s="29">
        <f>J4148-K4148</f>
        <v/>
      </c>
      <c r="M4148" t="inlineStr">
        <is>
          <t>2.350</t>
        </is>
      </c>
      <c r="N4148" t="inlineStr">
        <is>
          <t>Modalidade: 0 - Por conta do remetente | Parte: JAMES L. H. TOME e CIA LTDA (16.965.024/0011-97)</t>
        </is>
      </c>
      <c r="O4148" s="29" t="n">
        <v>0</v>
      </c>
      <c r="P4148" s="29" t="n">
        <v>480</v>
      </c>
      <c r="Q4148" s="29" t="n">
        <v>0</v>
      </c>
      <c r="R4148" s="29" t="n">
        <v>0</v>
      </c>
      <c r="S4148" s="29" t="n">
        <v>0</v>
      </c>
      <c r="T4148" t="inlineStr">
        <is>
          <t>25260859256389000183570010000001651001301460</t>
        </is>
      </c>
      <c r="U4148" t="inlineStr">
        <is>
          <t>Sim</t>
        </is>
      </c>
    </row>
    <row r="4149">
      <c r="A4149" t="inlineStr">
        <is>
          <t>Frete de venda</t>
        </is>
      </c>
      <c r="B4149" t="inlineStr">
        <is>
          <t>2.01.02 Frete sobre Vendas</t>
        </is>
      </c>
      <c r="C4149" s="30" t="n">
        <v>46235</v>
      </c>
      <c r="D4149" t="inlineStr">
        <is>
          <t>Em 2026</t>
        </is>
      </c>
      <c r="E4149" s="28" t="n">
        <v>46245</v>
      </c>
      <c r="F4149" t="inlineStr">
        <is>
          <t>CT-e</t>
        </is>
      </c>
      <c r="G4149" t="inlineStr">
        <is>
          <t>000000166</t>
        </is>
      </c>
      <c r="H4149" t="inlineStr">
        <is>
          <t>DURA MAIS TRANSPORTES LTDA</t>
        </is>
      </c>
      <c r="J4149" s="29" t="n">
        <v>4000</v>
      </c>
      <c r="K4149" s="29">
        <f>(1-ISNUMBER(SEARCH("556",M4149)))*(O4149*SUMIFS(Premissas!$C$5:$C$44,Premissas!$A$5:$A$44,$A4149,Premissas!$B$5:$B$44,$B4149)+P4149*SUMIFS(Premissas!$D$5:$D$44,Premissas!$A$5:$A$44,$A4149,Premissas!$B$5:$B$44,$B4149))+R4149*SUMIFS(Premissas!$E$5:$E$44,Premissas!$A$5:$A$44,$A4149,Premissas!$B$5:$B$44,$B4149)+S4149*SUMIFS(Premissas!$F$5:$F$44,Premissas!$A$5:$A$44,$A4149,Premissas!$B$5:$B$44,$B4149)</f>
        <v/>
      </c>
      <c r="L4149" s="29">
        <f>J4149-K4149</f>
        <v/>
      </c>
      <c r="M4149" t="inlineStr">
        <is>
          <t>2.350</t>
        </is>
      </c>
      <c r="N4149" t="inlineStr">
        <is>
          <t>Modalidade: 0 - Por conta do remetente | Parte: G C SILVA EMBALAGEN (47.644.719/0001-29)</t>
        </is>
      </c>
      <c r="O4149" s="29" t="n">
        <v>0</v>
      </c>
      <c r="P4149" s="29" t="n">
        <v>480</v>
      </c>
      <c r="Q4149" s="29" t="n">
        <v>0</v>
      </c>
      <c r="R4149" s="29" t="n">
        <v>0</v>
      </c>
      <c r="S4149" s="29" t="n">
        <v>0</v>
      </c>
      <c r="T4149" t="inlineStr">
        <is>
          <t>25260859256389000183570010000001661000101545</t>
        </is>
      </c>
      <c r="U4149" t="inlineStr">
        <is>
          <t>Sim</t>
        </is>
      </c>
    </row>
    <row r="4150">
      <c r="A4150" t="inlineStr">
        <is>
          <t>Frete de venda</t>
        </is>
      </c>
      <c r="B4150" t="inlineStr">
        <is>
          <t>2.01.02 Frete sobre Vendas</t>
        </is>
      </c>
      <c r="C4150" s="30" t="n">
        <v>46235</v>
      </c>
      <c r="D4150" t="inlineStr">
        <is>
          <t>Em 2026</t>
        </is>
      </c>
      <c r="E4150" s="28" t="n">
        <v>46246</v>
      </c>
      <c r="F4150" t="inlineStr">
        <is>
          <t>CT-e</t>
        </is>
      </c>
      <c r="G4150" t="inlineStr">
        <is>
          <t>000000167</t>
        </is>
      </c>
      <c r="H4150" t="inlineStr">
        <is>
          <t>DURA MAIS TRANSPORTES LTDA</t>
        </is>
      </c>
      <c r="J4150" s="29" t="n">
        <v>4550</v>
      </c>
      <c r="K4150" s="29">
        <f>(1-ISNUMBER(SEARCH("556",M4150)))*(O4150*SUMIFS(Premissas!$C$5:$C$44,Premissas!$A$5:$A$44,$A4150,Premissas!$B$5:$B$44,$B4150)+P4150*SUMIFS(Premissas!$D$5:$D$44,Premissas!$A$5:$A$44,$A4150,Premissas!$B$5:$B$44,$B4150))+R4150*SUMIFS(Premissas!$E$5:$E$44,Premissas!$A$5:$A$44,$A4150,Premissas!$B$5:$B$44,$B4150)+S4150*SUMIFS(Premissas!$F$5:$F$44,Premissas!$A$5:$A$44,$A4150,Premissas!$B$5:$B$44,$B4150)</f>
        <v/>
      </c>
      <c r="L4150" s="29">
        <f>J4150-K4150</f>
        <v/>
      </c>
      <c r="M4150" t="inlineStr">
        <is>
          <t>2.350</t>
        </is>
      </c>
      <c r="N4150" t="inlineStr">
        <is>
          <t>Modalidade: 0 - Por conta do remetente | Parte: G C SILVA EMBALAGEN (47.644.719/0001-29)</t>
        </is>
      </c>
      <c r="O4150" s="29" t="n">
        <v>0</v>
      </c>
      <c r="P4150" s="29" t="n">
        <v>546</v>
      </c>
      <c r="Q4150" s="29" t="n">
        <v>0</v>
      </c>
      <c r="R4150" s="29" t="n">
        <v>0</v>
      </c>
      <c r="S4150" s="29" t="n">
        <v>0</v>
      </c>
      <c r="T4150" t="inlineStr">
        <is>
          <t>25260859256389000183570010000001671000110894</t>
        </is>
      </c>
      <c r="U4150" t="inlineStr">
        <is>
          <t>Sim</t>
        </is>
      </c>
    </row>
    <row r="4151">
      <c r="A4151" t="inlineStr">
        <is>
          <t>Frete de venda</t>
        </is>
      </c>
      <c r="B4151" t="inlineStr">
        <is>
          <t>2.01.02 Frete sobre Vendas</t>
        </is>
      </c>
      <c r="C4151" s="30" t="n">
        <v>46235</v>
      </c>
      <c r="D4151" t="inlineStr">
        <is>
          <t>Em 2026</t>
        </is>
      </c>
      <c r="E4151" s="28" t="n">
        <v>46246</v>
      </c>
      <c r="F4151" t="inlineStr">
        <is>
          <t>CT-e</t>
        </is>
      </c>
      <c r="G4151" t="inlineStr">
        <is>
          <t>000000180</t>
        </is>
      </c>
      <c r="H4151" t="inlineStr">
        <is>
          <t>DURA MAIS TRANSPORTES LTDA</t>
        </is>
      </c>
      <c r="J4151" s="29" t="n">
        <v>560</v>
      </c>
      <c r="K4151" s="29">
        <f>(1-ISNUMBER(SEARCH("556",M4151)))*(O4151*SUMIFS(Premissas!$C$5:$C$44,Premissas!$A$5:$A$44,$A4151,Premissas!$B$5:$B$44,$B4151)+P4151*SUMIFS(Premissas!$D$5:$D$44,Premissas!$A$5:$A$44,$A4151,Premissas!$B$5:$B$44,$B4151))+R4151*SUMIFS(Premissas!$E$5:$E$44,Premissas!$A$5:$A$44,$A4151,Premissas!$B$5:$B$44,$B4151)+S4151*SUMIFS(Premissas!$F$5:$F$44,Premissas!$A$5:$A$44,$A4151,Premissas!$B$5:$B$44,$B4151)</f>
        <v/>
      </c>
      <c r="L4151" s="29">
        <f>J4151-K4151</f>
        <v/>
      </c>
      <c r="M4151" t="inlineStr">
        <is>
          <t>2.350</t>
        </is>
      </c>
      <c r="N4151" t="inlineStr">
        <is>
          <t>Modalidade: 0 - Por conta do remetente | Parte: ALBUQUERQUE E FREIRE LTDA (09.358.347/0001-85)</t>
        </is>
      </c>
      <c r="O4151" s="29" t="n">
        <v>0</v>
      </c>
      <c r="P4151" s="29" t="n">
        <v>67.2</v>
      </c>
      <c r="Q4151" s="29" t="n">
        <v>0</v>
      </c>
      <c r="R4151" s="29" t="n">
        <v>0</v>
      </c>
      <c r="S4151" s="29" t="n">
        <v>0</v>
      </c>
      <c r="T4151" t="inlineStr">
        <is>
          <t>25260859256389000183570010000001801000110560</t>
        </is>
      </c>
      <c r="U4151" t="inlineStr">
        <is>
          <t>Sim</t>
        </is>
      </c>
    </row>
    <row r="4152">
      <c r="A4152" t="inlineStr">
        <is>
          <t>Frete de venda</t>
        </is>
      </c>
      <c r="B4152" t="inlineStr">
        <is>
          <t>2.01.02 Frete sobre Vendas</t>
        </is>
      </c>
      <c r="C4152" s="30" t="n">
        <v>46235</v>
      </c>
      <c r="D4152" t="inlineStr">
        <is>
          <t>Em 2026</t>
        </is>
      </c>
      <c r="E4152" s="28" t="n">
        <v>46246</v>
      </c>
      <c r="F4152" t="inlineStr">
        <is>
          <t>CT-e</t>
        </is>
      </c>
      <c r="G4152" t="inlineStr">
        <is>
          <t>000000182</t>
        </is>
      </c>
      <c r="H4152" t="inlineStr">
        <is>
          <t>DURA MAIS TRANSPORTES LTDA</t>
        </is>
      </c>
      <c r="J4152" s="29" t="n">
        <v>560</v>
      </c>
      <c r="K4152" s="29">
        <f>(1-ISNUMBER(SEARCH("556",M4152)))*(O4152*SUMIFS(Premissas!$C$5:$C$44,Premissas!$A$5:$A$44,$A4152,Premissas!$B$5:$B$44,$B4152)+P4152*SUMIFS(Premissas!$D$5:$D$44,Premissas!$A$5:$A$44,$A4152,Premissas!$B$5:$B$44,$B4152))+R4152*SUMIFS(Premissas!$E$5:$E$44,Premissas!$A$5:$A$44,$A4152,Premissas!$B$5:$B$44,$B4152)+S4152*SUMIFS(Premissas!$F$5:$F$44,Premissas!$A$5:$A$44,$A4152,Premissas!$B$5:$B$44,$B4152)</f>
        <v/>
      </c>
      <c r="L4152" s="29">
        <f>J4152-K4152</f>
        <v/>
      </c>
      <c r="M4152" t="inlineStr">
        <is>
          <t>2.350</t>
        </is>
      </c>
      <c r="N4152" t="inlineStr">
        <is>
          <t>Modalidade: 0 - Por conta do remetente | Parte: PLASTIPEL EMBALAGENS E DESCARTAVEIS (36.091.781/0001-14)</t>
        </is>
      </c>
      <c r="O4152" s="29" t="n">
        <v>0</v>
      </c>
      <c r="P4152" s="29" t="n">
        <v>67.2</v>
      </c>
      <c r="Q4152" s="29" t="n">
        <v>0</v>
      </c>
      <c r="R4152" s="29" t="n">
        <v>0</v>
      </c>
      <c r="S4152" s="29" t="n">
        <v>0</v>
      </c>
      <c r="T4152" t="inlineStr">
        <is>
          <t>25260859256389000183570010000001821000160723</t>
        </is>
      </c>
      <c r="U4152" t="inlineStr">
        <is>
          <t>Sim</t>
        </is>
      </c>
    </row>
    <row r="4153">
      <c r="A4153" t="inlineStr">
        <is>
          <t>Frete de venda</t>
        </is>
      </c>
      <c r="B4153" t="inlineStr">
        <is>
          <t>2.01.02 Frete sobre Vendas</t>
        </is>
      </c>
      <c r="C4153" s="30" t="n">
        <v>46235</v>
      </c>
      <c r="D4153" t="inlineStr">
        <is>
          <t>Em 2026</t>
        </is>
      </c>
      <c r="E4153" s="28" t="n">
        <v>46246</v>
      </c>
      <c r="F4153" t="inlineStr">
        <is>
          <t>CT-e</t>
        </is>
      </c>
      <c r="G4153" t="inlineStr">
        <is>
          <t>000000183</t>
        </is>
      </c>
      <c r="H4153" t="inlineStr">
        <is>
          <t>DURA MAIS TRANSPORTES LTDA</t>
        </is>
      </c>
      <c r="J4153" s="29" t="n">
        <v>560</v>
      </c>
      <c r="K4153" s="29">
        <f>(1-ISNUMBER(SEARCH("556",M4153)))*(O4153*SUMIFS(Premissas!$C$5:$C$44,Premissas!$A$5:$A$44,$A4153,Premissas!$B$5:$B$44,$B4153)+P4153*SUMIFS(Premissas!$D$5:$D$44,Premissas!$A$5:$A$44,$A4153,Premissas!$B$5:$B$44,$B4153))+R4153*SUMIFS(Premissas!$E$5:$E$44,Premissas!$A$5:$A$44,$A4153,Premissas!$B$5:$B$44,$B4153)+S4153*SUMIFS(Premissas!$F$5:$F$44,Premissas!$A$5:$A$44,$A4153,Premissas!$B$5:$B$44,$B4153)</f>
        <v/>
      </c>
      <c r="L4153" s="29">
        <f>J4153-K4153</f>
        <v/>
      </c>
      <c r="M4153" t="inlineStr">
        <is>
          <t>2.350</t>
        </is>
      </c>
      <c r="N4153" t="inlineStr">
        <is>
          <t>Modalidade: 0 - Por conta do remetente | Parte: DISTRIBUIDORA ANCORA DA SERRA LTDA (30.522.073/0001-04)</t>
        </is>
      </c>
      <c r="O4153" s="29" t="n">
        <v>0</v>
      </c>
      <c r="P4153" s="29" t="n">
        <v>67.2</v>
      </c>
      <c r="Q4153" s="29" t="n">
        <v>0</v>
      </c>
      <c r="R4153" s="29" t="n">
        <v>0</v>
      </c>
      <c r="S4153" s="29" t="n">
        <v>0</v>
      </c>
      <c r="T4153" t="inlineStr">
        <is>
          <t>25260859256389000183570010000001831000130805</t>
        </is>
      </c>
      <c r="U4153" t="inlineStr">
        <is>
          <t>Sim</t>
        </is>
      </c>
    </row>
    <row r="4154">
      <c r="A4154" t="inlineStr">
        <is>
          <t>Frete de venda</t>
        </is>
      </c>
      <c r="B4154" t="inlineStr">
        <is>
          <t>2.01.02 Frete sobre Vendas</t>
        </is>
      </c>
      <c r="C4154" s="30" t="n">
        <v>46235</v>
      </c>
      <c r="D4154" t="inlineStr">
        <is>
          <t>Em 2026</t>
        </is>
      </c>
      <c r="E4154" s="28" t="n">
        <v>46246</v>
      </c>
      <c r="F4154" t="inlineStr">
        <is>
          <t>CT-e</t>
        </is>
      </c>
      <c r="G4154" t="inlineStr">
        <is>
          <t>000000184</t>
        </is>
      </c>
      <c r="H4154" t="inlineStr">
        <is>
          <t>DURA MAIS TRANSPORTES LTDA</t>
        </is>
      </c>
      <c r="J4154" s="29" t="n">
        <v>560</v>
      </c>
      <c r="K4154" s="29">
        <f>(1-ISNUMBER(SEARCH("556",M4154)))*(O4154*SUMIFS(Premissas!$C$5:$C$44,Premissas!$A$5:$A$44,$A4154,Premissas!$B$5:$B$44,$B4154)+P4154*SUMIFS(Premissas!$D$5:$D$44,Premissas!$A$5:$A$44,$A4154,Premissas!$B$5:$B$44,$B4154))+R4154*SUMIFS(Premissas!$E$5:$E$44,Premissas!$A$5:$A$44,$A4154,Premissas!$B$5:$B$44,$B4154)+S4154*SUMIFS(Premissas!$F$5:$F$44,Premissas!$A$5:$A$44,$A4154,Premissas!$B$5:$B$44,$B4154)</f>
        <v/>
      </c>
      <c r="L4154" s="29">
        <f>J4154-K4154</f>
        <v/>
      </c>
      <c r="M4154" t="inlineStr">
        <is>
          <t>2.350</t>
        </is>
      </c>
      <c r="N4154" t="inlineStr">
        <is>
          <t>Modalidade: 0 - Por conta do remetente | Parte: JOSE VALDSON LEITE DA MOTA (07.101.277/0001-50)</t>
        </is>
      </c>
      <c r="O4154" s="29" t="n">
        <v>0</v>
      </c>
      <c r="P4154" s="29" t="n">
        <v>67.2</v>
      </c>
      <c r="Q4154" s="29" t="n">
        <v>0</v>
      </c>
      <c r="R4154" s="29" t="n">
        <v>0</v>
      </c>
      <c r="S4154" s="29" t="n">
        <v>0</v>
      </c>
      <c r="T4154" t="inlineStr">
        <is>
          <t>25260859256389000183570010000001841000010882</t>
        </is>
      </c>
      <c r="U4154" t="inlineStr">
        <is>
          <t>Sim</t>
        </is>
      </c>
    </row>
    <row r="4155">
      <c r="A4155" t="inlineStr">
        <is>
          <t>Frete de venda</t>
        </is>
      </c>
      <c r="B4155" t="inlineStr">
        <is>
          <t>2.01.02 Frete sobre Vendas</t>
        </is>
      </c>
      <c r="C4155" s="30" t="n">
        <v>46235</v>
      </c>
      <c r="D4155" t="inlineStr">
        <is>
          <t>Em 2026</t>
        </is>
      </c>
      <c r="E4155" s="28" t="n">
        <v>46246</v>
      </c>
      <c r="F4155" t="inlineStr">
        <is>
          <t>CT-e</t>
        </is>
      </c>
      <c r="G4155" t="inlineStr">
        <is>
          <t>000000185</t>
        </is>
      </c>
      <c r="H4155" t="inlineStr">
        <is>
          <t>DURA MAIS TRANSPORTES LTDA</t>
        </is>
      </c>
      <c r="J4155" s="29" t="n">
        <v>560</v>
      </c>
      <c r="K4155" s="29">
        <f>(1-ISNUMBER(SEARCH("556",M4155)))*(O4155*SUMIFS(Premissas!$C$5:$C$44,Premissas!$A$5:$A$44,$A4155,Premissas!$B$5:$B$44,$B4155)+P4155*SUMIFS(Premissas!$D$5:$D$44,Premissas!$A$5:$A$44,$A4155,Premissas!$B$5:$B$44,$B4155))+R4155*SUMIFS(Premissas!$E$5:$E$44,Premissas!$A$5:$A$44,$A4155,Premissas!$B$5:$B$44,$B4155)+S4155*SUMIFS(Premissas!$F$5:$F$44,Premissas!$A$5:$A$44,$A4155,Premissas!$B$5:$B$44,$B4155)</f>
        <v/>
      </c>
      <c r="L4155" s="29">
        <f>J4155-K4155</f>
        <v/>
      </c>
      <c r="M4155" t="inlineStr">
        <is>
          <t>2.350</t>
        </is>
      </c>
      <c r="N4155" t="inlineStr">
        <is>
          <t>Modalidade: 0 - Por conta do remetente | Parte: EDIVALDO BATISTA DOS SANTOS EMBALAGENS LTDA (03.624.188/0001-37)</t>
        </is>
      </c>
      <c r="O4155" s="29" t="n">
        <v>0</v>
      </c>
      <c r="P4155" s="29" t="n">
        <v>67.2</v>
      </c>
      <c r="Q4155" s="29" t="n">
        <v>0</v>
      </c>
      <c r="R4155" s="29" t="n">
        <v>0</v>
      </c>
      <c r="S4155" s="29" t="n">
        <v>0</v>
      </c>
      <c r="T4155" t="inlineStr">
        <is>
          <t>25260859256389000183570010000001851000180963</t>
        </is>
      </c>
      <c r="U4155" t="inlineStr">
        <is>
          <t>Sim</t>
        </is>
      </c>
    </row>
    <row r="4156">
      <c r="A4156" t="inlineStr">
        <is>
          <t>Frete de venda</t>
        </is>
      </c>
      <c r="B4156" t="inlineStr">
        <is>
          <t>2.01.02 Frete sobre Vendas</t>
        </is>
      </c>
      <c r="C4156" s="30" t="n">
        <v>46235</v>
      </c>
      <c r="D4156" t="inlineStr">
        <is>
          <t>Em 2026</t>
        </is>
      </c>
      <c r="E4156" s="28" t="n">
        <v>46246</v>
      </c>
      <c r="F4156" t="inlineStr">
        <is>
          <t>CT-e</t>
        </is>
      </c>
      <c r="G4156" t="inlineStr">
        <is>
          <t>000000186</t>
        </is>
      </c>
      <c r="H4156" t="inlineStr">
        <is>
          <t>DURA MAIS TRANSPORTES LTDA</t>
        </is>
      </c>
      <c r="J4156" s="29" t="n">
        <v>560</v>
      </c>
      <c r="K4156" s="29">
        <f>(1-ISNUMBER(SEARCH("556",M4156)))*(O4156*SUMIFS(Premissas!$C$5:$C$44,Premissas!$A$5:$A$44,$A4156,Premissas!$B$5:$B$44,$B4156)+P4156*SUMIFS(Premissas!$D$5:$D$44,Premissas!$A$5:$A$44,$A4156,Premissas!$B$5:$B$44,$B4156))+R4156*SUMIFS(Premissas!$E$5:$E$44,Premissas!$A$5:$A$44,$A4156,Premissas!$B$5:$B$44,$B4156)+S4156*SUMIFS(Premissas!$F$5:$F$44,Premissas!$A$5:$A$44,$A4156,Premissas!$B$5:$B$44,$B4156)</f>
        <v/>
      </c>
      <c r="L4156" s="29">
        <f>J4156-K4156</f>
        <v/>
      </c>
      <c r="M4156" t="inlineStr">
        <is>
          <t>2.350</t>
        </is>
      </c>
      <c r="N4156" t="inlineStr">
        <is>
          <t>Modalidade: 0 - Por conta do remetente | Parte: BA EMBALAGENS COM ATACADISTA DE EMBALAGENS E BOMBONIERI (09.048.003/0001-70)</t>
        </is>
      </c>
      <c r="O4156" s="29" t="n">
        <v>0</v>
      </c>
      <c r="P4156" s="29" t="n">
        <v>67.2</v>
      </c>
      <c r="Q4156" s="29" t="n">
        <v>0</v>
      </c>
      <c r="R4156" s="29" t="n">
        <v>0</v>
      </c>
      <c r="S4156" s="29" t="n">
        <v>0</v>
      </c>
      <c r="T4156" t="inlineStr">
        <is>
          <t>25260859256389000183570010000001861001501043</t>
        </is>
      </c>
      <c r="U4156" t="inlineStr">
        <is>
          <t>Sim</t>
        </is>
      </c>
    </row>
    <row r="4157">
      <c r="A4157" t="inlineStr">
        <is>
          <t>Frete de venda</t>
        </is>
      </c>
      <c r="B4157" t="inlineStr">
        <is>
          <t>2.01.02 Frete sobre Vendas</t>
        </is>
      </c>
      <c r="C4157" s="30" t="n">
        <v>46235</v>
      </c>
      <c r="D4157" t="inlineStr">
        <is>
          <t>Em 2026</t>
        </is>
      </c>
      <c r="E4157" s="28" t="n">
        <v>46246</v>
      </c>
      <c r="F4157" t="inlineStr">
        <is>
          <t>CT-e</t>
        </is>
      </c>
      <c r="G4157" t="inlineStr">
        <is>
          <t>000000187</t>
        </is>
      </c>
      <c r="H4157" t="inlineStr">
        <is>
          <t>DURA MAIS TRANSPORTES LTDA</t>
        </is>
      </c>
      <c r="J4157" s="29" t="n">
        <v>560</v>
      </c>
      <c r="K4157" s="29">
        <f>(1-ISNUMBER(SEARCH("556",M4157)))*(O4157*SUMIFS(Premissas!$C$5:$C$44,Premissas!$A$5:$A$44,$A4157,Premissas!$B$5:$B$44,$B4157)+P4157*SUMIFS(Premissas!$D$5:$D$44,Premissas!$A$5:$A$44,$A4157,Premissas!$B$5:$B$44,$B4157))+R4157*SUMIFS(Premissas!$E$5:$E$44,Premissas!$A$5:$A$44,$A4157,Premissas!$B$5:$B$44,$B4157)+S4157*SUMIFS(Premissas!$F$5:$F$44,Premissas!$A$5:$A$44,$A4157,Premissas!$B$5:$B$44,$B4157)</f>
        <v/>
      </c>
      <c r="L4157" s="29">
        <f>J4157-K4157</f>
        <v/>
      </c>
      <c r="M4157" t="inlineStr">
        <is>
          <t>2.350</t>
        </is>
      </c>
      <c r="N4157" t="inlineStr">
        <is>
          <t>Modalidade: 0 - Por conta do remetente | Parte: FG ATACADISTA DE EMBALAGENS E ALIMENTOS LTDA (62.720.773/0001-08)</t>
        </is>
      </c>
      <c r="O4157" s="29" t="n">
        <v>0</v>
      </c>
      <c r="P4157" s="29" t="n">
        <v>67.2</v>
      </c>
      <c r="Q4157" s="29" t="n">
        <v>0</v>
      </c>
      <c r="R4157" s="29" t="n">
        <v>0</v>
      </c>
      <c r="S4157" s="29" t="n">
        <v>0</v>
      </c>
      <c r="T4157" t="inlineStr">
        <is>
          <t>25260859256389000183570010000001871000160398</t>
        </is>
      </c>
      <c r="U4157" t="inlineStr">
        <is>
          <t>Sim</t>
        </is>
      </c>
    </row>
    <row r="4158">
      <c r="A4158" t="inlineStr">
        <is>
          <t>Frete de venda</t>
        </is>
      </c>
      <c r="B4158" t="inlineStr">
        <is>
          <t>2.01.02 Frete sobre Vendas</t>
        </is>
      </c>
      <c r="C4158" s="30" t="n">
        <v>46235</v>
      </c>
      <c r="D4158" t="inlineStr">
        <is>
          <t>Em 2026</t>
        </is>
      </c>
      <c r="E4158" s="28" t="n">
        <v>46246</v>
      </c>
      <c r="F4158" t="inlineStr">
        <is>
          <t>CT-e</t>
        </is>
      </c>
      <c r="G4158" t="inlineStr">
        <is>
          <t>000000188</t>
        </is>
      </c>
      <c r="H4158" t="inlineStr">
        <is>
          <t>DURA MAIS TRANSPORTES LTDA</t>
        </is>
      </c>
      <c r="J4158" s="29" t="n">
        <v>560</v>
      </c>
      <c r="K4158" s="29">
        <f>(1-ISNUMBER(SEARCH("556",M4158)))*(O4158*SUMIFS(Premissas!$C$5:$C$44,Premissas!$A$5:$A$44,$A4158,Premissas!$B$5:$B$44,$B4158)+P4158*SUMIFS(Premissas!$D$5:$D$44,Premissas!$A$5:$A$44,$A4158,Premissas!$B$5:$B$44,$B4158))+R4158*SUMIFS(Premissas!$E$5:$E$44,Premissas!$A$5:$A$44,$A4158,Premissas!$B$5:$B$44,$B4158)+S4158*SUMIFS(Premissas!$F$5:$F$44,Premissas!$A$5:$A$44,$A4158,Premissas!$B$5:$B$44,$B4158)</f>
        <v/>
      </c>
      <c r="L4158" s="29">
        <f>J4158-K4158</f>
        <v/>
      </c>
      <c r="M4158" t="inlineStr">
        <is>
          <t>2.350</t>
        </is>
      </c>
      <c r="N4158" t="inlineStr">
        <is>
          <t>Modalidade: 0 - Por conta do remetente | Parte: JOANICE COMERCIAL DE EMBALAGENS E CONFEITARIA LTDA (50.350.203/0001-86)</t>
        </is>
      </c>
      <c r="O4158" s="29" t="n">
        <v>0</v>
      </c>
      <c r="P4158" s="29" t="n">
        <v>67.2</v>
      </c>
      <c r="Q4158" s="29" t="n">
        <v>0</v>
      </c>
      <c r="R4158" s="29" t="n">
        <v>0</v>
      </c>
      <c r="S4158" s="29" t="n">
        <v>0</v>
      </c>
      <c r="T4158" t="inlineStr">
        <is>
          <t>25260859256389000183570010000001881000130470</t>
        </is>
      </c>
      <c r="U4158" t="inlineStr">
        <is>
          <t>Sim</t>
        </is>
      </c>
    </row>
    <row r="4159">
      <c r="A4159" t="inlineStr">
        <is>
          <t>Frete de venda</t>
        </is>
      </c>
      <c r="B4159" t="inlineStr">
        <is>
          <t>2.01.02 Frete sobre Vendas</t>
        </is>
      </c>
      <c r="C4159" s="30" t="n">
        <v>46235</v>
      </c>
      <c r="D4159" t="inlineStr">
        <is>
          <t>Em 2026</t>
        </is>
      </c>
      <c r="E4159" s="28" t="n">
        <v>46246</v>
      </c>
      <c r="F4159" t="inlineStr">
        <is>
          <t>CT-e</t>
        </is>
      </c>
      <c r="G4159" t="inlineStr">
        <is>
          <t>000000189</t>
        </is>
      </c>
      <c r="H4159" t="inlineStr">
        <is>
          <t>DURA MAIS TRANSPORTES LTDA</t>
        </is>
      </c>
      <c r="J4159" s="29" t="n">
        <v>560</v>
      </c>
      <c r="K4159" s="29">
        <f>(1-ISNUMBER(SEARCH("556",M4159)))*(O4159*SUMIFS(Premissas!$C$5:$C$44,Premissas!$A$5:$A$44,$A4159,Premissas!$B$5:$B$44,$B4159)+P4159*SUMIFS(Premissas!$D$5:$D$44,Premissas!$A$5:$A$44,$A4159,Premissas!$B$5:$B$44,$B4159))+R4159*SUMIFS(Premissas!$E$5:$E$44,Premissas!$A$5:$A$44,$A4159,Premissas!$B$5:$B$44,$B4159)+S4159*SUMIFS(Premissas!$F$5:$F$44,Premissas!$A$5:$A$44,$A4159,Premissas!$B$5:$B$44,$B4159)</f>
        <v/>
      </c>
      <c r="L4159" s="29">
        <f>J4159-K4159</f>
        <v/>
      </c>
      <c r="M4159" t="inlineStr">
        <is>
          <t>2.350</t>
        </is>
      </c>
      <c r="N4159" t="inlineStr">
        <is>
          <t>Modalidade: 0 - Por conta do remetente | Parte: CLARINDO JOSE DA SILVA DE GUANAMBI (40.503.526/0001-09)</t>
        </is>
      </c>
      <c r="O4159" s="29" t="n">
        <v>0</v>
      </c>
      <c r="P4159" s="29" t="n">
        <v>67.2</v>
      </c>
      <c r="Q4159" s="29" t="n">
        <v>0</v>
      </c>
      <c r="R4159" s="29" t="n">
        <v>0</v>
      </c>
      <c r="S4159" s="29" t="n">
        <v>0</v>
      </c>
      <c r="T4159" t="inlineStr">
        <is>
          <t>25260859256389000183570010000001891000010552</t>
        </is>
      </c>
      <c r="U4159" t="inlineStr">
        <is>
          <t>Sim</t>
        </is>
      </c>
    </row>
    <row r="4160">
      <c r="A4160" t="inlineStr">
        <is>
          <t>Frete de venda</t>
        </is>
      </c>
      <c r="B4160" t="inlineStr">
        <is>
          <t>2.01.02 Frete sobre Vendas</t>
        </is>
      </c>
      <c r="C4160" s="30" t="n">
        <v>46235</v>
      </c>
      <c r="D4160" t="inlineStr">
        <is>
          <t>Em 2026</t>
        </is>
      </c>
      <c r="E4160" s="28" t="n">
        <v>46246</v>
      </c>
      <c r="F4160" t="inlineStr">
        <is>
          <t>CT-e</t>
        </is>
      </c>
      <c r="G4160" t="inlineStr">
        <is>
          <t>000000190</t>
        </is>
      </c>
      <c r="H4160" t="inlineStr">
        <is>
          <t>DURA MAIS TRANSPORTES LTDA</t>
        </is>
      </c>
      <c r="J4160" s="29" t="n">
        <v>600</v>
      </c>
      <c r="K4160" s="29">
        <f>(1-ISNUMBER(SEARCH("556",M4160)))*(O4160*SUMIFS(Premissas!$C$5:$C$44,Premissas!$A$5:$A$44,$A4160,Premissas!$B$5:$B$44,$B4160)+P4160*SUMIFS(Premissas!$D$5:$D$44,Premissas!$A$5:$A$44,$A4160,Premissas!$B$5:$B$44,$B4160))+R4160*SUMIFS(Premissas!$E$5:$E$44,Premissas!$A$5:$A$44,$A4160,Premissas!$B$5:$B$44,$B4160)+S4160*SUMIFS(Premissas!$F$5:$F$44,Premissas!$A$5:$A$44,$A4160,Premissas!$B$5:$B$44,$B4160)</f>
        <v/>
      </c>
      <c r="L4160" s="29">
        <f>J4160-K4160</f>
        <v/>
      </c>
      <c r="M4160" t="inlineStr">
        <is>
          <t>2.350</t>
        </is>
      </c>
      <c r="N4160" t="inlineStr">
        <is>
          <t>Modalidade: 0 - Por conta do remetente | Parte: VIEIRA FRANCA COMERCIO DE ARTIGOS PARA FESTA LTDA (23.121.639/0001-20)</t>
        </is>
      </c>
      <c r="O4160" s="29" t="n">
        <v>0</v>
      </c>
      <c r="P4160" s="29" t="n">
        <v>72</v>
      </c>
      <c r="Q4160" s="29" t="n">
        <v>0</v>
      </c>
      <c r="R4160" s="29" t="n">
        <v>0</v>
      </c>
      <c r="S4160" s="29" t="n">
        <v>0</v>
      </c>
      <c r="T4160" t="inlineStr">
        <is>
          <t>25260859256389000183570010000001901000180637</t>
        </is>
      </c>
      <c r="U4160" t="inlineStr">
        <is>
          <t>Sim</t>
        </is>
      </c>
    </row>
    <row r="4161">
      <c r="A4161" t="inlineStr">
        <is>
          <t>Frete de venda</t>
        </is>
      </c>
      <c r="B4161" t="inlineStr">
        <is>
          <t>2.01.02 Frete sobre Vendas</t>
        </is>
      </c>
      <c r="C4161" s="30" t="n">
        <v>46235</v>
      </c>
      <c r="D4161" t="inlineStr">
        <is>
          <t>Em 2026</t>
        </is>
      </c>
      <c r="E4161" s="28" t="n">
        <v>46246</v>
      </c>
      <c r="F4161" t="inlineStr">
        <is>
          <t>CT-e</t>
        </is>
      </c>
      <c r="G4161" t="inlineStr">
        <is>
          <t>000000191</t>
        </is>
      </c>
      <c r="H4161" t="inlineStr">
        <is>
          <t>DURA MAIS TRANSPORTES LTDA</t>
        </is>
      </c>
      <c r="J4161" s="29" t="n">
        <v>300</v>
      </c>
      <c r="K4161" s="29">
        <f>(1-ISNUMBER(SEARCH("556",M4161)))*(O4161*SUMIFS(Premissas!$C$5:$C$44,Premissas!$A$5:$A$44,$A4161,Premissas!$B$5:$B$44,$B4161)+P4161*SUMIFS(Premissas!$D$5:$D$44,Premissas!$A$5:$A$44,$A4161,Premissas!$B$5:$B$44,$B4161))+R4161*SUMIFS(Premissas!$E$5:$E$44,Premissas!$A$5:$A$44,$A4161,Premissas!$B$5:$B$44,$B4161)+S4161*SUMIFS(Premissas!$F$5:$F$44,Premissas!$A$5:$A$44,$A4161,Premissas!$B$5:$B$44,$B4161)</f>
        <v/>
      </c>
      <c r="L4161" s="29">
        <f>J4161-K4161</f>
        <v/>
      </c>
      <c r="M4161" t="inlineStr">
        <is>
          <t>2.350</t>
        </is>
      </c>
      <c r="N4161" t="inlineStr">
        <is>
          <t>Modalidade: 0 - Por conta do remetente | Parte: ALBUQUERQUE E FREIRE LTDA (09.358.347/0002-66)</t>
        </is>
      </c>
      <c r="O4161" s="29" t="n">
        <v>0</v>
      </c>
      <c r="P4161" s="29" t="n">
        <v>36</v>
      </c>
      <c r="Q4161" s="29" t="n">
        <v>0</v>
      </c>
      <c r="R4161" s="29" t="n">
        <v>0</v>
      </c>
      <c r="S4161" s="29" t="n">
        <v>0</v>
      </c>
      <c r="T4161" t="inlineStr">
        <is>
          <t>25260859256389000183570010000001911000150719</t>
        </is>
      </c>
      <c r="U4161" t="inlineStr">
        <is>
          <t>Sim</t>
        </is>
      </c>
    </row>
    <row r="4162">
      <c r="A4162" t="inlineStr">
        <is>
          <t>Frete de venda</t>
        </is>
      </c>
      <c r="B4162" t="inlineStr">
        <is>
          <t>2.01.02 Frete sobre Vendas</t>
        </is>
      </c>
      <c r="C4162" s="30" t="n">
        <v>46235</v>
      </c>
      <c r="D4162" t="inlineStr">
        <is>
          <t>Em 2026</t>
        </is>
      </c>
      <c r="E4162" s="28" t="n">
        <v>46246</v>
      </c>
      <c r="F4162" t="inlineStr">
        <is>
          <t>CT-e</t>
        </is>
      </c>
      <c r="G4162" t="inlineStr">
        <is>
          <t>000000192</t>
        </is>
      </c>
      <c r="H4162" t="inlineStr">
        <is>
          <t>DURA MAIS TRANSPORTES LTDA</t>
        </is>
      </c>
      <c r="J4162" s="29" t="n">
        <v>260</v>
      </c>
      <c r="K4162" s="29">
        <f>(1-ISNUMBER(SEARCH("556",M4162)))*(O4162*SUMIFS(Premissas!$C$5:$C$44,Premissas!$A$5:$A$44,$A4162,Premissas!$B$5:$B$44,$B4162)+P4162*SUMIFS(Premissas!$D$5:$D$44,Premissas!$A$5:$A$44,$A4162,Premissas!$B$5:$B$44,$B4162))+R4162*SUMIFS(Premissas!$E$5:$E$44,Premissas!$A$5:$A$44,$A4162,Premissas!$B$5:$B$44,$B4162)+S4162*SUMIFS(Premissas!$F$5:$F$44,Premissas!$A$5:$A$44,$A4162,Premissas!$B$5:$B$44,$B4162)</f>
        <v/>
      </c>
      <c r="L4162" s="29">
        <f>J4162-K4162</f>
        <v/>
      </c>
      <c r="M4162" t="inlineStr">
        <is>
          <t>2.350</t>
        </is>
      </c>
      <c r="N4162" t="inlineStr">
        <is>
          <t>Modalidade: 0 - Por conta do remetente | Parte: ALBUQUERQUE E FREIRE LTDA (09.358.347/0001-85)</t>
        </is>
      </c>
      <c r="O4162" s="29" t="n">
        <v>0</v>
      </c>
      <c r="P4162" s="29" t="n">
        <v>31.2</v>
      </c>
      <c r="Q4162" s="29" t="n">
        <v>0</v>
      </c>
      <c r="R4162" s="29" t="n">
        <v>0</v>
      </c>
      <c r="S4162" s="29" t="n">
        <v>0</v>
      </c>
      <c r="T4162" t="inlineStr">
        <is>
          <t>25260859256389000183570010000001921000120795</t>
        </is>
      </c>
      <c r="U4162" t="inlineStr">
        <is>
          <t>Sim</t>
        </is>
      </c>
    </row>
    <row r="4163">
      <c r="A4163" t="inlineStr">
        <is>
          <t>Frete de venda</t>
        </is>
      </c>
      <c r="B4163" t="inlineStr">
        <is>
          <t>2.01.02 Frete sobre Vendas</t>
        </is>
      </c>
      <c r="C4163" s="30" t="n">
        <v>46235</v>
      </c>
      <c r="D4163" t="inlineStr">
        <is>
          <t>Em 2026</t>
        </is>
      </c>
      <c r="E4163" s="28" t="n">
        <v>46248</v>
      </c>
      <c r="F4163" t="inlineStr">
        <is>
          <t>CT-e</t>
        </is>
      </c>
      <c r="G4163" t="inlineStr">
        <is>
          <t>000000196</t>
        </is>
      </c>
      <c r="H4163" t="inlineStr">
        <is>
          <t>DURA MAIS TRANSPORTES LTDA</t>
        </is>
      </c>
      <c r="J4163" s="29" t="n">
        <v>2025</v>
      </c>
      <c r="K4163" s="29">
        <f>(1-ISNUMBER(SEARCH("556",M4163)))*(O4163*SUMIFS(Premissas!$C$5:$C$44,Premissas!$A$5:$A$44,$A4163,Premissas!$B$5:$B$44,$B4163)+P4163*SUMIFS(Premissas!$D$5:$D$44,Premissas!$A$5:$A$44,$A4163,Premissas!$B$5:$B$44,$B4163))+R4163*SUMIFS(Premissas!$E$5:$E$44,Premissas!$A$5:$A$44,$A4163,Premissas!$B$5:$B$44,$B4163)+S4163*SUMIFS(Premissas!$F$5:$F$44,Premissas!$A$5:$A$44,$A4163,Premissas!$B$5:$B$44,$B4163)</f>
        <v/>
      </c>
      <c r="L4163" s="29">
        <f>J4163-K4163</f>
        <v/>
      </c>
      <c r="M4163" t="inlineStr">
        <is>
          <t>2.350</t>
        </is>
      </c>
      <c r="N4163" t="inlineStr">
        <is>
          <t>Modalidade: 0 - Por conta do remetente | Parte: CRISTAL NEWS ALIMENTOS E EMBALAGENS LTDA (04.067.045/0001-34)</t>
        </is>
      </c>
      <c r="O4163" s="29" t="n">
        <v>0</v>
      </c>
      <c r="P4163" s="29" t="n">
        <v>243</v>
      </c>
      <c r="Q4163" s="29" t="n">
        <v>0</v>
      </c>
      <c r="R4163" s="29" t="n">
        <v>0</v>
      </c>
      <c r="S4163" s="29" t="n">
        <v>0</v>
      </c>
      <c r="T4163" t="inlineStr">
        <is>
          <t>25260859256389000183570010000001961000120468</t>
        </is>
      </c>
      <c r="U4163" t="inlineStr">
        <is>
          <t>Sim</t>
        </is>
      </c>
    </row>
    <row r="4164">
      <c r="A4164" t="inlineStr">
        <is>
          <t>Frete de venda</t>
        </is>
      </c>
      <c r="B4164" t="inlineStr">
        <is>
          <t>2.01.02 Frete sobre Vendas</t>
        </is>
      </c>
      <c r="C4164" s="30" t="n">
        <v>46235</v>
      </c>
      <c r="D4164" t="inlineStr">
        <is>
          <t>Em 2026</t>
        </is>
      </c>
      <c r="E4164" s="28" t="n">
        <v>46248</v>
      </c>
      <c r="F4164" t="inlineStr">
        <is>
          <t>CT-e</t>
        </is>
      </c>
      <c r="G4164" t="inlineStr">
        <is>
          <t>000000197</t>
        </is>
      </c>
      <c r="H4164" t="inlineStr">
        <is>
          <t>DURA MAIS TRANSPORTES LTDA</t>
        </is>
      </c>
      <c r="J4164" s="29" t="n">
        <v>2025</v>
      </c>
      <c r="K4164" s="29">
        <f>(1-ISNUMBER(SEARCH("556",M4164)))*(O4164*SUMIFS(Premissas!$C$5:$C$44,Premissas!$A$5:$A$44,$A4164,Premissas!$B$5:$B$44,$B4164)+P4164*SUMIFS(Premissas!$D$5:$D$44,Premissas!$A$5:$A$44,$A4164,Premissas!$B$5:$B$44,$B4164))+R4164*SUMIFS(Premissas!$E$5:$E$44,Premissas!$A$5:$A$44,$A4164,Premissas!$B$5:$B$44,$B4164)+S4164*SUMIFS(Premissas!$F$5:$F$44,Premissas!$A$5:$A$44,$A4164,Premissas!$B$5:$B$44,$B4164)</f>
        <v/>
      </c>
      <c r="L4164" s="29">
        <f>J4164-K4164</f>
        <v/>
      </c>
      <c r="M4164" t="inlineStr">
        <is>
          <t>2.350</t>
        </is>
      </c>
      <c r="N4164" t="inlineStr">
        <is>
          <t>Modalidade: 0 - Por conta do remetente | Parte: ERINALDO VIEIRA LTDA (03.176.141/0002-39)</t>
        </is>
      </c>
      <c r="O4164" s="29" t="n">
        <v>0</v>
      </c>
      <c r="P4164" s="29" t="n">
        <v>243</v>
      </c>
      <c r="Q4164" s="29" t="n">
        <v>0</v>
      </c>
      <c r="R4164" s="29" t="n">
        <v>0</v>
      </c>
      <c r="S4164" s="29" t="n">
        <v>0</v>
      </c>
      <c r="T4164" t="inlineStr">
        <is>
          <t>25260859256389000183570010000001971001100549</t>
        </is>
      </c>
      <c r="U4164" t="inlineStr">
        <is>
          <t>Sim</t>
        </is>
      </c>
    </row>
    <row r="4165">
      <c r="A4165" t="inlineStr">
        <is>
          <t>Frete de venda</t>
        </is>
      </c>
      <c r="B4165" t="inlineStr">
        <is>
          <t>2.01.02 Frete sobre Vendas</t>
        </is>
      </c>
      <c r="C4165" s="30" t="n">
        <v>46235</v>
      </c>
      <c r="D4165" t="inlineStr">
        <is>
          <t>Em 2026</t>
        </is>
      </c>
      <c r="E4165" s="28" t="n">
        <v>46248</v>
      </c>
      <c r="F4165" t="inlineStr">
        <is>
          <t>CT-e</t>
        </is>
      </c>
      <c r="G4165" t="inlineStr">
        <is>
          <t>000000198</t>
        </is>
      </c>
      <c r="H4165" t="inlineStr">
        <is>
          <t>DURA MAIS TRANSPORTES LTDA</t>
        </is>
      </c>
      <c r="J4165" s="29" t="n">
        <v>2025</v>
      </c>
      <c r="K4165" s="29">
        <f>(1-ISNUMBER(SEARCH("556",M4165)))*(O4165*SUMIFS(Premissas!$C$5:$C$44,Premissas!$A$5:$A$44,$A4165,Premissas!$B$5:$B$44,$B4165)+P4165*SUMIFS(Premissas!$D$5:$D$44,Premissas!$A$5:$A$44,$A4165,Premissas!$B$5:$B$44,$B4165))+R4165*SUMIFS(Premissas!$E$5:$E$44,Premissas!$A$5:$A$44,$A4165,Premissas!$B$5:$B$44,$B4165)+S4165*SUMIFS(Premissas!$F$5:$F$44,Premissas!$A$5:$A$44,$A4165,Premissas!$B$5:$B$44,$B4165)</f>
        <v/>
      </c>
      <c r="L4165" s="29">
        <f>J4165-K4165</f>
        <v/>
      </c>
      <c r="M4165" t="inlineStr">
        <is>
          <t>2.350</t>
        </is>
      </c>
      <c r="N4165" t="inlineStr">
        <is>
          <t>Modalidade: 0 - Por conta do remetente | Parte: BAIXINHO EMBALAGENS LTDA (49.023.382/0001-68)</t>
        </is>
      </c>
      <c r="O4165" s="29" t="n">
        <v>0</v>
      </c>
      <c r="P4165" s="29" t="n">
        <v>243</v>
      </c>
      <c r="Q4165" s="29" t="n">
        <v>0</v>
      </c>
      <c r="R4165" s="29" t="n">
        <v>0</v>
      </c>
      <c r="S4165" s="29" t="n">
        <v>0</v>
      </c>
      <c r="T4165" t="inlineStr">
        <is>
          <t>25260859256389000183570010000001981000170621</t>
        </is>
      </c>
      <c r="U4165" t="inlineStr">
        <is>
          <t>Sim</t>
        </is>
      </c>
    </row>
    <row r="4166">
      <c r="A4166" t="inlineStr">
        <is>
          <t>Frete de venda</t>
        </is>
      </c>
      <c r="B4166" t="inlineStr">
        <is>
          <t>2.01.02 Frete sobre Vendas</t>
        </is>
      </c>
      <c r="C4166" s="30" t="n">
        <v>46235</v>
      </c>
      <c r="D4166" t="inlineStr">
        <is>
          <t>Em 2026</t>
        </is>
      </c>
      <c r="E4166" s="28" t="n">
        <v>46248</v>
      </c>
      <c r="F4166" t="inlineStr">
        <is>
          <t>CT-e</t>
        </is>
      </c>
      <c r="G4166" t="inlineStr">
        <is>
          <t>000000202</t>
        </is>
      </c>
      <c r="H4166" t="inlineStr">
        <is>
          <t>DURA MAIS TRANSPORTES LTDA</t>
        </is>
      </c>
      <c r="J4166" s="29" t="n">
        <v>2170</v>
      </c>
      <c r="K4166" s="29">
        <f>(1-ISNUMBER(SEARCH("556",M4166)))*(O4166*SUMIFS(Premissas!$C$5:$C$44,Premissas!$A$5:$A$44,$A4166,Premissas!$B$5:$B$44,$B4166)+P4166*SUMIFS(Premissas!$D$5:$D$44,Premissas!$A$5:$A$44,$A4166,Premissas!$B$5:$B$44,$B4166))+R4166*SUMIFS(Premissas!$E$5:$E$44,Premissas!$A$5:$A$44,$A4166,Premissas!$B$5:$B$44,$B4166)+S4166*SUMIFS(Premissas!$F$5:$F$44,Premissas!$A$5:$A$44,$A4166,Premissas!$B$5:$B$44,$B4166)</f>
        <v/>
      </c>
      <c r="L4166" s="29">
        <f>J4166-K4166</f>
        <v/>
      </c>
      <c r="M4166" t="inlineStr">
        <is>
          <t>2.350</t>
        </is>
      </c>
      <c r="N4166" t="inlineStr">
        <is>
          <t>Modalidade: 0 - Por conta do remetente | Parte: ALBUQUERQUE E FREIRE LTDA (09.358.347/0001-85)</t>
        </is>
      </c>
      <c r="O4166" s="29" t="n">
        <v>0</v>
      </c>
      <c r="P4166" s="29" t="n">
        <v>260.4</v>
      </c>
      <c r="Q4166" s="29" t="n">
        <v>0</v>
      </c>
      <c r="R4166" s="29" t="n">
        <v>0</v>
      </c>
      <c r="S4166" s="29" t="n">
        <v>0</v>
      </c>
      <c r="T4166" t="inlineStr">
        <is>
          <t>25260859256389000183570010000002021000160949</t>
        </is>
      </c>
      <c r="U4166" t="inlineStr">
        <is>
          <t>Sim</t>
        </is>
      </c>
    </row>
    <row r="4167">
      <c r="A4167" t="inlineStr">
        <is>
          <t>Frete de venda</t>
        </is>
      </c>
      <c r="B4167" t="inlineStr">
        <is>
          <t>2.01.02 Frete sobre Vendas</t>
        </is>
      </c>
      <c r="C4167" s="30" t="n">
        <v>46235</v>
      </c>
      <c r="D4167" t="inlineStr">
        <is>
          <t>Em 2026</t>
        </is>
      </c>
      <c r="E4167" s="28" t="n">
        <v>46248</v>
      </c>
      <c r="F4167" t="inlineStr">
        <is>
          <t>CT-e</t>
        </is>
      </c>
      <c r="G4167" t="inlineStr">
        <is>
          <t>000000207</t>
        </is>
      </c>
      <c r="H4167" t="inlineStr">
        <is>
          <t>DURA MAIS TRANSPORTES LTDA</t>
        </is>
      </c>
      <c r="J4167" s="29" t="n">
        <v>13500</v>
      </c>
      <c r="K4167" s="29">
        <f>(1-ISNUMBER(SEARCH("556",M4167)))*(O4167*SUMIFS(Premissas!$C$5:$C$44,Premissas!$A$5:$A$44,$A4167,Premissas!$B$5:$B$44,$B4167)+P4167*SUMIFS(Premissas!$D$5:$D$44,Premissas!$A$5:$A$44,$A4167,Premissas!$B$5:$B$44,$B4167))+R4167*SUMIFS(Premissas!$E$5:$E$44,Premissas!$A$5:$A$44,$A4167,Premissas!$B$5:$B$44,$B4167)+S4167*SUMIFS(Premissas!$F$5:$F$44,Premissas!$A$5:$A$44,$A4167,Premissas!$B$5:$B$44,$B4167)</f>
        <v/>
      </c>
      <c r="L4167" s="29">
        <f>J4167-K4167</f>
        <v/>
      </c>
      <c r="M4167" t="inlineStr">
        <is>
          <t>2.350</t>
        </is>
      </c>
      <c r="N4167" t="inlineStr">
        <is>
          <t>Modalidade: 0 - Por conta do remetente | Parte: DISTRIPACK DISTRIBUIDORA DE EMBALAGENS LTDA (11.043.375/0002-36)</t>
        </is>
      </c>
      <c r="O4167" s="29" t="n">
        <v>0</v>
      </c>
      <c r="P4167" s="29" t="n">
        <v>1620</v>
      </c>
      <c r="Q4167" s="29" t="n">
        <v>0</v>
      </c>
      <c r="R4167" s="29" t="n">
        <v>0</v>
      </c>
      <c r="S4167" s="29" t="n">
        <v>0</v>
      </c>
      <c r="T4167" t="inlineStr">
        <is>
          <t>25260859256389000183570010000002071000130698</t>
        </is>
      </c>
      <c r="U4167" t="inlineStr">
        <is>
          <t>Sim</t>
        </is>
      </c>
    </row>
    <row r="4168">
      <c r="A4168" t="inlineStr">
        <is>
          <t>Frete de venda</t>
        </is>
      </c>
      <c r="B4168" t="inlineStr">
        <is>
          <t>2.01.02 Frete sobre Vendas</t>
        </is>
      </c>
      <c r="C4168" s="30" t="n">
        <v>46235</v>
      </c>
      <c r="D4168" t="inlineStr">
        <is>
          <t>Em 2026</t>
        </is>
      </c>
      <c r="E4168" s="28" t="n">
        <v>46249</v>
      </c>
      <c r="F4168" t="inlineStr">
        <is>
          <t>CT-e</t>
        </is>
      </c>
      <c r="G4168" t="inlineStr">
        <is>
          <t>000000209</t>
        </is>
      </c>
      <c r="H4168" t="inlineStr">
        <is>
          <t>DURA MAIS TRANSPORTES LTDA</t>
        </is>
      </c>
      <c r="J4168" s="29" t="n">
        <v>817.1</v>
      </c>
      <c r="K4168" s="29">
        <f>(1-ISNUMBER(SEARCH("556",M4168)))*(O4168*SUMIFS(Premissas!$C$5:$C$44,Premissas!$A$5:$A$44,$A4168,Premissas!$B$5:$B$44,$B4168)+P4168*SUMIFS(Premissas!$D$5:$D$44,Premissas!$A$5:$A$44,$A4168,Premissas!$B$5:$B$44,$B4168))+R4168*SUMIFS(Premissas!$E$5:$E$44,Premissas!$A$5:$A$44,$A4168,Premissas!$B$5:$B$44,$B4168)+S4168*SUMIFS(Premissas!$F$5:$F$44,Premissas!$A$5:$A$44,$A4168,Premissas!$B$5:$B$44,$B4168)</f>
        <v/>
      </c>
      <c r="L4168" s="29">
        <f>J4168-K4168</f>
        <v/>
      </c>
      <c r="M4168" t="inlineStr">
        <is>
          <t>2.350</t>
        </is>
      </c>
      <c r="N4168" t="inlineStr">
        <is>
          <t>Modalidade: 0 - Por conta do remetente | Parte: C.F.S.DISTRIBUIDORA LTDA (05.823.544/0001-77)</t>
        </is>
      </c>
      <c r="O4168" s="29" t="n">
        <v>0</v>
      </c>
      <c r="P4168" s="29" t="n">
        <v>98.05</v>
      </c>
      <c r="Q4168" s="29" t="n">
        <v>0</v>
      </c>
      <c r="R4168" s="29" t="n">
        <v>0</v>
      </c>
      <c r="S4168" s="29" t="n">
        <v>0</v>
      </c>
      <c r="T4168" t="inlineStr">
        <is>
          <t>25260859256389000183570010000002091000180851</t>
        </is>
      </c>
      <c r="U4168" t="inlineStr">
        <is>
          <t>Sim</t>
        </is>
      </c>
    </row>
    <row r="4169">
      <c r="A4169" t="inlineStr">
        <is>
          <t>Frete de venda</t>
        </is>
      </c>
      <c r="B4169" t="inlineStr">
        <is>
          <t>2.01.02 Frete sobre Vendas</t>
        </is>
      </c>
      <c r="C4169" s="30" t="n">
        <v>46235</v>
      </c>
      <c r="D4169" t="inlineStr">
        <is>
          <t>Em 2026</t>
        </is>
      </c>
      <c r="E4169" s="28" t="n">
        <v>46249</v>
      </c>
      <c r="F4169" t="inlineStr">
        <is>
          <t>CT-e</t>
        </is>
      </c>
      <c r="G4169" t="inlineStr">
        <is>
          <t>000000210</t>
        </is>
      </c>
      <c r="H4169" t="inlineStr">
        <is>
          <t>DURA MAIS TRANSPORTES LTDA</t>
        </is>
      </c>
      <c r="J4169" s="29" t="n">
        <v>817.1</v>
      </c>
      <c r="K4169" s="29">
        <f>(1-ISNUMBER(SEARCH("556",M4169)))*(O4169*SUMIFS(Premissas!$C$5:$C$44,Premissas!$A$5:$A$44,$A4169,Premissas!$B$5:$B$44,$B4169)+P4169*SUMIFS(Premissas!$D$5:$D$44,Premissas!$A$5:$A$44,$A4169,Premissas!$B$5:$B$44,$B4169))+R4169*SUMIFS(Premissas!$E$5:$E$44,Premissas!$A$5:$A$44,$A4169,Premissas!$B$5:$B$44,$B4169)+S4169*SUMIFS(Premissas!$F$5:$F$44,Premissas!$A$5:$A$44,$A4169,Premissas!$B$5:$B$44,$B4169)</f>
        <v/>
      </c>
      <c r="L4169" s="29">
        <f>J4169-K4169</f>
        <v/>
      </c>
      <c r="M4169" t="inlineStr">
        <is>
          <t>2.350</t>
        </is>
      </c>
      <c r="N4169" t="inlineStr">
        <is>
          <t>Modalidade: 0 - Por conta do remetente | Parte: DISTRIBUIDORA IMPERIO EMBALAGENS LTDA (28.773.623/0001-16)</t>
        </is>
      </c>
      <c r="O4169" s="29" t="n">
        <v>0</v>
      </c>
      <c r="P4169" s="29" t="n">
        <v>98.05</v>
      </c>
      <c r="Q4169" s="29" t="n">
        <v>0</v>
      </c>
      <c r="R4169" s="29" t="n">
        <v>0</v>
      </c>
      <c r="S4169" s="29" t="n">
        <v>0</v>
      </c>
      <c r="T4169" t="inlineStr">
        <is>
          <t>25260859256389000183570010000002101000150937</t>
        </is>
      </c>
      <c r="U4169" t="inlineStr">
        <is>
          <t>Sim</t>
        </is>
      </c>
    </row>
    <row r="4170">
      <c r="A4170" t="inlineStr">
        <is>
          <t>Frete de venda</t>
        </is>
      </c>
      <c r="B4170" t="inlineStr">
        <is>
          <t>2.01.02 Frete sobre Vendas</t>
        </is>
      </c>
      <c r="C4170" s="30" t="n">
        <v>46235</v>
      </c>
      <c r="D4170" t="inlineStr">
        <is>
          <t>Em 2026</t>
        </is>
      </c>
      <c r="E4170" s="28" t="n">
        <v>46249</v>
      </c>
      <c r="F4170" t="inlineStr">
        <is>
          <t>CT-e</t>
        </is>
      </c>
      <c r="G4170" t="inlineStr">
        <is>
          <t>000000211</t>
        </is>
      </c>
      <c r="H4170" t="inlineStr">
        <is>
          <t>DURA MAIS TRANSPORTES LTDA</t>
        </is>
      </c>
      <c r="J4170" s="29" t="n">
        <v>817.1</v>
      </c>
      <c r="K4170" s="29">
        <f>(1-ISNUMBER(SEARCH("556",M4170)))*(O4170*SUMIFS(Premissas!$C$5:$C$44,Premissas!$A$5:$A$44,$A4170,Premissas!$B$5:$B$44,$B4170)+P4170*SUMIFS(Premissas!$D$5:$D$44,Premissas!$A$5:$A$44,$A4170,Premissas!$B$5:$B$44,$B4170))+R4170*SUMIFS(Premissas!$E$5:$E$44,Premissas!$A$5:$A$44,$A4170,Premissas!$B$5:$B$44,$B4170)+S4170*SUMIFS(Premissas!$F$5:$F$44,Premissas!$A$5:$A$44,$A4170,Premissas!$B$5:$B$44,$B4170)</f>
        <v/>
      </c>
      <c r="L4170" s="29">
        <f>J4170-K4170</f>
        <v/>
      </c>
      <c r="M4170" t="inlineStr">
        <is>
          <t>2.350</t>
        </is>
      </c>
      <c r="N4170" t="inlineStr">
        <is>
          <t>Modalidade: 0 - Por conta do remetente | Parte: COMERCIAL DE UTILIDADES MULT MATOS LTDA (35.027.191/0001-60)</t>
        </is>
      </c>
      <c r="O4170" s="29" t="n">
        <v>0</v>
      </c>
      <c r="P4170" s="29" t="n">
        <v>98.05</v>
      </c>
      <c r="Q4170" s="29" t="n">
        <v>0</v>
      </c>
      <c r="R4170" s="29" t="n">
        <v>0</v>
      </c>
      <c r="S4170" s="29" t="n">
        <v>0</v>
      </c>
      <c r="T4170" t="inlineStr">
        <is>
          <t>25260859256389000183570010000002111001201010</t>
        </is>
      </c>
      <c r="U4170" t="inlineStr">
        <is>
          <t>Sim</t>
        </is>
      </c>
    </row>
    <row r="4171">
      <c r="A4171" t="inlineStr">
        <is>
          <t>Frete de venda</t>
        </is>
      </c>
      <c r="B4171" t="inlineStr">
        <is>
          <t>2.01.02 Frete sobre Vendas</t>
        </is>
      </c>
      <c r="C4171" s="30" t="n">
        <v>46235</v>
      </c>
      <c r="D4171" t="inlineStr">
        <is>
          <t>Em 2026</t>
        </is>
      </c>
      <c r="E4171" s="28" t="n">
        <v>46249</v>
      </c>
      <c r="F4171" t="inlineStr">
        <is>
          <t>CT-e</t>
        </is>
      </c>
      <c r="G4171" t="inlineStr">
        <is>
          <t>000000212</t>
        </is>
      </c>
      <c r="H4171" t="inlineStr">
        <is>
          <t>DURA MAIS TRANSPORTES LTDA</t>
        </is>
      </c>
      <c r="J4171" s="29" t="n">
        <v>817.1</v>
      </c>
      <c r="K4171" s="29">
        <f>(1-ISNUMBER(SEARCH("556",M4171)))*(O4171*SUMIFS(Premissas!$C$5:$C$44,Premissas!$A$5:$A$44,$A4171,Premissas!$B$5:$B$44,$B4171)+P4171*SUMIFS(Premissas!$D$5:$D$44,Premissas!$A$5:$A$44,$A4171,Premissas!$B$5:$B$44,$B4171))+R4171*SUMIFS(Premissas!$E$5:$E$44,Premissas!$A$5:$A$44,$A4171,Premissas!$B$5:$B$44,$B4171)+S4171*SUMIFS(Premissas!$F$5:$F$44,Premissas!$A$5:$A$44,$A4171,Premissas!$B$5:$B$44,$B4171)</f>
        <v/>
      </c>
      <c r="L4171" s="29">
        <f>J4171-K4171</f>
        <v/>
      </c>
      <c r="M4171" t="inlineStr">
        <is>
          <t>2.350</t>
        </is>
      </c>
      <c r="N4171" t="inlineStr">
        <is>
          <t>Modalidade: 0 - Por conta do remetente | Parte: ATACADAO DAS EMBALAGENS LTDA (08.640.127/0001-87)</t>
        </is>
      </c>
      <c r="O4171" s="29" t="n">
        <v>0</v>
      </c>
      <c r="P4171" s="29" t="n">
        <v>98.05</v>
      </c>
      <c r="Q4171" s="29" t="n">
        <v>0</v>
      </c>
      <c r="R4171" s="29" t="n">
        <v>0</v>
      </c>
      <c r="S4171" s="29" t="n">
        <v>0</v>
      </c>
      <c r="T4171" t="inlineStr">
        <is>
          <t>25260859256389000183570010000002121011001096</t>
        </is>
      </c>
      <c r="U4171" t="inlineStr">
        <is>
          <t>Sim</t>
        </is>
      </c>
    </row>
    <row r="4172">
      <c r="A4172" t="inlineStr">
        <is>
          <t>Frete de venda</t>
        </is>
      </c>
      <c r="B4172" t="inlineStr">
        <is>
          <t>2.01.02 Frete sobre Vendas</t>
        </is>
      </c>
      <c r="C4172" s="30" t="n">
        <v>46235</v>
      </c>
      <c r="D4172" t="inlineStr">
        <is>
          <t>Em 2026</t>
        </is>
      </c>
      <c r="E4172" s="28" t="n">
        <v>46249</v>
      </c>
      <c r="F4172" t="inlineStr">
        <is>
          <t>CT-e</t>
        </is>
      </c>
      <c r="G4172" t="inlineStr">
        <is>
          <t>000000213</t>
        </is>
      </c>
      <c r="H4172" t="inlineStr">
        <is>
          <t>DURA MAIS TRANSPORTES LTDA</t>
        </is>
      </c>
      <c r="J4172" s="29" t="n">
        <v>408.55</v>
      </c>
      <c r="K4172" s="29">
        <f>(1-ISNUMBER(SEARCH("556",M4172)))*(O4172*SUMIFS(Premissas!$C$5:$C$44,Premissas!$A$5:$A$44,$A4172,Premissas!$B$5:$B$44,$B4172)+P4172*SUMIFS(Premissas!$D$5:$D$44,Premissas!$A$5:$A$44,$A4172,Premissas!$B$5:$B$44,$B4172))+R4172*SUMIFS(Premissas!$E$5:$E$44,Premissas!$A$5:$A$44,$A4172,Premissas!$B$5:$B$44,$B4172)+S4172*SUMIFS(Premissas!$F$5:$F$44,Premissas!$A$5:$A$44,$A4172,Premissas!$B$5:$B$44,$B4172)</f>
        <v/>
      </c>
      <c r="L4172" s="29">
        <f>J4172-K4172</f>
        <v/>
      </c>
      <c r="M4172" t="inlineStr">
        <is>
          <t>2.350</t>
        </is>
      </c>
      <c r="N4172" t="inlineStr">
        <is>
          <t>Modalidade: 0 - Por conta do remetente | Parte: RCA COMERCIAL E FESTAS LTDA (17.058.346/0001-43)</t>
        </is>
      </c>
      <c r="O4172" s="29" t="n">
        <v>0</v>
      </c>
      <c r="P4172" s="29" t="n">
        <v>49.03</v>
      </c>
      <c r="Q4172" s="29" t="n">
        <v>0</v>
      </c>
      <c r="R4172" s="29" t="n">
        <v>0</v>
      </c>
      <c r="S4172" s="29" t="n">
        <v>0</v>
      </c>
      <c r="T4172" t="inlineStr">
        <is>
          <t>25260859256389000183570010000002131001701173</t>
        </is>
      </c>
      <c r="U4172" t="inlineStr">
        <is>
          <t>Sim</t>
        </is>
      </c>
    </row>
    <row r="4173">
      <c r="A4173" t="inlineStr">
        <is>
          <t>Frete de venda</t>
        </is>
      </c>
      <c r="B4173" t="inlineStr">
        <is>
          <t>2.01.02 Frete sobre Vendas</t>
        </is>
      </c>
      <c r="C4173" s="30" t="n">
        <v>46235</v>
      </c>
      <c r="D4173" t="inlineStr">
        <is>
          <t>Em 2026</t>
        </is>
      </c>
      <c r="E4173" s="28" t="n">
        <v>46249</v>
      </c>
      <c r="F4173" t="inlineStr">
        <is>
          <t>CT-e</t>
        </is>
      </c>
      <c r="G4173" t="inlineStr">
        <is>
          <t>000000214</t>
        </is>
      </c>
      <c r="H4173" t="inlineStr">
        <is>
          <t>DURA MAIS TRANSPORTES LTDA</t>
        </is>
      </c>
      <c r="J4173" s="29" t="n">
        <v>408.55</v>
      </c>
      <c r="K4173" s="29">
        <f>(1-ISNUMBER(SEARCH("556",M4173)))*(O4173*SUMIFS(Premissas!$C$5:$C$44,Premissas!$A$5:$A$44,$A4173,Premissas!$B$5:$B$44,$B4173)+P4173*SUMIFS(Premissas!$D$5:$D$44,Premissas!$A$5:$A$44,$A4173,Premissas!$B$5:$B$44,$B4173))+R4173*SUMIFS(Premissas!$E$5:$E$44,Premissas!$A$5:$A$44,$A4173,Premissas!$B$5:$B$44,$B4173)+S4173*SUMIFS(Premissas!$F$5:$F$44,Premissas!$A$5:$A$44,$A4173,Premissas!$B$5:$B$44,$B4173)</f>
        <v/>
      </c>
      <c r="L4173" s="29">
        <f>J4173-K4173</f>
        <v/>
      </c>
      <c r="M4173" t="inlineStr">
        <is>
          <t>2.350</t>
        </is>
      </c>
      <c r="N4173" t="inlineStr">
        <is>
          <t>Modalidade: 0 - Por conta do remetente | Parte: RL EMBALAGENS E MAQUINAS LTDA (62.268.063/0001-80)</t>
        </is>
      </c>
      <c r="O4173" s="29" t="n">
        <v>0</v>
      </c>
      <c r="P4173" s="29" t="n">
        <v>49.03</v>
      </c>
      <c r="Q4173" s="29" t="n">
        <v>0</v>
      </c>
      <c r="R4173" s="29" t="n">
        <v>0</v>
      </c>
      <c r="S4173" s="29" t="n">
        <v>0</v>
      </c>
      <c r="T4173" t="inlineStr">
        <is>
          <t>25260859256389000183570010000002141001401258</t>
        </is>
      </c>
      <c r="U4173" t="inlineStr">
        <is>
          <t>Sim</t>
        </is>
      </c>
    </row>
    <row r="4174">
      <c r="A4174" t="inlineStr">
        <is>
          <t>Frete de venda</t>
        </is>
      </c>
      <c r="B4174" t="inlineStr">
        <is>
          <t>2.01.02 Frete sobre Vendas</t>
        </is>
      </c>
      <c r="C4174" s="30" t="n">
        <v>46235</v>
      </c>
      <c r="D4174" t="inlineStr">
        <is>
          <t>Em 2026</t>
        </is>
      </c>
      <c r="E4174" s="28" t="n">
        <v>46249</v>
      </c>
      <c r="F4174" t="inlineStr">
        <is>
          <t>CT-e</t>
        </is>
      </c>
      <c r="G4174" t="inlineStr">
        <is>
          <t>000000215</t>
        </is>
      </c>
      <c r="H4174" t="inlineStr">
        <is>
          <t>DURA MAIS TRANSPORTES LTDA</t>
        </is>
      </c>
      <c r="J4174" s="29" t="n">
        <v>408.55</v>
      </c>
      <c r="K4174" s="29">
        <f>(1-ISNUMBER(SEARCH("556",M4174)))*(O4174*SUMIFS(Premissas!$C$5:$C$44,Premissas!$A$5:$A$44,$A4174,Premissas!$B$5:$B$44,$B4174)+P4174*SUMIFS(Premissas!$D$5:$D$44,Premissas!$A$5:$A$44,$A4174,Premissas!$B$5:$B$44,$B4174))+R4174*SUMIFS(Premissas!$E$5:$E$44,Premissas!$A$5:$A$44,$A4174,Premissas!$B$5:$B$44,$B4174)+S4174*SUMIFS(Premissas!$F$5:$F$44,Premissas!$A$5:$A$44,$A4174,Premissas!$B$5:$B$44,$B4174)</f>
        <v/>
      </c>
      <c r="L4174" s="29">
        <f>J4174-K4174</f>
        <v/>
      </c>
      <c r="M4174" t="inlineStr">
        <is>
          <t>2.350</t>
        </is>
      </c>
      <c r="N4174" t="inlineStr">
        <is>
          <t>Modalidade: 0 - Por conta do remetente | Parte: DISTRIBUIDORA DE EMBALAGENS SUACUI LTDA (10.560.122/0001-96)</t>
        </is>
      </c>
      <c r="O4174" s="29" t="n">
        <v>0</v>
      </c>
      <c r="P4174" s="29" t="n">
        <v>49.03</v>
      </c>
      <c r="Q4174" s="29" t="n">
        <v>0</v>
      </c>
      <c r="R4174" s="29" t="n">
        <v>0</v>
      </c>
      <c r="S4174" s="29" t="n">
        <v>0</v>
      </c>
      <c r="T4174" t="inlineStr">
        <is>
          <t>25260859256389000183570010000002151000150607</t>
        </is>
      </c>
      <c r="U4174" t="inlineStr">
        <is>
          <t>Sim</t>
        </is>
      </c>
    </row>
    <row r="4175">
      <c r="A4175" t="inlineStr">
        <is>
          <t>Frete de venda</t>
        </is>
      </c>
      <c r="B4175" t="inlineStr">
        <is>
          <t>2.01.02 Frete sobre Vendas</t>
        </is>
      </c>
      <c r="C4175" s="30" t="n">
        <v>46235</v>
      </c>
      <c r="D4175" t="inlineStr">
        <is>
          <t>Em 2026</t>
        </is>
      </c>
      <c r="E4175" s="28" t="n">
        <v>46249</v>
      </c>
      <c r="F4175" t="inlineStr">
        <is>
          <t>CT-e</t>
        </is>
      </c>
      <c r="G4175" t="inlineStr">
        <is>
          <t>000000216</t>
        </is>
      </c>
      <c r="H4175" t="inlineStr">
        <is>
          <t>DURA MAIS TRANSPORTES LTDA</t>
        </is>
      </c>
      <c r="J4175" s="29" t="n">
        <v>408.55</v>
      </c>
      <c r="K4175" s="29">
        <f>(1-ISNUMBER(SEARCH("556",M4175)))*(O4175*SUMIFS(Premissas!$C$5:$C$44,Premissas!$A$5:$A$44,$A4175,Premissas!$B$5:$B$44,$B4175)+P4175*SUMIFS(Premissas!$D$5:$D$44,Premissas!$A$5:$A$44,$A4175,Premissas!$B$5:$B$44,$B4175))+R4175*SUMIFS(Premissas!$E$5:$E$44,Premissas!$A$5:$A$44,$A4175,Premissas!$B$5:$B$44,$B4175)+S4175*SUMIFS(Premissas!$F$5:$F$44,Premissas!$A$5:$A$44,$A4175,Premissas!$B$5:$B$44,$B4175)</f>
        <v/>
      </c>
      <c r="L4175" s="29">
        <f>J4175-K4175</f>
        <v/>
      </c>
      <c r="M4175" t="inlineStr">
        <is>
          <t>2.350</t>
        </is>
      </c>
      <c r="N4175" t="inlineStr">
        <is>
          <t>Modalidade: 0 - Por conta do remetente | Parte: GUILHERME DE PAULA SOARES ALVES BARBOSA (33.533.915/0001-11)</t>
        </is>
      </c>
      <c r="O4175" s="29" t="n">
        <v>0</v>
      </c>
      <c r="P4175" s="29" t="n">
        <v>49.03</v>
      </c>
      <c r="Q4175" s="29" t="n">
        <v>0</v>
      </c>
      <c r="R4175" s="29" t="n">
        <v>0</v>
      </c>
      <c r="S4175" s="29" t="n">
        <v>0</v>
      </c>
      <c r="T4175" t="inlineStr">
        <is>
          <t>25260859256389000183570010000002161000120683</t>
        </is>
      </c>
      <c r="U4175" t="inlineStr">
        <is>
          <t>Sim</t>
        </is>
      </c>
    </row>
    <row r="4176">
      <c r="A4176" t="inlineStr">
        <is>
          <t>Frete de venda</t>
        </is>
      </c>
      <c r="B4176" t="inlineStr">
        <is>
          <t>2.01.02 Frete sobre Vendas</t>
        </is>
      </c>
      <c r="C4176" s="30" t="n">
        <v>46235</v>
      </c>
      <c r="D4176" t="inlineStr">
        <is>
          <t>Em 2026</t>
        </is>
      </c>
      <c r="E4176" s="28" t="n">
        <v>46249</v>
      </c>
      <c r="F4176" t="inlineStr">
        <is>
          <t>CT-e</t>
        </is>
      </c>
      <c r="G4176" t="inlineStr">
        <is>
          <t>000000217</t>
        </is>
      </c>
      <c r="H4176" t="inlineStr">
        <is>
          <t>DURA MAIS TRANSPORTES LTDA</t>
        </is>
      </c>
      <c r="J4176" s="29" t="n">
        <v>408.55</v>
      </c>
      <c r="K4176" s="29">
        <f>(1-ISNUMBER(SEARCH("556",M4176)))*(O4176*SUMIFS(Premissas!$C$5:$C$44,Premissas!$A$5:$A$44,$A4176,Premissas!$B$5:$B$44,$B4176)+P4176*SUMIFS(Premissas!$D$5:$D$44,Premissas!$A$5:$A$44,$A4176,Premissas!$B$5:$B$44,$B4176))+R4176*SUMIFS(Premissas!$E$5:$E$44,Premissas!$A$5:$A$44,$A4176,Premissas!$B$5:$B$44,$B4176)+S4176*SUMIFS(Premissas!$F$5:$F$44,Premissas!$A$5:$A$44,$A4176,Premissas!$B$5:$B$44,$B4176)</f>
        <v/>
      </c>
      <c r="L4176" s="29">
        <f>J4176-K4176</f>
        <v/>
      </c>
      <c r="M4176" t="inlineStr">
        <is>
          <t>2.350</t>
        </is>
      </c>
      <c r="N4176" t="inlineStr">
        <is>
          <t>Modalidade: 0 - Por conta do remetente | Parte: PINGO EMBALAGENS LTDA (02.959.832/0001-65)</t>
        </is>
      </c>
      <c r="O4176" s="29" t="n">
        <v>0</v>
      </c>
      <c r="P4176" s="29" t="n">
        <v>49.03</v>
      </c>
      <c r="Q4176" s="29" t="n">
        <v>0</v>
      </c>
      <c r="R4176" s="29" t="n">
        <v>0</v>
      </c>
      <c r="S4176" s="29" t="n">
        <v>0</v>
      </c>
      <c r="T4176" t="inlineStr">
        <is>
          <t>25260859256389000183570010000002171001100764</t>
        </is>
      </c>
      <c r="U4176" t="inlineStr">
        <is>
          <t>Sim</t>
        </is>
      </c>
    </row>
    <row r="4177">
      <c r="A4177" t="inlineStr">
        <is>
          <t>Frete de venda</t>
        </is>
      </c>
      <c r="B4177" t="inlineStr">
        <is>
          <t>2.01.02 Frete sobre Vendas</t>
        </is>
      </c>
      <c r="C4177" s="30" t="n">
        <v>46235</v>
      </c>
      <c r="D4177" t="inlineStr">
        <is>
          <t>Em 2026</t>
        </is>
      </c>
      <c r="E4177" s="28" t="n">
        <v>46249</v>
      </c>
      <c r="F4177" t="inlineStr">
        <is>
          <t>CT-e</t>
        </is>
      </c>
      <c r="G4177" t="inlineStr">
        <is>
          <t>000000218</t>
        </is>
      </c>
      <c r="H4177" t="inlineStr">
        <is>
          <t>DURA MAIS TRANSPORTES LTDA</t>
        </is>
      </c>
      <c r="J4177" s="29" t="n">
        <v>408.55</v>
      </c>
      <c r="K4177" s="29">
        <f>(1-ISNUMBER(SEARCH("556",M4177)))*(O4177*SUMIFS(Premissas!$C$5:$C$44,Premissas!$A$5:$A$44,$A4177,Premissas!$B$5:$B$44,$B4177)+P4177*SUMIFS(Premissas!$D$5:$D$44,Premissas!$A$5:$A$44,$A4177,Premissas!$B$5:$B$44,$B4177))+R4177*SUMIFS(Premissas!$E$5:$E$44,Premissas!$A$5:$A$44,$A4177,Premissas!$B$5:$B$44,$B4177)+S4177*SUMIFS(Premissas!$F$5:$F$44,Premissas!$A$5:$A$44,$A4177,Premissas!$B$5:$B$44,$B4177)</f>
        <v/>
      </c>
      <c r="L4177" s="29">
        <f>J4177-K4177</f>
        <v/>
      </c>
      <c r="M4177" t="inlineStr">
        <is>
          <t>2.350</t>
        </is>
      </c>
      <c r="N4177" t="inlineStr">
        <is>
          <t>Modalidade: 0 - Por conta do remetente | Parte: A e V COMERCIO DE EMBALAGENS LTDA (05.419.034/0001-39)</t>
        </is>
      </c>
      <c r="O4177" s="29" t="n">
        <v>0</v>
      </c>
      <c r="P4177" s="29" t="n">
        <v>49.03</v>
      </c>
      <c r="Q4177" s="29" t="n">
        <v>0</v>
      </c>
      <c r="R4177" s="29" t="n">
        <v>0</v>
      </c>
      <c r="S4177" s="29" t="n">
        <v>0</v>
      </c>
      <c r="T4177" t="inlineStr">
        <is>
          <t>25260859256389000183570010000002181000170847</t>
        </is>
      </c>
      <c r="U4177" t="inlineStr">
        <is>
          <t>Sim</t>
        </is>
      </c>
    </row>
    <row r="4178">
      <c r="A4178" t="inlineStr">
        <is>
          <t>Frete de venda</t>
        </is>
      </c>
      <c r="B4178" t="inlineStr">
        <is>
          <t>2.01.02 Frete sobre Vendas</t>
        </is>
      </c>
      <c r="C4178" s="30" t="n">
        <v>46235</v>
      </c>
      <c r="D4178" t="inlineStr">
        <is>
          <t>Em 2026</t>
        </is>
      </c>
      <c r="E4178" s="28" t="n">
        <v>46249</v>
      </c>
      <c r="F4178" t="inlineStr">
        <is>
          <t>CT-e</t>
        </is>
      </c>
      <c r="G4178" t="inlineStr">
        <is>
          <t>000000219</t>
        </is>
      </c>
      <c r="H4178" t="inlineStr">
        <is>
          <t>DURA MAIS TRANSPORTES LTDA</t>
        </is>
      </c>
      <c r="J4178" s="29" t="n">
        <v>408.55</v>
      </c>
      <c r="K4178" s="29">
        <f>(1-ISNUMBER(SEARCH("556",M4178)))*(O4178*SUMIFS(Premissas!$C$5:$C$44,Premissas!$A$5:$A$44,$A4178,Premissas!$B$5:$B$44,$B4178)+P4178*SUMIFS(Premissas!$D$5:$D$44,Premissas!$A$5:$A$44,$A4178,Premissas!$B$5:$B$44,$B4178))+R4178*SUMIFS(Premissas!$E$5:$E$44,Premissas!$A$5:$A$44,$A4178,Premissas!$B$5:$B$44,$B4178)+S4178*SUMIFS(Premissas!$F$5:$F$44,Premissas!$A$5:$A$44,$A4178,Premissas!$B$5:$B$44,$B4178)</f>
        <v/>
      </c>
      <c r="L4178" s="29">
        <f>J4178-K4178</f>
        <v/>
      </c>
      <c r="M4178" t="inlineStr">
        <is>
          <t>2.350</t>
        </is>
      </c>
      <c r="N4178" t="inlineStr">
        <is>
          <t>Modalidade: 0 - Por conta do remetente | Parte: VALE DO ACO EMBALAGENS LTDA (11.019.078/0003-36)</t>
        </is>
      </c>
      <c r="O4178" s="29" t="n">
        <v>0</v>
      </c>
      <c r="P4178" s="29" t="n">
        <v>49.03</v>
      </c>
      <c r="Q4178" s="29" t="n">
        <v>0</v>
      </c>
      <c r="R4178" s="29" t="n">
        <v>0</v>
      </c>
      <c r="S4178" s="29" t="n">
        <v>0</v>
      </c>
      <c r="T4178" t="inlineStr">
        <is>
          <t>25260859256389000183570010000002191000140929</t>
        </is>
      </c>
      <c r="U4178" t="inlineStr">
        <is>
          <t>Sim</t>
        </is>
      </c>
    </row>
    <row r="4179">
      <c r="A4179" t="inlineStr">
        <is>
          <t>Frete de venda</t>
        </is>
      </c>
      <c r="B4179" t="inlineStr">
        <is>
          <t>2.01.02 Frete sobre Vendas</t>
        </is>
      </c>
      <c r="C4179" s="30" t="n">
        <v>46235</v>
      </c>
      <c r="D4179" t="inlineStr">
        <is>
          <t>Em 2026</t>
        </is>
      </c>
      <c r="E4179" s="28" t="n">
        <v>46249</v>
      </c>
      <c r="F4179" t="inlineStr">
        <is>
          <t>CT-e</t>
        </is>
      </c>
      <c r="G4179" t="inlineStr">
        <is>
          <t>000000220</t>
        </is>
      </c>
      <c r="H4179" t="inlineStr">
        <is>
          <t>DURA MAIS TRANSPORTES LTDA</t>
        </is>
      </c>
      <c r="J4179" s="29" t="n">
        <v>408.55</v>
      </c>
      <c r="K4179" s="29">
        <f>(1-ISNUMBER(SEARCH("556",M4179)))*(O4179*SUMIFS(Premissas!$C$5:$C$44,Premissas!$A$5:$A$44,$A4179,Premissas!$B$5:$B$44,$B4179)+P4179*SUMIFS(Premissas!$D$5:$D$44,Premissas!$A$5:$A$44,$A4179,Premissas!$B$5:$B$44,$B4179))+R4179*SUMIFS(Premissas!$E$5:$E$44,Premissas!$A$5:$A$44,$A4179,Premissas!$B$5:$B$44,$B4179)+S4179*SUMIFS(Premissas!$F$5:$F$44,Premissas!$A$5:$A$44,$A4179,Premissas!$B$5:$B$44,$B4179)</f>
        <v/>
      </c>
      <c r="L4179" s="29">
        <f>J4179-K4179</f>
        <v/>
      </c>
      <c r="M4179" t="inlineStr">
        <is>
          <t>2.350</t>
        </is>
      </c>
      <c r="N4179" t="inlineStr">
        <is>
          <t>Modalidade: 0 - Por conta do remetente | Parte: EMBALAGENS DONA BEJA LTDA (07.708.583/0001-59)</t>
        </is>
      </c>
      <c r="O4179" s="29" t="n">
        <v>0</v>
      </c>
      <c r="P4179" s="29" t="n">
        <v>49.03</v>
      </c>
      <c r="Q4179" s="29" t="n">
        <v>0</v>
      </c>
      <c r="R4179" s="29" t="n">
        <v>0</v>
      </c>
      <c r="S4179" s="29" t="n">
        <v>0</v>
      </c>
      <c r="T4179" t="inlineStr">
        <is>
          <t>25260859256389000183570010000002201001101006</t>
        </is>
      </c>
      <c r="U4179" t="inlineStr">
        <is>
          <t>Sim</t>
        </is>
      </c>
    </row>
    <row r="4180">
      <c r="A4180" t="inlineStr">
        <is>
          <t>Frete de venda</t>
        </is>
      </c>
      <c r="B4180" t="inlineStr">
        <is>
          <t>2.01.02 Frete sobre Vendas</t>
        </is>
      </c>
      <c r="C4180" s="30" t="n">
        <v>46235</v>
      </c>
      <c r="D4180" t="inlineStr">
        <is>
          <t>Em 2026</t>
        </is>
      </c>
      <c r="E4180" s="28" t="n">
        <v>46249</v>
      </c>
      <c r="F4180" t="inlineStr">
        <is>
          <t>CT-e</t>
        </is>
      </c>
      <c r="G4180" t="inlineStr">
        <is>
          <t>000000221</t>
        </is>
      </c>
      <c r="H4180" t="inlineStr">
        <is>
          <t>DURA MAIS TRANSPORTES LTDA</t>
        </is>
      </c>
      <c r="J4180" s="29" t="n">
        <v>408.55</v>
      </c>
      <c r="K4180" s="29">
        <f>(1-ISNUMBER(SEARCH("556",M4180)))*(O4180*SUMIFS(Premissas!$C$5:$C$44,Premissas!$A$5:$A$44,$A4180,Premissas!$B$5:$B$44,$B4180)+P4180*SUMIFS(Premissas!$D$5:$D$44,Premissas!$A$5:$A$44,$A4180,Premissas!$B$5:$B$44,$B4180))+R4180*SUMIFS(Premissas!$E$5:$E$44,Premissas!$A$5:$A$44,$A4180,Premissas!$B$5:$B$44,$B4180)+S4180*SUMIFS(Premissas!$F$5:$F$44,Premissas!$A$5:$A$44,$A4180,Premissas!$B$5:$B$44,$B4180)</f>
        <v/>
      </c>
      <c r="L4180" s="29">
        <f>J4180-K4180</f>
        <v/>
      </c>
      <c r="M4180" t="inlineStr">
        <is>
          <t>2.350</t>
        </is>
      </c>
      <c r="N4180" t="inlineStr">
        <is>
          <t>Modalidade: 0 - Por conta do remetente | Parte: ITAVALE DISTRIBUIDORA LTDA (05.452.972/0001-30)</t>
        </is>
      </c>
      <c r="O4180" s="29" t="n">
        <v>0</v>
      </c>
      <c r="P4180" s="29" t="n">
        <v>49.03</v>
      </c>
      <c r="Q4180" s="29" t="n">
        <v>0</v>
      </c>
      <c r="R4180" s="29" t="n">
        <v>0</v>
      </c>
      <c r="S4180" s="29" t="n">
        <v>0</v>
      </c>
      <c r="T4180" t="inlineStr">
        <is>
          <t>25260859256389000183570010000002211001901085</t>
        </is>
      </c>
      <c r="U4180" t="inlineStr">
        <is>
          <t>Sim</t>
        </is>
      </c>
    </row>
    <row r="4181">
      <c r="A4181" t="inlineStr">
        <is>
          <t>Frete de venda</t>
        </is>
      </c>
      <c r="B4181" t="inlineStr">
        <is>
          <t>2.01.02 Frete sobre Vendas</t>
        </is>
      </c>
      <c r="C4181" s="30" t="n">
        <v>46235</v>
      </c>
      <c r="D4181" t="inlineStr">
        <is>
          <t>Em 2026</t>
        </is>
      </c>
      <c r="E4181" s="28" t="n">
        <v>46249</v>
      </c>
      <c r="F4181" t="inlineStr">
        <is>
          <t>CT-e</t>
        </is>
      </c>
      <c r="G4181" t="inlineStr">
        <is>
          <t>000000222</t>
        </is>
      </c>
      <c r="H4181" t="inlineStr">
        <is>
          <t>DURA MAIS TRANSPORTES LTDA</t>
        </is>
      </c>
      <c r="J4181" s="29" t="n">
        <v>408.55</v>
      </c>
      <c r="K4181" s="29">
        <f>(1-ISNUMBER(SEARCH("556",M4181)))*(O4181*SUMIFS(Premissas!$C$5:$C$44,Premissas!$A$5:$A$44,$A4181,Premissas!$B$5:$B$44,$B4181)+P4181*SUMIFS(Premissas!$D$5:$D$44,Premissas!$A$5:$A$44,$A4181,Premissas!$B$5:$B$44,$B4181))+R4181*SUMIFS(Premissas!$E$5:$E$44,Premissas!$A$5:$A$44,$A4181,Premissas!$B$5:$B$44,$B4181)+S4181*SUMIFS(Premissas!$F$5:$F$44,Premissas!$A$5:$A$44,$A4181,Premissas!$B$5:$B$44,$B4181)</f>
        <v/>
      </c>
      <c r="L4181" s="29">
        <f>J4181-K4181</f>
        <v/>
      </c>
      <c r="M4181" t="inlineStr">
        <is>
          <t>2.350</t>
        </is>
      </c>
      <c r="N4181" t="inlineStr">
        <is>
          <t>Modalidade: 0 - Por conta do remetente | Parte: DISTRIBUIDORA ISAGAM LTDA (41.809.575/0001-37)</t>
        </is>
      </c>
      <c r="O4181" s="29" t="n">
        <v>0</v>
      </c>
      <c r="P4181" s="29" t="n">
        <v>49.03</v>
      </c>
      <c r="Q4181" s="29" t="n">
        <v>0</v>
      </c>
      <c r="R4181" s="29" t="n">
        <v>0</v>
      </c>
      <c r="S4181" s="29" t="n">
        <v>0</v>
      </c>
      <c r="T4181" t="inlineStr">
        <is>
          <t>25260859256389000183570010000002221001601160</t>
        </is>
      </c>
      <c r="U4181" t="inlineStr">
        <is>
          <t>Sim</t>
        </is>
      </c>
    </row>
    <row r="4182">
      <c r="A4182" t="inlineStr">
        <is>
          <t>Frete de venda</t>
        </is>
      </c>
      <c r="B4182" t="inlineStr">
        <is>
          <t>2.01.02 Frete sobre Vendas</t>
        </is>
      </c>
      <c r="C4182" s="30" t="n">
        <v>46235</v>
      </c>
      <c r="D4182" t="inlineStr">
        <is>
          <t>Em 2026</t>
        </is>
      </c>
      <c r="E4182" s="28" t="n">
        <v>46249</v>
      </c>
      <c r="F4182" t="inlineStr">
        <is>
          <t>CT-e</t>
        </is>
      </c>
      <c r="G4182" t="inlineStr">
        <is>
          <t>000000223</t>
        </is>
      </c>
      <c r="H4182" t="inlineStr">
        <is>
          <t>DURA MAIS TRANSPORTES LTDA</t>
        </is>
      </c>
      <c r="J4182" s="29" t="n">
        <v>408.55</v>
      </c>
      <c r="K4182" s="29">
        <f>(1-ISNUMBER(SEARCH("556",M4182)))*(O4182*SUMIFS(Premissas!$C$5:$C$44,Premissas!$A$5:$A$44,$A4182,Premissas!$B$5:$B$44,$B4182)+P4182*SUMIFS(Premissas!$D$5:$D$44,Premissas!$A$5:$A$44,$A4182,Premissas!$B$5:$B$44,$B4182))+R4182*SUMIFS(Premissas!$E$5:$E$44,Premissas!$A$5:$A$44,$A4182,Premissas!$B$5:$B$44,$B4182)+S4182*SUMIFS(Premissas!$F$5:$F$44,Premissas!$A$5:$A$44,$A4182,Premissas!$B$5:$B$44,$B4182)</f>
        <v/>
      </c>
      <c r="L4182" s="29">
        <f>J4182-K4182</f>
        <v/>
      </c>
      <c r="M4182" t="inlineStr">
        <is>
          <t>2.350</t>
        </is>
      </c>
      <c r="N4182" t="inlineStr">
        <is>
          <t>Modalidade: 0 - Por conta do remetente | Parte: VALE DO ACO EMBALAGENS LTDA (11.019.078/0001-74)</t>
        </is>
      </c>
      <c r="O4182" s="29" t="n">
        <v>0</v>
      </c>
      <c r="P4182" s="29" t="n">
        <v>49.03</v>
      </c>
      <c r="Q4182" s="29" t="n">
        <v>0</v>
      </c>
      <c r="R4182" s="29" t="n">
        <v>0</v>
      </c>
      <c r="S4182" s="29" t="n">
        <v>0</v>
      </c>
      <c r="T4182" t="inlineStr">
        <is>
          <t>25260859256389000183570010000002231001301244</t>
        </is>
      </c>
      <c r="U4182" t="inlineStr">
        <is>
          <t>Sim</t>
        </is>
      </c>
    </row>
    <row r="4183">
      <c r="A4183" t="inlineStr">
        <is>
          <t>Frete de venda</t>
        </is>
      </c>
      <c r="B4183" t="inlineStr">
        <is>
          <t>2.01.02 Frete sobre Vendas</t>
        </is>
      </c>
      <c r="C4183" s="30" t="n">
        <v>46235</v>
      </c>
      <c r="D4183" t="inlineStr">
        <is>
          <t>Em 2026</t>
        </is>
      </c>
      <c r="E4183" s="28" t="n">
        <v>46249</v>
      </c>
      <c r="F4183" t="inlineStr">
        <is>
          <t>CT-e</t>
        </is>
      </c>
      <c r="G4183" t="inlineStr">
        <is>
          <t>000000224</t>
        </is>
      </c>
      <c r="H4183" t="inlineStr">
        <is>
          <t>DURA MAIS TRANSPORTES LTDA</t>
        </is>
      </c>
      <c r="J4183" s="29" t="n">
        <v>408.55</v>
      </c>
      <c r="K4183" s="29">
        <f>(1-ISNUMBER(SEARCH("556",M4183)))*(O4183*SUMIFS(Premissas!$C$5:$C$44,Premissas!$A$5:$A$44,$A4183,Premissas!$B$5:$B$44,$B4183)+P4183*SUMIFS(Premissas!$D$5:$D$44,Premissas!$A$5:$A$44,$A4183,Premissas!$B$5:$B$44,$B4183))+R4183*SUMIFS(Premissas!$E$5:$E$44,Premissas!$A$5:$A$44,$A4183,Premissas!$B$5:$B$44,$B4183)+S4183*SUMIFS(Premissas!$F$5:$F$44,Premissas!$A$5:$A$44,$A4183,Premissas!$B$5:$B$44,$B4183)</f>
        <v/>
      </c>
      <c r="L4183" s="29">
        <f>J4183-K4183</f>
        <v/>
      </c>
      <c r="M4183" t="inlineStr">
        <is>
          <t>2.350</t>
        </is>
      </c>
      <c r="N4183" t="inlineStr">
        <is>
          <t>Modalidade: 0 - Por conta do remetente | Parte: ND FESTAS LTDA (15.615.417/0001-36)</t>
        </is>
      </c>
      <c r="O4183" s="29" t="n">
        <v>0</v>
      </c>
      <c r="P4183" s="29" t="n">
        <v>49.03</v>
      </c>
      <c r="Q4183" s="29" t="n">
        <v>0</v>
      </c>
      <c r="R4183" s="29" t="n">
        <v>0</v>
      </c>
      <c r="S4183" s="29" t="n">
        <v>0</v>
      </c>
      <c r="T4183" t="inlineStr">
        <is>
          <t>25260859256389000183570010000002241000101320</t>
        </is>
      </c>
      <c r="U4183" t="inlineStr">
        <is>
          <t>Sim</t>
        </is>
      </c>
    </row>
    <row r="4184">
      <c r="A4184" t="inlineStr">
        <is>
          <t>Frete de venda</t>
        </is>
      </c>
      <c r="B4184" t="inlineStr">
        <is>
          <t>2.01.02 Frete sobre Vendas</t>
        </is>
      </c>
      <c r="C4184" s="30" t="n">
        <v>46235</v>
      </c>
      <c r="D4184" t="inlineStr">
        <is>
          <t>Em 2026</t>
        </is>
      </c>
      <c r="E4184" s="28" t="n">
        <v>46249</v>
      </c>
      <c r="F4184" t="inlineStr">
        <is>
          <t>CT-e</t>
        </is>
      </c>
      <c r="G4184" t="inlineStr">
        <is>
          <t>000000225</t>
        </is>
      </c>
      <c r="H4184" t="inlineStr">
        <is>
          <t>DURA MAIS TRANSPORTES LTDA</t>
        </is>
      </c>
      <c r="J4184" s="29" t="n">
        <v>817.1</v>
      </c>
      <c r="K4184" s="29">
        <f>(1-ISNUMBER(SEARCH("556",M4184)))*(O4184*SUMIFS(Premissas!$C$5:$C$44,Premissas!$A$5:$A$44,$A4184,Premissas!$B$5:$B$44,$B4184)+P4184*SUMIFS(Premissas!$D$5:$D$44,Premissas!$A$5:$A$44,$A4184,Premissas!$B$5:$B$44,$B4184))+R4184*SUMIFS(Premissas!$E$5:$E$44,Premissas!$A$5:$A$44,$A4184,Premissas!$B$5:$B$44,$B4184)+S4184*SUMIFS(Premissas!$F$5:$F$44,Premissas!$A$5:$A$44,$A4184,Premissas!$B$5:$B$44,$B4184)</f>
        <v/>
      </c>
      <c r="L4184" s="29">
        <f>J4184-K4184</f>
        <v/>
      </c>
      <c r="M4184" t="inlineStr">
        <is>
          <t>2.350</t>
        </is>
      </c>
      <c r="N4184" t="inlineStr">
        <is>
          <t>Modalidade: 0 - Por conta do remetente | Parte: IRMAOS BATISTA REZENDE LTDA (13.916.629/0001-28)</t>
        </is>
      </c>
      <c r="O4184" s="29" t="n">
        <v>0</v>
      </c>
      <c r="P4184" s="29" t="n">
        <v>98.05</v>
      </c>
      <c r="Q4184" s="29" t="n">
        <v>0</v>
      </c>
      <c r="R4184" s="29" t="n">
        <v>0</v>
      </c>
      <c r="S4184" s="29" t="n">
        <v>0</v>
      </c>
      <c r="T4184" t="inlineStr">
        <is>
          <t>25260859256389000183570010000002251000110679</t>
        </is>
      </c>
      <c r="U4184" t="inlineStr">
        <is>
          <t>Sim</t>
        </is>
      </c>
    </row>
    <row r="4185">
      <c r="A4185" t="inlineStr">
        <is>
          <t>Frete de venda</t>
        </is>
      </c>
      <c r="B4185" t="inlineStr">
        <is>
          <t>2.01.02 Frete sobre Vendas</t>
        </is>
      </c>
      <c r="C4185" s="30" t="n">
        <v>46235</v>
      </c>
      <c r="D4185" t="inlineStr">
        <is>
          <t>Em 2026</t>
        </is>
      </c>
      <c r="E4185" s="28" t="n">
        <v>46249</v>
      </c>
      <c r="F4185" t="inlineStr">
        <is>
          <t>CT-e</t>
        </is>
      </c>
      <c r="G4185" t="inlineStr">
        <is>
          <t>000000226</t>
        </is>
      </c>
      <c r="H4185" t="inlineStr">
        <is>
          <t>DURA MAIS TRANSPORTES LTDA</t>
        </is>
      </c>
      <c r="J4185" s="29" t="n">
        <v>817.1</v>
      </c>
      <c r="K4185" s="29">
        <f>(1-ISNUMBER(SEARCH("556",M4185)))*(O4185*SUMIFS(Premissas!$C$5:$C$44,Premissas!$A$5:$A$44,$A4185,Premissas!$B$5:$B$44,$B4185)+P4185*SUMIFS(Premissas!$D$5:$D$44,Premissas!$A$5:$A$44,$A4185,Premissas!$B$5:$B$44,$B4185))+R4185*SUMIFS(Premissas!$E$5:$E$44,Premissas!$A$5:$A$44,$A4185,Premissas!$B$5:$B$44,$B4185)+S4185*SUMIFS(Premissas!$F$5:$F$44,Premissas!$A$5:$A$44,$A4185,Premissas!$B$5:$B$44,$B4185)</f>
        <v/>
      </c>
      <c r="L4185" s="29">
        <f>J4185-K4185</f>
        <v/>
      </c>
      <c r="M4185" t="inlineStr">
        <is>
          <t>2.350</t>
        </is>
      </c>
      <c r="N4185" t="inlineStr">
        <is>
          <t>Modalidade: 0 - Por conta do remetente | Parte: RD ATACADISTA LTDA (30.568.714/0001-61)</t>
        </is>
      </c>
      <c r="O4185" s="29" t="n">
        <v>0</v>
      </c>
      <c r="P4185" s="29" t="n">
        <v>98.05</v>
      </c>
      <c r="Q4185" s="29" t="n">
        <v>0</v>
      </c>
      <c r="R4185" s="29" t="n">
        <v>0</v>
      </c>
      <c r="S4185" s="29" t="n">
        <v>0</v>
      </c>
      <c r="T4185" t="inlineStr">
        <is>
          <t>25260859256389000183570010000002261000190750</t>
        </is>
      </c>
      <c r="U4185" t="inlineStr">
        <is>
          <t>Sim</t>
        </is>
      </c>
    </row>
    <row r="4186">
      <c r="A4186" t="inlineStr">
        <is>
          <t>Frete de venda</t>
        </is>
      </c>
      <c r="B4186" t="inlineStr">
        <is>
          <t>2.01.02 Frete sobre Vendas</t>
        </is>
      </c>
      <c r="C4186" s="30" t="n">
        <v>46235</v>
      </c>
      <c r="D4186" t="inlineStr">
        <is>
          <t>Em 2026</t>
        </is>
      </c>
      <c r="E4186" s="28" t="n">
        <v>46249</v>
      </c>
      <c r="F4186" t="inlineStr">
        <is>
          <t>CT-e</t>
        </is>
      </c>
      <c r="G4186" t="inlineStr">
        <is>
          <t>000000229</t>
        </is>
      </c>
      <c r="H4186" t="inlineStr">
        <is>
          <t>DURA MAIS TRANSPORTES LTDA</t>
        </is>
      </c>
      <c r="J4186" s="29" t="n">
        <v>817.1</v>
      </c>
      <c r="K4186" s="29">
        <f>(1-ISNUMBER(SEARCH("556",M4186)))*(O4186*SUMIFS(Premissas!$C$5:$C$44,Premissas!$A$5:$A$44,$A4186,Premissas!$B$5:$B$44,$B4186)+P4186*SUMIFS(Premissas!$D$5:$D$44,Premissas!$A$5:$A$44,$A4186,Premissas!$B$5:$B$44,$B4186))+R4186*SUMIFS(Premissas!$E$5:$E$44,Premissas!$A$5:$A$44,$A4186,Premissas!$B$5:$B$44,$B4186)+S4186*SUMIFS(Premissas!$F$5:$F$44,Premissas!$A$5:$A$44,$A4186,Premissas!$B$5:$B$44,$B4186)</f>
        <v/>
      </c>
      <c r="L4186" s="29">
        <f>J4186-K4186</f>
        <v/>
      </c>
      <c r="M4186" t="inlineStr">
        <is>
          <t>2.350</t>
        </is>
      </c>
      <c r="N4186" t="inlineStr">
        <is>
          <t>Modalidade: 0 - Por conta do remetente | Parte: BRAGA e BARCELOS LTDA (11.109.167/0001-01)</t>
        </is>
      </c>
      <c r="O4186" s="29" t="n">
        <v>0</v>
      </c>
      <c r="P4186" s="29" t="n">
        <v>98.05</v>
      </c>
      <c r="Q4186" s="29" t="n">
        <v>0</v>
      </c>
      <c r="R4186" s="29" t="n">
        <v>0</v>
      </c>
      <c r="S4186" s="29" t="n">
        <v>0</v>
      </c>
      <c r="T4186" t="inlineStr">
        <is>
          <t>25260859256389000183570010000002291000010991</t>
        </is>
      </c>
      <c r="U4186" t="inlineStr">
        <is>
          <t>Sim</t>
        </is>
      </c>
    </row>
    <row r="4187">
      <c r="A4187" t="inlineStr">
        <is>
          <t>Frete de venda</t>
        </is>
      </c>
      <c r="B4187" t="inlineStr">
        <is>
          <t>2.01.02 Frete sobre Vendas</t>
        </is>
      </c>
      <c r="C4187" s="30" t="n">
        <v>46235</v>
      </c>
      <c r="D4187" t="inlineStr">
        <is>
          <t>Em 2026</t>
        </is>
      </c>
      <c r="E4187" s="28" t="n">
        <v>46249</v>
      </c>
      <c r="F4187" t="inlineStr">
        <is>
          <t>CT-e</t>
        </is>
      </c>
      <c r="G4187" t="inlineStr">
        <is>
          <t>000000230</t>
        </is>
      </c>
      <c r="H4187" t="inlineStr">
        <is>
          <t>DURA MAIS TRANSPORTES LTDA</t>
        </is>
      </c>
      <c r="J4187" s="29" t="n">
        <v>817.1</v>
      </c>
      <c r="K4187" s="29">
        <f>(1-ISNUMBER(SEARCH("556",M4187)))*(O4187*SUMIFS(Premissas!$C$5:$C$44,Premissas!$A$5:$A$44,$A4187,Premissas!$B$5:$B$44,$B4187)+P4187*SUMIFS(Premissas!$D$5:$D$44,Premissas!$A$5:$A$44,$A4187,Premissas!$B$5:$B$44,$B4187))+R4187*SUMIFS(Premissas!$E$5:$E$44,Premissas!$A$5:$A$44,$A4187,Premissas!$B$5:$B$44,$B4187)+S4187*SUMIFS(Premissas!$F$5:$F$44,Premissas!$A$5:$A$44,$A4187,Premissas!$B$5:$B$44,$B4187)</f>
        <v/>
      </c>
      <c r="L4187" s="29">
        <f>J4187-K4187</f>
        <v/>
      </c>
      <c r="M4187" t="inlineStr">
        <is>
          <t>2.350</t>
        </is>
      </c>
      <c r="N4187" t="inlineStr">
        <is>
          <t>Modalidade: 0 - Por conta do remetente | Parte: DR AGUIAR COSTA LTDA (43.956.426/0001-26)</t>
        </is>
      </c>
      <c r="O4187" s="29" t="n">
        <v>0</v>
      </c>
      <c r="P4187" s="29" t="n">
        <v>98.05</v>
      </c>
      <c r="Q4187" s="29" t="n">
        <v>0</v>
      </c>
      <c r="R4187" s="29" t="n">
        <v>0</v>
      </c>
      <c r="S4187" s="29" t="n">
        <v>0</v>
      </c>
      <c r="T4187" t="inlineStr">
        <is>
          <t>25260859256389000183570010000002301001801071</t>
        </is>
      </c>
      <c r="U4187" t="inlineStr">
        <is>
          <t>Sim</t>
        </is>
      </c>
    </row>
    <row r="4188">
      <c r="A4188" t="inlineStr">
        <is>
          <t>Frete de venda</t>
        </is>
      </c>
      <c r="B4188" t="inlineStr">
        <is>
          <t>2.01.02 Frete sobre Vendas</t>
        </is>
      </c>
      <c r="C4188" s="30" t="n">
        <v>46235</v>
      </c>
      <c r="D4188" t="inlineStr">
        <is>
          <t>Em 2026</t>
        </is>
      </c>
      <c r="E4188" s="28" t="n">
        <v>46249</v>
      </c>
      <c r="F4188" t="inlineStr">
        <is>
          <t>CT-e</t>
        </is>
      </c>
      <c r="G4188" t="inlineStr">
        <is>
          <t>000000231</t>
        </is>
      </c>
      <c r="H4188" t="inlineStr">
        <is>
          <t>DURA MAIS TRANSPORTES LTDA</t>
        </is>
      </c>
      <c r="J4188" s="29" t="n">
        <v>408.55</v>
      </c>
      <c r="K4188" s="29">
        <f>(1-ISNUMBER(SEARCH("556",M4188)))*(O4188*SUMIFS(Premissas!$C$5:$C$44,Premissas!$A$5:$A$44,$A4188,Premissas!$B$5:$B$44,$B4188)+P4188*SUMIFS(Premissas!$D$5:$D$44,Premissas!$A$5:$A$44,$A4188,Premissas!$B$5:$B$44,$B4188))+R4188*SUMIFS(Premissas!$E$5:$E$44,Premissas!$A$5:$A$44,$A4188,Premissas!$B$5:$B$44,$B4188)+S4188*SUMIFS(Premissas!$F$5:$F$44,Premissas!$A$5:$A$44,$A4188,Premissas!$B$5:$B$44,$B4188)</f>
        <v/>
      </c>
      <c r="L4188" s="29">
        <f>J4188-K4188</f>
        <v/>
      </c>
      <c r="M4188" t="inlineStr">
        <is>
          <t>2.350</t>
        </is>
      </c>
      <c r="N4188" t="inlineStr">
        <is>
          <t>Modalidade: 0 - Por conta do remetente | Parte: ANAPOLIS COMERCIO ATACADISTA E VAREJISTA DE EMBALAGENS E LIM (38.099.937/0001-39)</t>
        </is>
      </c>
      <c r="O4188" s="29" t="n">
        <v>0</v>
      </c>
      <c r="P4188" s="29" t="n">
        <v>49.03</v>
      </c>
      <c r="Q4188" s="29" t="n">
        <v>0</v>
      </c>
      <c r="R4188" s="29" t="n">
        <v>0</v>
      </c>
      <c r="S4188" s="29" t="n">
        <v>0</v>
      </c>
      <c r="T4188" t="inlineStr">
        <is>
          <t>25260859256389000183570010000002311001501156</t>
        </is>
      </c>
      <c r="U4188" t="inlineStr">
        <is>
          <t>Sim</t>
        </is>
      </c>
    </row>
    <row r="4189">
      <c r="A4189" t="inlineStr">
        <is>
          <t>Frete de venda</t>
        </is>
      </c>
      <c r="B4189" t="inlineStr">
        <is>
          <t>2.01.02 Frete sobre Vendas</t>
        </is>
      </c>
      <c r="C4189" s="30" t="n">
        <v>46235</v>
      </c>
      <c r="D4189" t="inlineStr">
        <is>
          <t>Em 2026</t>
        </is>
      </c>
      <c r="E4189" s="28" t="n">
        <v>46249</v>
      </c>
      <c r="F4189" t="inlineStr">
        <is>
          <t>CT-e</t>
        </is>
      </c>
      <c r="G4189" t="inlineStr">
        <is>
          <t>000000232</t>
        </is>
      </c>
      <c r="H4189" t="inlineStr">
        <is>
          <t>DURA MAIS TRANSPORTES LTDA</t>
        </is>
      </c>
      <c r="J4189" s="29" t="n">
        <v>817.1</v>
      </c>
      <c r="K4189" s="29">
        <f>(1-ISNUMBER(SEARCH("556",M4189)))*(O4189*SUMIFS(Premissas!$C$5:$C$44,Premissas!$A$5:$A$44,$A4189,Premissas!$B$5:$B$44,$B4189)+P4189*SUMIFS(Premissas!$D$5:$D$44,Premissas!$A$5:$A$44,$A4189,Premissas!$B$5:$B$44,$B4189))+R4189*SUMIFS(Premissas!$E$5:$E$44,Premissas!$A$5:$A$44,$A4189,Premissas!$B$5:$B$44,$B4189)+S4189*SUMIFS(Premissas!$F$5:$F$44,Premissas!$A$5:$A$44,$A4189,Premissas!$B$5:$B$44,$B4189)</f>
        <v/>
      </c>
      <c r="L4189" s="29">
        <f>J4189-K4189</f>
        <v/>
      </c>
      <c r="M4189" t="inlineStr">
        <is>
          <t>2.350</t>
        </is>
      </c>
      <c r="N4189" t="inlineStr">
        <is>
          <t>Modalidade: 0 - Por conta do remetente | Parte: CASA DO CHOCOLATE COMERCIO E DISTRIBUICAO LTDA (19.940.961/0001-04)</t>
        </is>
      </c>
      <c r="O4189" s="29" t="n">
        <v>0</v>
      </c>
      <c r="P4189" s="29" t="n">
        <v>98.05</v>
      </c>
      <c r="Q4189" s="29" t="n">
        <v>0</v>
      </c>
      <c r="R4189" s="29" t="n">
        <v>0</v>
      </c>
      <c r="S4189" s="29" t="n">
        <v>0</v>
      </c>
      <c r="T4189" t="inlineStr">
        <is>
          <t>25260859256389000183570010000002321001201230</t>
        </is>
      </c>
      <c r="U4189" t="inlineStr">
        <is>
          <t>Sim</t>
        </is>
      </c>
    </row>
    <row r="4190">
      <c r="A4190" t="inlineStr">
        <is>
          <t>Frete de venda</t>
        </is>
      </c>
      <c r="B4190" t="inlineStr">
        <is>
          <t>2.01.02 Frete sobre Vendas</t>
        </is>
      </c>
      <c r="C4190" s="30" t="n">
        <v>46235</v>
      </c>
      <c r="D4190" t="inlineStr">
        <is>
          <t>Em 2026</t>
        </is>
      </c>
      <c r="E4190" s="28" t="n">
        <v>46249</v>
      </c>
      <c r="F4190" t="inlineStr">
        <is>
          <t>CT-e</t>
        </is>
      </c>
      <c r="G4190" t="inlineStr">
        <is>
          <t>000000233</t>
        </is>
      </c>
      <c r="H4190" t="inlineStr">
        <is>
          <t>DURA MAIS TRANSPORTES LTDA</t>
        </is>
      </c>
      <c r="J4190" s="29" t="n">
        <v>408.55</v>
      </c>
      <c r="K4190" s="29">
        <f>(1-ISNUMBER(SEARCH("556",M4190)))*(O4190*SUMIFS(Premissas!$C$5:$C$44,Premissas!$A$5:$A$44,$A4190,Premissas!$B$5:$B$44,$B4190)+P4190*SUMIFS(Premissas!$D$5:$D$44,Premissas!$A$5:$A$44,$A4190,Premissas!$B$5:$B$44,$B4190))+R4190*SUMIFS(Premissas!$E$5:$E$44,Premissas!$A$5:$A$44,$A4190,Premissas!$B$5:$B$44,$B4190)+S4190*SUMIFS(Premissas!$F$5:$F$44,Premissas!$A$5:$A$44,$A4190,Premissas!$B$5:$B$44,$B4190)</f>
        <v/>
      </c>
      <c r="L4190" s="29">
        <f>J4190-K4190</f>
        <v/>
      </c>
      <c r="M4190" t="inlineStr">
        <is>
          <t>2.350</t>
        </is>
      </c>
      <c r="N4190" t="inlineStr">
        <is>
          <t>Modalidade: 0 - Por conta do remetente | Parte: J. I. DE LIMA DISTRIBUIDORA DE EMBALAGENS E FRIOS (05.267.473/0001-73)</t>
        </is>
      </c>
      <c r="O4190" s="29" t="n">
        <v>0</v>
      </c>
      <c r="P4190" s="29" t="n">
        <v>49.03</v>
      </c>
      <c r="Q4190" s="29" t="n">
        <v>0</v>
      </c>
      <c r="R4190" s="29" t="n">
        <v>0</v>
      </c>
      <c r="S4190" s="29" t="n">
        <v>0</v>
      </c>
      <c r="T4190" t="inlineStr">
        <is>
          <t>25260859256389000183570010000002331011001312</t>
        </is>
      </c>
      <c r="U4190" t="inlineStr">
        <is>
          <t>Sim</t>
        </is>
      </c>
    </row>
    <row r="4191">
      <c r="A4191" t="inlineStr">
        <is>
          <t>Frete de venda</t>
        </is>
      </c>
      <c r="B4191" t="inlineStr">
        <is>
          <t>2.01.02 Frete sobre Vendas</t>
        </is>
      </c>
      <c r="C4191" s="30" t="n">
        <v>46235</v>
      </c>
      <c r="D4191" t="inlineStr">
        <is>
          <t>Em 2026</t>
        </is>
      </c>
      <c r="E4191" s="28" t="n">
        <v>46249</v>
      </c>
      <c r="F4191" t="inlineStr">
        <is>
          <t>CT-e</t>
        </is>
      </c>
      <c r="G4191" t="inlineStr">
        <is>
          <t>000000234</t>
        </is>
      </c>
      <c r="H4191" t="inlineStr">
        <is>
          <t>DURA MAIS TRANSPORTES LTDA</t>
        </is>
      </c>
      <c r="J4191" s="29" t="n">
        <v>2451.3</v>
      </c>
      <c r="K4191" s="29">
        <f>(1-ISNUMBER(SEARCH("556",M4191)))*(O4191*SUMIFS(Premissas!$C$5:$C$44,Premissas!$A$5:$A$44,$A4191,Premissas!$B$5:$B$44,$B4191)+P4191*SUMIFS(Premissas!$D$5:$D$44,Premissas!$A$5:$A$44,$A4191,Premissas!$B$5:$B$44,$B4191))+R4191*SUMIFS(Premissas!$E$5:$E$44,Premissas!$A$5:$A$44,$A4191,Premissas!$B$5:$B$44,$B4191)+S4191*SUMIFS(Premissas!$F$5:$F$44,Premissas!$A$5:$A$44,$A4191,Premissas!$B$5:$B$44,$B4191)</f>
        <v/>
      </c>
      <c r="L4191" s="29">
        <f>J4191-K4191</f>
        <v/>
      </c>
      <c r="M4191" t="inlineStr">
        <is>
          <t>2.350</t>
        </is>
      </c>
      <c r="N4191" t="inlineStr">
        <is>
          <t>Modalidade: 0 - Por conta do remetente | Parte: TYGER ATACADISTA E DISTRIBUIDORA LTDA (36.978.497/0001-64)</t>
        </is>
      </c>
      <c r="O4191" s="29" t="n">
        <v>0</v>
      </c>
      <c r="P4191" s="29" t="n">
        <v>294.16</v>
      </c>
      <c r="Q4191" s="29" t="n">
        <v>0</v>
      </c>
      <c r="R4191" s="29" t="n">
        <v>0</v>
      </c>
      <c r="S4191" s="29" t="n">
        <v>0</v>
      </c>
      <c r="T4191" t="inlineStr">
        <is>
          <t>25260859256389000183570010000002341001701394</t>
        </is>
      </c>
      <c r="U4191" t="inlineStr">
        <is>
          <t>Sim</t>
        </is>
      </c>
    </row>
    <row r="4192">
      <c r="A4192" t="inlineStr">
        <is>
          <t>Frete de venda</t>
        </is>
      </c>
      <c r="B4192" t="inlineStr">
        <is>
          <t>2.01.02 Frete sobre Vendas</t>
        </is>
      </c>
      <c r="C4192" s="30" t="n">
        <v>46235</v>
      </c>
      <c r="D4192" t="inlineStr">
        <is>
          <t>Em 2026</t>
        </is>
      </c>
      <c r="E4192" s="28" t="n">
        <v>46254</v>
      </c>
      <c r="F4192" t="inlineStr">
        <is>
          <t>CT-e</t>
        </is>
      </c>
      <c r="G4192" t="inlineStr">
        <is>
          <t>000000268</t>
        </is>
      </c>
      <c r="H4192" t="inlineStr">
        <is>
          <t>DURA MAIS TRANSPORTES LTDA</t>
        </is>
      </c>
      <c r="J4192" s="29" t="n">
        <v>1150</v>
      </c>
      <c r="K4192" s="29">
        <f>(1-ISNUMBER(SEARCH("556",M4192)))*(O4192*SUMIFS(Premissas!$C$5:$C$44,Premissas!$A$5:$A$44,$A4192,Premissas!$B$5:$B$44,$B4192)+P4192*SUMIFS(Premissas!$D$5:$D$44,Premissas!$A$5:$A$44,$A4192,Premissas!$B$5:$B$44,$B4192))+R4192*SUMIFS(Premissas!$E$5:$E$44,Premissas!$A$5:$A$44,$A4192,Premissas!$B$5:$B$44,$B4192)+S4192*SUMIFS(Premissas!$F$5:$F$44,Premissas!$A$5:$A$44,$A4192,Premissas!$B$5:$B$44,$B4192)</f>
        <v/>
      </c>
      <c r="L4192" s="29">
        <f>J4192-K4192</f>
        <v/>
      </c>
      <c r="M4192" t="inlineStr">
        <is>
          <t>2.350</t>
        </is>
      </c>
      <c r="N4192" t="inlineStr">
        <is>
          <t>Modalidade: 0 - Por conta do remetente | Parte: DCASA PRESENTES E VARIEDADES LTDA (58.974.778/0001-81)</t>
        </is>
      </c>
      <c r="O4192" s="29" t="n">
        <v>0</v>
      </c>
      <c r="P4192" s="29" t="n">
        <v>138</v>
      </c>
      <c r="Q4192" s="29" t="n">
        <v>0</v>
      </c>
      <c r="R4192" s="29" t="n">
        <v>0</v>
      </c>
      <c r="S4192" s="29" t="n">
        <v>0</v>
      </c>
      <c r="T4192" t="inlineStr">
        <is>
          <t>25260859256389000183570010000002681000170628</t>
        </is>
      </c>
      <c r="U4192" t="inlineStr">
        <is>
          <t>Sim</t>
        </is>
      </c>
    </row>
    <row r="4193">
      <c r="A4193" t="inlineStr">
        <is>
          <t>Frete de venda</t>
        </is>
      </c>
      <c r="B4193" t="inlineStr">
        <is>
          <t>2.01.02 Frete sobre Vendas</t>
        </is>
      </c>
      <c r="C4193" s="30" t="n">
        <v>46235</v>
      </c>
      <c r="D4193" t="inlineStr">
        <is>
          <t>Em 2026</t>
        </is>
      </c>
      <c r="E4193" s="28" t="n">
        <v>46254</v>
      </c>
      <c r="F4193" t="inlineStr">
        <is>
          <t>CT-e</t>
        </is>
      </c>
      <c r="G4193" t="inlineStr">
        <is>
          <t>000000269</t>
        </is>
      </c>
      <c r="H4193" t="inlineStr">
        <is>
          <t>DURA MAIS TRANSPORTES LTDA</t>
        </is>
      </c>
      <c r="J4193" s="29" t="n">
        <v>1150</v>
      </c>
      <c r="K4193" s="29">
        <f>(1-ISNUMBER(SEARCH("556",M4193)))*(O4193*SUMIFS(Premissas!$C$5:$C$44,Premissas!$A$5:$A$44,$A4193,Premissas!$B$5:$B$44,$B4193)+P4193*SUMIFS(Premissas!$D$5:$D$44,Premissas!$A$5:$A$44,$A4193,Premissas!$B$5:$B$44,$B4193))+R4193*SUMIFS(Premissas!$E$5:$E$44,Premissas!$A$5:$A$44,$A4193,Premissas!$B$5:$B$44,$B4193)+S4193*SUMIFS(Premissas!$F$5:$F$44,Premissas!$A$5:$A$44,$A4193,Premissas!$B$5:$B$44,$B4193)</f>
        <v/>
      </c>
      <c r="L4193" s="29">
        <f>J4193-K4193</f>
        <v/>
      </c>
      <c r="M4193" t="inlineStr">
        <is>
          <t>2.350</t>
        </is>
      </c>
      <c r="N4193" t="inlineStr">
        <is>
          <t>Modalidade: 0 - Por conta do remetente | Parte: ANA PAULA OLIVEIRA ARAUJO (43.154.601/0001-61)</t>
        </is>
      </c>
      <c r="O4193" s="29" t="n">
        <v>0</v>
      </c>
      <c r="P4193" s="29" t="n">
        <v>138</v>
      </c>
      <c r="Q4193" s="29" t="n">
        <v>0</v>
      </c>
      <c r="R4193" s="29" t="n">
        <v>0</v>
      </c>
      <c r="S4193" s="29" t="n">
        <v>0</v>
      </c>
      <c r="T4193" t="inlineStr">
        <is>
          <t>25260859256389000183570010000002691000140700</t>
        </is>
      </c>
      <c r="U4193" t="inlineStr">
        <is>
          <t>Sim</t>
        </is>
      </c>
    </row>
    <row r="4194">
      <c r="A4194" t="inlineStr">
        <is>
          <t>Frete de venda</t>
        </is>
      </c>
      <c r="B4194" t="inlineStr">
        <is>
          <t>2.01.02 Frete sobre Vendas</t>
        </is>
      </c>
      <c r="C4194" s="30" t="n">
        <v>46235</v>
      </c>
      <c r="D4194" t="inlineStr">
        <is>
          <t>Em 2026</t>
        </is>
      </c>
      <c r="E4194" s="28" t="n">
        <v>46254</v>
      </c>
      <c r="F4194" t="inlineStr">
        <is>
          <t>CT-e</t>
        </is>
      </c>
      <c r="G4194" t="inlineStr">
        <is>
          <t>000000270</t>
        </is>
      </c>
      <c r="H4194" t="inlineStr">
        <is>
          <t>DURA MAIS TRANSPORTES LTDA</t>
        </is>
      </c>
      <c r="J4194" s="29" t="n">
        <v>1150</v>
      </c>
      <c r="K4194" s="29">
        <f>(1-ISNUMBER(SEARCH("556",M4194)))*(O4194*SUMIFS(Premissas!$C$5:$C$44,Premissas!$A$5:$A$44,$A4194,Premissas!$B$5:$B$44,$B4194)+P4194*SUMIFS(Premissas!$D$5:$D$44,Premissas!$A$5:$A$44,$A4194,Premissas!$B$5:$B$44,$B4194))+R4194*SUMIFS(Premissas!$E$5:$E$44,Premissas!$A$5:$A$44,$A4194,Premissas!$B$5:$B$44,$B4194)+S4194*SUMIFS(Premissas!$F$5:$F$44,Premissas!$A$5:$A$44,$A4194,Premissas!$B$5:$B$44,$B4194)</f>
        <v/>
      </c>
      <c r="L4194" s="29">
        <f>J4194-K4194</f>
        <v/>
      </c>
      <c r="M4194" t="inlineStr">
        <is>
          <t>2.350</t>
        </is>
      </c>
      <c r="N4194" t="inlineStr">
        <is>
          <t>Modalidade: 0 - Por conta do remetente | Parte: ATACADAO KSA DOS DESCARTAVEIS LTDA (51.056.957/0001-90)</t>
        </is>
      </c>
      <c r="O4194" s="29" t="n">
        <v>0</v>
      </c>
      <c r="P4194" s="29" t="n">
        <v>138</v>
      </c>
      <c r="Q4194" s="29" t="n">
        <v>0</v>
      </c>
      <c r="R4194" s="29" t="n">
        <v>0</v>
      </c>
      <c r="S4194" s="29" t="n">
        <v>0</v>
      </c>
      <c r="T4194" t="inlineStr">
        <is>
          <t>25260859256389000183570010000002701000110780</t>
        </is>
      </c>
      <c r="U4194" t="inlineStr">
        <is>
          <t>Sim</t>
        </is>
      </c>
    </row>
    <row r="4195">
      <c r="A4195" t="inlineStr">
        <is>
          <t>Frete de venda</t>
        </is>
      </c>
      <c r="B4195" t="inlineStr">
        <is>
          <t>2.01.02 Frete sobre Vendas</t>
        </is>
      </c>
      <c r="C4195" s="30" t="n">
        <v>46235</v>
      </c>
      <c r="D4195" t="inlineStr">
        <is>
          <t>Em 2026</t>
        </is>
      </c>
      <c r="E4195" s="28" t="n">
        <v>46254</v>
      </c>
      <c r="F4195" t="inlineStr">
        <is>
          <t>CT-e</t>
        </is>
      </c>
      <c r="G4195" t="inlineStr">
        <is>
          <t>000000271</t>
        </is>
      </c>
      <c r="H4195" t="inlineStr">
        <is>
          <t>DURA MAIS TRANSPORTES LTDA</t>
        </is>
      </c>
      <c r="J4195" s="29" t="n">
        <v>1150</v>
      </c>
      <c r="K4195" s="29">
        <f>(1-ISNUMBER(SEARCH("556",M4195)))*(O4195*SUMIFS(Premissas!$C$5:$C$44,Premissas!$A$5:$A$44,$A4195,Premissas!$B$5:$B$44,$B4195)+P4195*SUMIFS(Premissas!$D$5:$D$44,Premissas!$A$5:$A$44,$A4195,Premissas!$B$5:$B$44,$B4195))+R4195*SUMIFS(Premissas!$E$5:$E$44,Premissas!$A$5:$A$44,$A4195,Premissas!$B$5:$B$44,$B4195)+S4195*SUMIFS(Premissas!$F$5:$F$44,Premissas!$A$5:$A$44,$A4195,Premissas!$B$5:$B$44,$B4195)</f>
        <v/>
      </c>
      <c r="L4195" s="29">
        <f>J4195-K4195</f>
        <v/>
      </c>
      <c r="M4195" t="inlineStr">
        <is>
          <t>2.350</t>
        </is>
      </c>
      <c r="N4195" t="inlineStr">
        <is>
          <t>Modalidade: 0 - Por conta do remetente | Parte: JG E BM ATACAREJO LTDA (37.667.238/0001-85)</t>
        </is>
      </c>
      <c r="O4195" s="29" t="n">
        <v>0</v>
      </c>
      <c r="P4195" s="29" t="n">
        <v>138</v>
      </c>
      <c r="Q4195" s="29" t="n">
        <v>0</v>
      </c>
      <c r="R4195" s="29" t="n">
        <v>0</v>
      </c>
      <c r="S4195" s="29" t="n">
        <v>0</v>
      </c>
      <c r="T4195" t="inlineStr">
        <is>
          <t>25260859256389000183570010000002711000190861</t>
        </is>
      </c>
      <c r="U4195" t="inlineStr">
        <is>
          <t>Sim</t>
        </is>
      </c>
    </row>
    <row r="4196">
      <c r="A4196" t="inlineStr">
        <is>
          <t>Frete de venda</t>
        </is>
      </c>
      <c r="B4196" t="inlineStr">
        <is>
          <t>2.01.02 Frete sobre Vendas</t>
        </is>
      </c>
      <c r="C4196" s="30" t="n">
        <v>46235</v>
      </c>
      <c r="D4196" t="inlineStr">
        <is>
          <t>Em 2026</t>
        </is>
      </c>
      <c r="E4196" s="28" t="n">
        <v>46254</v>
      </c>
      <c r="F4196" t="inlineStr">
        <is>
          <t>CT-e</t>
        </is>
      </c>
      <c r="G4196" t="inlineStr">
        <is>
          <t>000000272</t>
        </is>
      </c>
      <c r="H4196" t="inlineStr">
        <is>
          <t>DURA MAIS TRANSPORTES LTDA</t>
        </is>
      </c>
      <c r="J4196" s="29" t="n">
        <v>1150</v>
      </c>
      <c r="K4196" s="29">
        <f>(1-ISNUMBER(SEARCH("556",M4196)))*(O4196*SUMIFS(Premissas!$C$5:$C$44,Premissas!$A$5:$A$44,$A4196,Premissas!$B$5:$B$44,$B4196)+P4196*SUMIFS(Premissas!$D$5:$D$44,Premissas!$A$5:$A$44,$A4196,Premissas!$B$5:$B$44,$B4196))+R4196*SUMIFS(Premissas!$E$5:$E$44,Premissas!$A$5:$A$44,$A4196,Premissas!$B$5:$B$44,$B4196)+S4196*SUMIFS(Premissas!$F$5:$F$44,Premissas!$A$5:$A$44,$A4196,Premissas!$B$5:$B$44,$B4196)</f>
        <v/>
      </c>
      <c r="L4196" s="29">
        <f>J4196-K4196</f>
        <v/>
      </c>
      <c r="M4196" t="inlineStr">
        <is>
          <t>2.350</t>
        </is>
      </c>
      <c r="N4196" t="inlineStr">
        <is>
          <t>Modalidade: 0 - Por conta do remetente | Parte: PRASO PLATAFORMA DE COMERCIO LTDA. (42.434.646/0008-01)</t>
        </is>
      </c>
      <c r="O4196" s="29" t="n">
        <v>0</v>
      </c>
      <c r="P4196" s="29" t="n">
        <v>138</v>
      </c>
      <c r="Q4196" s="29" t="n">
        <v>0</v>
      </c>
      <c r="R4196" s="29" t="n">
        <v>0</v>
      </c>
      <c r="S4196" s="29" t="n">
        <v>0</v>
      </c>
      <c r="T4196" t="inlineStr">
        <is>
          <t>25260859256389000183570010000002721000160943</t>
        </is>
      </c>
      <c r="U4196" t="inlineStr">
        <is>
          <t>Sim</t>
        </is>
      </c>
    </row>
    <row r="4197">
      <c r="A4197" t="inlineStr">
        <is>
          <t>Frete de venda</t>
        </is>
      </c>
      <c r="B4197" t="inlineStr">
        <is>
          <t>2.01.02 Frete sobre Vendas</t>
        </is>
      </c>
      <c r="C4197" s="30" t="n">
        <v>46235</v>
      </c>
      <c r="D4197" t="inlineStr">
        <is>
          <t>Em 2026</t>
        </is>
      </c>
      <c r="E4197" s="28" t="n">
        <v>46254</v>
      </c>
      <c r="F4197" t="inlineStr">
        <is>
          <t>CT-e</t>
        </is>
      </c>
      <c r="G4197" t="inlineStr">
        <is>
          <t>000000273</t>
        </is>
      </c>
      <c r="H4197" t="inlineStr">
        <is>
          <t>DURA MAIS TRANSPORTES LTDA</t>
        </is>
      </c>
      <c r="J4197" s="29" t="n">
        <v>1150</v>
      </c>
      <c r="K4197" s="29">
        <f>(1-ISNUMBER(SEARCH("556",M4197)))*(O4197*SUMIFS(Premissas!$C$5:$C$44,Premissas!$A$5:$A$44,$A4197,Premissas!$B$5:$B$44,$B4197)+P4197*SUMIFS(Premissas!$D$5:$D$44,Premissas!$A$5:$A$44,$A4197,Premissas!$B$5:$B$44,$B4197))+R4197*SUMIFS(Premissas!$E$5:$E$44,Premissas!$A$5:$A$44,$A4197,Premissas!$B$5:$B$44,$B4197)+S4197*SUMIFS(Premissas!$F$5:$F$44,Premissas!$A$5:$A$44,$A4197,Premissas!$B$5:$B$44,$B4197)</f>
        <v/>
      </c>
      <c r="L4197" s="29">
        <f>J4197-K4197</f>
        <v/>
      </c>
      <c r="M4197" t="inlineStr">
        <is>
          <t>2.350</t>
        </is>
      </c>
      <c r="N4197" t="inlineStr">
        <is>
          <t>Modalidade: 0 - Por conta do remetente | Parte: A. A. DUARTE MESQUITA LTDA (04.033.813/0001-39)</t>
        </is>
      </c>
      <c r="O4197" s="29" t="n">
        <v>0</v>
      </c>
      <c r="P4197" s="29" t="n">
        <v>138</v>
      </c>
      <c r="Q4197" s="29" t="n">
        <v>0</v>
      </c>
      <c r="R4197" s="29" t="n">
        <v>0</v>
      </c>
      <c r="S4197" s="29" t="n">
        <v>0</v>
      </c>
      <c r="T4197" t="inlineStr">
        <is>
          <t>25260859256389000183570010000002731001301025</t>
        </is>
      </c>
      <c r="U4197" t="inlineStr">
        <is>
          <t>Sim</t>
        </is>
      </c>
    </row>
    <row r="4198">
      <c r="A4198" t="inlineStr">
        <is>
          <t>Frete de venda</t>
        </is>
      </c>
      <c r="B4198" t="inlineStr">
        <is>
          <t>2.01.02 Frete sobre Vendas</t>
        </is>
      </c>
      <c r="C4198" s="30" t="n">
        <v>46235</v>
      </c>
      <c r="D4198" t="inlineStr">
        <is>
          <t>Em 2026</t>
        </is>
      </c>
      <c r="E4198" s="28" t="n">
        <v>46254</v>
      </c>
      <c r="F4198" t="inlineStr">
        <is>
          <t>CT-e</t>
        </is>
      </c>
      <c r="G4198" t="inlineStr">
        <is>
          <t>000000274</t>
        </is>
      </c>
      <c r="H4198" t="inlineStr">
        <is>
          <t>DURA MAIS TRANSPORTES LTDA</t>
        </is>
      </c>
      <c r="J4198" s="29" t="n">
        <v>1150</v>
      </c>
      <c r="K4198" s="29">
        <f>(1-ISNUMBER(SEARCH("556",M4198)))*(O4198*SUMIFS(Premissas!$C$5:$C$44,Premissas!$A$5:$A$44,$A4198,Premissas!$B$5:$B$44,$B4198)+P4198*SUMIFS(Premissas!$D$5:$D$44,Premissas!$A$5:$A$44,$A4198,Premissas!$B$5:$B$44,$B4198))+R4198*SUMIFS(Premissas!$E$5:$E$44,Premissas!$A$5:$A$44,$A4198,Premissas!$B$5:$B$44,$B4198)+S4198*SUMIFS(Premissas!$F$5:$F$44,Premissas!$A$5:$A$44,$A4198,Premissas!$B$5:$B$44,$B4198)</f>
        <v/>
      </c>
      <c r="L4198" s="29">
        <f>J4198-K4198</f>
        <v/>
      </c>
      <c r="M4198" t="inlineStr">
        <is>
          <t>2.350</t>
        </is>
      </c>
      <c r="N4198" t="inlineStr">
        <is>
          <t>Modalidade: 0 - Por conta do remetente | Parte: BM - JACKSON JEAN OLIVEIRA (32.079.958/0001-06)</t>
        </is>
      </c>
      <c r="O4198" s="29" t="n">
        <v>0</v>
      </c>
      <c r="P4198" s="29" t="n">
        <v>138</v>
      </c>
      <c r="Q4198" s="29" t="n">
        <v>0</v>
      </c>
      <c r="R4198" s="29" t="n">
        <v>0</v>
      </c>
      <c r="S4198" s="29" t="n">
        <v>0</v>
      </c>
      <c r="T4198" t="inlineStr">
        <is>
          <t>25260859256389000183570010000002741000101100</t>
        </is>
      </c>
      <c r="U4198" t="inlineStr">
        <is>
          <t>Sim</t>
        </is>
      </c>
    </row>
    <row r="4199">
      <c r="A4199" t="inlineStr">
        <is>
          <t>Frete de venda</t>
        </is>
      </c>
      <c r="B4199" t="inlineStr">
        <is>
          <t>2.01.02 Frete sobre Vendas</t>
        </is>
      </c>
      <c r="C4199" s="30" t="n">
        <v>46235</v>
      </c>
      <c r="D4199" t="inlineStr">
        <is>
          <t>Em 2026</t>
        </is>
      </c>
      <c r="E4199" s="28" t="n">
        <v>46254</v>
      </c>
      <c r="F4199" t="inlineStr">
        <is>
          <t>CT-e</t>
        </is>
      </c>
      <c r="G4199" t="inlineStr">
        <is>
          <t>000000276</t>
        </is>
      </c>
      <c r="H4199" t="inlineStr">
        <is>
          <t>DURA MAIS TRANSPORTES LTDA</t>
        </is>
      </c>
      <c r="J4199" s="29" t="n">
        <v>1150</v>
      </c>
      <c r="K4199" s="29">
        <f>(1-ISNUMBER(SEARCH("556",M4199)))*(O4199*SUMIFS(Premissas!$C$5:$C$44,Premissas!$A$5:$A$44,$A4199,Premissas!$B$5:$B$44,$B4199)+P4199*SUMIFS(Premissas!$D$5:$D$44,Premissas!$A$5:$A$44,$A4199,Premissas!$B$5:$B$44,$B4199))+R4199*SUMIFS(Premissas!$E$5:$E$44,Premissas!$A$5:$A$44,$A4199,Premissas!$B$5:$B$44,$B4199)+S4199*SUMIFS(Premissas!$F$5:$F$44,Premissas!$A$5:$A$44,$A4199,Premissas!$B$5:$B$44,$B4199)</f>
        <v/>
      </c>
      <c r="L4199" s="29">
        <f>J4199-K4199</f>
        <v/>
      </c>
      <c r="M4199" t="inlineStr">
        <is>
          <t>2.350</t>
        </is>
      </c>
      <c r="N4199" t="inlineStr">
        <is>
          <t>Modalidade: 0 - Por conta do remetente | Parte: KIPAPEIS e EMBALAGENS LTDA (59.276.339/0001-68)</t>
        </is>
      </c>
      <c r="O4199" s="29" t="n">
        <v>0</v>
      </c>
      <c r="P4199" s="29" t="n">
        <v>138</v>
      </c>
      <c r="Q4199" s="29" t="n">
        <v>0</v>
      </c>
      <c r="R4199" s="29" t="n">
        <v>0</v>
      </c>
      <c r="S4199" s="29" t="n">
        <v>0</v>
      </c>
      <c r="T4199" t="inlineStr">
        <is>
          <t>25260859256389000183570010000002761000190531</t>
        </is>
      </c>
      <c r="U4199" t="inlineStr">
        <is>
          <t>Sim</t>
        </is>
      </c>
    </row>
    <row r="4200">
      <c r="A4200" t="inlineStr">
        <is>
          <t>Frete de venda</t>
        </is>
      </c>
      <c r="B4200" t="inlineStr">
        <is>
          <t>2.01.02 Frete sobre Vendas</t>
        </is>
      </c>
      <c r="C4200" s="30" t="n">
        <v>46235</v>
      </c>
      <c r="D4200" t="inlineStr">
        <is>
          <t>Em 2026</t>
        </is>
      </c>
      <c r="E4200" s="28" t="n">
        <v>46254</v>
      </c>
      <c r="F4200" t="inlineStr">
        <is>
          <t>CT-e</t>
        </is>
      </c>
      <c r="G4200" t="inlineStr">
        <is>
          <t>000000277</t>
        </is>
      </c>
      <c r="H4200" t="inlineStr">
        <is>
          <t>DURA MAIS TRANSPORTES LTDA</t>
        </is>
      </c>
      <c r="J4200" s="29" t="n">
        <v>1150</v>
      </c>
      <c r="K4200" s="29">
        <f>(1-ISNUMBER(SEARCH("556",M4200)))*(O4200*SUMIFS(Premissas!$C$5:$C$44,Premissas!$A$5:$A$44,$A4200,Premissas!$B$5:$B$44,$B4200)+P4200*SUMIFS(Premissas!$D$5:$D$44,Premissas!$A$5:$A$44,$A4200,Premissas!$B$5:$B$44,$B4200))+R4200*SUMIFS(Premissas!$E$5:$E$44,Premissas!$A$5:$A$44,$A4200,Premissas!$B$5:$B$44,$B4200)+S4200*SUMIFS(Premissas!$F$5:$F$44,Premissas!$A$5:$A$44,$A4200,Premissas!$B$5:$B$44,$B4200)</f>
        <v/>
      </c>
      <c r="L4200" s="29">
        <f>J4200-K4200</f>
        <v/>
      </c>
      <c r="M4200" t="inlineStr">
        <is>
          <t>2.350</t>
        </is>
      </c>
      <c r="N4200" t="inlineStr">
        <is>
          <t>Modalidade: 0 - Por conta do remetente | Parte: H DOS SANTOS DA SILVA COMERCIO LTDA (18.746.652/0001-35)</t>
        </is>
      </c>
      <c r="O4200" s="29" t="n">
        <v>0</v>
      </c>
      <c r="P4200" s="29" t="n">
        <v>138</v>
      </c>
      <c r="Q4200" s="29" t="n">
        <v>0</v>
      </c>
      <c r="R4200" s="29" t="n">
        <v>0</v>
      </c>
      <c r="S4200" s="29" t="n">
        <v>0</v>
      </c>
      <c r="T4200" t="inlineStr">
        <is>
          <t>25260859256389000183570010000002771000160613</t>
        </is>
      </c>
      <c r="U4200" t="inlineStr">
        <is>
          <t>Sim</t>
        </is>
      </c>
    </row>
    <row r="4201">
      <c r="A4201" t="inlineStr">
        <is>
          <t>Frete de venda</t>
        </is>
      </c>
      <c r="B4201" t="inlineStr">
        <is>
          <t>2.01.02 Frete sobre Vendas</t>
        </is>
      </c>
      <c r="C4201" s="30" t="n">
        <v>46235</v>
      </c>
      <c r="D4201" t="inlineStr">
        <is>
          <t>Em 2026</t>
        </is>
      </c>
      <c r="E4201" s="28" t="n">
        <v>46254</v>
      </c>
      <c r="F4201" t="inlineStr">
        <is>
          <t>CT-e</t>
        </is>
      </c>
      <c r="G4201" t="inlineStr">
        <is>
          <t>000000278</t>
        </is>
      </c>
      <c r="H4201" t="inlineStr">
        <is>
          <t>DURA MAIS TRANSPORTES LTDA</t>
        </is>
      </c>
      <c r="J4201" s="29" t="n">
        <v>1150</v>
      </c>
      <c r="K4201" s="29">
        <f>(1-ISNUMBER(SEARCH("556",M4201)))*(O4201*SUMIFS(Premissas!$C$5:$C$44,Premissas!$A$5:$A$44,$A4201,Premissas!$B$5:$B$44,$B4201)+P4201*SUMIFS(Premissas!$D$5:$D$44,Premissas!$A$5:$A$44,$A4201,Premissas!$B$5:$B$44,$B4201))+R4201*SUMIFS(Premissas!$E$5:$E$44,Premissas!$A$5:$A$44,$A4201,Premissas!$B$5:$B$44,$B4201)+S4201*SUMIFS(Premissas!$F$5:$F$44,Premissas!$A$5:$A$44,$A4201,Premissas!$B$5:$B$44,$B4201)</f>
        <v/>
      </c>
      <c r="L4201" s="29">
        <f>J4201-K4201</f>
        <v/>
      </c>
      <c r="M4201" t="inlineStr">
        <is>
          <t>2.350</t>
        </is>
      </c>
      <c r="N4201" t="inlineStr">
        <is>
          <t>Modalidade: 0 - Por conta do remetente | Parte: VITORIA PLASTICO LTDA (50.990.483/0001-97)</t>
        </is>
      </c>
      <c r="O4201" s="29" t="n">
        <v>0</v>
      </c>
      <c r="P4201" s="29" t="n">
        <v>138</v>
      </c>
      <c r="Q4201" s="29" t="n">
        <v>0</v>
      </c>
      <c r="R4201" s="29" t="n">
        <v>0</v>
      </c>
      <c r="S4201" s="29" t="n">
        <v>0</v>
      </c>
      <c r="T4201" t="inlineStr">
        <is>
          <t>25260859256389000183570010000002781000130690</t>
        </is>
      </c>
      <c r="U4201" t="inlineStr">
        <is>
          <t>Sim</t>
        </is>
      </c>
    </row>
    <row r="4202">
      <c r="A4202" t="inlineStr">
        <is>
          <t>Frete de venda</t>
        </is>
      </c>
      <c r="B4202" t="inlineStr">
        <is>
          <t>2.01.02 Frete sobre Vendas</t>
        </is>
      </c>
      <c r="C4202" s="30" t="n">
        <v>46235</v>
      </c>
      <c r="D4202" t="inlineStr">
        <is>
          <t>Em 2026</t>
        </is>
      </c>
      <c r="E4202" s="28" t="n">
        <v>46254</v>
      </c>
      <c r="F4202" t="inlineStr">
        <is>
          <t>CT-e</t>
        </is>
      </c>
      <c r="G4202" t="inlineStr">
        <is>
          <t>000000279</t>
        </is>
      </c>
      <c r="H4202" t="inlineStr">
        <is>
          <t>DURA MAIS TRANSPORTES LTDA</t>
        </is>
      </c>
      <c r="J4202" s="29" t="n">
        <v>575</v>
      </c>
      <c r="K4202" s="29">
        <f>(1-ISNUMBER(SEARCH("556",M4202)))*(O4202*SUMIFS(Premissas!$C$5:$C$44,Premissas!$A$5:$A$44,$A4202,Premissas!$B$5:$B$44,$B4202)+P4202*SUMIFS(Premissas!$D$5:$D$44,Premissas!$A$5:$A$44,$A4202,Premissas!$B$5:$B$44,$B4202))+R4202*SUMIFS(Premissas!$E$5:$E$44,Premissas!$A$5:$A$44,$A4202,Premissas!$B$5:$B$44,$B4202)+S4202*SUMIFS(Premissas!$F$5:$F$44,Premissas!$A$5:$A$44,$A4202,Premissas!$B$5:$B$44,$B4202)</f>
        <v/>
      </c>
      <c r="L4202" s="29">
        <f>J4202-K4202</f>
        <v/>
      </c>
      <c r="M4202" t="inlineStr">
        <is>
          <t>2.350</t>
        </is>
      </c>
      <c r="N4202" t="inlineStr">
        <is>
          <t>Modalidade: 0 - Por conta do remetente | Parte: VK EMBALAGENS E VARIEDADES LTDA (51.159.714/0001-88)</t>
        </is>
      </c>
      <c r="O4202" s="29" t="n">
        <v>0</v>
      </c>
      <c r="P4202" s="29" t="n">
        <v>69</v>
      </c>
      <c r="Q4202" s="29" t="n">
        <v>0</v>
      </c>
      <c r="R4202" s="29" t="n">
        <v>0</v>
      </c>
      <c r="S4202" s="29" t="n">
        <v>0</v>
      </c>
      <c r="T4202" t="inlineStr">
        <is>
          <t>25260859256389000183570010000002791000010772</t>
        </is>
      </c>
      <c r="U4202" t="inlineStr">
        <is>
          <t>Sim</t>
        </is>
      </c>
    </row>
    <row r="4203">
      <c r="A4203" t="inlineStr">
        <is>
          <t>Frete de venda</t>
        </is>
      </c>
      <c r="B4203" t="inlineStr">
        <is>
          <t>2.01.02 Frete sobre Vendas</t>
        </is>
      </c>
      <c r="C4203" s="30" t="n">
        <v>46235</v>
      </c>
      <c r="D4203" t="inlineStr">
        <is>
          <t>Em 2026</t>
        </is>
      </c>
      <c r="E4203" s="28" t="n">
        <v>46254</v>
      </c>
      <c r="F4203" t="inlineStr">
        <is>
          <t>CT-e</t>
        </is>
      </c>
      <c r="G4203" t="inlineStr">
        <is>
          <t>000000280</t>
        </is>
      </c>
      <c r="H4203" t="inlineStr">
        <is>
          <t>DURA MAIS TRANSPORTES LTDA</t>
        </is>
      </c>
      <c r="J4203" s="29" t="n">
        <v>1150</v>
      </c>
      <c r="K4203" s="29">
        <f>(1-ISNUMBER(SEARCH("556",M4203)))*(O4203*SUMIFS(Premissas!$C$5:$C$44,Premissas!$A$5:$A$44,$A4203,Premissas!$B$5:$B$44,$B4203)+P4203*SUMIFS(Premissas!$D$5:$D$44,Premissas!$A$5:$A$44,$A4203,Premissas!$B$5:$B$44,$B4203))+R4203*SUMIFS(Premissas!$E$5:$E$44,Premissas!$A$5:$A$44,$A4203,Premissas!$B$5:$B$44,$B4203)+S4203*SUMIFS(Premissas!$F$5:$F$44,Premissas!$A$5:$A$44,$A4203,Premissas!$B$5:$B$44,$B4203)</f>
        <v/>
      </c>
      <c r="L4203" s="29">
        <f>J4203-K4203</f>
        <v/>
      </c>
      <c r="M4203" t="inlineStr">
        <is>
          <t>2.350</t>
        </is>
      </c>
      <c r="N4203" t="inlineStr">
        <is>
          <t>Modalidade: 0 - Por conta do remetente | Parte: R M SANTOS SILVA COMERCIO (33.971.657/0001-55)</t>
        </is>
      </c>
      <c r="O4203" s="29" t="n">
        <v>0</v>
      </c>
      <c r="P4203" s="29" t="n">
        <v>138</v>
      </c>
      <c r="Q4203" s="29" t="n">
        <v>0</v>
      </c>
      <c r="R4203" s="29" t="n">
        <v>0</v>
      </c>
      <c r="S4203" s="29" t="n">
        <v>0</v>
      </c>
      <c r="T4203" t="inlineStr">
        <is>
          <t>25260859256389000183570010000002801000180857</t>
        </is>
      </c>
      <c r="U4203" t="inlineStr">
        <is>
          <t>Sim</t>
        </is>
      </c>
    </row>
    <row r="4204">
      <c r="A4204" t="inlineStr">
        <is>
          <t>Frete de venda</t>
        </is>
      </c>
      <c r="B4204" t="inlineStr">
        <is>
          <t>2.01.02 Frete sobre Vendas</t>
        </is>
      </c>
      <c r="C4204" s="30" t="n">
        <v>46235</v>
      </c>
      <c r="D4204" t="inlineStr">
        <is>
          <t>Em 2026</t>
        </is>
      </c>
      <c r="E4204" s="28" t="n">
        <v>46254</v>
      </c>
      <c r="F4204" t="inlineStr">
        <is>
          <t>CT-e</t>
        </is>
      </c>
      <c r="G4204" t="inlineStr">
        <is>
          <t>000000281</t>
        </is>
      </c>
      <c r="H4204" t="inlineStr">
        <is>
          <t>DURA MAIS TRANSPORTES LTDA</t>
        </is>
      </c>
      <c r="J4204" s="29" t="n">
        <v>1150</v>
      </c>
      <c r="K4204" s="29">
        <f>(1-ISNUMBER(SEARCH("556",M4204)))*(O4204*SUMIFS(Premissas!$C$5:$C$44,Premissas!$A$5:$A$44,$A4204,Premissas!$B$5:$B$44,$B4204)+P4204*SUMIFS(Premissas!$D$5:$D$44,Premissas!$A$5:$A$44,$A4204,Premissas!$B$5:$B$44,$B4204))+R4204*SUMIFS(Premissas!$E$5:$E$44,Premissas!$A$5:$A$44,$A4204,Premissas!$B$5:$B$44,$B4204)+S4204*SUMIFS(Premissas!$F$5:$F$44,Premissas!$A$5:$A$44,$A4204,Premissas!$B$5:$B$44,$B4204)</f>
        <v/>
      </c>
      <c r="L4204" s="29">
        <f>J4204-K4204</f>
        <v/>
      </c>
      <c r="M4204" t="inlineStr">
        <is>
          <t>2.350</t>
        </is>
      </c>
      <c r="N4204" t="inlineStr">
        <is>
          <t>Modalidade: 0 - Por conta do remetente | Parte: DICASA PRESENTES E VARIEDADES LTDA (56.322.907/0001-21)</t>
        </is>
      </c>
      <c r="O4204" s="29" t="n">
        <v>0</v>
      </c>
      <c r="P4204" s="29" t="n">
        <v>138</v>
      </c>
      <c r="Q4204" s="29" t="n">
        <v>0</v>
      </c>
      <c r="R4204" s="29" t="n">
        <v>0</v>
      </c>
      <c r="S4204" s="29" t="n">
        <v>0</v>
      </c>
      <c r="T4204" t="inlineStr">
        <is>
          <t>25260859256389000183570010000002811011001093</t>
        </is>
      </c>
      <c r="U4204" t="inlineStr">
        <is>
          <t>Sim</t>
        </is>
      </c>
    </row>
    <row r="4205">
      <c r="A4205" t="inlineStr">
        <is>
          <t>Frete de venda</t>
        </is>
      </c>
      <c r="B4205" t="inlineStr">
        <is>
          <t>2.01.02 Frete sobre Vendas</t>
        </is>
      </c>
      <c r="C4205" s="30" t="n">
        <v>46235</v>
      </c>
      <c r="D4205" t="inlineStr">
        <is>
          <t>Em 2026</t>
        </is>
      </c>
      <c r="E4205" s="28" t="n">
        <v>46254</v>
      </c>
      <c r="F4205" t="inlineStr">
        <is>
          <t>CT-e</t>
        </is>
      </c>
      <c r="G4205" t="inlineStr">
        <is>
          <t>000000283</t>
        </is>
      </c>
      <c r="H4205" t="inlineStr">
        <is>
          <t>DURA MAIS TRANSPORTES LTDA</t>
        </is>
      </c>
      <c r="J4205" s="29" t="n">
        <v>575</v>
      </c>
      <c r="K4205" s="29">
        <f>(1-ISNUMBER(SEARCH("556",M4205)))*(O4205*SUMIFS(Premissas!$C$5:$C$44,Premissas!$A$5:$A$44,$A4205,Premissas!$B$5:$B$44,$B4205)+P4205*SUMIFS(Premissas!$D$5:$D$44,Premissas!$A$5:$A$44,$A4205,Premissas!$B$5:$B$44,$B4205))+R4205*SUMIFS(Premissas!$E$5:$E$44,Premissas!$A$5:$A$44,$A4205,Premissas!$B$5:$B$44,$B4205)+S4205*SUMIFS(Premissas!$F$5:$F$44,Premissas!$A$5:$A$44,$A4205,Premissas!$B$5:$B$44,$B4205)</f>
        <v/>
      </c>
      <c r="L4205" s="29">
        <f>J4205-K4205</f>
        <v/>
      </c>
      <c r="M4205" t="inlineStr">
        <is>
          <t>2.350</t>
        </is>
      </c>
      <c r="N4205" t="inlineStr">
        <is>
          <t>Modalidade: 0 - Por conta do remetente | Parte: DOCA COMERCIO DE PRODUTOS ALIMENTICIOS LTDA (15.258.788/0003-70)</t>
        </is>
      </c>
      <c r="O4205" s="29" t="n">
        <v>0</v>
      </c>
      <c r="P4205" s="29" t="n">
        <v>69</v>
      </c>
      <c r="Q4205" s="29" t="n">
        <v>0</v>
      </c>
      <c r="R4205" s="29" t="n">
        <v>0</v>
      </c>
      <c r="S4205" s="29" t="n">
        <v>0</v>
      </c>
      <c r="T4205" t="inlineStr">
        <is>
          <t>25260859256389000183570010000002831000180522</t>
        </is>
      </c>
      <c r="U4205" t="inlineStr">
        <is>
          <t>Sim</t>
        </is>
      </c>
    </row>
    <row r="4206">
      <c r="A4206" t="inlineStr">
        <is>
          <t>Frete de venda</t>
        </is>
      </c>
      <c r="B4206" t="inlineStr">
        <is>
          <t>2.01.02 Frete sobre Vendas</t>
        </is>
      </c>
      <c r="C4206" s="30" t="n">
        <v>46235</v>
      </c>
      <c r="D4206" t="inlineStr">
        <is>
          <t>Em 2026</t>
        </is>
      </c>
      <c r="E4206" s="28" t="n">
        <v>46254</v>
      </c>
      <c r="F4206" t="inlineStr">
        <is>
          <t>CT-e</t>
        </is>
      </c>
      <c r="G4206" t="inlineStr">
        <is>
          <t>000000284</t>
        </is>
      </c>
      <c r="H4206" t="inlineStr">
        <is>
          <t>DURA MAIS TRANSPORTES LTDA</t>
        </is>
      </c>
      <c r="J4206" s="29" t="n">
        <v>575</v>
      </c>
      <c r="K4206" s="29">
        <f>(1-ISNUMBER(SEARCH("556",M4206)))*(O4206*SUMIFS(Premissas!$C$5:$C$44,Premissas!$A$5:$A$44,$A4206,Premissas!$B$5:$B$44,$B4206)+P4206*SUMIFS(Premissas!$D$5:$D$44,Premissas!$A$5:$A$44,$A4206,Premissas!$B$5:$B$44,$B4206))+R4206*SUMIFS(Premissas!$E$5:$E$44,Premissas!$A$5:$A$44,$A4206,Premissas!$B$5:$B$44,$B4206)+S4206*SUMIFS(Premissas!$F$5:$F$44,Premissas!$A$5:$A$44,$A4206,Premissas!$B$5:$B$44,$B4206)</f>
        <v/>
      </c>
      <c r="L4206" s="29">
        <f>J4206-K4206</f>
        <v/>
      </c>
      <c r="M4206" t="inlineStr">
        <is>
          <t>2.350</t>
        </is>
      </c>
      <c r="N4206" t="inlineStr">
        <is>
          <t>Modalidade: 0 - Por conta do remetente | Parte: DOCA COMERCIO DE PRODUTOS ALIMENTICIOS LTDA (15.258.788/0001-08)</t>
        </is>
      </c>
      <c r="O4206" s="29" t="n">
        <v>0</v>
      </c>
      <c r="P4206" s="29" t="n">
        <v>69</v>
      </c>
      <c r="Q4206" s="29" t="n">
        <v>0</v>
      </c>
      <c r="R4206" s="29" t="n">
        <v>0</v>
      </c>
      <c r="S4206" s="29" t="n">
        <v>0</v>
      </c>
      <c r="T4206" t="inlineStr">
        <is>
          <t>25260859256389000183570010000002841000150604</t>
        </is>
      </c>
      <c r="U4206" t="inlineStr">
        <is>
          <t>Sim</t>
        </is>
      </c>
    </row>
    <row r="4207">
      <c r="A4207" t="inlineStr">
        <is>
          <t>Frete de venda</t>
        </is>
      </c>
      <c r="B4207" t="inlineStr">
        <is>
          <t>2.01.02 Frete sobre Vendas</t>
        </is>
      </c>
      <c r="C4207" s="30" t="n">
        <v>46235</v>
      </c>
      <c r="D4207" t="inlineStr">
        <is>
          <t>Em 2026</t>
        </is>
      </c>
      <c r="E4207" s="28" t="n">
        <v>46255</v>
      </c>
      <c r="F4207" t="inlineStr">
        <is>
          <t>CT-e</t>
        </is>
      </c>
      <c r="G4207" t="inlineStr">
        <is>
          <t>000000302</t>
        </is>
      </c>
      <c r="H4207" t="inlineStr">
        <is>
          <t>DURA MAIS TRANSPORTES LTDA</t>
        </is>
      </c>
      <c r="J4207" s="29" t="n">
        <v>1080</v>
      </c>
      <c r="K4207" s="29">
        <f>(1-ISNUMBER(SEARCH("556",M4207)))*(O4207*SUMIFS(Premissas!$C$5:$C$44,Premissas!$A$5:$A$44,$A4207,Premissas!$B$5:$B$44,$B4207)+P4207*SUMIFS(Premissas!$D$5:$D$44,Premissas!$A$5:$A$44,$A4207,Premissas!$B$5:$B$44,$B4207))+R4207*SUMIFS(Premissas!$E$5:$E$44,Premissas!$A$5:$A$44,$A4207,Premissas!$B$5:$B$44,$B4207)+S4207*SUMIFS(Premissas!$F$5:$F$44,Premissas!$A$5:$A$44,$A4207,Premissas!$B$5:$B$44,$B4207)</f>
        <v/>
      </c>
      <c r="L4207" s="29">
        <f>J4207-K4207</f>
        <v/>
      </c>
      <c r="M4207" t="inlineStr">
        <is>
          <t>2.350</t>
        </is>
      </c>
      <c r="N4207" t="inlineStr">
        <is>
          <t>Modalidade: 0 - Por conta do remetente | Parte: CASINHAPEL EMBALAGENS LTDA (13.190.805/0001-97)</t>
        </is>
      </c>
      <c r="O4207" s="29" t="n">
        <v>0</v>
      </c>
      <c r="P4207" s="29" t="n">
        <v>129.6</v>
      </c>
      <c r="Q4207" s="29" t="n">
        <v>0</v>
      </c>
      <c r="R4207" s="29" t="n">
        <v>0</v>
      </c>
      <c r="S4207" s="29" t="n">
        <v>0</v>
      </c>
      <c r="T4207" t="inlineStr">
        <is>
          <t>25260859256389000183570010000003021001901301</t>
        </is>
      </c>
      <c r="U4207" t="inlineStr">
        <is>
          <t>Sim</t>
        </is>
      </c>
    </row>
    <row r="4208">
      <c r="A4208" t="inlineStr">
        <is>
          <t>Frete de venda</t>
        </is>
      </c>
      <c r="B4208" t="inlineStr">
        <is>
          <t>2.01.02 Frete sobre Vendas</t>
        </is>
      </c>
      <c r="C4208" s="30" t="n">
        <v>46235</v>
      </c>
      <c r="D4208" t="inlineStr">
        <is>
          <t>Em 2026</t>
        </is>
      </c>
      <c r="E4208" s="28" t="n">
        <v>46255</v>
      </c>
      <c r="F4208" t="inlineStr">
        <is>
          <t>CT-e</t>
        </is>
      </c>
      <c r="G4208" t="inlineStr">
        <is>
          <t>000000303</t>
        </is>
      </c>
      <c r="H4208" t="inlineStr">
        <is>
          <t>DURA MAIS TRANSPORTES LTDA</t>
        </is>
      </c>
      <c r="J4208" s="29" t="n">
        <v>2160</v>
      </c>
      <c r="K4208" s="29">
        <f>(1-ISNUMBER(SEARCH("556",M4208)))*(O4208*SUMIFS(Premissas!$C$5:$C$44,Premissas!$A$5:$A$44,$A4208,Premissas!$B$5:$B$44,$B4208)+P4208*SUMIFS(Premissas!$D$5:$D$44,Premissas!$A$5:$A$44,$A4208,Premissas!$B$5:$B$44,$B4208))+R4208*SUMIFS(Premissas!$E$5:$E$44,Premissas!$A$5:$A$44,$A4208,Premissas!$B$5:$B$44,$B4208)+S4208*SUMIFS(Premissas!$F$5:$F$44,Premissas!$A$5:$A$44,$A4208,Premissas!$B$5:$B$44,$B4208)</f>
        <v/>
      </c>
      <c r="L4208" s="29">
        <f>J4208-K4208</f>
        <v/>
      </c>
      <c r="M4208" t="inlineStr">
        <is>
          <t>2.350</t>
        </is>
      </c>
      <c r="N4208" t="inlineStr">
        <is>
          <t>Modalidade: 0 - Por conta do remetente | Parte: DUBOM MH COMERCIAL DE PRODUTOS ALIMENTICIOS LTDA (46.677.791/0001-90)</t>
        </is>
      </c>
      <c r="O4208" s="29" t="n">
        <v>0</v>
      </c>
      <c r="P4208" s="29" t="n">
        <v>259.2</v>
      </c>
      <c r="Q4208" s="29" t="n">
        <v>0</v>
      </c>
      <c r="R4208" s="29" t="n">
        <v>0</v>
      </c>
      <c r="S4208" s="29" t="n">
        <v>0</v>
      </c>
      <c r="T4208" t="inlineStr">
        <is>
          <t>25260859256389000183570010000003031001601380</t>
        </is>
      </c>
      <c r="U4208" t="inlineStr">
        <is>
          <t>Sim</t>
        </is>
      </c>
    </row>
    <row r="4209">
      <c r="A4209" t="inlineStr">
        <is>
          <t>Frete de venda</t>
        </is>
      </c>
      <c r="B4209" t="inlineStr">
        <is>
          <t>2.01.02 Frete sobre Vendas</t>
        </is>
      </c>
      <c r="C4209" s="30" t="n">
        <v>46235</v>
      </c>
      <c r="D4209" t="inlineStr">
        <is>
          <t>Em 2026</t>
        </is>
      </c>
      <c r="E4209" s="28" t="n">
        <v>46255</v>
      </c>
      <c r="F4209" t="inlineStr">
        <is>
          <t>CT-e</t>
        </is>
      </c>
      <c r="G4209" t="inlineStr">
        <is>
          <t>000000304</t>
        </is>
      </c>
      <c r="H4209" t="inlineStr">
        <is>
          <t>DURA MAIS TRANSPORTES LTDA</t>
        </is>
      </c>
      <c r="J4209" s="29" t="n">
        <v>2160</v>
      </c>
      <c r="K4209" s="29">
        <f>(1-ISNUMBER(SEARCH("556",M4209)))*(O4209*SUMIFS(Premissas!$C$5:$C$44,Premissas!$A$5:$A$44,$A4209,Premissas!$B$5:$B$44,$B4209)+P4209*SUMIFS(Premissas!$D$5:$D$44,Premissas!$A$5:$A$44,$A4209,Premissas!$B$5:$B$44,$B4209))+R4209*SUMIFS(Premissas!$E$5:$E$44,Premissas!$A$5:$A$44,$A4209,Premissas!$B$5:$B$44,$B4209)+S4209*SUMIFS(Premissas!$F$5:$F$44,Premissas!$A$5:$A$44,$A4209,Premissas!$B$5:$B$44,$B4209)</f>
        <v/>
      </c>
      <c r="L4209" s="29">
        <f>J4209-K4209</f>
        <v/>
      </c>
      <c r="M4209" t="inlineStr">
        <is>
          <t>2.350</t>
        </is>
      </c>
      <c r="N4209" t="inlineStr">
        <is>
          <t>Modalidade: 0 - Por conta do remetente | Parte: LIDER RUBBO DISTRIBUICOES LTDA (35.355.642/0001-98)</t>
        </is>
      </c>
      <c r="O4209" s="29" t="n">
        <v>0</v>
      </c>
      <c r="P4209" s="29" t="n">
        <v>259.2</v>
      </c>
      <c r="Q4209" s="29" t="n">
        <v>0</v>
      </c>
      <c r="R4209" s="29" t="n">
        <v>0</v>
      </c>
      <c r="S4209" s="29" t="n">
        <v>0</v>
      </c>
      <c r="T4209" t="inlineStr">
        <is>
          <t>25260859256389000183570010000003041000170731</t>
        </is>
      </c>
      <c r="U4209" t="inlineStr">
        <is>
          <t>Sim</t>
        </is>
      </c>
    </row>
    <row r="4210">
      <c r="A4210" t="inlineStr">
        <is>
          <t>Frete de venda</t>
        </is>
      </c>
      <c r="B4210" t="inlineStr">
        <is>
          <t>2.01.02 Frete sobre Vendas</t>
        </is>
      </c>
      <c r="C4210" s="30" t="n">
        <v>46235</v>
      </c>
      <c r="D4210" t="inlineStr">
        <is>
          <t>Em 2026</t>
        </is>
      </c>
      <c r="E4210" s="28" t="n">
        <v>46255</v>
      </c>
      <c r="F4210" t="inlineStr">
        <is>
          <t>CT-e</t>
        </is>
      </c>
      <c r="G4210" t="inlineStr">
        <is>
          <t>000000305</t>
        </is>
      </c>
      <c r="H4210" t="inlineStr">
        <is>
          <t>DURA MAIS TRANSPORTES LTDA</t>
        </is>
      </c>
      <c r="J4210" s="29" t="n">
        <v>1080</v>
      </c>
      <c r="K4210" s="29">
        <f>(1-ISNUMBER(SEARCH("556",M4210)))*(O4210*SUMIFS(Premissas!$C$5:$C$44,Premissas!$A$5:$A$44,$A4210,Premissas!$B$5:$B$44,$B4210)+P4210*SUMIFS(Premissas!$D$5:$D$44,Premissas!$A$5:$A$44,$A4210,Premissas!$B$5:$B$44,$B4210))+R4210*SUMIFS(Premissas!$E$5:$E$44,Premissas!$A$5:$A$44,$A4210,Premissas!$B$5:$B$44,$B4210)+S4210*SUMIFS(Premissas!$F$5:$F$44,Premissas!$A$5:$A$44,$A4210,Premissas!$B$5:$B$44,$B4210)</f>
        <v/>
      </c>
      <c r="L4210" s="29">
        <f>J4210-K4210</f>
        <v/>
      </c>
      <c r="M4210" t="inlineStr">
        <is>
          <t>2.350</t>
        </is>
      </c>
      <c r="N4210" t="inlineStr">
        <is>
          <t>Modalidade: 0 - Por conta do remetente | Parte: DISTRIBUIDORA 1001 EMBALAGENS LTDA (07.188.640/0001-16)</t>
        </is>
      </c>
      <c r="O4210" s="29" t="n">
        <v>0</v>
      </c>
      <c r="P4210" s="29" t="n">
        <v>129.6</v>
      </c>
      <c r="Q4210" s="29" t="n">
        <v>0</v>
      </c>
      <c r="R4210" s="29" t="n">
        <v>0</v>
      </c>
      <c r="S4210" s="29" t="n">
        <v>0</v>
      </c>
      <c r="T4210" t="inlineStr">
        <is>
          <t>25260859256389000183570010000003051000140813</t>
        </is>
      </c>
      <c r="U4210" t="inlineStr">
        <is>
          <t>Sim</t>
        </is>
      </c>
    </row>
    <row r="4211">
      <c r="A4211" t="inlineStr">
        <is>
          <t>Frete de venda</t>
        </is>
      </c>
      <c r="B4211" t="inlineStr">
        <is>
          <t>2.01.02 Frete sobre Vendas</t>
        </is>
      </c>
      <c r="C4211" s="30" t="n">
        <v>46235</v>
      </c>
      <c r="D4211" t="inlineStr">
        <is>
          <t>Em 2026</t>
        </is>
      </c>
      <c r="E4211" s="28" t="n">
        <v>46255</v>
      </c>
      <c r="F4211" t="inlineStr">
        <is>
          <t>CT-e</t>
        </is>
      </c>
      <c r="G4211" t="inlineStr">
        <is>
          <t>000000306</t>
        </is>
      </c>
      <c r="H4211" t="inlineStr">
        <is>
          <t>DURA MAIS TRANSPORTES LTDA</t>
        </is>
      </c>
      <c r="J4211" s="29" t="n">
        <v>2160</v>
      </c>
      <c r="K4211" s="29">
        <f>(1-ISNUMBER(SEARCH("556",M4211)))*(O4211*SUMIFS(Premissas!$C$5:$C$44,Premissas!$A$5:$A$44,$A4211,Premissas!$B$5:$B$44,$B4211)+P4211*SUMIFS(Premissas!$D$5:$D$44,Premissas!$A$5:$A$44,$A4211,Premissas!$B$5:$B$44,$B4211))+R4211*SUMIFS(Premissas!$E$5:$E$44,Premissas!$A$5:$A$44,$A4211,Premissas!$B$5:$B$44,$B4211)+S4211*SUMIFS(Premissas!$F$5:$F$44,Premissas!$A$5:$A$44,$A4211,Premissas!$B$5:$B$44,$B4211)</f>
        <v/>
      </c>
      <c r="L4211" s="29">
        <f>J4211-K4211</f>
        <v/>
      </c>
      <c r="M4211" t="inlineStr">
        <is>
          <t>2.350</t>
        </is>
      </c>
      <c r="N4211" t="inlineStr">
        <is>
          <t>Modalidade: 0 - Por conta do remetente | Parte: DISTRIBUIDORA JULIANA LTDA (07.276.402/0001-62)</t>
        </is>
      </c>
      <c r="O4211" s="29" t="n">
        <v>0</v>
      </c>
      <c r="P4211" s="29" t="n">
        <v>259.2</v>
      </c>
      <c r="Q4211" s="29" t="n">
        <v>0</v>
      </c>
      <c r="R4211" s="29" t="n">
        <v>0</v>
      </c>
      <c r="S4211" s="29" t="n">
        <v>0</v>
      </c>
      <c r="T4211" t="inlineStr">
        <is>
          <t>25260859256389000183570010000003061000110890</t>
        </is>
      </c>
      <c r="U4211" t="inlineStr">
        <is>
          <t>Sim</t>
        </is>
      </c>
    </row>
    <row r="4212">
      <c r="A4212" t="inlineStr">
        <is>
          <t>Frete de venda</t>
        </is>
      </c>
      <c r="B4212" t="inlineStr">
        <is>
          <t>2.01.02 Frete sobre Vendas</t>
        </is>
      </c>
      <c r="C4212" s="30" t="n">
        <v>46235</v>
      </c>
      <c r="D4212" t="inlineStr">
        <is>
          <t>Em 2026</t>
        </is>
      </c>
      <c r="E4212" s="28" t="n">
        <v>46255</v>
      </c>
      <c r="F4212" t="inlineStr">
        <is>
          <t>CT-e</t>
        </is>
      </c>
      <c r="G4212" t="inlineStr">
        <is>
          <t>000000307</t>
        </is>
      </c>
      <c r="H4212" t="inlineStr">
        <is>
          <t>DURA MAIS TRANSPORTES LTDA</t>
        </is>
      </c>
      <c r="J4212" s="29" t="n">
        <v>2160</v>
      </c>
      <c r="K4212" s="29">
        <f>(1-ISNUMBER(SEARCH("556",M4212)))*(O4212*SUMIFS(Premissas!$C$5:$C$44,Premissas!$A$5:$A$44,$A4212,Premissas!$B$5:$B$44,$B4212)+P4212*SUMIFS(Premissas!$D$5:$D$44,Premissas!$A$5:$A$44,$A4212,Premissas!$B$5:$B$44,$B4212))+R4212*SUMIFS(Premissas!$E$5:$E$44,Premissas!$A$5:$A$44,$A4212,Premissas!$B$5:$B$44,$B4212)+S4212*SUMIFS(Premissas!$F$5:$F$44,Premissas!$A$5:$A$44,$A4212,Premissas!$B$5:$B$44,$B4212)</f>
        <v/>
      </c>
      <c r="L4212" s="29">
        <f>J4212-K4212</f>
        <v/>
      </c>
      <c r="M4212" t="inlineStr">
        <is>
          <t>2.350</t>
        </is>
      </c>
      <c r="N4212" t="inlineStr">
        <is>
          <t>Modalidade: 0 - Por conta do remetente | Parte: J P COMERCIAL DE EMBALAGENS LTDA (11.661.153/0001-04)</t>
        </is>
      </c>
      <c r="O4212" s="29" t="n">
        <v>0</v>
      </c>
      <c r="P4212" s="29" t="n">
        <v>259.2</v>
      </c>
      <c r="Q4212" s="29" t="n">
        <v>0</v>
      </c>
      <c r="R4212" s="29" t="n">
        <v>0</v>
      </c>
      <c r="S4212" s="29" t="n">
        <v>0</v>
      </c>
      <c r="T4212" t="inlineStr">
        <is>
          <t>25260859256389000183570010000003071000190971</t>
        </is>
      </c>
      <c r="U4212" t="inlineStr">
        <is>
          <t>Sim</t>
        </is>
      </c>
    </row>
    <row r="4213">
      <c r="A4213" t="inlineStr">
        <is>
          <t>Frete de venda</t>
        </is>
      </c>
      <c r="B4213" t="inlineStr">
        <is>
          <t>2.01.02 Frete sobre Vendas</t>
        </is>
      </c>
      <c r="C4213" s="30" t="n">
        <v>46235</v>
      </c>
      <c r="D4213" t="inlineStr">
        <is>
          <t>Em 2026</t>
        </is>
      </c>
      <c r="E4213" s="28" t="n">
        <v>46255</v>
      </c>
      <c r="F4213" t="inlineStr">
        <is>
          <t>CT-e</t>
        </is>
      </c>
      <c r="G4213" t="inlineStr">
        <is>
          <t>000000308</t>
        </is>
      </c>
      <c r="H4213" t="inlineStr">
        <is>
          <t>DURA MAIS TRANSPORTES LTDA</t>
        </is>
      </c>
      <c r="J4213" s="29" t="n">
        <v>1080</v>
      </c>
      <c r="K4213" s="29">
        <f>(1-ISNUMBER(SEARCH("556",M4213)))*(O4213*SUMIFS(Premissas!$C$5:$C$44,Premissas!$A$5:$A$44,$A4213,Premissas!$B$5:$B$44,$B4213)+P4213*SUMIFS(Premissas!$D$5:$D$44,Premissas!$A$5:$A$44,$A4213,Premissas!$B$5:$B$44,$B4213))+R4213*SUMIFS(Premissas!$E$5:$E$44,Premissas!$A$5:$A$44,$A4213,Premissas!$B$5:$B$44,$B4213)+S4213*SUMIFS(Premissas!$F$5:$F$44,Premissas!$A$5:$A$44,$A4213,Premissas!$B$5:$B$44,$B4213)</f>
        <v/>
      </c>
      <c r="L4213" s="29">
        <f>J4213-K4213</f>
        <v/>
      </c>
      <c r="M4213" t="inlineStr">
        <is>
          <t>2.350</t>
        </is>
      </c>
      <c r="N4213" t="inlineStr">
        <is>
          <t>Modalidade: 0 - Por conta do remetente | Parte: CONFESTAS COMERCIO DE DOCES E EMBALAGENS LTDA (51.644.944/0001-32)</t>
        </is>
      </c>
      <c r="O4213" s="29" t="n">
        <v>0</v>
      </c>
      <c r="P4213" s="29" t="n">
        <v>129.6</v>
      </c>
      <c r="Q4213" s="29" t="n">
        <v>0</v>
      </c>
      <c r="R4213" s="29" t="n">
        <v>0</v>
      </c>
      <c r="S4213" s="29" t="n">
        <v>0</v>
      </c>
      <c r="T4213" t="inlineStr">
        <is>
          <t>25260859256389000183570010000003081001601050</t>
        </is>
      </c>
      <c r="U4213" t="inlineStr">
        <is>
          <t>Sim</t>
        </is>
      </c>
    </row>
    <row r="4214">
      <c r="A4214" t="inlineStr">
        <is>
          <t>Frete de venda</t>
        </is>
      </c>
      <c r="B4214" t="inlineStr">
        <is>
          <t>2.01.02 Frete sobre Vendas</t>
        </is>
      </c>
      <c r="C4214" s="30" t="n">
        <v>46235</v>
      </c>
      <c r="D4214" t="inlineStr">
        <is>
          <t>Em 2026</t>
        </is>
      </c>
      <c r="E4214" s="28" t="n">
        <v>46255</v>
      </c>
      <c r="F4214" t="inlineStr">
        <is>
          <t>CT-e</t>
        </is>
      </c>
      <c r="G4214" t="inlineStr">
        <is>
          <t>000000309</t>
        </is>
      </c>
      <c r="H4214" t="inlineStr">
        <is>
          <t>DURA MAIS TRANSPORTES LTDA</t>
        </is>
      </c>
      <c r="J4214" s="29" t="n">
        <v>1080</v>
      </c>
      <c r="K4214" s="29">
        <f>(1-ISNUMBER(SEARCH("556",M4214)))*(O4214*SUMIFS(Premissas!$C$5:$C$44,Premissas!$A$5:$A$44,$A4214,Premissas!$B$5:$B$44,$B4214)+P4214*SUMIFS(Premissas!$D$5:$D$44,Premissas!$A$5:$A$44,$A4214,Premissas!$B$5:$B$44,$B4214))+R4214*SUMIFS(Premissas!$E$5:$E$44,Premissas!$A$5:$A$44,$A4214,Premissas!$B$5:$B$44,$B4214)+S4214*SUMIFS(Premissas!$F$5:$F$44,Premissas!$A$5:$A$44,$A4214,Premissas!$B$5:$B$44,$B4214)</f>
        <v/>
      </c>
      <c r="L4214" s="29">
        <f>J4214-K4214</f>
        <v/>
      </c>
      <c r="M4214" t="inlineStr">
        <is>
          <t>2.350</t>
        </is>
      </c>
      <c r="N4214" t="inlineStr">
        <is>
          <t>Modalidade: 0 - Por conta do remetente | Parte: R.L SERAFIM LTDA (66.426.039/0001-83)</t>
        </is>
      </c>
      <c r="O4214" s="29" t="n">
        <v>0</v>
      </c>
      <c r="P4214" s="29" t="n">
        <v>129.6</v>
      </c>
      <c r="Q4214" s="29" t="n">
        <v>0</v>
      </c>
      <c r="R4214" s="29" t="n">
        <v>0</v>
      </c>
      <c r="S4214" s="29" t="n">
        <v>0</v>
      </c>
      <c r="T4214" t="inlineStr">
        <is>
          <t>25260859256389000183570010000003091001301135</t>
        </is>
      </c>
      <c r="U4214" t="inlineStr">
        <is>
          <t>Sim</t>
        </is>
      </c>
    </row>
    <row r="4215">
      <c r="A4215" t="inlineStr">
        <is>
          <t>Frete de venda</t>
        </is>
      </c>
      <c r="B4215" t="inlineStr">
        <is>
          <t>2.01.02 Frete sobre Vendas</t>
        </is>
      </c>
      <c r="C4215" s="30" t="n">
        <v>46235</v>
      </c>
      <c r="D4215" t="inlineStr">
        <is>
          <t>Em 2026</t>
        </is>
      </c>
      <c r="E4215" s="28" t="n">
        <v>46255</v>
      </c>
      <c r="F4215" t="inlineStr">
        <is>
          <t>CT-e</t>
        </is>
      </c>
      <c r="G4215" t="inlineStr">
        <is>
          <t>000000310</t>
        </is>
      </c>
      <c r="H4215" t="inlineStr">
        <is>
          <t>DURA MAIS TRANSPORTES LTDA</t>
        </is>
      </c>
      <c r="J4215" s="29" t="n">
        <v>1080</v>
      </c>
      <c r="K4215" s="29">
        <f>(1-ISNUMBER(SEARCH("556",M4215)))*(O4215*SUMIFS(Premissas!$C$5:$C$44,Premissas!$A$5:$A$44,$A4215,Premissas!$B$5:$B$44,$B4215)+P4215*SUMIFS(Premissas!$D$5:$D$44,Premissas!$A$5:$A$44,$A4215,Premissas!$B$5:$B$44,$B4215))+R4215*SUMIFS(Premissas!$E$5:$E$44,Premissas!$A$5:$A$44,$A4215,Premissas!$B$5:$B$44,$B4215)+S4215*SUMIFS(Premissas!$F$5:$F$44,Premissas!$A$5:$A$44,$A4215,Premissas!$B$5:$B$44,$B4215)</f>
        <v/>
      </c>
      <c r="L4215" s="29">
        <f>J4215-K4215</f>
        <v/>
      </c>
      <c r="M4215" t="inlineStr">
        <is>
          <t>2.350</t>
        </is>
      </c>
      <c r="N4215" t="inlineStr">
        <is>
          <t>Modalidade: 0 - Por conta do remetente | Parte: BOMBONIERE SO ALEGRIA DOCE E FESTA LTDA (23.730.767/0001-71)</t>
        </is>
      </c>
      <c r="O4215" s="29" t="n">
        <v>0</v>
      </c>
      <c r="P4215" s="29" t="n">
        <v>129.6</v>
      </c>
      <c r="Q4215" s="29" t="n">
        <v>0</v>
      </c>
      <c r="R4215" s="29" t="n">
        <v>0</v>
      </c>
      <c r="S4215" s="29" t="n">
        <v>0</v>
      </c>
      <c r="T4215" t="inlineStr">
        <is>
          <t>25260859256389000183570010000003101000101214</t>
        </is>
      </c>
      <c r="U4215" t="inlineStr">
        <is>
          <t>Sim</t>
        </is>
      </c>
    </row>
    <row r="4216">
      <c r="A4216" t="inlineStr">
        <is>
          <t>Frete de venda</t>
        </is>
      </c>
      <c r="B4216" t="inlineStr">
        <is>
          <t>2.01.02 Frete sobre Vendas</t>
        </is>
      </c>
      <c r="C4216" s="30" t="n">
        <v>46235</v>
      </c>
      <c r="D4216" t="inlineStr">
        <is>
          <t>Em 2026</t>
        </is>
      </c>
      <c r="E4216" s="28" t="n">
        <v>46255</v>
      </c>
      <c r="F4216" t="inlineStr">
        <is>
          <t>CT-e</t>
        </is>
      </c>
      <c r="G4216" t="inlineStr">
        <is>
          <t>000000311</t>
        </is>
      </c>
      <c r="H4216" t="inlineStr">
        <is>
          <t>DURA MAIS TRANSPORTES LTDA</t>
        </is>
      </c>
      <c r="J4216" s="29" t="n">
        <v>1080</v>
      </c>
      <c r="K4216" s="29">
        <f>(1-ISNUMBER(SEARCH("556",M4216)))*(O4216*SUMIFS(Premissas!$C$5:$C$44,Premissas!$A$5:$A$44,$A4216,Premissas!$B$5:$B$44,$B4216)+P4216*SUMIFS(Premissas!$D$5:$D$44,Premissas!$A$5:$A$44,$A4216,Premissas!$B$5:$B$44,$B4216))+R4216*SUMIFS(Premissas!$E$5:$E$44,Premissas!$A$5:$A$44,$A4216,Premissas!$B$5:$B$44,$B4216)+S4216*SUMIFS(Premissas!$F$5:$F$44,Premissas!$A$5:$A$44,$A4216,Premissas!$B$5:$B$44,$B4216)</f>
        <v/>
      </c>
      <c r="L4216" s="29">
        <f>J4216-K4216</f>
        <v/>
      </c>
      <c r="M4216" t="inlineStr">
        <is>
          <t>2.350</t>
        </is>
      </c>
      <c r="N4216" t="inlineStr">
        <is>
          <t>Modalidade: 0 - Por conta do remetente | Parte: ADRIANA SANTOS DA SILVA COMERCIAL LTDA (25.189.471/0001-10)</t>
        </is>
      </c>
      <c r="O4216" s="29" t="n">
        <v>0</v>
      </c>
      <c r="P4216" s="29" t="n">
        <v>129.6</v>
      </c>
      <c r="Q4216" s="29" t="n">
        <v>0</v>
      </c>
      <c r="R4216" s="29" t="n">
        <v>0</v>
      </c>
      <c r="S4216" s="29" t="n">
        <v>0</v>
      </c>
      <c r="T4216" t="inlineStr">
        <is>
          <t>25260859256389000183570010000003111001801292</t>
        </is>
      </c>
      <c r="U4216" t="inlineStr">
        <is>
          <t>Sim</t>
        </is>
      </c>
    </row>
    <row r="4217">
      <c r="A4217" t="inlineStr">
        <is>
          <t>Frete de venda</t>
        </is>
      </c>
      <c r="B4217" t="inlineStr">
        <is>
          <t>2.01.02 Frete sobre Vendas</t>
        </is>
      </c>
      <c r="C4217" s="30" t="n">
        <v>46235</v>
      </c>
      <c r="D4217" t="inlineStr">
        <is>
          <t>Em 2026</t>
        </is>
      </c>
      <c r="E4217" s="28" t="n">
        <v>46255</v>
      </c>
      <c r="F4217" t="inlineStr">
        <is>
          <t>CT-e</t>
        </is>
      </c>
      <c r="G4217" t="inlineStr">
        <is>
          <t>000000312</t>
        </is>
      </c>
      <c r="H4217" t="inlineStr">
        <is>
          <t>DURA MAIS TRANSPORTES LTDA</t>
        </is>
      </c>
      <c r="J4217" s="29" t="n">
        <v>1080</v>
      </c>
      <c r="K4217" s="29">
        <f>(1-ISNUMBER(SEARCH("556",M4217)))*(O4217*SUMIFS(Premissas!$C$5:$C$44,Premissas!$A$5:$A$44,$A4217,Premissas!$B$5:$B$44,$B4217)+P4217*SUMIFS(Premissas!$D$5:$D$44,Premissas!$A$5:$A$44,$A4217,Premissas!$B$5:$B$44,$B4217))+R4217*SUMIFS(Premissas!$E$5:$E$44,Premissas!$A$5:$A$44,$A4217,Premissas!$B$5:$B$44,$B4217)+S4217*SUMIFS(Premissas!$F$5:$F$44,Premissas!$A$5:$A$44,$A4217,Premissas!$B$5:$B$44,$B4217)</f>
        <v/>
      </c>
      <c r="L4217" s="29">
        <f>J4217-K4217</f>
        <v/>
      </c>
      <c r="M4217" t="inlineStr">
        <is>
          <t>2.350</t>
        </is>
      </c>
      <c r="N4217" t="inlineStr">
        <is>
          <t>Modalidade: 0 - Por conta do remetente | Parte: REDE FRIOS FOOD SERVICE LTDA (37.862.035/0001-40)</t>
        </is>
      </c>
      <c r="O4217" s="29" t="n">
        <v>0</v>
      </c>
      <c r="P4217" s="29" t="n">
        <v>129.6</v>
      </c>
      <c r="Q4217" s="29" t="n">
        <v>0</v>
      </c>
      <c r="R4217" s="29" t="n">
        <v>0</v>
      </c>
      <c r="S4217" s="29" t="n">
        <v>0</v>
      </c>
      <c r="T4217" t="inlineStr">
        <is>
          <t>25260859256389000183570010000003121001501377</t>
        </is>
      </c>
      <c r="U4217" t="inlineStr">
        <is>
          <t>Sim</t>
        </is>
      </c>
    </row>
    <row r="4218">
      <c r="A4218" t="inlineStr">
        <is>
          <t>Frete de venda</t>
        </is>
      </c>
      <c r="B4218" t="inlineStr">
        <is>
          <t>2.01.02 Frete sobre Vendas</t>
        </is>
      </c>
      <c r="C4218" s="30" t="n">
        <v>46235</v>
      </c>
      <c r="D4218" t="inlineStr">
        <is>
          <t>Em 2026</t>
        </is>
      </c>
      <c r="E4218" s="28" t="n">
        <v>46255</v>
      </c>
      <c r="F4218" t="inlineStr">
        <is>
          <t>CT-e</t>
        </is>
      </c>
      <c r="G4218" t="inlineStr">
        <is>
          <t>000000313</t>
        </is>
      </c>
      <c r="H4218" t="inlineStr">
        <is>
          <t>DURA MAIS TRANSPORTES LTDA</t>
        </is>
      </c>
      <c r="J4218" s="29" t="n">
        <v>9000</v>
      </c>
      <c r="K4218" s="29">
        <f>(1-ISNUMBER(SEARCH("556",M4218)))*(O4218*SUMIFS(Premissas!$C$5:$C$44,Premissas!$A$5:$A$44,$A4218,Premissas!$B$5:$B$44,$B4218)+P4218*SUMIFS(Premissas!$D$5:$D$44,Premissas!$A$5:$A$44,$A4218,Premissas!$B$5:$B$44,$B4218))+R4218*SUMIFS(Premissas!$E$5:$E$44,Premissas!$A$5:$A$44,$A4218,Premissas!$B$5:$B$44,$B4218)+S4218*SUMIFS(Premissas!$F$5:$F$44,Premissas!$A$5:$A$44,$A4218,Premissas!$B$5:$B$44,$B4218)</f>
        <v/>
      </c>
      <c r="L4218" s="29">
        <f>J4218-K4218</f>
        <v/>
      </c>
      <c r="M4218" t="inlineStr">
        <is>
          <t>2.350</t>
        </is>
      </c>
      <c r="N4218" t="inlineStr">
        <is>
          <t>Modalidade: 0 - Por conta do remetente | Parte: RFC COMERCIO DE MIUDEZAS LTDA (26.514.797/0004-81)</t>
        </is>
      </c>
      <c r="O4218" s="29" t="n">
        <v>0</v>
      </c>
      <c r="P4218" s="29" t="n">
        <v>1080</v>
      </c>
      <c r="Q4218" s="29" t="n">
        <v>0</v>
      </c>
      <c r="R4218" s="29" t="n">
        <v>0</v>
      </c>
      <c r="S4218" s="29" t="n">
        <v>0</v>
      </c>
      <c r="T4218" t="inlineStr">
        <is>
          <t>25260859256389000183570010000003131001201451</t>
        </is>
      </c>
      <c r="U4218" t="inlineStr">
        <is>
          <t>Sim</t>
        </is>
      </c>
    </row>
    <row r="4219">
      <c r="A4219" t="inlineStr">
        <is>
          <t>Frete de venda</t>
        </is>
      </c>
      <c r="B4219" t="inlineStr">
        <is>
          <t>2.01.02 Frete sobre Vendas</t>
        </is>
      </c>
      <c r="C4219" s="30" t="n">
        <v>46235</v>
      </c>
      <c r="D4219" t="inlineStr">
        <is>
          <t>Em 2026</t>
        </is>
      </c>
      <c r="E4219" s="28" t="n">
        <v>46255</v>
      </c>
      <c r="F4219" t="inlineStr">
        <is>
          <t>CT-e</t>
        </is>
      </c>
      <c r="G4219" t="inlineStr">
        <is>
          <t>000000314</t>
        </is>
      </c>
      <c r="H4219" t="inlineStr">
        <is>
          <t>DURA MAIS TRANSPORTES LTDA</t>
        </is>
      </c>
      <c r="J4219" s="29" t="n">
        <v>4500</v>
      </c>
      <c r="K4219" s="29">
        <f>(1-ISNUMBER(SEARCH("556",M4219)))*(O4219*SUMIFS(Premissas!$C$5:$C$44,Premissas!$A$5:$A$44,$A4219,Premissas!$B$5:$B$44,$B4219)+P4219*SUMIFS(Premissas!$D$5:$D$44,Premissas!$A$5:$A$44,$A4219,Premissas!$B$5:$B$44,$B4219))+R4219*SUMIFS(Premissas!$E$5:$E$44,Premissas!$A$5:$A$44,$A4219,Premissas!$B$5:$B$44,$B4219)+S4219*SUMIFS(Premissas!$F$5:$F$44,Premissas!$A$5:$A$44,$A4219,Premissas!$B$5:$B$44,$B4219)</f>
        <v/>
      </c>
      <c r="L4219" s="29">
        <f>J4219-K4219</f>
        <v/>
      </c>
      <c r="M4219" t="inlineStr">
        <is>
          <t>2.350</t>
        </is>
      </c>
      <c r="N4219" t="inlineStr">
        <is>
          <t>Modalidade: 0 - Por conta do remetente | Parte: AP SACARIA EMBALAGENS LTDA (20.402.088/0001-85)</t>
        </is>
      </c>
      <c r="O4219" s="29" t="n">
        <v>0</v>
      </c>
      <c r="P4219" s="29" t="n">
        <v>540</v>
      </c>
      <c r="Q4219" s="29" t="n">
        <v>0</v>
      </c>
      <c r="R4219" s="29" t="n">
        <v>0</v>
      </c>
      <c r="S4219" s="29" t="n">
        <v>0</v>
      </c>
      <c r="T4219" t="inlineStr">
        <is>
          <t>25260859256389000183570010000003141000130809</t>
        </is>
      </c>
      <c r="U4219" t="inlineStr">
        <is>
          <t>Sim</t>
        </is>
      </c>
    </row>
    <row r="4220">
      <c r="A4220" t="inlineStr">
        <is>
          <t>Frete de venda</t>
        </is>
      </c>
      <c r="B4220" t="inlineStr">
        <is>
          <t>2.01.02 Frete sobre Vendas</t>
        </is>
      </c>
      <c r="C4220" s="30" t="n">
        <v>46235</v>
      </c>
      <c r="D4220" t="inlineStr">
        <is>
          <t>Em 2026</t>
        </is>
      </c>
      <c r="E4220" s="28" t="n">
        <v>46255</v>
      </c>
      <c r="F4220" t="inlineStr">
        <is>
          <t>CT-e</t>
        </is>
      </c>
      <c r="G4220" t="inlineStr">
        <is>
          <t>000000315</t>
        </is>
      </c>
      <c r="H4220" t="inlineStr">
        <is>
          <t>DURA MAIS TRANSPORTES LTDA</t>
        </is>
      </c>
      <c r="J4220" s="29" t="n">
        <v>9000</v>
      </c>
      <c r="K4220" s="29">
        <f>(1-ISNUMBER(SEARCH("556",M4220)))*(O4220*SUMIFS(Premissas!$C$5:$C$44,Premissas!$A$5:$A$44,$A4220,Premissas!$B$5:$B$44,$B4220)+P4220*SUMIFS(Premissas!$D$5:$D$44,Premissas!$A$5:$A$44,$A4220,Premissas!$B$5:$B$44,$B4220))+R4220*SUMIFS(Premissas!$E$5:$E$44,Premissas!$A$5:$A$44,$A4220,Premissas!$B$5:$B$44,$B4220)+S4220*SUMIFS(Premissas!$F$5:$F$44,Premissas!$A$5:$A$44,$A4220,Premissas!$B$5:$B$44,$B4220)</f>
        <v/>
      </c>
      <c r="L4220" s="29">
        <f>J4220-K4220</f>
        <v/>
      </c>
      <c r="M4220" t="inlineStr">
        <is>
          <t>2.350</t>
        </is>
      </c>
      <c r="N4220" t="inlineStr">
        <is>
          <t>Modalidade: 0 - Por conta do remetente | Parte: CASA DO CHOCOLATE VR LTDA (14.402.014/0001-46)</t>
        </is>
      </c>
      <c r="O4220" s="29" t="n">
        <v>0</v>
      </c>
      <c r="P4220" s="29" t="n">
        <v>1080</v>
      </c>
      <c r="Q4220" s="29" t="n">
        <v>0</v>
      </c>
      <c r="R4220" s="29" t="n">
        <v>0</v>
      </c>
      <c r="S4220" s="29" t="n">
        <v>0</v>
      </c>
      <c r="T4220" t="inlineStr">
        <is>
          <t>25260859256389000183570010000003151000010886</t>
        </is>
      </c>
      <c r="U4220" t="inlineStr">
        <is>
          <t>Sim</t>
        </is>
      </c>
    </row>
    <row r="4221">
      <c r="A4221" t="inlineStr">
        <is>
          <t>Frete de venda</t>
        </is>
      </c>
      <c r="B4221" t="inlineStr">
        <is>
          <t>2.01.02 Frete sobre Vendas</t>
        </is>
      </c>
      <c r="C4221" s="30" t="n">
        <v>46235</v>
      </c>
      <c r="D4221" t="inlineStr">
        <is>
          <t>Em 2026</t>
        </is>
      </c>
      <c r="E4221" s="28" t="n">
        <v>46259</v>
      </c>
      <c r="F4221" t="inlineStr">
        <is>
          <t>CT-e</t>
        </is>
      </c>
      <c r="G4221" t="inlineStr">
        <is>
          <t>000000339</t>
        </is>
      </c>
      <c r="H4221" t="inlineStr">
        <is>
          <t>DURA MAIS TRANSPORTES LTDA</t>
        </is>
      </c>
      <c r="J4221" s="29" t="n">
        <v>542.53</v>
      </c>
      <c r="K4221" s="29">
        <f>(1-ISNUMBER(SEARCH("556",M4221)))*(O4221*SUMIFS(Premissas!$C$5:$C$44,Premissas!$A$5:$A$44,$A4221,Premissas!$B$5:$B$44,$B4221)+P4221*SUMIFS(Premissas!$D$5:$D$44,Premissas!$A$5:$A$44,$A4221,Premissas!$B$5:$B$44,$B4221))+R4221*SUMIFS(Premissas!$E$5:$E$44,Premissas!$A$5:$A$44,$A4221,Premissas!$B$5:$B$44,$B4221)+S4221*SUMIFS(Premissas!$F$5:$F$44,Premissas!$A$5:$A$44,$A4221,Premissas!$B$5:$B$44,$B4221)</f>
        <v/>
      </c>
      <c r="L4221" s="29">
        <f>J4221-K4221</f>
        <v/>
      </c>
      <c r="M4221" t="inlineStr">
        <is>
          <t>2.350</t>
        </is>
      </c>
      <c r="N4221" t="inlineStr">
        <is>
          <t>Modalidade: 0 - Por conta do remetente | Parte: MASS COMERCIO DE EMBALAGENS LTDA (24.396.854/0001-05)</t>
        </is>
      </c>
      <c r="O4221" s="29" t="n">
        <v>0</v>
      </c>
      <c r="P4221" s="29" t="n">
        <v>65.09999999999999</v>
      </c>
      <c r="Q4221" s="29" t="n">
        <v>0</v>
      </c>
      <c r="R4221" s="29" t="n">
        <v>0</v>
      </c>
      <c r="S4221" s="29" t="n">
        <v>0</v>
      </c>
      <c r="T4221" t="inlineStr">
        <is>
          <t>25260859256389000183570010000003391000120683</t>
        </is>
      </c>
      <c r="U4221" t="inlineStr">
        <is>
          <t>Sim</t>
        </is>
      </c>
    </row>
    <row r="4222">
      <c r="A4222" t="inlineStr">
        <is>
          <t>Frete de venda</t>
        </is>
      </c>
      <c r="B4222" t="inlineStr">
        <is>
          <t>2.01.02 Frete sobre Vendas</t>
        </is>
      </c>
      <c r="C4222" s="30" t="n">
        <v>46235</v>
      </c>
      <c r="D4222" t="inlineStr">
        <is>
          <t>Em 2026</t>
        </is>
      </c>
      <c r="E4222" s="28" t="n">
        <v>46259</v>
      </c>
      <c r="F4222" t="inlineStr">
        <is>
          <t>CT-e</t>
        </is>
      </c>
      <c r="G4222" t="inlineStr">
        <is>
          <t>000000340</t>
        </is>
      </c>
      <c r="H4222" t="inlineStr">
        <is>
          <t>DURA MAIS TRANSPORTES LTDA</t>
        </is>
      </c>
      <c r="J4222" s="29" t="n">
        <v>857.47</v>
      </c>
      <c r="K4222" s="29">
        <f>(1-ISNUMBER(SEARCH("556",M4222)))*(O4222*SUMIFS(Premissas!$C$5:$C$44,Premissas!$A$5:$A$44,$A4222,Premissas!$B$5:$B$44,$B4222)+P4222*SUMIFS(Premissas!$D$5:$D$44,Premissas!$A$5:$A$44,$A4222,Premissas!$B$5:$B$44,$B4222))+R4222*SUMIFS(Premissas!$E$5:$E$44,Premissas!$A$5:$A$44,$A4222,Premissas!$B$5:$B$44,$B4222)+S4222*SUMIFS(Premissas!$F$5:$F$44,Premissas!$A$5:$A$44,$A4222,Premissas!$B$5:$B$44,$B4222)</f>
        <v/>
      </c>
      <c r="L4222" s="29">
        <f>J4222-K4222</f>
        <v/>
      </c>
      <c r="M4222" t="inlineStr">
        <is>
          <t>2.350</t>
        </is>
      </c>
      <c r="N4222" t="inlineStr">
        <is>
          <t>Modalidade: 0 - Por conta do remetente | Parte: GR EMBALAGENS LTDA (45.961.806/0002-65)</t>
        </is>
      </c>
      <c r="O4222" s="29" t="n">
        <v>0</v>
      </c>
      <c r="P4222" s="29" t="n">
        <v>102.9</v>
      </c>
      <c r="Q4222" s="29" t="n">
        <v>0</v>
      </c>
      <c r="R4222" s="29" t="n">
        <v>0</v>
      </c>
      <c r="S4222" s="29" t="n">
        <v>0</v>
      </c>
      <c r="T4222" t="inlineStr">
        <is>
          <t>25260859256389000183570010000003401001100768</t>
        </is>
      </c>
      <c r="U4222" t="inlineStr">
        <is>
          <t>Sim</t>
        </is>
      </c>
    </row>
    <row r="4223">
      <c r="A4223" t="inlineStr">
        <is>
          <t>Frete de venda</t>
        </is>
      </c>
      <c r="B4223" t="inlineStr">
        <is>
          <t>2.01.02 Frete sobre Vendas</t>
        </is>
      </c>
      <c r="C4223" s="30" t="n">
        <v>46235</v>
      </c>
      <c r="D4223" t="inlineStr">
        <is>
          <t>Em 2026</t>
        </is>
      </c>
      <c r="E4223" s="28" t="n">
        <v>46259</v>
      </c>
      <c r="F4223" t="inlineStr">
        <is>
          <t>CT-e</t>
        </is>
      </c>
      <c r="G4223" t="inlineStr">
        <is>
          <t>000000341</t>
        </is>
      </c>
      <c r="H4223" t="inlineStr">
        <is>
          <t>DURA MAIS TRANSPORTES LTDA</t>
        </is>
      </c>
      <c r="J4223" s="29" t="n">
        <v>700</v>
      </c>
      <c r="K4223" s="29">
        <f>(1-ISNUMBER(SEARCH("556",M4223)))*(O4223*SUMIFS(Premissas!$C$5:$C$44,Premissas!$A$5:$A$44,$A4223,Premissas!$B$5:$B$44,$B4223)+P4223*SUMIFS(Premissas!$D$5:$D$44,Premissas!$A$5:$A$44,$A4223,Premissas!$B$5:$B$44,$B4223))+R4223*SUMIFS(Premissas!$E$5:$E$44,Premissas!$A$5:$A$44,$A4223,Premissas!$B$5:$B$44,$B4223)+S4223*SUMIFS(Premissas!$F$5:$F$44,Premissas!$A$5:$A$44,$A4223,Premissas!$B$5:$B$44,$B4223)</f>
        <v/>
      </c>
      <c r="L4223" s="29">
        <f>J4223-K4223</f>
        <v/>
      </c>
      <c r="M4223" t="inlineStr">
        <is>
          <t>2.350</t>
        </is>
      </c>
      <c r="N4223" t="inlineStr">
        <is>
          <t>Modalidade: 0 - Por conta do remetente | Parte: FRIOSETE COMERCIO DE FRIOS LTDA (97.426.472/0001-42)</t>
        </is>
      </c>
      <c r="O4223" s="29" t="n">
        <v>0</v>
      </c>
      <c r="P4223" s="29" t="n">
        <v>84</v>
      </c>
      <c r="Q4223" s="29" t="n">
        <v>0</v>
      </c>
      <c r="R4223" s="29" t="n">
        <v>0</v>
      </c>
      <c r="S4223" s="29" t="n">
        <v>0</v>
      </c>
      <c r="T4223" t="inlineStr">
        <is>
          <t>25260859256389000183570010000003411000170840</t>
        </is>
      </c>
      <c r="U4223" t="inlineStr">
        <is>
          <t>Sim</t>
        </is>
      </c>
    </row>
    <row r="4224">
      <c r="A4224" t="inlineStr">
        <is>
          <t>Frete de venda</t>
        </is>
      </c>
      <c r="B4224" t="inlineStr">
        <is>
          <t>2.01.02 Frete sobre Vendas</t>
        </is>
      </c>
      <c r="C4224" s="30" t="n">
        <v>46235</v>
      </c>
      <c r="D4224" t="inlineStr">
        <is>
          <t>Em 2026</t>
        </is>
      </c>
      <c r="E4224" s="28" t="n">
        <v>46259</v>
      </c>
      <c r="F4224" t="inlineStr">
        <is>
          <t>CT-e</t>
        </is>
      </c>
      <c r="G4224" t="inlineStr">
        <is>
          <t>000000342</t>
        </is>
      </c>
      <c r="H4224" t="inlineStr">
        <is>
          <t>DURA MAIS TRANSPORTES LTDA</t>
        </is>
      </c>
      <c r="J4224" s="29" t="n">
        <v>700</v>
      </c>
      <c r="K4224" s="29">
        <f>(1-ISNUMBER(SEARCH("556",M4224)))*(O4224*SUMIFS(Premissas!$C$5:$C$44,Premissas!$A$5:$A$44,$A4224,Premissas!$B$5:$B$44,$B4224)+P4224*SUMIFS(Premissas!$D$5:$D$44,Premissas!$A$5:$A$44,$A4224,Premissas!$B$5:$B$44,$B4224))+R4224*SUMIFS(Premissas!$E$5:$E$44,Premissas!$A$5:$A$44,$A4224,Premissas!$B$5:$B$44,$B4224)+S4224*SUMIFS(Premissas!$F$5:$F$44,Premissas!$A$5:$A$44,$A4224,Premissas!$B$5:$B$44,$B4224)</f>
        <v/>
      </c>
      <c r="L4224" s="29">
        <f>J4224-K4224</f>
        <v/>
      </c>
      <c r="M4224" t="inlineStr">
        <is>
          <t>2.350</t>
        </is>
      </c>
      <c r="N4224" t="inlineStr">
        <is>
          <t>Modalidade: 0 - Por conta do remetente | Parte: PLASGI EMBALAGENS LTDA (80.361.579/0001-57)</t>
        </is>
      </c>
      <c r="O4224" s="29" t="n">
        <v>0</v>
      </c>
      <c r="P4224" s="29" t="n">
        <v>84</v>
      </c>
      <c r="Q4224" s="29" t="n">
        <v>0</v>
      </c>
      <c r="R4224" s="29" t="n">
        <v>0</v>
      </c>
      <c r="S4224" s="29" t="n">
        <v>0</v>
      </c>
      <c r="T4224" t="inlineStr">
        <is>
          <t>25260859256389000183570010000003421000140922</t>
        </is>
      </c>
      <c r="U4224" t="inlineStr">
        <is>
          <t>Sim</t>
        </is>
      </c>
    </row>
    <row r="4225">
      <c r="A4225" t="inlineStr">
        <is>
          <t>Frete de venda</t>
        </is>
      </c>
      <c r="B4225" t="inlineStr">
        <is>
          <t>2.01.02 Frete sobre Vendas</t>
        </is>
      </c>
      <c r="C4225" s="30" t="n">
        <v>46235</v>
      </c>
      <c r="D4225" t="inlineStr">
        <is>
          <t>Em 2026</t>
        </is>
      </c>
      <c r="E4225" s="28" t="n">
        <v>46259</v>
      </c>
      <c r="F4225" t="inlineStr">
        <is>
          <t>CT-e</t>
        </is>
      </c>
      <c r="G4225" t="inlineStr">
        <is>
          <t>000000343</t>
        </is>
      </c>
      <c r="H4225" t="inlineStr">
        <is>
          <t>DURA MAIS TRANSPORTES LTDA</t>
        </is>
      </c>
      <c r="J4225" s="29" t="n">
        <v>700</v>
      </c>
      <c r="K4225" s="29">
        <f>(1-ISNUMBER(SEARCH("556",M4225)))*(O4225*SUMIFS(Premissas!$C$5:$C$44,Premissas!$A$5:$A$44,$A4225,Premissas!$B$5:$B$44,$B4225)+P4225*SUMIFS(Premissas!$D$5:$D$44,Premissas!$A$5:$A$44,$A4225,Premissas!$B$5:$B$44,$B4225))+R4225*SUMIFS(Premissas!$E$5:$E$44,Premissas!$A$5:$A$44,$A4225,Premissas!$B$5:$B$44,$B4225)+S4225*SUMIFS(Premissas!$F$5:$F$44,Premissas!$A$5:$A$44,$A4225,Premissas!$B$5:$B$44,$B4225)</f>
        <v/>
      </c>
      <c r="L4225" s="29">
        <f>J4225-K4225</f>
        <v/>
      </c>
      <c r="M4225" t="inlineStr">
        <is>
          <t>2.350</t>
        </is>
      </c>
      <c r="N4225" t="inlineStr">
        <is>
          <t>Modalidade: 0 - Por conta do remetente | Parte: JB AGGIO LTDA (95.420.758/0001-95)</t>
        </is>
      </c>
      <c r="O4225" s="29" t="n">
        <v>0</v>
      </c>
      <c r="P4225" s="29" t="n">
        <v>84</v>
      </c>
      <c r="Q4225" s="29" t="n">
        <v>0</v>
      </c>
      <c r="R4225" s="29" t="n">
        <v>0</v>
      </c>
      <c r="S4225" s="29" t="n">
        <v>0</v>
      </c>
      <c r="T4225" t="inlineStr">
        <is>
          <t>25260859256389000183570010000003431001101006</t>
        </is>
      </c>
      <c r="U4225" t="inlineStr">
        <is>
          <t>Sim</t>
        </is>
      </c>
    </row>
    <row r="4226">
      <c r="A4226" t="inlineStr">
        <is>
          <t>Frete de venda</t>
        </is>
      </c>
      <c r="B4226" t="inlineStr">
        <is>
          <t>2.01.02 Frete sobre Vendas</t>
        </is>
      </c>
      <c r="C4226" s="30" t="n">
        <v>46235</v>
      </c>
      <c r="D4226" t="inlineStr">
        <is>
          <t>Em 2026</t>
        </is>
      </c>
      <c r="E4226" s="28" t="n">
        <v>46259</v>
      </c>
      <c r="F4226" t="inlineStr">
        <is>
          <t>CT-e</t>
        </is>
      </c>
      <c r="G4226" t="inlineStr">
        <is>
          <t>000000344</t>
        </is>
      </c>
      <c r="H4226" t="inlineStr">
        <is>
          <t>DURA MAIS TRANSPORTES LTDA</t>
        </is>
      </c>
      <c r="J4226" s="29" t="n">
        <v>700</v>
      </c>
      <c r="K4226" s="29">
        <f>(1-ISNUMBER(SEARCH("556",M4226)))*(O4226*SUMIFS(Premissas!$C$5:$C$44,Premissas!$A$5:$A$44,$A4226,Premissas!$B$5:$B$44,$B4226)+P4226*SUMIFS(Premissas!$D$5:$D$44,Premissas!$A$5:$A$44,$A4226,Premissas!$B$5:$B$44,$B4226))+R4226*SUMIFS(Premissas!$E$5:$E$44,Premissas!$A$5:$A$44,$A4226,Premissas!$B$5:$B$44,$B4226)+S4226*SUMIFS(Premissas!$F$5:$F$44,Premissas!$A$5:$A$44,$A4226,Premissas!$B$5:$B$44,$B4226)</f>
        <v/>
      </c>
      <c r="L4226" s="29">
        <f>J4226-K4226</f>
        <v/>
      </c>
      <c r="M4226" t="inlineStr">
        <is>
          <t>2.350</t>
        </is>
      </c>
      <c r="N4226" t="inlineStr">
        <is>
          <t>Modalidade: 0 - Por conta do remetente | Parte: EMBRULHE EMBALAGENS BRUSQUE LTDA (03.686.059/0001-73)</t>
        </is>
      </c>
      <c r="O4226" s="29" t="n">
        <v>0</v>
      </c>
      <c r="P4226" s="29" t="n">
        <v>84</v>
      </c>
      <c r="Q4226" s="29" t="n">
        <v>0</v>
      </c>
      <c r="R4226" s="29" t="n">
        <v>0</v>
      </c>
      <c r="S4226" s="29" t="n">
        <v>0</v>
      </c>
      <c r="T4226" t="inlineStr">
        <is>
          <t>25260859256389000183570010000003441001901085</t>
        </is>
      </c>
      <c r="U4226" t="inlineStr">
        <is>
          <t>Sim</t>
        </is>
      </c>
    </row>
    <row r="4227">
      <c r="A4227" t="inlineStr">
        <is>
          <t>Frete de venda</t>
        </is>
      </c>
      <c r="B4227" t="inlineStr">
        <is>
          <t>2.01.02 Frete sobre Vendas</t>
        </is>
      </c>
      <c r="C4227" s="30" t="n">
        <v>46235</v>
      </c>
      <c r="D4227" t="inlineStr">
        <is>
          <t>Em 2026</t>
        </is>
      </c>
      <c r="E4227" s="28" t="n">
        <v>46259</v>
      </c>
      <c r="F4227" t="inlineStr">
        <is>
          <t>CT-e</t>
        </is>
      </c>
      <c r="G4227" t="inlineStr">
        <is>
          <t>000000346</t>
        </is>
      </c>
      <c r="H4227" t="inlineStr">
        <is>
          <t>DURA MAIS TRANSPORTES LTDA</t>
        </is>
      </c>
      <c r="J4227" s="29" t="n">
        <v>700</v>
      </c>
      <c r="K4227" s="29">
        <f>(1-ISNUMBER(SEARCH("556",M4227)))*(O4227*SUMIFS(Premissas!$C$5:$C$44,Premissas!$A$5:$A$44,$A4227,Premissas!$B$5:$B$44,$B4227)+P4227*SUMIFS(Premissas!$D$5:$D$44,Premissas!$A$5:$A$44,$A4227,Premissas!$B$5:$B$44,$B4227))+R4227*SUMIFS(Premissas!$E$5:$E$44,Premissas!$A$5:$A$44,$A4227,Premissas!$B$5:$B$44,$B4227)+S4227*SUMIFS(Premissas!$F$5:$F$44,Premissas!$A$5:$A$44,$A4227,Premissas!$B$5:$B$44,$B4227)</f>
        <v/>
      </c>
      <c r="L4227" s="29">
        <f>J4227-K4227</f>
        <v/>
      </c>
      <c r="M4227" t="inlineStr">
        <is>
          <t>2.350</t>
        </is>
      </c>
      <c r="N4227" t="inlineStr">
        <is>
          <t>Modalidade: 0 - Por conta do remetente | Parte: COMANDOLLI COMERCIO DE EMBALAGENS LTDA (22.458.084/0001-44)</t>
        </is>
      </c>
      <c r="O4227" s="29" t="n">
        <v>0</v>
      </c>
      <c r="P4227" s="29" t="n">
        <v>84</v>
      </c>
      <c r="Q4227" s="29" t="n">
        <v>0</v>
      </c>
      <c r="R4227" s="29" t="n">
        <v>0</v>
      </c>
      <c r="S4227" s="29" t="n">
        <v>0</v>
      </c>
      <c r="T4227" t="inlineStr">
        <is>
          <t>25260859256389000183570010000003461000170510</t>
        </is>
      </c>
      <c r="U4227" t="inlineStr">
        <is>
          <t>Sim</t>
        </is>
      </c>
    </row>
    <row r="4228">
      <c r="A4228" t="inlineStr">
        <is>
          <t>Frete de venda</t>
        </is>
      </c>
      <c r="B4228" t="inlineStr">
        <is>
          <t>2.01.02 Frete sobre Vendas</t>
        </is>
      </c>
      <c r="C4228" s="30" t="n">
        <v>46235</v>
      </c>
      <c r="D4228" t="inlineStr">
        <is>
          <t>Em 2026</t>
        </is>
      </c>
      <c r="E4228" s="28" t="n">
        <v>46259</v>
      </c>
      <c r="F4228" t="inlineStr">
        <is>
          <t>CT-e</t>
        </is>
      </c>
      <c r="G4228" t="inlineStr">
        <is>
          <t>000000347</t>
        </is>
      </c>
      <c r="H4228" t="inlineStr">
        <is>
          <t>DURA MAIS TRANSPORTES LTDA</t>
        </is>
      </c>
      <c r="J4228" s="29" t="n">
        <v>700</v>
      </c>
      <c r="K4228" s="29">
        <f>(1-ISNUMBER(SEARCH("556",M4228)))*(O4228*SUMIFS(Premissas!$C$5:$C$44,Premissas!$A$5:$A$44,$A4228,Premissas!$B$5:$B$44,$B4228)+P4228*SUMIFS(Premissas!$D$5:$D$44,Premissas!$A$5:$A$44,$A4228,Premissas!$B$5:$B$44,$B4228))+R4228*SUMIFS(Premissas!$E$5:$E$44,Premissas!$A$5:$A$44,$A4228,Premissas!$B$5:$B$44,$B4228)+S4228*SUMIFS(Premissas!$F$5:$F$44,Premissas!$A$5:$A$44,$A4228,Premissas!$B$5:$B$44,$B4228)</f>
        <v/>
      </c>
      <c r="L4228" s="29">
        <f>J4228-K4228</f>
        <v/>
      </c>
      <c r="M4228" t="inlineStr">
        <is>
          <t>2.350</t>
        </is>
      </c>
      <c r="N4228" t="inlineStr">
        <is>
          <t>Modalidade: 0 - Por conta do remetente | Parte: CARAMELO DOCES E FESTAS LTDA. (16.787.142/0001-80)</t>
        </is>
      </c>
      <c r="O4228" s="29" t="n">
        <v>0</v>
      </c>
      <c r="P4228" s="29" t="n">
        <v>84</v>
      </c>
      <c r="Q4228" s="29" t="n">
        <v>0</v>
      </c>
      <c r="R4228" s="29" t="n">
        <v>0</v>
      </c>
      <c r="S4228" s="29" t="n">
        <v>0</v>
      </c>
      <c r="T4228" t="inlineStr">
        <is>
          <t>25260859256389000183570010000003471000140597</t>
        </is>
      </c>
      <c r="U4228" t="inlineStr">
        <is>
          <t>Sim</t>
        </is>
      </c>
    </row>
    <row r="4229">
      <c r="A4229" t="inlineStr">
        <is>
          <t>Frete de venda</t>
        </is>
      </c>
      <c r="B4229" t="inlineStr">
        <is>
          <t>2.01.02 Frete sobre Vendas</t>
        </is>
      </c>
      <c r="C4229" s="30" t="n">
        <v>46235</v>
      </c>
      <c r="D4229" t="inlineStr">
        <is>
          <t>Em 2026</t>
        </is>
      </c>
      <c r="E4229" s="28" t="n">
        <v>46259</v>
      </c>
      <c r="F4229" t="inlineStr">
        <is>
          <t>CT-e</t>
        </is>
      </c>
      <c r="G4229" t="inlineStr">
        <is>
          <t>000000348</t>
        </is>
      </c>
      <c r="H4229" t="inlineStr">
        <is>
          <t>DURA MAIS TRANSPORTES LTDA</t>
        </is>
      </c>
      <c r="J4229" s="29" t="n">
        <v>700</v>
      </c>
      <c r="K4229" s="29">
        <f>(1-ISNUMBER(SEARCH("556",M4229)))*(O4229*SUMIFS(Premissas!$C$5:$C$44,Premissas!$A$5:$A$44,$A4229,Premissas!$B$5:$B$44,$B4229)+P4229*SUMIFS(Premissas!$D$5:$D$44,Premissas!$A$5:$A$44,$A4229,Premissas!$B$5:$B$44,$B4229))+R4229*SUMIFS(Premissas!$E$5:$E$44,Premissas!$A$5:$A$44,$A4229,Premissas!$B$5:$B$44,$B4229)+S4229*SUMIFS(Premissas!$F$5:$F$44,Premissas!$A$5:$A$44,$A4229,Premissas!$B$5:$B$44,$B4229)</f>
        <v/>
      </c>
      <c r="L4229" s="29">
        <f>J4229-K4229</f>
        <v/>
      </c>
      <c r="M4229" t="inlineStr">
        <is>
          <t>2.350</t>
        </is>
      </c>
      <c r="N4229" t="inlineStr">
        <is>
          <t>Modalidade: 0 - Por conta do remetente | Parte: GALLA DESCARTAVEIS LTDA (08.020.416/0001-83)</t>
        </is>
      </c>
      <c r="O4229" s="29" t="n">
        <v>0</v>
      </c>
      <c r="P4229" s="29" t="n">
        <v>84</v>
      </c>
      <c r="Q4229" s="29" t="n">
        <v>0</v>
      </c>
      <c r="R4229" s="29" t="n">
        <v>0</v>
      </c>
      <c r="S4229" s="29" t="n">
        <v>0</v>
      </c>
      <c r="T4229" t="inlineStr">
        <is>
          <t>25260859256389000183570010000003481000110679</t>
        </is>
      </c>
      <c r="U4229" t="inlineStr">
        <is>
          <t>Sim</t>
        </is>
      </c>
    </row>
    <row r="4230">
      <c r="A4230" t="inlineStr">
        <is>
          <t>Frete de venda</t>
        </is>
      </c>
      <c r="B4230" t="inlineStr">
        <is>
          <t>2.01.02 Frete sobre Vendas</t>
        </is>
      </c>
      <c r="C4230" s="30" t="n">
        <v>46235</v>
      </c>
      <c r="D4230" t="inlineStr">
        <is>
          <t>Em 2026</t>
        </is>
      </c>
      <c r="E4230" s="28" t="n">
        <v>46259</v>
      </c>
      <c r="F4230" t="inlineStr">
        <is>
          <t>CT-e</t>
        </is>
      </c>
      <c r="G4230" t="inlineStr">
        <is>
          <t>000000349</t>
        </is>
      </c>
      <c r="H4230" t="inlineStr">
        <is>
          <t>DURA MAIS TRANSPORTES LTDA</t>
        </is>
      </c>
      <c r="J4230" s="29" t="n">
        <v>700</v>
      </c>
      <c r="K4230" s="29">
        <f>(1-ISNUMBER(SEARCH("556",M4230)))*(O4230*SUMIFS(Premissas!$C$5:$C$44,Premissas!$A$5:$A$44,$A4230,Premissas!$B$5:$B$44,$B4230)+P4230*SUMIFS(Premissas!$D$5:$D$44,Premissas!$A$5:$A$44,$A4230,Premissas!$B$5:$B$44,$B4230))+R4230*SUMIFS(Premissas!$E$5:$E$44,Premissas!$A$5:$A$44,$A4230,Premissas!$B$5:$B$44,$B4230)+S4230*SUMIFS(Premissas!$F$5:$F$44,Premissas!$A$5:$A$44,$A4230,Premissas!$B$5:$B$44,$B4230)</f>
        <v/>
      </c>
      <c r="L4230" s="29">
        <f>J4230-K4230</f>
        <v/>
      </c>
      <c r="M4230" t="inlineStr">
        <is>
          <t>2.350</t>
        </is>
      </c>
      <c r="N4230" t="inlineStr">
        <is>
          <t>Modalidade: 0 - Por conta do remetente | Parte: PONTO FORTE COMERCIO DE ALIMENTOS LTDA (15.072.642/0001-73)</t>
        </is>
      </c>
      <c r="O4230" s="29" t="n">
        <v>0</v>
      </c>
      <c r="P4230" s="29" t="n">
        <v>84</v>
      </c>
      <c r="Q4230" s="29" t="n">
        <v>0</v>
      </c>
      <c r="R4230" s="29" t="n">
        <v>0</v>
      </c>
      <c r="S4230" s="29" t="n">
        <v>0</v>
      </c>
      <c r="T4230" t="inlineStr">
        <is>
          <t>25260859256389000183570010000003491000190750</t>
        </is>
      </c>
      <c r="U4230" t="inlineStr">
        <is>
          <t>Sim</t>
        </is>
      </c>
    </row>
    <row r="4231">
      <c r="A4231" t="inlineStr">
        <is>
          <t>Frete de venda</t>
        </is>
      </c>
      <c r="B4231" t="inlineStr">
        <is>
          <t>2.01.02 Frete sobre Vendas</t>
        </is>
      </c>
      <c r="C4231" s="30" t="n">
        <v>46235</v>
      </c>
      <c r="D4231" t="inlineStr">
        <is>
          <t>Em 2026</t>
        </is>
      </c>
      <c r="E4231" s="28" t="n">
        <v>46259</v>
      </c>
      <c r="F4231" t="inlineStr">
        <is>
          <t>CT-e</t>
        </is>
      </c>
      <c r="G4231" t="inlineStr">
        <is>
          <t>000000350</t>
        </is>
      </c>
      <c r="H4231" t="inlineStr">
        <is>
          <t>DURA MAIS TRANSPORTES LTDA</t>
        </is>
      </c>
      <c r="J4231" s="29" t="n">
        <v>700</v>
      </c>
      <c r="K4231" s="29">
        <f>(1-ISNUMBER(SEARCH("556",M4231)))*(O4231*SUMIFS(Premissas!$C$5:$C$44,Premissas!$A$5:$A$44,$A4231,Premissas!$B$5:$B$44,$B4231)+P4231*SUMIFS(Premissas!$D$5:$D$44,Premissas!$A$5:$A$44,$A4231,Premissas!$B$5:$B$44,$B4231))+R4231*SUMIFS(Premissas!$E$5:$E$44,Premissas!$A$5:$A$44,$A4231,Premissas!$B$5:$B$44,$B4231)+S4231*SUMIFS(Premissas!$F$5:$F$44,Premissas!$A$5:$A$44,$A4231,Premissas!$B$5:$B$44,$B4231)</f>
        <v/>
      </c>
      <c r="L4231" s="29">
        <f>J4231-K4231</f>
        <v/>
      </c>
      <c r="M4231" t="inlineStr">
        <is>
          <t>2.350</t>
        </is>
      </c>
      <c r="N4231" t="inlineStr">
        <is>
          <t>Modalidade: 0 - Por conta do remetente | Parte: COMERCIO E REPRESENTACOES BELLATO LTDA (83.215.830/0001-63)</t>
        </is>
      </c>
      <c r="O4231" s="29" t="n">
        <v>0</v>
      </c>
      <c r="P4231" s="29" t="n">
        <v>84</v>
      </c>
      <c r="Q4231" s="29" t="n">
        <v>0</v>
      </c>
      <c r="R4231" s="29" t="n">
        <v>0</v>
      </c>
      <c r="S4231" s="29" t="n">
        <v>0</v>
      </c>
      <c r="T4231" t="inlineStr">
        <is>
          <t>25260859256389000183570010000003501000160836</t>
        </is>
      </c>
      <c r="U4231" t="inlineStr">
        <is>
          <t>Sim</t>
        </is>
      </c>
    </row>
    <row r="4232">
      <c r="A4232" t="inlineStr">
        <is>
          <t>Frete de venda</t>
        </is>
      </c>
      <c r="B4232" t="inlineStr">
        <is>
          <t>2.01.02 Frete sobre Vendas</t>
        </is>
      </c>
      <c r="C4232" s="30" t="n">
        <v>46235</v>
      </c>
      <c r="D4232" t="inlineStr">
        <is>
          <t>Em 2026</t>
        </is>
      </c>
      <c r="E4232" s="28" t="n">
        <v>46259</v>
      </c>
      <c r="F4232" t="inlineStr">
        <is>
          <t>CT-e</t>
        </is>
      </c>
      <c r="G4232" t="inlineStr">
        <is>
          <t>000000351</t>
        </is>
      </c>
      <c r="H4232" t="inlineStr">
        <is>
          <t>DURA MAIS TRANSPORTES LTDA</t>
        </is>
      </c>
      <c r="J4232" s="29" t="n">
        <v>700</v>
      </c>
      <c r="K4232" s="29">
        <f>(1-ISNUMBER(SEARCH("556",M4232)))*(O4232*SUMIFS(Premissas!$C$5:$C$44,Premissas!$A$5:$A$44,$A4232,Premissas!$B$5:$B$44,$B4232)+P4232*SUMIFS(Premissas!$D$5:$D$44,Premissas!$A$5:$A$44,$A4232,Premissas!$B$5:$B$44,$B4232))+R4232*SUMIFS(Premissas!$E$5:$E$44,Premissas!$A$5:$A$44,$A4232,Premissas!$B$5:$B$44,$B4232)+S4232*SUMIFS(Premissas!$F$5:$F$44,Premissas!$A$5:$A$44,$A4232,Premissas!$B$5:$B$44,$B4232)</f>
        <v/>
      </c>
      <c r="L4232" s="29">
        <f>J4232-K4232</f>
        <v/>
      </c>
      <c r="M4232" t="inlineStr">
        <is>
          <t>2.350</t>
        </is>
      </c>
      <c r="N4232" t="inlineStr">
        <is>
          <t>Modalidade: 0 - Por conta do remetente | Parte: JOINVILE COMERCIO DE EMBALAGENS E EPIS LTDA (65.750.768/0001-28)</t>
        </is>
      </c>
      <c r="O4232" s="29" t="n">
        <v>0</v>
      </c>
      <c r="P4232" s="29" t="n">
        <v>84</v>
      </c>
      <c r="Q4232" s="29" t="n">
        <v>0</v>
      </c>
      <c r="R4232" s="29" t="n">
        <v>0</v>
      </c>
      <c r="S4232" s="29" t="n">
        <v>0</v>
      </c>
      <c r="T4232" t="inlineStr">
        <is>
          <t>25260859256389000183570010000003511000130918</t>
        </is>
      </c>
      <c r="U4232" t="inlineStr">
        <is>
          <t>Sim</t>
        </is>
      </c>
    </row>
    <row r="4233">
      <c r="A4233" t="inlineStr">
        <is>
          <t>Frete de venda</t>
        </is>
      </c>
      <c r="B4233" t="inlineStr">
        <is>
          <t>2.01.02 Frete sobre Vendas</t>
        </is>
      </c>
      <c r="C4233" s="30" t="n">
        <v>46235</v>
      </c>
      <c r="D4233" t="inlineStr">
        <is>
          <t>Em 2026</t>
        </is>
      </c>
      <c r="E4233" s="28" t="n">
        <v>46259</v>
      </c>
      <c r="F4233" t="inlineStr">
        <is>
          <t>CT-e</t>
        </is>
      </c>
      <c r="G4233" t="inlineStr">
        <is>
          <t>000000352</t>
        </is>
      </c>
      <c r="H4233" t="inlineStr">
        <is>
          <t>DURA MAIS TRANSPORTES LTDA</t>
        </is>
      </c>
      <c r="J4233" s="29" t="n">
        <v>700</v>
      </c>
      <c r="K4233" s="29">
        <f>(1-ISNUMBER(SEARCH("556",M4233)))*(O4233*SUMIFS(Premissas!$C$5:$C$44,Premissas!$A$5:$A$44,$A4233,Premissas!$B$5:$B$44,$B4233)+P4233*SUMIFS(Premissas!$D$5:$D$44,Premissas!$A$5:$A$44,$A4233,Premissas!$B$5:$B$44,$B4233))+R4233*SUMIFS(Premissas!$E$5:$E$44,Premissas!$A$5:$A$44,$A4233,Premissas!$B$5:$B$44,$B4233)+S4233*SUMIFS(Premissas!$F$5:$F$44,Premissas!$A$5:$A$44,$A4233,Premissas!$B$5:$B$44,$B4233)</f>
        <v/>
      </c>
      <c r="L4233" s="29">
        <f>J4233-K4233</f>
        <v/>
      </c>
      <c r="M4233" t="inlineStr">
        <is>
          <t>2.350</t>
        </is>
      </c>
      <c r="N4233" t="inlineStr">
        <is>
          <t>Modalidade: 0 - Por conta do remetente | Parte: PARK DOCES E FESTAS LTDA (28.446.377/0001-98)</t>
        </is>
      </c>
      <c r="O4233" s="29" t="n">
        <v>0</v>
      </c>
      <c r="P4233" s="29" t="n">
        <v>84</v>
      </c>
      <c r="Q4233" s="29" t="n">
        <v>0</v>
      </c>
      <c r="R4233" s="29" t="n">
        <v>0</v>
      </c>
      <c r="S4233" s="29" t="n">
        <v>0</v>
      </c>
      <c r="T4233" t="inlineStr">
        <is>
          <t>25260859256389000183570010000003521000010995</t>
        </is>
      </c>
      <c r="U4233" t="inlineStr">
        <is>
          <t>Sim</t>
        </is>
      </c>
    </row>
    <row r="4234">
      <c r="A4234" t="inlineStr">
        <is>
          <t>Frete de venda</t>
        </is>
      </c>
      <c r="B4234" t="inlineStr">
        <is>
          <t>2.01.02 Frete sobre Vendas</t>
        </is>
      </c>
      <c r="C4234" s="30" t="n">
        <v>46235</v>
      </c>
      <c r="D4234" t="inlineStr">
        <is>
          <t>Em 2026</t>
        </is>
      </c>
      <c r="E4234" s="28" t="n">
        <v>46259</v>
      </c>
      <c r="F4234" t="inlineStr">
        <is>
          <t>CT-e</t>
        </is>
      </c>
      <c r="G4234" t="inlineStr">
        <is>
          <t>000000353</t>
        </is>
      </c>
      <c r="H4234" t="inlineStr">
        <is>
          <t>DURA MAIS TRANSPORTES LTDA</t>
        </is>
      </c>
      <c r="J4234" s="29" t="n">
        <v>700</v>
      </c>
      <c r="K4234" s="29">
        <f>(1-ISNUMBER(SEARCH("556",M4234)))*(O4234*SUMIFS(Premissas!$C$5:$C$44,Premissas!$A$5:$A$44,$A4234,Premissas!$B$5:$B$44,$B4234)+P4234*SUMIFS(Premissas!$D$5:$D$44,Premissas!$A$5:$A$44,$A4234,Premissas!$B$5:$B$44,$B4234))+R4234*SUMIFS(Premissas!$E$5:$E$44,Premissas!$A$5:$A$44,$A4234,Premissas!$B$5:$B$44,$B4234)+S4234*SUMIFS(Premissas!$F$5:$F$44,Premissas!$A$5:$A$44,$A4234,Premissas!$B$5:$B$44,$B4234)</f>
        <v/>
      </c>
      <c r="L4234" s="29">
        <f>J4234-K4234</f>
        <v/>
      </c>
      <c r="M4234" t="inlineStr">
        <is>
          <t>2.350</t>
        </is>
      </c>
      <c r="N4234" t="inlineStr">
        <is>
          <t>Modalidade: 0 - Por conta do remetente | Parte: DK COMERCIO DE PRODUTOS ALIMENTICIOS LTDA (34.829.407/0001-48)</t>
        </is>
      </c>
      <c r="O4234" s="29" t="n">
        <v>0</v>
      </c>
      <c r="P4234" s="29" t="n">
        <v>84</v>
      </c>
      <c r="Q4234" s="29" t="n">
        <v>0</v>
      </c>
      <c r="R4234" s="29" t="n">
        <v>0</v>
      </c>
      <c r="S4234" s="29" t="n">
        <v>0</v>
      </c>
      <c r="T4234" t="inlineStr">
        <is>
          <t>25260859256389000183570010000003531001801071</t>
        </is>
      </c>
      <c r="U4234" t="inlineStr">
        <is>
          <t>Sim</t>
        </is>
      </c>
    </row>
    <row r="4235">
      <c r="A4235" t="inlineStr">
        <is>
          <t>Frete de venda</t>
        </is>
      </c>
      <c r="B4235" t="inlineStr">
        <is>
          <t>2.01.02 Frete sobre Vendas</t>
        </is>
      </c>
      <c r="C4235" s="30" t="n">
        <v>46235</v>
      </c>
      <c r="D4235" t="inlineStr">
        <is>
          <t>Em 2026</t>
        </is>
      </c>
      <c r="E4235" s="28" t="n">
        <v>46259</v>
      </c>
      <c r="F4235" t="inlineStr">
        <is>
          <t>CT-e</t>
        </is>
      </c>
      <c r="G4235" t="inlineStr">
        <is>
          <t>000000354</t>
        </is>
      </c>
      <c r="H4235" t="inlineStr">
        <is>
          <t>DURA MAIS TRANSPORTES LTDA</t>
        </is>
      </c>
      <c r="J4235" s="29" t="n">
        <v>700</v>
      </c>
      <c r="K4235" s="29">
        <f>(1-ISNUMBER(SEARCH("556",M4235)))*(O4235*SUMIFS(Premissas!$C$5:$C$44,Premissas!$A$5:$A$44,$A4235,Premissas!$B$5:$B$44,$B4235)+P4235*SUMIFS(Premissas!$D$5:$D$44,Premissas!$A$5:$A$44,$A4235,Premissas!$B$5:$B$44,$B4235))+R4235*SUMIFS(Premissas!$E$5:$E$44,Premissas!$A$5:$A$44,$A4235,Premissas!$B$5:$B$44,$B4235)+S4235*SUMIFS(Premissas!$F$5:$F$44,Premissas!$A$5:$A$44,$A4235,Premissas!$B$5:$B$44,$B4235)</f>
        <v/>
      </c>
      <c r="L4235" s="29">
        <f>J4235-K4235</f>
        <v/>
      </c>
      <c r="M4235" t="inlineStr">
        <is>
          <t>2.350</t>
        </is>
      </c>
      <c r="N4235" t="inlineStr">
        <is>
          <t>Modalidade: 0 - Por conta do remetente | Parte: PRESTIGE COMERCIO ATACADISTA DE EMBALAGENS LTDA (12.497.666/0003-48)</t>
        </is>
      </c>
      <c r="O4235" s="29" t="n">
        <v>0</v>
      </c>
      <c r="P4235" s="29" t="n">
        <v>84</v>
      </c>
      <c r="Q4235" s="29" t="n">
        <v>0</v>
      </c>
      <c r="R4235" s="29" t="n">
        <v>0</v>
      </c>
      <c r="S4235" s="29" t="n">
        <v>0</v>
      </c>
      <c r="T4235" t="inlineStr">
        <is>
          <t>25260859256389000183570010000003541001501156</t>
        </is>
      </c>
      <c r="U4235" t="inlineStr">
        <is>
          <t>Sim</t>
        </is>
      </c>
    </row>
    <row r="4236">
      <c r="A4236" t="inlineStr">
        <is>
          <t>Frete de venda</t>
        </is>
      </c>
      <c r="B4236" t="inlineStr">
        <is>
          <t>2.01.02 Frete sobre Vendas</t>
        </is>
      </c>
      <c r="C4236" s="30" t="n">
        <v>46235</v>
      </c>
      <c r="D4236" t="inlineStr">
        <is>
          <t>Em 2026</t>
        </is>
      </c>
      <c r="E4236" s="28" t="n">
        <v>46259</v>
      </c>
      <c r="F4236" t="inlineStr">
        <is>
          <t>CT-e</t>
        </is>
      </c>
      <c r="G4236" t="inlineStr">
        <is>
          <t>000000355</t>
        </is>
      </c>
      <c r="H4236" t="inlineStr">
        <is>
          <t>DURA MAIS TRANSPORTES LTDA</t>
        </is>
      </c>
      <c r="J4236" s="29" t="n">
        <v>700</v>
      </c>
      <c r="K4236" s="29">
        <f>(1-ISNUMBER(SEARCH("556",M4236)))*(O4236*SUMIFS(Premissas!$C$5:$C$44,Premissas!$A$5:$A$44,$A4236,Premissas!$B$5:$B$44,$B4236)+P4236*SUMIFS(Premissas!$D$5:$D$44,Premissas!$A$5:$A$44,$A4236,Premissas!$B$5:$B$44,$B4236))+R4236*SUMIFS(Premissas!$E$5:$E$44,Premissas!$A$5:$A$44,$A4236,Premissas!$B$5:$B$44,$B4236)+S4236*SUMIFS(Premissas!$F$5:$F$44,Premissas!$A$5:$A$44,$A4236,Premissas!$B$5:$B$44,$B4236)</f>
        <v/>
      </c>
      <c r="L4236" s="29">
        <f>J4236-K4236</f>
        <v/>
      </c>
      <c r="M4236" t="inlineStr">
        <is>
          <t>2.350</t>
        </is>
      </c>
      <c r="N4236" t="inlineStr">
        <is>
          <t>Modalidade: 0 - Por conta do remetente | Parte: COMERCIO DE EMBALAGENS CACADOR LTDA (85.384.725/0001-83)</t>
        </is>
      </c>
      <c r="O4236" s="29" t="n">
        <v>0</v>
      </c>
      <c r="P4236" s="29" t="n">
        <v>84</v>
      </c>
      <c r="Q4236" s="29" t="n">
        <v>0</v>
      </c>
      <c r="R4236" s="29" t="n">
        <v>0</v>
      </c>
      <c r="S4236" s="29" t="n">
        <v>0</v>
      </c>
      <c r="T4236" t="inlineStr">
        <is>
          <t>25260859256389000183570010000003551001201230</t>
        </is>
      </c>
      <c r="U4236" t="inlineStr">
        <is>
          <t>Sim</t>
        </is>
      </c>
    </row>
    <row r="4237">
      <c r="A4237" t="inlineStr">
        <is>
          <t>Frete de venda</t>
        </is>
      </c>
      <c r="B4237" t="inlineStr">
        <is>
          <t>2.01.02 Frete sobre Vendas</t>
        </is>
      </c>
      <c r="C4237" s="30" t="n">
        <v>46235</v>
      </c>
      <c r="D4237" t="inlineStr">
        <is>
          <t>Em 2026</t>
        </is>
      </c>
      <c r="E4237" s="28" t="n">
        <v>46259</v>
      </c>
      <c r="F4237" t="inlineStr">
        <is>
          <t>CT-e</t>
        </is>
      </c>
      <c r="G4237" t="inlineStr">
        <is>
          <t>000000356</t>
        </is>
      </c>
      <c r="H4237" t="inlineStr">
        <is>
          <t>DURA MAIS TRANSPORTES LTDA</t>
        </is>
      </c>
      <c r="J4237" s="29" t="n">
        <v>700</v>
      </c>
      <c r="K4237" s="29">
        <f>(1-ISNUMBER(SEARCH("556",M4237)))*(O4237*SUMIFS(Premissas!$C$5:$C$44,Premissas!$A$5:$A$44,$A4237,Premissas!$B$5:$B$44,$B4237)+P4237*SUMIFS(Premissas!$D$5:$D$44,Premissas!$A$5:$A$44,$A4237,Premissas!$B$5:$B$44,$B4237))+R4237*SUMIFS(Premissas!$E$5:$E$44,Premissas!$A$5:$A$44,$A4237,Premissas!$B$5:$B$44,$B4237)+S4237*SUMIFS(Premissas!$F$5:$F$44,Premissas!$A$5:$A$44,$A4237,Premissas!$B$5:$B$44,$B4237)</f>
        <v/>
      </c>
      <c r="L4237" s="29">
        <f>J4237-K4237</f>
        <v/>
      </c>
      <c r="M4237" t="inlineStr">
        <is>
          <t>2.350</t>
        </is>
      </c>
      <c r="N4237" t="inlineStr">
        <is>
          <t>Modalidade: 0 - Por conta do remetente | Parte: JANIO ALVES MOTA (04.319.368/0003-30)</t>
        </is>
      </c>
      <c r="O4237" s="29" t="n">
        <v>0</v>
      </c>
      <c r="P4237" s="29" t="n">
        <v>84</v>
      </c>
      <c r="Q4237" s="29" t="n">
        <v>0</v>
      </c>
      <c r="R4237" s="29" t="n">
        <v>0</v>
      </c>
      <c r="S4237" s="29" t="n">
        <v>0</v>
      </c>
      <c r="T4237" t="inlineStr">
        <is>
          <t>25260859256389000183570010000003561000130582</t>
        </is>
      </c>
      <c r="U4237" t="inlineStr">
        <is>
          <t>Sim</t>
        </is>
      </c>
    </row>
    <row r="4238">
      <c r="A4238" t="inlineStr">
        <is>
          <t>Frete de venda</t>
        </is>
      </c>
      <c r="B4238" t="inlineStr">
        <is>
          <t>2.01.02 Frete sobre Vendas</t>
        </is>
      </c>
      <c r="C4238" s="30" t="n">
        <v>46235</v>
      </c>
      <c r="D4238" t="inlineStr">
        <is>
          <t>Em 2026</t>
        </is>
      </c>
      <c r="E4238" s="28" t="n">
        <v>46259</v>
      </c>
      <c r="F4238" t="inlineStr">
        <is>
          <t>CT-e</t>
        </is>
      </c>
      <c r="G4238" t="inlineStr">
        <is>
          <t>000000357</t>
        </is>
      </c>
      <c r="H4238" t="inlineStr">
        <is>
          <t>DURA MAIS TRANSPORTES LTDA</t>
        </is>
      </c>
      <c r="J4238" s="29" t="n">
        <v>700</v>
      </c>
      <c r="K4238" s="29">
        <f>(1-ISNUMBER(SEARCH("556",M4238)))*(O4238*SUMIFS(Premissas!$C$5:$C$44,Premissas!$A$5:$A$44,$A4238,Premissas!$B$5:$B$44,$B4238)+P4238*SUMIFS(Premissas!$D$5:$D$44,Premissas!$A$5:$A$44,$A4238,Premissas!$B$5:$B$44,$B4238))+R4238*SUMIFS(Premissas!$E$5:$E$44,Premissas!$A$5:$A$44,$A4238,Premissas!$B$5:$B$44,$B4238)+S4238*SUMIFS(Premissas!$F$5:$F$44,Premissas!$A$5:$A$44,$A4238,Premissas!$B$5:$B$44,$B4238)</f>
        <v/>
      </c>
      <c r="L4238" s="29">
        <f>J4238-K4238</f>
        <v/>
      </c>
      <c r="M4238" t="inlineStr">
        <is>
          <t>2.350</t>
        </is>
      </c>
      <c r="N4238" t="inlineStr">
        <is>
          <t>Modalidade: 0 - Por conta do remetente | Parte: TARCISIO J CIDRAL EMBALAGENS (07.324.834/0001-00)</t>
        </is>
      </c>
      <c r="O4238" s="29" t="n">
        <v>0</v>
      </c>
      <c r="P4238" s="29" t="n">
        <v>84</v>
      </c>
      <c r="Q4238" s="29" t="n">
        <v>0</v>
      </c>
      <c r="R4238" s="29" t="n">
        <v>0</v>
      </c>
      <c r="S4238" s="29" t="n">
        <v>0</v>
      </c>
      <c r="T4238" t="inlineStr">
        <is>
          <t>25260859256389000183570010000003571000010665</t>
        </is>
      </c>
      <c r="U4238" t="inlineStr">
        <is>
          <t>Sim</t>
        </is>
      </c>
    </row>
    <row r="4239">
      <c r="A4239" t="inlineStr">
        <is>
          <t>Frete de venda</t>
        </is>
      </c>
      <c r="B4239" t="inlineStr">
        <is>
          <t>2.01.02 Frete sobre Vendas</t>
        </is>
      </c>
      <c r="C4239" s="30" t="n">
        <v>46235</v>
      </c>
      <c r="D4239" t="inlineStr">
        <is>
          <t>Em 2026</t>
        </is>
      </c>
      <c r="E4239" s="28" t="n">
        <v>46259</v>
      </c>
      <c r="F4239" t="inlineStr">
        <is>
          <t>CT-e</t>
        </is>
      </c>
      <c r="G4239" t="inlineStr">
        <is>
          <t>000000359</t>
        </is>
      </c>
      <c r="H4239" t="inlineStr">
        <is>
          <t>DURA MAIS TRANSPORTES LTDA</t>
        </is>
      </c>
      <c r="J4239" s="29" t="n">
        <v>700</v>
      </c>
      <c r="K4239" s="29">
        <f>(1-ISNUMBER(SEARCH("556",M4239)))*(O4239*SUMIFS(Premissas!$C$5:$C$44,Premissas!$A$5:$A$44,$A4239,Premissas!$B$5:$B$44,$B4239)+P4239*SUMIFS(Premissas!$D$5:$D$44,Premissas!$A$5:$A$44,$A4239,Premissas!$B$5:$B$44,$B4239))+R4239*SUMIFS(Premissas!$E$5:$E$44,Premissas!$A$5:$A$44,$A4239,Premissas!$B$5:$B$44,$B4239)+S4239*SUMIFS(Premissas!$F$5:$F$44,Premissas!$A$5:$A$44,$A4239,Premissas!$B$5:$B$44,$B4239)</f>
        <v/>
      </c>
      <c r="L4239" s="29">
        <f>J4239-K4239</f>
        <v/>
      </c>
      <c r="M4239" t="inlineStr">
        <is>
          <t>2.350</t>
        </is>
      </c>
      <c r="N4239" t="inlineStr">
        <is>
          <t>Modalidade: 0 - Por conta do remetente | Parte: DISTRIBUIDORA CENTRAL EMBALAGENS LTDA (08.726.563/0001-73)</t>
        </is>
      </c>
      <c r="O4239" s="29" t="n">
        <v>0</v>
      </c>
      <c r="P4239" s="29" t="n">
        <v>84</v>
      </c>
      <c r="Q4239" s="29" t="n">
        <v>0</v>
      </c>
      <c r="R4239" s="29" t="n">
        <v>0</v>
      </c>
      <c r="S4239" s="29" t="n">
        <v>0</v>
      </c>
      <c r="T4239" t="inlineStr">
        <is>
          <t>25260859256389000183570010000003591000150828</t>
        </is>
      </c>
      <c r="U4239" t="inlineStr">
        <is>
          <t>Sim</t>
        </is>
      </c>
    </row>
    <row r="4240">
      <c r="A4240" t="inlineStr">
        <is>
          <t>Frete de venda</t>
        </is>
      </c>
      <c r="B4240" t="inlineStr">
        <is>
          <t>2.01.02 Frete sobre Vendas</t>
        </is>
      </c>
      <c r="C4240" s="30" t="n">
        <v>46235</v>
      </c>
      <c r="D4240" t="inlineStr">
        <is>
          <t>Em 2026</t>
        </is>
      </c>
      <c r="E4240" s="28" t="n">
        <v>46259</v>
      </c>
      <c r="F4240" t="inlineStr">
        <is>
          <t>CT-e</t>
        </is>
      </c>
      <c r="G4240" t="inlineStr">
        <is>
          <t>000000360</t>
        </is>
      </c>
      <c r="H4240" t="inlineStr">
        <is>
          <t>DURA MAIS TRANSPORTES LTDA</t>
        </is>
      </c>
      <c r="J4240" s="29" t="n">
        <v>700</v>
      </c>
      <c r="K4240" s="29">
        <f>(1-ISNUMBER(SEARCH("556",M4240)))*(O4240*SUMIFS(Premissas!$C$5:$C$44,Premissas!$A$5:$A$44,$A4240,Premissas!$B$5:$B$44,$B4240)+P4240*SUMIFS(Premissas!$D$5:$D$44,Premissas!$A$5:$A$44,$A4240,Premissas!$B$5:$B$44,$B4240))+R4240*SUMIFS(Premissas!$E$5:$E$44,Premissas!$A$5:$A$44,$A4240,Premissas!$B$5:$B$44,$B4240)+S4240*SUMIFS(Premissas!$F$5:$F$44,Premissas!$A$5:$A$44,$A4240,Premissas!$B$5:$B$44,$B4240)</f>
        <v/>
      </c>
      <c r="L4240" s="29">
        <f>J4240-K4240</f>
        <v/>
      </c>
      <c r="M4240" t="inlineStr">
        <is>
          <t>2.350</t>
        </is>
      </c>
      <c r="N4240" t="inlineStr">
        <is>
          <t>Modalidade: 0 - Por conta do remetente | Parte: COMERCIAL FENIX ALIMENTOS LTDA (04.364.799/0001-56)</t>
        </is>
      </c>
      <c r="O4240" s="29" t="n">
        <v>0</v>
      </c>
      <c r="P4240" s="29" t="n">
        <v>84</v>
      </c>
      <c r="Q4240" s="29" t="n">
        <v>0</v>
      </c>
      <c r="R4240" s="29" t="n">
        <v>0</v>
      </c>
      <c r="S4240" s="29" t="n">
        <v>0</v>
      </c>
      <c r="T4240" t="inlineStr">
        <is>
          <t>25260859256389000183570010000003601000120903</t>
        </is>
      </c>
      <c r="U4240" t="inlineStr">
        <is>
          <t>Sim</t>
        </is>
      </c>
    </row>
    <row r="4241">
      <c r="A4241" t="inlineStr">
        <is>
          <t>Frete de venda</t>
        </is>
      </c>
      <c r="B4241" t="inlineStr">
        <is>
          <t>2.01.02 Frete sobre Vendas</t>
        </is>
      </c>
      <c r="C4241" s="30" t="n">
        <v>46235</v>
      </c>
      <c r="D4241" t="inlineStr">
        <is>
          <t>Em 2026</t>
        </is>
      </c>
      <c r="E4241" s="28" t="n">
        <v>46259</v>
      </c>
      <c r="F4241" t="inlineStr">
        <is>
          <t>CT-e</t>
        </is>
      </c>
      <c r="G4241" t="inlineStr">
        <is>
          <t>000000361</t>
        </is>
      </c>
      <c r="H4241" t="inlineStr">
        <is>
          <t>DURA MAIS TRANSPORTES LTDA</t>
        </is>
      </c>
      <c r="J4241" s="29" t="n">
        <v>1400</v>
      </c>
      <c r="K4241" s="29">
        <f>(1-ISNUMBER(SEARCH("556",M4241)))*(O4241*SUMIFS(Premissas!$C$5:$C$44,Premissas!$A$5:$A$44,$A4241,Premissas!$B$5:$B$44,$B4241)+P4241*SUMIFS(Premissas!$D$5:$D$44,Premissas!$A$5:$A$44,$A4241,Premissas!$B$5:$B$44,$B4241))+R4241*SUMIFS(Premissas!$E$5:$E$44,Premissas!$A$5:$A$44,$A4241,Premissas!$B$5:$B$44,$B4241)+S4241*SUMIFS(Premissas!$F$5:$F$44,Premissas!$A$5:$A$44,$A4241,Premissas!$B$5:$B$44,$B4241)</f>
        <v/>
      </c>
      <c r="L4241" s="29">
        <f>J4241-K4241</f>
        <v/>
      </c>
      <c r="M4241" t="inlineStr">
        <is>
          <t>2.350</t>
        </is>
      </c>
      <c r="N4241" t="inlineStr">
        <is>
          <t>Modalidade: 0 - Por conta do remetente | Parte: SORRISO COMERCIO DE EMBALAGENS LTDA (07.558.796/0001-41)</t>
        </is>
      </c>
      <c r="O4241" s="29" t="n">
        <v>0</v>
      </c>
      <c r="P4241" s="29" t="n">
        <v>168</v>
      </c>
      <c r="Q4241" s="29" t="n">
        <v>0</v>
      </c>
      <c r="R4241" s="29" t="n">
        <v>0</v>
      </c>
      <c r="S4241" s="29" t="n">
        <v>0</v>
      </c>
      <c r="T4241" t="inlineStr">
        <is>
          <t>25260859256389000183570010000003611001100989</t>
        </is>
      </c>
      <c r="U4241" t="inlineStr">
        <is>
          <t>Sim</t>
        </is>
      </c>
    </row>
    <row r="4242">
      <c r="A4242" t="inlineStr">
        <is>
          <t>Frete de venda</t>
        </is>
      </c>
      <c r="B4242" t="inlineStr">
        <is>
          <t>2.01.02 Frete sobre Vendas</t>
        </is>
      </c>
      <c r="C4242" s="30" t="n">
        <v>46235</v>
      </c>
      <c r="D4242" t="inlineStr">
        <is>
          <t>Em 2026</t>
        </is>
      </c>
      <c r="E4242" s="28" t="n">
        <v>46259</v>
      </c>
      <c r="F4242" t="inlineStr">
        <is>
          <t>CT-e</t>
        </is>
      </c>
      <c r="G4242" t="inlineStr">
        <is>
          <t>000000362</t>
        </is>
      </c>
      <c r="H4242" t="inlineStr">
        <is>
          <t>DURA MAIS TRANSPORTES LTDA</t>
        </is>
      </c>
      <c r="J4242" s="29" t="n">
        <v>700</v>
      </c>
      <c r="K4242" s="29">
        <f>(1-ISNUMBER(SEARCH("556",M4242)))*(O4242*SUMIFS(Premissas!$C$5:$C$44,Premissas!$A$5:$A$44,$A4242,Premissas!$B$5:$B$44,$B4242)+P4242*SUMIFS(Premissas!$D$5:$D$44,Premissas!$A$5:$A$44,$A4242,Premissas!$B$5:$B$44,$B4242))+R4242*SUMIFS(Premissas!$E$5:$E$44,Premissas!$A$5:$A$44,$A4242,Premissas!$B$5:$B$44,$B4242)+S4242*SUMIFS(Premissas!$F$5:$F$44,Premissas!$A$5:$A$44,$A4242,Premissas!$B$5:$B$44,$B4242)</f>
        <v/>
      </c>
      <c r="L4242" s="29">
        <f>J4242-K4242</f>
        <v/>
      </c>
      <c r="M4242" t="inlineStr">
        <is>
          <t>2.350</t>
        </is>
      </c>
      <c r="N4242" t="inlineStr">
        <is>
          <t>Modalidade: 0 - Por conta do remetente | Parte: CALIXTO DA SILVA E CIA LTDA (10.680.919/0001-27)</t>
        </is>
      </c>
      <c r="O4242" s="29" t="n">
        <v>0</v>
      </c>
      <c r="P4242" s="29" t="n">
        <v>84</v>
      </c>
      <c r="Q4242" s="29" t="n">
        <v>0</v>
      </c>
      <c r="R4242" s="29" t="n">
        <v>0</v>
      </c>
      <c r="S4242" s="29" t="n">
        <v>0</v>
      </c>
      <c r="T4242" t="inlineStr">
        <is>
          <t>25260859256389000183570010000003621001701068</t>
        </is>
      </c>
      <c r="U4242" t="inlineStr">
        <is>
          <t>Sim</t>
        </is>
      </c>
    </row>
    <row r="4243">
      <c r="A4243" t="inlineStr">
        <is>
          <t>Frete de venda</t>
        </is>
      </c>
      <c r="B4243" t="inlineStr">
        <is>
          <t>2.01.02 Frete sobre Vendas</t>
        </is>
      </c>
      <c r="C4243" s="30" t="n">
        <v>46235</v>
      </c>
      <c r="D4243" t="inlineStr">
        <is>
          <t>Em 2026</t>
        </is>
      </c>
      <c r="E4243" s="28" t="n">
        <v>46259</v>
      </c>
      <c r="F4243" t="inlineStr">
        <is>
          <t>CT-e</t>
        </is>
      </c>
      <c r="G4243" t="inlineStr">
        <is>
          <t>000000363</t>
        </is>
      </c>
      <c r="H4243" t="inlineStr">
        <is>
          <t>DURA MAIS TRANSPORTES LTDA</t>
        </is>
      </c>
      <c r="J4243" s="29" t="n">
        <v>700</v>
      </c>
      <c r="K4243" s="29">
        <f>(1-ISNUMBER(SEARCH("556",M4243)))*(O4243*SUMIFS(Premissas!$C$5:$C$44,Premissas!$A$5:$A$44,$A4243,Premissas!$B$5:$B$44,$B4243)+P4243*SUMIFS(Premissas!$D$5:$D$44,Premissas!$A$5:$A$44,$A4243,Premissas!$B$5:$B$44,$B4243))+R4243*SUMIFS(Premissas!$E$5:$E$44,Premissas!$A$5:$A$44,$A4243,Premissas!$B$5:$B$44,$B4243)+S4243*SUMIFS(Premissas!$F$5:$F$44,Premissas!$A$5:$A$44,$A4243,Premissas!$B$5:$B$44,$B4243)</f>
        <v/>
      </c>
      <c r="L4243" s="29">
        <f>J4243-K4243</f>
        <v/>
      </c>
      <c r="M4243" t="inlineStr">
        <is>
          <t>2.350</t>
        </is>
      </c>
      <c r="N4243" t="inlineStr">
        <is>
          <t>Modalidade: 0 - Por conta do remetente | Parte: MARIA CLEIDE RAMOS LTDA (42.968.790/0001-43)</t>
        </is>
      </c>
      <c r="O4243" s="29" t="n">
        <v>0</v>
      </c>
      <c r="P4243" s="29" t="n">
        <v>84</v>
      </c>
      <c r="Q4243" s="29" t="n">
        <v>0</v>
      </c>
      <c r="R4243" s="29" t="n">
        <v>0</v>
      </c>
      <c r="S4243" s="29" t="n">
        <v>0</v>
      </c>
      <c r="T4243" t="inlineStr">
        <is>
          <t>25260859256389000183570010000003631001401142</t>
        </is>
      </c>
      <c r="U4243" t="inlineStr">
        <is>
          <t>Sim</t>
        </is>
      </c>
    </row>
    <row r="4244">
      <c r="A4244" t="inlineStr">
        <is>
          <t>Frete de venda</t>
        </is>
      </c>
      <c r="B4244" t="inlineStr">
        <is>
          <t>2.01.02 Frete sobre Vendas</t>
        </is>
      </c>
      <c r="C4244" s="30" t="n">
        <v>46235</v>
      </c>
      <c r="D4244" t="inlineStr">
        <is>
          <t>Em 2026</t>
        </is>
      </c>
      <c r="E4244" s="28" t="n">
        <v>46259</v>
      </c>
      <c r="F4244" t="inlineStr">
        <is>
          <t>CT-e</t>
        </is>
      </c>
      <c r="G4244" t="inlineStr">
        <is>
          <t>000000364</t>
        </is>
      </c>
      <c r="H4244" t="inlineStr">
        <is>
          <t>DURA MAIS TRANSPORTES LTDA</t>
        </is>
      </c>
      <c r="J4244" s="29" t="n">
        <v>700</v>
      </c>
      <c r="K4244" s="29">
        <f>(1-ISNUMBER(SEARCH("556",M4244)))*(O4244*SUMIFS(Premissas!$C$5:$C$44,Premissas!$A$5:$A$44,$A4244,Premissas!$B$5:$B$44,$B4244)+P4244*SUMIFS(Premissas!$D$5:$D$44,Premissas!$A$5:$A$44,$A4244,Premissas!$B$5:$B$44,$B4244))+R4244*SUMIFS(Premissas!$E$5:$E$44,Premissas!$A$5:$A$44,$A4244,Premissas!$B$5:$B$44,$B4244)+S4244*SUMIFS(Premissas!$F$5:$F$44,Premissas!$A$5:$A$44,$A4244,Premissas!$B$5:$B$44,$B4244)</f>
        <v/>
      </c>
      <c r="L4244" s="29">
        <f>J4244-K4244</f>
        <v/>
      </c>
      <c r="M4244" t="inlineStr">
        <is>
          <t>2.350</t>
        </is>
      </c>
      <c r="N4244" t="inlineStr">
        <is>
          <t>Modalidade: 0 - Por conta do remetente | Parte: NORTAO EMBALAGENS LTDA (52.176.961/0001-55)</t>
        </is>
      </c>
      <c r="O4244" s="29" t="n">
        <v>0</v>
      </c>
      <c r="P4244" s="29" t="n">
        <v>84</v>
      </c>
      <c r="Q4244" s="29" t="n">
        <v>0</v>
      </c>
      <c r="R4244" s="29" t="n">
        <v>0</v>
      </c>
      <c r="S4244" s="29" t="n">
        <v>0</v>
      </c>
      <c r="T4244" t="inlineStr">
        <is>
          <t>25260859256389000183570010000003641001101227</t>
        </is>
      </c>
      <c r="U4244" t="inlineStr">
        <is>
          <t>Sim</t>
        </is>
      </c>
    </row>
    <row r="4245">
      <c r="A4245" t="inlineStr">
        <is>
          <t>Frete de venda</t>
        </is>
      </c>
      <c r="B4245" t="inlineStr">
        <is>
          <t>2.01.02 Frete sobre Vendas</t>
        </is>
      </c>
      <c r="C4245" s="30" t="n">
        <v>46235</v>
      </c>
      <c r="D4245" t="inlineStr">
        <is>
          <t>Em 2026</t>
        </is>
      </c>
      <c r="E4245" s="28" t="n">
        <v>46259</v>
      </c>
      <c r="F4245" t="inlineStr">
        <is>
          <t>CT-e</t>
        </is>
      </c>
      <c r="G4245" t="inlineStr">
        <is>
          <t>000000365</t>
        </is>
      </c>
      <c r="H4245" t="inlineStr">
        <is>
          <t>DURA MAIS TRANSPORTES LTDA</t>
        </is>
      </c>
      <c r="J4245" s="29" t="n">
        <v>700</v>
      </c>
      <c r="K4245" s="29">
        <f>(1-ISNUMBER(SEARCH("556",M4245)))*(O4245*SUMIFS(Premissas!$C$5:$C$44,Premissas!$A$5:$A$44,$A4245,Premissas!$B$5:$B$44,$B4245)+P4245*SUMIFS(Premissas!$D$5:$D$44,Premissas!$A$5:$A$44,$A4245,Premissas!$B$5:$B$44,$B4245))+R4245*SUMIFS(Premissas!$E$5:$E$44,Premissas!$A$5:$A$44,$A4245,Premissas!$B$5:$B$44,$B4245)+S4245*SUMIFS(Premissas!$F$5:$F$44,Premissas!$A$5:$A$44,$A4245,Premissas!$B$5:$B$44,$B4245)</f>
        <v/>
      </c>
      <c r="L4245" s="29">
        <f>J4245-K4245</f>
        <v/>
      </c>
      <c r="M4245" t="inlineStr">
        <is>
          <t>2.350</t>
        </is>
      </c>
      <c r="N4245" t="inlineStr">
        <is>
          <t>Modalidade: 0 - Por conta do remetente | Parte: MOREIRA DE AGUIAR e AGUIAR LTDA (02.951.472/0001-55)</t>
        </is>
      </c>
      <c r="O4245" s="29" t="n">
        <v>0</v>
      </c>
      <c r="P4245" s="29" t="n">
        <v>84</v>
      </c>
      <c r="Q4245" s="29" t="n">
        <v>0</v>
      </c>
      <c r="R4245" s="29" t="n">
        <v>0</v>
      </c>
      <c r="S4245" s="29" t="n">
        <v>0</v>
      </c>
      <c r="T4245" t="inlineStr">
        <is>
          <t>25260859256389000183570010000003651001901301</t>
        </is>
      </c>
      <c r="U4245" t="inlineStr">
        <is>
          <t>Sim</t>
        </is>
      </c>
    </row>
    <row r="4246">
      <c r="A4246" t="inlineStr">
        <is>
          <t>Frete de venda</t>
        </is>
      </c>
      <c r="B4246" t="inlineStr">
        <is>
          <t>2.01.02 Frete sobre Vendas</t>
        </is>
      </c>
      <c r="C4246" s="30" t="n">
        <v>46235</v>
      </c>
      <c r="D4246" t="inlineStr">
        <is>
          <t>Em 2026</t>
        </is>
      </c>
      <c r="E4246" s="28" t="n">
        <v>46259</v>
      </c>
      <c r="F4246" t="inlineStr">
        <is>
          <t>CT-e</t>
        </is>
      </c>
      <c r="G4246" t="inlineStr">
        <is>
          <t>000000366</t>
        </is>
      </c>
      <c r="H4246" t="inlineStr">
        <is>
          <t>DURA MAIS TRANSPORTES LTDA</t>
        </is>
      </c>
      <c r="J4246" s="29" t="n">
        <v>700</v>
      </c>
      <c r="K4246" s="29">
        <f>(1-ISNUMBER(SEARCH("556",M4246)))*(O4246*SUMIFS(Premissas!$C$5:$C$44,Premissas!$A$5:$A$44,$A4246,Premissas!$B$5:$B$44,$B4246)+P4246*SUMIFS(Premissas!$D$5:$D$44,Premissas!$A$5:$A$44,$A4246,Premissas!$B$5:$B$44,$B4246))+R4246*SUMIFS(Premissas!$E$5:$E$44,Premissas!$A$5:$A$44,$A4246,Premissas!$B$5:$B$44,$B4246)+S4246*SUMIFS(Premissas!$F$5:$F$44,Premissas!$A$5:$A$44,$A4246,Premissas!$B$5:$B$44,$B4246)</f>
        <v/>
      </c>
      <c r="L4246" s="29">
        <f>J4246-K4246</f>
        <v/>
      </c>
      <c r="M4246" t="inlineStr">
        <is>
          <t>2.350</t>
        </is>
      </c>
      <c r="N4246" t="inlineStr">
        <is>
          <t>Modalidade: 0 - Por conta do remetente | Parte: C. G. L CASA FORTE LTDA (49.610.263/0001-01)</t>
        </is>
      </c>
      <c r="O4246" s="29" t="n">
        <v>0</v>
      </c>
      <c r="P4246" s="29" t="n">
        <v>84</v>
      </c>
      <c r="Q4246" s="29" t="n">
        <v>0</v>
      </c>
      <c r="R4246" s="29" t="n">
        <v>0</v>
      </c>
      <c r="S4246" s="29" t="n">
        <v>0</v>
      </c>
      <c r="T4246" t="inlineStr">
        <is>
          <t>25260859256389000183570010000003661001100659</t>
        </is>
      </c>
      <c r="U4246" t="inlineStr">
        <is>
          <t>Sim</t>
        </is>
      </c>
    </row>
    <row r="4247">
      <c r="A4247" t="inlineStr">
        <is>
          <t>Frete de venda</t>
        </is>
      </c>
      <c r="B4247" t="inlineStr">
        <is>
          <t>2.01.02 Frete sobre Vendas</t>
        </is>
      </c>
      <c r="C4247" s="30" t="n">
        <v>46235</v>
      </c>
      <c r="D4247" t="inlineStr">
        <is>
          <t>Em 2026</t>
        </is>
      </c>
      <c r="E4247" s="28" t="n">
        <v>46259</v>
      </c>
      <c r="F4247" t="inlineStr">
        <is>
          <t>CT-e</t>
        </is>
      </c>
      <c r="G4247" t="inlineStr">
        <is>
          <t>000000369</t>
        </is>
      </c>
      <c r="H4247" t="inlineStr">
        <is>
          <t>DURA MAIS TRANSPORTES LTDA</t>
        </is>
      </c>
      <c r="J4247" s="29" t="n">
        <v>700</v>
      </c>
      <c r="K4247" s="29">
        <f>(1-ISNUMBER(SEARCH("556",M4247)))*(O4247*SUMIFS(Premissas!$C$5:$C$44,Premissas!$A$5:$A$44,$A4247,Premissas!$B$5:$B$44,$B4247)+P4247*SUMIFS(Premissas!$D$5:$D$44,Premissas!$A$5:$A$44,$A4247,Premissas!$B$5:$B$44,$B4247))+R4247*SUMIFS(Premissas!$E$5:$E$44,Premissas!$A$5:$A$44,$A4247,Premissas!$B$5:$B$44,$B4247)+S4247*SUMIFS(Premissas!$F$5:$F$44,Premissas!$A$5:$A$44,$A4247,Premissas!$B$5:$B$44,$B4247)</f>
        <v/>
      </c>
      <c r="L4247" s="29">
        <f>J4247-K4247</f>
        <v/>
      </c>
      <c r="M4247" t="inlineStr">
        <is>
          <t>2.350</t>
        </is>
      </c>
      <c r="N4247" t="inlineStr">
        <is>
          <t>Modalidade: 0 - Por conta do remetente | Parte: FONTANA EMBALAGENS LTDA (68.122.350/0001-64)</t>
        </is>
      </c>
      <c r="O4247" s="29" t="n">
        <v>0</v>
      </c>
      <c r="P4247" s="29" t="n">
        <v>84</v>
      </c>
      <c r="Q4247" s="29" t="n">
        <v>0</v>
      </c>
      <c r="R4247" s="29" t="n">
        <v>0</v>
      </c>
      <c r="S4247" s="29" t="n">
        <v>0</v>
      </c>
      <c r="T4247" t="inlineStr">
        <is>
          <t>25260859256389000183570010000003691000110890</t>
        </is>
      </c>
      <c r="U4247" t="inlineStr">
        <is>
          <t>Sim</t>
        </is>
      </c>
    </row>
    <row r="4248">
      <c r="A4248" t="inlineStr">
        <is>
          <t>Frete de venda</t>
        </is>
      </c>
      <c r="B4248" t="inlineStr">
        <is>
          <t>2.01.02 Frete sobre Vendas</t>
        </is>
      </c>
      <c r="C4248" s="30" t="n">
        <v>46235</v>
      </c>
      <c r="D4248" t="inlineStr">
        <is>
          <t>Em 2026</t>
        </is>
      </c>
      <c r="E4248" s="28" t="n">
        <v>46260</v>
      </c>
      <c r="F4248" t="inlineStr">
        <is>
          <t>CT-e</t>
        </is>
      </c>
      <c r="G4248" t="inlineStr">
        <is>
          <t>000000379</t>
        </is>
      </c>
      <c r="H4248" t="inlineStr">
        <is>
          <t>DURA MAIS TRANSPORTES LTDA</t>
        </is>
      </c>
      <c r="J4248" s="29" t="n">
        <v>1125</v>
      </c>
      <c r="K4248" s="29">
        <f>(1-ISNUMBER(SEARCH("556",M4248)))*(O4248*SUMIFS(Premissas!$C$5:$C$44,Premissas!$A$5:$A$44,$A4248,Premissas!$B$5:$B$44,$B4248)+P4248*SUMIFS(Premissas!$D$5:$D$44,Premissas!$A$5:$A$44,$A4248,Premissas!$B$5:$B$44,$B4248))+R4248*SUMIFS(Premissas!$E$5:$E$44,Premissas!$A$5:$A$44,$A4248,Premissas!$B$5:$B$44,$B4248)+S4248*SUMIFS(Premissas!$F$5:$F$44,Premissas!$A$5:$A$44,$A4248,Premissas!$B$5:$B$44,$B4248)</f>
        <v/>
      </c>
      <c r="L4248" s="29">
        <f>J4248-K4248</f>
        <v/>
      </c>
      <c r="M4248" t="inlineStr">
        <is>
          <t>2.350</t>
        </is>
      </c>
      <c r="N4248" t="inlineStr">
        <is>
          <t>Transportadora de frete de venda, mas pela modalidade do frete a Vinco recebeu a carga | Modalidade: 1 - Por conta do destinatário | Parte: NOVA CONPEL COMPANHIA NORDESTINA DE PAPEL LTDA (55.330.530/0001-90)</t>
        </is>
      </c>
      <c r="O4248" s="29" t="n">
        <v>0</v>
      </c>
      <c r="P4248" s="29" t="n">
        <v>225</v>
      </c>
      <c r="Q4248" s="29" t="n">
        <v>0</v>
      </c>
      <c r="R4248" s="29" t="n">
        <v>0</v>
      </c>
      <c r="S4248" s="29" t="n">
        <v>0</v>
      </c>
      <c r="T4248" t="inlineStr">
        <is>
          <t>25260859256389000183570010000003791001201127</t>
        </is>
      </c>
      <c r="U4248" t="inlineStr">
        <is>
          <t>Sim</t>
        </is>
      </c>
    </row>
    <row r="4249">
      <c r="A4249" t="inlineStr">
        <is>
          <t>Frete de venda</t>
        </is>
      </c>
      <c r="B4249" t="inlineStr">
        <is>
          <t>2.01.02 Frete sobre Vendas</t>
        </is>
      </c>
      <c r="C4249" s="30" t="n">
        <v>46235</v>
      </c>
      <c r="D4249" t="inlineStr">
        <is>
          <t>Em 2026</t>
        </is>
      </c>
      <c r="E4249" s="28" t="n">
        <v>46261</v>
      </c>
      <c r="F4249" t="inlineStr">
        <is>
          <t>CT-e</t>
        </is>
      </c>
      <c r="G4249" t="inlineStr">
        <is>
          <t>000000383</t>
        </is>
      </c>
      <c r="H4249" t="inlineStr">
        <is>
          <t>DURA MAIS TRANSPORTES LTDA</t>
        </is>
      </c>
      <c r="J4249" s="29" t="n">
        <v>22950</v>
      </c>
      <c r="K4249" s="29">
        <f>(1-ISNUMBER(SEARCH("556",M4249)))*(O4249*SUMIFS(Premissas!$C$5:$C$44,Premissas!$A$5:$A$44,$A4249,Premissas!$B$5:$B$44,$B4249)+P4249*SUMIFS(Premissas!$D$5:$D$44,Premissas!$A$5:$A$44,$A4249,Premissas!$B$5:$B$44,$B4249))+R4249*SUMIFS(Premissas!$E$5:$E$44,Premissas!$A$5:$A$44,$A4249,Premissas!$B$5:$B$44,$B4249)+S4249*SUMIFS(Premissas!$F$5:$F$44,Premissas!$A$5:$A$44,$A4249,Premissas!$B$5:$B$44,$B4249)</f>
        <v/>
      </c>
      <c r="L4249" s="29">
        <f>J4249-K4249</f>
        <v/>
      </c>
      <c r="M4249" t="inlineStr">
        <is>
          <t>2.350</t>
        </is>
      </c>
      <c r="N4249" t="inlineStr">
        <is>
          <t>Modalidade: 0 - Por conta do remetente | Parte: BM3 IMPORTACAO E EXPORTACAO LTDA (12.098.843/0001-51)</t>
        </is>
      </c>
      <c r="O4249" s="29" t="n">
        <v>0</v>
      </c>
      <c r="P4249" s="29" t="n">
        <v>2754</v>
      </c>
      <c r="Q4249" s="29" t="n">
        <v>0</v>
      </c>
      <c r="R4249" s="29" t="n">
        <v>0</v>
      </c>
      <c r="S4249" s="29" t="n">
        <v>0</v>
      </c>
      <c r="T4249" t="inlineStr">
        <is>
          <t>25260859256389000183570010000003831001100870</t>
        </is>
      </c>
      <c r="U4249" t="inlineStr">
        <is>
          <t>Sim</t>
        </is>
      </c>
    </row>
    <row r="4250">
      <c r="A4250" t="inlineStr">
        <is>
          <t>Frete de venda</t>
        </is>
      </c>
      <c r="B4250" t="inlineStr">
        <is>
          <t>2.01.02 Frete sobre Vendas</t>
        </is>
      </c>
      <c r="C4250" s="30" t="n">
        <v>46235</v>
      </c>
      <c r="D4250" t="inlineStr">
        <is>
          <t>Em 2026</t>
        </is>
      </c>
      <c r="E4250" s="28" t="n">
        <v>46261</v>
      </c>
      <c r="F4250" t="inlineStr">
        <is>
          <t>CT-e</t>
        </is>
      </c>
      <c r="G4250" t="inlineStr">
        <is>
          <t>000000394</t>
        </is>
      </c>
      <c r="H4250" t="inlineStr">
        <is>
          <t>DURA MAIS TRANSPORTES LTDA</t>
        </is>
      </c>
      <c r="J4250" s="29" t="n">
        <v>2587.5</v>
      </c>
      <c r="K4250" s="29">
        <f>(1-ISNUMBER(SEARCH("556",M4250)))*(O4250*SUMIFS(Premissas!$C$5:$C$44,Premissas!$A$5:$A$44,$A4250,Premissas!$B$5:$B$44,$B4250)+P4250*SUMIFS(Premissas!$D$5:$D$44,Premissas!$A$5:$A$44,$A4250,Premissas!$B$5:$B$44,$B4250))+R4250*SUMIFS(Premissas!$E$5:$E$44,Premissas!$A$5:$A$44,$A4250,Premissas!$B$5:$B$44,$B4250)+S4250*SUMIFS(Premissas!$F$5:$F$44,Premissas!$A$5:$A$44,$A4250,Premissas!$B$5:$B$44,$B4250)</f>
        <v/>
      </c>
      <c r="L4250" s="29">
        <f>J4250-K4250</f>
        <v/>
      </c>
      <c r="M4250" t="inlineStr">
        <is>
          <t>2.350</t>
        </is>
      </c>
      <c r="N4250" t="inlineStr">
        <is>
          <t>Modalidade: 0 - Por conta do remetente | Parte: DISTRIBUIDORA BELOPACK LTDA (03.053.442/0001-94)</t>
        </is>
      </c>
      <c r="O4250" s="29" t="n">
        <v>0</v>
      </c>
      <c r="P4250" s="29" t="n">
        <v>310.5</v>
      </c>
      <c r="Q4250" s="29" t="n">
        <v>0</v>
      </c>
      <c r="R4250" s="29" t="n">
        <v>0</v>
      </c>
      <c r="S4250" s="29" t="n">
        <v>0</v>
      </c>
      <c r="T4250" t="inlineStr">
        <is>
          <t>25260859256389000183570010000003941001301020</t>
        </is>
      </c>
      <c r="U4250" t="inlineStr">
        <is>
          <t>Sim</t>
        </is>
      </c>
    </row>
    <row r="4251">
      <c r="A4251" t="inlineStr">
        <is>
          <t>Frete de venda</t>
        </is>
      </c>
      <c r="B4251" t="inlineStr">
        <is>
          <t>2.01.02 Frete sobre Vendas</t>
        </is>
      </c>
      <c r="C4251" s="30" t="n">
        <v>46235</v>
      </c>
      <c r="D4251" t="inlineStr">
        <is>
          <t>Em 2026</t>
        </is>
      </c>
      <c r="E4251" s="28" t="n">
        <v>46261</v>
      </c>
      <c r="F4251" t="inlineStr">
        <is>
          <t>CT-e</t>
        </is>
      </c>
      <c r="G4251" t="inlineStr">
        <is>
          <t>000000395</t>
        </is>
      </c>
      <c r="H4251" t="inlineStr">
        <is>
          <t>DURA MAIS TRANSPORTES LTDA</t>
        </is>
      </c>
      <c r="J4251" s="29" t="n">
        <v>2587.5</v>
      </c>
      <c r="K4251" s="29">
        <f>(1-ISNUMBER(SEARCH("556",M4251)))*(O4251*SUMIFS(Premissas!$C$5:$C$44,Premissas!$A$5:$A$44,$A4251,Premissas!$B$5:$B$44,$B4251)+P4251*SUMIFS(Premissas!$D$5:$D$44,Premissas!$A$5:$A$44,$A4251,Premissas!$B$5:$B$44,$B4251))+R4251*SUMIFS(Premissas!$E$5:$E$44,Premissas!$A$5:$A$44,$A4251,Premissas!$B$5:$B$44,$B4251)+S4251*SUMIFS(Premissas!$F$5:$F$44,Premissas!$A$5:$A$44,$A4251,Premissas!$B$5:$B$44,$B4251)</f>
        <v/>
      </c>
      <c r="L4251" s="29">
        <f>J4251-K4251</f>
        <v/>
      </c>
      <c r="M4251" t="inlineStr">
        <is>
          <t>2.350</t>
        </is>
      </c>
      <c r="N4251" t="inlineStr">
        <is>
          <t>Modalidade: 0 - Por conta do remetente | Parte: LIDERPACK EMBALAGENS LTDA (46.994.972/0001-40)</t>
        </is>
      </c>
      <c r="O4251" s="29" t="n">
        <v>0</v>
      </c>
      <c r="P4251" s="29" t="n">
        <v>310.5</v>
      </c>
      <c r="Q4251" s="29" t="n">
        <v>0</v>
      </c>
      <c r="R4251" s="29" t="n">
        <v>0</v>
      </c>
      <c r="S4251" s="29" t="n">
        <v>0</v>
      </c>
      <c r="T4251" t="inlineStr">
        <is>
          <t>25260859256389000183570010000003951000101106</t>
        </is>
      </c>
      <c r="U4251" t="inlineStr">
        <is>
          <t>Sim</t>
        </is>
      </c>
    </row>
    <row r="4252">
      <c r="A4252" t="inlineStr">
        <is>
          <t>Frete de venda</t>
        </is>
      </c>
      <c r="B4252" t="inlineStr">
        <is>
          <t>2.01.02 Frete sobre Vendas</t>
        </is>
      </c>
      <c r="C4252" s="30" t="n">
        <v>46235</v>
      </c>
      <c r="D4252" t="inlineStr">
        <is>
          <t>Em 2026</t>
        </is>
      </c>
      <c r="E4252" s="28" t="n">
        <v>46261</v>
      </c>
      <c r="F4252" t="inlineStr">
        <is>
          <t>CT-e</t>
        </is>
      </c>
      <c r="G4252" t="inlineStr">
        <is>
          <t>000000396</t>
        </is>
      </c>
      <c r="H4252" t="inlineStr">
        <is>
          <t>DURA MAIS TRANSPORTES LTDA</t>
        </is>
      </c>
      <c r="J4252" s="29" t="n">
        <v>2587.5</v>
      </c>
      <c r="K4252" s="29">
        <f>(1-ISNUMBER(SEARCH("556",M4252)))*(O4252*SUMIFS(Premissas!$C$5:$C$44,Premissas!$A$5:$A$44,$A4252,Premissas!$B$5:$B$44,$B4252)+P4252*SUMIFS(Premissas!$D$5:$D$44,Premissas!$A$5:$A$44,$A4252,Premissas!$B$5:$B$44,$B4252))+R4252*SUMIFS(Premissas!$E$5:$E$44,Premissas!$A$5:$A$44,$A4252,Premissas!$B$5:$B$44,$B4252)+S4252*SUMIFS(Premissas!$F$5:$F$44,Premissas!$A$5:$A$44,$A4252,Premissas!$B$5:$B$44,$B4252)</f>
        <v/>
      </c>
      <c r="L4252" s="29">
        <f>J4252-K4252</f>
        <v/>
      </c>
      <c r="M4252" t="inlineStr">
        <is>
          <t>2.350</t>
        </is>
      </c>
      <c r="N4252" t="inlineStr">
        <is>
          <t>Modalidade: 0 - Por conta do remetente | Parte: COMERCIAL MARVAL LTDA. (23.415.581/0001-28)</t>
        </is>
      </c>
      <c r="O4252" s="29" t="n">
        <v>0</v>
      </c>
      <c r="P4252" s="29" t="n">
        <v>310.5</v>
      </c>
      <c r="Q4252" s="29" t="n">
        <v>0</v>
      </c>
      <c r="R4252" s="29" t="n">
        <v>0</v>
      </c>
      <c r="S4252" s="29" t="n">
        <v>0</v>
      </c>
      <c r="T4252" t="inlineStr">
        <is>
          <t>25260859256389000183570010000003961001801184</t>
        </is>
      </c>
      <c r="U4252" t="inlineStr">
        <is>
          <t>Sim</t>
        </is>
      </c>
    </row>
    <row r="4253">
      <c r="A4253" t="inlineStr">
        <is>
          <t>Frete de venda</t>
        </is>
      </c>
      <c r="B4253" t="inlineStr">
        <is>
          <t>2.01.02 Frete sobre Vendas</t>
        </is>
      </c>
      <c r="C4253" s="30" t="n">
        <v>46235</v>
      </c>
      <c r="D4253" t="inlineStr">
        <is>
          <t>Em 2026</t>
        </is>
      </c>
      <c r="E4253" s="28" t="n">
        <v>46261</v>
      </c>
      <c r="F4253" t="inlineStr">
        <is>
          <t>CT-e</t>
        </is>
      </c>
      <c r="G4253" t="inlineStr">
        <is>
          <t>000000397</t>
        </is>
      </c>
      <c r="H4253" t="inlineStr">
        <is>
          <t>DURA MAIS TRANSPORTES LTDA</t>
        </is>
      </c>
      <c r="J4253" s="29" t="n">
        <v>2587.5</v>
      </c>
      <c r="K4253" s="29">
        <f>(1-ISNUMBER(SEARCH("556",M4253)))*(O4253*SUMIFS(Premissas!$C$5:$C$44,Premissas!$A$5:$A$44,$A4253,Premissas!$B$5:$B$44,$B4253)+P4253*SUMIFS(Premissas!$D$5:$D$44,Premissas!$A$5:$A$44,$A4253,Premissas!$B$5:$B$44,$B4253))+R4253*SUMIFS(Premissas!$E$5:$E$44,Premissas!$A$5:$A$44,$A4253,Premissas!$B$5:$B$44,$B4253)+S4253*SUMIFS(Premissas!$F$5:$F$44,Premissas!$A$5:$A$44,$A4253,Premissas!$B$5:$B$44,$B4253)</f>
        <v/>
      </c>
      <c r="L4253" s="29">
        <f>J4253-K4253</f>
        <v/>
      </c>
      <c r="M4253" t="inlineStr">
        <is>
          <t>2.350</t>
        </is>
      </c>
      <c r="N4253" t="inlineStr">
        <is>
          <t>Modalidade: 0 - Por conta do remetente | Parte: NC EMBALAGENS LTDA (42.064.062/0001-07)</t>
        </is>
      </c>
      <c r="O4253" s="29" t="n">
        <v>0</v>
      </c>
      <c r="P4253" s="29" t="n">
        <v>310.5</v>
      </c>
      <c r="Q4253" s="29" t="n">
        <v>0</v>
      </c>
      <c r="R4253" s="29" t="n">
        <v>0</v>
      </c>
      <c r="S4253" s="29" t="n">
        <v>0</v>
      </c>
      <c r="T4253" t="inlineStr">
        <is>
          <t>25260859256389000183570010000003971001501269</t>
        </is>
      </c>
      <c r="U4253" t="inlineStr">
        <is>
          <t>Sim</t>
        </is>
      </c>
    </row>
    <row r="4254">
      <c r="A4254" t="inlineStr">
        <is>
          <t>Frete de venda</t>
        </is>
      </c>
      <c r="B4254" t="inlineStr">
        <is>
          <t>2.01.02 Frete sobre Vendas</t>
        </is>
      </c>
      <c r="C4254" s="30" t="n">
        <v>46235</v>
      </c>
      <c r="D4254" t="inlineStr">
        <is>
          <t>Em 2026</t>
        </is>
      </c>
      <c r="E4254" s="28" t="n">
        <v>46261</v>
      </c>
      <c r="F4254" t="inlineStr">
        <is>
          <t>CT-e</t>
        </is>
      </c>
      <c r="G4254" t="inlineStr">
        <is>
          <t>000000398</t>
        </is>
      </c>
      <c r="H4254" t="inlineStr">
        <is>
          <t>DURA MAIS TRANSPORTES LTDA</t>
        </is>
      </c>
      <c r="J4254" s="29" t="n">
        <v>2587.5</v>
      </c>
      <c r="K4254" s="29">
        <f>(1-ISNUMBER(SEARCH("556",M4254)))*(O4254*SUMIFS(Premissas!$C$5:$C$44,Premissas!$A$5:$A$44,$A4254,Premissas!$B$5:$B$44,$B4254)+P4254*SUMIFS(Premissas!$D$5:$D$44,Premissas!$A$5:$A$44,$A4254,Premissas!$B$5:$B$44,$B4254))+R4254*SUMIFS(Premissas!$E$5:$E$44,Premissas!$A$5:$A$44,$A4254,Premissas!$B$5:$B$44,$B4254)+S4254*SUMIFS(Premissas!$F$5:$F$44,Premissas!$A$5:$A$44,$A4254,Premissas!$B$5:$B$44,$B4254)</f>
        <v/>
      </c>
      <c r="L4254" s="29">
        <f>J4254-K4254</f>
        <v/>
      </c>
      <c r="M4254" t="inlineStr">
        <is>
          <t>2.350</t>
        </is>
      </c>
      <c r="N4254" t="inlineStr">
        <is>
          <t>Modalidade: 0 - Por conta do remetente | Parte: CASA DAS EMBALAGENS ARAGUARI LTDA (01.870.495/0001-72)</t>
        </is>
      </c>
      <c r="O4254" s="29" t="n">
        <v>0</v>
      </c>
      <c r="P4254" s="29" t="n">
        <v>310.5</v>
      </c>
      <c r="Q4254" s="29" t="n">
        <v>0</v>
      </c>
      <c r="R4254" s="29" t="n">
        <v>0</v>
      </c>
      <c r="S4254" s="29" t="n">
        <v>0</v>
      </c>
      <c r="T4254" t="inlineStr">
        <is>
          <t>25260859256389000183570010000003981001201343</t>
        </is>
      </c>
      <c r="U4254" t="inlineStr">
        <is>
          <t>Sim</t>
        </is>
      </c>
    </row>
    <row r="4255">
      <c r="A4255" t="inlineStr">
        <is>
          <t>Frete de venda</t>
        </is>
      </c>
      <c r="B4255" t="inlineStr">
        <is>
          <t>2.01.02 Frete sobre Vendas</t>
        </is>
      </c>
      <c r="C4255" s="30" t="n">
        <v>46235</v>
      </c>
      <c r="D4255" t="inlineStr">
        <is>
          <t>Em 2026</t>
        </is>
      </c>
      <c r="E4255" s="28" t="n">
        <v>46261</v>
      </c>
      <c r="F4255" t="inlineStr">
        <is>
          <t>CT-e</t>
        </is>
      </c>
      <c r="G4255" t="inlineStr">
        <is>
          <t>000000399</t>
        </is>
      </c>
      <c r="H4255" t="inlineStr">
        <is>
          <t>DURA MAIS TRANSPORTES LTDA</t>
        </is>
      </c>
      <c r="J4255" s="29" t="n">
        <v>2587.5</v>
      </c>
      <c r="K4255" s="29">
        <f>(1-ISNUMBER(SEARCH("556",M4255)))*(O4255*SUMIFS(Premissas!$C$5:$C$44,Premissas!$A$5:$A$44,$A4255,Premissas!$B$5:$B$44,$B4255)+P4255*SUMIFS(Premissas!$D$5:$D$44,Premissas!$A$5:$A$44,$A4255,Premissas!$B$5:$B$44,$B4255))+R4255*SUMIFS(Premissas!$E$5:$E$44,Premissas!$A$5:$A$44,$A4255,Premissas!$B$5:$B$44,$B4255)+S4255*SUMIFS(Premissas!$F$5:$F$44,Premissas!$A$5:$A$44,$A4255,Premissas!$B$5:$B$44,$B4255)</f>
        <v/>
      </c>
      <c r="L4255" s="29">
        <f>J4255-K4255</f>
        <v/>
      </c>
      <c r="M4255" t="inlineStr">
        <is>
          <t>2.350</t>
        </is>
      </c>
      <c r="N4255" t="inlineStr">
        <is>
          <t>Modalidade: 0 - Por conta do remetente | Parte: RODRIGUES e DIAS COMERCIO DE HORTIFRUTI GRANJEIROS LTDA (09.143.905/0001-95)</t>
        </is>
      </c>
      <c r="O4255" s="29" t="n">
        <v>0</v>
      </c>
      <c r="P4255" s="29" t="n">
        <v>310.5</v>
      </c>
      <c r="Q4255" s="29" t="n">
        <v>0</v>
      </c>
      <c r="R4255" s="29" t="n">
        <v>0</v>
      </c>
      <c r="S4255" s="29" t="n">
        <v>0</v>
      </c>
      <c r="T4255" t="inlineStr">
        <is>
          <t>25260859256389000183570010000003991011001425</t>
        </is>
      </c>
      <c r="U4255" t="inlineStr">
        <is>
          <t>Sim</t>
        </is>
      </c>
    </row>
    <row r="4256">
      <c r="A4256" t="inlineStr">
        <is>
          <t>Frete de venda</t>
        </is>
      </c>
      <c r="B4256" t="inlineStr">
        <is>
          <t>2.01.02 Frete sobre Vendas</t>
        </is>
      </c>
      <c r="C4256" s="30" t="n">
        <v>46235</v>
      </c>
      <c r="D4256" t="inlineStr">
        <is>
          <t>Em 2026</t>
        </is>
      </c>
      <c r="E4256" s="28" t="n">
        <v>46262</v>
      </c>
      <c r="F4256" t="inlineStr">
        <is>
          <t>CT-e</t>
        </is>
      </c>
      <c r="G4256" t="inlineStr">
        <is>
          <t>000000406</t>
        </is>
      </c>
      <c r="H4256" t="inlineStr">
        <is>
          <t>DURA MAIS TRANSPORTES LTDA</t>
        </is>
      </c>
      <c r="J4256" s="29" t="n">
        <v>464.06</v>
      </c>
      <c r="K4256" s="29">
        <f>(1-ISNUMBER(SEARCH("556",M4256)))*(O4256*SUMIFS(Premissas!$C$5:$C$44,Premissas!$A$5:$A$44,$A4256,Premissas!$B$5:$B$44,$B4256)+P4256*SUMIFS(Premissas!$D$5:$D$44,Premissas!$A$5:$A$44,$A4256,Premissas!$B$5:$B$44,$B4256))+R4256*SUMIFS(Premissas!$E$5:$E$44,Premissas!$A$5:$A$44,$A4256,Premissas!$B$5:$B$44,$B4256)+S4256*SUMIFS(Premissas!$F$5:$F$44,Premissas!$A$5:$A$44,$A4256,Premissas!$B$5:$B$44,$B4256)</f>
        <v/>
      </c>
      <c r="L4256" s="29">
        <f>J4256-K4256</f>
        <v/>
      </c>
      <c r="M4256" t="inlineStr">
        <is>
          <t>2.350</t>
        </is>
      </c>
      <c r="N4256" t="inlineStr">
        <is>
          <t>Modalidade: 0 - Por conta do remetente | Parte: PALMAS ATACADO DE EMBALAGENS LTDA (17.069.189/0001-71)</t>
        </is>
      </c>
      <c r="O4256" s="29" t="n">
        <v>0</v>
      </c>
      <c r="P4256" s="29" t="n">
        <v>55.69</v>
      </c>
      <c r="Q4256" s="29" t="n">
        <v>0</v>
      </c>
      <c r="R4256" s="29" t="n">
        <v>0</v>
      </c>
      <c r="S4256" s="29" t="n">
        <v>0</v>
      </c>
      <c r="T4256" t="inlineStr">
        <is>
          <t>25260859256389000183570010000004061001401257</t>
        </is>
      </c>
      <c r="U4256" t="inlineStr">
        <is>
          <t>Sim</t>
        </is>
      </c>
    </row>
    <row r="4257">
      <c r="A4257" t="inlineStr">
        <is>
          <t>Frete de venda</t>
        </is>
      </c>
      <c r="B4257" t="inlineStr">
        <is>
          <t>2.01.02 Frete sobre Vendas</t>
        </is>
      </c>
      <c r="C4257" s="30" t="n">
        <v>46235</v>
      </c>
      <c r="D4257" t="inlineStr">
        <is>
          <t>Em 2026</t>
        </is>
      </c>
      <c r="E4257" s="28" t="n">
        <v>46262</v>
      </c>
      <c r="F4257" t="inlineStr">
        <is>
          <t>CT-e</t>
        </is>
      </c>
      <c r="G4257" t="inlineStr">
        <is>
          <t>000000407</t>
        </is>
      </c>
      <c r="H4257" t="inlineStr">
        <is>
          <t>DURA MAIS TRANSPORTES LTDA</t>
        </is>
      </c>
      <c r="J4257" s="29" t="n">
        <v>464.06</v>
      </c>
      <c r="K4257" s="29">
        <f>(1-ISNUMBER(SEARCH("556",M4257)))*(O4257*SUMIFS(Premissas!$C$5:$C$44,Premissas!$A$5:$A$44,$A4257,Premissas!$B$5:$B$44,$B4257)+P4257*SUMIFS(Premissas!$D$5:$D$44,Premissas!$A$5:$A$44,$A4257,Premissas!$B$5:$B$44,$B4257))+R4257*SUMIFS(Premissas!$E$5:$E$44,Premissas!$A$5:$A$44,$A4257,Premissas!$B$5:$B$44,$B4257)+S4257*SUMIFS(Premissas!$F$5:$F$44,Premissas!$A$5:$A$44,$A4257,Premissas!$B$5:$B$44,$B4257)</f>
        <v/>
      </c>
      <c r="L4257" s="29">
        <f>J4257-K4257</f>
        <v/>
      </c>
      <c r="M4257" t="inlineStr">
        <is>
          <t>2.350</t>
        </is>
      </c>
      <c r="N4257" t="inlineStr">
        <is>
          <t>Modalidade: 0 - Por conta do remetente | Parte: A M E DISTRIBUIDORA DE EMBALAGENS PRODUTOS PARA CONFEITAR (19.310.817/0001-94)</t>
        </is>
      </c>
      <c r="O4257" s="29" t="n">
        <v>0</v>
      </c>
      <c r="P4257" s="29" t="n">
        <v>55.69</v>
      </c>
      <c r="Q4257" s="29" t="n">
        <v>0</v>
      </c>
      <c r="R4257" s="29" t="n">
        <v>0</v>
      </c>
      <c r="S4257" s="29" t="n">
        <v>0</v>
      </c>
      <c r="T4257" t="inlineStr">
        <is>
          <t>25260859256389000183570010000004071001101331</t>
        </is>
      </c>
      <c r="U4257" t="inlineStr">
        <is>
          <t>Sim</t>
        </is>
      </c>
    </row>
    <row r="4258">
      <c r="A4258" t="inlineStr">
        <is>
          <t>Frete de venda</t>
        </is>
      </c>
      <c r="B4258" t="inlineStr">
        <is>
          <t>2.01.02 Frete sobre Vendas</t>
        </is>
      </c>
      <c r="C4258" s="30" t="n">
        <v>46235</v>
      </c>
      <c r="D4258" t="inlineStr">
        <is>
          <t>Em 2026</t>
        </is>
      </c>
      <c r="E4258" s="28" t="n">
        <v>46262</v>
      </c>
      <c r="F4258" t="inlineStr">
        <is>
          <t>CT-e</t>
        </is>
      </c>
      <c r="G4258" t="inlineStr">
        <is>
          <t>000000408</t>
        </is>
      </c>
      <c r="H4258" t="inlineStr">
        <is>
          <t>DURA MAIS TRANSPORTES LTDA</t>
        </is>
      </c>
      <c r="J4258" s="29" t="n">
        <v>464.06</v>
      </c>
      <c r="K4258" s="29">
        <f>(1-ISNUMBER(SEARCH("556",M4258)))*(O4258*SUMIFS(Premissas!$C$5:$C$44,Premissas!$A$5:$A$44,$A4258,Premissas!$B$5:$B$44,$B4258)+P4258*SUMIFS(Premissas!$D$5:$D$44,Premissas!$A$5:$A$44,$A4258,Premissas!$B$5:$B$44,$B4258))+R4258*SUMIFS(Premissas!$E$5:$E$44,Premissas!$A$5:$A$44,$A4258,Premissas!$B$5:$B$44,$B4258)+S4258*SUMIFS(Premissas!$F$5:$F$44,Premissas!$A$5:$A$44,$A4258,Premissas!$B$5:$B$44,$B4258)</f>
        <v/>
      </c>
      <c r="L4258" s="29">
        <f>J4258-K4258</f>
        <v/>
      </c>
      <c r="M4258" t="inlineStr">
        <is>
          <t>2.350</t>
        </is>
      </c>
      <c r="N4258" t="inlineStr">
        <is>
          <t>Modalidade: 0 - Por conta do remetente | Parte: F. C. EMBALAGENS e SALGADINHOS (14.025.694/0001-26)</t>
        </is>
      </c>
      <c r="O4258" s="29" t="n">
        <v>0</v>
      </c>
      <c r="P4258" s="29" t="n">
        <v>55.69</v>
      </c>
      <c r="Q4258" s="29" t="n">
        <v>0</v>
      </c>
      <c r="R4258" s="29" t="n">
        <v>0</v>
      </c>
      <c r="S4258" s="29" t="n">
        <v>0</v>
      </c>
      <c r="T4258" t="inlineStr">
        <is>
          <t>25260859256389000183570010000004081001901416</t>
        </is>
      </c>
      <c r="U4258" t="inlineStr">
        <is>
          <t>Sim</t>
        </is>
      </c>
    </row>
    <row r="4259">
      <c r="A4259" t="inlineStr">
        <is>
          <t>Frete de venda</t>
        </is>
      </c>
      <c r="B4259" t="inlineStr">
        <is>
          <t>2.01.02 Frete sobre Vendas</t>
        </is>
      </c>
      <c r="C4259" s="30" t="n">
        <v>46235</v>
      </c>
      <c r="D4259" t="inlineStr">
        <is>
          <t>Em 2026</t>
        </is>
      </c>
      <c r="E4259" s="28" t="n">
        <v>46262</v>
      </c>
      <c r="F4259" t="inlineStr">
        <is>
          <t>CT-e</t>
        </is>
      </c>
      <c r="G4259" t="inlineStr">
        <is>
          <t>000000409</t>
        </is>
      </c>
      <c r="H4259" t="inlineStr">
        <is>
          <t>DURA MAIS TRANSPORTES LTDA</t>
        </is>
      </c>
      <c r="J4259" s="29" t="n">
        <v>464.06</v>
      </c>
      <c r="K4259" s="29">
        <f>(1-ISNUMBER(SEARCH("556",M4259)))*(O4259*SUMIFS(Premissas!$C$5:$C$44,Premissas!$A$5:$A$44,$A4259,Premissas!$B$5:$B$44,$B4259)+P4259*SUMIFS(Premissas!$D$5:$D$44,Premissas!$A$5:$A$44,$A4259,Premissas!$B$5:$B$44,$B4259))+R4259*SUMIFS(Premissas!$E$5:$E$44,Premissas!$A$5:$A$44,$A4259,Premissas!$B$5:$B$44,$B4259)+S4259*SUMIFS(Premissas!$F$5:$F$44,Premissas!$A$5:$A$44,$A4259,Premissas!$B$5:$B$44,$B4259)</f>
        <v/>
      </c>
      <c r="L4259" s="29">
        <f>J4259-K4259</f>
        <v/>
      </c>
      <c r="M4259" t="inlineStr">
        <is>
          <t>2.350</t>
        </is>
      </c>
      <c r="N4259" t="inlineStr">
        <is>
          <t>Modalidade: 0 - Por conta do remetente | Parte: 52.847.634 SHEYNIANGUE LEITE ELIAS VIEIRA (52.847.634/0001-88)</t>
        </is>
      </c>
      <c r="O4259" s="29" t="n">
        <v>0</v>
      </c>
      <c r="P4259" s="29" t="n">
        <v>55.69</v>
      </c>
      <c r="Q4259" s="29" t="n">
        <v>0</v>
      </c>
      <c r="R4259" s="29" t="n">
        <v>0</v>
      </c>
      <c r="S4259" s="29" t="n">
        <v>0</v>
      </c>
      <c r="T4259" t="inlineStr">
        <is>
          <t>25260859256389000183570010000004091001601495</t>
        </is>
      </c>
      <c r="U4259" t="inlineStr">
        <is>
          <t>Sim</t>
        </is>
      </c>
    </row>
    <row r="4260">
      <c r="A4260" t="inlineStr">
        <is>
          <t>Frete de venda</t>
        </is>
      </c>
      <c r="B4260" t="inlineStr">
        <is>
          <t>2.01.02 Frete sobre Vendas</t>
        </is>
      </c>
      <c r="C4260" s="30" t="n">
        <v>46235</v>
      </c>
      <c r="D4260" t="inlineStr">
        <is>
          <t>Em 2026</t>
        </is>
      </c>
      <c r="E4260" s="28" t="n">
        <v>46262</v>
      </c>
      <c r="F4260" t="inlineStr">
        <is>
          <t>CT-e</t>
        </is>
      </c>
      <c r="G4260" t="inlineStr">
        <is>
          <t>000000410</t>
        </is>
      </c>
      <c r="H4260" t="inlineStr">
        <is>
          <t>DURA MAIS TRANSPORTES LTDA</t>
        </is>
      </c>
      <c r="J4260" s="29" t="n">
        <v>464.06</v>
      </c>
      <c r="K4260" s="29">
        <f>(1-ISNUMBER(SEARCH("556",M4260)))*(O4260*SUMIFS(Premissas!$C$5:$C$44,Premissas!$A$5:$A$44,$A4260,Premissas!$B$5:$B$44,$B4260)+P4260*SUMIFS(Premissas!$D$5:$D$44,Premissas!$A$5:$A$44,$A4260,Premissas!$B$5:$B$44,$B4260))+R4260*SUMIFS(Premissas!$E$5:$E$44,Premissas!$A$5:$A$44,$A4260,Premissas!$B$5:$B$44,$B4260)+S4260*SUMIFS(Premissas!$F$5:$F$44,Premissas!$A$5:$A$44,$A4260,Premissas!$B$5:$B$44,$B4260)</f>
        <v/>
      </c>
      <c r="L4260" s="29">
        <f>J4260-K4260</f>
        <v/>
      </c>
      <c r="M4260" t="inlineStr">
        <is>
          <t>2.350</t>
        </is>
      </c>
      <c r="N4260" t="inlineStr">
        <is>
          <t>Modalidade: 0 - Por conta do remetente | Parte: ARMAZEM DO QUEIJO COMERCIO DE LATICINIOS LTDA (33.554.984/0002-92)</t>
        </is>
      </c>
      <c r="O4260" s="29" t="n">
        <v>0</v>
      </c>
      <c r="P4260" s="29" t="n">
        <v>55.69</v>
      </c>
      <c r="Q4260" s="29" t="n">
        <v>0</v>
      </c>
      <c r="R4260" s="29" t="n">
        <v>0</v>
      </c>
      <c r="S4260" s="29" t="n">
        <v>0</v>
      </c>
      <c r="T4260" t="inlineStr">
        <is>
          <t>25260859256389000183570010000004101001301573</t>
        </is>
      </c>
      <c r="U4260" t="inlineStr">
        <is>
          <t>Sim</t>
        </is>
      </c>
    </row>
    <row r="4261">
      <c r="A4261" t="inlineStr">
        <is>
          <t>Frete de venda</t>
        </is>
      </c>
      <c r="B4261" t="inlineStr">
        <is>
          <t>2.01.02 Frete sobre Vendas</t>
        </is>
      </c>
      <c r="C4261" s="30" t="n">
        <v>46235</v>
      </c>
      <c r="D4261" t="inlineStr">
        <is>
          <t>Em 2026</t>
        </is>
      </c>
      <c r="E4261" s="28" t="n">
        <v>46262</v>
      </c>
      <c r="F4261" t="inlineStr">
        <is>
          <t>CT-e</t>
        </is>
      </c>
      <c r="G4261" t="inlineStr">
        <is>
          <t>000000411</t>
        </is>
      </c>
      <c r="H4261" t="inlineStr">
        <is>
          <t>DURA MAIS TRANSPORTES LTDA</t>
        </is>
      </c>
      <c r="J4261" s="29" t="n">
        <v>464.06</v>
      </c>
      <c r="K4261" s="29">
        <f>(1-ISNUMBER(SEARCH("556",M4261)))*(O4261*SUMIFS(Premissas!$C$5:$C$44,Premissas!$A$5:$A$44,$A4261,Premissas!$B$5:$B$44,$B4261)+P4261*SUMIFS(Premissas!$D$5:$D$44,Premissas!$A$5:$A$44,$A4261,Premissas!$B$5:$B$44,$B4261))+R4261*SUMIFS(Premissas!$E$5:$E$44,Premissas!$A$5:$A$44,$A4261,Premissas!$B$5:$B$44,$B4261)+S4261*SUMIFS(Premissas!$F$5:$F$44,Premissas!$A$5:$A$44,$A4261,Premissas!$B$5:$B$44,$B4261)</f>
        <v/>
      </c>
      <c r="L4261" s="29">
        <f>J4261-K4261</f>
        <v/>
      </c>
      <c r="M4261" t="inlineStr">
        <is>
          <t>2.350</t>
        </is>
      </c>
      <c r="N4261" t="inlineStr">
        <is>
          <t>Modalidade: 0 - Por conta do remetente | Parte: TYGER ATACADISTA E DISTRIBUIDORA LTDA (36.978.497/0001-64)</t>
        </is>
      </c>
      <c r="O4261" s="29" t="n">
        <v>0</v>
      </c>
      <c r="P4261" s="29" t="n">
        <v>55.69</v>
      </c>
      <c r="Q4261" s="29" t="n">
        <v>0</v>
      </c>
      <c r="R4261" s="29" t="n">
        <v>0</v>
      </c>
      <c r="S4261" s="29" t="n">
        <v>0</v>
      </c>
      <c r="T4261" t="inlineStr">
        <is>
          <t>25260859256389000183570010000004111000101659</t>
        </is>
      </c>
      <c r="U4261" t="inlineStr">
        <is>
          <t>Sim</t>
        </is>
      </c>
    </row>
    <row r="4262">
      <c r="A4262" t="inlineStr">
        <is>
          <t>Frete de venda</t>
        </is>
      </c>
      <c r="B4262" t="inlineStr">
        <is>
          <t>2.01.02 Frete sobre Vendas</t>
        </is>
      </c>
      <c r="C4262" s="30" t="n">
        <v>46235</v>
      </c>
      <c r="D4262" t="inlineStr">
        <is>
          <t>Em 2026</t>
        </is>
      </c>
      <c r="E4262" s="28" t="n">
        <v>46262</v>
      </c>
      <c r="F4262" t="inlineStr">
        <is>
          <t>CT-e</t>
        </is>
      </c>
      <c r="G4262" t="inlineStr">
        <is>
          <t>000000412</t>
        </is>
      </c>
      <c r="H4262" t="inlineStr">
        <is>
          <t>DURA MAIS TRANSPORTES LTDA</t>
        </is>
      </c>
      <c r="J4262" s="29" t="n">
        <v>464.06</v>
      </c>
      <c r="K4262" s="29">
        <f>(1-ISNUMBER(SEARCH("556",M4262)))*(O4262*SUMIFS(Premissas!$C$5:$C$44,Premissas!$A$5:$A$44,$A4262,Premissas!$B$5:$B$44,$B4262)+P4262*SUMIFS(Premissas!$D$5:$D$44,Premissas!$A$5:$A$44,$A4262,Premissas!$B$5:$B$44,$B4262))+R4262*SUMIFS(Premissas!$E$5:$E$44,Premissas!$A$5:$A$44,$A4262,Premissas!$B$5:$B$44,$B4262)+S4262*SUMIFS(Premissas!$F$5:$F$44,Premissas!$A$5:$A$44,$A4262,Premissas!$B$5:$B$44,$B4262)</f>
        <v/>
      </c>
      <c r="L4262" s="29">
        <f>J4262-K4262</f>
        <v/>
      </c>
      <c r="M4262" t="inlineStr">
        <is>
          <t>2.350</t>
        </is>
      </c>
      <c r="N4262" t="inlineStr">
        <is>
          <t>Modalidade: 0 - Por conta do remetente | Parte: RODRIGUES E CIA LTDA (26.144.570/0001-49)</t>
        </is>
      </c>
      <c r="O4262" s="29" t="n">
        <v>0</v>
      </c>
      <c r="P4262" s="29" t="n">
        <v>55.69</v>
      </c>
      <c r="Q4262" s="29" t="n">
        <v>0</v>
      </c>
      <c r="R4262" s="29" t="n">
        <v>0</v>
      </c>
      <c r="S4262" s="29" t="n">
        <v>0</v>
      </c>
      <c r="T4262" t="inlineStr">
        <is>
          <t>25260859256389000183570010000004121001101005</t>
        </is>
      </c>
      <c r="U4262" t="inlineStr">
        <is>
          <t>Sim</t>
        </is>
      </c>
    </row>
    <row r="4263">
      <c r="A4263" t="inlineStr">
        <is>
          <t>Frete de venda</t>
        </is>
      </c>
      <c r="B4263" t="inlineStr">
        <is>
          <t>2.01.02 Frete sobre Vendas</t>
        </is>
      </c>
      <c r="C4263" s="30" t="n">
        <v>46235</v>
      </c>
      <c r="D4263" t="inlineStr">
        <is>
          <t>Em 2026</t>
        </is>
      </c>
      <c r="E4263" s="28" t="n">
        <v>46262</v>
      </c>
      <c r="F4263" t="inlineStr">
        <is>
          <t>CT-e</t>
        </is>
      </c>
      <c r="G4263" t="inlineStr">
        <is>
          <t>000000413</t>
        </is>
      </c>
      <c r="H4263" t="inlineStr">
        <is>
          <t>DURA MAIS TRANSPORTES LTDA</t>
        </is>
      </c>
      <c r="J4263" s="29" t="n">
        <v>464.06</v>
      </c>
      <c r="K4263" s="29">
        <f>(1-ISNUMBER(SEARCH("556",M4263)))*(O4263*SUMIFS(Premissas!$C$5:$C$44,Premissas!$A$5:$A$44,$A4263,Premissas!$B$5:$B$44,$B4263)+P4263*SUMIFS(Premissas!$D$5:$D$44,Premissas!$A$5:$A$44,$A4263,Premissas!$B$5:$B$44,$B4263))+R4263*SUMIFS(Premissas!$E$5:$E$44,Premissas!$A$5:$A$44,$A4263,Premissas!$B$5:$B$44,$B4263)+S4263*SUMIFS(Premissas!$F$5:$F$44,Premissas!$A$5:$A$44,$A4263,Premissas!$B$5:$B$44,$B4263)</f>
        <v/>
      </c>
      <c r="L4263" s="29">
        <f>J4263-K4263</f>
        <v/>
      </c>
      <c r="M4263" t="inlineStr">
        <is>
          <t>2.350</t>
        </is>
      </c>
      <c r="N4263" t="inlineStr">
        <is>
          <t>Modalidade: 0 - Por conta do remetente | Parte: PAI E FILHO EMBALAGENS LTDA (58.374.484/0001-19)</t>
        </is>
      </c>
      <c r="O4263" s="29" t="n">
        <v>0</v>
      </c>
      <c r="P4263" s="29" t="n">
        <v>55.69</v>
      </c>
      <c r="Q4263" s="29" t="n">
        <v>0</v>
      </c>
      <c r="R4263" s="29" t="n">
        <v>0</v>
      </c>
      <c r="S4263" s="29" t="n">
        <v>0</v>
      </c>
      <c r="T4263" t="inlineStr">
        <is>
          <t>25260859256389000183570010000004131001901084</t>
        </is>
      </c>
      <c r="U4263" t="inlineStr">
        <is>
          <t>Sim</t>
        </is>
      </c>
    </row>
    <row r="4264">
      <c r="A4264" t="inlineStr">
        <is>
          <t>Frete de venda</t>
        </is>
      </c>
      <c r="B4264" t="inlineStr">
        <is>
          <t>2.01.02 Frete sobre Vendas</t>
        </is>
      </c>
      <c r="C4264" s="30" t="n">
        <v>46235</v>
      </c>
      <c r="D4264" t="inlineStr">
        <is>
          <t>Em 2026</t>
        </is>
      </c>
      <c r="E4264" s="28" t="n">
        <v>46262</v>
      </c>
      <c r="F4264" t="inlineStr">
        <is>
          <t>CT-e</t>
        </is>
      </c>
      <c r="G4264" t="inlineStr">
        <is>
          <t>000000414</t>
        </is>
      </c>
      <c r="H4264" t="inlineStr">
        <is>
          <t>DURA MAIS TRANSPORTES LTDA</t>
        </is>
      </c>
      <c r="J4264" s="29" t="n">
        <v>464.06</v>
      </c>
      <c r="K4264" s="29">
        <f>(1-ISNUMBER(SEARCH("556",M4264)))*(O4264*SUMIFS(Premissas!$C$5:$C$44,Premissas!$A$5:$A$44,$A4264,Premissas!$B$5:$B$44,$B4264)+P4264*SUMIFS(Premissas!$D$5:$D$44,Premissas!$A$5:$A$44,$A4264,Premissas!$B$5:$B$44,$B4264))+R4264*SUMIFS(Premissas!$E$5:$E$44,Premissas!$A$5:$A$44,$A4264,Premissas!$B$5:$B$44,$B4264)+S4264*SUMIFS(Premissas!$F$5:$F$44,Premissas!$A$5:$A$44,$A4264,Premissas!$B$5:$B$44,$B4264)</f>
        <v/>
      </c>
      <c r="L4264" s="29">
        <f>J4264-K4264</f>
        <v/>
      </c>
      <c r="M4264" t="inlineStr">
        <is>
          <t>2.350</t>
        </is>
      </c>
      <c r="N4264" t="inlineStr">
        <is>
          <t>Modalidade: 0 - Por conta do remetente | Parte: HIPER FORTES EMBALAGENS LTDA (52.913.587/0001-23)</t>
        </is>
      </c>
      <c r="O4264" s="29" t="n">
        <v>0</v>
      </c>
      <c r="P4264" s="29" t="n">
        <v>55.69</v>
      </c>
      <c r="Q4264" s="29" t="n">
        <v>0</v>
      </c>
      <c r="R4264" s="29" t="n">
        <v>0</v>
      </c>
      <c r="S4264" s="29" t="n">
        <v>0</v>
      </c>
      <c r="T4264" t="inlineStr">
        <is>
          <t>25260859256389000183570010000004141001601169</t>
        </is>
      </c>
      <c r="U4264" t="inlineStr">
        <is>
          <t>Sim</t>
        </is>
      </c>
    </row>
    <row r="4265">
      <c r="A4265" t="inlineStr">
        <is>
          <t>Frete de venda</t>
        </is>
      </c>
      <c r="B4265" t="inlineStr">
        <is>
          <t>2.01.02 Frete sobre Vendas</t>
        </is>
      </c>
      <c r="C4265" s="30" t="n">
        <v>46235</v>
      </c>
      <c r="D4265" t="inlineStr">
        <is>
          <t>Em 2026</t>
        </is>
      </c>
      <c r="E4265" s="28" t="n">
        <v>46262</v>
      </c>
      <c r="F4265" t="inlineStr">
        <is>
          <t>CT-e</t>
        </is>
      </c>
      <c r="G4265" t="inlineStr">
        <is>
          <t>000000415</t>
        </is>
      </c>
      <c r="H4265" t="inlineStr">
        <is>
          <t>DURA MAIS TRANSPORTES LTDA</t>
        </is>
      </c>
      <c r="J4265" s="29" t="n">
        <v>464.06</v>
      </c>
      <c r="K4265" s="29">
        <f>(1-ISNUMBER(SEARCH("556",M4265)))*(O4265*SUMIFS(Premissas!$C$5:$C$44,Premissas!$A$5:$A$44,$A4265,Premissas!$B$5:$B$44,$B4265)+P4265*SUMIFS(Premissas!$D$5:$D$44,Premissas!$A$5:$A$44,$A4265,Premissas!$B$5:$B$44,$B4265))+R4265*SUMIFS(Premissas!$E$5:$E$44,Premissas!$A$5:$A$44,$A4265,Premissas!$B$5:$B$44,$B4265)+S4265*SUMIFS(Premissas!$F$5:$F$44,Premissas!$A$5:$A$44,$A4265,Premissas!$B$5:$B$44,$B4265)</f>
        <v/>
      </c>
      <c r="L4265" s="29">
        <f>J4265-K4265</f>
        <v/>
      </c>
      <c r="M4265" t="inlineStr">
        <is>
          <t>2.350</t>
        </is>
      </c>
      <c r="N4265" t="inlineStr">
        <is>
          <t>Modalidade: 0 - Por conta do remetente | Parte: COSTA E M DESCARTAVEIS LTDA (63.004.435/0001-24)</t>
        </is>
      </c>
      <c r="O4265" s="29" t="n">
        <v>0</v>
      </c>
      <c r="P4265" s="29" t="n">
        <v>55.69</v>
      </c>
      <c r="Q4265" s="29" t="n">
        <v>0</v>
      </c>
      <c r="R4265" s="29" t="n">
        <v>0</v>
      </c>
      <c r="S4265" s="29" t="n">
        <v>0</v>
      </c>
      <c r="T4265" t="inlineStr">
        <is>
          <t>25260859256389000183570010000004151001301243</t>
        </is>
      </c>
      <c r="U4265" t="inlineStr">
        <is>
          <t>Sim</t>
        </is>
      </c>
    </row>
    <row r="4266">
      <c r="A4266" t="inlineStr">
        <is>
          <t>Frete de venda</t>
        </is>
      </c>
      <c r="B4266" t="inlineStr">
        <is>
          <t>2.01.02 Frete sobre Vendas</t>
        </is>
      </c>
      <c r="C4266" s="30" t="n">
        <v>46235</v>
      </c>
      <c r="D4266" t="inlineStr">
        <is>
          <t>Em 2026</t>
        </is>
      </c>
      <c r="E4266" s="28" t="n">
        <v>46262</v>
      </c>
      <c r="F4266" t="inlineStr">
        <is>
          <t>CT-e</t>
        </is>
      </c>
      <c r="G4266" t="inlineStr">
        <is>
          <t>000000416</t>
        </is>
      </c>
      <c r="H4266" t="inlineStr">
        <is>
          <t>DURA MAIS TRANSPORTES LTDA</t>
        </is>
      </c>
      <c r="J4266" s="29" t="n">
        <v>464.06</v>
      </c>
      <c r="K4266" s="29">
        <f>(1-ISNUMBER(SEARCH("556",M4266)))*(O4266*SUMIFS(Premissas!$C$5:$C$44,Premissas!$A$5:$A$44,$A4266,Premissas!$B$5:$B$44,$B4266)+P4266*SUMIFS(Premissas!$D$5:$D$44,Premissas!$A$5:$A$44,$A4266,Premissas!$B$5:$B$44,$B4266))+R4266*SUMIFS(Premissas!$E$5:$E$44,Premissas!$A$5:$A$44,$A4266,Premissas!$B$5:$B$44,$B4266)+S4266*SUMIFS(Premissas!$F$5:$F$44,Premissas!$A$5:$A$44,$A4266,Premissas!$B$5:$B$44,$B4266)</f>
        <v/>
      </c>
      <c r="L4266" s="29">
        <f>J4266-K4266</f>
        <v/>
      </c>
      <c r="M4266" t="inlineStr">
        <is>
          <t>2.350</t>
        </is>
      </c>
      <c r="N4266" t="inlineStr">
        <is>
          <t>Modalidade: 0 - Por conta do remetente | Parte: DUDU EMBALAGENS LTDA (03.699.949/0001-10)</t>
        </is>
      </c>
      <c r="O4266" s="29" t="n">
        <v>0</v>
      </c>
      <c r="P4266" s="29" t="n">
        <v>55.69</v>
      </c>
      <c r="Q4266" s="29" t="n">
        <v>0</v>
      </c>
      <c r="R4266" s="29" t="n">
        <v>0</v>
      </c>
      <c r="S4266" s="29" t="n">
        <v>0</v>
      </c>
      <c r="T4266" t="inlineStr">
        <is>
          <t>25260859256389000183570010000004161000101329</t>
        </is>
      </c>
      <c r="U4266" t="inlineStr">
        <is>
          <t>Sim</t>
        </is>
      </c>
    </row>
    <row r="4267">
      <c r="A4267" t="inlineStr">
        <is>
          <t>Frete de venda</t>
        </is>
      </c>
      <c r="B4267" t="inlineStr">
        <is>
          <t>2.01.02 Frete sobre Vendas</t>
        </is>
      </c>
      <c r="C4267" s="30" t="n">
        <v>46235</v>
      </c>
      <c r="D4267" t="inlineStr">
        <is>
          <t>Em 2026</t>
        </is>
      </c>
      <c r="E4267" s="28" t="n">
        <v>46262</v>
      </c>
      <c r="F4267" t="inlineStr">
        <is>
          <t>CT-e</t>
        </is>
      </c>
      <c r="G4267" t="inlineStr">
        <is>
          <t>000000417</t>
        </is>
      </c>
      <c r="H4267" t="inlineStr">
        <is>
          <t>DURA MAIS TRANSPORTES LTDA</t>
        </is>
      </c>
      <c r="J4267" s="29" t="n">
        <v>464.06</v>
      </c>
      <c r="K4267" s="29">
        <f>(1-ISNUMBER(SEARCH("556",M4267)))*(O4267*SUMIFS(Premissas!$C$5:$C$44,Premissas!$A$5:$A$44,$A4267,Premissas!$B$5:$B$44,$B4267)+P4267*SUMIFS(Premissas!$D$5:$D$44,Premissas!$A$5:$A$44,$A4267,Premissas!$B$5:$B$44,$B4267))+R4267*SUMIFS(Premissas!$E$5:$E$44,Premissas!$A$5:$A$44,$A4267,Premissas!$B$5:$B$44,$B4267)+S4267*SUMIFS(Premissas!$F$5:$F$44,Premissas!$A$5:$A$44,$A4267,Premissas!$B$5:$B$44,$B4267)</f>
        <v/>
      </c>
      <c r="L4267" s="29">
        <f>J4267-K4267</f>
        <v/>
      </c>
      <c r="M4267" t="inlineStr">
        <is>
          <t>2.350</t>
        </is>
      </c>
      <c r="N4267" t="inlineStr">
        <is>
          <t>Modalidade: 0 - Por conta do remetente | Parte: SOL COMERCIO DE EMBALAGENS LTDA (48.993.949/0001-66)</t>
        </is>
      </c>
      <c r="O4267" s="29" t="n">
        <v>0</v>
      </c>
      <c r="P4267" s="29" t="n">
        <v>55.69</v>
      </c>
      <c r="Q4267" s="29" t="n">
        <v>0</v>
      </c>
      <c r="R4267" s="29" t="n">
        <v>0</v>
      </c>
      <c r="S4267" s="29" t="n">
        <v>0</v>
      </c>
      <c r="T4267" t="inlineStr">
        <is>
          <t>25260859256389000183570010000004171001801402</t>
        </is>
      </c>
      <c r="U4267" t="inlineStr">
        <is>
          <t>Sim</t>
        </is>
      </c>
    </row>
    <row r="4268">
      <c r="A4268" t="inlineStr">
        <is>
          <t>Frete de venda</t>
        </is>
      </c>
      <c r="B4268" t="inlineStr">
        <is>
          <t>2.01.02 Frete sobre Vendas</t>
        </is>
      </c>
      <c r="C4268" s="30" t="n">
        <v>46235</v>
      </c>
      <c r="D4268" t="inlineStr">
        <is>
          <t>Em 2026</t>
        </is>
      </c>
      <c r="E4268" s="28" t="n">
        <v>46262</v>
      </c>
      <c r="F4268" t="inlineStr">
        <is>
          <t>CT-e</t>
        </is>
      </c>
      <c r="G4268" t="inlineStr">
        <is>
          <t>000000418</t>
        </is>
      </c>
      <c r="H4268" t="inlineStr">
        <is>
          <t>DURA MAIS TRANSPORTES LTDA</t>
        </is>
      </c>
      <c r="J4268" s="29" t="n">
        <v>464.06</v>
      </c>
      <c r="K4268" s="29">
        <f>(1-ISNUMBER(SEARCH("556",M4268)))*(O4268*SUMIFS(Premissas!$C$5:$C$44,Premissas!$A$5:$A$44,$A4268,Premissas!$B$5:$B$44,$B4268)+P4268*SUMIFS(Premissas!$D$5:$D$44,Premissas!$A$5:$A$44,$A4268,Premissas!$B$5:$B$44,$B4268))+R4268*SUMIFS(Premissas!$E$5:$E$44,Premissas!$A$5:$A$44,$A4268,Premissas!$B$5:$B$44,$B4268)+S4268*SUMIFS(Premissas!$F$5:$F$44,Premissas!$A$5:$A$44,$A4268,Premissas!$B$5:$B$44,$B4268)</f>
        <v/>
      </c>
      <c r="L4268" s="29">
        <f>J4268-K4268</f>
        <v/>
      </c>
      <c r="M4268" t="inlineStr">
        <is>
          <t>2.350</t>
        </is>
      </c>
      <c r="N4268" t="inlineStr">
        <is>
          <t>Modalidade: 0 - Por conta do remetente | Parte: AGM PLASTICOS LTDA (19.429.803/0001-94)</t>
        </is>
      </c>
      <c r="O4268" s="29" t="n">
        <v>0</v>
      </c>
      <c r="P4268" s="29" t="n">
        <v>55.69</v>
      </c>
      <c r="Q4268" s="29" t="n">
        <v>0</v>
      </c>
      <c r="R4268" s="29" t="n">
        <v>0</v>
      </c>
      <c r="S4268" s="29" t="n">
        <v>0</v>
      </c>
      <c r="T4268" t="inlineStr">
        <is>
          <t>25260859256389000183570010000004181001501481</t>
        </is>
      </c>
      <c r="U4268" t="inlineStr">
        <is>
          <t>Sim</t>
        </is>
      </c>
    </row>
    <row r="4269">
      <c r="A4269" t="inlineStr">
        <is>
          <t>Frete de venda</t>
        </is>
      </c>
      <c r="B4269" t="inlineStr">
        <is>
          <t>2.01.02 Frete sobre Vendas</t>
        </is>
      </c>
      <c r="C4269" s="30" t="n">
        <v>46235</v>
      </c>
      <c r="D4269" t="inlineStr">
        <is>
          <t>Em 2026</t>
        </is>
      </c>
      <c r="E4269" s="28" t="n">
        <v>46262</v>
      </c>
      <c r="F4269" t="inlineStr">
        <is>
          <t>CT-e</t>
        </is>
      </c>
      <c r="G4269" t="inlineStr">
        <is>
          <t>000000419</t>
        </is>
      </c>
      <c r="H4269" t="inlineStr">
        <is>
          <t>DURA MAIS TRANSPORTES LTDA</t>
        </is>
      </c>
      <c r="J4269" s="29" t="n">
        <v>464.06</v>
      </c>
      <c r="K4269" s="29">
        <f>(1-ISNUMBER(SEARCH("556",M4269)))*(O4269*SUMIFS(Premissas!$C$5:$C$44,Premissas!$A$5:$A$44,$A4269,Premissas!$B$5:$B$44,$B4269)+P4269*SUMIFS(Premissas!$D$5:$D$44,Premissas!$A$5:$A$44,$A4269,Premissas!$B$5:$B$44,$B4269))+R4269*SUMIFS(Premissas!$E$5:$E$44,Premissas!$A$5:$A$44,$A4269,Premissas!$B$5:$B$44,$B4269)+S4269*SUMIFS(Premissas!$F$5:$F$44,Premissas!$A$5:$A$44,$A4269,Premissas!$B$5:$B$44,$B4269)</f>
        <v/>
      </c>
      <c r="L4269" s="29">
        <f>J4269-K4269</f>
        <v/>
      </c>
      <c r="M4269" t="inlineStr">
        <is>
          <t>2.350</t>
        </is>
      </c>
      <c r="N4269" t="inlineStr">
        <is>
          <t>Modalidade: 0 - Por conta do remetente | Parte: ITABERAI FRIOS e EMBALAGENS LTDA (17.206.462/0001-62)</t>
        </is>
      </c>
      <c r="O4269" s="29" t="n">
        <v>0</v>
      </c>
      <c r="P4269" s="29" t="n">
        <v>55.69</v>
      </c>
      <c r="Q4269" s="29" t="n">
        <v>0</v>
      </c>
      <c r="R4269" s="29" t="n">
        <v>0</v>
      </c>
      <c r="S4269" s="29" t="n">
        <v>0</v>
      </c>
      <c r="T4269" t="inlineStr">
        <is>
          <t>25260859256389000183570010000004191001201566</t>
        </is>
      </c>
      <c r="U4269" t="inlineStr">
        <is>
          <t>Sim</t>
        </is>
      </c>
    </row>
    <row r="4270">
      <c r="A4270" t="inlineStr">
        <is>
          <t>Frete de venda</t>
        </is>
      </c>
      <c r="B4270" t="inlineStr">
        <is>
          <t>2.01.02 Frete sobre Vendas</t>
        </is>
      </c>
      <c r="C4270" s="30" t="n">
        <v>46235</v>
      </c>
      <c r="D4270" t="inlineStr">
        <is>
          <t>Em 2026</t>
        </is>
      </c>
      <c r="E4270" s="28" t="n">
        <v>46262</v>
      </c>
      <c r="F4270" t="inlineStr">
        <is>
          <t>CT-e</t>
        </is>
      </c>
      <c r="G4270" t="inlineStr">
        <is>
          <t>000000420</t>
        </is>
      </c>
      <c r="H4270" t="inlineStr">
        <is>
          <t>DURA MAIS TRANSPORTES LTDA</t>
        </is>
      </c>
      <c r="J4270" s="29" t="n">
        <v>464.06</v>
      </c>
      <c r="K4270" s="29">
        <f>(1-ISNUMBER(SEARCH("556",M4270)))*(O4270*SUMIFS(Premissas!$C$5:$C$44,Premissas!$A$5:$A$44,$A4270,Premissas!$B$5:$B$44,$B4270)+P4270*SUMIFS(Premissas!$D$5:$D$44,Premissas!$A$5:$A$44,$A4270,Premissas!$B$5:$B$44,$B4270))+R4270*SUMIFS(Premissas!$E$5:$E$44,Premissas!$A$5:$A$44,$A4270,Premissas!$B$5:$B$44,$B4270)+S4270*SUMIFS(Premissas!$F$5:$F$44,Premissas!$A$5:$A$44,$A4270,Premissas!$B$5:$B$44,$B4270)</f>
        <v/>
      </c>
      <c r="L4270" s="29">
        <f>J4270-K4270</f>
        <v/>
      </c>
      <c r="M4270" t="inlineStr">
        <is>
          <t>2.350</t>
        </is>
      </c>
      <c r="N4270" t="inlineStr">
        <is>
          <t>Modalidade: 0 - Por conta do remetente | Parte: BRUNA MARTINS COMERCIO DE EMBALAGENS LTDA (13.281.375/0001-19)</t>
        </is>
      </c>
      <c r="O4270" s="29" t="n">
        <v>0</v>
      </c>
      <c r="P4270" s="29" t="n">
        <v>55.69</v>
      </c>
      <c r="Q4270" s="29" t="n">
        <v>0</v>
      </c>
      <c r="R4270" s="29" t="n">
        <v>0</v>
      </c>
      <c r="S4270" s="29" t="n">
        <v>0</v>
      </c>
      <c r="T4270" t="inlineStr">
        <is>
          <t>25260859256389000183570010000004201011001641</t>
        </is>
      </c>
      <c r="U4270" t="inlineStr">
        <is>
          <t>Sim</t>
        </is>
      </c>
    </row>
    <row r="4271">
      <c r="A4271" t="inlineStr">
        <is>
          <t>Frete de venda</t>
        </is>
      </c>
      <c r="B4271" t="inlineStr">
        <is>
          <t>2.01.02 Frete sobre Vendas</t>
        </is>
      </c>
      <c r="C4271" s="30" t="n">
        <v>46235</v>
      </c>
      <c r="D4271" t="inlineStr">
        <is>
          <t>Em 2026</t>
        </is>
      </c>
      <c r="E4271" s="28" t="n">
        <v>46262</v>
      </c>
      <c r="F4271" t="inlineStr">
        <is>
          <t>CT-e</t>
        </is>
      </c>
      <c r="G4271" t="inlineStr">
        <is>
          <t>000000421</t>
        </is>
      </c>
      <c r="H4271" t="inlineStr">
        <is>
          <t>DURA MAIS TRANSPORTES LTDA</t>
        </is>
      </c>
      <c r="J4271" s="29" t="n">
        <v>464.06</v>
      </c>
      <c r="K4271" s="29">
        <f>(1-ISNUMBER(SEARCH("556",M4271)))*(O4271*SUMIFS(Premissas!$C$5:$C$44,Premissas!$A$5:$A$44,$A4271,Premissas!$B$5:$B$44,$B4271)+P4271*SUMIFS(Premissas!$D$5:$D$44,Premissas!$A$5:$A$44,$A4271,Premissas!$B$5:$B$44,$B4271))+R4271*SUMIFS(Premissas!$E$5:$E$44,Premissas!$A$5:$A$44,$A4271,Premissas!$B$5:$B$44,$B4271)+S4271*SUMIFS(Premissas!$F$5:$F$44,Premissas!$A$5:$A$44,$A4271,Premissas!$B$5:$B$44,$B4271)</f>
        <v/>
      </c>
      <c r="L4271" s="29">
        <f>J4271-K4271</f>
        <v/>
      </c>
      <c r="M4271" t="inlineStr">
        <is>
          <t>2.350</t>
        </is>
      </c>
      <c r="N4271" t="inlineStr">
        <is>
          <t>Modalidade: 0 - Por conta do remetente | Parte: IMPACTO COMERCIO ATACADISTA LTDA (11.705.839/0001-41)</t>
        </is>
      </c>
      <c r="O4271" s="29" t="n">
        <v>0</v>
      </c>
      <c r="P4271" s="29" t="n">
        <v>55.69</v>
      </c>
      <c r="Q4271" s="29" t="n">
        <v>0</v>
      </c>
      <c r="R4271" s="29" t="n">
        <v>0</v>
      </c>
      <c r="S4271" s="29" t="n">
        <v>0</v>
      </c>
      <c r="T4271" t="inlineStr">
        <is>
          <t>25260859256389000183570010000004211001701729</t>
        </is>
      </c>
      <c r="U4271" t="inlineStr">
        <is>
          <t>Sim</t>
        </is>
      </c>
    </row>
    <row r="4272">
      <c r="A4272" t="inlineStr">
        <is>
          <t>Frete de venda</t>
        </is>
      </c>
      <c r="B4272" t="inlineStr">
        <is>
          <t>2.01.02 Frete sobre Vendas</t>
        </is>
      </c>
      <c r="C4272" s="30" t="n">
        <v>46235</v>
      </c>
      <c r="D4272" t="inlineStr">
        <is>
          <t>Em 2026</t>
        </is>
      </c>
      <c r="E4272" s="28" t="n">
        <v>46262</v>
      </c>
      <c r="F4272" t="inlineStr">
        <is>
          <t>CT-e</t>
        </is>
      </c>
      <c r="G4272" t="inlineStr">
        <is>
          <t>000000422</t>
        </is>
      </c>
      <c r="H4272" t="inlineStr">
        <is>
          <t>DURA MAIS TRANSPORTES LTDA</t>
        </is>
      </c>
      <c r="J4272" s="29" t="n">
        <v>464.06</v>
      </c>
      <c r="K4272" s="29">
        <f>(1-ISNUMBER(SEARCH("556",M4272)))*(O4272*SUMIFS(Premissas!$C$5:$C$44,Premissas!$A$5:$A$44,$A4272,Premissas!$B$5:$B$44,$B4272)+P4272*SUMIFS(Premissas!$D$5:$D$44,Premissas!$A$5:$A$44,$A4272,Premissas!$B$5:$B$44,$B4272))+R4272*SUMIFS(Premissas!$E$5:$E$44,Premissas!$A$5:$A$44,$A4272,Premissas!$B$5:$B$44,$B4272)+S4272*SUMIFS(Premissas!$F$5:$F$44,Premissas!$A$5:$A$44,$A4272,Premissas!$B$5:$B$44,$B4272)</f>
        <v/>
      </c>
      <c r="L4272" s="29">
        <f>J4272-K4272</f>
        <v/>
      </c>
      <c r="M4272" t="inlineStr">
        <is>
          <t>2.350</t>
        </is>
      </c>
      <c r="N4272" t="inlineStr">
        <is>
          <t>Modalidade: 0 - Por conta do remetente | Parte: MOREIRA DE AGUIAR e AGUIAR LTDA (02.951.472/0003-17)</t>
        </is>
      </c>
      <c r="O4272" s="29" t="n">
        <v>0</v>
      </c>
      <c r="P4272" s="29" t="n">
        <v>55.69</v>
      </c>
      <c r="Q4272" s="29" t="n">
        <v>0</v>
      </c>
      <c r="R4272" s="29" t="n">
        <v>0</v>
      </c>
      <c r="S4272" s="29" t="n">
        <v>0</v>
      </c>
      <c r="T4272" t="inlineStr">
        <is>
          <t>25260859256389000183570010000004221001801070</t>
        </is>
      </c>
      <c r="U4272" t="inlineStr">
        <is>
          <t>Sim</t>
        </is>
      </c>
    </row>
    <row r="4273">
      <c r="A4273" t="inlineStr">
        <is>
          <t>Frete de venda</t>
        </is>
      </c>
      <c r="B4273" t="inlineStr">
        <is>
          <t>2.01.02 Frete sobre Vendas</t>
        </is>
      </c>
      <c r="C4273" s="30" t="n">
        <v>46235</v>
      </c>
      <c r="D4273" t="inlineStr">
        <is>
          <t>Em 2026</t>
        </is>
      </c>
      <c r="E4273" s="28" t="n">
        <v>46263</v>
      </c>
      <c r="F4273" t="inlineStr">
        <is>
          <t>CT-e</t>
        </is>
      </c>
      <c r="G4273" t="inlineStr">
        <is>
          <t>000000429</t>
        </is>
      </c>
      <c r="H4273" t="inlineStr">
        <is>
          <t>DURA MAIS TRANSPORTES LTDA</t>
        </is>
      </c>
      <c r="J4273" s="29" t="n">
        <v>14175</v>
      </c>
      <c r="K4273" s="29">
        <f>(1-ISNUMBER(SEARCH("556",M4273)))*(O4273*SUMIFS(Premissas!$C$5:$C$44,Premissas!$A$5:$A$44,$A4273,Premissas!$B$5:$B$44,$B4273)+P4273*SUMIFS(Premissas!$D$5:$D$44,Premissas!$A$5:$A$44,$A4273,Premissas!$B$5:$B$44,$B4273))+R4273*SUMIFS(Premissas!$E$5:$E$44,Premissas!$A$5:$A$44,$A4273,Premissas!$B$5:$B$44,$B4273)+S4273*SUMIFS(Premissas!$F$5:$F$44,Premissas!$A$5:$A$44,$A4273,Premissas!$B$5:$B$44,$B4273)</f>
        <v/>
      </c>
      <c r="L4273" s="29">
        <f>J4273-K4273</f>
        <v/>
      </c>
      <c r="M4273" t="inlineStr">
        <is>
          <t>2.350</t>
        </is>
      </c>
      <c r="N4273" t="inlineStr">
        <is>
          <t>Modalidade: 0 - Por conta do remetente | Parte: DISTRIPACK DISTRIBUIDORA DE EMBALAGENS LTDA (11.043.375/0003-17)</t>
        </is>
      </c>
      <c r="O4273" s="29" t="n">
        <v>0</v>
      </c>
      <c r="P4273" s="29" t="n">
        <v>1701</v>
      </c>
      <c r="Q4273" s="29" t="n">
        <v>0</v>
      </c>
      <c r="R4273" s="29" t="n">
        <v>0</v>
      </c>
      <c r="S4273" s="29" t="n">
        <v>0</v>
      </c>
      <c r="T4273" t="inlineStr">
        <is>
          <t>25260859256389000183570010000004291001901637</t>
        </is>
      </c>
      <c r="U4273" t="inlineStr">
        <is>
          <t>Sim</t>
        </is>
      </c>
    </row>
    <row r="4274">
      <c r="A4274" t="inlineStr">
        <is>
          <t>Frete de venda</t>
        </is>
      </c>
      <c r="B4274" t="inlineStr">
        <is>
          <t>2.01.02 Frete sobre Vendas</t>
        </is>
      </c>
      <c r="C4274" s="30" t="n">
        <v>46235</v>
      </c>
      <c r="D4274" t="inlineStr">
        <is>
          <t>Em 2026</t>
        </is>
      </c>
      <c r="E4274" s="28" t="n">
        <v>46263</v>
      </c>
      <c r="F4274" t="inlineStr">
        <is>
          <t>CT-e</t>
        </is>
      </c>
      <c r="G4274" t="inlineStr">
        <is>
          <t>000000430</t>
        </is>
      </c>
      <c r="H4274" t="inlineStr">
        <is>
          <t>DURA MAIS TRANSPORTES LTDA</t>
        </is>
      </c>
      <c r="J4274" s="29" t="n">
        <v>368.18</v>
      </c>
      <c r="K4274" s="29">
        <f>(1-ISNUMBER(SEARCH("556",M4274)))*(O4274*SUMIFS(Premissas!$C$5:$C$44,Premissas!$A$5:$A$44,$A4274,Premissas!$B$5:$B$44,$B4274)+P4274*SUMIFS(Premissas!$D$5:$D$44,Premissas!$A$5:$A$44,$A4274,Premissas!$B$5:$B$44,$B4274))+R4274*SUMIFS(Premissas!$E$5:$E$44,Premissas!$A$5:$A$44,$A4274,Premissas!$B$5:$B$44,$B4274)+S4274*SUMIFS(Premissas!$F$5:$F$44,Premissas!$A$5:$A$44,$A4274,Premissas!$B$5:$B$44,$B4274)</f>
        <v/>
      </c>
      <c r="L4274" s="29">
        <f>J4274-K4274</f>
        <v/>
      </c>
      <c r="M4274" t="inlineStr">
        <is>
          <t>2.350</t>
        </is>
      </c>
      <c r="N4274" t="inlineStr">
        <is>
          <t>Modalidade: 0 - Por conta do remetente | Parte: MARIA JOSINEIA SANTOS QUADROS COSTA (04.124.797/0001-90)</t>
        </is>
      </c>
      <c r="O4274" s="29" t="n">
        <v>0</v>
      </c>
      <c r="P4274" s="29" t="n">
        <v>44.18</v>
      </c>
      <c r="Q4274" s="29" t="n">
        <v>0</v>
      </c>
      <c r="R4274" s="29" t="n">
        <v>0</v>
      </c>
      <c r="S4274" s="29" t="n">
        <v>0</v>
      </c>
      <c r="T4274" t="inlineStr">
        <is>
          <t>25260859256389000183570010000004301001601715</t>
        </is>
      </c>
      <c r="U4274" t="inlineStr">
        <is>
          <t>Sim</t>
        </is>
      </c>
    </row>
    <row r="4275">
      <c r="A4275" t="inlineStr">
        <is>
          <t>Frete de venda</t>
        </is>
      </c>
      <c r="B4275" t="inlineStr">
        <is>
          <t>2.01.02 Frete sobre Vendas</t>
        </is>
      </c>
      <c r="C4275" s="30" t="n">
        <v>46235</v>
      </c>
      <c r="D4275" t="inlineStr">
        <is>
          <t>Em 2026</t>
        </is>
      </c>
      <c r="E4275" s="28" t="n">
        <v>46263</v>
      </c>
      <c r="F4275" t="inlineStr">
        <is>
          <t>CT-e</t>
        </is>
      </c>
      <c r="G4275" t="inlineStr">
        <is>
          <t>000000431</t>
        </is>
      </c>
      <c r="H4275" t="inlineStr">
        <is>
          <t>DURA MAIS TRANSPORTES LTDA</t>
        </is>
      </c>
      <c r="J4275" s="29" t="n">
        <v>368.18</v>
      </c>
      <c r="K4275" s="29">
        <f>(1-ISNUMBER(SEARCH("556",M4275)))*(O4275*SUMIFS(Premissas!$C$5:$C$44,Premissas!$A$5:$A$44,$A4275,Premissas!$B$5:$B$44,$B4275)+P4275*SUMIFS(Premissas!$D$5:$D$44,Premissas!$A$5:$A$44,$A4275,Premissas!$B$5:$B$44,$B4275))+R4275*SUMIFS(Premissas!$E$5:$E$44,Premissas!$A$5:$A$44,$A4275,Premissas!$B$5:$B$44,$B4275)+S4275*SUMIFS(Premissas!$F$5:$F$44,Premissas!$A$5:$A$44,$A4275,Premissas!$B$5:$B$44,$B4275)</f>
        <v/>
      </c>
      <c r="L4275" s="29">
        <f>J4275-K4275</f>
        <v/>
      </c>
      <c r="M4275" t="inlineStr">
        <is>
          <t>2.350</t>
        </is>
      </c>
      <c r="N4275" t="inlineStr">
        <is>
          <t>Modalidade: 0 - Por conta do remetente | Parte: LITORAL DISTRIBUIDORA S.A (55.104.068/0002-93)</t>
        </is>
      </c>
      <c r="O4275" s="29" t="n">
        <v>0</v>
      </c>
      <c r="P4275" s="29" t="n">
        <v>44.18</v>
      </c>
      <c r="Q4275" s="29" t="n">
        <v>0</v>
      </c>
      <c r="R4275" s="29" t="n">
        <v>0</v>
      </c>
      <c r="S4275" s="29" t="n">
        <v>0</v>
      </c>
      <c r="T4275" t="inlineStr">
        <is>
          <t>25260859256389000183570010000004311001301794</t>
        </is>
      </c>
      <c r="U4275" t="inlineStr">
        <is>
          <t>Sim</t>
        </is>
      </c>
    </row>
    <row r="4276">
      <c r="A4276" t="inlineStr">
        <is>
          <t>Frete de venda</t>
        </is>
      </c>
      <c r="B4276" t="inlineStr">
        <is>
          <t>2.01.02 Frete sobre Vendas</t>
        </is>
      </c>
      <c r="C4276" s="30" t="n">
        <v>46235</v>
      </c>
      <c r="D4276" t="inlineStr">
        <is>
          <t>Em 2026</t>
        </is>
      </c>
      <c r="E4276" s="28" t="n">
        <v>46263</v>
      </c>
      <c r="F4276" t="inlineStr">
        <is>
          <t>CT-e</t>
        </is>
      </c>
      <c r="G4276" t="inlineStr">
        <is>
          <t>000000432</t>
        </is>
      </c>
      <c r="H4276" t="inlineStr">
        <is>
          <t>DURA MAIS TRANSPORTES LTDA</t>
        </is>
      </c>
      <c r="J4276" s="29" t="n">
        <v>368.18</v>
      </c>
      <c r="K4276" s="29">
        <f>(1-ISNUMBER(SEARCH("556",M4276)))*(O4276*SUMIFS(Premissas!$C$5:$C$44,Premissas!$A$5:$A$44,$A4276,Premissas!$B$5:$B$44,$B4276)+P4276*SUMIFS(Premissas!$D$5:$D$44,Premissas!$A$5:$A$44,$A4276,Premissas!$B$5:$B$44,$B4276))+R4276*SUMIFS(Premissas!$E$5:$E$44,Premissas!$A$5:$A$44,$A4276,Premissas!$B$5:$B$44,$B4276)+S4276*SUMIFS(Premissas!$F$5:$F$44,Premissas!$A$5:$A$44,$A4276,Premissas!$B$5:$B$44,$B4276)</f>
        <v/>
      </c>
      <c r="L4276" s="29">
        <f>J4276-K4276</f>
        <v/>
      </c>
      <c r="M4276" t="inlineStr">
        <is>
          <t>2.350</t>
        </is>
      </c>
      <c r="N4276" t="inlineStr">
        <is>
          <t>Modalidade: 0 - Por conta do remetente | Parte: PJ ATACADAO DAS EMBALAGENS LTDA (14.271.273/0001-85)</t>
        </is>
      </c>
      <c r="O4276" s="29" t="n">
        <v>0</v>
      </c>
      <c r="P4276" s="29" t="n">
        <v>44.18</v>
      </c>
      <c r="Q4276" s="29" t="n">
        <v>0</v>
      </c>
      <c r="R4276" s="29" t="n">
        <v>0</v>
      </c>
      <c r="S4276" s="29" t="n">
        <v>0</v>
      </c>
      <c r="T4276" t="inlineStr">
        <is>
          <t>25260859256389000183570010000004321000160507</t>
        </is>
      </c>
      <c r="U4276" t="inlineStr">
        <is>
          <t>Sim</t>
        </is>
      </c>
    </row>
    <row r="4277">
      <c r="A4277" t="inlineStr">
        <is>
          <t>Frete de venda</t>
        </is>
      </c>
      <c r="B4277" t="inlineStr">
        <is>
          <t>2.01.02 Frete sobre Vendas</t>
        </is>
      </c>
      <c r="C4277" s="30" t="n">
        <v>46235</v>
      </c>
      <c r="D4277" t="inlineStr">
        <is>
          <t>Em 2026</t>
        </is>
      </c>
      <c r="E4277" s="28" t="n">
        <v>46263</v>
      </c>
      <c r="F4277" t="inlineStr">
        <is>
          <t>CT-e</t>
        </is>
      </c>
      <c r="G4277" t="inlineStr">
        <is>
          <t>000000433</t>
        </is>
      </c>
      <c r="H4277" t="inlineStr">
        <is>
          <t>DURA MAIS TRANSPORTES LTDA</t>
        </is>
      </c>
      <c r="J4277" s="29" t="n">
        <v>368.18</v>
      </c>
      <c r="K4277" s="29">
        <f>(1-ISNUMBER(SEARCH("556",M4277)))*(O4277*SUMIFS(Premissas!$C$5:$C$44,Premissas!$A$5:$A$44,$A4277,Premissas!$B$5:$B$44,$B4277)+P4277*SUMIFS(Premissas!$D$5:$D$44,Premissas!$A$5:$A$44,$A4277,Premissas!$B$5:$B$44,$B4277))+R4277*SUMIFS(Premissas!$E$5:$E$44,Premissas!$A$5:$A$44,$A4277,Premissas!$B$5:$B$44,$B4277)+S4277*SUMIFS(Premissas!$F$5:$F$44,Premissas!$A$5:$A$44,$A4277,Premissas!$B$5:$B$44,$B4277)</f>
        <v/>
      </c>
      <c r="L4277" s="29">
        <f>J4277-K4277</f>
        <v/>
      </c>
      <c r="M4277" t="inlineStr">
        <is>
          <t>2.350</t>
        </is>
      </c>
      <c r="N4277" t="inlineStr">
        <is>
          <t>Modalidade: 0 - Por conta do remetente | Parte: CABRAL e SOUSA LTDA (14.273.817/0004-90)</t>
        </is>
      </c>
      <c r="O4277" s="29" t="n">
        <v>0</v>
      </c>
      <c r="P4277" s="29" t="n">
        <v>44.18</v>
      </c>
      <c r="Q4277" s="29" t="n">
        <v>0</v>
      </c>
      <c r="R4277" s="29" t="n">
        <v>0</v>
      </c>
      <c r="S4277" s="29" t="n">
        <v>0</v>
      </c>
      <c r="T4277" t="inlineStr">
        <is>
          <t>25260859256389000183570010000004331000130583</t>
        </is>
      </c>
      <c r="U4277" t="inlineStr">
        <is>
          <t>Sim</t>
        </is>
      </c>
    </row>
    <row r="4278">
      <c r="A4278" t="inlineStr">
        <is>
          <t>Frete de venda</t>
        </is>
      </c>
      <c r="B4278" t="inlineStr">
        <is>
          <t>2.01.02 Frete sobre Vendas</t>
        </is>
      </c>
      <c r="C4278" s="30" t="n">
        <v>46235</v>
      </c>
      <c r="D4278" t="inlineStr">
        <is>
          <t>Em 2026</t>
        </is>
      </c>
      <c r="E4278" s="28" t="n">
        <v>46263</v>
      </c>
      <c r="F4278" t="inlineStr">
        <is>
          <t>CT-e</t>
        </is>
      </c>
      <c r="G4278" t="inlineStr">
        <is>
          <t>000000434</t>
        </is>
      </c>
      <c r="H4278" t="inlineStr">
        <is>
          <t>DURA MAIS TRANSPORTES LTDA</t>
        </is>
      </c>
      <c r="J4278" s="29" t="n">
        <v>368.18</v>
      </c>
      <c r="K4278" s="29">
        <f>(1-ISNUMBER(SEARCH("556",M4278)))*(O4278*SUMIFS(Premissas!$C$5:$C$44,Premissas!$A$5:$A$44,$A4278,Premissas!$B$5:$B$44,$B4278)+P4278*SUMIFS(Premissas!$D$5:$D$44,Premissas!$A$5:$A$44,$A4278,Premissas!$B$5:$B$44,$B4278))+R4278*SUMIFS(Premissas!$E$5:$E$44,Premissas!$A$5:$A$44,$A4278,Premissas!$B$5:$B$44,$B4278)+S4278*SUMIFS(Premissas!$F$5:$F$44,Premissas!$A$5:$A$44,$A4278,Premissas!$B$5:$B$44,$B4278)</f>
        <v/>
      </c>
      <c r="L4278" s="29">
        <f>J4278-K4278</f>
        <v/>
      </c>
      <c r="M4278" t="inlineStr">
        <is>
          <t>2.350</t>
        </is>
      </c>
      <c r="N4278" t="inlineStr">
        <is>
          <t>Modalidade: 0 - Por conta do remetente | Parte: ALTO GIRO VALENTE EMBALAGENS E UTILIDADES LTDA (55.077.172/0001-55)</t>
        </is>
      </c>
      <c r="O4278" s="29" t="n">
        <v>0</v>
      </c>
      <c r="P4278" s="29" t="n">
        <v>44.18</v>
      </c>
      <c r="Q4278" s="29" t="n">
        <v>0</v>
      </c>
      <c r="R4278" s="29" t="n">
        <v>0</v>
      </c>
      <c r="S4278" s="29" t="n">
        <v>0</v>
      </c>
      <c r="T4278" t="inlineStr">
        <is>
          <t>25260859256389000183570010000004341000010666</t>
        </is>
      </c>
      <c r="U4278" t="inlineStr">
        <is>
          <t>Sim</t>
        </is>
      </c>
    </row>
    <row r="4279">
      <c r="A4279" t="inlineStr">
        <is>
          <t>Frete de venda</t>
        </is>
      </c>
      <c r="B4279" t="inlineStr">
        <is>
          <t>2.01.02 Frete sobre Vendas</t>
        </is>
      </c>
      <c r="C4279" s="30" t="n">
        <v>46235</v>
      </c>
      <c r="D4279" t="inlineStr">
        <is>
          <t>Em 2026</t>
        </is>
      </c>
      <c r="E4279" s="28" t="n">
        <v>46263</v>
      </c>
      <c r="F4279" t="inlineStr">
        <is>
          <t>CT-e</t>
        </is>
      </c>
      <c r="G4279" t="inlineStr">
        <is>
          <t>000000435</t>
        </is>
      </c>
      <c r="H4279" t="inlineStr">
        <is>
          <t>DURA MAIS TRANSPORTES LTDA</t>
        </is>
      </c>
      <c r="J4279" s="29" t="n">
        <v>368.18</v>
      </c>
      <c r="K4279" s="29">
        <f>(1-ISNUMBER(SEARCH("556",M4279)))*(O4279*SUMIFS(Premissas!$C$5:$C$44,Premissas!$A$5:$A$44,$A4279,Premissas!$B$5:$B$44,$B4279)+P4279*SUMIFS(Premissas!$D$5:$D$44,Premissas!$A$5:$A$44,$A4279,Premissas!$B$5:$B$44,$B4279))+R4279*SUMIFS(Premissas!$E$5:$E$44,Premissas!$A$5:$A$44,$A4279,Premissas!$B$5:$B$44,$B4279)+S4279*SUMIFS(Premissas!$F$5:$F$44,Premissas!$A$5:$A$44,$A4279,Premissas!$B$5:$B$44,$B4279)</f>
        <v/>
      </c>
      <c r="L4279" s="29">
        <f>J4279-K4279</f>
        <v/>
      </c>
      <c r="M4279" t="inlineStr">
        <is>
          <t>2.350</t>
        </is>
      </c>
      <c r="N4279" t="inlineStr">
        <is>
          <t>Modalidade: 0 - Por conta do remetente | Parte: COMERCIAL DE EMBALAGENS MATOS LTDA (10.736.406/0001-90)</t>
        </is>
      </c>
      <c r="O4279" s="29" t="n">
        <v>0</v>
      </c>
      <c r="P4279" s="29" t="n">
        <v>44.18</v>
      </c>
      <c r="Q4279" s="29" t="n">
        <v>0</v>
      </c>
      <c r="R4279" s="29" t="n">
        <v>0</v>
      </c>
      <c r="S4279" s="29" t="n">
        <v>0</v>
      </c>
      <c r="T4279" t="inlineStr">
        <is>
          <t>25260859256389000183570010000004351000180747</t>
        </is>
      </c>
      <c r="U4279" t="inlineStr">
        <is>
          <t>Sim</t>
        </is>
      </c>
    </row>
    <row r="4280">
      <c r="A4280" t="inlineStr">
        <is>
          <t>Frete de venda</t>
        </is>
      </c>
      <c r="B4280" t="inlineStr">
        <is>
          <t>2.01.02 Frete sobre Vendas</t>
        </is>
      </c>
      <c r="C4280" s="30" t="n">
        <v>46235</v>
      </c>
      <c r="D4280" t="inlineStr">
        <is>
          <t>Em 2026</t>
        </is>
      </c>
      <c r="E4280" s="28" t="n">
        <v>46263</v>
      </c>
      <c r="F4280" t="inlineStr">
        <is>
          <t>CT-e</t>
        </is>
      </c>
      <c r="G4280" t="inlineStr">
        <is>
          <t>000000436</t>
        </is>
      </c>
      <c r="H4280" t="inlineStr">
        <is>
          <t>DURA MAIS TRANSPORTES LTDA</t>
        </is>
      </c>
      <c r="J4280" s="29" t="n">
        <v>368.18</v>
      </c>
      <c r="K4280" s="29">
        <f>(1-ISNUMBER(SEARCH("556",M4280)))*(O4280*SUMIFS(Premissas!$C$5:$C$44,Premissas!$A$5:$A$44,$A4280,Premissas!$B$5:$B$44,$B4280)+P4280*SUMIFS(Premissas!$D$5:$D$44,Premissas!$A$5:$A$44,$A4280,Premissas!$B$5:$B$44,$B4280))+R4280*SUMIFS(Premissas!$E$5:$E$44,Premissas!$A$5:$A$44,$A4280,Premissas!$B$5:$B$44,$B4280)+S4280*SUMIFS(Premissas!$F$5:$F$44,Premissas!$A$5:$A$44,$A4280,Premissas!$B$5:$B$44,$B4280)</f>
        <v/>
      </c>
      <c r="L4280" s="29">
        <f>J4280-K4280</f>
        <v/>
      </c>
      <c r="M4280" t="inlineStr">
        <is>
          <t>2.350</t>
        </is>
      </c>
      <c r="N4280" t="inlineStr">
        <is>
          <t>Modalidade: 0 - Por conta do remetente | Parte: KASARAO DAS FESTAS ARTIGOS PARA FESTAS LTDA (34.633.150/0001-54)</t>
        </is>
      </c>
      <c r="O4280" s="29" t="n">
        <v>0</v>
      </c>
      <c r="P4280" s="29" t="n">
        <v>44.18</v>
      </c>
      <c r="Q4280" s="29" t="n">
        <v>0</v>
      </c>
      <c r="R4280" s="29" t="n">
        <v>0</v>
      </c>
      <c r="S4280" s="29" t="n">
        <v>0</v>
      </c>
      <c r="T4280" t="inlineStr">
        <is>
          <t>25260859256389000183570010000004361000150829</t>
        </is>
      </c>
      <c r="U4280" t="inlineStr">
        <is>
          <t>Sim</t>
        </is>
      </c>
    </row>
    <row r="4281">
      <c r="A4281" t="inlineStr">
        <is>
          <t>Frete de venda</t>
        </is>
      </c>
      <c r="B4281" t="inlineStr">
        <is>
          <t>2.01.02 Frete sobre Vendas</t>
        </is>
      </c>
      <c r="C4281" s="30" t="n">
        <v>46235</v>
      </c>
      <c r="D4281" t="inlineStr">
        <is>
          <t>Em 2026</t>
        </is>
      </c>
      <c r="E4281" s="28" t="n">
        <v>46263</v>
      </c>
      <c r="F4281" t="inlineStr">
        <is>
          <t>CT-e</t>
        </is>
      </c>
      <c r="G4281" t="inlineStr">
        <is>
          <t>000000437</t>
        </is>
      </c>
      <c r="H4281" t="inlineStr">
        <is>
          <t>DURA MAIS TRANSPORTES LTDA</t>
        </is>
      </c>
      <c r="J4281" s="29" t="n">
        <v>368.18</v>
      </c>
      <c r="K4281" s="29">
        <f>(1-ISNUMBER(SEARCH("556",M4281)))*(O4281*SUMIFS(Premissas!$C$5:$C$44,Premissas!$A$5:$A$44,$A4281,Premissas!$B$5:$B$44,$B4281)+P4281*SUMIFS(Premissas!$D$5:$D$44,Premissas!$A$5:$A$44,$A4281,Premissas!$B$5:$B$44,$B4281))+R4281*SUMIFS(Premissas!$E$5:$E$44,Premissas!$A$5:$A$44,$A4281,Premissas!$B$5:$B$44,$B4281)+S4281*SUMIFS(Premissas!$F$5:$F$44,Premissas!$A$5:$A$44,$A4281,Premissas!$B$5:$B$44,$B4281)</f>
        <v/>
      </c>
      <c r="L4281" s="29">
        <f>J4281-K4281</f>
        <v/>
      </c>
      <c r="M4281" t="inlineStr">
        <is>
          <t>2.350</t>
        </is>
      </c>
      <c r="N4281" t="inlineStr">
        <is>
          <t>Modalidade: 0 - Por conta do remetente | Parte: COMERCIAL DE ALIMENTOS PLANETA LTDA (60.405.318/0003-46)</t>
        </is>
      </c>
      <c r="O4281" s="29" t="n">
        <v>0</v>
      </c>
      <c r="P4281" s="29" t="n">
        <v>44.18</v>
      </c>
      <c r="Q4281" s="29" t="n">
        <v>0</v>
      </c>
      <c r="R4281" s="29" t="n">
        <v>0</v>
      </c>
      <c r="S4281" s="29" t="n">
        <v>0</v>
      </c>
      <c r="T4281" t="inlineStr">
        <is>
          <t>25260859256389000183570010000004371000120900</t>
        </is>
      </c>
      <c r="U4281" t="inlineStr">
        <is>
          <t>Sim</t>
        </is>
      </c>
    </row>
    <row r="4282">
      <c r="A4282" t="inlineStr">
        <is>
          <t>Frete de venda</t>
        </is>
      </c>
      <c r="B4282" t="inlineStr">
        <is>
          <t>2.01.02 Frete sobre Vendas</t>
        </is>
      </c>
      <c r="C4282" s="30" t="n">
        <v>46235</v>
      </c>
      <c r="D4282" t="inlineStr">
        <is>
          <t>Em 2026</t>
        </is>
      </c>
      <c r="E4282" s="28" t="n">
        <v>46263</v>
      </c>
      <c r="F4282" t="inlineStr">
        <is>
          <t>CT-e</t>
        </is>
      </c>
      <c r="G4282" t="inlineStr">
        <is>
          <t>000000438</t>
        </is>
      </c>
      <c r="H4282" t="inlineStr">
        <is>
          <t>DURA MAIS TRANSPORTES LTDA</t>
        </is>
      </c>
      <c r="J4282" s="29" t="n">
        <v>368.18</v>
      </c>
      <c r="K4282" s="29">
        <f>(1-ISNUMBER(SEARCH("556",M4282)))*(O4282*SUMIFS(Premissas!$C$5:$C$44,Premissas!$A$5:$A$44,$A4282,Premissas!$B$5:$B$44,$B4282)+P4282*SUMIFS(Premissas!$D$5:$D$44,Premissas!$A$5:$A$44,$A4282,Premissas!$B$5:$B$44,$B4282))+R4282*SUMIFS(Premissas!$E$5:$E$44,Premissas!$A$5:$A$44,$A4282,Premissas!$B$5:$B$44,$B4282)+S4282*SUMIFS(Premissas!$F$5:$F$44,Premissas!$A$5:$A$44,$A4282,Premissas!$B$5:$B$44,$B4282)</f>
        <v/>
      </c>
      <c r="L4282" s="29">
        <f>J4282-K4282</f>
        <v/>
      </c>
      <c r="M4282" t="inlineStr">
        <is>
          <t>2.350</t>
        </is>
      </c>
      <c r="N4282" t="inlineStr">
        <is>
          <t>Modalidade: 0 - Por conta do remetente | Parte: EMBALAGENS CAMACARI ABC LTDA (62.587.067/0001-21)</t>
        </is>
      </c>
      <c r="O4282" s="29" t="n">
        <v>0</v>
      </c>
      <c r="P4282" s="29" t="n">
        <v>44.18</v>
      </c>
      <c r="Q4282" s="29" t="n">
        <v>0</v>
      </c>
      <c r="R4282" s="29" t="n">
        <v>0</v>
      </c>
      <c r="S4282" s="29" t="n">
        <v>0</v>
      </c>
      <c r="T4282" t="inlineStr">
        <is>
          <t>25260859256389000183570010000004381001100986</t>
        </is>
      </c>
      <c r="U4282" t="inlineStr">
        <is>
          <t>Sim</t>
        </is>
      </c>
    </row>
    <row r="4283">
      <c r="A4283" t="inlineStr">
        <is>
          <t>Frete de venda</t>
        </is>
      </c>
      <c r="B4283" t="inlineStr">
        <is>
          <t>2.01.02 Frete sobre Vendas</t>
        </is>
      </c>
      <c r="C4283" s="30" t="n">
        <v>46235</v>
      </c>
      <c r="D4283" t="inlineStr">
        <is>
          <t>Em 2026</t>
        </is>
      </c>
      <c r="E4283" s="28" t="n">
        <v>46263</v>
      </c>
      <c r="F4283" t="inlineStr">
        <is>
          <t>CT-e</t>
        </is>
      </c>
      <c r="G4283" t="inlineStr">
        <is>
          <t>000000439</t>
        </is>
      </c>
      <c r="H4283" t="inlineStr">
        <is>
          <t>DURA MAIS TRANSPORTES LTDA</t>
        </is>
      </c>
      <c r="J4283" s="29" t="n">
        <v>368.18</v>
      </c>
      <c r="K4283" s="29">
        <f>(1-ISNUMBER(SEARCH("556",M4283)))*(O4283*SUMIFS(Premissas!$C$5:$C$44,Premissas!$A$5:$A$44,$A4283,Premissas!$B$5:$B$44,$B4283)+P4283*SUMIFS(Premissas!$D$5:$D$44,Premissas!$A$5:$A$44,$A4283,Premissas!$B$5:$B$44,$B4283))+R4283*SUMIFS(Premissas!$E$5:$E$44,Premissas!$A$5:$A$44,$A4283,Premissas!$B$5:$B$44,$B4283)+S4283*SUMIFS(Premissas!$F$5:$F$44,Premissas!$A$5:$A$44,$A4283,Premissas!$B$5:$B$44,$B4283)</f>
        <v/>
      </c>
      <c r="L4283" s="29">
        <f>J4283-K4283</f>
        <v/>
      </c>
      <c r="M4283" t="inlineStr">
        <is>
          <t>2.350</t>
        </is>
      </c>
      <c r="N4283" t="inlineStr">
        <is>
          <t>Modalidade: 0 - Por conta do remetente | Parte: ITABUNA MIX EMBALAGENS LTDA (36.003.323/0001-86)</t>
        </is>
      </c>
      <c r="O4283" s="29" t="n">
        <v>0</v>
      </c>
      <c r="P4283" s="29" t="n">
        <v>44.18</v>
      </c>
      <c r="Q4283" s="29" t="n">
        <v>0</v>
      </c>
      <c r="R4283" s="29" t="n">
        <v>0</v>
      </c>
      <c r="S4283" s="29" t="n">
        <v>0</v>
      </c>
      <c r="T4283" t="inlineStr">
        <is>
          <t>25260859256389000183570010000004391001701065</t>
        </is>
      </c>
      <c r="U4283" t="inlineStr">
        <is>
          <t>Sim</t>
        </is>
      </c>
    </row>
    <row r="4284">
      <c r="A4284" t="inlineStr">
        <is>
          <t>Frete de venda</t>
        </is>
      </c>
      <c r="B4284" t="inlineStr">
        <is>
          <t>2.01.02 Frete sobre Vendas</t>
        </is>
      </c>
      <c r="C4284" s="30" t="n">
        <v>46235</v>
      </c>
      <c r="D4284" t="inlineStr">
        <is>
          <t>Em 2026</t>
        </is>
      </c>
      <c r="E4284" s="28" t="n">
        <v>46263</v>
      </c>
      <c r="F4284" t="inlineStr">
        <is>
          <t>CT-e</t>
        </is>
      </c>
      <c r="G4284" t="inlineStr">
        <is>
          <t>000000440</t>
        </is>
      </c>
      <c r="H4284" t="inlineStr">
        <is>
          <t>DURA MAIS TRANSPORTES LTDA</t>
        </is>
      </c>
      <c r="J4284" s="29" t="n">
        <v>368.18</v>
      </c>
      <c r="K4284" s="29">
        <f>(1-ISNUMBER(SEARCH("556",M4284)))*(O4284*SUMIFS(Premissas!$C$5:$C$44,Premissas!$A$5:$A$44,$A4284,Premissas!$B$5:$B$44,$B4284)+P4284*SUMIFS(Premissas!$D$5:$D$44,Premissas!$A$5:$A$44,$A4284,Premissas!$B$5:$B$44,$B4284))+R4284*SUMIFS(Premissas!$E$5:$E$44,Premissas!$A$5:$A$44,$A4284,Premissas!$B$5:$B$44,$B4284)+S4284*SUMIFS(Premissas!$F$5:$F$44,Premissas!$A$5:$A$44,$A4284,Premissas!$B$5:$B$44,$B4284)</f>
        <v/>
      </c>
      <c r="L4284" s="29">
        <f>J4284-K4284</f>
        <v/>
      </c>
      <c r="M4284" t="inlineStr">
        <is>
          <t>2.350</t>
        </is>
      </c>
      <c r="N4284" t="inlineStr">
        <is>
          <t>Modalidade: 0 - Por conta do remetente | Parte: LITORAL DISTRIBUIDORA S.A (55.104.068/0001-02)</t>
        </is>
      </c>
      <c r="O4284" s="29" t="n">
        <v>0</v>
      </c>
      <c r="P4284" s="29" t="n">
        <v>44.18</v>
      </c>
      <c r="Q4284" s="29" t="n">
        <v>0</v>
      </c>
      <c r="R4284" s="29" t="n">
        <v>0</v>
      </c>
      <c r="S4284" s="29" t="n">
        <v>0</v>
      </c>
      <c r="T4284" t="inlineStr">
        <is>
          <t>25260859256389000183570010000004401001401143</t>
        </is>
      </c>
      <c r="U4284" t="inlineStr">
        <is>
          <t>Sim</t>
        </is>
      </c>
    </row>
    <row r="4285">
      <c r="A4285" t="inlineStr">
        <is>
          <t>Frete de venda</t>
        </is>
      </c>
      <c r="B4285" t="inlineStr">
        <is>
          <t>2.01.02 Frete sobre Vendas</t>
        </is>
      </c>
      <c r="C4285" s="30" t="n">
        <v>46235</v>
      </c>
      <c r="D4285" t="inlineStr">
        <is>
          <t>Em 2026</t>
        </is>
      </c>
      <c r="E4285" s="28" t="n">
        <v>46263</v>
      </c>
      <c r="F4285" t="inlineStr">
        <is>
          <t>CT-e</t>
        </is>
      </c>
      <c r="G4285" t="inlineStr">
        <is>
          <t>000000441</t>
        </is>
      </c>
      <c r="H4285" t="inlineStr">
        <is>
          <t>DURA MAIS TRANSPORTES LTDA</t>
        </is>
      </c>
      <c r="J4285" s="29" t="n">
        <v>368.18</v>
      </c>
      <c r="K4285" s="29">
        <f>(1-ISNUMBER(SEARCH("556",M4285)))*(O4285*SUMIFS(Premissas!$C$5:$C$44,Premissas!$A$5:$A$44,$A4285,Premissas!$B$5:$B$44,$B4285)+P4285*SUMIFS(Premissas!$D$5:$D$44,Premissas!$A$5:$A$44,$A4285,Premissas!$B$5:$B$44,$B4285))+R4285*SUMIFS(Premissas!$E$5:$E$44,Premissas!$A$5:$A$44,$A4285,Premissas!$B$5:$B$44,$B4285)+S4285*SUMIFS(Premissas!$F$5:$F$44,Premissas!$A$5:$A$44,$A4285,Premissas!$B$5:$B$44,$B4285)</f>
        <v/>
      </c>
      <c r="L4285" s="29">
        <f>J4285-K4285</f>
        <v/>
      </c>
      <c r="M4285" t="inlineStr">
        <is>
          <t>2.350</t>
        </is>
      </c>
      <c r="N4285" t="inlineStr">
        <is>
          <t>Modalidade: 0 - Por conta do remetente | Parte: GIRO FOODS COMERCIO DE ALIMENTOS LTDA (28.400.428/0001-40)</t>
        </is>
      </c>
      <c r="O4285" s="29" t="n">
        <v>0</v>
      </c>
      <c r="P4285" s="29" t="n">
        <v>44.18</v>
      </c>
      <c r="Q4285" s="29" t="n">
        <v>0</v>
      </c>
      <c r="R4285" s="29" t="n">
        <v>0</v>
      </c>
      <c r="S4285" s="29" t="n">
        <v>0</v>
      </c>
      <c r="T4285" t="inlineStr">
        <is>
          <t>25260859256389000183570010000004411001101228</t>
        </is>
      </c>
      <c r="U4285" t="inlineStr">
        <is>
          <t>Sim</t>
        </is>
      </c>
    </row>
    <row r="4286">
      <c r="A4286" t="inlineStr">
        <is>
          <t>Frete de venda</t>
        </is>
      </c>
      <c r="B4286" t="inlineStr">
        <is>
          <t>2.01.02 Frete sobre Vendas</t>
        </is>
      </c>
      <c r="C4286" s="30" t="n">
        <v>46235</v>
      </c>
      <c r="D4286" t="inlineStr">
        <is>
          <t>Em 2026</t>
        </is>
      </c>
      <c r="E4286" s="28" t="n">
        <v>46263</v>
      </c>
      <c r="F4286" t="inlineStr">
        <is>
          <t>CT-e</t>
        </is>
      </c>
      <c r="G4286" t="inlineStr">
        <is>
          <t>000000442</t>
        </is>
      </c>
      <c r="H4286" t="inlineStr">
        <is>
          <t>DURA MAIS TRANSPORTES LTDA</t>
        </is>
      </c>
      <c r="J4286" s="29" t="n">
        <v>368.18</v>
      </c>
      <c r="K4286" s="29">
        <f>(1-ISNUMBER(SEARCH("556",M4286)))*(O4286*SUMIFS(Premissas!$C$5:$C$44,Premissas!$A$5:$A$44,$A4286,Premissas!$B$5:$B$44,$B4286)+P4286*SUMIFS(Premissas!$D$5:$D$44,Premissas!$A$5:$A$44,$A4286,Premissas!$B$5:$B$44,$B4286))+R4286*SUMIFS(Premissas!$E$5:$E$44,Premissas!$A$5:$A$44,$A4286,Premissas!$B$5:$B$44,$B4286)+S4286*SUMIFS(Premissas!$F$5:$F$44,Premissas!$A$5:$A$44,$A4286,Premissas!$B$5:$B$44,$B4286)</f>
        <v/>
      </c>
      <c r="L4286" s="29">
        <f>J4286-K4286</f>
        <v/>
      </c>
      <c r="M4286" t="inlineStr">
        <is>
          <t>2.350</t>
        </is>
      </c>
      <c r="N4286" t="inlineStr">
        <is>
          <t>Modalidade: 0 - Por conta do remetente | Parte: PSCP ATACADISTA, VAREJISTA DE EMBALAGENS, ALIMENTOS E VA... (00.139.108/0001-60)</t>
        </is>
      </c>
      <c r="O4286" s="29" t="n">
        <v>0</v>
      </c>
      <c r="P4286" s="29" t="n">
        <v>44.18</v>
      </c>
      <c r="Q4286" s="29" t="n">
        <v>0</v>
      </c>
      <c r="R4286" s="29" t="n">
        <v>0</v>
      </c>
      <c r="S4286" s="29" t="n">
        <v>0</v>
      </c>
      <c r="T4286" t="inlineStr">
        <is>
          <t>25260859256389000183570010000004421000120579</t>
        </is>
      </c>
      <c r="U4286" t="inlineStr">
        <is>
          <t>Sim</t>
        </is>
      </c>
    </row>
    <row r="4287">
      <c r="A4287" t="inlineStr">
        <is>
          <t>Frete de venda</t>
        </is>
      </c>
      <c r="B4287" t="inlineStr">
        <is>
          <t>2.01.02 Frete sobre Vendas</t>
        </is>
      </c>
      <c r="C4287" s="30" t="n">
        <v>46235</v>
      </c>
      <c r="D4287" t="inlineStr">
        <is>
          <t>Em 2026</t>
        </is>
      </c>
      <c r="E4287" s="28" t="n">
        <v>46263</v>
      </c>
      <c r="F4287" t="inlineStr">
        <is>
          <t>CT-e</t>
        </is>
      </c>
      <c r="G4287" t="inlineStr">
        <is>
          <t>000000443</t>
        </is>
      </c>
      <c r="H4287" t="inlineStr">
        <is>
          <t>DURA MAIS TRANSPORTES LTDA</t>
        </is>
      </c>
      <c r="J4287" s="29" t="n">
        <v>368.18</v>
      </c>
      <c r="K4287" s="29">
        <f>(1-ISNUMBER(SEARCH("556",M4287)))*(O4287*SUMIFS(Premissas!$C$5:$C$44,Premissas!$A$5:$A$44,$A4287,Premissas!$B$5:$B$44,$B4287)+P4287*SUMIFS(Premissas!$D$5:$D$44,Premissas!$A$5:$A$44,$A4287,Premissas!$B$5:$B$44,$B4287))+R4287*SUMIFS(Premissas!$E$5:$E$44,Premissas!$A$5:$A$44,$A4287,Premissas!$B$5:$B$44,$B4287)+S4287*SUMIFS(Premissas!$F$5:$F$44,Premissas!$A$5:$A$44,$A4287,Premissas!$B$5:$B$44,$B4287)</f>
        <v/>
      </c>
      <c r="L4287" s="29">
        <f>J4287-K4287</f>
        <v/>
      </c>
      <c r="M4287" t="inlineStr">
        <is>
          <t>2.350</t>
        </is>
      </c>
      <c r="N4287" t="inlineStr">
        <is>
          <t>Modalidade: 0 - Por conta do remetente | Parte: J.R. COMERCIO DE EMBALAGENS LTDA (23.099.779/0001-40)</t>
        </is>
      </c>
      <c r="O4287" s="29" t="n">
        <v>0</v>
      </c>
      <c r="P4287" s="29" t="n">
        <v>44.18</v>
      </c>
      <c r="Q4287" s="29" t="n">
        <v>0</v>
      </c>
      <c r="R4287" s="29" t="n">
        <v>0</v>
      </c>
      <c r="S4287" s="29" t="n">
        <v>0</v>
      </c>
      <c r="T4287" t="inlineStr">
        <is>
          <t>25260859256389000183570010000004431001100650</t>
        </is>
      </c>
      <c r="U4287" t="inlineStr">
        <is>
          <t>Sim</t>
        </is>
      </c>
    </row>
    <row r="4288">
      <c r="A4288" t="inlineStr">
        <is>
          <t>Frete de venda</t>
        </is>
      </c>
      <c r="B4288" t="inlineStr">
        <is>
          <t>2.01.02 Frete sobre Vendas</t>
        </is>
      </c>
      <c r="C4288" s="30" t="n">
        <v>46235</v>
      </c>
      <c r="D4288" t="inlineStr">
        <is>
          <t>Em 2026</t>
        </is>
      </c>
      <c r="E4288" s="28" t="n">
        <v>46263</v>
      </c>
      <c r="F4288" t="inlineStr">
        <is>
          <t>CT-e</t>
        </is>
      </c>
      <c r="G4288" t="inlineStr">
        <is>
          <t>000000444</t>
        </is>
      </c>
      <c r="H4288" t="inlineStr">
        <is>
          <t>DURA MAIS TRANSPORTES LTDA</t>
        </is>
      </c>
      <c r="J4288" s="29" t="n">
        <v>368.18</v>
      </c>
      <c r="K4288" s="29">
        <f>(1-ISNUMBER(SEARCH("556",M4288)))*(O4288*SUMIFS(Premissas!$C$5:$C$44,Premissas!$A$5:$A$44,$A4288,Premissas!$B$5:$B$44,$B4288)+P4288*SUMIFS(Premissas!$D$5:$D$44,Premissas!$A$5:$A$44,$A4288,Premissas!$B$5:$B$44,$B4288))+R4288*SUMIFS(Premissas!$E$5:$E$44,Premissas!$A$5:$A$44,$A4288,Premissas!$B$5:$B$44,$B4288)+S4288*SUMIFS(Premissas!$F$5:$F$44,Premissas!$A$5:$A$44,$A4288,Premissas!$B$5:$B$44,$B4288)</f>
        <v/>
      </c>
      <c r="L4288" s="29">
        <f>J4288-K4288</f>
        <v/>
      </c>
      <c r="M4288" t="inlineStr">
        <is>
          <t>2.350</t>
        </is>
      </c>
      <c r="N4288" t="inlineStr">
        <is>
          <t>Modalidade: 0 - Por conta do remetente | Parte: ERIFANIA BRITO ALMEIDA GOMES (10.472.297/0001-41)</t>
        </is>
      </c>
      <c r="O4288" s="29" t="n">
        <v>0</v>
      </c>
      <c r="P4288" s="29" t="n">
        <v>44.18</v>
      </c>
      <c r="Q4288" s="29" t="n">
        <v>0</v>
      </c>
      <c r="R4288" s="29" t="n">
        <v>0</v>
      </c>
      <c r="S4288" s="29" t="n">
        <v>0</v>
      </c>
      <c r="T4288" t="inlineStr">
        <is>
          <t>25260859256389000183570010000004441000170732</t>
        </is>
      </c>
      <c r="U4288" t="inlineStr">
        <is>
          <t>Sim</t>
        </is>
      </c>
    </row>
    <row r="4289">
      <c r="A4289" t="inlineStr">
        <is>
          <t>Frete de venda</t>
        </is>
      </c>
      <c r="B4289" t="inlineStr">
        <is>
          <t>2.01.02 Frete sobre Vendas</t>
        </is>
      </c>
      <c r="C4289" s="30" t="n">
        <v>46235</v>
      </c>
      <c r="D4289" t="inlineStr">
        <is>
          <t>Em 2026</t>
        </is>
      </c>
      <c r="E4289" s="28" t="n">
        <v>46262</v>
      </c>
      <c r="F4289" t="inlineStr">
        <is>
          <t>CT-e</t>
        </is>
      </c>
      <c r="G4289" t="inlineStr">
        <is>
          <t>000000446</t>
        </is>
      </c>
      <c r="H4289" t="inlineStr">
        <is>
          <t>DURA MAIS TRANSPORTES LTDA</t>
        </is>
      </c>
      <c r="J4289" s="29" t="n">
        <v>6960.98</v>
      </c>
      <c r="K4289" s="29">
        <f>(1-ISNUMBER(SEARCH("556",M4289)))*(O4289*SUMIFS(Premissas!$C$5:$C$44,Premissas!$A$5:$A$44,$A4289,Premissas!$B$5:$B$44,$B4289)+P4289*SUMIFS(Premissas!$D$5:$D$44,Premissas!$A$5:$A$44,$A4289,Premissas!$B$5:$B$44,$B4289))+R4289*SUMIFS(Premissas!$E$5:$E$44,Premissas!$A$5:$A$44,$A4289,Premissas!$B$5:$B$44,$B4289)+S4289*SUMIFS(Premissas!$F$5:$F$44,Premissas!$A$5:$A$44,$A4289,Premissas!$B$5:$B$44,$B4289)</f>
        <v/>
      </c>
      <c r="L4289" s="29">
        <f>J4289-K4289</f>
        <v/>
      </c>
      <c r="M4289" t="inlineStr">
        <is>
          <t>2.350</t>
        </is>
      </c>
      <c r="N4289" t="inlineStr">
        <is>
          <t>Modalidade: 0 - Por conta do remetente | Parte: MOREIRA DE AGUIAR e AGUIAR LTDA (02.951.472/0003-17)</t>
        </is>
      </c>
      <c r="O4289" s="29" t="n">
        <v>0</v>
      </c>
      <c r="P4289" s="29" t="n">
        <v>835.3200000000001</v>
      </c>
      <c r="Q4289" s="29" t="n">
        <v>0</v>
      </c>
      <c r="R4289" s="29" t="n">
        <v>0</v>
      </c>
      <c r="S4289" s="29" t="n">
        <v>0</v>
      </c>
      <c r="T4289" t="inlineStr">
        <is>
          <t>25260859256389000183570010000004461000110890</t>
        </is>
      </c>
      <c r="U4289" t="inlineStr">
        <is>
          <t>Sim</t>
        </is>
      </c>
    </row>
    <row r="4290">
      <c r="A4290" t="inlineStr">
        <is>
          <t>Frete de venda</t>
        </is>
      </c>
      <c r="B4290" t="inlineStr">
        <is>
          <t>2.01.02 Frete sobre Vendas</t>
        </is>
      </c>
      <c r="C4290" s="30" t="n">
        <v>46235</v>
      </c>
      <c r="D4290" t="inlineStr">
        <is>
          <t>Em 2026</t>
        </is>
      </c>
      <c r="E4290" s="28" t="n">
        <v>46263</v>
      </c>
      <c r="F4290" t="inlineStr">
        <is>
          <t>CT-e</t>
        </is>
      </c>
      <c r="G4290" t="inlineStr">
        <is>
          <t>000000448</t>
        </is>
      </c>
      <c r="H4290" t="inlineStr">
        <is>
          <t>DURA MAIS TRANSPORTES LTDA</t>
        </is>
      </c>
      <c r="J4290" s="29" t="n">
        <v>2577.3</v>
      </c>
      <c r="K4290" s="29">
        <f>(1-ISNUMBER(SEARCH("556",M4290)))*(O4290*SUMIFS(Premissas!$C$5:$C$44,Premissas!$A$5:$A$44,$A4290,Premissas!$B$5:$B$44,$B4290)+P4290*SUMIFS(Premissas!$D$5:$D$44,Premissas!$A$5:$A$44,$A4290,Premissas!$B$5:$B$44,$B4290))+R4290*SUMIFS(Premissas!$E$5:$E$44,Premissas!$A$5:$A$44,$A4290,Premissas!$B$5:$B$44,$B4290)+S4290*SUMIFS(Premissas!$F$5:$F$44,Premissas!$A$5:$A$44,$A4290,Premissas!$B$5:$B$44,$B4290)</f>
        <v/>
      </c>
      <c r="L4290" s="29">
        <f>J4290-K4290</f>
        <v/>
      </c>
      <c r="M4290" t="inlineStr">
        <is>
          <t>2.350</t>
        </is>
      </c>
      <c r="N4290" t="inlineStr">
        <is>
          <t>Modalidade: 0 - Por conta do remetente | Parte: ERIFANIA BRITO ALMEIDA GOMES (10.472.297/0001-41)</t>
        </is>
      </c>
      <c r="O4290" s="29" t="n">
        <v>0</v>
      </c>
      <c r="P4290" s="29" t="n">
        <v>309.28</v>
      </c>
      <c r="Q4290" s="29" t="n">
        <v>0</v>
      </c>
      <c r="R4290" s="29" t="n">
        <v>0</v>
      </c>
      <c r="S4290" s="29" t="n">
        <v>0</v>
      </c>
      <c r="T4290" t="inlineStr">
        <is>
          <t>25260859256389000183570010000004481001601051</t>
        </is>
      </c>
      <c r="U4290" t="inlineStr">
        <is>
          <t>Sim</t>
        </is>
      </c>
    </row>
    <row r="4291">
      <c r="A4291" t="inlineStr">
        <is>
          <t>Frete de venda</t>
        </is>
      </c>
      <c r="B4291" t="inlineStr">
        <is>
          <t>2.01.02 Frete sobre Vendas</t>
        </is>
      </c>
      <c r="C4291" s="30" t="n">
        <v>46235</v>
      </c>
      <c r="D4291" t="inlineStr">
        <is>
          <t>Em 2026</t>
        </is>
      </c>
      <c r="E4291" s="28" t="n"/>
      <c r="F4291" t="inlineStr">
        <is>
          <t>Pgto sem CT-e</t>
        </is>
      </c>
      <c r="G4291" t="inlineStr">
        <is>
          <t>000000012</t>
        </is>
      </c>
      <c r="H4291" t="inlineStr">
        <is>
          <t>MARCOS RIBEIRO DE MELO</t>
        </is>
      </c>
      <c r="J4291" s="29" t="n">
        <v>13800</v>
      </c>
      <c r="K4291" s="29">
        <f>(1-ISNUMBER(SEARCH("556",M4291)))*(O4291*SUMIFS(Premissas!$C$5:$C$44,Premissas!$A$5:$A$44,$A4291,Premissas!$B$5:$B$44,$B4291)+P4291*SUMIFS(Premissas!$D$5:$D$44,Premissas!$A$5:$A$44,$A4291,Premissas!$B$5:$B$44,$B4291))+R4291*SUMIFS(Premissas!$E$5:$E$44,Premissas!$A$5:$A$44,$A4291,Premissas!$B$5:$B$44,$B4291)+S4291*SUMIFS(Premissas!$F$5:$F$44,Premissas!$A$5:$A$44,$A4291,Premissas!$B$5:$B$44,$B4291)</f>
        <v/>
      </c>
      <c r="L4291" s="29">
        <f>J4291-K4291</f>
        <v/>
      </c>
      <c r="N4291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 | Parte: (pagamento sem CT-e - cliente nao identificado)</t>
        </is>
      </c>
      <c r="O4291" s="29" t="n">
        <v>0</v>
      </c>
      <c r="P4291" s="29" t="n">
        <v>0</v>
      </c>
      <c r="Q4291" s="29" t="n">
        <v>0</v>
      </c>
      <c r="R4291" s="29" t="n">
        <v>0</v>
      </c>
      <c r="S4291" s="29" t="n">
        <v>0</v>
      </c>
      <c r="U4291" t="inlineStr">
        <is>
          <t>n/d</t>
        </is>
      </c>
    </row>
    <row r="4292">
      <c r="A4292" t="inlineStr">
        <is>
          <t>Frete de venda</t>
        </is>
      </c>
      <c r="B4292" t="inlineStr">
        <is>
          <t>2.01.02 Frete sobre Vendas</t>
        </is>
      </c>
      <c r="C4292" s="30" t="n">
        <v>46235</v>
      </c>
      <c r="D4292" t="inlineStr">
        <is>
          <t>Em 2026</t>
        </is>
      </c>
      <c r="E4292" s="28" t="n"/>
      <c r="F4292" t="inlineStr">
        <is>
          <t>Pgto sem CT-e</t>
        </is>
      </c>
      <c r="G4292" t="inlineStr">
        <is>
          <t>000000070</t>
        </is>
      </c>
      <c r="H4292" t="inlineStr">
        <is>
          <t>PEDRO HENRIQUE MODESTO DE QUEIROZ SILVEIRA</t>
        </is>
      </c>
      <c r="J4292" s="29" t="n">
        <v>650</v>
      </c>
      <c r="K4292" s="29">
        <f>(1-ISNUMBER(SEARCH("556",M4292)))*(O4292*SUMIFS(Premissas!$C$5:$C$44,Premissas!$A$5:$A$44,$A4292,Premissas!$B$5:$B$44,$B4292)+P4292*SUMIFS(Premissas!$D$5:$D$44,Premissas!$A$5:$A$44,$A4292,Premissas!$B$5:$B$44,$B4292))+R4292*SUMIFS(Premissas!$E$5:$E$44,Premissas!$A$5:$A$44,$A4292,Premissas!$B$5:$B$44,$B4292)+S4292*SUMIFS(Premissas!$F$5:$F$44,Premissas!$A$5:$A$44,$A4292,Premissas!$B$5:$B$44,$B4292)</f>
        <v/>
      </c>
      <c r="L4292" s="29">
        <f>J4292-K4292</f>
        <v/>
      </c>
      <c r="N4292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 | Parte: (pagamento sem CT-e - cliente nao identificado)</t>
        </is>
      </c>
      <c r="O4292" s="29" t="n">
        <v>0</v>
      </c>
      <c r="P4292" s="29" t="n">
        <v>0</v>
      </c>
      <c r="Q4292" s="29" t="n">
        <v>0</v>
      </c>
      <c r="R4292" s="29" t="n">
        <v>0</v>
      </c>
      <c r="S4292" s="29" t="n">
        <v>0</v>
      </c>
      <c r="U4292" t="inlineStr">
        <is>
          <t>n/d</t>
        </is>
      </c>
    </row>
    <row r="4293">
      <c r="A4293" t="inlineStr">
        <is>
          <t>Frete de venda</t>
        </is>
      </c>
      <c r="B4293" t="inlineStr">
        <is>
          <t>2.01.02 Frete sobre Vendas</t>
        </is>
      </c>
      <c r="C4293" s="30" t="n">
        <v>46235</v>
      </c>
      <c r="D4293" t="inlineStr">
        <is>
          <t>Em 2026</t>
        </is>
      </c>
      <c r="E4293" s="28" t="n">
        <v>46247</v>
      </c>
      <c r="F4293" t="inlineStr">
        <is>
          <t>CT-e</t>
        </is>
      </c>
      <c r="G4293" t="inlineStr">
        <is>
          <t>000036522</t>
        </is>
      </c>
      <c r="H4293" t="inlineStr">
        <is>
          <t>PICCOLI LOGISTICA E TRANSPORTES LTDA</t>
        </is>
      </c>
      <c r="J4293" s="29" t="n">
        <v>206.78</v>
      </c>
      <c r="K4293" s="29">
        <f>(1-ISNUMBER(SEARCH("556",M4293)))*(O4293*SUMIFS(Premissas!$C$5:$C$44,Premissas!$A$5:$A$44,$A4293,Premissas!$B$5:$B$44,$B4293)+P4293*SUMIFS(Premissas!$D$5:$D$44,Premissas!$A$5:$A$44,$A4293,Premissas!$B$5:$B$44,$B4293))+R4293*SUMIFS(Premissas!$E$5:$E$44,Premissas!$A$5:$A$44,$A4293,Premissas!$B$5:$B$44,$B4293)+S4293*SUMIFS(Premissas!$F$5:$F$44,Premissas!$A$5:$A$44,$A4293,Premissas!$B$5:$B$44,$B4293)</f>
        <v/>
      </c>
      <c r="L4293" s="29">
        <f>J4293-K4293</f>
        <v/>
      </c>
      <c r="M4293" t="inlineStr">
        <is>
          <t>2.350</t>
        </is>
      </c>
      <c r="N4293" t="inlineStr">
        <is>
          <t>Modalidade: 0 - Por conta do remetente | Parte: DISTRIBUIDORA CENTRAL EMBALAGENS LTDA (08.726.563/0001-73)</t>
        </is>
      </c>
      <c r="O4293" s="29" t="n">
        <v>0</v>
      </c>
      <c r="P4293" s="29" t="n">
        <v>14.47</v>
      </c>
      <c r="Q4293" s="29" t="n">
        <v>0</v>
      </c>
      <c r="R4293" s="29" t="n">
        <v>0</v>
      </c>
      <c r="S4293" s="29" t="n">
        <v>0</v>
      </c>
      <c r="T4293" t="inlineStr">
        <is>
          <t>35260856910992000149570010000365221005970752</t>
        </is>
      </c>
      <c r="U4293" t="inlineStr">
        <is>
          <t>Sim</t>
        </is>
      </c>
    </row>
    <row r="4294">
      <c r="A4294" t="inlineStr">
        <is>
          <t>Frete de venda</t>
        </is>
      </c>
      <c r="B4294" t="inlineStr">
        <is>
          <t>2.01.02 Frete sobre Vendas</t>
        </is>
      </c>
      <c r="C4294" s="30" t="n">
        <v>46235</v>
      </c>
      <c r="D4294" t="inlineStr">
        <is>
          <t>Em 2026</t>
        </is>
      </c>
      <c r="E4294" s="28" t="n">
        <v>46259</v>
      </c>
      <c r="F4294" t="inlineStr">
        <is>
          <t>CT-e</t>
        </is>
      </c>
      <c r="G4294" t="inlineStr">
        <is>
          <t>001466137</t>
        </is>
      </c>
      <c r="H4294" t="inlineStr">
        <is>
          <t>PICCOLI TRANSPORTES LTDA</t>
        </is>
      </c>
      <c r="J4294" s="29" t="n">
        <v>3504.45</v>
      </c>
      <c r="K4294" s="29">
        <f>(1-ISNUMBER(SEARCH("556",M4294)))*(O4294*SUMIFS(Premissas!$C$5:$C$44,Premissas!$A$5:$A$44,$A4294,Premissas!$B$5:$B$44,$B4294)+P4294*SUMIFS(Premissas!$D$5:$D$44,Premissas!$A$5:$A$44,$A4294,Premissas!$B$5:$B$44,$B4294))+R4294*SUMIFS(Premissas!$E$5:$E$44,Premissas!$A$5:$A$44,$A4294,Premissas!$B$5:$B$44,$B4294)+S4294*SUMIFS(Premissas!$F$5:$F$44,Premissas!$A$5:$A$44,$A4294,Premissas!$B$5:$B$44,$B4294)</f>
        <v/>
      </c>
      <c r="L4294" s="29">
        <f>J4294-K4294</f>
        <v/>
      </c>
      <c r="M4294" t="inlineStr">
        <is>
          <t>2.350</t>
        </is>
      </c>
      <c r="N4294" t="inlineStr">
        <is>
          <t>Modalidade: 0 - Por conta do remetente | Parte: COMERCIAL CARAPA DE SECOS E MOLHADOS LTDA (03.790.904/0002-37)</t>
        </is>
      </c>
      <c r="O4294" s="29" t="n">
        <v>0</v>
      </c>
      <c r="P4294" s="29" t="n">
        <v>245.31</v>
      </c>
      <c r="Q4294" s="29" t="n">
        <v>0</v>
      </c>
      <c r="R4294" s="29" t="n">
        <v>0</v>
      </c>
      <c r="S4294" s="29" t="n">
        <v>0</v>
      </c>
      <c r="T4294" t="inlineStr">
        <is>
          <t>35260801496359000245570010014661371006017459</t>
        </is>
      </c>
      <c r="U4294" t="inlineStr">
        <is>
          <t>Sim</t>
        </is>
      </c>
    </row>
    <row r="4295">
      <c r="A4295" t="inlineStr">
        <is>
          <t>Frete de venda</t>
        </is>
      </c>
      <c r="B4295" t="inlineStr">
        <is>
          <t>2.01.02 Frete sobre Vendas</t>
        </is>
      </c>
      <c r="C4295" s="30" t="n">
        <v>46235</v>
      </c>
      <c r="D4295" t="inlineStr">
        <is>
          <t>Em 2026</t>
        </is>
      </c>
      <c r="E4295" s="28" t="n">
        <v>46235</v>
      </c>
      <c r="F4295" t="inlineStr">
        <is>
          <t>CT-e</t>
        </is>
      </c>
      <c r="G4295" t="inlineStr">
        <is>
          <t>000007824</t>
        </is>
      </c>
      <c r="H4295" t="inlineStr">
        <is>
          <t>R&amp;R TRANSPORTE E LOGISTICA</t>
        </is>
      </c>
      <c r="J4295" s="29" t="n">
        <v>557.66</v>
      </c>
      <c r="K4295" s="29">
        <f>(1-ISNUMBER(SEARCH("556",M4295)))*(O4295*SUMIFS(Premissas!$C$5:$C$44,Premissas!$A$5:$A$44,$A4295,Premissas!$B$5:$B$44,$B4295)+P4295*SUMIFS(Premissas!$D$5:$D$44,Premissas!$A$5:$A$44,$A4295,Premissas!$B$5:$B$44,$B4295))+R4295*SUMIFS(Premissas!$E$5:$E$44,Premissas!$A$5:$A$44,$A4295,Premissas!$B$5:$B$44,$B4295)+S4295*SUMIFS(Premissas!$F$5:$F$44,Premissas!$A$5:$A$44,$A4295,Premissas!$B$5:$B$44,$B4295)</f>
        <v/>
      </c>
      <c r="L4295" s="29">
        <f>J4295-K4295</f>
        <v/>
      </c>
      <c r="M4295" t="inlineStr">
        <is>
          <t>2.350</t>
        </is>
      </c>
      <c r="N4295" t="inlineStr">
        <is>
          <t>Modalidade: 0 - Por conta do remetente | Parte: DISTRIPACK DISTRIBUIDORA DE EMBALAGENS LTDA (11.043.375/0002-36)</t>
        </is>
      </c>
      <c r="O4295" s="29" t="n">
        <v>0</v>
      </c>
      <c r="P4295" s="29" t="n">
        <v>0</v>
      </c>
      <c r="Q4295" s="29" t="n">
        <v>0</v>
      </c>
      <c r="R4295" s="29" t="n">
        <v>0</v>
      </c>
      <c r="S4295" s="29" t="n">
        <v>0</v>
      </c>
      <c r="T4295" t="inlineStr">
        <is>
          <t>25260826975620000130570010000078241001802068</t>
        </is>
      </c>
      <c r="U4295" t="inlineStr">
        <is>
          <t>Não</t>
        </is>
      </c>
    </row>
    <row r="4296">
      <c r="A4296" t="inlineStr">
        <is>
          <t>Frete de venda</t>
        </is>
      </c>
      <c r="B4296" t="inlineStr">
        <is>
          <t>2.01.02 Frete sobre Vendas</t>
        </is>
      </c>
      <c r="C4296" s="30" t="n">
        <v>46235</v>
      </c>
      <c r="D4296" t="inlineStr">
        <is>
          <t>Em 2026</t>
        </is>
      </c>
      <c r="E4296" s="28" t="n">
        <v>46235</v>
      </c>
      <c r="F4296" t="inlineStr">
        <is>
          <t>CT-e</t>
        </is>
      </c>
      <c r="G4296" t="inlineStr">
        <is>
          <t>000007829</t>
        </is>
      </c>
      <c r="H4296" t="inlineStr">
        <is>
          <t>R&amp;R TRANSPORTE E LOGISTICA</t>
        </is>
      </c>
      <c r="J4296" s="29" t="n">
        <v>37.44</v>
      </c>
      <c r="K4296" s="29">
        <f>(1-ISNUMBER(SEARCH("556",M4296)))*(O4296*SUMIFS(Premissas!$C$5:$C$44,Premissas!$A$5:$A$44,$A4296,Premissas!$B$5:$B$44,$B4296)+P4296*SUMIFS(Premissas!$D$5:$D$44,Premissas!$A$5:$A$44,$A4296,Premissas!$B$5:$B$44,$B4296))+R4296*SUMIFS(Premissas!$E$5:$E$44,Premissas!$A$5:$A$44,$A4296,Premissas!$B$5:$B$44,$B4296)+S4296*SUMIFS(Premissas!$F$5:$F$44,Premissas!$A$5:$A$44,$A4296,Premissas!$B$5:$B$44,$B4296)</f>
        <v/>
      </c>
      <c r="L4296" s="29">
        <f>J4296-K4296</f>
        <v/>
      </c>
      <c r="M4296" t="inlineStr">
        <is>
          <t>2.350</t>
        </is>
      </c>
      <c r="N4296" t="inlineStr">
        <is>
          <t>Modalidade: 0 - Por conta do remetente | Parte: PEREIRA e FERREIRA COMERCIO DE DOCES LTDA (16.542.328/0001-70)</t>
        </is>
      </c>
      <c r="O4296" s="29" t="n">
        <v>0</v>
      </c>
      <c r="P4296" s="29" t="n">
        <v>0</v>
      </c>
      <c r="Q4296" s="29" t="n">
        <v>0</v>
      </c>
      <c r="R4296" s="29" t="n">
        <v>0</v>
      </c>
      <c r="S4296" s="29" t="n">
        <v>0</v>
      </c>
      <c r="T4296" t="inlineStr">
        <is>
          <t>25260826975620000130570010000078291001801734</t>
        </is>
      </c>
      <c r="U4296" t="inlineStr">
        <is>
          <t>Não</t>
        </is>
      </c>
    </row>
    <row r="4297">
      <c r="A4297" t="inlineStr">
        <is>
          <t>Frete de venda</t>
        </is>
      </c>
      <c r="B4297" t="inlineStr">
        <is>
          <t>2.01.02 Frete sobre Vendas</t>
        </is>
      </c>
      <c r="C4297" s="30" t="n">
        <v>46235</v>
      </c>
      <c r="D4297" t="inlineStr">
        <is>
          <t>Em 2026</t>
        </is>
      </c>
      <c r="E4297" s="28" t="n">
        <v>46235</v>
      </c>
      <c r="F4297" t="inlineStr">
        <is>
          <t>CT-e</t>
        </is>
      </c>
      <c r="G4297" t="inlineStr">
        <is>
          <t>000007830</t>
        </is>
      </c>
      <c r="H4297" t="inlineStr">
        <is>
          <t>R&amp;R TRANSPORTE E LOGISTICA</t>
        </is>
      </c>
      <c r="J4297" s="29" t="n">
        <v>37.44</v>
      </c>
      <c r="K4297" s="29">
        <f>(1-ISNUMBER(SEARCH("556",M4297)))*(O4297*SUMIFS(Premissas!$C$5:$C$44,Premissas!$A$5:$A$44,$A4297,Premissas!$B$5:$B$44,$B4297)+P4297*SUMIFS(Premissas!$D$5:$D$44,Premissas!$A$5:$A$44,$A4297,Premissas!$B$5:$B$44,$B4297))+R4297*SUMIFS(Premissas!$E$5:$E$44,Premissas!$A$5:$A$44,$A4297,Premissas!$B$5:$B$44,$B4297)+S4297*SUMIFS(Premissas!$F$5:$F$44,Premissas!$A$5:$A$44,$A4297,Premissas!$B$5:$B$44,$B4297)</f>
        <v/>
      </c>
      <c r="L4297" s="29">
        <f>J4297-K4297</f>
        <v/>
      </c>
      <c r="M4297" t="inlineStr">
        <is>
          <t>2.350</t>
        </is>
      </c>
      <c r="N4297" t="inlineStr">
        <is>
          <t>Modalidade: 0 - Por conta do remetente | Parte: PARAHIBA EMBALAGENS LTDA (20.436.827/0001-50)</t>
        </is>
      </c>
      <c r="O4297" s="29" t="n">
        <v>0</v>
      </c>
      <c r="P4297" s="29" t="n">
        <v>0</v>
      </c>
      <c r="Q4297" s="29" t="n">
        <v>0</v>
      </c>
      <c r="R4297" s="29" t="n">
        <v>0</v>
      </c>
      <c r="S4297" s="29" t="n">
        <v>0</v>
      </c>
      <c r="T4297" t="inlineStr">
        <is>
          <t>25260826975620000130570010000078301001501812</t>
        </is>
      </c>
      <c r="U4297" t="inlineStr">
        <is>
          <t>Não</t>
        </is>
      </c>
    </row>
    <row r="4298">
      <c r="A4298" t="inlineStr">
        <is>
          <t>Frete de venda</t>
        </is>
      </c>
      <c r="B4298" t="inlineStr">
        <is>
          <t>2.01.02 Frete sobre Vendas</t>
        </is>
      </c>
      <c r="C4298" s="30" t="n">
        <v>46235</v>
      </c>
      <c r="D4298" t="inlineStr">
        <is>
          <t>Em 2026</t>
        </is>
      </c>
      <c r="E4298" s="28" t="n">
        <v>46235</v>
      </c>
      <c r="F4298" t="inlineStr">
        <is>
          <t>CT-e</t>
        </is>
      </c>
      <c r="G4298" t="inlineStr">
        <is>
          <t>000007831</t>
        </is>
      </c>
      <c r="H4298" t="inlineStr">
        <is>
          <t>R&amp;R TRANSPORTE E LOGISTICA</t>
        </is>
      </c>
      <c r="J4298" s="29" t="n">
        <v>37.44</v>
      </c>
      <c r="K4298" s="29">
        <f>(1-ISNUMBER(SEARCH("556",M4298)))*(O4298*SUMIFS(Premissas!$C$5:$C$44,Premissas!$A$5:$A$44,$A4298,Premissas!$B$5:$B$44,$B4298)+P4298*SUMIFS(Premissas!$D$5:$D$44,Premissas!$A$5:$A$44,$A4298,Premissas!$B$5:$B$44,$B4298))+R4298*SUMIFS(Premissas!$E$5:$E$44,Premissas!$A$5:$A$44,$A4298,Premissas!$B$5:$B$44,$B4298)+S4298*SUMIFS(Premissas!$F$5:$F$44,Premissas!$A$5:$A$44,$A4298,Premissas!$B$5:$B$44,$B4298)</f>
        <v/>
      </c>
      <c r="L4298" s="29">
        <f>J4298-K4298</f>
        <v/>
      </c>
      <c r="M4298" t="inlineStr">
        <is>
          <t>2.350</t>
        </is>
      </c>
      <c r="N4298" t="inlineStr">
        <is>
          <t>Modalidade: 0 - Por conta do remetente | Parte: ROSSET EMBALAGENS E PAPELARIA LTDA (50.656.847/0001-05)</t>
        </is>
      </c>
      <c r="O4298" s="29" t="n">
        <v>0</v>
      </c>
      <c r="P4298" s="29" t="n">
        <v>0</v>
      </c>
      <c r="Q4298" s="29" t="n">
        <v>0</v>
      </c>
      <c r="R4298" s="29" t="n">
        <v>0</v>
      </c>
      <c r="S4298" s="29" t="n">
        <v>0</v>
      </c>
      <c r="T4298" t="inlineStr">
        <is>
          <t>25260826975620000130570010000078311001201891</t>
        </is>
      </c>
      <c r="U4298" t="inlineStr">
        <is>
          <t>Não</t>
        </is>
      </c>
    </row>
    <row r="4299">
      <c r="A4299" t="inlineStr">
        <is>
          <t>Frete de venda</t>
        </is>
      </c>
      <c r="B4299" t="inlineStr">
        <is>
          <t>2.01.02 Frete sobre Vendas</t>
        </is>
      </c>
      <c r="C4299" s="30" t="n">
        <v>46235</v>
      </c>
      <c r="D4299" t="inlineStr">
        <is>
          <t>Em 2026</t>
        </is>
      </c>
      <c r="E4299" s="28" t="n">
        <v>46235</v>
      </c>
      <c r="F4299" t="inlineStr">
        <is>
          <t>CT-e</t>
        </is>
      </c>
      <c r="G4299" t="inlineStr">
        <is>
          <t>000007832</t>
        </is>
      </c>
      <c r="H4299" t="inlineStr">
        <is>
          <t>R&amp;R TRANSPORTE E LOGISTICA</t>
        </is>
      </c>
      <c r="J4299" s="29" t="n">
        <v>37.44</v>
      </c>
      <c r="K4299" s="29">
        <f>(1-ISNUMBER(SEARCH("556",M4299)))*(O4299*SUMIFS(Premissas!$C$5:$C$44,Premissas!$A$5:$A$44,$A4299,Premissas!$B$5:$B$44,$B4299)+P4299*SUMIFS(Premissas!$D$5:$D$44,Premissas!$A$5:$A$44,$A4299,Premissas!$B$5:$B$44,$B4299))+R4299*SUMIFS(Premissas!$E$5:$E$44,Premissas!$A$5:$A$44,$A4299,Premissas!$B$5:$B$44,$B4299)+S4299*SUMIFS(Premissas!$F$5:$F$44,Premissas!$A$5:$A$44,$A4299,Premissas!$B$5:$B$44,$B4299)</f>
        <v/>
      </c>
      <c r="L4299" s="29">
        <f>J4299-K4299</f>
        <v/>
      </c>
      <c r="M4299" t="inlineStr">
        <is>
          <t>2.350</t>
        </is>
      </c>
      <c r="N4299" t="inlineStr">
        <is>
          <t>Modalidade: 0 - Por conta do remetente | Parte: JOIA ATACADO DE EMBALAGENS E COM DE ALIMENTOS LTDA (24.505.271/0001-67)</t>
        </is>
      </c>
      <c r="O4299" s="29" t="n">
        <v>0</v>
      </c>
      <c r="P4299" s="29" t="n">
        <v>0</v>
      </c>
      <c r="Q4299" s="29" t="n">
        <v>0</v>
      </c>
      <c r="R4299" s="29" t="n">
        <v>0</v>
      </c>
      <c r="S4299" s="29" t="n">
        <v>0</v>
      </c>
      <c r="T4299" t="inlineStr">
        <is>
          <t>25260826975620000130570010000078321011001973</t>
        </is>
      </c>
      <c r="U4299" t="inlineStr">
        <is>
          <t>Não</t>
        </is>
      </c>
    </row>
    <row r="4300">
      <c r="A4300" t="inlineStr">
        <is>
          <t>Frete de venda</t>
        </is>
      </c>
      <c r="B4300" t="inlineStr">
        <is>
          <t>2.01.02 Frete sobre Vendas</t>
        </is>
      </c>
      <c r="C4300" s="30" t="n">
        <v>46235</v>
      </c>
      <c r="D4300" t="inlineStr">
        <is>
          <t>Em 2026</t>
        </is>
      </c>
      <c r="E4300" s="28" t="n">
        <v>46235</v>
      </c>
      <c r="F4300" t="inlineStr">
        <is>
          <t>CT-e</t>
        </is>
      </c>
      <c r="G4300" t="inlineStr">
        <is>
          <t>000007833</t>
        </is>
      </c>
      <c r="H4300" t="inlineStr">
        <is>
          <t>R&amp;R TRANSPORTE E LOGISTICA</t>
        </is>
      </c>
      <c r="J4300" s="29" t="n">
        <v>37.44</v>
      </c>
      <c r="K4300" s="29">
        <f>(1-ISNUMBER(SEARCH("556",M4300)))*(O4300*SUMIFS(Premissas!$C$5:$C$44,Premissas!$A$5:$A$44,$A4300,Premissas!$B$5:$B$44,$B4300)+P4300*SUMIFS(Premissas!$D$5:$D$44,Premissas!$A$5:$A$44,$A4300,Premissas!$B$5:$B$44,$B4300))+R4300*SUMIFS(Premissas!$E$5:$E$44,Premissas!$A$5:$A$44,$A4300,Premissas!$B$5:$B$44,$B4300)+S4300*SUMIFS(Premissas!$F$5:$F$44,Premissas!$A$5:$A$44,$A4300,Premissas!$B$5:$B$44,$B4300)</f>
        <v/>
      </c>
      <c r="L4300" s="29">
        <f>J4300-K4300</f>
        <v/>
      </c>
      <c r="M4300" t="inlineStr">
        <is>
          <t>2.350</t>
        </is>
      </c>
      <c r="N4300" t="inlineStr">
        <is>
          <t>Modalidade: 0 - Por conta do remetente | Parte: Embalagens Campoplastic Ltda (05.060.677/0001-39)</t>
        </is>
      </c>
      <c r="O4300" s="29" t="n">
        <v>0</v>
      </c>
      <c r="P4300" s="29" t="n">
        <v>0</v>
      </c>
      <c r="Q4300" s="29" t="n">
        <v>0</v>
      </c>
      <c r="R4300" s="29" t="n">
        <v>0</v>
      </c>
      <c r="S4300" s="29" t="n">
        <v>0</v>
      </c>
      <c r="T4300" t="inlineStr">
        <is>
          <t>25260826975620000130570010000078331001702054</t>
        </is>
      </c>
      <c r="U4300" t="inlineStr">
        <is>
          <t>Não</t>
        </is>
      </c>
    </row>
    <row r="4301">
      <c r="A4301" t="inlineStr">
        <is>
          <t>Frete de venda</t>
        </is>
      </c>
      <c r="B4301" t="inlineStr">
        <is>
          <t>2.01.02 Frete sobre Vendas</t>
        </is>
      </c>
      <c r="C4301" s="30" t="n">
        <v>46235</v>
      </c>
      <c r="D4301" t="inlineStr">
        <is>
          <t>Em 2026</t>
        </is>
      </c>
      <c r="E4301" s="28" t="n">
        <v>46235</v>
      </c>
      <c r="F4301" t="inlineStr">
        <is>
          <t>CT-e</t>
        </is>
      </c>
      <c r="G4301" t="inlineStr">
        <is>
          <t>000007834</t>
        </is>
      </c>
      <c r="H4301" t="inlineStr">
        <is>
          <t>R&amp;R TRANSPORTE E LOGISTICA</t>
        </is>
      </c>
      <c r="J4301" s="29" t="n">
        <v>37.44</v>
      </c>
      <c r="K4301" s="29">
        <f>(1-ISNUMBER(SEARCH("556",M4301)))*(O4301*SUMIFS(Premissas!$C$5:$C$44,Premissas!$A$5:$A$44,$A4301,Premissas!$B$5:$B$44,$B4301)+P4301*SUMIFS(Premissas!$D$5:$D$44,Premissas!$A$5:$A$44,$A4301,Premissas!$B$5:$B$44,$B4301))+R4301*SUMIFS(Premissas!$E$5:$E$44,Premissas!$A$5:$A$44,$A4301,Premissas!$B$5:$B$44,$B4301)+S4301*SUMIFS(Premissas!$F$5:$F$44,Premissas!$A$5:$A$44,$A4301,Premissas!$B$5:$B$44,$B4301)</f>
        <v/>
      </c>
      <c r="L4301" s="29">
        <f>J4301-K4301</f>
        <v/>
      </c>
      <c r="M4301" t="inlineStr">
        <is>
          <t>2.350</t>
        </is>
      </c>
      <c r="N4301" t="inlineStr">
        <is>
          <t>Modalidade: 0 - Por conta do remetente | Parte: ATACADO NASCAR HIPICA LTDA (04.886.589/0001-28)</t>
        </is>
      </c>
      <c r="O4301" s="29" t="n">
        <v>0</v>
      </c>
      <c r="P4301" s="29" t="n">
        <v>0</v>
      </c>
      <c r="Q4301" s="29" t="n">
        <v>0</v>
      </c>
      <c r="R4301" s="29" t="n">
        <v>0</v>
      </c>
      <c r="S4301" s="29" t="n">
        <v>0</v>
      </c>
      <c r="T4301" t="inlineStr">
        <is>
          <t>25260826975620000130570010000078341001402139</t>
        </is>
      </c>
      <c r="U4301" t="inlineStr">
        <is>
          <t>Não</t>
        </is>
      </c>
    </row>
    <row r="4302">
      <c r="A4302" t="inlineStr">
        <is>
          <t>Frete de venda</t>
        </is>
      </c>
      <c r="B4302" t="inlineStr">
        <is>
          <t>2.01.02 Frete sobre Vendas</t>
        </is>
      </c>
      <c r="C4302" s="30" t="n">
        <v>46235</v>
      </c>
      <c r="D4302" t="inlineStr">
        <is>
          <t>Em 2026</t>
        </is>
      </c>
      <c r="E4302" s="28" t="n">
        <v>46235</v>
      </c>
      <c r="F4302" t="inlineStr">
        <is>
          <t>CT-e</t>
        </is>
      </c>
      <c r="G4302" t="inlineStr">
        <is>
          <t>000007835</t>
        </is>
      </c>
      <c r="H4302" t="inlineStr">
        <is>
          <t>R&amp;R TRANSPORTE E LOGISTICA</t>
        </is>
      </c>
      <c r="J4302" s="29" t="n">
        <v>37.44</v>
      </c>
      <c r="K4302" s="29">
        <f>(1-ISNUMBER(SEARCH("556",M4302)))*(O4302*SUMIFS(Premissas!$C$5:$C$44,Premissas!$A$5:$A$44,$A4302,Premissas!$B$5:$B$44,$B4302)+P4302*SUMIFS(Premissas!$D$5:$D$44,Premissas!$A$5:$A$44,$A4302,Premissas!$B$5:$B$44,$B4302))+R4302*SUMIFS(Premissas!$E$5:$E$44,Premissas!$A$5:$A$44,$A4302,Premissas!$B$5:$B$44,$B4302)+S4302*SUMIFS(Premissas!$F$5:$F$44,Premissas!$A$5:$A$44,$A4302,Premissas!$B$5:$B$44,$B4302)</f>
        <v/>
      </c>
      <c r="L4302" s="29">
        <f>J4302-K4302</f>
        <v/>
      </c>
      <c r="M4302" t="inlineStr">
        <is>
          <t>2.350</t>
        </is>
      </c>
      <c r="N4302" t="inlineStr">
        <is>
          <t>Modalidade: 0 - Por conta do remetente | Parte: D e J COMERCIAL DISTRIBUIDORA DE EMBALAGENS LTDA (49.035.932/0001-69)</t>
        </is>
      </c>
      <c r="O4302" s="29" t="n">
        <v>0</v>
      </c>
      <c r="P4302" s="29" t="n">
        <v>0</v>
      </c>
      <c r="Q4302" s="29" t="n">
        <v>0</v>
      </c>
      <c r="R4302" s="29" t="n">
        <v>0</v>
      </c>
      <c r="S4302" s="29" t="n">
        <v>0</v>
      </c>
      <c r="T4302" t="inlineStr">
        <is>
          <t>25260826975620000130570010000078351000170843</t>
        </is>
      </c>
      <c r="U4302" t="inlineStr">
        <is>
          <t>Não</t>
        </is>
      </c>
    </row>
    <row r="4303">
      <c r="A4303" t="inlineStr">
        <is>
          <t>Frete de venda</t>
        </is>
      </c>
      <c r="B4303" t="inlineStr">
        <is>
          <t>2.01.02 Frete sobre Vendas</t>
        </is>
      </c>
      <c r="C4303" s="30" t="n">
        <v>46235</v>
      </c>
      <c r="D4303" t="inlineStr">
        <is>
          <t>Em 2026</t>
        </is>
      </c>
      <c r="E4303" s="28" t="n">
        <v>46235</v>
      </c>
      <c r="F4303" t="inlineStr">
        <is>
          <t>CT-e</t>
        </is>
      </c>
      <c r="G4303" t="inlineStr">
        <is>
          <t>000007836</t>
        </is>
      </c>
      <c r="H4303" t="inlineStr">
        <is>
          <t>R&amp;R TRANSPORTE E LOGISTICA</t>
        </is>
      </c>
      <c r="J4303" s="29" t="n">
        <v>37.44</v>
      </c>
      <c r="K4303" s="29">
        <f>(1-ISNUMBER(SEARCH("556",M4303)))*(O4303*SUMIFS(Premissas!$C$5:$C$44,Premissas!$A$5:$A$44,$A4303,Premissas!$B$5:$B$44,$B4303)+P4303*SUMIFS(Premissas!$D$5:$D$44,Premissas!$A$5:$A$44,$A4303,Premissas!$B$5:$B$44,$B4303))+R4303*SUMIFS(Premissas!$E$5:$E$44,Premissas!$A$5:$A$44,$A4303,Premissas!$B$5:$B$44,$B4303)+S4303*SUMIFS(Premissas!$F$5:$F$44,Premissas!$A$5:$A$44,$A4303,Premissas!$B$5:$B$44,$B4303)</f>
        <v/>
      </c>
      <c r="L4303" s="29">
        <f>J4303-K4303</f>
        <v/>
      </c>
      <c r="M4303" t="inlineStr">
        <is>
          <t>2.350</t>
        </is>
      </c>
      <c r="N4303" t="inlineStr">
        <is>
          <t>Modalidade: 0 - Por conta do remetente | Parte: KR DISTRIBUIDORA LTDA (22.108.289/0001-08)</t>
        </is>
      </c>
      <c r="O4303" s="29" t="n">
        <v>0</v>
      </c>
      <c r="P4303" s="29" t="n">
        <v>0</v>
      </c>
      <c r="Q4303" s="29" t="n">
        <v>0</v>
      </c>
      <c r="R4303" s="29" t="n">
        <v>0</v>
      </c>
      <c r="S4303" s="29" t="n">
        <v>0</v>
      </c>
      <c r="T4303" t="inlineStr">
        <is>
          <t>25260826975620000130570010000078361000140925</t>
        </is>
      </c>
      <c r="U4303" t="inlineStr">
        <is>
          <t>Não</t>
        </is>
      </c>
    </row>
    <row r="4304">
      <c r="A4304" t="inlineStr">
        <is>
          <t>Frete de venda</t>
        </is>
      </c>
      <c r="B4304" t="inlineStr">
        <is>
          <t>2.01.02 Frete sobre Vendas</t>
        </is>
      </c>
      <c r="C4304" s="30" t="n">
        <v>46235</v>
      </c>
      <c r="D4304" t="inlineStr">
        <is>
          <t>Em 2026</t>
        </is>
      </c>
      <c r="E4304" s="28" t="n">
        <v>46235</v>
      </c>
      <c r="F4304" t="inlineStr">
        <is>
          <t>CT-e</t>
        </is>
      </c>
      <c r="G4304" t="inlineStr">
        <is>
          <t>000007837</t>
        </is>
      </c>
      <c r="H4304" t="inlineStr">
        <is>
          <t>R&amp;R TRANSPORTE E LOGISTICA</t>
        </is>
      </c>
      <c r="J4304" s="29" t="n">
        <v>37.44</v>
      </c>
      <c r="K4304" s="29">
        <f>(1-ISNUMBER(SEARCH("556",M4304)))*(O4304*SUMIFS(Premissas!$C$5:$C$44,Premissas!$A$5:$A$44,$A4304,Premissas!$B$5:$B$44,$B4304)+P4304*SUMIFS(Premissas!$D$5:$D$44,Premissas!$A$5:$A$44,$A4304,Premissas!$B$5:$B$44,$B4304))+R4304*SUMIFS(Premissas!$E$5:$E$44,Premissas!$A$5:$A$44,$A4304,Premissas!$B$5:$B$44,$B4304)+S4304*SUMIFS(Premissas!$F$5:$F$44,Premissas!$A$5:$A$44,$A4304,Premissas!$B$5:$B$44,$B4304)</f>
        <v/>
      </c>
      <c r="L4304" s="29">
        <f>J4304-K4304</f>
        <v/>
      </c>
      <c r="M4304" t="inlineStr">
        <is>
          <t>2.350</t>
        </is>
      </c>
      <c r="N4304" t="inlineStr">
        <is>
          <t>Modalidade: 0 - Por conta do remetente | Parte: SORVEPANI- COMERCIO DE PRODUTOS DE PANIFICACAO E SORVETERIA (10.927.794/0001-97)</t>
        </is>
      </c>
      <c r="O4304" s="29" t="n">
        <v>0</v>
      </c>
      <c r="P4304" s="29" t="n">
        <v>0</v>
      </c>
      <c r="Q4304" s="29" t="n">
        <v>0</v>
      </c>
      <c r="R4304" s="29" t="n">
        <v>0</v>
      </c>
      <c r="S4304" s="29" t="n">
        <v>0</v>
      </c>
      <c r="T4304" t="inlineStr">
        <is>
          <t>25260826975620000130570010000078371001101009</t>
        </is>
      </c>
      <c r="U4304" t="inlineStr">
        <is>
          <t>Não</t>
        </is>
      </c>
    </row>
    <row r="4305">
      <c r="A4305" t="inlineStr">
        <is>
          <t>Frete de venda</t>
        </is>
      </c>
      <c r="B4305" t="inlineStr">
        <is>
          <t>2.01.02 Frete sobre Vendas</t>
        </is>
      </c>
      <c r="C4305" s="30" t="n">
        <v>46235</v>
      </c>
      <c r="D4305" t="inlineStr">
        <is>
          <t>Em 2026</t>
        </is>
      </c>
      <c r="E4305" s="28" t="n">
        <v>46235</v>
      </c>
      <c r="F4305" t="inlineStr">
        <is>
          <t>CT-e</t>
        </is>
      </c>
      <c r="G4305" t="inlineStr">
        <is>
          <t>000007838</t>
        </is>
      </c>
      <c r="H4305" t="inlineStr">
        <is>
          <t>R&amp;R TRANSPORTE E LOGISTICA</t>
        </is>
      </c>
      <c r="J4305" s="29" t="n">
        <v>37.44</v>
      </c>
      <c r="K4305" s="29">
        <f>(1-ISNUMBER(SEARCH("556",M4305)))*(O4305*SUMIFS(Premissas!$C$5:$C$44,Premissas!$A$5:$A$44,$A4305,Premissas!$B$5:$B$44,$B4305)+P4305*SUMIFS(Premissas!$D$5:$D$44,Premissas!$A$5:$A$44,$A4305,Premissas!$B$5:$B$44,$B4305))+R4305*SUMIFS(Premissas!$E$5:$E$44,Premissas!$A$5:$A$44,$A4305,Premissas!$B$5:$B$44,$B4305)+S4305*SUMIFS(Premissas!$F$5:$F$44,Premissas!$A$5:$A$44,$A4305,Premissas!$B$5:$B$44,$B4305)</f>
        <v/>
      </c>
      <c r="L4305" s="29">
        <f>J4305-K4305</f>
        <v/>
      </c>
      <c r="M4305" t="inlineStr">
        <is>
          <t>2.350</t>
        </is>
      </c>
      <c r="N4305" t="inlineStr">
        <is>
          <t>Modalidade: 0 - Por conta do remetente | Parte: PG MULTIPACK COMERCIO DE EMBALAGENS LTDA (66.659.580/0001-31)</t>
        </is>
      </c>
      <c r="O4305" s="29" t="n">
        <v>0</v>
      </c>
      <c r="P4305" s="29" t="n">
        <v>0</v>
      </c>
      <c r="Q4305" s="29" t="n">
        <v>0</v>
      </c>
      <c r="R4305" s="29" t="n">
        <v>0</v>
      </c>
      <c r="S4305" s="29" t="n">
        <v>0</v>
      </c>
      <c r="T4305" t="inlineStr">
        <is>
          <t>25260826975620000130570010000078381001901088</t>
        </is>
      </c>
      <c r="U4305" t="inlineStr">
        <is>
          <t>Não</t>
        </is>
      </c>
    </row>
    <row r="4306">
      <c r="A4306" t="inlineStr">
        <is>
          <t>Frete de venda</t>
        </is>
      </c>
      <c r="B4306" t="inlineStr">
        <is>
          <t>2.01.02 Frete sobre Vendas</t>
        </is>
      </c>
      <c r="C4306" s="30" t="n">
        <v>46235</v>
      </c>
      <c r="D4306" t="inlineStr">
        <is>
          <t>Em 2026</t>
        </is>
      </c>
      <c r="E4306" s="28" t="n">
        <v>46235</v>
      </c>
      <c r="F4306" t="inlineStr">
        <is>
          <t>CT-e</t>
        </is>
      </c>
      <c r="G4306" t="inlineStr">
        <is>
          <t>000007839</t>
        </is>
      </c>
      <c r="H4306" t="inlineStr">
        <is>
          <t>R&amp;R TRANSPORTE E LOGISTICA</t>
        </is>
      </c>
      <c r="J4306" s="29" t="n">
        <v>37.44</v>
      </c>
      <c r="K4306" s="29">
        <f>(1-ISNUMBER(SEARCH("556",M4306)))*(O4306*SUMIFS(Premissas!$C$5:$C$44,Premissas!$A$5:$A$44,$A4306,Premissas!$B$5:$B$44,$B4306)+P4306*SUMIFS(Premissas!$D$5:$D$44,Premissas!$A$5:$A$44,$A4306,Premissas!$B$5:$B$44,$B4306))+R4306*SUMIFS(Premissas!$E$5:$E$44,Premissas!$A$5:$A$44,$A4306,Premissas!$B$5:$B$44,$B4306)+S4306*SUMIFS(Premissas!$F$5:$F$44,Premissas!$A$5:$A$44,$A4306,Premissas!$B$5:$B$44,$B4306)</f>
        <v/>
      </c>
      <c r="L4306" s="29">
        <f>J4306-K4306</f>
        <v/>
      </c>
      <c r="M4306" t="inlineStr">
        <is>
          <t>2.350</t>
        </is>
      </c>
      <c r="N4306" t="inlineStr">
        <is>
          <t>Modalidade: 0 - Por conta do remetente | Parte: TRIPACK DISTRIBUIDORA LTDA (35.313.349/0001-68)</t>
        </is>
      </c>
      <c r="O4306" s="29" t="n">
        <v>0</v>
      </c>
      <c r="P4306" s="29" t="n">
        <v>0</v>
      </c>
      <c r="Q4306" s="29" t="n">
        <v>0</v>
      </c>
      <c r="R4306" s="29" t="n">
        <v>0</v>
      </c>
      <c r="S4306" s="29" t="n">
        <v>0</v>
      </c>
      <c r="T4306" t="inlineStr">
        <is>
          <t>25260826975620000130570010000078391001601162</t>
        </is>
      </c>
      <c r="U4306" t="inlineStr">
        <is>
          <t>Não</t>
        </is>
      </c>
    </row>
    <row r="4307">
      <c r="A4307" t="inlineStr">
        <is>
          <t>Frete de venda</t>
        </is>
      </c>
      <c r="B4307" t="inlineStr">
        <is>
          <t>2.01.02 Frete sobre Vendas</t>
        </is>
      </c>
      <c r="C4307" s="30" t="n">
        <v>46235</v>
      </c>
      <c r="D4307" t="inlineStr">
        <is>
          <t>Em 2026</t>
        </is>
      </c>
      <c r="E4307" s="28" t="n">
        <v>46235</v>
      </c>
      <c r="F4307" t="inlineStr">
        <is>
          <t>CT-e</t>
        </is>
      </c>
      <c r="G4307" t="inlineStr">
        <is>
          <t>000007840</t>
        </is>
      </c>
      <c r="H4307" t="inlineStr">
        <is>
          <t>R&amp;R TRANSPORTE E LOGISTICA</t>
        </is>
      </c>
      <c r="J4307" s="29" t="n">
        <v>37.44</v>
      </c>
      <c r="K4307" s="29">
        <f>(1-ISNUMBER(SEARCH("556",M4307)))*(O4307*SUMIFS(Premissas!$C$5:$C$44,Premissas!$A$5:$A$44,$A4307,Premissas!$B$5:$B$44,$B4307)+P4307*SUMIFS(Premissas!$D$5:$D$44,Premissas!$A$5:$A$44,$A4307,Premissas!$B$5:$B$44,$B4307))+R4307*SUMIFS(Premissas!$E$5:$E$44,Premissas!$A$5:$A$44,$A4307,Premissas!$B$5:$B$44,$B4307)+S4307*SUMIFS(Premissas!$F$5:$F$44,Premissas!$A$5:$A$44,$A4307,Premissas!$B$5:$B$44,$B4307)</f>
        <v/>
      </c>
      <c r="L4307" s="29">
        <f>J4307-K4307</f>
        <v/>
      </c>
      <c r="M4307" t="inlineStr">
        <is>
          <t>2.350</t>
        </is>
      </c>
      <c r="N4307" t="inlineStr">
        <is>
          <t>Modalidade: 0 - Por conta do remetente | Parte: HJM DISTRIBUICAO DE FRIOS LTDA (15.491.554/0001-06)</t>
        </is>
      </c>
      <c r="O4307" s="29" t="n">
        <v>0</v>
      </c>
      <c r="P4307" s="29" t="n">
        <v>0</v>
      </c>
      <c r="Q4307" s="29" t="n">
        <v>0</v>
      </c>
      <c r="R4307" s="29" t="n">
        <v>0</v>
      </c>
      <c r="S4307" s="29" t="n">
        <v>0</v>
      </c>
      <c r="T4307" t="inlineStr">
        <is>
          <t>25260826975620000130570010000078401001301240</t>
        </is>
      </c>
      <c r="U4307" t="inlineStr">
        <is>
          <t>Não</t>
        </is>
      </c>
    </row>
    <row r="4308">
      <c r="A4308" t="inlineStr">
        <is>
          <t>Frete de venda</t>
        </is>
      </c>
      <c r="B4308" t="inlineStr">
        <is>
          <t>2.01.02 Frete sobre Vendas</t>
        </is>
      </c>
      <c r="C4308" s="30" t="n">
        <v>46235</v>
      </c>
      <c r="D4308" t="inlineStr">
        <is>
          <t>Em 2026</t>
        </is>
      </c>
      <c r="E4308" s="28" t="n">
        <v>46235</v>
      </c>
      <c r="F4308" t="inlineStr">
        <is>
          <t>CT-e</t>
        </is>
      </c>
      <c r="G4308" t="inlineStr">
        <is>
          <t>000007841</t>
        </is>
      </c>
      <c r="H4308" t="inlineStr">
        <is>
          <t>R&amp;R TRANSPORTE E LOGISTICA</t>
        </is>
      </c>
      <c r="J4308" s="29" t="n">
        <v>37.44</v>
      </c>
      <c r="K4308" s="29">
        <f>(1-ISNUMBER(SEARCH("556",M4308)))*(O4308*SUMIFS(Premissas!$C$5:$C$44,Premissas!$A$5:$A$44,$A4308,Premissas!$B$5:$B$44,$B4308)+P4308*SUMIFS(Premissas!$D$5:$D$44,Premissas!$A$5:$A$44,$A4308,Premissas!$B$5:$B$44,$B4308))+R4308*SUMIFS(Premissas!$E$5:$E$44,Premissas!$A$5:$A$44,$A4308,Premissas!$B$5:$B$44,$B4308)+S4308*SUMIFS(Premissas!$F$5:$F$44,Premissas!$A$5:$A$44,$A4308,Premissas!$B$5:$B$44,$B4308)</f>
        <v/>
      </c>
      <c r="L4308" s="29">
        <f>J4308-K4308</f>
        <v/>
      </c>
      <c r="M4308" t="inlineStr">
        <is>
          <t>2.350</t>
        </is>
      </c>
      <c r="N4308" t="inlineStr">
        <is>
          <t>Modalidade: 0 - Por conta do remetente | Parte: BEV DISTRIBUIDORA LTDA (54.949.786/0001-17)</t>
        </is>
      </c>
      <c r="O4308" s="29" t="n">
        <v>0</v>
      </c>
      <c r="P4308" s="29" t="n">
        <v>0</v>
      </c>
      <c r="Q4308" s="29" t="n">
        <v>0</v>
      </c>
      <c r="R4308" s="29" t="n">
        <v>0</v>
      </c>
      <c r="S4308" s="29" t="n">
        <v>0</v>
      </c>
      <c r="T4308" t="inlineStr">
        <is>
          <t>25260826975620000130570010000078411000101326</t>
        </is>
      </c>
      <c r="U4308" t="inlineStr">
        <is>
          <t>Não</t>
        </is>
      </c>
    </row>
    <row r="4309">
      <c r="A4309" t="inlineStr">
        <is>
          <t>Frete de venda</t>
        </is>
      </c>
      <c r="B4309" t="inlineStr">
        <is>
          <t>2.01.02 Frete sobre Vendas</t>
        </is>
      </c>
      <c r="C4309" s="30" t="n">
        <v>46235</v>
      </c>
      <c r="D4309" t="inlineStr">
        <is>
          <t>Em 2026</t>
        </is>
      </c>
      <c r="E4309" s="28" t="n">
        <v>46235</v>
      </c>
      <c r="F4309" t="inlineStr">
        <is>
          <t>CT-e</t>
        </is>
      </c>
      <c r="G4309" t="inlineStr">
        <is>
          <t>000007842</t>
        </is>
      </c>
      <c r="H4309" t="inlineStr">
        <is>
          <t>R&amp;R TRANSPORTE E LOGISTICA</t>
        </is>
      </c>
      <c r="J4309" s="29" t="n">
        <v>37.44</v>
      </c>
      <c r="K4309" s="29">
        <f>(1-ISNUMBER(SEARCH("556",M4309)))*(O4309*SUMIFS(Premissas!$C$5:$C$44,Premissas!$A$5:$A$44,$A4309,Premissas!$B$5:$B$44,$B4309)+P4309*SUMIFS(Premissas!$D$5:$D$44,Premissas!$A$5:$A$44,$A4309,Premissas!$B$5:$B$44,$B4309))+R4309*SUMIFS(Premissas!$E$5:$E$44,Premissas!$A$5:$A$44,$A4309,Premissas!$B$5:$B$44,$B4309)+S4309*SUMIFS(Premissas!$F$5:$F$44,Premissas!$A$5:$A$44,$A4309,Premissas!$B$5:$B$44,$B4309)</f>
        <v/>
      </c>
      <c r="L4309" s="29">
        <f>J4309-K4309</f>
        <v/>
      </c>
      <c r="M4309" t="inlineStr">
        <is>
          <t>2.350</t>
        </is>
      </c>
      <c r="N4309" t="inlineStr">
        <is>
          <t>Modalidade: 0 - Por conta do remetente | Parte: FIBRASIL COMERCIAL LTDA (16.697.552/0001-30)</t>
        </is>
      </c>
      <c r="O4309" s="29" t="n">
        <v>0</v>
      </c>
      <c r="P4309" s="29" t="n">
        <v>0</v>
      </c>
      <c r="Q4309" s="29" t="n">
        <v>0</v>
      </c>
      <c r="R4309" s="29" t="n">
        <v>0</v>
      </c>
      <c r="S4309" s="29" t="n">
        <v>0</v>
      </c>
      <c r="T4309" t="inlineStr">
        <is>
          <t>25260826975620000130570010000078421001801400</t>
        </is>
      </c>
      <c r="U4309" t="inlineStr">
        <is>
          <t>Não</t>
        </is>
      </c>
    </row>
    <row r="4310">
      <c r="A4310" t="inlineStr">
        <is>
          <t>Frete de venda</t>
        </is>
      </c>
      <c r="B4310" t="inlineStr">
        <is>
          <t>2.01.02 Frete sobre Vendas</t>
        </is>
      </c>
      <c r="C4310" s="30" t="n">
        <v>46235</v>
      </c>
      <c r="D4310" t="inlineStr">
        <is>
          <t>Em 2026</t>
        </is>
      </c>
      <c r="E4310" s="28" t="n">
        <v>46235</v>
      </c>
      <c r="F4310" t="inlineStr">
        <is>
          <t>CT-e</t>
        </is>
      </c>
      <c r="G4310" t="inlineStr">
        <is>
          <t>000007843</t>
        </is>
      </c>
      <c r="H4310" t="inlineStr">
        <is>
          <t>R&amp;R TRANSPORTE E LOGISTICA</t>
        </is>
      </c>
      <c r="J4310" s="29" t="n">
        <v>37.44</v>
      </c>
      <c r="K4310" s="29">
        <f>(1-ISNUMBER(SEARCH("556",M4310)))*(O4310*SUMIFS(Premissas!$C$5:$C$44,Premissas!$A$5:$A$44,$A4310,Premissas!$B$5:$B$44,$B4310)+P4310*SUMIFS(Premissas!$D$5:$D$44,Premissas!$A$5:$A$44,$A4310,Premissas!$B$5:$B$44,$B4310))+R4310*SUMIFS(Premissas!$E$5:$E$44,Premissas!$A$5:$A$44,$A4310,Premissas!$B$5:$B$44,$B4310)+S4310*SUMIFS(Premissas!$F$5:$F$44,Premissas!$A$5:$A$44,$A4310,Premissas!$B$5:$B$44,$B4310)</f>
        <v/>
      </c>
      <c r="L4310" s="29">
        <f>J4310-K4310</f>
        <v/>
      </c>
      <c r="M4310" t="inlineStr">
        <is>
          <t>2.350</t>
        </is>
      </c>
      <c r="N4310" t="inlineStr">
        <is>
          <t>Modalidade: 0 - Por conta do remetente | Parte: GOL COMERCIO VAREJISTA DE EMBALAGENS LTDA (38.304.923/0001-00)</t>
        </is>
      </c>
      <c r="O4310" s="29" t="n">
        <v>0</v>
      </c>
      <c r="P4310" s="29" t="n">
        <v>0</v>
      </c>
      <c r="Q4310" s="29" t="n">
        <v>0</v>
      </c>
      <c r="R4310" s="29" t="n">
        <v>0</v>
      </c>
      <c r="S4310" s="29" t="n">
        <v>0</v>
      </c>
      <c r="T4310" t="inlineStr">
        <is>
          <t>25260826975620000130570010000078431001501489</t>
        </is>
      </c>
      <c r="U4310" t="inlineStr">
        <is>
          <t>Não</t>
        </is>
      </c>
    </row>
    <row r="4311">
      <c r="A4311" t="inlineStr">
        <is>
          <t>Frete de venda</t>
        </is>
      </c>
      <c r="B4311" t="inlineStr">
        <is>
          <t>2.01.02 Frete sobre Vendas</t>
        </is>
      </c>
      <c r="C4311" s="30" t="n">
        <v>46235</v>
      </c>
      <c r="D4311" t="inlineStr">
        <is>
          <t>Em 2026</t>
        </is>
      </c>
      <c r="E4311" s="28" t="n">
        <v>46235</v>
      </c>
      <c r="F4311" t="inlineStr">
        <is>
          <t>CT-e</t>
        </is>
      </c>
      <c r="G4311" t="inlineStr">
        <is>
          <t>000007844</t>
        </is>
      </c>
      <c r="H4311" t="inlineStr">
        <is>
          <t>R&amp;R TRANSPORTE E LOGISTICA</t>
        </is>
      </c>
      <c r="J4311" s="29" t="n">
        <v>37.44</v>
      </c>
      <c r="K4311" s="29">
        <f>(1-ISNUMBER(SEARCH("556",M4311)))*(O4311*SUMIFS(Premissas!$C$5:$C$44,Premissas!$A$5:$A$44,$A4311,Premissas!$B$5:$B$44,$B4311)+P4311*SUMIFS(Premissas!$D$5:$D$44,Premissas!$A$5:$A$44,$A4311,Premissas!$B$5:$B$44,$B4311))+R4311*SUMIFS(Premissas!$E$5:$E$44,Premissas!$A$5:$A$44,$A4311,Premissas!$B$5:$B$44,$B4311)+S4311*SUMIFS(Premissas!$F$5:$F$44,Premissas!$A$5:$A$44,$A4311,Premissas!$B$5:$B$44,$B4311)</f>
        <v/>
      </c>
      <c r="L4311" s="29">
        <f>J4311-K4311</f>
        <v/>
      </c>
      <c r="M4311" t="inlineStr">
        <is>
          <t>2.350</t>
        </is>
      </c>
      <c r="N4311" t="inlineStr">
        <is>
          <t>Modalidade: 0 - Por conta do remetente | Parte: RM FRIOS (39.405.968/0001-33)</t>
        </is>
      </c>
      <c r="O4311" s="29" t="n">
        <v>0</v>
      </c>
      <c r="P4311" s="29" t="n">
        <v>0</v>
      </c>
      <c r="Q4311" s="29" t="n">
        <v>0</v>
      </c>
      <c r="R4311" s="29" t="n">
        <v>0</v>
      </c>
      <c r="S4311" s="29" t="n">
        <v>0</v>
      </c>
      <c r="T4311" t="inlineStr">
        <is>
          <t>25260826975620000130570010000078441001201563</t>
        </is>
      </c>
      <c r="U4311" t="inlineStr">
        <is>
          <t>Não</t>
        </is>
      </c>
    </row>
    <row r="4312">
      <c r="A4312" t="inlineStr">
        <is>
          <t>Frete de venda</t>
        </is>
      </c>
      <c r="B4312" t="inlineStr">
        <is>
          <t>2.01.02 Frete sobre Vendas</t>
        </is>
      </c>
      <c r="C4312" s="30" t="n">
        <v>46235</v>
      </c>
      <c r="D4312" t="inlineStr">
        <is>
          <t>Em 2026</t>
        </is>
      </c>
      <c r="E4312" s="28" t="n">
        <v>46235</v>
      </c>
      <c r="F4312" t="inlineStr">
        <is>
          <t>CT-e</t>
        </is>
      </c>
      <c r="G4312" t="inlineStr">
        <is>
          <t>000007845</t>
        </is>
      </c>
      <c r="H4312" t="inlineStr">
        <is>
          <t>R&amp;R TRANSPORTE E LOGISTICA</t>
        </is>
      </c>
      <c r="J4312" s="29" t="n">
        <v>37.44</v>
      </c>
      <c r="K4312" s="29">
        <f>(1-ISNUMBER(SEARCH("556",M4312)))*(O4312*SUMIFS(Premissas!$C$5:$C$44,Premissas!$A$5:$A$44,$A4312,Premissas!$B$5:$B$44,$B4312)+P4312*SUMIFS(Premissas!$D$5:$D$44,Premissas!$A$5:$A$44,$A4312,Premissas!$B$5:$B$44,$B4312))+R4312*SUMIFS(Premissas!$E$5:$E$44,Premissas!$A$5:$A$44,$A4312,Premissas!$B$5:$B$44,$B4312)+S4312*SUMIFS(Premissas!$F$5:$F$44,Premissas!$A$5:$A$44,$A4312,Premissas!$B$5:$B$44,$B4312)</f>
        <v/>
      </c>
      <c r="L4312" s="29">
        <f>J4312-K4312</f>
        <v/>
      </c>
      <c r="M4312" t="inlineStr">
        <is>
          <t>2.350</t>
        </is>
      </c>
      <c r="N4312" t="inlineStr">
        <is>
          <t>Modalidade: 0 - Por conta do remetente | Parte: VASCONCELOS E RIBEIRO COMERCIO LTDA (03.802.334/0001-77)</t>
        </is>
      </c>
      <c r="O4312" s="29" t="n">
        <v>0</v>
      </c>
      <c r="P4312" s="29" t="n">
        <v>0</v>
      </c>
      <c r="Q4312" s="29" t="n">
        <v>0</v>
      </c>
      <c r="R4312" s="29" t="n">
        <v>0</v>
      </c>
      <c r="S4312" s="29" t="n">
        <v>0</v>
      </c>
      <c r="T4312" t="inlineStr">
        <is>
          <t>25260826975620000130570010000078451000130910</t>
        </is>
      </c>
      <c r="U4312" t="inlineStr">
        <is>
          <t>Não</t>
        </is>
      </c>
    </row>
    <row r="4313">
      <c r="A4313" t="inlineStr">
        <is>
          <t>Frete de venda</t>
        </is>
      </c>
      <c r="B4313" t="inlineStr">
        <is>
          <t>2.01.02 Frete sobre Vendas</t>
        </is>
      </c>
      <c r="C4313" s="30" t="n">
        <v>46235</v>
      </c>
      <c r="D4313" t="inlineStr">
        <is>
          <t>Em 2026</t>
        </is>
      </c>
      <c r="E4313" s="28" t="n">
        <v>46235</v>
      </c>
      <c r="F4313" t="inlineStr">
        <is>
          <t>CT-e</t>
        </is>
      </c>
      <c r="G4313" t="inlineStr">
        <is>
          <t>000007846</t>
        </is>
      </c>
      <c r="H4313" t="inlineStr">
        <is>
          <t>R&amp;R TRANSPORTE E LOGISTICA</t>
        </is>
      </c>
      <c r="J4313" s="29" t="n">
        <v>37.44</v>
      </c>
      <c r="K4313" s="29">
        <f>(1-ISNUMBER(SEARCH("556",M4313)))*(O4313*SUMIFS(Premissas!$C$5:$C$44,Premissas!$A$5:$A$44,$A4313,Premissas!$B$5:$B$44,$B4313)+P4313*SUMIFS(Premissas!$D$5:$D$44,Premissas!$A$5:$A$44,$A4313,Premissas!$B$5:$B$44,$B4313))+R4313*SUMIFS(Premissas!$E$5:$E$44,Premissas!$A$5:$A$44,$A4313,Premissas!$B$5:$B$44,$B4313)+S4313*SUMIFS(Premissas!$F$5:$F$44,Premissas!$A$5:$A$44,$A4313,Premissas!$B$5:$B$44,$B4313)</f>
        <v/>
      </c>
      <c r="L4313" s="29">
        <f>J4313-K4313</f>
        <v/>
      </c>
      <c r="M4313" t="inlineStr">
        <is>
          <t>2.350</t>
        </is>
      </c>
      <c r="N4313" t="inlineStr">
        <is>
          <t>Modalidade: 0 - Por conta do remetente | Parte: SOL COMERCIO DE EMBALAGENS LTDA (48.993.949/0001-66)</t>
        </is>
      </c>
      <c r="O4313" s="29" t="n">
        <v>0</v>
      </c>
      <c r="P4313" s="29" t="n">
        <v>0</v>
      </c>
      <c r="Q4313" s="29" t="n">
        <v>0</v>
      </c>
      <c r="R4313" s="29" t="n">
        <v>0</v>
      </c>
      <c r="S4313" s="29" t="n">
        <v>0</v>
      </c>
      <c r="T4313" t="inlineStr">
        <is>
          <t>25260826975620000130570010000078461000010998</t>
        </is>
      </c>
      <c r="U4313" t="inlineStr">
        <is>
          <t>Não</t>
        </is>
      </c>
    </row>
    <row r="4314">
      <c r="A4314" t="inlineStr">
        <is>
          <t>Frete de venda</t>
        </is>
      </c>
      <c r="B4314" t="inlineStr">
        <is>
          <t>2.01.02 Frete sobre Vendas</t>
        </is>
      </c>
      <c r="C4314" s="30" t="n">
        <v>46235</v>
      </c>
      <c r="D4314" t="inlineStr">
        <is>
          <t>Em 2026</t>
        </is>
      </c>
      <c r="E4314" s="28" t="n">
        <v>46235</v>
      </c>
      <c r="F4314" t="inlineStr">
        <is>
          <t>CT-e</t>
        </is>
      </c>
      <c r="G4314" t="inlineStr">
        <is>
          <t>000007847</t>
        </is>
      </c>
      <c r="H4314" t="inlineStr">
        <is>
          <t>R&amp;R TRANSPORTE E LOGISTICA</t>
        </is>
      </c>
      <c r="J4314" s="29" t="n">
        <v>37.44</v>
      </c>
      <c r="K4314" s="29">
        <f>(1-ISNUMBER(SEARCH("556",M4314)))*(O4314*SUMIFS(Premissas!$C$5:$C$44,Premissas!$A$5:$A$44,$A4314,Premissas!$B$5:$B$44,$B4314)+P4314*SUMIFS(Premissas!$D$5:$D$44,Premissas!$A$5:$A$44,$A4314,Premissas!$B$5:$B$44,$B4314))+R4314*SUMIFS(Premissas!$E$5:$E$44,Premissas!$A$5:$A$44,$A4314,Premissas!$B$5:$B$44,$B4314)+S4314*SUMIFS(Premissas!$F$5:$F$44,Premissas!$A$5:$A$44,$A4314,Premissas!$B$5:$B$44,$B4314)</f>
        <v/>
      </c>
      <c r="L4314" s="29">
        <f>J4314-K4314</f>
        <v/>
      </c>
      <c r="M4314" t="inlineStr">
        <is>
          <t>2.350</t>
        </is>
      </c>
      <c r="N4314" t="inlineStr">
        <is>
          <t>Modalidade: 0 - Por conta do remetente | Parte: EMBALAGENS ARCO IRIS LTDA (01.082.731/0001-96)</t>
        </is>
      </c>
      <c r="O4314" s="29" t="n">
        <v>0</v>
      </c>
      <c r="P4314" s="29" t="n">
        <v>0</v>
      </c>
      <c r="Q4314" s="29" t="n">
        <v>0</v>
      </c>
      <c r="R4314" s="29" t="n">
        <v>0</v>
      </c>
      <c r="S4314" s="29" t="n">
        <v>0</v>
      </c>
      <c r="T4314" t="inlineStr">
        <is>
          <t>25260826975620000130570010000078471001801074</t>
        </is>
      </c>
      <c r="U4314" t="inlineStr">
        <is>
          <t>Não</t>
        </is>
      </c>
    </row>
    <row r="4315">
      <c r="A4315" t="inlineStr">
        <is>
          <t>Frete de venda</t>
        </is>
      </c>
      <c r="B4315" t="inlineStr">
        <is>
          <t>2.01.02 Frete sobre Vendas</t>
        </is>
      </c>
      <c r="C4315" s="30" t="n">
        <v>46235</v>
      </c>
      <c r="D4315" t="inlineStr">
        <is>
          <t>Em 2026</t>
        </is>
      </c>
      <c r="E4315" s="28" t="n">
        <v>46235</v>
      </c>
      <c r="F4315" t="inlineStr">
        <is>
          <t>CT-e</t>
        </is>
      </c>
      <c r="G4315" t="inlineStr">
        <is>
          <t>000007848</t>
        </is>
      </c>
      <c r="H4315" t="inlineStr">
        <is>
          <t>R&amp;R TRANSPORTE E LOGISTICA</t>
        </is>
      </c>
      <c r="J4315" s="29" t="n">
        <v>37.44</v>
      </c>
      <c r="K4315" s="29">
        <f>(1-ISNUMBER(SEARCH("556",M4315)))*(O4315*SUMIFS(Premissas!$C$5:$C$44,Premissas!$A$5:$A$44,$A4315,Premissas!$B$5:$B$44,$B4315)+P4315*SUMIFS(Premissas!$D$5:$D$44,Premissas!$A$5:$A$44,$A4315,Premissas!$B$5:$B$44,$B4315))+R4315*SUMIFS(Premissas!$E$5:$E$44,Premissas!$A$5:$A$44,$A4315,Premissas!$B$5:$B$44,$B4315)+S4315*SUMIFS(Premissas!$F$5:$F$44,Premissas!$A$5:$A$44,$A4315,Premissas!$B$5:$B$44,$B4315)</f>
        <v/>
      </c>
      <c r="L4315" s="29">
        <f>J4315-K4315</f>
        <v/>
      </c>
      <c r="M4315" t="inlineStr">
        <is>
          <t>2.350</t>
        </is>
      </c>
      <c r="N4315" t="inlineStr">
        <is>
          <t>Modalidade: 0 - Por conta do remetente | Parte: RODRIGUES E CIA LTDA (26.144.570/0001-49)</t>
        </is>
      </c>
      <c r="O4315" s="29" t="n">
        <v>0</v>
      </c>
      <c r="P4315" s="29" t="n">
        <v>0</v>
      </c>
      <c r="Q4315" s="29" t="n">
        <v>0</v>
      </c>
      <c r="R4315" s="29" t="n">
        <v>0</v>
      </c>
      <c r="S4315" s="29" t="n">
        <v>0</v>
      </c>
      <c r="T4315" t="inlineStr">
        <is>
          <t>25260826975620000130570010000078481001501159</t>
        </is>
      </c>
      <c r="U4315" t="inlineStr">
        <is>
          <t>Não</t>
        </is>
      </c>
    </row>
    <row r="4316">
      <c r="A4316" t="inlineStr">
        <is>
          <t>Frete de venda</t>
        </is>
      </c>
      <c r="B4316" t="inlineStr">
        <is>
          <t>2.01.02 Frete sobre Vendas</t>
        </is>
      </c>
      <c r="C4316" s="30" t="n">
        <v>46235</v>
      </c>
      <c r="D4316" t="inlineStr">
        <is>
          <t>Em 2026</t>
        </is>
      </c>
      <c r="E4316" s="28" t="n">
        <v>46235</v>
      </c>
      <c r="F4316" t="inlineStr">
        <is>
          <t>CT-e</t>
        </is>
      </c>
      <c r="G4316" t="inlineStr">
        <is>
          <t>000007849</t>
        </is>
      </c>
      <c r="H4316" t="inlineStr">
        <is>
          <t>R&amp;R TRANSPORTE E LOGISTICA</t>
        </is>
      </c>
      <c r="J4316" s="29" t="n">
        <v>37.44</v>
      </c>
      <c r="K4316" s="29">
        <f>(1-ISNUMBER(SEARCH("556",M4316)))*(O4316*SUMIFS(Premissas!$C$5:$C$44,Premissas!$A$5:$A$44,$A4316,Premissas!$B$5:$B$44,$B4316)+P4316*SUMIFS(Premissas!$D$5:$D$44,Premissas!$A$5:$A$44,$A4316,Premissas!$B$5:$B$44,$B4316))+R4316*SUMIFS(Premissas!$E$5:$E$44,Premissas!$A$5:$A$44,$A4316,Premissas!$B$5:$B$44,$B4316)+S4316*SUMIFS(Premissas!$F$5:$F$44,Premissas!$A$5:$A$44,$A4316,Premissas!$B$5:$B$44,$B4316)</f>
        <v/>
      </c>
      <c r="L4316" s="29">
        <f>J4316-K4316</f>
        <v/>
      </c>
      <c r="M4316" t="inlineStr">
        <is>
          <t>2.350</t>
        </is>
      </c>
      <c r="N4316" t="inlineStr">
        <is>
          <t>Modalidade: 0 - Por conta do remetente | Parte: LP EMBALAGENS LTDA (54.687.706/0001-00)</t>
        </is>
      </c>
      <c r="O4316" s="29" t="n">
        <v>0</v>
      </c>
      <c r="P4316" s="29" t="n">
        <v>0</v>
      </c>
      <c r="Q4316" s="29" t="n">
        <v>0</v>
      </c>
      <c r="R4316" s="29" t="n">
        <v>0</v>
      </c>
      <c r="S4316" s="29" t="n">
        <v>0</v>
      </c>
      <c r="T4316" t="inlineStr">
        <is>
          <t>25260826975620000130570010000078491001201233</t>
        </is>
      </c>
      <c r="U4316" t="inlineStr">
        <is>
          <t>Não</t>
        </is>
      </c>
    </row>
    <row r="4317">
      <c r="A4317" t="inlineStr">
        <is>
          <t>Frete de venda</t>
        </is>
      </c>
      <c r="B4317" t="inlineStr">
        <is>
          <t>2.01.02 Frete sobre Vendas</t>
        </is>
      </c>
      <c r="C4317" s="30" t="n">
        <v>46235</v>
      </c>
      <c r="D4317" t="inlineStr">
        <is>
          <t>Em 2026</t>
        </is>
      </c>
      <c r="E4317" s="28" t="n">
        <v>46235</v>
      </c>
      <c r="F4317" t="inlineStr">
        <is>
          <t>CT-e</t>
        </is>
      </c>
      <c r="G4317" t="inlineStr">
        <is>
          <t>000007850</t>
        </is>
      </c>
      <c r="H4317" t="inlineStr">
        <is>
          <t>R&amp;R TRANSPORTE E LOGISTICA</t>
        </is>
      </c>
      <c r="J4317" s="29" t="n">
        <v>37.44</v>
      </c>
      <c r="K4317" s="29">
        <f>(1-ISNUMBER(SEARCH("556",M4317)))*(O4317*SUMIFS(Premissas!$C$5:$C$44,Premissas!$A$5:$A$44,$A4317,Premissas!$B$5:$B$44,$B4317)+P4317*SUMIFS(Premissas!$D$5:$D$44,Premissas!$A$5:$A$44,$A4317,Premissas!$B$5:$B$44,$B4317))+R4317*SUMIFS(Premissas!$E$5:$E$44,Premissas!$A$5:$A$44,$A4317,Premissas!$B$5:$B$44,$B4317)+S4317*SUMIFS(Premissas!$F$5:$F$44,Premissas!$A$5:$A$44,$A4317,Premissas!$B$5:$B$44,$B4317)</f>
        <v/>
      </c>
      <c r="L4317" s="29">
        <f>J4317-K4317</f>
        <v/>
      </c>
      <c r="M4317" t="inlineStr">
        <is>
          <t>2.350</t>
        </is>
      </c>
      <c r="N4317" t="inlineStr">
        <is>
          <t>Modalidade: 0 - Por conta do remetente | Parte: IDEAL EMBALAGENS LTDA (60.830.349/0001-82)</t>
        </is>
      </c>
      <c r="O4317" s="29" t="n">
        <v>0</v>
      </c>
      <c r="P4317" s="29" t="n">
        <v>0</v>
      </c>
      <c r="Q4317" s="29" t="n">
        <v>0</v>
      </c>
      <c r="R4317" s="29" t="n">
        <v>0</v>
      </c>
      <c r="S4317" s="29" t="n">
        <v>0</v>
      </c>
      <c r="T4317" t="inlineStr">
        <is>
          <t>25260826975620000130570010000078501011001319</t>
        </is>
      </c>
      <c r="U4317" t="inlineStr">
        <is>
          <t>Não</t>
        </is>
      </c>
    </row>
    <row r="4318">
      <c r="A4318" t="inlineStr">
        <is>
          <t>Frete de venda</t>
        </is>
      </c>
      <c r="B4318" t="inlineStr">
        <is>
          <t>2.01.02 Frete sobre Vendas</t>
        </is>
      </c>
      <c r="C4318" s="30" t="n">
        <v>46235</v>
      </c>
      <c r="D4318" t="inlineStr">
        <is>
          <t>Em 2026</t>
        </is>
      </c>
      <c r="E4318" s="28" t="n">
        <v>46235</v>
      </c>
      <c r="F4318" t="inlineStr">
        <is>
          <t>CT-e</t>
        </is>
      </c>
      <c r="G4318" t="inlineStr">
        <is>
          <t>000007851</t>
        </is>
      </c>
      <c r="H4318" t="inlineStr">
        <is>
          <t>R&amp;R TRANSPORTE E LOGISTICA</t>
        </is>
      </c>
      <c r="J4318" s="29" t="n">
        <v>37.44</v>
      </c>
      <c r="K4318" s="29">
        <f>(1-ISNUMBER(SEARCH("556",M4318)))*(O4318*SUMIFS(Premissas!$C$5:$C$44,Premissas!$A$5:$A$44,$A4318,Premissas!$B$5:$B$44,$B4318)+P4318*SUMIFS(Premissas!$D$5:$D$44,Premissas!$A$5:$A$44,$A4318,Premissas!$B$5:$B$44,$B4318))+R4318*SUMIFS(Premissas!$E$5:$E$44,Premissas!$A$5:$A$44,$A4318,Premissas!$B$5:$B$44,$B4318)+S4318*SUMIFS(Premissas!$F$5:$F$44,Premissas!$A$5:$A$44,$A4318,Premissas!$B$5:$B$44,$B4318)</f>
        <v/>
      </c>
      <c r="L4318" s="29">
        <f>J4318-K4318</f>
        <v/>
      </c>
      <c r="M4318" t="inlineStr">
        <is>
          <t>2.350</t>
        </is>
      </c>
      <c r="N4318" t="inlineStr">
        <is>
          <t>Modalidade: 0 - Por conta do remetente | Parte: CASA DO PIT DOG SUPERMERCADO LTDA (33.456.636/0001-00)</t>
        </is>
      </c>
      <c r="O4318" s="29" t="n">
        <v>0</v>
      </c>
      <c r="P4318" s="29" t="n">
        <v>0</v>
      </c>
      <c r="Q4318" s="29" t="n">
        <v>0</v>
      </c>
      <c r="R4318" s="29" t="n">
        <v>0</v>
      </c>
      <c r="S4318" s="29" t="n">
        <v>0</v>
      </c>
      <c r="T4318" t="inlineStr">
        <is>
          <t>25260826975620000130570010000078511001701390</t>
        </is>
      </c>
      <c r="U4318" t="inlineStr">
        <is>
          <t>Não</t>
        </is>
      </c>
    </row>
    <row r="4319">
      <c r="A4319" t="inlineStr">
        <is>
          <t>Frete de venda</t>
        </is>
      </c>
      <c r="B4319" t="inlineStr">
        <is>
          <t>2.01.02 Frete sobre Vendas</t>
        </is>
      </c>
      <c r="C4319" s="30" t="n">
        <v>46235</v>
      </c>
      <c r="D4319" t="inlineStr">
        <is>
          <t>Em 2026</t>
        </is>
      </c>
      <c r="E4319" s="28" t="n">
        <v>46235</v>
      </c>
      <c r="F4319" t="inlineStr">
        <is>
          <t>CT-e</t>
        </is>
      </c>
      <c r="G4319" t="inlineStr">
        <is>
          <t>000007852</t>
        </is>
      </c>
      <c r="H4319" t="inlineStr">
        <is>
          <t>R&amp;R TRANSPORTE E LOGISTICA</t>
        </is>
      </c>
      <c r="J4319" s="29" t="n">
        <v>37.44</v>
      </c>
      <c r="K4319" s="29">
        <f>(1-ISNUMBER(SEARCH("556",M4319)))*(O4319*SUMIFS(Premissas!$C$5:$C$44,Premissas!$A$5:$A$44,$A4319,Premissas!$B$5:$B$44,$B4319)+P4319*SUMIFS(Premissas!$D$5:$D$44,Premissas!$A$5:$A$44,$A4319,Premissas!$B$5:$B$44,$B4319))+R4319*SUMIFS(Premissas!$E$5:$E$44,Premissas!$A$5:$A$44,$A4319,Premissas!$B$5:$B$44,$B4319)+S4319*SUMIFS(Premissas!$F$5:$F$44,Premissas!$A$5:$A$44,$A4319,Premissas!$B$5:$B$44,$B4319)</f>
        <v/>
      </c>
      <c r="L4319" s="29">
        <f>J4319-K4319</f>
        <v/>
      </c>
      <c r="M4319" t="inlineStr">
        <is>
          <t>2.350</t>
        </is>
      </c>
      <c r="N4319" t="inlineStr">
        <is>
          <t>Modalidade: 0 - Por conta do remetente | Parte: W.M. COMERCIO ATACADISTA DE EMBALAGENS e ALIMENTOS LTDA (53.786.675/0001-74)</t>
        </is>
      </c>
      <c r="O4319" s="29" t="n">
        <v>0</v>
      </c>
      <c r="P4319" s="29" t="n">
        <v>0</v>
      </c>
      <c r="Q4319" s="29" t="n">
        <v>0</v>
      </c>
      <c r="R4319" s="29" t="n">
        <v>0</v>
      </c>
      <c r="S4319" s="29" t="n">
        <v>0</v>
      </c>
      <c r="T4319" t="inlineStr">
        <is>
          <t>25260826975620000130570010000078521001401475</t>
        </is>
      </c>
      <c r="U4319" t="inlineStr">
        <is>
          <t>Não</t>
        </is>
      </c>
    </row>
    <row r="4320">
      <c r="A4320" t="inlineStr">
        <is>
          <t>Frete de venda</t>
        </is>
      </c>
      <c r="B4320" t="inlineStr">
        <is>
          <t>2.01.02 Frete sobre Vendas</t>
        </is>
      </c>
      <c r="C4320" s="30" t="n">
        <v>46235</v>
      </c>
      <c r="D4320" t="inlineStr">
        <is>
          <t>Em 2026</t>
        </is>
      </c>
      <c r="E4320" s="28" t="n">
        <v>46235</v>
      </c>
      <c r="F4320" t="inlineStr">
        <is>
          <t>CT-e</t>
        </is>
      </c>
      <c r="G4320" t="inlineStr">
        <is>
          <t>000007853</t>
        </is>
      </c>
      <c r="H4320" t="inlineStr">
        <is>
          <t>R&amp;R TRANSPORTE E LOGISTICA</t>
        </is>
      </c>
      <c r="J4320" s="29" t="n">
        <v>37.44</v>
      </c>
      <c r="K4320" s="29">
        <f>(1-ISNUMBER(SEARCH("556",M4320)))*(O4320*SUMIFS(Premissas!$C$5:$C$44,Premissas!$A$5:$A$44,$A4320,Premissas!$B$5:$B$44,$B4320)+P4320*SUMIFS(Premissas!$D$5:$D$44,Premissas!$A$5:$A$44,$A4320,Premissas!$B$5:$B$44,$B4320))+R4320*SUMIFS(Premissas!$E$5:$E$44,Premissas!$A$5:$A$44,$A4320,Premissas!$B$5:$B$44,$B4320)+S4320*SUMIFS(Premissas!$F$5:$F$44,Premissas!$A$5:$A$44,$A4320,Premissas!$B$5:$B$44,$B4320)</f>
        <v/>
      </c>
      <c r="L4320" s="29">
        <f>J4320-K4320</f>
        <v/>
      </c>
      <c r="M4320" t="inlineStr">
        <is>
          <t>2.350</t>
        </is>
      </c>
      <c r="N4320" t="inlineStr">
        <is>
          <t>Modalidade: 0 - Por conta do remetente | Parte: H B COMERCIO DE EMBALAGENS LTDA (05.488.166/0001-12)</t>
        </is>
      </c>
      <c r="O4320" s="29" t="n">
        <v>0</v>
      </c>
      <c r="P4320" s="29" t="n">
        <v>0</v>
      </c>
      <c r="Q4320" s="29" t="n">
        <v>0</v>
      </c>
      <c r="R4320" s="29" t="n">
        <v>0</v>
      </c>
      <c r="S4320" s="29" t="n">
        <v>0</v>
      </c>
      <c r="T4320" t="inlineStr">
        <is>
          <t>25260826975620000130570010000078531001101550</t>
        </is>
      </c>
      <c r="U4320" t="inlineStr">
        <is>
          <t>Não</t>
        </is>
      </c>
    </row>
    <row r="4321">
      <c r="A4321" t="inlineStr">
        <is>
          <t>Frete de venda</t>
        </is>
      </c>
      <c r="B4321" t="inlineStr">
        <is>
          <t>2.01.02 Frete sobre Vendas</t>
        </is>
      </c>
      <c r="C4321" s="30" t="n">
        <v>46235</v>
      </c>
      <c r="D4321" t="inlineStr">
        <is>
          <t>Em 2026</t>
        </is>
      </c>
      <c r="E4321" s="28" t="n">
        <v>46235</v>
      </c>
      <c r="F4321" t="inlineStr">
        <is>
          <t>CT-e</t>
        </is>
      </c>
      <c r="G4321" t="inlineStr">
        <is>
          <t>000007854</t>
        </is>
      </c>
      <c r="H4321" t="inlineStr">
        <is>
          <t>R&amp;R TRANSPORTE E LOGISTICA</t>
        </is>
      </c>
      <c r="J4321" s="29" t="n">
        <v>37.44</v>
      </c>
      <c r="K4321" s="29">
        <f>(1-ISNUMBER(SEARCH("556",M4321)))*(O4321*SUMIFS(Premissas!$C$5:$C$44,Premissas!$A$5:$A$44,$A4321,Premissas!$B$5:$B$44,$B4321)+P4321*SUMIFS(Premissas!$D$5:$D$44,Premissas!$A$5:$A$44,$A4321,Premissas!$B$5:$B$44,$B4321))+R4321*SUMIFS(Premissas!$E$5:$E$44,Premissas!$A$5:$A$44,$A4321,Premissas!$B$5:$B$44,$B4321)+S4321*SUMIFS(Premissas!$F$5:$F$44,Premissas!$A$5:$A$44,$A4321,Premissas!$B$5:$B$44,$B4321)</f>
        <v/>
      </c>
      <c r="L4321" s="29">
        <f>J4321-K4321</f>
        <v/>
      </c>
      <c r="M4321" t="inlineStr">
        <is>
          <t>2.350</t>
        </is>
      </c>
      <c r="N4321" t="inlineStr">
        <is>
          <t>Modalidade: 0 - Por conta do remetente | Parte: BRAGA e BARCELOS LTDA (11.109.167/0003-73)</t>
        </is>
      </c>
      <c r="O4321" s="29" t="n">
        <v>0</v>
      </c>
      <c r="P4321" s="29" t="n">
        <v>0</v>
      </c>
      <c r="Q4321" s="29" t="n">
        <v>0</v>
      </c>
      <c r="R4321" s="29" t="n">
        <v>0</v>
      </c>
      <c r="S4321" s="29" t="n">
        <v>0</v>
      </c>
      <c r="T4321" t="inlineStr">
        <is>
          <t>25260826975620000130570010000078541001901634</t>
        </is>
      </c>
      <c r="U4321" t="inlineStr">
        <is>
          <t>Não</t>
        </is>
      </c>
    </row>
    <row r="4322">
      <c r="A4322" t="inlineStr">
        <is>
          <t>Frete de venda</t>
        </is>
      </c>
      <c r="B4322" t="inlineStr">
        <is>
          <t>2.01.02 Frete sobre Vendas</t>
        </is>
      </c>
      <c r="C4322" s="30" t="n">
        <v>46235</v>
      </c>
      <c r="D4322" t="inlineStr">
        <is>
          <t>Em 2026</t>
        </is>
      </c>
      <c r="E4322" s="28" t="n">
        <v>46235</v>
      </c>
      <c r="F4322" t="inlineStr">
        <is>
          <t>CT-e</t>
        </is>
      </c>
      <c r="G4322" t="inlineStr">
        <is>
          <t>000007855</t>
        </is>
      </c>
      <c r="H4322" t="inlineStr">
        <is>
          <t>R&amp;R TRANSPORTE E LOGISTICA</t>
        </is>
      </c>
      <c r="J4322" s="29" t="n">
        <v>37.44</v>
      </c>
      <c r="K4322" s="29">
        <f>(1-ISNUMBER(SEARCH("556",M4322)))*(O4322*SUMIFS(Premissas!$C$5:$C$44,Premissas!$A$5:$A$44,$A4322,Premissas!$B$5:$B$44,$B4322)+P4322*SUMIFS(Premissas!$D$5:$D$44,Premissas!$A$5:$A$44,$A4322,Premissas!$B$5:$B$44,$B4322))+R4322*SUMIFS(Premissas!$E$5:$E$44,Premissas!$A$5:$A$44,$A4322,Premissas!$B$5:$B$44,$B4322)+S4322*SUMIFS(Premissas!$F$5:$F$44,Premissas!$A$5:$A$44,$A4322,Premissas!$B$5:$B$44,$B4322)</f>
        <v/>
      </c>
      <c r="L4322" s="29">
        <f>J4322-K4322</f>
        <v/>
      </c>
      <c r="M4322" t="inlineStr">
        <is>
          <t>2.350</t>
        </is>
      </c>
      <c r="N4322" t="inlineStr">
        <is>
          <t>Modalidade: 0 - Por conta do remetente | Parte: H B COMERCIO DE EMBALAGENS LTDA (05.488.166/0002-01)</t>
        </is>
      </c>
      <c r="O4322" s="29" t="n">
        <v>0</v>
      </c>
      <c r="P4322" s="29" t="n">
        <v>0</v>
      </c>
      <c r="Q4322" s="29" t="n">
        <v>0</v>
      </c>
      <c r="R4322" s="29" t="n">
        <v>0</v>
      </c>
      <c r="S4322" s="29" t="n">
        <v>0</v>
      </c>
      <c r="T4322" t="inlineStr">
        <is>
          <t>25260826975620000130570010000078551001100981</t>
        </is>
      </c>
      <c r="U4322" t="inlineStr">
        <is>
          <t>Não</t>
        </is>
      </c>
    </row>
    <row r="4323">
      <c r="A4323" t="inlineStr">
        <is>
          <t>Frete de venda</t>
        </is>
      </c>
      <c r="B4323" t="inlineStr">
        <is>
          <t>2.01.02 Frete sobre Vendas</t>
        </is>
      </c>
      <c r="C4323" s="30" t="n">
        <v>46235</v>
      </c>
      <c r="D4323" t="inlineStr">
        <is>
          <t>Em 2026</t>
        </is>
      </c>
      <c r="E4323" s="28" t="n">
        <v>46253</v>
      </c>
      <c r="F4323" t="inlineStr">
        <is>
          <t>CT-e</t>
        </is>
      </c>
      <c r="G4323" t="inlineStr">
        <is>
          <t>000007902</t>
        </is>
      </c>
      <c r="H4323" t="inlineStr">
        <is>
          <t>R&amp;R TRANSPORTE E LOGISTICA</t>
        </is>
      </c>
      <c r="J4323" s="29" t="n">
        <v>375</v>
      </c>
      <c r="K4323" s="29">
        <f>(1-ISNUMBER(SEARCH("556",M4323)))*(O4323*SUMIFS(Premissas!$C$5:$C$44,Premissas!$A$5:$A$44,$A4323,Premissas!$B$5:$B$44,$B4323)+P4323*SUMIFS(Premissas!$D$5:$D$44,Premissas!$A$5:$A$44,$A4323,Premissas!$B$5:$B$44,$B4323))+R4323*SUMIFS(Premissas!$E$5:$E$44,Premissas!$A$5:$A$44,$A4323,Premissas!$B$5:$B$44,$B4323)+S4323*SUMIFS(Premissas!$F$5:$F$44,Premissas!$A$5:$A$44,$A4323,Premissas!$B$5:$B$44,$B4323)</f>
        <v/>
      </c>
      <c r="L4323" s="29">
        <f>J4323-K4323</f>
        <v/>
      </c>
      <c r="M4323" t="inlineStr">
        <is>
          <t>2.350</t>
        </is>
      </c>
      <c r="N4323" t="inlineStr">
        <is>
          <t>Modalidade: 0 - Por conta do remetente | Parte: A C DA SILVA PINTO BENTO (51.592.005/0001-91)</t>
        </is>
      </c>
      <c r="O4323" s="29" t="n">
        <v>0</v>
      </c>
      <c r="P4323" s="29" t="n">
        <v>0</v>
      </c>
      <c r="Q4323" s="29" t="n">
        <v>0</v>
      </c>
      <c r="R4323" s="29" t="n">
        <v>0</v>
      </c>
      <c r="S4323" s="29" t="n">
        <v>0</v>
      </c>
      <c r="T4323" t="inlineStr">
        <is>
          <t>25260826975620000130570010000079021001101440</t>
        </is>
      </c>
      <c r="U4323" t="inlineStr">
        <is>
          <t>Sim</t>
        </is>
      </c>
    </row>
    <row r="4324">
      <c r="A4324" t="inlineStr">
        <is>
          <t>Frete de venda</t>
        </is>
      </c>
      <c r="B4324" t="inlineStr">
        <is>
          <t>2.01.02 Frete sobre Vendas</t>
        </is>
      </c>
      <c r="C4324" s="30" t="n">
        <v>46235</v>
      </c>
      <c r="D4324" t="inlineStr">
        <is>
          <t>Em 2026</t>
        </is>
      </c>
      <c r="E4324" s="28" t="n">
        <v>46253</v>
      </c>
      <c r="F4324" t="inlineStr">
        <is>
          <t>CT-e</t>
        </is>
      </c>
      <c r="G4324" t="inlineStr">
        <is>
          <t>000007903</t>
        </is>
      </c>
      <c r="H4324" t="inlineStr">
        <is>
          <t>R&amp;R TRANSPORTE E LOGISTICA</t>
        </is>
      </c>
      <c r="J4324" s="29" t="n">
        <v>375</v>
      </c>
      <c r="K4324" s="29">
        <f>(1-ISNUMBER(SEARCH("556",M4324)))*(O4324*SUMIFS(Premissas!$C$5:$C$44,Premissas!$A$5:$A$44,$A4324,Premissas!$B$5:$B$44,$B4324)+P4324*SUMIFS(Premissas!$D$5:$D$44,Premissas!$A$5:$A$44,$A4324,Premissas!$B$5:$B$44,$B4324))+R4324*SUMIFS(Premissas!$E$5:$E$44,Premissas!$A$5:$A$44,$A4324,Premissas!$B$5:$B$44,$B4324)+S4324*SUMIFS(Premissas!$F$5:$F$44,Premissas!$A$5:$A$44,$A4324,Premissas!$B$5:$B$44,$B4324)</f>
        <v/>
      </c>
      <c r="L4324" s="29">
        <f>J4324-K4324</f>
        <v/>
      </c>
      <c r="M4324" t="inlineStr">
        <is>
          <t>2.350</t>
        </is>
      </c>
      <c r="N4324" t="inlineStr">
        <is>
          <t>Modalidade: 0 - Por conta do remetente | Parte: ALEX S. J. MARTINS (15.102.358/0001-00)</t>
        </is>
      </c>
      <c r="O4324" s="29" t="n">
        <v>0</v>
      </c>
      <c r="P4324" s="29" t="n">
        <v>0</v>
      </c>
      <c r="Q4324" s="29" t="n">
        <v>0</v>
      </c>
      <c r="R4324" s="29" t="n">
        <v>0</v>
      </c>
      <c r="S4324" s="29" t="n">
        <v>0</v>
      </c>
      <c r="T4324" t="inlineStr">
        <is>
          <t>25260826975620000130570010000079031001901525</t>
        </is>
      </c>
      <c r="U4324" t="inlineStr">
        <is>
          <t>Sim</t>
        </is>
      </c>
    </row>
    <row r="4325">
      <c r="A4325" t="inlineStr">
        <is>
          <t>Frete de venda</t>
        </is>
      </c>
      <c r="B4325" t="inlineStr">
        <is>
          <t>2.01.02 Frete sobre Vendas</t>
        </is>
      </c>
      <c r="C4325" s="30" t="n">
        <v>46235</v>
      </c>
      <c r="D4325" t="inlineStr">
        <is>
          <t>Em 2026</t>
        </is>
      </c>
      <c r="E4325" s="28" t="n">
        <v>46253</v>
      </c>
      <c r="F4325" t="inlineStr">
        <is>
          <t>CT-e</t>
        </is>
      </c>
      <c r="G4325" t="inlineStr">
        <is>
          <t>000007904</t>
        </is>
      </c>
      <c r="H4325" t="inlineStr">
        <is>
          <t>R&amp;R TRANSPORTE E LOGISTICA</t>
        </is>
      </c>
      <c r="J4325" s="29" t="n">
        <v>375</v>
      </c>
      <c r="K4325" s="29">
        <f>(1-ISNUMBER(SEARCH("556",M4325)))*(O4325*SUMIFS(Premissas!$C$5:$C$44,Premissas!$A$5:$A$44,$A4325,Premissas!$B$5:$B$44,$B4325)+P4325*SUMIFS(Premissas!$D$5:$D$44,Premissas!$A$5:$A$44,$A4325,Premissas!$B$5:$B$44,$B4325))+R4325*SUMIFS(Premissas!$E$5:$E$44,Premissas!$A$5:$A$44,$A4325,Premissas!$B$5:$B$44,$B4325)+S4325*SUMIFS(Premissas!$F$5:$F$44,Premissas!$A$5:$A$44,$A4325,Premissas!$B$5:$B$44,$B4325)</f>
        <v/>
      </c>
      <c r="L4325" s="29">
        <f>J4325-K4325</f>
        <v/>
      </c>
      <c r="M4325" t="inlineStr">
        <is>
          <t>2.350</t>
        </is>
      </c>
      <c r="N4325" t="inlineStr">
        <is>
          <t>Modalidade: 0 - Por conta do remetente | Parte: SOUZA MARTINS EMBALAGENS LTDA (55.411.236/0001-02)</t>
        </is>
      </c>
      <c r="O4325" s="29" t="n">
        <v>0</v>
      </c>
      <c r="P4325" s="29" t="n">
        <v>0</v>
      </c>
      <c r="Q4325" s="29" t="n">
        <v>0</v>
      </c>
      <c r="R4325" s="29" t="n">
        <v>0</v>
      </c>
      <c r="S4325" s="29" t="n">
        <v>0</v>
      </c>
      <c r="T4325" t="inlineStr">
        <is>
          <t>25260826975620000130570010000079041001601600</t>
        </is>
      </c>
      <c r="U4325" t="inlineStr">
        <is>
          <t>Sim</t>
        </is>
      </c>
    </row>
    <row r="4326">
      <c r="A4326" t="inlineStr">
        <is>
          <t>Frete de venda</t>
        </is>
      </c>
      <c r="B4326" t="inlineStr">
        <is>
          <t>2.01.02 Frete sobre Vendas</t>
        </is>
      </c>
      <c r="C4326" s="30" t="n">
        <v>46235</v>
      </c>
      <c r="D4326" t="inlineStr">
        <is>
          <t>Em 2026</t>
        </is>
      </c>
      <c r="E4326" s="28" t="n">
        <v>46253</v>
      </c>
      <c r="F4326" t="inlineStr">
        <is>
          <t>CT-e</t>
        </is>
      </c>
      <c r="G4326" t="inlineStr">
        <is>
          <t>000007905</t>
        </is>
      </c>
      <c r="H4326" t="inlineStr">
        <is>
          <t>R&amp;R TRANSPORTE E LOGISTICA</t>
        </is>
      </c>
      <c r="J4326" s="29" t="n">
        <v>375</v>
      </c>
      <c r="K4326" s="29">
        <f>(1-ISNUMBER(SEARCH("556",M4326)))*(O4326*SUMIFS(Premissas!$C$5:$C$44,Premissas!$A$5:$A$44,$A4326,Premissas!$B$5:$B$44,$B4326)+P4326*SUMIFS(Premissas!$D$5:$D$44,Premissas!$A$5:$A$44,$A4326,Premissas!$B$5:$B$44,$B4326))+R4326*SUMIFS(Premissas!$E$5:$E$44,Premissas!$A$5:$A$44,$A4326,Premissas!$B$5:$B$44,$B4326)+S4326*SUMIFS(Premissas!$F$5:$F$44,Premissas!$A$5:$A$44,$A4326,Premissas!$B$5:$B$44,$B4326)</f>
        <v/>
      </c>
      <c r="L4326" s="29">
        <f>J4326-K4326</f>
        <v/>
      </c>
      <c r="M4326" t="inlineStr">
        <is>
          <t>2.350</t>
        </is>
      </c>
      <c r="N4326" t="inlineStr">
        <is>
          <t>Modalidade: 0 - Por conta do remetente | Parte: MACROPAC PROTECAO E EMBALAGEM LTDA (11.840.014/0001-30)</t>
        </is>
      </c>
      <c r="O4326" s="29" t="n">
        <v>0</v>
      </c>
      <c r="P4326" s="29" t="n">
        <v>0</v>
      </c>
      <c r="Q4326" s="29" t="n">
        <v>0</v>
      </c>
      <c r="R4326" s="29" t="n">
        <v>0</v>
      </c>
      <c r="S4326" s="29" t="n">
        <v>0</v>
      </c>
      <c r="T4326" t="inlineStr">
        <is>
          <t>25260826975620000130570010000079051000170955</t>
        </is>
      </c>
      <c r="U4326" t="inlineStr">
        <is>
          <t>Sim</t>
        </is>
      </c>
    </row>
    <row r="4327">
      <c r="A4327" t="inlineStr">
        <is>
          <t>Frete de venda</t>
        </is>
      </c>
      <c r="B4327" t="inlineStr">
        <is>
          <t>2.01.02 Frete sobre Vendas</t>
        </is>
      </c>
      <c r="C4327" s="30" t="n">
        <v>46235</v>
      </c>
      <c r="D4327" t="inlineStr">
        <is>
          <t>Em 2026</t>
        </is>
      </c>
      <c r="E4327" s="28" t="n">
        <v>46253</v>
      </c>
      <c r="F4327" t="inlineStr">
        <is>
          <t>CT-e</t>
        </is>
      </c>
      <c r="G4327" t="inlineStr">
        <is>
          <t>000007906</t>
        </is>
      </c>
      <c r="H4327" t="inlineStr">
        <is>
          <t>R&amp;R TRANSPORTE E LOGISTICA</t>
        </is>
      </c>
      <c r="J4327" s="29" t="n">
        <v>375</v>
      </c>
      <c r="K4327" s="29">
        <f>(1-ISNUMBER(SEARCH("556",M4327)))*(O4327*SUMIFS(Premissas!$C$5:$C$44,Premissas!$A$5:$A$44,$A4327,Premissas!$B$5:$B$44,$B4327)+P4327*SUMIFS(Premissas!$D$5:$D$44,Premissas!$A$5:$A$44,$A4327,Premissas!$B$5:$B$44,$B4327))+R4327*SUMIFS(Premissas!$E$5:$E$44,Premissas!$A$5:$A$44,$A4327,Premissas!$B$5:$B$44,$B4327)+S4327*SUMIFS(Premissas!$F$5:$F$44,Premissas!$A$5:$A$44,$A4327,Premissas!$B$5:$B$44,$B4327)</f>
        <v/>
      </c>
      <c r="L4327" s="29">
        <f>J4327-K4327</f>
        <v/>
      </c>
      <c r="M4327" t="inlineStr">
        <is>
          <t>2.350</t>
        </is>
      </c>
      <c r="N4327" t="inlineStr">
        <is>
          <t>Modalidade: 0 - Por conta do remetente | Parte: G1 DISTRIBUIDORA DE PRODUTOS FARMACEUTICOS LTDA (23.837.936/0002-58)</t>
        </is>
      </c>
      <c r="O4327" s="29" t="n">
        <v>0</v>
      </c>
      <c r="P4327" s="29" t="n">
        <v>0</v>
      </c>
      <c r="Q4327" s="29" t="n">
        <v>0</v>
      </c>
      <c r="R4327" s="29" t="n">
        <v>0</v>
      </c>
      <c r="S4327" s="29" t="n">
        <v>0</v>
      </c>
      <c r="T4327" t="inlineStr">
        <is>
          <t>25260826975620000130570010000079061001401036</t>
        </is>
      </c>
      <c r="U4327" t="inlineStr">
        <is>
          <t>Sim</t>
        </is>
      </c>
    </row>
    <row r="4328">
      <c r="A4328" t="inlineStr">
        <is>
          <t>Frete de venda</t>
        </is>
      </c>
      <c r="B4328" t="inlineStr">
        <is>
          <t>2.01.02 Frete sobre Vendas</t>
        </is>
      </c>
      <c r="C4328" s="30" t="n">
        <v>46235</v>
      </c>
      <c r="D4328" t="inlineStr">
        <is>
          <t>Em 2026</t>
        </is>
      </c>
      <c r="E4328" s="28" t="n">
        <v>46253</v>
      </c>
      <c r="F4328" t="inlineStr">
        <is>
          <t>CT-e</t>
        </is>
      </c>
      <c r="G4328" t="inlineStr">
        <is>
          <t>000007907</t>
        </is>
      </c>
      <c r="H4328" t="inlineStr">
        <is>
          <t>R&amp;R TRANSPORTE E LOGISTICA</t>
        </is>
      </c>
      <c r="J4328" s="29" t="n">
        <v>375</v>
      </c>
      <c r="K4328" s="29">
        <f>(1-ISNUMBER(SEARCH("556",M4328)))*(O4328*SUMIFS(Premissas!$C$5:$C$44,Premissas!$A$5:$A$44,$A4328,Premissas!$B$5:$B$44,$B4328)+P4328*SUMIFS(Premissas!$D$5:$D$44,Premissas!$A$5:$A$44,$A4328,Premissas!$B$5:$B$44,$B4328))+R4328*SUMIFS(Premissas!$E$5:$E$44,Premissas!$A$5:$A$44,$A4328,Premissas!$B$5:$B$44,$B4328)+S4328*SUMIFS(Premissas!$F$5:$F$44,Premissas!$A$5:$A$44,$A4328,Premissas!$B$5:$B$44,$B4328)</f>
        <v/>
      </c>
      <c r="L4328" s="29">
        <f>J4328-K4328</f>
        <v/>
      </c>
      <c r="M4328" t="inlineStr">
        <is>
          <t>2.350</t>
        </is>
      </c>
      <c r="N4328" t="inlineStr">
        <is>
          <t>Modalidade: 0 - Por conta do remetente | Parte: LJ COSTA REGO ARTIGOS PARA FESTA LTDA (10.788.933/0001-49)</t>
        </is>
      </c>
      <c r="O4328" s="29" t="n">
        <v>0</v>
      </c>
      <c r="P4328" s="29" t="n">
        <v>0</v>
      </c>
      <c r="Q4328" s="29" t="n">
        <v>0</v>
      </c>
      <c r="R4328" s="29" t="n">
        <v>0</v>
      </c>
      <c r="S4328" s="29" t="n">
        <v>0</v>
      </c>
      <c r="T4328" t="inlineStr">
        <is>
          <t>25260826975620000130570010000079071001101110</t>
        </is>
      </c>
      <c r="U4328" t="inlineStr">
        <is>
          <t>Sim</t>
        </is>
      </c>
    </row>
    <row r="4329">
      <c r="A4329" t="inlineStr">
        <is>
          <t>Frete de venda</t>
        </is>
      </c>
      <c r="B4329" t="inlineStr">
        <is>
          <t>2.01.02 Frete sobre Vendas</t>
        </is>
      </c>
      <c r="C4329" s="30" t="n">
        <v>46235</v>
      </c>
      <c r="D4329" t="inlineStr">
        <is>
          <t>Em 2026</t>
        </is>
      </c>
      <c r="E4329" s="28" t="n">
        <v>46259</v>
      </c>
      <c r="F4329" t="inlineStr">
        <is>
          <t>CT-e</t>
        </is>
      </c>
      <c r="G4329" t="inlineStr">
        <is>
          <t>000007929</t>
        </is>
      </c>
      <c r="H4329" t="inlineStr">
        <is>
          <t>R&amp;R TRANSPORTE E LOGISTICA</t>
        </is>
      </c>
      <c r="J4329" s="29" t="n">
        <v>800</v>
      </c>
      <c r="K4329" s="29">
        <f>(1-ISNUMBER(SEARCH("556",M4329)))*(O4329*SUMIFS(Premissas!$C$5:$C$44,Premissas!$A$5:$A$44,$A4329,Premissas!$B$5:$B$44,$B4329)+P4329*SUMIFS(Premissas!$D$5:$D$44,Premissas!$A$5:$A$44,$A4329,Premissas!$B$5:$B$44,$B4329))+R4329*SUMIFS(Premissas!$E$5:$E$44,Premissas!$A$5:$A$44,$A4329,Premissas!$B$5:$B$44,$B4329)+S4329*SUMIFS(Premissas!$F$5:$F$44,Premissas!$A$5:$A$44,$A4329,Premissas!$B$5:$B$44,$B4329)</f>
        <v/>
      </c>
      <c r="L4329" s="29">
        <f>J4329-K4329</f>
        <v/>
      </c>
      <c r="M4329" t="inlineStr">
        <is>
          <t>2.350</t>
        </is>
      </c>
      <c r="N4329" t="inlineStr">
        <is>
          <t>Modalidade: 0 - Por conta do remetente | Parte: A C DA SILVA PINTO BENTO (51.592.005/0001-91)</t>
        </is>
      </c>
      <c r="O4329" s="29" t="n">
        <v>0</v>
      </c>
      <c r="P4329" s="29" t="n">
        <v>0</v>
      </c>
      <c r="Q4329" s="29" t="n">
        <v>0</v>
      </c>
      <c r="R4329" s="29" t="n">
        <v>0</v>
      </c>
      <c r="S4329" s="29" t="n">
        <v>0</v>
      </c>
      <c r="T4329" t="inlineStr">
        <is>
          <t>25260826975620000130570010000079291001101886</t>
        </is>
      </c>
      <c r="U4329" t="inlineStr">
        <is>
          <t>Sim</t>
        </is>
      </c>
    </row>
    <row r="4330">
      <c r="A4330" t="inlineStr">
        <is>
          <t>Frete de venda</t>
        </is>
      </c>
      <c r="B4330" t="inlineStr">
        <is>
          <t>2.01.02 Frete sobre Vendas</t>
        </is>
      </c>
      <c r="C4330" s="30" t="n">
        <v>46235</v>
      </c>
      <c r="D4330" t="inlineStr">
        <is>
          <t>Em 2026</t>
        </is>
      </c>
      <c r="E4330" s="28" t="n">
        <v>46260</v>
      </c>
      <c r="F4330" t="inlineStr">
        <is>
          <t>CT-e</t>
        </is>
      </c>
      <c r="G4330" t="inlineStr">
        <is>
          <t>000007931</t>
        </is>
      </c>
      <c r="H4330" t="inlineStr">
        <is>
          <t>R&amp;R TRANSPORTE E LOGISTICA</t>
        </is>
      </c>
      <c r="J4330" s="29" t="n">
        <v>1500</v>
      </c>
      <c r="K4330" s="29">
        <f>(1-ISNUMBER(SEARCH("556",M4330)))*(O4330*SUMIFS(Premissas!$C$5:$C$44,Premissas!$A$5:$A$44,$A4330,Premissas!$B$5:$B$44,$B4330)+P4330*SUMIFS(Premissas!$D$5:$D$44,Premissas!$A$5:$A$44,$A4330,Premissas!$B$5:$B$44,$B4330))+R4330*SUMIFS(Premissas!$E$5:$E$44,Premissas!$A$5:$A$44,$A4330,Premissas!$B$5:$B$44,$B4330)+S4330*SUMIFS(Premissas!$F$5:$F$44,Premissas!$A$5:$A$44,$A4330,Premissas!$B$5:$B$44,$B4330)</f>
        <v/>
      </c>
      <c r="L4330" s="29">
        <f>J4330-K4330</f>
        <v/>
      </c>
      <c r="M4330" t="inlineStr">
        <is>
          <t>2.350</t>
        </is>
      </c>
      <c r="N4330" t="inlineStr">
        <is>
          <t>Transportadora de frete de venda, mas pela modalidade do frete a Vinco recebeu a carga | Modalidade: 1 - Por conta do destinatário | Parte: COLAMID (04.781.666/0001-85)</t>
        </is>
      </c>
      <c r="O4330" s="29" t="n">
        <v>0</v>
      </c>
      <c r="P4330" s="29" t="n">
        <v>0</v>
      </c>
      <c r="Q4330" s="29" t="n">
        <v>0</v>
      </c>
      <c r="R4330" s="29" t="n">
        <v>0</v>
      </c>
      <c r="S4330" s="29" t="n">
        <v>0</v>
      </c>
      <c r="T4330" t="inlineStr">
        <is>
          <t>25260826975620000130570010000079311001401365</t>
        </is>
      </c>
      <c r="U4330" t="inlineStr">
        <is>
          <t>Sim</t>
        </is>
      </c>
    </row>
    <row r="4331">
      <c r="A4331" t="inlineStr">
        <is>
          <t>Frete de venda</t>
        </is>
      </c>
      <c r="B4331" t="inlineStr">
        <is>
          <t>2.01.02 Frete sobre Vendas</t>
        </is>
      </c>
      <c r="C4331" s="30" t="n">
        <v>46235</v>
      </c>
      <c r="D4331" t="inlineStr">
        <is>
          <t>Em 2026</t>
        </is>
      </c>
      <c r="E4331" s="28" t="n">
        <v>46260</v>
      </c>
      <c r="F4331" t="inlineStr">
        <is>
          <t>CT-e</t>
        </is>
      </c>
      <c r="G4331" t="inlineStr">
        <is>
          <t>000007932</t>
        </is>
      </c>
      <c r="H4331" t="inlineStr">
        <is>
          <t>R&amp;R TRANSPORTE E LOGISTICA</t>
        </is>
      </c>
      <c r="J4331" s="29" t="n">
        <v>1500</v>
      </c>
      <c r="K4331" s="29">
        <f>(1-ISNUMBER(SEARCH("556",M4331)))*(O4331*SUMIFS(Premissas!$C$5:$C$44,Premissas!$A$5:$A$44,$A4331,Premissas!$B$5:$B$44,$B4331)+P4331*SUMIFS(Premissas!$D$5:$D$44,Premissas!$A$5:$A$44,$A4331,Premissas!$B$5:$B$44,$B4331))+R4331*SUMIFS(Premissas!$E$5:$E$44,Premissas!$A$5:$A$44,$A4331,Premissas!$B$5:$B$44,$B4331)+S4331*SUMIFS(Premissas!$F$5:$F$44,Premissas!$A$5:$A$44,$A4331,Premissas!$B$5:$B$44,$B4331)</f>
        <v/>
      </c>
      <c r="L4331" s="29">
        <f>J4331-K4331</f>
        <v/>
      </c>
      <c r="M4331" t="inlineStr">
        <is>
          <t>2.350</t>
        </is>
      </c>
      <c r="N4331" t="inlineStr">
        <is>
          <t>Transportadora de frete de venda, mas pela modalidade do frete a Vinco recebeu a carga | Modalidade: 1 - Por conta do destinatário | Parte: COLAMID (04.781.666/0001-85)</t>
        </is>
      </c>
      <c r="O4331" s="29" t="n">
        <v>0</v>
      </c>
      <c r="P4331" s="29" t="n">
        <v>0</v>
      </c>
      <c r="Q4331" s="29" t="n">
        <v>0</v>
      </c>
      <c r="R4331" s="29" t="n">
        <v>0</v>
      </c>
      <c r="S4331" s="29" t="n">
        <v>0</v>
      </c>
      <c r="T4331" t="inlineStr">
        <is>
          <t>25260826975620000130570010000079321001101440</t>
        </is>
      </c>
      <c r="U4331" t="inlineStr">
        <is>
          <t>Sim</t>
        </is>
      </c>
    </row>
    <row r="4332">
      <c r="A4332" t="inlineStr">
        <is>
          <t>Frete de venda</t>
        </is>
      </c>
      <c r="B4332" t="inlineStr">
        <is>
          <t>2.01.02 Frete sobre Vendas</t>
        </is>
      </c>
      <c r="C4332" s="30" t="n">
        <v>46235</v>
      </c>
      <c r="D4332" t="inlineStr">
        <is>
          <t>Em 2026</t>
        </is>
      </c>
      <c r="E4332" s="28" t="n">
        <v>46263</v>
      </c>
      <c r="F4332" t="inlineStr">
        <is>
          <t>CT-e</t>
        </is>
      </c>
      <c r="G4332" t="inlineStr">
        <is>
          <t>000007940</t>
        </is>
      </c>
      <c r="H4332" t="inlineStr">
        <is>
          <t>R&amp;R TRANSPORTE E LOGISTICA</t>
        </is>
      </c>
      <c r="J4332" s="29" t="n">
        <v>600</v>
      </c>
      <c r="K4332" s="29">
        <f>(1-ISNUMBER(SEARCH("556",M4332)))*(O4332*SUMIFS(Premissas!$C$5:$C$44,Premissas!$A$5:$A$44,$A4332,Premissas!$B$5:$B$44,$B4332)+P4332*SUMIFS(Premissas!$D$5:$D$44,Premissas!$A$5:$A$44,$A4332,Premissas!$B$5:$B$44,$B4332))+R4332*SUMIFS(Premissas!$E$5:$E$44,Premissas!$A$5:$A$44,$A4332,Premissas!$B$5:$B$44,$B4332)+S4332*SUMIFS(Premissas!$F$5:$F$44,Premissas!$A$5:$A$44,$A4332,Premissas!$B$5:$B$44,$B4332)</f>
        <v/>
      </c>
      <c r="L4332" s="29">
        <f>J4332-K4332</f>
        <v/>
      </c>
      <c r="M4332" t="inlineStr">
        <is>
          <t>2.350</t>
        </is>
      </c>
      <c r="N4332" t="inlineStr">
        <is>
          <t>Modalidade: 0 - Por conta do remetente | Parte: DISPAN DISTRIBUIDORA DE ALIMENTOS LTDA (30.779.584/0003-78)</t>
        </is>
      </c>
      <c r="O4332" s="29" t="n">
        <v>0</v>
      </c>
      <c r="P4332" s="29" t="n">
        <v>0</v>
      </c>
      <c r="Q4332" s="29" t="n">
        <v>0</v>
      </c>
      <c r="R4332" s="29" t="n">
        <v>0</v>
      </c>
      <c r="S4332" s="29" t="n">
        <v>0</v>
      </c>
      <c r="T4332" t="inlineStr">
        <is>
          <t>25260826975620000130570010000079401001201012</t>
        </is>
      </c>
      <c r="U4332" t="inlineStr">
        <is>
          <t>Sim</t>
        </is>
      </c>
    </row>
    <row r="4333">
      <c r="A4333" t="inlineStr">
        <is>
          <t>Frete de venda</t>
        </is>
      </c>
      <c r="B4333" t="inlineStr">
        <is>
          <t>2.01.02 Frete sobre Vendas</t>
        </is>
      </c>
      <c r="C4333" s="30" t="n">
        <v>46235</v>
      </c>
      <c r="D4333" t="inlineStr">
        <is>
          <t>Em 2026</t>
        </is>
      </c>
      <c r="E4333" s="28" t="n">
        <v>46263</v>
      </c>
      <c r="F4333" t="inlineStr">
        <is>
          <t>CT-e</t>
        </is>
      </c>
      <c r="G4333" t="inlineStr">
        <is>
          <t>000007941</t>
        </is>
      </c>
      <c r="H4333" t="inlineStr">
        <is>
          <t>R&amp;R TRANSPORTE E LOGISTICA</t>
        </is>
      </c>
      <c r="J4333" s="29" t="n">
        <v>600</v>
      </c>
      <c r="K4333" s="29">
        <f>(1-ISNUMBER(SEARCH("556",M4333)))*(O4333*SUMIFS(Premissas!$C$5:$C$44,Premissas!$A$5:$A$44,$A4333,Premissas!$B$5:$B$44,$B4333)+P4333*SUMIFS(Premissas!$D$5:$D$44,Premissas!$A$5:$A$44,$A4333,Premissas!$B$5:$B$44,$B4333))+R4333*SUMIFS(Premissas!$E$5:$E$44,Premissas!$A$5:$A$44,$A4333,Premissas!$B$5:$B$44,$B4333)+S4333*SUMIFS(Premissas!$F$5:$F$44,Premissas!$A$5:$A$44,$A4333,Premissas!$B$5:$B$44,$B4333)</f>
        <v/>
      </c>
      <c r="L4333" s="29">
        <f>J4333-K4333</f>
        <v/>
      </c>
      <c r="M4333" t="inlineStr">
        <is>
          <t>2.350</t>
        </is>
      </c>
      <c r="N4333" t="inlineStr">
        <is>
          <t>Modalidade: 0 - Por conta do remetente | Parte: BEZERRA ARTIGOS PARA FESTAS LTDA (19.010.824/0001-70)</t>
        </is>
      </c>
      <c r="O4333" s="29" t="n">
        <v>0</v>
      </c>
      <c r="P4333" s="29" t="n">
        <v>0</v>
      </c>
      <c r="Q4333" s="29" t="n">
        <v>0</v>
      </c>
      <c r="R4333" s="29" t="n">
        <v>0</v>
      </c>
      <c r="S4333" s="29" t="n">
        <v>0</v>
      </c>
      <c r="T4333" t="inlineStr">
        <is>
          <t>25260826975620000130570010000079411011001099</t>
        </is>
      </c>
      <c r="U4333" t="inlineStr">
        <is>
          <t>Sim</t>
        </is>
      </c>
    </row>
    <row r="4334">
      <c r="A4334" t="inlineStr">
        <is>
          <t>Frete de venda</t>
        </is>
      </c>
      <c r="B4334" t="inlineStr">
        <is>
          <t>2.01.02 Frete sobre Vendas</t>
        </is>
      </c>
      <c r="C4334" s="30" t="n">
        <v>46235</v>
      </c>
      <c r="D4334" t="inlineStr">
        <is>
          <t>Em 2026</t>
        </is>
      </c>
      <c r="E4334" s="28" t="n">
        <v>46263</v>
      </c>
      <c r="F4334" t="inlineStr">
        <is>
          <t>CT-e</t>
        </is>
      </c>
      <c r="G4334" t="inlineStr">
        <is>
          <t>000007942</t>
        </is>
      </c>
      <c r="H4334" t="inlineStr">
        <is>
          <t>R&amp;R TRANSPORTE E LOGISTICA</t>
        </is>
      </c>
      <c r="J4334" s="29" t="n">
        <v>600</v>
      </c>
      <c r="K4334" s="29">
        <f>(1-ISNUMBER(SEARCH("556",M4334)))*(O4334*SUMIFS(Premissas!$C$5:$C$44,Premissas!$A$5:$A$44,$A4334,Premissas!$B$5:$B$44,$B4334)+P4334*SUMIFS(Premissas!$D$5:$D$44,Premissas!$A$5:$A$44,$A4334,Premissas!$B$5:$B$44,$B4334))+R4334*SUMIFS(Premissas!$E$5:$E$44,Premissas!$A$5:$A$44,$A4334,Premissas!$B$5:$B$44,$B4334)+S4334*SUMIFS(Premissas!$F$5:$F$44,Premissas!$A$5:$A$44,$A4334,Premissas!$B$5:$B$44,$B4334)</f>
        <v/>
      </c>
      <c r="L4334" s="29">
        <f>J4334-K4334</f>
        <v/>
      </c>
      <c r="M4334" t="inlineStr">
        <is>
          <t>2.350</t>
        </is>
      </c>
      <c r="N4334" t="inlineStr">
        <is>
          <t>Modalidade: 0 - Por conta do remetente | Parte: TOP ATACADISTA DE EMBALAGENS LTDA (62.946.602/0001-93)</t>
        </is>
      </c>
      <c r="O4334" s="29" t="n">
        <v>0</v>
      </c>
      <c r="P4334" s="29" t="n">
        <v>0</v>
      </c>
      <c r="Q4334" s="29" t="n">
        <v>0</v>
      </c>
      <c r="R4334" s="29" t="n">
        <v>0</v>
      </c>
      <c r="S4334" s="29" t="n">
        <v>0</v>
      </c>
      <c r="T4334" t="inlineStr">
        <is>
          <t>25260826975620000130570010000079421001701176</t>
        </is>
      </c>
      <c r="U4334" t="inlineStr">
        <is>
          <t>Sim</t>
        </is>
      </c>
    </row>
    <row r="4335">
      <c r="A4335" t="inlineStr">
        <is>
          <t>Frete de venda</t>
        </is>
      </c>
      <c r="B4335" t="inlineStr">
        <is>
          <t>2.01.02 Frete sobre Vendas</t>
        </is>
      </c>
      <c r="C4335" s="30" t="n">
        <v>46235</v>
      </c>
      <c r="D4335" t="inlineStr">
        <is>
          <t>Em 2026</t>
        </is>
      </c>
      <c r="E4335" s="28" t="n">
        <v>46265</v>
      </c>
      <c r="F4335" t="inlineStr">
        <is>
          <t>CT-e</t>
        </is>
      </c>
      <c r="G4335" t="inlineStr">
        <is>
          <t>000007947</t>
        </is>
      </c>
      <c r="H4335" t="inlineStr">
        <is>
          <t>R&amp;R TRANSPORTE E LOGISTICA</t>
        </is>
      </c>
      <c r="J4335" s="29" t="n">
        <v>750</v>
      </c>
      <c r="K4335" s="29">
        <f>(1-ISNUMBER(SEARCH("556",M4335)))*(O4335*SUMIFS(Premissas!$C$5:$C$44,Premissas!$A$5:$A$44,$A4335,Premissas!$B$5:$B$44,$B4335)+P4335*SUMIFS(Premissas!$D$5:$D$44,Premissas!$A$5:$A$44,$A4335,Premissas!$B$5:$B$44,$B4335))+R4335*SUMIFS(Premissas!$E$5:$E$44,Premissas!$A$5:$A$44,$A4335,Premissas!$B$5:$B$44,$B4335)+S4335*SUMIFS(Premissas!$F$5:$F$44,Premissas!$A$5:$A$44,$A4335,Premissas!$B$5:$B$44,$B4335)</f>
        <v/>
      </c>
      <c r="L4335" s="29">
        <f>J4335-K4335</f>
        <v/>
      </c>
      <c r="M4335" t="inlineStr">
        <is>
          <t>2.350</t>
        </is>
      </c>
      <c r="N4335" t="inlineStr">
        <is>
          <t>Modalidade: 0 - Por conta do remetente | Parte: IRMAOS HALULI LTDA (10.773.984/0001-05)</t>
        </is>
      </c>
      <c r="O4335" s="29" t="n">
        <v>0</v>
      </c>
      <c r="P4335" s="29" t="n">
        <v>0</v>
      </c>
      <c r="Q4335" s="29" t="n">
        <v>0</v>
      </c>
      <c r="R4335" s="29" t="n">
        <v>0</v>
      </c>
      <c r="S4335" s="29" t="n">
        <v>0</v>
      </c>
      <c r="T4335" t="inlineStr">
        <is>
          <t>25260826975620000130570010000079471000140819</t>
        </is>
      </c>
      <c r="U4335" t="inlineStr">
        <is>
          <t>Sim</t>
        </is>
      </c>
    </row>
    <row r="4336">
      <c r="A4336" t="inlineStr">
        <is>
          <t>Frete de venda</t>
        </is>
      </c>
      <c r="B4336" t="inlineStr">
        <is>
          <t>2.01.02 Frete sobre Vendas</t>
        </is>
      </c>
      <c r="C4336" s="30" t="n">
        <v>46235</v>
      </c>
      <c r="D4336" t="inlineStr">
        <is>
          <t>Em 2026</t>
        </is>
      </c>
      <c r="E4336" s="28" t="n">
        <v>46265</v>
      </c>
      <c r="F4336" t="inlineStr">
        <is>
          <t>CT-e</t>
        </is>
      </c>
      <c r="G4336" t="inlineStr">
        <is>
          <t>000007948</t>
        </is>
      </c>
      <c r="H4336" t="inlineStr">
        <is>
          <t>R&amp;R TRANSPORTE E LOGISTICA</t>
        </is>
      </c>
      <c r="J4336" s="29" t="n">
        <v>750</v>
      </c>
      <c r="K4336" s="29">
        <f>(1-ISNUMBER(SEARCH("556",M4336)))*(O4336*SUMIFS(Premissas!$C$5:$C$44,Premissas!$A$5:$A$44,$A4336,Premissas!$B$5:$B$44,$B4336)+P4336*SUMIFS(Premissas!$D$5:$D$44,Premissas!$A$5:$A$44,$A4336,Premissas!$B$5:$B$44,$B4336))+R4336*SUMIFS(Premissas!$E$5:$E$44,Premissas!$A$5:$A$44,$A4336,Premissas!$B$5:$B$44,$B4336)+S4336*SUMIFS(Premissas!$F$5:$F$44,Premissas!$A$5:$A$44,$A4336,Premissas!$B$5:$B$44,$B4336)</f>
        <v/>
      </c>
      <c r="L4336" s="29">
        <f>J4336-K4336</f>
        <v/>
      </c>
      <c r="M4336" t="inlineStr">
        <is>
          <t>2.350</t>
        </is>
      </c>
      <c r="N4336" t="inlineStr">
        <is>
          <t>Modalidade: 0 - Por conta do remetente | Parte: PRASO PLATAFORMA DE COMERCIO LTDA. (42.434.646/0003-99)</t>
        </is>
      </c>
      <c r="O4336" s="29" t="n">
        <v>0</v>
      </c>
      <c r="P4336" s="29" t="n">
        <v>0</v>
      </c>
      <c r="Q4336" s="29" t="n">
        <v>0</v>
      </c>
      <c r="R4336" s="29" t="n">
        <v>0</v>
      </c>
      <c r="S4336" s="29" t="n">
        <v>0</v>
      </c>
      <c r="T4336" t="inlineStr">
        <is>
          <t>25260826975620000130570010000079481000110895</t>
        </is>
      </c>
      <c r="U4336" t="inlineStr">
        <is>
          <t>Sim</t>
        </is>
      </c>
    </row>
    <row r="4337">
      <c r="A4337" t="inlineStr">
        <is>
          <t>Frete de venda</t>
        </is>
      </c>
      <c r="B4337" t="inlineStr">
        <is>
          <t>2.01.02 Frete sobre Vendas</t>
        </is>
      </c>
      <c r="C4337" s="30" t="n">
        <v>46235</v>
      </c>
      <c r="D4337" t="inlineStr">
        <is>
          <t>Em 2026</t>
        </is>
      </c>
      <c r="E4337" s="28" t="n">
        <v>46265</v>
      </c>
      <c r="F4337" t="inlineStr">
        <is>
          <t>CT-e</t>
        </is>
      </c>
      <c r="G4337" t="inlineStr">
        <is>
          <t>000007949</t>
        </is>
      </c>
      <c r="H4337" t="inlineStr">
        <is>
          <t>R&amp;R TRANSPORTE E LOGISTICA</t>
        </is>
      </c>
      <c r="J4337" s="29" t="n">
        <v>500</v>
      </c>
      <c r="K4337" s="29">
        <f>(1-ISNUMBER(SEARCH("556",M4337)))*(O4337*SUMIFS(Premissas!$C$5:$C$44,Premissas!$A$5:$A$44,$A4337,Premissas!$B$5:$B$44,$B4337)+P4337*SUMIFS(Premissas!$D$5:$D$44,Premissas!$A$5:$A$44,$A4337,Premissas!$B$5:$B$44,$B4337))+R4337*SUMIFS(Premissas!$E$5:$E$44,Premissas!$A$5:$A$44,$A4337,Premissas!$B$5:$B$44,$B4337)+S4337*SUMIFS(Premissas!$F$5:$F$44,Premissas!$A$5:$A$44,$A4337,Premissas!$B$5:$B$44,$B4337)</f>
        <v/>
      </c>
      <c r="L4337" s="29">
        <f>J4337-K4337</f>
        <v/>
      </c>
      <c r="M4337" t="inlineStr">
        <is>
          <t>2.350</t>
        </is>
      </c>
      <c r="N4337" t="inlineStr">
        <is>
          <t>Modalidade: 0 - Por conta do remetente | Parte: ANA CLAUDIA ANDRADE DE SANTANA (43.743.433/0001-40)</t>
        </is>
      </c>
      <c r="O4337" s="29" t="n">
        <v>0</v>
      </c>
      <c r="P4337" s="29" t="n">
        <v>0</v>
      </c>
      <c r="Q4337" s="29" t="n">
        <v>0</v>
      </c>
      <c r="R4337" s="29" t="n">
        <v>0</v>
      </c>
      <c r="S4337" s="29" t="n">
        <v>0</v>
      </c>
      <c r="T4337" t="inlineStr">
        <is>
          <t>25260826975620000130570010000079491000190977</t>
        </is>
      </c>
      <c r="U4337" t="inlineStr">
        <is>
          <t>Sim</t>
        </is>
      </c>
    </row>
    <row r="4338">
      <c r="A4338" t="inlineStr">
        <is>
          <t>Frete de venda</t>
        </is>
      </c>
      <c r="B4338" t="inlineStr">
        <is>
          <t>2.01.02 Frete sobre Vendas</t>
        </is>
      </c>
      <c r="C4338" s="30" t="n">
        <v>46235</v>
      </c>
      <c r="D4338" t="inlineStr">
        <is>
          <t>Em 2026</t>
        </is>
      </c>
      <c r="E4338" s="28" t="n">
        <v>46265</v>
      </c>
      <c r="F4338" t="inlineStr">
        <is>
          <t>CT-e</t>
        </is>
      </c>
      <c r="G4338" t="inlineStr">
        <is>
          <t>000007950</t>
        </is>
      </c>
      <c r="H4338" t="inlineStr">
        <is>
          <t>R&amp;R TRANSPORTE E LOGISTICA</t>
        </is>
      </c>
      <c r="J4338" s="29" t="n">
        <v>500</v>
      </c>
      <c r="K4338" s="29">
        <f>(1-ISNUMBER(SEARCH("556",M4338)))*(O4338*SUMIFS(Premissas!$C$5:$C$44,Premissas!$A$5:$A$44,$A4338,Premissas!$B$5:$B$44,$B4338)+P4338*SUMIFS(Premissas!$D$5:$D$44,Premissas!$A$5:$A$44,$A4338,Premissas!$B$5:$B$44,$B4338))+R4338*SUMIFS(Premissas!$E$5:$E$44,Premissas!$A$5:$A$44,$A4338,Premissas!$B$5:$B$44,$B4338)+S4338*SUMIFS(Premissas!$F$5:$F$44,Premissas!$A$5:$A$44,$A4338,Premissas!$B$5:$B$44,$B4338)</f>
        <v/>
      </c>
      <c r="L4338" s="29">
        <f>J4338-K4338</f>
        <v/>
      </c>
      <c r="M4338" t="inlineStr">
        <is>
          <t>2.350</t>
        </is>
      </c>
      <c r="N4338" t="inlineStr">
        <is>
          <t>Modalidade: 0 - Por conta do remetente | Parte: SORVEPAN COM E REPRESENTACOES LTDA (00.904.538/0001-20)</t>
        </is>
      </c>
      <c r="O4338" s="29" t="n">
        <v>0</v>
      </c>
      <c r="P4338" s="29" t="n">
        <v>0</v>
      </c>
      <c r="Q4338" s="29" t="n">
        <v>0</v>
      </c>
      <c r="R4338" s="29" t="n">
        <v>0</v>
      </c>
      <c r="S4338" s="29" t="n">
        <v>0</v>
      </c>
      <c r="T4338" t="inlineStr">
        <is>
          <t>25260826975620000130570010000079501001601050</t>
        </is>
      </c>
      <c r="U4338" t="inlineStr">
        <is>
          <t>Sim</t>
        </is>
      </c>
    </row>
    <row r="4339">
      <c r="A4339" t="inlineStr">
        <is>
          <t>Frete de venda</t>
        </is>
      </c>
      <c r="B4339" t="inlineStr">
        <is>
          <t>2.01.02 Frete sobre Vendas</t>
        </is>
      </c>
      <c r="C4339" s="30" t="n">
        <v>46235</v>
      </c>
      <c r="D4339" t="inlineStr">
        <is>
          <t>Em 2026</t>
        </is>
      </c>
      <c r="E4339" s="28" t="n">
        <v>46265</v>
      </c>
      <c r="F4339" t="inlineStr">
        <is>
          <t>CT-e</t>
        </is>
      </c>
      <c r="G4339" t="inlineStr">
        <is>
          <t>000007951</t>
        </is>
      </c>
      <c r="H4339" t="inlineStr">
        <is>
          <t>R&amp;R TRANSPORTE E LOGISTICA</t>
        </is>
      </c>
      <c r="J4339" s="29" t="n">
        <v>2500</v>
      </c>
      <c r="K4339" s="29">
        <f>(1-ISNUMBER(SEARCH("556",M4339)))*(O4339*SUMIFS(Premissas!$C$5:$C$44,Premissas!$A$5:$A$44,$A4339,Premissas!$B$5:$B$44,$B4339)+P4339*SUMIFS(Premissas!$D$5:$D$44,Premissas!$A$5:$A$44,$A4339,Premissas!$B$5:$B$44,$B4339))+R4339*SUMIFS(Premissas!$E$5:$E$44,Premissas!$A$5:$A$44,$A4339,Premissas!$B$5:$B$44,$B4339)+S4339*SUMIFS(Premissas!$F$5:$F$44,Premissas!$A$5:$A$44,$A4339,Premissas!$B$5:$B$44,$B4339)</f>
        <v/>
      </c>
      <c r="L4339" s="29">
        <f>J4339-K4339</f>
        <v/>
      </c>
      <c r="M4339" t="inlineStr">
        <is>
          <t>2.350</t>
        </is>
      </c>
      <c r="N4339" t="inlineStr">
        <is>
          <t>Modalidade: 0 - Por conta do remetente | Parte: EMBALAR DISTRIBUIDORA DE EMBALAGENS LTDA (10.347.424/0001-80)</t>
        </is>
      </c>
      <c r="O4339" s="29" t="n">
        <v>0</v>
      </c>
      <c r="P4339" s="29" t="n">
        <v>0</v>
      </c>
      <c r="Q4339" s="29" t="n">
        <v>0</v>
      </c>
      <c r="R4339" s="29" t="n">
        <v>0</v>
      </c>
      <c r="S4339" s="29" t="n">
        <v>0</v>
      </c>
      <c r="T4339" t="inlineStr">
        <is>
          <t>25260826975620000130570010000079511001301134</t>
        </is>
      </c>
      <c r="U4339" t="inlineStr">
        <is>
          <t>Sim</t>
        </is>
      </c>
    </row>
    <row r="4340">
      <c r="A4340" t="inlineStr">
        <is>
          <t>Frete de venda</t>
        </is>
      </c>
      <c r="B4340" t="inlineStr">
        <is>
          <t>2.01.02 Frete sobre Vendas</t>
        </is>
      </c>
      <c r="C4340" s="30" t="n">
        <v>46235</v>
      </c>
      <c r="D4340" t="inlineStr">
        <is>
          <t>Em 2026</t>
        </is>
      </c>
      <c r="E4340" s="28" t="n">
        <v>46265</v>
      </c>
      <c r="F4340" t="inlineStr">
        <is>
          <t>CT-e</t>
        </is>
      </c>
      <c r="G4340" t="inlineStr">
        <is>
          <t>000007952</t>
        </is>
      </c>
      <c r="H4340" t="inlineStr">
        <is>
          <t>R&amp;R TRANSPORTE E LOGISTICA</t>
        </is>
      </c>
      <c r="J4340" s="29" t="n">
        <v>2500</v>
      </c>
      <c r="K4340" s="29">
        <f>(1-ISNUMBER(SEARCH("556",M4340)))*(O4340*SUMIFS(Premissas!$C$5:$C$44,Premissas!$A$5:$A$44,$A4340,Premissas!$B$5:$B$44,$B4340)+P4340*SUMIFS(Premissas!$D$5:$D$44,Premissas!$A$5:$A$44,$A4340,Premissas!$B$5:$B$44,$B4340))+R4340*SUMIFS(Premissas!$E$5:$E$44,Premissas!$A$5:$A$44,$A4340,Premissas!$B$5:$B$44,$B4340)+S4340*SUMIFS(Premissas!$F$5:$F$44,Premissas!$A$5:$A$44,$A4340,Premissas!$B$5:$B$44,$B4340)</f>
        <v/>
      </c>
      <c r="L4340" s="29">
        <f>J4340-K4340</f>
        <v/>
      </c>
      <c r="M4340" t="inlineStr">
        <is>
          <t>2.350</t>
        </is>
      </c>
      <c r="N4340" t="inlineStr">
        <is>
          <t>Modalidade: 0 - Por conta do remetente | Parte: UP DISTRIBUIDORA DE PRODUTOS DESCARTAVEIS LTDA (12.423.997/0001-71)</t>
        </is>
      </c>
      <c r="O4340" s="29" t="n">
        <v>0</v>
      </c>
      <c r="P4340" s="29" t="n">
        <v>0</v>
      </c>
      <c r="Q4340" s="29" t="n">
        <v>0</v>
      </c>
      <c r="R4340" s="29" t="n">
        <v>0</v>
      </c>
      <c r="S4340" s="29" t="n">
        <v>0</v>
      </c>
      <c r="T4340" t="inlineStr">
        <is>
          <t>25260826975620000130570010000079521000101210</t>
        </is>
      </c>
      <c r="U4340" t="inlineStr">
        <is>
          <t>Sim</t>
        </is>
      </c>
    </row>
    <row r="4341">
      <c r="A4341" t="inlineStr">
        <is>
          <t>Frete de venda</t>
        </is>
      </c>
      <c r="B4341" t="inlineStr">
        <is>
          <t>2.01.02 Frete sobre Vendas</t>
        </is>
      </c>
      <c r="C4341" s="30" t="n">
        <v>46235</v>
      </c>
      <c r="D4341" t="inlineStr">
        <is>
          <t>Em 2026</t>
        </is>
      </c>
      <c r="E4341" s="28" t="n">
        <v>46251</v>
      </c>
      <c r="F4341" t="inlineStr">
        <is>
          <t>CT-e</t>
        </is>
      </c>
      <c r="G4341" t="inlineStr">
        <is>
          <t>000004861</t>
        </is>
      </c>
      <c r="H4341" t="inlineStr">
        <is>
          <t>RAPIDO XAPURI TRANSPORTES E LOGISTICA LTDA</t>
        </is>
      </c>
      <c r="J4341" s="29" t="n">
        <v>6493.42</v>
      </c>
      <c r="K4341" s="29">
        <f>(1-ISNUMBER(SEARCH("556",M4341)))*(O4341*SUMIFS(Premissas!$C$5:$C$44,Premissas!$A$5:$A$44,$A4341,Premissas!$B$5:$B$44,$B4341)+P4341*SUMIFS(Premissas!$D$5:$D$44,Premissas!$A$5:$A$44,$A4341,Premissas!$B$5:$B$44,$B4341))+R4341*SUMIFS(Premissas!$E$5:$E$44,Premissas!$A$5:$A$44,$A4341,Premissas!$B$5:$B$44,$B4341)+S4341*SUMIFS(Premissas!$F$5:$F$44,Premissas!$A$5:$A$44,$A4341,Premissas!$B$5:$B$44,$B4341)</f>
        <v/>
      </c>
      <c r="L4341" s="29">
        <f>J4341-K4341</f>
        <v/>
      </c>
      <c r="M4341" t="inlineStr">
        <is>
          <t>2.350</t>
        </is>
      </c>
      <c r="N4341" t="inlineStr">
        <is>
          <t>Modalidade: 0 - Por conta do remetente | Parte: L. C. DE ANDRADE LTDA (51.921.825/0001-80)</t>
        </is>
      </c>
      <c r="O4341" s="29" t="n">
        <v>0</v>
      </c>
      <c r="P4341" s="29" t="n">
        <v>779.21</v>
      </c>
      <c r="Q4341" s="29" t="n">
        <v>0</v>
      </c>
      <c r="R4341" s="29" t="n">
        <v>0</v>
      </c>
      <c r="S4341" s="29" t="n">
        <v>0</v>
      </c>
      <c r="T4341" t="inlineStr">
        <is>
          <t>52260827775231000557570010000048611000796240</t>
        </is>
      </c>
      <c r="U4341" t="inlineStr">
        <is>
          <t>Sim</t>
        </is>
      </c>
    </row>
    <row r="4342">
      <c r="A4342" t="inlineStr">
        <is>
          <t>Frete de venda</t>
        </is>
      </c>
      <c r="B4342" t="inlineStr">
        <is>
          <t>2.01.02 Frete sobre Vendas</t>
        </is>
      </c>
      <c r="C4342" s="30" t="n">
        <v>46235</v>
      </c>
      <c r="D4342" t="inlineStr">
        <is>
          <t>Em 2026</t>
        </is>
      </c>
      <c r="E4342" s="28" t="n">
        <v>46251</v>
      </c>
      <c r="F4342" t="inlineStr">
        <is>
          <t>CT-e</t>
        </is>
      </c>
      <c r="G4342" t="inlineStr">
        <is>
          <t>000004862</t>
        </is>
      </c>
      <c r="H4342" t="inlineStr">
        <is>
          <t>RAPIDO XAPURI TRANSPORTES E LOGISTICA LTDA</t>
        </is>
      </c>
      <c r="J4342" s="29" t="n">
        <v>5461.78</v>
      </c>
      <c r="K4342" s="29">
        <f>(1-ISNUMBER(SEARCH("556",M4342)))*(O4342*SUMIFS(Premissas!$C$5:$C$44,Premissas!$A$5:$A$44,$A4342,Premissas!$B$5:$B$44,$B4342)+P4342*SUMIFS(Premissas!$D$5:$D$44,Premissas!$A$5:$A$44,$A4342,Premissas!$B$5:$B$44,$B4342))+R4342*SUMIFS(Premissas!$E$5:$E$44,Premissas!$A$5:$A$44,$A4342,Premissas!$B$5:$B$44,$B4342)+S4342*SUMIFS(Premissas!$F$5:$F$44,Premissas!$A$5:$A$44,$A4342,Premissas!$B$5:$B$44,$B4342)</f>
        <v/>
      </c>
      <c r="L4342" s="29">
        <f>J4342-K4342</f>
        <v/>
      </c>
      <c r="M4342" t="inlineStr">
        <is>
          <t>2.350</t>
        </is>
      </c>
      <c r="N4342" t="inlineStr">
        <is>
          <t>Modalidade: 0 - Por conta do remetente | Parte: SIMAO DISTRIBUIDORA DE PRODUTOS ALIMENTICIOS E EMBALAGENS LT (60.491.308/0001-09)</t>
        </is>
      </c>
      <c r="O4342" s="29" t="n">
        <v>0</v>
      </c>
      <c r="P4342" s="29" t="n">
        <v>655.41</v>
      </c>
      <c r="Q4342" s="29" t="n">
        <v>0</v>
      </c>
      <c r="R4342" s="29" t="n">
        <v>0</v>
      </c>
      <c r="S4342" s="29" t="n">
        <v>0</v>
      </c>
      <c r="T4342" t="inlineStr">
        <is>
          <t>52260827775231000557570010000048621000796255</t>
        </is>
      </c>
      <c r="U4342" t="inlineStr">
        <is>
          <t>Sim</t>
        </is>
      </c>
    </row>
    <row r="4343">
      <c r="A4343" t="inlineStr">
        <is>
          <t>Frete de venda</t>
        </is>
      </c>
      <c r="B4343" t="inlineStr">
        <is>
          <t>2.01.02 Frete sobre Vendas</t>
        </is>
      </c>
      <c r="C4343" s="30" t="n">
        <v>46235</v>
      </c>
      <c r="D4343" t="inlineStr">
        <is>
          <t>Em 2026</t>
        </is>
      </c>
      <c r="E4343" s="28" t="n">
        <v>46251</v>
      </c>
      <c r="F4343" t="inlineStr">
        <is>
          <t>CT-e</t>
        </is>
      </c>
      <c r="G4343" t="inlineStr">
        <is>
          <t>000004863</t>
        </is>
      </c>
      <c r="H4343" t="inlineStr">
        <is>
          <t>RAPIDO XAPURI TRANSPORTES E LOGISTICA LTDA</t>
        </is>
      </c>
      <c r="J4343" s="29" t="n">
        <v>534.36</v>
      </c>
      <c r="K4343" s="29">
        <f>(1-ISNUMBER(SEARCH("556",M4343)))*(O4343*SUMIFS(Premissas!$C$5:$C$44,Premissas!$A$5:$A$44,$A4343,Premissas!$B$5:$B$44,$B4343)+P4343*SUMIFS(Premissas!$D$5:$D$44,Premissas!$A$5:$A$44,$A4343,Premissas!$B$5:$B$44,$B4343))+R4343*SUMIFS(Premissas!$E$5:$E$44,Premissas!$A$5:$A$44,$A4343,Premissas!$B$5:$B$44,$B4343)+S4343*SUMIFS(Premissas!$F$5:$F$44,Premissas!$A$5:$A$44,$A4343,Premissas!$B$5:$B$44,$B4343)</f>
        <v/>
      </c>
      <c r="L4343" s="29">
        <f>J4343-K4343</f>
        <v/>
      </c>
      <c r="M4343" t="inlineStr">
        <is>
          <t>2.350</t>
        </is>
      </c>
      <c r="N4343" t="inlineStr">
        <is>
          <t>Modalidade: 0 - Por conta do remetente | Parte: A. C. D. A. IMPORTACAO E EXPORTACAO LTDA (84.308.980/0008-50)</t>
        </is>
      </c>
      <c r="O4343" s="29" t="n">
        <v>0</v>
      </c>
      <c r="P4343" s="29" t="n">
        <v>64.12</v>
      </c>
      <c r="Q4343" s="29" t="n">
        <v>0</v>
      </c>
      <c r="R4343" s="29" t="n">
        <v>0</v>
      </c>
      <c r="S4343" s="29" t="n">
        <v>0</v>
      </c>
      <c r="T4343" t="inlineStr">
        <is>
          <t>52260827775231000557570010000048631000796260</t>
        </is>
      </c>
      <c r="U4343" t="inlineStr">
        <is>
          <t>Sim</t>
        </is>
      </c>
    </row>
    <row r="4344">
      <c r="A4344" t="inlineStr">
        <is>
          <t>Frete de venda</t>
        </is>
      </c>
      <c r="B4344" t="inlineStr">
        <is>
          <t>2.01.02 Frete sobre Vendas</t>
        </is>
      </c>
      <c r="C4344" s="30" t="n">
        <v>46235</v>
      </c>
      <c r="D4344" t="inlineStr">
        <is>
          <t>Em 2026</t>
        </is>
      </c>
      <c r="E4344" s="28" t="n">
        <v>46251</v>
      </c>
      <c r="F4344" t="inlineStr">
        <is>
          <t>CT-e</t>
        </is>
      </c>
      <c r="G4344" t="inlineStr">
        <is>
          <t>000004864</t>
        </is>
      </c>
      <c r="H4344" t="inlineStr">
        <is>
          <t>RAPIDO XAPURI TRANSPORTES E LOGISTICA LTDA</t>
        </is>
      </c>
      <c r="J4344" s="29" t="n">
        <v>421.05</v>
      </c>
      <c r="K4344" s="29">
        <f>(1-ISNUMBER(SEARCH("556",M4344)))*(O4344*SUMIFS(Premissas!$C$5:$C$44,Premissas!$A$5:$A$44,$A4344,Premissas!$B$5:$B$44,$B4344)+P4344*SUMIFS(Premissas!$D$5:$D$44,Premissas!$A$5:$A$44,$A4344,Premissas!$B$5:$B$44,$B4344))+R4344*SUMIFS(Premissas!$E$5:$E$44,Premissas!$A$5:$A$44,$A4344,Premissas!$B$5:$B$44,$B4344)+S4344*SUMIFS(Premissas!$F$5:$F$44,Premissas!$A$5:$A$44,$A4344,Premissas!$B$5:$B$44,$B4344)</f>
        <v/>
      </c>
      <c r="L4344" s="29">
        <f>J4344-K4344</f>
        <v/>
      </c>
      <c r="M4344" t="inlineStr">
        <is>
          <t>2.350</t>
        </is>
      </c>
      <c r="N4344" t="inlineStr">
        <is>
          <t>Modalidade: 0 - Por conta do remetente | Parte: COMERCIAL SIMAO LTDA (02.745.979/0001-52)</t>
        </is>
      </c>
      <c r="O4344" s="29" t="n">
        <v>0</v>
      </c>
      <c r="P4344" s="29" t="n">
        <v>50.53</v>
      </c>
      <c r="Q4344" s="29" t="n">
        <v>0</v>
      </c>
      <c r="R4344" s="29" t="n">
        <v>0</v>
      </c>
      <c r="S4344" s="29" t="n">
        <v>0</v>
      </c>
      <c r="T4344" t="inlineStr">
        <is>
          <t>52260827775231000557570010000048641000796276</t>
        </is>
      </c>
      <c r="U4344" t="inlineStr">
        <is>
          <t>Sim</t>
        </is>
      </c>
    </row>
    <row r="4345">
      <c r="A4345" t="inlineStr">
        <is>
          <t>Frete de venda</t>
        </is>
      </c>
      <c r="B4345" t="inlineStr">
        <is>
          <t>2.01.02 Frete sobre Vendas</t>
        </is>
      </c>
      <c r="C4345" s="30" t="n">
        <v>46235</v>
      </c>
      <c r="D4345" t="inlineStr">
        <is>
          <t>Em 2026</t>
        </is>
      </c>
      <c r="E4345" s="28" t="n">
        <v>46251</v>
      </c>
      <c r="F4345" t="inlineStr">
        <is>
          <t>CT-e</t>
        </is>
      </c>
      <c r="G4345" t="inlineStr">
        <is>
          <t>000004865</t>
        </is>
      </c>
      <c r="H4345" t="inlineStr">
        <is>
          <t>RAPIDO XAPURI TRANSPORTES E LOGISTICA LTDA</t>
        </is>
      </c>
      <c r="J4345" s="29" t="n">
        <v>1025.31</v>
      </c>
      <c r="K4345" s="29">
        <f>(1-ISNUMBER(SEARCH("556",M4345)))*(O4345*SUMIFS(Premissas!$C$5:$C$44,Premissas!$A$5:$A$44,$A4345,Premissas!$B$5:$B$44,$B4345)+P4345*SUMIFS(Premissas!$D$5:$D$44,Premissas!$A$5:$A$44,$A4345,Premissas!$B$5:$B$44,$B4345))+R4345*SUMIFS(Premissas!$E$5:$E$44,Premissas!$A$5:$A$44,$A4345,Premissas!$B$5:$B$44,$B4345)+S4345*SUMIFS(Premissas!$F$5:$F$44,Premissas!$A$5:$A$44,$A4345,Premissas!$B$5:$B$44,$B4345)</f>
        <v/>
      </c>
      <c r="L4345" s="29">
        <f>J4345-K4345</f>
        <v/>
      </c>
      <c r="M4345" t="inlineStr">
        <is>
          <t>2.350</t>
        </is>
      </c>
      <c r="N4345" t="inlineStr">
        <is>
          <t>Modalidade: 0 - Por conta do remetente | Parte: MERCANTIL SAO SEBASTIAO LTDA (34.707.687/0001-11)</t>
        </is>
      </c>
      <c r="O4345" s="29" t="n">
        <v>0</v>
      </c>
      <c r="P4345" s="29" t="n">
        <v>123.04</v>
      </c>
      <c r="Q4345" s="29" t="n">
        <v>0</v>
      </c>
      <c r="R4345" s="29" t="n">
        <v>0</v>
      </c>
      <c r="S4345" s="29" t="n">
        <v>0</v>
      </c>
      <c r="T4345" t="inlineStr">
        <is>
          <t>52260827775231000557570010000048651000796281</t>
        </is>
      </c>
      <c r="U4345" t="inlineStr">
        <is>
          <t>Sim</t>
        </is>
      </c>
    </row>
    <row r="4346">
      <c r="A4346" t="inlineStr">
        <is>
          <t>Frete de venda</t>
        </is>
      </c>
      <c r="B4346" t="inlineStr">
        <is>
          <t>2.01.02 Frete sobre Vendas</t>
        </is>
      </c>
      <c r="C4346" s="30" t="n">
        <v>46235</v>
      </c>
      <c r="D4346" t="inlineStr">
        <is>
          <t>Em 2026</t>
        </is>
      </c>
      <c r="E4346" s="28" t="n">
        <v>46248</v>
      </c>
      <c r="F4346" t="inlineStr">
        <is>
          <t>CT-e</t>
        </is>
      </c>
      <c r="G4346" t="inlineStr">
        <is>
          <t>000046570</t>
        </is>
      </c>
      <c r="H4346" t="inlineStr">
        <is>
          <t>TRANSFORRECHI TRANSPORTES LTDA</t>
        </is>
      </c>
      <c r="J4346" s="29" t="n">
        <v>2500</v>
      </c>
      <c r="K4346" s="29">
        <f>(1-ISNUMBER(SEARCH("556",M4346)))*(O4346*SUMIFS(Premissas!$C$5:$C$44,Premissas!$A$5:$A$44,$A4346,Premissas!$B$5:$B$44,$B4346)+P4346*SUMIFS(Premissas!$D$5:$D$44,Premissas!$A$5:$A$44,$A4346,Premissas!$B$5:$B$44,$B4346))+R4346*SUMIFS(Premissas!$E$5:$E$44,Premissas!$A$5:$A$44,$A4346,Premissas!$B$5:$B$44,$B4346)+S4346*SUMIFS(Premissas!$F$5:$F$44,Premissas!$A$5:$A$44,$A4346,Premissas!$B$5:$B$44,$B4346)</f>
        <v/>
      </c>
      <c r="L4346" s="29">
        <f>J4346-K4346</f>
        <v/>
      </c>
      <c r="M4346" t="inlineStr">
        <is>
          <t>2.350</t>
        </is>
      </c>
      <c r="N4346" t="inlineStr">
        <is>
          <t>Modalidade: 0 - Por conta do remetente | Parte: COMERCIAL DISKPAN LTDA (02.691.482/0001-07)</t>
        </is>
      </c>
      <c r="O4346" s="29" t="n">
        <v>0</v>
      </c>
      <c r="P4346" s="29" t="n">
        <v>300</v>
      </c>
      <c r="Q4346" s="29" t="n">
        <v>0</v>
      </c>
      <c r="R4346" s="29" t="n">
        <v>0</v>
      </c>
      <c r="S4346" s="29" t="n">
        <v>0</v>
      </c>
      <c r="T4346" t="inlineStr">
        <is>
          <t>32260803710040000115570010000465701000482286</t>
        </is>
      </c>
      <c r="U4346" t="inlineStr">
        <is>
          <t>Sim</t>
        </is>
      </c>
    </row>
    <row r="4347">
      <c r="A4347" t="inlineStr">
        <is>
          <t>Frete de venda</t>
        </is>
      </c>
      <c r="B4347" t="inlineStr">
        <is>
          <t>2.01.02 Frete sobre Vendas</t>
        </is>
      </c>
      <c r="C4347" s="30" t="n">
        <v>46235</v>
      </c>
      <c r="D4347" t="inlineStr">
        <is>
          <t>Em 2026</t>
        </is>
      </c>
      <c r="E4347" s="28" t="n">
        <v>46248</v>
      </c>
      <c r="F4347" t="inlineStr">
        <is>
          <t>CT-e</t>
        </is>
      </c>
      <c r="G4347" t="inlineStr">
        <is>
          <t>000046571</t>
        </is>
      </c>
      <c r="H4347" t="inlineStr">
        <is>
          <t>TRANSFORRECHI TRANSPORTES LTDA</t>
        </is>
      </c>
      <c r="J4347" s="29" t="n">
        <v>1800</v>
      </c>
      <c r="K4347" s="29">
        <f>(1-ISNUMBER(SEARCH("556",M4347)))*(O4347*SUMIFS(Premissas!$C$5:$C$44,Premissas!$A$5:$A$44,$A4347,Premissas!$B$5:$B$44,$B4347)+P4347*SUMIFS(Premissas!$D$5:$D$44,Premissas!$A$5:$A$44,$A4347,Premissas!$B$5:$B$44,$B4347))+R4347*SUMIFS(Premissas!$E$5:$E$44,Premissas!$A$5:$A$44,$A4347,Premissas!$B$5:$B$44,$B4347)+S4347*SUMIFS(Premissas!$F$5:$F$44,Premissas!$A$5:$A$44,$A4347,Premissas!$B$5:$B$44,$B4347)</f>
        <v/>
      </c>
      <c r="L4347" s="29">
        <f>J4347-K4347</f>
        <v/>
      </c>
      <c r="M4347" t="inlineStr">
        <is>
          <t>2.350</t>
        </is>
      </c>
      <c r="N4347" t="inlineStr">
        <is>
          <t>Modalidade: 0 - Por conta do remetente | Parte: ZANEPAN COMERCIO ATACADISTA DE GENEROS ALIMENTICIOS LTDA (04.319.228/0001-08)</t>
        </is>
      </c>
      <c r="O4347" s="29" t="n">
        <v>0</v>
      </c>
      <c r="P4347" s="29" t="n">
        <v>216</v>
      </c>
      <c r="Q4347" s="29" t="n">
        <v>0</v>
      </c>
      <c r="R4347" s="29" t="n">
        <v>0</v>
      </c>
      <c r="S4347" s="29" t="n">
        <v>0</v>
      </c>
      <c r="T4347" t="inlineStr">
        <is>
          <t>32260803710040000115570010000465711000482291</t>
        </is>
      </c>
      <c r="U4347" t="inlineStr">
        <is>
          <t>Sim</t>
        </is>
      </c>
    </row>
    <row r="4348">
      <c r="A4348" t="inlineStr">
        <is>
          <t>Frete de venda</t>
        </is>
      </c>
      <c r="B4348" t="inlineStr">
        <is>
          <t>2.01.02 Frete sobre Vendas</t>
        </is>
      </c>
      <c r="C4348" s="30" t="n">
        <v>46235</v>
      </c>
      <c r="D4348" t="inlineStr">
        <is>
          <t>Em 2026</t>
        </is>
      </c>
      <c r="E4348" s="28" t="n">
        <v>46248</v>
      </c>
      <c r="F4348" t="inlineStr">
        <is>
          <t>CT-e</t>
        </is>
      </c>
      <c r="G4348" t="inlineStr">
        <is>
          <t>000046572</t>
        </is>
      </c>
      <c r="H4348" t="inlineStr">
        <is>
          <t>TRANSFORRECHI TRANSPORTES LTDA</t>
        </is>
      </c>
      <c r="J4348" s="29" t="n">
        <v>680</v>
      </c>
      <c r="K4348" s="29">
        <f>(1-ISNUMBER(SEARCH("556",M4348)))*(O4348*SUMIFS(Premissas!$C$5:$C$44,Premissas!$A$5:$A$44,$A4348,Premissas!$B$5:$B$44,$B4348)+P4348*SUMIFS(Premissas!$D$5:$D$44,Premissas!$A$5:$A$44,$A4348,Premissas!$B$5:$B$44,$B4348))+R4348*SUMIFS(Premissas!$E$5:$E$44,Premissas!$A$5:$A$44,$A4348,Premissas!$B$5:$B$44,$B4348)+S4348*SUMIFS(Premissas!$F$5:$F$44,Premissas!$A$5:$A$44,$A4348,Premissas!$B$5:$B$44,$B4348)</f>
        <v/>
      </c>
      <c r="L4348" s="29">
        <f>J4348-K4348</f>
        <v/>
      </c>
      <c r="M4348" t="inlineStr">
        <is>
          <t>2.350</t>
        </is>
      </c>
      <c r="N4348" t="inlineStr">
        <is>
          <t>Modalidade: 0 - Por conta do remetente | Parte: COMERCIAL NERES e ARAUJO LTDA (10.934.226/0001-13)</t>
        </is>
      </c>
      <c r="O4348" s="29" t="n">
        <v>0</v>
      </c>
      <c r="P4348" s="29" t="n">
        <v>81.59999999999999</v>
      </c>
      <c r="Q4348" s="29" t="n">
        <v>0</v>
      </c>
      <c r="R4348" s="29" t="n">
        <v>0</v>
      </c>
      <c r="S4348" s="29" t="n">
        <v>0</v>
      </c>
      <c r="T4348" t="inlineStr">
        <is>
          <t>32260803710040000115570010000465721000482302</t>
        </is>
      </c>
      <c r="U4348" t="inlineStr">
        <is>
          <t>Sim</t>
        </is>
      </c>
    </row>
    <row r="4349">
      <c r="A4349" t="inlineStr">
        <is>
          <t>Frete de venda</t>
        </is>
      </c>
      <c r="B4349" t="inlineStr">
        <is>
          <t>2.01.02 Frete sobre Vendas</t>
        </is>
      </c>
      <c r="C4349" s="30" t="n">
        <v>46235</v>
      </c>
      <c r="D4349" t="inlineStr">
        <is>
          <t>Em 2026</t>
        </is>
      </c>
      <c r="E4349" s="28" t="n">
        <v>46248</v>
      </c>
      <c r="F4349" t="inlineStr">
        <is>
          <t>CT-e</t>
        </is>
      </c>
      <c r="G4349" t="inlineStr">
        <is>
          <t>000046573</t>
        </is>
      </c>
      <c r="H4349" t="inlineStr">
        <is>
          <t>TRANSFORRECHI TRANSPORTES LTDA</t>
        </is>
      </c>
      <c r="J4349" s="29" t="n">
        <v>920</v>
      </c>
      <c r="K4349" s="29">
        <f>(1-ISNUMBER(SEARCH("556",M4349)))*(O4349*SUMIFS(Premissas!$C$5:$C$44,Premissas!$A$5:$A$44,$A4349,Premissas!$B$5:$B$44,$B4349)+P4349*SUMIFS(Premissas!$D$5:$D$44,Premissas!$A$5:$A$44,$A4349,Premissas!$B$5:$B$44,$B4349))+R4349*SUMIFS(Premissas!$E$5:$E$44,Premissas!$A$5:$A$44,$A4349,Premissas!$B$5:$B$44,$B4349)+S4349*SUMIFS(Premissas!$F$5:$F$44,Premissas!$A$5:$A$44,$A4349,Premissas!$B$5:$B$44,$B4349)</f>
        <v/>
      </c>
      <c r="L4349" s="29">
        <f>J4349-K4349</f>
        <v/>
      </c>
      <c r="M4349" t="inlineStr">
        <is>
          <t>2.350</t>
        </is>
      </c>
      <c r="N4349" t="inlineStr">
        <is>
          <t>Modalidade: 0 - Por conta do remetente | Parte: EMBALIN COMERCIO DE EMBALAGENS LTDA (40.599.915/0001-80)</t>
        </is>
      </c>
      <c r="O4349" s="29" t="n">
        <v>0</v>
      </c>
      <c r="P4349" s="29" t="n">
        <v>110.4</v>
      </c>
      <c r="Q4349" s="29" t="n">
        <v>0</v>
      </c>
      <c r="R4349" s="29" t="n">
        <v>0</v>
      </c>
      <c r="S4349" s="29" t="n">
        <v>0</v>
      </c>
      <c r="T4349" t="inlineStr">
        <is>
          <t>32260803710040000115570010000465731000482318</t>
        </is>
      </c>
      <c r="U4349" t="inlineStr">
        <is>
          <t>Sim</t>
        </is>
      </c>
    </row>
    <row r="4350">
      <c r="A4350" t="inlineStr">
        <is>
          <t>Frete de venda</t>
        </is>
      </c>
      <c r="B4350" t="inlineStr">
        <is>
          <t>2.01.02 Frete sobre Vendas</t>
        </is>
      </c>
      <c r="C4350" s="30" t="n">
        <v>46235</v>
      </c>
      <c r="D4350" t="inlineStr">
        <is>
          <t>Em 2026</t>
        </is>
      </c>
      <c r="E4350" s="28" t="n">
        <v>46248</v>
      </c>
      <c r="F4350" t="inlineStr">
        <is>
          <t>CT-e</t>
        </is>
      </c>
      <c r="G4350" t="inlineStr">
        <is>
          <t>000046574</t>
        </is>
      </c>
      <c r="H4350" t="inlineStr">
        <is>
          <t>TRANSFORRECHI TRANSPORTES LTDA</t>
        </is>
      </c>
      <c r="J4350" s="29" t="n">
        <v>1600</v>
      </c>
      <c r="K4350" s="29">
        <f>(1-ISNUMBER(SEARCH("556",M4350)))*(O4350*SUMIFS(Premissas!$C$5:$C$44,Premissas!$A$5:$A$44,$A4350,Premissas!$B$5:$B$44,$B4350)+P4350*SUMIFS(Premissas!$D$5:$D$44,Premissas!$A$5:$A$44,$A4350,Premissas!$B$5:$B$44,$B4350))+R4350*SUMIFS(Premissas!$E$5:$E$44,Premissas!$A$5:$A$44,$A4350,Premissas!$B$5:$B$44,$B4350)+S4350*SUMIFS(Premissas!$F$5:$F$44,Premissas!$A$5:$A$44,$A4350,Premissas!$B$5:$B$44,$B4350)</f>
        <v/>
      </c>
      <c r="L4350" s="29">
        <f>J4350-K4350</f>
        <v/>
      </c>
      <c r="M4350" t="inlineStr">
        <is>
          <t>2.350</t>
        </is>
      </c>
      <c r="N4350" t="inlineStr">
        <is>
          <t>Modalidade: 0 - Por conta do remetente | Parte: FRED COMERCIO DE FRIOS E DESCARTAVEIS LTDA (43.565.232/0001-08)</t>
        </is>
      </c>
      <c r="O4350" s="29" t="n">
        <v>0</v>
      </c>
      <c r="P4350" s="29" t="n">
        <v>192</v>
      </c>
      <c r="Q4350" s="29" t="n">
        <v>0</v>
      </c>
      <c r="R4350" s="29" t="n">
        <v>0</v>
      </c>
      <c r="S4350" s="29" t="n">
        <v>0</v>
      </c>
      <c r="T4350" t="inlineStr">
        <is>
          <t>32260803710040000115570010000465741000482323</t>
        </is>
      </c>
      <c r="U4350" t="inlineStr">
        <is>
          <t>Sim</t>
        </is>
      </c>
    </row>
    <row r="4351">
      <c r="A4351" t="inlineStr">
        <is>
          <t>Frete de venda</t>
        </is>
      </c>
      <c r="B4351" t="inlineStr">
        <is>
          <t>2.01.02 Frete sobre Vendas</t>
        </is>
      </c>
      <c r="C4351" s="30" t="n">
        <v>46235</v>
      </c>
      <c r="D4351" t="inlineStr">
        <is>
          <t>Em 2026</t>
        </is>
      </c>
      <c r="E4351" s="28" t="n">
        <v>46248</v>
      </c>
      <c r="F4351" t="inlineStr">
        <is>
          <t>CT-e</t>
        </is>
      </c>
      <c r="G4351" t="inlineStr">
        <is>
          <t>000046575</t>
        </is>
      </c>
      <c r="H4351" t="inlineStr">
        <is>
          <t>TRANSFORRECHI TRANSPORTES LTDA</t>
        </is>
      </c>
      <c r="J4351" s="29" t="n">
        <v>580</v>
      </c>
      <c r="K4351" s="29">
        <f>(1-ISNUMBER(SEARCH("556",M4351)))*(O4351*SUMIFS(Premissas!$C$5:$C$44,Premissas!$A$5:$A$44,$A4351,Premissas!$B$5:$B$44,$B4351)+P4351*SUMIFS(Premissas!$D$5:$D$44,Premissas!$A$5:$A$44,$A4351,Premissas!$B$5:$B$44,$B4351))+R4351*SUMIFS(Premissas!$E$5:$E$44,Premissas!$A$5:$A$44,$A4351,Premissas!$B$5:$B$44,$B4351)+S4351*SUMIFS(Premissas!$F$5:$F$44,Premissas!$A$5:$A$44,$A4351,Premissas!$B$5:$B$44,$B4351)</f>
        <v/>
      </c>
      <c r="L4351" s="29">
        <f>J4351-K4351</f>
        <v/>
      </c>
      <c r="M4351" t="inlineStr">
        <is>
          <t>2.350</t>
        </is>
      </c>
      <c r="N4351" t="inlineStr">
        <is>
          <t>Modalidade: 0 - Por conta do remetente | Parte: SORVEDOCES INDUSTRIA E COMERCIO DE PRODUTOS ALIMENTICIOS LTD (03.752.344/0001-45)</t>
        </is>
      </c>
      <c r="O4351" s="29" t="n">
        <v>0</v>
      </c>
      <c r="P4351" s="29" t="n">
        <v>69.59999999999999</v>
      </c>
      <c r="Q4351" s="29" t="n">
        <v>0</v>
      </c>
      <c r="R4351" s="29" t="n">
        <v>0</v>
      </c>
      <c r="S4351" s="29" t="n">
        <v>0</v>
      </c>
      <c r="T4351" t="inlineStr">
        <is>
          <t>32260803710040000115570010000465751000482339</t>
        </is>
      </c>
      <c r="U4351" t="inlineStr">
        <is>
          <t>Sim</t>
        </is>
      </c>
    </row>
    <row r="4352">
      <c r="A4352" t="inlineStr">
        <is>
          <t>Frete de venda</t>
        </is>
      </c>
      <c r="B4352" t="inlineStr">
        <is>
          <t>2.01.02 Frete sobre Vendas</t>
        </is>
      </c>
      <c r="C4352" s="30" t="n">
        <v>46235</v>
      </c>
      <c r="D4352" t="inlineStr">
        <is>
          <t>Em 2026</t>
        </is>
      </c>
      <c r="E4352" s="28" t="n">
        <v>46248</v>
      </c>
      <c r="F4352" t="inlineStr">
        <is>
          <t>CT-e</t>
        </is>
      </c>
      <c r="G4352" t="inlineStr">
        <is>
          <t>000046576</t>
        </is>
      </c>
      <c r="H4352" t="inlineStr">
        <is>
          <t>TRANSFORRECHI TRANSPORTES LTDA</t>
        </is>
      </c>
      <c r="J4352" s="29" t="n">
        <v>2060</v>
      </c>
      <c r="K4352" s="29">
        <f>(1-ISNUMBER(SEARCH("556",M4352)))*(O4352*SUMIFS(Premissas!$C$5:$C$44,Premissas!$A$5:$A$44,$A4352,Premissas!$B$5:$B$44,$B4352)+P4352*SUMIFS(Premissas!$D$5:$D$44,Premissas!$A$5:$A$44,$A4352,Premissas!$B$5:$B$44,$B4352))+R4352*SUMIFS(Premissas!$E$5:$E$44,Premissas!$A$5:$A$44,$A4352,Premissas!$B$5:$B$44,$B4352)+S4352*SUMIFS(Premissas!$F$5:$F$44,Premissas!$A$5:$A$44,$A4352,Premissas!$B$5:$B$44,$B4352)</f>
        <v/>
      </c>
      <c r="L4352" s="29">
        <f>J4352-K4352</f>
        <v/>
      </c>
      <c r="M4352" t="inlineStr">
        <is>
          <t>2.350</t>
        </is>
      </c>
      <c r="N4352" t="inlineStr">
        <is>
          <t>Modalidade: 0 - Por conta do remetente | Parte: SELLPACK DISTRIBUIDORA LTDA (07.747.107/0004-90)</t>
        </is>
      </c>
      <c r="O4352" s="29" t="n">
        <v>0</v>
      </c>
      <c r="P4352" s="29" t="n">
        <v>247.2</v>
      </c>
      <c r="Q4352" s="29" t="n">
        <v>0</v>
      </c>
      <c r="R4352" s="29" t="n">
        <v>0</v>
      </c>
      <c r="S4352" s="29" t="n">
        <v>0</v>
      </c>
      <c r="T4352" t="inlineStr">
        <is>
          <t>32260803710040000115570010000465761000482344</t>
        </is>
      </c>
      <c r="U4352" t="inlineStr">
        <is>
          <t>Sim</t>
        </is>
      </c>
    </row>
    <row r="4353">
      <c r="A4353" t="inlineStr">
        <is>
          <t>Frete de venda</t>
        </is>
      </c>
      <c r="B4353" t="inlineStr">
        <is>
          <t>2.01.02 Frete sobre Vendas</t>
        </is>
      </c>
      <c r="C4353" s="30" t="n">
        <v>46235</v>
      </c>
      <c r="D4353" t="inlineStr">
        <is>
          <t>Em 2026</t>
        </is>
      </c>
      <c r="E4353" s="28" t="n">
        <v>46248</v>
      </c>
      <c r="F4353" t="inlineStr">
        <is>
          <t>CT-e</t>
        </is>
      </c>
      <c r="G4353" t="inlineStr">
        <is>
          <t>000046577</t>
        </is>
      </c>
      <c r="H4353" t="inlineStr">
        <is>
          <t>TRANSFORRECHI TRANSPORTES LTDA</t>
        </is>
      </c>
      <c r="J4353" s="29" t="n">
        <v>720</v>
      </c>
      <c r="K4353" s="29">
        <f>(1-ISNUMBER(SEARCH("556",M4353)))*(O4353*SUMIFS(Premissas!$C$5:$C$44,Premissas!$A$5:$A$44,$A4353,Premissas!$B$5:$B$44,$B4353)+P4353*SUMIFS(Premissas!$D$5:$D$44,Premissas!$A$5:$A$44,$A4353,Premissas!$B$5:$B$44,$B4353))+R4353*SUMIFS(Premissas!$E$5:$E$44,Premissas!$A$5:$A$44,$A4353,Premissas!$B$5:$B$44,$B4353)+S4353*SUMIFS(Premissas!$F$5:$F$44,Premissas!$A$5:$A$44,$A4353,Premissas!$B$5:$B$44,$B4353)</f>
        <v/>
      </c>
      <c r="L4353" s="29">
        <f>J4353-K4353</f>
        <v/>
      </c>
      <c r="M4353" t="inlineStr">
        <is>
          <t>2.350</t>
        </is>
      </c>
      <c r="N4353" t="inlineStr">
        <is>
          <t>Modalidade: 0 - Por conta do remetente | Parte: CONFEIPAN COMERCIAL DE ALIMENTOS LTDA (05.084.177/0001-37)</t>
        </is>
      </c>
      <c r="O4353" s="29" t="n">
        <v>0</v>
      </c>
      <c r="P4353" s="29" t="n">
        <v>86.40000000000001</v>
      </c>
      <c r="Q4353" s="29" t="n">
        <v>0</v>
      </c>
      <c r="R4353" s="29" t="n">
        <v>0</v>
      </c>
      <c r="S4353" s="29" t="n">
        <v>0</v>
      </c>
      <c r="T4353" t="inlineStr">
        <is>
          <t>32260803710040000115570010000465771000482350</t>
        </is>
      </c>
      <c r="U4353" t="inlineStr">
        <is>
          <t>Sim</t>
        </is>
      </c>
    </row>
    <row r="4354">
      <c r="A4354" t="inlineStr">
        <is>
          <t>Frete de venda</t>
        </is>
      </c>
      <c r="B4354" t="inlineStr">
        <is>
          <t>2.01.02 Frete sobre Vendas</t>
        </is>
      </c>
      <c r="C4354" s="30" t="n">
        <v>46235</v>
      </c>
      <c r="D4354" t="inlineStr">
        <is>
          <t>Em 2026</t>
        </is>
      </c>
      <c r="E4354" s="28" t="n">
        <v>46248</v>
      </c>
      <c r="F4354" t="inlineStr">
        <is>
          <t>CT-e</t>
        </is>
      </c>
      <c r="G4354" t="inlineStr">
        <is>
          <t>000046578</t>
        </is>
      </c>
      <c r="H4354" t="inlineStr">
        <is>
          <t>TRANSFORRECHI TRANSPORTES LTDA</t>
        </is>
      </c>
      <c r="J4354" s="29" t="n">
        <v>520</v>
      </c>
      <c r="K4354" s="29">
        <f>(1-ISNUMBER(SEARCH("556",M4354)))*(O4354*SUMIFS(Premissas!$C$5:$C$44,Premissas!$A$5:$A$44,$A4354,Premissas!$B$5:$B$44,$B4354)+P4354*SUMIFS(Premissas!$D$5:$D$44,Premissas!$A$5:$A$44,$A4354,Premissas!$B$5:$B$44,$B4354))+R4354*SUMIFS(Premissas!$E$5:$E$44,Premissas!$A$5:$A$44,$A4354,Premissas!$B$5:$B$44,$B4354)+S4354*SUMIFS(Premissas!$F$5:$F$44,Premissas!$A$5:$A$44,$A4354,Premissas!$B$5:$B$44,$B4354)</f>
        <v/>
      </c>
      <c r="L4354" s="29">
        <f>J4354-K4354</f>
        <v/>
      </c>
      <c r="M4354" t="inlineStr">
        <is>
          <t>2.350</t>
        </is>
      </c>
      <c r="N4354" t="inlineStr">
        <is>
          <t>Modalidade: 0 - Por conta do remetente | Parte: REAL GOURMET COMERCIO DE ALIMENTOS LTDA (14.170.180/0001-64)</t>
        </is>
      </c>
      <c r="O4354" s="29" t="n">
        <v>0</v>
      </c>
      <c r="P4354" s="29" t="n">
        <v>62.4</v>
      </c>
      <c r="Q4354" s="29" t="n">
        <v>0</v>
      </c>
      <c r="R4354" s="29" t="n">
        <v>0</v>
      </c>
      <c r="S4354" s="29" t="n">
        <v>0</v>
      </c>
      <c r="T4354" t="inlineStr">
        <is>
          <t>32260803710040000115570010000465781000482365</t>
        </is>
      </c>
      <c r="U4354" t="inlineStr">
        <is>
          <t>Sim</t>
        </is>
      </c>
    </row>
    <row r="4355">
      <c r="A4355" t="inlineStr">
        <is>
          <t>Frete de venda</t>
        </is>
      </c>
      <c r="B4355" t="inlineStr">
        <is>
          <t>2.01.02 Frete sobre Vendas</t>
        </is>
      </c>
      <c r="C4355" s="30" t="n">
        <v>46235</v>
      </c>
      <c r="D4355" t="inlineStr">
        <is>
          <t>Em 2026</t>
        </is>
      </c>
      <c r="E4355" s="28" t="n">
        <v>46248</v>
      </c>
      <c r="F4355" t="inlineStr">
        <is>
          <t>CT-e</t>
        </is>
      </c>
      <c r="G4355" t="inlineStr">
        <is>
          <t>000046579</t>
        </is>
      </c>
      <c r="H4355" t="inlineStr">
        <is>
          <t>TRANSFORRECHI TRANSPORTES LTDA</t>
        </is>
      </c>
      <c r="J4355" s="29" t="n">
        <v>720</v>
      </c>
      <c r="K4355" s="29">
        <f>(1-ISNUMBER(SEARCH("556",M4355)))*(O4355*SUMIFS(Premissas!$C$5:$C$44,Premissas!$A$5:$A$44,$A4355,Premissas!$B$5:$B$44,$B4355)+P4355*SUMIFS(Premissas!$D$5:$D$44,Premissas!$A$5:$A$44,$A4355,Premissas!$B$5:$B$44,$B4355))+R4355*SUMIFS(Premissas!$E$5:$E$44,Premissas!$A$5:$A$44,$A4355,Premissas!$B$5:$B$44,$B4355)+S4355*SUMIFS(Premissas!$F$5:$F$44,Premissas!$A$5:$A$44,$A4355,Premissas!$B$5:$B$44,$B4355)</f>
        <v/>
      </c>
      <c r="L4355" s="29">
        <f>J4355-K4355</f>
        <v/>
      </c>
      <c r="M4355" t="inlineStr">
        <is>
          <t>2.350</t>
        </is>
      </c>
      <c r="N4355" t="inlineStr">
        <is>
          <t>Modalidade: 0 - Por conta do remetente | Parte: CENTRAL LARANJEIRAS COMERCIAL DE ALIMENTOS LTDA (11.736.959/0001-06)</t>
        </is>
      </c>
      <c r="O4355" s="29" t="n">
        <v>0</v>
      </c>
      <c r="P4355" s="29" t="n">
        <v>86.40000000000001</v>
      </c>
      <c r="Q4355" s="29" t="n">
        <v>0</v>
      </c>
      <c r="R4355" s="29" t="n">
        <v>0</v>
      </c>
      <c r="S4355" s="29" t="n">
        <v>0</v>
      </c>
      <c r="T4355" t="inlineStr">
        <is>
          <t>32260803710040000115570010000465791000482370</t>
        </is>
      </c>
      <c r="U4355" t="inlineStr">
        <is>
          <t>Sim</t>
        </is>
      </c>
    </row>
    <row r="4356">
      <c r="A4356" t="inlineStr">
        <is>
          <t>Frete de venda</t>
        </is>
      </c>
      <c r="B4356" t="inlineStr">
        <is>
          <t>2.01.02 Frete sobre Vendas</t>
        </is>
      </c>
      <c r="C4356" s="30" t="n">
        <v>46235</v>
      </c>
      <c r="D4356" t="inlineStr">
        <is>
          <t>Em 2026</t>
        </is>
      </c>
      <c r="E4356" s="28" t="n">
        <v>46248</v>
      </c>
      <c r="F4356" t="inlineStr">
        <is>
          <t>CT-e</t>
        </is>
      </c>
      <c r="G4356" t="inlineStr">
        <is>
          <t>000046580</t>
        </is>
      </c>
      <c r="H4356" t="inlineStr">
        <is>
          <t>TRANSFORRECHI TRANSPORTES LTDA</t>
        </is>
      </c>
      <c r="J4356" s="29" t="n">
        <v>720</v>
      </c>
      <c r="K4356" s="29">
        <f>(1-ISNUMBER(SEARCH("556",M4356)))*(O4356*SUMIFS(Premissas!$C$5:$C$44,Premissas!$A$5:$A$44,$A4356,Premissas!$B$5:$B$44,$B4356)+P4356*SUMIFS(Premissas!$D$5:$D$44,Premissas!$A$5:$A$44,$A4356,Premissas!$B$5:$B$44,$B4356))+R4356*SUMIFS(Premissas!$E$5:$E$44,Premissas!$A$5:$A$44,$A4356,Premissas!$B$5:$B$44,$B4356)+S4356*SUMIFS(Premissas!$F$5:$F$44,Premissas!$A$5:$A$44,$A4356,Premissas!$B$5:$B$44,$B4356)</f>
        <v/>
      </c>
      <c r="L4356" s="29">
        <f>J4356-K4356</f>
        <v/>
      </c>
      <c r="M4356" t="inlineStr">
        <is>
          <t>2.350</t>
        </is>
      </c>
      <c r="N4356" t="inlineStr">
        <is>
          <t>Modalidade: 0 - Por conta do remetente | Parte: CENTRAL VILA VELHA COMERCIAL DE ALIMENTOS LTDA (32.183.983/0001-35)</t>
        </is>
      </c>
      <c r="O4356" s="29" t="n">
        <v>0</v>
      </c>
      <c r="P4356" s="29" t="n">
        <v>86.40000000000001</v>
      </c>
      <c r="Q4356" s="29" t="n">
        <v>0</v>
      </c>
      <c r="R4356" s="29" t="n">
        <v>0</v>
      </c>
      <c r="S4356" s="29" t="n">
        <v>0</v>
      </c>
      <c r="T4356" t="inlineStr">
        <is>
          <t>32260803710040000115570010000465801000482380</t>
        </is>
      </c>
      <c r="U4356" t="inlineStr">
        <is>
          <t>Sim</t>
        </is>
      </c>
    </row>
    <row r="4357">
      <c r="A4357" t="inlineStr">
        <is>
          <t>Frete de venda</t>
        </is>
      </c>
      <c r="B4357" t="inlineStr">
        <is>
          <t>2.01.02 Frete sobre Vendas</t>
        </is>
      </c>
      <c r="C4357" s="30" t="n">
        <v>46235</v>
      </c>
      <c r="D4357" t="inlineStr">
        <is>
          <t>Em 2026</t>
        </is>
      </c>
      <c r="E4357" s="28" t="n">
        <v>46261</v>
      </c>
      <c r="F4357" t="inlineStr">
        <is>
          <t>CT-e</t>
        </is>
      </c>
      <c r="G4357" t="inlineStr">
        <is>
          <t>000046788</t>
        </is>
      </c>
      <c r="H4357" t="inlineStr">
        <is>
          <t>TRANSFORRECHI TRANSPORTES LTDA</t>
        </is>
      </c>
      <c r="J4357" s="29" t="n">
        <v>1200</v>
      </c>
      <c r="K4357" s="29">
        <f>(1-ISNUMBER(SEARCH("556",M4357)))*(O4357*SUMIFS(Premissas!$C$5:$C$44,Premissas!$A$5:$A$44,$A4357,Premissas!$B$5:$B$44,$B4357)+P4357*SUMIFS(Premissas!$D$5:$D$44,Premissas!$A$5:$A$44,$A4357,Premissas!$B$5:$B$44,$B4357))+R4357*SUMIFS(Premissas!$E$5:$E$44,Premissas!$A$5:$A$44,$A4357,Premissas!$B$5:$B$44,$B4357)+S4357*SUMIFS(Premissas!$F$5:$F$44,Premissas!$A$5:$A$44,$A4357,Premissas!$B$5:$B$44,$B4357)</f>
        <v/>
      </c>
      <c r="L4357" s="29">
        <f>J4357-K4357</f>
        <v/>
      </c>
      <c r="M4357" t="inlineStr">
        <is>
          <t>2.350</t>
        </is>
      </c>
      <c r="N4357" t="inlineStr">
        <is>
          <t>Modalidade: 0 - Por conta do remetente | Parte: COMERCIAL DISKPAN LTDA (02.691.482/0001-07)</t>
        </is>
      </c>
      <c r="O4357" s="29" t="n">
        <v>0</v>
      </c>
      <c r="P4357" s="29" t="n">
        <v>144</v>
      </c>
      <c r="Q4357" s="29" t="n">
        <v>0</v>
      </c>
      <c r="R4357" s="29" t="n">
        <v>0</v>
      </c>
      <c r="S4357" s="29" t="n">
        <v>0</v>
      </c>
      <c r="T4357" t="inlineStr">
        <is>
          <t>32260803710040000115570010000467881000486392</t>
        </is>
      </c>
      <c r="U4357" t="inlineStr">
        <is>
          <t>Sim</t>
        </is>
      </c>
    </row>
    <row r="4358">
      <c r="A4358" t="inlineStr">
        <is>
          <t>Frete de venda</t>
        </is>
      </c>
      <c r="B4358" t="inlineStr">
        <is>
          <t>2.01.02 Frete sobre Vendas</t>
        </is>
      </c>
      <c r="C4358" s="30" t="n">
        <v>46235</v>
      </c>
      <c r="D4358" t="inlineStr">
        <is>
          <t>Em 2026</t>
        </is>
      </c>
      <c r="E4358" s="28" t="n">
        <v>46261</v>
      </c>
      <c r="F4358" t="inlineStr">
        <is>
          <t>CT-e</t>
        </is>
      </c>
      <c r="G4358" t="inlineStr">
        <is>
          <t>000046789</t>
        </is>
      </c>
      <c r="H4358" t="inlineStr">
        <is>
          <t>TRANSFORRECHI TRANSPORTES LTDA</t>
        </is>
      </c>
      <c r="J4358" s="29" t="n">
        <v>540</v>
      </c>
      <c r="K4358" s="29">
        <f>(1-ISNUMBER(SEARCH("556",M4358)))*(O4358*SUMIFS(Premissas!$C$5:$C$44,Premissas!$A$5:$A$44,$A4358,Premissas!$B$5:$B$44,$B4358)+P4358*SUMIFS(Premissas!$D$5:$D$44,Premissas!$A$5:$A$44,$A4358,Premissas!$B$5:$B$44,$B4358))+R4358*SUMIFS(Premissas!$E$5:$E$44,Premissas!$A$5:$A$44,$A4358,Premissas!$B$5:$B$44,$B4358)+S4358*SUMIFS(Premissas!$F$5:$F$44,Premissas!$A$5:$A$44,$A4358,Premissas!$B$5:$B$44,$B4358)</f>
        <v/>
      </c>
      <c r="L4358" s="29">
        <f>J4358-K4358</f>
        <v/>
      </c>
      <c r="M4358" t="inlineStr">
        <is>
          <t>2.350</t>
        </is>
      </c>
      <c r="N4358" t="inlineStr">
        <is>
          <t>Modalidade: 0 - Por conta do remetente | Parte: COMERCIAL NERES e ARAUJO LTDA (10.934.226/0001-13)</t>
        </is>
      </c>
      <c r="O4358" s="29" t="n">
        <v>0</v>
      </c>
      <c r="P4358" s="29" t="n">
        <v>64.8</v>
      </c>
      <c r="Q4358" s="29" t="n">
        <v>0</v>
      </c>
      <c r="R4358" s="29" t="n">
        <v>0</v>
      </c>
      <c r="S4358" s="29" t="n">
        <v>0</v>
      </c>
      <c r="T4358" t="inlineStr">
        <is>
          <t>32260803710040000115570010000467891000486403</t>
        </is>
      </c>
      <c r="U4358" t="inlineStr">
        <is>
          <t>Sim</t>
        </is>
      </c>
    </row>
    <row r="4359">
      <c r="A4359" t="inlineStr">
        <is>
          <t>Frete de venda</t>
        </is>
      </c>
      <c r="B4359" t="inlineStr">
        <is>
          <t>2.01.02 Frete sobre Vendas</t>
        </is>
      </c>
      <c r="C4359" s="30" t="n">
        <v>46235</v>
      </c>
      <c r="D4359" t="inlineStr">
        <is>
          <t>Em 2026</t>
        </is>
      </c>
      <c r="E4359" s="28" t="n">
        <v>46261</v>
      </c>
      <c r="F4359" t="inlineStr">
        <is>
          <t>CT-e</t>
        </is>
      </c>
      <c r="G4359" t="inlineStr">
        <is>
          <t>000046790</t>
        </is>
      </c>
      <c r="H4359" t="inlineStr">
        <is>
          <t>TRANSFORRECHI TRANSPORTES LTDA</t>
        </is>
      </c>
      <c r="J4359" s="29" t="n">
        <v>500</v>
      </c>
      <c r="K4359" s="29">
        <f>(1-ISNUMBER(SEARCH("556",M4359)))*(O4359*SUMIFS(Premissas!$C$5:$C$44,Premissas!$A$5:$A$44,$A4359,Premissas!$B$5:$B$44,$B4359)+P4359*SUMIFS(Premissas!$D$5:$D$44,Premissas!$A$5:$A$44,$A4359,Premissas!$B$5:$B$44,$B4359))+R4359*SUMIFS(Premissas!$E$5:$E$44,Premissas!$A$5:$A$44,$A4359,Premissas!$B$5:$B$44,$B4359)+S4359*SUMIFS(Premissas!$F$5:$F$44,Premissas!$A$5:$A$44,$A4359,Premissas!$B$5:$B$44,$B4359)</f>
        <v/>
      </c>
      <c r="L4359" s="29">
        <f>J4359-K4359</f>
        <v/>
      </c>
      <c r="M4359" t="inlineStr">
        <is>
          <t>2.350</t>
        </is>
      </c>
      <c r="N4359" t="inlineStr">
        <is>
          <t>Modalidade: 0 - Por conta do remetente | Parte: L. PARMANHANI (06.556.517/0001-48)</t>
        </is>
      </c>
      <c r="O4359" s="29" t="n">
        <v>0</v>
      </c>
      <c r="P4359" s="29" t="n">
        <v>60</v>
      </c>
      <c r="Q4359" s="29" t="n">
        <v>0</v>
      </c>
      <c r="R4359" s="29" t="n">
        <v>0</v>
      </c>
      <c r="S4359" s="29" t="n">
        <v>0</v>
      </c>
      <c r="T4359" t="inlineStr">
        <is>
          <t>32260803710040000115570010000467901000486412</t>
        </is>
      </c>
      <c r="U4359" t="inlineStr">
        <is>
          <t>Sim</t>
        </is>
      </c>
    </row>
    <row r="4360">
      <c r="A4360" t="inlineStr">
        <is>
          <t>Frete de venda</t>
        </is>
      </c>
      <c r="B4360" t="inlineStr">
        <is>
          <t>2.01.02 Frete sobre Vendas</t>
        </is>
      </c>
      <c r="C4360" s="30" t="n">
        <v>46235</v>
      </c>
      <c r="D4360" t="inlineStr">
        <is>
          <t>Em 2026</t>
        </is>
      </c>
      <c r="E4360" s="28" t="n">
        <v>46261</v>
      </c>
      <c r="F4360" t="inlineStr">
        <is>
          <t>CT-e</t>
        </is>
      </c>
      <c r="G4360" t="inlineStr">
        <is>
          <t>000046791</t>
        </is>
      </c>
      <c r="H4360" t="inlineStr">
        <is>
          <t>TRANSFORRECHI TRANSPORTES LTDA</t>
        </is>
      </c>
      <c r="J4360" s="29" t="n">
        <v>600</v>
      </c>
      <c r="K4360" s="29">
        <f>(1-ISNUMBER(SEARCH("556",M4360)))*(O4360*SUMIFS(Premissas!$C$5:$C$44,Premissas!$A$5:$A$44,$A4360,Premissas!$B$5:$B$44,$B4360)+P4360*SUMIFS(Premissas!$D$5:$D$44,Premissas!$A$5:$A$44,$A4360,Premissas!$B$5:$B$44,$B4360))+R4360*SUMIFS(Premissas!$E$5:$E$44,Premissas!$A$5:$A$44,$A4360,Premissas!$B$5:$B$44,$B4360)+S4360*SUMIFS(Premissas!$F$5:$F$44,Premissas!$A$5:$A$44,$A4360,Premissas!$B$5:$B$44,$B4360)</f>
        <v/>
      </c>
      <c r="L4360" s="29">
        <f>J4360-K4360</f>
        <v/>
      </c>
      <c r="M4360" t="inlineStr">
        <is>
          <t>2.350</t>
        </is>
      </c>
      <c r="N4360" t="inlineStr">
        <is>
          <t>Modalidade: 0 - Por conta do remetente | Parte: WM SANTANA FESTAS LTDA (18.669.819/0001-01)</t>
        </is>
      </c>
      <c r="O4360" s="29" t="n">
        <v>0</v>
      </c>
      <c r="P4360" s="29" t="n">
        <v>72</v>
      </c>
      <c r="Q4360" s="29" t="n">
        <v>0</v>
      </c>
      <c r="R4360" s="29" t="n">
        <v>0</v>
      </c>
      <c r="S4360" s="29" t="n">
        <v>0</v>
      </c>
      <c r="T4360" t="inlineStr">
        <is>
          <t>32260803710040000115570010000467911000486428</t>
        </is>
      </c>
      <c r="U4360" t="inlineStr">
        <is>
          <t>Sim</t>
        </is>
      </c>
    </row>
    <row r="4361">
      <c r="A4361" t="inlineStr">
        <is>
          <t>Frete de venda</t>
        </is>
      </c>
      <c r="B4361" t="inlineStr">
        <is>
          <t>2.01.02 Frete sobre Vendas</t>
        </is>
      </c>
      <c r="C4361" s="30" t="n">
        <v>46235</v>
      </c>
      <c r="D4361" t="inlineStr">
        <is>
          <t>Em 2026</t>
        </is>
      </c>
      <c r="E4361" s="28" t="n">
        <v>46261</v>
      </c>
      <c r="F4361" t="inlineStr">
        <is>
          <t>CT-e</t>
        </is>
      </c>
      <c r="G4361" t="inlineStr">
        <is>
          <t>000046792</t>
        </is>
      </c>
      <c r="H4361" t="inlineStr">
        <is>
          <t>TRANSFORRECHI TRANSPORTES LTDA</t>
        </is>
      </c>
      <c r="J4361" s="29" t="n">
        <v>6600</v>
      </c>
      <c r="K4361" s="29">
        <f>(1-ISNUMBER(SEARCH("556",M4361)))*(O4361*SUMIFS(Premissas!$C$5:$C$44,Premissas!$A$5:$A$44,$A4361,Premissas!$B$5:$B$44,$B4361)+P4361*SUMIFS(Premissas!$D$5:$D$44,Premissas!$A$5:$A$44,$A4361,Premissas!$B$5:$B$44,$B4361))+R4361*SUMIFS(Premissas!$E$5:$E$44,Premissas!$A$5:$A$44,$A4361,Premissas!$B$5:$B$44,$B4361)+S4361*SUMIFS(Premissas!$F$5:$F$44,Premissas!$A$5:$A$44,$A4361,Premissas!$B$5:$B$44,$B4361)</f>
        <v/>
      </c>
      <c r="L4361" s="29">
        <f>J4361-K4361</f>
        <v/>
      </c>
      <c r="M4361" t="inlineStr">
        <is>
          <t>2.350</t>
        </is>
      </c>
      <c r="N4361" t="inlineStr">
        <is>
          <t>Modalidade: 0 - Por conta do remetente | Parte: COMERCIAL W.J.S LTDA (04.851.906/0001-70)</t>
        </is>
      </c>
      <c r="O4361" s="29" t="n">
        <v>0</v>
      </c>
      <c r="P4361" s="29" t="n">
        <v>792</v>
      </c>
      <c r="Q4361" s="29" t="n">
        <v>0</v>
      </c>
      <c r="R4361" s="29" t="n">
        <v>0</v>
      </c>
      <c r="S4361" s="29" t="n">
        <v>0</v>
      </c>
      <c r="T4361" t="inlineStr">
        <is>
          <t>32260803710040000115570010000467921000486433</t>
        </is>
      </c>
      <c r="U4361" t="inlineStr">
        <is>
          <t>Sim</t>
        </is>
      </c>
    </row>
    <row r="4362">
      <c r="A4362" t="inlineStr">
        <is>
          <t>Frete de venda</t>
        </is>
      </c>
      <c r="B4362" t="inlineStr">
        <is>
          <t>2.01.02 Frete sobre Vendas</t>
        </is>
      </c>
      <c r="C4362" s="30" t="n">
        <v>46235</v>
      </c>
      <c r="D4362" t="inlineStr">
        <is>
          <t>Em 2026</t>
        </is>
      </c>
      <c r="E4362" s="28" t="n">
        <v>46261</v>
      </c>
      <c r="F4362" t="inlineStr">
        <is>
          <t>CT-e</t>
        </is>
      </c>
      <c r="G4362" t="inlineStr">
        <is>
          <t>000046793</t>
        </is>
      </c>
      <c r="H4362" t="inlineStr">
        <is>
          <t>TRANSFORRECHI TRANSPORTES LTDA</t>
        </is>
      </c>
      <c r="J4362" s="29" t="n">
        <v>600</v>
      </c>
      <c r="K4362" s="29">
        <f>(1-ISNUMBER(SEARCH("556",M4362)))*(O4362*SUMIFS(Premissas!$C$5:$C$44,Premissas!$A$5:$A$44,$A4362,Premissas!$B$5:$B$44,$B4362)+P4362*SUMIFS(Premissas!$D$5:$D$44,Premissas!$A$5:$A$44,$A4362,Premissas!$B$5:$B$44,$B4362))+R4362*SUMIFS(Premissas!$E$5:$E$44,Premissas!$A$5:$A$44,$A4362,Premissas!$B$5:$B$44,$B4362)+S4362*SUMIFS(Premissas!$F$5:$F$44,Premissas!$A$5:$A$44,$A4362,Premissas!$B$5:$B$44,$B4362)</f>
        <v/>
      </c>
      <c r="L4362" s="29">
        <f>J4362-K4362</f>
        <v/>
      </c>
      <c r="M4362" t="inlineStr">
        <is>
          <t>2.350</t>
        </is>
      </c>
      <c r="N4362" t="inlineStr">
        <is>
          <t>Modalidade: 0 - Por conta do remetente | Parte: MA ATACADO LTDA (51.527.816/0001-09)</t>
        </is>
      </c>
      <c r="O4362" s="29" t="n">
        <v>0</v>
      </c>
      <c r="P4362" s="29" t="n">
        <v>72</v>
      </c>
      <c r="Q4362" s="29" t="n">
        <v>0</v>
      </c>
      <c r="R4362" s="29" t="n">
        <v>0</v>
      </c>
      <c r="S4362" s="29" t="n">
        <v>0</v>
      </c>
      <c r="T4362" t="inlineStr">
        <is>
          <t>32260803710040000115570010000467931000486449</t>
        </is>
      </c>
      <c r="U4362" t="inlineStr">
        <is>
          <t>Sim</t>
        </is>
      </c>
    </row>
    <row r="4363">
      <c r="A4363" t="inlineStr">
        <is>
          <t>Frete de venda</t>
        </is>
      </c>
      <c r="B4363" t="inlineStr">
        <is>
          <t>2.01.02 Frete sobre Vendas</t>
        </is>
      </c>
      <c r="C4363" s="30" t="n">
        <v>46235</v>
      </c>
      <c r="D4363" t="inlineStr">
        <is>
          <t>Em 2026</t>
        </is>
      </c>
      <c r="E4363" s="28" t="n">
        <v>46261</v>
      </c>
      <c r="F4363" t="inlineStr">
        <is>
          <t>CT-e</t>
        </is>
      </c>
      <c r="G4363" t="inlineStr">
        <is>
          <t>000046794</t>
        </is>
      </c>
      <c r="H4363" t="inlineStr">
        <is>
          <t>TRANSFORRECHI TRANSPORTES LTDA</t>
        </is>
      </c>
      <c r="J4363" s="29" t="n">
        <v>1220</v>
      </c>
      <c r="K4363" s="29">
        <f>(1-ISNUMBER(SEARCH("556",M4363)))*(O4363*SUMIFS(Premissas!$C$5:$C$44,Premissas!$A$5:$A$44,$A4363,Premissas!$B$5:$B$44,$B4363)+P4363*SUMIFS(Premissas!$D$5:$D$44,Premissas!$A$5:$A$44,$A4363,Premissas!$B$5:$B$44,$B4363))+R4363*SUMIFS(Premissas!$E$5:$E$44,Premissas!$A$5:$A$44,$A4363,Premissas!$B$5:$B$44,$B4363)+S4363*SUMIFS(Premissas!$F$5:$F$44,Premissas!$A$5:$A$44,$A4363,Premissas!$B$5:$B$44,$B4363)</f>
        <v/>
      </c>
      <c r="L4363" s="29">
        <f>J4363-K4363</f>
        <v/>
      </c>
      <c r="M4363" t="inlineStr">
        <is>
          <t>2.350</t>
        </is>
      </c>
      <c r="N4363" t="inlineStr">
        <is>
          <t>Modalidade: 0 - Por conta do remetente | Parte: M A DA SILVA COMERCIO DE PRODUTOS ALIMENTICIOS E DE FEST... (26.095.396/0001-91)</t>
        </is>
      </c>
      <c r="O4363" s="29" t="n">
        <v>0</v>
      </c>
      <c r="P4363" s="29" t="n">
        <v>146.4</v>
      </c>
      <c r="Q4363" s="29" t="n">
        <v>0</v>
      </c>
      <c r="R4363" s="29" t="n">
        <v>0</v>
      </c>
      <c r="S4363" s="29" t="n">
        <v>0</v>
      </c>
      <c r="T4363" t="inlineStr">
        <is>
          <t>32260803710040000115570010000467941000486454</t>
        </is>
      </c>
      <c r="U4363" t="inlineStr">
        <is>
          <t>Sim</t>
        </is>
      </c>
    </row>
    <row r="4364">
      <c r="A4364" t="inlineStr">
        <is>
          <t>Frete de venda</t>
        </is>
      </c>
      <c r="B4364" t="inlineStr">
        <is>
          <t>2.01.02 Frete sobre Vendas</t>
        </is>
      </c>
      <c r="C4364" s="30" t="n">
        <v>46235</v>
      </c>
      <c r="D4364" t="inlineStr">
        <is>
          <t>Em 2026</t>
        </is>
      </c>
      <c r="E4364" s="28" t="n">
        <v>46261</v>
      </c>
      <c r="F4364" t="inlineStr">
        <is>
          <t>CT-e</t>
        </is>
      </c>
      <c r="G4364" t="inlineStr">
        <is>
          <t>000046795</t>
        </is>
      </c>
      <c r="H4364" t="inlineStr">
        <is>
          <t>TRANSFORRECHI TRANSPORTES LTDA</t>
        </is>
      </c>
      <c r="J4364" s="29" t="n">
        <v>800</v>
      </c>
      <c r="K4364" s="29">
        <f>(1-ISNUMBER(SEARCH("556",M4364)))*(O4364*SUMIFS(Premissas!$C$5:$C$44,Premissas!$A$5:$A$44,$A4364,Premissas!$B$5:$B$44,$B4364)+P4364*SUMIFS(Premissas!$D$5:$D$44,Premissas!$A$5:$A$44,$A4364,Premissas!$B$5:$B$44,$B4364))+R4364*SUMIFS(Premissas!$E$5:$E$44,Premissas!$A$5:$A$44,$A4364,Premissas!$B$5:$B$44,$B4364)+S4364*SUMIFS(Premissas!$F$5:$F$44,Premissas!$A$5:$A$44,$A4364,Premissas!$B$5:$B$44,$B4364)</f>
        <v/>
      </c>
      <c r="L4364" s="29">
        <f>J4364-K4364</f>
        <v/>
      </c>
      <c r="M4364" t="inlineStr">
        <is>
          <t>2.350</t>
        </is>
      </c>
      <c r="N4364" t="inlineStr">
        <is>
          <t>Modalidade: 0 - Por conta do remetente | Parte: SORVEDOCES COMERCIO DE PRODUTOS ALIMENTICIOS E DE FESTAS... (37.885.911/0001-53)</t>
        </is>
      </c>
      <c r="O4364" s="29" t="n">
        <v>0</v>
      </c>
      <c r="P4364" s="29" t="n">
        <v>96</v>
      </c>
      <c r="Q4364" s="29" t="n">
        <v>0</v>
      </c>
      <c r="R4364" s="29" t="n">
        <v>0</v>
      </c>
      <c r="S4364" s="29" t="n">
        <v>0</v>
      </c>
      <c r="T4364" t="inlineStr">
        <is>
          <t>32260803710040000115570010000467951000486460</t>
        </is>
      </c>
      <c r="U4364" t="inlineStr">
        <is>
          <t>Sim</t>
        </is>
      </c>
    </row>
    <row r="4365">
      <c r="A4365" t="inlineStr">
        <is>
          <t>Frete de venda</t>
        </is>
      </c>
      <c r="B4365" t="inlineStr">
        <is>
          <t>2.01.02 Frete sobre Vendas</t>
        </is>
      </c>
      <c r="C4365" s="30" t="n">
        <v>46235</v>
      </c>
      <c r="D4365" t="inlineStr">
        <is>
          <t>Em 2026</t>
        </is>
      </c>
      <c r="E4365" s="28" t="n">
        <v>46261</v>
      </c>
      <c r="F4365" t="inlineStr">
        <is>
          <t>CT-e</t>
        </is>
      </c>
      <c r="G4365" t="inlineStr">
        <is>
          <t>000046796</t>
        </is>
      </c>
      <c r="H4365" t="inlineStr">
        <is>
          <t>TRANSFORRECHI TRANSPORTES LTDA</t>
        </is>
      </c>
      <c r="J4365" s="29" t="n">
        <v>1400</v>
      </c>
      <c r="K4365" s="29">
        <f>(1-ISNUMBER(SEARCH("556",M4365)))*(O4365*SUMIFS(Premissas!$C$5:$C$44,Premissas!$A$5:$A$44,$A4365,Premissas!$B$5:$B$44,$B4365)+P4365*SUMIFS(Premissas!$D$5:$D$44,Premissas!$A$5:$A$44,$A4365,Premissas!$B$5:$B$44,$B4365))+R4365*SUMIFS(Premissas!$E$5:$E$44,Premissas!$A$5:$A$44,$A4365,Premissas!$B$5:$B$44,$B4365)+S4365*SUMIFS(Premissas!$F$5:$F$44,Premissas!$A$5:$A$44,$A4365,Premissas!$B$5:$B$44,$B4365)</f>
        <v/>
      </c>
      <c r="L4365" s="29">
        <f>J4365-K4365</f>
        <v/>
      </c>
      <c r="M4365" t="inlineStr">
        <is>
          <t>2.350</t>
        </is>
      </c>
      <c r="N4365" t="inlineStr">
        <is>
          <t>Modalidade: 0 - Por conta do remetente | Parte: LEAL - FESTAS E EMBALAGENS LTDA (58.044.823/0001-07)</t>
        </is>
      </c>
      <c r="O4365" s="29" t="n">
        <v>0</v>
      </c>
      <c r="P4365" s="29" t="n">
        <v>168</v>
      </c>
      <c r="Q4365" s="29" t="n">
        <v>0</v>
      </c>
      <c r="R4365" s="29" t="n">
        <v>0</v>
      </c>
      <c r="S4365" s="29" t="n">
        <v>0</v>
      </c>
      <c r="T4365" t="inlineStr">
        <is>
          <t>32260803710040000115570010000467961000486475</t>
        </is>
      </c>
      <c r="U4365" t="inlineStr">
        <is>
          <t>Sim</t>
        </is>
      </c>
    </row>
    <row r="4366">
      <c r="A4366" t="inlineStr">
        <is>
          <t>Frete de venda</t>
        </is>
      </c>
      <c r="B4366" t="inlineStr">
        <is>
          <t>2.01.02 Frete sobre Vendas</t>
        </is>
      </c>
      <c r="C4366" s="30" t="n">
        <v>46235</v>
      </c>
      <c r="D4366" t="inlineStr">
        <is>
          <t>Em 2026</t>
        </is>
      </c>
      <c r="E4366" s="28" t="n">
        <v>46261</v>
      </c>
      <c r="F4366" t="inlineStr">
        <is>
          <t>CT-e</t>
        </is>
      </c>
      <c r="G4366" t="inlineStr">
        <is>
          <t>000046797</t>
        </is>
      </c>
      <c r="H4366" t="inlineStr">
        <is>
          <t>TRANSFORRECHI TRANSPORTES LTDA</t>
        </is>
      </c>
      <c r="J4366" s="29" t="n">
        <v>380</v>
      </c>
      <c r="K4366" s="29">
        <f>(1-ISNUMBER(SEARCH("556",M4366)))*(O4366*SUMIFS(Premissas!$C$5:$C$44,Premissas!$A$5:$A$44,$A4366,Premissas!$B$5:$B$44,$B4366)+P4366*SUMIFS(Premissas!$D$5:$D$44,Premissas!$A$5:$A$44,$A4366,Premissas!$B$5:$B$44,$B4366))+R4366*SUMIFS(Premissas!$E$5:$E$44,Premissas!$A$5:$A$44,$A4366,Premissas!$B$5:$B$44,$B4366)+S4366*SUMIFS(Premissas!$F$5:$F$44,Premissas!$A$5:$A$44,$A4366,Premissas!$B$5:$B$44,$B4366)</f>
        <v/>
      </c>
      <c r="L4366" s="29">
        <f>J4366-K4366</f>
        <v/>
      </c>
      <c r="M4366" t="inlineStr">
        <is>
          <t>2.350</t>
        </is>
      </c>
      <c r="N4366" t="inlineStr">
        <is>
          <t>Modalidade: 0 - Por conta do remetente | Parte: VNI EMBALAGENS LTDA (07.634.466/0001-98)</t>
        </is>
      </c>
      <c r="O4366" s="29" t="n">
        <v>0</v>
      </c>
      <c r="P4366" s="29" t="n">
        <v>45.6</v>
      </c>
      <c r="Q4366" s="29" t="n">
        <v>0</v>
      </c>
      <c r="R4366" s="29" t="n">
        <v>0</v>
      </c>
      <c r="S4366" s="29" t="n">
        <v>0</v>
      </c>
      <c r="T4366" t="inlineStr">
        <is>
          <t>32260803710040000115570010000467971000486480</t>
        </is>
      </c>
      <c r="U4366" t="inlineStr">
        <is>
          <t>Sim</t>
        </is>
      </c>
    </row>
    <row r="4367">
      <c r="A4367" t="inlineStr">
        <is>
          <t>Frete de venda</t>
        </is>
      </c>
      <c r="B4367" t="inlineStr">
        <is>
          <t>2.01.02 Frete sobre Vendas</t>
        </is>
      </c>
      <c r="C4367" s="30" t="n">
        <v>46235</v>
      </c>
      <c r="D4367" t="inlineStr">
        <is>
          <t>Em 2026</t>
        </is>
      </c>
      <c r="E4367" s="28" t="n">
        <v>46261</v>
      </c>
      <c r="F4367" t="inlineStr">
        <is>
          <t>CT-e</t>
        </is>
      </c>
      <c r="G4367" t="inlineStr">
        <is>
          <t>000046798</t>
        </is>
      </c>
      <c r="H4367" t="inlineStr">
        <is>
          <t>TRANSFORRECHI TRANSPORTES LTDA</t>
        </is>
      </c>
      <c r="J4367" s="29" t="n">
        <v>500</v>
      </c>
      <c r="K4367" s="29">
        <f>(1-ISNUMBER(SEARCH("556",M4367)))*(O4367*SUMIFS(Premissas!$C$5:$C$44,Premissas!$A$5:$A$44,$A4367,Premissas!$B$5:$B$44,$B4367)+P4367*SUMIFS(Premissas!$D$5:$D$44,Premissas!$A$5:$A$44,$A4367,Premissas!$B$5:$B$44,$B4367))+R4367*SUMIFS(Premissas!$E$5:$E$44,Premissas!$A$5:$A$44,$A4367,Premissas!$B$5:$B$44,$B4367)+S4367*SUMIFS(Premissas!$F$5:$F$44,Premissas!$A$5:$A$44,$A4367,Premissas!$B$5:$B$44,$B4367)</f>
        <v/>
      </c>
      <c r="L4367" s="29">
        <f>J4367-K4367</f>
        <v/>
      </c>
      <c r="M4367" t="inlineStr">
        <is>
          <t>2.350</t>
        </is>
      </c>
      <c r="N4367" t="inlineStr">
        <is>
          <t>Modalidade: 0 - Por conta do remetente | Parte: OLIVEIRA e BESSA LTDA (19.936.598/0003-15)</t>
        </is>
      </c>
      <c r="O4367" s="29" t="n">
        <v>0</v>
      </c>
      <c r="P4367" s="29" t="n">
        <v>60</v>
      </c>
      <c r="Q4367" s="29" t="n">
        <v>0</v>
      </c>
      <c r="R4367" s="29" t="n">
        <v>0</v>
      </c>
      <c r="S4367" s="29" t="n">
        <v>0</v>
      </c>
      <c r="T4367" t="inlineStr">
        <is>
          <t>32260803710040000115570010000467981000486496</t>
        </is>
      </c>
      <c r="U4367" t="inlineStr">
        <is>
          <t>Sim</t>
        </is>
      </c>
    </row>
    <row r="4368">
      <c r="A4368" t="inlineStr">
        <is>
          <t>Frete de venda</t>
        </is>
      </c>
      <c r="B4368" t="inlineStr">
        <is>
          <t>2.01.02 Frete sobre Vendas</t>
        </is>
      </c>
      <c r="C4368" s="30" t="n">
        <v>46235</v>
      </c>
      <c r="D4368" t="inlineStr">
        <is>
          <t>Em 2026</t>
        </is>
      </c>
      <c r="E4368" s="28" t="n">
        <v>46261</v>
      </c>
      <c r="F4368" t="inlineStr">
        <is>
          <t>CT-e</t>
        </is>
      </c>
      <c r="G4368" t="inlineStr">
        <is>
          <t>000046799</t>
        </is>
      </c>
      <c r="H4368" t="inlineStr">
        <is>
          <t>TRANSFORRECHI TRANSPORTES LTDA</t>
        </is>
      </c>
      <c r="J4368" s="29" t="n">
        <v>560</v>
      </c>
      <c r="K4368" s="29">
        <f>(1-ISNUMBER(SEARCH("556",M4368)))*(O4368*SUMIFS(Premissas!$C$5:$C$44,Premissas!$A$5:$A$44,$A4368,Premissas!$B$5:$B$44,$B4368)+P4368*SUMIFS(Premissas!$D$5:$D$44,Premissas!$A$5:$A$44,$A4368,Premissas!$B$5:$B$44,$B4368))+R4368*SUMIFS(Premissas!$E$5:$E$44,Premissas!$A$5:$A$44,$A4368,Premissas!$B$5:$B$44,$B4368)+S4368*SUMIFS(Premissas!$F$5:$F$44,Premissas!$A$5:$A$44,$A4368,Premissas!$B$5:$B$44,$B4368)</f>
        <v/>
      </c>
      <c r="L4368" s="29">
        <f>J4368-K4368</f>
        <v/>
      </c>
      <c r="M4368" t="inlineStr">
        <is>
          <t>2.350</t>
        </is>
      </c>
      <c r="N4368" t="inlineStr">
        <is>
          <t>Modalidade: 0 - Por conta do remetente | Parte: ROCON EMBALAGENS LTDA (62.695.102/0001-26)</t>
        </is>
      </c>
      <c r="O4368" s="29" t="n">
        <v>0</v>
      </c>
      <c r="P4368" s="29" t="n">
        <v>67.2</v>
      </c>
      <c r="Q4368" s="29" t="n">
        <v>0</v>
      </c>
      <c r="R4368" s="29" t="n">
        <v>0</v>
      </c>
      <c r="S4368" s="29" t="n">
        <v>0</v>
      </c>
      <c r="T4368" t="inlineStr">
        <is>
          <t>32260803710040000115570010000467991000486507</t>
        </is>
      </c>
      <c r="U4368" t="inlineStr">
        <is>
          <t>Sim</t>
        </is>
      </c>
    </row>
    <row r="4369">
      <c r="A4369" t="inlineStr">
        <is>
          <t>Frete de venda</t>
        </is>
      </c>
      <c r="B4369" t="inlineStr">
        <is>
          <t>2.01.02 Frete sobre Vendas</t>
        </is>
      </c>
      <c r="C4369" s="30" t="n">
        <v>46235</v>
      </c>
      <c r="D4369" t="inlineStr">
        <is>
          <t>Em 2026</t>
        </is>
      </c>
      <c r="E4369" s="28" t="n">
        <v>46261</v>
      </c>
      <c r="F4369" t="inlineStr">
        <is>
          <t>CT-e</t>
        </is>
      </c>
      <c r="G4369" t="inlineStr">
        <is>
          <t>000046800</t>
        </is>
      </c>
      <c r="H4369" t="inlineStr">
        <is>
          <t>TRANSFORRECHI TRANSPORTES LTDA</t>
        </is>
      </c>
      <c r="J4369" s="29" t="n">
        <v>3240</v>
      </c>
      <c r="K4369" s="29">
        <f>(1-ISNUMBER(SEARCH("556",M4369)))*(O4369*SUMIFS(Premissas!$C$5:$C$44,Premissas!$A$5:$A$44,$A4369,Premissas!$B$5:$B$44,$B4369)+P4369*SUMIFS(Premissas!$D$5:$D$44,Premissas!$A$5:$A$44,$A4369,Premissas!$B$5:$B$44,$B4369))+R4369*SUMIFS(Premissas!$E$5:$E$44,Premissas!$A$5:$A$44,$A4369,Premissas!$B$5:$B$44,$B4369)+S4369*SUMIFS(Premissas!$F$5:$F$44,Premissas!$A$5:$A$44,$A4369,Premissas!$B$5:$B$44,$B4369)</f>
        <v/>
      </c>
      <c r="L4369" s="29">
        <f>J4369-K4369</f>
        <v/>
      </c>
      <c r="M4369" t="inlineStr">
        <is>
          <t>2.350</t>
        </is>
      </c>
      <c r="N4369" t="inlineStr">
        <is>
          <t>Modalidade: 0 - Por conta do remetente | Parte: CENTROPLAST COMERCIO DE EMBALAGENS LTDA (65.721.775/0001-00)</t>
        </is>
      </c>
      <c r="O4369" s="29" t="n">
        <v>0</v>
      </c>
      <c r="P4369" s="29" t="n">
        <v>388.8</v>
      </c>
      <c r="Q4369" s="29" t="n">
        <v>0</v>
      </c>
      <c r="R4369" s="29" t="n">
        <v>0</v>
      </c>
      <c r="S4369" s="29" t="n">
        <v>0</v>
      </c>
      <c r="T4369" t="inlineStr">
        <is>
          <t>32260803710040000115570010000468001000486518</t>
        </is>
      </c>
      <c r="U4369" t="inlineStr">
        <is>
          <t>Sim</t>
        </is>
      </c>
    </row>
    <row r="4370">
      <c r="A4370" t="inlineStr">
        <is>
          <t>Frete de venda</t>
        </is>
      </c>
      <c r="B4370" t="inlineStr">
        <is>
          <t>2.01.02 Frete sobre Vendas</t>
        </is>
      </c>
      <c r="C4370" s="30" t="n">
        <v>46235</v>
      </c>
      <c r="D4370" t="inlineStr">
        <is>
          <t>Em 2026</t>
        </is>
      </c>
      <c r="E4370" s="28" t="n">
        <v>46261</v>
      </c>
      <c r="F4370" t="inlineStr">
        <is>
          <t>CT-e</t>
        </is>
      </c>
      <c r="G4370" t="inlineStr">
        <is>
          <t>000046801</t>
        </is>
      </c>
      <c r="H4370" t="inlineStr">
        <is>
          <t>TRANSFORRECHI TRANSPORTES LTDA</t>
        </is>
      </c>
      <c r="J4370" s="29" t="n">
        <v>980</v>
      </c>
      <c r="K4370" s="29">
        <f>(1-ISNUMBER(SEARCH("556",M4370)))*(O4370*SUMIFS(Premissas!$C$5:$C$44,Premissas!$A$5:$A$44,$A4370,Premissas!$B$5:$B$44,$B4370)+P4370*SUMIFS(Premissas!$D$5:$D$44,Premissas!$A$5:$A$44,$A4370,Premissas!$B$5:$B$44,$B4370))+R4370*SUMIFS(Premissas!$E$5:$E$44,Premissas!$A$5:$A$44,$A4370,Premissas!$B$5:$B$44,$B4370)+S4370*SUMIFS(Premissas!$F$5:$F$44,Premissas!$A$5:$A$44,$A4370,Premissas!$B$5:$B$44,$B4370)</f>
        <v/>
      </c>
      <c r="L4370" s="29">
        <f>J4370-K4370</f>
        <v/>
      </c>
      <c r="M4370" t="inlineStr">
        <is>
          <t>2.350</t>
        </is>
      </c>
      <c r="N4370" t="inlineStr">
        <is>
          <t>Modalidade: 0 - Por conta do remetente | Parte: R C SOARES DISTRIBUIDORA E COMERCIO DE DESCARTAVEIS LTDA. (38.078.643/0001-20)</t>
        </is>
      </c>
      <c r="O4370" s="29" t="n">
        <v>0</v>
      </c>
      <c r="P4370" s="29" t="n">
        <v>117.6</v>
      </c>
      <c r="Q4370" s="29" t="n">
        <v>0</v>
      </c>
      <c r="R4370" s="29" t="n">
        <v>0</v>
      </c>
      <c r="S4370" s="29" t="n">
        <v>0</v>
      </c>
      <c r="T4370" t="inlineStr">
        <is>
          <t>32260803710040000115570010000468011000486523</t>
        </is>
      </c>
      <c r="U4370" t="inlineStr">
        <is>
          <t>Sim</t>
        </is>
      </c>
    </row>
    <row r="4371">
      <c r="A4371" t="inlineStr">
        <is>
          <t>Frete de venda</t>
        </is>
      </c>
      <c r="B4371" t="inlineStr">
        <is>
          <t>2.01.02 Frete sobre Vendas</t>
        </is>
      </c>
      <c r="C4371" s="30" t="n">
        <v>46235</v>
      </c>
      <c r="D4371" t="inlineStr">
        <is>
          <t>Em 2026</t>
        </is>
      </c>
      <c r="E4371" s="28" t="n">
        <v>46256</v>
      </c>
      <c r="F4371" t="inlineStr">
        <is>
          <t>CT-e</t>
        </is>
      </c>
      <c r="G4371" t="inlineStr">
        <is>
          <t>000025378</t>
        </is>
      </c>
      <c r="H4371" t="inlineStr">
        <is>
          <t>TRANSPORTE OLIVEIRA E MELLOI - IDEALIZA TRANSPORTES</t>
        </is>
      </c>
      <c r="J4371" s="29" t="n">
        <v>1345.81</v>
      </c>
      <c r="K4371" s="29">
        <f>(1-ISNUMBER(SEARCH("556",M4371)))*(O4371*SUMIFS(Premissas!$C$5:$C$44,Premissas!$A$5:$A$44,$A4371,Premissas!$B$5:$B$44,$B4371)+P4371*SUMIFS(Premissas!$D$5:$D$44,Premissas!$A$5:$A$44,$A4371,Premissas!$B$5:$B$44,$B4371))+R4371*SUMIFS(Premissas!$E$5:$E$44,Premissas!$A$5:$A$44,$A4371,Premissas!$B$5:$B$44,$B4371)+S4371*SUMIFS(Premissas!$F$5:$F$44,Premissas!$A$5:$A$44,$A4371,Premissas!$B$5:$B$44,$B4371)</f>
        <v/>
      </c>
      <c r="L4371" s="29">
        <f>J4371-K4371</f>
        <v/>
      </c>
      <c r="M4371" t="inlineStr">
        <is>
          <t>2.350</t>
        </is>
      </c>
      <c r="N4371" t="inlineStr">
        <is>
          <t>Modalidade: 0 - Por conta do remetente | Parte: IBIAPINA VARIEDADES LTDA (46.211.356/0001-75)</t>
        </is>
      </c>
      <c r="O4371" s="29" t="n">
        <v>0</v>
      </c>
      <c r="P4371" s="29" t="n">
        <v>161.5</v>
      </c>
      <c r="Q4371" s="29" t="n">
        <v>0</v>
      </c>
      <c r="R4371" s="29" t="n">
        <v>0</v>
      </c>
      <c r="S4371" s="29" t="n">
        <v>0</v>
      </c>
      <c r="T4371" t="inlineStr">
        <is>
          <t>15260820175042000170570010000253781000087744</t>
        </is>
      </c>
      <c r="U4371" t="inlineStr">
        <is>
          <t>Sim</t>
        </is>
      </c>
    </row>
    <row r="4372">
      <c r="A4372" t="inlineStr">
        <is>
          <t>Frete de venda</t>
        </is>
      </c>
      <c r="B4372" t="inlineStr">
        <is>
          <t>2.01.02 Frete sobre Vendas</t>
        </is>
      </c>
      <c r="C4372" s="30" t="n">
        <v>46235</v>
      </c>
      <c r="D4372" t="inlineStr">
        <is>
          <t>Em 2026</t>
        </is>
      </c>
      <c r="E4372" s="28" t="n">
        <v>46256</v>
      </c>
      <c r="F4372" t="inlineStr">
        <is>
          <t>CT-e</t>
        </is>
      </c>
      <c r="G4372" t="inlineStr">
        <is>
          <t>000025379</t>
        </is>
      </c>
      <c r="H4372" t="inlineStr">
        <is>
          <t>TRANSPORTE OLIVEIRA E MELLOI - IDEALIZA TRANSPORTES</t>
        </is>
      </c>
      <c r="J4372" s="29" t="n">
        <v>393.83</v>
      </c>
      <c r="K4372" s="29">
        <f>(1-ISNUMBER(SEARCH("556",M4372)))*(O4372*SUMIFS(Premissas!$C$5:$C$44,Premissas!$A$5:$A$44,$A4372,Premissas!$B$5:$B$44,$B4372)+P4372*SUMIFS(Premissas!$D$5:$D$44,Premissas!$A$5:$A$44,$A4372,Premissas!$B$5:$B$44,$B4372))+R4372*SUMIFS(Premissas!$E$5:$E$44,Premissas!$A$5:$A$44,$A4372,Premissas!$B$5:$B$44,$B4372)+S4372*SUMIFS(Premissas!$F$5:$F$44,Premissas!$A$5:$A$44,$A4372,Premissas!$B$5:$B$44,$B4372)</f>
        <v/>
      </c>
      <c r="L4372" s="29">
        <f>J4372-K4372</f>
        <v/>
      </c>
      <c r="M4372" t="inlineStr">
        <is>
          <t>2.350</t>
        </is>
      </c>
      <c r="N4372" t="inlineStr">
        <is>
          <t>Modalidade: 0 - Por conta do remetente | Parte: R. VALE DOS SANTOS LTDA (21.585.699/0001-79)</t>
        </is>
      </c>
      <c r="O4372" s="29" t="n">
        <v>0</v>
      </c>
      <c r="P4372" s="29" t="n">
        <v>47.26</v>
      </c>
      <c r="Q4372" s="29" t="n">
        <v>0</v>
      </c>
      <c r="R4372" s="29" t="n">
        <v>0</v>
      </c>
      <c r="S4372" s="29" t="n">
        <v>0</v>
      </c>
      <c r="T4372" t="inlineStr">
        <is>
          <t>15260820175042000170570010000253791000087750</t>
        </is>
      </c>
      <c r="U4372" t="inlineStr">
        <is>
          <t>Sim</t>
        </is>
      </c>
    </row>
    <row r="4373">
      <c r="A4373" t="inlineStr">
        <is>
          <t>Frete de venda</t>
        </is>
      </c>
      <c r="B4373" t="inlineStr">
        <is>
          <t>2.01.02 Frete sobre Vendas</t>
        </is>
      </c>
      <c r="C4373" s="30" t="n">
        <v>46235</v>
      </c>
      <c r="D4373" t="inlineStr">
        <is>
          <t>Em 2026</t>
        </is>
      </c>
      <c r="E4373" s="28" t="n">
        <v>46254</v>
      </c>
      <c r="F4373" t="inlineStr">
        <is>
          <t>CT-e</t>
        </is>
      </c>
      <c r="G4373" t="inlineStr">
        <is>
          <t>000006210</t>
        </is>
      </c>
      <c r="H4373" t="inlineStr">
        <is>
          <t>UNIVERSAL CARGAS EXPRESS</t>
        </is>
      </c>
      <c r="J4373" s="29" t="n">
        <v>350</v>
      </c>
      <c r="K4373" s="29">
        <f>(1-ISNUMBER(SEARCH("556",M4373)))*(O4373*SUMIFS(Premissas!$C$5:$C$44,Premissas!$A$5:$A$44,$A4373,Premissas!$B$5:$B$44,$B4373)+P4373*SUMIFS(Premissas!$D$5:$D$44,Premissas!$A$5:$A$44,$A4373,Premissas!$B$5:$B$44,$B4373))+R4373*SUMIFS(Premissas!$E$5:$E$44,Premissas!$A$5:$A$44,$A4373,Premissas!$B$5:$B$44,$B4373)+S4373*SUMIFS(Premissas!$F$5:$F$44,Premissas!$A$5:$A$44,$A4373,Premissas!$B$5:$B$44,$B4373)</f>
        <v/>
      </c>
      <c r="L4373" s="29">
        <f>J4373-K4373</f>
        <v/>
      </c>
      <c r="M4373" t="inlineStr">
        <is>
          <t>2.350</t>
        </is>
      </c>
      <c r="N4373" t="inlineStr">
        <is>
          <t>Modalidade: 0 - Por conta do remetente | Parte: ALFA EMBALAGENS LTDA (24.091.529/0001-26)</t>
        </is>
      </c>
      <c r="O4373" s="29" t="n">
        <v>0</v>
      </c>
      <c r="P4373" s="29" t="n">
        <v>0</v>
      </c>
      <c r="Q4373" s="29" t="n">
        <v>0</v>
      </c>
      <c r="R4373" s="29" t="n">
        <v>0</v>
      </c>
      <c r="S4373" s="29" t="n">
        <v>0</v>
      </c>
      <c r="T4373" t="inlineStr">
        <is>
          <t>15260844384835000168570020000062101000075529</t>
        </is>
      </c>
      <c r="U4373" t="inlineStr">
        <is>
          <t>Sim</t>
        </is>
      </c>
    </row>
    <row r="4374">
      <c r="A4374" t="inlineStr">
        <is>
          <t>Frete de venda</t>
        </is>
      </c>
      <c r="B4374" t="inlineStr">
        <is>
          <t>2.01.02 Frete sobre Vendas</t>
        </is>
      </c>
      <c r="C4374" s="30" t="n">
        <v>46266</v>
      </c>
      <c r="D4374" t="inlineStr">
        <is>
          <t>Em 2026</t>
        </is>
      </c>
      <c r="E4374" s="28" t="n">
        <v>46267</v>
      </c>
      <c r="F4374" t="inlineStr">
        <is>
          <t>CT-e</t>
        </is>
      </c>
      <c r="G4374" t="inlineStr">
        <is>
          <t>000009781</t>
        </is>
      </c>
      <c r="H4374" t="inlineStr">
        <is>
          <t>BEM TRANSPORTES E LOGISTICA</t>
        </is>
      </c>
      <c r="J4374" s="29" t="n">
        <v>707.36</v>
      </c>
      <c r="K4374" s="29">
        <f>(1-ISNUMBER(SEARCH("556",M4374)))*(O4374*SUMIFS(Premissas!$C$5:$C$44,Premissas!$A$5:$A$44,$A4374,Premissas!$B$5:$B$44,$B4374)+P4374*SUMIFS(Premissas!$D$5:$D$44,Premissas!$A$5:$A$44,$A4374,Premissas!$B$5:$B$44,$B4374))+R4374*SUMIFS(Premissas!$E$5:$E$44,Premissas!$A$5:$A$44,$A4374,Premissas!$B$5:$B$44,$B4374)+S4374*SUMIFS(Premissas!$F$5:$F$44,Premissas!$A$5:$A$44,$A4374,Premissas!$B$5:$B$44,$B4374)</f>
        <v/>
      </c>
      <c r="L4374" s="29">
        <f>J4374-K4374</f>
        <v/>
      </c>
      <c r="M4374" t="inlineStr">
        <is>
          <t>2.350</t>
        </is>
      </c>
      <c r="N4374" t="inlineStr">
        <is>
          <t>Modalidade: 0 - Por conta do remetente | Parte: DISTRIBUIDORA BELOPACK LTDA (03.053.442/0001-94)</t>
        </is>
      </c>
      <c r="O4374" s="29" t="n">
        <v>0</v>
      </c>
      <c r="P4374" s="29" t="n">
        <v>0</v>
      </c>
      <c r="Q4374" s="29" t="n">
        <v>0</v>
      </c>
      <c r="R4374" s="29" t="n">
        <v>0</v>
      </c>
      <c r="S4374" s="29" t="n">
        <v>0</v>
      </c>
      <c r="T4374" t="inlineStr">
        <is>
          <t>31260945731099000130570010000097811000098023</t>
        </is>
      </c>
      <c r="U4374" t="inlineStr">
        <is>
          <t>Sim</t>
        </is>
      </c>
    </row>
    <row r="4375">
      <c r="A4375" t="inlineStr">
        <is>
          <t>Frete de venda</t>
        </is>
      </c>
      <c r="B4375" t="inlineStr">
        <is>
          <t>2.01.02 Frete sobre Vendas</t>
        </is>
      </c>
      <c r="C4375" s="30" t="n">
        <v>46266</v>
      </c>
      <c r="D4375" t="inlineStr">
        <is>
          <t>Em 2026</t>
        </is>
      </c>
      <c r="E4375" s="28" t="n">
        <v>46267</v>
      </c>
      <c r="F4375" t="inlineStr">
        <is>
          <t>CT-e</t>
        </is>
      </c>
      <c r="G4375" t="inlineStr">
        <is>
          <t>000009782</t>
        </is>
      </c>
      <c r="H4375" t="inlineStr">
        <is>
          <t>BEM TRANSPORTES E LOGISTICA</t>
        </is>
      </c>
      <c r="J4375" s="29" t="n">
        <v>541.6799999999999</v>
      </c>
      <c r="K4375" s="29">
        <f>(1-ISNUMBER(SEARCH("556",M4375)))*(O4375*SUMIFS(Premissas!$C$5:$C$44,Premissas!$A$5:$A$44,$A4375,Premissas!$B$5:$B$44,$B4375)+P4375*SUMIFS(Premissas!$D$5:$D$44,Premissas!$A$5:$A$44,$A4375,Premissas!$B$5:$B$44,$B4375))+R4375*SUMIFS(Premissas!$E$5:$E$44,Premissas!$A$5:$A$44,$A4375,Premissas!$B$5:$B$44,$B4375)+S4375*SUMIFS(Premissas!$F$5:$F$44,Premissas!$A$5:$A$44,$A4375,Premissas!$B$5:$B$44,$B4375)</f>
        <v/>
      </c>
      <c r="L4375" s="29">
        <f>J4375-K4375</f>
        <v/>
      </c>
      <c r="M4375" t="inlineStr">
        <is>
          <t>2.350</t>
        </is>
      </c>
      <c r="N4375" t="inlineStr">
        <is>
          <t>Modalidade: 0 - Por conta do remetente | Parte: COMERCIAL MARVAL LTDA. (23.415.581/0001-28)</t>
        </is>
      </c>
      <c r="O4375" s="29" t="n">
        <v>0</v>
      </c>
      <c r="P4375" s="29" t="n">
        <v>0</v>
      </c>
      <c r="Q4375" s="29" t="n">
        <v>0</v>
      </c>
      <c r="R4375" s="29" t="n">
        <v>0</v>
      </c>
      <c r="S4375" s="29" t="n">
        <v>0</v>
      </c>
      <c r="T4375" t="inlineStr">
        <is>
          <t>31260945731099000130570010000097821000098039</t>
        </is>
      </c>
      <c r="U4375" t="inlineStr">
        <is>
          <t>Sim</t>
        </is>
      </c>
    </row>
    <row r="4376">
      <c r="A4376" t="inlineStr">
        <is>
          <t>Frete de venda</t>
        </is>
      </c>
      <c r="B4376" t="inlineStr">
        <is>
          <t>2.01.02 Frete sobre Vendas</t>
        </is>
      </c>
      <c r="C4376" s="30" t="n">
        <v>46266</v>
      </c>
      <c r="D4376" t="inlineStr">
        <is>
          <t>Em 2026</t>
        </is>
      </c>
      <c r="E4376" s="28" t="n">
        <v>46267</v>
      </c>
      <c r="F4376" t="inlineStr">
        <is>
          <t>CT-e</t>
        </is>
      </c>
      <c r="G4376" t="inlineStr">
        <is>
          <t>000009783</t>
        </is>
      </c>
      <c r="H4376" t="inlineStr">
        <is>
          <t>BEM TRANSPORTES E LOGISTICA</t>
        </is>
      </c>
      <c r="J4376" s="29" t="n">
        <v>388.42</v>
      </c>
      <c r="K4376" s="29">
        <f>(1-ISNUMBER(SEARCH("556",M4376)))*(O4376*SUMIFS(Premissas!$C$5:$C$44,Premissas!$A$5:$A$44,$A4376,Premissas!$B$5:$B$44,$B4376)+P4376*SUMIFS(Premissas!$D$5:$D$44,Premissas!$A$5:$A$44,$A4376,Premissas!$B$5:$B$44,$B4376))+R4376*SUMIFS(Premissas!$E$5:$E$44,Premissas!$A$5:$A$44,$A4376,Premissas!$B$5:$B$44,$B4376)+S4376*SUMIFS(Premissas!$F$5:$F$44,Premissas!$A$5:$A$44,$A4376,Premissas!$B$5:$B$44,$B4376)</f>
        <v/>
      </c>
      <c r="L4376" s="29">
        <f>J4376-K4376</f>
        <v/>
      </c>
      <c r="M4376" t="inlineStr">
        <is>
          <t>2.350</t>
        </is>
      </c>
      <c r="N4376" t="inlineStr">
        <is>
          <t>Modalidade: 0 - Por conta do remetente | Parte: CASA DAS EMBALAGENS ARAGUARI LTDA (01.870.495/0001-72)</t>
        </is>
      </c>
      <c r="O4376" s="29" t="n">
        <v>0</v>
      </c>
      <c r="P4376" s="29" t="n">
        <v>0</v>
      </c>
      <c r="Q4376" s="29" t="n">
        <v>0</v>
      </c>
      <c r="R4376" s="29" t="n">
        <v>0</v>
      </c>
      <c r="S4376" s="29" t="n">
        <v>0</v>
      </c>
      <c r="T4376" t="inlineStr">
        <is>
          <t>31260945731099000130570010000097831000098044</t>
        </is>
      </c>
      <c r="U4376" t="inlineStr">
        <is>
          <t>Sim</t>
        </is>
      </c>
    </row>
    <row r="4377">
      <c r="A4377" t="inlineStr">
        <is>
          <t>Frete de venda</t>
        </is>
      </c>
      <c r="B4377" t="inlineStr">
        <is>
          <t>2.01.02 Frete sobre Vendas</t>
        </is>
      </c>
      <c r="C4377" s="30" t="n">
        <v>46266</v>
      </c>
      <c r="D4377" t="inlineStr">
        <is>
          <t>Em 2026</t>
        </is>
      </c>
      <c r="E4377" s="28" t="n">
        <v>46267</v>
      </c>
      <c r="F4377" t="inlineStr">
        <is>
          <t>CT-e</t>
        </is>
      </c>
      <c r="G4377" t="inlineStr">
        <is>
          <t>000009784</t>
        </is>
      </c>
      <c r="H4377" t="inlineStr">
        <is>
          <t>BEM TRANSPORTES E LOGISTICA</t>
        </is>
      </c>
      <c r="J4377" s="29" t="n">
        <v>2202.65</v>
      </c>
      <c r="K4377" s="29">
        <f>(1-ISNUMBER(SEARCH("556",M4377)))*(O4377*SUMIFS(Premissas!$C$5:$C$44,Premissas!$A$5:$A$44,$A4377,Premissas!$B$5:$B$44,$B4377)+P4377*SUMIFS(Premissas!$D$5:$D$44,Premissas!$A$5:$A$44,$A4377,Premissas!$B$5:$B$44,$B4377))+R4377*SUMIFS(Premissas!$E$5:$E$44,Premissas!$A$5:$A$44,$A4377,Premissas!$B$5:$B$44,$B4377)+S4377*SUMIFS(Premissas!$F$5:$F$44,Premissas!$A$5:$A$44,$A4377,Premissas!$B$5:$B$44,$B4377)</f>
        <v/>
      </c>
      <c r="L4377" s="29">
        <f>J4377-K4377</f>
        <v/>
      </c>
      <c r="M4377" t="inlineStr">
        <is>
          <t>2.350</t>
        </is>
      </c>
      <c r="N4377" t="inlineStr">
        <is>
          <t>Modalidade: 0 - Por conta do remetente | Parte: LIDERPACK EMBALAGENS LTDA (46.994.972/0001-40)</t>
        </is>
      </c>
      <c r="O4377" s="29" t="n">
        <v>0</v>
      </c>
      <c r="P4377" s="29" t="n">
        <v>0</v>
      </c>
      <c r="Q4377" s="29" t="n">
        <v>0</v>
      </c>
      <c r="R4377" s="29" t="n">
        <v>0</v>
      </c>
      <c r="S4377" s="29" t="n">
        <v>0</v>
      </c>
      <c r="T4377" t="inlineStr">
        <is>
          <t>31260945731099000130570010000097841000098050</t>
        </is>
      </c>
      <c r="U4377" t="inlineStr">
        <is>
          <t>Sim</t>
        </is>
      </c>
    </row>
    <row r="4378">
      <c r="A4378" t="inlineStr">
        <is>
          <t>Frete de venda</t>
        </is>
      </c>
      <c r="B4378" t="inlineStr">
        <is>
          <t>2.01.02 Frete sobre Vendas</t>
        </is>
      </c>
      <c r="C4378" s="30" t="n">
        <v>46266</v>
      </c>
      <c r="D4378" t="inlineStr">
        <is>
          <t>Em 2026</t>
        </is>
      </c>
      <c r="E4378" s="28" t="n">
        <v>46267</v>
      </c>
      <c r="F4378" t="inlineStr">
        <is>
          <t>CT-e</t>
        </is>
      </c>
      <c r="G4378" t="inlineStr">
        <is>
          <t>000009785</t>
        </is>
      </c>
      <c r="H4378" t="inlineStr">
        <is>
          <t>BEM TRANSPORTES E LOGISTICA</t>
        </is>
      </c>
      <c r="J4378" s="29" t="n">
        <v>972.84</v>
      </c>
      <c r="K4378" s="29">
        <f>(1-ISNUMBER(SEARCH("556",M4378)))*(O4378*SUMIFS(Premissas!$C$5:$C$44,Premissas!$A$5:$A$44,$A4378,Premissas!$B$5:$B$44,$B4378)+P4378*SUMIFS(Premissas!$D$5:$D$44,Premissas!$A$5:$A$44,$A4378,Premissas!$B$5:$B$44,$B4378))+R4378*SUMIFS(Premissas!$E$5:$E$44,Premissas!$A$5:$A$44,$A4378,Premissas!$B$5:$B$44,$B4378)+S4378*SUMIFS(Premissas!$F$5:$F$44,Premissas!$A$5:$A$44,$A4378,Premissas!$B$5:$B$44,$B4378)</f>
        <v/>
      </c>
      <c r="L4378" s="29">
        <f>J4378-K4378</f>
        <v/>
      </c>
      <c r="M4378" t="inlineStr">
        <is>
          <t>2.350</t>
        </is>
      </c>
      <c r="N4378" t="inlineStr">
        <is>
          <t>Modalidade: 0 - Por conta do remetente | Parte: NC EMBALAGENS LTDA (42.064.062/0001-07)</t>
        </is>
      </c>
      <c r="O4378" s="29" t="n">
        <v>0</v>
      </c>
      <c r="P4378" s="29" t="n">
        <v>0</v>
      </c>
      <c r="Q4378" s="29" t="n">
        <v>0</v>
      </c>
      <c r="R4378" s="29" t="n">
        <v>0</v>
      </c>
      <c r="S4378" s="29" t="n">
        <v>0</v>
      </c>
      <c r="T4378" t="inlineStr">
        <is>
          <t>31260945731099000130570010000097851000098065</t>
        </is>
      </c>
      <c r="U4378" t="inlineStr">
        <is>
          <t>Sim</t>
        </is>
      </c>
    </row>
    <row r="4379">
      <c r="A4379" t="inlineStr">
        <is>
          <t>Frete de venda</t>
        </is>
      </c>
      <c r="B4379" t="inlineStr">
        <is>
          <t>2.01.02 Frete sobre Vendas</t>
        </is>
      </c>
      <c r="C4379" s="30" t="n">
        <v>46266</v>
      </c>
      <c r="D4379" t="inlineStr">
        <is>
          <t>Em 2026</t>
        </is>
      </c>
      <c r="E4379" s="28" t="n">
        <v>46273</v>
      </c>
      <c r="F4379" t="inlineStr">
        <is>
          <t>CT-e</t>
        </is>
      </c>
      <c r="G4379" t="inlineStr">
        <is>
          <t>000009823</t>
        </is>
      </c>
      <c r="H4379" t="inlineStr">
        <is>
          <t>BEM TRANSPORTES E LOGISTICA</t>
        </is>
      </c>
      <c r="J4379" s="29" t="n">
        <v>836.3</v>
      </c>
      <c r="K4379" s="29">
        <f>(1-ISNUMBER(SEARCH("556",M4379)))*(O4379*SUMIFS(Premissas!$C$5:$C$44,Premissas!$A$5:$A$44,$A4379,Premissas!$B$5:$B$44,$B4379)+P4379*SUMIFS(Premissas!$D$5:$D$44,Premissas!$A$5:$A$44,$A4379,Premissas!$B$5:$B$44,$B4379))+R4379*SUMIFS(Premissas!$E$5:$E$44,Premissas!$A$5:$A$44,$A4379,Premissas!$B$5:$B$44,$B4379)+S4379*SUMIFS(Premissas!$F$5:$F$44,Premissas!$A$5:$A$44,$A4379,Premissas!$B$5:$B$44,$B4379)</f>
        <v/>
      </c>
      <c r="L4379" s="29">
        <f>J4379-K4379</f>
        <v/>
      </c>
      <c r="M4379" t="inlineStr">
        <is>
          <t>2.350</t>
        </is>
      </c>
      <c r="N4379" t="inlineStr">
        <is>
          <t>Modalidade: 0 - Por conta do remetente | Parte: EMBALANORTE DE JANAUBA LTDA (26.783.338/0001-50)</t>
        </is>
      </c>
      <c r="O4379" s="29" t="n">
        <v>0</v>
      </c>
      <c r="P4379" s="29" t="n">
        <v>0</v>
      </c>
      <c r="Q4379" s="29" t="n">
        <v>0</v>
      </c>
      <c r="R4379" s="29" t="n">
        <v>0</v>
      </c>
      <c r="S4379" s="29" t="n">
        <v>0</v>
      </c>
      <c r="T4379" t="inlineStr">
        <is>
          <t>31260945731099000130570010000098231000098440</t>
        </is>
      </c>
      <c r="U4379" t="inlineStr">
        <is>
          <t>Sim</t>
        </is>
      </c>
    </row>
    <row r="4380">
      <c r="A4380" t="inlineStr">
        <is>
          <t>Frete de venda</t>
        </is>
      </c>
      <c r="B4380" t="inlineStr">
        <is>
          <t>2.01.02 Frete sobre Vendas</t>
        </is>
      </c>
      <c r="C4380" s="30" t="n">
        <v>46266</v>
      </c>
      <c r="D4380" t="inlineStr">
        <is>
          <t>Em 2026</t>
        </is>
      </c>
      <c r="E4380" s="28" t="n">
        <v>46273</v>
      </c>
      <c r="F4380" t="inlineStr">
        <is>
          <t>CT-e</t>
        </is>
      </c>
      <c r="G4380" t="inlineStr">
        <is>
          <t>000009824</t>
        </is>
      </c>
      <c r="H4380" t="inlineStr">
        <is>
          <t>BEM TRANSPORTES E LOGISTICA</t>
        </is>
      </c>
      <c r="J4380" s="29" t="n">
        <v>2770.7</v>
      </c>
      <c r="K4380" s="29">
        <f>(1-ISNUMBER(SEARCH("556",M4380)))*(O4380*SUMIFS(Premissas!$C$5:$C$44,Premissas!$A$5:$A$44,$A4380,Premissas!$B$5:$B$44,$B4380)+P4380*SUMIFS(Premissas!$D$5:$D$44,Premissas!$A$5:$A$44,$A4380,Premissas!$B$5:$B$44,$B4380))+R4380*SUMIFS(Premissas!$E$5:$E$44,Premissas!$A$5:$A$44,$A4380,Premissas!$B$5:$B$44,$B4380)+S4380*SUMIFS(Premissas!$F$5:$F$44,Premissas!$A$5:$A$44,$A4380,Premissas!$B$5:$B$44,$B4380)</f>
        <v/>
      </c>
      <c r="L4380" s="29">
        <f>J4380-K4380</f>
        <v/>
      </c>
      <c r="M4380" t="inlineStr">
        <is>
          <t>2.350</t>
        </is>
      </c>
      <c r="N4380" t="inlineStr">
        <is>
          <t>Modalidade: 0 - Por conta do remetente | Parte: ROMANA FESTAS LTDA (03.767.778/0001-19)</t>
        </is>
      </c>
      <c r="O4380" s="29" t="n">
        <v>0</v>
      </c>
      <c r="P4380" s="29" t="n">
        <v>0</v>
      </c>
      <c r="Q4380" s="29" t="n">
        <v>0</v>
      </c>
      <c r="R4380" s="29" t="n">
        <v>0</v>
      </c>
      <c r="S4380" s="29" t="n">
        <v>0</v>
      </c>
      <c r="T4380" t="inlineStr">
        <is>
          <t>31260945731099000130570010000098241000098456</t>
        </is>
      </c>
      <c r="U4380" t="inlineStr">
        <is>
          <t>Sim</t>
        </is>
      </c>
    </row>
    <row r="4381">
      <c r="A4381" t="inlineStr">
        <is>
          <t>Frete de venda</t>
        </is>
      </c>
      <c r="B4381" t="inlineStr">
        <is>
          <t>2.01.02 Frete sobre Vendas</t>
        </is>
      </c>
      <c r="C4381" s="30" t="n">
        <v>46266</v>
      </c>
      <c r="D4381" t="inlineStr">
        <is>
          <t>Em 2026</t>
        </is>
      </c>
      <c r="E4381" s="28" t="n">
        <v>46273</v>
      </c>
      <c r="F4381" t="inlineStr">
        <is>
          <t>CT-e</t>
        </is>
      </c>
      <c r="G4381" t="inlineStr">
        <is>
          <t>000009825</t>
        </is>
      </c>
      <c r="H4381" t="inlineStr">
        <is>
          <t>BEM TRANSPORTES E LOGISTICA</t>
        </is>
      </c>
      <c r="J4381" s="29" t="n">
        <v>477.7</v>
      </c>
      <c r="K4381" s="29">
        <f>(1-ISNUMBER(SEARCH("556",M4381)))*(O4381*SUMIFS(Premissas!$C$5:$C$44,Premissas!$A$5:$A$44,$A4381,Premissas!$B$5:$B$44,$B4381)+P4381*SUMIFS(Premissas!$D$5:$D$44,Premissas!$A$5:$A$44,$A4381,Premissas!$B$5:$B$44,$B4381))+R4381*SUMIFS(Premissas!$E$5:$E$44,Premissas!$A$5:$A$44,$A4381,Premissas!$B$5:$B$44,$B4381)+S4381*SUMIFS(Premissas!$F$5:$F$44,Premissas!$A$5:$A$44,$A4381,Premissas!$B$5:$B$44,$B4381)</f>
        <v/>
      </c>
      <c r="L4381" s="29">
        <f>J4381-K4381</f>
        <v/>
      </c>
      <c r="M4381" t="inlineStr">
        <is>
          <t>2.350</t>
        </is>
      </c>
      <c r="N4381" t="inlineStr">
        <is>
          <t>Modalidade: 0 - Por conta do remetente | Parte: EMPORIUM DAS GULOSEIMAS FESTAS E DECORACOES LTDA (13.151.187/0001-76)</t>
        </is>
      </c>
      <c r="O4381" s="29" t="n">
        <v>0</v>
      </c>
      <c r="P4381" s="29" t="n">
        <v>0</v>
      </c>
      <c r="Q4381" s="29" t="n">
        <v>0</v>
      </c>
      <c r="R4381" s="29" t="n">
        <v>0</v>
      </c>
      <c r="S4381" s="29" t="n">
        <v>0</v>
      </c>
      <c r="T4381" t="inlineStr">
        <is>
          <t>31260945731099000130570010000098251000098461</t>
        </is>
      </c>
      <c r="U4381" t="inlineStr">
        <is>
          <t>Sim</t>
        </is>
      </c>
    </row>
    <row r="4382">
      <c r="A4382" t="inlineStr">
        <is>
          <t>Frete de venda</t>
        </is>
      </c>
      <c r="B4382" t="inlineStr">
        <is>
          <t>2.01.02 Frete sobre Vendas</t>
        </is>
      </c>
      <c r="C4382" s="30" t="n">
        <v>46266</v>
      </c>
      <c r="D4382" t="inlineStr">
        <is>
          <t>Em 2026</t>
        </is>
      </c>
      <c r="E4382" s="28" t="n">
        <v>46273</v>
      </c>
      <c r="F4382" t="inlineStr">
        <is>
          <t>CT-e</t>
        </is>
      </c>
      <c r="G4382" t="inlineStr">
        <is>
          <t>000009826</t>
        </is>
      </c>
      <c r="H4382" t="inlineStr">
        <is>
          <t>BEM TRANSPORTES E LOGISTICA</t>
        </is>
      </c>
      <c r="J4382" s="29" t="n">
        <v>846.5</v>
      </c>
      <c r="K4382" s="29">
        <f>(1-ISNUMBER(SEARCH("556",M4382)))*(O4382*SUMIFS(Premissas!$C$5:$C$44,Premissas!$A$5:$A$44,$A4382,Premissas!$B$5:$B$44,$B4382)+P4382*SUMIFS(Premissas!$D$5:$D$44,Premissas!$A$5:$A$44,$A4382,Premissas!$B$5:$B$44,$B4382))+R4382*SUMIFS(Premissas!$E$5:$E$44,Premissas!$A$5:$A$44,$A4382,Premissas!$B$5:$B$44,$B4382)+S4382*SUMIFS(Premissas!$F$5:$F$44,Premissas!$A$5:$A$44,$A4382,Premissas!$B$5:$B$44,$B4382)</f>
        <v/>
      </c>
      <c r="L4382" s="29">
        <f>J4382-K4382</f>
        <v/>
      </c>
      <c r="M4382" t="inlineStr">
        <is>
          <t>2.350</t>
        </is>
      </c>
      <c r="N4382" t="inlineStr">
        <is>
          <t>Modalidade: 0 - Por conta do remetente | Parte: R S P CASSIMIRO DOCE FESTA (27.217.296/0001-53)</t>
        </is>
      </c>
      <c r="O4382" s="29" t="n">
        <v>0</v>
      </c>
      <c r="P4382" s="29" t="n">
        <v>0</v>
      </c>
      <c r="Q4382" s="29" t="n">
        <v>0</v>
      </c>
      <c r="R4382" s="29" t="n">
        <v>0</v>
      </c>
      <c r="S4382" s="29" t="n">
        <v>0</v>
      </c>
      <c r="T4382" t="inlineStr">
        <is>
          <t>31260945731099000130570010000098261000098477</t>
        </is>
      </c>
      <c r="U4382" t="inlineStr">
        <is>
          <t>Sim</t>
        </is>
      </c>
    </row>
    <row r="4383">
      <c r="A4383" t="inlineStr">
        <is>
          <t>Frete de venda</t>
        </is>
      </c>
      <c r="B4383" t="inlineStr">
        <is>
          <t>2.01.02 Frete sobre Vendas</t>
        </is>
      </c>
      <c r="C4383" s="30" t="n">
        <v>46266</v>
      </c>
      <c r="D4383" t="inlineStr">
        <is>
          <t>Em 2026</t>
        </is>
      </c>
      <c r="E4383" s="28" t="n">
        <v>46273</v>
      </c>
      <c r="F4383" t="inlineStr">
        <is>
          <t>CT-e</t>
        </is>
      </c>
      <c r="G4383" t="inlineStr">
        <is>
          <t>000009827</t>
        </is>
      </c>
      <c r="H4383" t="inlineStr">
        <is>
          <t>BEM TRANSPORTES E LOGISTICA</t>
        </is>
      </c>
      <c r="J4383" s="29" t="n">
        <v>1176.2</v>
      </c>
      <c r="K4383" s="29">
        <f>(1-ISNUMBER(SEARCH("556",M4383)))*(O4383*SUMIFS(Premissas!$C$5:$C$44,Premissas!$A$5:$A$44,$A4383,Premissas!$B$5:$B$44,$B4383)+P4383*SUMIFS(Premissas!$D$5:$D$44,Premissas!$A$5:$A$44,$A4383,Premissas!$B$5:$B$44,$B4383))+R4383*SUMIFS(Premissas!$E$5:$E$44,Premissas!$A$5:$A$44,$A4383,Premissas!$B$5:$B$44,$B4383)+S4383*SUMIFS(Premissas!$F$5:$F$44,Premissas!$A$5:$A$44,$A4383,Premissas!$B$5:$B$44,$B4383)</f>
        <v/>
      </c>
      <c r="L4383" s="29">
        <f>J4383-K4383</f>
        <v/>
      </c>
      <c r="M4383" t="inlineStr">
        <is>
          <t>2.350</t>
        </is>
      </c>
      <c r="N4383" t="inlineStr">
        <is>
          <t>Modalidade: 0 - Por conta do remetente | Parte: OPM PRODUTOS ALIMENTICIOS LTDA (22.660.471/0001-69)</t>
        </is>
      </c>
      <c r="O4383" s="29" t="n">
        <v>0</v>
      </c>
      <c r="P4383" s="29" t="n">
        <v>0</v>
      </c>
      <c r="Q4383" s="29" t="n">
        <v>0</v>
      </c>
      <c r="R4383" s="29" t="n">
        <v>0</v>
      </c>
      <c r="S4383" s="29" t="n">
        <v>0</v>
      </c>
      <c r="T4383" t="inlineStr">
        <is>
          <t>31260945731099000130570010000098271000098482</t>
        </is>
      </c>
      <c r="U4383" t="inlineStr">
        <is>
          <t>Sim</t>
        </is>
      </c>
    </row>
    <row r="4384">
      <c r="A4384" t="inlineStr">
        <is>
          <t>Frete de venda</t>
        </is>
      </c>
      <c r="B4384" t="inlineStr">
        <is>
          <t>2.01.02 Frete sobre Vendas</t>
        </is>
      </c>
      <c r="C4384" s="30" t="n">
        <v>46266</v>
      </c>
      <c r="D4384" t="inlineStr">
        <is>
          <t>Em 2026</t>
        </is>
      </c>
      <c r="E4384" s="28" t="n">
        <v>46273</v>
      </c>
      <c r="F4384" t="inlineStr">
        <is>
          <t>CT-e</t>
        </is>
      </c>
      <c r="G4384" t="inlineStr">
        <is>
          <t>000009828</t>
        </is>
      </c>
      <c r="H4384" t="inlineStr">
        <is>
          <t>BEM TRANSPORTES E LOGISTICA</t>
        </is>
      </c>
      <c r="J4384" s="29" t="n">
        <v>1085.3</v>
      </c>
      <c r="K4384" s="29">
        <f>(1-ISNUMBER(SEARCH("556",M4384)))*(O4384*SUMIFS(Premissas!$C$5:$C$44,Premissas!$A$5:$A$44,$A4384,Premissas!$B$5:$B$44,$B4384)+P4384*SUMIFS(Premissas!$D$5:$D$44,Premissas!$A$5:$A$44,$A4384,Premissas!$B$5:$B$44,$B4384))+R4384*SUMIFS(Premissas!$E$5:$E$44,Premissas!$A$5:$A$44,$A4384,Premissas!$B$5:$B$44,$B4384)+S4384*SUMIFS(Premissas!$F$5:$F$44,Premissas!$A$5:$A$44,$A4384,Premissas!$B$5:$B$44,$B4384)</f>
        <v/>
      </c>
      <c r="L4384" s="29">
        <f>J4384-K4384</f>
        <v/>
      </c>
      <c r="M4384" t="inlineStr">
        <is>
          <t>2.350</t>
        </is>
      </c>
      <c r="N4384" t="inlineStr">
        <is>
          <t>Modalidade: 0 - Por conta do remetente | Parte: ROSANGELA CLEMENCIA NASCIMENTO BONFIM (25.976.846/0001-92)</t>
        </is>
      </c>
      <c r="O4384" s="29" t="n">
        <v>0</v>
      </c>
      <c r="P4384" s="29" t="n">
        <v>0</v>
      </c>
      <c r="Q4384" s="29" t="n">
        <v>0</v>
      </c>
      <c r="R4384" s="29" t="n">
        <v>0</v>
      </c>
      <c r="S4384" s="29" t="n">
        <v>0</v>
      </c>
      <c r="T4384" t="inlineStr">
        <is>
          <t>31260945731099000130570010000098281000098498</t>
        </is>
      </c>
      <c r="U4384" t="inlineStr">
        <is>
          <t>Sim</t>
        </is>
      </c>
    </row>
    <row r="4385">
      <c r="A4385" t="inlineStr">
        <is>
          <t>Frete de venda</t>
        </is>
      </c>
      <c r="B4385" t="inlineStr">
        <is>
          <t>2.01.02 Frete sobre Vendas</t>
        </is>
      </c>
      <c r="C4385" s="30" t="n">
        <v>46266</v>
      </c>
      <c r="D4385" t="inlineStr">
        <is>
          <t>Em 2026</t>
        </is>
      </c>
      <c r="E4385" s="28" t="n">
        <v>46266</v>
      </c>
      <c r="F4385" t="inlineStr">
        <is>
          <t>CT-e</t>
        </is>
      </c>
      <c r="G4385" t="inlineStr">
        <is>
          <t>000000459</t>
        </is>
      </c>
      <c r="H4385" t="inlineStr">
        <is>
          <t>DURA MAIS TRANSPORTES LTDA</t>
        </is>
      </c>
      <c r="J4385" s="29" t="n">
        <v>14175</v>
      </c>
      <c r="K4385" s="29">
        <f>(1-ISNUMBER(SEARCH("556",M4385)))*(O4385*SUMIFS(Premissas!$C$5:$C$44,Premissas!$A$5:$A$44,$A4385,Premissas!$B$5:$B$44,$B4385)+P4385*SUMIFS(Premissas!$D$5:$D$44,Premissas!$A$5:$A$44,$A4385,Premissas!$B$5:$B$44,$B4385))+R4385*SUMIFS(Premissas!$E$5:$E$44,Premissas!$A$5:$A$44,$A4385,Premissas!$B$5:$B$44,$B4385)+S4385*SUMIFS(Premissas!$F$5:$F$44,Premissas!$A$5:$A$44,$A4385,Premissas!$B$5:$B$44,$B4385)</f>
        <v/>
      </c>
      <c r="L4385" s="29">
        <f>J4385-K4385</f>
        <v/>
      </c>
      <c r="M4385" t="inlineStr">
        <is>
          <t>2.350</t>
        </is>
      </c>
      <c r="N4385" t="inlineStr">
        <is>
          <t>Modalidade: 0 - Por conta do remetente | Parte: DISTRIPACK DISTRIBUIDORA DE EMBALAGENS LTDA (11.043.375/0002-36)</t>
        </is>
      </c>
      <c r="O4385" s="29" t="n">
        <v>0</v>
      </c>
      <c r="P4385" s="29" t="n">
        <v>1701</v>
      </c>
      <c r="Q4385" s="29" t="n">
        <v>0</v>
      </c>
      <c r="R4385" s="29" t="n">
        <v>0</v>
      </c>
      <c r="S4385" s="29" t="n">
        <v>0</v>
      </c>
      <c r="T4385" t="inlineStr">
        <is>
          <t>25260959256389000183570010000004591001101110</t>
        </is>
      </c>
      <c r="U4385" t="inlineStr">
        <is>
          <t>Sim</t>
        </is>
      </c>
    </row>
    <row r="4386">
      <c r="A4386" t="inlineStr">
        <is>
          <t>Frete de venda</t>
        </is>
      </c>
      <c r="B4386" t="inlineStr">
        <is>
          <t>2.01.02 Frete sobre Vendas</t>
        </is>
      </c>
      <c r="C4386" s="30" t="n">
        <v>46266</v>
      </c>
      <c r="D4386" t="inlineStr">
        <is>
          <t>Em 2026</t>
        </is>
      </c>
      <c r="E4386" s="28" t="n">
        <v>46266</v>
      </c>
      <c r="F4386" t="inlineStr">
        <is>
          <t>CT-e</t>
        </is>
      </c>
      <c r="G4386" t="inlineStr">
        <is>
          <t>000000463</t>
        </is>
      </c>
      <c r="H4386" t="inlineStr">
        <is>
          <t>DURA MAIS TRANSPORTES LTDA</t>
        </is>
      </c>
      <c r="J4386" s="29" t="n">
        <v>1170</v>
      </c>
      <c r="K4386" s="29">
        <f>(1-ISNUMBER(SEARCH("556",M4386)))*(O4386*SUMIFS(Premissas!$C$5:$C$44,Premissas!$A$5:$A$44,$A4386,Premissas!$B$5:$B$44,$B4386)+P4386*SUMIFS(Premissas!$D$5:$D$44,Premissas!$A$5:$A$44,$A4386,Premissas!$B$5:$B$44,$B4386))+R4386*SUMIFS(Premissas!$E$5:$E$44,Premissas!$A$5:$A$44,$A4386,Premissas!$B$5:$B$44,$B4386)+S4386*SUMIFS(Premissas!$F$5:$F$44,Premissas!$A$5:$A$44,$A4386,Premissas!$B$5:$B$44,$B4386)</f>
        <v/>
      </c>
      <c r="L4386" s="29">
        <f>J4386-K4386</f>
        <v/>
      </c>
      <c r="M4386" t="inlineStr">
        <is>
          <t>2.350</t>
        </is>
      </c>
      <c r="N4386" t="inlineStr">
        <is>
          <t>Modalidade: 0 - Por conta do remetente | Parte: JAMES L. H. TOME e CIA LTDA (16.965.024/0001-15)</t>
        </is>
      </c>
      <c r="O4386" s="29" t="n">
        <v>0</v>
      </c>
      <c r="P4386" s="29" t="n">
        <v>140.4</v>
      </c>
      <c r="Q4386" s="29" t="n">
        <v>0</v>
      </c>
      <c r="R4386" s="29" t="n">
        <v>0</v>
      </c>
      <c r="S4386" s="29" t="n">
        <v>0</v>
      </c>
      <c r="T4386" t="inlineStr">
        <is>
          <t>25260959256389000183570010000004631000101438</t>
        </is>
      </c>
      <c r="U4386" t="inlineStr">
        <is>
          <t>Sim</t>
        </is>
      </c>
    </row>
    <row r="4387">
      <c r="A4387" t="inlineStr">
        <is>
          <t>Frete de venda</t>
        </is>
      </c>
      <c r="B4387" t="inlineStr">
        <is>
          <t>2.01.02 Frete sobre Vendas</t>
        </is>
      </c>
      <c r="C4387" s="30" t="n">
        <v>46266</v>
      </c>
      <c r="D4387" t="inlineStr">
        <is>
          <t>Em 2026</t>
        </is>
      </c>
      <c r="E4387" s="28" t="n">
        <v>46266</v>
      </c>
      <c r="F4387" t="inlineStr">
        <is>
          <t>CT-e</t>
        </is>
      </c>
      <c r="G4387" t="inlineStr">
        <is>
          <t>000000464</t>
        </is>
      </c>
      <c r="H4387" t="inlineStr">
        <is>
          <t>DURA MAIS TRANSPORTES LTDA</t>
        </is>
      </c>
      <c r="J4387" s="29" t="n">
        <v>1170</v>
      </c>
      <c r="K4387" s="29">
        <f>(1-ISNUMBER(SEARCH("556",M4387)))*(O4387*SUMIFS(Premissas!$C$5:$C$44,Premissas!$A$5:$A$44,$A4387,Premissas!$B$5:$B$44,$B4387)+P4387*SUMIFS(Premissas!$D$5:$D$44,Premissas!$A$5:$A$44,$A4387,Premissas!$B$5:$B$44,$B4387))+R4387*SUMIFS(Premissas!$E$5:$E$44,Premissas!$A$5:$A$44,$A4387,Premissas!$B$5:$B$44,$B4387)+S4387*SUMIFS(Premissas!$F$5:$F$44,Premissas!$A$5:$A$44,$A4387,Premissas!$B$5:$B$44,$B4387)</f>
        <v/>
      </c>
      <c r="L4387" s="29">
        <f>J4387-K4387</f>
        <v/>
      </c>
      <c r="M4387" t="inlineStr">
        <is>
          <t>2.350</t>
        </is>
      </c>
      <c r="N4387" t="inlineStr">
        <is>
          <t>Modalidade: 0 - Por conta do remetente | Parte: PLASMAR COMERCIO DE PRODUTOS DESCARTAVEIS LTDA (09.354.922/0001-71)</t>
        </is>
      </c>
      <c r="O4387" s="29" t="n">
        <v>0</v>
      </c>
      <c r="P4387" s="29" t="n">
        <v>140.4</v>
      </c>
      <c r="Q4387" s="29" t="n">
        <v>0</v>
      </c>
      <c r="R4387" s="29" t="n">
        <v>0</v>
      </c>
      <c r="S4387" s="29" t="n">
        <v>0</v>
      </c>
      <c r="T4387" t="inlineStr">
        <is>
          <t>25260959256389000183570010000004641000110787</t>
        </is>
      </c>
      <c r="U4387" t="inlineStr">
        <is>
          <t>Sim</t>
        </is>
      </c>
    </row>
    <row r="4388">
      <c r="A4388" t="inlineStr">
        <is>
          <t>Frete de venda</t>
        </is>
      </c>
      <c r="B4388" t="inlineStr">
        <is>
          <t>2.01.02 Frete sobre Vendas</t>
        </is>
      </c>
      <c r="C4388" s="30" t="n">
        <v>46266</v>
      </c>
      <c r="D4388" t="inlineStr">
        <is>
          <t>Em 2026</t>
        </is>
      </c>
      <c r="E4388" s="28" t="n">
        <v>46266</v>
      </c>
      <c r="F4388" t="inlineStr">
        <is>
          <t>CT-e</t>
        </is>
      </c>
      <c r="G4388" t="inlineStr">
        <is>
          <t>000000465</t>
        </is>
      </c>
      <c r="H4388" t="inlineStr">
        <is>
          <t>DURA MAIS TRANSPORTES LTDA</t>
        </is>
      </c>
      <c r="J4388" s="29" t="n">
        <v>1170</v>
      </c>
      <c r="K4388" s="29">
        <f>(1-ISNUMBER(SEARCH("556",M4388)))*(O4388*SUMIFS(Premissas!$C$5:$C$44,Premissas!$A$5:$A$44,$A4388,Premissas!$B$5:$B$44,$B4388)+P4388*SUMIFS(Premissas!$D$5:$D$44,Premissas!$A$5:$A$44,$A4388,Premissas!$B$5:$B$44,$B4388))+R4388*SUMIFS(Premissas!$E$5:$E$44,Premissas!$A$5:$A$44,$A4388,Premissas!$B$5:$B$44,$B4388)+S4388*SUMIFS(Premissas!$F$5:$F$44,Premissas!$A$5:$A$44,$A4388,Premissas!$B$5:$B$44,$B4388)</f>
        <v/>
      </c>
      <c r="L4388" s="29">
        <f>J4388-K4388</f>
        <v/>
      </c>
      <c r="M4388" t="inlineStr">
        <is>
          <t>2.350</t>
        </is>
      </c>
      <c r="N4388" t="inlineStr">
        <is>
          <t>Modalidade: 0 - Por conta do remetente | Parte: J. A. C. B. DA SILVA LTDA (34.931.824/0001-05)</t>
        </is>
      </c>
      <c r="O4388" s="29" t="n">
        <v>0</v>
      </c>
      <c r="P4388" s="29" t="n">
        <v>140.4</v>
      </c>
      <c r="Q4388" s="29" t="n">
        <v>0</v>
      </c>
      <c r="R4388" s="29" t="n">
        <v>0</v>
      </c>
      <c r="S4388" s="29" t="n">
        <v>0</v>
      </c>
      <c r="T4388" t="inlineStr">
        <is>
          <t>25260959256389000183570010000004651000190869</t>
        </is>
      </c>
      <c r="U4388" t="inlineStr">
        <is>
          <t>Sim</t>
        </is>
      </c>
    </row>
    <row r="4389">
      <c r="A4389" t="inlineStr">
        <is>
          <t>Frete de venda</t>
        </is>
      </c>
      <c r="B4389" t="inlineStr">
        <is>
          <t>2.01.02 Frete sobre Vendas</t>
        </is>
      </c>
      <c r="C4389" s="30" t="n">
        <v>46266</v>
      </c>
      <c r="D4389" t="inlineStr">
        <is>
          <t>Em 2026</t>
        </is>
      </c>
      <c r="E4389" s="28" t="n">
        <v>46266</v>
      </c>
      <c r="F4389" t="inlineStr">
        <is>
          <t>CT-e</t>
        </is>
      </c>
      <c r="G4389" t="inlineStr">
        <is>
          <t>000000466</t>
        </is>
      </c>
      <c r="H4389" t="inlineStr">
        <is>
          <t>DURA MAIS TRANSPORTES LTDA</t>
        </is>
      </c>
      <c r="J4389" s="29" t="n">
        <v>1170</v>
      </c>
      <c r="K4389" s="29">
        <f>(1-ISNUMBER(SEARCH("556",M4389)))*(O4389*SUMIFS(Premissas!$C$5:$C$44,Premissas!$A$5:$A$44,$A4389,Premissas!$B$5:$B$44,$B4389)+P4389*SUMIFS(Premissas!$D$5:$D$44,Premissas!$A$5:$A$44,$A4389,Premissas!$B$5:$B$44,$B4389))+R4389*SUMIFS(Premissas!$E$5:$E$44,Premissas!$A$5:$A$44,$A4389,Premissas!$B$5:$B$44,$B4389)+S4389*SUMIFS(Premissas!$F$5:$F$44,Premissas!$A$5:$A$44,$A4389,Premissas!$B$5:$B$44,$B4389)</f>
        <v/>
      </c>
      <c r="L4389" s="29">
        <f>J4389-K4389</f>
        <v/>
      </c>
      <c r="M4389" t="inlineStr">
        <is>
          <t>2.350</t>
        </is>
      </c>
      <c r="N4389" t="inlineStr">
        <is>
          <t>Modalidade: 0 - Por conta do remetente | Parte: R A DOS SANTOS BARBOSA LTDA (02.444.236/0001-42)</t>
        </is>
      </c>
      <c r="O4389" s="29" t="n">
        <v>0</v>
      </c>
      <c r="P4389" s="29" t="n">
        <v>140.4</v>
      </c>
      <c r="Q4389" s="29" t="n">
        <v>0</v>
      </c>
      <c r="R4389" s="29" t="n">
        <v>0</v>
      </c>
      <c r="S4389" s="29" t="n">
        <v>0</v>
      </c>
      <c r="T4389" t="inlineStr">
        <is>
          <t>25260959256389000183570010000004661000160940</t>
        </is>
      </c>
      <c r="U4389" t="inlineStr">
        <is>
          <t>Sim</t>
        </is>
      </c>
    </row>
    <row r="4390">
      <c r="A4390" t="inlineStr">
        <is>
          <t>Frete de venda</t>
        </is>
      </c>
      <c r="B4390" t="inlineStr">
        <is>
          <t>2.01.02 Frete sobre Vendas</t>
        </is>
      </c>
      <c r="C4390" s="30" t="n">
        <v>46266</v>
      </c>
      <c r="D4390" t="inlineStr">
        <is>
          <t>Em 2026</t>
        </is>
      </c>
      <c r="E4390" s="28" t="n">
        <v>46266</v>
      </c>
      <c r="F4390" t="inlineStr">
        <is>
          <t>CT-e</t>
        </is>
      </c>
      <c r="G4390" t="inlineStr">
        <is>
          <t>000000467</t>
        </is>
      </c>
      <c r="H4390" t="inlineStr">
        <is>
          <t>DURA MAIS TRANSPORTES LTDA</t>
        </is>
      </c>
      <c r="J4390" s="29" t="n">
        <v>1170</v>
      </c>
      <c r="K4390" s="29">
        <f>(1-ISNUMBER(SEARCH("556",M4390)))*(O4390*SUMIFS(Premissas!$C$5:$C$44,Premissas!$A$5:$A$44,$A4390,Premissas!$B$5:$B$44,$B4390)+P4390*SUMIFS(Premissas!$D$5:$D$44,Premissas!$A$5:$A$44,$A4390,Premissas!$B$5:$B$44,$B4390))+R4390*SUMIFS(Premissas!$E$5:$E$44,Premissas!$A$5:$A$44,$A4390,Premissas!$B$5:$B$44,$B4390)+S4390*SUMIFS(Premissas!$F$5:$F$44,Premissas!$A$5:$A$44,$A4390,Premissas!$B$5:$B$44,$B4390)</f>
        <v/>
      </c>
      <c r="L4390" s="29">
        <f>J4390-K4390</f>
        <v/>
      </c>
      <c r="M4390" t="inlineStr">
        <is>
          <t>2.350</t>
        </is>
      </c>
      <c r="N4390" t="inlineStr">
        <is>
          <t>Modalidade: 0 - Por conta do remetente | Parte: CAVALCANTE E LAGES LTDA (06.120.924/0001-08)</t>
        </is>
      </c>
      <c r="O4390" s="29" t="n">
        <v>0</v>
      </c>
      <c r="P4390" s="29" t="n">
        <v>140.4</v>
      </c>
      <c r="Q4390" s="29" t="n">
        <v>0</v>
      </c>
      <c r="R4390" s="29" t="n">
        <v>0</v>
      </c>
      <c r="S4390" s="29" t="n">
        <v>0</v>
      </c>
      <c r="T4390" t="inlineStr">
        <is>
          <t>25260959256389000183570010000004671001301022</t>
        </is>
      </c>
      <c r="U4390" t="inlineStr">
        <is>
          <t>Sim</t>
        </is>
      </c>
    </row>
    <row r="4391">
      <c r="A4391" t="inlineStr">
        <is>
          <t>Frete de venda</t>
        </is>
      </c>
      <c r="B4391" t="inlineStr">
        <is>
          <t>2.01.02 Frete sobre Vendas</t>
        </is>
      </c>
      <c r="C4391" s="30" t="n">
        <v>46266</v>
      </c>
      <c r="D4391" t="inlineStr">
        <is>
          <t>Em 2026</t>
        </is>
      </c>
      <c r="E4391" s="28" t="n">
        <v>46266</v>
      </c>
      <c r="F4391" t="inlineStr">
        <is>
          <t>CT-e</t>
        </is>
      </c>
      <c r="G4391" t="inlineStr">
        <is>
          <t>000000468</t>
        </is>
      </c>
      <c r="H4391" t="inlineStr">
        <is>
          <t>DURA MAIS TRANSPORTES LTDA</t>
        </is>
      </c>
      <c r="J4391" s="29" t="n">
        <v>1170</v>
      </c>
      <c r="K4391" s="29">
        <f>(1-ISNUMBER(SEARCH("556",M4391)))*(O4391*SUMIFS(Premissas!$C$5:$C$44,Premissas!$A$5:$A$44,$A4391,Premissas!$B$5:$B$44,$B4391)+P4391*SUMIFS(Premissas!$D$5:$D$44,Premissas!$A$5:$A$44,$A4391,Premissas!$B$5:$B$44,$B4391))+R4391*SUMIFS(Premissas!$E$5:$E$44,Premissas!$A$5:$A$44,$A4391,Premissas!$B$5:$B$44,$B4391)+S4391*SUMIFS(Premissas!$F$5:$F$44,Premissas!$A$5:$A$44,$A4391,Premissas!$B$5:$B$44,$B4391)</f>
        <v/>
      </c>
      <c r="L4391" s="29">
        <f>J4391-K4391</f>
        <v/>
      </c>
      <c r="M4391" t="inlineStr">
        <is>
          <t>2.350</t>
        </is>
      </c>
      <c r="N4391" t="inlineStr">
        <is>
          <t>Modalidade: 0 - Por conta do remetente | Parte: ILHA PLASTIC COMERCIO ATACADISTA DE EMBALAGENS LTDA (21.873.207/0001-40)</t>
        </is>
      </c>
      <c r="O4391" s="29" t="n">
        <v>0</v>
      </c>
      <c r="P4391" s="29" t="n">
        <v>140.4</v>
      </c>
      <c r="Q4391" s="29" t="n">
        <v>0</v>
      </c>
      <c r="R4391" s="29" t="n">
        <v>0</v>
      </c>
      <c r="S4391" s="29" t="n">
        <v>0</v>
      </c>
      <c r="T4391" t="inlineStr">
        <is>
          <t>25260959256389000183570010000004681000101108</t>
        </is>
      </c>
      <c r="U4391" t="inlineStr">
        <is>
          <t>Sim</t>
        </is>
      </c>
    </row>
    <row r="4392">
      <c r="A4392" t="inlineStr">
        <is>
          <t>Frete de venda</t>
        </is>
      </c>
      <c r="B4392" t="inlineStr">
        <is>
          <t>2.01.02 Frete sobre Vendas</t>
        </is>
      </c>
      <c r="C4392" s="30" t="n">
        <v>46266</v>
      </c>
      <c r="D4392" t="inlineStr">
        <is>
          <t>Em 2026</t>
        </is>
      </c>
      <c r="E4392" s="28" t="n">
        <v>46266</v>
      </c>
      <c r="F4392" t="inlineStr">
        <is>
          <t>CT-e</t>
        </is>
      </c>
      <c r="G4392" t="inlineStr">
        <is>
          <t>000000469</t>
        </is>
      </c>
      <c r="H4392" t="inlineStr">
        <is>
          <t>DURA MAIS TRANSPORTES LTDA</t>
        </is>
      </c>
      <c r="J4392" s="29" t="n">
        <v>1170</v>
      </c>
      <c r="K4392" s="29">
        <f>(1-ISNUMBER(SEARCH("556",M4392)))*(O4392*SUMIFS(Premissas!$C$5:$C$44,Premissas!$A$5:$A$44,$A4392,Premissas!$B$5:$B$44,$B4392)+P4392*SUMIFS(Premissas!$D$5:$D$44,Premissas!$A$5:$A$44,$A4392,Premissas!$B$5:$B$44,$B4392))+R4392*SUMIFS(Premissas!$E$5:$E$44,Premissas!$A$5:$A$44,$A4392,Premissas!$B$5:$B$44,$B4392)+S4392*SUMIFS(Premissas!$F$5:$F$44,Premissas!$A$5:$A$44,$A4392,Premissas!$B$5:$B$44,$B4392)</f>
        <v/>
      </c>
      <c r="L4392" s="29">
        <f>J4392-K4392</f>
        <v/>
      </c>
      <c r="M4392" t="inlineStr">
        <is>
          <t>2.350</t>
        </is>
      </c>
      <c r="N4392" t="inlineStr">
        <is>
          <t>Modalidade: 0 - Por conta do remetente | Parte: D. R. B. DE J. MALAMAO LTDA (31.155.347/0001-37)</t>
        </is>
      </c>
      <c r="O4392" s="29" t="n">
        <v>0</v>
      </c>
      <c r="P4392" s="29" t="n">
        <v>140.4</v>
      </c>
      <c r="Q4392" s="29" t="n">
        <v>0</v>
      </c>
      <c r="R4392" s="29" t="n">
        <v>0</v>
      </c>
      <c r="S4392" s="29" t="n">
        <v>0</v>
      </c>
      <c r="T4392" t="inlineStr">
        <is>
          <t>25260959256389000183570010000004691001801186</t>
        </is>
      </c>
      <c r="U4392" t="inlineStr">
        <is>
          <t>Sim</t>
        </is>
      </c>
    </row>
    <row r="4393">
      <c r="A4393" t="inlineStr">
        <is>
          <t>Frete de venda</t>
        </is>
      </c>
      <c r="B4393" t="inlineStr">
        <is>
          <t>2.01.02 Frete sobre Vendas</t>
        </is>
      </c>
      <c r="C4393" s="30" t="n">
        <v>46266</v>
      </c>
      <c r="D4393" t="inlineStr">
        <is>
          <t>Em 2026</t>
        </is>
      </c>
      <c r="E4393" s="28" t="n">
        <v>46266</v>
      </c>
      <c r="F4393" t="inlineStr">
        <is>
          <t>CT-e</t>
        </is>
      </c>
      <c r="G4393" t="inlineStr">
        <is>
          <t>000000470</t>
        </is>
      </c>
      <c r="H4393" t="inlineStr">
        <is>
          <t>DURA MAIS TRANSPORTES LTDA</t>
        </is>
      </c>
      <c r="J4393" s="29" t="n">
        <v>1170</v>
      </c>
      <c r="K4393" s="29">
        <f>(1-ISNUMBER(SEARCH("556",M4393)))*(O4393*SUMIFS(Premissas!$C$5:$C$44,Premissas!$A$5:$A$44,$A4393,Premissas!$B$5:$B$44,$B4393)+P4393*SUMIFS(Premissas!$D$5:$D$44,Premissas!$A$5:$A$44,$A4393,Premissas!$B$5:$B$44,$B4393))+R4393*SUMIFS(Premissas!$E$5:$E$44,Premissas!$A$5:$A$44,$A4393,Premissas!$B$5:$B$44,$B4393)+S4393*SUMIFS(Premissas!$F$5:$F$44,Premissas!$A$5:$A$44,$A4393,Premissas!$B$5:$B$44,$B4393)</f>
        <v/>
      </c>
      <c r="L4393" s="29">
        <f>J4393-K4393</f>
        <v/>
      </c>
      <c r="M4393" t="inlineStr">
        <is>
          <t>2.350</t>
        </is>
      </c>
      <c r="N4393" t="inlineStr">
        <is>
          <t>Modalidade: 0 - Por conta do remetente | Parte: TORRES E RODRIGUES LTDA (04.202.831/0001-05)</t>
        </is>
      </c>
      <c r="O4393" s="29" t="n">
        <v>0</v>
      </c>
      <c r="P4393" s="29" t="n">
        <v>140.4</v>
      </c>
      <c r="Q4393" s="29" t="n">
        <v>0</v>
      </c>
      <c r="R4393" s="29" t="n">
        <v>0</v>
      </c>
      <c r="S4393" s="29" t="n">
        <v>0</v>
      </c>
      <c r="T4393" t="inlineStr">
        <is>
          <t>25260959256389000183570010000004701001501264</t>
        </is>
      </c>
      <c r="U4393" t="inlineStr">
        <is>
          <t>Sim</t>
        </is>
      </c>
    </row>
    <row r="4394">
      <c r="A4394" t="inlineStr">
        <is>
          <t>Frete de venda</t>
        </is>
      </c>
      <c r="B4394" t="inlineStr">
        <is>
          <t>2.01.02 Frete sobre Vendas</t>
        </is>
      </c>
      <c r="C4394" s="30" t="n">
        <v>46266</v>
      </c>
      <c r="D4394" t="inlineStr">
        <is>
          <t>Em 2026</t>
        </is>
      </c>
      <c r="E4394" s="28" t="n">
        <v>46266</v>
      </c>
      <c r="F4394" t="inlineStr">
        <is>
          <t>CT-e</t>
        </is>
      </c>
      <c r="G4394" t="inlineStr">
        <is>
          <t>000000471</t>
        </is>
      </c>
      <c r="H4394" t="inlineStr">
        <is>
          <t>DURA MAIS TRANSPORTES LTDA</t>
        </is>
      </c>
      <c r="J4394" s="29" t="n">
        <v>1170</v>
      </c>
      <c r="K4394" s="29">
        <f>(1-ISNUMBER(SEARCH("556",M4394)))*(O4394*SUMIFS(Premissas!$C$5:$C$44,Premissas!$A$5:$A$44,$A4394,Premissas!$B$5:$B$44,$B4394)+P4394*SUMIFS(Premissas!$D$5:$D$44,Premissas!$A$5:$A$44,$A4394,Premissas!$B$5:$B$44,$B4394))+R4394*SUMIFS(Premissas!$E$5:$E$44,Premissas!$A$5:$A$44,$A4394,Premissas!$B$5:$B$44,$B4394)+S4394*SUMIFS(Premissas!$F$5:$F$44,Premissas!$A$5:$A$44,$A4394,Premissas!$B$5:$B$44,$B4394)</f>
        <v/>
      </c>
      <c r="L4394" s="29">
        <f>J4394-K4394</f>
        <v/>
      </c>
      <c r="M4394" t="inlineStr">
        <is>
          <t>2.350</t>
        </is>
      </c>
      <c r="N4394" t="inlineStr">
        <is>
          <t>Modalidade: 0 - Por conta do remetente | Parte: VANDERLEIA FERREIRA MARQUES (34.169.048/0001-40)</t>
        </is>
      </c>
      <c r="O4394" s="29" t="n">
        <v>0</v>
      </c>
      <c r="P4394" s="29" t="n">
        <v>140.4</v>
      </c>
      <c r="Q4394" s="29" t="n">
        <v>0</v>
      </c>
      <c r="R4394" s="29" t="n">
        <v>0</v>
      </c>
      <c r="S4394" s="29" t="n">
        <v>0</v>
      </c>
      <c r="T4394" t="inlineStr">
        <is>
          <t>25260959256389000183570010000004711001201349</t>
        </is>
      </c>
      <c r="U4394" t="inlineStr">
        <is>
          <t>Sim</t>
        </is>
      </c>
    </row>
    <row r="4395">
      <c r="A4395" t="inlineStr">
        <is>
          <t>Frete de venda</t>
        </is>
      </c>
      <c r="B4395" t="inlineStr">
        <is>
          <t>2.01.02 Frete sobre Vendas</t>
        </is>
      </c>
      <c r="C4395" s="30" t="n">
        <v>46266</v>
      </c>
      <c r="D4395" t="inlineStr">
        <is>
          <t>Em 2026</t>
        </is>
      </c>
      <c r="E4395" s="28" t="n">
        <v>46266</v>
      </c>
      <c r="F4395" t="inlineStr">
        <is>
          <t>CT-e</t>
        </is>
      </c>
      <c r="G4395" t="inlineStr">
        <is>
          <t>000000472</t>
        </is>
      </c>
      <c r="H4395" t="inlineStr">
        <is>
          <t>DURA MAIS TRANSPORTES LTDA</t>
        </is>
      </c>
      <c r="J4395" s="29" t="n">
        <v>1170</v>
      </c>
      <c r="K4395" s="29">
        <f>(1-ISNUMBER(SEARCH("556",M4395)))*(O4395*SUMIFS(Premissas!$C$5:$C$44,Premissas!$A$5:$A$44,$A4395,Premissas!$B$5:$B$44,$B4395)+P4395*SUMIFS(Premissas!$D$5:$D$44,Premissas!$A$5:$A$44,$A4395,Premissas!$B$5:$B$44,$B4395))+R4395*SUMIFS(Premissas!$E$5:$E$44,Premissas!$A$5:$A$44,$A4395,Premissas!$B$5:$B$44,$B4395)+S4395*SUMIFS(Premissas!$F$5:$F$44,Premissas!$A$5:$A$44,$A4395,Premissas!$B$5:$B$44,$B4395)</f>
        <v/>
      </c>
      <c r="L4395" s="29">
        <f>J4395-K4395</f>
        <v/>
      </c>
      <c r="M4395" t="inlineStr">
        <is>
          <t>2.350</t>
        </is>
      </c>
      <c r="N4395" t="inlineStr">
        <is>
          <t>Modalidade: 0 - Por conta do remetente | Parte: R SILVA DA COSTA LTDA (35.009.759/0001-10)</t>
        </is>
      </c>
      <c r="O4395" s="29" t="n">
        <v>0</v>
      </c>
      <c r="P4395" s="29" t="n">
        <v>140.4</v>
      </c>
      <c r="Q4395" s="29" t="n">
        <v>0</v>
      </c>
      <c r="R4395" s="29" t="n">
        <v>0</v>
      </c>
      <c r="S4395" s="29" t="n">
        <v>0</v>
      </c>
      <c r="T4395" t="inlineStr">
        <is>
          <t>25260959256389000183570010000004721011001420</t>
        </is>
      </c>
      <c r="U4395" t="inlineStr">
        <is>
          <t>Sim</t>
        </is>
      </c>
    </row>
    <row r="4396">
      <c r="A4396" t="inlineStr">
        <is>
          <t>Frete de venda</t>
        </is>
      </c>
      <c r="B4396" t="inlineStr">
        <is>
          <t>2.01.02 Frete sobre Vendas</t>
        </is>
      </c>
      <c r="C4396" s="30" t="n">
        <v>46266</v>
      </c>
      <c r="D4396" t="inlineStr">
        <is>
          <t>Em 2026</t>
        </is>
      </c>
      <c r="E4396" s="28" t="n">
        <v>46266</v>
      </c>
      <c r="F4396" t="inlineStr">
        <is>
          <t>CT-e</t>
        </is>
      </c>
      <c r="G4396" t="inlineStr">
        <is>
          <t>000000473</t>
        </is>
      </c>
      <c r="H4396" t="inlineStr">
        <is>
          <t>DURA MAIS TRANSPORTES LTDA</t>
        </is>
      </c>
      <c r="J4396" s="29" t="n">
        <v>1170</v>
      </c>
      <c r="K4396" s="29">
        <f>(1-ISNUMBER(SEARCH("556",M4396)))*(O4396*SUMIFS(Premissas!$C$5:$C$44,Premissas!$A$5:$A$44,$A4396,Premissas!$B$5:$B$44,$B4396)+P4396*SUMIFS(Premissas!$D$5:$D$44,Premissas!$A$5:$A$44,$A4396,Premissas!$B$5:$B$44,$B4396))+R4396*SUMIFS(Premissas!$E$5:$E$44,Premissas!$A$5:$A$44,$A4396,Premissas!$B$5:$B$44,$B4396)+S4396*SUMIFS(Premissas!$F$5:$F$44,Premissas!$A$5:$A$44,$A4396,Premissas!$B$5:$B$44,$B4396)</f>
        <v/>
      </c>
      <c r="L4396" s="29">
        <f>J4396-K4396</f>
        <v/>
      </c>
      <c r="M4396" t="inlineStr">
        <is>
          <t>2.350</t>
        </is>
      </c>
      <c r="N4396" t="inlineStr">
        <is>
          <t>Modalidade: 0 - Por conta do remetente | Parte: CASA DA SACOLA FESTAS COMERCIO LTDA (43.380.342/0001-97)</t>
        </is>
      </c>
      <c r="O4396" s="29" t="n">
        <v>0</v>
      </c>
      <c r="P4396" s="29" t="n">
        <v>140.4</v>
      </c>
      <c r="Q4396" s="29" t="n">
        <v>0</v>
      </c>
      <c r="R4396" s="29" t="n">
        <v>0</v>
      </c>
      <c r="S4396" s="29" t="n">
        <v>0</v>
      </c>
      <c r="T4396" t="inlineStr">
        <is>
          <t>25260959256389000183570010000004731001701508</t>
        </is>
      </c>
      <c r="U4396" t="inlineStr">
        <is>
          <t>Sim</t>
        </is>
      </c>
    </row>
    <row r="4397">
      <c r="A4397" t="inlineStr">
        <is>
          <t>Frete de venda</t>
        </is>
      </c>
      <c r="B4397" t="inlineStr">
        <is>
          <t>2.01.02 Frete sobre Vendas</t>
        </is>
      </c>
      <c r="C4397" s="30" t="n">
        <v>46266</v>
      </c>
      <c r="D4397" t="inlineStr">
        <is>
          <t>Em 2026</t>
        </is>
      </c>
      <c r="E4397" s="28" t="n">
        <v>46266</v>
      </c>
      <c r="F4397" t="inlineStr">
        <is>
          <t>CT-e</t>
        </is>
      </c>
      <c r="G4397" t="inlineStr">
        <is>
          <t>000000476</t>
        </is>
      </c>
      <c r="H4397" t="inlineStr">
        <is>
          <t>DURA MAIS TRANSPORTES LTDA</t>
        </is>
      </c>
      <c r="J4397" s="29" t="n">
        <v>1170</v>
      </c>
      <c r="K4397" s="29">
        <f>(1-ISNUMBER(SEARCH("556",M4397)))*(O4397*SUMIFS(Premissas!$C$5:$C$44,Premissas!$A$5:$A$44,$A4397,Premissas!$B$5:$B$44,$B4397)+P4397*SUMIFS(Premissas!$D$5:$D$44,Premissas!$A$5:$A$44,$A4397,Premissas!$B$5:$B$44,$B4397))+R4397*SUMIFS(Premissas!$E$5:$E$44,Premissas!$A$5:$A$44,$A4397,Premissas!$B$5:$B$44,$B4397)+S4397*SUMIFS(Premissas!$F$5:$F$44,Premissas!$A$5:$A$44,$A4397,Premissas!$B$5:$B$44,$B4397)</f>
        <v/>
      </c>
      <c r="L4397" s="29">
        <f>J4397-K4397</f>
        <v/>
      </c>
      <c r="M4397" t="inlineStr">
        <is>
          <t>2.350</t>
        </is>
      </c>
      <c r="N4397" t="inlineStr">
        <is>
          <t>Modalidade: 0 - Por conta do remetente | Parte: I S S DA CUNHA COMERCIO DE DESCARTAVEIS (09.619.492/0001-72)</t>
        </is>
      </c>
      <c r="O4397" s="29" t="n">
        <v>0</v>
      </c>
      <c r="P4397" s="29" t="n">
        <v>140.4</v>
      </c>
      <c r="Q4397" s="29" t="n">
        <v>0</v>
      </c>
      <c r="R4397" s="29" t="n">
        <v>0</v>
      </c>
      <c r="S4397" s="29" t="n">
        <v>0</v>
      </c>
      <c r="T4397" t="inlineStr">
        <is>
          <t>25260959256389000183570010000004761001201019</t>
        </is>
      </c>
      <c r="U4397" t="inlineStr">
        <is>
          <t>Sim</t>
        </is>
      </c>
    </row>
    <row r="4398">
      <c r="A4398" t="inlineStr">
        <is>
          <t>Frete de venda</t>
        </is>
      </c>
      <c r="B4398" t="inlineStr">
        <is>
          <t>2.01.02 Frete sobre Vendas</t>
        </is>
      </c>
      <c r="C4398" s="30" t="n">
        <v>46266</v>
      </c>
      <c r="D4398" t="inlineStr">
        <is>
          <t>Em 2026</t>
        </is>
      </c>
      <c r="E4398" s="28" t="n">
        <v>46266</v>
      </c>
      <c r="F4398" t="inlineStr">
        <is>
          <t>CT-e</t>
        </is>
      </c>
      <c r="G4398" t="inlineStr">
        <is>
          <t>000000477</t>
        </is>
      </c>
      <c r="H4398" t="inlineStr">
        <is>
          <t>DURA MAIS TRANSPORTES LTDA</t>
        </is>
      </c>
      <c r="J4398" s="29" t="n">
        <v>1170</v>
      </c>
      <c r="K4398" s="29">
        <f>(1-ISNUMBER(SEARCH("556",M4398)))*(O4398*SUMIFS(Premissas!$C$5:$C$44,Premissas!$A$5:$A$44,$A4398,Premissas!$B$5:$B$44,$B4398)+P4398*SUMIFS(Premissas!$D$5:$D$44,Premissas!$A$5:$A$44,$A4398,Premissas!$B$5:$B$44,$B4398))+R4398*SUMIFS(Premissas!$E$5:$E$44,Premissas!$A$5:$A$44,$A4398,Premissas!$B$5:$B$44,$B4398)+S4398*SUMIFS(Premissas!$F$5:$F$44,Premissas!$A$5:$A$44,$A4398,Premissas!$B$5:$B$44,$B4398)</f>
        <v/>
      </c>
      <c r="L4398" s="29">
        <f>J4398-K4398</f>
        <v/>
      </c>
      <c r="M4398" t="inlineStr">
        <is>
          <t>2.350</t>
        </is>
      </c>
      <c r="N4398" t="inlineStr">
        <is>
          <t>Modalidade: 0 - Por conta do remetente | Parte: CANTINHO DISTRIBUIDORA LTDA (44.016.976/0001-28)</t>
        </is>
      </c>
      <c r="O4398" s="29" t="n">
        <v>0</v>
      </c>
      <c r="P4398" s="29" t="n">
        <v>140.4</v>
      </c>
      <c r="Q4398" s="29" t="n">
        <v>0</v>
      </c>
      <c r="R4398" s="29" t="n">
        <v>0</v>
      </c>
      <c r="S4398" s="29" t="n">
        <v>0</v>
      </c>
      <c r="T4398" t="inlineStr">
        <is>
          <t>25260959256389000183570010000004771011001095</t>
        </is>
      </c>
      <c r="U4398" t="inlineStr">
        <is>
          <t>Sim</t>
        </is>
      </c>
    </row>
    <row r="4399">
      <c r="A4399" t="inlineStr">
        <is>
          <t>Frete de venda</t>
        </is>
      </c>
      <c r="B4399" t="inlineStr">
        <is>
          <t>2.01.02 Frete sobre Vendas</t>
        </is>
      </c>
      <c r="C4399" s="30" t="n">
        <v>46266</v>
      </c>
      <c r="D4399" t="inlineStr">
        <is>
          <t>Em 2026</t>
        </is>
      </c>
      <c r="E4399" s="28" t="n">
        <v>46266</v>
      </c>
      <c r="F4399" t="inlineStr">
        <is>
          <t>CT-e</t>
        </is>
      </c>
      <c r="G4399" t="inlineStr">
        <is>
          <t>000000478</t>
        </is>
      </c>
      <c r="H4399" t="inlineStr">
        <is>
          <t>DURA MAIS TRANSPORTES LTDA</t>
        </is>
      </c>
      <c r="J4399" s="29" t="n">
        <v>1170</v>
      </c>
      <c r="K4399" s="29">
        <f>(1-ISNUMBER(SEARCH("556",M4399)))*(O4399*SUMIFS(Premissas!$C$5:$C$44,Premissas!$A$5:$A$44,$A4399,Premissas!$B$5:$B$44,$B4399)+P4399*SUMIFS(Premissas!$D$5:$D$44,Premissas!$A$5:$A$44,$A4399,Premissas!$B$5:$B$44,$B4399))+R4399*SUMIFS(Premissas!$E$5:$E$44,Premissas!$A$5:$A$44,$A4399,Premissas!$B$5:$B$44,$B4399)+S4399*SUMIFS(Premissas!$F$5:$F$44,Premissas!$A$5:$A$44,$A4399,Premissas!$B$5:$B$44,$B4399)</f>
        <v/>
      </c>
      <c r="L4399" s="29">
        <f>J4399-K4399</f>
        <v/>
      </c>
      <c r="M4399" t="inlineStr">
        <is>
          <t>2.350</t>
        </is>
      </c>
      <c r="N4399" t="inlineStr">
        <is>
          <t>Modalidade: 0 - Por conta do remetente | Parte: JAMES L. H. TOME e CIA LTDA (16.965.024/0007-00)</t>
        </is>
      </c>
      <c r="O4399" s="29" t="n">
        <v>0</v>
      </c>
      <c r="P4399" s="29" t="n">
        <v>140.4</v>
      </c>
      <c r="Q4399" s="29" t="n">
        <v>0</v>
      </c>
      <c r="R4399" s="29" t="n">
        <v>0</v>
      </c>
      <c r="S4399" s="29" t="n">
        <v>0</v>
      </c>
      <c r="T4399" t="inlineStr">
        <is>
          <t>25260959256389000183570010000004781001701172</t>
        </is>
      </c>
      <c r="U4399" t="inlineStr">
        <is>
          <t>Sim</t>
        </is>
      </c>
    </row>
    <row r="4400">
      <c r="A4400" t="inlineStr">
        <is>
          <t>Frete de venda</t>
        </is>
      </c>
      <c r="B4400" t="inlineStr">
        <is>
          <t>2.01.02 Frete sobre Vendas</t>
        </is>
      </c>
      <c r="C4400" s="30" t="n">
        <v>46266</v>
      </c>
      <c r="D4400" t="inlineStr">
        <is>
          <t>Em 2026</t>
        </is>
      </c>
      <c r="E4400" s="28" t="n">
        <v>46267</v>
      </c>
      <c r="F4400" t="inlineStr">
        <is>
          <t>CT-e</t>
        </is>
      </c>
      <c r="G4400" t="inlineStr">
        <is>
          <t>000000484</t>
        </is>
      </c>
      <c r="H4400" t="inlineStr">
        <is>
          <t>DURA MAIS TRANSPORTES LTDA</t>
        </is>
      </c>
      <c r="J4400" s="29" t="n">
        <v>1170</v>
      </c>
      <c r="K4400" s="29">
        <f>(1-ISNUMBER(SEARCH("556",M4400)))*(O4400*SUMIFS(Premissas!$C$5:$C$44,Premissas!$A$5:$A$44,$A4400,Premissas!$B$5:$B$44,$B4400)+P4400*SUMIFS(Premissas!$D$5:$D$44,Premissas!$A$5:$A$44,$A4400,Premissas!$B$5:$B$44,$B4400))+R4400*SUMIFS(Premissas!$E$5:$E$44,Premissas!$A$5:$A$44,$A4400,Premissas!$B$5:$B$44,$B4400)+S4400*SUMIFS(Premissas!$F$5:$F$44,Premissas!$A$5:$A$44,$A4400,Premissas!$B$5:$B$44,$B4400)</f>
        <v/>
      </c>
      <c r="L4400" s="29">
        <f>J4400-K4400</f>
        <v/>
      </c>
      <c r="M4400" t="inlineStr">
        <is>
          <t>2.350</t>
        </is>
      </c>
      <c r="N4400" t="inlineStr">
        <is>
          <t>Modalidade: 0 - Por conta do remetente | Parte: JAMES L. H. TOME e CIA LTDA (16.965.024/0007-00)</t>
        </is>
      </c>
      <c r="O4400" s="29" t="n">
        <v>0</v>
      </c>
      <c r="P4400" s="29" t="n">
        <v>140.4</v>
      </c>
      <c r="Q4400" s="29" t="n">
        <v>0</v>
      </c>
      <c r="R4400" s="29" t="n">
        <v>0</v>
      </c>
      <c r="S4400" s="29" t="n">
        <v>0</v>
      </c>
      <c r="T4400" t="inlineStr">
        <is>
          <t>25260959256389000183570010000004841001301244</t>
        </is>
      </c>
      <c r="U4400" t="inlineStr">
        <is>
          <t>Sim</t>
        </is>
      </c>
    </row>
    <row r="4401">
      <c r="A4401" t="inlineStr">
        <is>
          <t>Frete de venda</t>
        </is>
      </c>
      <c r="B4401" t="inlineStr">
        <is>
          <t>2.01.02 Frete sobre Vendas</t>
        </is>
      </c>
      <c r="C4401" s="30" t="n">
        <v>46266</v>
      </c>
      <c r="D4401" t="inlineStr">
        <is>
          <t>Em 2026</t>
        </is>
      </c>
      <c r="E4401" s="28" t="n">
        <v>46267</v>
      </c>
      <c r="F4401" t="inlineStr">
        <is>
          <t>CT-e</t>
        </is>
      </c>
      <c r="G4401" t="inlineStr">
        <is>
          <t>000000490</t>
        </is>
      </c>
      <c r="H4401" t="inlineStr">
        <is>
          <t>DURA MAIS TRANSPORTES LTDA</t>
        </is>
      </c>
      <c r="J4401" s="29" t="n">
        <v>817.1</v>
      </c>
      <c r="K4401" s="29">
        <f>(1-ISNUMBER(SEARCH("556",M4401)))*(O4401*SUMIFS(Premissas!$C$5:$C$44,Premissas!$A$5:$A$44,$A4401,Premissas!$B$5:$B$44,$B4401)+P4401*SUMIFS(Premissas!$D$5:$D$44,Premissas!$A$5:$A$44,$A4401,Premissas!$B$5:$B$44,$B4401))+R4401*SUMIFS(Premissas!$E$5:$E$44,Premissas!$A$5:$A$44,$A4401,Premissas!$B$5:$B$44,$B4401)+S4401*SUMIFS(Premissas!$F$5:$F$44,Premissas!$A$5:$A$44,$A4401,Premissas!$B$5:$B$44,$B4401)</f>
        <v/>
      </c>
      <c r="L4401" s="29">
        <f>J4401-K4401</f>
        <v/>
      </c>
      <c r="M4401" t="inlineStr">
        <is>
          <t>2.350</t>
        </is>
      </c>
      <c r="N4401" t="inlineStr">
        <is>
          <t>Modalidade: 0 - Por conta do remetente | Parte: ANDRE FERREIRA DE ARAUJO (16.954.088/0001-10)</t>
        </is>
      </c>
      <c r="O4401" s="29" t="n">
        <v>0</v>
      </c>
      <c r="P4401" s="29" t="n">
        <v>98.05</v>
      </c>
      <c r="Q4401" s="29" t="n">
        <v>0</v>
      </c>
      <c r="R4401" s="29" t="n">
        <v>0</v>
      </c>
      <c r="S4401" s="29" t="n">
        <v>0</v>
      </c>
      <c r="T4401" t="inlineStr">
        <is>
          <t>25260959256389000183570010000004901000010995</t>
        </is>
      </c>
      <c r="U4401" t="inlineStr">
        <is>
          <t>Sim</t>
        </is>
      </c>
    </row>
    <row r="4402">
      <c r="A4402" t="inlineStr">
        <is>
          <t>Frete de venda</t>
        </is>
      </c>
      <c r="B4402" t="inlineStr">
        <is>
          <t>2.01.02 Frete sobre Vendas</t>
        </is>
      </c>
      <c r="C4402" s="30" t="n">
        <v>46266</v>
      </c>
      <c r="D4402" t="inlineStr">
        <is>
          <t>Em 2026</t>
        </is>
      </c>
      <c r="E4402" s="28" t="n">
        <v>46267</v>
      </c>
      <c r="F4402" t="inlineStr">
        <is>
          <t>CT-e</t>
        </is>
      </c>
      <c r="G4402" t="inlineStr">
        <is>
          <t>000000491</t>
        </is>
      </c>
      <c r="H4402" t="inlineStr">
        <is>
          <t>DURA MAIS TRANSPORTES LTDA</t>
        </is>
      </c>
      <c r="J4402" s="29" t="n">
        <v>817.1</v>
      </c>
      <c r="K4402" s="29">
        <f>(1-ISNUMBER(SEARCH("556",M4402)))*(O4402*SUMIFS(Premissas!$C$5:$C$44,Premissas!$A$5:$A$44,$A4402,Premissas!$B$5:$B$44,$B4402)+P4402*SUMIFS(Premissas!$D$5:$D$44,Premissas!$A$5:$A$44,$A4402,Premissas!$B$5:$B$44,$B4402))+R4402*SUMIFS(Premissas!$E$5:$E$44,Premissas!$A$5:$A$44,$A4402,Premissas!$B$5:$B$44,$B4402)+S4402*SUMIFS(Premissas!$F$5:$F$44,Premissas!$A$5:$A$44,$A4402,Premissas!$B$5:$B$44,$B4402)</f>
        <v/>
      </c>
      <c r="L4402" s="29">
        <f>J4402-K4402</f>
        <v/>
      </c>
      <c r="M4402" t="inlineStr">
        <is>
          <t>2.350</t>
        </is>
      </c>
      <c r="N4402" t="inlineStr">
        <is>
          <t>Modalidade: 0 - Por conta do remetente | Parte: INGA FESTAS ATACAREJO LTDA (32.293.282/0001-59)</t>
        </is>
      </c>
      <c r="O4402" s="29" t="n">
        <v>0</v>
      </c>
      <c r="P4402" s="29" t="n">
        <v>98.05</v>
      </c>
      <c r="Q4402" s="29" t="n">
        <v>0</v>
      </c>
      <c r="R4402" s="29" t="n">
        <v>0</v>
      </c>
      <c r="S4402" s="29" t="n">
        <v>0</v>
      </c>
      <c r="T4402" t="inlineStr">
        <is>
          <t>25260959256389000183570010000004911001801071</t>
        </is>
      </c>
      <c r="U4402" t="inlineStr">
        <is>
          <t>Sim</t>
        </is>
      </c>
    </row>
    <row r="4403">
      <c r="A4403" t="inlineStr">
        <is>
          <t>Frete de venda</t>
        </is>
      </c>
      <c r="B4403" t="inlineStr">
        <is>
          <t>2.01.02 Frete sobre Vendas</t>
        </is>
      </c>
      <c r="C4403" s="30" t="n">
        <v>46266</v>
      </c>
      <c r="D4403" t="inlineStr">
        <is>
          <t>Em 2026</t>
        </is>
      </c>
      <c r="E4403" s="28" t="n">
        <v>46267</v>
      </c>
      <c r="F4403" t="inlineStr">
        <is>
          <t>CT-e</t>
        </is>
      </c>
      <c r="G4403" t="inlineStr">
        <is>
          <t>000000492</t>
        </is>
      </c>
      <c r="H4403" t="inlineStr">
        <is>
          <t>DURA MAIS TRANSPORTES LTDA</t>
        </is>
      </c>
      <c r="J4403" s="29" t="n">
        <v>817.1</v>
      </c>
      <c r="K4403" s="29">
        <f>(1-ISNUMBER(SEARCH("556",M4403)))*(O4403*SUMIFS(Premissas!$C$5:$C$44,Premissas!$A$5:$A$44,$A4403,Premissas!$B$5:$B$44,$B4403)+P4403*SUMIFS(Premissas!$D$5:$D$44,Premissas!$A$5:$A$44,$A4403,Premissas!$B$5:$B$44,$B4403))+R4403*SUMIFS(Premissas!$E$5:$E$44,Premissas!$A$5:$A$44,$A4403,Premissas!$B$5:$B$44,$B4403)+S4403*SUMIFS(Premissas!$F$5:$F$44,Premissas!$A$5:$A$44,$A4403,Premissas!$B$5:$B$44,$B4403)</f>
        <v/>
      </c>
      <c r="L4403" s="29">
        <f>J4403-K4403</f>
        <v/>
      </c>
      <c r="M4403" t="inlineStr">
        <is>
          <t>2.350</t>
        </is>
      </c>
      <c r="N4403" t="inlineStr">
        <is>
          <t>Modalidade: 0 - Por conta do remetente | Parte: KRIATIVA FESTAS E EMBALAGENS LTDA (21.295.394/0001-22)</t>
        </is>
      </c>
      <c r="O4403" s="29" t="n">
        <v>0</v>
      </c>
      <c r="P4403" s="29" t="n">
        <v>98.05</v>
      </c>
      <c r="Q4403" s="29" t="n">
        <v>0</v>
      </c>
      <c r="R4403" s="29" t="n">
        <v>0</v>
      </c>
      <c r="S4403" s="29" t="n">
        <v>0</v>
      </c>
      <c r="T4403" t="inlineStr">
        <is>
          <t>25260959256389000183570010000004921001501156</t>
        </is>
      </c>
      <c r="U4403" t="inlineStr">
        <is>
          <t>Sim</t>
        </is>
      </c>
    </row>
    <row r="4404">
      <c r="A4404" t="inlineStr">
        <is>
          <t>Frete de venda</t>
        </is>
      </c>
      <c r="B4404" t="inlineStr">
        <is>
          <t>2.01.02 Frete sobre Vendas</t>
        </is>
      </c>
      <c r="C4404" s="30" t="n">
        <v>46266</v>
      </c>
      <c r="D4404" t="inlineStr">
        <is>
          <t>Em 2026</t>
        </is>
      </c>
      <c r="E4404" s="28" t="n">
        <v>46267</v>
      </c>
      <c r="F4404" t="inlineStr">
        <is>
          <t>CT-e</t>
        </is>
      </c>
      <c r="G4404" t="inlineStr">
        <is>
          <t>000000493</t>
        </is>
      </c>
      <c r="H4404" t="inlineStr">
        <is>
          <t>DURA MAIS TRANSPORTES LTDA</t>
        </is>
      </c>
      <c r="J4404" s="29" t="n">
        <v>817.1</v>
      </c>
      <c r="K4404" s="29">
        <f>(1-ISNUMBER(SEARCH("556",M4404)))*(O4404*SUMIFS(Premissas!$C$5:$C$44,Premissas!$A$5:$A$44,$A4404,Premissas!$B$5:$B$44,$B4404)+P4404*SUMIFS(Premissas!$D$5:$D$44,Premissas!$A$5:$A$44,$A4404,Premissas!$B$5:$B$44,$B4404))+R4404*SUMIFS(Premissas!$E$5:$E$44,Premissas!$A$5:$A$44,$A4404,Premissas!$B$5:$B$44,$B4404)+S4404*SUMIFS(Premissas!$F$5:$F$44,Premissas!$A$5:$A$44,$A4404,Premissas!$B$5:$B$44,$B4404)</f>
        <v/>
      </c>
      <c r="L4404" s="29">
        <f>J4404-K4404</f>
        <v/>
      </c>
      <c r="M4404" t="inlineStr">
        <is>
          <t>2.350</t>
        </is>
      </c>
      <c r="N4404" t="inlineStr">
        <is>
          <t>Modalidade: 0 - Por conta do remetente | Parte: KING FRIOS COMERCIO DISTRIBUIDOR DE FRIOS LTDA (01.875.839/0001-36)</t>
        </is>
      </c>
      <c r="O4404" s="29" t="n">
        <v>0</v>
      </c>
      <c r="P4404" s="29" t="n">
        <v>98.05</v>
      </c>
      <c r="Q4404" s="29" t="n">
        <v>0</v>
      </c>
      <c r="R4404" s="29" t="n">
        <v>0</v>
      </c>
      <c r="S4404" s="29" t="n">
        <v>0</v>
      </c>
      <c r="T4404" t="inlineStr">
        <is>
          <t>25260959256389000183570010000004931001201230</t>
        </is>
      </c>
      <c r="U4404" t="inlineStr">
        <is>
          <t>Sim</t>
        </is>
      </c>
    </row>
    <row r="4405">
      <c r="A4405" t="inlineStr">
        <is>
          <t>Frete de venda</t>
        </is>
      </c>
      <c r="B4405" t="inlineStr">
        <is>
          <t>2.01.02 Frete sobre Vendas</t>
        </is>
      </c>
      <c r="C4405" s="30" t="n">
        <v>46266</v>
      </c>
      <c r="D4405" t="inlineStr">
        <is>
          <t>Em 2026</t>
        </is>
      </c>
      <c r="E4405" s="28" t="n">
        <v>46267</v>
      </c>
      <c r="F4405" t="inlineStr">
        <is>
          <t>CT-e</t>
        </is>
      </c>
      <c r="G4405" t="inlineStr">
        <is>
          <t>000000494</t>
        </is>
      </c>
      <c r="H4405" t="inlineStr">
        <is>
          <t>DURA MAIS TRANSPORTES LTDA</t>
        </is>
      </c>
      <c r="J4405" s="29" t="n">
        <v>817.1</v>
      </c>
      <c r="K4405" s="29">
        <f>(1-ISNUMBER(SEARCH("556",M4405)))*(O4405*SUMIFS(Premissas!$C$5:$C$44,Premissas!$A$5:$A$44,$A4405,Premissas!$B$5:$B$44,$B4405)+P4405*SUMIFS(Premissas!$D$5:$D$44,Premissas!$A$5:$A$44,$A4405,Premissas!$B$5:$B$44,$B4405))+R4405*SUMIFS(Premissas!$E$5:$E$44,Premissas!$A$5:$A$44,$A4405,Premissas!$B$5:$B$44,$B4405)+S4405*SUMIFS(Premissas!$F$5:$F$44,Premissas!$A$5:$A$44,$A4405,Premissas!$B$5:$B$44,$B4405)</f>
        <v/>
      </c>
      <c r="L4405" s="29">
        <f>J4405-K4405</f>
        <v/>
      </c>
      <c r="M4405" t="inlineStr">
        <is>
          <t>2.350</t>
        </is>
      </c>
      <c r="N4405" t="inlineStr">
        <is>
          <t>Modalidade: 0 - Por conta do remetente | Parte: LU FESTAS GOIATUBA LTDA (27.067.348/0001-52)</t>
        </is>
      </c>
      <c r="O4405" s="29" t="n">
        <v>0</v>
      </c>
      <c r="P4405" s="29" t="n">
        <v>98.05</v>
      </c>
      <c r="Q4405" s="29" t="n">
        <v>0</v>
      </c>
      <c r="R4405" s="29" t="n">
        <v>0</v>
      </c>
      <c r="S4405" s="29" t="n">
        <v>0</v>
      </c>
      <c r="T4405" t="inlineStr">
        <is>
          <t>25260959256389000183570010000004941011001312</t>
        </is>
      </c>
      <c r="U4405" t="inlineStr">
        <is>
          <t>Sim</t>
        </is>
      </c>
    </row>
    <row r="4406">
      <c r="A4406" t="inlineStr">
        <is>
          <t>Frete de venda</t>
        </is>
      </c>
      <c r="B4406" t="inlineStr">
        <is>
          <t>2.01.02 Frete sobre Vendas</t>
        </is>
      </c>
      <c r="C4406" s="30" t="n">
        <v>46266</v>
      </c>
      <c r="D4406" t="inlineStr">
        <is>
          <t>Em 2026</t>
        </is>
      </c>
      <c r="E4406" s="28" t="n">
        <v>46267</v>
      </c>
      <c r="F4406" t="inlineStr">
        <is>
          <t>CT-e</t>
        </is>
      </c>
      <c r="G4406" t="inlineStr">
        <is>
          <t>000000495</t>
        </is>
      </c>
      <c r="H4406" t="inlineStr">
        <is>
          <t>DURA MAIS TRANSPORTES LTDA</t>
        </is>
      </c>
      <c r="J4406" s="29" t="n">
        <v>817.1</v>
      </c>
      <c r="K4406" s="29">
        <f>(1-ISNUMBER(SEARCH("556",M4406)))*(O4406*SUMIFS(Premissas!$C$5:$C$44,Premissas!$A$5:$A$44,$A4406,Premissas!$B$5:$B$44,$B4406)+P4406*SUMIFS(Premissas!$D$5:$D$44,Premissas!$A$5:$A$44,$A4406,Premissas!$B$5:$B$44,$B4406))+R4406*SUMIFS(Premissas!$E$5:$E$44,Premissas!$A$5:$A$44,$A4406,Premissas!$B$5:$B$44,$B4406)+S4406*SUMIFS(Premissas!$F$5:$F$44,Premissas!$A$5:$A$44,$A4406,Premissas!$B$5:$B$44,$B4406)</f>
        <v/>
      </c>
      <c r="L4406" s="29">
        <f>J4406-K4406</f>
        <v/>
      </c>
      <c r="M4406" t="inlineStr">
        <is>
          <t>2.350</t>
        </is>
      </c>
      <c r="N4406" t="inlineStr">
        <is>
          <t>Modalidade: 0 - Por conta do remetente | Parte: JG COMERCIO DE EMBALAGENS LTDA (29.904.096/0001-02)</t>
        </is>
      </c>
      <c r="O4406" s="29" t="n">
        <v>0</v>
      </c>
      <c r="P4406" s="29" t="n">
        <v>98.05</v>
      </c>
      <c r="Q4406" s="29" t="n">
        <v>0</v>
      </c>
      <c r="R4406" s="29" t="n">
        <v>0</v>
      </c>
      <c r="S4406" s="29" t="n">
        <v>0</v>
      </c>
      <c r="T4406" t="inlineStr">
        <is>
          <t>25260959256389000183570010000004951001701394</t>
        </is>
      </c>
      <c r="U4406" t="inlineStr">
        <is>
          <t>Sim</t>
        </is>
      </c>
    </row>
    <row r="4407">
      <c r="A4407" t="inlineStr">
        <is>
          <t>Frete de venda</t>
        </is>
      </c>
      <c r="B4407" t="inlineStr">
        <is>
          <t>2.01.02 Frete sobre Vendas</t>
        </is>
      </c>
      <c r="C4407" s="30" t="n">
        <v>46266</v>
      </c>
      <c r="D4407" t="inlineStr">
        <is>
          <t>Em 2026</t>
        </is>
      </c>
      <c r="E4407" s="28" t="n">
        <v>46267</v>
      </c>
      <c r="F4407" t="inlineStr">
        <is>
          <t>CT-e</t>
        </is>
      </c>
      <c r="G4407" t="inlineStr">
        <is>
          <t>000000496</t>
        </is>
      </c>
      <c r="H4407" t="inlineStr">
        <is>
          <t>DURA MAIS TRANSPORTES LTDA</t>
        </is>
      </c>
      <c r="J4407" s="29" t="n">
        <v>817.1</v>
      </c>
      <c r="K4407" s="29">
        <f>(1-ISNUMBER(SEARCH("556",M4407)))*(O4407*SUMIFS(Premissas!$C$5:$C$44,Premissas!$A$5:$A$44,$A4407,Premissas!$B$5:$B$44,$B4407)+P4407*SUMIFS(Premissas!$D$5:$D$44,Premissas!$A$5:$A$44,$A4407,Premissas!$B$5:$B$44,$B4407))+R4407*SUMIFS(Premissas!$E$5:$E$44,Premissas!$A$5:$A$44,$A4407,Premissas!$B$5:$B$44,$B4407)+S4407*SUMIFS(Premissas!$F$5:$F$44,Premissas!$A$5:$A$44,$A4407,Premissas!$B$5:$B$44,$B4407)</f>
        <v/>
      </c>
      <c r="L4407" s="29">
        <f>J4407-K4407</f>
        <v/>
      </c>
      <c r="M4407" t="inlineStr">
        <is>
          <t>2.350</t>
        </is>
      </c>
      <c r="N4407" t="inlineStr">
        <is>
          <t>Modalidade: 0 - Por conta do remetente | Parte: EDVALDO SANTANA PEREIRA E CIA LTDA (01.091.625/0001-79)</t>
        </is>
      </c>
      <c r="O4407" s="29" t="n">
        <v>0</v>
      </c>
      <c r="P4407" s="29" t="n">
        <v>98.05</v>
      </c>
      <c r="Q4407" s="29" t="n">
        <v>0</v>
      </c>
      <c r="R4407" s="29" t="n">
        <v>0</v>
      </c>
      <c r="S4407" s="29" t="n">
        <v>0</v>
      </c>
      <c r="T4407" t="inlineStr">
        <is>
          <t>25260959256389000183570010000004961001401479</t>
        </is>
      </c>
      <c r="U4407" t="inlineStr">
        <is>
          <t>Sim</t>
        </is>
      </c>
    </row>
    <row r="4408">
      <c r="A4408" t="inlineStr">
        <is>
          <t>Frete de venda</t>
        </is>
      </c>
      <c r="B4408" t="inlineStr">
        <is>
          <t>2.01.02 Frete sobre Vendas</t>
        </is>
      </c>
      <c r="C4408" s="30" t="n">
        <v>46266</v>
      </c>
      <c r="D4408" t="inlineStr">
        <is>
          <t>Em 2026</t>
        </is>
      </c>
      <c r="E4408" s="28" t="n">
        <v>46267</v>
      </c>
      <c r="F4408" t="inlineStr">
        <is>
          <t>CT-e</t>
        </is>
      </c>
      <c r="G4408" t="inlineStr">
        <is>
          <t>000000497</t>
        </is>
      </c>
      <c r="H4408" t="inlineStr">
        <is>
          <t>DURA MAIS TRANSPORTES LTDA</t>
        </is>
      </c>
      <c r="J4408" s="29" t="n">
        <v>817.1</v>
      </c>
      <c r="K4408" s="29">
        <f>(1-ISNUMBER(SEARCH("556",M4408)))*(O4408*SUMIFS(Premissas!$C$5:$C$44,Premissas!$A$5:$A$44,$A4408,Premissas!$B$5:$B$44,$B4408)+P4408*SUMIFS(Premissas!$D$5:$D$44,Premissas!$A$5:$A$44,$A4408,Premissas!$B$5:$B$44,$B4408))+R4408*SUMIFS(Premissas!$E$5:$E$44,Premissas!$A$5:$A$44,$A4408,Premissas!$B$5:$B$44,$B4408)+S4408*SUMIFS(Premissas!$F$5:$F$44,Premissas!$A$5:$A$44,$A4408,Premissas!$B$5:$B$44,$B4408)</f>
        <v/>
      </c>
      <c r="L4408" s="29">
        <f>J4408-K4408</f>
        <v/>
      </c>
      <c r="M4408" t="inlineStr">
        <is>
          <t>2.350</t>
        </is>
      </c>
      <c r="N4408" t="inlineStr">
        <is>
          <t>Modalidade: 0 - Por conta do remetente | Parte: COMFRIOS DISTRIBUIDORA DE FRIOS LTDA (37.364.486/0001-57)</t>
        </is>
      </c>
      <c r="O4408" s="29" t="n">
        <v>0</v>
      </c>
      <c r="P4408" s="29" t="n">
        <v>98.05</v>
      </c>
      <c r="Q4408" s="29" t="n">
        <v>0</v>
      </c>
      <c r="R4408" s="29" t="n">
        <v>0</v>
      </c>
      <c r="S4408" s="29" t="n">
        <v>0</v>
      </c>
      <c r="T4408" t="inlineStr">
        <is>
          <t>25260959256389000183570010000004971001101553</t>
        </is>
      </c>
      <c r="U4408" t="inlineStr">
        <is>
          <t>Sim</t>
        </is>
      </c>
    </row>
    <row r="4409">
      <c r="A4409" t="inlineStr">
        <is>
          <t>Frete de venda</t>
        </is>
      </c>
      <c r="B4409" t="inlineStr">
        <is>
          <t>2.01.02 Frete sobre Vendas</t>
        </is>
      </c>
      <c r="C4409" s="30" t="n">
        <v>46266</v>
      </c>
      <c r="D4409" t="inlineStr">
        <is>
          <t>Em 2026</t>
        </is>
      </c>
      <c r="E4409" s="28" t="n">
        <v>46267</v>
      </c>
      <c r="F4409" t="inlineStr">
        <is>
          <t>CT-e</t>
        </is>
      </c>
      <c r="G4409" t="inlineStr">
        <is>
          <t>000000498</t>
        </is>
      </c>
      <c r="H4409" t="inlineStr">
        <is>
          <t>DURA MAIS TRANSPORTES LTDA</t>
        </is>
      </c>
      <c r="J4409" s="29" t="n">
        <v>817.1</v>
      </c>
      <c r="K4409" s="29">
        <f>(1-ISNUMBER(SEARCH("556",M4409)))*(O4409*SUMIFS(Premissas!$C$5:$C$44,Premissas!$A$5:$A$44,$A4409,Premissas!$B$5:$B$44,$B4409)+P4409*SUMIFS(Premissas!$D$5:$D$44,Premissas!$A$5:$A$44,$A4409,Premissas!$B$5:$B$44,$B4409))+R4409*SUMIFS(Premissas!$E$5:$E$44,Premissas!$A$5:$A$44,$A4409,Premissas!$B$5:$B$44,$B4409)+S4409*SUMIFS(Premissas!$F$5:$F$44,Premissas!$A$5:$A$44,$A4409,Premissas!$B$5:$B$44,$B4409)</f>
        <v/>
      </c>
      <c r="L4409" s="29">
        <f>J4409-K4409</f>
        <v/>
      </c>
      <c r="M4409" t="inlineStr">
        <is>
          <t>2.350</t>
        </is>
      </c>
      <c r="N4409" t="inlineStr">
        <is>
          <t>Modalidade: 0 - Por conta do remetente | Parte: C-8 PRODUTOS ALIMENTICIOS E EMBALAGENS LTDA (07.317.858/0001-23)</t>
        </is>
      </c>
      <c r="O4409" s="29" t="n">
        <v>0</v>
      </c>
      <c r="P4409" s="29" t="n">
        <v>98.05</v>
      </c>
      <c r="Q4409" s="29" t="n">
        <v>0</v>
      </c>
      <c r="R4409" s="29" t="n">
        <v>0</v>
      </c>
      <c r="S4409" s="29" t="n">
        <v>0</v>
      </c>
      <c r="T4409" t="inlineStr">
        <is>
          <t>25260959256389000183570010000004981001901638</t>
        </is>
      </c>
      <c r="U4409" t="inlineStr">
        <is>
          <t>Sim</t>
        </is>
      </c>
    </row>
    <row r="4410">
      <c r="A4410" t="inlineStr">
        <is>
          <t>Frete de venda</t>
        </is>
      </c>
      <c r="B4410" t="inlineStr">
        <is>
          <t>2.01.02 Frete sobre Vendas</t>
        </is>
      </c>
      <c r="C4410" s="30" t="n">
        <v>46266</v>
      </c>
      <c r="D4410" t="inlineStr">
        <is>
          <t>Em 2026</t>
        </is>
      </c>
      <c r="E4410" s="28" t="n">
        <v>46267</v>
      </c>
      <c r="F4410" t="inlineStr">
        <is>
          <t>CT-e</t>
        </is>
      </c>
      <c r="G4410" t="inlineStr">
        <is>
          <t>000000499</t>
        </is>
      </c>
      <c r="H4410" t="inlineStr">
        <is>
          <t>DURA MAIS TRANSPORTES LTDA</t>
        </is>
      </c>
      <c r="J4410" s="29" t="n">
        <v>817.1</v>
      </c>
      <c r="K4410" s="29">
        <f>(1-ISNUMBER(SEARCH("556",M4410)))*(O4410*SUMIFS(Premissas!$C$5:$C$44,Premissas!$A$5:$A$44,$A4410,Premissas!$B$5:$B$44,$B4410)+P4410*SUMIFS(Premissas!$D$5:$D$44,Premissas!$A$5:$A$44,$A4410,Premissas!$B$5:$B$44,$B4410))+R4410*SUMIFS(Premissas!$E$5:$E$44,Premissas!$A$5:$A$44,$A4410,Premissas!$B$5:$B$44,$B4410)+S4410*SUMIFS(Premissas!$F$5:$F$44,Premissas!$A$5:$A$44,$A4410,Premissas!$B$5:$B$44,$B4410)</f>
        <v/>
      </c>
      <c r="L4410" s="29">
        <f>J4410-K4410</f>
        <v/>
      </c>
      <c r="M4410" t="inlineStr">
        <is>
          <t>2.350</t>
        </is>
      </c>
      <c r="N4410" t="inlineStr">
        <is>
          <t>Modalidade: 0 - Por conta do remetente | Parte: CASA PACK DISTRIBUICAO DE EMBALAGENS LTDA (43.564.720/0001-92)</t>
        </is>
      </c>
      <c r="O4410" s="29" t="n">
        <v>0</v>
      </c>
      <c r="P4410" s="29" t="n">
        <v>98.05</v>
      </c>
      <c r="Q4410" s="29" t="n">
        <v>0</v>
      </c>
      <c r="R4410" s="29" t="n">
        <v>0</v>
      </c>
      <c r="S4410" s="29" t="n">
        <v>0</v>
      </c>
      <c r="T4410" t="inlineStr">
        <is>
          <t>25260959256389000183570010000004991001601712</t>
        </is>
      </c>
      <c r="U4410" t="inlineStr">
        <is>
          <t>Sim</t>
        </is>
      </c>
    </row>
    <row r="4411">
      <c r="A4411" t="inlineStr">
        <is>
          <t>Frete de venda</t>
        </is>
      </c>
      <c r="B4411" t="inlineStr">
        <is>
          <t>2.01.02 Frete sobre Vendas</t>
        </is>
      </c>
      <c r="C4411" s="30" t="n">
        <v>46266</v>
      </c>
      <c r="D4411" t="inlineStr">
        <is>
          <t>Em 2026</t>
        </is>
      </c>
      <c r="E4411" s="28" t="n">
        <v>46267</v>
      </c>
      <c r="F4411" t="inlineStr">
        <is>
          <t>CT-e</t>
        </is>
      </c>
      <c r="G4411" t="inlineStr">
        <is>
          <t>000000500</t>
        </is>
      </c>
      <c r="H4411" t="inlineStr">
        <is>
          <t>DURA MAIS TRANSPORTES LTDA</t>
        </is>
      </c>
      <c r="J4411" s="29" t="n">
        <v>817.1</v>
      </c>
      <c r="K4411" s="29">
        <f>(1-ISNUMBER(SEARCH("556",M4411)))*(O4411*SUMIFS(Premissas!$C$5:$C$44,Premissas!$A$5:$A$44,$A4411,Premissas!$B$5:$B$44,$B4411)+P4411*SUMIFS(Premissas!$D$5:$D$44,Premissas!$A$5:$A$44,$A4411,Premissas!$B$5:$B$44,$B4411))+R4411*SUMIFS(Premissas!$E$5:$E$44,Premissas!$A$5:$A$44,$A4411,Premissas!$B$5:$B$44,$B4411)+S4411*SUMIFS(Premissas!$F$5:$F$44,Premissas!$A$5:$A$44,$A4411,Premissas!$B$5:$B$44,$B4411)</f>
        <v/>
      </c>
      <c r="L4411" s="29">
        <f>J4411-K4411</f>
        <v/>
      </c>
      <c r="M4411" t="inlineStr">
        <is>
          <t>2.350</t>
        </is>
      </c>
      <c r="N4411" t="inlineStr">
        <is>
          <t>Modalidade: 0 - Por conta do remetente | Parte: INDUSTRIAL E COMERCIAL ALMEIDA LTDA (02.623.537/0010-24)</t>
        </is>
      </c>
      <c r="O4411" s="29" t="n">
        <v>0</v>
      </c>
      <c r="P4411" s="29" t="n">
        <v>98.05</v>
      </c>
      <c r="Q4411" s="29" t="n">
        <v>0</v>
      </c>
      <c r="R4411" s="29" t="n">
        <v>0</v>
      </c>
      <c r="S4411" s="29" t="n">
        <v>0</v>
      </c>
      <c r="T4411" t="inlineStr">
        <is>
          <t>25260959256389000183570010000005001001701060</t>
        </is>
      </c>
      <c r="U4411" t="inlineStr">
        <is>
          <t>Sim</t>
        </is>
      </c>
    </row>
    <row r="4412">
      <c r="A4412" t="inlineStr">
        <is>
          <t>Frete de venda</t>
        </is>
      </c>
      <c r="B4412" t="inlineStr">
        <is>
          <t>2.01.02 Frete sobre Vendas</t>
        </is>
      </c>
      <c r="C4412" s="30" t="n">
        <v>46266</v>
      </c>
      <c r="D4412" t="inlineStr">
        <is>
          <t>Em 2026</t>
        </is>
      </c>
      <c r="E4412" s="28" t="n">
        <v>46267</v>
      </c>
      <c r="F4412" t="inlineStr">
        <is>
          <t>CT-e</t>
        </is>
      </c>
      <c r="G4412" t="inlineStr">
        <is>
          <t>000000501</t>
        </is>
      </c>
      <c r="H4412" t="inlineStr">
        <is>
          <t>DURA MAIS TRANSPORTES LTDA</t>
        </is>
      </c>
      <c r="J4412" s="29" t="n">
        <v>817.1</v>
      </c>
      <c r="K4412" s="29">
        <f>(1-ISNUMBER(SEARCH("556",M4412)))*(O4412*SUMIFS(Premissas!$C$5:$C$44,Premissas!$A$5:$A$44,$A4412,Premissas!$B$5:$B$44,$B4412)+P4412*SUMIFS(Premissas!$D$5:$D$44,Premissas!$A$5:$A$44,$A4412,Premissas!$B$5:$B$44,$B4412))+R4412*SUMIFS(Premissas!$E$5:$E$44,Premissas!$A$5:$A$44,$A4412,Premissas!$B$5:$B$44,$B4412)+S4412*SUMIFS(Premissas!$F$5:$F$44,Premissas!$A$5:$A$44,$A4412,Premissas!$B$5:$B$44,$B4412)</f>
        <v/>
      </c>
      <c r="L4412" s="29">
        <f>J4412-K4412</f>
        <v/>
      </c>
      <c r="M4412" t="inlineStr">
        <is>
          <t>2.350</t>
        </is>
      </c>
      <c r="N4412" t="inlineStr">
        <is>
          <t>Modalidade: 0 - Por conta do remetente | Parte: JAB IMPORTACAO E EXPORTACAO LTDA (21.938.705/0002-05)</t>
        </is>
      </c>
      <c r="O4412" s="29" t="n">
        <v>0</v>
      </c>
      <c r="P4412" s="29" t="n">
        <v>98.05</v>
      </c>
      <c r="Q4412" s="29" t="n">
        <v>0</v>
      </c>
      <c r="R4412" s="29" t="n">
        <v>0</v>
      </c>
      <c r="S4412" s="29" t="n">
        <v>0</v>
      </c>
      <c r="T4412" t="inlineStr">
        <is>
          <t>25260959256389000183570010000005011001401144</t>
        </is>
      </c>
      <c r="U4412" t="inlineStr">
        <is>
          <t>Sim</t>
        </is>
      </c>
    </row>
    <row r="4413">
      <c r="A4413" t="inlineStr">
        <is>
          <t>Frete de venda</t>
        </is>
      </c>
      <c r="B4413" t="inlineStr">
        <is>
          <t>2.01.02 Frete sobre Vendas</t>
        </is>
      </c>
      <c r="C4413" s="30" t="n">
        <v>46266</v>
      </c>
      <c r="D4413" t="inlineStr">
        <is>
          <t>Em 2026</t>
        </is>
      </c>
      <c r="E4413" s="28" t="n">
        <v>46267</v>
      </c>
      <c r="F4413" t="inlineStr">
        <is>
          <t>CT-e</t>
        </is>
      </c>
      <c r="G4413" t="inlineStr">
        <is>
          <t>000000502</t>
        </is>
      </c>
      <c r="H4413" t="inlineStr">
        <is>
          <t>DURA MAIS TRANSPORTES LTDA</t>
        </is>
      </c>
      <c r="J4413" s="29" t="n">
        <v>817.1</v>
      </c>
      <c r="K4413" s="29">
        <f>(1-ISNUMBER(SEARCH("556",M4413)))*(O4413*SUMIFS(Premissas!$C$5:$C$44,Premissas!$A$5:$A$44,$A4413,Premissas!$B$5:$B$44,$B4413)+P4413*SUMIFS(Premissas!$D$5:$D$44,Premissas!$A$5:$A$44,$A4413,Premissas!$B$5:$B$44,$B4413))+R4413*SUMIFS(Premissas!$E$5:$E$44,Premissas!$A$5:$A$44,$A4413,Premissas!$B$5:$B$44,$B4413)+S4413*SUMIFS(Premissas!$F$5:$F$44,Premissas!$A$5:$A$44,$A4413,Premissas!$B$5:$B$44,$B4413)</f>
        <v/>
      </c>
      <c r="L4413" s="29">
        <f>J4413-K4413</f>
        <v/>
      </c>
      <c r="M4413" t="inlineStr">
        <is>
          <t>2.350</t>
        </is>
      </c>
      <c r="N4413" t="inlineStr">
        <is>
          <t>Modalidade: 0 - Por conta do remetente | Parte: EMBALE LIMPE EMBALAGENS, LIMPEZA E MERCEARIA LTDA (32.702.785/0001-30)</t>
        </is>
      </c>
      <c r="O4413" s="29" t="n">
        <v>0</v>
      </c>
      <c r="P4413" s="29" t="n">
        <v>98.05</v>
      </c>
      <c r="Q4413" s="29" t="n">
        <v>0</v>
      </c>
      <c r="R4413" s="29" t="n">
        <v>0</v>
      </c>
      <c r="S4413" s="29" t="n">
        <v>0</v>
      </c>
      <c r="T4413" t="inlineStr">
        <is>
          <t>25260959256389000183570010000005021001101229</t>
        </is>
      </c>
      <c r="U4413" t="inlineStr">
        <is>
          <t>Sim</t>
        </is>
      </c>
    </row>
    <row r="4414">
      <c r="A4414" t="inlineStr">
        <is>
          <t>Frete de venda</t>
        </is>
      </c>
      <c r="B4414" t="inlineStr">
        <is>
          <t>2.01.02 Frete sobre Vendas</t>
        </is>
      </c>
      <c r="C4414" s="30" t="n">
        <v>46266</v>
      </c>
      <c r="D4414" t="inlineStr">
        <is>
          <t>Em 2026</t>
        </is>
      </c>
      <c r="E4414" s="28" t="n">
        <v>46267</v>
      </c>
      <c r="F4414" t="inlineStr">
        <is>
          <t>CT-e</t>
        </is>
      </c>
      <c r="G4414" t="inlineStr">
        <is>
          <t>000000503</t>
        </is>
      </c>
      <c r="H4414" t="inlineStr">
        <is>
          <t>DURA MAIS TRANSPORTES LTDA</t>
        </is>
      </c>
      <c r="J4414" s="29" t="n">
        <v>817.1</v>
      </c>
      <c r="K4414" s="29">
        <f>(1-ISNUMBER(SEARCH("556",M4414)))*(O4414*SUMIFS(Premissas!$C$5:$C$44,Premissas!$A$5:$A$44,$A4414,Premissas!$B$5:$B$44,$B4414)+P4414*SUMIFS(Premissas!$D$5:$D$44,Premissas!$A$5:$A$44,$A4414,Premissas!$B$5:$B$44,$B4414))+R4414*SUMIFS(Premissas!$E$5:$E$44,Premissas!$A$5:$A$44,$A4414,Premissas!$B$5:$B$44,$B4414)+S4414*SUMIFS(Premissas!$F$5:$F$44,Premissas!$A$5:$A$44,$A4414,Premissas!$B$5:$B$44,$B4414)</f>
        <v/>
      </c>
      <c r="L4414" s="29">
        <f>J4414-K4414</f>
        <v/>
      </c>
      <c r="M4414" t="inlineStr">
        <is>
          <t>2.350</t>
        </is>
      </c>
      <c r="N4414" t="inlineStr">
        <is>
          <t>Modalidade: 0 - Por conta do remetente | Parte: J T TOSTA (00.746.849/0001-09)</t>
        </is>
      </c>
      <c r="O4414" s="29" t="n">
        <v>0</v>
      </c>
      <c r="P4414" s="29" t="n">
        <v>98.05</v>
      </c>
      <c r="Q4414" s="29" t="n">
        <v>0</v>
      </c>
      <c r="R4414" s="29" t="n">
        <v>0</v>
      </c>
      <c r="S4414" s="29" t="n">
        <v>0</v>
      </c>
      <c r="T4414" t="inlineStr">
        <is>
          <t>25260959256389000183570010000005031001901303</t>
        </is>
      </c>
      <c r="U4414" t="inlineStr">
        <is>
          <t>Sim</t>
        </is>
      </c>
    </row>
    <row r="4415">
      <c r="A4415" t="inlineStr">
        <is>
          <t>Frete de venda</t>
        </is>
      </c>
      <c r="B4415" t="inlineStr">
        <is>
          <t>2.01.02 Frete sobre Vendas</t>
        </is>
      </c>
      <c r="C4415" s="30" t="n">
        <v>46266</v>
      </c>
      <c r="D4415" t="inlineStr">
        <is>
          <t>Em 2026</t>
        </is>
      </c>
      <c r="E4415" s="28" t="n">
        <v>46267</v>
      </c>
      <c r="F4415" t="inlineStr">
        <is>
          <t>CT-e</t>
        </is>
      </c>
      <c r="G4415" t="inlineStr">
        <is>
          <t>000000504</t>
        </is>
      </c>
      <c r="H4415" t="inlineStr">
        <is>
          <t>DURA MAIS TRANSPORTES LTDA</t>
        </is>
      </c>
      <c r="J4415" s="29" t="n">
        <v>817.1</v>
      </c>
      <c r="K4415" s="29">
        <f>(1-ISNUMBER(SEARCH("556",M4415)))*(O4415*SUMIFS(Premissas!$C$5:$C$44,Premissas!$A$5:$A$44,$A4415,Premissas!$B$5:$B$44,$B4415)+P4415*SUMIFS(Premissas!$D$5:$D$44,Premissas!$A$5:$A$44,$A4415,Premissas!$B$5:$B$44,$B4415))+R4415*SUMIFS(Premissas!$E$5:$E$44,Premissas!$A$5:$A$44,$A4415,Premissas!$B$5:$B$44,$B4415)+S4415*SUMIFS(Premissas!$F$5:$F$44,Premissas!$A$5:$A$44,$A4415,Premissas!$B$5:$B$44,$B4415)</f>
        <v/>
      </c>
      <c r="L4415" s="29">
        <f>J4415-K4415</f>
        <v/>
      </c>
      <c r="M4415" t="inlineStr">
        <is>
          <t>2.350</t>
        </is>
      </c>
      <c r="N4415" t="inlineStr">
        <is>
          <t>Modalidade: 0 - Por conta do remetente | Parte: JGR COMERCIO DE EMBALAGENS LTDA (41.425.969/0001-91)</t>
        </is>
      </c>
      <c r="O4415" s="29" t="n">
        <v>0</v>
      </c>
      <c r="P4415" s="29" t="n">
        <v>98.05</v>
      </c>
      <c r="Q4415" s="29" t="n">
        <v>0</v>
      </c>
      <c r="R4415" s="29" t="n">
        <v>0</v>
      </c>
      <c r="S4415" s="29" t="n">
        <v>0</v>
      </c>
      <c r="T4415" t="inlineStr">
        <is>
          <t>25260959256389000183570010000005041001601382</t>
        </is>
      </c>
      <c r="U4415" t="inlineStr">
        <is>
          <t>Sim</t>
        </is>
      </c>
    </row>
    <row r="4416">
      <c r="A4416" t="inlineStr">
        <is>
          <t>Frete de venda</t>
        </is>
      </c>
      <c r="B4416" t="inlineStr">
        <is>
          <t>2.01.02 Frete sobre Vendas</t>
        </is>
      </c>
      <c r="C4416" s="30" t="n">
        <v>46266</v>
      </c>
      <c r="D4416" t="inlineStr">
        <is>
          <t>Em 2026</t>
        </is>
      </c>
      <c r="E4416" s="28" t="n">
        <v>46267</v>
      </c>
      <c r="F4416" t="inlineStr">
        <is>
          <t>CT-e</t>
        </is>
      </c>
      <c r="G4416" t="inlineStr">
        <is>
          <t>000000505</t>
        </is>
      </c>
      <c r="H4416" t="inlineStr">
        <is>
          <t>DURA MAIS TRANSPORTES LTDA</t>
        </is>
      </c>
      <c r="J4416" s="29" t="n">
        <v>817.1</v>
      </c>
      <c r="K4416" s="29">
        <f>(1-ISNUMBER(SEARCH("556",M4416)))*(O4416*SUMIFS(Premissas!$C$5:$C$44,Premissas!$A$5:$A$44,$A4416,Premissas!$B$5:$B$44,$B4416)+P4416*SUMIFS(Premissas!$D$5:$D$44,Premissas!$A$5:$A$44,$A4416,Premissas!$B$5:$B$44,$B4416))+R4416*SUMIFS(Premissas!$E$5:$E$44,Premissas!$A$5:$A$44,$A4416,Premissas!$B$5:$B$44,$B4416)+S4416*SUMIFS(Premissas!$F$5:$F$44,Premissas!$A$5:$A$44,$A4416,Premissas!$B$5:$B$44,$B4416)</f>
        <v/>
      </c>
      <c r="L4416" s="29">
        <f>J4416-K4416</f>
        <v/>
      </c>
      <c r="M4416" t="inlineStr">
        <is>
          <t>2.350</t>
        </is>
      </c>
      <c r="N4416" t="inlineStr">
        <is>
          <t>Modalidade: 0 - Por conta do remetente | Parte: PLASPEL COMERCIO DE EMBALAGENS LTDA (43.498.579/0001-77)</t>
        </is>
      </c>
      <c r="O4416" s="29" t="n">
        <v>0</v>
      </c>
      <c r="P4416" s="29" t="n">
        <v>98.05</v>
      </c>
      <c r="Q4416" s="29" t="n">
        <v>0</v>
      </c>
      <c r="R4416" s="29" t="n">
        <v>0</v>
      </c>
      <c r="S4416" s="29" t="n">
        <v>0</v>
      </c>
      <c r="T4416" t="inlineStr">
        <is>
          <t>25260959256389000183570010000005051001301467</t>
        </is>
      </c>
      <c r="U4416" t="inlineStr">
        <is>
          <t>Sim</t>
        </is>
      </c>
    </row>
    <row r="4417">
      <c r="A4417" t="inlineStr">
        <is>
          <t>Frete de venda</t>
        </is>
      </c>
      <c r="B4417" t="inlineStr">
        <is>
          <t>2.01.02 Frete sobre Vendas</t>
        </is>
      </c>
      <c r="C4417" s="30" t="n">
        <v>46266</v>
      </c>
      <c r="D4417" t="inlineStr">
        <is>
          <t>Em 2026</t>
        </is>
      </c>
      <c r="E4417" s="28" t="n">
        <v>46267</v>
      </c>
      <c r="F4417" t="inlineStr">
        <is>
          <t>CT-e</t>
        </is>
      </c>
      <c r="G4417" t="inlineStr">
        <is>
          <t>000000506</t>
        </is>
      </c>
      <c r="H4417" t="inlineStr">
        <is>
          <t>DURA MAIS TRANSPORTES LTDA</t>
        </is>
      </c>
      <c r="J4417" s="29" t="n">
        <v>817.1</v>
      </c>
      <c r="K4417" s="29">
        <f>(1-ISNUMBER(SEARCH("556",M4417)))*(O4417*SUMIFS(Premissas!$C$5:$C$44,Premissas!$A$5:$A$44,$A4417,Premissas!$B$5:$B$44,$B4417)+P4417*SUMIFS(Premissas!$D$5:$D$44,Premissas!$A$5:$A$44,$A4417,Premissas!$B$5:$B$44,$B4417))+R4417*SUMIFS(Premissas!$E$5:$E$44,Premissas!$A$5:$A$44,$A4417,Premissas!$B$5:$B$44,$B4417)+S4417*SUMIFS(Premissas!$F$5:$F$44,Premissas!$A$5:$A$44,$A4417,Premissas!$B$5:$B$44,$B4417)</f>
        <v/>
      </c>
      <c r="L4417" s="29">
        <f>J4417-K4417</f>
        <v/>
      </c>
      <c r="M4417" t="inlineStr">
        <is>
          <t>2.350</t>
        </is>
      </c>
      <c r="N4417" t="inlineStr">
        <is>
          <t>Modalidade: 0 - Por conta do remetente | Parte: EMANUELLY PEREIRA DOS SANTOS 06543466154 (48.020.016/0001-92)</t>
        </is>
      </c>
      <c r="O4417" s="29" t="n">
        <v>0</v>
      </c>
      <c r="P4417" s="29" t="n">
        <v>98.05</v>
      </c>
      <c r="Q4417" s="29" t="n">
        <v>0</v>
      </c>
      <c r="R4417" s="29" t="n">
        <v>0</v>
      </c>
      <c r="S4417" s="29" t="n">
        <v>0</v>
      </c>
      <c r="T4417" t="inlineStr">
        <is>
          <t>25260959256389000183570010000005061000101542</t>
        </is>
      </c>
      <c r="U4417" t="inlineStr">
        <is>
          <t>Sim</t>
        </is>
      </c>
    </row>
    <row r="4418">
      <c r="A4418" t="inlineStr">
        <is>
          <t>Frete de venda</t>
        </is>
      </c>
      <c r="B4418" t="inlineStr">
        <is>
          <t>2.01.02 Frete sobre Vendas</t>
        </is>
      </c>
      <c r="C4418" s="30" t="n">
        <v>46266</v>
      </c>
      <c r="D4418" t="inlineStr">
        <is>
          <t>Em 2026</t>
        </is>
      </c>
      <c r="E4418" s="28" t="n">
        <v>46267</v>
      </c>
      <c r="F4418" t="inlineStr">
        <is>
          <t>CT-e</t>
        </is>
      </c>
      <c r="G4418" t="inlineStr">
        <is>
          <t>000000507</t>
        </is>
      </c>
      <c r="H4418" t="inlineStr">
        <is>
          <t>DURA MAIS TRANSPORTES LTDA</t>
        </is>
      </c>
      <c r="J4418" s="29" t="n">
        <v>817.1</v>
      </c>
      <c r="K4418" s="29">
        <f>(1-ISNUMBER(SEARCH("556",M4418)))*(O4418*SUMIFS(Premissas!$C$5:$C$44,Premissas!$A$5:$A$44,$A4418,Premissas!$B$5:$B$44,$B4418)+P4418*SUMIFS(Premissas!$D$5:$D$44,Premissas!$A$5:$A$44,$A4418,Premissas!$B$5:$B$44,$B4418))+R4418*SUMIFS(Premissas!$E$5:$E$44,Premissas!$A$5:$A$44,$A4418,Premissas!$B$5:$B$44,$B4418)+S4418*SUMIFS(Premissas!$F$5:$F$44,Premissas!$A$5:$A$44,$A4418,Premissas!$B$5:$B$44,$B4418)</f>
        <v/>
      </c>
      <c r="L4418" s="29">
        <f>J4418-K4418</f>
        <v/>
      </c>
      <c r="M4418" t="inlineStr">
        <is>
          <t>2.350</t>
        </is>
      </c>
      <c r="N4418" t="inlineStr">
        <is>
          <t>Modalidade: 0 - Por conta do remetente | Parte: EMBALATUDO EMBALAGENS LTDA (04.123.070/0001-98)</t>
        </is>
      </c>
      <c r="O4418" s="29" t="n">
        <v>0</v>
      </c>
      <c r="P4418" s="29" t="n">
        <v>98.05</v>
      </c>
      <c r="Q4418" s="29" t="n">
        <v>0</v>
      </c>
      <c r="R4418" s="29" t="n">
        <v>0</v>
      </c>
      <c r="S4418" s="29" t="n">
        <v>0</v>
      </c>
      <c r="T4418" t="inlineStr">
        <is>
          <t>25260959256389000183570010000005071001801626</t>
        </is>
      </c>
      <c r="U4418" t="inlineStr">
        <is>
          <t>Sim</t>
        </is>
      </c>
    </row>
    <row r="4419">
      <c r="A4419" t="inlineStr">
        <is>
          <t>Frete de venda</t>
        </is>
      </c>
      <c r="B4419" t="inlineStr">
        <is>
          <t>2.01.02 Frete sobre Vendas</t>
        </is>
      </c>
      <c r="C4419" s="30" t="n">
        <v>46266</v>
      </c>
      <c r="D4419" t="inlineStr">
        <is>
          <t>Em 2026</t>
        </is>
      </c>
      <c r="E4419" s="28" t="n">
        <v>46267</v>
      </c>
      <c r="F4419" t="inlineStr">
        <is>
          <t>CT-e</t>
        </is>
      </c>
      <c r="G4419" t="inlineStr">
        <is>
          <t>000000508</t>
        </is>
      </c>
      <c r="H4419" t="inlineStr">
        <is>
          <t>DURA MAIS TRANSPORTES LTDA</t>
        </is>
      </c>
      <c r="J4419" s="29" t="n">
        <v>817.1</v>
      </c>
      <c r="K4419" s="29">
        <f>(1-ISNUMBER(SEARCH("556",M4419)))*(O4419*SUMIFS(Premissas!$C$5:$C$44,Premissas!$A$5:$A$44,$A4419,Premissas!$B$5:$B$44,$B4419)+P4419*SUMIFS(Premissas!$D$5:$D$44,Premissas!$A$5:$A$44,$A4419,Premissas!$B$5:$B$44,$B4419))+R4419*SUMIFS(Premissas!$E$5:$E$44,Premissas!$A$5:$A$44,$A4419,Premissas!$B$5:$B$44,$B4419)+S4419*SUMIFS(Premissas!$F$5:$F$44,Premissas!$A$5:$A$44,$A4419,Premissas!$B$5:$B$44,$B4419)</f>
        <v/>
      </c>
      <c r="L4419" s="29">
        <f>J4419-K4419</f>
        <v/>
      </c>
      <c r="M4419" t="inlineStr">
        <is>
          <t>2.350</t>
        </is>
      </c>
      <c r="N4419" t="inlineStr">
        <is>
          <t>Modalidade: 0 - Por conta do remetente | Parte: VALDINEA NOGUEIRA DA COSTA (04.865.057/0001-04)</t>
        </is>
      </c>
      <c r="O4419" s="29" t="n">
        <v>0</v>
      </c>
      <c r="P4419" s="29" t="n">
        <v>98.05</v>
      </c>
      <c r="Q4419" s="29" t="n">
        <v>0</v>
      </c>
      <c r="R4419" s="29" t="n">
        <v>0</v>
      </c>
      <c r="S4419" s="29" t="n">
        <v>0</v>
      </c>
      <c r="T4419" t="inlineStr">
        <is>
          <t>25260959256389000183570010000005081001501700</t>
        </is>
      </c>
      <c r="U4419" t="inlineStr">
        <is>
          <t>Sim</t>
        </is>
      </c>
    </row>
    <row r="4420">
      <c r="A4420" t="inlineStr">
        <is>
          <t>Frete de venda</t>
        </is>
      </c>
      <c r="B4420" t="inlineStr">
        <is>
          <t>2.01.02 Frete sobre Vendas</t>
        </is>
      </c>
      <c r="C4420" s="30" t="n">
        <v>46266</v>
      </c>
      <c r="D4420" t="inlineStr">
        <is>
          <t>Em 2026</t>
        </is>
      </c>
      <c r="E4420" s="28" t="n">
        <v>46267</v>
      </c>
      <c r="F4420" t="inlineStr">
        <is>
          <t>CT-e</t>
        </is>
      </c>
      <c r="G4420" t="inlineStr">
        <is>
          <t>000000515</t>
        </is>
      </c>
      <c r="H4420" t="inlineStr">
        <is>
          <t>DURA MAIS TRANSPORTES LTDA</t>
        </is>
      </c>
      <c r="J4420" s="29" t="n">
        <v>1552.5</v>
      </c>
      <c r="K4420" s="29">
        <f>(1-ISNUMBER(SEARCH("556",M4420)))*(O4420*SUMIFS(Premissas!$C$5:$C$44,Premissas!$A$5:$A$44,$A4420,Premissas!$B$5:$B$44,$B4420)+P4420*SUMIFS(Premissas!$D$5:$D$44,Premissas!$A$5:$A$44,$A4420,Premissas!$B$5:$B$44,$B4420))+R4420*SUMIFS(Premissas!$E$5:$E$44,Premissas!$A$5:$A$44,$A4420,Premissas!$B$5:$B$44,$B4420)+S4420*SUMIFS(Premissas!$F$5:$F$44,Premissas!$A$5:$A$44,$A4420,Premissas!$B$5:$B$44,$B4420)</f>
        <v/>
      </c>
      <c r="L4420" s="29">
        <f>J4420-K4420</f>
        <v/>
      </c>
      <c r="M4420" t="inlineStr">
        <is>
          <t>2.350</t>
        </is>
      </c>
      <c r="N4420" t="inlineStr">
        <is>
          <t>Modalidade: 0 - Por conta do remetente | Parte: C M OLIVEIRA ATACADO (41.098.526/0001-33)</t>
        </is>
      </c>
      <c r="O4420" s="29" t="n">
        <v>0</v>
      </c>
      <c r="P4420" s="29" t="n">
        <v>186.3</v>
      </c>
      <c r="Q4420" s="29" t="n">
        <v>0</v>
      </c>
      <c r="R4420" s="29" t="n">
        <v>0</v>
      </c>
      <c r="S4420" s="29" t="n">
        <v>0</v>
      </c>
      <c r="T4420" t="inlineStr">
        <is>
          <t>25260959256389000183570010000005151011001535</t>
        </is>
      </c>
      <c r="U4420" t="inlineStr">
        <is>
          <t>Sim</t>
        </is>
      </c>
    </row>
    <row r="4421">
      <c r="A4421" t="inlineStr">
        <is>
          <t>Frete de venda</t>
        </is>
      </c>
      <c r="B4421" t="inlineStr">
        <is>
          <t>2.01.02 Frete sobre Vendas</t>
        </is>
      </c>
      <c r="C4421" s="30" t="n">
        <v>46266</v>
      </c>
      <c r="D4421" t="inlineStr">
        <is>
          <t>Em 2026</t>
        </is>
      </c>
      <c r="E4421" s="28" t="n">
        <v>46267</v>
      </c>
      <c r="F4421" t="inlineStr">
        <is>
          <t>CT-e</t>
        </is>
      </c>
      <c r="G4421" t="inlineStr">
        <is>
          <t>000000516</t>
        </is>
      </c>
      <c r="H4421" t="inlineStr">
        <is>
          <t>DURA MAIS TRANSPORTES LTDA</t>
        </is>
      </c>
      <c r="J4421" s="29" t="n">
        <v>1552.5</v>
      </c>
      <c r="K4421" s="29">
        <f>(1-ISNUMBER(SEARCH("556",M4421)))*(O4421*SUMIFS(Premissas!$C$5:$C$44,Premissas!$A$5:$A$44,$A4421,Premissas!$B$5:$B$44,$B4421)+P4421*SUMIFS(Premissas!$D$5:$D$44,Premissas!$A$5:$A$44,$A4421,Premissas!$B$5:$B$44,$B4421))+R4421*SUMIFS(Premissas!$E$5:$E$44,Premissas!$A$5:$A$44,$A4421,Premissas!$B$5:$B$44,$B4421)+S4421*SUMIFS(Premissas!$F$5:$F$44,Premissas!$A$5:$A$44,$A4421,Premissas!$B$5:$B$44,$B4421)</f>
        <v/>
      </c>
      <c r="L4421" s="29">
        <f>J4421-K4421</f>
        <v/>
      </c>
      <c r="M4421" t="inlineStr">
        <is>
          <t>2.350</t>
        </is>
      </c>
      <c r="N4421" t="inlineStr">
        <is>
          <t>Modalidade: 0 - Por conta do remetente | Parte: PRONTO DISTRIBUIDORA LTDA (59.909.633/0001-60)</t>
        </is>
      </c>
      <c r="O4421" s="29" t="n">
        <v>0</v>
      </c>
      <c r="P4421" s="29" t="n">
        <v>186.3</v>
      </c>
      <c r="Q4421" s="29" t="n">
        <v>0</v>
      </c>
      <c r="R4421" s="29" t="n">
        <v>0</v>
      </c>
      <c r="S4421" s="29" t="n">
        <v>0</v>
      </c>
      <c r="T4421" t="inlineStr">
        <is>
          <t>25260959256389000183570010000005161001701612</t>
        </is>
      </c>
      <c r="U4421" t="inlineStr">
        <is>
          <t>Sim</t>
        </is>
      </c>
    </row>
    <row r="4422">
      <c r="A4422" t="inlineStr">
        <is>
          <t>Frete de venda</t>
        </is>
      </c>
      <c r="B4422" t="inlineStr">
        <is>
          <t>2.01.02 Frete sobre Vendas</t>
        </is>
      </c>
      <c r="C4422" s="30" t="n">
        <v>46266</v>
      </c>
      <c r="D4422" t="inlineStr">
        <is>
          <t>Em 2026</t>
        </is>
      </c>
      <c r="E4422" s="28" t="n">
        <v>46267</v>
      </c>
      <c r="F4422" t="inlineStr">
        <is>
          <t>CT-e</t>
        </is>
      </c>
      <c r="G4422" t="inlineStr">
        <is>
          <t>000000517</t>
        </is>
      </c>
      <c r="H4422" t="inlineStr">
        <is>
          <t>DURA MAIS TRANSPORTES LTDA</t>
        </is>
      </c>
      <c r="J4422" s="29" t="n">
        <v>2700</v>
      </c>
      <c r="K4422" s="29">
        <f>(1-ISNUMBER(SEARCH("556",M4422)))*(O4422*SUMIFS(Premissas!$C$5:$C$44,Premissas!$A$5:$A$44,$A4422,Premissas!$B$5:$B$44,$B4422)+P4422*SUMIFS(Premissas!$D$5:$D$44,Premissas!$A$5:$A$44,$A4422,Premissas!$B$5:$B$44,$B4422))+R4422*SUMIFS(Premissas!$E$5:$E$44,Premissas!$A$5:$A$44,$A4422,Premissas!$B$5:$B$44,$B4422)+S4422*SUMIFS(Premissas!$F$5:$F$44,Premissas!$A$5:$A$44,$A4422,Premissas!$B$5:$B$44,$B4422)</f>
        <v/>
      </c>
      <c r="L4422" s="29">
        <f>J4422-K4422</f>
        <v/>
      </c>
      <c r="M4422" t="inlineStr">
        <is>
          <t>2.350</t>
        </is>
      </c>
      <c r="N4422" t="inlineStr">
        <is>
          <t>Modalidade: 0 - Por conta do remetente | Parte: BRUNO BEZERRA DA COSTA BOMBONS (35.034.416/0001-05)</t>
        </is>
      </c>
      <c r="O4422" s="29" t="n">
        <v>0</v>
      </c>
      <c r="P4422" s="29" t="n">
        <v>324</v>
      </c>
      <c r="Q4422" s="29" t="n">
        <v>0</v>
      </c>
      <c r="R4422" s="29" t="n">
        <v>0</v>
      </c>
      <c r="S4422" s="29" t="n">
        <v>0</v>
      </c>
      <c r="T4422" t="inlineStr">
        <is>
          <t>25260959256389000183570010000005171001401691</t>
        </is>
      </c>
      <c r="U4422" t="inlineStr">
        <is>
          <t>Sim</t>
        </is>
      </c>
    </row>
    <row r="4423">
      <c r="A4423" t="inlineStr">
        <is>
          <t>Frete de venda</t>
        </is>
      </c>
      <c r="B4423" t="inlineStr">
        <is>
          <t>2.01.02 Frete sobre Vendas</t>
        </is>
      </c>
      <c r="C4423" s="30" t="n">
        <v>46266</v>
      </c>
      <c r="D4423" t="inlineStr">
        <is>
          <t>Em 2026</t>
        </is>
      </c>
      <c r="E4423" s="28" t="n">
        <v>46267</v>
      </c>
      <c r="F4423" t="inlineStr">
        <is>
          <t>CT-e</t>
        </is>
      </c>
      <c r="G4423" t="inlineStr">
        <is>
          <t>000000518</t>
        </is>
      </c>
      <c r="H4423" t="inlineStr">
        <is>
          <t>DURA MAIS TRANSPORTES LTDA</t>
        </is>
      </c>
      <c r="J4423" s="29" t="n">
        <v>2700</v>
      </c>
      <c r="K4423" s="29">
        <f>(1-ISNUMBER(SEARCH("556",M4423)))*(O4423*SUMIFS(Premissas!$C$5:$C$44,Premissas!$A$5:$A$44,$A4423,Premissas!$B$5:$B$44,$B4423)+P4423*SUMIFS(Premissas!$D$5:$D$44,Premissas!$A$5:$A$44,$A4423,Premissas!$B$5:$B$44,$B4423))+R4423*SUMIFS(Premissas!$E$5:$E$44,Premissas!$A$5:$A$44,$A4423,Premissas!$B$5:$B$44,$B4423)+S4423*SUMIFS(Premissas!$F$5:$F$44,Premissas!$A$5:$A$44,$A4423,Premissas!$B$5:$B$44,$B4423)</f>
        <v/>
      </c>
      <c r="L4423" s="29">
        <f>J4423-K4423</f>
        <v/>
      </c>
      <c r="M4423" t="inlineStr">
        <is>
          <t>2.350</t>
        </is>
      </c>
      <c r="N4423" t="inlineStr">
        <is>
          <t>Modalidade: 0 - Por conta do remetente | Parte: M N L FLORENTINO LTDA (47.068.852/0001-84)</t>
        </is>
      </c>
      <c r="O4423" s="29" t="n">
        <v>0</v>
      </c>
      <c r="P4423" s="29" t="n">
        <v>324</v>
      </c>
      <c r="Q4423" s="29" t="n">
        <v>0</v>
      </c>
      <c r="R4423" s="29" t="n">
        <v>0</v>
      </c>
      <c r="S4423" s="29" t="n">
        <v>0</v>
      </c>
      <c r="T4423" t="inlineStr">
        <is>
          <t>25260959256389000183570010000005181001101776</t>
        </is>
      </c>
      <c r="U4423" t="inlineStr">
        <is>
          <t>Sim</t>
        </is>
      </c>
    </row>
    <row r="4424">
      <c r="A4424" t="inlineStr">
        <is>
          <t>Frete de venda</t>
        </is>
      </c>
      <c r="B4424" t="inlineStr">
        <is>
          <t>2.01.02 Frete sobre Vendas</t>
        </is>
      </c>
      <c r="C4424" s="30" t="n">
        <v>46266</v>
      </c>
      <c r="D4424" t="inlineStr">
        <is>
          <t>Em 2026</t>
        </is>
      </c>
      <c r="E4424" s="28" t="n">
        <v>46267</v>
      </c>
      <c r="F4424" t="inlineStr">
        <is>
          <t>CT-e</t>
        </is>
      </c>
      <c r="G4424" t="inlineStr">
        <is>
          <t>000000519</t>
        </is>
      </c>
      <c r="H4424" t="inlineStr">
        <is>
          <t>DURA MAIS TRANSPORTES LTDA</t>
        </is>
      </c>
      <c r="J4424" s="29" t="n">
        <v>2700</v>
      </c>
      <c r="K4424" s="29">
        <f>(1-ISNUMBER(SEARCH("556",M4424)))*(O4424*SUMIFS(Premissas!$C$5:$C$44,Premissas!$A$5:$A$44,$A4424,Premissas!$B$5:$B$44,$B4424)+P4424*SUMIFS(Premissas!$D$5:$D$44,Premissas!$A$5:$A$44,$A4424,Premissas!$B$5:$B$44,$B4424))+R4424*SUMIFS(Premissas!$E$5:$E$44,Premissas!$A$5:$A$44,$A4424,Premissas!$B$5:$B$44,$B4424)+S4424*SUMIFS(Premissas!$F$5:$F$44,Premissas!$A$5:$A$44,$A4424,Premissas!$B$5:$B$44,$B4424)</f>
        <v/>
      </c>
      <c r="L4424" s="29">
        <f>J4424-K4424</f>
        <v/>
      </c>
      <c r="M4424" t="inlineStr">
        <is>
          <t>2.350</t>
        </is>
      </c>
      <c r="N4424" t="inlineStr">
        <is>
          <t>Modalidade: 0 - Por conta do remetente | Parte: PV COMERCIO E SERVICOS LTDA (28.358.623/0001-50)</t>
        </is>
      </c>
      <c r="O4424" s="29" t="n">
        <v>0</v>
      </c>
      <c r="P4424" s="29" t="n">
        <v>324</v>
      </c>
      <c r="Q4424" s="29" t="n">
        <v>0</v>
      </c>
      <c r="R4424" s="29" t="n">
        <v>0</v>
      </c>
      <c r="S4424" s="29" t="n">
        <v>0</v>
      </c>
      <c r="T4424" t="inlineStr">
        <is>
          <t>25260959256389000183570010000005191001901850</t>
        </is>
      </c>
      <c r="U4424" t="inlineStr">
        <is>
          <t>Sim</t>
        </is>
      </c>
    </row>
    <row r="4425">
      <c r="A4425" t="inlineStr">
        <is>
          <t>Frete de venda</t>
        </is>
      </c>
      <c r="B4425" t="inlineStr">
        <is>
          <t>2.01.02 Frete sobre Vendas</t>
        </is>
      </c>
      <c r="C4425" s="30" t="n">
        <v>46266</v>
      </c>
      <c r="D4425" t="inlineStr">
        <is>
          <t>Em 2026</t>
        </is>
      </c>
      <c r="E4425" s="28" t="n">
        <v>46269</v>
      </c>
      <c r="F4425" t="inlineStr">
        <is>
          <t>CT-e</t>
        </is>
      </c>
      <c r="G4425" t="inlineStr">
        <is>
          <t>000000533</t>
        </is>
      </c>
      <c r="H4425" t="inlineStr">
        <is>
          <t>DURA MAIS TRANSPORTES LTDA</t>
        </is>
      </c>
      <c r="J4425" s="29" t="n">
        <v>4185</v>
      </c>
      <c r="K4425" s="29">
        <f>(1-ISNUMBER(SEARCH("556",M4425)))*(O4425*SUMIFS(Premissas!$C$5:$C$44,Premissas!$A$5:$A$44,$A4425,Premissas!$B$5:$B$44,$B4425)+P4425*SUMIFS(Premissas!$D$5:$D$44,Premissas!$A$5:$A$44,$A4425,Premissas!$B$5:$B$44,$B4425))+R4425*SUMIFS(Premissas!$E$5:$E$44,Premissas!$A$5:$A$44,$A4425,Premissas!$B$5:$B$44,$B4425)+S4425*SUMIFS(Premissas!$F$5:$F$44,Premissas!$A$5:$A$44,$A4425,Premissas!$B$5:$B$44,$B4425)</f>
        <v/>
      </c>
      <c r="L4425" s="29">
        <f>J4425-K4425</f>
        <v/>
      </c>
      <c r="M4425" t="inlineStr">
        <is>
          <t>2.350</t>
        </is>
      </c>
      <c r="N4425" t="inlineStr">
        <is>
          <t>Modalidade: 0 - Por conta do remetente | Parte: JND DISTRIBUIDORA LTDA (36.332.668/0001-83)</t>
        </is>
      </c>
      <c r="O4425" s="29" t="n">
        <v>0</v>
      </c>
      <c r="P4425" s="29" t="n">
        <v>502.2</v>
      </c>
      <c r="Q4425" s="29" t="n">
        <v>0</v>
      </c>
      <c r="R4425" s="29" t="n">
        <v>0</v>
      </c>
      <c r="S4425" s="29" t="n">
        <v>0</v>
      </c>
      <c r="T4425" t="inlineStr">
        <is>
          <t>25260959256389000183570010000005331000170959</t>
        </is>
      </c>
      <c r="U4425" t="inlineStr">
        <is>
          <t>Sim</t>
        </is>
      </c>
    </row>
    <row r="4426">
      <c r="A4426" t="inlineStr">
        <is>
          <t>Frete de venda</t>
        </is>
      </c>
      <c r="B4426" t="inlineStr">
        <is>
          <t>2.01.02 Frete sobre Vendas</t>
        </is>
      </c>
      <c r="C4426" s="30" t="n">
        <v>46266</v>
      </c>
      <c r="D4426" t="inlineStr">
        <is>
          <t>Em 2026</t>
        </is>
      </c>
      <c r="E4426" s="28" t="n">
        <v>46269</v>
      </c>
      <c r="F4426" t="inlineStr">
        <is>
          <t>CT-e</t>
        </is>
      </c>
      <c r="G4426" t="inlineStr">
        <is>
          <t>000000534</t>
        </is>
      </c>
      <c r="H4426" t="inlineStr">
        <is>
          <t>DURA MAIS TRANSPORTES LTDA</t>
        </is>
      </c>
      <c r="J4426" s="29" t="n">
        <v>4185</v>
      </c>
      <c r="K4426" s="29">
        <f>(1-ISNUMBER(SEARCH("556",M4426)))*(O4426*SUMIFS(Premissas!$C$5:$C$44,Premissas!$A$5:$A$44,$A4426,Premissas!$B$5:$B$44,$B4426)+P4426*SUMIFS(Premissas!$D$5:$D$44,Premissas!$A$5:$A$44,$A4426,Premissas!$B$5:$B$44,$B4426))+R4426*SUMIFS(Premissas!$E$5:$E$44,Premissas!$A$5:$A$44,$A4426,Premissas!$B$5:$B$44,$B4426)+S4426*SUMIFS(Premissas!$F$5:$F$44,Premissas!$A$5:$A$44,$A4426,Premissas!$B$5:$B$44,$B4426)</f>
        <v/>
      </c>
      <c r="L4426" s="29">
        <f>J4426-K4426</f>
        <v/>
      </c>
      <c r="M4426" t="inlineStr">
        <is>
          <t>2.350</t>
        </is>
      </c>
      <c r="N4426" t="inlineStr">
        <is>
          <t>Modalidade: 0 - Por conta do remetente | Parte: TORRES DISTRIBUIDORA ATACADISTA DE EMBALAGENS PLASTICAS ... (26.748.294/0001-28)</t>
        </is>
      </c>
      <c r="O4426" s="29" t="n">
        <v>0</v>
      </c>
      <c r="P4426" s="29" t="n">
        <v>502.2</v>
      </c>
      <c r="Q4426" s="29" t="n">
        <v>0</v>
      </c>
      <c r="R4426" s="29" t="n">
        <v>0</v>
      </c>
      <c r="S4426" s="29" t="n">
        <v>0</v>
      </c>
      <c r="T4426" t="inlineStr">
        <is>
          <t>25260959256389000183570010000005341001401030</t>
        </is>
      </c>
      <c r="U4426" t="inlineStr">
        <is>
          <t>Sim</t>
        </is>
      </c>
    </row>
    <row r="4427">
      <c r="A4427" t="inlineStr">
        <is>
          <t>Frete de venda</t>
        </is>
      </c>
      <c r="B4427" t="inlineStr">
        <is>
          <t>2.01.02 Frete sobre Vendas</t>
        </is>
      </c>
      <c r="C4427" s="30" t="n">
        <v>46266</v>
      </c>
      <c r="D4427" t="inlineStr">
        <is>
          <t>Em 2026</t>
        </is>
      </c>
      <c r="E4427" s="28" t="n">
        <v>46269</v>
      </c>
      <c r="F4427" t="inlineStr">
        <is>
          <t>CT-e</t>
        </is>
      </c>
      <c r="G4427" t="inlineStr">
        <is>
          <t>000000538</t>
        </is>
      </c>
      <c r="H4427" t="inlineStr">
        <is>
          <t>DURA MAIS TRANSPORTES LTDA</t>
        </is>
      </c>
      <c r="J4427" s="29" t="n">
        <v>4640.6</v>
      </c>
      <c r="K4427" s="29">
        <f>(1-ISNUMBER(SEARCH("556",M4427)))*(O4427*SUMIFS(Premissas!$C$5:$C$44,Premissas!$A$5:$A$44,$A4427,Premissas!$B$5:$B$44,$B4427)+P4427*SUMIFS(Premissas!$D$5:$D$44,Premissas!$A$5:$A$44,$A4427,Premissas!$B$5:$B$44,$B4427))+R4427*SUMIFS(Premissas!$E$5:$E$44,Premissas!$A$5:$A$44,$A4427,Premissas!$B$5:$B$44,$B4427)+S4427*SUMIFS(Premissas!$F$5:$F$44,Premissas!$A$5:$A$44,$A4427,Premissas!$B$5:$B$44,$B4427)</f>
        <v/>
      </c>
      <c r="L4427" s="29">
        <f>J4427-K4427</f>
        <v/>
      </c>
      <c r="M4427" t="inlineStr">
        <is>
          <t>2.350</t>
        </is>
      </c>
      <c r="N4427" t="inlineStr">
        <is>
          <t>Modalidade: 0 - Por conta do remetente | Parte: BRASILPLAST EMBALAGENS E DESCARTAVEIS LTDA (02.771.903/0001-00)</t>
        </is>
      </c>
      <c r="O4427" s="29" t="n">
        <v>0</v>
      </c>
      <c r="P4427" s="29" t="n">
        <v>556.87</v>
      </c>
      <c r="Q4427" s="29" t="n">
        <v>0</v>
      </c>
      <c r="R4427" s="29" t="n">
        <v>0</v>
      </c>
      <c r="S4427" s="29" t="n">
        <v>0</v>
      </c>
      <c r="T4427" t="inlineStr">
        <is>
          <t>25260959256389000183570010000005381001301352</t>
        </is>
      </c>
      <c r="U4427" t="inlineStr">
        <is>
          <t>Sim</t>
        </is>
      </c>
    </row>
    <row r="4428">
      <c r="A4428" t="inlineStr">
        <is>
          <t>Frete de venda</t>
        </is>
      </c>
      <c r="B4428" t="inlineStr">
        <is>
          <t>2.01.02 Frete sobre Vendas</t>
        </is>
      </c>
      <c r="C4428" s="30" t="n">
        <v>46266</v>
      </c>
      <c r="D4428" t="inlineStr">
        <is>
          <t>Em 2026</t>
        </is>
      </c>
      <c r="E4428" s="28" t="n">
        <v>46269</v>
      </c>
      <c r="F4428" t="inlineStr">
        <is>
          <t>CT-e</t>
        </is>
      </c>
      <c r="G4428" t="inlineStr">
        <is>
          <t>000000539</t>
        </is>
      </c>
      <c r="H4428" t="inlineStr">
        <is>
          <t>DURA MAIS TRANSPORTES LTDA</t>
        </is>
      </c>
      <c r="J4428" s="29" t="n">
        <v>1856.24</v>
      </c>
      <c r="K4428" s="29">
        <f>(1-ISNUMBER(SEARCH("556",M4428)))*(O4428*SUMIFS(Premissas!$C$5:$C$44,Premissas!$A$5:$A$44,$A4428,Premissas!$B$5:$B$44,$B4428)+P4428*SUMIFS(Premissas!$D$5:$D$44,Premissas!$A$5:$A$44,$A4428,Premissas!$B$5:$B$44,$B4428))+R4428*SUMIFS(Premissas!$E$5:$E$44,Premissas!$A$5:$A$44,$A4428,Premissas!$B$5:$B$44,$B4428)+S4428*SUMIFS(Premissas!$F$5:$F$44,Premissas!$A$5:$A$44,$A4428,Premissas!$B$5:$B$44,$B4428)</f>
        <v/>
      </c>
      <c r="L4428" s="29">
        <f>J4428-K4428</f>
        <v/>
      </c>
      <c r="M4428" t="inlineStr">
        <is>
          <t>2.350</t>
        </is>
      </c>
      <c r="N4428" t="inlineStr">
        <is>
          <t>Modalidade: 0 - Por conta do remetente | Parte: ROSANGELA CLEMENCIA NASCIMENTO BONFIM (25.976.846/0001-92)</t>
        </is>
      </c>
      <c r="O4428" s="29" t="n">
        <v>0</v>
      </c>
      <c r="P4428" s="29" t="n">
        <v>222.75</v>
      </c>
      <c r="Q4428" s="29" t="n">
        <v>0</v>
      </c>
      <c r="R4428" s="29" t="n">
        <v>0</v>
      </c>
      <c r="S4428" s="29" t="n">
        <v>0</v>
      </c>
      <c r="T4428" t="inlineStr">
        <is>
          <t>25260959256389000183570010000005391000140700</t>
        </is>
      </c>
      <c r="U4428" t="inlineStr">
        <is>
          <t>Sim</t>
        </is>
      </c>
    </row>
    <row r="4429">
      <c r="A4429" t="inlineStr">
        <is>
          <t>Frete de venda</t>
        </is>
      </c>
      <c r="B4429" t="inlineStr">
        <is>
          <t>2.01.02 Frete sobre Vendas</t>
        </is>
      </c>
      <c r="C4429" s="30" t="n">
        <v>46266</v>
      </c>
      <c r="D4429" t="inlineStr">
        <is>
          <t>Em 2026</t>
        </is>
      </c>
      <c r="E4429" s="28" t="n">
        <v>46269</v>
      </c>
      <c r="F4429" t="inlineStr">
        <is>
          <t>CT-e</t>
        </is>
      </c>
      <c r="G4429" t="inlineStr">
        <is>
          <t>000000540</t>
        </is>
      </c>
      <c r="H4429" t="inlineStr">
        <is>
          <t>DURA MAIS TRANSPORTES LTDA</t>
        </is>
      </c>
      <c r="J4429" s="29" t="n">
        <v>1856.24</v>
      </c>
      <c r="K4429" s="29">
        <f>(1-ISNUMBER(SEARCH("556",M4429)))*(O4429*SUMIFS(Premissas!$C$5:$C$44,Premissas!$A$5:$A$44,$A4429,Premissas!$B$5:$B$44,$B4429)+P4429*SUMIFS(Premissas!$D$5:$D$44,Premissas!$A$5:$A$44,$A4429,Premissas!$B$5:$B$44,$B4429))+R4429*SUMIFS(Premissas!$E$5:$E$44,Premissas!$A$5:$A$44,$A4429,Premissas!$B$5:$B$44,$B4429)+S4429*SUMIFS(Premissas!$F$5:$F$44,Premissas!$A$5:$A$44,$A4429,Premissas!$B$5:$B$44,$B4429)</f>
        <v/>
      </c>
      <c r="L4429" s="29">
        <f>J4429-K4429</f>
        <v/>
      </c>
      <c r="M4429" t="inlineStr">
        <is>
          <t>2.350</t>
        </is>
      </c>
      <c r="N4429" t="inlineStr">
        <is>
          <t>Modalidade: 0 - Por conta do remetente | Parte: OPM PRODUTOS ALIMENTICIOS LTDA (22.660.471/0001-69)</t>
        </is>
      </c>
      <c r="O4429" s="29" t="n">
        <v>0</v>
      </c>
      <c r="P4429" s="29" t="n">
        <v>222.75</v>
      </c>
      <c r="Q4429" s="29" t="n">
        <v>0</v>
      </c>
      <c r="R4429" s="29" t="n">
        <v>0</v>
      </c>
      <c r="S4429" s="29" t="n">
        <v>0</v>
      </c>
      <c r="T4429" t="inlineStr">
        <is>
          <t>25260959256389000183570010000005401000110780</t>
        </is>
      </c>
      <c r="U4429" t="inlineStr">
        <is>
          <t>Sim</t>
        </is>
      </c>
    </row>
    <row r="4430">
      <c r="A4430" t="inlineStr">
        <is>
          <t>Frete de venda</t>
        </is>
      </c>
      <c r="B4430" t="inlineStr">
        <is>
          <t>2.01.02 Frete sobre Vendas</t>
        </is>
      </c>
      <c r="C4430" s="30" t="n">
        <v>46266</v>
      </c>
      <c r="D4430" t="inlineStr">
        <is>
          <t>Em 2026</t>
        </is>
      </c>
      <c r="E4430" s="28" t="n">
        <v>46269</v>
      </c>
      <c r="F4430" t="inlineStr">
        <is>
          <t>CT-e</t>
        </is>
      </c>
      <c r="G4430" t="inlineStr">
        <is>
          <t>000000541</t>
        </is>
      </c>
      <c r="H4430" t="inlineStr">
        <is>
          <t>DURA MAIS TRANSPORTES LTDA</t>
        </is>
      </c>
      <c r="J4430" s="29" t="n">
        <v>1856.24</v>
      </c>
      <c r="K4430" s="29">
        <f>(1-ISNUMBER(SEARCH("556",M4430)))*(O4430*SUMIFS(Premissas!$C$5:$C$44,Premissas!$A$5:$A$44,$A4430,Premissas!$B$5:$B$44,$B4430)+P4430*SUMIFS(Premissas!$D$5:$D$44,Premissas!$A$5:$A$44,$A4430,Premissas!$B$5:$B$44,$B4430))+R4430*SUMIFS(Premissas!$E$5:$E$44,Premissas!$A$5:$A$44,$A4430,Premissas!$B$5:$B$44,$B4430)+S4430*SUMIFS(Premissas!$F$5:$F$44,Premissas!$A$5:$A$44,$A4430,Premissas!$B$5:$B$44,$B4430)</f>
        <v/>
      </c>
      <c r="L4430" s="29">
        <f>J4430-K4430</f>
        <v/>
      </c>
      <c r="M4430" t="inlineStr">
        <is>
          <t>2.350</t>
        </is>
      </c>
      <c r="N4430" t="inlineStr">
        <is>
          <t>Modalidade: 0 - Por conta do remetente | Parte: R S P CASSIMIRO DOCE FESTA (27.217.296/0001-53)</t>
        </is>
      </c>
      <c r="O4430" s="29" t="n">
        <v>0</v>
      </c>
      <c r="P4430" s="29" t="n">
        <v>222.75</v>
      </c>
      <c r="Q4430" s="29" t="n">
        <v>0</v>
      </c>
      <c r="R4430" s="29" t="n">
        <v>0</v>
      </c>
      <c r="S4430" s="29" t="n">
        <v>0</v>
      </c>
      <c r="T4430" t="inlineStr">
        <is>
          <t>25260959256389000183570010000005411000190862</t>
        </is>
      </c>
      <c r="U4430" t="inlineStr">
        <is>
          <t>Sim</t>
        </is>
      </c>
    </row>
    <row r="4431">
      <c r="A4431" t="inlineStr">
        <is>
          <t>Frete de venda</t>
        </is>
      </c>
      <c r="B4431" t="inlineStr">
        <is>
          <t>2.01.02 Frete sobre Vendas</t>
        </is>
      </c>
      <c r="C4431" s="30" t="n">
        <v>46266</v>
      </c>
      <c r="D4431" t="inlineStr">
        <is>
          <t>Em 2026</t>
        </is>
      </c>
      <c r="E4431" s="28" t="n">
        <v>46269</v>
      </c>
      <c r="F4431" t="inlineStr">
        <is>
          <t>CT-e</t>
        </is>
      </c>
      <c r="G4431" t="inlineStr">
        <is>
          <t>000000542</t>
        </is>
      </c>
      <c r="H4431" t="inlineStr">
        <is>
          <t>DURA MAIS TRANSPORTES LTDA</t>
        </is>
      </c>
      <c r="J4431" s="29" t="n">
        <v>1856.24</v>
      </c>
      <c r="K4431" s="29">
        <f>(1-ISNUMBER(SEARCH("556",M4431)))*(O4431*SUMIFS(Premissas!$C$5:$C$44,Premissas!$A$5:$A$44,$A4431,Premissas!$B$5:$B$44,$B4431)+P4431*SUMIFS(Premissas!$D$5:$D$44,Premissas!$A$5:$A$44,$A4431,Premissas!$B$5:$B$44,$B4431))+R4431*SUMIFS(Premissas!$E$5:$E$44,Premissas!$A$5:$A$44,$A4431,Premissas!$B$5:$B$44,$B4431)+S4431*SUMIFS(Premissas!$F$5:$F$44,Premissas!$A$5:$A$44,$A4431,Premissas!$B$5:$B$44,$B4431)</f>
        <v/>
      </c>
      <c r="L4431" s="29">
        <f>J4431-K4431</f>
        <v/>
      </c>
      <c r="M4431" t="inlineStr">
        <is>
          <t>2.350</t>
        </is>
      </c>
      <c r="N4431" t="inlineStr">
        <is>
          <t>Modalidade: 0 - Por conta do remetente | Parte: EMPORIUM DAS GULOSEIMAS FESTAS E DECORACOES LTDA (13.151.187/0001-76)</t>
        </is>
      </c>
      <c r="O4431" s="29" t="n">
        <v>0</v>
      </c>
      <c r="P4431" s="29" t="n">
        <v>222.75</v>
      </c>
      <c r="Q4431" s="29" t="n">
        <v>0</v>
      </c>
      <c r="R4431" s="29" t="n">
        <v>0</v>
      </c>
      <c r="S4431" s="29" t="n">
        <v>0</v>
      </c>
      <c r="T4431" t="inlineStr">
        <is>
          <t>25260959256389000183570010000005421000160944</t>
        </is>
      </c>
      <c r="U4431" t="inlineStr">
        <is>
          <t>Sim</t>
        </is>
      </c>
    </row>
    <row r="4432">
      <c r="A4432" t="inlineStr">
        <is>
          <t>Frete de venda</t>
        </is>
      </c>
      <c r="B4432" t="inlineStr">
        <is>
          <t>2.01.02 Frete sobre Vendas</t>
        </is>
      </c>
      <c r="C4432" s="30" t="n">
        <v>46266</v>
      </c>
      <c r="D4432" t="inlineStr">
        <is>
          <t>Em 2026</t>
        </is>
      </c>
      <c r="E4432" s="28" t="n">
        <v>46269</v>
      </c>
      <c r="F4432" t="inlineStr">
        <is>
          <t>CT-e</t>
        </is>
      </c>
      <c r="G4432" t="inlineStr">
        <is>
          <t>000000543</t>
        </is>
      </c>
      <c r="H4432" t="inlineStr">
        <is>
          <t>DURA MAIS TRANSPORTES LTDA</t>
        </is>
      </c>
      <c r="J4432" s="29" t="n">
        <v>1856.24</v>
      </c>
      <c r="K4432" s="29">
        <f>(1-ISNUMBER(SEARCH("556",M4432)))*(O4432*SUMIFS(Premissas!$C$5:$C$44,Premissas!$A$5:$A$44,$A4432,Premissas!$B$5:$B$44,$B4432)+P4432*SUMIFS(Premissas!$D$5:$D$44,Premissas!$A$5:$A$44,$A4432,Premissas!$B$5:$B$44,$B4432))+R4432*SUMIFS(Premissas!$E$5:$E$44,Premissas!$A$5:$A$44,$A4432,Premissas!$B$5:$B$44,$B4432)+S4432*SUMIFS(Premissas!$F$5:$F$44,Premissas!$A$5:$A$44,$A4432,Premissas!$B$5:$B$44,$B4432)</f>
        <v/>
      </c>
      <c r="L4432" s="29">
        <f>J4432-K4432</f>
        <v/>
      </c>
      <c r="M4432" t="inlineStr">
        <is>
          <t>2.350</t>
        </is>
      </c>
      <c r="N4432" t="inlineStr">
        <is>
          <t>Modalidade: 0 - Por conta do remetente | Parte: EMBALANORTE DE JANAUBA LTDA (26.783.338/0001-50)</t>
        </is>
      </c>
      <c r="O4432" s="29" t="n">
        <v>0</v>
      </c>
      <c r="P4432" s="29" t="n">
        <v>222.75</v>
      </c>
      <c r="Q4432" s="29" t="n">
        <v>0</v>
      </c>
      <c r="R4432" s="29" t="n">
        <v>0</v>
      </c>
      <c r="S4432" s="29" t="n">
        <v>0</v>
      </c>
      <c r="T4432" t="inlineStr">
        <is>
          <t>25260959256389000183570010000005431001301026</t>
        </is>
      </c>
      <c r="U4432" t="inlineStr">
        <is>
          <t>Sim</t>
        </is>
      </c>
    </row>
    <row r="4433">
      <c r="A4433" t="inlineStr">
        <is>
          <t>Frete de venda</t>
        </is>
      </c>
      <c r="B4433" t="inlineStr">
        <is>
          <t>2.01.02 Frete sobre Vendas</t>
        </is>
      </c>
      <c r="C4433" s="30" t="n">
        <v>46266</v>
      </c>
      <c r="D4433" t="inlineStr">
        <is>
          <t>Em 2026</t>
        </is>
      </c>
      <c r="E4433" s="28" t="n">
        <v>46269</v>
      </c>
      <c r="F4433" t="inlineStr">
        <is>
          <t>CT-e</t>
        </is>
      </c>
      <c r="G4433" t="inlineStr">
        <is>
          <t>000000544</t>
        </is>
      </c>
      <c r="H4433" t="inlineStr">
        <is>
          <t>DURA MAIS TRANSPORTES LTDA</t>
        </is>
      </c>
      <c r="J4433" s="29" t="n">
        <v>928.2</v>
      </c>
      <c r="K4433" s="29">
        <f>(1-ISNUMBER(SEARCH("556",M4433)))*(O4433*SUMIFS(Premissas!$C$5:$C$44,Premissas!$A$5:$A$44,$A4433,Premissas!$B$5:$B$44,$B4433)+P4433*SUMIFS(Premissas!$D$5:$D$44,Premissas!$A$5:$A$44,$A4433,Premissas!$B$5:$B$44,$B4433))+R4433*SUMIFS(Premissas!$E$5:$E$44,Premissas!$A$5:$A$44,$A4433,Premissas!$B$5:$B$44,$B4433)+S4433*SUMIFS(Premissas!$F$5:$F$44,Premissas!$A$5:$A$44,$A4433,Premissas!$B$5:$B$44,$B4433)</f>
        <v/>
      </c>
      <c r="L4433" s="29">
        <f>J4433-K4433</f>
        <v/>
      </c>
      <c r="M4433" t="inlineStr">
        <is>
          <t>2.350</t>
        </is>
      </c>
      <c r="N4433" t="inlineStr">
        <is>
          <t>Modalidade: 0 - Por conta do remetente | Parte: ROMANA FESTAS LTDA (03.767.778/0001-19)</t>
        </is>
      </c>
      <c r="O4433" s="29" t="n">
        <v>0</v>
      </c>
      <c r="P4433" s="29" t="n">
        <v>111.38</v>
      </c>
      <c r="Q4433" s="29" t="n">
        <v>0</v>
      </c>
      <c r="R4433" s="29" t="n">
        <v>0</v>
      </c>
      <c r="S4433" s="29" t="n">
        <v>0</v>
      </c>
      <c r="T4433" t="inlineStr">
        <is>
          <t>25260959256389000183570010000005441000101101</t>
        </is>
      </c>
      <c r="U4433" t="inlineStr">
        <is>
          <t>Sim</t>
        </is>
      </c>
    </row>
    <row r="4434">
      <c r="A4434" t="inlineStr">
        <is>
          <t>Frete de venda</t>
        </is>
      </c>
      <c r="B4434" t="inlineStr">
        <is>
          <t>2.01.02 Frete sobre Vendas</t>
        </is>
      </c>
      <c r="C4434" s="30" t="n">
        <v>46266</v>
      </c>
      <c r="D4434" t="inlineStr">
        <is>
          <t>Em 2026</t>
        </is>
      </c>
      <c r="E4434" s="28" t="n">
        <v>46269</v>
      </c>
      <c r="F4434" t="inlineStr">
        <is>
          <t>CT-e</t>
        </is>
      </c>
      <c r="G4434" t="inlineStr">
        <is>
          <t>000000547</t>
        </is>
      </c>
      <c r="H4434" t="inlineStr">
        <is>
          <t>DURA MAIS TRANSPORTES LTDA</t>
        </is>
      </c>
      <c r="J4434" s="29" t="n">
        <v>1869.29</v>
      </c>
      <c r="K4434" s="29">
        <f>(1-ISNUMBER(SEARCH("556",M4434)))*(O4434*SUMIFS(Premissas!$C$5:$C$44,Premissas!$A$5:$A$44,$A4434,Premissas!$B$5:$B$44,$B4434)+P4434*SUMIFS(Premissas!$D$5:$D$44,Premissas!$A$5:$A$44,$A4434,Premissas!$B$5:$B$44,$B4434))+R4434*SUMIFS(Premissas!$E$5:$E$44,Premissas!$A$5:$A$44,$A4434,Premissas!$B$5:$B$44,$B4434)+S4434*SUMIFS(Premissas!$F$5:$F$44,Premissas!$A$5:$A$44,$A4434,Premissas!$B$5:$B$44,$B4434)</f>
        <v/>
      </c>
      <c r="L4434" s="29">
        <f>J4434-K4434</f>
        <v/>
      </c>
      <c r="M4434" t="inlineStr">
        <is>
          <t>2.350</t>
        </is>
      </c>
      <c r="N4434" t="inlineStr">
        <is>
          <t>Modalidade: 0 - Por conta do remetente | Parte: HENRYPACK COMERCIO DE EMBALAGENS LTDA (31.403.310/0001-80)</t>
        </is>
      </c>
      <c r="O4434" s="29" t="n">
        <v>0</v>
      </c>
      <c r="P4434" s="29" t="n">
        <v>224.31</v>
      </c>
      <c r="Q4434" s="29" t="n">
        <v>0</v>
      </c>
      <c r="R4434" s="29" t="n">
        <v>0</v>
      </c>
      <c r="S4434" s="29" t="n">
        <v>0</v>
      </c>
      <c r="T4434" t="inlineStr">
        <is>
          <t>25260959256389000183570010000005471011001423</t>
        </is>
      </c>
      <c r="U4434" t="inlineStr">
        <is>
          <t>Sim</t>
        </is>
      </c>
    </row>
    <row r="4435">
      <c r="A4435" t="inlineStr">
        <is>
          <t>Frete de venda</t>
        </is>
      </c>
      <c r="B4435" t="inlineStr">
        <is>
          <t>2.01.02 Frete sobre Vendas</t>
        </is>
      </c>
      <c r="C4435" s="30" t="n">
        <v>46266</v>
      </c>
      <c r="D4435" t="inlineStr">
        <is>
          <t>Em 2026</t>
        </is>
      </c>
      <c r="E4435" s="28" t="n">
        <v>46269</v>
      </c>
      <c r="F4435" t="inlineStr">
        <is>
          <t>CT-e</t>
        </is>
      </c>
      <c r="G4435" t="inlineStr">
        <is>
          <t>000000548</t>
        </is>
      </c>
      <c r="H4435" t="inlineStr">
        <is>
          <t>DURA MAIS TRANSPORTES LTDA</t>
        </is>
      </c>
      <c r="J4435" s="29" t="n">
        <v>1869.22</v>
      </c>
      <c r="K4435" s="29">
        <f>(1-ISNUMBER(SEARCH("556",M4435)))*(O4435*SUMIFS(Premissas!$C$5:$C$44,Premissas!$A$5:$A$44,$A4435,Premissas!$B$5:$B$44,$B4435)+P4435*SUMIFS(Premissas!$D$5:$D$44,Premissas!$A$5:$A$44,$A4435,Premissas!$B$5:$B$44,$B4435))+R4435*SUMIFS(Premissas!$E$5:$E$44,Premissas!$A$5:$A$44,$A4435,Premissas!$B$5:$B$44,$B4435)+S4435*SUMIFS(Premissas!$F$5:$F$44,Premissas!$A$5:$A$44,$A4435,Premissas!$B$5:$B$44,$B4435)</f>
        <v/>
      </c>
      <c r="L4435" s="29">
        <f>J4435-K4435</f>
        <v/>
      </c>
      <c r="M4435" t="inlineStr">
        <is>
          <t>2.350</t>
        </is>
      </c>
      <c r="N4435" t="inlineStr">
        <is>
          <t>Modalidade: 0 - Por conta do remetente | Parte: RJ DISTRIBUIDORA DE PRODUTOS ALIMENTICIOS LTDA (39.531.876/0001-08)</t>
        </is>
      </c>
      <c r="O4435" s="29" t="n">
        <v>0</v>
      </c>
      <c r="P4435" s="29" t="n">
        <v>224.31</v>
      </c>
      <c r="Q4435" s="29" t="n">
        <v>0</v>
      </c>
      <c r="R4435" s="29" t="n">
        <v>0</v>
      </c>
      <c r="S4435" s="29" t="n">
        <v>0</v>
      </c>
      <c r="T4435" t="inlineStr">
        <is>
          <t>25260959256389000183570010000005481000010776</t>
        </is>
      </c>
      <c r="U4435" t="inlineStr">
        <is>
          <t>Sim</t>
        </is>
      </c>
    </row>
    <row r="4436">
      <c r="A4436" t="inlineStr">
        <is>
          <t>Frete de venda</t>
        </is>
      </c>
      <c r="B4436" t="inlineStr">
        <is>
          <t>2.01.02 Frete sobre Vendas</t>
        </is>
      </c>
      <c r="C4436" s="30" t="n">
        <v>46266</v>
      </c>
      <c r="D4436" t="inlineStr">
        <is>
          <t>Em 2026</t>
        </is>
      </c>
      <c r="E4436" s="28" t="n">
        <v>46269</v>
      </c>
      <c r="F4436" t="inlineStr">
        <is>
          <t>CT-e</t>
        </is>
      </c>
      <c r="G4436" t="inlineStr">
        <is>
          <t>000000549</t>
        </is>
      </c>
      <c r="H4436" t="inlineStr">
        <is>
          <t>DURA MAIS TRANSPORTES LTDA</t>
        </is>
      </c>
      <c r="J4436" s="29" t="n">
        <v>1869.22</v>
      </c>
      <c r="K4436" s="29">
        <f>(1-ISNUMBER(SEARCH("556",M4436)))*(O4436*SUMIFS(Premissas!$C$5:$C$44,Premissas!$A$5:$A$44,$A4436,Premissas!$B$5:$B$44,$B4436)+P4436*SUMIFS(Premissas!$D$5:$D$44,Premissas!$A$5:$A$44,$A4436,Premissas!$B$5:$B$44,$B4436))+R4436*SUMIFS(Premissas!$E$5:$E$44,Premissas!$A$5:$A$44,$A4436,Premissas!$B$5:$B$44,$B4436)+S4436*SUMIFS(Premissas!$F$5:$F$44,Premissas!$A$5:$A$44,$A4436,Premissas!$B$5:$B$44,$B4436)</f>
        <v/>
      </c>
      <c r="L4436" s="29">
        <f>J4436-K4436</f>
        <v/>
      </c>
      <c r="M4436" t="inlineStr">
        <is>
          <t>2.350</t>
        </is>
      </c>
      <c r="N4436" t="inlineStr">
        <is>
          <t>Modalidade: 0 - Por conta do remetente | Parte: L S FERREIRA EMBALAGENS, FRIOS E LATICINIOS LTDA (34.037.235/0001-70)</t>
        </is>
      </c>
      <c r="O4436" s="29" t="n">
        <v>0</v>
      </c>
      <c r="P4436" s="29" t="n">
        <v>224.31</v>
      </c>
      <c r="Q4436" s="29" t="n">
        <v>0</v>
      </c>
      <c r="R4436" s="29" t="n">
        <v>0</v>
      </c>
      <c r="S4436" s="29" t="n">
        <v>0</v>
      </c>
      <c r="T4436" t="inlineStr">
        <is>
          <t>25260959256389000183570010000005491000180857</t>
        </is>
      </c>
      <c r="U4436" t="inlineStr">
        <is>
          <t>Sim</t>
        </is>
      </c>
    </row>
    <row r="4437">
      <c r="A4437" t="inlineStr">
        <is>
          <t>Frete de venda</t>
        </is>
      </c>
      <c r="B4437" t="inlineStr">
        <is>
          <t>2.01.02 Frete sobre Vendas</t>
        </is>
      </c>
      <c r="C4437" s="30" t="n">
        <v>46266</v>
      </c>
      <c r="D4437" t="inlineStr">
        <is>
          <t>Em 2026</t>
        </is>
      </c>
      <c r="E4437" s="28" t="n">
        <v>46269</v>
      </c>
      <c r="F4437" t="inlineStr">
        <is>
          <t>CT-e</t>
        </is>
      </c>
      <c r="G4437" t="inlineStr">
        <is>
          <t>000000550</t>
        </is>
      </c>
      <c r="H4437" t="inlineStr">
        <is>
          <t>DURA MAIS TRANSPORTES LTDA</t>
        </is>
      </c>
      <c r="J4437" s="29" t="n">
        <v>1869.22</v>
      </c>
      <c r="K4437" s="29">
        <f>(1-ISNUMBER(SEARCH("556",M4437)))*(O4437*SUMIFS(Premissas!$C$5:$C$44,Premissas!$A$5:$A$44,$A4437,Premissas!$B$5:$B$44,$B4437)+P4437*SUMIFS(Premissas!$D$5:$D$44,Premissas!$A$5:$A$44,$A4437,Premissas!$B$5:$B$44,$B4437))+R4437*SUMIFS(Premissas!$E$5:$E$44,Premissas!$A$5:$A$44,$A4437,Premissas!$B$5:$B$44,$B4437)+S4437*SUMIFS(Premissas!$F$5:$F$44,Premissas!$A$5:$A$44,$A4437,Premissas!$B$5:$B$44,$B4437)</f>
        <v/>
      </c>
      <c r="L4437" s="29">
        <f>J4437-K4437</f>
        <v/>
      </c>
      <c r="M4437" t="inlineStr">
        <is>
          <t>2.350</t>
        </is>
      </c>
      <c r="N4437" t="inlineStr">
        <is>
          <t>Modalidade: 0 - Por conta do remetente | Parte: A C CAMPOS SOARES VIANA LTDA (01.513.007/0001-70)</t>
        </is>
      </c>
      <c r="O4437" s="29" t="n">
        <v>0</v>
      </c>
      <c r="P4437" s="29" t="n">
        <v>224.31</v>
      </c>
      <c r="Q4437" s="29" t="n">
        <v>0</v>
      </c>
      <c r="R4437" s="29" t="n">
        <v>0</v>
      </c>
      <c r="S4437" s="29" t="n">
        <v>0</v>
      </c>
      <c r="T4437" t="inlineStr">
        <is>
          <t>25260959256389000183570010000005501000150932</t>
        </is>
      </c>
      <c r="U4437" t="inlineStr">
        <is>
          <t>Sim</t>
        </is>
      </c>
    </row>
    <row r="4438">
      <c r="A4438" t="inlineStr">
        <is>
          <t>Frete de venda</t>
        </is>
      </c>
      <c r="B4438" t="inlineStr">
        <is>
          <t>2.01.02 Frete sobre Vendas</t>
        </is>
      </c>
      <c r="C4438" s="30" t="n">
        <v>46266</v>
      </c>
      <c r="D4438" t="inlineStr">
        <is>
          <t>Em 2026</t>
        </is>
      </c>
      <c r="E4438" s="28" t="n">
        <v>46269</v>
      </c>
      <c r="F4438" t="inlineStr">
        <is>
          <t>CT-e</t>
        </is>
      </c>
      <c r="G4438" t="inlineStr">
        <is>
          <t>000000551</t>
        </is>
      </c>
      <c r="H4438" t="inlineStr">
        <is>
          <t>DURA MAIS TRANSPORTES LTDA</t>
        </is>
      </c>
      <c r="J4438" s="29" t="n">
        <v>1869.22</v>
      </c>
      <c r="K4438" s="29">
        <f>(1-ISNUMBER(SEARCH("556",M4438)))*(O4438*SUMIFS(Premissas!$C$5:$C$44,Premissas!$A$5:$A$44,$A4438,Premissas!$B$5:$B$44,$B4438)+P4438*SUMIFS(Premissas!$D$5:$D$44,Premissas!$A$5:$A$44,$A4438,Premissas!$B$5:$B$44,$B4438))+R4438*SUMIFS(Premissas!$E$5:$E$44,Premissas!$A$5:$A$44,$A4438,Premissas!$B$5:$B$44,$B4438)+S4438*SUMIFS(Premissas!$F$5:$F$44,Premissas!$A$5:$A$44,$A4438,Premissas!$B$5:$B$44,$B4438)</f>
        <v/>
      </c>
      <c r="L4438" s="29">
        <f>J4438-K4438</f>
        <v/>
      </c>
      <c r="M4438" t="inlineStr">
        <is>
          <t>2.350</t>
        </is>
      </c>
      <c r="N4438" t="inlineStr">
        <is>
          <t>Modalidade: 0 - Por conta do remetente | Parte: SILPLAST EMBALAGENS LTDA (67.567.382/0001-00)</t>
        </is>
      </c>
      <c r="O4438" s="29" t="n">
        <v>0</v>
      </c>
      <c r="P4438" s="29" t="n">
        <v>224.31</v>
      </c>
      <c r="Q4438" s="29" t="n">
        <v>0</v>
      </c>
      <c r="R4438" s="29" t="n">
        <v>0</v>
      </c>
      <c r="S4438" s="29" t="n">
        <v>0</v>
      </c>
      <c r="T4438" t="inlineStr">
        <is>
          <t>25260959256389000183570010000005511001201015</t>
        </is>
      </c>
      <c r="U4438" t="inlineStr">
        <is>
          <t>Sim</t>
        </is>
      </c>
    </row>
    <row r="4439">
      <c r="A4439" t="inlineStr">
        <is>
          <t>Frete de venda</t>
        </is>
      </c>
      <c r="B4439" t="inlineStr">
        <is>
          <t>2.01.02 Frete sobre Vendas</t>
        </is>
      </c>
      <c r="C4439" s="30" t="n">
        <v>46266</v>
      </c>
      <c r="D4439" t="inlineStr">
        <is>
          <t>Em 2026</t>
        </is>
      </c>
      <c r="E4439" s="28" t="n">
        <v>46269</v>
      </c>
      <c r="F4439" t="inlineStr">
        <is>
          <t>CT-e</t>
        </is>
      </c>
      <c r="G4439" t="inlineStr">
        <is>
          <t>000000552</t>
        </is>
      </c>
      <c r="H4439" t="inlineStr">
        <is>
          <t>DURA MAIS TRANSPORTES LTDA</t>
        </is>
      </c>
      <c r="J4439" s="29" t="n">
        <v>934.61</v>
      </c>
      <c r="K4439" s="29">
        <f>(1-ISNUMBER(SEARCH("556",M4439)))*(O4439*SUMIFS(Premissas!$C$5:$C$44,Premissas!$A$5:$A$44,$A4439,Premissas!$B$5:$B$44,$B4439)+P4439*SUMIFS(Premissas!$D$5:$D$44,Premissas!$A$5:$A$44,$A4439,Premissas!$B$5:$B$44,$B4439))+R4439*SUMIFS(Premissas!$E$5:$E$44,Premissas!$A$5:$A$44,$A4439,Premissas!$B$5:$B$44,$B4439)+S4439*SUMIFS(Premissas!$F$5:$F$44,Premissas!$A$5:$A$44,$A4439,Premissas!$B$5:$B$44,$B4439)</f>
        <v/>
      </c>
      <c r="L4439" s="29">
        <f>J4439-K4439</f>
        <v/>
      </c>
      <c r="M4439" t="inlineStr">
        <is>
          <t>2.350</t>
        </is>
      </c>
      <c r="N4439" t="inlineStr">
        <is>
          <t>Modalidade: 0 - Por conta do remetente | Parte: CAITTO PALHARES DA SILVA 05668249735 (26.647.620/0001-00)</t>
        </is>
      </c>
      <c r="O4439" s="29" t="n">
        <v>0</v>
      </c>
      <c r="P4439" s="29" t="n">
        <v>112.15</v>
      </c>
      <c r="Q4439" s="29" t="n">
        <v>0</v>
      </c>
      <c r="R4439" s="29" t="n">
        <v>0</v>
      </c>
      <c r="S4439" s="29" t="n">
        <v>0</v>
      </c>
      <c r="T4439" t="inlineStr">
        <is>
          <t>25260959256389000183570010000005521011001091</t>
        </is>
      </c>
      <c r="U4439" t="inlineStr">
        <is>
          <t>Sim</t>
        </is>
      </c>
    </row>
    <row r="4440">
      <c r="A4440" t="inlineStr">
        <is>
          <t>Frete de venda</t>
        </is>
      </c>
      <c r="B4440" t="inlineStr">
        <is>
          <t>2.01.02 Frete sobre Vendas</t>
        </is>
      </c>
      <c r="C4440" s="30" t="n">
        <v>46266</v>
      </c>
      <c r="D4440" t="inlineStr">
        <is>
          <t>Em 2026</t>
        </is>
      </c>
      <c r="E4440" s="28" t="n">
        <v>46269</v>
      </c>
      <c r="F4440" t="inlineStr">
        <is>
          <t>CT-e</t>
        </is>
      </c>
      <c r="G4440" t="inlineStr">
        <is>
          <t>000000553</t>
        </is>
      </c>
      <c r="H4440" t="inlineStr">
        <is>
          <t>DURA MAIS TRANSPORTES LTDA</t>
        </is>
      </c>
      <c r="J4440" s="29" t="n">
        <v>1869.22</v>
      </c>
      <c r="K4440" s="29">
        <f>(1-ISNUMBER(SEARCH("556",M4440)))*(O4440*SUMIFS(Premissas!$C$5:$C$44,Premissas!$A$5:$A$44,$A4440,Premissas!$B$5:$B$44,$B4440)+P4440*SUMIFS(Premissas!$D$5:$D$44,Premissas!$A$5:$A$44,$A4440,Premissas!$B$5:$B$44,$B4440))+R4440*SUMIFS(Premissas!$E$5:$E$44,Premissas!$A$5:$A$44,$A4440,Premissas!$B$5:$B$44,$B4440)+S4440*SUMIFS(Premissas!$F$5:$F$44,Premissas!$A$5:$A$44,$A4440,Premissas!$B$5:$B$44,$B4440)</f>
        <v/>
      </c>
      <c r="L4440" s="29">
        <f>J4440-K4440</f>
        <v/>
      </c>
      <c r="M4440" t="inlineStr">
        <is>
          <t>2.350</t>
        </is>
      </c>
      <c r="N4440" t="inlineStr">
        <is>
          <t>Modalidade: 0 - Por conta do remetente | Parte: WELLINGTON PEREIRA DE SOUZA (13.354.012/0001-66)</t>
        </is>
      </c>
      <c r="O4440" s="29" t="n">
        <v>0</v>
      </c>
      <c r="P4440" s="29" t="n">
        <v>224.31</v>
      </c>
      <c r="Q4440" s="29" t="n">
        <v>0</v>
      </c>
      <c r="R4440" s="29" t="n">
        <v>0</v>
      </c>
      <c r="S4440" s="29" t="n">
        <v>0</v>
      </c>
      <c r="T4440" t="inlineStr">
        <is>
          <t>25260959256389000183570010000005531001701179</t>
        </is>
      </c>
      <c r="U4440" t="inlineStr">
        <is>
          <t>Sim</t>
        </is>
      </c>
    </row>
    <row r="4441">
      <c r="A4441" t="inlineStr">
        <is>
          <t>Frete de venda</t>
        </is>
      </c>
      <c r="B4441" t="inlineStr">
        <is>
          <t>2.01.02 Frete sobre Vendas</t>
        </is>
      </c>
      <c r="C4441" s="30" t="n">
        <v>46266</v>
      </c>
      <c r="D4441" t="inlineStr">
        <is>
          <t>Em 2026</t>
        </is>
      </c>
      <c r="E4441" s="28" t="n">
        <v>46269</v>
      </c>
      <c r="F4441" t="inlineStr">
        <is>
          <t>CT-e</t>
        </is>
      </c>
      <c r="G4441" t="inlineStr">
        <is>
          <t>000000555</t>
        </is>
      </c>
      <c r="H4441" t="inlineStr">
        <is>
          <t>DURA MAIS TRANSPORTES LTDA</t>
        </is>
      </c>
      <c r="J4441" s="29" t="n">
        <v>8100</v>
      </c>
      <c r="K4441" s="29">
        <f>(1-ISNUMBER(SEARCH("556",M4441)))*(O4441*SUMIFS(Premissas!$C$5:$C$44,Premissas!$A$5:$A$44,$A4441,Premissas!$B$5:$B$44,$B4441)+P4441*SUMIFS(Premissas!$D$5:$D$44,Premissas!$A$5:$A$44,$A4441,Premissas!$B$5:$B$44,$B4441))+R4441*SUMIFS(Premissas!$E$5:$E$44,Premissas!$A$5:$A$44,$A4441,Premissas!$B$5:$B$44,$B4441)+S4441*SUMIFS(Premissas!$F$5:$F$44,Premissas!$A$5:$A$44,$A4441,Premissas!$B$5:$B$44,$B4441)</f>
        <v/>
      </c>
      <c r="L4441" s="29">
        <f>J4441-K4441</f>
        <v/>
      </c>
      <c r="M4441" t="inlineStr">
        <is>
          <t>2.350</t>
        </is>
      </c>
      <c r="N4441" t="inlineStr">
        <is>
          <t>Modalidade: 0 - Por conta do remetente | Parte: SAL DA TERRA COMERCIO DESCARTAVEIS LTDA (12.076.153/0001-00)</t>
        </is>
      </c>
      <c r="O4441" s="29" t="n">
        <v>0</v>
      </c>
      <c r="P4441" s="29" t="n">
        <v>972</v>
      </c>
      <c r="Q4441" s="29" t="n">
        <v>0</v>
      </c>
      <c r="R4441" s="29" t="n">
        <v>0</v>
      </c>
      <c r="S4441" s="29" t="n">
        <v>0</v>
      </c>
      <c r="T4441" t="inlineStr">
        <is>
          <t>25260959256389000183570010000005551001101338</t>
        </is>
      </c>
      <c r="U4441" t="inlineStr">
        <is>
          <t>Sim</t>
        </is>
      </c>
    </row>
    <row r="4442">
      <c r="A4442" t="inlineStr">
        <is>
          <t>Frete de venda</t>
        </is>
      </c>
      <c r="B4442" t="inlineStr">
        <is>
          <t>2.01.02 Frete sobre Vendas</t>
        </is>
      </c>
      <c r="C4442" s="30" t="n">
        <v>46266</v>
      </c>
      <c r="D4442" t="inlineStr">
        <is>
          <t>Em 2026</t>
        </is>
      </c>
      <c r="E4442" s="28" t="n">
        <v>46269</v>
      </c>
      <c r="F4442" t="inlineStr">
        <is>
          <t>CT-e</t>
        </is>
      </c>
      <c r="G4442" t="inlineStr">
        <is>
          <t>000000556</t>
        </is>
      </c>
      <c r="H4442" t="inlineStr">
        <is>
          <t>DURA MAIS TRANSPORTES LTDA</t>
        </is>
      </c>
      <c r="J4442" s="29" t="n">
        <v>8100</v>
      </c>
      <c r="K4442" s="29">
        <f>(1-ISNUMBER(SEARCH("556",M4442)))*(O4442*SUMIFS(Premissas!$C$5:$C$44,Premissas!$A$5:$A$44,$A4442,Premissas!$B$5:$B$44,$B4442)+P4442*SUMIFS(Premissas!$D$5:$D$44,Premissas!$A$5:$A$44,$A4442,Premissas!$B$5:$B$44,$B4442))+R4442*SUMIFS(Premissas!$E$5:$E$44,Premissas!$A$5:$A$44,$A4442,Premissas!$B$5:$B$44,$B4442)+S4442*SUMIFS(Premissas!$F$5:$F$44,Premissas!$A$5:$A$44,$A4442,Premissas!$B$5:$B$44,$B4442)</f>
        <v/>
      </c>
      <c r="L4442" s="29">
        <f>J4442-K4442</f>
        <v/>
      </c>
      <c r="M4442" t="inlineStr">
        <is>
          <t>2.350</t>
        </is>
      </c>
      <c r="N4442" t="inlineStr">
        <is>
          <t>Modalidade: 0 - Por conta do remetente | Parte: ARMOL COMERCIO E DISTRIBUIDORA LTDA (00.321.104/0001-06)</t>
        </is>
      </c>
      <c r="O4442" s="29" t="n">
        <v>0</v>
      </c>
      <c r="P4442" s="29" t="n">
        <v>972</v>
      </c>
      <c r="Q4442" s="29" t="n">
        <v>0</v>
      </c>
      <c r="R4442" s="29" t="n">
        <v>0</v>
      </c>
      <c r="S4442" s="29" t="n">
        <v>0</v>
      </c>
      <c r="T4442" t="inlineStr">
        <is>
          <t>25260959256389000183570010000005561001901412</t>
        </is>
      </c>
      <c r="U4442" t="inlineStr">
        <is>
          <t>Sim</t>
        </is>
      </c>
    </row>
    <row r="4443">
      <c r="A4443" t="inlineStr">
        <is>
          <t>Frete de venda</t>
        </is>
      </c>
      <c r="B4443" t="inlineStr">
        <is>
          <t>2.01.02 Frete sobre Vendas</t>
        </is>
      </c>
      <c r="C4443" s="30" t="n">
        <v>46266</v>
      </c>
      <c r="D4443" t="inlineStr">
        <is>
          <t>Em 2026</t>
        </is>
      </c>
      <c r="E4443" s="28" t="n">
        <v>46275</v>
      </c>
      <c r="F4443" t="inlineStr">
        <is>
          <t>CT-e</t>
        </is>
      </c>
      <c r="G4443" t="inlineStr">
        <is>
          <t>000000583</t>
        </is>
      </c>
      <c r="H4443" t="inlineStr">
        <is>
          <t>DURA MAIS TRANSPORTES LTDA</t>
        </is>
      </c>
      <c r="J4443" s="29" t="n">
        <v>945</v>
      </c>
      <c r="K4443" s="29">
        <f>(1-ISNUMBER(SEARCH("556",M4443)))*(O4443*SUMIFS(Premissas!$C$5:$C$44,Premissas!$A$5:$A$44,$A4443,Premissas!$B$5:$B$44,$B4443)+P4443*SUMIFS(Premissas!$D$5:$D$44,Premissas!$A$5:$A$44,$A4443,Premissas!$B$5:$B$44,$B4443))+R4443*SUMIFS(Premissas!$E$5:$E$44,Premissas!$A$5:$A$44,$A4443,Premissas!$B$5:$B$44,$B4443)+S4443*SUMIFS(Premissas!$F$5:$F$44,Premissas!$A$5:$A$44,$A4443,Premissas!$B$5:$B$44,$B4443)</f>
        <v/>
      </c>
      <c r="L4443" s="29">
        <f>J4443-K4443</f>
        <v/>
      </c>
      <c r="M4443" t="inlineStr">
        <is>
          <t>2.350</t>
        </is>
      </c>
      <c r="N4443" t="inlineStr">
        <is>
          <t>Modalidade: 0 - Por conta do remetente | Parte: DISTRIMEDIC DISTRIBUIDORA DE PRODUTOS FARMACEUTICOS LTDA (26.689.902/0001-70)</t>
        </is>
      </c>
      <c r="O4443" s="29" t="n">
        <v>0</v>
      </c>
      <c r="P4443" s="29" t="n">
        <v>113.4</v>
      </c>
      <c r="Q4443" s="29" t="n">
        <v>0</v>
      </c>
      <c r="R4443" s="29" t="n">
        <v>0</v>
      </c>
      <c r="S4443" s="29" t="n">
        <v>0</v>
      </c>
      <c r="T4443" t="inlineStr">
        <is>
          <t>25260959256389000183570010000005831001401697</t>
        </is>
      </c>
      <c r="U4443" t="inlineStr">
        <is>
          <t>Sim</t>
        </is>
      </c>
    </row>
    <row r="4444">
      <c r="A4444" t="inlineStr">
        <is>
          <t>Frete de venda</t>
        </is>
      </c>
      <c r="B4444" t="inlineStr">
        <is>
          <t>2.01.02 Frete sobre Vendas</t>
        </is>
      </c>
      <c r="C4444" s="30" t="n">
        <v>46266</v>
      </c>
      <c r="D4444" t="inlineStr">
        <is>
          <t>Em 2026</t>
        </is>
      </c>
      <c r="E4444" s="28" t="n">
        <v>46275</v>
      </c>
      <c r="F4444" t="inlineStr">
        <is>
          <t>CT-e</t>
        </is>
      </c>
      <c r="G4444" t="inlineStr">
        <is>
          <t>000000584</t>
        </is>
      </c>
      <c r="H4444" t="inlineStr">
        <is>
          <t>DURA MAIS TRANSPORTES LTDA</t>
        </is>
      </c>
      <c r="J4444" s="29" t="n">
        <v>945</v>
      </c>
      <c r="K4444" s="29">
        <f>(1-ISNUMBER(SEARCH("556",M4444)))*(O4444*SUMIFS(Premissas!$C$5:$C$44,Premissas!$A$5:$A$44,$A4444,Premissas!$B$5:$B$44,$B4444)+P4444*SUMIFS(Premissas!$D$5:$D$44,Premissas!$A$5:$A$44,$A4444,Premissas!$B$5:$B$44,$B4444))+R4444*SUMIFS(Premissas!$E$5:$E$44,Premissas!$A$5:$A$44,$A4444,Premissas!$B$5:$B$44,$B4444)+S4444*SUMIFS(Premissas!$F$5:$F$44,Premissas!$A$5:$A$44,$A4444,Premissas!$B$5:$B$44,$B4444)</f>
        <v/>
      </c>
      <c r="L4444" s="29">
        <f>J4444-K4444</f>
        <v/>
      </c>
      <c r="M4444" t="inlineStr">
        <is>
          <t>2.350</t>
        </is>
      </c>
      <c r="N4444" t="inlineStr">
        <is>
          <t>Modalidade: 0 - Por conta do remetente | Parte: UP DISTRIBUIDORA DE PRODUTOS DESCARTAVEIS LTDA (12.423.997/0001-71)</t>
        </is>
      </c>
      <c r="O4444" s="29" t="n">
        <v>0</v>
      </c>
      <c r="P4444" s="29" t="n">
        <v>113.4</v>
      </c>
      <c r="Q4444" s="29" t="n">
        <v>0</v>
      </c>
      <c r="R4444" s="29" t="n">
        <v>0</v>
      </c>
      <c r="S4444" s="29" t="n">
        <v>0</v>
      </c>
      <c r="T4444" t="inlineStr">
        <is>
          <t>25260959256389000183570010000005841001101771</t>
        </is>
      </c>
      <c r="U4444" t="inlineStr">
        <is>
          <t>Sim</t>
        </is>
      </c>
    </row>
    <row r="4445">
      <c r="A4445" t="inlineStr">
        <is>
          <t>Frete de venda</t>
        </is>
      </c>
      <c r="B4445" t="inlineStr">
        <is>
          <t>2.01.02 Frete sobre Vendas</t>
        </is>
      </c>
      <c r="C4445" s="30" t="n">
        <v>46266</v>
      </c>
      <c r="D4445" t="inlineStr">
        <is>
          <t>Em 2026</t>
        </is>
      </c>
      <c r="E4445" s="28" t="n">
        <v>46275</v>
      </c>
      <c r="F4445" t="inlineStr">
        <is>
          <t>CT-e</t>
        </is>
      </c>
      <c r="G4445" t="inlineStr">
        <is>
          <t>000000585</t>
        </is>
      </c>
      <c r="H4445" t="inlineStr">
        <is>
          <t>DURA MAIS TRANSPORTES LTDA</t>
        </is>
      </c>
      <c r="J4445" s="29" t="n">
        <v>945</v>
      </c>
      <c r="K4445" s="29">
        <f>(1-ISNUMBER(SEARCH("556",M4445)))*(O4445*SUMIFS(Premissas!$C$5:$C$44,Premissas!$A$5:$A$44,$A4445,Premissas!$B$5:$B$44,$B4445)+P4445*SUMIFS(Premissas!$D$5:$D$44,Premissas!$A$5:$A$44,$A4445,Premissas!$B$5:$B$44,$B4445))+R4445*SUMIFS(Premissas!$E$5:$E$44,Premissas!$A$5:$A$44,$A4445,Premissas!$B$5:$B$44,$B4445)+S4445*SUMIFS(Premissas!$F$5:$F$44,Premissas!$A$5:$A$44,$A4445,Premissas!$B$5:$B$44,$B4445)</f>
        <v/>
      </c>
      <c r="L4445" s="29">
        <f>J4445-K4445</f>
        <v/>
      </c>
      <c r="M4445" t="inlineStr">
        <is>
          <t>2.350</t>
        </is>
      </c>
      <c r="N4445" t="inlineStr">
        <is>
          <t>Modalidade: 0 - Por conta do remetente | Parte: PLASTIPEL EMBALAGENS E DESCARTAVEIS (36.091.781/0001-14)</t>
        </is>
      </c>
      <c r="O4445" s="29" t="n">
        <v>0</v>
      </c>
      <c r="P4445" s="29" t="n">
        <v>113.4</v>
      </c>
      <c r="Q4445" s="29" t="n">
        <v>0</v>
      </c>
      <c r="R4445" s="29" t="n">
        <v>0</v>
      </c>
      <c r="S4445" s="29" t="n">
        <v>0</v>
      </c>
      <c r="T4445" t="inlineStr">
        <is>
          <t>25260959256389000183570010000005851001201129</t>
        </is>
      </c>
      <c r="U4445" t="inlineStr">
        <is>
          <t>Sim</t>
        </is>
      </c>
    </row>
    <row r="4446">
      <c r="A4446" t="inlineStr">
        <is>
          <t>Frete de venda</t>
        </is>
      </c>
      <c r="B4446" t="inlineStr">
        <is>
          <t>2.01.02 Frete sobre Vendas</t>
        </is>
      </c>
      <c r="C4446" s="30" t="n">
        <v>46266</v>
      </c>
      <c r="D4446" t="inlineStr">
        <is>
          <t>Em 2026</t>
        </is>
      </c>
      <c r="E4446" s="28" t="n">
        <v>46275</v>
      </c>
      <c r="F4446" t="inlineStr">
        <is>
          <t>CT-e</t>
        </is>
      </c>
      <c r="G4446" t="inlineStr">
        <is>
          <t>000000586</t>
        </is>
      </c>
      <c r="H4446" t="inlineStr">
        <is>
          <t>DURA MAIS TRANSPORTES LTDA</t>
        </is>
      </c>
      <c r="J4446" s="29" t="n">
        <v>945</v>
      </c>
      <c r="K4446" s="29">
        <f>(1-ISNUMBER(SEARCH("556",M4446)))*(O4446*SUMIFS(Premissas!$C$5:$C$44,Premissas!$A$5:$A$44,$A4446,Premissas!$B$5:$B$44,$B4446)+P4446*SUMIFS(Premissas!$D$5:$D$44,Premissas!$A$5:$A$44,$A4446,Premissas!$B$5:$B$44,$B4446))+R4446*SUMIFS(Premissas!$E$5:$E$44,Premissas!$A$5:$A$44,$A4446,Premissas!$B$5:$B$44,$B4446)+S4446*SUMIFS(Premissas!$F$5:$F$44,Premissas!$A$5:$A$44,$A4446,Premissas!$B$5:$B$44,$B4446)</f>
        <v/>
      </c>
      <c r="L4446" s="29">
        <f>J4446-K4446</f>
        <v/>
      </c>
      <c r="M4446" t="inlineStr">
        <is>
          <t>2.350</t>
        </is>
      </c>
      <c r="N4446" t="inlineStr">
        <is>
          <t>Modalidade: 0 - Por conta do remetente | Parte: EDIVALDO BATISTA DOS SANTOS EMBALAGENS LTDA (03.624.188/0001-37)</t>
        </is>
      </c>
      <c r="O4446" s="29" t="n">
        <v>0</v>
      </c>
      <c r="P4446" s="29" t="n">
        <v>113.4</v>
      </c>
      <c r="Q4446" s="29" t="n">
        <v>0</v>
      </c>
      <c r="R4446" s="29" t="n">
        <v>0</v>
      </c>
      <c r="S4446" s="29" t="n">
        <v>0</v>
      </c>
      <c r="T4446" t="inlineStr">
        <is>
          <t>25260959256389000183570010000005861011001200</t>
        </is>
      </c>
      <c r="U4446" t="inlineStr">
        <is>
          <t>Sim</t>
        </is>
      </c>
    </row>
    <row r="4447">
      <c r="A4447" t="inlineStr">
        <is>
          <t>Frete de venda</t>
        </is>
      </c>
      <c r="B4447" t="inlineStr">
        <is>
          <t>2.01.02 Frete sobre Vendas</t>
        </is>
      </c>
      <c r="C4447" s="30" t="n">
        <v>46266</v>
      </c>
      <c r="D4447" t="inlineStr">
        <is>
          <t>Em 2026</t>
        </is>
      </c>
      <c r="E4447" s="28" t="n">
        <v>46275</v>
      </c>
      <c r="F4447" t="inlineStr">
        <is>
          <t>CT-e</t>
        </is>
      </c>
      <c r="G4447" t="inlineStr">
        <is>
          <t>000000587</t>
        </is>
      </c>
      <c r="H4447" t="inlineStr">
        <is>
          <t>DURA MAIS TRANSPORTES LTDA</t>
        </is>
      </c>
      <c r="J4447" s="29" t="n">
        <v>945</v>
      </c>
      <c r="K4447" s="29">
        <f>(1-ISNUMBER(SEARCH("556",M4447)))*(O4447*SUMIFS(Premissas!$C$5:$C$44,Premissas!$A$5:$A$44,$A4447,Premissas!$B$5:$B$44,$B4447)+P4447*SUMIFS(Premissas!$D$5:$D$44,Premissas!$A$5:$A$44,$A4447,Premissas!$B$5:$B$44,$B4447))+R4447*SUMIFS(Premissas!$E$5:$E$44,Premissas!$A$5:$A$44,$A4447,Premissas!$B$5:$B$44,$B4447)+S4447*SUMIFS(Premissas!$F$5:$F$44,Premissas!$A$5:$A$44,$A4447,Premissas!$B$5:$B$44,$B4447)</f>
        <v/>
      </c>
      <c r="L4447" s="29">
        <f>J4447-K4447</f>
        <v/>
      </c>
      <c r="M4447" t="inlineStr">
        <is>
          <t>2.350</t>
        </is>
      </c>
      <c r="N4447" t="inlineStr">
        <is>
          <t>Modalidade: 0 - Por conta do remetente | Parte: TREVO COMERCIO DE EMBALAGENS LTDA (08.178.510/0001-65)</t>
        </is>
      </c>
      <c r="O4447" s="29" t="n">
        <v>0</v>
      </c>
      <c r="P4447" s="29" t="n">
        <v>113.4</v>
      </c>
      <c r="Q4447" s="29" t="n">
        <v>0</v>
      </c>
      <c r="R4447" s="29" t="n">
        <v>0</v>
      </c>
      <c r="S4447" s="29" t="n">
        <v>0</v>
      </c>
      <c r="T4447" t="inlineStr">
        <is>
          <t>25260959256389000183570010000005871001701282</t>
        </is>
      </c>
      <c r="U4447" t="inlineStr">
        <is>
          <t>Sim</t>
        </is>
      </c>
    </row>
    <row r="4448">
      <c r="A4448" t="inlineStr">
        <is>
          <t>Frete de venda</t>
        </is>
      </c>
      <c r="B4448" t="inlineStr">
        <is>
          <t>2.01.02 Frete sobre Vendas</t>
        </is>
      </c>
      <c r="C4448" s="30" t="n">
        <v>46266</v>
      </c>
      <c r="D4448" t="inlineStr">
        <is>
          <t>Em 2026</t>
        </is>
      </c>
      <c r="E4448" s="28" t="n">
        <v>46275</v>
      </c>
      <c r="F4448" t="inlineStr">
        <is>
          <t>CT-e</t>
        </is>
      </c>
      <c r="G4448" t="inlineStr">
        <is>
          <t>000000605</t>
        </is>
      </c>
      <c r="H4448" t="inlineStr">
        <is>
          <t>DURA MAIS TRANSPORTES LTDA</t>
        </is>
      </c>
      <c r="J4448" s="29" t="n">
        <v>977.58</v>
      </c>
      <c r="K4448" s="29">
        <f>(1-ISNUMBER(SEARCH("556",M4448)))*(O4448*SUMIFS(Premissas!$C$5:$C$44,Premissas!$A$5:$A$44,$A4448,Premissas!$B$5:$B$44,$B4448)+P4448*SUMIFS(Premissas!$D$5:$D$44,Premissas!$A$5:$A$44,$A4448,Premissas!$B$5:$B$44,$B4448))+R4448*SUMIFS(Premissas!$E$5:$E$44,Premissas!$A$5:$A$44,$A4448,Premissas!$B$5:$B$44,$B4448)+S4448*SUMIFS(Premissas!$F$5:$F$44,Premissas!$A$5:$A$44,$A4448,Premissas!$B$5:$B$44,$B4448)</f>
        <v/>
      </c>
      <c r="L4448" s="29">
        <f>J4448-K4448</f>
        <v/>
      </c>
      <c r="M4448" t="inlineStr">
        <is>
          <t>2.350</t>
        </is>
      </c>
      <c r="N4448" t="inlineStr">
        <is>
          <t>Modalidade: 0 - Por conta do remetente | Parte: EMBALAGENS E LIMPEZA CALDAS LTDA (13.675.064/0001-34)</t>
        </is>
      </c>
      <c r="O4448" s="29" t="n">
        <v>0</v>
      </c>
      <c r="P4448" s="29" t="n">
        <v>117.31</v>
      </c>
      <c r="Q4448" s="29" t="n">
        <v>0</v>
      </c>
      <c r="R4448" s="29" t="n">
        <v>0</v>
      </c>
      <c r="S4448" s="29" t="n">
        <v>0</v>
      </c>
      <c r="T4448" t="inlineStr">
        <is>
          <t>25260959256389000183570010000006051011001097</t>
        </is>
      </c>
      <c r="U4448" t="inlineStr">
        <is>
          <t>Sim</t>
        </is>
      </c>
    </row>
    <row r="4449">
      <c r="A4449" t="inlineStr">
        <is>
          <t>Frete de venda</t>
        </is>
      </c>
      <c r="B4449" t="inlineStr">
        <is>
          <t>2.01.02 Frete sobre Vendas</t>
        </is>
      </c>
      <c r="C4449" s="30" t="n">
        <v>46266</v>
      </c>
      <c r="D4449" t="inlineStr">
        <is>
          <t>Em 2026</t>
        </is>
      </c>
      <c r="E4449" s="28" t="n">
        <v>46275</v>
      </c>
      <c r="F4449" t="inlineStr">
        <is>
          <t>CT-e</t>
        </is>
      </c>
      <c r="G4449" t="inlineStr">
        <is>
          <t>000000606</t>
        </is>
      </c>
      <c r="H4449" t="inlineStr">
        <is>
          <t>DURA MAIS TRANSPORTES LTDA</t>
        </is>
      </c>
      <c r="J4449" s="29" t="n">
        <v>488.79</v>
      </c>
      <c r="K4449" s="29">
        <f>(1-ISNUMBER(SEARCH("556",M4449)))*(O4449*SUMIFS(Premissas!$C$5:$C$44,Premissas!$A$5:$A$44,$A4449,Premissas!$B$5:$B$44,$B4449)+P4449*SUMIFS(Premissas!$D$5:$D$44,Premissas!$A$5:$A$44,$A4449,Premissas!$B$5:$B$44,$B4449))+R4449*SUMIFS(Premissas!$E$5:$E$44,Premissas!$A$5:$A$44,$A4449,Premissas!$B$5:$B$44,$B4449)+S4449*SUMIFS(Premissas!$F$5:$F$44,Premissas!$A$5:$A$44,$A4449,Premissas!$B$5:$B$44,$B4449)</f>
        <v/>
      </c>
      <c r="L4449" s="29">
        <f>J4449-K4449</f>
        <v/>
      </c>
      <c r="M4449" t="inlineStr">
        <is>
          <t>2.350</t>
        </is>
      </c>
      <c r="N4449" t="inlineStr">
        <is>
          <t>Modalidade: 0 - Por conta do remetente | Parte: HIPER FORTES EMBALAGENS LTDA (52.913.587/0001-23)</t>
        </is>
      </c>
      <c r="O4449" s="29" t="n">
        <v>0</v>
      </c>
      <c r="P4449" s="29" t="n">
        <v>58.65</v>
      </c>
      <c r="Q4449" s="29" t="n">
        <v>0</v>
      </c>
      <c r="R4449" s="29" t="n">
        <v>0</v>
      </c>
      <c r="S4449" s="29" t="n">
        <v>0</v>
      </c>
      <c r="T4449" t="inlineStr">
        <is>
          <t>25260959256389000183570010000006061001701174</t>
        </is>
      </c>
      <c r="U4449" t="inlineStr">
        <is>
          <t>Sim</t>
        </is>
      </c>
    </row>
    <row r="4450">
      <c r="A4450" t="inlineStr">
        <is>
          <t>Frete de venda</t>
        </is>
      </c>
      <c r="B4450" t="inlineStr">
        <is>
          <t>2.01.02 Frete sobre Vendas</t>
        </is>
      </c>
      <c r="C4450" s="30" t="n">
        <v>46266</v>
      </c>
      <c r="D4450" t="inlineStr">
        <is>
          <t>Em 2026</t>
        </is>
      </c>
      <c r="E4450" s="28" t="n">
        <v>46275</v>
      </c>
      <c r="F4450" t="inlineStr">
        <is>
          <t>CT-e</t>
        </is>
      </c>
      <c r="G4450" t="inlineStr">
        <is>
          <t>000000607</t>
        </is>
      </c>
      <c r="H4450" t="inlineStr">
        <is>
          <t>DURA MAIS TRANSPORTES LTDA</t>
        </is>
      </c>
      <c r="J4450" s="29" t="n">
        <v>488.79</v>
      </c>
      <c r="K4450" s="29">
        <f>(1-ISNUMBER(SEARCH("556",M4450)))*(O4450*SUMIFS(Premissas!$C$5:$C$44,Premissas!$A$5:$A$44,$A4450,Premissas!$B$5:$B$44,$B4450)+P4450*SUMIFS(Premissas!$D$5:$D$44,Premissas!$A$5:$A$44,$A4450,Premissas!$B$5:$B$44,$B4450))+R4450*SUMIFS(Premissas!$E$5:$E$44,Premissas!$A$5:$A$44,$A4450,Premissas!$B$5:$B$44,$B4450)+S4450*SUMIFS(Premissas!$F$5:$F$44,Premissas!$A$5:$A$44,$A4450,Premissas!$B$5:$B$44,$B4450)</f>
        <v/>
      </c>
      <c r="L4450" s="29">
        <f>J4450-K4450</f>
        <v/>
      </c>
      <c r="M4450" t="inlineStr">
        <is>
          <t>2.350</t>
        </is>
      </c>
      <c r="N4450" t="inlineStr">
        <is>
          <t>Modalidade: 0 - Por conta do remetente | Parte: JG EMBALAGENS LTDA (26.672.298/0001-70)</t>
        </is>
      </c>
      <c r="O4450" s="29" t="n">
        <v>0</v>
      </c>
      <c r="P4450" s="29" t="n">
        <v>58.65</v>
      </c>
      <c r="Q4450" s="29" t="n">
        <v>0</v>
      </c>
      <c r="R4450" s="29" t="n">
        <v>0</v>
      </c>
      <c r="S4450" s="29" t="n">
        <v>0</v>
      </c>
      <c r="T4450" t="inlineStr">
        <is>
          <t>25260959256389000183570010000006071001401259</t>
        </is>
      </c>
      <c r="U4450" t="inlineStr">
        <is>
          <t>Sim</t>
        </is>
      </c>
    </row>
    <row r="4451">
      <c r="A4451" t="inlineStr">
        <is>
          <t>Frete de venda</t>
        </is>
      </c>
      <c r="B4451" t="inlineStr">
        <is>
          <t>2.01.02 Frete sobre Vendas</t>
        </is>
      </c>
      <c r="C4451" s="30" t="n">
        <v>46266</v>
      </c>
      <c r="D4451" t="inlineStr">
        <is>
          <t>Em 2026</t>
        </is>
      </c>
      <c r="E4451" s="28" t="n">
        <v>46275</v>
      </c>
      <c r="F4451" t="inlineStr">
        <is>
          <t>CT-e</t>
        </is>
      </c>
      <c r="G4451" t="inlineStr">
        <is>
          <t>000000608</t>
        </is>
      </c>
      <c r="H4451" t="inlineStr">
        <is>
          <t>DURA MAIS TRANSPORTES LTDA</t>
        </is>
      </c>
      <c r="J4451" s="29" t="n">
        <v>977.67</v>
      </c>
      <c r="K4451" s="29">
        <f>(1-ISNUMBER(SEARCH("556",M4451)))*(O4451*SUMIFS(Premissas!$C$5:$C$44,Premissas!$A$5:$A$44,$A4451,Premissas!$B$5:$B$44,$B4451)+P4451*SUMIFS(Premissas!$D$5:$D$44,Premissas!$A$5:$A$44,$A4451,Premissas!$B$5:$B$44,$B4451))+R4451*SUMIFS(Premissas!$E$5:$E$44,Premissas!$A$5:$A$44,$A4451,Premissas!$B$5:$B$44,$B4451)+S4451*SUMIFS(Premissas!$F$5:$F$44,Premissas!$A$5:$A$44,$A4451,Premissas!$B$5:$B$44,$B4451)</f>
        <v/>
      </c>
      <c r="L4451" s="29">
        <f>J4451-K4451</f>
        <v/>
      </c>
      <c r="M4451" t="inlineStr">
        <is>
          <t>2.350</t>
        </is>
      </c>
      <c r="N4451" t="inlineStr">
        <is>
          <t>Modalidade: 0 - Por conta do remetente | Parte: CRISTIANE PEREIRA DE SOUZA LTDA (23.466.524/0001-78)</t>
        </is>
      </c>
      <c r="O4451" s="29" t="n">
        <v>0</v>
      </c>
      <c r="P4451" s="29" t="n">
        <v>117.32</v>
      </c>
      <c r="Q4451" s="29" t="n">
        <v>0</v>
      </c>
      <c r="R4451" s="29" t="n">
        <v>0</v>
      </c>
      <c r="S4451" s="29" t="n">
        <v>0</v>
      </c>
      <c r="T4451" t="inlineStr">
        <is>
          <t>25260959256389000183570010000006081001101333</t>
        </is>
      </c>
      <c r="U4451" t="inlineStr">
        <is>
          <t>Sim</t>
        </is>
      </c>
    </row>
    <row r="4452">
      <c r="A4452" t="inlineStr">
        <is>
          <t>Frete de venda</t>
        </is>
      </c>
      <c r="B4452" t="inlineStr">
        <is>
          <t>2.01.02 Frete sobre Vendas</t>
        </is>
      </c>
      <c r="C4452" s="30" t="n">
        <v>46266</v>
      </c>
      <c r="D4452" t="inlineStr">
        <is>
          <t>Em 2026</t>
        </is>
      </c>
      <c r="E4452" s="28" t="n">
        <v>46275</v>
      </c>
      <c r="F4452" t="inlineStr">
        <is>
          <t>CT-e</t>
        </is>
      </c>
      <c r="G4452" t="inlineStr">
        <is>
          <t>000000609</t>
        </is>
      </c>
      <c r="H4452" t="inlineStr">
        <is>
          <t>DURA MAIS TRANSPORTES LTDA</t>
        </is>
      </c>
      <c r="J4452" s="29" t="n">
        <v>488.79</v>
      </c>
      <c r="K4452" s="29">
        <f>(1-ISNUMBER(SEARCH("556",M4452)))*(O4452*SUMIFS(Premissas!$C$5:$C$44,Premissas!$A$5:$A$44,$A4452,Premissas!$B$5:$B$44,$B4452)+P4452*SUMIFS(Premissas!$D$5:$D$44,Premissas!$A$5:$A$44,$A4452,Premissas!$B$5:$B$44,$B4452))+R4452*SUMIFS(Premissas!$E$5:$E$44,Premissas!$A$5:$A$44,$A4452,Premissas!$B$5:$B$44,$B4452)+S4452*SUMIFS(Premissas!$F$5:$F$44,Premissas!$A$5:$A$44,$A4452,Premissas!$B$5:$B$44,$B4452)</f>
        <v/>
      </c>
      <c r="L4452" s="29">
        <f>J4452-K4452</f>
        <v/>
      </c>
      <c r="M4452" t="inlineStr">
        <is>
          <t>2.350</t>
        </is>
      </c>
      <c r="N4452" t="inlineStr">
        <is>
          <t>Modalidade: 0 - Por conta do remetente | Parte: ARMAZEM DO QUEIJO COMERCIO DE LATICINIOS LTDA (33.554.984/0001-01)</t>
        </is>
      </c>
      <c r="O4452" s="29" t="n">
        <v>0</v>
      </c>
      <c r="P4452" s="29" t="n">
        <v>58.65</v>
      </c>
      <c r="Q4452" s="29" t="n">
        <v>0</v>
      </c>
      <c r="R4452" s="29" t="n">
        <v>0</v>
      </c>
      <c r="S4452" s="29" t="n">
        <v>0</v>
      </c>
      <c r="T4452" t="inlineStr">
        <is>
          <t>25260959256389000183570010000006091001901418</t>
        </is>
      </c>
      <c r="U4452" t="inlineStr">
        <is>
          <t>Sim</t>
        </is>
      </c>
    </row>
    <row r="4453">
      <c r="A4453" t="inlineStr">
        <is>
          <t>Frete de venda</t>
        </is>
      </c>
      <c r="B4453" t="inlineStr">
        <is>
          <t>2.01.02 Frete sobre Vendas</t>
        </is>
      </c>
      <c r="C4453" s="30" t="n">
        <v>46266</v>
      </c>
      <c r="D4453" t="inlineStr">
        <is>
          <t>Em 2026</t>
        </is>
      </c>
      <c r="E4453" s="28" t="n">
        <v>46275</v>
      </c>
      <c r="F4453" t="inlineStr">
        <is>
          <t>CT-e</t>
        </is>
      </c>
      <c r="G4453" t="inlineStr">
        <is>
          <t>000000610</t>
        </is>
      </c>
      <c r="H4453" t="inlineStr">
        <is>
          <t>DURA MAIS TRANSPORTES LTDA</t>
        </is>
      </c>
      <c r="J4453" s="29" t="n">
        <v>977.58</v>
      </c>
      <c r="K4453" s="29">
        <f>(1-ISNUMBER(SEARCH("556",M4453)))*(O4453*SUMIFS(Premissas!$C$5:$C$44,Premissas!$A$5:$A$44,$A4453,Premissas!$B$5:$B$44,$B4453)+P4453*SUMIFS(Premissas!$D$5:$D$44,Premissas!$A$5:$A$44,$A4453,Premissas!$B$5:$B$44,$B4453))+R4453*SUMIFS(Premissas!$E$5:$E$44,Premissas!$A$5:$A$44,$A4453,Premissas!$B$5:$B$44,$B4453)+S4453*SUMIFS(Premissas!$F$5:$F$44,Premissas!$A$5:$A$44,$A4453,Premissas!$B$5:$B$44,$B4453)</f>
        <v/>
      </c>
      <c r="L4453" s="29">
        <f>J4453-K4453</f>
        <v/>
      </c>
      <c r="M4453" t="inlineStr">
        <is>
          <t>2.350</t>
        </is>
      </c>
      <c r="N4453" t="inlineStr">
        <is>
          <t>Modalidade: 0 - Por conta do remetente | Parte: IMPERIO COM. DE EMBALAGENS LTDA (37.566.553/0001-16)</t>
        </is>
      </c>
      <c r="O4453" s="29" t="n">
        <v>0</v>
      </c>
      <c r="P4453" s="29" t="n">
        <v>117.31</v>
      </c>
      <c r="Q4453" s="29" t="n">
        <v>0</v>
      </c>
      <c r="R4453" s="29" t="n">
        <v>0</v>
      </c>
      <c r="S4453" s="29" t="n">
        <v>0</v>
      </c>
      <c r="T4453" t="inlineStr">
        <is>
          <t>25260959256389000183570010000006101001100769</t>
        </is>
      </c>
      <c r="U4453" t="inlineStr">
        <is>
          <t>Sim</t>
        </is>
      </c>
    </row>
    <row r="4454">
      <c r="A4454" t="inlineStr">
        <is>
          <t>Frete de venda</t>
        </is>
      </c>
      <c r="B4454" t="inlineStr">
        <is>
          <t>2.01.02 Frete sobre Vendas</t>
        </is>
      </c>
      <c r="C4454" s="30" t="n">
        <v>46266</v>
      </c>
      <c r="D4454" t="inlineStr">
        <is>
          <t>Em 2026</t>
        </is>
      </c>
      <c r="E4454" s="28" t="n">
        <v>46275</v>
      </c>
      <c r="F4454" t="inlineStr">
        <is>
          <t>CT-e</t>
        </is>
      </c>
      <c r="G4454" t="inlineStr">
        <is>
          <t>000000611</t>
        </is>
      </c>
      <c r="H4454" t="inlineStr">
        <is>
          <t>DURA MAIS TRANSPORTES LTDA</t>
        </is>
      </c>
      <c r="J4454" s="29" t="n">
        <v>977.58</v>
      </c>
      <c r="K4454" s="29">
        <f>(1-ISNUMBER(SEARCH("556",M4454)))*(O4454*SUMIFS(Premissas!$C$5:$C$44,Premissas!$A$5:$A$44,$A4454,Premissas!$B$5:$B$44,$B4454)+P4454*SUMIFS(Premissas!$D$5:$D$44,Premissas!$A$5:$A$44,$A4454,Premissas!$B$5:$B$44,$B4454))+R4454*SUMIFS(Premissas!$E$5:$E$44,Premissas!$A$5:$A$44,$A4454,Premissas!$B$5:$B$44,$B4454)+S4454*SUMIFS(Premissas!$F$5:$F$44,Premissas!$A$5:$A$44,$A4454,Premissas!$B$5:$B$44,$B4454)</f>
        <v/>
      </c>
      <c r="L4454" s="29">
        <f>J4454-K4454</f>
        <v/>
      </c>
      <c r="M4454" t="inlineStr">
        <is>
          <t>2.350</t>
        </is>
      </c>
      <c r="N4454" t="inlineStr">
        <is>
          <t>Modalidade: 0 - Por conta do remetente | Parte: DISTRIBUIDORA DE ALIMENTOS MEGA FESTA EMBALAGENS LTDA (08.662.061/0001-26)</t>
        </is>
      </c>
      <c r="O4454" s="29" t="n">
        <v>0</v>
      </c>
      <c r="P4454" s="29" t="n">
        <v>117.31</v>
      </c>
      <c r="Q4454" s="29" t="n">
        <v>0</v>
      </c>
      <c r="R4454" s="29" t="n">
        <v>0</v>
      </c>
      <c r="S4454" s="29" t="n">
        <v>0</v>
      </c>
      <c r="T4454" t="inlineStr">
        <is>
          <t>25260959256389000183570010000006111000170841</t>
        </is>
      </c>
      <c r="U4454" t="inlineStr">
        <is>
          <t>Sim</t>
        </is>
      </c>
    </row>
    <row r="4455">
      <c r="A4455" t="inlineStr">
        <is>
          <t>Frete de venda</t>
        </is>
      </c>
      <c r="B4455" t="inlineStr">
        <is>
          <t>2.01.02 Frete sobre Vendas</t>
        </is>
      </c>
      <c r="C4455" s="30" t="n">
        <v>46266</v>
      </c>
      <c r="D4455" t="inlineStr">
        <is>
          <t>Em 2026</t>
        </is>
      </c>
      <c r="E4455" s="28" t="n">
        <v>46275</v>
      </c>
      <c r="F4455" t="inlineStr">
        <is>
          <t>CT-e</t>
        </is>
      </c>
      <c r="G4455" t="inlineStr">
        <is>
          <t>000000612</t>
        </is>
      </c>
      <c r="H4455" t="inlineStr">
        <is>
          <t>DURA MAIS TRANSPORTES LTDA</t>
        </is>
      </c>
      <c r="J4455" s="29" t="n">
        <v>977.58</v>
      </c>
      <c r="K4455" s="29">
        <f>(1-ISNUMBER(SEARCH("556",M4455)))*(O4455*SUMIFS(Premissas!$C$5:$C$44,Premissas!$A$5:$A$44,$A4455,Premissas!$B$5:$B$44,$B4455)+P4455*SUMIFS(Premissas!$D$5:$D$44,Premissas!$A$5:$A$44,$A4455,Premissas!$B$5:$B$44,$B4455))+R4455*SUMIFS(Premissas!$E$5:$E$44,Premissas!$A$5:$A$44,$A4455,Premissas!$B$5:$B$44,$B4455)+S4455*SUMIFS(Premissas!$F$5:$F$44,Premissas!$A$5:$A$44,$A4455,Premissas!$B$5:$B$44,$B4455)</f>
        <v/>
      </c>
      <c r="L4455" s="29">
        <f>J4455-K4455</f>
        <v/>
      </c>
      <c r="M4455" t="inlineStr">
        <is>
          <t>2.350</t>
        </is>
      </c>
      <c r="N4455" t="inlineStr">
        <is>
          <t>Modalidade: 0 - Por conta do remetente | Parte: SHALLON EMBALAGENS LTDA (49.431.842/0001-97)</t>
        </is>
      </c>
      <c r="O4455" s="29" t="n">
        <v>0</v>
      </c>
      <c r="P4455" s="29" t="n">
        <v>117.31</v>
      </c>
      <c r="Q4455" s="29" t="n">
        <v>0</v>
      </c>
      <c r="R4455" s="29" t="n">
        <v>0</v>
      </c>
      <c r="S4455" s="29" t="n">
        <v>0</v>
      </c>
      <c r="T4455" t="inlineStr">
        <is>
          <t>25260959256389000183570010000006121000140923</t>
        </is>
      </c>
      <c r="U4455" t="inlineStr">
        <is>
          <t>Sim</t>
        </is>
      </c>
    </row>
    <row r="4456">
      <c r="A4456" t="inlineStr">
        <is>
          <t>Frete de venda</t>
        </is>
      </c>
      <c r="B4456" t="inlineStr">
        <is>
          <t>2.01.02 Frete sobre Vendas</t>
        </is>
      </c>
      <c r="C4456" s="30" t="n">
        <v>46266</v>
      </c>
      <c r="D4456" t="inlineStr">
        <is>
          <t>Em 2026</t>
        </is>
      </c>
      <c r="E4456" s="28" t="n">
        <v>46275</v>
      </c>
      <c r="F4456" t="inlineStr">
        <is>
          <t>CT-e</t>
        </is>
      </c>
      <c r="G4456" t="inlineStr">
        <is>
          <t>000000613</t>
        </is>
      </c>
      <c r="H4456" t="inlineStr">
        <is>
          <t>DURA MAIS TRANSPORTES LTDA</t>
        </is>
      </c>
      <c r="J4456" s="29" t="n">
        <v>977.58</v>
      </c>
      <c r="K4456" s="29">
        <f>(1-ISNUMBER(SEARCH("556",M4456)))*(O4456*SUMIFS(Premissas!$C$5:$C$44,Premissas!$A$5:$A$44,$A4456,Premissas!$B$5:$B$44,$B4456)+P4456*SUMIFS(Premissas!$D$5:$D$44,Premissas!$A$5:$A$44,$A4456,Premissas!$B$5:$B$44,$B4456))+R4456*SUMIFS(Premissas!$E$5:$E$44,Premissas!$A$5:$A$44,$A4456,Premissas!$B$5:$B$44,$B4456)+S4456*SUMIFS(Premissas!$F$5:$F$44,Premissas!$A$5:$A$44,$A4456,Premissas!$B$5:$B$44,$B4456)</f>
        <v/>
      </c>
      <c r="L4456" s="29">
        <f>J4456-K4456</f>
        <v/>
      </c>
      <c r="M4456" t="inlineStr">
        <is>
          <t>2.350</t>
        </is>
      </c>
      <c r="N4456" t="inlineStr">
        <is>
          <t>Modalidade: 0 - Por conta do remetente | Parte: ELTON SILVA BERNARDINO (31.276.897/0001-04)</t>
        </is>
      </c>
      <c r="O4456" s="29" t="n">
        <v>0</v>
      </c>
      <c r="P4456" s="29" t="n">
        <v>117.31</v>
      </c>
      <c r="Q4456" s="29" t="n">
        <v>0</v>
      </c>
      <c r="R4456" s="29" t="n">
        <v>0</v>
      </c>
      <c r="S4456" s="29" t="n">
        <v>0</v>
      </c>
      <c r="T4456" t="inlineStr">
        <is>
          <t>25260959256389000183570010000006131001101007</t>
        </is>
      </c>
      <c r="U4456" t="inlineStr">
        <is>
          <t>Sim</t>
        </is>
      </c>
    </row>
    <row r="4457">
      <c r="A4457" t="inlineStr">
        <is>
          <t>Frete de venda</t>
        </is>
      </c>
      <c r="B4457" t="inlineStr">
        <is>
          <t>2.01.02 Frete sobre Vendas</t>
        </is>
      </c>
      <c r="C4457" s="30" t="n">
        <v>46266</v>
      </c>
      <c r="D4457" t="inlineStr">
        <is>
          <t>Em 2026</t>
        </is>
      </c>
      <c r="E4457" s="28" t="n">
        <v>46275</v>
      </c>
      <c r="F4457" t="inlineStr">
        <is>
          <t>CT-e</t>
        </is>
      </c>
      <c r="G4457" t="inlineStr">
        <is>
          <t>000000614</t>
        </is>
      </c>
      <c r="H4457" t="inlineStr">
        <is>
          <t>DURA MAIS TRANSPORTES LTDA</t>
        </is>
      </c>
      <c r="J4457" s="29" t="n">
        <v>488.79</v>
      </c>
      <c r="K4457" s="29">
        <f>(1-ISNUMBER(SEARCH("556",M4457)))*(O4457*SUMIFS(Premissas!$C$5:$C$44,Premissas!$A$5:$A$44,$A4457,Premissas!$B$5:$B$44,$B4457)+P4457*SUMIFS(Premissas!$D$5:$D$44,Premissas!$A$5:$A$44,$A4457,Premissas!$B$5:$B$44,$B4457))+R4457*SUMIFS(Premissas!$E$5:$E$44,Premissas!$A$5:$A$44,$A4457,Premissas!$B$5:$B$44,$B4457)+S4457*SUMIFS(Premissas!$F$5:$F$44,Premissas!$A$5:$A$44,$A4457,Premissas!$B$5:$B$44,$B4457)</f>
        <v/>
      </c>
      <c r="L4457" s="29">
        <f>J4457-K4457</f>
        <v/>
      </c>
      <c r="M4457" t="inlineStr">
        <is>
          <t>2.350</t>
        </is>
      </c>
      <c r="N4457" t="inlineStr">
        <is>
          <t>Modalidade: 0 - Por conta do remetente | Parte: SOL COMERCIO DE EMBALAGENS LTDA (48.993.949/0001-66)</t>
        </is>
      </c>
      <c r="O4457" s="29" t="n">
        <v>0</v>
      </c>
      <c r="P4457" s="29" t="n">
        <v>58.65</v>
      </c>
      <c r="Q4457" s="29" t="n">
        <v>0</v>
      </c>
      <c r="R4457" s="29" t="n">
        <v>0</v>
      </c>
      <c r="S4457" s="29" t="n">
        <v>0</v>
      </c>
      <c r="T4457" t="inlineStr">
        <is>
          <t>25260959256389000183570010000006141001901086</t>
        </is>
      </c>
      <c r="U4457" t="inlineStr">
        <is>
          <t>Sim</t>
        </is>
      </c>
    </row>
    <row r="4458">
      <c r="A4458" t="inlineStr">
        <is>
          <t>Frete de venda</t>
        </is>
      </c>
      <c r="B4458" t="inlineStr">
        <is>
          <t>2.01.02 Frete sobre Vendas</t>
        </is>
      </c>
      <c r="C4458" s="30" t="n">
        <v>46266</v>
      </c>
      <c r="D4458" t="inlineStr">
        <is>
          <t>Em 2026</t>
        </is>
      </c>
      <c r="E4458" s="28" t="n">
        <v>46275</v>
      </c>
      <c r="F4458" t="inlineStr">
        <is>
          <t>CT-e</t>
        </is>
      </c>
      <c r="G4458" t="inlineStr">
        <is>
          <t>000000615</t>
        </is>
      </c>
      <c r="H4458" t="inlineStr">
        <is>
          <t>DURA MAIS TRANSPORTES LTDA</t>
        </is>
      </c>
      <c r="J4458" s="29" t="n">
        <v>977.58</v>
      </c>
      <c r="K4458" s="29">
        <f>(1-ISNUMBER(SEARCH("556",M4458)))*(O4458*SUMIFS(Premissas!$C$5:$C$44,Premissas!$A$5:$A$44,$A4458,Premissas!$B$5:$B$44,$B4458)+P4458*SUMIFS(Premissas!$D$5:$D$44,Premissas!$A$5:$A$44,$A4458,Premissas!$B$5:$B$44,$B4458))+R4458*SUMIFS(Premissas!$E$5:$E$44,Premissas!$A$5:$A$44,$A4458,Premissas!$B$5:$B$44,$B4458)+S4458*SUMIFS(Premissas!$F$5:$F$44,Premissas!$A$5:$A$44,$A4458,Premissas!$B$5:$B$44,$B4458)</f>
        <v/>
      </c>
      <c r="L4458" s="29">
        <f>J4458-K4458</f>
        <v/>
      </c>
      <c r="M4458" t="inlineStr">
        <is>
          <t>2.350</t>
        </is>
      </c>
      <c r="N4458" t="inlineStr">
        <is>
          <t>Modalidade: 0 - Por conta do remetente | Parte: MORENO FESTAS LTDA (18.133.456/0001-95)</t>
        </is>
      </c>
      <c r="O4458" s="29" t="n">
        <v>0</v>
      </c>
      <c r="P4458" s="29" t="n">
        <v>117.31</v>
      </c>
      <c r="Q4458" s="29" t="n">
        <v>0</v>
      </c>
      <c r="R4458" s="29" t="n">
        <v>0</v>
      </c>
      <c r="S4458" s="29" t="n">
        <v>0</v>
      </c>
      <c r="T4458" t="inlineStr">
        <is>
          <t>25260959256389000183570010000006151001601160</t>
        </is>
      </c>
      <c r="U4458" t="inlineStr">
        <is>
          <t>Sim</t>
        </is>
      </c>
    </row>
    <row r="4459">
      <c r="A4459" t="inlineStr">
        <is>
          <t>Frete de venda</t>
        </is>
      </c>
      <c r="B4459" t="inlineStr">
        <is>
          <t>2.01.02 Frete sobre Vendas</t>
        </is>
      </c>
      <c r="C4459" s="30" t="n">
        <v>46266</v>
      </c>
      <c r="D4459" t="inlineStr">
        <is>
          <t>Em 2026</t>
        </is>
      </c>
      <c r="E4459" s="28" t="n">
        <v>46275</v>
      </c>
      <c r="F4459" t="inlineStr">
        <is>
          <t>CT-e</t>
        </is>
      </c>
      <c r="G4459" t="inlineStr">
        <is>
          <t>000000616</t>
        </is>
      </c>
      <c r="H4459" t="inlineStr">
        <is>
          <t>DURA MAIS TRANSPORTES LTDA</t>
        </is>
      </c>
      <c r="J4459" s="29" t="n">
        <v>977.58</v>
      </c>
      <c r="K4459" s="29">
        <f>(1-ISNUMBER(SEARCH("556",M4459)))*(O4459*SUMIFS(Premissas!$C$5:$C$44,Premissas!$A$5:$A$44,$A4459,Premissas!$B$5:$B$44,$B4459)+P4459*SUMIFS(Premissas!$D$5:$D$44,Premissas!$A$5:$A$44,$A4459,Premissas!$B$5:$B$44,$B4459))+R4459*SUMIFS(Premissas!$E$5:$E$44,Premissas!$A$5:$A$44,$A4459,Premissas!$B$5:$B$44,$B4459)+S4459*SUMIFS(Premissas!$F$5:$F$44,Premissas!$A$5:$A$44,$A4459,Premissas!$B$5:$B$44,$B4459)</f>
        <v/>
      </c>
      <c r="L4459" s="29">
        <f>J4459-K4459</f>
        <v/>
      </c>
      <c r="M4459" t="inlineStr">
        <is>
          <t>2.350</t>
        </is>
      </c>
      <c r="N4459" t="inlineStr">
        <is>
          <t>Modalidade: 0 - Por conta do remetente | Parte: IRACI ROSA DA CUNHA LTDA (01.180.241/0001-22)</t>
        </is>
      </c>
      <c r="O4459" s="29" t="n">
        <v>0</v>
      </c>
      <c r="P4459" s="29" t="n">
        <v>117.31</v>
      </c>
      <c r="Q4459" s="29" t="n">
        <v>0</v>
      </c>
      <c r="R4459" s="29" t="n">
        <v>0</v>
      </c>
      <c r="S4459" s="29" t="n">
        <v>0</v>
      </c>
      <c r="T4459" t="inlineStr">
        <is>
          <t>25260959256389000183570010000006161001301245</t>
        </is>
      </c>
      <c r="U4459" t="inlineStr">
        <is>
          <t>Sim</t>
        </is>
      </c>
    </row>
    <row r="4460">
      <c r="A4460" t="inlineStr">
        <is>
          <t>Frete de venda</t>
        </is>
      </c>
      <c r="B4460" t="inlineStr">
        <is>
          <t>2.01.02 Frete sobre Vendas</t>
        </is>
      </c>
      <c r="C4460" s="30" t="n">
        <v>46266</v>
      </c>
      <c r="D4460" t="inlineStr">
        <is>
          <t>Em 2026</t>
        </is>
      </c>
      <c r="E4460" s="28" t="n">
        <v>46275</v>
      </c>
      <c r="F4460" t="inlineStr">
        <is>
          <t>CT-e</t>
        </is>
      </c>
      <c r="G4460" t="inlineStr">
        <is>
          <t>000000617</t>
        </is>
      </c>
      <c r="H4460" t="inlineStr">
        <is>
          <t>DURA MAIS TRANSPORTES LTDA</t>
        </is>
      </c>
      <c r="J4460" s="29" t="n">
        <v>977.58</v>
      </c>
      <c r="K4460" s="29">
        <f>(1-ISNUMBER(SEARCH("556",M4460)))*(O4460*SUMIFS(Premissas!$C$5:$C$44,Premissas!$A$5:$A$44,$A4460,Premissas!$B$5:$B$44,$B4460)+P4460*SUMIFS(Premissas!$D$5:$D$44,Premissas!$A$5:$A$44,$A4460,Premissas!$B$5:$B$44,$B4460))+R4460*SUMIFS(Premissas!$E$5:$E$44,Premissas!$A$5:$A$44,$A4460,Premissas!$B$5:$B$44,$B4460)+S4460*SUMIFS(Premissas!$F$5:$F$44,Premissas!$A$5:$A$44,$A4460,Premissas!$B$5:$B$44,$B4460)</f>
        <v/>
      </c>
      <c r="L4460" s="29">
        <f>J4460-K4460</f>
        <v/>
      </c>
      <c r="M4460" t="inlineStr">
        <is>
          <t>2.350</t>
        </is>
      </c>
      <c r="N4460" t="inlineStr">
        <is>
          <t>Modalidade: 0 - Por conta do remetente | Parte: ATACADAO DOS FRIOS LTDA (15.659.135/0001-30)</t>
        </is>
      </c>
      <c r="O4460" s="29" t="n">
        <v>0</v>
      </c>
      <c r="P4460" s="29" t="n">
        <v>117.31</v>
      </c>
      <c r="Q4460" s="29" t="n">
        <v>0</v>
      </c>
      <c r="R4460" s="29" t="n">
        <v>0</v>
      </c>
      <c r="S4460" s="29" t="n">
        <v>0</v>
      </c>
      <c r="T4460" t="inlineStr">
        <is>
          <t>25260959256389000183570010000006171000101320</t>
        </is>
      </c>
      <c r="U4460" t="inlineStr">
        <is>
          <t>Sim</t>
        </is>
      </c>
    </row>
    <row r="4461">
      <c r="A4461" t="inlineStr">
        <is>
          <t>Frete de venda</t>
        </is>
      </c>
      <c r="B4461" t="inlineStr">
        <is>
          <t>2.01.02 Frete sobre Vendas</t>
        </is>
      </c>
      <c r="C4461" s="30" t="n">
        <v>46266</v>
      </c>
      <c r="D4461" t="inlineStr">
        <is>
          <t>Em 2026</t>
        </is>
      </c>
      <c r="E4461" s="28" t="n">
        <v>46275</v>
      </c>
      <c r="F4461" t="inlineStr">
        <is>
          <t>CT-e</t>
        </is>
      </c>
      <c r="G4461" t="inlineStr">
        <is>
          <t>000000618</t>
        </is>
      </c>
      <c r="H4461" t="inlineStr">
        <is>
          <t>DURA MAIS TRANSPORTES LTDA</t>
        </is>
      </c>
      <c r="J4461" s="29" t="n">
        <v>488.79</v>
      </c>
      <c r="K4461" s="29">
        <f>(1-ISNUMBER(SEARCH("556",M4461)))*(O4461*SUMIFS(Premissas!$C$5:$C$44,Premissas!$A$5:$A$44,$A4461,Premissas!$B$5:$B$44,$B4461)+P4461*SUMIFS(Premissas!$D$5:$D$44,Premissas!$A$5:$A$44,$A4461,Premissas!$B$5:$B$44,$B4461))+R4461*SUMIFS(Premissas!$E$5:$E$44,Premissas!$A$5:$A$44,$A4461,Premissas!$B$5:$B$44,$B4461)+S4461*SUMIFS(Premissas!$F$5:$F$44,Premissas!$A$5:$A$44,$A4461,Premissas!$B$5:$B$44,$B4461)</f>
        <v/>
      </c>
      <c r="L4461" s="29">
        <f>J4461-K4461</f>
        <v/>
      </c>
      <c r="M4461" t="inlineStr">
        <is>
          <t>2.350</t>
        </is>
      </c>
      <c r="N4461" t="inlineStr">
        <is>
          <t>Modalidade: 0 - Por conta do remetente | Parte: BIG COMPACTA EMBALAGENS E FESTAS LTDA (24.932.814/0001-22)</t>
        </is>
      </c>
      <c r="O4461" s="29" t="n">
        <v>0</v>
      </c>
      <c r="P4461" s="29" t="n">
        <v>58.65</v>
      </c>
      <c r="Q4461" s="29" t="n">
        <v>0</v>
      </c>
      <c r="R4461" s="29" t="n">
        <v>0</v>
      </c>
      <c r="S4461" s="29" t="n">
        <v>0</v>
      </c>
      <c r="T4461" t="inlineStr">
        <is>
          <t>25260959256389000183570010000006181001801404</t>
        </is>
      </c>
      <c r="U4461" t="inlineStr">
        <is>
          <t>Sim</t>
        </is>
      </c>
    </row>
    <row r="4462">
      <c r="A4462" t="inlineStr">
        <is>
          <t>Frete de venda</t>
        </is>
      </c>
      <c r="B4462" t="inlineStr">
        <is>
          <t>2.01.02 Frete sobre Vendas</t>
        </is>
      </c>
      <c r="C4462" s="30" t="n">
        <v>46266</v>
      </c>
      <c r="D4462" t="inlineStr">
        <is>
          <t>Em 2026</t>
        </is>
      </c>
      <c r="E4462" s="28" t="n">
        <v>46275</v>
      </c>
      <c r="F4462" t="inlineStr">
        <is>
          <t>CT-e</t>
        </is>
      </c>
      <c r="G4462" t="inlineStr">
        <is>
          <t>000000619</t>
        </is>
      </c>
      <c r="H4462" t="inlineStr">
        <is>
          <t>DURA MAIS TRANSPORTES LTDA</t>
        </is>
      </c>
      <c r="J4462" s="29" t="n">
        <v>977.58</v>
      </c>
      <c r="K4462" s="29">
        <f>(1-ISNUMBER(SEARCH("556",M4462)))*(O4462*SUMIFS(Premissas!$C$5:$C$44,Premissas!$A$5:$A$44,$A4462,Premissas!$B$5:$B$44,$B4462)+P4462*SUMIFS(Premissas!$D$5:$D$44,Premissas!$A$5:$A$44,$A4462,Premissas!$B$5:$B$44,$B4462))+R4462*SUMIFS(Premissas!$E$5:$E$44,Premissas!$A$5:$A$44,$A4462,Premissas!$B$5:$B$44,$B4462)+S4462*SUMIFS(Premissas!$F$5:$F$44,Premissas!$A$5:$A$44,$A4462,Premissas!$B$5:$B$44,$B4462)</f>
        <v/>
      </c>
      <c r="L4462" s="29">
        <f>J4462-K4462</f>
        <v/>
      </c>
      <c r="M4462" t="inlineStr">
        <is>
          <t>2.350</t>
        </is>
      </c>
      <c r="N4462" t="inlineStr">
        <is>
          <t>Modalidade: 0 - Por conta do remetente | Parte: MULTI EMBALAGENS LTDA (04.407.489/0001-71)</t>
        </is>
      </c>
      <c r="O4462" s="29" t="n">
        <v>0</v>
      </c>
      <c r="P4462" s="29" t="n">
        <v>117.31</v>
      </c>
      <c r="Q4462" s="29" t="n">
        <v>0</v>
      </c>
      <c r="R4462" s="29" t="n">
        <v>0</v>
      </c>
      <c r="S4462" s="29" t="n">
        <v>0</v>
      </c>
      <c r="T4462" t="inlineStr">
        <is>
          <t>25260959256389000183570010000006191001501483</t>
        </is>
      </c>
      <c r="U4462" t="inlineStr">
        <is>
          <t>Sim</t>
        </is>
      </c>
    </row>
    <row r="4463">
      <c r="A4463" t="inlineStr">
        <is>
          <t>Frete de venda</t>
        </is>
      </c>
      <c r="B4463" t="inlineStr">
        <is>
          <t>2.01.02 Frete sobre Vendas</t>
        </is>
      </c>
      <c r="C4463" s="30" t="n">
        <v>46266</v>
      </c>
      <c r="D4463" t="inlineStr">
        <is>
          <t>Em 2026</t>
        </is>
      </c>
      <c r="E4463" s="28" t="n">
        <v>46276</v>
      </c>
      <c r="F4463" t="inlineStr">
        <is>
          <t>CT-e</t>
        </is>
      </c>
      <c r="G4463" t="inlineStr">
        <is>
          <t>000000623</t>
        </is>
      </c>
      <c r="H4463" t="inlineStr">
        <is>
          <t>DURA MAIS TRANSPORTES LTDA</t>
        </is>
      </c>
      <c r="J4463" s="29" t="n">
        <v>488.79</v>
      </c>
      <c r="K4463" s="29">
        <f>(1-ISNUMBER(SEARCH("556",M4463)))*(O4463*SUMIFS(Premissas!$C$5:$C$44,Premissas!$A$5:$A$44,$A4463,Premissas!$B$5:$B$44,$B4463)+P4463*SUMIFS(Premissas!$D$5:$D$44,Premissas!$A$5:$A$44,$A4463,Premissas!$B$5:$B$44,$B4463))+R4463*SUMIFS(Premissas!$E$5:$E$44,Premissas!$A$5:$A$44,$A4463,Premissas!$B$5:$B$44,$B4463)+S4463*SUMIFS(Premissas!$F$5:$F$44,Premissas!$A$5:$A$44,$A4463,Premissas!$B$5:$B$44,$B4463)</f>
        <v/>
      </c>
      <c r="L4463" s="29">
        <f>J4463-K4463</f>
        <v/>
      </c>
      <c r="M4463" t="inlineStr">
        <is>
          <t>2.350</t>
        </is>
      </c>
      <c r="N4463" t="inlineStr">
        <is>
          <t>Modalidade: 0 - Por conta do remetente | Parte: IDEAL EMBALAGENS CATALAO LTDA (08.484.201/0001-13)</t>
        </is>
      </c>
      <c r="O4463" s="29" t="n">
        <v>0</v>
      </c>
      <c r="P4463" s="29" t="n">
        <v>58.65</v>
      </c>
      <c r="Q4463" s="29" t="n">
        <v>0</v>
      </c>
      <c r="R4463" s="29" t="n">
        <v>0</v>
      </c>
      <c r="S4463" s="29" t="n">
        <v>0</v>
      </c>
      <c r="T4463" t="inlineStr">
        <is>
          <t>25260959256389000183570010000006231001801072</t>
        </is>
      </c>
      <c r="U4463" t="inlineStr">
        <is>
          <t>Sim</t>
        </is>
      </c>
    </row>
    <row r="4464">
      <c r="A4464" t="inlineStr">
        <is>
          <t>Frete de venda</t>
        </is>
      </c>
      <c r="B4464" t="inlineStr">
        <is>
          <t>2.01.02 Frete sobre Vendas</t>
        </is>
      </c>
      <c r="C4464" s="30" t="n">
        <v>46266</v>
      </c>
      <c r="D4464" t="inlineStr">
        <is>
          <t>Em 2026</t>
        </is>
      </c>
      <c r="E4464" s="28" t="n">
        <v>46276</v>
      </c>
      <c r="F4464" t="inlineStr">
        <is>
          <t>CT-e</t>
        </is>
      </c>
      <c r="G4464" t="inlineStr">
        <is>
          <t>000000624</t>
        </is>
      </c>
      <c r="H4464" t="inlineStr">
        <is>
          <t>DURA MAIS TRANSPORTES LTDA</t>
        </is>
      </c>
      <c r="J4464" s="29" t="n">
        <v>488.79</v>
      </c>
      <c r="K4464" s="29">
        <f>(1-ISNUMBER(SEARCH("556",M4464)))*(O4464*SUMIFS(Premissas!$C$5:$C$44,Premissas!$A$5:$A$44,$A4464,Premissas!$B$5:$B$44,$B4464)+P4464*SUMIFS(Premissas!$D$5:$D$44,Premissas!$A$5:$A$44,$A4464,Premissas!$B$5:$B$44,$B4464))+R4464*SUMIFS(Premissas!$E$5:$E$44,Premissas!$A$5:$A$44,$A4464,Premissas!$B$5:$B$44,$B4464)+S4464*SUMIFS(Premissas!$F$5:$F$44,Premissas!$A$5:$A$44,$A4464,Premissas!$B$5:$B$44,$B4464)</f>
        <v/>
      </c>
      <c r="L4464" s="29">
        <f>J4464-K4464</f>
        <v/>
      </c>
      <c r="M4464" t="inlineStr">
        <is>
          <t>2.350</t>
        </is>
      </c>
      <c r="N4464" t="inlineStr">
        <is>
          <t>Modalidade: 0 - Por conta do remetente | Parte: COMERCIO DE ALIMENTOS ANHANDUI LTDA (10.602.507/0001-79)</t>
        </is>
      </c>
      <c r="O4464" s="29" t="n">
        <v>0</v>
      </c>
      <c r="P4464" s="29" t="n">
        <v>58.65</v>
      </c>
      <c r="Q4464" s="29" t="n">
        <v>0</v>
      </c>
      <c r="R4464" s="29" t="n">
        <v>0</v>
      </c>
      <c r="S4464" s="29" t="n">
        <v>0</v>
      </c>
      <c r="T4464" t="inlineStr">
        <is>
          <t>25260959256389000183570010000006241001501157</t>
        </is>
      </c>
      <c r="U4464" t="inlineStr">
        <is>
          <t>Sim</t>
        </is>
      </c>
    </row>
    <row r="4465">
      <c r="A4465" t="inlineStr">
        <is>
          <t>Frete de venda</t>
        </is>
      </c>
      <c r="B4465" t="inlineStr">
        <is>
          <t>2.01.02 Frete sobre Vendas</t>
        </is>
      </c>
      <c r="C4465" s="30" t="n">
        <v>46266</v>
      </c>
      <c r="D4465" t="inlineStr">
        <is>
          <t>Em 2026</t>
        </is>
      </c>
      <c r="E4465" s="28" t="n">
        <v>46276</v>
      </c>
      <c r="F4465" t="inlineStr">
        <is>
          <t>CT-e</t>
        </is>
      </c>
      <c r="G4465" t="inlineStr">
        <is>
          <t>000000625</t>
        </is>
      </c>
      <c r="H4465" t="inlineStr">
        <is>
          <t>DURA MAIS TRANSPORTES LTDA</t>
        </is>
      </c>
      <c r="J4465" s="29" t="n">
        <v>488.79</v>
      </c>
      <c r="K4465" s="29">
        <f>(1-ISNUMBER(SEARCH("556",M4465)))*(O4465*SUMIFS(Premissas!$C$5:$C$44,Premissas!$A$5:$A$44,$A4465,Premissas!$B$5:$B$44,$B4465)+P4465*SUMIFS(Premissas!$D$5:$D$44,Premissas!$A$5:$A$44,$A4465,Premissas!$B$5:$B$44,$B4465))+R4465*SUMIFS(Premissas!$E$5:$E$44,Premissas!$A$5:$A$44,$A4465,Premissas!$B$5:$B$44,$B4465)+S4465*SUMIFS(Premissas!$F$5:$F$44,Premissas!$A$5:$A$44,$A4465,Premissas!$B$5:$B$44,$B4465)</f>
        <v/>
      </c>
      <c r="L4465" s="29">
        <f>J4465-K4465</f>
        <v/>
      </c>
      <c r="M4465" t="inlineStr">
        <is>
          <t>2.350</t>
        </is>
      </c>
      <c r="N4465" t="inlineStr">
        <is>
          <t>Modalidade: 0 - Por conta do remetente | Parte: ELIANE EMBALAGEM LTDA (46.840.612/0001-93)</t>
        </is>
      </c>
      <c r="O4465" s="29" t="n">
        <v>0</v>
      </c>
      <c r="P4465" s="29" t="n">
        <v>58.65</v>
      </c>
      <c r="Q4465" s="29" t="n">
        <v>0</v>
      </c>
      <c r="R4465" s="29" t="n">
        <v>0</v>
      </c>
      <c r="S4465" s="29" t="n">
        <v>0</v>
      </c>
      <c r="T4465" t="inlineStr">
        <is>
          <t>25260959256389000183570010000006251001201231</t>
        </is>
      </c>
      <c r="U4465" t="inlineStr">
        <is>
          <t>Sim</t>
        </is>
      </c>
    </row>
    <row r="4466">
      <c r="A4466" t="inlineStr">
        <is>
          <t>Frete de venda</t>
        </is>
      </c>
      <c r="B4466" t="inlineStr">
        <is>
          <t>2.01.02 Frete sobre Vendas</t>
        </is>
      </c>
      <c r="C4466" s="30" t="n">
        <v>46266</v>
      </c>
      <c r="D4466" t="inlineStr">
        <is>
          <t>Em 2026</t>
        </is>
      </c>
      <c r="E4466" s="28" t="n">
        <v>46276</v>
      </c>
      <c r="F4466" t="inlineStr">
        <is>
          <t>CT-e</t>
        </is>
      </c>
      <c r="G4466" t="inlineStr">
        <is>
          <t>000000626</t>
        </is>
      </c>
      <c r="H4466" t="inlineStr">
        <is>
          <t>DURA MAIS TRANSPORTES LTDA</t>
        </is>
      </c>
      <c r="J4466" s="29" t="n">
        <v>488.79</v>
      </c>
      <c r="K4466" s="29">
        <f>(1-ISNUMBER(SEARCH("556",M4466)))*(O4466*SUMIFS(Premissas!$C$5:$C$44,Premissas!$A$5:$A$44,$A4466,Premissas!$B$5:$B$44,$B4466)+P4466*SUMIFS(Premissas!$D$5:$D$44,Premissas!$A$5:$A$44,$A4466,Premissas!$B$5:$B$44,$B4466))+R4466*SUMIFS(Premissas!$E$5:$E$44,Premissas!$A$5:$A$44,$A4466,Premissas!$B$5:$B$44,$B4466)+S4466*SUMIFS(Premissas!$F$5:$F$44,Premissas!$A$5:$A$44,$A4466,Premissas!$B$5:$B$44,$B4466)</f>
        <v/>
      </c>
      <c r="L4466" s="29">
        <f>J4466-K4466</f>
        <v/>
      </c>
      <c r="M4466" t="inlineStr">
        <is>
          <t>2.350</t>
        </is>
      </c>
      <c r="N4466" t="inlineStr">
        <is>
          <t>Modalidade: 0 - Por conta do remetente | Parte: RODRIGUES E CIA LTDA (26.144.570/0001-49)</t>
        </is>
      </c>
      <c r="O4466" s="29" t="n">
        <v>0</v>
      </c>
      <c r="P4466" s="29" t="n">
        <v>58.65</v>
      </c>
      <c r="Q4466" s="29" t="n">
        <v>0</v>
      </c>
      <c r="R4466" s="29" t="n">
        <v>0</v>
      </c>
      <c r="S4466" s="29" t="n">
        <v>0</v>
      </c>
      <c r="T4466" t="inlineStr">
        <is>
          <t>25260959256389000183570010000006261011001313</t>
        </is>
      </c>
      <c r="U4466" t="inlineStr">
        <is>
          <t>Sim</t>
        </is>
      </c>
    </row>
    <row r="4467">
      <c r="A4467" t="inlineStr">
        <is>
          <t>Frete de venda</t>
        </is>
      </c>
      <c r="B4467" t="inlineStr">
        <is>
          <t>2.01.02 Frete sobre Vendas</t>
        </is>
      </c>
      <c r="C4467" s="30" t="n">
        <v>46266</v>
      </c>
      <c r="D4467" t="inlineStr">
        <is>
          <t>Em 2026</t>
        </is>
      </c>
      <c r="E4467" s="28" t="n">
        <v>46277</v>
      </c>
      <c r="F4467" t="inlineStr">
        <is>
          <t>CT-e</t>
        </is>
      </c>
      <c r="G4467" t="inlineStr">
        <is>
          <t>000000635</t>
        </is>
      </c>
      <c r="H4467" t="inlineStr">
        <is>
          <t>DURA MAIS TRANSPORTES LTDA</t>
        </is>
      </c>
      <c r="J4467" s="29" t="n">
        <v>817.1</v>
      </c>
      <c r="K4467" s="29">
        <f>(1-ISNUMBER(SEARCH("556",M4467)))*(O4467*SUMIFS(Premissas!$C$5:$C$44,Premissas!$A$5:$A$44,$A4467,Premissas!$B$5:$B$44,$B4467)+P4467*SUMIFS(Premissas!$D$5:$D$44,Premissas!$A$5:$A$44,$A4467,Premissas!$B$5:$B$44,$B4467))+R4467*SUMIFS(Premissas!$E$5:$E$44,Premissas!$A$5:$A$44,$A4467,Premissas!$B$5:$B$44,$B4467)+S4467*SUMIFS(Premissas!$F$5:$F$44,Premissas!$A$5:$A$44,$A4467,Premissas!$B$5:$B$44,$B4467)</f>
        <v/>
      </c>
      <c r="L4467" s="29">
        <f>J4467-K4467</f>
        <v/>
      </c>
      <c r="M4467" t="inlineStr">
        <is>
          <t>2.350</t>
        </is>
      </c>
      <c r="N4467" t="inlineStr">
        <is>
          <t>Modalidade: 0 - Por conta do remetente | Parte: GD COMERCIO DE EMBALAGENS LTDA (66.843.669/0001-53)</t>
        </is>
      </c>
      <c r="O4467" s="29" t="n">
        <v>0</v>
      </c>
      <c r="P4467" s="29" t="n">
        <v>98.05</v>
      </c>
      <c r="Q4467" s="29" t="n">
        <v>0</v>
      </c>
      <c r="R4467" s="29" t="n">
        <v>0</v>
      </c>
      <c r="S4467" s="29" t="n">
        <v>0</v>
      </c>
      <c r="T4467" t="inlineStr">
        <is>
          <t>25260959256389000183570010000006351001301461</t>
        </is>
      </c>
      <c r="U4467" t="inlineStr">
        <is>
          <t>Sim</t>
        </is>
      </c>
    </row>
    <row r="4468">
      <c r="A4468" t="inlineStr">
        <is>
          <t>Frete de venda</t>
        </is>
      </c>
      <c r="B4468" t="inlineStr">
        <is>
          <t>2.01.02 Frete sobre Vendas</t>
        </is>
      </c>
      <c r="C4468" s="30" t="n">
        <v>46266</v>
      </c>
      <c r="D4468" t="inlineStr">
        <is>
          <t>Em 2026</t>
        </is>
      </c>
      <c r="E4468" s="28" t="n">
        <v>46277</v>
      </c>
      <c r="F4468" t="inlineStr">
        <is>
          <t>CT-e</t>
        </is>
      </c>
      <c r="G4468" t="inlineStr">
        <is>
          <t>000000636</t>
        </is>
      </c>
      <c r="H4468" t="inlineStr">
        <is>
          <t>DURA MAIS TRANSPORTES LTDA</t>
        </is>
      </c>
      <c r="J4468" s="29" t="n">
        <v>817.1</v>
      </c>
      <c r="K4468" s="29">
        <f>(1-ISNUMBER(SEARCH("556",M4468)))*(O4468*SUMIFS(Premissas!$C$5:$C$44,Premissas!$A$5:$A$44,$A4468,Premissas!$B$5:$B$44,$B4468)+P4468*SUMIFS(Premissas!$D$5:$D$44,Premissas!$A$5:$A$44,$A4468,Premissas!$B$5:$B$44,$B4468))+R4468*SUMIFS(Premissas!$E$5:$E$44,Premissas!$A$5:$A$44,$A4468,Premissas!$B$5:$B$44,$B4468)+S4468*SUMIFS(Premissas!$F$5:$F$44,Premissas!$A$5:$A$44,$A4468,Premissas!$B$5:$B$44,$B4468)</f>
        <v/>
      </c>
      <c r="L4468" s="29">
        <f>J4468-K4468</f>
        <v/>
      </c>
      <c r="M4468" t="inlineStr">
        <is>
          <t>2.350</t>
        </is>
      </c>
      <c r="N4468" t="inlineStr">
        <is>
          <t>Modalidade: 0 - Por conta do remetente | Parte: PLASTILANDIA LTDA (01.208.961/0001-59)</t>
        </is>
      </c>
      <c r="O4468" s="29" t="n">
        <v>0</v>
      </c>
      <c r="P4468" s="29" t="n">
        <v>98.05</v>
      </c>
      <c r="Q4468" s="29" t="n">
        <v>0</v>
      </c>
      <c r="R4468" s="29" t="n">
        <v>0</v>
      </c>
      <c r="S4468" s="29" t="n">
        <v>0</v>
      </c>
      <c r="T4468" t="inlineStr">
        <is>
          <t>25260959256389000183570010000006361000101547</t>
        </is>
      </c>
      <c r="U4468" t="inlineStr">
        <is>
          <t>Sim</t>
        </is>
      </c>
    </row>
    <row r="4469">
      <c r="A4469" t="inlineStr">
        <is>
          <t>Frete de venda</t>
        </is>
      </c>
      <c r="B4469" t="inlineStr">
        <is>
          <t>2.01.02 Frete sobre Vendas</t>
        </is>
      </c>
      <c r="C4469" s="30" t="n">
        <v>46266</v>
      </c>
      <c r="D4469" t="inlineStr">
        <is>
          <t>Em 2026</t>
        </is>
      </c>
      <c r="E4469" s="28" t="n">
        <v>46277</v>
      </c>
      <c r="F4469" t="inlineStr">
        <is>
          <t>CT-e</t>
        </is>
      </c>
      <c r="G4469" t="inlineStr">
        <is>
          <t>000000637</t>
        </is>
      </c>
      <c r="H4469" t="inlineStr">
        <is>
          <t>DURA MAIS TRANSPORTES LTDA</t>
        </is>
      </c>
      <c r="J4469" s="29" t="n">
        <v>817.1</v>
      </c>
      <c r="K4469" s="29">
        <f>(1-ISNUMBER(SEARCH("556",M4469)))*(O4469*SUMIFS(Premissas!$C$5:$C$44,Premissas!$A$5:$A$44,$A4469,Premissas!$B$5:$B$44,$B4469)+P4469*SUMIFS(Premissas!$D$5:$D$44,Premissas!$A$5:$A$44,$A4469,Premissas!$B$5:$B$44,$B4469))+R4469*SUMIFS(Premissas!$E$5:$E$44,Premissas!$A$5:$A$44,$A4469,Premissas!$B$5:$B$44,$B4469)+S4469*SUMIFS(Premissas!$F$5:$F$44,Premissas!$A$5:$A$44,$A4469,Premissas!$B$5:$B$44,$B4469)</f>
        <v/>
      </c>
      <c r="L4469" s="29">
        <f>J4469-K4469</f>
        <v/>
      </c>
      <c r="M4469" t="inlineStr">
        <is>
          <t>2.350</t>
        </is>
      </c>
      <c r="N4469" t="inlineStr">
        <is>
          <t>Modalidade: 0 - Por conta do remetente | Parte: DISTRIBUIDORA BHF EMBALAGENS E FATIADOS LTDA (35.483.634/0001-27)</t>
        </is>
      </c>
      <c r="O4469" s="29" t="n">
        <v>0</v>
      </c>
      <c r="P4469" s="29" t="n">
        <v>98.05</v>
      </c>
      <c r="Q4469" s="29" t="n">
        <v>0</v>
      </c>
      <c r="R4469" s="29" t="n">
        <v>0</v>
      </c>
      <c r="S4469" s="29" t="n">
        <v>0</v>
      </c>
      <c r="T4469" t="inlineStr">
        <is>
          <t>25260959256389000183570010000006371001801620</t>
        </is>
      </c>
      <c r="U4469" t="inlineStr">
        <is>
          <t>Sim</t>
        </is>
      </c>
    </row>
    <row r="4470">
      <c r="A4470" t="inlineStr">
        <is>
          <t>Frete de venda</t>
        </is>
      </c>
      <c r="B4470" t="inlineStr">
        <is>
          <t>2.01.02 Frete sobre Vendas</t>
        </is>
      </c>
      <c r="C4470" s="30" t="n">
        <v>46266</v>
      </c>
      <c r="D4470" t="inlineStr">
        <is>
          <t>Em 2026</t>
        </is>
      </c>
      <c r="E4470" s="28" t="n">
        <v>46277</v>
      </c>
      <c r="F4470" t="inlineStr">
        <is>
          <t>CT-e</t>
        </is>
      </c>
      <c r="G4470" t="inlineStr">
        <is>
          <t>000000638</t>
        </is>
      </c>
      <c r="H4470" t="inlineStr">
        <is>
          <t>DURA MAIS TRANSPORTES LTDA</t>
        </is>
      </c>
      <c r="J4470" s="29" t="n">
        <v>817.1</v>
      </c>
      <c r="K4470" s="29">
        <f>(1-ISNUMBER(SEARCH("556",M4470)))*(O4470*SUMIFS(Premissas!$C$5:$C$44,Premissas!$A$5:$A$44,$A4470,Premissas!$B$5:$B$44,$B4470)+P4470*SUMIFS(Premissas!$D$5:$D$44,Premissas!$A$5:$A$44,$A4470,Premissas!$B$5:$B$44,$B4470))+R4470*SUMIFS(Premissas!$E$5:$E$44,Premissas!$A$5:$A$44,$A4470,Premissas!$B$5:$B$44,$B4470)+S4470*SUMIFS(Premissas!$F$5:$F$44,Premissas!$A$5:$A$44,$A4470,Premissas!$B$5:$B$44,$B4470)</f>
        <v/>
      </c>
      <c r="L4470" s="29">
        <f>J4470-K4470</f>
        <v/>
      </c>
      <c r="M4470" t="inlineStr">
        <is>
          <t>2.350</t>
        </is>
      </c>
      <c r="N4470" t="inlineStr">
        <is>
          <t>Modalidade: 0 - Por conta do remetente | Parte: EMBALAGENS BRASIL LTDA (66.430.737/0001-52)</t>
        </is>
      </c>
      <c r="O4470" s="29" t="n">
        <v>0</v>
      </c>
      <c r="P4470" s="29" t="n">
        <v>98.05</v>
      </c>
      <c r="Q4470" s="29" t="n">
        <v>0</v>
      </c>
      <c r="R4470" s="29" t="n">
        <v>0</v>
      </c>
      <c r="S4470" s="29" t="n">
        <v>0</v>
      </c>
      <c r="T4470" t="inlineStr">
        <is>
          <t>25260959256389000183570010000006381000190978</t>
        </is>
      </c>
      <c r="U4470" t="inlineStr">
        <is>
          <t>Sim</t>
        </is>
      </c>
    </row>
    <row r="4471">
      <c r="A4471" t="inlineStr">
        <is>
          <t>Frete de venda</t>
        </is>
      </c>
      <c r="B4471" t="inlineStr">
        <is>
          <t>2.01.02 Frete sobre Vendas</t>
        </is>
      </c>
      <c r="C4471" s="30" t="n">
        <v>46266</v>
      </c>
      <c r="D4471" t="inlineStr">
        <is>
          <t>Em 2026</t>
        </is>
      </c>
      <c r="E4471" s="28" t="n">
        <v>46277</v>
      </c>
      <c r="F4471" t="inlineStr">
        <is>
          <t>CT-e</t>
        </is>
      </c>
      <c r="G4471" t="inlineStr">
        <is>
          <t>000000639</t>
        </is>
      </c>
      <c r="H4471" t="inlineStr">
        <is>
          <t>DURA MAIS TRANSPORTES LTDA</t>
        </is>
      </c>
      <c r="J4471" s="29" t="n">
        <v>817.1</v>
      </c>
      <c r="K4471" s="29">
        <f>(1-ISNUMBER(SEARCH("556",M4471)))*(O4471*SUMIFS(Premissas!$C$5:$C$44,Premissas!$A$5:$A$44,$A4471,Premissas!$B$5:$B$44,$B4471)+P4471*SUMIFS(Premissas!$D$5:$D$44,Premissas!$A$5:$A$44,$A4471,Premissas!$B$5:$B$44,$B4471))+R4471*SUMIFS(Premissas!$E$5:$E$44,Premissas!$A$5:$A$44,$A4471,Premissas!$B$5:$B$44,$B4471)+S4471*SUMIFS(Premissas!$F$5:$F$44,Premissas!$A$5:$A$44,$A4471,Premissas!$B$5:$B$44,$B4471)</f>
        <v/>
      </c>
      <c r="L4471" s="29">
        <f>J4471-K4471</f>
        <v/>
      </c>
      <c r="M4471" t="inlineStr">
        <is>
          <t>2.350</t>
        </is>
      </c>
      <c r="N4471" t="inlineStr">
        <is>
          <t>Modalidade: 0 - Por conta do remetente | Parte: J.R. COMERCIO DE EMBALAGENS LTDA (23.099.779/0001-40)</t>
        </is>
      </c>
      <c r="O4471" s="29" t="n">
        <v>0</v>
      </c>
      <c r="P4471" s="29" t="n">
        <v>98.05</v>
      </c>
      <c r="Q4471" s="29" t="n">
        <v>0</v>
      </c>
      <c r="R4471" s="29" t="n">
        <v>0</v>
      </c>
      <c r="S4471" s="29" t="n">
        <v>0</v>
      </c>
      <c r="T4471" t="inlineStr">
        <is>
          <t>25260959256389000183570010000006391001601057</t>
        </is>
      </c>
      <c r="U4471" t="inlineStr">
        <is>
          <t>Sim</t>
        </is>
      </c>
    </row>
    <row r="4472">
      <c r="A4472" t="inlineStr">
        <is>
          <t>Frete de venda</t>
        </is>
      </c>
      <c r="B4472" t="inlineStr">
        <is>
          <t>2.01.02 Frete sobre Vendas</t>
        </is>
      </c>
      <c r="C4472" s="30" t="n">
        <v>46266</v>
      </c>
      <c r="D4472" t="inlineStr">
        <is>
          <t>Em 2026</t>
        </is>
      </c>
      <c r="E4472" s="28" t="n">
        <v>46277</v>
      </c>
      <c r="F4472" t="inlineStr">
        <is>
          <t>CT-e</t>
        </is>
      </c>
      <c r="G4472" t="inlineStr">
        <is>
          <t>000000640</t>
        </is>
      </c>
      <c r="H4472" t="inlineStr">
        <is>
          <t>DURA MAIS TRANSPORTES LTDA</t>
        </is>
      </c>
      <c r="J4472" s="29" t="n">
        <v>817.1</v>
      </c>
      <c r="K4472" s="29">
        <f>(1-ISNUMBER(SEARCH("556",M4472)))*(O4472*SUMIFS(Premissas!$C$5:$C$44,Premissas!$A$5:$A$44,$A4472,Premissas!$B$5:$B$44,$B4472)+P4472*SUMIFS(Premissas!$D$5:$D$44,Premissas!$A$5:$A$44,$A4472,Premissas!$B$5:$B$44,$B4472))+R4472*SUMIFS(Premissas!$E$5:$E$44,Premissas!$A$5:$A$44,$A4472,Premissas!$B$5:$B$44,$B4472)+S4472*SUMIFS(Premissas!$F$5:$F$44,Premissas!$A$5:$A$44,$A4472,Premissas!$B$5:$B$44,$B4472)</f>
        <v/>
      </c>
      <c r="L4472" s="29">
        <f>J4472-K4472</f>
        <v/>
      </c>
      <c r="M4472" t="inlineStr">
        <is>
          <t>2.350</t>
        </is>
      </c>
      <c r="N4472" t="inlineStr">
        <is>
          <t>Modalidade: 0 - Por conta do remetente | Parte: DISTRIBUIDORA DE EMBALAGENS SUACUI LTDA (10.560.122/0001-96)</t>
        </is>
      </c>
      <c r="O4472" s="29" t="n">
        <v>0</v>
      </c>
      <c r="P4472" s="29" t="n">
        <v>98.05</v>
      </c>
      <c r="Q4472" s="29" t="n">
        <v>0</v>
      </c>
      <c r="R4472" s="29" t="n">
        <v>0</v>
      </c>
      <c r="S4472" s="29" t="n">
        <v>0</v>
      </c>
      <c r="T4472" t="inlineStr">
        <is>
          <t>25260959256389000183570010000006401001301135</t>
        </is>
      </c>
      <c r="U4472" t="inlineStr">
        <is>
          <t>Sim</t>
        </is>
      </c>
    </row>
    <row r="4473">
      <c r="A4473" t="inlineStr">
        <is>
          <t>Frete de venda</t>
        </is>
      </c>
      <c r="B4473" t="inlineStr">
        <is>
          <t>2.01.02 Frete sobre Vendas</t>
        </is>
      </c>
      <c r="C4473" s="30" t="n">
        <v>46266</v>
      </c>
      <c r="D4473" t="inlineStr">
        <is>
          <t>Em 2026</t>
        </is>
      </c>
      <c r="E4473" s="28" t="n">
        <v>46277</v>
      </c>
      <c r="F4473" t="inlineStr">
        <is>
          <t>CT-e</t>
        </is>
      </c>
      <c r="G4473" t="inlineStr">
        <is>
          <t>000000641</t>
        </is>
      </c>
      <c r="H4473" t="inlineStr">
        <is>
          <t>DURA MAIS TRANSPORTES LTDA</t>
        </is>
      </c>
      <c r="J4473" s="29" t="n">
        <v>817.1</v>
      </c>
      <c r="K4473" s="29">
        <f>(1-ISNUMBER(SEARCH("556",M4473)))*(O4473*SUMIFS(Premissas!$C$5:$C$44,Premissas!$A$5:$A$44,$A4473,Premissas!$B$5:$B$44,$B4473)+P4473*SUMIFS(Premissas!$D$5:$D$44,Premissas!$A$5:$A$44,$A4473,Premissas!$B$5:$B$44,$B4473))+R4473*SUMIFS(Premissas!$E$5:$E$44,Premissas!$A$5:$A$44,$A4473,Premissas!$B$5:$B$44,$B4473)+S4473*SUMIFS(Premissas!$F$5:$F$44,Premissas!$A$5:$A$44,$A4473,Premissas!$B$5:$B$44,$B4473)</f>
        <v/>
      </c>
      <c r="L4473" s="29">
        <f>J4473-K4473</f>
        <v/>
      </c>
      <c r="M4473" t="inlineStr">
        <is>
          <t>2.350</t>
        </is>
      </c>
      <c r="N4473" t="inlineStr">
        <is>
          <t>Modalidade: 0 - Por conta do remetente | Parte: ITACOLOMY DISTRIBUIDORA DE EMBALAGENS E DOCES LTDA (31.655.351/0001-64)</t>
        </is>
      </c>
      <c r="O4473" s="29" t="n">
        <v>0</v>
      </c>
      <c r="P4473" s="29" t="n">
        <v>98.05</v>
      </c>
      <c r="Q4473" s="29" t="n">
        <v>0</v>
      </c>
      <c r="R4473" s="29" t="n">
        <v>0</v>
      </c>
      <c r="S4473" s="29" t="n">
        <v>0</v>
      </c>
      <c r="T4473" t="inlineStr">
        <is>
          <t>25260959256389000183570010000006411000101210</t>
        </is>
      </c>
      <c r="U4473" t="inlineStr">
        <is>
          <t>Sim</t>
        </is>
      </c>
    </row>
    <row r="4474">
      <c r="A4474" t="inlineStr">
        <is>
          <t>Frete de venda</t>
        </is>
      </c>
      <c r="B4474" t="inlineStr">
        <is>
          <t>2.01.02 Frete sobre Vendas</t>
        </is>
      </c>
      <c r="C4474" s="30" t="n">
        <v>46266</v>
      </c>
      <c r="D4474" t="inlineStr">
        <is>
          <t>Em 2026</t>
        </is>
      </c>
      <c r="E4474" s="28" t="n">
        <v>46277</v>
      </c>
      <c r="F4474" t="inlineStr">
        <is>
          <t>CT-e</t>
        </is>
      </c>
      <c r="G4474" t="inlineStr">
        <is>
          <t>000000642</t>
        </is>
      </c>
      <c r="H4474" t="inlineStr">
        <is>
          <t>DURA MAIS TRANSPORTES LTDA</t>
        </is>
      </c>
      <c r="J4474" s="29" t="n">
        <v>817.1</v>
      </c>
      <c r="K4474" s="29">
        <f>(1-ISNUMBER(SEARCH("556",M4474)))*(O4474*SUMIFS(Premissas!$C$5:$C$44,Premissas!$A$5:$A$44,$A4474,Premissas!$B$5:$B$44,$B4474)+P4474*SUMIFS(Premissas!$D$5:$D$44,Premissas!$A$5:$A$44,$A4474,Premissas!$B$5:$B$44,$B4474))+R4474*SUMIFS(Premissas!$E$5:$E$44,Premissas!$A$5:$A$44,$A4474,Premissas!$B$5:$B$44,$B4474)+S4474*SUMIFS(Premissas!$F$5:$F$44,Premissas!$A$5:$A$44,$A4474,Premissas!$B$5:$B$44,$B4474)</f>
        <v/>
      </c>
      <c r="L4474" s="29">
        <f>J4474-K4474</f>
        <v/>
      </c>
      <c r="M4474" t="inlineStr">
        <is>
          <t>2.350</t>
        </is>
      </c>
      <c r="N4474" t="inlineStr">
        <is>
          <t>Modalidade: 0 - Por conta do remetente | Parte: CASA DAS EMBALAGENS OLIVEIRA LTDA (09.016.431/0001-10)</t>
        </is>
      </c>
      <c r="O4474" s="29" t="n">
        <v>0</v>
      </c>
      <c r="P4474" s="29" t="n">
        <v>98.05</v>
      </c>
      <c r="Q4474" s="29" t="n">
        <v>0</v>
      </c>
      <c r="R4474" s="29" t="n">
        <v>0</v>
      </c>
      <c r="S4474" s="29" t="n">
        <v>0</v>
      </c>
      <c r="T4474" t="inlineStr">
        <is>
          <t>25260959256389000183570010000006421001801299</t>
        </is>
      </c>
      <c r="U4474" t="inlineStr">
        <is>
          <t>Sim</t>
        </is>
      </c>
    </row>
    <row r="4475">
      <c r="A4475" t="inlineStr">
        <is>
          <t>Frete de venda</t>
        </is>
      </c>
      <c r="B4475" t="inlineStr">
        <is>
          <t>2.01.02 Frete sobre Vendas</t>
        </is>
      </c>
      <c r="C4475" s="30" t="n">
        <v>46266</v>
      </c>
      <c r="D4475" t="inlineStr">
        <is>
          <t>Em 2026</t>
        </is>
      </c>
      <c r="E4475" s="28" t="n">
        <v>46277</v>
      </c>
      <c r="F4475" t="inlineStr">
        <is>
          <t>CT-e</t>
        </is>
      </c>
      <c r="G4475" t="inlineStr">
        <is>
          <t>000000643</t>
        </is>
      </c>
      <c r="H4475" t="inlineStr">
        <is>
          <t>DURA MAIS TRANSPORTES LTDA</t>
        </is>
      </c>
      <c r="J4475" s="29" t="n">
        <v>817.1</v>
      </c>
      <c r="K4475" s="29">
        <f>(1-ISNUMBER(SEARCH("556",M4475)))*(O4475*SUMIFS(Premissas!$C$5:$C$44,Premissas!$A$5:$A$44,$A4475,Premissas!$B$5:$B$44,$B4475)+P4475*SUMIFS(Premissas!$D$5:$D$44,Premissas!$A$5:$A$44,$A4475,Premissas!$B$5:$B$44,$B4475))+R4475*SUMIFS(Premissas!$E$5:$E$44,Premissas!$A$5:$A$44,$A4475,Premissas!$B$5:$B$44,$B4475)+S4475*SUMIFS(Premissas!$F$5:$F$44,Premissas!$A$5:$A$44,$A4475,Premissas!$B$5:$B$44,$B4475)</f>
        <v/>
      </c>
      <c r="L4475" s="29">
        <f>J4475-K4475</f>
        <v/>
      </c>
      <c r="M4475" t="inlineStr">
        <is>
          <t>2.350</t>
        </is>
      </c>
      <c r="N4475" t="inlineStr">
        <is>
          <t>Modalidade: 0 - Por conta do remetente | Parte: GUGA EMBALAGENS E DESCARTAVEIS LTDA (61.468.311/0001-74)</t>
        </is>
      </c>
      <c r="O4475" s="29" t="n">
        <v>0</v>
      </c>
      <c r="P4475" s="29" t="n">
        <v>98.05</v>
      </c>
      <c r="Q4475" s="29" t="n">
        <v>0</v>
      </c>
      <c r="R4475" s="29" t="n">
        <v>0</v>
      </c>
      <c r="S4475" s="29" t="n">
        <v>0</v>
      </c>
      <c r="T4475" t="inlineStr">
        <is>
          <t>25260959256389000183570010000006431001501373</t>
        </is>
      </c>
      <c r="U4475" t="inlineStr">
        <is>
          <t>Sim</t>
        </is>
      </c>
    </row>
    <row r="4476">
      <c r="A4476" t="inlineStr">
        <is>
          <t>Frete de venda</t>
        </is>
      </c>
      <c r="B4476" t="inlineStr">
        <is>
          <t>2.01.02 Frete sobre Vendas</t>
        </is>
      </c>
      <c r="C4476" s="30" t="n">
        <v>46266</v>
      </c>
      <c r="D4476" t="inlineStr">
        <is>
          <t>Em 2026</t>
        </is>
      </c>
      <c r="E4476" s="28" t="n">
        <v>46277</v>
      </c>
      <c r="F4476" t="inlineStr">
        <is>
          <t>CT-e</t>
        </is>
      </c>
      <c r="G4476" t="inlineStr">
        <is>
          <t>000000644</t>
        </is>
      </c>
      <c r="H4476" t="inlineStr">
        <is>
          <t>DURA MAIS TRANSPORTES LTDA</t>
        </is>
      </c>
      <c r="J4476" s="29" t="n">
        <v>817.1</v>
      </c>
      <c r="K4476" s="29">
        <f>(1-ISNUMBER(SEARCH("556",M4476)))*(O4476*SUMIFS(Premissas!$C$5:$C$44,Premissas!$A$5:$A$44,$A4476,Premissas!$B$5:$B$44,$B4476)+P4476*SUMIFS(Premissas!$D$5:$D$44,Premissas!$A$5:$A$44,$A4476,Premissas!$B$5:$B$44,$B4476))+R4476*SUMIFS(Premissas!$E$5:$E$44,Premissas!$A$5:$A$44,$A4476,Premissas!$B$5:$B$44,$B4476)+S4476*SUMIFS(Premissas!$F$5:$F$44,Premissas!$A$5:$A$44,$A4476,Premissas!$B$5:$B$44,$B4476)</f>
        <v/>
      </c>
      <c r="L4476" s="29">
        <f>J4476-K4476</f>
        <v/>
      </c>
      <c r="M4476" t="inlineStr">
        <is>
          <t>2.350</t>
        </is>
      </c>
      <c r="N4476" t="inlineStr">
        <is>
          <t>Modalidade: 0 - Por conta do remetente | Parte: CRISTAL NEWS ALIMENTOS E EMBALAGENS LTDA (04.067.045/0001-34)</t>
        </is>
      </c>
      <c r="O4476" s="29" t="n">
        <v>0</v>
      </c>
      <c r="P4476" s="29" t="n">
        <v>98.05</v>
      </c>
      <c r="Q4476" s="29" t="n">
        <v>0</v>
      </c>
      <c r="R4476" s="29" t="n">
        <v>0</v>
      </c>
      <c r="S4476" s="29" t="n">
        <v>0</v>
      </c>
      <c r="T4476" t="inlineStr">
        <is>
          <t>25260959256389000183570010000006441001201458</t>
        </is>
      </c>
      <c r="U4476" t="inlineStr">
        <is>
          <t>Sim</t>
        </is>
      </c>
    </row>
    <row r="4477">
      <c r="A4477" t="inlineStr">
        <is>
          <t>Frete de venda</t>
        </is>
      </c>
      <c r="B4477" t="inlineStr">
        <is>
          <t>2.01.02 Frete sobre Vendas</t>
        </is>
      </c>
      <c r="C4477" s="30" t="n">
        <v>46266</v>
      </c>
      <c r="D4477" t="inlineStr">
        <is>
          <t>Em 2026</t>
        </is>
      </c>
      <c r="E4477" s="28" t="n">
        <v>46277</v>
      </c>
      <c r="F4477" t="inlineStr">
        <is>
          <t>CT-e</t>
        </is>
      </c>
      <c r="G4477" t="inlineStr">
        <is>
          <t>000000645</t>
        </is>
      </c>
      <c r="H4477" t="inlineStr">
        <is>
          <t>DURA MAIS TRANSPORTES LTDA</t>
        </is>
      </c>
      <c r="J4477" s="29" t="n">
        <v>817.1</v>
      </c>
      <c r="K4477" s="29">
        <f>(1-ISNUMBER(SEARCH("556",M4477)))*(O4477*SUMIFS(Premissas!$C$5:$C$44,Premissas!$A$5:$A$44,$A4477,Premissas!$B$5:$B$44,$B4477)+P4477*SUMIFS(Premissas!$D$5:$D$44,Premissas!$A$5:$A$44,$A4477,Premissas!$B$5:$B$44,$B4477))+R4477*SUMIFS(Premissas!$E$5:$E$44,Premissas!$A$5:$A$44,$A4477,Premissas!$B$5:$B$44,$B4477)+S4477*SUMIFS(Premissas!$F$5:$F$44,Premissas!$A$5:$A$44,$A4477,Premissas!$B$5:$B$44,$B4477)</f>
        <v/>
      </c>
      <c r="L4477" s="29">
        <f>J4477-K4477</f>
        <v/>
      </c>
      <c r="M4477" t="inlineStr">
        <is>
          <t>2.350</t>
        </is>
      </c>
      <c r="N4477" t="inlineStr">
        <is>
          <t>Modalidade: 0 - Por conta do remetente | Parte: EDGAR COUTO PIRES (05.857.084/0001-06)</t>
        </is>
      </c>
      <c r="O4477" s="29" t="n">
        <v>0</v>
      </c>
      <c r="P4477" s="29" t="n">
        <v>98.05</v>
      </c>
      <c r="Q4477" s="29" t="n">
        <v>0</v>
      </c>
      <c r="R4477" s="29" t="n">
        <v>0</v>
      </c>
      <c r="S4477" s="29" t="n">
        <v>0</v>
      </c>
      <c r="T4477" t="inlineStr">
        <is>
          <t>25260959256389000183570010000006451011001530</t>
        </is>
      </c>
      <c r="U4477" t="inlineStr">
        <is>
          <t>Sim</t>
        </is>
      </c>
    </row>
    <row r="4478">
      <c r="A4478" t="inlineStr">
        <is>
          <t>Frete de venda</t>
        </is>
      </c>
      <c r="B4478" t="inlineStr">
        <is>
          <t>2.01.02 Frete sobre Vendas</t>
        </is>
      </c>
      <c r="C4478" s="30" t="n">
        <v>46266</v>
      </c>
      <c r="D4478" t="inlineStr">
        <is>
          <t>Em 2026</t>
        </is>
      </c>
      <c r="E4478" s="28" t="n">
        <v>46277</v>
      </c>
      <c r="F4478" t="inlineStr">
        <is>
          <t>CT-e</t>
        </is>
      </c>
      <c r="G4478" t="inlineStr">
        <is>
          <t>000000646</t>
        </is>
      </c>
      <c r="H4478" t="inlineStr">
        <is>
          <t>DURA MAIS TRANSPORTES LTDA</t>
        </is>
      </c>
      <c r="J4478" s="29" t="n">
        <v>817.1</v>
      </c>
      <c r="K4478" s="29">
        <f>(1-ISNUMBER(SEARCH("556",M4478)))*(O4478*SUMIFS(Premissas!$C$5:$C$44,Premissas!$A$5:$A$44,$A4478,Premissas!$B$5:$B$44,$B4478)+P4478*SUMIFS(Premissas!$D$5:$D$44,Premissas!$A$5:$A$44,$A4478,Premissas!$B$5:$B$44,$B4478))+R4478*SUMIFS(Premissas!$E$5:$E$44,Premissas!$A$5:$A$44,$A4478,Premissas!$B$5:$B$44,$B4478)+S4478*SUMIFS(Premissas!$F$5:$F$44,Premissas!$A$5:$A$44,$A4478,Premissas!$B$5:$B$44,$B4478)</f>
        <v/>
      </c>
      <c r="L4478" s="29">
        <f>J4478-K4478</f>
        <v/>
      </c>
      <c r="M4478" t="inlineStr">
        <is>
          <t>2.350</t>
        </is>
      </c>
      <c r="N4478" t="inlineStr">
        <is>
          <t>Modalidade: 0 - Por conta do remetente | Parte: CANAA COMERCIO DE EMBALAGENS LTDA (44.730.457/0001-27)</t>
        </is>
      </c>
      <c r="O4478" s="29" t="n">
        <v>0</v>
      </c>
      <c r="P4478" s="29" t="n">
        <v>98.05</v>
      </c>
      <c r="Q4478" s="29" t="n">
        <v>0</v>
      </c>
      <c r="R4478" s="29" t="n">
        <v>0</v>
      </c>
      <c r="S4478" s="29" t="n">
        <v>0</v>
      </c>
      <c r="T4478" t="inlineStr">
        <is>
          <t>25260959256389000183570010000006461001701617</t>
        </is>
      </c>
      <c r="U4478" t="inlineStr">
        <is>
          <t>Sim</t>
        </is>
      </c>
    </row>
    <row r="4479">
      <c r="A4479" t="inlineStr">
        <is>
          <t>Frete de venda</t>
        </is>
      </c>
      <c r="B4479" t="inlineStr">
        <is>
          <t>2.01.02 Frete sobre Vendas</t>
        </is>
      </c>
      <c r="C4479" s="30" t="n">
        <v>46266</v>
      </c>
      <c r="D4479" t="inlineStr">
        <is>
          <t>Em 2026</t>
        </is>
      </c>
      <c r="E4479" s="28" t="n">
        <v>46277</v>
      </c>
      <c r="F4479" t="inlineStr">
        <is>
          <t>CT-e</t>
        </is>
      </c>
      <c r="G4479" t="inlineStr">
        <is>
          <t>000000647</t>
        </is>
      </c>
      <c r="H4479" t="inlineStr">
        <is>
          <t>DURA MAIS TRANSPORTES LTDA</t>
        </is>
      </c>
      <c r="J4479" s="29" t="n">
        <v>817.1</v>
      </c>
      <c r="K4479" s="29">
        <f>(1-ISNUMBER(SEARCH("556",M4479)))*(O4479*SUMIFS(Premissas!$C$5:$C$44,Premissas!$A$5:$A$44,$A4479,Premissas!$B$5:$B$44,$B4479)+P4479*SUMIFS(Premissas!$D$5:$D$44,Premissas!$A$5:$A$44,$A4479,Premissas!$B$5:$B$44,$B4479))+R4479*SUMIFS(Premissas!$E$5:$E$44,Premissas!$A$5:$A$44,$A4479,Premissas!$B$5:$B$44,$B4479)+S4479*SUMIFS(Premissas!$F$5:$F$44,Premissas!$A$5:$A$44,$A4479,Premissas!$B$5:$B$44,$B4479)</f>
        <v/>
      </c>
      <c r="L4479" s="29">
        <f>J4479-K4479</f>
        <v/>
      </c>
      <c r="M4479" t="inlineStr">
        <is>
          <t>2.350</t>
        </is>
      </c>
      <c r="N4479" t="inlineStr">
        <is>
          <t>Modalidade: 0 - Por conta do remetente | Parte: ITAVALE DISTRIBUIDORA LTDA (05.452.972/0001-30)</t>
        </is>
      </c>
      <c r="O4479" s="29" t="n">
        <v>0</v>
      </c>
      <c r="P4479" s="29" t="n">
        <v>98.05</v>
      </c>
      <c r="Q4479" s="29" t="n">
        <v>0</v>
      </c>
      <c r="R4479" s="29" t="n">
        <v>0</v>
      </c>
      <c r="S4479" s="29" t="n">
        <v>0</v>
      </c>
      <c r="T4479" t="inlineStr">
        <is>
          <t>25260959256389000183570010000006471001401696</t>
        </is>
      </c>
      <c r="U4479" t="inlineStr">
        <is>
          <t>Sim</t>
        </is>
      </c>
    </row>
    <row r="4480">
      <c r="A4480" t="inlineStr">
        <is>
          <t>Frete de venda</t>
        </is>
      </c>
      <c r="B4480" t="inlineStr">
        <is>
          <t>2.01.02 Frete sobre Vendas</t>
        </is>
      </c>
      <c r="C4480" s="30" t="n">
        <v>46266</v>
      </c>
      <c r="D4480" t="inlineStr">
        <is>
          <t>Em 2026</t>
        </is>
      </c>
      <c r="E4480" s="28" t="n">
        <v>46277</v>
      </c>
      <c r="F4480" t="inlineStr">
        <is>
          <t>CT-e</t>
        </is>
      </c>
      <c r="G4480" t="inlineStr">
        <is>
          <t>000000648</t>
        </is>
      </c>
      <c r="H4480" t="inlineStr">
        <is>
          <t>DURA MAIS TRANSPORTES LTDA</t>
        </is>
      </c>
      <c r="J4480" s="29" t="n">
        <v>817.1</v>
      </c>
      <c r="K4480" s="29">
        <f>(1-ISNUMBER(SEARCH("556",M4480)))*(O4480*SUMIFS(Premissas!$C$5:$C$44,Premissas!$A$5:$A$44,$A4480,Premissas!$B$5:$B$44,$B4480)+P4480*SUMIFS(Premissas!$D$5:$D$44,Premissas!$A$5:$A$44,$A4480,Premissas!$B$5:$B$44,$B4480))+R4480*SUMIFS(Premissas!$E$5:$E$44,Premissas!$A$5:$A$44,$A4480,Premissas!$B$5:$B$44,$B4480)+S4480*SUMIFS(Premissas!$F$5:$F$44,Premissas!$A$5:$A$44,$A4480,Premissas!$B$5:$B$44,$B4480)</f>
        <v/>
      </c>
      <c r="L4480" s="29">
        <f>J4480-K4480</f>
        <v/>
      </c>
      <c r="M4480" t="inlineStr">
        <is>
          <t>2.350</t>
        </is>
      </c>
      <c r="N4480" t="inlineStr">
        <is>
          <t>Modalidade: 0 - Por conta do remetente | Parte: CAJULU EMBALAGENS E BOMBONIERE LTDA (42.143.226/0001-91)</t>
        </is>
      </c>
      <c r="O4480" s="29" t="n">
        <v>0</v>
      </c>
      <c r="P4480" s="29" t="n">
        <v>98.05</v>
      </c>
      <c r="Q4480" s="29" t="n">
        <v>0</v>
      </c>
      <c r="R4480" s="29" t="n">
        <v>0</v>
      </c>
      <c r="S4480" s="29" t="n">
        <v>0</v>
      </c>
      <c r="T4480" t="inlineStr">
        <is>
          <t>25260959256389000183570010000006481001501043</t>
        </is>
      </c>
      <c r="U4480" t="inlineStr">
        <is>
          <t>Sim</t>
        </is>
      </c>
    </row>
    <row r="4481">
      <c r="A4481" t="inlineStr">
        <is>
          <t>Frete de venda</t>
        </is>
      </c>
      <c r="B4481" t="inlineStr">
        <is>
          <t>2.01.02 Frete sobre Vendas</t>
        </is>
      </c>
      <c r="C4481" s="30" t="n">
        <v>46266</v>
      </c>
      <c r="D4481" t="inlineStr">
        <is>
          <t>Em 2026</t>
        </is>
      </c>
      <c r="E4481" s="28" t="n">
        <v>46277</v>
      </c>
      <c r="F4481" t="inlineStr">
        <is>
          <t>CT-e</t>
        </is>
      </c>
      <c r="G4481" t="inlineStr">
        <is>
          <t>000000649</t>
        </is>
      </c>
      <c r="H4481" t="inlineStr">
        <is>
          <t>DURA MAIS TRANSPORTES LTDA</t>
        </is>
      </c>
      <c r="J4481" s="29" t="n">
        <v>817.1</v>
      </c>
      <c r="K4481" s="29">
        <f>(1-ISNUMBER(SEARCH("556",M4481)))*(O4481*SUMIFS(Premissas!$C$5:$C$44,Premissas!$A$5:$A$44,$A4481,Premissas!$B$5:$B$44,$B4481)+P4481*SUMIFS(Premissas!$D$5:$D$44,Premissas!$A$5:$A$44,$A4481,Premissas!$B$5:$B$44,$B4481))+R4481*SUMIFS(Premissas!$E$5:$E$44,Premissas!$A$5:$A$44,$A4481,Premissas!$B$5:$B$44,$B4481)+S4481*SUMIFS(Premissas!$F$5:$F$44,Premissas!$A$5:$A$44,$A4481,Premissas!$B$5:$B$44,$B4481)</f>
        <v/>
      </c>
      <c r="L4481" s="29">
        <f>J4481-K4481</f>
        <v/>
      </c>
      <c r="M4481" t="inlineStr">
        <is>
          <t>2.350</t>
        </is>
      </c>
      <c r="N4481" t="inlineStr">
        <is>
          <t>Modalidade: 0 - Por conta do remetente | Parte: RS EMBALAGENS LTDA (55.101.651/0001-60)</t>
        </is>
      </c>
      <c r="O4481" s="29" t="n">
        <v>0</v>
      </c>
      <c r="P4481" s="29" t="n">
        <v>98.05</v>
      </c>
      <c r="Q4481" s="29" t="n">
        <v>0</v>
      </c>
      <c r="R4481" s="29" t="n">
        <v>0</v>
      </c>
      <c r="S4481" s="29" t="n">
        <v>0</v>
      </c>
      <c r="T4481" t="inlineStr">
        <is>
          <t>25260959256389000183570010000006491001201128</t>
        </is>
      </c>
      <c r="U4481" t="inlineStr">
        <is>
          <t>Sim</t>
        </is>
      </c>
    </row>
    <row r="4482">
      <c r="A4482" t="inlineStr">
        <is>
          <t>Frete de venda</t>
        </is>
      </c>
      <c r="B4482" t="inlineStr">
        <is>
          <t>2.01.02 Frete sobre Vendas</t>
        </is>
      </c>
      <c r="C4482" s="30" t="n">
        <v>46266</v>
      </c>
      <c r="D4482" t="inlineStr">
        <is>
          <t>Em 2026</t>
        </is>
      </c>
      <c r="E4482" s="28" t="n">
        <v>46277</v>
      </c>
      <c r="F4482" t="inlineStr">
        <is>
          <t>CT-e</t>
        </is>
      </c>
      <c r="G4482" t="inlineStr">
        <is>
          <t>000000650</t>
        </is>
      </c>
      <c r="H4482" t="inlineStr">
        <is>
          <t>DURA MAIS TRANSPORTES LTDA</t>
        </is>
      </c>
      <c r="J4482" s="29" t="n">
        <v>817.1</v>
      </c>
      <c r="K4482" s="29">
        <f>(1-ISNUMBER(SEARCH("556",M4482)))*(O4482*SUMIFS(Premissas!$C$5:$C$44,Premissas!$A$5:$A$44,$A4482,Premissas!$B$5:$B$44,$B4482)+P4482*SUMIFS(Premissas!$D$5:$D$44,Premissas!$A$5:$A$44,$A4482,Premissas!$B$5:$B$44,$B4482))+R4482*SUMIFS(Premissas!$E$5:$E$44,Premissas!$A$5:$A$44,$A4482,Premissas!$B$5:$B$44,$B4482)+S4482*SUMIFS(Premissas!$F$5:$F$44,Premissas!$A$5:$A$44,$A4482,Premissas!$B$5:$B$44,$B4482)</f>
        <v/>
      </c>
      <c r="L4482" s="29">
        <f>J4482-K4482</f>
        <v/>
      </c>
      <c r="M4482" t="inlineStr">
        <is>
          <t>2.350</t>
        </is>
      </c>
      <c r="N4482" t="inlineStr">
        <is>
          <t>Modalidade: 0 - Por conta do remetente | Parte: TF EMBALAGENS LTDA (56.120.517/0001-79)</t>
        </is>
      </c>
      <c r="O4482" s="29" t="n">
        <v>0</v>
      </c>
      <c r="P4482" s="29" t="n">
        <v>98.05</v>
      </c>
      <c r="Q4482" s="29" t="n">
        <v>0</v>
      </c>
      <c r="R4482" s="29" t="n">
        <v>0</v>
      </c>
      <c r="S4482" s="29" t="n">
        <v>0</v>
      </c>
      <c r="T4482" t="inlineStr">
        <is>
          <t>25260959256389000183570010000006501011001203</t>
        </is>
      </c>
      <c r="U4482" t="inlineStr">
        <is>
          <t>Sim</t>
        </is>
      </c>
    </row>
    <row r="4483">
      <c r="A4483" t="inlineStr">
        <is>
          <t>Frete de venda</t>
        </is>
      </c>
      <c r="B4483" t="inlineStr">
        <is>
          <t>2.01.02 Frete sobre Vendas</t>
        </is>
      </c>
      <c r="C4483" s="30" t="n">
        <v>46266</v>
      </c>
      <c r="D4483" t="inlineStr">
        <is>
          <t>Em 2026</t>
        </is>
      </c>
      <c r="E4483" s="28" t="n">
        <v>46277</v>
      </c>
      <c r="F4483" t="inlineStr">
        <is>
          <t>CT-e</t>
        </is>
      </c>
      <c r="G4483" t="inlineStr">
        <is>
          <t>000000651</t>
        </is>
      </c>
      <c r="H4483" t="inlineStr">
        <is>
          <t>DURA MAIS TRANSPORTES LTDA</t>
        </is>
      </c>
      <c r="J4483" s="29" t="n">
        <v>817.1</v>
      </c>
      <c r="K4483" s="29">
        <f>(1-ISNUMBER(SEARCH("556",M4483)))*(O4483*SUMIFS(Premissas!$C$5:$C$44,Premissas!$A$5:$A$44,$A4483,Premissas!$B$5:$B$44,$B4483)+P4483*SUMIFS(Premissas!$D$5:$D$44,Premissas!$A$5:$A$44,$A4483,Premissas!$B$5:$B$44,$B4483))+R4483*SUMIFS(Premissas!$E$5:$E$44,Premissas!$A$5:$A$44,$A4483,Premissas!$B$5:$B$44,$B4483)+S4483*SUMIFS(Premissas!$F$5:$F$44,Premissas!$A$5:$A$44,$A4483,Premissas!$B$5:$B$44,$B4483)</f>
        <v/>
      </c>
      <c r="L4483" s="29">
        <f>J4483-K4483</f>
        <v/>
      </c>
      <c r="M4483" t="inlineStr">
        <is>
          <t>2.350</t>
        </is>
      </c>
      <c r="N4483" t="inlineStr">
        <is>
          <t>Modalidade: 0 - Por conta do remetente | Parte: LUIS HENRIQUE CERQUEIRA DA SILVA (26.119.129/0001-07)</t>
        </is>
      </c>
      <c r="O4483" s="29" t="n">
        <v>0</v>
      </c>
      <c r="P4483" s="29" t="n">
        <v>98.05</v>
      </c>
      <c r="Q4483" s="29" t="n">
        <v>0</v>
      </c>
      <c r="R4483" s="29" t="n">
        <v>0</v>
      </c>
      <c r="S4483" s="29" t="n">
        <v>0</v>
      </c>
      <c r="T4483" t="inlineStr">
        <is>
          <t>25260959256389000183570010000006511001701285</t>
        </is>
      </c>
      <c r="U4483" t="inlineStr">
        <is>
          <t>Sim</t>
        </is>
      </c>
    </row>
    <row r="4484">
      <c r="A4484" t="inlineStr">
        <is>
          <t>Frete de venda</t>
        </is>
      </c>
      <c r="B4484" t="inlineStr">
        <is>
          <t>2.01.02 Frete sobre Vendas</t>
        </is>
      </c>
      <c r="C4484" s="30" t="n">
        <v>46266</v>
      </c>
      <c r="D4484" t="inlineStr">
        <is>
          <t>Em 2026</t>
        </is>
      </c>
      <c r="E4484" s="28" t="n">
        <v>46277</v>
      </c>
      <c r="F4484" t="inlineStr">
        <is>
          <t>CT-e</t>
        </is>
      </c>
      <c r="G4484" t="inlineStr">
        <is>
          <t>000000652</t>
        </is>
      </c>
      <c r="H4484" t="inlineStr">
        <is>
          <t>DURA MAIS TRANSPORTES LTDA</t>
        </is>
      </c>
      <c r="J4484" s="29" t="n">
        <v>817.1</v>
      </c>
      <c r="K4484" s="29">
        <f>(1-ISNUMBER(SEARCH("556",M4484)))*(O4484*SUMIFS(Premissas!$C$5:$C$44,Premissas!$A$5:$A$44,$A4484,Premissas!$B$5:$B$44,$B4484)+P4484*SUMIFS(Premissas!$D$5:$D$44,Premissas!$A$5:$A$44,$A4484,Premissas!$B$5:$B$44,$B4484))+R4484*SUMIFS(Premissas!$E$5:$E$44,Premissas!$A$5:$A$44,$A4484,Premissas!$B$5:$B$44,$B4484)+S4484*SUMIFS(Premissas!$F$5:$F$44,Premissas!$A$5:$A$44,$A4484,Premissas!$B$5:$B$44,$B4484)</f>
        <v/>
      </c>
      <c r="L4484" s="29">
        <f>J4484-K4484</f>
        <v/>
      </c>
      <c r="M4484" t="inlineStr">
        <is>
          <t>2.350</t>
        </is>
      </c>
      <c r="N4484" t="inlineStr">
        <is>
          <t>Modalidade: 0 - Por conta do remetente | Parte: GRACILIANO QUEIROZ PEREIRA DE MELO (02.604.364/0001-06)</t>
        </is>
      </c>
      <c r="O4484" s="29" t="n">
        <v>0</v>
      </c>
      <c r="P4484" s="29" t="n">
        <v>98.05</v>
      </c>
      <c r="Q4484" s="29" t="n">
        <v>0</v>
      </c>
      <c r="R4484" s="29" t="n">
        <v>0</v>
      </c>
      <c r="S4484" s="29" t="n">
        <v>0</v>
      </c>
      <c r="T4484" t="inlineStr">
        <is>
          <t>25260959256389000183570010000006521001401360</t>
        </is>
      </c>
      <c r="U4484" t="inlineStr">
        <is>
          <t>Sim</t>
        </is>
      </c>
    </row>
    <row r="4485">
      <c r="A4485" t="inlineStr">
        <is>
          <t>Frete de venda</t>
        </is>
      </c>
      <c r="B4485" t="inlineStr">
        <is>
          <t>2.01.02 Frete sobre Vendas</t>
        </is>
      </c>
      <c r="C4485" s="30" t="n">
        <v>46266</v>
      </c>
      <c r="D4485" t="inlineStr">
        <is>
          <t>Em 2026</t>
        </is>
      </c>
      <c r="E4485" s="28" t="n">
        <v>46277</v>
      </c>
      <c r="F4485" t="inlineStr">
        <is>
          <t>CT-e</t>
        </is>
      </c>
      <c r="G4485" t="inlineStr">
        <is>
          <t>000000653</t>
        </is>
      </c>
      <c r="H4485" t="inlineStr">
        <is>
          <t>DURA MAIS TRANSPORTES LTDA</t>
        </is>
      </c>
      <c r="J4485" s="29" t="n">
        <v>817.1</v>
      </c>
      <c r="K4485" s="29">
        <f>(1-ISNUMBER(SEARCH("556",M4485)))*(O4485*SUMIFS(Premissas!$C$5:$C$44,Premissas!$A$5:$A$44,$A4485,Premissas!$B$5:$B$44,$B4485)+P4485*SUMIFS(Premissas!$D$5:$D$44,Premissas!$A$5:$A$44,$A4485,Premissas!$B$5:$B$44,$B4485))+R4485*SUMIFS(Premissas!$E$5:$E$44,Premissas!$A$5:$A$44,$A4485,Premissas!$B$5:$B$44,$B4485)+S4485*SUMIFS(Premissas!$F$5:$F$44,Premissas!$A$5:$A$44,$A4485,Premissas!$B$5:$B$44,$B4485)</f>
        <v/>
      </c>
      <c r="L4485" s="29">
        <f>J4485-K4485</f>
        <v/>
      </c>
      <c r="M4485" t="inlineStr">
        <is>
          <t>2.350</t>
        </is>
      </c>
      <c r="N4485" t="inlineStr">
        <is>
          <t>Modalidade: 0 - Por conta do remetente | Parte: ANA CAROL FESTAS LTDA (04.102.707/0001-60)</t>
        </is>
      </c>
      <c r="O4485" s="29" t="n">
        <v>0</v>
      </c>
      <c r="P4485" s="29" t="n">
        <v>98.05</v>
      </c>
      <c r="Q4485" s="29" t="n">
        <v>0</v>
      </c>
      <c r="R4485" s="29" t="n">
        <v>0</v>
      </c>
      <c r="S4485" s="29" t="n">
        <v>0</v>
      </c>
      <c r="T4485" t="inlineStr">
        <is>
          <t>25260959256389000183570010000006531001101444</t>
        </is>
      </c>
      <c r="U4485" t="inlineStr">
        <is>
          <t>Sim</t>
        </is>
      </c>
    </row>
    <row r="4486">
      <c r="A4486" t="inlineStr">
        <is>
          <t>Frete de venda</t>
        </is>
      </c>
      <c r="B4486" t="inlineStr">
        <is>
          <t>2.01.02 Frete sobre Vendas</t>
        </is>
      </c>
      <c r="C4486" s="30" t="n">
        <v>46266</v>
      </c>
      <c r="D4486" t="inlineStr">
        <is>
          <t>Em 2026</t>
        </is>
      </c>
      <c r="E4486" s="28" t="n">
        <v>46281</v>
      </c>
      <c r="F4486" t="inlineStr">
        <is>
          <t>CT-e</t>
        </is>
      </c>
      <c r="G4486" t="inlineStr">
        <is>
          <t>000000684</t>
        </is>
      </c>
      <c r="H4486" t="inlineStr">
        <is>
          <t>DURA MAIS TRANSPORTES LTDA</t>
        </is>
      </c>
      <c r="J4486" s="29" t="n">
        <v>1125</v>
      </c>
      <c r="K4486" s="29">
        <f>(1-ISNUMBER(SEARCH("556",M4486)))*(O4486*SUMIFS(Premissas!$C$5:$C$44,Premissas!$A$5:$A$44,$A4486,Premissas!$B$5:$B$44,$B4486)+P4486*SUMIFS(Premissas!$D$5:$D$44,Premissas!$A$5:$A$44,$A4486,Premissas!$B$5:$B$44,$B4486))+R4486*SUMIFS(Premissas!$E$5:$E$44,Premissas!$A$5:$A$44,$A4486,Premissas!$B$5:$B$44,$B4486)+S4486*SUMIFS(Premissas!$F$5:$F$44,Premissas!$A$5:$A$44,$A4486,Premissas!$B$5:$B$44,$B4486)</f>
        <v/>
      </c>
      <c r="L4486" s="29">
        <f>J4486-K4486</f>
        <v/>
      </c>
      <c r="M4486" t="inlineStr">
        <is>
          <t>2.350</t>
        </is>
      </c>
      <c r="N4486" t="inlineStr">
        <is>
          <t>Transportadora de frete de venda, mas pela modalidade do frete a Vinco recebeu a carga | Modalidade: 1 - Por conta do destinatário | Parte: NOVA CONPEL COMPANHIA NORDESTINA DE PAPEL LTDA (55.330.530/0001-90)</t>
        </is>
      </c>
      <c r="O4486" s="29" t="n">
        <v>0</v>
      </c>
      <c r="P4486" s="29" t="n">
        <v>225</v>
      </c>
      <c r="Q4486" s="29" t="n">
        <v>0</v>
      </c>
      <c r="R4486" s="29" t="n">
        <v>0</v>
      </c>
      <c r="S4486" s="29" t="n">
        <v>0</v>
      </c>
      <c r="T4486" t="inlineStr">
        <is>
          <t>25260959256389000183570010000006841000120352</t>
        </is>
      </c>
      <c r="U4486" t="inlineStr">
        <is>
          <t>Sim</t>
        </is>
      </c>
    </row>
    <row r="4487">
      <c r="A4487" t="inlineStr">
        <is>
          <t>Frete de venda</t>
        </is>
      </c>
      <c r="B4487" t="inlineStr">
        <is>
          <t>2.01.02 Frete sobre Vendas</t>
        </is>
      </c>
      <c r="C4487" s="30" t="n">
        <v>46266</v>
      </c>
      <c r="D4487" t="inlineStr">
        <is>
          <t>Em 2026</t>
        </is>
      </c>
      <c r="E4487" s="28" t="n">
        <v>46281</v>
      </c>
      <c r="F4487" t="inlineStr">
        <is>
          <t>CT-e</t>
        </is>
      </c>
      <c r="G4487" t="inlineStr">
        <is>
          <t>000000685</t>
        </is>
      </c>
      <c r="H4487" t="inlineStr">
        <is>
          <t>DURA MAIS TRANSPORTES LTDA</t>
        </is>
      </c>
      <c r="J4487" s="29" t="n">
        <v>5940</v>
      </c>
      <c r="K4487" s="29">
        <f>(1-ISNUMBER(SEARCH("556",M4487)))*(O4487*SUMIFS(Premissas!$C$5:$C$44,Premissas!$A$5:$A$44,$A4487,Premissas!$B$5:$B$44,$B4487)+P4487*SUMIFS(Premissas!$D$5:$D$44,Premissas!$A$5:$A$44,$A4487,Premissas!$B$5:$B$44,$B4487))+R4487*SUMIFS(Premissas!$E$5:$E$44,Premissas!$A$5:$A$44,$A4487,Premissas!$B$5:$B$44,$B4487)+S4487*SUMIFS(Premissas!$F$5:$F$44,Premissas!$A$5:$A$44,$A4487,Premissas!$B$5:$B$44,$B4487)</f>
        <v/>
      </c>
      <c r="L4487" s="29">
        <f>J4487-K4487</f>
        <v/>
      </c>
      <c r="M4487" t="inlineStr">
        <is>
          <t>2.350</t>
        </is>
      </c>
      <c r="N4487" t="inlineStr">
        <is>
          <t>Modalidade: 0 - Por conta do remetente | Parte: RFC COMERCIO DE MIUDEZAS LTDA (26.514.797/0004-81)</t>
        </is>
      </c>
      <c r="O4487" s="29" t="n">
        <v>0</v>
      </c>
      <c r="P4487" s="29" t="n">
        <v>712.8</v>
      </c>
      <c r="Q4487" s="29" t="n">
        <v>0</v>
      </c>
      <c r="R4487" s="29" t="n">
        <v>0</v>
      </c>
      <c r="S4487" s="29" t="n">
        <v>0</v>
      </c>
      <c r="T4487" t="inlineStr">
        <is>
          <t>25260959256389000183570010000006851001100433</t>
        </is>
      </c>
      <c r="U4487" t="inlineStr">
        <is>
          <t>Sim</t>
        </is>
      </c>
    </row>
    <row r="4488">
      <c r="A4488" t="inlineStr">
        <is>
          <t>Frete de venda</t>
        </is>
      </c>
      <c r="B4488" t="inlineStr">
        <is>
          <t>2.01.02 Frete sobre Vendas</t>
        </is>
      </c>
      <c r="C4488" s="30" t="n">
        <v>46266</v>
      </c>
      <c r="D4488" t="inlineStr">
        <is>
          <t>Em 2026</t>
        </is>
      </c>
      <c r="E4488" s="28" t="n">
        <v>46281</v>
      </c>
      <c r="F4488" t="inlineStr">
        <is>
          <t>CT-e</t>
        </is>
      </c>
      <c r="G4488" t="inlineStr">
        <is>
          <t>000000686</t>
        </is>
      </c>
      <c r="H4488" t="inlineStr">
        <is>
          <t>DURA MAIS TRANSPORTES LTDA</t>
        </is>
      </c>
      <c r="J4488" s="29" t="n">
        <v>5940</v>
      </c>
      <c r="K4488" s="29">
        <f>(1-ISNUMBER(SEARCH("556",M4488)))*(O4488*SUMIFS(Premissas!$C$5:$C$44,Premissas!$A$5:$A$44,$A4488,Premissas!$B$5:$B$44,$B4488)+P4488*SUMIFS(Premissas!$D$5:$D$44,Premissas!$A$5:$A$44,$A4488,Premissas!$B$5:$B$44,$B4488))+R4488*SUMIFS(Premissas!$E$5:$E$44,Premissas!$A$5:$A$44,$A4488,Premissas!$B$5:$B$44,$B4488)+S4488*SUMIFS(Premissas!$F$5:$F$44,Premissas!$A$5:$A$44,$A4488,Premissas!$B$5:$B$44,$B4488)</f>
        <v/>
      </c>
      <c r="L4488" s="29">
        <f>J4488-K4488</f>
        <v/>
      </c>
      <c r="M4488" t="inlineStr">
        <is>
          <t>2.350</t>
        </is>
      </c>
      <c r="N4488" t="inlineStr">
        <is>
          <t>Modalidade: 0 - Por conta do remetente | Parte: BENTO ATACADO E VAREJO LTDA (17.531.075/0001-00)</t>
        </is>
      </c>
      <c r="O4488" s="29" t="n">
        <v>0</v>
      </c>
      <c r="P4488" s="29" t="n">
        <v>712.8</v>
      </c>
      <c r="Q4488" s="29" t="n">
        <v>0</v>
      </c>
      <c r="R4488" s="29" t="n">
        <v>0</v>
      </c>
      <c r="S4488" s="29" t="n">
        <v>0</v>
      </c>
      <c r="T4488" t="inlineStr">
        <is>
          <t>25260959256389000183570010000006861000170516</t>
        </is>
      </c>
      <c r="U4488" t="inlineStr">
        <is>
          <t>Sim</t>
        </is>
      </c>
    </row>
    <row r="4489">
      <c r="A4489" t="inlineStr">
        <is>
          <t>Frete de venda</t>
        </is>
      </c>
      <c r="B4489" t="inlineStr">
        <is>
          <t>2.01.02 Frete sobre Vendas</t>
        </is>
      </c>
      <c r="C4489" s="30" t="n">
        <v>46266</v>
      </c>
      <c r="D4489" t="inlineStr">
        <is>
          <t>Em 2026</t>
        </is>
      </c>
      <c r="E4489" s="28" t="n">
        <v>46281</v>
      </c>
      <c r="F4489" t="inlineStr">
        <is>
          <t>CT-e</t>
        </is>
      </c>
      <c r="G4489" t="inlineStr">
        <is>
          <t>000000687</t>
        </is>
      </c>
      <c r="H4489" t="inlineStr">
        <is>
          <t>DURA MAIS TRANSPORTES LTDA</t>
        </is>
      </c>
      <c r="J4489" s="29" t="n">
        <v>5940</v>
      </c>
      <c r="K4489" s="29">
        <f>(1-ISNUMBER(SEARCH("556",M4489)))*(O4489*SUMIFS(Premissas!$C$5:$C$44,Premissas!$A$5:$A$44,$A4489,Premissas!$B$5:$B$44,$B4489)+P4489*SUMIFS(Premissas!$D$5:$D$44,Premissas!$A$5:$A$44,$A4489,Premissas!$B$5:$B$44,$B4489))+R4489*SUMIFS(Premissas!$E$5:$E$44,Premissas!$A$5:$A$44,$A4489,Premissas!$B$5:$B$44,$B4489)+S4489*SUMIFS(Premissas!$F$5:$F$44,Premissas!$A$5:$A$44,$A4489,Premissas!$B$5:$B$44,$B4489)</f>
        <v/>
      </c>
      <c r="L4489" s="29">
        <f>J4489-K4489</f>
        <v/>
      </c>
      <c r="M4489" t="inlineStr">
        <is>
          <t>2.350</t>
        </is>
      </c>
      <c r="N4489" t="inlineStr">
        <is>
          <t>Modalidade: 0 - Por conta do remetente | Parte: FRONTEIRA EMBALAGENS LTDA (47.115.817/0001-79)</t>
        </is>
      </c>
      <c r="O4489" s="29" t="n">
        <v>0</v>
      </c>
      <c r="P4489" s="29" t="n">
        <v>712.8</v>
      </c>
      <c r="Q4489" s="29" t="n">
        <v>0</v>
      </c>
      <c r="R4489" s="29" t="n">
        <v>0</v>
      </c>
      <c r="S4489" s="29" t="n">
        <v>0</v>
      </c>
      <c r="T4489" t="inlineStr">
        <is>
          <t>25260959256389000183570010000006871000140592</t>
        </is>
      </c>
      <c r="U4489" t="inlineStr">
        <is>
          <t>Sim</t>
        </is>
      </c>
    </row>
    <row r="4490">
      <c r="A4490" t="inlineStr">
        <is>
          <t>Frete de venda</t>
        </is>
      </c>
      <c r="B4490" t="inlineStr">
        <is>
          <t>2.01.02 Frete sobre Vendas</t>
        </is>
      </c>
      <c r="C4490" s="30" t="n">
        <v>46266</v>
      </c>
      <c r="D4490" t="inlineStr">
        <is>
          <t>Em 2026</t>
        </is>
      </c>
      <c r="E4490" s="28" t="n">
        <v>46283</v>
      </c>
      <c r="F4490" t="inlineStr">
        <is>
          <t>CT-e</t>
        </is>
      </c>
      <c r="G4490" t="inlineStr">
        <is>
          <t>000000706</t>
        </is>
      </c>
      <c r="H4490" t="inlineStr">
        <is>
          <t>DURA MAIS TRANSPORTES LTDA</t>
        </is>
      </c>
      <c r="J4490" s="29" t="n">
        <v>14175</v>
      </c>
      <c r="K4490" s="29">
        <f>(1-ISNUMBER(SEARCH("556",M4490)))*(O4490*SUMIFS(Premissas!$C$5:$C$44,Premissas!$A$5:$A$44,$A4490,Premissas!$B$5:$B$44,$B4490)+P4490*SUMIFS(Premissas!$D$5:$D$44,Premissas!$A$5:$A$44,$A4490,Premissas!$B$5:$B$44,$B4490))+R4490*SUMIFS(Premissas!$E$5:$E$44,Premissas!$A$5:$A$44,$A4490,Premissas!$B$5:$B$44,$B4490)+S4490*SUMIFS(Premissas!$F$5:$F$44,Premissas!$A$5:$A$44,$A4490,Premissas!$B$5:$B$44,$B4490)</f>
        <v/>
      </c>
      <c r="L4490" s="29">
        <f>J4490-K4490</f>
        <v/>
      </c>
      <c r="M4490" t="inlineStr">
        <is>
          <t>2.350</t>
        </is>
      </c>
      <c r="N4490" t="inlineStr">
        <is>
          <t>Modalidade: 0 - Por conta do remetente | Parte: DISTRIPACK DISTRIBUIDORA DE EMBALAGENS LTDA (11.043.375/0002-36)</t>
        </is>
      </c>
      <c r="O4490" s="29" t="n">
        <v>0</v>
      </c>
      <c r="P4490" s="29" t="n">
        <v>1701</v>
      </c>
      <c r="Q4490" s="29" t="n">
        <v>0</v>
      </c>
      <c r="R4490" s="29" t="n">
        <v>0</v>
      </c>
      <c r="S4490" s="29" t="n">
        <v>0</v>
      </c>
      <c r="T4490" t="inlineStr">
        <is>
          <t>25260959256389000183570010000007061000170731</t>
        </is>
      </c>
      <c r="U4490" t="inlineStr">
        <is>
          <t>Sim</t>
        </is>
      </c>
    </row>
    <row r="4491">
      <c r="A4491" t="inlineStr">
        <is>
          <t>Frete de venda</t>
        </is>
      </c>
      <c r="B4491" t="inlineStr">
        <is>
          <t>2.01.02 Frete sobre Vendas</t>
        </is>
      </c>
      <c r="C4491" s="30" t="n">
        <v>46266</v>
      </c>
      <c r="D4491" t="inlineStr">
        <is>
          <t>Em 2026</t>
        </is>
      </c>
      <c r="E4491" s="28" t="n">
        <v>46283</v>
      </c>
      <c r="F4491" t="inlineStr">
        <is>
          <t>CT-e</t>
        </is>
      </c>
      <c r="G4491" t="inlineStr">
        <is>
          <t>000000708</t>
        </is>
      </c>
      <c r="H4491" t="inlineStr">
        <is>
          <t>DURA MAIS TRANSPORTES LTDA</t>
        </is>
      </c>
      <c r="J4491" s="29" t="n">
        <v>416.91</v>
      </c>
      <c r="K4491" s="29">
        <f>(1-ISNUMBER(SEARCH("556",M4491)))*(O4491*SUMIFS(Premissas!$C$5:$C$44,Premissas!$A$5:$A$44,$A4491,Premissas!$B$5:$B$44,$B4491)+P4491*SUMIFS(Premissas!$D$5:$D$44,Premissas!$A$5:$A$44,$A4491,Premissas!$B$5:$B$44,$B4491))+R4491*SUMIFS(Premissas!$E$5:$E$44,Premissas!$A$5:$A$44,$A4491,Premissas!$B$5:$B$44,$B4491)+S4491*SUMIFS(Premissas!$F$5:$F$44,Premissas!$A$5:$A$44,$A4491,Premissas!$B$5:$B$44,$B4491)</f>
        <v/>
      </c>
      <c r="L4491" s="29">
        <f>J4491-K4491</f>
        <v/>
      </c>
      <c r="M4491" t="inlineStr">
        <is>
          <t>2.350</t>
        </is>
      </c>
      <c r="N4491" t="inlineStr">
        <is>
          <t>Modalidade: 0 - Por conta do remetente | Parte: MOYSA COMERCIO DE EMBALAGENS PLASTICAS LTDA (79.201.935/0001-96)</t>
        </is>
      </c>
      <c r="O4491" s="29" t="n">
        <v>0</v>
      </c>
      <c r="P4491" s="29" t="n">
        <v>50.03</v>
      </c>
      <c r="Q4491" s="29" t="n">
        <v>0</v>
      </c>
      <c r="R4491" s="29" t="n">
        <v>0</v>
      </c>
      <c r="S4491" s="29" t="n">
        <v>0</v>
      </c>
      <c r="T4491" t="inlineStr">
        <is>
          <t>25260959256389000183570010000007081000110890</t>
        </is>
      </c>
      <c r="U4491" t="inlineStr">
        <is>
          <t>Sim</t>
        </is>
      </c>
    </row>
    <row r="4492">
      <c r="A4492" t="inlineStr">
        <is>
          <t>Frete de venda</t>
        </is>
      </c>
      <c r="B4492" t="inlineStr">
        <is>
          <t>2.01.02 Frete sobre Vendas</t>
        </is>
      </c>
      <c r="C4492" s="30" t="n">
        <v>46266</v>
      </c>
      <c r="D4492" t="inlineStr">
        <is>
          <t>Em 2026</t>
        </is>
      </c>
      <c r="E4492" s="28" t="n">
        <v>46283</v>
      </c>
      <c r="F4492" t="inlineStr">
        <is>
          <t>CT-e</t>
        </is>
      </c>
      <c r="G4492" t="inlineStr">
        <is>
          <t>000000709</t>
        </is>
      </c>
      <c r="H4492" t="inlineStr">
        <is>
          <t>DURA MAIS TRANSPORTES LTDA</t>
        </is>
      </c>
      <c r="J4492" s="29" t="n">
        <v>833.8200000000001</v>
      </c>
      <c r="K4492" s="29">
        <f>(1-ISNUMBER(SEARCH("556",M4492)))*(O4492*SUMIFS(Premissas!$C$5:$C$44,Premissas!$A$5:$A$44,$A4492,Premissas!$B$5:$B$44,$B4492)+P4492*SUMIFS(Premissas!$D$5:$D$44,Premissas!$A$5:$A$44,$A4492,Premissas!$B$5:$B$44,$B4492))+R4492*SUMIFS(Premissas!$E$5:$E$44,Premissas!$A$5:$A$44,$A4492,Premissas!$B$5:$B$44,$B4492)+S4492*SUMIFS(Premissas!$F$5:$F$44,Premissas!$A$5:$A$44,$A4492,Premissas!$B$5:$B$44,$B4492)</f>
        <v/>
      </c>
      <c r="L4492" s="29">
        <f>J4492-K4492</f>
        <v/>
      </c>
      <c r="M4492" t="inlineStr">
        <is>
          <t>2.350</t>
        </is>
      </c>
      <c r="N4492" t="inlineStr">
        <is>
          <t>Modalidade: 0 - Por conta do remetente | Parte: SANDRA HELENA GALANTE RODRIGUES LTDA (10.326.778/0001-49)</t>
        </is>
      </c>
      <c r="O4492" s="29" t="n">
        <v>0</v>
      </c>
      <c r="P4492" s="29" t="n">
        <v>100.06</v>
      </c>
      <c r="Q4492" s="29" t="n">
        <v>0</v>
      </c>
      <c r="R4492" s="29" t="n">
        <v>0</v>
      </c>
      <c r="S4492" s="29" t="n">
        <v>0</v>
      </c>
      <c r="T4492" t="inlineStr">
        <is>
          <t>25260959256389000183570010000007091000190971</t>
        </is>
      </c>
      <c r="U4492" t="inlineStr">
        <is>
          <t>Sim</t>
        </is>
      </c>
    </row>
    <row r="4493">
      <c r="A4493" t="inlineStr">
        <is>
          <t>Frete de venda</t>
        </is>
      </c>
      <c r="B4493" t="inlineStr">
        <is>
          <t>2.01.02 Frete sobre Vendas</t>
        </is>
      </c>
      <c r="C4493" s="30" t="n">
        <v>46266</v>
      </c>
      <c r="D4493" t="inlineStr">
        <is>
          <t>Em 2026</t>
        </is>
      </c>
      <c r="E4493" s="28" t="n">
        <v>46283</v>
      </c>
      <c r="F4493" t="inlineStr">
        <is>
          <t>CT-e</t>
        </is>
      </c>
      <c r="G4493" t="inlineStr">
        <is>
          <t>000000710</t>
        </is>
      </c>
      <c r="H4493" t="inlineStr">
        <is>
          <t>DURA MAIS TRANSPORTES LTDA</t>
        </is>
      </c>
      <c r="J4493" s="29" t="n">
        <v>833.8200000000001</v>
      </c>
      <c r="K4493" s="29">
        <f>(1-ISNUMBER(SEARCH("556",M4493)))*(O4493*SUMIFS(Premissas!$C$5:$C$44,Premissas!$A$5:$A$44,$A4493,Premissas!$B$5:$B$44,$B4493)+P4493*SUMIFS(Premissas!$D$5:$D$44,Premissas!$A$5:$A$44,$A4493,Premissas!$B$5:$B$44,$B4493))+R4493*SUMIFS(Premissas!$E$5:$E$44,Premissas!$A$5:$A$44,$A4493,Premissas!$B$5:$B$44,$B4493)+S4493*SUMIFS(Premissas!$F$5:$F$44,Premissas!$A$5:$A$44,$A4493,Premissas!$B$5:$B$44,$B4493)</f>
        <v/>
      </c>
      <c r="L4493" s="29">
        <f>J4493-K4493</f>
        <v/>
      </c>
      <c r="M4493" t="inlineStr">
        <is>
          <t>2.350</t>
        </is>
      </c>
      <c r="N4493" t="inlineStr">
        <is>
          <t>Modalidade: 0 - Por conta do remetente | Parte: JOVANI RODRIGUES (25.093.490/0001-49)</t>
        </is>
      </c>
      <c r="O4493" s="29" t="n">
        <v>0</v>
      </c>
      <c r="P4493" s="29" t="n">
        <v>100.06</v>
      </c>
      <c r="Q4493" s="29" t="n">
        <v>0</v>
      </c>
      <c r="R4493" s="29" t="n">
        <v>0</v>
      </c>
      <c r="S4493" s="29" t="n">
        <v>0</v>
      </c>
      <c r="T4493" t="inlineStr">
        <is>
          <t>25260959256389000183570010000007101001601054</t>
        </is>
      </c>
      <c r="U4493" t="inlineStr">
        <is>
          <t>Sim</t>
        </is>
      </c>
    </row>
    <row r="4494">
      <c r="A4494" t="inlineStr">
        <is>
          <t>Frete de venda</t>
        </is>
      </c>
      <c r="B4494" t="inlineStr">
        <is>
          <t>2.01.02 Frete sobre Vendas</t>
        </is>
      </c>
      <c r="C4494" s="30" t="n">
        <v>46266</v>
      </c>
      <c r="D4494" t="inlineStr">
        <is>
          <t>Em 2026</t>
        </is>
      </c>
      <c r="E4494" s="28" t="n">
        <v>46283</v>
      </c>
      <c r="F4494" t="inlineStr">
        <is>
          <t>CT-e</t>
        </is>
      </c>
      <c r="G4494" t="inlineStr">
        <is>
          <t>000000711</t>
        </is>
      </c>
      <c r="H4494" t="inlineStr">
        <is>
          <t>DURA MAIS TRANSPORTES LTDA</t>
        </is>
      </c>
      <c r="J4494" s="29" t="n">
        <v>416.91</v>
      </c>
      <c r="K4494" s="29">
        <f>(1-ISNUMBER(SEARCH("556",M4494)))*(O4494*SUMIFS(Premissas!$C$5:$C$44,Premissas!$A$5:$A$44,$A4494,Premissas!$B$5:$B$44,$B4494)+P4494*SUMIFS(Premissas!$D$5:$D$44,Premissas!$A$5:$A$44,$A4494,Premissas!$B$5:$B$44,$B4494))+R4494*SUMIFS(Premissas!$E$5:$E$44,Premissas!$A$5:$A$44,$A4494,Premissas!$B$5:$B$44,$B4494)+S4494*SUMIFS(Premissas!$F$5:$F$44,Premissas!$A$5:$A$44,$A4494,Premissas!$B$5:$B$44,$B4494)</f>
        <v/>
      </c>
      <c r="L4494" s="29">
        <f>J4494-K4494</f>
        <v/>
      </c>
      <c r="M4494" t="inlineStr">
        <is>
          <t>2.350</t>
        </is>
      </c>
      <c r="N4494" t="inlineStr">
        <is>
          <t>Modalidade: 0 - Por conta do remetente | Parte: KIMURA E CANTO LTDA (38.392.308/0002-83)</t>
        </is>
      </c>
      <c r="O4494" s="29" t="n">
        <v>0</v>
      </c>
      <c r="P4494" s="29" t="n">
        <v>50.03</v>
      </c>
      <c r="Q4494" s="29" t="n">
        <v>0</v>
      </c>
      <c r="R4494" s="29" t="n">
        <v>0</v>
      </c>
      <c r="S4494" s="29" t="n">
        <v>0</v>
      </c>
      <c r="T4494" t="inlineStr">
        <is>
          <t>25260959256389000183570010000007111001301139</t>
        </is>
      </c>
      <c r="U4494" t="inlineStr">
        <is>
          <t>Sim</t>
        </is>
      </c>
    </row>
    <row r="4495">
      <c r="A4495" t="inlineStr">
        <is>
          <t>Frete de venda</t>
        </is>
      </c>
      <c r="B4495" t="inlineStr">
        <is>
          <t>2.01.02 Frete sobre Vendas</t>
        </is>
      </c>
      <c r="C4495" s="30" t="n">
        <v>46266</v>
      </c>
      <c r="D4495" t="inlineStr">
        <is>
          <t>Em 2026</t>
        </is>
      </c>
      <c r="E4495" s="28" t="n">
        <v>46283</v>
      </c>
      <c r="F4495" t="inlineStr">
        <is>
          <t>CT-e</t>
        </is>
      </c>
      <c r="G4495" t="inlineStr">
        <is>
          <t>000000712</t>
        </is>
      </c>
      <c r="H4495" t="inlineStr">
        <is>
          <t>DURA MAIS TRANSPORTES LTDA</t>
        </is>
      </c>
      <c r="J4495" s="29" t="n">
        <v>416.91</v>
      </c>
      <c r="K4495" s="29">
        <f>(1-ISNUMBER(SEARCH("556",M4495)))*(O4495*SUMIFS(Premissas!$C$5:$C$44,Premissas!$A$5:$A$44,$A4495,Premissas!$B$5:$B$44,$B4495)+P4495*SUMIFS(Premissas!$D$5:$D$44,Premissas!$A$5:$A$44,$A4495,Premissas!$B$5:$B$44,$B4495))+R4495*SUMIFS(Premissas!$E$5:$E$44,Premissas!$A$5:$A$44,$A4495,Premissas!$B$5:$B$44,$B4495)+S4495*SUMIFS(Premissas!$F$5:$F$44,Premissas!$A$5:$A$44,$A4495,Premissas!$B$5:$B$44,$B4495)</f>
        <v/>
      </c>
      <c r="L4495" s="29">
        <f>J4495-K4495</f>
        <v/>
      </c>
      <c r="M4495" t="inlineStr">
        <is>
          <t>2.350</t>
        </is>
      </c>
      <c r="N4495" t="inlineStr">
        <is>
          <t>Modalidade: 0 - Por conta do remetente | Parte: KIMURA E CANTO LTDA (38.392.308/0001-00)</t>
        </is>
      </c>
      <c r="O4495" s="29" t="n">
        <v>0</v>
      </c>
      <c r="P4495" s="29" t="n">
        <v>50.03</v>
      </c>
      <c r="Q4495" s="29" t="n">
        <v>0</v>
      </c>
      <c r="R4495" s="29" t="n">
        <v>0</v>
      </c>
      <c r="S4495" s="29" t="n">
        <v>0</v>
      </c>
      <c r="T4495" t="inlineStr">
        <is>
          <t>25260959256389000183570010000007121000140481</t>
        </is>
      </c>
      <c r="U4495" t="inlineStr">
        <is>
          <t>Sim</t>
        </is>
      </c>
    </row>
    <row r="4496">
      <c r="A4496" t="inlineStr">
        <is>
          <t>Frete de venda</t>
        </is>
      </c>
      <c r="B4496" t="inlineStr">
        <is>
          <t>2.01.02 Frete sobre Vendas</t>
        </is>
      </c>
      <c r="C4496" s="30" t="n">
        <v>46266</v>
      </c>
      <c r="D4496" t="inlineStr">
        <is>
          <t>Em 2026</t>
        </is>
      </c>
      <c r="E4496" s="28" t="n">
        <v>46283</v>
      </c>
      <c r="F4496" t="inlineStr">
        <is>
          <t>CT-e</t>
        </is>
      </c>
      <c r="G4496" t="inlineStr">
        <is>
          <t>000000713</t>
        </is>
      </c>
      <c r="H4496" t="inlineStr">
        <is>
          <t>DURA MAIS TRANSPORTES LTDA</t>
        </is>
      </c>
      <c r="J4496" s="29" t="n">
        <v>416.91</v>
      </c>
      <c r="K4496" s="29">
        <f>(1-ISNUMBER(SEARCH("556",M4496)))*(O4496*SUMIFS(Premissas!$C$5:$C$44,Premissas!$A$5:$A$44,$A4496,Premissas!$B$5:$B$44,$B4496)+P4496*SUMIFS(Premissas!$D$5:$D$44,Premissas!$A$5:$A$44,$A4496,Premissas!$B$5:$B$44,$B4496))+R4496*SUMIFS(Premissas!$E$5:$E$44,Premissas!$A$5:$A$44,$A4496,Premissas!$B$5:$B$44,$B4496)+S4496*SUMIFS(Premissas!$F$5:$F$44,Premissas!$A$5:$A$44,$A4496,Premissas!$B$5:$B$44,$B4496)</f>
        <v/>
      </c>
      <c r="L4496" s="29">
        <f>J4496-K4496</f>
        <v/>
      </c>
      <c r="M4496" t="inlineStr">
        <is>
          <t>2.350</t>
        </is>
      </c>
      <c r="N4496" t="inlineStr">
        <is>
          <t>Modalidade: 0 - Por conta do remetente | Parte: CAMPOPLASTIC ATACADO LTDA. (30.385.394/0001-04)</t>
        </is>
      </c>
      <c r="O4496" s="29" t="n">
        <v>0</v>
      </c>
      <c r="P4496" s="29" t="n">
        <v>50.03</v>
      </c>
      <c r="Q4496" s="29" t="n">
        <v>0</v>
      </c>
      <c r="R4496" s="29" t="n">
        <v>0</v>
      </c>
      <c r="S4496" s="29" t="n">
        <v>0</v>
      </c>
      <c r="T4496" t="inlineStr">
        <is>
          <t>25260959256389000183570010000007131000110563</t>
        </is>
      </c>
      <c r="U4496" t="inlineStr">
        <is>
          <t>Sim</t>
        </is>
      </c>
    </row>
    <row r="4497">
      <c r="A4497" t="inlineStr">
        <is>
          <t>Frete de venda</t>
        </is>
      </c>
      <c r="B4497" t="inlineStr">
        <is>
          <t>2.01.02 Frete sobre Vendas</t>
        </is>
      </c>
      <c r="C4497" s="30" t="n">
        <v>46266</v>
      </c>
      <c r="D4497" t="inlineStr">
        <is>
          <t>Em 2026</t>
        </is>
      </c>
      <c r="E4497" s="28" t="n">
        <v>46283</v>
      </c>
      <c r="F4497" t="inlineStr">
        <is>
          <t>CT-e</t>
        </is>
      </c>
      <c r="G4497" t="inlineStr">
        <is>
          <t>000000714</t>
        </is>
      </c>
      <c r="H4497" t="inlineStr">
        <is>
          <t>DURA MAIS TRANSPORTES LTDA</t>
        </is>
      </c>
      <c r="J4497" s="29" t="n">
        <v>416.91</v>
      </c>
      <c r="K4497" s="29">
        <f>(1-ISNUMBER(SEARCH("556",M4497)))*(O4497*SUMIFS(Premissas!$C$5:$C$44,Premissas!$A$5:$A$44,$A4497,Premissas!$B$5:$B$44,$B4497)+P4497*SUMIFS(Premissas!$D$5:$D$44,Premissas!$A$5:$A$44,$A4497,Premissas!$B$5:$B$44,$B4497))+R4497*SUMIFS(Premissas!$E$5:$E$44,Premissas!$A$5:$A$44,$A4497,Premissas!$B$5:$B$44,$B4497)+S4497*SUMIFS(Premissas!$F$5:$F$44,Premissas!$A$5:$A$44,$A4497,Premissas!$B$5:$B$44,$B4497)</f>
        <v/>
      </c>
      <c r="L4497" s="29">
        <f>J4497-K4497</f>
        <v/>
      </c>
      <c r="M4497" t="inlineStr">
        <is>
          <t>2.350</t>
        </is>
      </c>
      <c r="N4497" t="inlineStr">
        <is>
          <t>Modalidade: 0 - Por conta do remetente | Parte: REINALDO CASSIANO TABONI (28.524.883/0001-58)</t>
        </is>
      </c>
      <c r="O4497" s="29" t="n">
        <v>0</v>
      </c>
      <c r="P4497" s="29" t="n">
        <v>50.03</v>
      </c>
      <c r="Q4497" s="29" t="n">
        <v>0</v>
      </c>
      <c r="R4497" s="29" t="n">
        <v>0</v>
      </c>
      <c r="S4497" s="29" t="n">
        <v>0</v>
      </c>
      <c r="T4497" t="inlineStr">
        <is>
          <t>25260959256389000183570010000007141000190645</t>
        </is>
      </c>
      <c r="U4497" t="inlineStr">
        <is>
          <t>Sim</t>
        </is>
      </c>
    </row>
    <row r="4498">
      <c r="A4498" t="inlineStr">
        <is>
          <t>Frete de venda</t>
        </is>
      </c>
      <c r="B4498" t="inlineStr">
        <is>
          <t>2.01.02 Frete sobre Vendas</t>
        </is>
      </c>
      <c r="C4498" s="30" t="n">
        <v>46266</v>
      </c>
      <c r="D4498" t="inlineStr">
        <is>
          <t>Em 2026</t>
        </is>
      </c>
      <c r="E4498" s="28" t="n">
        <v>46283</v>
      </c>
      <c r="F4498" t="inlineStr">
        <is>
          <t>CT-e</t>
        </is>
      </c>
      <c r="G4498" t="inlineStr">
        <is>
          <t>000000715</t>
        </is>
      </c>
      <c r="H4498" t="inlineStr">
        <is>
          <t>DURA MAIS TRANSPORTES LTDA</t>
        </is>
      </c>
      <c r="J4498" s="29" t="n">
        <v>833.8200000000001</v>
      </c>
      <c r="K4498" s="29">
        <f>(1-ISNUMBER(SEARCH("556",M4498)))*(O4498*SUMIFS(Premissas!$C$5:$C$44,Premissas!$A$5:$A$44,$A4498,Premissas!$B$5:$B$44,$B4498)+P4498*SUMIFS(Premissas!$D$5:$D$44,Premissas!$A$5:$A$44,$A4498,Premissas!$B$5:$B$44,$B4498))+R4498*SUMIFS(Premissas!$E$5:$E$44,Premissas!$A$5:$A$44,$A4498,Premissas!$B$5:$B$44,$B4498)+S4498*SUMIFS(Premissas!$F$5:$F$44,Premissas!$A$5:$A$44,$A4498,Premissas!$B$5:$B$44,$B4498)</f>
        <v/>
      </c>
      <c r="L4498" s="29">
        <f>J4498-K4498</f>
        <v/>
      </c>
      <c r="M4498" t="inlineStr">
        <is>
          <t>2.350</t>
        </is>
      </c>
      <c r="N4498" t="inlineStr">
        <is>
          <t>Modalidade: 0 - Por conta do remetente | Parte: JB AGGIO LTDA (95.420.758/0001-95)</t>
        </is>
      </c>
      <c r="O4498" s="29" t="n">
        <v>0</v>
      </c>
      <c r="P4498" s="29" t="n">
        <v>100.06</v>
      </c>
      <c r="Q4498" s="29" t="n">
        <v>0</v>
      </c>
      <c r="R4498" s="29" t="n">
        <v>0</v>
      </c>
      <c r="S4498" s="29" t="n">
        <v>0</v>
      </c>
      <c r="T4498" t="inlineStr">
        <is>
          <t>25260959256389000183570010000007151000160727</t>
        </is>
      </c>
      <c r="U4498" t="inlineStr">
        <is>
          <t>Sim</t>
        </is>
      </c>
    </row>
    <row r="4499">
      <c r="A4499" t="inlineStr">
        <is>
          <t>Frete de venda</t>
        </is>
      </c>
      <c r="B4499" t="inlineStr">
        <is>
          <t>2.01.02 Frete sobre Vendas</t>
        </is>
      </c>
      <c r="C4499" s="30" t="n">
        <v>46266</v>
      </c>
      <c r="D4499" t="inlineStr">
        <is>
          <t>Em 2026</t>
        </is>
      </c>
      <c r="E4499" s="28" t="n">
        <v>46283</v>
      </c>
      <c r="F4499" t="inlineStr">
        <is>
          <t>CT-e</t>
        </is>
      </c>
      <c r="G4499" t="inlineStr">
        <is>
          <t>000000716</t>
        </is>
      </c>
      <c r="H4499" t="inlineStr">
        <is>
          <t>DURA MAIS TRANSPORTES LTDA</t>
        </is>
      </c>
      <c r="J4499" s="29" t="n">
        <v>416.91</v>
      </c>
      <c r="K4499" s="29">
        <f>(1-ISNUMBER(SEARCH("556",M4499)))*(O4499*SUMIFS(Premissas!$C$5:$C$44,Premissas!$A$5:$A$44,$A4499,Premissas!$B$5:$B$44,$B4499)+P4499*SUMIFS(Premissas!$D$5:$D$44,Premissas!$A$5:$A$44,$A4499,Premissas!$B$5:$B$44,$B4499))+R4499*SUMIFS(Premissas!$E$5:$E$44,Premissas!$A$5:$A$44,$A4499,Premissas!$B$5:$B$44,$B4499)+S4499*SUMIFS(Premissas!$F$5:$F$44,Premissas!$A$5:$A$44,$A4499,Premissas!$B$5:$B$44,$B4499)</f>
        <v/>
      </c>
      <c r="L4499" s="29">
        <f>J4499-K4499</f>
        <v/>
      </c>
      <c r="M4499" t="inlineStr">
        <is>
          <t>2.350</t>
        </is>
      </c>
      <c r="N4499" t="inlineStr">
        <is>
          <t>Modalidade: 0 - Por conta do remetente | Parte: CAETANO PLASTICOS EMBALAGENS LTDA (37.295.717/0001-18)</t>
        </is>
      </c>
      <c r="O4499" s="29" t="n">
        <v>0</v>
      </c>
      <c r="P4499" s="29" t="n">
        <v>50.03</v>
      </c>
      <c r="Q4499" s="29" t="n">
        <v>0</v>
      </c>
      <c r="R4499" s="29" t="n">
        <v>0</v>
      </c>
      <c r="S4499" s="29" t="n">
        <v>0</v>
      </c>
      <c r="T4499" t="inlineStr">
        <is>
          <t>25260959256389000183570010000007161000130809</t>
        </is>
      </c>
      <c r="U4499" t="inlineStr">
        <is>
          <t>Sim</t>
        </is>
      </c>
    </row>
    <row r="4500">
      <c r="A4500" t="inlineStr">
        <is>
          <t>Frete de venda</t>
        </is>
      </c>
      <c r="B4500" t="inlineStr">
        <is>
          <t>2.01.02 Frete sobre Vendas</t>
        </is>
      </c>
      <c r="C4500" s="30" t="n">
        <v>46266</v>
      </c>
      <c r="D4500" t="inlineStr">
        <is>
          <t>Em 2026</t>
        </is>
      </c>
      <c r="E4500" s="28" t="n">
        <v>46283</v>
      </c>
      <c r="F4500" t="inlineStr">
        <is>
          <t>CT-e</t>
        </is>
      </c>
      <c r="G4500" t="inlineStr">
        <is>
          <t>000000718</t>
        </is>
      </c>
      <c r="H4500" t="inlineStr">
        <is>
          <t>DURA MAIS TRANSPORTES LTDA</t>
        </is>
      </c>
      <c r="J4500" s="29" t="n">
        <v>833.8200000000001</v>
      </c>
      <c r="K4500" s="29">
        <f>(1-ISNUMBER(SEARCH("556",M4500)))*(O4500*SUMIFS(Premissas!$C$5:$C$44,Premissas!$A$5:$A$44,$A4500,Premissas!$B$5:$B$44,$B4500)+P4500*SUMIFS(Premissas!$D$5:$D$44,Premissas!$A$5:$A$44,$A4500,Premissas!$B$5:$B$44,$B4500))+R4500*SUMIFS(Premissas!$E$5:$E$44,Premissas!$A$5:$A$44,$A4500,Premissas!$B$5:$B$44,$B4500)+S4500*SUMIFS(Premissas!$F$5:$F$44,Premissas!$A$5:$A$44,$A4500,Premissas!$B$5:$B$44,$B4500)</f>
        <v/>
      </c>
      <c r="L4500" s="29">
        <f>J4500-K4500</f>
        <v/>
      </c>
      <c r="M4500" t="inlineStr">
        <is>
          <t>2.350</t>
        </is>
      </c>
      <c r="N4500" t="inlineStr">
        <is>
          <t>Modalidade: 0 - Por conta do remetente | Parte: GR EMBALAGENS LTDA (45.961.806/0002-65)</t>
        </is>
      </c>
      <c r="O4500" s="29" t="n">
        <v>0</v>
      </c>
      <c r="P4500" s="29" t="n">
        <v>100.06</v>
      </c>
      <c r="Q4500" s="29" t="n">
        <v>0</v>
      </c>
      <c r="R4500" s="29" t="n">
        <v>0</v>
      </c>
      <c r="S4500" s="29" t="n">
        <v>0</v>
      </c>
      <c r="T4500" t="inlineStr">
        <is>
          <t>25260959256389000183570010000007181000180967</t>
        </is>
      </c>
      <c r="U4500" t="inlineStr">
        <is>
          <t>Sim</t>
        </is>
      </c>
    </row>
    <row r="4501">
      <c r="A4501" t="inlineStr">
        <is>
          <t>Frete de venda</t>
        </is>
      </c>
      <c r="B4501" t="inlineStr">
        <is>
          <t>2.01.02 Frete sobre Vendas</t>
        </is>
      </c>
      <c r="C4501" s="30" t="n">
        <v>46266</v>
      </c>
      <c r="D4501" t="inlineStr">
        <is>
          <t>Em 2026</t>
        </is>
      </c>
      <c r="E4501" s="28" t="n">
        <v>46283</v>
      </c>
      <c r="F4501" t="inlineStr">
        <is>
          <t>CT-e</t>
        </is>
      </c>
      <c r="G4501" t="inlineStr">
        <is>
          <t>000000720</t>
        </is>
      </c>
      <c r="H4501" t="inlineStr">
        <is>
          <t>DURA MAIS TRANSPORTES LTDA</t>
        </is>
      </c>
      <c r="J4501" s="29" t="n">
        <v>416.91</v>
      </c>
      <c r="K4501" s="29">
        <f>(1-ISNUMBER(SEARCH("556",M4501)))*(O4501*SUMIFS(Premissas!$C$5:$C$44,Premissas!$A$5:$A$44,$A4501,Premissas!$B$5:$B$44,$B4501)+P4501*SUMIFS(Premissas!$D$5:$D$44,Premissas!$A$5:$A$44,$A4501,Premissas!$B$5:$B$44,$B4501))+R4501*SUMIFS(Premissas!$E$5:$E$44,Premissas!$A$5:$A$44,$A4501,Premissas!$B$5:$B$44,$B4501)+S4501*SUMIFS(Premissas!$F$5:$F$44,Premissas!$A$5:$A$44,$A4501,Premissas!$B$5:$B$44,$B4501)</f>
        <v/>
      </c>
      <c r="L4501" s="29">
        <f>J4501-K4501</f>
        <v/>
      </c>
      <c r="M4501" t="inlineStr">
        <is>
          <t>2.350</t>
        </is>
      </c>
      <c r="N4501" t="inlineStr">
        <is>
          <t>Modalidade: 0 - Por conta do remetente | Parte: BRUNA CRISTINA VIEIRA (20.310.142/0001-62)</t>
        </is>
      </c>
      <c r="O4501" s="29" t="n">
        <v>0</v>
      </c>
      <c r="P4501" s="29" t="n">
        <v>50.03</v>
      </c>
      <c r="Q4501" s="29" t="n">
        <v>0</v>
      </c>
      <c r="R4501" s="29" t="n">
        <v>0</v>
      </c>
      <c r="S4501" s="29" t="n">
        <v>0</v>
      </c>
      <c r="T4501" t="inlineStr">
        <is>
          <t>25260959256389000183570010000007201001201125</t>
        </is>
      </c>
      <c r="U4501" t="inlineStr">
        <is>
          <t>Sim</t>
        </is>
      </c>
    </row>
    <row r="4502">
      <c r="A4502" t="inlineStr">
        <is>
          <t>Frete de venda</t>
        </is>
      </c>
      <c r="B4502" t="inlineStr">
        <is>
          <t>2.01.02 Frete sobre Vendas</t>
        </is>
      </c>
      <c r="C4502" s="30" t="n">
        <v>46266</v>
      </c>
      <c r="D4502" t="inlineStr">
        <is>
          <t>Em 2026</t>
        </is>
      </c>
      <c r="E4502" s="28" t="n">
        <v>46283</v>
      </c>
      <c r="F4502" t="inlineStr">
        <is>
          <t>CT-e</t>
        </is>
      </c>
      <c r="G4502" t="inlineStr">
        <is>
          <t>000000728</t>
        </is>
      </c>
      <c r="H4502" t="inlineStr">
        <is>
          <t>DURA MAIS TRANSPORTES LTDA</t>
        </is>
      </c>
      <c r="J4502" s="29" t="n">
        <v>833.8200000000001</v>
      </c>
      <c r="K4502" s="29">
        <f>(1-ISNUMBER(SEARCH("556",M4502)))*(O4502*SUMIFS(Premissas!$C$5:$C$44,Premissas!$A$5:$A$44,$A4502,Premissas!$B$5:$B$44,$B4502)+P4502*SUMIFS(Premissas!$D$5:$D$44,Premissas!$A$5:$A$44,$A4502,Premissas!$B$5:$B$44,$B4502))+R4502*SUMIFS(Premissas!$E$5:$E$44,Premissas!$A$5:$A$44,$A4502,Premissas!$B$5:$B$44,$B4502)+S4502*SUMIFS(Premissas!$F$5:$F$44,Premissas!$A$5:$A$44,$A4502,Premissas!$B$5:$B$44,$B4502)</f>
        <v/>
      </c>
      <c r="L4502" s="29">
        <f>J4502-K4502</f>
        <v/>
      </c>
      <c r="M4502" t="inlineStr">
        <is>
          <t>2.350</t>
        </is>
      </c>
      <c r="N4502" t="inlineStr">
        <is>
          <t>Modalidade: 0 - Por conta do remetente | Parte: EMBALAGENS RAYA COMERCIO E DISTRIBUICAO LTDA (42.748.520/0001-27)</t>
        </is>
      </c>
      <c r="O4502" s="29" t="n">
        <v>0</v>
      </c>
      <c r="P4502" s="29" t="n">
        <v>100.06</v>
      </c>
      <c r="Q4502" s="29" t="n">
        <v>0</v>
      </c>
      <c r="R4502" s="29" t="n">
        <v>0</v>
      </c>
      <c r="S4502" s="29" t="n">
        <v>0</v>
      </c>
      <c r="T4502" t="inlineStr">
        <is>
          <t>25260959256389000183570010000007281001401033</t>
        </is>
      </c>
      <c r="U4502" t="inlineStr">
        <is>
          <t>Sim</t>
        </is>
      </c>
    </row>
    <row r="4503">
      <c r="A4503" t="inlineStr">
        <is>
          <t>Frete de venda</t>
        </is>
      </c>
      <c r="B4503" t="inlineStr">
        <is>
          <t>2.01.02 Frete sobre Vendas</t>
        </is>
      </c>
      <c r="C4503" s="30" t="n">
        <v>46266</v>
      </c>
      <c r="D4503" t="inlineStr">
        <is>
          <t>Em 2026</t>
        </is>
      </c>
      <c r="E4503" s="28" t="n">
        <v>46283</v>
      </c>
      <c r="F4503" t="inlineStr">
        <is>
          <t>CT-e</t>
        </is>
      </c>
      <c r="G4503" t="inlineStr">
        <is>
          <t>000000730</t>
        </is>
      </c>
      <c r="H4503" t="inlineStr">
        <is>
          <t>DURA MAIS TRANSPORTES LTDA</t>
        </is>
      </c>
      <c r="J4503" s="29" t="n">
        <v>100</v>
      </c>
      <c r="K4503" s="29">
        <f>(1-ISNUMBER(SEARCH("556",M4503)))*(O4503*SUMIFS(Premissas!$C$5:$C$44,Premissas!$A$5:$A$44,$A4503,Premissas!$B$5:$B$44,$B4503)+P4503*SUMIFS(Premissas!$D$5:$D$44,Premissas!$A$5:$A$44,$A4503,Premissas!$B$5:$B$44,$B4503))+R4503*SUMIFS(Premissas!$E$5:$E$44,Premissas!$A$5:$A$44,$A4503,Premissas!$B$5:$B$44,$B4503)+S4503*SUMIFS(Premissas!$F$5:$F$44,Premissas!$A$5:$A$44,$A4503,Premissas!$B$5:$B$44,$B4503)</f>
        <v/>
      </c>
      <c r="L4503" s="29">
        <f>J4503-K4503</f>
        <v/>
      </c>
      <c r="M4503" t="inlineStr">
        <is>
          <t>2.350</t>
        </is>
      </c>
      <c r="N4503" t="inlineStr">
        <is>
          <t>Modalidade: 0 - Por conta do remetente | Parte: JOELMA XAVIER LTDA (46.882.996/0003-79)</t>
        </is>
      </c>
      <c r="O4503" s="29" t="n">
        <v>0</v>
      </c>
      <c r="P4503" s="29" t="n">
        <v>12</v>
      </c>
      <c r="Q4503" s="29" t="n">
        <v>0</v>
      </c>
      <c r="R4503" s="29" t="n">
        <v>0</v>
      </c>
      <c r="S4503" s="29" t="n">
        <v>0</v>
      </c>
      <c r="T4503" t="inlineStr">
        <is>
          <t>25260959256389000183570010000007301001901190</t>
        </is>
      </c>
      <c r="U4503" t="inlineStr">
        <is>
          <t>Sim</t>
        </is>
      </c>
    </row>
    <row r="4504">
      <c r="A4504" t="inlineStr">
        <is>
          <t>Frete de venda</t>
        </is>
      </c>
      <c r="B4504" t="inlineStr">
        <is>
          <t>2.01.02 Frete sobre Vendas</t>
        </is>
      </c>
      <c r="C4504" s="30" t="n">
        <v>46266</v>
      </c>
      <c r="D4504" t="inlineStr">
        <is>
          <t>Em 2026</t>
        </is>
      </c>
      <c r="E4504" s="28" t="n">
        <v>46283</v>
      </c>
      <c r="F4504" t="inlineStr">
        <is>
          <t>CT-e</t>
        </is>
      </c>
      <c r="G4504" t="inlineStr">
        <is>
          <t>000000731</t>
        </is>
      </c>
      <c r="H4504" t="inlineStr">
        <is>
          <t>DURA MAIS TRANSPORTES LTDA</t>
        </is>
      </c>
      <c r="J4504" s="29" t="n">
        <v>100</v>
      </c>
      <c r="K4504" s="29">
        <f>(1-ISNUMBER(SEARCH("556",M4504)))*(O4504*SUMIFS(Premissas!$C$5:$C$44,Premissas!$A$5:$A$44,$A4504,Premissas!$B$5:$B$44,$B4504)+P4504*SUMIFS(Premissas!$D$5:$D$44,Premissas!$A$5:$A$44,$A4504,Premissas!$B$5:$B$44,$B4504))+R4504*SUMIFS(Premissas!$E$5:$E$44,Premissas!$A$5:$A$44,$A4504,Premissas!$B$5:$B$44,$B4504)+S4504*SUMIFS(Premissas!$F$5:$F$44,Premissas!$A$5:$A$44,$A4504,Premissas!$B$5:$B$44,$B4504)</f>
        <v/>
      </c>
      <c r="L4504" s="29">
        <f>J4504-K4504</f>
        <v/>
      </c>
      <c r="M4504" t="inlineStr">
        <is>
          <t>2.350</t>
        </is>
      </c>
      <c r="N4504" t="inlineStr">
        <is>
          <t>Modalidade: 0 - Por conta do remetente | Parte: RODRIGO BOAVENTURA ROSA e CIA LTDA (07.254.164/0001-94)</t>
        </is>
      </c>
      <c r="O4504" s="29" t="n">
        <v>0</v>
      </c>
      <c r="P4504" s="29" t="n">
        <v>12</v>
      </c>
      <c r="Q4504" s="29" t="n">
        <v>0</v>
      </c>
      <c r="R4504" s="29" t="n">
        <v>0</v>
      </c>
      <c r="S4504" s="29" t="n">
        <v>0</v>
      </c>
      <c r="T4504" t="inlineStr">
        <is>
          <t>25260959256389000183570010000007311001601275</t>
        </is>
      </c>
      <c r="U4504" t="inlineStr">
        <is>
          <t>Sim</t>
        </is>
      </c>
    </row>
    <row r="4505">
      <c r="A4505" t="inlineStr">
        <is>
          <t>Frete de venda</t>
        </is>
      </c>
      <c r="B4505" t="inlineStr">
        <is>
          <t>2.01.02 Frete sobre Vendas</t>
        </is>
      </c>
      <c r="C4505" s="30" t="n">
        <v>46266</v>
      </c>
      <c r="D4505" t="inlineStr">
        <is>
          <t>Em 2026</t>
        </is>
      </c>
      <c r="E4505" s="28" t="n">
        <v>46283</v>
      </c>
      <c r="F4505" t="inlineStr">
        <is>
          <t>CT-e</t>
        </is>
      </c>
      <c r="G4505" t="inlineStr">
        <is>
          <t>000000732</t>
        </is>
      </c>
      <c r="H4505" t="inlineStr">
        <is>
          <t>DURA MAIS TRANSPORTES LTDA</t>
        </is>
      </c>
      <c r="J4505" s="29" t="n">
        <v>100</v>
      </c>
      <c r="K4505" s="29">
        <f>(1-ISNUMBER(SEARCH("556",M4505)))*(O4505*SUMIFS(Premissas!$C$5:$C$44,Premissas!$A$5:$A$44,$A4505,Premissas!$B$5:$B$44,$B4505)+P4505*SUMIFS(Premissas!$D$5:$D$44,Premissas!$A$5:$A$44,$A4505,Premissas!$B$5:$B$44,$B4505))+R4505*SUMIFS(Premissas!$E$5:$E$44,Premissas!$A$5:$A$44,$A4505,Premissas!$B$5:$B$44,$B4505)+S4505*SUMIFS(Premissas!$F$5:$F$44,Premissas!$A$5:$A$44,$A4505,Premissas!$B$5:$B$44,$B4505)</f>
        <v/>
      </c>
      <c r="L4505" s="29">
        <f>J4505-K4505</f>
        <v/>
      </c>
      <c r="M4505" t="inlineStr">
        <is>
          <t>2.350</t>
        </is>
      </c>
      <c r="N4505" t="inlineStr">
        <is>
          <t>Modalidade: 0 - Por conta do remetente | Parte: COMERCIAL KAZZA E FESTAS LTDA (49.084.192/0001-50)</t>
        </is>
      </c>
      <c r="O4505" s="29" t="n">
        <v>0</v>
      </c>
      <c r="P4505" s="29" t="n">
        <v>12</v>
      </c>
      <c r="Q4505" s="29" t="n">
        <v>0</v>
      </c>
      <c r="R4505" s="29" t="n">
        <v>0</v>
      </c>
      <c r="S4505" s="29" t="n">
        <v>0</v>
      </c>
      <c r="T4505" t="inlineStr">
        <is>
          <t>25260959256389000183570010000007321000170626</t>
        </is>
      </c>
      <c r="U4505" t="inlineStr">
        <is>
          <t>Sim</t>
        </is>
      </c>
    </row>
    <row r="4506">
      <c r="A4506" t="inlineStr">
        <is>
          <t>Frete de venda</t>
        </is>
      </c>
      <c r="B4506" t="inlineStr">
        <is>
          <t>2.01.02 Frete sobre Vendas</t>
        </is>
      </c>
      <c r="C4506" s="30" t="n">
        <v>46266</v>
      </c>
      <c r="D4506" t="inlineStr">
        <is>
          <t>Em 2026</t>
        </is>
      </c>
      <c r="E4506" s="28" t="n">
        <v>46283</v>
      </c>
      <c r="F4506" t="inlineStr">
        <is>
          <t>CT-e</t>
        </is>
      </c>
      <c r="G4506" t="inlineStr">
        <is>
          <t>000000733</t>
        </is>
      </c>
      <c r="H4506" t="inlineStr">
        <is>
          <t>DURA MAIS TRANSPORTES LTDA</t>
        </is>
      </c>
      <c r="J4506" s="29" t="n">
        <v>100</v>
      </c>
      <c r="K4506" s="29">
        <f>(1-ISNUMBER(SEARCH("556",M4506)))*(O4506*SUMIFS(Premissas!$C$5:$C$44,Premissas!$A$5:$A$44,$A4506,Premissas!$B$5:$B$44,$B4506)+P4506*SUMIFS(Premissas!$D$5:$D$44,Premissas!$A$5:$A$44,$A4506,Premissas!$B$5:$B$44,$B4506))+R4506*SUMIFS(Premissas!$E$5:$E$44,Premissas!$A$5:$A$44,$A4506,Premissas!$B$5:$B$44,$B4506)+S4506*SUMIFS(Premissas!$F$5:$F$44,Premissas!$A$5:$A$44,$A4506,Premissas!$B$5:$B$44,$B4506)</f>
        <v/>
      </c>
      <c r="L4506" s="29">
        <f>J4506-K4506</f>
        <v/>
      </c>
      <c r="M4506" t="inlineStr">
        <is>
          <t>2.350</t>
        </is>
      </c>
      <c r="N4506" t="inlineStr">
        <is>
          <t>Modalidade: 0 - Por conta do remetente | Parte: ROSA SUL PATO BRANCO LTDA (67.511.868/0001-27)</t>
        </is>
      </c>
      <c r="O4506" s="29" t="n">
        <v>0</v>
      </c>
      <c r="P4506" s="29" t="n">
        <v>12</v>
      </c>
      <c r="Q4506" s="29" t="n">
        <v>0</v>
      </c>
      <c r="R4506" s="29" t="n">
        <v>0</v>
      </c>
      <c r="S4506" s="29" t="n">
        <v>0</v>
      </c>
      <c r="T4506" t="inlineStr">
        <is>
          <t>25260959256389000183570010000007331000110787</t>
        </is>
      </c>
      <c r="U4506" t="inlineStr">
        <is>
          <t>Sim</t>
        </is>
      </c>
    </row>
    <row r="4507">
      <c r="A4507" t="inlineStr">
        <is>
          <t>Frete de venda</t>
        </is>
      </c>
      <c r="B4507" t="inlineStr">
        <is>
          <t>2.01.02 Frete sobre Vendas</t>
        </is>
      </c>
      <c r="C4507" s="30" t="n">
        <v>46266</v>
      </c>
      <c r="D4507" t="inlineStr">
        <is>
          <t>Em 2026</t>
        </is>
      </c>
      <c r="E4507" s="28" t="n">
        <v>46283</v>
      </c>
      <c r="F4507" t="inlineStr">
        <is>
          <t>CT-e</t>
        </is>
      </c>
      <c r="G4507" t="inlineStr">
        <is>
          <t>000000734</t>
        </is>
      </c>
      <c r="H4507" t="inlineStr">
        <is>
          <t>DURA MAIS TRANSPORTES LTDA</t>
        </is>
      </c>
      <c r="J4507" s="29" t="n">
        <v>100</v>
      </c>
      <c r="K4507" s="29">
        <f>(1-ISNUMBER(SEARCH("556",M4507)))*(O4507*SUMIFS(Premissas!$C$5:$C$44,Premissas!$A$5:$A$44,$A4507,Premissas!$B$5:$B$44,$B4507)+P4507*SUMIFS(Premissas!$D$5:$D$44,Premissas!$A$5:$A$44,$A4507,Premissas!$B$5:$B$44,$B4507))+R4507*SUMIFS(Premissas!$E$5:$E$44,Premissas!$A$5:$A$44,$A4507,Premissas!$B$5:$B$44,$B4507)+S4507*SUMIFS(Premissas!$F$5:$F$44,Premissas!$A$5:$A$44,$A4507,Premissas!$B$5:$B$44,$B4507)</f>
        <v/>
      </c>
      <c r="L4507" s="29">
        <f>J4507-K4507</f>
        <v/>
      </c>
      <c r="M4507" t="inlineStr">
        <is>
          <t>2.350</t>
        </is>
      </c>
      <c r="N4507" t="inlineStr">
        <is>
          <t>Modalidade: 0 - Por conta do remetente | Parte: ELTON DIEGO SOARES DE CASTRO LTDA (28.176.668/0001-03)</t>
        </is>
      </c>
      <c r="O4507" s="29" t="n">
        <v>0</v>
      </c>
      <c r="P4507" s="29" t="n">
        <v>12</v>
      </c>
      <c r="Q4507" s="29" t="n">
        <v>0</v>
      </c>
      <c r="R4507" s="29" t="n">
        <v>0</v>
      </c>
      <c r="S4507" s="29" t="n">
        <v>0</v>
      </c>
      <c r="T4507" t="inlineStr">
        <is>
          <t>25260959256389000183570010000007341000190869</t>
        </is>
      </c>
      <c r="U4507" t="inlineStr">
        <is>
          <t>Sim</t>
        </is>
      </c>
    </row>
    <row r="4508">
      <c r="A4508" t="inlineStr">
        <is>
          <t>Frete de venda</t>
        </is>
      </c>
      <c r="B4508" t="inlineStr">
        <is>
          <t>2.01.02 Frete sobre Vendas</t>
        </is>
      </c>
      <c r="C4508" s="30" t="n">
        <v>46266</v>
      </c>
      <c r="D4508" t="inlineStr">
        <is>
          <t>Em 2026</t>
        </is>
      </c>
      <c r="E4508" s="28" t="n">
        <v>46283</v>
      </c>
      <c r="F4508" t="inlineStr">
        <is>
          <t>CT-e</t>
        </is>
      </c>
      <c r="G4508" t="inlineStr">
        <is>
          <t>000000735</t>
        </is>
      </c>
      <c r="H4508" t="inlineStr">
        <is>
          <t>DURA MAIS TRANSPORTES LTDA</t>
        </is>
      </c>
      <c r="J4508" s="29" t="n">
        <v>100</v>
      </c>
      <c r="K4508" s="29">
        <f>(1-ISNUMBER(SEARCH("556",M4508)))*(O4508*SUMIFS(Premissas!$C$5:$C$44,Premissas!$A$5:$A$44,$A4508,Premissas!$B$5:$B$44,$B4508)+P4508*SUMIFS(Premissas!$D$5:$D$44,Premissas!$A$5:$A$44,$A4508,Premissas!$B$5:$B$44,$B4508))+R4508*SUMIFS(Premissas!$E$5:$E$44,Premissas!$A$5:$A$44,$A4508,Premissas!$B$5:$B$44,$B4508)+S4508*SUMIFS(Premissas!$F$5:$F$44,Premissas!$A$5:$A$44,$A4508,Premissas!$B$5:$B$44,$B4508)</f>
        <v/>
      </c>
      <c r="L4508" s="29">
        <f>J4508-K4508</f>
        <v/>
      </c>
      <c r="M4508" t="inlineStr">
        <is>
          <t>2.350</t>
        </is>
      </c>
      <c r="N4508" t="inlineStr">
        <is>
          <t>Modalidade: 0 - Por conta do remetente | Parte: BEBIFRIOS COMERCIAL LTDA (05.796.195/0001-41)</t>
        </is>
      </c>
      <c r="O4508" s="29" t="n">
        <v>0</v>
      </c>
      <c r="P4508" s="29" t="n">
        <v>12</v>
      </c>
      <c r="Q4508" s="29" t="n">
        <v>0</v>
      </c>
      <c r="R4508" s="29" t="n">
        <v>0</v>
      </c>
      <c r="S4508" s="29" t="n">
        <v>0</v>
      </c>
      <c r="T4508" t="inlineStr">
        <is>
          <t>25260959256389000183570010000007351000160940</t>
        </is>
      </c>
      <c r="U4508" t="inlineStr">
        <is>
          <t>Sim</t>
        </is>
      </c>
    </row>
    <row r="4509">
      <c r="A4509" t="inlineStr">
        <is>
          <t>Frete de venda</t>
        </is>
      </c>
      <c r="B4509" t="inlineStr">
        <is>
          <t>2.01.02 Frete sobre Vendas</t>
        </is>
      </c>
      <c r="C4509" s="30" t="n">
        <v>46266</v>
      </c>
      <c r="D4509" t="inlineStr">
        <is>
          <t>Em 2026</t>
        </is>
      </c>
      <c r="E4509" s="28" t="n">
        <v>46283</v>
      </c>
      <c r="F4509" t="inlineStr">
        <is>
          <t>CT-e</t>
        </is>
      </c>
      <c r="G4509" t="inlineStr">
        <is>
          <t>000000736</t>
        </is>
      </c>
      <c r="H4509" t="inlineStr">
        <is>
          <t>DURA MAIS TRANSPORTES LTDA</t>
        </is>
      </c>
      <c r="J4509" s="29" t="n">
        <v>100</v>
      </c>
      <c r="K4509" s="29">
        <f>(1-ISNUMBER(SEARCH("556",M4509)))*(O4509*SUMIFS(Premissas!$C$5:$C$44,Premissas!$A$5:$A$44,$A4509,Premissas!$B$5:$B$44,$B4509)+P4509*SUMIFS(Premissas!$D$5:$D$44,Premissas!$A$5:$A$44,$A4509,Premissas!$B$5:$B$44,$B4509))+R4509*SUMIFS(Premissas!$E$5:$E$44,Premissas!$A$5:$A$44,$A4509,Premissas!$B$5:$B$44,$B4509)+S4509*SUMIFS(Premissas!$F$5:$F$44,Premissas!$A$5:$A$44,$A4509,Premissas!$B$5:$B$44,$B4509)</f>
        <v/>
      </c>
      <c r="L4509" s="29">
        <f>J4509-K4509</f>
        <v/>
      </c>
      <c r="M4509" t="inlineStr">
        <is>
          <t>2.350</t>
        </is>
      </c>
      <c r="N4509" t="inlineStr">
        <is>
          <t>Modalidade: 0 - Por conta do remetente | Parte: CENTRAL DA EMBALAGEM LTDA (40.409.557/0001-03)</t>
        </is>
      </c>
      <c r="O4509" s="29" t="n">
        <v>0</v>
      </c>
      <c r="P4509" s="29" t="n">
        <v>12</v>
      </c>
      <c r="Q4509" s="29" t="n">
        <v>0</v>
      </c>
      <c r="R4509" s="29" t="n">
        <v>0</v>
      </c>
      <c r="S4509" s="29" t="n">
        <v>0</v>
      </c>
      <c r="T4509" t="inlineStr">
        <is>
          <t>25260959256389000183570010000007361001301022</t>
        </is>
      </c>
      <c r="U4509" t="inlineStr">
        <is>
          <t>Sim</t>
        </is>
      </c>
    </row>
    <row r="4510">
      <c r="A4510" t="inlineStr">
        <is>
          <t>Frete de venda</t>
        </is>
      </c>
      <c r="B4510" t="inlineStr">
        <is>
          <t>2.01.02 Frete sobre Vendas</t>
        </is>
      </c>
      <c r="C4510" s="30" t="n">
        <v>46266</v>
      </c>
      <c r="D4510" t="inlineStr">
        <is>
          <t>Em 2026</t>
        </is>
      </c>
      <c r="E4510" s="28" t="n">
        <v>46283</v>
      </c>
      <c r="F4510" t="inlineStr">
        <is>
          <t>CT-e</t>
        </is>
      </c>
      <c r="G4510" t="inlineStr">
        <is>
          <t>000000737</t>
        </is>
      </c>
      <c r="H4510" t="inlineStr">
        <is>
          <t>DURA MAIS TRANSPORTES LTDA</t>
        </is>
      </c>
      <c r="J4510" s="29" t="n">
        <v>100</v>
      </c>
      <c r="K4510" s="29">
        <f>(1-ISNUMBER(SEARCH("556",M4510)))*(O4510*SUMIFS(Premissas!$C$5:$C$44,Premissas!$A$5:$A$44,$A4510,Premissas!$B$5:$B$44,$B4510)+P4510*SUMIFS(Premissas!$D$5:$D$44,Premissas!$A$5:$A$44,$A4510,Premissas!$B$5:$B$44,$B4510))+R4510*SUMIFS(Premissas!$E$5:$E$44,Premissas!$A$5:$A$44,$A4510,Premissas!$B$5:$B$44,$B4510)+S4510*SUMIFS(Premissas!$F$5:$F$44,Premissas!$A$5:$A$44,$A4510,Premissas!$B$5:$B$44,$B4510)</f>
        <v/>
      </c>
      <c r="L4510" s="29">
        <f>J4510-K4510</f>
        <v/>
      </c>
      <c r="M4510" t="inlineStr">
        <is>
          <t>2.350</t>
        </is>
      </c>
      <c r="N4510" t="inlineStr">
        <is>
          <t>Modalidade: 0 - Por conta do remetente | Parte: MERCADO LEONEL LTDA - EPP (82.008.087/0001-08)</t>
        </is>
      </c>
      <c r="O4510" s="29" t="n">
        <v>0</v>
      </c>
      <c r="P4510" s="29" t="n">
        <v>12</v>
      </c>
      <c r="Q4510" s="29" t="n">
        <v>0</v>
      </c>
      <c r="R4510" s="29" t="n">
        <v>0</v>
      </c>
      <c r="S4510" s="29" t="n">
        <v>0</v>
      </c>
      <c r="T4510" t="inlineStr">
        <is>
          <t>25260959256389000183570010000007371000101108</t>
        </is>
      </c>
      <c r="U4510" t="inlineStr">
        <is>
          <t>Sim</t>
        </is>
      </c>
    </row>
    <row r="4511">
      <c r="A4511" t="inlineStr">
        <is>
          <t>Frete de venda</t>
        </is>
      </c>
      <c r="B4511" t="inlineStr">
        <is>
          <t>2.01.02 Frete sobre Vendas</t>
        </is>
      </c>
      <c r="C4511" s="30" t="n">
        <v>46266</v>
      </c>
      <c r="D4511" t="inlineStr">
        <is>
          <t>Em 2026</t>
        </is>
      </c>
      <c r="E4511" s="28" t="n">
        <v>46283</v>
      </c>
      <c r="F4511" t="inlineStr">
        <is>
          <t>CT-e</t>
        </is>
      </c>
      <c r="G4511" t="inlineStr">
        <is>
          <t>000000740</t>
        </is>
      </c>
      <c r="H4511" t="inlineStr">
        <is>
          <t>DURA MAIS TRANSPORTES LTDA</t>
        </is>
      </c>
      <c r="J4511" s="29" t="n">
        <v>100</v>
      </c>
      <c r="K4511" s="29">
        <f>(1-ISNUMBER(SEARCH("556",M4511)))*(O4511*SUMIFS(Premissas!$C$5:$C$44,Premissas!$A$5:$A$44,$A4511,Premissas!$B$5:$B$44,$B4511)+P4511*SUMIFS(Premissas!$D$5:$D$44,Premissas!$A$5:$A$44,$A4511,Premissas!$B$5:$B$44,$B4511))+R4511*SUMIFS(Premissas!$E$5:$E$44,Premissas!$A$5:$A$44,$A4511,Premissas!$B$5:$B$44,$B4511)+S4511*SUMIFS(Premissas!$F$5:$F$44,Premissas!$A$5:$A$44,$A4511,Premissas!$B$5:$B$44,$B4511)</f>
        <v/>
      </c>
      <c r="L4511" s="29">
        <f>J4511-K4511</f>
        <v/>
      </c>
      <c r="M4511" t="inlineStr">
        <is>
          <t>2.350</t>
        </is>
      </c>
      <c r="N4511" t="inlineStr">
        <is>
          <t>Modalidade: 0 - Por conta do remetente | Parte: SO FESTA ATACADO E VAREJO LTDA (47.483.371/0001-35)</t>
        </is>
      </c>
      <c r="O4511" s="29" t="n">
        <v>0</v>
      </c>
      <c r="P4511" s="29" t="n">
        <v>12</v>
      </c>
      <c r="Q4511" s="29" t="n">
        <v>0</v>
      </c>
      <c r="R4511" s="29" t="n">
        <v>0</v>
      </c>
      <c r="S4511" s="29" t="n">
        <v>0</v>
      </c>
      <c r="T4511" t="inlineStr">
        <is>
          <t>25260959256389000183570010000007401001201349</t>
        </is>
      </c>
      <c r="U4511" t="inlineStr">
        <is>
          <t>Sim</t>
        </is>
      </c>
    </row>
    <row r="4512">
      <c r="A4512" t="inlineStr">
        <is>
          <t>Frete de venda</t>
        </is>
      </c>
      <c r="B4512" t="inlineStr">
        <is>
          <t>2.01.02 Frete sobre Vendas</t>
        </is>
      </c>
      <c r="C4512" s="30" t="n">
        <v>46266</v>
      </c>
      <c r="D4512" t="inlineStr">
        <is>
          <t>Em 2026</t>
        </is>
      </c>
      <c r="E4512" s="28" t="n">
        <v>46283</v>
      </c>
      <c r="F4512" t="inlineStr">
        <is>
          <t>CT-e</t>
        </is>
      </c>
      <c r="G4512" t="inlineStr">
        <is>
          <t>000000741</t>
        </is>
      </c>
      <c r="H4512" t="inlineStr">
        <is>
          <t>DURA MAIS TRANSPORTES LTDA</t>
        </is>
      </c>
      <c r="J4512" s="29" t="n">
        <v>100</v>
      </c>
      <c r="K4512" s="29">
        <f>(1-ISNUMBER(SEARCH("556",M4512)))*(O4512*SUMIFS(Premissas!$C$5:$C$44,Premissas!$A$5:$A$44,$A4512,Premissas!$B$5:$B$44,$B4512)+P4512*SUMIFS(Premissas!$D$5:$D$44,Premissas!$A$5:$A$44,$A4512,Premissas!$B$5:$B$44,$B4512))+R4512*SUMIFS(Premissas!$E$5:$E$44,Premissas!$A$5:$A$44,$A4512,Premissas!$B$5:$B$44,$B4512)+S4512*SUMIFS(Premissas!$F$5:$F$44,Premissas!$A$5:$A$44,$A4512,Premissas!$B$5:$B$44,$B4512)</f>
        <v/>
      </c>
      <c r="L4512" s="29">
        <f>J4512-K4512</f>
        <v/>
      </c>
      <c r="M4512" t="inlineStr">
        <is>
          <t>2.350</t>
        </is>
      </c>
      <c r="N4512" t="inlineStr">
        <is>
          <t>Modalidade: 0 - Por conta do remetente | Parte: AMAFE FESTAS LTDA (57.492.281/0001-64)</t>
        </is>
      </c>
      <c r="O4512" s="29" t="n">
        <v>0</v>
      </c>
      <c r="P4512" s="29" t="n">
        <v>12</v>
      </c>
      <c r="Q4512" s="29" t="n">
        <v>0</v>
      </c>
      <c r="R4512" s="29" t="n">
        <v>0</v>
      </c>
      <c r="S4512" s="29" t="n">
        <v>0</v>
      </c>
      <c r="T4512" t="inlineStr">
        <is>
          <t>25260959256389000183570010000007411000130690</t>
        </is>
      </c>
      <c r="U4512" t="inlineStr">
        <is>
          <t>Sim</t>
        </is>
      </c>
    </row>
    <row r="4513">
      <c r="A4513" t="inlineStr">
        <is>
          <t>Frete de venda</t>
        </is>
      </c>
      <c r="B4513" t="inlineStr">
        <is>
          <t>2.01.02 Frete sobre Vendas</t>
        </is>
      </c>
      <c r="C4513" s="30" t="n">
        <v>46266</v>
      </c>
      <c r="D4513" t="inlineStr">
        <is>
          <t>Em 2026</t>
        </is>
      </c>
      <c r="E4513" s="28" t="n">
        <v>46286</v>
      </c>
      <c r="F4513" t="inlineStr">
        <is>
          <t>CT-e</t>
        </is>
      </c>
      <c r="G4513" t="inlineStr">
        <is>
          <t>000000752</t>
        </is>
      </c>
      <c r="H4513" t="inlineStr">
        <is>
          <t>DURA MAIS TRANSPORTES LTDA</t>
        </is>
      </c>
      <c r="J4513" s="29" t="n">
        <v>9867.530000000001</v>
      </c>
      <c r="K4513" s="29">
        <f>(1-ISNUMBER(SEARCH("556",M4513)))*(O4513*SUMIFS(Premissas!$C$5:$C$44,Premissas!$A$5:$A$44,$A4513,Premissas!$B$5:$B$44,$B4513)+P4513*SUMIFS(Premissas!$D$5:$D$44,Premissas!$A$5:$A$44,$A4513,Premissas!$B$5:$B$44,$B4513))+R4513*SUMIFS(Premissas!$E$5:$E$44,Premissas!$A$5:$A$44,$A4513,Premissas!$B$5:$B$44,$B4513)+S4513*SUMIFS(Premissas!$F$5:$F$44,Premissas!$A$5:$A$44,$A4513,Premissas!$B$5:$B$44,$B4513)</f>
        <v/>
      </c>
      <c r="L4513" s="29">
        <f>J4513-K4513</f>
        <v/>
      </c>
      <c r="M4513" t="inlineStr">
        <is>
          <t>2.350</t>
        </is>
      </c>
      <c r="N4513" t="inlineStr">
        <is>
          <t>Modalidade: 0 - Por conta do remetente | Parte: AMAFE FESTAS LTDA (57.492.281/0001-64)</t>
        </is>
      </c>
      <c r="O4513" s="29" t="n">
        <v>0</v>
      </c>
      <c r="P4513" s="29" t="n">
        <v>1184.1</v>
      </c>
      <c r="Q4513" s="29" t="n">
        <v>0</v>
      </c>
      <c r="R4513" s="29" t="n">
        <v>0</v>
      </c>
      <c r="S4513" s="29" t="n">
        <v>0</v>
      </c>
      <c r="T4513" t="inlineStr">
        <is>
          <t>25260959256389000183570010000007521000170840</t>
        </is>
      </c>
      <c r="U4513" t="inlineStr">
        <is>
          <t>Sim</t>
        </is>
      </c>
    </row>
    <row r="4514">
      <c r="A4514" t="inlineStr">
        <is>
          <t>Frete de venda</t>
        </is>
      </c>
      <c r="B4514" t="inlineStr">
        <is>
          <t>2.01.02 Frete sobre Vendas</t>
        </is>
      </c>
      <c r="C4514" s="30" t="n">
        <v>46266</v>
      </c>
      <c r="D4514" t="inlineStr">
        <is>
          <t>Em 2026</t>
        </is>
      </c>
      <c r="E4514" s="28" t="n">
        <v>46286</v>
      </c>
      <c r="F4514" t="inlineStr">
        <is>
          <t>CT-e</t>
        </is>
      </c>
      <c r="G4514" t="inlineStr">
        <is>
          <t>000000759</t>
        </is>
      </c>
      <c r="H4514" t="inlineStr">
        <is>
          <t>DURA MAIS TRANSPORTES LTDA</t>
        </is>
      </c>
      <c r="J4514" s="29" t="n">
        <v>14175</v>
      </c>
      <c r="K4514" s="29">
        <f>(1-ISNUMBER(SEARCH("556",M4514)))*(O4514*SUMIFS(Premissas!$C$5:$C$44,Premissas!$A$5:$A$44,$A4514,Premissas!$B$5:$B$44,$B4514)+P4514*SUMIFS(Premissas!$D$5:$D$44,Premissas!$A$5:$A$44,$A4514,Premissas!$B$5:$B$44,$B4514))+R4514*SUMIFS(Premissas!$E$5:$E$44,Premissas!$A$5:$A$44,$A4514,Premissas!$B$5:$B$44,$B4514)+S4514*SUMIFS(Premissas!$F$5:$F$44,Premissas!$A$5:$A$44,$A4514,Premissas!$B$5:$B$44,$B4514)</f>
        <v/>
      </c>
      <c r="L4514" s="29">
        <f>J4514-K4514</f>
        <v/>
      </c>
      <c r="M4514" t="inlineStr">
        <is>
          <t>2.350</t>
        </is>
      </c>
      <c r="N4514" t="inlineStr">
        <is>
          <t>Modalidade: 0 - Por conta do remetente | Parte: DISTRIPACK DISTRIBUIDORA DE EMBALAGENS LTDA (11.043.375/0002-36)</t>
        </is>
      </c>
      <c r="O4514" s="29" t="n">
        <v>0</v>
      </c>
      <c r="P4514" s="29" t="n">
        <v>1701</v>
      </c>
      <c r="Q4514" s="29" t="n">
        <v>0</v>
      </c>
      <c r="R4514" s="29" t="n">
        <v>0</v>
      </c>
      <c r="S4514" s="29" t="n">
        <v>0</v>
      </c>
      <c r="T4514" t="inlineStr">
        <is>
          <t>25260959256389000183570010000007591001501484</t>
        </is>
      </c>
      <c r="U4514" t="inlineStr">
        <is>
          <t>Sim</t>
        </is>
      </c>
    </row>
    <row r="4515">
      <c r="A4515" t="inlineStr">
        <is>
          <t>Frete de venda</t>
        </is>
      </c>
      <c r="B4515" t="inlineStr">
        <is>
          <t>2.01.02 Frete sobre Vendas</t>
        </is>
      </c>
      <c r="C4515" s="30" t="n">
        <v>46266</v>
      </c>
      <c r="D4515" t="inlineStr">
        <is>
          <t>Em 2026</t>
        </is>
      </c>
      <c r="E4515" s="28" t="n">
        <v>46287</v>
      </c>
      <c r="F4515" t="inlineStr">
        <is>
          <t>CT-e</t>
        </is>
      </c>
      <c r="G4515" t="inlineStr">
        <is>
          <t>000000791</t>
        </is>
      </c>
      <c r="H4515" t="inlineStr">
        <is>
          <t>DURA MAIS TRANSPORTES LTDA</t>
        </is>
      </c>
      <c r="J4515" s="29" t="n">
        <v>848.5700000000001</v>
      </c>
      <c r="K4515" s="29">
        <f>(1-ISNUMBER(SEARCH("556",M4515)))*(O4515*SUMIFS(Premissas!$C$5:$C$44,Premissas!$A$5:$A$44,$A4515,Premissas!$B$5:$B$44,$B4515)+P4515*SUMIFS(Premissas!$D$5:$D$44,Premissas!$A$5:$A$44,$A4515,Premissas!$B$5:$B$44,$B4515))+R4515*SUMIFS(Premissas!$E$5:$E$44,Premissas!$A$5:$A$44,$A4515,Premissas!$B$5:$B$44,$B4515)+S4515*SUMIFS(Premissas!$F$5:$F$44,Premissas!$A$5:$A$44,$A4515,Premissas!$B$5:$B$44,$B4515)</f>
        <v/>
      </c>
      <c r="L4515" s="29">
        <f>J4515-K4515</f>
        <v/>
      </c>
      <c r="M4515" t="inlineStr">
        <is>
          <t>2.350</t>
        </is>
      </c>
      <c r="N4515" t="inlineStr">
        <is>
          <t>Modalidade: 0 - Por conta do remetente | Parte: NEW PLASTICOS DISTRIBUIDORA LTDA (38.438.642/0001-40)</t>
        </is>
      </c>
      <c r="O4515" s="29" t="n">
        <v>0</v>
      </c>
      <c r="P4515" s="29" t="n">
        <v>101.83</v>
      </c>
      <c r="Q4515" s="29" t="n">
        <v>0</v>
      </c>
      <c r="R4515" s="29" t="n">
        <v>0</v>
      </c>
      <c r="S4515" s="29" t="n">
        <v>0</v>
      </c>
      <c r="T4515" t="inlineStr">
        <is>
          <t>25260959256389000183570010000007911000190644</t>
        </is>
      </c>
      <c r="U4515" t="inlineStr">
        <is>
          <t>Sim</t>
        </is>
      </c>
    </row>
    <row r="4516">
      <c r="A4516" t="inlineStr">
        <is>
          <t>Frete de venda</t>
        </is>
      </c>
      <c r="B4516" t="inlineStr">
        <is>
          <t>2.01.02 Frete sobre Vendas</t>
        </is>
      </c>
      <c r="C4516" s="30" t="n">
        <v>46266</v>
      </c>
      <c r="D4516" t="inlineStr">
        <is>
          <t>Em 2026</t>
        </is>
      </c>
      <c r="E4516" s="28" t="n">
        <v>46287</v>
      </c>
      <c r="F4516" t="inlineStr">
        <is>
          <t>CT-e</t>
        </is>
      </c>
      <c r="G4516" t="inlineStr">
        <is>
          <t>000000793</t>
        </is>
      </c>
      <c r="H4516" t="inlineStr">
        <is>
          <t>DURA MAIS TRANSPORTES LTDA</t>
        </is>
      </c>
      <c r="J4516" s="29" t="n">
        <v>848.5700000000001</v>
      </c>
      <c r="K4516" s="29">
        <f>(1-ISNUMBER(SEARCH("556",M4516)))*(O4516*SUMIFS(Premissas!$C$5:$C$44,Premissas!$A$5:$A$44,$A4516,Premissas!$B$5:$B$44,$B4516)+P4516*SUMIFS(Premissas!$D$5:$D$44,Premissas!$A$5:$A$44,$A4516,Premissas!$B$5:$B$44,$B4516))+R4516*SUMIFS(Premissas!$E$5:$E$44,Premissas!$A$5:$A$44,$A4516,Premissas!$B$5:$B$44,$B4516)+S4516*SUMIFS(Premissas!$F$5:$F$44,Premissas!$A$5:$A$44,$A4516,Premissas!$B$5:$B$44,$B4516)</f>
        <v/>
      </c>
      <c r="L4516" s="29">
        <f>J4516-K4516</f>
        <v/>
      </c>
      <c r="M4516" t="inlineStr">
        <is>
          <t>2.350</t>
        </is>
      </c>
      <c r="N4516" t="inlineStr">
        <is>
          <t>Modalidade: 0 - Por conta do remetente | Parte: JAMES L H TOME e CIA LTDA (16.965.024/0008-91)</t>
        </is>
      </c>
      <c r="O4516" s="29" t="n">
        <v>0</v>
      </c>
      <c r="P4516" s="29" t="n">
        <v>101.83</v>
      </c>
      <c r="Q4516" s="29" t="n">
        <v>0</v>
      </c>
      <c r="R4516" s="29" t="n">
        <v>0</v>
      </c>
      <c r="S4516" s="29" t="n">
        <v>0</v>
      </c>
      <c r="T4516" t="inlineStr">
        <is>
          <t>25260959256389000183570010000007931000130808</t>
        </is>
      </c>
      <c r="U4516" t="inlineStr">
        <is>
          <t>Sim</t>
        </is>
      </c>
    </row>
    <row r="4517">
      <c r="A4517" t="inlineStr">
        <is>
          <t>Frete de venda</t>
        </is>
      </c>
      <c r="B4517" t="inlineStr">
        <is>
          <t>2.01.02 Frete sobre Vendas</t>
        </is>
      </c>
      <c r="C4517" s="30" t="n">
        <v>46266</v>
      </c>
      <c r="D4517" t="inlineStr">
        <is>
          <t>Em 2026</t>
        </is>
      </c>
      <c r="E4517" s="28" t="n">
        <v>46287</v>
      </c>
      <c r="F4517" t="inlineStr">
        <is>
          <t>CT-e</t>
        </is>
      </c>
      <c r="G4517" t="inlineStr">
        <is>
          <t>000000794</t>
        </is>
      </c>
      <c r="H4517" t="inlineStr">
        <is>
          <t>DURA MAIS TRANSPORTES LTDA</t>
        </is>
      </c>
      <c r="J4517" s="29" t="n">
        <v>848.5700000000001</v>
      </c>
      <c r="K4517" s="29">
        <f>(1-ISNUMBER(SEARCH("556",M4517)))*(O4517*SUMIFS(Premissas!$C$5:$C$44,Premissas!$A$5:$A$44,$A4517,Premissas!$B$5:$B$44,$B4517)+P4517*SUMIFS(Premissas!$D$5:$D$44,Premissas!$A$5:$A$44,$A4517,Premissas!$B$5:$B$44,$B4517))+R4517*SUMIFS(Premissas!$E$5:$E$44,Premissas!$A$5:$A$44,$A4517,Premissas!$B$5:$B$44,$B4517)+S4517*SUMIFS(Premissas!$F$5:$F$44,Premissas!$A$5:$A$44,$A4517,Premissas!$B$5:$B$44,$B4517)</f>
        <v/>
      </c>
      <c r="L4517" s="29">
        <f>J4517-K4517</f>
        <v/>
      </c>
      <c r="M4517" t="inlineStr">
        <is>
          <t>2.350</t>
        </is>
      </c>
      <c r="N4517" t="inlineStr">
        <is>
          <t>Modalidade: 0 - Por conta do remetente | Parte: GALERIA DESCARTAVEIS E FERRAGENS LTDA (15.151.041/0001-56)</t>
        </is>
      </c>
      <c r="O4517" s="29" t="n">
        <v>0</v>
      </c>
      <c r="P4517" s="29" t="n">
        <v>101.83</v>
      </c>
      <c r="Q4517" s="29" t="n">
        <v>0</v>
      </c>
      <c r="R4517" s="29" t="n">
        <v>0</v>
      </c>
      <c r="S4517" s="29" t="n">
        <v>0</v>
      </c>
      <c r="T4517" t="inlineStr">
        <is>
          <t>25260959256389000183570010000007941000010885</t>
        </is>
      </c>
      <c r="U4517" t="inlineStr">
        <is>
          <t>Sim</t>
        </is>
      </c>
    </row>
    <row r="4518">
      <c r="A4518" t="inlineStr">
        <is>
          <t>Frete de venda</t>
        </is>
      </c>
      <c r="B4518" t="inlineStr">
        <is>
          <t>2.01.02 Frete sobre Vendas</t>
        </is>
      </c>
      <c r="C4518" s="30" t="n">
        <v>46266</v>
      </c>
      <c r="D4518" t="inlineStr">
        <is>
          <t>Em 2026</t>
        </is>
      </c>
      <c r="E4518" s="28" t="n">
        <v>46287</v>
      </c>
      <c r="F4518" t="inlineStr">
        <is>
          <t>CT-e</t>
        </is>
      </c>
      <c r="G4518" t="inlineStr">
        <is>
          <t>000000795</t>
        </is>
      </c>
      <c r="H4518" t="inlineStr">
        <is>
          <t>DURA MAIS TRANSPORTES LTDA</t>
        </is>
      </c>
      <c r="J4518" s="29" t="n">
        <v>848.5700000000001</v>
      </c>
      <c r="K4518" s="29">
        <f>(1-ISNUMBER(SEARCH("556",M4518)))*(O4518*SUMIFS(Premissas!$C$5:$C$44,Premissas!$A$5:$A$44,$A4518,Premissas!$B$5:$B$44,$B4518)+P4518*SUMIFS(Premissas!$D$5:$D$44,Premissas!$A$5:$A$44,$A4518,Premissas!$B$5:$B$44,$B4518))+R4518*SUMIFS(Premissas!$E$5:$E$44,Premissas!$A$5:$A$44,$A4518,Premissas!$B$5:$B$44,$B4518)+S4518*SUMIFS(Premissas!$F$5:$F$44,Premissas!$A$5:$A$44,$A4518,Premissas!$B$5:$B$44,$B4518)</f>
        <v/>
      </c>
      <c r="L4518" s="29">
        <f>J4518-K4518</f>
        <v/>
      </c>
      <c r="M4518" t="inlineStr">
        <is>
          <t>2.350</t>
        </is>
      </c>
      <c r="N4518" t="inlineStr">
        <is>
          <t>Modalidade: 0 - Por conta do remetente | Parte: PORTUGAL COMERCIO DE PRODUTOS DESCARTAVEIS LTDA (83.349.563/0001-17)</t>
        </is>
      </c>
      <c r="O4518" s="29" t="n">
        <v>0</v>
      </c>
      <c r="P4518" s="29" t="n">
        <v>101.83</v>
      </c>
      <c r="Q4518" s="29" t="n">
        <v>0</v>
      </c>
      <c r="R4518" s="29" t="n">
        <v>0</v>
      </c>
      <c r="S4518" s="29" t="n">
        <v>0</v>
      </c>
      <c r="T4518" t="inlineStr">
        <is>
          <t>25260959256389000183570010000007951001501049</t>
        </is>
      </c>
      <c r="U4518" t="inlineStr">
        <is>
          <t>Sim</t>
        </is>
      </c>
    </row>
    <row r="4519">
      <c r="A4519" t="inlineStr">
        <is>
          <t>Frete de venda</t>
        </is>
      </c>
      <c r="B4519" t="inlineStr">
        <is>
          <t>2.01.02 Frete sobre Vendas</t>
        </is>
      </c>
      <c r="C4519" s="30" t="n">
        <v>46266</v>
      </c>
      <c r="D4519" t="inlineStr">
        <is>
          <t>Em 2026</t>
        </is>
      </c>
      <c r="E4519" s="28" t="n">
        <v>46287</v>
      </c>
      <c r="F4519" t="inlineStr">
        <is>
          <t>CT-e</t>
        </is>
      </c>
      <c r="G4519" t="inlineStr">
        <is>
          <t>000000796</t>
        </is>
      </c>
      <c r="H4519" t="inlineStr">
        <is>
          <t>DURA MAIS TRANSPORTES LTDA</t>
        </is>
      </c>
      <c r="J4519" s="29" t="n">
        <v>848.5700000000001</v>
      </c>
      <c r="K4519" s="29">
        <f>(1-ISNUMBER(SEARCH("556",M4519)))*(O4519*SUMIFS(Premissas!$C$5:$C$44,Premissas!$A$5:$A$44,$A4519,Premissas!$B$5:$B$44,$B4519)+P4519*SUMIFS(Premissas!$D$5:$D$44,Premissas!$A$5:$A$44,$A4519,Premissas!$B$5:$B$44,$B4519))+R4519*SUMIFS(Premissas!$E$5:$E$44,Premissas!$A$5:$A$44,$A4519,Premissas!$B$5:$B$44,$B4519)+S4519*SUMIFS(Premissas!$F$5:$F$44,Premissas!$A$5:$A$44,$A4519,Premissas!$B$5:$B$44,$B4519)</f>
        <v/>
      </c>
      <c r="L4519" s="29">
        <f>J4519-K4519</f>
        <v/>
      </c>
      <c r="M4519" t="inlineStr">
        <is>
          <t>2.350</t>
        </is>
      </c>
      <c r="N4519" t="inlineStr">
        <is>
          <t>Modalidade: 0 - Por conta do remetente | Parte: PORTUGAL COMERCIO DE PRODUTOS DESCARTAVEIS LTDA (83.349.563/0003-89)</t>
        </is>
      </c>
      <c r="O4519" s="29" t="n">
        <v>0</v>
      </c>
      <c r="P4519" s="29" t="n">
        <v>101.83</v>
      </c>
      <c r="Q4519" s="29" t="n">
        <v>0</v>
      </c>
      <c r="R4519" s="29" t="n">
        <v>0</v>
      </c>
      <c r="S4519" s="29" t="n">
        <v>0</v>
      </c>
      <c r="T4519" t="inlineStr">
        <is>
          <t>25260959256389000183570010000007961001201123</t>
        </is>
      </c>
      <c r="U4519" t="inlineStr">
        <is>
          <t>Sim</t>
        </is>
      </c>
    </row>
    <row r="4520">
      <c r="A4520" t="inlineStr">
        <is>
          <t>Frete de venda</t>
        </is>
      </c>
      <c r="B4520" t="inlineStr">
        <is>
          <t>2.01.02 Frete sobre Vendas</t>
        </is>
      </c>
      <c r="C4520" s="30" t="n">
        <v>46266</v>
      </c>
      <c r="D4520" t="inlineStr">
        <is>
          <t>Em 2026</t>
        </is>
      </c>
      <c r="E4520" s="28" t="n">
        <v>46287</v>
      </c>
      <c r="F4520" t="inlineStr">
        <is>
          <t>CT-e</t>
        </is>
      </c>
      <c r="G4520" t="inlineStr">
        <is>
          <t>000000797</t>
        </is>
      </c>
      <c r="H4520" t="inlineStr">
        <is>
          <t>DURA MAIS TRANSPORTES LTDA</t>
        </is>
      </c>
      <c r="J4520" s="29" t="n">
        <v>848.5700000000001</v>
      </c>
      <c r="K4520" s="29">
        <f>(1-ISNUMBER(SEARCH("556",M4520)))*(O4520*SUMIFS(Premissas!$C$5:$C$44,Premissas!$A$5:$A$44,$A4520,Premissas!$B$5:$B$44,$B4520)+P4520*SUMIFS(Premissas!$D$5:$D$44,Premissas!$A$5:$A$44,$A4520,Premissas!$B$5:$B$44,$B4520))+R4520*SUMIFS(Premissas!$E$5:$E$44,Premissas!$A$5:$A$44,$A4520,Premissas!$B$5:$B$44,$B4520)+S4520*SUMIFS(Premissas!$F$5:$F$44,Premissas!$A$5:$A$44,$A4520,Premissas!$B$5:$B$44,$B4520)</f>
        <v/>
      </c>
      <c r="L4520" s="29">
        <f>J4520-K4520</f>
        <v/>
      </c>
      <c r="M4520" t="inlineStr">
        <is>
          <t>2.350</t>
        </is>
      </c>
      <c r="N4520" t="inlineStr">
        <is>
          <t>Modalidade: 0 - Por conta do remetente | Parte: M. A. DE A. LIMA CARDOSO (34.425.813/0001-45)</t>
        </is>
      </c>
      <c r="O4520" s="29" t="n">
        <v>0</v>
      </c>
      <c r="P4520" s="29" t="n">
        <v>101.83</v>
      </c>
      <c r="Q4520" s="29" t="n">
        <v>0</v>
      </c>
      <c r="R4520" s="29" t="n">
        <v>0</v>
      </c>
      <c r="S4520" s="29" t="n">
        <v>0</v>
      </c>
      <c r="T4520" t="inlineStr">
        <is>
          <t>25260959256389000183570010000007971000130475</t>
        </is>
      </c>
      <c r="U4520" t="inlineStr">
        <is>
          <t>Sim</t>
        </is>
      </c>
    </row>
    <row r="4521">
      <c r="A4521" t="inlineStr">
        <is>
          <t>Frete de venda</t>
        </is>
      </c>
      <c r="B4521" t="inlineStr">
        <is>
          <t>2.01.02 Frete sobre Vendas</t>
        </is>
      </c>
      <c r="C4521" s="30" t="n">
        <v>46266</v>
      </c>
      <c r="D4521" t="inlineStr">
        <is>
          <t>Em 2026</t>
        </is>
      </c>
      <c r="E4521" s="28" t="n">
        <v>46287</v>
      </c>
      <c r="F4521" t="inlineStr">
        <is>
          <t>CT-e</t>
        </is>
      </c>
      <c r="G4521" t="inlineStr">
        <is>
          <t>000000798</t>
        </is>
      </c>
      <c r="H4521" t="inlineStr">
        <is>
          <t>DURA MAIS TRANSPORTES LTDA</t>
        </is>
      </c>
      <c r="J4521" s="29" t="n">
        <v>848.5700000000001</v>
      </c>
      <c r="K4521" s="29">
        <f>(1-ISNUMBER(SEARCH("556",M4521)))*(O4521*SUMIFS(Premissas!$C$5:$C$44,Premissas!$A$5:$A$44,$A4521,Premissas!$B$5:$B$44,$B4521)+P4521*SUMIFS(Premissas!$D$5:$D$44,Premissas!$A$5:$A$44,$A4521,Premissas!$B$5:$B$44,$B4521))+R4521*SUMIFS(Premissas!$E$5:$E$44,Premissas!$A$5:$A$44,$A4521,Premissas!$B$5:$B$44,$B4521)+S4521*SUMIFS(Premissas!$F$5:$F$44,Premissas!$A$5:$A$44,$A4521,Premissas!$B$5:$B$44,$B4521)</f>
        <v/>
      </c>
      <c r="L4521" s="29">
        <f>J4521-K4521</f>
        <v/>
      </c>
      <c r="M4521" t="inlineStr">
        <is>
          <t>2.350</t>
        </is>
      </c>
      <c r="N4521" t="inlineStr">
        <is>
          <t>Modalidade: 0 - Por conta do remetente | Parte: JAMES L. H. TOME e CIA LTDA (16.965.024/0001-15)</t>
        </is>
      </c>
      <c r="O4521" s="29" t="n">
        <v>0</v>
      </c>
      <c r="P4521" s="29" t="n">
        <v>101.83</v>
      </c>
      <c r="Q4521" s="29" t="n">
        <v>0</v>
      </c>
      <c r="R4521" s="29" t="n">
        <v>0</v>
      </c>
      <c r="S4521" s="29" t="n">
        <v>0</v>
      </c>
      <c r="T4521" t="inlineStr">
        <is>
          <t>25260959256389000183570010000007981000150716</t>
        </is>
      </c>
      <c r="U4521" t="inlineStr">
        <is>
          <t>Sim</t>
        </is>
      </c>
    </row>
    <row r="4522">
      <c r="A4522" t="inlineStr">
        <is>
          <t>Frete de venda</t>
        </is>
      </c>
      <c r="B4522" t="inlineStr">
        <is>
          <t>2.01.02 Frete sobre Vendas</t>
        </is>
      </c>
      <c r="C4522" s="30" t="n">
        <v>46266</v>
      </c>
      <c r="D4522" t="inlineStr">
        <is>
          <t>Em 2026</t>
        </is>
      </c>
      <c r="E4522" s="28" t="n">
        <v>46287</v>
      </c>
      <c r="F4522" t="inlineStr">
        <is>
          <t>CT-e</t>
        </is>
      </c>
      <c r="G4522" t="inlineStr">
        <is>
          <t>000000800</t>
        </is>
      </c>
      <c r="H4522" t="inlineStr">
        <is>
          <t>DURA MAIS TRANSPORTES LTDA</t>
        </is>
      </c>
      <c r="J4522" s="29" t="n">
        <v>848.5700000000001</v>
      </c>
      <c r="K4522" s="29">
        <f>(1-ISNUMBER(SEARCH("556",M4522)))*(O4522*SUMIFS(Premissas!$C$5:$C$44,Premissas!$A$5:$A$44,$A4522,Premissas!$B$5:$B$44,$B4522)+P4522*SUMIFS(Premissas!$D$5:$D$44,Premissas!$A$5:$A$44,$A4522,Premissas!$B$5:$B$44,$B4522))+R4522*SUMIFS(Premissas!$E$5:$E$44,Premissas!$A$5:$A$44,$A4522,Premissas!$B$5:$B$44,$B4522)+S4522*SUMIFS(Premissas!$F$5:$F$44,Premissas!$A$5:$A$44,$A4522,Premissas!$B$5:$B$44,$B4522)</f>
        <v/>
      </c>
      <c r="L4522" s="29">
        <f>J4522-K4522</f>
        <v/>
      </c>
      <c r="M4522" t="inlineStr">
        <is>
          <t>2.350</t>
        </is>
      </c>
      <c r="N4522" t="inlineStr">
        <is>
          <t>Modalidade: 0 - Por conta do remetente | Parte: L EMBALAGENS COMERCIO e DISTRIBUICAO LTDA (58.390.072/0001-72)</t>
        </is>
      </c>
      <c r="O4522" s="29" t="n">
        <v>0</v>
      </c>
      <c r="P4522" s="29" t="n">
        <v>101.83</v>
      </c>
      <c r="Q4522" s="29" t="n">
        <v>0</v>
      </c>
      <c r="R4522" s="29" t="n">
        <v>0</v>
      </c>
      <c r="S4522" s="29" t="n">
        <v>0</v>
      </c>
      <c r="T4522" t="inlineStr">
        <is>
          <t>25260959256389000183570010000008001001100879</t>
        </is>
      </c>
      <c r="U4522" t="inlineStr">
        <is>
          <t>Sim</t>
        </is>
      </c>
    </row>
    <row r="4523">
      <c r="A4523" t="inlineStr">
        <is>
          <t>Frete de venda</t>
        </is>
      </c>
      <c r="B4523" t="inlineStr">
        <is>
          <t>2.01.02 Frete sobre Vendas</t>
        </is>
      </c>
      <c r="C4523" s="30" t="n">
        <v>46266</v>
      </c>
      <c r="D4523" t="inlineStr">
        <is>
          <t>Em 2026</t>
        </is>
      </c>
      <c r="E4523" s="28" t="n">
        <v>46287</v>
      </c>
      <c r="F4523" t="inlineStr">
        <is>
          <t>CT-e</t>
        </is>
      </c>
      <c r="G4523" t="inlineStr">
        <is>
          <t>000000803</t>
        </is>
      </c>
      <c r="H4523" t="inlineStr">
        <is>
          <t>DURA MAIS TRANSPORTES LTDA</t>
        </is>
      </c>
      <c r="J4523" s="29" t="n">
        <v>848.5700000000001</v>
      </c>
      <c r="K4523" s="29">
        <f>(1-ISNUMBER(SEARCH("556",M4523)))*(O4523*SUMIFS(Premissas!$C$5:$C$44,Premissas!$A$5:$A$44,$A4523,Premissas!$B$5:$B$44,$B4523)+P4523*SUMIFS(Premissas!$D$5:$D$44,Premissas!$A$5:$A$44,$A4523,Premissas!$B$5:$B$44,$B4523))+R4523*SUMIFS(Premissas!$E$5:$E$44,Premissas!$A$5:$A$44,$A4523,Premissas!$B$5:$B$44,$B4523)+S4523*SUMIFS(Premissas!$F$5:$F$44,Premissas!$A$5:$A$44,$A4523,Premissas!$B$5:$B$44,$B4523)</f>
        <v/>
      </c>
      <c r="L4523" s="29">
        <f>J4523-K4523</f>
        <v/>
      </c>
      <c r="M4523" t="inlineStr">
        <is>
          <t>2.350</t>
        </is>
      </c>
      <c r="N4523" t="inlineStr">
        <is>
          <t>Modalidade: 0 - Por conta do remetente | Parte: JF COMERCIO DE ALIMENTOS E DESCARTAVEIS LTDA. (53.349.159/0001-82)</t>
        </is>
      </c>
      <c r="O4523" s="29" t="n">
        <v>0</v>
      </c>
      <c r="P4523" s="29" t="n">
        <v>101.83</v>
      </c>
      <c r="Q4523" s="29" t="n">
        <v>0</v>
      </c>
      <c r="R4523" s="29" t="n">
        <v>0</v>
      </c>
      <c r="S4523" s="29" t="n">
        <v>0</v>
      </c>
      <c r="T4523" t="inlineStr">
        <is>
          <t>25260959256389000183570010000008031001101117</t>
        </is>
      </c>
      <c r="U4523" t="inlineStr">
        <is>
          <t>Sim</t>
        </is>
      </c>
    </row>
    <row r="4524">
      <c r="A4524" t="inlineStr">
        <is>
          <t>Frete de venda</t>
        </is>
      </c>
      <c r="B4524" t="inlineStr">
        <is>
          <t>2.01.02 Frete sobre Vendas</t>
        </is>
      </c>
      <c r="C4524" s="30" t="n">
        <v>46266</v>
      </c>
      <c r="D4524" t="inlineStr">
        <is>
          <t>Em 2026</t>
        </is>
      </c>
      <c r="E4524" s="28" t="n">
        <v>46287</v>
      </c>
      <c r="F4524" t="inlineStr">
        <is>
          <t>CT-e</t>
        </is>
      </c>
      <c r="G4524" t="inlineStr">
        <is>
          <t>000000805</t>
        </is>
      </c>
      <c r="H4524" t="inlineStr">
        <is>
          <t>DURA MAIS TRANSPORTES LTDA</t>
        </is>
      </c>
      <c r="J4524" s="29" t="n">
        <v>848.5700000000001</v>
      </c>
      <c r="K4524" s="29">
        <f>(1-ISNUMBER(SEARCH("556",M4524)))*(O4524*SUMIFS(Premissas!$C$5:$C$44,Premissas!$A$5:$A$44,$A4524,Premissas!$B$5:$B$44,$B4524)+P4524*SUMIFS(Premissas!$D$5:$D$44,Premissas!$A$5:$A$44,$A4524,Premissas!$B$5:$B$44,$B4524))+R4524*SUMIFS(Premissas!$E$5:$E$44,Premissas!$A$5:$A$44,$A4524,Premissas!$B$5:$B$44,$B4524)+S4524*SUMIFS(Premissas!$F$5:$F$44,Premissas!$A$5:$A$44,$A4524,Premissas!$B$5:$B$44,$B4524)</f>
        <v/>
      </c>
      <c r="L4524" s="29">
        <f>J4524-K4524</f>
        <v/>
      </c>
      <c r="M4524" t="inlineStr">
        <is>
          <t>2.350</t>
        </is>
      </c>
      <c r="N4524" t="inlineStr">
        <is>
          <t>Modalidade: 0 - Por conta do remetente | Parte: JAMES L. H. TOME e CIA LTDA (16.965.024/0010-06)</t>
        </is>
      </c>
      <c r="O4524" s="29" t="n">
        <v>0</v>
      </c>
      <c r="P4524" s="29" t="n">
        <v>101.83</v>
      </c>
      <c r="Q4524" s="29" t="n">
        <v>0</v>
      </c>
      <c r="R4524" s="29" t="n">
        <v>0</v>
      </c>
      <c r="S4524" s="29" t="n">
        <v>0</v>
      </c>
      <c r="T4524" t="inlineStr">
        <is>
          <t>25260959256389000183570010000008051001100549</t>
        </is>
      </c>
      <c r="U4524" t="inlineStr">
        <is>
          <t>Sim</t>
        </is>
      </c>
    </row>
    <row r="4525">
      <c r="A4525" t="inlineStr">
        <is>
          <t>Frete de venda</t>
        </is>
      </c>
      <c r="B4525" t="inlineStr">
        <is>
          <t>2.01.02 Frete sobre Vendas</t>
        </is>
      </c>
      <c r="C4525" s="30" t="n">
        <v>46266</v>
      </c>
      <c r="D4525" t="inlineStr">
        <is>
          <t>Em 2026</t>
        </is>
      </c>
      <c r="E4525" s="28" t="n">
        <v>46287</v>
      </c>
      <c r="F4525" t="inlineStr">
        <is>
          <t>CT-e</t>
        </is>
      </c>
      <c r="G4525" t="inlineStr">
        <is>
          <t>000000806</t>
        </is>
      </c>
      <c r="H4525" t="inlineStr">
        <is>
          <t>DURA MAIS TRANSPORTES LTDA</t>
        </is>
      </c>
      <c r="J4525" s="29" t="n">
        <v>848.5700000000001</v>
      </c>
      <c r="K4525" s="29">
        <f>(1-ISNUMBER(SEARCH("556",M4525)))*(O4525*SUMIFS(Premissas!$C$5:$C$44,Premissas!$A$5:$A$44,$A4525,Premissas!$B$5:$B$44,$B4525)+P4525*SUMIFS(Premissas!$D$5:$D$44,Premissas!$A$5:$A$44,$A4525,Premissas!$B$5:$B$44,$B4525))+R4525*SUMIFS(Premissas!$E$5:$E$44,Premissas!$A$5:$A$44,$A4525,Premissas!$B$5:$B$44,$B4525)+S4525*SUMIFS(Premissas!$F$5:$F$44,Premissas!$A$5:$A$44,$A4525,Premissas!$B$5:$B$44,$B4525)</f>
        <v/>
      </c>
      <c r="L4525" s="29">
        <f>J4525-K4525</f>
        <v/>
      </c>
      <c r="M4525" t="inlineStr">
        <is>
          <t>2.350</t>
        </is>
      </c>
      <c r="N4525" t="inlineStr">
        <is>
          <t>Modalidade: 0 - Por conta do remetente | Parte: P3 DESCARTAVEIS ATACADO e VAREJO LTDA (12.040.681/0001-09)</t>
        </is>
      </c>
      <c r="O4525" s="29" t="n">
        <v>0</v>
      </c>
      <c r="P4525" s="29" t="n">
        <v>101.83</v>
      </c>
      <c r="Q4525" s="29" t="n">
        <v>0</v>
      </c>
      <c r="R4525" s="29" t="n">
        <v>0</v>
      </c>
      <c r="S4525" s="29" t="n">
        <v>0</v>
      </c>
      <c r="T4525" t="inlineStr">
        <is>
          <t>25260959256389000183570010000008061000170621</t>
        </is>
      </c>
      <c r="U4525" t="inlineStr">
        <is>
          <t>Sim</t>
        </is>
      </c>
    </row>
    <row r="4526">
      <c r="A4526" t="inlineStr">
        <is>
          <t>Frete de venda</t>
        </is>
      </c>
      <c r="B4526" t="inlineStr">
        <is>
          <t>2.01.02 Frete sobre Vendas</t>
        </is>
      </c>
      <c r="C4526" s="30" t="n">
        <v>46266</v>
      </c>
      <c r="D4526" t="inlineStr">
        <is>
          <t>Em 2026</t>
        </is>
      </c>
      <c r="E4526" s="28" t="n">
        <v>46287</v>
      </c>
      <c r="F4526" t="inlineStr">
        <is>
          <t>CT-e</t>
        </is>
      </c>
      <c r="G4526" t="inlineStr">
        <is>
          <t>000000807</t>
        </is>
      </c>
      <c r="H4526" t="inlineStr">
        <is>
          <t>DURA MAIS TRANSPORTES LTDA</t>
        </is>
      </c>
      <c r="J4526" s="29" t="n">
        <v>848.5700000000001</v>
      </c>
      <c r="K4526" s="29">
        <f>(1-ISNUMBER(SEARCH("556",M4526)))*(O4526*SUMIFS(Premissas!$C$5:$C$44,Premissas!$A$5:$A$44,$A4526,Premissas!$B$5:$B$44,$B4526)+P4526*SUMIFS(Premissas!$D$5:$D$44,Premissas!$A$5:$A$44,$A4526,Premissas!$B$5:$B$44,$B4526))+R4526*SUMIFS(Premissas!$E$5:$E$44,Premissas!$A$5:$A$44,$A4526,Premissas!$B$5:$B$44,$B4526)+S4526*SUMIFS(Premissas!$F$5:$F$44,Premissas!$A$5:$A$44,$A4526,Premissas!$B$5:$B$44,$B4526)</f>
        <v/>
      </c>
      <c r="L4526" s="29">
        <f>J4526-K4526</f>
        <v/>
      </c>
      <c r="M4526" t="inlineStr">
        <is>
          <t>2.350</t>
        </is>
      </c>
      <c r="N4526" t="inlineStr">
        <is>
          <t>Modalidade: 0 - Por conta do remetente | Parte: R. VALE DOS SANTOS LTDA (21.585.699/0001-79)</t>
        </is>
      </c>
      <c r="O4526" s="29" t="n">
        <v>0</v>
      </c>
      <c r="P4526" s="29" t="n">
        <v>101.83</v>
      </c>
      <c r="Q4526" s="29" t="n">
        <v>0</v>
      </c>
      <c r="R4526" s="29" t="n">
        <v>0</v>
      </c>
      <c r="S4526" s="29" t="n">
        <v>0</v>
      </c>
      <c r="T4526" t="inlineStr">
        <is>
          <t>25260959256389000183570010000008071000140703</t>
        </is>
      </c>
      <c r="U4526" t="inlineStr">
        <is>
          <t>Sim</t>
        </is>
      </c>
    </row>
    <row r="4527">
      <c r="A4527" t="inlineStr">
        <is>
          <t>Frete de venda</t>
        </is>
      </c>
      <c r="B4527" t="inlineStr">
        <is>
          <t>2.01.02 Frete sobre Vendas</t>
        </is>
      </c>
      <c r="C4527" s="30" t="n">
        <v>46266</v>
      </c>
      <c r="D4527" t="inlineStr">
        <is>
          <t>Em 2026</t>
        </is>
      </c>
      <c r="E4527" s="28" t="n">
        <v>46288</v>
      </c>
      <c r="F4527" t="inlineStr">
        <is>
          <t>CT-e</t>
        </is>
      </c>
      <c r="G4527" t="inlineStr">
        <is>
          <t>000000809</t>
        </is>
      </c>
      <c r="H4527" t="inlineStr">
        <is>
          <t>DURA MAIS TRANSPORTES LTDA</t>
        </is>
      </c>
      <c r="J4527" s="29" t="n">
        <v>1272.86</v>
      </c>
      <c r="K4527" s="29">
        <f>(1-ISNUMBER(SEARCH("556",M4527)))*(O4527*SUMIFS(Premissas!$C$5:$C$44,Premissas!$A$5:$A$44,$A4527,Premissas!$B$5:$B$44,$B4527)+P4527*SUMIFS(Premissas!$D$5:$D$44,Premissas!$A$5:$A$44,$A4527,Premissas!$B$5:$B$44,$B4527))+R4527*SUMIFS(Premissas!$E$5:$E$44,Premissas!$A$5:$A$44,$A4527,Premissas!$B$5:$B$44,$B4527)+S4527*SUMIFS(Premissas!$F$5:$F$44,Premissas!$A$5:$A$44,$A4527,Premissas!$B$5:$B$44,$B4527)</f>
        <v/>
      </c>
      <c r="L4527" s="29">
        <f>J4527-K4527</f>
        <v/>
      </c>
      <c r="M4527" t="inlineStr">
        <is>
          <t>2.350</t>
        </is>
      </c>
      <c r="N4527" t="inlineStr">
        <is>
          <t>Modalidade: 0 - Por conta do remetente | Parte: DISTRIBUIDORA DE EMBALAGENS MACROPACK LTDA (07.490.507/0001-10)</t>
        </is>
      </c>
      <c r="O4527" s="29" t="n">
        <v>0</v>
      </c>
      <c r="P4527" s="29" t="n">
        <v>152.74</v>
      </c>
      <c r="Q4527" s="29" t="n">
        <v>0</v>
      </c>
      <c r="R4527" s="29" t="n">
        <v>0</v>
      </c>
      <c r="S4527" s="29" t="n">
        <v>0</v>
      </c>
      <c r="T4527" t="inlineStr">
        <is>
          <t>25260959256389000183570010000008091000130699</t>
        </is>
      </c>
      <c r="U4527" t="inlineStr">
        <is>
          <t>Sim</t>
        </is>
      </c>
    </row>
    <row r="4528">
      <c r="A4528" t="inlineStr">
        <is>
          <t>Frete de venda</t>
        </is>
      </c>
      <c r="B4528" t="inlineStr">
        <is>
          <t>2.01.02 Frete sobre Vendas</t>
        </is>
      </c>
      <c r="C4528" s="30" t="n">
        <v>46266</v>
      </c>
      <c r="D4528" t="inlineStr">
        <is>
          <t>Em 2026</t>
        </is>
      </c>
      <c r="E4528" s="28" t="n">
        <v>46288</v>
      </c>
      <c r="F4528" t="inlineStr">
        <is>
          <t>CT-e</t>
        </is>
      </c>
      <c r="G4528" t="inlineStr">
        <is>
          <t>000000810</t>
        </is>
      </c>
      <c r="H4528" t="inlineStr">
        <is>
          <t>DURA MAIS TRANSPORTES LTDA</t>
        </is>
      </c>
      <c r="J4528" s="29" t="n">
        <v>1272.86</v>
      </c>
      <c r="K4528" s="29">
        <f>(1-ISNUMBER(SEARCH("556",M4528)))*(O4528*SUMIFS(Premissas!$C$5:$C$44,Premissas!$A$5:$A$44,$A4528,Premissas!$B$5:$B$44,$B4528)+P4528*SUMIFS(Premissas!$D$5:$D$44,Premissas!$A$5:$A$44,$A4528,Premissas!$B$5:$B$44,$B4528))+R4528*SUMIFS(Premissas!$E$5:$E$44,Premissas!$A$5:$A$44,$A4528,Premissas!$B$5:$B$44,$B4528)+S4528*SUMIFS(Premissas!$F$5:$F$44,Premissas!$A$5:$A$44,$A4528,Premissas!$B$5:$B$44,$B4528)</f>
        <v/>
      </c>
      <c r="L4528" s="29">
        <f>J4528-K4528</f>
        <v/>
      </c>
      <c r="M4528" t="inlineStr">
        <is>
          <t>2.350</t>
        </is>
      </c>
      <c r="N4528" t="inlineStr">
        <is>
          <t>Modalidade: 0 - Por conta do remetente | Parte: SUPER PLASTICOS ATACAREJO LTDA (48.268.818/0001-16)</t>
        </is>
      </c>
      <c r="O4528" s="29" t="n">
        <v>0</v>
      </c>
      <c r="P4528" s="29" t="n">
        <v>152.74</v>
      </c>
      <c r="Q4528" s="29" t="n">
        <v>0</v>
      </c>
      <c r="R4528" s="29" t="n">
        <v>0</v>
      </c>
      <c r="S4528" s="29" t="n">
        <v>0</v>
      </c>
      <c r="T4528" t="inlineStr">
        <is>
          <t>25260959256389000183570010000008101000010775</t>
        </is>
      </c>
      <c r="U4528" t="inlineStr">
        <is>
          <t>Sim</t>
        </is>
      </c>
    </row>
    <row r="4529">
      <c r="A4529" t="inlineStr">
        <is>
          <t>Frete de venda</t>
        </is>
      </c>
      <c r="B4529" t="inlineStr">
        <is>
          <t>2.01.02 Frete sobre Vendas</t>
        </is>
      </c>
      <c r="C4529" s="30" t="n">
        <v>46266</v>
      </c>
      <c r="D4529" t="inlineStr">
        <is>
          <t>Em 2026</t>
        </is>
      </c>
      <c r="E4529" s="28" t="n">
        <v>46288</v>
      </c>
      <c r="F4529" t="inlineStr">
        <is>
          <t>CT-e</t>
        </is>
      </c>
      <c r="G4529" t="inlineStr">
        <is>
          <t>000000811</t>
        </is>
      </c>
      <c r="H4529" t="inlineStr">
        <is>
          <t>DURA MAIS TRANSPORTES LTDA</t>
        </is>
      </c>
      <c r="J4529" s="29" t="n">
        <v>1272.86</v>
      </c>
      <c r="K4529" s="29">
        <f>(1-ISNUMBER(SEARCH("556",M4529)))*(O4529*SUMIFS(Premissas!$C$5:$C$44,Premissas!$A$5:$A$44,$A4529,Premissas!$B$5:$B$44,$B4529)+P4529*SUMIFS(Premissas!$D$5:$D$44,Premissas!$A$5:$A$44,$A4529,Premissas!$B$5:$B$44,$B4529))+R4529*SUMIFS(Premissas!$E$5:$E$44,Premissas!$A$5:$A$44,$A4529,Premissas!$B$5:$B$44,$B4529)+S4529*SUMIFS(Premissas!$F$5:$F$44,Premissas!$A$5:$A$44,$A4529,Premissas!$B$5:$B$44,$B4529)</f>
        <v/>
      </c>
      <c r="L4529" s="29">
        <f>J4529-K4529</f>
        <v/>
      </c>
      <c r="M4529" t="inlineStr">
        <is>
          <t>2.350</t>
        </is>
      </c>
      <c r="N4529" t="inlineStr">
        <is>
          <t>Modalidade: 0 - Por conta do remetente | Parte: E. FATIMA DA SILVA (12.559.565/0001-92)</t>
        </is>
      </c>
      <c r="O4529" s="29" t="n">
        <v>0</v>
      </c>
      <c r="P4529" s="29" t="n">
        <v>152.74</v>
      </c>
      <c r="Q4529" s="29" t="n">
        <v>0</v>
      </c>
      <c r="R4529" s="29" t="n">
        <v>0</v>
      </c>
      <c r="S4529" s="29" t="n">
        <v>0</v>
      </c>
      <c r="T4529" t="inlineStr">
        <is>
          <t>25260959256389000183570010000008111000180856</t>
        </is>
      </c>
      <c r="U4529" t="inlineStr">
        <is>
          <t>Sim</t>
        </is>
      </c>
    </row>
    <row r="4530">
      <c r="A4530" t="inlineStr">
        <is>
          <t>Frete de venda</t>
        </is>
      </c>
      <c r="B4530" t="inlineStr">
        <is>
          <t>2.01.02 Frete sobre Vendas</t>
        </is>
      </c>
      <c r="C4530" s="30" t="n">
        <v>46266</v>
      </c>
      <c r="D4530" t="inlineStr">
        <is>
          <t>Em 2026</t>
        </is>
      </c>
      <c r="E4530" s="28" t="n">
        <v>46288</v>
      </c>
      <c r="F4530" t="inlineStr">
        <is>
          <t>CT-e</t>
        </is>
      </c>
      <c r="G4530" t="inlineStr">
        <is>
          <t>000000814</t>
        </is>
      </c>
      <c r="H4530" t="inlineStr">
        <is>
          <t>DURA MAIS TRANSPORTES LTDA</t>
        </is>
      </c>
      <c r="J4530" s="29" t="n">
        <v>1272.86</v>
      </c>
      <c r="K4530" s="29">
        <f>(1-ISNUMBER(SEARCH("556",M4530)))*(O4530*SUMIFS(Premissas!$C$5:$C$44,Premissas!$A$5:$A$44,$A4530,Premissas!$B$5:$B$44,$B4530)+P4530*SUMIFS(Premissas!$D$5:$D$44,Premissas!$A$5:$A$44,$A4530,Premissas!$B$5:$B$44,$B4530))+R4530*SUMIFS(Premissas!$E$5:$E$44,Premissas!$A$5:$A$44,$A4530,Premissas!$B$5:$B$44,$B4530)+S4530*SUMIFS(Premissas!$F$5:$F$44,Premissas!$A$5:$A$44,$A4530,Premissas!$B$5:$B$44,$B4530)</f>
        <v/>
      </c>
      <c r="L4530" s="29">
        <f>J4530-K4530</f>
        <v/>
      </c>
      <c r="M4530" t="inlineStr">
        <is>
          <t>2.350</t>
        </is>
      </c>
      <c r="N4530" t="inlineStr">
        <is>
          <t>Modalidade: 0 - Por conta do remetente | Parte: ILHA PLASTIC COMERCIO ATACADISTA DE EMBALAGENS LTDA (21.873.207/0001-40)</t>
        </is>
      </c>
      <c r="O4530" s="29" t="n">
        <v>0</v>
      </c>
      <c r="P4530" s="29" t="n">
        <v>152.74</v>
      </c>
      <c r="Q4530" s="29" t="n">
        <v>0</v>
      </c>
      <c r="R4530" s="29" t="n">
        <v>0</v>
      </c>
      <c r="S4530" s="29" t="n">
        <v>0</v>
      </c>
      <c r="T4530" t="inlineStr">
        <is>
          <t>25260959256389000183570010000008141011001097</t>
        </is>
      </c>
      <c r="U4530" t="inlineStr">
        <is>
          <t>Sim</t>
        </is>
      </c>
    </row>
    <row r="4531">
      <c r="A4531" t="inlineStr">
        <is>
          <t>Frete de venda</t>
        </is>
      </c>
      <c r="B4531" t="inlineStr">
        <is>
          <t>2.01.02 Frete sobre Vendas</t>
        </is>
      </c>
      <c r="C4531" s="30" t="n">
        <v>46266</v>
      </c>
      <c r="D4531" t="inlineStr">
        <is>
          <t>Em 2026</t>
        </is>
      </c>
      <c r="E4531" s="28" t="n">
        <v>46288</v>
      </c>
      <c r="F4531" t="inlineStr">
        <is>
          <t>CT-e</t>
        </is>
      </c>
      <c r="G4531" t="inlineStr">
        <is>
          <t>000000815</t>
        </is>
      </c>
      <c r="H4531" t="inlineStr">
        <is>
          <t>DURA MAIS TRANSPORTES LTDA</t>
        </is>
      </c>
      <c r="J4531" s="29" t="n">
        <v>1272.86</v>
      </c>
      <c r="K4531" s="29">
        <f>(1-ISNUMBER(SEARCH("556",M4531)))*(O4531*SUMIFS(Premissas!$C$5:$C$44,Premissas!$A$5:$A$44,$A4531,Premissas!$B$5:$B$44,$B4531)+P4531*SUMIFS(Premissas!$D$5:$D$44,Premissas!$A$5:$A$44,$A4531,Premissas!$B$5:$B$44,$B4531))+R4531*SUMIFS(Premissas!$E$5:$E$44,Premissas!$A$5:$A$44,$A4531,Premissas!$B$5:$B$44,$B4531)+S4531*SUMIFS(Premissas!$F$5:$F$44,Premissas!$A$5:$A$44,$A4531,Premissas!$B$5:$B$44,$B4531)</f>
        <v/>
      </c>
      <c r="L4531" s="29">
        <f>J4531-K4531</f>
        <v/>
      </c>
      <c r="M4531" t="inlineStr">
        <is>
          <t>2.350</t>
        </is>
      </c>
      <c r="N4531" t="inlineStr">
        <is>
          <t>Modalidade: 0 - Por conta do remetente | Parte: G SOARES EMPREENDIMENTOS LTDA (44.817.637/0001-40)</t>
        </is>
      </c>
      <c r="O4531" s="29" t="n">
        <v>0</v>
      </c>
      <c r="P4531" s="29" t="n">
        <v>152.74</v>
      </c>
      <c r="Q4531" s="29" t="n">
        <v>0</v>
      </c>
      <c r="R4531" s="29" t="n">
        <v>0</v>
      </c>
      <c r="S4531" s="29" t="n">
        <v>0</v>
      </c>
      <c r="T4531" t="inlineStr">
        <is>
          <t>25260959256389000183570010000008151001701174</t>
        </is>
      </c>
      <c r="U4531" t="inlineStr">
        <is>
          <t>Sim</t>
        </is>
      </c>
    </row>
    <row r="4532">
      <c r="A4532" t="inlineStr">
        <is>
          <t>Frete de venda</t>
        </is>
      </c>
      <c r="B4532" t="inlineStr">
        <is>
          <t>2.01.02 Frete sobre Vendas</t>
        </is>
      </c>
      <c r="C4532" s="30" t="n">
        <v>46266</v>
      </c>
      <c r="D4532" t="inlineStr">
        <is>
          <t>Em 2026</t>
        </is>
      </c>
      <c r="E4532" s="28" t="n">
        <v>46288</v>
      </c>
      <c r="F4532" t="inlineStr">
        <is>
          <t>CT-e</t>
        </is>
      </c>
      <c r="G4532" t="inlineStr">
        <is>
          <t>000000817</t>
        </is>
      </c>
      <c r="H4532" t="inlineStr">
        <is>
          <t>DURA MAIS TRANSPORTES LTDA</t>
        </is>
      </c>
      <c r="J4532" s="29" t="n">
        <v>1272.86</v>
      </c>
      <c r="K4532" s="29">
        <f>(1-ISNUMBER(SEARCH("556",M4532)))*(O4532*SUMIFS(Premissas!$C$5:$C$44,Premissas!$A$5:$A$44,$A4532,Premissas!$B$5:$B$44,$B4532)+P4532*SUMIFS(Premissas!$D$5:$D$44,Premissas!$A$5:$A$44,$A4532,Premissas!$B$5:$B$44,$B4532))+R4532*SUMIFS(Premissas!$E$5:$E$44,Premissas!$A$5:$A$44,$A4532,Premissas!$B$5:$B$44,$B4532)+S4532*SUMIFS(Premissas!$F$5:$F$44,Premissas!$A$5:$A$44,$A4532,Premissas!$B$5:$B$44,$B4532)</f>
        <v/>
      </c>
      <c r="L4532" s="29">
        <f>J4532-K4532</f>
        <v/>
      </c>
      <c r="M4532" t="inlineStr">
        <is>
          <t>2.350</t>
        </is>
      </c>
      <c r="N4532" t="inlineStr">
        <is>
          <t>Modalidade: 0 - Por conta do remetente | Parte: ATEX DISTRIBUIDORA LTDA (60.016.095/0001-63)</t>
        </is>
      </c>
      <c r="O4532" s="29" t="n">
        <v>0</v>
      </c>
      <c r="P4532" s="29" t="n">
        <v>152.74</v>
      </c>
      <c r="Q4532" s="29" t="n">
        <v>0</v>
      </c>
      <c r="R4532" s="29" t="n">
        <v>0</v>
      </c>
      <c r="S4532" s="29" t="n">
        <v>0</v>
      </c>
      <c r="T4532" t="inlineStr">
        <is>
          <t>25260959256389000183570010000008171001101333</t>
        </is>
      </c>
      <c r="U4532" t="inlineStr">
        <is>
          <t>Sim</t>
        </is>
      </c>
    </row>
    <row r="4533">
      <c r="A4533" t="inlineStr">
        <is>
          <t>Frete de venda</t>
        </is>
      </c>
      <c r="B4533" t="inlineStr">
        <is>
          <t>2.01.02 Frete sobre Vendas</t>
        </is>
      </c>
      <c r="C4533" s="30" t="n">
        <v>46266</v>
      </c>
      <c r="D4533" t="inlineStr">
        <is>
          <t>Em 2026</t>
        </is>
      </c>
      <c r="E4533" s="28" t="n">
        <v>46288</v>
      </c>
      <c r="F4533" t="inlineStr">
        <is>
          <t>CT-e</t>
        </is>
      </c>
      <c r="G4533" t="inlineStr">
        <is>
          <t>000000833</t>
        </is>
      </c>
      <c r="H4533" t="inlineStr">
        <is>
          <t>DURA MAIS TRANSPORTES LTDA</t>
        </is>
      </c>
      <c r="J4533" s="29" t="n">
        <v>900</v>
      </c>
      <c r="K4533" s="29">
        <f>(1-ISNUMBER(SEARCH("556",M4533)))*(O4533*SUMIFS(Premissas!$C$5:$C$44,Premissas!$A$5:$A$44,$A4533,Premissas!$B$5:$B$44,$B4533)+P4533*SUMIFS(Premissas!$D$5:$D$44,Premissas!$A$5:$A$44,$A4533,Premissas!$B$5:$B$44,$B4533))+R4533*SUMIFS(Premissas!$E$5:$E$44,Premissas!$A$5:$A$44,$A4533,Premissas!$B$5:$B$44,$B4533)+S4533*SUMIFS(Premissas!$F$5:$F$44,Premissas!$A$5:$A$44,$A4533,Premissas!$B$5:$B$44,$B4533)</f>
        <v/>
      </c>
      <c r="L4533" s="29">
        <f>J4533-K4533</f>
        <v/>
      </c>
      <c r="M4533" t="inlineStr">
        <is>
          <t>2.350</t>
        </is>
      </c>
      <c r="N4533" t="inlineStr">
        <is>
          <t>Modalidade: 0 - Por conta do remetente | Parte: AMANDA SOUZA MAGALHAES (38.377.119/0001-50)</t>
        </is>
      </c>
      <c r="O4533" s="29" t="n">
        <v>0</v>
      </c>
      <c r="P4533" s="29" t="n">
        <v>108</v>
      </c>
      <c r="Q4533" s="29" t="n">
        <v>0</v>
      </c>
      <c r="R4533" s="29" t="n">
        <v>0</v>
      </c>
      <c r="S4533" s="29" t="n">
        <v>0</v>
      </c>
      <c r="T4533" t="inlineStr">
        <is>
          <t>25260959256389000183570010000008331001501157</t>
        </is>
      </c>
      <c r="U4533" t="inlineStr">
        <is>
          <t>Sim</t>
        </is>
      </c>
    </row>
    <row r="4534">
      <c r="A4534" t="inlineStr">
        <is>
          <t>Frete de venda</t>
        </is>
      </c>
      <c r="B4534" t="inlineStr">
        <is>
          <t>2.01.02 Frete sobre Vendas</t>
        </is>
      </c>
      <c r="C4534" s="30" t="n">
        <v>46266</v>
      </c>
      <c r="D4534" t="inlineStr">
        <is>
          <t>Em 2026</t>
        </is>
      </c>
      <c r="E4534" s="28" t="n">
        <v>46288</v>
      </c>
      <c r="F4534" t="inlineStr">
        <is>
          <t>CT-e</t>
        </is>
      </c>
      <c r="G4534" t="inlineStr">
        <is>
          <t>000000834</t>
        </is>
      </c>
      <c r="H4534" t="inlineStr">
        <is>
          <t>DURA MAIS TRANSPORTES LTDA</t>
        </is>
      </c>
      <c r="J4534" s="29" t="n">
        <v>900</v>
      </c>
      <c r="K4534" s="29">
        <f>(1-ISNUMBER(SEARCH("556",M4534)))*(O4534*SUMIFS(Premissas!$C$5:$C$44,Premissas!$A$5:$A$44,$A4534,Premissas!$B$5:$B$44,$B4534)+P4534*SUMIFS(Premissas!$D$5:$D$44,Premissas!$A$5:$A$44,$A4534,Premissas!$B$5:$B$44,$B4534))+R4534*SUMIFS(Premissas!$E$5:$E$44,Premissas!$A$5:$A$44,$A4534,Premissas!$B$5:$B$44,$B4534)+S4534*SUMIFS(Premissas!$F$5:$F$44,Premissas!$A$5:$A$44,$A4534,Premissas!$B$5:$B$44,$B4534)</f>
        <v/>
      </c>
      <c r="L4534" s="29">
        <f>J4534-K4534</f>
        <v/>
      </c>
      <c r="M4534" t="inlineStr">
        <is>
          <t>2.350</t>
        </is>
      </c>
      <c r="N4534" t="inlineStr">
        <is>
          <t>Modalidade: 0 - Por conta do remetente | Parte: VIP DISTRIBUIDORA DE PRODUTOS ALIMENTICIOS LTDA (51.427.189/0001-34)</t>
        </is>
      </c>
      <c r="O4534" s="29" t="n">
        <v>0</v>
      </c>
      <c r="P4534" s="29" t="n">
        <v>108</v>
      </c>
      <c r="Q4534" s="29" t="n">
        <v>0</v>
      </c>
      <c r="R4534" s="29" t="n">
        <v>0</v>
      </c>
      <c r="S4534" s="29" t="n">
        <v>0</v>
      </c>
      <c r="T4534" t="inlineStr">
        <is>
          <t>25260959256389000183570010000008341001201231</t>
        </is>
      </c>
      <c r="U4534" t="inlineStr">
        <is>
          <t>Sim</t>
        </is>
      </c>
    </row>
    <row r="4535">
      <c r="A4535" t="inlineStr">
        <is>
          <t>Frete de venda</t>
        </is>
      </c>
      <c r="B4535" t="inlineStr">
        <is>
          <t>2.01.02 Frete sobre Vendas</t>
        </is>
      </c>
      <c r="C4535" s="30" t="n">
        <v>46266</v>
      </c>
      <c r="D4535" t="inlineStr">
        <is>
          <t>Em 2026</t>
        </is>
      </c>
      <c r="E4535" s="28" t="n">
        <v>46288</v>
      </c>
      <c r="F4535" t="inlineStr">
        <is>
          <t>CT-e</t>
        </is>
      </c>
      <c r="G4535" t="inlineStr">
        <is>
          <t>000000835</t>
        </is>
      </c>
      <c r="H4535" t="inlineStr">
        <is>
          <t>DURA MAIS TRANSPORTES LTDA</t>
        </is>
      </c>
      <c r="J4535" s="29" t="n">
        <v>900</v>
      </c>
      <c r="K4535" s="29">
        <f>(1-ISNUMBER(SEARCH("556",M4535)))*(O4535*SUMIFS(Premissas!$C$5:$C$44,Premissas!$A$5:$A$44,$A4535,Premissas!$B$5:$B$44,$B4535)+P4535*SUMIFS(Premissas!$D$5:$D$44,Premissas!$A$5:$A$44,$A4535,Premissas!$B$5:$B$44,$B4535))+R4535*SUMIFS(Premissas!$E$5:$E$44,Premissas!$A$5:$A$44,$A4535,Premissas!$B$5:$B$44,$B4535)+S4535*SUMIFS(Premissas!$F$5:$F$44,Premissas!$A$5:$A$44,$A4535,Premissas!$B$5:$B$44,$B4535)</f>
        <v/>
      </c>
      <c r="L4535" s="29">
        <f>J4535-K4535</f>
        <v/>
      </c>
      <c r="M4535" t="inlineStr">
        <is>
          <t>2.350</t>
        </is>
      </c>
      <c r="N4535" t="inlineStr">
        <is>
          <t>Modalidade: 0 - Por conta do remetente | Parte: LIDERPACK EMBALAGENS LTDA (46.994.972/0001-40)</t>
        </is>
      </c>
      <c r="O4535" s="29" t="n">
        <v>0</v>
      </c>
      <c r="P4535" s="29" t="n">
        <v>108</v>
      </c>
      <c r="Q4535" s="29" t="n">
        <v>0</v>
      </c>
      <c r="R4535" s="29" t="n">
        <v>0</v>
      </c>
      <c r="S4535" s="29" t="n">
        <v>0</v>
      </c>
      <c r="T4535" t="inlineStr">
        <is>
          <t>25260959256389000183570010000008351011001313</t>
        </is>
      </c>
      <c r="U4535" t="inlineStr">
        <is>
          <t>Sim</t>
        </is>
      </c>
    </row>
    <row r="4536">
      <c r="A4536" t="inlineStr">
        <is>
          <t>Frete de venda</t>
        </is>
      </c>
      <c r="B4536" t="inlineStr">
        <is>
          <t>2.01.02 Frete sobre Vendas</t>
        </is>
      </c>
      <c r="C4536" s="30" t="n">
        <v>46266</v>
      </c>
      <c r="D4536" t="inlineStr">
        <is>
          <t>Em 2026</t>
        </is>
      </c>
      <c r="E4536" s="28" t="n">
        <v>46288</v>
      </c>
      <c r="F4536" t="inlineStr">
        <is>
          <t>CT-e</t>
        </is>
      </c>
      <c r="G4536" t="inlineStr">
        <is>
          <t>000000836</t>
        </is>
      </c>
      <c r="H4536" t="inlineStr">
        <is>
          <t>DURA MAIS TRANSPORTES LTDA</t>
        </is>
      </c>
      <c r="J4536" s="29" t="n">
        <v>900</v>
      </c>
      <c r="K4536" s="29">
        <f>(1-ISNUMBER(SEARCH("556",M4536)))*(O4536*SUMIFS(Premissas!$C$5:$C$44,Premissas!$A$5:$A$44,$A4536,Premissas!$B$5:$B$44,$B4536)+P4536*SUMIFS(Premissas!$D$5:$D$44,Premissas!$A$5:$A$44,$A4536,Premissas!$B$5:$B$44,$B4536))+R4536*SUMIFS(Premissas!$E$5:$E$44,Premissas!$A$5:$A$44,$A4536,Premissas!$B$5:$B$44,$B4536)+S4536*SUMIFS(Premissas!$F$5:$F$44,Premissas!$A$5:$A$44,$A4536,Premissas!$B$5:$B$44,$B4536)</f>
        <v/>
      </c>
      <c r="L4536" s="29">
        <f>J4536-K4536</f>
        <v/>
      </c>
      <c r="M4536" t="inlineStr">
        <is>
          <t>2.350</t>
        </is>
      </c>
      <c r="N4536" t="inlineStr">
        <is>
          <t>Modalidade: 0 - Por conta do remetente | Parte: ZACHEU e ZACHEU EMBALAGENS LTDA. (07.887.400/0002-90)</t>
        </is>
      </c>
      <c r="O4536" s="29" t="n">
        <v>0</v>
      </c>
      <c r="P4536" s="29" t="n">
        <v>108</v>
      </c>
      <c r="Q4536" s="29" t="n">
        <v>0</v>
      </c>
      <c r="R4536" s="29" t="n">
        <v>0</v>
      </c>
      <c r="S4536" s="29" t="n">
        <v>0</v>
      </c>
      <c r="T4536" t="inlineStr">
        <is>
          <t>25260959256389000183570010000008361001701395</t>
        </is>
      </c>
      <c r="U4536" t="inlineStr">
        <is>
          <t>Sim</t>
        </is>
      </c>
    </row>
    <row r="4537">
      <c r="A4537" t="inlineStr">
        <is>
          <t>Frete de venda</t>
        </is>
      </c>
      <c r="B4537" t="inlineStr">
        <is>
          <t>2.01.02 Frete sobre Vendas</t>
        </is>
      </c>
      <c r="C4537" s="30" t="n">
        <v>46266</v>
      </c>
      <c r="D4537" t="inlineStr">
        <is>
          <t>Em 2026</t>
        </is>
      </c>
      <c r="E4537" s="28" t="n">
        <v>46288</v>
      </c>
      <c r="F4537" t="inlineStr">
        <is>
          <t>CT-e</t>
        </is>
      </c>
      <c r="G4537" t="inlineStr">
        <is>
          <t>000000837</t>
        </is>
      </c>
      <c r="H4537" t="inlineStr">
        <is>
          <t>DURA MAIS TRANSPORTES LTDA</t>
        </is>
      </c>
      <c r="J4537" s="29" t="n">
        <v>900</v>
      </c>
      <c r="K4537" s="29">
        <f>(1-ISNUMBER(SEARCH("556",M4537)))*(O4537*SUMIFS(Premissas!$C$5:$C$44,Premissas!$A$5:$A$44,$A4537,Premissas!$B$5:$B$44,$B4537)+P4537*SUMIFS(Premissas!$D$5:$D$44,Premissas!$A$5:$A$44,$A4537,Premissas!$B$5:$B$44,$B4537))+R4537*SUMIFS(Premissas!$E$5:$E$44,Premissas!$A$5:$A$44,$A4537,Premissas!$B$5:$B$44,$B4537)+S4537*SUMIFS(Premissas!$F$5:$F$44,Premissas!$A$5:$A$44,$A4537,Premissas!$B$5:$B$44,$B4537)</f>
        <v/>
      </c>
      <c r="L4537" s="29">
        <f>J4537-K4537</f>
        <v/>
      </c>
      <c r="M4537" t="inlineStr">
        <is>
          <t>2.350</t>
        </is>
      </c>
      <c r="N4537" t="inlineStr">
        <is>
          <t>Modalidade: 0 - Por conta do remetente | Parte: HCR - COMERCIO DE EMBALAGENS LTDA (01.730.981/0001-95)</t>
        </is>
      </c>
      <c r="O4537" s="29" t="n">
        <v>0</v>
      </c>
      <c r="P4537" s="29" t="n">
        <v>108</v>
      </c>
      <c r="Q4537" s="29" t="n">
        <v>0</v>
      </c>
      <c r="R4537" s="29" t="n">
        <v>0</v>
      </c>
      <c r="S4537" s="29" t="n">
        <v>0</v>
      </c>
      <c r="T4537" t="inlineStr">
        <is>
          <t>25260959256389000183570010000008371001401470</t>
        </is>
      </c>
      <c r="U4537" t="inlineStr">
        <is>
          <t>Sim</t>
        </is>
      </c>
    </row>
    <row r="4538">
      <c r="A4538" t="inlineStr">
        <is>
          <t>Frete de venda</t>
        </is>
      </c>
      <c r="B4538" t="inlineStr">
        <is>
          <t>2.01.02 Frete sobre Vendas</t>
        </is>
      </c>
      <c r="C4538" s="30" t="n">
        <v>46266</v>
      </c>
      <c r="D4538" t="inlineStr">
        <is>
          <t>Em 2026</t>
        </is>
      </c>
      <c r="E4538" s="28" t="n">
        <v>46288</v>
      </c>
      <c r="F4538" t="inlineStr">
        <is>
          <t>CT-e</t>
        </is>
      </c>
      <c r="G4538" t="inlineStr">
        <is>
          <t>000000838</t>
        </is>
      </c>
      <c r="H4538" t="inlineStr">
        <is>
          <t>DURA MAIS TRANSPORTES LTDA</t>
        </is>
      </c>
      <c r="J4538" s="29" t="n">
        <v>900</v>
      </c>
      <c r="K4538" s="29">
        <f>(1-ISNUMBER(SEARCH("556",M4538)))*(O4538*SUMIFS(Premissas!$C$5:$C$44,Premissas!$A$5:$A$44,$A4538,Premissas!$B$5:$B$44,$B4538)+P4538*SUMIFS(Premissas!$D$5:$D$44,Premissas!$A$5:$A$44,$A4538,Premissas!$B$5:$B$44,$B4538))+R4538*SUMIFS(Premissas!$E$5:$E$44,Premissas!$A$5:$A$44,$A4538,Premissas!$B$5:$B$44,$B4538)+S4538*SUMIFS(Premissas!$F$5:$F$44,Premissas!$A$5:$A$44,$A4538,Premissas!$B$5:$B$44,$B4538)</f>
        <v/>
      </c>
      <c r="L4538" s="29">
        <f>J4538-K4538</f>
        <v/>
      </c>
      <c r="M4538" t="inlineStr">
        <is>
          <t>2.350</t>
        </is>
      </c>
      <c r="N4538" t="inlineStr">
        <is>
          <t>Modalidade: 0 - Por conta do remetente | Parte: RD DISTRIBUIDORA DE EMBALAGENS LTDA (31.097.748/0001-88)</t>
        </is>
      </c>
      <c r="O4538" s="29" t="n">
        <v>0</v>
      </c>
      <c r="P4538" s="29" t="n">
        <v>108</v>
      </c>
      <c r="Q4538" s="29" t="n">
        <v>0</v>
      </c>
      <c r="R4538" s="29" t="n">
        <v>0</v>
      </c>
      <c r="S4538" s="29" t="n">
        <v>0</v>
      </c>
      <c r="T4538" t="inlineStr">
        <is>
          <t>25260959256389000183570010000008381000150829</t>
        </is>
      </c>
      <c r="U4538" t="inlineStr">
        <is>
          <t>Sim</t>
        </is>
      </c>
    </row>
    <row r="4539">
      <c r="A4539" t="inlineStr">
        <is>
          <t>Frete de venda</t>
        </is>
      </c>
      <c r="B4539" t="inlineStr">
        <is>
          <t>2.01.02 Frete sobre Vendas</t>
        </is>
      </c>
      <c r="C4539" s="30" t="n">
        <v>46266</v>
      </c>
      <c r="D4539" t="inlineStr">
        <is>
          <t>Em 2026</t>
        </is>
      </c>
      <c r="E4539" s="28" t="n">
        <v>46288</v>
      </c>
      <c r="F4539" t="inlineStr">
        <is>
          <t>CT-e</t>
        </is>
      </c>
      <c r="G4539" t="inlineStr">
        <is>
          <t>000000839</t>
        </is>
      </c>
      <c r="H4539" t="inlineStr">
        <is>
          <t>DURA MAIS TRANSPORTES LTDA</t>
        </is>
      </c>
      <c r="J4539" s="29" t="n">
        <v>900</v>
      </c>
      <c r="K4539" s="29">
        <f>(1-ISNUMBER(SEARCH("556",M4539)))*(O4539*SUMIFS(Premissas!$C$5:$C$44,Premissas!$A$5:$A$44,$A4539,Premissas!$B$5:$B$44,$B4539)+P4539*SUMIFS(Premissas!$D$5:$D$44,Premissas!$A$5:$A$44,$A4539,Premissas!$B$5:$B$44,$B4539))+R4539*SUMIFS(Premissas!$E$5:$E$44,Premissas!$A$5:$A$44,$A4539,Premissas!$B$5:$B$44,$B4539)+S4539*SUMIFS(Premissas!$F$5:$F$44,Premissas!$A$5:$A$44,$A4539,Premissas!$B$5:$B$44,$B4539)</f>
        <v/>
      </c>
      <c r="L4539" s="29">
        <f>J4539-K4539</f>
        <v/>
      </c>
      <c r="M4539" t="inlineStr">
        <is>
          <t>2.350</t>
        </is>
      </c>
      <c r="N4539" t="inlineStr">
        <is>
          <t>Modalidade: 0 - Por conta do remetente | Parte: ATACADU EMBALAGENS E DESCARTAVEIS LTDA (44.319.634/0001-87)</t>
        </is>
      </c>
      <c r="O4539" s="29" t="n">
        <v>0</v>
      </c>
      <c r="P4539" s="29" t="n">
        <v>108</v>
      </c>
      <c r="Q4539" s="29" t="n">
        <v>0</v>
      </c>
      <c r="R4539" s="29" t="n">
        <v>0</v>
      </c>
      <c r="S4539" s="29" t="n">
        <v>0</v>
      </c>
      <c r="T4539" t="inlineStr">
        <is>
          <t>25260959256389000183570010000008391000120900</t>
        </is>
      </c>
      <c r="U4539" t="inlineStr">
        <is>
          <t>Sim</t>
        </is>
      </c>
    </row>
    <row r="4540">
      <c r="A4540" t="inlineStr">
        <is>
          <t>Frete de venda</t>
        </is>
      </c>
      <c r="B4540" t="inlineStr">
        <is>
          <t>2.01.02 Frete sobre Vendas</t>
        </is>
      </c>
      <c r="C4540" s="30" t="n">
        <v>46266</v>
      </c>
      <c r="D4540" t="inlineStr">
        <is>
          <t>Em 2026</t>
        </is>
      </c>
      <c r="E4540" s="28" t="n">
        <v>46288</v>
      </c>
      <c r="F4540" t="inlineStr">
        <is>
          <t>CT-e</t>
        </is>
      </c>
      <c r="G4540" t="inlineStr">
        <is>
          <t>000000840</t>
        </is>
      </c>
      <c r="H4540" t="inlineStr">
        <is>
          <t>DURA MAIS TRANSPORTES LTDA</t>
        </is>
      </c>
      <c r="J4540" s="29" t="n">
        <v>900</v>
      </c>
      <c r="K4540" s="29">
        <f>(1-ISNUMBER(SEARCH("556",M4540)))*(O4540*SUMIFS(Premissas!$C$5:$C$44,Premissas!$A$5:$A$44,$A4540,Premissas!$B$5:$B$44,$B4540)+P4540*SUMIFS(Premissas!$D$5:$D$44,Premissas!$A$5:$A$44,$A4540,Premissas!$B$5:$B$44,$B4540))+R4540*SUMIFS(Premissas!$E$5:$E$44,Premissas!$A$5:$A$44,$A4540,Premissas!$B$5:$B$44,$B4540)+S4540*SUMIFS(Premissas!$F$5:$F$44,Premissas!$A$5:$A$44,$A4540,Premissas!$B$5:$B$44,$B4540)</f>
        <v/>
      </c>
      <c r="L4540" s="29">
        <f>J4540-K4540</f>
        <v/>
      </c>
      <c r="M4540" t="inlineStr">
        <is>
          <t>2.350</t>
        </is>
      </c>
      <c r="N4540" t="inlineStr">
        <is>
          <t>Modalidade: 0 - Por conta do remetente | Parte: PLASTICENTRO LTDA (23.168.206/0001-20)</t>
        </is>
      </c>
      <c r="O4540" s="29" t="n">
        <v>0</v>
      </c>
      <c r="P4540" s="29" t="n">
        <v>108</v>
      </c>
      <c r="Q4540" s="29" t="n">
        <v>0</v>
      </c>
      <c r="R4540" s="29" t="n">
        <v>0</v>
      </c>
      <c r="S4540" s="29" t="n">
        <v>0</v>
      </c>
      <c r="T4540" t="inlineStr">
        <is>
          <t>25260959256389000183570010000008401001100980</t>
        </is>
      </c>
      <c r="U4540" t="inlineStr">
        <is>
          <t>Sim</t>
        </is>
      </c>
    </row>
    <row r="4541">
      <c r="A4541" t="inlineStr">
        <is>
          <t>Frete de venda</t>
        </is>
      </c>
      <c r="B4541" t="inlineStr">
        <is>
          <t>2.01.02 Frete sobre Vendas</t>
        </is>
      </c>
      <c r="C4541" s="30" t="n">
        <v>46266</v>
      </c>
      <c r="D4541" t="inlineStr">
        <is>
          <t>Em 2026</t>
        </is>
      </c>
      <c r="E4541" s="28" t="n">
        <v>46288</v>
      </c>
      <c r="F4541" t="inlineStr">
        <is>
          <t>CT-e</t>
        </is>
      </c>
      <c r="G4541" t="inlineStr">
        <is>
          <t>000000841</t>
        </is>
      </c>
      <c r="H4541" t="inlineStr">
        <is>
          <t>DURA MAIS TRANSPORTES LTDA</t>
        </is>
      </c>
      <c r="J4541" s="29" t="n">
        <v>900</v>
      </c>
      <c r="K4541" s="29">
        <f>(1-ISNUMBER(SEARCH("556",M4541)))*(O4541*SUMIFS(Premissas!$C$5:$C$44,Premissas!$A$5:$A$44,$A4541,Premissas!$B$5:$B$44,$B4541)+P4541*SUMIFS(Premissas!$D$5:$D$44,Premissas!$A$5:$A$44,$A4541,Premissas!$B$5:$B$44,$B4541))+R4541*SUMIFS(Premissas!$E$5:$E$44,Premissas!$A$5:$A$44,$A4541,Premissas!$B$5:$B$44,$B4541)+S4541*SUMIFS(Premissas!$F$5:$F$44,Premissas!$A$5:$A$44,$A4541,Premissas!$B$5:$B$44,$B4541)</f>
        <v/>
      </c>
      <c r="L4541" s="29">
        <f>J4541-K4541</f>
        <v/>
      </c>
      <c r="M4541" t="inlineStr">
        <is>
          <t>2.350</t>
        </is>
      </c>
      <c r="N4541" t="inlineStr">
        <is>
          <t>Modalidade: 0 - Por conta do remetente | Parte: 69.084.925 THAIS OLIVEIRA SOUZA (69.084.925/0001-64)</t>
        </is>
      </c>
      <c r="O4541" s="29" t="n">
        <v>0</v>
      </c>
      <c r="P4541" s="29" t="n">
        <v>108</v>
      </c>
      <c r="Q4541" s="29" t="n">
        <v>0</v>
      </c>
      <c r="R4541" s="29" t="n">
        <v>0</v>
      </c>
      <c r="S4541" s="29" t="n">
        <v>0</v>
      </c>
      <c r="T4541" t="inlineStr">
        <is>
          <t>25260959256389000183570010000008411001701069</t>
        </is>
      </c>
      <c r="U4541" t="inlineStr">
        <is>
          <t>Sim</t>
        </is>
      </c>
    </row>
    <row r="4542">
      <c r="A4542" t="inlineStr">
        <is>
          <t>Frete de venda</t>
        </is>
      </c>
      <c r="B4542" t="inlineStr">
        <is>
          <t>2.01.02 Frete sobre Vendas</t>
        </is>
      </c>
      <c r="C4542" s="30" t="n">
        <v>46266</v>
      </c>
      <c r="D4542" t="inlineStr">
        <is>
          <t>Em 2026</t>
        </is>
      </c>
      <c r="E4542" s="28" t="n">
        <v>46288</v>
      </c>
      <c r="F4542" t="inlineStr">
        <is>
          <t>CT-e</t>
        </is>
      </c>
      <c r="G4542" t="inlineStr">
        <is>
          <t>000000842</t>
        </is>
      </c>
      <c r="H4542" t="inlineStr">
        <is>
          <t>DURA MAIS TRANSPORTES LTDA</t>
        </is>
      </c>
      <c r="J4542" s="29" t="n">
        <v>900</v>
      </c>
      <c r="K4542" s="29">
        <f>(1-ISNUMBER(SEARCH("556",M4542)))*(O4542*SUMIFS(Premissas!$C$5:$C$44,Premissas!$A$5:$A$44,$A4542,Premissas!$B$5:$B$44,$B4542)+P4542*SUMIFS(Premissas!$D$5:$D$44,Premissas!$A$5:$A$44,$A4542,Premissas!$B$5:$B$44,$B4542))+R4542*SUMIFS(Premissas!$E$5:$E$44,Premissas!$A$5:$A$44,$A4542,Premissas!$B$5:$B$44,$B4542)+S4542*SUMIFS(Premissas!$F$5:$F$44,Premissas!$A$5:$A$44,$A4542,Premissas!$B$5:$B$44,$B4542)</f>
        <v/>
      </c>
      <c r="L4542" s="29">
        <f>J4542-K4542</f>
        <v/>
      </c>
      <c r="M4542" t="inlineStr">
        <is>
          <t>2.350</t>
        </is>
      </c>
      <c r="N4542" t="inlineStr">
        <is>
          <t>Modalidade: 0 - Por conta do remetente | Parte: JB FRIOS INDUSTRIA E COMERCIO LTDA (41.966.857/0001-48)</t>
        </is>
      </c>
      <c r="O4542" s="29" t="n">
        <v>0</v>
      </c>
      <c r="P4542" s="29" t="n">
        <v>108</v>
      </c>
      <c r="Q4542" s="29" t="n">
        <v>0</v>
      </c>
      <c r="R4542" s="29" t="n">
        <v>0</v>
      </c>
      <c r="S4542" s="29" t="n">
        <v>0</v>
      </c>
      <c r="T4542" t="inlineStr">
        <is>
          <t>25260959256389000183570010000008421001401143</t>
        </is>
      </c>
      <c r="U4542" t="inlineStr">
        <is>
          <t>Sim</t>
        </is>
      </c>
    </row>
    <row r="4543">
      <c r="A4543" t="inlineStr">
        <is>
          <t>Frete de venda</t>
        </is>
      </c>
      <c r="B4543" t="inlineStr">
        <is>
          <t>2.01.02 Frete sobre Vendas</t>
        </is>
      </c>
      <c r="C4543" s="30" t="n">
        <v>46266</v>
      </c>
      <c r="D4543" t="inlineStr">
        <is>
          <t>Em 2026</t>
        </is>
      </c>
      <c r="E4543" s="28" t="n">
        <v>46288</v>
      </c>
      <c r="F4543" t="inlineStr">
        <is>
          <t>CT-e</t>
        </is>
      </c>
      <c r="G4543" t="inlineStr">
        <is>
          <t>000000843</t>
        </is>
      </c>
      <c r="H4543" t="inlineStr">
        <is>
          <t>DURA MAIS TRANSPORTES LTDA</t>
        </is>
      </c>
      <c r="J4543" s="29" t="n">
        <v>900</v>
      </c>
      <c r="K4543" s="29">
        <f>(1-ISNUMBER(SEARCH("556",M4543)))*(O4543*SUMIFS(Premissas!$C$5:$C$44,Premissas!$A$5:$A$44,$A4543,Premissas!$B$5:$B$44,$B4543)+P4543*SUMIFS(Premissas!$D$5:$D$44,Premissas!$A$5:$A$44,$A4543,Premissas!$B$5:$B$44,$B4543))+R4543*SUMIFS(Premissas!$E$5:$E$44,Premissas!$A$5:$A$44,$A4543,Premissas!$B$5:$B$44,$B4543)+S4543*SUMIFS(Premissas!$F$5:$F$44,Premissas!$A$5:$A$44,$A4543,Premissas!$B$5:$B$44,$B4543)</f>
        <v/>
      </c>
      <c r="L4543" s="29">
        <f>J4543-K4543</f>
        <v/>
      </c>
      <c r="M4543" t="inlineStr">
        <is>
          <t>2.350</t>
        </is>
      </c>
      <c r="N4543" t="inlineStr">
        <is>
          <t>Modalidade: 0 - Por conta do remetente | Parte: REIPEL COMERCIAL LTDA (66.283.771/0001-41)</t>
        </is>
      </c>
      <c r="O4543" s="29" t="n">
        <v>0</v>
      </c>
      <c r="P4543" s="29" t="n">
        <v>108</v>
      </c>
      <c r="Q4543" s="29" t="n">
        <v>0</v>
      </c>
      <c r="R4543" s="29" t="n">
        <v>0</v>
      </c>
      <c r="S4543" s="29" t="n">
        <v>0</v>
      </c>
      <c r="T4543" t="inlineStr">
        <is>
          <t>25260959256389000183570010000008431001101228</t>
        </is>
      </c>
      <c r="U4543" t="inlineStr">
        <is>
          <t>Sim</t>
        </is>
      </c>
    </row>
    <row r="4544">
      <c r="A4544" t="inlineStr">
        <is>
          <t>Frete de venda</t>
        </is>
      </c>
      <c r="B4544" t="inlineStr">
        <is>
          <t>2.01.02 Frete sobre Vendas</t>
        </is>
      </c>
      <c r="C4544" s="30" t="n">
        <v>46266</v>
      </c>
      <c r="D4544" t="inlineStr">
        <is>
          <t>Em 2026</t>
        </is>
      </c>
      <c r="E4544" s="28" t="n">
        <v>46288</v>
      </c>
      <c r="F4544" t="inlineStr">
        <is>
          <t>CT-e</t>
        </is>
      </c>
      <c r="G4544" t="inlineStr">
        <is>
          <t>000000844</t>
        </is>
      </c>
      <c r="H4544" t="inlineStr">
        <is>
          <t>DURA MAIS TRANSPORTES LTDA</t>
        </is>
      </c>
      <c r="J4544" s="29" t="n">
        <v>900</v>
      </c>
      <c r="K4544" s="29">
        <f>(1-ISNUMBER(SEARCH("556",M4544)))*(O4544*SUMIFS(Premissas!$C$5:$C$44,Premissas!$A$5:$A$44,$A4544,Premissas!$B$5:$B$44,$B4544)+P4544*SUMIFS(Premissas!$D$5:$D$44,Premissas!$A$5:$A$44,$A4544,Premissas!$B$5:$B$44,$B4544))+R4544*SUMIFS(Premissas!$E$5:$E$44,Premissas!$A$5:$A$44,$A4544,Premissas!$B$5:$B$44,$B4544)+S4544*SUMIFS(Premissas!$F$5:$F$44,Premissas!$A$5:$A$44,$A4544,Premissas!$B$5:$B$44,$B4544)</f>
        <v/>
      </c>
      <c r="L4544" s="29">
        <f>J4544-K4544</f>
        <v/>
      </c>
      <c r="M4544" t="inlineStr">
        <is>
          <t>2.350</t>
        </is>
      </c>
      <c r="N4544" t="inlineStr">
        <is>
          <t>Modalidade: 0 - Por conta do remetente | Parte: DEO PRIME COMERCIO DE PRODUTOS DE HIGIENE E LIMPEZA LTDA (41.843.812/0001-86)</t>
        </is>
      </c>
      <c r="O4544" s="29" t="n">
        <v>0</v>
      </c>
      <c r="P4544" s="29" t="n">
        <v>108</v>
      </c>
      <c r="Q4544" s="29" t="n">
        <v>0</v>
      </c>
      <c r="R4544" s="29" t="n">
        <v>0</v>
      </c>
      <c r="S4544" s="29" t="n">
        <v>0</v>
      </c>
      <c r="T4544" t="inlineStr">
        <is>
          <t>25260959256389000183570010000008441001901302</t>
        </is>
      </c>
      <c r="U4544" t="inlineStr">
        <is>
          <t>Sim</t>
        </is>
      </c>
    </row>
    <row r="4545">
      <c r="A4545" t="inlineStr">
        <is>
          <t>Frete de venda</t>
        </is>
      </c>
      <c r="B4545" t="inlineStr">
        <is>
          <t>2.01.02 Frete sobre Vendas</t>
        </is>
      </c>
      <c r="C4545" s="30" t="n">
        <v>46266</v>
      </c>
      <c r="D4545" t="inlineStr">
        <is>
          <t>Em 2026</t>
        </is>
      </c>
      <c r="E4545" s="28" t="n">
        <v>46288</v>
      </c>
      <c r="F4545" t="inlineStr">
        <is>
          <t>CT-e</t>
        </is>
      </c>
      <c r="G4545" t="inlineStr">
        <is>
          <t>000000845</t>
        </is>
      </c>
      <c r="H4545" t="inlineStr">
        <is>
          <t>DURA MAIS TRANSPORTES LTDA</t>
        </is>
      </c>
      <c r="J4545" s="29" t="n">
        <v>900</v>
      </c>
      <c r="K4545" s="29">
        <f>(1-ISNUMBER(SEARCH("556",M4545)))*(O4545*SUMIFS(Premissas!$C$5:$C$44,Premissas!$A$5:$A$44,$A4545,Premissas!$B$5:$B$44,$B4545)+P4545*SUMIFS(Premissas!$D$5:$D$44,Premissas!$A$5:$A$44,$A4545,Premissas!$B$5:$B$44,$B4545))+R4545*SUMIFS(Premissas!$E$5:$E$44,Premissas!$A$5:$A$44,$A4545,Premissas!$B$5:$B$44,$B4545)+S4545*SUMIFS(Premissas!$F$5:$F$44,Premissas!$A$5:$A$44,$A4545,Premissas!$B$5:$B$44,$B4545)</f>
        <v/>
      </c>
      <c r="L4545" s="29">
        <f>J4545-K4545</f>
        <v/>
      </c>
      <c r="M4545" t="inlineStr">
        <is>
          <t>2.350</t>
        </is>
      </c>
      <c r="N4545" t="inlineStr">
        <is>
          <t>Modalidade: 0 - Por conta do remetente | Parte: PHILIPPE PAVAROTTI MACHADO CORREIA DOMINGUES LTDA (45.161.493/0001-80)</t>
        </is>
      </c>
      <c r="O4545" s="29" t="n">
        <v>0</v>
      </c>
      <c r="P4545" s="29" t="n">
        <v>108</v>
      </c>
      <c r="Q4545" s="29" t="n">
        <v>0</v>
      </c>
      <c r="R4545" s="29" t="n">
        <v>0</v>
      </c>
      <c r="S4545" s="29" t="n">
        <v>0</v>
      </c>
      <c r="T4545" t="inlineStr">
        <is>
          <t>25260959256389000183570010000008451001601381</t>
        </is>
      </c>
      <c r="U4545" t="inlineStr">
        <is>
          <t>Sim</t>
        </is>
      </c>
    </row>
    <row r="4546">
      <c r="A4546" t="inlineStr">
        <is>
          <t>Frete de venda</t>
        </is>
      </c>
      <c r="B4546" t="inlineStr">
        <is>
          <t>2.01.02 Frete sobre Vendas</t>
        </is>
      </c>
      <c r="C4546" s="30" t="n">
        <v>46266</v>
      </c>
      <c r="D4546" t="inlineStr">
        <is>
          <t>Em 2026</t>
        </is>
      </c>
      <c r="E4546" s="28" t="n">
        <v>46288</v>
      </c>
      <c r="F4546" t="inlineStr">
        <is>
          <t>CT-e</t>
        </is>
      </c>
      <c r="G4546" t="inlineStr">
        <is>
          <t>000000846</t>
        </is>
      </c>
      <c r="H4546" t="inlineStr">
        <is>
          <t>DURA MAIS TRANSPORTES LTDA</t>
        </is>
      </c>
      <c r="J4546" s="29" t="n">
        <v>900</v>
      </c>
      <c r="K4546" s="29">
        <f>(1-ISNUMBER(SEARCH("556",M4546)))*(O4546*SUMIFS(Premissas!$C$5:$C$44,Premissas!$A$5:$A$44,$A4546,Premissas!$B$5:$B$44,$B4546)+P4546*SUMIFS(Premissas!$D$5:$D$44,Premissas!$A$5:$A$44,$A4546,Premissas!$B$5:$B$44,$B4546))+R4546*SUMIFS(Premissas!$E$5:$E$44,Premissas!$A$5:$A$44,$A4546,Premissas!$B$5:$B$44,$B4546)+S4546*SUMIFS(Premissas!$F$5:$F$44,Premissas!$A$5:$A$44,$A4546,Premissas!$B$5:$B$44,$B4546)</f>
        <v/>
      </c>
      <c r="L4546" s="29">
        <f>J4546-K4546</f>
        <v/>
      </c>
      <c r="M4546" t="inlineStr">
        <is>
          <t>2.350</t>
        </is>
      </c>
      <c r="N4546" t="inlineStr">
        <is>
          <t>Modalidade: 0 - Por conta do remetente | Parte: SPINELLI E CARVALHO COMERCIO LTDA (01.479.953/0001-47)</t>
        </is>
      </c>
      <c r="O4546" s="29" t="n">
        <v>0</v>
      </c>
      <c r="P4546" s="29" t="n">
        <v>108</v>
      </c>
      <c r="Q4546" s="29" t="n">
        <v>0</v>
      </c>
      <c r="R4546" s="29" t="n">
        <v>0</v>
      </c>
      <c r="S4546" s="29" t="n">
        <v>0</v>
      </c>
      <c r="T4546" t="inlineStr">
        <is>
          <t>25260959256389000183570010000008461001301466</t>
        </is>
      </c>
      <c r="U4546" t="inlineStr">
        <is>
          <t>Sim</t>
        </is>
      </c>
    </row>
    <row r="4547">
      <c r="A4547" t="inlineStr">
        <is>
          <t>Frete de venda</t>
        </is>
      </c>
      <c r="B4547" t="inlineStr">
        <is>
          <t>2.01.02 Frete sobre Vendas</t>
        </is>
      </c>
      <c r="C4547" s="30" t="n">
        <v>46266</v>
      </c>
      <c r="D4547" t="inlineStr">
        <is>
          <t>Em 2026</t>
        </is>
      </c>
      <c r="E4547" s="28" t="n">
        <v>46288</v>
      </c>
      <c r="F4547" t="inlineStr">
        <is>
          <t>CT-e</t>
        </is>
      </c>
      <c r="G4547" t="inlineStr">
        <is>
          <t>000000847</t>
        </is>
      </c>
      <c r="H4547" t="inlineStr">
        <is>
          <t>DURA MAIS TRANSPORTES LTDA</t>
        </is>
      </c>
      <c r="J4547" s="29" t="n">
        <v>900</v>
      </c>
      <c r="K4547" s="29">
        <f>(1-ISNUMBER(SEARCH("556",M4547)))*(O4547*SUMIFS(Premissas!$C$5:$C$44,Premissas!$A$5:$A$44,$A4547,Premissas!$B$5:$B$44,$B4547)+P4547*SUMIFS(Premissas!$D$5:$D$44,Premissas!$A$5:$A$44,$A4547,Premissas!$B$5:$B$44,$B4547))+R4547*SUMIFS(Premissas!$E$5:$E$44,Premissas!$A$5:$A$44,$A4547,Premissas!$B$5:$B$44,$B4547)+S4547*SUMIFS(Premissas!$F$5:$F$44,Premissas!$A$5:$A$44,$A4547,Premissas!$B$5:$B$44,$B4547)</f>
        <v/>
      </c>
      <c r="L4547" s="29">
        <f>J4547-K4547</f>
        <v/>
      </c>
      <c r="M4547" t="inlineStr">
        <is>
          <t>2.350</t>
        </is>
      </c>
      <c r="N4547" t="inlineStr">
        <is>
          <t>Modalidade: 0 - Por conta do remetente | Parte: CENTRAL EMBALAGENS ALTERNATIVAS LTDA. (07.335.109/0001-29)</t>
        </is>
      </c>
      <c r="O4547" s="29" t="n">
        <v>0</v>
      </c>
      <c r="P4547" s="29" t="n">
        <v>108</v>
      </c>
      <c r="Q4547" s="29" t="n">
        <v>0</v>
      </c>
      <c r="R4547" s="29" t="n">
        <v>0</v>
      </c>
      <c r="S4547" s="29" t="n">
        <v>0</v>
      </c>
      <c r="T4547" t="inlineStr">
        <is>
          <t>25260959256389000183570010000008471000101541</t>
        </is>
      </c>
      <c r="U4547" t="inlineStr">
        <is>
          <t>Sim</t>
        </is>
      </c>
    </row>
    <row r="4548">
      <c r="A4548" t="inlineStr">
        <is>
          <t>Frete de venda</t>
        </is>
      </c>
      <c r="B4548" t="inlineStr">
        <is>
          <t>2.01.02 Frete sobre Vendas</t>
        </is>
      </c>
      <c r="C4548" s="30" t="n">
        <v>46266</v>
      </c>
      <c r="D4548" t="inlineStr">
        <is>
          <t>Em 2026</t>
        </is>
      </c>
      <c r="E4548" s="28" t="n">
        <v>46289</v>
      </c>
      <c r="F4548" t="inlineStr">
        <is>
          <t>CT-e</t>
        </is>
      </c>
      <c r="G4548" t="inlineStr">
        <is>
          <t>000000849</t>
        </is>
      </c>
      <c r="H4548" t="inlineStr">
        <is>
          <t>DURA MAIS TRANSPORTES LTDA</t>
        </is>
      </c>
      <c r="J4548" s="29" t="n">
        <v>675</v>
      </c>
      <c r="K4548" s="29">
        <f>(1-ISNUMBER(SEARCH("556",M4548)))*(O4548*SUMIFS(Premissas!$C$5:$C$44,Premissas!$A$5:$A$44,$A4548,Premissas!$B$5:$B$44,$B4548)+P4548*SUMIFS(Premissas!$D$5:$D$44,Premissas!$A$5:$A$44,$A4548,Premissas!$B$5:$B$44,$B4548))+R4548*SUMIFS(Premissas!$E$5:$E$44,Premissas!$A$5:$A$44,$A4548,Premissas!$B$5:$B$44,$B4548)+S4548*SUMIFS(Premissas!$F$5:$F$44,Premissas!$A$5:$A$44,$A4548,Premissas!$B$5:$B$44,$B4548)</f>
        <v/>
      </c>
      <c r="L4548" s="29">
        <f>J4548-K4548</f>
        <v/>
      </c>
      <c r="M4548" t="inlineStr">
        <is>
          <t>2.350</t>
        </is>
      </c>
      <c r="N4548" t="inlineStr">
        <is>
          <t>Modalidade: 0 - Por conta do remetente | Parte: INDI INDUSTRIA E DISTRIBUIDORA LTDA (13.449.676/0002-90)</t>
        </is>
      </c>
      <c r="O4548" s="29" t="n">
        <v>0</v>
      </c>
      <c r="P4548" s="29" t="n">
        <v>81</v>
      </c>
      <c r="Q4548" s="29" t="n">
        <v>0</v>
      </c>
      <c r="R4548" s="29" t="n">
        <v>0</v>
      </c>
      <c r="S4548" s="29" t="n">
        <v>0</v>
      </c>
      <c r="T4548" t="inlineStr">
        <is>
          <t>25260959256389000183570010000008491000010338</t>
        </is>
      </c>
      <c r="U4548" t="inlineStr">
        <is>
          <t>Sim</t>
        </is>
      </c>
    </row>
    <row r="4549">
      <c r="A4549" t="inlineStr">
        <is>
          <t>Frete de venda</t>
        </is>
      </c>
      <c r="B4549" t="inlineStr">
        <is>
          <t>2.01.02 Frete sobre Vendas</t>
        </is>
      </c>
      <c r="C4549" s="30" t="n">
        <v>46266</v>
      </c>
      <c r="D4549" t="inlineStr">
        <is>
          <t>Em 2026</t>
        </is>
      </c>
      <c r="E4549" s="28" t="n">
        <v>46289</v>
      </c>
      <c r="F4549" t="inlineStr">
        <is>
          <t>CT-e</t>
        </is>
      </c>
      <c r="G4549" t="inlineStr">
        <is>
          <t>000000850</t>
        </is>
      </c>
      <c r="H4549" t="inlineStr">
        <is>
          <t>DURA MAIS TRANSPORTES LTDA</t>
        </is>
      </c>
      <c r="J4549" s="29" t="n">
        <v>675</v>
      </c>
      <c r="K4549" s="29">
        <f>(1-ISNUMBER(SEARCH("556",M4549)))*(O4549*SUMIFS(Premissas!$C$5:$C$44,Premissas!$A$5:$A$44,$A4549,Premissas!$B$5:$B$44,$B4549)+P4549*SUMIFS(Premissas!$D$5:$D$44,Premissas!$A$5:$A$44,$A4549,Premissas!$B$5:$B$44,$B4549))+R4549*SUMIFS(Premissas!$E$5:$E$44,Premissas!$A$5:$A$44,$A4549,Premissas!$B$5:$B$44,$B4549)+S4549*SUMIFS(Premissas!$F$5:$F$44,Premissas!$A$5:$A$44,$A4549,Premissas!$B$5:$B$44,$B4549)</f>
        <v/>
      </c>
      <c r="L4549" s="29">
        <f>J4549-K4549</f>
        <v/>
      </c>
      <c r="M4549" t="inlineStr">
        <is>
          <t>2.350</t>
        </is>
      </c>
      <c r="N4549" t="inlineStr">
        <is>
          <t>Modalidade: 0 - Por conta do remetente | Parte: DISTRIBUIDORA DE EMBALAGENS SUACUI LTDA (10.560.122/0001-96)</t>
        </is>
      </c>
      <c r="O4549" s="29" t="n">
        <v>0</v>
      </c>
      <c r="P4549" s="29" t="n">
        <v>81</v>
      </c>
      <c r="Q4549" s="29" t="n">
        <v>0</v>
      </c>
      <c r="R4549" s="29" t="n">
        <v>0</v>
      </c>
      <c r="S4549" s="29" t="n">
        <v>0</v>
      </c>
      <c r="T4549" t="inlineStr">
        <is>
          <t>25260959256389000183570010000008501000180412</t>
        </is>
      </c>
      <c r="U4549" t="inlineStr">
        <is>
          <t>Sim</t>
        </is>
      </c>
    </row>
    <row r="4550">
      <c r="A4550" t="inlineStr">
        <is>
          <t>Frete de venda</t>
        </is>
      </c>
      <c r="B4550" t="inlineStr">
        <is>
          <t>2.01.02 Frete sobre Vendas</t>
        </is>
      </c>
      <c r="C4550" s="30" t="n">
        <v>46266</v>
      </c>
      <c r="D4550" t="inlineStr">
        <is>
          <t>Em 2026</t>
        </is>
      </c>
      <c r="E4550" s="28" t="n">
        <v>46279</v>
      </c>
      <c r="F4550" t="inlineStr">
        <is>
          <t>CT-e</t>
        </is>
      </c>
      <c r="G4550" t="inlineStr">
        <is>
          <t>000614597</t>
        </is>
      </c>
      <c r="H4550" t="inlineStr">
        <is>
          <t>JSP TRANSPORTE E LOGISTICA LTDA</t>
        </is>
      </c>
      <c r="J4550" s="29" t="n">
        <v>1500</v>
      </c>
      <c r="K4550" s="29">
        <f>(1-ISNUMBER(SEARCH("556",M4550)))*(O4550*SUMIFS(Premissas!$C$5:$C$44,Premissas!$A$5:$A$44,$A4550,Premissas!$B$5:$B$44,$B4550)+P4550*SUMIFS(Premissas!$D$5:$D$44,Premissas!$A$5:$A$44,$A4550,Premissas!$B$5:$B$44,$B4550))+R4550*SUMIFS(Premissas!$E$5:$E$44,Premissas!$A$5:$A$44,$A4550,Premissas!$B$5:$B$44,$B4550)+S4550*SUMIFS(Premissas!$F$5:$F$44,Premissas!$A$5:$A$44,$A4550,Premissas!$B$5:$B$44,$B4550)</f>
        <v/>
      </c>
      <c r="L4550" s="29">
        <f>J4550-K4550</f>
        <v/>
      </c>
      <c r="M4550" t="inlineStr">
        <is>
          <t>2.350</t>
        </is>
      </c>
      <c r="N4550" t="inlineStr">
        <is>
          <t>Transportadora fora da lista de frete de venda, mas pela modalidade a Vinco enviou a carga | Modalidade: 0 - Por conta do remetente | Parte: VANDERLEIA FERREIRA MARQUES (34.169.048/0001-40)</t>
        </is>
      </c>
      <c r="O4550" s="29" t="n">
        <v>0</v>
      </c>
      <c r="P4550" s="29" t="n">
        <v>180</v>
      </c>
      <c r="Q4550" s="29" t="n">
        <v>0</v>
      </c>
      <c r="R4550" s="29" t="n">
        <v>0</v>
      </c>
      <c r="S4550" s="29" t="n">
        <v>0</v>
      </c>
      <c r="T4550" t="inlineStr">
        <is>
          <t>15260914498358000109570020006145971003974627</t>
        </is>
      </c>
      <c r="U4550" t="inlineStr">
        <is>
          <t>Sim</t>
        </is>
      </c>
    </row>
    <row r="4551">
      <c r="A4551" t="inlineStr">
        <is>
          <t>Frete de venda</t>
        </is>
      </c>
      <c r="B4551" t="inlineStr">
        <is>
          <t>2.01.02 Frete sobre Vendas</t>
        </is>
      </c>
      <c r="C4551" s="30" t="n">
        <v>46266</v>
      </c>
      <c r="D4551" t="inlineStr">
        <is>
          <t>Em 2026</t>
        </is>
      </c>
      <c r="E4551" s="28" t="n">
        <v>46266</v>
      </c>
      <c r="F4551" t="inlineStr">
        <is>
          <t>CT-e</t>
        </is>
      </c>
      <c r="G4551" t="inlineStr">
        <is>
          <t>001468299</t>
        </is>
      </c>
      <c r="H4551" t="inlineStr">
        <is>
          <t>PICCOLI TRANSPORTES LTDA</t>
        </is>
      </c>
      <c r="J4551" s="29" t="n">
        <v>2224.68</v>
      </c>
      <c r="K4551" s="29">
        <f>(1-ISNUMBER(SEARCH("556",M4551)))*(O4551*SUMIFS(Premissas!$C$5:$C$44,Premissas!$A$5:$A$44,$A4551,Premissas!$B$5:$B$44,$B4551)+P4551*SUMIFS(Premissas!$D$5:$D$44,Premissas!$A$5:$A$44,$A4551,Premissas!$B$5:$B$44,$B4551))+R4551*SUMIFS(Premissas!$E$5:$E$44,Premissas!$A$5:$A$44,$A4551,Premissas!$B$5:$B$44,$B4551)+S4551*SUMIFS(Premissas!$F$5:$F$44,Premissas!$A$5:$A$44,$A4551,Premissas!$B$5:$B$44,$B4551)</f>
        <v/>
      </c>
      <c r="L4551" s="29">
        <f>J4551-K4551</f>
        <v/>
      </c>
      <c r="M4551" t="inlineStr">
        <is>
          <t>2.350</t>
        </is>
      </c>
      <c r="N4551" t="inlineStr">
        <is>
          <t>Modalidade: 0 - Por conta do remetente | Parte: NORTAO EMBALAGENS LTDA (52.176.961/0001-55)</t>
        </is>
      </c>
      <c r="O4551" s="29" t="n">
        <v>0</v>
      </c>
      <c r="P4551" s="29" t="n">
        <v>155.73</v>
      </c>
      <c r="Q4551" s="29" t="n">
        <v>0</v>
      </c>
      <c r="R4551" s="29" t="n">
        <v>0</v>
      </c>
      <c r="S4551" s="29" t="n">
        <v>0</v>
      </c>
      <c r="T4551" t="inlineStr">
        <is>
          <t>35260901496359000245570010014682991006047294</t>
        </is>
      </c>
      <c r="U4551" t="inlineStr">
        <is>
          <t>Sim</t>
        </is>
      </c>
    </row>
    <row r="4552">
      <c r="A4552" t="inlineStr">
        <is>
          <t>Frete de venda</t>
        </is>
      </c>
      <c r="B4552" t="inlineStr">
        <is>
          <t>2.01.02 Frete sobre Vendas</t>
        </is>
      </c>
      <c r="C4552" s="30" t="n">
        <v>46266</v>
      </c>
      <c r="D4552" t="inlineStr">
        <is>
          <t>Em 2026</t>
        </is>
      </c>
      <c r="E4552" s="28" t="n">
        <v>46266</v>
      </c>
      <c r="F4552" t="inlineStr">
        <is>
          <t>CT-e</t>
        </is>
      </c>
      <c r="G4552" t="inlineStr">
        <is>
          <t>001468300</t>
        </is>
      </c>
      <c r="H4552" t="inlineStr">
        <is>
          <t>PICCOLI TRANSPORTES LTDA</t>
        </is>
      </c>
      <c r="J4552" s="29" t="n">
        <v>1527.95</v>
      </c>
      <c r="K4552" s="29">
        <f>(1-ISNUMBER(SEARCH("556",M4552)))*(O4552*SUMIFS(Premissas!$C$5:$C$44,Premissas!$A$5:$A$44,$A4552,Premissas!$B$5:$B$44,$B4552)+P4552*SUMIFS(Premissas!$D$5:$D$44,Premissas!$A$5:$A$44,$A4552,Premissas!$B$5:$B$44,$B4552))+R4552*SUMIFS(Premissas!$E$5:$E$44,Premissas!$A$5:$A$44,$A4552,Premissas!$B$5:$B$44,$B4552)+S4552*SUMIFS(Premissas!$F$5:$F$44,Premissas!$A$5:$A$44,$A4552,Premissas!$B$5:$B$44,$B4552)</f>
        <v/>
      </c>
      <c r="L4552" s="29">
        <f>J4552-K4552</f>
        <v/>
      </c>
      <c r="M4552" t="inlineStr">
        <is>
          <t>2.350</t>
        </is>
      </c>
      <c r="N4552" t="inlineStr">
        <is>
          <t>Modalidade: 0 - Por conta do remetente | Parte: SORRISO COMERCIO DE EMBALAGENS LTDA (07.558.796/0001-41)</t>
        </is>
      </c>
      <c r="O4552" s="29" t="n">
        <v>0</v>
      </c>
      <c r="P4552" s="29" t="n">
        <v>106.96</v>
      </c>
      <c r="Q4552" s="29" t="n">
        <v>0</v>
      </c>
      <c r="R4552" s="29" t="n">
        <v>0</v>
      </c>
      <c r="S4552" s="29" t="n">
        <v>0</v>
      </c>
      <c r="T4552" t="inlineStr">
        <is>
          <t>35260901496359000245570010014683001006047300</t>
        </is>
      </c>
      <c r="U4552" t="inlineStr">
        <is>
          <t>Sim</t>
        </is>
      </c>
    </row>
    <row r="4553">
      <c r="A4553" t="inlineStr">
        <is>
          <t>Frete de venda</t>
        </is>
      </c>
      <c r="B4553" t="inlineStr">
        <is>
          <t>2.01.02 Frete sobre Vendas</t>
        </is>
      </c>
      <c r="C4553" s="30" t="n">
        <v>46266</v>
      </c>
      <c r="D4553" t="inlineStr">
        <is>
          <t>Em 2026</t>
        </is>
      </c>
      <c r="E4553" s="28" t="n">
        <v>46266</v>
      </c>
      <c r="F4553" t="inlineStr">
        <is>
          <t>CT-e</t>
        </is>
      </c>
      <c r="G4553" t="inlineStr">
        <is>
          <t>001468301</t>
        </is>
      </c>
      <c r="H4553" t="inlineStr">
        <is>
          <t>PICCOLI TRANSPORTES LTDA</t>
        </is>
      </c>
      <c r="J4553" s="29" t="n">
        <v>1168.68</v>
      </c>
      <c r="K4553" s="29">
        <f>(1-ISNUMBER(SEARCH("556",M4553)))*(O4553*SUMIFS(Premissas!$C$5:$C$44,Premissas!$A$5:$A$44,$A4553,Premissas!$B$5:$B$44,$B4553)+P4553*SUMIFS(Premissas!$D$5:$D$44,Premissas!$A$5:$A$44,$A4553,Premissas!$B$5:$B$44,$B4553))+R4553*SUMIFS(Premissas!$E$5:$E$44,Premissas!$A$5:$A$44,$A4553,Premissas!$B$5:$B$44,$B4553)+S4553*SUMIFS(Premissas!$F$5:$F$44,Premissas!$A$5:$A$44,$A4553,Premissas!$B$5:$B$44,$B4553)</f>
        <v/>
      </c>
      <c r="L4553" s="29">
        <f>J4553-K4553</f>
        <v/>
      </c>
      <c r="M4553" t="inlineStr">
        <is>
          <t>2.350</t>
        </is>
      </c>
      <c r="N4553" t="inlineStr">
        <is>
          <t>Modalidade: 0 - Por conta do remetente | Parte: MARIA CLEIDE RAMOS LTDA (42.968.790/0001-43)</t>
        </is>
      </c>
      <c r="O4553" s="29" t="n">
        <v>0</v>
      </c>
      <c r="P4553" s="29" t="n">
        <v>81.81</v>
      </c>
      <c r="Q4553" s="29" t="n">
        <v>0</v>
      </c>
      <c r="R4553" s="29" t="n">
        <v>0</v>
      </c>
      <c r="S4553" s="29" t="n">
        <v>0</v>
      </c>
      <c r="T4553" t="inlineStr">
        <is>
          <t>35260901496359000245570010014683011006047316</t>
        </is>
      </c>
      <c r="U4553" t="inlineStr">
        <is>
          <t>Sim</t>
        </is>
      </c>
    </row>
    <row r="4554">
      <c r="A4554" t="inlineStr">
        <is>
          <t>Frete de venda</t>
        </is>
      </c>
      <c r="B4554" t="inlineStr">
        <is>
          <t>2.01.02 Frete sobre Vendas</t>
        </is>
      </c>
      <c r="C4554" s="30" t="n">
        <v>46266</v>
      </c>
      <c r="D4554" t="inlineStr">
        <is>
          <t>Em 2026</t>
        </is>
      </c>
      <c r="E4554" s="28" t="n">
        <v>46266</v>
      </c>
      <c r="F4554" t="inlineStr">
        <is>
          <t>CT-e</t>
        </is>
      </c>
      <c r="G4554" t="inlineStr">
        <is>
          <t>001468302</t>
        </is>
      </c>
      <c r="H4554" t="inlineStr">
        <is>
          <t>PICCOLI TRANSPORTES LTDA</t>
        </is>
      </c>
      <c r="J4554" s="29" t="n">
        <v>850.41</v>
      </c>
      <c r="K4554" s="29">
        <f>(1-ISNUMBER(SEARCH("556",M4554)))*(O4554*SUMIFS(Premissas!$C$5:$C$44,Premissas!$A$5:$A$44,$A4554,Premissas!$B$5:$B$44,$B4554)+P4554*SUMIFS(Premissas!$D$5:$D$44,Premissas!$A$5:$A$44,$A4554,Premissas!$B$5:$B$44,$B4554))+R4554*SUMIFS(Premissas!$E$5:$E$44,Premissas!$A$5:$A$44,$A4554,Premissas!$B$5:$B$44,$B4554)+S4554*SUMIFS(Premissas!$F$5:$F$44,Premissas!$A$5:$A$44,$A4554,Premissas!$B$5:$B$44,$B4554)</f>
        <v/>
      </c>
      <c r="L4554" s="29">
        <f>J4554-K4554</f>
        <v/>
      </c>
      <c r="M4554" t="inlineStr">
        <is>
          <t>2.350</t>
        </is>
      </c>
      <c r="N4554" t="inlineStr">
        <is>
          <t>Modalidade: 0 - Por conta do remetente | Parte: MOREIRA DE AGUIAR e AGUIAR LTDA (02.951.472/0001-55)</t>
        </is>
      </c>
      <c r="O4554" s="29" t="n">
        <v>0</v>
      </c>
      <c r="P4554" s="29" t="n">
        <v>59.53</v>
      </c>
      <c r="Q4554" s="29" t="n">
        <v>0</v>
      </c>
      <c r="R4554" s="29" t="n">
        <v>0</v>
      </c>
      <c r="S4554" s="29" t="n">
        <v>0</v>
      </c>
      <c r="T4554" t="inlineStr">
        <is>
          <t>35260901496359000245570010014683021006047321</t>
        </is>
      </c>
      <c r="U4554" t="inlineStr">
        <is>
          <t>Sim</t>
        </is>
      </c>
    </row>
    <row r="4555">
      <c r="A4555" t="inlineStr">
        <is>
          <t>Frete de venda</t>
        </is>
      </c>
      <c r="B4555" t="inlineStr">
        <is>
          <t>2.01.02 Frete sobre Vendas</t>
        </is>
      </c>
      <c r="C4555" s="30" t="n">
        <v>46266</v>
      </c>
      <c r="D4555" t="inlineStr">
        <is>
          <t>Em 2026</t>
        </is>
      </c>
      <c r="E4555" s="28" t="n">
        <v>46266</v>
      </c>
      <c r="F4555" t="inlineStr">
        <is>
          <t>CT-e</t>
        </is>
      </c>
      <c r="G4555" t="inlineStr">
        <is>
          <t>001468346</t>
        </is>
      </c>
      <c r="H4555" t="inlineStr">
        <is>
          <t>PICCOLI TRANSPORTES LTDA</t>
        </is>
      </c>
      <c r="J4555" s="29" t="n">
        <v>914.88</v>
      </c>
      <c r="K4555" s="29">
        <f>(1-ISNUMBER(SEARCH("556",M4555)))*(O4555*SUMIFS(Premissas!$C$5:$C$44,Premissas!$A$5:$A$44,$A4555,Premissas!$B$5:$B$44,$B4555)+P4555*SUMIFS(Premissas!$D$5:$D$44,Premissas!$A$5:$A$44,$A4555,Premissas!$B$5:$B$44,$B4555))+R4555*SUMIFS(Premissas!$E$5:$E$44,Premissas!$A$5:$A$44,$A4555,Premissas!$B$5:$B$44,$B4555)+S4555*SUMIFS(Premissas!$F$5:$F$44,Premissas!$A$5:$A$44,$A4555,Premissas!$B$5:$B$44,$B4555)</f>
        <v/>
      </c>
      <c r="L4555" s="29">
        <f>J4555-K4555</f>
        <v/>
      </c>
      <c r="M4555" t="inlineStr">
        <is>
          <t>2.350</t>
        </is>
      </c>
      <c r="N4555" t="inlineStr">
        <is>
          <t>Modalidade: 0 - Por conta do remetente | Parte: CALIXTO DA SILVA E CIA LTDA (10.680.919/0001-27)</t>
        </is>
      </c>
      <c r="O4555" s="29" t="n">
        <v>0</v>
      </c>
      <c r="P4555" s="29" t="n">
        <v>64.04000000000001</v>
      </c>
      <c r="Q4555" s="29" t="n">
        <v>0</v>
      </c>
      <c r="R4555" s="29" t="n">
        <v>0</v>
      </c>
      <c r="S4555" s="29" t="n">
        <v>0</v>
      </c>
      <c r="T4555" t="inlineStr">
        <is>
          <t>35260901496359000245570010014683461006047938</t>
        </is>
      </c>
      <c r="U4555" t="inlineStr">
        <is>
          <t>Sim</t>
        </is>
      </c>
    </row>
    <row r="4556">
      <c r="A4556" t="inlineStr">
        <is>
          <t>Frete de venda</t>
        </is>
      </c>
      <c r="B4556" t="inlineStr">
        <is>
          <t>2.01.02 Frete sobre Vendas</t>
        </is>
      </c>
      <c r="C4556" s="30" t="n">
        <v>46266</v>
      </c>
      <c r="D4556" t="inlineStr">
        <is>
          <t>Em 2026</t>
        </is>
      </c>
      <c r="E4556" s="28" t="n">
        <v>46266</v>
      </c>
      <c r="F4556" t="inlineStr">
        <is>
          <t>CT-e</t>
        </is>
      </c>
      <c r="G4556" t="inlineStr">
        <is>
          <t>001468350</t>
        </is>
      </c>
      <c r="H4556" t="inlineStr">
        <is>
          <t>PICCOLI TRANSPORTES LTDA</t>
        </is>
      </c>
      <c r="J4556" s="29" t="n">
        <v>1084.93</v>
      </c>
      <c r="K4556" s="29">
        <f>(1-ISNUMBER(SEARCH("556",M4556)))*(O4556*SUMIFS(Premissas!$C$5:$C$44,Premissas!$A$5:$A$44,$A4556,Premissas!$B$5:$B$44,$B4556)+P4556*SUMIFS(Premissas!$D$5:$D$44,Premissas!$A$5:$A$44,$A4556,Premissas!$B$5:$B$44,$B4556))+R4556*SUMIFS(Premissas!$E$5:$E$44,Premissas!$A$5:$A$44,$A4556,Premissas!$B$5:$B$44,$B4556)+S4556*SUMIFS(Premissas!$F$5:$F$44,Premissas!$A$5:$A$44,$A4556,Premissas!$B$5:$B$44,$B4556)</f>
        <v/>
      </c>
      <c r="L4556" s="29">
        <f>J4556-K4556</f>
        <v/>
      </c>
      <c r="M4556" t="inlineStr">
        <is>
          <t>2.350</t>
        </is>
      </c>
      <c r="N4556" t="inlineStr">
        <is>
          <t>Modalidade: 0 - Por conta do remetente | Parte: C. G. L CASA FORTE LTDA (49.610.263/0001-01)</t>
        </is>
      </c>
      <c r="O4556" s="29" t="n">
        <v>0</v>
      </c>
      <c r="P4556" s="29" t="n">
        <v>75.95</v>
      </c>
      <c r="Q4556" s="29" t="n">
        <v>0</v>
      </c>
      <c r="R4556" s="29" t="n">
        <v>0</v>
      </c>
      <c r="S4556" s="29" t="n">
        <v>0</v>
      </c>
      <c r="T4556" t="inlineStr">
        <is>
          <t>35260901496359000245570010014683501006047973</t>
        </is>
      </c>
      <c r="U4556" t="inlineStr">
        <is>
          <t>Sim</t>
        </is>
      </c>
    </row>
    <row r="4557">
      <c r="A4557" t="inlineStr">
        <is>
          <t>Frete de venda</t>
        </is>
      </c>
      <c r="B4557" t="inlineStr">
        <is>
          <t>2.01.02 Frete sobre Vendas</t>
        </is>
      </c>
      <c r="C4557" s="30" t="n">
        <v>46266</v>
      </c>
      <c r="D4557" t="inlineStr">
        <is>
          <t>Em 2026</t>
        </is>
      </c>
      <c r="E4557" s="28" t="n">
        <v>46267</v>
      </c>
      <c r="F4557" t="inlineStr">
        <is>
          <t>CT-e</t>
        </is>
      </c>
      <c r="G4557" t="inlineStr">
        <is>
          <t>001468579</t>
        </is>
      </c>
      <c r="H4557" t="inlineStr">
        <is>
          <t>PICCOLI TRANSPORTES LTDA</t>
        </is>
      </c>
      <c r="J4557" s="29" t="n">
        <v>354.48</v>
      </c>
      <c r="K4557" s="29">
        <f>(1-ISNUMBER(SEARCH("556",M4557)))*(O4557*SUMIFS(Premissas!$C$5:$C$44,Premissas!$A$5:$A$44,$A4557,Premissas!$B$5:$B$44,$B4557)+P4557*SUMIFS(Premissas!$D$5:$D$44,Premissas!$A$5:$A$44,$A4557,Premissas!$B$5:$B$44,$B4557))+R4557*SUMIFS(Premissas!$E$5:$E$44,Premissas!$A$5:$A$44,$A4557,Premissas!$B$5:$B$44,$B4557)+S4557*SUMIFS(Premissas!$F$5:$F$44,Premissas!$A$5:$A$44,$A4557,Premissas!$B$5:$B$44,$B4557)</f>
        <v/>
      </c>
      <c r="L4557" s="29">
        <f>J4557-K4557</f>
        <v/>
      </c>
      <c r="M4557" t="inlineStr">
        <is>
          <t>2.350</t>
        </is>
      </c>
      <c r="N4557" t="inlineStr">
        <is>
          <t>Modalidade: 0 - Por conta do remetente | Parte: INDUSTRIAL E COMERCIAL ALMEIDA LTDA (02.623.537/0010-24)</t>
        </is>
      </c>
      <c r="O4557" s="29" t="n">
        <v>0</v>
      </c>
      <c r="P4557" s="29" t="n">
        <v>24.81</v>
      </c>
      <c r="Q4557" s="29" t="n">
        <v>0</v>
      </c>
      <c r="R4557" s="29" t="n">
        <v>0</v>
      </c>
      <c r="S4557" s="29" t="n">
        <v>0</v>
      </c>
      <c r="T4557" t="inlineStr">
        <is>
          <t>35260901496359000245570010014685791006051520</t>
        </is>
      </c>
      <c r="U4557" t="inlineStr">
        <is>
          <t>Sim</t>
        </is>
      </c>
    </row>
    <row r="4558">
      <c r="A4558" t="inlineStr">
        <is>
          <t>Frete de venda</t>
        </is>
      </c>
      <c r="B4558" t="inlineStr">
        <is>
          <t>2.01.02 Frete sobre Vendas</t>
        </is>
      </c>
      <c r="C4558" s="30" t="n">
        <v>46266</v>
      </c>
      <c r="D4558" t="inlineStr">
        <is>
          <t>Em 2026</t>
        </is>
      </c>
      <c r="E4558" s="28" t="n">
        <v>46288</v>
      </c>
      <c r="F4558" t="inlineStr">
        <is>
          <t>CT-e</t>
        </is>
      </c>
      <c r="G4558" t="inlineStr">
        <is>
          <t>000005183</t>
        </is>
      </c>
      <c r="H4558" t="inlineStr">
        <is>
          <t>RAPIDO XAPURI TRANSPORTES E LOGISTICA LTDA</t>
        </is>
      </c>
      <c r="J4558" s="29" t="n">
        <v>2838.65</v>
      </c>
      <c r="K4558" s="29">
        <f>(1-ISNUMBER(SEARCH("556",M4558)))*(O4558*SUMIFS(Premissas!$C$5:$C$44,Premissas!$A$5:$A$44,$A4558,Premissas!$B$5:$B$44,$B4558)+P4558*SUMIFS(Premissas!$D$5:$D$44,Premissas!$A$5:$A$44,$A4558,Premissas!$B$5:$B$44,$B4558))+R4558*SUMIFS(Premissas!$E$5:$E$44,Premissas!$A$5:$A$44,$A4558,Premissas!$B$5:$B$44,$B4558)+S4558*SUMIFS(Premissas!$F$5:$F$44,Premissas!$A$5:$A$44,$A4558,Premissas!$B$5:$B$44,$B4558)</f>
        <v/>
      </c>
      <c r="L4558" s="29">
        <f>J4558-K4558</f>
        <v/>
      </c>
      <c r="M4558" t="inlineStr">
        <is>
          <t>2.350</t>
        </is>
      </c>
      <c r="N4558" t="inlineStr">
        <is>
          <t>Modalidade: 0 - Por conta do remetente | Parte: MORENO FESTAS LTDA (18.133.456/0001-95)</t>
        </is>
      </c>
      <c r="O4558" s="29" t="n">
        <v>0</v>
      </c>
      <c r="P4558" s="29" t="n">
        <v>340.64</v>
      </c>
      <c r="Q4558" s="29" t="n">
        <v>0</v>
      </c>
      <c r="R4558" s="29" t="n">
        <v>0</v>
      </c>
      <c r="S4558" s="29" t="n">
        <v>0</v>
      </c>
      <c r="T4558" t="inlineStr">
        <is>
          <t>52260927775231000557570010000051831000845566</t>
        </is>
      </c>
      <c r="U4558" t="inlineStr">
        <is>
          <t>Sim</t>
        </is>
      </c>
    </row>
    <row r="4559">
      <c r="A4559" t="inlineStr">
        <is>
          <t>Frete de venda</t>
        </is>
      </c>
      <c r="B4559" t="inlineStr">
        <is>
          <t>2.01.84 Remessa de Mercadoria</t>
        </is>
      </c>
      <c r="C4559" t="inlineStr">
        <is>
          <t>Antes de 2026</t>
        </is>
      </c>
      <c r="D4559" t="inlineStr">
        <is>
          <t>Antes de 2026</t>
        </is>
      </c>
      <c r="E4559" s="28" t="n">
        <v>45535</v>
      </c>
      <c r="F4559" t="inlineStr">
        <is>
          <t>CT-e</t>
        </is>
      </c>
      <c r="G4559" t="inlineStr">
        <is>
          <t>000000045</t>
        </is>
      </c>
      <c r="H4559" t="inlineStr">
        <is>
          <t>ADIL CARLOS DA SILVA</t>
        </is>
      </c>
      <c r="J4559" s="29" t="n">
        <v>150</v>
      </c>
      <c r="K4559" s="29">
        <f>(1-ISNUMBER(SEARCH("556",M4559)))*(O4559*SUMIFS(Premissas!$C$5:$C$44,Premissas!$A$5:$A$44,$A4559,Premissas!$B$5:$B$44,$B4559)+P4559*SUMIFS(Premissas!$D$5:$D$44,Premissas!$A$5:$A$44,$A4559,Premissas!$B$5:$B$44,$B4559))+R4559*SUMIFS(Premissas!$E$5:$E$44,Premissas!$A$5:$A$44,$A4559,Premissas!$B$5:$B$44,$B4559)+S4559*SUMIFS(Premissas!$F$5:$F$44,Premissas!$A$5:$A$44,$A4559,Premissas!$B$5:$B$44,$B4559)</f>
        <v/>
      </c>
      <c r="L4559" s="29">
        <f>J4559-K4559</f>
        <v/>
      </c>
      <c r="M4559" t="inlineStr">
        <is>
          <t>1.556</t>
        </is>
      </c>
      <c r="N4559" t="inlineStr">
        <is>
          <t>Modalidade: 0 - Por conta do remetente | Parte: M N L FLORENTINO LTDA (47.068.852/0001-84)</t>
        </is>
      </c>
      <c r="O4559" s="29" t="n">
        <v>0</v>
      </c>
      <c r="P4559" s="29" t="n">
        <v>0</v>
      </c>
      <c r="Q4559" s="29" t="n">
        <v>0</v>
      </c>
      <c r="R4559" s="29" t="n">
        <v>0</v>
      </c>
      <c r="S4559" s="29" t="n">
        <v>0</v>
      </c>
      <c r="T4559" t="inlineStr">
        <is>
          <t>25240834595800000114570010000000451000000459</t>
        </is>
      </c>
      <c r="U4559" t="inlineStr">
        <is>
          <t>Não</t>
        </is>
      </c>
    </row>
    <row r="4560">
      <c r="A4560" t="inlineStr">
        <is>
          <t>Frete de venda</t>
        </is>
      </c>
      <c r="B4560" t="inlineStr">
        <is>
          <t>2.01.84 Remessa de Mercadoria</t>
        </is>
      </c>
      <c r="C4560" t="inlineStr">
        <is>
          <t>Antes de 2026</t>
        </is>
      </c>
      <c r="D4560" t="inlineStr">
        <is>
          <t>Antes de 2026</t>
        </is>
      </c>
      <c r="E4560" s="28" t="n">
        <v>45542</v>
      </c>
      <c r="F4560" t="inlineStr">
        <is>
          <t>CT-e</t>
        </is>
      </c>
      <c r="G4560" t="inlineStr">
        <is>
          <t>000000046</t>
        </is>
      </c>
      <c r="H4560" t="inlineStr">
        <is>
          <t>ADIL CARLOS DA SILVA</t>
        </is>
      </c>
      <c r="J4560" s="29" t="n">
        <v>150</v>
      </c>
      <c r="K4560" s="29">
        <f>(1-ISNUMBER(SEARCH("556",M4560)))*(O4560*SUMIFS(Premissas!$C$5:$C$44,Premissas!$A$5:$A$44,$A4560,Premissas!$B$5:$B$44,$B4560)+P4560*SUMIFS(Premissas!$D$5:$D$44,Premissas!$A$5:$A$44,$A4560,Premissas!$B$5:$B$44,$B4560))+R4560*SUMIFS(Premissas!$E$5:$E$44,Premissas!$A$5:$A$44,$A4560,Premissas!$B$5:$B$44,$B4560)+S4560*SUMIFS(Premissas!$F$5:$F$44,Premissas!$A$5:$A$44,$A4560,Premissas!$B$5:$B$44,$B4560)</f>
        <v/>
      </c>
      <c r="L4560" s="29">
        <f>J4560-K4560</f>
        <v/>
      </c>
      <c r="M4560" t="inlineStr">
        <is>
          <t>1.556</t>
        </is>
      </c>
      <c r="N4560" t="inlineStr">
        <is>
          <t>Modalidade: 0 - Por conta do remetente | Parte: FORTALI DISTRIBUIDORA DE ALIMENTOS LTDA. (09.317.318/0001-75)</t>
        </is>
      </c>
      <c r="O4560" s="29" t="n">
        <v>0</v>
      </c>
      <c r="P4560" s="29" t="n">
        <v>0</v>
      </c>
      <c r="Q4560" s="29" t="n">
        <v>0</v>
      </c>
      <c r="R4560" s="29" t="n">
        <v>0</v>
      </c>
      <c r="S4560" s="29" t="n">
        <v>0</v>
      </c>
      <c r="T4560" t="inlineStr">
        <is>
          <t>25240934595800000114570010000000461000000468</t>
        </is>
      </c>
      <c r="U4560" t="inlineStr">
        <is>
          <t>Não</t>
        </is>
      </c>
    </row>
    <row r="4561">
      <c r="A4561" t="inlineStr">
        <is>
          <t>Frete de venda</t>
        </is>
      </c>
      <c r="B4561" t="inlineStr">
        <is>
          <t>2.01.84 Remessa de Mercadoria</t>
        </is>
      </c>
      <c r="C4561" t="inlineStr">
        <is>
          <t>Antes de 2026</t>
        </is>
      </c>
      <c r="D4561" t="inlineStr">
        <is>
          <t>Antes de 2026</t>
        </is>
      </c>
      <c r="E4561" s="28" t="n">
        <v>45542</v>
      </c>
      <c r="F4561" t="inlineStr">
        <is>
          <t>CT-e</t>
        </is>
      </c>
      <c r="G4561" t="inlineStr">
        <is>
          <t>000000047</t>
        </is>
      </c>
      <c r="H4561" t="inlineStr">
        <is>
          <t>ADIL CARLOS DA SILVA</t>
        </is>
      </c>
      <c r="J4561" s="29" t="n">
        <v>150</v>
      </c>
      <c r="K4561" s="29">
        <f>(1-ISNUMBER(SEARCH("556",M4561)))*(O4561*SUMIFS(Premissas!$C$5:$C$44,Premissas!$A$5:$A$44,$A4561,Premissas!$B$5:$B$44,$B4561)+P4561*SUMIFS(Premissas!$D$5:$D$44,Premissas!$A$5:$A$44,$A4561,Premissas!$B$5:$B$44,$B4561))+R4561*SUMIFS(Premissas!$E$5:$E$44,Premissas!$A$5:$A$44,$A4561,Premissas!$B$5:$B$44,$B4561)+S4561*SUMIFS(Premissas!$F$5:$F$44,Premissas!$A$5:$A$44,$A4561,Premissas!$B$5:$B$44,$B4561)</f>
        <v/>
      </c>
      <c r="L4561" s="29">
        <f>J4561-K4561</f>
        <v/>
      </c>
      <c r="M4561" t="inlineStr">
        <is>
          <t>1.556</t>
        </is>
      </c>
      <c r="N4561" t="inlineStr">
        <is>
          <t>Modalidade: 0 - Por conta do remetente | Parte: MACROPLAST COMERCIO DE MATERIAIS DESCARTAVEIS EIRELI (02.541.920/0001-42)</t>
        </is>
      </c>
      <c r="O4561" s="29" t="n">
        <v>0</v>
      </c>
      <c r="P4561" s="29" t="n">
        <v>0</v>
      </c>
      <c r="Q4561" s="29" t="n">
        <v>0</v>
      </c>
      <c r="R4561" s="29" t="n">
        <v>0</v>
      </c>
      <c r="S4561" s="29" t="n">
        <v>0</v>
      </c>
      <c r="T4561" t="inlineStr">
        <is>
          <t>25240934595800000114570010000000471000000473</t>
        </is>
      </c>
      <c r="U4561" t="inlineStr">
        <is>
          <t>Não</t>
        </is>
      </c>
    </row>
    <row r="4562">
      <c r="A4562" t="inlineStr">
        <is>
          <t>Frete de venda</t>
        </is>
      </c>
      <c r="B4562" t="inlineStr">
        <is>
          <t>2.01.84 Remessa de Mercadoria</t>
        </is>
      </c>
      <c r="C4562" t="inlineStr">
        <is>
          <t>Antes de 2026</t>
        </is>
      </c>
      <c r="D4562" t="inlineStr">
        <is>
          <t>Antes de 2026</t>
        </is>
      </c>
      <c r="E4562" s="28" t="n">
        <v>45561</v>
      </c>
      <c r="F4562" t="inlineStr">
        <is>
          <t>CT-e</t>
        </is>
      </c>
      <c r="G4562" t="inlineStr">
        <is>
          <t>000087541</t>
        </is>
      </c>
      <c r="H4562" t="inlineStr">
        <is>
          <t>BOMFIM CARGAS E ENCOMENDAS LTDA</t>
        </is>
      </c>
      <c r="J4562" s="29" t="n">
        <v>1523.68</v>
      </c>
      <c r="K4562" s="29">
        <f>(1-ISNUMBER(SEARCH("556",M4562)))*(O4562*SUMIFS(Premissas!$C$5:$C$44,Premissas!$A$5:$A$44,$A4562,Premissas!$B$5:$B$44,$B4562)+P4562*SUMIFS(Premissas!$D$5:$D$44,Premissas!$A$5:$A$44,$A4562,Premissas!$B$5:$B$44,$B4562))+R4562*SUMIFS(Premissas!$E$5:$E$44,Premissas!$A$5:$A$44,$A4562,Premissas!$B$5:$B$44,$B4562)+S4562*SUMIFS(Premissas!$F$5:$F$44,Premissas!$A$5:$A$44,$A4562,Premissas!$B$5:$B$44,$B4562)</f>
        <v/>
      </c>
      <c r="L4562" s="29">
        <f>J4562-K4562</f>
        <v/>
      </c>
      <c r="M4562" t="inlineStr">
        <is>
          <t>1.556</t>
        </is>
      </c>
      <c r="N4562" t="inlineStr">
        <is>
          <t>Transportadora fora da lista de frete de venda, mas pela modalidade a Vinco enviou a carga | Modalidade: 0 - Por conta do remetente | Parte: EMBALAR DISTRIBUIDORA DE EMBALAGENS LTDA (10.347.424/0001-80)</t>
        </is>
      </c>
      <c r="O4562" s="29" t="n">
        <v>0</v>
      </c>
      <c r="P4562" s="29" t="n">
        <v>182.84</v>
      </c>
      <c r="Q4562" s="29" t="n">
        <v>0</v>
      </c>
      <c r="R4562" s="29" t="n">
        <v>0</v>
      </c>
      <c r="S4562" s="29" t="n">
        <v>0</v>
      </c>
      <c r="T4562" t="inlineStr">
        <is>
          <t>25240932808669001768570020000875411006558370</t>
        </is>
      </c>
      <c r="U4562" t="inlineStr">
        <is>
          <t>Não</t>
        </is>
      </c>
    </row>
    <row r="4563">
      <c r="A4563" t="inlineStr">
        <is>
          <t>Frete de venda</t>
        </is>
      </c>
      <c r="B4563" t="inlineStr">
        <is>
          <t>2.01.84 Remessa de Mercadoria</t>
        </is>
      </c>
      <c r="C4563" t="inlineStr">
        <is>
          <t>Antes de 2026</t>
        </is>
      </c>
      <c r="D4563" t="inlineStr">
        <is>
          <t>Antes de 2026</t>
        </is>
      </c>
      <c r="E4563" s="28" t="n">
        <v>45561</v>
      </c>
      <c r="F4563" t="inlineStr">
        <is>
          <t>CT-e</t>
        </is>
      </c>
      <c r="G4563" t="inlineStr">
        <is>
          <t>000087542</t>
        </is>
      </c>
      <c r="H4563" t="inlineStr">
        <is>
          <t>BOMFIM CARGAS E ENCOMENDAS LTDA</t>
        </is>
      </c>
      <c r="J4563" s="29" t="n">
        <v>326.75</v>
      </c>
      <c r="K4563" s="29">
        <f>(1-ISNUMBER(SEARCH("556",M4563)))*(O4563*SUMIFS(Premissas!$C$5:$C$44,Premissas!$A$5:$A$44,$A4563,Premissas!$B$5:$B$44,$B4563)+P4563*SUMIFS(Premissas!$D$5:$D$44,Premissas!$A$5:$A$44,$A4563,Premissas!$B$5:$B$44,$B4563))+R4563*SUMIFS(Premissas!$E$5:$E$44,Premissas!$A$5:$A$44,$A4563,Premissas!$B$5:$B$44,$B4563)+S4563*SUMIFS(Premissas!$F$5:$F$44,Premissas!$A$5:$A$44,$A4563,Premissas!$B$5:$B$44,$B4563)</f>
        <v/>
      </c>
      <c r="L4563" s="29">
        <f>J4563-K4563</f>
        <v/>
      </c>
      <c r="M4563" t="inlineStr">
        <is>
          <t>1.556</t>
        </is>
      </c>
      <c r="N4563" t="inlineStr">
        <is>
          <t>Transportadora fora da lista de frete de venda, mas pela modalidade a Vinco enviou a carga | Modalidade: 0 - Por conta do remetente | Parte: PLASTIPEL EMBALAGENS E DESCARTAVEIS (36.091.781/0001-14)</t>
        </is>
      </c>
      <c r="O4563" s="29" t="n">
        <v>0</v>
      </c>
      <c r="P4563" s="29" t="n">
        <v>39.21</v>
      </c>
      <c r="Q4563" s="29" t="n">
        <v>0</v>
      </c>
      <c r="R4563" s="29" t="n">
        <v>0</v>
      </c>
      <c r="S4563" s="29" t="n">
        <v>0</v>
      </c>
      <c r="T4563" t="inlineStr">
        <is>
          <t>25240932808669001768570020000875421006558475</t>
        </is>
      </c>
      <c r="U4563" t="inlineStr">
        <is>
          <t>Não</t>
        </is>
      </c>
    </row>
    <row r="4564">
      <c r="A4564" t="inlineStr">
        <is>
          <t>Frete de venda</t>
        </is>
      </c>
      <c r="B4564" t="inlineStr">
        <is>
          <t>2.01.84 Remessa de Mercadoria</t>
        </is>
      </c>
      <c r="C4564" t="inlineStr">
        <is>
          <t>Antes de 2026</t>
        </is>
      </c>
      <c r="D4564" t="inlineStr">
        <is>
          <t>Antes de 2026</t>
        </is>
      </c>
      <c r="E4564" s="28" t="n">
        <v>45561</v>
      </c>
      <c r="F4564" t="inlineStr">
        <is>
          <t>CT-e</t>
        </is>
      </c>
      <c r="G4564" t="inlineStr">
        <is>
          <t>000087543</t>
        </is>
      </c>
      <c r="H4564" t="inlineStr">
        <is>
          <t>BOMFIM CARGAS E ENCOMENDAS LTDA</t>
        </is>
      </c>
      <c r="J4564" s="29" t="n">
        <v>111.85</v>
      </c>
      <c r="K4564" s="29">
        <f>(1-ISNUMBER(SEARCH("556",M4564)))*(O4564*SUMIFS(Premissas!$C$5:$C$44,Premissas!$A$5:$A$44,$A4564,Premissas!$B$5:$B$44,$B4564)+P4564*SUMIFS(Premissas!$D$5:$D$44,Premissas!$A$5:$A$44,$A4564,Premissas!$B$5:$B$44,$B4564))+R4564*SUMIFS(Premissas!$E$5:$E$44,Premissas!$A$5:$A$44,$A4564,Premissas!$B$5:$B$44,$B4564)+S4564*SUMIFS(Premissas!$F$5:$F$44,Premissas!$A$5:$A$44,$A4564,Premissas!$B$5:$B$44,$B4564)</f>
        <v/>
      </c>
      <c r="L4564" s="29">
        <f>J4564-K4564</f>
        <v/>
      </c>
      <c r="M4564" t="inlineStr">
        <is>
          <t>1.556</t>
        </is>
      </c>
      <c r="N4564" t="inlineStr">
        <is>
          <t>Transportadora fora da lista de frete de venda, mas pela modalidade a Vinco enviou a carga | Modalidade: 0 - Por conta do remetente | Parte: CLARUS COMERCIO DE EPI'S E FERRAMENTAS (06.012.849/0001-61)</t>
        </is>
      </c>
      <c r="O4564" s="29" t="n">
        <v>0</v>
      </c>
      <c r="P4564" s="29" t="n">
        <v>13.42</v>
      </c>
      <c r="Q4564" s="29" t="n">
        <v>0</v>
      </c>
      <c r="R4564" s="29" t="n">
        <v>0</v>
      </c>
      <c r="S4564" s="29" t="n">
        <v>0</v>
      </c>
      <c r="T4564" t="inlineStr">
        <is>
          <t>25240932808669001768570020000875431006558618</t>
        </is>
      </c>
      <c r="U4564" t="inlineStr">
        <is>
          <t>Não</t>
        </is>
      </c>
    </row>
    <row r="4565">
      <c r="A4565" t="inlineStr">
        <is>
          <t>Frete de venda</t>
        </is>
      </c>
      <c r="B4565" t="inlineStr">
        <is>
          <t>2.01.84 Remessa de Mercadoria</t>
        </is>
      </c>
      <c r="C4565" t="inlineStr">
        <is>
          <t>Antes de 2026</t>
        </is>
      </c>
      <c r="D4565" t="inlineStr">
        <is>
          <t>Antes de 2026</t>
        </is>
      </c>
      <c r="E4565" s="28" t="n">
        <v>45561</v>
      </c>
      <c r="F4565" t="inlineStr">
        <is>
          <t>CT-e</t>
        </is>
      </c>
      <c r="G4565" t="inlineStr">
        <is>
          <t>000087557</t>
        </is>
      </c>
      <c r="H4565" t="inlineStr">
        <is>
          <t>BOMFIM CARGAS E ENCOMENDAS LTDA</t>
        </is>
      </c>
      <c r="J4565" s="29" t="n">
        <v>244.35</v>
      </c>
      <c r="K4565" s="29">
        <f>(1-ISNUMBER(SEARCH("556",M4565)))*(O4565*SUMIFS(Premissas!$C$5:$C$44,Premissas!$A$5:$A$44,$A4565,Premissas!$B$5:$B$44,$B4565)+P4565*SUMIFS(Premissas!$D$5:$D$44,Premissas!$A$5:$A$44,$A4565,Premissas!$B$5:$B$44,$B4565))+R4565*SUMIFS(Premissas!$E$5:$E$44,Premissas!$A$5:$A$44,$A4565,Premissas!$B$5:$B$44,$B4565)+S4565*SUMIFS(Premissas!$F$5:$F$44,Premissas!$A$5:$A$44,$A4565,Premissas!$B$5:$B$44,$B4565)</f>
        <v/>
      </c>
      <c r="L4565" s="29">
        <f>J4565-K4565</f>
        <v/>
      </c>
      <c r="M4565" t="inlineStr">
        <is>
          <t>1.556</t>
        </is>
      </c>
      <c r="N4565" t="inlineStr">
        <is>
          <t>Transportadora fora da lista de frete de venda, mas pela modalidade a Vinco enviou a carga | Modalidade: 0 - Por conta do remetente | Parte: UNIAO EMBALAGENS COMERCIO REPRESENTACAO LTDA (02.698.151/0001-90)</t>
        </is>
      </c>
      <c r="O4565" s="29" t="n">
        <v>0</v>
      </c>
      <c r="P4565" s="29" t="n">
        <v>29.32</v>
      </c>
      <c r="Q4565" s="29" t="n">
        <v>0</v>
      </c>
      <c r="R4565" s="29" t="n">
        <v>0</v>
      </c>
      <c r="S4565" s="29" t="n">
        <v>0</v>
      </c>
      <c r="T4565" t="inlineStr">
        <is>
          <t>25240932808669001768570020000875571006558877</t>
        </is>
      </c>
      <c r="U4565" t="inlineStr">
        <is>
          <t>Não</t>
        </is>
      </c>
    </row>
    <row r="4566">
      <c r="A4566" t="inlineStr">
        <is>
          <t>Frete de venda</t>
        </is>
      </c>
      <c r="B4566" t="inlineStr">
        <is>
          <t>2.01.84 Remessa de Mercadoria</t>
        </is>
      </c>
      <c r="C4566" t="inlineStr">
        <is>
          <t>Antes de 2026</t>
        </is>
      </c>
      <c r="D4566" t="inlineStr">
        <is>
          <t>Antes de 2026</t>
        </is>
      </c>
      <c r="E4566" s="28" t="n">
        <v>45561</v>
      </c>
      <c r="F4566" t="inlineStr">
        <is>
          <t>CT-e</t>
        </is>
      </c>
      <c r="G4566" t="inlineStr">
        <is>
          <t>000087558</t>
        </is>
      </c>
      <c r="H4566" t="inlineStr">
        <is>
          <t>BOMFIM CARGAS E ENCOMENDAS LTDA</t>
        </is>
      </c>
      <c r="J4566" s="29" t="n">
        <v>416.72</v>
      </c>
      <c r="K4566" s="29">
        <f>(1-ISNUMBER(SEARCH("556",M4566)))*(O4566*SUMIFS(Premissas!$C$5:$C$44,Premissas!$A$5:$A$44,$A4566,Premissas!$B$5:$B$44,$B4566)+P4566*SUMIFS(Premissas!$D$5:$D$44,Premissas!$A$5:$A$44,$A4566,Premissas!$B$5:$B$44,$B4566))+R4566*SUMIFS(Premissas!$E$5:$E$44,Premissas!$A$5:$A$44,$A4566,Premissas!$B$5:$B$44,$B4566)+S4566*SUMIFS(Premissas!$F$5:$F$44,Premissas!$A$5:$A$44,$A4566,Premissas!$B$5:$B$44,$B4566)</f>
        <v/>
      </c>
      <c r="L4566" s="29">
        <f>J4566-K4566</f>
        <v/>
      </c>
      <c r="M4566" t="inlineStr">
        <is>
          <t>1.556</t>
        </is>
      </c>
      <c r="N4566" t="inlineStr">
        <is>
          <t>Transportadora fora da lista de frete de venda, mas pela modalidade a Vinco enviou a carga | Modalidade: 0 - Por conta do remetente | Parte: LOSEL EMBALAGENS LTDA (00.156.227/0001-20)</t>
        </is>
      </c>
      <c r="O4566" s="29" t="n">
        <v>0</v>
      </c>
      <c r="P4566" s="29" t="n">
        <v>50.01</v>
      </c>
      <c r="Q4566" s="29" t="n">
        <v>0</v>
      </c>
      <c r="R4566" s="29" t="n">
        <v>0</v>
      </c>
      <c r="S4566" s="29" t="n">
        <v>0</v>
      </c>
      <c r="T4566" t="inlineStr">
        <is>
          <t>25240932808669001768570020000875581006558882</t>
        </is>
      </c>
      <c r="U4566" t="inlineStr">
        <is>
          <t>Não</t>
        </is>
      </c>
    </row>
    <row r="4567">
      <c r="A4567" t="inlineStr">
        <is>
          <t>Frete de venda</t>
        </is>
      </c>
      <c r="B4567" t="inlineStr">
        <is>
          <t>2.01.84 Remessa de Mercadoria</t>
        </is>
      </c>
      <c r="C4567" t="inlineStr">
        <is>
          <t>Antes de 2026</t>
        </is>
      </c>
      <c r="D4567" t="inlineStr">
        <is>
          <t>Antes de 2026</t>
        </is>
      </c>
      <c r="E4567" s="28" t="n">
        <v>45565</v>
      </c>
      <c r="F4567" t="inlineStr">
        <is>
          <t>CT-e</t>
        </is>
      </c>
      <c r="G4567" t="inlineStr">
        <is>
          <t>000087757</t>
        </is>
      </c>
      <c r="H4567" t="inlineStr">
        <is>
          <t>BOMFIM CARGAS E ENCOMENDAS LTDA</t>
        </is>
      </c>
      <c r="J4567" s="29" t="n">
        <v>12.45</v>
      </c>
      <c r="K4567" s="29">
        <f>(1-ISNUMBER(SEARCH("556",M4567)))*(O4567*SUMIFS(Premissas!$C$5:$C$44,Premissas!$A$5:$A$44,$A4567,Premissas!$B$5:$B$44,$B4567)+P4567*SUMIFS(Premissas!$D$5:$D$44,Premissas!$A$5:$A$44,$A4567,Premissas!$B$5:$B$44,$B4567))+R4567*SUMIFS(Premissas!$E$5:$E$44,Premissas!$A$5:$A$44,$A4567,Premissas!$B$5:$B$44,$B4567)+S4567*SUMIFS(Premissas!$F$5:$F$44,Premissas!$A$5:$A$44,$A4567,Premissas!$B$5:$B$44,$B4567)</f>
        <v/>
      </c>
      <c r="L4567" s="29">
        <f>J4567-K4567</f>
        <v/>
      </c>
      <c r="M4567" t="inlineStr">
        <is>
          <t>1.556</t>
        </is>
      </c>
      <c r="N4567" t="inlineStr">
        <is>
          <t>Transportadora fora da lista de frete de venda, mas pela modalidade a Vinco enviou a carga | Modalidade: 0 - Por conta do remetente | Parte: PLASTIPEL EMBALAGENS E DESCARTAVEIS (36.091.781/0001-14)</t>
        </is>
      </c>
      <c r="O4567" s="29" t="n">
        <v>0</v>
      </c>
      <c r="P4567" s="29" t="n">
        <v>1.49</v>
      </c>
      <c r="Q4567" s="29" t="n">
        <v>0</v>
      </c>
      <c r="R4567" s="29" t="n">
        <v>0</v>
      </c>
      <c r="S4567" s="29" t="n">
        <v>0</v>
      </c>
      <c r="T4567" t="inlineStr">
        <is>
          <t>25240932808669001768570020000877571006580261</t>
        </is>
      </c>
      <c r="U4567" t="inlineStr">
        <is>
          <t>Não</t>
        </is>
      </c>
    </row>
    <row r="4568">
      <c r="A4568" t="inlineStr">
        <is>
          <t>Frete de venda</t>
        </is>
      </c>
      <c r="B4568" t="inlineStr">
        <is>
          <t>2.01.84 Remessa de Mercadoria</t>
        </is>
      </c>
      <c r="C4568" t="inlineStr">
        <is>
          <t>Antes de 2026</t>
        </is>
      </c>
      <c r="D4568" t="inlineStr">
        <is>
          <t>Antes de 2026</t>
        </is>
      </c>
      <c r="E4568" s="28" t="n">
        <v>45565</v>
      </c>
      <c r="F4568" t="inlineStr">
        <is>
          <t>CT-e</t>
        </is>
      </c>
      <c r="G4568" t="inlineStr">
        <is>
          <t>000087758</t>
        </is>
      </c>
      <c r="H4568" t="inlineStr">
        <is>
          <t>BOMFIM CARGAS E ENCOMENDAS LTDA</t>
        </is>
      </c>
      <c r="J4568" s="29" t="n">
        <v>12.45</v>
      </c>
      <c r="K4568" s="29">
        <f>(1-ISNUMBER(SEARCH("556",M4568)))*(O4568*SUMIFS(Premissas!$C$5:$C$44,Premissas!$A$5:$A$44,$A4568,Premissas!$B$5:$B$44,$B4568)+P4568*SUMIFS(Premissas!$D$5:$D$44,Premissas!$A$5:$A$44,$A4568,Premissas!$B$5:$B$44,$B4568))+R4568*SUMIFS(Premissas!$E$5:$E$44,Premissas!$A$5:$A$44,$A4568,Premissas!$B$5:$B$44,$B4568)+S4568*SUMIFS(Premissas!$F$5:$F$44,Premissas!$A$5:$A$44,$A4568,Premissas!$B$5:$B$44,$B4568)</f>
        <v/>
      </c>
      <c r="L4568" s="29">
        <f>J4568-K4568</f>
        <v/>
      </c>
      <c r="M4568" t="inlineStr">
        <is>
          <t>1.556</t>
        </is>
      </c>
      <c r="N4568" t="inlineStr">
        <is>
          <t>Transportadora fora da lista de frete de venda, mas pela modalidade a Vinco enviou a carga | Modalidade: 0 - Por conta do remetente | Parte: EMBALAR DISTRIBUIDORA DE EMBALAGENS LTDA (10.347.424/0001-80)</t>
        </is>
      </c>
      <c r="O4568" s="29" t="n">
        <v>0</v>
      </c>
      <c r="P4568" s="29" t="n">
        <v>1.49</v>
      </c>
      <c r="Q4568" s="29" t="n">
        <v>0</v>
      </c>
      <c r="R4568" s="29" t="n">
        <v>0</v>
      </c>
      <c r="S4568" s="29" t="n">
        <v>0</v>
      </c>
      <c r="T4568" t="inlineStr">
        <is>
          <t>25240932808669001768570020000877581006580552</t>
        </is>
      </c>
      <c r="U4568" t="inlineStr">
        <is>
          <t>Não</t>
        </is>
      </c>
    </row>
    <row r="4569">
      <c r="A4569" t="inlineStr">
        <is>
          <t>Frete de venda</t>
        </is>
      </c>
      <c r="B4569" t="inlineStr">
        <is>
          <t>2.01.84 Remessa de Mercadoria</t>
        </is>
      </c>
      <c r="C4569" t="inlineStr">
        <is>
          <t>Antes de 2026</t>
        </is>
      </c>
      <c r="D4569" t="inlineStr">
        <is>
          <t>Antes de 2026</t>
        </is>
      </c>
      <c r="E4569" s="28" t="n">
        <v>45568</v>
      </c>
      <c r="F4569" t="inlineStr">
        <is>
          <t>CT-e</t>
        </is>
      </c>
      <c r="G4569" t="inlineStr">
        <is>
          <t>000088346</t>
        </is>
      </c>
      <c r="H4569" t="inlineStr">
        <is>
          <t>BOMFIM CARGAS E ENCOMENDAS LTDA</t>
        </is>
      </c>
      <c r="J4569" s="29" t="n">
        <v>77.27</v>
      </c>
      <c r="K4569" s="29">
        <f>(1-ISNUMBER(SEARCH("556",M4569)))*(O4569*SUMIFS(Premissas!$C$5:$C$44,Premissas!$A$5:$A$44,$A4569,Premissas!$B$5:$B$44,$B4569)+P4569*SUMIFS(Premissas!$D$5:$D$44,Premissas!$A$5:$A$44,$A4569,Premissas!$B$5:$B$44,$B4569))+R4569*SUMIFS(Premissas!$E$5:$E$44,Premissas!$A$5:$A$44,$A4569,Premissas!$B$5:$B$44,$B4569)+S4569*SUMIFS(Premissas!$F$5:$F$44,Premissas!$A$5:$A$44,$A4569,Premissas!$B$5:$B$44,$B4569)</f>
        <v/>
      </c>
      <c r="L4569" s="29">
        <f>J4569-K4569</f>
        <v/>
      </c>
      <c r="M4569" t="inlineStr">
        <is>
          <t>1.556</t>
        </is>
      </c>
      <c r="N4569" t="inlineStr">
        <is>
          <t>Transportadora fora da lista de frete de venda, mas pela modalidade a Vinco enviou a carga | Modalidade: 0 - Por conta do remetente | Parte: EMBALAR DISTRIBUIDORA DE EMBALAGENS LTDA (10.347.424/0001-80)</t>
        </is>
      </c>
      <c r="O4569" s="29" t="n">
        <v>0</v>
      </c>
      <c r="P4569" s="29" t="n">
        <v>9.27</v>
      </c>
      <c r="Q4569" s="29" t="n">
        <v>0</v>
      </c>
      <c r="R4569" s="29" t="n">
        <v>0</v>
      </c>
      <c r="S4569" s="29" t="n">
        <v>0</v>
      </c>
      <c r="T4569" t="inlineStr">
        <is>
          <t>25241032808669001768570020000883461006619990</t>
        </is>
      </c>
      <c r="U4569" t="inlineStr">
        <is>
          <t>Não</t>
        </is>
      </c>
    </row>
    <row r="4570">
      <c r="A4570" t="inlineStr">
        <is>
          <t>Frete de venda</t>
        </is>
      </c>
      <c r="B4570" t="inlineStr">
        <is>
          <t>2.01.84 Remessa de Mercadoria</t>
        </is>
      </c>
      <c r="C4570" t="inlineStr">
        <is>
          <t>Antes de 2026</t>
        </is>
      </c>
      <c r="D4570" t="inlineStr">
        <is>
          <t>Antes de 2026</t>
        </is>
      </c>
      <c r="E4570" s="28" t="n">
        <v>45568</v>
      </c>
      <c r="F4570" t="inlineStr">
        <is>
          <t>CT-e</t>
        </is>
      </c>
      <c r="G4570" t="inlineStr">
        <is>
          <t>000088347</t>
        </is>
      </c>
      <c r="H4570" t="inlineStr">
        <is>
          <t>BOMFIM CARGAS E ENCOMENDAS LTDA</t>
        </is>
      </c>
      <c r="J4570" s="29" t="n">
        <v>630.8099999999999</v>
      </c>
      <c r="K4570" s="29">
        <f>(1-ISNUMBER(SEARCH("556",M4570)))*(O4570*SUMIFS(Premissas!$C$5:$C$44,Premissas!$A$5:$A$44,$A4570,Premissas!$B$5:$B$44,$B4570)+P4570*SUMIFS(Premissas!$D$5:$D$44,Premissas!$A$5:$A$44,$A4570,Premissas!$B$5:$B$44,$B4570))+R4570*SUMIFS(Premissas!$E$5:$E$44,Premissas!$A$5:$A$44,$A4570,Premissas!$B$5:$B$44,$B4570)+S4570*SUMIFS(Premissas!$F$5:$F$44,Premissas!$A$5:$A$44,$A4570,Premissas!$B$5:$B$44,$B4570)</f>
        <v/>
      </c>
      <c r="L4570" s="29">
        <f>J4570-K4570</f>
        <v/>
      </c>
      <c r="M4570" t="inlineStr">
        <is>
          <t>1.556</t>
        </is>
      </c>
      <c r="N4570" t="inlineStr">
        <is>
          <t>Transportadora fora da lista de frete de venda, mas pela modalidade a Vinco enviou a carga | Modalidade: 0 - Por conta do remetente | Parte: EMBALAR DISTRIBUIDORA DE EMBALAGENS LTDA (10.347.424/0001-80)</t>
        </is>
      </c>
      <c r="O4570" s="29" t="n">
        <v>0</v>
      </c>
      <c r="P4570" s="29" t="n">
        <v>75.7</v>
      </c>
      <c r="Q4570" s="29" t="n">
        <v>0</v>
      </c>
      <c r="R4570" s="29" t="n">
        <v>0</v>
      </c>
      <c r="S4570" s="29" t="n">
        <v>0</v>
      </c>
      <c r="T4570" t="inlineStr">
        <is>
          <t>25241032808669001768570020000883471006620103</t>
        </is>
      </c>
      <c r="U4570" t="inlineStr">
        <is>
          <t>Não</t>
        </is>
      </c>
    </row>
    <row r="4571">
      <c r="A4571" t="inlineStr">
        <is>
          <t>Frete de venda</t>
        </is>
      </c>
      <c r="B4571" t="inlineStr">
        <is>
          <t>2.01.84 Remessa de Mercadoria</t>
        </is>
      </c>
      <c r="C4571" t="inlineStr">
        <is>
          <t>Antes de 2026</t>
        </is>
      </c>
      <c r="D4571" t="inlineStr">
        <is>
          <t>Antes de 2026</t>
        </is>
      </c>
      <c r="E4571" s="28" t="n">
        <v>45649</v>
      </c>
      <c r="F4571" t="inlineStr">
        <is>
          <t>CT-e</t>
        </is>
      </c>
      <c r="G4571" t="inlineStr">
        <is>
          <t>000099758</t>
        </is>
      </c>
      <c r="H4571" t="inlineStr">
        <is>
          <t>BOMFIM CARGAS E ENCOMENDAS LTDA</t>
        </is>
      </c>
      <c r="J4571" s="29" t="n">
        <v>1649.51</v>
      </c>
      <c r="K4571" s="29">
        <f>(1-ISNUMBER(SEARCH("556",M4571)))*(O4571*SUMIFS(Premissas!$C$5:$C$44,Premissas!$A$5:$A$44,$A4571,Premissas!$B$5:$B$44,$B4571)+P4571*SUMIFS(Premissas!$D$5:$D$44,Premissas!$A$5:$A$44,$A4571,Premissas!$B$5:$B$44,$B4571))+R4571*SUMIFS(Premissas!$E$5:$E$44,Premissas!$A$5:$A$44,$A4571,Premissas!$B$5:$B$44,$B4571)+S4571*SUMIFS(Premissas!$F$5:$F$44,Premissas!$A$5:$A$44,$A4571,Premissas!$B$5:$B$44,$B4571)</f>
        <v/>
      </c>
      <c r="L4571" s="29">
        <f>J4571-K4571</f>
        <v/>
      </c>
      <c r="M4571" t="inlineStr">
        <is>
          <t>1.556</t>
        </is>
      </c>
      <c r="N4571" t="inlineStr">
        <is>
          <t>Transportadora fora da lista de frete de venda, mas pela modalidade a Vinco enviou a carga | Modalidade: 0 - Por conta do remetente | Parte: ERINALDO VIEIRA LTDA (03.176.141/0002-39)</t>
        </is>
      </c>
      <c r="O4571" s="29" t="n">
        <v>0</v>
      </c>
      <c r="P4571" s="29" t="n">
        <v>197.94</v>
      </c>
      <c r="Q4571" s="29" t="n">
        <v>0</v>
      </c>
      <c r="R4571" s="29" t="n">
        <v>0</v>
      </c>
      <c r="S4571" s="29" t="n">
        <v>0</v>
      </c>
      <c r="T4571" t="inlineStr">
        <is>
          <t>25241232808669001768570020000997581000334525</t>
        </is>
      </c>
      <c r="U4571" t="inlineStr">
        <is>
          <t>Não</t>
        </is>
      </c>
    </row>
    <row r="4572">
      <c r="A4572" t="inlineStr">
        <is>
          <t>Frete de venda</t>
        </is>
      </c>
      <c r="B4572" t="inlineStr">
        <is>
          <t>2.01.84 Remessa de Mercadoria</t>
        </is>
      </c>
      <c r="C4572" t="inlineStr">
        <is>
          <t>Antes de 2026</t>
        </is>
      </c>
      <c r="D4572" t="inlineStr">
        <is>
          <t>Antes de 2026</t>
        </is>
      </c>
      <c r="E4572" s="28" t="n">
        <v>45649</v>
      </c>
      <c r="F4572" t="inlineStr">
        <is>
          <t>CT-e</t>
        </is>
      </c>
      <c r="G4572" t="inlineStr">
        <is>
          <t>000099759</t>
        </is>
      </c>
      <c r="H4572" t="inlineStr">
        <is>
          <t>BOMFIM CARGAS E ENCOMENDAS LTDA</t>
        </is>
      </c>
      <c r="J4572" s="29" t="n">
        <v>1570.65</v>
      </c>
      <c r="K4572" s="29">
        <f>(1-ISNUMBER(SEARCH("556",M4572)))*(O4572*SUMIFS(Premissas!$C$5:$C$44,Premissas!$A$5:$A$44,$A4572,Premissas!$B$5:$B$44,$B4572)+P4572*SUMIFS(Premissas!$D$5:$D$44,Premissas!$A$5:$A$44,$A4572,Premissas!$B$5:$B$44,$B4572))+R4572*SUMIFS(Premissas!$E$5:$E$44,Premissas!$A$5:$A$44,$A4572,Premissas!$B$5:$B$44,$B4572)+S4572*SUMIFS(Premissas!$F$5:$F$44,Premissas!$A$5:$A$44,$A4572,Premissas!$B$5:$B$44,$B4572)</f>
        <v/>
      </c>
      <c r="L4572" s="29">
        <f>J4572-K4572</f>
        <v/>
      </c>
      <c r="M4572" t="inlineStr">
        <is>
          <t>1.556</t>
        </is>
      </c>
      <c r="N4572" t="inlineStr">
        <is>
          <t>Transportadora fora da lista de frete de venda, mas pela modalidade a Vinco enviou a carga | Modalidade: 0 - Por conta do remetente | Parte: VLE COMERCIO DE EMBALAGENS E MATERIAL DE LIMPEZA LTDA (52.682.999/0001-08)</t>
        </is>
      </c>
      <c r="O4572" s="29" t="n">
        <v>0</v>
      </c>
      <c r="P4572" s="29" t="n">
        <v>188.48</v>
      </c>
      <c r="Q4572" s="29" t="n">
        <v>0</v>
      </c>
      <c r="R4572" s="29" t="n">
        <v>0</v>
      </c>
      <c r="S4572" s="29" t="n">
        <v>0</v>
      </c>
      <c r="T4572" t="inlineStr">
        <is>
          <t>25241232808669001768570020000997591000334581</t>
        </is>
      </c>
      <c r="U4572" t="inlineStr">
        <is>
          <t>Não</t>
        </is>
      </c>
    </row>
    <row r="4573">
      <c r="A4573" t="inlineStr">
        <is>
          <t>Frete de venda</t>
        </is>
      </c>
      <c r="B4573" t="inlineStr">
        <is>
          <t>2.01.84 Remessa de Mercadoria</t>
        </is>
      </c>
      <c r="C4573" t="inlineStr">
        <is>
          <t>Antes de 2026</t>
        </is>
      </c>
      <c r="D4573" t="inlineStr">
        <is>
          <t>Antes de 2026</t>
        </is>
      </c>
      <c r="E4573" s="28" t="n">
        <v>45674</v>
      </c>
      <c r="F4573" t="inlineStr">
        <is>
          <t>CT-e</t>
        </is>
      </c>
      <c r="G4573" t="inlineStr">
        <is>
          <t>000104478</t>
        </is>
      </c>
      <c r="H4573" t="inlineStr">
        <is>
          <t>BOMFIM CARGAS E ENCOMENDAS LTDA</t>
        </is>
      </c>
      <c r="J4573" s="29" t="n">
        <v>1383.02</v>
      </c>
      <c r="K4573" s="29">
        <f>(1-ISNUMBER(SEARCH("556",M4573)))*(O4573*SUMIFS(Premissas!$C$5:$C$44,Premissas!$A$5:$A$44,$A4573,Premissas!$B$5:$B$44,$B4573)+P4573*SUMIFS(Premissas!$D$5:$D$44,Premissas!$A$5:$A$44,$A4573,Premissas!$B$5:$B$44,$B4573))+R4573*SUMIFS(Premissas!$E$5:$E$44,Premissas!$A$5:$A$44,$A4573,Premissas!$B$5:$B$44,$B4573)+S4573*SUMIFS(Premissas!$F$5:$F$44,Premissas!$A$5:$A$44,$A4573,Premissas!$B$5:$B$44,$B4573)</f>
        <v/>
      </c>
      <c r="L4573" s="29">
        <f>J4573-K4573</f>
        <v/>
      </c>
      <c r="M4573" t="inlineStr">
        <is>
          <t>1.556</t>
        </is>
      </c>
      <c r="N4573" t="inlineStr">
        <is>
          <t>Transportadora fora da lista de frete de venda, mas pela modalidade a Vinco enviou a carga | Modalidade: 0 - Por conta do remetente | Parte: COMERCIAL VIEIRA EMBALAGENS LTDA (29.750.293/0001-06)</t>
        </is>
      </c>
      <c r="O4573" s="29" t="n">
        <v>0</v>
      </c>
      <c r="P4573" s="29" t="n">
        <v>165.96</v>
      </c>
      <c r="Q4573" s="29" t="n">
        <v>0</v>
      </c>
      <c r="R4573" s="29" t="n">
        <v>0</v>
      </c>
      <c r="S4573" s="29" t="n">
        <v>0</v>
      </c>
      <c r="T4573" t="inlineStr">
        <is>
          <t>25250132808669001768570020001044781000464630</t>
        </is>
      </c>
      <c r="U4573" t="inlineStr">
        <is>
          <t>Não</t>
        </is>
      </c>
    </row>
    <row r="4574">
      <c r="A4574" t="inlineStr">
        <is>
          <t>Frete de venda</t>
        </is>
      </c>
      <c r="B4574" t="inlineStr">
        <is>
          <t>2.01.84 Remessa de Mercadoria</t>
        </is>
      </c>
      <c r="C4574" t="inlineStr">
        <is>
          <t>Antes de 2026</t>
        </is>
      </c>
      <c r="D4574" t="inlineStr">
        <is>
          <t>Antes de 2026</t>
        </is>
      </c>
      <c r="E4574" s="28" t="n">
        <v>45674</v>
      </c>
      <c r="F4574" t="inlineStr">
        <is>
          <t>CT-e</t>
        </is>
      </c>
      <c r="G4574" t="inlineStr">
        <is>
          <t>000104479</t>
        </is>
      </c>
      <c r="H4574" t="inlineStr">
        <is>
          <t>BOMFIM CARGAS E ENCOMENDAS LTDA</t>
        </is>
      </c>
      <c r="J4574" s="29" t="n">
        <v>776.27</v>
      </c>
      <c r="K4574" s="29">
        <f>(1-ISNUMBER(SEARCH("556",M4574)))*(O4574*SUMIFS(Premissas!$C$5:$C$44,Premissas!$A$5:$A$44,$A4574,Premissas!$B$5:$B$44,$B4574)+P4574*SUMIFS(Premissas!$D$5:$D$44,Premissas!$A$5:$A$44,$A4574,Premissas!$B$5:$B$44,$B4574))+R4574*SUMIFS(Premissas!$E$5:$E$44,Premissas!$A$5:$A$44,$A4574,Premissas!$B$5:$B$44,$B4574)+S4574*SUMIFS(Premissas!$F$5:$F$44,Premissas!$A$5:$A$44,$A4574,Premissas!$B$5:$B$44,$B4574)</f>
        <v/>
      </c>
      <c r="L4574" s="29">
        <f>J4574-K4574</f>
        <v/>
      </c>
      <c r="M4574" t="inlineStr">
        <is>
          <t>1.556</t>
        </is>
      </c>
      <c r="N4574" t="inlineStr">
        <is>
          <t>Transportadora fora da lista de frete de venda, mas pela modalidade a Vinco enviou a carga | Modalidade: 0 - Por conta do remetente | Parte: R.J COMERCIO DE EMBALAGENS LTDA (38.204.536/0001-00)</t>
        </is>
      </c>
      <c r="O4574" s="29" t="n">
        <v>0</v>
      </c>
      <c r="P4574" s="29" t="n">
        <v>93.15000000000001</v>
      </c>
      <c r="Q4574" s="29" t="n">
        <v>0</v>
      </c>
      <c r="R4574" s="29" t="n">
        <v>0</v>
      </c>
      <c r="S4574" s="29" t="n">
        <v>0</v>
      </c>
      <c r="T4574" t="inlineStr">
        <is>
          <t>25250132808669001768570020001044791000464654</t>
        </is>
      </c>
      <c r="U4574" t="inlineStr">
        <is>
          <t>Não</t>
        </is>
      </c>
    </row>
    <row r="4575">
      <c r="A4575" t="inlineStr">
        <is>
          <t>Frete de venda</t>
        </is>
      </c>
      <c r="B4575" t="inlineStr">
        <is>
          <t>2.01.84 Remessa de Mercadoria</t>
        </is>
      </c>
      <c r="C4575" t="inlineStr">
        <is>
          <t>Antes de 2026</t>
        </is>
      </c>
      <c r="D4575" t="inlineStr">
        <is>
          <t>Antes de 2026</t>
        </is>
      </c>
      <c r="E4575" s="28" t="n">
        <v>45643</v>
      </c>
      <c r="F4575" t="inlineStr">
        <is>
          <t>CT-e</t>
        </is>
      </c>
      <c r="G4575" t="inlineStr">
        <is>
          <t>000000557</t>
        </is>
      </c>
      <c r="H4575" t="inlineStr">
        <is>
          <t>C L TRANSPORTES LTDA - IDEALIZA TRANSP</t>
        </is>
      </c>
      <c r="J4575" s="29" t="n">
        <v>455.18</v>
      </c>
      <c r="K4575" s="29">
        <f>(1-ISNUMBER(SEARCH("556",M4575)))*(O4575*SUMIFS(Premissas!$C$5:$C$44,Premissas!$A$5:$A$44,$A4575,Premissas!$B$5:$B$44,$B4575)+P4575*SUMIFS(Premissas!$D$5:$D$44,Premissas!$A$5:$A$44,$A4575,Premissas!$B$5:$B$44,$B4575))+R4575*SUMIFS(Premissas!$E$5:$E$44,Premissas!$A$5:$A$44,$A4575,Premissas!$B$5:$B$44,$B4575)+S4575*SUMIFS(Premissas!$F$5:$F$44,Premissas!$A$5:$A$44,$A4575,Premissas!$B$5:$B$44,$B4575)</f>
        <v/>
      </c>
      <c r="L4575" s="29">
        <f>J4575-K4575</f>
        <v/>
      </c>
      <c r="M4575" t="inlineStr">
        <is>
          <t>1.556</t>
        </is>
      </c>
      <c r="N4575" t="inlineStr">
        <is>
          <t>Transportadora fora da lista de frete de venda, mas pela modalidade a Vinco enviou a carga | Modalidade: 0 - Por conta do remetente | Parte: LIDER INDUSTRIA E COMERCIO LTDA (45.762.979/0001-73)</t>
        </is>
      </c>
      <c r="O4575" s="29" t="n">
        <v>0</v>
      </c>
      <c r="P4575" s="29" t="n">
        <v>0</v>
      </c>
      <c r="Q4575" s="29" t="n">
        <v>0</v>
      </c>
      <c r="R4575" s="29" t="n">
        <v>0</v>
      </c>
      <c r="S4575" s="29" t="n">
        <v>0</v>
      </c>
      <c r="T4575" t="inlineStr">
        <is>
          <t>15241255591837000144570020000005571000027410</t>
        </is>
      </c>
      <c r="U4575" t="inlineStr">
        <is>
          <t>Não</t>
        </is>
      </c>
    </row>
    <row r="4576">
      <c r="A4576" t="inlineStr">
        <is>
          <t>Frete de venda</t>
        </is>
      </c>
      <c r="B4576" t="inlineStr">
        <is>
          <t>2.01.84 Remessa de Mercadoria</t>
        </is>
      </c>
      <c r="C4576" t="inlineStr">
        <is>
          <t>Antes de 2026</t>
        </is>
      </c>
      <c r="D4576" t="inlineStr">
        <is>
          <t>Antes de 2026</t>
        </is>
      </c>
      <c r="E4576" s="28" t="n">
        <v>45643</v>
      </c>
      <c r="F4576" t="inlineStr">
        <is>
          <t>CT-e</t>
        </is>
      </c>
      <c r="G4576" t="inlineStr">
        <is>
          <t>000000558</t>
        </is>
      </c>
      <c r="H4576" t="inlineStr">
        <is>
          <t>C L TRANSPORTES LTDA - IDEALIZA TRANSP</t>
        </is>
      </c>
      <c r="J4576" s="29" t="n">
        <v>1207.48</v>
      </c>
      <c r="K4576" s="29">
        <f>(1-ISNUMBER(SEARCH("556",M4576)))*(O4576*SUMIFS(Premissas!$C$5:$C$44,Premissas!$A$5:$A$44,$A4576,Premissas!$B$5:$B$44,$B4576)+P4576*SUMIFS(Premissas!$D$5:$D$44,Premissas!$A$5:$A$44,$A4576,Premissas!$B$5:$B$44,$B4576))+R4576*SUMIFS(Premissas!$E$5:$E$44,Premissas!$A$5:$A$44,$A4576,Premissas!$B$5:$B$44,$B4576)+S4576*SUMIFS(Premissas!$F$5:$F$44,Premissas!$A$5:$A$44,$A4576,Premissas!$B$5:$B$44,$B4576)</f>
        <v/>
      </c>
      <c r="L4576" s="29">
        <f>J4576-K4576</f>
        <v/>
      </c>
      <c r="M4576" t="inlineStr">
        <is>
          <t>1.556</t>
        </is>
      </c>
      <c r="N4576" t="inlineStr">
        <is>
          <t>Transportadora fora da lista de frete de venda, mas pela modalidade a Vinco enviou a carga | Modalidade: 0 - Por conta do remetente | Parte: M. N. ROCHA DE SOUSA LTDA (52.989.831/0001-31)</t>
        </is>
      </c>
      <c r="O4576" s="29" t="n">
        <v>0</v>
      </c>
      <c r="P4576" s="29" t="n">
        <v>0</v>
      </c>
      <c r="Q4576" s="29" t="n">
        <v>0</v>
      </c>
      <c r="R4576" s="29" t="n">
        <v>0</v>
      </c>
      <c r="S4576" s="29" t="n">
        <v>0</v>
      </c>
      <c r="T4576" t="inlineStr">
        <is>
          <t>15241255591837000144570020000005581000027426</t>
        </is>
      </c>
      <c r="U4576" t="inlineStr">
        <is>
          <t>Não</t>
        </is>
      </c>
    </row>
    <row r="4577">
      <c r="A4577" t="inlineStr">
        <is>
          <t>Frete de venda</t>
        </is>
      </c>
      <c r="B4577" t="inlineStr">
        <is>
          <t>2.01.84 Remessa de Mercadoria</t>
        </is>
      </c>
      <c r="C4577" t="inlineStr">
        <is>
          <t>Antes de 2026</t>
        </is>
      </c>
      <c r="D4577" t="inlineStr">
        <is>
          <t>Antes de 2026</t>
        </is>
      </c>
      <c r="E4577" s="28" t="n">
        <v>45643</v>
      </c>
      <c r="F4577" t="inlineStr">
        <is>
          <t>CT-e</t>
        </is>
      </c>
      <c r="G4577" t="inlineStr">
        <is>
          <t>000000559</t>
        </is>
      </c>
      <c r="H4577" t="inlineStr">
        <is>
          <t>C L TRANSPORTES LTDA - IDEALIZA TRANSP</t>
        </is>
      </c>
      <c r="J4577" s="29" t="n">
        <v>976.92</v>
      </c>
      <c r="K4577" s="29">
        <f>(1-ISNUMBER(SEARCH("556",M4577)))*(O4577*SUMIFS(Premissas!$C$5:$C$44,Premissas!$A$5:$A$44,$A4577,Premissas!$B$5:$B$44,$B4577)+P4577*SUMIFS(Premissas!$D$5:$D$44,Premissas!$A$5:$A$44,$A4577,Premissas!$B$5:$B$44,$B4577))+R4577*SUMIFS(Premissas!$E$5:$E$44,Premissas!$A$5:$A$44,$A4577,Premissas!$B$5:$B$44,$B4577)+S4577*SUMIFS(Premissas!$F$5:$F$44,Premissas!$A$5:$A$44,$A4577,Premissas!$B$5:$B$44,$B4577)</f>
        <v/>
      </c>
      <c r="L4577" s="29">
        <f>J4577-K4577</f>
        <v/>
      </c>
      <c r="M4577" t="inlineStr">
        <is>
          <t>1.556</t>
        </is>
      </c>
      <c r="N4577" t="inlineStr">
        <is>
          <t>Transportadora fora da lista de frete de venda, mas pela modalidade a Vinco enviou a carga | Modalidade: 0 - Por conta do remetente | Parte: PLASMAR COMERCIO DE PRODUTOS DESCARTAVEIS LTDA (09.354.922/0001-71)</t>
        </is>
      </c>
      <c r="O4577" s="29" t="n">
        <v>0</v>
      </c>
      <c r="P4577" s="29" t="n">
        <v>0</v>
      </c>
      <c r="Q4577" s="29" t="n">
        <v>0</v>
      </c>
      <c r="R4577" s="29" t="n">
        <v>0</v>
      </c>
      <c r="S4577" s="29" t="n">
        <v>0</v>
      </c>
      <c r="T4577" t="inlineStr">
        <is>
          <t>15241255591837000144570020000005591000027431</t>
        </is>
      </c>
      <c r="U4577" t="inlineStr">
        <is>
          <t>Não</t>
        </is>
      </c>
    </row>
    <row r="4578">
      <c r="A4578" t="inlineStr">
        <is>
          <t>Frete de venda</t>
        </is>
      </c>
      <c r="B4578" t="inlineStr">
        <is>
          <t>2.01.84 Remessa de Mercadoria</t>
        </is>
      </c>
      <c r="C4578" t="inlineStr">
        <is>
          <t>Antes de 2026</t>
        </is>
      </c>
      <c r="D4578" t="inlineStr">
        <is>
          <t>Antes de 2026</t>
        </is>
      </c>
      <c r="E4578" s="28" t="n">
        <v>45643</v>
      </c>
      <c r="F4578" t="inlineStr">
        <is>
          <t>CT-e</t>
        </is>
      </c>
      <c r="G4578" t="inlineStr">
        <is>
          <t>000000560</t>
        </is>
      </c>
      <c r="H4578" t="inlineStr">
        <is>
          <t>C L TRANSPORTES LTDA - IDEALIZA TRANSP</t>
        </is>
      </c>
      <c r="J4578" s="29" t="n">
        <v>365.37</v>
      </c>
      <c r="K4578" s="29">
        <f>(1-ISNUMBER(SEARCH("556",M4578)))*(O4578*SUMIFS(Premissas!$C$5:$C$44,Premissas!$A$5:$A$44,$A4578,Premissas!$B$5:$B$44,$B4578)+P4578*SUMIFS(Premissas!$D$5:$D$44,Premissas!$A$5:$A$44,$A4578,Premissas!$B$5:$B$44,$B4578))+R4578*SUMIFS(Premissas!$E$5:$E$44,Premissas!$A$5:$A$44,$A4578,Premissas!$B$5:$B$44,$B4578)+S4578*SUMIFS(Premissas!$F$5:$F$44,Premissas!$A$5:$A$44,$A4578,Premissas!$B$5:$B$44,$B4578)</f>
        <v/>
      </c>
      <c r="L4578" s="29">
        <f>J4578-K4578</f>
        <v/>
      </c>
      <c r="M4578" t="inlineStr">
        <is>
          <t>1.556</t>
        </is>
      </c>
      <c r="N4578" t="inlineStr">
        <is>
          <t>Transportadora fora da lista de frete de venda, mas pela modalidade a Vinco enviou a carga | Modalidade: 0 - Por conta do remetente | Parte: HAPPY FESTAS LTDA (24.626.452/0001-41)</t>
        </is>
      </c>
      <c r="O4578" s="29" t="n">
        <v>0</v>
      </c>
      <c r="P4578" s="29" t="n">
        <v>0</v>
      </c>
      <c r="Q4578" s="29" t="n">
        <v>0</v>
      </c>
      <c r="R4578" s="29" t="n">
        <v>0</v>
      </c>
      <c r="S4578" s="29" t="n">
        <v>0</v>
      </c>
      <c r="T4578" t="inlineStr">
        <is>
          <t>15241255591837000144570020000005601000027440</t>
        </is>
      </c>
      <c r="U4578" t="inlineStr">
        <is>
          <t>Não</t>
        </is>
      </c>
    </row>
    <row r="4579">
      <c r="A4579" t="inlineStr">
        <is>
          <t>Frete de venda</t>
        </is>
      </c>
      <c r="B4579" t="inlineStr">
        <is>
          <t>2.01.84 Remessa de Mercadoria</t>
        </is>
      </c>
      <c r="C4579" t="inlineStr">
        <is>
          <t>Antes de 2026</t>
        </is>
      </c>
      <c r="D4579" t="inlineStr">
        <is>
          <t>Antes de 2026</t>
        </is>
      </c>
      <c r="E4579" s="28" t="n">
        <v>45643</v>
      </c>
      <c r="F4579" t="inlineStr">
        <is>
          <t>CT-e</t>
        </is>
      </c>
      <c r="G4579" t="inlineStr">
        <is>
          <t>000000561</t>
        </is>
      </c>
      <c r="H4579" t="inlineStr">
        <is>
          <t>C L TRANSPORTES LTDA - IDEALIZA TRANSP</t>
        </is>
      </c>
      <c r="J4579" s="29" t="n">
        <v>762.5700000000001</v>
      </c>
      <c r="K4579" s="29">
        <f>(1-ISNUMBER(SEARCH("556",M4579)))*(O4579*SUMIFS(Premissas!$C$5:$C$44,Premissas!$A$5:$A$44,$A4579,Premissas!$B$5:$B$44,$B4579)+P4579*SUMIFS(Premissas!$D$5:$D$44,Premissas!$A$5:$A$44,$A4579,Premissas!$B$5:$B$44,$B4579))+R4579*SUMIFS(Premissas!$E$5:$E$44,Premissas!$A$5:$A$44,$A4579,Premissas!$B$5:$B$44,$B4579)+S4579*SUMIFS(Premissas!$F$5:$F$44,Premissas!$A$5:$A$44,$A4579,Premissas!$B$5:$B$44,$B4579)</f>
        <v/>
      </c>
      <c r="L4579" s="29">
        <f>J4579-K4579</f>
        <v/>
      </c>
      <c r="M4579" t="inlineStr">
        <is>
          <t>1.556</t>
        </is>
      </c>
      <c r="N4579" t="inlineStr">
        <is>
          <t>Transportadora fora da lista de frete de venda, mas pela modalidade a Vinco enviou a carga | Modalidade: 0 - Por conta do remetente | Parte: IBIAPINA VARIEDADES LTDA (46.211.356/0001-75)</t>
        </is>
      </c>
      <c r="O4579" s="29" t="n">
        <v>0</v>
      </c>
      <c r="P4579" s="29" t="n">
        <v>0</v>
      </c>
      <c r="Q4579" s="29" t="n">
        <v>0</v>
      </c>
      <c r="R4579" s="29" t="n">
        <v>0</v>
      </c>
      <c r="S4579" s="29" t="n">
        <v>0</v>
      </c>
      <c r="T4579" t="inlineStr">
        <is>
          <t>15241255591837000144570020000005611000027456</t>
        </is>
      </c>
      <c r="U4579" t="inlineStr">
        <is>
          <t>Não</t>
        </is>
      </c>
    </row>
    <row r="4580">
      <c r="A4580" t="inlineStr">
        <is>
          <t>Frete de venda</t>
        </is>
      </c>
      <c r="B4580" t="inlineStr">
        <is>
          <t>2.01.84 Remessa de Mercadoria</t>
        </is>
      </c>
      <c r="C4580" t="inlineStr">
        <is>
          <t>Antes de 2026</t>
        </is>
      </c>
      <c r="D4580" t="inlineStr">
        <is>
          <t>Antes de 2026</t>
        </is>
      </c>
      <c r="E4580" s="28" t="n">
        <v>45643</v>
      </c>
      <c r="F4580" t="inlineStr">
        <is>
          <t>CT-e</t>
        </is>
      </c>
      <c r="G4580" t="inlineStr">
        <is>
          <t>000000562</t>
        </is>
      </c>
      <c r="H4580" t="inlineStr">
        <is>
          <t>C L TRANSPORTES LTDA - IDEALIZA TRANSP</t>
        </is>
      </c>
      <c r="J4580" s="29" t="n">
        <v>516.65</v>
      </c>
      <c r="K4580" s="29">
        <f>(1-ISNUMBER(SEARCH("556",M4580)))*(O4580*SUMIFS(Premissas!$C$5:$C$44,Premissas!$A$5:$A$44,$A4580,Premissas!$B$5:$B$44,$B4580)+P4580*SUMIFS(Premissas!$D$5:$D$44,Premissas!$A$5:$A$44,$A4580,Premissas!$B$5:$B$44,$B4580))+R4580*SUMIFS(Premissas!$E$5:$E$44,Premissas!$A$5:$A$44,$A4580,Premissas!$B$5:$B$44,$B4580)+S4580*SUMIFS(Premissas!$F$5:$F$44,Premissas!$A$5:$A$44,$A4580,Premissas!$B$5:$B$44,$B4580)</f>
        <v/>
      </c>
      <c r="L4580" s="29">
        <f>J4580-K4580</f>
        <v/>
      </c>
      <c r="M4580" t="inlineStr">
        <is>
          <t>1.556</t>
        </is>
      </c>
      <c r="N4580" t="inlineStr">
        <is>
          <t>Transportadora fora da lista de frete de venda, mas pela modalidade a Vinco enviou a carga | Modalidade: 0 - Por conta do remetente | Parte: NEW PLASTICOS DISTRIBUIDORA LTDA (38.438.642/0001-40)</t>
        </is>
      </c>
      <c r="O4580" s="29" t="n">
        <v>0</v>
      </c>
      <c r="P4580" s="29" t="n">
        <v>0</v>
      </c>
      <c r="Q4580" s="29" t="n">
        <v>0</v>
      </c>
      <c r="R4580" s="29" t="n">
        <v>0</v>
      </c>
      <c r="S4580" s="29" t="n">
        <v>0</v>
      </c>
      <c r="T4580" t="inlineStr">
        <is>
          <t>15241255591837000144570020000005621000027461</t>
        </is>
      </c>
      <c r="U4580" t="inlineStr">
        <is>
          <t>Não</t>
        </is>
      </c>
    </row>
    <row r="4581">
      <c r="A4581" t="inlineStr">
        <is>
          <t>Frete de venda</t>
        </is>
      </c>
      <c r="B4581" t="inlineStr">
        <is>
          <t>2.01.84 Remessa de Mercadoria</t>
        </is>
      </c>
      <c r="C4581" t="inlineStr">
        <is>
          <t>Antes de 2026</t>
        </is>
      </c>
      <c r="D4581" t="inlineStr">
        <is>
          <t>Antes de 2026</t>
        </is>
      </c>
      <c r="E4581" s="28" t="n">
        <v>45643</v>
      </c>
      <c r="F4581" t="inlineStr">
        <is>
          <t>CT-e</t>
        </is>
      </c>
      <c r="G4581" t="inlineStr">
        <is>
          <t>000000563</t>
        </is>
      </c>
      <c r="H4581" t="inlineStr">
        <is>
          <t>C L TRANSPORTES LTDA - IDEALIZA TRANSP</t>
        </is>
      </c>
      <c r="J4581" s="29" t="n">
        <v>339.5</v>
      </c>
      <c r="K4581" s="29">
        <f>(1-ISNUMBER(SEARCH("556",M4581)))*(O4581*SUMIFS(Premissas!$C$5:$C$44,Premissas!$A$5:$A$44,$A4581,Premissas!$B$5:$B$44,$B4581)+P4581*SUMIFS(Premissas!$D$5:$D$44,Premissas!$A$5:$A$44,$A4581,Premissas!$B$5:$B$44,$B4581))+R4581*SUMIFS(Premissas!$E$5:$E$44,Premissas!$A$5:$A$44,$A4581,Premissas!$B$5:$B$44,$B4581)+S4581*SUMIFS(Premissas!$F$5:$F$44,Premissas!$A$5:$A$44,$A4581,Premissas!$B$5:$B$44,$B4581)</f>
        <v/>
      </c>
      <c r="L4581" s="29">
        <f>J4581-K4581</f>
        <v/>
      </c>
      <c r="M4581" t="inlineStr">
        <is>
          <t>1.556</t>
        </is>
      </c>
      <c r="N4581" t="inlineStr">
        <is>
          <t>Transportadora fora da lista de frete de venda, mas pela modalidade a Vinco enviou a carga | Modalidade: 0 - Por conta do remetente | Parte: JAMES L. H. TOME e CIA LTDA (16.965.024/0002-04)</t>
        </is>
      </c>
      <c r="O4581" s="29" t="n">
        <v>0</v>
      </c>
      <c r="P4581" s="29" t="n">
        <v>0</v>
      </c>
      <c r="Q4581" s="29" t="n">
        <v>0</v>
      </c>
      <c r="R4581" s="29" t="n">
        <v>0</v>
      </c>
      <c r="S4581" s="29" t="n">
        <v>0</v>
      </c>
      <c r="T4581" t="inlineStr">
        <is>
          <t>15241255591837000144570020000005631000027477</t>
        </is>
      </c>
      <c r="U4581" t="inlineStr">
        <is>
          <t>Não</t>
        </is>
      </c>
    </row>
    <row r="4582">
      <c r="A4582" t="inlineStr">
        <is>
          <t>Frete de venda</t>
        </is>
      </c>
      <c r="B4582" t="inlineStr">
        <is>
          <t>2.01.84 Remessa de Mercadoria</t>
        </is>
      </c>
      <c r="C4582" t="inlineStr">
        <is>
          <t>Antes de 2026</t>
        </is>
      </c>
      <c r="D4582" t="inlineStr">
        <is>
          <t>Antes de 2026</t>
        </is>
      </c>
      <c r="E4582" s="28" t="n">
        <v>45643</v>
      </c>
      <c r="F4582" t="inlineStr">
        <is>
          <t>CT-e</t>
        </is>
      </c>
      <c r="G4582" t="inlineStr">
        <is>
          <t>000000564</t>
        </is>
      </c>
      <c r="H4582" t="inlineStr">
        <is>
          <t>C L TRANSPORTES LTDA - IDEALIZA TRANSP</t>
        </is>
      </c>
      <c r="J4582" s="29" t="n">
        <v>368.55</v>
      </c>
      <c r="K4582" s="29">
        <f>(1-ISNUMBER(SEARCH("556",M4582)))*(O4582*SUMIFS(Premissas!$C$5:$C$44,Premissas!$A$5:$A$44,$A4582,Premissas!$B$5:$B$44,$B4582)+P4582*SUMIFS(Premissas!$D$5:$D$44,Premissas!$A$5:$A$44,$A4582,Premissas!$B$5:$B$44,$B4582))+R4582*SUMIFS(Premissas!$E$5:$E$44,Premissas!$A$5:$A$44,$A4582,Premissas!$B$5:$B$44,$B4582)+S4582*SUMIFS(Premissas!$F$5:$F$44,Premissas!$A$5:$A$44,$A4582,Premissas!$B$5:$B$44,$B4582)</f>
        <v/>
      </c>
      <c r="L4582" s="29">
        <f>J4582-K4582</f>
        <v/>
      </c>
      <c r="M4582" t="inlineStr">
        <is>
          <t>1.556</t>
        </is>
      </c>
      <c r="N4582" t="inlineStr">
        <is>
          <t>Transportadora fora da lista de frete de venda, mas pela modalidade a Vinco enviou a carga | Modalidade: 0 - Por conta do remetente | Parte: JAMES L. H. TOME e CIA LTDA (16.965.024/0007-00)</t>
        </is>
      </c>
      <c r="O4582" s="29" t="n">
        <v>0</v>
      </c>
      <c r="P4582" s="29" t="n">
        <v>0</v>
      </c>
      <c r="Q4582" s="29" t="n">
        <v>0</v>
      </c>
      <c r="R4582" s="29" t="n">
        <v>0</v>
      </c>
      <c r="S4582" s="29" t="n">
        <v>0</v>
      </c>
      <c r="T4582" t="inlineStr">
        <is>
          <t>15241255591837000144570020000005641000027482</t>
        </is>
      </c>
      <c r="U4582" t="inlineStr">
        <is>
          <t>Não</t>
        </is>
      </c>
    </row>
    <row r="4583">
      <c r="A4583" t="inlineStr">
        <is>
          <t>Frete de venda</t>
        </is>
      </c>
      <c r="B4583" t="inlineStr">
        <is>
          <t>2.01.84 Remessa de Mercadoria</t>
        </is>
      </c>
      <c r="C4583" t="inlineStr">
        <is>
          <t>Antes de 2026</t>
        </is>
      </c>
      <c r="D4583" t="inlineStr">
        <is>
          <t>Antes de 2026</t>
        </is>
      </c>
      <c r="E4583" s="28" t="n">
        <v>45643</v>
      </c>
      <c r="F4583" t="inlineStr">
        <is>
          <t>CT-e</t>
        </is>
      </c>
      <c r="G4583" t="inlineStr">
        <is>
          <t>000000565</t>
        </is>
      </c>
      <c r="H4583" t="inlineStr">
        <is>
          <t>C L TRANSPORTES LTDA - IDEALIZA TRANSP</t>
        </is>
      </c>
      <c r="J4583" s="29" t="n">
        <v>249.2</v>
      </c>
      <c r="K4583" s="29">
        <f>(1-ISNUMBER(SEARCH("556",M4583)))*(O4583*SUMIFS(Premissas!$C$5:$C$44,Premissas!$A$5:$A$44,$A4583,Premissas!$B$5:$B$44,$B4583)+P4583*SUMIFS(Premissas!$D$5:$D$44,Premissas!$A$5:$A$44,$A4583,Premissas!$B$5:$B$44,$B4583))+R4583*SUMIFS(Premissas!$E$5:$E$44,Premissas!$A$5:$A$44,$A4583,Premissas!$B$5:$B$44,$B4583)+S4583*SUMIFS(Premissas!$F$5:$F$44,Premissas!$A$5:$A$44,$A4583,Premissas!$B$5:$B$44,$B4583)</f>
        <v/>
      </c>
      <c r="L4583" s="29">
        <f>J4583-K4583</f>
        <v/>
      </c>
      <c r="M4583" t="inlineStr">
        <is>
          <t>1.556</t>
        </is>
      </c>
      <c r="N4583" t="inlineStr">
        <is>
          <t>Transportadora fora da lista de frete de venda, mas pela modalidade a Vinco enviou a carga | Modalidade: 0 - Por conta do remetente | Parte: JAMES L. H. TOME e CIA LTDA (16.965.024/0006-20)</t>
        </is>
      </c>
      <c r="O4583" s="29" t="n">
        <v>0</v>
      </c>
      <c r="P4583" s="29" t="n">
        <v>0</v>
      </c>
      <c r="Q4583" s="29" t="n">
        <v>0</v>
      </c>
      <c r="R4583" s="29" t="n">
        <v>0</v>
      </c>
      <c r="S4583" s="29" t="n">
        <v>0</v>
      </c>
      <c r="T4583" t="inlineStr">
        <is>
          <t>15241255591837000144570020000005651000027498</t>
        </is>
      </c>
      <c r="U4583" t="inlineStr">
        <is>
          <t>Não</t>
        </is>
      </c>
    </row>
    <row r="4584">
      <c r="A4584" t="inlineStr">
        <is>
          <t>Frete de venda</t>
        </is>
      </c>
      <c r="B4584" t="inlineStr">
        <is>
          <t>2.01.84 Remessa de Mercadoria</t>
        </is>
      </c>
      <c r="C4584" t="inlineStr">
        <is>
          <t>Antes de 2026</t>
        </is>
      </c>
      <c r="D4584" t="inlineStr">
        <is>
          <t>Antes de 2026</t>
        </is>
      </c>
      <c r="E4584" s="28" t="n">
        <v>45643</v>
      </c>
      <c r="F4584" t="inlineStr">
        <is>
          <t>CT-e</t>
        </is>
      </c>
      <c r="G4584" t="inlineStr">
        <is>
          <t>000000566</t>
        </is>
      </c>
      <c r="H4584" t="inlineStr">
        <is>
          <t>C L TRANSPORTES LTDA - IDEALIZA TRANSP</t>
        </is>
      </c>
      <c r="J4584" s="29" t="n">
        <v>334.25</v>
      </c>
      <c r="K4584" s="29">
        <f>(1-ISNUMBER(SEARCH("556",M4584)))*(O4584*SUMIFS(Premissas!$C$5:$C$44,Premissas!$A$5:$A$44,$A4584,Premissas!$B$5:$B$44,$B4584)+P4584*SUMIFS(Premissas!$D$5:$D$44,Premissas!$A$5:$A$44,$A4584,Premissas!$B$5:$B$44,$B4584))+R4584*SUMIFS(Premissas!$E$5:$E$44,Premissas!$A$5:$A$44,$A4584,Premissas!$B$5:$B$44,$B4584)+S4584*SUMIFS(Premissas!$F$5:$F$44,Premissas!$A$5:$A$44,$A4584,Premissas!$B$5:$B$44,$B4584)</f>
        <v/>
      </c>
      <c r="L4584" s="29">
        <f>J4584-K4584</f>
        <v/>
      </c>
      <c r="M4584" t="inlineStr">
        <is>
          <t>1.556</t>
        </is>
      </c>
      <c r="N4584" t="inlineStr">
        <is>
          <t>Transportadora fora da lista de frete de venda, mas pela modalidade a Vinco enviou a carga | Modalidade: 0 - Por conta do remetente | Parte: JAMES L. H. TOME e CIA LTDA (16.965.024/0001-15)</t>
        </is>
      </c>
      <c r="O4584" s="29" t="n">
        <v>0</v>
      </c>
      <c r="P4584" s="29" t="n">
        <v>0</v>
      </c>
      <c r="Q4584" s="29" t="n">
        <v>0</v>
      </c>
      <c r="R4584" s="29" t="n">
        <v>0</v>
      </c>
      <c r="S4584" s="29" t="n">
        <v>0</v>
      </c>
      <c r="T4584" t="inlineStr">
        <is>
          <t>15241255591837000144570020000005661000027509</t>
        </is>
      </c>
      <c r="U4584" t="inlineStr">
        <is>
          <t>Não</t>
        </is>
      </c>
    </row>
    <row r="4585">
      <c r="A4585" t="inlineStr">
        <is>
          <t>Frete de venda</t>
        </is>
      </c>
      <c r="B4585" t="inlineStr">
        <is>
          <t>2.01.84 Remessa de Mercadoria</t>
        </is>
      </c>
      <c r="C4585" t="inlineStr">
        <is>
          <t>Antes de 2026</t>
        </is>
      </c>
      <c r="D4585" t="inlineStr">
        <is>
          <t>Antes de 2026</t>
        </is>
      </c>
      <c r="E4585" s="28" t="n">
        <v>45643</v>
      </c>
      <c r="F4585" t="inlineStr">
        <is>
          <t>CT-e</t>
        </is>
      </c>
      <c r="G4585" t="inlineStr">
        <is>
          <t>000000567</t>
        </is>
      </c>
      <c r="H4585" t="inlineStr">
        <is>
          <t>C L TRANSPORTES LTDA - IDEALIZA TRANSP</t>
        </is>
      </c>
      <c r="J4585" s="29" t="n">
        <v>383.6</v>
      </c>
      <c r="K4585" s="29">
        <f>(1-ISNUMBER(SEARCH("556",M4585)))*(O4585*SUMIFS(Premissas!$C$5:$C$44,Premissas!$A$5:$A$44,$A4585,Premissas!$B$5:$B$44,$B4585)+P4585*SUMIFS(Premissas!$D$5:$D$44,Premissas!$A$5:$A$44,$A4585,Premissas!$B$5:$B$44,$B4585))+R4585*SUMIFS(Premissas!$E$5:$E$44,Premissas!$A$5:$A$44,$A4585,Premissas!$B$5:$B$44,$B4585)+S4585*SUMIFS(Premissas!$F$5:$F$44,Premissas!$A$5:$A$44,$A4585,Premissas!$B$5:$B$44,$B4585)</f>
        <v/>
      </c>
      <c r="L4585" s="29">
        <f>J4585-K4585</f>
        <v/>
      </c>
      <c r="M4585" t="inlineStr">
        <is>
          <t>1.556</t>
        </is>
      </c>
      <c r="N4585" t="inlineStr">
        <is>
          <t>Transportadora fora da lista de frete de venda, mas pela modalidade a Vinco enviou a carga | Modalidade: 0 - Por conta do remetente | Parte: R ALBUQUERQUE COMERCIO DE ARTIGOS DE ARMARINHO LTDA (57.701.763/0001-87)</t>
        </is>
      </c>
      <c r="O4585" s="29" t="n">
        <v>0</v>
      </c>
      <c r="P4585" s="29" t="n">
        <v>0</v>
      </c>
      <c r="Q4585" s="29" t="n">
        <v>0</v>
      </c>
      <c r="R4585" s="29" t="n">
        <v>0</v>
      </c>
      <c r="S4585" s="29" t="n">
        <v>0</v>
      </c>
      <c r="T4585" t="inlineStr">
        <is>
          <t>15241255591837000144570020000005671000027514</t>
        </is>
      </c>
      <c r="U4585" t="inlineStr">
        <is>
          <t>Não</t>
        </is>
      </c>
    </row>
    <row r="4586">
      <c r="A4586" t="inlineStr">
        <is>
          <t>Frete de venda</t>
        </is>
      </c>
      <c r="B4586" t="inlineStr">
        <is>
          <t>2.01.84 Remessa de Mercadoria</t>
        </is>
      </c>
      <c r="C4586" t="inlineStr">
        <is>
          <t>Antes de 2026</t>
        </is>
      </c>
      <c r="D4586" t="inlineStr">
        <is>
          <t>Antes de 2026</t>
        </is>
      </c>
      <c r="E4586" s="28" t="n">
        <v>45520</v>
      </c>
      <c r="F4586" t="inlineStr">
        <is>
          <t>CT-e</t>
        </is>
      </c>
      <c r="G4586" t="inlineStr">
        <is>
          <t>000014040</t>
        </is>
      </c>
      <c r="H4586" t="inlineStr">
        <is>
          <t>CAMPINENSE TRANSPORTE DE CARGAS LTDA</t>
        </is>
      </c>
      <c r="J4586" s="29" t="n">
        <v>381</v>
      </c>
      <c r="K4586" s="29">
        <f>(1-ISNUMBER(SEARCH("556",M4586)))*(O4586*SUMIFS(Premissas!$C$5:$C$44,Premissas!$A$5:$A$44,$A4586,Premissas!$B$5:$B$44,$B4586)+P4586*SUMIFS(Premissas!$D$5:$D$44,Premissas!$A$5:$A$44,$A4586,Premissas!$B$5:$B$44,$B4586))+R4586*SUMIFS(Premissas!$E$5:$E$44,Premissas!$A$5:$A$44,$A4586,Premissas!$B$5:$B$44,$B4586)+S4586*SUMIFS(Premissas!$F$5:$F$44,Premissas!$A$5:$A$44,$A4586,Premissas!$B$5:$B$44,$B4586)</f>
        <v/>
      </c>
      <c r="L4586" s="29">
        <f>J4586-K4586</f>
        <v/>
      </c>
      <c r="M4586" t="inlineStr">
        <is>
          <t>1.556</t>
        </is>
      </c>
      <c r="N4586" t="inlineStr">
        <is>
          <t>Transportadora fora da lista de frete de venda, mas pela modalidade a Vinco enviou a carga | Modalidade: 0 - Por conta do remetente | Parte: VINCO DISTRIBUIDORA DE EMBALAGENS LTDA (55.333.385/0001-09)</t>
        </is>
      </c>
      <c r="O4586" s="29" t="n">
        <v>0</v>
      </c>
      <c r="P4586" s="29" t="n">
        <v>45.72</v>
      </c>
      <c r="Q4586" s="29" t="n">
        <v>0</v>
      </c>
      <c r="R4586" s="29" t="n">
        <v>0</v>
      </c>
      <c r="S4586" s="29" t="n">
        <v>0</v>
      </c>
      <c r="T4586" t="inlineStr">
        <is>
          <t>25240808706145000467570020000140401006209929</t>
        </is>
      </c>
      <c r="U4586" t="inlineStr">
        <is>
          <t>Não</t>
        </is>
      </c>
    </row>
    <row r="4587">
      <c r="A4587" t="inlineStr">
        <is>
          <t>Frete de venda</t>
        </is>
      </c>
      <c r="B4587" t="inlineStr">
        <is>
          <t>2.01.84 Remessa de Mercadoria</t>
        </is>
      </c>
      <c r="C4587" t="inlineStr">
        <is>
          <t>Antes de 2026</t>
        </is>
      </c>
      <c r="D4587" t="inlineStr">
        <is>
          <t>Antes de 2026</t>
        </is>
      </c>
      <c r="E4587" s="28" t="n">
        <v>45520</v>
      </c>
      <c r="F4587" t="inlineStr">
        <is>
          <t>CT-e</t>
        </is>
      </c>
      <c r="G4587" t="inlineStr">
        <is>
          <t>000022365</t>
        </is>
      </c>
      <c r="H4587" t="inlineStr">
        <is>
          <t>DR LOG TRANSPORTE DE CARGAS LTDA</t>
        </is>
      </c>
      <c r="J4587" s="29" t="n">
        <v>230</v>
      </c>
      <c r="K4587" s="29">
        <f>(1-ISNUMBER(SEARCH("556",M4587)))*(O4587*SUMIFS(Premissas!$C$5:$C$44,Premissas!$A$5:$A$44,$A4587,Premissas!$B$5:$B$44,$B4587)+P4587*SUMIFS(Premissas!$D$5:$D$44,Premissas!$A$5:$A$44,$A4587,Premissas!$B$5:$B$44,$B4587))+R4587*SUMIFS(Premissas!$E$5:$E$44,Premissas!$A$5:$A$44,$A4587,Premissas!$B$5:$B$44,$B4587)+S4587*SUMIFS(Premissas!$F$5:$F$44,Premissas!$A$5:$A$44,$A4587,Premissas!$B$5:$B$44,$B4587)</f>
        <v/>
      </c>
      <c r="L4587" s="29">
        <f>J4587-K4587</f>
        <v/>
      </c>
      <c r="M4587" t="inlineStr">
        <is>
          <t>1.556</t>
        </is>
      </c>
      <c r="N4587" t="inlineStr">
        <is>
          <t>Transportadora fora da lista de frete de venda, mas pela modalidade a Vinco enviou a carga | Modalidade: 0 - Por conta do remetente | Parte: J.REBOUCAS REPRESENTACOES LTDA (09.634.911/0001-45)</t>
        </is>
      </c>
      <c r="O4587" s="29" t="n">
        <v>0</v>
      </c>
      <c r="P4587" s="29" t="n">
        <v>27.6</v>
      </c>
      <c r="Q4587" s="29" t="n">
        <v>0</v>
      </c>
      <c r="R4587" s="29" t="n">
        <v>0</v>
      </c>
      <c r="S4587" s="29" t="n">
        <v>0</v>
      </c>
      <c r="T4587" t="inlineStr">
        <is>
          <t>25240839230601000550570010000223651004686723</t>
        </is>
      </c>
      <c r="U4587" t="inlineStr">
        <is>
          <t>Não</t>
        </is>
      </c>
    </row>
    <row r="4588">
      <c r="A4588" t="inlineStr">
        <is>
          <t>Frete de venda</t>
        </is>
      </c>
      <c r="B4588" t="inlineStr">
        <is>
          <t>2.01.84 Remessa de Mercadoria</t>
        </is>
      </c>
      <c r="C4588" t="inlineStr">
        <is>
          <t>Antes de 2026</t>
        </is>
      </c>
      <c r="D4588" t="inlineStr">
        <is>
          <t>Antes de 2026</t>
        </is>
      </c>
      <c r="E4588" s="28" t="n">
        <v>45523</v>
      </c>
      <c r="F4588" t="inlineStr">
        <is>
          <t>CT-e</t>
        </is>
      </c>
      <c r="G4588" t="inlineStr">
        <is>
          <t>000022383</t>
        </is>
      </c>
      <c r="H4588" t="inlineStr">
        <is>
          <t>DR LOG TRANSPORTE DE CARGAS LTDA</t>
        </is>
      </c>
      <c r="J4588" s="29" t="n">
        <v>130</v>
      </c>
      <c r="K4588" s="29">
        <f>(1-ISNUMBER(SEARCH("556",M4588)))*(O4588*SUMIFS(Premissas!$C$5:$C$44,Premissas!$A$5:$A$44,$A4588,Premissas!$B$5:$B$44,$B4588)+P4588*SUMIFS(Premissas!$D$5:$D$44,Premissas!$A$5:$A$44,$A4588,Premissas!$B$5:$B$44,$B4588))+R4588*SUMIFS(Premissas!$E$5:$E$44,Premissas!$A$5:$A$44,$A4588,Premissas!$B$5:$B$44,$B4588)+S4588*SUMIFS(Premissas!$F$5:$F$44,Premissas!$A$5:$A$44,$A4588,Premissas!$B$5:$B$44,$B4588)</f>
        <v/>
      </c>
      <c r="L4588" s="29">
        <f>J4588-K4588</f>
        <v/>
      </c>
      <c r="M4588" t="inlineStr">
        <is>
          <t>1.556</t>
        </is>
      </c>
      <c r="N4588" t="inlineStr">
        <is>
          <t>Transportadora fora da lista de frete de venda, mas pela modalidade a Vinco enviou a carga | Modalidade: 0 - Por conta do remetente | Parte: MAURICIO ALMEIDA SOUSA (668.537.373-34)</t>
        </is>
      </c>
      <c r="O4588" s="29" t="n">
        <v>0</v>
      </c>
      <c r="P4588" s="29" t="n">
        <v>15.6</v>
      </c>
      <c r="Q4588" s="29" t="n">
        <v>0</v>
      </c>
      <c r="R4588" s="29" t="n">
        <v>0</v>
      </c>
      <c r="S4588" s="29" t="n">
        <v>0</v>
      </c>
      <c r="T4588" t="inlineStr">
        <is>
          <t>25240839230601000550570010000223831004691466</t>
        </is>
      </c>
      <c r="U4588" t="inlineStr">
        <is>
          <t>Não</t>
        </is>
      </c>
    </row>
    <row r="4589">
      <c r="A4589" t="inlineStr">
        <is>
          <t>Frete de venda</t>
        </is>
      </c>
      <c r="B4589" t="inlineStr">
        <is>
          <t>2.01.84 Remessa de Mercadoria</t>
        </is>
      </c>
      <c r="C4589" t="inlineStr">
        <is>
          <t>Antes de 2026</t>
        </is>
      </c>
      <c r="D4589" t="inlineStr">
        <is>
          <t>Antes de 2026</t>
        </is>
      </c>
      <c r="E4589" s="28" t="n">
        <v>45492</v>
      </c>
      <c r="F4589" t="inlineStr">
        <is>
          <t>CT-e</t>
        </is>
      </c>
      <c r="G4589" t="inlineStr">
        <is>
          <t>000002361</t>
        </is>
      </c>
      <c r="H4589" t="inlineStr">
        <is>
          <t>R&amp;R TRANSPORTE E LOGISTICA</t>
        </is>
      </c>
      <c r="J4589" s="29" t="n">
        <v>200</v>
      </c>
      <c r="K4589" s="29">
        <f>(1-ISNUMBER(SEARCH("556",M4589)))*(O4589*SUMIFS(Premissas!$C$5:$C$44,Premissas!$A$5:$A$44,$A4589,Premissas!$B$5:$B$44,$B4589)+P4589*SUMIFS(Premissas!$D$5:$D$44,Premissas!$A$5:$A$44,$A4589,Premissas!$B$5:$B$44,$B4589))+R4589*SUMIFS(Premissas!$E$5:$E$44,Premissas!$A$5:$A$44,$A4589,Premissas!$B$5:$B$44,$B4589)+S4589*SUMIFS(Premissas!$F$5:$F$44,Premissas!$A$5:$A$44,$A4589,Premissas!$B$5:$B$44,$B4589)</f>
        <v/>
      </c>
      <c r="L4589" s="29">
        <f>J4589-K4589</f>
        <v/>
      </c>
      <c r="M4589" t="inlineStr">
        <is>
          <t>1.556</t>
        </is>
      </c>
      <c r="N4589" t="inlineStr">
        <is>
          <t>Modalidade: 0 - Por conta do remetente | Parte: VINCO DISTRIBUIDORA DE EMBALAGENS LTDA (55.333.385/0001-09)</t>
        </is>
      </c>
      <c r="O4589" s="29" t="n">
        <v>0</v>
      </c>
      <c r="P4589" s="29" t="n">
        <v>0</v>
      </c>
      <c r="Q4589" s="29" t="n">
        <v>0</v>
      </c>
      <c r="R4589" s="29" t="n">
        <v>0</v>
      </c>
      <c r="S4589" s="29" t="n">
        <v>0</v>
      </c>
      <c r="T4589" t="inlineStr">
        <is>
          <t>25240726975620000130570010000023611000000002</t>
        </is>
      </c>
      <c r="U4589" t="inlineStr">
        <is>
          <t>Não</t>
        </is>
      </c>
    </row>
    <row r="4590">
      <c r="A4590" t="inlineStr">
        <is>
          <t>Frete de venda</t>
        </is>
      </c>
      <c r="B4590" t="inlineStr">
        <is>
          <t>2.01.84 Remessa de Mercadoria</t>
        </is>
      </c>
      <c r="C4590" t="inlineStr">
        <is>
          <t>Antes de 2026</t>
        </is>
      </c>
      <c r="D4590" t="inlineStr">
        <is>
          <t>Antes de 2026</t>
        </is>
      </c>
      <c r="E4590" s="28" t="n">
        <v>45495</v>
      </c>
      <c r="F4590" t="inlineStr">
        <is>
          <t>CT-e</t>
        </is>
      </c>
      <c r="G4590" t="inlineStr">
        <is>
          <t>000002368</t>
        </is>
      </c>
      <c r="H4590" t="inlineStr">
        <is>
          <t>R&amp;R TRANSPORTE E LOGISTICA</t>
        </is>
      </c>
      <c r="J4590" s="29" t="n">
        <v>100</v>
      </c>
      <c r="K4590" s="29">
        <f>(1-ISNUMBER(SEARCH("556",M4590)))*(O4590*SUMIFS(Premissas!$C$5:$C$44,Premissas!$A$5:$A$44,$A4590,Premissas!$B$5:$B$44,$B4590)+P4590*SUMIFS(Premissas!$D$5:$D$44,Premissas!$A$5:$A$44,$A4590,Premissas!$B$5:$B$44,$B4590))+R4590*SUMIFS(Premissas!$E$5:$E$44,Premissas!$A$5:$A$44,$A4590,Premissas!$B$5:$B$44,$B4590)+S4590*SUMIFS(Premissas!$F$5:$F$44,Premissas!$A$5:$A$44,$A4590,Premissas!$B$5:$B$44,$B4590)</f>
        <v/>
      </c>
      <c r="L4590" s="29">
        <f>J4590-K4590</f>
        <v/>
      </c>
      <c r="M4590" t="inlineStr">
        <is>
          <t>1.556</t>
        </is>
      </c>
      <c r="N4590" t="inlineStr">
        <is>
          <t>Modalidade: 0 - Por conta do remetente | Parte: VILMA GOMES FREITAS DE OLIVEIRA LTDA (08.035.528/0001-08)</t>
        </is>
      </c>
      <c r="O4590" s="29" t="n">
        <v>0</v>
      </c>
      <c r="P4590" s="29" t="n">
        <v>0</v>
      </c>
      <c r="Q4590" s="29" t="n">
        <v>0</v>
      </c>
      <c r="R4590" s="29" t="n">
        <v>0</v>
      </c>
      <c r="S4590" s="29" t="n">
        <v>0</v>
      </c>
      <c r="T4590" t="inlineStr">
        <is>
          <t>25240726975620000130570010000023681000000003</t>
        </is>
      </c>
      <c r="U4590" t="inlineStr">
        <is>
          <t>Não</t>
        </is>
      </c>
    </row>
    <row r="4591">
      <c r="A4591" t="inlineStr">
        <is>
          <t>Frete de venda</t>
        </is>
      </c>
      <c r="B4591" t="inlineStr">
        <is>
          <t>2.01.84 Remessa de Mercadoria</t>
        </is>
      </c>
      <c r="C4591" t="inlineStr">
        <is>
          <t>Antes de 2026</t>
        </is>
      </c>
      <c r="D4591" t="inlineStr">
        <is>
          <t>Antes de 2026</t>
        </is>
      </c>
      <c r="E4591" s="28" t="n">
        <v>45495</v>
      </c>
      <c r="F4591" t="inlineStr">
        <is>
          <t>CT-e</t>
        </is>
      </c>
      <c r="G4591" t="inlineStr">
        <is>
          <t>000002369</t>
        </is>
      </c>
      <c r="H4591" t="inlineStr">
        <is>
          <t>R&amp;R TRANSPORTE E LOGISTICA</t>
        </is>
      </c>
      <c r="J4591" s="29" t="n">
        <v>100</v>
      </c>
      <c r="K4591" s="29">
        <f>(1-ISNUMBER(SEARCH("556",M4591)))*(O4591*SUMIFS(Premissas!$C$5:$C$44,Premissas!$A$5:$A$44,$A4591,Premissas!$B$5:$B$44,$B4591)+P4591*SUMIFS(Premissas!$D$5:$D$44,Premissas!$A$5:$A$44,$A4591,Premissas!$B$5:$B$44,$B4591))+R4591*SUMIFS(Premissas!$E$5:$E$44,Premissas!$A$5:$A$44,$A4591,Premissas!$B$5:$B$44,$B4591)+S4591*SUMIFS(Premissas!$F$5:$F$44,Premissas!$A$5:$A$44,$A4591,Premissas!$B$5:$B$44,$B4591)</f>
        <v/>
      </c>
      <c r="L4591" s="29">
        <f>J4591-K4591</f>
        <v/>
      </c>
      <c r="M4591" t="inlineStr">
        <is>
          <t>1.556</t>
        </is>
      </c>
      <c r="N4591" t="inlineStr">
        <is>
          <t>Modalidade: 0 - Por conta do remetente | Parte: SUPRIR COMERCIO DE EMBALAGENS E DESCARTAVEIS LTDA (23.798.644/0001-72)</t>
        </is>
      </c>
      <c r="O4591" s="29" t="n">
        <v>0</v>
      </c>
      <c r="P4591" s="29" t="n">
        <v>0</v>
      </c>
      <c r="Q4591" s="29" t="n">
        <v>0</v>
      </c>
      <c r="R4591" s="29" t="n">
        <v>0</v>
      </c>
      <c r="S4591" s="29" t="n">
        <v>0</v>
      </c>
      <c r="T4591" t="inlineStr">
        <is>
          <t>25240726975620000130570010000023691000000000</t>
        </is>
      </c>
      <c r="U4591" t="inlineStr">
        <is>
          <t>Não</t>
        </is>
      </c>
    </row>
    <row r="4592">
      <c r="A4592" t="inlineStr">
        <is>
          <t>Frete de venda</t>
        </is>
      </c>
      <c r="B4592" t="inlineStr">
        <is>
          <t>2.01.84 Remessa de Mercadoria</t>
        </is>
      </c>
      <c r="C4592" t="inlineStr">
        <is>
          <t>Antes de 2026</t>
        </is>
      </c>
      <c r="D4592" t="inlineStr">
        <is>
          <t>Antes de 2026</t>
        </is>
      </c>
      <c r="E4592" s="28" t="n">
        <v>45496</v>
      </c>
      <c r="F4592" t="inlineStr">
        <is>
          <t>CT-e</t>
        </is>
      </c>
      <c r="G4592" t="inlineStr">
        <is>
          <t>000002371</t>
        </is>
      </c>
      <c r="H4592" t="inlineStr">
        <is>
          <t>R&amp;R TRANSPORTE E LOGISTICA</t>
        </is>
      </c>
      <c r="J4592" s="29" t="n">
        <v>350</v>
      </c>
      <c r="K4592" s="29">
        <f>(1-ISNUMBER(SEARCH("556",M4592)))*(O4592*SUMIFS(Premissas!$C$5:$C$44,Premissas!$A$5:$A$44,$A4592,Premissas!$B$5:$B$44,$B4592)+P4592*SUMIFS(Premissas!$D$5:$D$44,Premissas!$A$5:$A$44,$A4592,Premissas!$B$5:$B$44,$B4592))+R4592*SUMIFS(Premissas!$E$5:$E$44,Premissas!$A$5:$A$44,$A4592,Premissas!$B$5:$B$44,$B4592)+S4592*SUMIFS(Premissas!$F$5:$F$44,Premissas!$A$5:$A$44,$A4592,Premissas!$B$5:$B$44,$B4592)</f>
        <v/>
      </c>
      <c r="L4592" s="29">
        <f>J4592-K4592</f>
        <v/>
      </c>
      <c r="M4592" t="inlineStr">
        <is>
          <t>1.556</t>
        </is>
      </c>
      <c r="N4592" t="inlineStr">
        <is>
          <t>Modalidade: 0 - Por conta do remetente | Parte: JB COMERCIO DE EMBALAGENS, ARMAZENAGEM E LOGISTICA LTDA (30.725.245/0001-47)</t>
        </is>
      </c>
      <c r="O4592" s="29" t="n">
        <v>0</v>
      </c>
      <c r="P4592" s="29" t="n">
        <v>0</v>
      </c>
      <c r="Q4592" s="29" t="n">
        <v>0</v>
      </c>
      <c r="R4592" s="29" t="n">
        <v>0</v>
      </c>
      <c r="S4592" s="29" t="n">
        <v>0</v>
      </c>
      <c r="T4592" t="inlineStr">
        <is>
          <t>25240726975620000130570010000023711000000009</t>
        </is>
      </c>
      <c r="U4592" t="inlineStr">
        <is>
          <t>Não</t>
        </is>
      </c>
    </row>
    <row r="4593">
      <c r="A4593" t="inlineStr">
        <is>
          <t>Frete de venda</t>
        </is>
      </c>
      <c r="B4593" t="inlineStr">
        <is>
          <t>2.01.84 Remessa de Mercadoria</t>
        </is>
      </c>
      <c r="C4593" t="inlineStr">
        <is>
          <t>Antes de 2026</t>
        </is>
      </c>
      <c r="D4593" t="inlineStr">
        <is>
          <t>Antes de 2026</t>
        </is>
      </c>
      <c r="E4593" s="28" t="n">
        <v>45496</v>
      </c>
      <c r="F4593" t="inlineStr">
        <is>
          <t>CT-e</t>
        </is>
      </c>
      <c r="G4593" t="inlineStr">
        <is>
          <t>000002372</t>
        </is>
      </c>
      <c r="H4593" t="inlineStr">
        <is>
          <t>R&amp;R TRANSPORTE E LOGISTICA</t>
        </is>
      </c>
      <c r="J4593" s="29" t="n">
        <v>400</v>
      </c>
      <c r="K4593" s="29">
        <f>(1-ISNUMBER(SEARCH("556",M4593)))*(O4593*SUMIFS(Premissas!$C$5:$C$44,Premissas!$A$5:$A$44,$A4593,Premissas!$B$5:$B$44,$B4593)+P4593*SUMIFS(Premissas!$D$5:$D$44,Premissas!$A$5:$A$44,$A4593,Premissas!$B$5:$B$44,$B4593))+R4593*SUMIFS(Premissas!$E$5:$E$44,Premissas!$A$5:$A$44,$A4593,Premissas!$B$5:$B$44,$B4593)+S4593*SUMIFS(Premissas!$F$5:$F$44,Premissas!$A$5:$A$44,$A4593,Premissas!$B$5:$B$44,$B4593)</f>
        <v/>
      </c>
      <c r="L4593" s="29">
        <f>J4593-K4593</f>
        <v/>
      </c>
      <c r="M4593" t="inlineStr">
        <is>
          <t>1.556</t>
        </is>
      </c>
      <c r="N4593" t="inlineStr">
        <is>
          <t>Modalidade: 0 - Por conta do remetente | Parte: MACROPAC PROTECAO E EMBALAGEM LTDA (11.840.014/0001-30)</t>
        </is>
      </c>
      <c r="O4593" s="29" t="n">
        <v>0</v>
      </c>
      <c r="P4593" s="29" t="n">
        <v>0</v>
      </c>
      <c r="Q4593" s="29" t="n">
        <v>0</v>
      </c>
      <c r="R4593" s="29" t="n">
        <v>0</v>
      </c>
      <c r="S4593" s="29" t="n">
        <v>0</v>
      </c>
      <c r="T4593" t="inlineStr">
        <is>
          <t>25240726975620000130570010000023721000000006</t>
        </is>
      </c>
      <c r="U4593" t="inlineStr">
        <is>
          <t>Não</t>
        </is>
      </c>
    </row>
    <row r="4594">
      <c r="A4594" t="inlineStr">
        <is>
          <t>Frete de venda</t>
        </is>
      </c>
      <c r="B4594" t="inlineStr">
        <is>
          <t>2.01.84 Remessa de Mercadoria</t>
        </is>
      </c>
      <c r="C4594" t="inlineStr">
        <is>
          <t>Antes de 2026</t>
        </is>
      </c>
      <c r="D4594" t="inlineStr">
        <is>
          <t>Antes de 2026</t>
        </is>
      </c>
      <c r="E4594" s="28" t="n">
        <v>45496</v>
      </c>
      <c r="F4594" t="inlineStr">
        <is>
          <t>CT-e</t>
        </is>
      </c>
      <c r="G4594" t="inlineStr">
        <is>
          <t>000002373</t>
        </is>
      </c>
      <c r="H4594" t="inlineStr">
        <is>
          <t>R&amp;R TRANSPORTE E LOGISTICA</t>
        </is>
      </c>
      <c r="J4594" s="29" t="n">
        <v>400</v>
      </c>
      <c r="K4594" s="29">
        <f>(1-ISNUMBER(SEARCH("556",M4594)))*(O4594*SUMIFS(Premissas!$C$5:$C$44,Premissas!$A$5:$A$44,$A4594,Premissas!$B$5:$B$44,$B4594)+P4594*SUMIFS(Premissas!$D$5:$D$44,Premissas!$A$5:$A$44,$A4594,Premissas!$B$5:$B$44,$B4594))+R4594*SUMIFS(Premissas!$E$5:$E$44,Premissas!$A$5:$A$44,$A4594,Premissas!$B$5:$B$44,$B4594)+S4594*SUMIFS(Premissas!$F$5:$F$44,Premissas!$A$5:$A$44,$A4594,Premissas!$B$5:$B$44,$B4594)</f>
        <v/>
      </c>
      <c r="L4594" s="29">
        <f>J4594-K4594</f>
        <v/>
      </c>
      <c r="M4594" t="inlineStr">
        <is>
          <t>1.556</t>
        </is>
      </c>
      <c r="N4594" t="inlineStr">
        <is>
          <t>Modalidade: 0 - Por conta do remetente | Parte: G L A RIBEIRO DE LIMA (52.343.782/0001-65)</t>
        </is>
      </c>
      <c r="O4594" s="29" t="n">
        <v>0</v>
      </c>
      <c r="P4594" s="29" t="n">
        <v>0</v>
      </c>
      <c r="Q4594" s="29" t="n">
        <v>0</v>
      </c>
      <c r="R4594" s="29" t="n">
        <v>0</v>
      </c>
      <c r="S4594" s="29" t="n">
        <v>0</v>
      </c>
      <c r="T4594" t="inlineStr">
        <is>
          <t>25240726975620000130570010000023731000000003</t>
        </is>
      </c>
      <c r="U4594" t="inlineStr">
        <is>
          <t>Não</t>
        </is>
      </c>
    </row>
    <row r="4595">
      <c r="A4595" t="inlineStr">
        <is>
          <t>Frete de venda</t>
        </is>
      </c>
      <c r="B4595" t="inlineStr">
        <is>
          <t>2.01.84 Remessa de Mercadoria</t>
        </is>
      </c>
      <c r="C4595" t="inlineStr">
        <is>
          <t>Antes de 2026</t>
        </is>
      </c>
      <c r="D4595" t="inlineStr">
        <is>
          <t>Antes de 2026</t>
        </is>
      </c>
      <c r="E4595" s="28" t="n">
        <v>45503</v>
      </c>
      <c r="F4595" t="inlineStr">
        <is>
          <t>CT-e</t>
        </is>
      </c>
      <c r="G4595" t="inlineStr">
        <is>
          <t>000002393</t>
        </is>
      </c>
      <c r="H4595" t="inlineStr">
        <is>
          <t>R&amp;R TRANSPORTE E LOGISTICA</t>
        </is>
      </c>
      <c r="J4595" s="29" t="n">
        <v>100</v>
      </c>
      <c r="K4595" s="29">
        <f>(1-ISNUMBER(SEARCH("556",M4595)))*(O4595*SUMIFS(Premissas!$C$5:$C$44,Premissas!$A$5:$A$44,$A4595,Premissas!$B$5:$B$44,$B4595)+P4595*SUMIFS(Premissas!$D$5:$D$44,Premissas!$A$5:$A$44,$A4595,Premissas!$B$5:$B$44,$B4595))+R4595*SUMIFS(Premissas!$E$5:$E$44,Premissas!$A$5:$A$44,$A4595,Premissas!$B$5:$B$44,$B4595)+S4595*SUMIFS(Premissas!$F$5:$F$44,Premissas!$A$5:$A$44,$A4595,Premissas!$B$5:$B$44,$B4595)</f>
        <v/>
      </c>
      <c r="L4595" s="29">
        <f>J4595-K4595</f>
        <v/>
      </c>
      <c r="M4595" t="inlineStr">
        <is>
          <t>1.556</t>
        </is>
      </c>
      <c r="N4595" t="inlineStr">
        <is>
          <t>Modalidade: 0 - Por conta do remetente | Parte: DESTAK EMBALAGENS LTDA (14.187.040/0001-07)</t>
        </is>
      </c>
      <c r="O4595" s="29" t="n">
        <v>0</v>
      </c>
      <c r="P4595" s="29" t="n">
        <v>0</v>
      </c>
      <c r="Q4595" s="29" t="n">
        <v>0</v>
      </c>
      <c r="R4595" s="29" t="n">
        <v>0</v>
      </c>
      <c r="S4595" s="29" t="n">
        <v>0</v>
      </c>
      <c r="T4595" t="inlineStr">
        <is>
          <t>25240726975620000130570010000023931000000006</t>
        </is>
      </c>
      <c r="U4595" t="inlineStr">
        <is>
          <t>Não</t>
        </is>
      </c>
    </row>
    <row r="4596">
      <c r="A4596" t="inlineStr">
        <is>
          <t>Frete de venda</t>
        </is>
      </c>
      <c r="B4596" t="inlineStr">
        <is>
          <t>2.01.84 Remessa de Mercadoria</t>
        </is>
      </c>
      <c r="C4596" t="inlineStr">
        <is>
          <t>Antes de 2026</t>
        </is>
      </c>
      <c r="D4596" t="inlineStr">
        <is>
          <t>Antes de 2026</t>
        </is>
      </c>
      <c r="E4596" s="28" t="n">
        <v>45504</v>
      </c>
      <c r="F4596" t="inlineStr">
        <is>
          <t>CT-e</t>
        </is>
      </c>
      <c r="G4596" t="inlineStr">
        <is>
          <t>000002408</t>
        </is>
      </c>
      <c r="H4596" t="inlineStr">
        <is>
          <t>R&amp;R TRANSPORTE E LOGISTICA</t>
        </is>
      </c>
      <c r="J4596" s="29" t="n">
        <v>25</v>
      </c>
      <c r="K4596" s="29">
        <f>(1-ISNUMBER(SEARCH("556",M4596)))*(O4596*SUMIFS(Premissas!$C$5:$C$44,Premissas!$A$5:$A$44,$A4596,Premissas!$B$5:$B$44,$B4596)+P4596*SUMIFS(Premissas!$D$5:$D$44,Premissas!$A$5:$A$44,$A4596,Premissas!$B$5:$B$44,$B4596))+R4596*SUMIFS(Premissas!$E$5:$E$44,Premissas!$A$5:$A$44,$A4596,Premissas!$B$5:$B$44,$B4596)+S4596*SUMIFS(Premissas!$F$5:$F$44,Premissas!$A$5:$A$44,$A4596,Premissas!$B$5:$B$44,$B4596)</f>
        <v/>
      </c>
      <c r="L4596" s="29">
        <f>J4596-K4596</f>
        <v/>
      </c>
      <c r="M4596" t="inlineStr">
        <is>
          <t>1.556</t>
        </is>
      </c>
      <c r="N4596" t="inlineStr">
        <is>
          <t>Modalidade: 0 - Por conta do remetente | Parte: LA SERAFIM COMERCIO DE EMBALAGENS LTDA (07.797.641/0001-68)</t>
        </is>
      </c>
      <c r="O4596" s="29" t="n">
        <v>0</v>
      </c>
      <c r="P4596" s="29" t="n">
        <v>0</v>
      </c>
      <c r="Q4596" s="29" t="n">
        <v>0</v>
      </c>
      <c r="R4596" s="29" t="n">
        <v>0</v>
      </c>
      <c r="S4596" s="29" t="n">
        <v>0</v>
      </c>
      <c r="T4596" t="inlineStr">
        <is>
          <t>25240726975620000130570010000024081000000000</t>
        </is>
      </c>
      <c r="U4596" t="inlineStr">
        <is>
          <t>Não</t>
        </is>
      </c>
    </row>
    <row r="4597">
      <c r="A4597" t="inlineStr">
        <is>
          <t>Frete de venda</t>
        </is>
      </c>
      <c r="B4597" t="inlineStr">
        <is>
          <t>2.01.84 Remessa de Mercadoria</t>
        </is>
      </c>
      <c r="C4597" t="inlineStr">
        <is>
          <t>Antes de 2026</t>
        </is>
      </c>
      <c r="D4597" t="inlineStr">
        <is>
          <t>Antes de 2026</t>
        </is>
      </c>
      <c r="E4597" s="28" t="n">
        <v>45504</v>
      </c>
      <c r="F4597" t="inlineStr">
        <is>
          <t>CT-e</t>
        </is>
      </c>
      <c r="G4597" t="inlineStr">
        <is>
          <t>000002409</t>
        </is>
      </c>
      <c r="H4597" t="inlineStr">
        <is>
          <t>R&amp;R TRANSPORTE E LOGISTICA</t>
        </is>
      </c>
      <c r="J4597" s="29" t="n">
        <v>25</v>
      </c>
      <c r="K4597" s="29">
        <f>(1-ISNUMBER(SEARCH("556",M4597)))*(O4597*SUMIFS(Premissas!$C$5:$C$44,Premissas!$A$5:$A$44,$A4597,Premissas!$B$5:$B$44,$B4597)+P4597*SUMIFS(Premissas!$D$5:$D$44,Premissas!$A$5:$A$44,$A4597,Premissas!$B$5:$B$44,$B4597))+R4597*SUMIFS(Premissas!$E$5:$E$44,Premissas!$A$5:$A$44,$A4597,Premissas!$B$5:$B$44,$B4597)+S4597*SUMIFS(Premissas!$F$5:$F$44,Premissas!$A$5:$A$44,$A4597,Premissas!$B$5:$B$44,$B4597)</f>
        <v/>
      </c>
      <c r="L4597" s="29">
        <f>J4597-K4597</f>
        <v/>
      </c>
      <c r="M4597" t="inlineStr">
        <is>
          <t>1.556</t>
        </is>
      </c>
      <c r="N4597" t="inlineStr">
        <is>
          <t>Modalidade: 0 - Por conta do remetente | Parte: PSCP ATACADISTA, VAREJISTA DE EMBALAGENS, ALIMENTOS E VA... (00.139.108/0001-60)</t>
        </is>
      </c>
      <c r="O4597" s="29" t="n">
        <v>0</v>
      </c>
      <c r="P4597" s="29" t="n">
        <v>0</v>
      </c>
      <c r="Q4597" s="29" t="n">
        <v>0</v>
      </c>
      <c r="R4597" s="29" t="n">
        <v>0</v>
      </c>
      <c r="S4597" s="29" t="n">
        <v>0</v>
      </c>
      <c r="T4597" t="inlineStr">
        <is>
          <t>25240726975620000130570010000024091000000008</t>
        </is>
      </c>
      <c r="U4597" t="inlineStr">
        <is>
          <t>Não</t>
        </is>
      </c>
    </row>
    <row r="4598">
      <c r="A4598" t="inlineStr">
        <is>
          <t>Frete de venda</t>
        </is>
      </c>
      <c r="B4598" t="inlineStr">
        <is>
          <t>2.01.84 Remessa de Mercadoria</t>
        </is>
      </c>
      <c r="C4598" t="inlineStr">
        <is>
          <t>Antes de 2026</t>
        </is>
      </c>
      <c r="D4598" t="inlineStr">
        <is>
          <t>Antes de 2026</t>
        </is>
      </c>
      <c r="E4598" s="28" t="n">
        <v>45504</v>
      </c>
      <c r="F4598" t="inlineStr">
        <is>
          <t>CT-e</t>
        </is>
      </c>
      <c r="G4598" t="inlineStr">
        <is>
          <t>000002410</t>
        </is>
      </c>
      <c r="H4598" t="inlineStr">
        <is>
          <t>R&amp;R TRANSPORTE E LOGISTICA</t>
        </is>
      </c>
      <c r="J4598" s="29" t="n">
        <v>25</v>
      </c>
      <c r="K4598" s="29">
        <f>(1-ISNUMBER(SEARCH("556",M4598)))*(O4598*SUMIFS(Premissas!$C$5:$C$44,Premissas!$A$5:$A$44,$A4598,Premissas!$B$5:$B$44,$B4598)+P4598*SUMIFS(Premissas!$D$5:$D$44,Premissas!$A$5:$A$44,$A4598,Premissas!$B$5:$B$44,$B4598))+R4598*SUMIFS(Premissas!$E$5:$E$44,Premissas!$A$5:$A$44,$A4598,Premissas!$B$5:$B$44,$B4598)+S4598*SUMIFS(Premissas!$F$5:$F$44,Premissas!$A$5:$A$44,$A4598,Premissas!$B$5:$B$44,$B4598)</f>
        <v/>
      </c>
      <c r="L4598" s="29">
        <f>J4598-K4598</f>
        <v/>
      </c>
      <c r="M4598" t="inlineStr">
        <is>
          <t>1.556</t>
        </is>
      </c>
      <c r="N4598" t="inlineStr">
        <is>
          <t>Modalidade: 0 - Por conta do remetente | Parte: AILTON MARTINS DA SILVA (14.296.466/0001-90)</t>
        </is>
      </c>
      <c r="O4598" s="29" t="n">
        <v>0</v>
      </c>
      <c r="P4598" s="29" t="n">
        <v>0</v>
      </c>
      <c r="Q4598" s="29" t="n">
        <v>0</v>
      </c>
      <c r="R4598" s="29" t="n">
        <v>0</v>
      </c>
      <c r="S4598" s="29" t="n">
        <v>0</v>
      </c>
      <c r="T4598" t="inlineStr">
        <is>
          <t>25240726975620000130570010000024101000000009</t>
        </is>
      </c>
      <c r="U4598" t="inlineStr">
        <is>
          <t>Não</t>
        </is>
      </c>
    </row>
    <row r="4599">
      <c r="A4599" t="inlineStr">
        <is>
          <t>Frete de venda</t>
        </is>
      </c>
      <c r="B4599" t="inlineStr">
        <is>
          <t>2.01.84 Remessa de Mercadoria</t>
        </is>
      </c>
      <c r="C4599" t="inlineStr">
        <is>
          <t>Antes de 2026</t>
        </is>
      </c>
      <c r="D4599" t="inlineStr">
        <is>
          <t>Antes de 2026</t>
        </is>
      </c>
      <c r="E4599" s="28" t="n">
        <v>45504</v>
      </c>
      <c r="F4599" t="inlineStr">
        <is>
          <t>CT-e</t>
        </is>
      </c>
      <c r="G4599" t="inlineStr">
        <is>
          <t>000002411</t>
        </is>
      </c>
      <c r="H4599" t="inlineStr">
        <is>
          <t>R&amp;R TRANSPORTE E LOGISTICA</t>
        </is>
      </c>
      <c r="J4599" s="29" t="n">
        <v>25</v>
      </c>
      <c r="K4599" s="29">
        <f>(1-ISNUMBER(SEARCH("556",M4599)))*(O4599*SUMIFS(Premissas!$C$5:$C$44,Premissas!$A$5:$A$44,$A4599,Premissas!$B$5:$B$44,$B4599)+P4599*SUMIFS(Premissas!$D$5:$D$44,Premissas!$A$5:$A$44,$A4599,Premissas!$B$5:$B$44,$B4599))+R4599*SUMIFS(Premissas!$E$5:$E$44,Premissas!$A$5:$A$44,$A4599,Premissas!$B$5:$B$44,$B4599)+S4599*SUMIFS(Premissas!$F$5:$F$44,Premissas!$A$5:$A$44,$A4599,Premissas!$B$5:$B$44,$B4599)</f>
        <v/>
      </c>
      <c r="L4599" s="29">
        <f>J4599-K4599</f>
        <v/>
      </c>
      <c r="M4599" t="inlineStr">
        <is>
          <t>1.556</t>
        </is>
      </c>
      <c r="N4599" t="inlineStr">
        <is>
          <t>Modalidade: 0 - Por conta do remetente | Parte: VLE COMERCIO DE EMBALAGENS E MATERIAL DE LIMPEZA LTDA (52.682.999/0001-08)</t>
        </is>
      </c>
      <c r="O4599" s="29" t="n">
        <v>0</v>
      </c>
      <c r="P4599" s="29" t="n">
        <v>0</v>
      </c>
      <c r="Q4599" s="29" t="n">
        <v>0</v>
      </c>
      <c r="R4599" s="29" t="n">
        <v>0</v>
      </c>
      <c r="S4599" s="29" t="n">
        <v>0</v>
      </c>
      <c r="T4599" t="inlineStr">
        <is>
          <t>25240726975620000130570010000024111000000006</t>
        </is>
      </c>
      <c r="U4599" t="inlineStr">
        <is>
          <t>Não</t>
        </is>
      </c>
    </row>
    <row r="4600">
      <c r="A4600" t="inlineStr">
        <is>
          <t>Frete de venda</t>
        </is>
      </c>
      <c r="B4600" t="inlineStr">
        <is>
          <t>2.01.84 Remessa de Mercadoria</t>
        </is>
      </c>
      <c r="C4600" t="inlineStr">
        <is>
          <t>Antes de 2026</t>
        </is>
      </c>
      <c r="D4600" t="inlineStr">
        <is>
          <t>Antes de 2026</t>
        </is>
      </c>
      <c r="E4600" s="28" t="n">
        <v>45504</v>
      </c>
      <c r="F4600" t="inlineStr">
        <is>
          <t>CT-e</t>
        </is>
      </c>
      <c r="G4600" t="inlineStr">
        <is>
          <t>000002412</t>
        </is>
      </c>
      <c r="H4600" t="inlineStr">
        <is>
          <t>R&amp;R TRANSPORTE E LOGISTICA</t>
        </is>
      </c>
      <c r="J4600" s="29" t="n">
        <v>25</v>
      </c>
      <c r="K4600" s="29">
        <f>(1-ISNUMBER(SEARCH("556",M4600)))*(O4600*SUMIFS(Premissas!$C$5:$C$44,Premissas!$A$5:$A$44,$A4600,Premissas!$B$5:$B$44,$B4600)+P4600*SUMIFS(Premissas!$D$5:$D$44,Premissas!$A$5:$A$44,$A4600,Premissas!$B$5:$B$44,$B4600))+R4600*SUMIFS(Premissas!$E$5:$E$44,Premissas!$A$5:$A$44,$A4600,Premissas!$B$5:$B$44,$B4600)+S4600*SUMIFS(Premissas!$F$5:$F$44,Premissas!$A$5:$A$44,$A4600,Premissas!$B$5:$B$44,$B4600)</f>
        <v/>
      </c>
      <c r="L4600" s="29">
        <f>J4600-K4600</f>
        <v/>
      </c>
      <c r="M4600" t="inlineStr">
        <is>
          <t>1.556</t>
        </is>
      </c>
      <c r="N4600" t="inlineStr">
        <is>
          <t>Modalidade: 0 - Por conta do remetente | Parte: ERINALDO VIEIRA LTDA (03.176.141/0002-39)</t>
        </is>
      </c>
      <c r="O4600" s="29" t="n">
        <v>0</v>
      </c>
      <c r="P4600" s="29" t="n">
        <v>0</v>
      </c>
      <c r="Q4600" s="29" t="n">
        <v>0</v>
      </c>
      <c r="R4600" s="29" t="n">
        <v>0</v>
      </c>
      <c r="S4600" s="29" t="n">
        <v>0</v>
      </c>
      <c r="T4600" t="inlineStr">
        <is>
          <t>25240726975620000130570010000024121000000003</t>
        </is>
      </c>
      <c r="U4600" t="inlineStr">
        <is>
          <t>Não</t>
        </is>
      </c>
    </row>
    <row r="4601">
      <c r="A4601" t="inlineStr">
        <is>
          <t>Frete de venda</t>
        </is>
      </c>
      <c r="B4601" t="inlineStr">
        <is>
          <t>2.01.84 Remessa de Mercadoria</t>
        </is>
      </c>
      <c r="C4601" t="inlineStr">
        <is>
          <t>Antes de 2026</t>
        </is>
      </c>
      <c r="D4601" t="inlineStr">
        <is>
          <t>Antes de 2026</t>
        </is>
      </c>
      <c r="E4601" s="28" t="n">
        <v>45504</v>
      </c>
      <c r="F4601" t="inlineStr">
        <is>
          <t>CT-e</t>
        </is>
      </c>
      <c r="G4601" t="inlineStr">
        <is>
          <t>000002413</t>
        </is>
      </c>
      <c r="H4601" t="inlineStr">
        <is>
          <t>R&amp;R TRANSPORTE E LOGISTICA</t>
        </is>
      </c>
      <c r="J4601" s="29" t="n">
        <v>25</v>
      </c>
      <c r="K4601" s="29">
        <f>(1-ISNUMBER(SEARCH("556",M4601)))*(O4601*SUMIFS(Premissas!$C$5:$C$44,Premissas!$A$5:$A$44,$A4601,Premissas!$B$5:$B$44,$B4601)+P4601*SUMIFS(Premissas!$D$5:$D$44,Premissas!$A$5:$A$44,$A4601,Premissas!$B$5:$B$44,$B4601))+R4601*SUMIFS(Premissas!$E$5:$E$44,Premissas!$A$5:$A$44,$A4601,Premissas!$B$5:$B$44,$B4601)+S4601*SUMIFS(Premissas!$F$5:$F$44,Premissas!$A$5:$A$44,$A4601,Premissas!$B$5:$B$44,$B4601)</f>
        <v/>
      </c>
      <c r="L4601" s="29">
        <f>J4601-K4601</f>
        <v/>
      </c>
      <c r="M4601" t="inlineStr">
        <is>
          <t>1.556</t>
        </is>
      </c>
      <c r="N4601" t="inlineStr">
        <is>
          <t>Modalidade: 0 - Por conta do remetente | Parte: CARAIBAS EMBALAGENS LTDA (10.919.460/0001-71)</t>
        </is>
      </c>
      <c r="O4601" s="29" t="n">
        <v>0</v>
      </c>
      <c r="P4601" s="29" t="n">
        <v>0</v>
      </c>
      <c r="Q4601" s="29" t="n">
        <v>0</v>
      </c>
      <c r="R4601" s="29" t="n">
        <v>0</v>
      </c>
      <c r="S4601" s="29" t="n">
        <v>0</v>
      </c>
      <c r="T4601" t="inlineStr">
        <is>
          <t>25240726975620000130570010000024131000000000</t>
        </is>
      </c>
      <c r="U4601" t="inlineStr">
        <is>
          <t>Não</t>
        </is>
      </c>
    </row>
    <row r="4602">
      <c r="A4602" t="inlineStr">
        <is>
          <t>Frete de venda</t>
        </is>
      </c>
      <c r="B4602" t="inlineStr">
        <is>
          <t>2.01.84 Remessa de Mercadoria</t>
        </is>
      </c>
      <c r="C4602" t="inlineStr">
        <is>
          <t>Antes de 2026</t>
        </is>
      </c>
      <c r="D4602" t="inlineStr">
        <is>
          <t>Antes de 2026</t>
        </is>
      </c>
      <c r="E4602" s="28" t="n">
        <v>45504</v>
      </c>
      <c r="F4602" t="inlineStr">
        <is>
          <t>CT-e</t>
        </is>
      </c>
      <c r="G4602" t="inlineStr">
        <is>
          <t>000002414</t>
        </is>
      </c>
      <c r="H4602" t="inlineStr">
        <is>
          <t>R&amp;R TRANSPORTE E LOGISTICA</t>
        </is>
      </c>
      <c r="J4602" s="29" t="n">
        <v>50</v>
      </c>
      <c r="K4602" s="29">
        <f>(1-ISNUMBER(SEARCH("556",M4602)))*(O4602*SUMIFS(Premissas!$C$5:$C$44,Premissas!$A$5:$A$44,$A4602,Premissas!$B$5:$B$44,$B4602)+P4602*SUMIFS(Premissas!$D$5:$D$44,Premissas!$A$5:$A$44,$A4602,Premissas!$B$5:$B$44,$B4602))+R4602*SUMIFS(Premissas!$E$5:$E$44,Premissas!$A$5:$A$44,$A4602,Premissas!$B$5:$B$44,$B4602)+S4602*SUMIFS(Premissas!$F$5:$F$44,Premissas!$A$5:$A$44,$A4602,Premissas!$B$5:$B$44,$B4602)</f>
        <v/>
      </c>
      <c r="L4602" s="29">
        <f>J4602-K4602</f>
        <v/>
      </c>
      <c r="M4602" t="inlineStr">
        <is>
          <t>1.556</t>
        </is>
      </c>
      <c r="N4602" t="inlineStr">
        <is>
          <t>Modalidade: 0 - Por conta do remetente | Parte: DISTRIBUIDORA DE EMBALAGENS CASTROPIL LTDA. (08.961.274/0007-44)</t>
        </is>
      </c>
      <c r="O4602" s="29" t="n">
        <v>0</v>
      </c>
      <c r="P4602" s="29" t="n">
        <v>0</v>
      </c>
      <c r="Q4602" s="29" t="n">
        <v>0</v>
      </c>
      <c r="R4602" s="29" t="n">
        <v>0</v>
      </c>
      <c r="S4602" s="29" t="n">
        <v>0</v>
      </c>
      <c r="T4602" t="inlineStr">
        <is>
          <t>25240726975620000130570010000024141000000008</t>
        </is>
      </c>
      <c r="U4602" t="inlineStr">
        <is>
          <t>Não</t>
        </is>
      </c>
    </row>
    <row r="4603">
      <c r="A4603" t="inlineStr">
        <is>
          <t>Frete de venda</t>
        </is>
      </c>
      <c r="B4603" t="inlineStr">
        <is>
          <t>2.01.84 Remessa de Mercadoria</t>
        </is>
      </c>
      <c r="C4603" t="inlineStr">
        <is>
          <t>Antes de 2026</t>
        </is>
      </c>
      <c r="D4603" t="inlineStr">
        <is>
          <t>Antes de 2026</t>
        </is>
      </c>
      <c r="E4603" s="28" t="n">
        <v>45504</v>
      </c>
      <c r="F4603" t="inlineStr">
        <is>
          <t>CT-e</t>
        </is>
      </c>
      <c r="G4603" t="inlineStr">
        <is>
          <t>000002416</t>
        </is>
      </c>
      <c r="H4603" t="inlineStr">
        <is>
          <t>R&amp;R TRANSPORTE E LOGISTICA</t>
        </is>
      </c>
      <c r="J4603" s="29" t="n">
        <v>200</v>
      </c>
      <c r="K4603" s="29">
        <f>(1-ISNUMBER(SEARCH("556",M4603)))*(O4603*SUMIFS(Premissas!$C$5:$C$44,Premissas!$A$5:$A$44,$A4603,Premissas!$B$5:$B$44,$B4603)+P4603*SUMIFS(Premissas!$D$5:$D$44,Premissas!$A$5:$A$44,$A4603,Premissas!$B$5:$B$44,$B4603))+R4603*SUMIFS(Premissas!$E$5:$E$44,Premissas!$A$5:$A$44,$A4603,Premissas!$B$5:$B$44,$B4603)+S4603*SUMIFS(Premissas!$F$5:$F$44,Premissas!$A$5:$A$44,$A4603,Premissas!$B$5:$B$44,$B4603)</f>
        <v/>
      </c>
      <c r="L4603" s="29">
        <f>J4603-K4603</f>
        <v/>
      </c>
      <c r="M4603" t="inlineStr">
        <is>
          <t>1.556</t>
        </is>
      </c>
      <c r="N4603" t="inlineStr">
        <is>
          <t>Modalidade: 0 - Por conta do remetente | Parte: VINCO DISTRIBUIDORA DE EMBALAGENS LTDA (55.333.385/0001-09)</t>
        </is>
      </c>
      <c r="O4603" s="29" t="n">
        <v>0</v>
      </c>
      <c r="P4603" s="29" t="n">
        <v>0</v>
      </c>
      <c r="Q4603" s="29" t="n">
        <v>0</v>
      </c>
      <c r="R4603" s="29" t="n">
        <v>0</v>
      </c>
      <c r="S4603" s="29" t="n">
        <v>0</v>
      </c>
      <c r="T4603" t="inlineStr">
        <is>
          <t>25240726975620000130570010000024161000000002</t>
        </is>
      </c>
      <c r="U4603" t="inlineStr">
        <is>
          <t>Não</t>
        </is>
      </c>
    </row>
    <row r="4604">
      <c r="A4604" t="inlineStr">
        <is>
          <t>Frete de venda</t>
        </is>
      </c>
      <c r="B4604" t="inlineStr">
        <is>
          <t>2.01.84 Remessa de Mercadoria</t>
        </is>
      </c>
      <c r="C4604" t="inlineStr">
        <is>
          <t>Antes de 2026</t>
        </is>
      </c>
      <c r="D4604" t="inlineStr">
        <is>
          <t>Antes de 2026</t>
        </is>
      </c>
      <c r="E4604" s="28" t="n">
        <v>45505</v>
      </c>
      <c r="F4604" t="inlineStr">
        <is>
          <t>CT-e</t>
        </is>
      </c>
      <c r="G4604" t="inlineStr">
        <is>
          <t>000002417</t>
        </is>
      </c>
      <c r="H4604" t="inlineStr">
        <is>
          <t>R&amp;R TRANSPORTE E LOGISTICA</t>
        </is>
      </c>
      <c r="J4604" s="29" t="n">
        <v>40</v>
      </c>
      <c r="K4604" s="29">
        <f>(1-ISNUMBER(SEARCH("556",M4604)))*(O4604*SUMIFS(Premissas!$C$5:$C$44,Premissas!$A$5:$A$44,$A4604,Premissas!$B$5:$B$44,$B4604)+P4604*SUMIFS(Premissas!$D$5:$D$44,Premissas!$A$5:$A$44,$A4604,Premissas!$B$5:$B$44,$B4604))+R4604*SUMIFS(Premissas!$E$5:$E$44,Premissas!$A$5:$A$44,$A4604,Premissas!$B$5:$B$44,$B4604)+S4604*SUMIFS(Premissas!$F$5:$F$44,Premissas!$A$5:$A$44,$A4604,Premissas!$B$5:$B$44,$B4604)</f>
        <v/>
      </c>
      <c r="L4604" s="29">
        <f>J4604-K4604</f>
        <v/>
      </c>
      <c r="M4604" t="inlineStr">
        <is>
          <t>1.556</t>
        </is>
      </c>
      <c r="N4604" t="inlineStr">
        <is>
          <t>Modalidade: 0 - Por conta do remetente | Parte: FRIOMIX DISTRIBUIDORA LTDA (50.446.804/0001-97)</t>
        </is>
      </c>
      <c r="O4604" s="29" t="n">
        <v>0</v>
      </c>
      <c r="P4604" s="29" t="n">
        <v>0</v>
      </c>
      <c r="Q4604" s="29" t="n">
        <v>0</v>
      </c>
      <c r="R4604" s="29" t="n">
        <v>0</v>
      </c>
      <c r="S4604" s="29" t="n">
        <v>0</v>
      </c>
      <c r="T4604" t="inlineStr">
        <is>
          <t>25240826975620000130570010000024171000000003</t>
        </is>
      </c>
      <c r="U4604" t="inlineStr">
        <is>
          <t>Não</t>
        </is>
      </c>
    </row>
    <row r="4605">
      <c r="A4605" t="inlineStr">
        <is>
          <t>Frete de venda</t>
        </is>
      </c>
      <c r="B4605" t="inlineStr">
        <is>
          <t>2.01.84 Remessa de Mercadoria</t>
        </is>
      </c>
      <c r="C4605" t="inlineStr">
        <is>
          <t>Antes de 2026</t>
        </is>
      </c>
      <c r="D4605" t="inlineStr">
        <is>
          <t>Antes de 2026</t>
        </is>
      </c>
      <c r="E4605" s="28" t="n">
        <v>45505</v>
      </c>
      <c r="F4605" t="inlineStr">
        <is>
          <t>CT-e</t>
        </is>
      </c>
      <c r="G4605" t="inlineStr">
        <is>
          <t>000002418</t>
        </is>
      </c>
      <c r="H4605" t="inlineStr">
        <is>
          <t>R&amp;R TRANSPORTE E LOGISTICA</t>
        </is>
      </c>
      <c r="J4605" s="29" t="n">
        <v>40</v>
      </c>
      <c r="K4605" s="29">
        <f>(1-ISNUMBER(SEARCH("556",M4605)))*(O4605*SUMIFS(Premissas!$C$5:$C$44,Premissas!$A$5:$A$44,$A4605,Premissas!$B$5:$B$44,$B4605)+P4605*SUMIFS(Premissas!$D$5:$D$44,Premissas!$A$5:$A$44,$A4605,Premissas!$B$5:$B$44,$B4605))+R4605*SUMIFS(Premissas!$E$5:$E$44,Premissas!$A$5:$A$44,$A4605,Premissas!$B$5:$B$44,$B4605)+S4605*SUMIFS(Premissas!$F$5:$F$44,Premissas!$A$5:$A$44,$A4605,Premissas!$B$5:$B$44,$B4605)</f>
        <v/>
      </c>
      <c r="L4605" s="29">
        <f>J4605-K4605</f>
        <v/>
      </c>
      <c r="M4605" t="inlineStr">
        <is>
          <t>1.556</t>
        </is>
      </c>
      <c r="N4605" t="inlineStr">
        <is>
          <t>Modalidade: 0 - Por conta do remetente | Parte: D G DA SILVA EMBALAGENS EM GERAL LTDA (03.793.507/0001-38)</t>
        </is>
      </c>
      <c r="O4605" s="29" t="n">
        <v>0</v>
      </c>
      <c r="P4605" s="29" t="n">
        <v>0</v>
      </c>
      <c r="Q4605" s="29" t="n">
        <v>0</v>
      </c>
      <c r="R4605" s="29" t="n">
        <v>0</v>
      </c>
      <c r="S4605" s="29" t="n">
        <v>0</v>
      </c>
      <c r="T4605" t="inlineStr">
        <is>
          <t>25240826975620000130570010000024181000000000</t>
        </is>
      </c>
      <c r="U4605" t="inlineStr">
        <is>
          <t>Não</t>
        </is>
      </c>
    </row>
    <row r="4606">
      <c r="A4606" t="inlineStr">
        <is>
          <t>Frete de venda</t>
        </is>
      </c>
      <c r="B4606" t="inlineStr">
        <is>
          <t>2.01.84 Remessa de Mercadoria</t>
        </is>
      </c>
      <c r="C4606" t="inlineStr">
        <is>
          <t>Antes de 2026</t>
        </is>
      </c>
      <c r="D4606" t="inlineStr">
        <is>
          <t>Antes de 2026</t>
        </is>
      </c>
      <c r="E4606" s="28" t="n">
        <v>45505</v>
      </c>
      <c r="F4606" t="inlineStr">
        <is>
          <t>CT-e</t>
        </is>
      </c>
      <c r="G4606" t="inlineStr">
        <is>
          <t>000002419</t>
        </is>
      </c>
      <c r="H4606" t="inlineStr">
        <is>
          <t>R&amp;R TRANSPORTE E LOGISTICA</t>
        </is>
      </c>
      <c r="J4606" s="29" t="n">
        <v>80</v>
      </c>
      <c r="K4606" s="29">
        <f>(1-ISNUMBER(SEARCH("556",M4606)))*(O4606*SUMIFS(Premissas!$C$5:$C$44,Premissas!$A$5:$A$44,$A4606,Premissas!$B$5:$B$44,$B4606)+P4606*SUMIFS(Premissas!$D$5:$D$44,Premissas!$A$5:$A$44,$A4606,Premissas!$B$5:$B$44,$B4606))+R4606*SUMIFS(Premissas!$E$5:$E$44,Premissas!$A$5:$A$44,$A4606,Premissas!$B$5:$B$44,$B4606)+S4606*SUMIFS(Premissas!$F$5:$F$44,Premissas!$A$5:$A$44,$A4606,Premissas!$B$5:$B$44,$B4606)</f>
        <v/>
      </c>
      <c r="L4606" s="29">
        <f>J4606-K4606</f>
        <v/>
      </c>
      <c r="M4606" t="inlineStr">
        <is>
          <t>1.556</t>
        </is>
      </c>
      <c r="N4606" t="inlineStr">
        <is>
          <t>Modalidade: 0 - Por conta do remetente | Parte: JAMES L. H. TOME e CIA LTDA (16.965.024/0002-04)</t>
        </is>
      </c>
      <c r="O4606" s="29" t="n">
        <v>0</v>
      </c>
      <c r="P4606" s="29" t="n">
        <v>0</v>
      </c>
      <c r="Q4606" s="29" t="n">
        <v>0</v>
      </c>
      <c r="R4606" s="29" t="n">
        <v>0</v>
      </c>
      <c r="S4606" s="29" t="n">
        <v>0</v>
      </c>
      <c r="T4606" t="inlineStr">
        <is>
          <t>25240826975620000130570010000024191000000008</t>
        </is>
      </c>
      <c r="U4606" t="inlineStr">
        <is>
          <t>Não</t>
        </is>
      </c>
    </row>
    <row r="4607">
      <c r="A4607" t="inlineStr">
        <is>
          <t>Frete de venda</t>
        </is>
      </c>
      <c r="B4607" t="inlineStr">
        <is>
          <t>2.01.84 Remessa de Mercadoria</t>
        </is>
      </c>
      <c r="C4607" t="inlineStr">
        <is>
          <t>Antes de 2026</t>
        </is>
      </c>
      <c r="D4607" t="inlineStr">
        <is>
          <t>Antes de 2026</t>
        </is>
      </c>
      <c r="E4607" s="28" t="n">
        <v>45505</v>
      </c>
      <c r="F4607" t="inlineStr">
        <is>
          <t>CT-e</t>
        </is>
      </c>
      <c r="G4607" t="inlineStr">
        <is>
          <t>000002420</t>
        </is>
      </c>
      <c r="H4607" t="inlineStr">
        <is>
          <t>R&amp;R TRANSPORTE E LOGISTICA</t>
        </is>
      </c>
      <c r="J4607" s="29" t="n">
        <v>40</v>
      </c>
      <c r="K4607" s="29">
        <f>(1-ISNUMBER(SEARCH("556",M4607)))*(O4607*SUMIFS(Premissas!$C$5:$C$44,Premissas!$A$5:$A$44,$A4607,Premissas!$B$5:$B$44,$B4607)+P4607*SUMIFS(Premissas!$D$5:$D$44,Premissas!$A$5:$A$44,$A4607,Premissas!$B$5:$B$44,$B4607))+R4607*SUMIFS(Premissas!$E$5:$E$44,Premissas!$A$5:$A$44,$A4607,Premissas!$B$5:$B$44,$B4607)+S4607*SUMIFS(Premissas!$F$5:$F$44,Premissas!$A$5:$A$44,$A4607,Premissas!$B$5:$B$44,$B4607)</f>
        <v/>
      </c>
      <c r="L4607" s="29">
        <f>J4607-K4607</f>
        <v/>
      </c>
      <c r="M4607" t="inlineStr">
        <is>
          <t>1.556</t>
        </is>
      </c>
      <c r="N4607" t="inlineStr">
        <is>
          <t>Modalidade: 0 - Por conta do remetente | Parte: IBIAPINA VARIEDADES LTDA (46.211.356/0001-75)</t>
        </is>
      </c>
      <c r="O4607" s="29" t="n">
        <v>0</v>
      </c>
      <c r="P4607" s="29" t="n">
        <v>0</v>
      </c>
      <c r="Q4607" s="29" t="n">
        <v>0</v>
      </c>
      <c r="R4607" s="29" t="n">
        <v>0</v>
      </c>
      <c r="S4607" s="29" t="n">
        <v>0</v>
      </c>
      <c r="T4607" t="inlineStr">
        <is>
          <t>25240826975620000130570010000024201000000009</t>
        </is>
      </c>
      <c r="U4607" t="inlineStr">
        <is>
          <t>Não</t>
        </is>
      </c>
    </row>
    <row r="4608">
      <c r="A4608" t="inlineStr">
        <is>
          <t>Frete de venda</t>
        </is>
      </c>
      <c r="B4608" t="inlineStr">
        <is>
          <t>2.01.84 Remessa de Mercadoria</t>
        </is>
      </c>
      <c r="C4608" t="inlineStr">
        <is>
          <t>Antes de 2026</t>
        </is>
      </c>
      <c r="D4608" t="inlineStr">
        <is>
          <t>Antes de 2026</t>
        </is>
      </c>
      <c r="E4608" s="28" t="n">
        <v>45505</v>
      </c>
      <c r="F4608" t="inlineStr">
        <is>
          <t>CT-e</t>
        </is>
      </c>
      <c r="G4608" t="inlineStr">
        <is>
          <t>000002421</t>
        </is>
      </c>
      <c r="H4608" t="inlineStr">
        <is>
          <t>R&amp;R TRANSPORTE E LOGISTICA</t>
        </is>
      </c>
      <c r="J4608" s="29" t="n">
        <v>384</v>
      </c>
      <c r="K4608" s="29">
        <f>(1-ISNUMBER(SEARCH("556",M4608)))*(O4608*SUMIFS(Premissas!$C$5:$C$44,Premissas!$A$5:$A$44,$A4608,Premissas!$B$5:$B$44,$B4608)+P4608*SUMIFS(Premissas!$D$5:$D$44,Premissas!$A$5:$A$44,$A4608,Premissas!$B$5:$B$44,$B4608))+R4608*SUMIFS(Premissas!$E$5:$E$44,Premissas!$A$5:$A$44,$A4608,Premissas!$B$5:$B$44,$B4608)+S4608*SUMIFS(Premissas!$F$5:$F$44,Premissas!$A$5:$A$44,$A4608,Premissas!$B$5:$B$44,$B4608)</f>
        <v/>
      </c>
      <c r="L4608" s="29">
        <f>J4608-K4608</f>
        <v/>
      </c>
      <c r="M4608" t="inlineStr">
        <is>
          <t>1.556</t>
        </is>
      </c>
      <c r="N4608" t="inlineStr">
        <is>
          <t>Modalidade: 0 - Por conta do remetente | Parte: BAR DO CUSCUZ RESTAURANTE RECIFE LTDA (34.925.681/0001-10)</t>
        </is>
      </c>
      <c r="O4608" s="29" t="n">
        <v>0</v>
      </c>
      <c r="P4608" s="29" t="n">
        <v>0</v>
      </c>
      <c r="Q4608" s="29" t="n">
        <v>0</v>
      </c>
      <c r="R4608" s="29" t="n">
        <v>0</v>
      </c>
      <c r="S4608" s="29" t="n">
        <v>0</v>
      </c>
      <c r="T4608" t="inlineStr">
        <is>
          <t>25240826975620000130570010000024211000000006</t>
        </is>
      </c>
      <c r="U4608" t="inlineStr">
        <is>
          <t>Não</t>
        </is>
      </c>
    </row>
    <row r="4609">
      <c r="A4609" t="inlineStr">
        <is>
          <t>Frete de venda</t>
        </is>
      </c>
      <c r="B4609" t="inlineStr">
        <is>
          <t>2.01.84 Remessa de Mercadoria</t>
        </is>
      </c>
      <c r="C4609" t="inlineStr">
        <is>
          <t>Antes de 2026</t>
        </is>
      </c>
      <c r="D4609" t="inlineStr">
        <is>
          <t>Antes de 2026</t>
        </is>
      </c>
      <c r="E4609" s="28" t="n">
        <v>45505</v>
      </c>
      <c r="F4609" t="inlineStr">
        <is>
          <t>CT-e</t>
        </is>
      </c>
      <c r="G4609" t="inlineStr">
        <is>
          <t>000002422</t>
        </is>
      </c>
      <c r="H4609" t="inlineStr">
        <is>
          <t>R&amp;R TRANSPORTE E LOGISTICA</t>
        </is>
      </c>
      <c r="J4609" s="29" t="n">
        <v>383</v>
      </c>
      <c r="K4609" s="29">
        <f>(1-ISNUMBER(SEARCH("556",M4609)))*(O4609*SUMIFS(Premissas!$C$5:$C$44,Premissas!$A$5:$A$44,$A4609,Premissas!$B$5:$B$44,$B4609)+P4609*SUMIFS(Premissas!$D$5:$D$44,Premissas!$A$5:$A$44,$A4609,Premissas!$B$5:$B$44,$B4609))+R4609*SUMIFS(Premissas!$E$5:$E$44,Premissas!$A$5:$A$44,$A4609,Premissas!$B$5:$B$44,$B4609)+S4609*SUMIFS(Premissas!$F$5:$F$44,Premissas!$A$5:$A$44,$A4609,Premissas!$B$5:$B$44,$B4609)</f>
        <v/>
      </c>
      <c r="L4609" s="29">
        <f>J4609-K4609</f>
        <v/>
      </c>
      <c r="M4609" t="inlineStr">
        <is>
          <t>1.556</t>
        </is>
      </c>
      <c r="N4609" t="inlineStr">
        <is>
          <t>Modalidade: 0 - Por conta do remetente | Parte: MUNDO DOS DESCARTAVEIS LTDA (40.211.407/0001-82)</t>
        </is>
      </c>
      <c r="O4609" s="29" t="n">
        <v>0</v>
      </c>
      <c r="P4609" s="29" t="n">
        <v>0</v>
      </c>
      <c r="Q4609" s="29" t="n">
        <v>0</v>
      </c>
      <c r="R4609" s="29" t="n">
        <v>0</v>
      </c>
      <c r="S4609" s="29" t="n">
        <v>0</v>
      </c>
      <c r="T4609" t="inlineStr">
        <is>
          <t>25240826975620000130570010000024221000000003</t>
        </is>
      </c>
      <c r="U4609" t="inlineStr">
        <is>
          <t>Não</t>
        </is>
      </c>
    </row>
    <row r="4610">
      <c r="A4610" t="inlineStr">
        <is>
          <t>Frete de venda</t>
        </is>
      </c>
      <c r="B4610" t="inlineStr">
        <is>
          <t>2.01.84 Remessa de Mercadoria</t>
        </is>
      </c>
      <c r="C4610" t="inlineStr">
        <is>
          <t>Antes de 2026</t>
        </is>
      </c>
      <c r="D4610" t="inlineStr">
        <is>
          <t>Antes de 2026</t>
        </is>
      </c>
      <c r="E4610" s="28" t="n">
        <v>45505</v>
      </c>
      <c r="F4610" t="inlineStr">
        <is>
          <t>CT-e</t>
        </is>
      </c>
      <c r="G4610" t="inlineStr">
        <is>
          <t>000002423</t>
        </is>
      </c>
      <c r="H4610" t="inlineStr">
        <is>
          <t>R&amp;R TRANSPORTE E LOGISTICA</t>
        </is>
      </c>
      <c r="J4610" s="29" t="n">
        <v>383</v>
      </c>
      <c r="K4610" s="29">
        <f>(1-ISNUMBER(SEARCH("556",M4610)))*(O4610*SUMIFS(Premissas!$C$5:$C$44,Premissas!$A$5:$A$44,$A4610,Premissas!$B$5:$B$44,$B4610)+P4610*SUMIFS(Premissas!$D$5:$D$44,Premissas!$A$5:$A$44,$A4610,Premissas!$B$5:$B$44,$B4610))+R4610*SUMIFS(Premissas!$E$5:$E$44,Premissas!$A$5:$A$44,$A4610,Premissas!$B$5:$B$44,$B4610)+S4610*SUMIFS(Premissas!$F$5:$F$44,Premissas!$A$5:$A$44,$A4610,Premissas!$B$5:$B$44,$B4610)</f>
        <v/>
      </c>
      <c r="L4610" s="29">
        <f>J4610-K4610</f>
        <v/>
      </c>
      <c r="M4610" t="inlineStr">
        <is>
          <t>1.556</t>
        </is>
      </c>
      <c r="N4610" t="inlineStr">
        <is>
          <t>Modalidade: 0 - Por conta do remetente | Parte: GALPLAST EMBALAGENS LTDA (24.273.591/0001-39)</t>
        </is>
      </c>
      <c r="O4610" s="29" t="n">
        <v>0</v>
      </c>
      <c r="P4610" s="29" t="n">
        <v>0</v>
      </c>
      <c r="Q4610" s="29" t="n">
        <v>0</v>
      </c>
      <c r="R4610" s="29" t="n">
        <v>0</v>
      </c>
      <c r="S4610" s="29" t="n">
        <v>0</v>
      </c>
      <c r="T4610" t="inlineStr">
        <is>
          <t>25240826975620000130570010000024231000000000</t>
        </is>
      </c>
      <c r="U4610" t="inlineStr">
        <is>
          <t>Não</t>
        </is>
      </c>
    </row>
    <row r="4611">
      <c r="A4611" t="inlineStr">
        <is>
          <t>Frete de venda</t>
        </is>
      </c>
      <c r="B4611" t="inlineStr">
        <is>
          <t>2.01.84 Remessa de Mercadoria</t>
        </is>
      </c>
      <c r="C4611" t="inlineStr">
        <is>
          <t>Antes de 2026</t>
        </is>
      </c>
      <c r="D4611" t="inlineStr">
        <is>
          <t>Antes de 2026</t>
        </is>
      </c>
      <c r="E4611" s="28" t="n">
        <v>45674</v>
      </c>
      <c r="F4611" t="inlineStr">
        <is>
          <t>CT-e</t>
        </is>
      </c>
      <c r="G4611" t="inlineStr">
        <is>
          <t>000001283</t>
        </is>
      </c>
      <c r="H4611" t="inlineStr">
        <is>
          <t>REBECA EMÍLIA DA SILVA</t>
        </is>
      </c>
      <c r="J4611" s="29" t="n">
        <v>4200</v>
      </c>
      <c r="K4611" s="29">
        <f>(1-ISNUMBER(SEARCH("556",M4611)))*(O4611*SUMIFS(Premissas!$C$5:$C$44,Premissas!$A$5:$A$44,$A4611,Premissas!$B$5:$B$44,$B4611)+P4611*SUMIFS(Premissas!$D$5:$D$44,Premissas!$A$5:$A$44,$A4611,Premissas!$B$5:$B$44,$B4611))+R4611*SUMIFS(Premissas!$E$5:$E$44,Premissas!$A$5:$A$44,$A4611,Premissas!$B$5:$B$44,$B4611)+S4611*SUMIFS(Premissas!$F$5:$F$44,Premissas!$A$5:$A$44,$A4611,Premissas!$B$5:$B$44,$B4611)</f>
        <v/>
      </c>
      <c r="L4611" s="29">
        <f>J4611-K4611</f>
        <v/>
      </c>
      <c r="M4611" t="inlineStr">
        <is>
          <t>1.556</t>
        </is>
      </c>
      <c r="N4611" t="inlineStr">
        <is>
          <t>Transportadora fora da lista de frete de venda, mas pela modalidade a Vinco enviou a carga | Modalidade: 0 - Por conta do remetente | Parte: M N L FLORENTINO LTDA (47.068.852/0001-84)</t>
        </is>
      </c>
      <c r="O4611" s="29" t="n">
        <v>0</v>
      </c>
      <c r="P4611" s="29" t="n">
        <v>0</v>
      </c>
      <c r="Q4611" s="29" t="n">
        <v>0</v>
      </c>
      <c r="R4611" s="29" t="n">
        <v>0</v>
      </c>
      <c r="S4611" s="29" t="n">
        <v>0</v>
      </c>
      <c r="T4611" t="inlineStr">
        <is>
          <t>25250145337412000150570010000012831000000000</t>
        </is>
      </c>
      <c r="U4611" t="inlineStr">
        <is>
          <t>Não</t>
        </is>
      </c>
    </row>
    <row r="4612">
      <c r="A4612" t="inlineStr">
        <is>
          <t>Frete de venda</t>
        </is>
      </c>
      <c r="B4612" t="inlineStr">
        <is>
          <t>2.01.84 Remessa de Mercadoria</t>
        </is>
      </c>
      <c r="C4612" t="inlineStr">
        <is>
          <t>Antes de 2026</t>
        </is>
      </c>
      <c r="D4612" t="inlineStr">
        <is>
          <t>Antes de 2026</t>
        </is>
      </c>
      <c r="E4612" s="28" t="n">
        <v>45602</v>
      </c>
      <c r="F4612" t="inlineStr">
        <is>
          <t>CT-e</t>
        </is>
      </c>
      <c r="G4612" t="inlineStr">
        <is>
          <t>000011904</t>
        </is>
      </c>
      <c r="H4612" t="inlineStr">
        <is>
          <t>TRANSFARRAPOS TRANSPS RODOVS DE CARGAS LTDA</t>
        </is>
      </c>
      <c r="J4612" s="29" t="n">
        <v>864.98</v>
      </c>
      <c r="K4612" s="29">
        <f>(1-ISNUMBER(SEARCH("556",M4612)))*(O4612*SUMIFS(Premissas!$C$5:$C$44,Premissas!$A$5:$A$44,$A4612,Premissas!$B$5:$B$44,$B4612)+P4612*SUMIFS(Premissas!$D$5:$D$44,Premissas!$A$5:$A$44,$A4612,Premissas!$B$5:$B$44,$B4612))+R4612*SUMIFS(Premissas!$E$5:$E$44,Premissas!$A$5:$A$44,$A4612,Premissas!$B$5:$B$44,$B4612)+S4612*SUMIFS(Premissas!$F$5:$F$44,Premissas!$A$5:$A$44,$A4612,Premissas!$B$5:$B$44,$B4612)</f>
        <v/>
      </c>
      <c r="L4612" s="29">
        <f>J4612-K4612</f>
        <v/>
      </c>
      <c r="M4612" t="inlineStr">
        <is>
          <t>1.556</t>
        </is>
      </c>
      <c r="N4612" t="inlineStr">
        <is>
          <t>Transportadora fora da lista de frete de venda, mas pela modalidade a Vinco enviou a carga | Modalidade: 0 - Por conta do remetente | Parte: L CARVALHO COMERCIO LTDA (54.326.296/0001-64)</t>
        </is>
      </c>
      <c r="O4612" s="29" t="n">
        <v>0</v>
      </c>
      <c r="P4612" s="29" t="n">
        <v>103.8</v>
      </c>
      <c r="Q4612" s="29" t="n">
        <v>0</v>
      </c>
      <c r="R4612" s="29" t="n">
        <v>0</v>
      </c>
      <c r="S4612" s="29" t="n">
        <v>0</v>
      </c>
      <c r="T4612" t="inlineStr">
        <is>
          <t>25241141629288000900570010000119041000106061</t>
        </is>
      </c>
      <c r="U4612" t="inlineStr">
        <is>
          <t>Não</t>
        </is>
      </c>
    </row>
    <row r="4613">
      <c r="A4613" t="inlineStr">
        <is>
          <t>Frete de venda</t>
        </is>
      </c>
      <c r="B4613" t="inlineStr">
        <is>
          <t>2.01.84 Remessa de Mercadoria</t>
        </is>
      </c>
      <c r="C4613" t="inlineStr">
        <is>
          <t>Antes de 2026</t>
        </is>
      </c>
      <c r="D4613" t="inlineStr">
        <is>
          <t>Antes de 2026</t>
        </is>
      </c>
      <c r="E4613" s="28" t="n">
        <v>45602</v>
      </c>
      <c r="F4613" t="inlineStr">
        <is>
          <t>CT-e</t>
        </is>
      </c>
      <c r="G4613" t="inlineStr">
        <is>
          <t>000011905</t>
        </is>
      </c>
      <c r="H4613" t="inlineStr">
        <is>
          <t>TRANSFARRAPOS TRANSPS RODOVS DE CARGAS LTDA</t>
        </is>
      </c>
      <c r="J4613" s="29" t="n">
        <v>959.72</v>
      </c>
      <c r="K4613" s="29">
        <f>(1-ISNUMBER(SEARCH("556",M4613)))*(O4613*SUMIFS(Premissas!$C$5:$C$44,Premissas!$A$5:$A$44,$A4613,Premissas!$B$5:$B$44,$B4613)+P4613*SUMIFS(Premissas!$D$5:$D$44,Premissas!$A$5:$A$44,$A4613,Premissas!$B$5:$B$44,$B4613))+R4613*SUMIFS(Premissas!$E$5:$E$44,Premissas!$A$5:$A$44,$A4613,Premissas!$B$5:$B$44,$B4613)+S4613*SUMIFS(Premissas!$F$5:$F$44,Premissas!$A$5:$A$44,$A4613,Premissas!$B$5:$B$44,$B4613)</f>
        <v/>
      </c>
      <c r="L4613" s="29">
        <f>J4613-K4613</f>
        <v/>
      </c>
      <c r="M4613" t="inlineStr">
        <is>
          <t>1.556</t>
        </is>
      </c>
      <c r="N4613" t="inlineStr">
        <is>
          <t>Transportadora fora da lista de frete de venda, mas pela modalidade a Vinco enviou a carga | Modalidade: 0 - Por conta do remetente | Parte: C DA S C BULCAO COMERCIO DE BIJUTERIAS E VARIEDADES (28.720.855/0001-06)</t>
        </is>
      </c>
      <c r="O4613" s="29" t="n">
        <v>0</v>
      </c>
      <c r="P4613" s="29" t="n">
        <v>115.17</v>
      </c>
      <c r="Q4613" s="29" t="n">
        <v>0</v>
      </c>
      <c r="R4613" s="29" t="n">
        <v>0</v>
      </c>
      <c r="S4613" s="29" t="n">
        <v>0</v>
      </c>
      <c r="T4613" t="inlineStr">
        <is>
          <t>25241141629288000900570010000119051000106158</t>
        </is>
      </c>
      <c r="U4613" t="inlineStr">
        <is>
          <t>Não</t>
        </is>
      </c>
    </row>
    <row r="4614">
      <c r="A4614" t="inlineStr">
        <is>
          <t>Frete de venda</t>
        </is>
      </c>
      <c r="B4614" t="inlineStr">
        <is>
          <t>2.01.84 Remessa de Mercadoria</t>
        </is>
      </c>
      <c r="C4614" t="inlineStr">
        <is>
          <t>Antes de 2026</t>
        </is>
      </c>
      <c r="D4614" t="inlineStr">
        <is>
          <t>Antes de 2026</t>
        </is>
      </c>
      <c r="E4614" s="28" t="n">
        <v>45617</v>
      </c>
      <c r="F4614" t="inlineStr">
        <is>
          <t>CT-e</t>
        </is>
      </c>
      <c r="G4614" t="inlineStr">
        <is>
          <t>000012221</t>
        </is>
      </c>
      <c r="H4614" t="inlineStr">
        <is>
          <t>TRANSFARRAPOS TRANSPS RODOVS DE CARGAS LTDA</t>
        </is>
      </c>
      <c r="J4614" s="29" t="n">
        <v>1790</v>
      </c>
      <c r="K4614" s="29">
        <f>(1-ISNUMBER(SEARCH("556",M4614)))*(O4614*SUMIFS(Premissas!$C$5:$C$44,Premissas!$A$5:$A$44,$A4614,Premissas!$B$5:$B$44,$B4614)+P4614*SUMIFS(Premissas!$D$5:$D$44,Premissas!$A$5:$A$44,$A4614,Premissas!$B$5:$B$44,$B4614))+R4614*SUMIFS(Premissas!$E$5:$E$44,Premissas!$A$5:$A$44,$A4614,Premissas!$B$5:$B$44,$B4614)+S4614*SUMIFS(Premissas!$F$5:$F$44,Premissas!$A$5:$A$44,$A4614,Premissas!$B$5:$B$44,$B4614)</f>
        <v/>
      </c>
      <c r="L4614" s="29">
        <f>J4614-K4614</f>
        <v/>
      </c>
      <c r="M4614" t="inlineStr">
        <is>
          <t>1.556</t>
        </is>
      </c>
      <c r="N4614" t="inlineStr">
        <is>
          <t>Transportadora fora da lista de frete de venda, mas pela modalidade a Vinco enviou a carga | Modalidade: 0 - Por conta do remetente | Parte: WRT COMERCIO DE EMBALAGENS LTDA (05.655.495/0001-00)</t>
        </is>
      </c>
      <c r="O4614" s="29" t="n">
        <v>0</v>
      </c>
      <c r="P4614" s="29" t="n">
        <v>214.8</v>
      </c>
      <c r="Q4614" s="29" t="n">
        <v>0</v>
      </c>
      <c r="R4614" s="29" t="n">
        <v>0</v>
      </c>
      <c r="S4614" s="29" t="n">
        <v>0</v>
      </c>
      <c r="T4614" t="inlineStr">
        <is>
          <t>25241141629288000900570010000122211000404884</t>
        </is>
      </c>
      <c r="U4614" t="inlineStr">
        <is>
          <t>Não</t>
        </is>
      </c>
    </row>
    <row r="4615">
      <c r="A4615" t="inlineStr">
        <is>
          <t>Frete de venda</t>
        </is>
      </c>
      <c r="B4615" t="inlineStr">
        <is>
          <t>2.01.84 Remessa de Mercadoria</t>
        </is>
      </c>
      <c r="C4615" t="inlineStr">
        <is>
          <t>Antes de 2026</t>
        </is>
      </c>
      <c r="D4615" t="inlineStr">
        <is>
          <t>Antes de 2026</t>
        </is>
      </c>
      <c r="E4615" s="28" t="n">
        <v>45513</v>
      </c>
      <c r="F4615" t="inlineStr">
        <is>
          <t>CT-e</t>
        </is>
      </c>
      <c r="G4615" t="inlineStr">
        <is>
          <t>000019094</t>
        </is>
      </c>
      <c r="H4615" t="inlineStr">
        <is>
          <t>TRANSPORTE OLIVEIRA E MELLOI - IDEALIZA TRANSPORTES</t>
        </is>
      </c>
      <c r="J4615" s="29" t="n">
        <v>528.05</v>
      </c>
      <c r="K4615" s="29">
        <f>(1-ISNUMBER(SEARCH("556",M4615)))*(O4615*SUMIFS(Premissas!$C$5:$C$44,Premissas!$A$5:$A$44,$A4615,Premissas!$B$5:$B$44,$B4615)+P4615*SUMIFS(Premissas!$D$5:$D$44,Premissas!$A$5:$A$44,$A4615,Premissas!$B$5:$B$44,$B4615))+R4615*SUMIFS(Premissas!$E$5:$E$44,Premissas!$A$5:$A$44,$A4615,Premissas!$B$5:$B$44,$B4615)+S4615*SUMIFS(Premissas!$F$5:$F$44,Premissas!$A$5:$A$44,$A4615,Premissas!$B$5:$B$44,$B4615)</f>
        <v/>
      </c>
      <c r="L4615" s="29">
        <f>J4615-K4615</f>
        <v/>
      </c>
      <c r="M4615" t="inlineStr">
        <is>
          <t>1.556</t>
        </is>
      </c>
      <c r="N4615" t="inlineStr">
        <is>
          <t>Modalidade: 0 - Por conta do remetente | Parte: IBIAPINA VARIEDADES LTDA (46.211.356/0001-75)</t>
        </is>
      </c>
      <c r="O4615" s="29" t="n">
        <v>0</v>
      </c>
      <c r="P4615" s="29" t="n">
        <v>0</v>
      </c>
      <c r="Q4615" s="29" t="n">
        <v>0</v>
      </c>
      <c r="R4615" s="29" t="n">
        <v>0</v>
      </c>
      <c r="S4615" s="29" t="n">
        <v>0</v>
      </c>
      <c r="T4615" t="inlineStr">
        <is>
          <t>15240820175042000170570010000190941000495980</t>
        </is>
      </c>
      <c r="U4615" t="inlineStr">
        <is>
          <t>Não</t>
        </is>
      </c>
    </row>
    <row r="4616">
      <c r="A4616" t="inlineStr">
        <is>
          <t>Frete de venda</t>
        </is>
      </c>
      <c r="B4616" t="inlineStr">
        <is>
          <t>2.01.84 Remessa de Mercadoria</t>
        </is>
      </c>
      <c r="C4616" t="inlineStr">
        <is>
          <t>Antes de 2026</t>
        </is>
      </c>
      <c r="D4616" t="inlineStr">
        <is>
          <t>Antes de 2026</t>
        </is>
      </c>
      <c r="E4616" s="28" t="n">
        <v>45524</v>
      </c>
      <c r="F4616" t="inlineStr">
        <is>
          <t>CT-e</t>
        </is>
      </c>
      <c r="G4616" t="inlineStr">
        <is>
          <t>000019204</t>
        </is>
      </c>
      <c r="H4616" t="inlineStr">
        <is>
          <t>TRANSPORTE OLIVEIRA E MELLOI - IDEALIZA TRANSPORTES</t>
        </is>
      </c>
      <c r="J4616" s="29" t="n">
        <v>626.38</v>
      </c>
      <c r="K4616" s="29">
        <f>(1-ISNUMBER(SEARCH("556",M4616)))*(O4616*SUMIFS(Premissas!$C$5:$C$44,Premissas!$A$5:$A$44,$A4616,Premissas!$B$5:$B$44,$B4616)+P4616*SUMIFS(Premissas!$D$5:$D$44,Premissas!$A$5:$A$44,$A4616,Premissas!$B$5:$B$44,$B4616))+R4616*SUMIFS(Premissas!$E$5:$E$44,Premissas!$A$5:$A$44,$A4616,Premissas!$B$5:$B$44,$B4616)+S4616*SUMIFS(Premissas!$F$5:$F$44,Premissas!$A$5:$A$44,$A4616,Premissas!$B$5:$B$44,$B4616)</f>
        <v/>
      </c>
      <c r="L4616" s="29">
        <f>J4616-K4616</f>
        <v/>
      </c>
      <c r="M4616" t="inlineStr">
        <is>
          <t>1.556</t>
        </is>
      </c>
      <c r="N4616" t="inlineStr">
        <is>
          <t>Modalidade: 0 - Por conta do remetente | Parte: LIDER INDUSTRIA E COMERCIO LTDA (45.762.979/0001-73)</t>
        </is>
      </c>
      <c r="O4616" s="29" t="n">
        <v>0</v>
      </c>
      <c r="P4616" s="29" t="n">
        <v>0</v>
      </c>
      <c r="Q4616" s="29" t="n">
        <v>0</v>
      </c>
      <c r="R4616" s="29" t="n">
        <v>0</v>
      </c>
      <c r="S4616" s="29" t="n">
        <v>0</v>
      </c>
      <c r="T4616" t="inlineStr">
        <is>
          <t>15240820175042000170570010000192041000503421</t>
        </is>
      </c>
      <c r="U4616" t="inlineStr">
        <is>
          <t>Não</t>
        </is>
      </c>
    </row>
    <row r="4617">
      <c r="A4617" t="inlineStr">
        <is>
          <t>Frete de venda</t>
        </is>
      </c>
      <c r="B4617" t="inlineStr">
        <is>
          <t>2.01.84 Remessa de Mercadoria</t>
        </is>
      </c>
      <c r="C4617" t="inlineStr">
        <is>
          <t>Antes de 2026</t>
        </is>
      </c>
      <c r="D4617" t="inlineStr">
        <is>
          <t>Antes de 2026</t>
        </is>
      </c>
      <c r="E4617" s="28" t="n">
        <v>45524</v>
      </c>
      <c r="F4617" t="inlineStr">
        <is>
          <t>CT-e</t>
        </is>
      </c>
      <c r="G4617" t="inlineStr">
        <is>
          <t>000019205</t>
        </is>
      </c>
      <c r="H4617" t="inlineStr">
        <is>
          <t>TRANSPORTE OLIVEIRA E MELLOI - IDEALIZA TRANSPORTES</t>
        </is>
      </c>
      <c r="J4617" s="29" t="n">
        <v>959.48</v>
      </c>
      <c r="K4617" s="29">
        <f>(1-ISNUMBER(SEARCH("556",M4617)))*(O4617*SUMIFS(Premissas!$C$5:$C$44,Premissas!$A$5:$A$44,$A4617,Premissas!$B$5:$B$44,$B4617)+P4617*SUMIFS(Premissas!$D$5:$D$44,Premissas!$A$5:$A$44,$A4617,Premissas!$B$5:$B$44,$B4617))+R4617*SUMIFS(Premissas!$E$5:$E$44,Premissas!$A$5:$A$44,$A4617,Premissas!$B$5:$B$44,$B4617)+S4617*SUMIFS(Premissas!$F$5:$F$44,Premissas!$A$5:$A$44,$A4617,Premissas!$B$5:$B$44,$B4617)</f>
        <v/>
      </c>
      <c r="L4617" s="29">
        <f>J4617-K4617</f>
        <v/>
      </c>
      <c r="M4617" t="inlineStr">
        <is>
          <t>1.556</t>
        </is>
      </c>
      <c r="N4617" t="inlineStr">
        <is>
          <t>Modalidade: 0 - Por conta do remetente | Parte: JAMES L. H. TOME e CIA LTDA (16.965.024/0001-15)</t>
        </is>
      </c>
      <c r="O4617" s="29" t="n">
        <v>0</v>
      </c>
      <c r="P4617" s="29" t="n">
        <v>0</v>
      </c>
      <c r="Q4617" s="29" t="n">
        <v>0</v>
      </c>
      <c r="R4617" s="29" t="n">
        <v>0</v>
      </c>
      <c r="S4617" s="29" t="n">
        <v>0</v>
      </c>
      <c r="T4617" t="inlineStr">
        <is>
          <t>15240820175042000170570010000192051000503410</t>
        </is>
      </c>
      <c r="U4617" t="inlineStr">
        <is>
          <t>Não</t>
        </is>
      </c>
    </row>
    <row r="4618">
      <c r="A4618" t="inlineStr">
        <is>
          <t>Frete de venda</t>
        </is>
      </c>
      <c r="B4618" t="inlineStr">
        <is>
          <t>2.01.84 Remessa de Mercadoria</t>
        </is>
      </c>
      <c r="C4618" t="inlineStr">
        <is>
          <t>Antes de 2026</t>
        </is>
      </c>
      <c r="D4618" t="inlineStr">
        <is>
          <t>Antes de 2026</t>
        </is>
      </c>
      <c r="E4618" s="28" t="n">
        <v>45546</v>
      </c>
      <c r="F4618" t="inlineStr">
        <is>
          <t>CT-e</t>
        </is>
      </c>
      <c r="G4618" t="inlineStr">
        <is>
          <t>000019524</t>
        </is>
      </c>
      <c r="H4618" t="inlineStr">
        <is>
          <t>TRANSPORTE OLIVEIRA E MELLOI - IDEALIZA TRANSPORTES</t>
        </is>
      </c>
      <c r="J4618" s="29" t="n">
        <v>212.45</v>
      </c>
      <c r="K4618" s="29">
        <f>(1-ISNUMBER(SEARCH("556",M4618)))*(O4618*SUMIFS(Premissas!$C$5:$C$44,Premissas!$A$5:$A$44,$A4618,Premissas!$B$5:$B$44,$B4618)+P4618*SUMIFS(Premissas!$D$5:$D$44,Premissas!$A$5:$A$44,$A4618,Premissas!$B$5:$B$44,$B4618))+R4618*SUMIFS(Premissas!$E$5:$E$44,Premissas!$A$5:$A$44,$A4618,Premissas!$B$5:$B$44,$B4618)+S4618*SUMIFS(Premissas!$F$5:$F$44,Premissas!$A$5:$A$44,$A4618,Premissas!$B$5:$B$44,$B4618)</f>
        <v/>
      </c>
      <c r="L4618" s="29">
        <f>J4618-K4618</f>
        <v/>
      </c>
      <c r="M4618" t="inlineStr">
        <is>
          <t>1.556</t>
        </is>
      </c>
      <c r="N4618" t="inlineStr">
        <is>
          <t>Modalidade: 0 - Por conta do remetente | Parte: PORTUGAL COMERCIO DE PRODUTOS DESCARTAVEIS LTDA (83.349.563/0003-89)</t>
        </is>
      </c>
      <c r="O4618" s="29" t="n">
        <v>0</v>
      </c>
      <c r="P4618" s="29" t="n">
        <v>0</v>
      </c>
      <c r="Q4618" s="29" t="n">
        <v>0</v>
      </c>
      <c r="R4618" s="29" t="n">
        <v>0</v>
      </c>
      <c r="S4618" s="29" t="n">
        <v>0</v>
      </c>
      <c r="T4618" t="inlineStr">
        <is>
          <t>15240920175042000170570010000195241000518464</t>
        </is>
      </c>
      <c r="U4618" t="inlineStr">
        <is>
          <t>Não</t>
        </is>
      </c>
    </row>
    <row r="4619">
      <c r="A4619" t="inlineStr">
        <is>
          <t>Frete de venda</t>
        </is>
      </c>
      <c r="B4619" t="inlineStr">
        <is>
          <t>2.01.84 Remessa de Mercadoria</t>
        </is>
      </c>
      <c r="C4619" t="inlineStr">
        <is>
          <t>Antes de 2026</t>
        </is>
      </c>
      <c r="D4619" t="inlineStr">
        <is>
          <t>Antes de 2026</t>
        </is>
      </c>
      <c r="E4619" s="28" t="n">
        <v>45546</v>
      </c>
      <c r="F4619" t="inlineStr">
        <is>
          <t>CT-e</t>
        </is>
      </c>
      <c r="G4619" t="inlineStr">
        <is>
          <t>000019525</t>
        </is>
      </c>
      <c r="H4619" t="inlineStr">
        <is>
          <t>TRANSPORTE OLIVEIRA E MELLOI - IDEALIZA TRANSPORTES</t>
        </is>
      </c>
      <c r="J4619" s="29" t="n">
        <v>136.15</v>
      </c>
      <c r="K4619" s="29">
        <f>(1-ISNUMBER(SEARCH("556",M4619)))*(O4619*SUMIFS(Premissas!$C$5:$C$44,Premissas!$A$5:$A$44,$A4619,Premissas!$B$5:$B$44,$B4619)+P4619*SUMIFS(Premissas!$D$5:$D$44,Premissas!$A$5:$A$44,$A4619,Premissas!$B$5:$B$44,$B4619))+R4619*SUMIFS(Premissas!$E$5:$E$44,Premissas!$A$5:$A$44,$A4619,Premissas!$B$5:$B$44,$B4619)+S4619*SUMIFS(Premissas!$F$5:$F$44,Premissas!$A$5:$A$44,$A4619,Premissas!$B$5:$B$44,$B4619)</f>
        <v/>
      </c>
      <c r="L4619" s="29">
        <f>J4619-K4619</f>
        <v/>
      </c>
      <c r="M4619" t="inlineStr">
        <is>
          <t>1.556</t>
        </is>
      </c>
      <c r="N4619" t="inlineStr">
        <is>
          <t>Modalidade: 0 - Por conta do remetente | Parte: JAMES L. H. TOME e CIA LTDA (16.965.024/0006-20)</t>
        </is>
      </c>
      <c r="O4619" s="29" t="n">
        <v>0</v>
      </c>
      <c r="P4619" s="29" t="n">
        <v>0</v>
      </c>
      <c r="Q4619" s="29" t="n">
        <v>0</v>
      </c>
      <c r="R4619" s="29" t="n">
        <v>0</v>
      </c>
      <c r="S4619" s="29" t="n">
        <v>0</v>
      </c>
      <c r="T4619" t="inlineStr">
        <is>
          <t>15240920175042000170570010000195251000518470</t>
        </is>
      </c>
      <c r="U4619" t="inlineStr">
        <is>
          <t>Não</t>
        </is>
      </c>
    </row>
    <row r="4620">
      <c r="A4620" t="inlineStr">
        <is>
          <t>Frete de venda</t>
        </is>
      </c>
      <c r="B4620" t="inlineStr">
        <is>
          <t>2.01.84 Remessa de Mercadoria</t>
        </is>
      </c>
      <c r="C4620" t="inlineStr">
        <is>
          <t>Antes de 2026</t>
        </is>
      </c>
      <c r="D4620" t="inlineStr">
        <is>
          <t>Antes de 2026</t>
        </is>
      </c>
      <c r="E4620" s="28" t="n">
        <v>45546</v>
      </c>
      <c r="F4620" t="inlineStr">
        <is>
          <t>CT-e</t>
        </is>
      </c>
      <c r="G4620" t="inlineStr">
        <is>
          <t>000019526</t>
        </is>
      </c>
      <c r="H4620" t="inlineStr">
        <is>
          <t>TRANSPORTE OLIVEIRA E MELLOI - IDEALIZA TRANSPORTES</t>
        </is>
      </c>
      <c r="J4620" s="29" t="n">
        <v>179.2</v>
      </c>
      <c r="K4620" s="29">
        <f>(1-ISNUMBER(SEARCH("556",M4620)))*(O4620*SUMIFS(Premissas!$C$5:$C$44,Premissas!$A$5:$A$44,$A4620,Premissas!$B$5:$B$44,$B4620)+P4620*SUMIFS(Premissas!$D$5:$D$44,Premissas!$A$5:$A$44,$A4620,Premissas!$B$5:$B$44,$B4620))+R4620*SUMIFS(Premissas!$E$5:$E$44,Premissas!$A$5:$A$44,$A4620,Premissas!$B$5:$B$44,$B4620)+S4620*SUMIFS(Premissas!$F$5:$F$44,Premissas!$A$5:$A$44,$A4620,Premissas!$B$5:$B$44,$B4620)</f>
        <v/>
      </c>
      <c r="L4620" s="29">
        <f>J4620-K4620</f>
        <v/>
      </c>
      <c r="M4620" t="inlineStr">
        <is>
          <t>1.556</t>
        </is>
      </c>
      <c r="N4620" t="inlineStr">
        <is>
          <t>Modalidade: 0 - Por conta do remetente | Parte: NEW PLASTICOS DISTRIBUIDORA LTDA (38.438.642/0001-40)</t>
        </is>
      </c>
      <c r="O4620" s="29" t="n">
        <v>0</v>
      </c>
      <c r="P4620" s="29" t="n">
        <v>0</v>
      </c>
      <c r="Q4620" s="29" t="n">
        <v>0</v>
      </c>
      <c r="R4620" s="29" t="n">
        <v>0</v>
      </c>
      <c r="S4620" s="29" t="n">
        <v>0</v>
      </c>
      <c r="T4620" t="inlineStr">
        <is>
          <t>15240920175042000170570010000195261000518485</t>
        </is>
      </c>
      <c r="U4620" t="inlineStr">
        <is>
          <t>Não</t>
        </is>
      </c>
    </row>
    <row r="4621">
      <c r="A4621" t="inlineStr">
        <is>
          <t>Frete de venda</t>
        </is>
      </c>
      <c r="B4621" t="inlineStr">
        <is>
          <t>2.01.84 Remessa de Mercadoria</t>
        </is>
      </c>
      <c r="C4621" t="inlineStr">
        <is>
          <t>Antes de 2026</t>
        </is>
      </c>
      <c r="D4621" t="inlineStr">
        <is>
          <t>Antes de 2026</t>
        </is>
      </c>
      <c r="E4621" s="28" t="n">
        <v>45546</v>
      </c>
      <c r="F4621" t="inlineStr">
        <is>
          <t>CT-e</t>
        </is>
      </c>
      <c r="G4621" t="inlineStr">
        <is>
          <t>000019527</t>
        </is>
      </c>
      <c r="H4621" t="inlineStr">
        <is>
          <t>TRANSPORTE OLIVEIRA E MELLOI - IDEALIZA TRANSPORTES</t>
        </is>
      </c>
      <c r="J4621" s="29" t="n">
        <v>469.35</v>
      </c>
      <c r="K4621" s="29">
        <f>(1-ISNUMBER(SEARCH("556",M4621)))*(O4621*SUMIFS(Premissas!$C$5:$C$44,Premissas!$A$5:$A$44,$A4621,Premissas!$B$5:$B$44,$B4621)+P4621*SUMIFS(Premissas!$D$5:$D$44,Premissas!$A$5:$A$44,$A4621,Premissas!$B$5:$B$44,$B4621))+R4621*SUMIFS(Premissas!$E$5:$E$44,Premissas!$A$5:$A$44,$A4621,Premissas!$B$5:$B$44,$B4621)+S4621*SUMIFS(Premissas!$F$5:$F$44,Premissas!$A$5:$A$44,$A4621,Premissas!$B$5:$B$44,$B4621)</f>
        <v/>
      </c>
      <c r="L4621" s="29">
        <f>J4621-K4621</f>
        <v/>
      </c>
      <c r="M4621" t="inlineStr">
        <is>
          <t>1.556</t>
        </is>
      </c>
      <c r="N4621" t="inlineStr">
        <is>
          <t>Modalidade: 0 - Por conta do remetente | Parte: ARMARINHO CAMPEAO LTDA (38.065.759/0001-25)</t>
        </is>
      </c>
      <c r="O4621" s="29" t="n">
        <v>0</v>
      </c>
      <c r="P4621" s="29" t="n">
        <v>0</v>
      </c>
      <c r="Q4621" s="29" t="n">
        <v>0</v>
      </c>
      <c r="R4621" s="29" t="n">
        <v>0</v>
      </c>
      <c r="S4621" s="29" t="n">
        <v>0</v>
      </c>
      <c r="T4621" t="inlineStr">
        <is>
          <t>15240920175042000170570010000195271000518504</t>
        </is>
      </c>
      <c r="U4621" t="inlineStr">
        <is>
          <t>Não</t>
        </is>
      </c>
    </row>
    <row r="4622">
      <c r="A4622" t="inlineStr">
        <is>
          <t>Frete de venda</t>
        </is>
      </c>
      <c r="B4622" t="inlineStr">
        <is>
          <t>2.01.98 Frete Descarregamento</t>
        </is>
      </c>
      <c r="C4622" t="inlineStr">
        <is>
          <t>Antes de 2026</t>
        </is>
      </c>
      <c r="D4622" t="inlineStr">
        <is>
          <t>Antes de 2026</t>
        </is>
      </c>
      <c r="E4622" s="28" t="n">
        <v>45554</v>
      </c>
      <c r="F4622" t="inlineStr">
        <is>
          <t>CT-e</t>
        </is>
      </c>
      <c r="G4622" t="inlineStr">
        <is>
          <t>000000049</t>
        </is>
      </c>
      <c r="H4622" t="inlineStr">
        <is>
          <t>ADIL CARLOS DA SILVA</t>
        </is>
      </c>
      <c r="J4622" s="29" t="n">
        <v>150</v>
      </c>
      <c r="K4622" s="29">
        <f>(1-ISNUMBER(SEARCH("556",M4622)))*(O4622*SUMIFS(Premissas!$C$5:$C$44,Premissas!$A$5:$A$44,$A4622,Premissas!$B$5:$B$44,$B4622)+P4622*SUMIFS(Premissas!$D$5:$D$44,Premissas!$A$5:$A$44,$A4622,Premissas!$B$5:$B$44,$B4622))+R4622*SUMIFS(Premissas!$E$5:$E$44,Premissas!$A$5:$A$44,$A4622,Premissas!$B$5:$B$44,$B4622)+S4622*SUMIFS(Premissas!$F$5:$F$44,Premissas!$A$5:$A$44,$A4622,Premissas!$B$5:$B$44,$B4622)</f>
        <v/>
      </c>
      <c r="L4622" s="29">
        <f>J4622-K4622</f>
        <v/>
      </c>
      <c r="M4622" t="inlineStr">
        <is>
          <t>2.350</t>
        </is>
      </c>
      <c r="N4622" t="inlineStr">
        <is>
          <t>Modalidade: 0 - Por conta do remetente | Parte: MARCOS NATANAEL DOS SANTOS ROCHA (14.727.584/0001-06)</t>
        </is>
      </c>
      <c r="O4622" s="29" t="n">
        <v>0</v>
      </c>
      <c r="P4622" s="29" t="n">
        <v>0</v>
      </c>
      <c r="Q4622" s="29" t="n">
        <v>0</v>
      </c>
      <c r="R4622" s="29" t="n">
        <v>0</v>
      </c>
      <c r="S4622" s="29" t="n">
        <v>0</v>
      </c>
      <c r="T4622" t="inlineStr">
        <is>
          <t>25240934595800000114570010000000491000000494</t>
        </is>
      </c>
      <c r="U4622" t="inlineStr">
        <is>
          <t>Não</t>
        </is>
      </c>
    </row>
    <row r="4623">
      <c r="A4623" t="inlineStr">
        <is>
          <t>Frete de venda</t>
        </is>
      </c>
      <c r="B4623" t="inlineStr">
        <is>
          <t>2.01.98 Frete Descarregamento</t>
        </is>
      </c>
      <c r="C4623" t="inlineStr">
        <is>
          <t>Antes de 2026</t>
        </is>
      </c>
      <c r="D4623" t="inlineStr">
        <is>
          <t>Antes de 2026</t>
        </is>
      </c>
      <c r="E4623" s="28" t="n">
        <v>45557</v>
      </c>
      <c r="F4623" t="inlineStr">
        <is>
          <t>CT-e</t>
        </is>
      </c>
      <c r="G4623" t="inlineStr">
        <is>
          <t>000000050</t>
        </is>
      </c>
      <c r="H4623" t="inlineStr">
        <is>
          <t>ADIL CARLOS DA SILVA</t>
        </is>
      </c>
      <c r="J4623" s="29" t="n">
        <v>10</v>
      </c>
      <c r="K4623" s="29">
        <f>(1-ISNUMBER(SEARCH("556",M4623)))*(O4623*SUMIFS(Premissas!$C$5:$C$44,Premissas!$A$5:$A$44,$A4623,Premissas!$B$5:$B$44,$B4623)+P4623*SUMIFS(Premissas!$D$5:$D$44,Premissas!$A$5:$A$44,$A4623,Premissas!$B$5:$B$44,$B4623))+R4623*SUMIFS(Premissas!$E$5:$E$44,Premissas!$A$5:$A$44,$A4623,Premissas!$B$5:$B$44,$B4623)+S4623*SUMIFS(Premissas!$F$5:$F$44,Premissas!$A$5:$A$44,$A4623,Premissas!$B$5:$B$44,$B4623)</f>
        <v/>
      </c>
      <c r="L4623" s="29">
        <f>J4623-K4623</f>
        <v/>
      </c>
      <c r="M4623" t="inlineStr">
        <is>
          <t>2.350</t>
        </is>
      </c>
      <c r="N4623" t="inlineStr">
        <is>
          <t>Modalidade: 0 - Por conta do remetente | Parte: IMPRESART GRAFICA E EDITORA LTDA (05.138.123/0001-07)</t>
        </is>
      </c>
      <c r="O4623" s="29" t="n">
        <v>0</v>
      </c>
      <c r="P4623" s="29" t="n">
        <v>0</v>
      </c>
      <c r="Q4623" s="29" t="n">
        <v>0</v>
      </c>
      <c r="R4623" s="29" t="n">
        <v>0</v>
      </c>
      <c r="S4623" s="29" t="n">
        <v>0</v>
      </c>
      <c r="T4623" t="inlineStr">
        <is>
          <t>25240934595800000114570010000000501000000509</t>
        </is>
      </c>
      <c r="U4623" t="inlineStr">
        <is>
          <t>Não</t>
        </is>
      </c>
    </row>
    <row r="4624">
      <c r="A4624" t="inlineStr">
        <is>
          <t>Frete de venda</t>
        </is>
      </c>
      <c r="B4624" t="inlineStr">
        <is>
          <t>2.01.98 Frete Descarregamento</t>
        </is>
      </c>
      <c r="C4624" t="inlineStr">
        <is>
          <t>Antes de 2026</t>
        </is>
      </c>
      <c r="D4624" t="inlineStr">
        <is>
          <t>Antes de 2026</t>
        </is>
      </c>
      <c r="E4624" s="28" t="n">
        <v>45557</v>
      </c>
      <c r="F4624" t="inlineStr">
        <is>
          <t>CT-e</t>
        </is>
      </c>
      <c r="G4624" t="inlineStr">
        <is>
          <t>000000051</t>
        </is>
      </c>
      <c r="H4624" t="inlineStr">
        <is>
          <t>ADIL CARLOS DA SILVA</t>
        </is>
      </c>
      <c r="J4624" s="29" t="n">
        <v>10</v>
      </c>
      <c r="K4624" s="29">
        <f>(1-ISNUMBER(SEARCH("556",M4624)))*(O4624*SUMIFS(Premissas!$C$5:$C$44,Premissas!$A$5:$A$44,$A4624,Premissas!$B$5:$B$44,$B4624)+P4624*SUMIFS(Premissas!$D$5:$D$44,Premissas!$A$5:$A$44,$A4624,Premissas!$B$5:$B$44,$B4624))+R4624*SUMIFS(Premissas!$E$5:$E$44,Premissas!$A$5:$A$44,$A4624,Premissas!$B$5:$B$44,$B4624)+S4624*SUMIFS(Premissas!$F$5:$F$44,Premissas!$A$5:$A$44,$A4624,Premissas!$B$5:$B$44,$B4624)</f>
        <v/>
      </c>
      <c r="L4624" s="29">
        <f>J4624-K4624</f>
        <v/>
      </c>
      <c r="M4624" t="inlineStr">
        <is>
          <t>2.350</t>
        </is>
      </c>
      <c r="N4624" t="inlineStr">
        <is>
          <t>Modalidade: 0 - Por conta do remetente | Parte: RONNIE PETERSON MACEDO CIRINO (32.542.336/0001-72)</t>
        </is>
      </c>
      <c r="O4624" s="29" t="n">
        <v>0</v>
      </c>
      <c r="P4624" s="29" t="n">
        <v>0</v>
      </c>
      <c r="Q4624" s="29" t="n">
        <v>0</v>
      </c>
      <c r="R4624" s="29" t="n">
        <v>0</v>
      </c>
      <c r="S4624" s="29" t="n">
        <v>0</v>
      </c>
      <c r="T4624" t="inlineStr">
        <is>
          <t>25240934595800000114570010000000511000000514</t>
        </is>
      </c>
      <c r="U4624" t="inlineStr">
        <is>
          <t>Não</t>
        </is>
      </c>
    </row>
    <row r="4625">
      <c r="A4625" t="inlineStr">
        <is>
          <t>Frete de venda</t>
        </is>
      </c>
      <c r="B4625" t="inlineStr">
        <is>
          <t>2.01.98 Frete Descarregamento</t>
        </is>
      </c>
      <c r="C4625" t="inlineStr">
        <is>
          <t>Antes de 2026</t>
        </is>
      </c>
      <c r="D4625" t="inlineStr">
        <is>
          <t>Antes de 2026</t>
        </is>
      </c>
      <c r="E4625" s="28" t="n">
        <v>45557</v>
      </c>
      <c r="F4625" t="inlineStr">
        <is>
          <t>CT-e</t>
        </is>
      </c>
      <c r="G4625" t="inlineStr">
        <is>
          <t>000000052</t>
        </is>
      </c>
      <c r="H4625" t="inlineStr">
        <is>
          <t>ADIL CARLOS DA SILVA</t>
        </is>
      </c>
      <c r="J4625" s="29" t="n">
        <v>10</v>
      </c>
      <c r="K4625" s="29">
        <f>(1-ISNUMBER(SEARCH("556",M4625)))*(O4625*SUMIFS(Premissas!$C$5:$C$44,Premissas!$A$5:$A$44,$A4625,Premissas!$B$5:$B$44,$B4625)+P4625*SUMIFS(Premissas!$D$5:$D$44,Premissas!$A$5:$A$44,$A4625,Premissas!$B$5:$B$44,$B4625))+R4625*SUMIFS(Premissas!$E$5:$E$44,Premissas!$A$5:$A$44,$A4625,Premissas!$B$5:$B$44,$B4625)+S4625*SUMIFS(Premissas!$F$5:$F$44,Premissas!$A$5:$A$44,$A4625,Premissas!$B$5:$B$44,$B4625)</f>
        <v/>
      </c>
      <c r="L4625" s="29">
        <f>J4625-K4625</f>
        <v/>
      </c>
      <c r="M4625" t="inlineStr">
        <is>
          <t>2.350</t>
        </is>
      </c>
      <c r="N4625" t="inlineStr">
        <is>
          <t>Modalidade: 0 - Por conta do remetente | Parte: TREVO COMERCIO DE EMBALAGENS LTDA (08.178.510/0001-65)</t>
        </is>
      </c>
      <c r="O4625" s="29" t="n">
        <v>0</v>
      </c>
      <c r="P4625" s="29" t="n">
        <v>0</v>
      </c>
      <c r="Q4625" s="29" t="n">
        <v>0</v>
      </c>
      <c r="R4625" s="29" t="n">
        <v>0</v>
      </c>
      <c r="S4625" s="29" t="n">
        <v>0</v>
      </c>
      <c r="T4625" t="inlineStr">
        <is>
          <t>25240934595800000114570010000000521000000520</t>
        </is>
      </c>
      <c r="U4625" t="inlineStr">
        <is>
          <t>Não</t>
        </is>
      </c>
    </row>
    <row r="4626">
      <c r="A4626" t="inlineStr">
        <is>
          <t>Frete de venda</t>
        </is>
      </c>
      <c r="B4626" t="inlineStr">
        <is>
          <t>2.01.98 Frete Descarregamento</t>
        </is>
      </c>
      <c r="C4626" t="inlineStr">
        <is>
          <t>Antes de 2026</t>
        </is>
      </c>
      <c r="D4626" t="inlineStr">
        <is>
          <t>Antes de 2026</t>
        </is>
      </c>
      <c r="E4626" s="28" t="n">
        <v>45565</v>
      </c>
      <c r="F4626" t="inlineStr">
        <is>
          <t>CT-e</t>
        </is>
      </c>
      <c r="G4626" t="inlineStr">
        <is>
          <t>000000053</t>
        </is>
      </c>
      <c r="H4626" t="inlineStr">
        <is>
          <t>ADIL CARLOS DA SILVA</t>
        </is>
      </c>
      <c r="J4626" s="29" t="n">
        <v>150</v>
      </c>
      <c r="K4626" s="29">
        <f>(1-ISNUMBER(SEARCH("556",M4626)))*(O4626*SUMIFS(Premissas!$C$5:$C$44,Premissas!$A$5:$A$44,$A4626,Premissas!$B$5:$B$44,$B4626)+P4626*SUMIFS(Premissas!$D$5:$D$44,Premissas!$A$5:$A$44,$A4626,Premissas!$B$5:$B$44,$B4626))+R4626*SUMIFS(Premissas!$E$5:$E$44,Premissas!$A$5:$A$44,$A4626,Premissas!$B$5:$B$44,$B4626)+S4626*SUMIFS(Premissas!$F$5:$F$44,Premissas!$A$5:$A$44,$A4626,Premissas!$B$5:$B$44,$B4626)</f>
        <v/>
      </c>
      <c r="L4626" s="29">
        <f>J4626-K4626</f>
        <v/>
      </c>
      <c r="M4626" t="inlineStr">
        <is>
          <t>2.350</t>
        </is>
      </c>
      <c r="N4626" t="inlineStr">
        <is>
          <t>Modalidade: 0 - Por conta do remetente | Parte: FORTALI DISTRIBUIDORA DE ALIMENTOS LTDA. (09.317.318/0001-75)</t>
        </is>
      </c>
      <c r="O4626" s="29" t="n">
        <v>0</v>
      </c>
      <c r="P4626" s="29" t="n">
        <v>0</v>
      </c>
      <c r="Q4626" s="29" t="n">
        <v>0</v>
      </c>
      <c r="R4626" s="29" t="n">
        <v>0</v>
      </c>
      <c r="S4626" s="29" t="n">
        <v>0</v>
      </c>
      <c r="T4626" t="inlineStr">
        <is>
          <t>25240934595800000114570010000000531000000535</t>
        </is>
      </c>
      <c r="U4626" t="inlineStr">
        <is>
          <t>Não</t>
        </is>
      </c>
    </row>
    <row r="4627">
      <c r="A4627" t="inlineStr">
        <is>
          <t>Frete de venda</t>
        </is>
      </c>
      <c r="B4627" t="inlineStr">
        <is>
          <t>2.01.98 Frete Descarregamento</t>
        </is>
      </c>
      <c r="C4627" t="inlineStr">
        <is>
          <t>Antes de 2026</t>
        </is>
      </c>
      <c r="D4627" t="inlineStr">
        <is>
          <t>Antes de 2026</t>
        </is>
      </c>
      <c r="E4627" s="28" t="n">
        <v>45565</v>
      </c>
      <c r="F4627" t="inlineStr">
        <is>
          <t>CT-e</t>
        </is>
      </c>
      <c r="G4627" t="inlineStr">
        <is>
          <t>000000054</t>
        </is>
      </c>
      <c r="H4627" t="inlineStr">
        <is>
          <t>ADIL CARLOS DA SILVA</t>
        </is>
      </c>
      <c r="J4627" s="29" t="n">
        <v>150</v>
      </c>
      <c r="K4627" s="29">
        <f>(1-ISNUMBER(SEARCH("556",M4627)))*(O4627*SUMIFS(Premissas!$C$5:$C$44,Premissas!$A$5:$A$44,$A4627,Premissas!$B$5:$B$44,$B4627)+P4627*SUMIFS(Premissas!$D$5:$D$44,Premissas!$A$5:$A$44,$A4627,Premissas!$B$5:$B$44,$B4627))+R4627*SUMIFS(Premissas!$E$5:$E$44,Premissas!$A$5:$A$44,$A4627,Premissas!$B$5:$B$44,$B4627)+S4627*SUMIFS(Premissas!$F$5:$F$44,Premissas!$A$5:$A$44,$A4627,Premissas!$B$5:$B$44,$B4627)</f>
        <v/>
      </c>
      <c r="L4627" s="29">
        <f>J4627-K4627</f>
        <v/>
      </c>
      <c r="M4627" t="inlineStr">
        <is>
          <t>2.350</t>
        </is>
      </c>
      <c r="N4627" t="inlineStr">
        <is>
          <t>Modalidade: 0 - Por conta do remetente | Parte: MACROPLAST COMERCIO DE MATERIAIS DESCARTAVEIS EIRELI (02.541.920/0001-42)</t>
        </is>
      </c>
      <c r="O4627" s="29" t="n">
        <v>0</v>
      </c>
      <c r="P4627" s="29" t="n">
        <v>0</v>
      </c>
      <c r="Q4627" s="29" t="n">
        <v>0</v>
      </c>
      <c r="R4627" s="29" t="n">
        <v>0</v>
      </c>
      <c r="S4627" s="29" t="n">
        <v>0</v>
      </c>
      <c r="T4627" t="inlineStr">
        <is>
          <t>25240934595800000114570010000000541000000540</t>
        </is>
      </c>
      <c r="U4627" t="inlineStr">
        <is>
          <t>Não</t>
        </is>
      </c>
    </row>
    <row r="4628">
      <c r="A4628" t="inlineStr">
        <is>
          <t>Frete de venda</t>
        </is>
      </c>
      <c r="B4628" t="inlineStr">
        <is>
          <t>2.01.98 Frete Descarregamento</t>
        </is>
      </c>
      <c r="C4628" t="inlineStr">
        <is>
          <t>Antes de 2026</t>
        </is>
      </c>
      <c r="D4628" t="inlineStr">
        <is>
          <t>Antes de 2026</t>
        </is>
      </c>
      <c r="E4628" s="28" t="n">
        <v>45512</v>
      </c>
      <c r="F4628" t="inlineStr">
        <is>
          <t>CT-e</t>
        </is>
      </c>
      <c r="G4628" t="inlineStr">
        <is>
          <t>000002444</t>
        </is>
      </c>
      <c r="H4628" t="inlineStr">
        <is>
          <t>R&amp;R TRANSPORTE E LOGISTICA</t>
        </is>
      </c>
      <c r="J4628" s="29" t="n">
        <v>50</v>
      </c>
      <c r="K4628" s="29">
        <f>(1-ISNUMBER(SEARCH("556",M4628)))*(O4628*SUMIFS(Premissas!$C$5:$C$44,Premissas!$A$5:$A$44,$A4628,Premissas!$B$5:$B$44,$B4628)+P4628*SUMIFS(Premissas!$D$5:$D$44,Premissas!$A$5:$A$44,$A4628,Premissas!$B$5:$B$44,$B4628))+R4628*SUMIFS(Premissas!$E$5:$E$44,Premissas!$A$5:$A$44,$A4628,Premissas!$B$5:$B$44,$B4628)+S4628*SUMIFS(Premissas!$F$5:$F$44,Premissas!$A$5:$A$44,$A4628,Premissas!$B$5:$B$44,$B4628)</f>
        <v/>
      </c>
      <c r="L4628" s="29">
        <f>J4628-K4628</f>
        <v/>
      </c>
      <c r="M4628" t="inlineStr">
        <is>
          <t>1.350</t>
        </is>
      </c>
      <c r="N4628" t="inlineStr">
        <is>
          <t>Modalidade: 0 - Por conta do remetente | Parte: SAL DA TERRA COMERCIO DESCARTAVEIS LTDA (12.076.153/0001-00)</t>
        </is>
      </c>
      <c r="O4628" s="29" t="n">
        <v>0</v>
      </c>
      <c r="P4628" s="29" t="n">
        <v>0</v>
      </c>
      <c r="Q4628" s="29" t="n">
        <v>0</v>
      </c>
      <c r="R4628" s="29" t="n">
        <v>0</v>
      </c>
      <c r="S4628" s="29" t="n">
        <v>0</v>
      </c>
      <c r="T4628" t="inlineStr">
        <is>
          <t>25240826975620000130570010000024441000000000</t>
        </is>
      </c>
      <c r="U4628" t="inlineStr">
        <is>
          <t>Não</t>
        </is>
      </c>
    </row>
    <row r="4629">
      <c r="A4629" t="inlineStr">
        <is>
          <t>Frete de venda</t>
        </is>
      </c>
      <c r="B4629" t="inlineStr">
        <is>
          <t>2.01.98 Frete Descarregamento</t>
        </is>
      </c>
      <c r="C4629" t="inlineStr">
        <is>
          <t>Antes de 2026</t>
        </is>
      </c>
      <c r="D4629" t="inlineStr">
        <is>
          <t>Antes de 2026</t>
        </is>
      </c>
      <c r="E4629" s="28" t="n">
        <v>45512</v>
      </c>
      <c r="F4629" t="inlineStr">
        <is>
          <t>CT-e</t>
        </is>
      </c>
      <c r="G4629" t="inlineStr">
        <is>
          <t>000002445</t>
        </is>
      </c>
      <c r="H4629" t="inlineStr">
        <is>
          <t>R&amp;R TRANSPORTE E LOGISTICA</t>
        </is>
      </c>
      <c r="J4629" s="29" t="n">
        <v>50</v>
      </c>
      <c r="K4629" s="29">
        <f>(1-ISNUMBER(SEARCH("556",M4629)))*(O4629*SUMIFS(Premissas!$C$5:$C$44,Premissas!$A$5:$A$44,$A4629,Premissas!$B$5:$B$44,$B4629)+P4629*SUMIFS(Premissas!$D$5:$D$44,Premissas!$A$5:$A$44,$A4629,Premissas!$B$5:$B$44,$B4629))+R4629*SUMIFS(Premissas!$E$5:$E$44,Premissas!$A$5:$A$44,$A4629,Premissas!$B$5:$B$44,$B4629)+S4629*SUMIFS(Premissas!$F$5:$F$44,Premissas!$A$5:$A$44,$A4629,Premissas!$B$5:$B$44,$B4629)</f>
        <v/>
      </c>
      <c r="L4629" s="29">
        <f>J4629-K4629</f>
        <v/>
      </c>
      <c r="M4629" t="inlineStr">
        <is>
          <t>1.350</t>
        </is>
      </c>
      <c r="N4629" t="inlineStr">
        <is>
          <t>Modalidade: 0 - Por conta do remetente | Parte: CAMPEAO 2010 DAS EMBALAGENS LTDA (12.039.358/0002-98)</t>
        </is>
      </c>
      <c r="O4629" s="29" t="n">
        <v>0</v>
      </c>
      <c r="P4629" s="29" t="n">
        <v>0</v>
      </c>
      <c r="Q4629" s="29" t="n">
        <v>0</v>
      </c>
      <c r="R4629" s="29" t="n">
        <v>0</v>
      </c>
      <c r="S4629" s="29" t="n">
        <v>0</v>
      </c>
      <c r="T4629" t="inlineStr">
        <is>
          <t>25240826975620000130570010000024451000000008</t>
        </is>
      </c>
      <c r="U4629" t="inlineStr">
        <is>
          <t>Não</t>
        </is>
      </c>
    </row>
    <row r="4630">
      <c r="A4630" t="inlineStr">
        <is>
          <t>Frete de venda</t>
        </is>
      </c>
      <c r="B4630" t="inlineStr">
        <is>
          <t>2.01.98 Frete Descarregamento</t>
        </is>
      </c>
      <c r="C4630" t="inlineStr">
        <is>
          <t>Antes de 2026</t>
        </is>
      </c>
      <c r="D4630" t="inlineStr">
        <is>
          <t>Antes de 2026</t>
        </is>
      </c>
      <c r="E4630" s="28" t="n">
        <v>45512</v>
      </c>
      <c r="F4630" t="inlineStr">
        <is>
          <t>CT-e</t>
        </is>
      </c>
      <c r="G4630" t="inlineStr">
        <is>
          <t>000002446</t>
        </is>
      </c>
      <c r="H4630" t="inlineStr">
        <is>
          <t>R&amp;R TRANSPORTE E LOGISTICA</t>
        </is>
      </c>
      <c r="J4630" s="29" t="n">
        <v>100</v>
      </c>
      <c r="K4630" s="29">
        <f>(1-ISNUMBER(SEARCH("556",M4630)))*(O4630*SUMIFS(Premissas!$C$5:$C$44,Premissas!$A$5:$A$44,$A4630,Premissas!$B$5:$B$44,$B4630)+P4630*SUMIFS(Premissas!$D$5:$D$44,Premissas!$A$5:$A$44,$A4630,Premissas!$B$5:$B$44,$B4630))+R4630*SUMIFS(Premissas!$E$5:$E$44,Premissas!$A$5:$A$44,$A4630,Premissas!$B$5:$B$44,$B4630)+S4630*SUMIFS(Premissas!$F$5:$F$44,Premissas!$A$5:$A$44,$A4630,Premissas!$B$5:$B$44,$B4630)</f>
        <v/>
      </c>
      <c r="L4630" s="29">
        <f>J4630-K4630</f>
        <v/>
      </c>
      <c r="M4630" t="inlineStr">
        <is>
          <t>1.350</t>
        </is>
      </c>
      <c r="N4630" t="inlineStr">
        <is>
          <t>Modalidade: 0 - Por conta do remetente | Parte: VIDEIRA COMERCIO DESCARTAVEIS LTDA (12.079.452/0001-90)</t>
        </is>
      </c>
      <c r="O4630" s="29" t="n">
        <v>0</v>
      </c>
      <c r="P4630" s="29" t="n">
        <v>0</v>
      </c>
      <c r="Q4630" s="29" t="n">
        <v>0</v>
      </c>
      <c r="R4630" s="29" t="n">
        <v>0</v>
      </c>
      <c r="S4630" s="29" t="n">
        <v>0</v>
      </c>
      <c r="T4630" t="inlineStr">
        <is>
          <t>25240826975620000130570010000024461000000005</t>
        </is>
      </c>
      <c r="U4630" t="inlineStr">
        <is>
          <t>Não</t>
        </is>
      </c>
    </row>
    <row r="4631">
      <c r="A4631" t="inlineStr">
        <is>
          <t>Frete de venda</t>
        </is>
      </c>
      <c r="B4631" t="inlineStr">
        <is>
          <t>2.01.98 Frete Descarregamento</t>
        </is>
      </c>
      <c r="C4631" t="inlineStr">
        <is>
          <t>Antes de 2026</t>
        </is>
      </c>
      <c r="D4631" t="inlineStr">
        <is>
          <t>Antes de 2026</t>
        </is>
      </c>
      <c r="E4631" s="28" t="n">
        <v>45516</v>
      </c>
      <c r="F4631" t="inlineStr">
        <is>
          <t>CT-e</t>
        </is>
      </c>
      <c r="G4631" t="inlineStr">
        <is>
          <t>000002454</t>
        </is>
      </c>
      <c r="H4631" t="inlineStr">
        <is>
          <t>R&amp;R TRANSPORTE E LOGISTICA</t>
        </is>
      </c>
      <c r="J4631" s="29" t="n">
        <v>380</v>
      </c>
      <c r="K4631" s="29">
        <f>(1-ISNUMBER(SEARCH("556",M4631)))*(O4631*SUMIFS(Premissas!$C$5:$C$44,Premissas!$A$5:$A$44,$A4631,Premissas!$B$5:$B$44,$B4631)+P4631*SUMIFS(Premissas!$D$5:$D$44,Premissas!$A$5:$A$44,$A4631,Premissas!$B$5:$B$44,$B4631))+R4631*SUMIFS(Premissas!$E$5:$E$44,Premissas!$A$5:$A$44,$A4631,Premissas!$B$5:$B$44,$B4631)+S4631*SUMIFS(Premissas!$F$5:$F$44,Premissas!$A$5:$A$44,$A4631,Premissas!$B$5:$B$44,$B4631)</f>
        <v/>
      </c>
      <c r="L4631" s="29">
        <f>J4631-K4631</f>
        <v/>
      </c>
      <c r="M4631" t="inlineStr">
        <is>
          <t>1.350</t>
        </is>
      </c>
      <c r="N4631" t="inlineStr">
        <is>
          <t>Modalidade: 0 - Por conta do remetente | Parte: JR DISTRIBUICAO LTDA (00.680.755/0002-65)</t>
        </is>
      </c>
      <c r="O4631" s="29" t="n">
        <v>0</v>
      </c>
      <c r="P4631" s="29" t="n">
        <v>0</v>
      </c>
      <c r="Q4631" s="29" t="n">
        <v>0</v>
      </c>
      <c r="R4631" s="29" t="n">
        <v>0</v>
      </c>
      <c r="S4631" s="29" t="n">
        <v>0</v>
      </c>
      <c r="T4631" t="inlineStr">
        <is>
          <t>25240826975620000130570010000024541000000007</t>
        </is>
      </c>
      <c r="U4631" t="inlineStr">
        <is>
          <t>Não</t>
        </is>
      </c>
    </row>
    <row r="4632">
      <c r="A4632" t="inlineStr">
        <is>
          <t>Frete de venda</t>
        </is>
      </c>
      <c r="B4632" t="inlineStr">
        <is>
          <t>2.01.98 Frete Descarregamento</t>
        </is>
      </c>
      <c r="C4632" t="inlineStr">
        <is>
          <t>Antes de 2026</t>
        </is>
      </c>
      <c r="D4632" t="inlineStr">
        <is>
          <t>Antes de 2026</t>
        </is>
      </c>
      <c r="E4632" s="28" t="n">
        <v>45516</v>
      </c>
      <c r="F4632" t="inlineStr">
        <is>
          <t>CT-e</t>
        </is>
      </c>
      <c r="G4632" t="inlineStr">
        <is>
          <t>000002455</t>
        </is>
      </c>
      <c r="H4632" t="inlineStr">
        <is>
          <t>R&amp;R TRANSPORTE E LOGISTICA</t>
        </is>
      </c>
      <c r="J4632" s="29" t="n">
        <v>380</v>
      </c>
      <c r="K4632" s="29">
        <f>(1-ISNUMBER(SEARCH("556",M4632)))*(O4632*SUMIFS(Premissas!$C$5:$C$44,Premissas!$A$5:$A$44,$A4632,Premissas!$B$5:$B$44,$B4632)+P4632*SUMIFS(Premissas!$D$5:$D$44,Premissas!$A$5:$A$44,$A4632,Premissas!$B$5:$B$44,$B4632))+R4632*SUMIFS(Premissas!$E$5:$E$44,Premissas!$A$5:$A$44,$A4632,Premissas!$B$5:$B$44,$B4632)+S4632*SUMIFS(Premissas!$F$5:$F$44,Premissas!$A$5:$A$44,$A4632,Premissas!$B$5:$B$44,$B4632)</f>
        <v/>
      </c>
      <c r="L4632" s="29">
        <f>J4632-K4632</f>
        <v/>
      </c>
      <c r="M4632" t="inlineStr">
        <is>
          <t>1.350</t>
        </is>
      </c>
      <c r="N4632" t="inlineStr">
        <is>
          <t>Modalidade: 0 - Por conta do remetente | Parte: COMERCIAL PROLAC LTDA. (07.182.763/0001-40)</t>
        </is>
      </c>
      <c r="O4632" s="29" t="n">
        <v>0</v>
      </c>
      <c r="P4632" s="29" t="n">
        <v>0</v>
      </c>
      <c r="Q4632" s="29" t="n">
        <v>0</v>
      </c>
      <c r="R4632" s="29" t="n">
        <v>0</v>
      </c>
      <c r="S4632" s="29" t="n">
        <v>0</v>
      </c>
      <c r="T4632" t="inlineStr">
        <is>
          <t>25240826975620000130570010000024551000000004</t>
        </is>
      </c>
      <c r="U4632" t="inlineStr">
        <is>
          <t>Não</t>
        </is>
      </c>
    </row>
    <row r="4633">
      <c r="A4633" t="inlineStr">
        <is>
          <t>Frete de venda</t>
        </is>
      </c>
      <c r="B4633" t="inlineStr">
        <is>
          <t>2.01.98 Frete Descarregamento</t>
        </is>
      </c>
      <c r="C4633" t="inlineStr">
        <is>
          <t>Antes de 2026</t>
        </is>
      </c>
      <c r="D4633" t="inlineStr">
        <is>
          <t>Antes de 2026</t>
        </is>
      </c>
      <c r="E4633" s="28" t="n">
        <v>45516</v>
      </c>
      <c r="F4633" t="inlineStr">
        <is>
          <t>CT-e</t>
        </is>
      </c>
      <c r="G4633" t="inlineStr">
        <is>
          <t>000002456</t>
        </is>
      </c>
      <c r="H4633" t="inlineStr">
        <is>
          <t>R&amp;R TRANSPORTE E LOGISTICA</t>
        </is>
      </c>
      <c r="J4633" s="29" t="n">
        <v>380</v>
      </c>
      <c r="K4633" s="29">
        <f>(1-ISNUMBER(SEARCH("556",M4633)))*(O4633*SUMIFS(Premissas!$C$5:$C$44,Premissas!$A$5:$A$44,$A4633,Premissas!$B$5:$B$44,$B4633)+P4633*SUMIFS(Premissas!$D$5:$D$44,Premissas!$A$5:$A$44,$A4633,Premissas!$B$5:$B$44,$B4633))+R4633*SUMIFS(Premissas!$E$5:$E$44,Premissas!$A$5:$A$44,$A4633,Premissas!$B$5:$B$44,$B4633)+S4633*SUMIFS(Premissas!$F$5:$F$44,Premissas!$A$5:$A$44,$A4633,Premissas!$B$5:$B$44,$B4633)</f>
        <v/>
      </c>
      <c r="L4633" s="29">
        <f>J4633-K4633</f>
        <v/>
      </c>
      <c r="M4633" t="inlineStr">
        <is>
          <t>1.350</t>
        </is>
      </c>
      <c r="N4633" t="inlineStr">
        <is>
          <t>Modalidade: 0 - Por conta do remetente | Parte: EDSON JOSE DA SILVA BOMBONIERE (48.809.258/0001-60)</t>
        </is>
      </c>
      <c r="O4633" s="29" t="n">
        <v>0</v>
      </c>
      <c r="P4633" s="29" t="n">
        <v>0</v>
      </c>
      <c r="Q4633" s="29" t="n">
        <v>0</v>
      </c>
      <c r="R4633" s="29" t="n">
        <v>0</v>
      </c>
      <c r="S4633" s="29" t="n">
        <v>0</v>
      </c>
      <c r="T4633" t="inlineStr">
        <is>
          <t>25240826975620000130570010000024561000000001</t>
        </is>
      </c>
      <c r="U4633" t="inlineStr">
        <is>
          <t>Não</t>
        </is>
      </c>
    </row>
    <row r="4634">
      <c r="A4634" t="inlineStr">
        <is>
          <t>Frete de venda</t>
        </is>
      </c>
      <c r="B4634" t="inlineStr">
        <is>
          <t>2.01.98 Frete Descarregamento</t>
        </is>
      </c>
      <c r="C4634" t="inlineStr">
        <is>
          <t>Antes de 2026</t>
        </is>
      </c>
      <c r="D4634" t="inlineStr">
        <is>
          <t>Antes de 2026</t>
        </is>
      </c>
      <c r="E4634" s="28" t="n">
        <v>45520</v>
      </c>
      <c r="F4634" t="inlineStr">
        <is>
          <t>CT-e</t>
        </is>
      </c>
      <c r="G4634" t="inlineStr">
        <is>
          <t>000002503</t>
        </is>
      </c>
      <c r="H4634" t="inlineStr">
        <is>
          <t>R&amp;R TRANSPORTE E LOGISTICA</t>
        </is>
      </c>
      <c r="J4634" s="29" t="n">
        <v>50</v>
      </c>
      <c r="K4634" s="29">
        <f>(1-ISNUMBER(SEARCH("556",M4634)))*(O4634*SUMIFS(Premissas!$C$5:$C$44,Premissas!$A$5:$A$44,$A4634,Premissas!$B$5:$B$44,$B4634)+P4634*SUMIFS(Premissas!$D$5:$D$44,Premissas!$A$5:$A$44,$A4634,Premissas!$B$5:$B$44,$B4634))+R4634*SUMIFS(Premissas!$E$5:$E$44,Premissas!$A$5:$A$44,$A4634,Premissas!$B$5:$B$44,$B4634)+S4634*SUMIFS(Premissas!$F$5:$F$44,Premissas!$A$5:$A$44,$A4634,Premissas!$B$5:$B$44,$B4634)</f>
        <v/>
      </c>
      <c r="L4634" s="29">
        <f>J4634-K4634</f>
        <v/>
      </c>
      <c r="M4634" t="inlineStr">
        <is>
          <t>1.350</t>
        </is>
      </c>
      <c r="N4634" t="inlineStr">
        <is>
          <t>Modalidade: 0 - Por conta do remetente | Parte: NOVA FENIX EMBALAGENS E MATERIAL LIMPEZA LTDA (14.616.883/0001-73)</t>
        </is>
      </c>
      <c r="O4634" s="29" t="n">
        <v>0</v>
      </c>
      <c r="P4634" s="29" t="n">
        <v>0</v>
      </c>
      <c r="Q4634" s="29" t="n">
        <v>0</v>
      </c>
      <c r="R4634" s="29" t="n">
        <v>0</v>
      </c>
      <c r="S4634" s="29" t="n">
        <v>0</v>
      </c>
      <c r="T4634" t="inlineStr">
        <is>
          <t>25240826975620000130570010000025031000000003</t>
        </is>
      </c>
      <c r="U4634" t="inlineStr">
        <is>
          <t>Não</t>
        </is>
      </c>
    </row>
    <row r="4635">
      <c r="A4635" t="inlineStr">
        <is>
          <t>Frete de venda</t>
        </is>
      </c>
      <c r="B4635" t="inlineStr">
        <is>
          <t>2.01.98 Frete Descarregamento</t>
        </is>
      </c>
      <c r="C4635" t="inlineStr">
        <is>
          <t>Antes de 2026</t>
        </is>
      </c>
      <c r="D4635" t="inlineStr">
        <is>
          <t>Antes de 2026</t>
        </is>
      </c>
      <c r="E4635" s="28" t="n">
        <v>45520</v>
      </c>
      <c r="F4635" t="inlineStr">
        <is>
          <t>CT-e</t>
        </is>
      </c>
      <c r="G4635" t="inlineStr">
        <is>
          <t>000002504</t>
        </is>
      </c>
      <c r="H4635" t="inlineStr">
        <is>
          <t>R&amp;R TRANSPORTE E LOGISTICA</t>
        </is>
      </c>
      <c r="J4635" s="29" t="n">
        <v>50</v>
      </c>
      <c r="K4635" s="29">
        <f>(1-ISNUMBER(SEARCH("556",M4635)))*(O4635*SUMIFS(Premissas!$C$5:$C$44,Premissas!$A$5:$A$44,$A4635,Premissas!$B$5:$B$44,$B4635)+P4635*SUMIFS(Premissas!$D$5:$D$44,Premissas!$A$5:$A$44,$A4635,Premissas!$B$5:$B$44,$B4635))+R4635*SUMIFS(Premissas!$E$5:$E$44,Premissas!$A$5:$A$44,$A4635,Premissas!$B$5:$B$44,$B4635)+S4635*SUMIFS(Premissas!$F$5:$F$44,Premissas!$A$5:$A$44,$A4635,Premissas!$B$5:$B$44,$B4635)</f>
        <v/>
      </c>
      <c r="L4635" s="29">
        <f>J4635-K4635</f>
        <v/>
      </c>
      <c r="M4635" t="inlineStr">
        <is>
          <t>1.350</t>
        </is>
      </c>
      <c r="N4635" t="inlineStr">
        <is>
          <t>Modalidade: 0 - Por conta do remetente | Parte: BRAGA e BARCELOS LTDA (11.109.167/0003-73)</t>
        </is>
      </c>
      <c r="O4635" s="29" t="n">
        <v>0</v>
      </c>
      <c r="P4635" s="29" t="n">
        <v>0</v>
      </c>
      <c r="Q4635" s="29" t="n">
        <v>0</v>
      </c>
      <c r="R4635" s="29" t="n">
        <v>0</v>
      </c>
      <c r="S4635" s="29" t="n">
        <v>0</v>
      </c>
      <c r="T4635" t="inlineStr">
        <is>
          <t>25240826975620000130570010000025041000000000</t>
        </is>
      </c>
      <c r="U4635" t="inlineStr">
        <is>
          <t>Não</t>
        </is>
      </c>
    </row>
    <row r="4636">
      <c r="A4636" t="inlineStr">
        <is>
          <t>Frete de venda</t>
        </is>
      </c>
      <c r="B4636" t="inlineStr">
        <is>
          <t>2.01.98 Frete Descarregamento</t>
        </is>
      </c>
      <c r="C4636" t="inlineStr">
        <is>
          <t>Antes de 2026</t>
        </is>
      </c>
      <c r="D4636" t="inlineStr">
        <is>
          <t>Antes de 2026</t>
        </is>
      </c>
      <c r="E4636" s="28" t="n">
        <v>45520</v>
      </c>
      <c r="F4636" t="inlineStr">
        <is>
          <t>CT-e</t>
        </is>
      </c>
      <c r="G4636" t="inlineStr">
        <is>
          <t>000002505</t>
        </is>
      </c>
      <c r="H4636" t="inlineStr">
        <is>
          <t>R&amp;R TRANSPORTE E LOGISTICA</t>
        </is>
      </c>
      <c r="J4636" s="29" t="n">
        <v>50</v>
      </c>
      <c r="K4636" s="29">
        <f>(1-ISNUMBER(SEARCH("556",M4636)))*(O4636*SUMIFS(Premissas!$C$5:$C$44,Premissas!$A$5:$A$44,$A4636,Premissas!$B$5:$B$44,$B4636)+P4636*SUMIFS(Premissas!$D$5:$D$44,Premissas!$A$5:$A$44,$A4636,Premissas!$B$5:$B$44,$B4636))+R4636*SUMIFS(Premissas!$E$5:$E$44,Premissas!$A$5:$A$44,$A4636,Premissas!$B$5:$B$44,$B4636)+S4636*SUMIFS(Premissas!$F$5:$F$44,Premissas!$A$5:$A$44,$A4636,Premissas!$B$5:$B$44,$B4636)</f>
        <v/>
      </c>
      <c r="L4636" s="29">
        <f>J4636-K4636</f>
        <v/>
      </c>
      <c r="M4636" t="inlineStr">
        <is>
          <t>1.350</t>
        </is>
      </c>
      <c r="N4636" t="inlineStr">
        <is>
          <t>Modalidade: 0 - Por conta do remetente | Parte: H B COMERCIO DE EMBALAGENS LTDA (05.488.166/0002-01)</t>
        </is>
      </c>
      <c r="O4636" s="29" t="n">
        <v>0</v>
      </c>
      <c r="P4636" s="29" t="n">
        <v>0</v>
      </c>
      <c r="Q4636" s="29" t="n">
        <v>0</v>
      </c>
      <c r="R4636" s="29" t="n">
        <v>0</v>
      </c>
      <c r="S4636" s="29" t="n">
        <v>0</v>
      </c>
      <c r="T4636" t="inlineStr">
        <is>
          <t>25240826975620000130570010000025051000000008</t>
        </is>
      </c>
      <c r="U4636" t="inlineStr">
        <is>
          <t>Não</t>
        </is>
      </c>
    </row>
    <row r="4637">
      <c r="A4637" t="inlineStr">
        <is>
          <t>Frete de venda</t>
        </is>
      </c>
      <c r="B4637" t="inlineStr">
        <is>
          <t>2.01.98 Frete Descarregamento</t>
        </is>
      </c>
      <c r="C4637" t="inlineStr">
        <is>
          <t>Antes de 2026</t>
        </is>
      </c>
      <c r="D4637" t="inlineStr">
        <is>
          <t>Antes de 2026</t>
        </is>
      </c>
      <c r="E4637" s="28" t="n">
        <v>45520</v>
      </c>
      <c r="F4637" t="inlineStr">
        <is>
          <t>CT-e</t>
        </is>
      </c>
      <c r="G4637" t="inlineStr">
        <is>
          <t>000002506</t>
        </is>
      </c>
      <c r="H4637" t="inlineStr">
        <is>
          <t>R&amp;R TRANSPORTE E LOGISTICA</t>
        </is>
      </c>
      <c r="J4637" s="29" t="n">
        <v>50</v>
      </c>
      <c r="K4637" s="29">
        <f>(1-ISNUMBER(SEARCH("556",M4637)))*(O4637*SUMIFS(Premissas!$C$5:$C$44,Premissas!$A$5:$A$44,$A4637,Premissas!$B$5:$B$44,$B4637)+P4637*SUMIFS(Premissas!$D$5:$D$44,Premissas!$A$5:$A$44,$A4637,Premissas!$B$5:$B$44,$B4637))+R4637*SUMIFS(Premissas!$E$5:$E$44,Premissas!$A$5:$A$44,$A4637,Premissas!$B$5:$B$44,$B4637)+S4637*SUMIFS(Premissas!$F$5:$F$44,Premissas!$A$5:$A$44,$A4637,Premissas!$B$5:$B$44,$B4637)</f>
        <v/>
      </c>
      <c r="L4637" s="29">
        <f>J4637-K4637</f>
        <v/>
      </c>
      <c r="M4637" t="inlineStr">
        <is>
          <t>1.350</t>
        </is>
      </c>
      <c r="N4637" t="inlineStr">
        <is>
          <t>Modalidade: 0 - Por conta do remetente | Parte: RODRIGUES E CIA LTDA (26.144.570/0001-49)</t>
        </is>
      </c>
      <c r="O4637" s="29" t="n">
        <v>0</v>
      </c>
      <c r="P4637" s="29" t="n">
        <v>0</v>
      </c>
      <c r="Q4637" s="29" t="n">
        <v>0</v>
      </c>
      <c r="R4637" s="29" t="n">
        <v>0</v>
      </c>
      <c r="S4637" s="29" t="n">
        <v>0</v>
      </c>
      <c r="T4637" t="inlineStr">
        <is>
          <t>25240826975620000130570010000025061000000005</t>
        </is>
      </c>
      <c r="U4637" t="inlineStr">
        <is>
          <t>Não</t>
        </is>
      </c>
    </row>
    <row r="4638">
      <c r="A4638" t="inlineStr">
        <is>
          <t>Frete de venda</t>
        </is>
      </c>
      <c r="B4638" t="inlineStr">
        <is>
          <t>2.01.98 Frete Descarregamento</t>
        </is>
      </c>
      <c r="C4638" t="inlineStr">
        <is>
          <t>Antes de 2026</t>
        </is>
      </c>
      <c r="D4638" t="inlineStr">
        <is>
          <t>Antes de 2026</t>
        </is>
      </c>
      <c r="E4638" s="28" t="n">
        <v>45520</v>
      </c>
      <c r="F4638" t="inlineStr">
        <is>
          <t>CT-e</t>
        </is>
      </c>
      <c r="G4638" t="inlineStr">
        <is>
          <t>000002507</t>
        </is>
      </c>
      <c r="H4638" t="inlineStr">
        <is>
          <t>R&amp;R TRANSPORTE E LOGISTICA</t>
        </is>
      </c>
      <c r="J4638" s="29" t="n">
        <v>35</v>
      </c>
      <c r="K4638" s="29">
        <f>(1-ISNUMBER(SEARCH("556",M4638)))*(O4638*SUMIFS(Premissas!$C$5:$C$44,Premissas!$A$5:$A$44,$A4638,Premissas!$B$5:$B$44,$B4638)+P4638*SUMIFS(Premissas!$D$5:$D$44,Premissas!$A$5:$A$44,$A4638,Premissas!$B$5:$B$44,$B4638))+R4638*SUMIFS(Premissas!$E$5:$E$44,Premissas!$A$5:$A$44,$A4638,Premissas!$B$5:$B$44,$B4638)+S4638*SUMIFS(Premissas!$F$5:$F$44,Premissas!$A$5:$A$44,$A4638,Premissas!$B$5:$B$44,$B4638)</f>
        <v/>
      </c>
      <c r="L4638" s="29">
        <f>J4638-K4638</f>
        <v/>
      </c>
      <c r="M4638" t="inlineStr">
        <is>
          <t>1.350</t>
        </is>
      </c>
      <c r="N4638" t="inlineStr">
        <is>
          <t>Modalidade: 0 - Por conta do remetente | Parte: FREITAS COMERCIO DE EMBALAGENS LTDA (17.024.400/0001-30)</t>
        </is>
      </c>
      <c r="O4638" s="29" t="n">
        <v>0</v>
      </c>
      <c r="P4638" s="29" t="n">
        <v>0</v>
      </c>
      <c r="Q4638" s="29" t="n">
        <v>0</v>
      </c>
      <c r="R4638" s="29" t="n">
        <v>0</v>
      </c>
      <c r="S4638" s="29" t="n">
        <v>0</v>
      </c>
      <c r="T4638" t="inlineStr">
        <is>
          <t>25240826975620000130570010000025071000000002</t>
        </is>
      </c>
      <c r="U4638" t="inlineStr">
        <is>
          <t>Não</t>
        </is>
      </c>
    </row>
    <row r="4639">
      <c r="A4639" t="inlineStr">
        <is>
          <t>Frete de venda</t>
        </is>
      </c>
      <c r="B4639" t="inlineStr">
        <is>
          <t>2.01.98 Frete Descarregamento</t>
        </is>
      </c>
      <c r="C4639" t="inlineStr">
        <is>
          <t>Antes de 2026</t>
        </is>
      </c>
      <c r="D4639" t="inlineStr">
        <is>
          <t>Antes de 2026</t>
        </is>
      </c>
      <c r="E4639" s="28" t="n">
        <v>45520</v>
      </c>
      <c r="F4639" t="inlineStr">
        <is>
          <t>CT-e</t>
        </is>
      </c>
      <c r="G4639" t="inlineStr">
        <is>
          <t>000002508</t>
        </is>
      </c>
      <c r="H4639" t="inlineStr">
        <is>
          <t>R&amp;R TRANSPORTE E LOGISTICA</t>
        </is>
      </c>
      <c r="J4639" s="29" t="n">
        <v>25</v>
      </c>
      <c r="K4639" s="29">
        <f>(1-ISNUMBER(SEARCH("556",M4639)))*(O4639*SUMIFS(Premissas!$C$5:$C$44,Premissas!$A$5:$A$44,$A4639,Premissas!$B$5:$B$44,$B4639)+P4639*SUMIFS(Premissas!$D$5:$D$44,Premissas!$A$5:$A$44,$A4639,Premissas!$B$5:$B$44,$B4639))+R4639*SUMIFS(Premissas!$E$5:$E$44,Premissas!$A$5:$A$44,$A4639,Premissas!$B$5:$B$44,$B4639)+S4639*SUMIFS(Premissas!$F$5:$F$44,Premissas!$A$5:$A$44,$A4639,Premissas!$B$5:$B$44,$B4639)</f>
        <v/>
      </c>
      <c r="L4639" s="29">
        <f>J4639-K4639</f>
        <v/>
      </c>
      <c r="M4639" t="inlineStr">
        <is>
          <t>1.350</t>
        </is>
      </c>
      <c r="N4639" t="inlineStr">
        <is>
          <t>Modalidade: 0 - Por conta do remetente | Parte: CARLOS ROBERTO DA SILVA (55.424.512/0001-77)</t>
        </is>
      </c>
      <c r="O4639" s="29" t="n">
        <v>0</v>
      </c>
      <c r="P4639" s="29" t="n">
        <v>0</v>
      </c>
      <c r="Q4639" s="29" t="n">
        <v>0</v>
      </c>
      <c r="R4639" s="29" t="n">
        <v>0</v>
      </c>
      <c r="S4639" s="29" t="n">
        <v>0</v>
      </c>
      <c r="T4639" t="inlineStr">
        <is>
          <t>25240826975620000130570010000025081000000000</t>
        </is>
      </c>
      <c r="U4639" t="inlineStr">
        <is>
          <t>Não</t>
        </is>
      </c>
    </row>
    <row r="4640">
      <c r="A4640" t="inlineStr">
        <is>
          <t>Frete de venda</t>
        </is>
      </c>
      <c r="B4640" t="inlineStr">
        <is>
          <t>2.01.98 Frete Descarregamento</t>
        </is>
      </c>
      <c r="C4640" t="inlineStr">
        <is>
          <t>Antes de 2026</t>
        </is>
      </c>
      <c r="D4640" t="inlineStr">
        <is>
          <t>Antes de 2026</t>
        </is>
      </c>
      <c r="E4640" s="28" t="n">
        <v>45523</v>
      </c>
      <c r="F4640" t="inlineStr">
        <is>
          <t>CT-e</t>
        </is>
      </c>
      <c r="G4640" t="inlineStr">
        <is>
          <t>000002511</t>
        </is>
      </c>
      <c r="H4640" t="inlineStr">
        <is>
          <t>R&amp;R TRANSPORTE E LOGISTICA</t>
        </is>
      </c>
      <c r="J4640" s="29" t="n">
        <v>300</v>
      </c>
      <c r="K4640" s="29">
        <f>(1-ISNUMBER(SEARCH("556",M4640)))*(O4640*SUMIFS(Premissas!$C$5:$C$44,Premissas!$A$5:$A$44,$A4640,Premissas!$B$5:$B$44,$B4640)+P4640*SUMIFS(Premissas!$D$5:$D$44,Premissas!$A$5:$A$44,$A4640,Premissas!$B$5:$B$44,$B4640))+R4640*SUMIFS(Premissas!$E$5:$E$44,Premissas!$A$5:$A$44,$A4640,Premissas!$B$5:$B$44,$B4640)+S4640*SUMIFS(Premissas!$F$5:$F$44,Premissas!$A$5:$A$44,$A4640,Premissas!$B$5:$B$44,$B4640)</f>
        <v/>
      </c>
      <c r="L4640" s="29">
        <f>J4640-K4640</f>
        <v/>
      </c>
      <c r="M4640" t="inlineStr">
        <is>
          <t>1.350</t>
        </is>
      </c>
      <c r="N4640" t="inlineStr">
        <is>
          <t>Modalidade: 0 - Por conta do remetente | Parte: CLOVES BEZERRA DE ARAUJO (010.366.654-02)</t>
        </is>
      </c>
      <c r="O4640" s="29" t="n">
        <v>0</v>
      </c>
      <c r="P4640" s="29" t="n">
        <v>0</v>
      </c>
      <c r="Q4640" s="29" t="n">
        <v>0</v>
      </c>
      <c r="R4640" s="29" t="n">
        <v>0</v>
      </c>
      <c r="S4640" s="29" t="n">
        <v>0</v>
      </c>
      <c r="T4640" t="inlineStr">
        <is>
          <t>25240826975620000130570010000025111000000005</t>
        </is>
      </c>
      <c r="U4640" t="inlineStr">
        <is>
          <t>Não</t>
        </is>
      </c>
    </row>
    <row r="4641">
      <c r="A4641" t="inlineStr">
        <is>
          <t>Frete de venda</t>
        </is>
      </c>
      <c r="B4641" t="inlineStr">
        <is>
          <t>2.01.98 Frete Descarregamento</t>
        </is>
      </c>
      <c r="C4641" t="inlineStr">
        <is>
          <t>Antes de 2026</t>
        </is>
      </c>
      <c r="D4641" t="inlineStr">
        <is>
          <t>Antes de 2026</t>
        </is>
      </c>
      <c r="E4641" s="28" t="n">
        <v>45526</v>
      </c>
      <c r="F4641" t="inlineStr">
        <is>
          <t>CT-e</t>
        </is>
      </c>
      <c r="G4641" t="inlineStr">
        <is>
          <t>000002520</t>
        </is>
      </c>
      <c r="H4641" t="inlineStr">
        <is>
          <t>R&amp;R TRANSPORTE E LOGISTICA</t>
        </is>
      </c>
      <c r="J4641" s="29" t="n">
        <v>380</v>
      </c>
      <c r="K4641" s="29">
        <f>(1-ISNUMBER(SEARCH("556",M4641)))*(O4641*SUMIFS(Premissas!$C$5:$C$44,Premissas!$A$5:$A$44,$A4641,Premissas!$B$5:$B$44,$B4641)+P4641*SUMIFS(Premissas!$D$5:$D$44,Premissas!$A$5:$A$44,$A4641,Premissas!$B$5:$B$44,$B4641))+R4641*SUMIFS(Premissas!$E$5:$E$44,Premissas!$A$5:$A$44,$A4641,Premissas!$B$5:$B$44,$B4641)+S4641*SUMIFS(Premissas!$F$5:$F$44,Premissas!$A$5:$A$44,$A4641,Premissas!$B$5:$B$44,$B4641)</f>
        <v/>
      </c>
      <c r="L4641" s="29">
        <f>J4641-K4641</f>
        <v/>
      </c>
      <c r="M4641" t="inlineStr">
        <is>
          <t>1.350</t>
        </is>
      </c>
      <c r="N4641" t="inlineStr">
        <is>
          <t>Modalidade: 0 - Por conta do remetente | Parte: COMERCIAL QUERUBIM DE ALIMENTOS LTDA (12.536.729/0001-66)</t>
        </is>
      </c>
      <c r="O4641" s="29" t="n">
        <v>0</v>
      </c>
      <c r="P4641" s="29" t="n">
        <v>0</v>
      </c>
      <c r="Q4641" s="29" t="n">
        <v>0</v>
      </c>
      <c r="R4641" s="29" t="n">
        <v>0</v>
      </c>
      <c r="S4641" s="29" t="n">
        <v>0</v>
      </c>
      <c r="T4641" t="inlineStr">
        <is>
          <t>25240826975620000130570010000025201000000004</t>
        </is>
      </c>
      <c r="U4641" t="inlineStr">
        <is>
          <t>Não</t>
        </is>
      </c>
    </row>
    <row r="4642">
      <c r="A4642" t="inlineStr">
        <is>
          <t>Frete de venda</t>
        </is>
      </c>
      <c r="B4642" t="inlineStr">
        <is>
          <t>2.01.98 Frete Descarregamento</t>
        </is>
      </c>
      <c r="C4642" t="inlineStr">
        <is>
          <t>Antes de 2026</t>
        </is>
      </c>
      <c r="D4642" t="inlineStr">
        <is>
          <t>Antes de 2026</t>
        </is>
      </c>
      <c r="E4642" s="28" t="n">
        <v>45526</v>
      </c>
      <c r="F4642" t="inlineStr">
        <is>
          <t>CT-e</t>
        </is>
      </c>
      <c r="G4642" t="inlineStr">
        <is>
          <t>000002521</t>
        </is>
      </c>
      <c r="H4642" t="inlineStr">
        <is>
          <t>R&amp;R TRANSPORTE E LOGISTICA</t>
        </is>
      </c>
      <c r="J4642" s="29" t="n">
        <v>380</v>
      </c>
      <c r="K4642" s="29">
        <f>(1-ISNUMBER(SEARCH("556",M4642)))*(O4642*SUMIFS(Premissas!$C$5:$C$44,Premissas!$A$5:$A$44,$A4642,Premissas!$B$5:$B$44,$B4642)+P4642*SUMIFS(Premissas!$D$5:$D$44,Premissas!$A$5:$A$44,$A4642,Premissas!$B$5:$B$44,$B4642))+R4642*SUMIFS(Premissas!$E$5:$E$44,Premissas!$A$5:$A$44,$A4642,Premissas!$B$5:$B$44,$B4642)+S4642*SUMIFS(Premissas!$F$5:$F$44,Premissas!$A$5:$A$44,$A4642,Premissas!$B$5:$B$44,$B4642)</f>
        <v/>
      </c>
      <c r="L4642" s="29">
        <f>J4642-K4642</f>
        <v/>
      </c>
      <c r="M4642" t="inlineStr">
        <is>
          <t>1.350</t>
        </is>
      </c>
      <c r="N4642" t="inlineStr">
        <is>
          <t>Modalidade: 0 - Por conta do remetente | Parte: MACROPAC PROTECAO E EMBALAGEM LTDA (11.840.014/0001-30)</t>
        </is>
      </c>
      <c r="O4642" s="29" t="n">
        <v>0</v>
      </c>
      <c r="P4642" s="29" t="n">
        <v>0</v>
      </c>
      <c r="Q4642" s="29" t="n">
        <v>0</v>
      </c>
      <c r="R4642" s="29" t="n">
        <v>0</v>
      </c>
      <c r="S4642" s="29" t="n">
        <v>0</v>
      </c>
      <c r="T4642" t="inlineStr">
        <is>
          <t>25240826975620000130570010000025211000000001</t>
        </is>
      </c>
      <c r="U4642" t="inlineStr">
        <is>
          <t>Não</t>
        </is>
      </c>
    </row>
    <row r="4643">
      <c r="A4643" t="inlineStr">
        <is>
          <t>Frete de venda</t>
        </is>
      </c>
      <c r="B4643" t="inlineStr">
        <is>
          <t>2.01.98 Frete Descarregamento</t>
        </is>
      </c>
      <c r="C4643" t="inlineStr">
        <is>
          <t>Antes de 2026</t>
        </is>
      </c>
      <c r="D4643" t="inlineStr">
        <is>
          <t>Antes de 2026</t>
        </is>
      </c>
      <c r="E4643" s="28" t="n">
        <v>45526</v>
      </c>
      <c r="F4643" t="inlineStr">
        <is>
          <t>CT-e</t>
        </is>
      </c>
      <c r="G4643" t="inlineStr">
        <is>
          <t>000002522</t>
        </is>
      </c>
      <c r="H4643" t="inlineStr">
        <is>
          <t>R&amp;R TRANSPORTE E LOGISTICA</t>
        </is>
      </c>
      <c r="J4643" s="29" t="n">
        <v>390</v>
      </c>
      <c r="K4643" s="29">
        <f>(1-ISNUMBER(SEARCH("556",M4643)))*(O4643*SUMIFS(Premissas!$C$5:$C$44,Premissas!$A$5:$A$44,$A4643,Premissas!$B$5:$B$44,$B4643)+P4643*SUMIFS(Premissas!$D$5:$D$44,Premissas!$A$5:$A$44,$A4643,Premissas!$B$5:$B$44,$B4643))+R4643*SUMIFS(Premissas!$E$5:$E$44,Premissas!$A$5:$A$44,$A4643,Premissas!$B$5:$B$44,$B4643)+S4643*SUMIFS(Premissas!$F$5:$F$44,Premissas!$A$5:$A$44,$A4643,Premissas!$B$5:$B$44,$B4643)</f>
        <v/>
      </c>
      <c r="L4643" s="29">
        <f>J4643-K4643</f>
        <v/>
      </c>
      <c r="M4643" t="inlineStr">
        <is>
          <t>1.350</t>
        </is>
      </c>
      <c r="N4643" t="inlineStr">
        <is>
          <t>Modalidade: 0 - Por conta do remetente | Parte: EMC2 DIST DE MAT DE PAPEIS E DESC - LEV PAPER (02.097.529/0001-09)</t>
        </is>
      </c>
      <c r="O4643" s="29" t="n">
        <v>0</v>
      </c>
      <c r="P4643" s="29" t="n">
        <v>0</v>
      </c>
      <c r="Q4643" s="29" t="n">
        <v>0</v>
      </c>
      <c r="R4643" s="29" t="n">
        <v>0</v>
      </c>
      <c r="S4643" s="29" t="n">
        <v>0</v>
      </c>
      <c r="T4643" t="inlineStr">
        <is>
          <t>25240826975620000130570010000025221000000009</t>
        </is>
      </c>
      <c r="U4643" t="inlineStr">
        <is>
          <t>Não</t>
        </is>
      </c>
    </row>
    <row r="4644">
      <c r="A4644" t="inlineStr">
        <is>
          <t>Frete de venda</t>
        </is>
      </c>
      <c r="B4644" t="inlineStr">
        <is>
          <t>2.01.98 Frete Descarregamento</t>
        </is>
      </c>
      <c r="C4644" t="inlineStr">
        <is>
          <t>Antes de 2026</t>
        </is>
      </c>
      <c r="D4644" t="inlineStr">
        <is>
          <t>Antes de 2026</t>
        </is>
      </c>
      <c r="E4644" s="28" t="n">
        <v>45527</v>
      </c>
      <c r="F4644" t="inlineStr">
        <is>
          <t>CT-e</t>
        </is>
      </c>
      <c r="G4644" t="inlineStr">
        <is>
          <t>000002530</t>
        </is>
      </c>
      <c r="H4644" t="inlineStr">
        <is>
          <t>R&amp;R TRANSPORTE E LOGISTICA</t>
        </is>
      </c>
      <c r="J4644" s="29" t="n">
        <v>1300</v>
      </c>
      <c r="K4644" s="29">
        <f>(1-ISNUMBER(SEARCH("556",M4644)))*(O4644*SUMIFS(Premissas!$C$5:$C$44,Premissas!$A$5:$A$44,$A4644,Premissas!$B$5:$B$44,$B4644)+P4644*SUMIFS(Premissas!$D$5:$D$44,Premissas!$A$5:$A$44,$A4644,Premissas!$B$5:$B$44,$B4644))+R4644*SUMIFS(Premissas!$E$5:$E$44,Premissas!$A$5:$A$44,$A4644,Premissas!$B$5:$B$44,$B4644)+S4644*SUMIFS(Premissas!$F$5:$F$44,Premissas!$A$5:$A$44,$A4644,Premissas!$B$5:$B$44,$B4644)</f>
        <v/>
      </c>
      <c r="L4644" s="29">
        <f>J4644-K4644</f>
        <v/>
      </c>
      <c r="M4644" t="inlineStr">
        <is>
          <t>1.350</t>
        </is>
      </c>
      <c r="N4644" t="inlineStr">
        <is>
          <t>Modalidade: 0 - Por conta do remetente | Parte: MIL EMBALAGENS LTDA (43.772.746/0001-26)</t>
        </is>
      </c>
      <c r="O4644" s="29" t="n">
        <v>0</v>
      </c>
      <c r="P4644" s="29" t="n">
        <v>0</v>
      </c>
      <c r="Q4644" s="29" t="n">
        <v>0</v>
      </c>
      <c r="R4644" s="29" t="n">
        <v>0</v>
      </c>
      <c r="S4644" s="29" t="n">
        <v>0</v>
      </c>
      <c r="T4644" t="inlineStr">
        <is>
          <t>25240826975620000130570010000025301000000000</t>
        </is>
      </c>
      <c r="U4644" t="inlineStr">
        <is>
          <t>Não</t>
        </is>
      </c>
    </row>
    <row r="4645">
      <c r="A4645" t="inlineStr">
        <is>
          <t>Frete de venda</t>
        </is>
      </c>
      <c r="B4645" t="inlineStr">
        <is>
          <t>2.01.98 Frete Descarregamento</t>
        </is>
      </c>
      <c r="C4645" t="inlineStr">
        <is>
          <t>Antes de 2026</t>
        </is>
      </c>
      <c r="D4645" t="inlineStr">
        <is>
          <t>Antes de 2026</t>
        </is>
      </c>
      <c r="E4645" s="28" t="n">
        <v>45527</v>
      </c>
      <c r="F4645" t="inlineStr">
        <is>
          <t>CT-e</t>
        </is>
      </c>
      <c r="G4645" t="inlineStr">
        <is>
          <t>000002531</t>
        </is>
      </c>
      <c r="H4645" t="inlineStr">
        <is>
          <t>R&amp;R TRANSPORTE E LOGISTICA</t>
        </is>
      </c>
      <c r="J4645" s="29" t="n">
        <v>1300</v>
      </c>
      <c r="K4645" s="29">
        <f>(1-ISNUMBER(SEARCH("556",M4645)))*(O4645*SUMIFS(Premissas!$C$5:$C$44,Premissas!$A$5:$A$44,$A4645,Premissas!$B$5:$B$44,$B4645)+P4645*SUMIFS(Premissas!$D$5:$D$44,Premissas!$A$5:$A$44,$A4645,Premissas!$B$5:$B$44,$B4645))+R4645*SUMIFS(Premissas!$E$5:$E$44,Premissas!$A$5:$A$44,$A4645,Premissas!$B$5:$B$44,$B4645)+S4645*SUMIFS(Premissas!$F$5:$F$44,Premissas!$A$5:$A$44,$A4645,Premissas!$B$5:$B$44,$B4645)</f>
        <v/>
      </c>
      <c r="L4645" s="29">
        <f>J4645-K4645</f>
        <v/>
      </c>
      <c r="M4645" t="inlineStr">
        <is>
          <t>1.350</t>
        </is>
      </c>
      <c r="N4645" t="inlineStr">
        <is>
          <t>Modalidade: 0 - Por conta do remetente | Parte: JND DISTRIBUIDORA LTDA (36.332.668/0001-83)</t>
        </is>
      </c>
      <c r="O4645" s="29" t="n">
        <v>0</v>
      </c>
      <c r="P4645" s="29" t="n">
        <v>0</v>
      </c>
      <c r="Q4645" s="29" t="n">
        <v>0</v>
      </c>
      <c r="R4645" s="29" t="n">
        <v>0</v>
      </c>
      <c r="S4645" s="29" t="n">
        <v>0</v>
      </c>
      <c r="T4645" t="inlineStr">
        <is>
          <t>25240826975620000130570010000025311000000008</t>
        </is>
      </c>
      <c r="U4645" t="inlineStr">
        <is>
          <t>Não</t>
        </is>
      </c>
    </row>
    <row r="4646">
      <c r="A4646" t="inlineStr">
        <is>
          <t>Frete de venda</t>
        </is>
      </c>
      <c r="B4646" t="inlineStr">
        <is>
          <t>2.01.98 Frete Descarregamento</t>
        </is>
      </c>
      <c r="C4646" t="inlineStr">
        <is>
          <t>Antes de 2026</t>
        </is>
      </c>
      <c r="D4646" t="inlineStr">
        <is>
          <t>Antes de 2026</t>
        </is>
      </c>
      <c r="E4646" s="28" t="n">
        <v>45527</v>
      </c>
      <c r="F4646" t="inlineStr">
        <is>
          <t>CT-e</t>
        </is>
      </c>
      <c r="G4646" t="inlineStr">
        <is>
          <t>000002532</t>
        </is>
      </c>
      <c r="H4646" t="inlineStr">
        <is>
          <t>R&amp;R TRANSPORTE E LOGISTICA</t>
        </is>
      </c>
      <c r="J4646" s="29" t="n">
        <v>1200</v>
      </c>
      <c r="K4646" s="29">
        <f>(1-ISNUMBER(SEARCH("556",M4646)))*(O4646*SUMIFS(Premissas!$C$5:$C$44,Premissas!$A$5:$A$44,$A4646,Premissas!$B$5:$B$44,$B4646)+P4646*SUMIFS(Premissas!$D$5:$D$44,Premissas!$A$5:$A$44,$A4646,Premissas!$B$5:$B$44,$B4646))+R4646*SUMIFS(Premissas!$E$5:$E$44,Premissas!$A$5:$A$44,$A4646,Premissas!$B$5:$B$44,$B4646)+S4646*SUMIFS(Premissas!$F$5:$F$44,Premissas!$A$5:$A$44,$A4646,Premissas!$B$5:$B$44,$B4646)</f>
        <v/>
      </c>
      <c r="L4646" s="29">
        <f>J4646-K4646</f>
        <v/>
      </c>
      <c r="M4646" t="inlineStr">
        <is>
          <t>1.350</t>
        </is>
      </c>
      <c r="N4646" t="inlineStr">
        <is>
          <t>Modalidade: 0 - Por conta do remetente | Parte: BM - JACKSON JEAN OLIVEIRA (32.079.958/0001-06)</t>
        </is>
      </c>
      <c r="O4646" s="29" t="n">
        <v>0</v>
      </c>
      <c r="P4646" s="29" t="n">
        <v>0</v>
      </c>
      <c r="Q4646" s="29" t="n">
        <v>0</v>
      </c>
      <c r="R4646" s="29" t="n">
        <v>0</v>
      </c>
      <c r="S4646" s="29" t="n">
        <v>0</v>
      </c>
      <c r="T4646" t="inlineStr">
        <is>
          <t>25240826975620000130570010000025321000000005</t>
        </is>
      </c>
      <c r="U4646" t="inlineStr">
        <is>
          <t>Não</t>
        </is>
      </c>
    </row>
    <row r="4647">
      <c r="A4647" t="inlineStr">
        <is>
          <t>Frete de venda</t>
        </is>
      </c>
      <c r="B4647" t="inlineStr">
        <is>
          <t>2.01.98 Frete Descarregamento</t>
        </is>
      </c>
      <c r="C4647" t="inlineStr">
        <is>
          <t>Antes de 2026</t>
        </is>
      </c>
      <c r="D4647" t="inlineStr">
        <is>
          <t>Antes de 2026</t>
        </is>
      </c>
      <c r="E4647" s="28" t="n">
        <v>45531</v>
      </c>
      <c r="F4647" t="inlineStr">
        <is>
          <t>CT-e</t>
        </is>
      </c>
      <c r="G4647" t="inlineStr">
        <is>
          <t>000002545</t>
        </is>
      </c>
      <c r="H4647" t="inlineStr">
        <is>
          <t>R&amp;R TRANSPORTE E LOGISTICA</t>
        </is>
      </c>
      <c r="J4647" s="29" t="n">
        <v>50</v>
      </c>
      <c r="K4647" s="29">
        <f>(1-ISNUMBER(SEARCH("556",M4647)))*(O4647*SUMIFS(Premissas!$C$5:$C$44,Premissas!$A$5:$A$44,$A4647,Premissas!$B$5:$B$44,$B4647)+P4647*SUMIFS(Premissas!$D$5:$D$44,Premissas!$A$5:$A$44,$A4647,Premissas!$B$5:$B$44,$B4647))+R4647*SUMIFS(Premissas!$E$5:$E$44,Premissas!$A$5:$A$44,$A4647,Premissas!$B$5:$B$44,$B4647)+S4647*SUMIFS(Premissas!$F$5:$F$44,Premissas!$A$5:$A$44,$A4647,Premissas!$B$5:$B$44,$B4647)</f>
        <v/>
      </c>
      <c r="L4647" s="29">
        <f>J4647-K4647</f>
        <v/>
      </c>
      <c r="M4647" t="inlineStr">
        <is>
          <t>1.350</t>
        </is>
      </c>
      <c r="N4647" t="inlineStr">
        <is>
          <t>Modalidade: 0 - Por conta do remetente | Parte: SHALLON EMBALAGENS LTDA (49.431.842/0001-97)</t>
        </is>
      </c>
      <c r="O4647" s="29" t="n">
        <v>0</v>
      </c>
      <c r="P4647" s="29" t="n">
        <v>0</v>
      </c>
      <c r="Q4647" s="29" t="n">
        <v>0</v>
      </c>
      <c r="R4647" s="29" t="n">
        <v>0</v>
      </c>
      <c r="S4647" s="29" t="n">
        <v>0</v>
      </c>
      <c r="T4647" t="inlineStr">
        <is>
          <t>25240826975620000130570010000025451000000003</t>
        </is>
      </c>
      <c r="U4647" t="inlineStr">
        <is>
          <t>Não</t>
        </is>
      </c>
    </row>
    <row r="4648">
      <c r="A4648" t="inlineStr">
        <is>
          <t>Frete de venda</t>
        </is>
      </c>
      <c r="B4648" t="inlineStr">
        <is>
          <t>2.01.98 Frete Descarregamento</t>
        </is>
      </c>
      <c r="C4648" t="inlineStr">
        <is>
          <t>Antes de 2026</t>
        </is>
      </c>
      <c r="D4648" t="inlineStr">
        <is>
          <t>Antes de 2026</t>
        </is>
      </c>
      <c r="E4648" s="28" t="n">
        <v>45531</v>
      </c>
      <c r="F4648" t="inlineStr">
        <is>
          <t>CT-e</t>
        </is>
      </c>
      <c r="G4648" t="inlineStr">
        <is>
          <t>000002546</t>
        </is>
      </c>
      <c r="H4648" t="inlineStr">
        <is>
          <t>R&amp;R TRANSPORTE E LOGISTICA</t>
        </is>
      </c>
      <c r="J4648" s="29" t="n">
        <v>150</v>
      </c>
      <c r="K4648" s="29">
        <f>(1-ISNUMBER(SEARCH("556",M4648)))*(O4648*SUMIFS(Premissas!$C$5:$C$44,Premissas!$A$5:$A$44,$A4648,Premissas!$B$5:$B$44,$B4648)+P4648*SUMIFS(Premissas!$D$5:$D$44,Premissas!$A$5:$A$44,$A4648,Premissas!$B$5:$B$44,$B4648))+R4648*SUMIFS(Premissas!$E$5:$E$44,Premissas!$A$5:$A$44,$A4648,Premissas!$B$5:$B$44,$B4648)+S4648*SUMIFS(Premissas!$F$5:$F$44,Premissas!$A$5:$A$44,$A4648,Premissas!$B$5:$B$44,$B4648)</f>
        <v/>
      </c>
      <c r="L4648" s="29">
        <f>J4648-K4648</f>
        <v/>
      </c>
      <c r="M4648" t="inlineStr">
        <is>
          <t>1.350</t>
        </is>
      </c>
      <c r="N4648" t="inlineStr">
        <is>
          <t>Modalidade: 0 - Por conta do remetente | Parte: DISTRIBUIDORA DE EMBALAGENS LTDA (39.303.469/0001-35)</t>
        </is>
      </c>
      <c r="O4648" s="29" t="n">
        <v>0</v>
      </c>
      <c r="P4648" s="29" t="n">
        <v>0</v>
      </c>
      <c r="Q4648" s="29" t="n">
        <v>0</v>
      </c>
      <c r="R4648" s="29" t="n">
        <v>0</v>
      </c>
      <c r="S4648" s="29" t="n">
        <v>0</v>
      </c>
      <c r="T4648" t="inlineStr">
        <is>
          <t>25240826975620000130570010000025461000000000</t>
        </is>
      </c>
      <c r="U4648" t="inlineStr">
        <is>
          <t>Não</t>
        </is>
      </c>
    </row>
    <row r="4649">
      <c r="A4649" t="inlineStr">
        <is>
          <t>Frete de venda</t>
        </is>
      </c>
      <c r="B4649" t="inlineStr">
        <is>
          <t>2.01.98 Frete Descarregamento</t>
        </is>
      </c>
      <c r="C4649" t="inlineStr">
        <is>
          <t>Antes de 2026</t>
        </is>
      </c>
      <c r="D4649" t="inlineStr">
        <is>
          <t>Antes de 2026</t>
        </is>
      </c>
      <c r="E4649" s="28" t="n">
        <v>45534</v>
      </c>
      <c r="F4649" t="inlineStr">
        <is>
          <t>CT-e</t>
        </is>
      </c>
      <c r="G4649" t="inlineStr">
        <is>
          <t>000002558</t>
        </is>
      </c>
      <c r="H4649" t="inlineStr">
        <is>
          <t>R&amp;R TRANSPORTE E LOGISTICA</t>
        </is>
      </c>
      <c r="J4649" s="29" t="n">
        <v>91</v>
      </c>
      <c r="K4649" s="29">
        <f>(1-ISNUMBER(SEARCH("556",M4649)))*(O4649*SUMIFS(Premissas!$C$5:$C$44,Premissas!$A$5:$A$44,$A4649,Premissas!$B$5:$B$44,$B4649)+P4649*SUMIFS(Premissas!$D$5:$D$44,Premissas!$A$5:$A$44,$A4649,Premissas!$B$5:$B$44,$B4649))+R4649*SUMIFS(Premissas!$E$5:$E$44,Premissas!$A$5:$A$44,$A4649,Premissas!$B$5:$B$44,$B4649)+S4649*SUMIFS(Premissas!$F$5:$F$44,Premissas!$A$5:$A$44,$A4649,Premissas!$B$5:$B$44,$B4649)</f>
        <v/>
      </c>
      <c r="L4649" s="29">
        <f>J4649-K4649</f>
        <v/>
      </c>
      <c r="M4649" t="inlineStr">
        <is>
          <t>1.350</t>
        </is>
      </c>
      <c r="N4649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4649" s="29" t="n">
        <v>0</v>
      </c>
      <c r="P4649" s="29" t="n">
        <v>0</v>
      </c>
      <c r="Q4649" s="29" t="n">
        <v>0</v>
      </c>
      <c r="R4649" s="29" t="n">
        <v>0</v>
      </c>
      <c r="S4649" s="29" t="n">
        <v>0</v>
      </c>
      <c r="T4649" t="inlineStr">
        <is>
          <t>25240826975620000130570010000025581000000001</t>
        </is>
      </c>
      <c r="U4649" t="inlineStr">
        <is>
          <t>Não</t>
        </is>
      </c>
    </row>
    <row r="4650">
      <c r="A4650" t="inlineStr">
        <is>
          <t>Frete de venda</t>
        </is>
      </c>
      <c r="B4650" t="inlineStr">
        <is>
          <t>2.01.98 Frete Descarregamento</t>
        </is>
      </c>
      <c r="C4650" t="inlineStr">
        <is>
          <t>Antes de 2026</t>
        </is>
      </c>
      <c r="D4650" t="inlineStr">
        <is>
          <t>Antes de 2026</t>
        </is>
      </c>
      <c r="E4650" s="28" t="n">
        <v>45538</v>
      </c>
      <c r="F4650" t="inlineStr">
        <is>
          <t>CT-e</t>
        </is>
      </c>
      <c r="G4650" t="inlineStr">
        <is>
          <t>000002572</t>
        </is>
      </c>
      <c r="H4650" t="inlineStr">
        <is>
          <t>R&amp;R TRANSPORTE E LOGISTICA</t>
        </is>
      </c>
      <c r="J4650" s="29" t="n">
        <v>37.5</v>
      </c>
      <c r="K4650" s="29">
        <f>(1-ISNUMBER(SEARCH("556",M4650)))*(O4650*SUMIFS(Premissas!$C$5:$C$44,Premissas!$A$5:$A$44,$A4650,Premissas!$B$5:$B$44,$B4650)+P4650*SUMIFS(Premissas!$D$5:$D$44,Premissas!$A$5:$A$44,$A4650,Premissas!$B$5:$B$44,$B4650))+R4650*SUMIFS(Premissas!$E$5:$E$44,Premissas!$A$5:$A$44,$A4650,Premissas!$B$5:$B$44,$B4650)+S4650*SUMIFS(Premissas!$F$5:$F$44,Premissas!$A$5:$A$44,$A4650,Premissas!$B$5:$B$44,$B4650)</f>
        <v/>
      </c>
      <c r="L4650" s="29">
        <f>J4650-K4650</f>
        <v/>
      </c>
      <c r="M4650" t="inlineStr">
        <is>
          <t>1.350</t>
        </is>
      </c>
      <c r="N4650" t="inlineStr">
        <is>
          <t>Modalidade: 0 - Por conta do remetente | Parte: R L COMERCIO DE EMBALAGENS PLASTICAS LTDA (33.919.949/0001-49)</t>
        </is>
      </c>
      <c r="O4650" s="29" t="n">
        <v>0</v>
      </c>
      <c r="P4650" s="29" t="n">
        <v>0</v>
      </c>
      <c r="Q4650" s="29" t="n">
        <v>0</v>
      </c>
      <c r="R4650" s="29" t="n">
        <v>0</v>
      </c>
      <c r="S4650" s="29" t="n">
        <v>0</v>
      </c>
      <c r="T4650" t="inlineStr">
        <is>
          <t>25240926975620000130570010000025721000000004</t>
        </is>
      </c>
      <c r="U4650" t="inlineStr">
        <is>
          <t>Não</t>
        </is>
      </c>
    </row>
    <row r="4651">
      <c r="A4651" t="inlineStr">
        <is>
          <t>Frete de venda</t>
        </is>
      </c>
      <c r="B4651" t="inlineStr">
        <is>
          <t>2.01.98 Frete Descarregamento</t>
        </is>
      </c>
      <c r="C4651" t="inlineStr">
        <is>
          <t>Antes de 2026</t>
        </is>
      </c>
      <c r="D4651" t="inlineStr">
        <is>
          <t>Antes de 2026</t>
        </is>
      </c>
      <c r="E4651" s="28" t="n">
        <v>45538</v>
      </c>
      <c r="F4651" t="inlineStr">
        <is>
          <t>CT-e</t>
        </is>
      </c>
      <c r="G4651" t="inlineStr">
        <is>
          <t>000002573</t>
        </is>
      </c>
      <c r="H4651" t="inlineStr">
        <is>
          <t>R&amp;R TRANSPORTE E LOGISTICA</t>
        </is>
      </c>
      <c r="J4651" s="29" t="n">
        <v>37.5</v>
      </c>
      <c r="K4651" s="29">
        <f>(1-ISNUMBER(SEARCH("556",M4651)))*(O4651*SUMIFS(Premissas!$C$5:$C$44,Premissas!$A$5:$A$44,$A4651,Premissas!$B$5:$B$44,$B4651)+P4651*SUMIFS(Premissas!$D$5:$D$44,Premissas!$A$5:$A$44,$A4651,Premissas!$B$5:$B$44,$B4651))+R4651*SUMIFS(Premissas!$E$5:$E$44,Premissas!$A$5:$A$44,$A4651,Premissas!$B$5:$B$44,$B4651)+S4651*SUMIFS(Premissas!$F$5:$F$44,Premissas!$A$5:$A$44,$A4651,Premissas!$B$5:$B$44,$B4651)</f>
        <v/>
      </c>
      <c r="L4651" s="29">
        <f>J4651-K4651</f>
        <v/>
      </c>
      <c r="M4651" t="inlineStr">
        <is>
          <t>1.350</t>
        </is>
      </c>
      <c r="N4651" t="inlineStr">
        <is>
          <t>Modalidade: 0 - Por conta do remetente | Parte: JND DISTRIBUIDORA LTDA (36.332.668/0001-83)</t>
        </is>
      </c>
      <c r="O4651" s="29" t="n">
        <v>0</v>
      </c>
      <c r="P4651" s="29" t="n">
        <v>0</v>
      </c>
      <c r="Q4651" s="29" t="n">
        <v>0</v>
      </c>
      <c r="R4651" s="29" t="n">
        <v>0</v>
      </c>
      <c r="S4651" s="29" t="n">
        <v>0</v>
      </c>
      <c r="T4651" t="inlineStr">
        <is>
          <t>25240926975620000130570010000025731000000001</t>
        </is>
      </c>
      <c r="U4651" t="inlineStr">
        <is>
          <t>Não</t>
        </is>
      </c>
    </row>
    <row r="4652">
      <c r="A4652" t="inlineStr">
        <is>
          <t>Frete de venda</t>
        </is>
      </c>
      <c r="B4652" t="inlineStr">
        <is>
          <t>2.01.98 Frete Descarregamento</t>
        </is>
      </c>
      <c r="C4652" t="inlineStr">
        <is>
          <t>Antes de 2026</t>
        </is>
      </c>
      <c r="D4652" t="inlineStr">
        <is>
          <t>Antes de 2026</t>
        </is>
      </c>
      <c r="E4652" s="28" t="n">
        <v>45538</v>
      </c>
      <c r="F4652" t="inlineStr">
        <is>
          <t>CT-e</t>
        </is>
      </c>
      <c r="G4652" t="inlineStr">
        <is>
          <t>000002574</t>
        </is>
      </c>
      <c r="H4652" t="inlineStr">
        <is>
          <t>R&amp;R TRANSPORTE E LOGISTICA</t>
        </is>
      </c>
      <c r="J4652" s="29" t="n">
        <v>37.5</v>
      </c>
      <c r="K4652" s="29">
        <f>(1-ISNUMBER(SEARCH("556",M4652)))*(O4652*SUMIFS(Premissas!$C$5:$C$44,Premissas!$A$5:$A$44,$A4652,Premissas!$B$5:$B$44,$B4652)+P4652*SUMIFS(Premissas!$D$5:$D$44,Premissas!$A$5:$A$44,$A4652,Premissas!$B$5:$B$44,$B4652))+R4652*SUMIFS(Premissas!$E$5:$E$44,Premissas!$A$5:$A$44,$A4652,Premissas!$B$5:$B$44,$B4652)+S4652*SUMIFS(Premissas!$F$5:$F$44,Premissas!$A$5:$A$44,$A4652,Premissas!$B$5:$B$44,$B4652)</f>
        <v/>
      </c>
      <c r="L4652" s="29">
        <f>J4652-K4652</f>
        <v/>
      </c>
      <c r="M4652" t="inlineStr">
        <is>
          <t>1.350</t>
        </is>
      </c>
      <c r="N4652" t="inlineStr">
        <is>
          <t>Modalidade: 0 - Por conta do remetente | Parte: ESTOCK DISTRIBUIDORA DE EMBALAGENS LTDA (42.003.982/0001-15)</t>
        </is>
      </c>
      <c r="O4652" s="29" t="n">
        <v>0</v>
      </c>
      <c r="P4652" s="29" t="n">
        <v>0</v>
      </c>
      <c r="Q4652" s="29" t="n">
        <v>0</v>
      </c>
      <c r="R4652" s="29" t="n">
        <v>0</v>
      </c>
      <c r="S4652" s="29" t="n">
        <v>0</v>
      </c>
      <c r="T4652" t="inlineStr">
        <is>
          <t>25240926975620000130570010000025741000000009</t>
        </is>
      </c>
      <c r="U4652" t="inlineStr">
        <is>
          <t>Não</t>
        </is>
      </c>
    </row>
    <row r="4653">
      <c r="A4653" t="inlineStr">
        <is>
          <t>Frete de venda</t>
        </is>
      </c>
      <c r="B4653" t="inlineStr">
        <is>
          <t>2.01.98 Frete Descarregamento</t>
        </is>
      </c>
      <c r="C4653" t="inlineStr">
        <is>
          <t>Antes de 2026</t>
        </is>
      </c>
      <c r="D4653" t="inlineStr">
        <is>
          <t>Antes de 2026</t>
        </is>
      </c>
      <c r="E4653" s="28" t="n">
        <v>45538</v>
      </c>
      <c r="F4653" t="inlineStr">
        <is>
          <t>CT-e</t>
        </is>
      </c>
      <c r="G4653" t="inlineStr">
        <is>
          <t>000002575</t>
        </is>
      </c>
      <c r="H4653" t="inlineStr">
        <is>
          <t>R&amp;R TRANSPORTE E LOGISTICA</t>
        </is>
      </c>
      <c r="J4653" s="29" t="n">
        <v>37.5</v>
      </c>
      <c r="K4653" s="29">
        <f>(1-ISNUMBER(SEARCH("556",M4653)))*(O4653*SUMIFS(Premissas!$C$5:$C$44,Premissas!$A$5:$A$44,$A4653,Premissas!$B$5:$B$44,$B4653)+P4653*SUMIFS(Premissas!$D$5:$D$44,Premissas!$A$5:$A$44,$A4653,Premissas!$B$5:$B$44,$B4653))+R4653*SUMIFS(Premissas!$E$5:$E$44,Premissas!$A$5:$A$44,$A4653,Premissas!$B$5:$B$44,$B4653)+S4653*SUMIFS(Premissas!$F$5:$F$44,Premissas!$A$5:$A$44,$A4653,Premissas!$B$5:$B$44,$B4653)</f>
        <v/>
      </c>
      <c r="L4653" s="29">
        <f>J4653-K4653</f>
        <v/>
      </c>
      <c r="M4653" t="inlineStr">
        <is>
          <t>1.350</t>
        </is>
      </c>
      <c r="N4653" t="inlineStr">
        <is>
          <t>Modalidade: 0 - Por conta do remetente | Parte: MARIA DE FATIMA PEREIRA SILVA PLASTICOS EPP (02.716.995/0001-17)</t>
        </is>
      </c>
      <c r="O4653" s="29" t="n">
        <v>0</v>
      </c>
      <c r="P4653" s="29" t="n">
        <v>0</v>
      </c>
      <c r="Q4653" s="29" t="n">
        <v>0</v>
      </c>
      <c r="R4653" s="29" t="n">
        <v>0</v>
      </c>
      <c r="S4653" s="29" t="n">
        <v>0</v>
      </c>
      <c r="T4653" t="inlineStr">
        <is>
          <t>25240926975620000130570010000025751000000006</t>
        </is>
      </c>
      <c r="U4653" t="inlineStr">
        <is>
          <t>Não</t>
        </is>
      </c>
    </row>
    <row r="4654">
      <c r="A4654" t="inlineStr">
        <is>
          <t>Frete de venda</t>
        </is>
      </c>
      <c r="B4654" t="inlineStr">
        <is>
          <t>2.01.98 Frete Descarregamento</t>
        </is>
      </c>
      <c r="C4654" t="inlineStr">
        <is>
          <t>Antes de 2026</t>
        </is>
      </c>
      <c r="D4654" t="inlineStr">
        <is>
          <t>Antes de 2026</t>
        </is>
      </c>
      <c r="E4654" s="28" t="n">
        <v>45538</v>
      </c>
      <c r="F4654" t="inlineStr">
        <is>
          <t>CT-e</t>
        </is>
      </c>
      <c r="G4654" t="inlineStr">
        <is>
          <t>000002576</t>
        </is>
      </c>
      <c r="H4654" t="inlineStr">
        <is>
          <t>R&amp;R TRANSPORTE E LOGISTICA</t>
        </is>
      </c>
      <c r="J4654" s="29" t="n">
        <v>50</v>
      </c>
      <c r="K4654" s="29">
        <f>(1-ISNUMBER(SEARCH("556",M4654)))*(O4654*SUMIFS(Premissas!$C$5:$C$44,Premissas!$A$5:$A$44,$A4654,Premissas!$B$5:$B$44,$B4654)+P4654*SUMIFS(Premissas!$D$5:$D$44,Premissas!$A$5:$A$44,$A4654,Premissas!$B$5:$B$44,$B4654))+R4654*SUMIFS(Premissas!$E$5:$E$44,Premissas!$A$5:$A$44,$A4654,Premissas!$B$5:$B$44,$B4654)+S4654*SUMIFS(Premissas!$F$5:$F$44,Premissas!$A$5:$A$44,$A4654,Premissas!$B$5:$B$44,$B4654)</f>
        <v/>
      </c>
      <c r="L4654" s="29">
        <f>J4654-K4654</f>
        <v/>
      </c>
      <c r="M4654" t="inlineStr">
        <is>
          <t>1.350</t>
        </is>
      </c>
      <c r="N4654" t="inlineStr">
        <is>
          <t>Modalidade: 0 - Por conta do remetente | Parte: DOCA COMERCIO DE PRODUTOS ALIMENTICIOS LTDA (15.258.788/0001-08)</t>
        </is>
      </c>
      <c r="O4654" s="29" t="n">
        <v>0</v>
      </c>
      <c r="P4654" s="29" t="n">
        <v>0</v>
      </c>
      <c r="Q4654" s="29" t="n">
        <v>0</v>
      </c>
      <c r="R4654" s="29" t="n">
        <v>0</v>
      </c>
      <c r="S4654" s="29" t="n">
        <v>0</v>
      </c>
      <c r="T4654" t="inlineStr">
        <is>
          <t>25240926975620000130570010000025761000000003</t>
        </is>
      </c>
      <c r="U4654" t="inlineStr">
        <is>
          <t>Não</t>
        </is>
      </c>
    </row>
    <row r="4655">
      <c r="A4655" t="inlineStr">
        <is>
          <t>Frete de venda</t>
        </is>
      </c>
      <c r="B4655" t="inlineStr">
        <is>
          <t>2.01.98 Frete Descarregamento</t>
        </is>
      </c>
      <c r="C4655" t="inlineStr">
        <is>
          <t>Antes de 2026</t>
        </is>
      </c>
      <c r="D4655" t="inlineStr">
        <is>
          <t>Antes de 2026</t>
        </is>
      </c>
      <c r="E4655" s="28" t="n">
        <v>45539</v>
      </c>
      <c r="F4655" t="inlineStr">
        <is>
          <t>CT-e</t>
        </is>
      </c>
      <c r="G4655" t="inlineStr">
        <is>
          <t>000002588</t>
        </is>
      </c>
      <c r="H4655" t="inlineStr">
        <is>
          <t>R&amp;R TRANSPORTE E LOGISTICA</t>
        </is>
      </c>
      <c r="J4655" s="29" t="n">
        <v>30</v>
      </c>
      <c r="K4655" s="29">
        <f>(1-ISNUMBER(SEARCH("556",M4655)))*(O4655*SUMIFS(Premissas!$C$5:$C$44,Premissas!$A$5:$A$44,$A4655,Premissas!$B$5:$B$44,$B4655)+P4655*SUMIFS(Premissas!$D$5:$D$44,Premissas!$A$5:$A$44,$A4655,Premissas!$B$5:$B$44,$B4655))+R4655*SUMIFS(Premissas!$E$5:$E$44,Premissas!$A$5:$A$44,$A4655,Premissas!$B$5:$B$44,$B4655)+S4655*SUMIFS(Premissas!$F$5:$F$44,Premissas!$A$5:$A$44,$A4655,Premissas!$B$5:$B$44,$B4655)</f>
        <v/>
      </c>
      <c r="L4655" s="29">
        <f>J4655-K4655</f>
        <v/>
      </c>
      <c r="M4655" t="inlineStr">
        <is>
          <t>1.350</t>
        </is>
      </c>
      <c r="N4655" t="inlineStr">
        <is>
          <t>Modalidade: 0 - Por conta do remetente | Parte: GABRIEL ROCHA DA CRUZ (53.721.083/0001-74)</t>
        </is>
      </c>
      <c r="O4655" s="29" t="n">
        <v>0</v>
      </c>
      <c r="P4655" s="29" t="n">
        <v>0</v>
      </c>
      <c r="Q4655" s="29" t="n">
        <v>0</v>
      </c>
      <c r="R4655" s="29" t="n">
        <v>0</v>
      </c>
      <c r="S4655" s="29" t="n">
        <v>0</v>
      </c>
      <c r="T4655" t="inlineStr">
        <is>
          <t>25240926975620000130570010000025881000000004</t>
        </is>
      </c>
      <c r="U4655" t="inlineStr">
        <is>
          <t>Não</t>
        </is>
      </c>
    </row>
    <row r="4656">
      <c r="A4656" t="inlineStr">
        <is>
          <t>Frete de venda</t>
        </is>
      </c>
      <c r="B4656" t="inlineStr">
        <is>
          <t>2.01.98 Frete Descarregamento</t>
        </is>
      </c>
      <c r="C4656" t="inlineStr">
        <is>
          <t>Antes de 2026</t>
        </is>
      </c>
      <c r="D4656" t="inlineStr">
        <is>
          <t>Antes de 2026</t>
        </is>
      </c>
      <c r="E4656" s="28" t="n">
        <v>45539</v>
      </c>
      <c r="F4656" t="inlineStr">
        <is>
          <t>CT-e</t>
        </is>
      </c>
      <c r="G4656" t="inlineStr">
        <is>
          <t>000002589</t>
        </is>
      </c>
      <c r="H4656" t="inlineStr">
        <is>
          <t>R&amp;R TRANSPORTE E LOGISTICA</t>
        </is>
      </c>
      <c r="J4656" s="29" t="n">
        <v>30</v>
      </c>
      <c r="K4656" s="29">
        <f>(1-ISNUMBER(SEARCH("556",M4656)))*(O4656*SUMIFS(Premissas!$C$5:$C$44,Premissas!$A$5:$A$44,$A4656,Premissas!$B$5:$B$44,$B4656)+P4656*SUMIFS(Premissas!$D$5:$D$44,Premissas!$A$5:$A$44,$A4656,Premissas!$B$5:$B$44,$B4656))+R4656*SUMIFS(Premissas!$E$5:$E$44,Premissas!$A$5:$A$44,$A4656,Premissas!$B$5:$B$44,$B4656)+S4656*SUMIFS(Premissas!$F$5:$F$44,Premissas!$A$5:$A$44,$A4656,Premissas!$B$5:$B$44,$B4656)</f>
        <v/>
      </c>
      <c r="L4656" s="29">
        <f>J4656-K4656</f>
        <v/>
      </c>
      <c r="M4656" t="inlineStr">
        <is>
          <t>1.350</t>
        </is>
      </c>
      <c r="N4656" t="inlineStr">
        <is>
          <t>Modalidade: 0 - Por conta do remetente | Parte: JOANICE COMERCIAL DE EMBALAGENS E CONFEITARIA LTDA (50.350.203/0001-86)</t>
        </is>
      </c>
      <c r="O4656" s="29" t="n">
        <v>0</v>
      </c>
      <c r="P4656" s="29" t="n">
        <v>0</v>
      </c>
      <c r="Q4656" s="29" t="n">
        <v>0</v>
      </c>
      <c r="R4656" s="29" t="n">
        <v>0</v>
      </c>
      <c r="S4656" s="29" t="n">
        <v>0</v>
      </c>
      <c r="T4656" t="inlineStr">
        <is>
          <t>25240926975620000130570010000025891000000001</t>
        </is>
      </c>
      <c r="U4656" t="inlineStr">
        <is>
          <t>Não</t>
        </is>
      </c>
    </row>
    <row r="4657">
      <c r="A4657" t="inlineStr">
        <is>
          <t>Frete de venda</t>
        </is>
      </c>
      <c r="B4657" t="inlineStr">
        <is>
          <t>2.01.98 Frete Descarregamento</t>
        </is>
      </c>
      <c r="C4657" t="inlineStr">
        <is>
          <t>Antes de 2026</t>
        </is>
      </c>
      <c r="D4657" t="inlineStr">
        <is>
          <t>Antes de 2026</t>
        </is>
      </c>
      <c r="E4657" s="28" t="n">
        <v>45539</v>
      </c>
      <c r="F4657" t="inlineStr">
        <is>
          <t>CT-e</t>
        </is>
      </c>
      <c r="G4657" t="inlineStr">
        <is>
          <t>000002590</t>
        </is>
      </c>
      <c r="H4657" t="inlineStr">
        <is>
          <t>R&amp;R TRANSPORTE E LOGISTICA</t>
        </is>
      </c>
      <c r="J4657" s="29" t="n">
        <v>30</v>
      </c>
      <c r="K4657" s="29">
        <f>(1-ISNUMBER(SEARCH("556",M4657)))*(O4657*SUMIFS(Premissas!$C$5:$C$44,Premissas!$A$5:$A$44,$A4657,Premissas!$B$5:$B$44,$B4657)+P4657*SUMIFS(Premissas!$D$5:$D$44,Premissas!$A$5:$A$44,$A4657,Premissas!$B$5:$B$44,$B4657))+R4657*SUMIFS(Premissas!$E$5:$E$44,Premissas!$A$5:$A$44,$A4657,Premissas!$B$5:$B$44,$B4657)+S4657*SUMIFS(Premissas!$F$5:$F$44,Premissas!$A$5:$A$44,$A4657,Premissas!$B$5:$B$44,$B4657)</f>
        <v/>
      </c>
      <c r="L4657" s="29">
        <f>J4657-K4657</f>
        <v/>
      </c>
      <c r="M4657" t="inlineStr">
        <is>
          <t>1.350</t>
        </is>
      </c>
      <c r="N4657" t="inlineStr">
        <is>
          <t>Modalidade: 0 - Por conta do remetente | Parte: N G FRANCELINO DA SILVA DESCARTAVEIS LTDA (48.377.573/0001-65)</t>
        </is>
      </c>
      <c r="O4657" s="29" t="n">
        <v>0</v>
      </c>
      <c r="P4657" s="29" t="n">
        <v>0</v>
      </c>
      <c r="Q4657" s="29" t="n">
        <v>0</v>
      </c>
      <c r="R4657" s="29" t="n">
        <v>0</v>
      </c>
      <c r="S4657" s="29" t="n">
        <v>0</v>
      </c>
      <c r="T4657" t="inlineStr">
        <is>
          <t>25240926975620000130570010000025901000000002</t>
        </is>
      </c>
      <c r="U4657" t="inlineStr">
        <is>
          <t>Não</t>
        </is>
      </c>
    </row>
    <row r="4658">
      <c r="A4658" t="inlineStr">
        <is>
          <t>Frete de venda</t>
        </is>
      </c>
      <c r="B4658" t="inlineStr">
        <is>
          <t>2.01.98 Frete Descarregamento</t>
        </is>
      </c>
      <c r="C4658" t="inlineStr">
        <is>
          <t>Antes de 2026</t>
        </is>
      </c>
      <c r="D4658" t="inlineStr">
        <is>
          <t>Antes de 2026</t>
        </is>
      </c>
      <c r="E4658" s="28" t="n">
        <v>45539</v>
      </c>
      <c r="F4658" t="inlineStr">
        <is>
          <t>CT-e</t>
        </is>
      </c>
      <c r="G4658" t="inlineStr">
        <is>
          <t>000002591</t>
        </is>
      </c>
      <c r="H4658" t="inlineStr">
        <is>
          <t>R&amp;R TRANSPORTE E LOGISTICA</t>
        </is>
      </c>
      <c r="J4658" s="29" t="n">
        <v>30</v>
      </c>
      <c r="K4658" s="29">
        <f>(1-ISNUMBER(SEARCH("556",M4658)))*(O4658*SUMIFS(Premissas!$C$5:$C$44,Premissas!$A$5:$A$44,$A4658,Premissas!$B$5:$B$44,$B4658)+P4658*SUMIFS(Premissas!$D$5:$D$44,Premissas!$A$5:$A$44,$A4658,Premissas!$B$5:$B$44,$B4658))+R4658*SUMIFS(Premissas!$E$5:$E$44,Premissas!$A$5:$A$44,$A4658,Premissas!$B$5:$B$44,$B4658)+S4658*SUMIFS(Premissas!$F$5:$F$44,Premissas!$A$5:$A$44,$A4658,Premissas!$B$5:$B$44,$B4658)</f>
        <v/>
      </c>
      <c r="L4658" s="29">
        <f>J4658-K4658</f>
        <v/>
      </c>
      <c r="M4658" t="inlineStr">
        <is>
          <t>1.350</t>
        </is>
      </c>
      <c r="N4658" t="inlineStr">
        <is>
          <t>Modalidade: 0 - Por conta do remetente | Parte: CRISTAL NEWS ALIMENTOS E EMBALAGENS LTDA (04.067.045/0001-34)</t>
        </is>
      </c>
      <c r="O4658" s="29" t="n">
        <v>0</v>
      </c>
      <c r="P4658" s="29" t="n">
        <v>0</v>
      </c>
      <c r="Q4658" s="29" t="n">
        <v>0</v>
      </c>
      <c r="R4658" s="29" t="n">
        <v>0</v>
      </c>
      <c r="S4658" s="29" t="n">
        <v>0</v>
      </c>
      <c r="T4658" t="inlineStr">
        <is>
          <t>25240926975620000130570010000025911000000000</t>
        </is>
      </c>
      <c r="U4658" t="inlineStr">
        <is>
          <t>Não</t>
        </is>
      </c>
    </row>
    <row r="4659">
      <c r="A4659" t="inlineStr">
        <is>
          <t>Frete de venda</t>
        </is>
      </c>
      <c r="B4659" t="inlineStr">
        <is>
          <t>2.01.98 Frete Descarregamento</t>
        </is>
      </c>
      <c r="C4659" t="inlineStr">
        <is>
          <t>Antes de 2026</t>
        </is>
      </c>
      <c r="D4659" t="inlineStr">
        <is>
          <t>Antes de 2026</t>
        </is>
      </c>
      <c r="E4659" s="28" t="n">
        <v>45539</v>
      </c>
      <c r="F4659" t="inlineStr">
        <is>
          <t>CT-e</t>
        </is>
      </c>
      <c r="G4659" t="inlineStr">
        <is>
          <t>000002592</t>
        </is>
      </c>
      <c r="H4659" t="inlineStr">
        <is>
          <t>R&amp;R TRANSPORTE E LOGISTICA</t>
        </is>
      </c>
      <c r="J4659" s="29" t="n">
        <v>30</v>
      </c>
      <c r="K4659" s="29">
        <f>(1-ISNUMBER(SEARCH("556",M4659)))*(O4659*SUMIFS(Premissas!$C$5:$C$44,Premissas!$A$5:$A$44,$A4659,Premissas!$B$5:$B$44,$B4659)+P4659*SUMIFS(Premissas!$D$5:$D$44,Premissas!$A$5:$A$44,$A4659,Premissas!$B$5:$B$44,$B4659))+R4659*SUMIFS(Premissas!$E$5:$E$44,Premissas!$A$5:$A$44,$A4659,Premissas!$B$5:$B$44,$B4659)+S4659*SUMIFS(Premissas!$F$5:$F$44,Premissas!$A$5:$A$44,$A4659,Premissas!$B$5:$B$44,$B4659)</f>
        <v/>
      </c>
      <c r="L4659" s="29">
        <f>J4659-K4659</f>
        <v/>
      </c>
      <c r="M4659" t="inlineStr">
        <is>
          <t>1.350</t>
        </is>
      </c>
      <c r="N4659" t="inlineStr">
        <is>
          <t>Modalidade: 0 - Por conta do remetente | Parte: ALBUQUERQUE DISTRIBUIDORA DE ALIMENTOS LTDA (29.295.287/0001-06)</t>
        </is>
      </c>
      <c r="O4659" s="29" t="n">
        <v>0</v>
      </c>
      <c r="P4659" s="29" t="n">
        <v>0</v>
      </c>
      <c r="Q4659" s="29" t="n">
        <v>0</v>
      </c>
      <c r="R4659" s="29" t="n">
        <v>0</v>
      </c>
      <c r="S4659" s="29" t="n">
        <v>0</v>
      </c>
      <c r="T4659" t="inlineStr">
        <is>
          <t>25240926975620000130570010000025921000000007</t>
        </is>
      </c>
      <c r="U4659" t="inlineStr">
        <is>
          <t>Não</t>
        </is>
      </c>
    </row>
    <row r="4660">
      <c r="A4660" t="inlineStr">
        <is>
          <t>Frete de venda</t>
        </is>
      </c>
      <c r="B4660" t="inlineStr">
        <is>
          <t>2.01.98 Frete Descarregamento</t>
        </is>
      </c>
      <c r="C4660" t="inlineStr">
        <is>
          <t>Antes de 2026</t>
        </is>
      </c>
      <c r="D4660" t="inlineStr">
        <is>
          <t>Antes de 2026</t>
        </is>
      </c>
      <c r="E4660" s="28" t="n">
        <v>45539</v>
      </c>
      <c r="F4660" t="inlineStr">
        <is>
          <t>CT-e</t>
        </is>
      </c>
      <c r="G4660" t="inlineStr">
        <is>
          <t>000002593</t>
        </is>
      </c>
      <c r="H4660" t="inlineStr">
        <is>
          <t>R&amp;R TRANSPORTE E LOGISTICA</t>
        </is>
      </c>
      <c r="J4660" s="29" t="n">
        <v>30</v>
      </c>
      <c r="K4660" s="29">
        <f>(1-ISNUMBER(SEARCH("556",M4660)))*(O4660*SUMIFS(Premissas!$C$5:$C$44,Premissas!$A$5:$A$44,$A4660,Premissas!$B$5:$B$44,$B4660)+P4660*SUMIFS(Premissas!$D$5:$D$44,Premissas!$A$5:$A$44,$A4660,Premissas!$B$5:$B$44,$B4660))+R4660*SUMIFS(Premissas!$E$5:$E$44,Premissas!$A$5:$A$44,$A4660,Premissas!$B$5:$B$44,$B4660)+S4660*SUMIFS(Premissas!$F$5:$F$44,Premissas!$A$5:$A$44,$A4660,Premissas!$B$5:$B$44,$B4660)</f>
        <v/>
      </c>
      <c r="L4660" s="29">
        <f>J4660-K4660</f>
        <v/>
      </c>
      <c r="M4660" t="inlineStr">
        <is>
          <t>1.350</t>
        </is>
      </c>
      <c r="N4660" t="inlineStr">
        <is>
          <t>Modalidade: 0 - Por conta do remetente | Parte: AL DESCARTAVEIS COMERCIO ATACADISTA LTDA (20.761.196/0001-44)</t>
        </is>
      </c>
      <c r="O4660" s="29" t="n">
        <v>0</v>
      </c>
      <c r="P4660" s="29" t="n">
        <v>0</v>
      </c>
      <c r="Q4660" s="29" t="n">
        <v>0</v>
      </c>
      <c r="R4660" s="29" t="n">
        <v>0</v>
      </c>
      <c r="S4660" s="29" t="n">
        <v>0</v>
      </c>
      <c r="T4660" t="inlineStr">
        <is>
          <t>25240926975620000130570010000025931000000004</t>
        </is>
      </c>
      <c r="U4660" t="inlineStr">
        <is>
          <t>Não</t>
        </is>
      </c>
    </row>
    <row r="4661">
      <c r="A4661" t="inlineStr">
        <is>
          <t>Frete de venda</t>
        </is>
      </c>
      <c r="B4661" t="inlineStr">
        <is>
          <t>2.01.98 Frete Descarregamento</t>
        </is>
      </c>
      <c r="C4661" t="inlineStr">
        <is>
          <t>Antes de 2026</t>
        </is>
      </c>
      <c r="D4661" t="inlineStr">
        <is>
          <t>Antes de 2026</t>
        </is>
      </c>
      <c r="E4661" s="28" t="n">
        <v>45539</v>
      </c>
      <c r="F4661" t="inlineStr">
        <is>
          <t>CT-e</t>
        </is>
      </c>
      <c r="G4661" t="inlineStr">
        <is>
          <t>000002594</t>
        </is>
      </c>
      <c r="H4661" t="inlineStr">
        <is>
          <t>R&amp;R TRANSPORTE E LOGISTICA</t>
        </is>
      </c>
      <c r="J4661" s="29" t="n">
        <v>30</v>
      </c>
      <c r="K4661" s="29">
        <f>(1-ISNUMBER(SEARCH("556",M4661)))*(O4661*SUMIFS(Premissas!$C$5:$C$44,Premissas!$A$5:$A$44,$A4661,Premissas!$B$5:$B$44,$B4661)+P4661*SUMIFS(Premissas!$D$5:$D$44,Premissas!$A$5:$A$44,$A4661,Premissas!$B$5:$B$44,$B4661))+R4661*SUMIFS(Premissas!$E$5:$E$44,Premissas!$A$5:$A$44,$A4661,Premissas!$B$5:$B$44,$B4661)+S4661*SUMIFS(Premissas!$F$5:$F$44,Premissas!$A$5:$A$44,$A4661,Premissas!$B$5:$B$44,$B4661)</f>
        <v/>
      </c>
      <c r="L4661" s="29">
        <f>J4661-K4661</f>
        <v/>
      </c>
      <c r="M4661" t="inlineStr">
        <is>
          <t>1.350</t>
        </is>
      </c>
      <c r="N4661" t="inlineStr">
        <is>
          <t>Modalidade: 0 - Por conta do remetente | Parte: ALBUQUERQUE E FREIRE LTDA (09.358.347/0001-85)</t>
        </is>
      </c>
      <c r="O4661" s="29" t="n">
        <v>0</v>
      </c>
      <c r="P4661" s="29" t="n">
        <v>0</v>
      </c>
      <c r="Q4661" s="29" t="n">
        <v>0</v>
      </c>
      <c r="R4661" s="29" t="n">
        <v>0</v>
      </c>
      <c r="S4661" s="29" t="n">
        <v>0</v>
      </c>
      <c r="T4661" t="inlineStr">
        <is>
          <t>25240926975620000130570010000025941000000001</t>
        </is>
      </c>
      <c r="U4661" t="inlineStr">
        <is>
          <t>Não</t>
        </is>
      </c>
    </row>
    <row r="4662">
      <c r="A4662" t="inlineStr">
        <is>
          <t>Frete de venda</t>
        </is>
      </c>
      <c r="B4662" t="inlineStr">
        <is>
          <t>2.01.98 Frete Descarregamento</t>
        </is>
      </c>
      <c r="C4662" t="inlineStr">
        <is>
          <t>Antes de 2026</t>
        </is>
      </c>
      <c r="D4662" t="inlineStr">
        <is>
          <t>Antes de 2026</t>
        </is>
      </c>
      <c r="E4662" s="28" t="n">
        <v>45541</v>
      </c>
      <c r="F4662" t="inlineStr">
        <is>
          <t>CT-e</t>
        </is>
      </c>
      <c r="G4662" t="inlineStr">
        <is>
          <t>000002598</t>
        </is>
      </c>
      <c r="H4662" t="inlineStr">
        <is>
          <t>R&amp;R TRANSPORTE E LOGISTICA</t>
        </is>
      </c>
      <c r="J4662" s="29" t="n">
        <v>16</v>
      </c>
      <c r="K4662" s="29">
        <f>(1-ISNUMBER(SEARCH("556",M4662)))*(O4662*SUMIFS(Premissas!$C$5:$C$44,Premissas!$A$5:$A$44,$A4662,Premissas!$B$5:$B$44,$B4662)+P4662*SUMIFS(Premissas!$D$5:$D$44,Premissas!$A$5:$A$44,$A4662,Premissas!$B$5:$B$44,$B4662))+R4662*SUMIFS(Premissas!$E$5:$E$44,Premissas!$A$5:$A$44,$A4662,Premissas!$B$5:$B$44,$B4662)+S4662*SUMIFS(Premissas!$F$5:$F$44,Premissas!$A$5:$A$44,$A4662,Premissas!$B$5:$B$44,$B4662)</f>
        <v/>
      </c>
      <c r="L4662" s="29">
        <f>J4662-K4662</f>
        <v/>
      </c>
      <c r="M4662" t="inlineStr">
        <is>
          <t>1.350</t>
        </is>
      </c>
      <c r="N4662" t="inlineStr">
        <is>
          <t>Modalidade: 0 - Por conta do remetente | Parte: JAMES L. H. TOME e CIA LTDA (16.965.024/0003-87)</t>
        </is>
      </c>
      <c r="O4662" s="29" t="n">
        <v>0</v>
      </c>
      <c r="P4662" s="29" t="n">
        <v>0</v>
      </c>
      <c r="Q4662" s="29" t="n">
        <v>0</v>
      </c>
      <c r="R4662" s="29" t="n">
        <v>0</v>
      </c>
      <c r="S4662" s="29" t="n">
        <v>0</v>
      </c>
      <c r="T4662" t="inlineStr">
        <is>
          <t>25240926975620000130570010000025981000000000</t>
        </is>
      </c>
      <c r="U4662" t="inlineStr">
        <is>
          <t>Não</t>
        </is>
      </c>
    </row>
    <row r="4663">
      <c r="A4663" t="inlineStr">
        <is>
          <t>Frete de venda</t>
        </is>
      </c>
      <c r="B4663" t="inlineStr">
        <is>
          <t>2.01.98 Frete Descarregamento</t>
        </is>
      </c>
      <c r="C4663" t="inlineStr">
        <is>
          <t>Antes de 2026</t>
        </is>
      </c>
      <c r="D4663" t="inlineStr">
        <is>
          <t>Antes de 2026</t>
        </is>
      </c>
      <c r="E4663" s="28" t="n">
        <v>45541</v>
      </c>
      <c r="F4663" t="inlineStr">
        <is>
          <t>CT-e</t>
        </is>
      </c>
      <c r="G4663" t="inlineStr">
        <is>
          <t>000002599</t>
        </is>
      </c>
      <c r="H4663" t="inlineStr">
        <is>
          <t>R&amp;R TRANSPORTE E LOGISTICA</t>
        </is>
      </c>
      <c r="J4663" s="29" t="n">
        <v>16</v>
      </c>
      <c r="K4663" s="29">
        <f>(1-ISNUMBER(SEARCH("556",M4663)))*(O4663*SUMIFS(Premissas!$C$5:$C$44,Premissas!$A$5:$A$44,$A4663,Premissas!$B$5:$B$44,$B4663)+P4663*SUMIFS(Premissas!$D$5:$D$44,Premissas!$A$5:$A$44,$A4663,Premissas!$B$5:$B$44,$B4663))+R4663*SUMIFS(Premissas!$E$5:$E$44,Premissas!$A$5:$A$44,$A4663,Premissas!$B$5:$B$44,$B4663)+S4663*SUMIFS(Premissas!$F$5:$F$44,Premissas!$A$5:$A$44,$A4663,Premissas!$B$5:$B$44,$B4663)</f>
        <v/>
      </c>
      <c r="L4663" s="29">
        <f>J4663-K4663</f>
        <v/>
      </c>
      <c r="M4663" t="inlineStr">
        <is>
          <t>1.350</t>
        </is>
      </c>
      <c r="N4663" t="inlineStr">
        <is>
          <t>Modalidade: 0 - Por conta do remetente | Parte: NEW PLASTICOS DISTRIBUIDORA LTDA (38.438.642/0001-40)</t>
        </is>
      </c>
      <c r="O4663" s="29" t="n">
        <v>0</v>
      </c>
      <c r="P4663" s="29" t="n">
        <v>0</v>
      </c>
      <c r="Q4663" s="29" t="n">
        <v>0</v>
      </c>
      <c r="R4663" s="29" t="n">
        <v>0</v>
      </c>
      <c r="S4663" s="29" t="n">
        <v>0</v>
      </c>
      <c r="T4663" t="inlineStr">
        <is>
          <t>25240926975620000130570010000025991000000008</t>
        </is>
      </c>
      <c r="U4663" t="inlineStr">
        <is>
          <t>Não</t>
        </is>
      </c>
    </row>
    <row r="4664">
      <c r="A4664" t="inlineStr">
        <is>
          <t>Frete de venda</t>
        </is>
      </c>
      <c r="B4664" t="inlineStr">
        <is>
          <t>2.01.98 Frete Descarregamento</t>
        </is>
      </c>
      <c r="C4664" t="inlineStr">
        <is>
          <t>Antes de 2026</t>
        </is>
      </c>
      <c r="D4664" t="inlineStr">
        <is>
          <t>Antes de 2026</t>
        </is>
      </c>
      <c r="E4664" s="28" t="n">
        <v>45541</v>
      </c>
      <c r="F4664" t="inlineStr">
        <is>
          <t>CT-e</t>
        </is>
      </c>
      <c r="G4664" t="inlineStr">
        <is>
          <t>000002600</t>
        </is>
      </c>
      <c r="H4664" t="inlineStr">
        <is>
          <t>R&amp;R TRANSPORTE E LOGISTICA</t>
        </is>
      </c>
      <c r="J4664" s="29" t="n">
        <v>16</v>
      </c>
      <c r="K4664" s="29">
        <f>(1-ISNUMBER(SEARCH("556",M4664)))*(O4664*SUMIFS(Premissas!$C$5:$C$44,Premissas!$A$5:$A$44,$A4664,Premissas!$B$5:$B$44,$B4664)+P4664*SUMIFS(Premissas!$D$5:$D$44,Premissas!$A$5:$A$44,$A4664,Premissas!$B$5:$B$44,$B4664))+R4664*SUMIFS(Premissas!$E$5:$E$44,Premissas!$A$5:$A$44,$A4664,Premissas!$B$5:$B$44,$B4664)+S4664*SUMIFS(Premissas!$F$5:$F$44,Premissas!$A$5:$A$44,$A4664,Premissas!$B$5:$B$44,$B4664)</f>
        <v/>
      </c>
      <c r="L4664" s="29">
        <f>J4664-K4664</f>
        <v/>
      </c>
      <c r="M4664" t="inlineStr">
        <is>
          <t>1.350</t>
        </is>
      </c>
      <c r="N4664" t="inlineStr">
        <is>
          <t>Modalidade: 0 - Por conta do remetente | Parte: PORTUGAL COMERCIO DE PRODUTOS DESCARTAVEIS LTDA (83.349.563/0003-89)</t>
        </is>
      </c>
      <c r="O4664" s="29" t="n">
        <v>0</v>
      </c>
      <c r="P4664" s="29" t="n">
        <v>0</v>
      </c>
      <c r="Q4664" s="29" t="n">
        <v>0</v>
      </c>
      <c r="R4664" s="29" t="n">
        <v>0</v>
      </c>
      <c r="S4664" s="29" t="n">
        <v>0</v>
      </c>
      <c r="T4664" t="inlineStr">
        <is>
          <t>25240926975620000130570010000026001000000000</t>
        </is>
      </c>
      <c r="U4664" t="inlineStr">
        <is>
          <t>Não</t>
        </is>
      </c>
    </row>
    <row r="4665">
      <c r="A4665" t="inlineStr">
        <is>
          <t>Frete de venda</t>
        </is>
      </c>
      <c r="B4665" t="inlineStr">
        <is>
          <t>2.01.98 Frete Descarregamento</t>
        </is>
      </c>
      <c r="C4665" t="inlineStr">
        <is>
          <t>Antes de 2026</t>
        </is>
      </c>
      <c r="D4665" t="inlineStr">
        <is>
          <t>Antes de 2026</t>
        </is>
      </c>
      <c r="E4665" s="28" t="n">
        <v>45541</v>
      </c>
      <c r="F4665" t="inlineStr">
        <is>
          <t>CT-e</t>
        </is>
      </c>
      <c r="G4665" t="inlineStr">
        <is>
          <t>000002601</t>
        </is>
      </c>
      <c r="H4665" t="inlineStr">
        <is>
          <t>R&amp;R TRANSPORTE E LOGISTICA</t>
        </is>
      </c>
      <c r="J4665" s="29" t="n">
        <v>16</v>
      </c>
      <c r="K4665" s="29">
        <f>(1-ISNUMBER(SEARCH("556",M4665)))*(O4665*SUMIFS(Premissas!$C$5:$C$44,Premissas!$A$5:$A$44,$A4665,Premissas!$B$5:$B$44,$B4665)+P4665*SUMIFS(Premissas!$D$5:$D$44,Premissas!$A$5:$A$44,$A4665,Premissas!$B$5:$B$44,$B4665))+R4665*SUMIFS(Premissas!$E$5:$E$44,Premissas!$A$5:$A$44,$A4665,Premissas!$B$5:$B$44,$B4665)+S4665*SUMIFS(Premissas!$F$5:$F$44,Premissas!$A$5:$A$44,$A4665,Premissas!$B$5:$B$44,$B4665)</f>
        <v/>
      </c>
      <c r="L4665" s="29">
        <f>J4665-K4665</f>
        <v/>
      </c>
      <c r="M4665" t="inlineStr">
        <is>
          <t>1.350</t>
        </is>
      </c>
      <c r="N4665" t="inlineStr">
        <is>
          <t>Modalidade: 0 - Por conta do remetente | Parte: JAMES L. H. TOME e CIA LTDA (16.965.024/0006-20)</t>
        </is>
      </c>
      <c r="O4665" s="29" t="n">
        <v>0</v>
      </c>
      <c r="P4665" s="29" t="n">
        <v>0</v>
      </c>
      <c r="Q4665" s="29" t="n">
        <v>0</v>
      </c>
      <c r="R4665" s="29" t="n">
        <v>0</v>
      </c>
      <c r="S4665" s="29" t="n">
        <v>0</v>
      </c>
      <c r="T4665" t="inlineStr">
        <is>
          <t>25240926975620000130570010000026011000000008</t>
        </is>
      </c>
      <c r="U4665" t="inlineStr">
        <is>
          <t>Não</t>
        </is>
      </c>
    </row>
    <row r="4666">
      <c r="A4666" t="inlineStr">
        <is>
          <t>Frete de venda</t>
        </is>
      </c>
      <c r="B4666" t="inlineStr">
        <is>
          <t>2.01.98 Frete Descarregamento</t>
        </is>
      </c>
      <c r="C4666" t="inlineStr">
        <is>
          <t>Antes de 2026</t>
        </is>
      </c>
      <c r="D4666" t="inlineStr">
        <is>
          <t>Antes de 2026</t>
        </is>
      </c>
      <c r="E4666" s="28" t="n">
        <v>45541</v>
      </c>
      <c r="F4666" t="inlineStr">
        <is>
          <t>CT-e</t>
        </is>
      </c>
      <c r="G4666" t="inlineStr">
        <is>
          <t>000002602</t>
        </is>
      </c>
      <c r="H4666" t="inlineStr">
        <is>
          <t>R&amp;R TRANSPORTE E LOGISTICA</t>
        </is>
      </c>
      <c r="J4666" s="29" t="n">
        <v>16</v>
      </c>
      <c r="K4666" s="29">
        <f>(1-ISNUMBER(SEARCH("556",M4666)))*(O4666*SUMIFS(Premissas!$C$5:$C$44,Premissas!$A$5:$A$44,$A4666,Premissas!$B$5:$B$44,$B4666)+P4666*SUMIFS(Premissas!$D$5:$D$44,Premissas!$A$5:$A$44,$A4666,Premissas!$B$5:$B$44,$B4666))+R4666*SUMIFS(Premissas!$E$5:$E$44,Premissas!$A$5:$A$44,$A4666,Premissas!$B$5:$B$44,$B4666)+S4666*SUMIFS(Premissas!$F$5:$F$44,Premissas!$A$5:$A$44,$A4666,Premissas!$B$5:$B$44,$B4666)</f>
        <v/>
      </c>
      <c r="L4666" s="29">
        <f>J4666-K4666</f>
        <v/>
      </c>
      <c r="M4666" t="inlineStr">
        <is>
          <t>1.350</t>
        </is>
      </c>
      <c r="N4666" t="inlineStr">
        <is>
          <t>Modalidade: 0 - Por conta do remetente | Parte: THYAGO C DA S SOUSA LTDA (36.309.758/0001-53)</t>
        </is>
      </c>
      <c r="O4666" s="29" t="n">
        <v>0</v>
      </c>
      <c r="P4666" s="29" t="n">
        <v>0</v>
      </c>
      <c r="Q4666" s="29" t="n">
        <v>0</v>
      </c>
      <c r="R4666" s="29" t="n">
        <v>0</v>
      </c>
      <c r="S4666" s="29" t="n">
        <v>0</v>
      </c>
      <c r="T4666" t="inlineStr">
        <is>
          <t>25240926975620000130570010000026021000000005</t>
        </is>
      </c>
      <c r="U4666" t="inlineStr">
        <is>
          <t>Não</t>
        </is>
      </c>
    </row>
    <row r="4667">
      <c r="A4667" t="inlineStr">
        <is>
          <t>Frete de venda</t>
        </is>
      </c>
      <c r="B4667" t="inlineStr">
        <is>
          <t>2.01.98 Frete Descarregamento</t>
        </is>
      </c>
      <c r="C4667" t="inlineStr">
        <is>
          <t>Antes de 2026</t>
        </is>
      </c>
      <c r="D4667" t="inlineStr">
        <is>
          <t>Antes de 2026</t>
        </is>
      </c>
      <c r="E4667" s="28" t="n">
        <v>45541</v>
      </c>
      <c r="F4667" t="inlineStr">
        <is>
          <t>CT-e</t>
        </is>
      </c>
      <c r="G4667" t="inlineStr">
        <is>
          <t>000002603</t>
        </is>
      </c>
      <c r="H4667" t="inlineStr">
        <is>
          <t>R&amp;R TRANSPORTE E LOGISTICA</t>
        </is>
      </c>
      <c r="J4667" s="29" t="n">
        <v>16</v>
      </c>
      <c r="K4667" s="29">
        <f>(1-ISNUMBER(SEARCH("556",M4667)))*(O4667*SUMIFS(Premissas!$C$5:$C$44,Premissas!$A$5:$A$44,$A4667,Premissas!$B$5:$B$44,$B4667)+P4667*SUMIFS(Premissas!$D$5:$D$44,Premissas!$A$5:$A$44,$A4667,Premissas!$B$5:$B$44,$B4667))+R4667*SUMIFS(Premissas!$E$5:$E$44,Premissas!$A$5:$A$44,$A4667,Premissas!$B$5:$B$44,$B4667)+S4667*SUMIFS(Premissas!$F$5:$F$44,Premissas!$A$5:$A$44,$A4667,Premissas!$B$5:$B$44,$B4667)</f>
        <v/>
      </c>
      <c r="L4667" s="29">
        <f>J4667-K4667</f>
        <v/>
      </c>
      <c r="M4667" t="inlineStr">
        <is>
          <t>1.350</t>
        </is>
      </c>
      <c r="N4667" t="inlineStr">
        <is>
          <t>Modalidade: 0 - Por conta do remetente | Parte: PORTUGAL COMERCIO DE PRODUTOS DESCARTAVEIS LTDA (83.349.563/0001-17)</t>
        </is>
      </c>
      <c r="O4667" s="29" t="n">
        <v>0</v>
      </c>
      <c r="P4667" s="29" t="n">
        <v>0</v>
      </c>
      <c r="Q4667" s="29" t="n">
        <v>0</v>
      </c>
      <c r="R4667" s="29" t="n">
        <v>0</v>
      </c>
      <c r="S4667" s="29" t="n">
        <v>0</v>
      </c>
      <c r="T4667" t="inlineStr">
        <is>
          <t>25240926975620000130570010000026031000000002</t>
        </is>
      </c>
      <c r="U4667" t="inlineStr">
        <is>
          <t>Não</t>
        </is>
      </c>
    </row>
    <row r="4668">
      <c r="A4668" t="inlineStr">
        <is>
          <t>Frete de venda</t>
        </is>
      </c>
      <c r="B4668" t="inlineStr">
        <is>
          <t>2.01.98 Frete Descarregamento</t>
        </is>
      </c>
      <c r="C4668" t="inlineStr">
        <is>
          <t>Antes de 2026</t>
        </is>
      </c>
      <c r="D4668" t="inlineStr">
        <is>
          <t>Antes de 2026</t>
        </is>
      </c>
      <c r="E4668" s="28" t="n">
        <v>45541</v>
      </c>
      <c r="F4668" t="inlineStr">
        <is>
          <t>CT-e</t>
        </is>
      </c>
      <c r="G4668" t="inlineStr">
        <is>
          <t>000002604</t>
        </is>
      </c>
      <c r="H4668" t="inlineStr">
        <is>
          <t>R&amp;R TRANSPORTE E LOGISTICA</t>
        </is>
      </c>
      <c r="J4668" s="29" t="n">
        <v>16</v>
      </c>
      <c r="K4668" s="29">
        <f>(1-ISNUMBER(SEARCH("556",M4668)))*(O4668*SUMIFS(Premissas!$C$5:$C$44,Premissas!$A$5:$A$44,$A4668,Premissas!$B$5:$B$44,$B4668)+P4668*SUMIFS(Premissas!$D$5:$D$44,Premissas!$A$5:$A$44,$A4668,Premissas!$B$5:$B$44,$B4668))+R4668*SUMIFS(Premissas!$E$5:$E$44,Premissas!$A$5:$A$44,$A4668,Premissas!$B$5:$B$44,$B4668)+S4668*SUMIFS(Premissas!$F$5:$F$44,Premissas!$A$5:$A$44,$A4668,Premissas!$B$5:$B$44,$B4668)</f>
        <v/>
      </c>
      <c r="L4668" s="29">
        <f>J4668-K4668</f>
        <v/>
      </c>
      <c r="M4668" t="inlineStr">
        <is>
          <t>1.350</t>
        </is>
      </c>
      <c r="N4668" t="inlineStr">
        <is>
          <t>Modalidade: 0 - Por conta do remetente | Parte: D R DE LIMA COMERCIO LTDA (20.927.716/0001-46)</t>
        </is>
      </c>
      <c r="O4668" s="29" t="n">
        <v>0</v>
      </c>
      <c r="P4668" s="29" t="n">
        <v>0</v>
      </c>
      <c r="Q4668" s="29" t="n">
        <v>0</v>
      </c>
      <c r="R4668" s="29" t="n">
        <v>0</v>
      </c>
      <c r="S4668" s="29" t="n">
        <v>0</v>
      </c>
      <c r="T4668" t="inlineStr">
        <is>
          <t>25240926975620000130570010000026041000000000</t>
        </is>
      </c>
      <c r="U4668" t="inlineStr">
        <is>
          <t>Não</t>
        </is>
      </c>
    </row>
    <row r="4669">
      <c r="A4669" t="inlineStr">
        <is>
          <t>Frete de venda</t>
        </is>
      </c>
      <c r="B4669" t="inlineStr">
        <is>
          <t>2.01.98 Frete Descarregamento</t>
        </is>
      </c>
      <c r="C4669" t="inlineStr">
        <is>
          <t>Antes de 2026</t>
        </is>
      </c>
      <c r="D4669" t="inlineStr">
        <is>
          <t>Antes de 2026</t>
        </is>
      </c>
      <c r="E4669" s="28" t="n">
        <v>45541</v>
      </c>
      <c r="F4669" t="inlineStr">
        <is>
          <t>CT-e</t>
        </is>
      </c>
      <c r="G4669" t="inlineStr">
        <is>
          <t>000002605</t>
        </is>
      </c>
      <c r="H4669" t="inlineStr">
        <is>
          <t>R&amp;R TRANSPORTE E LOGISTICA</t>
        </is>
      </c>
      <c r="J4669" s="29" t="n">
        <v>16</v>
      </c>
      <c r="K4669" s="29">
        <f>(1-ISNUMBER(SEARCH("556",M4669)))*(O4669*SUMIFS(Premissas!$C$5:$C$44,Premissas!$A$5:$A$44,$A4669,Premissas!$B$5:$B$44,$B4669)+P4669*SUMIFS(Premissas!$D$5:$D$44,Premissas!$A$5:$A$44,$A4669,Premissas!$B$5:$B$44,$B4669))+R4669*SUMIFS(Premissas!$E$5:$E$44,Premissas!$A$5:$A$44,$A4669,Premissas!$B$5:$B$44,$B4669)+S4669*SUMIFS(Premissas!$F$5:$F$44,Premissas!$A$5:$A$44,$A4669,Premissas!$B$5:$B$44,$B4669)</f>
        <v/>
      </c>
      <c r="L4669" s="29">
        <f>J4669-K4669</f>
        <v/>
      </c>
      <c r="M4669" t="inlineStr">
        <is>
          <t>1.350</t>
        </is>
      </c>
      <c r="N4669" t="inlineStr">
        <is>
          <t>Modalidade: 0 - Por conta do remetente | Parte: JAMES L. H. TOME e CIA LTDA (16.965.024/0007-00)</t>
        </is>
      </c>
      <c r="O4669" s="29" t="n">
        <v>0</v>
      </c>
      <c r="P4669" s="29" t="n">
        <v>0</v>
      </c>
      <c r="Q4669" s="29" t="n">
        <v>0</v>
      </c>
      <c r="R4669" s="29" t="n">
        <v>0</v>
      </c>
      <c r="S4669" s="29" t="n">
        <v>0</v>
      </c>
      <c r="T4669" t="inlineStr">
        <is>
          <t>25240926975620000130570010000026051000000007</t>
        </is>
      </c>
      <c r="U4669" t="inlineStr">
        <is>
          <t>Não</t>
        </is>
      </c>
    </row>
    <row r="4670">
      <c r="A4670" t="inlineStr">
        <is>
          <t>Frete de venda</t>
        </is>
      </c>
      <c r="B4670" t="inlineStr">
        <is>
          <t>2.01.98 Frete Descarregamento</t>
        </is>
      </c>
      <c r="C4670" t="inlineStr">
        <is>
          <t>Antes de 2026</t>
        </is>
      </c>
      <c r="D4670" t="inlineStr">
        <is>
          <t>Antes de 2026</t>
        </is>
      </c>
      <c r="E4670" s="28" t="n">
        <v>45541</v>
      </c>
      <c r="F4670" t="inlineStr">
        <is>
          <t>CT-e</t>
        </is>
      </c>
      <c r="G4670" t="inlineStr">
        <is>
          <t>000002606</t>
        </is>
      </c>
      <c r="H4670" t="inlineStr">
        <is>
          <t>R&amp;R TRANSPORTE E LOGISTICA</t>
        </is>
      </c>
      <c r="J4670" s="29" t="n">
        <v>16</v>
      </c>
      <c r="K4670" s="29">
        <f>(1-ISNUMBER(SEARCH("556",M4670)))*(O4670*SUMIFS(Premissas!$C$5:$C$44,Premissas!$A$5:$A$44,$A4670,Premissas!$B$5:$B$44,$B4670)+P4670*SUMIFS(Premissas!$D$5:$D$44,Premissas!$A$5:$A$44,$A4670,Premissas!$B$5:$B$44,$B4670))+R4670*SUMIFS(Premissas!$E$5:$E$44,Premissas!$A$5:$A$44,$A4670,Premissas!$B$5:$B$44,$B4670)+S4670*SUMIFS(Premissas!$F$5:$F$44,Premissas!$A$5:$A$44,$A4670,Premissas!$B$5:$B$44,$B4670)</f>
        <v/>
      </c>
      <c r="L4670" s="29">
        <f>J4670-K4670</f>
        <v/>
      </c>
      <c r="M4670" t="inlineStr">
        <is>
          <t>1.350</t>
        </is>
      </c>
      <c r="N4670" t="inlineStr">
        <is>
          <t>Modalidade: 0 - Por conta do remetente | Parte: ARMARINHO CAMPEAO LTDA (38.065.759/0001-25)</t>
        </is>
      </c>
      <c r="O4670" s="29" t="n">
        <v>0</v>
      </c>
      <c r="P4670" s="29" t="n">
        <v>0</v>
      </c>
      <c r="Q4670" s="29" t="n">
        <v>0</v>
      </c>
      <c r="R4670" s="29" t="n">
        <v>0</v>
      </c>
      <c r="S4670" s="29" t="n">
        <v>0</v>
      </c>
      <c r="T4670" t="inlineStr">
        <is>
          <t>25240926975620000130570010000026061000000004</t>
        </is>
      </c>
      <c r="U4670" t="inlineStr">
        <is>
          <t>Não</t>
        </is>
      </c>
    </row>
    <row r="4671">
      <c r="A4671" t="inlineStr">
        <is>
          <t>Frete de venda</t>
        </is>
      </c>
      <c r="B4671" t="inlineStr">
        <is>
          <t>2.01.98 Frete Descarregamento</t>
        </is>
      </c>
      <c r="C4671" t="inlineStr">
        <is>
          <t>Antes de 2026</t>
        </is>
      </c>
      <c r="D4671" t="inlineStr">
        <is>
          <t>Antes de 2026</t>
        </is>
      </c>
      <c r="E4671" s="28" t="n">
        <v>45541</v>
      </c>
      <c r="F4671" t="inlineStr">
        <is>
          <t>CT-e</t>
        </is>
      </c>
      <c r="G4671" t="inlineStr">
        <is>
          <t>000002607</t>
        </is>
      </c>
      <c r="H4671" t="inlineStr">
        <is>
          <t>R&amp;R TRANSPORTE E LOGISTICA</t>
        </is>
      </c>
      <c r="J4671" s="29" t="n">
        <v>16</v>
      </c>
      <c r="K4671" s="29">
        <f>(1-ISNUMBER(SEARCH("556",M4671)))*(O4671*SUMIFS(Premissas!$C$5:$C$44,Premissas!$A$5:$A$44,$A4671,Premissas!$B$5:$B$44,$B4671)+P4671*SUMIFS(Premissas!$D$5:$D$44,Premissas!$A$5:$A$44,$A4671,Premissas!$B$5:$B$44,$B4671))+R4671*SUMIFS(Premissas!$E$5:$E$44,Premissas!$A$5:$A$44,$A4671,Premissas!$B$5:$B$44,$B4671)+S4671*SUMIFS(Premissas!$F$5:$F$44,Premissas!$A$5:$A$44,$A4671,Premissas!$B$5:$B$44,$B4671)</f>
        <v/>
      </c>
      <c r="L4671" s="29">
        <f>J4671-K4671</f>
        <v/>
      </c>
      <c r="M4671" t="inlineStr">
        <is>
          <t>1.350</t>
        </is>
      </c>
      <c r="N4671" t="inlineStr">
        <is>
          <t>Modalidade: 0 - Por conta do remetente | Parte: PLASMAR COMERCIO DE PRODUTOS DESCARTAVEIS LTDA (09.354.922/0001-71)</t>
        </is>
      </c>
      <c r="O4671" s="29" t="n">
        <v>0</v>
      </c>
      <c r="P4671" s="29" t="n">
        <v>0</v>
      </c>
      <c r="Q4671" s="29" t="n">
        <v>0</v>
      </c>
      <c r="R4671" s="29" t="n">
        <v>0</v>
      </c>
      <c r="S4671" s="29" t="n">
        <v>0</v>
      </c>
      <c r="T4671" t="inlineStr">
        <is>
          <t>25240926975620000130570010000026071000000001</t>
        </is>
      </c>
      <c r="U4671" t="inlineStr">
        <is>
          <t>Não</t>
        </is>
      </c>
    </row>
    <row r="4672">
      <c r="A4672" t="inlineStr">
        <is>
          <t>Frete de venda</t>
        </is>
      </c>
      <c r="B4672" t="inlineStr">
        <is>
          <t>2.01.98 Frete Descarregamento</t>
        </is>
      </c>
      <c r="C4672" t="inlineStr">
        <is>
          <t>Antes de 2026</t>
        </is>
      </c>
      <c r="D4672" t="inlineStr">
        <is>
          <t>Antes de 2026</t>
        </is>
      </c>
      <c r="E4672" s="28" t="n">
        <v>45541</v>
      </c>
      <c r="F4672" t="inlineStr">
        <is>
          <t>CT-e</t>
        </is>
      </c>
      <c r="G4672" t="inlineStr">
        <is>
          <t>000002608</t>
        </is>
      </c>
      <c r="H4672" t="inlineStr">
        <is>
          <t>R&amp;R TRANSPORTE E LOGISTICA</t>
        </is>
      </c>
      <c r="J4672" s="29" t="n">
        <v>16</v>
      </c>
      <c r="K4672" s="29">
        <f>(1-ISNUMBER(SEARCH("556",M4672)))*(O4672*SUMIFS(Premissas!$C$5:$C$44,Premissas!$A$5:$A$44,$A4672,Premissas!$B$5:$B$44,$B4672)+P4672*SUMIFS(Premissas!$D$5:$D$44,Premissas!$A$5:$A$44,$A4672,Premissas!$B$5:$B$44,$B4672))+R4672*SUMIFS(Premissas!$E$5:$E$44,Premissas!$A$5:$A$44,$A4672,Premissas!$B$5:$B$44,$B4672)+S4672*SUMIFS(Premissas!$F$5:$F$44,Premissas!$A$5:$A$44,$A4672,Premissas!$B$5:$B$44,$B4672)</f>
        <v/>
      </c>
      <c r="L4672" s="29">
        <f>J4672-K4672</f>
        <v/>
      </c>
      <c r="M4672" t="inlineStr">
        <is>
          <t>1.350</t>
        </is>
      </c>
      <c r="N4672" t="inlineStr">
        <is>
          <t>Modalidade: 0 - Por conta do remetente | Parte: P3 DESCARTAVEIS ATACADO e VAREJO LTDA (12.040.681/0001-09)</t>
        </is>
      </c>
      <c r="O4672" s="29" t="n">
        <v>0</v>
      </c>
      <c r="P4672" s="29" t="n">
        <v>0</v>
      </c>
      <c r="Q4672" s="29" t="n">
        <v>0</v>
      </c>
      <c r="R4672" s="29" t="n">
        <v>0</v>
      </c>
      <c r="S4672" s="29" t="n">
        <v>0</v>
      </c>
      <c r="T4672" t="inlineStr">
        <is>
          <t>25240926975620000130570010000026081000000009</t>
        </is>
      </c>
      <c r="U4672" t="inlineStr">
        <is>
          <t>Não</t>
        </is>
      </c>
    </row>
    <row r="4673">
      <c r="A4673" t="inlineStr">
        <is>
          <t>Frete de venda</t>
        </is>
      </c>
      <c r="B4673" t="inlineStr">
        <is>
          <t>2.01.98 Frete Descarregamento</t>
        </is>
      </c>
      <c r="C4673" t="inlineStr">
        <is>
          <t>Antes de 2026</t>
        </is>
      </c>
      <c r="D4673" t="inlineStr">
        <is>
          <t>Antes de 2026</t>
        </is>
      </c>
      <c r="E4673" s="28" t="n">
        <v>45541</v>
      </c>
      <c r="F4673" t="inlineStr">
        <is>
          <t>CT-e</t>
        </is>
      </c>
      <c r="G4673" t="inlineStr">
        <is>
          <t>000002609</t>
        </is>
      </c>
      <c r="H4673" t="inlineStr">
        <is>
          <t>R&amp;R TRANSPORTE E LOGISTICA</t>
        </is>
      </c>
      <c r="J4673" s="29" t="n">
        <v>16</v>
      </c>
      <c r="K4673" s="29">
        <f>(1-ISNUMBER(SEARCH("556",M4673)))*(O4673*SUMIFS(Premissas!$C$5:$C$44,Premissas!$A$5:$A$44,$A4673,Premissas!$B$5:$B$44,$B4673)+P4673*SUMIFS(Premissas!$D$5:$D$44,Premissas!$A$5:$A$44,$A4673,Premissas!$B$5:$B$44,$B4673))+R4673*SUMIFS(Premissas!$E$5:$E$44,Premissas!$A$5:$A$44,$A4673,Premissas!$B$5:$B$44,$B4673)+S4673*SUMIFS(Premissas!$F$5:$F$44,Premissas!$A$5:$A$44,$A4673,Premissas!$B$5:$B$44,$B4673)</f>
        <v/>
      </c>
      <c r="L4673" s="29">
        <f>J4673-K4673</f>
        <v/>
      </c>
      <c r="M4673" t="inlineStr">
        <is>
          <t>1.350</t>
        </is>
      </c>
      <c r="N4673" t="inlineStr">
        <is>
          <t>Modalidade: 0 - Por conta do remetente | Parte: MEGA FESTAS LTDA (07.064.216/0001-60)</t>
        </is>
      </c>
      <c r="O4673" s="29" t="n">
        <v>0</v>
      </c>
      <c r="P4673" s="29" t="n">
        <v>0</v>
      </c>
      <c r="Q4673" s="29" t="n">
        <v>0</v>
      </c>
      <c r="R4673" s="29" t="n">
        <v>0</v>
      </c>
      <c r="S4673" s="29" t="n">
        <v>0</v>
      </c>
      <c r="T4673" t="inlineStr">
        <is>
          <t>25240926975620000130570010000026091000000006</t>
        </is>
      </c>
      <c r="U4673" t="inlineStr">
        <is>
          <t>Não</t>
        </is>
      </c>
    </row>
    <row r="4674">
      <c r="A4674" t="inlineStr">
        <is>
          <t>Frete de venda</t>
        </is>
      </c>
      <c r="B4674" t="inlineStr">
        <is>
          <t>2.01.98 Frete Descarregamento</t>
        </is>
      </c>
      <c r="C4674" t="inlineStr">
        <is>
          <t>Antes de 2026</t>
        </is>
      </c>
      <c r="D4674" t="inlineStr">
        <is>
          <t>Antes de 2026</t>
        </is>
      </c>
      <c r="E4674" s="28" t="n">
        <v>45541</v>
      </c>
      <c r="F4674" t="inlineStr">
        <is>
          <t>CT-e</t>
        </is>
      </c>
      <c r="G4674" t="inlineStr">
        <is>
          <t>000002610</t>
        </is>
      </c>
      <c r="H4674" t="inlineStr">
        <is>
          <t>R&amp;R TRANSPORTE E LOGISTICA</t>
        </is>
      </c>
      <c r="J4674" s="29" t="n">
        <v>16</v>
      </c>
      <c r="K4674" s="29">
        <f>(1-ISNUMBER(SEARCH("556",M4674)))*(O4674*SUMIFS(Premissas!$C$5:$C$44,Premissas!$A$5:$A$44,$A4674,Premissas!$B$5:$B$44,$B4674)+P4674*SUMIFS(Premissas!$D$5:$D$44,Premissas!$A$5:$A$44,$A4674,Premissas!$B$5:$B$44,$B4674))+R4674*SUMIFS(Premissas!$E$5:$E$44,Premissas!$A$5:$A$44,$A4674,Premissas!$B$5:$B$44,$B4674)+S4674*SUMIFS(Premissas!$F$5:$F$44,Premissas!$A$5:$A$44,$A4674,Premissas!$B$5:$B$44,$B4674)</f>
        <v/>
      </c>
      <c r="L4674" s="29">
        <f>J4674-K4674</f>
        <v/>
      </c>
      <c r="M4674" t="inlineStr">
        <is>
          <t>1.350</t>
        </is>
      </c>
      <c r="N4674" t="inlineStr">
        <is>
          <t>Modalidade: 0 - Por conta do remetente | Parte: LIDER INDUSTRIA E COMERCIO LTDA (45.762.979/0001-73)</t>
        </is>
      </c>
      <c r="O4674" s="29" t="n">
        <v>0</v>
      </c>
      <c r="P4674" s="29" t="n">
        <v>0</v>
      </c>
      <c r="Q4674" s="29" t="n">
        <v>0</v>
      </c>
      <c r="R4674" s="29" t="n">
        <v>0</v>
      </c>
      <c r="S4674" s="29" t="n">
        <v>0</v>
      </c>
      <c r="T4674" t="inlineStr">
        <is>
          <t>25240926975620000130570010000026101000000007</t>
        </is>
      </c>
      <c r="U4674" t="inlineStr">
        <is>
          <t>Não</t>
        </is>
      </c>
    </row>
    <row r="4675">
      <c r="A4675" t="inlineStr">
        <is>
          <t>Frete de venda</t>
        </is>
      </c>
      <c r="B4675" t="inlineStr">
        <is>
          <t>2.01.98 Frete Descarregamento</t>
        </is>
      </c>
      <c r="C4675" t="inlineStr">
        <is>
          <t>Antes de 2026</t>
        </is>
      </c>
      <c r="D4675" t="inlineStr">
        <is>
          <t>Antes de 2026</t>
        </is>
      </c>
      <c r="E4675" s="28" t="n">
        <v>45541</v>
      </c>
      <c r="F4675" t="inlineStr">
        <is>
          <t>CT-e</t>
        </is>
      </c>
      <c r="G4675" t="inlineStr">
        <is>
          <t>000002611</t>
        </is>
      </c>
      <c r="H4675" t="inlineStr">
        <is>
          <t>R&amp;R TRANSPORTE E LOGISTICA</t>
        </is>
      </c>
      <c r="J4675" s="29" t="n">
        <v>283</v>
      </c>
      <c r="K4675" s="29">
        <f>(1-ISNUMBER(SEARCH("556",M4675)))*(O4675*SUMIFS(Premissas!$C$5:$C$44,Premissas!$A$5:$A$44,$A4675,Premissas!$B$5:$B$44,$B4675)+P4675*SUMIFS(Premissas!$D$5:$D$44,Premissas!$A$5:$A$44,$A4675,Premissas!$B$5:$B$44,$B4675))+R4675*SUMIFS(Premissas!$E$5:$E$44,Premissas!$A$5:$A$44,$A4675,Premissas!$B$5:$B$44,$B4675)+S4675*SUMIFS(Premissas!$F$5:$F$44,Premissas!$A$5:$A$44,$A4675,Premissas!$B$5:$B$44,$B4675)</f>
        <v/>
      </c>
      <c r="L4675" s="29">
        <f>J4675-K4675</f>
        <v/>
      </c>
      <c r="M4675" t="inlineStr">
        <is>
          <t>1.350</t>
        </is>
      </c>
      <c r="N4675" t="inlineStr">
        <is>
          <t>Transportadora de frete de venda, mas pela modalidade do frete a Vinco recebeu a carga | Modalidade: 2 - Por conta de terceiros | Parte: NOVA CONPEL COMPANHIA NORDESTINA DE PAPEL LTDA (55.330.530/0001-90)</t>
        </is>
      </c>
      <c r="O4675" s="29" t="n">
        <v>0</v>
      </c>
      <c r="P4675" s="29" t="n">
        <v>0</v>
      </c>
      <c r="Q4675" s="29" t="n">
        <v>0</v>
      </c>
      <c r="R4675" s="29" t="n">
        <v>0</v>
      </c>
      <c r="S4675" s="29" t="n">
        <v>0</v>
      </c>
      <c r="T4675" t="inlineStr">
        <is>
          <t>25240926975620000130570010000026111000000004</t>
        </is>
      </c>
      <c r="U4675" t="inlineStr">
        <is>
          <t>Não</t>
        </is>
      </c>
    </row>
    <row r="4676">
      <c r="A4676" t="inlineStr">
        <is>
          <t>Frete de venda</t>
        </is>
      </c>
      <c r="B4676" t="inlineStr">
        <is>
          <t>2.01.98 Frete Descarregamento</t>
        </is>
      </c>
      <c r="C4676" t="inlineStr">
        <is>
          <t>Antes de 2026</t>
        </is>
      </c>
      <c r="D4676" t="inlineStr">
        <is>
          <t>Antes de 2026</t>
        </is>
      </c>
      <c r="E4676" s="28" t="n">
        <v>45545</v>
      </c>
      <c r="F4676" t="inlineStr">
        <is>
          <t>CT-e</t>
        </is>
      </c>
      <c r="G4676" t="inlineStr">
        <is>
          <t>000002617</t>
        </is>
      </c>
      <c r="H4676" t="inlineStr">
        <is>
          <t>R&amp;R TRANSPORTE E LOGISTICA</t>
        </is>
      </c>
      <c r="J4676" s="29" t="n">
        <v>500</v>
      </c>
      <c r="K4676" s="29">
        <f>(1-ISNUMBER(SEARCH("556",M4676)))*(O4676*SUMIFS(Premissas!$C$5:$C$44,Premissas!$A$5:$A$44,$A4676,Premissas!$B$5:$B$44,$B4676)+P4676*SUMIFS(Premissas!$D$5:$D$44,Premissas!$A$5:$A$44,$A4676,Premissas!$B$5:$B$44,$B4676))+R4676*SUMIFS(Premissas!$E$5:$E$44,Premissas!$A$5:$A$44,$A4676,Premissas!$B$5:$B$44,$B4676)+S4676*SUMIFS(Premissas!$F$5:$F$44,Premissas!$A$5:$A$44,$A4676,Premissas!$B$5:$B$44,$B4676)</f>
        <v/>
      </c>
      <c r="L4676" s="29">
        <f>J4676-K4676</f>
        <v/>
      </c>
      <c r="M4676" t="inlineStr">
        <is>
          <t>1.350</t>
        </is>
      </c>
      <c r="N4676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4676" s="29" t="n">
        <v>0</v>
      </c>
      <c r="P4676" s="29" t="n">
        <v>0</v>
      </c>
      <c r="Q4676" s="29" t="n">
        <v>0</v>
      </c>
      <c r="R4676" s="29" t="n">
        <v>0</v>
      </c>
      <c r="S4676" s="29" t="n">
        <v>0</v>
      </c>
      <c r="T4676" t="inlineStr">
        <is>
          <t>25240926975620000130570010000026171000000008</t>
        </is>
      </c>
      <c r="U4676" t="inlineStr">
        <is>
          <t>Não</t>
        </is>
      </c>
    </row>
    <row r="4677">
      <c r="A4677" t="inlineStr">
        <is>
          <t>Frete de venda</t>
        </is>
      </c>
      <c r="B4677" t="inlineStr">
        <is>
          <t>2.01.98 Frete Descarregamento</t>
        </is>
      </c>
      <c r="C4677" t="inlineStr">
        <is>
          <t>Antes de 2026</t>
        </is>
      </c>
      <c r="D4677" t="inlineStr">
        <is>
          <t>Antes de 2026</t>
        </is>
      </c>
      <c r="E4677" s="28" t="n">
        <v>45545</v>
      </c>
      <c r="F4677" t="inlineStr">
        <is>
          <t>CT-e</t>
        </is>
      </c>
      <c r="G4677" t="inlineStr">
        <is>
          <t>000002633</t>
        </is>
      </c>
      <c r="H4677" t="inlineStr">
        <is>
          <t>R&amp;R TRANSPORTE E LOGISTICA</t>
        </is>
      </c>
      <c r="J4677" s="29" t="n">
        <v>19</v>
      </c>
      <c r="K4677" s="29">
        <f>(1-ISNUMBER(SEARCH("556",M4677)))*(O4677*SUMIFS(Premissas!$C$5:$C$44,Premissas!$A$5:$A$44,$A4677,Premissas!$B$5:$B$44,$B4677)+P4677*SUMIFS(Premissas!$D$5:$D$44,Premissas!$A$5:$A$44,$A4677,Premissas!$B$5:$B$44,$B4677))+R4677*SUMIFS(Premissas!$E$5:$E$44,Premissas!$A$5:$A$44,$A4677,Premissas!$B$5:$B$44,$B4677)+S4677*SUMIFS(Premissas!$F$5:$F$44,Premissas!$A$5:$A$44,$A4677,Premissas!$B$5:$B$44,$B4677)</f>
        <v/>
      </c>
      <c r="L4677" s="29">
        <f>J4677-K4677</f>
        <v/>
      </c>
      <c r="M4677" t="inlineStr">
        <is>
          <t>1.350</t>
        </is>
      </c>
      <c r="N4677" t="inlineStr">
        <is>
          <t>Modalidade: 0 - Por conta do remetente | Parte: ECONOMIZE COMERCIO DE DOCES E EMBALAGENS LTDA (08.587.163/0006-39)</t>
        </is>
      </c>
      <c r="O4677" s="29" t="n">
        <v>0</v>
      </c>
      <c r="P4677" s="29" t="n">
        <v>0</v>
      </c>
      <c r="Q4677" s="29" t="n">
        <v>0</v>
      </c>
      <c r="R4677" s="29" t="n">
        <v>0</v>
      </c>
      <c r="S4677" s="29" t="n">
        <v>0</v>
      </c>
      <c r="T4677" t="inlineStr">
        <is>
          <t>25240926975620000130570010000026331000000001</t>
        </is>
      </c>
      <c r="U4677" t="inlineStr">
        <is>
          <t>Não</t>
        </is>
      </c>
    </row>
    <row r="4678">
      <c r="A4678" t="inlineStr">
        <is>
          <t>Frete de venda</t>
        </is>
      </c>
      <c r="B4678" t="inlineStr">
        <is>
          <t>2.01.98 Frete Descarregamento</t>
        </is>
      </c>
      <c r="C4678" t="inlineStr">
        <is>
          <t>Antes de 2026</t>
        </is>
      </c>
      <c r="D4678" t="inlineStr">
        <is>
          <t>Antes de 2026</t>
        </is>
      </c>
      <c r="E4678" s="28" t="n">
        <v>45545</v>
      </c>
      <c r="F4678" t="inlineStr">
        <is>
          <t>CT-e</t>
        </is>
      </c>
      <c r="G4678" t="inlineStr">
        <is>
          <t>000002634</t>
        </is>
      </c>
      <c r="H4678" t="inlineStr">
        <is>
          <t>R&amp;R TRANSPORTE E LOGISTICA</t>
        </is>
      </c>
      <c r="J4678" s="29" t="n">
        <v>19</v>
      </c>
      <c r="K4678" s="29">
        <f>(1-ISNUMBER(SEARCH("556",M4678)))*(O4678*SUMIFS(Premissas!$C$5:$C$44,Premissas!$A$5:$A$44,$A4678,Premissas!$B$5:$B$44,$B4678)+P4678*SUMIFS(Premissas!$D$5:$D$44,Premissas!$A$5:$A$44,$A4678,Premissas!$B$5:$B$44,$B4678))+R4678*SUMIFS(Premissas!$E$5:$E$44,Premissas!$A$5:$A$44,$A4678,Premissas!$B$5:$B$44,$B4678)+S4678*SUMIFS(Premissas!$F$5:$F$44,Premissas!$A$5:$A$44,$A4678,Premissas!$B$5:$B$44,$B4678)</f>
        <v/>
      </c>
      <c r="L4678" s="29">
        <f>J4678-K4678</f>
        <v/>
      </c>
      <c r="M4678" t="inlineStr">
        <is>
          <t>1.350</t>
        </is>
      </c>
      <c r="N4678" t="inlineStr">
        <is>
          <t>Modalidade: 0 - Por conta do remetente | Parte: ECONOMIZE COMERCIO DE DOCES E EMBALAGENS LTDA (08.587.163/0005-58)</t>
        </is>
      </c>
      <c r="O4678" s="29" t="n">
        <v>0</v>
      </c>
      <c r="P4678" s="29" t="n">
        <v>0</v>
      </c>
      <c r="Q4678" s="29" t="n">
        <v>0</v>
      </c>
      <c r="R4678" s="29" t="n">
        <v>0</v>
      </c>
      <c r="S4678" s="29" t="n">
        <v>0</v>
      </c>
      <c r="T4678" t="inlineStr">
        <is>
          <t>25240926975620000130570010000026341000000009</t>
        </is>
      </c>
      <c r="U4678" t="inlineStr">
        <is>
          <t>Não</t>
        </is>
      </c>
    </row>
    <row r="4679">
      <c r="A4679" t="inlineStr">
        <is>
          <t>Frete de venda</t>
        </is>
      </c>
      <c r="B4679" t="inlineStr">
        <is>
          <t>2.01.98 Frete Descarregamento</t>
        </is>
      </c>
      <c r="C4679" t="inlineStr">
        <is>
          <t>Antes de 2026</t>
        </is>
      </c>
      <c r="D4679" t="inlineStr">
        <is>
          <t>Antes de 2026</t>
        </is>
      </c>
      <c r="E4679" s="28" t="n">
        <v>45545</v>
      </c>
      <c r="F4679" t="inlineStr">
        <is>
          <t>CT-e</t>
        </is>
      </c>
      <c r="G4679" t="inlineStr">
        <is>
          <t>000002635</t>
        </is>
      </c>
      <c r="H4679" t="inlineStr">
        <is>
          <t>R&amp;R TRANSPORTE E LOGISTICA</t>
        </is>
      </c>
      <c r="J4679" s="29" t="n">
        <v>19</v>
      </c>
      <c r="K4679" s="29">
        <f>(1-ISNUMBER(SEARCH("556",M4679)))*(O4679*SUMIFS(Premissas!$C$5:$C$44,Premissas!$A$5:$A$44,$A4679,Premissas!$B$5:$B$44,$B4679)+P4679*SUMIFS(Premissas!$D$5:$D$44,Premissas!$A$5:$A$44,$A4679,Premissas!$B$5:$B$44,$B4679))+R4679*SUMIFS(Premissas!$E$5:$E$44,Premissas!$A$5:$A$44,$A4679,Premissas!$B$5:$B$44,$B4679)+S4679*SUMIFS(Premissas!$F$5:$F$44,Premissas!$A$5:$A$44,$A4679,Premissas!$B$5:$B$44,$B4679)</f>
        <v/>
      </c>
      <c r="L4679" s="29">
        <f>J4679-K4679</f>
        <v/>
      </c>
      <c r="M4679" t="inlineStr">
        <is>
          <t>1.350</t>
        </is>
      </c>
      <c r="N4679" t="inlineStr">
        <is>
          <t>Modalidade: 0 - Por conta do remetente | Parte: ECONOMIZE COMERCIO DE DOCES E EMBALAGENS LTDA (08.587.163/0004-77)</t>
        </is>
      </c>
      <c r="O4679" s="29" t="n">
        <v>0</v>
      </c>
      <c r="P4679" s="29" t="n">
        <v>0</v>
      </c>
      <c r="Q4679" s="29" t="n">
        <v>0</v>
      </c>
      <c r="R4679" s="29" t="n">
        <v>0</v>
      </c>
      <c r="S4679" s="29" t="n">
        <v>0</v>
      </c>
      <c r="T4679" t="inlineStr">
        <is>
          <t>25240926975620000130570010000026351000000006</t>
        </is>
      </c>
      <c r="U4679" t="inlineStr">
        <is>
          <t>Não</t>
        </is>
      </c>
    </row>
    <row r="4680">
      <c r="A4680" t="inlineStr">
        <is>
          <t>Frete de venda</t>
        </is>
      </c>
      <c r="B4680" t="inlineStr">
        <is>
          <t>2.01.98 Frete Descarregamento</t>
        </is>
      </c>
      <c r="C4680" t="inlineStr">
        <is>
          <t>Antes de 2026</t>
        </is>
      </c>
      <c r="D4680" t="inlineStr">
        <is>
          <t>Antes de 2026</t>
        </is>
      </c>
      <c r="E4680" s="28" t="n">
        <v>45545</v>
      </c>
      <c r="F4680" t="inlineStr">
        <is>
          <t>CT-e</t>
        </is>
      </c>
      <c r="G4680" t="inlineStr">
        <is>
          <t>000002636</t>
        </is>
      </c>
      <c r="H4680" t="inlineStr">
        <is>
          <t>R&amp;R TRANSPORTE E LOGISTICA</t>
        </is>
      </c>
      <c r="J4680" s="29" t="n">
        <v>16</v>
      </c>
      <c r="K4680" s="29">
        <f>(1-ISNUMBER(SEARCH("556",M4680)))*(O4680*SUMIFS(Premissas!$C$5:$C$44,Premissas!$A$5:$A$44,$A4680,Premissas!$B$5:$B$44,$B4680)+P4680*SUMIFS(Premissas!$D$5:$D$44,Premissas!$A$5:$A$44,$A4680,Premissas!$B$5:$B$44,$B4680))+R4680*SUMIFS(Premissas!$E$5:$E$44,Premissas!$A$5:$A$44,$A4680,Premissas!$B$5:$B$44,$B4680)+S4680*SUMIFS(Premissas!$F$5:$F$44,Premissas!$A$5:$A$44,$A4680,Premissas!$B$5:$B$44,$B4680)</f>
        <v/>
      </c>
      <c r="L4680" s="29">
        <f>J4680-K4680</f>
        <v/>
      </c>
      <c r="M4680" t="inlineStr">
        <is>
          <t>1.350</t>
        </is>
      </c>
      <c r="N4680" t="inlineStr">
        <is>
          <t>Modalidade: 0 - Por conta do remetente | Parte: ECONOMIZE COMERCIO DE DOCES E EMBALAGENS LTDA (08.587.163/0003-96)</t>
        </is>
      </c>
      <c r="O4680" s="29" t="n">
        <v>0</v>
      </c>
      <c r="P4680" s="29" t="n">
        <v>0</v>
      </c>
      <c r="Q4680" s="29" t="n">
        <v>0</v>
      </c>
      <c r="R4680" s="29" t="n">
        <v>0</v>
      </c>
      <c r="S4680" s="29" t="n">
        <v>0</v>
      </c>
      <c r="T4680" t="inlineStr">
        <is>
          <t>25240926975620000130570010000026361000000003</t>
        </is>
      </c>
      <c r="U4680" t="inlineStr">
        <is>
          <t>Não</t>
        </is>
      </c>
    </row>
    <row r="4681">
      <c r="A4681" t="inlineStr">
        <is>
          <t>Frete de venda</t>
        </is>
      </c>
      <c r="B4681" t="inlineStr">
        <is>
          <t>2.01.98 Frete Descarregamento</t>
        </is>
      </c>
      <c r="C4681" t="inlineStr">
        <is>
          <t>Antes de 2026</t>
        </is>
      </c>
      <c r="D4681" t="inlineStr">
        <is>
          <t>Antes de 2026</t>
        </is>
      </c>
      <c r="E4681" s="28" t="n">
        <v>45545</v>
      </c>
      <c r="F4681" t="inlineStr">
        <is>
          <t>CT-e</t>
        </is>
      </c>
      <c r="G4681" t="inlineStr">
        <is>
          <t>000002637</t>
        </is>
      </c>
      <c r="H4681" t="inlineStr">
        <is>
          <t>R&amp;R TRANSPORTE E LOGISTICA</t>
        </is>
      </c>
      <c r="J4681" s="29" t="n">
        <v>19</v>
      </c>
      <c r="K4681" s="29">
        <f>(1-ISNUMBER(SEARCH("556",M4681)))*(O4681*SUMIFS(Premissas!$C$5:$C$44,Premissas!$A$5:$A$44,$A4681,Premissas!$B$5:$B$44,$B4681)+P4681*SUMIFS(Premissas!$D$5:$D$44,Premissas!$A$5:$A$44,$A4681,Premissas!$B$5:$B$44,$B4681))+R4681*SUMIFS(Premissas!$E$5:$E$44,Premissas!$A$5:$A$44,$A4681,Premissas!$B$5:$B$44,$B4681)+S4681*SUMIFS(Premissas!$F$5:$F$44,Premissas!$A$5:$A$44,$A4681,Premissas!$B$5:$B$44,$B4681)</f>
        <v/>
      </c>
      <c r="L4681" s="29">
        <f>J4681-K4681</f>
        <v/>
      </c>
      <c r="M4681" t="inlineStr">
        <is>
          <t>1.350</t>
        </is>
      </c>
      <c r="N4681" t="inlineStr">
        <is>
          <t>Modalidade: 0 - Por conta do remetente | Parte: ECONOMIZE COMERCIO DE DOCES E EMBALAGENS LTDA (08.587.163/0002-05)</t>
        </is>
      </c>
      <c r="O4681" s="29" t="n">
        <v>0</v>
      </c>
      <c r="P4681" s="29" t="n">
        <v>0</v>
      </c>
      <c r="Q4681" s="29" t="n">
        <v>0</v>
      </c>
      <c r="R4681" s="29" t="n">
        <v>0</v>
      </c>
      <c r="S4681" s="29" t="n">
        <v>0</v>
      </c>
      <c r="T4681" t="inlineStr">
        <is>
          <t>25240926975620000130570010000026371000000000</t>
        </is>
      </c>
      <c r="U4681" t="inlineStr">
        <is>
          <t>Não</t>
        </is>
      </c>
    </row>
    <row r="4682">
      <c r="A4682" t="inlineStr">
        <is>
          <t>Frete de venda</t>
        </is>
      </c>
      <c r="B4682" t="inlineStr">
        <is>
          <t>2.01.98 Frete Descarregamento</t>
        </is>
      </c>
      <c r="C4682" t="inlineStr">
        <is>
          <t>Antes de 2026</t>
        </is>
      </c>
      <c r="D4682" t="inlineStr">
        <is>
          <t>Antes de 2026</t>
        </is>
      </c>
      <c r="E4682" s="28" t="n">
        <v>45545</v>
      </c>
      <c r="F4682" t="inlineStr">
        <is>
          <t>CT-e</t>
        </is>
      </c>
      <c r="G4682" t="inlineStr">
        <is>
          <t>000002638</t>
        </is>
      </c>
      <c r="H4682" t="inlineStr">
        <is>
          <t>R&amp;R TRANSPORTE E LOGISTICA</t>
        </is>
      </c>
      <c r="J4682" s="29" t="n">
        <v>23</v>
      </c>
      <c r="K4682" s="29">
        <f>(1-ISNUMBER(SEARCH("556",M4682)))*(O4682*SUMIFS(Premissas!$C$5:$C$44,Premissas!$A$5:$A$44,$A4682,Premissas!$B$5:$B$44,$B4682)+P4682*SUMIFS(Premissas!$D$5:$D$44,Premissas!$A$5:$A$44,$A4682,Premissas!$B$5:$B$44,$B4682))+R4682*SUMIFS(Premissas!$E$5:$E$44,Premissas!$A$5:$A$44,$A4682,Premissas!$B$5:$B$44,$B4682)+S4682*SUMIFS(Premissas!$F$5:$F$44,Premissas!$A$5:$A$44,$A4682,Premissas!$B$5:$B$44,$B4682)</f>
        <v/>
      </c>
      <c r="L4682" s="29">
        <f>J4682-K4682</f>
        <v/>
      </c>
      <c r="M4682" t="inlineStr">
        <is>
          <t>1.350</t>
        </is>
      </c>
      <c r="N4682" t="inlineStr">
        <is>
          <t>Modalidade: 0 - Por conta do remetente | Parte: UP DISTRIBUIDORA DE PRODUTOS DESCARTAVEIS LTDA (12.423.997/0001-71)</t>
        </is>
      </c>
      <c r="O4682" s="29" t="n">
        <v>0</v>
      </c>
      <c r="P4682" s="29" t="n">
        <v>0</v>
      </c>
      <c r="Q4682" s="29" t="n">
        <v>0</v>
      </c>
      <c r="R4682" s="29" t="n">
        <v>0</v>
      </c>
      <c r="S4682" s="29" t="n">
        <v>0</v>
      </c>
      <c r="T4682" t="inlineStr">
        <is>
          <t>25240926975620000130570010000026381000000008</t>
        </is>
      </c>
      <c r="U4682" t="inlineStr">
        <is>
          <t>Não</t>
        </is>
      </c>
    </row>
    <row r="4683">
      <c r="A4683" t="inlineStr">
        <is>
          <t>Frete de venda</t>
        </is>
      </c>
      <c r="B4683" t="inlineStr">
        <is>
          <t>2.01.98 Frete Descarregamento</t>
        </is>
      </c>
      <c r="C4683" t="inlineStr">
        <is>
          <t>Antes de 2026</t>
        </is>
      </c>
      <c r="D4683" t="inlineStr">
        <is>
          <t>Antes de 2026</t>
        </is>
      </c>
      <c r="E4683" s="28" t="n">
        <v>45545</v>
      </c>
      <c r="F4683" t="inlineStr">
        <is>
          <t>CT-e</t>
        </is>
      </c>
      <c r="G4683" t="inlineStr">
        <is>
          <t>000002639</t>
        </is>
      </c>
      <c r="H4683" t="inlineStr">
        <is>
          <t>R&amp;R TRANSPORTE E LOGISTICA</t>
        </is>
      </c>
      <c r="J4683" s="29" t="n">
        <v>20</v>
      </c>
      <c r="K4683" s="29">
        <f>(1-ISNUMBER(SEARCH("556",M4683)))*(O4683*SUMIFS(Premissas!$C$5:$C$44,Premissas!$A$5:$A$44,$A4683,Premissas!$B$5:$B$44,$B4683)+P4683*SUMIFS(Premissas!$D$5:$D$44,Premissas!$A$5:$A$44,$A4683,Premissas!$B$5:$B$44,$B4683))+R4683*SUMIFS(Premissas!$E$5:$E$44,Premissas!$A$5:$A$44,$A4683,Premissas!$B$5:$B$44,$B4683)+S4683*SUMIFS(Premissas!$F$5:$F$44,Premissas!$A$5:$A$44,$A4683,Premissas!$B$5:$B$44,$B4683)</f>
        <v/>
      </c>
      <c r="L4683" s="29">
        <f>J4683-K4683</f>
        <v/>
      </c>
      <c r="M4683" t="inlineStr">
        <is>
          <t>1.350</t>
        </is>
      </c>
      <c r="N4683" t="inlineStr">
        <is>
          <t>Modalidade: 0 - Por conta do remetente | Parte: EDIVALDO BATISTA DOS SANTOS EMBALAGENS LTDA (03.624.188/0001-37)</t>
        </is>
      </c>
      <c r="O4683" s="29" t="n">
        <v>0</v>
      </c>
      <c r="P4683" s="29" t="n">
        <v>0</v>
      </c>
      <c r="Q4683" s="29" t="n">
        <v>0</v>
      </c>
      <c r="R4683" s="29" t="n">
        <v>0</v>
      </c>
      <c r="S4683" s="29" t="n">
        <v>0</v>
      </c>
      <c r="T4683" t="inlineStr">
        <is>
          <t>25240926975620000130570010000026391000000005</t>
        </is>
      </c>
      <c r="U4683" t="inlineStr">
        <is>
          <t>Não</t>
        </is>
      </c>
    </row>
    <row r="4684">
      <c r="A4684" t="inlineStr">
        <is>
          <t>Frete de venda</t>
        </is>
      </c>
      <c r="B4684" t="inlineStr">
        <is>
          <t>2.01.98 Frete Descarregamento</t>
        </is>
      </c>
      <c r="C4684" t="inlineStr">
        <is>
          <t>Antes de 2026</t>
        </is>
      </c>
      <c r="D4684" t="inlineStr">
        <is>
          <t>Antes de 2026</t>
        </is>
      </c>
      <c r="E4684" s="28" t="n">
        <v>45545</v>
      </c>
      <c r="F4684" t="inlineStr">
        <is>
          <t>CT-e</t>
        </is>
      </c>
      <c r="G4684" t="inlineStr">
        <is>
          <t>000002640</t>
        </is>
      </c>
      <c r="H4684" t="inlineStr">
        <is>
          <t>R&amp;R TRANSPORTE E LOGISTICA</t>
        </is>
      </c>
      <c r="J4684" s="29" t="n">
        <v>17</v>
      </c>
      <c r="K4684" s="29">
        <f>(1-ISNUMBER(SEARCH("556",M4684)))*(O4684*SUMIFS(Premissas!$C$5:$C$44,Premissas!$A$5:$A$44,$A4684,Premissas!$B$5:$B$44,$B4684)+P4684*SUMIFS(Premissas!$D$5:$D$44,Premissas!$A$5:$A$44,$A4684,Premissas!$B$5:$B$44,$B4684))+R4684*SUMIFS(Premissas!$E$5:$E$44,Premissas!$A$5:$A$44,$A4684,Premissas!$B$5:$B$44,$B4684)+S4684*SUMIFS(Premissas!$F$5:$F$44,Premissas!$A$5:$A$44,$A4684,Premissas!$B$5:$B$44,$B4684)</f>
        <v/>
      </c>
      <c r="L4684" s="29">
        <f>J4684-K4684</f>
        <v/>
      </c>
      <c r="M4684" t="inlineStr">
        <is>
          <t>1.350</t>
        </is>
      </c>
      <c r="N4684" t="inlineStr">
        <is>
          <t>Modalidade: 0 - Por conta do remetente | Parte: DISMEL DISTRIBUIDORA DE ALIMENTOS LTDA (32.821.324/0001-87)</t>
        </is>
      </c>
      <c r="O4684" s="29" t="n">
        <v>0</v>
      </c>
      <c r="P4684" s="29" t="n">
        <v>0</v>
      </c>
      <c r="Q4684" s="29" t="n">
        <v>0</v>
      </c>
      <c r="R4684" s="29" t="n">
        <v>0</v>
      </c>
      <c r="S4684" s="29" t="n">
        <v>0</v>
      </c>
      <c r="T4684" t="inlineStr">
        <is>
          <t>25240926975620000130570010000026401000000006</t>
        </is>
      </c>
      <c r="U4684" t="inlineStr">
        <is>
          <t>Não</t>
        </is>
      </c>
    </row>
    <row r="4685">
      <c r="A4685" t="inlineStr">
        <is>
          <t>Frete de venda</t>
        </is>
      </c>
      <c r="B4685" t="inlineStr">
        <is>
          <t>2.01.98 Frete Descarregamento</t>
        </is>
      </c>
      <c r="C4685" t="inlineStr">
        <is>
          <t>Antes de 2026</t>
        </is>
      </c>
      <c r="D4685" t="inlineStr">
        <is>
          <t>Antes de 2026</t>
        </is>
      </c>
      <c r="E4685" s="28" t="n">
        <v>45545</v>
      </c>
      <c r="F4685" t="inlineStr">
        <is>
          <t>CT-e</t>
        </is>
      </c>
      <c r="G4685" t="inlineStr">
        <is>
          <t>000002641</t>
        </is>
      </c>
      <c r="H4685" t="inlineStr">
        <is>
          <t>R&amp;R TRANSPORTE E LOGISTICA</t>
        </is>
      </c>
      <c r="J4685" s="29" t="n">
        <v>19</v>
      </c>
      <c r="K4685" s="29">
        <f>(1-ISNUMBER(SEARCH("556",M4685)))*(O4685*SUMIFS(Premissas!$C$5:$C$44,Premissas!$A$5:$A$44,$A4685,Premissas!$B$5:$B$44,$B4685)+P4685*SUMIFS(Premissas!$D$5:$D$44,Premissas!$A$5:$A$44,$A4685,Premissas!$B$5:$B$44,$B4685))+R4685*SUMIFS(Premissas!$E$5:$E$44,Premissas!$A$5:$A$44,$A4685,Premissas!$B$5:$B$44,$B4685)+S4685*SUMIFS(Premissas!$F$5:$F$44,Premissas!$A$5:$A$44,$A4685,Premissas!$B$5:$B$44,$B4685)</f>
        <v/>
      </c>
      <c r="L4685" s="29">
        <f>J4685-K4685</f>
        <v/>
      </c>
      <c r="M4685" t="inlineStr">
        <is>
          <t>1.350</t>
        </is>
      </c>
      <c r="N4685" t="inlineStr">
        <is>
          <t>Modalidade: 0 - Por conta do remetente | Parte: ECONOMIZE COMERCIO DE DOCES E EMBALAGENS LTDA (08.587.163/0001-24)</t>
        </is>
      </c>
      <c r="O4685" s="29" t="n">
        <v>0</v>
      </c>
      <c r="P4685" s="29" t="n">
        <v>0</v>
      </c>
      <c r="Q4685" s="29" t="n">
        <v>0</v>
      </c>
      <c r="R4685" s="29" t="n">
        <v>0</v>
      </c>
      <c r="S4685" s="29" t="n">
        <v>0</v>
      </c>
      <c r="T4685" t="inlineStr">
        <is>
          <t>25240926975620000130570010000026411000000003</t>
        </is>
      </c>
      <c r="U4685" t="inlineStr">
        <is>
          <t>Não</t>
        </is>
      </c>
    </row>
    <row r="4686">
      <c r="A4686" t="inlineStr">
        <is>
          <t>Frete de venda</t>
        </is>
      </c>
      <c r="B4686" t="inlineStr">
        <is>
          <t>2.01.98 Frete Descarregamento</t>
        </is>
      </c>
      <c r="C4686" t="inlineStr">
        <is>
          <t>Antes de 2026</t>
        </is>
      </c>
      <c r="D4686" t="inlineStr">
        <is>
          <t>Antes de 2026</t>
        </is>
      </c>
      <c r="E4686" s="28" t="n">
        <v>45545</v>
      </c>
      <c r="F4686" t="inlineStr">
        <is>
          <t>CT-e</t>
        </is>
      </c>
      <c r="G4686" t="inlineStr">
        <is>
          <t>000002642</t>
        </is>
      </c>
      <c r="H4686" t="inlineStr">
        <is>
          <t>R&amp;R TRANSPORTE E LOGISTICA</t>
        </is>
      </c>
      <c r="J4686" s="29" t="n">
        <v>19</v>
      </c>
      <c r="K4686" s="29">
        <f>(1-ISNUMBER(SEARCH("556",M4686)))*(O4686*SUMIFS(Premissas!$C$5:$C$44,Premissas!$A$5:$A$44,$A4686,Premissas!$B$5:$B$44,$B4686)+P4686*SUMIFS(Premissas!$D$5:$D$44,Premissas!$A$5:$A$44,$A4686,Premissas!$B$5:$B$44,$B4686))+R4686*SUMIFS(Premissas!$E$5:$E$44,Premissas!$A$5:$A$44,$A4686,Premissas!$B$5:$B$44,$B4686)+S4686*SUMIFS(Premissas!$F$5:$F$44,Premissas!$A$5:$A$44,$A4686,Premissas!$B$5:$B$44,$B4686)</f>
        <v/>
      </c>
      <c r="L4686" s="29">
        <f>J4686-K4686</f>
        <v/>
      </c>
      <c r="M4686" t="inlineStr">
        <is>
          <t>1.350</t>
        </is>
      </c>
      <c r="N4686" t="inlineStr">
        <is>
          <t>Modalidade: 0 - Por conta do remetente | Parte: ESTRELA ATACADO LTDA (46.955.924/0001-42)</t>
        </is>
      </c>
      <c r="O4686" s="29" t="n">
        <v>0</v>
      </c>
      <c r="P4686" s="29" t="n">
        <v>0</v>
      </c>
      <c r="Q4686" s="29" t="n">
        <v>0</v>
      </c>
      <c r="R4686" s="29" t="n">
        <v>0</v>
      </c>
      <c r="S4686" s="29" t="n">
        <v>0</v>
      </c>
      <c r="T4686" t="inlineStr">
        <is>
          <t>25240926975620000130570010000026421000000000</t>
        </is>
      </c>
      <c r="U4686" t="inlineStr">
        <is>
          <t>Não</t>
        </is>
      </c>
    </row>
    <row r="4687">
      <c r="A4687" t="inlineStr">
        <is>
          <t>Frete de venda</t>
        </is>
      </c>
      <c r="B4687" t="inlineStr">
        <is>
          <t>2.01.98 Frete Descarregamento</t>
        </is>
      </c>
      <c r="C4687" t="inlineStr">
        <is>
          <t>Antes de 2026</t>
        </is>
      </c>
      <c r="D4687" t="inlineStr">
        <is>
          <t>Antes de 2026</t>
        </is>
      </c>
      <c r="E4687" s="28" t="n">
        <v>45545</v>
      </c>
      <c r="F4687" t="inlineStr">
        <is>
          <t>CT-e</t>
        </is>
      </c>
      <c r="G4687" t="inlineStr">
        <is>
          <t>000002643</t>
        </is>
      </c>
      <c r="H4687" t="inlineStr">
        <is>
          <t>R&amp;R TRANSPORTE E LOGISTICA</t>
        </is>
      </c>
      <c r="J4687" s="29" t="n">
        <v>19</v>
      </c>
      <c r="K4687" s="29">
        <f>(1-ISNUMBER(SEARCH("556",M4687)))*(O4687*SUMIFS(Premissas!$C$5:$C$44,Premissas!$A$5:$A$44,$A4687,Premissas!$B$5:$B$44,$B4687)+P4687*SUMIFS(Premissas!$D$5:$D$44,Premissas!$A$5:$A$44,$A4687,Premissas!$B$5:$B$44,$B4687))+R4687*SUMIFS(Premissas!$E$5:$E$44,Premissas!$A$5:$A$44,$A4687,Premissas!$B$5:$B$44,$B4687)+S4687*SUMIFS(Premissas!$F$5:$F$44,Premissas!$A$5:$A$44,$A4687,Premissas!$B$5:$B$44,$B4687)</f>
        <v/>
      </c>
      <c r="L4687" s="29">
        <f>J4687-K4687</f>
        <v/>
      </c>
      <c r="M4687" t="inlineStr">
        <is>
          <t>1.350</t>
        </is>
      </c>
      <c r="N4687" t="inlineStr">
        <is>
          <t>Modalidade: 0 - Por conta do remetente | Parte: ECONOMIZE COMERCIO DE DOCES E EMBALAGENS LTDA (08.587.163/0007-10)</t>
        </is>
      </c>
      <c r="O4687" s="29" t="n">
        <v>0</v>
      </c>
      <c r="P4687" s="29" t="n">
        <v>0</v>
      </c>
      <c r="Q4687" s="29" t="n">
        <v>0</v>
      </c>
      <c r="R4687" s="29" t="n">
        <v>0</v>
      </c>
      <c r="S4687" s="29" t="n">
        <v>0</v>
      </c>
      <c r="T4687" t="inlineStr">
        <is>
          <t>25240926975620000130570010000026431000000008</t>
        </is>
      </c>
      <c r="U4687" t="inlineStr">
        <is>
          <t>Não</t>
        </is>
      </c>
    </row>
    <row r="4688">
      <c r="A4688" t="inlineStr">
        <is>
          <t>Frete de venda</t>
        </is>
      </c>
      <c r="B4688" t="inlineStr">
        <is>
          <t>2.01.98 Frete Descarregamento</t>
        </is>
      </c>
      <c r="C4688" t="inlineStr">
        <is>
          <t>Antes de 2026</t>
        </is>
      </c>
      <c r="D4688" t="inlineStr">
        <is>
          <t>Antes de 2026</t>
        </is>
      </c>
      <c r="E4688" s="28" t="n">
        <v>45549</v>
      </c>
      <c r="F4688" t="inlineStr">
        <is>
          <t>CT-e</t>
        </is>
      </c>
      <c r="G4688" t="inlineStr">
        <is>
          <t>000002662</t>
        </is>
      </c>
      <c r="H4688" t="inlineStr">
        <is>
          <t>R&amp;R TRANSPORTE E LOGISTICA</t>
        </is>
      </c>
      <c r="J4688" s="29" t="n">
        <v>80</v>
      </c>
      <c r="K4688" s="29">
        <f>(1-ISNUMBER(SEARCH("556",M4688)))*(O4688*SUMIFS(Premissas!$C$5:$C$44,Premissas!$A$5:$A$44,$A4688,Premissas!$B$5:$B$44,$B4688)+P4688*SUMIFS(Premissas!$D$5:$D$44,Premissas!$A$5:$A$44,$A4688,Premissas!$B$5:$B$44,$B4688))+R4688*SUMIFS(Premissas!$E$5:$E$44,Premissas!$A$5:$A$44,$A4688,Premissas!$B$5:$B$44,$B4688)+S4688*SUMIFS(Premissas!$F$5:$F$44,Premissas!$A$5:$A$44,$A4688,Premissas!$B$5:$B$44,$B4688)</f>
        <v/>
      </c>
      <c r="L4688" s="29">
        <f>J4688-K4688</f>
        <v/>
      </c>
      <c r="M4688" t="inlineStr">
        <is>
          <t>1.350</t>
        </is>
      </c>
      <c r="N4688" t="inlineStr">
        <is>
          <t>Modalidade: 0 - Por conta do remetente | Parte: EMBALAGEM RIO DE JANEIRO LTDA (45.902.549/0001-00)</t>
        </is>
      </c>
      <c r="O4688" s="29" t="n">
        <v>0</v>
      </c>
      <c r="P4688" s="29" t="n">
        <v>0</v>
      </c>
      <c r="Q4688" s="29" t="n">
        <v>0</v>
      </c>
      <c r="R4688" s="29" t="n">
        <v>0</v>
      </c>
      <c r="S4688" s="29" t="n">
        <v>0</v>
      </c>
      <c r="T4688" t="inlineStr">
        <is>
          <t>25240926975620000130570010000026621000000003</t>
        </is>
      </c>
      <c r="U4688" t="inlineStr">
        <is>
          <t>Não</t>
        </is>
      </c>
    </row>
    <row r="4689">
      <c r="A4689" t="inlineStr">
        <is>
          <t>Frete de venda</t>
        </is>
      </c>
      <c r="B4689" t="inlineStr">
        <is>
          <t>2.01.98 Frete Descarregamento</t>
        </is>
      </c>
      <c r="C4689" t="inlineStr">
        <is>
          <t>Antes de 2026</t>
        </is>
      </c>
      <c r="D4689" t="inlineStr">
        <is>
          <t>Antes de 2026</t>
        </is>
      </c>
      <c r="E4689" s="28" t="n">
        <v>45549</v>
      </c>
      <c r="F4689" t="inlineStr">
        <is>
          <t>CT-e</t>
        </is>
      </c>
      <c r="G4689" t="inlineStr">
        <is>
          <t>000002663</t>
        </is>
      </c>
      <c r="H4689" t="inlineStr">
        <is>
          <t>R&amp;R TRANSPORTE E LOGISTICA</t>
        </is>
      </c>
      <c r="J4689" s="29" t="n">
        <v>275</v>
      </c>
      <c r="K4689" s="29">
        <f>(1-ISNUMBER(SEARCH("556",M4689)))*(O4689*SUMIFS(Premissas!$C$5:$C$44,Premissas!$A$5:$A$44,$A4689,Premissas!$B$5:$B$44,$B4689)+P4689*SUMIFS(Premissas!$D$5:$D$44,Premissas!$A$5:$A$44,$A4689,Premissas!$B$5:$B$44,$B4689))+R4689*SUMIFS(Premissas!$E$5:$E$44,Premissas!$A$5:$A$44,$A4689,Premissas!$B$5:$B$44,$B4689)+S4689*SUMIFS(Premissas!$F$5:$F$44,Premissas!$A$5:$A$44,$A4689,Premissas!$B$5:$B$44,$B4689)</f>
        <v/>
      </c>
      <c r="L4689" s="29">
        <f>J4689-K4689</f>
        <v/>
      </c>
      <c r="M4689" t="inlineStr">
        <is>
          <t>1.350</t>
        </is>
      </c>
      <c r="N4689" t="inlineStr">
        <is>
          <t>Modalidade: 0 - Por conta do remetente | Parte: RFC COMERCIO DE MIUDEZAS LTDA (26.514.797/0004-81)</t>
        </is>
      </c>
      <c r="O4689" s="29" t="n">
        <v>0</v>
      </c>
      <c r="P4689" s="29" t="n">
        <v>0</v>
      </c>
      <c r="Q4689" s="29" t="n">
        <v>0</v>
      </c>
      <c r="R4689" s="29" t="n">
        <v>0</v>
      </c>
      <c r="S4689" s="29" t="n">
        <v>0</v>
      </c>
      <c r="T4689" t="inlineStr">
        <is>
          <t>25240926975620000130570010000026631000000000</t>
        </is>
      </c>
      <c r="U4689" t="inlineStr">
        <is>
          <t>Não</t>
        </is>
      </c>
    </row>
    <row r="4690">
      <c r="A4690" t="inlineStr">
        <is>
          <t>Frete de venda</t>
        </is>
      </c>
      <c r="B4690" t="inlineStr">
        <is>
          <t>2.01.98 Frete Descarregamento</t>
        </is>
      </c>
      <c r="C4690" t="inlineStr">
        <is>
          <t>Antes de 2026</t>
        </is>
      </c>
      <c r="D4690" t="inlineStr">
        <is>
          <t>Antes de 2026</t>
        </is>
      </c>
      <c r="E4690" s="28" t="n">
        <v>45551</v>
      </c>
      <c r="F4690" t="inlineStr">
        <is>
          <t>CT-e</t>
        </is>
      </c>
      <c r="G4690" t="inlineStr">
        <is>
          <t>000002671</t>
        </is>
      </c>
      <c r="H4690" t="inlineStr">
        <is>
          <t>R&amp;R TRANSPORTE E LOGISTICA</t>
        </is>
      </c>
      <c r="J4690" s="29" t="n">
        <v>700</v>
      </c>
      <c r="K4690" s="29">
        <f>(1-ISNUMBER(SEARCH("556",M4690)))*(O4690*SUMIFS(Premissas!$C$5:$C$44,Premissas!$A$5:$A$44,$A4690,Premissas!$B$5:$B$44,$B4690)+P4690*SUMIFS(Premissas!$D$5:$D$44,Premissas!$A$5:$A$44,$A4690,Premissas!$B$5:$B$44,$B4690))+R4690*SUMIFS(Premissas!$E$5:$E$44,Premissas!$A$5:$A$44,$A4690,Premissas!$B$5:$B$44,$B4690)+S4690*SUMIFS(Premissas!$F$5:$F$44,Premissas!$A$5:$A$44,$A4690,Premissas!$B$5:$B$44,$B4690)</f>
        <v/>
      </c>
      <c r="L4690" s="29">
        <f>J4690-K4690</f>
        <v/>
      </c>
      <c r="M4690" t="inlineStr">
        <is>
          <t>1.350</t>
        </is>
      </c>
      <c r="N4690" t="inlineStr">
        <is>
          <t>Transportadora de frete de venda, mas pela modalidade do frete a Vinco recebeu a carga | Modalidade: 1 - Por conta do destinatário | Parte: REQUIM PRODUTOS QUIMICOS LTDA (06.935.804/0001-69)</t>
        </is>
      </c>
      <c r="O4690" s="29" t="n">
        <v>0</v>
      </c>
      <c r="P4690" s="29" t="n">
        <v>0</v>
      </c>
      <c r="Q4690" s="29" t="n">
        <v>0</v>
      </c>
      <c r="R4690" s="29" t="n">
        <v>0</v>
      </c>
      <c r="S4690" s="29" t="n">
        <v>0</v>
      </c>
      <c r="T4690" t="inlineStr">
        <is>
          <t>25240926975620000130570010000026711000000002</t>
        </is>
      </c>
      <c r="U4690" t="inlineStr">
        <is>
          <t>Não</t>
        </is>
      </c>
    </row>
    <row r="4691">
      <c r="A4691" t="inlineStr">
        <is>
          <t>Frete de venda</t>
        </is>
      </c>
      <c r="B4691" t="inlineStr">
        <is>
          <t>2.01.98 Frete Descarregamento</t>
        </is>
      </c>
      <c r="C4691" t="inlineStr">
        <is>
          <t>Antes de 2026</t>
        </is>
      </c>
      <c r="D4691" t="inlineStr">
        <is>
          <t>Antes de 2026</t>
        </is>
      </c>
      <c r="E4691" s="28" t="n">
        <v>45552</v>
      </c>
      <c r="F4691" t="inlineStr">
        <is>
          <t>CT-e</t>
        </is>
      </c>
      <c r="G4691" t="inlineStr">
        <is>
          <t>000002675</t>
        </is>
      </c>
      <c r="H4691" t="inlineStr">
        <is>
          <t>R&amp;R TRANSPORTE E LOGISTICA</t>
        </is>
      </c>
      <c r="J4691" s="29" t="n">
        <v>1053</v>
      </c>
      <c r="K4691" s="29">
        <f>(1-ISNUMBER(SEARCH("556",M4691)))*(O4691*SUMIFS(Premissas!$C$5:$C$44,Premissas!$A$5:$A$44,$A4691,Premissas!$B$5:$B$44,$B4691)+P4691*SUMIFS(Premissas!$D$5:$D$44,Premissas!$A$5:$A$44,$A4691,Premissas!$B$5:$B$44,$B4691))+R4691*SUMIFS(Premissas!$E$5:$E$44,Premissas!$A$5:$A$44,$A4691,Premissas!$B$5:$B$44,$B4691)+S4691*SUMIFS(Premissas!$F$5:$F$44,Premissas!$A$5:$A$44,$A4691,Premissas!$B$5:$B$44,$B4691)</f>
        <v/>
      </c>
      <c r="L4691" s="29">
        <f>J4691-K4691</f>
        <v/>
      </c>
      <c r="M4691" t="inlineStr">
        <is>
          <t>1.350</t>
        </is>
      </c>
      <c r="N4691" t="inlineStr">
        <is>
          <t>Modalidade: 0 - Por conta do remetente | Parte: STAMP DISTRIBUIDORA DE EMBALAGENS DE PAPEL E DESCARTAVEIS LT (27.707.575/0003-67)</t>
        </is>
      </c>
      <c r="O4691" s="29" t="n">
        <v>0</v>
      </c>
      <c r="P4691" s="29" t="n">
        <v>0</v>
      </c>
      <c r="Q4691" s="29" t="n">
        <v>0</v>
      </c>
      <c r="R4691" s="29" t="n">
        <v>0</v>
      </c>
      <c r="S4691" s="29" t="n">
        <v>0</v>
      </c>
      <c r="T4691" t="inlineStr">
        <is>
          <t>25240926975620000130570010000026751000000001</t>
        </is>
      </c>
      <c r="U4691" t="inlineStr">
        <is>
          <t>Não</t>
        </is>
      </c>
    </row>
    <row r="4692">
      <c r="A4692" t="inlineStr">
        <is>
          <t>Frete de venda</t>
        </is>
      </c>
      <c r="B4692" t="inlineStr">
        <is>
          <t>2.01.98 Frete Descarregamento</t>
        </is>
      </c>
      <c r="C4692" t="inlineStr">
        <is>
          <t>Antes de 2026</t>
        </is>
      </c>
      <c r="D4692" t="inlineStr">
        <is>
          <t>Antes de 2026</t>
        </is>
      </c>
      <c r="E4692" s="28" t="n">
        <v>45554</v>
      </c>
      <c r="F4692" t="inlineStr">
        <is>
          <t>CT-e</t>
        </is>
      </c>
      <c r="G4692" t="inlineStr">
        <is>
          <t>000002681</t>
        </is>
      </c>
      <c r="H4692" t="inlineStr">
        <is>
          <t>R&amp;R TRANSPORTE E LOGISTICA</t>
        </is>
      </c>
      <c r="J4692" s="29" t="n">
        <v>200</v>
      </c>
      <c r="K4692" s="29">
        <f>(1-ISNUMBER(SEARCH("556",M4692)))*(O4692*SUMIFS(Premissas!$C$5:$C$44,Premissas!$A$5:$A$44,$A4692,Premissas!$B$5:$B$44,$B4692)+P4692*SUMIFS(Premissas!$D$5:$D$44,Premissas!$A$5:$A$44,$A4692,Premissas!$B$5:$B$44,$B4692))+R4692*SUMIFS(Premissas!$E$5:$E$44,Premissas!$A$5:$A$44,$A4692,Premissas!$B$5:$B$44,$B4692)+S4692*SUMIFS(Premissas!$F$5:$F$44,Premissas!$A$5:$A$44,$A4692,Premissas!$B$5:$B$44,$B4692)</f>
        <v/>
      </c>
      <c r="L4692" s="29">
        <f>J4692-K4692</f>
        <v/>
      </c>
      <c r="M4692" t="inlineStr">
        <is>
          <t>1.350</t>
        </is>
      </c>
      <c r="N4692" t="inlineStr">
        <is>
          <t>Modalidade: 0 - Por conta do remetente | Parte: MACROPAC PROTECAO E EMBALAGEM LTDA (11.840.014/0001-30)</t>
        </is>
      </c>
      <c r="O4692" s="29" t="n">
        <v>0</v>
      </c>
      <c r="P4692" s="29" t="n">
        <v>0</v>
      </c>
      <c r="Q4692" s="29" t="n">
        <v>0</v>
      </c>
      <c r="R4692" s="29" t="n">
        <v>0</v>
      </c>
      <c r="S4692" s="29" t="n">
        <v>0</v>
      </c>
      <c r="T4692" t="inlineStr">
        <is>
          <t>25240926975620000130570010000026811000000009</t>
        </is>
      </c>
      <c r="U4692" t="inlineStr">
        <is>
          <t>Não</t>
        </is>
      </c>
    </row>
    <row r="4693">
      <c r="A4693" t="inlineStr">
        <is>
          <t>Frete de venda</t>
        </is>
      </c>
      <c r="B4693" t="inlineStr">
        <is>
          <t>2.01.98 Frete Descarregamento</t>
        </is>
      </c>
      <c r="C4693" t="inlineStr">
        <is>
          <t>Antes de 2026</t>
        </is>
      </c>
      <c r="D4693" t="inlineStr">
        <is>
          <t>Antes de 2026</t>
        </is>
      </c>
      <c r="E4693" s="28" t="n">
        <v>45554</v>
      </c>
      <c r="F4693" t="inlineStr">
        <is>
          <t>CT-e</t>
        </is>
      </c>
      <c r="G4693" t="inlineStr">
        <is>
          <t>000002682</t>
        </is>
      </c>
      <c r="H4693" t="inlineStr">
        <is>
          <t>R&amp;R TRANSPORTE E LOGISTICA</t>
        </is>
      </c>
      <c r="J4693" s="29" t="n">
        <v>100</v>
      </c>
      <c r="K4693" s="29">
        <f>(1-ISNUMBER(SEARCH("556",M4693)))*(O4693*SUMIFS(Premissas!$C$5:$C$44,Premissas!$A$5:$A$44,$A4693,Premissas!$B$5:$B$44,$B4693)+P4693*SUMIFS(Premissas!$D$5:$D$44,Premissas!$A$5:$A$44,$A4693,Premissas!$B$5:$B$44,$B4693))+R4693*SUMIFS(Premissas!$E$5:$E$44,Premissas!$A$5:$A$44,$A4693,Premissas!$B$5:$B$44,$B4693)+S4693*SUMIFS(Premissas!$F$5:$F$44,Premissas!$A$5:$A$44,$A4693,Premissas!$B$5:$B$44,$B4693)</f>
        <v/>
      </c>
      <c r="L4693" s="29">
        <f>J4693-K4693</f>
        <v/>
      </c>
      <c r="M4693" t="inlineStr">
        <is>
          <t>1.350</t>
        </is>
      </c>
      <c r="N4693" t="inlineStr">
        <is>
          <t>Modalidade: 0 - Por conta do remetente | Parte: ESPERANCA COMERCIO LTDA (54.857.231/0001-45)</t>
        </is>
      </c>
      <c r="O4693" s="29" t="n">
        <v>0</v>
      </c>
      <c r="P4693" s="29" t="n">
        <v>0</v>
      </c>
      <c r="Q4693" s="29" t="n">
        <v>0</v>
      </c>
      <c r="R4693" s="29" t="n">
        <v>0</v>
      </c>
      <c r="S4693" s="29" t="n">
        <v>0</v>
      </c>
      <c r="T4693" t="inlineStr">
        <is>
          <t>25240926975620000130570010000026821000000006</t>
        </is>
      </c>
      <c r="U4693" t="inlineStr">
        <is>
          <t>Não</t>
        </is>
      </c>
    </row>
    <row r="4694">
      <c r="A4694" t="inlineStr">
        <is>
          <t>Frete de venda</t>
        </is>
      </c>
      <c r="B4694" t="inlineStr">
        <is>
          <t>2.01.98 Frete Descarregamento</t>
        </is>
      </c>
      <c r="C4694" t="inlineStr">
        <is>
          <t>Antes de 2026</t>
        </is>
      </c>
      <c r="D4694" t="inlineStr">
        <is>
          <t>Antes de 2026</t>
        </is>
      </c>
      <c r="E4694" s="28" t="n">
        <v>45554</v>
      </c>
      <c r="F4694" t="inlineStr">
        <is>
          <t>CT-e</t>
        </is>
      </c>
      <c r="G4694" t="inlineStr">
        <is>
          <t>000002683</t>
        </is>
      </c>
      <c r="H4694" t="inlineStr">
        <is>
          <t>R&amp;R TRANSPORTE E LOGISTICA</t>
        </is>
      </c>
      <c r="J4694" s="29" t="n">
        <v>200</v>
      </c>
      <c r="K4694" s="29">
        <f>(1-ISNUMBER(SEARCH("556",M4694)))*(O4694*SUMIFS(Premissas!$C$5:$C$44,Premissas!$A$5:$A$44,$A4694,Premissas!$B$5:$B$44,$B4694)+P4694*SUMIFS(Premissas!$D$5:$D$44,Premissas!$A$5:$A$44,$A4694,Premissas!$B$5:$B$44,$B4694))+R4694*SUMIFS(Premissas!$E$5:$E$44,Premissas!$A$5:$A$44,$A4694,Premissas!$B$5:$B$44,$B4694)+S4694*SUMIFS(Premissas!$F$5:$F$44,Premissas!$A$5:$A$44,$A4694,Premissas!$B$5:$B$44,$B4694)</f>
        <v/>
      </c>
      <c r="L4694" s="29">
        <f>J4694-K4694</f>
        <v/>
      </c>
      <c r="M4694" t="inlineStr">
        <is>
          <t>1.350</t>
        </is>
      </c>
      <c r="N4694" t="inlineStr">
        <is>
          <t>Modalidade: 0 - Por conta do remetente | Parte: GALPLAST EMBALAGENS LTDA (24.273.591/0001-39)</t>
        </is>
      </c>
      <c r="O4694" s="29" t="n">
        <v>0</v>
      </c>
      <c r="P4694" s="29" t="n">
        <v>0</v>
      </c>
      <c r="Q4694" s="29" t="n">
        <v>0</v>
      </c>
      <c r="R4694" s="29" t="n">
        <v>0</v>
      </c>
      <c r="S4694" s="29" t="n">
        <v>0</v>
      </c>
      <c r="T4694" t="inlineStr">
        <is>
          <t>25240926975620000130570010000026831000000003</t>
        </is>
      </c>
      <c r="U4694" t="inlineStr">
        <is>
          <t>Não</t>
        </is>
      </c>
    </row>
    <row r="4695">
      <c r="A4695" t="inlineStr">
        <is>
          <t>Frete de venda</t>
        </is>
      </c>
      <c r="B4695" t="inlineStr">
        <is>
          <t>2.01.98 Frete Descarregamento</t>
        </is>
      </c>
      <c r="C4695" t="inlineStr">
        <is>
          <t>Antes de 2026</t>
        </is>
      </c>
      <c r="D4695" t="inlineStr">
        <is>
          <t>Antes de 2026</t>
        </is>
      </c>
      <c r="E4695" s="28" t="n">
        <v>45555</v>
      </c>
      <c r="F4695" t="inlineStr">
        <is>
          <t>CT-e</t>
        </is>
      </c>
      <c r="G4695" t="inlineStr">
        <is>
          <t>000002684</t>
        </is>
      </c>
      <c r="H4695" t="inlineStr">
        <is>
          <t>R&amp;R TRANSPORTE E LOGISTICA</t>
        </is>
      </c>
      <c r="J4695" s="29" t="n">
        <v>184</v>
      </c>
      <c r="K4695" s="29">
        <f>(1-ISNUMBER(SEARCH("556",M4695)))*(O4695*SUMIFS(Premissas!$C$5:$C$44,Premissas!$A$5:$A$44,$A4695,Premissas!$B$5:$B$44,$B4695)+P4695*SUMIFS(Premissas!$D$5:$D$44,Premissas!$A$5:$A$44,$A4695,Premissas!$B$5:$B$44,$B4695))+R4695*SUMIFS(Premissas!$E$5:$E$44,Premissas!$A$5:$A$44,$A4695,Premissas!$B$5:$B$44,$B4695)+S4695*SUMIFS(Premissas!$F$5:$F$44,Premissas!$A$5:$A$44,$A4695,Premissas!$B$5:$B$44,$B4695)</f>
        <v/>
      </c>
      <c r="L4695" s="29">
        <f>J4695-K4695</f>
        <v/>
      </c>
      <c r="M4695" t="inlineStr">
        <is>
          <t>1.350</t>
        </is>
      </c>
      <c r="N4695" t="inlineStr">
        <is>
          <t>Modalidade: 0 - Por conta do remetente | Parte: RODRIGUES E CIA LTDA (26.144.570/0001-49)</t>
        </is>
      </c>
      <c r="O4695" s="29" t="n">
        <v>0</v>
      </c>
      <c r="P4695" s="29" t="n">
        <v>0</v>
      </c>
      <c r="Q4695" s="29" t="n">
        <v>0</v>
      </c>
      <c r="R4695" s="29" t="n">
        <v>0</v>
      </c>
      <c r="S4695" s="29" t="n">
        <v>0</v>
      </c>
      <c r="T4695" t="inlineStr">
        <is>
          <t>25240926975620000130570010000026841000000000</t>
        </is>
      </c>
      <c r="U4695" t="inlineStr">
        <is>
          <t>Não</t>
        </is>
      </c>
    </row>
    <row r="4696">
      <c r="A4696" t="inlineStr">
        <is>
          <t>Frete de venda</t>
        </is>
      </c>
      <c r="B4696" t="inlineStr">
        <is>
          <t>2.01.98 Frete Descarregamento</t>
        </is>
      </c>
      <c r="C4696" t="inlineStr">
        <is>
          <t>Antes de 2026</t>
        </is>
      </c>
      <c r="D4696" t="inlineStr">
        <is>
          <t>Antes de 2026</t>
        </is>
      </c>
      <c r="E4696" s="28" t="n">
        <v>45555</v>
      </c>
      <c r="F4696" t="inlineStr">
        <is>
          <t>CT-e</t>
        </is>
      </c>
      <c r="G4696" t="inlineStr">
        <is>
          <t>000002685</t>
        </is>
      </c>
      <c r="H4696" t="inlineStr">
        <is>
          <t>R&amp;R TRANSPORTE E LOGISTICA</t>
        </is>
      </c>
      <c r="J4696" s="29" t="n">
        <v>146</v>
      </c>
      <c r="K4696" s="29">
        <f>(1-ISNUMBER(SEARCH("556",M4696)))*(O4696*SUMIFS(Premissas!$C$5:$C$44,Premissas!$A$5:$A$44,$A4696,Premissas!$B$5:$B$44,$B4696)+P4696*SUMIFS(Premissas!$D$5:$D$44,Premissas!$A$5:$A$44,$A4696,Premissas!$B$5:$B$44,$B4696))+R4696*SUMIFS(Premissas!$E$5:$E$44,Premissas!$A$5:$A$44,$A4696,Premissas!$B$5:$B$44,$B4696)+S4696*SUMIFS(Premissas!$F$5:$F$44,Premissas!$A$5:$A$44,$A4696,Premissas!$B$5:$B$44,$B4696)</f>
        <v/>
      </c>
      <c r="L4696" s="29">
        <f>J4696-K4696</f>
        <v/>
      </c>
      <c r="M4696" t="inlineStr">
        <is>
          <t>1.350</t>
        </is>
      </c>
      <c r="N4696" t="inlineStr">
        <is>
          <t>Modalidade: 0 - Por conta do remetente | Parte: EMBALAGENS RAYA COMERCIO E DISTRIBUICAO LTDA (42.748.520/0001-27)</t>
        </is>
      </c>
      <c r="O4696" s="29" t="n">
        <v>0</v>
      </c>
      <c r="P4696" s="29" t="n">
        <v>0</v>
      </c>
      <c r="Q4696" s="29" t="n">
        <v>0</v>
      </c>
      <c r="R4696" s="29" t="n">
        <v>0</v>
      </c>
      <c r="S4696" s="29" t="n">
        <v>0</v>
      </c>
      <c r="T4696" t="inlineStr">
        <is>
          <t>25240926975620000130570010000026851000000008</t>
        </is>
      </c>
      <c r="U4696" t="inlineStr">
        <is>
          <t>Não</t>
        </is>
      </c>
    </row>
    <row r="4697">
      <c r="A4697" t="inlineStr">
        <is>
          <t>Frete de venda</t>
        </is>
      </c>
      <c r="B4697" t="inlineStr">
        <is>
          <t>2.01.98 Frete Descarregamento</t>
        </is>
      </c>
      <c r="C4697" t="inlineStr">
        <is>
          <t>Antes de 2026</t>
        </is>
      </c>
      <c r="D4697" t="inlineStr">
        <is>
          <t>Antes de 2026</t>
        </is>
      </c>
      <c r="E4697" s="28" t="n">
        <v>45555</v>
      </c>
      <c r="F4697" t="inlineStr">
        <is>
          <t>CT-e</t>
        </is>
      </c>
      <c r="G4697" t="inlineStr">
        <is>
          <t>000002687</t>
        </is>
      </c>
      <c r="H4697" t="inlineStr">
        <is>
          <t>R&amp;R TRANSPORTE E LOGISTICA</t>
        </is>
      </c>
      <c r="J4697" s="29" t="n">
        <v>2600</v>
      </c>
      <c r="K4697" s="29">
        <f>(1-ISNUMBER(SEARCH("556",M4697)))*(O4697*SUMIFS(Premissas!$C$5:$C$44,Premissas!$A$5:$A$44,$A4697,Premissas!$B$5:$B$44,$B4697)+P4697*SUMIFS(Premissas!$D$5:$D$44,Premissas!$A$5:$A$44,$A4697,Premissas!$B$5:$B$44,$B4697))+R4697*SUMIFS(Premissas!$E$5:$E$44,Premissas!$A$5:$A$44,$A4697,Premissas!$B$5:$B$44,$B4697)+S4697*SUMIFS(Premissas!$F$5:$F$44,Premissas!$A$5:$A$44,$A4697,Premissas!$B$5:$B$44,$B4697)</f>
        <v/>
      </c>
      <c r="L4697" s="29">
        <f>J4697-K4697</f>
        <v/>
      </c>
      <c r="M4697" t="inlineStr">
        <is>
          <t>1.350</t>
        </is>
      </c>
      <c r="N4697" t="inlineStr">
        <is>
          <t>Modalidade: 0 - Por conta do remetente | Parte: AMC DISTRIBUIDORA DE EMBALAGENS LTDA (36.305.544/0001-09)</t>
        </is>
      </c>
      <c r="O4697" s="29" t="n">
        <v>0</v>
      </c>
      <c r="P4697" s="29" t="n">
        <v>0</v>
      </c>
      <c r="Q4697" s="29" t="n">
        <v>0</v>
      </c>
      <c r="R4697" s="29" t="n">
        <v>0</v>
      </c>
      <c r="S4697" s="29" t="n">
        <v>0</v>
      </c>
      <c r="T4697" t="inlineStr">
        <is>
          <t>25240926975620000130570010000026871000000002</t>
        </is>
      </c>
      <c r="U4697" t="inlineStr">
        <is>
          <t>Não</t>
        </is>
      </c>
    </row>
    <row r="4698">
      <c r="A4698" t="inlineStr">
        <is>
          <t>Frete de venda</t>
        </is>
      </c>
      <c r="B4698" t="inlineStr">
        <is>
          <t>2.01.98 Frete Descarregamento</t>
        </is>
      </c>
      <c r="C4698" t="inlineStr">
        <is>
          <t>Antes de 2026</t>
        </is>
      </c>
      <c r="D4698" t="inlineStr">
        <is>
          <t>Antes de 2026</t>
        </is>
      </c>
      <c r="E4698" s="28" t="n">
        <v>45558</v>
      </c>
      <c r="F4698" t="inlineStr">
        <is>
          <t>CT-e</t>
        </is>
      </c>
      <c r="G4698" t="inlineStr">
        <is>
          <t>000002689</t>
        </is>
      </c>
      <c r="H4698" t="inlineStr">
        <is>
          <t>R&amp;R TRANSPORTE E LOGISTICA</t>
        </is>
      </c>
      <c r="J4698" s="29" t="n">
        <v>250</v>
      </c>
      <c r="K4698" s="29">
        <f>(1-ISNUMBER(SEARCH("556",M4698)))*(O4698*SUMIFS(Premissas!$C$5:$C$44,Premissas!$A$5:$A$44,$A4698,Premissas!$B$5:$B$44,$B4698)+P4698*SUMIFS(Premissas!$D$5:$D$44,Premissas!$A$5:$A$44,$A4698,Premissas!$B$5:$B$44,$B4698))+R4698*SUMIFS(Premissas!$E$5:$E$44,Premissas!$A$5:$A$44,$A4698,Premissas!$B$5:$B$44,$B4698)+S4698*SUMIFS(Premissas!$F$5:$F$44,Premissas!$A$5:$A$44,$A4698,Premissas!$B$5:$B$44,$B4698)</f>
        <v/>
      </c>
      <c r="L4698" s="29">
        <f>J4698-K4698</f>
        <v/>
      </c>
      <c r="M4698" t="inlineStr">
        <is>
          <t>1.350</t>
        </is>
      </c>
      <c r="N4698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  <c r="O4698" s="29" t="n">
        <v>0</v>
      </c>
      <c r="P4698" s="29" t="n">
        <v>0</v>
      </c>
      <c r="Q4698" s="29" t="n">
        <v>0</v>
      </c>
      <c r="R4698" s="29" t="n">
        <v>0</v>
      </c>
      <c r="S4698" s="29" t="n">
        <v>0</v>
      </c>
      <c r="T4698" t="inlineStr">
        <is>
          <t>25240926975620000130570010000026891000000007</t>
        </is>
      </c>
      <c r="U4698" t="inlineStr">
        <is>
          <t>Não</t>
        </is>
      </c>
    </row>
    <row r="4699">
      <c r="A4699" t="inlineStr">
        <is>
          <t>Frete de venda</t>
        </is>
      </c>
      <c r="B4699" t="inlineStr">
        <is>
          <t>2.01.98 Frete Descarregamento</t>
        </is>
      </c>
      <c r="C4699" t="inlineStr">
        <is>
          <t>Antes de 2026</t>
        </is>
      </c>
      <c r="D4699" t="inlineStr">
        <is>
          <t>Antes de 2026</t>
        </is>
      </c>
      <c r="E4699" s="28" t="n">
        <v>45560</v>
      </c>
      <c r="F4699" t="inlineStr">
        <is>
          <t>CT-e</t>
        </is>
      </c>
      <c r="G4699" t="inlineStr">
        <is>
          <t>000002701</t>
        </is>
      </c>
      <c r="H4699" t="inlineStr">
        <is>
          <t>R&amp;R TRANSPORTE E LOGISTICA</t>
        </is>
      </c>
      <c r="J4699" s="29" t="n">
        <v>42</v>
      </c>
      <c r="K4699" s="29">
        <f>(1-ISNUMBER(SEARCH("556",M4699)))*(O4699*SUMIFS(Premissas!$C$5:$C$44,Premissas!$A$5:$A$44,$A4699,Premissas!$B$5:$B$44,$B4699)+P4699*SUMIFS(Premissas!$D$5:$D$44,Premissas!$A$5:$A$44,$A4699,Premissas!$B$5:$B$44,$B4699))+R4699*SUMIFS(Premissas!$E$5:$E$44,Premissas!$A$5:$A$44,$A4699,Premissas!$B$5:$B$44,$B4699)+S4699*SUMIFS(Premissas!$F$5:$F$44,Premissas!$A$5:$A$44,$A4699,Premissas!$B$5:$B$44,$B4699)</f>
        <v/>
      </c>
      <c r="L4699" s="29">
        <f>J4699-K4699</f>
        <v/>
      </c>
      <c r="M4699" t="inlineStr">
        <is>
          <t>1.350</t>
        </is>
      </c>
      <c r="N4699" t="inlineStr">
        <is>
          <t>Modalidade: 0 - Por conta do remetente | Parte: CASA DA EMBALAGEM COMERCIO DE EMBALAGENS LTDA (36.826.570/0001-82)</t>
        </is>
      </c>
      <c r="O4699" s="29" t="n">
        <v>0</v>
      </c>
      <c r="P4699" s="29" t="n">
        <v>0</v>
      </c>
      <c r="Q4699" s="29" t="n">
        <v>0</v>
      </c>
      <c r="R4699" s="29" t="n">
        <v>0</v>
      </c>
      <c r="S4699" s="29" t="n">
        <v>0</v>
      </c>
      <c r="T4699" t="inlineStr">
        <is>
          <t>25240926975620000130570010000027011000000003</t>
        </is>
      </c>
      <c r="U4699" t="inlineStr">
        <is>
          <t>Não</t>
        </is>
      </c>
    </row>
    <row r="4700">
      <c r="A4700" t="inlineStr">
        <is>
          <t>Frete de venda</t>
        </is>
      </c>
      <c r="B4700" t="inlineStr">
        <is>
          <t>2.01.98 Frete Descarregamento</t>
        </is>
      </c>
      <c r="C4700" t="inlineStr">
        <is>
          <t>Antes de 2026</t>
        </is>
      </c>
      <c r="D4700" t="inlineStr">
        <is>
          <t>Antes de 2026</t>
        </is>
      </c>
      <c r="E4700" s="28" t="n">
        <v>45560</v>
      </c>
      <c r="F4700" t="inlineStr">
        <is>
          <t>CT-e</t>
        </is>
      </c>
      <c r="G4700" t="inlineStr">
        <is>
          <t>000002702</t>
        </is>
      </c>
      <c r="H4700" t="inlineStr">
        <is>
          <t>R&amp;R TRANSPORTE E LOGISTICA</t>
        </is>
      </c>
      <c r="J4700" s="29" t="n">
        <v>62</v>
      </c>
      <c r="K4700" s="29">
        <f>(1-ISNUMBER(SEARCH("556",M4700)))*(O4700*SUMIFS(Premissas!$C$5:$C$44,Premissas!$A$5:$A$44,$A4700,Premissas!$B$5:$B$44,$B4700)+P4700*SUMIFS(Premissas!$D$5:$D$44,Premissas!$A$5:$A$44,$A4700,Premissas!$B$5:$B$44,$B4700))+R4700*SUMIFS(Premissas!$E$5:$E$44,Premissas!$A$5:$A$44,$A4700,Premissas!$B$5:$B$44,$B4700)+S4700*SUMIFS(Premissas!$F$5:$F$44,Premissas!$A$5:$A$44,$A4700,Premissas!$B$5:$B$44,$B4700)</f>
        <v/>
      </c>
      <c r="L4700" s="29">
        <f>J4700-K4700</f>
        <v/>
      </c>
      <c r="M4700" t="inlineStr">
        <is>
          <t>1.350</t>
        </is>
      </c>
      <c r="N4700" t="inlineStr">
        <is>
          <t>Modalidade: 0 - Por conta do remetente | Parte: RD ATACADISTA LTDA (30.568.714/0001-61)</t>
        </is>
      </c>
      <c r="O4700" s="29" t="n">
        <v>0</v>
      </c>
      <c r="P4700" s="29" t="n">
        <v>0</v>
      </c>
      <c r="Q4700" s="29" t="n">
        <v>0</v>
      </c>
      <c r="R4700" s="29" t="n">
        <v>0</v>
      </c>
      <c r="S4700" s="29" t="n">
        <v>0</v>
      </c>
      <c r="T4700" t="inlineStr">
        <is>
          <t>25240926975620000130570010000027021000000000</t>
        </is>
      </c>
      <c r="U4700" t="inlineStr">
        <is>
          <t>Não</t>
        </is>
      </c>
    </row>
    <row r="4701">
      <c r="A4701" t="inlineStr">
        <is>
          <t>Frete de venda</t>
        </is>
      </c>
      <c r="B4701" t="inlineStr">
        <is>
          <t>2.01.98 Frete Descarregamento</t>
        </is>
      </c>
      <c r="C4701" t="inlineStr">
        <is>
          <t>Antes de 2026</t>
        </is>
      </c>
      <c r="D4701" t="inlineStr">
        <is>
          <t>Antes de 2026</t>
        </is>
      </c>
      <c r="E4701" s="28" t="n">
        <v>45560</v>
      </c>
      <c r="F4701" t="inlineStr">
        <is>
          <t>CT-e</t>
        </is>
      </c>
      <c r="G4701" t="inlineStr">
        <is>
          <t>000002703</t>
        </is>
      </c>
      <c r="H4701" t="inlineStr">
        <is>
          <t>R&amp;R TRANSPORTE E LOGISTICA</t>
        </is>
      </c>
      <c r="J4701" s="29" t="n">
        <v>62</v>
      </c>
      <c r="K4701" s="29">
        <f>(1-ISNUMBER(SEARCH("556",M4701)))*(O4701*SUMIFS(Premissas!$C$5:$C$44,Premissas!$A$5:$A$44,$A4701,Premissas!$B$5:$B$44,$B4701)+P4701*SUMIFS(Premissas!$D$5:$D$44,Premissas!$A$5:$A$44,$A4701,Premissas!$B$5:$B$44,$B4701))+R4701*SUMIFS(Premissas!$E$5:$E$44,Premissas!$A$5:$A$44,$A4701,Premissas!$B$5:$B$44,$B4701)+S4701*SUMIFS(Premissas!$F$5:$F$44,Premissas!$A$5:$A$44,$A4701,Premissas!$B$5:$B$44,$B4701)</f>
        <v/>
      </c>
      <c r="L4701" s="29">
        <f>J4701-K4701</f>
        <v/>
      </c>
      <c r="M4701" t="inlineStr">
        <is>
          <t>1.350</t>
        </is>
      </c>
      <c r="N4701" t="inlineStr">
        <is>
          <t>Modalidade: 0 - Por conta do remetente | Parte: ITABERAI FRIOS e EMBALAGENS LTDA (17.206.462/0001-62)</t>
        </is>
      </c>
      <c r="O4701" s="29" t="n">
        <v>0</v>
      </c>
      <c r="P4701" s="29" t="n">
        <v>0</v>
      </c>
      <c r="Q4701" s="29" t="n">
        <v>0</v>
      </c>
      <c r="R4701" s="29" t="n">
        <v>0</v>
      </c>
      <c r="S4701" s="29" t="n">
        <v>0</v>
      </c>
      <c r="T4701" t="inlineStr">
        <is>
          <t>25240926975620000130570010000027031000000008</t>
        </is>
      </c>
      <c r="U4701" t="inlineStr">
        <is>
          <t>Não</t>
        </is>
      </c>
    </row>
    <row r="4702">
      <c r="A4702" t="inlineStr">
        <is>
          <t>Frete de venda</t>
        </is>
      </c>
      <c r="B4702" t="inlineStr">
        <is>
          <t>2.01.98 Frete Descarregamento</t>
        </is>
      </c>
      <c r="C4702" t="inlineStr">
        <is>
          <t>Antes de 2026</t>
        </is>
      </c>
      <c r="D4702" t="inlineStr">
        <is>
          <t>Antes de 2026</t>
        </is>
      </c>
      <c r="E4702" s="28" t="n">
        <v>45560</v>
      </c>
      <c r="F4702" t="inlineStr">
        <is>
          <t>CT-e</t>
        </is>
      </c>
      <c r="G4702" t="inlineStr">
        <is>
          <t>000002704</t>
        </is>
      </c>
      <c r="H4702" t="inlineStr">
        <is>
          <t>R&amp;R TRANSPORTE E LOGISTICA</t>
        </is>
      </c>
      <c r="J4702" s="29" t="n">
        <v>37</v>
      </c>
      <c r="K4702" s="29">
        <f>(1-ISNUMBER(SEARCH("556",M4702)))*(O4702*SUMIFS(Premissas!$C$5:$C$44,Premissas!$A$5:$A$44,$A4702,Premissas!$B$5:$B$44,$B4702)+P4702*SUMIFS(Premissas!$D$5:$D$44,Premissas!$A$5:$A$44,$A4702,Premissas!$B$5:$B$44,$B4702))+R4702*SUMIFS(Premissas!$E$5:$E$44,Premissas!$A$5:$A$44,$A4702,Premissas!$B$5:$B$44,$B4702)+S4702*SUMIFS(Premissas!$F$5:$F$44,Premissas!$A$5:$A$44,$A4702,Premissas!$B$5:$B$44,$B4702)</f>
        <v/>
      </c>
      <c r="L4702" s="29">
        <f>J4702-K4702</f>
        <v/>
      </c>
      <c r="M4702" t="inlineStr">
        <is>
          <t>1.350</t>
        </is>
      </c>
      <c r="N4702" t="inlineStr">
        <is>
          <t>Modalidade: 0 - Por conta do remetente | Parte: SHEIK DISTRIBUIDORA DE PRODUTOS LTDA (39.444.114/0003-28)</t>
        </is>
      </c>
      <c r="O4702" s="29" t="n">
        <v>0</v>
      </c>
      <c r="P4702" s="29" t="n">
        <v>0</v>
      </c>
      <c r="Q4702" s="29" t="n">
        <v>0</v>
      </c>
      <c r="R4702" s="29" t="n">
        <v>0</v>
      </c>
      <c r="S4702" s="29" t="n">
        <v>0</v>
      </c>
      <c r="T4702" t="inlineStr">
        <is>
          <t>25240926975620000130570010000027041000000005</t>
        </is>
      </c>
      <c r="U4702" t="inlineStr">
        <is>
          <t>Não</t>
        </is>
      </c>
    </row>
    <row r="4703">
      <c r="A4703" t="inlineStr">
        <is>
          <t>Frete de venda</t>
        </is>
      </c>
      <c r="B4703" t="inlineStr">
        <is>
          <t>2.01.98 Frete Descarregamento</t>
        </is>
      </c>
      <c r="C4703" t="inlineStr">
        <is>
          <t>Antes de 2026</t>
        </is>
      </c>
      <c r="D4703" t="inlineStr">
        <is>
          <t>Antes de 2026</t>
        </is>
      </c>
      <c r="E4703" s="28" t="n">
        <v>45560</v>
      </c>
      <c r="F4703" t="inlineStr">
        <is>
          <t>CT-e</t>
        </is>
      </c>
      <c r="G4703" t="inlineStr">
        <is>
          <t>000002705</t>
        </is>
      </c>
      <c r="H4703" t="inlineStr">
        <is>
          <t>R&amp;R TRANSPORTE E LOGISTICA</t>
        </is>
      </c>
      <c r="J4703" s="29" t="n">
        <v>35</v>
      </c>
      <c r="K4703" s="29">
        <f>(1-ISNUMBER(SEARCH("556",M4703)))*(O4703*SUMIFS(Premissas!$C$5:$C$44,Premissas!$A$5:$A$44,$A4703,Premissas!$B$5:$B$44,$B4703)+P4703*SUMIFS(Premissas!$D$5:$D$44,Premissas!$A$5:$A$44,$A4703,Premissas!$B$5:$B$44,$B4703))+R4703*SUMIFS(Premissas!$E$5:$E$44,Premissas!$A$5:$A$44,$A4703,Premissas!$B$5:$B$44,$B4703)+S4703*SUMIFS(Premissas!$F$5:$F$44,Premissas!$A$5:$A$44,$A4703,Premissas!$B$5:$B$44,$B4703)</f>
        <v/>
      </c>
      <c r="L4703" s="29">
        <f>J4703-K4703</f>
        <v/>
      </c>
      <c r="M4703" t="inlineStr">
        <is>
          <t>1.350</t>
        </is>
      </c>
      <c r="N4703" t="inlineStr">
        <is>
          <t>Modalidade: 0 - Por conta do remetente | Parte: BAIAO-PLAST COMERCIO DE DESCARTAVEIS LTDA (20.132.314/0001-55)</t>
        </is>
      </c>
      <c r="O4703" s="29" t="n">
        <v>0</v>
      </c>
      <c r="P4703" s="29" t="n">
        <v>0</v>
      </c>
      <c r="Q4703" s="29" t="n">
        <v>0</v>
      </c>
      <c r="R4703" s="29" t="n">
        <v>0</v>
      </c>
      <c r="S4703" s="29" t="n">
        <v>0</v>
      </c>
      <c r="T4703" t="inlineStr">
        <is>
          <t>25240926975620000130570010000027051000000002</t>
        </is>
      </c>
      <c r="U4703" t="inlineStr">
        <is>
          <t>Não</t>
        </is>
      </c>
    </row>
    <row r="4704">
      <c r="A4704" t="inlineStr">
        <is>
          <t>Frete de venda</t>
        </is>
      </c>
      <c r="B4704" t="inlineStr">
        <is>
          <t>2.01.98 Frete Descarregamento</t>
        </is>
      </c>
      <c r="C4704" t="inlineStr">
        <is>
          <t>Antes de 2026</t>
        </is>
      </c>
      <c r="D4704" t="inlineStr">
        <is>
          <t>Antes de 2026</t>
        </is>
      </c>
      <c r="E4704" s="28" t="n">
        <v>45566</v>
      </c>
      <c r="F4704" t="inlineStr">
        <is>
          <t>CT-e</t>
        </is>
      </c>
      <c r="G4704" t="inlineStr">
        <is>
          <t>000002717</t>
        </is>
      </c>
      <c r="H4704" t="inlineStr">
        <is>
          <t>R&amp;R TRANSPORTE E LOGISTICA</t>
        </is>
      </c>
      <c r="J4704" s="29" t="n">
        <v>391</v>
      </c>
      <c r="K4704" s="29">
        <f>(1-ISNUMBER(SEARCH("556",M4704)))*(O4704*SUMIFS(Premissas!$C$5:$C$44,Premissas!$A$5:$A$44,$A4704,Premissas!$B$5:$B$44,$B4704)+P4704*SUMIFS(Premissas!$D$5:$D$44,Premissas!$A$5:$A$44,$A4704,Premissas!$B$5:$B$44,$B4704))+R4704*SUMIFS(Premissas!$E$5:$E$44,Premissas!$A$5:$A$44,$A4704,Premissas!$B$5:$B$44,$B4704)+S4704*SUMIFS(Premissas!$F$5:$F$44,Premissas!$A$5:$A$44,$A4704,Premissas!$B$5:$B$44,$B4704)</f>
        <v/>
      </c>
      <c r="L4704" s="29">
        <f>J4704-K4704</f>
        <v/>
      </c>
      <c r="M4704" t="inlineStr">
        <is>
          <t>1.350</t>
        </is>
      </c>
      <c r="N4704" t="inlineStr">
        <is>
          <t>Modalidade: 0 - Por conta do remetente | Parte: DISTRIBUIDORA CENTRAL EMBALAGENS LTDA (08.726.563/0007-69)</t>
        </is>
      </c>
      <c r="O4704" s="29" t="n">
        <v>0</v>
      </c>
      <c r="P4704" s="29" t="n">
        <v>0</v>
      </c>
      <c r="Q4704" s="29" t="n">
        <v>0</v>
      </c>
      <c r="R4704" s="29" t="n">
        <v>0</v>
      </c>
      <c r="S4704" s="29" t="n">
        <v>0</v>
      </c>
      <c r="T4704" t="inlineStr">
        <is>
          <t>25241026975620000130570010000027171000000003</t>
        </is>
      </c>
      <c r="U4704" t="inlineStr">
        <is>
          <t>Não</t>
        </is>
      </c>
    </row>
    <row r="4705">
      <c r="A4705" t="inlineStr">
        <is>
          <t>Frete de venda</t>
        </is>
      </c>
      <c r="B4705" t="inlineStr">
        <is>
          <t>2.01.98 Frete Descarregamento</t>
        </is>
      </c>
      <c r="C4705" t="inlineStr">
        <is>
          <t>Antes de 2026</t>
        </is>
      </c>
      <c r="D4705" t="inlineStr">
        <is>
          <t>Antes de 2026</t>
        </is>
      </c>
      <c r="E4705" s="28" t="n">
        <v>45566</v>
      </c>
      <c r="F4705" t="inlineStr">
        <is>
          <t>CT-e</t>
        </is>
      </c>
      <c r="G4705" t="inlineStr">
        <is>
          <t>000002718</t>
        </is>
      </c>
      <c r="H4705" t="inlineStr">
        <is>
          <t>R&amp;R TRANSPORTE E LOGISTICA</t>
        </is>
      </c>
      <c r="J4705" s="29" t="n">
        <v>160</v>
      </c>
      <c r="K4705" s="29">
        <f>(1-ISNUMBER(SEARCH("556",M4705)))*(O4705*SUMIFS(Premissas!$C$5:$C$44,Premissas!$A$5:$A$44,$A4705,Premissas!$B$5:$B$44,$B4705)+P4705*SUMIFS(Premissas!$D$5:$D$44,Premissas!$A$5:$A$44,$A4705,Premissas!$B$5:$B$44,$B4705))+R4705*SUMIFS(Premissas!$E$5:$E$44,Premissas!$A$5:$A$44,$A4705,Premissas!$B$5:$B$44,$B4705)+S4705*SUMIFS(Premissas!$F$5:$F$44,Premissas!$A$5:$A$44,$A4705,Premissas!$B$5:$B$44,$B4705)</f>
        <v/>
      </c>
      <c r="L4705" s="29">
        <f>J4705-K4705</f>
        <v/>
      </c>
      <c r="M4705" t="inlineStr">
        <is>
          <t>1.350</t>
        </is>
      </c>
      <c r="N4705" t="inlineStr">
        <is>
          <t>Modalidade: 0 - Por conta do remetente | Parte: EMC2 DIST DE MAT DE PAPEIS E DESC - LEV PAPER (02.097.529/0001-09)</t>
        </is>
      </c>
      <c r="O4705" s="29" t="n">
        <v>0</v>
      </c>
      <c r="P4705" s="29" t="n">
        <v>0</v>
      </c>
      <c r="Q4705" s="29" t="n">
        <v>0</v>
      </c>
      <c r="R4705" s="29" t="n">
        <v>0</v>
      </c>
      <c r="S4705" s="29" t="n">
        <v>0</v>
      </c>
      <c r="T4705" t="inlineStr">
        <is>
          <t>25241026975620000130570010000027181000000000</t>
        </is>
      </c>
      <c r="U4705" t="inlineStr">
        <is>
          <t>Não</t>
        </is>
      </c>
    </row>
    <row r="4706">
      <c r="A4706" t="inlineStr">
        <is>
          <t>Frete de venda</t>
        </is>
      </c>
      <c r="B4706" t="inlineStr">
        <is>
          <t>2.01.98 Frete Descarregamento</t>
        </is>
      </c>
      <c r="C4706" t="inlineStr">
        <is>
          <t>Antes de 2026</t>
        </is>
      </c>
      <c r="D4706" t="inlineStr">
        <is>
          <t>Antes de 2026</t>
        </is>
      </c>
      <c r="E4706" s="28" t="n">
        <v>45566</v>
      </c>
      <c r="F4706" t="inlineStr">
        <is>
          <t>CT-e</t>
        </is>
      </c>
      <c r="G4706" t="inlineStr">
        <is>
          <t>000002721</t>
        </is>
      </c>
      <c r="H4706" t="inlineStr">
        <is>
          <t>R&amp;R TRANSPORTE E LOGISTICA</t>
        </is>
      </c>
      <c r="J4706" s="29" t="n">
        <v>95</v>
      </c>
      <c r="K4706" s="29">
        <f>(1-ISNUMBER(SEARCH("556",M4706)))*(O4706*SUMIFS(Premissas!$C$5:$C$44,Premissas!$A$5:$A$44,$A4706,Premissas!$B$5:$B$44,$B4706)+P4706*SUMIFS(Premissas!$D$5:$D$44,Premissas!$A$5:$A$44,$A4706,Premissas!$B$5:$B$44,$B4706))+R4706*SUMIFS(Premissas!$E$5:$E$44,Premissas!$A$5:$A$44,$A4706,Premissas!$B$5:$B$44,$B4706)+S4706*SUMIFS(Premissas!$F$5:$F$44,Premissas!$A$5:$A$44,$A4706,Premissas!$B$5:$B$44,$B4706)</f>
        <v/>
      </c>
      <c r="L4706" s="29">
        <f>J4706-K4706</f>
        <v/>
      </c>
      <c r="M4706" t="inlineStr">
        <is>
          <t>1.350</t>
        </is>
      </c>
      <c r="N4706" t="inlineStr">
        <is>
          <t>Modalidade: 0 - Por conta do remetente | Parte: ADILSON RAMOS DE MOURA LTDA (00.794.258/0001-07)</t>
        </is>
      </c>
      <c r="O4706" s="29" t="n">
        <v>0</v>
      </c>
      <c r="P4706" s="29" t="n">
        <v>0</v>
      </c>
      <c r="Q4706" s="29" t="n">
        <v>0</v>
      </c>
      <c r="R4706" s="29" t="n">
        <v>0</v>
      </c>
      <c r="S4706" s="29" t="n">
        <v>0</v>
      </c>
      <c r="T4706" t="inlineStr">
        <is>
          <t>25241026975620000130570010000027211000000006</t>
        </is>
      </c>
      <c r="U4706" t="inlineStr">
        <is>
          <t>Não</t>
        </is>
      </c>
    </row>
    <row r="4707">
      <c r="A4707" t="inlineStr">
        <is>
          <t>Frete de venda</t>
        </is>
      </c>
      <c r="B4707" t="inlineStr">
        <is>
          <t>2.01.98 Frete Descarregamento</t>
        </is>
      </c>
      <c r="C4707" t="inlineStr">
        <is>
          <t>Antes de 2026</t>
        </is>
      </c>
      <c r="D4707" t="inlineStr">
        <is>
          <t>Antes de 2026</t>
        </is>
      </c>
      <c r="E4707" s="28" t="n">
        <v>45566</v>
      </c>
      <c r="F4707" t="inlineStr">
        <is>
          <t>CT-e</t>
        </is>
      </c>
      <c r="G4707" t="inlineStr">
        <is>
          <t>000002722</t>
        </is>
      </c>
      <c r="H4707" t="inlineStr">
        <is>
          <t>R&amp;R TRANSPORTE E LOGISTICA</t>
        </is>
      </c>
      <c r="J4707" s="29" t="n">
        <v>94</v>
      </c>
      <c r="K4707" s="29">
        <f>(1-ISNUMBER(SEARCH("556",M4707)))*(O4707*SUMIFS(Premissas!$C$5:$C$44,Premissas!$A$5:$A$44,$A4707,Premissas!$B$5:$B$44,$B4707)+P4707*SUMIFS(Premissas!$D$5:$D$44,Premissas!$A$5:$A$44,$A4707,Premissas!$B$5:$B$44,$B4707))+R4707*SUMIFS(Premissas!$E$5:$E$44,Premissas!$A$5:$A$44,$A4707,Premissas!$B$5:$B$44,$B4707)+S4707*SUMIFS(Premissas!$F$5:$F$44,Premissas!$A$5:$A$44,$A4707,Premissas!$B$5:$B$44,$B4707)</f>
        <v/>
      </c>
      <c r="L4707" s="29">
        <f>J4707-K4707</f>
        <v/>
      </c>
      <c r="M4707" t="inlineStr">
        <is>
          <t>1.350</t>
        </is>
      </c>
      <c r="N4707" t="inlineStr">
        <is>
          <t>Modalidade: 0 - Por conta do remetente | Parte: RR ARMAZENAGEM E COMERCIO LTDA (05.030.348/0001-45)</t>
        </is>
      </c>
      <c r="O4707" s="29" t="n">
        <v>0</v>
      </c>
      <c r="P4707" s="29" t="n">
        <v>0</v>
      </c>
      <c r="Q4707" s="29" t="n">
        <v>0</v>
      </c>
      <c r="R4707" s="29" t="n">
        <v>0</v>
      </c>
      <c r="S4707" s="29" t="n">
        <v>0</v>
      </c>
      <c r="T4707" t="inlineStr">
        <is>
          <t>25241026975620000130570010000027221000000003</t>
        </is>
      </c>
      <c r="U4707" t="inlineStr">
        <is>
          <t>Não</t>
        </is>
      </c>
    </row>
    <row r="4708">
      <c r="A4708" t="inlineStr">
        <is>
          <t>Frete de venda</t>
        </is>
      </c>
      <c r="B4708" t="inlineStr">
        <is>
          <t>2.01.98 Frete Descarregamento</t>
        </is>
      </c>
      <c r="C4708" t="inlineStr">
        <is>
          <t>Antes de 2026</t>
        </is>
      </c>
      <c r="D4708" t="inlineStr">
        <is>
          <t>Antes de 2026</t>
        </is>
      </c>
      <c r="E4708" s="28" t="n">
        <v>45566</v>
      </c>
      <c r="F4708" t="inlineStr">
        <is>
          <t>CT-e</t>
        </is>
      </c>
      <c r="G4708" t="inlineStr">
        <is>
          <t>000002723</t>
        </is>
      </c>
      <c r="H4708" t="inlineStr">
        <is>
          <t>R&amp;R TRANSPORTE E LOGISTICA</t>
        </is>
      </c>
      <c r="J4708" s="29" t="n">
        <v>46</v>
      </c>
      <c r="K4708" s="29">
        <f>(1-ISNUMBER(SEARCH("556",M4708)))*(O4708*SUMIFS(Premissas!$C$5:$C$44,Premissas!$A$5:$A$44,$A4708,Premissas!$B$5:$B$44,$B4708)+P4708*SUMIFS(Premissas!$D$5:$D$44,Premissas!$A$5:$A$44,$A4708,Premissas!$B$5:$B$44,$B4708))+R4708*SUMIFS(Premissas!$E$5:$E$44,Premissas!$A$5:$A$44,$A4708,Premissas!$B$5:$B$44,$B4708)+S4708*SUMIFS(Premissas!$F$5:$F$44,Premissas!$A$5:$A$44,$A4708,Premissas!$B$5:$B$44,$B4708)</f>
        <v/>
      </c>
      <c r="L4708" s="29">
        <f>J4708-K4708</f>
        <v/>
      </c>
      <c r="M4708" t="inlineStr">
        <is>
          <t>1.350</t>
        </is>
      </c>
      <c r="N4708" t="inlineStr">
        <is>
          <t>Modalidade: 0 - Por conta do remetente | Parte: UP DISTRIBUIDORA DE PRODUTOS DESCARTAVEIS LTDA (12.423.997/0001-71)</t>
        </is>
      </c>
      <c r="O4708" s="29" t="n">
        <v>0</v>
      </c>
      <c r="P4708" s="29" t="n">
        <v>0</v>
      </c>
      <c r="Q4708" s="29" t="n">
        <v>0</v>
      </c>
      <c r="R4708" s="29" t="n">
        <v>0</v>
      </c>
      <c r="S4708" s="29" t="n">
        <v>0</v>
      </c>
      <c r="T4708" t="inlineStr">
        <is>
          <t>25241026975620000130570010000027231000000000</t>
        </is>
      </c>
      <c r="U4708" t="inlineStr">
        <is>
          <t>Não</t>
        </is>
      </c>
    </row>
    <row r="4709">
      <c r="A4709" t="inlineStr">
        <is>
          <t>Frete de venda</t>
        </is>
      </c>
      <c r="B4709" t="inlineStr">
        <is>
          <t>2.01.98 Frete Descarregamento</t>
        </is>
      </c>
      <c r="C4709" t="inlineStr">
        <is>
          <t>Antes de 2026</t>
        </is>
      </c>
      <c r="D4709" t="inlineStr">
        <is>
          <t>Antes de 2026</t>
        </is>
      </c>
      <c r="E4709" s="28" t="n">
        <v>45566</v>
      </c>
      <c r="F4709" t="inlineStr">
        <is>
          <t>CT-e</t>
        </is>
      </c>
      <c r="G4709" t="inlineStr">
        <is>
          <t>000002724</t>
        </is>
      </c>
      <c r="H4709" t="inlineStr">
        <is>
          <t>R&amp;R TRANSPORTE E LOGISTICA</t>
        </is>
      </c>
      <c r="J4709" s="29" t="n">
        <v>40</v>
      </c>
      <c r="K4709" s="29">
        <f>(1-ISNUMBER(SEARCH("556",M4709)))*(O4709*SUMIFS(Premissas!$C$5:$C$44,Premissas!$A$5:$A$44,$A4709,Premissas!$B$5:$B$44,$B4709)+P4709*SUMIFS(Premissas!$D$5:$D$44,Premissas!$A$5:$A$44,$A4709,Premissas!$B$5:$B$44,$B4709))+R4709*SUMIFS(Premissas!$E$5:$E$44,Premissas!$A$5:$A$44,$A4709,Premissas!$B$5:$B$44,$B4709)+S4709*SUMIFS(Premissas!$F$5:$F$44,Premissas!$A$5:$A$44,$A4709,Premissas!$B$5:$B$44,$B4709)</f>
        <v/>
      </c>
      <c r="L4709" s="29">
        <f>J4709-K4709</f>
        <v/>
      </c>
      <c r="M4709" t="inlineStr">
        <is>
          <t>1.350</t>
        </is>
      </c>
      <c r="N4709" t="inlineStr">
        <is>
          <t>Modalidade: 0 - Por conta do remetente | Parte: AL DESCARTAVEIS COMERCIO ATACADISTA LTDA (20.761.196/0001-44)</t>
        </is>
      </c>
      <c r="O4709" s="29" t="n">
        <v>0</v>
      </c>
      <c r="P4709" s="29" t="n">
        <v>0</v>
      </c>
      <c r="Q4709" s="29" t="n">
        <v>0</v>
      </c>
      <c r="R4709" s="29" t="n">
        <v>0</v>
      </c>
      <c r="S4709" s="29" t="n">
        <v>0</v>
      </c>
      <c r="T4709" t="inlineStr">
        <is>
          <t>25241026975620000130570010000027241000000008</t>
        </is>
      </c>
      <c r="U4709" t="inlineStr">
        <is>
          <t>Não</t>
        </is>
      </c>
    </row>
    <row r="4710">
      <c r="A4710" t="inlineStr">
        <is>
          <t>Frete de venda</t>
        </is>
      </c>
      <c r="B4710" t="inlineStr">
        <is>
          <t>2.01.98 Frete Descarregamento</t>
        </is>
      </c>
      <c r="C4710" t="inlineStr">
        <is>
          <t>Antes de 2026</t>
        </is>
      </c>
      <c r="D4710" t="inlineStr">
        <is>
          <t>Antes de 2026</t>
        </is>
      </c>
      <c r="E4710" s="28" t="n">
        <v>45566</v>
      </c>
      <c r="F4710" t="inlineStr">
        <is>
          <t>CT-e</t>
        </is>
      </c>
      <c r="G4710" t="inlineStr">
        <is>
          <t>000002725</t>
        </is>
      </c>
      <c r="H4710" t="inlineStr">
        <is>
          <t>R&amp;R TRANSPORTE E LOGISTICA</t>
        </is>
      </c>
      <c r="J4710" s="29" t="n">
        <v>43</v>
      </c>
      <c r="K4710" s="29">
        <f>(1-ISNUMBER(SEARCH("556",M4710)))*(O4710*SUMIFS(Premissas!$C$5:$C$44,Premissas!$A$5:$A$44,$A4710,Premissas!$B$5:$B$44,$B4710)+P4710*SUMIFS(Premissas!$D$5:$D$44,Premissas!$A$5:$A$44,$A4710,Premissas!$B$5:$B$44,$B4710))+R4710*SUMIFS(Premissas!$E$5:$E$44,Premissas!$A$5:$A$44,$A4710,Premissas!$B$5:$B$44,$B4710)+S4710*SUMIFS(Premissas!$F$5:$F$44,Premissas!$A$5:$A$44,$A4710,Premissas!$B$5:$B$44,$B4710)</f>
        <v/>
      </c>
      <c r="L4710" s="29">
        <f>J4710-K4710</f>
        <v/>
      </c>
      <c r="M4710" t="inlineStr">
        <is>
          <t>1.350</t>
        </is>
      </c>
      <c r="N4710" t="inlineStr">
        <is>
          <t>Modalidade: 0 - Por conta do remetente | Parte: EMBALAR DISTRIBUIDORA DE EMBALAGENS LTDA (10.347.424/0001-80)</t>
        </is>
      </c>
      <c r="O4710" s="29" t="n">
        <v>0</v>
      </c>
      <c r="P4710" s="29" t="n">
        <v>0</v>
      </c>
      <c r="Q4710" s="29" t="n">
        <v>0</v>
      </c>
      <c r="R4710" s="29" t="n">
        <v>0</v>
      </c>
      <c r="S4710" s="29" t="n">
        <v>0</v>
      </c>
      <c r="T4710" t="inlineStr">
        <is>
          <t>25241026975620000130570010000027251000000005</t>
        </is>
      </c>
      <c r="U4710" t="inlineStr">
        <is>
          <t>Não</t>
        </is>
      </c>
    </row>
    <row r="4711">
      <c r="A4711" t="inlineStr">
        <is>
          <t>Frete de venda</t>
        </is>
      </c>
      <c r="B4711" t="inlineStr">
        <is>
          <t>2.01.98 Frete Descarregamento</t>
        </is>
      </c>
      <c r="C4711" t="inlineStr">
        <is>
          <t>Antes de 2026</t>
        </is>
      </c>
      <c r="D4711" t="inlineStr">
        <is>
          <t>Antes de 2026</t>
        </is>
      </c>
      <c r="E4711" s="28" t="n">
        <v>45566</v>
      </c>
      <c r="F4711" t="inlineStr">
        <is>
          <t>CT-e</t>
        </is>
      </c>
      <c r="G4711" t="inlineStr">
        <is>
          <t>000002726</t>
        </is>
      </c>
      <c r="H4711" t="inlineStr">
        <is>
          <t>R&amp;R TRANSPORTE E LOGISTICA</t>
        </is>
      </c>
      <c r="J4711" s="29" t="n">
        <v>42</v>
      </c>
      <c r="K4711" s="29">
        <f>(1-ISNUMBER(SEARCH("556",M4711)))*(O4711*SUMIFS(Premissas!$C$5:$C$44,Premissas!$A$5:$A$44,$A4711,Premissas!$B$5:$B$44,$B4711)+P4711*SUMIFS(Premissas!$D$5:$D$44,Premissas!$A$5:$A$44,$A4711,Premissas!$B$5:$B$44,$B4711))+R4711*SUMIFS(Premissas!$E$5:$E$44,Premissas!$A$5:$A$44,$A4711,Premissas!$B$5:$B$44,$B4711)+S4711*SUMIFS(Premissas!$F$5:$F$44,Premissas!$A$5:$A$44,$A4711,Premissas!$B$5:$B$44,$B4711)</f>
        <v/>
      </c>
      <c r="L4711" s="29">
        <f>J4711-K4711</f>
        <v/>
      </c>
      <c r="M4711" t="inlineStr">
        <is>
          <t>1.350</t>
        </is>
      </c>
      <c r="N4711" t="inlineStr">
        <is>
          <t>Modalidade: 0 - Por conta do remetente | Parte: BA EMBALAGENS COM ATACADISTA DE EMBALAGENS E BOMBONIERI (09.048.003/0001-70)</t>
        </is>
      </c>
      <c r="O4711" s="29" t="n">
        <v>0</v>
      </c>
      <c r="P4711" s="29" t="n">
        <v>0</v>
      </c>
      <c r="Q4711" s="29" t="n">
        <v>0</v>
      </c>
      <c r="R4711" s="29" t="n">
        <v>0</v>
      </c>
      <c r="S4711" s="29" t="n">
        <v>0</v>
      </c>
      <c r="T4711" t="inlineStr">
        <is>
          <t>25241026975620000130570010000027261000000002</t>
        </is>
      </c>
      <c r="U4711" t="inlineStr">
        <is>
          <t>Não</t>
        </is>
      </c>
    </row>
    <row r="4712">
      <c r="A4712" t="inlineStr">
        <is>
          <t>Frete de venda</t>
        </is>
      </c>
      <c r="B4712" t="inlineStr">
        <is>
          <t>2.01.98 Frete Descarregamento</t>
        </is>
      </c>
      <c r="C4712" t="inlineStr">
        <is>
          <t>Antes de 2026</t>
        </is>
      </c>
      <c r="D4712" t="inlineStr">
        <is>
          <t>Antes de 2026</t>
        </is>
      </c>
      <c r="E4712" s="28" t="n">
        <v>45573</v>
      </c>
      <c r="F4712" t="inlineStr">
        <is>
          <t>CT-e</t>
        </is>
      </c>
      <c r="G4712" t="inlineStr">
        <is>
          <t>000002779</t>
        </is>
      </c>
      <c r="H4712" t="inlineStr">
        <is>
          <t>R&amp;R TRANSPORTE E LOGISTICA</t>
        </is>
      </c>
      <c r="J4712" s="29" t="n">
        <v>230</v>
      </c>
      <c r="K4712" s="29">
        <f>(1-ISNUMBER(SEARCH("556",M4712)))*(O4712*SUMIFS(Premissas!$C$5:$C$44,Premissas!$A$5:$A$44,$A4712,Premissas!$B$5:$B$44,$B4712)+P4712*SUMIFS(Premissas!$D$5:$D$44,Premissas!$A$5:$A$44,$A4712,Premissas!$B$5:$B$44,$B4712))+R4712*SUMIFS(Premissas!$E$5:$E$44,Premissas!$A$5:$A$44,$A4712,Premissas!$B$5:$B$44,$B4712)+S4712*SUMIFS(Premissas!$F$5:$F$44,Premissas!$A$5:$A$44,$A4712,Premissas!$B$5:$B$44,$B4712)</f>
        <v/>
      </c>
      <c r="L4712" s="29">
        <f>J4712-K4712</f>
        <v/>
      </c>
      <c r="M4712" t="inlineStr">
        <is>
          <t>1.350</t>
        </is>
      </c>
      <c r="N4712" t="inlineStr">
        <is>
          <t>Modalidade: 0 - Por conta do remetente | Parte: CAEL DISTRIBUIDORA DE PRODUTOS DE HIGIENE E LIMPEZA LTDA (15.129.402/0001-68)</t>
        </is>
      </c>
      <c r="O4712" s="29" t="n">
        <v>0</v>
      </c>
      <c r="P4712" s="29" t="n">
        <v>0</v>
      </c>
      <c r="Q4712" s="29" t="n">
        <v>0</v>
      </c>
      <c r="R4712" s="29" t="n">
        <v>0</v>
      </c>
      <c r="S4712" s="29" t="n">
        <v>0</v>
      </c>
      <c r="T4712" t="inlineStr">
        <is>
          <t>25241026975620000130570010000027791000000006</t>
        </is>
      </c>
      <c r="U4712" t="inlineStr">
        <is>
          <t>Não</t>
        </is>
      </c>
    </row>
    <row r="4713">
      <c r="A4713" t="inlineStr">
        <is>
          <t>Frete de venda</t>
        </is>
      </c>
      <c r="B4713" t="inlineStr">
        <is>
          <t>2.01.98 Frete Descarregamento</t>
        </is>
      </c>
      <c r="C4713" t="inlineStr">
        <is>
          <t>Antes de 2026</t>
        </is>
      </c>
      <c r="D4713" t="inlineStr">
        <is>
          <t>Antes de 2026</t>
        </is>
      </c>
      <c r="E4713" s="28" t="n">
        <v>45573</v>
      </c>
      <c r="F4713" t="inlineStr">
        <is>
          <t>CT-e</t>
        </is>
      </c>
      <c r="G4713" t="inlineStr">
        <is>
          <t>000002780</t>
        </is>
      </c>
      <c r="H4713" t="inlineStr">
        <is>
          <t>R&amp;R TRANSPORTE E LOGISTICA</t>
        </is>
      </c>
      <c r="J4713" s="29" t="n">
        <v>230</v>
      </c>
      <c r="K4713" s="29">
        <f>(1-ISNUMBER(SEARCH("556",M4713)))*(O4713*SUMIFS(Premissas!$C$5:$C$44,Premissas!$A$5:$A$44,$A4713,Premissas!$B$5:$B$44,$B4713)+P4713*SUMIFS(Premissas!$D$5:$D$44,Premissas!$A$5:$A$44,$A4713,Premissas!$B$5:$B$44,$B4713))+R4713*SUMIFS(Premissas!$E$5:$E$44,Premissas!$A$5:$A$44,$A4713,Premissas!$B$5:$B$44,$B4713)+S4713*SUMIFS(Premissas!$F$5:$F$44,Premissas!$A$5:$A$44,$A4713,Premissas!$B$5:$B$44,$B4713)</f>
        <v/>
      </c>
      <c r="L4713" s="29">
        <f>J4713-K4713</f>
        <v/>
      </c>
      <c r="M4713" t="inlineStr">
        <is>
          <t>1.350</t>
        </is>
      </c>
      <c r="N4713" t="inlineStr">
        <is>
          <t>Modalidade: 0 - Por conta do remetente | Parte: COMERCIAL PROLAC LTDA. (07.182.763/0001-40)</t>
        </is>
      </c>
      <c r="O4713" s="29" t="n">
        <v>0</v>
      </c>
      <c r="P4713" s="29" t="n">
        <v>0</v>
      </c>
      <c r="Q4713" s="29" t="n">
        <v>0</v>
      </c>
      <c r="R4713" s="29" t="n">
        <v>0</v>
      </c>
      <c r="S4713" s="29" t="n">
        <v>0</v>
      </c>
      <c r="T4713" t="inlineStr">
        <is>
          <t>25241026975620000130570010000027801000000007</t>
        </is>
      </c>
      <c r="U4713" t="inlineStr">
        <is>
          <t>Não</t>
        </is>
      </c>
    </row>
    <row r="4714">
      <c r="A4714" t="inlineStr">
        <is>
          <t>Frete de venda</t>
        </is>
      </c>
      <c r="B4714" t="inlineStr">
        <is>
          <t>2.01.98 Frete Descarregamento</t>
        </is>
      </c>
      <c r="C4714" t="inlineStr">
        <is>
          <t>Antes de 2026</t>
        </is>
      </c>
      <c r="D4714" t="inlineStr">
        <is>
          <t>Antes de 2026</t>
        </is>
      </c>
      <c r="E4714" s="28" t="n">
        <v>45573</v>
      </c>
      <c r="F4714" t="inlineStr">
        <is>
          <t>CT-e</t>
        </is>
      </c>
      <c r="G4714" t="inlineStr">
        <is>
          <t>000002781</t>
        </is>
      </c>
      <c r="H4714" t="inlineStr">
        <is>
          <t>R&amp;R TRANSPORTE E LOGISTICA</t>
        </is>
      </c>
      <c r="J4714" s="29" t="n">
        <v>230</v>
      </c>
      <c r="K4714" s="29">
        <f>(1-ISNUMBER(SEARCH("556",M4714)))*(O4714*SUMIFS(Premissas!$C$5:$C$44,Premissas!$A$5:$A$44,$A4714,Premissas!$B$5:$B$44,$B4714)+P4714*SUMIFS(Premissas!$D$5:$D$44,Premissas!$A$5:$A$44,$A4714,Premissas!$B$5:$B$44,$B4714))+R4714*SUMIFS(Premissas!$E$5:$E$44,Premissas!$A$5:$A$44,$A4714,Premissas!$B$5:$B$44,$B4714)+S4714*SUMIFS(Premissas!$F$5:$F$44,Premissas!$A$5:$A$44,$A4714,Premissas!$B$5:$B$44,$B4714)</f>
        <v/>
      </c>
      <c r="L4714" s="29">
        <f>J4714-K4714</f>
        <v/>
      </c>
      <c r="M4714" t="inlineStr">
        <is>
          <t>1.350</t>
        </is>
      </c>
      <c r="N4714" t="inlineStr">
        <is>
          <t>Modalidade: 0 - Por conta do remetente | Parte: MACROPAC PROTECAO E EMBALAGEM LTDA (11.840.014/0001-30)</t>
        </is>
      </c>
      <c r="O4714" s="29" t="n">
        <v>0</v>
      </c>
      <c r="P4714" s="29" t="n">
        <v>0</v>
      </c>
      <c r="Q4714" s="29" t="n">
        <v>0</v>
      </c>
      <c r="R4714" s="29" t="n">
        <v>0</v>
      </c>
      <c r="S4714" s="29" t="n">
        <v>0</v>
      </c>
      <c r="T4714" t="inlineStr">
        <is>
          <t>25241026975620000130570010000027811000000004</t>
        </is>
      </c>
      <c r="U4714" t="inlineStr">
        <is>
          <t>Não</t>
        </is>
      </c>
    </row>
    <row r="4715">
      <c r="A4715" t="inlineStr">
        <is>
          <t>Frete de venda</t>
        </is>
      </c>
      <c r="B4715" t="inlineStr">
        <is>
          <t>2.01.98 Frete Descarregamento</t>
        </is>
      </c>
      <c r="C4715" t="inlineStr">
        <is>
          <t>Antes de 2026</t>
        </is>
      </c>
      <c r="D4715" t="inlineStr">
        <is>
          <t>Antes de 2026</t>
        </is>
      </c>
      <c r="E4715" s="28" t="n">
        <v>45573</v>
      </c>
      <c r="F4715" t="inlineStr">
        <is>
          <t>CT-e</t>
        </is>
      </c>
      <c r="G4715" t="inlineStr">
        <is>
          <t>000002782</t>
        </is>
      </c>
      <c r="H4715" t="inlineStr">
        <is>
          <t>R&amp;R TRANSPORTE E LOGISTICA</t>
        </is>
      </c>
      <c r="J4715" s="29" t="n">
        <v>230</v>
      </c>
      <c r="K4715" s="29">
        <f>(1-ISNUMBER(SEARCH("556",M4715)))*(O4715*SUMIFS(Premissas!$C$5:$C$44,Premissas!$A$5:$A$44,$A4715,Premissas!$B$5:$B$44,$B4715)+P4715*SUMIFS(Premissas!$D$5:$D$44,Premissas!$A$5:$A$44,$A4715,Premissas!$B$5:$B$44,$B4715))+R4715*SUMIFS(Premissas!$E$5:$E$44,Premissas!$A$5:$A$44,$A4715,Premissas!$B$5:$B$44,$B4715)+S4715*SUMIFS(Premissas!$F$5:$F$44,Premissas!$A$5:$A$44,$A4715,Premissas!$B$5:$B$44,$B4715)</f>
        <v/>
      </c>
      <c r="L4715" s="29">
        <f>J4715-K4715</f>
        <v/>
      </c>
      <c r="M4715" t="inlineStr">
        <is>
          <t>1.350</t>
        </is>
      </c>
      <c r="N4715" t="inlineStr">
        <is>
          <t>Modalidade: 0 - Por conta do remetente | Parte: MUNDO DOS DESCARTAVEIS LTDA (40.211.407/0001-82)</t>
        </is>
      </c>
      <c r="O4715" s="29" t="n">
        <v>0</v>
      </c>
      <c r="P4715" s="29" t="n">
        <v>0</v>
      </c>
      <c r="Q4715" s="29" t="n">
        <v>0</v>
      </c>
      <c r="R4715" s="29" t="n">
        <v>0</v>
      </c>
      <c r="S4715" s="29" t="n">
        <v>0</v>
      </c>
      <c r="T4715" t="inlineStr">
        <is>
          <t>25241026975620000130570010000027821000000001</t>
        </is>
      </c>
      <c r="U4715" t="inlineStr">
        <is>
          <t>Não</t>
        </is>
      </c>
    </row>
    <row r="4716">
      <c r="A4716" t="inlineStr">
        <is>
          <t>Frete de venda</t>
        </is>
      </c>
      <c r="B4716" t="inlineStr">
        <is>
          <t>2.01.98 Frete Descarregamento</t>
        </is>
      </c>
      <c r="C4716" t="inlineStr">
        <is>
          <t>Antes de 2026</t>
        </is>
      </c>
      <c r="D4716" t="inlineStr">
        <is>
          <t>Antes de 2026</t>
        </is>
      </c>
      <c r="E4716" s="28" t="n">
        <v>45573</v>
      </c>
      <c r="F4716" t="inlineStr">
        <is>
          <t>CT-e</t>
        </is>
      </c>
      <c r="G4716" t="inlineStr">
        <is>
          <t>000002783</t>
        </is>
      </c>
      <c r="H4716" t="inlineStr">
        <is>
          <t>R&amp;R TRANSPORTE E LOGISTICA</t>
        </is>
      </c>
      <c r="J4716" s="29" t="n">
        <v>230</v>
      </c>
      <c r="K4716" s="29">
        <f>(1-ISNUMBER(SEARCH("556",M4716)))*(O4716*SUMIFS(Premissas!$C$5:$C$44,Premissas!$A$5:$A$44,$A4716,Premissas!$B$5:$B$44,$B4716)+P4716*SUMIFS(Premissas!$D$5:$D$44,Premissas!$A$5:$A$44,$A4716,Premissas!$B$5:$B$44,$B4716))+R4716*SUMIFS(Premissas!$E$5:$E$44,Premissas!$A$5:$A$44,$A4716,Premissas!$B$5:$B$44,$B4716)+S4716*SUMIFS(Premissas!$F$5:$F$44,Premissas!$A$5:$A$44,$A4716,Premissas!$B$5:$B$44,$B4716)</f>
        <v/>
      </c>
      <c r="L4716" s="29">
        <f>J4716-K4716</f>
        <v/>
      </c>
      <c r="M4716" t="inlineStr">
        <is>
          <t>1.350</t>
        </is>
      </c>
      <c r="N4716" t="inlineStr">
        <is>
          <t>Modalidade: 0 - Por conta do remetente | Parte: G L A RIBEIRO DE LIMA (52.343.782/0001-65)</t>
        </is>
      </c>
      <c r="O4716" s="29" t="n">
        <v>0</v>
      </c>
      <c r="P4716" s="29" t="n">
        <v>0</v>
      </c>
      <c r="Q4716" s="29" t="n">
        <v>0</v>
      </c>
      <c r="R4716" s="29" t="n">
        <v>0</v>
      </c>
      <c r="S4716" s="29" t="n">
        <v>0</v>
      </c>
      <c r="T4716" t="inlineStr">
        <is>
          <t>25241026975620000130570010000027831000000009</t>
        </is>
      </c>
      <c r="U4716" t="inlineStr">
        <is>
          <t>Não</t>
        </is>
      </c>
    </row>
    <row r="4717">
      <c r="A4717" t="inlineStr">
        <is>
          <t>Frete de venda</t>
        </is>
      </c>
      <c r="B4717" t="inlineStr">
        <is>
          <t>2.01.98 Frete Descarregamento</t>
        </is>
      </c>
      <c r="C4717" t="inlineStr">
        <is>
          <t>Antes de 2026</t>
        </is>
      </c>
      <c r="D4717" t="inlineStr">
        <is>
          <t>Antes de 2026</t>
        </is>
      </c>
      <c r="E4717" s="28" t="n">
        <v>45581</v>
      </c>
      <c r="F4717" t="inlineStr">
        <is>
          <t>CT-e</t>
        </is>
      </c>
      <c r="G4717" t="inlineStr">
        <is>
          <t>000002864</t>
        </is>
      </c>
      <c r="H4717" t="inlineStr">
        <is>
          <t>R&amp;R TRANSPORTE E LOGISTICA</t>
        </is>
      </c>
      <c r="J4717" s="29" t="n">
        <v>25</v>
      </c>
      <c r="K4717" s="29">
        <f>(1-ISNUMBER(SEARCH("556",M4717)))*(O4717*SUMIFS(Premissas!$C$5:$C$44,Premissas!$A$5:$A$44,$A4717,Premissas!$B$5:$B$44,$B4717)+P4717*SUMIFS(Premissas!$D$5:$D$44,Premissas!$A$5:$A$44,$A4717,Premissas!$B$5:$B$44,$B4717))+R4717*SUMIFS(Premissas!$E$5:$E$44,Premissas!$A$5:$A$44,$A4717,Premissas!$B$5:$B$44,$B4717)+S4717*SUMIFS(Premissas!$F$5:$F$44,Premissas!$A$5:$A$44,$A4717,Premissas!$B$5:$B$44,$B4717)</f>
        <v/>
      </c>
      <c r="L4717" s="29">
        <f>J4717-K4717</f>
        <v/>
      </c>
      <c r="M4717" t="inlineStr">
        <is>
          <t>1.350</t>
        </is>
      </c>
      <c r="N4717" t="inlineStr">
        <is>
          <t>Modalidade: 0 - Por conta do remetente | Parte: ALL CLEAN COMERCIO DE PRODUTOS DE LIMPEZA E DESCARTAVEIS... (19.719.607/0001-54)</t>
        </is>
      </c>
      <c r="O4717" s="29" t="n">
        <v>0</v>
      </c>
      <c r="P4717" s="29" t="n">
        <v>0</v>
      </c>
      <c r="Q4717" s="29" t="n">
        <v>0</v>
      </c>
      <c r="R4717" s="29" t="n">
        <v>0</v>
      </c>
      <c r="S4717" s="29" t="n">
        <v>0</v>
      </c>
      <c r="T4717" t="inlineStr">
        <is>
          <t>25241026975620000130570010000028641000000009</t>
        </is>
      </c>
      <c r="U4717" t="inlineStr">
        <is>
          <t>Não</t>
        </is>
      </c>
    </row>
    <row r="4718">
      <c r="A4718" t="inlineStr">
        <is>
          <t>Frete de venda</t>
        </is>
      </c>
      <c r="B4718" t="inlineStr">
        <is>
          <t>2.01.98 Frete Descarregamento</t>
        </is>
      </c>
      <c r="C4718" t="inlineStr">
        <is>
          <t>Antes de 2026</t>
        </is>
      </c>
      <c r="D4718" t="inlineStr">
        <is>
          <t>Antes de 2026</t>
        </is>
      </c>
      <c r="E4718" s="28" t="n">
        <v>45581</v>
      </c>
      <c r="F4718" t="inlineStr">
        <is>
          <t>CT-e</t>
        </is>
      </c>
      <c r="G4718" t="inlineStr">
        <is>
          <t>000002865</t>
        </is>
      </c>
      <c r="H4718" t="inlineStr">
        <is>
          <t>R&amp;R TRANSPORTE E LOGISTICA</t>
        </is>
      </c>
      <c r="J4718" s="29" t="n">
        <v>25</v>
      </c>
      <c r="K4718" s="29">
        <f>(1-ISNUMBER(SEARCH("556",M4718)))*(O4718*SUMIFS(Premissas!$C$5:$C$44,Premissas!$A$5:$A$44,$A4718,Premissas!$B$5:$B$44,$B4718)+P4718*SUMIFS(Premissas!$D$5:$D$44,Premissas!$A$5:$A$44,$A4718,Premissas!$B$5:$B$44,$B4718))+R4718*SUMIFS(Premissas!$E$5:$E$44,Premissas!$A$5:$A$44,$A4718,Premissas!$B$5:$B$44,$B4718)+S4718*SUMIFS(Premissas!$F$5:$F$44,Premissas!$A$5:$A$44,$A4718,Premissas!$B$5:$B$44,$B4718)</f>
        <v/>
      </c>
      <c r="L4718" s="29">
        <f>J4718-K4718</f>
        <v/>
      </c>
      <c r="M4718" t="inlineStr">
        <is>
          <t>1.350</t>
        </is>
      </c>
      <c r="N4718" t="inlineStr">
        <is>
          <t>Modalidade: 0 - Por conta do remetente | Parte: QUEIROZ E SANTOS EMBALAGENS DESCARTAVEIS LTDA (16.971.797/0001-04)</t>
        </is>
      </c>
      <c r="O4718" s="29" t="n">
        <v>0</v>
      </c>
      <c r="P4718" s="29" t="n">
        <v>0</v>
      </c>
      <c r="Q4718" s="29" t="n">
        <v>0</v>
      </c>
      <c r="R4718" s="29" t="n">
        <v>0</v>
      </c>
      <c r="S4718" s="29" t="n">
        <v>0</v>
      </c>
      <c r="T4718" t="inlineStr">
        <is>
          <t>25241026975620000130570010000028651000000006</t>
        </is>
      </c>
      <c r="U4718" t="inlineStr">
        <is>
          <t>Não</t>
        </is>
      </c>
    </row>
    <row r="4719">
      <c r="A4719" t="inlineStr">
        <is>
          <t>Frete de venda</t>
        </is>
      </c>
      <c r="B4719" t="inlineStr">
        <is>
          <t>2.01.98 Frete Descarregamento</t>
        </is>
      </c>
      <c r="C4719" t="inlineStr">
        <is>
          <t>Antes de 2026</t>
        </is>
      </c>
      <c r="D4719" t="inlineStr">
        <is>
          <t>Antes de 2026</t>
        </is>
      </c>
      <c r="E4719" s="28" t="n">
        <v>45581</v>
      </c>
      <c r="F4719" t="inlineStr">
        <is>
          <t>CT-e</t>
        </is>
      </c>
      <c r="G4719" t="inlineStr">
        <is>
          <t>000002866</t>
        </is>
      </c>
      <c r="H4719" t="inlineStr">
        <is>
          <t>R&amp;R TRANSPORTE E LOGISTICA</t>
        </is>
      </c>
      <c r="J4719" s="29" t="n">
        <v>25</v>
      </c>
      <c r="K4719" s="29">
        <f>(1-ISNUMBER(SEARCH("556",M4719)))*(O4719*SUMIFS(Premissas!$C$5:$C$44,Premissas!$A$5:$A$44,$A4719,Premissas!$B$5:$B$44,$B4719)+P4719*SUMIFS(Premissas!$D$5:$D$44,Premissas!$A$5:$A$44,$A4719,Premissas!$B$5:$B$44,$B4719))+R4719*SUMIFS(Premissas!$E$5:$E$44,Premissas!$A$5:$A$44,$A4719,Premissas!$B$5:$B$44,$B4719)+S4719*SUMIFS(Premissas!$F$5:$F$44,Premissas!$A$5:$A$44,$A4719,Premissas!$B$5:$B$44,$B4719)</f>
        <v/>
      </c>
      <c r="L4719" s="29">
        <f>J4719-K4719</f>
        <v/>
      </c>
      <c r="M4719" t="inlineStr">
        <is>
          <t>1.350</t>
        </is>
      </c>
      <c r="N4719" t="inlineStr">
        <is>
          <t>Modalidade: 0 - Por conta do remetente | Parte: SHALOM COMERCIO DE EMBALAGENS LTDA (30.935.496/0001-56)</t>
        </is>
      </c>
      <c r="O4719" s="29" t="n">
        <v>0</v>
      </c>
      <c r="P4719" s="29" t="n">
        <v>0</v>
      </c>
      <c r="Q4719" s="29" t="n">
        <v>0</v>
      </c>
      <c r="R4719" s="29" t="n">
        <v>0</v>
      </c>
      <c r="S4719" s="29" t="n">
        <v>0</v>
      </c>
      <c r="T4719" t="inlineStr">
        <is>
          <t>25241026975620000130570010000028661000000003</t>
        </is>
      </c>
      <c r="U4719" t="inlineStr">
        <is>
          <t>Não</t>
        </is>
      </c>
    </row>
    <row r="4720">
      <c r="A4720" t="inlineStr">
        <is>
          <t>Frete de venda</t>
        </is>
      </c>
      <c r="B4720" t="inlineStr">
        <is>
          <t>2.01.98 Frete Descarregamento</t>
        </is>
      </c>
      <c r="C4720" t="inlineStr">
        <is>
          <t>Antes de 2026</t>
        </is>
      </c>
      <c r="D4720" t="inlineStr">
        <is>
          <t>Antes de 2026</t>
        </is>
      </c>
      <c r="E4720" s="28" t="n">
        <v>45581</v>
      </c>
      <c r="F4720" t="inlineStr">
        <is>
          <t>CT-e</t>
        </is>
      </c>
      <c r="G4720" t="inlineStr">
        <is>
          <t>000002867</t>
        </is>
      </c>
      <c r="H4720" t="inlineStr">
        <is>
          <t>R&amp;R TRANSPORTE E LOGISTICA</t>
        </is>
      </c>
      <c r="J4720" s="29" t="n">
        <v>25</v>
      </c>
      <c r="K4720" s="29">
        <f>(1-ISNUMBER(SEARCH("556",M4720)))*(O4720*SUMIFS(Premissas!$C$5:$C$44,Premissas!$A$5:$A$44,$A4720,Premissas!$B$5:$B$44,$B4720)+P4720*SUMIFS(Premissas!$D$5:$D$44,Premissas!$A$5:$A$44,$A4720,Premissas!$B$5:$B$44,$B4720))+R4720*SUMIFS(Premissas!$E$5:$E$44,Premissas!$A$5:$A$44,$A4720,Premissas!$B$5:$B$44,$B4720)+S4720*SUMIFS(Premissas!$F$5:$F$44,Premissas!$A$5:$A$44,$A4720,Premissas!$B$5:$B$44,$B4720)</f>
        <v/>
      </c>
      <c r="L4720" s="29">
        <f>J4720-K4720</f>
        <v/>
      </c>
      <c r="M4720" t="inlineStr">
        <is>
          <t>1.350</t>
        </is>
      </c>
      <c r="N4720" t="inlineStr">
        <is>
          <t>Modalidade: 0 - Por conta do remetente | Parte: PROPACK COMERCIAL LTDA (43.437.401/0001-16)</t>
        </is>
      </c>
      <c r="O4720" s="29" t="n">
        <v>0</v>
      </c>
      <c r="P4720" s="29" t="n">
        <v>0</v>
      </c>
      <c r="Q4720" s="29" t="n">
        <v>0</v>
      </c>
      <c r="R4720" s="29" t="n">
        <v>0</v>
      </c>
      <c r="S4720" s="29" t="n">
        <v>0</v>
      </c>
      <c r="T4720" t="inlineStr">
        <is>
          <t>25241026975620000130570010000028671000000000</t>
        </is>
      </c>
      <c r="U4720" t="inlineStr">
        <is>
          <t>Não</t>
        </is>
      </c>
    </row>
    <row r="4721">
      <c r="A4721" t="inlineStr">
        <is>
          <t>Frete de venda</t>
        </is>
      </c>
      <c r="B4721" t="inlineStr">
        <is>
          <t>2.01.98 Frete Descarregamento</t>
        </is>
      </c>
      <c r="C4721" t="inlineStr">
        <is>
          <t>Antes de 2026</t>
        </is>
      </c>
      <c r="D4721" t="inlineStr">
        <is>
          <t>Antes de 2026</t>
        </is>
      </c>
      <c r="E4721" s="28" t="n">
        <v>45581</v>
      </c>
      <c r="F4721" t="inlineStr">
        <is>
          <t>CT-e</t>
        </is>
      </c>
      <c r="G4721" t="inlineStr">
        <is>
          <t>000002868</t>
        </is>
      </c>
      <c r="H4721" t="inlineStr">
        <is>
          <t>R&amp;R TRANSPORTE E LOGISTICA</t>
        </is>
      </c>
      <c r="J4721" s="29" t="n">
        <v>22</v>
      </c>
      <c r="K4721" s="29">
        <f>(1-ISNUMBER(SEARCH("556",M4721)))*(O4721*SUMIFS(Premissas!$C$5:$C$44,Premissas!$A$5:$A$44,$A4721,Premissas!$B$5:$B$44,$B4721)+P4721*SUMIFS(Premissas!$D$5:$D$44,Premissas!$A$5:$A$44,$A4721,Premissas!$B$5:$B$44,$B4721))+R4721*SUMIFS(Premissas!$E$5:$E$44,Premissas!$A$5:$A$44,$A4721,Premissas!$B$5:$B$44,$B4721)+S4721*SUMIFS(Premissas!$F$5:$F$44,Premissas!$A$5:$A$44,$A4721,Premissas!$B$5:$B$44,$B4721)</f>
        <v/>
      </c>
      <c r="L4721" s="29">
        <f>J4721-K4721</f>
        <v/>
      </c>
      <c r="M4721" t="inlineStr">
        <is>
          <t>1.350</t>
        </is>
      </c>
      <c r="N4721" t="inlineStr">
        <is>
          <t>Modalidade: 0 - Por conta do remetente | Parte: BADULACK'S BAZAR PAPELARIA E BRINQUEDOS LTDA (01.325.629/0001-74)</t>
        </is>
      </c>
      <c r="O4721" s="29" t="n">
        <v>0</v>
      </c>
      <c r="P4721" s="29" t="n">
        <v>0</v>
      </c>
      <c r="Q4721" s="29" t="n">
        <v>0</v>
      </c>
      <c r="R4721" s="29" t="n">
        <v>0</v>
      </c>
      <c r="S4721" s="29" t="n">
        <v>0</v>
      </c>
      <c r="T4721" t="inlineStr">
        <is>
          <t>25241026975620000130570010000028681000000008</t>
        </is>
      </c>
      <c r="U4721" t="inlineStr">
        <is>
          <t>Não</t>
        </is>
      </c>
    </row>
    <row r="4722">
      <c r="A4722" t="inlineStr">
        <is>
          <t>Frete de venda</t>
        </is>
      </c>
      <c r="B4722" t="inlineStr">
        <is>
          <t>2.01.98 Frete Descarregamento</t>
        </is>
      </c>
      <c r="C4722" t="inlineStr">
        <is>
          <t>Antes de 2026</t>
        </is>
      </c>
      <c r="D4722" t="inlineStr">
        <is>
          <t>Antes de 2026</t>
        </is>
      </c>
      <c r="E4722" s="28" t="n">
        <v>45581</v>
      </c>
      <c r="F4722" t="inlineStr">
        <is>
          <t>CT-e</t>
        </is>
      </c>
      <c r="G4722" t="inlineStr">
        <is>
          <t>000002869</t>
        </is>
      </c>
      <c r="H4722" t="inlineStr">
        <is>
          <t>R&amp;R TRANSPORTE E LOGISTICA</t>
        </is>
      </c>
      <c r="J4722" s="29" t="n">
        <v>22</v>
      </c>
      <c r="K4722" s="29">
        <f>(1-ISNUMBER(SEARCH("556",M4722)))*(O4722*SUMIFS(Premissas!$C$5:$C$44,Premissas!$A$5:$A$44,$A4722,Premissas!$B$5:$B$44,$B4722)+P4722*SUMIFS(Premissas!$D$5:$D$44,Premissas!$A$5:$A$44,$A4722,Premissas!$B$5:$B$44,$B4722))+R4722*SUMIFS(Premissas!$E$5:$E$44,Premissas!$A$5:$A$44,$A4722,Premissas!$B$5:$B$44,$B4722)+S4722*SUMIFS(Premissas!$F$5:$F$44,Premissas!$A$5:$A$44,$A4722,Premissas!$B$5:$B$44,$B4722)</f>
        <v/>
      </c>
      <c r="L4722" s="29">
        <f>J4722-K4722</f>
        <v/>
      </c>
      <c r="M4722" t="inlineStr">
        <is>
          <t>1.350</t>
        </is>
      </c>
      <c r="N4722" t="inlineStr">
        <is>
          <t>Modalidade: 0 - Por conta do remetente | Parte: PAPELARIA E BAZAR ESTILO E COR DE OURO VERDE LTDA (05.795.589/0001-85)</t>
        </is>
      </c>
      <c r="O4722" s="29" t="n">
        <v>0</v>
      </c>
      <c r="P4722" s="29" t="n">
        <v>0</v>
      </c>
      <c r="Q4722" s="29" t="n">
        <v>0</v>
      </c>
      <c r="R4722" s="29" t="n">
        <v>0</v>
      </c>
      <c r="S4722" s="29" t="n">
        <v>0</v>
      </c>
      <c r="T4722" t="inlineStr">
        <is>
          <t>25241026975620000130570010000028691000000005</t>
        </is>
      </c>
      <c r="U4722" t="inlineStr">
        <is>
          <t>Não</t>
        </is>
      </c>
    </row>
    <row r="4723">
      <c r="A4723" t="inlineStr">
        <is>
          <t>Frete de venda</t>
        </is>
      </c>
      <c r="B4723" t="inlineStr">
        <is>
          <t>2.01.98 Frete Descarregamento</t>
        </is>
      </c>
      <c r="C4723" t="inlineStr">
        <is>
          <t>Antes de 2026</t>
        </is>
      </c>
      <c r="D4723" t="inlineStr">
        <is>
          <t>Antes de 2026</t>
        </is>
      </c>
      <c r="E4723" s="28" t="n">
        <v>45581</v>
      </c>
      <c r="F4723" t="inlineStr">
        <is>
          <t>CT-e</t>
        </is>
      </c>
      <c r="G4723" t="inlineStr">
        <is>
          <t>000002870</t>
        </is>
      </c>
      <c r="H4723" t="inlineStr">
        <is>
          <t>R&amp;R TRANSPORTE E LOGISTICA</t>
        </is>
      </c>
      <c r="J4723" s="29" t="n">
        <v>25</v>
      </c>
      <c r="K4723" s="29">
        <f>(1-ISNUMBER(SEARCH("556",M4723)))*(O4723*SUMIFS(Premissas!$C$5:$C$44,Premissas!$A$5:$A$44,$A4723,Premissas!$B$5:$B$44,$B4723)+P4723*SUMIFS(Premissas!$D$5:$D$44,Premissas!$A$5:$A$44,$A4723,Premissas!$B$5:$B$44,$B4723))+R4723*SUMIFS(Premissas!$E$5:$E$44,Premissas!$A$5:$A$44,$A4723,Premissas!$B$5:$B$44,$B4723)+S4723*SUMIFS(Premissas!$F$5:$F$44,Premissas!$A$5:$A$44,$A4723,Premissas!$B$5:$B$44,$B4723)</f>
        <v/>
      </c>
      <c r="L4723" s="29">
        <f>J4723-K4723</f>
        <v/>
      </c>
      <c r="M4723" t="inlineStr">
        <is>
          <t>1.350</t>
        </is>
      </c>
      <c r="N4723" t="inlineStr">
        <is>
          <t>Modalidade: 0 - Por conta do remetente | Parte: OLEPLASTIC EMBALAGENS DESCARTAVEIS LTDA (11.671.970/0001-35)</t>
        </is>
      </c>
      <c r="O4723" s="29" t="n">
        <v>0</v>
      </c>
      <c r="P4723" s="29" t="n">
        <v>0</v>
      </c>
      <c r="Q4723" s="29" t="n">
        <v>0</v>
      </c>
      <c r="R4723" s="29" t="n">
        <v>0</v>
      </c>
      <c r="S4723" s="29" t="n">
        <v>0</v>
      </c>
      <c r="T4723" t="inlineStr">
        <is>
          <t>25241026975620000130570010000028701000000006</t>
        </is>
      </c>
      <c r="U4723" t="inlineStr">
        <is>
          <t>Não</t>
        </is>
      </c>
    </row>
    <row r="4724">
      <c r="A4724" t="inlineStr">
        <is>
          <t>Frete de venda</t>
        </is>
      </c>
      <c r="B4724" t="inlineStr">
        <is>
          <t>2.01.98 Frete Descarregamento</t>
        </is>
      </c>
      <c r="C4724" t="inlineStr">
        <is>
          <t>Antes de 2026</t>
        </is>
      </c>
      <c r="D4724" t="inlineStr">
        <is>
          <t>Antes de 2026</t>
        </is>
      </c>
      <c r="E4724" s="28" t="n">
        <v>45581</v>
      </c>
      <c r="F4724" t="inlineStr">
        <is>
          <t>CT-e</t>
        </is>
      </c>
      <c r="G4724" t="inlineStr">
        <is>
          <t>000002871</t>
        </is>
      </c>
      <c r="H4724" t="inlineStr">
        <is>
          <t>R&amp;R TRANSPORTE E LOGISTICA</t>
        </is>
      </c>
      <c r="J4724" s="29" t="n">
        <v>25</v>
      </c>
      <c r="K4724" s="29">
        <f>(1-ISNUMBER(SEARCH("556",M4724)))*(O4724*SUMIFS(Premissas!$C$5:$C$44,Premissas!$A$5:$A$44,$A4724,Premissas!$B$5:$B$44,$B4724)+P4724*SUMIFS(Premissas!$D$5:$D$44,Premissas!$A$5:$A$44,$A4724,Premissas!$B$5:$B$44,$B4724))+R4724*SUMIFS(Premissas!$E$5:$E$44,Premissas!$A$5:$A$44,$A4724,Premissas!$B$5:$B$44,$B4724)+S4724*SUMIFS(Premissas!$F$5:$F$44,Premissas!$A$5:$A$44,$A4724,Premissas!$B$5:$B$44,$B4724)</f>
        <v/>
      </c>
      <c r="L4724" s="29">
        <f>J4724-K4724</f>
        <v/>
      </c>
      <c r="M4724" t="inlineStr">
        <is>
          <t>1.350</t>
        </is>
      </c>
      <c r="N4724" t="inlineStr">
        <is>
          <t>Modalidade: 0 - Por conta do remetente | Parte: MATTHEUS OLIVEIRA VASCONCELLOS (24.617.133/0001-70)</t>
        </is>
      </c>
      <c r="O4724" s="29" t="n">
        <v>0</v>
      </c>
      <c r="P4724" s="29" t="n">
        <v>0</v>
      </c>
      <c r="Q4724" s="29" t="n">
        <v>0</v>
      </c>
      <c r="R4724" s="29" t="n">
        <v>0</v>
      </c>
      <c r="S4724" s="29" t="n">
        <v>0</v>
      </c>
      <c r="T4724" t="inlineStr">
        <is>
          <t>25241026975620000130570010000028711000000003</t>
        </is>
      </c>
      <c r="U4724" t="inlineStr">
        <is>
          <t>Não</t>
        </is>
      </c>
    </row>
    <row r="4725">
      <c r="A4725" t="inlineStr">
        <is>
          <t>Frete de venda</t>
        </is>
      </c>
      <c r="B4725" t="inlineStr">
        <is>
          <t>2.01.98 Frete Descarregamento</t>
        </is>
      </c>
      <c r="C4725" t="inlineStr">
        <is>
          <t>Antes de 2026</t>
        </is>
      </c>
      <c r="D4725" t="inlineStr">
        <is>
          <t>Antes de 2026</t>
        </is>
      </c>
      <c r="E4725" s="28" t="n">
        <v>45581</v>
      </c>
      <c r="F4725" t="inlineStr">
        <is>
          <t>CT-e</t>
        </is>
      </c>
      <c r="G4725" t="inlineStr">
        <is>
          <t>000002875</t>
        </is>
      </c>
      <c r="H4725" t="inlineStr">
        <is>
          <t>R&amp;R TRANSPORTE E LOGISTICA</t>
        </is>
      </c>
      <c r="J4725" s="29" t="n">
        <v>230</v>
      </c>
      <c r="K4725" s="29">
        <f>(1-ISNUMBER(SEARCH("556",M4725)))*(O4725*SUMIFS(Premissas!$C$5:$C$44,Premissas!$A$5:$A$44,$A4725,Premissas!$B$5:$B$44,$B4725)+P4725*SUMIFS(Premissas!$D$5:$D$44,Premissas!$A$5:$A$44,$A4725,Premissas!$B$5:$B$44,$B4725))+R4725*SUMIFS(Premissas!$E$5:$E$44,Premissas!$A$5:$A$44,$A4725,Premissas!$B$5:$B$44,$B4725)+S4725*SUMIFS(Premissas!$F$5:$F$44,Premissas!$A$5:$A$44,$A4725,Premissas!$B$5:$B$44,$B4725)</f>
        <v/>
      </c>
      <c r="L4725" s="29">
        <f>J4725-K4725</f>
        <v/>
      </c>
      <c r="M4725" t="inlineStr">
        <is>
          <t>1.350</t>
        </is>
      </c>
      <c r="N4725" t="inlineStr">
        <is>
          <t>Modalidade: 0 - Por conta do remetente | Parte: KATIA CILENE ARAUJO FARIAS COMERCIO (02.991.231/0001-30)</t>
        </is>
      </c>
      <c r="O4725" s="29" t="n">
        <v>0</v>
      </c>
      <c r="P4725" s="29" t="n">
        <v>0</v>
      </c>
      <c r="Q4725" s="29" t="n">
        <v>0</v>
      </c>
      <c r="R4725" s="29" t="n">
        <v>0</v>
      </c>
      <c r="S4725" s="29" t="n">
        <v>0</v>
      </c>
      <c r="T4725" t="inlineStr">
        <is>
          <t>25241026975620000130570010000028751000000002</t>
        </is>
      </c>
      <c r="U4725" t="inlineStr">
        <is>
          <t>Não</t>
        </is>
      </c>
    </row>
    <row r="4726">
      <c r="A4726" t="inlineStr">
        <is>
          <t>Frete de venda</t>
        </is>
      </c>
      <c r="B4726" t="inlineStr">
        <is>
          <t>2.01.98 Frete Descarregamento</t>
        </is>
      </c>
      <c r="C4726" t="inlineStr">
        <is>
          <t>Antes de 2026</t>
        </is>
      </c>
      <c r="D4726" t="inlineStr">
        <is>
          <t>Antes de 2026</t>
        </is>
      </c>
      <c r="E4726" s="28" t="n">
        <v>45581</v>
      </c>
      <c r="F4726" t="inlineStr">
        <is>
          <t>CT-e</t>
        </is>
      </c>
      <c r="G4726" t="inlineStr">
        <is>
          <t>000002876</t>
        </is>
      </c>
      <c r="H4726" t="inlineStr">
        <is>
          <t>R&amp;R TRANSPORTE E LOGISTICA</t>
        </is>
      </c>
      <c r="J4726" s="29" t="n">
        <v>230</v>
      </c>
      <c r="K4726" s="29">
        <f>(1-ISNUMBER(SEARCH("556",M4726)))*(O4726*SUMIFS(Premissas!$C$5:$C$44,Premissas!$A$5:$A$44,$A4726,Premissas!$B$5:$B$44,$B4726)+P4726*SUMIFS(Premissas!$D$5:$D$44,Premissas!$A$5:$A$44,$A4726,Premissas!$B$5:$B$44,$B4726))+R4726*SUMIFS(Premissas!$E$5:$E$44,Premissas!$A$5:$A$44,$A4726,Premissas!$B$5:$B$44,$B4726)+S4726*SUMIFS(Premissas!$F$5:$F$44,Premissas!$A$5:$A$44,$A4726,Premissas!$B$5:$B$44,$B4726)</f>
        <v/>
      </c>
      <c r="L4726" s="29">
        <f>J4726-K4726</f>
        <v/>
      </c>
      <c r="M4726" t="inlineStr">
        <is>
          <t>1.350</t>
        </is>
      </c>
      <c r="N4726" t="inlineStr">
        <is>
          <t>Modalidade: 0 - Por conta do remetente | Parte: WRFC EMBALAGENS LTDA (56.093.170/0001-12)</t>
        </is>
      </c>
      <c r="O4726" s="29" t="n">
        <v>0</v>
      </c>
      <c r="P4726" s="29" t="n">
        <v>0</v>
      </c>
      <c r="Q4726" s="29" t="n">
        <v>0</v>
      </c>
      <c r="R4726" s="29" t="n">
        <v>0</v>
      </c>
      <c r="S4726" s="29" t="n">
        <v>0</v>
      </c>
      <c r="T4726" t="inlineStr">
        <is>
          <t>25241026975620000130570010000028761000000000</t>
        </is>
      </c>
      <c r="U4726" t="inlineStr">
        <is>
          <t>Não</t>
        </is>
      </c>
    </row>
    <row r="4727">
      <c r="A4727" t="inlineStr">
        <is>
          <t>Frete de venda</t>
        </is>
      </c>
      <c r="B4727" t="inlineStr">
        <is>
          <t>2.01.98 Frete Descarregamento</t>
        </is>
      </c>
      <c r="C4727" t="inlineStr">
        <is>
          <t>Antes de 2026</t>
        </is>
      </c>
      <c r="D4727" t="inlineStr">
        <is>
          <t>Antes de 2026</t>
        </is>
      </c>
      <c r="E4727" s="28" t="n">
        <v>45581</v>
      </c>
      <c r="F4727" t="inlineStr">
        <is>
          <t>CT-e</t>
        </is>
      </c>
      <c r="G4727" t="inlineStr">
        <is>
          <t>000002877</t>
        </is>
      </c>
      <c r="H4727" t="inlineStr">
        <is>
          <t>R&amp;R TRANSPORTE E LOGISTICA</t>
        </is>
      </c>
      <c r="J4727" s="29" t="n">
        <v>230</v>
      </c>
      <c r="K4727" s="29">
        <f>(1-ISNUMBER(SEARCH("556",M4727)))*(O4727*SUMIFS(Premissas!$C$5:$C$44,Premissas!$A$5:$A$44,$A4727,Premissas!$B$5:$B$44,$B4727)+P4727*SUMIFS(Premissas!$D$5:$D$44,Premissas!$A$5:$A$44,$A4727,Premissas!$B$5:$B$44,$B4727))+R4727*SUMIFS(Premissas!$E$5:$E$44,Premissas!$A$5:$A$44,$A4727,Premissas!$B$5:$B$44,$B4727)+S4727*SUMIFS(Premissas!$F$5:$F$44,Premissas!$A$5:$A$44,$A4727,Premissas!$B$5:$B$44,$B4727)</f>
        <v/>
      </c>
      <c r="L4727" s="29">
        <f>J4727-K4727</f>
        <v/>
      </c>
      <c r="M4727" t="inlineStr">
        <is>
          <t>1.350</t>
        </is>
      </c>
      <c r="N4727" t="inlineStr">
        <is>
          <t>Modalidade: 0 - Por conta do remetente | Parte: EDSON JOSE DA SILVA BOMBONIERE (48.809.258/0001-60)</t>
        </is>
      </c>
      <c r="O4727" s="29" t="n">
        <v>0</v>
      </c>
      <c r="P4727" s="29" t="n">
        <v>0</v>
      </c>
      <c r="Q4727" s="29" t="n">
        <v>0</v>
      </c>
      <c r="R4727" s="29" t="n">
        <v>0</v>
      </c>
      <c r="S4727" s="29" t="n">
        <v>0</v>
      </c>
      <c r="T4727" t="inlineStr">
        <is>
          <t>25241026975620000130570010000028771000000007</t>
        </is>
      </c>
      <c r="U4727" t="inlineStr">
        <is>
          <t>Não</t>
        </is>
      </c>
    </row>
    <row r="4728">
      <c r="A4728" t="inlineStr">
        <is>
          <t>Frete de venda</t>
        </is>
      </c>
      <c r="B4728" t="inlineStr">
        <is>
          <t>2.01.98 Frete Descarregamento</t>
        </is>
      </c>
      <c r="C4728" t="inlineStr">
        <is>
          <t>Antes de 2026</t>
        </is>
      </c>
      <c r="D4728" t="inlineStr">
        <is>
          <t>Antes de 2026</t>
        </is>
      </c>
      <c r="E4728" s="28" t="n">
        <v>45581</v>
      </c>
      <c r="F4728" t="inlineStr">
        <is>
          <t>CT-e</t>
        </is>
      </c>
      <c r="G4728" t="inlineStr">
        <is>
          <t>000002878</t>
        </is>
      </c>
      <c r="H4728" t="inlineStr">
        <is>
          <t>R&amp;R TRANSPORTE E LOGISTICA</t>
        </is>
      </c>
      <c r="J4728" s="29" t="n">
        <v>230</v>
      </c>
      <c r="K4728" s="29">
        <f>(1-ISNUMBER(SEARCH("556",M4728)))*(O4728*SUMIFS(Premissas!$C$5:$C$44,Premissas!$A$5:$A$44,$A4728,Premissas!$B$5:$B$44,$B4728)+P4728*SUMIFS(Premissas!$D$5:$D$44,Premissas!$A$5:$A$44,$A4728,Premissas!$B$5:$B$44,$B4728))+R4728*SUMIFS(Premissas!$E$5:$E$44,Premissas!$A$5:$A$44,$A4728,Premissas!$B$5:$B$44,$B4728)+S4728*SUMIFS(Premissas!$F$5:$F$44,Premissas!$A$5:$A$44,$A4728,Premissas!$B$5:$B$44,$B4728)</f>
        <v/>
      </c>
      <c r="L4728" s="29">
        <f>J4728-K4728</f>
        <v/>
      </c>
      <c r="M4728" t="inlineStr">
        <is>
          <t>1.350</t>
        </is>
      </c>
      <c r="N4728" t="inlineStr">
        <is>
          <t>Modalidade: 0 - Por conta do remetente | Parte: ANDRE LUIZ VASCONCELOS BUARQUE (22.587.123/0001-03)</t>
        </is>
      </c>
      <c r="O4728" s="29" t="n">
        <v>0</v>
      </c>
      <c r="P4728" s="29" t="n">
        <v>0</v>
      </c>
      <c r="Q4728" s="29" t="n">
        <v>0</v>
      </c>
      <c r="R4728" s="29" t="n">
        <v>0</v>
      </c>
      <c r="S4728" s="29" t="n">
        <v>0</v>
      </c>
      <c r="T4728" t="inlineStr">
        <is>
          <t>25241026975620000130570010000028781000000004</t>
        </is>
      </c>
      <c r="U4728" t="inlineStr">
        <is>
          <t>Não</t>
        </is>
      </c>
    </row>
    <row r="4729">
      <c r="A4729" t="inlineStr">
        <is>
          <t>Frete de venda</t>
        </is>
      </c>
      <c r="B4729" t="inlineStr">
        <is>
          <t>2.01.98 Frete Descarregamento</t>
        </is>
      </c>
      <c r="C4729" t="inlineStr">
        <is>
          <t>Antes de 2026</t>
        </is>
      </c>
      <c r="D4729" t="inlineStr">
        <is>
          <t>Antes de 2026</t>
        </is>
      </c>
      <c r="E4729" s="28" t="n">
        <v>45581</v>
      </c>
      <c r="F4729" t="inlineStr">
        <is>
          <t>CT-e</t>
        </is>
      </c>
      <c r="G4729" t="inlineStr">
        <is>
          <t>000002879</t>
        </is>
      </c>
      <c r="H4729" t="inlineStr">
        <is>
          <t>R&amp;R TRANSPORTE E LOGISTICA</t>
        </is>
      </c>
      <c r="J4729" s="29" t="n">
        <v>230</v>
      </c>
      <c r="K4729" s="29">
        <f>(1-ISNUMBER(SEARCH("556",M4729)))*(O4729*SUMIFS(Premissas!$C$5:$C$44,Premissas!$A$5:$A$44,$A4729,Premissas!$B$5:$B$44,$B4729)+P4729*SUMIFS(Premissas!$D$5:$D$44,Premissas!$A$5:$A$44,$A4729,Premissas!$B$5:$B$44,$B4729))+R4729*SUMIFS(Premissas!$E$5:$E$44,Premissas!$A$5:$A$44,$A4729,Premissas!$B$5:$B$44,$B4729)+S4729*SUMIFS(Premissas!$F$5:$F$44,Premissas!$A$5:$A$44,$A4729,Premissas!$B$5:$B$44,$B4729)</f>
        <v/>
      </c>
      <c r="L4729" s="29">
        <f>J4729-K4729</f>
        <v/>
      </c>
      <c r="M4729" t="inlineStr">
        <is>
          <t>1.350</t>
        </is>
      </c>
      <c r="N4729" t="inlineStr">
        <is>
          <t>Modalidade: 0 - Por conta do remetente | Parte: KM EMBALAGENS LTDA (29.525.745/0001-56)</t>
        </is>
      </c>
      <c r="O4729" s="29" t="n">
        <v>0</v>
      </c>
      <c r="P4729" s="29" t="n">
        <v>0</v>
      </c>
      <c r="Q4729" s="29" t="n">
        <v>0</v>
      </c>
      <c r="R4729" s="29" t="n">
        <v>0</v>
      </c>
      <c r="S4729" s="29" t="n">
        <v>0</v>
      </c>
      <c r="T4729" t="inlineStr">
        <is>
          <t>25241026975620000130570010000028791000000001</t>
        </is>
      </c>
      <c r="U4729" t="inlineStr">
        <is>
          <t>Não</t>
        </is>
      </c>
    </row>
    <row r="4730">
      <c r="A4730" t="inlineStr">
        <is>
          <t>Frete de venda</t>
        </is>
      </c>
      <c r="B4730" t="inlineStr">
        <is>
          <t>2.04.87 Frete sobre Compra</t>
        </is>
      </c>
      <c r="C4730" t="inlineStr">
        <is>
          <t>Antes de 2026</t>
        </is>
      </c>
      <c r="D4730" t="inlineStr">
        <is>
          <t>Antes de 2026</t>
        </is>
      </c>
      <c r="E4730" s="28" t="n">
        <v>45749</v>
      </c>
      <c r="F4730" t="inlineStr">
        <is>
          <t>CT-e</t>
        </is>
      </c>
      <c r="G4730" t="inlineStr">
        <is>
          <t>000000084</t>
        </is>
      </c>
      <c r="H4730" t="inlineStr">
        <is>
          <t>ADIL CARLOS DA SILVA</t>
        </is>
      </c>
      <c r="J4730" s="29" t="n">
        <v>100</v>
      </c>
      <c r="K4730" s="29">
        <f>(1-ISNUMBER(SEARCH("556",M4730)))*(O4730*SUMIFS(Premissas!$C$5:$C$44,Premissas!$A$5:$A$44,$A4730,Premissas!$B$5:$B$44,$B4730)+P4730*SUMIFS(Premissas!$D$5:$D$44,Premissas!$A$5:$A$44,$A4730,Premissas!$B$5:$B$44,$B4730))+R4730*SUMIFS(Premissas!$E$5:$E$44,Premissas!$A$5:$A$44,$A4730,Premissas!$B$5:$B$44,$B4730)+S4730*SUMIFS(Premissas!$F$5:$F$44,Premissas!$A$5:$A$44,$A4730,Premissas!$B$5:$B$44,$B4730)</f>
        <v/>
      </c>
      <c r="L4730" s="29">
        <f>J4730-K4730</f>
        <v/>
      </c>
      <c r="M4730" t="inlineStr">
        <is>
          <t>2.350</t>
        </is>
      </c>
      <c r="N4730" t="inlineStr">
        <is>
          <t>Modalidade: 0 - Por conta do remetente | Parte: FORTALI DISTRIBUIDORA DE ALIMENTOS LTDA. (09.317.318/0001-75)</t>
        </is>
      </c>
      <c r="O4730" s="29" t="n">
        <v>0</v>
      </c>
      <c r="P4730" s="29" t="n">
        <v>0</v>
      </c>
      <c r="Q4730" s="29" t="n">
        <v>0</v>
      </c>
      <c r="R4730" s="29" t="n">
        <v>0</v>
      </c>
      <c r="S4730" s="29" t="n">
        <v>0</v>
      </c>
      <c r="T4730" t="inlineStr">
        <is>
          <t>25250434595800000114570010000000841000000845</t>
        </is>
      </c>
      <c r="U4730" t="inlineStr">
        <is>
          <t>Não</t>
        </is>
      </c>
    </row>
    <row r="4731">
      <c r="A4731" t="inlineStr">
        <is>
          <t>Frete de venda</t>
        </is>
      </c>
      <c r="B4731" t="inlineStr">
        <is>
          <t>2.04.87 Frete sobre Compra</t>
        </is>
      </c>
      <c r="C4731" t="inlineStr">
        <is>
          <t>Antes de 2026</t>
        </is>
      </c>
      <c r="D4731" t="inlineStr">
        <is>
          <t>Antes de 2026</t>
        </is>
      </c>
      <c r="E4731" s="28" t="n">
        <v>45749</v>
      </c>
      <c r="F4731" t="inlineStr">
        <is>
          <t>CT-e</t>
        </is>
      </c>
      <c r="G4731" t="inlineStr">
        <is>
          <t>000000085</t>
        </is>
      </c>
      <c r="H4731" t="inlineStr">
        <is>
          <t>ADIL CARLOS DA SILVA</t>
        </is>
      </c>
      <c r="J4731" s="29" t="n">
        <v>100</v>
      </c>
      <c r="K4731" s="29">
        <f>(1-ISNUMBER(SEARCH("556",M4731)))*(O4731*SUMIFS(Premissas!$C$5:$C$44,Premissas!$A$5:$A$44,$A4731,Premissas!$B$5:$B$44,$B4731)+P4731*SUMIFS(Premissas!$D$5:$D$44,Premissas!$A$5:$A$44,$A4731,Premissas!$B$5:$B$44,$B4731))+R4731*SUMIFS(Premissas!$E$5:$E$44,Premissas!$A$5:$A$44,$A4731,Premissas!$B$5:$B$44,$B4731)+S4731*SUMIFS(Premissas!$F$5:$F$44,Premissas!$A$5:$A$44,$A4731,Premissas!$B$5:$B$44,$B4731)</f>
        <v/>
      </c>
      <c r="L4731" s="29">
        <f>J4731-K4731</f>
        <v/>
      </c>
      <c r="M4731" t="inlineStr">
        <is>
          <t>2.350</t>
        </is>
      </c>
      <c r="N4731" t="inlineStr">
        <is>
          <t>Modalidade: 0 - Por conta do remetente | Parte: JND DISTRIBUIDORA LTDA (36.332.668/0001-83)</t>
        </is>
      </c>
      <c r="O4731" s="29" t="n">
        <v>0</v>
      </c>
      <c r="P4731" s="29" t="n">
        <v>0</v>
      </c>
      <c r="Q4731" s="29" t="n">
        <v>0</v>
      </c>
      <c r="R4731" s="29" t="n">
        <v>0</v>
      </c>
      <c r="S4731" s="29" t="n">
        <v>0</v>
      </c>
      <c r="T4731" t="inlineStr">
        <is>
          <t>25250434595800000114570010000000851000000850</t>
        </is>
      </c>
      <c r="U4731" t="inlineStr">
        <is>
          <t>Não</t>
        </is>
      </c>
    </row>
    <row r="4732">
      <c r="A4732" t="inlineStr">
        <is>
          <t>Frete de venda</t>
        </is>
      </c>
      <c r="B4732" t="inlineStr">
        <is>
          <t>2.04.87 Frete sobre Compra</t>
        </is>
      </c>
      <c r="C4732" t="inlineStr">
        <is>
          <t>Antes de 2026</t>
        </is>
      </c>
      <c r="D4732" t="inlineStr">
        <is>
          <t>Antes de 2026</t>
        </is>
      </c>
      <c r="E4732" s="28" t="n">
        <v>45749</v>
      </c>
      <c r="F4732" t="inlineStr">
        <is>
          <t>CT-e</t>
        </is>
      </c>
      <c r="G4732" t="inlineStr">
        <is>
          <t>000000086</t>
        </is>
      </c>
      <c r="H4732" t="inlineStr">
        <is>
          <t>ADIL CARLOS DA SILVA</t>
        </is>
      </c>
      <c r="J4732" s="29" t="n">
        <v>10</v>
      </c>
      <c r="K4732" s="29">
        <f>(1-ISNUMBER(SEARCH("556",M4732)))*(O4732*SUMIFS(Premissas!$C$5:$C$44,Premissas!$A$5:$A$44,$A4732,Premissas!$B$5:$B$44,$B4732)+P4732*SUMIFS(Premissas!$D$5:$D$44,Premissas!$A$5:$A$44,$A4732,Premissas!$B$5:$B$44,$B4732))+R4732*SUMIFS(Premissas!$E$5:$E$44,Premissas!$A$5:$A$44,$A4732,Premissas!$B$5:$B$44,$B4732)+S4732*SUMIFS(Premissas!$F$5:$F$44,Premissas!$A$5:$A$44,$A4732,Premissas!$B$5:$B$44,$B4732)</f>
        <v/>
      </c>
      <c r="L4732" s="29">
        <f>J4732-K4732</f>
        <v/>
      </c>
      <c r="M4732" t="inlineStr">
        <is>
          <t>2.350</t>
        </is>
      </c>
      <c r="N4732" t="inlineStr">
        <is>
          <t>Modalidade: 0 - Por conta do remetente | Parte: FABIANO MOTA DE SOUZA (63.542.864/0001-55)</t>
        </is>
      </c>
      <c r="O4732" s="29" t="n">
        <v>0</v>
      </c>
      <c r="P4732" s="29" t="n">
        <v>0</v>
      </c>
      <c r="Q4732" s="29" t="n">
        <v>0</v>
      </c>
      <c r="R4732" s="29" t="n">
        <v>0</v>
      </c>
      <c r="S4732" s="29" t="n">
        <v>0</v>
      </c>
      <c r="T4732" t="inlineStr">
        <is>
          <t>25250434595800000114570010000000861000000866</t>
        </is>
      </c>
      <c r="U4732" t="inlineStr">
        <is>
          <t>Não</t>
        </is>
      </c>
    </row>
    <row r="4733">
      <c r="A4733" t="inlineStr">
        <is>
          <t>Frete de venda</t>
        </is>
      </c>
      <c r="B4733" t="inlineStr">
        <is>
          <t>2.04.87 Frete sobre Compra</t>
        </is>
      </c>
      <c r="C4733" t="inlineStr">
        <is>
          <t>Antes de 2026</t>
        </is>
      </c>
      <c r="D4733" t="inlineStr">
        <is>
          <t>Antes de 2026</t>
        </is>
      </c>
      <c r="E4733" s="28" t="n">
        <v>46007</v>
      </c>
      <c r="F4733" t="inlineStr">
        <is>
          <t>CT-e</t>
        </is>
      </c>
      <c r="G4733" t="inlineStr">
        <is>
          <t>000087121</t>
        </is>
      </c>
      <c r="H4733" t="inlineStr">
        <is>
          <t>CAMPINENSE TRANSPORTE DE CARGAS E LOCACOES LT</t>
        </is>
      </c>
      <c r="J4733" s="29" t="n">
        <v>116.34</v>
      </c>
      <c r="K4733" s="29">
        <f>(1-ISNUMBER(SEARCH("556",M4733)))*(O4733*SUMIFS(Premissas!$C$5:$C$44,Premissas!$A$5:$A$44,$A4733,Premissas!$B$5:$B$44,$B4733)+P4733*SUMIFS(Premissas!$D$5:$D$44,Premissas!$A$5:$A$44,$A4733,Premissas!$B$5:$B$44,$B4733))+R4733*SUMIFS(Premissas!$E$5:$E$44,Premissas!$A$5:$A$44,$A4733,Premissas!$B$5:$B$44,$B4733)+S4733*SUMIFS(Premissas!$F$5:$F$44,Premissas!$A$5:$A$44,$A4733,Premissas!$B$5:$B$44,$B4733)</f>
        <v/>
      </c>
      <c r="L4733" s="29">
        <f>J4733-K4733</f>
        <v/>
      </c>
      <c r="M4733" t="inlineStr">
        <is>
          <t>1.350</t>
        </is>
      </c>
      <c r="N4733" t="inlineStr">
        <is>
          <t>Modalidade: 1 - Por conta do destinatário | Parte: FURNAX COMERCIAL E IMPORTADORA EIRELI (00.144.257/0001-17)</t>
        </is>
      </c>
      <c r="O4733" s="29" t="n">
        <v>0</v>
      </c>
      <c r="P4733" s="29" t="n">
        <v>8.140000000000001</v>
      </c>
      <c r="Q4733" s="29" t="n">
        <v>0</v>
      </c>
      <c r="R4733" s="29" t="n">
        <v>0</v>
      </c>
      <c r="S4733" s="29" t="n">
        <v>0</v>
      </c>
      <c r="T4733" t="inlineStr">
        <is>
          <t>35251208706145001005570010000871211001333261</t>
        </is>
      </c>
      <c r="U4733" t="inlineStr">
        <is>
          <t>Sim</t>
        </is>
      </c>
    </row>
    <row r="4734">
      <c r="A4734" t="inlineStr">
        <is>
          <t>Frete de venda</t>
        </is>
      </c>
      <c r="B4734" t="inlineStr">
        <is>
          <t>2.04.87 Frete sobre Compra</t>
        </is>
      </c>
      <c r="C4734" t="inlineStr">
        <is>
          <t>Antes de 2026</t>
        </is>
      </c>
      <c r="D4734" t="inlineStr">
        <is>
          <t>Antes de 2026</t>
        </is>
      </c>
      <c r="E4734" s="28" t="n">
        <v>45740</v>
      </c>
      <c r="F4734" t="inlineStr">
        <is>
          <t>CT-e</t>
        </is>
      </c>
      <c r="G4734" t="inlineStr">
        <is>
          <t>000003894</t>
        </is>
      </c>
      <c r="H4734" t="inlineStr">
        <is>
          <t>R&amp;R TRANSPORTE E LOGISTICA</t>
        </is>
      </c>
      <c r="J4734" s="29" t="n">
        <v>30.32</v>
      </c>
      <c r="K4734" s="29">
        <f>(1-ISNUMBER(SEARCH("556",M4734)))*(O4734*SUMIFS(Premissas!$C$5:$C$44,Premissas!$A$5:$A$44,$A4734,Premissas!$B$5:$B$44,$B4734)+P4734*SUMIFS(Premissas!$D$5:$D$44,Premissas!$A$5:$A$44,$A4734,Premissas!$B$5:$B$44,$B4734))+R4734*SUMIFS(Premissas!$E$5:$E$44,Premissas!$A$5:$A$44,$A4734,Premissas!$B$5:$B$44,$B4734)+S4734*SUMIFS(Premissas!$F$5:$F$44,Premissas!$A$5:$A$44,$A4734,Premissas!$B$5:$B$44,$B4734)</f>
        <v/>
      </c>
      <c r="L4734" s="29">
        <f>J4734-K4734</f>
        <v/>
      </c>
      <c r="M4734" t="inlineStr">
        <is>
          <t>1.350</t>
        </is>
      </c>
      <c r="N4734" t="inlineStr">
        <is>
          <t>Modalidade: 0 - Por conta do remetente | Parte: WRFC EMBALAGENS LTDA (56.093.170/0001-12)</t>
        </is>
      </c>
      <c r="O4734" s="29" t="n">
        <v>0</v>
      </c>
      <c r="P4734" s="29" t="n">
        <v>0</v>
      </c>
      <c r="Q4734" s="29" t="n">
        <v>0</v>
      </c>
      <c r="R4734" s="29" t="n">
        <v>0</v>
      </c>
      <c r="S4734" s="29" t="n">
        <v>0</v>
      </c>
      <c r="T4734" t="inlineStr">
        <is>
          <t>25250326975620000130570010000038941000000002</t>
        </is>
      </c>
      <c r="U4734" t="inlineStr">
        <is>
          <t>Não</t>
        </is>
      </c>
    </row>
    <row r="4735">
      <c r="A4735" t="inlineStr">
        <is>
          <t>Frete de venda</t>
        </is>
      </c>
      <c r="B4735" t="inlineStr">
        <is>
          <t>2.04.87 Frete sobre Compra</t>
        </is>
      </c>
      <c r="C4735" t="inlineStr">
        <is>
          <t>Antes de 2026</t>
        </is>
      </c>
      <c r="D4735" t="inlineStr">
        <is>
          <t>Antes de 2026</t>
        </is>
      </c>
      <c r="E4735" s="28" t="n">
        <v>45740</v>
      </c>
      <c r="F4735" t="inlineStr">
        <is>
          <t>CT-e</t>
        </is>
      </c>
      <c r="G4735" t="inlineStr">
        <is>
          <t>000003895</t>
        </is>
      </c>
      <c r="H4735" t="inlineStr">
        <is>
          <t>R&amp;R TRANSPORTE E LOGISTICA</t>
        </is>
      </c>
      <c r="J4735" s="29" t="n">
        <v>33.21</v>
      </c>
      <c r="K4735" s="29">
        <f>(1-ISNUMBER(SEARCH("556",M4735)))*(O4735*SUMIFS(Premissas!$C$5:$C$44,Premissas!$A$5:$A$44,$A4735,Premissas!$B$5:$B$44,$B4735)+P4735*SUMIFS(Premissas!$D$5:$D$44,Premissas!$A$5:$A$44,$A4735,Premissas!$B$5:$B$44,$B4735))+R4735*SUMIFS(Premissas!$E$5:$E$44,Premissas!$A$5:$A$44,$A4735,Premissas!$B$5:$B$44,$B4735)+S4735*SUMIFS(Premissas!$F$5:$F$44,Premissas!$A$5:$A$44,$A4735,Premissas!$B$5:$B$44,$B4735)</f>
        <v/>
      </c>
      <c r="L4735" s="29">
        <f>J4735-K4735</f>
        <v/>
      </c>
      <c r="M4735" t="inlineStr">
        <is>
          <t>1.350</t>
        </is>
      </c>
      <c r="N4735" t="inlineStr">
        <is>
          <t>Modalidade: 0 - Por conta do remetente | Parte: MM FESTA COMERCIO VAREJISTA LTDA (30.471.322/0001-80)</t>
        </is>
      </c>
      <c r="O4735" s="29" t="n">
        <v>0</v>
      </c>
      <c r="P4735" s="29" t="n">
        <v>0</v>
      </c>
      <c r="Q4735" s="29" t="n">
        <v>0</v>
      </c>
      <c r="R4735" s="29" t="n">
        <v>0</v>
      </c>
      <c r="S4735" s="29" t="n">
        <v>0</v>
      </c>
      <c r="T4735" t="inlineStr">
        <is>
          <t>25250326975620000130570010000038951000000000</t>
        </is>
      </c>
      <c r="U4735" t="inlineStr">
        <is>
          <t>Não</t>
        </is>
      </c>
    </row>
    <row r="4736">
      <c r="A4736" t="inlineStr">
        <is>
          <t>Frete de venda</t>
        </is>
      </c>
      <c r="B4736" t="inlineStr">
        <is>
          <t>2.04.87 Frete sobre Compra</t>
        </is>
      </c>
      <c r="C4736" t="inlineStr">
        <is>
          <t>Antes de 2026</t>
        </is>
      </c>
      <c r="D4736" t="inlineStr">
        <is>
          <t>Antes de 2026</t>
        </is>
      </c>
      <c r="E4736" s="28" t="n">
        <v>45740</v>
      </c>
      <c r="F4736" t="inlineStr">
        <is>
          <t>CT-e</t>
        </is>
      </c>
      <c r="G4736" t="inlineStr">
        <is>
          <t>000003896</t>
        </is>
      </c>
      <c r="H4736" t="inlineStr">
        <is>
          <t>R&amp;R TRANSPORTE E LOGISTICA</t>
        </is>
      </c>
      <c r="J4736" s="29" t="n">
        <v>28.48</v>
      </c>
      <c r="K4736" s="29">
        <f>(1-ISNUMBER(SEARCH("556",M4736)))*(O4736*SUMIFS(Premissas!$C$5:$C$44,Premissas!$A$5:$A$44,$A4736,Premissas!$B$5:$B$44,$B4736)+P4736*SUMIFS(Premissas!$D$5:$D$44,Premissas!$A$5:$A$44,$A4736,Premissas!$B$5:$B$44,$B4736))+R4736*SUMIFS(Premissas!$E$5:$E$44,Premissas!$A$5:$A$44,$A4736,Premissas!$B$5:$B$44,$B4736)+S4736*SUMIFS(Premissas!$F$5:$F$44,Premissas!$A$5:$A$44,$A4736,Premissas!$B$5:$B$44,$B4736)</f>
        <v/>
      </c>
      <c r="L4736" s="29">
        <f>J4736-K4736</f>
        <v/>
      </c>
      <c r="M4736" t="inlineStr">
        <is>
          <t>1.350</t>
        </is>
      </c>
      <c r="N4736" t="inlineStr">
        <is>
          <t>Modalidade: 0 - Por conta do remetente | Parte: EDSON JOSE DA SILVA BOMBONIERE (48.809.258/0001-60)</t>
        </is>
      </c>
      <c r="O4736" s="29" t="n">
        <v>0</v>
      </c>
      <c r="P4736" s="29" t="n">
        <v>0</v>
      </c>
      <c r="Q4736" s="29" t="n">
        <v>0</v>
      </c>
      <c r="R4736" s="29" t="n">
        <v>0</v>
      </c>
      <c r="S4736" s="29" t="n">
        <v>0</v>
      </c>
      <c r="T4736" t="inlineStr">
        <is>
          <t>25250326975620000130570010000038961000000007</t>
        </is>
      </c>
      <c r="U4736" t="inlineStr">
        <is>
          <t>Não</t>
        </is>
      </c>
    </row>
    <row r="4737">
      <c r="A4737" t="inlineStr">
        <is>
          <t>Frete de venda</t>
        </is>
      </c>
      <c r="B4737" t="inlineStr">
        <is>
          <t>2.04.87 Frete sobre Compra</t>
        </is>
      </c>
      <c r="C4737" t="inlineStr">
        <is>
          <t>Antes de 2026</t>
        </is>
      </c>
      <c r="D4737" t="inlineStr">
        <is>
          <t>Antes de 2026</t>
        </is>
      </c>
      <c r="E4737" s="28" t="n">
        <v>45740</v>
      </c>
      <c r="F4737" t="inlineStr">
        <is>
          <t>CT-e</t>
        </is>
      </c>
      <c r="G4737" t="inlineStr">
        <is>
          <t>000003897</t>
        </is>
      </c>
      <c r="H4737" t="inlineStr">
        <is>
          <t>R&amp;R TRANSPORTE E LOGISTICA</t>
        </is>
      </c>
      <c r="J4737" s="29" t="n">
        <v>34.33</v>
      </c>
      <c r="K4737" s="29">
        <f>(1-ISNUMBER(SEARCH("556",M4737)))*(O4737*SUMIFS(Premissas!$C$5:$C$44,Premissas!$A$5:$A$44,$A4737,Premissas!$B$5:$B$44,$B4737)+P4737*SUMIFS(Premissas!$D$5:$D$44,Premissas!$A$5:$A$44,$A4737,Premissas!$B$5:$B$44,$B4737))+R4737*SUMIFS(Premissas!$E$5:$E$44,Premissas!$A$5:$A$44,$A4737,Premissas!$B$5:$B$44,$B4737)+S4737*SUMIFS(Premissas!$F$5:$F$44,Premissas!$A$5:$A$44,$A4737,Premissas!$B$5:$B$44,$B4737)</f>
        <v/>
      </c>
      <c r="L4737" s="29">
        <f>J4737-K4737</f>
        <v/>
      </c>
      <c r="M4737" t="inlineStr">
        <is>
          <t>1.350</t>
        </is>
      </c>
      <c r="N4737" t="inlineStr">
        <is>
          <t>Modalidade: 0 - Por conta do remetente | Parte: G L A RIBEIRO DE LIMA (52.343.782/0001-65)</t>
        </is>
      </c>
      <c r="O4737" s="29" t="n">
        <v>0</v>
      </c>
      <c r="P4737" s="29" t="n">
        <v>0</v>
      </c>
      <c r="Q4737" s="29" t="n">
        <v>0</v>
      </c>
      <c r="R4737" s="29" t="n">
        <v>0</v>
      </c>
      <c r="S4737" s="29" t="n">
        <v>0</v>
      </c>
      <c r="T4737" t="inlineStr">
        <is>
          <t>25250326975620000130570010000038971000000004</t>
        </is>
      </c>
      <c r="U4737" t="inlineStr">
        <is>
          <t>Não</t>
        </is>
      </c>
    </row>
    <row r="4738">
      <c r="A4738" t="inlineStr">
        <is>
          <t>Frete de venda</t>
        </is>
      </c>
      <c r="B4738" t="inlineStr">
        <is>
          <t>2.04.87 Frete sobre Compra</t>
        </is>
      </c>
      <c r="C4738" t="inlineStr">
        <is>
          <t>Antes de 2026</t>
        </is>
      </c>
      <c r="D4738" t="inlineStr">
        <is>
          <t>Antes de 2026</t>
        </is>
      </c>
      <c r="E4738" s="28" t="n">
        <v>45740</v>
      </c>
      <c r="F4738" t="inlineStr">
        <is>
          <t>CT-e</t>
        </is>
      </c>
      <c r="G4738" t="inlineStr">
        <is>
          <t>000003898</t>
        </is>
      </c>
      <c r="H4738" t="inlineStr">
        <is>
          <t>R&amp;R TRANSPORTE E LOGISTICA</t>
        </is>
      </c>
      <c r="J4738" s="29" t="n">
        <v>31.68</v>
      </c>
      <c r="K4738" s="29">
        <f>(1-ISNUMBER(SEARCH("556",M4738)))*(O4738*SUMIFS(Premissas!$C$5:$C$44,Premissas!$A$5:$A$44,$A4738,Premissas!$B$5:$B$44,$B4738)+P4738*SUMIFS(Premissas!$D$5:$D$44,Premissas!$A$5:$A$44,$A4738,Premissas!$B$5:$B$44,$B4738))+R4738*SUMIFS(Premissas!$E$5:$E$44,Premissas!$A$5:$A$44,$A4738,Premissas!$B$5:$B$44,$B4738)+S4738*SUMIFS(Premissas!$F$5:$F$44,Premissas!$A$5:$A$44,$A4738,Premissas!$B$5:$B$44,$B4738)</f>
        <v/>
      </c>
      <c r="L4738" s="29">
        <f>J4738-K4738</f>
        <v/>
      </c>
      <c r="M4738" t="inlineStr">
        <is>
          <t>1.350</t>
        </is>
      </c>
      <c r="N4738" t="inlineStr">
        <is>
          <t>Modalidade: 0 - Por conta do remetente | Parte: EMC2 DIST DE MAT DE PAPEIS E DESC - LEV PAPER (02.097.529/0001-09)</t>
        </is>
      </c>
      <c r="O4738" s="29" t="n">
        <v>0</v>
      </c>
      <c r="P4738" s="29" t="n">
        <v>0</v>
      </c>
      <c r="Q4738" s="29" t="n">
        <v>0</v>
      </c>
      <c r="R4738" s="29" t="n">
        <v>0</v>
      </c>
      <c r="S4738" s="29" t="n">
        <v>0</v>
      </c>
      <c r="T4738" t="inlineStr">
        <is>
          <t>25250326975620000130570010000038981000000001</t>
        </is>
      </c>
      <c r="U4738" t="inlineStr">
        <is>
          <t>Não</t>
        </is>
      </c>
    </row>
    <row r="4739">
      <c r="A4739" t="inlineStr">
        <is>
          <t>Frete de venda</t>
        </is>
      </c>
      <c r="B4739" t="inlineStr">
        <is>
          <t>2.04.87 Frete sobre Compra</t>
        </is>
      </c>
      <c r="C4739" t="inlineStr">
        <is>
          <t>Antes de 2026</t>
        </is>
      </c>
      <c r="D4739" t="inlineStr">
        <is>
          <t>Antes de 2026</t>
        </is>
      </c>
      <c r="E4739" s="28" t="n">
        <v>45740</v>
      </c>
      <c r="F4739" t="inlineStr">
        <is>
          <t>CT-e</t>
        </is>
      </c>
      <c r="G4739" t="inlineStr">
        <is>
          <t>000003899</t>
        </is>
      </c>
      <c r="H4739" t="inlineStr">
        <is>
          <t>R&amp;R TRANSPORTE E LOGISTICA</t>
        </is>
      </c>
      <c r="J4739" s="29" t="n">
        <v>45.36</v>
      </c>
      <c r="K4739" s="29">
        <f>(1-ISNUMBER(SEARCH("556",M4739)))*(O4739*SUMIFS(Premissas!$C$5:$C$44,Premissas!$A$5:$A$44,$A4739,Premissas!$B$5:$B$44,$B4739)+P4739*SUMIFS(Premissas!$D$5:$D$44,Premissas!$A$5:$A$44,$A4739,Premissas!$B$5:$B$44,$B4739))+R4739*SUMIFS(Premissas!$E$5:$E$44,Premissas!$A$5:$A$44,$A4739,Premissas!$B$5:$B$44,$B4739)+S4739*SUMIFS(Premissas!$F$5:$F$44,Premissas!$A$5:$A$44,$A4739,Premissas!$B$5:$B$44,$B4739)</f>
        <v/>
      </c>
      <c r="L4739" s="29">
        <f>J4739-K4739</f>
        <v/>
      </c>
      <c r="M4739" t="inlineStr">
        <is>
          <t>1.350</t>
        </is>
      </c>
      <c r="N4739" t="inlineStr">
        <is>
          <t>Modalidade: 0 - Por conta do remetente | Parte: ATACAREJO GALEGO LATICINIOS COMERCIO DE ALIMENTOS LTDA (31.163.107/0001-84)</t>
        </is>
      </c>
      <c r="O4739" s="29" t="n">
        <v>0</v>
      </c>
      <c r="P4739" s="29" t="n">
        <v>0</v>
      </c>
      <c r="Q4739" s="29" t="n">
        <v>0</v>
      </c>
      <c r="R4739" s="29" t="n">
        <v>0</v>
      </c>
      <c r="S4739" s="29" t="n">
        <v>0</v>
      </c>
      <c r="T4739" t="inlineStr">
        <is>
          <t>25250326975620000130570010000038991000000009</t>
        </is>
      </c>
      <c r="U4739" t="inlineStr">
        <is>
          <t>Não</t>
        </is>
      </c>
    </row>
    <row r="4740">
      <c r="A4740" t="inlineStr">
        <is>
          <t>Frete de venda</t>
        </is>
      </c>
      <c r="B4740" t="inlineStr">
        <is>
          <t>2.04.87 Frete sobre Compra</t>
        </is>
      </c>
      <c r="C4740" t="inlineStr">
        <is>
          <t>Antes de 2026</t>
        </is>
      </c>
      <c r="D4740" t="inlineStr">
        <is>
          <t>Antes de 2026</t>
        </is>
      </c>
      <c r="E4740" s="28" t="n">
        <v>45740</v>
      </c>
      <c r="F4740" t="inlineStr">
        <is>
          <t>CT-e</t>
        </is>
      </c>
      <c r="G4740" t="inlineStr">
        <is>
          <t>000003900</t>
        </is>
      </c>
      <c r="H4740" t="inlineStr">
        <is>
          <t>R&amp;R TRANSPORTE E LOGISTICA</t>
        </is>
      </c>
      <c r="J4740" s="29" t="n">
        <v>28.65</v>
      </c>
      <c r="K4740" s="29">
        <f>(1-ISNUMBER(SEARCH("556",M4740)))*(O4740*SUMIFS(Premissas!$C$5:$C$44,Premissas!$A$5:$A$44,$A4740,Premissas!$B$5:$B$44,$B4740)+P4740*SUMIFS(Premissas!$D$5:$D$44,Premissas!$A$5:$A$44,$A4740,Premissas!$B$5:$B$44,$B4740))+R4740*SUMIFS(Premissas!$E$5:$E$44,Premissas!$A$5:$A$44,$A4740,Premissas!$B$5:$B$44,$B4740)+S4740*SUMIFS(Premissas!$F$5:$F$44,Premissas!$A$5:$A$44,$A4740,Premissas!$B$5:$B$44,$B4740)</f>
        <v/>
      </c>
      <c r="L4740" s="29">
        <f>J4740-K4740</f>
        <v/>
      </c>
      <c r="M4740" t="inlineStr">
        <is>
          <t>1.350</t>
        </is>
      </c>
      <c r="N4740" t="inlineStr">
        <is>
          <t>Modalidade: 0 - Por conta do remetente | Parte: MUNDO DOS DESCARTAVEIS LTDA (40.211.407/0001-82)</t>
        </is>
      </c>
      <c r="O4740" s="29" t="n">
        <v>0</v>
      </c>
      <c r="P4740" s="29" t="n">
        <v>0</v>
      </c>
      <c r="Q4740" s="29" t="n">
        <v>0</v>
      </c>
      <c r="R4740" s="29" t="n">
        <v>0</v>
      </c>
      <c r="S4740" s="29" t="n">
        <v>0</v>
      </c>
      <c r="T4740" t="inlineStr">
        <is>
          <t>25250326975620000130570010000039001000000001</t>
        </is>
      </c>
      <c r="U4740" t="inlineStr">
        <is>
          <t>Não</t>
        </is>
      </c>
    </row>
    <row r="4741">
      <c r="A4741" t="inlineStr">
        <is>
          <t>Frete de venda</t>
        </is>
      </c>
      <c r="B4741" t="inlineStr">
        <is>
          <t>2.04.87 Frete sobre Compra</t>
        </is>
      </c>
      <c r="C4741" t="inlineStr">
        <is>
          <t>Antes de 2026</t>
        </is>
      </c>
      <c r="D4741" t="inlineStr">
        <is>
          <t>Antes de 2026</t>
        </is>
      </c>
      <c r="E4741" s="28" t="n">
        <v>45741</v>
      </c>
      <c r="F4741" t="inlineStr">
        <is>
          <t>CT-e</t>
        </is>
      </c>
      <c r="G4741" t="inlineStr">
        <is>
          <t>000003905</t>
        </is>
      </c>
      <c r="H4741" t="inlineStr">
        <is>
          <t>R&amp;R TRANSPORTE E LOGISTICA</t>
        </is>
      </c>
      <c r="J4741" s="29" t="n">
        <v>38.18</v>
      </c>
      <c r="K4741" s="29">
        <f>(1-ISNUMBER(SEARCH("556",M4741)))*(O4741*SUMIFS(Premissas!$C$5:$C$44,Premissas!$A$5:$A$44,$A4741,Premissas!$B$5:$B$44,$B4741)+P4741*SUMIFS(Premissas!$D$5:$D$44,Premissas!$A$5:$A$44,$A4741,Premissas!$B$5:$B$44,$B4741))+R4741*SUMIFS(Premissas!$E$5:$E$44,Premissas!$A$5:$A$44,$A4741,Premissas!$B$5:$B$44,$B4741)+S4741*SUMIFS(Premissas!$F$5:$F$44,Premissas!$A$5:$A$44,$A4741,Premissas!$B$5:$B$44,$B4741)</f>
        <v/>
      </c>
      <c r="L4741" s="29">
        <f>J4741-K4741</f>
        <v/>
      </c>
      <c r="M4741" t="inlineStr">
        <is>
          <t>1.350</t>
        </is>
      </c>
      <c r="N4741" t="inlineStr">
        <is>
          <t>Modalidade: 0 - Por conta do remetente | Parte: ECONOMIZE COMERCIO DE DOCES E EMBALAGENS LTDA (08.587.163/0005-58)</t>
        </is>
      </c>
      <c r="O4741" s="29" t="n">
        <v>0</v>
      </c>
      <c r="P4741" s="29" t="n">
        <v>0</v>
      </c>
      <c r="Q4741" s="29" t="n">
        <v>0</v>
      </c>
      <c r="R4741" s="29" t="n">
        <v>0</v>
      </c>
      <c r="S4741" s="29" t="n">
        <v>0</v>
      </c>
      <c r="T4741" t="inlineStr">
        <is>
          <t>25250326975620000130570010000039051000000008</t>
        </is>
      </c>
      <c r="U4741" t="inlineStr">
        <is>
          <t>Não</t>
        </is>
      </c>
    </row>
    <row r="4742">
      <c r="A4742" t="inlineStr">
        <is>
          <t>Frete de venda</t>
        </is>
      </c>
      <c r="B4742" t="inlineStr">
        <is>
          <t>2.04.87 Frete sobre Compra</t>
        </is>
      </c>
      <c r="C4742" t="inlineStr">
        <is>
          <t>Antes de 2026</t>
        </is>
      </c>
      <c r="D4742" t="inlineStr">
        <is>
          <t>Antes de 2026</t>
        </is>
      </c>
      <c r="E4742" s="28" t="n">
        <v>45741</v>
      </c>
      <c r="F4742" t="inlineStr">
        <is>
          <t>CT-e</t>
        </is>
      </c>
      <c r="G4742" t="inlineStr">
        <is>
          <t>000003906</t>
        </is>
      </c>
      <c r="H4742" t="inlineStr">
        <is>
          <t>R&amp;R TRANSPORTE E LOGISTICA</t>
        </is>
      </c>
      <c r="J4742" s="29" t="n">
        <v>33.1</v>
      </c>
      <c r="K4742" s="29">
        <f>(1-ISNUMBER(SEARCH("556",M4742)))*(O4742*SUMIFS(Premissas!$C$5:$C$44,Premissas!$A$5:$A$44,$A4742,Premissas!$B$5:$B$44,$B4742)+P4742*SUMIFS(Premissas!$D$5:$D$44,Premissas!$A$5:$A$44,$A4742,Premissas!$B$5:$B$44,$B4742))+R4742*SUMIFS(Premissas!$E$5:$E$44,Premissas!$A$5:$A$44,$A4742,Premissas!$B$5:$B$44,$B4742)+S4742*SUMIFS(Premissas!$F$5:$F$44,Premissas!$A$5:$A$44,$A4742,Premissas!$B$5:$B$44,$B4742)</f>
        <v/>
      </c>
      <c r="L4742" s="29">
        <f>J4742-K4742</f>
        <v/>
      </c>
      <c r="M4742" t="inlineStr">
        <is>
          <t>1.350</t>
        </is>
      </c>
      <c r="N4742" t="inlineStr">
        <is>
          <t>Modalidade: 0 - Por conta do remetente | Parte: 56.303.728 THIAGO LIBORIO DE JESUS (56.303.728/0001-47)</t>
        </is>
      </c>
      <c r="O4742" s="29" t="n">
        <v>0</v>
      </c>
      <c r="P4742" s="29" t="n">
        <v>0</v>
      </c>
      <c r="Q4742" s="29" t="n">
        <v>0</v>
      </c>
      <c r="R4742" s="29" t="n">
        <v>0</v>
      </c>
      <c r="S4742" s="29" t="n">
        <v>0</v>
      </c>
      <c r="T4742" t="inlineStr">
        <is>
          <t>25250326975620000130570010000039061000000005</t>
        </is>
      </c>
      <c r="U4742" t="inlineStr">
        <is>
          <t>Não</t>
        </is>
      </c>
    </row>
    <row r="4743">
      <c r="A4743" t="inlineStr">
        <is>
          <t>Frete de venda</t>
        </is>
      </c>
      <c r="B4743" t="inlineStr">
        <is>
          <t>2.04.87 Frete sobre Compra</t>
        </is>
      </c>
      <c r="C4743" t="inlineStr">
        <is>
          <t>Antes de 2026</t>
        </is>
      </c>
      <c r="D4743" t="inlineStr">
        <is>
          <t>Antes de 2026</t>
        </is>
      </c>
      <c r="E4743" s="28" t="n">
        <v>45741</v>
      </c>
      <c r="F4743" t="inlineStr">
        <is>
          <t>CT-e</t>
        </is>
      </c>
      <c r="G4743" t="inlineStr">
        <is>
          <t>000003907</t>
        </is>
      </c>
      <c r="H4743" t="inlineStr">
        <is>
          <t>R&amp;R TRANSPORTE E LOGISTICA</t>
        </is>
      </c>
      <c r="J4743" s="29" t="n">
        <v>36.16</v>
      </c>
      <c r="K4743" s="29">
        <f>(1-ISNUMBER(SEARCH("556",M4743)))*(O4743*SUMIFS(Premissas!$C$5:$C$44,Premissas!$A$5:$A$44,$A4743,Premissas!$B$5:$B$44,$B4743)+P4743*SUMIFS(Premissas!$D$5:$D$44,Premissas!$A$5:$A$44,$A4743,Premissas!$B$5:$B$44,$B4743))+R4743*SUMIFS(Premissas!$E$5:$E$44,Premissas!$A$5:$A$44,$A4743,Premissas!$B$5:$B$44,$B4743)+S4743*SUMIFS(Premissas!$F$5:$F$44,Premissas!$A$5:$A$44,$A4743,Premissas!$B$5:$B$44,$B4743)</f>
        <v/>
      </c>
      <c r="L4743" s="29">
        <f>J4743-K4743</f>
        <v/>
      </c>
      <c r="M4743" t="inlineStr">
        <is>
          <t>1.350</t>
        </is>
      </c>
      <c r="N4743" t="inlineStr">
        <is>
          <t>Modalidade: 0 - Por conta do remetente | Parte: BA EMBALAGENS COM ATACADISTA DE EMBALAGENS E BOMBONIERI (09.048.003/0001-70)</t>
        </is>
      </c>
      <c r="O4743" s="29" t="n">
        <v>0</v>
      </c>
      <c r="P4743" s="29" t="n">
        <v>0</v>
      </c>
      <c r="Q4743" s="29" t="n">
        <v>0</v>
      </c>
      <c r="R4743" s="29" t="n">
        <v>0</v>
      </c>
      <c r="S4743" s="29" t="n">
        <v>0</v>
      </c>
      <c r="T4743" t="inlineStr">
        <is>
          <t>25250326975620000130570010000039071000000002</t>
        </is>
      </c>
      <c r="U4743" t="inlineStr">
        <is>
          <t>Não</t>
        </is>
      </c>
    </row>
    <row r="4744">
      <c r="A4744" t="inlineStr">
        <is>
          <t>Frete de venda</t>
        </is>
      </c>
      <c r="B4744" t="inlineStr">
        <is>
          <t>2.04.87 Frete sobre Compra</t>
        </is>
      </c>
      <c r="C4744" t="inlineStr">
        <is>
          <t>Antes de 2026</t>
        </is>
      </c>
      <c r="D4744" t="inlineStr">
        <is>
          <t>Antes de 2026</t>
        </is>
      </c>
      <c r="E4744" s="28" t="n">
        <v>45741</v>
      </c>
      <c r="F4744" t="inlineStr">
        <is>
          <t>CT-e</t>
        </is>
      </c>
      <c r="G4744" t="inlineStr">
        <is>
          <t>000003908</t>
        </is>
      </c>
      <c r="H4744" t="inlineStr">
        <is>
          <t>R&amp;R TRANSPORTE E LOGISTICA</t>
        </is>
      </c>
      <c r="J4744" s="29" t="n">
        <v>34.8</v>
      </c>
      <c r="K4744" s="29">
        <f>(1-ISNUMBER(SEARCH("556",M4744)))*(O4744*SUMIFS(Premissas!$C$5:$C$44,Premissas!$A$5:$A$44,$A4744,Premissas!$B$5:$B$44,$B4744)+P4744*SUMIFS(Premissas!$D$5:$D$44,Premissas!$A$5:$A$44,$A4744,Premissas!$B$5:$B$44,$B4744))+R4744*SUMIFS(Premissas!$E$5:$E$44,Premissas!$A$5:$A$44,$A4744,Premissas!$B$5:$B$44,$B4744)+S4744*SUMIFS(Premissas!$F$5:$F$44,Premissas!$A$5:$A$44,$A4744,Premissas!$B$5:$B$44,$B4744)</f>
        <v/>
      </c>
      <c r="L4744" s="29">
        <f>J4744-K4744</f>
        <v/>
      </c>
      <c r="M4744" t="inlineStr">
        <is>
          <t>1.350</t>
        </is>
      </c>
      <c r="N4744" t="inlineStr">
        <is>
          <t>Modalidade: 0 - Por conta do remetente | Parte: FRIOS e SECOS LATICINIO LTDA (23.556.040/0001-10)</t>
        </is>
      </c>
      <c r="O4744" s="29" t="n">
        <v>0</v>
      </c>
      <c r="P4744" s="29" t="n">
        <v>0</v>
      </c>
      <c r="Q4744" s="29" t="n">
        <v>0</v>
      </c>
      <c r="R4744" s="29" t="n">
        <v>0</v>
      </c>
      <c r="S4744" s="29" t="n">
        <v>0</v>
      </c>
      <c r="T4744" t="inlineStr">
        <is>
          <t>25250326975620000130570010000039081000000000</t>
        </is>
      </c>
      <c r="U4744" t="inlineStr">
        <is>
          <t>Não</t>
        </is>
      </c>
    </row>
    <row r="4745">
      <c r="A4745" t="inlineStr">
        <is>
          <t>Frete de venda</t>
        </is>
      </c>
      <c r="B4745" t="inlineStr">
        <is>
          <t>2.04.87 Frete sobre Compra</t>
        </is>
      </c>
      <c r="C4745" t="inlineStr">
        <is>
          <t>Antes de 2026</t>
        </is>
      </c>
      <c r="D4745" t="inlineStr">
        <is>
          <t>Antes de 2026</t>
        </is>
      </c>
      <c r="E4745" s="28" t="n">
        <v>45741</v>
      </c>
      <c r="F4745" t="inlineStr">
        <is>
          <t>CT-e</t>
        </is>
      </c>
      <c r="G4745" t="inlineStr">
        <is>
          <t>000003909</t>
        </is>
      </c>
      <c r="H4745" t="inlineStr">
        <is>
          <t>R&amp;R TRANSPORTE E LOGISTICA</t>
        </is>
      </c>
      <c r="J4745" s="29" t="n">
        <v>33.49</v>
      </c>
      <c r="K4745" s="29">
        <f>(1-ISNUMBER(SEARCH("556",M4745)))*(O4745*SUMIFS(Premissas!$C$5:$C$44,Premissas!$A$5:$A$44,$A4745,Premissas!$B$5:$B$44,$B4745)+P4745*SUMIFS(Premissas!$D$5:$D$44,Premissas!$A$5:$A$44,$A4745,Premissas!$B$5:$B$44,$B4745))+R4745*SUMIFS(Premissas!$E$5:$E$44,Premissas!$A$5:$A$44,$A4745,Premissas!$B$5:$B$44,$B4745)+S4745*SUMIFS(Premissas!$F$5:$F$44,Premissas!$A$5:$A$44,$A4745,Premissas!$B$5:$B$44,$B4745)</f>
        <v/>
      </c>
      <c r="L4745" s="29">
        <f>J4745-K4745</f>
        <v/>
      </c>
      <c r="M4745" t="inlineStr">
        <is>
          <t>1.350</t>
        </is>
      </c>
      <c r="N4745" t="inlineStr">
        <is>
          <t>Modalidade: 0 - Por conta do remetente | Parte: ANDRADE FRIOS LTDA (47.400.749/0001-90)</t>
        </is>
      </c>
      <c r="O4745" s="29" t="n">
        <v>0</v>
      </c>
      <c r="P4745" s="29" t="n">
        <v>0</v>
      </c>
      <c r="Q4745" s="29" t="n">
        <v>0</v>
      </c>
      <c r="R4745" s="29" t="n">
        <v>0</v>
      </c>
      <c r="S4745" s="29" t="n">
        <v>0</v>
      </c>
      <c r="T4745" t="inlineStr">
        <is>
          <t>25250326975620000130570010000039091000000007</t>
        </is>
      </c>
      <c r="U4745" t="inlineStr">
        <is>
          <t>Não</t>
        </is>
      </c>
    </row>
    <row r="4746">
      <c r="A4746" t="inlineStr">
        <is>
          <t>Frete de venda</t>
        </is>
      </c>
      <c r="B4746" t="inlineStr">
        <is>
          <t>2.04.87 Frete sobre Compra</t>
        </is>
      </c>
      <c r="C4746" t="inlineStr">
        <is>
          <t>Antes de 2026</t>
        </is>
      </c>
      <c r="D4746" t="inlineStr">
        <is>
          <t>Antes de 2026</t>
        </is>
      </c>
      <c r="E4746" s="28" t="n">
        <v>45741</v>
      </c>
      <c r="F4746" t="inlineStr">
        <is>
          <t>CT-e</t>
        </is>
      </c>
      <c r="G4746" t="inlineStr">
        <is>
          <t>000003910</t>
        </is>
      </c>
      <c r="H4746" t="inlineStr">
        <is>
          <t>R&amp;R TRANSPORTE E LOGISTICA</t>
        </is>
      </c>
      <c r="J4746" s="29" t="n">
        <v>32.9</v>
      </c>
      <c r="K4746" s="29">
        <f>(1-ISNUMBER(SEARCH("556",M4746)))*(O4746*SUMIFS(Premissas!$C$5:$C$44,Premissas!$A$5:$A$44,$A4746,Premissas!$B$5:$B$44,$B4746)+P4746*SUMIFS(Premissas!$D$5:$D$44,Premissas!$A$5:$A$44,$A4746,Premissas!$B$5:$B$44,$B4746))+R4746*SUMIFS(Premissas!$E$5:$E$44,Premissas!$A$5:$A$44,$A4746,Premissas!$B$5:$B$44,$B4746)+S4746*SUMIFS(Premissas!$F$5:$F$44,Premissas!$A$5:$A$44,$A4746,Premissas!$B$5:$B$44,$B4746)</f>
        <v/>
      </c>
      <c r="L4746" s="29">
        <f>J4746-K4746</f>
        <v/>
      </c>
      <c r="M4746" t="inlineStr">
        <is>
          <t>1.350</t>
        </is>
      </c>
      <c r="N4746" t="inlineStr">
        <is>
          <t>Modalidade: 0 - Por conta do remetente | Parte: IMPRESART GRAFICA E EDITORA LTDA (05.138.123/0001-07)</t>
        </is>
      </c>
      <c r="O4746" s="29" t="n">
        <v>0</v>
      </c>
      <c r="P4746" s="29" t="n">
        <v>0</v>
      </c>
      <c r="Q4746" s="29" t="n">
        <v>0</v>
      </c>
      <c r="R4746" s="29" t="n">
        <v>0</v>
      </c>
      <c r="S4746" s="29" t="n">
        <v>0</v>
      </c>
      <c r="T4746" t="inlineStr">
        <is>
          <t>25250326975620000130570010000039101000000008</t>
        </is>
      </c>
      <c r="U4746" t="inlineStr">
        <is>
          <t>Não</t>
        </is>
      </c>
    </row>
    <row r="4747">
      <c r="A4747" t="inlineStr">
        <is>
          <t>Frete de venda</t>
        </is>
      </c>
      <c r="B4747" t="inlineStr">
        <is>
          <t>2.04.87 Frete sobre Compra</t>
        </is>
      </c>
      <c r="C4747" t="inlineStr">
        <is>
          <t>Antes de 2026</t>
        </is>
      </c>
      <c r="D4747" t="inlineStr">
        <is>
          <t>Antes de 2026</t>
        </is>
      </c>
      <c r="E4747" s="28" t="n">
        <v>45741</v>
      </c>
      <c r="F4747" t="inlineStr">
        <is>
          <t>CT-e</t>
        </is>
      </c>
      <c r="G4747" t="inlineStr">
        <is>
          <t>000003911</t>
        </is>
      </c>
      <c r="H4747" t="inlineStr">
        <is>
          <t>R&amp;R TRANSPORTE E LOGISTICA</t>
        </is>
      </c>
      <c r="J4747" s="29" t="n">
        <v>161.01</v>
      </c>
      <c r="K4747" s="29">
        <f>(1-ISNUMBER(SEARCH("556",M4747)))*(O4747*SUMIFS(Premissas!$C$5:$C$44,Premissas!$A$5:$A$44,$A4747,Premissas!$B$5:$B$44,$B4747)+P4747*SUMIFS(Premissas!$D$5:$D$44,Premissas!$A$5:$A$44,$A4747,Premissas!$B$5:$B$44,$B4747))+R4747*SUMIFS(Premissas!$E$5:$E$44,Premissas!$A$5:$A$44,$A4747,Premissas!$B$5:$B$44,$B4747)+S4747*SUMIFS(Premissas!$F$5:$F$44,Premissas!$A$5:$A$44,$A4747,Premissas!$B$5:$B$44,$B4747)</f>
        <v/>
      </c>
      <c r="L4747" s="29">
        <f>J4747-K4747</f>
        <v/>
      </c>
      <c r="M4747" t="inlineStr">
        <is>
          <t>1.350</t>
        </is>
      </c>
      <c r="N4747" t="inlineStr">
        <is>
          <t>Modalidade: 0 - Por conta do remetente | Parte: AL MOL COMERCIO DE EMBALAGENS LTDA (29.905.490/0001-57)</t>
        </is>
      </c>
      <c r="O4747" s="29" t="n">
        <v>0</v>
      </c>
      <c r="P4747" s="29" t="n">
        <v>0</v>
      </c>
      <c r="Q4747" s="29" t="n">
        <v>0</v>
      </c>
      <c r="R4747" s="29" t="n">
        <v>0</v>
      </c>
      <c r="S4747" s="29" t="n">
        <v>0</v>
      </c>
      <c r="T4747" t="inlineStr">
        <is>
          <t>25250326975620000130570010000039111000000005</t>
        </is>
      </c>
      <c r="U4747" t="inlineStr">
        <is>
          <t>Não</t>
        </is>
      </c>
    </row>
    <row r="4748">
      <c r="A4748" t="inlineStr">
        <is>
          <t>Frete de venda</t>
        </is>
      </c>
      <c r="B4748" t="inlineStr">
        <is>
          <t>2.04.87 Frete sobre Compra</t>
        </is>
      </c>
      <c r="C4748" t="inlineStr">
        <is>
          <t>Antes de 2026</t>
        </is>
      </c>
      <c r="D4748" t="inlineStr">
        <is>
          <t>Antes de 2026</t>
        </is>
      </c>
      <c r="E4748" s="28" t="n">
        <v>45741</v>
      </c>
      <c r="F4748" t="inlineStr">
        <is>
          <t>CT-e</t>
        </is>
      </c>
      <c r="G4748" t="inlineStr">
        <is>
          <t>000003912</t>
        </is>
      </c>
      <c r="H4748" t="inlineStr">
        <is>
          <t>R&amp;R TRANSPORTE E LOGISTICA</t>
        </is>
      </c>
      <c r="J4748" s="29" t="n">
        <v>61.54</v>
      </c>
      <c r="K4748" s="29">
        <f>(1-ISNUMBER(SEARCH("556",M4748)))*(O4748*SUMIFS(Premissas!$C$5:$C$44,Premissas!$A$5:$A$44,$A4748,Premissas!$B$5:$B$44,$B4748)+P4748*SUMIFS(Premissas!$D$5:$D$44,Premissas!$A$5:$A$44,$A4748,Premissas!$B$5:$B$44,$B4748))+R4748*SUMIFS(Premissas!$E$5:$E$44,Premissas!$A$5:$A$44,$A4748,Premissas!$B$5:$B$44,$B4748)+S4748*SUMIFS(Premissas!$F$5:$F$44,Premissas!$A$5:$A$44,$A4748,Premissas!$B$5:$B$44,$B4748)</f>
        <v/>
      </c>
      <c r="L4748" s="29">
        <f>J4748-K4748</f>
        <v/>
      </c>
      <c r="M4748" t="inlineStr">
        <is>
          <t>1.350</t>
        </is>
      </c>
      <c r="N4748" t="inlineStr">
        <is>
          <t>Modalidade: 0 - Por conta do remetente | Parte: MARCELO TIMM (78.992.021/0001-28)</t>
        </is>
      </c>
      <c r="O4748" s="29" t="n">
        <v>0</v>
      </c>
      <c r="P4748" s="29" t="n">
        <v>0</v>
      </c>
      <c r="Q4748" s="29" t="n">
        <v>0</v>
      </c>
      <c r="R4748" s="29" t="n">
        <v>0</v>
      </c>
      <c r="S4748" s="29" t="n">
        <v>0</v>
      </c>
      <c r="T4748" t="inlineStr">
        <is>
          <t>25250326975620000130570010000039121000000002</t>
        </is>
      </c>
      <c r="U4748" t="inlineStr">
        <is>
          <t>Não</t>
        </is>
      </c>
    </row>
    <row r="4749">
      <c r="A4749" t="inlineStr">
        <is>
          <t>Frete de venda</t>
        </is>
      </c>
      <c r="B4749" t="inlineStr">
        <is>
          <t>2.04.87 Frete sobre Compra</t>
        </is>
      </c>
      <c r="C4749" t="inlineStr">
        <is>
          <t>Antes de 2026</t>
        </is>
      </c>
      <c r="D4749" t="inlineStr">
        <is>
          <t>Antes de 2026</t>
        </is>
      </c>
      <c r="E4749" s="28" t="n">
        <v>45741</v>
      </c>
      <c r="F4749" t="inlineStr">
        <is>
          <t>CT-e</t>
        </is>
      </c>
      <c r="G4749" t="inlineStr">
        <is>
          <t>000003913</t>
        </is>
      </c>
      <c r="H4749" t="inlineStr">
        <is>
          <t>R&amp;R TRANSPORTE E LOGISTICA</t>
        </is>
      </c>
      <c r="J4749" s="29" t="n">
        <v>181.75</v>
      </c>
      <c r="K4749" s="29">
        <f>(1-ISNUMBER(SEARCH("556",M4749)))*(O4749*SUMIFS(Premissas!$C$5:$C$44,Premissas!$A$5:$A$44,$A4749,Premissas!$B$5:$B$44,$B4749)+P4749*SUMIFS(Premissas!$D$5:$D$44,Premissas!$A$5:$A$44,$A4749,Premissas!$B$5:$B$44,$B4749))+R4749*SUMIFS(Premissas!$E$5:$E$44,Premissas!$A$5:$A$44,$A4749,Premissas!$B$5:$B$44,$B4749)+S4749*SUMIFS(Premissas!$F$5:$F$44,Premissas!$A$5:$A$44,$A4749,Premissas!$B$5:$B$44,$B4749)</f>
        <v/>
      </c>
      <c r="L4749" s="29">
        <f>J4749-K4749</f>
        <v/>
      </c>
      <c r="M4749" t="inlineStr">
        <is>
          <t>1.350</t>
        </is>
      </c>
      <c r="N4749" t="inlineStr">
        <is>
          <t>Modalidade: 0 - Por conta do remetente | Parte: DISTRIBUIDORA DE EMBALAGENS CASTROPIL LTDA. (08.961.274/0007-44)</t>
        </is>
      </c>
      <c r="O4749" s="29" t="n">
        <v>0</v>
      </c>
      <c r="P4749" s="29" t="n">
        <v>0</v>
      </c>
      <c r="Q4749" s="29" t="n">
        <v>0</v>
      </c>
      <c r="R4749" s="29" t="n">
        <v>0</v>
      </c>
      <c r="S4749" s="29" t="n">
        <v>0</v>
      </c>
      <c r="T4749" t="inlineStr">
        <is>
          <t>25250326975620000130570010000039131000000000</t>
        </is>
      </c>
      <c r="U4749" t="inlineStr">
        <is>
          <t>Não</t>
        </is>
      </c>
    </row>
    <row r="4750">
      <c r="A4750" t="inlineStr">
        <is>
          <t>Frete de venda</t>
        </is>
      </c>
      <c r="B4750" t="inlineStr">
        <is>
          <t>2.04.87 Frete sobre Compra</t>
        </is>
      </c>
      <c r="C4750" t="inlineStr">
        <is>
          <t>Antes de 2026</t>
        </is>
      </c>
      <c r="D4750" t="inlineStr">
        <is>
          <t>Antes de 2026</t>
        </is>
      </c>
      <c r="E4750" s="28" t="n">
        <v>45741</v>
      </c>
      <c r="F4750" t="inlineStr">
        <is>
          <t>CT-e</t>
        </is>
      </c>
      <c r="G4750" t="inlineStr">
        <is>
          <t>000003914</t>
        </is>
      </c>
      <c r="H4750" t="inlineStr">
        <is>
          <t>R&amp;R TRANSPORTE E LOGISTICA</t>
        </is>
      </c>
      <c r="J4750" s="29" t="n">
        <v>55.61</v>
      </c>
      <c r="K4750" s="29">
        <f>(1-ISNUMBER(SEARCH("556",M4750)))*(O4750*SUMIFS(Premissas!$C$5:$C$44,Premissas!$A$5:$A$44,$A4750,Premissas!$B$5:$B$44,$B4750)+P4750*SUMIFS(Premissas!$D$5:$D$44,Premissas!$A$5:$A$44,$A4750,Premissas!$B$5:$B$44,$B4750))+R4750*SUMIFS(Premissas!$E$5:$E$44,Premissas!$A$5:$A$44,$A4750,Premissas!$B$5:$B$44,$B4750)+S4750*SUMIFS(Premissas!$F$5:$F$44,Premissas!$A$5:$A$44,$A4750,Premissas!$B$5:$B$44,$B4750)</f>
        <v/>
      </c>
      <c r="L4750" s="29">
        <f>J4750-K4750</f>
        <v/>
      </c>
      <c r="M4750" t="inlineStr">
        <is>
          <t>1.350</t>
        </is>
      </c>
      <c r="N4750" t="inlineStr">
        <is>
          <t>Modalidade: 0 - Por conta do remetente | Parte: EMBALAGENS HUBNER TRES DE MAIO LTDA (44.330.178/0001-76)</t>
        </is>
      </c>
      <c r="O4750" s="29" t="n">
        <v>0</v>
      </c>
      <c r="P4750" s="29" t="n">
        <v>0</v>
      </c>
      <c r="Q4750" s="29" t="n">
        <v>0</v>
      </c>
      <c r="R4750" s="29" t="n">
        <v>0</v>
      </c>
      <c r="S4750" s="29" t="n">
        <v>0</v>
      </c>
      <c r="T4750" t="inlineStr">
        <is>
          <t>25250326975620000130570010000039141000000007</t>
        </is>
      </c>
      <c r="U4750" t="inlineStr">
        <is>
          <t>Não</t>
        </is>
      </c>
    </row>
    <row r="4751">
      <c r="A4751" t="inlineStr">
        <is>
          <t>Frete de venda</t>
        </is>
      </c>
      <c r="B4751" t="inlineStr">
        <is>
          <t>2.04.87 Frete sobre Compra</t>
        </is>
      </c>
      <c r="C4751" t="inlineStr">
        <is>
          <t>Antes de 2026</t>
        </is>
      </c>
      <c r="D4751" t="inlineStr">
        <is>
          <t>Antes de 2026</t>
        </is>
      </c>
      <c r="E4751" s="28" t="n">
        <v>45741</v>
      </c>
      <c r="F4751" t="inlineStr">
        <is>
          <t>CT-e</t>
        </is>
      </c>
      <c r="G4751" t="inlineStr">
        <is>
          <t>000003915</t>
        </is>
      </c>
      <c r="H4751" t="inlineStr">
        <is>
          <t>R&amp;R TRANSPORTE E LOGISTICA</t>
        </is>
      </c>
      <c r="J4751" s="29" t="n">
        <v>58.49</v>
      </c>
      <c r="K4751" s="29">
        <f>(1-ISNUMBER(SEARCH("556",M4751)))*(O4751*SUMIFS(Premissas!$C$5:$C$44,Premissas!$A$5:$A$44,$A4751,Premissas!$B$5:$B$44,$B4751)+P4751*SUMIFS(Premissas!$D$5:$D$44,Premissas!$A$5:$A$44,$A4751,Premissas!$B$5:$B$44,$B4751))+R4751*SUMIFS(Premissas!$E$5:$E$44,Premissas!$A$5:$A$44,$A4751,Premissas!$B$5:$B$44,$B4751)+S4751*SUMIFS(Premissas!$F$5:$F$44,Premissas!$A$5:$A$44,$A4751,Premissas!$B$5:$B$44,$B4751)</f>
        <v/>
      </c>
      <c r="L4751" s="29">
        <f>J4751-K4751</f>
        <v/>
      </c>
      <c r="M4751" t="inlineStr">
        <is>
          <t>1.350</t>
        </is>
      </c>
      <c r="N4751" t="inlineStr">
        <is>
          <t>Modalidade: 0 - Por conta do remetente | Parte: COSTA E LIMA COMERCIO E REPRESENTACOES LTDA (42.323.364/0001-52)</t>
        </is>
      </c>
      <c r="O4751" s="29" t="n">
        <v>0</v>
      </c>
      <c r="P4751" s="29" t="n">
        <v>0</v>
      </c>
      <c r="Q4751" s="29" t="n">
        <v>0</v>
      </c>
      <c r="R4751" s="29" t="n">
        <v>0</v>
      </c>
      <c r="S4751" s="29" t="n">
        <v>0</v>
      </c>
      <c r="T4751" t="inlineStr">
        <is>
          <t>25250326975620000130570010000039151000000004</t>
        </is>
      </c>
      <c r="U4751" t="inlineStr">
        <is>
          <t>Não</t>
        </is>
      </c>
    </row>
    <row r="4752">
      <c r="A4752" t="inlineStr">
        <is>
          <t>Frete de venda</t>
        </is>
      </c>
      <c r="B4752" t="inlineStr">
        <is>
          <t>2.04.87 Frete sobre Compra</t>
        </is>
      </c>
      <c r="C4752" t="inlineStr">
        <is>
          <t>Antes de 2026</t>
        </is>
      </c>
      <c r="D4752" t="inlineStr">
        <is>
          <t>Antes de 2026</t>
        </is>
      </c>
      <c r="E4752" s="28" t="n">
        <v>45741</v>
      </c>
      <c r="F4752" t="inlineStr">
        <is>
          <t>CT-e</t>
        </is>
      </c>
      <c r="G4752" t="inlineStr">
        <is>
          <t>000003916</t>
        </is>
      </c>
      <c r="H4752" t="inlineStr">
        <is>
          <t>R&amp;R TRANSPORTE E LOGISTICA</t>
        </is>
      </c>
      <c r="J4752" s="29" t="n">
        <v>34.14</v>
      </c>
      <c r="K4752" s="29">
        <f>(1-ISNUMBER(SEARCH("556",M4752)))*(O4752*SUMIFS(Premissas!$C$5:$C$44,Premissas!$A$5:$A$44,$A4752,Premissas!$B$5:$B$44,$B4752)+P4752*SUMIFS(Premissas!$D$5:$D$44,Premissas!$A$5:$A$44,$A4752,Premissas!$B$5:$B$44,$B4752))+R4752*SUMIFS(Premissas!$E$5:$E$44,Premissas!$A$5:$A$44,$A4752,Premissas!$B$5:$B$44,$B4752)+S4752*SUMIFS(Premissas!$F$5:$F$44,Premissas!$A$5:$A$44,$A4752,Premissas!$B$5:$B$44,$B4752)</f>
        <v/>
      </c>
      <c r="L4752" s="29">
        <f>J4752-K4752</f>
        <v/>
      </c>
      <c r="M4752" t="inlineStr">
        <is>
          <t>1.350</t>
        </is>
      </c>
      <c r="N4752" t="inlineStr">
        <is>
          <t>Modalidade: 0 - Por conta do remetente | Parte: PAZ COMERCIO E SERVICO LTDA (20.509.544/0001-90)</t>
        </is>
      </c>
      <c r="O4752" s="29" t="n">
        <v>0</v>
      </c>
      <c r="P4752" s="29" t="n">
        <v>0</v>
      </c>
      <c r="Q4752" s="29" t="n">
        <v>0</v>
      </c>
      <c r="R4752" s="29" t="n">
        <v>0</v>
      </c>
      <c r="S4752" s="29" t="n">
        <v>0</v>
      </c>
      <c r="T4752" t="inlineStr">
        <is>
          <t>25250326975620000130570010000039161000000001</t>
        </is>
      </c>
      <c r="U4752" t="inlineStr">
        <is>
          <t>Não</t>
        </is>
      </c>
    </row>
    <row r="4753">
      <c r="A4753" t="inlineStr">
        <is>
          <t>Frete de venda</t>
        </is>
      </c>
      <c r="B4753" t="inlineStr">
        <is>
          <t>2.04.87 Frete sobre Compra</t>
        </is>
      </c>
      <c r="C4753" t="inlineStr">
        <is>
          <t>Antes de 2026</t>
        </is>
      </c>
      <c r="D4753" t="inlineStr">
        <is>
          <t>Antes de 2026</t>
        </is>
      </c>
      <c r="E4753" s="28" t="n">
        <v>45741</v>
      </c>
      <c r="F4753" t="inlineStr">
        <is>
          <t>CT-e</t>
        </is>
      </c>
      <c r="G4753" t="inlineStr">
        <is>
          <t>000003917</t>
        </is>
      </c>
      <c r="H4753" t="inlineStr">
        <is>
          <t>R&amp;R TRANSPORTE E LOGISTICA</t>
        </is>
      </c>
      <c r="J4753" s="29" t="n">
        <v>63.14</v>
      </c>
      <c r="K4753" s="29">
        <f>(1-ISNUMBER(SEARCH("556",M4753)))*(O4753*SUMIFS(Premissas!$C$5:$C$44,Premissas!$A$5:$A$44,$A4753,Premissas!$B$5:$B$44,$B4753)+P4753*SUMIFS(Premissas!$D$5:$D$44,Premissas!$A$5:$A$44,$A4753,Premissas!$B$5:$B$44,$B4753))+R4753*SUMIFS(Premissas!$E$5:$E$44,Premissas!$A$5:$A$44,$A4753,Premissas!$B$5:$B$44,$B4753)+S4753*SUMIFS(Premissas!$F$5:$F$44,Premissas!$A$5:$A$44,$A4753,Premissas!$B$5:$B$44,$B4753)</f>
        <v/>
      </c>
      <c r="L4753" s="29">
        <f>J4753-K4753</f>
        <v/>
      </c>
      <c r="M4753" t="inlineStr">
        <is>
          <t>1.350</t>
        </is>
      </c>
      <c r="N4753" t="inlineStr">
        <is>
          <t>Modalidade: 0 - Por conta do remetente | Parte: KORTSUL COMERCIO DE PLASTICOS LTDA (37.088.720/0001-60)</t>
        </is>
      </c>
      <c r="O4753" s="29" t="n">
        <v>0</v>
      </c>
      <c r="P4753" s="29" t="n">
        <v>0</v>
      </c>
      <c r="Q4753" s="29" t="n">
        <v>0</v>
      </c>
      <c r="R4753" s="29" t="n">
        <v>0</v>
      </c>
      <c r="S4753" s="29" t="n">
        <v>0</v>
      </c>
      <c r="T4753" t="inlineStr">
        <is>
          <t>25250326975620000130570010000039171000000009</t>
        </is>
      </c>
      <c r="U4753" t="inlineStr">
        <is>
          <t>Não</t>
        </is>
      </c>
    </row>
    <row r="4754">
      <c r="A4754" t="inlineStr">
        <is>
          <t>Frete de venda</t>
        </is>
      </c>
      <c r="B4754" t="inlineStr">
        <is>
          <t>2.04.87 Frete sobre Compra</t>
        </is>
      </c>
      <c r="C4754" t="inlineStr">
        <is>
          <t>Antes de 2026</t>
        </is>
      </c>
      <c r="D4754" t="inlineStr">
        <is>
          <t>Antes de 2026</t>
        </is>
      </c>
      <c r="E4754" s="28" t="n">
        <v>45741</v>
      </c>
      <c r="F4754" t="inlineStr">
        <is>
          <t>CT-e</t>
        </is>
      </c>
      <c r="G4754" t="inlineStr">
        <is>
          <t>000003918</t>
        </is>
      </c>
      <c r="H4754" t="inlineStr">
        <is>
          <t>R&amp;R TRANSPORTE E LOGISTICA</t>
        </is>
      </c>
      <c r="J4754" s="29" t="n">
        <v>57.88</v>
      </c>
      <c r="K4754" s="29">
        <f>(1-ISNUMBER(SEARCH("556",M4754)))*(O4754*SUMIFS(Premissas!$C$5:$C$44,Premissas!$A$5:$A$44,$A4754,Premissas!$B$5:$B$44,$B4754)+P4754*SUMIFS(Premissas!$D$5:$D$44,Premissas!$A$5:$A$44,$A4754,Premissas!$B$5:$B$44,$B4754))+R4754*SUMIFS(Premissas!$E$5:$E$44,Premissas!$A$5:$A$44,$A4754,Premissas!$B$5:$B$44,$B4754)+S4754*SUMIFS(Premissas!$F$5:$F$44,Premissas!$A$5:$A$44,$A4754,Premissas!$B$5:$B$44,$B4754)</f>
        <v/>
      </c>
      <c r="L4754" s="29">
        <f>J4754-K4754</f>
        <v/>
      </c>
      <c r="M4754" t="inlineStr">
        <is>
          <t>1.350</t>
        </is>
      </c>
      <c r="N4754" t="inlineStr">
        <is>
          <t>Modalidade: 0 - Por conta do remetente | Parte: ROSA SUL EMBALAGENS LTDA (49.362.935/0001-07)</t>
        </is>
      </c>
      <c r="O4754" s="29" t="n">
        <v>0</v>
      </c>
      <c r="P4754" s="29" t="n">
        <v>0</v>
      </c>
      <c r="Q4754" s="29" t="n">
        <v>0</v>
      </c>
      <c r="R4754" s="29" t="n">
        <v>0</v>
      </c>
      <c r="S4754" s="29" t="n">
        <v>0</v>
      </c>
      <c r="T4754" t="inlineStr">
        <is>
          <t>25250326975620000130570010000039181000000006</t>
        </is>
      </c>
      <c r="U4754" t="inlineStr">
        <is>
          <t>Não</t>
        </is>
      </c>
    </row>
    <row r="4755">
      <c r="A4755" t="inlineStr">
        <is>
          <t>Frete de venda</t>
        </is>
      </c>
      <c r="B4755" t="inlineStr">
        <is>
          <t>2.04.87 Frete sobre Compra</t>
        </is>
      </c>
      <c r="C4755" t="inlineStr">
        <is>
          <t>Antes de 2026</t>
        </is>
      </c>
      <c r="D4755" t="inlineStr">
        <is>
          <t>Antes de 2026</t>
        </is>
      </c>
      <c r="E4755" s="28" t="n">
        <v>45743</v>
      </c>
      <c r="F4755" t="inlineStr">
        <is>
          <t>CT-e</t>
        </is>
      </c>
      <c r="G4755" t="inlineStr">
        <is>
          <t>000003923</t>
        </is>
      </c>
      <c r="H4755" t="inlineStr">
        <is>
          <t>R&amp;R TRANSPORTE E LOGISTICA</t>
        </is>
      </c>
      <c r="J4755" s="29" t="n">
        <v>36.96</v>
      </c>
      <c r="K4755" s="29">
        <f>(1-ISNUMBER(SEARCH("556",M4755)))*(O4755*SUMIFS(Premissas!$C$5:$C$44,Premissas!$A$5:$A$44,$A4755,Premissas!$B$5:$B$44,$B4755)+P4755*SUMIFS(Premissas!$D$5:$D$44,Premissas!$A$5:$A$44,$A4755,Premissas!$B$5:$B$44,$B4755))+R4755*SUMIFS(Premissas!$E$5:$E$44,Premissas!$A$5:$A$44,$A4755,Premissas!$B$5:$B$44,$B4755)+S4755*SUMIFS(Premissas!$F$5:$F$44,Premissas!$A$5:$A$44,$A4755,Premissas!$B$5:$B$44,$B4755)</f>
        <v/>
      </c>
      <c r="L4755" s="29">
        <f>J4755-K4755</f>
        <v/>
      </c>
      <c r="M4755" t="inlineStr">
        <is>
          <t>1.350</t>
        </is>
      </c>
      <c r="N4755" t="inlineStr">
        <is>
          <t>Modalidade: 0 - Por conta do remetente | Parte: EMBALATUDO EMBALAGENS LTDA (04.123.070/0001-98)</t>
        </is>
      </c>
      <c r="O4755" s="29" t="n">
        <v>0</v>
      </c>
      <c r="P4755" s="29" t="n">
        <v>0</v>
      </c>
      <c r="Q4755" s="29" t="n">
        <v>0</v>
      </c>
      <c r="R4755" s="29" t="n">
        <v>0</v>
      </c>
      <c r="S4755" s="29" t="n">
        <v>0</v>
      </c>
      <c r="T4755" t="inlineStr">
        <is>
          <t>25250326975620000130570010000039231000000006</t>
        </is>
      </c>
      <c r="U4755" t="inlineStr">
        <is>
          <t>Não</t>
        </is>
      </c>
    </row>
    <row r="4756">
      <c r="A4756" t="inlineStr">
        <is>
          <t>Frete de venda</t>
        </is>
      </c>
      <c r="B4756" t="inlineStr">
        <is>
          <t>2.04.87 Frete sobre Compra</t>
        </is>
      </c>
      <c r="C4756" t="inlineStr">
        <is>
          <t>Antes de 2026</t>
        </is>
      </c>
      <c r="D4756" t="inlineStr">
        <is>
          <t>Antes de 2026</t>
        </is>
      </c>
      <c r="E4756" s="28" t="n">
        <v>45743</v>
      </c>
      <c r="F4756" t="inlineStr">
        <is>
          <t>CT-e</t>
        </is>
      </c>
      <c r="G4756" t="inlineStr">
        <is>
          <t>000003924</t>
        </is>
      </c>
      <c r="H4756" t="inlineStr">
        <is>
          <t>R&amp;R TRANSPORTE E LOGISTICA</t>
        </is>
      </c>
      <c r="J4756" s="29" t="n">
        <v>91.48</v>
      </c>
      <c r="K4756" s="29">
        <f>(1-ISNUMBER(SEARCH("556",M4756)))*(O4756*SUMIFS(Premissas!$C$5:$C$44,Premissas!$A$5:$A$44,$A4756,Premissas!$B$5:$B$44,$B4756)+P4756*SUMIFS(Premissas!$D$5:$D$44,Premissas!$A$5:$A$44,$A4756,Premissas!$B$5:$B$44,$B4756))+R4756*SUMIFS(Premissas!$E$5:$E$44,Premissas!$A$5:$A$44,$A4756,Premissas!$B$5:$B$44,$B4756)+S4756*SUMIFS(Premissas!$F$5:$F$44,Premissas!$A$5:$A$44,$A4756,Premissas!$B$5:$B$44,$B4756)</f>
        <v/>
      </c>
      <c r="L4756" s="29">
        <f>J4756-K4756</f>
        <v/>
      </c>
      <c r="M4756" t="inlineStr">
        <is>
          <t>1.350</t>
        </is>
      </c>
      <c r="N4756" t="inlineStr">
        <is>
          <t>Modalidade: 0 - Por conta do remetente | Parte: CASA PACK DISTRIBUICAO DE EMBALAGENS LTDA (43.564.720/0001-92)</t>
        </is>
      </c>
      <c r="O4756" s="29" t="n">
        <v>0</v>
      </c>
      <c r="P4756" s="29" t="n">
        <v>0</v>
      </c>
      <c r="Q4756" s="29" t="n">
        <v>0</v>
      </c>
      <c r="R4756" s="29" t="n">
        <v>0</v>
      </c>
      <c r="S4756" s="29" t="n">
        <v>0</v>
      </c>
      <c r="T4756" t="inlineStr">
        <is>
          <t>25250326975620000130570010000039241000000003</t>
        </is>
      </c>
      <c r="U4756" t="inlineStr">
        <is>
          <t>Não</t>
        </is>
      </c>
    </row>
    <row r="4757">
      <c r="A4757" t="inlineStr">
        <is>
          <t>Frete de venda</t>
        </is>
      </c>
      <c r="B4757" t="inlineStr">
        <is>
          <t>2.04.87 Frete sobre Compra</t>
        </is>
      </c>
      <c r="C4757" t="inlineStr">
        <is>
          <t>Antes de 2026</t>
        </is>
      </c>
      <c r="D4757" t="inlineStr">
        <is>
          <t>Antes de 2026</t>
        </is>
      </c>
      <c r="E4757" s="28" t="n">
        <v>45743</v>
      </c>
      <c r="F4757" t="inlineStr">
        <is>
          <t>CT-e</t>
        </is>
      </c>
      <c r="G4757" t="inlineStr">
        <is>
          <t>000003925</t>
        </is>
      </c>
      <c r="H4757" t="inlineStr">
        <is>
          <t>R&amp;R TRANSPORTE E LOGISTICA</t>
        </is>
      </c>
      <c r="J4757" s="29" t="n">
        <v>118.51</v>
      </c>
      <c r="K4757" s="29">
        <f>(1-ISNUMBER(SEARCH("556",M4757)))*(O4757*SUMIFS(Premissas!$C$5:$C$44,Premissas!$A$5:$A$44,$A4757,Premissas!$B$5:$B$44,$B4757)+P4757*SUMIFS(Premissas!$D$5:$D$44,Premissas!$A$5:$A$44,$A4757,Premissas!$B$5:$B$44,$B4757))+R4757*SUMIFS(Premissas!$E$5:$E$44,Premissas!$A$5:$A$44,$A4757,Premissas!$B$5:$B$44,$B4757)+S4757*SUMIFS(Premissas!$F$5:$F$44,Premissas!$A$5:$A$44,$A4757,Premissas!$B$5:$B$44,$B4757)</f>
        <v/>
      </c>
      <c r="L4757" s="29">
        <f>J4757-K4757</f>
        <v/>
      </c>
      <c r="M4757" t="inlineStr">
        <is>
          <t>1.350</t>
        </is>
      </c>
      <c r="N4757" t="inlineStr">
        <is>
          <t>Modalidade: 0 - Por conta do remetente | Parte: EMBALE DISTRIBUIDORA LTDA (33.193.258/0001-00)</t>
        </is>
      </c>
      <c r="O4757" s="29" t="n">
        <v>0</v>
      </c>
      <c r="P4757" s="29" t="n">
        <v>0</v>
      </c>
      <c r="Q4757" s="29" t="n">
        <v>0</v>
      </c>
      <c r="R4757" s="29" t="n">
        <v>0</v>
      </c>
      <c r="S4757" s="29" t="n">
        <v>0</v>
      </c>
      <c r="T4757" t="inlineStr">
        <is>
          <t>25250326975620000130570010000039251000000000</t>
        </is>
      </c>
      <c r="U4757" t="inlineStr">
        <is>
          <t>Não</t>
        </is>
      </c>
    </row>
    <row r="4758">
      <c r="A4758" t="inlineStr">
        <is>
          <t>Frete de venda</t>
        </is>
      </c>
      <c r="B4758" t="inlineStr">
        <is>
          <t>2.04.87 Frete sobre Compra</t>
        </is>
      </c>
      <c r="C4758" t="inlineStr">
        <is>
          <t>Antes de 2026</t>
        </is>
      </c>
      <c r="D4758" t="inlineStr">
        <is>
          <t>Antes de 2026</t>
        </is>
      </c>
      <c r="E4758" s="28" t="n">
        <v>45743</v>
      </c>
      <c r="F4758" t="inlineStr">
        <is>
          <t>CT-e</t>
        </is>
      </c>
      <c r="G4758" t="inlineStr">
        <is>
          <t>000003926</t>
        </is>
      </c>
      <c r="H4758" t="inlineStr">
        <is>
          <t>R&amp;R TRANSPORTE E LOGISTICA</t>
        </is>
      </c>
      <c r="J4758" s="29" t="n">
        <v>41.61</v>
      </c>
      <c r="K4758" s="29">
        <f>(1-ISNUMBER(SEARCH("556",M4758)))*(O4758*SUMIFS(Premissas!$C$5:$C$44,Premissas!$A$5:$A$44,$A4758,Premissas!$B$5:$B$44,$B4758)+P4758*SUMIFS(Premissas!$D$5:$D$44,Premissas!$A$5:$A$44,$A4758,Premissas!$B$5:$B$44,$B4758))+R4758*SUMIFS(Premissas!$E$5:$E$44,Premissas!$A$5:$A$44,$A4758,Premissas!$B$5:$B$44,$B4758)+S4758*SUMIFS(Premissas!$F$5:$F$44,Premissas!$A$5:$A$44,$A4758,Premissas!$B$5:$B$44,$B4758)</f>
        <v/>
      </c>
      <c r="L4758" s="29">
        <f>J4758-K4758</f>
        <v/>
      </c>
      <c r="M4758" t="inlineStr">
        <is>
          <t>1.350</t>
        </is>
      </c>
      <c r="N4758" t="inlineStr">
        <is>
          <t>Modalidade: 0 - Por conta do remetente | Parte: RODRIGUES E CIA LTDA (26.144.570/0001-49)</t>
        </is>
      </c>
      <c r="O4758" s="29" t="n">
        <v>0</v>
      </c>
      <c r="P4758" s="29" t="n">
        <v>0</v>
      </c>
      <c r="Q4758" s="29" t="n">
        <v>0</v>
      </c>
      <c r="R4758" s="29" t="n">
        <v>0</v>
      </c>
      <c r="S4758" s="29" t="n">
        <v>0</v>
      </c>
      <c r="T4758" t="inlineStr">
        <is>
          <t>25250326975620000130570010000039261000000008</t>
        </is>
      </c>
      <c r="U4758" t="inlineStr">
        <is>
          <t>Não</t>
        </is>
      </c>
    </row>
    <row r="4759">
      <c r="A4759" t="inlineStr">
        <is>
          <t>Frete de venda</t>
        </is>
      </c>
      <c r="B4759" t="inlineStr">
        <is>
          <t>2.04.87 Frete sobre Compra</t>
        </is>
      </c>
      <c r="C4759" t="inlineStr">
        <is>
          <t>Antes de 2026</t>
        </is>
      </c>
      <c r="D4759" t="inlineStr">
        <is>
          <t>Antes de 2026</t>
        </is>
      </c>
      <c r="E4759" s="28" t="n">
        <v>45743</v>
      </c>
      <c r="F4759" t="inlineStr">
        <is>
          <t>CT-e</t>
        </is>
      </c>
      <c r="G4759" t="inlineStr">
        <is>
          <t>000003927</t>
        </is>
      </c>
      <c r="H4759" t="inlineStr">
        <is>
          <t>R&amp;R TRANSPORTE E LOGISTICA</t>
        </is>
      </c>
      <c r="J4759" s="29" t="n">
        <v>42.93</v>
      </c>
      <c r="K4759" s="29">
        <f>(1-ISNUMBER(SEARCH("556",M4759)))*(O4759*SUMIFS(Premissas!$C$5:$C$44,Premissas!$A$5:$A$44,$A4759,Premissas!$B$5:$B$44,$B4759)+P4759*SUMIFS(Premissas!$D$5:$D$44,Premissas!$A$5:$A$44,$A4759,Premissas!$B$5:$B$44,$B4759))+R4759*SUMIFS(Premissas!$E$5:$E$44,Premissas!$A$5:$A$44,$A4759,Premissas!$B$5:$B$44,$B4759)+S4759*SUMIFS(Premissas!$F$5:$F$44,Premissas!$A$5:$A$44,$A4759,Premissas!$B$5:$B$44,$B4759)</f>
        <v/>
      </c>
      <c r="L4759" s="29">
        <f>J4759-K4759</f>
        <v/>
      </c>
      <c r="M4759" t="inlineStr">
        <is>
          <t>1.350</t>
        </is>
      </c>
      <c r="N4759" t="inlineStr">
        <is>
          <t>Modalidade: 0 - Por conta do remetente | Parte: FEDERAL COMERCIO DE EMBALAGENS LTDA (24.014.377/0001-68)</t>
        </is>
      </c>
      <c r="O4759" s="29" t="n">
        <v>0</v>
      </c>
      <c r="P4759" s="29" t="n">
        <v>0</v>
      </c>
      <c r="Q4759" s="29" t="n">
        <v>0</v>
      </c>
      <c r="R4759" s="29" t="n">
        <v>0</v>
      </c>
      <c r="S4759" s="29" t="n">
        <v>0</v>
      </c>
      <c r="T4759" t="inlineStr">
        <is>
          <t>25250326975620000130570010000039271000000005</t>
        </is>
      </c>
      <c r="U4759" t="inlineStr">
        <is>
          <t>Não</t>
        </is>
      </c>
    </row>
    <row r="4760">
      <c r="A4760" t="inlineStr">
        <is>
          <t>Frete de venda</t>
        </is>
      </c>
      <c r="B4760" t="inlineStr">
        <is>
          <t>2.04.87 Frete sobre Compra</t>
        </is>
      </c>
      <c r="C4760" t="inlineStr">
        <is>
          <t>Antes de 2026</t>
        </is>
      </c>
      <c r="D4760" t="inlineStr">
        <is>
          <t>Antes de 2026</t>
        </is>
      </c>
      <c r="E4760" s="28" t="n">
        <v>45743</v>
      </c>
      <c r="F4760" t="inlineStr">
        <is>
          <t>CT-e</t>
        </is>
      </c>
      <c r="G4760" t="inlineStr">
        <is>
          <t>000003928</t>
        </is>
      </c>
      <c r="H4760" t="inlineStr">
        <is>
          <t>R&amp;R TRANSPORTE E LOGISTICA</t>
        </is>
      </c>
      <c r="J4760" s="29" t="n">
        <v>46.26</v>
      </c>
      <c r="K4760" s="29">
        <f>(1-ISNUMBER(SEARCH("556",M4760)))*(O4760*SUMIFS(Premissas!$C$5:$C$44,Premissas!$A$5:$A$44,$A4760,Premissas!$B$5:$B$44,$B4760)+P4760*SUMIFS(Premissas!$D$5:$D$44,Premissas!$A$5:$A$44,$A4760,Premissas!$B$5:$B$44,$B4760))+R4760*SUMIFS(Premissas!$E$5:$E$44,Premissas!$A$5:$A$44,$A4760,Premissas!$B$5:$B$44,$B4760)+S4760*SUMIFS(Premissas!$F$5:$F$44,Premissas!$A$5:$A$44,$A4760,Premissas!$B$5:$B$44,$B4760)</f>
        <v/>
      </c>
      <c r="L4760" s="29">
        <f>J4760-K4760</f>
        <v/>
      </c>
      <c r="M4760" t="inlineStr">
        <is>
          <t>1.350</t>
        </is>
      </c>
      <c r="N4760" t="inlineStr">
        <is>
          <t>Modalidade: 0 - Por conta do remetente | Parte: RM FRIOS (39.405.968/0001-33)</t>
        </is>
      </c>
      <c r="O4760" s="29" t="n">
        <v>0</v>
      </c>
      <c r="P4760" s="29" t="n">
        <v>0</v>
      </c>
      <c r="Q4760" s="29" t="n">
        <v>0</v>
      </c>
      <c r="R4760" s="29" t="n">
        <v>0</v>
      </c>
      <c r="S4760" s="29" t="n">
        <v>0</v>
      </c>
      <c r="T4760" t="inlineStr">
        <is>
          <t>25250326975620000130570010000039281000000002</t>
        </is>
      </c>
      <c r="U4760" t="inlineStr">
        <is>
          <t>Não</t>
        </is>
      </c>
    </row>
    <row r="4761">
      <c r="A4761" t="inlineStr">
        <is>
          <t>Frete de venda</t>
        </is>
      </c>
      <c r="B4761" t="inlineStr">
        <is>
          <t>2.04.87 Frete sobre Compra</t>
        </is>
      </c>
      <c r="C4761" t="inlineStr">
        <is>
          <t>Antes de 2026</t>
        </is>
      </c>
      <c r="D4761" t="inlineStr">
        <is>
          <t>Antes de 2026</t>
        </is>
      </c>
      <c r="E4761" s="28" t="n">
        <v>45743</v>
      </c>
      <c r="F4761" t="inlineStr">
        <is>
          <t>CT-e</t>
        </is>
      </c>
      <c r="G4761" t="inlineStr">
        <is>
          <t>000003930</t>
        </is>
      </c>
      <c r="H4761" t="inlineStr">
        <is>
          <t>R&amp;R TRANSPORTE E LOGISTICA</t>
        </is>
      </c>
      <c r="J4761" s="29" t="n">
        <v>700</v>
      </c>
      <c r="K4761" s="29">
        <f>(1-ISNUMBER(SEARCH("556",M4761)))*(O4761*SUMIFS(Premissas!$C$5:$C$44,Premissas!$A$5:$A$44,$A4761,Premissas!$B$5:$B$44,$B4761)+P4761*SUMIFS(Premissas!$D$5:$D$44,Premissas!$A$5:$A$44,$A4761,Premissas!$B$5:$B$44,$B4761))+R4761*SUMIFS(Premissas!$E$5:$E$44,Premissas!$A$5:$A$44,$A4761,Premissas!$B$5:$B$44,$B4761)+S4761*SUMIFS(Premissas!$F$5:$F$44,Premissas!$A$5:$A$44,$A4761,Premissas!$B$5:$B$44,$B4761)</f>
        <v/>
      </c>
      <c r="L4761" s="29">
        <f>J4761-K4761</f>
        <v/>
      </c>
      <c r="M4761" t="inlineStr">
        <is>
          <t>1.350</t>
        </is>
      </c>
      <c r="N4761" t="inlineStr">
        <is>
          <t>Modalidade: 0 - Por conta do remetente | Parte: VILMA GOMES FREITAS DE OLIVEIRA LTDA (08.035.528/0001-08)</t>
        </is>
      </c>
      <c r="O4761" s="29" t="n">
        <v>0</v>
      </c>
      <c r="P4761" s="29" t="n">
        <v>0</v>
      </c>
      <c r="Q4761" s="29" t="n">
        <v>0</v>
      </c>
      <c r="R4761" s="29" t="n">
        <v>0</v>
      </c>
      <c r="S4761" s="29" t="n">
        <v>0</v>
      </c>
      <c r="T4761" t="inlineStr">
        <is>
          <t>25250326975620000130570010000039301000000000</t>
        </is>
      </c>
      <c r="U4761" t="inlineStr">
        <is>
          <t>Não</t>
        </is>
      </c>
    </row>
    <row r="4762">
      <c r="A4762" t="inlineStr">
        <is>
          <t>Frete de venda</t>
        </is>
      </c>
      <c r="B4762" t="inlineStr">
        <is>
          <t>2.04.87 Frete sobre Compra</t>
        </is>
      </c>
      <c r="C4762" t="inlineStr">
        <is>
          <t>Antes de 2026</t>
        </is>
      </c>
      <c r="D4762" t="inlineStr">
        <is>
          <t>Antes de 2026</t>
        </is>
      </c>
      <c r="E4762" s="28" t="n">
        <v>45743</v>
      </c>
      <c r="F4762" t="inlineStr">
        <is>
          <t>CT-e</t>
        </is>
      </c>
      <c r="G4762" t="inlineStr">
        <is>
          <t>000003931</t>
        </is>
      </c>
      <c r="H4762" t="inlineStr">
        <is>
          <t>R&amp;R TRANSPORTE E LOGISTICA</t>
        </is>
      </c>
      <c r="J4762" s="29" t="n">
        <v>700</v>
      </c>
      <c r="K4762" s="29">
        <f>(1-ISNUMBER(SEARCH("556",M4762)))*(O4762*SUMIFS(Premissas!$C$5:$C$44,Premissas!$A$5:$A$44,$A4762,Premissas!$B$5:$B$44,$B4762)+P4762*SUMIFS(Premissas!$D$5:$D$44,Premissas!$A$5:$A$44,$A4762,Premissas!$B$5:$B$44,$B4762))+R4762*SUMIFS(Premissas!$E$5:$E$44,Premissas!$A$5:$A$44,$A4762,Premissas!$B$5:$B$44,$B4762)+S4762*SUMIFS(Premissas!$F$5:$F$44,Premissas!$A$5:$A$44,$A4762,Premissas!$B$5:$B$44,$B4762)</f>
        <v/>
      </c>
      <c r="L4762" s="29">
        <f>J4762-K4762</f>
        <v/>
      </c>
      <c r="M4762" t="inlineStr">
        <is>
          <t>1.350</t>
        </is>
      </c>
      <c r="N4762" t="inlineStr">
        <is>
          <t>Modalidade: 0 - Por conta do remetente | Parte: C M OLIVEIRA ATACADO (41.098.526/0001-33)</t>
        </is>
      </c>
      <c r="O4762" s="29" t="n">
        <v>0</v>
      </c>
      <c r="P4762" s="29" t="n">
        <v>0</v>
      </c>
      <c r="Q4762" s="29" t="n">
        <v>0</v>
      </c>
      <c r="R4762" s="29" t="n">
        <v>0</v>
      </c>
      <c r="S4762" s="29" t="n">
        <v>0</v>
      </c>
      <c r="T4762" t="inlineStr">
        <is>
          <t>25250326975620000130570010000039311000000008</t>
        </is>
      </c>
      <c r="U4762" t="inlineStr">
        <is>
          <t>Não</t>
        </is>
      </c>
    </row>
    <row r="4763">
      <c r="A4763" t="inlineStr">
        <is>
          <t>Frete de venda</t>
        </is>
      </c>
      <c r="B4763" t="inlineStr">
        <is>
          <t>2.04.87 Frete sobre Compra</t>
        </is>
      </c>
      <c r="C4763" t="inlineStr">
        <is>
          <t>Antes de 2026</t>
        </is>
      </c>
      <c r="D4763" t="inlineStr">
        <is>
          <t>Antes de 2026</t>
        </is>
      </c>
      <c r="E4763" s="28" t="n">
        <v>45743</v>
      </c>
      <c r="F4763" t="inlineStr">
        <is>
          <t>CT-e</t>
        </is>
      </c>
      <c r="G4763" t="inlineStr">
        <is>
          <t>000003935</t>
        </is>
      </c>
      <c r="H4763" t="inlineStr">
        <is>
          <t>R&amp;R TRANSPORTE E LOGISTICA</t>
        </is>
      </c>
      <c r="J4763" s="29" t="n">
        <v>52.9</v>
      </c>
      <c r="K4763" s="29">
        <f>(1-ISNUMBER(SEARCH("556",M4763)))*(O4763*SUMIFS(Premissas!$C$5:$C$44,Premissas!$A$5:$A$44,$A4763,Premissas!$B$5:$B$44,$B4763)+P4763*SUMIFS(Premissas!$D$5:$D$44,Premissas!$A$5:$A$44,$A4763,Premissas!$B$5:$B$44,$B4763))+R4763*SUMIFS(Premissas!$E$5:$E$44,Premissas!$A$5:$A$44,$A4763,Premissas!$B$5:$B$44,$B4763)+S4763*SUMIFS(Premissas!$F$5:$F$44,Premissas!$A$5:$A$44,$A4763,Premissas!$B$5:$B$44,$B4763)</f>
        <v/>
      </c>
      <c r="L4763" s="29">
        <f>J4763-K4763</f>
        <v/>
      </c>
      <c r="M4763" t="inlineStr">
        <is>
          <t>1.350</t>
        </is>
      </c>
      <c r="N4763" t="inlineStr">
        <is>
          <t>Modalidade: 0 - Por conta do remetente | Parte: LUCIMAR CIPRIANO GOMES JUNIOR (59.528.742/0001-37)</t>
        </is>
      </c>
      <c r="O4763" s="29" t="n">
        <v>0</v>
      </c>
      <c r="P4763" s="29" t="n">
        <v>0</v>
      </c>
      <c r="Q4763" s="29" t="n">
        <v>0</v>
      </c>
      <c r="R4763" s="29" t="n">
        <v>0</v>
      </c>
      <c r="S4763" s="29" t="n">
        <v>0</v>
      </c>
      <c r="T4763" t="inlineStr">
        <is>
          <t>25250326975620000130570010000039351000000007</t>
        </is>
      </c>
      <c r="U4763" t="inlineStr">
        <is>
          <t>Não</t>
        </is>
      </c>
    </row>
    <row r="4764">
      <c r="A4764" t="inlineStr">
        <is>
          <t>Frete de venda</t>
        </is>
      </c>
      <c r="B4764" t="inlineStr">
        <is>
          <t>2.04.87 Frete sobre Compra</t>
        </is>
      </c>
      <c r="C4764" t="inlineStr">
        <is>
          <t>Antes de 2026</t>
        </is>
      </c>
      <c r="D4764" t="inlineStr">
        <is>
          <t>Antes de 2026</t>
        </is>
      </c>
      <c r="E4764" s="28" t="n">
        <v>45743</v>
      </c>
      <c r="F4764" t="inlineStr">
        <is>
          <t>CT-e</t>
        </is>
      </c>
      <c r="G4764" t="inlineStr">
        <is>
          <t>000003936</t>
        </is>
      </c>
      <c r="H4764" t="inlineStr">
        <is>
          <t>R&amp;R TRANSPORTE E LOGISTICA</t>
        </is>
      </c>
      <c r="J4764" s="29" t="n">
        <v>56.06</v>
      </c>
      <c r="K4764" s="29">
        <f>(1-ISNUMBER(SEARCH("556",M4764)))*(O4764*SUMIFS(Premissas!$C$5:$C$44,Premissas!$A$5:$A$44,$A4764,Premissas!$B$5:$B$44,$B4764)+P4764*SUMIFS(Premissas!$D$5:$D$44,Premissas!$A$5:$A$44,$A4764,Premissas!$B$5:$B$44,$B4764))+R4764*SUMIFS(Premissas!$E$5:$E$44,Premissas!$A$5:$A$44,$A4764,Premissas!$B$5:$B$44,$B4764)+S4764*SUMIFS(Premissas!$F$5:$F$44,Premissas!$A$5:$A$44,$A4764,Premissas!$B$5:$B$44,$B4764)</f>
        <v/>
      </c>
      <c r="L4764" s="29">
        <f>J4764-K4764</f>
        <v/>
      </c>
      <c r="M4764" t="inlineStr">
        <is>
          <t>1.350</t>
        </is>
      </c>
      <c r="N4764" t="inlineStr">
        <is>
          <t>Modalidade: 0 - Por conta do remetente | Parte: SAM EMBALAGENS ATACADO E VAREJO LTDA (48.944.969/0001-47)</t>
        </is>
      </c>
      <c r="O4764" s="29" t="n">
        <v>0</v>
      </c>
      <c r="P4764" s="29" t="n">
        <v>0</v>
      </c>
      <c r="Q4764" s="29" t="n">
        <v>0</v>
      </c>
      <c r="R4764" s="29" t="n">
        <v>0</v>
      </c>
      <c r="S4764" s="29" t="n">
        <v>0</v>
      </c>
      <c r="T4764" t="inlineStr">
        <is>
          <t>25250326975620000130570010000039361000000004</t>
        </is>
      </c>
      <c r="U4764" t="inlineStr">
        <is>
          <t>Não</t>
        </is>
      </c>
    </row>
    <row r="4765">
      <c r="A4765" t="inlineStr">
        <is>
          <t>Frete de venda</t>
        </is>
      </c>
      <c r="B4765" t="inlineStr">
        <is>
          <t>2.04.87 Frete sobre Compra</t>
        </is>
      </c>
      <c r="C4765" t="inlineStr">
        <is>
          <t>Antes de 2026</t>
        </is>
      </c>
      <c r="D4765" t="inlineStr">
        <is>
          <t>Antes de 2026</t>
        </is>
      </c>
      <c r="E4765" s="28" t="n">
        <v>45744</v>
      </c>
      <c r="F4765" t="inlineStr">
        <is>
          <t>CT-e</t>
        </is>
      </c>
      <c r="G4765" t="inlineStr">
        <is>
          <t>000003940</t>
        </is>
      </c>
      <c r="H4765" t="inlineStr">
        <is>
          <t>R&amp;R TRANSPORTE E LOGISTICA</t>
        </is>
      </c>
      <c r="J4765" s="29" t="n">
        <v>637.28</v>
      </c>
      <c r="K4765" s="29">
        <f>(1-ISNUMBER(SEARCH("556",M4765)))*(O4765*SUMIFS(Premissas!$C$5:$C$44,Premissas!$A$5:$A$44,$A4765,Premissas!$B$5:$B$44,$B4765)+P4765*SUMIFS(Premissas!$D$5:$D$44,Premissas!$A$5:$A$44,$A4765,Premissas!$B$5:$B$44,$B4765))+R4765*SUMIFS(Premissas!$E$5:$E$44,Premissas!$A$5:$A$44,$A4765,Premissas!$B$5:$B$44,$B4765)+S4765*SUMIFS(Premissas!$F$5:$F$44,Premissas!$A$5:$A$44,$A4765,Premissas!$B$5:$B$44,$B4765)</f>
        <v/>
      </c>
      <c r="L4765" s="29">
        <f>J4765-K4765</f>
        <v/>
      </c>
      <c r="M4765" t="inlineStr">
        <is>
          <t>1.350</t>
        </is>
      </c>
      <c r="N4765" t="inlineStr">
        <is>
          <t>Modalidade: 0 - Por conta do remetente | Parte: DISTRIPACK DISTRIBUIDORA DE EMBALAGENS LTDA (11.043.375/0002-36)</t>
        </is>
      </c>
      <c r="O4765" s="29" t="n">
        <v>0</v>
      </c>
      <c r="P4765" s="29" t="n">
        <v>0</v>
      </c>
      <c r="Q4765" s="29" t="n">
        <v>0</v>
      </c>
      <c r="R4765" s="29" t="n">
        <v>0</v>
      </c>
      <c r="S4765" s="29" t="n">
        <v>0</v>
      </c>
      <c r="T4765" t="inlineStr">
        <is>
          <t>25250326975620000130570010000039401000000007</t>
        </is>
      </c>
      <c r="U4765" t="inlineStr">
        <is>
          <t>Não</t>
        </is>
      </c>
    </row>
    <row r="4766">
      <c r="A4766" t="inlineStr">
        <is>
          <t>Frete de venda</t>
        </is>
      </c>
      <c r="B4766" t="inlineStr">
        <is>
          <t>2.04.87 Frete sobre Compra</t>
        </is>
      </c>
      <c r="C4766" t="inlineStr">
        <is>
          <t>Antes de 2026</t>
        </is>
      </c>
      <c r="D4766" t="inlineStr">
        <is>
          <t>Antes de 2026</t>
        </is>
      </c>
      <c r="E4766" s="28" t="n">
        <v>45745</v>
      </c>
      <c r="F4766" t="inlineStr">
        <is>
          <t>CT-e</t>
        </is>
      </c>
      <c r="G4766" t="inlineStr">
        <is>
          <t>000003944</t>
        </is>
      </c>
      <c r="H4766" t="inlineStr">
        <is>
          <t>R&amp;R TRANSPORTE E LOGISTICA</t>
        </is>
      </c>
      <c r="J4766" s="29" t="n">
        <v>20</v>
      </c>
      <c r="K4766" s="29">
        <f>(1-ISNUMBER(SEARCH("556",M4766)))*(O4766*SUMIFS(Premissas!$C$5:$C$44,Premissas!$A$5:$A$44,$A4766,Premissas!$B$5:$B$44,$B4766)+P4766*SUMIFS(Premissas!$D$5:$D$44,Premissas!$A$5:$A$44,$A4766,Premissas!$B$5:$B$44,$B4766))+R4766*SUMIFS(Premissas!$E$5:$E$44,Premissas!$A$5:$A$44,$A4766,Premissas!$B$5:$B$44,$B4766)+S4766*SUMIFS(Premissas!$F$5:$F$44,Premissas!$A$5:$A$44,$A4766,Premissas!$B$5:$B$44,$B4766)</f>
        <v/>
      </c>
      <c r="L4766" s="29">
        <f>J4766-K4766</f>
        <v/>
      </c>
      <c r="M4766" t="inlineStr">
        <is>
          <t>1.350</t>
        </is>
      </c>
      <c r="N4766" t="inlineStr">
        <is>
          <t>Modalidade: 0 - Por conta do remetente | Parte: EDIVALDO BATISTA DOS SANTOS EMBALAGENS LTDA (03.624.188/0001-37)</t>
        </is>
      </c>
      <c r="O4766" s="29" t="n">
        <v>0</v>
      </c>
      <c r="P4766" s="29" t="n">
        <v>0</v>
      </c>
      <c r="Q4766" s="29" t="n">
        <v>0</v>
      </c>
      <c r="R4766" s="29" t="n">
        <v>0</v>
      </c>
      <c r="S4766" s="29" t="n">
        <v>0</v>
      </c>
      <c r="T4766" t="inlineStr">
        <is>
          <t>25250326975620000130570010000039441000000006</t>
        </is>
      </c>
      <c r="U4766" t="inlineStr">
        <is>
          <t>Não</t>
        </is>
      </c>
    </row>
    <row r="4767">
      <c r="A4767" t="inlineStr">
        <is>
          <t>Frete de venda</t>
        </is>
      </c>
      <c r="B4767" t="inlineStr">
        <is>
          <t>2.04.87 Frete sobre Compra</t>
        </is>
      </c>
      <c r="C4767" t="inlineStr">
        <is>
          <t>Antes de 2026</t>
        </is>
      </c>
      <c r="D4767" t="inlineStr">
        <is>
          <t>Antes de 2026</t>
        </is>
      </c>
      <c r="E4767" s="28" t="n">
        <v>45745</v>
      </c>
      <c r="F4767" t="inlineStr">
        <is>
          <t>CT-e</t>
        </is>
      </c>
      <c r="G4767" t="inlineStr">
        <is>
          <t>000003945</t>
        </is>
      </c>
      <c r="H4767" t="inlineStr">
        <is>
          <t>R&amp;R TRANSPORTE E LOGISTICA</t>
        </is>
      </c>
      <c r="J4767" s="29" t="n">
        <v>20</v>
      </c>
      <c r="K4767" s="29">
        <f>(1-ISNUMBER(SEARCH("556",M4767)))*(O4767*SUMIFS(Premissas!$C$5:$C$44,Premissas!$A$5:$A$44,$A4767,Premissas!$B$5:$B$44,$B4767)+P4767*SUMIFS(Premissas!$D$5:$D$44,Premissas!$A$5:$A$44,$A4767,Premissas!$B$5:$B$44,$B4767))+R4767*SUMIFS(Premissas!$E$5:$E$44,Premissas!$A$5:$A$44,$A4767,Premissas!$B$5:$B$44,$B4767)+S4767*SUMIFS(Premissas!$F$5:$F$44,Premissas!$A$5:$A$44,$A4767,Premissas!$B$5:$B$44,$B4767)</f>
        <v/>
      </c>
      <c r="L4767" s="29">
        <f>J4767-K4767</f>
        <v/>
      </c>
      <c r="M4767" t="inlineStr">
        <is>
          <t>1.350</t>
        </is>
      </c>
      <c r="N4767" t="inlineStr">
        <is>
          <t>Modalidade: 0 - Por conta do remetente | Parte: LOSEL EMBALAGENS LTDA (00.156.227/0001-20)</t>
        </is>
      </c>
      <c r="O4767" s="29" t="n">
        <v>0</v>
      </c>
      <c r="P4767" s="29" t="n">
        <v>0</v>
      </c>
      <c r="Q4767" s="29" t="n">
        <v>0</v>
      </c>
      <c r="R4767" s="29" t="n">
        <v>0</v>
      </c>
      <c r="S4767" s="29" t="n">
        <v>0</v>
      </c>
      <c r="T4767" t="inlineStr">
        <is>
          <t>25250326975620000130570010000039451000000003</t>
        </is>
      </c>
      <c r="U4767" t="inlineStr">
        <is>
          <t>Não</t>
        </is>
      </c>
    </row>
    <row r="4768">
      <c r="A4768" t="inlineStr">
        <is>
          <t>Frete de venda</t>
        </is>
      </c>
      <c r="B4768" t="inlineStr">
        <is>
          <t>2.04.87 Frete sobre Compra</t>
        </is>
      </c>
      <c r="C4768" t="inlineStr">
        <is>
          <t>Antes de 2026</t>
        </is>
      </c>
      <c r="D4768" t="inlineStr">
        <is>
          <t>Antes de 2026</t>
        </is>
      </c>
      <c r="E4768" s="28" t="n">
        <v>45745</v>
      </c>
      <c r="F4768" t="inlineStr">
        <is>
          <t>CT-e</t>
        </is>
      </c>
      <c r="G4768" t="inlineStr">
        <is>
          <t>000003946</t>
        </is>
      </c>
      <c r="H4768" t="inlineStr">
        <is>
          <t>R&amp;R TRANSPORTE E LOGISTICA</t>
        </is>
      </c>
      <c r="J4768" s="29" t="n">
        <v>20</v>
      </c>
      <c r="K4768" s="29">
        <f>(1-ISNUMBER(SEARCH("556",M4768)))*(O4768*SUMIFS(Premissas!$C$5:$C$44,Premissas!$A$5:$A$44,$A4768,Premissas!$B$5:$B$44,$B4768)+P4768*SUMIFS(Premissas!$D$5:$D$44,Premissas!$A$5:$A$44,$A4768,Premissas!$B$5:$B$44,$B4768))+R4768*SUMIFS(Premissas!$E$5:$E$44,Premissas!$A$5:$A$44,$A4768,Premissas!$B$5:$B$44,$B4768)+S4768*SUMIFS(Premissas!$F$5:$F$44,Premissas!$A$5:$A$44,$A4768,Premissas!$B$5:$B$44,$B4768)</f>
        <v/>
      </c>
      <c r="L4768" s="29">
        <f>J4768-K4768</f>
        <v/>
      </c>
      <c r="M4768" t="inlineStr">
        <is>
          <t>1.350</t>
        </is>
      </c>
      <c r="N4768" t="inlineStr">
        <is>
          <t>Modalidade: 0 - Por conta do remetente | Parte: UNIAO EMBALAGENS COMERCIO REPRESENTACAO LTDA (02.698.151/0001-90)</t>
        </is>
      </c>
      <c r="O4768" s="29" t="n">
        <v>0</v>
      </c>
      <c r="P4768" s="29" t="n">
        <v>0</v>
      </c>
      <c r="Q4768" s="29" t="n">
        <v>0</v>
      </c>
      <c r="R4768" s="29" t="n">
        <v>0</v>
      </c>
      <c r="S4768" s="29" t="n">
        <v>0</v>
      </c>
      <c r="T4768" t="inlineStr">
        <is>
          <t>25250326975620000130570010000039461000000000</t>
        </is>
      </c>
      <c r="U4768" t="inlineStr">
        <is>
          <t>Não</t>
        </is>
      </c>
    </row>
    <row r="4769">
      <c r="A4769" t="inlineStr">
        <is>
          <t>Frete de venda</t>
        </is>
      </c>
      <c r="B4769" t="inlineStr">
        <is>
          <t>2.04.87 Frete sobre Compra</t>
        </is>
      </c>
      <c r="C4769" t="inlineStr">
        <is>
          <t>Antes de 2026</t>
        </is>
      </c>
      <c r="D4769" t="inlineStr">
        <is>
          <t>Antes de 2026</t>
        </is>
      </c>
      <c r="E4769" s="28" t="n">
        <v>45745</v>
      </c>
      <c r="F4769" t="inlineStr">
        <is>
          <t>CT-e</t>
        </is>
      </c>
      <c r="G4769" t="inlineStr">
        <is>
          <t>000003947</t>
        </is>
      </c>
      <c r="H4769" t="inlineStr">
        <is>
          <t>R&amp;R TRANSPORTE E LOGISTICA</t>
        </is>
      </c>
      <c r="J4769" s="29" t="n">
        <v>20</v>
      </c>
      <c r="K4769" s="29">
        <f>(1-ISNUMBER(SEARCH("556",M4769)))*(O4769*SUMIFS(Premissas!$C$5:$C$44,Premissas!$A$5:$A$44,$A4769,Premissas!$B$5:$B$44,$B4769)+P4769*SUMIFS(Premissas!$D$5:$D$44,Premissas!$A$5:$A$44,$A4769,Premissas!$B$5:$B$44,$B4769))+R4769*SUMIFS(Premissas!$E$5:$E$44,Premissas!$A$5:$A$44,$A4769,Premissas!$B$5:$B$44,$B4769)+S4769*SUMIFS(Premissas!$F$5:$F$44,Premissas!$A$5:$A$44,$A4769,Premissas!$B$5:$B$44,$B4769)</f>
        <v/>
      </c>
      <c r="L4769" s="29">
        <f>J4769-K4769</f>
        <v/>
      </c>
      <c r="M4769" t="inlineStr">
        <is>
          <t>1.350</t>
        </is>
      </c>
      <c r="N4769" t="inlineStr">
        <is>
          <t>Modalidade: 0 - Por conta do remetente | Parte: ALEPLAST COMERCIO DE PRODUTOS DESCARTAVEIS LTDA (09.358.384/0001-93)</t>
        </is>
      </c>
      <c r="O4769" s="29" t="n">
        <v>0</v>
      </c>
      <c r="P4769" s="29" t="n">
        <v>0</v>
      </c>
      <c r="Q4769" s="29" t="n">
        <v>0</v>
      </c>
      <c r="R4769" s="29" t="n">
        <v>0</v>
      </c>
      <c r="S4769" s="29" t="n">
        <v>0</v>
      </c>
      <c r="T4769" t="inlineStr">
        <is>
          <t>25250326975620000130570010000039471000000008</t>
        </is>
      </c>
      <c r="U4769" t="inlineStr">
        <is>
          <t>Não</t>
        </is>
      </c>
    </row>
    <row r="4770">
      <c r="A4770" t="inlineStr">
        <is>
          <t>Frete de venda</t>
        </is>
      </c>
      <c r="B4770" t="inlineStr">
        <is>
          <t>2.04.87 Frete sobre Compra</t>
        </is>
      </c>
      <c r="C4770" t="inlineStr">
        <is>
          <t>Antes de 2026</t>
        </is>
      </c>
      <c r="D4770" t="inlineStr">
        <is>
          <t>Antes de 2026</t>
        </is>
      </c>
      <c r="E4770" s="28" t="n">
        <v>45745</v>
      </c>
      <c r="F4770" t="inlineStr">
        <is>
          <t>CT-e</t>
        </is>
      </c>
      <c r="G4770" t="inlineStr">
        <is>
          <t>000003948</t>
        </is>
      </c>
      <c r="H4770" t="inlineStr">
        <is>
          <t>R&amp;R TRANSPORTE E LOGISTICA</t>
        </is>
      </c>
      <c r="J4770" s="29" t="n">
        <v>20</v>
      </c>
      <c r="K4770" s="29">
        <f>(1-ISNUMBER(SEARCH("556",M4770)))*(O4770*SUMIFS(Premissas!$C$5:$C$44,Premissas!$A$5:$A$44,$A4770,Premissas!$B$5:$B$44,$B4770)+P4770*SUMIFS(Premissas!$D$5:$D$44,Premissas!$A$5:$A$44,$A4770,Premissas!$B$5:$B$44,$B4770))+R4770*SUMIFS(Premissas!$E$5:$E$44,Premissas!$A$5:$A$44,$A4770,Premissas!$B$5:$B$44,$B4770)+S4770*SUMIFS(Premissas!$F$5:$F$44,Premissas!$A$5:$A$44,$A4770,Premissas!$B$5:$B$44,$B4770)</f>
        <v/>
      </c>
      <c r="L4770" s="29">
        <f>J4770-K4770</f>
        <v/>
      </c>
      <c r="M4770" t="inlineStr">
        <is>
          <t>1.350</t>
        </is>
      </c>
      <c r="N4770" t="inlineStr">
        <is>
          <t>Modalidade: 0 - Por conta do remetente | Parte: F. G. ANDRADE FRIOS (14.045.333/0001-41)</t>
        </is>
      </c>
      <c r="O4770" s="29" t="n">
        <v>0</v>
      </c>
      <c r="P4770" s="29" t="n">
        <v>0</v>
      </c>
      <c r="Q4770" s="29" t="n">
        <v>0</v>
      </c>
      <c r="R4770" s="29" t="n">
        <v>0</v>
      </c>
      <c r="S4770" s="29" t="n">
        <v>0</v>
      </c>
      <c r="T4770" t="inlineStr">
        <is>
          <t>25250326975620000130570010000039481000000005</t>
        </is>
      </c>
      <c r="U4770" t="inlineStr">
        <is>
          <t>Não</t>
        </is>
      </c>
    </row>
    <row r="4771">
      <c r="A4771" t="inlineStr">
        <is>
          <t>Frete de venda</t>
        </is>
      </c>
      <c r="B4771" t="inlineStr">
        <is>
          <t>2.04.87 Frete sobre Compra</t>
        </is>
      </c>
      <c r="C4771" t="inlineStr">
        <is>
          <t>Antes de 2026</t>
        </is>
      </c>
      <c r="D4771" t="inlineStr">
        <is>
          <t>Antes de 2026</t>
        </is>
      </c>
      <c r="E4771" s="28" t="n">
        <v>45745</v>
      </c>
      <c r="F4771" t="inlineStr">
        <is>
          <t>CT-e</t>
        </is>
      </c>
      <c r="G4771" t="inlineStr">
        <is>
          <t>000003949</t>
        </is>
      </c>
      <c r="H4771" t="inlineStr">
        <is>
          <t>R&amp;R TRANSPORTE E LOGISTICA</t>
        </is>
      </c>
      <c r="J4771" s="29" t="n">
        <v>20</v>
      </c>
      <c r="K4771" s="29">
        <f>(1-ISNUMBER(SEARCH("556",M4771)))*(O4771*SUMIFS(Premissas!$C$5:$C$44,Premissas!$A$5:$A$44,$A4771,Premissas!$B$5:$B$44,$B4771)+P4771*SUMIFS(Premissas!$D$5:$D$44,Premissas!$A$5:$A$44,$A4771,Premissas!$B$5:$B$44,$B4771))+R4771*SUMIFS(Premissas!$E$5:$E$44,Premissas!$A$5:$A$44,$A4771,Premissas!$B$5:$B$44,$B4771)+S4771*SUMIFS(Premissas!$F$5:$F$44,Premissas!$A$5:$A$44,$A4771,Premissas!$B$5:$B$44,$B4771)</f>
        <v/>
      </c>
      <c r="L4771" s="29">
        <f>J4771-K4771</f>
        <v/>
      </c>
      <c r="M4771" t="inlineStr">
        <is>
          <t>1.350</t>
        </is>
      </c>
      <c r="N4771" t="inlineStr">
        <is>
          <t>Modalidade: 0 - Por conta do remetente | Parte: AL DESCARTAVEIS COMERCIO ATACADISTA LTDA (20.761.196/0001-44)</t>
        </is>
      </c>
      <c r="O4771" s="29" t="n">
        <v>0</v>
      </c>
      <c r="P4771" s="29" t="n">
        <v>0</v>
      </c>
      <c r="Q4771" s="29" t="n">
        <v>0</v>
      </c>
      <c r="R4771" s="29" t="n">
        <v>0</v>
      </c>
      <c r="S4771" s="29" t="n">
        <v>0</v>
      </c>
      <c r="T4771" t="inlineStr">
        <is>
          <t>25250326975620000130570010000039491000000002</t>
        </is>
      </c>
      <c r="U4771" t="inlineStr">
        <is>
          <t>Não</t>
        </is>
      </c>
    </row>
    <row r="4772">
      <c r="A4772" t="inlineStr">
        <is>
          <t>Frete de venda</t>
        </is>
      </c>
      <c r="B4772" t="inlineStr">
        <is>
          <t>2.04.87 Frete sobre Compra</t>
        </is>
      </c>
      <c r="C4772" t="inlineStr">
        <is>
          <t>Antes de 2026</t>
        </is>
      </c>
      <c r="D4772" t="inlineStr">
        <is>
          <t>Antes de 2026</t>
        </is>
      </c>
      <c r="E4772" s="28" t="n">
        <v>45745</v>
      </c>
      <c r="F4772" t="inlineStr">
        <is>
          <t>CT-e</t>
        </is>
      </c>
      <c r="G4772" t="inlineStr">
        <is>
          <t>000003950</t>
        </is>
      </c>
      <c r="H4772" t="inlineStr">
        <is>
          <t>R&amp;R TRANSPORTE E LOGISTICA</t>
        </is>
      </c>
      <c r="J4772" s="29" t="n">
        <v>20</v>
      </c>
      <c r="K4772" s="29">
        <f>(1-ISNUMBER(SEARCH("556",M4772)))*(O4772*SUMIFS(Premissas!$C$5:$C$44,Premissas!$A$5:$A$44,$A4772,Premissas!$B$5:$B$44,$B4772)+P4772*SUMIFS(Premissas!$D$5:$D$44,Premissas!$A$5:$A$44,$A4772,Premissas!$B$5:$B$44,$B4772))+R4772*SUMIFS(Premissas!$E$5:$E$44,Premissas!$A$5:$A$44,$A4772,Premissas!$B$5:$B$44,$B4772)+S4772*SUMIFS(Premissas!$F$5:$F$44,Premissas!$A$5:$A$44,$A4772,Premissas!$B$5:$B$44,$B4772)</f>
        <v/>
      </c>
      <c r="L4772" s="29">
        <f>J4772-K4772</f>
        <v/>
      </c>
      <c r="M4772" t="inlineStr">
        <is>
          <t>1.350</t>
        </is>
      </c>
      <c r="N4772" t="inlineStr">
        <is>
          <t>Modalidade: 0 - Por conta do remetente | Parte: ALBUQUERQUE E FREIRE LTDA (09.358.347/0002-66)</t>
        </is>
      </c>
      <c r="O4772" s="29" t="n">
        <v>0</v>
      </c>
      <c r="P4772" s="29" t="n">
        <v>0</v>
      </c>
      <c r="Q4772" s="29" t="n">
        <v>0</v>
      </c>
      <c r="R4772" s="29" t="n">
        <v>0</v>
      </c>
      <c r="S4772" s="29" t="n">
        <v>0</v>
      </c>
      <c r="T4772" t="inlineStr">
        <is>
          <t>25250326975620000130570010000039501000000003</t>
        </is>
      </c>
      <c r="U4772" t="inlineStr">
        <is>
          <t>Não</t>
        </is>
      </c>
    </row>
    <row r="4773">
      <c r="A4773" t="inlineStr">
        <is>
          <t>Frete de venda</t>
        </is>
      </c>
      <c r="B4773" t="inlineStr">
        <is>
          <t>2.04.87 Frete sobre Compra</t>
        </is>
      </c>
      <c r="C4773" t="inlineStr">
        <is>
          <t>Antes de 2026</t>
        </is>
      </c>
      <c r="D4773" t="inlineStr">
        <is>
          <t>Antes de 2026</t>
        </is>
      </c>
      <c r="E4773" s="28" t="n">
        <v>45745</v>
      </c>
      <c r="F4773" t="inlineStr">
        <is>
          <t>CT-e</t>
        </is>
      </c>
      <c r="G4773" t="inlineStr">
        <is>
          <t>000003951</t>
        </is>
      </c>
      <c r="H4773" t="inlineStr">
        <is>
          <t>R&amp;R TRANSPORTE E LOGISTICA</t>
        </is>
      </c>
      <c r="J4773" s="29" t="n">
        <v>20</v>
      </c>
      <c r="K4773" s="29">
        <f>(1-ISNUMBER(SEARCH("556",M4773)))*(O4773*SUMIFS(Premissas!$C$5:$C$44,Premissas!$A$5:$A$44,$A4773,Premissas!$B$5:$B$44,$B4773)+P4773*SUMIFS(Premissas!$D$5:$D$44,Premissas!$A$5:$A$44,$A4773,Premissas!$B$5:$B$44,$B4773))+R4773*SUMIFS(Premissas!$E$5:$E$44,Premissas!$A$5:$A$44,$A4773,Premissas!$B$5:$B$44,$B4773)+S4773*SUMIFS(Premissas!$F$5:$F$44,Premissas!$A$5:$A$44,$A4773,Premissas!$B$5:$B$44,$B4773)</f>
        <v/>
      </c>
      <c r="L4773" s="29">
        <f>J4773-K4773</f>
        <v/>
      </c>
      <c r="M4773" t="inlineStr">
        <is>
          <t>1.350</t>
        </is>
      </c>
      <c r="N4773" t="inlineStr">
        <is>
          <t>Modalidade: 0 - Por conta do remetente | Parte: ALBUQUERQUE DISTRIBUIDORA DE ALIMENTOS LTDA (29.295.287/0001-06)</t>
        </is>
      </c>
      <c r="O4773" s="29" t="n">
        <v>0</v>
      </c>
      <c r="P4773" s="29" t="n">
        <v>0</v>
      </c>
      <c r="Q4773" s="29" t="n">
        <v>0</v>
      </c>
      <c r="R4773" s="29" t="n">
        <v>0</v>
      </c>
      <c r="S4773" s="29" t="n">
        <v>0</v>
      </c>
      <c r="T4773" t="inlineStr">
        <is>
          <t>25250326975620000130570010000039511000000000</t>
        </is>
      </c>
      <c r="U4773" t="inlineStr">
        <is>
          <t>Não</t>
        </is>
      </c>
    </row>
    <row r="4774">
      <c r="A4774" t="inlineStr">
        <is>
          <t>Frete de venda</t>
        </is>
      </c>
      <c r="B4774" t="inlineStr">
        <is>
          <t>2.04.87 Frete sobre Compra</t>
        </is>
      </c>
      <c r="C4774" t="inlineStr">
        <is>
          <t>Antes de 2026</t>
        </is>
      </c>
      <c r="D4774" t="inlineStr">
        <is>
          <t>Antes de 2026</t>
        </is>
      </c>
      <c r="E4774" s="28" t="n">
        <v>45745</v>
      </c>
      <c r="F4774" t="inlineStr">
        <is>
          <t>CT-e</t>
        </is>
      </c>
      <c r="G4774" t="inlineStr">
        <is>
          <t>000003952</t>
        </is>
      </c>
      <c r="H4774" t="inlineStr">
        <is>
          <t>R&amp;R TRANSPORTE E LOGISTICA</t>
        </is>
      </c>
      <c r="J4774" s="29" t="n">
        <v>20</v>
      </c>
      <c r="K4774" s="29">
        <f>(1-ISNUMBER(SEARCH("556",M4774)))*(O4774*SUMIFS(Premissas!$C$5:$C$44,Premissas!$A$5:$A$44,$A4774,Premissas!$B$5:$B$44,$B4774)+P4774*SUMIFS(Premissas!$D$5:$D$44,Premissas!$A$5:$A$44,$A4774,Premissas!$B$5:$B$44,$B4774))+R4774*SUMIFS(Premissas!$E$5:$E$44,Premissas!$A$5:$A$44,$A4774,Premissas!$B$5:$B$44,$B4774)+S4774*SUMIFS(Premissas!$F$5:$F$44,Premissas!$A$5:$A$44,$A4774,Premissas!$B$5:$B$44,$B4774)</f>
        <v/>
      </c>
      <c r="L4774" s="29">
        <f>J4774-K4774</f>
        <v/>
      </c>
      <c r="M4774" t="inlineStr">
        <is>
          <t>1.350</t>
        </is>
      </c>
      <c r="N4774" t="inlineStr">
        <is>
          <t>Modalidade: 0 - Por conta do remetente | Parte: ALBUQUERQUE E FREIRE LTDA (09.358.347/0001-85)</t>
        </is>
      </c>
      <c r="O4774" s="29" t="n">
        <v>0</v>
      </c>
      <c r="P4774" s="29" t="n">
        <v>0</v>
      </c>
      <c r="Q4774" s="29" t="n">
        <v>0</v>
      </c>
      <c r="R4774" s="29" t="n">
        <v>0</v>
      </c>
      <c r="S4774" s="29" t="n">
        <v>0</v>
      </c>
      <c r="T4774" t="inlineStr">
        <is>
          <t>25250326975620000130570010000039521000000008</t>
        </is>
      </c>
      <c r="U4774" t="inlineStr">
        <is>
          <t>Não</t>
        </is>
      </c>
    </row>
    <row r="4775">
      <c r="A4775" t="inlineStr">
        <is>
          <t>Frete de venda</t>
        </is>
      </c>
      <c r="B4775" t="inlineStr">
        <is>
          <t>2.04.87 Frete sobre Compra</t>
        </is>
      </c>
      <c r="C4775" t="inlineStr">
        <is>
          <t>Antes de 2026</t>
        </is>
      </c>
      <c r="D4775" t="inlineStr">
        <is>
          <t>Antes de 2026</t>
        </is>
      </c>
      <c r="E4775" s="28" t="n">
        <v>45747</v>
      </c>
      <c r="F4775" t="inlineStr">
        <is>
          <t>CT-e</t>
        </is>
      </c>
      <c r="G4775" t="inlineStr">
        <is>
          <t>000003958</t>
        </is>
      </c>
      <c r="H4775" t="inlineStr">
        <is>
          <t>R&amp;R TRANSPORTE E LOGISTICA</t>
        </is>
      </c>
      <c r="J4775" s="29" t="n">
        <v>61.14</v>
      </c>
      <c r="K4775" s="29">
        <f>(1-ISNUMBER(SEARCH("556",M4775)))*(O4775*SUMIFS(Premissas!$C$5:$C$44,Premissas!$A$5:$A$44,$A4775,Premissas!$B$5:$B$44,$B4775)+P4775*SUMIFS(Premissas!$D$5:$D$44,Premissas!$A$5:$A$44,$A4775,Premissas!$B$5:$B$44,$B4775))+R4775*SUMIFS(Premissas!$E$5:$E$44,Premissas!$A$5:$A$44,$A4775,Premissas!$B$5:$B$44,$B4775)+S4775*SUMIFS(Premissas!$F$5:$F$44,Premissas!$A$5:$A$44,$A4775,Premissas!$B$5:$B$44,$B4775)</f>
        <v/>
      </c>
      <c r="L4775" s="29">
        <f>J4775-K4775</f>
        <v/>
      </c>
      <c r="M4775" t="inlineStr">
        <is>
          <t>1.350</t>
        </is>
      </c>
      <c r="N4775" t="inlineStr">
        <is>
          <t>Modalidade: 0 - Por conta do remetente | Parte: DESTAK EMBALAGEM EIRELI (30.820.528/0001-78)</t>
        </is>
      </c>
      <c r="O4775" s="29" t="n">
        <v>0</v>
      </c>
      <c r="P4775" s="29" t="n">
        <v>0</v>
      </c>
      <c r="Q4775" s="29" t="n">
        <v>0</v>
      </c>
      <c r="R4775" s="29" t="n">
        <v>0</v>
      </c>
      <c r="S4775" s="29" t="n">
        <v>0</v>
      </c>
      <c r="T4775" t="inlineStr">
        <is>
          <t>25250326975620000130570010000039581000000001</t>
        </is>
      </c>
      <c r="U4775" t="inlineStr">
        <is>
          <t>Não</t>
        </is>
      </c>
    </row>
    <row r="4776">
      <c r="A4776" t="inlineStr">
        <is>
          <t>Frete de venda</t>
        </is>
      </c>
      <c r="B4776" t="inlineStr">
        <is>
          <t>2.04.87 Frete sobre Compra</t>
        </is>
      </c>
      <c r="C4776" t="inlineStr">
        <is>
          <t>Antes de 2026</t>
        </is>
      </c>
      <c r="D4776" t="inlineStr">
        <is>
          <t>Antes de 2026</t>
        </is>
      </c>
      <c r="E4776" s="28" t="n">
        <v>45747</v>
      </c>
      <c r="F4776" t="inlineStr">
        <is>
          <t>CT-e</t>
        </is>
      </c>
      <c r="G4776" t="inlineStr">
        <is>
          <t>000003959</t>
        </is>
      </c>
      <c r="H4776" t="inlineStr">
        <is>
          <t>R&amp;R TRANSPORTE E LOGISTICA</t>
        </is>
      </c>
      <c r="J4776" s="29" t="n">
        <v>49.85</v>
      </c>
      <c r="K4776" s="29">
        <f>(1-ISNUMBER(SEARCH("556",M4776)))*(O4776*SUMIFS(Premissas!$C$5:$C$44,Premissas!$A$5:$A$44,$A4776,Premissas!$B$5:$B$44,$B4776)+P4776*SUMIFS(Premissas!$D$5:$D$44,Premissas!$A$5:$A$44,$A4776,Premissas!$B$5:$B$44,$B4776))+R4776*SUMIFS(Premissas!$E$5:$E$44,Premissas!$A$5:$A$44,$A4776,Premissas!$B$5:$B$44,$B4776)+S4776*SUMIFS(Premissas!$F$5:$F$44,Premissas!$A$5:$A$44,$A4776,Premissas!$B$5:$B$44,$B4776)</f>
        <v/>
      </c>
      <c r="L4776" s="29">
        <f>J4776-K4776</f>
        <v/>
      </c>
      <c r="M4776" t="inlineStr">
        <is>
          <t>1.350</t>
        </is>
      </c>
      <c r="N4776" t="inlineStr">
        <is>
          <t>Modalidade: 0 - Por conta do remetente | Parte: LA SERAFIM COMERCIO DE EMBALAGENS LTDA (07.797.641/0001-68)</t>
        </is>
      </c>
      <c r="O4776" s="29" t="n">
        <v>0</v>
      </c>
      <c r="P4776" s="29" t="n">
        <v>0</v>
      </c>
      <c r="Q4776" s="29" t="n">
        <v>0</v>
      </c>
      <c r="R4776" s="29" t="n">
        <v>0</v>
      </c>
      <c r="S4776" s="29" t="n">
        <v>0</v>
      </c>
      <c r="T4776" t="inlineStr">
        <is>
          <t>25250326975620000130570010000039591000000009</t>
        </is>
      </c>
      <c r="U4776" t="inlineStr">
        <is>
          <t>Não</t>
        </is>
      </c>
    </row>
    <row r="4777">
      <c r="A4777" t="inlineStr">
        <is>
          <t>Frete de venda</t>
        </is>
      </c>
      <c r="B4777" t="inlineStr">
        <is>
          <t>2.04.87 Frete sobre Compra</t>
        </is>
      </c>
      <c r="C4777" t="inlineStr">
        <is>
          <t>Antes de 2026</t>
        </is>
      </c>
      <c r="D4777" t="inlineStr">
        <is>
          <t>Antes de 2026</t>
        </is>
      </c>
      <c r="E4777" s="28" t="n">
        <v>45747</v>
      </c>
      <c r="F4777" t="inlineStr">
        <is>
          <t>CT-e</t>
        </is>
      </c>
      <c r="G4777" t="inlineStr">
        <is>
          <t>000003960</t>
        </is>
      </c>
      <c r="H4777" t="inlineStr">
        <is>
          <t>R&amp;R TRANSPORTE E LOGISTICA</t>
        </is>
      </c>
      <c r="J4777" s="29" t="n">
        <v>49.32</v>
      </c>
      <c r="K4777" s="29">
        <f>(1-ISNUMBER(SEARCH("556",M4777)))*(O4777*SUMIFS(Premissas!$C$5:$C$44,Premissas!$A$5:$A$44,$A4777,Premissas!$B$5:$B$44,$B4777)+P4777*SUMIFS(Premissas!$D$5:$D$44,Premissas!$A$5:$A$44,$A4777,Premissas!$B$5:$B$44,$B4777))+R4777*SUMIFS(Premissas!$E$5:$E$44,Premissas!$A$5:$A$44,$A4777,Premissas!$B$5:$B$44,$B4777)+S4777*SUMIFS(Premissas!$F$5:$F$44,Premissas!$A$5:$A$44,$A4777,Premissas!$B$5:$B$44,$B4777)</f>
        <v/>
      </c>
      <c r="L4777" s="29">
        <f>J4777-K4777</f>
        <v/>
      </c>
      <c r="M4777" t="inlineStr">
        <is>
          <t>1.350</t>
        </is>
      </c>
      <c r="N4777" t="inlineStr">
        <is>
          <t>Modalidade: 0 - Por conta do remetente | Parte: JOANICE COMERCIAL DE EMBALAGENS E CONFEITARIA LTDA (50.350.203/0001-86)</t>
        </is>
      </c>
      <c r="O4777" s="29" t="n">
        <v>0</v>
      </c>
      <c r="P4777" s="29" t="n">
        <v>0</v>
      </c>
      <c r="Q4777" s="29" t="n">
        <v>0</v>
      </c>
      <c r="R4777" s="29" t="n">
        <v>0</v>
      </c>
      <c r="S4777" s="29" t="n">
        <v>0</v>
      </c>
      <c r="T4777" t="inlineStr">
        <is>
          <t>25250326975620000130570010000039601000000000</t>
        </is>
      </c>
      <c r="U4777" t="inlineStr">
        <is>
          <t>Não</t>
        </is>
      </c>
    </row>
    <row r="4778">
      <c r="A4778" t="inlineStr">
        <is>
          <t>Frete de venda</t>
        </is>
      </c>
      <c r="B4778" t="inlineStr">
        <is>
          <t>2.04.87 Frete sobre Compra</t>
        </is>
      </c>
      <c r="C4778" t="inlineStr">
        <is>
          <t>Antes de 2026</t>
        </is>
      </c>
      <c r="D4778" t="inlineStr">
        <is>
          <t>Antes de 2026</t>
        </is>
      </c>
      <c r="E4778" s="28" t="n">
        <v>45747</v>
      </c>
      <c r="F4778" t="inlineStr">
        <is>
          <t>CT-e</t>
        </is>
      </c>
      <c r="G4778" t="inlineStr">
        <is>
          <t>000003961</t>
        </is>
      </c>
      <c r="H4778" t="inlineStr">
        <is>
          <t>R&amp;R TRANSPORTE E LOGISTICA</t>
        </is>
      </c>
      <c r="J4778" s="29" t="n">
        <v>53.06</v>
      </c>
      <c r="K4778" s="29">
        <f>(1-ISNUMBER(SEARCH("556",M4778)))*(O4778*SUMIFS(Premissas!$C$5:$C$44,Premissas!$A$5:$A$44,$A4778,Premissas!$B$5:$B$44,$B4778)+P4778*SUMIFS(Premissas!$D$5:$D$44,Premissas!$A$5:$A$44,$A4778,Premissas!$B$5:$B$44,$B4778))+R4778*SUMIFS(Premissas!$E$5:$E$44,Premissas!$A$5:$A$44,$A4778,Premissas!$B$5:$B$44,$B4778)+S4778*SUMIFS(Premissas!$F$5:$F$44,Premissas!$A$5:$A$44,$A4778,Premissas!$B$5:$B$44,$B4778)</f>
        <v/>
      </c>
      <c r="L4778" s="29">
        <f>J4778-K4778</f>
        <v/>
      </c>
      <c r="M4778" t="inlineStr">
        <is>
          <t>1.350</t>
        </is>
      </c>
      <c r="N4778" t="inlineStr">
        <is>
          <t>Modalidade: 0 - Por conta do remetente | Parte: IDEAL COMERCIO VAREJISTA DE PRODUTOS ALIMENTICIOS LTDA (48.886.229/0001-00)</t>
        </is>
      </c>
      <c r="O4778" s="29" t="n">
        <v>0</v>
      </c>
      <c r="P4778" s="29" t="n">
        <v>0</v>
      </c>
      <c r="Q4778" s="29" t="n">
        <v>0</v>
      </c>
      <c r="R4778" s="29" t="n">
        <v>0</v>
      </c>
      <c r="S4778" s="29" t="n">
        <v>0</v>
      </c>
      <c r="T4778" t="inlineStr">
        <is>
          <t>25250326975620000130570010000039611000000007</t>
        </is>
      </c>
      <c r="U4778" t="inlineStr">
        <is>
          <t>Não</t>
        </is>
      </c>
    </row>
    <row r="4779">
      <c r="A4779" t="inlineStr">
        <is>
          <t>Frete de venda</t>
        </is>
      </c>
      <c r="B4779" t="inlineStr">
        <is>
          <t>2.04.87 Frete sobre Compra</t>
        </is>
      </c>
      <c r="C4779" s="30" t="n">
        <v>46023</v>
      </c>
      <c r="D4779" t="inlineStr">
        <is>
          <t>Em 2026</t>
        </is>
      </c>
      <c r="E4779" s="28" t="n">
        <v>46052</v>
      </c>
      <c r="F4779" t="inlineStr">
        <is>
          <t>CT-e</t>
        </is>
      </c>
      <c r="G4779" t="inlineStr">
        <is>
          <t>000092160</t>
        </is>
      </c>
      <c r="H4779" t="inlineStr">
        <is>
          <t>CAMPINENSE TRANSPORTE DE CARGAS E LOCACOES LT</t>
        </is>
      </c>
      <c r="J4779" s="29" t="n">
        <v>176.02</v>
      </c>
      <c r="K4779" s="29">
        <f>(1-ISNUMBER(SEARCH("556",M4779)))*(O4779*SUMIFS(Premissas!$C$5:$C$44,Premissas!$A$5:$A$44,$A4779,Premissas!$B$5:$B$44,$B4779)+P4779*SUMIFS(Premissas!$D$5:$D$44,Premissas!$A$5:$A$44,$A4779,Premissas!$B$5:$B$44,$B4779))+R4779*SUMIFS(Premissas!$E$5:$E$44,Premissas!$A$5:$A$44,$A4779,Premissas!$B$5:$B$44,$B4779)+S4779*SUMIFS(Premissas!$F$5:$F$44,Premissas!$A$5:$A$44,$A4779,Premissas!$B$5:$B$44,$B4779)</f>
        <v/>
      </c>
      <c r="L4779" s="29">
        <f>J4779-K4779</f>
        <v/>
      </c>
      <c r="M4779" t="inlineStr">
        <is>
          <t>1.350</t>
        </is>
      </c>
      <c r="N4779" t="inlineStr">
        <is>
          <t>Modalidade: 1 - Por conta do destinatário | Parte: GENERAL BELT DO BRASIL COMERCIAL DE CORREIAS LTDA (80.157.100/0001-65)</t>
        </is>
      </c>
      <c r="O4779" s="29" t="n">
        <v>0</v>
      </c>
      <c r="P4779" s="29" t="n">
        <v>12.32</v>
      </c>
      <c r="Q4779" s="29" t="n">
        <v>0</v>
      </c>
      <c r="R4779" s="29" t="n">
        <v>0</v>
      </c>
      <c r="S4779" s="29" t="n">
        <v>0</v>
      </c>
      <c r="T4779" t="inlineStr">
        <is>
          <t>35260108706145001005570010000921601001435786</t>
        </is>
      </c>
      <c r="U4779" t="inlineStr">
        <is>
          <t>Sim</t>
        </is>
      </c>
    </row>
    <row r="4780">
      <c r="A4780" t="inlineStr">
        <is>
          <t>Frete de venda</t>
        </is>
      </c>
      <c r="B4780" t="inlineStr">
        <is>
          <t>2.04.87 Frete sobre Compra</t>
        </is>
      </c>
      <c r="C4780" s="30" t="n">
        <v>46023</v>
      </c>
      <c r="D4780" t="inlineStr">
        <is>
          <t>Em 2026</t>
        </is>
      </c>
      <c r="E4780" s="28" t="n">
        <v>46052</v>
      </c>
      <c r="F4780" t="inlineStr">
        <is>
          <t>CT-e</t>
        </is>
      </c>
      <c r="G4780" t="inlineStr">
        <is>
          <t>000213565</t>
        </is>
      </c>
      <c r="H4780" t="inlineStr">
        <is>
          <t>CAZAN TRANSPORTES LTDA</t>
        </is>
      </c>
      <c r="J4780" s="29" t="n">
        <v>8287</v>
      </c>
      <c r="K4780" s="29">
        <f>(1-ISNUMBER(SEARCH("556",M4780)))*(O4780*SUMIFS(Premissas!$C$5:$C$44,Premissas!$A$5:$A$44,$A4780,Premissas!$B$5:$B$44,$B4780)+P4780*SUMIFS(Premissas!$D$5:$D$44,Premissas!$A$5:$A$44,$A4780,Premissas!$B$5:$B$44,$B4780))+R4780*SUMIFS(Premissas!$E$5:$E$44,Premissas!$A$5:$A$44,$A4780,Premissas!$B$5:$B$44,$B4780)+S4780*SUMIFS(Premissas!$F$5:$F$44,Premissas!$A$5:$A$44,$A4780,Premissas!$B$5:$B$44,$B4780)</f>
        <v/>
      </c>
      <c r="L4780" s="29">
        <f>J4780-K4780</f>
        <v/>
      </c>
      <c r="M4780" t="inlineStr">
        <is>
          <t>1.350</t>
        </is>
      </c>
      <c r="N4780" t="inlineStr">
        <is>
          <t>Modalidade: 1 - Por conta do destinatário | Parte: ANIN INDUSTRIA E COMERCIO DE PAPEL LTDA (39.285.002/0001-00)</t>
        </is>
      </c>
      <c r="O4780" s="29" t="n">
        <v>0</v>
      </c>
      <c r="P4780" s="29" t="n">
        <v>580.09</v>
      </c>
      <c r="Q4780" s="29" t="n">
        <v>0</v>
      </c>
      <c r="R4780" s="29" t="n">
        <v>0</v>
      </c>
      <c r="S4780" s="29" t="n">
        <v>0</v>
      </c>
      <c r="T4780" t="inlineStr">
        <is>
          <t>35260107797011000193570010002135651438623668</t>
        </is>
      </c>
      <c r="U4780" t="inlineStr">
        <is>
          <t>Sim</t>
        </is>
      </c>
    </row>
    <row r="4781">
      <c r="A4781" t="inlineStr">
        <is>
          <t>Frete de venda</t>
        </is>
      </c>
      <c r="B4781" t="inlineStr">
        <is>
          <t>2.04.87 Frete sobre Compra</t>
        </is>
      </c>
      <c r="C4781" s="30" t="n">
        <v>46054</v>
      </c>
      <c r="D4781" t="inlineStr">
        <is>
          <t>Em 2026</t>
        </is>
      </c>
      <c r="E4781" s="28" t="n">
        <v>46079</v>
      </c>
      <c r="F4781" t="inlineStr">
        <is>
          <t>CT-e</t>
        </is>
      </c>
      <c r="G4781" t="inlineStr">
        <is>
          <t>000096109</t>
        </is>
      </c>
      <c r="H4781" t="inlineStr">
        <is>
          <t>CAMPINENSE TRANSPORTE DE CARGAS E LOCACOES LT</t>
        </is>
      </c>
      <c r="J4781" s="29" t="n">
        <v>182.67</v>
      </c>
      <c r="K4781" s="29">
        <f>(1-ISNUMBER(SEARCH("556",M4781)))*(O4781*SUMIFS(Premissas!$C$5:$C$44,Premissas!$A$5:$A$44,$A4781,Premissas!$B$5:$B$44,$B4781)+P4781*SUMIFS(Premissas!$D$5:$D$44,Premissas!$A$5:$A$44,$A4781,Premissas!$B$5:$B$44,$B4781))+R4781*SUMIFS(Premissas!$E$5:$E$44,Premissas!$A$5:$A$44,$A4781,Premissas!$B$5:$B$44,$B4781)+S4781*SUMIFS(Premissas!$F$5:$F$44,Premissas!$A$5:$A$44,$A4781,Premissas!$B$5:$B$44,$B4781)</f>
        <v/>
      </c>
      <c r="L4781" s="29">
        <f>J4781-K4781</f>
        <v/>
      </c>
      <c r="M4781" t="inlineStr">
        <is>
          <t>1.350</t>
        </is>
      </c>
      <c r="N4781" t="inlineStr">
        <is>
          <t>Modalidade: 1 - Por conta do destinatário | Parte: FURNAX COMERCIAL E IMPORTADORA EIRELI (00.144.257/0001-17)</t>
        </is>
      </c>
      <c r="O4781" s="29" t="n">
        <v>0</v>
      </c>
      <c r="P4781" s="29" t="n">
        <v>12.79</v>
      </c>
      <c r="Q4781" s="29" t="n">
        <v>0</v>
      </c>
      <c r="R4781" s="29" t="n">
        <v>0</v>
      </c>
      <c r="S4781" s="29" t="n">
        <v>0</v>
      </c>
      <c r="T4781" t="inlineStr">
        <is>
          <t>35260208706145001005570010000961091001515657</t>
        </is>
      </c>
      <c r="U4781" t="inlineStr">
        <is>
          <t>Sim</t>
        </is>
      </c>
    </row>
    <row r="4782">
      <c r="A4782" t="inlineStr">
        <is>
          <t>Frete de venda</t>
        </is>
      </c>
      <c r="B4782" t="inlineStr">
        <is>
          <t>2.04.87 Frete sobre Compra</t>
        </is>
      </c>
      <c r="C4782" s="30" t="n">
        <v>46054</v>
      </c>
      <c r="D4782" t="inlineStr">
        <is>
          <t>Em 2026</t>
        </is>
      </c>
      <c r="E4782" s="28" t="n">
        <v>46069</v>
      </c>
      <c r="F4782" t="inlineStr">
        <is>
          <t>CT-e</t>
        </is>
      </c>
      <c r="G4782" t="inlineStr">
        <is>
          <t>000000615</t>
        </is>
      </c>
      <c r="H4782" t="inlineStr">
        <is>
          <t>REIMAG - REINALDO DOMINGUES BARROS DA SILVA</t>
        </is>
      </c>
      <c r="J4782" s="29" t="n">
        <v>750</v>
      </c>
      <c r="K4782" s="29">
        <f>(1-ISNUMBER(SEARCH("556",M4782)))*(O4782*SUMIFS(Premissas!$C$5:$C$44,Premissas!$A$5:$A$44,$A4782,Premissas!$B$5:$B$44,$B4782)+P4782*SUMIFS(Premissas!$D$5:$D$44,Premissas!$A$5:$A$44,$A4782,Premissas!$B$5:$B$44,$B4782))+R4782*SUMIFS(Premissas!$E$5:$E$44,Premissas!$A$5:$A$44,$A4782,Premissas!$B$5:$B$44,$B4782)+S4782*SUMIFS(Premissas!$F$5:$F$44,Premissas!$A$5:$A$44,$A4782,Premissas!$B$5:$B$44,$B4782)</f>
        <v/>
      </c>
      <c r="L4782" s="29">
        <f>J4782-K4782</f>
        <v/>
      </c>
      <c r="M4782" t="inlineStr">
        <is>
          <t>1.350</t>
        </is>
      </c>
      <c r="N4782" t="inlineStr">
        <is>
          <t>Transportadora de frete de venda, mas pela modalidade do frete a Vinco recebeu a carga | Modalidade: 1 - Por conta do destinatário | Parte: REQUIM PRODUTOS QUIMICOS LTDA (06.935.804/0001-69)</t>
        </is>
      </c>
      <c r="O4782" s="29" t="n">
        <v>0</v>
      </c>
      <c r="P4782" s="29" t="n">
        <v>0</v>
      </c>
      <c r="Q4782" s="29" t="n">
        <v>0</v>
      </c>
      <c r="R4782" s="29" t="n">
        <v>0</v>
      </c>
      <c r="S4782" s="29" t="n">
        <v>0</v>
      </c>
      <c r="T4782" t="inlineStr">
        <is>
          <t>25260239962724000151570010000006151480738071</t>
        </is>
      </c>
      <c r="U4782" t="inlineStr">
        <is>
          <t>Sim</t>
        </is>
      </c>
    </row>
    <row r="4783">
      <c r="A4783" t="inlineStr">
        <is>
          <t>Frete de venda</t>
        </is>
      </c>
      <c r="B4783" t="inlineStr">
        <is>
          <t>2.04.87 Frete sobre Compra</t>
        </is>
      </c>
      <c r="C4783" s="30" t="n">
        <v>46113</v>
      </c>
      <c r="D4783" t="inlineStr">
        <is>
          <t>Em 2026</t>
        </is>
      </c>
      <c r="E4783" s="28" t="n">
        <v>46126</v>
      </c>
      <c r="F4783" t="inlineStr">
        <is>
          <t>CT-e</t>
        </is>
      </c>
      <c r="G4783" t="inlineStr">
        <is>
          <t>000047694</t>
        </is>
      </c>
      <c r="H4783" t="inlineStr">
        <is>
          <t>GLOBAL AIR CARGO LTDA</t>
        </is>
      </c>
      <c r="J4783" s="29" t="n">
        <v>344.69</v>
      </c>
      <c r="K4783" s="29">
        <f>(1-ISNUMBER(SEARCH("556",M4783)))*(O4783*SUMIFS(Premissas!$C$5:$C$44,Premissas!$A$5:$A$44,$A4783,Premissas!$B$5:$B$44,$B4783)+P4783*SUMIFS(Premissas!$D$5:$D$44,Premissas!$A$5:$A$44,$A4783,Premissas!$B$5:$B$44,$B4783))+R4783*SUMIFS(Premissas!$E$5:$E$44,Premissas!$A$5:$A$44,$A4783,Premissas!$B$5:$B$44,$B4783)+S4783*SUMIFS(Premissas!$F$5:$F$44,Premissas!$A$5:$A$44,$A4783,Premissas!$B$5:$B$44,$B4783)</f>
        <v/>
      </c>
      <c r="L4783" s="29">
        <f>J4783-K4783</f>
        <v/>
      </c>
      <c r="M4783" t="inlineStr">
        <is>
          <t>1.350</t>
        </is>
      </c>
      <c r="N4783" t="inlineStr">
        <is>
          <t>Modalidade: 1 - Por conta do destinatário | Parte: TECHPRINT FACAS INDUSTRIAIS (23.105.251/0001-36)</t>
        </is>
      </c>
      <c r="O4783" s="29" t="n">
        <v>0</v>
      </c>
      <c r="P4783" s="29" t="n">
        <v>24.13</v>
      </c>
      <c r="Q4783" s="29" t="n">
        <v>0</v>
      </c>
      <c r="R4783" s="29" t="n">
        <v>0</v>
      </c>
      <c r="S4783" s="29" t="n">
        <v>0</v>
      </c>
      <c r="T4783" t="inlineStr">
        <is>
          <t>35260400945958000155570060000476941013856547</t>
        </is>
      </c>
      <c r="U4783" t="inlineStr">
        <is>
          <t>Sim</t>
        </is>
      </c>
    </row>
    <row r="4784">
      <c r="A4784" t="inlineStr">
        <is>
          <t>Frete de venda</t>
        </is>
      </c>
      <c r="B4784" t="inlineStr">
        <is>
          <t>2.04.87 Frete sobre Compra</t>
        </is>
      </c>
      <c r="C4784" s="30" t="n">
        <v>46113</v>
      </c>
      <c r="D4784" t="inlineStr">
        <is>
          <t>Em 2026</t>
        </is>
      </c>
      <c r="E4784" s="28" t="n">
        <v>46119</v>
      </c>
      <c r="F4784" t="inlineStr">
        <is>
          <t>CT-e</t>
        </is>
      </c>
      <c r="G4784" t="inlineStr">
        <is>
          <t>000006751</t>
        </is>
      </c>
      <c r="H4784" t="inlineStr">
        <is>
          <t>R&amp;R TRANSPORTE E LOGISTICA</t>
        </is>
      </c>
      <c r="J4784" s="29" t="n">
        <v>1500</v>
      </c>
      <c r="K4784" s="29">
        <f>(1-ISNUMBER(SEARCH("556",M4784)))*(O4784*SUMIFS(Premissas!$C$5:$C$44,Premissas!$A$5:$A$44,$A4784,Premissas!$B$5:$B$44,$B4784)+P4784*SUMIFS(Premissas!$D$5:$D$44,Premissas!$A$5:$A$44,$A4784,Premissas!$B$5:$B$44,$B4784))+R4784*SUMIFS(Premissas!$E$5:$E$44,Premissas!$A$5:$A$44,$A4784,Premissas!$B$5:$B$44,$B4784)+S4784*SUMIFS(Premissas!$F$5:$F$44,Premissas!$A$5:$A$44,$A4784,Premissas!$B$5:$B$44,$B4784)</f>
        <v/>
      </c>
      <c r="L4784" s="29">
        <f>J4784-K4784</f>
        <v/>
      </c>
      <c r="M4784" t="inlineStr">
        <is>
          <t>1.350</t>
        </is>
      </c>
      <c r="N4784" t="inlineStr">
        <is>
          <t>Transportadora de frete de venda, mas pela modalidade do frete a Vinco recebeu a carga | Modalidade: 1 - Por conta do destinatário | Parte: COLAMID (04.781.666/0001-85)</t>
        </is>
      </c>
      <c r="O4784" s="29" t="n">
        <v>0</v>
      </c>
      <c r="P4784" s="29" t="n">
        <v>0</v>
      </c>
      <c r="Q4784" s="29" t="n">
        <v>0</v>
      </c>
      <c r="R4784" s="29" t="n">
        <v>0</v>
      </c>
      <c r="S4784" s="29" t="n">
        <v>0</v>
      </c>
      <c r="T4784" t="inlineStr">
        <is>
          <t>25260426975620000130570010000067511001901743</t>
        </is>
      </c>
      <c r="U4784" t="inlineStr">
        <is>
          <t>Sim</t>
        </is>
      </c>
    </row>
    <row r="4785">
      <c r="A4785" t="inlineStr">
        <is>
          <t>Frete de venda</t>
        </is>
      </c>
      <c r="B4785" t="inlineStr">
        <is>
          <t>2.04.87 Frete sobre Compra</t>
        </is>
      </c>
      <c r="C4785" s="30" t="n">
        <v>46143</v>
      </c>
      <c r="D4785" t="inlineStr">
        <is>
          <t>Em 2026</t>
        </is>
      </c>
      <c r="E4785" s="28" t="n">
        <v>46156</v>
      </c>
      <c r="F4785" t="inlineStr">
        <is>
          <t>CT-e</t>
        </is>
      </c>
      <c r="G4785" t="inlineStr">
        <is>
          <t>000007057</t>
        </is>
      </c>
      <c r="H4785" t="inlineStr">
        <is>
          <t>R&amp;R TRANSPORTE E LOGISTICA</t>
        </is>
      </c>
      <c r="J4785" s="29" t="n">
        <v>300</v>
      </c>
      <c r="K4785" s="29">
        <f>(1-ISNUMBER(SEARCH("556",M4785)))*(O4785*SUMIFS(Premissas!$C$5:$C$44,Premissas!$A$5:$A$44,$A4785,Premissas!$B$5:$B$44,$B4785)+P4785*SUMIFS(Premissas!$D$5:$D$44,Premissas!$A$5:$A$44,$A4785,Premissas!$B$5:$B$44,$B4785))+R4785*SUMIFS(Premissas!$E$5:$E$44,Premissas!$A$5:$A$44,$A4785,Premissas!$B$5:$B$44,$B4785)+S4785*SUMIFS(Premissas!$F$5:$F$44,Premissas!$A$5:$A$44,$A4785,Premissas!$B$5:$B$44,$B4785)</f>
        <v/>
      </c>
      <c r="L4785" s="29">
        <f>J4785-K4785</f>
        <v/>
      </c>
      <c r="M4785" t="inlineStr">
        <is>
          <t>1.350</t>
        </is>
      </c>
      <c r="N4785" t="inlineStr">
        <is>
          <t>Modalidade: 0 - Por conta do remetente | Parte: COMERCIAL PROLAC LTDA. (07.182.763/0001-40)</t>
        </is>
      </c>
      <c r="O4785" s="29" t="n">
        <v>0</v>
      </c>
      <c r="P4785" s="29" t="n">
        <v>0</v>
      </c>
      <c r="Q4785" s="29" t="n">
        <v>0</v>
      </c>
      <c r="R4785" s="29" t="n">
        <v>0</v>
      </c>
      <c r="S4785" s="29" t="n">
        <v>0</v>
      </c>
      <c r="T4785" t="inlineStr">
        <is>
          <t>25260526975620000130570010000070571001201451</t>
        </is>
      </c>
      <c r="U4785" t="inlineStr">
        <is>
          <t>Não</t>
        </is>
      </c>
    </row>
    <row r="4786">
      <c r="A4786" t="inlineStr">
        <is>
          <t>Frete de venda</t>
        </is>
      </c>
      <c r="B4786" t="inlineStr">
        <is>
          <t>2.04.87 Frete sobre Compra</t>
        </is>
      </c>
      <c r="C4786" s="30" t="n">
        <v>46143</v>
      </c>
      <c r="D4786" t="inlineStr">
        <is>
          <t>Em 2026</t>
        </is>
      </c>
      <c r="E4786" s="28" t="n">
        <v>46156</v>
      </c>
      <c r="F4786" t="inlineStr">
        <is>
          <t>CT-e</t>
        </is>
      </c>
      <c r="G4786" t="inlineStr">
        <is>
          <t>000007058</t>
        </is>
      </c>
      <c r="H4786" t="inlineStr">
        <is>
          <t>R&amp;R TRANSPORTE E LOGISTICA</t>
        </is>
      </c>
      <c r="J4786" s="29" t="n">
        <v>300</v>
      </c>
      <c r="K4786" s="29">
        <f>(1-ISNUMBER(SEARCH("556",M4786)))*(O4786*SUMIFS(Premissas!$C$5:$C$44,Premissas!$A$5:$A$44,$A4786,Premissas!$B$5:$B$44,$B4786)+P4786*SUMIFS(Premissas!$D$5:$D$44,Premissas!$A$5:$A$44,$A4786,Premissas!$B$5:$B$44,$B4786))+R4786*SUMIFS(Premissas!$E$5:$E$44,Premissas!$A$5:$A$44,$A4786,Premissas!$B$5:$B$44,$B4786)+S4786*SUMIFS(Premissas!$F$5:$F$44,Premissas!$A$5:$A$44,$A4786,Premissas!$B$5:$B$44,$B4786)</f>
        <v/>
      </c>
      <c r="L4786" s="29">
        <f>J4786-K4786</f>
        <v/>
      </c>
      <c r="M4786" t="inlineStr">
        <is>
          <t>1.350</t>
        </is>
      </c>
      <c r="N4786" t="inlineStr">
        <is>
          <t>Modalidade: 0 - Por conta do remetente | Parte: G1 DISTRIBUIDORA DE PRODUTOS FARMACEUTICOS LTDA (23.837.936/0002-58)</t>
        </is>
      </c>
      <c r="O4786" s="29" t="n">
        <v>0</v>
      </c>
      <c r="P4786" s="29" t="n">
        <v>0</v>
      </c>
      <c r="Q4786" s="29" t="n">
        <v>0</v>
      </c>
      <c r="R4786" s="29" t="n">
        <v>0</v>
      </c>
      <c r="S4786" s="29" t="n">
        <v>0</v>
      </c>
      <c r="T4786" t="inlineStr">
        <is>
          <t>25260526975620000130570010000070581011001533</t>
        </is>
      </c>
      <c r="U4786" t="inlineStr">
        <is>
          <t>Não</t>
        </is>
      </c>
    </row>
    <row r="4787">
      <c r="A4787" t="inlineStr">
        <is>
          <t>Frete de venda</t>
        </is>
      </c>
      <c r="B4787" t="inlineStr">
        <is>
          <t>2.04.87 Frete sobre Compra</t>
        </is>
      </c>
      <c r="C4787" s="30" t="n">
        <v>46143</v>
      </c>
      <c r="D4787" t="inlineStr">
        <is>
          <t>Em 2026</t>
        </is>
      </c>
      <c r="E4787" s="28" t="n">
        <v>46156</v>
      </c>
      <c r="F4787" t="inlineStr">
        <is>
          <t>CT-e</t>
        </is>
      </c>
      <c r="G4787" t="inlineStr">
        <is>
          <t>000007059</t>
        </is>
      </c>
      <c r="H4787" t="inlineStr">
        <is>
          <t>R&amp;R TRANSPORTE E LOGISTICA</t>
        </is>
      </c>
      <c r="J4787" s="29" t="n">
        <v>300</v>
      </c>
      <c r="K4787" s="29">
        <f>(1-ISNUMBER(SEARCH("556",M4787)))*(O4787*SUMIFS(Premissas!$C$5:$C$44,Premissas!$A$5:$A$44,$A4787,Premissas!$B$5:$B$44,$B4787)+P4787*SUMIFS(Premissas!$D$5:$D$44,Premissas!$A$5:$A$44,$A4787,Premissas!$B$5:$B$44,$B4787))+R4787*SUMIFS(Premissas!$E$5:$E$44,Premissas!$A$5:$A$44,$A4787,Premissas!$B$5:$B$44,$B4787)+S4787*SUMIFS(Premissas!$F$5:$F$44,Premissas!$A$5:$A$44,$A4787,Premissas!$B$5:$B$44,$B4787)</f>
        <v/>
      </c>
      <c r="L4787" s="29">
        <f>J4787-K4787</f>
        <v/>
      </c>
      <c r="M4787" t="inlineStr">
        <is>
          <t>1.350</t>
        </is>
      </c>
      <c r="N4787" t="inlineStr">
        <is>
          <t>Modalidade: 0 - Por conta do remetente | Parte: JVS PRAZERES FESTAS LTDA (59.227.648/0001-48)</t>
        </is>
      </c>
      <c r="O4787" s="29" t="n">
        <v>0</v>
      </c>
      <c r="P4787" s="29" t="n">
        <v>0</v>
      </c>
      <c r="Q4787" s="29" t="n">
        <v>0</v>
      </c>
      <c r="R4787" s="29" t="n">
        <v>0</v>
      </c>
      <c r="S4787" s="29" t="n">
        <v>0</v>
      </c>
      <c r="T4787" t="inlineStr">
        <is>
          <t>25260526975620000130570010000070591001701610</t>
        </is>
      </c>
      <c r="U4787" t="inlineStr">
        <is>
          <t>Não</t>
        </is>
      </c>
    </row>
    <row r="4788">
      <c r="A4788" t="inlineStr">
        <is>
          <t>Frete de venda</t>
        </is>
      </c>
      <c r="B4788" t="inlineStr">
        <is>
          <t>2.04.87 Frete sobre Compra</t>
        </is>
      </c>
      <c r="C4788" s="30" t="n">
        <v>46143</v>
      </c>
      <c r="D4788" t="inlineStr">
        <is>
          <t>Em 2026</t>
        </is>
      </c>
      <c r="E4788" s="28" t="n">
        <v>46156</v>
      </c>
      <c r="F4788" t="inlineStr">
        <is>
          <t>CT-e</t>
        </is>
      </c>
      <c r="G4788" t="inlineStr">
        <is>
          <t>000007060</t>
        </is>
      </c>
      <c r="H4788" t="inlineStr">
        <is>
          <t>R&amp;R TRANSPORTE E LOGISTICA</t>
        </is>
      </c>
      <c r="J4788" s="29" t="n">
        <v>300</v>
      </c>
      <c r="K4788" s="29">
        <f>(1-ISNUMBER(SEARCH("556",M4788)))*(O4788*SUMIFS(Premissas!$C$5:$C$44,Premissas!$A$5:$A$44,$A4788,Premissas!$B$5:$B$44,$B4788)+P4788*SUMIFS(Premissas!$D$5:$D$44,Premissas!$A$5:$A$44,$A4788,Premissas!$B$5:$B$44,$B4788))+R4788*SUMIFS(Premissas!$E$5:$E$44,Premissas!$A$5:$A$44,$A4788,Premissas!$B$5:$B$44,$B4788)+S4788*SUMIFS(Premissas!$F$5:$F$44,Premissas!$A$5:$A$44,$A4788,Premissas!$B$5:$B$44,$B4788)</f>
        <v/>
      </c>
      <c r="L4788" s="29">
        <f>J4788-K4788</f>
        <v/>
      </c>
      <c r="M4788" t="inlineStr">
        <is>
          <t>1.350</t>
        </is>
      </c>
      <c r="N4788" t="inlineStr">
        <is>
          <t>Modalidade: 0 - Por conta do remetente | Parte: MACROPAC PROTECAO E EMBALAGEM LTDA (11.840.014/0001-30)</t>
        </is>
      </c>
      <c r="O4788" s="29" t="n">
        <v>0</v>
      </c>
      <c r="P4788" s="29" t="n">
        <v>0</v>
      </c>
      <c r="Q4788" s="29" t="n">
        <v>0</v>
      </c>
      <c r="R4788" s="29" t="n">
        <v>0</v>
      </c>
      <c r="S4788" s="29" t="n">
        <v>0</v>
      </c>
      <c r="T4788" t="inlineStr">
        <is>
          <t>25260526975620000130570010000070601000180960</t>
        </is>
      </c>
      <c r="U4788" t="inlineStr">
        <is>
          <t>Não</t>
        </is>
      </c>
    </row>
    <row r="4789">
      <c r="A4789" t="inlineStr">
        <is>
          <t>Frete de venda</t>
        </is>
      </c>
      <c r="B4789" t="inlineStr">
        <is>
          <t>2.04.87 Frete sobre Compra</t>
        </is>
      </c>
      <c r="C4789" s="30" t="n">
        <v>46143</v>
      </c>
      <c r="D4789" t="inlineStr">
        <is>
          <t>Em 2026</t>
        </is>
      </c>
      <c r="E4789" s="28" t="n">
        <v>46156</v>
      </c>
      <c r="F4789" t="inlineStr">
        <is>
          <t>CT-e</t>
        </is>
      </c>
      <c r="G4789" t="inlineStr">
        <is>
          <t>000007061</t>
        </is>
      </c>
      <c r="H4789" t="inlineStr">
        <is>
          <t>R&amp;R TRANSPORTE E LOGISTICA</t>
        </is>
      </c>
      <c r="J4789" s="29" t="n">
        <v>300</v>
      </c>
      <c r="K4789" s="29">
        <f>(1-ISNUMBER(SEARCH("556",M4789)))*(O4789*SUMIFS(Premissas!$C$5:$C$44,Premissas!$A$5:$A$44,$A4789,Premissas!$B$5:$B$44,$B4789)+P4789*SUMIFS(Premissas!$D$5:$D$44,Premissas!$A$5:$A$44,$A4789,Premissas!$B$5:$B$44,$B4789))+R4789*SUMIFS(Premissas!$E$5:$E$44,Premissas!$A$5:$A$44,$A4789,Premissas!$B$5:$B$44,$B4789)+S4789*SUMIFS(Premissas!$F$5:$F$44,Premissas!$A$5:$A$44,$A4789,Premissas!$B$5:$B$44,$B4789)</f>
        <v/>
      </c>
      <c r="L4789" s="29">
        <f>J4789-K4789</f>
        <v/>
      </c>
      <c r="M4789" t="inlineStr">
        <is>
          <t>1.350</t>
        </is>
      </c>
      <c r="N4789" t="inlineStr">
        <is>
          <t>Modalidade: 0 - Por conta do remetente | Parte: WRFC EMBALAGENS LTDA (56.093.170/0001-12)</t>
        </is>
      </c>
      <c r="O4789" s="29" t="n">
        <v>0</v>
      </c>
      <c r="P4789" s="29" t="n">
        <v>0</v>
      </c>
      <c r="Q4789" s="29" t="n">
        <v>0</v>
      </c>
      <c r="R4789" s="29" t="n">
        <v>0</v>
      </c>
      <c r="S4789" s="29" t="n">
        <v>0</v>
      </c>
      <c r="T4789" t="inlineStr">
        <is>
          <t>25260526975620000130570010000070611001501040</t>
        </is>
      </c>
      <c r="U4789" t="inlineStr">
        <is>
          <t>Não</t>
        </is>
      </c>
    </row>
    <row r="4790">
      <c r="A4790" t="inlineStr">
        <is>
          <t>Frete de venda</t>
        </is>
      </c>
      <c r="B4790" t="inlineStr">
        <is>
          <t>2.04.87 Frete sobre Compra</t>
        </is>
      </c>
      <c r="C4790" s="30" t="n">
        <v>46143</v>
      </c>
      <c r="D4790" t="inlineStr">
        <is>
          <t>Em 2026</t>
        </is>
      </c>
      <c r="E4790" s="28" t="n">
        <v>46157</v>
      </c>
      <c r="F4790" t="inlineStr">
        <is>
          <t>CT-e</t>
        </is>
      </c>
      <c r="G4790" t="inlineStr">
        <is>
          <t>000007076</t>
        </is>
      </c>
      <c r="H4790" t="inlineStr">
        <is>
          <t>R&amp;R TRANSPORTE E LOGISTICA</t>
        </is>
      </c>
      <c r="J4790" s="29" t="n">
        <v>700</v>
      </c>
      <c r="K4790" s="29">
        <f>(1-ISNUMBER(SEARCH("556",M4790)))*(O4790*SUMIFS(Premissas!$C$5:$C$44,Premissas!$A$5:$A$44,$A4790,Premissas!$B$5:$B$44,$B4790)+P4790*SUMIFS(Premissas!$D$5:$D$44,Premissas!$A$5:$A$44,$A4790,Premissas!$B$5:$B$44,$B4790))+R4790*SUMIFS(Premissas!$E$5:$E$44,Premissas!$A$5:$A$44,$A4790,Premissas!$B$5:$B$44,$B4790)+S4790*SUMIFS(Premissas!$F$5:$F$44,Premissas!$A$5:$A$44,$A4790,Premissas!$B$5:$B$44,$B4790)</f>
        <v/>
      </c>
      <c r="L4790" s="29">
        <f>J4790-K4790</f>
        <v/>
      </c>
      <c r="M4790" t="inlineStr">
        <is>
          <t>1.350</t>
        </is>
      </c>
      <c r="N4790" t="inlineStr">
        <is>
          <t>Modalidade: 0 - Por conta do remetente | Parte: WRFC EMBALAGENS LTDA (56.093.170/0001-12)</t>
        </is>
      </c>
      <c r="O4790" s="29" t="n">
        <v>0</v>
      </c>
      <c r="P4790" s="29" t="n">
        <v>0</v>
      </c>
      <c r="Q4790" s="29" t="n">
        <v>0</v>
      </c>
      <c r="R4790" s="29" t="n">
        <v>0</v>
      </c>
      <c r="S4790" s="29" t="n">
        <v>0</v>
      </c>
      <c r="T4790" t="inlineStr">
        <is>
          <t>25260526975620000130570010000070761001701174</t>
        </is>
      </c>
      <c r="U4790" t="inlineStr">
        <is>
          <t>Não</t>
        </is>
      </c>
    </row>
    <row r="4791">
      <c r="A4791" t="inlineStr">
        <is>
          <t>Frete de venda</t>
        </is>
      </c>
      <c r="B4791" t="inlineStr">
        <is>
          <t>2.04.87 Frete sobre Compra</t>
        </is>
      </c>
      <c r="C4791" s="30" t="n">
        <v>46174</v>
      </c>
      <c r="D4791" t="inlineStr">
        <is>
          <t>Em 2026</t>
        </is>
      </c>
      <c r="E4791" s="28" t="n">
        <v>46188</v>
      </c>
      <c r="F4791" t="inlineStr">
        <is>
          <t>CT-e</t>
        </is>
      </c>
      <c r="G4791" t="inlineStr">
        <is>
          <t>000115343</t>
        </is>
      </c>
      <c r="H4791" t="inlineStr">
        <is>
          <t>CAMPINENSE TRANSPORTE DE CARGAS E LOCACOES LT</t>
        </is>
      </c>
      <c r="J4791" s="29" t="n">
        <v>150.35</v>
      </c>
      <c r="K4791" s="29">
        <f>(1-ISNUMBER(SEARCH("556",M4791)))*(O4791*SUMIFS(Premissas!$C$5:$C$44,Premissas!$A$5:$A$44,$A4791,Premissas!$B$5:$B$44,$B4791)+P4791*SUMIFS(Premissas!$D$5:$D$44,Premissas!$A$5:$A$44,$A4791,Premissas!$B$5:$B$44,$B4791))+R4791*SUMIFS(Premissas!$E$5:$E$44,Premissas!$A$5:$A$44,$A4791,Premissas!$B$5:$B$44,$B4791)+S4791*SUMIFS(Premissas!$F$5:$F$44,Premissas!$A$5:$A$44,$A4791,Premissas!$B$5:$B$44,$B4791)</f>
        <v/>
      </c>
      <c r="L4791" s="29">
        <f>J4791-K4791</f>
        <v/>
      </c>
      <c r="M4791" t="inlineStr">
        <is>
          <t>2.350</t>
        </is>
      </c>
      <c r="N4791" t="inlineStr">
        <is>
          <t>Modalidade: 1 - Por conta do destinatário | Parte: BLEED S IND. E COM. DE PRODUTOS QUIMICOS E LUBRIF. LTDA (64.534.787/0001-54)</t>
        </is>
      </c>
      <c r="O4791" s="29" t="n">
        <v>0</v>
      </c>
      <c r="P4791" s="29" t="n">
        <v>10.52</v>
      </c>
      <c r="Q4791" s="29" t="n">
        <v>0</v>
      </c>
      <c r="R4791" s="29" t="n">
        <v>0</v>
      </c>
      <c r="S4791" s="29" t="n">
        <v>0</v>
      </c>
      <c r="T4791" t="inlineStr">
        <is>
          <t>35260608706145001005570010001153431001898412</t>
        </is>
      </c>
      <c r="U4791" t="inlineStr">
        <is>
          <t>Sim</t>
        </is>
      </c>
    </row>
    <row r="4792">
      <c r="A4792" t="inlineStr">
        <is>
          <t>Frete de venda</t>
        </is>
      </c>
      <c r="B4792" t="inlineStr">
        <is>
          <t>2.04.87 Frete sobre Compra</t>
        </is>
      </c>
      <c r="C4792" s="30" t="n">
        <v>46174</v>
      </c>
      <c r="D4792" t="inlineStr">
        <is>
          <t>Em 2026</t>
        </is>
      </c>
      <c r="E4792" s="28" t="n">
        <v>46190</v>
      </c>
      <c r="F4792" t="inlineStr">
        <is>
          <t>CT-e</t>
        </is>
      </c>
      <c r="G4792" t="inlineStr">
        <is>
          <t>000224769</t>
        </is>
      </c>
      <c r="H4792" t="inlineStr">
        <is>
          <t>CAZAN TRANSPORTES LTDA</t>
        </is>
      </c>
      <c r="J4792" s="29" t="n">
        <v>5779.38</v>
      </c>
      <c r="K4792" s="29">
        <f>(1-ISNUMBER(SEARCH("556",M4792)))*(O4792*SUMIFS(Premissas!$C$5:$C$44,Premissas!$A$5:$A$44,$A4792,Premissas!$B$5:$B$44,$B4792)+P4792*SUMIFS(Premissas!$D$5:$D$44,Premissas!$A$5:$A$44,$A4792,Premissas!$B$5:$B$44,$B4792))+R4792*SUMIFS(Premissas!$E$5:$E$44,Premissas!$A$5:$A$44,$A4792,Premissas!$B$5:$B$44,$B4792)+S4792*SUMIFS(Premissas!$F$5:$F$44,Premissas!$A$5:$A$44,$A4792,Premissas!$B$5:$B$44,$B4792)</f>
        <v/>
      </c>
      <c r="L4792" s="29">
        <f>J4792-K4792</f>
        <v/>
      </c>
      <c r="M4792" t="inlineStr">
        <is>
          <t>2.350</t>
        </is>
      </c>
      <c r="N4792" t="inlineStr">
        <is>
          <t>Modalidade: 1 - Por conta do destinatário | Parte: ANIN INDUSTRIA E COMERCIO DE PAPEL LTDA (39.285.002/0001-00)</t>
        </is>
      </c>
      <c r="O4792" s="29" t="n">
        <v>0</v>
      </c>
      <c r="P4792" s="29" t="n">
        <v>404.56</v>
      </c>
      <c r="Q4792" s="29" t="n">
        <v>0</v>
      </c>
      <c r="R4792" s="29" t="n">
        <v>0</v>
      </c>
      <c r="S4792" s="29" t="n">
        <v>0</v>
      </c>
      <c r="T4792" t="inlineStr">
        <is>
          <t>35260607797011000193570010002247691432323081</t>
        </is>
      </c>
      <c r="U4792" t="inlineStr">
        <is>
          <t>Sim</t>
        </is>
      </c>
    </row>
    <row r="4793">
      <c r="A4793" t="inlineStr">
        <is>
          <t>Frete de venda</t>
        </is>
      </c>
      <c r="B4793" t="inlineStr">
        <is>
          <t>2.04.87 Frete sobre Compra</t>
        </is>
      </c>
      <c r="C4793" s="30" t="n">
        <v>46174</v>
      </c>
      <c r="D4793" t="inlineStr">
        <is>
          <t>Em 2026</t>
        </is>
      </c>
      <c r="E4793" s="28" t="n">
        <v>46196</v>
      </c>
      <c r="F4793" t="inlineStr">
        <is>
          <t>CT-e</t>
        </is>
      </c>
      <c r="G4793" t="inlineStr">
        <is>
          <t>000225183</t>
        </is>
      </c>
      <c r="H4793" t="inlineStr">
        <is>
          <t>CAZAN TRANSPORTES LTDA</t>
        </is>
      </c>
      <c r="J4793" s="29" t="n">
        <v>145.91</v>
      </c>
      <c r="K4793" s="29">
        <f>(1-ISNUMBER(SEARCH("556",M4793)))*(O4793*SUMIFS(Premissas!$C$5:$C$44,Premissas!$A$5:$A$44,$A4793,Premissas!$B$5:$B$44,$B4793)+P4793*SUMIFS(Premissas!$D$5:$D$44,Premissas!$A$5:$A$44,$A4793,Premissas!$B$5:$B$44,$B4793))+R4793*SUMIFS(Premissas!$E$5:$E$44,Premissas!$A$5:$A$44,$A4793,Premissas!$B$5:$B$44,$B4793)+S4793*SUMIFS(Premissas!$F$5:$F$44,Premissas!$A$5:$A$44,$A4793,Premissas!$B$5:$B$44,$B4793)</f>
        <v/>
      </c>
      <c r="L4793" s="29">
        <f>J4793-K4793</f>
        <v/>
      </c>
      <c r="M4793" t="inlineStr">
        <is>
          <t>2.350</t>
        </is>
      </c>
      <c r="N4793" t="inlineStr">
        <is>
          <t>Modalidade: 1 - Por conta do destinatário | Parte: FURNAX COMERCIAL E IMPORTADORA EIRELI (00.144.257/0001-17)</t>
        </is>
      </c>
      <c r="O4793" s="29" t="n">
        <v>0</v>
      </c>
      <c r="P4793" s="29" t="n">
        <v>10.21</v>
      </c>
      <c r="Q4793" s="29" t="n">
        <v>0</v>
      </c>
      <c r="R4793" s="29" t="n">
        <v>0</v>
      </c>
      <c r="S4793" s="29" t="n">
        <v>0</v>
      </c>
      <c r="T4793" t="inlineStr">
        <is>
          <t>35260607797011000193570010002251831349226377</t>
        </is>
      </c>
      <c r="U4793" t="inlineStr">
        <is>
          <t>Sim</t>
        </is>
      </c>
    </row>
    <row r="4794">
      <c r="A4794" t="inlineStr">
        <is>
          <t>Frete de venda</t>
        </is>
      </c>
      <c r="B4794" t="inlineStr">
        <is>
          <t>2.04.87 Frete sobre Compra</t>
        </is>
      </c>
      <c r="C4794" s="30" t="n">
        <v>46174</v>
      </c>
      <c r="D4794" t="inlineStr">
        <is>
          <t>Em 2026</t>
        </is>
      </c>
      <c r="E4794" s="28" t="n">
        <v>46197</v>
      </c>
      <c r="F4794" t="inlineStr">
        <is>
          <t>CT-e</t>
        </is>
      </c>
      <c r="G4794" t="inlineStr">
        <is>
          <t>000049042</t>
        </is>
      </c>
      <c r="H4794" t="inlineStr">
        <is>
          <t>GLOBAL AIR CARGO LTDA</t>
        </is>
      </c>
      <c r="J4794" s="29" t="n">
        <v>288.23</v>
      </c>
      <c r="K4794" s="29">
        <f>(1-ISNUMBER(SEARCH("556",M4794)))*(O4794*SUMIFS(Premissas!$C$5:$C$44,Premissas!$A$5:$A$44,$A4794,Premissas!$B$5:$B$44,$B4794)+P4794*SUMIFS(Premissas!$D$5:$D$44,Premissas!$A$5:$A$44,$A4794,Premissas!$B$5:$B$44,$B4794))+R4794*SUMIFS(Premissas!$E$5:$E$44,Premissas!$A$5:$A$44,$A4794,Premissas!$B$5:$B$44,$B4794)+S4794*SUMIFS(Premissas!$F$5:$F$44,Premissas!$A$5:$A$44,$A4794,Premissas!$B$5:$B$44,$B4794)</f>
        <v/>
      </c>
      <c r="L4794" s="29">
        <f>J4794-K4794</f>
        <v/>
      </c>
      <c r="M4794" t="inlineStr">
        <is>
          <t>2.350</t>
        </is>
      </c>
      <c r="N4794" t="inlineStr">
        <is>
          <t>Modalidade: 1 - Por conta do destinatário | Parte: TECHPRINT FACAS INDUSTRIAIS (23.105.251/0001-36)</t>
        </is>
      </c>
      <c r="O4794" s="29" t="n">
        <v>0</v>
      </c>
      <c r="P4794" s="29" t="n">
        <v>20.18</v>
      </c>
      <c r="Q4794" s="29" t="n">
        <v>0</v>
      </c>
      <c r="R4794" s="29" t="n">
        <v>0</v>
      </c>
      <c r="S4794" s="29" t="n">
        <v>0</v>
      </c>
      <c r="T4794" t="inlineStr">
        <is>
          <t>35260600945958000155570060000490421839276205</t>
        </is>
      </c>
      <c r="U4794" t="inlineStr">
        <is>
          <t>Sim</t>
        </is>
      </c>
    </row>
    <row r="4795">
      <c r="A4795" t="inlineStr">
        <is>
          <t>Frete de venda</t>
        </is>
      </c>
      <c r="B4795" t="inlineStr">
        <is>
          <t>2.04.87 Frete sobre Compra</t>
        </is>
      </c>
      <c r="C4795" s="30" t="n">
        <v>46174</v>
      </c>
      <c r="D4795" t="inlineStr">
        <is>
          <t>Em 2026</t>
        </is>
      </c>
      <c r="E4795" s="28" t="n">
        <v>46203</v>
      </c>
      <c r="F4795" t="inlineStr">
        <is>
          <t>CT-e</t>
        </is>
      </c>
      <c r="G4795" t="inlineStr">
        <is>
          <t>000007506</t>
        </is>
      </c>
      <c r="H4795" t="inlineStr">
        <is>
          <t>R&amp;R TRANSPORTE E LOGISTICA</t>
        </is>
      </c>
      <c r="J4795" s="29" t="n">
        <v>27.98</v>
      </c>
      <c r="K4795" s="29">
        <f>(1-ISNUMBER(SEARCH("556",M4795)))*(O4795*SUMIFS(Premissas!$C$5:$C$44,Premissas!$A$5:$A$44,$A4795,Premissas!$B$5:$B$44,$B4795)+P4795*SUMIFS(Premissas!$D$5:$D$44,Premissas!$A$5:$A$44,$A4795,Premissas!$B$5:$B$44,$B4795))+R4795*SUMIFS(Premissas!$E$5:$E$44,Premissas!$A$5:$A$44,$A4795,Premissas!$B$5:$B$44,$B4795)+S4795*SUMIFS(Premissas!$F$5:$F$44,Premissas!$A$5:$A$44,$A4795,Premissas!$B$5:$B$44,$B4795)</f>
        <v/>
      </c>
      <c r="L4795" s="29">
        <f>J4795-K4795</f>
        <v/>
      </c>
      <c r="M4795" t="inlineStr">
        <is>
          <t>2.350</t>
        </is>
      </c>
      <c r="N4795" t="inlineStr">
        <is>
          <t>Modalidade: 0 - Por conta do remetente | Parte: VALDINEA NOGUEIRA DA COSTA (04.865.057/0001-04)</t>
        </is>
      </c>
      <c r="O4795" s="29" t="n">
        <v>0</v>
      </c>
      <c r="P4795" s="29" t="n">
        <v>0</v>
      </c>
      <c r="Q4795" s="29" t="n">
        <v>0</v>
      </c>
      <c r="R4795" s="29" t="n">
        <v>0</v>
      </c>
      <c r="S4795" s="29" t="n">
        <v>0</v>
      </c>
      <c r="T4795" t="inlineStr">
        <is>
          <t>25260626975620000130570010000075061000101544</t>
        </is>
      </c>
      <c r="U4795" t="inlineStr">
        <is>
          <t>Não</t>
        </is>
      </c>
    </row>
    <row r="4796">
      <c r="A4796" t="inlineStr">
        <is>
          <t>Frete de venda</t>
        </is>
      </c>
      <c r="B4796" t="inlineStr">
        <is>
          <t>2.04.87 Frete sobre Compra</t>
        </is>
      </c>
      <c r="C4796" s="30" t="n">
        <v>46174</v>
      </c>
      <c r="D4796" t="inlineStr">
        <is>
          <t>Em 2026</t>
        </is>
      </c>
      <c r="E4796" s="28" t="n">
        <v>46203</v>
      </c>
      <c r="F4796" t="inlineStr">
        <is>
          <t>CT-e</t>
        </is>
      </c>
      <c r="G4796" t="inlineStr">
        <is>
          <t>000007507</t>
        </is>
      </c>
      <c r="H4796" t="inlineStr">
        <is>
          <t>R&amp;R TRANSPORTE E LOGISTICA</t>
        </is>
      </c>
      <c r="J4796" s="29" t="n">
        <v>160.91</v>
      </c>
      <c r="K4796" s="29">
        <f>(1-ISNUMBER(SEARCH("556",M4796)))*(O4796*SUMIFS(Premissas!$C$5:$C$44,Premissas!$A$5:$A$44,$A4796,Premissas!$B$5:$B$44,$B4796)+P4796*SUMIFS(Premissas!$D$5:$D$44,Premissas!$A$5:$A$44,$A4796,Premissas!$B$5:$B$44,$B4796))+R4796*SUMIFS(Premissas!$E$5:$E$44,Premissas!$A$5:$A$44,$A4796,Premissas!$B$5:$B$44,$B4796)+S4796*SUMIFS(Premissas!$F$5:$F$44,Premissas!$A$5:$A$44,$A4796,Premissas!$B$5:$B$44,$B4796)</f>
        <v/>
      </c>
      <c r="L4796" s="29">
        <f>J4796-K4796</f>
        <v/>
      </c>
      <c r="M4796" t="inlineStr">
        <is>
          <t>2.350</t>
        </is>
      </c>
      <c r="N4796" t="inlineStr">
        <is>
          <t>Modalidade: 0 - Por conta do remetente | Parte: DISTRIBUIDORA DE FRIOS IRMAOS MARTINS LTDA (35.027.845/0001-55)</t>
        </is>
      </c>
      <c r="O4796" s="29" t="n">
        <v>0</v>
      </c>
      <c r="P4796" s="29" t="n">
        <v>0</v>
      </c>
      <c r="Q4796" s="29" t="n">
        <v>0</v>
      </c>
      <c r="R4796" s="29" t="n">
        <v>0</v>
      </c>
      <c r="S4796" s="29" t="n">
        <v>0</v>
      </c>
      <c r="T4796" t="inlineStr">
        <is>
          <t>25260626975620000130570010000075071001801628</t>
        </is>
      </c>
      <c r="U4796" t="inlineStr">
        <is>
          <t>Não</t>
        </is>
      </c>
    </row>
    <row r="4797">
      <c r="A4797" t="inlineStr">
        <is>
          <t>Frete de venda</t>
        </is>
      </c>
      <c r="B4797" t="inlineStr">
        <is>
          <t>2.04.87 Frete sobre Compra</t>
        </is>
      </c>
      <c r="C4797" s="30" t="n">
        <v>46174</v>
      </c>
      <c r="D4797" t="inlineStr">
        <is>
          <t>Em 2026</t>
        </is>
      </c>
      <c r="E4797" s="28" t="n">
        <v>46203</v>
      </c>
      <c r="F4797" t="inlineStr">
        <is>
          <t>CT-e</t>
        </is>
      </c>
      <c r="G4797" t="inlineStr">
        <is>
          <t>000007508</t>
        </is>
      </c>
      <c r="H4797" t="inlineStr">
        <is>
          <t>R&amp;R TRANSPORTE E LOGISTICA</t>
        </is>
      </c>
      <c r="J4797" s="29" t="n">
        <v>30.28</v>
      </c>
      <c r="K4797" s="29">
        <f>(1-ISNUMBER(SEARCH("556",M4797)))*(O4797*SUMIFS(Premissas!$C$5:$C$44,Premissas!$A$5:$A$44,$A4797,Premissas!$B$5:$B$44,$B4797)+P4797*SUMIFS(Premissas!$D$5:$D$44,Premissas!$A$5:$A$44,$A4797,Premissas!$B$5:$B$44,$B4797))+R4797*SUMIFS(Premissas!$E$5:$E$44,Premissas!$A$5:$A$44,$A4797,Premissas!$B$5:$B$44,$B4797)+S4797*SUMIFS(Premissas!$F$5:$F$44,Premissas!$A$5:$A$44,$A4797,Premissas!$B$5:$B$44,$B4797)</f>
        <v/>
      </c>
      <c r="L4797" s="29">
        <f>J4797-K4797</f>
        <v/>
      </c>
      <c r="M4797" t="inlineStr">
        <is>
          <t>2.350</t>
        </is>
      </c>
      <c r="N4797" t="inlineStr">
        <is>
          <t>Modalidade: 0 - Por conta do remetente | Parte: TRES RIOS COMERCIO ATACADISTA E DISTRIBUIDORA LTDA (20.475.473/0001-52)</t>
        </is>
      </c>
      <c r="O4797" s="29" t="n">
        <v>0</v>
      </c>
      <c r="P4797" s="29" t="n">
        <v>0</v>
      </c>
      <c r="Q4797" s="29" t="n">
        <v>0</v>
      </c>
      <c r="R4797" s="29" t="n">
        <v>0</v>
      </c>
      <c r="S4797" s="29" t="n">
        <v>0</v>
      </c>
      <c r="T4797" t="inlineStr">
        <is>
          <t>25260626975620000130570010000075081001501702</t>
        </is>
      </c>
      <c r="U4797" t="inlineStr">
        <is>
          <t>Não</t>
        </is>
      </c>
    </row>
    <row r="4798">
      <c r="A4798" t="inlineStr">
        <is>
          <t>Frete de venda</t>
        </is>
      </c>
      <c r="B4798" t="inlineStr">
        <is>
          <t>2.04.87 Frete sobre Compra</t>
        </is>
      </c>
      <c r="C4798" s="30" t="n">
        <v>46174</v>
      </c>
      <c r="D4798" t="inlineStr">
        <is>
          <t>Em 2026</t>
        </is>
      </c>
      <c r="E4798" s="28" t="n">
        <v>46203</v>
      </c>
      <c r="F4798" t="inlineStr">
        <is>
          <t>CT-e</t>
        </is>
      </c>
      <c r="G4798" t="inlineStr">
        <is>
          <t>000007509</t>
        </is>
      </c>
      <c r="H4798" t="inlineStr">
        <is>
          <t>R&amp;R TRANSPORTE E LOGISTICA</t>
        </is>
      </c>
      <c r="J4798" s="29" t="n">
        <v>27.09</v>
      </c>
      <c r="K4798" s="29">
        <f>(1-ISNUMBER(SEARCH("556",M4798)))*(O4798*SUMIFS(Premissas!$C$5:$C$44,Premissas!$A$5:$A$44,$A4798,Premissas!$B$5:$B$44,$B4798)+P4798*SUMIFS(Premissas!$D$5:$D$44,Premissas!$A$5:$A$44,$A4798,Premissas!$B$5:$B$44,$B4798))+R4798*SUMIFS(Premissas!$E$5:$E$44,Premissas!$A$5:$A$44,$A4798,Premissas!$B$5:$B$44,$B4798)+S4798*SUMIFS(Premissas!$F$5:$F$44,Premissas!$A$5:$A$44,$A4798,Premissas!$B$5:$B$44,$B4798)</f>
        <v/>
      </c>
      <c r="L4798" s="29">
        <f>J4798-K4798</f>
        <v/>
      </c>
      <c r="M4798" t="inlineStr">
        <is>
          <t>2.350</t>
        </is>
      </c>
      <c r="N4798" t="inlineStr">
        <is>
          <t>Modalidade: 0 - Por conta do remetente | Parte: PEREIRA e RABELO LTDA (14.924.495/0001-50)</t>
        </is>
      </c>
      <c r="O4798" s="29" t="n">
        <v>0</v>
      </c>
      <c r="P4798" s="29" t="n">
        <v>0</v>
      </c>
      <c r="Q4798" s="29" t="n">
        <v>0</v>
      </c>
      <c r="R4798" s="29" t="n">
        <v>0</v>
      </c>
      <c r="S4798" s="29" t="n">
        <v>0</v>
      </c>
      <c r="T4798" t="inlineStr">
        <is>
          <t>25260626975620000130570010000075091001201781</t>
        </is>
      </c>
      <c r="U4798" t="inlineStr">
        <is>
          <t>Não</t>
        </is>
      </c>
    </row>
    <row r="4799">
      <c r="A4799" t="inlineStr">
        <is>
          <t>Frete de venda</t>
        </is>
      </c>
      <c r="B4799" t="inlineStr">
        <is>
          <t>2.04.87 Frete sobre Compra</t>
        </is>
      </c>
      <c r="C4799" s="30" t="n">
        <v>46174</v>
      </c>
      <c r="D4799" t="inlineStr">
        <is>
          <t>Em 2026</t>
        </is>
      </c>
      <c r="E4799" s="28" t="n">
        <v>46203</v>
      </c>
      <c r="F4799" t="inlineStr">
        <is>
          <t>CT-e</t>
        </is>
      </c>
      <c r="G4799" t="inlineStr">
        <is>
          <t>000007510</t>
        </is>
      </c>
      <c r="H4799" t="inlineStr">
        <is>
          <t>R&amp;R TRANSPORTE E LOGISTICA</t>
        </is>
      </c>
      <c r="J4799" s="29" t="n">
        <v>84.61</v>
      </c>
      <c r="K4799" s="29">
        <f>(1-ISNUMBER(SEARCH("556",M4799)))*(O4799*SUMIFS(Premissas!$C$5:$C$44,Premissas!$A$5:$A$44,$A4799,Premissas!$B$5:$B$44,$B4799)+P4799*SUMIFS(Premissas!$D$5:$D$44,Premissas!$A$5:$A$44,$A4799,Premissas!$B$5:$B$44,$B4799))+R4799*SUMIFS(Premissas!$E$5:$E$44,Premissas!$A$5:$A$44,$A4799,Premissas!$B$5:$B$44,$B4799)+S4799*SUMIFS(Premissas!$F$5:$F$44,Premissas!$A$5:$A$44,$A4799,Premissas!$B$5:$B$44,$B4799)</f>
        <v/>
      </c>
      <c r="L4799" s="29">
        <f>J4799-K4799</f>
        <v/>
      </c>
      <c r="M4799" t="inlineStr">
        <is>
          <t>2.350</t>
        </is>
      </c>
      <c r="N4799" t="inlineStr">
        <is>
          <t>Modalidade: 0 - Por conta do remetente | Parte: TYGER ATACADISTA E DISTRIBUIDORA LTDA (36.978.497/0001-64)</t>
        </is>
      </c>
      <c r="O4799" s="29" t="n">
        <v>0</v>
      </c>
      <c r="P4799" s="29" t="n">
        <v>0</v>
      </c>
      <c r="Q4799" s="29" t="n">
        <v>0</v>
      </c>
      <c r="R4799" s="29" t="n">
        <v>0</v>
      </c>
      <c r="S4799" s="29" t="n">
        <v>0</v>
      </c>
      <c r="T4799" t="inlineStr">
        <is>
          <t>25260626975620000130570010000075101001301132</t>
        </is>
      </c>
      <c r="U4799" t="inlineStr">
        <is>
          <t>Não</t>
        </is>
      </c>
    </row>
    <row r="4800">
      <c r="A4800" t="inlineStr">
        <is>
          <t>Frete de venda</t>
        </is>
      </c>
      <c r="B4800" t="inlineStr">
        <is>
          <t>2.04.87 Frete sobre Compra</t>
        </is>
      </c>
      <c r="C4800" s="30" t="n">
        <v>46174</v>
      </c>
      <c r="D4800" t="inlineStr">
        <is>
          <t>Em 2026</t>
        </is>
      </c>
      <c r="E4800" s="28" t="n">
        <v>46203</v>
      </c>
      <c r="F4800" t="inlineStr">
        <is>
          <t>CT-e</t>
        </is>
      </c>
      <c r="G4800" t="inlineStr">
        <is>
          <t>000007511</t>
        </is>
      </c>
      <c r="H4800" t="inlineStr">
        <is>
          <t>R&amp;R TRANSPORTE E LOGISTICA</t>
        </is>
      </c>
      <c r="J4800" s="29" t="n">
        <v>32.96</v>
      </c>
      <c r="K4800" s="29">
        <f>(1-ISNUMBER(SEARCH("556",M4800)))*(O4800*SUMIFS(Premissas!$C$5:$C$44,Premissas!$A$5:$A$44,$A4800,Premissas!$B$5:$B$44,$B4800)+P4800*SUMIFS(Premissas!$D$5:$D$44,Premissas!$A$5:$A$44,$A4800,Premissas!$B$5:$B$44,$B4800))+R4800*SUMIFS(Premissas!$E$5:$E$44,Premissas!$A$5:$A$44,$A4800,Premissas!$B$5:$B$44,$B4800)+S4800*SUMIFS(Premissas!$F$5:$F$44,Premissas!$A$5:$A$44,$A4800,Premissas!$B$5:$B$44,$B4800)</f>
        <v/>
      </c>
      <c r="L4800" s="29">
        <f>J4800-K4800</f>
        <v/>
      </c>
      <c r="M4800" t="inlineStr">
        <is>
          <t>2.350</t>
        </is>
      </c>
      <c r="N4800" t="inlineStr">
        <is>
          <t>Modalidade: 0 - Por conta do remetente | Parte: CLG DESCARTAVEIS E EQUIPAMENTOS LTDA (28.182.666/0001-27)</t>
        </is>
      </c>
      <c r="O4800" s="29" t="n">
        <v>0</v>
      </c>
      <c r="P4800" s="29" t="n">
        <v>0</v>
      </c>
      <c r="Q4800" s="29" t="n">
        <v>0</v>
      </c>
      <c r="R4800" s="29" t="n">
        <v>0</v>
      </c>
      <c r="S4800" s="29" t="n">
        <v>0</v>
      </c>
      <c r="T4800" t="inlineStr">
        <is>
          <t>25260626975620000130570010000075111000101218</t>
        </is>
      </c>
      <c r="U4800" t="inlineStr">
        <is>
          <t>Não</t>
        </is>
      </c>
    </row>
    <row r="4801">
      <c r="A4801" t="inlineStr">
        <is>
          <t>Frete de venda</t>
        </is>
      </c>
      <c r="B4801" t="inlineStr">
        <is>
          <t>2.04.87 Frete sobre Compra</t>
        </is>
      </c>
      <c r="C4801" s="30" t="n">
        <v>46174</v>
      </c>
      <c r="D4801" t="inlineStr">
        <is>
          <t>Em 2026</t>
        </is>
      </c>
      <c r="E4801" s="28" t="n">
        <v>46203</v>
      </c>
      <c r="F4801" t="inlineStr">
        <is>
          <t>CT-e</t>
        </is>
      </c>
      <c r="G4801" t="inlineStr">
        <is>
          <t>000007512</t>
        </is>
      </c>
      <c r="H4801" t="inlineStr">
        <is>
          <t>R&amp;R TRANSPORTE E LOGISTICA</t>
        </is>
      </c>
      <c r="J4801" s="29" t="n">
        <v>27.5</v>
      </c>
      <c r="K4801" s="29">
        <f>(1-ISNUMBER(SEARCH("556",M4801)))*(O4801*SUMIFS(Premissas!$C$5:$C$44,Premissas!$A$5:$A$44,$A4801,Premissas!$B$5:$B$44,$B4801)+P4801*SUMIFS(Premissas!$D$5:$D$44,Premissas!$A$5:$A$44,$A4801,Premissas!$B$5:$B$44,$B4801))+R4801*SUMIFS(Premissas!$E$5:$E$44,Premissas!$A$5:$A$44,$A4801,Premissas!$B$5:$B$44,$B4801)+S4801*SUMIFS(Premissas!$F$5:$F$44,Premissas!$A$5:$A$44,$A4801,Premissas!$B$5:$B$44,$B4801)</f>
        <v/>
      </c>
      <c r="L4801" s="29">
        <f>J4801-K4801</f>
        <v/>
      </c>
      <c r="M4801" t="inlineStr">
        <is>
          <t>2.350</t>
        </is>
      </c>
      <c r="N4801" t="inlineStr">
        <is>
          <t>Modalidade: 0 - Por conta do remetente | Parte: DANIEL MAGALHAES COMERCIO DE DOCES E EMBALAGENS LTDA (07.301.540/0001-54)</t>
        </is>
      </c>
      <c r="O4801" s="29" t="n">
        <v>0</v>
      </c>
      <c r="P4801" s="29" t="n">
        <v>0</v>
      </c>
      <c r="Q4801" s="29" t="n">
        <v>0</v>
      </c>
      <c r="R4801" s="29" t="n">
        <v>0</v>
      </c>
      <c r="S4801" s="29" t="n">
        <v>0</v>
      </c>
      <c r="T4801" t="inlineStr">
        <is>
          <t>25260626975620000130570010000075121001801296</t>
        </is>
      </c>
      <c r="U4801" t="inlineStr">
        <is>
          <t>Não</t>
        </is>
      </c>
    </row>
    <row r="4802">
      <c r="A4802" t="inlineStr">
        <is>
          <t>Frete de venda</t>
        </is>
      </c>
      <c r="B4802" t="inlineStr">
        <is>
          <t>2.04.87 Frete sobre Compra</t>
        </is>
      </c>
      <c r="C4802" s="30" t="n">
        <v>46174</v>
      </c>
      <c r="D4802" t="inlineStr">
        <is>
          <t>Em 2026</t>
        </is>
      </c>
      <c r="E4802" s="28" t="n">
        <v>46203</v>
      </c>
      <c r="F4802" t="inlineStr">
        <is>
          <t>CT-e</t>
        </is>
      </c>
      <c r="G4802" t="inlineStr">
        <is>
          <t>000007513</t>
        </is>
      </c>
      <c r="H4802" t="inlineStr">
        <is>
          <t>R&amp;R TRANSPORTE E LOGISTICA</t>
        </is>
      </c>
      <c r="J4802" s="29" t="n">
        <v>22.81</v>
      </c>
      <c r="K4802" s="29">
        <f>(1-ISNUMBER(SEARCH("556",M4802)))*(O4802*SUMIFS(Premissas!$C$5:$C$44,Premissas!$A$5:$A$44,$A4802,Premissas!$B$5:$B$44,$B4802)+P4802*SUMIFS(Premissas!$D$5:$D$44,Premissas!$A$5:$A$44,$A4802,Premissas!$B$5:$B$44,$B4802))+R4802*SUMIFS(Premissas!$E$5:$E$44,Premissas!$A$5:$A$44,$A4802,Premissas!$B$5:$B$44,$B4802)+S4802*SUMIFS(Premissas!$F$5:$F$44,Premissas!$A$5:$A$44,$A4802,Premissas!$B$5:$B$44,$B4802)</f>
        <v/>
      </c>
      <c r="L4802" s="29">
        <f>J4802-K4802</f>
        <v/>
      </c>
      <c r="M4802" t="inlineStr">
        <is>
          <t>2.350</t>
        </is>
      </c>
      <c r="N4802" t="inlineStr">
        <is>
          <t>Modalidade: 0 - Por conta do remetente | Parte: E.S. BRANDAO FERNANDES (10.341.001/0002-34)</t>
        </is>
      </c>
      <c r="O4802" s="29" t="n">
        <v>0</v>
      </c>
      <c r="P4802" s="29" t="n">
        <v>0</v>
      </c>
      <c r="Q4802" s="29" t="n">
        <v>0</v>
      </c>
      <c r="R4802" s="29" t="n">
        <v>0</v>
      </c>
      <c r="S4802" s="29" t="n">
        <v>0</v>
      </c>
      <c r="T4802" t="inlineStr">
        <is>
          <t>25260626975620000130570010000075131001501370</t>
        </is>
      </c>
      <c r="U4802" t="inlineStr">
        <is>
          <t>Não</t>
        </is>
      </c>
    </row>
    <row r="4803">
      <c r="A4803" t="inlineStr">
        <is>
          <t>Frete de venda</t>
        </is>
      </c>
      <c r="B4803" t="inlineStr">
        <is>
          <t>2.04.87 Frete sobre Compra</t>
        </is>
      </c>
      <c r="C4803" s="30" t="n">
        <v>46174</v>
      </c>
      <c r="D4803" t="inlineStr">
        <is>
          <t>Em 2026</t>
        </is>
      </c>
      <c r="E4803" s="28" t="n">
        <v>46203</v>
      </c>
      <c r="F4803" t="inlineStr">
        <is>
          <t>CT-e</t>
        </is>
      </c>
      <c r="G4803" t="inlineStr">
        <is>
          <t>000007514</t>
        </is>
      </c>
      <c r="H4803" t="inlineStr">
        <is>
          <t>R&amp;R TRANSPORTE E LOGISTICA</t>
        </is>
      </c>
      <c r="J4803" s="29" t="n">
        <v>23.28</v>
      </c>
      <c r="K4803" s="29">
        <f>(1-ISNUMBER(SEARCH("556",M4803)))*(O4803*SUMIFS(Premissas!$C$5:$C$44,Premissas!$A$5:$A$44,$A4803,Premissas!$B$5:$B$44,$B4803)+P4803*SUMIFS(Premissas!$D$5:$D$44,Premissas!$A$5:$A$44,$A4803,Premissas!$B$5:$B$44,$B4803))+R4803*SUMIFS(Premissas!$E$5:$E$44,Premissas!$A$5:$A$44,$A4803,Premissas!$B$5:$B$44,$B4803)+S4803*SUMIFS(Premissas!$F$5:$F$44,Premissas!$A$5:$A$44,$A4803,Premissas!$B$5:$B$44,$B4803)</f>
        <v/>
      </c>
      <c r="L4803" s="29">
        <f>J4803-K4803</f>
        <v/>
      </c>
      <c r="M4803" t="inlineStr">
        <is>
          <t>2.350</t>
        </is>
      </c>
      <c r="N4803" t="inlineStr">
        <is>
          <t>Modalidade: 0 - Por conta do remetente | Parte: E.S. BRANDAO FERNANDES (10.341.001/0001-53)</t>
        </is>
      </c>
      <c r="O4803" s="29" t="n">
        <v>0</v>
      </c>
      <c r="P4803" s="29" t="n">
        <v>0</v>
      </c>
      <c r="Q4803" s="29" t="n">
        <v>0</v>
      </c>
      <c r="R4803" s="29" t="n">
        <v>0</v>
      </c>
      <c r="S4803" s="29" t="n">
        <v>0</v>
      </c>
      <c r="T4803" t="inlineStr">
        <is>
          <t>25260626975620000130570010000075141001201455</t>
        </is>
      </c>
      <c r="U4803" t="inlineStr">
        <is>
          <t>Não</t>
        </is>
      </c>
    </row>
    <row r="4804">
      <c r="A4804" t="inlineStr">
        <is>
          <t>Frete de venda</t>
        </is>
      </c>
      <c r="B4804" t="inlineStr">
        <is>
          <t>2.04.87 Frete sobre Compra</t>
        </is>
      </c>
      <c r="C4804" s="30" t="n">
        <v>46174</v>
      </c>
      <c r="D4804" t="inlineStr">
        <is>
          <t>Em 2026</t>
        </is>
      </c>
      <c r="E4804" s="28" t="n">
        <v>46203</v>
      </c>
      <c r="F4804" t="inlineStr">
        <is>
          <t>CT-e</t>
        </is>
      </c>
      <c r="G4804" t="inlineStr">
        <is>
          <t>000007515</t>
        </is>
      </c>
      <c r="H4804" t="inlineStr">
        <is>
          <t>R&amp;R TRANSPORTE E LOGISTICA</t>
        </is>
      </c>
      <c r="J4804" s="29" t="n">
        <v>24.18</v>
      </c>
      <c r="K4804" s="29">
        <f>(1-ISNUMBER(SEARCH("556",M4804)))*(O4804*SUMIFS(Premissas!$C$5:$C$44,Premissas!$A$5:$A$44,$A4804,Premissas!$B$5:$B$44,$B4804)+P4804*SUMIFS(Premissas!$D$5:$D$44,Premissas!$A$5:$A$44,$A4804,Premissas!$B$5:$B$44,$B4804))+R4804*SUMIFS(Premissas!$E$5:$E$44,Premissas!$A$5:$A$44,$A4804,Premissas!$B$5:$B$44,$B4804)+S4804*SUMIFS(Premissas!$F$5:$F$44,Premissas!$A$5:$A$44,$A4804,Premissas!$B$5:$B$44,$B4804)</f>
        <v/>
      </c>
      <c r="L4804" s="29">
        <f>J4804-K4804</f>
        <v/>
      </c>
      <c r="M4804" t="inlineStr">
        <is>
          <t>2.350</t>
        </is>
      </c>
      <c r="N4804" t="inlineStr">
        <is>
          <t>Modalidade: 0 - Por conta do remetente | Parte: CARLOS SOARES DE ABREU (52.158.824/0001-98)</t>
        </is>
      </c>
      <c r="O4804" s="29" t="n">
        <v>0</v>
      </c>
      <c r="P4804" s="29" t="n">
        <v>0</v>
      </c>
      <c r="Q4804" s="29" t="n">
        <v>0</v>
      </c>
      <c r="R4804" s="29" t="n">
        <v>0</v>
      </c>
      <c r="S4804" s="29" t="n">
        <v>0</v>
      </c>
      <c r="T4804" t="inlineStr">
        <is>
          <t>25260626975620000130570010000075151011001537</t>
        </is>
      </c>
      <c r="U4804" t="inlineStr">
        <is>
          <t>Não</t>
        </is>
      </c>
    </row>
    <row r="4805">
      <c r="A4805" t="inlineStr">
        <is>
          <t>Frete de venda</t>
        </is>
      </c>
      <c r="B4805" t="inlineStr">
        <is>
          <t>2.04.87 Frete sobre Compra</t>
        </is>
      </c>
      <c r="C4805" s="30" t="n">
        <v>46174</v>
      </c>
      <c r="D4805" t="inlineStr">
        <is>
          <t>Em 2026</t>
        </is>
      </c>
      <c r="E4805" s="28" t="n">
        <v>46203</v>
      </c>
      <c r="F4805" t="inlineStr">
        <is>
          <t>CT-e</t>
        </is>
      </c>
      <c r="G4805" t="inlineStr">
        <is>
          <t>000007516</t>
        </is>
      </c>
      <c r="H4805" t="inlineStr">
        <is>
          <t>R&amp;R TRANSPORTE E LOGISTICA</t>
        </is>
      </c>
      <c r="J4805" s="29" t="n">
        <v>27.55</v>
      </c>
      <c r="K4805" s="29">
        <f>(1-ISNUMBER(SEARCH("556",M4805)))*(O4805*SUMIFS(Premissas!$C$5:$C$44,Premissas!$A$5:$A$44,$A4805,Premissas!$B$5:$B$44,$B4805)+P4805*SUMIFS(Premissas!$D$5:$D$44,Premissas!$A$5:$A$44,$A4805,Premissas!$B$5:$B$44,$B4805))+R4805*SUMIFS(Premissas!$E$5:$E$44,Premissas!$A$5:$A$44,$A4805,Premissas!$B$5:$B$44,$B4805)+S4805*SUMIFS(Premissas!$F$5:$F$44,Premissas!$A$5:$A$44,$A4805,Premissas!$B$5:$B$44,$B4805)</f>
        <v/>
      </c>
      <c r="L4805" s="29">
        <f>J4805-K4805</f>
        <v/>
      </c>
      <c r="M4805" t="inlineStr">
        <is>
          <t>2.350</t>
        </is>
      </c>
      <c r="N4805" t="inlineStr">
        <is>
          <t>Modalidade: 0 - Por conta do remetente | Parte: COMERCIAL DE ALIMENTOS PLANETA LTDA (60.405.318/0001-84)</t>
        </is>
      </c>
      <c r="O4805" s="29" t="n">
        <v>0</v>
      </c>
      <c r="P4805" s="29" t="n">
        <v>0</v>
      </c>
      <c r="Q4805" s="29" t="n">
        <v>0</v>
      </c>
      <c r="R4805" s="29" t="n">
        <v>0</v>
      </c>
      <c r="S4805" s="29" t="n">
        <v>0</v>
      </c>
      <c r="T4805" t="inlineStr">
        <is>
          <t>25260626975620000130570010000075161001701614</t>
        </is>
      </c>
      <c r="U4805" t="inlineStr">
        <is>
          <t>Não</t>
        </is>
      </c>
    </row>
    <row r="4806">
      <c r="A4806" t="inlineStr">
        <is>
          <t>Frete de venda</t>
        </is>
      </c>
      <c r="B4806" t="inlineStr">
        <is>
          <t>2.04.87 Frete sobre Compra</t>
        </is>
      </c>
      <c r="C4806" s="30" t="n">
        <v>46174</v>
      </c>
      <c r="D4806" t="inlineStr">
        <is>
          <t>Em 2026</t>
        </is>
      </c>
      <c r="E4806" s="28" t="n">
        <v>46203</v>
      </c>
      <c r="F4806" t="inlineStr">
        <is>
          <t>CT-e</t>
        </is>
      </c>
      <c r="G4806" t="inlineStr">
        <is>
          <t>000007517</t>
        </is>
      </c>
      <c r="H4806" t="inlineStr">
        <is>
          <t>R&amp;R TRANSPORTE E LOGISTICA</t>
        </is>
      </c>
      <c r="J4806" s="29" t="n">
        <v>700</v>
      </c>
      <c r="K4806" s="29">
        <f>(1-ISNUMBER(SEARCH("556",M4806)))*(O4806*SUMIFS(Premissas!$C$5:$C$44,Premissas!$A$5:$A$44,$A4806,Premissas!$B$5:$B$44,$B4806)+P4806*SUMIFS(Premissas!$D$5:$D$44,Premissas!$A$5:$A$44,$A4806,Premissas!$B$5:$B$44,$B4806))+R4806*SUMIFS(Premissas!$E$5:$E$44,Premissas!$A$5:$A$44,$A4806,Premissas!$B$5:$B$44,$B4806)+S4806*SUMIFS(Premissas!$F$5:$F$44,Premissas!$A$5:$A$44,$A4806,Premissas!$B$5:$B$44,$B4806)</f>
        <v/>
      </c>
      <c r="L4806" s="29">
        <f>J4806-K4806</f>
        <v/>
      </c>
      <c r="M4806" t="inlineStr">
        <is>
          <t>2.350</t>
        </is>
      </c>
      <c r="N4806" t="inlineStr">
        <is>
          <t>Modalidade: 0 - Por conta do remetente | Parte: M X COMERCIO E SERVICOS LTDA (11.028.612/0001-09)</t>
        </is>
      </c>
      <c r="O4806" s="29" t="n">
        <v>0</v>
      </c>
      <c r="P4806" s="29" t="n">
        <v>0</v>
      </c>
      <c r="Q4806" s="29" t="n">
        <v>0</v>
      </c>
      <c r="R4806" s="29" t="n">
        <v>0</v>
      </c>
      <c r="S4806" s="29" t="n">
        <v>0</v>
      </c>
      <c r="T4806" t="inlineStr">
        <is>
          <t>25260626975620000130570010000075171001401693</t>
        </is>
      </c>
      <c r="U4806" t="inlineStr">
        <is>
          <t>Não</t>
        </is>
      </c>
    </row>
    <row r="4807">
      <c r="A4807" t="inlineStr">
        <is>
          <t>Frete de venda</t>
        </is>
      </c>
      <c r="B4807" t="inlineStr">
        <is>
          <t>2.04.87 Frete sobre Compra</t>
        </is>
      </c>
      <c r="C4807" s="30" t="n">
        <v>46204</v>
      </c>
      <c r="D4807" t="inlineStr">
        <is>
          <t>Em 2026</t>
        </is>
      </c>
      <c r="E4807" s="28" t="n">
        <v>46210</v>
      </c>
      <c r="F4807" t="inlineStr">
        <is>
          <t>CT-e</t>
        </is>
      </c>
      <c r="G4807" t="inlineStr">
        <is>
          <t>000001166</t>
        </is>
      </c>
      <c r="H4807" t="inlineStr">
        <is>
          <t>ADIL CARLOS DA SILVA</t>
        </is>
      </c>
      <c r="J4807" s="29" t="n">
        <v>1</v>
      </c>
      <c r="K4807" s="29">
        <f>(1-ISNUMBER(SEARCH("556",M4807)))*(O4807*SUMIFS(Premissas!$C$5:$C$44,Premissas!$A$5:$A$44,$A4807,Premissas!$B$5:$B$44,$B4807)+P4807*SUMIFS(Premissas!$D$5:$D$44,Premissas!$A$5:$A$44,$A4807,Premissas!$B$5:$B$44,$B4807))+R4807*SUMIFS(Premissas!$E$5:$E$44,Premissas!$A$5:$A$44,$A4807,Premissas!$B$5:$B$44,$B4807)+S4807*SUMIFS(Premissas!$F$5:$F$44,Premissas!$A$5:$A$44,$A4807,Premissas!$B$5:$B$44,$B4807)</f>
        <v/>
      </c>
      <c r="L4807" s="29">
        <f>J4807-K4807</f>
        <v/>
      </c>
      <c r="M4807" t="inlineStr">
        <is>
          <t>2.350</t>
        </is>
      </c>
      <c r="N4807" t="inlineStr">
        <is>
          <t>Modalidade: 0 - Por conta do remetente | Parte: JND DISTRIBUIDORA LTDA (36.332.668/0001-83)</t>
        </is>
      </c>
      <c r="O4807" s="29" t="n">
        <v>0</v>
      </c>
      <c r="P4807" s="29" t="n">
        <v>0</v>
      </c>
      <c r="Q4807" s="29" t="n">
        <v>0</v>
      </c>
      <c r="R4807" s="29" t="n">
        <v>0</v>
      </c>
      <c r="S4807" s="29" t="n">
        <v>0</v>
      </c>
      <c r="T4807" t="inlineStr">
        <is>
          <t>25260734595800000114570010000011661000011663</t>
        </is>
      </c>
      <c r="U4807" t="inlineStr">
        <is>
          <t>Não</t>
        </is>
      </c>
    </row>
    <row r="4808">
      <c r="A4808" t="inlineStr">
        <is>
          <t>Frete de venda</t>
        </is>
      </c>
      <c r="B4808" t="inlineStr">
        <is>
          <t>2.04.87 Frete sobre Compra</t>
        </is>
      </c>
      <c r="C4808" s="30" t="n">
        <v>46204</v>
      </c>
      <c r="D4808" t="inlineStr">
        <is>
          <t>Em 2026</t>
        </is>
      </c>
      <c r="E4808" s="28" t="n">
        <v>46210</v>
      </c>
      <c r="F4808" t="inlineStr">
        <is>
          <t>CT-e</t>
        </is>
      </c>
      <c r="G4808" t="inlineStr">
        <is>
          <t>000001167</t>
        </is>
      </c>
      <c r="H4808" t="inlineStr">
        <is>
          <t>ADIL CARLOS DA SILVA</t>
        </is>
      </c>
      <c r="J4808" s="29" t="n">
        <v>100</v>
      </c>
      <c r="K4808" s="29">
        <f>(1-ISNUMBER(SEARCH("556",M4808)))*(O4808*SUMIFS(Premissas!$C$5:$C$44,Premissas!$A$5:$A$44,$A4808,Premissas!$B$5:$B$44,$B4808)+P4808*SUMIFS(Premissas!$D$5:$D$44,Premissas!$A$5:$A$44,$A4808,Premissas!$B$5:$B$44,$B4808))+R4808*SUMIFS(Premissas!$E$5:$E$44,Premissas!$A$5:$A$44,$A4808,Premissas!$B$5:$B$44,$B4808)+S4808*SUMIFS(Premissas!$F$5:$F$44,Premissas!$A$5:$A$44,$A4808,Premissas!$B$5:$B$44,$B4808)</f>
        <v/>
      </c>
      <c r="L4808" s="29">
        <f>J4808-K4808</f>
        <v/>
      </c>
      <c r="M4808" t="inlineStr">
        <is>
          <t>2.350</t>
        </is>
      </c>
      <c r="N4808" t="inlineStr">
        <is>
          <t>Modalidade: 0 - Por conta do remetente | Parte: JND DISTRIBUIDORA LTDA (36.332.668/0001-83)</t>
        </is>
      </c>
      <c r="O4808" s="29" t="n">
        <v>0</v>
      </c>
      <c r="P4808" s="29" t="n">
        <v>0</v>
      </c>
      <c r="Q4808" s="29" t="n">
        <v>0</v>
      </c>
      <c r="R4808" s="29" t="n">
        <v>0</v>
      </c>
      <c r="S4808" s="29" t="n">
        <v>0</v>
      </c>
      <c r="T4808" t="inlineStr">
        <is>
          <t>25260734595800000114570010000011671000011679</t>
        </is>
      </c>
      <c r="U4808" t="inlineStr">
        <is>
          <t>Não</t>
        </is>
      </c>
    </row>
    <row r="4809">
      <c r="A4809" t="inlineStr">
        <is>
          <t>Frete de venda</t>
        </is>
      </c>
      <c r="B4809" t="inlineStr">
        <is>
          <t>2.04.87 Frete sobre Compra</t>
        </is>
      </c>
      <c r="C4809" s="30" t="n">
        <v>46204</v>
      </c>
      <c r="D4809" t="inlineStr">
        <is>
          <t>Em 2026</t>
        </is>
      </c>
      <c r="E4809" s="28" t="n">
        <v>46210</v>
      </c>
      <c r="F4809" t="inlineStr">
        <is>
          <t>CT-e</t>
        </is>
      </c>
      <c r="G4809" t="inlineStr">
        <is>
          <t>000001168</t>
        </is>
      </c>
      <c r="H4809" t="inlineStr">
        <is>
          <t>ADIL CARLOS DA SILVA</t>
        </is>
      </c>
      <c r="J4809" s="29" t="n">
        <v>100</v>
      </c>
      <c r="K4809" s="29">
        <f>(1-ISNUMBER(SEARCH("556",M4809)))*(O4809*SUMIFS(Premissas!$C$5:$C$44,Premissas!$A$5:$A$44,$A4809,Premissas!$B$5:$B$44,$B4809)+P4809*SUMIFS(Premissas!$D$5:$D$44,Premissas!$A$5:$A$44,$A4809,Premissas!$B$5:$B$44,$B4809))+R4809*SUMIFS(Premissas!$E$5:$E$44,Premissas!$A$5:$A$44,$A4809,Premissas!$B$5:$B$44,$B4809)+S4809*SUMIFS(Premissas!$F$5:$F$44,Premissas!$A$5:$A$44,$A4809,Premissas!$B$5:$B$44,$B4809)</f>
        <v/>
      </c>
      <c r="L4809" s="29">
        <f>J4809-K4809</f>
        <v/>
      </c>
      <c r="M4809" t="inlineStr">
        <is>
          <t>2.350</t>
        </is>
      </c>
      <c r="N4809" t="inlineStr">
        <is>
          <t>Modalidade: 0 - Por conta do remetente | Parte: J R H DE OLIVEIRA PRODUTOS NATURAIS LTDA (08.267.052/0001-30)</t>
        </is>
      </c>
      <c r="O4809" s="29" t="n">
        <v>0</v>
      </c>
      <c r="P4809" s="29" t="n">
        <v>0</v>
      </c>
      <c r="Q4809" s="29" t="n">
        <v>0</v>
      </c>
      <c r="R4809" s="29" t="n">
        <v>0</v>
      </c>
      <c r="S4809" s="29" t="n">
        <v>0</v>
      </c>
      <c r="T4809" t="inlineStr">
        <is>
          <t>25260734595800000114570010000011681000011684</t>
        </is>
      </c>
      <c r="U4809" t="inlineStr">
        <is>
          <t>Não</t>
        </is>
      </c>
    </row>
    <row r="4810">
      <c r="A4810" t="inlineStr">
        <is>
          <t>Frete de venda</t>
        </is>
      </c>
      <c r="B4810" t="inlineStr">
        <is>
          <t>2.04.87 Frete sobre Compra</t>
        </is>
      </c>
      <c r="C4810" s="30" t="n">
        <v>46204</v>
      </c>
      <c r="D4810" t="inlineStr">
        <is>
          <t>Em 2026</t>
        </is>
      </c>
      <c r="E4810" s="28" t="n">
        <v>46210</v>
      </c>
      <c r="F4810" t="inlineStr">
        <is>
          <t>CT-e</t>
        </is>
      </c>
      <c r="G4810" t="inlineStr">
        <is>
          <t>000001169</t>
        </is>
      </c>
      <c r="H4810" t="inlineStr">
        <is>
          <t>ADIL CARLOS DA SILVA</t>
        </is>
      </c>
      <c r="J4810" s="29" t="n">
        <v>100</v>
      </c>
      <c r="K4810" s="29">
        <f>(1-ISNUMBER(SEARCH("556",M4810)))*(O4810*SUMIFS(Premissas!$C$5:$C$44,Premissas!$A$5:$A$44,$A4810,Premissas!$B$5:$B$44,$B4810)+P4810*SUMIFS(Premissas!$D$5:$D$44,Premissas!$A$5:$A$44,$A4810,Premissas!$B$5:$B$44,$B4810))+R4810*SUMIFS(Premissas!$E$5:$E$44,Premissas!$A$5:$A$44,$A4810,Premissas!$B$5:$B$44,$B4810)+S4810*SUMIFS(Premissas!$F$5:$F$44,Premissas!$A$5:$A$44,$A4810,Premissas!$B$5:$B$44,$B4810)</f>
        <v/>
      </c>
      <c r="L4810" s="29">
        <f>J4810-K4810</f>
        <v/>
      </c>
      <c r="M4810" t="inlineStr">
        <is>
          <t>2.350</t>
        </is>
      </c>
      <c r="N4810" t="inlineStr">
        <is>
          <t>Modalidade: 0 - Por conta do remetente | Parte: RAFIA COMERCIO DE EMBALAGENS LTDA (03.281.176/0001-57)</t>
        </is>
      </c>
      <c r="O4810" s="29" t="n">
        <v>0</v>
      </c>
      <c r="P4810" s="29" t="n">
        <v>0</v>
      </c>
      <c r="Q4810" s="29" t="n">
        <v>0</v>
      </c>
      <c r="R4810" s="29" t="n">
        <v>0</v>
      </c>
      <c r="S4810" s="29" t="n">
        <v>0</v>
      </c>
      <c r="T4810" t="inlineStr">
        <is>
          <t>25260734595800000114570010000011691000011690</t>
        </is>
      </c>
      <c r="U4810" t="inlineStr">
        <is>
          <t>Não</t>
        </is>
      </c>
    </row>
    <row r="4811">
      <c r="A4811" t="inlineStr">
        <is>
          <t>Frete de venda</t>
        </is>
      </c>
      <c r="B4811" t="inlineStr">
        <is>
          <t>2.04.87 Frete sobre Compra</t>
        </is>
      </c>
      <c r="C4811" s="30" t="n">
        <v>46204</v>
      </c>
      <c r="D4811" t="inlineStr">
        <is>
          <t>Em 2026</t>
        </is>
      </c>
      <c r="E4811" s="28" t="n">
        <v>46210</v>
      </c>
      <c r="F4811" t="inlineStr">
        <is>
          <t>CT-e</t>
        </is>
      </c>
      <c r="G4811" t="inlineStr">
        <is>
          <t>000226402</t>
        </is>
      </c>
      <c r="H4811" t="inlineStr">
        <is>
          <t>CAZAN TRANSPORTES LTDA</t>
        </is>
      </c>
      <c r="J4811" s="29" t="n">
        <v>145.91</v>
      </c>
      <c r="K4811" s="29">
        <f>(1-ISNUMBER(SEARCH("556",M4811)))*(O4811*SUMIFS(Premissas!$C$5:$C$44,Premissas!$A$5:$A$44,$A4811,Premissas!$B$5:$B$44,$B4811)+P4811*SUMIFS(Premissas!$D$5:$D$44,Premissas!$A$5:$A$44,$A4811,Premissas!$B$5:$B$44,$B4811))+R4811*SUMIFS(Premissas!$E$5:$E$44,Premissas!$A$5:$A$44,$A4811,Premissas!$B$5:$B$44,$B4811)+S4811*SUMIFS(Premissas!$F$5:$F$44,Premissas!$A$5:$A$44,$A4811,Premissas!$B$5:$B$44,$B4811)</f>
        <v/>
      </c>
      <c r="L4811" s="29">
        <f>J4811-K4811</f>
        <v/>
      </c>
      <c r="M4811" t="inlineStr">
        <is>
          <t>2.350</t>
        </is>
      </c>
      <c r="N4811" t="inlineStr">
        <is>
          <t>Modalidade: 1 - Por conta do destinatário | Parte: TRANSBELT - COMERCIO, IMPORTACAO E EXPORTACAO DE CORREIAS IN (24.889.612/0001-45)</t>
        </is>
      </c>
      <c r="O4811" s="29" t="n">
        <v>0</v>
      </c>
      <c r="P4811" s="29" t="n">
        <v>10.21</v>
      </c>
      <c r="Q4811" s="29" t="n">
        <v>0</v>
      </c>
      <c r="R4811" s="29" t="n">
        <v>0</v>
      </c>
      <c r="S4811" s="29" t="n">
        <v>0</v>
      </c>
      <c r="T4811" t="inlineStr">
        <is>
          <t>35260707797011000193570010002264021042738772</t>
        </is>
      </c>
      <c r="U4811" t="inlineStr">
        <is>
          <t>Sim</t>
        </is>
      </c>
    </row>
    <row r="4812">
      <c r="A4812" t="inlineStr">
        <is>
          <t>Frete de venda</t>
        </is>
      </c>
      <c r="B4812" t="inlineStr">
        <is>
          <t>2.04.87 Frete sobre Compra</t>
        </is>
      </c>
      <c r="C4812" s="30" t="n">
        <v>46204</v>
      </c>
      <c r="D4812" t="inlineStr">
        <is>
          <t>Em 2026</t>
        </is>
      </c>
      <c r="E4812" s="28" t="n">
        <v>46220</v>
      </c>
      <c r="F4812" t="inlineStr">
        <is>
          <t>CT-e</t>
        </is>
      </c>
      <c r="G4812" t="inlineStr">
        <is>
          <t>000227098</t>
        </is>
      </c>
      <c r="H4812" t="inlineStr">
        <is>
          <t>CAZAN TRANSPORTES LTDA</t>
        </is>
      </c>
      <c r="J4812" s="29" t="n">
        <v>145.9</v>
      </c>
      <c r="K4812" s="29">
        <f>(1-ISNUMBER(SEARCH("556",M4812)))*(O4812*SUMIFS(Premissas!$C$5:$C$44,Premissas!$A$5:$A$44,$A4812,Premissas!$B$5:$B$44,$B4812)+P4812*SUMIFS(Premissas!$D$5:$D$44,Premissas!$A$5:$A$44,$A4812,Premissas!$B$5:$B$44,$B4812))+R4812*SUMIFS(Premissas!$E$5:$E$44,Premissas!$A$5:$A$44,$A4812,Premissas!$B$5:$B$44,$B4812)+S4812*SUMIFS(Premissas!$F$5:$F$44,Premissas!$A$5:$A$44,$A4812,Premissas!$B$5:$B$44,$B4812)</f>
        <v/>
      </c>
      <c r="L4812" s="29">
        <f>J4812-K4812</f>
        <v/>
      </c>
      <c r="M4812" t="inlineStr">
        <is>
          <t>2.350</t>
        </is>
      </c>
      <c r="N4812" t="inlineStr">
        <is>
          <t>Modalidade: 1 - Por conta do destinatário | Parte: FURNAX COMERCIAL E IMPORTADORA EIRELI (00.144.257/0001-17)</t>
        </is>
      </c>
      <c r="O4812" s="29" t="n">
        <v>0</v>
      </c>
      <c r="P4812" s="29" t="n">
        <v>10.21</v>
      </c>
      <c r="Q4812" s="29" t="n">
        <v>0</v>
      </c>
      <c r="R4812" s="29" t="n">
        <v>0</v>
      </c>
      <c r="S4812" s="29" t="n">
        <v>0</v>
      </c>
      <c r="T4812" t="inlineStr">
        <is>
          <t>35260707797011000193570010002270981058509976</t>
        </is>
      </c>
      <c r="U4812" t="inlineStr">
        <is>
          <t>Sim</t>
        </is>
      </c>
    </row>
    <row r="4813">
      <c r="A4813" t="inlineStr">
        <is>
          <t>Frete de venda</t>
        </is>
      </c>
      <c r="B4813" t="inlineStr">
        <is>
          <t>2.04.87 Frete sobre Compra</t>
        </is>
      </c>
      <c r="C4813" s="30" t="n">
        <v>46204</v>
      </c>
      <c r="D4813" t="inlineStr">
        <is>
          <t>Em 2026</t>
        </is>
      </c>
      <c r="E4813" s="28" t="n">
        <v>46232</v>
      </c>
      <c r="F4813" t="inlineStr">
        <is>
          <t>CT-e</t>
        </is>
      </c>
      <c r="G4813" t="inlineStr">
        <is>
          <t>000228097</t>
        </is>
      </c>
      <c r="H4813" t="inlineStr">
        <is>
          <t>CAZAN TRANSPORTES LTDA</t>
        </is>
      </c>
      <c r="J4813" s="29" t="n">
        <v>145.9</v>
      </c>
      <c r="K4813" s="29">
        <f>(1-ISNUMBER(SEARCH("556",M4813)))*(O4813*SUMIFS(Premissas!$C$5:$C$44,Premissas!$A$5:$A$44,$A4813,Premissas!$B$5:$B$44,$B4813)+P4813*SUMIFS(Premissas!$D$5:$D$44,Premissas!$A$5:$A$44,$A4813,Premissas!$B$5:$B$44,$B4813))+R4813*SUMIFS(Premissas!$E$5:$E$44,Premissas!$A$5:$A$44,$A4813,Premissas!$B$5:$B$44,$B4813)+S4813*SUMIFS(Premissas!$F$5:$F$44,Premissas!$A$5:$A$44,$A4813,Premissas!$B$5:$B$44,$B4813)</f>
        <v/>
      </c>
      <c r="L4813" s="29">
        <f>J4813-K4813</f>
        <v/>
      </c>
      <c r="M4813" t="inlineStr">
        <is>
          <t>2.350</t>
        </is>
      </c>
      <c r="N4813" t="inlineStr">
        <is>
          <t>Modalidade: 1 - Por conta do destinatário | Parte: GUIATEC COMERCIO E SERVICOS LTDA (48.221.722/0001-00)</t>
        </is>
      </c>
      <c r="O4813" s="29" t="n">
        <v>0</v>
      </c>
      <c r="P4813" s="29" t="n">
        <v>10.21</v>
      </c>
      <c r="Q4813" s="29" t="n">
        <v>0</v>
      </c>
      <c r="R4813" s="29" t="n">
        <v>0</v>
      </c>
      <c r="S4813" s="29" t="n">
        <v>0</v>
      </c>
      <c r="T4813" t="inlineStr">
        <is>
          <t>35260707797011000193570010002280971445824406</t>
        </is>
      </c>
      <c r="U4813" t="inlineStr">
        <is>
          <t>Sim</t>
        </is>
      </c>
    </row>
    <row r="4814">
      <c r="A4814" t="inlineStr">
        <is>
          <t>Frete de venda</t>
        </is>
      </c>
      <c r="B4814" t="inlineStr">
        <is>
          <t>2.04.87 Frete sobre Compra</t>
        </is>
      </c>
      <c r="C4814" s="30" t="n">
        <v>46204</v>
      </c>
      <c r="D4814" t="inlineStr">
        <is>
          <t>Em 2026</t>
        </is>
      </c>
      <c r="E4814" s="28" t="n">
        <v>46205</v>
      </c>
      <c r="F4814" t="inlineStr">
        <is>
          <t>CT-e</t>
        </is>
      </c>
      <c r="G4814" t="inlineStr">
        <is>
          <t>000049198</t>
        </is>
      </c>
      <c r="H4814" t="inlineStr">
        <is>
          <t>GLOBAL AIR CARGO LTDA</t>
        </is>
      </c>
      <c r="J4814" s="29" t="n">
        <v>306.12</v>
      </c>
      <c r="K4814" s="29">
        <f>(1-ISNUMBER(SEARCH("556",M4814)))*(O4814*SUMIFS(Premissas!$C$5:$C$44,Premissas!$A$5:$A$44,$A4814,Premissas!$B$5:$B$44,$B4814)+P4814*SUMIFS(Premissas!$D$5:$D$44,Premissas!$A$5:$A$44,$A4814,Premissas!$B$5:$B$44,$B4814))+R4814*SUMIFS(Premissas!$E$5:$E$44,Premissas!$A$5:$A$44,$A4814,Premissas!$B$5:$B$44,$B4814)+S4814*SUMIFS(Premissas!$F$5:$F$44,Premissas!$A$5:$A$44,$A4814,Premissas!$B$5:$B$44,$B4814)</f>
        <v/>
      </c>
      <c r="L4814" s="29">
        <f>J4814-K4814</f>
        <v/>
      </c>
      <c r="M4814" t="inlineStr">
        <is>
          <t>2.350</t>
        </is>
      </c>
      <c r="N4814" t="inlineStr">
        <is>
          <t>Modalidade: 1 - Por conta do destinatário | Parte: TECHPRINT FACAS INDUSTRIAIS (23.105.251/0001-36)</t>
        </is>
      </c>
      <c r="O4814" s="29" t="n">
        <v>0</v>
      </c>
      <c r="P4814" s="29" t="n">
        <v>21.43</v>
      </c>
      <c r="Q4814" s="29" t="n">
        <v>0</v>
      </c>
      <c r="R4814" s="29" t="n">
        <v>0</v>
      </c>
      <c r="S4814" s="29" t="n">
        <v>0</v>
      </c>
      <c r="T4814" t="inlineStr">
        <is>
          <t>35260700945958000155570060000491981332518012</t>
        </is>
      </c>
      <c r="U4814" t="inlineStr">
        <is>
          <t>Sim</t>
        </is>
      </c>
    </row>
    <row r="4815">
      <c r="A4815" t="inlineStr">
        <is>
          <t>Frete de venda</t>
        </is>
      </c>
      <c r="B4815" t="inlineStr">
        <is>
          <t>2.04.87 Frete sobre Compra</t>
        </is>
      </c>
      <c r="C4815" s="30" t="n">
        <v>46204</v>
      </c>
      <c r="D4815" t="inlineStr">
        <is>
          <t>Em 2026</t>
        </is>
      </c>
      <c r="E4815" s="28" t="n">
        <v>46220</v>
      </c>
      <c r="F4815" t="inlineStr">
        <is>
          <t>CT-e</t>
        </is>
      </c>
      <c r="G4815" t="inlineStr">
        <is>
          <t>000049487</t>
        </is>
      </c>
      <c r="H4815" t="inlineStr">
        <is>
          <t>GLOBAL AIR CARGO LTDA</t>
        </is>
      </c>
      <c r="J4815" s="29" t="n">
        <v>301.86</v>
      </c>
      <c r="K4815" s="29">
        <f>(1-ISNUMBER(SEARCH("556",M4815)))*(O4815*SUMIFS(Premissas!$C$5:$C$44,Premissas!$A$5:$A$44,$A4815,Premissas!$B$5:$B$44,$B4815)+P4815*SUMIFS(Premissas!$D$5:$D$44,Premissas!$A$5:$A$44,$A4815,Premissas!$B$5:$B$44,$B4815))+R4815*SUMIFS(Premissas!$E$5:$E$44,Premissas!$A$5:$A$44,$A4815,Premissas!$B$5:$B$44,$B4815)+S4815*SUMIFS(Premissas!$F$5:$F$44,Premissas!$A$5:$A$44,$A4815,Premissas!$B$5:$B$44,$B4815)</f>
        <v/>
      </c>
      <c r="L4815" s="29">
        <f>J4815-K4815</f>
        <v/>
      </c>
      <c r="M4815" t="inlineStr">
        <is>
          <t>2.350</t>
        </is>
      </c>
      <c r="N4815" t="inlineStr">
        <is>
          <t>Modalidade: 1 - Por conta do destinatário | Parte: TECHPRINT FACAS INDUSTRIAIS (23.105.251/0001-36)</t>
        </is>
      </c>
      <c r="O4815" s="29" t="n">
        <v>0</v>
      </c>
      <c r="P4815" s="29" t="n">
        <v>21.13</v>
      </c>
      <c r="Q4815" s="29" t="n">
        <v>0</v>
      </c>
      <c r="R4815" s="29" t="n">
        <v>0</v>
      </c>
      <c r="S4815" s="29" t="n">
        <v>0</v>
      </c>
      <c r="T4815" t="inlineStr">
        <is>
          <t>35260700945958000155570060000494871503991755</t>
        </is>
      </c>
      <c r="U4815" t="inlineStr">
        <is>
          <t>Não</t>
        </is>
      </c>
    </row>
    <row r="4816">
      <c r="A4816" t="inlineStr">
        <is>
          <t>Frete de venda</t>
        </is>
      </c>
      <c r="B4816" t="inlineStr">
        <is>
          <t>2.04.87 Frete sobre Compra</t>
        </is>
      </c>
      <c r="C4816" s="30" t="n">
        <v>46204</v>
      </c>
      <c r="D4816" t="inlineStr">
        <is>
          <t>Em 2026</t>
        </is>
      </c>
      <c r="E4816" s="28" t="n">
        <v>46209</v>
      </c>
      <c r="F4816" t="inlineStr">
        <is>
          <t>CT-e</t>
        </is>
      </c>
      <c r="G4816" t="inlineStr">
        <is>
          <t>000189006</t>
        </is>
      </c>
      <c r="H4816" t="inlineStr">
        <is>
          <t>RF BRA TRANSPORTES LTDA</t>
        </is>
      </c>
      <c r="J4816" s="29" t="n">
        <v>13481.67</v>
      </c>
      <c r="K4816" s="29">
        <f>(1-ISNUMBER(SEARCH("556",M4816)))*(O4816*SUMIFS(Premissas!$C$5:$C$44,Premissas!$A$5:$A$44,$A4816,Premissas!$B$5:$B$44,$B4816)+P4816*SUMIFS(Premissas!$D$5:$D$44,Premissas!$A$5:$A$44,$A4816,Premissas!$B$5:$B$44,$B4816))+R4816*SUMIFS(Premissas!$E$5:$E$44,Premissas!$A$5:$A$44,$A4816,Premissas!$B$5:$B$44,$B4816)+S4816*SUMIFS(Premissas!$F$5:$F$44,Premissas!$A$5:$A$44,$A4816,Premissas!$B$5:$B$44,$B4816)</f>
        <v/>
      </c>
      <c r="L4816" s="29">
        <f>J4816-K4816</f>
        <v/>
      </c>
      <c r="M4816" t="inlineStr">
        <is>
          <t>2.350</t>
        </is>
      </c>
      <c r="N4816" t="inlineStr">
        <is>
          <t>Modalidade: 1 - Por conta do destinatário | Parte: FURNAX COMERCIAL E IMPORTADORA EIRELI (00.144.257/0001-17)</t>
        </is>
      </c>
      <c r="O4816" s="29" t="n">
        <v>0</v>
      </c>
      <c r="P4816" s="29" t="n">
        <v>943.72</v>
      </c>
      <c r="Q4816" s="29" t="n">
        <v>0</v>
      </c>
      <c r="R4816" s="29" t="n">
        <v>0</v>
      </c>
      <c r="S4816" s="29" t="n">
        <v>0</v>
      </c>
      <c r="T4816" t="inlineStr">
        <is>
          <t>35260749515412000153570010001890061022202443</t>
        </is>
      </c>
      <c r="U4816" t="inlineStr">
        <is>
          <t>Sim</t>
        </is>
      </c>
    </row>
    <row r="4817">
      <c r="A4817" t="inlineStr">
        <is>
          <t>Frete de venda</t>
        </is>
      </c>
      <c r="B4817" t="inlineStr">
        <is>
          <t>2.04.87 Frete sobre Compra</t>
        </is>
      </c>
      <c r="C4817" s="30" t="n">
        <v>46204</v>
      </c>
      <c r="D4817" t="inlineStr">
        <is>
          <t>Em 2026</t>
        </is>
      </c>
      <c r="E4817" s="28" t="n">
        <v>46231</v>
      </c>
      <c r="F4817" t="inlineStr">
        <is>
          <t>CT-e</t>
        </is>
      </c>
      <c r="G4817" t="inlineStr">
        <is>
          <t>000005477</t>
        </is>
      </c>
      <c r="H4817" t="inlineStr">
        <is>
          <t>UNIVERSAL CARGAS EXPRESS</t>
        </is>
      </c>
      <c r="J4817" s="29" t="n">
        <v>360</v>
      </c>
      <c r="K4817" s="29">
        <f>(1-ISNUMBER(SEARCH("556",M4817)))*(O4817*SUMIFS(Premissas!$C$5:$C$44,Premissas!$A$5:$A$44,$A4817,Premissas!$B$5:$B$44,$B4817)+P4817*SUMIFS(Premissas!$D$5:$D$44,Premissas!$A$5:$A$44,$A4817,Premissas!$B$5:$B$44,$B4817))+R4817*SUMIFS(Premissas!$E$5:$E$44,Premissas!$A$5:$A$44,$A4817,Premissas!$B$5:$B$44,$B4817)+S4817*SUMIFS(Premissas!$F$5:$F$44,Premissas!$A$5:$A$44,$A4817,Premissas!$B$5:$B$44,$B4817)</f>
        <v/>
      </c>
      <c r="L4817" s="29">
        <f>J4817-K4817</f>
        <v/>
      </c>
      <c r="M4817" t="inlineStr">
        <is>
          <t>2.350</t>
        </is>
      </c>
      <c r="N4817" t="inlineStr">
        <is>
          <t>Modalidade: 0 - Por conta do remetente | Parte: L EMBALAGENS COMERCIO e DISTRIBUICAO LTDA (58.390.072/0001-72)</t>
        </is>
      </c>
      <c r="O4817" s="29" t="n">
        <v>0</v>
      </c>
      <c r="P4817" s="29" t="n">
        <v>0</v>
      </c>
      <c r="Q4817" s="29" t="n">
        <v>0</v>
      </c>
      <c r="R4817" s="29" t="n">
        <v>0</v>
      </c>
      <c r="S4817" s="29" t="n">
        <v>0</v>
      </c>
      <c r="T4817" t="inlineStr">
        <is>
          <t>15260744384835000168570020000054771000068184</t>
        </is>
      </c>
      <c r="U4817" t="inlineStr">
        <is>
          <t>Sim</t>
        </is>
      </c>
    </row>
    <row r="4818">
      <c r="A4818" t="inlineStr">
        <is>
          <t>Frete de venda</t>
        </is>
      </c>
      <c r="B4818" t="inlineStr">
        <is>
          <t>2.04.87 Frete sobre Compra</t>
        </is>
      </c>
      <c r="C4818" s="30" t="n">
        <v>46235</v>
      </c>
      <c r="D4818" t="inlineStr">
        <is>
          <t>Em 2026</t>
        </is>
      </c>
      <c r="E4818" s="28" t="n">
        <v>46246</v>
      </c>
      <c r="F4818" t="inlineStr">
        <is>
          <t>CT-e</t>
        </is>
      </c>
      <c r="G4818" t="inlineStr">
        <is>
          <t>000229218</t>
        </is>
      </c>
      <c r="H4818" t="inlineStr">
        <is>
          <t>CAZAN TRANSPORTES LTDA</t>
        </is>
      </c>
      <c r="J4818" s="29" t="n">
        <v>254.04</v>
      </c>
      <c r="K4818" s="29">
        <f>(1-ISNUMBER(SEARCH("556",M4818)))*(O4818*SUMIFS(Premissas!$C$5:$C$44,Premissas!$A$5:$A$44,$A4818,Premissas!$B$5:$B$44,$B4818)+P4818*SUMIFS(Premissas!$D$5:$D$44,Premissas!$A$5:$A$44,$A4818,Premissas!$B$5:$B$44,$B4818))+R4818*SUMIFS(Premissas!$E$5:$E$44,Premissas!$A$5:$A$44,$A4818,Premissas!$B$5:$B$44,$B4818)+S4818*SUMIFS(Premissas!$F$5:$F$44,Premissas!$A$5:$A$44,$A4818,Premissas!$B$5:$B$44,$B4818)</f>
        <v/>
      </c>
      <c r="L4818" s="29">
        <f>J4818-K4818</f>
        <v/>
      </c>
      <c r="M4818" t="inlineStr">
        <is>
          <t>2.350</t>
        </is>
      </c>
      <c r="N4818" t="inlineStr">
        <is>
          <t>Modalidade: 1 - Por conta do destinatário | Parte: LASERFLEX INDUSTRIAL LTDA (05.551.562/0001-47)</t>
        </is>
      </c>
      <c r="O4818" s="29" t="n">
        <v>0</v>
      </c>
      <c r="P4818" s="29" t="n">
        <v>17.78</v>
      </c>
      <c r="Q4818" s="29" t="n">
        <v>0</v>
      </c>
      <c r="R4818" s="29" t="n">
        <v>0</v>
      </c>
      <c r="S4818" s="29" t="n">
        <v>0</v>
      </c>
      <c r="T4818" t="inlineStr">
        <is>
          <t>35260807797011000193570010002292181655663528</t>
        </is>
      </c>
      <c r="U4818" t="inlineStr">
        <is>
          <t>Sim</t>
        </is>
      </c>
    </row>
    <row r="4819">
      <c r="A4819" t="inlineStr">
        <is>
          <t>Frete de venda</t>
        </is>
      </c>
      <c r="B4819" t="inlineStr">
        <is>
          <t>2.04.87 Frete sobre Compra</t>
        </is>
      </c>
      <c r="C4819" s="30" t="n">
        <v>46235</v>
      </c>
      <c r="D4819" t="inlineStr">
        <is>
          <t>Em 2026</t>
        </is>
      </c>
      <c r="E4819" s="28" t="n">
        <v>46246</v>
      </c>
      <c r="F4819" t="inlineStr">
        <is>
          <t>CT-e</t>
        </is>
      </c>
      <c r="G4819" t="inlineStr">
        <is>
          <t>000229245</t>
        </is>
      </c>
      <c r="H4819" t="inlineStr">
        <is>
          <t>CAZAN TRANSPORTES LTDA</t>
        </is>
      </c>
      <c r="J4819" s="29" t="n">
        <v>145.91</v>
      </c>
      <c r="K4819" s="29">
        <f>(1-ISNUMBER(SEARCH("556",M4819)))*(O4819*SUMIFS(Premissas!$C$5:$C$44,Premissas!$A$5:$A$44,$A4819,Premissas!$B$5:$B$44,$B4819)+P4819*SUMIFS(Premissas!$D$5:$D$44,Premissas!$A$5:$A$44,$A4819,Premissas!$B$5:$B$44,$B4819))+R4819*SUMIFS(Premissas!$E$5:$E$44,Premissas!$A$5:$A$44,$A4819,Premissas!$B$5:$B$44,$B4819)+S4819*SUMIFS(Premissas!$F$5:$F$44,Premissas!$A$5:$A$44,$A4819,Premissas!$B$5:$B$44,$B4819)</f>
        <v/>
      </c>
      <c r="L4819" s="29">
        <f>J4819-K4819</f>
        <v/>
      </c>
      <c r="M4819" t="inlineStr">
        <is>
          <t>2.350</t>
        </is>
      </c>
      <c r="N4819" t="inlineStr">
        <is>
          <t>Modalidade: 1 - Por conta do destinatário | Parte: NICEPEL PRODUTOS QUIMICOS LTDA (03.194.437/0001-00)</t>
        </is>
      </c>
      <c r="O4819" s="29" t="n">
        <v>0</v>
      </c>
      <c r="P4819" s="29" t="n">
        <v>10.21</v>
      </c>
      <c r="Q4819" s="29" t="n">
        <v>0</v>
      </c>
      <c r="R4819" s="29" t="n">
        <v>0</v>
      </c>
      <c r="S4819" s="29" t="n">
        <v>0</v>
      </c>
      <c r="T4819" t="inlineStr">
        <is>
          <t>35260807797011000193570010002292451085542008</t>
        </is>
      </c>
      <c r="U4819" t="inlineStr">
        <is>
          <t>Sim</t>
        </is>
      </c>
    </row>
    <row r="4820">
      <c r="A4820" t="inlineStr">
        <is>
          <t>Frete de venda</t>
        </is>
      </c>
      <c r="B4820" t="inlineStr">
        <is>
          <t>2.04.87 Frete sobre Compra</t>
        </is>
      </c>
      <c r="C4820" s="30" t="n">
        <v>46235</v>
      </c>
      <c r="D4820" t="inlineStr">
        <is>
          <t>Em 2026</t>
        </is>
      </c>
      <c r="E4820" s="28" t="n">
        <v>46241</v>
      </c>
      <c r="F4820" t="inlineStr">
        <is>
          <t>CT-e</t>
        </is>
      </c>
      <c r="G4820" t="inlineStr">
        <is>
          <t>000049874</t>
        </is>
      </c>
      <c r="H4820" t="inlineStr">
        <is>
          <t>GLOBAL AIR CARGO LTDA</t>
        </is>
      </c>
      <c r="J4820" s="29" t="n">
        <v>319.22</v>
      </c>
      <c r="K4820" s="29">
        <f>(1-ISNUMBER(SEARCH("556",M4820)))*(O4820*SUMIFS(Premissas!$C$5:$C$44,Premissas!$A$5:$A$44,$A4820,Premissas!$B$5:$B$44,$B4820)+P4820*SUMIFS(Premissas!$D$5:$D$44,Premissas!$A$5:$A$44,$A4820,Premissas!$B$5:$B$44,$B4820))+R4820*SUMIFS(Premissas!$E$5:$E$44,Premissas!$A$5:$A$44,$A4820,Premissas!$B$5:$B$44,$B4820)+S4820*SUMIFS(Premissas!$F$5:$F$44,Premissas!$A$5:$A$44,$A4820,Premissas!$B$5:$B$44,$B4820)</f>
        <v/>
      </c>
      <c r="L4820" s="29">
        <f>J4820-K4820</f>
        <v/>
      </c>
      <c r="M4820" t="inlineStr">
        <is>
          <t>2.350</t>
        </is>
      </c>
      <c r="N4820" t="inlineStr">
        <is>
          <t>Modalidade: 1 - Por conta do destinatário | Parte: TECHPRINT FACAS INDUSTRIAIS (23.105.251/0001-36)</t>
        </is>
      </c>
      <c r="O4820" s="29" t="n">
        <v>0</v>
      </c>
      <c r="P4820" s="29" t="n">
        <v>22.35</v>
      </c>
      <c r="Q4820" s="29" t="n">
        <v>0</v>
      </c>
      <c r="R4820" s="29" t="n">
        <v>0</v>
      </c>
      <c r="S4820" s="29" t="n">
        <v>0</v>
      </c>
      <c r="T4820" t="inlineStr">
        <is>
          <t>35260800945958000155570060000498741816015493</t>
        </is>
      </c>
      <c r="U4820" t="inlineStr">
        <is>
          <t>Sim</t>
        </is>
      </c>
    </row>
    <row r="4821">
      <c r="A4821" t="inlineStr">
        <is>
          <t>Frete de venda</t>
        </is>
      </c>
      <c r="B4821" t="inlineStr">
        <is>
          <t>2.04.87 Frete sobre Compra</t>
        </is>
      </c>
      <c r="C4821" s="30" t="n">
        <v>46266</v>
      </c>
      <c r="D4821" t="inlineStr">
        <is>
          <t>Em 2026</t>
        </is>
      </c>
      <c r="E4821" s="28" t="n">
        <v>46282</v>
      </c>
      <c r="F4821" t="inlineStr">
        <is>
          <t>CT-e</t>
        </is>
      </c>
      <c r="G4821" t="inlineStr">
        <is>
          <t>000009867</t>
        </is>
      </c>
      <c r="H4821" t="inlineStr">
        <is>
          <t>BEM TRANSPORTES E LOGISTICA</t>
        </is>
      </c>
      <c r="J4821" s="29" t="n">
        <v>704.6</v>
      </c>
      <c r="K4821" s="29">
        <f>(1-ISNUMBER(SEARCH("556",M4821)))*(O4821*SUMIFS(Premissas!$C$5:$C$44,Premissas!$A$5:$A$44,$A4821,Premissas!$B$5:$B$44,$B4821)+P4821*SUMIFS(Premissas!$D$5:$D$44,Premissas!$A$5:$A$44,$A4821,Premissas!$B$5:$B$44,$B4821))+R4821*SUMIFS(Premissas!$E$5:$E$44,Premissas!$A$5:$A$44,$A4821,Premissas!$B$5:$B$44,$B4821)+S4821*SUMIFS(Premissas!$F$5:$F$44,Premissas!$A$5:$A$44,$A4821,Premissas!$B$5:$B$44,$B4821)</f>
        <v/>
      </c>
      <c r="L4821" s="29">
        <f>J4821-K4821</f>
        <v/>
      </c>
      <c r="M4821" t="inlineStr">
        <is>
          <t>2.350</t>
        </is>
      </c>
      <c r="N4821" t="inlineStr">
        <is>
          <t>Modalidade: 0 - Por conta do remetente | Parte: GD COMERCIO DE EMBALAGENS LTDA (66.843.669/0001-53)</t>
        </is>
      </c>
      <c r="O4821" s="29" t="n">
        <v>0</v>
      </c>
      <c r="P4821" s="29" t="n">
        <v>0</v>
      </c>
      <c r="Q4821" s="29" t="n">
        <v>0</v>
      </c>
      <c r="R4821" s="29" t="n">
        <v>0</v>
      </c>
      <c r="S4821" s="29" t="n">
        <v>0</v>
      </c>
      <c r="T4821" t="inlineStr">
        <is>
          <t>31260945731099000130570010000098671000098887</t>
        </is>
      </c>
      <c r="U4821" t="inlineStr">
        <is>
          <t>Sim</t>
        </is>
      </c>
    </row>
    <row r="4822">
      <c r="A4822" t="inlineStr">
        <is>
          <t>Frete de venda</t>
        </is>
      </c>
      <c r="B4822" t="inlineStr">
        <is>
          <t>2.04.87 Frete sobre Compra</t>
        </is>
      </c>
      <c r="C4822" s="30" t="n">
        <v>46266</v>
      </c>
      <c r="D4822" t="inlineStr">
        <is>
          <t>Em 2026</t>
        </is>
      </c>
      <c r="E4822" s="28" t="n">
        <v>46282</v>
      </c>
      <c r="F4822" t="inlineStr">
        <is>
          <t>CT-e</t>
        </is>
      </c>
      <c r="G4822" t="inlineStr">
        <is>
          <t>000009868</t>
        </is>
      </c>
      <c r="H4822" t="inlineStr">
        <is>
          <t>BEM TRANSPORTES E LOGISTICA</t>
        </is>
      </c>
      <c r="J4822" s="29" t="n">
        <v>731.8</v>
      </c>
      <c r="K4822" s="29">
        <f>(1-ISNUMBER(SEARCH("556",M4822)))*(O4822*SUMIFS(Premissas!$C$5:$C$44,Premissas!$A$5:$A$44,$A4822,Premissas!$B$5:$B$44,$B4822)+P4822*SUMIFS(Premissas!$D$5:$D$44,Premissas!$A$5:$A$44,$A4822,Premissas!$B$5:$B$44,$B4822))+R4822*SUMIFS(Premissas!$E$5:$E$44,Premissas!$A$5:$A$44,$A4822,Premissas!$B$5:$B$44,$B4822)+S4822*SUMIFS(Premissas!$F$5:$F$44,Premissas!$A$5:$A$44,$A4822,Premissas!$B$5:$B$44,$B4822)</f>
        <v/>
      </c>
      <c r="L4822" s="29">
        <f>J4822-K4822</f>
        <v/>
      </c>
      <c r="M4822" t="inlineStr">
        <is>
          <t>2.350</t>
        </is>
      </c>
      <c r="N4822" t="inlineStr">
        <is>
          <t>Modalidade: 0 - Por conta do remetente | Parte: ITACOLOMY DISTRIBUIDORA DE EMBALAGENS E DOCES LTDA (31.655.351/0001-64)</t>
        </is>
      </c>
      <c r="O4822" s="29" t="n">
        <v>0</v>
      </c>
      <c r="P4822" s="29" t="n">
        <v>0</v>
      </c>
      <c r="Q4822" s="29" t="n">
        <v>0</v>
      </c>
      <c r="R4822" s="29" t="n">
        <v>0</v>
      </c>
      <c r="S4822" s="29" t="n">
        <v>0</v>
      </c>
      <c r="T4822" t="inlineStr">
        <is>
          <t>31260945731099000130570010000098681000098892</t>
        </is>
      </c>
      <c r="U4822" t="inlineStr">
        <is>
          <t>Sim</t>
        </is>
      </c>
    </row>
    <row r="4823">
      <c r="A4823" t="inlineStr">
        <is>
          <t>Frete de venda</t>
        </is>
      </c>
      <c r="B4823" t="inlineStr">
        <is>
          <t>2.04.87 Frete sobre Compra</t>
        </is>
      </c>
      <c r="C4823" s="30" t="n">
        <v>46266</v>
      </c>
      <c r="D4823" t="inlineStr">
        <is>
          <t>Em 2026</t>
        </is>
      </c>
      <c r="E4823" s="28" t="n">
        <v>46282</v>
      </c>
      <c r="F4823" t="inlineStr">
        <is>
          <t>CT-e</t>
        </is>
      </c>
      <c r="G4823" t="inlineStr">
        <is>
          <t>000009869</t>
        </is>
      </c>
      <c r="H4823" t="inlineStr">
        <is>
          <t>BEM TRANSPORTES E LOGISTICA</t>
        </is>
      </c>
      <c r="J4823" s="29" t="n">
        <v>4442.7</v>
      </c>
      <c r="K4823" s="29">
        <f>(1-ISNUMBER(SEARCH("556",M4823)))*(O4823*SUMIFS(Premissas!$C$5:$C$44,Premissas!$A$5:$A$44,$A4823,Premissas!$B$5:$B$44,$B4823)+P4823*SUMIFS(Premissas!$D$5:$D$44,Premissas!$A$5:$A$44,$A4823,Premissas!$B$5:$B$44,$B4823))+R4823*SUMIFS(Premissas!$E$5:$E$44,Premissas!$A$5:$A$44,$A4823,Premissas!$B$5:$B$44,$B4823)+S4823*SUMIFS(Premissas!$F$5:$F$44,Premissas!$A$5:$A$44,$A4823,Premissas!$B$5:$B$44,$B4823)</f>
        <v/>
      </c>
      <c r="L4823" s="29">
        <f>J4823-K4823</f>
        <v/>
      </c>
      <c r="M4823" t="inlineStr">
        <is>
          <t>2.350</t>
        </is>
      </c>
      <c r="N4823" t="inlineStr">
        <is>
          <t>Modalidade: 0 - Por conta do remetente | Parte: EDGAR COUTO PIRES (05.857.084/0001-06)</t>
        </is>
      </c>
      <c r="O4823" s="29" t="n">
        <v>0</v>
      </c>
      <c r="P4823" s="29" t="n">
        <v>0</v>
      </c>
      <c r="Q4823" s="29" t="n">
        <v>0</v>
      </c>
      <c r="R4823" s="29" t="n">
        <v>0</v>
      </c>
      <c r="S4823" s="29" t="n">
        <v>0</v>
      </c>
      <c r="T4823" t="inlineStr">
        <is>
          <t>31260945731099000130570010000098691000098903</t>
        </is>
      </c>
      <c r="U4823" t="inlineStr">
        <is>
          <t>Sim</t>
        </is>
      </c>
    </row>
    <row r="4824">
      <c r="A4824" t="inlineStr">
        <is>
          <t>Frete de venda</t>
        </is>
      </c>
      <c r="B4824" t="inlineStr">
        <is>
          <t>2.04.87 Frete sobre Compra</t>
        </is>
      </c>
      <c r="C4824" s="30" t="n">
        <v>46266</v>
      </c>
      <c r="D4824" t="inlineStr">
        <is>
          <t>Em 2026</t>
        </is>
      </c>
      <c r="E4824" s="28" t="n">
        <v>46282</v>
      </c>
      <c r="F4824" t="inlineStr">
        <is>
          <t>CT-e</t>
        </is>
      </c>
      <c r="G4824" t="inlineStr">
        <is>
          <t>000009870</t>
        </is>
      </c>
      <c r="H4824" t="inlineStr">
        <is>
          <t>BEM TRANSPORTES E LOGISTICA</t>
        </is>
      </c>
      <c r="J4824" s="29" t="n">
        <v>1150.7</v>
      </c>
      <c r="K4824" s="29">
        <f>(1-ISNUMBER(SEARCH("556",M4824)))*(O4824*SUMIFS(Premissas!$C$5:$C$44,Premissas!$A$5:$A$44,$A4824,Premissas!$B$5:$B$44,$B4824)+P4824*SUMIFS(Premissas!$D$5:$D$44,Premissas!$A$5:$A$44,$A4824,Premissas!$B$5:$B$44,$B4824))+R4824*SUMIFS(Premissas!$E$5:$E$44,Premissas!$A$5:$A$44,$A4824,Premissas!$B$5:$B$44,$B4824)+S4824*SUMIFS(Premissas!$F$5:$F$44,Premissas!$A$5:$A$44,$A4824,Premissas!$B$5:$B$44,$B4824)</f>
        <v/>
      </c>
      <c r="L4824" s="29">
        <f>J4824-K4824</f>
        <v/>
      </c>
      <c r="M4824" t="inlineStr">
        <is>
          <t>2.350</t>
        </is>
      </c>
      <c r="N4824" t="inlineStr">
        <is>
          <t>Modalidade: 0 - Por conta do remetente | Parte: CASA DAS EMBALAGENS OLIVEIRA LTDA (09.016.431/0001-10)</t>
        </is>
      </c>
      <c r="O4824" s="29" t="n">
        <v>0</v>
      </c>
      <c r="P4824" s="29" t="n">
        <v>0</v>
      </c>
      <c r="Q4824" s="29" t="n">
        <v>0</v>
      </c>
      <c r="R4824" s="29" t="n">
        <v>0</v>
      </c>
      <c r="S4824" s="29" t="n">
        <v>0</v>
      </c>
      <c r="T4824" t="inlineStr">
        <is>
          <t>31260945731099000130570010000098701000098912</t>
        </is>
      </c>
      <c r="U4824" t="inlineStr">
        <is>
          <t>Sim</t>
        </is>
      </c>
    </row>
    <row r="4825">
      <c r="A4825" t="inlineStr">
        <is>
          <t>Frete de venda</t>
        </is>
      </c>
      <c r="B4825" t="inlineStr">
        <is>
          <t>2.04.87 Frete sobre Compra</t>
        </is>
      </c>
      <c r="C4825" s="30" t="n">
        <v>46266</v>
      </c>
      <c r="D4825" t="inlineStr">
        <is>
          <t>Em 2026</t>
        </is>
      </c>
      <c r="E4825" s="28" t="n">
        <v>46282</v>
      </c>
      <c r="F4825" t="inlineStr">
        <is>
          <t>CT-e</t>
        </is>
      </c>
      <c r="G4825" t="inlineStr">
        <is>
          <t>000009871</t>
        </is>
      </c>
      <c r="H4825" t="inlineStr">
        <is>
          <t>BEM TRANSPORTES E LOGISTICA</t>
        </is>
      </c>
      <c r="J4825" s="29" t="n">
        <v>844.1</v>
      </c>
      <c r="K4825" s="29">
        <f>(1-ISNUMBER(SEARCH("556",M4825)))*(O4825*SUMIFS(Premissas!$C$5:$C$44,Premissas!$A$5:$A$44,$A4825,Premissas!$B$5:$B$44,$B4825)+P4825*SUMIFS(Premissas!$D$5:$D$44,Premissas!$A$5:$A$44,$A4825,Premissas!$B$5:$B$44,$B4825))+R4825*SUMIFS(Premissas!$E$5:$E$44,Premissas!$A$5:$A$44,$A4825,Premissas!$B$5:$B$44,$B4825)+S4825*SUMIFS(Premissas!$F$5:$F$44,Premissas!$A$5:$A$44,$A4825,Premissas!$B$5:$B$44,$B4825)</f>
        <v/>
      </c>
      <c r="L4825" s="29">
        <f>J4825-K4825</f>
        <v/>
      </c>
      <c r="M4825" t="inlineStr">
        <is>
          <t>2.350</t>
        </is>
      </c>
      <c r="N4825" t="inlineStr">
        <is>
          <t>Modalidade: 0 - Por conta do remetente | Parte: PLASTILANDIA LTDA (01.208.961/0001-59)</t>
        </is>
      </c>
      <c r="O4825" s="29" t="n">
        <v>0</v>
      </c>
      <c r="P4825" s="29" t="n">
        <v>0</v>
      </c>
      <c r="Q4825" s="29" t="n">
        <v>0</v>
      </c>
      <c r="R4825" s="29" t="n">
        <v>0</v>
      </c>
      <c r="S4825" s="29" t="n">
        <v>0</v>
      </c>
      <c r="T4825" t="inlineStr">
        <is>
          <t>31260945731099000130570010000098711000098928</t>
        </is>
      </c>
      <c r="U4825" t="inlineStr">
        <is>
          <t>Sim</t>
        </is>
      </c>
    </row>
    <row r="4826">
      <c r="A4826" t="inlineStr">
        <is>
          <t>Frete de venda</t>
        </is>
      </c>
      <c r="B4826" t="inlineStr">
        <is>
          <t>2.04.87 Frete sobre Compra</t>
        </is>
      </c>
      <c r="C4826" s="30" t="n">
        <v>46266</v>
      </c>
      <c r="D4826" t="inlineStr">
        <is>
          <t>Em 2026</t>
        </is>
      </c>
      <c r="E4826" s="28" t="n">
        <v>46282</v>
      </c>
      <c r="F4826" t="inlineStr">
        <is>
          <t>CT-e</t>
        </is>
      </c>
      <c r="G4826" t="inlineStr">
        <is>
          <t>000009872</t>
        </is>
      </c>
      <c r="H4826" t="inlineStr">
        <is>
          <t>BEM TRANSPORTES E LOGISTICA</t>
        </is>
      </c>
      <c r="J4826" s="29" t="n">
        <v>770.95</v>
      </c>
      <c r="K4826" s="29">
        <f>(1-ISNUMBER(SEARCH("556",M4826)))*(O4826*SUMIFS(Premissas!$C$5:$C$44,Premissas!$A$5:$A$44,$A4826,Premissas!$B$5:$B$44,$B4826)+P4826*SUMIFS(Premissas!$D$5:$D$44,Premissas!$A$5:$A$44,$A4826,Premissas!$B$5:$B$44,$B4826))+R4826*SUMIFS(Premissas!$E$5:$E$44,Premissas!$A$5:$A$44,$A4826,Premissas!$B$5:$B$44,$B4826)+S4826*SUMIFS(Premissas!$F$5:$F$44,Premissas!$A$5:$A$44,$A4826,Premissas!$B$5:$B$44,$B4826)</f>
        <v/>
      </c>
      <c r="L4826" s="29">
        <f>J4826-K4826</f>
        <v/>
      </c>
      <c r="M4826" t="inlineStr">
        <is>
          <t>2.350</t>
        </is>
      </c>
      <c r="N4826" t="inlineStr">
        <is>
          <t>Modalidade: 0 - Por conta do remetente | Parte: DISTRIBUIDORA BHF EMBALAGENS E FATIADOS LTDA (35.483.634/0001-27)</t>
        </is>
      </c>
      <c r="O4826" s="29" t="n">
        <v>0</v>
      </c>
      <c r="P4826" s="29" t="n">
        <v>0</v>
      </c>
      <c r="Q4826" s="29" t="n">
        <v>0</v>
      </c>
      <c r="R4826" s="29" t="n">
        <v>0</v>
      </c>
      <c r="S4826" s="29" t="n">
        <v>0</v>
      </c>
      <c r="T4826" t="inlineStr">
        <is>
          <t>31260945731099000130570010000098721000098933</t>
        </is>
      </c>
      <c r="U4826" t="inlineStr">
        <is>
          <t>Sim</t>
        </is>
      </c>
    </row>
    <row r="4827">
      <c r="A4827" t="inlineStr">
        <is>
          <t>Frete de venda</t>
        </is>
      </c>
      <c r="B4827" t="inlineStr">
        <is>
          <t>2.04.87 Frete sobre Compra</t>
        </is>
      </c>
      <c r="C4827" s="30" t="n">
        <v>46266</v>
      </c>
      <c r="D4827" t="inlineStr">
        <is>
          <t>Em 2026</t>
        </is>
      </c>
      <c r="E4827" s="28" t="n">
        <v>46282</v>
      </c>
      <c r="F4827" t="inlineStr">
        <is>
          <t>CT-e</t>
        </is>
      </c>
      <c r="G4827" t="inlineStr">
        <is>
          <t>000009873</t>
        </is>
      </c>
      <c r="H4827" t="inlineStr">
        <is>
          <t>BEM TRANSPORTES E LOGISTICA</t>
        </is>
      </c>
      <c r="J4827" s="29" t="n">
        <v>599.95</v>
      </c>
      <c r="K4827" s="29">
        <f>(1-ISNUMBER(SEARCH("556",M4827)))*(O4827*SUMIFS(Premissas!$C$5:$C$44,Premissas!$A$5:$A$44,$A4827,Premissas!$B$5:$B$44,$B4827)+P4827*SUMIFS(Premissas!$D$5:$D$44,Premissas!$A$5:$A$44,$A4827,Premissas!$B$5:$B$44,$B4827))+R4827*SUMIFS(Premissas!$E$5:$E$44,Premissas!$A$5:$A$44,$A4827,Premissas!$B$5:$B$44,$B4827)+S4827*SUMIFS(Premissas!$F$5:$F$44,Premissas!$A$5:$A$44,$A4827,Premissas!$B$5:$B$44,$B4827)</f>
        <v/>
      </c>
      <c r="L4827" s="29">
        <f>J4827-K4827</f>
        <v/>
      </c>
      <c r="M4827" t="inlineStr">
        <is>
          <t>2.350</t>
        </is>
      </c>
      <c r="N4827" t="inlineStr">
        <is>
          <t>Modalidade: 0 - Por conta do remetente | Parte: EMBALAGENS BRASIL LTDA (66.430.737/0001-52)</t>
        </is>
      </c>
      <c r="O4827" s="29" t="n">
        <v>0</v>
      </c>
      <c r="P4827" s="29" t="n">
        <v>0</v>
      </c>
      <c r="Q4827" s="29" t="n">
        <v>0</v>
      </c>
      <c r="R4827" s="29" t="n">
        <v>0</v>
      </c>
      <c r="S4827" s="29" t="n">
        <v>0</v>
      </c>
      <c r="T4827" t="inlineStr">
        <is>
          <t>31260945731099000130570010000098731000098949</t>
        </is>
      </c>
      <c r="U4827" t="inlineStr">
        <is>
          <t>Sim</t>
        </is>
      </c>
    </row>
    <row r="4828">
      <c r="A4828" t="inlineStr">
        <is>
          <t>Frete de venda</t>
        </is>
      </c>
      <c r="B4828" t="inlineStr">
        <is>
          <t>2.04.87 Frete sobre Compra</t>
        </is>
      </c>
      <c r="C4828" s="30" t="n">
        <v>46266</v>
      </c>
      <c r="D4828" t="inlineStr">
        <is>
          <t>Em 2026</t>
        </is>
      </c>
      <c r="E4828" s="28" t="n">
        <v>46282</v>
      </c>
      <c r="F4828" t="inlineStr">
        <is>
          <t>CT-e</t>
        </is>
      </c>
      <c r="G4828" t="inlineStr">
        <is>
          <t>000009874</t>
        </is>
      </c>
      <c r="H4828" t="inlineStr">
        <is>
          <t>BEM TRANSPORTES E LOGISTICA</t>
        </is>
      </c>
      <c r="J4828" s="29" t="n">
        <v>3276.8</v>
      </c>
      <c r="K4828" s="29">
        <f>(1-ISNUMBER(SEARCH("556",M4828)))*(O4828*SUMIFS(Premissas!$C$5:$C$44,Premissas!$A$5:$A$44,$A4828,Premissas!$B$5:$B$44,$B4828)+P4828*SUMIFS(Premissas!$D$5:$D$44,Premissas!$A$5:$A$44,$A4828,Premissas!$B$5:$B$44,$B4828))+R4828*SUMIFS(Premissas!$E$5:$E$44,Premissas!$A$5:$A$44,$A4828,Premissas!$B$5:$B$44,$B4828)+S4828*SUMIFS(Premissas!$F$5:$F$44,Premissas!$A$5:$A$44,$A4828,Premissas!$B$5:$B$44,$B4828)</f>
        <v/>
      </c>
      <c r="L4828" s="29">
        <f>J4828-K4828</f>
        <v/>
      </c>
      <c r="M4828" t="inlineStr">
        <is>
          <t>2.350</t>
        </is>
      </c>
      <c r="N4828" t="inlineStr">
        <is>
          <t>Modalidade: 0 - Por conta do remetente | Parte: ITAVALE DISTRIBUIDORA LTDA (05.452.972/0001-30)</t>
        </is>
      </c>
      <c r="O4828" s="29" t="n">
        <v>0</v>
      </c>
      <c r="P4828" s="29" t="n">
        <v>0</v>
      </c>
      <c r="Q4828" s="29" t="n">
        <v>0</v>
      </c>
      <c r="R4828" s="29" t="n">
        <v>0</v>
      </c>
      <c r="S4828" s="29" t="n">
        <v>0</v>
      </c>
      <c r="T4828" t="inlineStr">
        <is>
          <t>31260945731099000130570010000098741000098954</t>
        </is>
      </c>
      <c r="U4828" t="inlineStr">
        <is>
          <t>Sim</t>
        </is>
      </c>
    </row>
    <row r="4829">
      <c r="A4829" t="inlineStr">
        <is>
          <t>Frete de venda</t>
        </is>
      </c>
      <c r="B4829" t="inlineStr">
        <is>
          <t>2.04.87 Frete sobre Compra</t>
        </is>
      </c>
      <c r="C4829" s="30" t="n">
        <v>46266</v>
      </c>
      <c r="D4829" t="inlineStr">
        <is>
          <t>Em 2026</t>
        </is>
      </c>
      <c r="E4829" s="28" t="n">
        <v>46282</v>
      </c>
      <c r="F4829" t="inlineStr">
        <is>
          <t>CT-e</t>
        </is>
      </c>
      <c r="G4829" t="inlineStr">
        <is>
          <t>000009875</t>
        </is>
      </c>
      <c r="H4829" t="inlineStr">
        <is>
          <t>BEM TRANSPORTES E LOGISTICA</t>
        </is>
      </c>
      <c r="J4829" s="29" t="n">
        <v>1418.85</v>
      </c>
      <c r="K4829" s="29">
        <f>(1-ISNUMBER(SEARCH("556",M4829)))*(O4829*SUMIFS(Premissas!$C$5:$C$44,Premissas!$A$5:$A$44,$A4829,Premissas!$B$5:$B$44,$B4829)+P4829*SUMIFS(Premissas!$D$5:$D$44,Premissas!$A$5:$A$44,$A4829,Premissas!$B$5:$B$44,$B4829))+R4829*SUMIFS(Premissas!$E$5:$E$44,Premissas!$A$5:$A$44,$A4829,Premissas!$B$5:$B$44,$B4829)+S4829*SUMIFS(Premissas!$F$5:$F$44,Premissas!$A$5:$A$44,$A4829,Premissas!$B$5:$B$44,$B4829)</f>
        <v/>
      </c>
      <c r="L4829" s="29">
        <f>J4829-K4829</f>
        <v/>
      </c>
      <c r="M4829" t="inlineStr">
        <is>
          <t>2.350</t>
        </is>
      </c>
      <c r="N4829" t="inlineStr">
        <is>
          <t>Modalidade: 0 - Por conta do remetente | Parte: DISTRIBUIDORA DE EMBALAGENS SUACUI LTDA (10.560.122/0001-96)</t>
        </is>
      </c>
      <c r="O4829" s="29" t="n">
        <v>0</v>
      </c>
      <c r="P4829" s="29" t="n">
        <v>0</v>
      </c>
      <c r="Q4829" s="29" t="n">
        <v>0</v>
      </c>
      <c r="R4829" s="29" t="n">
        <v>0</v>
      </c>
      <c r="S4829" s="29" t="n">
        <v>0</v>
      </c>
      <c r="T4829" t="inlineStr">
        <is>
          <t>31260945731099000130570010000098751000098960</t>
        </is>
      </c>
      <c r="U4829" t="inlineStr">
        <is>
          <t>Sim</t>
        </is>
      </c>
    </row>
    <row r="4830">
      <c r="A4830" t="inlineStr">
        <is>
          <t>Frete de venda</t>
        </is>
      </c>
      <c r="B4830" t="inlineStr">
        <is>
          <t>2.04.87 Frete sobre Compra</t>
        </is>
      </c>
      <c r="C4830" s="30" t="n">
        <v>46266</v>
      </c>
      <c r="D4830" t="inlineStr">
        <is>
          <t>Em 2026</t>
        </is>
      </c>
      <c r="E4830" s="28" t="n">
        <v>46282</v>
      </c>
      <c r="F4830" t="inlineStr">
        <is>
          <t>CT-e</t>
        </is>
      </c>
      <c r="G4830" t="inlineStr">
        <is>
          <t>000009876</t>
        </is>
      </c>
      <c r="H4830" t="inlineStr">
        <is>
          <t>BEM TRANSPORTES E LOGISTICA</t>
        </is>
      </c>
      <c r="J4830" s="29" t="n">
        <v>709.2</v>
      </c>
      <c r="K4830" s="29">
        <f>(1-ISNUMBER(SEARCH("556",M4830)))*(O4830*SUMIFS(Premissas!$C$5:$C$44,Premissas!$A$5:$A$44,$A4830,Premissas!$B$5:$B$44,$B4830)+P4830*SUMIFS(Premissas!$D$5:$D$44,Premissas!$A$5:$A$44,$A4830,Premissas!$B$5:$B$44,$B4830))+R4830*SUMIFS(Premissas!$E$5:$E$44,Premissas!$A$5:$A$44,$A4830,Premissas!$B$5:$B$44,$B4830)+S4830*SUMIFS(Premissas!$F$5:$F$44,Premissas!$A$5:$A$44,$A4830,Premissas!$B$5:$B$44,$B4830)</f>
        <v/>
      </c>
      <c r="L4830" s="29">
        <f>J4830-K4830</f>
        <v/>
      </c>
      <c r="M4830" t="inlineStr">
        <is>
          <t>2.350</t>
        </is>
      </c>
      <c r="N4830" t="inlineStr">
        <is>
          <t>Modalidade: 0 - Por conta do remetente | Parte: GUGA EMBALAGENS E DESCARTAVEIS LTDA (61.468.311/0001-74)</t>
        </is>
      </c>
      <c r="O4830" s="29" t="n">
        <v>0</v>
      </c>
      <c r="P4830" s="29" t="n">
        <v>0</v>
      </c>
      <c r="Q4830" s="29" t="n">
        <v>0</v>
      </c>
      <c r="R4830" s="29" t="n">
        <v>0</v>
      </c>
      <c r="S4830" s="29" t="n">
        <v>0</v>
      </c>
      <c r="T4830" t="inlineStr">
        <is>
          <t>31260945731099000130570010000098761000098975</t>
        </is>
      </c>
      <c r="U4830" t="inlineStr">
        <is>
          <t>Sim</t>
        </is>
      </c>
    </row>
    <row r="4831">
      <c r="A4831" t="inlineStr">
        <is>
          <t>Frete de venda</t>
        </is>
      </c>
      <c r="B4831" t="inlineStr">
        <is>
          <t>2.04.87 Frete sobre Compra</t>
        </is>
      </c>
      <c r="C4831" s="30" t="n">
        <v>46266</v>
      </c>
      <c r="D4831" t="inlineStr">
        <is>
          <t>Em 2026</t>
        </is>
      </c>
      <c r="E4831" s="28" t="n">
        <v>46266</v>
      </c>
      <c r="F4831" t="inlineStr">
        <is>
          <t>CT-e</t>
        </is>
      </c>
      <c r="G4831" t="inlineStr">
        <is>
          <t>000129338</t>
        </is>
      </c>
      <c r="H4831" t="inlineStr">
        <is>
          <t>CAMPINENSE TRANSPORTE DE CARGAS E LOCACOES LT</t>
        </is>
      </c>
      <c r="J4831" s="29" t="n">
        <v>150.95</v>
      </c>
      <c r="K4831" s="29">
        <f>(1-ISNUMBER(SEARCH("556",M4831)))*(O4831*SUMIFS(Premissas!$C$5:$C$44,Premissas!$A$5:$A$44,$A4831,Premissas!$B$5:$B$44,$B4831)+P4831*SUMIFS(Premissas!$D$5:$D$44,Premissas!$A$5:$A$44,$A4831,Premissas!$B$5:$B$44,$B4831))+R4831*SUMIFS(Premissas!$E$5:$E$44,Premissas!$A$5:$A$44,$A4831,Premissas!$B$5:$B$44,$B4831)+S4831*SUMIFS(Premissas!$F$5:$F$44,Premissas!$A$5:$A$44,$A4831,Premissas!$B$5:$B$44,$B4831)</f>
        <v/>
      </c>
      <c r="L4831" s="29">
        <f>J4831-K4831</f>
        <v/>
      </c>
      <c r="M4831" t="inlineStr">
        <is>
          <t>2.350</t>
        </is>
      </c>
      <c r="N4831" t="inlineStr">
        <is>
          <t>Modalidade: 1 - Por conta do destinatário | Parte: BLEED S IND. E COM. DE PRODUTOS QUIMICOS E LUBRIF. LTDA (64.534.787/0001-54)</t>
        </is>
      </c>
      <c r="O4831" s="29" t="n">
        <v>0</v>
      </c>
      <c r="P4831" s="29" t="n">
        <v>10.57</v>
      </c>
      <c r="Q4831" s="29" t="n">
        <v>0</v>
      </c>
      <c r="R4831" s="29" t="n">
        <v>0</v>
      </c>
      <c r="S4831" s="29" t="n">
        <v>0</v>
      </c>
      <c r="T4831" t="inlineStr">
        <is>
          <t>35260908706145001005570010001293381002166612</t>
        </is>
      </c>
      <c r="U4831" t="inlineStr">
        <is>
          <t>Sim</t>
        </is>
      </c>
    </row>
    <row r="4832">
      <c r="A4832" t="inlineStr">
        <is>
          <t>Frete de venda</t>
        </is>
      </c>
      <c r="B4832" t="inlineStr">
        <is>
          <t>2.04.87 Frete sobre Compra</t>
        </is>
      </c>
      <c r="C4832" s="30" t="n">
        <v>46266</v>
      </c>
      <c r="D4832" t="inlineStr">
        <is>
          <t>Em 2026</t>
        </is>
      </c>
      <c r="E4832" s="28" t="n">
        <v>46268</v>
      </c>
      <c r="F4832" t="inlineStr">
        <is>
          <t>CT-e</t>
        </is>
      </c>
      <c r="G4832" t="inlineStr">
        <is>
          <t>000231275</t>
        </is>
      </c>
      <c r="H4832" t="inlineStr">
        <is>
          <t>CAZAN TRANSPORTES LTDA</t>
        </is>
      </c>
      <c r="J4832" s="29" t="n">
        <v>145.9</v>
      </c>
      <c r="K4832" s="29">
        <f>(1-ISNUMBER(SEARCH("556",M4832)))*(O4832*SUMIFS(Premissas!$C$5:$C$44,Premissas!$A$5:$A$44,$A4832,Premissas!$B$5:$B$44,$B4832)+P4832*SUMIFS(Premissas!$D$5:$D$44,Premissas!$A$5:$A$44,$A4832,Premissas!$B$5:$B$44,$B4832))+R4832*SUMIFS(Premissas!$E$5:$E$44,Premissas!$A$5:$A$44,$A4832,Premissas!$B$5:$B$44,$B4832)+S4832*SUMIFS(Premissas!$F$5:$F$44,Premissas!$A$5:$A$44,$A4832,Premissas!$B$5:$B$44,$B4832)</f>
        <v/>
      </c>
      <c r="L4832" s="29">
        <f>J4832-K4832</f>
        <v/>
      </c>
      <c r="M4832" t="inlineStr">
        <is>
          <t>2.350</t>
        </is>
      </c>
      <c r="N4832" t="inlineStr">
        <is>
          <t>Modalidade: 1 - Por conta do destinatário | Parte: FURNAX COMERCIAL E IMPORTADORA EIRELI (00.144.257/0001-17)</t>
        </is>
      </c>
      <c r="O4832" s="29" t="n">
        <v>0</v>
      </c>
      <c r="P4832" s="29" t="n">
        <v>10.21</v>
      </c>
      <c r="Q4832" s="29" t="n">
        <v>0</v>
      </c>
      <c r="R4832" s="29" t="n">
        <v>0</v>
      </c>
      <c r="S4832" s="29" t="n">
        <v>0</v>
      </c>
      <c r="T4832" t="inlineStr">
        <is>
          <t>35260907797011000193570010002312751363545131</t>
        </is>
      </c>
      <c r="U4832" t="inlineStr">
        <is>
          <t>Sim</t>
        </is>
      </c>
    </row>
    <row r="4833">
      <c r="A4833" t="inlineStr">
        <is>
          <t>Frete de venda</t>
        </is>
      </c>
      <c r="B4833" t="inlineStr">
        <is>
          <t>2.04.87 Frete sobre Compra</t>
        </is>
      </c>
      <c r="C4833" s="30" t="n">
        <v>46266</v>
      </c>
      <c r="D4833" t="inlineStr">
        <is>
          <t>Em 2026</t>
        </is>
      </c>
      <c r="E4833" s="28" t="n">
        <v>46268</v>
      </c>
      <c r="F4833" t="inlineStr">
        <is>
          <t>CT-e</t>
        </is>
      </c>
      <c r="G4833" t="inlineStr">
        <is>
          <t>000231280</t>
        </is>
      </c>
      <c r="H4833" t="inlineStr">
        <is>
          <t>CAZAN TRANSPORTES LTDA</t>
        </is>
      </c>
      <c r="J4833" s="29" t="n">
        <v>6642.05</v>
      </c>
      <c r="K4833" s="29">
        <f>(1-ISNUMBER(SEARCH("556",M4833)))*(O4833*SUMIFS(Premissas!$C$5:$C$44,Premissas!$A$5:$A$44,$A4833,Premissas!$B$5:$B$44,$B4833)+P4833*SUMIFS(Premissas!$D$5:$D$44,Premissas!$A$5:$A$44,$A4833,Premissas!$B$5:$B$44,$B4833))+R4833*SUMIFS(Premissas!$E$5:$E$44,Premissas!$A$5:$A$44,$A4833,Premissas!$B$5:$B$44,$B4833)+S4833*SUMIFS(Premissas!$F$5:$F$44,Premissas!$A$5:$A$44,$A4833,Premissas!$B$5:$B$44,$B4833)</f>
        <v/>
      </c>
      <c r="L4833" s="29">
        <f>J4833-K4833</f>
        <v/>
      </c>
      <c r="M4833" t="inlineStr">
        <is>
          <t>2.350</t>
        </is>
      </c>
      <c r="N4833" t="inlineStr">
        <is>
          <t>Modalidade: 1 - Por conta do destinatário | Parte: ANIN INDUSTRIA E COMERCIO DE PAPEL LTDA (39.285.002/0001-00)</t>
        </is>
      </c>
      <c r="O4833" s="29" t="n">
        <v>0</v>
      </c>
      <c r="P4833" s="29" t="n">
        <v>464.94</v>
      </c>
      <c r="Q4833" s="29" t="n">
        <v>0</v>
      </c>
      <c r="R4833" s="29" t="n">
        <v>0</v>
      </c>
      <c r="S4833" s="29" t="n">
        <v>0</v>
      </c>
      <c r="T4833" t="inlineStr">
        <is>
          <t>35260907797011000193570010002312801141708697</t>
        </is>
      </c>
      <c r="U4833" t="inlineStr">
        <is>
          <t>Sim</t>
        </is>
      </c>
    </row>
    <row r="4834">
      <c r="A4834" t="inlineStr">
        <is>
          <t>Frete de venda</t>
        </is>
      </c>
      <c r="B4834" t="inlineStr">
        <is>
          <t>2.04.87 Frete sobre Compra</t>
        </is>
      </c>
      <c r="C4834" s="30" t="n">
        <v>46266</v>
      </c>
      <c r="D4834" t="inlineStr">
        <is>
          <t>Em 2026</t>
        </is>
      </c>
      <c r="E4834" s="28" t="n">
        <v>46270</v>
      </c>
      <c r="F4834" t="inlineStr">
        <is>
          <t>CT-e</t>
        </is>
      </c>
      <c r="G4834" t="inlineStr">
        <is>
          <t>000231481</t>
        </is>
      </c>
      <c r="H4834" t="inlineStr">
        <is>
          <t>CAZAN TRANSPORTES LTDA</t>
        </is>
      </c>
      <c r="J4834" s="29" t="n">
        <v>145.91</v>
      </c>
      <c r="K4834" s="29">
        <f>(1-ISNUMBER(SEARCH("556",M4834)))*(O4834*SUMIFS(Premissas!$C$5:$C$44,Premissas!$A$5:$A$44,$A4834,Premissas!$B$5:$B$44,$B4834)+P4834*SUMIFS(Premissas!$D$5:$D$44,Premissas!$A$5:$A$44,$A4834,Premissas!$B$5:$B$44,$B4834))+R4834*SUMIFS(Premissas!$E$5:$E$44,Premissas!$A$5:$A$44,$A4834,Premissas!$B$5:$B$44,$B4834)+S4834*SUMIFS(Premissas!$F$5:$F$44,Premissas!$A$5:$A$44,$A4834,Premissas!$B$5:$B$44,$B4834)</f>
        <v/>
      </c>
      <c r="L4834" s="29">
        <f>J4834-K4834</f>
        <v/>
      </c>
      <c r="M4834" t="inlineStr">
        <is>
          <t>2.350</t>
        </is>
      </c>
      <c r="N4834" t="inlineStr">
        <is>
          <t>Modalidade: 1 - Por conta do destinatário | Parte: TRANSBELT - COMERCIO, IMPORTACAO E EXPORTACAO DE CORREIAS IN (24.889.612/0001-45)</t>
        </is>
      </c>
      <c r="O4834" s="29" t="n">
        <v>0</v>
      </c>
      <c r="P4834" s="29" t="n">
        <v>10.21</v>
      </c>
      <c r="Q4834" s="29" t="n">
        <v>0</v>
      </c>
      <c r="R4834" s="29" t="n">
        <v>0</v>
      </c>
      <c r="S4834" s="29" t="n">
        <v>0</v>
      </c>
      <c r="T4834" t="inlineStr">
        <is>
          <t>35260907797011000193570010002314811259567955</t>
        </is>
      </c>
      <c r="U4834" t="inlineStr">
        <is>
          <t>Sim</t>
        </is>
      </c>
    </row>
    <row r="4835">
      <c r="A4835" t="inlineStr">
        <is>
          <t>Frete de venda</t>
        </is>
      </c>
      <c r="B4835" t="inlineStr">
        <is>
          <t>2.04.87 Frete sobre Compra</t>
        </is>
      </c>
      <c r="C4835" s="30" t="n">
        <v>46266</v>
      </c>
      <c r="D4835" t="inlineStr">
        <is>
          <t>Em 2026</t>
        </is>
      </c>
      <c r="E4835" s="28" t="n">
        <v>46279</v>
      </c>
      <c r="F4835" t="inlineStr">
        <is>
          <t>CT-e</t>
        </is>
      </c>
      <c r="G4835" t="inlineStr">
        <is>
          <t>000232025</t>
        </is>
      </c>
      <c r="H4835" t="inlineStr">
        <is>
          <t>CAZAN TRANSPORTES LTDA</t>
        </is>
      </c>
      <c r="J4835" s="29" t="n">
        <v>145.9</v>
      </c>
      <c r="K4835" s="29">
        <f>(1-ISNUMBER(SEARCH("556",M4835)))*(O4835*SUMIFS(Premissas!$C$5:$C$44,Premissas!$A$5:$A$44,$A4835,Premissas!$B$5:$B$44,$B4835)+P4835*SUMIFS(Premissas!$D$5:$D$44,Premissas!$A$5:$A$44,$A4835,Premissas!$B$5:$B$44,$B4835))+R4835*SUMIFS(Premissas!$E$5:$E$44,Premissas!$A$5:$A$44,$A4835,Premissas!$B$5:$B$44,$B4835)+S4835*SUMIFS(Premissas!$F$5:$F$44,Premissas!$A$5:$A$44,$A4835,Premissas!$B$5:$B$44,$B4835)</f>
        <v/>
      </c>
      <c r="L4835" s="29">
        <f>J4835-K4835</f>
        <v/>
      </c>
      <c r="M4835" t="inlineStr">
        <is>
          <t>2.350</t>
        </is>
      </c>
      <c r="N4835" t="inlineStr">
        <is>
          <t>Modalidade: 1 - Por conta do destinatário | Parte: LASERFLEX INDUSTRIAL LTDA (05.551.562/0001-47)</t>
        </is>
      </c>
      <c r="O4835" s="29" t="n">
        <v>0</v>
      </c>
      <c r="P4835" s="29" t="n">
        <v>10.21</v>
      </c>
      <c r="Q4835" s="29" t="n">
        <v>0</v>
      </c>
      <c r="R4835" s="29" t="n">
        <v>0</v>
      </c>
      <c r="S4835" s="29" t="n">
        <v>0</v>
      </c>
      <c r="T4835" t="inlineStr">
        <is>
          <t>35260907797011000193570010002320251443956008</t>
        </is>
      </c>
      <c r="U4835" t="inlineStr">
        <is>
          <t>Sim</t>
        </is>
      </c>
    </row>
    <row r="4836">
      <c r="A4836" t="inlineStr">
        <is>
          <t>Outras despesas pagas</t>
        </is>
      </c>
      <c r="B4836" t="inlineStr">
        <is>
          <t>Aluguel de contêiner</t>
        </is>
      </c>
      <c r="C4836" s="30" t="n">
        <v>46235</v>
      </c>
      <c r="D4836" t="inlineStr">
        <is>
          <t>Em 2026</t>
        </is>
      </c>
      <c r="E4836" s="28" t="n">
        <v>46246</v>
      </c>
      <c r="F4836" t="inlineStr">
        <is>
          <t>CT-e</t>
        </is>
      </c>
      <c r="G4836" t="inlineStr">
        <is>
          <t>000077837</t>
        </is>
      </c>
      <c r="H4836" t="inlineStr">
        <is>
          <t>UNIAO MULTIMODAL OTM LTDA</t>
        </is>
      </c>
      <c r="J4836" s="29" t="n">
        <v>16330</v>
      </c>
      <c r="K4836" s="29">
        <f>(1-ISNUMBER(SEARCH("556",M4836)))*(O4836*SUMIFS(Premissas!$C$5:$C$44,Premissas!$A$5:$A$44,$A4836,Premissas!$B$5:$B$44,$B4836)+P4836*SUMIFS(Premissas!$D$5:$D$44,Premissas!$A$5:$A$44,$A4836,Premissas!$B$5:$B$44,$B4836))+R4836*SUMIFS(Premissas!$E$5:$E$44,Premissas!$A$5:$A$44,$A4836,Premissas!$B$5:$B$44,$B4836)+S4836*SUMIFS(Premissas!$F$5:$F$44,Premissas!$A$5:$A$44,$A4836,Premissas!$B$5:$B$44,$B4836)</f>
        <v/>
      </c>
      <c r="L4836" s="29">
        <f>J4836-K4836</f>
        <v/>
      </c>
      <c r="M4836" t="inlineStr">
        <is>
          <t>2.350</t>
        </is>
      </c>
      <c r="N4836" t="inlineStr">
        <is>
          <t>Modalidade: 2 - Por conta de terceiros | Parte: COCELPA CIA DE CEL. E PAPEL DO PARANA SA (76.487.651/0001-10)</t>
        </is>
      </c>
      <c r="O4836" s="29" t="n">
        <v>0</v>
      </c>
      <c r="P4836" s="29" t="n">
        <v>0</v>
      </c>
      <c r="Q4836" s="29" t="n">
        <v>0</v>
      </c>
      <c r="R4836" s="29" t="n">
        <v>0</v>
      </c>
      <c r="S4836" s="29" t="n">
        <v>0</v>
      </c>
      <c r="T4836" t="inlineStr">
        <is>
          <t>26260802359445000198570000000778371000916202</t>
        </is>
      </c>
      <c r="U4836" t="inlineStr">
        <is>
          <t>Sim</t>
        </is>
      </c>
    </row>
    <row r="4837">
      <c r="A4837" t="inlineStr">
        <is>
          <t>Outras despesas pagas</t>
        </is>
      </c>
      <c r="B4837" t="inlineStr">
        <is>
          <t>Aluguel de contêiner</t>
        </is>
      </c>
      <c r="C4837" s="30" t="n">
        <v>46235</v>
      </c>
      <c r="D4837" t="inlineStr">
        <is>
          <t>Em 2026</t>
        </is>
      </c>
      <c r="E4837" s="28" t="n">
        <v>46246</v>
      </c>
      <c r="F4837" t="inlineStr">
        <is>
          <t>CT-e</t>
        </is>
      </c>
      <c r="G4837" t="inlineStr">
        <is>
          <t>000077838</t>
        </is>
      </c>
      <c r="H4837" t="inlineStr">
        <is>
          <t>UNIAO MULTIMODAL OTM LTDA</t>
        </is>
      </c>
      <c r="J4837" s="29" t="n">
        <v>16330</v>
      </c>
      <c r="K4837" s="29">
        <f>(1-ISNUMBER(SEARCH("556",M4837)))*(O4837*SUMIFS(Premissas!$C$5:$C$44,Premissas!$A$5:$A$44,$A4837,Premissas!$B$5:$B$44,$B4837)+P4837*SUMIFS(Premissas!$D$5:$D$44,Premissas!$A$5:$A$44,$A4837,Premissas!$B$5:$B$44,$B4837))+R4837*SUMIFS(Premissas!$E$5:$E$44,Premissas!$A$5:$A$44,$A4837,Premissas!$B$5:$B$44,$B4837)+S4837*SUMIFS(Premissas!$F$5:$F$44,Premissas!$A$5:$A$44,$A4837,Premissas!$B$5:$B$44,$B4837)</f>
        <v/>
      </c>
      <c r="L4837" s="29">
        <f>J4837-K4837</f>
        <v/>
      </c>
      <c r="M4837" t="inlineStr">
        <is>
          <t>2.350</t>
        </is>
      </c>
      <c r="N4837" t="inlineStr">
        <is>
          <t>Modalidade: 2 - Por conta de terceiros | Parte: COCELPA CIA DE CEL. E PAPEL DO PARANA SA (76.487.651/0001-10)</t>
        </is>
      </c>
      <c r="O4837" s="29" t="n">
        <v>0</v>
      </c>
      <c r="P4837" s="29" t="n">
        <v>0</v>
      </c>
      <c r="Q4837" s="29" t="n">
        <v>0</v>
      </c>
      <c r="R4837" s="29" t="n">
        <v>0</v>
      </c>
      <c r="S4837" s="29" t="n">
        <v>0</v>
      </c>
      <c r="T4837" t="inlineStr">
        <is>
          <t>26260802359445000198570000000778381000916218</t>
        </is>
      </c>
      <c r="U4837" t="inlineStr">
        <is>
          <t>Sim</t>
        </is>
      </c>
    </row>
    <row r="4838">
      <c r="A4838" t="inlineStr">
        <is>
          <t>Outras despesas pagas</t>
        </is>
      </c>
      <c r="B4838" t="inlineStr">
        <is>
          <t>Aluguel de contêiner</t>
        </is>
      </c>
      <c r="C4838" s="30" t="n">
        <v>46235</v>
      </c>
      <c r="D4838" t="inlineStr">
        <is>
          <t>Em 2026</t>
        </is>
      </c>
      <c r="E4838" s="28" t="n">
        <v>46263</v>
      </c>
      <c r="F4838" t="inlineStr">
        <is>
          <t>CT-e</t>
        </is>
      </c>
      <c r="G4838" t="inlineStr">
        <is>
          <t>000078790</t>
        </is>
      </c>
      <c r="H4838" t="inlineStr">
        <is>
          <t>UNIAO MULTIMODAL OTM LTDA</t>
        </is>
      </c>
      <c r="J4838" s="29" t="n">
        <v>21700</v>
      </c>
      <c r="K4838" s="29">
        <f>(1-ISNUMBER(SEARCH("556",M4838)))*(O4838*SUMIFS(Premissas!$C$5:$C$44,Premissas!$A$5:$A$44,$A4838,Premissas!$B$5:$B$44,$B4838)+P4838*SUMIFS(Premissas!$D$5:$D$44,Premissas!$A$5:$A$44,$A4838,Premissas!$B$5:$B$44,$B4838))+R4838*SUMIFS(Premissas!$E$5:$E$44,Premissas!$A$5:$A$44,$A4838,Premissas!$B$5:$B$44,$B4838)+S4838*SUMIFS(Premissas!$F$5:$F$44,Premissas!$A$5:$A$44,$A4838,Premissas!$B$5:$B$44,$B4838)</f>
        <v/>
      </c>
      <c r="L4838" s="29">
        <f>J4838-K4838</f>
        <v/>
      </c>
      <c r="M4838" t="inlineStr">
        <is>
          <t>2.350</t>
        </is>
      </c>
      <c r="N4838" t="inlineStr">
        <is>
          <t>Modalidade: 2 - Por conta de terceiros | Parte: CMPC Iguacu Embalagens Ltda (11.308.600/0008-04)</t>
        </is>
      </c>
      <c r="O4838" s="29" t="n">
        <v>0</v>
      </c>
      <c r="P4838" s="29" t="n">
        <v>0</v>
      </c>
      <c r="Q4838" s="29" t="n">
        <v>0</v>
      </c>
      <c r="R4838" s="29" t="n">
        <v>0</v>
      </c>
      <c r="S4838" s="29" t="n">
        <v>0</v>
      </c>
      <c r="T4838" t="inlineStr">
        <is>
          <t>26260802359445000198570000000787901000927235</t>
        </is>
      </c>
      <c r="U4838" t="inlineStr">
        <is>
          <t>Sim</t>
        </is>
      </c>
    </row>
    <row r="4839">
      <c r="A4839" t="inlineStr">
        <is>
          <t>Outras despesas pagas</t>
        </is>
      </c>
      <c r="B4839" t="inlineStr">
        <is>
          <t>Aluguel de contêiner</t>
        </is>
      </c>
      <c r="C4839" s="30" t="n">
        <v>46235</v>
      </c>
      <c r="D4839" t="inlineStr">
        <is>
          <t>Em 2026</t>
        </is>
      </c>
      <c r="E4839" s="28" t="n">
        <v>46263</v>
      </c>
      <c r="F4839" t="inlineStr">
        <is>
          <t>CT-e</t>
        </is>
      </c>
      <c r="G4839" t="inlineStr">
        <is>
          <t>000078792</t>
        </is>
      </c>
      <c r="H4839" t="inlineStr">
        <is>
          <t>UNIAO MULTIMODAL OTM LTDA</t>
        </is>
      </c>
      <c r="J4839" s="29" t="n">
        <v>21700</v>
      </c>
      <c r="K4839" s="29">
        <f>(1-ISNUMBER(SEARCH("556",M4839)))*(O4839*SUMIFS(Premissas!$C$5:$C$44,Premissas!$A$5:$A$44,$A4839,Premissas!$B$5:$B$44,$B4839)+P4839*SUMIFS(Premissas!$D$5:$D$44,Premissas!$A$5:$A$44,$A4839,Premissas!$B$5:$B$44,$B4839))+R4839*SUMIFS(Premissas!$E$5:$E$44,Premissas!$A$5:$A$44,$A4839,Premissas!$B$5:$B$44,$B4839)+S4839*SUMIFS(Premissas!$F$5:$F$44,Premissas!$A$5:$A$44,$A4839,Premissas!$B$5:$B$44,$B4839)</f>
        <v/>
      </c>
      <c r="L4839" s="29">
        <f>J4839-K4839</f>
        <v/>
      </c>
      <c r="M4839" t="inlineStr">
        <is>
          <t>2.350</t>
        </is>
      </c>
      <c r="N4839" t="inlineStr">
        <is>
          <t>Modalidade: 2 - Por conta de terceiros | Parte: CMPC Iguacu Embalagens Ltda (11.308.600/0008-04)</t>
        </is>
      </c>
      <c r="O4839" s="29" t="n">
        <v>0</v>
      </c>
      <c r="P4839" s="29" t="n">
        <v>0</v>
      </c>
      <c r="Q4839" s="29" t="n">
        <v>0</v>
      </c>
      <c r="R4839" s="29" t="n">
        <v>0</v>
      </c>
      <c r="S4839" s="29" t="n">
        <v>0</v>
      </c>
      <c r="T4839" t="inlineStr">
        <is>
          <t>26260802359445000198570000000787921000927264</t>
        </is>
      </c>
      <c r="U4839" t="inlineStr">
        <is>
          <t>Sim</t>
        </is>
      </c>
    </row>
    <row r="4840">
      <c r="A4840" t="inlineStr">
        <is>
          <t>Outras despesas pagas</t>
        </is>
      </c>
      <c r="B4840" t="inlineStr">
        <is>
          <t>Aluguel de contêiner</t>
        </is>
      </c>
      <c r="C4840" s="30" t="n">
        <v>46235</v>
      </c>
      <c r="D4840" t="inlineStr">
        <is>
          <t>Em 2026</t>
        </is>
      </c>
      <c r="E4840" s="28" t="n">
        <v>46263</v>
      </c>
      <c r="F4840" t="inlineStr">
        <is>
          <t>CT-e</t>
        </is>
      </c>
      <c r="G4840" t="inlineStr">
        <is>
          <t>000078796</t>
        </is>
      </c>
      <c r="H4840" t="inlineStr">
        <is>
          <t>UNIAO MULTIMODAL OTM LTDA</t>
        </is>
      </c>
      <c r="J4840" s="29" t="n">
        <v>21700</v>
      </c>
      <c r="K4840" s="29">
        <f>(1-ISNUMBER(SEARCH("556",M4840)))*(O4840*SUMIFS(Premissas!$C$5:$C$44,Premissas!$A$5:$A$44,$A4840,Premissas!$B$5:$B$44,$B4840)+P4840*SUMIFS(Premissas!$D$5:$D$44,Premissas!$A$5:$A$44,$A4840,Premissas!$B$5:$B$44,$B4840))+R4840*SUMIFS(Premissas!$E$5:$E$44,Premissas!$A$5:$A$44,$A4840,Premissas!$B$5:$B$44,$B4840)+S4840*SUMIFS(Premissas!$F$5:$F$44,Premissas!$A$5:$A$44,$A4840,Premissas!$B$5:$B$44,$B4840)</f>
        <v/>
      </c>
      <c r="L4840" s="29">
        <f>J4840-K4840</f>
        <v/>
      </c>
      <c r="M4840" t="inlineStr">
        <is>
          <t>2.350</t>
        </is>
      </c>
      <c r="N4840" t="inlineStr">
        <is>
          <t>Modalidade: 2 - Por conta de terceiros | Parte: CMPC Iguacu Embalagens Ltda (11.308.600/0008-04)</t>
        </is>
      </c>
      <c r="O4840" s="29" t="n">
        <v>0</v>
      </c>
      <c r="P4840" s="29" t="n">
        <v>0</v>
      </c>
      <c r="Q4840" s="29" t="n">
        <v>0</v>
      </c>
      <c r="R4840" s="29" t="n">
        <v>0</v>
      </c>
      <c r="S4840" s="29" t="n">
        <v>0</v>
      </c>
      <c r="T4840" t="inlineStr">
        <is>
          <t>26260802359445000198570000000787961000927301</t>
        </is>
      </c>
      <c r="U4840" t="inlineStr">
        <is>
          <t>Sim</t>
        </is>
      </c>
    </row>
    <row r="4841">
      <c r="A4841" t="inlineStr">
        <is>
          <t>Outras despesas pagas</t>
        </is>
      </c>
      <c r="B4841" t="inlineStr">
        <is>
          <t>Aluguel de contêiner</t>
        </is>
      </c>
      <c r="C4841" s="30" t="n">
        <v>46235</v>
      </c>
      <c r="D4841" t="inlineStr">
        <is>
          <t>Em 2026</t>
        </is>
      </c>
      <c r="E4841" s="28" t="n">
        <v>46263</v>
      </c>
      <c r="F4841" t="inlineStr">
        <is>
          <t>CT-e</t>
        </is>
      </c>
      <c r="G4841" t="inlineStr">
        <is>
          <t>000078797</t>
        </is>
      </c>
      <c r="H4841" t="inlineStr">
        <is>
          <t>UNIAO MULTIMODAL OTM LTDA</t>
        </is>
      </c>
      <c r="J4841" s="29" t="n">
        <v>21700</v>
      </c>
      <c r="K4841" s="29">
        <f>(1-ISNUMBER(SEARCH("556",M4841)))*(O4841*SUMIFS(Premissas!$C$5:$C$44,Premissas!$A$5:$A$44,$A4841,Premissas!$B$5:$B$44,$B4841)+P4841*SUMIFS(Premissas!$D$5:$D$44,Premissas!$A$5:$A$44,$A4841,Premissas!$B$5:$B$44,$B4841))+R4841*SUMIFS(Premissas!$E$5:$E$44,Premissas!$A$5:$A$44,$A4841,Premissas!$B$5:$B$44,$B4841)+S4841*SUMIFS(Premissas!$F$5:$F$44,Premissas!$A$5:$A$44,$A4841,Premissas!$B$5:$B$44,$B4841)</f>
        <v/>
      </c>
      <c r="L4841" s="29">
        <f>J4841-K4841</f>
        <v/>
      </c>
      <c r="M4841" t="inlineStr">
        <is>
          <t>2.350</t>
        </is>
      </c>
      <c r="N4841" t="inlineStr">
        <is>
          <t>Modalidade: 2 - Por conta de terceiros | Parte: CMPC Iguacu Embalagens Ltda (11.308.600/0008-04)</t>
        </is>
      </c>
      <c r="O4841" s="29" t="n">
        <v>0</v>
      </c>
      <c r="P4841" s="29" t="n">
        <v>0</v>
      </c>
      <c r="Q4841" s="29" t="n">
        <v>0</v>
      </c>
      <c r="R4841" s="29" t="n">
        <v>0</v>
      </c>
      <c r="S4841" s="29" t="n">
        <v>0</v>
      </c>
      <c r="T4841" t="inlineStr">
        <is>
          <t>26260802359445000198570000000787971000927317</t>
        </is>
      </c>
      <c r="U4841" t="inlineStr">
        <is>
          <t>Sim</t>
        </is>
      </c>
    </row>
    <row r="4842">
      <c r="A4842" t="inlineStr">
        <is>
          <t>Outras despesas pagas</t>
        </is>
      </c>
      <c r="B4842" t="inlineStr">
        <is>
          <t>Aluguel de contêiner</t>
        </is>
      </c>
      <c r="C4842" s="30" t="n">
        <v>46235</v>
      </c>
      <c r="D4842" t="inlineStr">
        <is>
          <t>Em 2026</t>
        </is>
      </c>
      <c r="E4842" s="28" t="n">
        <v>46263</v>
      </c>
      <c r="F4842" t="inlineStr">
        <is>
          <t>CT-e</t>
        </is>
      </c>
      <c r="G4842" t="inlineStr">
        <is>
          <t>000078799</t>
        </is>
      </c>
      <c r="H4842" t="inlineStr">
        <is>
          <t>UNIAO MULTIMODAL OTM LTDA</t>
        </is>
      </c>
      <c r="J4842" s="29" t="n">
        <v>21700</v>
      </c>
      <c r="K4842" s="29">
        <f>(1-ISNUMBER(SEARCH("556",M4842)))*(O4842*SUMIFS(Premissas!$C$5:$C$44,Premissas!$A$5:$A$44,$A4842,Premissas!$B$5:$B$44,$B4842)+P4842*SUMIFS(Premissas!$D$5:$D$44,Premissas!$A$5:$A$44,$A4842,Premissas!$B$5:$B$44,$B4842))+R4842*SUMIFS(Premissas!$E$5:$E$44,Premissas!$A$5:$A$44,$A4842,Premissas!$B$5:$B$44,$B4842)+S4842*SUMIFS(Premissas!$F$5:$F$44,Premissas!$A$5:$A$44,$A4842,Premissas!$B$5:$B$44,$B4842)</f>
        <v/>
      </c>
      <c r="L4842" s="29">
        <f>J4842-K4842</f>
        <v/>
      </c>
      <c r="M4842" t="inlineStr">
        <is>
          <t>2.350</t>
        </is>
      </c>
      <c r="N4842" t="inlineStr">
        <is>
          <t>Modalidade: 2 - Por conta de terceiros | Parte: CMPC Iguacu Embalagens Ltda (11.308.600/0008-04)</t>
        </is>
      </c>
      <c r="O4842" s="29" t="n">
        <v>0</v>
      </c>
      <c r="P4842" s="29" t="n">
        <v>0</v>
      </c>
      <c r="Q4842" s="29" t="n">
        <v>0</v>
      </c>
      <c r="R4842" s="29" t="n">
        <v>0</v>
      </c>
      <c r="S4842" s="29" t="n">
        <v>0</v>
      </c>
      <c r="T4842" t="inlineStr">
        <is>
          <t>26260802359445000198570000000787991000927338</t>
        </is>
      </c>
      <c r="U4842" t="inlineStr">
        <is>
          <t>Sim</t>
        </is>
      </c>
    </row>
    <row r="4843">
      <c r="A4843" t="inlineStr">
        <is>
          <t>Outras despesas pagas</t>
        </is>
      </c>
      <c r="B4843" t="inlineStr">
        <is>
          <t>Aluguel de contêiner</t>
        </is>
      </c>
      <c r="C4843" s="30" t="n">
        <v>46235</v>
      </c>
      <c r="D4843" t="inlineStr">
        <is>
          <t>Em 2026</t>
        </is>
      </c>
      <c r="E4843" s="28" t="n">
        <v>46263</v>
      </c>
      <c r="F4843" t="inlineStr">
        <is>
          <t>CT-e</t>
        </is>
      </c>
      <c r="G4843" t="inlineStr">
        <is>
          <t>000078802</t>
        </is>
      </c>
      <c r="H4843" t="inlineStr">
        <is>
          <t>UNIAO MULTIMODAL OTM LTDA</t>
        </is>
      </c>
      <c r="J4843" s="29" t="n">
        <v>21700</v>
      </c>
      <c r="K4843" s="29">
        <f>(1-ISNUMBER(SEARCH("556",M4843)))*(O4843*SUMIFS(Premissas!$C$5:$C$44,Premissas!$A$5:$A$44,$A4843,Premissas!$B$5:$B$44,$B4843)+P4843*SUMIFS(Premissas!$D$5:$D$44,Premissas!$A$5:$A$44,$A4843,Premissas!$B$5:$B$44,$B4843))+R4843*SUMIFS(Premissas!$E$5:$E$44,Premissas!$A$5:$A$44,$A4843,Premissas!$B$5:$B$44,$B4843)+S4843*SUMIFS(Premissas!$F$5:$F$44,Premissas!$A$5:$A$44,$A4843,Premissas!$B$5:$B$44,$B4843)</f>
        <v/>
      </c>
      <c r="L4843" s="29">
        <f>J4843-K4843</f>
        <v/>
      </c>
      <c r="M4843" t="inlineStr">
        <is>
          <t>2.350</t>
        </is>
      </c>
      <c r="N4843" t="inlineStr">
        <is>
          <t>Modalidade: 2 - Por conta de terceiros | Parte: CMPC Iguacu Embalagens Ltda (11.308.600/0008-04)</t>
        </is>
      </c>
      <c r="O4843" s="29" t="n">
        <v>0</v>
      </c>
      <c r="P4843" s="29" t="n">
        <v>0</v>
      </c>
      <c r="Q4843" s="29" t="n">
        <v>0</v>
      </c>
      <c r="R4843" s="29" t="n">
        <v>0</v>
      </c>
      <c r="S4843" s="29" t="n">
        <v>0</v>
      </c>
      <c r="T4843" t="inlineStr">
        <is>
          <t>26260802359445000198570000000788021000927360</t>
        </is>
      </c>
      <c r="U4843" t="inlineStr">
        <is>
          <t>Sim</t>
        </is>
      </c>
    </row>
    <row r="4844">
      <c r="A4844" t="inlineStr">
        <is>
          <t>Outras despesas pagas</t>
        </is>
      </c>
      <c r="B4844" t="inlineStr">
        <is>
          <t>Aluguel de contêiner</t>
        </is>
      </c>
      <c r="C4844" s="30" t="n">
        <v>46235</v>
      </c>
      <c r="D4844" t="inlineStr">
        <is>
          <t>Em 2026</t>
        </is>
      </c>
      <c r="E4844" s="28" t="n">
        <v>46263</v>
      </c>
      <c r="F4844" t="inlineStr">
        <is>
          <t>CT-e</t>
        </is>
      </c>
      <c r="G4844" t="inlineStr">
        <is>
          <t>000078803</t>
        </is>
      </c>
      <c r="H4844" t="inlineStr">
        <is>
          <t>UNIAO MULTIMODAL OTM LTDA</t>
        </is>
      </c>
      <c r="J4844" s="29" t="n">
        <v>21700</v>
      </c>
      <c r="K4844" s="29">
        <f>(1-ISNUMBER(SEARCH("556",M4844)))*(O4844*SUMIFS(Premissas!$C$5:$C$44,Premissas!$A$5:$A$44,$A4844,Premissas!$B$5:$B$44,$B4844)+P4844*SUMIFS(Premissas!$D$5:$D$44,Premissas!$A$5:$A$44,$A4844,Premissas!$B$5:$B$44,$B4844))+R4844*SUMIFS(Premissas!$E$5:$E$44,Premissas!$A$5:$A$44,$A4844,Premissas!$B$5:$B$44,$B4844)+S4844*SUMIFS(Premissas!$F$5:$F$44,Premissas!$A$5:$A$44,$A4844,Premissas!$B$5:$B$44,$B4844)</f>
        <v/>
      </c>
      <c r="L4844" s="29">
        <f>J4844-K4844</f>
        <v/>
      </c>
      <c r="M4844" t="inlineStr">
        <is>
          <t>2.350</t>
        </is>
      </c>
      <c r="N4844" t="inlineStr">
        <is>
          <t>Modalidade: 2 - Por conta de terceiros | Parte: CMPC Iguacu Embalagens Ltda (11.308.600/0008-04)</t>
        </is>
      </c>
      <c r="O4844" s="29" t="n">
        <v>0</v>
      </c>
      <c r="P4844" s="29" t="n">
        <v>0</v>
      </c>
      <c r="Q4844" s="29" t="n">
        <v>0</v>
      </c>
      <c r="R4844" s="29" t="n">
        <v>0</v>
      </c>
      <c r="S4844" s="29" t="n">
        <v>0</v>
      </c>
      <c r="T4844" t="inlineStr">
        <is>
          <t>26260802359445000198570000000788031000927375</t>
        </is>
      </c>
      <c r="U4844" t="inlineStr">
        <is>
          <t>Sim</t>
        </is>
      </c>
    </row>
    <row r="4845">
      <c r="A4845" t="inlineStr">
        <is>
          <t>Outras despesas pagas</t>
        </is>
      </c>
      <c r="B4845" t="inlineStr">
        <is>
          <t>Aluguel de contêiner</t>
        </is>
      </c>
      <c r="C4845" s="30" t="n">
        <v>46235</v>
      </c>
      <c r="D4845" t="inlineStr">
        <is>
          <t>Em 2026</t>
        </is>
      </c>
      <c r="E4845" s="28" t="n">
        <v>46263</v>
      </c>
      <c r="F4845" t="inlineStr">
        <is>
          <t>CT-e</t>
        </is>
      </c>
      <c r="G4845" t="inlineStr">
        <is>
          <t>000078805</t>
        </is>
      </c>
      <c r="H4845" t="inlineStr">
        <is>
          <t>UNIAO MULTIMODAL OTM LTDA</t>
        </is>
      </c>
      <c r="J4845" s="29" t="n">
        <v>21700</v>
      </c>
      <c r="K4845" s="29">
        <f>(1-ISNUMBER(SEARCH("556",M4845)))*(O4845*SUMIFS(Premissas!$C$5:$C$44,Premissas!$A$5:$A$44,$A4845,Premissas!$B$5:$B$44,$B4845)+P4845*SUMIFS(Premissas!$D$5:$D$44,Premissas!$A$5:$A$44,$A4845,Premissas!$B$5:$B$44,$B4845))+R4845*SUMIFS(Premissas!$E$5:$E$44,Premissas!$A$5:$A$44,$A4845,Premissas!$B$5:$B$44,$B4845)+S4845*SUMIFS(Premissas!$F$5:$F$44,Premissas!$A$5:$A$44,$A4845,Premissas!$B$5:$B$44,$B4845)</f>
        <v/>
      </c>
      <c r="L4845" s="29">
        <f>J4845-K4845</f>
        <v/>
      </c>
      <c r="M4845" t="inlineStr">
        <is>
          <t>2.350</t>
        </is>
      </c>
      <c r="N4845" t="inlineStr">
        <is>
          <t>Modalidade: 2 - Por conta de terceiros | Parte: CMPC Iguacu Embalagens Ltda (11.308.600/0008-04)</t>
        </is>
      </c>
      <c r="O4845" s="29" t="n">
        <v>0</v>
      </c>
      <c r="P4845" s="29" t="n">
        <v>0</v>
      </c>
      <c r="Q4845" s="29" t="n">
        <v>0</v>
      </c>
      <c r="R4845" s="29" t="n">
        <v>0</v>
      </c>
      <c r="S4845" s="29" t="n">
        <v>0</v>
      </c>
      <c r="T4845" t="inlineStr">
        <is>
          <t>26260802359445000198570000000788051000927396</t>
        </is>
      </c>
      <c r="U4845" t="inlineStr">
        <is>
          <t>Sim</t>
        </is>
      </c>
    </row>
    <row r="4846">
      <c r="A4846" t="inlineStr">
        <is>
          <t>Outras despesas pagas</t>
        </is>
      </c>
      <c r="B4846" t="inlineStr">
        <is>
          <t>Aluguel de contêiner</t>
        </is>
      </c>
      <c r="C4846" s="30" t="n">
        <v>46235</v>
      </c>
      <c r="D4846" t="inlineStr">
        <is>
          <t>Em 2026</t>
        </is>
      </c>
      <c r="E4846" s="28" t="n">
        <v>46263</v>
      </c>
      <c r="F4846" t="inlineStr">
        <is>
          <t>CT-e</t>
        </is>
      </c>
      <c r="G4846" t="inlineStr">
        <is>
          <t>000078807</t>
        </is>
      </c>
      <c r="H4846" t="inlineStr">
        <is>
          <t>UNIAO MULTIMODAL OTM LTDA</t>
        </is>
      </c>
      <c r="J4846" s="29" t="n">
        <v>21700</v>
      </c>
      <c r="K4846" s="29">
        <f>(1-ISNUMBER(SEARCH("556",M4846)))*(O4846*SUMIFS(Premissas!$C$5:$C$44,Premissas!$A$5:$A$44,$A4846,Premissas!$B$5:$B$44,$B4846)+P4846*SUMIFS(Premissas!$D$5:$D$44,Premissas!$A$5:$A$44,$A4846,Premissas!$B$5:$B$44,$B4846))+R4846*SUMIFS(Premissas!$E$5:$E$44,Premissas!$A$5:$A$44,$A4846,Premissas!$B$5:$B$44,$B4846)+S4846*SUMIFS(Premissas!$F$5:$F$44,Premissas!$A$5:$A$44,$A4846,Premissas!$B$5:$B$44,$B4846)</f>
        <v/>
      </c>
      <c r="L4846" s="29">
        <f>J4846-K4846</f>
        <v/>
      </c>
      <c r="M4846" t="inlineStr">
        <is>
          <t>2.350</t>
        </is>
      </c>
      <c r="N4846" t="inlineStr">
        <is>
          <t>Modalidade: 2 - Por conta de terceiros | Parte: CMPC Iguacu Embalagens Ltda (11.308.600/0008-04)</t>
        </is>
      </c>
      <c r="O4846" s="29" t="n">
        <v>0</v>
      </c>
      <c r="P4846" s="29" t="n">
        <v>0</v>
      </c>
      <c r="Q4846" s="29" t="n">
        <v>0</v>
      </c>
      <c r="R4846" s="29" t="n">
        <v>0</v>
      </c>
      <c r="S4846" s="29" t="n">
        <v>0</v>
      </c>
      <c r="T4846" t="inlineStr">
        <is>
          <t>26260802359445000198570000000788071000927412</t>
        </is>
      </c>
      <c r="U4846" t="inlineStr">
        <is>
          <t>Sim</t>
        </is>
      </c>
    </row>
    <row r="4847">
      <c r="A4847" t="inlineStr">
        <is>
          <t>Outras despesas pagas</t>
        </is>
      </c>
      <c r="B4847" t="inlineStr">
        <is>
          <t>Aluguel de contêiner</t>
        </is>
      </c>
      <c r="C4847" s="30" t="n">
        <v>46235</v>
      </c>
      <c r="D4847" t="inlineStr">
        <is>
          <t>Em 2026</t>
        </is>
      </c>
      <c r="E4847" s="28" t="n">
        <v>46263</v>
      </c>
      <c r="F4847" t="inlineStr">
        <is>
          <t>CT-e</t>
        </is>
      </c>
      <c r="G4847" t="inlineStr">
        <is>
          <t>000078809</t>
        </is>
      </c>
      <c r="H4847" t="inlineStr">
        <is>
          <t>UNIAO MULTIMODAL OTM LTDA</t>
        </is>
      </c>
      <c r="J4847" s="29" t="n">
        <v>21700</v>
      </c>
      <c r="K4847" s="29">
        <f>(1-ISNUMBER(SEARCH("556",M4847)))*(O4847*SUMIFS(Premissas!$C$5:$C$44,Premissas!$A$5:$A$44,$A4847,Premissas!$B$5:$B$44,$B4847)+P4847*SUMIFS(Premissas!$D$5:$D$44,Premissas!$A$5:$A$44,$A4847,Premissas!$B$5:$B$44,$B4847))+R4847*SUMIFS(Premissas!$E$5:$E$44,Premissas!$A$5:$A$44,$A4847,Premissas!$B$5:$B$44,$B4847)+S4847*SUMIFS(Premissas!$F$5:$F$44,Premissas!$A$5:$A$44,$A4847,Premissas!$B$5:$B$44,$B4847)</f>
        <v/>
      </c>
      <c r="L4847" s="29">
        <f>J4847-K4847</f>
        <v/>
      </c>
      <c r="M4847" t="inlineStr">
        <is>
          <t>2.350</t>
        </is>
      </c>
      <c r="N4847" t="inlineStr">
        <is>
          <t>Modalidade: 2 - Por conta de terceiros | Parte: CMPC Iguacu Embalagens Ltda (11.308.600/0008-04)</t>
        </is>
      </c>
      <c r="O4847" s="29" t="n">
        <v>0</v>
      </c>
      <c r="P4847" s="29" t="n">
        <v>0</v>
      </c>
      <c r="Q4847" s="29" t="n">
        <v>0</v>
      </c>
      <c r="R4847" s="29" t="n">
        <v>0</v>
      </c>
      <c r="S4847" s="29" t="n">
        <v>0</v>
      </c>
      <c r="T4847" t="inlineStr">
        <is>
          <t>26260802359445000198570000000788091000927433</t>
        </is>
      </c>
      <c r="U4847" t="inlineStr">
        <is>
          <t>Sim</t>
        </is>
      </c>
    </row>
    <row r="4848">
      <c r="A4848" t="inlineStr">
        <is>
          <t>Outras despesas pagas</t>
        </is>
      </c>
      <c r="B4848" t="inlineStr">
        <is>
          <t>Aluguel de contêiner</t>
        </is>
      </c>
      <c r="C4848" s="30" t="n">
        <v>46235</v>
      </c>
      <c r="D4848" t="inlineStr">
        <is>
          <t>Em 2026</t>
        </is>
      </c>
      <c r="E4848" s="28" t="n">
        <v>46263</v>
      </c>
      <c r="F4848" t="inlineStr">
        <is>
          <t>CT-e</t>
        </is>
      </c>
      <c r="G4848" t="inlineStr">
        <is>
          <t>000078811</t>
        </is>
      </c>
      <c r="H4848" t="inlineStr">
        <is>
          <t>UNIAO MULTIMODAL OTM LTDA</t>
        </is>
      </c>
      <c r="J4848" s="29" t="n">
        <v>21700</v>
      </c>
      <c r="K4848" s="29">
        <f>(1-ISNUMBER(SEARCH("556",M4848)))*(O4848*SUMIFS(Premissas!$C$5:$C$44,Premissas!$A$5:$A$44,$A4848,Premissas!$B$5:$B$44,$B4848)+P4848*SUMIFS(Premissas!$D$5:$D$44,Premissas!$A$5:$A$44,$A4848,Premissas!$B$5:$B$44,$B4848))+R4848*SUMIFS(Premissas!$E$5:$E$44,Premissas!$A$5:$A$44,$A4848,Premissas!$B$5:$B$44,$B4848)+S4848*SUMIFS(Premissas!$F$5:$F$44,Premissas!$A$5:$A$44,$A4848,Premissas!$B$5:$B$44,$B4848)</f>
        <v/>
      </c>
      <c r="L4848" s="29">
        <f>J4848-K4848</f>
        <v/>
      </c>
      <c r="M4848" t="inlineStr">
        <is>
          <t>2.350</t>
        </is>
      </c>
      <c r="N4848" t="inlineStr">
        <is>
          <t>Modalidade: 2 - Por conta de terceiros | Parte: CMPC Iguacu Embalagens Ltda (11.308.600/0008-04)</t>
        </is>
      </c>
      <c r="O4848" s="29" t="n">
        <v>0</v>
      </c>
      <c r="P4848" s="29" t="n">
        <v>0</v>
      </c>
      <c r="Q4848" s="29" t="n">
        <v>0</v>
      </c>
      <c r="R4848" s="29" t="n">
        <v>0</v>
      </c>
      <c r="S4848" s="29" t="n">
        <v>0</v>
      </c>
      <c r="T4848" t="inlineStr">
        <is>
          <t>26260802359445000198570000000788111000927458</t>
        </is>
      </c>
      <c r="U4848" t="inlineStr">
        <is>
          <t>Sim</t>
        </is>
      </c>
    </row>
    <row r="4849">
      <c r="A4849" t="inlineStr">
        <is>
          <t>Outras despesas pagas</t>
        </is>
      </c>
      <c r="B4849" t="inlineStr">
        <is>
          <t>Aluguel de contêiner</t>
        </is>
      </c>
      <c r="C4849" s="30" t="n">
        <v>46235</v>
      </c>
      <c r="D4849" t="inlineStr">
        <is>
          <t>Em 2026</t>
        </is>
      </c>
      <c r="E4849" s="28" t="n">
        <v>46263</v>
      </c>
      <c r="F4849" t="inlineStr">
        <is>
          <t>CT-e</t>
        </is>
      </c>
      <c r="G4849" t="inlineStr">
        <is>
          <t>000078812</t>
        </is>
      </c>
      <c r="H4849" t="inlineStr">
        <is>
          <t>UNIAO MULTIMODAL OTM LTDA</t>
        </is>
      </c>
      <c r="J4849" s="29" t="n">
        <v>21700</v>
      </c>
      <c r="K4849" s="29">
        <f>(1-ISNUMBER(SEARCH("556",M4849)))*(O4849*SUMIFS(Premissas!$C$5:$C$44,Premissas!$A$5:$A$44,$A4849,Premissas!$B$5:$B$44,$B4849)+P4849*SUMIFS(Premissas!$D$5:$D$44,Premissas!$A$5:$A$44,$A4849,Premissas!$B$5:$B$44,$B4849))+R4849*SUMIFS(Premissas!$E$5:$E$44,Premissas!$A$5:$A$44,$A4849,Premissas!$B$5:$B$44,$B4849)+S4849*SUMIFS(Premissas!$F$5:$F$44,Premissas!$A$5:$A$44,$A4849,Premissas!$B$5:$B$44,$B4849)</f>
        <v/>
      </c>
      <c r="L4849" s="29">
        <f>J4849-K4849</f>
        <v/>
      </c>
      <c r="M4849" t="inlineStr">
        <is>
          <t>2.350</t>
        </is>
      </c>
      <c r="N4849" t="inlineStr">
        <is>
          <t>Modalidade: 2 - Por conta de terceiros | Parte: CMPC Iguacu Embalagens Ltda (11.308.600/0008-04)</t>
        </is>
      </c>
      <c r="O4849" s="29" t="n">
        <v>0</v>
      </c>
      <c r="P4849" s="29" t="n">
        <v>0</v>
      </c>
      <c r="Q4849" s="29" t="n">
        <v>0</v>
      </c>
      <c r="R4849" s="29" t="n">
        <v>0</v>
      </c>
      <c r="S4849" s="29" t="n">
        <v>0</v>
      </c>
      <c r="T4849" t="inlineStr">
        <is>
          <t>26260802359445000198570000000788121000927463</t>
        </is>
      </c>
      <c r="U4849" t="inlineStr">
        <is>
          <t>Sim</t>
        </is>
      </c>
    </row>
    <row r="4850">
      <c r="A4850" t="inlineStr">
        <is>
          <t>Outras despesas pagas</t>
        </is>
      </c>
      <c r="B4850" t="inlineStr">
        <is>
          <t>Brindes, premiações e marketing</t>
        </is>
      </c>
      <c r="C4850" s="30" t="n">
        <v>46023</v>
      </c>
      <c r="D4850" t="inlineStr">
        <is>
          <t>Em 2026</t>
        </is>
      </c>
      <c r="E4850" s="28" t="n">
        <v>46044</v>
      </c>
      <c r="F4850" t="inlineStr">
        <is>
          <t>NF-e</t>
        </is>
      </c>
      <c r="G4850" t="inlineStr">
        <is>
          <t>000001979</t>
        </is>
      </c>
      <c r="H4850" t="inlineStr">
        <is>
          <t>KASSUA.COM.BR LTDA</t>
        </is>
      </c>
      <c r="I4850" t="inlineStr">
        <is>
          <t>42.948.791/0001-26</t>
        </is>
      </c>
      <c r="J4850" s="29" t="n">
        <v>748</v>
      </c>
      <c r="K4850" s="29">
        <f>(1-ISNUMBER(SEARCH("556",M4850)))*(O4850*SUMIFS(Premissas!$C$5:$C$44,Premissas!$A$5:$A$44,$A4850,Premissas!$B$5:$B$44,$B4850)+P4850*SUMIFS(Premissas!$D$5:$D$44,Premissas!$A$5:$A$44,$A4850,Premissas!$B$5:$B$44,$B4850))+R4850*SUMIFS(Premissas!$E$5:$E$44,Premissas!$A$5:$A$44,$A4850,Premissas!$B$5:$B$44,$B4850)+S4850*SUMIFS(Premissas!$F$5:$F$44,Premissas!$A$5:$A$44,$A4850,Premissas!$B$5:$B$44,$B4850)</f>
        <v/>
      </c>
      <c r="L4850" s="29">
        <f>J4850-K4850</f>
        <v/>
      </c>
      <c r="M4850" t="inlineStr">
        <is>
          <t>1.102</t>
        </is>
      </c>
      <c r="O4850" s="29" t="n">
        <v>0</v>
      </c>
      <c r="P4850" s="29" t="n">
        <v>0</v>
      </c>
      <c r="Q4850" s="29" t="n">
        <v>0</v>
      </c>
      <c r="R4850" s="29" t="n">
        <v>0</v>
      </c>
      <c r="S4850" s="29" t="n">
        <v>0</v>
      </c>
      <c r="T4850" t="inlineStr">
        <is>
          <t>25260142948791000126550010000019791016626628</t>
        </is>
      </c>
      <c r="U4850" t="inlineStr">
        <is>
          <t>Sim</t>
        </is>
      </c>
    </row>
    <row r="4851">
      <c r="A4851" t="inlineStr">
        <is>
          <t>Outras despesas pagas</t>
        </is>
      </c>
      <c r="B4851" t="inlineStr">
        <is>
          <t>Brindes, premiações e marketing</t>
        </is>
      </c>
      <c r="C4851" s="30" t="n">
        <v>46082</v>
      </c>
      <c r="D4851" t="inlineStr">
        <is>
          <t>Em 2026</t>
        </is>
      </c>
      <c r="E4851" s="28" t="n">
        <v>46086</v>
      </c>
      <c r="F4851" t="inlineStr">
        <is>
          <t>NF-e</t>
        </is>
      </c>
      <c r="G4851" t="inlineStr">
        <is>
          <t>000016509</t>
        </is>
      </c>
      <c r="H4851" t="inlineStr">
        <is>
          <t>KELLY DE FATIMA CORREIA DA SILVA ME</t>
        </is>
      </c>
      <c r="I4851" t="inlineStr">
        <is>
          <t>27.731.565/0001-03</t>
        </is>
      </c>
      <c r="J4851" s="29" t="n">
        <v>19.3</v>
      </c>
      <c r="K4851" s="29">
        <f>(1-ISNUMBER(SEARCH("556",M4851)))*(O4851*SUMIFS(Premissas!$C$5:$C$44,Premissas!$A$5:$A$44,$A4851,Premissas!$B$5:$B$44,$B4851)+P4851*SUMIFS(Premissas!$D$5:$D$44,Premissas!$A$5:$A$44,$A4851,Premissas!$B$5:$B$44,$B4851))+R4851*SUMIFS(Premissas!$E$5:$E$44,Premissas!$A$5:$A$44,$A4851,Premissas!$B$5:$B$44,$B4851)+S4851*SUMIFS(Premissas!$F$5:$F$44,Premissas!$A$5:$A$44,$A4851,Premissas!$B$5:$B$44,$B4851)</f>
        <v/>
      </c>
      <c r="L4851" s="29">
        <f>J4851-K4851</f>
        <v/>
      </c>
      <c r="M4851" t="inlineStr">
        <is>
          <t>1.102</t>
        </is>
      </c>
      <c r="O4851" s="29" t="n">
        <v>0</v>
      </c>
      <c r="P4851" s="29" t="n">
        <v>0</v>
      </c>
      <c r="Q4851" s="29" t="n">
        <v>0</v>
      </c>
      <c r="R4851" s="29" t="n">
        <v>0</v>
      </c>
      <c r="S4851" s="29" t="n">
        <v>0</v>
      </c>
      <c r="T4851" t="inlineStr">
        <is>
          <t>25260327731565000103550010000165091741629530</t>
        </is>
      </c>
      <c r="U4851" t="inlineStr">
        <is>
          <t>Sim</t>
        </is>
      </c>
    </row>
    <row r="4852">
      <c r="A4852" t="inlineStr">
        <is>
          <t>Outras despesas pagas</t>
        </is>
      </c>
      <c r="B4852" t="inlineStr">
        <is>
          <t>Brindes, premiações e marketing</t>
        </is>
      </c>
      <c r="C4852" s="30" t="n">
        <v>46113</v>
      </c>
      <c r="D4852" t="inlineStr">
        <is>
          <t>Em 2026</t>
        </is>
      </c>
      <c r="E4852" s="28" t="n">
        <v>46141</v>
      </c>
      <c r="F4852" t="inlineStr">
        <is>
          <t>NF-e</t>
        </is>
      </c>
      <c r="G4852" t="inlineStr">
        <is>
          <t>000496170</t>
        </is>
      </c>
      <c r="H4852" t="inlineStr">
        <is>
          <t>FAZENDA SANTA TEREZINHA LTDA.</t>
        </is>
      </c>
      <c r="I4852" t="inlineStr">
        <is>
          <t>01.778.112/0001-30</t>
        </is>
      </c>
      <c r="J4852" s="29" t="n">
        <v>531</v>
      </c>
      <c r="K4852" s="29">
        <f>(1-ISNUMBER(SEARCH("556",M4852)))*(O4852*SUMIFS(Premissas!$C$5:$C$44,Premissas!$A$5:$A$44,$A4852,Premissas!$B$5:$B$44,$B4852)+P4852*SUMIFS(Premissas!$D$5:$D$44,Premissas!$A$5:$A$44,$A4852,Premissas!$B$5:$B$44,$B4852))+R4852*SUMIFS(Premissas!$E$5:$E$44,Premissas!$A$5:$A$44,$A4852,Premissas!$B$5:$B$44,$B4852)+S4852*SUMIFS(Premissas!$F$5:$F$44,Premissas!$A$5:$A$44,$A4852,Premissas!$B$5:$B$44,$B4852)</f>
        <v/>
      </c>
      <c r="L4852" s="29">
        <f>J4852-K4852</f>
        <v/>
      </c>
      <c r="M4852" t="inlineStr">
        <is>
          <t>1.102, 1.556</t>
        </is>
      </c>
      <c r="O4852" s="29" t="n">
        <v>0</v>
      </c>
      <c r="P4852" s="29" t="n">
        <v>0</v>
      </c>
      <c r="Q4852" s="29" t="n">
        <v>0</v>
      </c>
      <c r="R4852" s="29" t="n">
        <v>0</v>
      </c>
      <c r="S4852" s="29" t="n">
        <v>0</v>
      </c>
      <c r="T4852" t="inlineStr">
        <is>
          <t>25260401778112000130550010004961701940677600</t>
        </is>
      </c>
      <c r="U4852" t="inlineStr">
        <is>
          <t>Sim</t>
        </is>
      </c>
    </row>
    <row r="4853">
      <c r="A4853" t="inlineStr">
        <is>
          <t>Outras despesas pagas</t>
        </is>
      </c>
      <c r="B4853" t="inlineStr">
        <is>
          <t>Brindes, premiações e marketing</t>
        </is>
      </c>
      <c r="C4853" s="30" t="n">
        <v>46143</v>
      </c>
      <c r="D4853" t="inlineStr">
        <is>
          <t>Em 2026</t>
        </is>
      </c>
      <c r="E4853" s="28" t="n">
        <v>46153</v>
      </c>
      <c r="F4853" t="inlineStr">
        <is>
          <t>NF-e</t>
        </is>
      </c>
      <c r="G4853" t="inlineStr">
        <is>
          <t>900564807</t>
        </is>
      </c>
      <c r="H4853" t="inlineStr">
        <is>
          <t>38.277.962 RAQUEL BARBOSA DE PAIVA SANTOS SALES</t>
        </is>
      </c>
      <c r="I4853" t="inlineStr">
        <is>
          <t>38.277.962/0001-65</t>
        </is>
      </c>
      <c r="J4853" s="29" t="n">
        <v>4850</v>
      </c>
      <c r="K4853" s="29">
        <f>(1-ISNUMBER(SEARCH("556",M4853)))*(O4853*SUMIFS(Premissas!$C$5:$C$44,Premissas!$A$5:$A$44,$A4853,Premissas!$B$5:$B$44,$B4853)+P4853*SUMIFS(Premissas!$D$5:$D$44,Premissas!$A$5:$A$44,$A4853,Premissas!$B$5:$B$44,$B4853))+R4853*SUMIFS(Premissas!$E$5:$E$44,Premissas!$A$5:$A$44,$A4853,Premissas!$B$5:$B$44,$B4853)+S4853*SUMIFS(Premissas!$F$5:$F$44,Premissas!$A$5:$A$44,$A4853,Premissas!$B$5:$B$44,$B4853)</f>
        <v/>
      </c>
      <c r="L4853" s="29">
        <f>J4853-K4853</f>
        <v/>
      </c>
      <c r="M4853" t="inlineStr">
        <is>
          <t>1.102</t>
        </is>
      </c>
      <c r="O4853" s="29" t="n">
        <v>0</v>
      </c>
      <c r="P4853" s="29" t="n">
        <v>0</v>
      </c>
      <c r="Q4853" s="29" t="n">
        <v>0</v>
      </c>
      <c r="R4853" s="29" t="n">
        <v>0</v>
      </c>
      <c r="S4853" s="29" t="n">
        <v>0</v>
      </c>
      <c r="T4853" t="inlineStr">
        <is>
          <t>25260508761132000148558919005648071722187310</t>
        </is>
      </c>
      <c r="U4853" t="inlineStr">
        <is>
          <t>Sim</t>
        </is>
      </c>
    </row>
    <row r="4854">
      <c r="A4854" t="inlineStr">
        <is>
          <t>Outras despesas pagas</t>
        </is>
      </c>
      <c r="B4854" t="inlineStr">
        <is>
          <t>Brindes, premiações e marketing</t>
        </is>
      </c>
      <c r="C4854" s="30" t="n">
        <v>46143</v>
      </c>
      <c r="D4854" t="inlineStr">
        <is>
          <t>Em 2026</t>
        </is>
      </c>
      <c r="E4854" s="28" t="n">
        <v>46168</v>
      </c>
      <c r="F4854" t="inlineStr">
        <is>
          <t>NF-e</t>
        </is>
      </c>
      <c r="G4854" t="inlineStr">
        <is>
          <t>000000195</t>
        </is>
      </c>
      <c r="H4854" t="inlineStr">
        <is>
          <t>Omega Soul Brindes e Servicos Ltda</t>
        </is>
      </c>
      <c r="I4854" t="inlineStr">
        <is>
          <t>61.699.265/0001-14</t>
        </is>
      </c>
      <c r="J4854" s="29" t="n">
        <v>1383.3</v>
      </c>
      <c r="K4854" s="29">
        <f>(1-ISNUMBER(SEARCH("556",M4854)))*(O4854*SUMIFS(Premissas!$C$5:$C$44,Premissas!$A$5:$A$44,$A4854,Premissas!$B$5:$B$44,$B4854)+P4854*SUMIFS(Premissas!$D$5:$D$44,Premissas!$A$5:$A$44,$A4854,Premissas!$B$5:$B$44,$B4854))+R4854*SUMIFS(Premissas!$E$5:$E$44,Premissas!$A$5:$A$44,$A4854,Premissas!$B$5:$B$44,$B4854)+S4854*SUMIFS(Premissas!$F$5:$F$44,Premissas!$A$5:$A$44,$A4854,Premissas!$B$5:$B$44,$B4854)</f>
        <v/>
      </c>
      <c r="L4854" s="29">
        <f>J4854-K4854</f>
        <v/>
      </c>
      <c r="M4854" t="inlineStr">
        <is>
          <t>2.102</t>
        </is>
      </c>
      <c r="O4854" s="29" t="n">
        <v>0</v>
      </c>
      <c r="P4854" s="29" t="n">
        <v>0</v>
      </c>
      <c r="Q4854" s="29" t="n">
        <v>0</v>
      </c>
      <c r="R4854" s="29" t="n">
        <v>0</v>
      </c>
      <c r="S4854" s="29" t="n">
        <v>0</v>
      </c>
      <c r="T4854" t="inlineStr">
        <is>
          <t>35260561699265000114550010000001951280675396</t>
        </is>
      </c>
      <c r="U4854" t="inlineStr">
        <is>
          <t>Sim</t>
        </is>
      </c>
    </row>
    <row r="4855">
      <c r="A4855" t="inlineStr">
        <is>
          <t>Outras despesas pagas</t>
        </is>
      </c>
      <c r="B4855" t="inlineStr">
        <is>
          <t>Brindes, premiações e marketing</t>
        </is>
      </c>
      <c r="C4855" s="30" t="n">
        <v>46143</v>
      </c>
      <c r="D4855" t="inlineStr">
        <is>
          <t>Em 2026</t>
        </is>
      </c>
      <c r="E4855" s="28" t="n">
        <v>46150</v>
      </c>
      <c r="F4855" t="inlineStr">
        <is>
          <t>NF-e</t>
        </is>
      </c>
      <c r="G4855" t="inlineStr">
        <is>
          <t>000002313</t>
        </is>
      </c>
      <c r="H4855" t="inlineStr">
        <is>
          <t>UP GIFTS PERSONALIZADOS LTDA</t>
        </is>
      </c>
      <c r="I4855" t="inlineStr">
        <is>
          <t>46.230.617/0001-02</t>
        </is>
      </c>
      <c r="J4855" s="29" t="n">
        <v>84</v>
      </c>
      <c r="K4855" s="29">
        <f>(1-ISNUMBER(SEARCH("556",M4855)))*(O4855*SUMIFS(Premissas!$C$5:$C$44,Premissas!$A$5:$A$44,$A4855,Premissas!$B$5:$B$44,$B4855)+P4855*SUMIFS(Premissas!$D$5:$D$44,Premissas!$A$5:$A$44,$A4855,Premissas!$B$5:$B$44,$B4855))+R4855*SUMIFS(Premissas!$E$5:$E$44,Premissas!$A$5:$A$44,$A4855,Premissas!$B$5:$B$44,$B4855)+S4855*SUMIFS(Premissas!$F$5:$F$44,Premissas!$A$5:$A$44,$A4855,Premissas!$B$5:$B$44,$B4855)</f>
        <v/>
      </c>
      <c r="L4855" s="29">
        <f>J4855-K4855</f>
        <v/>
      </c>
      <c r="M4855" t="inlineStr">
        <is>
          <t>1.102</t>
        </is>
      </c>
      <c r="O4855" s="29" t="n">
        <v>0</v>
      </c>
      <c r="P4855" s="29" t="n">
        <v>0</v>
      </c>
      <c r="Q4855" s="29" t="n">
        <v>0</v>
      </c>
      <c r="R4855" s="29" t="n">
        <v>0</v>
      </c>
      <c r="S4855" s="29" t="n">
        <v>0</v>
      </c>
      <c r="T4855" t="inlineStr">
        <is>
          <t>25260546230617000102550010000023131886745667</t>
        </is>
      </c>
      <c r="U4855" t="inlineStr">
        <is>
          <t>Sim</t>
        </is>
      </c>
    </row>
    <row r="4856">
      <c r="A4856" t="inlineStr">
        <is>
          <t>Outras despesas pagas</t>
        </is>
      </c>
      <c r="B4856" t="inlineStr">
        <is>
          <t>Brindes, premiações e marketing</t>
        </is>
      </c>
      <c r="C4856" s="30" t="n">
        <v>46174</v>
      </c>
      <c r="D4856" t="inlineStr">
        <is>
          <t>Em 2026</t>
        </is>
      </c>
      <c r="E4856" s="28" t="n">
        <v>46183</v>
      </c>
      <c r="F4856" t="inlineStr">
        <is>
          <t>NF-e</t>
        </is>
      </c>
      <c r="G4856" t="inlineStr">
        <is>
          <t>000003661</t>
        </is>
      </c>
      <c r="H4856" t="inlineStr">
        <is>
          <t>NOVO ATACADO COMERCIO DE ALIMENTOS SA</t>
        </is>
      </c>
      <c r="I4856" t="inlineStr">
        <is>
          <t>20.300.157/0066-95</t>
        </is>
      </c>
      <c r="J4856" s="29" t="n">
        <v>1277.47</v>
      </c>
      <c r="K4856" s="29">
        <f>(1-ISNUMBER(SEARCH("556",M4856)))*(O4856*SUMIFS(Premissas!$C$5:$C$44,Premissas!$A$5:$A$44,$A4856,Premissas!$B$5:$B$44,$B4856)+P4856*SUMIFS(Premissas!$D$5:$D$44,Premissas!$A$5:$A$44,$A4856,Premissas!$B$5:$B$44,$B4856))+R4856*SUMIFS(Premissas!$E$5:$E$44,Premissas!$A$5:$A$44,$A4856,Premissas!$B$5:$B$44,$B4856)+S4856*SUMIFS(Premissas!$F$5:$F$44,Premissas!$A$5:$A$44,$A4856,Premissas!$B$5:$B$44,$B4856)</f>
        <v/>
      </c>
      <c r="L4856" s="29">
        <f>J4856-K4856</f>
        <v/>
      </c>
      <c r="M4856" t="inlineStr">
        <is>
          <t>1.403, 1.556</t>
        </is>
      </c>
      <c r="O4856" s="29" t="n">
        <v>0</v>
      </c>
      <c r="P4856" s="29" t="n">
        <v>223.38</v>
      </c>
      <c r="Q4856" s="29" t="n">
        <v>0</v>
      </c>
      <c r="R4856" s="29" t="n">
        <v>10.17</v>
      </c>
      <c r="S4856" s="29" t="n">
        <v>46.78</v>
      </c>
      <c r="T4856" t="inlineStr">
        <is>
          <t>25260620300157006695550010000036611227556321</t>
        </is>
      </c>
      <c r="U4856" t="inlineStr">
        <is>
          <t>Sim</t>
        </is>
      </c>
    </row>
    <row r="4857">
      <c r="A4857" t="inlineStr">
        <is>
          <t>Outras despesas pagas</t>
        </is>
      </c>
      <c r="B4857" t="inlineStr">
        <is>
          <t>Brindes, premiações e marketing</t>
        </is>
      </c>
      <c r="C4857" s="30" t="n">
        <v>46174</v>
      </c>
      <c r="D4857" t="inlineStr">
        <is>
          <t>Em 2026</t>
        </is>
      </c>
      <c r="E4857" s="28" t="n">
        <v>46196</v>
      </c>
      <c r="F4857" t="inlineStr">
        <is>
          <t>NF-e</t>
        </is>
      </c>
      <c r="G4857" t="inlineStr">
        <is>
          <t>000004066</t>
        </is>
      </c>
      <c r="H4857" t="inlineStr">
        <is>
          <t>NOVO ATACADO COMERCIO DE ALIMENTOS SA</t>
        </is>
      </c>
      <c r="I4857" t="inlineStr">
        <is>
          <t>20.300.157/0066-95</t>
        </is>
      </c>
      <c r="J4857" s="29" t="n">
        <v>196.07</v>
      </c>
      <c r="K4857" s="29">
        <f>(1-ISNUMBER(SEARCH("556",M4857)))*(O4857*SUMIFS(Premissas!$C$5:$C$44,Premissas!$A$5:$A$44,$A4857,Premissas!$B$5:$B$44,$B4857)+P4857*SUMIFS(Premissas!$D$5:$D$44,Premissas!$A$5:$A$44,$A4857,Premissas!$B$5:$B$44,$B4857))+R4857*SUMIFS(Premissas!$E$5:$E$44,Premissas!$A$5:$A$44,$A4857,Premissas!$B$5:$B$44,$B4857)+S4857*SUMIFS(Premissas!$F$5:$F$44,Premissas!$A$5:$A$44,$A4857,Premissas!$B$5:$B$44,$B4857)</f>
        <v/>
      </c>
      <c r="L4857" s="29">
        <f>J4857-K4857</f>
        <v/>
      </c>
      <c r="M4857" t="inlineStr">
        <is>
          <t>1.102, 1.403</t>
        </is>
      </c>
      <c r="O4857" s="29" t="n">
        <v>0</v>
      </c>
      <c r="P4857" s="29" t="n">
        <v>28.17</v>
      </c>
      <c r="Q4857" s="29" t="n">
        <v>0</v>
      </c>
      <c r="R4857" s="29" t="n">
        <v>1.86</v>
      </c>
      <c r="S4857" s="29" t="n">
        <v>8.57</v>
      </c>
      <c r="T4857" t="inlineStr">
        <is>
          <t>25260620300157006695550010000040661983344750</t>
        </is>
      </c>
      <c r="U4857" t="inlineStr">
        <is>
          <t>Sim</t>
        </is>
      </c>
    </row>
    <row r="4858">
      <c r="A4858" t="inlineStr">
        <is>
          <t>Outras despesas pagas</t>
        </is>
      </c>
      <c r="B4858" t="inlineStr">
        <is>
          <t>Brindes, premiações e marketing</t>
        </is>
      </c>
      <c r="C4858" s="30" t="n">
        <v>46174</v>
      </c>
      <c r="D4858" t="inlineStr">
        <is>
          <t>Em 2026</t>
        </is>
      </c>
      <c r="E4858" s="28" t="n">
        <v>46181</v>
      </c>
      <c r="F4858" t="inlineStr">
        <is>
          <t>NF-e</t>
        </is>
      </c>
      <c r="G4858" t="inlineStr">
        <is>
          <t>000003591</t>
        </is>
      </c>
      <c r="H4858" t="inlineStr">
        <is>
          <t>PRESENTES ESPECIAIS LTDA</t>
        </is>
      </c>
      <c r="I4858" t="inlineStr">
        <is>
          <t>11.612.564/0001-00</t>
        </is>
      </c>
      <c r="J4858" s="29" t="n">
        <v>135</v>
      </c>
      <c r="K4858" s="29">
        <f>(1-ISNUMBER(SEARCH("556",M4858)))*(O4858*SUMIFS(Premissas!$C$5:$C$44,Premissas!$A$5:$A$44,$A4858,Premissas!$B$5:$B$44,$B4858)+P4858*SUMIFS(Premissas!$D$5:$D$44,Premissas!$A$5:$A$44,$A4858,Premissas!$B$5:$B$44,$B4858))+R4858*SUMIFS(Premissas!$E$5:$E$44,Premissas!$A$5:$A$44,$A4858,Premissas!$B$5:$B$44,$B4858)+S4858*SUMIFS(Premissas!$F$5:$F$44,Premissas!$A$5:$A$44,$A4858,Premissas!$B$5:$B$44,$B4858)</f>
        <v/>
      </c>
      <c r="L4858" s="29">
        <f>J4858-K4858</f>
        <v/>
      </c>
      <c r="M4858" t="inlineStr">
        <is>
          <t>1.556</t>
        </is>
      </c>
      <c r="O4858" s="29" t="n">
        <v>0</v>
      </c>
      <c r="P4858" s="29" t="n">
        <v>0</v>
      </c>
      <c r="Q4858" s="29" t="n">
        <v>0</v>
      </c>
      <c r="R4858" s="29" t="n">
        <v>0</v>
      </c>
      <c r="S4858" s="29" t="n">
        <v>0</v>
      </c>
      <c r="T4858" t="inlineStr">
        <is>
          <t>25260611612564000100550010000035911535828909</t>
        </is>
      </c>
      <c r="U4858" t="inlineStr">
        <is>
          <t>Sim</t>
        </is>
      </c>
    </row>
    <row r="4859">
      <c r="A4859" t="inlineStr">
        <is>
          <t>Outras despesas pagas</t>
        </is>
      </c>
      <c r="B4859" t="inlineStr">
        <is>
          <t>Brindes, premiações e marketing</t>
        </is>
      </c>
      <c r="C4859" s="30" t="n">
        <v>46266</v>
      </c>
      <c r="D4859" t="inlineStr">
        <is>
          <t>Em 2026</t>
        </is>
      </c>
      <c r="E4859" s="28" t="n">
        <v>46266</v>
      </c>
      <c r="F4859" t="inlineStr">
        <is>
          <t>NF-e</t>
        </is>
      </c>
      <c r="G4859" t="inlineStr">
        <is>
          <t>900621941</t>
        </is>
      </c>
      <c r="H4859" t="inlineStr">
        <is>
          <t>38.277.962 RAQUEL BARBOSA DE PAIVA SANTOS SALES</t>
        </is>
      </c>
      <c r="I4859" t="inlineStr">
        <is>
          <t>38.277.962/0001-65</t>
        </is>
      </c>
      <c r="J4859" s="29" t="n">
        <v>1920</v>
      </c>
      <c r="K4859" s="29">
        <f>(1-ISNUMBER(SEARCH("556",M4859)))*(O4859*SUMIFS(Premissas!$C$5:$C$44,Premissas!$A$5:$A$44,$A4859,Premissas!$B$5:$B$44,$B4859)+P4859*SUMIFS(Premissas!$D$5:$D$44,Premissas!$A$5:$A$44,$A4859,Premissas!$B$5:$B$44,$B4859))+R4859*SUMIFS(Premissas!$E$5:$E$44,Premissas!$A$5:$A$44,$A4859,Premissas!$B$5:$B$44,$B4859)+S4859*SUMIFS(Premissas!$F$5:$F$44,Premissas!$A$5:$A$44,$A4859,Premissas!$B$5:$B$44,$B4859)</f>
        <v/>
      </c>
      <c r="L4859" s="29">
        <f>J4859-K4859</f>
        <v/>
      </c>
      <c r="M4859" t="inlineStr">
        <is>
          <t>1.556</t>
        </is>
      </c>
      <c r="O4859" s="29" t="n">
        <v>0</v>
      </c>
      <c r="P4859" s="29" t="n">
        <v>0</v>
      </c>
      <c r="Q4859" s="29" t="n">
        <v>0</v>
      </c>
      <c r="R4859" s="29" t="n">
        <v>0</v>
      </c>
      <c r="S4859" s="29" t="n">
        <v>0</v>
      </c>
      <c r="T4859" t="inlineStr">
        <is>
          <t>25260908761132000148558919006219411915392656</t>
        </is>
      </c>
      <c r="U4859" t="inlineStr">
        <is>
          <t>Sim</t>
        </is>
      </c>
    </row>
    <row r="4860">
      <c r="A4860" t="inlineStr">
        <is>
          <t>Outras despesas pagas</t>
        </is>
      </c>
      <c r="B4860" t="inlineStr">
        <is>
          <t>Brindes, premiações e marketing</t>
        </is>
      </c>
      <c r="C4860" s="30" t="n">
        <v>46266</v>
      </c>
      <c r="D4860" t="inlineStr">
        <is>
          <t>Em 2026</t>
        </is>
      </c>
      <c r="E4860" s="28" t="n">
        <v>46288</v>
      </c>
      <c r="F4860" t="inlineStr">
        <is>
          <t>NF-e</t>
        </is>
      </c>
      <c r="G4860" t="inlineStr">
        <is>
          <t>000340532</t>
        </is>
      </c>
      <c r="H4860" t="inlineStr">
        <is>
          <t>LOJAS EDMIL S/A</t>
        </is>
      </c>
      <c r="I4860" t="inlineStr">
        <is>
          <t>21.545.371/0087-07</t>
        </is>
      </c>
      <c r="J4860" s="29" t="n">
        <v>17501.8</v>
      </c>
      <c r="K4860" s="29">
        <f>(1-ISNUMBER(SEARCH("556",M4860)))*(O4860*SUMIFS(Premissas!$C$5:$C$44,Premissas!$A$5:$A$44,$A4860,Premissas!$B$5:$B$44,$B4860)+P4860*SUMIFS(Premissas!$D$5:$D$44,Premissas!$A$5:$A$44,$A4860,Premissas!$B$5:$B$44,$B4860))+R4860*SUMIFS(Premissas!$E$5:$E$44,Premissas!$A$5:$A$44,$A4860,Premissas!$B$5:$B$44,$B4860)+S4860*SUMIFS(Premissas!$F$5:$F$44,Premissas!$A$5:$A$44,$A4860,Premissas!$B$5:$B$44,$B4860)</f>
        <v/>
      </c>
      <c r="L4860" s="29">
        <f>J4860-K4860</f>
        <v/>
      </c>
      <c r="M4860" t="inlineStr">
        <is>
          <t>1.556</t>
        </is>
      </c>
      <c r="O4860" s="29" t="n">
        <v>0</v>
      </c>
      <c r="P4860" s="29" t="n">
        <v>3150.32</v>
      </c>
      <c r="Q4860" s="29" t="n">
        <v>0</v>
      </c>
      <c r="R4860" s="29" t="n">
        <v>236.8</v>
      </c>
      <c r="S4860" s="29" t="n">
        <v>1090.71</v>
      </c>
      <c r="T4860" t="inlineStr">
        <is>
          <t>31260921545371008707552000003405321754407720</t>
        </is>
      </c>
      <c r="U4860" t="inlineStr">
        <is>
          <t>Sim</t>
        </is>
      </c>
    </row>
    <row r="4861">
      <c r="A4861" t="inlineStr">
        <is>
          <t>Outras despesas pagas</t>
        </is>
      </c>
      <c r="B4861" t="inlineStr">
        <is>
          <t>Combustível</t>
        </is>
      </c>
      <c r="C4861" s="30" t="n">
        <v>46023</v>
      </c>
      <c r="D4861" t="inlineStr">
        <is>
          <t>Em 2026</t>
        </is>
      </c>
      <c r="E4861" s="28" t="n">
        <v>46041</v>
      </c>
      <c r="F4861" t="inlineStr">
        <is>
          <t>NF-e</t>
        </is>
      </c>
      <c r="G4861" t="inlineStr">
        <is>
          <t>000006726</t>
        </is>
      </c>
      <c r="H4861" t="inlineStr">
        <is>
          <t>SUPERGASBRAS ENERGIA LTDA</t>
        </is>
      </c>
      <c r="I4861" t="inlineStr">
        <is>
          <t>19.791.896/0166-00</t>
        </is>
      </c>
      <c r="J4861" s="29" t="n">
        <v>615.5599999999999</v>
      </c>
      <c r="K4861" s="29">
        <f>(1-ISNUMBER(SEARCH("556",M4861)))*(O4861*SUMIFS(Premissas!$C$5:$C$44,Premissas!$A$5:$A$44,$A4861,Premissas!$B$5:$B$44,$B4861)+P4861*SUMIFS(Premissas!$D$5:$D$44,Premissas!$A$5:$A$44,$A4861,Premissas!$B$5:$B$44,$B4861))+R4861*SUMIFS(Premissas!$E$5:$E$44,Premissas!$A$5:$A$44,$A4861,Premissas!$B$5:$B$44,$B4861)+S4861*SUMIFS(Premissas!$F$5:$F$44,Premissas!$A$5:$A$44,$A4861,Premissas!$B$5:$B$44,$B4861)</f>
        <v/>
      </c>
      <c r="L4861" s="29">
        <f>J4861-K4861</f>
        <v/>
      </c>
      <c r="M4861" t="inlineStr">
        <is>
          <t>1.556</t>
        </is>
      </c>
      <c r="O4861" s="29" t="n">
        <v>0</v>
      </c>
      <c r="P4861" s="29" t="n">
        <v>0</v>
      </c>
      <c r="Q4861" s="29" t="n">
        <v>0</v>
      </c>
      <c r="R4861" s="29" t="n">
        <v>0</v>
      </c>
      <c r="S4861" s="29" t="n">
        <v>0</v>
      </c>
      <c r="T4861" t="inlineStr">
        <is>
          <t>25260119791896016600550090000067261032936051</t>
        </is>
      </c>
      <c r="U4861" t="inlineStr">
        <is>
          <t>Sim</t>
        </is>
      </c>
    </row>
    <row r="4862">
      <c r="A4862" t="inlineStr">
        <is>
          <t>Outras despesas pagas</t>
        </is>
      </c>
      <c r="B4862" t="inlineStr">
        <is>
          <t>Combustível</t>
        </is>
      </c>
      <c r="C4862" s="30" t="n">
        <v>46113</v>
      </c>
      <c r="D4862" t="inlineStr">
        <is>
          <t>Em 2026</t>
        </is>
      </c>
      <c r="E4862" s="28" t="n">
        <v>46125</v>
      </c>
      <c r="F4862" t="inlineStr">
        <is>
          <t>NF-e</t>
        </is>
      </c>
      <c r="G4862" t="inlineStr">
        <is>
          <t>000007528</t>
        </is>
      </c>
      <c r="H4862" t="inlineStr">
        <is>
          <t>SUPERGASBRAS ENERGIA LTDA</t>
        </is>
      </c>
      <c r="I4862" t="inlineStr">
        <is>
          <t>19.791.896/0166-00</t>
        </is>
      </c>
      <c r="J4862" s="29" t="n">
        <v>472.47</v>
      </c>
      <c r="K4862" s="29">
        <f>(1-ISNUMBER(SEARCH("556",M4862)))*(O4862*SUMIFS(Premissas!$C$5:$C$44,Premissas!$A$5:$A$44,$A4862,Premissas!$B$5:$B$44,$B4862)+P4862*SUMIFS(Premissas!$D$5:$D$44,Premissas!$A$5:$A$44,$A4862,Premissas!$B$5:$B$44,$B4862))+R4862*SUMIFS(Premissas!$E$5:$E$44,Premissas!$A$5:$A$44,$A4862,Premissas!$B$5:$B$44,$B4862)+S4862*SUMIFS(Premissas!$F$5:$F$44,Premissas!$A$5:$A$44,$A4862,Premissas!$B$5:$B$44,$B4862)</f>
        <v/>
      </c>
      <c r="L4862" s="29">
        <f>J4862-K4862</f>
        <v/>
      </c>
      <c r="M4862" t="inlineStr">
        <is>
          <t>1.556</t>
        </is>
      </c>
      <c r="O4862" s="29" t="n">
        <v>0</v>
      </c>
      <c r="P4862" s="29" t="n">
        <v>0</v>
      </c>
      <c r="Q4862" s="29" t="n">
        <v>0</v>
      </c>
      <c r="R4862" s="29" t="n">
        <v>0</v>
      </c>
      <c r="S4862" s="29" t="n">
        <v>0</v>
      </c>
      <c r="T4862" t="inlineStr">
        <is>
          <t>25260419791896016600550090000075281626669560</t>
        </is>
      </c>
      <c r="U4862" t="inlineStr">
        <is>
          <t>Sim</t>
        </is>
      </c>
    </row>
    <row r="4863">
      <c r="A4863" t="inlineStr">
        <is>
          <t>Outras despesas pagas</t>
        </is>
      </c>
      <c r="B4863" t="inlineStr">
        <is>
          <t>Combustível</t>
        </is>
      </c>
      <c r="C4863" s="30" t="n">
        <v>46174</v>
      </c>
      <c r="D4863" t="inlineStr">
        <is>
          <t>Em 2026</t>
        </is>
      </c>
      <c r="E4863" s="28" t="n">
        <v>46196</v>
      </c>
      <c r="F4863" t="inlineStr">
        <is>
          <t>NF-e</t>
        </is>
      </c>
      <c r="G4863" t="inlineStr">
        <is>
          <t>000008221</t>
        </is>
      </c>
      <c r="H4863" t="inlineStr">
        <is>
          <t>SUPERGASBRAS ENERGIA LTDA</t>
        </is>
      </c>
      <c r="I4863" t="inlineStr">
        <is>
          <t>19.791.896/0166-00</t>
        </is>
      </c>
      <c r="J4863" s="29" t="n">
        <v>629.96</v>
      </c>
      <c r="K4863" s="29">
        <f>(1-ISNUMBER(SEARCH("556",M4863)))*(O4863*SUMIFS(Premissas!$C$5:$C$44,Premissas!$A$5:$A$44,$A4863,Premissas!$B$5:$B$44,$B4863)+P4863*SUMIFS(Premissas!$D$5:$D$44,Premissas!$A$5:$A$44,$A4863,Premissas!$B$5:$B$44,$B4863))+R4863*SUMIFS(Premissas!$E$5:$E$44,Premissas!$A$5:$A$44,$A4863,Premissas!$B$5:$B$44,$B4863)+S4863*SUMIFS(Premissas!$F$5:$F$44,Premissas!$A$5:$A$44,$A4863,Premissas!$B$5:$B$44,$B4863)</f>
        <v/>
      </c>
      <c r="L4863" s="29">
        <f>J4863-K4863</f>
        <v/>
      </c>
      <c r="M4863" t="inlineStr">
        <is>
          <t>1.556</t>
        </is>
      </c>
      <c r="O4863" s="29" t="n">
        <v>0</v>
      </c>
      <c r="P4863" s="29" t="n">
        <v>0</v>
      </c>
      <c r="Q4863" s="29" t="n">
        <v>0</v>
      </c>
      <c r="R4863" s="29" t="n">
        <v>0</v>
      </c>
      <c r="S4863" s="29" t="n">
        <v>0</v>
      </c>
      <c r="T4863" t="inlineStr">
        <is>
          <t>25260619791896016600550090000082211842040008</t>
        </is>
      </c>
      <c r="U4863" t="inlineStr">
        <is>
          <t>Sim</t>
        </is>
      </c>
    </row>
    <row r="4864">
      <c r="A4864" t="inlineStr">
        <is>
          <t>Outras despesas pagas</t>
        </is>
      </c>
      <c r="B4864" t="inlineStr">
        <is>
          <t>Imobilizado</t>
        </is>
      </c>
      <c r="C4864" t="inlineStr">
        <is>
          <t>Antes de 2026</t>
        </is>
      </c>
      <c r="D4864" t="inlineStr">
        <is>
          <t>Antes de 2026</t>
        </is>
      </c>
      <c r="E4864" s="28" t="n">
        <v>45945</v>
      </c>
      <c r="F4864" t="inlineStr">
        <is>
          <t>NF-e</t>
        </is>
      </c>
      <c r="G4864" t="inlineStr">
        <is>
          <t>008094334</t>
        </is>
      </c>
      <c r="H4864" t="inlineStr">
        <is>
          <t>DELL COMPUTADORES DO BRASIL LTDA</t>
        </is>
      </c>
      <c r="I4864" t="inlineStr">
        <is>
          <t>72.381.189/0010-01</t>
        </is>
      </c>
      <c r="J4864" s="29" t="n">
        <v>1160.04</v>
      </c>
      <c r="K4864" s="29">
        <f>(1-ISNUMBER(SEARCH("556",M4864)))*(O4864*SUMIFS(Premissas!$C$5:$C$44,Premissas!$A$5:$A$44,$A4864,Premissas!$B$5:$B$44,$B4864)+P4864*SUMIFS(Premissas!$D$5:$D$44,Premissas!$A$5:$A$44,$A4864,Premissas!$B$5:$B$44,$B4864))+R4864*SUMIFS(Premissas!$E$5:$E$44,Premissas!$A$5:$A$44,$A4864,Premissas!$B$5:$B$44,$B4864)+S4864*SUMIFS(Premissas!$F$5:$F$44,Premissas!$A$5:$A$44,$A4864,Premissas!$B$5:$B$44,$B4864)</f>
        <v/>
      </c>
      <c r="L4864" s="29">
        <f>J4864-K4864</f>
        <v/>
      </c>
      <c r="M4864" t="inlineStr">
        <is>
          <t>2.102</t>
        </is>
      </c>
      <c r="O4864" s="29" t="n">
        <v>0</v>
      </c>
      <c r="P4864" s="29" t="n">
        <v>81.2</v>
      </c>
      <c r="Q4864" s="29" t="n">
        <v>0</v>
      </c>
      <c r="R4864" s="29" t="n">
        <v>17.8</v>
      </c>
      <c r="S4864" s="29" t="n">
        <v>81.98999999999999</v>
      </c>
      <c r="T4864" t="inlineStr">
        <is>
          <t>35251072381189001001550010080943341456164130</t>
        </is>
      </c>
      <c r="U4864" t="inlineStr">
        <is>
          <t>Sim</t>
        </is>
      </c>
    </row>
    <row r="4865">
      <c r="A4865" t="inlineStr">
        <is>
          <t>Outras despesas pagas</t>
        </is>
      </c>
      <c r="B4865" t="inlineStr">
        <is>
          <t>Imobilizado</t>
        </is>
      </c>
      <c r="C4865" t="inlineStr">
        <is>
          <t>Antes de 2026</t>
        </is>
      </c>
      <c r="D4865" t="inlineStr">
        <is>
          <t>Antes de 2026</t>
        </is>
      </c>
      <c r="E4865" s="28" t="n">
        <v>46006</v>
      </c>
      <c r="F4865" t="inlineStr">
        <is>
          <t>NF-e</t>
        </is>
      </c>
      <c r="G4865" t="inlineStr">
        <is>
          <t>000070767</t>
        </is>
      </c>
      <c r="H4865" t="inlineStr">
        <is>
          <t>FURNAX COMERCIAL E IMPORTADORA EIRELI</t>
        </is>
      </c>
      <c r="I4865" t="inlineStr">
        <is>
          <t>00.144.257/0001-17</t>
        </is>
      </c>
      <c r="J4865" s="29" t="n">
        <v>2065</v>
      </c>
      <c r="K4865" s="29">
        <f>(1-ISNUMBER(SEARCH("556",M4865)))*(O4865*SUMIFS(Premissas!$C$5:$C$44,Premissas!$A$5:$A$44,$A4865,Premissas!$B$5:$B$44,$B4865)+P4865*SUMIFS(Premissas!$D$5:$D$44,Premissas!$A$5:$A$44,$A4865,Premissas!$B$5:$B$44,$B4865))+R4865*SUMIFS(Premissas!$E$5:$E$44,Premissas!$A$5:$A$44,$A4865,Premissas!$B$5:$B$44,$B4865)+S4865*SUMIFS(Premissas!$F$5:$F$44,Premissas!$A$5:$A$44,$A4865,Premissas!$B$5:$B$44,$B4865)</f>
        <v/>
      </c>
      <c r="L4865" s="29">
        <f>J4865-K4865</f>
        <v/>
      </c>
      <c r="M4865" t="inlineStr">
        <is>
          <t>2.102</t>
        </is>
      </c>
      <c r="O4865" s="29" t="n">
        <v>65</v>
      </c>
      <c r="P4865" s="29" t="n">
        <v>82.59999999999999</v>
      </c>
      <c r="Q4865" s="29" t="n">
        <v>0</v>
      </c>
      <c r="R4865" s="29" t="n">
        <v>31.64</v>
      </c>
      <c r="S4865" s="29" t="n">
        <v>145.72</v>
      </c>
      <c r="T4865" t="inlineStr">
        <is>
          <t>35251200144257000117550010000707671274284129</t>
        </is>
      </c>
      <c r="U4865" t="inlineStr">
        <is>
          <t>Sim</t>
        </is>
      </c>
    </row>
    <row r="4866">
      <c r="A4866" t="inlineStr">
        <is>
          <t>Outras despesas pagas</t>
        </is>
      </c>
      <c r="B4866" t="inlineStr">
        <is>
          <t>Imobilizado</t>
        </is>
      </c>
      <c r="C4866" t="inlineStr">
        <is>
          <t>Antes de 2026</t>
        </is>
      </c>
      <c r="D4866" t="inlineStr">
        <is>
          <t>Antes de 2026</t>
        </is>
      </c>
      <c r="E4866" s="28" t="n">
        <v>45986</v>
      </c>
      <c r="F4866" t="inlineStr">
        <is>
          <t>NF-e</t>
        </is>
      </c>
      <c r="G4866" t="inlineStr">
        <is>
          <t>000000221</t>
        </is>
      </c>
      <c r="H4866" t="inlineStr">
        <is>
          <t>INOVAMAIS</t>
        </is>
      </c>
      <c r="I4866" t="inlineStr">
        <is>
          <t>30.087.865/0001-06</t>
        </is>
      </c>
      <c r="J4866" s="29" t="n">
        <v>7306.8</v>
      </c>
      <c r="K4866" s="29">
        <f>(1-ISNUMBER(SEARCH("556",M4866)))*(O4866*SUMIFS(Premissas!$C$5:$C$44,Premissas!$A$5:$A$44,$A4866,Premissas!$B$5:$B$44,$B4866)+P4866*SUMIFS(Premissas!$D$5:$D$44,Premissas!$A$5:$A$44,$A4866,Premissas!$B$5:$B$44,$B4866))+R4866*SUMIFS(Premissas!$E$5:$E$44,Premissas!$A$5:$A$44,$A4866,Premissas!$B$5:$B$44,$B4866)+S4866*SUMIFS(Premissas!$F$5:$F$44,Premissas!$A$5:$A$44,$A4866,Premissas!$B$5:$B$44,$B4866)</f>
        <v/>
      </c>
      <c r="L4866" s="29">
        <f>J4866-K4866</f>
        <v/>
      </c>
      <c r="M4866" t="inlineStr">
        <is>
          <t>1.102</t>
        </is>
      </c>
      <c r="O4866" s="29" t="n">
        <v>0</v>
      </c>
      <c r="P4866" s="29" t="n">
        <v>0</v>
      </c>
      <c r="Q4866" s="29" t="n">
        <v>0</v>
      </c>
      <c r="R4866" s="29" t="n">
        <v>0</v>
      </c>
      <c r="S4866" s="29" t="n">
        <v>0</v>
      </c>
      <c r="T4866" t="inlineStr">
        <is>
          <t>25251130087865000106550010000002211000066308</t>
        </is>
      </c>
      <c r="U4866" t="inlineStr">
        <is>
          <t>Sim</t>
        </is>
      </c>
    </row>
    <row r="4867">
      <c r="A4867" t="inlineStr">
        <is>
          <t>Outras despesas pagas</t>
        </is>
      </c>
      <c r="B4867" t="inlineStr">
        <is>
          <t>Imobilizado</t>
        </is>
      </c>
      <c r="C4867" s="30" t="n">
        <v>46023</v>
      </c>
      <c r="D4867" t="inlineStr">
        <is>
          <t>Em 2026</t>
        </is>
      </c>
      <c r="E4867" s="28" t="n">
        <v>46049</v>
      </c>
      <c r="F4867" t="inlineStr">
        <is>
          <t>NF-e</t>
        </is>
      </c>
      <c r="G4867" t="inlineStr">
        <is>
          <t>000082330</t>
        </is>
      </c>
      <c r="H4867" t="inlineStr">
        <is>
          <t>KALUNGA SA</t>
        </is>
      </c>
      <c r="I4867" t="inlineStr">
        <is>
          <t>43.283.811/0198-45</t>
        </is>
      </c>
      <c r="J4867" s="29" t="n">
        <v>39.9</v>
      </c>
      <c r="K4867" s="29">
        <f>(1-ISNUMBER(SEARCH("556",M4867)))*(O4867*SUMIFS(Premissas!$C$5:$C$44,Premissas!$A$5:$A$44,$A4867,Premissas!$B$5:$B$44,$B4867)+P4867*SUMIFS(Premissas!$D$5:$D$44,Premissas!$A$5:$A$44,$A4867,Premissas!$B$5:$B$44,$B4867))+R4867*SUMIFS(Premissas!$E$5:$E$44,Premissas!$A$5:$A$44,$A4867,Premissas!$B$5:$B$44,$B4867)+S4867*SUMIFS(Premissas!$F$5:$F$44,Premissas!$A$5:$A$44,$A4867,Premissas!$B$5:$B$44,$B4867)</f>
        <v/>
      </c>
      <c r="L4867" s="29">
        <f>J4867-K4867</f>
        <v/>
      </c>
      <c r="M4867" t="inlineStr">
        <is>
          <t>1.102</t>
        </is>
      </c>
      <c r="O4867" s="29" t="n">
        <v>0</v>
      </c>
      <c r="P4867" s="29" t="n">
        <v>7.98</v>
      </c>
      <c r="Q4867" s="29" t="n">
        <v>0</v>
      </c>
      <c r="R4867" s="29" t="n">
        <v>0.53</v>
      </c>
      <c r="S4867" s="29" t="n">
        <v>2.43</v>
      </c>
      <c r="T4867" t="inlineStr">
        <is>
          <t>25260143283811019845550010000823301775124196</t>
        </is>
      </c>
      <c r="U4867" t="inlineStr">
        <is>
          <t>Sim</t>
        </is>
      </c>
    </row>
    <row r="4868">
      <c r="A4868" t="inlineStr">
        <is>
          <t>Outras despesas pagas</t>
        </is>
      </c>
      <c r="B4868" t="inlineStr">
        <is>
          <t>Imobilizado</t>
        </is>
      </c>
      <c r="C4868" s="30" t="n">
        <v>46023</v>
      </c>
      <c r="D4868" t="inlineStr">
        <is>
          <t>Em 2026</t>
        </is>
      </c>
      <c r="E4868" s="28" t="n">
        <v>46041</v>
      </c>
      <c r="F4868" t="inlineStr">
        <is>
          <t>NF-e</t>
        </is>
      </c>
      <c r="G4868" t="inlineStr">
        <is>
          <t>000043368</t>
        </is>
      </c>
      <c r="H4868" t="inlineStr">
        <is>
          <t>MIRANDA COMPUTACAO E COMERCIO LTDA</t>
        </is>
      </c>
      <c r="I4868" t="inlineStr">
        <is>
          <t>11.982.113/0011-28</t>
        </is>
      </c>
      <c r="J4868" s="29" t="n">
        <v>578</v>
      </c>
      <c r="K4868" s="29">
        <f>(1-ISNUMBER(SEARCH("556",M4868)))*(O4868*SUMIFS(Premissas!$C$5:$C$44,Premissas!$A$5:$A$44,$A4868,Premissas!$B$5:$B$44,$B4868)+P4868*SUMIFS(Premissas!$D$5:$D$44,Premissas!$A$5:$A$44,$A4868,Premissas!$B$5:$B$44,$B4868))+R4868*SUMIFS(Premissas!$E$5:$E$44,Premissas!$A$5:$A$44,$A4868,Premissas!$B$5:$B$44,$B4868)+S4868*SUMIFS(Premissas!$F$5:$F$44,Premissas!$A$5:$A$44,$A4868,Premissas!$B$5:$B$44,$B4868)</f>
        <v/>
      </c>
      <c r="L4868" s="29">
        <f>J4868-K4868</f>
        <v/>
      </c>
      <c r="M4868" t="inlineStr">
        <is>
          <t>1.102</t>
        </is>
      </c>
      <c r="O4868" s="29" t="n">
        <v>0</v>
      </c>
      <c r="P4868" s="29" t="n">
        <v>40.46</v>
      </c>
      <c r="Q4868" s="29" t="n">
        <v>0</v>
      </c>
      <c r="R4868" s="29" t="n">
        <v>8.869999999999999</v>
      </c>
      <c r="S4868" s="29" t="n">
        <v>40.85</v>
      </c>
      <c r="T4868" t="inlineStr">
        <is>
          <t>25260111982113001128550010000433681544063243</t>
        </is>
      </c>
      <c r="U4868" t="inlineStr">
        <is>
          <t>Sim</t>
        </is>
      </c>
    </row>
    <row r="4869">
      <c r="A4869" t="inlineStr">
        <is>
          <t>Outras despesas pagas</t>
        </is>
      </c>
      <c r="B4869" t="inlineStr">
        <is>
          <t>Imobilizado</t>
        </is>
      </c>
      <c r="C4869" s="30" t="n">
        <v>46023</v>
      </c>
      <c r="D4869" t="inlineStr">
        <is>
          <t>Em 2026</t>
        </is>
      </c>
      <c r="E4869" s="28" t="n">
        <v>46049</v>
      </c>
      <c r="F4869" t="inlineStr">
        <is>
          <t>NF-e</t>
        </is>
      </c>
      <c r="G4869" t="inlineStr">
        <is>
          <t>000043597</t>
        </is>
      </c>
      <c r="H4869" t="inlineStr">
        <is>
          <t>MIRANDA COMPUTACAO E COMERCIO LTDA</t>
        </is>
      </c>
      <c r="I4869" t="inlineStr">
        <is>
          <t>11.982.113/0011-28</t>
        </is>
      </c>
      <c r="J4869" s="29" t="n">
        <v>332.02</v>
      </c>
      <c r="K4869" s="29">
        <f>(1-ISNUMBER(SEARCH("556",M4869)))*(O4869*SUMIFS(Premissas!$C$5:$C$44,Premissas!$A$5:$A$44,$A4869,Premissas!$B$5:$B$44,$B4869)+P4869*SUMIFS(Premissas!$D$5:$D$44,Premissas!$A$5:$A$44,$A4869,Premissas!$B$5:$B$44,$B4869))+R4869*SUMIFS(Premissas!$E$5:$E$44,Premissas!$A$5:$A$44,$A4869,Premissas!$B$5:$B$44,$B4869)+S4869*SUMIFS(Premissas!$F$5:$F$44,Premissas!$A$5:$A$44,$A4869,Premissas!$B$5:$B$44,$B4869)</f>
        <v/>
      </c>
      <c r="L4869" s="29">
        <f>J4869-K4869</f>
        <v/>
      </c>
      <c r="M4869" t="inlineStr">
        <is>
          <t>1.102</t>
        </is>
      </c>
      <c r="O4869" s="29" t="n">
        <v>0</v>
      </c>
      <c r="P4869" s="29" t="n">
        <v>23.24</v>
      </c>
      <c r="Q4869" s="29" t="n">
        <v>0</v>
      </c>
      <c r="R4869" s="29" t="n">
        <v>5.09</v>
      </c>
      <c r="S4869" s="29" t="n">
        <v>23.47</v>
      </c>
      <c r="T4869" t="inlineStr">
        <is>
          <t>25260111982113001128550010000435971242226339</t>
        </is>
      </c>
      <c r="U4869" t="inlineStr">
        <is>
          <t>Sim</t>
        </is>
      </c>
    </row>
    <row r="4870">
      <c r="A4870" t="inlineStr">
        <is>
          <t>Outras despesas pagas</t>
        </is>
      </c>
      <c r="B4870" t="inlineStr">
        <is>
          <t>Imobilizado</t>
        </is>
      </c>
      <c r="C4870" s="30" t="n">
        <v>46023</v>
      </c>
      <c r="D4870" t="inlineStr">
        <is>
          <t>Em 2026</t>
        </is>
      </c>
      <c r="E4870" s="28" t="n">
        <v>46052</v>
      </c>
      <c r="F4870" t="inlineStr">
        <is>
          <t>NF-e</t>
        </is>
      </c>
      <c r="G4870" t="inlineStr">
        <is>
          <t>000241188</t>
        </is>
      </c>
      <c r="H4870" t="inlineStr">
        <is>
          <t>NORDIFE MATERIAIS ELETRICOS LTDA</t>
        </is>
      </c>
      <c r="I4870" t="inlineStr">
        <is>
          <t>35.589.365/0004-20</t>
        </is>
      </c>
      <c r="J4870" s="29" t="n">
        <v>811.62</v>
      </c>
      <c r="K4870" s="29">
        <f>(1-ISNUMBER(SEARCH("556",M4870)))*(O4870*SUMIFS(Premissas!$C$5:$C$44,Premissas!$A$5:$A$44,$A4870,Premissas!$B$5:$B$44,$B4870)+P4870*SUMIFS(Premissas!$D$5:$D$44,Premissas!$A$5:$A$44,$A4870,Premissas!$B$5:$B$44,$B4870))+R4870*SUMIFS(Premissas!$E$5:$E$44,Premissas!$A$5:$A$44,$A4870,Premissas!$B$5:$B$44,$B4870)+S4870*SUMIFS(Premissas!$F$5:$F$44,Premissas!$A$5:$A$44,$A4870,Premissas!$B$5:$B$44,$B4870)</f>
        <v/>
      </c>
      <c r="L4870" s="29">
        <f>J4870-K4870</f>
        <v/>
      </c>
      <c r="M4870" t="inlineStr">
        <is>
          <t>1.102</t>
        </is>
      </c>
      <c r="O4870" s="29" t="n">
        <v>0</v>
      </c>
      <c r="P4870" s="29" t="n">
        <v>162.33</v>
      </c>
      <c r="Q4870" s="29" t="n">
        <v>0</v>
      </c>
      <c r="R4870" s="29" t="n">
        <v>5.27</v>
      </c>
      <c r="S4870" s="29" t="n">
        <v>24.35</v>
      </c>
      <c r="T4870" t="inlineStr">
        <is>
          <t>25260135589365000420550010002411881275422246</t>
        </is>
      </c>
      <c r="U4870" t="inlineStr">
        <is>
          <t>Sim</t>
        </is>
      </c>
    </row>
    <row r="4871">
      <c r="A4871" t="inlineStr">
        <is>
          <t>Outras despesas pagas</t>
        </is>
      </c>
      <c r="B4871" t="inlineStr">
        <is>
          <t>Imobilizado</t>
        </is>
      </c>
      <c r="C4871" s="30" t="n">
        <v>46023</v>
      </c>
      <c r="D4871" t="inlineStr">
        <is>
          <t>Em 2026</t>
        </is>
      </c>
      <c r="E4871" s="28" t="n">
        <v>46052</v>
      </c>
      <c r="F4871" t="inlineStr">
        <is>
          <t>NF-e</t>
        </is>
      </c>
      <c r="G4871" t="inlineStr">
        <is>
          <t>000003780</t>
        </is>
      </c>
      <c r="H4871" t="inlineStr">
        <is>
          <t>THIAGO GABRIEL MOVEIS LTDA</t>
        </is>
      </c>
      <c r="I4871" t="inlineStr">
        <is>
          <t>47.698.480/0001-70</t>
        </is>
      </c>
      <c r="J4871" s="29" t="n">
        <v>4380</v>
      </c>
      <c r="K4871" s="29">
        <f>(1-ISNUMBER(SEARCH("556",M4871)))*(O4871*SUMIFS(Premissas!$C$5:$C$44,Premissas!$A$5:$A$44,$A4871,Premissas!$B$5:$B$44,$B4871)+P4871*SUMIFS(Premissas!$D$5:$D$44,Premissas!$A$5:$A$44,$A4871,Premissas!$B$5:$B$44,$B4871))+R4871*SUMIFS(Premissas!$E$5:$E$44,Premissas!$A$5:$A$44,$A4871,Premissas!$B$5:$B$44,$B4871)+S4871*SUMIFS(Premissas!$F$5:$F$44,Premissas!$A$5:$A$44,$A4871,Premissas!$B$5:$B$44,$B4871)</f>
        <v/>
      </c>
      <c r="L4871" s="29">
        <f>J4871-K4871</f>
        <v/>
      </c>
      <c r="M4871" t="inlineStr">
        <is>
          <t>1.556</t>
        </is>
      </c>
      <c r="O4871" s="29" t="n">
        <v>0</v>
      </c>
      <c r="P4871" s="29" t="n">
        <v>0</v>
      </c>
      <c r="Q4871" s="29" t="n">
        <v>0</v>
      </c>
      <c r="R4871" s="29" t="n">
        <v>0</v>
      </c>
      <c r="S4871" s="29" t="n">
        <v>0</v>
      </c>
      <c r="T4871" t="inlineStr">
        <is>
          <t>25260147698480000170550010000037801292026011</t>
        </is>
      </c>
      <c r="U4871" t="inlineStr">
        <is>
          <t>Sim</t>
        </is>
      </c>
    </row>
    <row r="4872">
      <c r="A4872" t="inlineStr">
        <is>
          <t>Outras despesas pagas</t>
        </is>
      </c>
      <c r="B4872" t="inlineStr">
        <is>
          <t>Imobilizado</t>
        </is>
      </c>
      <c r="C4872" s="30" t="n">
        <v>46054</v>
      </c>
      <c r="D4872" t="inlineStr">
        <is>
          <t>Em 2026</t>
        </is>
      </c>
      <c r="E4872" s="28" t="n">
        <v>46080</v>
      </c>
      <c r="F4872" t="inlineStr">
        <is>
          <t>NF-e</t>
        </is>
      </c>
      <c r="G4872" t="inlineStr">
        <is>
          <t>000209851</t>
        </is>
      </c>
      <c r="H4872" t="inlineStr">
        <is>
          <t>CJO LOJA DE VARIEDADES LTDA</t>
        </is>
      </c>
      <c r="I4872" t="inlineStr">
        <is>
          <t>42.470.035/0001-34</t>
        </is>
      </c>
      <c r="J4872" s="29" t="n">
        <v>73.08</v>
      </c>
      <c r="K4872" s="29">
        <f>(1-ISNUMBER(SEARCH("556",M4872)))*(O4872*SUMIFS(Premissas!$C$5:$C$44,Premissas!$A$5:$A$44,$A4872,Premissas!$B$5:$B$44,$B4872)+P4872*SUMIFS(Premissas!$D$5:$D$44,Premissas!$A$5:$A$44,$A4872,Premissas!$B$5:$B$44,$B4872))+R4872*SUMIFS(Premissas!$E$5:$E$44,Premissas!$A$5:$A$44,$A4872,Premissas!$B$5:$B$44,$B4872)+S4872*SUMIFS(Premissas!$F$5:$F$44,Premissas!$A$5:$A$44,$A4872,Premissas!$B$5:$B$44,$B4872)</f>
        <v/>
      </c>
      <c r="L4872" s="29">
        <f>J4872-K4872</f>
        <v/>
      </c>
      <c r="M4872" t="inlineStr">
        <is>
          <t>1.556</t>
        </is>
      </c>
      <c r="O4872" s="29" t="n">
        <v>0</v>
      </c>
      <c r="P4872" s="29" t="n">
        <v>0</v>
      </c>
      <c r="Q4872" s="29" t="n">
        <v>0</v>
      </c>
      <c r="R4872" s="29" t="n">
        <v>0</v>
      </c>
      <c r="S4872" s="29" t="n">
        <v>0</v>
      </c>
      <c r="T4872" t="inlineStr">
        <is>
          <t>35260242470035000134550020002098511575351252</t>
        </is>
      </c>
      <c r="U4872" t="inlineStr">
        <is>
          <t>Sim</t>
        </is>
      </c>
    </row>
    <row r="4873">
      <c r="A4873" t="inlineStr">
        <is>
          <t>Outras despesas pagas</t>
        </is>
      </c>
      <c r="B4873" t="inlineStr">
        <is>
          <t>Imobilizado</t>
        </is>
      </c>
      <c r="C4873" s="30" t="n">
        <v>46054</v>
      </c>
      <c r="D4873" t="inlineStr">
        <is>
          <t>Em 2026</t>
        </is>
      </c>
      <c r="E4873" s="28" t="n">
        <v>46077</v>
      </c>
      <c r="F4873" t="inlineStr">
        <is>
          <t>NF-e</t>
        </is>
      </c>
      <c r="G4873" t="inlineStr">
        <is>
          <t>000000058</t>
        </is>
      </c>
      <c r="H4873" t="inlineStr">
        <is>
          <t>EFATA CONST E COM ATACADISTA DE CAL E CIMENTOS LTDA</t>
        </is>
      </c>
      <c r="I4873" t="inlineStr">
        <is>
          <t>53.581.184/0001-97</t>
        </is>
      </c>
      <c r="J4873" s="29" t="n">
        <v>870.8</v>
      </c>
      <c r="K4873" s="29">
        <f>(1-ISNUMBER(SEARCH("556",M4873)))*(O4873*SUMIFS(Premissas!$C$5:$C$44,Premissas!$A$5:$A$44,$A4873,Premissas!$B$5:$B$44,$B4873)+P4873*SUMIFS(Premissas!$D$5:$D$44,Premissas!$A$5:$A$44,$A4873,Premissas!$B$5:$B$44,$B4873))+R4873*SUMIFS(Premissas!$E$5:$E$44,Premissas!$A$5:$A$44,$A4873,Premissas!$B$5:$B$44,$B4873)+S4873*SUMIFS(Premissas!$F$5:$F$44,Premissas!$A$5:$A$44,$A4873,Premissas!$B$5:$B$44,$B4873)</f>
        <v/>
      </c>
      <c r="L4873" s="29">
        <f>J4873-K4873</f>
        <v/>
      </c>
      <c r="M4873" t="inlineStr">
        <is>
          <t>1.102</t>
        </is>
      </c>
      <c r="O4873" s="29" t="n">
        <v>0</v>
      </c>
      <c r="P4873" s="29" t="n">
        <v>0</v>
      </c>
      <c r="Q4873" s="29" t="n">
        <v>0</v>
      </c>
      <c r="R4873" s="29" t="n">
        <v>0</v>
      </c>
      <c r="S4873" s="29" t="n">
        <v>0</v>
      </c>
      <c r="T4873" t="inlineStr">
        <is>
          <t>25260253581184000197550010000000581751342563</t>
        </is>
      </c>
      <c r="U4873" t="inlineStr">
        <is>
          <t>Sim</t>
        </is>
      </c>
    </row>
    <row r="4874">
      <c r="A4874" t="inlineStr">
        <is>
          <t>Outras despesas pagas</t>
        </is>
      </c>
      <c r="B4874" t="inlineStr">
        <is>
          <t>Imobilizado</t>
        </is>
      </c>
      <c r="C4874" s="30" t="n">
        <v>46054</v>
      </c>
      <c r="D4874" t="inlineStr">
        <is>
          <t>Em 2026</t>
        </is>
      </c>
      <c r="E4874" s="28" t="n">
        <v>46059</v>
      </c>
      <c r="F4874" t="inlineStr">
        <is>
          <t>NF-e</t>
        </is>
      </c>
      <c r="G4874" t="inlineStr">
        <is>
          <t>000002347</t>
        </is>
      </c>
      <c r="H4874" t="inlineStr">
        <is>
          <t>MFB MOVEIS PLANEJADOS LTDA</t>
        </is>
      </c>
      <c r="I4874" t="inlineStr">
        <is>
          <t>54.825.184/0001-58</t>
        </is>
      </c>
      <c r="J4874" s="29" t="n">
        <v>5484</v>
      </c>
      <c r="K4874" s="29">
        <f>(1-ISNUMBER(SEARCH("556",M4874)))*(O4874*SUMIFS(Premissas!$C$5:$C$44,Premissas!$A$5:$A$44,$A4874,Premissas!$B$5:$B$44,$B4874)+P4874*SUMIFS(Premissas!$D$5:$D$44,Premissas!$A$5:$A$44,$A4874,Premissas!$B$5:$B$44,$B4874))+R4874*SUMIFS(Premissas!$E$5:$E$44,Premissas!$A$5:$A$44,$A4874,Premissas!$B$5:$B$44,$B4874)+S4874*SUMIFS(Premissas!$F$5:$F$44,Premissas!$A$5:$A$44,$A4874,Premissas!$B$5:$B$44,$B4874)</f>
        <v/>
      </c>
      <c r="L4874" s="29">
        <f>J4874-K4874</f>
        <v/>
      </c>
      <c r="M4874" t="inlineStr">
        <is>
          <t>1.102</t>
        </is>
      </c>
      <c r="O4874" s="29" t="n">
        <v>0</v>
      </c>
      <c r="P4874" s="29" t="n">
        <v>0</v>
      </c>
      <c r="Q4874" s="29" t="n">
        <v>0</v>
      </c>
      <c r="R4874" s="29" t="n">
        <v>0</v>
      </c>
      <c r="S4874" s="29" t="n">
        <v>0</v>
      </c>
      <c r="T4874" t="inlineStr">
        <is>
          <t>25260254825184000158550070000023471395364479</t>
        </is>
      </c>
      <c r="U4874" t="inlineStr">
        <is>
          <t>Sim</t>
        </is>
      </c>
    </row>
    <row r="4875">
      <c r="A4875" t="inlineStr">
        <is>
          <t>Outras despesas pagas</t>
        </is>
      </c>
      <c r="B4875" t="inlineStr">
        <is>
          <t>Imobilizado</t>
        </is>
      </c>
      <c r="C4875" s="30" t="n">
        <v>46054</v>
      </c>
      <c r="D4875" t="inlineStr">
        <is>
          <t>Em 2026</t>
        </is>
      </c>
      <c r="E4875" s="28" t="n">
        <v>46062</v>
      </c>
      <c r="F4875" t="inlineStr">
        <is>
          <t>NF-e</t>
        </is>
      </c>
      <c r="G4875" t="inlineStr">
        <is>
          <t>000043936</t>
        </is>
      </c>
      <c r="H4875" t="inlineStr">
        <is>
          <t>MIRANDA COMPUTACAO E COMERCIO LTDA</t>
        </is>
      </c>
      <c r="I4875" t="inlineStr">
        <is>
          <t>11.982.113/0011-28</t>
        </is>
      </c>
      <c r="J4875" s="29" t="n">
        <v>8396</v>
      </c>
      <c r="K4875" s="29">
        <f>(1-ISNUMBER(SEARCH("556",M4875)))*(O4875*SUMIFS(Premissas!$C$5:$C$44,Premissas!$A$5:$A$44,$A4875,Premissas!$B$5:$B$44,$B4875)+P4875*SUMIFS(Premissas!$D$5:$D$44,Premissas!$A$5:$A$44,$A4875,Premissas!$B$5:$B$44,$B4875))+R4875*SUMIFS(Premissas!$E$5:$E$44,Premissas!$A$5:$A$44,$A4875,Premissas!$B$5:$B$44,$B4875)+S4875*SUMIFS(Premissas!$F$5:$F$44,Premissas!$A$5:$A$44,$A4875,Premissas!$B$5:$B$44,$B4875)</f>
        <v/>
      </c>
      <c r="L4875" s="29">
        <f>J4875-K4875</f>
        <v/>
      </c>
      <c r="M4875" t="inlineStr">
        <is>
          <t>1.556</t>
        </is>
      </c>
      <c r="O4875" s="29" t="n">
        <v>0</v>
      </c>
      <c r="P4875" s="29" t="n">
        <v>587.72</v>
      </c>
      <c r="Q4875" s="29" t="n">
        <v>0</v>
      </c>
      <c r="R4875" s="29" t="n">
        <v>0</v>
      </c>
      <c r="S4875" s="29" t="n">
        <v>0</v>
      </c>
      <c r="T4875" t="inlineStr">
        <is>
          <t>25260211982113001128550010000439361181607915</t>
        </is>
      </c>
      <c r="U4875" t="inlineStr">
        <is>
          <t>Sim</t>
        </is>
      </c>
    </row>
    <row r="4876">
      <c r="A4876" t="inlineStr">
        <is>
          <t>Outras despesas pagas</t>
        </is>
      </c>
      <c r="B4876" t="inlineStr">
        <is>
          <t>Imobilizado</t>
        </is>
      </c>
      <c r="C4876" s="30" t="n">
        <v>46054</v>
      </c>
      <c r="D4876" t="inlineStr">
        <is>
          <t>Em 2026</t>
        </is>
      </c>
      <c r="E4876" s="28" t="n">
        <v>46070</v>
      </c>
      <c r="F4876" t="inlineStr">
        <is>
          <t>NF-e</t>
        </is>
      </c>
      <c r="G4876" t="inlineStr">
        <is>
          <t>000044141</t>
        </is>
      </c>
      <c r="H4876" t="inlineStr">
        <is>
          <t>MIRANDA COMPUTACAO E COMERCIO LTDA</t>
        </is>
      </c>
      <c r="I4876" t="inlineStr">
        <is>
          <t>11.982.113/0011-28</t>
        </is>
      </c>
      <c r="J4876" s="29" t="n">
        <v>4198</v>
      </c>
      <c r="K4876" s="29">
        <f>(1-ISNUMBER(SEARCH("556",M4876)))*(O4876*SUMIFS(Premissas!$C$5:$C$44,Premissas!$A$5:$A$44,$A4876,Premissas!$B$5:$B$44,$B4876)+P4876*SUMIFS(Premissas!$D$5:$D$44,Premissas!$A$5:$A$44,$A4876,Premissas!$B$5:$B$44,$B4876))+R4876*SUMIFS(Premissas!$E$5:$E$44,Premissas!$A$5:$A$44,$A4876,Premissas!$B$5:$B$44,$B4876)+S4876*SUMIFS(Premissas!$F$5:$F$44,Premissas!$A$5:$A$44,$A4876,Premissas!$B$5:$B$44,$B4876)</f>
        <v/>
      </c>
      <c r="L4876" s="29">
        <f>J4876-K4876</f>
        <v/>
      </c>
      <c r="M4876" t="inlineStr">
        <is>
          <t>1.556</t>
        </is>
      </c>
      <c r="O4876" s="29" t="n">
        <v>0</v>
      </c>
      <c r="P4876" s="29" t="n">
        <v>293.86</v>
      </c>
      <c r="Q4876" s="29" t="n">
        <v>0</v>
      </c>
      <c r="R4876" s="29" t="n">
        <v>0</v>
      </c>
      <c r="S4876" s="29" t="n">
        <v>0</v>
      </c>
      <c r="T4876" t="inlineStr">
        <is>
          <t>25260211982113001128550010000441411883503002</t>
        </is>
      </c>
      <c r="U4876" t="inlineStr">
        <is>
          <t>Sim</t>
        </is>
      </c>
    </row>
    <row r="4877">
      <c r="A4877" t="inlineStr">
        <is>
          <t>Outras despesas pagas</t>
        </is>
      </c>
      <c r="B4877" t="inlineStr">
        <is>
          <t>Imobilizado</t>
        </is>
      </c>
      <c r="C4877" s="30" t="n">
        <v>46054</v>
      </c>
      <c r="D4877" t="inlineStr">
        <is>
          <t>Em 2026</t>
        </is>
      </c>
      <c r="E4877" s="28" t="n">
        <v>46059</v>
      </c>
      <c r="F4877" t="inlineStr">
        <is>
          <t>NF-e</t>
        </is>
      </c>
      <c r="G4877" t="inlineStr">
        <is>
          <t>000838051</t>
        </is>
      </c>
      <c r="H4877" t="inlineStr">
        <is>
          <t>NEGOCIA TUDO LTDA</t>
        </is>
      </c>
      <c r="I4877" t="inlineStr">
        <is>
          <t>20.112.376/0001-03</t>
        </is>
      </c>
      <c r="J4877" s="29" t="n">
        <v>518.79</v>
      </c>
      <c r="K4877" s="29">
        <f>(1-ISNUMBER(SEARCH("556",M4877)))*(O4877*SUMIFS(Premissas!$C$5:$C$44,Premissas!$A$5:$A$44,$A4877,Premissas!$B$5:$B$44,$B4877)+P4877*SUMIFS(Premissas!$D$5:$D$44,Premissas!$A$5:$A$44,$A4877,Premissas!$B$5:$B$44,$B4877))+R4877*SUMIFS(Premissas!$E$5:$E$44,Premissas!$A$5:$A$44,$A4877,Premissas!$B$5:$B$44,$B4877)+S4877*SUMIFS(Premissas!$F$5:$F$44,Premissas!$A$5:$A$44,$A4877,Premissas!$B$5:$B$44,$B4877)</f>
        <v/>
      </c>
      <c r="L4877" s="29">
        <f>J4877-K4877</f>
        <v/>
      </c>
      <c r="M4877" t="inlineStr">
        <is>
          <t>1.556</t>
        </is>
      </c>
      <c r="O4877" s="29" t="n">
        <v>0</v>
      </c>
      <c r="P4877" s="29" t="n">
        <v>20.75</v>
      </c>
      <c r="Q4877" s="29" t="n">
        <v>0</v>
      </c>
      <c r="R4877" s="29" t="n">
        <v>7.08</v>
      </c>
      <c r="S4877" s="29" t="n">
        <v>32.61</v>
      </c>
      <c r="T4877" t="inlineStr">
        <is>
          <t>35260220112376000103550020008380511824766279</t>
        </is>
      </c>
      <c r="U4877" t="inlineStr">
        <is>
          <t>Sim</t>
        </is>
      </c>
    </row>
    <row r="4878">
      <c r="A4878" t="inlineStr">
        <is>
          <t>Outras despesas pagas</t>
        </is>
      </c>
      <c r="B4878" t="inlineStr">
        <is>
          <t>Imobilizado</t>
        </is>
      </c>
      <c r="C4878" s="30" t="n">
        <v>46082</v>
      </c>
      <c r="D4878" t="inlineStr">
        <is>
          <t>Em 2026</t>
        </is>
      </c>
      <c r="E4878" s="28" t="n">
        <v>46100</v>
      </c>
      <c r="F4878" t="inlineStr">
        <is>
          <t>NF-e</t>
        </is>
      </c>
      <c r="G4878" t="inlineStr">
        <is>
          <t>000009680</t>
        </is>
      </c>
      <c r="H4878" t="inlineStr">
        <is>
          <t>A HORA CERTA RELOGIOS DE PONTO COMERCIO E SERVICOS LTDA</t>
        </is>
      </c>
      <c r="I4878" t="inlineStr">
        <is>
          <t>17.754.733/0001-14</t>
        </is>
      </c>
      <c r="J4878" s="29" t="n">
        <v>1890</v>
      </c>
      <c r="K4878" s="29">
        <f>(1-ISNUMBER(SEARCH("556",M4878)))*(O4878*SUMIFS(Premissas!$C$5:$C$44,Premissas!$A$5:$A$44,$A4878,Premissas!$B$5:$B$44,$B4878)+P4878*SUMIFS(Premissas!$D$5:$D$44,Premissas!$A$5:$A$44,$A4878,Premissas!$B$5:$B$44,$B4878))+R4878*SUMIFS(Premissas!$E$5:$E$44,Premissas!$A$5:$A$44,$A4878,Premissas!$B$5:$B$44,$B4878)+S4878*SUMIFS(Premissas!$F$5:$F$44,Premissas!$A$5:$A$44,$A4878,Premissas!$B$5:$B$44,$B4878)</f>
        <v/>
      </c>
      <c r="L4878" s="29">
        <f>J4878-K4878</f>
        <v/>
      </c>
      <c r="M4878" t="inlineStr">
        <is>
          <t>1.102</t>
        </is>
      </c>
      <c r="O4878" s="29" t="n">
        <v>0</v>
      </c>
      <c r="P4878" s="29" t="n">
        <v>0</v>
      </c>
      <c r="Q4878" s="29" t="n">
        <v>0</v>
      </c>
      <c r="R4878" s="29" t="n">
        <v>0</v>
      </c>
      <c r="S4878" s="29" t="n">
        <v>0</v>
      </c>
      <c r="T4878" t="inlineStr">
        <is>
          <t>25260317754733000114550010000096801377184461</t>
        </is>
      </c>
      <c r="U4878" t="inlineStr">
        <is>
          <t>Sim</t>
        </is>
      </c>
    </row>
    <row r="4879">
      <c r="A4879" t="inlineStr">
        <is>
          <t>Outras despesas pagas</t>
        </is>
      </c>
      <c r="B4879" t="inlineStr">
        <is>
          <t>Imobilizado</t>
        </is>
      </c>
      <c r="C4879" s="30" t="n">
        <v>46082</v>
      </c>
      <c r="D4879" t="inlineStr">
        <is>
          <t>Em 2026</t>
        </is>
      </c>
      <c r="E4879" s="28" t="n">
        <v>46104</v>
      </c>
      <c r="F4879" t="inlineStr">
        <is>
          <t>NF-e</t>
        </is>
      </c>
      <c r="G4879" t="inlineStr">
        <is>
          <t>000005961</t>
        </is>
      </c>
      <c r="H4879" t="inlineStr">
        <is>
          <t>ARG COMERCIO LTDA</t>
        </is>
      </c>
      <c r="I4879" t="inlineStr">
        <is>
          <t>61.306.848/0001-38</t>
        </is>
      </c>
      <c r="J4879" s="29" t="n">
        <v>2349.53</v>
      </c>
      <c r="K4879" s="29">
        <f>(1-ISNUMBER(SEARCH("556",M4879)))*(O4879*SUMIFS(Premissas!$C$5:$C$44,Premissas!$A$5:$A$44,$A4879,Premissas!$B$5:$B$44,$B4879)+P4879*SUMIFS(Premissas!$D$5:$D$44,Premissas!$A$5:$A$44,$A4879,Premissas!$B$5:$B$44,$B4879))+R4879*SUMIFS(Premissas!$E$5:$E$44,Premissas!$A$5:$A$44,$A4879,Premissas!$B$5:$B$44,$B4879)+S4879*SUMIFS(Premissas!$F$5:$F$44,Premissas!$A$5:$A$44,$A4879,Premissas!$B$5:$B$44,$B4879)</f>
        <v/>
      </c>
      <c r="L4879" s="29">
        <f>J4879-K4879</f>
        <v/>
      </c>
      <c r="M4879" t="inlineStr">
        <is>
          <t>2.551</t>
        </is>
      </c>
      <c r="O4879" s="29" t="n">
        <v>0</v>
      </c>
      <c r="P4879" s="29" t="n">
        <v>0</v>
      </c>
      <c r="Q4879" s="29" t="n">
        <v>0</v>
      </c>
      <c r="R4879" s="29" t="n">
        <v>0</v>
      </c>
      <c r="S4879" s="29" t="n">
        <v>0</v>
      </c>
      <c r="T4879" t="inlineStr">
        <is>
          <t>35260361306848000138550020000059611956049880</t>
        </is>
      </c>
      <c r="U4879" t="inlineStr">
        <is>
          <t>Sim</t>
        </is>
      </c>
    </row>
    <row r="4880">
      <c r="A4880" t="inlineStr">
        <is>
          <t>Outras despesas pagas</t>
        </is>
      </c>
      <c r="B4880" t="inlineStr">
        <is>
          <t>Imobilizado</t>
        </is>
      </c>
      <c r="C4880" s="30" t="n">
        <v>46082</v>
      </c>
      <c r="D4880" t="inlineStr">
        <is>
          <t>Em 2026</t>
        </is>
      </c>
      <c r="E4880" s="28" t="n">
        <v>46087</v>
      </c>
      <c r="F4880" t="inlineStr">
        <is>
          <t>NF-e</t>
        </is>
      </c>
      <c r="G4880" t="inlineStr">
        <is>
          <t>000092179</t>
        </is>
      </c>
      <c r="H4880" t="inlineStr">
        <is>
          <t>CONSTRUTIVA MATERIAIS ELETRICOS LTDA</t>
        </is>
      </c>
      <c r="I4880" t="inlineStr">
        <is>
          <t>06.267.222/0001-51</t>
        </is>
      </c>
      <c r="J4880" s="29" t="n">
        <v>797.3</v>
      </c>
      <c r="K4880" s="29">
        <f>(1-ISNUMBER(SEARCH("556",M4880)))*(O4880*SUMIFS(Premissas!$C$5:$C$44,Premissas!$A$5:$A$44,$A4880,Premissas!$B$5:$B$44,$B4880)+P4880*SUMIFS(Premissas!$D$5:$D$44,Premissas!$A$5:$A$44,$A4880,Premissas!$B$5:$B$44,$B4880))+R4880*SUMIFS(Premissas!$E$5:$E$44,Premissas!$A$5:$A$44,$A4880,Premissas!$B$5:$B$44,$B4880)+S4880*SUMIFS(Premissas!$F$5:$F$44,Premissas!$A$5:$A$44,$A4880,Premissas!$B$5:$B$44,$B4880)</f>
        <v/>
      </c>
      <c r="L4880" s="29">
        <f>J4880-K4880</f>
        <v/>
      </c>
      <c r="M4880" t="inlineStr">
        <is>
          <t>1.102</t>
        </is>
      </c>
      <c r="O4880" s="29" t="n">
        <v>0</v>
      </c>
      <c r="P4880" s="29" t="n">
        <v>159.46</v>
      </c>
      <c r="Q4880" s="29" t="n">
        <v>0</v>
      </c>
      <c r="R4880" s="29" t="n">
        <v>4.15</v>
      </c>
      <c r="S4880" s="29" t="n">
        <v>19.14</v>
      </c>
      <c r="T4880" t="inlineStr">
        <is>
          <t>25260306267222000151550010000921791478582890</t>
        </is>
      </c>
      <c r="U4880" t="inlineStr">
        <is>
          <t>Sim</t>
        </is>
      </c>
    </row>
    <row r="4881">
      <c r="A4881" t="inlineStr">
        <is>
          <t>Outras despesas pagas</t>
        </is>
      </c>
      <c r="B4881" t="inlineStr">
        <is>
          <t>Imobilizado</t>
        </is>
      </c>
      <c r="C4881" s="30" t="n">
        <v>46082</v>
      </c>
      <c r="D4881" t="inlineStr">
        <is>
          <t>Em 2026</t>
        </is>
      </c>
      <c r="E4881" s="28" t="n">
        <v>46104</v>
      </c>
      <c r="F4881" t="inlineStr">
        <is>
          <t>NF-e</t>
        </is>
      </c>
      <c r="G4881" t="inlineStr">
        <is>
          <t>110563890</t>
        </is>
      </c>
      <c r="H4881" t="inlineStr">
        <is>
          <t>Ebazar.com.br. ltda</t>
        </is>
      </c>
      <c r="I4881" t="inlineStr">
        <is>
          <t>03.007.331/0010-32</t>
        </is>
      </c>
      <c r="J4881" s="29" t="n">
        <v>533</v>
      </c>
      <c r="K4881" s="29">
        <f>(1-ISNUMBER(SEARCH("556",M4881)))*(O4881*SUMIFS(Premissas!$C$5:$C$44,Premissas!$A$5:$A$44,$A4881,Premissas!$B$5:$B$44,$B4881)+P4881*SUMIFS(Premissas!$D$5:$D$44,Premissas!$A$5:$A$44,$A4881,Premissas!$B$5:$B$44,$B4881))+R4881*SUMIFS(Premissas!$E$5:$E$44,Premissas!$A$5:$A$44,$A4881,Premissas!$B$5:$B$44,$B4881)+S4881*SUMIFS(Premissas!$F$5:$F$44,Premissas!$A$5:$A$44,$A4881,Premissas!$B$5:$B$44,$B4881)</f>
        <v/>
      </c>
      <c r="L4881" s="29">
        <f>J4881-K4881</f>
        <v/>
      </c>
      <c r="M4881" t="inlineStr">
        <is>
          <t>2.551</t>
        </is>
      </c>
      <c r="O4881" s="29" t="n">
        <v>0</v>
      </c>
      <c r="P4881" s="29" t="n">
        <v>37.31</v>
      </c>
      <c r="Q4881" s="29" t="n">
        <v>0</v>
      </c>
      <c r="R4881" s="29" t="n">
        <v>8.18</v>
      </c>
      <c r="S4881" s="29" t="n">
        <v>37.67</v>
      </c>
      <c r="T4881" t="inlineStr">
        <is>
          <t>31260303007331001032550011105638901028584955</t>
        </is>
      </c>
      <c r="U4881" t="inlineStr">
        <is>
          <t>Sim</t>
        </is>
      </c>
    </row>
    <row r="4882">
      <c r="A4882" t="inlineStr">
        <is>
          <t>Outras despesas pagas</t>
        </is>
      </c>
      <c r="B4882" t="inlineStr">
        <is>
          <t>Imobilizado</t>
        </is>
      </c>
      <c r="C4882" s="30" t="n">
        <v>46082</v>
      </c>
      <c r="D4882" t="inlineStr">
        <is>
          <t>Em 2026</t>
        </is>
      </c>
      <c r="E4882" s="28" t="n">
        <v>46104</v>
      </c>
      <c r="F4882" t="inlineStr">
        <is>
          <t>NF-e</t>
        </is>
      </c>
      <c r="G4882" t="inlineStr">
        <is>
          <t>110564473</t>
        </is>
      </c>
      <c r="H4882" t="inlineStr">
        <is>
          <t>Ebazar.com.br. ltda</t>
        </is>
      </c>
      <c r="I4882" t="inlineStr">
        <is>
          <t>03.007.331/0010-32</t>
        </is>
      </c>
      <c r="J4882" s="29" t="n">
        <v>533</v>
      </c>
      <c r="K4882" s="29">
        <f>(1-ISNUMBER(SEARCH("556",M4882)))*(O4882*SUMIFS(Premissas!$C$5:$C$44,Premissas!$A$5:$A$44,$A4882,Premissas!$B$5:$B$44,$B4882)+P4882*SUMIFS(Premissas!$D$5:$D$44,Premissas!$A$5:$A$44,$A4882,Premissas!$B$5:$B$44,$B4882))+R4882*SUMIFS(Premissas!$E$5:$E$44,Premissas!$A$5:$A$44,$A4882,Premissas!$B$5:$B$44,$B4882)+S4882*SUMIFS(Premissas!$F$5:$F$44,Premissas!$A$5:$A$44,$A4882,Premissas!$B$5:$B$44,$B4882)</f>
        <v/>
      </c>
      <c r="L4882" s="29">
        <f>J4882-K4882</f>
        <v/>
      </c>
      <c r="M4882" t="inlineStr">
        <is>
          <t>2.551</t>
        </is>
      </c>
      <c r="O4882" s="29" t="n">
        <v>0</v>
      </c>
      <c r="P4882" s="29" t="n">
        <v>37.31</v>
      </c>
      <c r="Q4882" s="29" t="n">
        <v>0</v>
      </c>
      <c r="R4882" s="29" t="n">
        <v>8.18</v>
      </c>
      <c r="S4882" s="29" t="n">
        <v>37.67</v>
      </c>
      <c r="T4882" t="inlineStr">
        <is>
          <t>31260303007331001032550011105644731068280304</t>
        </is>
      </c>
      <c r="U4882" t="inlineStr">
        <is>
          <t>Sim</t>
        </is>
      </c>
    </row>
    <row r="4883">
      <c r="A4883" t="inlineStr">
        <is>
          <t>Outras despesas pagas</t>
        </is>
      </c>
      <c r="B4883" t="inlineStr">
        <is>
          <t>Imobilizado</t>
        </is>
      </c>
      <c r="C4883" s="30" t="n">
        <v>46082</v>
      </c>
      <c r="D4883" t="inlineStr">
        <is>
          <t>Em 2026</t>
        </is>
      </c>
      <c r="E4883" s="28" t="n">
        <v>46104</v>
      </c>
      <c r="F4883" t="inlineStr">
        <is>
          <t>NF-e</t>
        </is>
      </c>
      <c r="G4883" t="inlineStr">
        <is>
          <t>000006077</t>
        </is>
      </c>
      <c r="H4883" t="inlineStr">
        <is>
          <t>IZTRAN COMERCIO DE ELETRONICOS LTDA</t>
        </is>
      </c>
      <c r="I4883" t="inlineStr">
        <is>
          <t>60.741.447/0001-43</t>
        </is>
      </c>
      <c r="J4883" s="29" t="n">
        <v>1799</v>
      </c>
      <c r="K4883" s="29">
        <f>(1-ISNUMBER(SEARCH("556",M4883)))*(O4883*SUMIFS(Premissas!$C$5:$C$44,Premissas!$A$5:$A$44,$A4883,Premissas!$B$5:$B$44,$B4883)+P4883*SUMIFS(Premissas!$D$5:$D$44,Premissas!$A$5:$A$44,$A4883,Premissas!$B$5:$B$44,$B4883))+R4883*SUMIFS(Premissas!$E$5:$E$44,Premissas!$A$5:$A$44,$A4883,Premissas!$B$5:$B$44,$B4883)+S4883*SUMIFS(Premissas!$F$5:$F$44,Premissas!$A$5:$A$44,$A4883,Premissas!$B$5:$B$44,$B4883)</f>
        <v/>
      </c>
      <c r="L4883" s="29">
        <f>J4883-K4883</f>
        <v/>
      </c>
      <c r="M4883" t="inlineStr">
        <is>
          <t>2.551</t>
        </is>
      </c>
      <c r="O4883" s="29" t="n">
        <v>0</v>
      </c>
      <c r="P4883" s="29" t="n">
        <v>0</v>
      </c>
      <c r="Q4883" s="29" t="n">
        <v>0</v>
      </c>
      <c r="R4883" s="29" t="n">
        <v>0</v>
      </c>
      <c r="S4883" s="29" t="n">
        <v>0</v>
      </c>
      <c r="T4883" t="inlineStr">
        <is>
          <t>35260360741447000143550020000060771718875025</t>
        </is>
      </c>
      <c r="U4883" t="inlineStr">
        <is>
          <t>Sim</t>
        </is>
      </c>
    </row>
    <row r="4884">
      <c r="A4884" t="inlineStr">
        <is>
          <t>Outras despesas pagas</t>
        </is>
      </c>
      <c r="B4884" t="inlineStr">
        <is>
          <t>Imobilizado</t>
        </is>
      </c>
      <c r="C4884" s="30" t="n">
        <v>46082</v>
      </c>
      <c r="D4884" t="inlineStr">
        <is>
          <t>Em 2026</t>
        </is>
      </c>
      <c r="E4884" s="28" t="n">
        <v>46104</v>
      </c>
      <c r="F4884" t="inlineStr">
        <is>
          <t>NF-e</t>
        </is>
      </c>
      <c r="G4884" t="inlineStr">
        <is>
          <t>000011088</t>
        </is>
      </c>
      <c r="H4884" t="inlineStr">
        <is>
          <t>M. B. DE ANDRADE LTDA</t>
        </is>
      </c>
      <c r="I4884" t="inlineStr">
        <is>
          <t>40.783.481/0001-73</t>
        </is>
      </c>
      <c r="J4884" s="29" t="n">
        <v>415.92</v>
      </c>
      <c r="K4884" s="29">
        <f>(1-ISNUMBER(SEARCH("556",M4884)))*(O4884*SUMIFS(Premissas!$C$5:$C$44,Premissas!$A$5:$A$44,$A4884,Premissas!$B$5:$B$44,$B4884)+P4884*SUMIFS(Premissas!$D$5:$D$44,Premissas!$A$5:$A$44,$A4884,Premissas!$B$5:$B$44,$B4884))+R4884*SUMIFS(Premissas!$E$5:$E$44,Premissas!$A$5:$A$44,$A4884,Premissas!$B$5:$B$44,$B4884)+S4884*SUMIFS(Premissas!$F$5:$F$44,Premissas!$A$5:$A$44,$A4884,Premissas!$B$5:$B$44,$B4884)</f>
        <v/>
      </c>
      <c r="L4884" s="29">
        <f>J4884-K4884</f>
        <v/>
      </c>
      <c r="M4884" t="inlineStr">
        <is>
          <t>2.556</t>
        </is>
      </c>
      <c r="O4884" s="29" t="n">
        <v>0</v>
      </c>
      <c r="P4884" s="29" t="n">
        <v>0</v>
      </c>
      <c r="Q4884" s="29" t="n">
        <v>0</v>
      </c>
      <c r="R4884" s="29" t="n">
        <v>0</v>
      </c>
      <c r="S4884" s="29" t="n">
        <v>0</v>
      </c>
      <c r="T4884" t="inlineStr">
        <is>
          <t>35260340783481000173550040000110881253892478</t>
        </is>
      </c>
      <c r="U4884" t="inlineStr">
        <is>
          <t>Sim</t>
        </is>
      </c>
    </row>
    <row r="4885">
      <c r="A4885" t="inlineStr">
        <is>
          <t>Outras despesas pagas</t>
        </is>
      </c>
      <c r="B4885" t="inlineStr">
        <is>
          <t>Imobilizado</t>
        </is>
      </c>
      <c r="C4885" s="30" t="n">
        <v>46082</v>
      </c>
      <c r="D4885" t="inlineStr">
        <is>
          <t>Em 2026</t>
        </is>
      </c>
      <c r="E4885" s="28" t="n">
        <v>46099</v>
      </c>
      <c r="F4885" t="inlineStr">
        <is>
          <t>NF-e</t>
        </is>
      </c>
      <c r="G4885" t="inlineStr">
        <is>
          <t>000002550</t>
        </is>
      </c>
      <c r="H4885" t="inlineStr">
        <is>
          <t>MFB MOVEIS PLANEJADOS LTDA</t>
        </is>
      </c>
      <c r="I4885" t="inlineStr">
        <is>
          <t>54.825.184/0001-58</t>
        </is>
      </c>
      <c r="J4885" s="29" t="n">
        <v>2742</v>
      </c>
      <c r="K4885" s="29">
        <f>(1-ISNUMBER(SEARCH("556",M4885)))*(O4885*SUMIFS(Premissas!$C$5:$C$44,Premissas!$A$5:$A$44,$A4885,Premissas!$B$5:$B$44,$B4885)+P4885*SUMIFS(Premissas!$D$5:$D$44,Premissas!$A$5:$A$44,$A4885,Premissas!$B$5:$B$44,$B4885))+R4885*SUMIFS(Premissas!$E$5:$E$44,Premissas!$A$5:$A$44,$A4885,Premissas!$B$5:$B$44,$B4885)+S4885*SUMIFS(Premissas!$F$5:$F$44,Premissas!$A$5:$A$44,$A4885,Premissas!$B$5:$B$44,$B4885)</f>
        <v/>
      </c>
      <c r="L4885" s="29">
        <f>J4885-K4885</f>
        <v/>
      </c>
      <c r="M4885" t="inlineStr">
        <is>
          <t>1.102</t>
        </is>
      </c>
      <c r="O4885" s="29" t="n">
        <v>0</v>
      </c>
      <c r="P4885" s="29" t="n">
        <v>0</v>
      </c>
      <c r="Q4885" s="29" t="n">
        <v>0</v>
      </c>
      <c r="R4885" s="29" t="n">
        <v>0</v>
      </c>
      <c r="S4885" s="29" t="n">
        <v>0</v>
      </c>
      <c r="T4885" t="inlineStr">
        <is>
          <t>25260354825184000158550070000025501667434170</t>
        </is>
      </c>
      <c r="U4885" t="inlineStr">
        <is>
          <t>Sim</t>
        </is>
      </c>
    </row>
    <row r="4886">
      <c r="A4886" t="inlineStr">
        <is>
          <t>Outras despesas pagas</t>
        </is>
      </c>
      <c r="B4886" t="inlineStr">
        <is>
          <t>Imobilizado</t>
        </is>
      </c>
      <c r="C4886" s="30" t="n">
        <v>46082</v>
      </c>
      <c r="D4886" t="inlineStr">
        <is>
          <t>Em 2026</t>
        </is>
      </c>
      <c r="E4886" s="28" t="n">
        <v>46087</v>
      </c>
      <c r="F4886" t="inlineStr">
        <is>
          <t>NF-e</t>
        </is>
      </c>
      <c r="G4886" t="inlineStr">
        <is>
          <t>000044578</t>
        </is>
      </c>
      <c r="H4886" t="inlineStr">
        <is>
          <t>MIRANDA COMPUTACAO E COMERCIO LTDA</t>
        </is>
      </c>
      <c r="I4886" t="inlineStr">
        <is>
          <t>11.982.113/0011-28</t>
        </is>
      </c>
      <c r="J4886" s="29" t="n">
        <v>3598</v>
      </c>
      <c r="K4886" s="29">
        <f>(1-ISNUMBER(SEARCH("556",M4886)))*(O4886*SUMIFS(Premissas!$C$5:$C$44,Premissas!$A$5:$A$44,$A4886,Premissas!$B$5:$B$44,$B4886)+P4886*SUMIFS(Premissas!$D$5:$D$44,Premissas!$A$5:$A$44,$A4886,Premissas!$B$5:$B$44,$B4886))+R4886*SUMIFS(Premissas!$E$5:$E$44,Premissas!$A$5:$A$44,$A4886,Premissas!$B$5:$B$44,$B4886)+S4886*SUMIFS(Premissas!$F$5:$F$44,Premissas!$A$5:$A$44,$A4886,Premissas!$B$5:$B$44,$B4886)</f>
        <v/>
      </c>
      <c r="L4886" s="29">
        <f>J4886-K4886</f>
        <v/>
      </c>
      <c r="M4886" t="inlineStr">
        <is>
          <t>1.556</t>
        </is>
      </c>
      <c r="O4886" s="29" t="n">
        <v>0</v>
      </c>
      <c r="P4886" s="29" t="n">
        <v>251.86</v>
      </c>
      <c r="Q4886" s="29" t="n">
        <v>0</v>
      </c>
      <c r="R4886" s="29" t="n">
        <v>0</v>
      </c>
      <c r="S4886" s="29" t="n">
        <v>0</v>
      </c>
      <c r="T4886" t="inlineStr">
        <is>
          <t>25260311982113001128550010000445781713459571</t>
        </is>
      </c>
      <c r="U4886" t="inlineStr">
        <is>
          <t>Sim</t>
        </is>
      </c>
    </row>
    <row r="4887">
      <c r="A4887" t="inlineStr">
        <is>
          <t>Outras despesas pagas</t>
        </is>
      </c>
      <c r="B4887" t="inlineStr">
        <is>
          <t>Imobilizado</t>
        </is>
      </c>
      <c r="C4887" s="30" t="n">
        <v>46082</v>
      </c>
      <c r="D4887" t="inlineStr">
        <is>
          <t>Em 2026</t>
        </is>
      </c>
      <c r="E4887" s="28" t="n">
        <v>46100</v>
      </c>
      <c r="F4887" t="inlineStr">
        <is>
          <t>NF-e</t>
        </is>
      </c>
      <c r="G4887" t="inlineStr">
        <is>
          <t>000011851</t>
        </is>
      </c>
      <c r="H4887" t="inlineStr">
        <is>
          <t>TECNOTURBO FABRICACAO E COMERCIO DE VENTILADORES LTDA</t>
        </is>
      </c>
      <c r="I4887" t="inlineStr">
        <is>
          <t>51.321.633/0001-32</t>
        </is>
      </c>
      <c r="J4887" s="29" t="n">
        <v>1800</v>
      </c>
      <c r="K4887" s="29">
        <f>(1-ISNUMBER(SEARCH("556",M4887)))*(O4887*SUMIFS(Premissas!$C$5:$C$44,Premissas!$A$5:$A$44,$A4887,Premissas!$B$5:$B$44,$B4887)+P4887*SUMIFS(Premissas!$D$5:$D$44,Premissas!$A$5:$A$44,$A4887,Premissas!$B$5:$B$44,$B4887))+R4887*SUMIFS(Premissas!$E$5:$E$44,Premissas!$A$5:$A$44,$A4887,Premissas!$B$5:$B$44,$B4887)+S4887*SUMIFS(Premissas!$F$5:$F$44,Premissas!$A$5:$A$44,$A4887,Premissas!$B$5:$B$44,$B4887)</f>
        <v/>
      </c>
      <c r="L4887" s="29">
        <f>J4887-K4887</f>
        <v/>
      </c>
      <c r="M4887" t="inlineStr">
        <is>
          <t>1.102</t>
        </is>
      </c>
      <c r="O4887" s="29" t="n">
        <v>0</v>
      </c>
      <c r="P4887" s="29" t="n">
        <v>0</v>
      </c>
      <c r="Q4887" s="29" t="n">
        <v>0</v>
      </c>
      <c r="R4887" s="29" t="n">
        <v>0</v>
      </c>
      <c r="S4887" s="29" t="n">
        <v>0</v>
      </c>
      <c r="T4887" t="inlineStr">
        <is>
          <t>25260351321633000132550010000118511253558441</t>
        </is>
      </c>
      <c r="U4887" t="inlineStr">
        <is>
          <t>Sim</t>
        </is>
      </c>
    </row>
    <row r="4888">
      <c r="A4888" t="inlineStr">
        <is>
          <t>Outras despesas pagas</t>
        </is>
      </c>
      <c r="B4888" t="inlineStr">
        <is>
          <t>Imobilizado</t>
        </is>
      </c>
      <c r="C4888" s="30" t="n">
        <v>46082</v>
      </c>
      <c r="D4888" t="inlineStr">
        <is>
          <t>Em 2026</t>
        </is>
      </c>
      <c r="E4888" s="28" t="n">
        <v>46101</v>
      </c>
      <c r="F4888" t="inlineStr">
        <is>
          <t>NF-e</t>
        </is>
      </c>
      <c r="G4888" t="inlineStr">
        <is>
          <t>000003953</t>
        </is>
      </c>
      <c r="H4888" t="inlineStr">
        <is>
          <t>THIAGO GABRIEL MOVEIS LTDA</t>
        </is>
      </c>
      <c r="I4888" t="inlineStr">
        <is>
          <t>47.698.480/0001-70</t>
        </is>
      </c>
      <c r="J4888" s="29" t="n">
        <v>730</v>
      </c>
      <c r="K4888" s="29">
        <f>(1-ISNUMBER(SEARCH("556",M4888)))*(O4888*SUMIFS(Premissas!$C$5:$C$44,Premissas!$A$5:$A$44,$A4888,Premissas!$B$5:$B$44,$B4888)+P4888*SUMIFS(Premissas!$D$5:$D$44,Premissas!$A$5:$A$44,$A4888,Premissas!$B$5:$B$44,$B4888))+R4888*SUMIFS(Premissas!$E$5:$E$44,Premissas!$A$5:$A$44,$A4888,Premissas!$B$5:$B$44,$B4888)+S4888*SUMIFS(Premissas!$F$5:$F$44,Premissas!$A$5:$A$44,$A4888,Premissas!$B$5:$B$44,$B4888)</f>
        <v/>
      </c>
      <c r="L4888" s="29">
        <f>J4888-K4888</f>
        <v/>
      </c>
      <c r="M4888" t="inlineStr">
        <is>
          <t>1.556</t>
        </is>
      </c>
      <c r="O4888" s="29" t="n">
        <v>0</v>
      </c>
      <c r="P4888" s="29" t="n">
        <v>0</v>
      </c>
      <c r="Q4888" s="29" t="n">
        <v>0</v>
      </c>
      <c r="R4888" s="29" t="n">
        <v>0</v>
      </c>
      <c r="S4888" s="29" t="n">
        <v>0</v>
      </c>
      <c r="T4888" t="inlineStr">
        <is>
          <t>25260347698480000170550010000039531782026035</t>
        </is>
      </c>
      <c r="U4888" t="inlineStr">
        <is>
          <t>Sim</t>
        </is>
      </c>
    </row>
    <row r="4889">
      <c r="A4889" t="inlineStr">
        <is>
          <t>Outras despesas pagas</t>
        </is>
      </c>
      <c r="B4889" t="inlineStr">
        <is>
          <t>Imobilizado</t>
        </is>
      </c>
      <c r="C4889" s="30" t="n">
        <v>46082</v>
      </c>
      <c r="D4889" t="inlineStr">
        <is>
          <t>Em 2026</t>
        </is>
      </c>
      <c r="E4889" s="28" t="n">
        <v>46104</v>
      </c>
      <c r="F4889" t="inlineStr">
        <is>
          <t>NF-e</t>
        </is>
      </c>
      <c r="G4889" t="inlineStr">
        <is>
          <t>000028289</t>
        </is>
      </c>
      <c r="H4889" t="inlineStr">
        <is>
          <t>VENDARALHO COMERCIO E SOLUCOES LTDA</t>
        </is>
      </c>
      <c r="I4889" t="inlineStr">
        <is>
          <t>60.210.161/0001-31</t>
        </is>
      </c>
      <c r="J4889" s="29" t="n">
        <v>6890</v>
      </c>
      <c r="K4889" s="29">
        <f>(1-ISNUMBER(SEARCH("556",M4889)))*(O4889*SUMIFS(Premissas!$C$5:$C$44,Premissas!$A$5:$A$44,$A4889,Premissas!$B$5:$B$44,$B4889)+P4889*SUMIFS(Premissas!$D$5:$D$44,Premissas!$A$5:$A$44,$A4889,Premissas!$B$5:$B$44,$B4889))+R4889*SUMIFS(Premissas!$E$5:$E$44,Premissas!$A$5:$A$44,$A4889,Premissas!$B$5:$B$44,$B4889)+S4889*SUMIFS(Premissas!$F$5:$F$44,Premissas!$A$5:$A$44,$A4889,Premissas!$B$5:$B$44,$B4889)</f>
        <v/>
      </c>
      <c r="L4889" s="29">
        <f>J4889-K4889</f>
        <v/>
      </c>
      <c r="M4889" t="inlineStr">
        <is>
          <t>2.551</t>
        </is>
      </c>
      <c r="O4889" s="29" t="n">
        <v>0</v>
      </c>
      <c r="P4889" s="29" t="n">
        <v>0</v>
      </c>
      <c r="Q4889" s="29" t="n">
        <v>0</v>
      </c>
      <c r="R4889" s="29" t="n">
        <v>0</v>
      </c>
      <c r="S4889" s="29" t="n">
        <v>0</v>
      </c>
      <c r="T4889" t="inlineStr">
        <is>
          <t>35260360210161000131550070000282891253829757</t>
        </is>
      </c>
      <c r="U4889" t="inlineStr">
        <is>
          <t>Sim</t>
        </is>
      </c>
    </row>
    <row r="4890">
      <c r="A4890" t="inlineStr">
        <is>
          <t>Outras despesas pagas</t>
        </is>
      </c>
      <c r="B4890" t="inlineStr">
        <is>
          <t>Imobilizado</t>
        </is>
      </c>
      <c r="C4890" s="30" t="n">
        <v>46113</v>
      </c>
      <c r="D4890" t="inlineStr">
        <is>
          <t>Em 2026</t>
        </is>
      </c>
      <c r="E4890" s="28" t="n">
        <v>46136</v>
      </c>
      <c r="F4890" t="inlineStr">
        <is>
          <t>NF-e</t>
        </is>
      </c>
      <c r="G4890" t="inlineStr">
        <is>
          <t>004295109</t>
        </is>
      </c>
      <c r="H4890" t="inlineStr">
        <is>
          <t>2ELETRO COMERCIO E DISTRIBUICAO DE PROD DE INFORMATICA</t>
        </is>
      </c>
      <c r="I4890" t="inlineStr">
        <is>
          <t>34.036.601/0005-08</t>
        </is>
      </c>
      <c r="J4890" s="29" t="n">
        <v>6569.9</v>
      </c>
      <c r="K4890" s="29">
        <f>(1-ISNUMBER(SEARCH("556",M4890)))*(O4890*SUMIFS(Premissas!$C$5:$C$44,Premissas!$A$5:$A$44,$A4890,Premissas!$B$5:$B$44,$B4890)+P4890*SUMIFS(Premissas!$D$5:$D$44,Premissas!$A$5:$A$44,$A4890,Premissas!$B$5:$B$44,$B4890))+R4890*SUMIFS(Premissas!$E$5:$E$44,Premissas!$A$5:$A$44,$A4890,Premissas!$B$5:$B$44,$B4890)+S4890*SUMIFS(Premissas!$F$5:$F$44,Premissas!$A$5:$A$44,$A4890,Premissas!$B$5:$B$44,$B4890)</f>
        <v/>
      </c>
      <c r="L4890" s="29">
        <f>J4890-K4890</f>
        <v/>
      </c>
      <c r="M4890" t="inlineStr">
        <is>
          <t>2.556</t>
        </is>
      </c>
      <c r="O4890" s="29" t="n">
        <v>0</v>
      </c>
      <c r="P4890" s="29" t="n">
        <v>459.89</v>
      </c>
      <c r="Q4890" s="29" t="n">
        <v>0</v>
      </c>
      <c r="R4890" s="29" t="n">
        <v>100.82</v>
      </c>
      <c r="S4890" s="29" t="n">
        <v>464.36</v>
      </c>
      <c r="T4890" t="inlineStr">
        <is>
          <t>31260434036601000508550070042951091363249978</t>
        </is>
      </c>
      <c r="U4890" t="inlineStr">
        <is>
          <t>Sim</t>
        </is>
      </c>
    </row>
    <row r="4891">
      <c r="A4891" t="inlineStr">
        <is>
          <t>Outras despesas pagas</t>
        </is>
      </c>
      <c r="B4891" t="inlineStr">
        <is>
          <t>Imobilizado</t>
        </is>
      </c>
      <c r="C4891" s="30" t="n">
        <v>46113</v>
      </c>
      <c r="D4891" t="inlineStr">
        <is>
          <t>Em 2026</t>
        </is>
      </c>
      <c r="E4891" s="28" t="n">
        <v>46120</v>
      </c>
      <c r="F4891" t="inlineStr">
        <is>
          <t>NF-e</t>
        </is>
      </c>
      <c r="G4891" t="inlineStr">
        <is>
          <t>000016398</t>
        </is>
      </c>
      <c r="H4891" t="inlineStr">
        <is>
          <t>BR EMBALAGENS INDUSTRIA E COMERCIO LTDA</t>
        </is>
      </c>
      <c r="I4891" t="inlineStr">
        <is>
          <t>28.150.494/0001-00</t>
        </is>
      </c>
      <c r="J4891" s="29" t="n">
        <v>9349.200000000001</v>
      </c>
      <c r="K4891" s="29">
        <f>(1-ISNUMBER(SEARCH("556",M4891)))*(O4891*SUMIFS(Premissas!$C$5:$C$44,Premissas!$A$5:$A$44,$A4891,Premissas!$B$5:$B$44,$B4891)+P4891*SUMIFS(Premissas!$D$5:$D$44,Premissas!$A$5:$A$44,$A4891,Premissas!$B$5:$B$44,$B4891))+R4891*SUMIFS(Premissas!$E$5:$E$44,Premissas!$A$5:$A$44,$A4891,Premissas!$B$5:$B$44,$B4891)+S4891*SUMIFS(Premissas!$F$5:$F$44,Premissas!$A$5:$A$44,$A4891,Premissas!$B$5:$B$44,$B4891)</f>
        <v/>
      </c>
      <c r="L4891" s="29">
        <f>J4891-K4891</f>
        <v/>
      </c>
      <c r="M4891" t="inlineStr">
        <is>
          <t>2.102</t>
        </is>
      </c>
      <c r="N4891" t="inlineStr">
        <is>
          <t>Valor rateado entre categorias, como no Omie | Impostos rateados proporcionalmente ao valor da categoria (documento com mais de uma categoria)</t>
        </is>
      </c>
      <c r="O4891" s="29" t="n">
        <v>0</v>
      </c>
      <c r="P4891" s="29" t="n">
        <v>1121.9</v>
      </c>
      <c r="Q4891" s="29" t="n">
        <v>0</v>
      </c>
      <c r="R4891" s="29" t="n">
        <v>0</v>
      </c>
      <c r="S4891" s="29" t="n">
        <v>0</v>
      </c>
      <c r="T4891" t="inlineStr">
        <is>
          <t>26260428150494000100550010000163981000175885</t>
        </is>
      </c>
      <c r="U4891" t="inlineStr">
        <is>
          <t>Sim</t>
        </is>
      </c>
    </row>
    <row r="4892">
      <c r="A4892" t="inlineStr">
        <is>
          <t>Outras despesas pagas</t>
        </is>
      </c>
      <c r="B4892" t="inlineStr">
        <is>
          <t>Imobilizado</t>
        </is>
      </c>
      <c r="C4892" s="30" t="n">
        <v>46113</v>
      </c>
      <c r="D4892" t="inlineStr">
        <is>
          <t>Em 2026</t>
        </is>
      </c>
      <c r="E4892" s="28" t="n">
        <v>46122</v>
      </c>
      <c r="F4892" t="inlineStr">
        <is>
          <t>NF-e</t>
        </is>
      </c>
      <c r="G4892" t="inlineStr">
        <is>
          <t>000092837</t>
        </is>
      </c>
      <c r="H4892" t="inlineStr">
        <is>
          <t>CONSTRUTIVA MATERIAIS ELETRICOS LTDA</t>
        </is>
      </c>
      <c r="I4892" t="inlineStr">
        <is>
          <t>06.267.222/0001-51</t>
        </is>
      </c>
      <c r="J4892" s="29" t="n">
        <v>4174.91</v>
      </c>
      <c r="K4892" s="29">
        <f>(1-ISNUMBER(SEARCH("556",M4892)))*(O4892*SUMIFS(Premissas!$C$5:$C$44,Premissas!$A$5:$A$44,$A4892,Premissas!$B$5:$B$44,$B4892)+P4892*SUMIFS(Premissas!$D$5:$D$44,Premissas!$A$5:$A$44,$A4892,Premissas!$B$5:$B$44,$B4892))+R4892*SUMIFS(Premissas!$E$5:$E$44,Premissas!$A$5:$A$44,$A4892,Premissas!$B$5:$B$44,$B4892)+S4892*SUMIFS(Premissas!$F$5:$F$44,Premissas!$A$5:$A$44,$A4892,Premissas!$B$5:$B$44,$B4892)</f>
        <v/>
      </c>
      <c r="L4892" s="29">
        <f>J4892-K4892</f>
        <v/>
      </c>
      <c r="M4892" t="inlineStr">
        <is>
          <t>1.102, 1.556</t>
        </is>
      </c>
      <c r="N4892" t="inlineStr">
        <is>
          <t>Valor rateado entre categorias, como no Omie | Impostos rateados proporcionalmente ao valor da categoria (documento com mais de uma categoria)</t>
        </is>
      </c>
      <c r="O4892" s="29" t="n">
        <v>0</v>
      </c>
      <c r="P4892" s="29" t="n">
        <v>8.039999999999999</v>
      </c>
      <c r="Q4892" s="29" t="n">
        <v>0</v>
      </c>
      <c r="R4892" s="29" t="n">
        <v>27.08</v>
      </c>
      <c r="S4892" s="29" t="n">
        <v>125.03</v>
      </c>
      <c r="T4892" t="inlineStr">
        <is>
          <t>25260406267222000151550010000928371749418830</t>
        </is>
      </c>
      <c r="U4892" t="inlineStr">
        <is>
          <t>Sim</t>
        </is>
      </c>
    </row>
    <row r="4893">
      <c r="A4893" t="inlineStr">
        <is>
          <t>Outras despesas pagas</t>
        </is>
      </c>
      <c r="B4893" t="inlineStr">
        <is>
          <t>Imobilizado</t>
        </is>
      </c>
      <c r="C4893" s="30" t="n">
        <v>46113</v>
      </c>
      <c r="D4893" t="inlineStr">
        <is>
          <t>Em 2026</t>
        </is>
      </c>
      <c r="E4893" s="28" t="n">
        <v>46127</v>
      </c>
      <c r="F4893" t="inlineStr">
        <is>
          <t>NF-e</t>
        </is>
      </c>
      <c r="G4893" t="inlineStr">
        <is>
          <t>000092944</t>
        </is>
      </c>
      <c r="H4893" t="inlineStr">
        <is>
          <t>CONSTRUTIVA MATERIAIS ELETRICOS LTDA</t>
        </is>
      </c>
      <c r="I4893" t="inlineStr">
        <is>
          <t>06.267.222/0001-51</t>
        </is>
      </c>
      <c r="J4893" s="29" t="n">
        <v>798.74</v>
      </c>
      <c r="K4893" s="29">
        <f>(1-ISNUMBER(SEARCH("556",M4893)))*(O4893*SUMIFS(Premissas!$C$5:$C$44,Premissas!$A$5:$A$44,$A4893,Premissas!$B$5:$B$44,$B4893)+P4893*SUMIFS(Premissas!$D$5:$D$44,Premissas!$A$5:$A$44,$A4893,Premissas!$B$5:$B$44,$B4893))+R4893*SUMIFS(Premissas!$E$5:$E$44,Premissas!$A$5:$A$44,$A4893,Premissas!$B$5:$B$44,$B4893)+S4893*SUMIFS(Premissas!$F$5:$F$44,Premissas!$A$5:$A$44,$A4893,Premissas!$B$5:$B$44,$B4893)</f>
        <v/>
      </c>
      <c r="L4893" s="29">
        <f>J4893-K4893</f>
        <v/>
      </c>
      <c r="M4893" t="inlineStr">
        <is>
          <t>1.556</t>
        </is>
      </c>
      <c r="O4893" s="29" t="n">
        <v>0</v>
      </c>
      <c r="P4893" s="29" t="n">
        <v>0</v>
      </c>
      <c r="Q4893" s="29" t="n">
        <v>0</v>
      </c>
      <c r="R4893" s="29" t="n">
        <v>5.19</v>
      </c>
      <c r="S4893" s="29" t="n">
        <v>23.95</v>
      </c>
      <c r="T4893" t="inlineStr">
        <is>
          <t>25260406267222000151550010000929441084354092</t>
        </is>
      </c>
      <c r="U4893" t="inlineStr">
        <is>
          <t>Sim</t>
        </is>
      </c>
    </row>
    <row r="4894">
      <c r="A4894" t="inlineStr">
        <is>
          <t>Outras despesas pagas</t>
        </is>
      </c>
      <c r="B4894" t="inlineStr">
        <is>
          <t>Imobilizado</t>
        </is>
      </c>
      <c r="C4894" s="30" t="n">
        <v>46113</v>
      </c>
      <c r="D4894" t="inlineStr">
        <is>
          <t>Em 2026</t>
        </is>
      </c>
      <c r="E4894" s="28" t="n">
        <v>46118</v>
      </c>
      <c r="F4894" t="inlineStr">
        <is>
          <t>NF-e</t>
        </is>
      </c>
      <c r="G4894" t="inlineStr">
        <is>
          <t>000051503</t>
        </is>
      </c>
      <c r="H4894" t="inlineStr">
        <is>
          <t>ELETROPOLO ELETRICIDADE LTDA</t>
        </is>
      </c>
      <c r="I4894" t="inlineStr">
        <is>
          <t>02.375.199/0005-91</t>
        </is>
      </c>
      <c r="J4894" s="29" t="n">
        <v>626.8</v>
      </c>
      <c r="K4894" s="29">
        <f>(1-ISNUMBER(SEARCH("556",M4894)))*(O4894*SUMIFS(Premissas!$C$5:$C$44,Premissas!$A$5:$A$44,$A4894,Premissas!$B$5:$B$44,$B4894)+P4894*SUMIFS(Premissas!$D$5:$D$44,Premissas!$A$5:$A$44,$A4894,Premissas!$B$5:$B$44,$B4894))+R4894*SUMIFS(Premissas!$E$5:$E$44,Premissas!$A$5:$A$44,$A4894,Premissas!$B$5:$B$44,$B4894)+S4894*SUMIFS(Premissas!$F$5:$F$44,Premissas!$A$5:$A$44,$A4894,Premissas!$B$5:$B$44,$B4894)</f>
        <v/>
      </c>
      <c r="L4894" s="29">
        <f>J4894-K4894</f>
        <v/>
      </c>
      <c r="M4894" t="inlineStr">
        <is>
          <t>1.102, 1.556</t>
        </is>
      </c>
      <c r="N4894" t="inlineStr">
        <is>
          <t>Valor rateado entre categorias, como no Omie | Impostos rateados proporcionalmente ao valor da categoria (documento com mais de uma categoria)</t>
        </is>
      </c>
      <c r="O4894" s="29" t="n">
        <v>0</v>
      </c>
      <c r="P4894" s="29" t="n">
        <v>39.73</v>
      </c>
      <c r="Q4894" s="29" t="n">
        <v>0</v>
      </c>
      <c r="R4894" s="29" t="n">
        <v>9.69</v>
      </c>
      <c r="S4894" s="29" t="n">
        <v>44.62</v>
      </c>
      <c r="T4894" t="inlineStr">
        <is>
          <t>25260402375199000591550030000515031001478189</t>
        </is>
      </c>
      <c r="U4894" t="inlineStr">
        <is>
          <t>Sim</t>
        </is>
      </c>
    </row>
    <row r="4895">
      <c r="A4895" t="inlineStr">
        <is>
          <t>Outras despesas pagas</t>
        </is>
      </c>
      <c r="B4895" t="inlineStr">
        <is>
          <t>Imobilizado</t>
        </is>
      </c>
      <c r="C4895" s="30" t="n">
        <v>46113</v>
      </c>
      <c r="D4895" t="inlineStr">
        <is>
          <t>Em 2026</t>
        </is>
      </c>
      <c r="E4895" s="28" t="n">
        <v>46136</v>
      </c>
      <c r="F4895" t="inlineStr">
        <is>
          <t>NF-e</t>
        </is>
      </c>
      <c r="G4895" t="inlineStr">
        <is>
          <t>117146763</t>
        </is>
      </c>
      <c r="H4895" t="inlineStr">
        <is>
          <t>Ebazar.com.br. ltda</t>
        </is>
      </c>
      <c r="I4895" t="inlineStr">
        <is>
          <t>03.007.331/0010-32</t>
        </is>
      </c>
      <c r="J4895" s="29" t="n">
        <v>724.5</v>
      </c>
      <c r="K4895" s="29">
        <f>(1-ISNUMBER(SEARCH("556",M4895)))*(O4895*SUMIFS(Premissas!$C$5:$C$44,Premissas!$A$5:$A$44,$A4895,Premissas!$B$5:$B$44,$B4895)+P4895*SUMIFS(Premissas!$D$5:$D$44,Premissas!$A$5:$A$44,$A4895,Premissas!$B$5:$B$44,$B4895))+R4895*SUMIFS(Premissas!$E$5:$E$44,Premissas!$A$5:$A$44,$A4895,Premissas!$B$5:$B$44,$B4895)+S4895*SUMIFS(Premissas!$F$5:$F$44,Premissas!$A$5:$A$44,$A4895,Premissas!$B$5:$B$44,$B4895)</f>
        <v/>
      </c>
      <c r="L4895" s="29">
        <f>J4895-K4895</f>
        <v/>
      </c>
      <c r="M4895" t="inlineStr">
        <is>
          <t>1.556</t>
        </is>
      </c>
      <c r="O4895" s="29" t="n">
        <v>0</v>
      </c>
      <c r="P4895" s="29" t="n">
        <v>28.98</v>
      </c>
      <c r="Q4895" s="29" t="n">
        <v>0</v>
      </c>
      <c r="R4895" s="29" t="n">
        <v>11.48</v>
      </c>
      <c r="S4895" s="29" t="n">
        <v>52.86</v>
      </c>
      <c r="T4895" t="inlineStr">
        <is>
          <t>31260403007331001032550011171467631947262505</t>
        </is>
      </c>
      <c r="U4895" t="inlineStr">
        <is>
          <t>Sim</t>
        </is>
      </c>
    </row>
    <row r="4896">
      <c r="A4896" t="inlineStr">
        <is>
          <t>Outras despesas pagas</t>
        </is>
      </c>
      <c r="B4896" t="inlineStr">
        <is>
          <t>Imobilizado</t>
        </is>
      </c>
      <c r="C4896" s="30" t="n">
        <v>46113</v>
      </c>
      <c r="D4896" t="inlineStr">
        <is>
          <t>Em 2026</t>
        </is>
      </c>
      <c r="E4896" s="28" t="n">
        <v>46136</v>
      </c>
      <c r="F4896" t="inlineStr">
        <is>
          <t>NF-e</t>
        </is>
      </c>
      <c r="G4896" t="inlineStr">
        <is>
          <t>117220598</t>
        </is>
      </c>
      <c r="H4896" t="inlineStr">
        <is>
          <t>Ebazar.com.br. ltda</t>
        </is>
      </c>
      <c r="I4896" t="inlineStr">
        <is>
          <t>03.007.331/0010-32</t>
        </is>
      </c>
      <c r="J4896" s="29" t="n">
        <v>3999</v>
      </c>
      <c r="K4896" s="29">
        <f>(1-ISNUMBER(SEARCH("556",M4896)))*(O4896*SUMIFS(Premissas!$C$5:$C$44,Premissas!$A$5:$A$44,$A4896,Premissas!$B$5:$B$44,$B4896)+P4896*SUMIFS(Premissas!$D$5:$D$44,Premissas!$A$5:$A$44,$A4896,Premissas!$B$5:$B$44,$B4896))+R4896*SUMIFS(Premissas!$E$5:$E$44,Premissas!$A$5:$A$44,$A4896,Premissas!$B$5:$B$44,$B4896)+S4896*SUMIFS(Premissas!$F$5:$F$44,Premissas!$A$5:$A$44,$A4896,Premissas!$B$5:$B$44,$B4896)</f>
        <v/>
      </c>
      <c r="L4896" s="29">
        <f>J4896-K4896</f>
        <v/>
      </c>
      <c r="M4896" t="inlineStr">
        <is>
          <t>2.556</t>
        </is>
      </c>
      <c r="O4896" s="29" t="n">
        <v>0</v>
      </c>
      <c r="P4896" s="29" t="n">
        <v>279.93</v>
      </c>
      <c r="Q4896" s="29" t="n">
        <v>0</v>
      </c>
      <c r="R4896" s="29" t="n">
        <v>61.36</v>
      </c>
      <c r="S4896" s="29" t="n">
        <v>282.65</v>
      </c>
      <c r="T4896" t="inlineStr">
        <is>
          <t>31260403007331001032550011172205981812200334</t>
        </is>
      </c>
      <c r="U4896" t="inlineStr">
        <is>
          <t>Sim</t>
        </is>
      </c>
    </row>
    <row r="4897">
      <c r="A4897" t="inlineStr">
        <is>
          <t>Outras despesas pagas</t>
        </is>
      </c>
      <c r="B4897" t="inlineStr">
        <is>
          <t>Imobilizado</t>
        </is>
      </c>
      <c r="C4897" s="30" t="n">
        <v>46113</v>
      </c>
      <c r="D4897" t="inlineStr">
        <is>
          <t>Em 2026</t>
        </is>
      </c>
      <c r="E4897" s="28" t="n">
        <v>46140</v>
      </c>
      <c r="F4897" t="inlineStr">
        <is>
          <t>NF-e</t>
        </is>
      </c>
      <c r="G4897" t="inlineStr">
        <is>
          <t>000084303</t>
        </is>
      </c>
      <c r="H4897" t="inlineStr">
        <is>
          <t>KALUNGA SA</t>
        </is>
      </c>
      <c r="I4897" t="inlineStr">
        <is>
          <t>43.283.811/0198-45</t>
        </is>
      </c>
      <c r="J4897" s="29" t="n">
        <v>239.8</v>
      </c>
      <c r="K4897" s="29">
        <f>(1-ISNUMBER(SEARCH("556",M4897)))*(O4897*SUMIFS(Premissas!$C$5:$C$44,Premissas!$A$5:$A$44,$A4897,Premissas!$B$5:$B$44,$B4897)+P4897*SUMIFS(Premissas!$D$5:$D$44,Premissas!$A$5:$A$44,$A4897,Premissas!$B$5:$B$44,$B4897))+R4897*SUMIFS(Premissas!$E$5:$E$44,Premissas!$A$5:$A$44,$A4897,Premissas!$B$5:$B$44,$B4897)+S4897*SUMIFS(Premissas!$F$5:$F$44,Premissas!$A$5:$A$44,$A4897,Premissas!$B$5:$B$44,$B4897)</f>
        <v/>
      </c>
      <c r="L4897" s="29">
        <f>J4897-K4897</f>
        <v/>
      </c>
      <c r="M4897" t="inlineStr">
        <is>
          <t>1.556</t>
        </is>
      </c>
      <c r="N4897" t="inlineStr">
        <is>
          <t>Valor rateado entre categorias, como no Omie | Impostos rateados proporcionalmente ao valor da categoria (documento com mais de uma categoria)</t>
        </is>
      </c>
      <c r="O4897" s="29" t="n">
        <v>0</v>
      </c>
      <c r="P4897" s="29" t="n">
        <v>47.96</v>
      </c>
      <c r="Q4897" s="29" t="n">
        <v>0</v>
      </c>
      <c r="R4897" s="29" t="n">
        <v>3.17</v>
      </c>
      <c r="S4897" s="29" t="n">
        <v>14.58</v>
      </c>
      <c r="T4897" t="inlineStr">
        <is>
          <t>25260443283811019845550010000843031787405805</t>
        </is>
      </c>
      <c r="U4897" t="inlineStr">
        <is>
          <t>Sim</t>
        </is>
      </c>
    </row>
    <row r="4898">
      <c r="A4898" t="inlineStr">
        <is>
          <t>Outras despesas pagas</t>
        </is>
      </c>
      <c r="B4898" t="inlineStr">
        <is>
          <t>Imobilizado</t>
        </is>
      </c>
      <c r="C4898" s="30" t="n">
        <v>46113</v>
      </c>
      <c r="D4898" t="inlineStr">
        <is>
          <t>Em 2026</t>
        </is>
      </c>
      <c r="E4898" s="28" t="n">
        <v>46129</v>
      </c>
      <c r="F4898" t="inlineStr">
        <is>
          <t>NF-e</t>
        </is>
      </c>
      <c r="G4898" t="inlineStr">
        <is>
          <t>000000053</t>
        </is>
      </c>
      <c r="H4898" t="inlineStr">
        <is>
          <t>M STEEL METALURGICA LTDA</t>
        </is>
      </c>
      <c r="I4898" t="inlineStr">
        <is>
          <t>61.858.794/0001-13</t>
        </is>
      </c>
      <c r="J4898" s="29" t="n">
        <v>3600</v>
      </c>
      <c r="K4898" s="29">
        <f>(1-ISNUMBER(SEARCH("556",M4898)))*(O4898*SUMIFS(Premissas!$C$5:$C$44,Premissas!$A$5:$A$44,$A4898,Premissas!$B$5:$B$44,$B4898)+P4898*SUMIFS(Premissas!$D$5:$D$44,Premissas!$A$5:$A$44,$A4898,Premissas!$B$5:$B$44,$B4898))+R4898*SUMIFS(Premissas!$E$5:$E$44,Premissas!$A$5:$A$44,$A4898,Premissas!$B$5:$B$44,$B4898)+S4898*SUMIFS(Premissas!$F$5:$F$44,Premissas!$A$5:$A$44,$A4898,Premissas!$B$5:$B$44,$B4898)</f>
        <v/>
      </c>
      <c r="L4898" s="29">
        <f>J4898-K4898</f>
        <v/>
      </c>
      <c r="M4898" t="inlineStr">
        <is>
          <t>1.556</t>
        </is>
      </c>
      <c r="O4898" s="29" t="n">
        <v>0</v>
      </c>
      <c r="P4898" s="29" t="n">
        <v>0</v>
      </c>
      <c r="Q4898" s="29" t="n">
        <v>0</v>
      </c>
      <c r="R4898" s="29" t="n">
        <v>0</v>
      </c>
      <c r="S4898" s="29" t="n">
        <v>0</v>
      </c>
      <c r="T4898" t="inlineStr">
        <is>
          <t>25260461858794000113550010000000531106202609</t>
        </is>
      </c>
      <c r="U4898" t="inlineStr">
        <is>
          <t>Sim</t>
        </is>
      </c>
    </row>
    <row r="4899">
      <c r="A4899" t="inlineStr">
        <is>
          <t>Outras despesas pagas</t>
        </is>
      </c>
      <c r="B4899" t="inlineStr">
        <is>
          <t>Imobilizado</t>
        </is>
      </c>
      <c r="C4899" s="30" t="n">
        <v>46113</v>
      </c>
      <c r="D4899" t="inlineStr">
        <is>
          <t>Em 2026</t>
        </is>
      </c>
      <c r="E4899" s="28" t="n">
        <v>46123</v>
      </c>
      <c r="F4899" t="inlineStr">
        <is>
          <t>NF-e</t>
        </is>
      </c>
      <c r="G4899" t="inlineStr">
        <is>
          <t>000151894</t>
        </is>
      </c>
      <c r="H4899" t="inlineStr">
        <is>
          <t>STREETING CAR LTDA</t>
        </is>
      </c>
      <c r="I4899" t="inlineStr">
        <is>
          <t>53.847.868/0001-98</t>
        </is>
      </c>
      <c r="J4899" s="29" t="n">
        <v>135.96</v>
      </c>
      <c r="K4899" s="29">
        <f>(1-ISNUMBER(SEARCH("556",M4899)))*(O4899*SUMIFS(Premissas!$C$5:$C$44,Premissas!$A$5:$A$44,$A4899,Premissas!$B$5:$B$44,$B4899)+P4899*SUMIFS(Premissas!$D$5:$D$44,Premissas!$A$5:$A$44,$A4899,Premissas!$B$5:$B$44,$B4899))+R4899*SUMIFS(Premissas!$E$5:$E$44,Premissas!$A$5:$A$44,$A4899,Premissas!$B$5:$B$44,$B4899)+S4899*SUMIFS(Premissas!$F$5:$F$44,Premissas!$A$5:$A$44,$A4899,Premissas!$B$5:$B$44,$B4899)</f>
        <v/>
      </c>
      <c r="L4899" s="29">
        <f>J4899-K4899</f>
        <v/>
      </c>
      <c r="M4899" t="inlineStr">
        <is>
          <t>1.556</t>
        </is>
      </c>
      <c r="O4899" s="29" t="n">
        <v>0</v>
      </c>
      <c r="P4899" s="29" t="n">
        <v>0</v>
      </c>
      <c r="Q4899" s="29" t="n">
        <v>0</v>
      </c>
      <c r="R4899" s="29" t="n">
        <v>0</v>
      </c>
      <c r="S4899" s="29" t="n">
        <v>0</v>
      </c>
      <c r="T4899" t="inlineStr">
        <is>
          <t>35260453847868000198550020001518941931346018</t>
        </is>
      </c>
      <c r="U4899" t="inlineStr">
        <is>
          <t>Sim</t>
        </is>
      </c>
    </row>
    <row r="4900">
      <c r="A4900" t="inlineStr">
        <is>
          <t>Outras despesas pagas</t>
        </is>
      </c>
      <c r="B4900" t="inlineStr">
        <is>
          <t>Imobilizado</t>
        </is>
      </c>
      <c r="C4900" s="30" t="n">
        <v>46113</v>
      </c>
      <c r="D4900" t="inlineStr">
        <is>
          <t>Em 2026</t>
        </is>
      </c>
      <c r="E4900" s="28" t="n">
        <v>46123</v>
      </c>
      <c r="F4900" t="inlineStr">
        <is>
          <t>NF-e</t>
        </is>
      </c>
      <c r="G4900" t="inlineStr">
        <is>
          <t>000151895</t>
        </is>
      </c>
      <c r="H4900" t="inlineStr">
        <is>
          <t>STREETING CAR LTDA</t>
        </is>
      </c>
      <c r="I4900" t="inlineStr">
        <is>
          <t>53.847.868/0001-98</t>
        </is>
      </c>
      <c r="J4900" s="29" t="n">
        <v>67.98</v>
      </c>
      <c r="K4900" s="29">
        <f>(1-ISNUMBER(SEARCH("556",M4900)))*(O4900*SUMIFS(Premissas!$C$5:$C$44,Premissas!$A$5:$A$44,$A4900,Premissas!$B$5:$B$44,$B4900)+P4900*SUMIFS(Premissas!$D$5:$D$44,Premissas!$A$5:$A$44,$A4900,Premissas!$B$5:$B$44,$B4900))+R4900*SUMIFS(Premissas!$E$5:$E$44,Premissas!$A$5:$A$44,$A4900,Premissas!$B$5:$B$44,$B4900)+S4900*SUMIFS(Premissas!$F$5:$F$44,Premissas!$A$5:$A$44,$A4900,Premissas!$B$5:$B$44,$B4900)</f>
        <v/>
      </c>
      <c r="L4900" s="29">
        <f>J4900-K4900</f>
        <v/>
      </c>
      <c r="M4900" t="inlineStr">
        <is>
          <t>1.556</t>
        </is>
      </c>
      <c r="O4900" s="29" t="n">
        <v>0</v>
      </c>
      <c r="P4900" s="29" t="n">
        <v>0</v>
      </c>
      <c r="Q4900" s="29" t="n">
        <v>0</v>
      </c>
      <c r="R4900" s="29" t="n">
        <v>0</v>
      </c>
      <c r="S4900" s="29" t="n">
        <v>0</v>
      </c>
      <c r="T4900" t="inlineStr">
        <is>
          <t>35260453847868000198550020001518951812590192</t>
        </is>
      </c>
      <c r="U4900" t="inlineStr">
        <is>
          <t>Sim</t>
        </is>
      </c>
    </row>
    <row r="4901">
      <c r="A4901" t="inlineStr">
        <is>
          <t>Outras despesas pagas</t>
        </is>
      </c>
      <c r="B4901" t="inlineStr">
        <is>
          <t>Imobilizado</t>
        </is>
      </c>
      <c r="C4901" s="30" t="n">
        <v>46143</v>
      </c>
      <c r="D4901" t="inlineStr">
        <is>
          <t>Em 2026</t>
        </is>
      </c>
      <c r="E4901" s="28" t="n">
        <v>46149</v>
      </c>
      <c r="F4901" t="inlineStr">
        <is>
          <t>NF-e</t>
        </is>
      </c>
      <c r="G4901" t="inlineStr">
        <is>
          <t>000012299</t>
        </is>
      </c>
      <c r="H4901" t="inlineStr">
        <is>
          <t>E. M. AMARAL - MAQUINAS E FERRAMENTAS LTDA</t>
        </is>
      </c>
      <c r="I4901" t="inlineStr">
        <is>
          <t>25.114.989/0001-95</t>
        </is>
      </c>
      <c r="J4901" s="29" t="n">
        <v>6330.63</v>
      </c>
      <c r="K4901" s="29">
        <f>(1-ISNUMBER(SEARCH("556",M4901)))*(O4901*SUMIFS(Premissas!$C$5:$C$44,Premissas!$A$5:$A$44,$A4901,Premissas!$B$5:$B$44,$B4901)+P4901*SUMIFS(Premissas!$D$5:$D$44,Premissas!$A$5:$A$44,$A4901,Premissas!$B$5:$B$44,$B4901))+R4901*SUMIFS(Premissas!$E$5:$E$44,Premissas!$A$5:$A$44,$A4901,Premissas!$B$5:$B$44,$B4901)+S4901*SUMIFS(Premissas!$F$5:$F$44,Premissas!$A$5:$A$44,$A4901,Premissas!$B$5:$B$44,$B4901)</f>
        <v/>
      </c>
      <c r="L4901" s="29">
        <f>J4901-K4901</f>
        <v/>
      </c>
      <c r="M4901" t="inlineStr">
        <is>
          <t>2.556</t>
        </is>
      </c>
      <c r="O4901" s="29" t="n">
        <v>0</v>
      </c>
      <c r="P4901" s="29" t="n">
        <v>325.4</v>
      </c>
      <c r="Q4901" s="29" t="n">
        <v>0</v>
      </c>
      <c r="R4901" s="29" t="n">
        <v>99.09</v>
      </c>
      <c r="S4901" s="29" t="n">
        <v>456.4</v>
      </c>
      <c r="T4901" t="inlineStr">
        <is>
          <t>35260525114989000195550010000122991715001067</t>
        </is>
      </c>
      <c r="U4901" t="inlineStr">
        <is>
          <t>Sim</t>
        </is>
      </c>
    </row>
    <row r="4902">
      <c r="A4902" t="inlineStr">
        <is>
          <t>Outras despesas pagas</t>
        </is>
      </c>
      <c r="B4902" t="inlineStr">
        <is>
          <t>Imobilizado</t>
        </is>
      </c>
      <c r="C4902" s="30" t="n">
        <v>46143</v>
      </c>
      <c r="D4902" t="inlineStr">
        <is>
          <t>Em 2026</t>
        </is>
      </c>
      <c r="E4902" s="28" t="n">
        <v>46169</v>
      </c>
      <c r="F4902" t="inlineStr">
        <is>
          <t>NF-e</t>
        </is>
      </c>
      <c r="G4902" t="inlineStr">
        <is>
          <t>000014204</t>
        </is>
      </c>
      <c r="H4902" t="inlineStr">
        <is>
          <t>EDNA DE ARAUJO PACHECO LTDA</t>
        </is>
      </c>
      <c r="I4902" t="inlineStr">
        <is>
          <t>17.433.873/0001-90</t>
        </is>
      </c>
      <c r="J4902" s="29" t="n">
        <v>955.9</v>
      </c>
      <c r="K4902" s="29">
        <f>(1-ISNUMBER(SEARCH("556",M4902)))*(O4902*SUMIFS(Premissas!$C$5:$C$44,Premissas!$A$5:$A$44,$A4902,Premissas!$B$5:$B$44,$B4902)+P4902*SUMIFS(Premissas!$D$5:$D$44,Premissas!$A$5:$A$44,$A4902,Premissas!$B$5:$B$44,$B4902))+R4902*SUMIFS(Premissas!$E$5:$E$44,Premissas!$A$5:$A$44,$A4902,Premissas!$B$5:$B$44,$B4902)+S4902*SUMIFS(Premissas!$F$5:$F$44,Premissas!$A$5:$A$44,$A4902,Premissas!$B$5:$B$44,$B4902)</f>
        <v/>
      </c>
      <c r="L4902" s="29">
        <f>J4902-K4902</f>
        <v/>
      </c>
      <c r="M4902" t="inlineStr">
        <is>
          <t>1.102, 1.556</t>
        </is>
      </c>
      <c r="O4902" s="29" t="n">
        <v>0</v>
      </c>
      <c r="P4902" s="29" t="n">
        <v>0</v>
      </c>
      <c r="Q4902" s="29" t="n">
        <v>0</v>
      </c>
      <c r="R4902" s="29" t="n">
        <v>0</v>
      </c>
      <c r="S4902" s="29" t="n">
        <v>0</v>
      </c>
      <c r="T4902" t="inlineStr">
        <is>
          <t>25260517433873000190550010000142041016664011</t>
        </is>
      </c>
      <c r="U4902" t="inlineStr">
        <is>
          <t>Sim</t>
        </is>
      </c>
    </row>
    <row r="4903">
      <c r="A4903" t="inlineStr">
        <is>
          <t>Outras despesas pagas</t>
        </is>
      </c>
      <c r="B4903" t="inlineStr">
        <is>
          <t>Imobilizado</t>
        </is>
      </c>
      <c r="C4903" s="30" t="n">
        <v>46143</v>
      </c>
      <c r="D4903" t="inlineStr">
        <is>
          <t>Em 2026</t>
        </is>
      </c>
      <c r="E4903" s="28" t="n">
        <v>46168</v>
      </c>
      <c r="F4903" t="inlineStr">
        <is>
          <t>NF-e</t>
        </is>
      </c>
      <c r="G4903" t="inlineStr">
        <is>
          <t>124857793</t>
        </is>
      </c>
      <c r="H4903" t="inlineStr">
        <is>
          <t>Ebazar.com.br. ltda</t>
        </is>
      </c>
      <c r="I4903" t="inlineStr">
        <is>
          <t>03.007.331/0010-32</t>
        </is>
      </c>
      <c r="J4903" s="29" t="n">
        <v>3227.76</v>
      </c>
      <c r="K4903" s="29">
        <f>(1-ISNUMBER(SEARCH("556",M4903)))*(O4903*SUMIFS(Premissas!$C$5:$C$44,Premissas!$A$5:$A$44,$A4903,Premissas!$B$5:$B$44,$B4903)+P4903*SUMIFS(Premissas!$D$5:$D$44,Premissas!$A$5:$A$44,$A4903,Premissas!$B$5:$B$44,$B4903))+R4903*SUMIFS(Premissas!$E$5:$E$44,Premissas!$A$5:$A$44,$A4903,Premissas!$B$5:$B$44,$B4903)+S4903*SUMIFS(Premissas!$F$5:$F$44,Premissas!$A$5:$A$44,$A4903,Premissas!$B$5:$B$44,$B4903)</f>
        <v/>
      </c>
      <c r="L4903" s="29">
        <f>J4903-K4903</f>
        <v/>
      </c>
      <c r="M4903" t="inlineStr">
        <is>
          <t>2.403</t>
        </is>
      </c>
      <c r="O4903" s="29" t="n">
        <v>0</v>
      </c>
      <c r="P4903" s="29" t="n">
        <v>194.36</v>
      </c>
      <c r="Q4903" s="29" t="n">
        <v>451.19</v>
      </c>
      <c r="R4903" s="29" t="n">
        <v>42.61</v>
      </c>
      <c r="S4903" s="29" t="n">
        <v>196.25</v>
      </c>
      <c r="T4903" t="inlineStr">
        <is>
          <t>31260503007331001032550011248577931359568738</t>
        </is>
      </c>
      <c r="U4903" t="inlineStr">
        <is>
          <t>Sim</t>
        </is>
      </c>
    </row>
    <row r="4904">
      <c r="A4904" t="inlineStr">
        <is>
          <t>Outras despesas pagas</t>
        </is>
      </c>
      <c r="B4904" t="inlineStr">
        <is>
          <t>Imobilizado</t>
        </is>
      </c>
      <c r="C4904" s="30" t="n">
        <v>46143</v>
      </c>
      <c r="D4904" t="inlineStr">
        <is>
          <t>Em 2026</t>
        </is>
      </c>
      <c r="E4904" s="28" t="n">
        <v>46169</v>
      </c>
      <c r="F4904" t="inlineStr">
        <is>
          <t>NF-e</t>
        </is>
      </c>
      <c r="G4904" t="inlineStr">
        <is>
          <t>125044430</t>
        </is>
      </c>
      <c r="H4904" t="inlineStr">
        <is>
          <t>Ebazar.com.br. ltda</t>
        </is>
      </c>
      <c r="I4904" t="inlineStr">
        <is>
          <t>03.007.331/0010-32</t>
        </is>
      </c>
      <c r="J4904" s="29" t="n">
        <v>1066.68</v>
      </c>
      <c r="K4904" s="29">
        <f>(1-ISNUMBER(SEARCH("556",M4904)))*(O4904*SUMIFS(Premissas!$C$5:$C$44,Premissas!$A$5:$A$44,$A4904,Premissas!$B$5:$B$44,$B4904)+P4904*SUMIFS(Premissas!$D$5:$D$44,Premissas!$A$5:$A$44,$A4904,Premissas!$B$5:$B$44,$B4904))+R4904*SUMIFS(Premissas!$E$5:$E$44,Premissas!$A$5:$A$44,$A4904,Premissas!$B$5:$B$44,$B4904)+S4904*SUMIFS(Premissas!$F$5:$F$44,Premissas!$A$5:$A$44,$A4904,Premissas!$B$5:$B$44,$B4904)</f>
        <v/>
      </c>
      <c r="L4904" s="29">
        <f>J4904-K4904</f>
        <v/>
      </c>
      <c r="M4904" t="inlineStr">
        <is>
          <t>2.403</t>
        </is>
      </c>
      <c r="O4904" s="29" t="n">
        <v>0</v>
      </c>
      <c r="P4904" s="29" t="n">
        <v>64.23</v>
      </c>
      <c r="Q4904" s="29" t="n">
        <v>149.11</v>
      </c>
      <c r="R4904" s="29" t="n">
        <v>14.08</v>
      </c>
      <c r="S4904" s="29" t="n">
        <v>64.84999999999999</v>
      </c>
      <c r="T4904" t="inlineStr">
        <is>
          <t>31260503007331001032550011250444301436753464</t>
        </is>
      </c>
      <c r="U4904" t="inlineStr">
        <is>
          <t>Sim</t>
        </is>
      </c>
    </row>
    <row r="4905">
      <c r="A4905" t="inlineStr">
        <is>
          <t>Outras despesas pagas</t>
        </is>
      </c>
      <c r="B4905" t="inlineStr">
        <is>
          <t>Imobilizado</t>
        </is>
      </c>
      <c r="C4905" s="30" t="n">
        <v>46143</v>
      </c>
      <c r="D4905" t="inlineStr">
        <is>
          <t>Em 2026</t>
        </is>
      </c>
      <c r="E4905" s="28" t="n">
        <v>46170</v>
      </c>
      <c r="F4905" t="inlineStr">
        <is>
          <t>NF-e</t>
        </is>
      </c>
      <c r="G4905" t="inlineStr">
        <is>
          <t>000002878</t>
        </is>
      </c>
      <c r="H4905" t="inlineStr">
        <is>
          <t>MFB MOVEIS PLANEJADOS LTDA</t>
        </is>
      </c>
      <c r="I4905" t="inlineStr">
        <is>
          <t>54.825.184/0001-58</t>
        </is>
      </c>
      <c r="J4905" s="29" t="n">
        <v>4196</v>
      </c>
      <c r="K4905" s="29">
        <f>(1-ISNUMBER(SEARCH("556",M4905)))*(O4905*SUMIFS(Premissas!$C$5:$C$44,Premissas!$A$5:$A$44,$A4905,Premissas!$B$5:$B$44,$B4905)+P4905*SUMIFS(Premissas!$D$5:$D$44,Premissas!$A$5:$A$44,$A4905,Premissas!$B$5:$B$44,$B4905))+R4905*SUMIFS(Premissas!$E$5:$E$44,Premissas!$A$5:$A$44,$A4905,Premissas!$B$5:$B$44,$B4905)+S4905*SUMIFS(Premissas!$F$5:$F$44,Premissas!$A$5:$A$44,$A4905,Premissas!$B$5:$B$44,$B4905)</f>
        <v/>
      </c>
      <c r="L4905" s="29">
        <f>J4905-K4905</f>
        <v/>
      </c>
      <c r="M4905" t="inlineStr">
        <is>
          <t>1.102</t>
        </is>
      </c>
      <c r="O4905" s="29" t="n">
        <v>0</v>
      </c>
      <c r="P4905" s="29" t="n">
        <v>0</v>
      </c>
      <c r="Q4905" s="29" t="n">
        <v>0</v>
      </c>
      <c r="R4905" s="29" t="n">
        <v>0</v>
      </c>
      <c r="S4905" s="29" t="n">
        <v>0</v>
      </c>
      <c r="T4905" t="inlineStr">
        <is>
          <t>25260554825184000158550070000028781891284130</t>
        </is>
      </c>
      <c r="U4905" t="inlineStr">
        <is>
          <t>Sim</t>
        </is>
      </c>
    </row>
    <row r="4906">
      <c r="A4906" t="inlineStr">
        <is>
          <t>Outras despesas pagas</t>
        </is>
      </c>
      <c r="B4906" t="inlineStr">
        <is>
          <t>Imobilizado</t>
        </is>
      </c>
      <c r="C4906" s="30" t="n">
        <v>46143</v>
      </c>
      <c r="D4906" t="inlineStr">
        <is>
          <t>Em 2026</t>
        </is>
      </c>
      <c r="E4906" s="28" t="n">
        <v>46167</v>
      </c>
      <c r="F4906" t="inlineStr">
        <is>
          <t>NF-e</t>
        </is>
      </c>
      <c r="G4906" t="inlineStr">
        <is>
          <t>000046589</t>
        </is>
      </c>
      <c r="H4906" t="inlineStr">
        <is>
          <t>MIRANDA COMPUTACAO E COMERCIO LTDA</t>
        </is>
      </c>
      <c r="I4906" t="inlineStr">
        <is>
          <t>11.982.113/0011-28</t>
        </is>
      </c>
      <c r="J4906" s="29" t="n">
        <v>4298</v>
      </c>
      <c r="K4906" s="29">
        <f>(1-ISNUMBER(SEARCH("556",M4906)))*(O4906*SUMIFS(Premissas!$C$5:$C$44,Premissas!$A$5:$A$44,$A4906,Premissas!$B$5:$B$44,$B4906)+P4906*SUMIFS(Premissas!$D$5:$D$44,Premissas!$A$5:$A$44,$A4906,Premissas!$B$5:$B$44,$B4906))+R4906*SUMIFS(Premissas!$E$5:$E$44,Premissas!$A$5:$A$44,$A4906,Premissas!$B$5:$B$44,$B4906)+S4906*SUMIFS(Premissas!$F$5:$F$44,Premissas!$A$5:$A$44,$A4906,Premissas!$B$5:$B$44,$B4906)</f>
        <v/>
      </c>
      <c r="L4906" s="29">
        <f>J4906-K4906</f>
        <v/>
      </c>
      <c r="M4906" t="inlineStr">
        <is>
          <t>2.556</t>
        </is>
      </c>
      <c r="O4906" s="29" t="n">
        <v>0</v>
      </c>
      <c r="P4906" s="29" t="n">
        <v>300.86</v>
      </c>
      <c r="Q4906" s="29" t="n">
        <v>0</v>
      </c>
      <c r="R4906" s="29" t="n">
        <v>65.95</v>
      </c>
      <c r="S4906" s="29" t="n">
        <v>303.78</v>
      </c>
      <c r="T4906" t="inlineStr">
        <is>
          <t>25260511982113001128550010000465891028999060</t>
        </is>
      </c>
      <c r="U4906" t="inlineStr">
        <is>
          <t>Sim</t>
        </is>
      </c>
    </row>
    <row r="4907">
      <c r="A4907" t="inlineStr">
        <is>
          <t>Outras despesas pagas</t>
        </is>
      </c>
      <c r="B4907" t="inlineStr">
        <is>
          <t>Imobilizado</t>
        </is>
      </c>
      <c r="C4907" s="30" t="n">
        <v>46143</v>
      </c>
      <c r="D4907" t="inlineStr">
        <is>
          <t>Em 2026</t>
        </is>
      </c>
      <c r="E4907" s="28" t="n">
        <v>46169</v>
      </c>
      <c r="F4907" t="inlineStr">
        <is>
          <t>NF-e</t>
        </is>
      </c>
      <c r="G4907" t="inlineStr">
        <is>
          <t>000046638</t>
        </is>
      </c>
      <c r="H4907" t="inlineStr">
        <is>
          <t>MIRANDA COMPUTACAO E COMERCIO LTDA</t>
        </is>
      </c>
      <c r="I4907" t="inlineStr">
        <is>
          <t>11.982.113/0011-28</t>
        </is>
      </c>
      <c r="J4907" s="29" t="n">
        <v>5097.5</v>
      </c>
      <c r="K4907" s="29">
        <f>(1-ISNUMBER(SEARCH("556",M4907)))*(O4907*SUMIFS(Premissas!$C$5:$C$44,Premissas!$A$5:$A$44,$A4907,Premissas!$B$5:$B$44,$B4907)+P4907*SUMIFS(Premissas!$D$5:$D$44,Premissas!$A$5:$A$44,$A4907,Premissas!$B$5:$B$44,$B4907))+R4907*SUMIFS(Premissas!$E$5:$E$44,Premissas!$A$5:$A$44,$A4907,Premissas!$B$5:$B$44,$B4907)+S4907*SUMIFS(Premissas!$F$5:$F$44,Premissas!$A$5:$A$44,$A4907,Premissas!$B$5:$B$44,$B4907)</f>
        <v/>
      </c>
      <c r="L4907" s="29">
        <f>J4907-K4907</f>
        <v/>
      </c>
      <c r="M4907" t="inlineStr">
        <is>
          <t>2.551</t>
        </is>
      </c>
      <c r="O4907" s="29" t="n">
        <v>0</v>
      </c>
      <c r="P4907" s="29" t="n">
        <v>356.83</v>
      </c>
      <c r="Q4907" s="29" t="n">
        <v>0</v>
      </c>
      <c r="R4907" s="29" t="n">
        <v>78.22</v>
      </c>
      <c r="S4907" s="29" t="n">
        <v>360.29</v>
      </c>
      <c r="T4907" t="inlineStr">
        <is>
          <t>25260511982113001128550010000466381378116686</t>
        </is>
      </c>
      <c r="U4907" t="inlineStr">
        <is>
          <t>Sim</t>
        </is>
      </c>
    </row>
    <row r="4908">
      <c r="A4908" t="inlineStr">
        <is>
          <t>Outras despesas pagas</t>
        </is>
      </c>
      <c r="B4908" t="inlineStr">
        <is>
          <t>Imobilizado</t>
        </is>
      </c>
      <c r="C4908" s="30" t="n">
        <v>46143</v>
      </c>
      <c r="D4908" t="inlineStr">
        <is>
          <t>Em 2026</t>
        </is>
      </c>
      <c r="E4908" s="28" t="n">
        <v>46169</v>
      </c>
      <c r="F4908" t="inlineStr">
        <is>
          <t>NF-e</t>
        </is>
      </c>
      <c r="G4908" t="inlineStr">
        <is>
          <t>000046639</t>
        </is>
      </c>
      <c r="H4908" t="inlineStr">
        <is>
          <t>MIRANDA COMPUTACAO E COMERCIO LTDA</t>
        </is>
      </c>
      <c r="I4908" t="inlineStr">
        <is>
          <t>11.982.113/0011-28</t>
        </is>
      </c>
      <c r="J4908" s="29" t="n">
        <v>8596</v>
      </c>
      <c r="K4908" s="29">
        <f>(1-ISNUMBER(SEARCH("556",M4908)))*(O4908*SUMIFS(Premissas!$C$5:$C$44,Premissas!$A$5:$A$44,$A4908,Premissas!$B$5:$B$44,$B4908)+P4908*SUMIFS(Premissas!$D$5:$D$44,Premissas!$A$5:$A$44,$A4908,Premissas!$B$5:$B$44,$B4908))+R4908*SUMIFS(Premissas!$E$5:$E$44,Premissas!$A$5:$A$44,$A4908,Premissas!$B$5:$B$44,$B4908)+S4908*SUMIFS(Premissas!$F$5:$F$44,Premissas!$A$5:$A$44,$A4908,Premissas!$B$5:$B$44,$B4908)</f>
        <v/>
      </c>
      <c r="L4908" s="29">
        <f>J4908-K4908</f>
        <v/>
      </c>
      <c r="M4908" t="inlineStr">
        <is>
          <t>2.551</t>
        </is>
      </c>
      <c r="O4908" s="29" t="n">
        <v>0</v>
      </c>
      <c r="P4908" s="29" t="n">
        <v>601.72</v>
      </c>
      <c r="Q4908" s="29" t="n">
        <v>0</v>
      </c>
      <c r="R4908" s="29" t="n">
        <v>131.91</v>
      </c>
      <c r="S4908" s="29" t="n">
        <v>607.5700000000001</v>
      </c>
      <c r="T4908" t="inlineStr">
        <is>
          <t>25260511982113001128550010000466391075294950</t>
        </is>
      </c>
      <c r="U4908" t="inlineStr">
        <is>
          <t>Sim</t>
        </is>
      </c>
    </row>
    <row r="4909">
      <c r="A4909" t="inlineStr">
        <is>
          <t>Outras despesas pagas</t>
        </is>
      </c>
      <c r="B4909" t="inlineStr">
        <is>
          <t>Imobilizado</t>
        </is>
      </c>
      <c r="C4909" s="30" t="n">
        <v>46143</v>
      </c>
      <c r="D4909" t="inlineStr">
        <is>
          <t>Em 2026</t>
        </is>
      </c>
      <c r="E4909" s="28" t="n">
        <v>46169</v>
      </c>
      <c r="F4909" t="inlineStr">
        <is>
          <t>NF-e</t>
        </is>
      </c>
      <c r="G4909" t="inlineStr">
        <is>
          <t>000046640</t>
        </is>
      </c>
      <c r="H4909" t="inlineStr">
        <is>
          <t>MIRANDA COMPUTACAO E COMERCIO LTDA</t>
        </is>
      </c>
      <c r="I4909" t="inlineStr">
        <is>
          <t>11.982.113/0011-28</t>
        </is>
      </c>
      <c r="J4909" s="29" t="n">
        <v>8596</v>
      </c>
      <c r="K4909" s="29">
        <f>(1-ISNUMBER(SEARCH("556",M4909)))*(O4909*SUMIFS(Premissas!$C$5:$C$44,Premissas!$A$5:$A$44,$A4909,Premissas!$B$5:$B$44,$B4909)+P4909*SUMIFS(Premissas!$D$5:$D$44,Premissas!$A$5:$A$44,$A4909,Premissas!$B$5:$B$44,$B4909))+R4909*SUMIFS(Premissas!$E$5:$E$44,Premissas!$A$5:$A$44,$A4909,Premissas!$B$5:$B$44,$B4909)+S4909*SUMIFS(Premissas!$F$5:$F$44,Premissas!$A$5:$A$44,$A4909,Premissas!$B$5:$B$44,$B4909)</f>
        <v/>
      </c>
      <c r="L4909" s="29">
        <f>J4909-K4909</f>
        <v/>
      </c>
      <c r="M4909" t="inlineStr">
        <is>
          <t>2.551</t>
        </is>
      </c>
      <c r="O4909" s="29" t="n">
        <v>0</v>
      </c>
      <c r="P4909" s="29" t="n">
        <v>601.72</v>
      </c>
      <c r="Q4909" s="29" t="n">
        <v>0</v>
      </c>
      <c r="R4909" s="29" t="n">
        <v>131.91</v>
      </c>
      <c r="S4909" s="29" t="n">
        <v>607.5700000000001</v>
      </c>
      <c r="T4909" t="inlineStr">
        <is>
          <t>25260511982113001128550010000466401759098231</t>
        </is>
      </c>
      <c r="U4909" t="inlineStr">
        <is>
          <t>Sim</t>
        </is>
      </c>
    </row>
    <row r="4910">
      <c r="A4910" t="inlineStr">
        <is>
          <t>Outras despesas pagas</t>
        </is>
      </c>
      <c r="B4910" t="inlineStr">
        <is>
          <t>Imobilizado</t>
        </is>
      </c>
      <c r="C4910" s="30" t="n">
        <v>46174</v>
      </c>
      <c r="D4910" t="inlineStr">
        <is>
          <t>Em 2026</t>
        </is>
      </c>
      <c r="E4910" s="28" t="n">
        <v>46188</v>
      </c>
      <c r="F4910" t="inlineStr">
        <is>
          <t>NF-e</t>
        </is>
      </c>
      <c r="G4910" t="inlineStr">
        <is>
          <t>000268886</t>
        </is>
      </c>
      <c r="H4910" t="inlineStr">
        <is>
          <t>BETEL COMERCIO DE VARIEDADES LTDA</t>
        </is>
      </c>
      <c r="I4910" t="inlineStr">
        <is>
          <t>60.238.815/0001-35</t>
        </is>
      </c>
      <c r="J4910" s="29" t="n">
        <v>41.99</v>
      </c>
      <c r="K4910" s="29">
        <f>(1-ISNUMBER(SEARCH("556",M4910)))*(O4910*SUMIFS(Premissas!$C$5:$C$44,Premissas!$A$5:$A$44,$A4910,Premissas!$B$5:$B$44,$B4910)+P4910*SUMIFS(Premissas!$D$5:$D$44,Premissas!$A$5:$A$44,$A4910,Premissas!$B$5:$B$44,$B4910))+R4910*SUMIFS(Premissas!$E$5:$E$44,Premissas!$A$5:$A$44,$A4910,Premissas!$B$5:$B$44,$B4910)+S4910*SUMIFS(Premissas!$F$5:$F$44,Premissas!$A$5:$A$44,$A4910,Premissas!$B$5:$B$44,$B4910)</f>
        <v/>
      </c>
      <c r="L4910" s="29">
        <f>J4910-K4910</f>
        <v/>
      </c>
      <c r="M4910" t="inlineStr">
        <is>
          <t>2.556</t>
        </is>
      </c>
      <c r="O4910" s="29" t="n">
        <v>0</v>
      </c>
      <c r="P4910" s="29" t="n">
        <v>2.94</v>
      </c>
      <c r="Q4910" s="29" t="n">
        <v>0</v>
      </c>
      <c r="R4910" s="29" t="n">
        <v>0.64</v>
      </c>
      <c r="S4910" s="29" t="n">
        <v>2.97</v>
      </c>
      <c r="T4910" t="inlineStr">
        <is>
          <t>35260660238815000135550050002688861106231105</t>
        </is>
      </c>
      <c r="U4910" t="inlineStr">
        <is>
          <t>Sim</t>
        </is>
      </c>
    </row>
    <row r="4911">
      <c r="A4911" t="inlineStr">
        <is>
          <t>Outras despesas pagas</t>
        </is>
      </c>
      <c r="B4911" t="inlineStr">
        <is>
          <t>Imobilizado</t>
        </is>
      </c>
      <c r="C4911" s="30" t="n">
        <v>46174</v>
      </c>
      <c r="D4911" t="inlineStr">
        <is>
          <t>Em 2026</t>
        </is>
      </c>
      <c r="E4911" s="28" t="n">
        <v>46185</v>
      </c>
      <c r="F4911" t="inlineStr">
        <is>
          <t>NF-e</t>
        </is>
      </c>
      <c r="G4911" t="inlineStr">
        <is>
          <t>000014392</t>
        </is>
      </c>
      <c r="H4911" t="inlineStr">
        <is>
          <t>EDNA DE ARAUJO PACHECO LTDA</t>
        </is>
      </c>
      <c r="I4911" t="inlineStr">
        <is>
          <t>17.433.873/0001-90</t>
        </is>
      </c>
      <c r="J4911" s="29" t="n">
        <v>71.38</v>
      </c>
      <c r="K4911" s="29">
        <f>(1-ISNUMBER(SEARCH("556",M4911)))*(O4911*SUMIFS(Premissas!$C$5:$C$44,Premissas!$A$5:$A$44,$A4911,Premissas!$B$5:$B$44,$B4911)+P4911*SUMIFS(Premissas!$D$5:$D$44,Premissas!$A$5:$A$44,$A4911,Premissas!$B$5:$B$44,$B4911))+R4911*SUMIFS(Premissas!$E$5:$E$44,Premissas!$A$5:$A$44,$A4911,Premissas!$B$5:$B$44,$B4911)+S4911*SUMIFS(Premissas!$F$5:$F$44,Premissas!$A$5:$A$44,$A4911,Premissas!$B$5:$B$44,$B4911)</f>
        <v/>
      </c>
      <c r="L4911" s="29">
        <f>J4911-K4911</f>
        <v/>
      </c>
      <c r="M4911" t="inlineStr">
        <is>
          <t>1.556</t>
        </is>
      </c>
      <c r="N4911" t="inlineStr">
        <is>
          <t>Valor rateado entre categorias, como no Omie</t>
        </is>
      </c>
      <c r="O4911" s="29" t="n">
        <v>0</v>
      </c>
      <c r="P4911" s="29" t="n">
        <v>0</v>
      </c>
      <c r="Q4911" s="29" t="n">
        <v>0</v>
      </c>
      <c r="R4911" s="29" t="n">
        <v>0</v>
      </c>
      <c r="S4911" s="29" t="n">
        <v>0</v>
      </c>
      <c r="T4911" t="inlineStr">
        <is>
          <t>25260617433873000190550010000143921016664013</t>
        </is>
      </c>
      <c r="U4911" t="inlineStr">
        <is>
          <t>Sim</t>
        </is>
      </c>
    </row>
    <row r="4912">
      <c r="A4912" t="inlineStr">
        <is>
          <t>Outras despesas pagas</t>
        </is>
      </c>
      <c r="B4912" t="inlineStr">
        <is>
          <t>Imobilizado</t>
        </is>
      </c>
      <c r="C4912" s="30" t="n">
        <v>46174</v>
      </c>
      <c r="D4912" t="inlineStr">
        <is>
          <t>Em 2026</t>
        </is>
      </c>
      <c r="E4912" s="28" t="n">
        <v>46188</v>
      </c>
      <c r="F4912" t="inlineStr">
        <is>
          <t>NF-e</t>
        </is>
      </c>
      <c r="G4912" t="inlineStr">
        <is>
          <t>000014400</t>
        </is>
      </c>
      <c r="H4912" t="inlineStr">
        <is>
          <t>EDNA DE ARAUJO PACHECO LTDA</t>
        </is>
      </c>
      <c r="I4912" t="inlineStr">
        <is>
          <t>17.433.873/0001-90</t>
        </is>
      </c>
      <c r="J4912" s="29" t="n">
        <v>939.9</v>
      </c>
      <c r="K4912" s="29">
        <f>(1-ISNUMBER(SEARCH("556",M4912)))*(O4912*SUMIFS(Premissas!$C$5:$C$44,Premissas!$A$5:$A$44,$A4912,Premissas!$B$5:$B$44,$B4912)+P4912*SUMIFS(Premissas!$D$5:$D$44,Premissas!$A$5:$A$44,$A4912,Premissas!$B$5:$B$44,$B4912))+R4912*SUMIFS(Premissas!$E$5:$E$44,Premissas!$A$5:$A$44,$A4912,Premissas!$B$5:$B$44,$B4912)+S4912*SUMIFS(Premissas!$F$5:$F$44,Premissas!$A$5:$A$44,$A4912,Premissas!$B$5:$B$44,$B4912)</f>
        <v/>
      </c>
      <c r="L4912" s="29">
        <f>J4912-K4912</f>
        <v/>
      </c>
      <c r="M4912" t="inlineStr">
        <is>
          <t>1.556</t>
        </is>
      </c>
      <c r="O4912" s="29" t="n">
        <v>0</v>
      </c>
      <c r="P4912" s="29" t="n">
        <v>0</v>
      </c>
      <c r="Q4912" s="29" t="n">
        <v>0</v>
      </c>
      <c r="R4912" s="29" t="n">
        <v>0</v>
      </c>
      <c r="S4912" s="29" t="n">
        <v>0</v>
      </c>
      <c r="T4912" t="inlineStr">
        <is>
          <t>25260617433873000190550010000144001016664017</t>
        </is>
      </c>
      <c r="U4912" t="inlineStr">
        <is>
          <t>Sim</t>
        </is>
      </c>
    </row>
    <row r="4913">
      <c r="A4913" t="inlineStr">
        <is>
          <t>Outras despesas pagas</t>
        </is>
      </c>
      <c r="B4913" t="inlineStr">
        <is>
          <t>Imobilizado</t>
        </is>
      </c>
      <c r="C4913" s="30" t="n">
        <v>46174</v>
      </c>
      <c r="D4913" t="inlineStr">
        <is>
          <t>Em 2026</t>
        </is>
      </c>
      <c r="E4913" s="28" t="n">
        <v>46191</v>
      </c>
      <c r="F4913" t="inlineStr">
        <is>
          <t>NF-e</t>
        </is>
      </c>
      <c r="G4913" t="inlineStr">
        <is>
          <t>000047238</t>
        </is>
      </c>
      <c r="H4913" t="inlineStr">
        <is>
          <t>MIRANDA COMPUTACAO E COMERCIO LTDA</t>
        </is>
      </c>
      <c r="I4913" t="inlineStr">
        <is>
          <t>11.982.113/0011-28</t>
        </is>
      </c>
      <c r="J4913" s="29" t="n">
        <v>8396</v>
      </c>
      <c r="K4913" s="29">
        <f>(1-ISNUMBER(SEARCH("556",M4913)))*(O4913*SUMIFS(Premissas!$C$5:$C$44,Premissas!$A$5:$A$44,$A4913,Premissas!$B$5:$B$44,$B4913)+P4913*SUMIFS(Premissas!$D$5:$D$44,Premissas!$A$5:$A$44,$A4913,Premissas!$B$5:$B$44,$B4913))+R4913*SUMIFS(Premissas!$E$5:$E$44,Premissas!$A$5:$A$44,$A4913,Premissas!$B$5:$B$44,$B4913)+S4913*SUMIFS(Premissas!$F$5:$F$44,Premissas!$A$5:$A$44,$A4913,Premissas!$B$5:$B$44,$B4913)</f>
        <v/>
      </c>
      <c r="L4913" s="29">
        <f>J4913-K4913</f>
        <v/>
      </c>
      <c r="M4913" t="inlineStr">
        <is>
          <t>2.551</t>
        </is>
      </c>
      <c r="O4913" s="29" t="n">
        <v>0</v>
      </c>
      <c r="P4913" s="29" t="n">
        <v>587.72</v>
      </c>
      <c r="Q4913" s="29" t="n">
        <v>0</v>
      </c>
      <c r="R4913" s="29" t="n">
        <v>128.84</v>
      </c>
      <c r="S4913" s="29" t="n">
        <v>593.4299999999999</v>
      </c>
      <c r="T4913" t="inlineStr">
        <is>
          <t>25260611982113001128550010000472381090104316</t>
        </is>
      </c>
      <c r="U4913" t="inlineStr">
        <is>
          <t>Sim</t>
        </is>
      </c>
    </row>
    <row r="4914">
      <c r="A4914" t="inlineStr">
        <is>
          <t>Outras despesas pagas</t>
        </is>
      </c>
      <c r="B4914" t="inlineStr">
        <is>
          <t>Imobilizado</t>
        </is>
      </c>
      <c r="C4914" s="30" t="n">
        <v>46174</v>
      </c>
      <c r="D4914" t="inlineStr">
        <is>
          <t>Em 2026</t>
        </is>
      </c>
      <c r="E4914" s="28" t="n">
        <v>46191</v>
      </c>
      <c r="F4914" t="inlineStr">
        <is>
          <t>NF-e</t>
        </is>
      </c>
      <c r="G4914" t="inlineStr">
        <is>
          <t>000047239</t>
        </is>
      </c>
      <c r="H4914" t="inlineStr">
        <is>
          <t>MIRANDA COMPUTACAO E COMERCIO LTDA</t>
        </is>
      </c>
      <c r="I4914" t="inlineStr">
        <is>
          <t>11.982.113/0011-28</t>
        </is>
      </c>
      <c r="J4914" s="29" t="n">
        <v>4198</v>
      </c>
      <c r="K4914" s="29">
        <f>(1-ISNUMBER(SEARCH("556",M4914)))*(O4914*SUMIFS(Premissas!$C$5:$C$44,Premissas!$A$5:$A$44,$A4914,Premissas!$B$5:$B$44,$B4914)+P4914*SUMIFS(Premissas!$D$5:$D$44,Premissas!$A$5:$A$44,$A4914,Premissas!$B$5:$B$44,$B4914))+R4914*SUMIFS(Premissas!$E$5:$E$44,Premissas!$A$5:$A$44,$A4914,Premissas!$B$5:$B$44,$B4914)+S4914*SUMIFS(Premissas!$F$5:$F$44,Premissas!$A$5:$A$44,$A4914,Premissas!$B$5:$B$44,$B4914)</f>
        <v/>
      </c>
      <c r="L4914" s="29">
        <f>J4914-K4914</f>
        <v/>
      </c>
      <c r="M4914" t="inlineStr">
        <is>
          <t>2.551</t>
        </is>
      </c>
      <c r="O4914" s="29" t="n">
        <v>0</v>
      </c>
      <c r="P4914" s="29" t="n">
        <v>293.86</v>
      </c>
      <c r="Q4914" s="29" t="n">
        <v>0</v>
      </c>
      <c r="R4914" s="29" t="n">
        <v>64.42</v>
      </c>
      <c r="S4914" s="29" t="n">
        <v>296.71</v>
      </c>
      <c r="T4914" t="inlineStr">
        <is>
          <t>25260611982113001128550010000472391492760479</t>
        </is>
      </c>
      <c r="U4914" t="inlineStr">
        <is>
          <t>Sim</t>
        </is>
      </c>
    </row>
    <row r="4915">
      <c r="A4915" t="inlineStr">
        <is>
          <t>Outras despesas pagas</t>
        </is>
      </c>
      <c r="B4915" t="inlineStr">
        <is>
          <t>Imobilizado</t>
        </is>
      </c>
      <c r="C4915" s="30" t="n">
        <v>46204</v>
      </c>
      <c r="D4915" t="inlineStr">
        <is>
          <t>Em 2026</t>
        </is>
      </c>
      <c r="E4915" s="28" t="n">
        <v>46210</v>
      </c>
      <c r="F4915" t="inlineStr">
        <is>
          <t>NF-e</t>
        </is>
      </c>
      <c r="G4915" t="inlineStr">
        <is>
          <t>000002654</t>
        </is>
      </c>
      <c r="H4915" t="inlineStr">
        <is>
          <t>BLESSED INFO LTDA</t>
        </is>
      </c>
      <c r="I4915" t="inlineStr">
        <is>
          <t>47.488.953/0001-04</t>
        </is>
      </c>
      <c r="J4915" s="29" t="n">
        <v>2749.99</v>
      </c>
      <c r="K4915" s="29">
        <f>(1-ISNUMBER(SEARCH("556",M4915)))*(O4915*SUMIFS(Premissas!$C$5:$C$44,Premissas!$A$5:$A$44,$A4915,Premissas!$B$5:$B$44,$B4915)+P4915*SUMIFS(Premissas!$D$5:$D$44,Premissas!$A$5:$A$44,$A4915,Premissas!$B$5:$B$44,$B4915))+R4915*SUMIFS(Premissas!$E$5:$E$44,Premissas!$A$5:$A$44,$A4915,Premissas!$B$5:$B$44,$B4915)+S4915*SUMIFS(Premissas!$F$5:$F$44,Premissas!$A$5:$A$44,$A4915,Premissas!$B$5:$B$44,$B4915)</f>
        <v/>
      </c>
      <c r="L4915" s="29">
        <f>J4915-K4915</f>
        <v/>
      </c>
      <c r="M4915" t="inlineStr">
        <is>
          <t>2.102</t>
        </is>
      </c>
      <c r="O4915" s="29" t="n">
        <v>0</v>
      </c>
      <c r="P4915" s="29" t="n">
        <v>0</v>
      </c>
      <c r="Q4915" s="29" t="n">
        <v>0</v>
      </c>
      <c r="R4915" s="29" t="n">
        <v>0</v>
      </c>
      <c r="S4915" s="29" t="n">
        <v>0</v>
      </c>
      <c r="T4915" t="inlineStr">
        <is>
          <t>35260747488953000104550030000026541624378900</t>
        </is>
      </c>
      <c r="U4915" t="inlineStr">
        <is>
          <t>Sim</t>
        </is>
      </c>
    </row>
    <row r="4916">
      <c r="A4916" t="inlineStr">
        <is>
          <t>Outras despesas pagas</t>
        </is>
      </c>
      <c r="B4916" t="inlineStr">
        <is>
          <t>Imobilizado</t>
        </is>
      </c>
      <c r="C4916" s="30" t="n">
        <v>46204</v>
      </c>
      <c r="D4916" t="inlineStr">
        <is>
          <t>Em 2026</t>
        </is>
      </c>
      <c r="E4916" s="28" t="n">
        <v>46233</v>
      </c>
      <c r="F4916" t="inlineStr">
        <is>
          <t>NF-e</t>
        </is>
      </c>
      <c r="G4916" t="inlineStr">
        <is>
          <t>000304935</t>
        </is>
      </c>
      <c r="H4916" t="inlineStr">
        <is>
          <t>CIL - COMERCIO DE INFORMATICA LTDA</t>
        </is>
      </c>
      <c r="I4916" t="inlineStr">
        <is>
          <t>24.073.694/0001-55</t>
        </is>
      </c>
      <c r="J4916" s="29" t="n">
        <v>13682.9</v>
      </c>
      <c r="K4916" s="29">
        <f>(1-ISNUMBER(SEARCH("556",M4916)))*(O4916*SUMIFS(Premissas!$C$5:$C$44,Premissas!$A$5:$A$44,$A4916,Premissas!$B$5:$B$44,$B4916)+P4916*SUMIFS(Premissas!$D$5:$D$44,Premissas!$A$5:$A$44,$A4916,Premissas!$B$5:$B$44,$B4916))+R4916*SUMIFS(Premissas!$E$5:$E$44,Premissas!$A$5:$A$44,$A4916,Premissas!$B$5:$B$44,$B4916)+S4916*SUMIFS(Premissas!$F$5:$F$44,Premissas!$A$5:$A$44,$A4916,Premissas!$B$5:$B$44,$B4916)</f>
        <v/>
      </c>
      <c r="L4916" s="29">
        <f>J4916-K4916</f>
        <v/>
      </c>
      <c r="M4916" t="inlineStr">
        <is>
          <t>2.556</t>
        </is>
      </c>
      <c r="O4916" s="29" t="n">
        <v>0</v>
      </c>
      <c r="P4916" s="29" t="n">
        <v>1596.5</v>
      </c>
      <c r="Q4916" s="29" t="n">
        <v>0</v>
      </c>
      <c r="R4916" s="29" t="n">
        <v>199.43</v>
      </c>
      <c r="S4916" s="29" t="n">
        <v>918.5599999999999</v>
      </c>
      <c r="T4916" t="inlineStr">
        <is>
          <t>26260724073694000155550020003049351009209979</t>
        </is>
      </c>
      <c r="U4916" t="inlineStr">
        <is>
          <t>Sim</t>
        </is>
      </c>
    </row>
    <row r="4917">
      <c r="A4917" t="inlineStr">
        <is>
          <t>Outras despesas pagas</t>
        </is>
      </c>
      <c r="B4917" t="inlineStr">
        <is>
          <t>Imobilizado</t>
        </is>
      </c>
      <c r="C4917" s="30" t="n">
        <v>46204</v>
      </c>
      <c r="D4917" t="inlineStr">
        <is>
          <t>Em 2026</t>
        </is>
      </c>
      <c r="E4917" s="28" t="n">
        <v>46233</v>
      </c>
      <c r="F4917" t="inlineStr">
        <is>
          <t>NF-e</t>
        </is>
      </c>
      <c r="G4917" t="inlineStr">
        <is>
          <t>142299362</t>
        </is>
      </c>
      <c r="H4917" t="inlineStr">
        <is>
          <t>Ebazar.com.br. ltda</t>
        </is>
      </c>
      <c r="I4917" t="inlineStr">
        <is>
          <t>03.007.331/0010-32</t>
        </is>
      </c>
      <c r="J4917" s="29" t="n">
        <v>270.63</v>
      </c>
      <c r="K4917" s="29">
        <f>(1-ISNUMBER(SEARCH("556",M4917)))*(O4917*SUMIFS(Premissas!$C$5:$C$44,Premissas!$A$5:$A$44,$A4917,Premissas!$B$5:$B$44,$B4917)+P4917*SUMIFS(Premissas!$D$5:$D$44,Premissas!$A$5:$A$44,$A4917,Premissas!$B$5:$B$44,$B4917))+R4917*SUMIFS(Premissas!$E$5:$E$44,Premissas!$A$5:$A$44,$A4917,Premissas!$B$5:$B$44,$B4917)+S4917*SUMIFS(Premissas!$F$5:$F$44,Premissas!$A$5:$A$44,$A4917,Premissas!$B$5:$B$44,$B4917)</f>
        <v/>
      </c>
      <c r="L4917" s="29">
        <f>J4917-K4917</f>
        <v/>
      </c>
      <c r="M4917" t="inlineStr">
        <is>
          <t>2.556</t>
        </is>
      </c>
      <c r="O4917" s="29" t="n">
        <v>0</v>
      </c>
      <c r="P4917" s="29" t="n">
        <v>10.83</v>
      </c>
      <c r="Q4917" s="29" t="n">
        <v>0</v>
      </c>
      <c r="R4917" s="29" t="n">
        <v>4.29</v>
      </c>
      <c r="S4917" s="29" t="n">
        <v>19.74</v>
      </c>
      <c r="T4917" t="inlineStr">
        <is>
          <t>31260703007331001032550011422993621136815203</t>
        </is>
      </c>
      <c r="U4917" t="inlineStr">
        <is>
          <t>Sim</t>
        </is>
      </c>
    </row>
    <row r="4918">
      <c r="A4918" t="inlineStr">
        <is>
          <t>Outras despesas pagas</t>
        </is>
      </c>
      <c r="B4918" t="inlineStr">
        <is>
          <t>Imobilizado</t>
        </is>
      </c>
      <c r="C4918" s="30" t="n">
        <v>46204</v>
      </c>
      <c r="D4918" t="inlineStr">
        <is>
          <t>Em 2026</t>
        </is>
      </c>
      <c r="E4918" s="28" t="n">
        <v>46209</v>
      </c>
      <c r="F4918" t="inlineStr">
        <is>
          <t>NF-e</t>
        </is>
      </c>
      <c r="G4918" t="inlineStr">
        <is>
          <t>000059129</t>
        </is>
      </c>
      <c r="H4918" t="inlineStr">
        <is>
          <t>INGRID SILVA FREIRE DA ROCHA LTDA</t>
        </is>
      </c>
      <c r="I4918" t="inlineStr">
        <is>
          <t>51.383.359/0001-26</t>
        </is>
      </c>
      <c r="J4918" s="29" t="n">
        <v>208.9</v>
      </c>
      <c r="K4918" s="29">
        <f>(1-ISNUMBER(SEARCH("556",M4918)))*(O4918*SUMIFS(Premissas!$C$5:$C$44,Premissas!$A$5:$A$44,$A4918,Premissas!$B$5:$B$44,$B4918)+P4918*SUMIFS(Premissas!$D$5:$D$44,Premissas!$A$5:$A$44,$A4918,Premissas!$B$5:$B$44,$B4918))+R4918*SUMIFS(Premissas!$E$5:$E$44,Premissas!$A$5:$A$44,$A4918,Premissas!$B$5:$B$44,$B4918)+S4918*SUMIFS(Premissas!$F$5:$F$44,Premissas!$A$5:$A$44,$A4918,Premissas!$B$5:$B$44,$B4918)</f>
        <v/>
      </c>
      <c r="L4918" s="29">
        <f>J4918-K4918</f>
        <v/>
      </c>
      <c r="M4918" t="inlineStr">
        <is>
          <t>2.556</t>
        </is>
      </c>
      <c r="O4918" s="29" t="n">
        <v>0</v>
      </c>
      <c r="P4918" s="29" t="n">
        <v>0</v>
      </c>
      <c r="Q4918" s="29" t="n">
        <v>0</v>
      </c>
      <c r="R4918" s="29" t="n">
        <v>0</v>
      </c>
      <c r="S4918" s="29" t="n">
        <v>0</v>
      </c>
      <c r="T4918" t="inlineStr">
        <is>
          <t>35260751383359000126550020000591291344688860</t>
        </is>
      </c>
      <c r="U4918" t="inlineStr">
        <is>
          <t>Sim</t>
        </is>
      </c>
    </row>
    <row r="4919">
      <c r="A4919" t="inlineStr">
        <is>
          <t>Outras despesas pagas</t>
        </is>
      </c>
      <c r="B4919" t="inlineStr">
        <is>
          <t>Imobilizado</t>
        </is>
      </c>
      <c r="C4919" s="30" t="n">
        <v>46204</v>
      </c>
      <c r="D4919" t="inlineStr">
        <is>
          <t>Em 2026</t>
        </is>
      </c>
      <c r="E4919" s="28" t="n">
        <v>46232</v>
      </c>
      <c r="F4919" t="inlineStr">
        <is>
          <t>NF-e</t>
        </is>
      </c>
      <c r="G4919" t="inlineStr">
        <is>
          <t>000000321</t>
        </is>
      </c>
      <c r="H4919" t="inlineStr">
        <is>
          <t>INOVAMAIS</t>
        </is>
      </c>
      <c r="I4919" t="inlineStr">
        <is>
          <t>30.087.865/0001-06</t>
        </is>
      </c>
      <c r="J4919" s="29" t="n">
        <v>1400</v>
      </c>
      <c r="K4919" s="29">
        <f>(1-ISNUMBER(SEARCH("556",M4919)))*(O4919*SUMIFS(Premissas!$C$5:$C$44,Premissas!$A$5:$A$44,$A4919,Premissas!$B$5:$B$44,$B4919)+P4919*SUMIFS(Premissas!$D$5:$D$44,Premissas!$A$5:$A$44,$A4919,Premissas!$B$5:$B$44,$B4919))+R4919*SUMIFS(Premissas!$E$5:$E$44,Premissas!$A$5:$A$44,$A4919,Premissas!$B$5:$B$44,$B4919)+S4919*SUMIFS(Premissas!$F$5:$F$44,Premissas!$A$5:$A$44,$A4919,Premissas!$B$5:$B$44,$B4919)</f>
        <v/>
      </c>
      <c r="L4919" s="29">
        <f>J4919-K4919</f>
        <v/>
      </c>
      <c r="M4919" t="inlineStr">
        <is>
          <t>1.556</t>
        </is>
      </c>
      <c r="O4919" s="29" t="n">
        <v>0</v>
      </c>
      <c r="P4919" s="29" t="n">
        <v>0</v>
      </c>
      <c r="Q4919" s="29" t="n">
        <v>0</v>
      </c>
      <c r="R4919" s="29" t="n">
        <v>0</v>
      </c>
      <c r="S4919" s="29" t="n">
        <v>0</v>
      </c>
      <c r="T4919" t="inlineStr">
        <is>
          <t>25260730087865000106550010000003211000096300</t>
        </is>
      </c>
      <c r="U4919" t="inlineStr">
        <is>
          <t>Sim</t>
        </is>
      </c>
    </row>
    <row r="4920">
      <c r="A4920" t="inlineStr">
        <is>
          <t>Outras despesas pagas</t>
        </is>
      </c>
      <c r="B4920" t="inlineStr">
        <is>
          <t>Imobilizado</t>
        </is>
      </c>
      <c r="C4920" s="30" t="n">
        <v>46204</v>
      </c>
      <c r="D4920" t="inlineStr">
        <is>
          <t>Em 2026</t>
        </is>
      </c>
      <c r="E4920" s="28" t="n">
        <v>46233</v>
      </c>
      <c r="F4920" t="inlineStr">
        <is>
          <t>NF-e</t>
        </is>
      </c>
      <c r="G4920" t="inlineStr">
        <is>
          <t>000137222</t>
        </is>
      </c>
      <c r="H4920" t="inlineStr">
        <is>
          <t>LISS VARIEDADES E COSMETICOS LTDA</t>
        </is>
      </c>
      <c r="I4920" t="inlineStr">
        <is>
          <t>39.478.001/0001-81</t>
        </is>
      </c>
      <c r="J4920" s="29" t="n">
        <v>289.9</v>
      </c>
      <c r="K4920" s="29">
        <f>(1-ISNUMBER(SEARCH("556",M4920)))*(O4920*SUMIFS(Premissas!$C$5:$C$44,Premissas!$A$5:$A$44,$A4920,Premissas!$B$5:$B$44,$B4920)+P4920*SUMIFS(Premissas!$D$5:$D$44,Premissas!$A$5:$A$44,$A4920,Premissas!$B$5:$B$44,$B4920))+R4920*SUMIFS(Premissas!$E$5:$E$44,Premissas!$A$5:$A$44,$A4920,Premissas!$B$5:$B$44,$B4920)+S4920*SUMIFS(Premissas!$F$5:$F$44,Premissas!$A$5:$A$44,$A4920,Premissas!$B$5:$B$44,$B4920)</f>
        <v/>
      </c>
      <c r="L4920" s="29">
        <f>J4920-K4920</f>
        <v/>
      </c>
      <c r="M4920" t="inlineStr">
        <is>
          <t>2.556</t>
        </is>
      </c>
      <c r="O4920" s="29" t="n">
        <v>0</v>
      </c>
      <c r="P4920" s="29" t="n">
        <v>0</v>
      </c>
      <c r="Q4920" s="29" t="n">
        <v>0</v>
      </c>
      <c r="R4920" s="29" t="n">
        <v>0</v>
      </c>
      <c r="S4920" s="29" t="n">
        <v>0</v>
      </c>
      <c r="T4920" t="inlineStr">
        <is>
          <t>35260739478001000181550030001372221761896434</t>
        </is>
      </c>
      <c r="U4920" t="inlineStr">
        <is>
          <t>Sim</t>
        </is>
      </c>
    </row>
    <row r="4921">
      <c r="A4921" t="inlineStr">
        <is>
          <t>Outras despesas pagas</t>
        </is>
      </c>
      <c r="B4921" t="inlineStr">
        <is>
          <t>Imobilizado</t>
        </is>
      </c>
      <c r="C4921" s="30" t="n">
        <v>46204</v>
      </c>
      <c r="D4921" t="inlineStr">
        <is>
          <t>Em 2026</t>
        </is>
      </c>
      <c r="E4921" s="28" t="n">
        <v>46232</v>
      </c>
      <c r="F4921" t="inlineStr">
        <is>
          <t>NF-e</t>
        </is>
      </c>
      <c r="G4921" t="inlineStr">
        <is>
          <t>000056259</t>
        </is>
      </c>
      <c r="H4921" t="inlineStr">
        <is>
          <t>LUPITEC COMERCIAL LTDA</t>
        </is>
      </c>
      <c r="I4921" t="inlineStr">
        <is>
          <t>62.646.365/0001-45</t>
        </is>
      </c>
      <c r="J4921" s="29" t="n">
        <v>1015</v>
      </c>
      <c r="K4921" s="29">
        <f>(1-ISNUMBER(SEARCH("556",M4921)))*(O4921*SUMIFS(Premissas!$C$5:$C$44,Premissas!$A$5:$A$44,$A4921,Premissas!$B$5:$B$44,$B4921)+P4921*SUMIFS(Premissas!$D$5:$D$44,Premissas!$A$5:$A$44,$A4921,Premissas!$B$5:$B$44,$B4921))+R4921*SUMIFS(Premissas!$E$5:$E$44,Premissas!$A$5:$A$44,$A4921,Premissas!$B$5:$B$44,$B4921)+S4921*SUMIFS(Premissas!$F$5:$F$44,Premissas!$A$5:$A$44,$A4921,Premissas!$B$5:$B$44,$B4921)</f>
        <v/>
      </c>
      <c r="L4921" s="29">
        <f>J4921-K4921</f>
        <v/>
      </c>
      <c r="M4921" t="inlineStr">
        <is>
          <t>2.556</t>
        </is>
      </c>
      <c r="O4921" s="29" t="n">
        <v>0</v>
      </c>
      <c r="P4921" s="29" t="n">
        <v>71.05</v>
      </c>
      <c r="Q4921" s="29" t="n">
        <v>0</v>
      </c>
      <c r="R4921" s="29" t="n">
        <v>15.58</v>
      </c>
      <c r="S4921" s="29" t="n">
        <v>71.73999999999999</v>
      </c>
      <c r="T4921" t="inlineStr">
        <is>
          <t>35260762646365000145550020000562591315206380</t>
        </is>
      </c>
      <c r="U4921" t="inlineStr">
        <is>
          <t>Sim</t>
        </is>
      </c>
    </row>
    <row r="4922">
      <c r="A4922" t="inlineStr">
        <is>
          <t>Outras despesas pagas</t>
        </is>
      </c>
      <c r="B4922" t="inlineStr">
        <is>
          <t>Imobilizado</t>
        </is>
      </c>
      <c r="C4922" s="30" t="n">
        <v>46235</v>
      </c>
      <c r="D4922" t="inlineStr">
        <is>
          <t>Em 2026</t>
        </is>
      </c>
      <c r="E4922" s="28" t="n">
        <v>46253</v>
      </c>
      <c r="F4922" t="inlineStr">
        <is>
          <t>NF-e</t>
        </is>
      </c>
      <c r="G4922" t="inlineStr">
        <is>
          <t>000012447</t>
        </is>
      </c>
      <c r="H4922" t="inlineStr">
        <is>
          <t>E. M. AMARAL - MAQUINAS E FERRAMENTAS LTDA</t>
        </is>
      </c>
      <c r="I4922" t="inlineStr">
        <is>
          <t>25.114.989/0001-95</t>
        </is>
      </c>
      <c r="J4922" s="29" t="n">
        <v>4620</v>
      </c>
      <c r="K4922" s="29">
        <f>(1-ISNUMBER(SEARCH("556",M4922)))*(O4922*SUMIFS(Premissas!$C$5:$C$44,Premissas!$A$5:$A$44,$A4922,Premissas!$B$5:$B$44,$B4922)+P4922*SUMIFS(Premissas!$D$5:$D$44,Premissas!$A$5:$A$44,$A4922,Premissas!$B$5:$B$44,$B4922))+R4922*SUMIFS(Premissas!$E$5:$E$44,Premissas!$A$5:$A$44,$A4922,Premissas!$B$5:$B$44,$B4922)+S4922*SUMIFS(Premissas!$F$5:$F$44,Premissas!$A$5:$A$44,$A4922,Premissas!$B$5:$B$44,$B4922)</f>
        <v/>
      </c>
      <c r="L4922" s="29">
        <f>J4922-K4922</f>
        <v/>
      </c>
      <c r="M4922" t="inlineStr">
        <is>
          <t>2.556</t>
        </is>
      </c>
      <c r="O4922" s="29" t="n">
        <v>0</v>
      </c>
      <c r="P4922" s="29" t="n">
        <v>237.47</v>
      </c>
      <c r="Q4922" s="29" t="n">
        <v>0</v>
      </c>
      <c r="R4922" s="29" t="n">
        <v>72.31</v>
      </c>
      <c r="S4922" s="29" t="n">
        <v>333.07</v>
      </c>
      <c r="T4922" t="inlineStr">
        <is>
          <t>35260825114989000195550010000124471904013084</t>
        </is>
      </c>
      <c r="U4922" t="inlineStr">
        <is>
          <t>Sim</t>
        </is>
      </c>
    </row>
    <row r="4923">
      <c r="A4923" t="inlineStr">
        <is>
          <t>Outras despesas pagas</t>
        </is>
      </c>
      <c r="B4923" t="inlineStr">
        <is>
          <t>Imobilizado</t>
        </is>
      </c>
      <c r="C4923" s="30" t="n">
        <v>46235</v>
      </c>
      <c r="D4923" t="inlineStr">
        <is>
          <t>Em 2026</t>
        </is>
      </c>
      <c r="E4923" s="28" t="n">
        <v>46241</v>
      </c>
      <c r="F4923" t="inlineStr">
        <is>
          <t>NF-e</t>
        </is>
      </c>
      <c r="G4923" t="inlineStr">
        <is>
          <t>000809805</t>
        </is>
      </c>
      <c r="H4923" t="inlineStr">
        <is>
          <t>FRIGELAR COMERCIO E INDUSTRIA LTDA</t>
        </is>
      </c>
      <c r="I4923" t="inlineStr">
        <is>
          <t>92.660.406/0009-76</t>
        </is>
      </c>
      <c r="J4923" s="29" t="n">
        <v>2347.51</v>
      </c>
      <c r="K4923" s="29">
        <f>(1-ISNUMBER(SEARCH("556",M4923)))*(O4923*SUMIFS(Premissas!$C$5:$C$44,Premissas!$A$5:$A$44,$A4923,Premissas!$B$5:$B$44,$B4923)+P4923*SUMIFS(Premissas!$D$5:$D$44,Premissas!$A$5:$A$44,$A4923,Premissas!$B$5:$B$44,$B4923))+R4923*SUMIFS(Premissas!$E$5:$E$44,Premissas!$A$5:$A$44,$A4923,Premissas!$B$5:$B$44,$B4923)+S4923*SUMIFS(Premissas!$F$5:$F$44,Premissas!$A$5:$A$44,$A4923,Premissas!$B$5:$B$44,$B4923)</f>
        <v/>
      </c>
      <c r="L4923" s="29">
        <f>J4923-K4923</f>
        <v/>
      </c>
      <c r="M4923" t="inlineStr">
        <is>
          <t>1.556</t>
        </is>
      </c>
      <c r="O4923" s="29" t="n">
        <v>0</v>
      </c>
      <c r="P4923" s="29" t="n">
        <v>469.5</v>
      </c>
      <c r="Q4923" s="29" t="n">
        <v>0</v>
      </c>
      <c r="R4923" s="29" t="n">
        <v>30.99</v>
      </c>
      <c r="S4923" s="29" t="n">
        <v>142.73</v>
      </c>
      <c r="T4923" t="inlineStr">
        <is>
          <t>25260892660406000976550050008098051000273500</t>
        </is>
      </c>
      <c r="U4923" t="inlineStr">
        <is>
          <t>Sim</t>
        </is>
      </c>
    </row>
    <row r="4924">
      <c r="A4924" t="inlineStr">
        <is>
          <t>Outras despesas pagas</t>
        </is>
      </c>
      <c r="B4924" t="inlineStr">
        <is>
          <t>Imobilizado</t>
        </is>
      </c>
      <c r="C4924" s="30" t="n">
        <v>46235</v>
      </c>
      <c r="D4924" t="inlineStr">
        <is>
          <t>Em 2026</t>
        </is>
      </c>
      <c r="E4924" s="28" t="n">
        <v>46247</v>
      </c>
      <c r="F4924" t="inlineStr">
        <is>
          <t>NF-e</t>
        </is>
      </c>
      <c r="G4924" t="inlineStr">
        <is>
          <t>000812416</t>
        </is>
      </c>
      <c r="H4924" t="inlineStr">
        <is>
          <t>FRIGELAR COMERCIO E INDUSTRIA LTDA</t>
        </is>
      </c>
      <c r="I4924" t="inlineStr">
        <is>
          <t>92.660.406/0009-76</t>
        </is>
      </c>
      <c r="J4924" s="29" t="n">
        <v>4232.98</v>
      </c>
      <c r="K4924" s="29">
        <f>(1-ISNUMBER(SEARCH("556",M4924)))*(O4924*SUMIFS(Premissas!$C$5:$C$44,Premissas!$A$5:$A$44,$A4924,Premissas!$B$5:$B$44,$B4924)+P4924*SUMIFS(Premissas!$D$5:$D$44,Premissas!$A$5:$A$44,$A4924,Premissas!$B$5:$B$44,$B4924))+R4924*SUMIFS(Premissas!$E$5:$E$44,Premissas!$A$5:$A$44,$A4924,Premissas!$B$5:$B$44,$B4924)+S4924*SUMIFS(Premissas!$F$5:$F$44,Premissas!$A$5:$A$44,$A4924,Premissas!$B$5:$B$44,$B4924)</f>
        <v/>
      </c>
      <c r="L4924" s="29">
        <f>J4924-K4924</f>
        <v/>
      </c>
      <c r="M4924" t="inlineStr">
        <is>
          <t>1.556</t>
        </is>
      </c>
      <c r="O4924" s="29" t="n">
        <v>0</v>
      </c>
      <c r="P4924" s="29" t="n">
        <v>846.6</v>
      </c>
      <c r="Q4924" s="29" t="n">
        <v>0</v>
      </c>
      <c r="R4924" s="29" t="n">
        <v>55.87</v>
      </c>
      <c r="S4924" s="29" t="n">
        <v>257.37</v>
      </c>
      <c r="T4924" t="inlineStr">
        <is>
          <t>25260892660406000976550050008124161000259284</t>
        </is>
      </c>
      <c r="U4924" t="inlineStr">
        <is>
          <t>Sim</t>
        </is>
      </c>
    </row>
    <row r="4925">
      <c r="A4925" t="inlineStr">
        <is>
          <t>Outras despesas pagas</t>
        </is>
      </c>
      <c r="B4925" t="inlineStr">
        <is>
          <t>Imobilizado</t>
        </is>
      </c>
      <c r="C4925" s="30" t="n">
        <v>46235</v>
      </c>
      <c r="D4925" t="inlineStr">
        <is>
          <t>Em 2026</t>
        </is>
      </c>
      <c r="E4925" s="28" t="n">
        <v>46260</v>
      </c>
      <c r="F4925" t="inlineStr">
        <is>
          <t>NF-e</t>
        </is>
      </c>
      <c r="G4925" t="inlineStr">
        <is>
          <t>000816206</t>
        </is>
      </c>
      <c r="H4925" t="inlineStr">
        <is>
          <t>FRIGELAR COMERCIO E INDUSTRIA LTDA</t>
        </is>
      </c>
      <c r="I4925" t="inlineStr">
        <is>
          <t>92.660.406/0009-76</t>
        </is>
      </c>
      <c r="J4925" s="29" t="n">
        <v>4041.51</v>
      </c>
      <c r="K4925" s="29">
        <f>(1-ISNUMBER(SEARCH("556",M4925)))*(O4925*SUMIFS(Premissas!$C$5:$C$44,Premissas!$A$5:$A$44,$A4925,Premissas!$B$5:$B$44,$B4925)+P4925*SUMIFS(Premissas!$D$5:$D$44,Premissas!$A$5:$A$44,$A4925,Premissas!$B$5:$B$44,$B4925))+R4925*SUMIFS(Premissas!$E$5:$E$44,Premissas!$A$5:$A$44,$A4925,Premissas!$B$5:$B$44,$B4925)+S4925*SUMIFS(Premissas!$F$5:$F$44,Premissas!$A$5:$A$44,$A4925,Premissas!$B$5:$B$44,$B4925)</f>
        <v/>
      </c>
      <c r="L4925" s="29">
        <f>J4925-K4925</f>
        <v/>
      </c>
      <c r="M4925" t="inlineStr">
        <is>
          <t>1.551</t>
        </is>
      </c>
      <c r="O4925" s="29" t="n">
        <v>0</v>
      </c>
      <c r="P4925" s="29" t="n">
        <v>808.3099999999999</v>
      </c>
      <c r="Q4925" s="29" t="n">
        <v>0</v>
      </c>
      <c r="R4925" s="29" t="n">
        <v>53.35</v>
      </c>
      <c r="S4925" s="29" t="n">
        <v>245.72</v>
      </c>
      <c r="T4925" t="inlineStr">
        <is>
          <t>25260892660406000976550050008162061000066614</t>
        </is>
      </c>
      <c r="U4925" t="inlineStr">
        <is>
          <t>Sim</t>
        </is>
      </c>
    </row>
    <row r="4926">
      <c r="A4926" t="inlineStr">
        <is>
          <t>Outras despesas pagas</t>
        </is>
      </c>
      <c r="B4926" t="inlineStr">
        <is>
          <t>Imobilizado</t>
        </is>
      </c>
      <c r="C4926" s="30" t="n">
        <v>46235</v>
      </c>
      <c r="D4926" t="inlineStr">
        <is>
          <t>Em 2026</t>
        </is>
      </c>
      <c r="E4926" s="28" t="n">
        <v>46241</v>
      </c>
      <c r="F4926" t="inlineStr">
        <is>
          <t>NF-e</t>
        </is>
      </c>
      <c r="G4926" t="inlineStr">
        <is>
          <t>000031228</t>
        </is>
      </c>
      <c r="H4926" t="inlineStr">
        <is>
          <t>J CARLOS MOVEIS LTDA</t>
        </is>
      </c>
      <c r="I4926" t="inlineStr">
        <is>
          <t>09.238.106/0001-00</t>
        </is>
      </c>
      <c r="J4926" s="29" t="n">
        <v>6084</v>
      </c>
      <c r="K4926" s="29">
        <f>(1-ISNUMBER(SEARCH("556",M4926)))*(O4926*SUMIFS(Premissas!$C$5:$C$44,Premissas!$A$5:$A$44,$A4926,Premissas!$B$5:$B$44,$B4926)+P4926*SUMIFS(Premissas!$D$5:$D$44,Premissas!$A$5:$A$44,$A4926,Premissas!$B$5:$B$44,$B4926))+R4926*SUMIFS(Premissas!$E$5:$E$44,Premissas!$A$5:$A$44,$A4926,Premissas!$B$5:$B$44,$B4926)+S4926*SUMIFS(Premissas!$F$5:$F$44,Premissas!$A$5:$A$44,$A4926,Premissas!$B$5:$B$44,$B4926)</f>
        <v/>
      </c>
      <c r="L4926" s="29">
        <f>J4926-K4926</f>
        <v/>
      </c>
      <c r="M4926" t="inlineStr">
        <is>
          <t>1.556</t>
        </is>
      </c>
      <c r="O4926" s="29" t="n">
        <v>0</v>
      </c>
      <c r="P4926" s="29" t="n">
        <v>0</v>
      </c>
      <c r="Q4926" s="29" t="n">
        <v>0</v>
      </c>
      <c r="R4926" s="29" t="n">
        <v>0</v>
      </c>
      <c r="S4926" s="29" t="n">
        <v>0</v>
      </c>
      <c r="T4926" t="inlineStr">
        <is>
          <t>25260809238106000100550010000312281593099604</t>
        </is>
      </c>
      <c r="U4926" t="inlineStr">
        <is>
          <t>Sim</t>
        </is>
      </c>
    </row>
    <row r="4927">
      <c r="A4927" t="inlineStr">
        <is>
          <t>Outras despesas pagas</t>
        </is>
      </c>
      <c r="B4927" t="inlineStr">
        <is>
          <t>Imobilizado</t>
        </is>
      </c>
      <c r="C4927" s="30" t="n">
        <v>46235</v>
      </c>
      <c r="D4927" t="inlineStr">
        <is>
          <t>Em 2026</t>
        </is>
      </c>
      <c r="E4927" s="28" t="n">
        <v>46260</v>
      </c>
      <c r="F4927" t="inlineStr">
        <is>
          <t>NF-e</t>
        </is>
      </c>
      <c r="G4927" t="inlineStr">
        <is>
          <t>000000087</t>
        </is>
      </c>
      <c r="H4927" t="inlineStr">
        <is>
          <t>M STEEL METALURGICA LTDA</t>
        </is>
      </c>
      <c r="I4927" t="inlineStr">
        <is>
          <t>61.858.794/0001-13</t>
        </is>
      </c>
      <c r="J4927" s="29" t="n">
        <v>2850</v>
      </c>
      <c r="K4927" s="29">
        <f>(1-ISNUMBER(SEARCH("556",M4927)))*(O4927*SUMIFS(Premissas!$C$5:$C$44,Premissas!$A$5:$A$44,$A4927,Premissas!$B$5:$B$44,$B4927)+P4927*SUMIFS(Premissas!$D$5:$D$44,Premissas!$A$5:$A$44,$A4927,Premissas!$B$5:$B$44,$B4927))+R4927*SUMIFS(Premissas!$E$5:$E$44,Premissas!$A$5:$A$44,$A4927,Premissas!$B$5:$B$44,$B4927)+S4927*SUMIFS(Premissas!$F$5:$F$44,Premissas!$A$5:$A$44,$A4927,Premissas!$B$5:$B$44,$B4927)</f>
        <v/>
      </c>
      <c r="L4927" s="29">
        <f>J4927-K4927</f>
        <v/>
      </c>
      <c r="M4927" t="inlineStr">
        <is>
          <t>1.556</t>
        </is>
      </c>
      <c r="O4927" s="29" t="n">
        <v>0</v>
      </c>
      <c r="P4927" s="29" t="n">
        <v>0</v>
      </c>
      <c r="Q4927" s="29" t="n">
        <v>0</v>
      </c>
      <c r="R4927" s="29" t="n">
        <v>0</v>
      </c>
      <c r="S4927" s="29" t="n">
        <v>0</v>
      </c>
      <c r="T4927" t="inlineStr">
        <is>
          <t>25260861858794000113550010000000871237202605</t>
        </is>
      </c>
      <c r="U4927" t="inlineStr">
        <is>
          <t>Sim</t>
        </is>
      </c>
    </row>
    <row r="4928">
      <c r="A4928" t="inlineStr">
        <is>
          <t>Outras despesas pagas</t>
        </is>
      </c>
      <c r="B4928" t="inlineStr">
        <is>
          <t>Imobilizado</t>
        </is>
      </c>
      <c r="C4928" s="30" t="n">
        <v>46235</v>
      </c>
      <c r="D4928" t="inlineStr">
        <is>
          <t>Em 2026</t>
        </is>
      </c>
      <c r="E4928" s="28" t="n">
        <v>46244</v>
      </c>
      <c r="F4928" t="inlineStr">
        <is>
          <t>NF-e</t>
        </is>
      </c>
      <c r="G4928" t="inlineStr">
        <is>
          <t>000048576</t>
        </is>
      </c>
      <c r="H4928" t="inlineStr">
        <is>
          <t>MIRANDA COMPUTACAO E COMERCIO LTDA</t>
        </is>
      </c>
      <c r="I4928" t="inlineStr">
        <is>
          <t>11.982.113/0011-28</t>
        </is>
      </c>
      <c r="J4928" s="29" t="n">
        <v>5398</v>
      </c>
      <c r="K4928" s="29">
        <f>(1-ISNUMBER(SEARCH("556",M4928)))*(O4928*SUMIFS(Premissas!$C$5:$C$44,Premissas!$A$5:$A$44,$A4928,Premissas!$B$5:$B$44,$B4928)+P4928*SUMIFS(Premissas!$D$5:$D$44,Premissas!$A$5:$A$44,$A4928,Premissas!$B$5:$B$44,$B4928))+R4928*SUMIFS(Premissas!$E$5:$E$44,Premissas!$A$5:$A$44,$A4928,Premissas!$B$5:$B$44,$B4928)+S4928*SUMIFS(Premissas!$F$5:$F$44,Premissas!$A$5:$A$44,$A4928,Premissas!$B$5:$B$44,$B4928)</f>
        <v/>
      </c>
      <c r="L4928" s="29">
        <f>J4928-K4928</f>
        <v/>
      </c>
      <c r="M4928" t="inlineStr">
        <is>
          <t>1.556</t>
        </is>
      </c>
      <c r="O4928" s="29" t="n">
        <v>0</v>
      </c>
      <c r="P4928" s="29" t="n">
        <v>377.86</v>
      </c>
      <c r="Q4928" s="29" t="n">
        <v>0</v>
      </c>
      <c r="R4928" s="29" t="n">
        <v>82.83</v>
      </c>
      <c r="S4928" s="29" t="n">
        <v>381.53</v>
      </c>
      <c r="T4928" t="inlineStr">
        <is>
          <t>25260811982113001128550010000485761755767578</t>
        </is>
      </c>
      <c r="U4928" t="inlineStr">
        <is>
          <t>Sim</t>
        </is>
      </c>
    </row>
    <row r="4929">
      <c r="A4929" t="inlineStr">
        <is>
          <t>Outras despesas pagas</t>
        </is>
      </c>
      <c r="B4929" t="inlineStr">
        <is>
          <t>Imobilizado</t>
        </is>
      </c>
      <c r="C4929" s="30" t="n">
        <v>46235</v>
      </c>
      <c r="D4929" t="inlineStr">
        <is>
          <t>Em 2026</t>
        </is>
      </c>
      <c r="E4929" s="28" t="n">
        <v>46254</v>
      </c>
      <c r="F4929" t="inlineStr">
        <is>
          <t>NF-e</t>
        </is>
      </c>
      <c r="G4929" t="inlineStr">
        <is>
          <t>000061371</t>
        </is>
      </c>
      <c r="H4929" t="inlineStr">
        <is>
          <t>MOREIRA ACESSORIOS E EQUIPAMENTOS ELETRONICOS LTDA</t>
        </is>
      </c>
      <c r="I4929" t="inlineStr">
        <is>
          <t>57.424.752/0001-05</t>
        </is>
      </c>
      <c r="J4929" s="29" t="n">
        <v>89.73</v>
      </c>
      <c r="K4929" s="29">
        <f>(1-ISNUMBER(SEARCH("556",M4929)))*(O4929*SUMIFS(Premissas!$C$5:$C$44,Premissas!$A$5:$A$44,$A4929,Premissas!$B$5:$B$44,$B4929)+P4929*SUMIFS(Premissas!$D$5:$D$44,Premissas!$A$5:$A$44,$A4929,Premissas!$B$5:$B$44,$B4929))+R4929*SUMIFS(Premissas!$E$5:$E$44,Premissas!$A$5:$A$44,$A4929,Premissas!$B$5:$B$44,$B4929)+S4929*SUMIFS(Premissas!$F$5:$F$44,Premissas!$A$5:$A$44,$A4929,Premissas!$B$5:$B$44,$B4929)</f>
        <v/>
      </c>
      <c r="L4929" s="29">
        <f>J4929-K4929</f>
        <v/>
      </c>
      <c r="M4929" t="inlineStr">
        <is>
          <t>2.556</t>
        </is>
      </c>
      <c r="O4929" s="29" t="n">
        <v>0</v>
      </c>
      <c r="P4929" s="29" t="n">
        <v>0</v>
      </c>
      <c r="Q4929" s="29" t="n">
        <v>0</v>
      </c>
      <c r="R4929" s="29" t="n">
        <v>0</v>
      </c>
      <c r="S4929" s="29" t="n">
        <v>0</v>
      </c>
      <c r="T4929" t="inlineStr">
        <is>
          <t>35260857424752000105550010000613711192703419</t>
        </is>
      </c>
      <c r="U4929" t="inlineStr">
        <is>
          <t>Sim</t>
        </is>
      </c>
    </row>
    <row r="4930">
      <c r="A4930" t="inlineStr">
        <is>
          <t>Outras despesas pagas</t>
        </is>
      </c>
      <c r="B4930" t="inlineStr">
        <is>
          <t>Imobilizado</t>
        </is>
      </c>
      <c r="C4930" s="30" t="n">
        <v>46266</v>
      </c>
      <c r="D4930" t="inlineStr">
        <is>
          <t>Em 2026</t>
        </is>
      </c>
      <c r="E4930" s="28" t="n">
        <v>46279</v>
      </c>
      <c r="F4930" t="inlineStr">
        <is>
          <t>NF-e</t>
        </is>
      </c>
      <c r="G4930" t="inlineStr">
        <is>
          <t>000020795</t>
        </is>
      </c>
      <c r="H4930" t="inlineStr">
        <is>
          <t>B. B. A. INDUSTRIA E COMERCIO IMPORTACAO E EXPORTACAO LTDA</t>
        </is>
      </c>
      <c r="I4930" t="inlineStr">
        <is>
          <t>25.247.287/0003-41</t>
        </is>
      </c>
      <c r="J4930" s="29" t="n">
        <v>8797.4</v>
      </c>
      <c r="K4930" s="29">
        <f>(1-ISNUMBER(SEARCH("556",M4930)))*(O4930*SUMIFS(Premissas!$C$5:$C$44,Premissas!$A$5:$A$44,$A4930,Premissas!$B$5:$B$44,$B4930)+P4930*SUMIFS(Premissas!$D$5:$D$44,Premissas!$A$5:$A$44,$A4930,Premissas!$B$5:$B$44,$B4930))+R4930*SUMIFS(Premissas!$E$5:$E$44,Premissas!$A$5:$A$44,$A4930,Premissas!$B$5:$B$44,$B4930)+S4930*SUMIFS(Premissas!$F$5:$F$44,Premissas!$A$5:$A$44,$A4930,Premissas!$B$5:$B$44,$B4930)</f>
        <v/>
      </c>
      <c r="L4930" s="29">
        <f>J4930-K4930</f>
        <v/>
      </c>
      <c r="M4930" t="inlineStr">
        <is>
          <t>2.102</t>
        </is>
      </c>
      <c r="O4930" s="29" t="n">
        <v>0</v>
      </c>
      <c r="P4930" s="29" t="n">
        <v>351.9</v>
      </c>
      <c r="Q4930" s="29" t="n">
        <v>0</v>
      </c>
      <c r="R4930" s="29" t="n">
        <v>136.69</v>
      </c>
      <c r="S4930" s="29" t="n">
        <v>629.62</v>
      </c>
      <c r="T4930" t="inlineStr">
        <is>
          <t>35260925247287000341550010000207951631259639</t>
        </is>
      </c>
      <c r="U4930" t="inlineStr">
        <is>
          <t>Sim</t>
        </is>
      </c>
    </row>
    <row r="4931">
      <c r="A4931" t="inlineStr">
        <is>
          <t>Outras despesas pagas</t>
        </is>
      </c>
      <c r="B4931" t="inlineStr">
        <is>
          <t>Imobilizado</t>
        </is>
      </c>
      <c r="C4931" s="30" t="n">
        <v>46266</v>
      </c>
      <c r="D4931" t="inlineStr">
        <is>
          <t>Em 2026</t>
        </is>
      </c>
      <c r="E4931" s="28" t="n">
        <v>46274</v>
      </c>
      <c r="F4931" t="inlineStr">
        <is>
          <t>NF-e</t>
        </is>
      </c>
      <c r="G4931" t="inlineStr">
        <is>
          <t>000819777</t>
        </is>
      </c>
      <c r="H4931" t="inlineStr">
        <is>
          <t>FRIGELAR COMERCIO E INDUSTRIA LTDA</t>
        </is>
      </c>
      <c r="I4931" t="inlineStr">
        <is>
          <t>92.660.406/0009-76</t>
        </is>
      </c>
      <c r="J4931" s="29" t="n">
        <v>3587.12</v>
      </c>
      <c r="K4931" s="29">
        <f>(1-ISNUMBER(SEARCH("556",M4931)))*(O4931*SUMIFS(Premissas!$C$5:$C$44,Premissas!$A$5:$A$44,$A4931,Premissas!$B$5:$B$44,$B4931)+P4931*SUMIFS(Premissas!$D$5:$D$44,Premissas!$A$5:$A$44,$A4931,Premissas!$B$5:$B$44,$B4931))+R4931*SUMIFS(Premissas!$E$5:$E$44,Premissas!$A$5:$A$44,$A4931,Premissas!$B$5:$B$44,$B4931)+S4931*SUMIFS(Premissas!$F$5:$F$44,Premissas!$A$5:$A$44,$A4931,Premissas!$B$5:$B$44,$B4931)</f>
        <v/>
      </c>
      <c r="L4931" s="29">
        <f>J4931-K4931</f>
        <v/>
      </c>
      <c r="M4931" t="inlineStr">
        <is>
          <t>1.556</t>
        </is>
      </c>
      <c r="O4931" s="29" t="n">
        <v>0</v>
      </c>
      <c r="P4931" s="29" t="n">
        <v>717.4299999999999</v>
      </c>
      <c r="Q4931" s="29" t="n">
        <v>0</v>
      </c>
      <c r="R4931" s="29" t="n">
        <v>47.35</v>
      </c>
      <c r="S4931" s="29" t="n">
        <v>218.09</v>
      </c>
      <c r="T4931" t="inlineStr">
        <is>
          <t>25260992660406000976550050008197771000091224</t>
        </is>
      </c>
      <c r="U4931" t="inlineStr">
        <is>
          <t>Sim</t>
        </is>
      </c>
    </row>
    <row r="4932">
      <c r="A4932" t="inlineStr">
        <is>
          <t>Outras despesas pagas</t>
        </is>
      </c>
      <c r="B4932" t="inlineStr">
        <is>
          <t>Imobilizado</t>
        </is>
      </c>
      <c r="C4932" s="30" t="n">
        <v>46266</v>
      </c>
      <c r="D4932" t="inlineStr">
        <is>
          <t>Em 2026</t>
        </is>
      </c>
      <c r="E4932" s="28" t="n">
        <v>46287</v>
      </c>
      <c r="F4932" t="inlineStr">
        <is>
          <t>NF-e</t>
        </is>
      </c>
      <c r="G4932" t="inlineStr">
        <is>
          <t>000822798</t>
        </is>
      </c>
      <c r="H4932" t="inlineStr">
        <is>
          <t>FRIGELAR COMERCIO E INDUSTRIA LTDA</t>
        </is>
      </c>
      <c r="I4932" t="inlineStr">
        <is>
          <t>92.660.406/0009-76</t>
        </is>
      </c>
      <c r="J4932" s="29" t="n">
        <v>4916.79</v>
      </c>
      <c r="K4932" s="29">
        <f>(1-ISNUMBER(SEARCH("556",M4932)))*(O4932*SUMIFS(Premissas!$C$5:$C$44,Premissas!$A$5:$A$44,$A4932,Premissas!$B$5:$B$44,$B4932)+P4932*SUMIFS(Premissas!$D$5:$D$44,Premissas!$A$5:$A$44,$A4932,Premissas!$B$5:$B$44,$B4932))+R4932*SUMIFS(Premissas!$E$5:$E$44,Premissas!$A$5:$A$44,$A4932,Premissas!$B$5:$B$44,$B4932)+S4932*SUMIFS(Premissas!$F$5:$F$44,Premissas!$A$5:$A$44,$A4932,Premissas!$B$5:$B$44,$B4932)</f>
        <v/>
      </c>
      <c r="L4932" s="29">
        <f>J4932-K4932</f>
        <v/>
      </c>
      <c r="M4932" t="inlineStr">
        <is>
          <t>1.556</t>
        </is>
      </c>
      <c r="O4932" s="29" t="n">
        <v>0</v>
      </c>
      <c r="P4932" s="29" t="n">
        <v>983.36</v>
      </c>
      <c r="Q4932" s="29" t="n">
        <v>0</v>
      </c>
      <c r="R4932" s="29" t="n">
        <v>64.91</v>
      </c>
      <c r="S4932" s="29" t="n">
        <v>298.94</v>
      </c>
      <c r="T4932" t="inlineStr">
        <is>
          <t>25260992660406000976550050008227981000309485</t>
        </is>
      </c>
      <c r="U4932" t="inlineStr">
        <is>
          <t>Sim</t>
        </is>
      </c>
    </row>
    <row r="4933">
      <c r="A4933" t="inlineStr">
        <is>
          <t>Outras despesas pagas</t>
        </is>
      </c>
      <c r="B4933" t="inlineStr">
        <is>
          <t>Imobilizado</t>
        </is>
      </c>
      <c r="C4933" s="30" t="n">
        <v>46266</v>
      </c>
      <c r="D4933" t="inlineStr">
        <is>
          <t>Em 2026</t>
        </is>
      </c>
      <c r="E4933" s="28" t="n">
        <v>46279</v>
      </c>
      <c r="F4933" t="inlineStr">
        <is>
          <t>NF-e</t>
        </is>
      </c>
      <c r="G4933" t="inlineStr">
        <is>
          <t>000049369</t>
        </is>
      </c>
      <c r="H4933" t="inlineStr">
        <is>
          <t>MIRANDA COMPUTACAO E COMERCIO LTDA</t>
        </is>
      </c>
      <c r="I4933" t="inlineStr">
        <is>
          <t>11.982.113/0011-28</t>
        </is>
      </c>
      <c r="J4933" s="29" t="n">
        <v>9796</v>
      </c>
      <c r="K4933" s="29">
        <f>(1-ISNUMBER(SEARCH("556",M4933)))*(O4933*SUMIFS(Premissas!$C$5:$C$44,Premissas!$A$5:$A$44,$A4933,Premissas!$B$5:$B$44,$B4933)+P4933*SUMIFS(Premissas!$D$5:$D$44,Premissas!$A$5:$A$44,$A4933,Premissas!$B$5:$B$44,$B4933))+R4933*SUMIFS(Premissas!$E$5:$E$44,Premissas!$A$5:$A$44,$A4933,Premissas!$B$5:$B$44,$B4933)+S4933*SUMIFS(Premissas!$F$5:$F$44,Premissas!$A$5:$A$44,$A4933,Premissas!$B$5:$B$44,$B4933)</f>
        <v/>
      </c>
      <c r="L4933" s="29">
        <f>J4933-K4933</f>
        <v/>
      </c>
      <c r="M4933" t="inlineStr">
        <is>
          <t>1.556, 2.556</t>
        </is>
      </c>
      <c r="O4933" s="29" t="n">
        <v>0</v>
      </c>
      <c r="P4933" s="29" t="n">
        <v>685.72</v>
      </c>
      <c r="Q4933" s="29" t="n">
        <v>0</v>
      </c>
      <c r="R4933" s="29" t="n">
        <v>0</v>
      </c>
      <c r="S4933" s="29" t="n">
        <v>0</v>
      </c>
      <c r="T4933" t="inlineStr">
        <is>
          <t>25260911982113001128550010000493691395232280</t>
        </is>
      </c>
      <c r="U4933" t="inlineStr">
        <is>
          <t>Sim</t>
        </is>
      </c>
    </row>
    <row r="4934">
      <c r="A4934" t="inlineStr">
        <is>
          <t>Outras despesas pagas</t>
        </is>
      </c>
      <c r="B4934" t="inlineStr">
        <is>
          <t>Imobilizado</t>
        </is>
      </c>
      <c r="C4934" s="30" t="n">
        <v>46266</v>
      </c>
      <c r="D4934" t="inlineStr">
        <is>
          <t>Em 2026</t>
        </is>
      </c>
      <c r="E4934" s="28" t="n">
        <v>46280</v>
      </c>
      <c r="F4934" t="inlineStr">
        <is>
          <t>NF-e</t>
        </is>
      </c>
      <c r="G4934" t="inlineStr">
        <is>
          <t>000049405</t>
        </is>
      </c>
      <c r="H4934" t="inlineStr">
        <is>
          <t>MIRANDA COMPUTACAO E COMERCIO LTDA</t>
        </is>
      </c>
      <c r="I4934" t="inlineStr">
        <is>
          <t>11.982.113/0011-28</t>
        </is>
      </c>
      <c r="J4934" s="29" t="n">
        <v>5498</v>
      </c>
      <c r="K4934" s="29">
        <f>(1-ISNUMBER(SEARCH("556",M4934)))*(O4934*SUMIFS(Premissas!$C$5:$C$44,Premissas!$A$5:$A$44,$A4934,Premissas!$B$5:$B$44,$B4934)+P4934*SUMIFS(Premissas!$D$5:$D$44,Premissas!$A$5:$A$44,$A4934,Premissas!$B$5:$B$44,$B4934))+R4934*SUMIFS(Premissas!$E$5:$E$44,Premissas!$A$5:$A$44,$A4934,Premissas!$B$5:$B$44,$B4934)+S4934*SUMIFS(Premissas!$F$5:$F$44,Premissas!$A$5:$A$44,$A4934,Premissas!$B$5:$B$44,$B4934)</f>
        <v/>
      </c>
      <c r="L4934" s="29">
        <f>J4934-K4934</f>
        <v/>
      </c>
      <c r="M4934" t="inlineStr">
        <is>
          <t>1.556</t>
        </is>
      </c>
      <c r="O4934" s="29" t="n">
        <v>0</v>
      </c>
      <c r="P4934" s="29" t="n">
        <v>384.86</v>
      </c>
      <c r="Q4934" s="29" t="n">
        <v>0</v>
      </c>
      <c r="R4934" s="29" t="n">
        <v>0</v>
      </c>
      <c r="S4934" s="29" t="n">
        <v>0</v>
      </c>
      <c r="T4934" t="inlineStr">
        <is>
          <t>25260911982113001128550010000494051227362986</t>
        </is>
      </c>
      <c r="U4934" t="inlineStr">
        <is>
          <t>Sim</t>
        </is>
      </c>
    </row>
    <row r="4935">
      <c r="A4935" t="inlineStr">
        <is>
          <t>Outras despesas pagas</t>
        </is>
      </c>
      <c r="B4935" t="inlineStr">
        <is>
          <t>Imobilizado</t>
        </is>
      </c>
      <c r="C4935" s="30" t="n">
        <v>46266</v>
      </c>
      <c r="D4935" t="inlineStr">
        <is>
          <t>Em 2026</t>
        </is>
      </c>
      <c r="E4935" s="28" t="n">
        <v>46283</v>
      </c>
      <c r="F4935" t="inlineStr">
        <is>
          <t>NF-e</t>
        </is>
      </c>
      <c r="G4935" t="inlineStr">
        <is>
          <t>000049498</t>
        </is>
      </c>
      <c r="H4935" t="inlineStr">
        <is>
          <t>MIRANDA COMPUTACAO E COMERCIO LTDA</t>
        </is>
      </c>
      <c r="I4935" t="inlineStr">
        <is>
          <t>11.982.113/0011-28</t>
        </is>
      </c>
      <c r="J4935" s="29" t="n">
        <v>208.8</v>
      </c>
      <c r="K4935" s="29">
        <f>(1-ISNUMBER(SEARCH("556",M4935)))*(O4935*SUMIFS(Premissas!$C$5:$C$44,Premissas!$A$5:$A$44,$A4935,Premissas!$B$5:$B$44,$B4935)+P4935*SUMIFS(Premissas!$D$5:$D$44,Premissas!$A$5:$A$44,$A4935,Premissas!$B$5:$B$44,$B4935))+R4935*SUMIFS(Premissas!$E$5:$E$44,Premissas!$A$5:$A$44,$A4935,Premissas!$B$5:$B$44,$B4935)+S4935*SUMIFS(Premissas!$F$5:$F$44,Premissas!$A$5:$A$44,$A4935,Premissas!$B$5:$B$44,$B4935)</f>
        <v/>
      </c>
      <c r="L4935" s="29">
        <f>J4935-K4935</f>
        <v/>
      </c>
      <c r="M4935" t="inlineStr">
        <is>
          <t>1.556</t>
        </is>
      </c>
      <c r="O4935" s="29" t="n">
        <v>0</v>
      </c>
      <c r="P4935" s="29" t="n">
        <v>41.76</v>
      </c>
      <c r="Q4935" s="29" t="n">
        <v>0</v>
      </c>
      <c r="R4935" s="29" t="n">
        <v>2.75</v>
      </c>
      <c r="S4935" s="29" t="n">
        <v>12.69</v>
      </c>
      <c r="T4935" t="inlineStr">
        <is>
          <t>25260911982113001128550010000494981896109739</t>
        </is>
      </c>
      <c r="U4935" t="inlineStr">
        <is>
          <t>Sim</t>
        </is>
      </c>
    </row>
    <row r="4936">
      <c r="A4936" t="inlineStr">
        <is>
          <t>Outras despesas pagas</t>
        </is>
      </c>
      <c r="B4936" t="inlineStr">
        <is>
          <t>Imobilizado</t>
        </is>
      </c>
      <c r="C4936" s="30" t="n">
        <v>46266</v>
      </c>
      <c r="D4936" t="inlineStr">
        <is>
          <t>Em 2026</t>
        </is>
      </c>
      <c r="E4936" s="28" t="n">
        <v>46288</v>
      </c>
      <c r="F4936" t="inlineStr">
        <is>
          <t>NF-e</t>
        </is>
      </c>
      <c r="G4936" t="inlineStr">
        <is>
          <t>000049554</t>
        </is>
      </c>
      <c r="H4936" t="inlineStr">
        <is>
          <t>MIRANDA COMPUTACAO E COMERCIO LTDA</t>
        </is>
      </c>
      <c r="I4936" t="inlineStr">
        <is>
          <t>11.982.113/0011-28</t>
        </is>
      </c>
      <c r="J4936" s="29" t="n">
        <v>4476</v>
      </c>
      <c r="K4936" s="29">
        <f>(1-ISNUMBER(SEARCH("556",M4936)))*(O4936*SUMIFS(Premissas!$C$5:$C$44,Premissas!$A$5:$A$44,$A4936,Premissas!$B$5:$B$44,$B4936)+P4936*SUMIFS(Premissas!$D$5:$D$44,Premissas!$A$5:$A$44,$A4936,Premissas!$B$5:$B$44,$B4936))+R4936*SUMIFS(Premissas!$E$5:$E$44,Premissas!$A$5:$A$44,$A4936,Premissas!$B$5:$B$44,$B4936)+S4936*SUMIFS(Premissas!$F$5:$F$44,Premissas!$A$5:$A$44,$A4936,Premissas!$B$5:$B$44,$B4936)</f>
        <v/>
      </c>
      <c r="L4936" s="29">
        <f>J4936-K4936</f>
        <v/>
      </c>
      <c r="M4936" t="inlineStr">
        <is>
          <t>1.556, 2.556</t>
        </is>
      </c>
      <c r="O4936" s="29" t="n">
        <v>0</v>
      </c>
      <c r="P4936" s="29" t="n">
        <v>336.46</v>
      </c>
      <c r="Q4936" s="29" t="n">
        <v>0</v>
      </c>
      <c r="R4936" s="29" t="n">
        <v>68.3</v>
      </c>
      <c r="S4936" s="29" t="n">
        <v>314.6</v>
      </c>
      <c r="T4936" t="inlineStr">
        <is>
          <t>25260911982113001128550010000495541185640169</t>
        </is>
      </c>
      <c r="U4936" t="inlineStr">
        <is>
          <t>Sim</t>
        </is>
      </c>
    </row>
    <row r="4937">
      <c r="A4937" t="inlineStr">
        <is>
          <t>Outras despesas pagas</t>
        </is>
      </c>
      <c r="B4937" t="inlineStr">
        <is>
          <t>Imobilizado</t>
        </is>
      </c>
      <c r="C4937" s="30" t="n">
        <v>46266</v>
      </c>
      <c r="D4937" t="inlineStr">
        <is>
          <t>Em 2026</t>
        </is>
      </c>
      <c r="E4937" s="28" t="n">
        <v>46286</v>
      </c>
      <c r="F4937" t="inlineStr">
        <is>
          <t>NF-e</t>
        </is>
      </c>
      <c r="G4937" t="inlineStr">
        <is>
          <t>000097618</t>
        </is>
      </c>
      <c r="H4937" t="inlineStr">
        <is>
          <t>negociunoficial</t>
        </is>
      </c>
      <c r="I4937" t="inlineStr">
        <is>
          <t>20.704.757/0012-26</t>
        </is>
      </c>
      <c r="J4937" s="29" t="n">
        <v>5019.2</v>
      </c>
      <c r="K4937" s="29">
        <f>(1-ISNUMBER(SEARCH("556",M4937)))*(O4937*SUMIFS(Premissas!$C$5:$C$44,Premissas!$A$5:$A$44,$A4937,Premissas!$B$5:$B$44,$B4937)+P4937*SUMIFS(Premissas!$D$5:$D$44,Premissas!$A$5:$A$44,$A4937,Premissas!$B$5:$B$44,$B4937))+R4937*SUMIFS(Premissas!$E$5:$E$44,Premissas!$A$5:$A$44,$A4937,Premissas!$B$5:$B$44,$B4937)+S4937*SUMIFS(Premissas!$F$5:$F$44,Premissas!$A$5:$A$44,$A4937,Premissas!$B$5:$B$44,$B4937)</f>
        <v/>
      </c>
      <c r="L4937" s="29">
        <f>J4937-K4937</f>
        <v/>
      </c>
      <c r="M4937" t="inlineStr">
        <is>
          <t>1.556</t>
        </is>
      </c>
      <c r="O4937" s="29" t="n">
        <v>0</v>
      </c>
      <c r="P4937" s="29" t="n">
        <v>602.3</v>
      </c>
      <c r="Q4937" s="29" t="n">
        <v>0</v>
      </c>
      <c r="R4937" s="29" t="n">
        <v>0</v>
      </c>
      <c r="S4937" s="29" t="n">
        <v>0</v>
      </c>
      <c r="T4937" t="inlineStr">
        <is>
          <t>35260920704757001226550200000976181179000602</t>
        </is>
      </c>
      <c r="U4937" t="inlineStr">
        <is>
          <t>Sim</t>
        </is>
      </c>
    </row>
    <row r="4938">
      <c r="A4938" t="inlineStr">
        <is>
          <t>Outras despesas pagas</t>
        </is>
      </c>
      <c r="B4938" t="inlineStr">
        <is>
          <t>Manutenção e serviços</t>
        </is>
      </c>
      <c r="C4938" s="30" t="n">
        <v>46054</v>
      </c>
      <c r="D4938" t="inlineStr">
        <is>
          <t>Em 2026</t>
        </is>
      </c>
      <c r="E4938" s="28" t="n">
        <v>46066</v>
      </c>
      <c r="F4938" t="inlineStr">
        <is>
          <t>NF-e</t>
        </is>
      </c>
      <c r="G4938" t="inlineStr">
        <is>
          <t>000004536</t>
        </is>
      </c>
      <c r="H4938" t="inlineStr">
        <is>
          <t>ARLINDO ALVES PASCOAL JUNIOR</t>
        </is>
      </c>
      <c r="I4938" t="inlineStr">
        <is>
          <t>08.624.940/0001-63</t>
        </is>
      </c>
      <c r="J4938" s="29" t="n">
        <v>3340</v>
      </c>
      <c r="K4938" s="29">
        <f>(1-ISNUMBER(SEARCH("556",M4938)))*(O4938*SUMIFS(Premissas!$C$5:$C$44,Premissas!$A$5:$A$44,$A4938,Premissas!$B$5:$B$44,$B4938)+P4938*SUMIFS(Premissas!$D$5:$D$44,Premissas!$A$5:$A$44,$A4938,Premissas!$B$5:$B$44,$B4938))+R4938*SUMIFS(Premissas!$E$5:$E$44,Premissas!$A$5:$A$44,$A4938,Premissas!$B$5:$B$44,$B4938)+S4938*SUMIFS(Premissas!$F$5:$F$44,Premissas!$A$5:$A$44,$A4938,Premissas!$B$5:$B$44,$B4938)</f>
        <v/>
      </c>
      <c r="L4938" s="29">
        <f>J4938-K4938</f>
        <v/>
      </c>
      <c r="M4938" t="inlineStr">
        <is>
          <t>1.556</t>
        </is>
      </c>
      <c r="O4938" s="29" t="n">
        <v>0</v>
      </c>
      <c r="P4938" s="29" t="n">
        <v>0</v>
      </c>
      <c r="Q4938" s="29" t="n">
        <v>0</v>
      </c>
      <c r="R4938" s="29" t="n">
        <v>0</v>
      </c>
      <c r="S4938" s="29" t="n">
        <v>0</v>
      </c>
      <c r="T4938" t="inlineStr">
        <is>
          <t>25260208624940000163550010000045361432026025</t>
        </is>
      </c>
      <c r="U4938" t="inlineStr">
        <is>
          <t>Sim</t>
        </is>
      </c>
    </row>
    <row r="4939">
      <c r="A4939" t="inlineStr">
        <is>
          <t>Outras despesas pagas</t>
        </is>
      </c>
      <c r="B4939" t="inlineStr">
        <is>
          <t>Manutenção e serviços</t>
        </is>
      </c>
      <c r="C4939" s="30" t="n">
        <v>46054</v>
      </c>
      <c r="D4939" t="inlineStr">
        <is>
          <t>Em 2026</t>
        </is>
      </c>
      <c r="E4939" s="28" t="n">
        <v>46067</v>
      </c>
      <c r="F4939" t="inlineStr">
        <is>
          <t>NF-e</t>
        </is>
      </c>
      <c r="G4939" t="inlineStr">
        <is>
          <t>000004537</t>
        </is>
      </c>
      <c r="H4939" t="inlineStr">
        <is>
          <t>ARLINDO ALVES PASCOAL JUNIOR</t>
        </is>
      </c>
      <c r="I4939" t="inlineStr">
        <is>
          <t>08.624.940/0001-63</t>
        </is>
      </c>
      <c r="J4939" s="29" t="n">
        <v>2849.6</v>
      </c>
      <c r="K4939" s="29">
        <f>(1-ISNUMBER(SEARCH("556",M4939)))*(O4939*SUMIFS(Premissas!$C$5:$C$44,Premissas!$A$5:$A$44,$A4939,Premissas!$B$5:$B$44,$B4939)+P4939*SUMIFS(Premissas!$D$5:$D$44,Premissas!$A$5:$A$44,$A4939,Premissas!$B$5:$B$44,$B4939))+R4939*SUMIFS(Premissas!$E$5:$E$44,Premissas!$A$5:$A$44,$A4939,Premissas!$B$5:$B$44,$B4939)+S4939*SUMIFS(Premissas!$F$5:$F$44,Premissas!$A$5:$A$44,$A4939,Premissas!$B$5:$B$44,$B4939)</f>
        <v/>
      </c>
      <c r="L4939" s="29">
        <f>J4939-K4939</f>
        <v/>
      </c>
      <c r="M4939" t="inlineStr">
        <is>
          <t>1.102, 1.556</t>
        </is>
      </c>
      <c r="O4939" s="29" t="n">
        <v>0</v>
      </c>
      <c r="P4939" s="29" t="n">
        <v>0</v>
      </c>
      <c r="Q4939" s="29" t="n">
        <v>0</v>
      </c>
      <c r="R4939" s="29" t="n">
        <v>0</v>
      </c>
      <c r="S4939" s="29" t="n">
        <v>0</v>
      </c>
      <c r="T4939" t="inlineStr">
        <is>
          <t>25260208624940000163550010000045371442026025</t>
        </is>
      </c>
      <c r="U4939" t="inlineStr">
        <is>
          <t>Sim</t>
        </is>
      </c>
    </row>
    <row r="4940">
      <c r="A4940" t="inlineStr">
        <is>
          <t>Outras despesas pagas</t>
        </is>
      </c>
      <c r="B4940" t="inlineStr">
        <is>
          <t>Manutenção e serviços</t>
        </is>
      </c>
      <c r="C4940" s="30" t="n">
        <v>46054</v>
      </c>
      <c r="D4940" t="inlineStr">
        <is>
          <t>Em 2026</t>
        </is>
      </c>
      <c r="E4940" s="28" t="n">
        <v>46078</v>
      </c>
      <c r="F4940" t="inlineStr">
        <is>
          <t>NF-e</t>
        </is>
      </c>
      <c r="G4940" t="inlineStr">
        <is>
          <t>000004546</t>
        </is>
      </c>
      <c r="H4940" t="inlineStr">
        <is>
          <t>ARLINDO ALVES PASCOAL JUNIOR</t>
        </is>
      </c>
      <c r="I4940" t="inlineStr">
        <is>
          <t>08.624.940/0001-63</t>
        </is>
      </c>
      <c r="J4940" s="29" t="n">
        <v>3060</v>
      </c>
      <c r="K4940" s="29">
        <f>(1-ISNUMBER(SEARCH("556",M4940)))*(O4940*SUMIFS(Premissas!$C$5:$C$44,Premissas!$A$5:$A$44,$A4940,Premissas!$B$5:$B$44,$B4940)+P4940*SUMIFS(Premissas!$D$5:$D$44,Premissas!$A$5:$A$44,$A4940,Premissas!$B$5:$B$44,$B4940))+R4940*SUMIFS(Premissas!$E$5:$E$44,Premissas!$A$5:$A$44,$A4940,Premissas!$B$5:$B$44,$B4940)+S4940*SUMIFS(Premissas!$F$5:$F$44,Premissas!$A$5:$A$44,$A4940,Premissas!$B$5:$B$44,$B4940)</f>
        <v/>
      </c>
      <c r="L4940" s="29">
        <f>J4940-K4940</f>
        <v/>
      </c>
      <c r="M4940" t="inlineStr">
        <is>
          <t>1.556</t>
        </is>
      </c>
      <c r="O4940" s="29" t="n">
        <v>0</v>
      </c>
      <c r="P4940" s="29" t="n">
        <v>0</v>
      </c>
      <c r="Q4940" s="29" t="n">
        <v>0</v>
      </c>
      <c r="R4940" s="29" t="n">
        <v>0</v>
      </c>
      <c r="S4940" s="29" t="n">
        <v>0</v>
      </c>
      <c r="T4940" t="inlineStr">
        <is>
          <t>25260208624940000163550010000045461552026029</t>
        </is>
      </c>
      <c r="U4940" t="inlineStr">
        <is>
          <t>Sim</t>
        </is>
      </c>
    </row>
    <row r="4941">
      <c r="A4941" t="inlineStr">
        <is>
          <t>Outras despesas pagas</t>
        </is>
      </c>
      <c r="B4941" t="inlineStr">
        <is>
          <t>Manutenção e serviços</t>
        </is>
      </c>
      <c r="C4941" s="30" t="n">
        <v>46054</v>
      </c>
      <c r="D4941" t="inlineStr">
        <is>
          <t>Em 2026</t>
        </is>
      </c>
      <c r="E4941" s="28" t="n">
        <v>46078</v>
      </c>
      <c r="F4941" t="inlineStr">
        <is>
          <t>NF-e</t>
        </is>
      </c>
      <c r="G4941" t="inlineStr">
        <is>
          <t>000004547</t>
        </is>
      </c>
      <c r="H4941" t="inlineStr">
        <is>
          <t>ARLINDO ALVES PASCOAL JUNIOR</t>
        </is>
      </c>
      <c r="I4941" t="inlineStr">
        <is>
          <t>08.624.940/0001-63</t>
        </is>
      </c>
      <c r="J4941" s="29" t="n">
        <v>270</v>
      </c>
      <c r="K4941" s="29">
        <f>(1-ISNUMBER(SEARCH("556",M4941)))*(O4941*SUMIFS(Premissas!$C$5:$C$44,Premissas!$A$5:$A$44,$A4941,Premissas!$B$5:$B$44,$B4941)+P4941*SUMIFS(Premissas!$D$5:$D$44,Premissas!$A$5:$A$44,$A4941,Premissas!$B$5:$B$44,$B4941))+R4941*SUMIFS(Premissas!$E$5:$E$44,Premissas!$A$5:$A$44,$A4941,Premissas!$B$5:$B$44,$B4941)+S4941*SUMIFS(Premissas!$F$5:$F$44,Premissas!$A$5:$A$44,$A4941,Premissas!$B$5:$B$44,$B4941)</f>
        <v/>
      </c>
      <c r="L4941" s="29">
        <f>J4941-K4941</f>
        <v/>
      </c>
      <c r="M4941" t="inlineStr">
        <is>
          <t>1.102, 1.556</t>
        </is>
      </c>
      <c r="O4941" s="29" t="n">
        <v>0</v>
      </c>
      <c r="P4941" s="29" t="n">
        <v>0</v>
      </c>
      <c r="Q4941" s="29" t="n">
        <v>0</v>
      </c>
      <c r="R4941" s="29" t="n">
        <v>0</v>
      </c>
      <c r="S4941" s="29" t="n">
        <v>0</v>
      </c>
      <c r="T4941" t="inlineStr">
        <is>
          <t>25260208624940000163550010000045471552026026</t>
        </is>
      </c>
      <c r="U4941" t="inlineStr">
        <is>
          <t>Sim</t>
        </is>
      </c>
    </row>
    <row r="4942">
      <c r="A4942" t="inlineStr">
        <is>
          <t>Outras despesas pagas</t>
        </is>
      </c>
      <c r="B4942" t="inlineStr">
        <is>
          <t>Manutenção e serviços</t>
        </is>
      </c>
      <c r="C4942" s="30" t="n">
        <v>46054</v>
      </c>
      <c r="D4942" t="inlineStr">
        <is>
          <t>Em 2026</t>
        </is>
      </c>
      <c r="E4942" s="28" t="n">
        <v>46065</v>
      </c>
      <c r="F4942" t="inlineStr">
        <is>
          <t>NF-e</t>
        </is>
      </c>
      <c r="G4942" t="inlineStr">
        <is>
          <t>000093202</t>
        </is>
      </c>
      <c r="H4942" t="inlineStr">
        <is>
          <t>BENE COMERCIO VAREJISTA E ATACADISTA LTDA</t>
        </is>
      </c>
      <c r="I4942" t="inlineStr">
        <is>
          <t>02.994.420/0001-66</t>
        </is>
      </c>
      <c r="J4942" s="29" t="n">
        <v>8</v>
      </c>
      <c r="K4942" s="29">
        <f>(1-ISNUMBER(SEARCH("556",M4942)))*(O4942*SUMIFS(Premissas!$C$5:$C$44,Premissas!$A$5:$A$44,$A4942,Premissas!$B$5:$B$44,$B4942)+P4942*SUMIFS(Premissas!$D$5:$D$44,Premissas!$A$5:$A$44,$A4942,Premissas!$B$5:$B$44,$B4942))+R4942*SUMIFS(Premissas!$E$5:$E$44,Premissas!$A$5:$A$44,$A4942,Premissas!$B$5:$B$44,$B4942)+S4942*SUMIFS(Premissas!$F$5:$F$44,Premissas!$A$5:$A$44,$A4942,Premissas!$B$5:$B$44,$B4942)</f>
        <v/>
      </c>
      <c r="L4942" s="29">
        <f>J4942-K4942</f>
        <v/>
      </c>
      <c r="M4942" t="inlineStr">
        <is>
          <t>1.403</t>
        </is>
      </c>
      <c r="O4942" s="29" t="n">
        <v>0</v>
      </c>
      <c r="P4942" s="29" t="n">
        <v>0</v>
      </c>
      <c r="Q4942" s="29" t="n">
        <v>0</v>
      </c>
      <c r="R4942" s="29" t="n">
        <v>0.05</v>
      </c>
      <c r="S4942" s="29" t="n">
        <v>0.24</v>
      </c>
      <c r="T4942" t="inlineStr">
        <is>
          <t>25260202994420000166550010000932021000956234</t>
        </is>
      </c>
      <c r="U4942" t="inlineStr">
        <is>
          <t>Sim</t>
        </is>
      </c>
    </row>
    <row r="4943">
      <c r="A4943" t="inlineStr">
        <is>
          <t>Outras despesas pagas</t>
        </is>
      </c>
      <c r="B4943" t="inlineStr">
        <is>
          <t>Manutenção e serviços</t>
        </is>
      </c>
      <c r="C4943" s="30" t="n">
        <v>46054</v>
      </c>
      <c r="D4943" t="inlineStr">
        <is>
          <t>Em 2026</t>
        </is>
      </c>
      <c r="E4943" s="28" t="n">
        <v>46064</v>
      </c>
      <c r="F4943" t="inlineStr">
        <is>
          <t>NF-e</t>
        </is>
      </c>
      <c r="G4943" t="inlineStr">
        <is>
          <t>000091718</t>
        </is>
      </c>
      <c r="H4943" t="inlineStr">
        <is>
          <t>CONSTRUTIVA MATERIAIS ELETRICOS LTDA</t>
        </is>
      </c>
      <c r="I4943" t="inlineStr">
        <is>
          <t>06.267.222/0001-51</t>
        </is>
      </c>
      <c r="J4943" s="29" t="n">
        <v>2104.6</v>
      </c>
      <c r="K4943" s="29">
        <f>(1-ISNUMBER(SEARCH("556",M4943)))*(O4943*SUMIFS(Premissas!$C$5:$C$44,Premissas!$A$5:$A$44,$A4943,Premissas!$B$5:$B$44,$B4943)+P4943*SUMIFS(Premissas!$D$5:$D$44,Premissas!$A$5:$A$44,$A4943,Premissas!$B$5:$B$44,$B4943))+R4943*SUMIFS(Premissas!$E$5:$E$44,Premissas!$A$5:$A$44,$A4943,Premissas!$B$5:$B$44,$B4943)+S4943*SUMIFS(Premissas!$F$5:$F$44,Premissas!$A$5:$A$44,$A4943,Premissas!$B$5:$B$44,$B4943)</f>
        <v/>
      </c>
      <c r="L4943" s="29">
        <f>J4943-K4943</f>
        <v/>
      </c>
      <c r="M4943" t="inlineStr">
        <is>
          <t>1.102</t>
        </is>
      </c>
      <c r="O4943" s="29" t="n">
        <v>0</v>
      </c>
      <c r="P4943" s="29" t="n">
        <v>420.92</v>
      </c>
      <c r="Q4943" s="29" t="n">
        <v>0</v>
      </c>
      <c r="R4943" s="29" t="n">
        <v>10.94</v>
      </c>
      <c r="S4943" s="29" t="n">
        <v>50.51</v>
      </c>
      <c r="T4943" t="inlineStr">
        <is>
          <t>25260206267222000151550010000917181415843939</t>
        </is>
      </c>
      <c r="U4943" t="inlineStr">
        <is>
          <t>Sim</t>
        </is>
      </c>
    </row>
    <row r="4944">
      <c r="A4944" t="inlineStr">
        <is>
          <t>Outras despesas pagas</t>
        </is>
      </c>
      <c r="B4944" t="inlineStr">
        <is>
          <t>Manutenção e serviços</t>
        </is>
      </c>
      <c r="C4944" s="30" t="n">
        <v>46054</v>
      </c>
      <c r="D4944" t="inlineStr">
        <is>
          <t>Em 2026</t>
        </is>
      </c>
      <c r="E4944" s="28" t="n">
        <v>46076</v>
      </c>
      <c r="F4944" t="inlineStr">
        <is>
          <t>NF-e</t>
        </is>
      </c>
      <c r="G4944" t="inlineStr">
        <is>
          <t>000102005</t>
        </is>
      </c>
      <c r="H4944" t="inlineStr">
        <is>
          <t>FERGE COMERCIO DE PRODUTOS INDUSTRIAIS LTDA</t>
        </is>
      </c>
      <c r="I4944" t="inlineStr">
        <is>
          <t>09.057.961/0001-07</t>
        </is>
      </c>
      <c r="J4944" s="29" t="n">
        <v>282</v>
      </c>
      <c r="K4944" s="29">
        <f>(1-ISNUMBER(SEARCH("556",M4944)))*(O4944*SUMIFS(Premissas!$C$5:$C$44,Premissas!$A$5:$A$44,$A4944,Premissas!$B$5:$B$44,$B4944)+P4944*SUMIFS(Premissas!$D$5:$D$44,Premissas!$A$5:$A$44,$A4944,Premissas!$B$5:$B$44,$B4944))+R4944*SUMIFS(Premissas!$E$5:$E$44,Premissas!$A$5:$A$44,$A4944,Premissas!$B$5:$B$44,$B4944)+S4944*SUMIFS(Premissas!$F$5:$F$44,Premissas!$A$5:$A$44,$A4944,Premissas!$B$5:$B$44,$B4944)</f>
        <v/>
      </c>
      <c r="L4944" s="29">
        <f>J4944-K4944</f>
        <v/>
      </c>
      <c r="M4944" t="inlineStr">
        <is>
          <t>1.102</t>
        </is>
      </c>
      <c r="O4944" s="29" t="n">
        <v>0</v>
      </c>
      <c r="P4944" s="29" t="n">
        <v>56.4</v>
      </c>
      <c r="Q4944" s="29" t="n">
        <v>0</v>
      </c>
      <c r="R4944" s="29" t="n">
        <v>0</v>
      </c>
      <c r="S4944" s="29" t="n">
        <v>0</v>
      </c>
      <c r="T4944" t="inlineStr">
        <is>
          <t>25260209057961000107550010001020051016664016</t>
        </is>
      </c>
      <c r="U4944" t="inlineStr">
        <is>
          <t>Sim</t>
        </is>
      </c>
    </row>
    <row r="4945">
      <c r="A4945" t="inlineStr">
        <is>
          <t>Outras despesas pagas</t>
        </is>
      </c>
      <c r="B4945" t="inlineStr">
        <is>
          <t>Manutenção e serviços</t>
        </is>
      </c>
      <c r="C4945" s="30" t="n">
        <v>46054</v>
      </c>
      <c r="D4945" t="inlineStr">
        <is>
          <t>Em 2026</t>
        </is>
      </c>
      <c r="E4945" s="28" t="n">
        <v>46076</v>
      </c>
      <c r="F4945" t="inlineStr">
        <is>
          <t>NF-e</t>
        </is>
      </c>
      <c r="G4945" t="inlineStr">
        <is>
          <t>000000075</t>
        </is>
      </c>
      <c r="H4945" t="inlineStr">
        <is>
          <t>MM MATERIAL DE CONSTRUCAO LTDA</t>
        </is>
      </c>
      <c r="I4945" t="inlineStr">
        <is>
          <t>25.261.242/0001-60</t>
        </is>
      </c>
      <c r="J4945" s="29" t="n">
        <v>95</v>
      </c>
      <c r="K4945" s="29">
        <f>(1-ISNUMBER(SEARCH("556",M4945)))*(O4945*SUMIFS(Premissas!$C$5:$C$44,Premissas!$A$5:$A$44,$A4945,Premissas!$B$5:$B$44,$B4945)+P4945*SUMIFS(Premissas!$D$5:$D$44,Premissas!$A$5:$A$44,$A4945,Premissas!$B$5:$B$44,$B4945))+R4945*SUMIFS(Premissas!$E$5:$E$44,Premissas!$A$5:$A$44,$A4945,Premissas!$B$5:$B$44,$B4945)+S4945*SUMIFS(Premissas!$F$5:$F$44,Premissas!$A$5:$A$44,$A4945,Premissas!$B$5:$B$44,$B4945)</f>
        <v/>
      </c>
      <c r="L4945" s="29">
        <f>J4945-K4945</f>
        <v/>
      </c>
      <c r="M4945" t="inlineStr">
        <is>
          <t>1.102</t>
        </is>
      </c>
      <c r="O4945" s="29" t="n">
        <v>0</v>
      </c>
      <c r="P4945" s="29" t="n">
        <v>0</v>
      </c>
      <c r="Q4945" s="29" t="n">
        <v>0</v>
      </c>
      <c r="R4945" s="29" t="n">
        <v>0</v>
      </c>
      <c r="S4945" s="29" t="n">
        <v>0</v>
      </c>
      <c r="T4945" t="inlineStr">
        <is>
          <t>25260225261242000160550010000000751000000221</t>
        </is>
      </c>
      <c r="U4945" t="inlineStr">
        <is>
          <t>Sim</t>
        </is>
      </c>
    </row>
    <row r="4946">
      <c r="A4946" t="inlineStr">
        <is>
          <t>Outras despesas pagas</t>
        </is>
      </c>
      <c r="B4946" t="inlineStr">
        <is>
          <t>Manutenção e serviços</t>
        </is>
      </c>
      <c r="C4946" s="30" t="n">
        <v>46082</v>
      </c>
      <c r="D4946" t="inlineStr">
        <is>
          <t>Em 2026</t>
        </is>
      </c>
      <c r="E4946" s="28" t="n">
        <v>46083</v>
      </c>
      <c r="F4946" t="inlineStr">
        <is>
          <t>NF-e</t>
        </is>
      </c>
      <c r="G4946" t="inlineStr">
        <is>
          <t>000013261</t>
        </is>
      </c>
      <c r="H4946" t="inlineStr">
        <is>
          <t>EDNA DE ARAUJO PACHECO LTDA</t>
        </is>
      </c>
      <c r="I4946" t="inlineStr">
        <is>
          <t>17.433.873/0001-90</t>
        </is>
      </c>
      <c r="J4946" s="29" t="n">
        <v>591.41</v>
      </c>
      <c r="K4946" s="29">
        <f>(1-ISNUMBER(SEARCH("556",M4946)))*(O4946*SUMIFS(Premissas!$C$5:$C$44,Premissas!$A$5:$A$44,$A4946,Premissas!$B$5:$B$44,$B4946)+P4946*SUMIFS(Premissas!$D$5:$D$44,Premissas!$A$5:$A$44,$A4946,Premissas!$B$5:$B$44,$B4946))+R4946*SUMIFS(Premissas!$E$5:$E$44,Premissas!$A$5:$A$44,$A4946,Premissas!$B$5:$B$44,$B4946)+S4946*SUMIFS(Premissas!$F$5:$F$44,Premissas!$A$5:$A$44,$A4946,Premissas!$B$5:$B$44,$B4946)</f>
        <v/>
      </c>
      <c r="L4946" s="29">
        <f>J4946-K4946</f>
        <v/>
      </c>
      <c r="M4946" t="inlineStr">
        <is>
          <t>1.102</t>
        </is>
      </c>
      <c r="O4946" s="29" t="n">
        <v>0</v>
      </c>
      <c r="P4946" s="29" t="n">
        <v>0</v>
      </c>
      <c r="Q4946" s="29" t="n">
        <v>0</v>
      </c>
      <c r="R4946" s="29" t="n">
        <v>0</v>
      </c>
      <c r="S4946" s="29" t="n">
        <v>0</v>
      </c>
      <c r="T4946" t="inlineStr">
        <is>
          <t>25260317433873000190550010000132611016664016</t>
        </is>
      </c>
      <c r="U4946" t="inlineStr">
        <is>
          <t>Sim</t>
        </is>
      </c>
    </row>
    <row r="4947">
      <c r="A4947" t="inlineStr">
        <is>
          <t>Outras despesas pagas</t>
        </is>
      </c>
      <c r="B4947" t="inlineStr">
        <is>
          <t>Manutenção e serviços</t>
        </is>
      </c>
      <c r="C4947" s="30" t="n">
        <v>46113</v>
      </c>
      <c r="D4947" t="inlineStr">
        <is>
          <t>Em 2026</t>
        </is>
      </c>
      <c r="E4947" s="28" t="n">
        <v>46128</v>
      </c>
      <c r="F4947" t="inlineStr">
        <is>
          <t>NF-e</t>
        </is>
      </c>
      <c r="G4947" t="inlineStr">
        <is>
          <t>000309036</t>
        </is>
      </c>
      <c r="H4947" t="inlineStr">
        <is>
          <t>ALUMIFER ALUMINIO E FERRO LTDA.</t>
        </is>
      </c>
      <c r="I4947" t="inlineStr">
        <is>
          <t>05.515.224/0003-11</t>
        </is>
      </c>
      <c r="J4947" s="29" t="n">
        <v>590</v>
      </c>
      <c r="K4947" s="29">
        <f>(1-ISNUMBER(SEARCH("556",M4947)))*(O4947*SUMIFS(Premissas!$C$5:$C$44,Premissas!$A$5:$A$44,$A4947,Premissas!$B$5:$B$44,$B4947)+P4947*SUMIFS(Premissas!$D$5:$D$44,Premissas!$A$5:$A$44,$A4947,Premissas!$B$5:$B$44,$B4947))+R4947*SUMIFS(Premissas!$E$5:$E$44,Premissas!$A$5:$A$44,$A4947,Premissas!$B$5:$B$44,$B4947)+S4947*SUMIFS(Premissas!$F$5:$F$44,Premissas!$A$5:$A$44,$A4947,Premissas!$B$5:$B$44,$B4947)</f>
        <v/>
      </c>
      <c r="L4947" s="29">
        <f>J4947-K4947</f>
        <v/>
      </c>
      <c r="M4947" t="inlineStr">
        <is>
          <t>1.556</t>
        </is>
      </c>
      <c r="O4947" s="29" t="n">
        <v>0</v>
      </c>
      <c r="P4947" s="29" t="n">
        <v>118</v>
      </c>
      <c r="Q4947" s="29" t="n">
        <v>0</v>
      </c>
      <c r="R4947" s="29" t="n">
        <v>7.78</v>
      </c>
      <c r="S4947" s="29" t="n">
        <v>35.87</v>
      </c>
      <c r="T4947" t="inlineStr">
        <is>
          <t>25260405515224000311550010003090361289402915</t>
        </is>
      </c>
      <c r="U4947" t="inlineStr">
        <is>
          <t>Sim</t>
        </is>
      </c>
    </row>
    <row r="4948">
      <c r="A4948" t="inlineStr">
        <is>
          <t>Outras despesas pagas</t>
        </is>
      </c>
      <c r="B4948" t="inlineStr">
        <is>
          <t>Manutenção e serviços</t>
        </is>
      </c>
      <c r="C4948" s="30" t="n">
        <v>46113</v>
      </c>
      <c r="D4948" t="inlineStr">
        <is>
          <t>Em 2026</t>
        </is>
      </c>
      <c r="E4948" s="28" t="n">
        <v>46122</v>
      </c>
      <c r="F4948" t="inlineStr">
        <is>
          <t>NF-e</t>
        </is>
      </c>
      <c r="G4948" t="inlineStr">
        <is>
          <t>000092837</t>
        </is>
      </c>
      <c r="H4948" t="inlineStr">
        <is>
          <t>CONSTRUTIVA MATERIAIS ELETRICOS LTDA</t>
        </is>
      </c>
      <c r="I4948" t="inlineStr">
        <is>
          <t>06.267.222/0001-51</t>
        </is>
      </c>
      <c r="J4948" s="29" t="n">
        <v>633.25</v>
      </c>
      <c r="K4948" s="29">
        <f>(1-ISNUMBER(SEARCH("556",M4948)))*(O4948*SUMIFS(Premissas!$C$5:$C$44,Premissas!$A$5:$A$44,$A4948,Premissas!$B$5:$B$44,$B4948)+P4948*SUMIFS(Premissas!$D$5:$D$44,Premissas!$A$5:$A$44,$A4948,Premissas!$B$5:$B$44,$B4948))+R4948*SUMIFS(Premissas!$E$5:$E$44,Premissas!$A$5:$A$44,$A4948,Premissas!$B$5:$B$44,$B4948)+S4948*SUMIFS(Premissas!$F$5:$F$44,Premissas!$A$5:$A$44,$A4948,Premissas!$B$5:$B$44,$B4948)</f>
        <v/>
      </c>
      <c r="L4948" s="29">
        <f>J4948-K4948</f>
        <v/>
      </c>
      <c r="M4948" t="inlineStr">
        <is>
          <t>1.102, 1.556</t>
        </is>
      </c>
      <c r="N4948" t="inlineStr">
        <is>
          <t>Valor rateado entre categorias, como no Omie | Impostos rateados proporcionalmente ao valor da categoria (documento com mais de uma categoria)</t>
        </is>
      </c>
      <c r="O4948" s="29" t="n">
        <v>0</v>
      </c>
      <c r="P4948" s="29" t="n">
        <v>1.22</v>
      </c>
      <c r="Q4948" s="29" t="n">
        <v>0</v>
      </c>
      <c r="R4948" s="29" t="n">
        <v>4.11</v>
      </c>
      <c r="S4948" s="29" t="n">
        <v>18.96</v>
      </c>
      <c r="T4948" t="inlineStr">
        <is>
          <t>25260406267222000151550010000928371749418830</t>
        </is>
      </c>
      <c r="U4948" t="inlineStr">
        <is>
          <t>Sim</t>
        </is>
      </c>
    </row>
    <row r="4949">
      <c r="A4949" t="inlineStr">
        <is>
          <t>Outras despesas pagas</t>
        </is>
      </c>
      <c r="B4949" t="inlineStr">
        <is>
          <t>Manutenção e serviços</t>
        </is>
      </c>
      <c r="C4949" s="30" t="n">
        <v>46113</v>
      </c>
      <c r="D4949" t="inlineStr">
        <is>
          <t>Em 2026</t>
        </is>
      </c>
      <c r="E4949" s="28" t="n">
        <v>46118</v>
      </c>
      <c r="F4949" t="inlineStr">
        <is>
          <t>NF-e</t>
        </is>
      </c>
      <c r="G4949" t="inlineStr">
        <is>
          <t>000051503</t>
        </is>
      </c>
      <c r="H4949" t="inlineStr">
        <is>
          <t>ELETROPOLO ELETRICIDADE LTDA</t>
        </is>
      </c>
      <c r="I4949" t="inlineStr">
        <is>
          <t>02.375.199/0005-91</t>
        </is>
      </c>
      <c r="J4949" s="29" t="n">
        <v>1351</v>
      </c>
      <c r="K4949" s="29">
        <f>(1-ISNUMBER(SEARCH("556",M4949)))*(O4949*SUMIFS(Premissas!$C$5:$C$44,Premissas!$A$5:$A$44,$A4949,Premissas!$B$5:$B$44,$B4949)+P4949*SUMIFS(Premissas!$D$5:$D$44,Premissas!$A$5:$A$44,$A4949,Premissas!$B$5:$B$44,$B4949))+R4949*SUMIFS(Premissas!$E$5:$E$44,Premissas!$A$5:$A$44,$A4949,Premissas!$B$5:$B$44,$B4949)+S4949*SUMIFS(Premissas!$F$5:$F$44,Premissas!$A$5:$A$44,$A4949,Premissas!$B$5:$B$44,$B4949)</f>
        <v/>
      </c>
      <c r="L4949" s="29">
        <f>J4949-K4949</f>
        <v/>
      </c>
      <c r="M4949" t="inlineStr">
        <is>
          <t>1.102, 1.556</t>
        </is>
      </c>
      <c r="N4949" t="inlineStr">
        <is>
          <t>Valor rateado entre categorias, como no Omie | Impostos rateados proporcionalmente ao valor da categoria (documento com mais de uma categoria)</t>
        </is>
      </c>
      <c r="O4949" s="29" t="n">
        <v>0</v>
      </c>
      <c r="P4949" s="29" t="n">
        <v>85.63</v>
      </c>
      <c r="Q4949" s="29" t="n">
        <v>0</v>
      </c>
      <c r="R4949" s="29" t="n">
        <v>20.87</v>
      </c>
      <c r="S4949" s="29" t="n">
        <v>96.17</v>
      </c>
      <c r="T4949" t="inlineStr">
        <is>
          <t>25260402375199000591550030000515031001478189</t>
        </is>
      </c>
      <c r="U4949" t="inlineStr">
        <is>
          <t>Sim</t>
        </is>
      </c>
    </row>
    <row r="4950">
      <c r="A4950" t="inlineStr">
        <is>
          <t>Outras despesas pagas</t>
        </is>
      </c>
      <c r="B4950" t="inlineStr">
        <is>
          <t>Manutenção e serviços</t>
        </is>
      </c>
      <c r="C4950" s="30" t="n">
        <v>46174</v>
      </c>
      <c r="D4950" t="inlineStr">
        <is>
          <t>Em 2026</t>
        </is>
      </c>
      <c r="E4950" s="28" t="n">
        <v>46184</v>
      </c>
      <c r="F4950" t="inlineStr">
        <is>
          <t>NF-e</t>
        </is>
      </c>
      <c r="G4950" t="inlineStr">
        <is>
          <t>000160132</t>
        </is>
      </c>
      <c r="H4950" t="inlineStr">
        <is>
          <t>Beltex Ind. e Com. de Correias Ltda.</t>
        </is>
      </c>
      <c r="I4950" t="inlineStr">
        <is>
          <t>82.317.900/0001-21</t>
        </is>
      </c>
      <c r="J4950" s="29" t="n">
        <v>3229.63</v>
      </c>
      <c r="K4950" s="29">
        <f>(1-ISNUMBER(SEARCH("556",M4950)))*(O4950*SUMIFS(Premissas!$C$5:$C$44,Premissas!$A$5:$A$44,$A4950,Premissas!$B$5:$B$44,$B4950)+P4950*SUMIFS(Premissas!$D$5:$D$44,Premissas!$A$5:$A$44,$A4950,Premissas!$B$5:$B$44,$B4950))+R4950*SUMIFS(Premissas!$E$5:$E$44,Premissas!$A$5:$A$44,$A4950,Premissas!$B$5:$B$44,$B4950)+S4950*SUMIFS(Premissas!$F$5:$F$44,Premissas!$A$5:$A$44,$A4950,Premissas!$B$5:$B$44,$B4950)</f>
        <v/>
      </c>
      <c r="L4950" s="29">
        <f>J4950-K4950</f>
        <v/>
      </c>
      <c r="M4950" t="inlineStr">
        <is>
          <t>2.556</t>
        </is>
      </c>
      <c r="O4950" s="29" t="n">
        <v>173.62</v>
      </c>
      <c r="P4950" s="29" t="n">
        <v>226.07</v>
      </c>
      <c r="Q4950" s="29" t="n">
        <v>0</v>
      </c>
      <c r="R4950" s="29" t="n">
        <v>18.39</v>
      </c>
      <c r="S4950" s="29" t="n">
        <v>84.90000000000001</v>
      </c>
      <c r="T4950" t="inlineStr">
        <is>
          <t>41260682317900000121550010001601321011674517</t>
        </is>
      </c>
      <c r="U4950" t="inlineStr">
        <is>
          <t>Sim</t>
        </is>
      </c>
    </row>
    <row r="4951">
      <c r="A4951" t="inlineStr">
        <is>
          <t>Outras despesas pagas</t>
        </is>
      </c>
      <c r="B4951" t="inlineStr">
        <is>
          <t>Manutenção e serviços</t>
        </is>
      </c>
      <c r="C4951" s="30" t="n">
        <v>46174</v>
      </c>
      <c r="D4951" t="inlineStr">
        <is>
          <t>Em 2026</t>
        </is>
      </c>
      <c r="E4951" s="28" t="n">
        <v>46185</v>
      </c>
      <c r="F4951" t="inlineStr">
        <is>
          <t>NF-e</t>
        </is>
      </c>
      <c r="G4951" t="inlineStr">
        <is>
          <t>000014392</t>
        </is>
      </c>
      <c r="H4951" t="inlineStr">
        <is>
          <t>EDNA DE ARAUJO PACHECO LTDA</t>
        </is>
      </c>
      <c r="I4951" t="inlineStr">
        <is>
          <t>17.433.873/0001-90</t>
        </is>
      </c>
      <c r="J4951" s="29" t="n">
        <v>1183.7</v>
      </c>
      <c r="K4951" s="29">
        <f>(1-ISNUMBER(SEARCH("556",M4951)))*(O4951*SUMIFS(Premissas!$C$5:$C$44,Premissas!$A$5:$A$44,$A4951,Premissas!$B$5:$B$44,$B4951)+P4951*SUMIFS(Premissas!$D$5:$D$44,Premissas!$A$5:$A$44,$A4951,Premissas!$B$5:$B$44,$B4951))+R4951*SUMIFS(Premissas!$E$5:$E$44,Premissas!$A$5:$A$44,$A4951,Premissas!$B$5:$B$44,$B4951)+S4951*SUMIFS(Premissas!$F$5:$F$44,Premissas!$A$5:$A$44,$A4951,Premissas!$B$5:$B$44,$B4951)</f>
        <v/>
      </c>
      <c r="L4951" s="29">
        <f>J4951-K4951</f>
        <v/>
      </c>
      <c r="M4951" t="inlineStr">
        <is>
          <t>1.556</t>
        </is>
      </c>
      <c r="N4951" t="inlineStr">
        <is>
          <t>Valor rateado entre categorias, como no Omie</t>
        </is>
      </c>
      <c r="O4951" s="29" t="n">
        <v>0</v>
      </c>
      <c r="P4951" s="29" t="n">
        <v>0</v>
      </c>
      <c r="Q4951" s="29" t="n">
        <v>0</v>
      </c>
      <c r="R4951" s="29" t="n">
        <v>0</v>
      </c>
      <c r="S4951" s="29" t="n">
        <v>0</v>
      </c>
      <c r="T4951" t="inlineStr">
        <is>
          <t>25260617433873000190550010000143921016664013</t>
        </is>
      </c>
      <c r="U4951" t="inlineStr">
        <is>
          <t>Sim</t>
        </is>
      </c>
    </row>
    <row r="4952">
      <c r="A4952" t="inlineStr">
        <is>
          <t>Outras despesas pagas</t>
        </is>
      </c>
      <c r="B4952" t="inlineStr">
        <is>
          <t>Manutenção e serviços</t>
        </is>
      </c>
      <c r="C4952" s="30" t="n">
        <v>46174</v>
      </c>
      <c r="D4952" t="inlineStr">
        <is>
          <t>Em 2026</t>
        </is>
      </c>
      <c r="E4952" s="28" t="n">
        <v>46191</v>
      </c>
      <c r="F4952" t="inlineStr">
        <is>
          <t>NF-e</t>
        </is>
      </c>
      <c r="G4952" t="inlineStr">
        <is>
          <t>000057219</t>
        </is>
      </c>
      <c r="H4952" t="inlineStr">
        <is>
          <t>ELETROPOLO ELETRICIDADE LTDA</t>
        </is>
      </c>
      <c r="I4952" t="inlineStr">
        <is>
          <t>02.375.199/0005-91</t>
        </is>
      </c>
      <c r="J4952" s="29" t="n">
        <v>403.19</v>
      </c>
      <c r="K4952" s="29">
        <f>(1-ISNUMBER(SEARCH("556",M4952)))*(O4952*SUMIFS(Premissas!$C$5:$C$44,Premissas!$A$5:$A$44,$A4952,Premissas!$B$5:$B$44,$B4952)+P4952*SUMIFS(Premissas!$D$5:$D$44,Premissas!$A$5:$A$44,$A4952,Premissas!$B$5:$B$44,$B4952))+R4952*SUMIFS(Premissas!$E$5:$E$44,Premissas!$A$5:$A$44,$A4952,Premissas!$B$5:$B$44,$B4952)+S4952*SUMIFS(Premissas!$F$5:$F$44,Premissas!$A$5:$A$44,$A4952,Premissas!$B$5:$B$44,$B4952)</f>
        <v/>
      </c>
      <c r="L4952" s="29">
        <f>J4952-K4952</f>
        <v/>
      </c>
      <c r="M4952" t="inlineStr">
        <is>
          <t>1.556</t>
        </is>
      </c>
      <c r="O4952" s="29" t="n">
        <v>0</v>
      </c>
      <c r="P4952" s="29" t="n">
        <v>80.64</v>
      </c>
      <c r="Q4952" s="29" t="n">
        <v>0</v>
      </c>
      <c r="R4952" s="29" t="n">
        <v>5.32</v>
      </c>
      <c r="S4952" s="29" t="n">
        <v>24.51</v>
      </c>
      <c r="T4952" t="inlineStr">
        <is>
          <t>25260602375199000591550030000572191004806207</t>
        </is>
      </c>
      <c r="U4952" t="inlineStr">
        <is>
          <t>Sim</t>
        </is>
      </c>
    </row>
    <row r="4953">
      <c r="A4953" t="inlineStr">
        <is>
          <t>Outras despesas pagas</t>
        </is>
      </c>
      <c r="B4953" t="inlineStr">
        <is>
          <t>Manutenção e serviços</t>
        </is>
      </c>
      <c r="C4953" s="30" t="n">
        <v>46174</v>
      </c>
      <c r="D4953" t="inlineStr">
        <is>
          <t>Em 2026</t>
        </is>
      </c>
      <c r="E4953" s="28" t="n">
        <v>46177</v>
      </c>
      <c r="F4953" t="inlineStr">
        <is>
          <t>NF-e</t>
        </is>
      </c>
      <c r="G4953" t="inlineStr">
        <is>
          <t>000104864</t>
        </is>
      </c>
      <c r="H4953" t="inlineStr">
        <is>
          <t>FERGE COMERCIO DE PRODUTOS INDUSTRIAIS LTDA</t>
        </is>
      </c>
      <c r="I4953" t="inlineStr">
        <is>
          <t>09.057.961/0001-07</t>
        </is>
      </c>
      <c r="J4953" s="29" t="n">
        <v>160</v>
      </c>
      <c r="K4953" s="29">
        <f>(1-ISNUMBER(SEARCH("556",M4953)))*(O4953*SUMIFS(Premissas!$C$5:$C$44,Premissas!$A$5:$A$44,$A4953,Premissas!$B$5:$B$44,$B4953)+P4953*SUMIFS(Premissas!$D$5:$D$44,Premissas!$A$5:$A$44,$A4953,Premissas!$B$5:$B$44,$B4953))+R4953*SUMIFS(Premissas!$E$5:$E$44,Premissas!$A$5:$A$44,$A4953,Premissas!$B$5:$B$44,$B4953)+S4953*SUMIFS(Premissas!$F$5:$F$44,Premissas!$A$5:$A$44,$A4953,Premissas!$B$5:$B$44,$B4953)</f>
        <v/>
      </c>
      <c r="L4953" s="29">
        <f>J4953-K4953</f>
        <v/>
      </c>
      <c r="M4953" t="inlineStr">
        <is>
          <t>1.556</t>
        </is>
      </c>
      <c r="O4953" s="29" t="n">
        <v>0</v>
      </c>
      <c r="P4953" s="29" t="n">
        <v>32</v>
      </c>
      <c r="Q4953" s="29" t="n">
        <v>0</v>
      </c>
      <c r="R4953" s="29" t="n">
        <v>0</v>
      </c>
      <c r="S4953" s="29" t="n">
        <v>0</v>
      </c>
      <c r="T4953" t="inlineStr">
        <is>
          <t>25260609057961000107550010001048641016664014</t>
        </is>
      </c>
      <c r="U4953" t="inlineStr">
        <is>
          <t>Sim</t>
        </is>
      </c>
    </row>
    <row r="4954">
      <c r="A4954" t="inlineStr">
        <is>
          <t>Outras despesas pagas</t>
        </is>
      </c>
      <c r="B4954" t="inlineStr">
        <is>
          <t>Manutenção e serviços</t>
        </is>
      </c>
      <c r="C4954" s="30" t="n">
        <v>46174</v>
      </c>
      <c r="D4954" t="inlineStr">
        <is>
          <t>Em 2026</t>
        </is>
      </c>
      <c r="E4954" s="28" t="n">
        <v>46185</v>
      </c>
      <c r="F4954" t="inlineStr">
        <is>
          <t>NF-e</t>
        </is>
      </c>
      <c r="G4954" t="inlineStr">
        <is>
          <t>000105080</t>
        </is>
      </c>
      <c r="H4954" t="inlineStr">
        <is>
          <t>FERGE COMERCIO DE PRODUTOS INDUSTRIAIS LTDA</t>
        </is>
      </c>
      <c r="I4954" t="inlineStr">
        <is>
          <t>09.057.961/0001-07</t>
        </is>
      </c>
      <c r="J4954" s="29" t="n">
        <v>620</v>
      </c>
      <c r="K4954" s="29">
        <f>(1-ISNUMBER(SEARCH("556",M4954)))*(O4954*SUMIFS(Premissas!$C$5:$C$44,Premissas!$A$5:$A$44,$A4954,Premissas!$B$5:$B$44,$B4954)+P4954*SUMIFS(Premissas!$D$5:$D$44,Premissas!$A$5:$A$44,$A4954,Premissas!$B$5:$B$44,$B4954))+R4954*SUMIFS(Premissas!$E$5:$E$44,Premissas!$A$5:$A$44,$A4954,Premissas!$B$5:$B$44,$B4954)+S4954*SUMIFS(Premissas!$F$5:$F$44,Premissas!$A$5:$A$44,$A4954,Premissas!$B$5:$B$44,$B4954)</f>
        <v/>
      </c>
      <c r="L4954" s="29">
        <f>J4954-K4954</f>
        <v/>
      </c>
      <c r="M4954" t="inlineStr">
        <is>
          <t>1.556</t>
        </is>
      </c>
      <c r="O4954" s="29" t="n">
        <v>0</v>
      </c>
      <c r="P4954" s="29" t="n">
        <v>124</v>
      </c>
      <c r="Q4954" s="29" t="n">
        <v>0</v>
      </c>
      <c r="R4954" s="29" t="n">
        <v>0</v>
      </c>
      <c r="S4954" s="29" t="n">
        <v>0</v>
      </c>
      <c r="T4954" t="inlineStr">
        <is>
          <t>25260609057961000107550010001050801016664019</t>
        </is>
      </c>
      <c r="U4954" t="inlineStr">
        <is>
          <t>Sim</t>
        </is>
      </c>
    </row>
    <row r="4955">
      <c r="A4955" t="inlineStr">
        <is>
          <t>Outras despesas pagas</t>
        </is>
      </c>
      <c r="B4955" t="inlineStr">
        <is>
          <t>Manutenção e serviços</t>
        </is>
      </c>
      <c r="C4955" s="30" t="n">
        <v>46174</v>
      </c>
      <c r="D4955" t="inlineStr">
        <is>
          <t>Em 2026</t>
        </is>
      </c>
      <c r="E4955" s="28" t="n">
        <v>46188</v>
      </c>
      <c r="F4955" t="inlineStr">
        <is>
          <t>NF-e</t>
        </is>
      </c>
      <c r="G4955" t="inlineStr">
        <is>
          <t>000105121</t>
        </is>
      </c>
      <c r="H4955" t="inlineStr">
        <is>
          <t>FERGE COMERCIO DE PRODUTOS INDUSTRIAIS LTDA</t>
        </is>
      </c>
      <c r="I4955" t="inlineStr">
        <is>
          <t>09.057.961/0001-07</t>
        </is>
      </c>
      <c r="J4955" s="29" t="n">
        <v>392</v>
      </c>
      <c r="K4955" s="29">
        <f>(1-ISNUMBER(SEARCH("556",M4955)))*(O4955*SUMIFS(Premissas!$C$5:$C$44,Premissas!$A$5:$A$44,$A4955,Premissas!$B$5:$B$44,$B4955)+P4955*SUMIFS(Premissas!$D$5:$D$44,Premissas!$A$5:$A$44,$A4955,Premissas!$B$5:$B$44,$B4955))+R4955*SUMIFS(Premissas!$E$5:$E$44,Premissas!$A$5:$A$44,$A4955,Premissas!$B$5:$B$44,$B4955)+S4955*SUMIFS(Premissas!$F$5:$F$44,Premissas!$A$5:$A$44,$A4955,Premissas!$B$5:$B$44,$B4955)</f>
        <v/>
      </c>
      <c r="L4955" s="29">
        <f>J4955-K4955</f>
        <v/>
      </c>
      <c r="M4955" t="inlineStr">
        <is>
          <t>1.102</t>
        </is>
      </c>
      <c r="O4955" s="29" t="n">
        <v>0</v>
      </c>
      <c r="P4955" s="29" t="n">
        <v>78.40000000000001</v>
      </c>
      <c r="Q4955" s="29" t="n">
        <v>0</v>
      </c>
      <c r="R4955" s="29" t="n">
        <v>0</v>
      </c>
      <c r="S4955" s="29" t="n">
        <v>0</v>
      </c>
      <c r="T4955" t="inlineStr">
        <is>
          <t>25260609057961000107550010001051211016664013</t>
        </is>
      </c>
      <c r="U4955" t="inlineStr">
        <is>
          <t>Sim</t>
        </is>
      </c>
    </row>
    <row r="4956">
      <c r="A4956" t="inlineStr">
        <is>
          <t>Outras despesas pagas</t>
        </is>
      </c>
      <c r="B4956" t="inlineStr">
        <is>
          <t>Manutenção e serviços</t>
        </is>
      </c>
      <c r="C4956" s="30" t="n">
        <v>46174</v>
      </c>
      <c r="D4956" t="inlineStr">
        <is>
          <t>Em 2026</t>
        </is>
      </c>
      <c r="E4956" s="28" t="n">
        <v>46192</v>
      </c>
      <c r="F4956" t="inlineStr">
        <is>
          <t>NF-e</t>
        </is>
      </c>
      <c r="G4956" t="inlineStr">
        <is>
          <t>000105277</t>
        </is>
      </c>
      <c r="H4956" t="inlineStr">
        <is>
          <t>FERGE COMERCIO DE PRODUTOS INDUSTRIAIS LTDA</t>
        </is>
      </c>
      <c r="I4956" t="inlineStr">
        <is>
          <t>09.057.961/0001-07</t>
        </is>
      </c>
      <c r="J4956" s="29" t="n">
        <v>315</v>
      </c>
      <c r="K4956" s="29">
        <f>(1-ISNUMBER(SEARCH("556",M4956)))*(O4956*SUMIFS(Premissas!$C$5:$C$44,Premissas!$A$5:$A$44,$A4956,Premissas!$B$5:$B$44,$B4956)+P4956*SUMIFS(Premissas!$D$5:$D$44,Premissas!$A$5:$A$44,$A4956,Premissas!$B$5:$B$44,$B4956))+R4956*SUMIFS(Premissas!$E$5:$E$44,Premissas!$A$5:$A$44,$A4956,Premissas!$B$5:$B$44,$B4956)+S4956*SUMIFS(Premissas!$F$5:$F$44,Premissas!$A$5:$A$44,$A4956,Premissas!$B$5:$B$44,$B4956)</f>
        <v/>
      </c>
      <c r="L4956" s="29">
        <f>J4956-K4956</f>
        <v/>
      </c>
      <c r="M4956" t="inlineStr">
        <is>
          <t>1.556</t>
        </is>
      </c>
      <c r="O4956" s="29" t="n">
        <v>0</v>
      </c>
      <c r="P4956" s="29" t="n">
        <v>63</v>
      </c>
      <c r="Q4956" s="29" t="n">
        <v>0</v>
      </c>
      <c r="R4956" s="29" t="n">
        <v>0</v>
      </c>
      <c r="S4956" s="29" t="n">
        <v>0</v>
      </c>
      <c r="T4956" t="inlineStr">
        <is>
          <t>25260609057961000107550010001052771016664014</t>
        </is>
      </c>
      <c r="U4956" t="inlineStr">
        <is>
          <t>Sim</t>
        </is>
      </c>
    </row>
    <row r="4957">
      <c r="A4957" t="inlineStr">
        <is>
          <t>Outras despesas pagas</t>
        </is>
      </c>
      <c r="B4957" t="inlineStr">
        <is>
          <t>Manutenção e serviços</t>
        </is>
      </c>
      <c r="C4957" s="30" t="n">
        <v>46174</v>
      </c>
      <c r="D4957" t="inlineStr">
        <is>
          <t>Em 2026</t>
        </is>
      </c>
      <c r="E4957" s="28" t="n">
        <v>46195</v>
      </c>
      <c r="F4957" t="inlineStr">
        <is>
          <t>NF-e</t>
        </is>
      </c>
      <c r="G4957" t="inlineStr">
        <is>
          <t>000072400</t>
        </is>
      </c>
      <c r="H4957" t="inlineStr">
        <is>
          <t>FURNAX COMERCIAL E IMPORTADORA EIRELI</t>
        </is>
      </c>
      <c r="I4957" t="inlineStr">
        <is>
          <t>00.144.257/0001-17</t>
        </is>
      </c>
      <c r="J4957" s="29" t="n">
        <v>4273.86</v>
      </c>
      <c r="K4957" s="29">
        <f>(1-ISNUMBER(SEARCH("556",M4957)))*(O4957*SUMIFS(Premissas!$C$5:$C$44,Premissas!$A$5:$A$44,$A4957,Premissas!$B$5:$B$44,$B4957)+P4957*SUMIFS(Premissas!$D$5:$D$44,Premissas!$A$5:$A$44,$A4957,Premissas!$B$5:$B$44,$B4957))+R4957*SUMIFS(Premissas!$E$5:$E$44,Premissas!$A$5:$A$44,$A4957,Premissas!$B$5:$B$44,$B4957)+S4957*SUMIFS(Premissas!$F$5:$F$44,Premissas!$A$5:$A$44,$A4957,Premissas!$B$5:$B$44,$B4957)</f>
        <v/>
      </c>
      <c r="L4957" s="29">
        <f>J4957-K4957</f>
        <v/>
      </c>
      <c r="M4957" t="inlineStr">
        <is>
          <t>2.556</t>
        </is>
      </c>
      <c r="O4957" s="29" t="n">
        <v>134.53</v>
      </c>
      <c r="P4957" s="29" t="n">
        <v>170.95</v>
      </c>
      <c r="Q4957" s="29" t="n">
        <v>0</v>
      </c>
      <c r="R4957" s="29" t="n">
        <v>65.48</v>
      </c>
      <c r="S4957" s="29" t="n">
        <v>301.6</v>
      </c>
      <c r="T4957" t="inlineStr">
        <is>
          <t>35260600144257000117550010000724001921794190</t>
        </is>
      </c>
      <c r="U4957" t="inlineStr">
        <is>
          <t>Sim</t>
        </is>
      </c>
    </row>
    <row r="4958">
      <c r="A4958" t="inlineStr">
        <is>
          <t>Outras despesas pagas</t>
        </is>
      </c>
      <c r="B4958" t="inlineStr">
        <is>
          <t>Manutenção e serviços</t>
        </is>
      </c>
      <c r="C4958" s="30" t="n">
        <v>46174</v>
      </c>
      <c r="D4958" t="inlineStr">
        <is>
          <t>Em 2026</t>
        </is>
      </c>
      <c r="E4958" s="28" t="n">
        <v>46184</v>
      </c>
      <c r="F4958" t="inlineStr">
        <is>
          <t>NF-e</t>
        </is>
      </c>
      <c r="G4958" t="inlineStr">
        <is>
          <t>000010118</t>
        </is>
      </c>
      <c r="H4958" t="inlineStr">
        <is>
          <t>LED NORDESTE ILUMINACAO LTDA</t>
        </is>
      </c>
      <c r="I4958" t="inlineStr">
        <is>
          <t>11.651.809/0001-08</t>
        </is>
      </c>
      <c r="J4958" s="29" t="n">
        <v>705</v>
      </c>
      <c r="K4958" s="29">
        <f>(1-ISNUMBER(SEARCH("556",M4958)))*(O4958*SUMIFS(Premissas!$C$5:$C$44,Premissas!$A$5:$A$44,$A4958,Premissas!$B$5:$B$44,$B4958)+P4958*SUMIFS(Premissas!$D$5:$D$44,Premissas!$A$5:$A$44,$A4958,Premissas!$B$5:$B$44,$B4958))+R4958*SUMIFS(Premissas!$E$5:$E$44,Premissas!$A$5:$A$44,$A4958,Premissas!$B$5:$B$44,$B4958)+S4958*SUMIFS(Premissas!$F$5:$F$44,Premissas!$A$5:$A$44,$A4958,Premissas!$B$5:$B$44,$B4958)</f>
        <v/>
      </c>
      <c r="L4958" s="29">
        <f>J4958-K4958</f>
        <v/>
      </c>
      <c r="M4958" t="inlineStr">
        <is>
          <t>2.403</t>
        </is>
      </c>
      <c r="O4958" s="29" t="n">
        <v>0</v>
      </c>
      <c r="P4958" s="29" t="n">
        <v>0</v>
      </c>
      <c r="Q4958" s="29" t="n">
        <v>0</v>
      </c>
      <c r="R4958" s="29" t="n">
        <v>0</v>
      </c>
      <c r="S4958" s="29" t="n">
        <v>0</v>
      </c>
      <c r="T4958" t="inlineStr">
        <is>
          <t>23260611651809000108550010000101181000058284</t>
        </is>
      </c>
      <c r="U4958" t="inlineStr">
        <is>
          <t>Sim</t>
        </is>
      </c>
    </row>
    <row r="4959">
      <c r="A4959" t="inlineStr">
        <is>
          <t>Outras despesas pagas</t>
        </is>
      </c>
      <c r="B4959" t="inlineStr">
        <is>
          <t>Manutenção e serviços</t>
        </is>
      </c>
      <c r="C4959" s="30" t="n">
        <v>46174</v>
      </c>
      <c r="D4959" t="inlineStr">
        <is>
          <t>Em 2026</t>
        </is>
      </c>
      <c r="E4959" s="28" t="n">
        <v>46203</v>
      </c>
      <c r="F4959" t="inlineStr">
        <is>
          <t>NF-e</t>
        </is>
      </c>
      <c r="G4959" t="inlineStr">
        <is>
          <t>000282371</t>
        </is>
      </c>
      <c r="H4959" t="inlineStr">
        <is>
          <t>ROLIMEC ROLAMENTOS LTDA</t>
        </is>
      </c>
      <c r="I4959" t="inlineStr">
        <is>
          <t>01.612.046/0001-24</t>
        </is>
      </c>
      <c r="J4959" s="29" t="n">
        <v>4146</v>
      </c>
      <c r="K4959" s="29">
        <f>(1-ISNUMBER(SEARCH("556",M4959)))*(O4959*SUMIFS(Premissas!$C$5:$C$44,Premissas!$A$5:$A$44,$A4959,Premissas!$B$5:$B$44,$B4959)+P4959*SUMIFS(Premissas!$D$5:$D$44,Premissas!$A$5:$A$44,$A4959,Premissas!$B$5:$B$44,$B4959))+R4959*SUMIFS(Premissas!$E$5:$E$44,Premissas!$A$5:$A$44,$A4959,Premissas!$B$5:$B$44,$B4959)+S4959*SUMIFS(Premissas!$F$5:$F$44,Premissas!$A$5:$A$44,$A4959,Premissas!$B$5:$B$44,$B4959)</f>
        <v/>
      </c>
      <c r="L4959" s="29">
        <f>J4959-K4959</f>
        <v/>
      </c>
      <c r="M4959" t="inlineStr">
        <is>
          <t>2.556</t>
        </is>
      </c>
      <c r="O4959" s="29" t="n">
        <v>0</v>
      </c>
      <c r="P4959" s="29" t="n">
        <v>246.24</v>
      </c>
      <c r="Q4959" s="29" t="n">
        <v>0</v>
      </c>
      <c r="R4959" s="29" t="n">
        <v>26.9</v>
      </c>
      <c r="S4959" s="29" t="n">
        <v>124.16</v>
      </c>
      <c r="T4959" t="inlineStr">
        <is>
          <t>26260601612046000124550010002823711181838944</t>
        </is>
      </c>
      <c r="U4959" t="inlineStr">
        <is>
          <t>Sim</t>
        </is>
      </c>
    </row>
    <row r="4960">
      <c r="A4960" t="inlineStr">
        <is>
          <t>Outras despesas pagas</t>
        </is>
      </c>
      <c r="B4960" t="inlineStr">
        <is>
          <t>Manutenção e serviços</t>
        </is>
      </c>
      <c r="C4960" s="30" t="n">
        <v>46204</v>
      </c>
      <c r="D4960" t="inlineStr">
        <is>
          <t>Em 2026</t>
        </is>
      </c>
      <c r="E4960" s="28" t="n">
        <v>46212</v>
      </c>
      <c r="F4960" t="inlineStr">
        <is>
          <t>NF-e</t>
        </is>
      </c>
      <c r="G4960" t="inlineStr">
        <is>
          <t>000014701</t>
        </is>
      </c>
      <c r="H4960" t="inlineStr">
        <is>
          <t>EDNA DE ARAUJO PACHECO LTDA</t>
        </is>
      </c>
      <c r="I4960" t="inlineStr">
        <is>
          <t>17.433.873/0001-90</t>
        </is>
      </c>
      <c r="J4960" s="29" t="n">
        <v>214.9</v>
      </c>
      <c r="K4960" s="29">
        <f>(1-ISNUMBER(SEARCH("556",M4960)))*(O4960*SUMIFS(Premissas!$C$5:$C$44,Premissas!$A$5:$A$44,$A4960,Premissas!$B$5:$B$44,$B4960)+P4960*SUMIFS(Premissas!$D$5:$D$44,Premissas!$A$5:$A$44,$A4960,Premissas!$B$5:$B$44,$B4960))+R4960*SUMIFS(Premissas!$E$5:$E$44,Premissas!$A$5:$A$44,$A4960,Premissas!$B$5:$B$44,$B4960)+S4960*SUMIFS(Premissas!$F$5:$F$44,Premissas!$A$5:$A$44,$A4960,Premissas!$B$5:$B$44,$B4960)</f>
        <v/>
      </c>
      <c r="L4960" s="29">
        <f>J4960-K4960</f>
        <v/>
      </c>
      <c r="M4960" t="inlineStr">
        <is>
          <t>1.556</t>
        </is>
      </c>
      <c r="O4960" s="29" t="n">
        <v>0</v>
      </c>
      <c r="P4960" s="29" t="n">
        <v>0</v>
      </c>
      <c r="Q4960" s="29" t="n">
        <v>0</v>
      </c>
      <c r="R4960" s="29" t="n">
        <v>0</v>
      </c>
      <c r="S4960" s="29" t="n">
        <v>0</v>
      </c>
      <c r="T4960" t="inlineStr">
        <is>
          <t>25260717433873000190550010000147011016664014</t>
        </is>
      </c>
      <c r="U4960" t="inlineStr">
        <is>
          <t>Sim</t>
        </is>
      </c>
    </row>
    <row r="4961">
      <c r="A4961" t="inlineStr">
        <is>
          <t>Outras despesas pagas</t>
        </is>
      </c>
      <c r="B4961" t="inlineStr">
        <is>
          <t>Manutenção e serviços</t>
        </is>
      </c>
      <c r="C4961" s="30" t="n">
        <v>46204</v>
      </c>
      <c r="D4961" t="inlineStr">
        <is>
          <t>Em 2026</t>
        </is>
      </c>
      <c r="E4961" s="28" t="n">
        <v>46213</v>
      </c>
      <c r="F4961" t="inlineStr">
        <is>
          <t>NF-e</t>
        </is>
      </c>
      <c r="G4961" t="inlineStr">
        <is>
          <t>000014706</t>
        </is>
      </c>
      <c r="H4961" t="inlineStr">
        <is>
          <t>EDNA DE ARAUJO PACHECO LTDA</t>
        </is>
      </c>
      <c r="I4961" t="inlineStr">
        <is>
          <t>17.433.873/0001-90</t>
        </is>
      </c>
      <c r="J4961" s="29" t="n">
        <v>213.28</v>
      </c>
      <c r="K4961" s="29">
        <f>(1-ISNUMBER(SEARCH("556",M4961)))*(O4961*SUMIFS(Premissas!$C$5:$C$44,Premissas!$A$5:$A$44,$A4961,Premissas!$B$5:$B$44,$B4961)+P4961*SUMIFS(Premissas!$D$5:$D$44,Premissas!$A$5:$A$44,$A4961,Premissas!$B$5:$B$44,$B4961))+R4961*SUMIFS(Premissas!$E$5:$E$44,Premissas!$A$5:$A$44,$A4961,Premissas!$B$5:$B$44,$B4961)+S4961*SUMIFS(Premissas!$F$5:$F$44,Premissas!$A$5:$A$44,$A4961,Premissas!$B$5:$B$44,$B4961)</f>
        <v/>
      </c>
      <c r="L4961" s="29">
        <f>J4961-K4961</f>
        <v/>
      </c>
      <c r="M4961" t="inlineStr">
        <is>
          <t>1.556</t>
        </is>
      </c>
      <c r="O4961" s="29" t="n">
        <v>0</v>
      </c>
      <c r="P4961" s="29" t="n">
        <v>0</v>
      </c>
      <c r="Q4961" s="29" t="n">
        <v>0</v>
      </c>
      <c r="R4961" s="29" t="n">
        <v>0</v>
      </c>
      <c r="S4961" s="29" t="n">
        <v>0</v>
      </c>
      <c r="T4961" t="inlineStr">
        <is>
          <t>25260717433873000190550010000147061016664010</t>
        </is>
      </c>
      <c r="U4961" t="inlineStr">
        <is>
          <t>Sim</t>
        </is>
      </c>
    </row>
    <row r="4962">
      <c r="A4962" t="inlineStr">
        <is>
          <t>Outras despesas pagas</t>
        </is>
      </c>
      <c r="B4962" t="inlineStr">
        <is>
          <t>Manutenção e serviços</t>
        </is>
      </c>
      <c r="C4962" s="30" t="n">
        <v>46204</v>
      </c>
      <c r="D4962" t="inlineStr">
        <is>
          <t>Em 2026</t>
        </is>
      </c>
      <c r="E4962" s="28" t="n">
        <v>46218</v>
      </c>
      <c r="F4962" t="inlineStr">
        <is>
          <t>NF-e</t>
        </is>
      </c>
      <c r="G4962" t="inlineStr">
        <is>
          <t>000014776</t>
        </is>
      </c>
      <c r="H4962" t="inlineStr">
        <is>
          <t>EDNA DE ARAUJO PACHECO LTDA</t>
        </is>
      </c>
      <c r="I4962" t="inlineStr">
        <is>
          <t>17.433.873/0001-90</t>
        </is>
      </c>
      <c r="J4962" s="29" t="n">
        <v>169.12</v>
      </c>
      <c r="K4962" s="29">
        <f>(1-ISNUMBER(SEARCH("556",M4962)))*(O4962*SUMIFS(Premissas!$C$5:$C$44,Premissas!$A$5:$A$44,$A4962,Premissas!$B$5:$B$44,$B4962)+P4962*SUMIFS(Premissas!$D$5:$D$44,Premissas!$A$5:$A$44,$A4962,Premissas!$B$5:$B$44,$B4962))+R4962*SUMIFS(Premissas!$E$5:$E$44,Premissas!$A$5:$A$44,$A4962,Premissas!$B$5:$B$44,$B4962)+S4962*SUMIFS(Premissas!$F$5:$F$44,Premissas!$A$5:$A$44,$A4962,Premissas!$B$5:$B$44,$B4962)</f>
        <v/>
      </c>
      <c r="L4962" s="29">
        <f>J4962-K4962</f>
        <v/>
      </c>
      <c r="M4962" t="inlineStr">
        <is>
          <t>1.556</t>
        </is>
      </c>
      <c r="O4962" s="29" t="n">
        <v>0</v>
      </c>
      <c r="P4962" s="29" t="n">
        <v>0</v>
      </c>
      <c r="Q4962" s="29" t="n">
        <v>0</v>
      </c>
      <c r="R4962" s="29" t="n">
        <v>0</v>
      </c>
      <c r="S4962" s="29" t="n">
        <v>0</v>
      </c>
      <c r="T4962" t="inlineStr">
        <is>
          <t>25260717433873000190550010000147761016664015</t>
        </is>
      </c>
      <c r="U4962" t="inlineStr">
        <is>
          <t>Sim</t>
        </is>
      </c>
    </row>
    <row r="4963">
      <c r="A4963" t="inlineStr">
        <is>
          <t>Outras despesas pagas</t>
        </is>
      </c>
      <c r="B4963" t="inlineStr">
        <is>
          <t>Manutenção e serviços</t>
        </is>
      </c>
      <c r="C4963" s="30" t="n">
        <v>46204</v>
      </c>
      <c r="D4963" t="inlineStr">
        <is>
          <t>Em 2026</t>
        </is>
      </c>
      <c r="E4963" s="28" t="n">
        <v>46231</v>
      </c>
      <c r="F4963" t="inlineStr">
        <is>
          <t>NF-e</t>
        </is>
      </c>
      <c r="G4963" t="inlineStr">
        <is>
          <t>000014935</t>
        </is>
      </c>
      <c r="H4963" t="inlineStr">
        <is>
          <t>EDNA DE ARAUJO PACHECO LTDA</t>
        </is>
      </c>
      <c r="I4963" t="inlineStr">
        <is>
          <t>17.433.873/0001-90</t>
        </is>
      </c>
      <c r="J4963" s="29" t="n">
        <v>143.14</v>
      </c>
      <c r="K4963" s="29">
        <f>(1-ISNUMBER(SEARCH("556",M4963)))*(O4963*SUMIFS(Premissas!$C$5:$C$44,Premissas!$A$5:$A$44,$A4963,Premissas!$B$5:$B$44,$B4963)+P4963*SUMIFS(Premissas!$D$5:$D$44,Premissas!$A$5:$A$44,$A4963,Premissas!$B$5:$B$44,$B4963))+R4963*SUMIFS(Premissas!$E$5:$E$44,Premissas!$A$5:$A$44,$A4963,Premissas!$B$5:$B$44,$B4963)+S4963*SUMIFS(Premissas!$F$5:$F$44,Premissas!$A$5:$A$44,$A4963,Premissas!$B$5:$B$44,$B4963)</f>
        <v/>
      </c>
      <c r="L4963" s="29">
        <f>J4963-K4963</f>
        <v/>
      </c>
      <c r="M4963" t="inlineStr">
        <is>
          <t>1.556</t>
        </is>
      </c>
      <c r="O4963" s="29" t="n">
        <v>0</v>
      </c>
      <c r="P4963" s="29" t="n">
        <v>0</v>
      </c>
      <c r="Q4963" s="29" t="n">
        <v>0</v>
      </c>
      <c r="R4963" s="29" t="n">
        <v>0</v>
      </c>
      <c r="S4963" s="29" t="n">
        <v>0</v>
      </c>
      <c r="T4963" t="inlineStr">
        <is>
          <t>25260717433873000190550010000149351016664013</t>
        </is>
      </c>
      <c r="U4963" t="inlineStr">
        <is>
          <t>Sim</t>
        </is>
      </c>
    </row>
    <row r="4964">
      <c r="A4964" t="inlineStr">
        <is>
          <t>Outras despesas pagas</t>
        </is>
      </c>
      <c r="B4964" t="inlineStr">
        <is>
          <t>Manutenção e serviços</t>
        </is>
      </c>
      <c r="C4964" s="30" t="n">
        <v>46204</v>
      </c>
      <c r="D4964" t="inlineStr">
        <is>
          <t>Em 2026</t>
        </is>
      </c>
      <c r="E4964" s="28" t="n">
        <v>46213</v>
      </c>
      <c r="F4964" t="inlineStr">
        <is>
          <t>NF-e</t>
        </is>
      </c>
      <c r="G4964" t="inlineStr">
        <is>
          <t>000105835</t>
        </is>
      </c>
      <c r="H4964" t="inlineStr">
        <is>
          <t>FERGE COMERCIO DE PRODUTOS INDUSTRIAIS LTDA</t>
        </is>
      </c>
      <c r="I4964" t="inlineStr">
        <is>
          <t>09.057.961/0001-07</t>
        </is>
      </c>
      <c r="J4964" s="29" t="n">
        <v>96</v>
      </c>
      <c r="K4964" s="29">
        <f>(1-ISNUMBER(SEARCH("556",M4964)))*(O4964*SUMIFS(Premissas!$C$5:$C$44,Premissas!$A$5:$A$44,$A4964,Premissas!$B$5:$B$44,$B4964)+P4964*SUMIFS(Premissas!$D$5:$D$44,Premissas!$A$5:$A$44,$A4964,Premissas!$B$5:$B$44,$B4964))+R4964*SUMIFS(Premissas!$E$5:$E$44,Premissas!$A$5:$A$44,$A4964,Premissas!$B$5:$B$44,$B4964)+S4964*SUMIFS(Premissas!$F$5:$F$44,Premissas!$A$5:$A$44,$A4964,Premissas!$B$5:$B$44,$B4964)</f>
        <v/>
      </c>
      <c r="L4964" s="29">
        <f>J4964-K4964</f>
        <v/>
      </c>
      <c r="M4964" t="inlineStr">
        <is>
          <t>1.556</t>
        </is>
      </c>
      <c r="O4964" s="29" t="n">
        <v>0</v>
      </c>
      <c r="P4964" s="29" t="n">
        <v>19.2</v>
      </c>
      <c r="Q4964" s="29" t="n">
        <v>0</v>
      </c>
      <c r="R4964" s="29" t="n">
        <v>0</v>
      </c>
      <c r="S4964" s="29" t="n">
        <v>0</v>
      </c>
      <c r="T4964" t="inlineStr">
        <is>
          <t>25260709057961000107550010001058351016664010</t>
        </is>
      </c>
      <c r="U4964" t="inlineStr">
        <is>
          <t>Sim</t>
        </is>
      </c>
    </row>
    <row r="4965">
      <c r="A4965" t="inlineStr">
        <is>
          <t>Outras despesas pagas</t>
        </is>
      </c>
      <c r="B4965" t="inlineStr">
        <is>
          <t>Manutenção e serviços</t>
        </is>
      </c>
      <c r="C4965" s="30" t="n">
        <v>46204</v>
      </c>
      <c r="D4965" t="inlineStr">
        <is>
          <t>Em 2026</t>
        </is>
      </c>
      <c r="E4965" s="28" t="n">
        <v>46213</v>
      </c>
      <c r="F4965" t="inlineStr">
        <is>
          <t>NF-e</t>
        </is>
      </c>
      <c r="G4965" t="inlineStr">
        <is>
          <t>000105836</t>
        </is>
      </c>
      <c r="H4965" t="inlineStr">
        <is>
          <t>FERGE COMERCIO DE PRODUTOS INDUSTRIAIS LTDA</t>
        </is>
      </c>
      <c r="I4965" t="inlineStr">
        <is>
          <t>09.057.961/0001-07</t>
        </is>
      </c>
      <c r="J4965" s="29" t="n">
        <v>108</v>
      </c>
      <c r="K4965" s="29">
        <f>(1-ISNUMBER(SEARCH("556",M4965)))*(O4965*SUMIFS(Premissas!$C$5:$C$44,Premissas!$A$5:$A$44,$A4965,Premissas!$B$5:$B$44,$B4965)+P4965*SUMIFS(Premissas!$D$5:$D$44,Premissas!$A$5:$A$44,$A4965,Premissas!$B$5:$B$44,$B4965))+R4965*SUMIFS(Premissas!$E$5:$E$44,Premissas!$A$5:$A$44,$A4965,Premissas!$B$5:$B$44,$B4965)+S4965*SUMIFS(Premissas!$F$5:$F$44,Premissas!$A$5:$A$44,$A4965,Premissas!$B$5:$B$44,$B4965)</f>
        <v/>
      </c>
      <c r="L4965" s="29">
        <f>J4965-K4965</f>
        <v/>
      </c>
      <c r="M4965" t="inlineStr">
        <is>
          <t>1.556</t>
        </is>
      </c>
      <c r="O4965" s="29" t="n">
        <v>0</v>
      </c>
      <c r="P4965" s="29" t="n">
        <v>21.6</v>
      </c>
      <c r="Q4965" s="29" t="n">
        <v>0</v>
      </c>
      <c r="R4965" s="29" t="n">
        <v>0</v>
      </c>
      <c r="S4965" s="29" t="n">
        <v>0</v>
      </c>
      <c r="T4965" t="inlineStr">
        <is>
          <t>25260709057961000107550010001058361016664018</t>
        </is>
      </c>
      <c r="U4965" t="inlineStr">
        <is>
          <t>Sim</t>
        </is>
      </c>
    </row>
    <row r="4966">
      <c r="A4966" t="inlineStr">
        <is>
          <t>Outras despesas pagas</t>
        </is>
      </c>
      <c r="B4966" t="inlineStr">
        <is>
          <t>Manutenção e serviços</t>
        </is>
      </c>
      <c r="C4966" s="30" t="n">
        <v>46204</v>
      </c>
      <c r="D4966" t="inlineStr">
        <is>
          <t>Em 2026</t>
        </is>
      </c>
      <c r="E4966" s="28" t="n">
        <v>46213</v>
      </c>
      <c r="F4966" t="inlineStr">
        <is>
          <t>NF-e</t>
        </is>
      </c>
      <c r="G4966" t="inlineStr">
        <is>
          <t>000102680</t>
        </is>
      </c>
      <c r="H4966" t="inlineStr">
        <is>
          <t>GURGELMIX MAQUINAS E FERRAMENTAS S.A.</t>
        </is>
      </c>
      <c r="I4966" t="inlineStr">
        <is>
          <t>29.302.348/0003-87</t>
        </is>
      </c>
      <c r="J4966" s="29" t="n">
        <v>5080</v>
      </c>
      <c r="K4966" s="29">
        <f>(1-ISNUMBER(SEARCH("556",M4966)))*(O4966*SUMIFS(Premissas!$C$5:$C$44,Premissas!$A$5:$A$44,$A4966,Premissas!$B$5:$B$44,$B4966)+P4966*SUMIFS(Premissas!$D$5:$D$44,Premissas!$A$5:$A$44,$A4966,Premissas!$B$5:$B$44,$B4966))+R4966*SUMIFS(Premissas!$E$5:$E$44,Premissas!$A$5:$A$44,$A4966,Premissas!$B$5:$B$44,$B4966)+S4966*SUMIFS(Premissas!$F$5:$F$44,Premissas!$A$5:$A$44,$A4966,Premissas!$B$5:$B$44,$B4966)</f>
        <v/>
      </c>
      <c r="L4966" s="29">
        <f>J4966-K4966</f>
        <v/>
      </c>
      <c r="M4966" t="inlineStr">
        <is>
          <t>2.556</t>
        </is>
      </c>
      <c r="O4966" s="29" t="n">
        <v>0</v>
      </c>
      <c r="P4966" s="29" t="n">
        <v>302.97</v>
      </c>
      <c r="Q4966" s="29" t="n">
        <v>0</v>
      </c>
      <c r="R4966" s="29" t="n">
        <v>75.36</v>
      </c>
      <c r="S4966" s="29" t="n">
        <v>347.1</v>
      </c>
      <c r="T4966" t="inlineStr">
        <is>
          <t>35260729302348000387550550001026801873020814</t>
        </is>
      </c>
      <c r="U4966" t="inlineStr">
        <is>
          <t>Sim</t>
        </is>
      </c>
    </row>
    <row r="4967">
      <c r="A4967" t="inlineStr">
        <is>
          <t>Outras despesas pagas</t>
        </is>
      </c>
      <c r="B4967" t="inlineStr">
        <is>
          <t>Manutenção e serviços</t>
        </is>
      </c>
      <c r="C4967" s="30" t="n">
        <v>46204</v>
      </c>
      <c r="D4967" t="inlineStr">
        <is>
          <t>Em 2026</t>
        </is>
      </c>
      <c r="E4967" s="28" t="n">
        <v>46234</v>
      </c>
      <c r="F4967" t="inlineStr">
        <is>
          <t>NF-e</t>
        </is>
      </c>
      <c r="G4967" t="inlineStr">
        <is>
          <t>000283855</t>
        </is>
      </c>
      <c r="H4967" t="inlineStr">
        <is>
          <t>ROLIMEC ROLAMENTOS LTDA</t>
        </is>
      </c>
      <c r="I4967" t="inlineStr">
        <is>
          <t>01.612.046/0001-24</t>
        </is>
      </c>
      <c r="J4967" s="29" t="n">
        <v>2628</v>
      </c>
      <c r="K4967" s="29">
        <f>(1-ISNUMBER(SEARCH("556",M4967)))*(O4967*SUMIFS(Premissas!$C$5:$C$44,Premissas!$A$5:$A$44,$A4967,Premissas!$B$5:$B$44,$B4967)+P4967*SUMIFS(Premissas!$D$5:$D$44,Premissas!$A$5:$A$44,$A4967,Premissas!$B$5:$B$44,$B4967))+R4967*SUMIFS(Premissas!$E$5:$E$44,Premissas!$A$5:$A$44,$A4967,Premissas!$B$5:$B$44,$B4967)+S4967*SUMIFS(Premissas!$F$5:$F$44,Premissas!$A$5:$A$44,$A4967,Premissas!$B$5:$B$44,$B4967)</f>
        <v/>
      </c>
      <c r="L4967" s="29">
        <f>J4967-K4967</f>
        <v/>
      </c>
      <c r="M4967" t="inlineStr">
        <is>
          <t>2.556</t>
        </is>
      </c>
      <c r="O4967" s="29" t="n">
        <v>0</v>
      </c>
      <c r="P4967" s="29" t="n">
        <v>315.36</v>
      </c>
      <c r="Q4967" s="29" t="n">
        <v>0</v>
      </c>
      <c r="R4967" s="29" t="n">
        <v>17.08</v>
      </c>
      <c r="S4967" s="29" t="n">
        <v>78.84</v>
      </c>
      <c r="T4967" t="inlineStr">
        <is>
          <t>26260701612046000124550010002838551109391817</t>
        </is>
      </c>
      <c r="U4967" t="inlineStr">
        <is>
          <t>Sim</t>
        </is>
      </c>
    </row>
    <row r="4968">
      <c r="A4968" t="inlineStr">
        <is>
          <t>Outras despesas pagas</t>
        </is>
      </c>
      <c r="B4968" t="inlineStr">
        <is>
          <t>Manutenção e serviços</t>
        </is>
      </c>
      <c r="C4968" s="30" t="n">
        <v>46204</v>
      </c>
      <c r="D4968" t="inlineStr">
        <is>
          <t>Em 2026</t>
        </is>
      </c>
      <c r="E4968" s="28" t="n">
        <v>46217</v>
      </c>
      <c r="F4968" t="inlineStr">
        <is>
          <t>NF-e</t>
        </is>
      </c>
      <c r="G4968" t="inlineStr">
        <is>
          <t>000003489</t>
        </is>
      </c>
      <c r="H4968" t="inlineStr">
        <is>
          <t>TECHPRINT FACAS INDUSTRIAIS</t>
        </is>
      </c>
      <c r="I4968" t="inlineStr">
        <is>
          <t>23.105.251/0001-36</t>
        </is>
      </c>
      <c r="J4968" s="29" t="n">
        <v>3800</v>
      </c>
      <c r="K4968" s="29">
        <f>(1-ISNUMBER(SEARCH("556",M4968)))*(O4968*SUMIFS(Premissas!$C$5:$C$44,Premissas!$A$5:$A$44,$A4968,Premissas!$B$5:$B$44,$B4968)+P4968*SUMIFS(Premissas!$D$5:$D$44,Premissas!$A$5:$A$44,$A4968,Premissas!$B$5:$B$44,$B4968))+R4968*SUMIFS(Premissas!$E$5:$E$44,Premissas!$A$5:$A$44,$A4968,Premissas!$B$5:$B$44,$B4968)+S4968*SUMIFS(Premissas!$F$5:$F$44,Premissas!$A$5:$A$44,$A4968,Premissas!$B$5:$B$44,$B4968)</f>
        <v/>
      </c>
      <c r="L4968" s="29">
        <f>J4968-K4968</f>
        <v/>
      </c>
      <c r="M4968" t="inlineStr">
        <is>
          <t>2.556</t>
        </is>
      </c>
      <c r="O4968" s="29" t="n">
        <v>0</v>
      </c>
      <c r="P4968" s="29" t="n">
        <v>0</v>
      </c>
      <c r="Q4968" s="29" t="n">
        <v>0</v>
      </c>
      <c r="R4968" s="29" t="n">
        <v>0</v>
      </c>
      <c r="S4968" s="29" t="n">
        <v>0</v>
      </c>
      <c r="T4968" t="inlineStr">
        <is>
          <t>41260723105251000136550010000034891001336002</t>
        </is>
      </c>
      <c r="U4968" t="inlineStr">
        <is>
          <t>Sim</t>
        </is>
      </c>
    </row>
    <row r="4969">
      <c r="A4969" t="inlineStr">
        <is>
          <t>Outras despesas pagas</t>
        </is>
      </c>
      <c r="B4969" t="inlineStr">
        <is>
          <t>Manutenção e serviços</t>
        </is>
      </c>
      <c r="C4969" s="30" t="n">
        <v>46235</v>
      </c>
      <c r="D4969" t="inlineStr">
        <is>
          <t>Em 2026</t>
        </is>
      </c>
      <c r="E4969" s="28" t="n">
        <v>46252</v>
      </c>
      <c r="F4969" t="inlineStr">
        <is>
          <t>NF-e</t>
        </is>
      </c>
      <c r="G4969" t="inlineStr">
        <is>
          <t>000162705</t>
        </is>
      </c>
      <c r="H4969" t="inlineStr">
        <is>
          <t>Beltex Ind. e Com. de Correias Ltda.</t>
        </is>
      </c>
      <c r="I4969" t="inlineStr">
        <is>
          <t>82.317.900/0001-21</t>
        </is>
      </c>
      <c r="J4969" s="29" t="n">
        <v>4196.64</v>
      </c>
      <c r="K4969" s="29">
        <f>(1-ISNUMBER(SEARCH("556",M4969)))*(O4969*SUMIFS(Premissas!$C$5:$C$44,Premissas!$A$5:$A$44,$A4969,Premissas!$B$5:$B$44,$B4969)+P4969*SUMIFS(Premissas!$D$5:$D$44,Premissas!$A$5:$A$44,$A4969,Premissas!$B$5:$B$44,$B4969))+R4969*SUMIFS(Premissas!$E$5:$E$44,Premissas!$A$5:$A$44,$A4969,Premissas!$B$5:$B$44,$B4969)+S4969*SUMIFS(Premissas!$F$5:$F$44,Premissas!$A$5:$A$44,$A4969,Premissas!$B$5:$B$44,$B4969)</f>
        <v/>
      </c>
      <c r="L4969" s="29">
        <f>J4969-K4969</f>
        <v/>
      </c>
      <c r="M4969" t="inlineStr">
        <is>
          <t>2.556</t>
        </is>
      </c>
      <c r="O4969" s="29" t="n">
        <v>190.75</v>
      </c>
      <c r="P4969" s="29" t="n">
        <v>214.15</v>
      </c>
      <c r="Q4969" s="29" t="n">
        <v>0</v>
      </c>
      <c r="R4969" s="29" t="n">
        <v>24.65</v>
      </c>
      <c r="S4969" s="29" t="n">
        <v>113.75</v>
      </c>
      <c r="T4969" t="inlineStr">
        <is>
          <t>41260882317900000121550010001627051011707093</t>
        </is>
      </c>
      <c r="U4969" t="inlineStr">
        <is>
          <t>Sim</t>
        </is>
      </c>
    </row>
    <row r="4970">
      <c r="A4970" t="inlineStr">
        <is>
          <t>Outras despesas pagas</t>
        </is>
      </c>
      <c r="B4970" t="inlineStr">
        <is>
          <t>Manutenção e serviços</t>
        </is>
      </c>
      <c r="C4970" s="30" t="n">
        <v>46235</v>
      </c>
      <c r="D4970" t="inlineStr">
        <is>
          <t>Em 2026</t>
        </is>
      </c>
      <c r="E4970" s="28" t="n">
        <v>46243</v>
      </c>
      <c r="F4970" t="inlineStr">
        <is>
          <t>NF-e</t>
        </is>
      </c>
      <c r="G4970" t="inlineStr">
        <is>
          <t>000610271</t>
        </is>
      </c>
      <c r="H4970" t="inlineStr">
        <is>
          <t>DPALMA IMPORTADORA LTDA</t>
        </is>
      </c>
      <c r="I4970" t="inlineStr">
        <is>
          <t>48.687.356/0001-71</t>
        </is>
      </c>
      <c r="J4970" s="29" t="n">
        <v>132.1</v>
      </c>
      <c r="K4970" s="29">
        <f>(1-ISNUMBER(SEARCH("556",M4970)))*(O4970*SUMIFS(Premissas!$C$5:$C$44,Premissas!$A$5:$A$44,$A4970,Premissas!$B$5:$B$44,$B4970)+P4970*SUMIFS(Premissas!$D$5:$D$44,Premissas!$A$5:$A$44,$A4970,Premissas!$B$5:$B$44,$B4970))+R4970*SUMIFS(Premissas!$E$5:$E$44,Premissas!$A$5:$A$44,$A4970,Premissas!$B$5:$B$44,$B4970)+S4970*SUMIFS(Premissas!$F$5:$F$44,Premissas!$A$5:$A$44,$A4970,Premissas!$B$5:$B$44,$B4970)</f>
        <v/>
      </c>
      <c r="L4970" s="29">
        <f>J4970-K4970</f>
        <v/>
      </c>
      <c r="M4970" t="inlineStr">
        <is>
          <t>2.556</t>
        </is>
      </c>
      <c r="O4970" s="29" t="n">
        <v>0</v>
      </c>
      <c r="P4970" s="29" t="n">
        <v>5.28</v>
      </c>
      <c r="Q4970" s="29" t="n">
        <v>0</v>
      </c>
      <c r="R4970" s="29" t="n">
        <v>2.18</v>
      </c>
      <c r="S4970" s="29" t="n">
        <v>10.04</v>
      </c>
      <c r="T4970" t="inlineStr">
        <is>
          <t>42260848687356000171550030006102711006225110</t>
        </is>
      </c>
      <c r="U4970" t="inlineStr">
        <is>
          <t>Sim</t>
        </is>
      </c>
    </row>
    <row r="4971">
      <c r="A4971" t="inlineStr">
        <is>
          <t>Outras despesas pagas</t>
        </is>
      </c>
      <c r="B4971" t="inlineStr">
        <is>
          <t>Manutenção e serviços</t>
        </is>
      </c>
      <c r="C4971" s="30" t="n">
        <v>46235</v>
      </c>
      <c r="D4971" t="inlineStr">
        <is>
          <t>Em 2026</t>
        </is>
      </c>
      <c r="E4971" s="28" t="n">
        <v>46240</v>
      </c>
      <c r="F4971" t="inlineStr">
        <is>
          <t>NF-e</t>
        </is>
      </c>
      <c r="G4971" t="inlineStr">
        <is>
          <t>000015034</t>
        </is>
      </c>
      <c r="H4971" t="inlineStr">
        <is>
          <t>EDNA DE ARAUJO PACHECO LTDA</t>
        </is>
      </c>
      <c r="I4971" t="inlineStr">
        <is>
          <t>17.433.873/0001-90</t>
        </is>
      </c>
      <c r="J4971" s="29" t="n">
        <v>139.24</v>
      </c>
      <c r="K4971" s="29">
        <f>(1-ISNUMBER(SEARCH("556",M4971)))*(O4971*SUMIFS(Premissas!$C$5:$C$44,Premissas!$A$5:$A$44,$A4971,Premissas!$B$5:$B$44,$B4971)+P4971*SUMIFS(Premissas!$D$5:$D$44,Premissas!$A$5:$A$44,$A4971,Premissas!$B$5:$B$44,$B4971))+R4971*SUMIFS(Premissas!$E$5:$E$44,Premissas!$A$5:$A$44,$A4971,Premissas!$B$5:$B$44,$B4971)+S4971*SUMIFS(Premissas!$F$5:$F$44,Premissas!$A$5:$A$44,$A4971,Premissas!$B$5:$B$44,$B4971)</f>
        <v/>
      </c>
      <c r="L4971" s="29">
        <f>J4971-K4971</f>
        <v/>
      </c>
      <c r="M4971" t="inlineStr">
        <is>
          <t>1.556</t>
        </is>
      </c>
      <c r="O4971" s="29" t="n">
        <v>0</v>
      </c>
      <c r="P4971" s="29" t="n">
        <v>0</v>
      </c>
      <c r="Q4971" s="29" t="n">
        <v>0</v>
      </c>
      <c r="R4971" s="29" t="n">
        <v>0</v>
      </c>
      <c r="S4971" s="29" t="n">
        <v>0</v>
      </c>
      <c r="T4971" t="inlineStr">
        <is>
          <t>25260817433873000190550010000150341016664015</t>
        </is>
      </c>
      <c r="U4971" t="inlineStr">
        <is>
          <t>Sim</t>
        </is>
      </c>
    </row>
    <row r="4972">
      <c r="A4972" t="inlineStr">
        <is>
          <t>Outras despesas pagas</t>
        </is>
      </c>
      <c r="B4972" t="inlineStr">
        <is>
          <t>Manutenção e serviços</t>
        </is>
      </c>
      <c r="C4972" s="30" t="n">
        <v>46235</v>
      </c>
      <c r="D4972" t="inlineStr">
        <is>
          <t>Em 2026</t>
        </is>
      </c>
      <c r="E4972" s="28" t="n">
        <v>46245</v>
      </c>
      <c r="F4972" t="inlineStr">
        <is>
          <t>NF-e</t>
        </is>
      </c>
      <c r="G4972" t="inlineStr">
        <is>
          <t>000015079</t>
        </is>
      </c>
      <c r="H4972" t="inlineStr">
        <is>
          <t>EDNA DE ARAUJO PACHECO LTDA</t>
        </is>
      </c>
      <c r="I4972" t="inlineStr">
        <is>
          <t>17.433.873/0001-90</t>
        </is>
      </c>
      <c r="J4972" s="29" t="n">
        <v>837.5</v>
      </c>
      <c r="K4972" s="29">
        <f>(1-ISNUMBER(SEARCH("556",M4972)))*(O4972*SUMIFS(Premissas!$C$5:$C$44,Premissas!$A$5:$A$44,$A4972,Premissas!$B$5:$B$44,$B4972)+P4972*SUMIFS(Premissas!$D$5:$D$44,Premissas!$A$5:$A$44,$A4972,Premissas!$B$5:$B$44,$B4972))+R4972*SUMIFS(Premissas!$E$5:$E$44,Premissas!$A$5:$A$44,$A4972,Premissas!$B$5:$B$44,$B4972)+S4972*SUMIFS(Premissas!$F$5:$F$44,Premissas!$A$5:$A$44,$A4972,Premissas!$B$5:$B$44,$B4972)</f>
        <v/>
      </c>
      <c r="L4972" s="29">
        <f>J4972-K4972</f>
        <v/>
      </c>
      <c r="M4972" t="inlineStr">
        <is>
          <t>1.556</t>
        </is>
      </c>
      <c r="O4972" s="29" t="n">
        <v>0</v>
      </c>
      <c r="P4972" s="29" t="n">
        <v>0</v>
      </c>
      <c r="Q4972" s="29" t="n">
        <v>0</v>
      </c>
      <c r="R4972" s="29" t="n">
        <v>0</v>
      </c>
      <c r="S4972" s="29" t="n">
        <v>0</v>
      </c>
      <c r="T4972" t="inlineStr">
        <is>
          <t>25260817433873000190550010000150791016664017</t>
        </is>
      </c>
      <c r="U4972" t="inlineStr">
        <is>
          <t>Sim</t>
        </is>
      </c>
    </row>
    <row r="4973">
      <c r="A4973" t="inlineStr">
        <is>
          <t>Outras despesas pagas</t>
        </is>
      </c>
      <c r="B4973" t="inlineStr">
        <is>
          <t>Manutenção e serviços</t>
        </is>
      </c>
      <c r="C4973" s="30" t="n">
        <v>46235</v>
      </c>
      <c r="D4973" t="inlineStr">
        <is>
          <t>Em 2026</t>
        </is>
      </c>
      <c r="E4973" s="28" t="n">
        <v>46262</v>
      </c>
      <c r="F4973" t="inlineStr">
        <is>
          <t>NF-e</t>
        </is>
      </c>
      <c r="G4973" t="inlineStr">
        <is>
          <t>000081696</t>
        </is>
      </c>
      <c r="H4973" t="inlineStr">
        <is>
          <t>LUBNORTE DISTRIBUIDOR DE LUBRIFICANTES LTDA</t>
        </is>
      </c>
      <c r="I4973" t="inlineStr">
        <is>
          <t>06.280.265/0001-77</t>
        </is>
      </c>
      <c r="J4973" s="29" t="n">
        <v>500</v>
      </c>
      <c r="K4973" s="29">
        <f>(1-ISNUMBER(SEARCH("556",M4973)))*(O4973*SUMIFS(Premissas!$C$5:$C$44,Premissas!$A$5:$A$44,$A4973,Premissas!$B$5:$B$44,$B4973)+P4973*SUMIFS(Premissas!$D$5:$D$44,Premissas!$A$5:$A$44,$A4973,Premissas!$B$5:$B$44,$B4973))+R4973*SUMIFS(Premissas!$E$5:$E$44,Premissas!$A$5:$A$44,$A4973,Premissas!$B$5:$B$44,$B4973)+S4973*SUMIFS(Premissas!$F$5:$F$44,Premissas!$A$5:$A$44,$A4973,Premissas!$B$5:$B$44,$B4973)</f>
        <v/>
      </c>
      <c r="L4973" s="29">
        <f>J4973-K4973</f>
        <v/>
      </c>
      <c r="M4973" t="inlineStr">
        <is>
          <t>1.556</t>
        </is>
      </c>
      <c r="O4973" s="29" t="n">
        <v>0</v>
      </c>
      <c r="P4973" s="29" t="n">
        <v>0</v>
      </c>
      <c r="Q4973" s="29" t="n">
        <v>0</v>
      </c>
      <c r="R4973" s="29" t="n">
        <v>8.25</v>
      </c>
      <c r="S4973" s="29" t="n">
        <v>38</v>
      </c>
      <c r="T4973" t="inlineStr">
        <is>
          <t>25260806280265000177550010000816961227847030</t>
        </is>
      </c>
      <c r="U4973" t="inlineStr">
        <is>
          <t>Sim</t>
        </is>
      </c>
    </row>
    <row r="4974">
      <c r="A4974" t="inlineStr">
        <is>
          <t>Outras despesas pagas</t>
        </is>
      </c>
      <c r="B4974" t="inlineStr">
        <is>
          <t>Manutenção e serviços</t>
        </is>
      </c>
      <c r="C4974" s="30" t="n">
        <v>46266</v>
      </c>
      <c r="D4974" t="inlineStr">
        <is>
          <t>Em 2026</t>
        </is>
      </c>
      <c r="E4974" s="28" t="n">
        <v>46283</v>
      </c>
      <c r="F4974" t="inlineStr">
        <is>
          <t>NF-e</t>
        </is>
      </c>
      <c r="G4974" t="inlineStr">
        <is>
          <t>001415103</t>
        </is>
      </c>
      <c r="H4974" t="inlineStr">
        <is>
          <t>CHAVES REFRIGERACAO LTDA</t>
        </is>
      </c>
      <c r="I4974" t="inlineStr">
        <is>
          <t>09.102.134/0001-98</t>
        </is>
      </c>
      <c r="J4974" s="29" t="n">
        <v>229</v>
      </c>
      <c r="K4974" s="29">
        <f>(1-ISNUMBER(SEARCH("556",M4974)))*(O4974*SUMIFS(Premissas!$C$5:$C$44,Premissas!$A$5:$A$44,$A4974,Premissas!$B$5:$B$44,$B4974)+P4974*SUMIFS(Premissas!$D$5:$D$44,Premissas!$A$5:$A$44,$A4974,Premissas!$B$5:$B$44,$B4974))+R4974*SUMIFS(Premissas!$E$5:$E$44,Premissas!$A$5:$A$44,$A4974,Premissas!$B$5:$B$44,$B4974)+S4974*SUMIFS(Premissas!$F$5:$F$44,Premissas!$A$5:$A$44,$A4974,Premissas!$B$5:$B$44,$B4974)</f>
        <v/>
      </c>
      <c r="L4974" s="29">
        <f>J4974-K4974</f>
        <v/>
      </c>
      <c r="M4974" t="inlineStr">
        <is>
          <t>1.556</t>
        </is>
      </c>
      <c r="O4974" s="29" t="n">
        <v>0</v>
      </c>
      <c r="P4974" s="29" t="n">
        <v>0</v>
      </c>
      <c r="Q4974" s="29" t="n">
        <v>0</v>
      </c>
      <c r="R4974" s="29" t="n">
        <v>0</v>
      </c>
      <c r="S4974" s="29" t="n">
        <v>0</v>
      </c>
      <c r="T4974" t="inlineStr">
        <is>
          <t>25260909102134000198550010014151031195974348</t>
        </is>
      </c>
      <c r="U4974" t="inlineStr">
        <is>
          <t>Sim</t>
        </is>
      </c>
    </row>
    <row r="4975">
      <c r="A4975" t="inlineStr">
        <is>
          <t>Outras despesas pagas</t>
        </is>
      </c>
      <c r="B4975" t="inlineStr">
        <is>
          <t>Manutenção e serviços</t>
        </is>
      </c>
      <c r="C4975" s="30" t="n">
        <v>46266</v>
      </c>
      <c r="D4975" t="inlineStr">
        <is>
          <t>Em 2026</t>
        </is>
      </c>
      <c r="E4975" s="28" t="n">
        <v>46283</v>
      </c>
      <c r="F4975" t="inlineStr">
        <is>
          <t>NF-e</t>
        </is>
      </c>
      <c r="G4975" t="inlineStr">
        <is>
          <t>000008244</t>
        </is>
      </c>
      <c r="H4975" t="inlineStr">
        <is>
          <t>DR. REPAROS COMERCIO E SERVICOS LTDA</t>
        </is>
      </c>
      <c r="I4975" t="inlineStr">
        <is>
          <t>24.644.790/0001-06</t>
        </is>
      </c>
      <c r="J4975" s="29" t="n">
        <v>378.2</v>
      </c>
      <c r="K4975" s="29">
        <f>(1-ISNUMBER(SEARCH("556",M4975)))*(O4975*SUMIFS(Premissas!$C$5:$C$44,Premissas!$A$5:$A$44,$A4975,Premissas!$B$5:$B$44,$B4975)+P4975*SUMIFS(Premissas!$D$5:$D$44,Premissas!$A$5:$A$44,$A4975,Premissas!$B$5:$B$44,$B4975))+R4975*SUMIFS(Premissas!$E$5:$E$44,Premissas!$A$5:$A$44,$A4975,Premissas!$B$5:$B$44,$B4975)+S4975*SUMIFS(Premissas!$F$5:$F$44,Premissas!$A$5:$A$44,$A4975,Premissas!$B$5:$B$44,$B4975)</f>
        <v/>
      </c>
      <c r="L4975" s="29">
        <f>J4975-K4975</f>
        <v/>
      </c>
      <c r="M4975" t="inlineStr">
        <is>
          <t>1.556</t>
        </is>
      </c>
      <c r="O4975" s="29" t="n">
        <v>0</v>
      </c>
      <c r="P4975" s="29" t="n">
        <v>0</v>
      </c>
      <c r="Q4975" s="29" t="n">
        <v>0</v>
      </c>
      <c r="R4975" s="29" t="n">
        <v>0</v>
      </c>
      <c r="S4975" s="29" t="n">
        <v>0</v>
      </c>
      <c r="T4975" t="inlineStr">
        <is>
          <t>25260924644790000106550010000082441000128558</t>
        </is>
      </c>
      <c r="U4975" t="inlineStr">
        <is>
          <t>Sim</t>
        </is>
      </c>
    </row>
    <row r="4976">
      <c r="A4976" t="inlineStr">
        <is>
          <t>Outras despesas pagas</t>
        </is>
      </c>
      <c r="B4976" t="inlineStr">
        <is>
          <t>Manutenção e serviços</t>
        </is>
      </c>
      <c r="C4976" s="30" t="n">
        <v>46266</v>
      </c>
      <c r="D4976" t="inlineStr">
        <is>
          <t>Em 2026</t>
        </is>
      </c>
      <c r="E4976" s="28" t="n">
        <v>46275</v>
      </c>
      <c r="F4976" t="inlineStr">
        <is>
          <t>NF-e</t>
        </is>
      </c>
      <c r="G4976" t="inlineStr">
        <is>
          <t>000063965</t>
        </is>
      </c>
      <c r="H4976" t="inlineStr">
        <is>
          <t>ELETROPOLO ELETRICIDADE LTDA</t>
        </is>
      </c>
      <c r="I4976" t="inlineStr">
        <is>
          <t>02.375.199/0005-91</t>
        </is>
      </c>
      <c r="J4976" s="29" t="n">
        <v>198.3</v>
      </c>
      <c r="K4976" s="29">
        <f>(1-ISNUMBER(SEARCH("556",M4976)))*(O4976*SUMIFS(Premissas!$C$5:$C$44,Premissas!$A$5:$A$44,$A4976,Premissas!$B$5:$B$44,$B4976)+P4976*SUMIFS(Premissas!$D$5:$D$44,Premissas!$A$5:$A$44,$A4976,Premissas!$B$5:$B$44,$B4976))+R4976*SUMIFS(Premissas!$E$5:$E$44,Premissas!$A$5:$A$44,$A4976,Premissas!$B$5:$B$44,$B4976)+S4976*SUMIFS(Premissas!$F$5:$F$44,Premissas!$A$5:$A$44,$A4976,Premissas!$B$5:$B$44,$B4976)</f>
        <v/>
      </c>
      <c r="L4976" s="29">
        <f>J4976-K4976</f>
        <v/>
      </c>
      <c r="M4976" t="inlineStr">
        <is>
          <t>1.556</t>
        </is>
      </c>
      <c r="O4976" s="29" t="n">
        <v>0</v>
      </c>
      <c r="P4976" s="29" t="n">
        <v>0</v>
      </c>
      <c r="Q4976" s="29" t="n">
        <v>0</v>
      </c>
      <c r="R4976" s="29" t="n">
        <v>3.27</v>
      </c>
      <c r="S4976" s="29" t="n">
        <v>15.07</v>
      </c>
      <c r="T4976" t="inlineStr">
        <is>
          <t>25260902375199000591550030000639651008767181</t>
        </is>
      </c>
      <c r="U4976" t="inlineStr">
        <is>
          <t>Sim</t>
        </is>
      </c>
    </row>
    <row r="4977">
      <c r="A4977" t="inlineStr">
        <is>
          <t>Outras despesas pagas</t>
        </is>
      </c>
      <c r="B4977" t="inlineStr">
        <is>
          <t>Manutenção e serviços</t>
        </is>
      </c>
      <c r="C4977" s="30" t="n">
        <v>46266</v>
      </c>
      <c r="D4977" t="inlineStr">
        <is>
          <t>Em 2026</t>
        </is>
      </c>
      <c r="E4977" s="28" t="n">
        <v>46277</v>
      </c>
      <c r="F4977" t="inlineStr">
        <is>
          <t>NF-e</t>
        </is>
      </c>
      <c r="G4977" t="inlineStr">
        <is>
          <t>000064190</t>
        </is>
      </c>
      <c r="H4977" t="inlineStr">
        <is>
          <t>ELETROPOLO ELETRICIDADE LTDA</t>
        </is>
      </c>
      <c r="I4977" t="inlineStr">
        <is>
          <t>02.375.199/0005-91</t>
        </is>
      </c>
      <c r="J4977" s="29" t="n">
        <v>45.7</v>
      </c>
      <c r="K4977" s="29">
        <f>(1-ISNUMBER(SEARCH("556",M4977)))*(O4977*SUMIFS(Premissas!$C$5:$C$44,Premissas!$A$5:$A$44,$A4977,Premissas!$B$5:$B$44,$B4977)+P4977*SUMIFS(Premissas!$D$5:$D$44,Premissas!$A$5:$A$44,$A4977,Premissas!$B$5:$B$44,$B4977))+R4977*SUMIFS(Premissas!$E$5:$E$44,Premissas!$A$5:$A$44,$A4977,Premissas!$B$5:$B$44,$B4977)+S4977*SUMIFS(Premissas!$F$5:$F$44,Premissas!$A$5:$A$44,$A4977,Premissas!$B$5:$B$44,$B4977)</f>
        <v/>
      </c>
      <c r="L4977" s="29">
        <f>J4977-K4977</f>
        <v/>
      </c>
      <c r="M4977" t="inlineStr">
        <is>
          <t>1.556</t>
        </is>
      </c>
      <c r="O4977" s="29" t="n">
        <v>0</v>
      </c>
      <c r="P4977" s="29" t="n">
        <v>0</v>
      </c>
      <c r="Q4977" s="29" t="n">
        <v>0</v>
      </c>
      <c r="R4977" s="29" t="n">
        <v>0.75</v>
      </c>
      <c r="S4977" s="29" t="n">
        <v>3.46</v>
      </c>
      <c r="T4977" t="inlineStr">
        <is>
          <t>25260902375199000591550030000641901008885625</t>
        </is>
      </c>
      <c r="U4977" t="inlineStr">
        <is>
          <t>Sim</t>
        </is>
      </c>
    </row>
    <row r="4978">
      <c r="A4978" t="inlineStr">
        <is>
          <t>Outras despesas pagas</t>
        </is>
      </c>
      <c r="B4978" t="inlineStr">
        <is>
          <t>Manutenção e serviços</t>
        </is>
      </c>
      <c r="C4978" s="30" t="n">
        <v>46266</v>
      </c>
      <c r="D4978" t="inlineStr">
        <is>
          <t>Em 2026</t>
        </is>
      </c>
      <c r="E4978" s="28" t="n">
        <v>46277</v>
      </c>
      <c r="F4978" t="inlineStr">
        <is>
          <t>NF-e</t>
        </is>
      </c>
      <c r="G4978" t="inlineStr">
        <is>
          <t>000064204</t>
        </is>
      </c>
      <c r="H4978" t="inlineStr">
        <is>
          <t>ELETROPOLO ELETRICIDADE LTDA</t>
        </is>
      </c>
      <c r="I4978" t="inlineStr">
        <is>
          <t>02.375.199/0005-91</t>
        </is>
      </c>
      <c r="J4978" s="29" t="n">
        <v>1900.2</v>
      </c>
      <c r="K4978" s="29">
        <f>(1-ISNUMBER(SEARCH("556",M4978)))*(O4978*SUMIFS(Premissas!$C$5:$C$44,Premissas!$A$5:$A$44,$A4978,Premissas!$B$5:$B$44,$B4978)+P4978*SUMIFS(Premissas!$D$5:$D$44,Premissas!$A$5:$A$44,$A4978,Premissas!$B$5:$B$44,$B4978))+R4978*SUMIFS(Premissas!$E$5:$E$44,Premissas!$A$5:$A$44,$A4978,Premissas!$B$5:$B$44,$B4978)+S4978*SUMIFS(Premissas!$F$5:$F$44,Premissas!$A$5:$A$44,$A4978,Premissas!$B$5:$B$44,$B4978)</f>
        <v/>
      </c>
      <c r="L4978" s="29">
        <f>J4978-K4978</f>
        <v/>
      </c>
      <c r="M4978" t="inlineStr">
        <is>
          <t>1.556</t>
        </is>
      </c>
      <c r="O4978" s="29" t="n">
        <v>0</v>
      </c>
      <c r="P4978" s="29" t="n">
        <v>0</v>
      </c>
      <c r="Q4978" s="29" t="n">
        <v>0</v>
      </c>
      <c r="R4978" s="29" t="n">
        <v>31.35</v>
      </c>
      <c r="S4978" s="29" t="n">
        <v>144.41</v>
      </c>
      <c r="T4978" t="inlineStr">
        <is>
          <t>25260902375199000591550030000642041008888761</t>
        </is>
      </c>
      <c r="U4978" t="inlineStr">
        <is>
          <t>Sim</t>
        </is>
      </c>
    </row>
    <row r="4979">
      <c r="A4979" t="inlineStr">
        <is>
          <t>Outras despesas pagas</t>
        </is>
      </c>
      <c r="B4979" t="inlineStr">
        <is>
          <t>Manutenção e serviços</t>
        </is>
      </c>
      <c r="C4979" s="30" t="n">
        <v>46266</v>
      </c>
      <c r="D4979" t="inlineStr">
        <is>
          <t>Em 2026</t>
        </is>
      </c>
      <c r="E4979" s="28" t="n">
        <v>46279</v>
      </c>
      <c r="F4979" t="inlineStr">
        <is>
          <t>NF-e</t>
        </is>
      </c>
      <c r="G4979" t="inlineStr">
        <is>
          <t>000064259</t>
        </is>
      </c>
      <c r="H4979" t="inlineStr">
        <is>
          <t>ELETROPOLO ELETRICIDADE LTDA</t>
        </is>
      </c>
      <c r="I4979" t="inlineStr">
        <is>
          <t>02.375.199/0005-91</t>
        </is>
      </c>
      <c r="J4979" s="29" t="n">
        <v>2783.51</v>
      </c>
      <c r="K4979" s="29">
        <f>(1-ISNUMBER(SEARCH("556",M4979)))*(O4979*SUMIFS(Premissas!$C$5:$C$44,Premissas!$A$5:$A$44,$A4979,Premissas!$B$5:$B$44,$B4979)+P4979*SUMIFS(Premissas!$D$5:$D$44,Premissas!$A$5:$A$44,$A4979,Premissas!$B$5:$B$44,$B4979))+R4979*SUMIFS(Premissas!$E$5:$E$44,Premissas!$A$5:$A$44,$A4979,Premissas!$B$5:$B$44,$B4979)+S4979*SUMIFS(Premissas!$F$5:$F$44,Premissas!$A$5:$A$44,$A4979,Premissas!$B$5:$B$44,$B4979)</f>
        <v/>
      </c>
      <c r="L4979" s="29">
        <f>J4979-K4979</f>
        <v/>
      </c>
      <c r="M4979" t="inlineStr">
        <is>
          <t>1.556</t>
        </is>
      </c>
      <c r="O4979" s="29" t="n">
        <v>0</v>
      </c>
      <c r="P4979" s="29" t="n">
        <v>5.37</v>
      </c>
      <c r="Q4979" s="29" t="n">
        <v>0</v>
      </c>
      <c r="R4979" s="29" t="n">
        <v>45.83</v>
      </c>
      <c r="S4979" s="29" t="n">
        <v>211.12</v>
      </c>
      <c r="T4979" t="inlineStr">
        <is>
          <t>25260902375199000591550030000642591008933625</t>
        </is>
      </c>
      <c r="U4979" t="inlineStr">
        <is>
          <t>Sim</t>
        </is>
      </c>
    </row>
    <row r="4980">
      <c r="A4980" t="inlineStr">
        <is>
          <t>Outras despesas pagas</t>
        </is>
      </c>
      <c r="B4980" t="inlineStr">
        <is>
          <t>Manutenção e serviços</t>
        </is>
      </c>
      <c r="C4980" s="30" t="n">
        <v>46266</v>
      </c>
      <c r="D4980" t="inlineStr">
        <is>
          <t>Em 2026</t>
        </is>
      </c>
      <c r="E4980" s="28" t="n">
        <v>46282</v>
      </c>
      <c r="F4980" t="inlineStr">
        <is>
          <t>NF-e</t>
        </is>
      </c>
      <c r="G4980" t="inlineStr">
        <is>
          <t>000064582</t>
        </is>
      </c>
      <c r="H4980" t="inlineStr">
        <is>
          <t>ELETROPOLO ELETRICIDADE LTDA</t>
        </is>
      </c>
      <c r="I4980" t="inlineStr">
        <is>
          <t>02.375.199/0005-91</t>
        </is>
      </c>
      <c r="J4980" s="29" t="n">
        <v>1350.92</v>
      </c>
      <c r="K4980" s="29">
        <f>(1-ISNUMBER(SEARCH("556",M4980)))*(O4980*SUMIFS(Premissas!$C$5:$C$44,Premissas!$A$5:$A$44,$A4980,Premissas!$B$5:$B$44,$B4980)+P4980*SUMIFS(Premissas!$D$5:$D$44,Premissas!$A$5:$A$44,$A4980,Premissas!$B$5:$B$44,$B4980))+R4980*SUMIFS(Premissas!$E$5:$E$44,Premissas!$A$5:$A$44,$A4980,Premissas!$B$5:$B$44,$B4980)+S4980*SUMIFS(Premissas!$F$5:$F$44,Premissas!$A$5:$A$44,$A4980,Premissas!$B$5:$B$44,$B4980)</f>
        <v/>
      </c>
      <c r="L4980" s="29">
        <f>J4980-K4980</f>
        <v/>
      </c>
      <c r="M4980" t="inlineStr">
        <is>
          <t>1.556</t>
        </is>
      </c>
      <c r="O4980" s="29" t="n">
        <v>0</v>
      </c>
      <c r="P4980" s="29" t="n">
        <v>0</v>
      </c>
      <c r="Q4980" s="29" t="n">
        <v>0</v>
      </c>
      <c r="R4980" s="29" t="n">
        <v>22.29</v>
      </c>
      <c r="S4980" s="29" t="n">
        <v>102.67</v>
      </c>
      <c r="T4980" t="inlineStr">
        <is>
          <t>25260902375199000591550030000645821009107294</t>
        </is>
      </c>
      <c r="U4980" t="inlineStr">
        <is>
          <t>Sim</t>
        </is>
      </c>
    </row>
    <row r="4981">
      <c r="A4981" t="inlineStr">
        <is>
          <t>Outras despesas pagas</t>
        </is>
      </c>
      <c r="B4981" t="inlineStr">
        <is>
          <t>Manutenção e serviços</t>
        </is>
      </c>
      <c r="C4981" s="30" t="n">
        <v>46266</v>
      </c>
      <c r="D4981" t="inlineStr">
        <is>
          <t>Em 2026</t>
        </is>
      </c>
      <c r="E4981" s="28" t="n">
        <v>46282</v>
      </c>
      <c r="F4981" t="inlineStr">
        <is>
          <t>NF-e</t>
        </is>
      </c>
      <c r="G4981" t="inlineStr">
        <is>
          <t>000064583</t>
        </is>
      </c>
      <c r="H4981" t="inlineStr">
        <is>
          <t>ELETROPOLO ELETRICIDADE LTDA</t>
        </is>
      </c>
      <c r="I4981" t="inlineStr">
        <is>
          <t>02.375.199/0005-91</t>
        </is>
      </c>
      <c r="J4981" s="29" t="n">
        <v>11080.5</v>
      </c>
      <c r="K4981" s="29">
        <f>(1-ISNUMBER(SEARCH("556",M4981)))*(O4981*SUMIFS(Premissas!$C$5:$C$44,Premissas!$A$5:$A$44,$A4981,Premissas!$B$5:$B$44,$B4981)+P4981*SUMIFS(Premissas!$D$5:$D$44,Premissas!$A$5:$A$44,$A4981,Premissas!$B$5:$B$44,$B4981))+R4981*SUMIFS(Premissas!$E$5:$E$44,Premissas!$A$5:$A$44,$A4981,Premissas!$B$5:$B$44,$B4981)+S4981*SUMIFS(Premissas!$F$5:$F$44,Premissas!$A$5:$A$44,$A4981,Premissas!$B$5:$B$44,$B4981)</f>
        <v/>
      </c>
      <c r="L4981" s="29">
        <f>J4981-K4981</f>
        <v/>
      </c>
      <c r="M4981" t="inlineStr">
        <is>
          <t>1.556</t>
        </is>
      </c>
      <c r="O4981" s="29" t="n">
        <v>0</v>
      </c>
      <c r="P4981" s="29" t="n">
        <v>0</v>
      </c>
      <c r="Q4981" s="29" t="n">
        <v>0</v>
      </c>
      <c r="R4981" s="29" t="n">
        <v>182.83</v>
      </c>
      <c r="S4981" s="29" t="n">
        <v>842.12</v>
      </c>
      <c r="T4981" t="inlineStr">
        <is>
          <t>25260902375199000591550030000645831009107640</t>
        </is>
      </c>
      <c r="U4981" t="inlineStr">
        <is>
          <t>Sim</t>
        </is>
      </c>
    </row>
    <row r="4982">
      <c r="A4982" t="inlineStr">
        <is>
          <t>Outras despesas pagas</t>
        </is>
      </c>
      <c r="B4982" t="inlineStr">
        <is>
          <t>Manutenção e serviços</t>
        </is>
      </c>
      <c r="C4982" s="30" t="n">
        <v>46266</v>
      </c>
      <c r="D4982" t="inlineStr">
        <is>
          <t>Em 2026</t>
        </is>
      </c>
      <c r="E4982" s="28" t="n">
        <v>46283</v>
      </c>
      <c r="F4982" t="inlineStr">
        <is>
          <t>NF-e</t>
        </is>
      </c>
      <c r="G4982" t="inlineStr">
        <is>
          <t>000064730</t>
        </is>
      </c>
      <c r="H4982" t="inlineStr">
        <is>
          <t>ELETROPOLO ELETRICIDADE LTDA</t>
        </is>
      </c>
      <c r="I4982" t="inlineStr">
        <is>
          <t>02.375.199/0005-91</t>
        </is>
      </c>
      <c r="J4982" s="29" t="n">
        <v>579</v>
      </c>
      <c r="K4982" s="29">
        <f>(1-ISNUMBER(SEARCH("556",M4982)))*(O4982*SUMIFS(Premissas!$C$5:$C$44,Premissas!$A$5:$A$44,$A4982,Premissas!$B$5:$B$44,$B4982)+P4982*SUMIFS(Premissas!$D$5:$D$44,Premissas!$A$5:$A$44,$A4982,Premissas!$B$5:$B$44,$B4982))+R4982*SUMIFS(Premissas!$E$5:$E$44,Premissas!$A$5:$A$44,$A4982,Premissas!$B$5:$B$44,$B4982)+S4982*SUMIFS(Premissas!$F$5:$F$44,Premissas!$A$5:$A$44,$A4982,Premissas!$B$5:$B$44,$B4982)</f>
        <v/>
      </c>
      <c r="L4982" s="29">
        <f>J4982-K4982</f>
        <v/>
      </c>
      <c r="M4982" t="inlineStr">
        <is>
          <t>1.556</t>
        </is>
      </c>
      <c r="O4982" s="29" t="n">
        <v>0</v>
      </c>
      <c r="P4982" s="29" t="n">
        <v>0</v>
      </c>
      <c r="Q4982" s="29" t="n">
        <v>0</v>
      </c>
      <c r="R4982" s="29" t="n">
        <v>9.550000000000001</v>
      </c>
      <c r="S4982" s="29" t="n">
        <v>44</v>
      </c>
      <c r="T4982" t="inlineStr">
        <is>
          <t>25260902375199000591550030000647301009179974</t>
        </is>
      </c>
      <c r="U4982" t="inlineStr">
        <is>
          <t>Sim</t>
        </is>
      </c>
    </row>
    <row r="4983">
      <c r="A4983" t="inlineStr">
        <is>
          <t>Outras despesas pagas</t>
        </is>
      </c>
      <c r="B4983" t="inlineStr">
        <is>
          <t>Manutenção e serviços</t>
        </is>
      </c>
      <c r="C4983" s="30" t="n">
        <v>46266</v>
      </c>
      <c r="D4983" t="inlineStr">
        <is>
          <t>Em 2026</t>
        </is>
      </c>
      <c r="E4983" s="28" t="n">
        <v>46269</v>
      </c>
      <c r="F4983" t="inlineStr">
        <is>
          <t>NF-e</t>
        </is>
      </c>
      <c r="G4983" t="inlineStr">
        <is>
          <t>000011957</t>
        </is>
      </c>
      <c r="H4983" t="inlineStr">
        <is>
          <t>LED NORDESTE ILUMINACAO LTDA</t>
        </is>
      </c>
      <c r="I4983" t="inlineStr">
        <is>
          <t>11.651.809/0001-08</t>
        </is>
      </c>
      <c r="J4983" s="29" t="n">
        <v>7786.2</v>
      </c>
      <c r="K4983" s="29">
        <f>(1-ISNUMBER(SEARCH("556",M4983)))*(O4983*SUMIFS(Premissas!$C$5:$C$44,Premissas!$A$5:$A$44,$A4983,Premissas!$B$5:$B$44,$B4983)+P4983*SUMIFS(Premissas!$D$5:$D$44,Premissas!$A$5:$A$44,$A4983,Premissas!$B$5:$B$44,$B4983))+R4983*SUMIFS(Premissas!$E$5:$E$44,Premissas!$A$5:$A$44,$A4983,Premissas!$B$5:$B$44,$B4983)+S4983*SUMIFS(Premissas!$F$5:$F$44,Premissas!$A$5:$A$44,$A4983,Premissas!$B$5:$B$44,$B4983)</f>
        <v/>
      </c>
      <c r="L4983" s="29">
        <f>J4983-K4983</f>
        <v/>
      </c>
      <c r="M4983" t="inlineStr">
        <is>
          <t>2.556</t>
        </is>
      </c>
      <c r="O4983" s="29" t="n">
        <v>0</v>
      </c>
      <c r="P4983" s="29" t="n">
        <v>0</v>
      </c>
      <c r="Q4983" s="29" t="n">
        <v>0</v>
      </c>
      <c r="R4983" s="29" t="n">
        <v>0</v>
      </c>
      <c r="S4983" s="29" t="n">
        <v>0</v>
      </c>
      <c r="T4983" t="inlineStr">
        <is>
          <t>23260911651809000108550010000119571000058281</t>
        </is>
      </c>
      <c r="U4983" t="inlineStr">
        <is>
          <t>Sim</t>
        </is>
      </c>
    </row>
    <row r="4984">
      <c r="A4984" t="inlineStr">
        <is>
          <t>Outras despesas pagas</t>
        </is>
      </c>
      <c r="B4984" t="inlineStr">
        <is>
          <t>Outras (a classificar)</t>
        </is>
      </c>
      <c r="C4984" s="30" t="n">
        <v>46113</v>
      </c>
      <c r="D4984" t="inlineStr">
        <is>
          <t>Em 2026</t>
        </is>
      </c>
      <c r="E4984" s="28" t="n">
        <v>46122</v>
      </c>
      <c r="F4984" t="inlineStr">
        <is>
          <t>NF-e</t>
        </is>
      </c>
      <c r="G4984" t="inlineStr">
        <is>
          <t>000001768</t>
        </is>
      </c>
      <c r="H4984" t="inlineStr">
        <is>
          <t>B. B. A. INDUSTRIA E COMERCIO IMPORTACAO E EXPORTACAO LTDA</t>
        </is>
      </c>
      <c r="I4984" t="inlineStr">
        <is>
          <t>25.247.287/0001-80</t>
        </is>
      </c>
      <c r="J4984" s="29" t="n">
        <v>6521.26</v>
      </c>
      <c r="K4984" s="29">
        <f>(1-ISNUMBER(SEARCH("556",M4984)))*(O4984*SUMIFS(Premissas!$C$5:$C$44,Premissas!$A$5:$A$44,$A4984,Premissas!$B$5:$B$44,$B4984)+P4984*SUMIFS(Premissas!$D$5:$D$44,Premissas!$A$5:$A$44,$A4984,Premissas!$B$5:$B$44,$B4984))+R4984*SUMIFS(Premissas!$E$5:$E$44,Premissas!$A$5:$A$44,$A4984,Premissas!$B$5:$B$44,$B4984)+S4984*SUMIFS(Premissas!$F$5:$F$44,Premissas!$A$5:$A$44,$A4984,Premissas!$B$5:$B$44,$B4984)</f>
        <v/>
      </c>
      <c r="L4984" s="29">
        <f>J4984-K4984</f>
        <v/>
      </c>
      <c r="M4984" t="inlineStr">
        <is>
          <t>2.556</t>
        </is>
      </c>
      <c r="O4984" s="29" t="n">
        <v>820.66</v>
      </c>
      <c r="P4984" s="29" t="n">
        <v>782.55</v>
      </c>
      <c r="Q4984" s="29" t="n">
        <v>0</v>
      </c>
      <c r="R4984" s="29" t="n">
        <v>77.36</v>
      </c>
      <c r="S4984" s="29" t="n">
        <v>356.33</v>
      </c>
      <c r="T4984" t="inlineStr">
        <is>
          <t>27260425247287000180550010000017681604975627</t>
        </is>
      </c>
      <c r="U4984" t="inlineStr">
        <is>
          <t>Sim</t>
        </is>
      </c>
    </row>
    <row r="4985">
      <c r="A4985" t="inlineStr">
        <is>
          <t>Outras despesas pagas</t>
        </is>
      </c>
      <c r="B4985" t="inlineStr">
        <is>
          <t>Sede</t>
        </is>
      </c>
      <c r="C4985" t="inlineStr">
        <is>
          <t>Antes de 2026</t>
        </is>
      </c>
      <c r="D4985" t="inlineStr">
        <is>
          <t>Antes de 2026</t>
        </is>
      </c>
      <c r="E4985" s="28" t="n">
        <v>46008</v>
      </c>
      <c r="F4985" t="inlineStr">
        <is>
          <t>NF-e</t>
        </is>
      </c>
      <c r="G4985" t="inlineStr">
        <is>
          <t>000000003</t>
        </is>
      </c>
      <c r="H4985" t="inlineStr">
        <is>
          <t>TREVO CIMENTO LTDA</t>
        </is>
      </c>
      <c r="I4985" t="inlineStr">
        <is>
          <t>55.314.437/0001-91</t>
        </is>
      </c>
      <c r="J4985" s="29" t="n">
        <v>6000</v>
      </c>
      <c r="K4985" s="29">
        <f>(1-ISNUMBER(SEARCH("556",M4985)))*(O4985*SUMIFS(Premissas!$C$5:$C$44,Premissas!$A$5:$A$44,$A4985,Premissas!$B$5:$B$44,$B4985)+P4985*SUMIFS(Premissas!$D$5:$D$44,Premissas!$A$5:$A$44,$A4985,Premissas!$B$5:$B$44,$B4985))+R4985*SUMIFS(Premissas!$E$5:$E$44,Premissas!$A$5:$A$44,$A4985,Premissas!$B$5:$B$44,$B4985)+S4985*SUMIFS(Premissas!$F$5:$F$44,Premissas!$A$5:$A$44,$A4985,Premissas!$B$5:$B$44,$B4985)</f>
        <v/>
      </c>
      <c r="L4985" s="29">
        <f>J4985-K4985</f>
        <v/>
      </c>
      <c r="M4985" t="inlineStr">
        <is>
          <t>1.102</t>
        </is>
      </c>
      <c r="O4985" s="29" t="n">
        <v>0</v>
      </c>
      <c r="P4985" s="29" t="n">
        <v>0</v>
      </c>
      <c r="Q4985" s="29" t="n">
        <v>0</v>
      </c>
      <c r="R4985" s="29" t="n">
        <v>0</v>
      </c>
      <c r="S4985" s="29" t="n">
        <v>0</v>
      </c>
      <c r="T4985" t="inlineStr">
        <is>
          <t>25251255314437000191550020000000031260540201</t>
        </is>
      </c>
      <c r="U4985" t="inlineStr">
        <is>
          <t>Sim</t>
        </is>
      </c>
    </row>
    <row r="4986">
      <c r="A4986" t="inlineStr">
        <is>
          <t>Outras despesas pagas</t>
        </is>
      </c>
      <c r="B4986" t="inlineStr">
        <is>
          <t>Sede</t>
        </is>
      </c>
      <c r="C4986" t="inlineStr">
        <is>
          <t>Antes de 2026</t>
        </is>
      </c>
      <c r="D4986" t="inlineStr">
        <is>
          <t>Antes de 2026</t>
        </is>
      </c>
      <c r="E4986" s="28" t="n">
        <v>45995</v>
      </c>
      <c r="F4986" t="inlineStr">
        <is>
          <t>NF-e</t>
        </is>
      </c>
      <c r="G4986" t="inlineStr">
        <is>
          <t>000000150</t>
        </is>
      </c>
      <c r="H4986" t="inlineStr">
        <is>
          <t>TREVO CIMENTO LTDA</t>
        </is>
      </c>
      <c r="I4986" t="inlineStr">
        <is>
          <t>55.314.437/0001-91</t>
        </is>
      </c>
      <c r="J4986" s="29" t="n">
        <v>6000</v>
      </c>
      <c r="K4986" s="29">
        <f>(1-ISNUMBER(SEARCH("556",M4986)))*(O4986*SUMIFS(Premissas!$C$5:$C$44,Premissas!$A$5:$A$44,$A4986,Premissas!$B$5:$B$44,$B4986)+P4986*SUMIFS(Premissas!$D$5:$D$44,Premissas!$A$5:$A$44,$A4986,Premissas!$B$5:$B$44,$B4986))+R4986*SUMIFS(Premissas!$E$5:$E$44,Premissas!$A$5:$A$44,$A4986,Premissas!$B$5:$B$44,$B4986)+S4986*SUMIFS(Premissas!$F$5:$F$44,Premissas!$A$5:$A$44,$A4986,Premissas!$B$5:$B$44,$B4986)</f>
        <v/>
      </c>
      <c r="L4986" s="29">
        <f>J4986-K4986</f>
        <v/>
      </c>
      <c r="M4986" t="inlineStr">
        <is>
          <t>1.102</t>
        </is>
      </c>
      <c r="O4986" s="29" t="n">
        <v>0</v>
      </c>
      <c r="P4986" s="29" t="n">
        <v>1080</v>
      </c>
      <c r="Q4986" s="29" t="n">
        <v>0</v>
      </c>
      <c r="R4986" s="29" t="n">
        <v>0</v>
      </c>
      <c r="S4986" s="29" t="n">
        <v>0</v>
      </c>
      <c r="T4986" t="inlineStr">
        <is>
          <t>25251255314437000191550010000001501536060097</t>
        </is>
      </c>
      <c r="U4986" t="inlineStr">
        <is>
          <t>Sim</t>
        </is>
      </c>
    </row>
    <row r="4987">
      <c r="A4987" t="inlineStr">
        <is>
          <t>Outras despesas pagas</t>
        </is>
      </c>
      <c r="B4987" t="inlineStr">
        <is>
          <t>Sede</t>
        </is>
      </c>
      <c r="C4987" s="30" t="n">
        <v>46054</v>
      </c>
      <c r="D4987" t="inlineStr">
        <is>
          <t>Em 2026</t>
        </is>
      </c>
      <c r="E4987" s="28" t="n">
        <v>46073</v>
      </c>
      <c r="F4987" t="inlineStr">
        <is>
          <t>NF-e</t>
        </is>
      </c>
      <c r="G4987" t="inlineStr">
        <is>
          <t>000000092</t>
        </is>
      </c>
      <c r="H4987" t="inlineStr">
        <is>
          <t>COMERCIAL CASA NOVA MATERIAL DE CONSTRUCAO PB LTDA</t>
        </is>
      </c>
      <c r="I4987" t="inlineStr">
        <is>
          <t>44.336.205/0001-18</t>
        </is>
      </c>
      <c r="J4987" s="29" t="n">
        <v>320</v>
      </c>
      <c r="K4987" s="29">
        <f>(1-ISNUMBER(SEARCH("556",M4987)))*(O4987*SUMIFS(Premissas!$C$5:$C$44,Premissas!$A$5:$A$44,$A4987,Premissas!$B$5:$B$44,$B4987)+P4987*SUMIFS(Premissas!$D$5:$D$44,Premissas!$A$5:$A$44,$A4987,Premissas!$B$5:$B$44,$B4987))+R4987*SUMIFS(Premissas!$E$5:$E$44,Premissas!$A$5:$A$44,$A4987,Premissas!$B$5:$B$44,$B4987)+S4987*SUMIFS(Premissas!$F$5:$F$44,Premissas!$A$5:$A$44,$A4987,Premissas!$B$5:$B$44,$B4987)</f>
        <v/>
      </c>
      <c r="L4987" s="29">
        <f>J4987-K4987</f>
        <v/>
      </c>
      <c r="M4987" t="inlineStr">
        <is>
          <t>1.556</t>
        </is>
      </c>
      <c r="O4987" s="29" t="n">
        <v>0</v>
      </c>
      <c r="P4987" s="29" t="n">
        <v>0</v>
      </c>
      <c r="Q4987" s="29" t="n">
        <v>0</v>
      </c>
      <c r="R4987" s="29" t="n">
        <v>0</v>
      </c>
      <c r="S4987" s="29" t="n">
        <v>0</v>
      </c>
      <c r="T4987" t="inlineStr">
        <is>
          <t>25260244336205000118550010000000921753867005</t>
        </is>
      </c>
      <c r="U4987" t="inlineStr">
        <is>
          <t>Sim</t>
        </is>
      </c>
    </row>
    <row r="4988">
      <c r="A4988" t="inlineStr">
        <is>
          <t>Outras despesas pagas</t>
        </is>
      </c>
      <c r="B4988" t="inlineStr">
        <is>
          <t>Sede</t>
        </is>
      </c>
      <c r="C4988" s="30" t="n">
        <v>46054</v>
      </c>
      <c r="D4988" t="inlineStr">
        <is>
          <t>Em 2026</t>
        </is>
      </c>
      <c r="E4988" s="28" t="n">
        <v>46056</v>
      </c>
      <c r="F4988" t="inlineStr">
        <is>
          <t>NF-e</t>
        </is>
      </c>
      <c r="G4988" t="inlineStr">
        <is>
          <t>000001800</t>
        </is>
      </c>
      <c r="H4988" t="inlineStr">
        <is>
          <t>VAMBERTO GRANGEIRO SILVA</t>
        </is>
      </c>
      <c r="I4988" t="inlineStr">
        <is>
          <t>32.185.713/0001-63</t>
        </is>
      </c>
      <c r="J4988" s="29" t="n">
        <v>6300</v>
      </c>
      <c r="K4988" s="29">
        <f>(1-ISNUMBER(SEARCH("556",M4988)))*(O4988*SUMIFS(Premissas!$C$5:$C$44,Premissas!$A$5:$A$44,$A4988,Premissas!$B$5:$B$44,$B4988)+P4988*SUMIFS(Premissas!$D$5:$D$44,Premissas!$A$5:$A$44,$A4988,Premissas!$B$5:$B$44,$B4988))+R4988*SUMIFS(Premissas!$E$5:$E$44,Premissas!$A$5:$A$44,$A4988,Premissas!$B$5:$B$44,$B4988)+S4988*SUMIFS(Premissas!$F$5:$F$44,Premissas!$A$5:$A$44,$A4988,Premissas!$B$5:$B$44,$B4988)</f>
        <v/>
      </c>
      <c r="L4988" s="29">
        <f>J4988-K4988</f>
        <v/>
      </c>
      <c r="M4988" t="inlineStr">
        <is>
          <t>1.102</t>
        </is>
      </c>
      <c r="O4988" s="29" t="n">
        <v>0</v>
      </c>
      <c r="P4988" s="29" t="n">
        <v>0</v>
      </c>
      <c r="Q4988" s="29" t="n">
        <v>0</v>
      </c>
      <c r="R4988" s="29" t="n">
        <v>0</v>
      </c>
      <c r="S4988" s="29" t="n">
        <v>0</v>
      </c>
      <c r="T4988" t="inlineStr">
        <is>
          <t>25260232185713000163550010000018001370000001</t>
        </is>
      </c>
      <c r="U4988" t="inlineStr">
        <is>
          <t>Sim</t>
        </is>
      </c>
    </row>
    <row r="4989">
      <c r="A4989" t="inlineStr">
        <is>
          <t>Outras despesas pagas</t>
        </is>
      </c>
      <c r="B4989" t="inlineStr">
        <is>
          <t>Sede</t>
        </is>
      </c>
      <c r="C4989" s="30" t="n">
        <v>46054</v>
      </c>
      <c r="D4989" t="inlineStr">
        <is>
          <t>Em 2026</t>
        </is>
      </c>
      <c r="E4989" s="28" t="n">
        <v>46058</v>
      </c>
      <c r="F4989" t="inlineStr">
        <is>
          <t>NF-e</t>
        </is>
      </c>
      <c r="G4989" t="inlineStr">
        <is>
          <t>000001806</t>
        </is>
      </c>
      <c r="H4989" t="inlineStr">
        <is>
          <t>VAMBERTO GRANGEIRO SILVA</t>
        </is>
      </c>
      <c r="I4989" t="inlineStr">
        <is>
          <t>32.185.713/0001-63</t>
        </is>
      </c>
      <c r="J4989" s="29" t="n">
        <v>6300</v>
      </c>
      <c r="K4989" s="29">
        <f>(1-ISNUMBER(SEARCH("556",M4989)))*(O4989*SUMIFS(Premissas!$C$5:$C$44,Premissas!$A$5:$A$44,$A4989,Premissas!$B$5:$B$44,$B4989)+P4989*SUMIFS(Premissas!$D$5:$D$44,Premissas!$A$5:$A$44,$A4989,Premissas!$B$5:$B$44,$B4989))+R4989*SUMIFS(Premissas!$E$5:$E$44,Premissas!$A$5:$A$44,$A4989,Premissas!$B$5:$B$44,$B4989)+S4989*SUMIFS(Premissas!$F$5:$F$44,Premissas!$A$5:$A$44,$A4989,Premissas!$B$5:$B$44,$B4989)</f>
        <v/>
      </c>
      <c r="L4989" s="29">
        <f>J4989-K4989</f>
        <v/>
      </c>
      <c r="M4989" t="inlineStr">
        <is>
          <t>1.102</t>
        </is>
      </c>
      <c r="O4989" s="29" t="n">
        <v>0</v>
      </c>
      <c r="P4989" s="29" t="n">
        <v>0</v>
      </c>
      <c r="Q4989" s="29" t="n">
        <v>0</v>
      </c>
      <c r="R4989" s="29" t="n">
        <v>0</v>
      </c>
      <c r="S4989" s="29" t="n">
        <v>0</v>
      </c>
      <c r="T4989" t="inlineStr">
        <is>
          <t>25260232185713000163550010000018061483300004</t>
        </is>
      </c>
      <c r="U4989" t="inlineStr">
        <is>
          <t>Sim</t>
        </is>
      </c>
    </row>
    <row r="4990">
      <c r="A4990" t="inlineStr">
        <is>
          <t>Outras despesas pagas</t>
        </is>
      </c>
      <c r="B4990" t="inlineStr">
        <is>
          <t>Sede</t>
        </is>
      </c>
      <c r="C4990" s="30" t="n">
        <v>46082</v>
      </c>
      <c r="D4990" t="inlineStr">
        <is>
          <t>Em 2026</t>
        </is>
      </c>
      <c r="E4990" s="28" t="n">
        <v>46085</v>
      </c>
      <c r="F4990" t="inlineStr">
        <is>
          <t>NF-e</t>
        </is>
      </c>
      <c r="G4990" t="inlineStr">
        <is>
          <t>000000093</t>
        </is>
      </c>
      <c r="H4990" t="inlineStr">
        <is>
          <t>COMERCIAL CASA NOVA MATERIAL DE CONSTRUCAO PB LTDA</t>
        </is>
      </c>
      <c r="I4990" t="inlineStr">
        <is>
          <t>44.336.205/0001-18</t>
        </is>
      </c>
      <c r="J4990" s="29" t="n">
        <v>6300</v>
      </c>
      <c r="K4990" s="29">
        <f>(1-ISNUMBER(SEARCH("556",M4990)))*(O4990*SUMIFS(Premissas!$C$5:$C$44,Premissas!$A$5:$A$44,$A4990,Premissas!$B$5:$B$44,$B4990)+P4990*SUMIFS(Premissas!$D$5:$D$44,Premissas!$A$5:$A$44,$A4990,Premissas!$B$5:$B$44,$B4990))+R4990*SUMIFS(Premissas!$E$5:$E$44,Premissas!$A$5:$A$44,$A4990,Premissas!$B$5:$B$44,$B4990)+S4990*SUMIFS(Premissas!$F$5:$F$44,Premissas!$A$5:$A$44,$A4990,Premissas!$B$5:$B$44,$B4990)</f>
        <v/>
      </c>
      <c r="L4990" s="29">
        <f>J4990-K4990</f>
        <v/>
      </c>
      <c r="M4990" t="inlineStr">
        <is>
          <t>1.102</t>
        </is>
      </c>
      <c r="O4990" s="29" t="n">
        <v>0</v>
      </c>
      <c r="P4990" s="29" t="n">
        <v>0</v>
      </c>
      <c r="Q4990" s="29" t="n">
        <v>0</v>
      </c>
      <c r="R4990" s="29" t="n">
        <v>0</v>
      </c>
      <c r="S4990" s="29" t="n">
        <v>0</v>
      </c>
      <c r="T4990" t="inlineStr">
        <is>
          <t>25260344336205000118550010000000931132061362</t>
        </is>
      </c>
      <c r="U4990" t="inlineStr">
        <is>
          <t>Sim</t>
        </is>
      </c>
    </row>
    <row r="4991">
      <c r="A4991" t="inlineStr">
        <is>
          <t>Outras despesas pagas</t>
        </is>
      </c>
      <c r="B4991" t="inlineStr">
        <is>
          <t>Sede</t>
        </is>
      </c>
      <c r="C4991" s="30" t="n">
        <v>46082</v>
      </c>
      <c r="D4991" t="inlineStr">
        <is>
          <t>Em 2026</t>
        </is>
      </c>
      <c r="E4991" s="28" t="n">
        <v>46086</v>
      </c>
      <c r="F4991" t="inlineStr">
        <is>
          <t>NF-e</t>
        </is>
      </c>
      <c r="G4991" t="inlineStr">
        <is>
          <t>000000094</t>
        </is>
      </c>
      <c r="H4991" t="inlineStr">
        <is>
          <t>COMERCIAL CASA NOVA MATERIAL DE CONSTRUCAO PB LTDA</t>
        </is>
      </c>
      <c r="I4991" t="inlineStr">
        <is>
          <t>44.336.205/0001-18</t>
        </is>
      </c>
      <c r="J4991" s="29" t="n">
        <v>180</v>
      </c>
      <c r="K4991" s="29">
        <f>(1-ISNUMBER(SEARCH("556",M4991)))*(O4991*SUMIFS(Premissas!$C$5:$C$44,Premissas!$A$5:$A$44,$A4991,Premissas!$B$5:$B$44,$B4991)+P4991*SUMIFS(Premissas!$D$5:$D$44,Premissas!$A$5:$A$44,$A4991,Premissas!$B$5:$B$44,$B4991))+R4991*SUMIFS(Premissas!$E$5:$E$44,Premissas!$A$5:$A$44,$A4991,Premissas!$B$5:$B$44,$B4991)+S4991*SUMIFS(Premissas!$F$5:$F$44,Premissas!$A$5:$A$44,$A4991,Premissas!$B$5:$B$44,$B4991)</f>
        <v/>
      </c>
      <c r="L4991" s="29">
        <f>J4991-K4991</f>
        <v/>
      </c>
      <c r="M4991" t="inlineStr">
        <is>
          <t>1.556</t>
        </is>
      </c>
      <c r="O4991" s="29" t="n">
        <v>0</v>
      </c>
      <c r="P4991" s="29" t="n">
        <v>0</v>
      </c>
      <c r="Q4991" s="29" t="n">
        <v>0</v>
      </c>
      <c r="R4991" s="29" t="n">
        <v>0</v>
      </c>
      <c r="S4991" s="29" t="n">
        <v>0</v>
      </c>
      <c r="T4991" t="inlineStr">
        <is>
          <t>25260344336205000118550010000000941728316848</t>
        </is>
      </c>
      <c r="U4991" t="inlineStr">
        <is>
          <t>Sim</t>
        </is>
      </c>
    </row>
    <row r="4992">
      <c r="A4992" t="inlineStr">
        <is>
          <t>Outras despesas pagas</t>
        </is>
      </c>
      <c r="B4992" t="inlineStr">
        <is>
          <t>Sede</t>
        </is>
      </c>
      <c r="C4992" s="30" t="n">
        <v>46082</v>
      </c>
      <c r="D4992" t="inlineStr">
        <is>
          <t>Em 2026</t>
        </is>
      </c>
      <c r="E4992" s="28" t="n">
        <v>46108</v>
      </c>
      <c r="F4992" t="inlineStr">
        <is>
          <t>NF-e</t>
        </is>
      </c>
      <c r="G4992" t="inlineStr">
        <is>
          <t>000001866</t>
        </is>
      </c>
      <c r="H4992" t="inlineStr">
        <is>
          <t>VAMBERTO GRANGEIRO SILVA</t>
        </is>
      </c>
      <c r="I4992" t="inlineStr">
        <is>
          <t>32.185.713/0001-63</t>
        </is>
      </c>
      <c r="J4992" s="29" t="n">
        <v>8400</v>
      </c>
      <c r="K4992" s="29">
        <f>(1-ISNUMBER(SEARCH("556",M4992)))*(O4992*SUMIFS(Premissas!$C$5:$C$44,Premissas!$A$5:$A$44,$A4992,Premissas!$B$5:$B$44,$B4992)+P4992*SUMIFS(Premissas!$D$5:$D$44,Premissas!$A$5:$A$44,$A4992,Premissas!$B$5:$B$44,$B4992))+R4992*SUMIFS(Premissas!$E$5:$E$44,Premissas!$A$5:$A$44,$A4992,Premissas!$B$5:$B$44,$B4992)+S4992*SUMIFS(Premissas!$F$5:$F$44,Premissas!$A$5:$A$44,$A4992,Premissas!$B$5:$B$44,$B4992)</f>
        <v/>
      </c>
      <c r="L4992" s="29">
        <f>J4992-K4992</f>
        <v/>
      </c>
      <c r="M4992" t="inlineStr">
        <is>
          <t>1.556</t>
        </is>
      </c>
      <c r="O4992" s="29" t="n">
        <v>0</v>
      </c>
      <c r="P4992" s="29" t="n">
        <v>0</v>
      </c>
      <c r="Q4992" s="29" t="n">
        <v>0</v>
      </c>
      <c r="R4992" s="29" t="n">
        <v>0</v>
      </c>
      <c r="S4992" s="29" t="n">
        <v>0</v>
      </c>
      <c r="T4992" t="inlineStr">
        <is>
          <t>25260332185713000163550010000018661374900002</t>
        </is>
      </c>
      <c r="U4992" t="inlineStr">
        <is>
          <t>Sim</t>
        </is>
      </c>
    </row>
    <row r="4993">
      <c r="A4993" t="inlineStr">
        <is>
          <t>Outras despesas pagas</t>
        </is>
      </c>
      <c r="B4993" t="inlineStr">
        <is>
          <t>Sede</t>
        </is>
      </c>
      <c r="C4993" s="30" t="n">
        <v>46113</v>
      </c>
      <c r="D4993" t="inlineStr">
        <is>
          <t>Em 2026</t>
        </is>
      </c>
      <c r="E4993" s="28" t="n">
        <v>46134</v>
      </c>
      <c r="F4993" t="inlineStr">
        <is>
          <t>NF-e</t>
        </is>
      </c>
      <c r="G4993" t="inlineStr">
        <is>
          <t>000000100</t>
        </is>
      </c>
      <c r="H4993" t="inlineStr">
        <is>
          <t>COMERCIAL CASA NOVA MATERIAL DE CONSTRUCAO PB LTDA</t>
        </is>
      </c>
      <c r="I4993" t="inlineStr">
        <is>
          <t>44.336.205/0001-18</t>
        </is>
      </c>
      <c r="J4993" s="29" t="n">
        <v>6600</v>
      </c>
      <c r="K4993" s="29">
        <f>(1-ISNUMBER(SEARCH("556",M4993)))*(O4993*SUMIFS(Premissas!$C$5:$C$44,Premissas!$A$5:$A$44,$A4993,Premissas!$B$5:$B$44,$B4993)+P4993*SUMIFS(Premissas!$D$5:$D$44,Premissas!$A$5:$A$44,$A4993,Premissas!$B$5:$B$44,$B4993))+R4993*SUMIFS(Premissas!$E$5:$E$44,Premissas!$A$5:$A$44,$A4993,Premissas!$B$5:$B$44,$B4993)+S4993*SUMIFS(Premissas!$F$5:$F$44,Premissas!$A$5:$A$44,$A4993,Premissas!$B$5:$B$44,$B4993)</f>
        <v/>
      </c>
      <c r="L4993" s="29">
        <f>J4993-K4993</f>
        <v/>
      </c>
      <c r="M4993" t="inlineStr">
        <is>
          <t>1.556</t>
        </is>
      </c>
      <c r="O4993" s="29" t="n">
        <v>0</v>
      </c>
      <c r="P4993" s="29" t="n">
        <v>0</v>
      </c>
      <c r="Q4993" s="29" t="n">
        <v>0</v>
      </c>
      <c r="R4993" s="29" t="n">
        <v>0</v>
      </c>
      <c r="S4993" s="29" t="n">
        <v>0</v>
      </c>
      <c r="T4993" t="inlineStr">
        <is>
          <t>25260444336205000118550010000001001860266057</t>
        </is>
      </c>
      <c r="U4993" t="inlineStr">
        <is>
          <t>Sim</t>
        </is>
      </c>
    </row>
    <row r="4994">
      <c r="A4994" t="inlineStr">
        <is>
          <t>Outras despesas pagas</t>
        </is>
      </c>
      <c r="B4994" t="inlineStr">
        <is>
          <t>Sede</t>
        </is>
      </c>
      <c r="C4994" s="30" t="n">
        <v>46113</v>
      </c>
      <c r="D4994" t="inlineStr">
        <is>
          <t>Em 2026</t>
        </is>
      </c>
      <c r="E4994" s="28" t="n">
        <v>46142</v>
      </c>
      <c r="F4994" t="inlineStr">
        <is>
          <t>NF-e</t>
        </is>
      </c>
      <c r="G4994" t="inlineStr">
        <is>
          <t>000000102</t>
        </is>
      </c>
      <c r="H4994" t="inlineStr">
        <is>
          <t>COMERCIAL CASA NOVA MATERIAL DE CONSTRUCAO PB LTDA</t>
        </is>
      </c>
      <c r="I4994" t="inlineStr">
        <is>
          <t>44.336.205/0001-18</t>
        </is>
      </c>
      <c r="J4994" s="29" t="n">
        <v>400</v>
      </c>
      <c r="K4994" s="29">
        <f>(1-ISNUMBER(SEARCH("556",M4994)))*(O4994*SUMIFS(Premissas!$C$5:$C$44,Premissas!$A$5:$A$44,$A4994,Premissas!$B$5:$B$44,$B4994)+P4994*SUMIFS(Premissas!$D$5:$D$44,Premissas!$A$5:$A$44,$A4994,Premissas!$B$5:$B$44,$B4994))+R4994*SUMIFS(Premissas!$E$5:$E$44,Premissas!$A$5:$A$44,$A4994,Premissas!$B$5:$B$44,$B4994)+S4994*SUMIFS(Premissas!$F$5:$F$44,Premissas!$A$5:$A$44,$A4994,Premissas!$B$5:$B$44,$B4994)</f>
        <v/>
      </c>
      <c r="L4994" s="29">
        <f>J4994-K4994</f>
        <v/>
      </c>
      <c r="M4994" t="inlineStr">
        <is>
          <t>1.556</t>
        </is>
      </c>
      <c r="O4994" s="29" t="n">
        <v>0</v>
      </c>
      <c r="P4994" s="29" t="n">
        <v>0</v>
      </c>
      <c r="Q4994" s="29" t="n">
        <v>0</v>
      </c>
      <c r="R4994" s="29" t="n">
        <v>0</v>
      </c>
      <c r="S4994" s="29" t="n">
        <v>0</v>
      </c>
      <c r="T4994" t="inlineStr">
        <is>
          <t>25260444336205000118550010000001021582512041</t>
        </is>
      </c>
      <c r="U4994" t="inlineStr">
        <is>
          <t>Sim</t>
        </is>
      </c>
    </row>
    <row r="4995">
      <c r="A4995" t="inlineStr">
        <is>
          <t>Outras despesas pagas</t>
        </is>
      </c>
      <c r="B4995" t="inlineStr">
        <is>
          <t>Sede</t>
        </is>
      </c>
      <c r="C4995" s="30" t="n">
        <v>46143</v>
      </c>
      <c r="D4995" t="inlineStr">
        <is>
          <t>Em 2026</t>
        </is>
      </c>
      <c r="E4995" s="28" t="n">
        <v>46164</v>
      </c>
      <c r="F4995" t="inlineStr">
        <is>
          <t>NF-e</t>
        </is>
      </c>
      <c r="G4995" t="inlineStr">
        <is>
          <t>000000103</t>
        </is>
      </c>
      <c r="H4995" t="inlineStr">
        <is>
          <t>COMERCIAL CASA NOVA MATERIAL DE CONSTRUCAO PB LTDA</t>
        </is>
      </c>
      <c r="I4995" t="inlineStr">
        <is>
          <t>44.336.205/0001-18</t>
        </is>
      </c>
      <c r="J4995" s="29" t="n">
        <v>265</v>
      </c>
      <c r="K4995" s="29">
        <f>(1-ISNUMBER(SEARCH("556",M4995)))*(O4995*SUMIFS(Premissas!$C$5:$C$44,Premissas!$A$5:$A$44,$A4995,Premissas!$B$5:$B$44,$B4995)+P4995*SUMIFS(Premissas!$D$5:$D$44,Premissas!$A$5:$A$44,$A4995,Premissas!$B$5:$B$44,$B4995))+R4995*SUMIFS(Premissas!$E$5:$E$44,Premissas!$A$5:$A$44,$A4995,Premissas!$B$5:$B$44,$B4995)+S4995*SUMIFS(Premissas!$F$5:$F$44,Premissas!$A$5:$A$44,$A4995,Premissas!$B$5:$B$44,$B4995)</f>
        <v/>
      </c>
      <c r="L4995" s="29">
        <f>J4995-K4995</f>
        <v/>
      </c>
      <c r="M4995" t="inlineStr">
        <is>
          <t>1.556</t>
        </is>
      </c>
      <c r="O4995" s="29" t="n">
        <v>0</v>
      </c>
      <c r="P4995" s="29" t="n">
        <v>0</v>
      </c>
      <c r="Q4995" s="29" t="n">
        <v>0</v>
      </c>
      <c r="R4995" s="29" t="n">
        <v>0</v>
      </c>
      <c r="S4995" s="29" t="n">
        <v>0</v>
      </c>
      <c r="T4995" t="inlineStr">
        <is>
          <t>25260544336205000118550010000001031780484444</t>
        </is>
      </c>
      <c r="U4995" t="inlineStr">
        <is>
          <t>Sim</t>
        </is>
      </c>
    </row>
    <row r="4996">
      <c r="A4996" t="inlineStr">
        <is>
          <t>Outras despesas pagas</t>
        </is>
      </c>
      <c r="B4996" t="inlineStr">
        <is>
          <t>Sede</t>
        </is>
      </c>
      <c r="C4996" s="30" t="n">
        <v>46174</v>
      </c>
      <c r="D4996" t="inlineStr">
        <is>
          <t>Em 2026</t>
        </is>
      </c>
      <c r="E4996" s="28" t="n">
        <v>46178</v>
      </c>
      <c r="F4996" t="inlineStr">
        <is>
          <t>NF-e</t>
        </is>
      </c>
      <c r="G4996" t="inlineStr">
        <is>
          <t>000000104</t>
        </is>
      </c>
      <c r="H4996" t="inlineStr">
        <is>
          <t>COMERCIAL CASA NOVA MATERIAL DE CONSTRUCAO PB LTDA</t>
        </is>
      </c>
      <c r="I4996" t="inlineStr">
        <is>
          <t>44.336.205/0001-18</t>
        </is>
      </c>
      <c r="J4996" s="29" t="n">
        <v>550</v>
      </c>
      <c r="K4996" s="29">
        <f>(1-ISNUMBER(SEARCH("556",M4996)))*(O4996*SUMIFS(Premissas!$C$5:$C$44,Premissas!$A$5:$A$44,$A4996,Premissas!$B$5:$B$44,$B4996)+P4996*SUMIFS(Premissas!$D$5:$D$44,Premissas!$A$5:$A$44,$A4996,Premissas!$B$5:$B$44,$B4996))+R4996*SUMIFS(Premissas!$E$5:$E$44,Premissas!$A$5:$A$44,$A4996,Premissas!$B$5:$B$44,$B4996)+S4996*SUMIFS(Premissas!$F$5:$F$44,Premissas!$A$5:$A$44,$A4996,Premissas!$B$5:$B$44,$B4996)</f>
        <v/>
      </c>
      <c r="L4996" s="29">
        <f>J4996-K4996</f>
        <v/>
      </c>
      <c r="M4996" t="inlineStr">
        <is>
          <t>1.556</t>
        </is>
      </c>
      <c r="O4996" s="29" t="n">
        <v>0</v>
      </c>
      <c r="P4996" s="29" t="n">
        <v>0</v>
      </c>
      <c r="Q4996" s="29" t="n">
        <v>0</v>
      </c>
      <c r="R4996" s="29" t="n">
        <v>0</v>
      </c>
      <c r="S4996" s="29" t="n">
        <v>0</v>
      </c>
      <c r="T4996" t="inlineStr">
        <is>
          <t>25260644336205000118550010000001041368363792</t>
        </is>
      </c>
      <c r="U4996" t="inlineStr">
        <is>
          <t>Sim</t>
        </is>
      </c>
    </row>
    <row r="4997">
      <c r="A4997" t="inlineStr">
        <is>
          <t>Outras despesas pagas</t>
        </is>
      </c>
      <c r="B4997" t="inlineStr">
        <is>
          <t>Sede</t>
        </is>
      </c>
      <c r="C4997" s="30" t="n">
        <v>46174</v>
      </c>
      <c r="D4997" t="inlineStr">
        <is>
          <t>Em 2026</t>
        </is>
      </c>
      <c r="E4997" s="28" t="n">
        <v>46182</v>
      </c>
      <c r="F4997" t="inlineStr">
        <is>
          <t>NF-e</t>
        </is>
      </c>
      <c r="G4997" t="inlineStr">
        <is>
          <t>000033572</t>
        </is>
      </c>
      <c r="H4997" t="inlineStr">
        <is>
          <t>VIEIRA ACO INDUSTRIA e COMERCIO LTDA</t>
        </is>
      </c>
      <c r="I4997" t="inlineStr">
        <is>
          <t>12.281.632/0011-21</t>
        </is>
      </c>
      <c r="J4997" s="29" t="n">
        <v>195</v>
      </c>
      <c r="K4997" s="29">
        <f>(1-ISNUMBER(SEARCH("556",M4997)))*(O4997*SUMIFS(Premissas!$C$5:$C$44,Premissas!$A$5:$A$44,$A4997,Premissas!$B$5:$B$44,$B4997)+P4997*SUMIFS(Premissas!$D$5:$D$44,Premissas!$A$5:$A$44,$A4997,Premissas!$B$5:$B$44,$B4997))+R4997*SUMIFS(Premissas!$E$5:$E$44,Premissas!$A$5:$A$44,$A4997,Premissas!$B$5:$B$44,$B4997)+S4997*SUMIFS(Premissas!$F$5:$F$44,Premissas!$A$5:$A$44,$A4997,Premissas!$B$5:$B$44,$B4997)</f>
        <v/>
      </c>
      <c r="L4997" s="29">
        <f>J4997-K4997</f>
        <v/>
      </c>
      <c r="M4997" t="inlineStr">
        <is>
          <t>1.403</t>
        </is>
      </c>
      <c r="O4997" s="29" t="n">
        <v>0</v>
      </c>
      <c r="P4997" s="29" t="n">
        <v>0</v>
      </c>
      <c r="Q4997" s="29" t="n">
        <v>0</v>
      </c>
      <c r="R4997" s="29" t="n">
        <v>3.22</v>
      </c>
      <c r="S4997" s="29" t="n">
        <v>14.82</v>
      </c>
      <c r="T4997" t="inlineStr">
        <is>
          <t>25260612281632001121550010000335721184778113</t>
        </is>
      </c>
      <c r="U4997" t="inlineStr">
        <is>
          <t>Sim</t>
        </is>
      </c>
    </row>
    <row r="4998">
      <c r="A4998" t="inlineStr">
        <is>
          <t>Outras despesas pagas</t>
        </is>
      </c>
      <c r="B4998" t="inlineStr">
        <is>
          <t>Sede</t>
        </is>
      </c>
      <c r="C4998" s="30" t="n">
        <v>46174</v>
      </c>
      <c r="D4998" t="inlineStr">
        <is>
          <t>Em 2026</t>
        </is>
      </c>
      <c r="E4998" s="28" t="n">
        <v>46190</v>
      </c>
      <c r="F4998" t="inlineStr">
        <is>
          <t>NF-e</t>
        </is>
      </c>
      <c r="G4998" t="inlineStr">
        <is>
          <t>000033807</t>
        </is>
      </c>
      <c r="H4998" t="inlineStr">
        <is>
          <t>VIEIRA ACO INDUSTRIA e COMERCIO LTDA</t>
        </is>
      </c>
      <c r="I4998" t="inlineStr">
        <is>
          <t>12.281.632/0011-21</t>
        </is>
      </c>
      <c r="J4998" s="29" t="n">
        <v>96</v>
      </c>
      <c r="K4998" s="29">
        <f>(1-ISNUMBER(SEARCH("556",M4998)))*(O4998*SUMIFS(Premissas!$C$5:$C$44,Premissas!$A$5:$A$44,$A4998,Premissas!$B$5:$B$44,$B4998)+P4998*SUMIFS(Premissas!$D$5:$D$44,Premissas!$A$5:$A$44,$A4998,Premissas!$B$5:$B$44,$B4998))+R4998*SUMIFS(Premissas!$E$5:$E$44,Premissas!$A$5:$A$44,$A4998,Premissas!$B$5:$B$44,$B4998)+S4998*SUMIFS(Premissas!$F$5:$F$44,Premissas!$A$5:$A$44,$A4998,Premissas!$B$5:$B$44,$B4998)</f>
        <v/>
      </c>
      <c r="L4998" s="29">
        <f>J4998-K4998</f>
        <v/>
      </c>
      <c r="M4998" t="inlineStr">
        <is>
          <t>1.403</t>
        </is>
      </c>
      <c r="O4998" s="29" t="n">
        <v>0</v>
      </c>
      <c r="P4998" s="29" t="n">
        <v>0</v>
      </c>
      <c r="Q4998" s="29" t="n">
        <v>0</v>
      </c>
      <c r="R4998" s="29" t="n">
        <v>1.58</v>
      </c>
      <c r="S4998" s="29" t="n">
        <v>7.3</v>
      </c>
      <c r="T4998" t="inlineStr">
        <is>
          <t>25260612281632001121550010000338071213111701</t>
        </is>
      </c>
      <c r="U4998" t="inlineStr">
        <is>
          <t>Sim</t>
        </is>
      </c>
    </row>
    <row r="4999">
      <c r="A4999" t="inlineStr">
        <is>
          <t>Outras despesas pagas</t>
        </is>
      </c>
      <c r="B4999" t="inlineStr">
        <is>
          <t>Sede</t>
        </is>
      </c>
      <c r="C4999" s="30" t="n">
        <v>46204</v>
      </c>
      <c r="D4999" t="inlineStr">
        <is>
          <t>Em 2026</t>
        </is>
      </c>
      <c r="E4999" s="28" t="n">
        <v>46205</v>
      </c>
      <c r="F4999" t="inlineStr">
        <is>
          <t>NF-e</t>
        </is>
      </c>
      <c r="G4999" t="inlineStr">
        <is>
          <t>000000110</t>
        </is>
      </c>
      <c r="H4999" t="inlineStr">
        <is>
          <t>COMERCIAL CASA NOVA MATERIAL DE CONSTRUCAO PB LTDA</t>
        </is>
      </c>
      <c r="I4999" t="inlineStr">
        <is>
          <t>44.336.205/0001-18</t>
        </is>
      </c>
      <c r="J4999" s="29" t="n">
        <v>100</v>
      </c>
      <c r="K4999" s="29">
        <f>(1-ISNUMBER(SEARCH("556",M4999)))*(O4999*SUMIFS(Premissas!$C$5:$C$44,Premissas!$A$5:$A$44,$A4999,Premissas!$B$5:$B$44,$B4999)+P4999*SUMIFS(Premissas!$D$5:$D$44,Premissas!$A$5:$A$44,$A4999,Premissas!$B$5:$B$44,$B4999))+R4999*SUMIFS(Premissas!$E$5:$E$44,Premissas!$A$5:$A$44,$A4999,Premissas!$B$5:$B$44,$B4999)+S4999*SUMIFS(Premissas!$F$5:$F$44,Premissas!$A$5:$A$44,$A4999,Premissas!$B$5:$B$44,$B4999)</f>
        <v/>
      </c>
      <c r="L4999" s="29">
        <f>J4999-K4999</f>
        <v/>
      </c>
      <c r="M4999" t="inlineStr">
        <is>
          <t>1.556</t>
        </is>
      </c>
      <c r="O4999" s="29" t="n">
        <v>0</v>
      </c>
      <c r="P4999" s="29" t="n">
        <v>0</v>
      </c>
      <c r="Q4999" s="29" t="n">
        <v>0</v>
      </c>
      <c r="R4999" s="29" t="n">
        <v>0</v>
      </c>
      <c r="S4999" s="29" t="n">
        <v>0</v>
      </c>
      <c r="T4999" t="inlineStr">
        <is>
          <t>25260744336205000118550010000001101932392034</t>
        </is>
      </c>
      <c r="U4999" t="inlineStr">
        <is>
          <t>Sim</t>
        </is>
      </c>
    </row>
    <row r="5000">
      <c r="A5000" t="inlineStr">
        <is>
          <t>Outras despesas pagas</t>
        </is>
      </c>
      <c r="B5000" t="inlineStr">
        <is>
          <t>Sede</t>
        </is>
      </c>
      <c r="C5000" s="30" t="n">
        <v>46204</v>
      </c>
      <c r="D5000" t="inlineStr">
        <is>
          <t>Em 2026</t>
        </is>
      </c>
      <c r="E5000" s="28" t="n">
        <v>46212</v>
      </c>
      <c r="F5000" t="inlineStr">
        <is>
          <t>NF-e</t>
        </is>
      </c>
      <c r="G5000" t="inlineStr">
        <is>
          <t>000000112</t>
        </is>
      </c>
      <c r="H5000" t="inlineStr">
        <is>
          <t>COMERCIAL CASA NOVA MATERIAL DE CONSTRUCAO PB LTDA</t>
        </is>
      </c>
      <c r="I5000" t="inlineStr">
        <is>
          <t>44.336.205/0001-18</t>
        </is>
      </c>
      <c r="J5000" s="29" t="n">
        <v>115</v>
      </c>
      <c r="K5000" s="29">
        <f>(1-ISNUMBER(SEARCH("556",M5000)))*(O5000*SUMIFS(Premissas!$C$5:$C$44,Premissas!$A$5:$A$44,$A5000,Premissas!$B$5:$B$44,$B5000)+P5000*SUMIFS(Premissas!$D$5:$D$44,Premissas!$A$5:$A$44,$A5000,Premissas!$B$5:$B$44,$B5000))+R5000*SUMIFS(Premissas!$E$5:$E$44,Premissas!$A$5:$A$44,$A5000,Premissas!$B$5:$B$44,$B5000)+S5000*SUMIFS(Premissas!$F$5:$F$44,Premissas!$A$5:$A$44,$A5000,Premissas!$B$5:$B$44,$B5000)</f>
        <v/>
      </c>
      <c r="L5000" s="29">
        <f>J5000-K5000</f>
        <v/>
      </c>
      <c r="M5000" t="inlineStr">
        <is>
          <t>1.556</t>
        </is>
      </c>
      <c r="O5000" s="29" t="n">
        <v>0</v>
      </c>
      <c r="P5000" s="29" t="n">
        <v>0</v>
      </c>
      <c r="Q5000" s="29" t="n">
        <v>0</v>
      </c>
      <c r="R5000" s="29" t="n">
        <v>0</v>
      </c>
      <c r="S5000" s="29" t="n">
        <v>0</v>
      </c>
      <c r="T5000" t="inlineStr">
        <is>
          <t>25260744336205000118550010000001121967566190</t>
        </is>
      </c>
      <c r="U5000" t="inlineStr">
        <is>
          <t>Sim</t>
        </is>
      </c>
    </row>
    <row r="5001">
      <c r="A5001" t="inlineStr">
        <is>
          <t>Outras despesas pagas</t>
        </is>
      </c>
      <c r="B5001" t="inlineStr">
        <is>
          <t>Sede</t>
        </is>
      </c>
      <c r="C5001" s="30" t="n">
        <v>46204</v>
      </c>
      <c r="D5001" t="inlineStr">
        <is>
          <t>Em 2026</t>
        </is>
      </c>
      <c r="E5001" s="28" t="n">
        <v>46218</v>
      </c>
      <c r="F5001" t="inlineStr">
        <is>
          <t>NF-e</t>
        </is>
      </c>
      <c r="G5001" t="inlineStr">
        <is>
          <t>000000114</t>
        </is>
      </c>
      <c r="H5001" t="inlineStr">
        <is>
          <t>COMERCIAL CASA NOVA MATERIAL DE CONSTRUCAO PB LTDA</t>
        </is>
      </c>
      <c r="I5001" t="inlineStr">
        <is>
          <t>44.336.205/0001-18</t>
        </is>
      </c>
      <c r="J5001" s="29" t="n">
        <v>6600</v>
      </c>
      <c r="K5001" s="29">
        <f>(1-ISNUMBER(SEARCH("556",M5001)))*(O5001*SUMIFS(Premissas!$C$5:$C$44,Premissas!$A$5:$A$44,$A5001,Premissas!$B$5:$B$44,$B5001)+P5001*SUMIFS(Premissas!$D$5:$D$44,Premissas!$A$5:$A$44,$A5001,Premissas!$B$5:$B$44,$B5001))+R5001*SUMIFS(Premissas!$E$5:$E$44,Premissas!$A$5:$A$44,$A5001,Premissas!$B$5:$B$44,$B5001)+S5001*SUMIFS(Premissas!$F$5:$F$44,Premissas!$A$5:$A$44,$A5001,Premissas!$B$5:$B$44,$B5001)</f>
        <v/>
      </c>
      <c r="L5001" s="29">
        <f>J5001-K5001</f>
        <v/>
      </c>
      <c r="M5001" t="inlineStr">
        <is>
          <t>1.556</t>
        </is>
      </c>
      <c r="O5001" s="29" t="n">
        <v>0</v>
      </c>
      <c r="P5001" s="29" t="n">
        <v>0</v>
      </c>
      <c r="Q5001" s="29" t="n">
        <v>0</v>
      </c>
      <c r="R5001" s="29" t="n">
        <v>0</v>
      </c>
      <c r="S5001" s="29" t="n">
        <v>0</v>
      </c>
      <c r="T5001" t="inlineStr">
        <is>
          <t>25260744336205000118550010000001141632319250</t>
        </is>
      </c>
      <c r="U5001" t="inlineStr">
        <is>
          <t>Sim</t>
        </is>
      </c>
    </row>
    <row r="5002">
      <c r="A5002" t="inlineStr">
        <is>
          <t>Outras despesas pagas</t>
        </is>
      </c>
      <c r="B5002" t="inlineStr">
        <is>
          <t>Sede</t>
        </is>
      </c>
      <c r="C5002" s="30" t="n">
        <v>46204</v>
      </c>
      <c r="D5002" t="inlineStr">
        <is>
          <t>Em 2026</t>
        </is>
      </c>
      <c r="E5002" s="28" t="n">
        <v>46226</v>
      </c>
      <c r="F5002" t="inlineStr">
        <is>
          <t>NF-e</t>
        </is>
      </c>
      <c r="G5002" t="inlineStr">
        <is>
          <t>000000115</t>
        </is>
      </c>
      <c r="H5002" t="inlineStr">
        <is>
          <t>COMERCIAL CASA NOVA MATERIAL DE CONSTRUCAO PB LTDA</t>
        </is>
      </c>
      <c r="I5002" t="inlineStr">
        <is>
          <t>44.336.205/0001-18</t>
        </is>
      </c>
      <c r="J5002" s="29" t="n">
        <v>170</v>
      </c>
      <c r="K5002" s="29">
        <f>(1-ISNUMBER(SEARCH("556",M5002)))*(O5002*SUMIFS(Premissas!$C$5:$C$44,Premissas!$A$5:$A$44,$A5002,Premissas!$B$5:$B$44,$B5002)+P5002*SUMIFS(Premissas!$D$5:$D$44,Premissas!$A$5:$A$44,$A5002,Premissas!$B$5:$B$44,$B5002))+R5002*SUMIFS(Premissas!$E$5:$E$44,Premissas!$A$5:$A$44,$A5002,Premissas!$B$5:$B$44,$B5002)+S5002*SUMIFS(Premissas!$F$5:$F$44,Premissas!$A$5:$A$44,$A5002,Premissas!$B$5:$B$44,$B5002)</f>
        <v/>
      </c>
      <c r="L5002" s="29">
        <f>J5002-K5002</f>
        <v/>
      </c>
      <c r="M5002" t="inlineStr">
        <is>
          <t>1.556</t>
        </is>
      </c>
      <c r="O5002" s="29" t="n">
        <v>0</v>
      </c>
      <c r="P5002" s="29" t="n">
        <v>0</v>
      </c>
      <c r="Q5002" s="29" t="n">
        <v>0</v>
      </c>
      <c r="R5002" s="29" t="n">
        <v>0</v>
      </c>
      <c r="S5002" s="29" t="n">
        <v>0</v>
      </c>
      <c r="T5002" t="inlineStr">
        <is>
          <t>25260744336205000118550010000001151421753097</t>
        </is>
      </c>
      <c r="U5002" t="inlineStr">
        <is>
          <t>Sim</t>
        </is>
      </c>
    </row>
    <row r="5003">
      <c r="A5003" t="inlineStr">
        <is>
          <t>Outras despesas pagas</t>
        </is>
      </c>
      <c r="B5003" t="inlineStr">
        <is>
          <t>Sede</t>
        </is>
      </c>
      <c r="C5003" s="30" t="n">
        <v>46204</v>
      </c>
      <c r="D5003" t="inlineStr">
        <is>
          <t>Em 2026</t>
        </is>
      </c>
      <c r="E5003" s="28" t="n">
        <v>46233</v>
      </c>
      <c r="F5003" t="inlineStr">
        <is>
          <t>NF-e</t>
        </is>
      </c>
      <c r="G5003" t="inlineStr">
        <is>
          <t>000000117</t>
        </is>
      </c>
      <c r="H5003" t="inlineStr">
        <is>
          <t>COMERCIAL CASA NOVA MATERIAL DE CONSTRUCAO PB LTDA</t>
        </is>
      </c>
      <c r="I5003" t="inlineStr">
        <is>
          <t>44.336.205/0001-18</t>
        </is>
      </c>
      <c r="J5003" s="29" t="n">
        <v>5500</v>
      </c>
      <c r="K5003" s="29">
        <f>(1-ISNUMBER(SEARCH("556",M5003)))*(O5003*SUMIFS(Premissas!$C$5:$C$44,Premissas!$A$5:$A$44,$A5003,Premissas!$B$5:$B$44,$B5003)+P5003*SUMIFS(Premissas!$D$5:$D$44,Premissas!$A$5:$A$44,$A5003,Premissas!$B$5:$B$44,$B5003))+R5003*SUMIFS(Premissas!$E$5:$E$44,Premissas!$A$5:$A$44,$A5003,Premissas!$B$5:$B$44,$B5003)+S5003*SUMIFS(Premissas!$F$5:$F$44,Premissas!$A$5:$A$44,$A5003,Premissas!$B$5:$B$44,$B5003)</f>
        <v/>
      </c>
      <c r="L5003" s="29">
        <f>J5003-K5003</f>
        <v/>
      </c>
      <c r="M5003" t="inlineStr">
        <is>
          <t>1.556</t>
        </is>
      </c>
      <c r="O5003" s="29" t="n">
        <v>0</v>
      </c>
      <c r="P5003" s="29" t="n">
        <v>0</v>
      </c>
      <c r="Q5003" s="29" t="n">
        <v>0</v>
      </c>
      <c r="R5003" s="29" t="n">
        <v>0</v>
      </c>
      <c r="S5003" s="29" t="n">
        <v>0</v>
      </c>
      <c r="T5003" t="inlineStr">
        <is>
          <t>25260744336205000118550010000001171473423211</t>
        </is>
      </c>
      <c r="U5003" t="inlineStr">
        <is>
          <t>Sim</t>
        </is>
      </c>
    </row>
    <row r="5004">
      <c r="A5004" t="inlineStr">
        <is>
          <t>Outras despesas pagas</t>
        </is>
      </c>
      <c r="B5004" t="inlineStr">
        <is>
          <t>Sede</t>
        </is>
      </c>
      <c r="C5004" s="30" t="n">
        <v>46204</v>
      </c>
      <c r="D5004" t="inlineStr">
        <is>
          <t>Em 2026</t>
        </is>
      </c>
      <c r="E5004" s="28" t="n">
        <v>46233</v>
      </c>
      <c r="F5004" t="inlineStr">
        <is>
          <t>NF-e</t>
        </is>
      </c>
      <c r="G5004" t="inlineStr">
        <is>
          <t>000000173</t>
        </is>
      </c>
      <c r="H5004" t="inlineStr">
        <is>
          <t>THIAGO FERNANDES RODRIGUES</t>
        </is>
      </c>
      <c r="I5004" t="inlineStr">
        <is>
          <t>64.961.835/0001-90</t>
        </is>
      </c>
      <c r="J5004" s="29" t="n">
        <v>8900</v>
      </c>
      <c r="K5004" s="29">
        <f>(1-ISNUMBER(SEARCH("556",M5004)))*(O5004*SUMIFS(Premissas!$C$5:$C$44,Premissas!$A$5:$A$44,$A5004,Premissas!$B$5:$B$44,$B5004)+P5004*SUMIFS(Premissas!$D$5:$D$44,Premissas!$A$5:$A$44,$A5004,Premissas!$B$5:$B$44,$B5004))+R5004*SUMIFS(Premissas!$E$5:$E$44,Premissas!$A$5:$A$44,$A5004,Premissas!$B$5:$B$44,$B5004)+S5004*SUMIFS(Premissas!$F$5:$F$44,Premissas!$A$5:$A$44,$A5004,Premissas!$B$5:$B$44,$B5004)</f>
        <v/>
      </c>
      <c r="L5004" s="29">
        <f>J5004-K5004</f>
        <v/>
      </c>
      <c r="M5004" t="inlineStr">
        <is>
          <t>1.556</t>
        </is>
      </c>
      <c r="O5004" s="29" t="n">
        <v>0</v>
      </c>
      <c r="P5004" s="29" t="n">
        <v>0</v>
      </c>
      <c r="Q5004" s="29" t="n">
        <v>0</v>
      </c>
      <c r="R5004" s="29" t="n">
        <v>0</v>
      </c>
      <c r="S5004" s="29" t="n">
        <v>0</v>
      </c>
      <c r="T5004" t="inlineStr">
        <is>
          <t>25260764961835000190550010000001731349338078</t>
        </is>
      </c>
      <c r="U5004" t="inlineStr">
        <is>
          <t>Sim</t>
        </is>
      </c>
    </row>
    <row r="5005">
      <c r="A5005" t="inlineStr">
        <is>
          <t>Outras despesas pagas</t>
        </is>
      </c>
      <c r="B5005" t="inlineStr">
        <is>
          <t>Sede</t>
        </is>
      </c>
      <c r="C5005" s="30" t="n">
        <v>46235</v>
      </c>
      <c r="D5005" t="inlineStr">
        <is>
          <t>Em 2026</t>
        </is>
      </c>
      <c r="E5005" s="28" t="n">
        <v>46265</v>
      </c>
      <c r="F5005" t="inlineStr">
        <is>
          <t>NF-e</t>
        </is>
      </c>
      <c r="G5005" t="inlineStr">
        <is>
          <t>000000222</t>
        </is>
      </c>
      <c r="H5005" t="inlineStr">
        <is>
          <t>THIAGO FERNANDES RODRIGUES</t>
        </is>
      </c>
      <c r="I5005" t="inlineStr">
        <is>
          <t>64.961.835/0001-90</t>
        </is>
      </c>
      <c r="J5005" s="29" t="n">
        <v>4632</v>
      </c>
      <c r="K5005" s="29">
        <f>(1-ISNUMBER(SEARCH("556",M5005)))*(O5005*SUMIFS(Premissas!$C$5:$C$44,Premissas!$A$5:$A$44,$A5005,Premissas!$B$5:$B$44,$B5005)+P5005*SUMIFS(Premissas!$D$5:$D$44,Premissas!$A$5:$A$44,$A5005,Premissas!$B$5:$B$44,$B5005))+R5005*SUMIFS(Premissas!$E$5:$E$44,Premissas!$A$5:$A$44,$A5005,Premissas!$B$5:$B$44,$B5005)+S5005*SUMIFS(Premissas!$F$5:$F$44,Premissas!$A$5:$A$44,$A5005,Premissas!$B$5:$B$44,$B5005)</f>
        <v/>
      </c>
      <c r="L5005" s="29">
        <f>J5005-K5005</f>
        <v/>
      </c>
      <c r="M5005" t="inlineStr">
        <is>
          <t>1.556</t>
        </is>
      </c>
      <c r="O5005" s="29" t="n">
        <v>0</v>
      </c>
      <c r="P5005" s="29" t="n">
        <v>888.4299999999999</v>
      </c>
      <c r="Q5005" s="29" t="n">
        <v>0</v>
      </c>
      <c r="R5005" s="29" t="n">
        <v>23.36</v>
      </c>
      <c r="S5005" s="29" t="n">
        <v>107.81</v>
      </c>
      <c r="T5005" t="inlineStr">
        <is>
          <t>25260864961835000190550010000002221615605265</t>
        </is>
      </c>
      <c r="U5005" t="inlineStr">
        <is>
          <t>Sim</t>
        </is>
      </c>
    </row>
    <row r="5006">
      <c r="A5006" t="inlineStr">
        <is>
          <t>Outras despesas pagas</t>
        </is>
      </c>
      <c r="B5006" t="inlineStr">
        <is>
          <t>Sede</t>
        </is>
      </c>
      <c r="C5006" s="30" t="n">
        <v>46266</v>
      </c>
      <c r="D5006" t="inlineStr">
        <is>
          <t>Em 2026</t>
        </is>
      </c>
      <c r="E5006" s="28" t="n">
        <v>46268</v>
      </c>
      <c r="F5006" t="inlineStr">
        <is>
          <t>NF-e</t>
        </is>
      </c>
      <c r="G5006" t="inlineStr">
        <is>
          <t>000000125</t>
        </is>
      </c>
      <c r="H5006" t="inlineStr">
        <is>
          <t>COMERCIAL CASA NOVA MATERIAL DE CONSTRUCAO PB LTDA</t>
        </is>
      </c>
      <c r="I5006" t="inlineStr">
        <is>
          <t>44.336.205/0001-18</t>
        </is>
      </c>
      <c r="J5006" s="29" t="n">
        <v>450</v>
      </c>
      <c r="K5006" s="29">
        <f>(1-ISNUMBER(SEARCH("556",M5006)))*(O5006*SUMIFS(Premissas!$C$5:$C$44,Premissas!$A$5:$A$44,$A5006,Premissas!$B$5:$B$44,$B5006)+P5006*SUMIFS(Premissas!$D$5:$D$44,Premissas!$A$5:$A$44,$A5006,Premissas!$B$5:$B$44,$B5006))+R5006*SUMIFS(Premissas!$E$5:$E$44,Premissas!$A$5:$A$44,$A5006,Premissas!$B$5:$B$44,$B5006)+S5006*SUMIFS(Premissas!$F$5:$F$44,Premissas!$A$5:$A$44,$A5006,Premissas!$B$5:$B$44,$B5006)</f>
        <v/>
      </c>
      <c r="L5006" s="29">
        <f>J5006-K5006</f>
        <v/>
      </c>
      <c r="M5006" t="inlineStr">
        <is>
          <t>1.556</t>
        </is>
      </c>
      <c r="O5006" s="29" t="n">
        <v>0</v>
      </c>
      <c r="P5006" s="29" t="n">
        <v>0</v>
      </c>
      <c r="Q5006" s="29" t="n">
        <v>0</v>
      </c>
      <c r="R5006" s="29" t="n">
        <v>0</v>
      </c>
      <c r="S5006" s="29" t="n">
        <v>0</v>
      </c>
      <c r="T5006" t="inlineStr">
        <is>
          <t>25260944336205000118550010000001251404527827</t>
        </is>
      </c>
      <c r="U5006" t="inlineStr">
        <is>
          <t>Sim</t>
        </is>
      </c>
    </row>
    <row r="5007">
      <c r="A5007" t="inlineStr">
        <is>
          <t>Outras despesas pagas</t>
        </is>
      </c>
      <c r="B5007" t="inlineStr">
        <is>
          <t>Sede</t>
        </is>
      </c>
      <c r="C5007" s="30" t="n">
        <v>46266</v>
      </c>
      <c r="D5007" t="inlineStr">
        <is>
          <t>Em 2026</t>
        </is>
      </c>
      <c r="E5007" s="28" t="n">
        <v>46289</v>
      </c>
      <c r="F5007" t="inlineStr">
        <is>
          <t>NF-e</t>
        </is>
      </c>
      <c r="G5007" t="inlineStr">
        <is>
          <t>000000133</t>
        </is>
      </c>
      <c r="H5007" t="inlineStr">
        <is>
          <t>COMERCIAL CASA NOVA MATERIAL DE CONSTRUCAO PB LTDA</t>
        </is>
      </c>
      <c r="I5007" t="inlineStr">
        <is>
          <t>44.336.205/0001-18</t>
        </is>
      </c>
      <c r="J5007" s="29" t="n">
        <v>115</v>
      </c>
      <c r="K5007" s="29">
        <f>(1-ISNUMBER(SEARCH("556",M5007)))*(O5007*SUMIFS(Premissas!$C$5:$C$44,Premissas!$A$5:$A$44,$A5007,Premissas!$B$5:$B$44,$B5007)+P5007*SUMIFS(Premissas!$D$5:$D$44,Premissas!$A$5:$A$44,$A5007,Premissas!$B$5:$B$44,$B5007))+R5007*SUMIFS(Premissas!$E$5:$E$44,Premissas!$A$5:$A$44,$A5007,Premissas!$B$5:$B$44,$B5007)+S5007*SUMIFS(Premissas!$F$5:$F$44,Premissas!$A$5:$A$44,$A5007,Premissas!$B$5:$B$44,$B5007)</f>
        <v/>
      </c>
      <c r="L5007" s="29">
        <f>J5007-K5007</f>
        <v/>
      </c>
      <c r="M5007" t="inlineStr">
        <is>
          <t>1.556</t>
        </is>
      </c>
      <c r="O5007" s="29" t="n">
        <v>0</v>
      </c>
      <c r="P5007" s="29" t="n">
        <v>0</v>
      </c>
      <c r="Q5007" s="29" t="n">
        <v>0</v>
      </c>
      <c r="R5007" s="29" t="n">
        <v>0</v>
      </c>
      <c r="S5007" s="29" t="n">
        <v>0</v>
      </c>
      <c r="T5007" t="inlineStr">
        <is>
          <t>25260944336205000118550010000001331264592771</t>
        </is>
      </c>
      <c r="U5007" t="inlineStr">
        <is>
          <t>Sim</t>
        </is>
      </c>
    </row>
    <row r="5008">
      <c r="A5008" t="inlineStr">
        <is>
          <t>Outras despesas pagas</t>
        </is>
      </c>
      <c r="B5008" t="inlineStr">
        <is>
          <t>Sede</t>
        </is>
      </c>
      <c r="C5008" s="30" t="n">
        <v>46266</v>
      </c>
      <c r="D5008" t="inlineStr">
        <is>
          <t>Em 2026</t>
        </is>
      </c>
      <c r="E5008" s="28" t="n">
        <v>46268</v>
      </c>
      <c r="F5008" t="inlineStr">
        <is>
          <t>NF-e</t>
        </is>
      </c>
      <c r="G5008" t="inlineStr">
        <is>
          <t>000000233</t>
        </is>
      </c>
      <c r="H5008" t="inlineStr">
        <is>
          <t>THIAGO FERNANDES RODRIGUES</t>
        </is>
      </c>
      <c r="I5008" t="inlineStr">
        <is>
          <t>64.961.835/0001-90</t>
        </is>
      </c>
      <c r="J5008" s="29" t="n">
        <v>5429.46</v>
      </c>
      <c r="K5008" s="29">
        <f>(1-ISNUMBER(SEARCH("556",M5008)))*(O5008*SUMIFS(Premissas!$C$5:$C$44,Premissas!$A$5:$A$44,$A5008,Premissas!$B$5:$B$44,$B5008)+P5008*SUMIFS(Premissas!$D$5:$D$44,Premissas!$A$5:$A$44,$A5008,Premissas!$B$5:$B$44,$B5008))+R5008*SUMIFS(Premissas!$E$5:$E$44,Premissas!$A$5:$A$44,$A5008,Premissas!$B$5:$B$44,$B5008)+S5008*SUMIFS(Premissas!$F$5:$F$44,Premissas!$A$5:$A$44,$A5008,Premissas!$B$5:$B$44,$B5008)</f>
        <v/>
      </c>
      <c r="L5008" s="29">
        <f>J5008-K5008</f>
        <v/>
      </c>
      <c r="M5008" t="inlineStr">
        <is>
          <t>1.403, 1.556</t>
        </is>
      </c>
      <c r="O5008" s="29" t="n">
        <v>0</v>
      </c>
      <c r="P5008" s="29" t="n">
        <v>1026.27</v>
      </c>
      <c r="Q5008" s="29" t="n">
        <v>0</v>
      </c>
      <c r="R5008" s="29" t="n">
        <v>28.61</v>
      </c>
      <c r="S5008" s="29" t="n">
        <v>132.09</v>
      </c>
      <c r="T5008" t="inlineStr">
        <is>
          <t>25260964961835000190550010000002331422753880</t>
        </is>
      </c>
      <c r="U5008" t="inlineStr">
        <is>
          <t>Sim</t>
        </is>
      </c>
    </row>
    <row r="5009">
      <c r="A5009" t="inlineStr">
        <is>
          <t>Outras despesas pagas</t>
        </is>
      </c>
      <c r="B5009" t="inlineStr">
        <is>
          <t>Sede</t>
        </is>
      </c>
      <c r="C5009" s="30" t="n">
        <v>46266</v>
      </c>
      <c r="D5009" t="inlineStr">
        <is>
          <t>Em 2026</t>
        </is>
      </c>
      <c r="E5009" s="28" t="n">
        <v>46268</v>
      </c>
      <c r="F5009" t="inlineStr">
        <is>
          <t>NF-e</t>
        </is>
      </c>
      <c r="G5009" t="inlineStr">
        <is>
          <t>000000236</t>
        </is>
      </c>
      <c r="H5009" t="inlineStr">
        <is>
          <t>THIAGO FERNANDES RODRIGUES</t>
        </is>
      </c>
      <c r="I5009" t="inlineStr">
        <is>
          <t>64.961.835/0001-90</t>
        </is>
      </c>
      <c r="J5009" s="29" t="n">
        <v>523.5</v>
      </c>
      <c r="K5009" s="29">
        <f>(1-ISNUMBER(SEARCH("556",M5009)))*(O5009*SUMIFS(Premissas!$C$5:$C$44,Premissas!$A$5:$A$44,$A5009,Premissas!$B$5:$B$44,$B5009)+P5009*SUMIFS(Premissas!$D$5:$D$44,Premissas!$A$5:$A$44,$A5009,Premissas!$B$5:$B$44,$B5009))+R5009*SUMIFS(Premissas!$E$5:$E$44,Premissas!$A$5:$A$44,$A5009,Premissas!$B$5:$B$44,$B5009)+S5009*SUMIFS(Premissas!$F$5:$F$44,Premissas!$A$5:$A$44,$A5009,Premissas!$B$5:$B$44,$B5009)</f>
        <v/>
      </c>
      <c r="L5009" s="29">
        <f>J5009-K5009</f>
        <v/>
      </c>
      <c r="M5009" t="inlineStr">
        <is>
          <t>1.556</t>
        </is>
      </c>
      <c r="O5009" s="29" t="n">
        <v>0</v>
      </c>
      <c r="P5009" s="29" t="n">
        <v>0</v>
      </c>
      <c r="Q5009" s="29" t="n">
        <v>0</v>
      </c>
      <c r="R5009" s="29" t="n">
        <v>3.4</v>
      </c>
      <c r="S5009" s="29" t="n">
        <v>15.71</v>
      </c>
      <c r="T5009" t="inlineStr">
        <is>
          <t>25260964961835000190550010000002361404996395</t>
        </is>
      </c>
      <c r="U5009" t="inlineStr">
        <is>
          <t>Sim</t>
        </is>
      </c>
    </row>
    <row r="5010">
      <c r="A5010" t="inlineStr">
        <is>
          <t>Outras despesas pagas</t>
        </is>
      </c>
      <c r="B5010" t="inlineStr">
        <is>
          <t>Sede</t>
        </is>
      </c>
      <c r="C5010" s="30" t="n">
        <v>46266</v>
      </c>
      <c r="D5010" t="inlineStr">
        <is>
          <t>Em 2026</t>
        </is>
      </c>
      <c r="E5010" s="28" t="n">
        <v>46288</v>
      </c>
      <c r="F5010" t="inlineStr">
        <is>
          <t>NF-e</t>
        </is>
      </c>
      <c r="G5010" t="inlineStr">
        <is>
          <t>000036295</t>
        </is>
      </c>
      <c r="H5010" t="inlineStr">
        <is>
          <t>VIEIRA ACO INDUSTRIA e COMERCIO LTDA</t>
        </is>
      </c>
      <c r="I5010" t="inlineStr">
        <is>
          <t>12.281.632/0011-21</t>
        </is>
      </c>
      <c r="J5010" s="29" t="n">
        <v>81</v>
      </c>
      <c r="K5010" s="29">
        <f>(1-ISNUMBER(SEARCH("556",M5010)))*(O5010*SUMIFS(Premissas!$C$5:$C$44,Premissas!$A$5:$A$44,$A5010,Premissas!$B$5:$B$44,$B5010)+P5010*SUMIFS(Premissas!$D$5:$D$44,Premissas!$A$5:$A$44,$A5010,Premissas!$B$5:$B$44,$B5010))+R5010*SUMIFS(Premissas!$E$5:$E$44,Premissas!$A$5:$A$44,$A5010,Premissas!$B$5:$B$44,$B5010)+S5010*SUMIFS(Premissas!$F$5:$F$44,Premissas!$A$5:$A$44,$A5010,Premissas!$B$5:$B$44,$B5010)</f>
        <v/>
      </c>
      <c r="L5010" s="29">
        <f>J5010-K5010</f>
        <v/>
      </c>
      <c r="M5010" t="inlineStr">
        <is>
          <t>1.556</t>
        </is>
      </c>
      <c r="O5010" s="29" t="n">
        <v>0</v>
      </c>
      <c r="P5010" s="29" t="n">
        <v>0</v>
      </c>
      <c r="Q5010" s="29" t="n">
        <v>0</v>
      </c>
      <c r="R5010" s="29" t="n">
        <v>1.34</v>
      </c>
      <c r="S5010" s="29" t="n">
        <v>6.16</v>
      </c>
      <c r="T5010" t="inlineStr">
        <is>
          <t>25260912281632001121550010000362951940447500</t>
        </is>
      </c>
      <c r="U5010" t="inlineStr">
        <is>
          <t>Sim</t>
        </is>
      </c>
    </row>
  </sheetData>
  <autoFilter ref="A1:U50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3" customWidth="1" min="4" max="4"/>
    <col width="12" customWidth="1" min="5" max="5"/>
    <col width="7" customWidth="1" min="6" max="6"/>
    <col width="11" customWidth="1" min="7" max="7"/>
    <col width="42" customWidth="1" min="8" max="8"/>
    <col width="20" customWidth="1" min="9" max="9"/>
    <col width="15" customWidth="1" min="10" max="10"/>
    <col width="14" customWidth="1" min="11" max="11"/>
    <col width="10" customWidth="1" min="12" max="12"/>
    <col width="30" customWidth="1" min="13" max="13"/>
    <col width="60" customWidth="1" min="14" max="14"/>
  </cols>
  <sheetData>
    <row r="1">
      <c r="A1" s="4" t="inlineStr">
        <is>
          <t>Motivo da exclusão</t>
        </is>
      </c>
      <c r="B1" s="5" t="inlineStr">
        <is>
          <t>Categoria do Omie</t>
        </is>
      </c>
      <c r="C1" s="5" t="inlineStr">
        <is>
          <t>Mês (emissão)</t>
        </is>
      </c>
      <c r="D1" s="5" t="inlineStr">
        <is>
          <t>Período</t>
        </is>
      </c>
      <c r="E1" s="5" t="inlineStr">
        <is>
          <t>Data de emissão</t>
        </is>
      </c>
      <c r="F1" s="5" t="inlineStr">
        <is>
          <t>Tipo</t>
        </is>
      </c>
      <c r="G1" s="5" t="inlineStr">
        <is>
          <t>Número</t>
        </is>
      </c>
      <c r="H1" s="5" t="inlineStr">
        <is>
          <t>Fornecedor / Transportadora</t>
        </is>
      </c>
      <c r="I1" s="5" t="inlineStr">
        <is>
          <t>CNPJ/CPF</t>
        </is>
      </c>
      <c r="J1" s="5" t="inlineStr">
        <is>
          <t>Valor (R$)</t>
        </is>
      </c>
      <c r="K1" s="5" t="inlineStr">
        <is>
          <t>CFOP entrada</t>
        </is>
      </c>
      <c r="L1" s="5" t="inlineStr">
        <is>
          <t>Gerou título a pagar</t>
        </is>
      </c>
      <c r="M1" s="5" t="inlineStr">
        <is>
          <t>Operação na nota</t>
        </is>
      </c>
      <c r="N1" s="5" t="inlineStr">
        <is>
          <t>Observação</t>
        </is>
      </c>
    </row>
    <row r="2">
      <c r="A2" t="inlineStr">
        <is>
          <t>NF-e sem título a pagar gerado no recebimento</t>
        </is>
      </c>
      <c r="B2" t="inlineStr">
        <is>
          <t>2.01.99 Compra de Caixas</t>
        </is>
      </c>
      <c r="C2" t="inlineStr">
        <is>
          <t>Antes de 2026</t>
        </is>
      </c>
      <c r="D2" t="inlineStr">
        <is>
          <t>Antes de 2026</t>
        </is>
      </c>
      <c r="E2" s="28" t="n">
        <v>45954</v>
      </c>
      <c r="F2" t="inlineStr">
        <is>
          <t>NF-e</t>
        </is>
      </c>
      <c r="G2" t="inlineStr">
        <is>
          <t>000000018</t>
        </is>
      </c>
      <c r="H2" t="inlineStr">
        <is>
          <t>58.432.645 Vinicius Da Silva Ramalho</t>
        </is>
      </c>
      <c r="I2" t="inlineStr">
        <is>
          <t>58.432.645/0001-83</t>
        </is>
      </c>
      <c r="J2" s="29" t="n">
        <v>2248</v>
      </c>
      <c r="K2" t="inlineStr">
        <is>
          <t>1.556</t>
        </is>
      </c>
      <c r="L2" t="inlineStr">
        <is>
          <t>Não</t>
        </is>
      </c>
      <c r="M2" t="inlineStr">
        <is>
          <t>Compra/outras</t>
        </is>
      </c>
    </row>
    <row r="3">
      <c r="A3" t="inlineStr">
        <is>
          <t>NF-e sem título a pagar gerado no recebimento</t>
        </is>
      </c>
      <c r="B3" t="inlineStr">
        <is>
          <t>2.01.94 Compra de Fita Adesiva</t>
        </is>
      </c>
      <c r="C3" t="inlineStr">
        <is>
          <t>Antes de 2026</t>
        </is>
      </c>
      <c r="D3" t="inlineStr">
        <is>
          <t>Antes de 2026</t>
        </is>
      </c>
      <c r="E3" s="28" t="n">
        <v>45631</v>
      </c>
      <c r="F3" t="inlineStr">
        <is>
          <t>NF-e</t>
        </is>
      </c>
      <c r="G3" t="inlineStr">
        <is>
          <t>000041061</t>
        </is>
      </c>
      <c r="H3" t="inlineStr">
        <is>
          <t>ADERE PRODUTOS AUTO ADESIVOS LTDA</t>
        </is>
      </c>
      <c r="I3" t="inlineStr">
        <is>
          <t>46.062.030/0005-57</t>
        </is>
      </c>
      <c r="J3" s="29" t="n">
        <v>1380.87</v>
      </c>
      <c r="K3" t="inlineStr">
        <is>
          <t>2.102</t>
        </is>
      </c>
      <c r="L3" t="inlineStr">
        <is>
          <t>Não</t>
        </is>
      </c>
      <c r="M3" t="inlineStr">
        <is>
          <t>Compra/outras</t>
        </is>
      </c>
    </row>
    <row r="4">
      <c r="A4" t="inlineStr">
        <is>
          <t>NF-e sem título a pagar gerado no recebimento</t>
        </is>
      </c>
      <c r="B4" t="inlineStr">
        <is>
          <t>2.01.03 Compra de Matéria Prima (Papel)</t>
        </is>
      </c>
      <c r="C4" t="inlineStr">
        <is>
          <t>Antes de 2026</t>
        </is>
      </c>
      <c r="D4" t="inlineStr">
        <is>
          <t>Antes de 2026</t>
        </is>
      </c>
      <c r="E4" s="28" t="n">
        <v>45302</v>
      </c>
      <c r="F4" t="inlineStr">
        <is>
          <t>NF-e</t>
        </is>
      </c>
      <c r="G4" t="inlineStr">
        <is>
          <t>000036627</t>
        </is>
      </c>
      <c r="H4" t="inlineStr">
        <is>
          <t>ANIN INDUSTRIA E COMERCIO DE PAPEL LTDA</t>
        </is>
      </c>
      <c r="I4" t="inlineStr">
        <is>
          <t>39.285.002/0001-00</t>
        </is>
      </c>
      <c r="J4" s="29" t="n">
        <v>108821.56</v>
      </c>
      <c r="K4" t="inlineStr">
        <is>
          <t>2.102</t>
        </is>
      </c>
      <c r="L4" t="inlineStr">
        <is>
          <t>Não</t>
        </is>
      </c>
      <c r="M4" t="inlineStr">
        <is>
          <t>Compra/outras</t>
        </is>
      </c>
    </row>
    <row r="5">
      <c r="A5" t="inlineStr">
        <is>
          <t>NF-e sem título a pagar gerado no recebimento</t>
        </is>
      </c>
      <c r="B5" t="inlineStr">
        <is>
          <t>2.01.87 Compra de Peças de Máquinas</t>
        </is>
      </c>
      <c r="C5" t="inlineStr">
        <is>
          <t>Antes de 2026</t>
        </is>
      </c>
      <c r="D5" t="inlineStr">
        <is>
          <t>Antes de 2026</t>
        </is>
      </c>
      <c r="E5" s="28" t="n">
        <v>45772</v>
      </c>
      <c r="F5" t="inlineStr">
        <is>
          <t>NF-e</t>
        </is>
      </c>
      <c r="G5" t="inlineStr">
        <is>
          <t>000004229</t>
        </is>
      </c>
      <c r="H5" t="inlineStr">
        <is>
          <t>ARLINDO ALVES PASCOAL JUNIOR</t>
        </is>
      </c>
      <c r="I5" t="inlineStr">
        <is>
          <t>08.624.940/0001-63</t>
        </is>
      </c>
      <c r="J5" s="29" t="n">
        <v>1530</v>
      </c>
      <c r="K5" t="inlineStr">
        <is>
          <t>1.556</t>
        </is>
      </c>
      <c r="L5" t="inlineStr">
        <is>
          <t>Não</t>
        </is>
      </c>
      <c r="M5" t="inlineStr">
        <is>
          <t>Compra/outras</t>
        </is>
      </c>
    </row>
    <row r="6">
      <c r="A6" t="inlineStr">
        <is>
          <t>NF-e sem título a pagar gerado no recebimento</t>
        </is>
      </c>
      <c r="B6" t="inlineStr">
        <is>
          <t>2.01.87 Compra de Peças de Máquinas</t>
        </is>
      </c>
      <c r="C6" t="inlineStr">
        <is>
          <t>Antes de 2026</t>
        </is>
      </c>
      <c r="D6" t="inlineStr">
        <is>
          <t>Antes de 2026</t>
        </is>
      </c>
      <c r="E6" s="28" t="n">
        <v>45783</v>
      </c>
      <c r="F6" t="inlineStr">
        <is>
          <t>NF-e</t>
        </is>
      </c>
      <c r="G6" t="inlineStr">
        <is>
          <t>000004239</t>
        </is>
      </c>
      <c r="H6" t="inlineStr">
        <is>
          <t>ARLINDO ALVES PASCOAL JUNIOR</t>
        </is>
      </c>
      <c r="I6" t="inlineStr">
        <is>
          <t>08.624.940/0001-63</t>
        </is>
      </c>
      <c r="J6" s="29" t="n">
        <v>1430</v>
      </c>
      <c r="K6" t="inlineStr">
        <is>
          <t>1.556</t>
        </is>
      </c>
      <c r="L6" t="inlineStr">
        <is>
          <t>Não</t>
        </is>
      </c>
      <c r="M6" t="inlineStr">
        <is>
          <t>Compra/outras</t>
        </is>
      </c>
    </row>
    <row r="7">
      <c r="A7" t="inlineStr">
        <is>
          <t>NF-e sem título a pagar gerado no recebimento</t>
        </is>
      </c>
      <c r="B7" t="inlineStr">
        <is>
          <t>2.01.94 Compra de Fita Adesiva</t>
        </is>
      </c>
      <c r="C7" t="inlineStr">
        <is>
          <t>Antes de 2026</t>
        </is>
      </c>
      <c r="D7" t="inlineStr">
        <is>
          <t>Antes de 2026</t>
        </is>
      </c>
      <c r="E7" s="28" t="n">
        <v>45565</v>
      </c>
      <c r="F7" t="inlineStr">
        <is>
          <t>NF-e</t>
        </is>
      </c>
      <c r="G7" t="inlineStr">
        <is>
          <t>000004985</t>
        </is>
      </c>
      <c r="H7" t="inlineStr">
        <is>
          <t>ASSISTENPACK COMERCIAL E INDUSTRIAL LTDA</t>
        </is>
      </c>
      <c r="I7" t="inlineStr">
        <is>
          <t>20.302.126/0001-28</t>
        </is>
      </c>
      <c r="J7" s="29" t="n">
        <v>2793.56</v>
      </c>
      <c r="K7" t="inlineStr">
        <is>
          <t>1.102</t>
        </is>
      </c>
      <c r="L7" t="inlineStr">
        <is>
          <t>Não</t>
        </is>
      </c>
      <c r="M7" t="inlineStr">
        <is>
          <t>Compra/outras</t>
        </is>
      </c>
    </row>
    <row r="8">
      <c r="A8" t="inlineStr">
        <is>
          <t>NF-e sem título a pagar gerado no recebimento</t>
        </is>
      </c>
      <c r="B8" t="inlineStr">
        <is>
          <t>2.01.94 Compra de Fita Adesiva</t>
        </is>
      </c>
      <c r="C8" t="inlineStr">
        <is>
          <t>Antes de 2026</t>
        </is>
      </c>
      <c r="D8" t="inlineStr">
        <is>
          <t>Antes de 2026</t>
        </is>
      </c>
      <c r="E8" s="28" t="n">
        <v>45782</v>
      </c>
      <c r="F8" t="inlineStr">
        <is>
          <t>NF-e</t>
        </is>
      </c>
      <c r="G8" t="inlineStr">
        <is>
          <t>000001394</t>
        </is>
      </c>
      <c r="H8" t="inlineStr">
        <is>
          <t>B. B. A. INDUSTRIA E COMERCIO IMPORTACAO E EXPORTACAO LTDA</t>
        </is>
      </c>
      <c r="I8" t="inlineStr">
        <is>
          <t>25.247.287/0001-80</t>
        </is>
      </c>
      <c r="J8" s="29" t="n">
        <v>2004</v>
      </c>
      <c r="K8" t="inlineStr">
        <is>
          <t>1.556</t>
        </is>
      </c>
      <c r="L8" t="inlineStr">
        <is>
          <t>Não</t>
        </is>
      </c>
      <c r="M8" t="inlineStr">
        <is>
          <t>Compra/outras</t>
        </is>
      </c>
    </row>
    <row r="9">
      <c r="A9" t="inlineStr">
        <is>
          <t>NF-e sem título a pagar gerado no recebimento</t>
        </is>
      </c>
      <c r="B9" t="inlineStr">
        <is>
          <t>2.01.85 Compra de Uso e Consumo</t>
        </is>
      </c>
      <c r="C9" t="inlineStr">
        <is>
          <t>Antes de 2026</t>
        </is>
      </c>
      <c r="D9" t="inlineStr">
        <is>
          <t>Antes de 2026</t>
        </is>
      </c>
      <c r="E9" s="28" t="n">
        <v>45680</v>
      </c>
      <c r="F9" t="inlineStr">
        <is>
          <t>NF-e</t>
        </is>
      </c>
      <c r="G9" t="inlineStr">
        <is>
          <t>000080723</t>
        </is>
      </c>
      <c r="H9" t="inlineStr">
        <is>
          <t>BA - LOJAO DA ECONOMICA MATERIAIS DE CONSTRUCAO LTDA - EPP</t>
        </is>
      </c>
      <c r="I9" t="inlineStr">
        <is>
          <t>09.158.643/0002-13</t>
        </is>
      </c>
      <c r="J9" s="29" t="n">
        <v>55</v>
      </c>
      <c r="K9" t="inlineStr">
        <is>
          <t>1.556</t>
        </is>
      </c>
      <c r="L9" t="inlineStr">
        <is>
          <t>Não</t>
        </is>
      </c>
      <c r="M9" t="inlineStr">
        <is>
          <t>Compra/outras</t>
        </is>
      </c>
    </row>
    <row r="10">
      <c r="A10" t="inlineStr">
        <is>
          <t>NF-e sem título a pagar gerado no recebimento</t>
        </is>
      </c>
      <c r="B10" t="inlineStr">
        <is>
          <t>2.01.97 Compra de Clichê</t>
        </is>
      </c>
      <c r="C10" t="inlineStr">
        <is>
          <t>Antes de 2026</t>
        </is>
      </c>
      <c r="D10" t="inlineStr">
        <is>
          <t>Antes de 2026</t>
        </is>
      </c>
      <c r="E10" s="28" t="n">
        <v>45549</v>
      </c>
      <c r="F10" t="inlineStr">
        <is>
          <t>NF-e</t>
        </is>
      </c>
      <c r="G10" t="inlineStr">
        <is>
          <t>000000206</t>
        </is>
      </c>
      <c r="H10" t="inlineStr">
        <is>
          <t>BAHIA CLICHERIA LTDA</t>
        </is>
      </c>
      <c r="I10" t="inlineStr">
        <is>
          <t>55.011.509/0001-21</t>
        </is>
      </c>
      <c r="J10" s="29" t="n">
        <v>3669.33</v>
      </c>
      <c r="K10" t="inlineStr">
        <is>
          <t>2.556</t>
        </is>
      </c>
      <c r="L10" t="inlineStr">
        <is>
          <t>Não</t>
        </is>
      </c>
      <c r="M10" t="inlineStr">
        <is>
          <t>Compra/outras</t>
        </is>
      </c>
    </row>
    <row r="11">
      <c r="A11" t="inlineStr">
        <is>
          <t>NF-e sem título a pagar gerado no recebimento</t>
        </is>
      </c>
      <c r="B11" t="inlineStr">
        <is>
          <t>2.01.97 Compra de Clichê</t>
        </is>
      </c>
      <c r="C11" t="inlineStr">
        <is>
          <t>Antes de 2026</t>
        </is>
      </c>
      <c r="D11" t="inlineStr">
        <is>
          <t>Antes de 2026</t>
        </is>
      </c>
      <c r="E11" s="28" t="n">
        <v>45552</v>
      </c>
      <c r="F11" t="inlineStr">
        <is>
          <t>NF-e</t>
        </is>
      </c>
      <c r="G11" t="inlineStr">
        <is>
          <t>000000224</t>
        </is>
      </c>
      <c r="H11" t="inlineStr">
        <is>
          <t>BAHIA CLICHERIA LTDA</t>
        </is>
      </c>
      <c r="I11" t="inlineStr">
        <is>
          <t>55.011.509/0001-21</t>
        </is>
      </c>
      <c r="J11" s="29" t="n">
        <v>3186.4</v>
      </c>
      <c r="K11" t="inlineStr">
        <is>
          <t>2.556</t>
        </is>
      </c>
      <c r="L11" t="inlineStr">
        <is>
          <t>Não</t>
        </is>
      </c>
      <c r="M11" t="inlineStr">
        <is>
          <t>Compra/outras</t>
        </is>
      </c>
    </row>
    <row r="12">
      <c r="A12" t="inlineStr">
        <is>
          <t>NF-e sem título a pagar gerado no recebimento</t>
        </is>
      </c>
      <c r="B12" t="inlineStr">
        <is>
          <t>2.01.97 Compra de Clichê</t>
        </is>
      </c>
      <c r="C12" t="inlineStr">
        <is>
          <t>Antes de 2026</t>
        </is>
      </c>
      <c r="D12" t="inlineStr">
        <is>
          <t>Antes de 2026</t>
        </is>
      </c>
      <c r="E12" s="28" t="n">
        <v>45560</v>
      </c>
      <c r="F12" t="inlineStr">
        <is>
          <t>NF-e</t>
        </is>
      </c>
      <c r="G12" t="inlineStr">
        <is>
          <t>000000285</t>
        </is>
      </c>
      <c r="H12" t="inlineStr">
        <is>
          <t>BAHIA CLICHERIA LTDA</t>
        </is>
      </c>
      <c r="I12" t="inlineStr">
        <is>
          <t>55.011.509/0001-21</t>
        </is>
      </c>
      <c r="J12" s="29" t="n">
        <v>1739.44</v>
      </c>
      <c r="K12" t="inlineStr">
        <is>
          <t>2.556</t>
        </is>
      </c>
      <c r="L12" t="inlineStr">
        <is>
          <t>Não</t>
        </is>
      </c>
      <c r="M12" t="inlineStr">
        <is>
          <t>Compra/outras</t>
        </is>
      </c>
    </row>
    <row r="13">
      <c r="A13" t="inlineStr">
        <is>
          <t>NF-e sem título a pagar gerado no recebimento</t>
        </is>
      </c>
      <c r="B13" t="inlineStr">
        <is>
          <t>2.01.97 Compra de Clichê</t>
        </is>
      </c>
      <c r="C13" t="inlineStr">
        <is>
          <t>Antes de 2026</t>
        </is>
      </c>
      <c r="D13" t="inlineStr">
        <is>
          <t>Antes de 2026</t>
        </is>
      </c>
      <c r="E13" s="28" t="n">
        <v>45575</v>
      </c>
      <c r="F13" t="inlineStr">
        <is>
          <t>NF-e</t>
        </is>
      </c>
      <c r="G13" t="inlineStr">
        <is>
          <t>000000437</t>
        </is>
      </c>
      <c r="H13" t="inlineStr">
        <is>
          <t>BAHIA CLICHERIA LTDA</t>
        </is>
      </c>
      <c r="I13" t="inlineStr">
        <is>
          <t>55.011.509/0001-21</t>
        </is>
      </c>
      <c r="J13" s="29" t="n">
        <v>3797.6</v>
      </c>
      <c r="K13" t="inlineStr">
        <is>
          <t>2.556</t>
        </is>
      </c>
      <c r="L13" t="inlineStr">
        <is>
          <t>Não</t>
        </is>
      </c>
      <c r="M13" t="inlineStr">
        <is>
          <t>Compra/outras</t>
        </is>
      </c>
    </row>
    <row r="14">
      <c r="A14" t="inlineStr">
        <is>
          <t>NF-e sem título a pagar gerado no recebimento</t>
        </is>
      </c>
      <c r="B14" t="inlineStr">
        <is>
          <t>2.01.97 Compra de Clichê</t>
        </is>
      </c>
      <c r="C14" t="inlineStr">
        <is>
          <t>Antes de 2026</t>
        </is>
      </c>
      <c r="D14" t="inlineStr">
        <is>
          <t>Antes de 2026</t>
        </is>
      </c>
      <c r="E14" s="28" t="n">
        <v>45594</v>
      </c>
      <c r="F14" t="inlineStr">
        <is>
          <t>NF-e</t>
        </is>
      </c>
      <c r="G14" t="inlineStr">
        <is>
          <t>000000608</t>
        </is>
      </c>
      <c r="H14" t="inlineStr">
        <is>
          <t>BAHIA CLICHERIA LTDA</t>
        </is>
      </c>
      <c r="I14" t="inlineStr">
        <is>
          <t>55.011.509/0001-21</t>
        </is>
      </c>
      <c r="J14" s="29" t="n">
        <v>2074.08</v>
      </c>
      <c r="K14" t="inlineStr">
        <is>
          <t>2.556</t>
        </is>
      </c>
      <c r="L14" t="inlineStr">
        <is>
          <t>Não</t>
        </is>
      </c>
      <c r="M14" t="inlineStr">
        <is>
          <t>Compra/outras</t>
        </is>
      </c>
    </row>
    <row r="15">
      <c r="A15" t="inlineStr">
        <is>
          <t>NF-e sem título a pagar gerado no recebimento</t>
        </is>
      </c>
      <c r="B15" t="inlineStr">
        <is>
          <t>2.01.97 Compra de Clichê</t>
        </is>
      </c>
      <c r="C15" t="inlineStr">
        <is>
          <t>Antes de 2026</t>
        </is>
      </c>
      <c r="D15" t="inlineStr">
        <is>
          <t>Antes de 2026</t>
        </is>
      </c>
      <c r="E15" s="28" t="n">
        <v>45625</v>
      </c>
      <c r="F15" t="inlineStr">
        <is>
          <t>NF-e</t>
        </is>
      </c>
      <c r="G15" t="inlineStr">
        <is>
          <t>000000840</t>
        </is>
      </c>
      <c r="H15" t="inlineStr">
        <is>
          <t>BAHIA CLICHERIA LTDA</t>
        </is>
      </c>
      <c r="I15" t="inlineStr">
        <is>
          <t>55.011.509/0001-21</t>
        </is>
      </c>
      <c r="J15" s="29" t="n">
        <v>930.91</v>
      </c>
      <c r="K15" t="inlineStr">
        <is>
          <t>2.556</t>
        </is>
      </c>
      <c r="L15" t="inlineStr">
        <is>
          <t>Não</t>
        </is>
      </c>
      <c r="M15" t="inlineStr">
        <is>
          <t>Compra/outras</t>
        </is>
      </c>
    </row>
    <row r="16">
      <c r="A16" t="inlineStr">
        <is>
          <t>NF-e sem título a pagar gerado no recebimento</t>
        </is>
      </c>
      <c r="B16" t="inlineStr">
        <is>
          <t>2.01.97 Compra de Clichê</t>
        </is>
      </c>
      <c r="C16" t="inlineStr">
        <is>
          <t>Antes de 2026</t>
        </is>
      </c>
      <c r="D16" t="inlineStr">
        <is>
          <t>Antes de 2026</t>
        </is>
      </c>
      <c r="E16" s="28" t="n">
        <v>45626</v>
      </c>
      <c r="F16" t="inlineStr">
        <is>
          <t>NF-e</t>
        </is>
      </c>
      <c r="G16" t="inlineStr">
        <is>
          <t>000000862</t>
        </is>
      </c>
      <c r="H16" t="inlineStr">
        <is>
          <t>BAHIA CLICHERIA LTDA</t>
        </is>
      </c>
      <c r="I16" t="inlineStr">
        <is>
          <t>55.011.509/0001-21</t>
        </is>
      </c>
      <c r="J16" s="29" t="n">
        <v>976.27</v>
      </c>
      <c r="K16" t="inlineStr">
        <is>
          <t>2.556</t>
        </is>
      </c>
      <c r="L16" t="inlineStr">
        <is>
          <t>Não</t>
        </is>
      </c>
      <c r="M16" t="inlineStr">
        <is>
          <t>Compra/outras</t>
        </is>
      </c>
    </row>
    <row r="17">
      <c r="A17" t="inlineStr">
        <is>
          <t>NF-e sem título a pagar gerado no recebimento</t>
        </is>
      </c>
      <c r="B17" t="inlineStr">
        <is>
          <t>2.01.95 Compra de Etiqueta</t>
        </is>
      </c>
      <c r="C17" t="inlineStr">
        <is>
          <t>Antes de 2026</t>
        </is>
      </c>
      <c r="D17" t="inlineStr">
        <is>
          <t>Antes de 2026</t>
        </is>
      </c>
      <c r="E17" s="28" t="n">
        <v>45728</v>
      </c>
      <c r="F17" t="inlineStr">
        <is>
          <t>NF-e</t>
        </is>
      </c>
      <c r="G17" t="inlineStr">
        <is>
          <t>000006299</t>
        </is>
      </c>
      <c r="H17" t="inlineStr">
        <is>
          <t>BCHOLANDA SERVICOS DE REPARACAO E MANUTENCAO DE EQUIPAMENTOS</t>
        </is>
      </c>
      <c r="I17" t="inlineStr">
        <is>
          <t>34.845.177/0001-00</t>
        </is>
      </c>
      <c r="J17" s="29" t="n">
        <v>180</v>
      </c>
      <c r="K17" t="inlineStr">
        <is>
          <t>1.556</t>
        </is>
      </c>
      <c r="L17" t="inlineStr">
        <is>
          <t>Não</t>
        </is>
      </c>
      <c r="M17" t="inlineStr">
        <is>
          <t>Compra/outras</t>
        </is>
      </c>
    </row>
    <row r="18">
      <c r="A18" t="inlineStr">
        <is>
          <t>NF-e sem título a pagar gerado no recebimento</t>
        </is>
      </c>
      <c r="B18" t="inlineStr">
        <is>
          <t>2.04.91 Compra de Material de Limpeza</t>
        </is>
      </c>
      <c r="C18" t="inlineStr">
        <is>
          <t>Antes de 2026</t>
        </is>
      </c>
      <c r="D18" t="inlineStr">
        <is>
          <t>Antes de 2026</t>
        </is>
      </c>
      <c r="E18" s="28" t="n">
        <v>45960</v>
      </c>
      <c r="F18" t="inlineStr">
        <is>
          <t>NF-e</t>
        </is>
      </c>
      <c r="G18" t="inlineStr">
        <is>
          <t>000009631</t>
        </is>
      </c>
      <c r="H18" t="inlineStr">
        <is>
          <t>BLEED S IND. E COM. DE PRODUTOS QUIMICOS E LUBRIF. LTDA</t>
        </is>
      </c>
      <c r="I18" t="inlineStr">
        <is>
          <t>64.534.787/0001-54</t>
        </is>
      </c>
      <c r="J18" s="29" t="n">
        <v>890</v>
      </c>
      <c r="K18" t="inlineStr">
        <is>
          <t>1.556</t>
        </is>
      </c>
      <c r="L18" t="inlineStr">
        <is>
          <t>Não</t>
        </is>
      </c>
      <c r="M18" t="inlineStr">
        <is>
          <t>Compra/outras</t>
        </is>
      </c>
    </row>
    <row r="19">
      <c r="A19" t="inlineStr">
        <is>
          <t>NF-e sem título a pagar gerado no recebimento</t>
        </is>
      </c>
      <c r="B19" t="inlineStr">
        <is>
          <t>2.04.91 Compra de Material de Limpeza</t>
        </is>
      </c>
      <c r="C19" t="inlineStr">
        <is>
          <t>Antes de 2026</t>
        </is>
      </c>
      <c r="D19" t="inlineStr">
        <is>
          <t>Antes de 2026</t>
        </is>
      </c>
      <c r="E19" s="28" t="n">
        <v>45965</v>
      </c>
      <c r="F19" t="inlineStr">
        <is>
          <t>NF-e</t>
        </is>
      </c>
      <c r="G19" t="inlineStr">
        <is>
          <t>000009639</t>
        </is>
      </c>
      <c r="H19" t="inlineStr">
        <is>
          <t>BLEED S IND. E COM. DE PRODUTOS QUIMICOS E LUBRIF. LTDA</t>
        </is>
      </c>
      <c r="I19" t="inlineStr">
        <is>
          <t>64.534.787/0001-54</t>
        </is>
      </c>
      <c r="J19" s="29" t="n">
        <v>890</v>
      </c>
      <c r="K19" t="inlineStr">
        <is>
          <t>1.556</t>
        </is>
      </c>
      <c r="L19" t="inlineStr">
        <is>
          <t>Não</t>
        </is>
      </c>
      <c r="M19" t="inlineStr">
        <is>
          <t>Compra/outras</t>
        </is>
      </c>
    </row>
    <row r="20">
      <c r="A20" t="inlineStr">
        <is>
          <t>NF-e sem título a pagar gerado no recebimento</t>
        </is>
      </c>
      <c r="B20" t="inlineStr">
        <is>
          <t>2.01.03 Compra de Matéria Prima (Papel)</t>
        </is>
      </c>
      <c r="C20" t="inlineStr">
        <is>
          <t>Antes de 2026</t>
        </is>
      </c>
      <c r="D20" t="inlineStr">
        <is>
          <t>Antes de 2026</t>
        </is>
      </c>
      <c r="E20" s="28" t="n">
        <v>45957</v>
      </c>
      <c r="F20" t="inlineStr">
        <is>
          <t>NF-e</t>
        </is>
      </c>
      <c r="G20" t="inlineStr">
        <is>
          <t>000010997</t>
        </is>
      </c>
      <c r="H20" t="inlineStr">
        <is>
          <t>CMPC Iguacu Embalagens Ltda</t>
        </is>
      </c>
      <c r="I20" t="inlineStr">
        <is>
          <t>11.308.600/0008-04</t>
        </is>
      </c>
      <c r="J20" s="29" t="n">
        <v>142792.15</v>
      </c>
      <c r="K20" t="inlineStr">
        <is>
          <t>1.556</t>
        </is>
      </c>
      <c r="L20" t="inlineStr">
        <is>
          <t>Não</t>
        </is>
      </c>
      <c r="M20" t="inlineStr">
        <is>
          <t>Venda à ordem (x.118 a x.120, x.923)</t>
        </is>
      </c>
    </row>
    <row r="21">
      <c r="A21" t="inlineStr">
        <is>
          <t>NF-e sem título a pagar gerado no recebimento</t>
        </is>
      </c>
      <c r="B21" t="inlineStr">
        <is>
          <t>2.01.03 Compra de Matéria Prima (Papel)</t>
        </is>
      </c>
      <c r="C21" t="inlineStr">
        <is>
          <t>Antes de 2026</t>
        </is>
      </c>
      <c r="D21" t="inlineStr">
        <is>
          <t>Antes de 2026</t>
        </is>
      </c>
      <c r="E21" s="28" t="n">
        <v>45957</v>
      </c>
      <c r="F21" t="inlineStr">
        <is>
          <t>NF-e</t>
        </is>
      </c>
      <c r="G21" t="inlineStr">
        <is>
          <t>000011006</t>
        </is>
      </c>
      <c r="H21" t="inlineStr">
        <is>
          <t>CMPC Iguacu Embalagens Ltda</t>
        </is>
      </c>
      <c r="I21" t="inlineStr">
        <is>
          <t>11.308.600/0008-04</t>
        </is>
      </c>
      <c r="J21" s="29" t="n">
        <v>142984.31</v>
      </c>
      <c r="K21" t="inlineStr">
        <is>
          <t>1.556</t>
        </is>
      </c>
      <c r="L21" t="inlineStr">
        <is>
          <t>Não</t>
        </is>
      </c>
      <c r="M21" t="inlineStr">
        <is>
          <t>Venda à ordem (x.118 a x.120, x.923)</t>
        </is>
      </c>
    </row>
    <row r="22">
      <c r="A22" t="inlineStr">
        <is>
          <t>NF-e sem título a pagar gerado no recebimento</t>
        </is>
      </c>
      <c r="B22" t="inlineStr">
        <is>
          <t>2.01.03 Compra de Matéria Prima (Papel)</t>
        </is>
      </c>
      <c r="C22" t="inlineStr">
        <is>
          <t>Antes de 2026</t>
        </is>
      </c>
      <c r="D22" t="inlineStr">
        <is>
          <t>Antes de 2026</t>
        </is>
      </c>
      <c r="E22" s="28" t="n">
        <v>45957</v>
      </c>
      <c r="F22" t="inlineStr">
        <is>
          <t>NF-e</t>
        </is>
      </c>
      <c r="G22" t="inlineStr">
        <is>
          <t>000011005</t>
        </is>
      </c>
      <c r="H22" t="inlineStr">
        <is>
          <t>CMPC Iguacu Embalagens Ltda</t>
        </is>
      </c>
      <c r="I22" t="inlineStr">
        <is>
          <t>11.308.600/0008-04</t>
        </is>
      </c>
      <c r="J22" s="29" t="n">
        <v>142946.94</v>
      </c>
      <c r="K22" t="inlineStr">
        <is>
          <t>1.556</t>
        </is>
      </c>
      <c r="L22" t="inlineStr">
        <is>
          <t>Não</t>
        </is>
      </c>
      <c r="M22" t="inlineStr">
        <is>
          <t>Venda à ordem (x.118 a x.120, x.923)</t>
        </is>
      </c>
    </row>
    <row r="23">
      <c r="A23" t="inlineStr">
        <is>
          <t>NF-e sem título a pagar gerado no recebimento</t>
        </is>
      </c>
      <c r="B23" t="inlineStr">
        <is>
          <t>2.01.03 Compra de Matéria Prima (Papel)</t>
        </is>
      </c>
      <c r="C23" t="inlineStr">
        <is>
          <t>Antes de 2026</t>
        </is>
      </c>
      <c r="D23" t="inlineStr">
        <is>
          <t>Antes de 2026</t>
        </is>
      </c>
      <c r="E23" s="28" t="n">
        <v>45958</v>
      </c>
      <c r="F23" t="inlineStr">
        <is>
          <t>NF-e</t>
        </is>
      </c>
      <c r="G23" t="inlineStr">
        <is>
          <t>000011017</t>
        </is>
      </c>
      <c r="H23" t="inlineStr">
        <is>
          <t>CMPC Iguacu Embalagens Ltda</t>
        </is>
      </c>
      <c r="I23" t="inlineStr">
        <is>
          <t>11.308.600/0008-04</t>
        </is>
      </c>
      <c r="J23" s="29" t="n">
        <v>141206.75</v>
      </c>
      <c r="K23" t="inlineStr">
        <is>
          <t>1.556</t>
        </is>
      </c>
      <c r="L23" t="inlineStr">
        <is>
          <t>Não</t>
        </is>
      </c>
      <c r="M23" t="inlineStr">
        <is>
          <t>Venda à ordem (x.118 a x.120, x.923)</t>
        </is>
      </c>
    </row>
    <row r="24">
      <c r="A24" t="inlineStr">
        <is>
          <t>NF-e sem título a pagar gerado no recebimento</t>
        </is>
      </c>
      <c r="B24" t="inlineStr">
        <is>
          <t>2.01.03 Compra de Matéria Prima (Papel)</t>
        </is>
      </c>
      <c r="C24" t="inlineStr">
        <is>
          <t>Antes de 2026</t>
        </is>
      </c>
      <c r="D24" t="inlineStr">
        <is>
          <t>Antes de 2026</t>
        </is>
      </c>
      <c r="E24" s="28" t="n">
        <v>45958</v>
      </c>
      <c r="F24" t="inlineStr">
        <is>
          <t>NF-e</t>
        </is>
      </c>
      <c r="G24" t="inlineStr">
        <is>
          <t>000011018</t>
        </is>
      </c>
      <c r="H24" t="inlineStr">
        <is>
          <t>CMPC Iguacu Embalagens Ltda</t>
        </is>
      </c>
      <c r="I24" t="inlineStr">
        <is>
          <t>11.308.600/0008-04</t>
        </is>
      </c>
      <c r="J24" s="29" t="n">
        <v>141895.36</v>
      </c>
      <c r="K24" t="inlineStr">
        <is>
          <t>1.556</t>
        </is>
      </c>
      <c r="L24" t="inlineStr">
        <is>
          <t>Não</t>
        </is>
      </c>
      <c r="M24" t="inlineStr">
        <is>
          <t>Venda à ordem (x.118 a x.120, x.923)</t>
        </is>
      </c>
    </row>
    <row r="25">
      <c r="A25" t="inlineStr">
        <is>
          <t>NF-e sem título a pagar gerado no recebimento</t>
        </is>
      </c>
      <c r="B25" t="inlineStr">
        <is>
          <t>2.01.03 Compra de Matéria Prima (Papel)</t>
        </is>
      </c>
      <c r="C25" t="inlineStr">
        <is>
          <t>Antes de 2026</t>
        </is>
      </c>
      <c r="D25" t="inlineStr">
        <is>
          <t>Antes de 2026</t>
        </is>
      </c>
      <c r="E25" s="28" t="n">
        <v>45958</v>
      </c>
      <c r="F25" t="inlineStr">
        <is>
          <t>NF-e</t>
        </is>
      </c>
      <c r="G25" t="inlineStr">
        <is>
          <t>000011024</t>
        </is>
      </c>
      <c r="H25" t="inlineStr">
        <is>
          <t>CMPC Iguacu Embalagens Ltda</t>
        </is>
      </c>
      <c r="I25" t="inlineStr">
        <is>
          <t>11.308.600/0008-04</t>
        </is>
      </c>
      <c r="J25" s="29" t="n">
        <v>142765.44</v>
      </c>
      <c r="K25" t="inlineStr">
        <is>
          <t>1.556</t>
        </is>
      </c>
      <c r="L25" t="inlineStr">
        <is>
          <t>Não</t>
        </is>
      </c>
      <c r="M25" t="inlineStr">
        <is>
          <t>Venda à ordem (x.118 a x.120, x.923)</t>
        </is>
      </c>
    </row>
    <row r="26">
      <c r="A26" t="inlineStr">
        <is>
          <t>NF-e sem título a pagar gerado no recebimento</t>
        </is>
      </c>
      <c r="B26" t="inlineStr">
        <is>
          <t>2.01.03 Compra de Matéria Prima (Papel)</t>
        </is>
      </c>
      <c r="C26" t="inlineStr">
        <is>
          <t>Antes de 2026</t>
        </is>
      </c>
      <c r="D26" t="inlineStr">
        <is>
          <t>Antes de 2026</t>
        </is>
      </c>
      <c r="E26" s="28" t="n">
        <v>45959</v>
      </c>
      <c r="F26" t="inlineStr">
        <is>
          <t>NF-e</t>
        </is>
      </c>
      <c r="G26" t="inlineStr">
        <is>
          <t>000011041</t>
        </is>
      </c>
      <c r="H26" t="inlineStr">
        <is>
          <t>CMPC Iguacu Embalagens Ltda</t>
        </is>
      </c>
      <c r="I26" t="inlineStr">
        <is>
          <t>11.308.600/0008-04</t>
        </is>
      </c>
      <c r="J26" s="29" t="n">
        <v>141217.44</v>
      </c>
      <c r="K26" t="inlineStr">
        <is>
          <t>1.556</t>
        </is>
      </c>
      <c r="L26" t="inlineStr">
        <is>
          <t>Não</t>
        </is>
      </c>
      <c r="M26" t="inlineStr">
        <is>
          <t>Venda à ordem (x.118 a x.120, x.923)</t>
        </is>
      </c>
    </row>
    <row r="27">
      <c r="A27" t="inlineStr">
        <is>
          <t>NF-e sem título a pagar gerado no recebimento</t>
        </is>
      </c>
      <c r="B27" t="inlineStr">
        <is>
          <t>2.01.03 Compra de Matéria Prima (Papel)</t>
        </is>
      </c>
      <c r="C27" t="inlineStr">
        <is>
          <t>Antes de 2026</t>
        </is>
      </c>
      <c r="D27" t="inlineStr">
        <is>
          <t>Antes de 2026</t>
        </is>
      </c>
      <c r="E27" s="28" t="n">
        <v>45959</v>
      </c>
      <c r="F27" t="inlineStr">
        <is>
          <t>NF-e</t>
        </is>
      </c>
      <c r="G27" t="inlineStr">
        <is>
          <t>000011038</t>
        </is>
      </c>
      <c r="H27" t="inlineStr">
        <is>
          <t>CMPC Iguacu Embalagens Ltda</t>
        </is>
      </c>
      <c r="I27" t="inlineStr">
        <is>
          <t>11.308.600/0008-04</t>
        </is>
      </c>
      <c r="J27" s="29" t="n">
        <v>138943.43</v>
      </c>
      <c r="K27" t="inlineStr">
        <is>
          <t>1.556</t>
        </is>
      </c>
      <c r="L27" t="inlineStr">
        <is>
          <t>Não</t>
        </is>
      </c>
      <c r="M27" t="inlineStr">
        <is>
          <t>Venda à ordem (x.118 a x.120, x.923)</t>
        </is>
      </c>
    </row>
    <row r="28">
      <c r="A28" t="inlineStr">
        <is>
          <t>NF-e sem título a pagar gerado no recebimento</t>
        </is>
      </c>
      <c r="B28" t="inlineStr">
        <is>
          <t>2.01.03 Compra de Matéria Prima (Papel)</t>
        </is>
      </c>
      <c r="C28" t="inlineStr">
        <is>
          <t>Antes de 2026</t>
        </is>
      </c>
      <c r="D28" t="inlineStr">
        <is>
          <t>Antes de 2026</t>
        </is>
      </c>
      <c r="E28" s="28" t="n">
        <v>45959</v>
      </c>
      <c r="F28" t="inlineStr">
        <is>
          <t>NF-e</t>
        </is>
      </c>
      <c r="G28" t="inlineStr">
        <is>
          <t>000011048</t>
        </is>
      </c>
      <c r="H28" t="inlineStr">
        <is>
          <t>CMPC Iguacu Embalagens Ltda</t>
        </is>
      </c>
      <c r="I28" t="inlineStr">
        <is>
          <t>11.308.600/0008-04</t>
        </is>
      </c>
      <c r="J28" s="29" t="n">
        <v>132222.85</v>
      </c>
      <c r="K28" t="inlineStr">
        <is>
          <t>1.556</t>
        </is>
      </c>
      <c r="L28" t="inlineStr">
        <is>
          <t>Não</t>
        </is>
      </c>
      <c r="M28" t="inlineStr">
        <is>
          <t>Venda à ordem (x.118 a x.120, x.923)</t>
        </is>
      </c>
    </row>
    <row r="29">
      <c r="A29" t="inlineStr">
        <is>
          <t>NF-e sem título a pagar gerado no recebimento</t>
        </is>
      </c>
      <c r="B29" t="inlineStr">
        <is>
          <t>2.01.03 Compra de Matéria Prima (Papel)</t>
        </is>
      </c>
      <c r="C29" t="inlineStr">
        <is>
          <t>Antes de 2026</t>
        </is>
      </c>
      <c r="D29" t="inlineStr">
        <is>
          <t>Antes de 2026</t>
        </is>
      </c>
      <c r="E29" s="28" t="n">
        <v>45546</v>
      </c>
      <c r="F29" t="inlineStr">
        <is>
          <t>NF-e</t>
        </is>
      </c>
      <c r="G29" t="inlineStr">
        <is>
          <t>000089835</t>
        </is>
      </c>
      <c r="H29" t="inlineStr">
        <is>
          <t>COCELPA CIA DE CEL. E PAPEL DO PARANA SA</t>
        </is>
      </c>
      <c r="I29" t="inlineStr">
        <is>
          <t>76.487.651/0001-10</t>
        </is>
      </c>
      <c r="J29" s="29" t="n">
        <v>1731.38</v>
      </c>
      <c r="K29" t="inlineStr">
        <is>
          <t>2.101</t>
        </is>
      </c>
      <c r="L29" t="inlineStr">
        <is>
          <t>Não</t>
        </is>
      </c>
      <c r="M29" t="inlineStr">
        <is>
          <t>Compra/outras</t>
        </is>
      </c>
    </row>
    <row r="30">
      <c r="A30" t="inlineStr">
        <is>
          <t>NF-e sem título a pagar gerado no recebimento</t>
        </is>
      </c>
      <c r="B30" t="inlineStr">
        <is>
          <t>2.01.03 Compra de Matéria Prima (Papel)</t>
        </is>
      </c>
      <c r="C30" t="inlineStr">
        <is>
          <t>Antes de 2026</t>
        </is>
      </c>
      <c r="D30" t="inlineStr">
        <is>
          <t>Antes de 2026</t>
        </is>
      </c>
      <c r="E30" s="28" t="n">
        <v>45573</v>
      </c>
      <c r="F30" t="inlineStr">
        <is>
          <t>NF-e</t>
        </is>
      </c>
      <c r="G30" t="inlineStr">
        <is>
          <t>000090350</t>
        </is>
      </c>
      <c r="H30" t="inlineStr">
        <is>
          <t>COCELPA CIA DE CEL. E PAPEL DO PARANA SA</t>
        </is>
      </c>
      <c r="I30" t="inlineStr">
        <is>
          <t>76.487.651/0001-10</t>
        </is>
      </c>
      <c r="J30" s="29" t="n">
        <v>12985.65</v>
      </c>
      <c r="K30" t="inlineStr">
        <is>
          <t>2.101</t>
        </is>
      </c>
      <c r="L30" t="inlineStr">
        <is>
          <t>Não</t>
        </is>
      </c>
      <c r="M30" t="inlineStr">
        <is>
          <t>Compra/outras</t>
        </is>
      </c>
    </row>
    <row r="31">
      <c r="A31" t="inlineStr">
        <is>
          <t>NF-e sem título a pagar gerado no recebimento</t>
        </is>
      </c>
      <c r="B31" t="inlineStr">
        <is>
          <t>2.01.03 Compra de Matéria Prima (Papel)</t>
        </is>
      </c>
      <c r="C31" t="inlineStr">
        <is>
          <t>Antes de 2026</t>
        </is>
      </c>
      <c r="D31" t="inlineStr">
        <is>
          <t>Antes de 2026</t>
        </is>
      </c>
      <c r="E31" s="28" t="n">
        <v>45573</v>
      </c>
      <c r="F31" t="inlineStr">
        <is>
          <t>NF-e</t>
        </is>
      </c>
      <c r="G31" t="inlineStr">
        <is>
          <t>000090363</t>
        </is>
      </c>
      <c r="H31" t="inlineStr">
        <is>
          <t>COCELPA CIA DE CEL. E PAPEL DO PARANA SA</t>
        </is>
      </c>
      <c r="I31" t="inlineStr">
        <is>
          <t>76.487.651/0001-10</t>
        </is>
      </c>
      <c r="J31" s="29" t="n">
        <v>13954.24</v>
      </c>
      <c r="K31" t="inlineStr">
        <is>
          <t>2.101</t>
        </is>
      </c>
      <c r="L31" t="inlineStr">
        <is>
          <t>Não</t>
        </is>
      </c>
      <c r="M31" t="inlineStr">
        <is>
          <t>Compra/outras</t>
        </is>
      </c>
    </row>
    <row r="32">
      <c r="A32" t="inlineStr">
        <is>
          <t>NF-e sem título a pagar gerado no recebimento</t>
        </is>
      </c>
      <c r="B32" t="inlineStr">
        <is>
          <t>2.01.03 Compra de Matéria Prima (Papel)</t>
        </is>
      </c>
      <c r="C32" t="inlineStr">
        <is>
          <t>Antes de 2026</t>
        </is>
      </c>
      <c r="D32" t="inlineStr">
        <is>
          <t>Antes de 2026</t>
        </is>
      </c>
      <c r="E32" s="28" t="n">
        <v>45575</v>
      </c>
      <c r="F32" t="inlineStr">
        <is>
          <t>NF-e</t>
        </is>
      </c>
      <c r="G32" t="inlineStr">
        <is>
          <t>000090387</t>
        </is>
      </c>
      <c r="H32" t="inlineStr">
        <is>
          <t>COCELPA CIA DE CEL. E PAPEL DO PARANA SA</t>
        </is>
      </c>
      <c r="I32" t="inlineStr">
        <is>
          <t>76.487.651/0001-10</t>
        </is>
      </c>
      <c r="J32" s="29" t="n">
        <v>12739.4</v>
      </c>
      <c r="K32" t="inlineStr">
        <is>
          <t>2.101</t>
        </is>
      </c>
      <c r="L32" t="inlineStr">
        <is>
          <t>Não</t>
        </is>
      </c>
      <c r="M32" t="inlineStr">
        <is>
          <t>Compra/outras</t>
        </is>
      </c>
    </row>
    <row r="33">
      <c r="A33" t="inlineStr">
        <is>
          <t>NF-e sem título a pagar gerado no recebimento</t>
        </is>
      </c>
      <c r="B33" t="inlineStr">
        <is>
          <t>2.01.03 Compra de Matéria Prima (Papel)</t>
        </is>
      </c>
      <c r="C33" t="inlineStr">
        <is>
          <t>Antes de 2026</t>
        </is>
      </c>
      <c r="D33" t="inlineStr">
        <is>
          <t>Antes de 2026</t>
        </is>
      </c>
      <c r="E33" s="28" t="n">
        <v>45575</v>
      </c>
      <c r="F33" t="inlineStr">
        <is>
          <t>NF-e</t>
        </is>
      </c>
      <c r="G33" t="inlineStr">
        <is>
          <t>000090391</t>
        </is>
      </c>
      <c r="H33" t="inlineStr">
        <is>
          <t>COCELPA CIA DE CEL. E PAPEL DO PARANA SA</t>
        </is>
      </c>
      <c r="I33" t="inlineStr">
        <is>
          <t>76.487.651/0001-10</t>
        </is>
      </c>
      <c r="J33" s="29" t="n">
        <v>714.13</v>
      </c>
      <c r="K33" t="inlineStr">
        <is>
          <t>2.101</t>
        </is>
      </c>
      <c r="L33" t="inlineStr">
        <is>
          <t>Não</t>
        </is>
      </c>
      <c r="M33" t="inlineStr">
        <is>
          <t>Compra/outras</t>
        </is>
      </c>
    </row>
    <row r="34">
      <c r="A34" t="inlineStr">
        <is>
          <t>NF-e sem título a pagar gerado no recebimento</t>
        </is>
      </c>
      <c r="B34" t="inlineStr">
        <is>
          <t>2.01.03 Compra de Matéria Prima (Papel)</t>
        </is>
      </c>
      <c r="C34" t="inlineStr">
        <is>
          <t>Antes de 2026</t>
        </is>
      </c>
      <c r="D34" t="inlineStr">
        <is>
          <t>Antes de 2026</t>
        </is>
      </c>
      <c r="E34" s="28" t="n">
        <v>45575</v>
      </c>
      <c r="F34" t="inlineStr">
        <is>
          <t>NF-e</t>
        </is>
      </c>
      <c r="G34" t="inlineStr">
        <is>
          <t>000090404</t>
        </is>
      </c>
      <c r="H34" t="inlineStr">
        <is>
          <t>COCELPA CIA DE CEL. E PAPEL DO PARANA SA</t>
        </is>
      </c>
      <c r="I34" t="inlineStr">
        <is>
          <t>76.487.651/0001-10</t>
        </is>
      </c>
      <c r="J34" s="29" t="n">
        <v>6509.24</v>
      </c>
      <c r="K34" t="inlineStr">
        <is>
          <t>2.101</t>
        </is>
      </c>
      <c r="L34" t="inlineStr">
        <is>
          <t>Não</t>
        </is>
      </c>
      <c r="M34" t="inlineStr">
        <is>
          <t>Compra/outras</t>
        </is>
      </c>
    </row>
    <row r="35">
      <c r="A35" t="inlineStr">
        <is>
          <t>NF-e sem título a pagar gerado no recebimento</t>
        </is>
      </c>
      <c r="B35" t="inlineStr">
        <is>
          <t>2.01.03 Compra de Matéria Prima (Papel)</t>
        </is>
      </c>
      <c r="C35" t="inlineStr">
        <is>
          <t>Antes de 2026</t>
        </is>
      </c>
      <c r="D35" t="inlineStr">
        <is>
          <t>Antes de 2026</t>
        </is>
      </c>
      <c r="E35" s="28" t="n">
        <v>45603</v>
      </c>
      <c r="F35" t="inlineStr">
        <is>
          <t>NF-e</t>
        </is>
      </c>
      <c r="G35" t="inlineStr">
        <is>
          <t>000090877</t>
        </is>
      </c>
      <c r="H35" t="inlineStr">
        <is>
          <t>COCELPA CIA DE CEL. E PAPEL DO PARANA SA</t>
        </is>
      </c>
      <c r="I35" t="inlineStr">
        <is>
          <t>76.487.651/0001-10</t>
        </is>
      </c>
      <c r="J35" s="29" t="n">
        <v>46326.21</v>
      </c>
      <c r="K35" t="inlineStr">
        <is>
          <t>2.101</t>
        </is>
      </c>
      <c r="L35" t="inlineStr">
        <is>
          <t>Não</t>
        </is>
      </c>
      <c r="M35" t="inlineStr">
        <is>
          <t>Compra/outras</t>
        </is>
      </c>
    </row>
    <row r="36">
      <c r="A36" t="inlineStr">
        <is>
          <t>NF-e sem título a pagar gerado no recebimento</t>
        </is>
      </c>
      <c r="B36" t="inlineStr">
        <is>
          <t>2.01.99 Compra de Caixas</t>
        </is>
      </c>
      <c r="C36" t="inlineStr">
        <is>
          <t>Antes de 2026</t>
        </is>
      </c>
      <c r="D36" t="inlineStr">
        <is>
          <t>Antes de 2026</t>
        </is>
      </c>
      <c r="E36" s="28" t="n">
        <v>45876</v>
      </c>
      <c r="F36" t="inlineStr">
        <is>
          <t>NF-e</t>
        </is>
      </c>
      <c r="G36" t="inlineStr">
        <is>
          <t>000644503</t>
        </is>
      </c>
      <c r="H36" t="inlineStr">
        <is>
          <t>COMERCIO E REPRESENTACAO DE PRODUTOS AGRICOLAS ANZAI LTDA</t>
        </is>
      </c>
      <c r="I36" t="inlineStr">
        <is>
          <t>05.819.542/0001-04</t>
        </is>
      </c>
      <c r="J36" s="29" t="n">
        <v>413.39</v>
      </c>
      <c r="K36" t="inlineStr">
        <is>
          <t>1.556</t>
        </is>
      </c>
      <c r="L36" t="inlineStr">
        <is>
          <t>Não</t>
        </is>
      </c>
      <c r="M36" t="inlineStr">
        <is>
          <t>Compra/outras</t>
        </is>
      </c>
    </row>
    <row r="37">
      <c r="A37" t="inlineStr">
        <is>
          <t>NF-e sem título a pagar gerado no recebimento</t>
        </is>
      </c>
      <c r="B37" t="inlineStr">
        <is>
          <t>2.04.95 Copa e Cozinha</t>
        </is>
      </c>
      <c r="C37" t="inlineStr">
        <is>
          <t>Antes de 2026</t>
        </is>
      </c>
      <c r="D37" t="inlineStr">
        <is>
          <t>Antes de 2026</t>
        </is>
      </c>
      <c r="E37" s="28" t="n">
        <v>45777</v>
      </c>
      <c r="F37" t="inlineStr">
        <is>
          <t>NF-e</t>
        </is>
      </c>
      <c r="G37" t="inlineStr">
        <is>
          <t>001293597</t>
        </is>
      </c>
      <c r="H37" t="inlineStr">
        <is>
          <t>COMPANHIA BRASILEIRA DE DISTRIBUICAO</t>
        </is>
      </c>
      <c r="I37" t="inlineStr">
        <is>
          <t>47.508.411/2343-00</t>
        </is>
      </c>
      <c r="J37" s="29" t="n">
        <v>254.92</v>
      </c>
      <c r="K37" t="inlineStr">
        <is>
          <t>1.556</t>
        </is>
      </c>
      <c r="L37" t="inlineStr">
        <is>
          <t>Não</t>
        </is>
      </c>
      <c r="M37" t="inlineStr">
        <is>
          <t>Compra/outras</t>
        </is>
      </c>
    </row>
    <row r="38">
      <c r="A38" t="inlineStr">
        <is>
          <t>NF-e sem título a pagar gerado no recebimento</t>
        </is>
      </c>
      <c r="B38" t="inlineStr">
        <is>
          <t>2.04.95 Copa e Cozinha</t>
        </is>
      </c>
      <c r="C38" t="inlineStr">
        <is>
          <t>Antes de 2026</t>
        </is>
      </c>
      <c r="D38" t="inlineStr">
        <is>
          <t>Antes de 2026</t>
        </is>
      </c>
      <c r="E38" s="28" t="n">
        <v>45968</v>
      </c>
      <c r="F38" t="inlineStr">
        <is>
          <t>NF-e</t>
        </is>
      </c>
      <c r="G38" t="inlineStr">
        <is>
          <t>001787628</t>
        </is>
      </c>
      <c r="H38" t="inlineStr">
        <is>
          <t>COMPANHIA BRASILEIRA DE DISTRIBUICAO</t>
        </is>
      </c>
      <c r="I38" t="inlineStr">
        <is>
          <t>47.508.411/2343-00</t>
        </is>
      </c>
      <c r="J38" s="29" t="n">
        <v>226.14</v>
      </c>
      <c r="K38" t="inlineStr">
        <is>
          <t>1.556</t>
        </is>
      </c>
      <c r="L38" t="inlineStr">
        <is>
          <t>Não</t>
        </is>
      </c>
      <c r="M38" t="inlineStr">
        <is>
          <t>Compra/outras</t>
        </is>
      </c>
    </row>
    <row r="39">
      <c r="A39" t="inlineStr">
        <is>
          <t>NF-e sem título a pagar gerado no recebimento</t>
        </is>
      </c>
      <c r="B39" t="inlineStr">
        <is>
          <t>2.01.96 Compra de Cola</t>
        </is>
      </c>
      <c r="C39" t="inlineStr">
        <is>
          <t>Antes de 2026</t>
        </is>
      </c>
      <c r="D39" t="inlineStr">
        <is>
          <t>Antes de 2026</t>
        </is>
      </c>
      <c r="E39" s="28" t="n">
        <v>45866</v>
      </c>
      <c r="F39" t="inlineStr">
        <is>
          <t>NF-e</t>
        </is>
      </c>
      <c r="G39" t="inlineStr">
        <is>
          <t>000000088</t>
        </is>
      </c>
      <c r="H39" t="inlineStr">
        <is>
          <t>CONDE BLOCOS E PRE MOLDADO LTDA</t>
        </is>
      </c>
      <c r="I39" t="inlineStr">
        <is>
          <t>52.167.807/0001-17</t>
        </is>
      </c>
      <c r="J39" s="29" t="n">
        <v>3500</v>
      </c>
      <c r="K39" t="inlineStr">
        <is>
          <t>1.556</t>
        </is>
      </c>
      <c r="L39" t="inlineStr">
        <is>
          <t>Não</t>
        </is>
      </c>
      <c r="M39" t="inlineStr">
        <is>
          <t>Compra/outras</t>
        </is>
      </c>
    </row>
    <row r="40">
      <c r="A40" t="inlineStr">
        <is>
          <t>NF-e sem título a pagar gerado no recebimento</t>
        </is>
      </c>
      <c r="B40" t="inlineStr">
        <is>
          <t>2.01.99 Compra de Caixas</t>
        </is>
      </c>
      <c r="C40" t="inlineStr">
        <is>
          <t>Antes de 2026</t>
        </is>
      </c>
      <c r="D40" t="inlineStr">
        <is>
          <t>Antes de 2026</t>
        </is>
      </c>
      <c r="E40" s="28" t="n">
        <v>45875</v>
      </c>
      <c r="F40" t="inlineStr">
        <is>
          <t>NF-e</t>
        </is>
      </c>
      <c r="G40" t="inlineStr">
        <is>
          <t>000000091</t>
        </is>
      </c>
      <c r="H40" t="inlineStr">
        <is>
          <t>CONDE BLOCOS E PRE MOLDADO LTDA</t>
        </is>
      </c>
      <c r="I40" t="inlineStr">
        <is>
          <t>52.167.807/0001-17</t>
        </is>
      </c>
      <c r="J40" s="29" t="n">
        <v>3500</v>
      </c>
      <c r="K40" t="inlineStr">
        <is>
          <t>1.556</t>
        </is>
      </c>
      <c r="L40" t="inlineStr">
        <is>
          <t>Não</t>
        </is>
      </c>
      <c r="M40" t="inlineStr">
        <is>
          <t>Compra/outras</t>
        </is>
      </c>
    </row>
    <row r="41">
      <c r="A41" t="inlineStr">
        <is>
          <t>NF-e sem título a pagar gerado no recebimento</t>
        </is>
      </c>
      <c r="B41" t="inlineStr">
        <is>
          <t>2.03.88 Compra de Fardamento</t>
        </is>
      </c>
      <c r="C41" t="inlineStr">
        <is>
          <t>Antes de 2026</t>
        </is>
      </c>
      <c r="D41" t="inlineStr">
        <is>
          <t>Antes de 2026</t>
        </is>
      </c>
      <c r="E41" s="28" t="n">
        <v>45835</v>
      </c>
      <c r="F41" t="inlineStr">
        <is>
          <t>NF-e</t>
        </is>
      </c>
      <c r="G41" t="inlineStr">
        <is>
          <t>000000086</t>
        </is>
      </c>
      <c r="H41" t="inlineStr">
        <is>
          <t>CONDE BLOCOS E PRE MOLDADO LTDA</t>
        </is>
      </c>
      <c r="I41" t="inlineStr">
        <is>
          <t>52.167.807/0001-17</t>
        </is>
      </c>
      <c r="J41" s="29" t="n">
        <v>7390</v>
      </c>
      <c r="K41" t="inlineStr">
        <is>
          <t>1.556</t>
        </is>
      </c>
      <c r="L41" t="inlineStr">
        <is>
          <t>Não</t>
        </is>
      </c>
      <c r="M41" t="inlineStr">
        <is>
          <t>Compra/outras</t>
        </is>
      </c>
    </row>
    <row r="42">
      <c r="A42" t="inlineStr">
        <is>
          <t>NF-e sem título a pagar gerado no recebimento</t>
        </is>
      </c>
      <c r="B42" t="inlineStr">
        <is>
          <t>2.01.87 Compra de Peças de Máquinas</t>
        </is>
      </c>
      <c r="C42" t="inlineStr">
        <is>
          <t>Antes de 2026</t>
        </is>
      </c>
      <c r="D42" t="inlineStr">
        <is>
          <t>Antes de 2026</t>
        </is>
      </c>
      <c r="E42" s="28" t="n">
        <v>45784</v>
      </c>
      <c r="F42" t="inlineStr">
        <is>
          <t>NF-e</t>
        </is>
      </c>
      <c r="G42" t="inlineStr">
        <is>
          <t>000000929</t>
        </is>
      </c>
      <c r="H42" t="inlineStr">
        <is>
          <t>CONDE COMERCIO DE MATERIAL DE CONSTRUCAO LTDA</t>
        </is>
      </c>
      <c r="I42" t="inlineStr">
        <is>
          <t>27.073.801/0001-33</t>
        </is>
      </c>
      <c r="J42" s="29" t="n">
        <v>979</v>
      </c>
      <c r="K42" t="inlineStr">
        <is>
          <t>1.556</t>
        </is>
      </c>
      <c r="L42" t="inlineStr">
        <is>
          <t>Não</t>
        </is>
      </c>
      <c r="M42" t="inlineStr">
        <is>
          <t>Compra/outras</t>
        </is>
      </c>
    </row>
    <row r="43">
      <c r="A43" t="inlineStr">
        <is>
          <t>NF-e sem título a pagar gerado no recebimento</t>
        </is>
      </c>
      <c r="B43" t="inlineStr">
        <is>
          <t>2.01.88 Manutenção e Conservação de Máquina</t>
        </is>
      </c>
      <c r="C43" t="inlineStr">
        <is>
          <t>Antes de 2026</t>
        </is>
      </c>
      <c r="D43" t="inlineStr">
        <is>
          <t>Antes de 2026</t>
        </is>
      </c>
      <c r="E43" s="28" t="n">
        <v>45833</v>
      </c>
      <c r="F43" t="inlineStr">
        <is>
          <t>NF-e</t>
        </is>
      </c>
      <c r="G43" t="inlineStr">
        <is>
          <t>000000947</t>
        </is>
      </c>
      <c r="H43" t="inlineStr">
        <is>
          <t>CONDE COMERCIO DE MATERIAL DE CONSTRUCAO LTDA</t>
        </is>
      </c>
      <c r="I43" t="inlineStr">
        <is>
          <t>27.073.801/0001-33</t>
        </is>
      </c>
      <c r="J43" s="29" t="n">
        <v>1575</v>
      </c>
      <c r="K43" t="inlineStr">
        <is>
          <t>1.556</t>
        </is>
      </c>
      <c r="L43" t="inlineStr">
        <is>
          <t>Não</t>
        </is>
      </c>
      <c r="M43" t="inlineStr">
        <is>
          <t>Compra/outras</t>
        </is>
      </c>
    </row>
    <row r="44">
      <c r="A44" t="inlineStr">
        <is>
          <t>NF-e sem título a pagar gerado no recebimento</t>
        </is>
      </c>
      <c r="B44" t="inlineStr">
        <is>
          <t>2.01.89 Compra de Pallet</t>
        </is>
      </c>
      <c r="C44" t="inlineStr">
        <is>
          <t>Antes de 2026</t>
        </is>
      </c>
      <c r="D44" t="inlineStr">
        <is>
          <t>Antes de 2026</t>
        </is>
      </c>
      <c r="E44" s="28" t="n">
        <v>45721</v>
      </c>
      <c r="F44" t="inlineStr">
        <is>
          <t>NF-e</t>
        </is>
      </c>
      <c r="G44" t="inlineStr">
        <is>
          <t>000000911</t>
        </is>
      </c>
      <c r="H44" t="inlineStr">
        <is>
          <t>CONDE COMERCIO DE MATERIAL DE CONSTRUCAO LTDA</t>
        </is>
      </c>
      <c r="I44" t="inlineStr">
        <is>
          <t>27.073.801/0001-33</t>
        </is>
      </c>
      <c r="J44" s="29" t="n">
        <v>1734</v>
      </c>
      <c r="K44" t="inlineStr">
        <is>
          <t>1.556</t>
        </is>
      </c>
      <c r="L44" t="inlineStr">
        <is>
          <t>Não</t>
        </is>
      </c>
      <c r="M44" t="inlineStr">
        <is>
          <t>Compra/outras</t>
        </is>
      </c>
    </row>
    <row r="45">
      <c r="A45" t="inlineStr">
        <is>
          <t>NF-e sem título a pagar gerado no recebimento</t>
        </is>
      </c>
      <c r="B45" t="inlineStr">
        <is>
          <t>2.01.89 Compra de Pallet</t>
        </is>
      </c>
      <c r="C45" t="inlineStr">
        <is>
          <t>Antes de 2026</t>
        </is>
      </c>
      <c r="D45" t="inlineStr">
        <is>
          <t>Antes de 2026</t>
        </is>
      </c>
      <c r="E45" s="28" t="n">
        <v>45722</v>
      </c>
      <c r="F45" t="inlineStr">
        <is>
          <t>NF-e</t>
        </is>
      </c>
      <c r="G45" t="inlineStr">
        <is>
          <t>000000913</t>
        </is>
      </c>
      <c r="H45" t="inlineStr">
        <is>
          <t>CONDE COMERCIO DE MATERIAL DE CONSTRUCAO LTDA</t>
        </is>
      </c>
      <c r="I45" t="inlineStr">
        <is>
          <t>27.073.801/0001-33</t>
        </is>
      </c>
      <c r="J45" s="29" t="n">
        <v>1398</v>
      </c>
      <c r="K45" t="inlineStr">
        <is>
          <t>1.556</t>
        </is>
      </c>
      <c r="L45" t="inlineStr">
        <is>
          <t>Não</t>
        </is>
      </c>
      <c r="M45" t="inlineStr">
        <is>
          <t>Compra/outras</t>
        </is>
      </c>
    </row>
    <row r="46">
      <c r="A46" t="inlineStr">
        <is>
          <t>NF-e sem título a pagar gerado no recebimento</t>
        </is>
      </c>
      <c r="B46" t="inlineStr">
        <is>
          <t>2.01.92 Compra de Tinta</t>
        </is>
      </c>
      <c r="C46" t="inlineStr">
        <is>
          <t>Antes de 2026</t>
        </is>
      </c>
      <c r="D46" t="inlineStr">
        <is>
          <t>Antes de 2026</t>
        </is>
      </c>
      <c r="E46" s="28" t="n">
        <v>45848</v>
      </c>
      <c r="F46" t="inlineStr">
        <is>
          <t>NF-e</t>
        </is>
      </c>
      <c r="G46" t="inlineStr">
        <is>
          <t>000000950</t>
        </is>
      </c>
      <c r="H46" t="inlineStr">
        <is>
          <t>CONDE COMERCIO DE MATERIAL DE CONSTRUCAO LTDA</t>
        </is>
      </c>
      <c r="I46" t="inlineStr">
        <is>
          <t>27.073.801/0001-33</t>
        </is>
      </c>
      <c r="J46" s="29" t="n">
        <v>1654</v>
      </c>
      <c r="K46" t="inlineStr">
        <is>
          <t>1.556</t>
        </is>
      </c>
      <c r="L46" t="inlineStr">
        <is>
          <t>Não</t>
        </is>
      </c>
      <c r="M46" t="inlineStr">
        <is>
          <t>Compra/outras</t>
        </is>
      </c>
    </row>
    <row r="47">
      <c r="A47" t="inlineStr">
        <is>
          <t>NF-e sem título a pagar gerado no recebimento</t>
        </is>
      </c>
      <c r="B47" t="inlineStr">
        <is>
          <t>2.01.95 Compra de Etiqueta</t>
        </is>
      </c>
      <c r="C47" t="inlineStr">
        <is>
          <t>Antes de 2026</t>
        </is>
      </c>
      <c r="D47" t="inlineStr">
        <is>
          <t>Antes de 2026</t>
        </is>
      </c>
      <c r="E47" s="28" t="n">
        <v>45787</v>
      </c>
      <c r="F47" t="inlineStr">
        <is>
          <t>NF-e</t>
        </is>
      </c>
      <c r="G47" t="inlineStr">
        <is>
          <t>000000931</t>
        </is>
      </c>
      <c r="H47" t="inlineStr">
        <is>
          <t>CONDE COMERCIO DE MATERIAL DE CONSTRUCAO LTDA</t>
        </is>
      </c>
      <c r="I47" t="inlineStr">
        <is>
          <t>27.073.801/0001-33</t>
        </is>
      </c>
      <c r="J47" s="29" t="n">
        <v>683</v>
      </c>
      <c r="K47" t="inlineStr">
        <is>
          <t>1.556</t>
        </is>
      </c>
      <c r="L47" t="inlineStr">
        <is>
          <t>Não</t>
        </is>
      </c>
      <c r="M47" t="inlineStr">
        <is>
          <t>Compra/outras</t>
        </is>
      </c>
    </row>
    <row r="48">
      <c r="A48" t="inlineStr">
        <is>
          <t>NF-e sem título a pagar gerado no recebimento</t>
        </is>
      </c>
      <c r="B48" t="inlineStr">
        <is>
          <t>2.01.96 Compra de Cola</t>
        </is>
      </c>
      <c r="C48" t="inlineStr">
        <is>
          <t>Antes de 2026</t>
        </is>
      </c>
      <c r="D48" t="inlineStr">
        <is>
          <t>Antes de 2026</t>
        </is>
      </c>
      <c r="E48" s="28" t="n">
        <v>45829</v>
      </c>
      <c r="F48" t="inlineStr">
        <is>
          <t>NF-e</t>
        </is>
      </c>
      <c r="G48" t="inlineStr">
        <is>
          <t>000000945</t>
        </is>
      </c>
      <c r="H48" t="inlineStr">
        <is>
          <t>CONDE COMERCIO DE MATERIAL DE CONSTRUCAO LTDA</t>
        </is>
      </c>
      <c r="I48" t="inlineStr">
        <is>
          <t>27.073.801/0001-33</t>
        </is>
      </c>
      <c r="J48" s="29" t="n">
        <v>1590</v>
      </c>
      <c r="K48" t="inlineStr">
        <is>
          <t>1.556</t>
        </is>
      </c>
      <c r="L48" t="inlineStr">
        <is>
          <t>Não</t>
        </is>
      </c>
      <c r="M48" t="inlineStr">
        <is>
          <t>Compra/outras</t>
        </is>
      </c>
    </row>
    <row r="49">
      <c r="A49" t="inlineStr">
        <is>
          <t>NF-e sem título a pagar gerado no recebimento</t>
        </is>
      </c>
      <c r="B49" t="inlineStr">
        <is>
          <t>2.01.99 Compra de Caixas</t>
        </is>
      </c>
      <c r="C49" t="inlineStr">
        <is>
          <t>Antes de 2026</t>
        </is>
      </c>
      <c r="D49" t="inlineStr">
        <is>
          <t>Antes de 2026</t>
        </is>
      </c>
      <c r="E49" s="28" t="n">
        <v>45855</v>
      </c>
      <c r="F49" t="inlineStr">
        <is>
          <t>NF-e</t>
        </is>
      </c>
      <c r="G49" t="inlineStr">
        <is>
          <t>000000954</t>
        </is>
      </c>
      <c r="H49" t="inlineStr">
        <is>
          <t>CONDE COMERCIO DE MATERIAL DE CONSTRUCAO LTDA</t>
        </is>
      </c>
      <c r="I49" t="inlineStr">
        <is>
          <t>27.073.801/0001-33</t>
        </is>
      </c>
      <c r="J49" s="29" t="n">
        <v>1730</v>
      </c>
      <c r="K49" t="inlineStr">
        <is>
          <t>1.556</t>
        </is>
      </c>
      <c r="L49" t="inlineStr">
        <is>
          <t>Não</t>
        </is>
      </c>
      <c r="M49" t="inlineStr">
        <is>
          <t>Compra/outras</t>
        </is>
      </c>
    </row>
    <row r="50">
      <c r="A50" t="inlineStr">
        <is>
          <t>NF-e sem título a pagar gerado no recebimento</t>
        </is>
      </c>
      <c r="B50" t="inlineStr">
        <is>
          <t>2.04.95 Copa e Cozinha</t>
        </is>
      </c>
      <c r="C50" t="inlineStr">
        <is>
          <t>Antes de 2026</t>
        </is>
      </c>
      <c r="D50" t="inlineStr">
        <is>
          <t>Antes de 2026</t>
        </is>
      </c>
      <c r="E50" s="28" t="n">
        <v>45777</v>
      </c>
      <c r="F50" t="inlineStr">
        <is>
          <t>NF-e</t>
        </is>
      </c>
      <c r="G50" t="inlineStr">
        <is>
          <t>000000928</t>
        </is>
      </c>
      <c r="H50" t="inlineStr">
        <is>
          <t>CONDE COMERCIO DE MATERIAL DE CONSTRUCAO LTDA</t>
        </is>
      </c>
      <c r="I50" t="inlineStr">
        <is>
          <t>27.073.801/0001-33</t>
        </is>
      </c>
      <c r="J50" s="29" t="n">
        <v>970</v>
      </c>
      <c r="K50" t="inlineStr">
        <is>
          <t>1.556</t>
        </is>
      </c>
      <c r="L50" t="inlineStr">
        <is>
          <t>Não</t>
        </is>
      </c>
      <c r="M50" t="inlineStr">
        <is>
          <t>Compra/outras</t>
        </is>
      </c>
    </row>
    <row r="51">
      <c r="A51" t="inlineStr">
        <is>
          <t>NF-e sem título a pagar gerado no recebimento</t>
        </is>
      </c>
      <c r="B51" t="inlineStr">
        <is>
          <t>2.07.01 Máquinas e Equipamentos</t>
        </is>
      </c>
      <c r="C51" t="inlineStr">
        <is>
          <t>Antes de 2026</t>
        </is>
      </c>
      <c r="D51" t="inlineStr">
        <is>
          <t>Antes de 2026</t>
        </is>
      </c>
      <c r="E51" s="28" t="n">
        <v>45792</v>
      </c>
      <c r="F51" t="inlineStr">
        <is>
          <t>NF-e</t>
        </is>
      </c>
      <c r="G51" t="inlineStr">
        <is>
          <t>000000934</t>
        </is>
      </c>
      <c r="H51" t="inlineStr">
        <is>
          <t>CONDE COMERCIO DE MATERIAL DE CONSTRUCAO LTDA</t>
        </is>
      </c>
      <c r="I51" t="inlineStr">
        <is>
          <t>27.073.801/0001-33</t>
        </is>
      </c>
      <c r="J51" s="29" t="n">
        <v>666</v>
      </c>
      <c r="K51" t="inlineStr">
        <is>
          <t>1.556</t>
        </is>
      </c>
      <c r="L51" t="inlineStr">
        <is>
          <t>Não</t>
        </is>
      </c>
      <c r="M51" t="inlineStr">
        <is>
          <t>Compra/outras</t>
        </is>
      </c>
    </row>
    <row r="52">
      <c r="A52" t="inlineStr">
        <is>
          <t>NF-e sem título a pagar gerado no recebimento</t>
        </is>
      </c>
      <c r="B52" t="inlineStr">
        <is>
          <t>2.01.03 Compra de Matéria Prima (Papel)</t>
        </is>
      </c>
      <c r="C52" t="inlineStr">
        <is>
          <t>Antes de 2026</t>
        </is>
      </c>
      <c r="D52" t="inlineStr">
        <is>
          <t>Antes de 2026</t>
        </is>
      </c>
      <c r="E52" s="28" t="n">
        <v>45495</v>
      </c>
      <c r="F52" t="inlineStr">
        <is>
          <t>NF-e</t>
        </is>
      </c>
      <c r="G52" t="inlineStr">
        <is>
          <t>000018206</t>
        </is>
      </c>
      <c r="H52" t="inlineStr">
        <is>
          <t>COSTA GONDIM e CIA LTDA</t>
        </is>
      </c>
      <c r="I52" t="inlineStr">
        <is>
          <t>24.216.228/0001-81</t>
        </is>
      </c>
      <c r="J52" s="29" t="n">
        <v>750</v>
      </c>
      <c r="K52" t="inlineStr">
        <is>
          <t>1.556</t>
        </is>
      </c>
      <c r="L52" t="inlineStr">
        <is>
          <t>Não</t>
        </is>
      </c>
      <c r="M52" t="inlineStr">
        <is>
          <t>Compra/outras</t>
        </is>
      </c>
    </row>
    <row r="53">
      <c r="A53" t="inlineStr">
        <is>
          <t>NF-e sem título a pagar gerado no recebimento</t>
        </is>
      </c>
      <c r="B53" t="inlineStr">
        <is>
          <t>2.01.03 Compra de Matéria Prima (Papel)</t>
        </is>
      </c>
      <c r="C53" t="inlineStr">
        <is>
          <t>Antes de 2026</t>
        </is>
      </c>
      <c r="D53" t="inlineStr">
        <is>
          <t>Antes de 2026</t>
        </is>
      </c>
      <c r="E53" s="28" t="n">
        <v>45548</v>
      </c>
      <c r="F53" t="inlineStr">
        <is>
          <t>NF-e</t>
        </is>
      </c>
      <c r="G53" t="inlineStr">
        <is>
          <t>000018651</t>
        </is>
      </c>
      <c r="H53" t="inlineStr">
        <is>
          <t>COSTA GONDIM e CIA LTDA</t>
        </is>
      </c>
      <c r="I53" t="inlineStr">
        <is>
          <t>24.216.228/0001-81</t>
        </is>
      </c>
      <c r="J53" s="29" t="n">
        <v>430.5</v>
      </c>
      <c r="K53" t="inlineStr">
        <is>
          <t>1.556</t>
        </is>
      </c>
      <c r="L53" t="inlineStr">
        <is>
          <t>Não</t>
        </is>
      </c>
      <c r="M53" t="inlineStr">
        <is>
          <t>Compra/outras</t>
        </is>
      </c>
    </row>
    <row r="54">
      <c r="A54" t="inlineStr">
        <is>
          <t>NF-e sem título a pagar gerado no recebimento</t>
        </is>
      </c>
      <c r="B54" t="inlineStr">
        <is>
          <t>2.01.85 Compra de Uso e Consumo</t>
        </is>
      </c>
      <c r="C54" t="inlineStr">
        <is>
          <t>Antes de 2026</t>
        </is>
      </c>
      <c r="D54" t="inlineStr">
        <is>
          <t>Antes de 2026</t>
        </is>
      </c>
      <c r="E54" s="28" t="n">
        <v>45295</v>
      </c>
      <c r="F54" t="inlineStr">
        <is>
          <t>NF-e</t>
        </is>
      </c>
      <c r="G54" t="inlineStr">
        <is>
          <t>000016880</t>
        </is>
      </c>
      <c r="H54" t="inlineStr">
        <is>
          <t>COSTA GONDIM e CIA LTDA</t>
        </is>
      </c>
      <c r="I54" t="inlineStr">
        <is>
          <t>24.216.228/0001-81</t>
        </is>
      </c>
      <c r="J54" s="29" t="n">
        <v>429</v>
      </c>
      <c r="K54" t="inlineStr">
        <is>
          <t>1.556</t>
        </is>
      </c>
      <c r="L54" t="inlineStr">
        <is>
          <t>Não</t>
        </is>
      </c>
      <c r="M54" t="inlineStr">
        <is>
          <t>Compra/outras</t>
        </is>
      </c>
    </row>
    <row r="55">
      <c r="A55" t="inlineStr">
        <is>
          <t>NF-e sem título a pagar gerado no recebimento</t>
        </is>
      </c>
      <c r="B55" t="inlineStr">
        <is>
          <t>2.01.85 Compra de Uso e Consumo</t>
        </is>
      </c>
      <c r="C55" t="inlineStr">
        <is>
          <t>Antes de 2026</t>
        </is>
      </c>
      <c r="D55" t="inlineStr">
        <is>
          <t>Antes de 2026</t>
        </is>
      </c>
      <c r="E55" s="28" t="n">
        <v>45323</v>
      </c>
      <c r="F55" t="inlineStr">
        <is>
          <t>NF-e</t>
        </is>
      </c>
      <c r="G55" t="inlineStr">
        <is>
          <t>000017036</t>
        </is>
      </c>
      <c r="H55" t="inlineStr">
        <is>
          <t>COSTA GONDIM e CIA LTDA</t>
        </is>
      </c>
      <c r="I55" t="inlineStr">
        <is>
          <t>24.216.228/0001-81</t>
        </is>
      </c>
      <c r="J55" s="29" t="n">
        <v>453</v>
      </c>
      <c r="K55" t="inlineStr">
        <is>
          <t>1.556</t>
        </is>
      </c>
      <c r="L55" t="inlineStr">
        <is>
          <t>Não</t>
        </is>
      </c>
      <c r="M55" t="inlineStr">
        <is>
          <t>Compra/outras</t>
        </is>
      </c>
    </row>
    <row r="56">
      <c r="A56" t="inlineStr">
        <is>
          <t>NF-e sem título a pagar gerado no recebimento</t>
        </is>
      </c>
      <c r="B56" t="inlineStr">
        <is>
          <t>2.01.85 Compra de Uso e Consumo</t>
        </is>
      </c>
      <c r="C56" t="inlineStr">
        <is>
          <t>Antes de 2026</t>
        </is>
      </c>
      <c r="D56" t="inlineStr">
        <is>
          <t>Antes de 2026</t>
        </is>
      </c>
      <c r="E56" s="28" t="n">
        <v>45343</v>
      </c>
      <c r="F56" t="inlineStr">
        <is>
          <t>NF-e</t>
        </is>
      </c>
      <c r="G56" t="inlineStr">
        <is>
          <t>000017153</t>
        </is>
      </c>
      <c r="H56" t="inlineStr">
        <is>
          <t>COSTA GONDIM e CIA LTDA</t>
        </is>
      </c>
      <c r="I56" t="inlineStr">
        <is>
          <t>24.216.228/0001-81</t>
        </is>
      </c>
      <c r="J56" s="29" t="n">
        <v>295</v>
      </c>
      <c r="K56" t="inlineStr">
        <is>
          <t>1.556</t>
        </is>
      </c>
      <c r="L56" t="inlineStr">
        <is>
          <t>Não</t>
        </is>
      </c>
      <c r="M56" t="inlineStr">
        <is>
          <t>Compra/outras</t>
        </is>
      </c>
    </row>
    <row r="57">
      <c r="A57" t="inlineStr">
        <is>
          <t>NF-e sem título a pagar gerado no recebimento</t>
        </is>
      </c>
      <c r="B57" t="inlineStr">
        <is>
          <t>2.01.85 Compra de Uso e Consumo</t>
        </is>
      </c>
      <c r="C57" t="inlineStr">
        <is>
          <t>Antes de 2026</t>
        </is>
      </c>
      <c r="D57" t="inlineStr">
        <is>
          <t>Antes de 2026</t>
        </is>
      </c>
      <c r="E57" s="28" t="n">
        <v>45355</v>
      </c>
      <c r="F57" t="inlineStr">
        <is>
          <t>NF-e</t>
        </is>
      </c>
      <c r="G57" t="inlineStr">
        <is>
          <t>000017225</t>
        </is>
      </c>
      <c r="H57" t="inlineStr">
        <is>
          <t>COSTA GONDIM e CIA LTDA</t>
        </is>
      </c>
      <c r="I57" t="inlineStr">
        <is>
          <t>24.216.228/0001-81</t>
        </is>
      </c>
      <c r="J57" s="29" t="n">
        <v>672.75</v>
      </c>
      <c r="K57" t="inlineStr">
        <is>
          <t>1.556</t>
        </is>
      </c>
      <c r="L57" t="inlineStr">
        <is>
          <t>Não</t>
        </is>
      </c>
      <c r="M57" t="inlineStr">
        <is>
          <t>Compra/outras</t>
        </is>
      </c>
    </row>
    <row r="58">
      <c r="A58" t="inlineStr">
        <is>
          <t>NF-e sem título a pagar gerado no recebimento</t>
        </is>
      </c>
      <c r="B58" t="inlineStr">
        <is>
          <t>2.01.85 Compra de Uso e Consumo</t>
        </is>
      </c>
      <c r="C58" t="inlineStr">
        <is>
          <t>Antes de 2026</t>
        </is>
      </c>
      <c r="D58" t="inlineStr">
        <is>
          <t>Antes de 2026</t>
        </is>
      </c>
      <c r="E58" s="28" t="n">
        <v>45505</v>
      </c>
      <c r="F58" t="inlineStr">
        <is>
          <t>NF-e</t>
        </is>
      </c>
      <c r="G58" t="inlineStr">
        <is>
          <t>000018282</t>
        </is>
      </c>
      <c r="H58" t="inlineStr">
        <is>
          <t>COSTA GONDIM e CIA LTDA</t>
        </is>
      </c>
      <c r="I58" t="inlineStr">
        <is>
          <t>24.216.228/0001-81</t>
        </is>
      </c>
      <c r="J58" s="29" t="n">
        <v>29.33</v>
      </c>
      <c r="K58" t="inlineStr">
        <is>
          <t>1.556</t>
        </is>
      </c>
      <c r="L58" t="inlineStr">
        <is>
          <t>Não</t>
        </is>
      </c>
      <c r="M58" t="inlineStr">
        <is>
          <t>Compra/outras</t>
        </is>
      </c>
    </row>
    <row r="59">
      <c r="A59" t="inlineStr">
        <is>
          <t>NF-e sem título a pagar gerado no recebimento</t>
        </is>
      </c>
      <c r="B59" t="inlineStr">
        <is>
          <t>2.01.85 Compra de Uso e Consumo</t>
        </is>
      </c>
      <c r="C59" t="inlineStr">
        <is>
          <t>Antes de 2026</t>
        </is>
      </c>
      <c r="D59" t="inlineStr">
        <is>
          <t>Antes de 2026</t>
        </is>
      </c>
      <c r="E59" s="28" t="n">
        <v>45525</v>
      </c>
      <c r="F59" t="inlineStr">
        <is>
          <t>NF-e</t>
        </is>
      </c>
      <c r="G59" t="inlineStr">
        <is>
          <t>000018446</t>
        </is>
      </c>
      <c r="H59" t="inlineStr">
        <is>
          <t>COSTA GONDIM e CIA LTDA</t>
        </is>
      </c>
      <c r="I59" t="inlineStr">
        <is>
          <t>24.216.228/0001-81</t>
        </is>
      </c>
      <c r="J59" s="29" t="n">
        <v>210</v>
      </c>
      <c r="K59" t="inlineStr">
        <is>
          <t>1.556</t>
        </is>
      </c>
      <c r="L59" t="inlineStr">
        <is>
          <t>Não</t>
        </is>
      </c>
      <c r="M59" t="inlineStr">
        <is>
          <t>Compra/outras</t>
        </is>
      </c>
    </row>
    <row r="60">
      <c r="A60" t="inlineStr">
        <is>
          <t>NF-e sem título a pagar gerado no recebimento</t>
        </is>
      </c>
      <c r="B60" t="inlineStr">
        <is>
          <t>2.01.85 Compra de Uso e Consumo</t>
        </is>
      </c>
      <c r="C60" t="inlineStr">
        <is>
          <t>Antes de 2026</t>
        </is>
      </c>
      <c r="D60" t="inlineStr">
        <is>
          <t>Antes de 2026</t>
        </is>
      </c>
      <c r="E60" s="28" t="n">
        <v>45530</v>
      </c>
      <c r="F60" t="inlineStr">
        <is>
          <t>NF-e</t>
        </is>
      </c>
      <c r="G60" t="inlineStr">
        <is>
          <t>000018466</t>
        </is>
      </c>
      <c r="H60" t="inlineStr">
        <is>
          <t>COSTA GONDIM e CIA LTDA</t>
        </is>
      </c>
      <c r="I60" t="inlineStr">
        <is>
          <t>24.216.228/0001-81</t>
        </is>
      </c>
      <c r="J60" s="29" t="n">
        <v>443</v>
      </c>
      <c r="K60" t="inlineStr">
        <is>
          <t>1.556</t>
        </is>
      </c>
      <c r="L60" t="inlineStr">
        <is>
          <t>Não</t>
        </is>
      </c>
      <c r="M60" t="inlineStr">
        <is>
          <t>Compra/outras</t>
        </is>
      </c>
    </row>
    <row r="61">
      <c r="A61" t="inlineStr">
        <is>
          <t>NF-e sem título a pagar gerado no recebimento</t>
        </is>
      </c>
      <c r="B61" t="inlineStr">
        <is>
          <t>2.01.85 Compra de Uso e Consumo</t>
        </is>
      </c>
      <c r="C61" t="inlineStr">
        <is>
          <t>Antes de 2026</t>
        </is>
      </c>
      <c r="D61" t="inlineStr">
        <is>
          <t>Antes de 2026</t>
        </is>
      </c>
      <c r="E61" s="28" t="n">
        <v>45537</v>
      </c>
      <c r="F61" t="inlineStr">
        <is>
          <t>NF-e</t>
        </is>
      </c>
      <c r="G61" t="inlineStr">
        <is>
          <t>000018536</t>
        </is>
      </c>
      <c r="H61" t="inlineStr">
        <is>
          <t>COSTA GONDIM e CIA LTDA</t>
        </is>
      </c>
      <c r="I61" t="inlineStr">
        <is>
          <t>24.216.228/0001-81</t>
        </is>
      </c>
      <c r="J61" s="29" t="n">
        <v>160</v>
      </c>
      <c r="K61" t="inlineStr">
        <is>
          <t>1.556</t>
        </is>
      </c>
      <c r="L61" t="inlineStr">
        <is>
          <t>Não</t>
        </is>
      </c>
      <c r="M61" t="inlineStr">
        <is>
          <t>Compra/outras</t>
        </is>
      </c>
    </row>
    <row r="62">
      <c r="A62" t="inlineStr">
        <is>
          <t>NF-e sem título a pagar gerado no recebimento</t>
        </is>
      </c>
      <c r="B62" t="inlineStr">
        <is>
          <t>2.01.85 Compra de Uso e Consumo</t>
        </is>
      </c>
      <c r="C62" t="inlineStr">
        <is>
          <t>Antes de 2026</t>
        </is>
      </c>
      <c r="D62" t="inlineStr">
        <is>
          <t>Antes de 2026</t>
        </is>
      </c>
      <c r="E62" s="28" t="n">
        <v>45537</v>
      </c>
      <c r="F62" t="inlineStr">
        <is>
          <t>NF-e</t>
        </is>
      </c>
      <c r="G62" t="inlineStr">
        <is>
          <t>000018545</t>
        </is>
      </c>
      <c r="H62" t="inlineStr">
        <is>
          <t>COSTA GONDIM e CIA LTDA</t>
        </is>
      </c>
      <c r="I62" t="inlineStr">
        <is>
          <t>24.216.228/0001-81</t>
        </is>
      </c>
      <c r="J62" s="29" t="n">
        <v>210.5</v>
      </c>
      <c r="K62" t="inlineStr">
        <is>
          <t>1.556</t>
        </is>
      </c>
      <c r="L62" t="inlineStr">
        <is>
          <t>Não</t>
        </is>
      </c>
      <c r="M62" t="inlineStr">
        <is>
          <t>Compra/outras</t>
        </is>
      </c>
    </row>
    <row r="63">
      <c r="A63" t="inlineStr">
        <is>
          <t>NF-e sem título a pagar gerado no recebimento</t>
        </is>
      </c>
      <c r="B63" t="inlineStr">
        <is>
          <t>2.01.85 Compra de Uso e Consumo</t>
        </is>
      </c>
      <c r="C63" t="inlineStr">
        <is>
          <t>Antes de 2026</t>
        </is>
      </c>
      <c r="D63" t="inlineStr">
        <is>
          <t>Antes de 2026</t>
        </is>
      </c>
      <c r="E63" s="28" t="n">
        <v>45539</v>
      </c>
      <c r="F63" t="inlineStr">
        <is>
          <t>NF-e</t>
        </is>
      </c>
      <c r="G63" t="inlineStr">
        <is>
          <t>000018562</t>
        </is>
      </c>
      <c r="H63" t="inlineStr">
        <is>
          <t>COSTA GONDIM e CIA LTDA</t>
        </is>
      </c>
      <c r="I63" t="inlineStr">
        <is>
          <t>24.216.228/0001-81</t>
        </is>
      </c>
      <c r="J63" s="29" t="n">
        <v>277.49</v>
      </c>
      <c r="K63" t="inlineStr">
        <is>
          <t>1.556</t>
        </is>
      </c>
      <c r="L63" t="inlineStr">
        <is>
          <t>Não</t>
        </is>
      </c>
      <c r="M63" t="inlineStr">
        <is>
          <t>Compra/outras</t>
        </is>
      </c>
    </row>
    <row r="64">
      <c r="A64" t="inlineStr">
        <is>
          <t>NF-e sem título a pagar gerado no recebimento</t>
        </is>
      </c>
      <c r="B64" t="inlineStr">
        <is>
          <t>2.01.85 Compra de Uso e Consumo</t>
        </is>
      </c>
      <c r="C64" t="inlineStr">
        <is>
          <t>Antes de 2026</t>
        </is>
      </c>
      <c r="D64" t="inlineStr">
        <is>
          <t>Antes de 2026</t>
        </is>
      </c>
      <c r="E64" s="28" t="n">
        <v>45544</v>
      </c>
      <c r="F64" t="inlineStr">
        <is>
          <t>NF-e</t>
        </is>
      </c>
      <c r="G64" t="inlineStr">
        <is>
          <t>000018601</t>
        </is>
      </c>
      <c r="H64" t="inlineStr">
        <is>
          <t>COSTA GONDIM e CIA LTDA</t>
        </is>
      </c>
      <c r="I64" t="inlineStr">
        <is>
          <t>24.216.228/0001-81</t>
        </is>
      </c>
      <c r="J64" s="29" t="n">
        <v>490</v>
      </c>
      <c r="K64" t="inlineStr">
        <is>
          <t>1.556</t>
        </is>
      </c>
      <c r="L64" t="inlineStr">
        <is>
          <t>Não</t>
        </is>
      </c>
      <c r="M64" t="inlineStr">
        <is>
          <t>Compra/outras</t>
        </is>
      </c>
    </row>
    <row r="65">
      <c r="A65" t="inlineStr">
        <is>
          <t>NF-e sem título a pagar gerado no recebimento</t>
        </is>
      </c>
      <c r="B65" t="inlineStr">
        <is>
          <t>2.01.85 Compra de Uso e Consumo</t>
        </is>
      </c>
      <c r="C65" t="inlineStr">
        <is>
          <t>Antes de 2026</t>
        </is>
      </c>
      <c r="D65" t="inlineStr">
        <is>
          <t>Antes de 2026</t>
        </is>
      </c>
      <c r="E65" s="28" t="n">
        <v>45558</v>
      </c>
      <c r="F65" t="inlineStr">
        <is>
          <t>NF-e</t>
        </is>
      </c>
      <c r="G65" t="inlineStr">
        <is>
          <t>000018728</t>
        </is>
      </c>
      <c r="H65" t="inlineStr">
        <is>
          <t>COSTA GONDIM e CIA LTDA</t>
        </is>
      </c>
      <c r="I65" t="inlineStr">
        <is>
          <t>24.216.228/0001-81</t>
        </is>
      </c>
      <c r="J65" s="29" t="n">
        <v>341.5</v>
      </c>
      <c r="K65" t="inlineStr">
        <is>
          <t>1.556</t>
        </is>
      </c>
      <c r="L65" t="inlineStr">
        <is>
          <t>Não</t>
        </is>
      </c>
      <c r="M65" t="inlineStr">
        <is>
          <t>Compra/outras</t>
        </is>
      </c>
    </row>
    <row r="66">
      <c r="A66" t="inlineStr">
        <is>
          <t>NF-e sem título a pagar gerado no recebimento</t>
        </is>
      </c>
      <c r="B66" t="inlineStr">
        <is>
          <t>2.01.85 Compra de Uso e Consumo</t>
        </is>
      </c>
      <c r="C66" t="inlineStr">
        <is>
          <t>Antes de 2026</t>
        </is>
      </c>
      <c r="D66" t="inlineStr">
        <is>
          <t>Antes de 2026</t>
        </is>
      </c>
      <c r="E66" s="28" t="n">
        <v>45561</v>
      </c>
      <c r="F66" t="inlineStr">
        <is>
          <t>NF-e</t>
        </is>
      </c>
      <c r="G66" t="inlineStr">
        <is>
          <t>000018769</t>
        </is>
      </c>
      <c r="H66" t="inlineStr">
        <is>
          <t>COSTA GONDIM e CIA LTDA</t>
        </is>
      </c>
      <c r="I66" t="inlineStr">
        <is>
          <t>24.216.228/0001-81</t>
        </is>
      </c>
      <c r="J66" s="29" t="n">
        <v>139.25</v>
      </c>
      <c r="K66" t="inlineStr">
        <is>
          <t>1.556</t>
        </is>
      </c>
      <c r="L66" t="inlineStr">
        <is>
          <t>Não</t>
        </is>
      </c>
      <c r="M66" t="inlineStr">
        <is>
          <t>Compra/outras</t>
        </is>
      </c>
    </row>
    <row r="67">
      <c r="A67" t="inlineStr">
        <is>
          <t>NF-e sem título a pagar gerado no recebimento</t>
        </is>
      </c>
      <c r="B67" t="inlineStr">
        <is>
          <t>2.01.85 Compra de Uso e Consumo</t>
        </is>
      </c>
      <c r="C67" t="inlineStr">
        <is>
          <t>Antes de 2026</t>
        </is>
      </c>
      <c r="D67" t="inlineStr">
        <is>
          <t>Antes de 2026</t>
        </is>
      </c>
      <c r="E67" s="28" t="n">
        <v>45568</v>
      </c>
      <c r="F67" t="inlineStr">
        <is>
          <t>NF-e</t>
        </is>
      </c>
      <c r="G67" t="inlineStr">
        <is>
          <t>000018847</t>
        </is>
      </c>
      <c r="H67" t="inlineStr">
        <is>
          <t>COSTA GONDIM e CIA LTDA</t>
        </is>
      </c>
      <c r="I67" t="inlineStr">
        <is>
          <t>24.216.228/0001-81</t>
        </is>
      </c>
      <c r="J67" s="29" t="n">
        <v>114.5</v>
      </c>
      <c r="K67" t="inlineStr">
        <is>
          <t>1.556</t>
        </is>
      </c>
      <c r="L67" t="inlineStr">
        <is>
          <t>Não</t>
        </is>
      </c>
      <c r="M67" t="inlineStr">
        <is>
          <t>Compra/outras</t>
        </is>
      </c>
    </row>
    <row r="68">
      <c r="A68" t="inlineStr">
        <is>
          <t>NF-e sem título a pagar gerado no recebimento</t>
        </is>
      </c>
      <c r="B68" t="inlineStr">
        <is>
          <t>2.04.06 Material de Escritório</t>
        </is>
      </c>
      <c r="C68" t="inlineStr">
        <is>
          <t>Antes de 2026</t>
        </is>
      </c>
      <c r="D68" t="inlineStr">
        <is>
          <t>Antes de 2026</t>
        </is>
      </c>
      <c r="E68" s="28" t="n">
        <v>45635</v>
      </c>
      <c r="F68" t="inlineStr">
        <is>
          <t>NF-e</t>
        </is>
      </c>
      <c r="G68" t="inlineStr">
        <is>
          <t>000019351</t>
        </is>
      </c>
      <c r="H68" t="inlineStr">
        <is>
          <t>COSTA GONDIM e CIA LTDA</t>
        </is>
      </c>
      <c r="I68" t="inlineStr">
        <is>
          <t>24.216.228/0001-81</t>
        </is>
      </c>
      <c r="J68" s="29" t="n">
        <v>469</v>
      </c>
      <c r="K68" t="inlineStr">
        <is>
          <t>1.556</t>
        </is>
      </c>
      <c r="L68" t="inlineStr">
        <is>
          <t>Não</t>
        </is>
      </c>
      <c r="M68" t="inlineStr">
        <is>
          <t>Compra/outras</t>
        </is>
      </c>
    </row>
    <row r="69">
      <c r="A69" t="inlineStr">
        <is>
          <t>NF-e sem título a pagar gerado no recebimento</t>
        </is>
      </c>
      <c r="B69" t="inlineStr">
        <is>
          <t>2.04.06 Material de Escritório</t>
        </is>
      </c>
      <c r="C69" t="inlineStr">
        <is>
          <t>Antes de 2026</t>
        </is>
      </c>
      <c r="D69" t="inlineStr">
        <is>
          <t>Antes de 2026</t>
        </is>
      </c>
      <c r="E69" s="28" t="n">
        <v>45644</v>
      </c>
      <c r="F69" t="inlineStr">
        <is>
          <t>NF-e</t>
        </is>
      </c>
      <c r="G69" t="inlineStr">
        <is>
          <t>000019449</t>
        </is>
      </c>
      <c r="H69" t="inlineStr">
        <is>
          <t>COSTA GONDIM e CIA LTDA</t>
        </is>
      </c>
      <c r="I69" t="inlineStr">
        <is>
          <t>24.216.228/0001-81</t>
        </is>
      </c>
      <c r="J69" s="29" t="n">
        <v>194.8</v>
      </c>
      <c r="K69" t="inlineStr">
        <is>
          <t>1.556</t>
        </is>
      </c>
      <c r="L69" t="inlineStr">
        <is>
          <t>Não</t>
        </is>
      </c>
      <c r="M69" t="inlineStr">
        <is>
          <t>Compra/outras</t>
        </is>
      </c>
    </row>
    <row r="70">
      <c r="A70" t="inlineStr">
        <is>
          <t>NF-e sem título a pagar gerado no recebimento</t>
        </is>
      </c>
      <c r="B70" t="inlineStr">
        <is>
          <t>2.16.98 Aporte - Embalafoods (Sede)</t>
        </is>
      </c>
      <c r="C70" t="inlineStr">
        <is>
          <t>Antes de 2026</t>
        </is>
      </c>
      <c r="D70" t="inlineStr">
        <is>
          <t>Antes de 2026</t>
        </is>
      </c>
      <c r="E70" s="28" t="n">
        <v>45968</v>
      </c>
      <c r="F70" t="inlineStr">
        <is>
          <t>NF-e</t>
        </is>
      </c>
      <c r="G70" t="inlineStr">
        <is>
          <t>000119549</t>
        </is>
      </c>
      <c r="H70" t="inlineStr">
        <is>
          <t>DANILO FRANCA RAMARI - DISTRIBUIDOR</t>
        </is>
      </c>
      <c r="I70" t="inlineStr">
        <is>
          <t>07.302.675/0001-34</t>
        </is>
      </c>
      <c r="J70" s="29" t="n">
        <v>329.9</v>
      </c>
      <c r="K70" t="inlineStr">
        <is>
          <t>1.556</t>
        </is>
      </c>
      <c r="L70" t="inlineStr">
        <is>
          <t>Não</t>
        </is>
      </c>
      <c r="M70" t="inlineStr">
        <is>
          <t>Compra/outras</t>
        </is>
      </c>
    </row>
    <row r="71">
      <c r="A71" t="inlineStr">
        <is>
          <t>NF-e sem título a pagar gerado no recebimento</t>
        </is>
      </c>
      <c r="B71" t="inlineStr">
        <is>
          <t>2.07.01 Máquinas e Equipamentos</t>
        </is>
      </c>
      <c r="C71" t="inlineStr">
        <is>
          <t>Antes de 2026</t>
        </is>
      </c>
      <c r="D71" t="inlineStr">
        <is>
          <t>Antes de 2026</t>
        </is>
      </c>
      <c r="E71" s="28" t="n">
        <v>45821</v>
      </c>
      <c r="F71" t="inlineStr">
        <is>
          <t>NF-e</t>
        </is>
      </c>
      <c r="G71" t="inlineStr">
        <is>
          <t>007738571</t>
        </is>
      </c>
      <c r="H71" t="inlineStr">
        <is>
          <t>DELL COMPUTADORES DO BRASIL LTDA</t>
        </is>
      </c>
      <c r="I71" t="inlineStr">
        <is>
          <t>72.381.189/0010-01</t>
        </is>
      </c>
      <c r="J71" s="29" t="n">
        <v>3696.77</v>
      </c>
      <c r="K71" t="inlineStr">
        <is>
          <t>1.556</t>
        </is>
      </c>
      <c r="L71" t="inlineStr">
        <is>
          <t>Não</t>
        </is>
      </c>
      <c r="M71" t="inlineStr">
        <is>
          <t>Compra/outras</t>
        </is>
      </c>
    </row>
    <row r="72">
      <c r="A72" t="inlineStr">
        <is>
          <t>NF-e sem título a pagar gerado no recebimento</t>
        </is>
      </c>
      <c r="B72" t="inlineStr">
        <is>
          <t>2.01.88 Manutenção e Conservação de Máquina</t>
        </is>
      </c>
      <c r="C72" t="inlineStr">
        <is>
          <t>Antes de 2026</t>
        </is>
      </c>
      <c r="D72" t="inlineStr">
        <is>
          <t>Antes de 2026</t>
        </is>
      </c>
      <c r="E72" s="28" t="n">
        <v>45569</v>
      </c>
      <c r="F72" t="inlineStr">
        <is>
          <t>NF-e</t>
        </is>
      </c>
      <c r="G72" t="inlineStr">
        <is>
          <t>000009477</t>
        </is>
      </c>
      <c r="H72" t="inlineStr">
        <is>
          <t>EDNA DE ARAUJO PACHECO LTDA</t>
        </is>
      </c>
      <c r="I72" t="inlineStr">
        <is>
          <t>17.433.873/0001-90</t>
        </is>
      </c>
      <c r="J72" s="29" t="n">
        <v>174</v>
      </c>
      <c r="K72" t="inlineStr">
        <is>
          <t>1.556</t>
        </is>
      </c>
      <c r="L72" t="inlineStr">
        <is>
          <t>Não</t>
        </is>
      </c>
      <c r="M72" t="inlineStr">
        <is>
          <t>Compra/outras</t>
        </is>
      </c>
    </row>
    <row r="73">
      <c r="A73" t="inlineStr">
        <is>
          <t>NF-e sem título a pagar gerado no recebimento</t>
        </is>
      </c>
      <c r="B73" t="inlineStr">
        <is>
          <t>2.01.88 Manutenção e Conservação de Máquina</t>
        </is>
      </c>
      <c r="C73" t="inlineStr">
        <is>
          <t>Antes de 2026</t>
        </is>
      </c>
      <c r="D73" t="inlineStr">
        <is>
          <t>Antes de 2026</t>
        </is>
      </c>
      <c r="E73" s="28" t="n">
        <v>45631</v>
      </c>
      <c r="F73" t="inlineStr">
        <is>
          <t>NF-e</t>
        </is>
      </c>
      <c r="G73" t="inlineStr">
        <is>
          <t>000009834</t>
        </is>
      </c>
      <c r="H73" t="inlineStr">
        <is>
          <t>EDNA DE ARAUJO PACHECO LTDA</t>
        </is>
      </c>
      <c r="I73" t="inlineStr">
        <is>
          <t>17.433.873/0001-90</t>
        </is>
      </c>
      <c r="J73" s="29" t="n">
        <v>74.83</v>
      </c>
      <c r="K73" t="inlineStr">
        <is>
          <t>1.556</t>
        </is>
      </c>
      <c r="L73" t="inlineStr">
        <is>
          <t>Não</t>
        </is>
      </c>
      <c r="M73" t="inlineStr">
        <is>
          <t>Compra/outras</t>
        </is>
      </c>
    </row>
    <row r="74">
      <c r="A74" t="inlineStr">
        <is>
          <t>NF-e sem título a pagar gerado no recebimento</t>
        </is>
      </c>
      <c r="B74" t="inlineStr">
        <is>
          <t>2.07.01 Máquinas e Equipamentos</t>
        </is>
      </c>
      <c r="C74" t="inlineStr">
        <is>
          <t>Antes de 2026</t>
        </is>
      </c>
      <c r="D74" t="inlineStr">
        <is>
          <t>Antes de 2026</t>
        </is>
      </c>
      <c r="E74" s="28" t="n">
        <v>45838</v>
      </c>
      <c r="F74" t="inlineStr">
        <is>
          <t>NF-e</t>
        </is>
      </c>
      <c r="G74" t="inlineStr">
        <is>
          <t>000011449</t>
        </is>
      </c>
      <c r="H74" t="inlineStr">
        <is>
          <t>EDNA DE ARAUJO PACHECO LTDA</t>
        </is>
      </c>
      <c r="I74" t="inlineStr">
        <is>
          <t>17.433.873/0001-90</t>
        </is>
      </c>
      <c r="J74" s="29" t="n">
        <v>80.22</v>
      </c>
      <c r="K74" t="inlineStr">
        <is>
          <t>1.556</t>
        </is>
      </c>
      <c r="L74" t="inlineStr">
        <is>
          <t>Não</t>
        </is>
      </c>
      <c r="M74" t="inlineStr">
        <is>
          <t>Compra/outras</t>
        </is>
      </c>
    </row>
    <row r="75">
      <c r="A75" t="inlineStr">
        <is>
          <t>NF-e sem título a pagar gerado no recebimento</t>
        </is>
      </c>
      <c r="B75" t="inlineStr">
        <is>
          <t>2.07.01 Máquinas e Equipamentos</t>
        </is>
      </c>
      <c r="C75" t="inlineStr">
        <is>
          <t>Antes de 2026</t>
        </is>
      </c>
      <c r="D75" t="inlineStr">
        <is>
          <t>Antes de 2026</t>
        </is>
      </c>
      <c r="E75" s="28" t="n">
        <v>45971</v>
      </c>
      <c r="F75" t="inlineStr">
        <is>
          <t>NF-e</t>
        </is>
      </c>
      <c r="G75" t="inlineStr">
        <is>
          <t>082242011</t>
        </is>
      </c>
      <c r="H75" t="inlineStr">
        <is>
          <t>Ebazar.com.br. ltda</t>
        </is>
      </c>
      <c r="I75" t="inlineStr">
        <is>
          <t>03.007.331/0010-32</t>
        </is>
      </c>
      <c r="J75" s="29" t="n">
        <v>106.47</v>
      </c>
      <c r="K75" t="inlineStr">
        <is>
          <t>1.556</t>
        </is>
      </c>
      <c r="L75" t="inlineStr">
        <is>
          <t>Não</t>
        </is>
      </c>
      <c r="M75" t="inlineStr">
        <is>
          <t>Compra/outras</t>
        </is>
      </c>
    </row>
    <row r="76">
      <c r="A76" t="inlineStr">
        <is>
          <t>NF-e sem título a pagar gerado no recebimento</t>
        </is>
      </c>
      <c r="B76" t="inlineStr">
        <is>
          <t>2.04.95 Copa e Cozinha</t>
        </is>
      </c>
      <c r="C76" t="inlineStr">
        <is>
          <t>Antes de 2026</t>
        </is>
      </c>
      <c r="D76" t="inlineStr">
        <is>
          <t>Antes de 2026</t>
        </is>
      </c>
      <c r="E76" s="28" t="n">
        <v>45777</v>
      </c>
      <c r="F76" t="inlineStr">
        <is>
          <t>NF-e</t>
        </is>
      </c>
      <c r="G76" t="inlineStr">
        <is>
          <t>000010044</t>
        </is>
      </c>
      <c r="H76" t="inlineStr">
        <is>
          <t>FEMME FINESSE COMERCIO DE PRODUTOS DE BELEZA LTDA</t>
        </is>
      </c>
      <c r="I76" t="inlineStr">
        <is>
          <t>50.284.125/0001-69</t>
        </is>
      </c>
      <c r="J76" s="29" t="n">
        <v>48.72</v>
      </c>
      <c r="K76" t="inlineStr">
        <is>
          <t>1.556</t>
        </is>
      </c>
      <c r="L76" t="inlineStr">
        <is>
          <t>Não</t>
        </is>
      </c>
      <c r="M76" t="inlineStr">
        <is>
          <t>Compra/outras</t>
        </is>
      </c>
    </row>
    <row r="77">
      <c r="A77" t="inlineStr">
        <is>
          <t>NF-e sem título a pagar gerado no recebimento</t>
        </is>
      </c>
      <c r="B77" t="inlineStr">
        <is>
          <t>2.01.88 Manutenção e Conservação de Máquina</t>
        </is>
      </c>
      <c r="C77" t="inlineStr">
        <is>
          <t>Antes de 2026</t>
        </is>
      </c>
      <c r="D77" t="inlineStr">
        <is>
          <t>Antes de 2026</t>
        </is>
      </c>
      <c r="E77" s="28" t="n">
        <v>45560</v>
      </c>
      <c r="F77" t="inlineStr">
        <is>
          <t>NF-e</t>
        </is>
      </c>
      <c r="G77" t="inlineStr">
        <is>
          <t>000087917</t>
        </is>
      </c>
      <c r="H77" t="inlineStr">
        <is>
          <t>FERGE COMERCIO DE PRODUTOS INDUSTRIAIS LTDA</t>
        </is>
      </c>
      <c r="I77" t="inlineStr">
        <is>
          <t>09.057.961/0001-07</t>
        </is>
      </c>
      <c r="J77" s="29" t="n">
        <v>115</v>
      </c>
      <c r="K77" t="inlineStr">
        <is>
          <t>1.102</t>
        </is>
      </c>
      <c r="L77" t="inlineStr">
        <is>
          <t>Não</t>
        </is>
      </c>
      <c r="M77" t="inlineStr">
        <is>
          <t>Compra/outras</t>
        </is>
      </c>
    </row>
    <row r="78">
      <c r="A78" t="inlineStr">
        <is>
          <t>NF-e sem título a pagar gerado no recebimento</t>
        </is>
      </c>
      <c r="B78" t="inlineStr">
        <is>
          <t>2.01.92 Compra de Tinta</t>
        </is>
      </c>
      <c r="C78" t="inlineStr">
        <is>
          <t>Antes de 2026</t>
        </is>
      </c>
      <c r="D78" t="inlineStr">
        <is>
          <t>Antes de 2026</t>
        </is>
      </c>
      <c r="E78" s="28" t="n">
        <v>45559</v>
      </c>
      <c r="F78" t="inlineStr">
        <is>
          <t>NF-e</t>
        </is>
      </c>
      <c r="G78" t="inlineStr">
        <is>
          <t>000013373</t>
        </is>
      </c>
      <c r="H78" t="inlineStr">
        <is>
          <t>FITTYCOR - INDUSTRIA E COMERCIO DE TINTAS ESPECIAIS LTDA</t>
        </is>
      </c>
      <c r="I78" t="inlineStr">
        <is>
          <t>53.071.692/0001-25</t>
        </is>
      </c>
      <c r="J78" s="29" t="n">
        <v>14476.72</v>
      </c>
      <c r="K78" t="inlineStr">
        <is>
          <t>1.556</t>
        </is>
      </c>
      <c r="L78" t="inlineStr">
        <is>
          <t>Não</t>
        </is>
      </c>
      <c r="M78" t="inlineStr">
        <is>
          <t>Compra/outras</t>
        </is>
      </c>
    </row>
    <row r="79">
      <c r="A79" t="inlineStr">
        <is>
          <t>NF-e sem título a pagar gerado no recebimento</t>
        </is>
      </c>
      <c r="B79" t="inlineStr">
        <is>
          <t>2.01.92 Compra de Tinta</t>
        </is>
      </c>
      <c r="C79" t="inlineStr">
        <is>
          <t>Antes de 2026</t>
        </is>
      </c>
      <c r="D79" t="inlineStr">
        <is>
          <t>Antes de 2026</t>
        </is>
      </c>
      <c r="E79" s="28" t="n">
        <v>45968</v>
      </c>
      <c r="F79" t="inlineStr">
        <is>
          <t>NF-e</t>
        </is>
      </c>
      <c r="G79" t="inlineStr">
        <is>
          <t>000015305</t>
        </is>
      </c>
      <c r="H79" t="inlineStr">
        <is>
          <t>FITTYCOR - INDUSTRIA E COMERCIO DE TINTAS ESPECIAIS LTDA</t>
        </is>
      </c>
      <c r="I79" t="inlineStr">
        <is>
          <t>53.071.692/0001-25</t>
        </is>
      </c>
      <c r="J79" s="29" t="n">
        <v>28.7</v>
      </c>
      <c r="K79" t="inlineStr">
        <is>
          <t>1.556</t>
        </is>
      </c>
      <c r="L79" t="inlineStr">
        <is>
          <t>Não</t>
        </is>
      </c>
      <c r="M79" t="inlineStr">
        <is>
          <t>Compra/outras</t>
        </is>
      </c>
    </row>
    <row r="80">
      <c r="A80" t="inlineStr">
        <is>
          <t>NF-e sem título a pagar gerado no recebimento</t>
        </is>
      </c>
      <c r="B80" t="inlineStr">
        <is>
          <t>2.01.96 Compra de Cola</t>
        </is>
      </c>
      <c r="C80" t="inlineStr">
        <is>
          <t>Antes de 2026</t>
        </is>
      </c>
      <c r="D80" t="inlineStr">
        <is>
          <t>Antes de 2026</t>
        </is>
      </c>
      <c r="E80" s="28" t="n">
        <v>45506</v>
      </c>
      <c r="F80" t="inlineStr">
        <is>
          <t>NF-e</t>
        </is>
      </c>
      <c r="G80" t="inlineStr">
        <is>
          <t>000013145</t>
        </is>
      </c>
      <c r="H80" t="inlineStr">
        <is>
          <t>FITTYCOR - INDUSTRIA E COMERCIO DE TINTAS ESPECIAIS LTDA</t>
        </is>
      </c>
      <c r="I80" t="inlineStr">
        <is>
          <t>53.071.692/0001-25</t>
        </is>
      </c>
      <c r="J80" s="29" t="n">
        <v>8</v>
      </c>
      <c r="K80" t="inlineStr">
        <is>
          <t>1.556</t>
        </is>
      </c>
      <c r="L80" t="inlineStr">
        <is>
          <t>Não</t>
        </is>
      </c>
      <c r="M80" t="inlineStr">
        <is>
          <t>Compra/outras</t>
        </is>
      </c>
    </row>
    <row r="81">
      <c r="A81" t="inlineStr">
        <is>
          <t>NF-e sem título a pagar gerado no recebimento</t>
        </is>
      </c>
      <c r="B81" t="inlineStr">
        <is>
          <t>2.01.96 Compra de Cola</t>
        </is>
      </c>
      <c r="C81" t="inlineStr">
        <is>
          <t>Antes de 2026</t>
        </is>
      </c>
      <c r="D81" t="inlineStr">
        <is>
          <t>Antes de 2026</t>
        </is>
      </c>
      <c r="E81" s="28" t="n">
        <v>45628</v>
      </c>
      <c r="F81" t="inlineStr">
        <is>
          <t>NF-e</t>
        </is>
      </c>
      <c r="G81" t="inlineStr">
        <is>
          <t>000013726</t>
        </is>
      </c>
      <c r="H81" t="inlineStr">
        <is>
          <t>FITTYCOR - INDUSTRIA E COMERCIO DE TINTAS ESPECIAIS LTDA</t>
        </is>
      </c>
      <c r="I81" t="inlineStr">
        <is>
          <t>53.071.692/0001-25</t>
        </is>
      </c>
      <c r="J81" s="29" t="n">
        <v>6</v>
      </c>
      <c r="K81" t="inlineStr">
        <is>
          <t>1.556</t>
        </is>
      </c>
      <c r="L81" t="inlineStr">
        <is>
          <t>Não</t>
        </is>
      </c>
      <c r="M81" t="inlineStr">
        <is>
          <t>Compra/outras</t>
        </is>
      </c>
    </row>
    <row r="82">
      <c r="A82" t="inlineStr">
        <is>
          <t>NF-e sem título a pagar gerado no recebimento</t>
        </is>
      </c>
      <c r="B82" t="inlineStr">
        <is>
          <t>2.01.96 Compra de Cola</t>
        </is>
      </c>
      <c r="C82" t="inlineStr">
        <is>
          <t>Antes de 2026</t>
        </is>
      </c>
      <c r="D82" t="inlineStr">
        <is>
          <t>Antes de 2026</t>
        </is>
      </c>
      <c r="E82" s="28" t="n">
        <v>45628</v>
      </c>
      <c r="F82" t="inlineStr">
        <is>
          <t>NF-e</t>
        </is>
      </c>
      <c r="G82" t="inlineStr">
        <is>
          <t>000013727</t>
        </is>
      </c>
      <c r="H82" t="inlineStr">
        <is>
          <t>FITTYCOR - INDUSTRIA E COMERCIO DE TINTAS ESPECIAIS LTDA</t>
        </is>
      </c>
      <c r="I82" t="inlineStr">
        <is>
          <t>53.071.692/0001-25</t>
        </is>
      </c>
      <c r="J82" s="29" t="n">
        <v>14369.2</v>
      </c>
      <c r="K82" t="inlineStr">
        <is>
          <t>1.556</t>
        </is>
      </c>
      <c r="L82" t="inlineStr">
        <is>
          <t>Não</t>
        </is>
      </c>
      <c r="M82" t="inlineStr">
        <is>
          <t>Compra/outras</t>
        </is>
      </c>
    </row>
    <row r="83">
      <c r="A83" t="inlineStr">
        <is>
          <t>NF-e sem título a pagar gerado no recebimento</t>
        </is>
      </c>
      <c r="B83" t="inlineStr">
        <is>
          <t>2.01.85 Compra de Uso e Consumo</t>
        </is>
      </c>
      <c r="C83" t="inlineStr">
        <is>
          <t>Antes de 2026</t>
        </is>
      </c>
      <c r="D83" t="inlineStr">
        <is>
          <t>Antes de 2026</t>
        </is>
      </c>
      <c r="E83" s="28" t="n">
        <v>45801</v>
      </c>
      <c r="F83" t="inlineStr">
        <is>
          <t>NF-e</t>
        </is>
      </c>
      <c r="G83" t="inlineStr">
        <is>
          <t>000742840</t>
        </is>
      </c>
      <c r="H83" t="inlineStr">
        <is>
          <t>G5 Comercio de Madeiras Ltda ME</t>
        </is>
      </c>
      <c r="I83" t="inlineStr">
        <is>
          <t>10.948.040/0001-13</t>
        </is>
      </c>
      <c r="J83" s="29" t="n">
        <v>185</v>
      </c>
      <c r="K83" t="inlineStr">
        <is>
          <t>1.102</t>
        </is>
      </c>
      <c r="L83" t="inlineStr">
        <is>
          <t>Não</t>
        </is>
      </c>
      <c r="M83" t="inlineStr">
        <is>
          <t>Compra/outras</t>
        </is>
      </c>
    </row>
    <row r="84">
      <c r="A84" t="inlineStr">
        <is>
          <t>NF-e sem título a pagar gerado no recebimento</t>
        </is>
      </c>
      <c r="B84" t="inlineStr">
        <is>
          <t>2.01.85 Compra de Uso e Consumo</t>
        </is>
      </c>
      <c r="C84" t="inlineStr">
        <is>
          <t>Antes de 2026</t>
        </is>
      </c>
      <c r="D84" t="inlineStr">
        <is>
          <t>Antes de 2026</t>
        </is>
      </c>
      <c r="E84" s="28" t="n">
        <v>45979</v>
      </c>
      <c r="F84" t="inlineStr">
        <is>
          <t>NF-e</t>
        </is>
      </c>
      <c r="G84" t="inlineStr">
        <is>
          <t>000772922</t>
        </is>
      </c>
      <c r="H84" t="inlineStr">
        <is>
          <t>G5 Comercio de Madeiras Ltda ME</t>
        </is>
      </c>
      <c r="I84" t="inlineStr">
        <is>
          <t>10.948.040/0001-13</t>
        </is>
      </c>
      <c r="J84" s="29" t="n">
        <v>642.79</v>
      </c>
      <c r="K84" t="inlineStr">
        <is>
          <t>1.102</t>
        </is>
      </c>
      <c r="L84" t="inlineStr">
        <is>
          <t>Não</t>
        </is>
      </c>
      <c r="M84" t="inlineStr">
        <is>
          <t>Compra/outras</t>
        </is>
      </c>
    </row>
    <row r="85">
      <c r="A85" t="inlineStr">
        <is>
          <t>NF-e sem título a pagar gerado no recebimento</t>
        </is>
      </c>
      <c r="B85" t="inlineStr">
        <is>
          <t>2.04.06 Material de Escritório</t>
        </is>
      </c>
      <c r="C85" t="inlineStr">
        <is>
          <t>Antes de 2026</t>
        </is>
      </c>
      <c r="D85" t="inlineStr">
        <is>
          <t>Antes de 2026</t>
        </is>
      </c>
      <c r="E85" s="28" t="n">
        <v>45743</v>
      </c>
      <c r="F85" t="inlineStr">
        <is>
          <t>NF-e</t>
        </is>
      </c>
      <c r="G85" t="inlineStr">
        <is>
          <t>000733359</t>
        </is>
      </c>
      <c r="H85" t="inlineStr">
        <is>
          <t>G5 Comercio de Madeiras Ltda ME</t>
        </is>
      </c>
      <c r="I85" t="inlineStr">
        <is>
          <t>10.948.040/0001-13</t>
        </is>
      </c>
      <c r="J85" s="29" t="n">
        <v>370.12</v>
      </c>
      <c r="K85" t="inlineStr">
        <is>
          <t>1.102</t>
        </is>
      </c>
      <c r="L85" t="inlineStr">
        <is>
          <t>Não</t>
        </is>
      </c>
      <c r="M85" t="inlineStr">
        <is>
          <t>Compra/outras</t>
        </is>
      </c>
    </row>
    <row r="86">
      <c r="A86" t="inlineStr">
        <is>
          <t>NF-e sem título a pagar gerado no recebimento</t>
        </is>
      </c>
      <c r="B86" t="inlineStr">
        <is>
          <t>2.01.91 Compra de Filme Strech</t>
        </is>
      </c>
      <c r="C86" t="inlineStr">
        <is>
          <t>Antes de 2026</t>
        </is>
      </c>
      <c r="D86" t="inlineStr">
        <is>
          <t>Antes de 2026</t>
        </is>
      </c>
      <c r="E86" s="28" t="n">
        <v>45567</v>
      </c>
      <c r="F86" t="inlineStr">
        <is>
          <t>NF-e</t>
        </is>
      </c>
      <c r="G86" t="inlineStr">
        <is>
          <t>000003187</t>
        </is>
      </c>
      <c r="H86" t="inlineStr">
        <is>
          <t>GDM INDUSTRIA E COMERCIO DE PLASTICOS LTDA.</t>
        </is>
      </c>
      <c r="I86" t="inlineStr">
        <is>
          <t>07.955.100/0004-63</t>
        </is>
      </c>
      <c r="J86" s="29" t="n">
        <v>5628.84</v>
      </c>
      <c r="K86" t="inlineStr">
        <is>
          <t>2.102</t>
        </is>
      </c>
      <c r="L86" t="inlineStr">
        <is>
          <t>Não</t>
        </is>
      </c>
      <c r="M86" t="inlineStr">
        <is>
          <t>Compra/outras</t>
        </is>
      </c>
    </row>
    <row r="87">
      <c r="A87" t="inlineStr">
        <is>
          <t>NF-e sem título a pagar gerado no recebimento</t>
        </is>
      </c>
      <c r="B87" t="inlineStr">
        <is>
          <t>2.01.87 Compra de Peças de Máquinas</t>
        </is>
      </c>
      <c r="C87" t="inlineStr">
        <is>
          <t>Antes de 2026</t>
        </is>
      </c>
      <c r="D87" t="inlineStr">
        <is>
          <t>Antes de 2026</t>
        </is>
      </c>
      <c r="E87" s="28" t="n">
        <v>45559</v>
      </c>
      <c r="F87" t="inlineStr">
        <is>
          <t>NF-e</t>
        </is>
      </c>
      <c r="G87" t="inlineStr">
        <is>
          <t>000001313</t>
        </is>
      </c>
      <c r="H87" t="inlineStr">
        <is>
          <t>GF COMERCIO DE PRODUTOS INDUSTRIAIS LTDA</t>
        </is>
      </c>
      <c r="I87" t="inlineStr">
        <is>
          <t>35.721.163/0001-48</t>
        </is>
      </c>
      <c r="J87" s="29" t="n">
        <v>350</v>
      </c>
      <c r="K87" t="inlineStr">
        <is>
          <t>1.556</t>
        </is>
      </c>
      <c r="L87" t="inlineStr">
        <is>
          <t>Não</t>
        </is>
      </c>
      <c r="M87" t="inlineStr">
        <is>
          <t>Compra/outras</t>
        </is>
      </c>
    </row>
    <row r="88">
      <c r="A88" t="inlineStr">
        <is>
          <t>NF-e sem título a pagar gerado no recebimento</t>
        </is>
      </c>
      <c r="B88" t="inlineStr">
        <is>
          <t>2.01.87 Compra de Peças de Máquinas</t>
        </is>
      </c>
      <c r="C88" t="inlineStr">
        <is>
          <t>Antes de 2026</t>
        </is>
      </c>
      <c r="D88" t="inlineStr">
        <is>
          <t>Antes de 2026</t>
        </is>
      </c>
      <c r="E88" s="28" t="n">
        <v>45565</v>
      </c>
      <c r="F88" t="inlineStr">
        <is>
          <t>NF-e</t>
        </is>
      </c>
      <c r="G88" t="inlineStr">
        <is>
          <t>000001370</t>
        </is>
      </c>
      <c r="H88" t="inlineStr">
        <is>
          <t>GF COMERCIO DE PRODUTOS INDUSTRIAIS LTDA</t>
        </is>
      </c>
      <c r="I88" t="inlineStr">
        <is>
          <t>35.721.163/0001-48</t>
        </is>
      </c>
      <c r="J88" s="29" t="n">
        <v>362.21</v>
      </c>
      <c r="K88" t="inlineStr">
        <is>
          <t>1.556</t>
        </is>
      </c>
      <c r="L88" t="inlineStr">
        <is>
          <t>Não</t>
        </is>
      </c>
      <c r="M88" t="inlineStr">
        <is>
          <t>Compra/outras</t>
        </is>
      </c>
    </row>
    <row r="89">
      <c r="A89" t="inlineStr">
        <is>
          <t>NF-e sem título a pagar gerado no recebimento</t>
        </is>
      </c>
      <c r="B89" t="inlineStr">
        <is>
          <t>2.01.96 Compra de Cola</t>
        </is>
      </c>
      <c r="C89" t="inlineStr">
        <is>
          <t>Antes de 2026</t>
        </is>
      </c>
      <c r="D89" t="inlineStr">
        <is>
          <t>Antes de 2026</t>
        </is>
      </c>
      <c r="E89" s="28" t="n">
        <v>45660</v>
      </c>
      <c r="F89" t="inlineStr">
        <is>
          <t>NF-e</t>
        </is>
      </c>
      <c r="G89" t="inlineStr">
        <is>
          <t>000002054</t>
        </is>
      </c>
      <c r="H89" t="inlineStr">
        <is>
          <t>GF COMERCIO DE PRODUTOS INDUSTRIAIS LTDA</t>
        </is>
      </c>
      <c r="I89" t="inlineStr">
        <is>
          <t>35.721.163/0001-48</t>
        </is>
      </c>
      <c r="J89" s="29" t="n">
        <v>65.13</v>
      </c>
      <c r="K89" t="inlineStr">
        <is>
          <t>1.556</t>
        </is>
      </c>
      <c r="L89" t="inlineStr">
        <is>
          <t>Não</t>
        </is>
      </c>
      <c r="M89" t="inlineStr">
        <is>
          <t>Compra/outras</t>
        </is>
      </c>
    </row>
    <row r="90">
      <c r="A90" t="inlineStr">
        <is>
          <t>NF-e sem título a pagar gerado no recebimento</t>
        </is>
      </c>
      <c r="B90" t="inlineStr">
        <is>
          <t>2.01.92 Compra de Tinta</t>
        </is>
      </c>
      <c r="C90" t="inlineStr">
        <is>
          <t>Antes de 2026</t>
        </is>
      </c>
      <c r="D90" t="inlineStr">
        <is>
          <t>Antes de 2026</t>
        </is>
      </c>
      <c r="E90" s="28" t="n">
        <v>45824</v>
      </c>
      <c r="F90" t="inlineStr">
        <is>
          <t>NF-e</t>
        </is>
      </c>
      <c r="G90" t="inlineStr">
        <is>
          <t>000014292</t>
        </is>
      </c>
      <c r="H90" t="inlineStr">
        <is>
          <t>GRUPO CASAS BAHIA S.A.</t>
        </is>
      </c>
      <c r="I90" t="inlineStr">
        <is>
          <t>33.041.260/1677-00</t>
        </is>
      </c>
      <c r="J90" s="29" t="n">
        <v>199</v>
      </c>
      <c r="K90" t="inlineStr">
        <is>
          <t>1.556</t>
        </is>
      </c>
      <c r="L90" t="inlineStr">
        <is>
          <t>Não</t>
        </is>
      </c>
      <c r="M90" t="inlineStr">
        <is>
          <t>Compra/outras</t>
        </is>
      </c>
    </row>
    <row r="91">
      <c r="A91" t="inlineStr">
        <is>
          <t>NF-e sem título a pagar gerado no recebimento</t>
        </is>
      </c>
      <c r="B91" t="inlineStr">
        <is>
          <t>2.01.87 Compra de Peças de Máquinas</t>
        </is>
      </c>
      <c r="C91" t="inlineStr">
        <is>
          <t>Antes de 2026</t>
        </is>
      </c>
      <c r="D91" t="inlineStr">
        <is>
          <t>Antes de 2026</t>
        </is>
      </c>
      <c r="E91" s="28" t="n">
        <v>45784</v>
      </c>
      <c r="F91" t="inlineStr">
        <is>
          <t>NF-e</t>
        </is>
      </c>
      <c r="G91" t="inlineStr">
        <is>
          <t>000002180</t>
        </is>
      </c>
      <c r="H91" t="inlineStr">
        <is>
          <t>HI FI, AUDIO, VIDEO E AUTOMACAO LTDA</t>
        </is>
      </c>
      <c r="I91" t="inlineStr">
        <is>
          <t>05.459.238/0001-01</t>
        </is>
      </c>
      <c r="J91" s="29" t="n">
        <v>42772</v>
      </c>
      <c r="K91" t="inlineStr">
        <is>
          <t>1.556</t>
        </is>
      </c>
      <c r="L91" t="inlineStr">
        <is>
          <t>Não</t>
        </is>
      </c>
      <c r="M91" t="inlineStr">
        <is>
          <t>Compra/outras</t>
        </is>
      </c>
    </row>
    <row r="92">
      <c r="A92" t="inlineStr">
        <is>
          <t>NF-e sem título a pagar gerado no recebimento</t>
        </is>
      </c>
      <c r="B92" t="inlineStr">
        <is>
          <t>2.01.85 Compra de Uso e Consumo</t>
        </is>
      </c>
      <c r="C92" t="inlineStr">
        <is>
          <t>Antes de 2026</t>
        </is>
      </c>
      <c r="D92" t="inlineStr">
        <is>
          <t>Antes de 2026</t>
        </is>
      </c>
      <c r="E92" s="28" t="n">
        <v>45881</v>
      </c>
      <c r="F92" t="inlineStr">
        <is>
          <t>NF-e</t>
        </is>
      </c>
      <c r="G92" t="inlineStr">
        <is>
          <t>000000037</t>
        </is>
      </c>
      <c r="H92" t="inlineStr">
        <is>
          <t>INDUSTRIA E COMERCIO DE MATERIAL DE CONSTRUCAO JM LTDA</t>
        </is>
      </c>
      <c r="I92" t="inlineStr">
        <is>
          <t>57.608.871/0001-00</t>
        </is>
      </c>
      <c r="J92" s="29" t="n">
        <v>3400</v>
      </c>
      <c r="K92" t="inlineStr">
        <is>
          <t>1.556</t>
        </is>
      </c>
      <c r="L92" t="inlineStr">
        <is>
          <t>Não</t>
        </is>
      </c>
      <c r="M92" t="inlineStr">
        <is>
          <t>Compra/outras</t>
        </is>
      </c>
    </row>
    <row r="93">
      <c r="A93" t="inlineStr">
        <is>
          <t>NF-e sem título a pagar gerado no recebimento</t>
        </is>
      </c>
      <c r="B93" t="inlineStr">
        <is>
          <t>2.01.94 Compra de Fita Adesiva</t>
        </is>
      </c>
      <c r="C93" t="inlineStr">
        <is>
          <t>Antes de 2026</t>
        </is>
      </c>
      <c r="D93" t="inlineStr">
        <is>
          <t>Antes de 2026</t>
        </is>
      </c>
      <c r="E93" s="28" t="n">
        <v>45883</v>
      </c>
      <c r="F93" t="inlineStr">
        <is>
          <t>NF-e</t>
        </is>
      </c>
      <c r="G93" t="inlineStr">
        <is>
          <t>000000038</t>
        </is>
      </c>
      <c r="H93" t="inlineStr">
        <is>
          <t>INDUSTRIA E COMERCIO DE MATERIAL DE CONSTRUCAO JM LTDA</t>
        </is>
      </c>
      <c r="I93" t="inlineStr">
        <is>
          <t>57.608.871/0001-00</t>
        </is>
      </c>
      <c r="J93" s="29" t="n">
        <v>1700</v>
      </c>
      <c r="K93" t="inlineStr">
        <is>
          <t>1.556</t>
        </is>
      </c>
      <c r="L93" t="inlineStr">
        <is>
          <t>Não</t>
        </is>
      </c>
      <c r="M93" t="inlineStr">
        <is>
          <t>Compra/outras</t>
        </is>
      </c>
    </row>
    <row r="94">
      <c r="A94" t="inlineStr">
        <is>
          <t>NF-e sem título a pagar gerado no recebimento</t>
        </is>
      </c>
      <c r="B94" t="inlineStr">
        <is>
          <t>2.01.03 Compra de Matéria Prima (Papel)</t>
        </is>
      </c>
      <c r="C94" t="inlineStr">
        <is>
          <t>Antes de 2026</t>
        </is>
      </c>
      <c r="D94" t="inlineStr">
        <is>
          <t>Antes de 2026</t>
        </is>
      </c>
      <c r="E94" s="28" t="n">
        <v>45926</v>
      </c>
      <c r="F94" t="inlineStr">
        <is>
          <t>NF-e</t>
        </is>
      </c>
      <c r="G94" t="inlineStr">
        <is>
          <t>000614626</t>
        </is>
      </c>
      <c r="H94" t="inlineStr">
        <is>
          <t>IRANI PAPEL E EMBALAGEM S.A.</t>
        </is>
      </c>
      <c r="I94" t="inlineStr">
        <is>
          <t>92.791.243/0002-94</t>
        </is>
      </c>
      <c r="J94" s="29" t="n">
        <v>157711.73</v>
      </c>
      <c r="K94" t="inlineStr">
        <is>
          <t>2.101</t>
        </is>
      </c>
      <c r="L94" t="inlineStr">
        <is>
          <t>Não</t>
        </is>
      </c>
      <c r="M94" t="inlineStr">
        <is>
          <t>Compra/outras</t>
        </is>
      </c>
    </row>
    <row r="95">
      <c r="A95" t="inlineStr">
        <is>
          <t>NF-e sem título a pagar gerado no recebimento</t>
        </is>
      </c>
      <c r="B95" t="inlineStr">
        <is>
          <t>2.01.03 Compra de Matéria Prima (Papel)</t>
        </is>
      </c>
      <c r="C95" t="inlineStr">
        <is>
          <t>Antes de 2026</t>
        </is>
      </c>
      <c r="D95" t="inlineStr">
        <is>
          <t>Antes de 2026</t>
        </is>
      </c>
      <c r="E95" s="28" t="n">
        <v>45926</v>
      </c>
      <c r="F95" t="inlineStr">
        <is>
          <t>NF-e</t>
        </is>
      </c>
      <c r="G95" t="inlineStr">
        <is>
          <t>000614664</t>
        </is>
      </c>
      <c r="H95" t="inlineStr">
        <is>
          <t>IRANI PAPEL E EMBALAGEM S.A.</t>
        </is>
      </c>
      <c r="I95" t="inlineStr">
        <is>
          <t>92.791.243/0002-94</t>
        </is>
      </c>
      <c r="J95" s="29" t="n">
        <v>157248.71</v>
      </c>
      <c r="K95" t="inlineStr">
        <is>
          <t>2.101</t>
        </is>
      </c>
      <c r="L95" t="inlineStr">
        <is>
          <t>Não</t>
        </is>
      </c>
      <c r="M95" t="inlineStr">
        <is>
          <t>Compra/outras</t>
        </is>
      </c>
    </row>
    <row r="96">
      <c r="A96" t="inlineStr">
        <is>
          <t>NF-e sem título a pagar gerado no recebimento</t>
        </is>
      </c>
      <c r="B96" t="inlineStr">
        <is>
          <t>2.01.03 Compra de Matéria Prima (Papel)</t>
        </is>
      </c>
      <c r="C96" t="inlineStr">
        <is>
          <t>Antes de 2026</t>
        </is>
      </c>
      <c r="D96" t="inlineStr">
        <is>
          <t>Antes de 2026</t>
        </is>
      </c>
      <c r="E96" s="28" t="n">
        <v>45929</v>
      </c>
      <c r="F96" t="inlineStr">
        <is>
          <t>NF-e</t>
        </is>
      </c>
      <c r="G96" t="inlineStr">
        <is>
          <t>000614983</t>
        </is>
      </c>
      <c r="H96" t="inlineStr">
        <is>
          <t>IRANI PAPEL E EMBALAGEM S.A.</t>
        </is>
      </c>
      <c r="I96" t="inlineStr">
        <is>
          <t>92.791.243/0002-94</t>
        </is>
      </c>
      <c r="J96" s="29" t="n">
        <v>146234.53</v>
      </c>
      <c r="K96" t="inlineStr">
        <is>
          <t>2.101</t>
        </is>
      </c>
      <c r="L96" t="inlineStr">
        <is>
          <t>Não</t>
        </is>
      </c>
      <c r="M96" t="inlineStr">
        <is>
          <t>Compra/outras</t>
        </is>
      </c>
    </row>
    <row r="97">
      <c r="A97" t="inlineStr">
        <is>
          <t>NF-e sem título a pagar gerado no recebimento</t>
        </is>
      </c>
      <c r="B97" t="inlineStr">
        <is>
          <t>2.01.03 Compra de Matéria Prima (Papel)</t>
        </is>
      </c>
      <c r="C97" t="inlineStr">
        <is>
          <t>Antes de 2026</t>
        </is>
      </c>
      <c r="D97" t="inlineStr">
        <is>
          <t>Antes de 2026</t>
        </is>
      </c>
      <c r="E97" s="28" t="n">
        <v>45958</v>
      </c>
      <c r="F97" t="inlineStr">
        <is>
          <t>NF-e</t>
        </is>
      </c>
      <c r="G97" t="inlineStr">
        <is>
          <t>000619248</t>
        </is>
      </c>
      <c r="H97" t="inlineStr">
        <is>
          <t>IRANI PAPEL E EMBALAGEM S.A.</t>
        </is>
      </c>
      <c r="I97" t="inlineStr">
        <is>
          <t>92.791.243/0002-94</t>
        </is>
      </c>
      <c r="J97" s="29" t="n">
        <v>159245.51</v>
      </c>
      <c r="K97" t="inlineStr">
        <is>
          <t>1.556</t>
        </is>
      </c>
      <c r="L97" t="inlineStr">
        <is>
          <t>Não</t>
        </is>
      </c>
      <c r="M97" t="inlineStr">
        <is>
          <t>Compra/outras</t>
        </is>
      </c>
    </row>
    <row r="98">
      <c r="A98" t="inlineStr">
        <is>
          <t>NF-e sem título a pagar gerado no recebimento</t>
        </is>
      </c>
      <c r="B98" t="inlineStr">
        <is>
          <t>2.01.03 Compra de Matéria Prima (Papel)</t>
        </is>
      </c>
      <c r="C98" t="inlineStr">
        <is>
          <t>Antes de 2026</t>
        </is>
      </c>
      <c r="D98" t="inlineStr">
        <is>
          <t>Antes de 2026</t>
        </is>
      </c>
      <c r="E98" s="28" t="n">
        <v>46003</v>
      </c>
      <c r="F98" t="inlineStr">
        <is>
          <t>NF-e</t>
        </is>
      </c>
      <c r="G98" t="inlineStr">
        <is>
          <t>000626307</t>
        </is>
      </c>
      <c r="H98" t="inlineStr">
        <is>
          <t>IRANI PAPEL E EMBALAGEM S.A.</t>
        </is>
      </c>
      <c r="I98" t="inlineStr">
        <is>
          <t>92.791.243/0002-94</t>
        </is>
      </c>
      <c r="J98" s="29" t="n">
        <v>66004.05</v>
      </c>
      <c r="K98" t="inlineStr">
        <is>
          <t>2.102</t>
        </is>
      </c>
      <c r="L98" t="inlineStr">
        <is>
          <t>Não</t>
        </is>
      </c>
      <c r="M98" t="inlineStr">
        <is>
          <t>Compra/outras</t>
        </is>
      </c>
    </row>
    <row r="99">
      <c r="A99" t="inlineStr">
        <is>
          <t>NF-e sem título a pagar gerado no recebimento</t>
        </is>
      </c>
      <c r="B99" t="inlineStr">
        <is>
          <t>2.04.91 Compra de Material de Limpeza</t>
        </is>
      </c>
      <c r="C99" t="inlineStr">
        <is>
          <t>Antes de 2026</t>
        </is>
      </c>
      <c r="D99" t="inlineStr">
        <is>
          <t>Antes de 2026</t>
        </is>
      </c>
      <c r="E99" s="28" t="n">
        <v>45966</v>
      </c>
      <c r="F99" t="inlineStr">
        <is>
          <t>NF-e</t>
        </is>
      </c>
      <c r="G99" t="inlineStr">
        <is>
          <t>000670412</t>
        </is>
      </c>
      <c r="H99" t="inlineStr">
        <is>
          <t>L FAGUNDES GURGEL</t>
        </is>
      </c>
      <c r="I99" t="inlineStr">
        <is>
          <t>09.216.061/0001-65</t>
        </is>
      </c>
      <c r="J99" s="29" t="n">
        <v>299</v>
      </c>
      <c r="K99" t="inlineStr">
        <is>
          <t>1.556</t>
        </is>
      </c>
      <c r="L99" t="inlineStr">
        <is>
          <t>Não</t>
        </is>
      </c>
      <c r="M99" t="inlineStr">
        <is>
          <t>Compra/outras</t>
        </is>
      </c>
    </row>
    <row r="100">
      <c r="A100" t="inlineStr">
        <is>
          <t>NF-e sem título a pagar gerado no recebimento</t>
        </is>
      </c>
      <c r="B100" t="inlineStr">
        <is>
          <t>2.04.91 Compra de Material de Limpeza</t>
        </is>
      </c>
      <c r="C100" t="inlineStr">
        <is>
          <t>Antes de 2026</t>
        </is>
      </c>
      <c r="D100" t="inlineStr">
        <is>
          <t>Antes de 2026</t>
        </is>
      </c>
      <c r="E100" s="28" t="n">
        <v>45966</v>
      </c>
      <c r="F100" t="inlineStr">
        <is>
          <t>NF-e</t>
        </is>
      </c>
      <c r="G100" t="inlineStr">
        <is>
          <t>000670410</t>
        </is>
      </c>
      <c r="H100" t="inlineStr">
        <is>
          <t>L FAGUNDES GURGEL</t>
        </is>
      </c>
      <c r="I100" t="inlineStr">
        <is>
          <t>09.216.061/0001-65</t>
        </is>
      </c>
      <c r="J100" s="29" t="n">
        <v>325</v>
      </c>
      <c r="K100" t="inlineStr">
        <is>
          <t>1.556</t>
        </is>
      </c>
      <c r="L100" t="inlineStr">
        <is>
          <t>Não</t>
        </is>
      </c>
      <c r="M100" t="inlineStr">
        <is>
          <t>Compra/outras</t>
        </is>
      </c>
    </row>
    <row r="101">
      <c r="A101" t="inlineStr">
        <is>
          <t>NF-e sem título a pagar gerado no recebimento</t>
        </is>
      </c>
      <c r="B101" t="inlineStr">
        <is>
          <t>2.01.85 Compra de Uso e Consumo</t>
        </is>
      </c>
      <c r="C101" t="inlineStr">
        <is>
          <t>Antes de 2026</t>
        </is>
      </c>
      <c r="D101" t="inlineStr">
        <is>
          <t>Antes de 2026</t>
        </is>
      </c>
      <c r="E101" s="28" t="n">
        <v>46003</v>
      </c>
      <c r="F101" t="inlineStr">
        <is>
          <t>NF-e</t>
        </is>
      </c>
      <c r="G101" t="inlineStr">
        <is>
          <t>000000579</t>
        </is>
      </c>
      <c r="H101" t="inlineStr">
        <is>
          <t>Limptech Paper Comercio Ltda</t>
        </is>
      </c>
      <c r="I101" t="inlineStr">
        <is>
          <t>58.715.917/0001-52</t>
        </is>
      </c>
      <c r="J101" s="29" t="n">
        <v>99.8</v>
      </c>
      <c r="K101" t="inlineStr">
        <is>
          <t>1.556</t>
        </is>
      </c>
      <c r="L101" t="inlineStr">
        <is>
          <t>Não</t>
        </is>
      </c>
      <c r="M101" t="inlineStr">
        <is>
          <t>Compra/outras</t>
        </is>
      </c>
    </row>
    <row r="102">
      <c r="A102" t="inlineStr">
        <is>
          <t>NF-e sem título a pagar gerado no recebimento</t>
        </is>
      </c>
      <c r="B102" t="inlineStr">
        <is>
          <t>2.01.03 Compra de Matéria Prima (Papel)</t>
        </is>
      </c>
      <c r="C102" t="inlineStr">
        <is>
          <t>Antes de 2026</t>
        </is>
      </c>
      <c r="D102" t="inlineStr">
        <is>
          <t>Antes de 2026</t>
        </is>
      </c>
      <c r="E102" s="28" t="n">
        <v>45868</v>
      </c>
      <c r="F102" t="inlineStr">
        <is>
          <t>NF-e</t>
        </is>
      </c>
      <c r="G102" t="inlineStr">
        <is>
          <t>000099451</t>
        </is>
      </c>
      <c r="H102" t="inlineStr">
        <is>
          <t>M2BR IMPORTACAO E COMERCIO DE ELETROELETRONICOS LTDA</t>
        </is>
      </c>
      <c r="I102" t="inlineStr">
        <is>
          <t>29.943.897/0001-79</t>
        </is>
      </c>
      <c r="J102" s="29" t="n">
        <v>425.89</v>
      </c>
      <c r="K102" t="inlineStr">
        <is>
          <t>1.556</t>
        </is>
      </c>
      <c r="L102" t="inlineStr">
        <is>
          <t>Não</t>
        </is>
      </c>
      <c r="M102" t="inlineStr">
        <is>
          <t>Compra/outras</t>
        </is>
      </c>
    </row>
    <row r="103">
      <c r="A103" t="inlineStr">
        <is>
          <t>NF-e sem título a pagar gerado no recebimento</t>
        </is>
      </c>
      <c r="B103" t="inlineStr">
        <is>
          <t>2.01.85 Compra de Uso e Consumo</t>
        </is>
      </c>
      <c r="C103" t="inlineStr">
        <is>
          <t>Antes de 2026</t>
        </is>
      </c>
      <c r="D103" t="inlineStr">
        <is>
          <t>Antes de 2026</t>
        </is>
      </c>
      <c r="E103" s="28" t="n">
        <v>45744</v>
      </c>
      <c r="F103" t="inlineStr">
        <is>
          <t>NF-e</t>
        </is>
      </c>
      <c r="G103" t="inlineStr">
        <is>
          <t>000087058</t>
        </is>
      </c>
      <c r="H103" t="inlineStr">
        <is>
          <t>MAGNO E FILHOS LTDA</t>
        </is>
      </c>
      <c r="I103" t="inlineStr">
        <is>
          <t>12.224.867/0001-00</t>
        </is>
      </c>
      <c r="J103" s="29" t="n">
        <v>6580</v>
      </c>
      <c r="K103" t="inlineStr">
        <is>
          <t>1.556</t>
        </is>
      </c>
      <c r="L103" t="inlineStr">
        <is>
          <t>Não</t>
        </is>
      </c>
      <c r="M103" t="inlineStr">
        <is>
          <t>Compra/outras</t>
        </is>
      </c>
    </row>
    <row r="104">
      <c r="A104" t="inlineStr">
        <is>
          <t>NF-e sem título a pagar gerado no recebimento</t>
        </is>
      </c>
      <c r="B104" t="inlineStr">
        <is>
          <t>2.01.93 Compra de Plástico Poliolefínico</t>
        </is>
      </c>
      <c r="C104" t="inlineStr">
        <is>
          <t>Antes de 2026</t>
        </is>
      </c>
      <c r="D104" t="inlineStr">
        <is>
          <t>Antes de 2026</t>
        </is>
      </c>
      <c r="E104" s="28" t="n">
        <v>45860</v>
      </c>
      <c r="F104" t="inlineStr">
        <is>
          <t>NF-e</t>
        </is>
      </c>
      <c r="G104" t="inlineStr">
        <is>
          <t>000088841</t>
        </is>
      </c>
      <c r="H104" t="inlineStr">
        <is>
          <t>MAGNO E FILHOS LTDA</t>
        </is>
      </c>
      <c r="I104" t="inlineStr">
        <is>
          <t>12.224.867/0001-00</t>
        </is>
      </c>
      <c r="J104" s="29" t="n">
        <v>6600</v>
      </c>
      <c r="K104" t="inlineStr">
        <is>
          <t>1.556</t>
        </is>
      </c>
      <c r="L104" t="inlineStr">
        <is>
          <t>Não</t>
        </is>
      </c>
      <c r="M104" t="inlineStr">
        <is>
          <t>Compra/outras</t>
        </is>
      </c>
    </row>
    <row r="105">
      <c r="A105" t="inlineStr">
        <is>
          <t>NF-e sem título a pagar gerado no recebimento</t>
        </is>
      </c>
      <c r="B105" t="inlineStr">
        <is>
          <t>2.01.99 Compra de Caixas</t>
        </is>
      </c>
      <c r="C105" t="inlineStr">
        <is>
          <t>Antes de 2026</t>
        </is>
      </c>
      <c r="D105" t="inlineStr">
        <is>
          <t>Antes de 2026</t>
        </is>
      </c>
      <c r="E105" s="28" t="n">
        <v>45862</v>
      </c>
      <c r="F105" t="inlineStr">
        <is>
          <t>NF-e</t>
        </is>
      </c>
      <c r="G105" t="inlineStr">
        <is>
          <t>000088905</t>
        </is>
      </c>
      <c r="H105" t="inlineStr">
        <is>
          <t>MAGNO E FILHOS LTDA</t>
        </is>
      </c>
      <c r="I105" t="inlineStr">
        <is>
          <t>12.224.867/0001-00</t>
        </is>
      </c>
      <c r="J105" s="29" t="n">
        <v>8451.32</v>
      </c>
      <c r="K105" t="inlineStr">
        <is>
          <t>1.556</t>
        </is>
      </c>
      <c r="L105" t="inlineStr">
        <is>
          <t>Não</t>
        </is>
      </c>
      <c r="M105" t="inlineStr">
        <is>
          <t>Compra/outras</t>
        </is>
      </c>
    </row>
    <row r="106">
      <c r="A106" t="inlineStr">
        <is>
          <t>NF-e sem título a pagar gerado no recebimento</t>
        </is>
      </c>
      <c r="B106" t="inlineStr">
        <is>
          <t>2.01.99 Compra de Caixas</t>
        </is>
      </c>
      <c r="C106" t="inlineStr">
        <is>
          <t>Antes de 2026</t>
        </is>
      </c>
      <c r="D106" t="inlineStr">
        <is>
          <t>Antes de 2026</t>
        </is>
      </c>
      <c r="E106" s="28" t="n">
        <v>45862</v>
      </c>
      <c r="F106" t="inlineStr">
        <is>
          <t>NF-e</t>
        </is>
      </c>
      <c r="G106" t="inlineStr">
        <is>
          <t>000088907</t>
        </is>
      </c>
      <c r="H106" t="inlineStr">
        <is>
          <t>MAGNO E FILHOS LTDA</t>
        </is>
      </c>
      <c r="I106" t="inlineStr">
        <is>
          <t>12.224.867/0001-00</t>
        </is>
      </c>
      <c r="J106" s="29" t="n">
        <v>2802.69</v>
      </c>
      <c r="K106" t="inlineStr">
        <is>
          <t>1.556</t>
        </is>
      </c>
      <c r="L106" t="inlineStr">
        <is>
          <t>Não</t>
        </is>
      </c>
      <c r="M106" t="inlineStr">
        <is>
          <t>Compra/outras</t>
        </is>
      </c>
    </row>
    <row r="107">
      <c r="A107" t="inlineStr">
        <is>
          <t>NF-e sem título a pagar gerado no recebimento</t>
        </is>
      </c>
      <c r="B107" t="inlineStr">
        <is>
          <t>2.07.01 Máquinas e Equipamentos</t>
        </is>
      </c>
      <c r="C107" t="inlineStr">
        <is>
          <t>Antes de 2026</t>
        </is>
      </c>
      <c r="D107" t="inlineStr">
        <is>
          <t>Antes de 2026</t>
        </is>
      </c>
      <c r="E107" s="28" t="n">
        <v>45776</v>
      </c>
      <c r="F107" t="inlineStr">
        <is>
          <t>NF-e</t>
        </is>
      </c>
      <c r="G107" t="inlineStr">
        <is>
          <t>000087534</t>
        </is>
      </c>
      <c r="H107" t="inlineStr">
        <is>
          <t>MAGNO E FILHOS LTDA</t>
        </is>
      </c>
      <c r="I107" t="inlineStr">
        <is>
          <t>12.224.867/0001-00</t>
        </is>
      </c>
      <c r="J107" s="29" t="n">
        <v>1835.4</v>
      </c>
      <c r="K107" t="inlineStr">
        <is>
          <t>1.556</t>
        </is>
      </c>
      <c r="L107" t="inlineStr">
        <is>
          <t>Não</t>
        </is>
      </c>
      <c r="M107" t="inlineStr">
        <is>
          <t>Compra/outras</t>
        </is>
      </c>
    </row>
    <row r="108">
      <c r="A108" t="inlineStr">
        <is>
          <t>NF-e sem título a pagar gerado no recebimento</t>
        </is>
      </c>
      <c r="B108" t="inlineStr">
        <is>
          <t>2.01.03 Compra de Matéria Prima (Papel)</t>
        </is>
      </c>
      <c r="C108" t="inlineStr">
        <is>
          <t>Antes de 2026</t>
        </is>
      </c>
      <c r="D108" t="inlineStr">
        <is>
          <t>Antes de 2026</t>
        </is>
      </c>
      <c r="E108" s="28" t="n">
        <v>45946</v>
      </c>
      <c r="F108" t="inlineStr">
        <is>
          <t>NF-e</t>
        </is>
      </c>
      <c r="G108" t="inlineStr">
        <is>
          <t>000015527</t>
        </is>
      </c>
      <c r="H108" t="inlineStr">
        <is>
          <t>MAXI POSTO IX LTDA</t>
        </is>
      </c>
      <c r="I108" t="inlineStr">
        <is>
          <t>09.125.965/0001-85</t>
        </is>
      </c>
      <c r="J108" s="29" t="n">
        <v>2700.04</v>
      </c>
      <c r="K108" t="inlineStr">
        <is>
          <t>1.556</t>
        </is>
      </c>
      <c r="L108" t="inlineStr">
        <is>
          <t>Não</t>
        </is>
      </c>
      <c r="M108" t="inlineStr">
        <is>
          <t>Compra/outras</t>
        </is>
      </c>
    </row>
    <row r="109">
      <c r="A109" t="inlineStr">
        <is>
          <t>NF-e sem título a pagar gerado no recebimento</t>
        </is>
      </c>
      <c r="B109" t="inlineStr">
        <is>
          <t>2.01.93 Compra de Plástico Poliolefínico</t>
        </is>
      </c>
      <c r="C109" t="inlineStr">
        <is>
          <t>Antes de 2026</t>
        </is>
      </c>
      <c r="D109" t="inlineStr">
        <is>
          <t>Antes de 2026</t>
        </is>
      </c>
      <c r="E109" s="28" t="n">
        <v>45971</v>
      </c>
      <c r="F109" t="inlineStr">
        <is>
          <t>NF-e</t>
        </is>
      </c>
      <c r="G109" t="inlineStr">
        <is>
          <t>002559646</t>
        </is>
      </c>
      <c r="H109" t="inlineStr">
        <is>
          <t>MEGA BYTE MAGAZINE LTDA</t>
        </is>
      </c>
      <c r="I109" t="inlineStr">
        <is>
          <t>08.792.763/0001-24</t>
        </is>
      </c>
      <c r="J109" s="29" t="n">
        <v>57.62</v>
      </c>
      <c r="K109" t="inlineStr">
        <is>
          <t>1.556</t>
        </is>
      </c>
      <c r="L109" t="inlineStr">
        <is>
          <t>Não</t>
        </is>
      </c>
      <c r="M109" t="inlineStr">
        <is>
          <t>Compra/outras</t>
        </is>
      </c>
    </row>
    <row r="110">
      <c r="A110" t="inlineStr">
        <is>
          <t>NF-e sem título a pagar gerado no recebimento</t>
        </is>
      </c>
      <c r="B110" t="inlineStr">
        <is>
          <t>2.01.02 Frete sobre Vendas</t>
        </is>
      </c>
      <c r="C110" t="inlineStr">
        <is>
          <t>Antes de 2026</t>
        </is>
      </c>
      <c r="D110" t="inlineStr">
        <is>
          <t>Antes de 2026</t>
        </is>
      </c>
      <c r="E110" s="28" t="n">
        <v>45637</v>
      </c>
      <c r="F110" t="inlineStr">
        <is>
          <t>NF-e</t>
        </is>
      </c>
      <c r="G110" t="inlineStr">
        <is>
          <t>000033548</t>
        </is>
      </c>
      <c r="H110" t="inlineStr">
        <is>
          <t>MIRANDA COMPUTACAO E COMERCIO LTDA</t>
        </is>
      </c>
      <c r="I110" t="inlineStr">
        <is>
          <t>11.982.113/0011-28</t>
        </is>
      </c>
      <c r="J110" s="29" t="n">
        <v>9959.700000000001</v>
      </c>
      <c r="K110" t="inlineStr">
        <is>
          <t>2.551</t>
        </is>
      </c>
      <c r="L110" t="inlineStr">
        <is>
          <t>Não</t>
        </is>
      </c>
      <c r="M110" t="inlineStr">
        <is>
          <t>Compra/outras</t>
        </is>
      </c>
    </row>
    <row r="111">
      <c r="A111" t="inlineStr">
        <is>
          <t>NF-e sem título a pagar gerado no recebimento</t>
        </is>
      </c>
      <c r="B111" t="inlineStr">
        <is>
          <t>2.03.90 Compra de EPI</t>
        </is>
      </c>
      <c r="C111" t="inlineStr">
        <is>
          <t>Antes de 2026</t>
        </is>
      </c>
      <c r="D111" t="inlineStr">
        <is>
          <t>Antes de 2026</t>
        </is>
      </c>
      <c r="E111" s="28" t="n">
        <v>45964</v>
      </c>
      <c r="F111" t="inlineStr">
        <is>
          <t>NF-e</t>
        </is>
      </c>
      <c r="G111" t="inlineStr">
        <is>
          <t>000011865</t>
        </is>
      </c>
      <c r="H111" t="inlineStr">
        <is>
          <t>NUBI COMERCIO E DISTRIBUIDORA DE MOVEIS EM GERAL LTDA</t>
        </is>
      </c>
      <c r="I111" t="inlineStr">
        <is>
          <t>54.293.214/0001-22</t>
        </is>
      </c>
      <c r="J111" s="29" t="n">
        <v>158.98</v>
      </c>
      <c r="K111" t="inlineStr">
        <is>
          <t>1.556</t>
        </is>
      </c>
      <c r="L111" t="inlineStr">
        <is>
          <t>Não</t>
        </is>
      </c>
      <c r="M111" t="inlineStr">
        <is>
          <t>Compra/outras</t>
        </is>
      </c>
    </row>
    <row r="112">
      <c r="A112" t="inlineStr">
        <is>
          <t>NF-e sem título a pagar gerado no recebimento</t>
        </is>
      </c>
      <c r="B112" t="inlineStr">
        <is>
          <t>2.01.87 Compra de Peças de Máquinas</t>
        </is>
      </c>
      <c r="C112" t="inlineStr">
        <is>
          <t>Antes de 2026</t>
        </is>
      </c>
      <c r="D112" t="inlineStr">
        <is>
          <t>Antes de 2026</t>
        </is>
      </c>
      <c r="E112" s="28" t="n">
        <v>45553</v>
      </c>
      <c r="F112" t="inlineStr">
        <is>
          <t>NF-e</t>
        </is>
      </c>
      <c r="G112" t="inlineStr">
        <is>
          <t>000000154</t>
        </is>
      </c>
      <c r="H112" t="inlineStr">
        <is>
          <t>ODAFLEXO COMERCIO DE PRODUTOS FLEXOGRAFICOS LTDA</t>
        </is>
      </c>
      <c r="I112" t="inlineStr">
        <is>
          <t>50.859.160/0001-69</t>
        </is>
      </c>
      <c r="J112" s="29" t="n">
        <v>5349</v>
      </c>
      <c r="K112" t="inlineStr">
        <is>
          <t>2.102</t>
        </is>
      </c>
      <c r="L112" t="inlineStr">
        <is>
          <t>Não</t>
        </is>
      </c>
      <c r="M112" t="inlineStr">
        <is>
          <t>Compra/outras</t>
        </is>
      </c>
    </row>
    <row r="113">
      <c r="A113" t="inlineStr">
        <is>
          <t>NF-e sem título a pagar gerado no recebimento</t>
        </is>
      </c>
      <c r="B113" t="inlineStr">
        <is>
          <t>2.04.91 Compra de Material de Limpeza</t>
        </is>
      </c>
      <c r="C113" t="inlineStr">
        <is>
          <t>Antes de 2026</t>
        </is>
      </c>
      <c r="D113" t="inlineStr">
        <is>
          <t>Antes de 2026</t>
        </is>
      </c>
      <c r="E113" s="28" t="n">
        <v>46014</v>
      </c>
      <c r="F113" t="inlineStr">
        <is>
          <t>NF-e</t>
        </is>
      </c>
      <c r="G113" t="inlineStr">
        <is>
          <t>000082301</t>
        </is>
      </c>
      <c r="H113" t="inlineStr">
        <is>
          <t>PLASTICENTRO LTDA</t>
        </is>
      </c>
      <c r="I113" t="inlineStr">
        <is>
          <t>23.168.206/0001-20</t>
        </is>
      </c>
      <c r="J113" s="29" t="n">
        <v>387.19</v>
      </c>
      <c r="K113" t="inlineStr">
        <is>
          <t>1.556</t>
        </is>
      </c>
      <c r="L113" t="inlineStr">
        <is>
          <t>Não</t>
        </is>
      </c>
      <c r="M113" t="inlineStr">
        <is>
          <t>Compra/outras</t>
        </is>
      </c>
    </row>
    <row r="114">
      <c r="A114" t="inlineStr">
        <is>
          <t>NF-e sem título a pagar gerado no recebimento</t>
        </is>
      </c>
      <c r="B114" t="inlineStr">
        <is>
          <t>2.01.03 Compra de Matéria Prima (Papel)</t>
        </is>
      </c>
      <c r="C114" t="inlineStr">
        <is>
          <t>Antes de 2026</t>
        </is>
      </c>
      <c r="D114" t="inlineStr">
        <is>
          <t>Antes de 2026</t>
        </is>
      </c>
      <c r="E114" s="28" t="n">
        <v>45551</v>
      </c>
      <c r="F114" t="inlineStr">
        <is>
          <t>NF-e</t>
        </is>
      </c>
      <c r="G114" t="inlineStr">
        <is>
          <t>000002189</t>
        </is>
      </c>
      <c r="H114" t="inlineStr">
        <is>
          <t>PRODUTOS, SERVICOS E TINTAS LATINOAMERICANOS PROYSA LTDA</t>
        </is>
      </c>
      <c r="I114" t="inlineStr">
        <is>
          <t>39.345.175/0001-76</t>
        </is>
      </c>
      <c r="J114" s="29" t="n">
        <v>1846.4</v>
      </c>
      <c r="K114" t="inlineStr">
        <is>
          <t>2.102</t>
        </is>
      </c>
      <c r="L114" t="inlineStr">
        <is>
          <t>Não</t>
        </is>
      </c>
      <c r="M114" t="inlineStr">
        <is>
          <t>Compra/outras</t>
        </is>
      </c>
    </row>
    <row r="115">
      <c r="A115" t="inlineStr">
        <is>
          <t>NF-e sem título a pagar gerado no recebimento</t>
        </is>
      </c>
      <c r="B115" t="inlineStr">
        <is>
          <t>2.01.92 Compra de Tinta</t>
        </is>
      </c>
      <c r="C115" t="inlineStr">
        <is>
          <t>Antes de 2026</t>
        </is>
      </c>
      <c r="D115" t="inlineStr">
        <is>
          <t>Antes de 2026</t>
        </is>
      </c>
      <c r="E115" s="28" t="n">
        <v>45597</v>
      </c>
      <c r="F115" t="inlineStr">
        <is>
          <t>NF-e</t>
        </is>
      </c>
      <c r="G115" t="inlineStr">
        <is>
          <t>000002291</t>
        </is>
      </c>
      <c r="H115" t="inlineStr">
        <is>
          <t>PRODUTOS, SERVICOS E TINTAS LATINOAMERICANOS PROYSA LTDA</t>
        </is>
      </c>
      <c r="I115" t="inlineStr">
        <is>
          <t>39.345.175/0001-76</t>
        </is>
      </c>
      <c r="J115" s="29" t="n">
        <v>21268.2</v>
      </c>
      <c r="K115" t="inlineStr">
        <is>
          <t>2.102</t>
        </is>
      </c>
      <c r="L115" t="inlineStr">
        <is>
          <t>Não</t>
        </is>
      </c>
      <c r="M115" t="inlineStr">
        <is>
          <t>Compra/outras</t>
        </is>
      </c>
    </row>
    <row r="116">
      <c r="A116" t="inlineStr">
        <is>
          <t>NF-e sem título a pagar gerado no recebimento</t>
        </is>
      </c>
      <c r="B116" t="inlineStr">
        <is>
          <t>2.01.92 Compra de Tinta</t>
        </is>
      </c>
      <c r="C116" t="inlineStr">
        <is>
          <t>Antes de 2026</t>
        </is>
      </c>
      <c r="D116" t="inlineStr">
        <is>
          <t>Antes de 2026</t>
        </is>
      </c>
      <c r="E116" s="28" t="n">
        <v>45609</v>
      </c>
      <c r="F116" t="inlineStr">
        <is>
          <t>NF-e</t>
        </is>
      </c>
      <c r="G116" t="inlineStr">
        <is>
          <t>000002313</t>
        </is>
      </c>
      <c r="H116" t="inlineStr">
        <is>
          <t>PRODUTOS, SERVICOS E TINTAS LATINOAMERICANOS PROYSA LTDA</t>
        </is>
      </c>
      <c r="I116" t="inlineStr">
        <is>
          <t>39.345.175/0001-76</t>
        </is>
      </c>
      <c r="J116" s="29" t="n">
        <v>8982</v>
      </c>
      <c r="K116" t="inlineStr">
        <is>
          <t>2.102</t>
        </is>
      </c>
      <c r="L116" t="inlineStr">
        <is>
          <t>Não</t>
        </is>
      </c>
      <c r="M116" t="inlineStr">
        <is>
          <t>Compra/outras</t>
        </is>
      </c>
    </row>
    <row r="117">
      <c r="A117" t="inlineStr">
        <is>
          <t>NF-e sem título a pagar gerado no recebimento</t>
        </is>
      </c>
      <c r="B117" t="inlineStr">
        <is>
          <t>2.01.92 Compra de Tinta</t>
        </is>
      </c>
      <c r="C117" t="inlineStr">
        <is>
          <t>Antes de 2026</t>
        </is>
      </c>
      <c r="D117" t="inlineStr">
        <is>
          <t>Antes de 2026</t>
        </is>
      </c>
      <c r="E117" s="28" t="n">
        <v>45630</v>
      </c>
      <c r="F117" t="inlineStr">
        <is>
          <t>NF-e</t>
        </is>
      </c>
      <c r="G117" t="inlineStr">
        <is>
          <t>000002359</t>
        </is>
      </c>
      <c r="H117" t="inlineStr">
        <is>
          <t>PRODUTOS, SERVICOS E TINTAS LATINOAMERICANOS PROYSA LTDA</t>
        </is>
      </c>
      <c r="I117" t="inlineStr">
        <is>
          <t>39.345.175/0001-76</t>
        </is>
      </c>
      <c r="J117" s="29" t="n">
        <v>12780.2</v>
      </c>
      <c r="K117" t="inlineStr">
        <is>
          <t>2.102</t>
        </is>
      </c>
      <c r="L117" t="inlineStr">
        <is>
          <t>Não</t>
        </is>
      </c>
      <c r="M117" t="inlineStr">
        <is>
          <t>Compra/outras</t>
        </is>
      </c>
    </row>
    <row r="118">
      <c r="A118" t="inlineStr">
        <is>
          <t>NF-e sem título a pagar gerado no recebimento</t>
        </is>
      </c>
      <c r="B118" t="inlineStr">
        <is>
          <t>2.01.94 Compra de Fita Adesiva</t>
        </is>
      </c>
      <c r="C118" t="inlineStr">
        <is>
          <t>Antes de 2026</t>
        </is>
      </c>
      <c r="D118" t="inlineStr">
        <is>
          <t>Antes de 2026</t>
        </is>
      </c>
      <c r="E118" s="28" t="n">
        <v>45558</v>
      </c>
      <c r="F118" t="inlineStr">
        <is>
          <t>NF-e</t>
        </is>
      </c>
      <c r="G118" t="inlineStr">
        <is>
          <t>000002204</t>
        </is>
      </c>
      <c r="H118" t="inlineStr">
        <is>
          <t>PRODUTOS, SERVICOS E TINTAS LATINOAMERICANOS PROYSA LTDA</t>
        </is>
      </c>
      <c r="I118" t="inlineStr">
        <is>
          <t>39.345.175/0001-76</t>
        </is>
      </c>
      <c r="J118" s="29" t="n">
        <v>6700</v>
      </c>
      <c r="K118" t="inlineStr">
        <is>
          <t>1.556</t>
        </is>
      </c>
      <c r="L118" t="inlineStr">
        <is>
          <t>Não</t>
        </is>
      </c>
      <c r="M118" t="inlineStr">
        <is>
          <t>Compra/outras</t>
        </is>
      </c>
    </row>
    <row r="119">
      <c r="A119" t="inlineStr">
        <is>
          <t>NF-e sem título a pagar gerado no recebimento</t>
        </is>
      </c>
      <c r="B119" t="inlineStr">
        <is>
          <t>2.01.94 Compra de Fita Adesiva</t>
        </is>
      </c>
      <c r="C119" t="inlineStr">
        <is>
          <t>Antes de 2026</t>
        </is>
      </c>
      <c r="D119" t="inlineStr">
        <is>
          <t>Antes de 2026</t>
        </is>
      </c>
      <c r="E119" s="28" t="n">
        <v>45586</v>
      </c>
      <c r="F119" t="inlineStr">
        <is>
          <t>NF-e</t>
        </is>
      </c>
      <c r="G119" t="inlineStr">
        <is>
          <t>000002263</t>
        </is>
      </c>
      <c r="H119" t="inlineStr">
        <is>
          <t>PRODUTOS, SERVICOS E TINTAS LATINOAMERICANOS PROYSA LTDA</t>
        </is>
      </c>
      <c r="I119" t="inlineStr">
        <is>
          <t>39.345.175/0001-76</t>
        </is>
      </c>
      <c r="J119" s="29" t="n">
        <v>0.11</v>
      </c>
      <c r="K119" t="inlineStr">
        <is>
          <t>1.556</t>
        </is>
      </c>
      <c r="L119" t="inlineStr">
        <is>
          <t>Não</t>
        </is>
      </c>
      <c r="M119" t="inlineStr">
        <is>
          <t>Compra/outras</t>
        </is>
      </c>
    </row>
    <row r="120">
      <c r="A120" t="inlineStr">
        <is>
          <t>NF-e sem título a pagar gerado no recebimento</t>
        </is>
      </c>
      <c r="B120" t="inlineStr">
        <is>
          <t>2.01.96 Compra de Cola</t>
        </is>
      </c>
      <c r="C120" t="inlineStr">
        <is>
          <t>Antes de 2026</t>
        </is>
      </c>
      <c r="D120" t="inlineStr">
        <is>
          <t>Antes de 2026</t>
        </is>
      </c>
      <c r="E120" s="28" t="n">
        <v>45656</v>
      </c>
      <c r="F120" t="inlineStr">
        <is>
          <t>NF-e</t>
        </is>
      </c>
      <c r="G120" t="inlineStr">
        <is>
          <t>000002398</t>
        </is>
      </c>
      <c r="H120" t="inlineStr">
        <is>
          <t>PRODUTOS, SERVICOS E TINTAS LATINOAMERICANOS PROYSA LTDA</t>
        </is>
      </c>
      <c r="I120" t="inlineStr">
        <is>
          <t>39.345.175/0001-76</t>
        </is>
      </c>
      <c r="J120" s="29" t="n">
        <v>0.32</v>
      </c>
      <c r="K120" t="inlineStr">
        <is>
          <t>1.556</t>
        </is>
      </c>
      <c r="L120" t="inlineStr">
        <is>
          <t>Não</t>
        </is>
      </c>
      <c r="M120" t="inlineStr">
        <is>
          <t>Compra/outras</t>
        </is>
      </c>
    </row>
    <row r="121">
      <c r="A121" t="inlineStr">
        <is>
          <t>NF-e sem título a pagar gerado no recebimento</t>
        </is>
      </c>
      <c r="B121" t="inlineStr">
        <is>
          <t>2.01.89 Compra de Pallet</t>
        </is>
      </c>
      <c r="C121" t="inlineStr">
        <is>
          <t>Antes de 2026</t>
        </is>
      </c>
      <c r="D121" t="inlineStr">
        <is>
          <t>Antes de 2026</t>
        </is>
      </c>
      <c r="E121" s="28" t="n">
        <v>45575</v>
      </c>
      <c r="F121" t="inlineStr">
        <is>
          <t>NF-e</t>
        </is>
      </c>
      <c r="G121" t="inlineStr">
        <is>
          <t>000003361</t>
        </is>
      </c>
      <c r="H121" t="inlineStr">
        <is>
          <t>RECICLAGEM LIBERDADE LTDA</t>
        </is>
      </c>
      <c r="I121" t="inlineStr">
        <is>
          <t>11.674.191/0001-93</t>
        </is>
      </c>
      <c r="J121" s="29" t="n">
        <v>1500</v>
      </c>
      <c r="K121" t="inlineStr">
        <is>
          <t>1.556</t>
        </is>
      </c>
      <c r="L121" t="inlineStr">
        <is>
          <t>Não</t>
        </is>
      </c>
      <c r="M121" t="inlineStr">
        <is>
          <t>Compra/outras</t>
        </is>
      </c>
    </row>
    <row r="122">
      <c r="A122" t="inlineStr">
        <is>
          <t>NF-e sem título a pagar gerado no recebimento</t>
        </is>
      </c>
      <c r="B122" t="inlineStr">
        <is>
          <t>2.01.89 Compra de Pallet</t>
        </is>
      </c>
      <c r="C122" t="inlineStr">
        <is>
          <t>Antes de 2026</t>
        </is>
      </c>
      <c r="D122" t="inlineStr">
        <is>
          <t>Antes de 2026</t>
        </is>
      </c>
      <c r="E122" s="28" t="n">
        <v>45672</v>
      </c>
      <c r="F122" t="inlineStr">
        <is>
          <t>NF-e</t>
        </is>
      </c>
      <c r="G122" t="inlineStr">
        <is>
          <t>000003481</t>
        </is>
      </c>
      <c r="H122" t="inlineStr">
        <is>
          <t>RECICLAGEM LIBERDADE LTDA</t>
        </is>
      </c>
      <c r="I122" t="inlineStr">
        <is>
          <t>11.674.191/0001-93</t>
        </is>
      </c>
      <c r="J122" s="29" t="n">
        <v>1500</v>
      </c>
      <c r="K122" t="inlineStr">
        <is>
          <t>1.556</t>
        </is>
      </c>
      <c r="L122" t="inlineStr">
        <is>
          <t>Não</t>
        </is>
      </c>
      <c r="M122" t="inlineStr">
        <is>
          <t>Compra/outras</t>
        </is>
      </c>
    </row>
    <row r="123">
      <c r="A123" t="inlineStr">
        <is>
          <t>NF-e sem título a pagar gerado no recebimento</t>
        </is>
      </c>
      <c r="B123" t="inlineStr">
        <is>
          <t>2.01.96 Compra de Cola</t>
        </is>
      </c>
      <c r="C123" t="inlineStr">
        <is>
          <t>Antes de 2026</t>
        </is>
      </c>
      <c r="D123" t="inlineStr">
        <is>
          <t>Antes de 2026</t>
        </is>
      </c>
      <c r="E123" s="28" t="n">
        <v>45551</v>
      </c>
      <c r="F123" t="inlineStr">
        <is>
          <t>NF-e</t>
        </is>
      </c>
      <c r="G123" t="inlineStr">
        <is>
          <t>000018053</t>
        </is>
      </c>
      <c r="H123" t="inlineStr">
        <is>
          <t>REQUIM PRODUTOS QUIMICOS LTDA</t>
        </is>
      </c>
      <c r="I123" t="inlineStr">
        <is>
          <t>06.935.804/0001-69</t>
        </is>
      </c>
      <c r="J123" s="29" t="n">
        <v>29050</v>
      </c>
      <c r="K123" t="inlineStr">
        <is>
          <t>2.101</t>
        </is>
      </c>
      <c r="L123" t="inlineStr">
        <is>
          <t>Não</t>
        </is>
      </c>
      <c r="M123" t="inlineStr">
        <is>
          <t>Compra/outras</t>
        </is>
      </c>
    </row>
    <row r="124">
      <c r="A124" t="inlineStr">
        <is>
          <t>NF-e sem título a pagar gerado no recebimento</t>
        </is>
      </c>
      <c r="B124" t="inlineStr">
        <is>
          <t>2.01.96 Compra de Cola</t>
        </is>
      </c>
      <c r="C124" t="inlineStr">
        <is>
          <t>Antes de 2026</t>
        </is>
      </c>
      <c r="D124" t="inlineStr">
        <is>
          <t>Antes de 2026</t>
        </is>
      </c>
      <c r="E124" s="28" t="n">
        <v>45629</v>
      </c>
      <c r="F124" t="inlineStr">
        <is>
          <t>NF-e</t>
        </is>
      </c>
      <c r="G124" t="inlineStr">
        <is>
          <t>000018655</t>
        </is>
      </c>
      <c r="H124" t="inlineStr">
        <is>
          <t>REQUIM PRODUTOS QUIMICOS LTDA</t>
        </is>
      </c>
      <c r="I124" t="inlineStr">
        <is>
          <t>06.935.804/0001-69</t>
        </is>
      </c>
      <c r="J124" s="29" t="n">
        <v>35875</v>
      </c>
      <c r="K124" t="inlineStr">
        <is>
          <t>2.101</t>
        </is>
      </c>
      <c r="L124" t="inlineStr">
        <is>
          <t>Não</t>
        </is>
      </c>
      <c r="M124" t="inlineStr">
        <is>
          <t>Compra/outras</t>
        </is>
      </c>
    </row>
    <row r="125">
      <c r="A125" t="inlineStr">
        <is>
          <t>NF-e sem título a pagar gerado no recebimento</t>
        </is>
      </c>
      <c r="B125" t="inlineStr">
        <is>
          <t>2.01.95 Compra de Etiqueta</t>
        </is>
      </c>
      <c r="C125" t="inlineStr">
        <is>
          <t>Antes de 2026</t>
        </is>
      </c>
      <c r="D125" t="inlineStr">
        <is>
          <t>Antes de 2026</t>
        </is>
      </c>
      <c r="E125" s="28" t="n">
        <v>45980</v>
      </c>
      <c r="F125" t="inlineStr">
        <is>
          <t>NF-e</t>
        </is>
      </c>
      <c r="G125" t="inlineStr">
        <is>
          <t>000017768</t>
        </is>
      </c>
      <c r="H125" t="inlineStr">
        <is>
          <t>RONALDO PEREZ PEREIRA LTDA</t>
        </is>
      </c>
      <c r="I125" t="inlineStr">
        <is>
          <t>51.736.748/0001-98</t>
        </is>
      </c>
      <c r="J125" s="29" t="n">
        <v>62.06</v>
      </c>
      <c r="K125" t="inlineStr">
        <is>
          <t>1.556</t>
        </is>
      </c>
      <c r="L125" t="inlineStr">
        <is>
          <t>Não</t>
        </is>
      </c>
      <c r="M125" t="inlineStr">
        <is>
          <t>Compra/outras</t>
        </is>
      </c>
    </row>
    <row r="126">
      <c r="A126" t="inlineStr">
        <is>
          <t>NF-e sem título a pagar gerado no recebimento</t>
        </is>
      </c>
      <c r="B126" t="inlineStr">
        <is>
          <t>2.01.03 Compra de Matéria Prima (Papel)</t>
        </is>
      </c>
      <c r="C126" t="inlineStr">
        <is>
          <t>Antes de 2026</t>
        </is>
      </c>
      <c r="D126" t="inlineStr">
        <is>
          <t>Antes de 2026</t>
        </is>
      </c>
      <c r="E126" s="28" t="n">
        <v>45596</v>
      </c>
      <c r="F126" t="inlineStr">
        <is>
          <t>NF-e</t>
        </is>
      </c>
      <c r="G126" t="inlineStr">
        <is>
          <t>000164019</t>
        </is>
      </c>
      <c r="H126" t="inlineStr">
        <is>
          <t>SANTA MARIA CIA DE PAPEL E CELULOSE</t>
        </is>
      </c>
      <c r="I126" t="inlineStr">
        <is>
          <t>77.887.917/0001-84</t>
        </is>
      </c>
      <c r="J126" s="29" t="n">
        <v>45566.64</v>
      </c>
      <c r="K126" t="inlineStr">
        <is>
          <t>2.102</t>
        </is>
      </c>
      <c r="L126" t="inlineStr">
        <is>
          <t>Não</t>
        </is>
      </c>
      <c r="M126" t="inlineStr">
        <is>
          <t>Compra/outras</t>
        </is>
      </c>
    </row>
    <row r="127">
      <c r="A127" t="inlineStr">
        <is>
          <t>NF-e sem título a pagar gerado no recebimento</t>
        </is>
      </c>
      <c r="B127" t="inlineStr">
        <is>
          <t>2.01.03 Compra de Matéria Prima (Papel)</t>
        </is>
      </c>
      <c r="C127" t="inlineStr">
        <is>
          <t>Antes de 2026</t>
        </is>
      </c>
      <c r="D127" t="inlineStr">
        <is>
          <t>Antes de 2026</t>
        </is>
      </c>
      <c r="E127" s="28" t="n">
        <v>45553</v>
      </c>
      <c r="F127" t="inlineStr">
        <is>
          <t>NF-e</t>
        </is>
      </c>
      <c r="G127" t="inlineStr">
        <is>
          <t>000100315</t>
        </is>
      </c>
      <c r="H127" t="inlineStr">
        <is>
          <t>SEGURA COM DE EQUP. DE PROTECAO LTDA</t>
        </is>
      </c>
      <c r="I127" t="inlineStr">
        <is>
          <t>13.326.462/0001-45</t>
        </is>
      </c>
      <c r="J127" s="29" t="n">
        <v>3375</v>
      </c>
      <c r="K127" t="inlineStr">
        <is>
          <t>1.556</t>
        </is>
      </c>
      <c r="L127" t="inlineStr">
        <is>
          <t>Não</t>
        </is>
      </c>
      <c r="M127" t="inlineStr">
        <is>
          <t>Compra/outras</t>
        </is>
      </c>
    </row>
    <row r="128">
      <c r="A128" t="inlineStr">
        <is>
          <t>NF-e sem título a pagar gerado no recebimento</t>
        </is>
      </c>
      <c r="B128" t="inlineStr">
        <is>
          <t>2.01.95 Compra de Etiqueta</t>
        </is>
      </c>
      <c r="C128" t="inlineStr">
        <is>
          <t>Antes de 2026</t>
        </is>
      </c>
      <c r="D128" t="inlineStr">
        <is>
          <t>Antes de 2026</t>
        </is>
      </c>
      <c r="E128" s="28" t="n">
        <v>45642</v>
      </c>
      <c r="F128" t="inlineStr">
        <is>
          <t>NF-e</t>
        </is>
      </c>
      <c r="G128" t="inlineStr">
        <is>
          <t>000103758</t>
        </is>
      </c>
      <c r="H128" t="inlineStr">
        <is>
          <t>SEGURA COM DE EQUP. DE PROTECAO LTDA</t>
        </is>
      </c>
      <c r="I128" t="inlineStr">
        <is>
          <t>13.326.462/0001-45</t>
        </is>
      </c>
      <c r="J128" s="29" t="n">
        <v>635</v>
      </c>
      <c r="K128" t="inlineStr">
        <is>
          <t>1.556</t>
        </is>
      </c>
      <c r="L128" t="inlineStr">
        <is>
          <t>Não</t>
        </is>
      </c>
      <c r="M128" t="inlineStr">
        <is>
          <t>Compra/outras</t>
        </is>
      </c>
    </row>
    <row r="129">
      <c r="A129" t="inlineStr">
        <is>
          <t>NF-e sem título a pagar gerado no recebimento</t>
        </is>
      </c>
      <c r="B129" t="inlineStr">
        <is>
          <t>2.01.95 Compra de Etiqueta</t>
        </is>
      </c>
      <c r="C129" t="inlineStr">
        <is>
          <t>Antes de 2026</t>
        </is>
      </c>
      <c r="D129" t="inlineStr">
        <is>
          <t>Antes de 2026</t>
        </is>
      </c>
      <c r="E129" s="28" t="n">
        <v>45653</v>
      </c>
      <c r="F129" t="inlineStr">
        <is>
          <t>NF-e</t>
        </is>
      </c>
      <c r="G129" t="inlineStr">
        <is>
          <t>000104001</t>
        </is>
      </c>
      <c r="H129" t="inlineStr">
        <is>
          <t>SEGURA COM DE EQUP. DE PROTECAO LTDA</t>
        </is>
      </c>
      <c r="I129" t="inlineStr">
        <is>
          <t>13.326.462/0001-45</t>
        </is>
      </c>
      <c r="J129" s="29" t="n">
        <v>814.05</v>
      </c>
      <c r="K129" t="inlineStr">
        <is>
          <t>1.556</t>
        </is>
      </c>
      <c r="L129" t="inlineStr">
        <is>
          <t>Não</t>
        </is>
      </c>
      <c r="M129" t="inlineStr">
        <is>
          <t>Compra/outras</t>
        </is>
      </c>
    </row>
    <row r="130">
      <c r="A130" t="inlineStr">
        <is>
          <t>NF-e sem título a pagar gerado no recebimento</t>
        </is>
      </c>
      <c r="B130" t="inlineStr">
        <is>
          <t>2.03.90 Compra de EPI</t>
        </is>
      </c>
      <c r="C130" t="inlineStr">
        <is>
          <t>Antes de 2026</t>
        </is>
      </c>
      <c r="D130" t="inlineStr">
        <is>
          <t>Antes de 2026</t>
        </is>
      </c>
      <c r="E130" s="28" t="n">
        <v>45566</v>
      </c>
      <c r="F130" t="inlineStr">
        <is>
          <t>NF-e</t>
        </is>
      </c>
      <c r="G130" t="inlineStr">
        <is>
          <t>000100909</t>
        </is>
      </c>
      <c r="H130" t="inlineStr">
        <is>
          <t>SEGURA COM DE EQUP. DE PROTECAO LTDA</t>
        </is>
      </c>
      <c r="I130" t="inlineStr">
        <is>
          <t>13.326.462/0001-45</t>
        </is>
      </c>
      <c r="J130" s="29" t="n">
        <v>578.85</v>
      </c>
      <c r="K130" t="inlineStr">
        <is>
          <t>1.556</t>
        </is>
      </c>
      <c r="L130" t="inlineStr">
        <is>
          <t>Não</t>
        </is>
      </c>
      <c r="M130" t="inlineStr">
        <is>
          <t>Compra/outras</t>
        </is>
      </c>
    </row>
    <row r="131">
      <c r="A131" t="inlineStr">
        <is>
          <t>NF-e sem título a pagar gerado no recebimento</t>
        </is>
      </c>
      <c r="B131" t="inlineStr">
        <is>
          <t>2.03.88 Compra de Fardamento</t>
        </is>
      </c>
      <c r="C131" t="inlineStr">
        <is>
          <t>Antes de 2026</t>
        </is>
      </c>
      <c r="D131" t="inlineStr">
        <is>
          <t>Antes de 2026</t>
        </is>
      </c>
      <c r="E131" s="28" t="n">
        <v>45895</v>
      </c>
      <c r="F131" t="inlineStr">
        <is>
          <t>NF-e</t>
        </is>
      </c>
      <c r="G131" t="inlineStr">
        <is>
          <t>000000663</t>
        </is>
      </c>
      <c r="H131" t="inlineStr">
        <is>
          <t>SELMO DA ROCHA SILVA ME - Kecer Fardamentos</t>
        </is>
      </c>
      <c r="I131" t="inlineStr">
        <is>
          <t>11.521.186/0001-40</t>
        </is>
      </c>
      <c r="J131" s="29" t="n">
        <v>2499.5</v>
      </c>
      <c r="K131" t="inlineStr">
        <is>
          <t>1.556</t>
        </is>
      </c>
      <c r="L131" t="inlineStr">
        <is>
          <t>Não</t>
        </is>
      </c>
      <c r="M131" t="inlineStr">
        <is>
          <t>Compra/outras</t>
        </is>
      </c>
    </row>
    <row r="132">
      <c r="A132" t="inlineStr">
        <is>
          <t>NF-e sem título a pagar gerado no recebimento</t>
        </is>
      </c>
      <c r="B132" t="inlineStr">
        <is>
          <t>2.01.85 Compra de Uso e Consumo</t>
        </is>
      </c>
      <c r="C132" t="inlineStr">
        <is>
          <t>Antes de 2026</t>
        </is>
      </c>
      <c r="D132" t="inlineStr">
        <is>
          <t>Antes de 2026</t>
        </is>
      </c>
      <c r="E132" s="28" t="n">
        <v>45820</v>
      </c>
      <c r="F132" t="inlineStr">
        <is>
          <t>NF-e</t>
        </is>
      </c>
      <c r="G132" t="inlineStr">
        <is>
          <t>000001007</t>
        </is>
      </c>
      <c r="H132" t="inlineStr">
        <is>
          <t>SERTANEJA INDUSTRIA DE PREMOLDADO LTDA</t>
        </is>
      </c>
      <c r="I132" t="inlineStr">
        <is>
          <t>39.247.389/0001-00</t>
        </is>
      </c>
      <c r="J132" s="29" t="n">
        <v>3300</v>
      </c>
      <c r="K132" t="inlineStr">
        <is>
          <t>1.556</t>
        </is>
      </c>
      <c r="L132" t="inlineStr">
        <is>
          <t>Não</t>
        </is>
      </c>
      <c r="M132" t="inlineStr">
        <is>
          <t>Compra/outras</t>
        </is>
      </c>
    </row>
    <row r="133">
      <c r="A133" t="inlineStr">
        <is>
          <t>NF-e sem título a pagar gerado no recebimento</t>
        </is>
      </c>
      <c r="B133" t="inlineStr">
        <is>
          <t>2.01.96 Compra de Cola</t>
        </is>
      </c>
      <c r="C133" t="inlineStr">
        <is>
          <t>Antes de 2026</t>
        </is>
      </c>
      <c r="D133" t="inlineStr">
        <is>
          <t>Antes de 2026</t>
        </is>
      </c>
      <c r="E133" s="28" t="n">
        <v>45679</v>
      </c>
      <c r="F133" t="inlineStr">
        <is>
          <t>NF-e</t>
        </is>
      </c>
      <c r="G133" t="inlineStr">
        <is>
          <t>000001004</t>
        </is>
      </c>
      <c r="H133" t="inlineStr">
        <is>
          <t>SERTANEJA INDUSTRIA DE PREMOLDADO LTDA</t>
        </is>
      </c>
      <c r="I133" t="inlineStr">
        <is>
          <t>39.247.389/0001-00</t>
        </is>
      </c>
      <c r="J133" s="29" t="n">
        <v>1650</v>
      </c>
      <c r="K133" t="inlineStr">
        <is>
          <t>1.556</t>
        </is>
      </c>
      <c r="L133" t="inlineStr">
        <is>
          <t>Não</t>
        </is>
      </c>
      <c r="M133" t="inlineStr">
        <is>
          <t>Compra/outras</t>
        </is>
      </c>
    </row>
    <row r="134">
      <c r="A134" t="inlineStr">
        <is>
          <t>NF-e sem título a pagar gerado no recebimento</t>
        </is>
      </c>
      <c r="B134" t="inlineStr">
        <is>
          <t>2.01.97 Compra de Clichê</t>
        </is>
      </c>
      <c r="C134" t="inlineStr">
        <is>
          <t>Antes de 2026</t>
        </is>
      </c>
      <c r="D134" t="inlineStr">
        <is>
          <t>Antes de 2026</t>
        </is>
      </c>
      <c r="E134" s="28" t="n">
        <v>45686</v>
      </c>
      <c r="F134" t="inlineStr">
        <is>
          <t>NF-e</t>
        </is>
      </c>
      <c r="G134" t="inlineStr">
        <is>
          <t>000000785</t>
        </is>
      </c>
      <c r="H134" t="inlineStr">
        <is>
          <t>SERTANEJA INDUSTRIA DE PREMOLDADO LTDA</t>
        </is>
      </c>
      <c r="I134" t="inlineStr">
        <is>
          <t>39.247.389/0001-00</t>
        </is>
      </c>
      <c r="J134" s="29" t="n">
        <v>1650</v>
      </c>
      <c r="K134" t="inlineStr">
        <is>
          <t>1.556</t>
        </is>
      </c>
      <c r="L134" t="inlineStr">
        <is>
          <t>Não</t>
        </is>
      </c>
      <c r="M134" t="inlineStr">
        <is>
          <t>Compra/outras</t>
        </is>
      </c>
    </row>
    <row r="135">
      <c r="A135" t="inlineStr">
        <is>
          <t>NF-e sem título a pagar gerado no recebimento</t>
        </is>
      </c>
      <c r="B135" t="inlineStr">
        <is>
          <t>2.01.03 Compra de Matéria Prima (Papel)</t>
        </is>
      </c>
      <c r="C135" t="inlineStr">
        <is>
          <t>Antes de 2026</t>
        </is>
      </c>
      <c r="D135" t="inlineStr">
        <is>
          <t>Antes de 2026</t>
        </is>
      </c>
      <c r="E135" s="28" t="n">
        <v>45574</v>
      </c>
      <c r="F135" t="inlineStr">
        <is>
          <t>NF-e</t>
        </is>
      </c>
      <c r="G135" t="inlineStr">
        <is>
          <t>000006006</t>
        </is>
      </c>
      <c r="H135" t="inlineStr">
        <is>
          <t>SHARING COMERCIO E SERVICOS LTDA</t>
        </is>
      </c>
      <c r="I135" t="inlineStr">
        <is>
          <t>18.182.086/0001-86</t>
        </is>
      </c>
      <c r="J135" s="29" t="n">
        <v>468.3</v>
      </c>
      <c r="K135" t="inlineStr">
        <is>
          <t>2.102</t>
        </is>
      </c>
      <c r="L135" t="inlineStr">
        <is>
          <t>Não</t>
        </is>
      </c>
      <c r="M135" t="inlineStr">
        <is>
          <t>Compra/outras</t>
        </is>
      </c>
    </row>
    <row r="136">
      <c r="A136" t="inlineStr">
        <is>
          <t>NF-e sem título a pagar gerado no recebimento</t>
        </is>
      </c>
      <c r="B136" t="inlineStr">
        <is>
          <t>2.01.87 Compra de Peças de Máquinas</t>
        </is>
      </c>
      <c r="C136" t="inlineStr">
        <is>
          <t>Antes de 2026</t>
        </is>
      </c>
      <c r="D136" t="inlineStr">
        <is>
          <t>Antes de 2026</t>
        </is>
      </c>
      <c r="E136" s="28" t="n">
        <v>45583</v>
      </c>
      <c r="F136" t="inlineStr">
        <is>
          <t>NF-e</t>
        </is>
      </c>
      <c r="G136" t="inlineStr">
        <is>
          <t>000002702</t>
        </is>
      </c>
      <c r="H136" t="inlineStr">
        <is>
          <t>TECHPRINT FACAS INDUSTRIAIS</t>
        </is>
      </c>
      <c r="I136" t="inlineStr">
        <is>
          <t>23.105.251/0001-36</t>
        </is>
      </c>
      <c r="J136" s="29" t="n">
        <v>2400</v>
      </c>
      <c r="K136" t="inlineStr">
        <is>
          <t>2.102</t>
        </is>
      </c>
      <c r="L136" t="inlineStr">
        <is>
          <t>Não</t>
        </is>
      </c>
      <c r="M136" t="inlineStr">
        <is>
          <t>Compra/outras</t>
        </is>
      </c>
    </row>
    <row r="137">
      <c r="A137" t="inlineStr">
        <is>
          <t>NF-e sem título a pagar gerado no recebimento</t>
        </is>
      </c>
      <c r="B137" t="inlineStr">
        <is>
          <t>2.01.95 Compra de Etiqueta</t>
        </is>
      </c>
      <c r="C137" t="inlineStr">
        <is>
          <t>Antes de 2026</t>
        </is>
      </c>
      <c r="D137" t="inlineStr">
        <is>
          <t>Antes de 2026</t>
        </is>
      </c>
      <c r="E137" s="28" t="n">
        <v>45636</v>
      </c>
      <c r="F137" t="inlineStr">
        <is>
          <t>NF-e</t>
        </is>
      </c>
      <c r="G137" t="inlineStr">
        <is>
          <t>000002758</t>
        </is>
      </c>
      <c r="H137" t="inlineStr">
        <is>
          <t>TECHPRINT FACAS INDUSTRIAIS</t>
        </is>
      </c>
      <c r="I137" t="inlineStr">
        <is>
          <t>23.105.251/0001-36</t>
        </is>
      </c>
      <c r="J137" s="29" t="n">
        <v>1450</v>
      </c>
      <c r="K137" t="inlineStr">
        <is>
          <t>2.102</t>
        </is>
      </c>
      <c r="L137" t="inlineStr">
        <is>
          <t>Não</t>
        </is>
      </c>
      <c r="M137" t="inlineStr">
        <is>
          <t>Compra/outras</t>
        </is>
      </c>
    </row>
    <row r="138">
      <c r="A138" t="inlineStr">
        <is>
          <t>NF-e sem título a pagar gerado no recebimento</t>
        </is>
      </c>
      <c r="B138" t="inlineStr">
        <is>
          <t>2.16.98 Aporte - Embalafoods (Sede)</t>
        </is>
      </c>
      <c r="C138" t="inlineStr">
        <is>
          <t>Antes de 2026</t>
        </is>
      </c>
      <c r="D138" t="inlineStr">
        <is>
          <t>Antes de 2026</t>
        </is>
      </c>
      <c r="E138" s="28" t="n">
        <v>45958</v>
      </c>
      <c r="F138" t="inlineStr">
        <is>
          <t>NF-e</t>
        </is>
      </c>
      <c r="G138" t="inlineStr">
        <is>
          <t>000000083</t>
        </is>
      </c>
      <c r="H138" t="inlineStr">
        <is>
          <t>TREVO CIMENTO LTDA</t>
        </is>
      </c>
      <c r="I138" t="inlineStr">
        <is>
          <t>55.314.437/0001-91</t>
        </is>
      </c>
      <c r="J138" s="29" t="n">
        <v>5400</v>
      </c>
      <c r="K138" t="inlineStr">
        <is>
          <t>1.556</t>
        </is>
      </c>
      <c r="L138" t="inlineStr">
        <is>
          <t>Não</t>
        </is>
      </c>
      <c r="M138" t="inlineStr">
        <is>
          <t>Compra/outras</t>
        </is>
      </c>
    </row>
    <row r="139">
      <c r="A139" t="inlineStr">
        <is>
          <t>NF-e sem título a pagar gerado no recebimento</t>
        </is>
      </c>
      <c r="B139" t="inlineStr">
        <is>
          <t>2.16.98 Aporte - Embalafoods (Sede)</t>
        </is>
      </c>
      <c r="C139" t="inlineStr">
        <is>
          <t>Antes de 2026</t>
        </is>
      </c>
      <c r="D139" t="inlineStr">
        <is>
          <t>Antes de 2026</t>
        </is>
      </c>
      <c r="E139" s="28" t="n">
        <v>45967</v>
      </c>
      <c r="F139" t="inlineStr">
        <is>
          <t>NF-e</t>
        </is>
      </c>
      <c r="G139" t="inlineStr">
        <is>
          <t>000000086</t>
        </is>
      </c>
      <c r="H139" t="inlineStr">
        <is>
          <t>TREVO CIMENTO LTDA</t>
        </is>
      </c>
      <c r="I139" t="inlineStr">
        <is>
          <t>55.314.437/0001-91</t>
        </is>
      </c>
      <c r="J139" s="29" t="n">
        <v>5700</v>
      </c>
      <c r="K139" t="inlineStr">
        <is>
          <t>1.556</t>
        </is>
      </c>
      <c r="L139" t="inlineStr">
        <is>
          <t>Não</t>
        </is>
      </c>
      <c r="M139" t="inlineStr">
        <is>
          <t>Compra/outras</t>
        </is>
      </c>
    </row>
    <row r="140">
      <c r="A140" t="inlineStr">
        <is>
          <t>NF-e sem título a pagar gerado no recebimento</t>
        </is>
      </c>
      <c r="B140" t="inlineStr">
        <is>
          <t>2.16.98 Aporte - Embalafoods (Sede)</t>
        </is>
      </c>
      <c r="C140" t="inlineStr">
        <is>
          <t>Antes de 2026</t>
        </is>
      </c>
      <c r="D140" t="inlineStr">
        <is>
          <t>Antes de 2026</t>
        </is>
      </c>
      <c r="E140" s="28" t="n">
        <v>45982</v>
      </c>
      <c r="F140" t="inlineStr">
        <is>
          <t>NF-e</t>
        </is>
      </c>
      <c r="G140" t="inlineStr">
        <is>
          <t>000000088</t>
        </is>
      </c>
      <c r="H140" t="inlineStr">
        <is>
          <t>TREVO CIMENTO LTDA</t>
        </is>
      </c>
      <c r="I140" t="inlineStr">
        <is>
          <t>55.314.437/0001-91</t>
        </is>
      </c>
      <c r="J140" s="29" t="n">
        <v>5700</v>
      </c>
      <c r="K140" t="inlineStr">
        <is>
          <t>1.556</t>
        </is>
      </c>
      <c r="L140" t="inlineStr">
        <is>
          <t>Não</t>
        </is>
      </c>
      <c r="M140" t="inlineStr">
        <is>
          <t>Compra/outras</t>
        </is>
      </c>
    </row>
    <row r="141">
      <c r="A141" t="inlineStr">
        <is>
          <t>NF-e sem título a pagar gerado no recebimento</t>
        </is>
      </c>
      <c r="B141" t="inlineStr">
        <is>
          <t>2.01.85 Compra de Uso e Consumo</t>
        </is>
      </c>
      <c r="C141" t="inlineStr">
        <is>
          <t>Antes de 2026</t>
        </is>
      </c>
      <c r="D141" t="inlineStr">
        <is>
          <t>Antes de 2026</t>
        </is>
      </c>
      <c r="E141" s="28" t="n">
        <v>45898</v>
      </c>
      <c r="F141" t="inlineStr">
        <is>
          <t>NF-e</t>
        </is>
      </c>
      <c r="G141" t="inlineStr">
        <is>
          <t>000046869</t>
        </is>
      </c>
      <c r="H141" t="inlineStr">
        <is>
          <t>TSA QUIMICA DO BRASIL LTDA</t>
        </is>
      </c>
      <c r="I141" t="inlineStr">
        <is>
          <t>73.767.394/0004-24</t>
        </is>
      </c>
      <c r="J141" s="29" t="n">
        <v>6093.93</v>
      </c>
      <c r="K141" t="inlineStr">
        <is>
          <t>1.556</t>
        </is>
      </c>
      <c r="L141" t="inlineStr">
        <is>
          <t>Não</t>
        </is>
      </c>
      <c r="M141" t="inlineStr">
        <is>
          <t>Compra/outras</t>
        </is>
      </c>
    </row>
    <row r="142">
      <c r="A142" t="inlineStr">
        <is>
          <t>NF-e sem título a pagar gerado no recebimento</t>
        </is>
      </c>
      <c r="B142" t="inlineStr">
        <is>
          <t>2.01.99 Compra de Caixas</t>
        </is>
      </c>
      <c r="C142" t="inlineStr">
        <is>
          <t>Antes de 2026</t>
        </is>
      </c>
      <c r="D142" t="inlineStr">
        <is>
          <t>Antes de 2026</t>
        </is>
      </c>
      <c r="E142" s="28" t="n">
        <v>45890</v>
      </c>
      <c r="F142" t="inlineStr">
        <is>
          <t>NF-e</t>
        </is>
      </c>
      <c r="G142" t="inlineStr">
        <is>
          <t>000005541</t>
        </is>
      </c>
      <c r="H142" t="inlineStr">
        <is>
          <t>Uniplacas Indústria e Comércio LTDA</t>
        </is>
      </c>
      <c r="I142" t="inlineStr">
        <is>
          <t>15.286.959/0006-17</t>
        </is>
      </c>
      <c r="J142" s="29" t="n">
        <v>247.8</v>
      </c>
      <c r="K142" t="inlineStr">
        <is>
          <t>1.556</t>
        </is>
      </c>
      <c r="L142" t="inlineStr">
        <is>
          <t>Não</t>
        </is>
      </c>
      <c r="M142" t="inlineStr">
        <is>
          <t>Compra/outras</t>
        </is>
      </c>
    </row>
    <row r="143">
      <c r="A143" t="inlineStr">
        <is>
          <t>NF-e sem título a pagar gerado no recebimento</t>
        </is>
      </c>
      <c r="B143" t="inlineStr">
        <is>
          <t>2.01.85 Compra de Uso e Consumo</t>
        </is>
      </c>
      <c r="C143" t="inlineStr">
        <is>
          <t>Antes de 2026</t>
        </is>
      </c>
      <c r="D143" t="inlineStr">
        <is>
          <t>Antes de 2026</t>
        </is>
      </c>
      <c r="E143" s="28" t="n">
        <v>45775</v>
      </c>
      <c r="F143" t="inlineStr">
        <is>
          <t>NF-e</t>
        </is>
      </c>
      <c r="G143" t="inlineStr">
        <is>
          <t>000001444</t>
        </is>
      </c>
      <c r="H143" t="inlineStr">
        <is>
          <t>VAMBERTO GRANGEIRO SILVA</t>
        </is>
      </c>
      <c r="I143" t="inlineStr">
        <is>
          <t>32.185.713/0001-63</t>
        </is>
      </c>
      <c r="J143" s="29" t="n">
        <v>1950</v>
      </c>
      <c r="K143" t="inlineStr">
        <is>
          <t>1.556</t>
        </is>
      </c>
      <c r="L143" t="inlineStr">
        <is>
          <t>Não</t>
        </is>
      </c>
      <c r="M143" t="inlineStr">
        <is>
          <t>Compra/outras</t>
        </is>
      </c>
    </row>
    <row r="144">
      <c r="A144" t="inlineStr">
        <is>
          <t>NF-e sem título a pagar gerado no recebimento</t>
        </is>
      </c>
      <c r="B144" t="inlineStr">
        <is>
          <t>2.01.99 Compra de Caixas</t>
        </is>
      </c>
      <c r="C144" t="inlineStr">
        <is>
          <t>Antes de 2026</t>
        </is>
      </c>
      <c r="D144" t="inlineStr">
        <is>
          <t>Antes de 2026</t>
        </is>
      </c>
      <c r="E144" s="28" t="n">
        <v>45814</v>
      </c>
      <c r="F144" t="inlineStr">
        <is>
          <t>NF-e</t>
        </is>
      </c>
      <c r="G144" t="inlineStr">
        <is>
          <t>000001496</t>
        </is>
      </c>
      <c r="H144" t="inlineStr">
        <is>
          <t>VAMBERTO GRANGEIRO SILVA</t>
        </is>
      </c>
      <c r="I144" t="inlineStr">
        <is>
          <t>32.185.713/0001-63</t>
        </is>
      </c>
      <c r="J144" s="29" t="n">
        <v>11570</v>
      </c>
      <c r="K144" t="inlineStr">
        <is>
          <t>1.556</t>
        </is>
      </c>
      <c r="L144" t="inlineStr">
        <is>
          <t>Não</t>
        </is>
      </c>
      <c r="M144" t="inlineStr">
        <is>
          <t>Compra/outras</t>
        </is>
      </c>
    </row>
    <row r="145">
      <c r="A145" t="inlineStr">
        <is>
          <t>NF-e sem título a pagar gerado no recebimento</t>
        </is>
      </c>
      <c r="B145" t="inlineStr">
        <is>
          <t>2.01.99 Compra de Caixas</t>
        </is>
      </c>
      <c r="C145" t="inlineStr">
        <is>
          <t>Antes de 2026</t>
        </is>
      </c>
      <c r="D145" t="inlineStr">
        <is>
          <t>Antes de 2026</t>
        </is>
      </c>
      <c r="E145" s="28" t="n">
        <v>45808</v>
      </c>
      <c r="F145" t="inlineStr">
        <is>
          <t>NF-e</t>
        </is>
      </c>
      <c r="G145" t="inlineStr">
        <is>
          <t>000004090</t>
        </is>
      </c>
      <c r="H145" t="inlineStr">
        <is>
          <t>VINCO INDUSTRIA E DISTRIBUIDORA LTDA</t>
        </is>
      </c>
      <c r="I145" t="inlineStr">
        <is>
          <t>45.987.551/0001-29</t>
        </is>
      </c>
      <c r="J145" s="29" t="n">
        <v>1843.75</v>
      </c>
      <c r="K145" t="inlineStr">
        <is>
          <t>1.556</t>
        </is>
      </c>
      <c r="L145" t="inlineStr">
        <is>
          <t>Não</t>
        </is>
      </c>
      <c r="M145" t="inlineStr">
        <is>
          <t>Compra/outras</t>
        </is>
      </c>
    </row>
    <row r="146">
      <c r="A146" t="inlineStr">
        <is>
          <t>NF-e sem título a pagar gerado no recebimento</t>
        </is>
      </c>
      <c r="B146" t="inlineStr">
        <is>
          <t>2.01.99 Compra de Caixas</t>
        </is>
      </c>
      <c r="C146" t="inlineStr">
        <is>
          <t>Antes de 2026</t>
        </is>
      </c>
      <c r="D146" t="inlineStr">
        <is>
          <t>Antes de 2026</t>
        </is>
      </c>
      <c r="E146" s="28" t="n">
        <v>45808</v>
      </c>
      <c r="F146" t="inlineStr">
        <is>
          <t>NF-e</t>
        </is>
      </c>
      <c r="G146" t="inlineStr">
        <is>
          <t>000004087</t>
        </is>
      </c>
      <c r="H146" t="inlineStr">
        <is>
          <t>VINCO INDUSTRIA E DISTRIBUIDORA LTDA</t>
        </is>
      </c>
      <c r="I146" t="inlineStr">
        <is>
          <t>45.987.551/0001-29</t>
        </is>
      </c>
      <c r="J146" s="29" t="n">
        <v>4205</v>
      </c>
      <c r="K146" t="inlineStr">
        <is>
          <t>1.556</t>
        </is>
      </c>
      <c r="L146" t="inlineStr">
        <is>
          <t>Não</t>
        </is>
      </c>
      <c r="M146" t="inlineStr">
        <is>
          <t>Compra/outras</t>
        </is>
      </c>
    </row>
    <row r="147">
      <c r="A147" t="inlineStr">
        <is>
          <t>NF-e sem título a pagar gerado no recebimento</t>
        </is>
      </c>
      <c r="B147" t="inlineStr">
        <is>
          <t>2.07.05 Compra de Móveis e Utensílios</t>
        </is>
      </c>
      <c r="C147" s="30" t="n">
        <v>46023</v>
      </c>
      <c r="D147" t="inlineStr">
        <is>
          <t>Em 2026</t>
        </is>
      </c>
      <c r="E147" s="28" t="n">
        <v>46052</v>
      </c>
      <c r="F147" t="inlineStr">
        <is>
          <t>NF-e</t>
        </is>
      </c>
      <c r="G147" t="inlineStr">
        <is>
          <t>000015788</t>
        </is>
      </c>
      <c r="H147" t="inlineStr">
        <is>
          <t>BR EMBALAGENS INDUSTRIA E COMERCIO LTDA</t>
        </is>
      </c>
      <c r="I147" t="inlineStr">
        <is>
          <t>28.150.494/0001-00</t>
        </is>
      </c>
      <c r="J147" s="29" t="n">
        <v>43623</v>
      </c>
      <c r="K147" t="inlineStr">
        <is>
          <t>2.102</t>
        </is>
      </c>
      <c r="L147" t="inlineStr">
        <is>
          <t>Não</t>
        </is>
      </c>
      <c r="M147" t="inlineStr">
        <is>
          <t>Compra/outras</t>
        </is>
      </c>
    </row>
    <row r="148">
      <c r="A148" t="inlineStr">
        <is>
          <t>NF-e sem título a pagar gerado no recebimento</t>
        </is>
      </c>
      <c r="B148" t="inlineStr">
        <is>
          <t>2.01.03 Compra de Matéria Prima (Papel)</t>
        </is>
      </c>
      <c r="C148" s="30" t="n">
        <v>46023</v>
      </c>
      <c r="D148" t="inlineStr">
        <is>
          <t>Em 2026</t>
        </is>
      </c>
      <c r="E148" s="28" t="n">
        <v>46045</v>
      </c>
      <c r="F148" t="inlineStr">
        <is>
          <t>NF-e</t>
        </is>
      </c>
      <c r="G148" t="inlineStr">
        <is>
          <t>000000088</t>
        </is>
      </c>
      <c r="H148" t="inlineStr">
        <is>
          <t>COMERCIAL CASA NOVA MATERIAL DE CONSTRUCAO PB LTDA</t>
        </is>
      </c>
      <c r="I148" t="inlineStr">
        <is>
          <t>44.336.205/0001-18</t>
        </is>
      </c>
      <c r="J148" s="29" t="n">
        <v>519.22</v>
      </c>
      <c r="K148" t="inlineStr">
        <is>
          <t>1.556</t>
        </is>
      </c>
      <c r="L148" t="inlineStr">
        <is>
          <t>Não</t>
        </is>
      </c>
      <c r="M148" t="inlineStr">
        <is>
          <t>Compra/outras</t>
        </is>
      </c>
    </row>
    <row r="149">
      <c r="A149" t="inlineStr">
        <is>
          <t>NF-e sem título a pagar gerado no recebimento</t>
        </is>
      </c>
      <c r="B149" t="inlineStr">
        <is>
          <t>2.01.03 Compra de Matéria Prima (Papel)</t>
        </is>
      </c>
      <c r="C149" s="30" t="n">
        <v>46023</v>
      </c>
      <c r="D149" t="inlineStr">
        <is>
          <t>Em 2026</t>
        </is>
      </c>
      <c r="E149" s="28" t="n">
        <v>46049</v>
      </c>
      <c r="F149" t="inlineStr">
        <is>
          <t>NF-e</t>
        </is>
      </c>
      <c r="G149" t="inlineStr">
        <is>
          <t>000000089</t>
        </is>
      </c>
      <c r="H149" t="inlineStr">
        <is>
          <t>COMERCIAL CASA NOVA MATERIAL DE CONSTRUCAO PB LTDA</t>
        </is>
      </c>
      <c r="I149" t="inlineStr">
        <is>
          <t>44.336.205/0001-18</t>
        </is>
      </c>
      <c r="J149" s="29" t="n">
        <v>6300</v>
      </c>
      <c r="K149" t="inlineStr">
        <is>
          <t>1.556</t>
        </is>
      </c>
      <c r="L149" t="inlineStr">
        <is>
          <t>Não</t>
        </is>
      </c>
      <c r="M149" t="inlineStr">
        <is>
          <t>Compra/outras</t>
        </is>
      </c>
    </row>
    <row r="150">
      <c r="A150" t="inlineStr">
        <is>
          <t>NF-e sem título a pagar gerado no recebimento</t>
        </is>
      </c>
      <c r="B150" t="inlineStr">
        <is>
          <t>2.01.03 Compra de Matéria Prima (Papel)</t>
        </is>
      </c>
      <c r="C150" s="30" t="n">
        <v>46023</v>
      </c>
      <c r="D150" t="inlineStr">
        <is>
          <t>Em 2026</t>
        </is>
      </c>
      <c r="E150" s="28" t="n">
        <v>46052</v>
      </c>
      <c r="F150" t="inlineStr">
        <is>
          <t>NF-e</t>
        </is>
      </c>
      <c r="G150" t="inlineStr">
        <is>
          <t>000000090</t>
        </is>
      </c>
      <c r="H150" t="inlineStr">
        <is>
          <t>COMERCIAL CASA NOVA MATERIAL DE CONSTRUCAO PB LTDA</t>
        </is>
      </c>
      <c r="I150" t="inlineStr">
        <is>
          <t>44.336.205/0001-18</t>
        </is>
      </c>
      <c r="J150" s="29" t="n">
        <v>1638</v>
      </c>
      <c r="K150" t="inlineStr">
        <is>
          <t>1.556</t>
        </is>
      </c>
      <c r="L150" t="inlineStr">
        <is>
          <t>Não</t>
        </is>
      </c>
      <c r="M150" t="inlineStr">
        <is>
          <t>Compra/outras</t>
        </is>
      </c>
    </row>
    <row r="151">
      <c r="A151" t="inlineStr">
        <is>
          <t>NF-e sem título a pagar gerado no recebimento</t>
        </is>
      </c>
      <c r="B151" t="inlineStr">
        <is>
          <t>2.07.01 Máquinas e Equipamentos</t>
        </is>
      </c>
      <c r="C151" s="30" t="n">
        <v>46023</v>
      </c>
      <c r="D151" t="inlineStr">
        <is>
          <t>Em 2026</t>
        </is>
      </c>
      <c r="E151" s="28" t="n">
        <v>46034</v>
      </c>
      <c r="F151" t="inlineStr">
        <is>
          <t>NF-e</t>
        </is>
      </c>
      <c r="G151" t="inlineStr">
        <is>
          <t>096496138</t>
        </is>
      </c>
      <c r="H151" t="inlineStr">
        <is>
          <t>Ebazar.com.br. ltda</t>
        </is>
      </c>
      <c r="I151" t="inlineStr">
        <is>
          <t>03.007.331/0010-32</t>
        </is>
      </c>
      <c r="J151" s="29" t="n">
        <v>719.4</v>
      </c>
      <c r="K151" t="inlineStr">
        <is>
          <t>1.556</t>
        </is>
      </c>
      <c r="L151" t="inlineStr">
        <is>
          <t>Não</t>
        </is>
      </c>
      <c r="M151" t="inlineStr">
        <is>
          <t>Compra/outras</t>
        </is>
      </c>
    </row>
    <row r="152">
      <c r="A152" t="inlineStr">
        <is>
          <t>NF-e sem título a pagar gerado no recebimento</t>
        </is>
      </c>
      <c r="B152" t="inlineStr">
        <is>
          <t>2.01.87 Compra de Peças de Máquinas</t>
        </is>
      </c>
      <c r="C152" s="30" t="n">
        <v>46023</v>
      </c>
      <c r="D152" t="inlineStr">
        <is>
          <t>Em 2026</t>
        </is>
      </c>
      <c r="E152" s="28" t="n">
        <v>46049</v>
      </c>
      <c r="F152" t="inlineStr">
        <is>
          <t>NF-e</t>
        </is>
      </c>
      <c r="G152" t="inlineStr">
        <is>
          <t>000078905</t>
        </is>
      </c>
      <c r="H152" t="inlineStr">
        <is>
          <t>GENERAL BELT DO BRASIL COMERCIAL DE CORREIAS LTDA</t>
        </is>
      </c>
      <c r="I152" t="inlineStr">
        <is>
          <t>80.157.100/0001-65</t>
        </is>
      </c>
      <c r="J152" s="29" t="n">
        <v>11837.47</v>
      </c>
      <c r="K152" t="inlineStr">
        <is>
          <t>1.556</t>
        </is>
      </c>
      <c r="L152" t="inlineStr">
        <is>
          <t>Não</t>
        </is>
      </c>
      <c r="M152" t="inlineStr">
        <is>
          <t>Compra/outras</t>
        </is>
      </c>
    </row>
    <row r="153">
      <c r="A153" t="inlineStr">
        <is>
          <t>NF-e sem título a pagar gerado no recebimento</t>
        </is>
      </c>
      <c r="B153" t="inlineStr">
        <is>
          <t>2.01.03 Compra de Matéria Prima (Papel)</t>
        </is>
      </c>
      <c r="C153" s="30" t="n">
        <v>46023</v>
      </c>
      <c r="D153" t="inlineStr">
        <is>
          <t>Em 2026</t>
        </is>
      </c>
      <c r="E153" s="28" t="n">
        <v>46043</v>
      </c>
      <c r="F153" t="inlineStr">
        <is>
          <t>NF-e</t>
        </is>
      </c>
      <c r="G153" t="inlineStr">
        <is>
          <t>000056013</t>
        </is>
      </c>
      <c r="H153" t="inlineStr">
        <is>
          <t>MAQ-LAREM MAQUINAS MOVEIS E EQUIPAMENTOS LTDA</t>
        </is>
      </c>
      <c r="I153" t="inlineStr">
        <is>
          <t>40.938.508/0001-50</t>
        </is>
      </c>
      <c r="J153" s="29" t="n">
        <v>1285</v>
      </c>
      <c r="K153" t="inlineStr">
        <is>
          <t>1.556</t>
        </is>
      </c>
      <c r="L153" t="inlineStr">
        <is>
          <t>Não</t>
        </is>
      </c>
      <c r="M153" t="inlineStr">
        <is>
          <t>Compra/outras</t>
        </is>
      </c>
    </row>
    <row r="154">
      <c r="A154" t="inlineStr">
        <is>
          <t>NF-e sem título a pagar gerado no recebimento</t>
        </is>
      </c>
      <c r="B154" t="inlineStr">
        <is>
          <t>2.03.02 EndoMarketing</t>
        </is>
      </c>
      <c r="C154" s="30" t="n">
        <v>46023</v>
      </c>
      <c r="D154" t="inlineStr">
        <is>
          <t>Em 2026</t>
        </is>
      </c>
      <c r="E154" s="28" t="n">
        <v>46045</v>
      </c>
      <c r="F154" t="inlineStr">
        <is>
          <t>NF-e</t>
        </is>
      </c>
      <c r="G154" t="inlineStr">
        <is>
          <t>000007058</t>
        </is>
      </c>
      <c r="H154" t="inlineStr">
        <is>
          <t>MATEUS SUPERMERCADOS E VAREJO S.A.</t>
        </is>
      </c>
      <c r="I154" t="inlineStr">
        <is>
          <t>59.008.895/0024-40</t>
        </is>
      </c>
      <c r="J154" s="29" t="n">
        <v>565.4400000000001</v>
      </c>
      <c r="K154" t="inlineStr">
        <is>
          <t>1.556</t>
        </is>
      </c>
      <c r="L154" t="inlineStr">
        <is>
          <t>Não</t>
        </is>
      </c>
      <c r="M154" t="inlineStr">
        <is>
          <t>Compra/outras</t>
        </is>
      </c>
    </row>
    <row r="155">
      <c r="A155" t="inlineStr">
        <is>
          <t>NF-e sem título a pagar gerado no recebimento</t>
        </is>
      </c>
      <c r="B155" t="inlineStr">
        <is>
          <t>2.07.01 Máquinas e Equipamentos</t>
        </is>
      </c>
      <c r="C155" s="30" t="n">
        <v>46023</v>
      </c>
      <c r="D155" t="inlineStr">
        <is>
          <t>Em 2026</t>
        </is>
      </c>
      <c r="E155" s="28" t="n">
        <v>46043</v>
      </c>
      <c r="F155" t="inlineStr">
        <is>
          <t>NF-e</t>
        </is>
      </c>
      <c r="G155" t="inlineStr">
        <is>
          <t>002301963</t>
        </is>
      </c>
      <c r="H155" t="inlineStr">
        <is>
          <t>MULTYLOG EMPILHADEIRAS LTDA</t>
        </is>
      </c>
      <c r="I155" t="inlineStr">
        <is>
          <t>05.102.150/0001-20</t>
        </is>
      </c>
      <c r="J155" s="29" t="n">
        <v>42000</v>
      </c>
      <c r="K155" t="inlineStr">
        <is>
          <t>1.556</t>
        </is>
      </c>
      <c r="L155" t="inlineStr">
        <is>
          <t>Não</t>
        </is>
      </c>
      <c r="M155" t="inlineStr">
        <is>
          <t>Compra/outras</t>
        </is>
      </c>
    </row>
    <row r="156">
      <c r="A156" t="inlineStr">
        <is>
          <t>NF-e sem título a pagar gerado no recebimento</t>
        </is>
      </c>
      <c r="B156" t="inlineStr">
        <is>
          <t>2.01.99 Compra de Caixas</t>
        </is>
      </c>
      <c r="C156" s="30" t="n">
        <v>46023</v>
      </c>
      <c r="D156" t="inlineStr">
        <is>
          <t>Em 2026</t>
        </is>
      </c>
      <c r="E156" s="28" t="n">
        <v>46045</v>
      </c>
      <c r="F156" t="inlineStr">
        <is>
          <t>NF-e</t>
        </is>
      </c>
      <c r="G156" t="inlineStr">
        <is>
          <t>000012249</t>
        </is>
      </c>
      <c r="H156" t="inlineStr">
        <is>
          <t>NOVA CONPEL COMPANHIA NORDESTINA DE PAPEL LTDA</t>
        </is>
      </c>
      <c r="I156" t="inlineStr">
        <is>
          <t>55.330.530/0001-90</t>
        </is>
      </c>
      <c r="J156" s="29" t="n">
        <v>21093.93</v>
      </c>
      <c r="K156" t="inlineStr">
        <is>
          <t>1.102, 1.556</t>
        </is>
      </c>
      <c r="L156" t="inlineStr">
        <is>
          <t>Não</t>
        </is>
      </c>
      <c r="M156" t="inlineStr">
        <is>
          <t>Entrega futura (x.116/x.117)</t>
        </is>
      </c>
    </row>
    <row r="157">
      <c r="A157" t="inlineStr">
        <is>
          <t>NF-e sem título a pagar gerado no recebimento</t>
        </is>
      </c>
      <c r="B157" t="inlineStr">
        <is>
          <t>2.01.99 Compra de Caixas</t>
        </is>
      </c>
      <c r="C157" s="30" t="n">
        <v>46023</v>
      </c>
      <c r="D157" t="inlineStr">
        <is>
          <t>Em 2026</t>
        </is>
      </c>
      <c r="E157" s="28" t="n">
        <v>46045</v>
      </c>
      <c r="F157" t="inlineStr">
        <is>
          <t>NF-e</t>
        </is>
      </c>
      <c r="G157" t="inlineStr">
        <is>
          <t>000012250</t>
        </is>
      </c>
      <c r="H157" t="inlineStr">
        <is>
          <t>NOVA CONPEL COMPANHIA NORDESTINA DE PAPEL LTDA</t>
        </is>
      </c>
      <c r="I157" t="inlineStr">
        <is>
          <t>55.330.530/0001-90</t>
        </is>
      </c>
      <c r="J157" s="29" t="n">
        <v>5000</v>
      </c>
      <c r="K157" t="inlineStr">
        <is>
          <t>1.556</t>
        </is>
      </c>
      <c r="L157" t="inlineStr">
        <is>
          <t>Não</t>
        </is>
      </c>
      <c r="M157" t="inlineStr">
        <is>
          <t>Entrega futura (x.116/x.117)</t>
        </is>
      </c>
    </row>
    <row r="158">
      <c r="A158" t="inlineStr">
        <is>
          <t>NF-e sem título a pagar gerado no recebimento</t>
        </is>
      </c>
      <c r="B158" t="inlineStr">
        <is>
          <t>2.01.99 Compra de Caixas</t>
        </is>
      </c>
      <c r="C158" s="30" t="n">
        <v>46023</v>
      </c>
      <c r="D158" t="inlineStr">
        <is>
          <t>Em 2026</t>
        </is>
      </c>
      <c r="E158" s="28" t="n">
        <v>46048</v>
      </c>
      <c r="F158" t="inlineStr">
        <is>
          <t>NF-e</t>
        </is>
      </c>
      <c r="G158" t="inlineStr">
        <is>
          <t>000012298</t>
        </is>
      </c>
      <c r="H158" t="inlineStr">
        <is>
          <t>NOVA CONPEL COMPANHIA NORDESTINA DE PAPEL LTDA</t>
        </is>
      </c>
      <c r="I158" t="inlineStr">
        <is>
          <t>55.330.530/0001-90</t>
        </is>
      </c>
      <c r="J158" s="29" t="n">
        <v>75519.21000000001</v>
      </c>
      <c r="K158" t="inlineStr">
        <is>
          <t>1.556</t>
        </is>
      </c>
      <c r="L158" t="inlineStr">
        <is>
          <t>Não</t>
        </is>
      </c>
      <c r="M158" t="inlineStr">
        <is>
          <t>Compra/outras</t>
        </is>
      </c>
    </row>
    <row r="159">
      <c r="A159" t="inlineStr">
        <is>
          <t>NF-e sem título a pagar gerado no recebimento</t>
        </is>
      </c>
      <c r="B159" t="inlineStr">
        <is>
          <t>2.01.99 Compra de Caixas</t>
        </is>
      </c>
      <c r="C159" s="30" t="n">
        <v>46023</v>
      </c>
      <c r="D159" t="inlineStr">
        <is>
          <t>Em 2026</t>
        </is>
      </c>
      <c r="E159" s="28" t="n">
        <v>46048</v>
      </c>
      <c r="F159" t="inlineStr">
        <is>
          <t>NF-e</t>
        </is>
      </c>
      <c r="G159" t="inlineStr">
        <is>
          <t>000012300</t>
        </is>
      </c>
      <c r="H159" t="inlineStr">
        <is>
          <t>NOVA CONPEL COMPANHIA NORDESTINA DE PAPEL LTDA</t>
        </is>
      </c>
      <c r="I159" t="inlineStr">
        <is>
          <t>55.330.530/0001-90</t>
        </is>
      </c>
      <c r="J159" s="29" t="n">
        <v>2482.48</v>
      </c>
      <c r="K159" t="inlineStr">
        <is>
          <t>1.556</t>
        </is>
      </c>
      <c r="L159" t="inlineStr">
        <is>
          <t>Não</t>
        </is>
      </c>
      <c r="M159" t="inlineStr">
        <is>
          <t>Entrega futura (x.116/x.117)</t>
        </is>
      </c>
    </row>
    <row r="160">
      <c r="A160" t="inlineStr">
        <is>
          <t>NF-e sem título a pagar gerado no recebimento</t>
        </is>
      </c>
      <c r="B160" t="inlineStr">
        <is>
          <t>2.01.99 Compra de Caixas</t>
        </is>
      </c>
      <c r="C160" s="30" t="n">
        <v>46023</v>
      </c>
      <c r="D160" t="inlineStr">
        <is>
          <t>Em 2026</t>
        </is>
      </c>
      <c r="E160" s="28" t="n">
        <v>46049</v>
      </c>
      <c r="F160" t="inlineStr">
        <is>
          <t>NF-e</t>
        </is>
      </c>
      <c r="G160" t="inlineStr">
        <is>
          <t>000012325</t>
        </is>
      </c>
      <c r="H160" t="inlineStr">
        <is>
          <t>NOVA CONPEL COMPANHIA NORDESTINA DE PAPEL LTDA</t>
        </is>
      </c>
      <c r="I160" t="inlineStr">
        <is>
          <t>55.330.530/0001-90</t>
        </is>
      </c>
      <c r="J160" s="29" t="n">
        <v>24493.43</v>
      </c>
      <c r="K160" t="inlineStr">
        <is>
          <t>1.556</t>
        </is>
      </c>
      <c r="L160" t="inlineStr">
        <is>
          <t>Não</t>
        </is>
      </c>
      <c r="M160" t="inlineStr">
        <is>
          <t>Entrega futura (x.116/x.117)</t>
        </is>
      </c>
    </row>
    <row r="161">
      <c r="A161" t="inlineStr">
        <is>
          <t>NF-e sem título a pagar gerado no recebimento</t>
        </is>
      </c>
      <c r="B161" t="inlineStr">
        <is>
          <t>2.01.89 Compra de Pallet</t>
        </is>
      </c>
      <c r="C161" s="30" t="n">
        <v>46023</v>
      </c>
      <c r="D161" t="inlineStr">
        <is>
          <t>Em 2026</t>
        </is>
      </c>
      <c r="E161" s="28" t="n">
        <v>46030</v>
      </c>
      <c r="F161" t="inlineStr">
        <is>
          <t>NF-e</t>
        </is>
      </c>
      <c r="G161" t="inlineStr">
        <is>
          <t>000004082</t>
        </is>
      </c>
      <c r="H161" t="inlineStr">
        <is>
          <t>RECICLAGEM LIBERDADE LTDA</t>
        </is>
      </c>
      <c r="I161" t="inlineStr">
        <is>
          <t>11.674.191/0001-93</t>
        </is>
      </c>
      <c r="J161" s="29" t="n">
        <v>750</v>
      </c>
      <c r="K161" t="inlineStr">
        <is>
          <t>1.556</t>
        </is>
      </c>
      <c r="L161" t="inlineStr">
        <is>
          <t>Não</t>
        </is>
      </c>
      <c r="M161" t="inlineStr">
        <is>
          <t>Compra/outras</t>
        </is>
      </c>
    </row>
    <row r="162">
      <c r="A162" t="inlineStr">
        <is>
          <t>NF-e sem título a pagar gerado no recebimento</t>
        </is>
      </c>
      <c r="B162" t="inlineStr">
        <is>
          <t>2.01.85 Compra de Uso e Consumo</t>
        </is>
      </c>
      <c r="C162" s="30" t="n">
        <v>46023</v>
      </c>
      <c r="D162" t="inlineStr">
        <is>
          <t>Em 2026</t>
        </is>
      </c>
      <c r="E162" s="28" t="n">
        <v>46046</v>
      </c>
      <c r="F162" t="inlineStr">
        <is>
          <t>NF-e</t>
        </is>
      </c>
      <c r="G162" t="inlineStr">
        <is>
          <t>000007450</t>
        </is>
      </c>
      <c r="H162" t="inlineStr">
        <is>
          <t>SHARING COMERCIO E SERVICOS LTDA</t>
        </is>
      </c>
      <c r="I162" t="inlineStr">
        <is>
          <t>18.182.086/0001-86</t>
        </is>
      </c>
      <c r="J162" s="29" t="n">
        <v>665.7</v>
      </c>
      <c r="K162" t="inlineStr">
        <is>
          <t>2.102</t>
        </is>
      </c>
      <c r="L162" t="inlineStr">
        <is>
          <t>Não</t>
        </is>
      </c>
      <c r="M162" t="inlineStr">
        <is>
          <t>Compra/outras</t>
        </is>
      </c>
    </row>
    <row r="163">
      <c r="A163" t="inlineStr">
        <is>
          <t>NF-e sem título a pagar gerado no recebimento</t>
        </is>
      </c>
      <c r="B163" t="inlineStr">
        <is>
          <t>2.16.98 Aporte - Embalafoods (Sede)</t>
        </is>
      </c>
      <c r="C163" s="30" t="n">
        <v>46023</v>
      </c>
      <c r="D163" t="inlineStr">
        <is>
          <t>Em 2026</t>
        </is>
      </c>
      <c r="E163" s="28" t="n">
        <v>46029</v>
      </c>
      <c r="F163" t="inlineStr">
        <is>
          <t>NF-e</t>
        </is>
      </c>
      <c r="G163" t="inlineStr">
        <is>
          <t>000000006</t>
        </is>
      </c>
      <c r="H163" t="inlineStr">
        <is>
          <t>TREVO CIMENTO LTDA</t>
        </is>
      </c>
      <c r="I163" t="inlineStr">
        <is>
          <t>55.314.437/0001-91</t>
        </is>
      </c>
      <c r="J163" s="29" t="n">
        <v>6450</v>
      </c>
      <c r="K163" t="inlineStr">
        <is>
          <t>1.556</t>
        </is>
      </c>
      <c r="L163" t="inlineStr">
        <is>
          <t>Não</t>
        </is>
      </c>
      <c r="M163" t="inlineStr">
        <is>
          <t>Compra/outras</t>
        </is>
      </c>
    </row>
    <row r="164">
      <c r="A164" t="inlineStr">
        <is>
          <t>NF-e sem título a pagar gerado no recebimento</t>
        </is>
      </c>
      <c r="B164" t="inlineStr">
        <is>
          <t>2.01.94 Compra de Fita Adesiva</t>
        </is>
      </c>
      <c r="C164" s="30" t="n">
        <v>46054</v>
      </c>
      <c r="D164" t="inlineStr">
        <is>
          <t>Em 2026</t>
        </is>
      </c>
      <c r="E164" s="28" t="n">
        <v>46073</v>
      </c>
      <c r="F164" t="inlineStr">
        <is>
          <t>NF-e</t>
        </is>
      </c>
      <c r="G164" t="inlineStr">
        <is>
          <t>000001724</t>
        </is>
      </c>
      <c r="H164" t="inlineStr">
        <is>
          <t>B. B. A. INDUSTRIA E COMERCIO IMPORTACAO E EXPORTACAO LTDA</t>
        </is>
      </c>
      <c r="I164" t="inlineStr">
        <is>
          <t>25.247.287/0001-80</t>
        </is>
      </c>
      <c r="J164" s="29" t="n">
        <v>4826.52</v>
      </c>
      <c r="K164" t="inlineStr">
        <is>
          <t>2.102</t>
        </is>
      </c>
      <c r="L164" t="inlineStr">
        <is>
          <t>Não</t>
        </is>
      </c>
      <c r="M164" t="inlineStr">
        <is>
          <t>Compra/outras</t>
        </is>
      </c>
    </row>
    <row r="165">
      <c r="A165" t="inlineStr">
        <is>
          <t>NF-e sem título a pagar gerado no recebimento</t>
        </is>
      </c>
      <c r="B165" t="inlineStr">
        <is>
          <t>2.02.95 Brindes</t>
        </is>
      </c>
      <c r="C165" s="30" t="n">
        <v>46054</v>
      </c>
      <c r="D165" t="inlineStr">
        <is>
          <t>Em 2026</t>
        </is>
      </c>
      <c r="E165" s="28" t="n">
        <v>46065</v>
      </c>
      <c r="F165" t="inlineStr">
        <is>
          <t>NF-e</t>
        </is>
      </c>
      <c r="G165" t="inlineStr">
        <is>
          <t>000010031</t>
        </is>
      </c>
      <c r="H165" t="inlineStr">
        <is>
          <t>BENEDITO DA CRUZ BRFANZIN</t>
        </is>
      </c>
      <c r="I165" t="inlineStr">
        <is>
          <t>10.142.155/0001-16</t>
        </is>
      </c>
      <c r="J165" s="29" t="n">
        <v>1086.49</v>
      </c>
      <c r="K165" t="inlineStr">
        <is>
          <t>1.556</t>
        </is>
      </c>
      <c r="L165" t="inlineStr">
        <is>
          <t>Não</t>
        </is>
      </c>
      <c r="M165" t="inlineStr">
        <is>
          <t>Compra/outras</t>
        </is>
      </c>
    </row>
    <row r="166">
      <c r="A166" t="inlineStr">
        <is>
          <t>NF-e sem título a pagar gerado no recebimento</t>
        </is>
      </c>
      <c r="B166" t="inlineStr">
        <is>
          <t>2.01.03 Compra de Matéria Prima (Papel)</t>
        </is>
      </c>
      <c r="C166" s="30" t="n">
        <v>46054</v>
      </c>
      <c r="D166" t="inlineStr">
        <is>
          <t>Em 2026</t>
        </is>
      </c>
      <c r="E166" s="28" t="n">
        <v>46063</v>
      </c>
      <c r="F166" t="inlineStr">
        <is>
          <t>NF-e</t>
        </is>
      </c>
      <c r="G166" t="inlineStr">
        <is>
          <t>000056433</t>
        </is>
      </c>
      <c r="H166" t="inlineStr">
        <is>
          <t>MAQ-LAREM MAQUINAS MOVEIS E EQUIPAMENTOS LTDA</t>
        </is>
      </c>
      <c r="I166" t="inlineStr">
        <is>
          <t>40.938.508/0001-50</t>
        </is>
      </c>
      <c r="J166" s="29" t="n">
        <v>1960</v>
      </c>
      <c r="K166" t="inlineStr">
        <is>
          <t>1.556</t>
        </is>
      </c>
      <c r="L166" t="inlineStr">
        <is>
          <t>Não</t>
        </is>
      </c>
      <c r="M166" t="inlineStr">
        <is>
          <t>Compra/outras</t>
        </is>
      </c>
    </row>
    <row r="167">
      <c r="A167" t="inlineStr">
        <is>
          <t>NF-e sem título a pagar gerado no recebimento</t>
        </is>
      </c>
      <c r="B167" t="inlineStr">
        <is>
          <t>2.01.03 Compra de Matéria Prima (Papel)</t>
        </is>
      </c>
      <c r="C167" s="30" t="n">
        <v>46054</v>
      </c>
      <c r="D167" t="inlineStr">
        <is>
          <t>Em 2026</t>
        </is>
      </c>
      <c r="E167" s="28" t="n">
        <v>46065</v>
      </c>
      <c r="F167" t="inlineStr">
        <is>
          <t>NF-e</t>
        </is>
      </c>
      <c r="G167" t="inlineStr">
        <is>
          <t>000056514</t>
        </is>
      </c>
      <c r="H167" t="inlineStr">
        <is>
          <t>MAQ-LAREM MAQUINAS MOVEIS E EQUIPAMENTOS LTDA</t>
        </is>
      </c>
      <c r="I167" t="inlineStr">
        <is>
          <t>40.938.508/0001-50</t>
        </is>
      </c>
      <c r="J167" s="29" t="n">
        <v>3829</v>
      </c>
      <c r="K167" t="inlineStr">
        <is>
          <t>1.556</t>
        </is>
      </c>
      <c r="L167" t="inlineStr">
        <is>
          <t>Não</t>
        </is>
      </c>
      <c r="M167" t="inlineStr">
        <is>
          <t>Compra/outras</t>
        </is>
      </c>
    </row>
    <row r="168">
      <c r="A168" t="inlineStr">
        <is>
          <t>NF-e sem título a pagar gerado no recebimento</t>
        </is>
      </c>
      <c r="B168" t="inlineStr">
        <is>
          <t>2.01.02 Frete sobre Vendas</t>
        </is>
      </c>
      <c r="C168" s="30" t="n">
        <v>46054</v>
      </c>
      <c r="D168" t="inlineStr">
        <is>
          <t>Em 2026</t>
        </is>
      </c>
      <c r="E168" s="28" t="n">
        <v>46062</v>
      </c>
      <c r="F168" t="inlineStr">
        <is>
          <t>NF-e</t>
        </is>
      </c>
      <c r="G168" t="inlineStr">
        <is>
          <t>000043937</t>
        </is>
      </c>
      <c r="H168" t="inlineStr">
        <is>
          <t>MIRANDA COMPUTACAO E COMERCIO LTDA</t>
        </is>
      </c>
      <c r="I168" t="inlineStr">
        <is>
          <t>11.982.113/0011-28</t>
        </is>
      </c>
      <c r="J168" s="29" t="n">
        <v>4198</v>
      </c>
      <c r="K168" t="inlineStr">
        <is>
          <t>2.551</t>
        </is>
      </c>
      <c r="L168" t="inlineStr">
        <is>
          <t>Não</t>
        </is>
      </c>
      <c r="M168" t="inlineStr">
        <is>
          <t>Entrega futura (x.116/x.117)</t>
        </is>
      </c>
    </row>
    <row r="169">
      <c r="A169" t="inlineStr">
        <is>
          <t>NF-e sem título a pagar gerado no recebimento</t>
        </is>
      </c>
      <c r="B169" t="inlineStr">
        <is>
          <t>2.07.01 Máquinas e Equipamentos</t>
        </is>
      </c>
      <c r="C169" s="30" t="n">
        <v>46054</v>
      </c>
      <c r="D169" t="inlineStr">
        <is>
          <t>Em 2026</t>
        </is>
      </c>
      <c r="E169" s="28" t="n">
        <v>46072</v>
      </c>
      <c r="F169" t="inlineStr">
        <is>
          <t>NF-e</t>
        </is>
      </c>
      <c r="G169" t="inlineStr">
        <is>
          <t>000044172</t>
        </is>
      </c>
      <c r="H169" t="inlineStr">
        <is>
          <t>MIRANDA COMPUTACAO E COMERCIO LTDA</t>
        </is>
      </c>
      <c r="I169" t="inlineStr">
        <is>
          <t>11.982.113/0011-28</t>
        </is>
      </c>
      <c r="J169" s="29" t="n">
        <v>289</v>
      </c>
      <c r="K169" t="inlineStr">
        <is>
          <t>1.102</t>
        </is>
      </c>
      <c r="L169" t="inlineStr">
        <is>
          <t>Não</t>
        </is>
      </c>
      <c r="M169" t="inlineStr">
        <is>
          <t>Compra/outras</t>
        </is>
      </c>
    </row>
    <row r="170">
      <c r="A170" t="inlineStr">
        <is>
          <t>NF-e sem título a pagar gerado no recebimento</t>
        </is>
      </c>
      <c r="B170" t="inlineStr">
        <is>
          <t>2.01.85 Compra de Uso e Consumo</t>
        </is>
      </c>
      <c r="C170" s="30" t="n">
        <v>46054</v>
      </c>
      <c r="D170" t="inlineStr">
        <is>
          <t>Em 2026</t>
        </is>
      </c>
      <c r="E170" s="28" t="n">
        <v>46073</v>
      </c>
      <c r="F170" t="inlineStr">
        <is>
          <t>NF-e</t>
        </is>
      </c>
      <c r="G170" t="inlineStr">
        <is>
          <t>000000074</t>
        </is>
      </c>
      <c r="H170" t="inlineStr">
        <is>
          <t>MM MATERIAL DE CONSTRUCAO LTDA</t>
        </is>
      </c>
      <c r="I170" t="inlineStr">
        <is>
          <t>25.261.242/0001-60</t>
        </is>
      </c>
      <c r="J170" s="29" t="n">
        <v>32</v>
      </c>
      <c r="K170" t="inlineStr">
        <is>
          <t>1.102</t>
        </is>
      </c>
      <c r="L170" t="inlineStr">
        <is>
          <t>Não</t>
        </is>
      </c>
      <c r="M170" t="inlineStr">
        <is>
          <t>Compra/outras</t>
        </is>
      </c>
    </row>
    <row r="171">
      <c r="A171" t="inlineStr">
        <is>
          <t>NF-e sem título a pagar gerado no recebimento</t>
        </is>
      </c>
      <c r="B171" t="inlineStr">
        <is>
          <t>2.03.88 Compra de Fardamento</t>
        </is>
      </c>
      <c r="C171" s="30" t="n">
        <v>46054</v>
      </c>
      <c r="D171" t="inlineStr">
        <is>
          <t>Em 2026</t>
        </is>
      </c>
      <c r="E171" s="28" t="n">
        <v>46080</v>
      </c>
      <c r="F171" t="inlineStr">
        <is>
          <t>NF-e</t>
        </is>
      </c>
      <c r="G171" t="inlineStr">
        <is>
          <t>000000099</t>
        </is>
      </c>
      <c r="H171" t="inlineStr">
        <is>
          <t>NIVIA CARLA SILVA DE MOURA CONFECCAO</t>
        </is>
      </c>
      <c r="I171" t="inlineStr">
        <is>
          <t>19.176.115/0001-60</t>
        </is>
      </c>
      <c r="J171" s="29" t="n">
        <v>4260</v>
      </c>
      <c r="K171" t="inlineStr">
        <is>
          <t>1.556, 2.102</t>
        </is>
      </c>
      <c r="L171" t="inlineStr">
        <is>
          <t>Não</t>
        </is>
      </c>
      <c r="M171" t="inlineStr">
        <is>
          <t>Compra/outras</t>
        </is>
      </c>
    </row>
    <row r="172">
      <c r="A172" t="inlineStr">
        <is>
          <t>NF-e sem título a pagar gerado no recebimento</t>
        </is>
      </c>
      <c r="B172" t="inlineStr">
        <is>
          <t>2.01.99 Compra de Caixas</t>
        </is>
      </c>
      <c r="C172" s="30" t="n">
        <v>46054</v>
      </c>
      <c r="D172" t="inlineStr">
        <is>
          <t>Em 2026</t>
        </is>
      </c>
      <c r="E172" s="28" t="n">
        <v>46058</v>
      </c>
      <c r="F172" t="inlineStr">
        <is>
          <t>NF-e</t>
        </is>
      </c>
      <c r="G172" t="inlineStr">
        <is>
          <t>000012592</t>
        </is>
      </c>
      <c r="H172" t="inlineStr">
        <is>
          <t>NOVA CONPEL COMPANHIA NORDESTINA DE PAPEL LTDA</t>
        </is>
      </c>
      <c r="I172" t="inlineStr">
        <is>
          <t>55.330.530/0001-90</t>
        </is>
      </c>
      <c r="J172" s="29" t="n">
        <v>2894.32</v>
      </c>
      <c r="K172" t="inlineStr">
        <is>
          <t>1.556</t>
        </is>
      </c>
      <c r="L172" t="inlineStr">
        <is>
          <t>Não</t>
        </is>
      </c>
      <c r="M172" t="inlineStr">
        <is>
          <t>Entrega futura (x.116/x.117)</t>
        </is>
      </c>
    </row>
    <row r="173">
      <c r="A173" t="inlineStr">
        <is>
          <t>NF-e sem título a pagar gerado no recebimento</t>
        </is>
      </c>
      <c r="B173" t="inlineStr">
        <is>
          <t>2.01.99 Compra de Caixas</t>
        </is>
      </c>
      <c r="C173" s="30" t="n">
        <v>46054</v>
      </c>
      <c r="D173" t="inlineStr">
        <is>
          <t>Em 2026</t>
        </is>
      </c>
      <c r="E173" s="28" t="n">
        <v>46059</v>
      </c>
      <c r="F173" t="inlineStr">
        <is>
          <t>NF-e</t>
        </is>
      </c>
      <c r="G173" t="inlineStr">
        <is>
          <t>000012618</t>
        </is>
      </c>
      <c r="H173" t="inlineStr">
        <is>
          <t>NOVA CONPEL COMPANHIA NORDESTINA DE PAPEL LTDA</t>
        </is>
      </c>
      <c r="I173" t="inlineStr">
        <is>
          <t>55.330.530/0001-90</t>
        </is>
      </c>
      <c r="J173" s="29" t="n">
        <v>11063.2</v>
      </c>
      <c r="K173" t="inlineStr">
        <is>
          <t>1.556</t>
        </is>
      </c>
      <c r="L173" t="inlineStr">
        <is>
          <t>Não</t>
        </is>
      </c>
      <c r="M173" t="inlineStr">
        <is>
          <t>Entrega futura (x.116/x.117)</t>
        </is>
      </c>
    </row>
    <row r="174">
      <c r="A174" t="inlineStr">
        <is>
          <t>NF-e sem título a pagar gerado no recebimento</t>
        </is>
      </c>
      <c r="B174" t="inlineStr">
        <is>
          <t>2.01.99 Compra de Caixas</t>
        </is>
      </c>
      <c r="C174" s="30" t="n">
        <v>46054</v>
      </c>
      <c r="D174" t="inlineStr">
        <is>
          <t>Em 2026</t>
        </is>
      </c>
      <c r="E174" s="28" t="n">
        <v>46059</v>
      </c>
      <c r="F174" t="inlineStr">
        <is>
          <t>NF-e</t>
        </is>
      </c>
      <c r="G174" t="inlineStr">
        <is>
          <t>000012628</t>
        </is>
      </c>
      <c r="H174" t="inlineStr">
        <is>
          <t>NOVA CONPEL COMPANHIA NORDESTINA DE PAPEL LTDA</t>
        </is>
      </c>
      <c r="I174" t="inlineStr">
        <is>
          <t>55.330.530/0001-90</t>
        </is>
      </c>
      <c r="J174" s="29" t="n">
        <v>979.55</v>
      </c>
      <c r="K174" t="inlineStr">
        <is>
          <t>1.556</t>
        </is>
      </c>
      <c r="L174" t="inlineStr">
        <is>
          <t>Não</t>
        </is>
      </c>
      <c r="M174" t="inlineStr">
        <is>
          <t>Entrega futura (x.116/x.117)</t>
        </is>
      </c>
    </row>
    <row r="175">
      <c r="A175" t="inlineStr">
        <is>
          <t>NF-e sem título a pagar gerado no recebimento</t>
        </is>
      </c>
      <c r="B175" t="inlineStr">
        <is>
          <t>2.01.99 Compra de Caixas</t>
        </is>
      </c>
      <c r="C175" s="30" t="n">
        <v>46054</v>
      </c>
      <c r="D175" t="inlineStr">
        <is>
          <t>Em 2026</t>
        </is>
      </c>
      <c r="E175" s="28" t="n">
        <v>46064</v>
      </c>
      <c r="F175" t="inlineStr">
        <is>
          <t>NF-e</t>
        </is>
      </c>
      <c r="G175" t="inlineStr">
        <is>
          <t>000012737</t>
        </is>
      </c>
      <c r="H175" t="inlineStr">
        <is>
          <t>NOVA CONPEL COMPANHIA NORDESTINA DE PAPEL LTDA</t>
        </is>
      </c>
      <c r="I175" t="inlineStr">
        <is>
          <t>55.330.530/0001-90</t>
        </is>
      </c>
      <c r="J175" s="29" t="n">
        <v>2038.47</v>
      </c>
      <c r="K175" t="inlineStr">
        <is>
          <t>1.556</t>
        </is>
      </c>
      <c r="L175" t="inlineStr">
        <is>
          <t>Não</t>
        </is>
      </c>
      <c r="M175" t="inlineStr">
        <is>
          <t>Entrega futura (x.116/x.117)</t>
        </is>
      </c>
    </row>
    <row r="176">
      <c r="A176" t="inlineStr">
        <is>
          <t>NF-e sem título a pagar gerado no recebimento</t>
        </is>
      </c>
      <c r="B176" t="inlineStr">
        <is>
          <t>2.01.99 Compra de Caixas</t>
        </is>
      </c>
      <c r="C176" s="30" t="n">
        <v>46054</v>
      </c>
      <c r="D176" t="inlineStr">
        <is>
          <t>Em 2026</t>
        </is>
      </c>
      <c r="E176" s="28" t="n">
        <v>46065</v>
      </c>
      <c r="F176" t="inlineStr">
        <is>
          <t>NF-e</t>
        </is>
      </c>
      <c r="G176" t="inlineStr">
        <is>
          <t>000012787</t>
        </is>
      </c>
      <c r="H176" t="inlineStr">
        <is>
          <t>NOVA CONPEL COMPANHIA NORDESTINA DE PAPEL LTDA</t>
        </is>
      </c>
      <c r="I176" t="inlineStr">
        <is>
          <t>55.330.530/0001-90</t>
        </is>
      </c>
      <c r="J176" s="29" t="n">
        <v>16862.74</v>
      </c>
      <c r="K176" t="inlineStr">
        <is>
          <t>1.556</t>
        </is>
      </c>
      <c r="L176" t="inlineStr">
        <is>
          <t>Não</t>
        </is>
      </c>
      <c r="M176" t="inlineStr">
        <is>
          <t>Entrega futura (x.116/x.117)</t>
        </is>
      </c>
    </row>
    <row r="177">
      <c r="A177" t="inlineStr">
        <is>
          <t>NF-e sem título a pagar gerado no recebimento</t>
        </is>
      </c>
      <c r="B177" t="inlineStr">
        <is>
          <t>2.01.99 Compra de Caixas</t>
        </is>
      </c>
      <c r="C177" s="30" t="n">
        <v>46054</v>
      </c>
      <c r="D177" t="inlineStr">
        <is>
          <t>Em 2026</t>
        </is>
      </c>
      <c r="E177" s="28" t="n">
        <v>46069</v>
      </c>
      <c r="F177" t="inlineStr">
        <is>
          <t>NF-e</t>
        </is>
      </c>
      <c r="G177" t="inlineStr">
        <is>
          <t>000012848</t>
        </is>
      </c>
      <c r="H177" t="inlineStr">
        <is>
          <t>NOVA CONPEL COMPANHIA NORDESTINA DE PAPEL LTDA</t>
        </is>
      </c>
      <c r="I177" t="inlineStr">
        <is>
          <t>55.330.530/0001-90</t>
        </is>
      </c>
      <c r="J177" s="29" t="n">
        <v>6269.12</v>
      </c>
      <c r="K177" t="inlineStr">
        <is>
          <t>1.556</t>
        </is>
      </c>
      <c r="L177" t="inlineStr">
        <is>
          <t>Não</t>
        </is>
      </c>
      <c r="M177" t="inlineStr">
        <is>
          <t>Entrega futura (x.116/x.117)</t>
        </is>
      </c>
    </row>
    <row r="178">
      <c r="A178" t="inlineStr">
        <is>
          <t>NF-e sem título a pagar gerado no recebimento</t>
        </is>
      </c>
      <c r="B178" t="inlineStr">
        <is>
          <t>2.01.03 Compra de Matéria Prima (Papel)</t>
        </is>
      </c>
      <c r="C178" s="30" t="n">
        <v>46054</v>
      </c>
      <c r="D178" t="inlineStr">
        <is>
          <t>Em 2026</t>
        </is>
      </c>
      <c r="E178" s="28" t="n">
        <v>46081</v>
      </c>
      <c r="F178" t="inlineStr">
        <is>
          <t>NF-e</t>
        </is>
      </c>
      <c r="G178" t="inlineStr">
        <is>
          <t>000175195</t>
        </is>
      </c>
      <c r="H178" t="inlineStr">
        <is>
          <t>SANTA MARIA CIA DE PAPEL E CELULOSE</t>
        </is>
      </c>
      <c r="I178" t="inlineStr">
        <is>
          <t>77.887.917/0001-84</t>
        </is>
      </c>
      <c r="J178" s="29" t="n">
        <v>291760.59</v>
      </c>
      <c r="K178" t="inlineStr">
        <is>
          <t>2.102</t>
        </is>
      </c>
      <c r="L178" t="inlineStr">
        <is>
          <t>Não</t>
        </is>
      </c>
      <c r="M178" t="inlineStr">
        <is>
          <t>Compra/outras</t>
        </is>
      </c>
    </row>
    <row r="179">
      <c r="A179" t="inlineStr">
        <is>
          <t>NF-e sem título a pagar gerado no recebimento</t>
        </is>
      </c>
      <c r="B179" t="inlineStr">
        <is>
          <t>2.01.88 Manutenção e Conservação de Máquina</t>
        </is>
      </c>
      <c r="C179" s="30" t="n">
        <v>46054</v>
      </c>
      <c r="D179" t="inlineStr">
        <is>
          <t>Em 2026</t>
        </is>
      </c>
      <c r="E179" s="28" t="n">
        <v>46072</v>
      </c>
      <c r="F179" t="inlineStr">
        <is>
          <t>NF-e</t>
        </is>
      </c>
      <c r="G179" t="inlineStr">
        <is>
          <t>000102907</t>
        </is>
      </c>
      <c r="H179" t="inlineStr">
        <is>
          <t>TROPICAL IMPORT IND COM IMP AQUARIO LTDA</t>
        </is>
      </c>
      <c r="I179" t="inlineStr">
        <is>
          <t>12.152.638/0001-27</t>
        </is>
      </c>
      <c r="J179" s="29" t="n">
        <v>4600</v>
      </c>
      <c r="K179" t="inlineStr">
        <is>
          <t>1.556</t>
        </is>
      </c>
      <c r="L179" t="inlineStr">
        <is>
          <t>Não</t>
        </is>
      </c>
      <c r="M179" t="inlineStr">
        <is>
          <t>Compra/outras</t>
        </is>
      </c>
    </row>
    <row r="180">
      <c r="A180" t="inlineStr">
        <is>
          <t>NF-e sem título a pagar gerado no recebimento</t>
        </is>
      </c>
      <c r="B180" t="inlineStr">
        <is>
          <t>2.01.85 Compra de Uso e Consumo</t>
        </is>
      </c>
      <c r="C180" s="30" t="n">
        <v>46054</v>
      </c>
      <c r="D180" t="inlineStr">
        <is>
          <t>Em 2026</t>
        </is>
      </c>
      <c r="E180" s="28" t="n">
        <v>46071</v>
      </c>
      <c r="F180" t="inlineStr">
        <is>
          <t>NF-e</t>
        </is>
      </c>
      <c r="G180" t="inlineStr">
        <is>
          <t>000030824</t>
        </is>
      </c>
      <c r="H180" t="inlineStr">
        <is>
          <t>VIEIRA ACO INDUSTRIA e COMERCIO LTDA</t>
        </is>
      </c>
      <c r="I180" t="inlineStr">
        <is>
          <t>12.281.632/0011-21</t>
        </is>
      </c>
      <c r="J180" s="29" t="n">
        <v>144.5</v>
      </c>
      <c r="K180" t="inlineStr">
        <is>
          <t>1.556</t>
        </is>
      </c>
      <c r="L180" t="inlineStr">
        <is>
          <t>Não</t>
        </is>
      </c>
      <c r="M180" t="inlineStr">
        <is>
          <t>Compra/outras</t>
        </is>
      </c>
    </row>
    <row r="181">
      <c r="A181" t="inlineStr">
        <is>
          <t>NF-e sem título a pagar gerado no recebimento</t>
        </is>
      </c>
      <c r="B181" t="inlineStr">
        <is>
          <t>2.01.85 Compra de Uso e Consumo</t>
        </is>
      </c>
      <c r="C181" s="30" t="n">
        <v>46054</v>
      </c>
      <c r="D181" t="inlineStr">
        <is>
          <t>Em 2026</t>
        </is>
      </c>
      <c r="E181" s="28" t="n">
        <v>46072</v>
      </c>
      <c r="F181" t="inlineStr">
        <is>
          <t>NF-e</t>
        </is>
      </c>
      <c r="G181" t="inlineStr">
        <is>
          <t>000030873</t>
        </is>
      </c>
      <c r="H181" t="inlineStr">
        <is>
          <t>VIEIRA ACO INDUSTRIA e COMERCIO LTDA</t>
        </is>
      </c>
      <c r="I181" t="inlineStr">
        <is>
          <t>12.281.632/0011-21</t>
        </is>
      </c>
      <c r="J181" s="29" t="n">
        <v>144.5</v>
      </c>
      <c r="K181" t="inlineStr">
        <is>
          <t>1.556</t>
        </is>
      </c>
      <c r="L181" t="inlineStr">
        <is>
          <t>Não</t>
        </is>
      </c>
      <c r="M181" t="inlineStr">
        <is>
          <t>Compra/outras</t>
        </is>
      </c>
    </row>
    <row r="182">
      <c r="A182" t="inlineStr">
        <is>
          <t>NF-e sem título a pagar gerado no recebimento</t>
        </is>
      </c>
      <c r="B182" t="inlineStr">
        <is>
          <t>2.01.85 Compra de Uso e Consumo</t>
        </is>
      </c>
      <c r="C182" s="30" t="n">
        <v>46054</v>
      </c>
      <c r="D182" t="inlineStr">
        <is>
          <t>Em 2026</t>
        </is>
      </c>
      <c r="E182" s="28" t="n">
        <v>46077</v>
      </c>
      <c r="F182" t="inlineStr">
        <is>
          <t>NF-e</t>
        </is>
      </c>
      <c r="G182" t="inlineStr">
        <is>
          <t>000031006</t>
        </is>
      </c>
      <c r="H182" t="inlineStr">
        <is>
          <t>VIEIRA ACO INDUSTRIA e COMERCIO LTDA</t>
        </is>
      </c>
      <c r="I182" t="inlineStr">
        <is>
          <t>12.281.632/0011-21</t>
        </is>
      </c>
      <c r="J182" s="29" t="n">
        <v>144.5</v>
      </c>
      <c r="K182" t="inlineStr">
        <is>
          <t>1.556</t>
        </is>
      </c>
      <c r="L182" t="inlineStr">
        <is>
          <t>Não</t>
        </is>
      </c>
      <c r="M182" t="inlineStr">
        <is>
          <t>Compra/outras</t>
        </is>
      </c>
    </row>
    <row r="183">
      <c r="A183" t="inlineStr">
        <is>
          <t>NF-e sem título a pagar gerado no recebimento</t>
        </is>
      </c>
      <c r="B183" t="inlineStr">
        <is>
          <t>2.01.85 Compra de Uso e Consumo</t>
        </is>
      </c>
      <c r="C183" s="30" t="n">
        <v>46054</v>
      </c>
      <c r="D183" t="inlineStr">
        <is>
          <t>Em 2026</t>
        </is>
      </c>
      <c r="E183" s="28" t="n">
        <v>46079</v>
      </c>
      <c r="F183" t="inlineStr">
        <is>
          <t>NF-e</t>
        </is>
      </c>
      <c r="G183" t="inlineStr">
        <is>
          <t>000031094</t>
        </is>
      </c>
      <c r="H183" t="inlineStr">
        <is>
          <t>VIEIRA ACO INDUSTRIA e COMERCIO LTDA</t>
        </is>
      </c>
      <c r="I183" t="inlineStr">
        <is>
          <t>12.281.632/0011-21</t>
        </is>
      </c>
      <c r="J183" s="29" t="n">
        <v>144.5</v>
      </c>
      <c r="K183" t="inlineStr">
        <is>
          <t>1.556</t>
        </is>
      </c>
      <c r="L183" t="inlineStr">
        <is>
          <t>Não</t>
        </is>
      </c>
      <c r="M183" t="inlineStr">
        <is>
          <t>Compra/outras</t>
        </is>
      </c>
    </row>
    <row r="184">
      <c r="A184" t="inlineStr">
        <is>
          <t>NF-e sem título a pagar gerado no recebimento</t>
        </is>
      </c>
      <c r="B184" t="inlineStr">
        <is>
          <t>2.01.03 Compra de Matéria Prima (Papel)</t>
        </is>
      </c>
      <c r="C184" s="30" t="n">
        <v>46082</v>
      </c>
      <c r="D184" t="inlineStr">
        <is>
          <t>Em 2026</t>
        </is>
      </c>
      <c r="E184" s="28" t="n">
        <v>46089</v>
      </c>
      <c r="F184" t="inlineStr">
        <is>
          <t>NF-e</t>
        </is>
      </c>
      <c r="G184" t="inlineStr">
        <is>
          <t>000012496</t>
        </is>
      </c>
      <c r="H184" t="inlineStr">
        <is>
          <t>CMPC Iguacu Embalagens Ltda</t>
        </is>
      </c>
      <c r="I184" t="inlineStr">
        <is>
          <t>11.308.600/0008-04</t>
        </is>
      </c>
      <c r="J184" s="29" t="n">
        <v>3042.67</v>
      </c>
      <c r="K184" t="inlineStr">
        <is>
          <t>2.101</t>
        </is>
      </c>
      <c r="L184" t="inlineStr">
        <is>
          <t>Não</t>
        </is>
      </c>
      <c r="M184" t="inlineStr">
        <is>
          <t>Venda à ordem (x.118 a x.120, x.923)</t>
        </is>
      </c>
    </row>
    <row r="185">
      <c r="A185" t="inlineStr">
        <is>
          <t>NF-e sem título a pagar gerado no recebimento</t>
        </is>
      </c>
      <c r="B185" t="inlineStr">
        <is>
          <t>2.01.03 Compra de Matéria Prima (Papel)</t>
        </is>
      </c>
      <c r="C185" s="30" t="n">
        <v>46082</v>
      </c>
      <c r="D185" t="inlineStr">
        <is>
          <t>Em 2026</t>
        </is>
      </c>
      <c r="E185" s="28" t="n">
        <v>46100</v>
      </c>
      <c r="F185" t="inlineStr">
        <is>
          <t>NF-e</t>
        </is>
      </c>
      <c r="G185" t="inlineStr">
        <is>
          <t>000000096</t>
        </is>
      </c>
      <c r="H185" t="inlineStr">
        <is>
          <t>COMERCIAL CASA NOVA MATERIAL DE CONSTRUCAO PB LTDA</t>
        </is>
      </c>
      <c r="I185" t="inlineStr">
        <is>
          <t>44.336.205/0001-18</t>
        </is>
      </c>
      <c r="J185" s="29" t="n">
        <v>560</v>
      </c>
      <c r="K185" t="inlineStr">
        <is>
          <t>1.556</t>
        </is>
      </c>
      <c r="L185" t="inlineStr">
        <is>
          <t>Não</t>
        </is>
      </c>
      <c r="M185" t="inlineStr">
        <is>
          <t>Compra/outras</t>
        </is>
      </c>
    </row>
    <row r="186">
      <c r="A186" t="inlineStr">
        <is>
          <t>NF-e sem título a pagar gerado no recebimento</t>
        </is>
      </c>
      <c r="B186" t="inlineStr">
        <is>
          <t>2.01.92 Compra de Tinta</t>
        </is>
      </c>
      <c r="C186" s="30" t="n">
        <v>46082</v>
      </c>
      <c r="D186" t="inlineStr">
        <is>
          <t>Em 2026</t>
        </is>
      </c>
      <c r="E186" s="28" t="n">
        <v>46112</v>
      </c>
      <c r="F186" t="inlineStr">
        <is>
          <t>NF-e</t>
        </is>
      </c>
      <c r="G186" t="inlineStr">
        <is>
          <t>000015944</t>
        </is>
      </c>
      <c r="H186" t="inlineStr">
        <is>
          <t>FITTYCOR - INDUSTRIA E COMERCIO DE TINTAS ESPECIAIS LTDA</t>
        </is>
      </c>
      <c r="I186" t="inlineStr">
        <is>
          <t>53.071.692/0001-25</t>
        </is>
      </c>
      <c r="J186" s="29" t="n">
        <v>39869</v>
      </c>
      <c r="K186" t="inlineStr">
        <is>
          <t>2.101</t>
        </is>
      </c>
      <c r="L186" t="inlineStr">
        <is>
          <t>Não</t>
        </is>
      </c>
      <c r="M186" t="inlineStr">
        <is>
          <t>Compra/outras</t>
        </is>
      </c>
    </row>
    <row r="187">
      <c r="A187" t="inlineStr">
        <is>
          <t>NF-e sem título a pagar gerado no recebimento</t>
        </is>
      </c>
      <c r="B187" t="inlineStr">
        <is>
          <t>2.01.03 Compra de Matéria Prima (Papel)</t>
        </is>
      </c>
      <c r="C187" s="30" t="n">
        <v>46082</v>
      </c>
      <c r="D187" t="inlineStr">
        <is>
          <t>Em 2026</t>
        </is>
      </c>
      <c r="E187" s="28" t="n">
        <v>46092</v>
      </c>
      <c r="F187" t="inlineStr">
        <is>
          <t>NF-e</t>
        </is>
      </c>
      <c r="G187" t="inlineStr">
        <is>
          <t>000057102</t>
        </is>
      </c>
      <c r="H187" t="inlineStr">
        <is>
          <t>MAQ-LAREM MAQUINAS MOVEIS E EQUIPAMENTOS LTDA</t>
        </is>
      </c>
      <c r="I187" t="inlineStr">
        <is>
          <t>40.938.508/0001-50</t>
        </is>
      </c>
      <c r="J187" s="29" t="n">
        <v>1699.23</v>
      </c>
      <c r="K187" t="inlineStr">
        <is>
          <t>1.556</t>
        </is>
      </c>
      <c r="L187" t="inlineStr">
        <is>
          <t>Não</t>
        </is>
      </c>
      <c r="M187" t="inlineStr">
        <is>
          <t>Compra/outras</t>
        </is>
      </c>
    </row>
    <row r="188">
      <c r="A188" t="inlineStr">
        <is>
          <t>NF-e sem título a pagar gerado no recebimento</t>
        </is>
      </c>
      <c r="B188" t="inlineStr">
        <is>
          <t>2.01.85 Compra de Uso e Consumo</t>
        </is>
      </c>
      <c r="C188" s="30" t="n">
        <v>46082</v>
      </c>
      <c r="D188" t="inlineStr">
        <is>
          <t>Em 2026</t>
        </is>
      </c>
      <c r="E188" s="28" t="n">
        <v>46085</v>
      </c>
      <c r="F188" t="inlineStr">
        <is>
          <t>NF-e</t>
        </is>
      </c>
      <c r="G188" t="inlineStr">
        <is>
          <t>000031255</t>
        </is>
      </c>
      <c r="H188" t="inlineStr">
        <is>
          <t>VIEIRA ACO INDUSTRIA e COMERCIO LTDA</t>
        </is>
      </c>
      <c r="I188" t="inlineStr">
        <is>
          <t>12.281.632/0011-21</t>
        </is>
      </c>
      <c r="J188" s="29" t="n">
        <v>354</v>
      </c>
      <c r="K188" t="inlineStr">
        <is>
          <t>1.556</t>
        </is>
      </c>
      <c r="L188" t="inlineStr">
        <is>
          <t>Não</t>
        </is>
      </c>
      <c r="M188" t="inlineStr">
        <is>
          <t>Compra/outras</t>
        </is>
      </c>
    </row>
    <row r="189">
      <c r="A189" t="inlineStr">
        <is>
          <t>NF-e sem título a pagar gerado no recebimento</t>
        </is>
      </c>
      <c r="B189" t="inlineStr">
        <is>
          <t>2.01.85 Compra de Uso e Consumo</t>
        </is>
      </c>
      <c r="C189" s="30" t="n">
        <v>46082</v>
      </c>
      <c r="D189" t="inlineStr">
        <is>
          <t>Em 2026</t>
        </is>
      </c>
      <c r="E189" s="28" t="n">
        <v>46090</v>
      </c>
      <c r="F189" t="inlineStr">
        <is>
          <t>NF-e</t>
        </is>
      </c>
      <c r="G189" t="inlineStr">
        <is>
          <t>000031368</t>
        </is>
      </c>
      <c r="H189" t="inlineStr">
        <is>
          <t>VIEIRA ACO INDUSTRIA e COMERCIO LTDA</t>
        </is>
      </c>
      <c r="I189" t="inlineStr">
        <is>
          <t>12.281.632/0011-21</t>
        </is>
      </c>
      <c r="J189" s="29" t="n">
        <v>354</v>
      </c>
      <c r="K189" t="inlineStr">
        <is>
          <t>1.556</t>
        </is>
      </c>
      <c r="L189" t="inlineStr">
        <is>
          <t>Não</t>
        </is>
      </c>
      <c r="M189" t="inlineStr">
        <is>
          <t>Compra/outras</t>
        </is>
      </c>
    </row>
    <row r="190">
      <c r="A190" t="inlineStr">
        <is>
          <t>NF-e sem título a pagar gerado no recebimento</t>
        </is>
      </c>
      <c r="B190" t="inlineStr">
        <is>
          <t>2.07.01 Máquinas e Equipamentos</t>
        </is>
      </c>
      <c r="C190" s="30" t="n">
        <v>46113</v>
      </c>
      <c r="D190" t="inlineStr">
        <is>
          <t>Em 2026</t>
        </is>
      </c>
      <c r="E190" s="28" t="n">
        <v>46122</v>
      </c>
      <c r="F190" t="inlineStr">
        <is>
          <t>NF-e</t>
        </is>
      </c>
      <c r="G190" t="inlineStr">
        <is>
          <t>000019575</t>
        </is>
      </c>
      <c r="H190" t="inlineStr">
        <is>
          <t>B. B. A. INDUSTRIA E COMERCIO IMPORTACAO E EXPORTACAO LTDA</t>
        </is>
      </c>
      <c r="I190" t="inlineStr">
        <is>
          <t>25.247.287/0003-41</t>
        </is>
      </c>
      <c r="J190" s="29" t="n">
        <v>82900</v>
      </c>
      <c r="K190" t="inlineStr">
        <is>
          <t>2.556</t>
        </is>
      </c>
      <c r="L190" t="inlineStr">
        <is>
          <t>Não</t>
        </is>
      </c>
      <c r="M190" t="inlineStr">
        <is>
          <t>Compra/outras</t>
        </is>
      </c>
    </row>
    <row r="191">
      <c r="A191" t="inlineStr">
        <is>
          <t>NF-e sem título a pagar gerado no recebimento</t>
        </is>
      </c>
      <c r="B191" t="inlineStr">
        <is>
          <t>2.04.06 Material de Escritório</t>
        </is>
      </c>
      <c r="C191" s="30" t="n">
        <v>46113</v>
      </c>
      <c r="D191" t="inlineStr">
        <is>
          <t>Em 2026</t>
        </is>
      </c>
      <c r="E191" s="28" t="n">
        <v>46139</v>
      </c>
      <c r="F191" t="inlineStr">
        <is>
          <t>NF-e</t>
        </is>
      </c>
      <c r="G191" t="inlineStr">
        <is>
          <t>000743116</t>
        </is>
      </c>
      <c r="H191" t="inlineStr">
        <is>
          <t>DISTRIBUIDORA DE ALIMENTOS GALDINO</t>
        </is>
      </c>
      <c r="I191" t="inlineStr">
        <is>
          <t>08.208.024/0001-42</t>
        </is>
      </c>
      <c r="J191" s="29" t="n">
        <v>368.28</v>
      </c>
      <c r="K191" t="inlineStr">
        <is>
          <t>1.556</t>
        </is>
      </c>
      <c r="L191" t="inlineStr">
        <is>
          <t>Não</t>
        </is>
      </c>
      <c r="M191" t="inlineStr">
        <is>
          <t>Compra/outras</t>
        </is>
      </c>
    </row>
    <row r="192">
      <c r="A192" t="inlineStr">
        <is>
          <t>NF-e sem título a pagar gerado no recebimento</t>
        </is>
      </c>
      <c r="B192" t="inlineStr">
        <is>
          <t>2.04.87 Frete sobre Compra</t>
        </is>
      </c>
      <c r="C192" s="30" t="n">
        <v>46113</v>
      </c>
      <c r="D192" t="inlineStr">
        <is>
          <t>Em 2026</t>
        </is>
      </c>
      <c r="E192" s="28" t="n">
        <v>46141</v>
      </c>
      <c r="F192" t="inlineStr">
        <is>
          <t>NF-e</t>
        </is>
      </c>
      <c r="G192" t="inlineStr">
        <is>
          <t>000012281</t>
        </is>
      </c>
      <c r="H192" t="inlineStr">
        <is>
          <t>E. M. AMARAL - MAQUINAS E FERRAMENTAS LTDA</t>
        </is>
      </c>
      <c r="I192" t="inlineStr">
        <is>
          <t>25.114.989/0001-95</t>
        </is>
      </c>
      <c r="J192" s="29" t="n">
        <v>4519.22</v>
      </c>
      <c r="K192" t="inlineStr">
        <is>
          <t>2.556</t>
        </is>
      </c>
      <c r="L192" t="inlineStr">
        <is>
          <t>Não</t>
        </is>
      </c>
      <c r="M192" t="inlineStr">
        <is>
          <t>Compra/outras</t>
        </is>
      </c>
    </row>
    <row r="193">
      <c r="A193" t="inlineStr">
        <is>
          <t>NF-e sem título a pagar gerado no recebimento</t>
        </is>
      </c>
      <c r="B193" t="inlineStr">
        <is>
          <t>2.01.92 Compra de Tinta</t>
        </is>
      </c>
      <c r="C193" s="30" t="n">
        <v>46113</v>
      </c>
      <c r="D193" t="inlineStr">
        <is>
          <t>Em 2026</t>
        </is>
      </c>
      <c r="E193" s="28" t="n">
        <v>46129</v>
      </c>
      <c r="F193" t="inlineStr">
        <is>
          <t>NF-e</t>
        </is>
      </c>
      <c r="G193" t="inlineStr">
        <is>
          <t>000016027</t>
        </is>
      </c>
      <c r="H193" t="inlineStr">
        <is>
          <t>FITTYCOR - INDUSTRIA E COMERCIO DE TINTAS ESPECIAIS LTDA</t>
        </is>
      </c>
      <c r="I193" t="inlineStr">
        <is>
          <t>53.071.692/0001-25</t>
        </is>
      </c>
      <c r="J193" s="29" t="n">
        <v>111634.2</v>
      </c>
      <c r="K193" t="inlineStr">
        <is>
          <t>2.101</t>
        </is>
      </c>
      <c r="L193" t="inlineStr">
        <is>
          <t>Não</t>
        </is>
      </c>
      <c r="M193" t="inlineStr">
        <is>
          <t>Compra/outras</t>
        </is>
      </c>
    </row>
    <row r="194">
      <c r="A194" t="inlineStr">
        <is>
          <t>NF-e sem título a pagar gerado no recebimento</t>
        </is>
      </c>
      <c r="B194" t="inlineStr">
        <is>
          <t>2.01.92 Compra de Tinta</t>
        </is>
      </c>
      <c r="C194" s="30" t="n">
        <v>46113</v>
      </c>
      <c r="D194" t="inlineStr">
        <is>
          <t>Em 2026</t>
        </is>
      </c>
      <c r="E194" s="28" t="n">
        <v>46142</v>
      </c>
      <c r="F194" t="inlineStr">
        <is>
          <t>NF-e</t>
        </is>
      </c>
      <c r="G194" t="inlineStr">
        <is>
          <t>000016064</t>
        </is>
      </c>
      <c r="H194" t="inlineStr">
        <is>
          <t>FITTYCOR - INDUSTRIA E COMERCIO DE TINTAS ESPECIAIS LTDA</t>
        </is>
      </c>
      <c r="I194" t="inlineStr">
        <is>
          <t>53.071.692/0001-25</t>
        </is>
      </c>
      <c r="J194" s="29" t="n">
        <v>111032.8</v>
      </c>
      <c r="K194" t="inlineStr">
        <is>
          <t>1.556</t>
        </is>
      </c>
      <c r="L194" t="inlineStr">
        <is>
          <t>Não</t>
        </is>
      </c>
      <c r="M194" t="inlineStr">
        <is>
          <t>Compra/outras</t>
        </is>
      </c>
    </row>
    <row r="195">
      <c r="A195" t="inlineStr">
        <is>
          <t>NF-e sem título a pagar gerado no recebimento</t>
        </is>
      </c>
      <c r="B195" t="inlineStr">
        <is>
          <t>2.07.01 Máquinas e Equipamentos</t>
        </is>
      </c>
      <c r="C195" s="30" t="n">
        <v>46113</v>
      </c>
      <c r="D195" t="inlineStr">
        <is>
          <t>Em 2026</t>
        </is>
      </c>
      <c r="E195" s="28" t="n">
        <v>46122</v>
      </c>
      <c r="F195" t="inlineStr">
        <is>
          <t>NF-e</t>
        </is>
      </c>
      <c r="G195" t="inlineStr">
        <is>
          <t>000071759</t>
        </is>
      </c>
      <c r="H195" t="inlineStr">
        <is>
          <t>FURNAX COMERCIAL E IMPORTADORA EIRELI</t>
        </is>
      </c>
      <c r="I195" t="inlineStr">
        <is>
          <t>00.144.257/0001-17</t>
        </is>
      </c>
      <c r="J195" s="29" t="n">
        <v>2817291.78</v>
      </c>
      <c r="K195" t="inlineStr">
        <is>
          <t>2.551</t>
        </is>
      </c>
      <c r="L195" t="inlineStr">
        <is>
          <t>Não</t>
        </is>
      </c>
      <c r="M195" t="inlineStr">
        <is>
          <t>Compra/outras</t>
        </is>
      </c>
    </row>
    <row r="196">
      <c r="A196" t="inlineStr">
        <is>
          <t>NF-e sem título a pagar gerado no recebimento</t>
        </is>
      </c>
      <c r="B196" t="inlineStr">
        <is>
          <t>2.01.03 Compra de Matéria Prima (Papel)</t>
        </is>
      </c>
      <c r="C196" s="30" t="n">
        <v>46113</v>
      </c>
      <c r="D196" t="inlineStr">
        <is>
          <t>Em 2026</t>
        </is>
      </c>
      <c r="E196" s="28" t="n">
        <v>46136</v>
      </c>
      <c r="F196" t="inlineStr">
        <is>
          <t>NF-e</t>
        </is>
      </c>
      <c r="G196" t="inlineStr">
        <is>
          <t>000176475</t>
        </is>
      </c>
      <c r="H196" t="inlineStr">
        <is>
          <t>SANTA MARIA CIA DE PAPEL E CELULOSE</t>
        </is>
      </c>
      <c r="I196" t="inlineStr">
        <is>
          <t>77.887.917/0001-84</t>
        </is>
      </c>
      <c r="J196" s="29" t="n">
        <v>357531.68</v>
      </c>
      <c r="K196" t="inlineStr">
        <is>
          <t>2.102</t>
        </is>
      </c>
      <c r="L196" t="inlineStr">
        <is>
          <t>Não</t>
        </is>
      </c>
      <c r="M196" t="inlineStr">
        <is>
          <t>Compra/outras</t>
        </is>
      </c>
    </row>
    <row r="197">
      <c r="A197" t="inlineStr">
        <is>
          <t>NF-e sem título a pagar gerado no recebimento</t>
        </is>
      </c>
      <c r="B197" t="inlineStr">
        <is>
          <t>2.03.02 EndoMarketing</t>
        </is>
      </c>
      <c r="C197" s="30" t="n">
        <v>46143</v>
      </c>
      <c r="D197" t="inlineStr">
        <is>
          <t>Em 2026</t>
        </is>
      </c>
      <c r="E197" s="28" t="n">
        <v>46153</v>
      </c>
      <c r="F197" t="inlineStr">
        <is>
          <t>NF-e</t>
        </is>
      </c>
      <c r="G197" t="inlineStr">
        <is>
          <t>000000002</t>
        </is>
      </c>
      <c r="H197" t="inlineStr">
        <is>
          <t>47.773.246 ELLEN VICTORIA MENEZES DA SILVA BARBOSA</t>
        </is>
      </c>
      <c r="I197" t="inlineStr">
        <is>
          <t>47.773.246/0001-60</t>
        </is>
      </c>
      <c r="J197" s="29" t="n">
        <v>740</v>
      </c>
      <c r="K197" t="inlineStr">
        <is>
          <t>1.102, 1.556</t>
        </is>
      </c>
      <c r="L197" t="inlineStr">
        <is>
          <t>Não</t>
        </is>
      </c>
      <c r="M197" t="inlineStr">
        <is>
          <t>Compra/outras</t>
        </is>
      </c>
    </row>
    <row r="198">
      <c r="A198" t="inlineStr">
        <is>
          <t>NF-e sem título a pagar gerado no recebimento</t>
        </is>
      </c>
      <c r="B198" t="inlineStr">
        <is>
          <t>2.01.89 Compra de Pallet</t>
        </is>
      </c>
      <c r="C198" s="30" t="n">
        <v>46143</v>
      </c>
      <c r="D198" t="inlineStr">
        <is>
          <t>Em 2026</t>
        </is>
      </c>
      <c r="E198" s="28" t="n">
        <v>46153</v>
      </c>
      <c r="F198" t="inlineStr">
        <is>
          <t>NF-e</t>
        </is>
      </c>
      <c r="G198" t="inlineStr">
        <is>
          <t>000003157</t>
        </is>
      </c>
      <c r="H198" t="inlineStr">
        <is>
          <t>ANA MARIA BRITO DE SOUZA LTDA</t>
        </is>
      </c>
      <c r="I198" t="inlineStr">
        <is>
          <t>29.896.259/0001-44</t>
        </is>
      </c>
      <c r="J198" s="29" t="n">
        <v>1800</v>
      </c>
      <c r="K198" t="inlineStr">
        <is>
          <t>1.102</t>
        </is>
      </c>
      <c r="L198" t="inlineStr">
        <is>
          <t>Não</t>
        </is>
      </c>
      <c r="M198" t="inlineStr">
        <is>
          <t>Compra/outras</t>
        </is>
      </c>
    </row>
    <row r="199">
      <c r="A199" t="inlineStr">
        <is>
          <t>NF-e sem título a pagar gerado no recebimento</t>
        </is>
      </c>
      <c r="B199" t="inlineStr">
        <is>
          <t>2.01.94 Compra de Fita Adesiva</t>
        </is>
      </c>
      <c r="C199" s="30" t="n">
        <v>46143</v>
      </c>
      <c r="D199" t="inlineStr">
        <is>
          <t>Em 2026</t>
        </is>
      </c>
      <c r="E199" s="28" t="n">
        <v>46148</v>
      </c>
      <c r="F199" t="inlineStr">
        <is>
          <t>NF-e</t>
        </is>
      </c>
      <c r="G199" t="inlineStr">
        <is>
          <t>000001790</t>
        </is>
      </c>
      <c r="H199" t="inlineStr">
        <is>
          <t>B. B. A. INDUSTRIA E COMERCIO IMPORTACAO E EXPORTACAO LTDA</t>
        </is>
      </c>
      <c r="I199" t="inlineStr">
        <is>
          <t>25.247.287/0001-80</t>
        </is>
      </c>
      <c r="J199" s="29" t="n">
        <v>8137.09</v>
      </c>
      <c r="K199" t="inlineStr">
        <is>
          <t>2.556</t>
        </is>
      </c>
      <c r="L199" t="inlineStr">
        <is>
          <t>Não</t>
        </is>
      </c>
      <c r="M199" t="inlineStr">
        <is>
          <t>Compra/outras</t>
        </is>
      </c>
    </row>
    <row r="200">
      <c r="A200" t="inlineStr">
        <is>
          <t>NF-e sem título a pagar gerado no recebimento</t>
        </is>
      </c>
      <c r="B200" t="inlineStr">
        <is>
          <t>2.01.94 Compra de Fita Adesiva</t>
        </is>
      </c>
      <c r="C200" s="30" t="n">
        <v>46143</v>
      </c>
      <c r="D200" t="inlineStr">
        <is>
          <t>Em 2026</t>
        </is>
      </c>
      <c r="E200" s="28" t="n">
        <v>46160</v>
      </c>
      <c r="F200" t="inlineStr">
        <is>
          <t>NF-e</t>
        </is>
      </c>
      <c r="G200" t="inlineStr">
        <is>
          <t>000000040</t>
        </is>
      </c>
      <c r="H200" t="inlineStr">
        <is>
          <t>BARON CLUB MODA MASCULINA LTDA</t>
        </is>
      </c>
      <c r="I200" t="inlineStr">
        <is>
          <t>59.025.037/0001-17</t>
        </is>
      </c>
      <c r="J200" s="29" t="n">
        <v>3300</v>
      </c>
      <c r="K200" t="inlineStr">
        <is>
          <t>1.102</t>
        </is>
      </c>
      <c r="L200" t="inlineStr">
        <is>
          <t>Não</t>
        </is>
      </c>
      <c r="M200" t="inlineStr">
        <is>
          <t>Compra/outras</t>
        </is>
      </c>
    </row>
    <row r="201">
      <c r="A201" t="inlineStr">
        <is>
          <t>NF-e sem título a pagar gerado no recebimento</t>
        </is>
      </c>
      <c r="B201" t="inlineStr">
        <is>
          <t>2.04.95 Copa e Cozinha</t>
        </is>
      </c>
      <c r="C201" s="30" t="n">
        <v>46143</v>
      </c>
      <c r="D201" t="inlineStr">
        <is>
          <t>Em 2026</t>
        </is>
      </c>
      <c r="E201" s="28" t="n">
        <v>46163</v>
      </c>
      <c r="F201" t="inlineStr">
        <is>
          <t>NF-e</t>
        </is>
      </c>
      <c r="G201" t="inlineStr">
        <is>
          <t>000748187</t>
        </is>
      </c>
      <c r="H201" t="inlineStr">
        <is>
          <t>DISTRIBUIDORA DE ALIMENTOS GALDINO</t>
        </is>
      </c>
      <c r="I201" t="inlineStr">
        <is>
          <t>08.208.024/0001-42</t>
        </is>
      </c>
      <c r="J201" s="29" t="n">
        <v>372</v>
      </c>
      <c r="K201" t="inlineStr">
        <is>
          <t>1.556</t>
        </is>
      </c>
      <c r="L201" t="inlineStr">
        <is>
          <t>Não</t>
        </is>
      </c>
      <c r="M201" t="inlineStr">
        <is>
          <t>Compra/outras</t>
        </is>
      </c>
    </row>
    <row r="202">
      <c r="A202" t="inlineStr">
        <is>
          <t>NF-e sem título a pagar gerado no recebimento</t>
        </is>
      </c>
      <c r="B202" t="inlineStr">
        <is>
          <t>2.04.91 Compra de Material de Limpeza</t>
        </is>
      </c>
      <c r="C202" s="30" t="n">
        <v>46143</v>
      </c>
      <c r="D202" t="inlineStr">
        <is>
          <t>Em 2026</t>
        </is>
      </c>
      <c r="E202" s="28" t="n">
        <v>46171</v>
      </c>
      <c r="F202" t="inlineStr">
        <is>
          <t>NF-e</t>
        </is>
      </c>
      <c r="G202" t="inlineStr">
        <is>
          <t>000792943</t>
        </is>
      </c>
      <c r="H202" t="inlineStr">
        <is>
          <t>FRIGELAR COMERCIO E INDUSTRIA LTDA</t>
        </is>
      </c>
      <c r="I202" t="inlineStr">
        <is>
          <t>92.660.406/0009-76</t>
        </is>
      </c>
      <c r="J202" s="29" t="n">
        <v>226.6</v>
      </c>
      <c r="K202" t="inlineStr">
        <is>
          <t>1.556</t>
        </is>
      </c>
      <c r="L202" t="inlineStr">
        <is>
          <t>Não</t>
        </is>
      </c>
      <c r="M202" t="inlineStr">
        <is>
          <t>Compra/outras</t>
        </is>
      </c>
    </row>
    <row r="203">
      <c r="A203" t="inlineStr">
        <is>
          <t>NF-e sem título a pagar gerado no recebimento</t>
        </is>
      </c>
      <c r="B203" t="inlineStr">
        <is>
          <t>2.01.99 Compra de Caixas</t>
        </is>
      </c>
      <c r="C203" s="30" t="n">
        <v>46143</v>
      </c>
      <c r="D203" t="inlineStr">
        <is>
          <t>Em 2026</t>
        </is>
      </c>
      <c r="E203" s="28" t="n">
        <v>46147</v>
      </c>
      <c r="F203" t="inlineStr">
        <is>
          <t>NF-e</t>
        </is>
      </c>
      <c r="G203" t="inlineStr">
        <is>
          <t>000014750</t>
        </is>
      </c>
      <c r="H203" t="inlineStr">
        <is>
          <t>NOVA CONPEL COMPANHIA NORDESTINA DE PAPEL LTDA</t>
        </is>
      </c>
      <c r="I203" t="inlineStr">
        <is>
          <t>55.330.530/0001-90</t>
        </is>
      </c>
      <c r="J203" s="29" t="n">
        <v>13626.31</v>
      </c>
      <c r="K203" t="inlineStr">
        <is>
          <t>1.556</t>
        </is>
      </c>
      <c r="L203" t="inlineStr">
        <is>
          <t>Não</t>
        </is>
      </c>
      <c r="M203" t="inlineStr">
        <is>
          <t>Compra/outras</t>
        </is>
      </c>
    </row>
    <row r="204">
      <c r="A204" t="inlineStr">
        <is>
          <t>NF-e sem título a pagar gerado no recebimento</t>
        </is>
      </c>
      <c r="B204" t="inlineStr">
        <is>
          <t>2.01.99 Compra de Caixas</t>
        </is>
      </c>
      <c r="C204" s="30" t="n">
        <v>46143</v>
      </c>
      <c r="D204" t="inlineStr">
        <is>
          <t>Em 2026</t>
        </is>
      </c>
      <c r="E204" s="28" t="n">
        <v>46149</v>
      </c>
      <c r="F204" t="inlineStr">
        <is>
          <t>NF-e</t>
        </is>
      </c>
      <c r="G204" t="inlineStr">
        <is>
          <t>000014826</t>
        </is>
      </c>
      <c r="H204" t="inlineStr">
        <is>
          <t>NOVA CONPEL COMPANHIA NORDESTINA DE PAPEL LTDA</t>
        </is>
      </c>
      <c r="I204" t="inlineStr">
        <is>
          <t>55.330.530/0001-90</t>
        </is>
      </c>
      <c r="J204" s="29" t="n">
        <v>7148.83</v>
      </c>
      <c r="K204" t="inlineStr">
        <is>
          <t>1.556</t>
        </is>
      </c>
      <c r="L204" t="inlineStr">
        <is>
          <t>Não</t>
        </is>
      </c>
      <c r="M204" t="inlineStr">
        <is>
          <t>Compra/outras</t>
        </is>
      </c>
    </row>
    <row r="205">
      <c r="A205" t="inlineStr">
        <is>
          <t>NF-e sem título a pagar gerado no recebimento</t>
        </is>
      </c>
      <c r="B205" t="inlineStr">
        <is>
          <t>2.01.99 Compra de Caixas</t>
        </is>
      </c>
      <c r="C205" s="30" t="n">
        <v>46143</v>
      </c>
      <c r="D205" t="inlineStr">
        <is>
          <t>Em 2026</t>
        </is>
      </c>
      <c r="E205" s="28" t="n">
        <v>46153</v>
      </c>
      <c r="F205" t="inlineStr">
        <is>
          <t>NF-e</t>
        </is>
      </c>
      <c r="G205" t="inlineStr">
        <is>
          <t>000014898</t>
        </is>
      </c>
      <c r="H205" t="inlineStr">
        <is>
          <t>NOVA CONPEL COMPANHIA NORDESTINA DE PAPEL LTDA</t>
        </is>
      </c>
      <c r="I205" t="inlineStr">
        <is>
          <t>55.330.530/0001-90</t>
        </is>
      </c>
      <c r="J205" s="29" t="n">
        <v>1002700.98</v>
      </c>
      <c r="K205" t="inlineStr">
        <is>
          <t>1.556</t>
        </is>
      </c>
      <c r="L205" t="inlineStr">
        <is>
          <t>Não</t>
        </is>
      </c>
      <c r="M205" t="inlineStr">
        <is>
          <t>Compra/outras</t>
        </is>
      </c>
    </row>
    <row r="206">
      <c r="A206" t="inlineStr">
        <is>
          <t>NF-e sem título a pagar gerado no recebimento</t>
        </is>
      </c>
      <c r="B206" t="inlineStr">
        <is>
          <t>2.03.90 Compra de EPI</t>
        </is>
      </c>
      <c r="C206" s="30" t="n">
        <v>46143</v>
      </c>
      <c r="D206" t="inlineStr">
        <is>
          <t>Em 2026</t>
        </is>
      </c>
      <c r="E206" s="28" t="n">
        <v>46156</v>
      </c>
      <c r="F206" t="inlineStr">
        <is>
          <t>NF-e</t>
        </is>
      </c>
      <c r="G206" t="inlineStr">
        <is>
          <t>000100135</t>
        </is>
      </c>
      <c r="H206" t="inlineStr">
        <is>
          <t>PERNAMBUCO DISTRIBUIDORA ATAC EPIS, INS IND e MRO LTDA</t>
        </is>
      </c>
      <c r="I206" t="inlineStr">
        <is>
          <t>02.155.469/0009-82</t>
        </is>
      </c>
      <c r="J206" s="29" t="n">
        <v>31.66</v>
      </c>
      <c r="K206" t="inlineStr">
        <is>
          <t>2.910</t>
        </is>
      </c>
      <c r="L206" t="inlineStr">
        <is>
          <t>Não</t>
        </is>
      </c>
      <c r="M206" t="inlineStr">
        <is>
          <t>Compra/outras</t>
        </is>
      </c>
    </row>
    <row r="207">
      <c r="A207" t="inlineStr">
        <is>
          <t>NF-e sem título a pagar gerado no recebimento</t>
        </is>
      </c>
      <c r="B207" t="inlineStr">
        <is>
          <t>2.01.94 Compra de Fita Adesiva</t>
        </is>
      </c>
      <c r="C207" s="30" t="n">
        <v>46143</v>
      </c>
      <c r="D207" t="inlineStr">
        <is>
          <t>Em 2026</t>
        </is>
      </c>
      <c r="E207" s="28" t="n">
        <v>46147</v>
      </c>
      <c r="F207" t="inlineStr">
        <is>
          <t>NF-e</t>
        </is>
      </c>
      <c r="G207" t="inlineStr">
        <is>
          <t>000248310</t>
        </is>
      </c>
      <c r="H207" t="inlineStr">
        <is>
          <t>REWEFLON COMERCIAL LTDA</t>
        </is>
      </c>
      <c r="I207" t="inlineStr">
        <is>
          <t>73.212.722/0001-83</t>
        </is>
      </c>
      <c r="J207" s="29" t="n">
        <v>752.66</v>
      </c>
      <c r="K207" t="inlineStr">
        <is>
          <t>2.556</t>
        </is>
      </c>
      <c r="L207" t="inlineStr">
        <is>
          <t>Não</t>
        </is>
      </c>
      <c r="M207" t="inlineStr">
        <is>
          <t>Compra/outras</t>
        </is>
      </c>
    </row>
    <row r="208">
      <c r="A208" t="inlineStr">
        <is>
          <t>NF-e sem título a pagar gerado no recebimento</t>
        </is>
      </c>
      <c r="B208" t="inlineStr">
        <is>
          <t>2.07.05 Compra de Móveis e Utensílios</t>
        </is>
      </c>
      <c r="C208" s="30" t="n">
        <v>46143</v>
      </c>
      <c r="D208" t="inlineStr">
        <is>
          <t>Em 2026</t>
        </is>
      </c>
      <c r="E208" s="28" t="n">
        <v>46170</v>
      </c>
      <c r="F208" t="inlineStr">
        <is>
          <t>NF-e</t>
        </is>
      </c>
      <c r="G208" t="inlineStr">
        <is>
          <t>000004191</t>
        </is>
      </c>
      <c r="H208" t="inlineStr">
        <is>
          <t>THIAGO GABRIEL MOVEIS LTDA</t>
        </is>
      </c>
      <c r="I208" t="inlineStr">
        <is>
          <t>47.698.480/0001-70</t>
        </is>
      </c>
      <c r="J208" s="29" t="n">
        <v>2894</v>
      </c>
      <c r="K208" t="inlineStr">
        <is>
          <t>1.556</t>
        </is>
      </c>
      <c r="L208" t="inlineStr">
        <is>
          <t>Não</t>
        </is>
      </c>
      <c r="M208" t="inlineStr">
        <is>
          <t>Compra/outras</t>
        </is>
      </c>
    </row>
    <row r="209">
      <c r="A209" t="inlineStr">
        <is>
          <t>NF-e sem título a pagar gerado no recebimento</t>
        </is>
      </c>
      <c r="B209" t="inlineStr">
        <is>
          <t>2.01.03 Compra de Matéria Prima (Papel)</t>
        </is>
      </c>
      <c r="C209" s="30" t="n">
        <v>46174</v>
      </c>
      <c r="D209" t="inlineStr">
        <is>
          <t>Em 2026</t>
        </is>
      </c>
      <c r="E209" s="28" t="n">
        <v>46189</v>
      </c>
      <c r="F209" t="inlineStr">
        <is>
          <t>NF-e</t>
        </is>
      </c>
      <c r="G209" t="inlineStr">
        <is>
          <t>000051771</t>
        </is>
      </c>
      <c r="H209" t="inlineStr">
        <is>
          <t>ANIN INDUSTRIA E COMERCIO DE PAPEL LTDA</t>
        </is>
      </c>
      <c r="I209" t="inlineStr">
        <is>
          <t>39.285.002/0001-00</t>
        </is>
      </c>
      <c r="J209" s="29" t="n">
        <v>47129.05</v>
      </c>
      <c r="K209" t="inlineStr">
        <is>
          <t>2.101</t>
        </is>
      </c>
      <c r="L209" t="inlineStr">
        <is>
          <t>Não</t>
        </is>
      </c>
      <c r="M209" t="inlineStr">
        <is>
          <t>Compra/outras</t>
        </is>
      </c>
    </row>
    <row r="210">
      <c r="A210" t="inlineStr">
        <is>
          <t>NF-e sem título a pagar gerado no recebimento</t>
        </is>
      </c>
      <c r="B210" t="inlineStr">
        <is>
          <t>2.01.95 Compra de Etiqueta</t>
        </is>
      </c>
      <c r="C210" s="30" t="n">
        <v>46174</v>
      </c>
      <c r="D210" t="inlineStr">
        <is>
          <t>Em 2026</t>
        </is>
      </c>
      <c r="E210" s="28" t="n">
        <v>46190</v>
      </c>
      <c r="F210" t="inlineStr">
        <is>
          <t>NF-e</t>
        </is>
      </c>
      <c r="G210" t="inlineStr">
        <is>
          <t>000088276</t>
        </is>
      </c>
      <c r="H210" t="inlineStr">
        <is>
          <t>BA - LOJAO DA ECONOMICA MATERIAIS DE CONSTRUCAO LTDA - EPP</t>
        </is>
      </c>
      <c r="I210" t="inlineStr">
        <is>
          <t>09.158.643/0002-13</t>
        </is>
      </c>
      <c r="J210" s="29" t="n">
        <v>112.99</v>
      </c>
      <c r="K210" t="inlineStr">
        <is>
          <t>1.403</t>
        </is>
      </c>
      <c r="L210" t="inlineStr">
        <is>
          <t>Não</t>
        </is>
      </c>
      <c r="M210" t="inlineStr">
        <is>
          <t>Compra/outras</t>
        </is>
      </c>
    </row>
    <row r="211">
      <c r="A211" t="inlineStr">
        <is>
          <t>NF-e sem título a pagar gerado no recebimento</t>
        </is>
      </c>
      <c r="B211" t="inlineStr">
        <is>
          <t>2.02.95 Brindes</t>
        </is>
      </c>
      <c r="C211" s="30" t="n">
        <v>46174</v>
      </c>
      <c r="D211" t="inlineStr">
        <is>
          <t>Em 2026</t>
        </is>
      </c>
      <c r="E211" s="28" t="n">
        <v>46180</v>
      </c>
      <c r="F211" t="inlineStr">
        <is>
          <t>NF-e</t>
        </is>
      </c>
      <c r="G211" t="inlineStr">
        <is>
          <t>000010717</t>
        </is>
      </c>
      <c r="H211" t="inlineStr">
        <is>
          <t>BENEDITO DA CRUZ BRFANZIN</t>
        </is>
      </c>
      <c r="I211" t="inlineStr">
        <is>
          <t>10.142.155/0001-16</t>
        </is>
      </c>
      <c r="J211" s="29" t="n">
        <v>1253.99</v>
      </c>
      <c r="K211" t="inlineStr">
        <is>
          <t>2.556</t>
        </is>
      </c>
      <c r="L211" t="inlineStr">
        <is>
          <t>Não</t>
        </is>
      </c>
      <c r="M211" t="inlineStr">
        <is>
          <t>Compra/outras</t>
        </is>
      </c>
    </row>
    <row r="212">
      <c r="A212" t="inlineStr">
        <is>
          <t>NF-e sem título a pagar gerado no recebimento</t>
        </is>
      </c>
      <c r="B212" t="inlineStr">
        <is>
          <t>2.01.85 Compra de Uso e Consumo</t>
        </is>
      </c>
      <c r="C212" s="30" t="n">
        <v>46174</v>
      </c>
      <c r="D212" t="inlineStr">
        <is>
          <t>Em 2026</t>
        </is>
      </c>
      <c r="E212" s="28" t="n">
        <v>46202</v>
      </c>
      <c r="F212" t="inlineStr">
        <is>
          <t>NF-e</t>
        </is>
      </c>
      <c r="G212" t="inlineStr">
        <is>
          <t>000019321</t>
        </is>
      </c>
      <c r="H212" t="inlineStr">
        <is>
          <t>CAMPLAST COMERCIO DE EMBALAGENS LTDA</t>
        </is>
      </c>
      <c r="I212" t="inlineStr">
        <is>
          <t>41.127.689/0006-01</t>
        </is>
      </c>
      <c r="J212" s="29" t="n">
        <v>562</v>
      </c>
      <c r="K212" t="inlineStr">
        <is>
          <t>1.556</t>
        </is>
      </c>
      <c r="L212" t="inlineStr">
        <is>
          <t>Não</t>
        </is>
      </c>
      <c r="M212" t="inlineStr">
        <is>
          <t>Compra/outras</t>
        </is>
      </c>
    </row>
    <row r="213">
      <c r="A213" t="inlineStr">
        <is>
          <t>NF-e sem título a pagar gerado no recebimento</t>
        </is>
      </c>
      <c r="B213" t="inlineStr">
        <is>
          <t>2.01.91 Compra de Filme Strech</t>
        </is>
      </c>
      <c r="C213" s="30" t="n">
        <v>46174</v>
      </c>
      <c r="D213" t="inlineStr">
        <is>
          <t>Em 2026</t>
        </is>
      </c>
      <c r="E213" s="28" t="n">
        <v>46177</v>
      </c>
      <c r="F213" t="inlineStr">
        <is>
          <t>NF-e</t>
        </is>
      </c>
      <c r="G213" t="inlineStr">
        <is>
          <t>000000665</t>
        </is>
      </c>
      <c r="H213" t="inlineStr">
        <is>
          <t>CANNELLE RESTAURANTE E CONVENIENCIA LTDA</t>
        </is>
      </c>
      <c r="I213" t="inlineStr">
        <is>
          <t>08.433.548/0001-37</t>
        </is>
      </c>
      <c r="J213" s="29" t="n">
        <v>2918.4</v>
      </c>
      <c r="K213" t="inlineStr">
        <is>
          <t>1.102, 1.403</t>
        </is>
      </c>
      <c r="L213" t="inlineStr">
        <is>
          <t>Não</t>
        </is>
      </c>
      <c r="M213" t="inlineStr">
        <is>
          <t>Compra/outras</t>
        </is>
      </c>
    </row>
    <row r="214">
      <c r="A214" t="inlineStr">
        <is>
          <t>NF-e sem título a pagar gerado no recebimento</t>
        </is>
      </c>
      <c r="B214" t="inlineStr">
        <is>
          <t>2.01.03 Compra de Matéria Prima (Papel)</t>
        </is>
      </c>
      <c r="C214" s="30" t="n">
        <v>46174</v>
      </c>
      <c r="D214" t="inlineStr">
        <is>
          <t>Em 2026</t>
        </is>
      </c>
      <c r="E214" s="28" t="n">
        <v>46185</v>
      </c>
      <c r="F214" t="inlineStr">
        <is>
          <t>NF-e</t>
        </is>
      </c>
      <c r="G214" t="inlineStr">
        <is>
          <t>000000106</t>
        </is>
      </c>
      <c r="H214" t="inlineStr">
        <is>
          <t>COMERCIAL CASA NOVA MATERIAL DE CONSTRUCAO PB LTDA</t>
        </is>
      </c>
      <c r="I214" t="inlineStr">
        <is>
          <t>44.336.205/0001-18</t>
        </is>
      </c>
      <c r="J214" s="29" t="n">
        <v>14000</v>
      </c>
      <c r="K214" t="inlineStr">
        <is>
          <t>1.102</t>
        </is>
      </c>
      <c r="L214" t="inlineStr">
        <is>
          <t>Não</t>
        </is>
      </c>
      <c r="M214" t="inlineStr">
        <is>
          <t>Compra/outras</t>
        </is>
      </c>
    </row>
    <row r="215">
      <c r="A215" t="inlineStr">
        <is>
          <t>NF-e sem título a pagar gerado no recebimento</t>
        </is>
      </c>
      <c r="B215" t="inlineStr">
        <is>
          <t>2.01.03 Compra de Matéria Prima (Papel)</t>
        </is>
      </c>
      <c r="C215" s="30" t="n">
        <v>46174</v>
      </c>
      <c r="D215" t="inlineStr">
        <is>
          <t>Em 2026</t>
        </is>
      </c>
      <c r="E215" s="28" t="n">
        <v>46185</v>
      </c>
      <c r="F215" t="inlineStr">
        <is>
          <t>NF-e</t>
        </is>
      </c>
      <c r="G215" t="inlineStr">
        <is>
          <t>000000107</t>
        </is>
      </c>
      <c r="H215" t="inlineStr">
        <is>
          <t>COMERCIAL CASA NOVA MATERIAL DE CONSTRUCAO PB LTDA</t>
        </is>
      </c>
      <c r="I215" t="inlineStr">
        <is>
          <t>44.336.205/0001-18</t>
        </is>
      </c>
      <c r="J215" s="29" t="n">
        <v>1281.53</v>
      </c>
      <c r="K215" t="inlineStr">
        <is>
          <t>1.556</t>
        </is>
      </c>
      <c r="L215" t="inlineStr">
        <is>
          <t>Não</t>
        </is>
      </c>
      <c r="M215" t="inlineStr">
        <is>
          <t>Compra/outras</t>
        </is>
      </c>
      <c r="N215" t="inlineStr">
        <is>
          <t>Valor rateado entre categorias, como no Omie</t>
        </is>
      </c>
    </row>
    <row r="216">
      <c r="A216" t="inlineStr">
        <is>
          <t>NF-e sem título a pagar gerado no recebimento</t>
        </is>
      </c>
      <c r="B216" t="inlineStr">
        <is>
          <t>2.01.03 Compra de Matéria Prima (Papel)</t>
        </is>
      </c>
      <c r="C216" s="30" t="n">
        <v>46174</v>
      </c>
      <c r="D216" t="inlineStr">
        <is>
          <t>Em 2026</t>
        </is>
      </c>
      <c r="E216" s="28" t="n">
        <v>46198</v>
      </c>
      <c r="F216" t="inlineStr">
        <is>
          <t>NF-e</t>
        </is>
      </c>
      <c r="G216" t="inlineStr">
        <is>
          <t>000000109</t>
        </is>
      </c>
      <c r="H216" t="inlineStr">
        <is>
          <t>COMERCIAL CASA NOVA MATERIAL DE CONSTRUCAO PB LTDA</t>
        </is>
      </c>
      <c r="I216" t="inlineStr">
        <is>
          <t>44.336.205/0001-18</t>
        </is>
      </c>
      <c r="J216" s="29" t="n">
        <v>44.7</v>
      </c>
      <c r="K216" t="inlineStr">
        <is>
          <t>1.556</t>
        </is>
      </c>
      <c r="L216" t="inlineStr">
        <is>
          <t>Não</t>
        </is>
      </c>
      <c r="M216" t="inlineStr">
        <is>
          <t>Compra/outras</t>
        </is>
      </c>
      <c r="N216" t="inlineStr">
        <is>
          <t>Valor rateado entre categorias, como no Omie</t>
        </is>
      </c>
    </row>
    <row r="217">
      <c r="A217" t="inlineStr">
        <is>
          <t>NF-e sem título a pagar gerado no recebimento</t>
        </is>
      </c>
      <c r="B217" t="inlineStr">
        <is>
          <t>2.02.95 Brindes</t>
        </is>
      </c>
      <c r="C217" s="30" t="n">
        <v>46174</v>
      </c>
      <c r="D217" t="inlineStr">
        <is>
          <t>Em 2026</t>
        </is>
      </c>
      <c r="E217" s="28" t="n">
        <v>46185</v>
      </c>
      <c r="F217" t="inlineStr">
        <is>
          <t>NF-e</t>
        </is>
      </c>
      <c r="G217" t="inlineStr">
        <is>
          <t>000000107</t>
        </is>
      </c>
      <c r="H217" t="inlineStr">
        <is>
          <t>COMERCIAL CASA NOVA MATERIAL DE CONSTRUCAO PB LTDA</t>
        </is>
      </c>
      <c r="I217" t="inlineStr">
        <is>
          <t>44.336.205/0001-18</t>
        </is>
      </c>
      <c r="J217" s="29" t="n">
        <v>18.47</v>
      </c>
      <c r="K217" t="inlineStr">
        <is>
          <t>1.556</t>
        </is>
      </c>
      <c r="L217" t="inlineStr">
        <is>
          <t>Não</t>
        </is>
      </c>
      <c r="M217" t="inlineStr">
        <is>
          <t>Compra/outras</t>
        </is>
      </c>
      <c r="N217" t="inlineStr">
        <is>
          <t>Valor rateado entre categorias, como no Omie</t>
        </is>
      </c>
    </row>
    <row r="218">
      <c r="A218" t="inlineStr">
        <is>
          <t>NF-e sem título a pagar gerado no recebimento</t>
        </is>
      </c>
      <c r="B218" t="inlineStr">
        <is>
          <t>2.07.05 Compra de Móveis e Utensílios</t>
        </is>
      </c>
      <c r="C218" s="30" t="n">
        <v>46174</v>
      </c>
      <c r="D218" t="inlineStr">
        <is>
          <t>Em 2026</t>
        </is>
      </c>
      <c r="E218" s="28" t="n">
        <v>46198</v>
      </c>
      <c r="F218" t="inlineStr">
        <is>
          <t>NF-e</t>
        </is>
      </c>
      <c r="G218" t="inlineStr">
        <is>
          <t>000000109</t>
        </is>
      </c>
      <c r="H218" t="inlineStr">
        <is>
          <t>COMERCIAL CASA NOVA MATERIAL DE CONSTRUCAO PB LTDA</t>
        </is>
      </c>
      <c r="I218" t="inlineStr">
        <is>
          <t>44.336.205/0001-18</t>
        </is>
      </c>
      <c r="J218" s="29" t="n">
        <v>65.3</v>
      </c>
      <c r="K218" t="inlineStr">
        <is>
          <t>1.556</t>
        </is>
      </c>
      <c r="L218" t="inlineStr">
        <is>
          <t>Não</t>
        </is>
      </c>
      <c r="M218" t="inlineStr">
        <is>
          <t>Compra/outras</t>
        </is>
      </c>
      <c r="N218" t="inlineStr">
        <is>
          <t>Valor rateado entre categorias, como no Omie</t>
        </is>
      </c>
    </row>
    <row r="219">
      <c r="A219" t="inlineStr">
        <is>
          <t>NF-e sem título a pagar gerado no recebimento</t>
        </is>
      </c>
      <c r="B219" t="inlineStr">
        <is>
          <t>2.04.95 Copa e Cozinha</t>
        </is>
      </c>
      <c r="C219" s="30" t="n">
        <v>46174</v>
      </c>
      <c r="D219" t="inlineStr">
        <is>
          <t>Em 2026</t>
        </is>
      </c>
      <c r="E219" s="28" t="n">
        <v>46191</v>
      </c>
      <c r="F219" t="inlineStr">
        <is>
          <t>NF-e</t>
        </is>
      </c>
      <c r="G219" t="inlineStr">
        <is>
          <t>000753918</t>
        </is>
      </c>
      <c r="H219" t="inlineStr">
        <is>
          <t>DISTRIBUIDORA DE ALIMENTOS GALDINO</t>
        </is>
      </c>
      <c r="I219" t="inlineStr">
        <is>
          <t>08.208.024/0001-42</t>
        </is>
      </c>
      <c r="J219" s="29" t="n">
        <v>391.2</v>
      </c>
      <c r="K219" t="inlineStr">
        <is>
          <t>1.556</t>
        </is>
      </c>
      <c r="L219" t="inlineStr">
        <is>
          <t>Não</t>
        </is>
      </c>
      <c r="M219" t="inlineStr">
        <is>
          <t>Compra/outras</t>
        </is>
      </c>
    </row>
    <row r="220">
      <c r="A220" t="inlineStr">
        <is>
          <t>NF-e sem título a pagar gerado no recebimento</t>
        </is>
      </c>
      <c r="B220" t="inlineStr">
        <is>
          <t>2.01.87 Compra de Peças de Máquinas</t>
        </is>
      </c>
      <c r="C220" s="30" t="n">
        <v>46174</v>
      </c>
      <c r="D220" t="inlineStr">
        <is>
          <t>Em 2026</t>
        </is>
      </c>
      <c r="E220" s="28" t="n">
        <v>46188</v>
      </c>
      <c r="F220" t="inlineStr">
        <is>
          <t>NF-e</t>
        </is>
      </c>
      <c r="G220" t="inlineStr">
        <is>
          <t>000050742</t>
        </is>
      </c>
      <c r="H220" t="inlineStr">
        <is>
          <t>GURGELMIX MAQUINAS E FERRAMENTAS S.A.</t>
        </is>
      </c>
      <c r="I220" t="inlineStr">
        <is>
          <t>29.302.348/0008-91</t>
        </is>
      </c>
      <c r="J220" s="29" t="n">
        <v>562.86</v>
      </c>
      <c r="K220" t="inlineStr">
        <is>
          <t>2.102</t>
        </is>
      </c>
      <c r="L220" t="inlineStr">
        <is>
          <t>Não</t>
        </is>
      </c>
      <c r="M220" t="inlineStr">
        <is>
          <t>Compra/outras</t>
        </is>
      </c>
    </row>
    <row r="221">
      <c r="A221" t="inlineStr">
        <is>
          <t>NF-e sem título a pagar gerado no recebimento</t>
        </is>
      </c>
      <c r="B221" t="inlineStr">
        <is>
          <t>2.01.87 Compra de Peças de Máquinas</t>
        </is>
      </c>
      <c r="C221" s="30" t="n">
        <v>46174</v>
      </c>
      <c r="D221" t="inlineStr">
        <is>
          <t>Em 2026</t>
        </is>
      </c>
      <c r="E221" s="28" t="n">
        <v>46188</v>
      </c>
      <c r="F221" t="inlineStr">
        <is>
          <t>NF-e</t>
        </is>
      </c>
      <c r="G221" t="inlineStr">
        <is>
          <t>000036611</t>
        </is>
      </c>
      <c r="H221" t="inlineStr">
        <is>
          <t>GURGELMIX MAQUINAS E FERRAMENTAS S.A.</t>
        </is>
      </c>
      <c r="I221" t="inlineStr">
        <is>
          <t>29.302.348/0023-20</t>
        </is>
      </c>
      <c r="J221" s="29" t="n">
        <v>167.15</v>
      </c>
      <c r="K221" t="inlineStr">
        <is>
          <t>2.102</t>
        </is>
      </c>
      <c r="L221" t="inlineStr">
        <is>
          <t>Não</t>
        </is>
      </c>
      <c r="M221" t="inlineStr">
        <is>
          <t>Compra/outras</t>
        </is>
      </c>
    </row>
    <row r="222">
      <c r="A222" t="inlineStr">
        <is>
          <t>NF-e sem título a pagar gerado no recebimento</t>
        </is>
      </c>
      <c r="B222" t="inlineStr">
        <is>
          <t>2.01.87 Compra de Peças de Máquinas</t>
        </is>
      </c>
      <c r="C222" s="30" t="n">
        <v>46174</v>
      </c>
      <c r="D222" t="inlineStr">
        <is>
          <t>Em 2026</t>
        </is>
      </c>
      <c r="E222" s="28" t="n">
        <v>46188</v>
      </c>
      <c r="F222" t="inlineStr">
        <is>
          <t>NF-e</t>
        </is>
      </c>
      <c r="G222" t="inlineStr">
        <is>
          <t>000009068</t>
        </is>
      </c>
      <c r="H222" t="inlineStr">
        <is>
          <t>GURGELMIX MAQUINAS E FERRAMENTAS S.A.</t>
        </is>
      </c>
      <c r="I222" t="inlineStr">
        <is>
          <t>29.302.348/0029-16</t>
        </is>
      </c>
      <c r="J222" s="29" t="n">
        <v>167.15</v>
      </c>
      <c r="K222" t="inlineStr">
        <is>
          <t>2.102</t>
        </is>
      </c>
      <c r="L222" t="inlineStr">
        <is>
          <t>Não</t>
        </is>
      </c>
      <c r="M222" t="inlineStr">
        <is>
          <t>Compra/outras</t>
        </is>
      </c>
    </row>
    <row r="223">
      <c r="A223" t="inlineStr">
        <is>
          <t>NF-e sem título a pagar gerado no recebimento</t>
        </is>
      </c>
      <c r="B223" t="inlineStr">
        <is>
          <t>2.01.87 Compra de Peças de Máquinas</t>
        </is>
      </c>
      <c r="C223" s="30" t="n">
        <v>46174</v>
      </c>
      <c r="D223" t="inlineStr">
        <is>
          <t>Em 2026</t>
        </is>
      </c>
      <c r="E223" s="28" t="n">
        <v>46188</v>
      </c>
      <c r="F223" t="inlineStr">
        <is>
          <t>NF-e</t>
        </is>
      </c>
      <c r="G223" t="inlineStr">
        <is>
          <t>000013006</t>
        </is>
      </c>
      <c r="H223" t="inlineStr">
        <is>
          <t>GURGELMIX MAQUINAS E FERRAMENTAS S.A.</t>
        </is>
      </c>
      <c r="I223" t="inlineStr">
        <is>
          <t>29.302.348/0027-54</t>
        </is>
      </c>
      <c r="J223" s="29" t="n">
        <v>167.15</v>
      </c>
      <c r="K223" t="inlineStr">
        <is>
          <t>2.102</t>
        </is>
      </c>
      <c r="L223" t="inlineStr">
        <is>
          <t>Não</t>
        </is>
      </c>
      <c r="M223" t="inlineStr">
        <is>
          <t>Compra/outras</t>
        </is>
      </c>
    </row>
    <row r="224">
      <c r="A224" t="inlineStr">
        <is>
          <t>NF-e sem título a pagar gerado no recebimento</t>
        </is>
      </c>
      <c r="B224" t="inlineStr">
        <is>
          <t>2.01.88 Manutenção e Conservação de Máquina</t>
        </is>
      </c>
      <c r="C224" s="30" t="n">
        <v>46174</v>
      </c>
      <c r="D224" t="inlineStr">
        <is>
          <t>Em 2026</t>
        </is>
      </c>
      <c r="E224" s="28" t="n">
        <v>46189</v>
      </c>
      <c r="F224" t="inlineStr">
        <is>
          <t>NF-e</t>
        </is>
      </c>
      <c r="G224" t="inlineStr">
        <is>
          <t>000517652</t>
        </is>
      </c>
      <c r="H224" t="inlineStr">
        <is>
          <t>GURGELMIX MAQUINAS E FERRAMENTAS S.A.</t>
        </is>
      </c>
      <c r="I224" t="inlineStr">
        <is>
          <t>29.302.348/0003-87</t>
        </is>
      </c>
      <c r="J224" s="29" t="n">
        <v>4171.52</v>
      </c>
      <c r="K224" t="inlineStr">
        <is>
          <t>2.102</t>
        </is>
      </c>
      <c r="L224" t="inlineStr">
        <is>
          <t>Não</t>
        </is>
      </c>
      <c r="M224" t="inlineStr">
        <is>
          <t>Compra/outras</t>
        </is>
      </c>
    </row>
    <row r="225">
      <c r="A225" t="inlineStr">
        <is>
          <t>NF-e sem título a pagar gerado no recebimento</t>
        </is>
      </c>
      <c r="B225" t="inlineStr">
        <is>
          <t>2.03.02 EndoMarketing</t>
        </is>
      </c>
      <c r="C225" s="30" t="n">
        <v>46174</v>
      </c>
      <c r="D225" t="inlineStr">
        <is>
          <t>Em 2026</t>
        </is>
      </c>
      <c r="E225" s="28" t="n">
        <v>46184</v>
      </c>
      <c r="F225" t="inlineStr">
        <is>
          <t>NF-e</t>
        </is>
      </c>
      <c r="G225" t="inlineStr">
        <is>
          <t>000016967</t>
        </is>
      </c>
      <c r="H225" t="inlineStr">
        <is>
          <t>KELLY DE FATIMA CORREIA DA SILVA ME</t>
        </is>
      </c>
      <c r="I225" t="inlineStr">
        <is>
          <t>27.731.565/0001-03</t>
        </is>
      </c>
      <c r="J225" s="29" t="n">
        <v>99.95</v>
      </c>
      <c r="K225" t="inlineStr">
        <is>
          <t>1.102</t>
        </is>
      </c>
      <c r="L225" t="inlineStr">
        <is>
          <t>Não</t>
        </is>
      </c>
      <c r="M225" t="inlineStr">
        <is>
          <t>Compra/outras</t>
        </is>
      </c>
    </row>
    <row r="226">
      <c r="A226" t="inlineStr">
        <is>
          <t>NF-e sem título a pagar gerado no recebimento</t>
        </is>
      </c>
      <c r="B226" t="inlineStr">
        <is>
          <t>2.01.85 Compra de Uso e Consumo</t>
        </is>
      </c>
      <c r="C226" s="30" t="n">
        <v>46174</v>
      </c>
      <c r="D226" t="inlineStr">
        <is>
          <t>Em 2026</t>
        </is>
      </c>
      <c r="E226" s="28" t="n">
        <v>46202</v>
      </c>
      <c r="F226" t="inlineStr">
        <is>
          <t>NF-e</t>
        </is>
      </c>
      <c r="G226" t="inlineStr">
        <is>
          <t>000094697</t>
        </is>
      </c>
      <c r="H226" t="inlineStr">
        <is>
          <t>MAGNO E FILHOS LTDA</t>
        </is>
      </c>
      <c r="I226" t="inlineStr">
        <is>
          <t>12.224.867/0001-00</t>
        </is>
      </c>
      <c r="J226" s="29" t="n">
        <v>7457.93</v>
      </c>
      <c r="K226" t="inlineStr">
        <is>
          <t>1.403, 1.556</t>
        </is>
      </c>
      <c r="L226" t="inlineStr">
        <is>
          <t>Não</t>
        </is>
      </c>
      <c r="M226" t="inlineStr">
        <is>
          <t>Compra/outras</t>
        </is>
      </c>
    </row>
    <row r="227">
      <c r="A227" t="inlineStr">
        <is>
          <t>NF-e sem título a pagar gerado no recebimento</t>
        </is>
      </c>
      <c r="B227" t="inlineStr">
        <is>
          <t>2.01.99 Compra de Caixas</t>
        </is>
      </c>
      <c r="C227" s="30" t="n">
        <v>46174</v>
      </c>
      <c r="D227" t="inlineStr">
        <is>
          <t>Em 2026</t>
        </is>
      </c>
      <c r="E227" s="28" t="n">
        <v>46175</v>
      </c>
      <c r="F227" t="inlineStr">
        <is>
          <t>NF-e</t>
        </is>
      </c>
      <c r="G227" t="inlineStr">
        <is>
          <t>000060744</t>
        </is>
      </c>
      <c r="H227" t="inlineStr">
        <is>
          <t>MAQ-LAREM MAQUINAS MOVEIS E EQUIPAMENTOS LTDA</t>
        </is>
      </c>
      <c r="I227" t="inlineStr">
        <is>
          <t>40.938.508/0001-50</t>
        </is>
      </c>
      <c r="J227" s="29" t="n">
        <v>3789.31</v>
      </c>
      <c r="K227" t="inlineStr">
        <is>
          <t>1.556</t>
        </is>
      </c>
      <c r="L227" t="inlineStr">
        <is>
          <t>Não</t>
        </is>
      </c>
      <c r="M227" t="inlineStr">
        <is>
          <t>Compra/outras</t>
        </is>
      </c>
    </row>
    <row r="228">
      <c r="A228" t="inlineStr">
        <is>
          <t>NF-e sem título a pagar gerado no recebimento</t>
        </is>
      </c>
      <c r="B228" t="inlineStr">
        <is>
          <t>2.01.88 Manutenção e Conservação de Máquina</t>
        </is>
      </c>
      <c r="C228" s="30" t="n">
        <v>46174</v>
      </c>
      <c r="D228" t="inlineStr">
        <is>
          <t>Em 2026</t>
        </is>
      </c>
      <c r="E228" s="28" t="n">
        <v>46184</v>
      </c>
      <c r="F228" t="inlineStr">
        <is>
          <t>NF-e</t>
        </is>
      </c>
      <c r="G228" t="inlineStr">
        <is>
          <t>000018522</t>
        </is>
      </c>
      <c r="H228" t="inlineStr">
        <is>
          <t>MISTER TEM COMERCIO DE ACOS E METAIS LTDA</t>
        </is>
      </c>
      <c r="I228" t="inlineStr">
        <is>
          <t>13.161.768/0001-99</t>
        </is>
      </c>
      <c r="J228" s="29" t="n">
        <v>204.6</v>
      </c>
      <c r="K228" t="inlineStr">
        <is>
          <t>1.556</t>
        </is>
      </c>
      <c r="L228" t="inlineStr">
        <is>
          <t>Não</t>
        </is>
      </c>
      <c r="M228" t="inlineStr">
        <is>
          <t>Compra/outras</t>
        </is>
      </c>
    </row>
    <row r="229">
      <c r="A229" t="inlineStr">
        <is>
          <t>NF-e sem título a pagar gerado no recebimento</t>
        </is>
      </c>
      <c r="B229" t="inlineStr">
        <is>
          <t>2.07.05 Compra de Móveis e Utensílios</t>
        </is>
      </c>
      <c r="C229" s="30" t="n">
        <v>46174</v>
      </c>
      <c r="D229" t="inlineStr">
        <is>
          <t>Em 2026</t>
        </is>
      </c>
      <c r="E229" s="28" t="n">
        <v>46189</v>
      </c>
      <c r="F229" t="inlineStr">
        <is>
          <t>NF-e</t>
        </is>
      </c>
      <c r="G229" t="inlineStr">
        <is>
          <t>000005688</t>
        </is>
      </c>
      <c r="H229" t="inlineStr">
        <is>
          <t>TOTAL SERVICE INDUSTRIA, COMERCIO E SERVICOS LTDA</t>
        </is>
      </c>
      <c r="I229" t="inlineStr">
        <is>
          <t>07.900.748/0001-90</t>
        </is>
      </c>
      <c r="J229" s="29" t="n">
        <v>5585.91</v>
      </c>
      <c r="K229" t="inlineStr">
        <is>
          <t>1.556</t>
        </is>
      </c>
      <c r="L229" t="inlineStr">
        <is>
          <t>Não</t>
        </is>
      </c>
      <c r="M229" t="inlineStr">
        <is>
          <t>Entrega futura (x.116/x.117)</t>
        </is>
      </c>
    </row>
    <row r="230">
      <c r="A230" t="inlineStr">
        <is>
          <t>NF-e sem título a pagar gerado no recebimento</t>
        </is>
      </c>
      <c r="B230" t="inlineStr">
        <is>
          <t>2.01.96 Compra de Cola</t>
        </is>
      </c>
      <c r="C230" s="30" t="n">
        <v>46174</v>
      </c>
      <c r="D230" t="inlineStr">
        <is>
          <t>Em 2026</t>
        </is>
      </c>
      <c r="E230" s="28" t="n">
        <v>46175</v>
      </c>
      <c r="F230" t="inlineStr">
        <is>
          <t>NF-e</t>
        </is>
      </c>
      <c r="G230" t="inlineStr">
        <is>
          <t>000003867</t>
        </is>
      </c>
      <c r="H230" t="inlineStr">
        <is>
          <t>TRANSBELT - COMERCIO, IMPORTACAO E EXPORTACAO DE CORREIAS IN</t>
        </is>
      </c>
      <c r="I230" t="inlineStr">
        <is>
          <t>24.889.612/0001-45</t>
        </is>
      </c>
      <c r="J230" s="29" t="n">
        <v>2807.94</v>
      </c>
      <c r="K230" t="inlineStr">
        <is>
          <t>2.102</t>
        </is>
      </c>
      <c r="L230" t="inlineStr">
        <is>
          <t>Não</t>
        </is>
      </c>
      <c r="M230" t="inlineStr">
        <is>
          <t>Compra/outras</t>
        </is>
      </c>
    </row>
    <row r="231">
      <c r="A231" t="inlineStr">
        <is>
          <t>NF-e sem título a pagar gerado no recebimento</t>
        </is>
      </c>
      <c r="B231" t="inlineStr">
        <is>
          <t>2.02.95 Brindes</t>
        </is>
      </c>
      <c r="C231" s="30" t="n">
        <v>46174</v>
      </c>
      <c r="D231" t="inlineStr">
        <is>
          <t>Em 2026</t>
        </is>
      </c>
      <c r="E231" s="28" t="n">
        <v>46182</v>
      </c>
      <c r="F231" t="inlineStr">
        <is>
          <t>NF-e</t>
        </is>
      </c>
      <c r="G231" t="inlineStr">
        <is>
          <t>000033561</t>
        </is>
      </c>
      <c r="H231" t="inlineStr">
        <is>
          <t>VIEIRA ACO INDUSTRIA e COMERCIO LTDA</t>
        </is>
      </c>
      <c r="I231" t="inlineStr">
        <is>
          <t>12.281.632/0011-21</t>
        </is>
      </c>
      <c r="J231" s="29" t="n">
        <v>195</v>
      </c>
      <c r="K231" t="inlineStr">
        <is>
          <t>1.556</t>
        </is>
      </c>
      <c r="L231" t="inlineStr">
        <is>
          <t>Não</t>
        </is>
      </c>
      <c r="M231" t="inlineStr">
        <is>
          <t>Compra/outras</t>
        </is>
      </c>
    </row>
    <row r="232">
      <c r="A232" t="inlineStr">
        <is>
          <t>NF-e sem título a pagar gerado no recebimento</t>
        </is>
      </c>
      <c r="B232" t="inlineStr">
        <is>
          <t>2.02.95 Brindes</t>
        </is>
      </c>
      <c r="C232" s="30" t="n">
        <v>46204</v>
      </c>
      <c r="D232" t="inlineStr">
        <is>
          <t>Em 2026</t>
        </is>
      </c>
      <c r="E232" s="28" t="n">
        <v>46224</v>
      </c>
      <c r="F232" t="inlineStr">
        <is>
          <t>NF-e</t>
        </is>
      </c>
      <c r="G232" t="inlineStr">
        <is>
          <t>900599486</t>
        </is>
      </c>
      <c r="H232" t="inlineStr">
        <is>
          <t>38.277.962 RAQUEL BARBOSA DE PAIVA SANTOS SALES</t>
        </is>
      </c>
      <c r="I232" t="inlineStr">
        <is>
          <t>38.277.962/0001-65</t>
        </is>
      </c>
      <c r="J232" s="29" t="n">
        <v>463.98</v>
      </c>
      <c r="K232" t="inlineStr">
        <is>
          <t>1.556</t>
        </is>
      </c>
      <c r="L232" t="inlineStr">
        <is>
          <t>Não</t>
        </is>
      </c>
      <c r="M232" t="inlineStr">
        <is>
          <t>Compra/outras</t>
        </is>
      </c>
    </row>
    <row r="233">
      <c r="A233" t="inlineStr">
        <is>
          <t>NF-e sem título a pagar gerado no recebimento</t>
        </is>
      </c>
      <c r="B233" t="inlineStr">
        <is>
          <t>2.01.88 Manutenção e Conservação de Máquina</t>
        </is>
      </c>
      <c r="C233" s="30" t="n">
        <v>46204</v>
      </c>
      <c r="D233" t="inlineStr">
        <is>
          <t>Em 2026</t>
        </is>
      </c>
      <c r="E233" s="28" t="n">
        <v>46219</v>
      </c>
      <c r="F233" t="inlineStr">
        <is>
          <t>NF-e</t>
        </is>
      </c>
      <c r="G233" t="inlineStr">
        <is>
          <t>000002409</t>
        </is>
      </c>
      <c r="H233" t="inlineStr">
        <is>
          <t>AI TEM - COMERCIO VAREJISTA DE PRODUTOS EM ACO INOX LTDA.</t>
        </is>
      </c>
      <c r="I233" t="inlineStr">
        <is>
          <t>54.824.435/0001-80</t>
        </is>
      </c>
      <c r="J233" s="29" t="n">
        <v>302.4</v>
      </c>
      <c r="K233" t="inlineStr">
        <is>
          <t>1.556</t>
        </is>
      </c>
      <c r="L233" t="inlineStr">
        <is>
          <t>Não</t>
        </is>
      </c>
      <c r="M233" t="inlineStr">
        <is>
          <t>Compra/outras</t>
        </is>
      </c>
    </row>
    <row r="234">
      <c r="A234" t="inlineStr">
        <is>
          <t>NF-e sem título a pagar gerado no recebimento</t>
        </is>
      </c>
      <c r="B234" t="inlineStr">
        <is>
          <t>2.01.85 Compra de Uso e Consumo</t>
        </is>
      </c>
      <c r="C234" s="30" t="n">
        <v>46204</v>
      </c>
      <c r="D234" t="inlineStr">
        <is>
          <t>Em 2026</t>
        </is>
      </c>
      <c r="E234" s="28" t="n">
        <v>46223</v>
      </c>
      <c r="F234" t="inlineStr">
        <is>
          <t>NF-e</t>
        </is>
      </c>
      <c r="G234" t="inlineStr">
        <is>
          <t>000088794</t>
        </is>
      </c>
      <c r="H234" t="inlineStr">
        <is>
          <t>BA - LOJAO DA ECONOMICA MATERIAIS DE CONSTRUCAO LTDA - EPP</t>
        </is>
      </c>
      <c r="I234" t="inlineStr">
        <is>
          <t>09.158.643/0002-13</t>
        </is>
      </c>
      <c r="J234" s="29" t="n">
        <v>126.99</v>
      </c>
      <c r="K234" t="inlineStr">
        <is>
          <t>1.556</t>
        </is>
      </c>
      <c r="L234" t="inlineStr">
        <is>
          <t>Não</t>
        </is>
      </c>
      <c r="M234" t="inlineStr">
        <is>
          <t>Compra/outras</t>
        </is>
      </c>
    </row>
    <row r="235">
      <c r="A235" t="inlineStr">
        <is>
          <t>NF-e sem título a pagar gerado no recebimento</t>
        </is>
      </c>
      <c r="B235" t="inlineStr">
        <is>
          <t>2.01.85 Compra de Uso e Consumo</t>
        </is>
      </c>
      <c r="C235" s="30" t="n">
        <v>46204</v>
      </c>
      <c r="D235" t="inlineStr">
        <is>
          <t>Em 2026</t>
        </is>
      </c>
      <c r="E235" s="28" t="n">
        <v>46216</v>
      </c>
      <c r="F235" t="inlineStr">
        <is>
          <t>NF-e</t>
        </is>
      </c>
      <c r="G235" t="inlineStr">
        <is>
          <t>000019410</t>
        </is>
      </c>
      <c r="H235" t="inlineStr">
        <is>
          <t>CAMPLAST COMERCIO DE EMBALAGENS LTDA</t>
        </is>
      </c>
      <c r="I235" t="inlineStr">
        <is>
          <t>41.127.689/0006-01</t>
        </is>
      </c>
      <c r="J235" s="29" t="n">
        <v>562</v>
      </c>
      <c r="K235" t="inlineStr">
        <is>
          <t>1.556</t>
        </is>
      </c>
      <c r="L235" t="inlineStr">
        <is>
          <t>Não</t>
        </is>
      </c>
      <c r="M235" t="inlineStr">
        <is>
          <t>Compra/outras</t>
        </is>
      </c>
    </row>
    <row r="236">
      <c r="A236" t="inlineStr">
        <is>
          <t>NF-e sem título a pagar gerado no recebimento</t>
        </is>
      </c>
      <c r="B236" t="inlineStr">
        <is>
          <t>2.07.01 Máquinas e Equipamentos</t>
        </is>
      </c>
      <c r="C236" s="30" t="n">
        <v>46204</v>
      </c>
      <c r="D236" t="inlineStr">
        <is>
          <t>Em 2026</t>
        </is>
      </c>
      <c r="E236" s="28" t="n">
        <v>46231</v>
      </c>
      <c r="F236" t="inlineStr">
        <is>
          <t>NF-e</t>
        </is>
      </c>
      <c r="G236" t="inlineStr">
        <is>
          <t>000033022</t>
        </is>
      </c>
      <c r="H236" t="inlineStr">
        <is>
          <t>CLARO S.A</t>
        </is>
      </c>
      <c r="I236" t="inlineStr">
        <is>
          <t>40.432.544/0775-22</t>
        </is>
      </c>
      <c r="J236" s="29" t="n">
        <v>5968</v>
      </c>
      <c r="K236" t="inlineStr">
        <is>
          <t>2.556</t>
        </is>
      </c>
      <c r="L236" t="inlineStr">
        <is>
          <t>Não</t>
        </is>
      </c>
      <c r="M236" t="inlineStr">
        <is>
          <t>Compra/outras</t>
        </is>
      </c>
    </row>
    <row r="237">
      <c r="A237" t="inlineStr">
        <is>
          <t>NF-e sem título a pagar gerado no recebimento</t>
        </is>
      </c>
      <c r="B237" t="inlineStr">
        <is>
          <t>2.07.01 Máquinas e Equipamentos</t>
        </is>
      </c>
      <c r="C237" s="30" t="n">
        <v>46204</v>
      </c>
      <c r="D237" t="inlineStr">
        <is>
          <t>Em 2026</t>
        </is>
      </c>
      <c r="E237" s="28" t="n">
        <v>46231</v>
      </c>
      <c r="F237" t="inlineStr">
        <is>
          <t>NF-e</t>
        </is>
      </c>
      <c r="G237" t="inlineStr">
        <is>
          <t>000033023</t>
        </is>
      </c>
      <c r="H237" t="inlineStr">
        <is>
          <t>CLARO S.A</t>
        </is>
      </c>
      <c r="I237" t="inlineStr">
        <is>
          <t>40.432.544/0775-22</t>
        </is>
      </c>
      <c r="J237" s="29" t="n">
        <v>50</v>
      </c>
      <c r="K237" t="inlineStr">
        <is>
          <t>2.556</t>
        </is>
      </c>
      <c r="L237" t="inlineStr">
        <is>
          <t>Não</t>
        </is>
      </c>
      <c r="M237" t="inlineStr">
        <is>
          <t>Compra/outras</t>
        </is>
      </c>
    </row>
    <row r="238">
      <c r="A238" t="inlineStr">
        <is>
          <t>NF-e sem título a pagar gerado no recebimento</t>
        </is>
      </c>
      <c r="B238" t="inlineStr">
        <is>
          <t>2.01.03 Compra de Matéria Prima (Papel)</t>
        </is>
      </c>
      <c r="C238" s="30" t="n">
        <v>46204</v>
      </c>
      <c r="D238" t="inlineStr">
        <is>
          <t>Em 2026</t>
        </is>
      </c>
      <c r="E238" s="28" t="n">
        <v>46233</v>
      </c>
      <c r="F238" t="inlineStr">
        <is>
          <t>NF-e</t>
        </is>
      </c>
      <c r="G238" t="inlineStr">
        <is>
          <t>000000118</t>
        </is>
      </c>
      <c r="H238" t="inlineStr">
        <is>
          <t>COMERCIAL CASA NOVA MATERIAL DE CONSTRUCAO PB LTDA</t>
        </is>
      </c>
      <c r="I238" t="inlineStr">
        <is>
          <t>44.336.205/0001-18</t>
        </is>
      </c>
      <c r="J238" s="29" t="n">
        <v>6697</v>
      </c>
      <c r="K238" t="inlineStr">
        <is>
          <t>1.556</t>
        </is>
      </c>
      <c r="L238" t="inlineStr">
        <is>
          <t>Não</t>
        </is>
      </c>
      <c r="M238" t="inlineStr">
        <is>
          <t>Compra/outras</t>
        </is>
      </c>
    </row>
    <row r="239">
      <c r="A239" t="inlineStr">
        <is>
          <t>NF-e sem título a pagar gerado no recebimento</t>
        </is>
      </c>
      <c r="B239" t="inlineStr">
        <is>
          <t>2.03.02 EndoMarketing</t>
        </is>
      </c>
      <c r="C239" s="30" t="n">
        <v>46204</v>
      </c>
      <c r="D239" t="inlineStr">
        <is>
          <t>Em 2026</t>
        </is>
      </c>
      <c r="E239" s="28" t="n">
        <v>46226</v>
      </c>
      <c r="F239" t="inlineStr">
        <is>
          <t>NF-e</t>
        </is>
      </c>
      <c r="G239" t="inlineStr">
        <is>
          <t>065662681</t>
        </is>
      </c>
      <c r="H239" t="inlineStr">
        <is>
          <t>CRS EMPREENDIMENTOS LTDA</t>
        </is>
      </c>
      <c r="I239" t="inlineStr">
        <is>
          <t>09.107.509/0001-02</t>
        </is>
      </c>
      <c r="J239" s="29" t="n">
        <v>1485</v>
      </c>
      <c r="K239" t="inlineStr">
        <is>
          <t>2.556</t>
        </is>
      </c>
      <c r="L239" t="inlineStr">
        <is>
          <t>Não</t>
        </is>
      </c>
      <c r="M239" t="inlineStr">
        <is>
          <t>Compra/outras</t>
        </is>
      </c>
    </row>
    <row r="240">
      <c r="A240" t="inlineStr">
        <is>
          <t>NF-e sem título a pagar gerado no recebimento</t>
        </is>
      </c>
      <c r="B240" t="inlineStr">
        <is>
          <t>2.04.95 Copa e Cozinha</t>
        </is>
      </c>
      <c r="C240" s="30" t="n">
        <v>46204</v>
      </c>
      <c r="D240" t="inlineStr">
        <is>
          <t>Em 2026</t>
        </is>
      </c>
      <c r="E240" s="28" t="n">
        <v>46216</v>
      </c>
      <c r="F240" t="inlineStr">
        <is>
          <t>NF-e</t>
        </is>
      </c>
      <c r="G240" t="inlineStr">
        <is>
          <t>000758327</t>
        </is>
      </c>
      <c r="H240" t="inlineStr">
        <is>
          <t>DISTRIBUIDORA DE ALIMENTOS GALDINO</t>
        </is>
      </c>
      <c r="I240" t="inlineStr">
        <is>
          <t>08.208.024/0001-42</t>
        </is>
      </c>
      <c r="J240" s="29" t="n">
        <v>391.2</v>
      </c>
      <c r="K240" t="inlineStr">
        <is>
          <t>1.556</t>
        </is>
      </c>
      <c r="L240" t="inlineStr">
        <is>
          <t>Não</t>
        </is>
      </c>
      <c r="M240" t="inlineStr">
        <is>
          <t>Compra/outras</t>
        </is>
      </c>
    </row>
    <row r="241">
      <c r="A241" t="inlineStr">
        <is>
          <t>NF-e sem título a pagar gerado no recebimento</t>
        </is>
      </c>
      <c r="B241" t="inlineStr">
        <is>
          <t>2.04.95 Copa e Cozinha</t>
        </is>
      </c>
      <c r="C241" s="30" t="n">
        <v>46204</v>
      </c>
      <c r="D241" t="inlineStr">
        <is>
          <t>Em 2026</t>
        </is>
      </c>
      <c r="E241" s="28" t="n">
        <v>46232</v>
      </c>
      <c r="F241" t="inlineStr">
        <is>
          <t>NF-e</t>
        </is>
      </c>
      <c r="G241" t="inlineStr">
        <is>
          <t>000761870</t>
        </is>
      </c>
      <c r="H241" t="inlineStr">
        <is>
          <t>DISTRIBUIDORA DE ALIMENTOS GALDINO</t>
        </is>
      </c>
      <c r="I241" t="inlineStr">
        <is>
          <t>08.208.024/0001-42</t>
        </is>
      </c>
      <c r="J241" s="29" t="n">
        <v>391.2</v>
      </c>
      <c r="K241" t="inlineStr">
        <is>
          <t>1.556</t>
        </is>
      </c>
      <c r="L241" t="inlineStr">
        <is>
          <t>Não</t>
        </is>
      </c>
      <c r="M241" t="inlineStr">
        <is>
          <t>Compra/outras</t>
        </is>
      </c>
    </row>
    <row r="242">
      <c r="A242" t="inlineStr">
        <is>
          <t>NF-e sem título a pagar gerado no recebimento</t>
        </is>
      </c>
      <c r="B242" t="inlineStr">
        <is>
          <t>2.01.85 Compra de Uso e Consumo</t>
        </is>
      </c>
      <c r="C242" s="30" t="n">
        <v>46204</v>
      </c>
      <c r="D242" t="inlineStr">
        <is>
          <t>Em 2026</t>
        </is>
      </c>
      <c r="E242" s="28" t="n">
        <v>46209</v>
      </c>
      <c r="F242" t="inlineStr">
        <is>
          <t>NF-e</t>
        </is>
      </c>
      <c r="G242" t="inlineStr">
        <is>
          <t>021340345</t>
        </is>
      </c>
      <c r="H242" t="inlineStr">
        <is>
          <t>Ebazar.com.br. ltda</t>
        </is>
      </c>
      <c r="I242" t="inlineStr">
        <is>
          <t>03.007.331/0212-20</t>
        </is>
      </c>
      <c r="J242" s="29" t="n">
        <v>303.2</v>
      </c>
      <c r="K242" t="inlineStr">
        <is>
          <t>1.556</t>
        </is>
      </c>
      <c r="L242" t="inlineStr">
        <is>
          <t>Não</t>
        </is>
      </c>
      <c r="M242" t="inlineStr">
        <is>
          <t>Compra/outras</t>
        </is>
      </c>
    </row>
    <row r="243">
      <c r="A243" t="inlineStr">
        <is>
          <t>NF-e sem título a pagar gerado no recebimento</t>
        </is>
      </c>
      <c r="B243" t="inlineStr">
        <is>
          <t>2.01.78 Compra de Máquinas Pesadas</t>
        </is>
      </c>
      <c r="C243" s="30" t="n">
        <v>46204</v>
      </c>
      <c r="D243" t="inlineStr">
        <is>
          <t>Em 2026</t>
        </is>
      </c>
      <c r="E243" s="28" t="n">
        <v>46209</v>
      </c>
      <c r="F243" t="inlineStr">
        <is>
          <t>NF-e</t>
        </is>
      </c>
      <c r="G243" t="inlineStr">
        <is>
          <t>000072534</t>
        </is>
      </c>
      <c r="H243" t="inlineStr">
        <is>
          <t>FURNAX COMERCIAL E IMPORTADORA EIRELI</t>
        </is>
      </c>
      <c r="I243" t="inlineStr">
        <is>
          <t>00.144.257/0001-17</t>
        </is>
      </c>
      <c r="J243" s="29" t="n">
        <v>212054.1</v>
      </c>
      <c r="K243" t="inlineStr">
        <is>
          <t>2.101</t>
        </is>
      </c>
      <c r="L243" t="inlineStr">
        <is>
          <t>Não</t>
        </is>
      </c>
      <c r="M243" t="inlineStr">
        <is>
          <t>Compra/outras</t>
        </is>
      </c>
    </row>
    <row r="244">
      <c r="A244" t="inlineStr">
        <is>
          <t>NF-e sem título a pagar gerado no recebimento</t>
        </is>
      </c>
      <c r="B244" t="inlineStr">
        <is>
          <t>2.01.78 Compra de Máquinas Pesadas</t>
        </is>
      </c>
      <c r="C244" s="30" t="n">
        <v>46204</v>
      </c>
      <c r="D244" t="inlineStr">
        <is>
          <t>Em 2026</t>
        </is>
      </c>
      <c r="E244" s="28" t="n">
        <v>46209</v>
      </c>
      <c r="F244" t="inlineStr">
        <is>
          <t>NF-e</t>
        </is>
      </c>
      <c r="G244" t="inlineStr">
        <is>
          <t>000072535</t>
        </is>
      </c>
      <c r="H244" t="inlineStr">
        <is>
          <t>FURNAX COMERCIAL E IMPORTADORA EIRELI</t>
        </is>
      </c>
      <c r="I244" t="inlineStr">
        <is>
          <t>00.144.257/0001-17</t>
        </is>
      </c>
      <c r="J244" s="29" t="n">
        <v>68587.56</v>
      </c>
      <c r="K244" t="inlineStr">
        <is>
          <t>2.101</t>
        </is>
      </c>
      <c r="L244" t="inlineStr">
        <is>
          <t>Não</t>
        </is>
      </c>
      <c r="M244" t="inlineStr">
        <is>
          <t>Compra/outras</t>
        </is>
      </c>
    </row>
    <row r="245">
      <c r="A245" t="inlineStr">
        <is>
          <t>NF-e sem título a pagar gerado no recebimento</t>
        </is>
      </c>
      <c r="B245" t="inlineStr">
        <is>
          <t>2.07.01 Máquinas e Equipamentos</t>
        </is>
      </c>
      <c r="C245" s="30" t="n">
        <v>46204</v>
      </c>
      <c r="D245" t="inlineStr">
        <is>
          <t>Em 2026</t>
        </is>
      </c>
      <c r="E245" s="28" t="n">
        <v>46211</v>
      </c>
      <c r="F245" t="inlineStr">
        <is>
          <t>NF-e</t>
        </is>
      </c>
      <c r="G245" t="inlineStr">
        <is>
          <t>000041207</t>
        </is>
      </c>
      <c r="H245" t="inlineStr">
        <is>
          <t>GURGELMIX MAQUINAS E FERRAMENTAS S.A.</t>
        </is>
      </c>
      <c r="I245" t="inlineStr">
        <is>
          <t>29.302.348/0016-00</t>
        </is>
      </c>
      <c r="J245" s="29" t="n">
        <v>185.3</v>
      </c>
      <c r="K245" t="inlineStr">
        <is>
          <t>2.556</t>
        </is>
      </c>
      <c r="L245" t="inlineStr">
        <is>
          <t>Não</t>
        </is>
      </c>
      <c r="M245" t="inlineStr">
        <is>
          <t>Compra/outras</t>
        </is>
      </c>
    </row>
    <row r="246">
      <c r="A246" t="inlineStr">
        <is>
          <t>NF-e sem título a pagar gerado no recebimento</t>
        </is>
      </c>
      <c r="B246" t="inlineStr">
        <is>
          <t>2.07.01 Máquinas e Equipamentos</t>
        </is>
      </c>
      <c r="C246" s="30" t="n">
        <v>46204</v>
      </c>
      <c r="D246" t="inlineStr">
        <is>
          <t>Em 2026</t>
        </is>
      </c>
      <c r="E246" s="28" t="n">
        <v>46211</v>
      </c>
      <c r="F246" t="inlineStr">
        <is>
          <t>NF-e</t>
        </is>
      </c>
      <c r="G246" t="inlineStr">
        <is>
          <t>000009746</t>
        </is>
      </c>
      <c r="H246" t="inlineStr">
        <is>
          <t>GURGELMIX MAQUINAS E FERRAMENTAS S.A.</t>
        </is>
      </c>
      <c r="I246" t="inlineStr">
        <is>
          <t>29.302.348/0029-16</t>
        </is>
      </c>
      <c r="J246" s="29" t="n">
        <v>112.36</v>
      </c>
      <c r="K246" t="inlineStr">
        <is>
          <t>2.556</t>
        </is>
      </c>
      <c r="L246" t="inlineStr">
        <is>
          <t>Não</t>
        </is>
      </c>
      <c r="M246" t="inlineStr">
        <is>
          <t>Compra/outras</t>
        </is>
      </c>
    </row>
    <row r="247">
      <c r="A247" t="inlineStr">
        <is>
          <t>NF-e sem título a pagar gerado no recebimento</t>
        </is>
      </c>
      <c r="B247" t="inlineStr">
        <is>
          <t>2.07.01 Máquinas e Equipamentos</t>
        </is>
      </c>
      <c r="C247" s="30" t="n">
        <v>46204</v>
      </c>
      <c r="D247" t="inlineStr">
        <is>
          <t>Em 2026</t>
        </is>
      </c>
      <c r="E247" s="28" t="n">
        <v>46211</v>
      </c>
      <c r="F247" t="inlineStr">
        <is>
          <t>NF-e</t>
        </is>
      </c>
      <c r="G247" t="inlineStr">
        <is>
          <t>000047231</t>
        </is>
      </c>
      <c r="H247" t="inlineStr">
        <is>
          <t>GURGELMIX MAQUINAS E FERRAMENTAS S.A.</t>
        </is>
      </c>
      <c r="I247" t="inlineStr">
        <is>
          <t>29.302.348/0024-01</t>
        </is>
      </c>
      <c r="J247" s="29" t="n">
        <v>112.36</v>
      </c>
      <c r="K247" t="inlineStr">
        <is>
          <t>2.556</t>
        </is>
      </c>
      <c r="L247" t="inlineStr">
        <is>
          <t>Não</t>
        </is>
      </c>
      <c r="M247" t="inlineStr">
        <is>
          <t>Compra/outras</t>
        </is>
      </c>
    </row>
    <row r="248">
      <c r="A248" t="inlineStr">
        <is>
          <t>NF-e sem título a pagar gerado no recebimento</t>
        </is>
      </c>
      <c r="B248" t="inlineStr">
        <is>
          <t>2.07.01 Máquinas e Equipamentos</t>
        </is>
      </c>
      <c r="C248" s="30" t="n">
        <v>46204</v>
      </c>
      <c r="D248" t="inlineStr">
        <is>
          <t>Em 2026</t>
        </is>
      </c>
      <c r="E248" s="28" t="n">
        <v>46214</v>
      </c>
      <c r="F248" t="inlineStr">
        <is>
          <t>NF-e</t>
        </is>
      </c>
      <c r="G248" t="inlineStr">
        <is>
          <t>000520657</t>
        </is>
      </c>
      <c r="H248" t="inlineStr">
        <is>
          <t>GURGELMIX MAQUINAS E FERRAMENTAS S.A.</t>
        </is>
      </c>
      <c r="I248" t="inlineStr">
        <is>
          <t>29.302.348/0003-87</t>
        </is>
      </c>
      <c r="J248" s="29" t="n">
        <v>3429.49</v>
      </c>
      <c r="K248" t="inlineStr">
        <is>
          <t>2.556</t>
        </is>
      </c>
      <c r="L248" t="inlineStr">
        <is>
          <t>Não</t>
        </is>
      </c>
      <c r="M248" t="inlineStr">
        <is>
          <t>Compra/outras</t>
        </is>
      </c>
    </row>
    <row r="249">
      <c r="A249" t="inlineStr">
        <is>
          <t>NF-e sem título a pagar gerado no recebimento</t>
        </is>
      </c>
      <c r="B249" t="inlineStr">
        <is>
          <t>2.07.01 Máquinas e Equipamentos</t>
        </is>
      </c>
      <c r="C249" s="30" t="n">
        <v>46204</v>
      </c>
      <c r="D249" t="inlineStr">
        <is>
          <t>Em 2026</t>
        </is>
      </c>
      <c r="E249" s="28" t="n">
        <v>46217</v>
      </c>
      <c r="F249" t="inlineStr">
        <is>
          <t>NF-e</t>
        </is>
      </c>
      <c r="G249" t="inlineStr">
        <is>
          <t>000521108</t>
        </is>
      </c>
      <c r="H249" t="inlineStr">
        <is>
          <t>GURGELMIX MAQUINAS E FERRAMENTAS S.A.</t>
        </is>
      </c>
      <c r="I249" t="inlineStr">
        <is>
          <t>29.302.348/0003-87</t>
        </is>
      </c>
      <c r="J249" s="29" t="n">
        <v>13207.49</v>
      </c>
      <c r="K249" t="inlineStr">
        <is>
          <t>2.556</t>
        </is>
      </c>
      <c r="L249" t="inlineStr">
        <is>
          <t>Não</t>
        </is>
      </c>
      <c r="M249" t="inlineStr">
        <is>
          <t>Compra/outras</t>
        </is>
      </c>
    </row>
    <row r="250">
      <c r="A250" t="inlineStr">
        <is>
          <t>NF-e sem título a pagar gerado no recebimento</t>
        </is>
      </c>
      <c r="B250" t="inlineStr">
        <is>
          <t>2.01.85 Compra de Uso e Consumo</t>
        </is>
      </c>
      <c r="C250" s="30" t="n">
        <v>46204</v>
      </c>
      <c r="D250" t="inlineStr">
        <is>
          <t>Em 2026</t>
        </is>
      </c>
      <c r="E250" s="28" t="n">
        <v>46218</v>
      </c>
      <c r="F250" t="inlineStr">
        <is>
          <t>NF-e</t>
        </is>
      </c>
      <c r="G250" t="inlineStr">
        <is>
          <t>000000597</t>
        </is>
      </c>
      <c r="H250" t="inlineStr">
        <is>
          <t>ISOPLUS COMERCIO VAREJISTA DE FERRAGENS E ELETRICOS LTDA</t>
        </is>
      </c>
      <c r="I250" t="inlineStr">
        <is>
          <t>39.403.457/0001-82</t>
        </is>
      </c>
      <c r="J250" s="29" t="n">
        <v>468</v>
      </c>
      <c r="K250" t="inlineStr">
        <is>
          <t>1.556</t>
        </is>
      </c>
      <c r="L250" t="inlineStr">
        <is>
          <t>Não</t>
        </is>
      </c>
      <c r="M250" t="inlineStr">
        <is>
          <t>Compra/outras</t>
        </is>
      </c>
    </row>
    <row r="251">
      <c r="A251" t="inlineStr">
        <is>
          <t>NF-e sem título a pagar gerado no recebimento</t>
        </is>
      </c>
      <c r="B251" t="inlineStr">
        <is>
          <t>2.01.85 Compra de Uso e Consumo</t>
        </is>
      </c>
      <c r="C251" s="30" t="n">
        <v>46204</v>
      </c>
      <c r="D251" t="inlineStr">
        <is>
          <t>Em 2026</t>
        </is>
      </c>
      <c r="E251" s="28" t="n">
        <v>46232</v>
      </c>
      <c r="F251" t="inlineStr">
        <is>
          <t>NF-e</t>
        </is>
      </c>
      <c r="G251" t="inlineStr">
        <is>
          <t>000041481</t>
        </is>
      </c>
      <c r="H251" t="inlineStr">
        <is>
          <t>LASERFLEX INDUSTRIAL LTDA</t>
        </is>
      </c>
      <c r="I251" t="inlineStr">
        <is>
          <t>05.551.562/0001-47</t>
        </is>
      </c>
      <c r="J251" s="29" t="n">
        <v>9000</v>
      </c>
      <c r="K251" t="inlineStr">
        <is>
          <t>2.556</t>
        </is>
      </c>
      <c r="L251" t="inlineStr">
        <is>
          <t>Não</t>
        </is>
      </c>
      <c r="M251" t="inlineStr">
        <is>
          <t>Compra/outras</t>
        </is>
      </c>
    </row>
    <row r="252">
      <c r="A252" t="inlineStr">
        <is>
          <t>NF-e sem título a pagar gerado no recebimento</t>
        </is>
      </c>
      <c r="B252" t="inlineStr">
        <is>
          <t>2.01.85 Compra de Uso e Consumo</t>
        </is>
      </c>
      <c r="C252" s="30" t="n">
        <v>46204</v>
      </c>
      <c r="D252" t="inlineStr">
        <is>
          <t>Em 2026</t>
        </is>
      </c>
      <c r="E252" s="28" t="n">
        <v>46234</v>
      </c>
      <c r="F252" t="inlineStr">
        <is>
          <t>NF-e</t>
        </is>
      </c>
      <c r="G252" t="inlineStr">
        <is>
          <t>000041544</t>
        </is>
      </c>
      <c r="H252" t="inlineStr">
        <is>
          <t>LASERFLEX INDUSTRIAL LTDA</t>
        </is>
      </c>
      <c r="I252" t="inlineStr">
        <is>
          <t>05.551.562/0001-47</t>
        </is>
      </c>
      <c r="J252" s="29" t="n">
        <v>9000</v>
      </c>
      <c r="K252" t="inlineStr">
        <is>
          <t>2.556</t>
        </is>
      </c>
      <c r="L252" t="inlineStr">
        <is>
          <t>Não</t>
        </is>
      </c>
      <c r="M252" t="inlineStr">
        <is>
          <t>Compra/outras</t>
        </is>
      </c>
    </row>
    <row r="253">
      <c r="A253" t="inlineStr">
        <is>
          <t>NF-e sem título a pagar gerado no recebimento</t>
        </is>
      </c>
      <c r="B253" t="inlineStr">
        <is>
          <t>2.07.01 Máquinas e Equipamentos</t>
        </is>
      </c>
      <c r="C253" s="30" t="n">
        <v>46204</v>
      </c>
      <c r="D253" t="inlineStr">
        <is>
          <t>Em 2026</t>
        </is>
      </c>
      <c r="E253" s="28" t="n">
        <v>46232</v>
      </c>
      <c r="F253" t="inlineStr">
        <is>
          <t>NF-e</t>
        </is>
      </c>
      <c r="G253" t="inlineStr">
        <is>
          <t>000041480</t>
        </is>
      </c>
      <c r="H253" t="inlineStr">
        <is>
          <t>LASERFLEX INDUSTRIAL LTDA</t>
        </is>
      </c>
      <c r="I253" t="inlineStr">
        <is>
          <t>05.551.562/0001-47</t>
        </is>
      </c>
      <c r="J253" s="29" t="n">
        <v>23000</v>
      </c>
      <c r="K253" t="inlineStr">
        <is>
          <t>2.556</t>
        </is>
      </c>
      <c r="L253" t="inlineStr">
        <is>
          <t>Não</t>
        </is>
      </c>
      <c r="M253" t="inlineStr">
        <is>
          <t>Compra/outras</t>
        </is>
      </c>
    </row>
    <row r="254">
      <c r="A254" t="inlineStr">
        <is>
          <t>NF-e sem título a pagar gerado no recebimento</t>
        </is>
      </c>
      <c r="B254" t="inlineStr">
        <is>
          <t>2.07.01 Máquinas e Equipamentos</t>
        </is>
      </c>
      <c r="C254" s="30" t="n">
        <v>46204</v>
      </c>
      <c r="D254" t="inlineStr">
        <is>
          <t>Em 2026</t>
        </is>
      </c>
      <c r="E254" s="28" t="n">
        <v>46210</v>
      </c>
      <c r="F254" t="inlineStr">
        <is>
          <t>NF-e</t>
        </is>
      </c>
      <c r="G254" t="inlineStr">
        <is>
          <t>000047625</t>
        </is>
      </c>
      <c r="H254" t="inlineStr">
        <is>
          <t>MIRANDA COMPUTACAO E COMERCIO LTDA</t>
        </is>
      </c>
      <c r="I254" t="inlineStr">
        <is>
          <t>11.982.113/0011-28</t>
        </is>
      </c>
      <c r="J254" s="29" t="n">
        <v>1776</v>
      </c>
      <c r="K254" t="inlineStr">
        <is>
          <t>1.556</t>
        </is>
      </c>
      <c r="L254" t="inlineStr">
        <is>
          <t>Não</t>
        </is>
      </c>
      <c r="M254" t="inlineStr">
        <is>
          <t>Entrega futura (x.116/x.117)</t>
        </is>
      </c>
    </row>
    <row r="255">
      <c r="A255" t="inlineStr">
        <is>
          <t>NF-e sem título a pagar gerado no recebimento</t>
        </is>
      </c>
      <c r="B255" t="inlineStr">
        <is>
          <t>2.07.04 Equipamentos de Informática</t>
        </is>
      </c>
      <c r="C255" s="30" t="n">
        <v>46204</v>
      </c>
      <c r="D255" t="inlineStr">
        <is>
          <t>Em 2026</t>
        </is>
      </c>
      <c r="E255" s="28" t="n">
        <v>46223</v>
      </c>
      <c r="F255" t="inlineStr">
        <is>
          <t>NF-e</t>
        </is>
      </c>
      <c r="G255" t="inlineStr">
        <is>
          <t>000048011</t>
        </is>
      </c>
      <c r="H255" t="inlineStr">
        <is>
          <t>MIRANDA COMPUTACAO E COMERCIO LTDA</t>
        </is>
      </c>
      <c r="I255" t="inlineStr">
        <is>
          <t>11.982.113/0011-28</t>
        </is>
      </c>
      <c r="J255" s="29" t="n">
        <v>287.82</v>
      </c>
      <c r="K255" t="inlineStr">
        <is>
          <t>1.556</t>
        </is>
      </c>
      <c r="L255" t="inlineStr">
        <is>
          <t>Não</t>
        </is>
      </c>
      <c r="M255" t="inlineStr">
        <is>
          <t>Compra/outras</t>
        </is>
      </c>
    </row>
    <row r="256">
      <c r="A256" t="inlineStr">
        <is>
          <t>NF-e sem título a pagar gerado no recebimento</t>
        </is>
      </c>
      <c r="B256" t="inlineStr">
        <is>
          <t>2.07.01 Máquinas e Equipamentos</t>
        </is>
      </c>
      <c r="C256" s="30" t="n">
        <v>46204</v>
      </c>
      <c r="D256" t="inlineStr">
        <is>
          <t>Em 2026</t>
        </is>
      </c>
      <c r="E256" s="28" t="n">
        <v>46205</v>
      </c>
      <c r="F256" t="inlineStr">
        <is>
          <t>NF-e</t>
        </is>
      </c>
      <c r="G256" t="inlineStr">
        <is>
          <t>002439116</t>
        </is>
      </c>
      <c r="H256" t="inlineStr">
        <is>
          <t>MULTYLOG EMPILHADEIRAS LTDA</t>
        </is>
      </c>
      <c r="I256" t="inlineStr">
        <is>
          <t>05.102.150/0001-20</t>
        </is>
      </c>
      <c r="J256" s="29" t="n">
        <v>6000</v>
      </c>
      <c r="K256" t="inlineStr">
        <is>
          <t>1.556</t>
        </is>
      </c>
      <c r="L256" t="inlineStr">
        <is>
          <t>Não</t>
        </is>
      </c>
      <c r="M256" t="inlineStr">
        <is>
          <t>Compra/outras</t>
        </is>
      </c>
    </row>
    <row r="257">
      <c r="A257" t="inlineStr">
        <is>
          <t>NF-e sem título a pagar gerado no recebimento</t>
        </is>
      </c>
      <c r="B257" t="inlineStr">
        <is>
          <t>2.01.85 Compra de Uso e Consumo</t>
        </is>
      </c>
      <c r="C257" s="30" t="n">
        <v>46204</v>
      </c>
      <c r="D257" t="inlineStr">
        <is>
          <t>Em 2026</t>
        </is>
      </c>
      <c r="E257" s="28" t="n">
        <v>46212</v>
      </c>
      <c r="F257" t="inlineStr">
        <is>
          <t>NF-e</t>
        </is>
      </c>
      <c r="G257" t="inlineStr">
        <is>
          <t>000034379</t>
        </is>
      </c>
      <c r="H257" t="inlineStr">
        <is>
          <t>VIEIRA ACO INDUSTRIA e COMERCIO LTDA</t>
        </is>
      </c>
      <c r="I257" t="inlineStr">
        <is>
          <t>12.281.632/0011-21</t>
        </is>
      </c>
      <c r="J257" s="29" t="n">
        <v>107.5</v>
      </c>
      <c r="K257" t="inlineStr">
        <is>
          <t>1.556</t>
        </is>
      </c>
      <c r="L257" t="inlineStr">
        <is>
          <t>Não</t>
        </is>
      </c>
      <c r="M257" t="inlineStr">
        <is>
          <t>Compra/outras</t>
        </is>
      </c>
    </row>
    <row r="258">
      <c r="A258" t="inlineStr">
        <is>
          <t>NF-e sem título a pagar gerado no recebimento</t>
        </is>
      </c>
      <c r="B258" t="inlineStr">
        <is>
          <t>2.01.85 Compra de Uso e Consumo</t>
        </is>
      </c>
      <c r="C258" s="30" t="n">
        <v>46204</v>
      </c>
      <c r="D258" t="inlineStr">
        <is>
          <t>Em 2026</t>
        </is>
      </c>
      <c r="E258" s="28" t="n">
        <v>46225</v>
      </c>
      <c r="F258" t="inlineStr">
        <is>
          <t>NF-e</t>
        </is>
      </c>
      <c r="G258" t="inlineStr">
        <is>
          <t>000000750</t>
        </is>
      </c>
      <c r="H258" t="inlineStr">
        <is>
          <t>ZEDAN MULTICOMERCIO LTDA</t>
        </is>
      </c>
      <c r="I258" t="inlineStr">
        <is>
          <t>56.384.302/0001-65</t>
        </is>
      </c>
      <c r="J258" s="29" t="n">
        <v>534</v>
      </c>
      <c r="K258" t="inlineStr">
        <is>
          <t>1.556</t>
        </is>
      </c>
      <c r="L258" t="inlineStr">
        <is>
          <t>Não</t>
        </is>
      </c>
      <c r="M258" t="inlineStr">
        <is>
          <t>Compra/outras</t>
        </is>
      </c>
    </row>
    <row r="259">
      <c r="A259" t="inlineStr">
        <is>
          <t>NF-e sem título a pagar gerado no recebimento</t>
        </is>
      </c>
      <c r="B259" t="inlineStr">
        <is>
          <t>2.01.85 Compra de Uso e Consumo</t>
        </is>
      </c>
      <c r="C259" s="30" t="n">
        <v>46235</v>
      </c>
      <c r="D259" t="inlineStr">
        <is>
          <t>Em 2026</t>
        </is>
      </c>
      <c r="E259" s="28" t="n">
        <v>46248</v>
      </c>
      <c r="F259" t="inlineStr">
        <is>
          <t>NF-e</t>
        </is>
      </c>
      <c r="G259" t="inlineStr">
        <is>
          <t>000089231</t>
        </is>
      </c>
      <c r="H259" t="inlineStr">
        <is>
          <t>BA - LOJAO DA ECONOMICA MATERIAIS DE CONSTRUCAO LTDA - EPP</t>
        </is>
      </c>
      <c r="I259" t="inlineStr">
        <is>
          <t>09.158.643/0002-13</t>
        </is>
      </c>
      <c r="J259" s="29" t="n">
        <v>26.99</v>
      </c>
      <c r="K259" t="inlineStr">
        <is>
          <t>1.556</t>
        </is>
      </c>
      <c r="L259" t="inlineStr">
        <is>
          <t>Não</t>
        </is>
      </c>
      <c r="M259" t="inlineStr">
        <is>
          <t>Compra/outras</t>
        </is>
      </c>
    </row>
    <row r="260">
      <c r="A260" t="inlineStr">
        <is>
          <t>NF-e sem título a pagar gerado no recebimento</t>
        </is>
      </c>
      <c r="B260" t="inlineStr">
        <is>
          <t>2.01.85 Compra de Uso e Consumo</t>
        </is>
      </c>
      <c r="C260" s="30" t="n">
        <v>46235</v>
      </c>
      <c r="D260" t="inlineStr">
        <is>
          <t>Em 2026</t>
        </is>
      </c>
      <c r="E260" s="28" t="n">
        <v>46260</v>
      </c>
      <c r="F260" t="inlineStr">
        <is>
          <t>NF-e</t>
        </is>
      </c>
      <c r="G260" t="inlineStr">
        <is>
          <t>000019654</t>
        </is>
      </c>
      <c r="H260" t="inlineStr">
        <is>
          <t>CAMPLAST COMERCIO DE EMBALAGENS LTDA</t>
        </is>
      </c>
      <c r="I260" t="inlineStr">
        <is>
          <t>41.127.689/0006-01</t>
        </is>
      </c>
      <c r="J260" s="29" t="n">
        <v>1124</v>
      </c>
      <c r="K260" t="inlineStr">
        <is>
          <t>1.556</t>
        </is>
      </c>
      <c r="L260" t="inlineStr">
        <is>
          <t>Não</t>
        </is>
      </c>
      <c r="M260" t="inlineStr">
        <is>
          <t>Compra/outras</t>
        </is>
      </c>
    </row>
    <row r="261">
      <c r="A261" t="inlineStr">
        <is>
          <t>NF-e sem título a pagar gerado no recebimento</t>
        </is>
      </c>
      <c r="B261" t="inlineStr">
        <is>
          <t>2.01.03 Compra de Matéria Prima (Papel)</t>
        </is>
      </c>
      <c r="C261" s="30" t="n">
        <v>46235</v>
      </c>
      <c r="D261" t="inlineStr">
        <is>
          <t>Em 2026</t>
        </is>
      </c>
      <c r="E261" s="28" t="n">
        <v>46247</v>
      </c>
      <c r="F261" t="inlineStr">
        <is>
          <t>NF-e</t>
        </is>
      </c>
      <c r="G261" t="inlineStr">
        <is>
          <t>000000120</t>
        </is>
      </c>
      <c r="H261" t="inlineStr">
        <is>
          <t>COMERCIAL CASA NOVA MATERIAL DE CONSTRUCAO PB LTDA</t>
        </is>
      </c>
      <c r="I261" t="inlineStr">
        <is>
          <t>44.336.205/0001-18</t>
        </is>
      </c>
      <c r="J261" s="29" t="n">
        <v>247</v>
      </c>
      <c r="K261" t="inlineStr">
        <is>
          <t>1.556</t>
        </is>
      </c>
      <c r="L261" t="inlineStr">
        <is>
          <t>Não</t>
        </is>
      </c>
      <c r="M261" t="inlineStr">
        <is>
          <t>Compra/outras</t>
        </is>
      </c>
    </row>
    <row r="262">
      <c r="A262" t="inlineStr">
        <is>
          <t>NF-e sem título a pagar gerado no recebimento</t>
        </is>
      </c>
      <c r="B262" t="inlineStr">
        <is>
          <t>2.01.85 Compra de Uso e Consumo</t>
        </is>
      </c>
      <c r="C262" s="30" t="n">
        <v>46235</v>
      </c>
      <c r="D262" t="inlineStr">
        <is>
          <t>Em 2026</t>
        </is>
      </c>
      <c r="E262" s="28" t="n">
        <v>46258</v>
      </c>
      <c r="F262" t="inlineStr">
        <is>
          <t>NF-e</t>
        </is>
      </c>
      <c r="G262" t="inlineStr">
        <is>
          <t>000091355</t>
        </is>
      </c>
      <c r="H262" t="inlineStr">
        <is>
          <t>GMC COMPONENTES ELETRICOS E AUTOMACAO LTDA</t>
        </is>
      </c>
      <c r="I262" t="inlineStr">
        <is>
          <t>19.594.385/0003-52</t>
        </is>
      </c>
      <c r="J262" s="29" t="n">
        <v>112.23</v>
      </c>
      <c r="K262" t="inlineStr">
        <is>
          <t>2.556</t>
        </is>
      </c>
      <c r="L262" t="inlineStr">
        <is>
          <t>Não</t>
        </is>
      </c>
      <c r="M262" t="inlineStr">
        <is>
          <t>Compra/outras</t>
        </is>
      </c>
    </row>
    <row r="263">
      <c r="A263" t="inlineStr">
        <is>
          <t>NF-e sem título a pagar gerado no recebimento</t>
        </is>
      </c>
      <c r="B263" t="inlineStr">
        <is>
          <t>2.07.01 Máquinas e Equipamentos</t>
        </is>
      </c>
      <c r="C263" s="30" t="n">
        <v>46235</v>
      </c>
      <c r="D263" t="inlineStr">
        <is>
          <t>Em 2026</t>
        </is>
      </c>
      <c r="E263" s="28" t="n">
        <v>46262</v>
      </c>
      <c r="F263" t="inlineStr">
        <is>
          <t>NF-e</t>
        </is>
      </c>
      <c r="G263" t="inlineStr">
        <is>
          <t>000049021</t>
        </is>
      </c>
      <c r="H263" t="inlineStr">
        <is>
          <t>MIRANDA COMPUTACAO E COMERCIO LTDA</t>
        </is>
      </c>
      <c r="I263" t="inlineStr">
        <is>
          <t>11.982.113/0011-28</t>
        </is>
      </c>
      <c r="J263" s="29" t="n">
        <v>4747.6</v>
      </c>
      <c r="K263" t="inlineStr">
        <is>
          <t>2.556</t>
        </is>
      </c>
      <c r="L263" t="inlineStr">
        <is>
          <t>Não</t>
        </is>
      </c>
      <c r="M263" t="inlineStr">
        <is>
          <t>Entrega futura (x.116/x.117)</t>
        </is>
      </c>
    </row>
    <row r="264">
      <c r="A264" t="inlineStr">
        <is>
          <t>NF-e sem título a pagar gerado no recebimento</t>
        </is>
      </c>
      <c r="B264" t="inlineStr">
        <is>
          <t>2.01.85 Compra de Uso e Consumo</t>
        </is>
      </c>
      <c r="C264" s="30" t="n">
        <v>46235</v>
      </c>
      <c r="D264" t="inlineStr">
        <is>
          <t>Em 2026</t>
        </is>
      </c>
      <c r="E264" s="28" t="n">
        <v>46240</v>
      </c>
      <c r="F264" t="inlineStr">
        <is>
          <t>NF-e</t>
        </is>
      </c>
      <c r="G264" t="inlineStr">
        <is>
          <t>000009118</t>
        </is>
      </c>
      <c r="H264" t="inlineStr">
        <is>
          <t>S D COMERCIO DE ARTIGOS DE BRINDES E SERVICOS GRAFICOS LTDA</t>
        </is>
      </c>
      <c r="I264" t="inlineStr">
        <is>
          <t>41.570.283/0001-94</t>
        </is>
      </c>
      <c r="J264" s="29" t="n">
        <v>315</v>
      </c>
      <c r="K264" t="inlineStr">
        <is>
          <t>1.556</t>
        </is>
      </c>
      <c r="L264" t="inlineStr">
        <is>
          <t>Não</t>
        </is>
      </c>
      <c r="M264" t="inlineStr">
        <is>
          <t>Compra/outras</t>
        </is>
      </c>
    </row>
    <row r="265">
      <c r="A265" t="inlineStr">
        <is>
          <t>NF-e sem título a pagar gerado no recebimento</t>
        </is>
      </c>
      <c r="B265" t="inlineStr">
        <is>
          <t>2.07.05 Compra de Móveis e Utensílios</t>
        </is>
      </c>
      <c r="C265" s="30" t="n">
        <v>46235</v>
      </c>
      <c r="D265" t="inlineStr">
        <is>
          <t>Em 2026</t>
        </is>
      </c>
      <c r="E265" s="28" t="n">
        <v>46246</v>
      </c>
      <c r="F265" t="inlineStr">
        <is>
          <t>NF-e</t>
        </is>
      </c>
      <c r="G265" t="inlineStr">
        <is>
          <t>000001312</t>
        </is>
      </c>
      <c r="H265" t="inlineStr">
        <is>
          <t>STOCK SISTEMA DE ARMAZENAGEM E CONSTRUTIVOS METALICOS LTDA</t>
        </is>
      </c>
      <c r="I265" t="inlineStr">
        <is>
          <t>35.546.490/0001-00</t>
        </is>
      </c>
      <c r="J265" s="29" t="n">
        <v>107500</v>
      </c>
      <c r="K265" t="inlineStr">
        <is>
          <t>1.556</t>
        </is>
      </c>
      <c r="L265" t="inlineStr">
        <is>
          <t>Não</t>
        </is>
      </c>
      <c r="M265" t="inlineStr">
        <is>
          <t>Entrega futura (x.116/x.117)</t>
        </is>
      </c>
    </row>
    <row r="266">
      <c r="A266" t="inlineStr">
        <is>
          <t>NF-e sem título a pagar gerado no recebimento</t>
        </is>
      </c>
      <c r="B266" t="inlineStr">
        <is>
          <t>2.01.88 Manutenção e Conservação de Máquina</t>
        </is>
      </c>
      <c r="C266" s="30" t="n">
        <v>46235</v>
      </c>
      <c r="D266" t="inlineStr">
        <is>
          <t>Em 2026</t>
        </is>
      </c>
      <c r="E266" s="28" t="n">
        <v>46241</v>
      </c>
      <c r="F266" t="inlineStr">
        <is>
          <t>NF-e</t>
        </is>
      </c>
      <c r="G266" t="inlineStr">
        <is>
          <t>000029001</t>
        </is>
      </c>
      <c r="H266" t="inlineStr">
        <is>
          <t>TENDENCIA VIVO COMERCIO LTDA</t>
        </is>
      </c>
      <c r="I266" t="inlineStr">
        <is>
          <t>62.986.178/0001-00</t>
        </is>
      </c>
      <c r="J266" s="29" t="n">
        <v>101.26</v>
      </c>
      <c r="K266" t="inlineStr">
        <is>
          <t>1.556</t>
        </is>
      </c>
      <c r="L266" t="inlineStr">
        <is>
          <t>Não</t>
        </is>
      </c>
      <c r="M266" t="inlineStr">
        <is>
          <t>Compra/outras</t>
        </is>
      </c>
    </row>
    <row r="267">
      <c r="A267" t="inlineStr">
        <is>
          <t>NF-e sem título a pagar gerado no recebimento</t>
        </is>
      </c>
      <c r="B267" t="inlineStr">
        <is>
          <t>2.07.05 Compra de Móveis e Utensílios</t>
        </is>
      </c>
      <c r="C267" s="30" t="n">
        <v>46235</v>
      </c>
      <c r="D267" t="inlineStr">
        <is>
          <t>Em 2026</t>
        </is>
      </c>
      <c r="E267" s="28" t="n">
        <v>46261</v>
      </c>
      <c r="F267" t="inlineStr">
        <is>
          <t>NF-e</t>
        </is>
      </c>
      <c r="G267" t="inlineStr">
        <is>
          <t>000004514</t>
        </is>
      </c>
      <c r="H267" t="inlineStr">
        <is>
          <t>THIAGO GABRIEL MOVEIS LTDA</t>
        </is>
      </c>
      <c r="I267" t="inlineStr">
        <is>
          <t>47.698.480/0001-70</t>
        </is>
      </c>
      <c r="J267" s="29" t="n">
        <v>3145</v>
      </c>
      <c r="K267" t="inlineStr">
        <is>
          <t>1.556</t>
        </is>
      </c>
      <c r="L267" t="inlineStr">
        <is>
          <t>Não</t>
        </is>
      </c>
      <c r="M267" t="inlineStr">
        <is>
          <t>Compra/outras</t>
        </is>
      </c>
    </row>
    <row r="268">
      <c r="A268" t="inlineStr">
        <is>
          <t>NF-e sem título a pagar gerado no recebimento</t>
        </is>
      </c>
      <c r="B268" t="inlineStr">
        <is>
          <t>2.01.03 Compra de Matéria Prima (Papel)</t>
        </is>
      </c>
      <c r="C268" s="30" t="n">
        <v>46266</v>
      </c>
      <c r="D268" t="inlineStr">
        <is>
          <t>Em 2026</t>
        </is>
      </c>
      <c r="E268" s="28" t="n">
        <v>46267</v>
      </c>
      <c r="F268" t="inlineStr">
        <is>
          <t>NF-e</t>
        </is>
      </c>
      <c r="G268" t="inlineStr">
        <is>
          <t>000053281</t>
        </is>
      </c>
      <c r="H268" t="inlineStr">
        <is>
          <t>ANIN INDUSTRIA E COMERCIO DE PAPEL LTDA</t>
        </is>
      </c>
      <c r="I268" t="inlineStr">
        <is>
          <t>39.285.002/0001-00</t>
        </is>
      </c>
      <c r="J268" s="29" t="n">
        <v>54163.91</v>
      </c>
      <c r="K268" t="inlineStr">
        <is>
          <t>2.101</t>
        </is>
      </c>
      <c r="L268" t="inlineStr">
        <is>
          <t>Não</t>
        </is>
      </c>
      <c r="M268" t="inlineStr">
        <is>
          <t>Compra/outras</t>
        </is>
      </c>
    </row>
    <row r="269">
      <c r="A269" t="inlineStr">
        <is>
          <t>NF-e sem título a pagar gerado no recebimento</t>
        </is>
      </c>
      <c r="B269" t="inlineStr">
        <is>
          <t>2.01.85 Compra de Uso e Consumo</t>
        </is>
      </c>
      <c r="C269" s="30" t="n">
        <v>46266</v>
      </c>
      <c r="D269" t="inlineStr">
        <is>
          <t>Em 2026</t>
        </is>
      </c>
      <c r="E269" s="28" t="n">
        <v>46276</v>
      </c>
      <c r="F269" t="inlineStr">
        <is>
          <t>NF-e</t>
        </is>
      </c>
      <c r="G269" t="inlineStr">
        <is>
          <t>000010892</t>
        </is>
      </c>
      <c r="H269" t="inlineStr">
        <is>
          <t>BRAGA COMERCIAL DE FERRAGENS E MATERIAL DE CONSTRUCAO LTDA</t>
        </is>
      </c>
      <c r="I269" t="inlineStr">
        <is>
          <t>27.730.166/0001-10</t>
        </is>
      </c>
      <c r="J269" s="29" t="n">
        <v>30</v>
      </c>
      <c r="K269" t="inlineStr">
        <is>
          <t>1.556</t>
        </is>
      </c>
      <c r="L269" t="inlineStr">
        <is>
          <t>Não</t>
        </is>
      </c>
      <c r="M269" t="inlineStr">
        <is>
          <t>Compra/outras</t>
        </is>
      </c>
    </row>
    <row r="270">
      <c r="A270" t="inlineStr">
        <is>
          <t>NF-e sem título a pagar gerado no recebimento</t>
        </is>
      </c>
      <c r="B270" t="inlineStr">
        <is>
          <t>2.04.95 Copa e Cozinha</t>
        </is>
      </c>
      <c r="C270" s="30" t="n">
        <v>46266</v>
      </c>
      <c r="D270" t="inlineStr">
        <is>
          <t>Em 2026</t>
        </is>
      </c>
      <c r="E270" s="28" t="n">
        <v>46283</v>
      </c>
      <c r="F270" t="inlineStr">
        <is>
          <t>NF-e</t>
        </is>
      </c>
      <c r="G270" t="inlineStr">
        <is>
          <t>000772150</t>
        </is>
      </c>
      <c r="H270" t="inlineStr">
        <is>
          <t>DISTRIBUIDORA DE ALIMENTOS GALDINO</t>
        </is>
      </c>
      <c r="I270" t="inlineStr">
        <is>
          <t>08.208.024/0001-42</t>
        </is>
      </c>
      <c r="J270" s="29" t="n">
        <v>379.2</v>
      </c>
      <c r="K270" t="inlineStr">
        <is>
          <t>1.556</t>
        </is>
      </c>
      <c r="L270" t="inlineStr">
        <is>
          <t>Não</t>
        </is>
      </c>
      <c r="M270" t="inlineStr">
        <is>
          <t>Compra/outras</t>
        </is>
      </c>
    </row>
    <row r="271">
      <c r="A271" t="inlineStr">
        <is>
          <t>NF-e sem título a pagar gerado no recebimento</t>
        </is>
      </c>
      <c r="B271" t="inlineStr">
        <is>
          <t>2.01.85 Compra de Uso e Consumo</t>
        </is>
      </c>
      <c r="C271" s="30" t="n">
        <v>46266</v>
      </c>
      <c r="D271" t="inlineStr">
        <is>
          <t>Em 2026</t>
        </is>
      </c>
      <c r="E271" s="28" t="n">
        <v>46283</v>
      </c>
      <c r="F271" t="inlineStr">
        <is>
          <t>NF-e</t>
        </is>
      </c>
      <c r="G271" t="inlineStr">
        <is>
          <t>000001351</t>
        </is>
      </c>
      <c r="H271" t="inlineStr">
        <is>
          <t>STOCK SISTEMA DE ARMAZENAGEM E CONSTRUTIVOS METALICOS LTDA</t>
        </is>
      </c>
      <c r="I271" t="inlineStr">
        <is>
          <t>35.546.490/0001-00</t>
        </is>
      </c>
      <c r="J271" s="29" t="n">
        <v>15489.73</v>
      </c>
      <c r="K271" t="inlineStr">
        <is>
          <t>2.102</t>
        </is>
      </c>
      <c r="L271" t="inlineStr">
        <is>
          <t>Não</t>
        </is>
      </c>
      <c r="M271" t="inlineStr">
        <is>
          <t>Compra/outras</t>
        </is>
      </c>
      <c r="N271" t="inlineStr">
        <is>
          <t>Valor rateado entre categorias, como no Omie | Impostos rateados proporcionalmente ao valor da categoria (documento com mais de uma categoria)</t>
        </is>
      </c>
    </row>
    <row r="272">
      <c r="A272" t="inlineStr">
        <is>
          <t>NF-e sem título a pagar gerado no recebimento</t>
        </is>
      </c>
      <c r="B272" t="inlineStr">
        <is>
          <t>2.07.05 Compra de Móveis e Utensílios</t>
        </is>
      </c>
      <c r="C272" s="30" t="n">
        <v>46266</v>
      </c>
      <c r="D272" t="inlineStr">
        <is>
          <t>Em 2026</t>
        </is>
      </c>
      <c r="E272" s="28" t="n">
        <v>46283</v>
      </c>
      <c r="F272" t="inlineStr">
        <is>
          <t>NF-e</t>
        </is>
      </c>
      <c r="G272" t="inlineStr">
        <is>
          <t>000001351</t>
        </is>
      </c>
      <c r="H272" t="inlineStr">
        <is>
          <t>STOCK SISTEMA DE ARMAZENAGEM E CONSTRUTIVOS METALICOS LTDA</t>
        </is>
      </c>
      <c r="I272" t="inlineStr">
        <is>
          <t>35.546.490/0001-00</t>
        </is>
      </c>
      <c r="J272" s="29" t="n">
        <v>2295.78</v>
      </c>
      <c r="K272" t="inlineStr">
        <is>
          <t>2.102</t>
        </is>
      </c>
      <c r="L272" t="inlineStr">
        <is>
          <t>Não</t>
        </is>
      </c>
      <c r="M272" t="inlineStr">
        <is>
          <t>Compra/outras</t>
        </is>
      </c>
      <c r="N272" t="inlineStr">
        <is>
          <t>Valor rateado entre categorias, como no Omie | Impostos rateados proporcionalmente ao valor da categoria (documento com mais de uma categoria)</t>
        </is>
      </c>
    </row>
    <row r="273">
      <c r="A273" t="inlineStr">
        <is>
          <t>NF-e sem título a pagar gerado no recebimento</t>
        </is>
      </c>
      <c r="B273" t="inlineStr">
        <is>
          <t>2.07.05 Compra de Móveis e Utensílios</t>
        </is>
      </c>
      <c r="C273" s="30" t="n">
        <v>46266</v>
      </c>
      <c r="D273" t="inlineStr">
        <is>
          <t>Em 2026</t>
        </is>
      </c>
      <c r="E273" s="28" t="n">
        <v>46279</v>
      </c>
      <c r="F273" t="inlineStr">
        <is>
          <t>NF-e</t>
        </is>
      </c>
      <c r="G273" t="inlineStr">
        <is>
          <t>000004586</t>
        </is>
      </c>
      <c r="H273" t="inlineStr">
        <is>
          <t>THIAGO GABRIEL MOVEIS LTDA</t>
        </is>
      </c>
      <c r="I273" t="inlineStr">
        <is>
          <t>47.698.480/0001-70</t>
        </is>
      </c>
      <c r="J273" s="29" t="n">
        <v>2565</v>
      </c>
      <c r="K273" t="inlineStr">
        <is>
          <t>1.556</t>
        </is>
      </c>
      <c r="L273" t="inlineStr">
        <is>
          <t>Não</t>
        </is>
      </c>
      <c r="M273" t="inlineStr">
        <is>
          <t>Compra/outras</t>
        </is>
      </c>
    </row>
    <row r="274">
      <c r="A274" t="inlineStr">
        <is>
          <t>Remessa de mercadoria (categoria 2.01.84)</t>
        </is>
      </c>
      <c r="B274" t="inlineStr">
        <is>
          <t>2.01.84 Remessa de Mercadoria</t>
        </is>
      </c>
      <c r="C274" t="inlineStr">
        <is>
          <t>Antes de 2026</t>
        </is>
      </c>
      <c r="D274" t="inlineStr">
        <is>
          <t>Antes de 2026</t>
        </is>
      </c>
      <c r="E274" s="28" t="n">
        <v>45498</v>
      </c>
      <c r="F274" t="inlineStr">
        <is>
          <t>NF-e</t>
        </is>
      </c>
      <c r="G274" t="inlineStr">
        <is>
          <t>000000911</t>
        </is>
      </c>
      <c r="H274" t="inlineStr">
        <is>
          <t>54.377.987 RICHELLI RAUHYLSON MENDONCA</t>
        </is>
      </c>
      <c r="I274" t="inlineStr">
        <is>
          <t>54.377.987/0001-97</t>
        </is>
      </c>
      <c r="J274" s="29" t="n">
        <v>137.48</v>
      </c>
      <c r="K274" t="inlineStr">
        <is>
          <t>1.556</t>
        </is>
      </c>
      <c r="L274" t="inlineStr">
        <is>
          <t>Não</t>
        </is>
      </c>
      <c r="M274" t="inlineStr">
        <is>
          <t>Compra/outras</t>
        </is>
      </c>
    </row>
    <row r="275">
      <c r="A275" t="inlineStr">
        <is>
          <t>Remessa de mercadoria (categoria 2.01.84)</t>
        </is>
      </c>
      <c r="B275" t="inlineStr">
        <is>
          <t>2.01.84 Remessa de Mercadoria</t>
        </is>
      </c>
      <c r="C275" t="inlineStr">
        <is>
          <t>Antes de 2026</t>
        </is>
      </c>
      <c r="D275" t="inlineStr">
        <is>
          <t>Antes de 2026</t>
        </is>
      </c>
      <c r="E275" s="28" t="n">
        <v>45364</v>
      </c>
      <c r="F275" t="inlineStr">
        <is>
          <t>NF-e</t>
        </is>
      </c>
      <c r="G275" t="inlineStr">
        <is>
          <t>000000004</t>
        </is>
      </c>
      <c r="H275" t="inlineStr">
        <is>
          <t>A S GONCALVES LTDA</t>
        </is>
      </c>
      <c r="I275" t="inlineStr">
        <is>
          <t>24.311.556/0001-67</t>
        </is>
      </c>
      <c r="J275" s="29" t="n">
        <v>12008</v>
      </c>
      <c r="K275" t="inlineStr">
        <is>
          <t>1.556</t>
        </is>
      </c>
      <c r="L275" t="inlineStr">
        <is>
          <t>Não</t>
        </is>
      </c>
      <c r="M275" t="inlineStr">
        <is>
          <t>Compra/outras</t>
        </is>
      </c>
    </row>
    <row r="276">
      <c r="A276" t="inlineStr">
        <is>
          <t>Remessa de mercadoria (categoria 2.01.84)</t>
        </is>
      </c>
      <c r="B276" t="inlineStr">
        <is>
          <t>2.01.84 Remessa de Mercadoria</t>
        </is>
      </c>
      <c r="C276" t="inlineStr">
        <is>
          <t>Antes de 2026</t>
        </is>
      </c>
      <c r="D276" t="inlineStr">
        <is>
          <t>Antes de 2026</t>
        </is>
      </c>
      <c r="E276" s="28" t="n">
        <v>45302</v>
      </c>
      <c r="F276" t="inlineStr">
        <is>
          <t>NF-e</t>
        </is>
      </c>
      <c r="G276" t="inlineStr">
        <is>
          <t>000038030</t>
        </is>
      </c>
      <c r="H276" t="inlineStr">
        <is>
          <t>ADERE PRODUTOS AUTO ADESIVOS LTDA</t>
        </is>
      </c>
      <c r="I276" t="inlineStr">
        <is>
          <t>46.062.030/0005-57</t>
        </is>
      </c>
      <c r="J276" s="29" t="n">
        <v>680.9400000000001</v>
      </c>
      <c r="K276" t="inlineStr">
        <is>
          <t>1.556</t>
        </is>
      </c>
      <c r="L276" t="inlineStr">
        <is>
          <t>Não</t>
        </is>
      </c>
      <c r="M276" t="inlineStr">
        <is>
          <t>Compra/outras</t>
        </is>
      </c>
    </row>
    <row r="277">
      <c r="A277" t="inlineStr">
        <is>
          <t>Remessa de mercadoria (categoria 2.01.84)</t>
        </is>
      </c>
      <c r="B277" t="inlineStr">
        <is>
          <t>2.01.84 Remessa de Mercadoria</t>
        </is>
      </c>
      <c r="C277" t="inlineStr">
        <is>
          <t>Antes de 2026</t>
        </is>
      </c>
      <c r="D277" t="inlineStr">
        <is>
          <t>Antes de 2026</t>
        </is>
      </c>
      <c r="E277" s="28" t="n">
        <v>45307</v>
      </c>
      <c r="F277" t="inlineStr">
        <is>
          <t>NF-e</t>
        </is>
      </c>
      <c r="G277" t="inlineStr">
        <is>
          <t>000038058</t>
        </is>
      </c>
      <c r="H277" t="inlineStr">
        <is>
          <t>ADERE PRODUTOS AUTO ADESIVOS LTDA</t>
        </is>
      </c>
      <c r="I277" t="inlineStr">
        <is>
          <t>46.062.030/0005-57</t>
        </is>
      </c>
      <c r="J277" s="29" t="n">
        <v>766.0700000000001</v>
      </c>
      <c r="K277" t="inlineStr">
        <is>
          <t>1.556</t>
        </is>
      </c>
      <c r="L277" t="inlineStr">
        <is>
          <t>Não</t>
        </is>
      </c>
      <c r="M277" t="inlineStr">
        <is>
          <t>Compra/outras</t>
        </is>
      </c>
    </row>
    <row r="278">
      <c r="A278" t="inlineStr">
        <is>
          <t>Remessa de mercadoria (categoria 2.01.84)</t>
        </is>
      </c>
      <c r="B278" t="inlineStr">
        <is>
          <t>2.01.84 Remessa de Mercadoria</t>
        </is>
      </c>
      <c r="C278" t="inlineStr">
        <is>
          <t>Antes de 2026</t>
        </is>
      </c>
      <c r="D278" t="inlineStr">
        <is>
          <t>Antes de 2026</t>
        </is>
      </c>
      <c r="E278" s="28" t="n">
        <v>45539</v>
      </c>
      <c r="F278" t="inlineStr">
        <is>
          <t>NF-e</t>
        </is>
      </c>
      <c r="G278" t="inlineStr">
        <is>
          <t>000040260</t>
        </is>
      </c>
      <c r="H278" t="inlineStr">
        <is>
          <t>ADERE PRODUTOS AUTO ADESIVOS LTDA</t>
        </is>
      </c>
      <c r="I278" t="inlineStr">
        <is>
          <t>46.062.030/0005-57</t>
        </is>
      </c>
      <c r="J278" s="29" t="n">
        <v>1380.87</v>
      </c>
      <c r="K278" t="inlineStr">
        <is>
          <t>1.556</t>
        </is>
      </c>
      <c r="L278" t="inlineStr">
        <is>
          <t>Não</t>
        </is>
      </c>
      <c r="M278" t="inlineStr">
        <is>
          <t>Compra/outras</t>
        </is>
      </c>
    </row>
    <row r="279">
      <c r="A279" t="inlineStr">
        <is>
          <t>Remessa de mercadoria (categoria 2.01.84)</t>
        </is>
      </c>
      <c r="B279" t="inlineStr">
        <is>
          <t>2.01.84 Remessa de Mercadoria</t>
        </is>
      </c>
      <c r="C279" t="inlineStr">
        <is>
          <t>Antes de 2026</t>
        </is>
      </c>
      <c r="D279" t="inlineStr">
        <is>
          <t>Antes de 2026</t>
        </is>
      </c>
      <c r="E279" s="28" t="n">
        <v>45579</v>
      </c>
      <c r="F279" t="inlineStr">
        <is>
          <t>NF-e</t>
        </is>
      </c>
      <c r="G279" t="inlineStr">
        <is>
          <t>000162174</t>
        </is>
      </c>
      <c r="H279" t="inlineStr">
        <is>
          <t>ALBUQUERQUE E FREIRE LTDA</t>
        </is>
      </c>
      <c r="I279" t="inlineStr">
        <is>
          <t>09.358.347/0001-85</t>
        </is>
      </c>
      <c r="J279" s="29" t="n">
        <v>2523</v>
      </c>
      <c r="K279" t="inlineStr">
        <is>
          <t>1.556</t>
        </is>
      </c>
      <c r="L279" t="inlineStr">
        <is>
          <t>Não</t>
        </is>
      </c>
      <c r="M279" t="inlineStr">
        <is>
          <t>Compra/outras</t>
        </is>
      </c>
    </row>
    <row r="280">
      <c r="A280" t="inlineStr">
        <is>
          <t>Remessa de mercadoria (categoria 2.01.84)</t>
        </is>
      </c>
      <c r="B280" t="inlineStr">
        <is>
          <t>2.01.84 Remessa de Mercadoria</t>
        </is>
      </c>
      <c r="C280" t="inlineStr">
        <is>
          <t>Antes de 2026</t>
        </is>
      </c>
      <c r="D280" t="inlineStr">
        <is>
          <t>Antes de 2026</t>
        </is>
      </c>
      <c r="E280" s="28" t="n">
        <v>45663</v>
      </c>
      <c r="F280" t="inlineStr">
        <is>
          <t>NF-e</t>
        </is>
      </c>
      <c r="G280" t="inlineStr">
        <is>
          <t>000164775</t>
        </is>
      </c>
      <c r="H280" t="inlineStr">
        <is>
          <t>ALBUQUERQUE E FREIRE LTDA</t>
        </is>
      </c>
      <c r="I280" t="inlineStr">
        <is>
          <t>09.358.347/0001-85</t>
        </is>
      </c>
      <c r="J280" s="29" t="n">
        <v>2018.4</v>
      </c>
      <c r="K280" t="inlineStr">
        <is>
          <t>1.556</t>
        </is>
      </c>
      <c r="L280" t="inlineStr">
        <is>
          <t>Não</t>
        </is>
      </c>
      <c r="M280" t="inlineStr">
        <is>
          <t>Compra/outras</t>
        </is>
      </c>
    </row>
    <row r="281">
      <c r="A281" t="inlineStr">
        <is>
          <t>Remessa de mercadoria (categoria 2.01.84)</t>
        </is>
      </c>
      <c r="B281" t="inlineStr">
        <is>
          <t>2.01.84 Remessa de Mercadoria</t>
        </is>
      </c>
      <c r="C281" t="inlineStr">
        <is>
          <t>Antes de 2026</t>
        </is>
      </c>
      <c r="D281" t="inlineStr">
        <is>
          <t>Antes de 2026</t>
        </is>
      </c>
      <c r="E281" s="28" t="n">
        <v>45625</v>
      </c>
      <c r="F281" t="inlineStr">
        <is>
          <t>NF-e</t>
        </is>
      </c>
      <c r="G281" t="inlineStr">
        <is>
          <t>000081728</t>
        </is>
      </c>
      <c r="H281" t="inlineStr">
        <is>
          <t>ALDORO INDUSTRIA DE POS E PIGMENTOS METALICOS LTDA</t>
        </is>
      </c>
      <c r="I281" t="inlineStr">
        <is>
          <t>47.340.930/0001-58</t>
        </is>
      </c>
      <c r="J281" s="29" t="n">
        <v>0.2</v>
      </c>
      <c r="K281" t="inlineStr">
        <is>
          <t>1.556</t>
        </is>
      </c>
      <c r="L281" t="inlineStr">
        <is>
          <t>Não</t>
        </is>
      </c>
      <c r="M281" t="inlineStr">
        <is>
          <t>Compra/outras</t>
        </is>
      </c>
    </row>
    <row r="282">
      <c r="A282" t="inlineStr">
        <is>
          <t>Remessa de mercadoria (categoria 2.01.84)</t>
        </is>
      </c>
      <c r="B282" t="inlineStr">
        <is>
          <t>2.01.84 Remessa de Mercadoria</t>
        </is>
      </c>
      <c r="C282" t="inlineStr">
        <is>
          <t>Antes de 2026</t>
        </is>
      </c>
      <c r="D282" t="inlineStr">
        <is>
          <t>Antes de 2026</t>
        </is>
      </c>
      <c r="E282" s="28" t="n">
        <v>45495</v>
      </c>
      <c r="F282" t="inlineStr">
        <is>
          <t>CT-e</t>
        </is>
      </c>
      <c r="G282" t="inlineStr">
        <is>
          <t>000032879</t>
        </is>
      </c>
      <c r="H282" t="inlineStr">
        <is>
          <t>ALIANCA NAVEGACAO E LOGISTICA LTDA</t>
        </is>
      </c>
      <c r="J282" s="29" t="n">
        <v>15352.02</v>
      </c>
      <c r="K282" t="inlineStr">
        <is>
          <t>1.556</t>
        </is>
      </c>
      <c r="L282" t="inlineStr">
        <is>
          <t>Não</t>
        </is>
      </c>
      <c r="N282" t="inlineStr">
        <is>
          <t>Modalidade: 1 - Por conta do destinatário | Parte: COCELPA CIA DE CEL. E PAPEL DO PARANA SA (76.487.651/0001-10)</t>
        </is>
      </c>
    </row>
    <row r="283">
      <c r="A283" t="inlineStr">
        <is>
          <t>Remessa de mercadoria (categoria 2.01.84)</t>
        </is>
      </c>
      <c r="B283" t="inlineStr">
        <is>
          <t>2.01.84 Remessa de Mercadoria</t>
        </is>
      </c>
      <c r="C283" t="inlineStr">
        <is>
          <t>Antes de 2026</t>
        </is>
      </c>
      <c r="D283" t="inlineStr">
        <is>
          <t>Antes de 2026</t>
        </is>
      </c>
      <c r="E283" s="28" t="n">
        <v>45495</v>
      </c>
      <c r="F283" t="inlineStr">
        <is>
          <t>CT-e</t>
        </is>
      </c>
      <c r="G283" t="inlineStr">
        <is>
          <t>000032880</t>
        </is>
      </c>
      <c r="H283" t="inlineStr">
        <is>
          <t>ALIANCA NAVEGACAO E LOGISTICA LTDA</t>
        </is>
      </c>
      <c r="J283" s="29" t="n">
        <v>15349.71</v>
      </c>
      <c r="K283" t="inlineStr">
        <is>
          <t>1.556</t>
        </is>
      </c>
      <c r="L283" t="inlineStr">
        <is>
          <t>Não</t>
        </is>
      </c>
      <c r="N283" t="inlineStr">
        <is>
          <t>Modalidade: 1 - Por conta do destinatário | Parte: COCELPA CIA DE CEL. E PAPEL DO PARANA SA (76.487.651/0001-10)</t>
        </is>
      </c>
    </row>
    <row r="284">
      <c r="A284" t="inlineStr">
        <is>
          <t>Remessa de mercadoria (categoria 2.01.84)</t>
        </is>
      </c>
      <c r="B284" t="inlineStr">
        <is>
          <t>2.01.84 Remessa de Mercadoria</t>
        </is>
      </c>
      <c r="C284" t="inlineStr">
        <is>
          <t>Antes de 2026</t>
        </is>
      </c>
      <c r="D284" t="inlineStr">
        <is>
          <t>Antes de 2026</t>
        </is>
      </c>
      <c r="E284" s="28" t="n">
        <v>45495</v>
      </c>
      <c r="F284" t="inlineStr">
        <is>
          <t>CT-e</t>
        </is>
      </c>
      <c r="G284" t="inlineStr">
        <is>
          <t>000032887</t>
        </is>
      </c>
      <c r="H284" t="inlineStr">
        <is>
          <t>ALIANCA NAVEGACAO E LOGISTICA LTDA</t>
        </is>
      </c>
      <c r="J284" s="29" t="n">
        <v>15348.01</v>
      </c>
      <c r="K284" t="inlineStr">
        <is>
          <t>1.556</t>
        </is>
      </c>
      <c r="L284" t="inlineStr">
        <is>
          <t>Não</t>
        </is>
      </c>
      <c r="N284" t="inlineStr">
        <is>
          <t>Modalidade: 1 - Por conta do destinatário | Parte: COCELPA CIA DE CEL. E PAPEL DO PARANA SA (76.487.651/0001-10)</t>
        </is>
      </c>
    </row>
    <row r="285">
      <c r="A285" t="inlineStr">
        <is>
          <t>Remessa de mercadoria (categoria 2.01.84)</t>
        </is>
      </c>
      <c r="B285" t="inlineStr">
        <is>
          <t>2.01.84 Remessa de Mercadoria</t>
        </is>
      </c>
      <c r="C285" t="inlineStr">
        <is>
          <t>Antes de 2026</t>
        </is>
      </c>
      <c r="D285" t="inlineStr">
        <is>
          <t>Antes de 2026</t>
        </is>
      </c>
      <c r="E285" s="28" t="n">
        <v>45496</v>
      </c>
      <c r="F285" t="inlineStr">
        <is>
          <t>CT-e</t>
        </is>
      </c>
      <c r="G285" t="inlineStr">
        <is>
          <t>000032893</t>
        </is>
      </c>
      <c r="H285" t="inlineStr">
        <is>
          <t>ALIANCA NAVEGACAO E LOGISTICA LTDA</t>
        </is>
      </c>
      <c r="J285" s="29" t="n">
        <v>15380.87</v>
      </c>
      <c r="K285" t="inlineStr">
        <is>
          <t>1.556</t>
        </is>
      </c>
      <c r="L285" t="inlineStr">
        <is>
          <t>Não</t>
        </is>
      </c>
      <c r="N285" t="inlineStr">
        <is>
          <t>Modalidade: 1 - Por conta do destinatário | Parte: COCELPA CIA DE CEL. E PAPEL DO PARANA SA (76.487.651/0001-10)</t>
        </is>
      </c>
    </row>
    <row r="286">
      <c r="A286" t="inlineStr">
        <is>
          <t>Remessa de mercadoria (categoria 2.01.84)</t>
        </is>
      </c>
      <c r="B286" t="inlineStr">
        <is>
          <t>2.01.84 Remessa de Mercadoria</t>
        </is>
      </c>
      <c r="C286" t="inlineStr">
        <is>
          <t>Antes de 2026</t>
        </is>
      </c>
      <c r="D286" t="inlineStr">
        <is>
          <t>Antes de 2026</t>
        </is>
      </c>
      <c r="E286" s="28" t="n">
        <v>45496</v>
      </c>
      <c r="F286" t="inlineStr">
        <is>
          <t>CT-e</t>
        </is>
      </c>
      <c r="G286" t="inlineStr">
        <is>
          <t>000032897</t>
        </is>
      </c>
      <c r="H286" t="inlineStr">
        <is>
          <t>ALIANCA NAVEGACAO E LOGISTICA LTDA</t>
        </is>
      </c>
      <c r="J286" s="29" t="n">
        <v>15348.01</v>
      </c>
      <c r="K286" t="inlineStr">
        <is>
          <t>1.556</t>
        </is>
      </c>
      <c r="L286" t="inlineStr">
        <is>
          <t>Não</t>
        </is>
      </c>
      <c r="N286" t="inlineStr">
        <is>
          <t>Modalidade: 1 - Por conta do destinatário | Parte: COCELPA CIA DE CEL. E PAPEL DO PARANA SA (76.487.651/0001-10)</t>
        </is>
      </c>
    </row>
    <row r="287">
      <c r="A287" t="inlineStr">
        <is>
          <t>Remessa de mercadoria (categoria 2.01.84)</t>
        </is>
      </c>
      <c r="B287" t="inlineStr">
        <is>
          <t>2.01.84 Remessa de Mercadoria</t>
        </is>
      </c>
      <c r="C287" t="inlineStr">
        <is>
          <t>Antes de 2026</t>
        </is>
      </c>
      <c r="D287" t="inlineStr">
        <is>
          <t>Antes de 2026</t>
        </is>
      </c>
      <c r="E287" s="28" t="n">
        <v>45497</v>
      </c>
      <c r="F287" t="inlineStr">
        <is>
          <t>CT-e</t>
        </is>
      </c>
      <c r="G287" t="inlineStr">
        <is>
          <t>000032933</t>
        </is>
      </c>
      <c r="H287" t="inlineStr">
        <is>
          <t>ALIANCA NAVEGACAO E LOGISTICA LTDA</t>
        </is>
      </c>
      <c r="J287" s="29" t="n">
        <v>15348.83</v>
      </c>
      <c r="K287" t="inlineStr">
        <is>
          <t>1.556</t>
        </is>
      </c>
      <c r="L287" t="inlineStr">
        <is>
          <t>Não</t>
        </is>
      </c>
      <c r="N287" t="inlineStr">
        <is>
          <t>Modalidade: 1 - Por conta do destinatário | Parte: COCELPA CIA DE CEL. E PAPEL DO PARANA SA (76.487.651/0001-10)</t>
        </is>
      </c>
    </row>
    <row r="288">
      <c r="A288" t="inlineStr">
        <is>
          <t>Remessa de mercadoria (categoria 2.01.84)</t>
        </is>
      </c>
      <c r="B288" t="inlineStr">
        <is>
          <t>2.01.84 Remessa de Mercadoria</t>
        </is>
      </c>
      <c r="C288" t="inlineStr">
        <is>
          <t>Antes de 2026</t>
        </is>
      </c>
      <c r="D288" t="inlineStr">
        <is>
          <t>Antes de 2026</t>
        </is>
      </c>
      <c r="E288" s="28" t="n">
        <v>45497</v>
      </c>
      <c r="F288" t="inlineStr">
        <is>
          <t>CT-e</t>
        </is>
      </c>
      <c r="G288" t="inlineStr">
        <is>
          <t>000032934</t>
        </is>
      </c>
      <c r="H288" t="inlineStr">
        <is>
          <t>ALIANCA NAVEGACAO E LOGISTICA LTDA</t>
        </is>
      </c>
      <c r="J288" s="29" t="n">
        <v>15348.91</v>
      </c>
      <c r="K288" t="inlineStr">
        <is>
          <t>1.556</t>
        </is>
      </c>
      <c r="L288" t="inlineStr">
        <is>
          <t>Não</t>
        </is>
      </c>
      <c r="N288" t="inlineStr">
        <is>
          <t>Modalidade: 1 - Por conta do destinatário | Parte: COCELPA CIA DE CEL. E PAPEL DO PARANA SA (76.487.651/0001-10)</t>
        </is>
      </c>
    </row>
    <row r="289">
      <c r="A289" t="inlineStr">
        <is>
          <t>Remessa de mercadoria (categoria 2.01.84)</t>
        </is>
      </c>
      <c r="B289" t="inlineStr">
        <is>
          <t>2.01.84 Remessa de Mercadoria</t>
        </is>
      </c>
      <c r="C289" t="inlineStr">
        <is>
          <t>Antes de 2026</t>
        </is>
      </c>
      <c r="D289" t="inlineStr">
        <is>
          <t>Antes de 2026</t>
        </is>
      </c>
      <c r="E289" s="28" t="n">
        <v>45497</v>
      </c>
      <c r="F289" t="inlineStr">
        <is>
          <t>CT-e</t>
        </is>
      </c>
      <c r="G289" t="inlineStr">
        <is>
          <t>000032941</t>
        </is>
      </c>
      <c r="H289" t="inlineStr">
        <is>
          <t>ALIANCA NAVEGACAO E LOGISTICA LTDA</t>
        </is>
      </c>
      <c r="J289" s="29" t="n">
        <v>15348.01</v>
      </c>
      <c r="K289" t="inlineStr">
        <is>
          <t>1.556</t>
        </is>
      </c>
      <c r="L289" t="inlineStr">
        <is>
          <t>Não</t>
        </is>
      </c>
      <c r="N289" t="inlineStr">
        <is>
          <t>Modalidade: 1 - Por conta do destinatário | Parte: COCELPA CIA DE CEL. E PAPEL DO PARANA SA (76.487.651/0001-10)</t>
        </is>
      </c>
    </row>
    <row r="290">
      <c r="A290" t="inlineStr">
        <is>
          <t>Remessa de mercadoria (categoria 2.01.84)</t>
        </is>
      </c>
      <c r="B290" t="inlineStr">
        <is>
          <t>2.01.84 Remessa de Mercadoria</t>
        </is>
      </c>
      <c r="C290" t="inlineStr">
        <is>
          <t>Antes de 2026</t>
        </is>
      </c>
      <c r="D290" t="inlineStr">
        <is>
          <t>Antes de 2026</t>
        </is>
      </c>
      <c r="E290" s="28" t="n">
        <v>45497</v>
      </c>
      <c r="F290" t="inlineStr">
        <is>
          <t>CT-e</t>
        </is>
      </c>
      <c r="G290" t="inlineStr">
        <is>
          <t>000032942</t>
        </is>
      </c>
      <c r="H290" t="inlineStr">
        <is>
          <t>ALIANCA NAVEGACAO E LOGISTICA LTDA</t>
        </is>
      </c>
      <c r="J290" s="29" t="n">
        <v>15348.01</v>
      </c>
      <c r="K290" t="inlineStr">
        <is>
          <t>1.556</t>
        </is>
      </c>
      <c r="L290" t="inlineStr">
        <is>
          <t>Não</t>
        </is>
      </c>
      <c r="N290" t="inlineStr">
        <is>
          <t>Modalidade: 1 - Por conta do destinatário | Parte: COCELPA CIA DE CEL. E PAPEL DO PARANA SA (76.487.651/0001-10)</t>
        </is>
      </c>
    </row>
    <row r="291">
      <c r="A291" t="inlineStr">
        <is>
          <t>Remessa de mercadoria (categoria 2.01.84)</t>
        </is>
      </c>
      <c r="B291" t="inlineStr">
        <is>
          <t>2.01.84 Remessa de Mercadoria</t>
        </is>
      </c>
      <c r="C291" t="inlineStr">
        <is>
          <t>Antes de 2026</t>
        </is>
      </c>
      <c r="D291" t="inlineStr">
        <is>
          <t>Antes de 2026</t>
        </is>
      </c>
      <c r="E291" s="28" t="n">
        <v>45498</v>
      </c>
      <c r="F291" t="inlineStr">
        <is>
          <t>CT-e</t>
        </is>
      </c>
      <c r="G291" t="inlineStr">
        <is>
          <t>000032973</t>
        </is>
      </c>
      <c r="H291" t="inlineStr">
        <is>
          <t>ALIANCA NAVEGACAO E LOGISTICA LTDA</t>
        </is>
      </c>
      <c r="J291" s="29" t="n">
        <v>15349.67</v>
      </c>
      <c r="K291" t="inlineStr">
        <is>
          <t>1.556</t>
        </is>
      </c>
      <c r="L291" t="inlineStr">
        <is>
          <t>Não</t>
        </is>
      </c>
      <c r="N291" t="inlineStr">
        <is>
          <t>Modalidade: 1 - Por conta do destinatário | Parte: COCELPA CIA DE CEL. E PAPEL DO PARANA SA (76.487.651/0001-10)</t>
        </is>
      </c>
    </row>
    <row r="292">
      <c r="A292" t="inlineStr">
        <is>
          <t>Remessa de mercadoria (categoria 2.01.84)</t>
        </is>
      </c>
      <c r="B292" t="inlineStr">
        <is>
          <t>2.01.84 Remessa de Mercadoria</t>
        </is>
      </c>
      <c r="C292" t="inlineStr">
        <is>
          <t>Antes de 2026</t>
        </is>
      </c>
      <c r="D292" t="inlineStr">
        <is>
          <t>Antes de 2026</t>
        </is>
      </c>
      <c r="E292" s="28" t="n">
        <v>45498</v>
      </c>
      <c r="F292" t="inlineStr">
        <is>
          <t>CT-e</t>
        </is>
      </c>
      <c r="G292" t="inlineStr">
        <is>
          <t>000032974</t>
        </is>
      </c>
      <c r="H292" t="inlineStr">
        <is>
          <t>ALIANCA NAVEGACAO E LOGISTICA LTDA</t>
        </is>
      </c>
      <c r="J292" s="29" t="n">
        <v>15348.37</v>
      </c>
      <c r="K292" t="inlineStr">
        <is>
          <t>1.556</t>
        </is>
      </c>
      <c r="L292" t="inlineStr">
        <is>
          <t>Não</t>
        </is>
      </c>
      <c r="N292" t="inlineStr">
        <is>
          <t>Modalidade: 1 - Por conta do destinatário | Parte: COCELPA CIA DE CEL. E PAPEL DO PARANA SA (76.487.651/0001-10)</t>
        </is>
      </c>
    </row>
    <row r="293">
      <c r="A293" t="inlineStr">
        <is>
          <t>Remessa de mercadoria (categoria 2.01.84)</t>
        </is>
      </c>
      <c r="B293" t="inlineStr">
        <is>
          <t>2.01.84 Remessa de Mercadoria</t>
        </is>
      </c>
      <c r="C293" t="inlineStr">
        <is>
          <t>Antes de 2026</t>
        </is>
      </c>
      <c r="D293" t="inlineStr">
        <is>
          <t>Antes de 2026</t>
        </is>
      </c>
      <c r="E293" s="28" t="n">
        <v>45545</v>
      </c>
      <c r="F293" t="inlineStr">
        <is>
          <t>CT-e</t>
        </is>
      </c>
      <c r="G293" t="inlineStr">
        <is>
          <t>000033660</t>
        </is>
      </c>
      <c r="H293" t="inlineStr">
        <is>
          <t>ALIANCA NAVEGACAO E LOGISTICA LTDA</t>
        </is>
      </c>
      <c r="J293" s="29" t="n">
        <v>15384.85</v>
      </c>
      <c r="K293" t="inlineStr">
        <is>
          <t>1.556</t>
        </is>
      </c>
      <c r="L293" t="inlineStr">
        <is>
          <t>Não</t>
        </is>
      </c>
      <c r="N293" t="inlineStr">
        <is>
          <t>Modalidade: 1 - Por conta do destinatário | Parte: COCELPA CIA DE CEL. E PAPEL DO PARANA SA (76.487.651/0001-10)</t>
        </is>
      </c>
    </row>
    <row r="294">
      <c r="A294" t="inlineStr">
        <is>
          <t>Remessa de mercadoria (categoria 2.01.84)</t>
        </is>
      </c>
      <c r="B294" t="inlineStr">
        <is>
          <t>2.01.84 Remessa de Mercadoria</t>
        </is>
      </c>
      <c r="C294" t="inlineStr">
        <is>
          <t>Antes de 2026</t>
        </is>
      </c>
      <c r="D294" t="inlineStr">
        <is>
          <t>Antes de 2026</t>
        </is>
      </c>
      <c r="E294" s="28" t="n">
        <v>45545</v>
      </c>
      <c r="F294" t="inlineStr">
        <is>
          <t>CT-e</t>
        </is>
      </c>
      <c r="G294" t="inlineStr">
        <is>
          <t>000033668</t>
        </is>
      </c>
      <c r="H294" t="inlineStr">
        <is>
          <t>ALIANCA NAVEGACAO E LOGISTICA LTDA</t>
        </is>
      </c>
      <c r="J294" s="29" t="n">
        <v>15375.97</v>
      </c>
      <c r="K294" t="inlineStr">
        <is>
          <t>1.556</t>
        </is>
      </c>
      <c r="L294" t="inlineStr">
        <is>
          <t>Não</t>
        </is>
      </c>
      <c r="N294" t="inlineStr">
        <is>
          <t>Modalidade: 1 - Por conta do destinatário | Parte: COCELPA CIA DE CEL. E PAPEL DO PARANA SA (76.487.651/0001-10)</t>
        </is>
      </c>
    </row>
    <row r="295">
      <c r="A295" t="inlineStr">
        <is>
          <t>Remessa de mercadoria (categoria 2.01.84)</t>
        </is>
      </c>
      <c r="B295" t="inlineStr">
        <is>
          <t>2.01.84 Remessa de Mercadoria</t>
        </is>
      </c>
      <c r="C295" t="inlineStr">
        <is>
          <t>Antes de 2026</t>
        </is>
      </c>
      <c r="D295" t="inlineStr">
        <is>
          <t>Antes de 2026</t>
        </is>
      </c>
      <c r="E295" s="28" t="n">
        <v>45565</v>
      </c>
      <c r="F295" t="inlineStr">
        <is>
          <t>NF-e</t>
        </is>
      </c>
      <c r="G295" t="inlineStr">
        <is>
          <t>000000225</t>
        </is>
      </c>
      <c r="H295" t="inlineStr">
        <is>
          <t>ALLTECH COMERCIO E SERVICOS LTDA</t>
        </is>
      </c>
      <c r="I295" t="inlineStr">
        <is>
          <t>36.569.679/0001-81</t>
        </is>
      </c>
      <c r="J295" s="29" t="n">
        <v>20000</v>
      </c>
      <c r="K295" t="inlineStr">
        <is>
          <t>1.556</t>
        </is>
      </c>
      <c r="L295" t="inlineStr">
        <is>
          <t>Não</t>
        </is>
      </c>
      <c r="M295" t="inlineStr">
        <is>
          <t>Compra/outras</t>
        </is>
      </c>
    </row>
    <row r="296">
      <c r="A296" t="inlineStr">
        <is>
          <t>Remessa de mercadoria (categoria 2.01.84)</t>
        </is>
      </c>
      <c r="B296" t="inlineStr">
        <is>
          <t>2.01.84 Remessa de Mercadoria</t>
        </is>
      </c>
      <c r="C296" t="inlineStr">
        <is>
          <t>Antes de 2026</t>
        </is>
      </c>
      <c r="D296" t="inlineStr">
        <is>
          <t>Antes de 2026</t>
        </is>
      </c>
      <c r="E296" s="28" t="n">
        <v>45558</v>
      </c>
      <c r="F296" t="inlineStr">
        <is>
          <t>NF-e</t>
        </is>
      </c>
      <c r="G296" t="inlineStr">
        <is>
          <t>000000086</t>
        </is>
      </c>
      <c r="H296" t="inlineStr">
        <is>
          <t>ANDRE FILLYPE ARAUJO FERREIRA 11536386499</t>
        </is>
      </c>
      <c r="I296" t="inlineStr">
        <is>
          <t>30.867.598/0001-81</t>
        </is>
      </c>
      <c r="J296" s="29" t="n">
        <v>750</v>
      </c>
      <c r="K296" t="inlineStr">
        <is>
          <t>1.556</t>
        </is>
      </c>
      <c r="L296" t="inlineStr">
        <is>
          <t>Não</t>
        </is>
      </c>
      <c r="M296" t="inlineStr">
        <is>
          <t>Compra/outras</t>
        </is>
      </c>
    </row>
    <row r="297">
      <c r="A297" t="inlineStr">
        <is>
          <t>Remessa de mercadoria (categoria 2.01.84)</t>
        </is>
      </c>
      <c r="B297" t="inlineStr">
        <is>
          <t>2.01.84 Remessa de Mercadoria</t>
        </is>
      </c>
      <c r="C297" t="inlineStr">
        <is>
          <t>Antes de 2026</t>
        </is>
      </c>
      <c r="D297" t="inlineStr">
        <is>
          <t>Antes de 2026</t>
        </is>
      </c>
      <c r="E297" s="28" t="n">
        <v>45533</v>
      </c>
      <c r="F297" t="inlineStr">
        <is>
          <t>NF-e</t>
        </is>
      </c>
      <c r="G297" t="inlineStr">
        <is>
          <t>000017809</t>
        </is>
      </c>
      <c r="H297" t="inlineStr">
        <is>
          <t>APARECIDA KANAIAMA 05394650896</t>
        </is>
      </c>
      <c r="I297" t="inlineStr">
        <is>
          <t>47.164.730/0001-91</t>
        </is>
      </c>
      <c r="J297" s="29" t="n">
        <v>201.38</v>
      </c>
      <c r="K297" t="inlineStr">
        <is>
          <t>1.556</t>
        </is>
      </c>
      <c r="L297" t="inlineStr">
        <is>
          <t>Não</t>
        </is>
      </c>
      <c r="M297" t="inlineStr">
        <is>
          <t>Compra/outras</t>
        </is>
      </c>
    </row>
    <row r="298">
      <c r="A298" t="inlineStr">
        <is>
          <t>Remessa de mercadoria (categoria 2.01.84)</t>
        </is>
      </c>
      <c r="B298" t="inlineStr">
        <is>
          <t>2.01.84 Remessa de Mercadoria</t>
        </is>
      </c>
      <c r="C298" t="inlineStr">
        <is>
          <t>Antes de 2026</t>
        </is>
      </c>
      <c r="D298" t="inlineStr">
        <is>
          <t>Antes de 2026</t>
        </is>
      </c>
      <c r="E298" s="28" t="n">
        <v>45296</v>
      </c>
      <c r="F298" t="inlineStr">
        <is>
          <t>NF-e</t>
        </is>
      </c>
      <c r="G298" t="inlineStr">
        <is>
          <t>000003847</t>
        </is>
      </c>
      <c r="H298" t="inlineStr">
        <is>
          <t>ARLINDO ALVES PASCOAL JUNIOR</t>
        </is>
      </c>
      <c r="I298" t="inlineStr">
        <is>
          <t>08.624.940/0001-63</t>
        </is>
      </c>
      <c r="J298" s="29" t="n">
        <v>2197.72</v>
      </c>
      <c r="K298" t="inlineStr">
        <is>
          <t>1.556</t>
        </is>
      </c>
      <c r="L298" t="inlineStr">
        <is>
          <t>Não</t>
        </is>
      </c>
      <c r="M298" t="inlineStr">
        <is>
          <t>Compra/outras</t>
        </is>
      </c>
    </row>
    <row r="299">
      <c r="A299" t="inlineStr">
        <is>
          <t>Remessa de mercadoria (categoria 2.01.84)</t>
        </is>
      </c>
      <c r="B299" t="inlineStr">
        <is>
          <t>2.01.84 Remessa de Mercadoria</t>
        </is>
      </c>
      <c r="C299" t="inlineStr">
        <is>
          <t>Antes de 2026</t>
        </is>
      </c>
      <c r="D299" t="inlineStr">
        <is>
          <t>Antes de 2026</t>
        </is>
      </c>
      <c r="E299" s="28" t="n">
        <v>45300</v>
      </c>
      <c r="F299" t="inlineStr">
        <is>
          <t>NF-e</t>
        </is>
      </c>
      <c r="G299" t="inlineStr">
        <is>
          <t>000003851</t>
        </is>
      </c>
      <c r="H299" t="inlineStr">
        <is>
          <t>ARLINDO ALVES PASCOAL JUNIOR</t>
        </is>
      </c>
      <c r="I299" t="inlineStr">
        <is>
          <t>08.624.940/0001-63</t>
        </is>
      </c>
      <c r="J299" s="29" t="n">
        <v>2447.72</v>
      </c>
      <c r="K299" t="inlineStr">
        <is>
          <t>1.556</t>
        </is>
      </c>
      <c r="L299" t="inlineStr">
        <is>
          <t>Não</t>
        </is>
      </c>
      <c r="M299" t="inlineStr">
        <is>
          <t>Compra/outras</t>
        </is>
      </c>
    </row>
    <row r="300">
      <c r="A300" t="inlineStr">
        <is>
          <t>Remessa de mercadoria (categoria 2.01.84)</t>
        </is>
      </c>
      <c r="B300" t="inlineStr">
        <is>
          <t>2.01.84 Remessa de Mercadoria</t>
        </is>
      </c>
      <c r="C300" t="inlineStr">
        <is>
          <t>Antes de 2026</t>
        </is>
      </c>
      <c r="D300" t="inlineStr">
        <is>
          <t>Antes de 2026</t>
        </is>
      </c>
      <c r="E300" s="28" t="n">
        <v>45306</v>
      </c>
      <c r="F300" t="inlineStr">
        <is>
          <t>NF-e</t>
        </is>
      </c>
      <c r="G300" t="inlineStr">
        <is>
          <t>000003857</t>
        </is>
      </c>
      <c r="H300" t="inlineStr">
        <is>
          <t>ARLINDO ALVES PASCOAL JUNIOR</t>
        </is>
      </c>
      <c r="I300" t="inlineStr">
        <is>
          <t>08.624.940/0001-63</t>
        </is>
      </c>
      <c r="J300" s="29" t="n">
        <v>2333.5</v>
      </c>
      <c r="K300" t="inlineStr">
        <is>
          <t>1.556</t>
        </is>
      </c>
      <c r="L300" t="inlineStr">
        <is>
          <t>Não</t>
        </is>
      </c>
      <c r="M300" t="inlineStr">
        <is>
          <t>Compra/outras</t>
        </is>
      </c>
    </row>
    <row r="301">
      <c r="A301" t="inlineStr">
        <is>
          <t>Remessa de mercadoria (categoria 2.01.84)</t>
        </is>
      </c>
      <c r="B301" t="inlineStr">
        <is>
          <t>2.01.84 Remessa de Mercadoria</t>
        </is>
      </c>
      <c r="C301" t="inlineStr">
        <is>
          <t>Antes de 2026</t>
        </is>
      </c>
      <c r="D301" t="inlineStr">
        <is>
          <t>Antes de 2026</t>
        </is>
      </c>
      <c r="E301" s="28" t="n">
        <v>45517</v>
      </c>
      <c r="F301" t="inlineStr">
        <is>
          <t>NF-e</t>
        </is>
      </c>
      <c r="G301" t="inlineStr">
        <is>
          <t>000004030</t>
        </is>
      </c>
      <c r="H301" t="inlineStr">
        <is>
          <t>ARLINDO ALVES PASCOAL JUNIOR</t>
        </is>
      </c>
      <c r="I301" t="inlineStr">
        <is>
          <t>08.624.940/0001-63</t>
        </is>
      </c>
      <c r="J301" s="29" t="n">
        <v>1664.64</v>
      </c>
      <c r="K301" t="inlineStr">
        <is>
          <t>1.556</t>
        </is>
      </c>
      <c r="L301" t="inlineStr">
        <is>
          <t>Não</t>
        </is>
      </c>
      <c r="M301" t="inlineStr">
        <is>
          <t>Compra/outras</t>
        </is>
      </c>
    </row>
    <row r="302">
      <c r="A302" t="inlineStr">
        <is>
          <t>Remessa de mercadoria (categoria 2.01.84)</t>
        </is>
      </c>
      <c r="B302" t="inlineStr">
        <is>
          <t>2.01.84 Remessa de Mercadoria</t>
        </is>
      </c>
      <c r="C302" t="inlineStr">
        <is>
          <t>Antes de 2026</t>
        </is>
      </c>
      <c r="D302" t="inlineStr">
        <is>
          <t>Antes de 2026</t>
        </is>
      </c>
      <c r="E302" s="28" t="n">
        <v>45624</v>
      </c>
      <c r="F302" t="inlineStr">
        <is>
          <t>NF-e</t>
        </is>
      </c>
      <c r="G302" t="inlineStr">
        <is>
          <t>000002080</t>
        </is>
      </c>
      <c r="H302" t="inlineStr">
        <is>
          <t>ARTCAP COMERCIO DE PRODUTOS PERSONALIZADOS LTDA</t>
        </is>
      </c>
      <c r="I302" t="inlineStr">
        <is>
          <t>32.316.467/0001-31</t>
        </is>
      </c>
      <c r="J302" s="29" t="n">
        <v>12450</v>
      </c>
      <c r="K302" t="inlineStr">
        <is>
          <t>1.556</t>
        </is>
      </c>
      <c r="L302" t="inlineStr">
        <is>
          <t>Não</t>
        </is>
      </c>
      <c r="M302" t="inlineStr">
        <is>
          <t>Compra/outras</t>
        </is>
      </c>
    </row>
    <row r="303">
      <c r="A303" t="inlineStr">
        <is>
          <t>Remessa de mercadoria (categoria 2.01.84)</t>
        </is>
      </c>
      <c r="B303" t="inlineStr">
        <is>
          <t>2.01.84 Remessa de Mercadoria</t>
        </is>
      </c>
      <c r="C303" t="inlineStr">
        <is>
          <t>Antes de 2026</t>
        </is>
      </c>
      <c r="D303" t="inlineStr">
        <is>
          <t>Antes de 2026</t>
        </is>
      </c>
      <c r="E303" s="28" t="n">
        <v>45306</v>
      </c>
      <c r="F303" t="inlineStr">
        <is>
          <t>NF-e</t>
        </is>
      </c>
      <c r="G303" t="inlineStr">
        <is>
          <t>000004629</t>
        </is>
      </c>
      <c r="H303" t="inlineStr">
        <is>
          <t>ASSISTENPACK COMERCIAL E INDUSTRIAL LTDA</t>
        </is>
      </c>
      <c r="I303" t="inlineStr">
        <is>
          <t>20.302.126/0001-28</t>
        </is>
      </c>
      <c r="J303" s="29" t="n">
        <v>2745</v>
      </c>
      <c r="K303" t="inlineStr">
        <is>
          <t>1.556</t>
        </is>
      </c>
      <c r="L303" t="inlineStr">
        <is>
          <t>Não</t>
        </is>
      </c>
      <c r="M303" t="inlineStr">
        <is>
          <t>Compra/outras</t>
        </is>
      </c>
    </row>
    <row r="304">
      <c r="A304" t="inlineStr">
        <is>
          <t>Remessa de mercadoria (categoria 2.01.84)</t>
        </is>
      </c>
      <c r="B304" t="inlineStr">
        <is>
          <t>2.01.84 Remessa de Mercadoria</t>
        </is>
      </c>
      <c r="C304" t="inlineStr">
        <is>
          <t>Antes de 2026</t>
        </is>
      </c>
      <c r="D304" t="inlineStr">
        <is>
          <t>Antes de 2026</t>
        </is>
      </c>
      <c r="E304" s="28" t="n">
        <v>45330</v>
      </c>
      <c r="F304" t="inlineStr">
        <is>
          <t>NF-e</t>
        </is>
      </c>
      <c r="G304" t="inlineStr">
        <is>
          <t>000004672</t>
        </is>
      </c>
      <c r="H304" t="inlineStr">
        <is>
          <t>ASSISTENPACK COMERCIAL E INDUSTRIAL LTDA</t>
        </is>
      </c>
      <c r="I304" t="inlineStr">
        <is>
          <t>20.302.126/0001-28</t>
        </is>
      </c>
      <c r="J304" s="29" t="n">
        <v>4396</v>
      </c>
      <c r="K304" t="inlineStr">
        <is>
          <t>1.556</t>
        </is>
      </c>
      <c r="L304" t="inlineStr">
        <is>
          <t>Não</t>
        </is>
      </c>
      <c r="M304" t="inlineStr">
        <is>
          <t>Compra/outras</t>
        </is>
      </c>
    </row>
    <row r="305">
      <c r="A305" t="inlineStr">
        <is>
          <t>Remessa de mercadoria (categoria 2.01.84)</t>
        </is>
      </c>
      <c r="B305" t="inlineStr">
        <is>
          <t>2.01.84 Remessa de Mercadoria</t>
        </is>
      </c>
      <c r="C305" t="inlineStr">
        <is>
          <t>Antes de 2026</t>
        </is>
      </c>
      <c r="D305" t="inlineStr">
        <is>
          <t>Antes de 2026</t>
        </is>
      </c>
      <c r="E305" s="28" t="n">
        <v>45502</v>
      </c>
      <c r="F305" t="inlineStr">
        <is>
          <t>NF-e</t>
        </is>
      </c>
      <c r="G305" t="inlineStr">
        <is>
          <t>000004899</t>
        </is>
      </c>
      <c r="H305" t="inlineStr">
        <is>
          <t>ASSISTENPACK COMERCIAL E INDUSTRIAL LTDA</t>
        </is>
      </c>
      <c r="I305" t="inlineStr">
        <is>
          <t>20.302.126/0001-28</t>
        </is>
      </c>
      <c r="J305" s="29" t="n">
        <v>2637.6</v>
      </c>
      <c r="K305" t="inlineStr">
        <is>
          <t>1.556</t>
        </is>
      </c>
      <c r="L305" t="inlineStr">
        <is>
          <t>Não</t>
        </is>
      </c>
      <c r="M305" t="inlineStr">
        <is>
          <t>Compra/outras</t>
        </is>
      </c>
    </row>
    <row r="306">
      <c r="A306" t="inlineStr">
        <is>
          <t>Remessa de mercadoria (categoria 2.01.84)</t>
        </is>
      </c>
      <c r="B306" t="inlineStr">
        <is>
          <t>2.01.84 Remessa de Mercadoria</t>
        </is>
      </c>
      <c r="C306" t="inlineStr">
        <is>
          <t>Antes de 2026</t>
        </is>
      </c>
      <c r="D306" t="inlineStr">
        <is>
          <t>Antes de 2026</t>
        </is>
      </c>
      <c r="E306" s="28" t="n">
        <v>45527</v>
      </c>
      <c r="F306" t="inlineStr">
        <is>
          <t>NF-e</t>
        </is>
      </c>
      <c r="G306" t="inlineStr">
        <is>
          <t>000004932</t>
        </is>
      </c>
      <c r="H306" t="inlineStr">
        <is>
          <t>ASSISTENPACK COMERCIAL E INDUSTRIAL LTDA</t>
        </is>
      </c>
      <c r="I306" t="inlineStr">
        <is>
          <t>20.302.126/0001-28</t>
        </is>
      </c>
      <c r="J306" s="29" t="n">
        <v>1979.2</v>
      </c>
      <c r="K306" t="inlineStr">
        <is>
          <t>1.556</t>
        </is>
      </c>
      <c r="L306" t="inlineStr">
        <is>
          <t>Não</t>
        </is>
      </c>
      <c r="M306" t="inlineStr">
        <is>
          <t>Compra/outras</t>
        </is>
      </c>
    </row>
    <row r="307">
      <c r="A307" t="inlineStr">
        <is>
          <t>Remessa de mercadoria (categoria 2.01.84)</t>
        </is>
      </c>
      <c r="B307" t="inlineStr">
        <is>
          <t>2.01.84 Remessa de Mercadoria</t>
        </is>
      </c>
      <c r="C307" t="inlineStr">
        <is>
          <t>Antes de 2026</t>
        </is>
      </c>
      <c r="D307" t="inlineStr">
        <is>
          <t>Antes de 2026</t>
        </is>
      </c>
      <c r="E307" s="28" t="n">
        <v>45321</v>
      </c>
      <c r="F307" t="inlineStr">
        <is>
          <t>NF-e</t>
        </is>
      </c>
      <c r="G307" t="inlineStr">
        <is>
          <t>000139703</t>
        </is>
      </c>
      <c r="H307" t="inlineStr">
        <is>
          <t>ATACADAO DOS PARAFUSOS LTDA</t>
        </is>
      </c>
      <c r="I307" t="inlineStr">
        <is>
          <t>41.138.298/0001-88</t>
        </is>
      </c>
      <c r="J307" s="29" t="n">
        <v>2295</v>
      </c>
      <c r="K307" t="inlineStr">
        <is>
          <t>1.556</t>
        </is>
      </c>
      <c r="L307" t="inlineStr">
        <is>
          <t>Não</t>
        </is>
      </c>
      <c r="M307" t="inlineStr">
        <is>
          <t>Compra/outras</t>
        </is>
      </c>
    </row>
    <row r="308">
      <c r="A308" t="inlineStr">
        <is>
          <t>Remessa de mercadoria (categoria 2.01.84)</t>
        </is>
      </c>
      <c r="B308" t="inlineStr">
        <is>
          <t>2.01.84 Remessa de Mercadoria</t>
        </is>
      </c>
      <c r="C308" t="inlineStr">
        <is>
          <t>Antes de 2026</t>
        </is>
      </c>
      <c r="D308" t="inlineStr">
        <is>
          <t>Antes de 2026</t>
        </is>
      </c>
      <c r="E308" s="28" t="n">
        <v>45356</v>
      </c>
      <c r="F308" t="inlineStr">
        <is>
          <t>NF-e</t>
        </is>
      </c>
      <c r="G308" t="inlineStr">
        <is>
          <t>000011189</t>
        </is>
      </c>
      <c r="H308" t="inlineStr">
        <is>
          <t>ATACAREJO GALEGO LATICINIOS COMERCIO DE ALIMENTOS LTDA</t>
        </is>
      </c>
      <c r="I308" t="inlineStr">
        <is>
          <t>31.163.107/0001-84</t>
        </is>
      </c>
      <c r="J308" s="29" t="n">
        <v>169</v>
      </c>
      <c r="K308" t="inlineStr">
        <is>
          <t>1.556</t>
        </is>
      </c>
      <c r="L308" t="inlineStr">
        <is>
          <t>Não</t>
        </is>
      </c>
      <c r="M308" t="inlineStr">
        <is>
          <t>Compra/outras</t>
        </is>
      </c>
    </row>
    <row r="309">
      <c r="A309" t="inlineStr">
        <is>
          <t>Remessa de mercadoria (categoria 2.01.84)</t>
        </is>
      </c>
      <c r="B309" t="inlineStr">
        <is>
          <t>2.01.84 Remessa de Mercadoria</t>
        </is>
      </c>
      <c r="C309" t="inlineStr">
        <is>
          <t>Antes de 2026</t>
        </is>
      </c>
      <c r="D309" t="inlineStr">
        <is>
          <t>Antes de 2026</t>
        </is>
      </c>
      <c r="E309" s="28" t="n">
        <v>45323</v>
      </c>
      <c r="F309" t="inlineStr">
        <is>
          <t>NF-e</t>
        </is>
      </c>
      <c r="G309" t="inlineStr">
        <is>
          <t>000000948</t>
        </is>
      </c>
      <c r="H309" t="inlineStr">
        <is>
          <t>B. B. A. INDUSTRIA E COMERCIO IMPORTACAO E EXPORTACAO LTDA</t>
        </is>
      </c>
      <c r="I309" t="inlineStr">
        <is>
          <t>25.247.287/0001-80</t>
        </is>
      </c>
      <c r="J309" s="29" t="n">
        <v>41384.28</v>
      </c>
      <c r="K309" t="inlineStr">
        <is>
          <t>1.556</t>
        </is>
      </c>
      <c r="L309" t="inlineStr">
        <is>
          <t>Não</t>
        </is>
      </c>
      <c r="M309" t="inlineStr">
        <is>
          <t>Compra/outras</t>
        </is>
      </c>
    </row>
    <row r="310">
      <c r="A310" t="inlineStr">
        <is>
          <t>Remessa de mercadoria (categoria 2.01.84)</t>
        </is>
      </c>
      <c r="B310" t="inlineStr">
        <is>
          <t>2.01.84 Remessa de Mercadoria</t>
        </is>
      </c>
      <c r="C310" t="inlineStr">
        <is>
          <t>Antes de 2026</t>
        </is>
      </c>
      <c r="D310" t="inlineStr">
        <is>
          <t>Antes de 2026</t>
        </is>
      </c>
      <c r="E310" s="28" t="n">
        <v>45352</v>
      </c>
      <c r="F310" t="inlineStr">
        <is>
          <t>NF-e</t>
        </is>
      </c>
      <c r="G310" t="inlineStr">
        <is>
          <t>000000983</t>
        </is>
      </c>
      <c r="H310" t="inlineStr">
        <is>
          <t>B. B. A. INDUSTRIA E COMERCIO IMPORTACAO E EXPORTACAO LTDA</t>
        </is>
      </c>
      <c r="I310" t="inlineStr">
        <is>
          <t>25.247.287/0001-80</t>
        </is>
      </c>
      <c r="J310" s="29" t="n">
        <v>30000.95</v>
      </c>
      <c r="K310" t="inlineStr">
        <is>
          <t>1.556</t>
        </is>
      </c>
      <c r="L310" t="inlineStr">
        <is>
          <t>Não</t>
        </is>
      </c>
      <c r="M310" t="inlineStr">
        <is>
          <t>Compra/outras</t>
        </is>
      </c>
    </row>
    <row r="311">
      <c r="A311" t="inlineStr">
        <is>
          <t>Remessa de mercadoria (categoria 2.01.84)</t>
        </is>
      </c>
      <c r="B311" t="inlineStr">
        <is>
          <t>2.01.84 Remessa de Mercadoria</t>
        </is>
      </c>
      <c r="C311" t="inlineStr">
        <is>
          <t>Antes de 2026</t>
        </is>
      </c>
      <c r="D311" t="inlineStr">
        <is>
          <t>Antes de 2026</t>
        </is>
      </c>
      <c r="E311" s="28" t="n">
        <v>45518</v>
      </c>
      <c r="F311" t="inlineStr">
        <is>
          <t>NF-e</t>
        </is>
      </c>
      <c r="G311" t="inlineStr">
        <is>
          <t>000001140</t>
        </is>
      </c>
      <c r="H311" t="inlineStr">
        <is>
          <t>B. B. A. INDUSTRIA E COMERCIO IMPORTACAO E EXPORTACAO LTDA</t>
        </is>
      </c>
      <c r="I311" t="inlineStr">
        <is>
          <t>25.247.287/0001-80</t>
        </is>
      </c>
      <c r="J311" s="29" t="n">
        <v>44907.44</v>
      </c>
      <c r="K311" t="inlineStr">
        <is>
          <t>1.556</t>
        </is>
      </c>
      <c r="L311" t="inlineStr">
        <is>
          <t>Não</t>
        </is>
      </c>
      <c r="M311" t="inlineStr">
        <is>
          <t>Compra/outras</t>
        </is>
      </c>
    </row>
    <row r="312">
      <c r="A312" t="inlineStr">
        <is>
          <t>Remessa de mercadoria (categoria 2.01.84)</t>
        </is>
      </c>
      <c r="B312" t="inlineStr">
        <is>
          <t>2.01.84 Remessa de Mercadoria</t>
        </is>
      </c>
      <c r="C312" t="inlineStr">
        <is>
          <t>Antes de 2026</t>
        </is>
      </c>
      <c r="D312" t="inlineStr">
        <is>
          <t>Antes de 2026</t>
        </is>
      </c>
      <c r="E312" s="28" t="n">
        <v>45540</v>
      </c>
      <c r="F312" t="inlineStr">
        <is>
          <t>NF-e</t>
        </is>
      </c>
      <c r="G312" t="inlineStr">
        <is>
          <t>000001160</t>
        </is>
      </c>
      <c r="H312" t="inlineStr">
        <is>
          <t>B. B. A. INDUSTRIA E COMERCIO IMPORTACAO E EXPORTACAO LTDA</t>
        </is>
      </c>
      <c r="I312" t="inlineStr">
        <is>
          <t>25.247.287/0001-80</t>
        </is>
      </c>
      <c r="J312" s="29" t="n">
        <v>1249</v>
      </c>
      <c r="K312" t="inlineStr">
        <is>
          <t>1.556</t>
        </is>
      </c>
      <c r="L312" t="inlineStr">
        <is>
          <t>Não</t>
        </is>
      </c>
      <c r="M312" t="inlineStr">
        <is>
          <t>Compra/outras</t>
        </is>
      </c>
    </row>
    <row r="313">
      <c r="A313" t="inlineStr">
        <is>
          <t>Remessa de mercadoria (categoria 2.01.84)</t>
        </is>
      </c>
      <c r="B313" t="inlineStr">
        <is>
          <t>2.01.84 Remessa de Mercadoria</t>
        </is>
      </c>
      <c r="C313" t="inlineStr">
        <is>
          <t>Antes de 2026</t>
        </is>
      </c>
      <c r="D313" t="inlineStr">
        <is>
          <t>Antes de 2026</t>
        </is>
      </c>
      <c r="E313" s="28" t="n">
        <v>45545</v>
      </c>
      <c r="F313" t="inlineStr">
        <is>
          <t>NF-e</t>
        </is>
      </c>
      <c r="G313" t="inlineStr">
        <is>
          <t>000001165</t>
        </is>
      </c>
      <c r="H313" t="inlineStr">
        <is>
          <t>B. B. A. INDUSTRIA E COMERCIO IMPORTACAO E EXPORTACAO LTDA</t>
        </is>
      </c>
      <c r="I313" t="inlineStr">
        <is>
          <t>25.247.287/0001-80</t>
        </is>
      </c>
      <c r="J313" s="29" t="n">
        <v>50440.55</v>
      </c>
      <c r="K313" t="inlineStr">
        <is>
          <t>1.556</t>
        </is>
      </c>
      <c r="L313" t="inlineStr">
        <is>
          <t>Não</t>
        </is>
      </c>
      <c r="M313" t="inlineStr">
        <is>
          <t>Compra/outras</t>
        </is>
      </c>
    </row>
    <row r="314">
      <c r="A314" t="inlineStr">
        <is>
          <t>Remessa de mercadoria (categoria 2.01.84)</t>
        </is>
      </c>
      <c r="B314" t="inlineStr">
        <is>
          <t>2.01.84 Remessa de Mercadoria</t>
        </is>
      </c>
      <c r="C314" t="inlineStr">
        <is>
          <t>Antes de 2026</t>
        </is>
      </c>
      <c r="D314" t="inlineStr">
        <is>
          <t>Antes de 2026</t>
        </is>
      </c>
      <c r="E314" s="28" t="n">
        <v>45560</v>
      </c>
      <c r="F314" t="inlineStr">
        <is>
          <t>NF-e</t>
        </is>
      </c>
      <c r="G314" t="inlineStr">
        <is>
          <t>000001177</t>
        </is>
      </c>
      <c r="H314" t="inlineStr">
        <is>
          <t>B. B. A. INDUSTRIA E COMERCIO IMPORTACAO E EXPORTACAO LTDA</t>
        </is>
      </c>
      <c r="I314" t="inlineStr">
        <is>
          <t>25.247.287/0001-80</t>
        </is>
      </c>
      <c r="J314" s="29" t="n">
        <v>2304.6</v>
      </c>
      <c r="K314" t="inlineStr">
        <is>
          <t>1.556</t>
        </is>
      </c>
      <c r="L314" t="inlineStr">
        <is>
          <t>Não</t>
        </is>
      </c>
      <c r="M314" t="inlineStr">
        <is>
          <t>Compra/outras</t>
        </is>
      </c>
    </row>
    <row r="315">
      <c r="A315" t="inlineStr">
        <is>
          <t>Remessa de mercadoria (categoria 2.01.84)</t>
        </is>
      </c>
      <c r="B315" t="inlineStr">
        <is>
          <t>2.01.84 Remessa de Mercadoria</t>
        </is>
      </c>
      <c r="C315" t="inlineStr">
        <is>
          <t>Antes de 2026</t>
        </is>
      </c>
      <c r="D315" t="inlineStr">
        <is>
          <t>Antes de 2026</t>
        </is>
      </c>
      <c r="E315" s="28" t="n">
        <v>45569</v>
      </c>
      <c r="F315" t="inlineStr">
        <is>
          <t>NF-e</t>
        </is>
      </c>
      <c r="G315" t="inlineStr">
        <is>
          <t>000001190</t>
        </is>
      </c>
      <c r="H315" t="inlineStr">
        <is>
          <t>B. B. A. INDUSTRIA E COMERCIO IMPORTACAO E EXPORTACAO LTDA</t>
        </is>
      </c>
      <c r="I315" t="inlineStr">
        <is>
          <t>25.247.287/0001-80</t>
        </is>
      </c>
      <c r="J315" s="29" t="n">
        <v>39833.16</v>
      </c>
      <c r="K315" t="inlineStr">
        <is>
          <t>1.556</t>
        </is>
      </c>
      <c r="L315" t="inlineStr">
        <is>
          <t>Não</t>
        </is>
      </c>
      <c r="M315" t="inlineStr">
        <is>
          <t>Compra/outras</t>
        </is>
      </c>
    </row>
    <row r="316">
      <c r="A316" t="inlineStr">
        <is>
          <t>Remessa de mercadoria (categoria 2.01.84)</t>
        </is>
      </c>
      <c r="B316" t="inlineStr">
        <is>
          <t>2.01.84 Remessa de Mercadoria</t>
        </is>
      </c>
      <c r="C316" t="inlineStr">
        <is>
          <t>Antes de 2026</t>
        </is>
      </c>
      <c r="D316" t="inlineStr">
        <is>
          <t>Antes de 2026</t>
        </is>
      </c>
      <c r="E316" s="28" t="n">
        <v>45629</v>
      </c>
      <c r="F316" t="inlineStr">
        <is>
          <t>NF-e</t>
        </is>
      </c>
      <c r="G316" t="inlineStr">
        <is>
          <t>000001249</t>
        </is>
      </c>
      <c r="H316" t="inlineStr">
        <is>
          <t>B. B. A. INDUSTRIA E COMERCIO IMPORTACAO E EXPORTACAO LTDA</t>
        </is>
      </c>
      <c r="I316" t="inlineStr">
        <is>
          <t>25.247.287/0001-80</t>
        </is>
      </c>
      <c r="J316" s="29" t="n">
        <v>41283.49</v>
      </c>
      <c r="K316" t="inlineStr">
        <is>
          <t>1.556</t>
        </is>
      </c>
      <c r="L316" t="inlineStr">
        <is>
          <t>Não</t>
        </is>
      </c>
      <c r="M316" t="inlineStr">
        <is>
          <t>Compra/outras</t>
        </is>
      </c>
    </row>
    <row r="317">
      <c r="A317" t="inlineStr">
        <is>
          <t>Remessa de mercadoria (categoria 2.01.84)</t>
        </is>
      </c>
      <c r="B317" t="inlineStr">
        <is>
          <t>2.01.84 Remessa de Mercadoria</t>
        </is>
      </c>
      <c r="C317" t="inlineStr">
        <is>
          <t>Antes de 2026</t>
        </is>
      </c>
      <c r="D317" t="inlineStr">
        <is>
          <t>Antes de 2026</t>
        </is>
      </c>
      <c r="E317" s="28" t="n">
        <v>45636</v>
      </c>
      <c r="F317" t="inlineStr">
        <is>
          <t>NF-e</t>
        </is>
      </c>
      <c r="G317" t="inlineStr">
        <is>
          <t>000015963</t>
        </is>
      </c>
      <c r="H317" t="inlineStr">
        <is>
          <t>B. B. A. INDUSTRIA E COMERCIO IMPORTACAO E EXPORTACAO LTDA</t>
        </is>
      </c>
      <c r="I317" t="inlineStr">
        <is>
          <t>25.247.287/0003-41</t>
        </is>
      </c>
      <c r="J317" s="29" t="n">
        <v>88000</v>
      </c>
      <c r="K317" t="inlineStr">
        <is>
          <t>1.556</t>
        </is>
      </c>
      <c r="L317" t="inlineStr">
        <is>
          <t>Não</t>
        </is>
      </c>
      <c r="M317" t="inlineStr">
        <is>
          <t>Compra/outras</t>
        </is>
      </c>
    </row>
    <row r="318">
      <c r="A318" t="inlineStr">
        <is>
          <t>Remessa de mercadoria (categoria 2.01.84)</t>
        </is>
      </c>
      <c r="B318" t="inlineStr">
        <is>
          <t>2.01.84 Remessa de Mercadoria</t>
        </is>
      </c>
      <c r="C318" t="inlineStr">
        <is>
          <t>Antes de 2026</t>
        </is>
      </c>
      <c r="D318" t="inlineStr">
        <is>
          <t>Antes de 2026</t>
        </is>
      </c>
      <c r="E318" s="28" t="n">
        <v>45666</v>
      </c>
      <c r="F318" t="inlineStr">
        <is>
          <t>NF-e</t>
        </is>
      </c>
      <c r="G318" t="inlineStr">
        <is>
          <t>000080456</t>
        </is>
      </c>
      <c r="H318" t="inlineStr">
        <is>
          <t>BA - LOJAO DA ECONOMICA MATERIAIS DE CONSTRUCAO LTDA - EPP</t>
        </is>
      </c>
      <c r="I318" t="inlineStr">
        <is>
          <t>09.158.643/0002-13</t>
        </is>
      </c>
      <c r="J318" s="29" t="n">
        <v>54.95</v>
      </c>
      <c r="K318" t="inlineStr">
        <is>
          <t>1.556</t>
        </is>
      </c>
      <c r="L318" t="inlineStr">
        <is>
          <t>Não</t>
        </is>
      </c>
      <c r="M318" t="inlineStr">
        <is>
          <t>Compra/outras</t>
        </is>
      </c>
    </row>
    <row r="319">
      <c r="A319" t="inlineStr">
        <is>
          <t>Remessa de mercadoria (categoria 2.01.84)</t>
        </is>
      </c>
      <c r="B319" t="inlineStr">
        <is>
          <t>2.01.84 Remessa de Mercadoria</t>
        </is>
      </c>
      <c r="C319" t="inlineStr">
        <is>
          <t>Antes de 2026</t>
        </is>
      </c>
      <c r="D319" t="inlineStr">
        <is>
          <t>Antes de 2026</t>
        </is>
      </c>
      <c r="E319" s="28" t="n">
        <v>45531</v>
      </c>
      <c r="F319" t="inlineStr">
        <is>
          <t>NF-e</t>
        </is>
      </c>
      <c r="G319" t="inlineStr">
        <is>
          <t>000000071</t>
        </is>
      </c>
      <c r="H319" t="inlineStr">
        <is>
          <t>BAHIA CLICHERIA LTDA</t>
        </is>
      </c>
      <c r="I319" t="inlineStr">
        <is>
          <t>55.011.509/0001-21</t>
        </is>
      </c>
      <c r="J319" s="29" t="n">
        <v>13382.44</v>
      </c>
      <c r="K319" t="inlineStr">
        <is>
          <t>1.556</t>
        </is>
      </c>
      <c r="L319" t="inlineStr">
        <is>
          <t>Não</t>
        </is>
      </c>
      <c r="M319" t="inlineStr">
        <is>
          <t>Compra/outras</t>
        </is>
      </c>
    </row>
    <row r="320">
      <c r="A320" t="inlineStr">
        <is>
          <t>Remessa de mercadoria (categoria 2.01.84)</t>
        </is>
      </c>
      <c r="B320" t="inlineStr">
        <is>
          <t>2.01.84 Remessa de Mercadoria</t>
        </is>
      </c>
      <c r="C320" t="inlineStr">
        <is>
          <t>Antes de 2026</t>
        </is>
      </c>
      <c r="D320" t="inlineStr">
        <is>
          <t>Antes de 2026</t>
        </is>
      </c>
      <c r="E320" s="28" t="n">
        <v>45535</v>
      </c>
      <c r="F320" t="inlineStr">
        <is>
          <t>NF-e</t>
        </is>
      </c>
      <c r="G320" t="inlineStr">
        <is>
          <t>000000121</t>
        </is>
      </c>
      <c r="H320" t="inlineStr">
        <is>
          <t>BAHIA CLICHERIA LTDA</t>
        </is>
      </c>
      <c r="I320" t="inlineStr">
        <is>
          <t>55.011.509/0001-21</t>
        </is>
      </c>
      <c r="J320" s="29" t="n">
        <v>9105.76</v>
      </c>
      <c r="K320" t="inlineStr">
        <is>
          <t>1.556</t>
        </is>
      </c>
      <c r="L320" t="inlineStr">
        <is>
          <t>Não</t>
        </is>
      </c>
      <c r="M320" t="inlineStr">
        <is>
          <t>Compra/outras</t>
        </is>
      </c>
    </row>
    <row r="321">
      <c r="A321" t="inlineStr">
        <is>
          <t>Remessa de mercadoria (categoria 2.01.84)</t>
        </is>
      </c>
      <c r="B321" t="inlineStr">
        <is>
          <t>2.01.84 Remessa de Mercadoria</t>
        </is>
      </c>
      <c r="C321" t="inlineStr">
        <is>
          <t>Antes de 2026</t>
        </is>
      </c>
      <c r="D321" t="inlineStr">
        <is>
          <t>Antes de 2026</t>
        </is>
      </c>
      <c r="E321" s="28" t="n">
        <v>45544</v>
      </c>
      <c r="F321" t="inlineStr">
        <is>
          <t>NF-e</t>
        </is>
      </c>
      <c r="G321" t="inlineStr">
        <is>
          <t>000000170</t>
        </is>
      </c>
      <c r="H321" t="inlineStr">
        <is>
          <t>BAHIA CLICHERIA LTDA</t>
        </is>
      </c>
      <c r="I321" t="inlineStr">
        <is>
          <t>55.011.509/0001-21</t>
        </is>
      </c>
      <c r="J321" s="29" t="n">
        <v>245.38</v>
      </c>
      <c r="K321" t="inlineStr">
        <is>
          <t>1.556</t>
        </is>
      </c>
      <c r="L321" t="inlineStr">
        <is>
          <t>Não</t>
        </is>
      </c>
      <c r="M321" t="inlineStr">
        <is>
          <t>Compra/outras</t>
        </is>
      </c>
    </row>
    <row r="322">
      <c r="A322" t="inlineStr">
        <is>
          <t>Remessa de mercadoria (categoria 2.01.84)</t>
        </is>
      </c>
      <c r="B322" t="inlineStr">
        <is>
          <t>2.01.84 Remessa de Mercadoria</t>
        </is>
      </c>
      <c r="C322" t="inlineStr">
        <is>
          <t>Antes de 2026</t>
        </is>
      </c>
      <c r="D322" t="inlineStr">
        <is>
          <t>Antes de 2026</t>
        </is>
      </c>
      <c r="E322" s="28" t="n">
        <v>45294</v>
      </c>
      <c r="F322" t="inlineStr">
        <is>
          <t>NF-e</t>
        </is>
      </c>
      <c r="G322" t="inlineStr">
        <is>
          <t>000001574</t>
        </is>
      </c>
      <c r="H322" t="inlineStr">
        <is>
          <t>BARBOSA e XAVIER LTDA</t>
        </is>
      </c>
      <c r="I322" t="inlineStr">
        <is>
          <t>03.704.646/0001-48</t>
        </is>
      </c>
      <c r="J322" s="29" t="n">
        <v>396.48</v>
      </c>
      <c r="K322" t="inlineStr">
        <is>
          <t>1.556</t>
        </is>
      </c>
      <c r="L322" t="inlineStr">
        <is>
          <t>Não</t>
        </is>
      </c>
      <c r="M322" t="inlineStr">
        <is>
          <t>Compra/outras</t>
        </is>
      </c>
    </row>
    <row r="323">
      <c r="A323" t="inlineStr">
        <is>
          <t>Remessa de mercadoria (categoria 2.01.84)</t>
        </is>
      </c>
      <c r="B323" t="inlineStr">
        <is>
          <t>2.01.84 Remessa de Mercadoria</t>
        </is>
      </c>
      <c r="C323" t="inlineStr">
        <is>
          <t>Antes de 2026</t>
        </is>
      </c>
      <c r="D323" t="inlineStr">
        <is>
          <t>Antes de 2026</t>
        </is>
      </c>
      <c r="E323" s="28" t="n">
        <v>45503</v>
      </c>
      <c r="F323" t="inlineStr">
        <is>
          <t>NF-e</t>
        </is>
      </c>
      <c r="G323" t="inlineStr">
        <is>
          <t>000082391</t>
        </is>
      </c>
      <c r="H323" t="inlineStr">
        <is>
          <t>BENE COMERCIO VAREJISTA E ATACADISTA LTDA</t>
        </is>
      </c>
      <c r="I323" t="inlineStr">
        <is>
          <t>02.994.420/0001-66</t>
        </is>
      </c>
      <c r="J323" s="29" t="n">
        <v>265.6</v>
      </c>
      <c r="K323" t="inlineStr">
        <is>
          <t>1.556</t>
        </is>
      </c>
      <c r="L323" t="inlineStr">
        <is>
          <t>Não</t>
        </is>
      </c>
      <c r="M323" t="inlineStr">
        <is>
          <t>Compra/outras</t>
        </is>
      </c>
    </row>
    <row r="324">
      <c r="A324" t="inlineStr">
        <is>
          <t>Remessa de mercadoria (categoria 2.01.84)</t>
        </is>
      </c>
      <c r="B324" t="inlineStr">
        <is>
          <t>2.01.84 Remessa de Mercadoria</t>
        </is>
      </c>
      <c r="C324" t="inlineStr">
        <is>
          <t>Antes de 2026</t>
        </is>
      </c>
      <c r="D324" t="inlineStr">
        <is>
          <t>Antes de 2026</t>
        </is>
      </c>
      <c r="E324" s="28" t="n">
        <v>45362</v>
      </c>
      <c r="F324" t="inlineStr">
        <is>
          <t>NF-e</t>
        </is>
      </c>
      <c r="G324" t="inlineStr">
        <is>
          <t>000045830</t>
        </is>
      </c>
      <c r="H324" t="inlineStr">
        <is>
          <t>BRAGA e BARCELOS LTDA</t>
        </is>
      </c>
      <c r="I324" t="inlineStr">
        <is>
          <t>11.109.167/0001-01</t>
        </is>
      </c>
      <c r="J324" s="29" t="n">
        <v>1930.5</v>
      </c>
      <c r="K324" t="inlineStr">
        <is>
          <t>1.556</t>
        </is>
      </c>
      <c r="L324" t="inlineStr">
        <is>
          <t>Não</t>
        </is>
      </c>
      <c r="M324" t="inlineStr">
        <is>
          <t>Compra/outras</t>
        </is>
      </c>
    </row>
    <row r="325">
      <c r="A325" t="inlineStr">
        <is>
          <t>Remessa de mercadoria (categoria 2.01.84)</t>
        </is>
      </c>
      <c r="B325" t="inlineStr">
        <is>
          <t>2.01.84 Remessa de Mercadoria</t>
        </is>
      </c>
      <c r="C325" t="inlineStr">
        <is>
          <t>Antes de 2026</t>
        </is>
      </c>
      <c r="D325" t="inlineStr">
        <is>
          <t>Antes de 2026</t>
        </is>
      </c>
      <c r="E325" s="28" t="n">
        <v>45582</v>
      </c>
      <c r="F325" t="inlineStr">
        <is>
          <t>NF-e</t>
        </is>
      </c>
      <c r="G325" t="inlineStr">
        <is>
          <t>000011872</t>
        </is>
      </c>
      <c r="H325" t="inlineStr">
        <is>
          <t>C H S KANAIAMA CALCADOS LTDA</t>
        </is>
      </c>
      <c r="I325" t="inlineStr">
        <is>
          <t>50.666.996/0001-47</t>
        </is>
      </c>
      <c r="J325" s="29" t="n">
        <v>276.73</v>
      </c>
      <c r="K325" t="inlineStr">
        <is>
          <t>1.556</t>
        </is>
      </c>
      <c r="L325" t="inlineStr">
        <is>
          <t>Não</t>
        </is>
      </c>
      <c r="M325" t="inlineStr">
        <is>
          <t>Compra/outras</t>
        </is>
      </c>
    </row>
    <row r="326">
      <c r="A326" t="inlineStr">
        <is>
          <t>Remessa de mercadoria (categoria 2.01.84)</t>
        </is>
      </c>
      <c r="B326" t="inlineStr">
        <is>
          <t>2.01.84 Remessa de Mercadoria</t>
        </is>
      </c>
      <c r="C326" t="inlineStr">
        <is>
          <t>Antes de 2026</t>
        </is>
      </c>
      <c r="D326" t="inlineStr">
        <is>
          <t>Antes de 2026</t>
        </is>
      </c>
      <c r="E326" s="28" t="n">
        <v>45576</v>
      </c>
      <c r="F326" t="inlineStr">
        <is>
          <t>NF-e</t>
        </is>
      </c>
      <c r="G326" t="inlineStr">
        <is>
          <t>000000329</t>
        </is>
      </c>
      <c r="H326" t="inlineStr">
        <is>
          <t>CAMALEAO TINTAS COMERCIO E DISTRIBUICAO LTDA</t>
        </is>
      </c>
      <c r="I326" t="inlineStr">
        <is>
          <t>38.061.444/0001-00</t>
        </is>
      </c>
      <c r="J326" s="29" t="n">
        <v>641.77</v>
      </c>
      <c r="K326" t="inlineStr">
        <is>
          <t>1.556</t>
        </is>
      </c>
      <c r="L326" t="inlineStr">
        <is>
          <t>Não</t>
        </is>
      </c>
      <c r="M326" t="inlineStr">
        <is>
          <t>Compra/outras</t>
        </is>
      </c>
    </row>
    <row r="327">
      <c r="A327" t="inlineStr">
        <is>
          <t>Remessa de mercadoria (categoria 2.01.84)</t>
        </is>
      </c>
      <c r="B327" t="inlineStr">
        <is>
          <t>2.01.84 Remessa de Mercadoria</t>
        </is>
      </c>
      <c r="C327" t="inlineStr">
        <is>
          <t>Antes de 2026</t>
        </is>
      </c>
      <c r="D327" t="inlineStr">
        <is>
          <t>Antes de 2026</t>
        </is>
      </c>
      <c r="E327" s="28" t="n">
        <v>45510</v>
      </c>
      <c r="F327" t="inlineStr">
        <is>
          <t>CT-e</t>
        </is>
      </c>
      <c r="G327" t="inlineStr">
        <is>
          <t>000007421</t>
        </is>
      </c>
      <c r="H327" t="inlineStr">
        <is>
          <t>CAMPINENSE TRANSPORTE DE CARGAS E LOCACOES LT</t>
        </is>
      </c>
      <c r="J327" s="29" t="n">
        <v>139.63</v>
      </c>
      <c r="K327" t="inlineStr">
        <is>
          <t>1.556</t>
        </is>
      </c>
      <c r="L327" t="inlineStr">
        <is>
          <t>Não</t>
        </is>
      </c>
      <c r="N327" t="inlineStr">
        <is>
          <t>Modalidade: 1 - Por conta do destinatário | Parte: FITTYCOR - INDUSTRIA E COMERCIO DE TINTAS ESPECIAIS LTDA (53.071.692/0001-25)</t>
        </is>
      </c>
    </row>
    <row r="328">
      <c r="A328" t="inlineStr">
        <is>
          <t>Remessa de mercadoria (categoria 2.01.84)</t>
        </is>
      </c>
      <c r="B328" t="inlineStr">
        <is>
          <t>2.01.84 Remessa de Mercadoria</t>
        </is>
      </c>
      <c r="C328" t="inlineStr">
        <is>
          <t>Antes de 2026</t>
        </is>
      </c>
      <c r="D328" t="inlineStr">
        <is>
          <t>Antes de 2026</t>
        </is>
      </c>
      <c r="E328" s="28" t="n">
        <v>45519</v>
      </c>
      <c r="F328" t="inlineStr">
        <is>
          <t>CT-e</t>
        </is>
      </c>
      <c r="G328" t="inlineStr">
        <is>
          <t>000009253</t>
        </is>
      </c>
      <c r="H328" t="inlineStr">
        <is>
          <t>CAMPINENSE TRANSPORTE DE CARGAS E LOCACOES LT</t>
        </is>
      </c>
      <c r="J328" s="29" t="n">
        <v>1036.77</v>
      </c>
      <c r="K328" t="inlineStr">
        <is>
          <t>1.556</t>
        </is>
      </c>
      <c r="L328" t="inlineStr">
        <is>
          <t>Não</t>
        </is>
      </c>
      <c r="N328" t="inlineStr">
        <is>
          <t>Modalidade: 1 - Por conta do destinatário | Parte: FURNAX COMERCIAL E IMPORTADORA EIRELI (00.144.257/0001-17)</t>
        </is>
      </c>
    </row>
    <row r="329">
      <c r="A329" t="inlineStr">
        <is>
          <t>Remessa de mercadoria (categoria 2.01.84)</t>
        </is>
      </c>
      <c r="B329" t="inlineStr">
        <is>
          <t>2.01.84 Remessa de Mercadoria</t>
        </is>
      </c>
      <c r="C329" t="inlineStr">
        <is>
          <t>Antes de 2026</t>
        </is>
      </c>
      <c r="D329" t="inlineStr">
        <is>
          <t>Antes de 2026</t>
        </is>
      </c>
      <c r="E329" s="28" t="n">
        <v>45555</v>
      </c>
      <c r="F329" t="inlineStr">
        <is>
          <t>CT-e</t>
        </is>
      </c>
      <c r="G329" t="inlineStr">
        <is>
          <t>000015294</t>
        </is>
      </c>
      <c r="H329" t="inlineStr">
        <is>
          <t>CAMPINENSE TRANSPORTE DE CARGAS E LOCACOES LT</t>
        </is>
      </c>
      <c r="J329" s="29" t="n">
        <v>2364.52</v>
      </c>
      <c r="K329" t="inlineStr">
        <is>
          <t>1.556</t>
        </is>
      </c>
      <c r="L329" t="inlineStr">
        <is>
          <t>Não</t>
        </is>
      </c>
      <c r="N329" t="inlineStr">
        <is>
          <t>Modalidade: 1 - Por conta do destinatário | Parte: FURNAX COMERCIAL E IMPORTADORA EIRELI (00.144.257/0001-17)</t>
        </is>
      </c>
    </row>
    <row r="330">
      <c r="A330" t="inlineStr">
        <is>
          <t>Remessa de mercadoria (categoria 2.01.84)</t>
        </is>
      </c>
      <c r="B330" t="inlineStr">
        <is>
          <t>2.01.84 Remessa de Mercadoria</t>
        </is>
      </c>
      <c r="C330" t="inlineStr">
        <is>
          <t>Antes de 2026</t>
        </is>
      </c>
      <c r="D330" t="inlineStr">
        <is>
          <t>Antes de 2026</t>
        </is>
      </c>
      <c r="E330" s="28" t="n">
        <v>45631</v>
      </c>
      <c r="F330" t="inlineStr">
        <is>
          <t>CT-e</t>
        </is>
      </c>
      <c r="G330" t="inlineStr">
        <is>
          <t>000387291</t>
        </is>
      </c>
      <c r="H330" t="inlineStr">
        <is>
          <t>CAMPINENSE TRANSPORTE DE CARGAS LTDA</t>
        </is>
      </c>
      <c r="J330" s="29" t="n">
        <v>109.68</v>
      </c>
      <c r="K330" t="inlineStr">
        <is>
          <t>1.556</t>
        </is>
      </c>
      <c r="L330" t="inlineStr">
        <is>
          <t>Não</t>
        </is>
      </c>
      <c r="N330" t="inlineStr">
        <is>
          <t>Modalidade: 1 - Por conta do destinatário | Parte: ALDORO INDUSTRIA DE POS E PIGMENTOS METALICOS LTDA (47.340.930/0001-58)</t>
        </is>
      </c>
    </row>
    <row r="331">
      <c r="A331" t="inlineStr">
        <is>
          <t>Remessa de mercadoria (categoria 2.01.84)</t>
        </is>
      </c>
      <c r="B331" t="inlineStr">
        <is>
          <t>2.01.84 Remessa de Mercadoria</t>
        </is>
      </c>
      <c r="C331" t="inlineStr">
        <is>
          <t>Antes de 2026</t>
        </is>
      </c>
      <c r="D331" t="inlineStr">
        <is>
          <t>Antes de 2026</t>
        </is>
      </c>
      <c r="E331" s="28" t="n">
        <v>45520</v>
      </c>
      <c r="F331" t="inlineStr">
        <is>
          <t>CT-e</t>
        </is>
      </c>
      <c r="G331" t="inlineStr">
        <is>
          <t>000385362</t>
        </is>
      </c>
      <c r="H331" t="inlineStr">
        <is>
          <t>CAMPINENSE TRANSPORTE DE CARGAS LTDA</t>
        </is>
      </c>
      <c r="J331" s="29" t="n">
        <v>9654.84</v>
      </c>
      <c r="K331" t="inlineStr">
        <is>
          <t>1.556</t>
        </is>
      </c>
      <c r="L331" t="inlineStr">
        <is>
          <t>Não</t>
        </is>
      </c>
      <c r="N331" t="inlineStr">
        <is>
          <t>Modalidade: 1 - Por conta do destinatário | Parte: DAPP COMERCIO DE PRODUTOS QUIMICOS LTDA. (10.262.944/0001-90)</t>
        </is>
      </c>
    </row>
    <row r="332">
      <c r="A332" t="inlineStr">
        <is>
          <t>Remessa de mercadoria (categoria 2.01.84)</t>
        </is>
      </c>
      <c r="B332" t="inlineStr">
        <is>
          <t>2.01.84 Remessa de Mercadoria</t>
        </is>
      </c>
      <c r="C332" t="inlineStr">
        <is>
          <t>Antes de 2026</t>
        </is>
      </c>
      <c r="D332" t="inlineStr">
        <is>
          <t>Antes de 2026</t>
        </is>
      </c>
      <c r="E332" s="28" t="n">
        <v>45573</v>
      </c>
      <c r="F332" t="inlineStr">
        <is>
          <t>CT-e</t>
        </is>
      </c>
      <c r="G332" t="inlineStr">
        <is>
          <t>000386358</t>
        </is>
      </c>
      <c r="H332" t="inlineStr">
        <is>
          <t>CAMPINENSE TRANSPORTE DE CARGAS LTDA</t>
        </is>
      </c>
      <c r="J332" s="29" t="n">
        <v>6050.54</v>
      </c>
      <c r="K332" t="inlineStr">
        <is>
          <t>1.556</t>
        </is>
      </c>
      <c r="L332" t="inlineStr">
        <is>
          <t>Não</t>
        </is>
      </c>
      <c r="N332" t="inlineStr">
        <is>
          <t>Modalidade: 1 - Por conta do destinatário | Parte: DAPP COMERCIO DE PRODUTOS QUIMICOS LTDA. (10.262.944/0001-90)</t>
        </is>
      </c>
    </row>
    <row r="333">
      <c r="A333" t="inlineStr">
        <is>
          <t>Remessa de mercadoria (categoria 2.01.84)</t>
        </is>
      </c>
      <c r="B333" t="inlineStr">
        <is>
          <t>2.01.84 Remessa de Mercadoria</t>
        </is>
      </c>
      <c r="C333" t="inlineStr">
        <is>
          <t>Antes de 2026</t>
        </is>
      </c>
      <c r="D333" t="inlineStr">
        <is>
          <t>Antes de 2026</t>
        </is>
      </c>
      <c r="E333" s="28" t="n">
        <v>45582</v>
      </c>
      <c r="F333" t="inlineStr">
        <is>
          <t>CT-e</t>
        </is>
      </c>
      <c r="G333" t="inlineStr">
        <is>
          <t>000386548</t>
        </is>
      </c>
      <c r="H333" t="inlineStr">
        <is>
          <t>CAMPINENSE TRANSPORTE DE CARGAS LTDA</t>
        </is>
      </c>
      <c r="J333" s="29" t="n">
        <v>408.39</v>
      </c>
      <c r="K333" t="inlineStr">
        <is>
          <t>1.556</t>
        </is>
      </c>
      <c r="L333" t="inlineStr">
        <is>
          <t>Não</t>
        </is>
      </c>
      <c r="N333" t="inlineStr">
        <is>
          <t>Modalidade: 1 - Por conta do destinatário | Parte: DAPP COMERCIO DE PRODUTOS QUIMICOS LTDA. (10.262.944/0001-90)</t>
        </is>
      </c>
    </row>
    <row r="334">
      <c r="A334" t="inlineStr">
        <is>
          <t>Remessa de mercadoria (categoria 2.01.84)</t>
        </is>
      </c>
      <c r="B334" t="inlineStr">
        <is>
          <t>2.01.84 Remessa de Mercadoria</t>
        </is>
      </c>
      <c r="C334" t="inlineStr">
        <is>
          <t>Antes de 2026</t>
        </is>
      </c>
      <c r="D334" t="inlineStr">
        <is>
          <t>Antes de 2026</t>
        </is>
      </c>
      <c r="E334" s="28" t="n">
        <v>45601</v>
      </c>
      <c r="F334" t="inlineStr">
        <is>
          <t>CT-e</t>
        </is>
      </c>
      <c r="G334" t="inlineStr">
        <is>
          <t>000386823</t>
        </is>
      </c>
      <c r="H334" t="inlineStr">
        <is>
          <t>CAMPINENSE TRANSPORTE DE CARGAS LTDA</t>
        </is>
      </c>
      <c r="J334" s="29" t="n">
        <v>8437.629999999999</v>
      </c>
      <c r="K334" t="inlineStr">
        <is>
          <t>1.556</t>
        </is>
      </c>
      <c r="L334" t="inlineStr">
        <is>
          <t>Não</t>
        </is>
      </c>
      <c r="N334" t="inlineStr">
        <is>
          <t>Modalidade: 1 - Por conta do destinatário | Parte: DAPP COMERCIO DE PRODUTOS QUIMICOS LTDA. (10.262.944/0001-90)</t>
        </is>
      </c>
    </row>
    <row r="335">
      <c r="A335" t="inlineStr">
        <is>
          <t>Remessa de mercadoria (categoria 2.01.84)</t>
        </is>
      </c>
      <c r="B335" t="inlineStr">
        <is>
          <t>2.01.84 Remessa de Mercadoria</t>
        </is>
      </c>
      <c r="C335" t="inlineStr">
        <is>
          <t>Antes de 2026</t>
        </is>
      </c>
      <c r="D335" t="inlineStr">
        <is>
          <t>Antes de 2026</t>
        </is>
      </c>
      <c r="E335" s="28" t="n">
        <v>45643</v>
      </c>
      <c r="F335" t="inlineStr">
        <is>
          <t>CT-e</t>
        </is>
      </c>
      <c r="G335" t="inlineStr">
        <is>
          <t>000387482</t>
        </is>
      </c>
      <c r="H335" t="inlineStr">
        <is>
          <t>CAMPINENSE TRANSPORTE DE CARGAS LTDA</t>
        </is>
      </c>
      <c r="J335" s="29" t="n">
        <v>8437.629999999999</v>
      </c>
      <c r="K335" t="inlineStr">
        <is>
          <t>1.556</t>
        </is>
      </c>
      <c r="L335" t="inlineStr">
        <is>
          <t>Não</t>
        </is>
      </c>
      <c r="N335" t="inlineStr">
        <is>
          <t>Modalidade: 1 - Por conta do destinatário | Parte: DAPP COMERCIO DE PRODUTOS QUIMICOS LTDA. (10.262.944/0001-90)</t>
        </is>
      </c>
    </row>
    <row r="336">
      <c r="A336" t="inlineStr">
        <is>
          <t>Remessa de mercadoria (categoria 2.01.84)</t>
        </is>
      </c>
      <c r="B336" t="inlineStr">
        <is>
          <t>2.01.84 Remessa de Mercadoria</t>
        </is>
      </c>
      <c r="C336" t="inlineStr">
        <is>
          <t>Antes de 2026</t>
        </is>
      </c>
      <c r="D336" t="inlineStr">
        <is>
          <t>Antes de 2026</t>
        </is>
      </c>
      <c r="E336" s="28" t="n">
        <v>45535</v>
      </c>
      <c r="F336" t="inlineStr">
        <is>
          <t>NF-e</t>
        </is>
      </c>
      <c r="G336" t="inlineStr">
        <is>
          <t>900286669</t>
        </is>
      </c>
      <c r="H336" t="inlineStr">
        <is>
          <t>CAPITAL VIDROS - CARLOS DAVID VIEIRA PONTES</t>
        </is>
      </c>
      <c r="I336" t="inlineStr">
        <is>
          <t>51.936.444/0001-74</t>
        </is>
      </c>
      <c r="J336" s="29" t="n">
        <v>570</v>
      </c>
      <c r="K336" t="inlineStr">
        <is>
          <t>1.556</t>
        </is>
      </c>
      <c r="L336" t="inlineStr">
        <is>
          <t>Não</t>
        </is>
      </c>
      <c r="M336" t="inlineStr">
        <is>
          <t>Compra/outras</t>
        </is>
      </c>
    </row>
    <row r="337">
      <c r="A337" t="inlineStr">
        <is>
          <t>Remessa de mercadoria (categoria 2.01.84)</t>
        </is>
      </c>
      <c r="B337" t="inlineStr">
        <is>
          <t>2.01.84 Remessa de Mercadoria</t>
        </is>
      </c>
      <c r="C337" t="inlineStr">
        <is>
          <t>Antes de 2026</t>
        </is>
      </c>
      <c r="D337" t="inlineStr">
        <is>
          <t>Antes de 2026</t>
        </is>
      </c>
      <c r="E337" s="28" t="n">
        <v>45313</v>
      </c>
      <c r="F337" t="inlineStr">
        <is>
          <t>NF-e</t>
        </is>
      </c>
      <c r="G337" t="inlineStr">
        <is>
          <t>000019951</t>
        </is>
      </c>
      <c r="H337" t="inlineStr">
        <is>
          <t>CASA DOS PARAFUSOS COMERCIO DE FERRAGENS E FERRAMENTAS LTDA</t>
        </is>
      </c>
      <c r="I337" t="inlineStr">
        <is>
          <t>27.547.665/0001-76</t>
        </is>
      </c>
      <c r="J337" s="29" t="n">
        <v>753.99</v>
      </c>
      <c r="K337" t="inlineStr">
        <is>
          <t>1.556</t>
        </is>
      </c>
      <c r="L337" t="inlineStr">
        <is>
          <t>Não</t>
        </is>
      </c>
      <c r="M337" t="inlineStr">
        <is>
          <t>Compra/outras</t>
        </is>
      </c>
    </row>
    <row r="338">
      <c r="A338" t="inlineStr">
        <is>
          <t>Remessa de mercadoria (categoria 2.01.84)</t>
        </is>
      </c>
      <c r="B338" t="inlineStr">
        <is>
          <t>2.01.84 Remessa de Mercadoria</t>
        </is>
      </c>
      <c r="C338" t="inlineStr">
        <is>
          <t>Antes de 2026</t>
        </is>
      </c>
      <c r="D338" t="inlineStr">
        <is>
          <t>Antes de 2026</t>
        </is>
      </c>
      <c r="E338" s="28" t="n">
        <v>45364</v>
      </c>
      <c r="F338" t="inlineStr">
        <is>
          <t>NF-e</t>
        </is>
      </c>
      <c r="G338" t="inlineStr">
        <is>
          <t>000020590</t>
        </is>
      </c>
      <c r="H338" t="inlineStr">
        <is>
          <t>CASA DOS PARAFUSOS COMERCIO DE FERRAGENS E FERRAMENTAS LTDA</t>
        </is>
      </c>
      <c r="I338" t="inlineStr">
        <is>
          <t>27.547.665/0001-76</t>
        </is>
      </c>
      <c r="J338" s="29" t="n">
        <v>1401.62</v>
      </c>
      <c r="K338" t="inlineStr">
        <is>
          <t>1.556</t>
        </is>
      </c>
      <c r="L338" t="inlineStr">
        <is>
          <t>Não</t>
        </is>
      </c>
      <c r="M338" t="inlineStr">
        <is>
          <t>Compra/outras</t>
        </is>
      </c>
    </row>
    <row r="339">
      <c r="A339" t="inlineStr">
        <is>
          <t>Remessa de mercadoria (categoria 2.01.84)</t>
        </is>
      </c>
      <c r="B339" t="inlineStr">
        <is>
          <t>2.01.84 Remessa de Mercadoria</t>
        </is>
      </c>
      <c r="C339" t="inlineStr">
        <is>
          <t>Antes de 2026</t>
        </is>
      </c>
      <c r="D339" t="inlineStr">
        <is>
          <t>Antes de 2026</t>
        </is>
      </c>
      <c r="E339" s="28" t="n">
        <v>45365</v>
      </c>
      <c r="F339" t="inlineStr">
        <is>
          <t>NF-e</t>
        </is>
      </c>
      <c r="G339" t="inlineStr">
        <is>
          <t>000020606</t>
        </is>
      </c>
      <c r="H339" t="inlineStr">
        <is>
          <t>CASA DOS PARAFUSOS COMERCIO DE FERRAGENS E FERRAMENTAS LTDA</t>
        </is>
      </c>
      <c r="I339" t="inlineStr">
        <is>
          <t>27.547.665/0001-76</t>
        </is>
      </c>
      <c r="J339" s="29" t="n">
        <v>117.25</v>
      </c>
      <c r="K339" t="inlineStr">
        <is>
          <t>1.556</t>
        </is>
      </c>
      <c r="L339" t="inlineStr">
        <is>
          <t>Não</t>
        </is>
      </c>
      <c r="M339" t="inlineStr">
        <is>
          <t>Compra/outras</t>
        </is>
      </c>
    </row>
    <row r="340">
      <c r="A340" t="inlineStr">
        <is>
          <t>Remessa de mercadoria (categoria 2.01.84)</t>
        </is>
      </c>
      <c r="B340" t="inlineStr">
        <is>
          <t>2.01.84 Remessa de Mercadoria</t>
        </is>
      </c>
      <c r="C340" t="inlineStr">
        <is>
          <t>Antes de 2026</t>
        </is>
      </c>
      <c r="D340" t="inlineStr">
        <is>
          <t>Antes de 2026</t>
        </is>
      </c>
      <c r="E340" s="28" t="n">
        <v>45503</v>
      </c>
      <c r="F340" t="inlineStr">
        <is>
          <t>NF-e</t>
        </is>
      </c>
      <c r="G340" t="inlineStr">
        <is>
          <t>000022269</t>
        </is>
      </c>
      <c r="H340" t="inlineStr">
        <is>
          <t>CASA DOS PARAFUSOS COMERCIO DE FERRAGENS E FERRAMENTAS LTDA</t>
        </is>
      </c>
      <c r="I340" t="inlineStr">
        <is>
          <t>27.547.665/0001-76</t>
        </is>
      </c>
      <c r="J340" s="29" t="n">
        <v>100</v>
      </c>
      <c r="K340" t="inlineStr">
        <is>
          <t>1.556</t>
        </is>
      </c>
      <c r="L340" t="inlineStr">
        <is>
          <t>Não</t>
        </is>
      </c>
      <c r="M340" t="inlineStr">
        <is>
          <t>Compra/outras</t>
        </is>
      </c>
    </row>
    <row r="341">
      <c r="A341" t="inlineStr">
        <is>
          <t>Remessa de mercadoria (categoria 2.01.84)</t>
        </is>
      </c>
      <c r="B341" t="inlineStr">
        <is>
          <t>2.01.84 Remessa de Mercadoria</t>
        </is>
      </c>
      <c r="C341" t="inlineStr">
        <is>
          <t>Antes de 2026</t>
        </is>
      </c>
      <c r="D341" t="inlineStr">
        <is>
          <t>Antes de 2026</t>
        </is>
      </c>
      <c r="E341" s="28" t="n">
        <v>45565</v>
      </c>
      <c r="F341" t="inlineStr">
        <is>
          <t>NF-e</t>
        </is>
      </c>
      <c r="G341" t="inlineStr">
        <is>
          <t>000022960</t>
        </is>
      </c>
      <c r="H341" t="inlineStr">
        <is>
          <t>CASA DOS PARAFUSOS COMERCIO DE FERRAGENS E FERRAMENTAS LTDA</t>
        </is>
      </c>
      <c r="I341" t="inlineStr">
        <is>
          <t>27.547.665/0001-76</t>
        </is>
      </c>
      <c r="J341" s="29" t="n">
        <v>390.5</v>
      </c>
      <c r="K341" t="inlineStr">
        <is>
          <t>1.556</t>
        </is>
      </c>
      <c r="L341" t="inlineStr">
        <is>
          <t>Não</t>
        </is>
      </c>
      <c r="M341" t="inlineStr">
        <is>
          <t>Compra/outras</t>
        </is>
      </c>
    </row>
    <row r="342">
      <c r="A342" t="inlineStr">
        <is>
          <t>Remessa de mercadoria (categoria 2.01.84)</t>
        </is>
      </c>
      <c r="B342" t="inlineStr">
        <is>
          <t>2.01.84 Remessa de Mercadoria</t>
        </is>
      </c>
      <c r="C342" t="inlineStr">
        <is>
          <t>Antes de 2026</t>
        </is>
      </c>
      <c r="D342" t="inlineStr">
        <is>
          <t>Antes de 2026</t>
        </is>
      </c>
      <c r="E342" s="28" t="n">
        <v>45608</v>
      </c>
      <c r="F342" t="inlineStr">
        <is>
          <t>NF-e</t>
        </is>
      </c>
      <c r="G342" t="inlineStr">
        <is>
          <t>000001807</t>
        </is>
      </c>
      <c r="H342" t="inlineStr">
        <is>
          <t>CASINHAPEL EMBALAGENS LTDA</t>
        </is>
      </c>
      <c r="I342" t="inlineStr">
        <is>
          <t>13.190.805/0001-97</t>
        </is>
      </c>
      <c r="J342" s="29" t="n">
        <v>26086.62</v>
      </c>
      <c r="K342" t="inlineStr">
        <is>
          <t>1.556</t>
        </is>
      </c>
      <c r="L342" t="inlineStr">
        <is>
          <t>Não</t>
        </is>
      </c>
      <c r="M342" t="inlineStr">
        <is>
          <t>Compra/outras</t>
        </is>
      </c>
    </row>
    <row r="343">
      <c r="A343" t="inlineStr">
        <is>
          <t>Remessa de mercadoria (categoria 2.01.84)</t>
        </is>
      </c>
      <c r="B343" t="inlineStr">
        <is>
          <t>2.01.84 Remessa de Mercadoria</t>
        </is>
      </c>
      <c r="C343" t="inlineStr">
        <is>
          <t>Antes de 2026</t>
        </is>
      </c>
      <c r="D343" t="inlineStr">
        <is>
          <t>Antes de 2026</t>
        </is>
      </c>
      <c r="E343" s="28" t="n">
        <v>45568</v>
      </c>
      <c r="F343" t="inlineStr">
        <is>
          <t>NF-e</t>
        </is>
      </c>
      <c r="G343" t="inlineStr">
        <is>
          <t>000257506</t>
        </is>
      </c>
      <c r="H343" t="inlineStr">
        <is>
          <t>CELESTE ALIMENTOS E PANIFICACAO LTDA</t>
        </is>
      </c>
      <c r="I343" t="inlineStr">
        <is>
          <t>12.808.484/0001-89</t>
        </is>
      </c>
      <c r="J343" s="29" t="n">
        <v>376.86</v>
      </c>
      <c r="K343" t="inlineStr">
        <is>
          <t>1.556</t>
        </is>
      </c>
      <c r="L343" t="inlineStr">
        <is>
          <t>Não</t>
        </is>
      </c>
      <c r="M343" t="inlineStr">
        <is>
          <t>Compra/outras</t>
        </is>
      </c>
    </row>
    <row r="344">
      <c r="A344" t="inlineStr">
        <is>
          <t>Remessa de mercadoria (categoria 2.01.84)</t>
        </is>
      </c>
      <c r="B344" t="inlineStr">
        <is>
          <t>2.01.84 Remessa de Mercadoria</t>
        </is>
      </c>
      <c r="C344" t="inlineStr">
        <is>
          <t>Antes de 2026</t>
        </is>
      </c>
      <c r="D344" t="inlineStr">
        <is>
          <t>Antes de 2026</t>
        </is>
      </c>
      <c r="E344" s="28" t="n">
        <v>45496</v>
      </c>
      <c r="F344" t="inlineStr">
        <is>
          <t>NF-e</t>
        </is>
      </c>
      <c r="G344" t="inlineStr">
        <is>
          <t>000200881</t>
        </is>
      </c>
      <c r="H344" t="inlineStr">
        <is>
          <t>CLARUS COMERCIO DE EPI'S E FERRAMENTAS</t>
        </is>
      </c>
      <c r="I344" t="inlineStr">
        <is>
          <t>06.012.849/0001-61</t>
        </is>
      </c>
      <c r="J344" s="29" t="n">
        <v>1038.9</v>
      </c>
      <c r="K344" t="inlineStr">
        <is>
          <t>1.556</t>
        </is>
      </c>
      <c r="L344" t="inlineStr">
        <is>
          <t>Não</t>
        </is>
      </c>
      <c r="M344" t="inlineStr">
        <is>
          <t>Compra/outras</t>
        </is>
      </c>
    </row>
    <row r="345">
      <c r="A345" t="inlineStr">
        <is>
          <t>Remessa de mercadoria (categoria 2.01.84)</t>
        </is>
      </c>
      <c r="B345" t="inlineStr">
        <is>
          <t>2.01.84 Remessa de Mercadoria</t>
        </is>
      </c>
      <c r="C345" t="inlineStr">
        <is>
          <t>Antes de 2026</t>
        </is>
      </c>
      <c r="D345" t="inlineStr">
        <is>
          <t>Antes de 2026</t>
        </is>
      </c>
      <c r="E345" s="28" t="n">
        <v>45314</v>
      </c>
      <c r="F345" t="inlineStr">
        <is>
          <t>NF-e</t>
        </is>
      </c>
      <c r="G345" t="inlineStr">
        <is>
          <t>000085434</t>
        </is>
      </c>
      <c r="H345" t="inlineStr">
        <is>
          <t>COCELPA CIA DE CEL. E PAPEL DO PARANA SA</t>
        </is>
      </c>
      <c r="I345" t="inlineStr">
        <is>
          <t>76.487.651/0001-10</t>
        </is>
      </c>
      <c r="J345" s="29" t="n">
        <v>102604.69</v>
      </c>
      <c r="K345" t="inlineStr">
        <is>
          <t>1.556</t>
        </is>
      </c>
      <c r="L345" t="inlineStr">
        <is>
          <t>Não</t>
        </is>
      </c>
      <c r="M345" t="inlineStr">
        <is>
          <t>Compra/outras</t>
        </is>
      </c>
    </row>
    <row r="346">
      <c r="A346" t="inlineStr">
        <is>
          <t>Remessa de mercadoria (categoria 2.01.84)</t>
        </is>
      </c>
      <c r="B346" t="inlineStr">
        <is>
          <t>2.01.84 Remessa de Mercadoria</t>
        </is>
      </c>
      <c r="C346" t="inlineStr">
        <is>
          <t>Antes de 2026</t>
        </is>
      </c>
      <c r="D346" t="inlineStr">
        <is>
          <t>Antes de 2026</t>
        </is>
      </c>
      <c r="E346" s="28" t="n">
        <v>45314</v>
      </c>
      <c r="F346" t="inlineStr">
        <is>
          <t>NF-e</t>
        </is>
      </c>
      <c r="G346" t="inlineStr">
        <is>
          <t>000085435</t>
        </is>
      </c>
      <c r="H346" t="inlineStr">
        <is>
          <t>COCELPA CIA DE CEL. E PAPEL DO PARANA SA</t>
        </is>
      </c>
      <c r="I346" t="inlineStr">
        <is>
          <t>76.487.651/0001-10</t>
        </is>
      </c>
      <c r="J346" s="29" t="n">
        <v>102604.69</v>
      </c>
      <c r="K346" t="inlineStr">
        <is>
          <t>1.556</t>
        </is>
      </c>
      <c r="L346" t="inlineStr">
        <is>
          <t>Não</t>
        </is>
      </c>
      <c r="M346" t="inlineStr">
        <is>
          <t>Compra/outras</t>
        </is>
      </c>
    </row>
    <row r="347">
      <c r="A347" t="inlineStr">
        <is>
          <t>Remessa de mercadoria (categoria 2.01.84)</t>
        </is>
      </c>
      <c r="B347" t="inlineStr">
        <is>
          <t>2.01.84 Remessa de Mercadoria</t>
        </is>
      </c>
      <c r="C347" t="inlineStr">
        <is>
          <t>Antes de 2026</t>
        </is>
      </c>
      <c r="D347" t="inlineStr">
        <is>
          <t>Antes de 2026</t>
        </is>
      </c>
      <c r="E347" s="28" t="n">
        <v>45314</v>
      </c>
      <c r="F347" t="inlineStr">
        <is>
          <t>NF-e</t>
        </is>
      </c>
      <c r="G347" t="inlineStr">
        <is>
          <t>000085436</t>
        </is>
      </c>
      <c r="H347" t="inlineStr">
        <is>
          <t>COCELPA CIA DE CEL. E PAPEL DO PARANA SA</t>
        </is>
      </c>
      <c r="I347" t="inlineStr">
        <is>
          <t>76.487.651/0001-10</t>
        </is>
      </c>
      <c r="J347" s="29" t="n">
        <v>102604.69</v>
      </c>
      <c r="K347" t="inlineStr">
        <is>
          <t>1.556</t>
        </is>
      </c>
      <c r="L347" t="inlineStr">
        <is>
          <t>Não</t>
        </is>
      </c>
      <c r="M347" t="inlineStr">
        <is>
          <t>Compra/outras</t>
        </is>
      </c>
    </row>
    <row r="348">
      <c r="A348" t="inlineStr">
        <is>
          <t>Remessa de mercadoria (categoria 2.01.84)</t>
        </is>
      </c>
      <c r="B348" t="inlineStr">
        <is>
          <t>2.01.84 Remessa de Mercadoria</t>
        </is>
      </c>
      <c r="C348" t="inlineStr">
        <is>
          <t>Antes de 2026</t>
        </is>
      </c>
      <c r="D348" t="inlineStr">
        <is>
          <t>Antes de 2026</t>
        </is>
      </c>
      <c r="E348" s="28" t="n">
        <v>45352</v>
      </c>
      <c r="F348" t="inlineStr">
        <is>
          <t>NF-e</t>
        </is>
      </c>
      <c r="G348" t="inlineStr">
        <is>
          <t>000086126</t>
        </is>
      </c>
      <c r="H348" t="inlineStr">
        <is>
          <t>COCELPA CIA DE CEL. E PAPEL DO PARANA SA</t>
        </is>
      </c>
      <c r="I348" t="inlineStr">
        <is>
          <t>76.487.651/0001-10</t>
        </is>
      </c>
      <c r="J348" s="29" t="n">
        <v>2922.18</v>
      </c>
      <c r="K348" t="inlineStr">
        <is>
          <t>1.556</t>
        </is>
      </c>
      <c r="L348" t="inlineStr">
        <is>
          <t>Não</t>
        </is>
      </c>
      <c r="M348" t="inlineStr">
        <is>
          <t>Compra/outras</t>
        </is>
      </c>
    </row>
    <row r="349">
      <c r="A349" t="inlineStr">
        <is>
          <t>Remessa de mercadoria (categoria 2.01.84)</t>
        </is>
      </c>
      <c r="B349" t="inlineStr">
        <is>
          <t>2.01.84 Remessa de Mercadoria</t>
        </is>
      </c>
      <c r="C349" t="inlineStr">
        <is>
          <t>Antes de 2026</t>
        </is>
      </c>
      <c r="D349" t="inlineStr">
        <is>
          <t>Antes de 2026</t>
        </is>
      </c>
      <c r="E349" s="28" t="n">
        <v>45352</v>
      </c>
      <c r="F349" t="inlineStr">
        <is>
          <t>NF-e</t>
        </is>
      </c>
      <c r="G349" t="inlineStr">
        <is>
          <t>000086127</t>
        </is>
      </c>
      <c r="H349" t="inlineStr">
        <is>
          <t>COCELPA CIA DE CEL. E PAPEL DO PARANA SA</t>
        </is>
      </c>
      <c r="I349" t="inlineStr">
        <is>
          <t>76.487.651/0001-10</t>
        </is>
      </c>
      <c r="J349" s="29" t="n">
        <v>1198.42</v>
      </c>
      <c r="K349" t="inlineStr">
        <is>
          <t>1.556</t>
        </is>
      </c>
      <c r="L349" t="inlineStr">
        <is>
          <t>Não</t>
        </is>
      </c>
      <c r="M349" t="inlineStr">
        <is>
          <t>Compra/outras</t>
        </is>
      </c>
    </row>
    <row r="350">
      <c r="A350" t="inlineStr">
        <is>
          <t>Remessa de mercadoria (categoria 2.01.84)</t>
        </is>
      </c>
      <c r="B350" t="inlineStr">
        <is>
          <t>2.01.84 Remessa de Mercadoria</t>
        </is>
      </c>
      <c r="C350" t="inlineStr">
        <is>
          <t>Antes de 2026</t>
        </is>
      </c>
      <c r="D350" t="inlineStr">
        <is>
          <t>Antes de 2026</t>
        </is>
      </c>
      <c r="E350" s="28" t="n">
        <v>45355</v>
      </c>
      <c r="F350" t="inlineStr">
        <is>
          <t>NF-e</t>
        </is>
      </c>
      <c r="G350" t="inlineStr">
        <is>
          <t>000086173</t>
        </is>
      </c>
      <c r="H350" t="inlineStr">
        <is>
          <t>COCELPA CIA DE CEL. E PAPEL DO PARANA SA</t>
        </is>
      </c>
      <c r="I350" t="inlineStr">
        <is>
          <t>76.487.651/0001-10</t>
        </is>
      </c>
      <c r="J350" s="29" t="n">
        <v>9029.209999999999</v>
      </c>
      <c r="K350" t="inlineStr">
        <is>
          <t>1.556</t>
        </is>
      </c>
      <c r="L350" t="inlineStr">
        <is>
          <t>Não</t>
        </is>
      </c>
      <c r="M350" t="inlineStr">
        <is>
          <t>Compra/outras</t>
        </is>
      </c>
    </row>
    <row r="351">
      <c r="A351" t="inlineStr">
        <is>
          <t>Remessa de mercadoria (categoria 2.01.84)</t>
        </is>
      </c>
      <c r="B351" t="inlineStr">
        <is>
          <t>2.01.84 Remessa de Mercadoria</t>
        </is>
      </c>
      <c r="C351" t="inlineStr">
        <is>
          <t>Antes de 2026</t>
        </is>
      </c>
      <c r="D351" t="inlineStr">
        <is>
          <t>Antes de 2026</t>
        </is>
      </c>
      <c r="E351" s="28" t="n">
        <v>45355</v>
      </c>
      <c r="F351" t="inlineStr">
        <is>
          <t>NF-e</t>
        </is>
      </c>
      <c r="G351" t="inlineStr">
        <is>
          <t>000086174</t>
        </is>
      </c>
      <c r="H351" t="inlineStr">
        <is>
          <t>COCELPA CIA DE CEL. E PAPEL DO PARANA SA</t>
        </is>
      </c>
      <c r="I351" t="inlineStr">
        <is>
          <t>76.487.651/0001-10</t>
        </is>
      </c>
      <c r="J351" s="29" t="n">
        <v>6041.36</v>
      </c>
      <c r="K351" t="inlineStr">
        <is>
          <t>1.556</t>
        </is>
      </c>
      <c r="L351" t="inlineStr">
        <is>
          <t>Não</t>
        </is>
      </c>
      <c r="M351" t="inlineStr">
        <is>
          <t>Compra/outras</t>
        </is>
      </c>
    </row>
    <row r="352">
      <c r="A352" t="inlineStr">
        <is>
          <t>Remessa de mercadoria (categoria 2.01.84)</t>
        </is>
      </c>
      <c r="B352" t="inlineStr">
        <is>
          <t>2.01.84 Remessa de Mercadoria</t>
        </is>
      </c>
      <c r="C352" t="inlineStr">
        <is>
          <t>Antes de 2026</t>
        </is>
      </c>
      <c r="D352" t="inlineStr">
        <is>
          <t>Antes de 2026</t>
        </is>
      </c>
      <c r="E352" s="28" t="n">
        <v>45362</v>
      </c>
      <c r="F352" t="inlineStr">
        <is>
          <t>NF-e</t>
        </is>
      </c>
      <c r="G352" t="inlineStr">
        <is>
          <t>000086300</t>
        </is>
      </c>
      <c r="H352" t="inlineStr">
        <is>
          <t>COCELPA CIA DE CEL. E PAPEL DO PARANA SA</t>
        </is>
      </c>
      <c r="I352" t="inlineStr">
        <is>
          <t>76.487.651/0001-10</t>
        </is>
      </c>
      <c r="J352" s="29" t="n">
        <v>1588.33</v>
      </c>
      <c r="K352" t="inlineStr">
        <is>
          <t>1.556</t>
        </is>
      </c>
      <c r="L352" t="inlineStr">
        <is>
          <t>Não</t>
        </is>
      </c>
      <c r="M352" t="inlineStr">
        <is>
          <t>Compra/outras</t>
        </is>
      </c>
    </row>
    <row r="353">
      <c r="A353" t="inlineStr">
        <is>
          <t>Remessa de mercadoria (categoria 2.01.84)</t>
        </is>
      </c>
      <c r="B353" t="inlineStr">
        <is>
          <t>2.01.84 Remessa de Mercadoria</t>
        </is>
      </c>
      <c r="C353" t="inlineStr">
        <is>
          <t>Antes de 2026</t>
        </is>
      </c>
      <c r="D353" t="inlineStr">
        <is>
          <t>Antes de 2026</t>
        </is>
      </c>
      <c r="E353" s="28" t="n">
        <v>45362</v>
      </c>
      <c r="F353" t="inlineStr">
        <is>
          <t>NF-e</t>
        </is>
      </c>
      <c r="G353" t="inlineStr">
        <is>
          <t>000086309</t>
        </is>
      </c>
      <c r="H353" t="inlineStr">
        <is>
          <t>COCELPA CIA DE CEL. E PAPEL DO PARANA SA</t>
        </is>
      </c>
      <c r="I353" t="inlineStr">
        <is>
          <t>76.487.651/0001-10</t>
        </is>
      </c>
      <c r="J353" s="29" t="n">
        <v>4457.15</v>
      </c>
      <c r="K353" t="inlineStr">
        <is>
          <t>1.556</t>
        </is>
      </c>
      <c r="L353" t="inlineStr">
        <is>
          <t>Não</t>
        </is>
      </c>
      <c r="M353" t="inlineStr">
        <is>
          <t>Compra/outras</t>
        </is>
      </c>
    </row>
    <row r="354">
      <c r="A354" t="inlineStr">
        <is>
          <t>Remessa de mercadoria (categoria 2.01.84)</t>
        </is>
      </c>
      <c r="B354" t="inlineStr">
        <is>
          <t>2.01.84 Remessa de Mercadoria</t>
        </is>
      </c>
      <c r="C354" t="inlineStr">
        <is>
          <t>Antes de 2026</t>
        </is>
      </c>
      <c r="D354" t="inlineStr">
        <is>
          <t>Antes de 2026</t>
        </is>
      </c>
      <c r="E354" s="28" t="n">
        <v>45362</v>
      </c>
      <c r="F354" t="inlineStr">
        <is>
          <t>NF-e</t>
        </is>
      </c>
      <c r="G354" t="inlineStr">
        <is>
          <t>000086310</t>
        </is>
      </c>
      <c r="H354" t="inlineStr">
        <is>
          <t>COCELPA CIA DE CEL. E PAPEL DO PARANA SA</t>
        </is>
      </c>
      <c r="I354" t="inlineStr">
        <is>
          <t>76.487.651/0001-10</t>
        </is>
      </c>
      <c r="J354" s="29" t="n">
        <v>5704.82</v>
      </c>
      <c r="K354" t="inlineStr">
        <is>
          <t>1.556</t>
        </is>
      </c>
      <c r="L354" t="inlineStr">
        <is>
          <t>Não</t>
        </is>
      </c>
      <c r="M354" t="inlineStr">
        <is>
          <t>Compra/outras</t>
        </is>
      </c>
    </row>
    <row r="355">
      <c r="A355" t="inlineStr">
        <is>
          <t>Remessa de mercadoria (categoria 2.01.84)</t>
        </is>
      </c>
      <c r="B355" t="inlineStr">
        <is>
          <t>2.01.84 Remessa de Mercadoria</t>
        </is>
      </c>
      <c r="C355" t="inlineStr">
        <is>
          <t>Antes de 2026</t>
        </is>
      </c>
      <c r="D355" t="inlineStr">
        <is>
          <t>Antes de 2026</t>
        </is>
      </c>
      <c r="E355" s="28" t="n">
        <v>45492</v>
      </c>
      <c r="F355" t="inlineStr">
        <is>
          <t>NF-e</t>
        </is>
      </c>
      <c r="G355" t="inlineStr">
        <is>
          <t>000088802</t>
        </is>
      </c>
      <c r="H355" t="inlineStr">
        <is>
          <t>COCELPA CIA DE CEL. E PAPEL DO PARANA SA</t>
        </is>
      </c>
      <c r="I355" t="inlineStr">
        <is>
          <t>76.487.651/0001-10</t>
        </is>
      </c>
      <c r="J355" s="29" t="n">
        <v>9163.370000000001</v>
      </c>
      <c r="K355" t="inlineStr">
        <is>
          <t>1.556</t>
        </is>
      </c>
      <c r="L355" t="inlineStr">
        <is>
          <t>Não</t>
        </is>
      </c>
      <c r="M355" t="inlineStr">
        <is>
          <t>Compra/outras</t>
        </is>
      </c>
    </row>
    <row r="356">
      <c r="A356" t="inlineStr">
        <is>
          <t>Remessa de mercadoria (categoria 2.01.84)</t>
        </is>
      </c>
      <c r="B356" t="inlineStr">
        <is>
          <t>2.01.84 Remessa de Mercadoria</t>
        </is>
      </c>
      <c r="C356" t="inlineStr">
        <is>
          <t>Antes de 2026</t>
        </is>
      </c>
      <c r="D356" t="inlineStr">
        <is>
          <t>Antes de 2026</t>
        </is>
      </c>
      <c r="E356" s="28" t="n">
        <v>45492</v>
      </c>
      <c r="F356" t="inlineStr">
        <is>
          <t>NF-e</t>
        </is>
      </c>
      <c r="G356" t="inlineStr">
        <is>
          <t>000088804</t>
        </is>
      </c>
      <c r="H356" t="inlineStr">
        <is>
          <t>COCELPA CIA DE CEL. E PAPEL DO PARANA SA</t>
        </is>
      </c>
      <c r="I356" t="inlineStr">
        <is>
          <t>76.487.651/0001-10</t>
        </is>
      </c>
      <c r="J356" s="29" t="n">
        <v>8733.459999999999</v>
      </c>
      <c r="K356" t="inlineStr">
        <is>
          <t>1.556</t>
        </is>
      </c>
      <c r="L356" t="inlineStr">
        <is>
          <t>Não</t>
        </is>
      </c>
      <c r="M356" t="inlineStr">
        <is>
          <t>Compra/outras</t>
        </is>
      </c>
    </row>
    <row r="357">
      <c r="A357" t="inlineStr">
        <is>
          <t>Remessa de mercadoria (categoria 2.01.84)</t>
        </is>
      </c>
      <c r="B357" t="inlineStr">
        <is>
          <t>2.01.84 Remessa de Mercadoria</t>
        </is>
      </c>
      <c r="C357" t="inlineStr">
        <is>
          <t>Antes de 2026</t>
        </is>
      </c>
      <c r="D357" t="inlineStr">
        <is>
          <t>Antes de 2026</t>
        </is>
      </c>
      <c r="E357" s="28" t="n">
        <v>45492</v>
      </c>
      <c r="F357" t="inlineStr">
        <is>
          <t>NF-e</t>
        </is>
      </c>
      <c r="G357" t="inlineStr">
        <is>
          <t>000088807</t>
        </is>
      </c>
      <c r="H357" t="inlineStr">
        <is>
          <t>COCELPA CIA DE CEL. E PAPEL DO PARANA SA</t>
        </is>
      </c>
      <c r="I357" t="inlineStr">
        <is>
          <t>76.487.651/0001-10</t>
        </is>
      </c>
      <c r="J357" s="29" t="n">
        <v>9917.16</v>
      </c>
      <c r="K357" t="inlineStr">
        <is>
          <t>1.556</t>
        </is>
      </c>
      <c r="L357" t="inlineStr">
        <is>
          <t>Não</t>
        </is>
      </c>
      <c r="M357" t="inlineStr">
        <is>
          <t>Compra/outras</t>
        </is>
      </c>
    </row>
    <row r="358">
      <c r="A358" t="inlineStr">
        <is>
          <t>Remessa de mercadoria (categoria 2.01.84)</t>
        </is>
      </c>
      <c r="B358" t="inlineStr">
        <is>
          <t>2.01.84 Remessa de Mercadoria</t>
        </is>
      </c>
      <c r="C358" t="inlineStr">
        <is>
          <t>Antes de 2026</t>
        </is>
      </c>
      <c r="D358" t="inlineStr">
        <is>
          <t>Antes de 2026</t>
        </is>
      </c>
      <c r="E358" s="28" t="n">
        <v>45495</v>
      </c>
      <c r="F358" t="inlineStr">
        <is>
          <t>NF-e</t>
        </is>
      </c>
      <c r="G358" t="inlineStr">
        <is>
          <t>000088819</t>
        </is>
      </c>
      <c r="H358" t="inlineStr">
        <is>
          <t>COCELPA CIA DE CEL. E PAPEL DO PARANA SA</t>
        </is>
      </c>
      <c r="I358" t="inlineStr">
        <is>
          <t>76.487.651/0001-10</t>
        </is>
      </c>
      <c r="J358" s="29" t="n">
        <v>1065.92</v>
      </c>
      <c r="K358" t="inlineStr">
        <is>
          <t>1.556</t>
        </is>
      </c>
      <c r="L358" t="inlineStr">
        <is>
          <t>Não</t>
        </is>
      </c>
      <c r="M358" t="inlineStr">
        <is>
          <t>Compra/outras</t>
        </is>
      </c>
    </row>
    <row r="359">
      <c r="A359" t="inlineStr">
        <is>
          <t>Remessa de mercadoria (categoria 2.01.84)</t>
        </is>
      </c>
      <c r="B359" t="inlineStr">
        <is>
          <t>2.01.84 Remessa de Mercadoria</t>
        </is>
      </c>
      <c r="C359" t="inlineStr">
        <is>
          <t>Antes de 2026</t>
        </is>
      </c>
      <c r="D359" t="inlineStr">
        <is>
          <t>Antes de 2026</t>
        </is>
      </c>
      <c r="E359" s="28" t="n">
        <v>45495</v>
      </c>
      <c r="F359" t="inlineStr">
        <is>
          <t>NF-e</t>
        </is>
      </c>
      <c r="G359" t="inlineStr">
        <is>
          <t>000088823</t>
        </is>
      </c>
      <c r="H359" t="inlineStr">
        <is>
          <t>COCELPA CIA DE CEL. E PAPEL DO PARANA SA</t>
        </is>
      </c>
      <c r="I359" t="inlineStr">
        <is>
          <t>76.487.651/0001-10</t>
        </is>
      </c>
      <c r="J359" s="29" t="n">
        <v>453.45</v>
      </c>
      <c r="K359" t="inlineStr">
        <is>
          <t>1.556</t>
        </is>
      </c>
      <c r="L359" t="inlineStr">
        <is>
          <t>Não</t>
        </is>
      </c>
      <c r="M359" t="inlineStr">
        <is>
          <t>Compra/outras</t>
        </is>
      </c>
    </row>
    <row r="360">
      <c r="A360" t="inlineStr">
        <is>
          <t>Remessa de mercadoria (categoria 2.01.84)</t>
        </is>
      </c>
      <c r="B360" t="inlineStr">
        <is>
          <t>2.01.84 Remessa de Mercadoria</t>
        </is>
      </c>
      <c r="C360" t="inlineStr">
        <is>
          <t>Antes de 2026</t>
        </is>
      </c>
      <c r="D360" t="inlineStr">
        <is>
          <t>Antes de 2026</t>
        </is>
      </c>
      <c r="E360" s="28" t="n">
        <v>45495</v>
      </c>
      <c r="F360" t="inlineStr">
        <is>
          <t>NF-e</t>
        </is>
      </c>
      <c r="G360" t="inlineStr">
        <is>
          <t>000088840</t>
        </is>
      </c>
      <c r="H360" t="inlineStr">
        <is>
          <t>COCELPA CIA DE CEL. E PAPEL DO PARANA SA</t>
        </is>
      </c>
      <c r="I360" t="inlineStr">
        <is>
          <t>76.487.651/0001-10</t>
        </is>
      </c>
      <c r="J360" s="29" t="n">
        <v>217.9</v>
      </c>
      <c r="K360" t="inlineStr">
        <is>
          <t>1.556</t>
        </is>
      </c>
      <c r="L360" t="inlineStr">
        <is>
          <t>Não</t>
        </is>
      </c>
      <c r="M360" t="inlineStr">
        <is>
          <t>Compra/outras</t>
        </is>
      </c>
    </row>
    <row r="361">
      <c r="A361" t="inlineStr">
        <is>
          <t>Remessa de mercadoria (categoria 2.01.84)</t>
        </is>
      </c>
      <c r="B361" t="inlineStr">
        <is>
          <t>2.01.84 Remessa de Mercadoria</t>
        </is>
      </c>
      <c r="C361" t="inlineStr">
        <is>
          <t>Antes de 2026</t>
        </is>
      </c>
      <c r="D361" t="inlineStr">
        <is>
          <t>Antes de 2026</t>
        </is>
      </c>
      <c r="E361" s="28" t="n">
        <v>45496</v>
      </c>
      <c r="F361" t="inlineStr">
        <is>
          <t>NF-e</t>
        </is>
      </c>
      <c r="G361" t="inlineStr">
        <is>
          <t>000088868</t>
        </is>
      </c>
      <c r="H361" t="inlineStr">
        <is>
          <t>COCELPA CIA DE CEL. E PAPEL DO PARANA SA</t>
        </is>
      </c>
      <c r="I361" t="inlineStr">
        <is>
          <t>76.487.651/0001-10</t>
        </is>
      </c>
      <c r="J361" s="29" t="n">
        <v>241.45</v>
      </c>
      <c r="K361" t="inlineStr">
        <is>
          <t>1.556</t>
        </is>
      </c>
      <c r="L361" t="inlineStr">
        <is>
          <t>Não</t>
        </is>
      </c>
      <c r="M361" t="inlineStr">
        <is>
          <t>Compra/outras</t>
        </is>
      </c>
    </row>
    <row r="362">
      <c r="A362" t="inlineStr">
        <is>
          <t>Remessa de mercadoria (categoria 2.01.84)</t>
        </is>
      </c>
      <c r="B362" t="inlineStr">
        <is>
          <t>2.01.84 Remessa de Mercadoria</t>
        </is>
      </c>
      <c r="C362" t="inlineStr">
        <is>
          <t>Antes de 2026</t>
        </is>
      </c>
      <c r="D362" t="inlineStr">
        <is>
          <t>Antes de 2026</t>
        </is>
      </c>
      <c r="E362" s="28" t="n">
        <v>45497</v>
      </c>
      <c r="F362" t="inlineStr">
        <is>
          <t>NF-e</t>
        </is>
      </c>
      <c r="G362" t="inlineStr">
        <is>
          <t>000088883</t>
        </is>
      </c>
      <c r="H362" t="inlineStr">
        <is>
          <t>COCELPA CIA DE CEL. E PAPEL DO PARANA SA</t>
        </is>
      </c>
      <c r="I362" t="inlineStr">
        <is>
          <t>76.487.651/0001-10</t>
        </is>
      </c>
      <c r="J362" s="29" t="n">
        <v>94.23</v>
      </c>
      <c r="K362" t="inlineStr">
        <is>
          <t>1.556</t>
        </is>
      </c>
      <c r="L362" t="inlineStr">
        <is>
          <t>Não</t>
        </is>
      </c>
      <c r="M362" t="inlineStr">
        <is>
          <t>Compra/outras</t>
        </is>
      </c>
    </row>
    <row r="363">
      <c r="A363" t="inlineStr">
        <is>
          <t>Remessa de mercadoria (categoria 2.01.84)</t>
        </is>
      </c>
      <c r="B363" t="inlineStr">
        <is>
          <t>2.01.84 Remessa de Mercadoria</t>
        </is>
      </c>
      <c r="C363" t="inlineStr">
        <is>
          <t>Antes de 2026</t>
        </is>
      </c>
      <c r="D363" t="inlineStr">
        <is>
          <t>Antes de 2026</t>
        </is>
      </c>
      <c r="E363" s="28" t="n">
        <v>45498</v>
      </c>
      <c r="F363" t="inlineStr">
        <is>
          <t>NF-e</t>
        </is>
      </c>
      <c r="G363" t="inlineStr">
        <is>
          <t>000088910</t>
        </is>
      </c>
      <c r="H363" t="inlineStr">
        <is>
          <t>COCELPA CIA DE CEL. E PAPEL DO PARANA SA</t>
        </is>
      </c>
      <c r="I363" t="inlineStr">
        <is>
          <t>76.487.651/0001-10</t>
        </is>
      </c>
      <c r="J363" s="29" t="n">
        <v>441.68</v>
      </c>
      <c r="K363" t="inlineStr">
        <is>
          <t>1.556</t>
        </is>
      </c>
      <c r="L363" t="inlineStr">
        <is>
          <t>Não</t>
        </is>
      </c>
      <c r="M363" t="inlineStr">
        <is>
          <t>Compra/outras</t>
        </is>
      </c>
    </row>
    <row r="364">
      <c r="A364" t="inlineStr">
        <is>
          <t>Remessa de mercadoria (categoria 2.01.84)</t>
        </is>
      </c>
      <c r="B364" t="inlineStr">
        <is>
          <t>2.01.84 Remessa de Mercadoria</t>
        </is>
      </c>
      <c r="C364" t="inlineStr">
        <is>
          <t>Antes de 2026</t>
        </is>
      </c>
      <c r="D364" t="inlineStr">
        <is>
          <t>Antes de 2026</t>
        </is>
      </c>
      <c r="E364" s="28" t="n">
        <v>45545</v>
      </c>
      <c r="F364" t="inlineStr">
        <is>
          <t>NF-e</t>
        </is>
      </c>
      <c r="G364" t="inlineStr">
        <is>
          <t>000089808</t>
        </is>
      </c>
      <c r="H364" t="inlineStr">
        <is>
          <t>COCELPA CIA DE CEL. E PAPEL DO PARANA SA</t>
        </is>
      </c>
      <c r="I364" t="inlineStr">
        <is>
          <t>76.487.651/0001-10</t>
        </is>
      </c>
      <c r="J364" s="29" t="n">
        <v>2361.51</v>
      </c>
      <c r="K364" t="inlineStr">
        <is>
          <t>1.556</t>
        </is>
      </c>
      <c r="L364" t="inlineStr">
        <is>
          <t>Não</t>
        </is>
      </c>
      <c r="M364" t="inlineStr">
        <is>
          <t>Compra/outras</t>
        </is>
      </c>
    </row>
    <row r="365">
      <c r="A365" t="inlineStr">
        <is>
          <t>Remessa de mercadoria (categoria 2.01.84)</t>
        </is>
      </c>
      <c r="B365" t="inlineStr">
        <is>
          <t>2.01.84 Remessa de Mercadoria</t>
        </is>
      </c>
      <c r="C365" t="inlineStr">
        <is>
          <t>Antes de 2026</t>
        </is>
      </c>
      <c r="D365" t="inlineStr">
        <is>
          <t>Antes de 2026</t>
        </is>
      </c>
      <c r="E365" s="28" t="n">
        <v>45545</v>
      </c>
      <c r="F365" t="inlineStr">
        <is>
          <t>NF-e</t>
        </is>
      </c>
      <c r="G365" t="inlineStr">
        <is>
          <t>000089815</t>
        </is>
      </c>
      <c r="H365" t="inlineStr">
        <is>
          <t>COCELPA CIA DE CEL. E PAPEL DO PARANA SA</t>
        </is>
      </c>
      <c r="I365" t="inlineStr">
        <is>
          <t>76.487.651/0001-10</t>
        </is>
      </c>
      <c r="J365" s="29" t="n">
        <v>1201.37</v>
      </c>
      <c r="K365" t="inlineStr">
        <is>
          <t>1.556</t>
        </is>
      </c>
      <c r="L365" t="inlineStr">
        <is>
          <t>Não</t>
        </is>
      </c>
      <c r="M365" t="inlineStr">
        <is>
          <t>Compra/outras</t>
        </is>
      </c>
    </row>
    <row r="366">
      <c r="A366" t="inlineStr">
        <is>
          <t>Remessa de mercadoria (categoria 2.01.84)</t>
        </is>
      </c>
      <c r="B366" t="inlineStr">
        <is>
          <t>2.01.84 Remessa de Mercadoria</t>
        </is>
      </c>
      <c r="C366" t="inlineStr">
        <is>
          <t>Antes de 2026</t>
        </is>
      </c>
      <c r="D366" t="inlineStr">
        <is>
          <t>Antes de 2026</t>
        </is>
      </c>
      <c r="E366" s="28" t="n">
        <v>45546</v>
      </c>
      <c r="F366" t="inlineStr">
        <is>
          <t>NF-e</t>
        </is>
      </c>
      <c r="G366" t="inlineStr">
        <is>
          <t>000089830</t>
        </is>
      </c>
      <c r="H366" t="inlineStr">
        <is>
          <t>COCELPA CIA DE CEL. E PAPEL DO PARANA SA</t>
        </is>
      </c>
      <c r="I366" t="inlineStr">
        <is>
          <t>76.487.651/0001-10</t>
        </is>
      </c>
      <c r="J366" s="29" t="n">
        <v>2962.19</v>
      </c>
      <c r="K366" t="inlineStr">
        <is>
          <t>1.556</t>
        </is>
      </c>
      <c r="L366" t="inlineStr">
        <is>
          <t>Não</t>
        </is>
      </c>
      <c r="M366" t="inlineStr">
        <is>
          <t>Compra/outras</t>
        </is>
      </c>
    </row>
    <row r="367">
      <c r="A367" t="inlineStr">
        <is>
          <t>Remessa de mercadoria (categoria 2.01.84)</t>
        </is>
      </c>
      <c r="B367" t="inlineStr">
        <is>
          <t>2.01.84 Remessa de Mercadoria</t>
        </is>
      </c>
      <c r="C367" t="inlineStr">
        <is>
          <t>Antes de 2026</t>
        </is>
      </c>
      <c r="D367" t="inlineStr">
        <is>
          <t>Antes de 2026</t>
        </is>
      </c>
      <c r="E367" s="28" t="n">
        <v>45546</v>
      </c>
      <c r="F367" t="inlineStr">
        <is>
          <t>NF-e</t>
        </is>
      </c>
      <c r="G367" t="inlineStr">
        <is>
          <t>000089832</t>
        </is>
      </c>
      <c r="H367" t="inlineStr">
        <is>
          <t>COCELPA CIA DE CEL. E PAPEL DO PARANA SA</t>
        </is>
      </c>
      <c r="I367" t="inlineStr">
        <is>
          <t>76.487.651/0001-10</t>
        </is>
      </c>
      <c r="J367" s="29" t="n">
        <v>2461.62</v>
      </c>
      <c r="K367" t="inlineStr">
        <is>
          <t>1.556</t>
        </is>
      </c>
      <c r="L367" t="inlineStr">
        <is>
          <t>Não</t>
        </is>
      </c>
      <c r="M367" t="inlineStr">
        <is>
          <t>Compra/outras</t>
        </is>
      </c>
    </row>
    <row r="368">
      <c r="A368" t="inlineStr">
        <is>
          <t>Remessa de mercadoria (categoria 2.01.84)</t>
        </is>
      </c>
      <c r="B368" t="inlineStr">
        <is>
          <t>2.01.84 Remessa de Mercadoria</t>
        </is>
      </c>
      <c r="C368" t="inlineStr">
        <is>
          <t>Antes de 2026</t>
        </is>
      </c>
      <c r="D368" t="inlineStr">
        <is>
          <t>Antes de 2026</t>
        </is>
      </c>
      <c r="E368" s="28" t="n">
        <v>45526</v>
      </c>
      <c r="F368" t="inlineStr">
        <is>
          <t>NF-e</t>
        </is>
      </c>
      <c r="G368" t="inlineStr">
        <is>
          <t>000000832</t>
        </is>
      </c>
      <c r="H368" t="inlineStr">
        <is>
          <t>CONDE COMERCIO DE MATERIAL DE CONSTRUCAO LTDA</t>
        </is>
      </c>
      <c r="I368" t="inlineStr">
        <is>
          <t>27.073.801/0001-33</t>
        </is>
      </c>
      <c r="J368" s="29" t="n">
        <v>3185</v>
      </c>
      <c r="K368" t="inlineStr">
        <is>
          <t>1.556</t>
        </is>
      </c>
      <c r="L368" t="inlineStr">
        <is>
          <t>Não</t>
        </is>
      </c>
      <c r="M368" t="inlineStr">
        <is>
          <t>Compra/outras</t>
        </is>
      </c>
    </row>
    <row r="369">
      <c r="A369" t="inlineStr">
        <is>
          <t>Remessa de mercadoria (categoria 2.01.84)</t>
        </is>
      </c>
      <c r="B369" t="inlineStr">
        <is>
          <t>2.01.84 Remessa de Mercadoria</t>
        </is>
      </c>
      <c r="C369" t="inlineStr">
        <is>
          <t>Antes de 2026</t>
        </is>
      </c>
      <c r="D369" t="inlineStr">
        <is>
          <t>Antes de 2026</t>
        </is>
      </c>
      <c r="E369" s="28" t="n">
        <v>45342</v>
      </c>
      <c r="F369" t="inlineStr">
        <is>
          <t>NF-e</t>
        </is>
      </c>
      <c r="G369" t="inlineStr">
        <is>
          <t>000093913</t>
        </is>
      </c>
      <c r="H369" t="inlineStr">
        <is>
          <t>CONPEL COMPANHIA NORDESTINA DE PAPEL EM RECUPERACAO JUDICIAL</t>
        </is>
      </c>
      <c r="I369" t="inlineStr">
        <is>
          <t>09.116.278/0001-01</t>
        </is>
      </c>
      <c r="J369" s="29" t="n">
        <v>18289.37</v>
      </c>
      <c r="K369" t="inlineStr">
        <is>
          <t>1.556</t>
        </is>
      </c>
      <c r="L369" t="inlineStr">
        <is>
          <t>Não</t>
        </is>
      </c>
      <c r="M369" t="inlineStr">
        <is>
          <t>Compra/outras</t>
        </is>
      </c>
    </row>
    <row r="370">
      <c r="A370" t="inlineStr">
        <is>
          <t>Remessa de mercadoria (categoria 2.01.84)</t>
        </is>
      </c>
      <c r="B370" t="inlineStr">
        <is>
          <t>2.01.84 Remessa de Mercadoria</t>
        </is>
      </c>
      <c r="C370" t="inlineStr">
        <is>
          <t>Antes de 2026</t>
        </is>
      </c>
      <c r="D370" t="inlineStr">
        <is>
          <t>Antes de 2026</t>
        </is>
      </c>
      <c r="E370" s="28" t="n">
        <v>45344</v>
      </c>
      <c r="F370" t="inlineStr">
        <is>
          <t>NF-e</t>
        </is>
      </c>
      <c r="G370" t="inlineStr">
        <is>
          <t>000093964</t>
        </is>
      </c>
      <c r="H370" t="inlineStr">
        <is>
          <t>CONPEL COMPANHIA NORDESTINA DE PAPEL EM RECUPERACAO JUDICIAL</t>
        </is>
      </c>
      <c r="I370" t="inlineStr">
        <is>
          <t>09.116.278/0001-01</t>
        </is>
      </c>
      <c r="J370" s="29" t="n">
        <v>6398.37</v>
      </c>
      <c r="K370" t="inlineStr">
        <is>
          <t>1.556</t>
        </is>
      </c>
      <c r="L370" t="inlineStr">
        <is>
          <t>Não</t>
        </is>
      </c>
      <c r="M370" t="inlineStr">
        <is>
          <t>Compra/outras</t>
        </is>
      </c>
    </row>
    <row r="371">
      <c r="A371" t="inlineStr">
        <is>
          <t>Remessa de mercadoria (categoria 2.01.84)</t>
        </is>
      </c>
      <c r="B371" t="inlineStr">
        <is>
          <t>2.01.84 Remessa de Mercadoria</t>
        </is>
      </c>
      <c r="C371" t="inlineStr">
        <is>
          <t>Antes de 2026</t>
        </is>
      </c>
      <c r="D371" t="inlineStr">
        <is>
          <t>Antes de 2026</t>
        </is>
      </c>
      <c r="E371" s="28" t="n">
        <v>45363</v>
      </c>
      <c r="F371" t="inlineStr">
        <is>
          <t>NF-e</t>
        </is>
      </c>
      <c r="G371" t="inlineStr">
        <is>
          <t>000094298</t>
        </is>
      </c>
      <c r="H371" t="inlineStr">
        <is>
          <t>CONPEL COMPANHIA NORDESTINA DE PAPEL EM RECUPERACAO JUDICIAL</t>
        </is>
      </c>
      <c r="I371" t="inlineStr">
        <is>
          <t>09.116.278/0001-01</t>
        </is>
      </c>
      <c r="J371" s="29" t="n">
        <v>1619.2</v>
      </c>
      <c r="K371" t="inlineStr">
        <is>
          <t>1.556</t>
        </is>
      </c>
      <c r="L371" t="inlineStr">
        <is>
          <t>Não</t>
        </is>
      </c>
      <c r="M371" t="inlineStr">
        <is>
          <t>Compra/outras</t>
        </is>
      </c>
    </row>
    <row r="372">
      <c r="A372" t="inlineStr">
        <is>
          <t>Remessa de mercadoria (categoria 2.01.84)</t>
        </is>
      </c>
      <c r="B372" t="inlineStr">
        <is>
          <t>2.01.84 Remessa de Mercadoria</t>
        </is>
      </c>
      <c r="C372" t="inlineStr">
        <is>
          <t>Antes de 2026</t>
        </is>
      </c>
      <c r="D372" t="inlineStr">
        <is>
          <t>Antes de 2026</t>
        </is>
      </c>
      <c r="E372" s="28" t="n">
        <v>45369</v>
      </c>
      <c r="F372" t="inlineStr">
        <is>
          <t>NF-e</t>
        </is>
      </c>
      <c r="G372" t="inlineStr">
        <is>
          <t>000094405</t>
        </is>
      </c>
      <c r="H372" t="inlineStr">
        <is>
          <t>CONPEL COMPANHIA NORDESTINA DE PAPEL EM RECUPERACAO JUDICIAL</t>
        </is>
      </c>
      <c r="I372" t="inlineStr">
        <is>
          <t>09.116.278/0001-01</t>
        </is>
      </c>
      <c r="J372" s="29" t="n">
        <v>10181.35</v>
      </c>
      <c r="K372" t="inlineStr">
        <is>
          <t>1.556</t>
        </is>
      </c>
      <c r="L372" t="inlineStr">
        <is>
          <t>Não</t>
        </is>
      </c>
      <c r="M372" t="inlineStr">
        <is>
          <t>Compra/outras</t>
        </is>
      </c>
    </row>
    <row r="373">
      <c r="A373" t="inlineStr">
        <is>
          <t>Remessa de mercadoria (categoria 2.01.84)</t>
        </is>
      </c>
      <c r="B373" t="inlineStr">
        <is>
          <t>2.01.84 Remessa de Mercadoria</t>
        </is>
      </c>
      <c r="C373" t="inlineStr">
        <is>
          <t>Antes de 2026</t>
        </is>
      </c>
      <c r="D373" t="inlineStr">
        <is>
          <t>Antes de 2026</t>
        </is>
      </c>
      <c r="E373" s="28" t="n">
        <v>45504</v>
      </c>
      <c r="F373" t="inlineStr">
        <is>
          <t>NF-e</t>
        </is>
      </c>
      <c r="G373" t="inlineStr">
        <is>
          <t>000097163</t>
        </is>
      </c>
      <c r="H373" t="inlineStr">
        <is>
          <t>CONPEL COMPANHIA NORDESTINA DE PAPEL EM RECUPERACAO JUDICIAL</t>
        </is>
      </c>
      <c r="I373" t="inlineStr">
        <is>
          <t>09.116.278/0001-01</t>
        </is>
      </c>
      <c r="J373" s="29" t="n">
        <v>14873.23</v>
      </c>
      <c r="K373" t="inlineStr">
        <is>
          <t>1.556</t>
        </is>
      </c>
      <c r="L373" t="inlineStr">
        <is>
          <t>Não</t>
        </is>
      </c>
      <c r="M373" t="inlineStr">
        <is>
          <t>Compra/outras</t>
        </is>
      </c>
    </row>
    <row r="374">
      <c r="A374" t="inlineStr">
        <is>
          <t>Remessa de mercadoria (categoria 2.01.84)</t>
        </is>
      </c>
      <c r="B374" t="inlineStr">
        <is>
          <t>2.01.84 Remessa de Mercadoria</t>
        </is>
      </c>
      <c r="C374" t="inlineStr">
        <is>
          <t>Antes de 2026</t>
        </is>
      </c>
      <c r="D374" t="inlineStr">
        <is>
          <t>Antes de 2026</t>
        </is>
      </c>
      <c r="E374" s="28" t="n">
        <v>45359</v>
      </c>
      <c r="F374" t="inlineStr">
        <is>
          <t>NF-e</t>
        </is>
      </c>
      <c r="G374" t="inlineStr">
        <is>
          <t>000077931</t>
        </is>
      </c>
      <c r="H374" t="inlineStr">
        <is>
          <t>CONSTRUTIVA MATERIAIS ELETRICOS LTDA</t>
        </is>
      </c>
      <c r="I374" t="inlineStr">
        <is>
          <t>06.267.222/0001-51</t>
        </is>
      </c>
      <c r="J374" s="29" t="n">
        <v>169</v>
      </c>
      <c r="K374" t="inlineStr">
        <is>
          <t>1.556</t>
        </is>
      </c>
      <c r="L374" t="inlineStr">
        <is>
          <t>Não</t>
        </is>
      </c>
      <c r="M374" t="inlineStr">
        <is>
          <t>Compra/outras</t>
        </is>
      </c>
    </row>
    <row r="375">
      <c r="A375" t="inlineStr">
        <is>
          <t>Remessa de mercadoria (categoria 2.01.84)</t>
        </is>
      </c>
      <c r="B375" t="inlineStr">
        <is>
          <t>2.01.84 Remessa de Mercadoria</t>
        </is>
      </c>
      <c r="C375" t="inlineStr">
        <is>
          <t>Antes de 2026</t>
        </is>
      </c>
      <c r="D375" t="inlineStr">
        <is>
          <t>Antes de 2026</t>
        </is>
      </c>
      <c r="E375" s="28" t="n">
        <v>45360</v>
      </c>
      <c r="F375" t="inlineStr">
        <is>
          <t>NF-e</t>
        </is>
      </c>
      <c r="G375" t="inlineStr">
        <is>
          <t>000077943</t>
        </is>
      </c>
      <c r="H375" t="inlineStr">
        <is>
          <t>CONSTRUTIVA MATERIAIS ELETRICOS LTDA</t>
        </is>
      </c>
      <c r="I375" t="inlineStr">
        <is>
          <t>06.267.222/0001-51</t>
        </is>
      </c>
      <c r="J375" s="29" t="n">
        <v>1179.02</v>
      </c>
      <c r="K375" t="inlineStr">
        <is>
          <t>1.556</t>
        </is>
      </c>
      <c r="L375" t="inlineStr">
        <is>
          <t>Não</t>
        </is>
      </c>
      <c r="M375" t="inlineStr">
        <is>
          <t>Compra/outras</t>
        </is>
      </c>
    </row>
    <row r="376">
      <c r="A376" t="inlineStr">
        <is>
          <t>Remessa de mercadoria (categoria 2.01.84)</t>
        </is>
      </c>
      <c r="B376" t="inlineStr">
        <is>
          <t>2.01.84 Remessa de Mercadoria</t>
        </is>
      </c>
      <c r="C376" t="inlineStr">
        <is>
          <t>Antes de 2026</t>
        </is>
      </c>
      <c r="D376" t="inlineStr">
        <is>
          <t>Antes de 2026</t>
        </is>
      </c>
      <c r="E376" s="28" t="n">
        <v>45526</v>
      </c>
      <c r="F376" t="inlineStr">
        <is>
          <t>NF-e</t>
        </is>
      </c>
      <c r="G376" t="inlineStr">
        <is>
          <t>000081375</t>
        </is>
      </c>
      <c r="H376" t="inlineStr">
        <is>
          <t>CONSTRUTIVA MATERIAIS ELETRICOS LTDA</t>
        </is>
      </c>
      <c r="I376" t="inlineStr">
        <is>
          <t>06.267.222/0001-51</t>
        </is>
      </c>
      <c r="J376" s="29" t="n">
        <v>1465.65</v>
      </c>
      <c r="K376" t="inlineStr">
        <is>
          <t>1.556</t>
        </is>
      </c>
      <c r="L376" t="inlineStr">
        <is>
          <t>Não</t>
        </is>
      </c>
      <c r="M376" t="inlineStr">
        <is>
          <t>Compra/outras</t>
        </is>
      </c>
    </row>
    <row r="377">
      <c r="A377" t="inlineStr">
        <is>
          <t>Remessa de mercadoria (categoria 2.01.84)</t>
        </is>
      </c>
      <c r="B377" t="inlineStr">
        <is>
          <t>2.01.84 Remessa de Mercadoria</t>
        </is>
      </c>
      <c r="C377" t="inlineStr">
        <is>
          <t>Antes de 2026</t>
        </is>
      </c>
      <c r="D377" t="inlineStr">
        <is>
          <t>Antes de 2026</t>
        </is>
      </c>
      <c r="E377" s="28" t="n">
        <v>45637</v>
      </c>
      <c r="F377" t="inlineStr">
        <is>
          <t>CT-e</t>
        </is>
      </c>
      <c r="G377" t="inlineStr">
        <is>
          <t>000048948</t>
        </is>
      </c>
      <c r="H377" t="inlineStr">
        <is>
          <t>COTRAPEL COOPERATIVA DOS TRANSPORTADORES DE PAPEL</t>
        </is>
      </c>
      <c r="J377" s="29" t="n">
        <v>32240</v>
      </c>
      <c r="K377" t="inlineStr">
        <is>
          <t>1.556</t>
        </is>
      </c>
      <c r="L377" t="inlineStr">
        <is>
          <t>Não</t>
        </is>
      </c>
      <c r="N377" t="inlineStr">
        <is>
          <t>Modalidade: 1 - Por conta do destinatário | Parte: CMPC Iguacu Embalagens Ltda (11.308.600/0008-04)</t>
        </is>
      </c>
    </row>
    <row r="378">
      <c r="A378" t="inlineStr">
        <is>
          <t>Remessa de mercadoria (categoria 2.01.84)</t>
        </is>
      </c>
      <c r="B378" t="inlineStr">
        <is>
          <t>2.01.84 Remessa de Mercadoria</t>
        </is>
      </c>
      <c r="C378" t="inlineStr">
        <is>
          <t>Antes de 2026</t>
        </is>
      </c>
      <c r="D378" t="inlineStr">
        <is>
          <t>Antes de 2026</t>
        </is>
      </c>
      <c r="E378" s="28" t="n">
        <v>45646</v>
      </c>
      <c r="F378" t="inlineStr">
        <is>
          <t>CT-e</t>
        </is>
      </c>
      <c r="G378" t="inlineStr">
        <is>
          <t>000049041</t>
        </is>
      </c>
      <c r="H378" t="inlineStr">
        <is>
          <t>COTRAPEL COOPERATIVA DOS TRANSPORTADORES DE PAPEL</t>
        </is>
      </c>
      <c r="J378" s="29" t="n">
        <v>32240</v>
      </c>
      <c r="K378" t="inlineStr">
        <is>
          <t>1.556</t>
        </is>
      </c>
      <c r="L378" t="inlineStr">
        <is>
          <t>Não</t>
        </is>
      </c>
      <c r="N378" t="inlineStr">
        <is>
          <t>Modalidade: 1 - Por conta do destinatário | Parte: CMPC Iguacu Embalagens Ltda (11.308.600/0008-04)</t>
        </is>
      </c>
    </row>
    <row r="379">
      <c r="A379" t="inlineStr">
        <is>
          <t>Remessa de mercadoria (categoria 2.01.84)</t>
        </is>
      </c>
      <c r="B379" t="inlineStr">
        <is>
          <t>2.01.84 Remessa de Mercadoria</t>
        </is>
      </c>
      <c r="C379" t="inlineStr">
        <is>
          <t>Antes de 2026</t>
        </is>
      </c>
      <c r="D379" t="inlineStr">
        <is>
          <t>Antes de 2026</t>
        </is>
      </c>
      <c r="E379" s="28" t="n">
        <v>45517</v>
      </c>
      <c r="F379" t="inlineStr">
        <is>
          <t>CT-e</t>
        </is>
      </c>
      <c r="G379" t="inlineStr">
        <is>
          <t>000047819</t>
        </is>
      </c>
      <c r="H379" t="inlineStr">
        <is>
          <t>COTRAPEL COOPERATIVA DOS TRANSPORTADORES DE PAPEL</t>
        </is>
      </c>
      <c r="J379" s="29" t="n">
        <v>25880</v>
      </c>
      <c r="K379" t="inlineStr">
        <is>
          <t>1.556</t>
        </is>
      </c>
      <c r="L379" t="inlineStr">
        <is>
          <t>Não</t>
        </is>
      </c>
      <c r="N379" t="inlineStr">
        <is>
          <t>Modalidade: 1 - Por conta do destinatário | Parte: SENGES PAPEL E CELULOSE LTDA (43.014.521/0007-04)</t>
        </is>
      </c>
    </row>
    <row r="380">
      <c r="A380" t="inlineStr">
        <is>
          <t>Remessa de mercadoria (categoria 2.01.84)</t>
        </is>
      </c>
      <c r="B380" t="inlineStr">
        <is>
          <t>2.01.84 Remessa de Mercadoria</t>
        </is>
      </c>
      <c r="C380" t="inlineStr">
        <is>
          <t>Antes de 2026</t>
        </is>
      </c>
      <c r="D380" t="inlineStr">
        <is>
          <t>Antes de 2026</t>
        </is>
      </c>
      <c r="E380" s="28" t="n">
        <v>45534</v>
      </c>
      <c r="F380" t="inlineStr">
        <is>
          <t>CT-e</t>
        </is>
      </c>
      <c r="G380" t="inlineStr">
        <is>
          <t>000047997</t>
        </is>
      </c>
      <c r="H380" t="inlineStr">
        <is>
          <t>COTRAPEL COOPERATIVA DOS TRANSPORTADORES DE PAPEL</t>
        </is>
      </c>
      <c r="J380" s="29" t="n">
        <v>26308.63</v>
      </c>
      <c r="K380" t="inlineStr">
        <is>
          <t>1.556</t>
        </is>
      </c>
      <c r="L380" t="inlineStr">
        <is>
          <t>Não</t>
        </is>
      </c>
      <c r="N380" t="inlineStr">
        <is>
          <t>Modalidade: 1 - Por conta do destinatário | Parte: SENGES PAPEL E CELULOSE LTDA (43.014.521/0007-04)</t>
        </is>
      </c>
    </row>
    <row r="381">
      <c r="A381" t="inlineStr">
        <is>
          <t>Remessa de mercadoria (categoria 2.01.84)</t>
        </is>
      </c>
      <c r="B381" t="inlineStr">
        <is>
          <t>2.01.84 Remessa de Mercadoria</t>
        </is>
      </c>
      <c r="C381" t="inlineStr">
        <is>
          <t>Antes de 2026</t>
        </is>
      </c>
      <c r="D381" t="inlineStr">
        <is>
          <t>Antes de 2026</t>
        </is>
      </c>
      <c r="E381" s="28" t="n">
        <v>45591</v>
      </c>
      <c r="F381" t="inlineStr">
        <is>
          <t>CT-e</t>
        </is>
      </c>
      <c r="G381" t="inlineStr">
        <is>
          <t>000048535</t>
        </is>
      </c>
      <c r="H381" t="inlineStr">
        <is>
          <t>COTRAPEL COOPERATIVA DOS TRANSPORTADORES DE PAPEL</t>
        </is>
      </c>
      <c r="J381" s="29" t="n">
        <v>26256.88</v>
      </c>
      <c r="K381" t="inlineStr">
        <is>
          <t>1.556</t>
        </is>
      </c>
      <c r="L381" t="inlineStr">
        <is>
          <t>Não</t>
        </is>
      </c>
      <c r="N381" t="inlineStr">
        <is>
          <t>Modalidade: 1 - Por conta do destinatário | Parte: SENGES PAPEL E CELULOSE LTDA (43.014.521/0007-04)</t>
        </is>
      </c>
    </row>
    <row r="382">
      <c r="A382" t="inlineStr">
        <is>
          <t>Remessa de mercadoria (categoria 2.01.84)</t>
        </is>
      </c>
      <c r="B382" t="inlineStr">
        <is>
          <t>2.01.84 Remessa de Mercadoria</t>
        </is>
      </c>
      <c r="C382" t="inlineStr">
        <is>
          <t>Antes de 2026</t>
        </is>
      </c>
      <c r="D382" t="inlineStr">
        <is>
          <t>Antes de 2026</t>
        </is>
      </c>
      <c r="E382" s="28" t="n">
        <v>45297</v>
      </c>
      <c r="F382" t="inlineStr">
        <is>
          <t>NF-e</t>
        </is>
      </c>
      <c r="G382" t="inlineStr">
        <is>
          <t>000006788</t>
        </is>
      </c>
      <c r="H382" t="inlineStr">
        <is>
          <t>CRISTAL COMERCIO DE PRODUTOS QUIMICOS LTDA</t>
        </is>
      </c>
      <c r="I382" t="inlineStr">
        <is>
          <t>09.033.742/0003-50</t>
        </is>
      </c>
      <c r="J382" s="29" t="n">
        <v>520</v>
      </c>
      <c r="K382" t="inlineStr">
        <is>
          <t>1.556</t>
        </is>
      </c>
      <c r="L382" t="inlineStr">
        <is>
          <t>Não</t>
        </is>
      </c>
      <c r="M382" t="inlineStr">
        <is>
          <t>Compra/outras</t>
        </is>
      </c>
    </row>
    <row r="383">
      <c r="A383" t="inlineStr">
        <is>
          <t>Remessa de mercadoria (categoria 2.01.84)</t>
        </is>
      </c>
      <c r="B383" t="inlineStr">
        <is>
          <t>2.01.84 Remessa de Mercadoria</t>
        </is>
      </c>
      <c r="C383" t="inlineStr">
        <is>
          <t>Antes de 2026</t>
        </is>
      </c>
      <c r="D383" t="inlineStr">
        <is>
          <t>Antes de 2026</t>
        </is>
      </c>
      <c r="E383" s="28" t="n">
        <v>45498</v>
      </c>
      <c r="F383" t="inlineStr">
        <is>
          <t>NF-e</t>
        </is>
      </c>
      <c r="G383" t="inlineStr">
        <is>
          <t>000014759</t>
        </is>
      </c>
      <c r="H383" t="inlineStr">
        <is>
          <t>CRISTAL COMERCIO DE PRODUTOS QUIMICOS LTDA</t>
        </is>
      </c>
      <c r="I383" t="inlineStr">
        <is>
          <t>09.033.742/0002-79</t>
        </is>
      </c>
      <c r="J383" s="29" t="n">
        <v>1246</v>
      </c>
      <c r="K383" t="inlineStr">
        <is>
          <t>1.556</t>
        </is>
      </c>
      <c r="L383" t="inlineStr">
        <is>
          <t>Não</t>
        </is>
      </c>
      <c r="M383" t="inlineStr">
        <is>
          <t>Compra/outras</t>
        </is>
      </c>
    </row>
    <row r="384">
      <c r="A384" t="inlineStr">
        <is>
          <t>Remessa de mercadoria (categoria 2.01.84)</t>
        </is>
      </c>
      <c r="B384" t="inlineStr">
        <is>
          <t>2.01.84 Remessa de Mercadoria</t>
        </is>
      </c>
      <c r="C384" t="inlineStr">
        <is>
          <t>Antes de 2026</t>
        </is>
      </c>
      <c r="D384" t="inlineStr">
        <is>
          <t>Antes de 2026</t>
        </is>
      </c>
      <c r="E384" s="28" t="n">
        <v>45534</v>
      </c>
      <c r="F384" t="inlineStr">
        <is>
          <t>NF-e</t>
        </is>
      </c>
      <c r="G384" t="inlineStr">
        <is>
          <t>000007686</t>
        </is>
      </c>
      <c r="H384" t="inlineStr">
        <is>
          <t>CRISTAL COMERCIO DE PRODUTOS QUIMICOS LTDA</t>
        </is>
      </c>
      <c r="I384" t="inlineStr">
        <is>
          <t>09.033.742/0003-50</t>
        </is>
      </c>
      <c r="J384" s="29" t="n">
        <v>776.1</v>
      </c>
      <c r="K384" t="inlineStr">
        <is>
          <t>1.556</t>
        </is>
      </c>
      <c r="L384" t="inlineStr">
        <is>
          <t>Não</t>
        </is>
      </c>
      <c r="M384" t="inlineStr">
        <is>
          <t>Compra/outras</t>
        </is>
      </c>
    </row>
    <row r="385">
      <c r="A385" t="inlineStr">
        <is>
          <t>Remessa de mercadoria (categoria 2.01.84)</t>
        </is>
      </c>
      <c r="B385" t="inlineStr">
        <is>
          <t>2.01.84 Remessa de Mercadoria</t>
        </is>
      </c>
      <c r="C385" t="inlineStr">
        <is>
          <t>Antes de 2026</t>
        </is>
      </c>
      <c r="D385" t="inlineStr">
        <is>
          <t>Antes de 2026</t>
        </is>
      </c>
      <c r="E385" s="28" t="n">
        <v>45538</v>
      </c>
      <c r="F385" t="inlineStr">
        <is>
          <t>NF-e</t>
        </is>
      </c>
      <c r="G385" t="inlineStr">
        <is>
          <t>000007704</t>
        </is>
      </c>
      <c r="H385" t="inlineStr">
        <is>
          <t>CRISTAL COMERCIO DE PRODUTOS QUIMICOS LTDA</t>
        </is>
      </c>
      <c r="I385" t="inlineStr">
        <is>
          <t>09.033.742/0003-50</t>
        </is>
      </c>
      <c r="J385" s="29" t="n">
        <v>936.95</v>
      </c>
      <c r="K385" t="inlineStr">
        <is>
          <t>1.556</t>
        </is>
      </c>
      <c r="L385" t="inlineStr">
        <is>
          <t>Não</t>
        </is>
      </c>
      <c r="M385" t="inlineStr">
        <is>
          <t>Compra/outras</t>
        </is>
      </c>
    </row>
    <row r="386">
      <c r="A386" t="inlineStr">
        <is>
          <t>Remessa de mercadoria (categoria 2.01.84)</t>
        </is>
      </c>
      <c r="B386" t="inlineStr">
        <is>
          <t>2.01.84 Remessa de Mercadoria</t>
        </is>
      </c>
      <c r="C386" t="inlineStr">
        <is>
          <t>Antes de 2026</t>
        </is>
      </c>
      <c r="D386" t="inlineStr">
        <is>
          <t>Antes de 2026</t>
        </is>
      </c>
      <c r="E386" s="28" t="n">
        <v>45548</v>
      </c>
      <c r="F386" t="inlineStr">
        <is>
          <t>NF-e</t>
        </is>
      </c>
      <c r="G386" t="inlineStr">
        <is>
          <t>000007763</t>
        </is>
      </c>
      <c r="H386" t="inlineStr">
        <is>
          <t>CRISTAL COMERCIO DE PRODUTOS QUIMICOS LTDA</t>
        </is>
      </c>
      <c r="I386" t="inlineStr">
        <is>
          <t>09.033.742/0003-50</t>
        </is>
      </c>
      <c r="J386" s="29" t="n">
        <v>580.5</v>
      </c>
      <c r="K386" t="inlineStr">
        <is>
          <t>1.556</t>
        </is>
      </c>
      <c r="L386" t="inlineStr">
        <is>
          <t>Não</t>
        </is>
      </c>
      <c r="M386" t="inlineStr">
        <is>
          <t>Compra/outras</t>
        </is>
      </c>
    </row>
    <row r="387">
      <c r="A387" t="inlineStr">
        <is>
          <t>Remessa de mercadoria (categoria 2.01.84)</t>
        </is>
      </c>
      <c r="B387" t="inlineStr">
        <is>
          <t>2.01.84 Remessa de Mercadoria</t>
        </is>
      </c>
      <c r="C387" t="inlineStr">
        <is>
          <t>Antes de 2026</t>
        </is>
      </c>
      <c r="D387" t="inlineStr">
        <is>
          <t>Antes de 2026</t>
        </is>
      </c>
      <c r="E387" s="28" t="n">
        <v>45559</v>
      </c>
      <c r="F387" t="inlineStr">
        <is>
          <t>NF-e</t>
        </is>
      </c>
      <c r="G387" t="inlineStr">
        <is>
          <t>000007799</t>
        </is>
      </c>
      <c r="H387" t="inlineStr">
        <is>
          <t>CRISTAL COMERCIO DE PRODUTOS QUIMICOS LTDA</t>
        </is>
      </c>
      <c r="I387" t="inlineStr">
        <is>
          <t>09.033.742/0003-50</t>
        </is>
      </c>
      <c r="J387" s="29" t="n">
        <v>1100</v>
      </c>
      <c r="K387" t="inlineStr">
        <is>
          <t>1.556</t>
        </is>
      </c>
      <c r="L387" t="inlineStr">
        <is>
          <t>Não</t>
        </is>
      </c>
      <c r="M387" t="inlineStr">
        <is>
          <t>Compra/outras</t>
        </is>
      </c>
    </row>
    <row r="388">
      <c r="A388" t="inlineStr">
        <is>
          <t>Remessa de mercadoria (categoria 2.01.84)</t>
        </is>
      </c>
      <c r="B388" t="inlineStr">
        <is>
          <t>2.01.84 Remessa de Mercadoria</t>
        </is>
      </c>
      <c r="C388" t="inlineStr">
        <is>
          <t>Antes de 2026</t>
        </is>
      </c>
      <c r="D388" t="inlineStr">
        <is>
          <t>Antes de 2026</t>
        </is>
      </c>
      <c r="E388" s="28" t="n">
        <v>45569</v>
      </c>
      <c r="F388" t="inlineStr">
        <is>
          <t>NF-e</t>
        </is>
      </c>
      <c r="G388" t="inlineStr">
        <is>
          <t>000007863</t>
        </is>
      </c>
      <c r="H388" t="inlineStr">
        <is>
          <t>CRISTAL COMERCIO DE PRODUTOS QUIMICOS LTDA</t>
        </is>
      </c>
      <c r="I388" t="inlineStr">
        <is>
          <t>09.033.742/0003-50</t>
        </is>
      </c>
      <c r="J388" s="29" t="n">
        <v>1489</v>
      </c>
      <c r="K388" t="inlineStr">
        <is>
          <t>1.556</t>
        </is>
      </c>
      <c r="L388" t="inlineStr">
        <is>
          <t>Não</t>
        </is>
      </c>
      <c r="M388" t="inlineStr">
        <is>
          <t>Compra/outras</t>
        </is>
      </c>
    </row>
    <row r="389">
      <c r="A389" t="inlineStr">
        <is>
          <t>Remessa de mercadoria (categoria 2.01.84)</t>
        </is>
      </c>
      <c r="B389" t="inlineStr">
        <is>
          <t>2.01.84 Remessa de Mercadoria</t>
        </is>
      </c>
      <c r="C389" t="inlineStr">
        <is>
          <t>Antes de 2026</t>
        </is>
      </c>
      <c r="D389" t="inlineStr">
        <is>
          <t>Antes de 2026</t>
        </is>
      </c>
      <c r="E389" s="28" t="n">
        <v>45570</v>
      </c>
      <c r="F389" t="inlineStr">
        <is>
          <t>NF-e</t>
        </is>
      </c>
      <c r="G389" t="inlineStr">
        <is>
          <t>000007872</t>
        </is>
      </c>
      <c r="H389" t="inlineStr">
        <is>
          <t>CRISTAL COMERCIO DE PRODUTOS QUIMICOS LTDA</t>
        </is>
      </c>
      <c r="I389" t="inlineStr">
        <is>
          <t>09.033.742/0003-50</t>
        </is>
      </c>
      <c r="J389" s="29" t="n">
        <v>168</v>
      </c>
      <c r="K389" t="inlineStr">
        <is>
          <t>1.556</t>
        </is>
      </c>
      <c r="L389" t="inlineStr">
        <is>
          <t>Não</t>
        </is>
      </c>
      <c r="M389" t="inlineStr">
        <is>
          <t>Compra/outras</t>
        </is>
      </c>
    </row>
    <row r="390">
      <c r="A390" t="inlineStr">
        <is>
          <t>Remessa de mercadoria (categoria 2.01.84)</t>
        </is>
      </c>
      <c r="B390" t="inlineStr">
        <is>
          <t>2.01.84 Remessa de Mercadoria</t>
        </is>
      </c>
      <c r="C390" t="inlineStr">
        <is>
          <t>Antes de 2026</t>
        </is>
      </c>
      <c r="D390" t="inlineStr">
        <is>
          <t>Antes de 2026</t>
        </is>
      </c>
      <c r="E390" s="28" t="n">
        <v>45630</v>
      </c>
      <c r="F390" t="inlineStr">
        <is>
          <t>NF-e</t>
        </is>
      </c>
      <c r="G390" t="inlineStr">
        <is>
          <t>000008123</t>
        </is>
      </c>
      <c r="H390" t="inlineStr">
        <is>
          <t>CRISTAL COMERCIO DE PRODUTOS QUIMICOS LTDA</t>
        </is>
      </c>
      <c r="I390" t="inlineStr">
        <is>
          <t>09.033.742/0003-50</t>
        </is>
      </c>
      <c r="J390" s="29" t="n">
        <v>1719.9</v>
      </c>
      <c r="K390" t="inlineStr">
        <is>
          <t>1.556</t>
        </is>
      </c>
      <c r="L390" t="inlineStr">
        <is>
          <t>Não</t>
        </is>
      </c>
      <c r="M390" t="inlineStr">
        <is>
          <t>Compra/outras</t>
        </is>
      </c>
    </row>
    <row r="391">
      <c r="A391" t="inlineStr">
        <is>
          <t>Remessa de mercadoria (categoria 2.01.84)</t>
        </is>
      </c>
      <c r="B391" t="inlineStr">
        <is>
          <t>2.01.84 Remessa de Mercadoria</t>
        </is>
      </c>
      <c r="C391" t="inlineStr">
        <is>
          <t>Antes de 2026</t>
        </is>
      </c>
      <c r="D391" t="inlineStr">
        <is>
          <t>Antes de 2026</t>
        </is>
      </c>
      <c r="E391" s="28" t="n">
        <v>45601</v>
      </c>
      <c r="F391" t="inlineStr">
        <is>
          <t>NF-e</t>
        </is>
      </c>
      <c r="G391" t="inlineStr">
        <is>
          <t>000118895</t>
        </is>
      </c>
      <c r="H391" t="inlineStr">
        <is>
          <t>CRISTAL NEWS ALIMENTOS E EMBALAGENS LTDA</t>
        </is>
      </c>
      <c r="I391" t="inlineStr">
        <is>
          <t>04.067.045/0001-34</t>
        </is>
      </c>
      <c r="J391" s="29" t="n">
        <v>789.17</v>
      </c>
      <c r="K391" t="inlineStr">
        <is>
          <t>1.556</t>
        </is>
      </c>
      <c r="L391" t="inlineStr">
        <is>
          <t>Não</t>
        </is>
      </c>
      <c r="M391" t="inlineStr">
        <is>
          <t>Compra/outras</t>
        </is>
      </c>
    </row>
    <row r="392">
      <c r="A392" t="inlineStr">
        <is>
          <t>Remessa de mercadoria (categoria 2.01.84)</t>
        </is>
      </c>
      <c r="B392" t="inlineStr">
        <is>
          <t>2.01.84 Remessa de Mercadoria</t>
        </is>
      </c>
      <c r="C392" t="inlineStr">
        <is>
          <t>Antes de 2026</t>
        </is>
      </c>
      <c r="D392" t="inlineStr">
        <is>
          <t>Antes de 2026</t>
        </is>
      </c>
      <c r="E392" s="28" t="n">
        <v>45635</v>
      </c>
      <c r="F392" t="inlineStr">
        <is>
          <t>NF-e</t>
        </is>
      </c>
      <c r="G392" t="inlineStr">
        <is>
          <t>000120707</t>
        </is>
      </c>
      <c r="H392" t="inlineStr">
        <is>
          <t>CRISTAL NEWS ALIMENTOS E EMBALAGENS LTDA</t>
        </is>
      </c>
      <c r="I392" t="inlineStr">
        <is>
          <t>04.067.045/0001-34</t>
        </is>
      </c>
      <c r="J392" s="29" t="n">
        <v>394.58</v>
      </c>
      <c r="K392" t="inlineStr">
        <is>
          <t>1.556</t>
        </is>
      </c>
      <c r="L392" t="inlineStr">
        <is>
          <t>Não</t>
        </is>
      </c>
      <c r="M392" t="inlineStr">
        <is>
          <t>Compra/outras</t>
        </is>
      </c>
    </row>
    <row r="393">
      <c r="A393" t="inlineStr">
        <is>
          <t>Remessa de mercadoria (categoria 2.01.84)</t>
        </is>
      </c>
      <c r="B393" t="inlineStr">
        <is>
          <t>2.01.84 Remessa de Mercadoria</t>
        </is>
      </c>
      <c r="C393" t="inlineStr">
        <is>
          <t>Antes de 2026</t>
        </is>
      </c>
      <c r="D393" t="inlineStr">
        <is>
          <t>Antes de 2026</t>
        </is>
      </c>
      <c r="E393" s="28" t="n">
        <v>45331</v>
      </c>
      <c r="F393" t="inlineStr">
        <is>
          <t>NF-e</t>
        </is>
      </c>
      <c r="G393" t="inlineStr">
        <is>
          <t>000528390</t>
        </is>
      </c>
      <c r="H393" t="inlineStr">
        <is>
          <t>DANTAS IMPORTADORA E DISTRIBUIDORA LTDA</t>
        </is>
      </c>
      <c r="I393" t="inlineStr">
        <is>
          <t>09.046.825/0001-11</t>
        </is>
      </c>
      <c r="J393" s="29" t="n">
        <v>880</v>
      </c>
      <c r="K393" t="inlineStr">
        <is>
          <t>1.556</t>
        </is>
      </c>
      <c r="L393" t="inlineStr">
        <is>
          <t>Não</t>
        </is>
      </c>
      <c r="M393" t="inlineStr">
        <is>
          <t>Compra/outras</t>
        </is>
      </c>
    </row>
    <row r="394">
      <c r="A394" t="inlineStr">
        <is>
          <t>Remessa de mercadoria (categoria 2.01.84)</t>
        </is>
      </c>
      <c r="B394" t="inlineStr">
        <is>
          <t>2.01.84 Remessa de Mercadoria</t>
        </is>
      </c>
      <c r="C394" t="inlineStr">
        <is>
          <t>Antes de 2026</t>
        </is>
      </c>
      <c r="D394" t="inlineStr">
        <is>
          <t>Antes de 2026</t>
        </is>
      </c>
      <c r="E394" s="28" t="n">
        <v>45533</v>
      </c>
      <c r="F394" t="inlineStr">
        <is>
          <t>NF-e</t>
        </is>
      </c>
      <c r="G394" t="inlineStr">
        <is>
          <t>000564131</t>
        </is>
      </c>
      <c r="H394" t="inlineStr">
        <is>
          <t>DANTAS IMPORTADORA E DISTRIBUIDORA LTDA</t>
        </is>
      </c>
      <c r="I394" t="inlineStr">
        <is>
          <t>09.046.825/0001-11</t>
        </is>
      </c>
      <c r="J394" s="29" t="n">
        <v>19713</v>
      </c>
      <c r="K394" t="inlineStr">
        <is>
          <t>1.556</t>
        </is>
      </c>
      <c r="L394" t="inlineStr">
        <is>
          <t>Não</t>
        </is>
      </c>
      <c r="M394" t="inlineStr">
        <is>
          <t>Compra/outras</t>
        </is>
      </c>
    </row>
    <row r="395">
      <c r="A395" t="inlineStr">
        <is>
          <t>Remessa de mercadoria (categoria 2.01.84)</t>
        </is>
      </c>
      <c r="B395" t="inlineStr">
        <is>
          <t>2.01.84 Remessa de Mercadoria</t>
        </is>
      </c>
      <c r="C395" t="inlineStr">
        <is>
          <t>Antes de 2026</t>
        </is>
      </c>
      <c r="D395" t="inlineStr">
        <is>
          <t>Antes de 2026</t>
        </is>
      </c>
      <c r="E395" s="28" t="n">
        <v>45303</v>
      </c>
      <c r="F395" t="inlineStr">
        <is>
          <t>NF-e</t>
        </is>
      </c>
      <c r="G395" t="inlineStr">
        <is>
          <t>000019084</t>
        </is>
      </c>
      <c r="H395" t="inlineStr">
        <is>
          <t>DAPP COMERCIO DE PRODUTOS QUIMICOS LTDA.</t>
        </is>
      </c>
      <c r="I395" t="inlineStr">
        <is>
          <t>10.262.944/0001-90</t>
        </is>
      </c>
      <c r="J395" s="29" t="n">
        <v>41100</v>
      </c>
      <c r="K395" t="inlineStr">
        <is>
          <t>1.556</t>
        </is>
      </c>
      <c r="L395" t="inlineStr">
        <is>
          <t>Não</t>
        </is>
      </c>
      <c r="M395" t="inlineStr">
        <is>
          <t>Compra/outras</t>
        </is>
      </c>
    </row>
    <row r="396">
      <c r="A396" t="inlineStr">
        <is>
          <t>Remessa de mercadoria (categoria 2.01.84)</t>
        </is>
      </c>
      <c r="B396" t="inlineStr">
        <is>
          <t>2.01.84 Remessa de Mercadoria</t>
        </is>
      </c>
      <c r="C396" t="inlineStr">
        <is>
          <t>Antes de 2026</t>
        </is>
      </c>
      <c r="D396" t="inlineStr">
        <is>
          <t>Antes de 2026</t>
        </is>
      </c>
      <c r="E396" s="28" t="n">
        <v>45519</v>
      </c>
      <c r="F396" t="inlineStr">
        <is>
          <t>NF-e</t>
        </is>
      </c>
      <c r="G396" t="inlineStr">
        <is>
          <t>000020058</t>
        </is>
      </c>
      <c r="H396" t="inlineStr">
        <is>
          <t>DAPP COMERCIO DE PRODUTOS QUIMICOS LTDA.</t>
        </is>
      </c>
      <c r="I396" t="inlineStr">
        <is>
          <t>10.262.944/0001-90</t>
        </is>
      </c>
      <c r="J396" s="29" t="n">
        <v>56000</v>
      </c>
      <c r="K396" t="inlineStr">
        <is>
          <t>1.556</t>
        </is>
      </c>
      <c r="L396" t="inlineStr">
        <is>
          <t>Não</t>
        </is>
      </c>
      <c r="M396" t="inlineStr">
        <is>
          <t>Compra/outras</t>
        </is>
      </c>
    </row>
    <row r="397">
      <c r="A397" t="inlineStr">
        <is>
          <t>Remessa de mercadoria (categoria 2.01.84)</t>
        </is>
      </c>
      <c r="B397" t="inlineStr">
        <is>
          <t>2.01.84 Remessa de Mercadoria</t>
        </is>
      </c>
      <c r="C397" t="inlineStr">
        <is>
          <t>Antes de 2026</t>
        </is>
      </c>
      <c r="D397" t="inlineStr">
        <is>
          <t>Antes de 2026</t>
        </is>
      </c>
      <c r="E397" s="28" t="n">
        <v>45569</v>
      </c>
      <c r="F397" t="inlineStr">
        <is>
          <t>NF-e</t>
        </is>
      </c>
      <c r="G397" t="inlineStr">
        <is>
          <t>000020297</t>
        </is>
      </c>
      <c r="H397" t="inlineStr">
        <is>
          <t>DAPP COMERCIO DE PRODUTOS QUIMICOS LTDA.</t>
        </is>
      </c>
      <c r="I397" t="inlineStr">
        <is>
          <t>10.262.944/0001-90</t>
        </is>
      </c>
      <c r="J397" s="29" t="n">
        <v>35000</v>
      </c>
      <c r="K397" t="inlineStr">
        <is>
          <t>1.556</t>
        </is>
      </c>
      <c r="L397" t="inlineStr">
        <is>
          <t>Não</t>
        </is>
      </c>
      <c r="M397" t="inlineStr">
        <is>
          <t>Compra/outras</t>
        </is>
      </c>
    </row>
    <row r="398">
      <c r="A398" t="inlineStr">
        <is>
          <t>Remessa de mercadoria (categoria 2.01.84)</t>
        </is>
      </c>
      <c r="B398" t="inlineStr">
        <is>
          <t>2.01.84 Remessa de Mercadoria</t>
        </is>
      </c>
      <c r="C398" t="inlineStr">
        <is>
          <t>Antes de 2026</t>
        </is>
      </c>
      <c r="D398" t="inlineStr">
        <is>
          <t>Antes de 2026</t>
        </is>
      </c>
      <c r="E398" s="28" t="n">
        <v>45642</v>
      </c>
      <c r="F398" t="inlineStr">
        <is>
          <t>NF-e</t>
        </is>
      </c>
      <c r="G398" t="inlineStr">
        <is>
          <t>000020658</t>
        </is>
      </c>
      <c r="H398" t="inlineStr">
        <is>
          <t>DAPP COMERCIO DE PRODUTOS QUIMICOS LTDA.</t>
        </is>
      </c>
      <c r="I398" t="inlineStr">
        <is>
          <t>10.262.944/0001-90</t>
        </is>
      </c>
      <c r="J398" s="29" t="n">
        <v>47250</v>
      </c>
      <c r="K398" t="inlineStr">
        <is>
          <t>1.556</t>
        </is>
      </c>
      <c r="L398" t="inlineStr">
        <is>
          <t>Não</t>
        </is>
      </c>
      <c r="M398" t="inlineStr">
        <is>
          <t>Compra/outras</t>
        </is>
      </c>
    </row>
    <row r="399">
      <c r="A399" t="inlineStr">
        <is>
          <t>Remessa de mercadoria (categoria 2.01.84)</t>
        </is>
      </c>
      <c r="B399" t="inlineStr">
        <is>
          <t>2.01.84 Remessa de Mercadoria</t>
        </is>
      </c>
      <c r="C399" t="inlineStr">
        <is>
          <t>Antes de 2026</t>
        </is>
      </c>
      <c r="D399" t="inlineStr">
        <is>
          <t>Antes de 2026</t>
        </is>
      </c>
      <c r="E399" s="28" t="n">
        <v>45296</v>
      </c>
      <c r="F399" t="inlineStr">
        <is>
          <t>NF-e</t>
        </is>
      </c>
      <c r="G399" t="inlineStr">
        <is>
          <t>000030813</t>
        </is>
      </c>
      <c r="H399" t="inlineStr">
        <is>
          <t>DELINEAR BAHIA CLICHERIA LTDA</t>
        </is>
      </c>
      <c r="I399" t="inlineStr">
        <is>
          <t>10.566.633/0001-15</t>
        </is>
      </c>
      <c r="J399" s="29" t="n">
        <v>2295.49</v>
      </c>
      <c r="K399" t="inlineStr">
        <is>
          <t>1.556</t>
        </is>
      </c>
      <c r="L399" t="inlineStr">
        <is>
          <t>Não</t>
        </is>
      </c>
      <c r="M399" t="inlineStr">
        <is>
          <t>Compra/outras</t>
        </is>
      </c>
    </row>
    <row r="400">
      <c r="A400" t="inlineStr">
        <is>
          <t>Remessa de mercadoria (categoria 2.01.84)</t>
        </is>
      </c>
      <c r="B400" t="inlineStr">
        <is>
          <t>2.01.84 Remessa de Mercadoria</t>
        </is>
      </c>
      <c r="C400" t="inlineStr">
        <is>
          <t>Antes de 2026</t>
        </is>
      </c>
      <c r="D400" t="inlineStr">
        <is>
          <t>Antes de 2026</t>
        </is>
      </c>
      <c r="E400" s="28" t="n">
        <v>45321</v>
      </c>
      <c r="F400" t="inlineStr">
        <is>
          <t>NF-e</t>
        </is>
      </c>
      <c r="G400" t="inlineStr">
        <is>
          <t>000031099</t>
        </is>
      </c>
      <c r="H400" t="inlineStr">
        <is>
          <t>DELINEAR BAHIA CLICHERIA LTDA</t>
        </is>
      </c>
      <c r="I400" t="inlineStr">
        <is>
          <t>10.566.633/0001-15</t>
        </is>
      </c>
      <c r="J400" s="29" t="n">
        <v>8610.32</v>
      </c>
      <c r="K400" t="inlineStr">
        <is>
          <t>1.556</t>
        </is>
      </c>
      <c r="L400" t="inlineStr">
        <is>
          <t>Não</t>
        </is>
      </c>
      <c r="M400" t="inlineStr">
        <is>
          <t>Compra/outras</t>
        </is>
      </c>
    </row>
    <row r="401">
      <c r="A401" t="inlineStr">
        <is>
          <t>Remessa de mercadoria (categoria 2.01.84)</t>
        </is>
      </c>
      <c r="B401" t="inlineStr">
        <is>
          <t>2.01.84 Remessa de Mercadoria</t>
        </is>
      </c>
      <c r="C401" t="inlineStr">
        <is>
          <t>Antes de 2026</t>
        </is>
      </c>
      <c r="D401" t="inlineStr">
        <is>
          <t>Antes de 2026</t>
        </is>
      </c>
      <c r="E401" s="28" t="n">
        <v>45496</v>
      </c>
      <c r="F401" t="inlineStr">
        <is>
          <t>NF-e</t>
        </is>
      </c>
      <c r="G401" t="inlineStr">
        <is>
          <t>000032883</t>
        </is>
      </c>
      <c r="H401" t="inlineStr">
        <is>
          <t>DELINEAR BAHIA CLICHERIA LTDA</t>
        </is>
      </c>
      <c r="I401" t="inlineStr">
        <is>
          <t>10.566.633/0001-15</t>
        </is>
      </c>
      <c r="J401" s="29" t="n">
        <v>487.02</v>
      </c>
      <c r="K401" t="inlineStr">
        <is>
          <t>1.556</t>
        </is>
      </c>
      <c r="L401" t="inlineStr">
        <is>
          <t>Não</t>
        </is>
      </c>
      <c r="M401" t="inlineStr">
        <is>
          <t>Compra/outras</t>
        </is>
      </c>
    </row>
    <row r="402">
      <c r="A402" t="inlineStr">
        <is>
          <t>Remessa de mercadoria (categoria 2.01.84)</t>
        </is>
      </c>
      <c r="B402" t="inlineStr">
        <is>
          <t>2.01.84 Remessa de Mercadoria</t>
        </is>
      </c>
      <c r="C402" t="inlineStr">
        <is>
          <t>Antes de 2026</t>
        </is>
      </c>
      <c r="D402" t="inlineStr">
        <is>
          <t>Antes de 2026</t>
        </is>
      </c>
      <c r="E402" s="28" t="n">
        <v>45502</v>
      </c>
      <c r="F402" t="inlineStr">
        <is>
          <t>NF-e</t>
        </is>
      </c>
      <c r="G402" t="inlineStr">
        <is>
          <t>000032964</t>
        </is>
      </c>
      <c r="H402" t="inlineStr">
        <is>
          <t>DELINEAR BAHIA CLICHERIA LTDA</t>
        </is>
      </c>
      <c r="I402" t="inlineStr">
        <is>
          <t>10.566.633/0001-15</t>
        </is>
      </c>
      <c r="J402" s="29" t="n">
        <v>634.13</v>
      </c>
      <c r="K402" t="inlineStr">
        <is>
          <t>1.556</t>
        </is>
      </c>
      <c r="L402" t="inlineStr">
        <is>
          <t>Não</t>
        </is>
      </c>
      <c r="M402" t="inlineStr">
        <is>
          <t>Compra/outras</t>
        </is>
      </c>
    </row>
    <row r="403">
      <c r="A403" t="inlineStr">
        <is>
          <t>Remessa de mercadoria (categoria 2.01.84)</t>
        </is>
      </c>
      <c r="B403" t="inlineStr">
        <is>
          <t>2.01.84 Remessa de Mercadoria</t>
        </is>
      </c>
      <c r="C403" t="inlineStr">
        <is>
          <t>Antes de 2026</t>
        </is>
      </c>
      <c r="D403" t="inlineStr">
        <is>
          <t>Antes de 2026</t>
        </is>
      </c>
      <c r="E403" s="28" t="n">
        <v>45502</v>
      </c>
      <c r="F403" t="inlineStr">
        <is>
          <t>NF-e</t>
        </is>
      </c>
      <c r="G403" t="inlineStr">
        <is>
          <t>000032965</t>
        </is>
      </c>
      <c r="H403" t="inlineStr">
        <is>
          <t>DELINEAR BAHIA CLICHERIA LTDA</t>
        </is>
      </c>
      <c r="I403" t="inlineStr">
        <is>
          <t>10.566.633/0001-15</t>
        </is>
      </c>
      <c r="J403" s="29" t="n">
        <v>1766.44</v>
      </c>
      <c r="K403" t="inlineStr">
        <is>
          <t>1.556</t>
        </is>
      </c>
      <c r="L403" t="inlineStr">
        <is>
          <t>Não</t>
        </is>
      </c>
      <c r="M403" t="inlineStr">
        <is>
          <t>Compra/outras</t>
        </is>
      </c>
    </row>
    <row r="404">
      <c r="A404" t="inlineStr">
        <is>
          <t>Remessa de mercadoria (categoria 2.01.84)</t>
        </is>
      </c>
      <c r="B404" t="inlineStr">
        <is>
          <t>2.01.84 Remessa de Mercadoria</t>
        </is>
      </c>
      <c r="C404" t="inlineStr">
        <is>
          <t>Antes de 2026</t>
        </is>
      </c>
      <c r="D404" t="inlineStr">
        <is>
          <t>Antes de 2026</t>
        </is>
      </c>
      <c r="E404" s="28" t="n">
        <v>45504</v>
      </c>
      <c r="F404" t="inlineStr">
        <is>
          <t>NF-e</t>
        </is>
      </c>
      <c r="G404" t="inlineStr">
        <is>
          <t>000032997</t>
        </is>
      </c>
      <c r="H404" t="inlineStr">
        <is>
          <t>DELINEAR BAHIA CLICHERIA LTDA</t>
        </is>
      </c>
      <c r="I404" t="inlineStr">
        <is>
          <t>10.566.633/0001-15</t>
        </is>
      </c>
      <c r="J404" s="29" t="n">
        <v>1878.05</v>
      </c>
      <c r="K404" t="inlineStr">
        <is>
          <t>1.556</t>
        </is>
      </c>
      <c r="L404" t="inlineStr">
        <is>
          <t>Não</t>
        </is>
      </c>
      <c r="M404" t="inlineStr">
        <is>
          <t>Compra/outras</t>
        </is>
      </c>
    </row>
    <row r="405">
      <c r="A405" t="inlineStr">
        <is>
          <t>Remessa de mercadoria (categoria 2.01.84)</t>
        </is>
      </c>
      <c r="B405" t="inlineStr">
        <is>
          <t>2.01.84 Remessa de Mercadoria</t>
        </is>
      </c>
      <c r="C405" t="inlineStr">
        <is>
          <t>Antes de 2026</t>
        </is>
      </c>
      <c r="D405" t="inlineStr">
        <is>
          <t>Antes de 2026</t>
        </is>
      </c>
      <c r="E405" s="28" t="n">
        <v>45504</v>
      </c>
      <c r="F405" t="inlineStr">
        <is>
          <t>NF-e</t>
        </is>
      </c>
      <c r="G405" t="inlineStr">
        <is>
          <t>000033015</t>
        </is>
      </c>
      <c r="H405" t="inlineStr">
        <is>
          <t>DELINEAR BAHIA CLICHERIA LTDA</t>
        </is>
      </c>
      <c r="I405" t="inlineStr">
        <is>
          <t>10.566.633/0001-15</t>
        </is>
      </c>
      <c r="J405" s="29" t="n">
        <v>396.14</v>
      </c>
      <c r="K405" t="inlineStr">
        <is>
          <t>1.556</t>
        </is>
      </c>
      <c r="L405" t="inlineStr">
        <is>
          <t>Não</t>
        </is>
      </c>
      <c r="M405" t="inlineStr">
        <is>
          <t>Compra/outras</t>
        </is>
      </c>
    </row>
    <row r="406">
      <c r="A406" t="inlineStr">
        <is>
          <t>Remessa de mercadoria (categoria 2.01.84)</t>
        </is>
      </c>
      <c r="B406" t="inlineStr">
        <is>
          <t>2.01.84 Remessa de Mercadoria</t>
        </is>
      </c>
      <c r="C406" t="inlineStr">
        <is>
          <t>Antes de 2026</t>
        </is>
      </c>
      <c r="D406" t="inlineStr">
        <is>
          <t>Antes de 2026</t>
        </is>
      </c>
      <c r="E406" s="28" t="n">
        <v>45518</v>
      </c>
      <c r="F406" t="inlineStr">
        <is>
          <t>NF-e</t>
        </is>
      </c>
      <c r="G406" t="inlineStr">
        <is>
          <t>000033140</t>
        </is>
      </c>
      <c r="H406" t="inlineStr">
        <is>
          <t>DELINEAR BAHIA CLICHERIA LTDA</t>
        </is>
      </c>
      <c r="I406" t="inlineStr">
        <is>
          <t>10.566.633/0001-15</t>
        </is>
      </c>
      <c r="J406" s="29" t="n">
        <v>1500.72</v>
      </c>
      <c r="K406" t="inlineStr">
        <is>
          <t>1.556</t>
        </is>
      </c>
      <c r="L406" t="inlineStr">
        <is>
          <t>Não</t>
        </is>
      </c>
      <c r="M406" t="inlineStr">
        <is>
          <t>Compra/outras</t>
        </is>
      </c>
    </row>
    <row r="407">
      <c r="A407" t="inlineStr">
        <is>
          <t>Remessa de mercadoria (categoria 2.01.84)</t>
        </is>
      </c>
      <c r="B407" t="inlineStr">
        <is>
          <t>2.01.84 Remessa de Mercadoria</t>
        </is>
      </c>
      <c r="C407" t="inlineStr">
        <is>
          <t>Antes de 2026</t>
        </is>
      </c>
      <c r="D407" t="inlineStr">
        <is>
          <t>Antes de 2026</t>
        </is>
      </c>
      <c r="E407" s="28" t="n">
        <v>45520</v>
      </c>
      <c r="F407" t="inlineStr">
        <is>
          <t>NF-e</t>
        </is>
      </c>
      <c r="G407" t="inlineStr">
        <is>
          <t>000033184</t>
        </is>
      </c>
      <c r="H407" t="inlineStr">
        <is>
          <t>DELINEAR BAHIA CLICHERIA LTDA</t>
        </is>
      </c>
      <c r="I407" t="inlineStr">
        <is>
          <t>10.566.633/0001-15</t>
        </is>
      </c>
      <c r="J407" s="29" t="n">
        <v>863.04</v>
      </c>
      <c r="K407" t="inlineStr">
        <is>
          <t>1.556</t>
        </is>
      </c>
      <c r="L407" t="inlineStr">
        <is>
          <t>Não</t>
        </is>
      </c>
      <c r="M407" t="inlineStr">
        <is>
          <t>Compra/outras</t>
        </is>
      </c>
    </row>
    <row r="408">
      <c r="A408" t="inlineStr">
        <is>
          <t>Remessa de mercadoria (categoria 2.01.84)</t>
        </is>
      </c>
      <c r="B408" t="inlineStr">
        <is>
          <t>2.01.84 Remessa de Mercadoria</t>
        </is>
      </c>
      <c r="C408" t="inlineStr">
        <is>
          <t>Antes de 2026</t>
        </is>
      </c>
      <c r="D408" t="inlineStr">
        <is>
          <t>Antes de 2026</t>
        </is>
      </c>
      <c r="E408" s="28" t="n">
        <v>45505</v>
      </c>
      <c r="F408" t="inlineStr">
        <is>
          <t>NF-e</t>
        </is>
      </c>
      <c r="G408" t="inlineStr">
        <is>
          <t>000021498</t>
        </is>
      </c>
      <c r="H408" t="inlineStr">
        <is>
          <t>DESTAK EMBALAGENS LTDA</t>
        </is>
      </c>
      <c r="I408" t="inlineStr">
        <is>
          <t>14.187.040/0001-07</t>
        </is>
      </c>
      <c r="J408" s="29" t="n">
        <v>26047.5</v>
      </c>
      <c r="K408" t="inlineStr">
        <is>
          <t>1.556</t>
        </is>
      </c>
      <c r="L408" t="inlineStr">
        <is>
          <t>Não</t>
        </is>
      </c>
      <c r="M408" t="inlineStr">
        <is>
          <t>Compra/outras</t>
        </is>
      </c>
    </row>
    <row r="409">
      <c r="A409" t="inlineStr">
        <is>
          <t>Remessa de mercadoria (categoria 2.01.84)</t>
        </is>
      </c>
      <c r="B409" t="inlineStr">
        <is>
          <t>2.01.84 Remessa de Mercadoria</t>
        </is>
      </c>
      <c r="C409" t="inlineStr">
        <is>
          <t>Antes de 2026</t>
        </is>
      </c>
      <c r="D409" t="inlineStr">
        <is>
          <t>Antes de 2026</t>
        </is>
      </c>
      <c r="E409" s="28" t="n">
        <v>45608</v>
      </c>
      <c r="F409" t="inlineStr">
        <is>
          <t>NF-e</t>
        </is>
      </c>
      <c r="G409" t="inlineStr">
        <is>
          <t>000000185</t>
        </is>
      </c>
      <c r="H409" t="inlineStr">
        <is>
          <t>DESTAK EMBALAGENS LTDA</t>
        </is>
      </c>
      <c r="I409" t="inlineStr">
        <is>
          <t>14.187.040/0001-07</t>
        </is>
      </c>
      <c r="J409" s="29" t="n">
        <v>19520</v>
      </c>
      <c r="K409" t="inlineStr">
        <is>
          <t>1.556</t>
        </is>
      </c>
      <c r="L409" t="inlineStr">
        <is>
          <t>Não</t>
        </is>
      </c>
      <c r="M409" t="inlineStr">
        <is>
          <t>Compra/outras</t>
        </is>
      </c>
    </row>
    <row r="410">
      <c r="A410" t="inlineStr">
        <is>
          <t>Remessa de mercadoria (categoria 2.01.84)</t>
        </is>
      </c>
      <c r="B410" t="inlineStr">
        <is>
          <t>2.01.84 Remessa de Mercadoria</t>
        </is>
      </c>
      <c r="C410" t="inlineStr">
        <is>
          <t>Antes de 2026</t>
        </is>
      </c>
      <c r="D410" t="inlineStr">
        <is>
          <t>Antes de 2026</t>
        </is>
      </c>
      <c r="E410" s="28" t="n">
        <v>45552</v>
      </c>
      <c r="F410" t="inlineStr">
        <is>
          <t>NF-e</t>
        </is>
      </c>
      <c r="G410" t="inlineStr">
        <is>
          <t>000102893</t>
        </is>
      </c>
      <c r="H410" t="inlineStr">
        <is>
          <t>DIMEX - DISTRIBUICAO , IMPORTACAO E EXPORTACAO DE PRODUT...</t>
        </is>
      </c>
      <c r="I410" t="inlineStr">
        <is>
          <t>00.431.274/0004-88</t>
        </is>
      </c>
      <c r="J410" s="29" t="n">
        <v>7764.98</v>
      </c>
      <c r="K410" t="inlineStr">
        <is>
          <t>1.556</t>
        </is>
      </c>
      <c r="L410" t="inlineStr">
        <is>
          <t>Não</t>
        </is>
      </c>
      <c r="M410" t="inlineStr">
        <is>
          <t>Compra/outras</t>
        </is>
      </c>
    </row>
    <row r="411">
      <c r="A411" t="inlineStr">
        <is>
          <t>Remessa de mercadoria (categoria 2.01.84)</t>
        </is>
      </c>
      <c r="B411" t="inlineStr">
        <is>
          <t>2.01.84 Remessa de Mercadoria</t>
        </is>
      </c>
      <c r="C411" t="inlineStr">
        <is>
          <t>Antes de 2026</t>
        </is>
      </c>
      <c r="D411" t="inlineStr">
        <is>
          <t>Antes de 2026</t>
        </is>
      </c>
      <c r="E411" s="28" t="n">
        <v>45603</v>
      </c>
      <c r="F411" t="inlineStr">
        <is>
          <t>NF-e</t>
        </is>
      </c>
      <c r="G411" t="inlineStr">
        <is>
          <t>000133610</t>
        </is>
      </c>
      <c r="H411" t="inlineStr">
        <is>
          <t>DISTRIBUIDORA DE EMBALAGENS CASTROPIL LTDA.</t>
        </is>
      </c>
      <c r="I411" t="inlineStr">
        <is>
          <t>08.961.274/0007-44</t>
        </is>
      </c>
      <c r="J411" s="29" t="n">
        <v>6392</v>
      </c>
      <c r="K411" t="inlineStr">
        <is>
          <t>1.556</t>
        </is>
      </c>
      <c r="L411" t="inlineStr">
        <is>
          <t>Não</t>
        </is>
      </c>
      <c r="M411" t="inlineStr">
        <is>
          <t>Compra/outras</t>
        </is>
      </c>
    </row>
    <row r="412">
      <c r="A412" t="inlineStr">
        <is>
          <t>Remessa de mercadoria (categoria 2.01.84)</t>
        </is>
      </c>
      <c r="B412" t="inlineStr">
        <is>
          <t>2.01.84 Remessa de Mercadoria</t>
        </is>
      </c>
      <c r="C412" t="inlineStr">
        <is>
          <t>Antes de 2026</t>
        </is>
      </c>
      <c r="D412" t="inlineStr">
        <is>
          <t>Antes de 2026</t>
        </is>
      </c>
      <c r="E412" s="28" t="n">
        <v>45624</v>
      </c>
      <c r="F412" t="inlineStr">
        <is>
          <t>NF-e</t>
        </is>
      </c>
      <c r="G412" t="inlineStr">
        <is>
          <t>000142311</t>
        </is>
      </c>
      <c r="H412" t="inlineStr">
        <is>
          <t>DISTRIBUIDORA DE EMBALAGENS CASTROPIL LTDA.</t>
        </is>
      </c>
      <c r="I412" t="inlineStr">
        <is>
          <t>08.961.274/0007-44</t>
        </is>
      </c>
      <c r="J412" s="29" t="n">
        <v>14.58</v>
      </c>
      <c r="K412" t="inlineStr">
        <is>
          <t>1.556</t>
        </is>
      </c>
      <c r="L412" t="inlineStr">
        <is>
          <t>Não</t>
        </is>
      </c>
      <c r="M412" t="inlineStr">
        <is>
          <t>Compra/outras</t>
        </is>
      </c>
    </row>
    <row r="413">
      <c r="A413" t="inlineStr">
        <is>
          <t>Remessa de mercadoria (categoria 2.01.84)</t>
        </is>
      </c>
      <c r="B413" t="inlineStr">
        <is>
          <t>2.01.84 Remessa de Mercadoria</t>
        </is>
      </c>
      <c r="C413" t="inlineStr">
        <is>
          <t>Antes de 2026</t>
        </is>
      </c>
      <c r="D413" t="inlineStr">
        <is>
          <t>Antes de 2026</t>
        </is>
      </c>
      <c r="E413" s="28" t="n">
        <v>45300</v>
      </c>
      <c r="F413" t="inlineStr">
        <is>
          <t>NF-e</t>
        </is>
      </c>
      <c r="G413" t="inlineStr">
        <is>
          <t>000222261</t>
        </is>
      </c>
      <c r="H413" t="inlineStr">
        <is>
          <t>DISTRIPACK DISTRIBUIDORA DE EMBALAGENS LTDA</t>
        </is>
      </c>
      <c r="I413" t="inlineStr">
        <is>
          <t>11.043.375/0003-17</t>
        </is>
      </c>
      <c r="J413" s="29" t="n">
        <v>943</v>
      </c>
      <c r="K413" t="inlineStr">
        <is>
          <t>1.556</t>
        </is>
      </c>
      <c r="L413" t="inlineStr">
        <is>
          <t>Não</t>
        </is>
      </c>
      <c r="M413" t="inlineStr">
        <is>
          <t>Compra/outras</t>
        </is>
      </c>
    </row>
    <row r="414">
      <c r="A414" t="inlineStr">
        <is>
          <t>Remessa de mercadoria (categoria 2.01.84)</t>
        </is>
      </c>
      <c r="B414" t="inlineStr">
        <is>
          <t>2.01.84 Remessa de Mercadoria</t>
        </is>
      </c>
      <c r="C414" t="inlineStr">
        <is>
          <t>Antes de 2026</t>
        </is>
      </c>
      <c r="D414" t="inlineStr">
        <is>
          <t>Antes de 2026</t>
        </is>
      </c>
      <c r="E414" s="28" t="n">
        <v>45299</v>
      </c>
      <c r="F414" t="inlineStr">
        <is>
          <t>NF-e</t>
        </is>
      </c>
      <c r="G414" t="inlineStr">
        <is>
          <t>000431497</t>
        </is>
      </c>
      <c r="H414" t="inlineStr">
        <is>
          <t>DISTRIPACK DISTRIBUIDORA DE EMBALAGENS LTDA</t>
        </is>
      </c>
      <c r="I414" t="inlineStr">
        <is>
          <t>11.043.375/0002-36</t>
        </is>
      </c>
      <c r="J414" s="29" t="n">
        <v>234.1</v>
      </c>
      <c r="K414" t="inlineStr">
        <is>
          <t>1.556</t>
        </is>
      </c>
      <c r="L414" t="inlineStr">
        <is>
          <t>Não</t>
        </is>
      </c>
      <c r="M414" t="inlineStr">
        <is>
          <t>Compra/outras</t>
        </is>
      </c>
    </row>
    <row r="415">
      <c r="A415" t="inlineStr">
        <is>
          <t>Remessa de mercadoria (categoria 2.01.84)</t>
        </is>
      </c>
      <c r="B415" t="inlineStr">
        <is>
          <t>2.01.84 Remessa de Mercadoria</t>
        </is>
      </c>
      <c r="C415" t="inlineStr">
        <is>
          <t>Antes de 2026</t>
        </is>
      </c>
      <c r="D415" t="inlineStr">
        <is>
          <t>Antes de 2026</t>
        </is>
      </c>
      <c r="E415" s="28" t="n">
        <v>45338</v>
      </c>
      <c r="F415" t="inlineStr">
        <is>
          <t>NF-e</t>
        </is>
      </c>
      <c r="G415" t="inlineStr">
        <is>
          <t>000439293</t>
        </is>
      </c>
      <c r="H415" t="inlineStr">
        <is>
          <t>DISTRIPACK DISTRIBUIDORA DE EMBALAGENS LTDA</t>
        </is>
      </c>
      <c r="I415" t="inlineStr">
        <is>
          <t>11.043.375/0002-36</t>
        </is>
      </c>
      <c r="J415" s="29" t="n">
        <v>11395.29</v>
      </c>
      <c r="K415" t="inlineStr">
        <is>
          <t>1.556</t>
        </is>
      </c>
      <c r="L415" t="inlineStr">
        <is>
          <t>Não</t>
        </is>
      </c>
      <c r="M415" t="inlineStr">
        <is>
          <t>Compra/outras</t>
        </is>
      </c>
    </row>
    <row r="416">
      <c r="A416" t="inlineStr">
        <is>
          <t>Remessa de mercadoria (categoria 2.01.84)</t>
        </is>
      </c>
      <c r="B416" t="inlineStr">
        <is>
          <t>2.01.84 Remessa de Mercadoria</t>
        </is>
      </c>
      <c r="C416" t="inlineStr">
        <is>
          <t>Antes de 2026</t>
        </is>
      </c>
      <c r="D416" t="inlineStr">
        <is>
          <t>Antes de 2026</t>
        </is>
      </c>
      <c r="E416" s="28" t="n">
        <v>45342</v>
      </c>
      <c r="F416" t="inlineStr">
        <is>
          <t>NF-e</t>
        </is>
      </c>
      <c r="G416" t="inlineStr">
        <is>
          <t>000226789</t>
        </is>
      </c>
      <c r="H416" t="inlineStr">
        <is>
          <t>DISTRIPACK DISTRIBUIDORA DE EMBALAGENS LTDA</t>
        </is>
      </c>
      <c r="I416" t="inlineStr">
        <is>
          <t>11.043.375/0003-17</t>
        </is>
      </c>
      <c r="J416" s="29" t="n">
        <v>14788.97</v>
      </c>
      <c r="K416" t="inlineStr">
        <is>
          <t>1.556</t>
        </is>
      </c>
      <c r="L416" t="inlineStr">
        <is>
          <t>Não</t>
        </is>
      </c>
      <c r="M416" t="inlineStr">
        <is>
          <t>Compra/outras</t>
        </is>
      </c>
    </row>
    <row r="417">
      <c r="A417" t="inlineStr">
        <is>
          <t>Remessa de mercadoria (categoria 2.01.84)</t>
        </is>
      </c>
      <c r="B417" t="inlineStr">
        <is>
          <t>2.01.84 Remessa de Mercadoria</t>
        </is>
      </c>
      <c r="C417" t="inlineStr">
        <is>
          <t>Antes de 2026</t>
        </is>
      </c>
      <c r="D417" t="inlineStr">
        <is>
          <t>Antes de 2026</t>
        </is>
      </c>
      <c r="E417" s="28" t="n">
        <v>45338</v>
      </c>
      <c r="F417" t="inlineStr">
        <is>
          <t>NF-e</t>
        </is>
      </c>
      <c r="G417" t="inlineStr">
        <is>
          <t>000439284</t>
        </is>
      </c>
      <c r="H417" t="inlineStr">
        <is>
          <t>DISTRIPACK DISTRIBUIDORA DE EMBALAGENS LTDA</t>
        </is>
      </c>
      <c r="I417" t="inlineStr">
        <is>
          <t>11.043.375/0002-36</t>
        </is>
      </c>
      <c r="J417" s="29" t="n">
        <v>11395.29</v>
      </c>
      <c r="K417" t="inlineStr">
        <is>
          <t>1.556</t>
        </is>
      </c>
      <c r="L417" t="inlineStr">
        <is>
          <t>Não</t>
        </is>
      </c>
      <c r="M417" t="inlineStr">
        <is>
          <t>Compra/outras</t>
        </is>
      </c>
    </row>
    <row r="418">
      <c r="A418" t="inlineStr">
        <is>
          <t>Remessa de mercadoria (categoria 2.01.84)</t>
        </is>
      </c>
      <c r="B418" t="inlineStr">
        <is>
          <t>2.01.84 Remessa de Mercadoria</t>
        </is>
      </c>
      <c r="C418" t="inlineStr">
        <is>
          <t>Antes de 2026</t>
        </is>
      </c>
      <c r="D418" t="inlineStr">
        <is>
          <t>Antes de 2026</t>
        </is>
      </c>
      <c r="E418" s="28" t="n">
        <v>45338</v>
      </c>
      <c r="F418" t="inlineStr">
        <is>
          <t>NF-e</t>
        </is>
      </c>
      <c r="G418" t="inlineStr">
        <is>
          <t>000439288</t>
        </is>
      </c>
      <c r="H418" t="inlineStr">
        <is>
          <t>DISTRIPACK DISTRIBUIDORA DE EMBALAGENS LTDA</t>
        </is>
      </c>
      <c r="I418" t="inlineStr">
        <is>
          <t>11.043.375/0002-36</t>
        </is>
      </c>
      <c r="J418" s="29" t="n">
        <v>2106.92</v>
      </c>
      <c r="K418" t="inlineStr">
        <is>
          <t>1.556</t>
        </is>
      </c>
      <c r="L418" t="inlineStr">
        <is>
          <t>Não</t>
        </is>
      </c>
      <c r="M418" t="inlineStr">
        <is>
          <t>Compra/outras</t>
        </is>
      </c>
    </row>
    <row r="419">
      <c r="A419" t="inlineStr">
        <is>
          <t>Remessa de mercadoria (categoria 2.01.84)</t>
        </is>
      </c>
      <c r="B419" t="inlineStr">
        <is>
          <t>2.01.84 Remessa de Mercadoria</t>
        </is>
      </c>
      <c r="C419" t="inlineStr">
        <is>
          <t>Antes de 2026</t>
        </is>
      </c>
      <c r="D419" t="inlineStr">
        <is>
          <t>Antes de 2026</t>
        </is>
      </c>
      <c r="E419" s="28" t="n">
        <v>45505</v>
      </c>
      <c r="F419" t="inlineStr">
        <is>
          <t>NF-e</t>
        </is>
      </c>
      <c r="G419" t="inlineStr">
        <is>
          <t>000475429</t>
        </is>
      </c>
      <c r="H419" t="inlineStr">
        <is>
          <t>DISTRIPACK DISTRIBUIDORA DE EMBALAGENS LTDA</t>
        </is>
      </c>
      <c r="I419" t="inlineStr">
        <is>
          <t>11.043.375/0002-36</t>
        </is>
      </c>
      <c r="J419" s="29" t="n">
        <v>8580.27</v>
      </c>
      <c r="K419" t="inlineStr">
        <is>
          <t>1.556</t>
        </is>
      </c>
      <c r="L419" t="inlineStr">
        <is>
          <t>Não</t>
        </is>
      </c>
      <c r="M419" t="inlineStr">
        <is>
          <t>Compra/outras</t>
        </is>
      </c>
    </row>
    <row r="420">
      <c r="A420" t="inlineStr">
        <is>
          <t>Remessa de mercadoria (categoria 2.01.84)</t>
        </is>
      </c>
      <c r="B420" t="inlineStr">
        <is>
          <t>2.01.84 Remessa de Mercadoria</t>
        </is>
      </c>
      <c r="C420" t="inlineStr">
        <is>
          <t>Antes de 2026</t>
        </is>
      </c>
      <c r="D420" t="inlineStr">
        <is>
          <t>Antes de 2026</t>
        </is>
      </c>
      <c r="E420" s="28" t="n">
        <v>45558</v>
      </c>
      <c r="F420" t="inlineStr">
        <is>
          <t>NF-e</t>
        </is>
      </c>
      <c r="G420" t="inlineStr">
        <is>
          <t>000256359</t>
        </is>
      </c>
      <c r="H420" t="inlineStr">
        <is>
          <t>DISTRIPACK DISTRIBUIDORA DE EMBALAGENS LTDA</t>
        </is>
      </c>
      <c r="I420" t="inlineStr">
        <is>
          <t>11.043.375/0003-17</t>
        </is>
      </c>
      <c r="J420" s="29" t="n">
        <v>41019.82</v>
      </c>
      <c r="K420" t="inlineStr">
        <is>
          <t>1.556</t>
        </is>
      </c>
      <c r="L420" t="inlineStr">
        <is>
          <t>Não</t>
        </is>
      </c>
      <c r="M420" t="inlineStr">
        <is>
          <t>Compra/outras</t>
        </is>
      </c>
    </row>
    <row r="421">
      <c r="A421" t="inlineStr">
        <is>
          <t>Remessa de mercadoria (categoria 2.01.84)</t>
        </is>
      </c>
      <c r="B421" t="inlineStr">
        <is>
          <t>2.01.84 Remessa de Mercadoria</t>
        </is>
      </c>
      <c r="C421" t="inlineStr">
        <is>
          <t>Antes de 2026</t>
        </is>
      </c>
      <c r="D421" t="inlineStr">
        <is>
          <t>Antes de 2026</t>
        </is>
      </c>
      <c r="E421" s="28" t="n">
        <v>45558</v>
      </c>
      <c r="F421" t="inlineStr">
        <is>
          <t>NF-e</t>
        </is>
      </c>
      <c r="G421" t="inlineStr">
        <is>
          <t>000256360</t>
        </is>
      </c>
      <c r="H421" t="inlineStr">
        <is>
          <t>DISTRIPACK DISTRIBUIDORA DE EMBALAGENS LTDA</t>
        </is>
      </c>
      <c r="I421" t="inlineStr">
        <is>
          <t>11.043.375/0003-17</t>
        </is>
      </c>
      <c r="J421" s="29" t="n">
        <v>129882.69</v>
      </c>
      <c r="K421" t="inlineStr">
        <is>
          <t>1.556</t>
        </is>
      </c>
      <c r="L421" t="inlineStr">
        <is>
          <t>Não</t>
        </is>
      </c>
      <c r="M421" t="inlineStr">
        <is>
          <t>Compra/outras</t>
        </is>
      </c>
    </row>
    <row r="422">
      <c r="A422" t="inlineStr">
        <is>
          <t>Remessa de mercadoria (categoria 2.01.84)</t>
        </is>
      </c>
      <c r="B422" t="inlineStr">
        <is>
          <t>2.01.84 Remessa de Mercadoria</t>
        </is>
      </c>
      <c r="C422" t="inlineStr">
        <is>
          <t>Antes de 2026</t>
        </is>
      </c>
      <c r="D422" t="inlineStr">
        <is>
          <t>Antes de 2026</t>
        </is>
      </c>
      <c r="E422" s="28" t="n">
        <v>45558</v>
      </c>
      <c r="F422" t="inlineStr">
        <is>
          <t>NF-e</t>
        </is>
      </c>
      <c r="G422" t="inlineStr">
        <is>
          <t>000256362</t>
        </is>
      </c>
      <c r="H422" t="inlineStr">
        <is>
          <t>DISTRIPACK DISTRIBUIDORA DE EMBALAGENS LTDA</t>
        </is>
      </c>
      <c r="I422" t="inlineStr">
        <is>
          <t>11.043.375/0003-17</t>
        </is>
      </c>
      <c r="J422" s="29" t="n">
        <v>5594.09</v>
      </c>
      <c r="K422" t="inlineStr">
        <is>
          <t>1.556</t>
        </is>
      </c>
      <c r="L422" t="inlineStr">
        <is>
          <t>Não</t>
        </is>
      </c>
      <c r="M422" t="inlineStr">
        <is>
          <t>Compra/outras</t>
        </is>
      </c>
    </row>
    <row r="423">
      <c r="A423" t="inlineStr">
        <is>
          <t>Remessa de mercadoria (categoria 2.01.84)</t>
        </is>
      </c>
      <c r="B423" t="inlineStr">
        <is>
          <t>2.01.84 Remessa de Mercadoria</t>
        </is>
      </c>
      <c r="C423" t="inlineStr">
        <is>
          <t>Antes de 2026</t>
        </is>
      </c>
      <c r="D423" t="inlineStr">
        <is>
          <t>Antes de 2026</t>
        </is>
      </c>
      <c r="E423" s="28" t="n">
        <v>45558</v>
      </c>
      <c r="F423" t="inlineStr">
        <is>
          <t>NF-e</t>
        </is>
      </c>
      <c r="G423" t="inlineStr">
        <is>
          <t>000256363</t>
        </is>
      </c>
      <c r="H423" t="inlineStr">
        <is>
          <t>DISTRIPACK DISTRIBUIDORA DE EMBALAGENS LTDA</t>
        </is>
      </c>
      <c r="I423" t="inlineStr">
        <is>
          <t>11.043.375/0003-17</t>
        </is>
      </c>
      <c r="J423" s="29" t="n">
        <v>3713.27</v>
      </c>
      <c r="K423" t="inlineStr">
        <is>
          <t>1.556</t>
        </is>
      </c>
      <c r="L423" t="inlineStr">
        <is>
          <t>Não</t>
        </is>
      </c>
      <c r="M423" t="inlineStr">
        <is>
          <t>Compra/outras</t>
        </is>
      </c>
    </row>
    <row r="424">
      <c r="A424" t="inlineStr">
        <is>
          <t>Remessa de mercadoria (categoria 2.01.84)</t>
        </is>
      </c>
      <c r="B424" t="inlineStr">
        <is>
          <t>2.01.84 Remessa de Mercadoria</t>
        </is>
      </c>
      <c r="C424" t="inlineStr">
        <is>
          <t>Antes de 2026</t>
        </is>
      </c>
      <c r="D424" t="inlineStr">
        <is>
          <t>Antes de 2026</t>
        </is>
      </c>
      <c r="E424" s="28" t="n">
        <v>45558</v>
      </c>
      <c r="F424" t="inlineStr">
        <is>
          <t>NF-e</t>
        </is>
      </c>
      <c r="G424" t="inlineStr">
        <is>
          <t>000256369</t>
        </is>
      </c>
      <c r="H424" t="inlineStr">
        <is>
          <t>DISTRIPACK DISTRIBUIDORA DE EMBALAGENS LTDA</t>
        </is>
      </c>
      <c r="I424" t="inlineStr">
        <is>
          <t>11.043.375/0003-17</t>
        </is>
      </c>
      <c r="J424" s="29" t="n">
        <v>6143.72</v>
      </c>
      <c r="K424" t="inlineStr">
        <is>
          <t>1.556</t>
        </is>
      </c>
      <c r="L424" t="inlineStr">
        <is>
          <t>Não</t>
        </is>
      </c>
      <c r="M424" t="inlineStr">
        <is>
          <t>Compra/outras</t>
        </is>
      </c>
    </row>
    <row r="425">
      <c r="A425" t="inlineStr">
        <is>
          <t>Remessa de mercadoria (categoria 2.01.84)</t>
        </is>
      </c>
      <c r="B425" t="inlineStr">
        <is>
          <t>2.01.84 Remessa de Mercadoria</t>
        </is>
      </c>
      <c r="C425" t="inlineStr">
        <is>
          <t>Antes de 2026</t>
        </is>
      </c>
      <c r="D425" t="inlineStr">
        <is>
          <t>Antes de 2026</t>
        </is>
      </c>
      <c r="E425" s="28" t="n">
        <v>45558</v>
      </c>
      <c r="F425" t="inlineStr">
        <is>
          <t>NF-e</t>
        </is>
      </c>
      <c r="G425" t="inlineStr">
        <is>
          <t>000256366</t>
        </is>
      </c>
      <c r="H425" t="inlineStr">
        <is>
          <t>DISTRIPACK DISTRIBUIDORA DE EMBALAGENS LTDA</t>
        </is>
      </c>
      <c r="I425" t="inlineStr">
        <is>
          <t>11.043.375/0003-17</t>
        </is>
      </c>
      <c r="J425" s="29" t="n">
        <v>22599</v>
      </c>
      <c r="K425" t="inlineStr">
        <is>
          <t>1.556</t>
        </is>
      </c>
      <c r="L425" t="inlineStr">
        <is>
          <t>Não</t>
        </is>
      </c>
      <c r="M425" t="inlineStr">
        <is>
          <t>Compra/outras</t>
        </is>
      </c>
    </row>
    <row r="426">
      <c r="A426" t="inlineStr">
        <is>
          <t>Remessa de mercadoria (categoria 2.01.84)</t>
        </is>
      </c>
      <c r="B426" t="inlineStr">
        <is>
          <t>2.01.84 Remessa de Mercadoria</t>
        </is>
      </c>
      <c r="C426" t="inlineStr">
        <is>
          <t>Antes de 2026</t>
        </is>
      </c>
      <c r="D426" t="inlineStr">
        <is>
          <t>Antes de 2026</t>
        </is>
      </c>
      <c r="E426" s="28" t="n">
        <v>45559</v>
      </c>
      <c r="F426" t="inlineStr">
        <is>
          <t>NF-e</t>
        </is>
      </c>
      <c r="G426" t="inlineStr">
        <is>
          <t>000487553</t>
        </is>
      </c>
      <c r="H426" t="inlineStr">
        <is>
          <t>DISTRIPACK DISTRIBUIDORA DE EMBALAGENS LTDA</t>
        </is>
      </c>
      <c r="I426" t="inlineStr">
        <is>
          <t>11.043.375/0002-36</t>
        </is>
      </c>
      <c r="J426" s="29" t="n">
        <v>553.8099999999999</v>
      </c>
      <c r="K426" t="inlineStr">
        <is>
          <t>1.556</t>
        </is>
      </c>
      <c r="L426" t="inlineStr">
        <is>
          <t>Não</t>
        </is>
      </c>
      <c r="M426" t="inlineStr">
        <is>
          <t>Compra/outras</t>
        </is>
      </c>
    </row>
    <row r="427">
      <c r="A427" t="inlineStr">
        <is>
          <t>Remessa de mercadoria (categoria 2.01.84)</t>
        </is>
      </c>
      <c r="B427" t="inlineStr">
        <is>
          <t>2.01.84 Remessa de Mercadoria</t>
        </is>
      </c>
      <c r="C427" t="inlineStr">
        <is>
          <t>Antes de 2026</t>
        </is>
      </c>
      <c r="D427" t="inlineStr">
        <is>
          <t>Antes de 2026</t>
        </is>
      </c>
      <c r="E427" s="28" t="n">
        <v>45559</v>
      </c>
      <c r="F427" t="inlineStr">
        <is>
          <t>NF-e</t>
        </is>
      </c>
      <c r="G427" t="inlineStr">
        <is>
          <t>000487554</t>
        </is>
      </c>
      <c r="H427" t="inlineStr">
        <is>
          <t>DISTRIPACK DISTRIBUIDORA DE EMBALAGENS LTDA</t>
        </is>
      </c>
      <c r="I427" t="inlineStr">
        <is>
          <t>11.043.375/0002-36</t>
        </is>
      </c>
      <c r="J427" s="29" t="n">
        <v>413.57</v>
      </c>
      <c r="K427" t="inlineStr">
        <is>
          <t>1.556</t>
        </is>
      </c>
      <c r="L427" t="inlineStr">
        <is>
          <t>Não</t>
        </is>
      </c>
      <c r="M427" t="inlineStr">
        <is>
          <t>Compra/outras</t>
        </is>
      </c>
    </row>
    <row r="428">
      <c r="A428" t="inlineStr">
        <is>
          <t>Remessa de mercadoria (categoria 2.01.84)</t>
        </is>
      </c>
      <c r="B428" t="inlineStr">
        <is>
          <t>2.01.84 Remessa de Mercadoria</t>
        </is>
      </c>
      <c r="C428" t="inlineStr">
        <is>
          <t>Antes de 2026</t>
        </is>
      </c>
      <c r="D428" t="inlineStr">
        <is>
          <t>Antes de 2026</t>
        </is>
      </c>
      <c r="E428" s="28" t="n">
        <v>45560</v>
      </c>
      <c r="F428" t="inlineStr">
        <is>
          <t>NF-e</t>
        </is>
      </c>
      <c r="G428" t="inlineStr">
        <is>
          <t>000487839</t>
        </is>
      </c>
      <c r="H428" t="inlineStr">
        <is>
          <t>DISTRIPACK DISTRIBUIDORA DE EMBALAGENS LTDA</t>
        </is>
      </c>
      <c r="I428" t="inlineStr">
        <is>
          <t>11.043.375/0002-36</t>
        </is>
      </c>
      <c r="J428" s="29" t="n">
        <v>222900</v>
      </c>
      <c r="K428" t="inlineStr">
        <is>
          <t>1.556</t>
        </is>
      </c>
      <c r="L428" t="inlineStr">
        <is>
          <t>Não</t>
        </is>
      </c>
      <c r="M428" t="inlineStr">
        <is>
          <t>Compra/outras</t>
        </is>
      </c>
    </row>
    <row r="429">
      <c r="A429" t="inlineStr">
        <is>
          <t>Remessa de mercadoria (categoria 2.01.84)</t>
        </is>
      </c>
      <c r="B429" t="inlineStr">
        <is>
          <t>2.01.84 Remessa de Mercadoria</t>
        </is>
      </c>
      <c r="C429" t="inlineStr">
        <is>
          <t>Antes de 2026</t>
        </is>
      </c>
      <c r="D429" t="inlineStr">
        <is>
          <t>Antes de 2026</t>
        </is>
      </c>
      <c r="E429" s="28" t="n">
        <v>45560</v>
      </c>
      <c r="F429" t="inlineStr">
        <is>
          <t>NF-e</t>
        </is>
      </c>
      <c r="G429" t="inlineStr">
        <is>
          <t>000487840</t>
        </is>
      </c>
      <c r="H429" t="inlineStr">
        <is>
          <t>DISTRIPACK DISTRIBUIDORA DE EMBALAGENS LTDA</t>
        </is>
      </c>
      <c r="I429" t="inlineStr">
        <is>
          <t>11.043.375/0002-36</t>
        </is>
      </c>
      <c r="J429" s="29" t="n">
        <v>38803.79</v>
      </c>
      <c r="K429" t="inlineStr">
        <is>
          <t>1.556</t>
        </is>
      </c>
      <c r="L429" t="inlineStr">
        <is>
          <t>Não</t>
        </is>
      </c>
      <c r="M429" t="inlineStr">
        <is>
          <t>Compra/outras</t>
        </is>
      </c>
    </row>
    <row r="430">
      <c r="A430" t="inlineStr">
        <is>
          <t>Remessa de mercadoria (categoria 2.01.84)</t>
        </is>
      </c>
      <c r="B430" t="inlineStr">
        <is>
          <t>2.01.84 Remessa de Mercadoria</t>
        </is>
      </c>
      <c r="C430" t="inlineStr">
        <is>
          <t>Antes de 2026</t>
        </is>
      </c>
      <c r="D430" t="inlineStr">
        <is>
          <t>Antes de 2026</t>
        </is>
      </c>
      <c r="E430" s="28" t="n">
        <v>45560</v>
      </c>
      <c r="F430" t="inlineStr">
        <is>
          <t>NF-e</t>
        </is>
      </c>
      <c r="G430" t="inlineStr">
        <is>
          <t>000487841</t>
        </is>
      </c>
      <c r="H430" t="inlineStr">
        <is>
          <t>DISTRIPACK DISTRIBUIDORA DE EMBALAGENS LTDA</t>
        </is>
      </c>
      <c r="I430" t="inlineStr">
        <is>
          <t>11.043.375/0002-36</t>
        </is>
      </c>
      <c r="J430" s="29" t="n">
        <v>102605.82</v>
      </c>
      <c r="K430" t="inlineStr">
        <is>
          <t>1.556</t>
        </is>
      </c>
      <c r="L430" t="inlineStr">
        <is>
          <t>Não</t>
        </is>
      </c>
      <c r="M430" t="inlineStr">
        <is>
          <t>Compra/outras</t>
        </is>
      </c>
    </row>
    <row r="431">
      <c r="A431" t="inlineStr">
        <is>
          <t>Remessa de mercadoria (categoria 2.01.84)</t>
        </is>
      </c>
      <c r="B431" t="inlineStr">
        <is>
          <t>2.01.84 Remessa de Mercadoria</t>
        </is>
      </c>
      <c r="C431" t="inlineStr">
        <is>
          <t>Antes de 2026</t>
        </is>
      </c>
      <c r="D431" t="inlineStr">
        <is>
          <t>Antes de 2026</t>
        </is>
      </c>
      <c r="E431" s="28" t="n">
        <v>45560</v>
      </c>
      <c r="F431" t="inlineStr">
        <is>
          <t>NF-e</t>
        </is>
      </c>
      <c r="G431" t="inlineStr">
        <is>
          <t>000487842</t>
        </is>
      </c>
      <c r="H431" t="inlineStr">
        <is>
          <t>DISTRIPACK DISTRIBUIDORA DE EMBALAGENS LTDA</t>
        </is>
      </c>
      <c r="I431" t="inlineStr">
        <is>
          <t>11.043.375/0002-36</t>
        </is>
      </c>
      <c r="J431" s="29" t="n">
        <v>12144</v>
      </c>
      <c r="K431" t="inlineStr">
        <is>
          <t>1.556</t>
        </is>
      </c>
      <c r="L431" t="inlineStr">
        <is>
          <t>Não</t>
        </is>
      </c>
      <c r="M431" t="inlineStr">
        <is>
          <t>Compra/outras</t>
        </is>
      </c>
    </row>
    <row r="432">
      <c r="A432" t="inlineStr">
        <is>
          <t>Remessa de mercadoria (categoria 2.01.84)</t>
        </is>
      </c>
      <c r="B432" t="inlineStr">
        <is>
          <t>2.01.84 Remessa de Mercadoria</t>
        </is>
      </c>
      <c r="C432" t="inlineStr">
        <is>
          <t>Antes de 2026</t>
        </is>
      </c>
      <c r="D432" t="inlineStr">
        <is>
          <t>Antes de 2026</t>
        </is>
      </c>
      <c r="E432" s="28" t="n">
        <v>45560</v>
      </c>
      <c r="F432" t="inlineStr">
        <is>
          <t>NF-e</t>
        </is>
      </c>
      <c r="G432" t="inlineStr">
        <is>
          <t>000487844</t>
        </is>
      </c>
      <c r="H432" t="inlineStr">
        <is>
          <t>DISTRIPACK DISTRIBUIDORA DE EMBALAGENS LTDA</t>
        </is>
      </c>
      <c r="I432" t="inlineStr">
        <is>
          <t>11.043.375/0002-36</t>
        </is>
      </c>
      <c r="J432" s="29" t="n">
        <v>2446.91</v>
      </c>
      <c r="K432" t="inlineStr">
        <is>
          <t>1.556</t>
        </is>
      </c>
      <c r="L432" t="inlineStr">
        <is>
          <t>Não</t>
        </is>
      </c>
      <c r="M432" t="inlineStr">
        <is>
          <t>Compra/outras</t>
        </is>
      </c>
    </row>
    <row r="433">
      <c r="A433" t="inlineStr">
        <is>
          <t>Remessa de mercadoria (categoria 2.01.84)</t>
        </is>
      </c>
      <c r="B433" t="inlineStr">
        <is>
          <t>2.01.84 Remessa de Mercadoria</t>
        </is>
      </c>
      <c r="C433" t="inlineStr">
        <is>
          <t>Antes de 2026</t>
        </is>
      </c>
      <c r="D433" t="inlineStr">
        <is>
          <t>Antes de 2026</t>
        </is>
      </c>
      <c r="E433" s="28" t="n">
        <v>45560</v>
      </c>
      <c r="F433" t="inlineStr">
        <is>
          <t>NF-e</t>
        </is>
      </c>
      <c r="G433" t="inlineStr">
        <is>
          <t>000487845</t>
        </is>
      </c>
      <c r="H433" t="inlineStr">
        <is>
          <t>DISTRIPACK DISTRIBUIDORA DE EMBALAGENS LTDA</t>
        </is>
      </c>
      <c r="I433" t="inlineStr">
        <is>
          <t>11.043.375/0002-36</t>
        </is>
      </c>
      <c r="J433" s="29" t="n">
        <v>3758.15</v>
      </c>
      <c r="K433" t="inlineStr">
        <is>
          <t>1.556</t>
        </is>
      </c>
      <c r="L433" t="inlineStr">
        <is>
          <t>Não</t>
        </is>
      </c>
      <c r="M433" t="inlineStr">
        <is>
          <t>Compra/outras</t>
        </is>
      </c>
    </row>
    <row r="434">
      <c r="A434" t="inlineStr">
        <is>
          <t>Remessa de mercadoria (categoria 2.01.84)</t>
        </is>
      </c>
      <c r="B434" t="inlineStr">
        <is>
          <t>2.01.84 Remessa de Mercadoria</t>
        </is>
      </c>
      <c r="C434" t="inlineStr">
        <is>
          <t>Antes de 2026</t>
        </is>
      </c>
      <c r="D434" t="inlineStr">
        <is>
          <t>Antes de 2026</t>
        </is>
      </c>
      <c r="E434" s="28" t="n">
        <v>45560</v>
      </c>
      <c r="F434" t="inlineStr">
        <is>
          <t>NF-e</t>
        </is>
      </c>
      <c r="G434" t="inlineStr">
        <is>
          <t>000487846</t>
        </is>
      </c>
      <c r="H434" t="inlineStr">
        <is>
          <t>DISTRIPACK DISTRIBUIDORA DE EMBALAGENS LTDA</t>
        </is>
      </c>
      <c r="I434" t="inlineStr">
        <is>
          <t>11.043.375/0002-36</t>
        </is>
      </c>
      <c r="J434" s="29" t="n">
        <v>449.53</v>
      </c>
      <c r="K434" t="inlineStr">
        <is>
          <t>1.556</t>
        </is>
      </c>
      <c r="L434" t="inlineStr">
        <is>
          <t>Não</t>
        </is>
      </c>
      <c r="M434" t="inlineStr">
        <is>
          <t>Compra/outras</t>
        </is>
      </c>
    </row>
    <row r="435">
      <c r="A435" t="inlineStr">
        <is>
          <t>Remessa de mercadoria (categoria 2.01.84)</t>
        </is>
      </c>
      <c r="B435" t="inlineStr">
        <is>
          <t>2.01.84 Remessa de Mercadoria</t>
        </is>
      </c>
      <c r="C435" t="inlineStr">
        <is>
          <t>Antes de 2026</t>
        </is>
      </c>
      <c r="D435" t="inlineStr">
        <is>
          <t>Antes de 2026</t>
        </is>
      </c>
      <c r="E435" s="28" t="n">
        <v>45560</v>
      </c>
      <c r="F435" t="inlineStr">
        <is>
          <t>NF-e</t>
        </is>
      </c>
      <c r="G435" t="inlineStr">
        <is>
          <t>000487847</t>
        </is>
      </c>
      <c r="H435" t="inlineStr">
        <is>
          <t>DISTRIPACK DISTRIBUIDORA DE EMBALAGENS LTDA</t>
        </is>
      </c>
      <c r="I435" t="inlineStr">
        <is>
          <t>11.043.375/0002-36</t>
        </is>
      </c>
      <c r="J435" s="29" t="n">
        <v>15048.35</v>
      </c>
      <c r="K435" t="inlineStr">
        <is>
          <t>1.556</t>
        </is>
      </c>
      <c r="L435" t="inlineStr">
        <is>
          <t>Não</t>
        </is>
      </c>
      <c r="M435" t="inlineStr">
        <is>
          <t>Compra/outras</t>
        </is>
      </c>
    </row>
    <row r="436">
      <c r="A436" t="inlineStr">
        <is>
          <t>Remessa de mercadoria (categoria 2.01.84)</t>
        </is>
      </c>
      <c r="B436" t="inlineStr">
        <is>
          <t>2.01.84 Remessa de Mercadoria</t>
        </is>
      </c>
      <c r="C436" t="inlineStr">
        <is>
          <t>Antes de 2026</t>
        </is>
      </c>
      <c r="D436" t="inlineStr">
        <is>
          <t>Antes de 2026</t>
        </is>
      </c>
      <c r="E436" s="28" t="n">
        <v>45560</v>
      </c>
      <c r="F436" t="inlineStr">
        <is>
          <t>NF-e</t>
        </is>
      </c>
      <c r="G436" t="inlineStr">
        <is>
          <t>000487848</t>
        </is>
      </c>
      <c r="H436" t="inlineStr">
        <is>
          <t>DISTRIPACK DISTRIBUIDORA DE EMBALAGENS LTDA</t>
        </is>
      </c>
      <c r="I436" t="inlineStr">
        <is>
          <t>11.043.375/0002-36</t>
        </is>
      </c>
      <c r="J436" s="29" t="n">
        <v>437.55</v>
      </c>
      <c r="K436" t="inlineStr">
        <is>
          <t>1.556</t>
        </is>
      </c>
      <c r="L436" t="inlineStr">
        <is>
          <t>Não</t>
        </is>
      </c>
      <c r="M436" t="inlineStr">
        <is>
          <t>Compra/outras</t>
        </is>
      </c>
    </row>
    <row r="437">
      <c r="A437" t="inlineStr">
        <is>
          <t>Remessa de mercadoria (categoria 2.01.84)</t>
        </is>
      </c>
      <c r="B437" t="inlineStr">
        <is>
          <t>2.01.84 Remessa de Mercadoria</t>
        </is>
      </c>
      <c r="C437" t="inlineStr">
        <is>
          <t>Antes de 2026</t>
        </is>
      </c>
      <c r="D437" t="inlineStr">
        <is>
          <t>Antes de 2026</t>
        </is>
      </c>
      <c r="E437" s="28" t="n">
        <v>45560</v>
      </c>
      <c r="F437" t="inlineStr">
        <is>
          <t>NF-e</t>
        </is>
      </c>
      <c r="G437" t="inlineStr">
        <is>
          <t>000487849</t>
        </is>
      </c>
      <c r="H437" t="inlineStr">
        <is>
          <t>DISTRIPACK DISTRIBUIDORA DE EMBALAGENS LTDA</t>
        </is>
      </c>
      <c r="I437" t="inlineStr">
        <is>
          <t>11.043.375/0002-36</t>
        </is>
      </c>
      <c r="J437" s="29" t="n">
        <v>39248.22</v>
      </c>
      <c r="K437" t="inlineStr">
        <is>
          <t>1.556</t>
        </is>
      </c>
      <c r="L437" t="inlineStr">
        <is>
          <t>Não</t>
        </is>
      </c>
      <c r="M437" t="inlineStr">
        <is>
          <t>Compra/outras</t>
        </is>
      </c>
    </row>
    <row r="438">
      <c r="A438" t="inlineStr">
        <is>
          <t>Remessa de mercadoria (categoria 2.01.84)</t>
        </is>
      </c>
      <c r="B438" t="inlineStr">
        <is>
          <t>2.01.84 Remessa de Mercadoria</t>
        </is>
      </c>
      <c r="C438" t="inlineStr">
        <is>
          <t>Antes de 2026</t>
        </is>
      </c>
      <c r="D438" t="inlineStr">
        <is>
          <t>Antes de 2026</t>
        </is>
      </c>
      <c r="E438" s="28" t="n">
        <v>45560</v>
      </c>
      <c r="F438" t="inlineStr">
        <is>
          <t>NF-e</t>
        </is>
      </c>
      <c r="G438" t="inlineStr">
        <is>
          <t>000487850</t>
        </is>
      </c>
      <c r="H438" t="inlineStr">
        <is>
          <t>DISTRIPACK DISTRIBUIDORA DE EMBALAGENS LTDA</t>
        </is>
      </c>
      <c r="I438" t="inlineStr">
        <is>
          <t>11.043.375/0002-36</t>
        </is>
      </c>
      <c r="J438" s="29" t="n">
        <v>11271.69</v>
      </c>
      <c r="K438" t="inlineStr">
        <is>
          <t>1.556</t>
        </is>
      </c>
      <c r="L438" t="inlineStr">
        <is>
          <t>Não</t>
        </is>
      </c>
      <c r="M438" t="inlineStr">
        <is>
          <t>Compra/outras</t>
        </is>
      </c>
    </row>
    <row r="439">
      <c r="A439" t="inlineStr">
        <is>
          <t>Remessa de mercadoria (categoria 2.01.84)</t>
        </is>
      </c>
      <c r="B439" t="inlineStr">
        <is>
          <t>2.01.84 Remessa de Mercadoria</t>
        </is>
      </c>
      <c r="C439" t="inlineStr">
        <is>
          <t>Antes de 2026</t>
        </is>
      </c>
      <c r="D439" t="inlineStr">
        <is>
          <t>Antes de 2026</t>
        </is>
      </c>
      <c r="E439" s="28" t="n">
        <v>45560</v>
      </c>
      <c r="F439" t="inlineStr">
        <is>
          <t>NF-e</t>
        </is>
      </c>
      <c r="G439" t="inlineStr">
        <is>
          <t>000487851</t>
        </is>
      </c>
      <c r="H439" t="inlineStr">
        <is>
          <t>DISTRIPACK DISTRIBUIDORA DE EMBALAGENS LTDA</t>
        </is>
      </c>
      <c r="I439" t="inlineStr">
        <is>
          <t>11.043.375/0002-36</t>
        </is>
      </c>
      <c r="J439" s="29" t="n">
        <v>5082.82</v>
      </c>
      <c r="K439" t="inlineStr">
        <is>
          <t>1.556</t>
        </is>
      </c>
      <c r="L439" t="inlineStr">
        <is>
          <t>Não</t>
        </is>
      </c>
      <c r="M439" t="inlineStr">
        <is>
          <t>Compra/outras</t>
        </is>
      </c>
    </row>
    <row r="440">
      <c r="A440" t="inlineStr">
        <is>
          <t>Remessa de mercadoria (categoria 2.01.84)</t>
        </is>
      </c>
      <c r="B440" t="inlineStr">
        <is>
          <t>2.01.84 Remessa de Mercadoria</t>
        </is>
      </c>
      <c r="C440" t="inlineStr">
        <is>
          <t>Antes de 2026</t>
        </is>
      </c>
      <c r="D440" t="inlineStr">
        <is>
          <t>Antes de 2026</t>
        </is>
      </c>
      <c r="E440" s="28" t="n">
        <v>45560</v>
      </c>
      <c r="F440" t="inlineStr">
        <is>
          <t>NF-e</t>
        </is>
      </c>
      <c r="G440" t="inlineStr">
        <is>
          <t>000487853</t>
        </is>
      </c>
      <c r="H440" t="inlineStr">
        <is>
          <t>DISTRIPACK DISTRIBUIDORA DE EMBALAGENS LTDA</t>
        </is>
      </c>
      <c r="I440" t="inlineStr">
        <is>
          <t>11.043.375/0002-36</t>
        </is>
      </c>
      <c r="J440" s="29" t="n">
        <v>811.84</v>
      </c>
      <c r="K440" t="inlineStr">
        <is>
          <t>1.556</t>
        </is>
      </c>
      <c r="L440" t="inlineStr">
        <is>
          <t>Não</t>
        </is>
      </c>
      <c r="M440" t="inlineStr">
        <is>
          <t>Compra/outras</t>
        </is>
      </c>
    </row>
    <row r="441">
      <c r="A441" t="inlineStr">
        <is>
          <t>Remessa de mercadoria (categoria 2.01.84)</t>
        </is>
      </c>
      <c r="B441" t="inlineStr">
        <is>
          <t>2.01.84 Remessa de Mercadoria</t>
        </is>
      </c>
      <c r="C441" t="inlineStr">
        <is>
          <t>Antes de 2026</t>
        </is>
      </c>
      <c r="D441" t="inlineStr">
        <is>
          <t>Antes de 2026</t>
        </is>
      </c>
      <c r="E441" s="28" t="n">
        <v>45644</v>
      </c>
      <c r="F441" t="inlineStr">
        <is>
          <t>NF-e</t>
        </is>
      </c>
      <c r="G441" t="inlineStr">
        <is>
          <t>000507666</t>
        </is>
      </c>
      <c r="H441" t="inlineStr">
        <is>
          <t>DISTRIPACK DISTRIBUIDORA DE EMBALAGENS LTDA</t>
        </is>
      </c>
      <c r="I441" t="inlineStr">
        <is>
          <t>11.043.375/0002-36</t>
        </is>
      </c>
      <c r="J441" s="29" t="n">
        <v>5056</v>
      </c>
      <c r="K441" t="inlineStr">
        <is>
          <t>1.556</t>
        </is>
      </c>
      <c r="L441" t="inlineStr">
        <is>
          <t>Não</t>
        </is>
      </c>
      <c r="M441" t="inlineStr">
        <is>
          <t>Compra/outras</t>
        </is>
      </c>
    </row>
    <row r="442">
      <c r="A442" t="inlineStr">
        <is>
          <t>Remessa de mercadoria (categoria 2.01.84)</t>
        </is>
      </c>
      <c r="B442" t="inlineStr">
        <is>
          <t>2.01.84 Remessa de Mercadoria</t>
        </is>
      </c>
      <c r="C442" t="inlineStr">
        <is>
          <t>Antes de 2026</t>
        </is>
      </c>
      <c r="D442" t="inlineStr">
        <is>
          <t>Antes de 2026</t>
        </is>
      </c>
      <c r="E442" s="28" t="n">
        <v>45630</v>
      </c>
      <c r="F442" t="inlineStr">
        <is>
          <t>NF-e</t>
        </is>
      </c>
      <c r="G442" t="inlineStr">
        <is>
          <t>000002321</t>
        </is>
      </c>
      <c r="H442" t="inlineStr">
        <is>
          <t>DOCA COMERCIO DE PRODUTOS ALIMENTICIOS LTDA</t>
        </is>
      </c>
      <c r="I442" t="inlineStr">
        <is>
          <t>15.258.788/0003-70</t>
        </is>
      </c>
      <c r="J442" s="29" t="n">
        <v>423.98</v>
      </c>
      <c r="K442" t="inlineStr">
        <is>
          <t>1.556</t>
        </is>
      </c>
      <c r="L442" t="inlineStr">
        <is>
          <t>Não</t>
        </is>
      </c>
      <c r="M442" t="inlineStr">
        <is>
          <t>Compra/outras</t>
        </is>
      </c>
    </row>
    <row r="443">
      <c r="A443" t="inlineStr">
        <is>
          <t>Remessa de mercadoria (categoria 2.01.84)</t>
        </is>
      </c>
      <c r="B443" t="inlineStr">
        <is>
          <t>2.01.84 Remessa de Mercadoria</t>
        </is>
      </c>
      <c r="C443" t="inlineStr">
        <is>
          <t>Antes de 2026</t>
        </is>
      </c>
      <c r="D443" t="inlineStr">
        <is>
          <t>Antes de 2026</t>
        </is>
      </c>
      <c r="E443" s="28" t="n">
        <v>45531</v>
      </c>
      <c r="F443" t="inlineStr">
        <is>
          <t>NF-e</t>
        </is>
      </c>
      <c r="G443" t="inlineStr">
        <is>
          <t>000003195</t>
        </is>
      </c>
      <c r="H443" t="inlineStr">
        <is>
          <t>DROGARIA DROGAVISTA LTDA</t>
        </is>
      </c>
      <c r="I443" t="inlineStr">
        <is>
          <t>00.958.548/0043-06</t>
        </is>
      </c>
      <c r="J443" s="29" t="n">
        <v>234.9</v>
      </c>
      <c r="K443" t="inlineStr">
        <is>
          <t>1.556</t>
        </is>
      </c>
      <c r="L443" t="inlineStr">
        <is>
          <t>Não</t>
        </is>
      </c>
      <c r="M443" t="inlineStr">
        <is>
          <t>Compra/outras</t>
        </is>
      </c>
    </row>
    <row r="444">
      <c r="A444" t="inlineStr">
        <is>
          <t>Remessa de mercadoria (categoria 2.01.84)</t>
        </is>
      </c>
      <c r="B444" t="inlineStr">
        <is>
          <t>2.01.84 Remessa de Mercadoria</t>
        </is>
      </c>
      <c r="C444" t="inlineStr">
        <is>
          <t>Antes de 2026</t>
        </is>
      </c>
      <c r="D444" t="inlineStr">
        <is>
          <t>Antes de 2026</t>
        </is>
      </c>
      <c r="E444" s="28" t="n">
        <v>45568</v>
      </c>
      <c r="F444" t="inlineStr">
        <is>
          <t>NF-e</t>
        </is>
      </c>
      <c r="G444" t="inlineStr">
        <is>
          <t>000028411</t>
        </is>
      </c>
      <c r="H444" t="inlineStr">
        <is>
          <t>DUAS X DOCE COMERCIO E SERVICOS LTDA</t>
        </is>
      </c>
      <c r="I444" t="inlineStr">
        <is>
          <t>30.354.425/0001-60</t>
        </is>
      </c>
      <c r="J444" s="29" t="n">
        <v>1200</v>
      </c>
      <c r="K444" t="inlineStr">
        <is>
          <t>1.556</t>
        </is>
      </c>
      <c r="L444" t="inlineStr">
        <is>
          <t>Não</t>
        </is>
      </c>
      <c r="M444" t="inlineStr">
        <is>
          <t>Compra/outras</t>
        </is>
      </c>
    </row>
    <row r="445">
      <c r="A445" t="inlineStr">
        <is>
          <t>Remessa de mercadoria (categoria 2.01.84)</t>
        </is>
      </c>
      <c r="B445" t="inlineStr">
        <is>
          <t>2.01.84 Remessa de Mercadoria</t>
        </is>
      </c>
      <c r="C445" t="inlineStr">
        <is>
          <t>Antes de 2026</t>
        </is>
      </c>
      <c r="D445" t="inlineStr">
        <is>
          <t>Antes de 2026</t>
        </is>
      </c>
      <c r="E445" s="28" t="n">
        <v>45525</v>
      </c>
      <c r="F445" t="inlineStr">
        <is>
          <t>NF-e</t>
        </is>
      </c>
      <c r="G445" t="inlineStr">
        <is>
          <t>000073883</t>
        </is>
      </c>
      <c r="H445" t="inlineStr">
        <is>
          <t>E L GALVAO E CIA LTDA</t>
        </is>
      </c>
      <c r="I445" t="inlineStr">
        <is>
          <t>09.496.480/0001-06</t>
        </is>
      </c>
      <c r="J445" s="29" t="n">
        <v>872</v>
      </c>
      <c r="K445" t="inlineStr">
        <is>
          <t>1.556</t>
        </is>
      </c>
      <c r="L445" t="inlineStr">
        <is>
          <t>Não</t>
        </is>
      </c>
      <c r="M445" t="inlineStr">
        <is>
          <t>Compra/outras</t>
        </is>
      </c>
    </row>
    <row r="446">
      <c r="A446" t="inlineStr">
        <is>
          <t>Remessa de mercadoria (categoria 2.01.84)</t>
        </is>
      </c>
      <c r="B446" t="inlineStr">
        <is>
          <t>2.01.84 Remessa de Mercadoria</t>
        </is>
      </c>
      <c r="C446" t="inlineStr">
        <is>
          <t>Antes de 2026</t>
        </is>
      </c>
      <c r="D446" t="inlineStr">
        <is>
          <t>Antes de 2026</t>
        </is>
      </c>
      <c r="E446" s="28" t="n">
        <v>45501</v>
      </c>
      <c r="F446" t="inlineStr">
        <is>
          <t>NF-e</t>
        </is>
      </c>
      <c r="G446" t="inlineStr">
        <is>
          <t>000000828</t>
        </is>
      </c>
      <c r="H446" t="inlineStr">
        <is>
          <t>EDIVAL FRANCISCO TAVARES LTDA</t>
        </is>
      </c>
      <c r="I446" t="inlineStr">
        <is>
          <t>47.351.368/0001-68</t>
        </is>
      </c>
      <c r="J446" s="29" t="n">
        <v>400.09</v>
      </c>
      <c r="K446" t="inlineStr">
        <is>
          <t>1.556</t>
        </is>
      </c>
      <c r="L446" t="inlineStr">
        <is>
          <t>Não</t>
        </is>
      </c>
      <c r="M446" t="inlineStr">
        <is>
          <t>Compra/outras</t>
        </is>
      </c>
    </row>
    <row r="447">
      <c r="A447" t="inlineStr">
        <is>
          <t>Remessa de mercadoria (categoria 2.01.84)</t>
        </is>
      </c>
      <c r="B447" t="inlineStr">
        <is>
          <t>2.01.84 Remessa de Mercadoria</t>
        </is>
      </c>
      <c r="C447" t="inlineStr">
        <is>
          <t>Antes de 2026</t>
        </is>
      </c>
      <c r="D447" t="inlineStr">
        <is>
          <t>Antes de 2026</t>
        </is>
      </c>
      <c r="E447" s="28" t="n">
        <v>45294</v>
      </c>
      <c r="F447" t="inlineStr">
        <is>
          <t>NF-e</t>
        </is>
      </c>
      <c r="G447" t="inlineStr">
        <is>
          <t>000007826</t>
        </is>
      </c>
      <c r="H447" t="inlineStr">
        <is>
          <t>EDNA DE ARAUJO PACHECO LTDA</t>
        </is>
      </c>
      <c r="I447" t="inlineStr">
        <is>
          <t>17.433.873/0001-90</t>
        </is>
      </c>
      <c r="J447" s="29" t="n">
        <v>152</v>
      </c>
      <c r="K447" t="inlineStr">
        <is>
          <t>1.556</t>
        </is>
      </c>
      <c r="L447" t="inlineStr">
        <is>
          <t>Não</t>
        </is>
      </c>
      <c r="M447" t="inlineStr">
        <is>
          <t>Compra/outras</t>
        </is>
      </c>
    </row>
    <row r="448">
      <c r="A448" t="inlineStr">
        <is>
          <t>Remessa de mercadoria (categoria 2.01.84)</t>
        </is>
      </c>
      <c r="B448" t="inlineStr">
        <is>
          <t>2.01.84 Remessa de Mercadoria</t>
        </is>
      </c>
      <c r="C448" t="inlineStr">
        <is>
          <t>Antes de 2026</t>
        </is>
      </c>
      <c r="D448" t="inlineStr">
        <is>
          <t>Antes de 2026</t>
        </is>
      </c>
      <c r="E448" s="28" t="n">
        <v>45327</v>
      </c>
      <c r="F448" t="inlineStr">
        <is>
          <t>NF-e</t>
        </is>
      </c>
      <c r="G448" t="inlineStr">
        <is>
          <t>000008055</t>
        </is>
      </c>
      <c r="H448" t="inlineStr">
        <is>
          <t>EDNA DE ARAUJO PACHECO LTDA</t>
        </is>
      </c>
      <c r="I448" t="inlineStr">
        <is>
          <t>17.433.873/0001-90</t>
        </is>
      </c>
      <c r="J448" s="29" t="n">
        <v>168</v>
      </c>
      <c r="K448" t="inlineStr">
        <is>
          <t>1.556</t>
        </is>
      </c>
      <c r="L448" t="inlineStr">
        <is>
          <t>Não</t>
        </is>
      </c>
      <c r="M448" t="inlineStr">
        <is>
          <t>Compra/outras</t>
        </is>
      </c>
    </row>
    <row r="449">
      <c r="A449" t="inlineStr">
        <is>
          <t>Remessa de mercadoria (categoria 2.01.84)</t>
        </is>
      </c>
      <c r="B449" t="inlineStr">
        <is>
          <t>2.01.84 Remessa de Mercadoria</t>
        </is>
      </c>
      <c r="C449" t="inlineStr">
        <is>
          <t>Antes de 2026</t>
        </is>
      </c>
      <c r="D449" t="inlineStr">
        <is>
          <t>Antes de 2026</t>
        </is>
      </c>
      <c r="E449" s="28" t="n">
        <v>45356</v>
      </c>
      <c r="F449" t="inlineStr">
        <is>
          <t>NF-e</t>
        </is>
      </c>
      <c r="G449" t="inlineStr">
        <is>
          <t>000008209</t>
        </is>
      </c>
      <c r="H449" t="inlineStr">
        <is>
          <t>EDNA DE ARAUJO PACHECO LTDA</t>
        </is>
      </c>
      <c r="I449" t="inlineStr">
        <is>
          <t>17.433.873/0001-90</t>
        </is>
      </c>
      <c r="J449" s="29" t="n">
        <v>549.7</v>
      </c>
      <c r="K449" t="inlineStr">
        <is>
          <t>1.556</t>
        </is>
      </c>
      <c r="L449" t="inlineStr">
        <is>
          <t>Não</t>
        </is>
      </c>
      <c r="M449" t="inlineStr">
        <is>
          <t>Compra/outras</t>
        </is>
      </c>
    </row>
    <row r="450">
      <c r="A450" t="inlineStr">
        <is>
          <t>Remessa de mercadoria (categoria 2.01.84)</t>
        </is>
      </c>
      <c r="B450" t="inlineStr">
        <is>
          <t>2.01.84 Remessa de Mercadoria</t>
        </is>
      </c>
      <c r="C450" t="inlineStr">
        <is>
          <t>Antes de 2026</t>
        </is>
      </c>
      <c r="D450" t="inlineStr">
        <is>
          <t>Antes de 2026</t>
        </is>
      </c>
      <c r="E450" s="28" t="n">
        <v>45499</v>
      </c>
      <c r="F450" t="inlineStr">
        <is>
          <t>NF-e</t>
        </is>
      </c>
      <c r="G450" t="inlineStr">
        <is>
          <t>000009018</t>
        </is>
      </c>
      <c r="H450" t="inlineStr">
        <is>
          <t>EDNA DE ARAUJO PACHECO LTDA</t>
        </is>
      </c>
      <c r="I450" t="inlineStr">
        <is>
          <t>17.433.873/0001-90</t>
        </is>
      </c>
      <c r="J450" s="29" t="n">
        <v>2730.5</v>
      </c>
      <c r="K450" t="inlineStr">
        <is>
          <t>1.556</t>
        </is>
      </c>
      <c r="L450" t="inlineStr">
        <is>
          <t>Não</t>
        </is>
      </c>
      <c r="M450" t="inlineStr">
        <is>
          <t>Compra/outras</t>
        </is>
      </c>
    </row>
    <row r="451">
      <c r="A451" t="inlineStr">
        <is>
          <t>Remessa de mercadoria (categoria 2.01.84)</t>
        </is>
      </c>
      <c r="B451" t="inlineStr">
        <is>
          <t>2.01.84 Remessa de Mercadoria</t>
        </is>
      </c>
      <c r="C451" t="inlineStr">
        <is>
          <t>Antes de 2026</t>
        </is>
      </c>
      <c r="D451" t="inlineStr">
        <is>
          <t>Antes de 2026</t>
        </is>
      </c>
      <c r="E451" s="28" t="n">
        <v>45512</v>
      </c>
      <c r="F451" t="inlineStr">
        <is>
          <t>NF-e</t>
        </is>
      </c>
      <c r="G451" t="inlineStr">
        <is>
          <t>000009132</t>
        </is>
      </c>
      <c r="H451" t="inlineStr">
        <is>
          <t>EDNA DE ARAUJO PACHECO LTDA</t>
        </is>
      </c>
      <c r="I451" t="inlineStr">
        <is>
          <t>17.433.873/0001-90</t>
        </is>
      </c>
      <c r="J451" s="29" t="n">
        <v>415</v>
      </c>
      <c r="K451" t="inlineStr">
        <is>
          <t>1.556</t>
        </is>
      </c>
      <c r="L451" t="inlineStr">
        <is>
          <t>Não</t>
        </is>
      </c>
      <c r="M451" t="inlineStr">
        <is>
          <t>Compra/outras</t>
        </is>
      </c>
    </row>
    <row r="452">
      <c r="A452" t="inlineStr">
        <is>
          <t>Remessa de mercadoria (categoria 2.01.84)</t>
        </is>
      </c>
      <c r="B452" t="inlineStr">
        <is>
          <t>2.01.84 Remessa de Mercadoria</t>
        </is>
      </c>
      <c r="C452" t="inlineStr">
        <is>
          <t>Antes de 2026</t>
        </is>
      </c>
      <c r="D452" t="inlineStr">
        <is>
          <t>Antes de 2026</t>
        </is>
      </c>
      <c r="E452" s="28" t="n">
        <v>45539</v>
      </c>
      <c r="F452" t="inlineStr">
        <is>
          <t>NF-e</t>
        </is>
      </c>
      <c r="G452" t="inlineStr">
        <is>
          <t>000009301</t>
        </is>
      </c>
      <c r="H452" t="inlineStr">
        <is>
          <t>EDNA DE ARAUJO PACHECO LTDA</t>
        </is>
      </c>
      <c r="I452" t="inlineStr">
        <is>
          <t>17.433.873/0001-90</t>
        </is>
      </c>
      <c r="J452" s="29" t="n">
        <v>590.9400000000001</v>
      </c>
      <c r="K452" t="inlineStr">
        <is>
          <t>1.556</t>
        </is>
      </c>
      <c r="L452" t="inlineStr">
        <is>
          <t>Não</t>
        </is>
      </c>
      <c r="M452" t="inlineStr">
        <is>
          <t>Compra/outras</t>
        </is>
      </c>
    </row>
    <row r="453">
      <c r="A453" t="inlineStr">
        <is>
          <t>Remessa de mercadoria (categoria 2.01.84)</t>
        </is>
      </c>
      <c r="B453" t="inlineStr">
        <is>
          <t>2.01.84 Remessa de Mercadoria</t>
        </is>
      </c>
      <c r="C453" t="inlineStr">
        <is>
          <t>Antes de 2026</t>
        </is>
      </c>
      <c r="D453" t="inlineStr">
        <is>
          <t>Antes de 2026</t>
        </is>
      </c>
      <c r="E453" s="28" t="n">
        <v>45506</v>
      </c>
      <c r="F453" t="inlineStr">
        <is>
          <t>NF-e</t>
        </is>
      </c>
      <c r="G453" t="inlineStr">
        <is>
          <t>000007816</t>
        </is>
      </c>
      <c r="H453" t="inlineStr">
        <is>
          <t>ELETROCELO COMERCIO DE MATERIAIS ELETRICOS LTDA</t>
        </is>
      </c>
      <c r="I453" t="inlineStr">
        <is>
          <t>06.079.126/0001-80</t>
        </is>
      </c>
      <c r="J453" s="29" t="n">
        <v>45</v>
      </c>
      <c r="K453" t="inlineStr">
        <is>
          <t>1.556</t>
        </is>
      </c>
      <c r="L453" t="inlineStr">
        <is>
          <t>Não</t>
        </is>
      </c>
      <c r="M453" t="inlineStr">
        <is>
          <t>Compra/outras</t>
        </is>
      </c>
    </row>
    <row r="454">
      <c r="A454" t="inlineStr">
        <is>
          <t>Remessa de mercadoria (categoria 2.01.84)</t>
        </is>
      </c>
      <c r="B454" t="inlineStr">
        <is>
          <t>2.01.84 Remessa de Mercadoria</t>
        </is>
      </c>
      <c r="C454" t="inlineStr">
        <is>
          <t>Antes de 2026</t>
        </is>
      </c>
      <c r="D454" t="inlineStr">
        <is>
          <t>Antes de 2026</t>
        </is>
      </c>
      <c r="E454" s="28" t="n">
        <v>45503</v>
      </c>
      <c r="F454" t="inlineStr">
        <is>
          <t>NF-e</t>
        </is>
      </c>
      <c r="G454" t="inlineStr">
        <is>
          <t>000553316</t>
        </is>
      </c>
      <c r="H454" t="inlineStr">
        <is>
          <t>EMBALE EMBALAGENS DE PLASTICO E PAPEL LTDA</t>
        </is>
      </c>
      <c r="I454" t="inlineStr">
        <is>
          <t>02.195.311/0001-89</t>
        </is>
      </c>
      <c r="J454" s="29" t="n">
        <v>4713</v>
      </c>
      <c r="K454" t="inlineStr">
        <is>
          <t>1.556</t>
        </is>
      </c>
      <c r="L454" t="inlineStr">
        <is>
          <t>Não</t>
        </is>
      </c>
      <c r="M454" t="inlineStr">
        <is>
          <t>Compra/outras</t>
        </is>
      </c>
    </row>
    <row r="455">
      <c r="A455" t="inlineStr">
        <is>
          <t>Remessa de mercadoria (categoria 2.01.84)</t>
        </is>
      </c>
      <c r="B455" t="inlineStr">
        <is>
          <t>2.01.84 Remessa de Mercadoria</t>
        </is>
      </c>
      <c r="C455" t="inlineStr">
        <is>
          <t>Antes de 2026</t>
        </is>
      </c>
      <c r="D455" t="inlineStr">
        <is>
          <t>Antes de 2026</t>
        </is>
      </c>
      <c r="E455" s="28" t="n">
        <v>45331</v>
      </c>
      <c r="F455" t="inlineStr">
        <is>
          <t>NF-e</t>
        </is>
      </c>
      <c r="G455" t="inlineStr">
        <is>
          <t>000007704</t>
        </is>
      </c>
      <c r="H455" t="inlineStr">
        <is>
          <t>EMMANUEL RABELO DE SANTANA RESISTENCIAS</t>
        </is>
      </c>
      <c r="I455" t="inlineStr">
        <is>
          <t>05.564.787/0001-38</t>
        </is>
      </c>
      <c r="J455" s="29" t="n">
        <v>600</v>
      </c>
      <c r="K455" t="inlineStr">
        <is>
          <t>1.556</t>
        </is>
      </c>
      <c r="L455" t="inlineStr">
        <is>
          <t>Não</t>
        </is>
      </c>
      <c r="M455" t="inlineStr">
        <is>
          <t>Compra/outras</t>
        </is>
      </c>
    </row>
    <row r="456">
      <c r="A456" t="inlineStr">
        <is>
          <t>Remessa de mercadoria (categoria 2.01.84)</t>
        </is>
      </c>
      <c r="B456" t="inlineStr">
        <is>
          <t>2.01.84 Remessa de Mercadoria</t>
        </is>
      </c>
      <c r="C456" t="inlineStr">
        <is>
          <t>Antes de 2026</t>
        </is>
      </c>
      <c r="D456" t="inlineStr">
        <is>
          <t>Antes de 2026</t>
        </is>
      </c>
      <c r="E456" s="28" t="n">
        <v>45337</v>
      </c>
      <c r="F456" t="inlineStr">
        <is>
          <t>NF-e</t>
        </is>
      </c>
      <c r="G456" t="inlineStr">
        <is>
          <t>000007707</t>
        </is>
      </c>
      <c r="H456" t="inlineStr">
        <is>
          <t>EMMANUEL RABELO DE SANTANA RESISTENCIAS</t>
        </is>
      </c>
      <c r="I456" t="inlineStr">
        <is>
          <t>05.564.787/0001-38</t>
        </is>
      </c>
      <c r="J456" s="29" t="n">
        <v>600</v>
      </c>
      <c r="K456" t="inlineStr">
        <is>
          <t>1.556</t>
        </is>
      </c>
      <c r="L456" t="inlineStr">
        <is>
          <t>Não</t>
        </is>
      </c>
      <c r="M456" t="inlineStr">
        <is>
          <t>Compra/outras</t>
        </is>
      </c>
    </row>
    <row r="457">
      <c r="A457" t="inlineStr">
        <is>
          <t>Remessa de mercadoria (categoria 2.01.84)</t>
        </is>
      </c>
      <c r="B457" t="inlineStr">
        <is>
          <t>2.01.84 Remessa de Mercadoria</t>
        </is>
      </c>
      <c r="C457" t="inlineStr">
        <is>
          <t>Antes de 2026</t>
        </is>
      </c>
      <c r="D457" t="inlineStr">
        <is>
          <t>Antes de 2026</t>
        </is>
      </c>
      <c r="E457" s="28" t="n">
        <v>45531</v>
      </c>
      <c r="F457" t="inlineStr">
        <is>
          <t>NF-e</t>
        </is>
      </c>
      <c r="G457" t="inlineStr">
        <is>
          <t>000000056</t>
        </is>
      </c>
      <c r="H457" t="inlineStr">
        <is>
          <t>EMPREENDIMENTOS PAGUE MENOS S/A</t>
        </is>
      </c>
      <c r="I457" t="inlineStr">
        <is>
          <t>06.626.253/0785-09</t>
        </is>
      </c>
      <c r="J457" s="29" t="n">
        <v>192.98</v>
      </c>
      <c r="K457" t="inlineStr">
        <is>
          <t>1.556</t>
        </is>
      </c>
      <c r="L457" t="inlineStr">
        <is>
          <t>Não</t>
        </is>
      </c>
      <c r="M457" t="inlineStr">
        <is>
          <t>Compra/outras</t>
        </is>
      </c>
    </row>
    <row r="458">
      <c r="A458" t="inlineStr">
        <is>
          <t>Remessa de mercadoria (categoria 2.01.84)</t>
        </is>
      </c>
      <c r="B458" t="inlineStr">
        <is>
          <t>2.01.84 Remessa de Mercadoria</t>
        </is>
      </c>
      <c r="C458" t="inlineStr">
        <is>
          <t>Antes de 2026</t>
        </is>
      </c>
      <c r="D458" t="inlineStr">
        <is>
          <t>Antes de 2026</t>
        </is>
      </c>
      <c r="E458" s="28" t="n">
        <v>45303</v>
      </c>
      <c r="F458" t="inlineStr">
        <is>
          <t>NF-e</t>
        </is>
      </c>
      <c r="G458" t="inlineStr">
        <is>
          <t>000025275</t>
        </is>
      </c>
      <c r="H458" t="inlineStr">
        <is>
          <t>EUCLIDES JOAQUIM DE OLIVEIRA</t>
        </is>
      </c>
      <c r="I458" t="inlineStr">
        <is>
          <t>03.661.185/0001-73</t>
        </is>
      </c>
      <c r="J458" s="29" t="n">
        <v>2100</v>
      </c>
      <c r="K458" t="inlineStr">
        <is>
          <t>1.556</t>
        </is>
      </c>
      <c r="L458" t="inlineStr">
        <is>
          <t>Não</t>
        </is>
      </c>
      <c r="M458" t="inlineStr">
        <is>
          <t>Compra/outras</t>
        </is>
      </c>
    </row>
    <row r="459">
      <c r="A459" t="inlineStr">
        <is>
          <t>Remessa de mercadoria (categoria 2.01.84)</t>
        </is>
      </c>
      <c r="B459" t="inlineStr">
        <is>
          <t>2.01.84 Remessa de Mercadoria</t>
        </is>
      </c>
      <c r="C459" t="inlineStr">
        <is>
          <t>Antes de 2026</t>
        </is>
      </c>
      <c r="D459" t="inlineStr">
        <is>
          <t>Antes de 2026</t>
        </is>
      </c>
      <c r="E459" s="28" t="n">
        <v>45503</v>
      </c>
      <c r="F459" t="inlineStr">
        <is>
          <t>NF-e</t>
        </is>
      </c>
      <c r="G459" t="inlineStr">
        <is>
          <t>000028241</t>
        </is>
      </c>
      <c r="H459" t="inlineStr">
        <is>
          <t>EUCLIDES JOAQUIM DE OLIVEIRA</t>
        </is>
      </c>
      <c r="I459" t="inlineStr">
        <is>
          <t>03.661.185/0001-73</t>
        </is>
      </c>
      <c r="J459" s="29" t="n">
        <v>2520</v>
      </c>
      <c r="K459" t="inlineStr">
        <is>
          <t>1.556</t>
        </is>
      </c>
      <c r="L459" t="inlineStr">
        <is>
          <t>Não</t>
        </is>
      </c>
      <c r="M459" t="inlineStr">
        <is>
          <t>Compra/outras</t>
        </is>
      </c>
    </row>
    <row r="460">
      <c r="A460" t="inlineStr">
        <is>
          <t>Remessa de mercadoria (categoria 2.01.84)</t>
        </is>
      </c>
      <c r="B460" t="inlineStr">
        <is>
          <t>2.01.84 Remessa de Mercadoria</t>
        </is>
      </c>
      <c r="C460" t="inlineStr">
        <is>
          <t>Antes de 2026</t>
        </is>
      </c>
      <c r="D460" t="inlineStr">
        <is>
          <t>Antes de 2026</t>
        </is>
      </c>
      <c r="E460" s="28" t="n">
        <v>45525</v>
      </c>
      <c r="F460" t="inlineStr">
        <is>
          <t>NF-e</t>
        </is>
      </c>
      <c r="G460" t="inlineStr">
        <is>
          <t>000028510</t>
        </is>
      </c>
      <c r="H460" t="inlineStr">
        <is>
          <t>EUCLIDES JOAQUIM DE OLIVEIRA</t>
        </is>
      </c>
      <c r="I460" t="inlineStr">
        <is>
          <t>03.661.185/0001-73</t>
        </is>
      </c>
      <c r="J460" s="29" t="n">
        <v>462</v>
      </c>
      <c r="K460" t="inlineStr">
        <is>
          <t>1.556</t>
        </is>
      </c>
      <c r="L460" t="inlineStr">
        <is>
          <t>Não</t>
        </is>
      </c>
      <c r="M460" t="inlineStr">
        <is>
          <t>Compra/outras</t>
        </is>
      </c>
    </row>
    <row r="461">
      <c r="A461" t="inlineStr">
        <is>
          <t>Remessa de mercadoria (categoria 2.01.84)</t>
        </is>
      </c>
      <c r="B461" t="inlineStr">
        <is>
          <t>2.01.84 Remessa de Mercadoria</t>
        </is>
      </c>
      <c r="C461" t="inlineStr">
        <is>
          <t>Antes de 2026</t>
        </is>
      </c>
      <c r="D461" t="inlineStr">
        <is>
          <t>Antes de 2026</t>
        </is>
      </c>
      <c r="E461" s="28" t="n">
        <v>45525</v>
      </c>
      <c r="F461" t="inlineStr">
        <is>
          <t>NF-e</t>
        </is>
      </c>
      <c r="G461" t="inlineStr">
        <is>
          <t>000028516</t>
        </is>
      </c>
      <c r="H461" t="inlineStr">
        <is>
          <t>EUCLIDES JOAQUIM DE OLIVEIRA</t>
        </is>
      </c>
      <c r="I461" t="inlineStr">
        <is>
          <t>03.661.185/0001-73</t>
        </is>
      </c>
      <c r="J461" s="29" t="n">
        <v>588</v>
      </c>
      <c r="K461" t="inlineStr">
        <is>
          <t>1.556</t>
        </is>
      </c>
      <c r="L461" t="inlineStr">
        <is>
          <t>Não</t>
        </is>
      </c>
      <c r="M461" t="inlineStr">
        <is>
          <t>Compra/outras</t>
        </is>
      </c>
    </row>
    <row r="462">
      <c r="A462" t="inlineStr">
        <is>
          <t>Remessa de mercadoria (categoria 2.01.84)</t>
        </is>
      </c>
      <c r="B462" t="inlineStr">
        <is>
          <t>2.01.84 Remessa de Mercadoria</t>
        </is>
      </c>
      <c r="C462" t="inlineStr">
        <is>
          <t>Antes de 2026</t>
        </is>
      </c>
      <c r="D462" t="inlineStr">
        <is>
          <t>Antes de 2026</t>
        </is>
      </c>
      <c r="E462" s="28" t="n">
        <v>45527</v>
      </c>
      <c r="F462" t="inlineStr">
        <is>
          <t>NF-e</t>
        </is>
      </c>
      <c r="G462" t="inlineStr">
        <is>
          <t>000028560</t>
        </is>
      </c>
      <c r="H462" t="inlineStr">
        <is>
          <t>EUCLIDES JOAQUIM DE OLIVEIRA</t>
        </is>
      </c>
      <c r="I462" t="inlineStr">
        <is>
          <t>03.661.185/0001-73</t>
        </is>
      </c>
      <c r="J462" s="29" t="n">
        <v>3570</v>
      </c>
      <c r="K462" t="inlineStr">
        <is>
          <t>1.556</t>
        </is>
      </c>
      <c r="L462" t="inlineStr">
        <is>
          <t>Não</t>
        </is>
      </c>
      <c r="M462" t="inlineStr">
        <is>
          <t>Compra/outras</t>
        </is>
      </c>
    </row>
    <row r="463">
      <c r="A463" t="inlineStr">
        <is>
          <t>Remessa de mercadoria (categoria 2.01.84)</t>
        </is>
      </c>
      <c r="B463" t="inlineStr">
        <is>
          <t>2.01.84 Remessa de Mercadoria</t>
        </is>
      </c>
      <c r="C463" t="inlineStr">
        <is>
          <t>Antes de 2026</t>
        </is>
      </c>
      <c r="D463" t="inlineStr">
        <is>
          <t>Antes de 2026</t>
        </is>
      </c>
      <c r="E463" s="28" t="n">
        <v>45534</v>
      </c>
      <c r="F463" t="inlineStr">
        <is>
          <t>NF-e</t>
        </is>
      </c>
      <c r="G463" t="inlineStr">
        <is>
          <t>000028658</t>
        </is>
      </c>
      <c r="H463" t="inlineStr">
        <is>
          <t>EUCLIDES JOAQUIM DE OLIVEIRA</t>
        </is>
      </c>
      <c r="I463" t="inlineStr">
        <is>
          <t>03.661.185/0001-73</t>
        </is>
      </c>
      <c r="J463" s="29" t="n">
        <v>4200</v>
      </c>
      <c r="K463" t="inlineStr">
        <is>
          <t>1.556</t>
        </is>
      </c>
      <c r="L463" t="inlineStr">
        <is>
          <t>Não</t>
        </is>
      </c>
      <c r="M463" t="inlineStr">
        <is>
          <t>Compra/outras</t>
        </is>
      </c>
    </row>
    <row r="464">
      <c r="A464" t="inlineStr">
        <is>
          <t>Remessa de mercadoria (categoria 2.01.84)</t>
        </is>
      </c>
      <c r="B464" t="inlineStr">
        <is>
          <t>2.01.84 Remessa de Mercadoria</t>
        </is>
      </c>
      <c r="C464" t="inlineStr">
        <is>
          <t>Antes de 2026</t>
        </is>
      </c>
      <c r="D464" t="inlineStr">
        <is>
          <t>Antes de 2026</t>
        </is>
      </c>
      <c r="E464" s="28" t="n">
        <v>45636</v>
      </c>
      <c r="F464" t="inlineStr">
        <is>
          <t>NF-e</t>
        </is>
      </c>
      <c r="G464" t="inlineStr">
        <is>
          <t>000030163</t>
        </is>
      </c>
      <c r="H464" t="inlineStr">
        <is>
          <t>EUCLIDES JOAQUIM DE OLIVEIRA</t>
        </is>
      </c>
      <c r="I464" t="inlineStr">
        <is>
          <t>03.661.185/0001-73</t>
        </is>
      </c>
      <c r="J464" s="29" t="n">
        <v>14307.2</v>
      </c>
      <c r="K464" t="inlineStr">
        <is>
          <t>1.556</t>
        </is>
      </c>
      <c r="L464" t="inlineStr">
        <is>
          <t>Não</t>
        </is>
      </c>
      <c r="M464" t="inlineStr">
        <is>
          <t>Compra/outras</t>
        </is>
      </c>
    </row>
    <row r="465">
      <c r="A465" t="inlineStr">
        <is>
          <t>Remessa de mercadoria (categoria 2.01.84)</t>
        </is>
      </c>
      <c r="B465" t="inlineStr">
        <is>
          <t>2.01.84 Remessa de Mercadoria</t>
        </is>
      </c>
      <c r="C465" t="inlineStr">
        <is>
          <t>Antes de 2026</t>
        </is>
      </c>
      <c r="D465" t="inlineStr">
        <is>
          <t>Antes de 2026</t>
        </is>
      </c>
      <c r="E465" s="28" t="n">
        <v>45645</v>
      </c>
      <c r="F465" t="inlineStr">
        <is>
          <t>NF-e</t>
        </is>
      </c>
      <c r="G465" t="inlineStr">
        <is>
          <t>000030301</t>
        </is>
      </c>
      <c r="H465" t="inlineStr">
        <is>
          <t>EUCLIDES JOAQUIM DE OLIVEIRA</t>
        </is>
      </c>
      <c r="I465" t="inlineStr">
        <is>
          <t>03.661.185/0001-73</t>
        </is>
      </c>
      <c r="J465" s="29" t="n">
        <v>2304</v>
      </c>
      <c r="K465" t="inlineStr">
        <is>
          <t>1.556</t>
        </is>
      </c>
      <c r="L465" t="inlineStr">
        <is>
          <t>Não</t>
        </is>
      </c>
      <c r="M465" t="inlineStr">
        <is>
          <t>Compra/outras</t>
        </is>
      </c>
    </row>
    <row r="466">
      <c r="A466" t="inlineStr">
        <is>
          <t>Remessa de mercadoria (categoria 2.01.84)</t>
        </is>
      </c>
      <c r="B466" t="inlineStr">
        <is>
          <t>2.01.84 Remessa de Mercadoria</t>
        </is>
      </c>
      <c r="C466" t="inlineStr">
        <is>
          <t>Antes de 2026</t>
        </is>
      </c>
      <c r="D466" t="inlineStr">
        <is>
          <t>Antes de 2026</t>
        </is>
      </c>
      <c r="E466" s="28" t="n">
        <v>45649</v>
      </c>
      <c r="F466" t="inlineStr">
        <is>
          <t>NF-e</t>
        </is>
      </c>
      <c r="G466" t="inlineStr">
        <is>
          <t>000030376</t>
        </is>
      </c>
      <c r="H466" t="inlineStr">
        <is>
          <t>EUCLIDES JOAQUIM DE OLIVEIRA</t>
        </is>
      </c>
      <c r="I466" t="inlineStr">
        <is>
          <t>03.661.185/0001-73</t>
        </is>
      </c>
      <c r="J466" s="29" t="n">
        <v>1604.8</v>
      </c>
      <c r="K466" t="inlineStr">
        <is>
          <t>1.556</t>
        </is>
      </c>
      <c r="L466" t="inlineStr">
        <is>
          <t>Não</t>
        </is>
      </c>
      <c r="M466" t="inlineStr">
        <is>
          <t>Compra/outras</t>
        </is>
      </c>
    </row>
    <row r="467">
      <c r="A467" t="inlineStr">
        <is>
          <t>Remessa de mercadoria (categoria 2.01.84)</t>
        </is>
      </c>
      <c r="B467" t="inlineStr">
        <is>
          <t>2.01.84 Remessa de Mercadoria</t>
        </is>
      </c>
      <c r="C467" t="inlineStr">
        <is>
          <t>Antes de 2026</t>
        </is>
      </c>
      <c r="D467" t="inlineStr">
        <is>
          <t>Antes de 2026</t>
        </is>
      </c>
      <c r="E467" s="28" t="n">
        <v>45649</v>
      </c>
      <c r="F467" t="inlineStr">
        <is>
          <t>NF-e</t>
        </is>
      </c>
      <c r="G467" t="inlineStr">
        <is>
          <t>000030382</t>
        </is>
      </c>
      <c r="H467" t="inlineStr">
        <is>
          <t>EUCLIDES JOAQUIM DE OLIVEIRA</t>
        </is>
      </c>
      <c r="I467" t="inlineStr">
        <is>
          <t>03.661.185/0001-73</t>
        </is>
      </c>
      <c r="J467" s="29" t="n">
        <v>1152</v>
      </c>
      <c r="K467" t="inlineStr">
        <is>
          <t>1.556</t>
        </is>
      </c>
      <c r="L467" t="inlineStr">
        <is>
          <t>Não</t>
        </is>
      </c>
      <c r="M467" t="inlineStr">
        <is>
          <t>Compra/outras</t>
        </is>
      </c>
    </row>
    <row r="468">
      <c r="A468" t="inlineStr">
        <is>
          <t>Remessa de mercadoria (categoria 2.01.84)</t>
        </is>
      </c>
      <c r="B468" t="inlineStr">
        <is>
          <t>2.01.84 Remessa de Mercadoria</t>
        </is>
      </c>
      <c r="C468" t="inlineStr">
        <is>
          <t>Antes de 2026</t>
        </is>
      </c>
      <c r="D468" t="inlineStr">
        <is>
          <t>Antes de 2026</t>
        </is>
      </c>
      <c r="E468" s="28" t="n">
        <v>45299</v>
      </c>
      <c r="F468" t="inlineStr">
        <is>
          <t>NF-e</t>
        </is>
      </c>
      <c r="G468" t="inlineStr">
        <is>
          <t>000135256</t>
        </is>
      </c>
      <c r="H468" t="inlineStr">
        <is>
          <t>EUROSTAR PRODUTOS GRAFICOS E COMUNICACAO VISUAL LTDA.</t>
        </is>
      </c>
      <c r="I468" t="inlineStr">
        <is>
          <t>13.761.290/0001-38</t>
        </is>
      </c>
      <c r="J468" s="29" t="n">
        <v>17</v>
      </c>
      <c r="K468" t="inlineStr">
        <is>
          <t>1.556</t>
        </is>
      </c>
      <c r="L468" t="inlineStr">
        <is>
          <t>Não</t>
        </is>
      </c>
      <c r="M468" t="inlineStr">
        <is>
          <t>Compra/outras</t>
        </is>
      </c>
    </row>
    <row r="469">
      <c r="A469" t="inlineStr">
        <is>
          <t>Remessa de mercadoria (categoria 2.01.84)</t>
        </is>
      </c>
      <c r="B469" t="inlineStr">
        <is>
          <t>2.01.84 Remessa de Mercadoria</t>
        </is>
      </c>
      <c r="C469" t="inlineStr">
        <is>
          <t>Antes de 2026</t>
        </is>
      </c>
      <c r="D469" t="inlineStr">
        <is>
          <t>Antes de 2026</t>
        </is>
      </c>
      <c r="E469" s="28" t="n">
        <v>45303</v>
      </c>
      <c r="F469" t="inlineStr">
        <is>
          <t>NF-e</t>
        </is>
      </c>
      <c r="G469" t="inlineStr">
        <is>
          <t>000081033</t>
        </is>
      </c>
      <c r="H469" t="inlineStr">
        <is>
          <t>FERGE COMERCIO DE PRODUTOS INDUSTRIAIS LTDA</t>
        </is>
      </c>
      <c r="I469" t="inlineStr">
        <is>
          <t>09.057.961/0001-07</t>
        </is>
      </c>
      <c r="J469" s="29" t="n">
        <v>615</v>
      </c>
      <c r="K469" t="inlineStr">
        <is>
          <t>1.556</t>
        </is>
      </c>
      <c r="L469" t="inlineStr">
        <is>
          <t>Não</t>
        </is>
      </c>
      <c r="M469" t="inlineStr">
        <is>
          <t>Compra/outras</t>
        </is>
      </c>
    </row>
    <row r="470">
      <c r="A470" t="inlineStr">
        <is>
          <t>Remessa de mercadoria (categoria 2.01.84)</t>
        </is>
      </c>
      <c r="B470" t="inlineStr">
        <is>
          <t>2.01.84 Remessa de Mercadoria</t>
        </is>
      </c>
      <c r="C470" t="inlineStr">
        <is>
          <t>Antes de 2026</t>
        </is>
      </c>
      <c r="D470" t="inlineStr">
        <is>
          <t>Antes de 2026</t>
        </is>
      </c>
      <c r="E470" s="28" t="n">
        <v>45337</v>
      </c>
      <c r="F470" t="inlineStr">
        <is>
          <t>NF-e</t>
        </is>
      </c>
      <c r="G470" t="inlineStr">
        <is>
          <t>000081856</t>
        </is>
      </c>
      <c r="H470" t="inlineStr">
        <is>
          <t>FERGE COMERCIO DE PRODUTOS INDUSTRIAIS LTDA</t>
        </is>
      </c>
      <c r="I470" t="inlineStr">
        <is>
          <t>09.057.961/0001-07</t>
        </is>
      </c>
      <c r="J470" s="29" t="n">
        <v>184</v>
      </c>
      <c r="K470" t="inlineStr">
        <is>
          <t>1.556</t>
        </is>
      </c>
      <c r="L470" t="inlineStr">
        <is>
          <t>Não</t>
        </is>
      </c>
      <c r="M470" t="inlineStr">
        <is>
          <t>Compra/outras</t>
        </is>
      </c>
    </row>
    <row r="471">
      <c r="A471" t="inlineStr">
        <is>
          <t>Remessa de mercadoria (categoria 2.01.84)</t>
        </is>
      </c>
      <c r="B471" t="inlineStr">
        <is>
          <t>2.01.84 Remessa de Mercadoria</t>
        </is>
      </c>
      <c r="C471" t="inlineStr">
        <is>
          <t>Antes de 2026</t>
        </is>
      </c>
      <c r="D471" t="inlineStr">
        <is>
          <t>Antes de 2026</t>
        </is>
      </c>
      <c r="E471" s="28" t="n">
        <v>45365</v>
      </c>
      <c r="F471" t="inlineStr">
        <is>
          <t>NF-e</t>
        </is>
      </c>
      <c r="G471" t="inlineStr">
        <is>
          <t>000082649</t>
        </is>
      </c>
      <c r="H471" t="inlineStr">
        <is>
          <t>FERGE COMERCIO DE PRODUTOS INDUSTRIAIS LTDA</t>
        </is>
      </c>
      <c r="I471" t="inlineStr">
        <is>
          <t>09.057.961/0001-07</t>
        </is>
      </c>
      <c r="J471" s="29" t="n">
        <v>191</v>
      </c>
      <c r="K471" t="inlineStr">
        <is>
          <t>1.556</t>
        </is>
      </c>
      <c r="L471" t="inlineStr">
        <is>
          <t>Não</t>
        </is>
      </c>
      <c r="M471" t="inlineStr">
        <is>
          <t>Compra/outras</t>
        </is>
      </c>
    </row>
    <row r="472">
      <c r="A472" t="inlineStr">
        <is>
          <t>Remessa de mercadoria (categoria 2.01.84)</t>
        </is>
      </c>
      <c r="B472" t="inlineStr">
        <is>
          <t>2.01.84 Remessa de Mercadoria</t>
        </is>
      </c>
      <c r="C472" t="inlineStr">
        <is>
          <t>Antes de 2026</t>
        </is>
      </c>
      <c r="D472" t="inlineStr">
        <is>
          <t>Antes de 2026</t>
        </is>
      </c>
      <c r="E472" s="28" t="n">
        <v>45504</v>
      </c>
      <c r="F472" t="inlineStr">
        <is>
          <t>NF-e</t>
        </is>
      </c>
      <c r="G472" t="inlineStr">
        <is>
          <t>000086409</t>
        </is>
      </c>
      <c r="H472" t="inlineStr">
        <is>
          <t>FERGE COMERCIO DE PRODUTOS INDUSTRIAIS LTDA</t>
        </is>
      </c>
      <c r="I472" t="inlineStr">
        <is>
          <t>09.057.961/0001-07</t>
        </is>
      </c>
      <c r="J472" s="29" t="n">
        <v>102</v>
      </c>
      <c r="K472" t="inlineStr">
        <is>
          <t>1.556</t>
        </is>
      </c>
      <c r="L472" t="inlineStr">
        <is>
          <t>Não</t>
        </is>
      </c>
      <c r="M472" t="inlineStr">
        <is>
          <t>Compra/outras</t>
        </is>
      </c>
    </row>
    <row r="473">
      <c r="A473" t="inlineStr">
        <is>
          <t>Remessa de mercadoria (categoria 2.01.84)</t>
        </is>
      </c>
      <c r="B473" t="inlineStr">
        <is>
          <t>2.01.84 Remessa de Mercadoria</t>
        </is>
      </c>
      <c r="C473" t="inlineStr">
        <is>
          <t>Antes de 2026</t>
        </is>
      </c>
      <c r="D473" t="inlineStr">
        <is>
          <t>Antes de 2026</t>
        </is>
      </c>
      <c r="E473" s="28" t="n">
        <v>45506</v>
      </c>
      <c r="F473" t="inlineStr">
        <is>
          <t>NF-e</t>
        </is>
      </c>
      <c r="G473" t="inlineStr">
        <is>
          <t>000086480</t>
        </is>
      </c>
      <c r="H473" t="inlineStr">
        <is>
          <t>FERGE COMERCIO DE PRODUTOS INDUSTRIAIS LTDA</t>
        </is>
      </c>
      <c r="I473" t="inlineStr">
        <is>
          <t>09.057.961/0001-07</t>
        </is>
      </c>
      <c r="J473" s="29" t="n">
        <v>377</v>
      </c>
      <c r="K473" t="inlineStr">
        <is>
          <t>1.556</t>
        </is>
      </c>
      <c r="L473" t="inlineStr">
        <is>
          <t>Não</t>
        </is>
      </c>
      <c r="M473" t="inlineStr">
        <is>
          <t>Compra/outras</t>
        </is>
      </c>
    </row>
    <row r="474">
      <c r="A474" t="inlineStr">
        <is>
          <t>Remessa de mercadoria (categoria 2.01.84)</t>
        </is>
      </c>
      <c r="B474" t="inlineStr">
        <is>
          <t>2.01.84 Remessa de Mercadoria</t>
        </is>
      </c>
      <c r="C474" t="inlineStr">
        <is>
          <t>Antes de 2026</t>
        </is>
      </c>
      <c r="D474" t="inlineStr">
        <is>
          <t>Antes de 2026</t>
        </is>
      </c>
      <c r="E474" s="28" t="n">
        <v>45357</v>
      </c>
      <c r="F474" t="inlineStr">
        <is>
          <t>NF-e</t>
        </is>
      </c>
      <c r="G474" t="inlineStr">
        <is>
          <t>000941505</t>
        </is>
      </c>
      <c r="H474" t="inlineStr">
        <is>
          <t>FORTALI DISTRIBUIDORA DE ALIMENTOS LTDA.</t>
        </is>
      </c>
      <c r="I474" t="inlineStr">
        <is>
          <t>09.317.318/0001-75</t>
        </is>
      </c>
      <c r="J474" s="29" t="n">
        <v>395.01</v>
      </c>
      <c r="K474" t="inlineStr">
        <is>
          <t>1.556</t>
        </is>
      </c>
      <c r="L474" t="inlineStr">
        <is>
          <t>Não</t>
        </is>
      </c>
      <c r="M474" t="inlineStr">
        <is>
          <t>Compra/outras</t>
        </is>
      </c>
    </row>
    <row r="475">
      <c r="A475" t="inlineStr">
        <is>
          <t>Remessa de mercadoria (categoria 2.01.84)</t>
        </is>
      </c>
      <c r="B475" t="inlineStr">
        <is>
          <t>2.01.84 Remessa de Mercadoria</t>
        </is>
      </c>
      <c r="C475" t="inlineStr">
        <is>
          <t>Antes de 2026</t>
        </is>
      </c>
      <c r="D475" t="inlineStr">
        <is>
          <t>Antes de 2026</t>
        </is>
      </c>
      <c r="E475" s="28" t="n">
        <v>45677</v>
      </c>
      <c r="F475" t="inlineStr">
        <is>
          <t>NF-e</t>
        </is>
      </c>
      <c r="G475" t="inlineStr">
        <is>
          <t>001015866</t>
        </is>
      </c>
      <c r="H475" t="inlineStr">
        <is>
          <t>FORTALI DISTRIBUIDORA DE ALIMENTOS LTDA.</t>
        </is>
      </c>
      <c r="I475" t="inlineStr">
        <is>
          <t>09.317.318/0001-75</t>
        </is>
      </c>
      <c r="J475" s="29" t="n">
        <v>125</v>
      </c>
      <c r="K475" t="inlineStr">
        <is>
          <t>1.556</t>
        </is>
      </c>
      <c r="L475" t="inlineStr">
        <is>
          <t>Não</t>
        </is>
      </c>
      <c r="M475" t="inlineStr">
        <is>
          <t>Compra/outras</t>
        </is>
      </c>
    </row>
    <row r="476">
      <c r="A476" t="inlineStr">
        <is>
          <t>Remessa de mercadoria (categoria 2.01.84)</t>
        </is>
      </c>
      <c r="B476" t="inlineStr">
        <is>
          <t>2.01.84 Remessa de Mercadoria</t>
        </is>
      </c>
      <c r="C476" t="inlineStr">
        <is>
          <t>Antes de 2026</t>
        </is>
      </c>
      <c r="D476" t="inlineStr">
        <is>
          <t>Antes de 2026</t>
        </is>
      </c>
      <c r="E476" s="28" t="n">
        <v>45300</v>
      </c>
      <c r="F476" t="inlineStr">
        <is>
          <t>NF-e</t>
        </is>
      </c>
      <c r="G476" t="inlineStr">
        <is>
          <t>000560243</t>
        </is>
      </c>
      <c r="H476" t="inlineStr">
        <is>
          <t>FRIGELAR COMERCIO E INDUSTRIA LTDA</t>
        </is>
      </c>
      <c r="I476" t="inlineStr">
        <is>
          <t>92.660.406/0009-76</t>
        </is>
      </c>
      <c r="J476" s="29" t="n">
        <v>43.8</v>
      </c>
      <c r="K476" t="inlineStr">
        <is>
          <t>1.556</t>
        </is>
      </c>
      <c r="L476" t="inlineStr">
        <is>
          <t>Não</t>
        </is>
      </c>
      <c r="M476" t="inlineStr">
        <is>
          <t>Compra/outras</t>
        </is>
      </c>
    </row>
    <row r="477">
      <c r="A477" t="inlineStr">
        <is>
          <t>Remessa de mercadoria (categoria 2.01.84)</t>
        </is>
      </c>
      <c r="B477" t="inlineStr">
        <is>
          <t>2.01.84 Remessa de Mercadoria</t>
        </is>
      </c>
      <c r="C477" t="inlineStr">
        <is>
          <t>Antes de 2026</t>
        </is>
      </c>
      <c r="D477" t="inlineStr">
        <is>
          <t>Antes de 2026</t>
        </is>
      </c>
      <c r="E477" s="28" t="n">
        <v>45520</v>
      </c>
      <c r="F477" t="inlineStr">
        <is>
          <t>NF-e</t>
        </is>
      </c>
      <c r="G477" t="inlineStr">
        <is>
          <t>000002875</t>
        </is>
      </c>
      <c r="H477" t="inlineStr">
        <is>
          <t>GDM INDUSTRIA E COMERCIO DE PLASTICOS LTDA.</t>
        </is>
      </c>
      <c r="I477" t="inlineStr">
        <is>
          <t>07.955.100/0004-63</t>
        </is>
      </c>
      <c r="J477" s="29" t="n">
        <v>5457.04</v>
      </c>
      <c r="K477" t="inlineStr">
        <is>
          <t>1.556</t>
        </is>
      </c>
      <c r="L477" t="inlineStr">
        <is>
          <t>Não</t>
        </is>
      </c>
      <c r="M477" t="inlineStr">
        <is>
          <t>Compra/outras</t>
        </is>
      </c>
    </row>
    <row r="478">
      <c r="A478" t="inlineStr">
        <is>
          <t>Remessa de mercadoria (categoria 2.01.84)</t>
        </is>
      </c>
      <c r="B478" t="inlineStr">
        <is>
          <t>2.01.84 Remessa de Mercadoria</t>
        </is>
      </c>
      <c r="C478" t="inlineStr">
        <is>
          <t>Antes de 2026</t>
        </is>
      </c>
      <c r="D478" t="inlineStr">
        <is>
          <t>Antes de 2026</t>
        </is>
      </c>
      <c r="E478" s="28" t="n">
        <v>45308</v>
      </c>
      <c r="F478" t="inlineStr">
        <is>
          <t>NF-e</t>
        </is>
      </c>
      <c r="G478" t="inlineStr">
        <is>
          <t>000004476</t>
        </is>
      </c>
      <c r="H478" t="inlineStr">
        <is>
          <t>GF COMERCIO DE PRODUTOS INDUSTRIAIS LTDA</t>
        </is>
      </c>
      <c r="I478" t="inlineStr">
        <is>
          <t>35.721.163/0001-48</t>
        </is>
      </c>
      <c r="J478" s="29" t="n">
        <v>292</v>
      </c>
      <c r="K478" t="inlineStr">
        <is>
          <t>1.556</t>
        </is>
      </c>
      <c r="L478" t="inlineStr">
        <is>
          <t>Não</t>
        </is>
      </c>
      <c r="M478" t="inlineStr">
        <is>
          <t>Compra/outras</t>
        </is>
      </c>
    </row>
    <row r="479">
      <c r="A479" t="inlineStr">
        <is>
          <t>Remessa de mercadoria (categoria 2.01.84)</t>
        </is>
      </c>
      <c r="B479" t="inlineStr">
        <is>
          <t>2.01.84 Remessa de Mercadoria</t>
        </is>
      </c>
      <c r="C479" t="inlineStr">
        <is>
          <t>Antes de 2026</t>
        </is>
      </c>
      <c r="D479" t="inlineStr">
        <is>
          <t>Antes de 2026</t>
        </is>
      </c>
      <c r="E479" s="28" t="n">
        <v>45308</v>
      </c>
      <c r="F479" t="inlineStr">
        <is>
          <t>NF-e</t>
        </is>
      </c>
      <c r="G479" t="inlineStr">
        <is>
          <t>000004485</t>
        </is>
      </c>
      <c r="H479" t="inlineStr">
        <is>
          <t>GF COMERCIO DE PRODUTOS INDUSTRIAIS LTDA</t>
        </is>
      </c>
      <c r="I479" t="inlineStr">
        <is>
          <t>35.721.163/0001-48</t>
        </is>
      </c>
      <c r="J479" s="29" t="n">
        <v>185.6</v>
      </c>
      <c r="K479" t="inlineStr">
        <is>
          <t>1.556</t>
        </is>
      </c>
      <c r="L479" t="inlineStr">
        <is>
          <t>Não</t>
        </is>
      </c>
      <c r="M479" t="inlineStr">
        <is>
          <t>Compra/outras</t>
        </is>
      </c>
    </row>
    <row r="480">
      <c r="A480" t="inlineStr">
        <is>
          <t>Remessa de mercadoria (categoria 2.01.84)</t>
        </is>
      </c>
      <c r="B480" t="inlineStr">
        <is>
          <t>2.01.84 Remessa de Mercadoria</t>
        </is>
      </c>
      <c r="C480" t="inlineStr">
        <is>
          <t>Antes de 2026</t>
        </is>
      </c>
      <c r="D480" t="inlineStr">
        <is>
          <t>Antes de 2026</t>
        </is>
      </c>
      <c r="E480" s="28" t="n">
        <v>45328</v>
      </c>
      <c r="F480" t="inlineStr">
        <is>
          <t>NF-e</t>
        </is>
      </c>
      <c r="G480" t="inlineStr">
        <is>
          <t>000004653</t>
        </is>
      </c>
      <c r="H480" t="inlineStr">
        <is>
          <t>GF COMERCIO DE PRODUTOS INDUSTRIAIS LTDA</t>
        </is>
      </c>
      <c r="I480" t="inlineStr">
        <is>
          <t>35.721.163/0001-48</t>
        </is>
      </c>
      <c r="J480" s="29" t="n">
        <v>149.6</v>
      </c>
      <c r="K480" t="inlineStr">
        <is>
          <t>1.556</t>
        </is>
      </c>
      <c r="L480" t="inlineStr">
        <is>
          <t>Não</t>
        </is>
      </c>
      <c r="M480" t="inlineStr">
        <is>
          <t>Compra/outras</t>
        </is>
      </c>
    </row>
    <row r="481">
      <c r="A481" t="inlineStr">
        <is>
          <t>Remessa de mercadoria (categoria 2.01.84)</t>
        </is>
      </c>
      <c r="B481" t="inlineStr">
        <is>
          <t>2.01.84 Remessa de Mercadoria</t>
        </is>
      </c>
      <c r="C481" t="inlineStr">
        <is>
          <t>Antes de 2026</t>
        </is>
      </c>
      <c r="D481" t="inlineStr">
        <is>
          <t>Antes de 2026</t>
        </is>
      </c>
      <c r="E481" s="28" t="n">
        <v>45567</v>
      </c>
      <c r="F481" t="inlineStr">
        <is>
          <t>NF-e</t>
        </is>
      </c>
      <c r="G481" t="inlineStr">
        <is>
          <t>001010450</t>
        </is>
      </c>
      <c r="H481" t="inlineStr">
        <is>
          <t>GIRAFA COMERCIO ELETRONICO LTDA</t>
        </is>
      </c>
      <c r="I481" t="inlineStr">
        <is>
          <t>09.055.134/0005-08</t>
        </is>
      </c>
      <c r="J481" s="29" t="n">
        <v>468.35</v>
      </c>
      <c r="K481" t="inlineStr">
        <is>
          <t>1.556</t>
        </is>
      </c>
      <c r="L481" t="inlineStr">
        <is>
          <t>Não</t>
        </is>
      </c>
      <c r="M481" t="inlineStr">
        <is>
          <t>Compra/outras</t>
        </is>
      </c>
    </row>
    <row r="482">
      <c r="A482" t="inlineStr">
        <is>
          <t>Remessa de mercadoria (categoria 2.01.84)</t>
        </is>
      </c>
      <c r="B482" t="inlineStr">
        <is>
          <t>2.01.84 Remessa de Mercadoria</t>
        </is>
      </c>
      <c r="C482" t="inlineStr">
        <is>
          <t>Antes de 2026</t>
        </is>
      </c>
      <c r="D482" t="inlineStr">
        <is>
          <t>Antes de 2026</t>
        </is>
      </c>
      <c r="E482" s="28" t="n">
        <v>45296</v>
      </c>
      <c r="F482" t="inlineStr">
        <is>
          <t>NF-e</t>
        </is>
      </c>
      <c r="G482" t="inlineStr">
        <is>
          <t>000177821</t>
        </is>
      </c>
      <c r="H482" t="inlineStr">
        <is>
          <t>GM COMERCIO DE PRODUTOS DE HIGIENIZACAO PROFISSIONAL LTDA</t>
        </is>
      </c>
      <c r="I482" t="inlineStr">
        <is>
          <t>11.287.886/0001-12</t>
        </is>
      </c>
      <c r="J482" s="29" t="n">
        <v>819.48</v>
      </c>
      <c r="K482" t="inlineStr">
        <is>
          <t>1.556</t>
        </is>
      </c>
      <c r="L482" t="inlineStr">
        <is>
          <t>Não</t>
        </is>
      </c>
      <c r="M482" t="inlineStr">
        <is>
          <t>Compra/outras</t>
        </is>
      </c>
    </row>
    <row r="483">
      <c r="A483" t="inlineStr">
        <is>
          <t>Remessa de mercadoria (categoria 2.01.84)</t>
        </is>
      </c>
      <c r="B483" t="inlineStr">
        <is>
          <t>2.01.84 Remessa de Mercadoria</t>
        </is>
      </c>
      <c r="C483" t="inlineStr">
        <is>
          <t>Antes de 2026</t>
        </is>
      </c>
      <c r="D483" t="inlineStr">
        <is>
          <t>Antes de 2026</t>
        </is>
      </c>
      <c r="E483" s="28" t="n">
        <v>45369</v>
      </c>
      <c r="F483" t="inlineStr">
        <is>
          <t>NF-e</t>
        </is>
      </c>
      <c r="G483" t="inlineStr">
        <is>
          <t>000180808</t>
        </is>
      </c>
      <c r="H483" t="inlineStr">
        <is>
          <t>GM COMERCIO DE PRODUTOS DE HIGIENIZACAO PROFISSIONAL LTDA</t>
        </is>
      </c>
      <c r="I483" t="inlineStr">
        <is>
          <t>11.287.886/0001-12</t>
        </is>
      </c>
      <c r="J483" s="29" t="n">
        <v>577.2</v>
      </c>
      <c r="K483" t="inlineStr">
        <is>
          <t>1.556</t>
        </is>
      </c>
      <c r="L483" t="inlineStr">
        <is>
          <t>Não</t>
        </is>
      </c>
      <c r="M483" t="inlineStr">
        <is>
          <t>Compra/outras</t>
        </is>
      </c>
    </row>
    <row r="484">
      <c r="A484" t="inlineStr">
        <is>
          <t>Remessa de mercadoria (categoria 2.01.84)</t>
        </is>
      </c>
      <c r="B484" t="inlineStr">
        <is>
          <t>2.01.84 Remessa de Mercadoria</t>
        </is>
      </c>
      <c r="C484" t="inlineStr">
        <is>
          <t>Antes de 2026</t>
        </is>
      </c>
      <c r="D484" t="inlineStr">
        <is>
          <t>Antes de 2026</t>
        </is>
      </c>
      <c r="E484" s="28" t="n">
        <v>45534</v>
      </c>
      <c r="F484" t="inlineStr">
        <is>
          <t>NF-e</t>
        </is>
      </c>
      <c r="G484" t="inlineStr">
        <is>
          <t>000286041</t>
        </is>
      </c>
      <c r="H484" t="inlineStr">
        <is>
          <t>GM COMERCIO DE PRODUTOS DE HIGIENIZACAO PROFISSIONAL LTDA</t>
        </is>
      </c>
      <c r="I484" t="inlineStr">
        <is>
          <t>11.287.886/0001-12</t>
        </is>
      </c>
      <c r="J484" s="29" t="n">
        <v>143.1</v>
      </c>
      <c r="K484" t="inlineStr">
        <is>
          <t>1.556</t>
        </is>
      </c>
      <c r="L484" t="inlineStr">
        <is>
          <t>Não</t>
        </is>
      </c>
      <c r="M484" t="inlineStr">
        <is>
          <t>Compra/outras</t>
        </is>
      </c>
    </row>
    <row r="485">
      <c r="A485" t="inlineStr">
        <is>
          <t>Remessa de mercadoria (categoria 2.01.84)</t>
        </is>
      </c>
      <c r="B485" t="inlineStr">
        <is>
          <t>2.01.84 Remessa de Mercadoria</t>
        </is>
      </c>
      <c r="C485" t="inlineStr">
        <is>
          <t>Antes de 2026</t>
        </is>
      </c>
      <c r="D485" t="inlineStr">
        <is>
          <t>Antes de 2026</t>
        </is>
      </c>
      <c r="E485" s="28" t="n">
        <v>45539</v>
      </c>
      <c r="F485" t="inlineStr">
        <is>
          <t>NF-e</t>
        </is>
      </c>
      <c r="G485" t="inlineStr">
        <is>
          <t>000286236</t>
        </is>
      </c>
      <c r="H485" t="inlineStr">
        <is>
          <t>GM COMERCIO DE PRODUTOS DE HIGIENIZACAO PROFISSIONAL LTDA</t>
        </is>
      </c>
      <c r="I485" t="inlineStr">
        <is>
          <t>11.287.886/0001-12</t>
        </is>
      </c>
      <c r="J485" s="29" t="n">
        <v>1174</v>
      </c>
      <c r="K485" t="inlineStr">
        <is>
          <t>1.556</t>
        </is>
      </c>
      <c r="L485" t="inlineStr">
        <is>
          <t>Não</t>
        </is>
      </c>
      <c r="M485" t="inlineStr">
        <is>
          <t>Compra/outras</t>
        </is>
      </c>
    </row>
    <row r="486">
      <c r="A486" t="inlineStr">
        <is>
          <t>Remessa de mercadoria (categoria 2.01.84)</t>
        </is>
      </c>
      <c r="B486" t="inlineStr">
        <is>
          <t>2.01.84 Remessa de Mercadoria</t>
        </is>
      </c>
      <c r="C486" t="inlineStr">
        <is>
          <t>Antes de 2026</t>
        </is>
      </c>
      <c r="D486" t="inlineStr">
        <is>
          <t>Antes de 2026</t>
        </is>
      </c>
      <c r="E486" s="28" t="n">
        <v>45539</v>
      </c>
      <c r="F486" t="inlineStr">
        <is>
          <t>NF-e</t>
        </is>
      </c>
      <c r="G486" t="inlineStr">
        <is>
          <t>000286255</t>
        </is>
      </c>
      <c r="H486" t="inlineStr">
        <is>
          <t>GM COMERCIO DE PRODUTOS DE HIGIENIZACAO PROFISSIONAL LTDA</t>
        </is>
      </c>
      <c r="I486" t="inlineStr">
        <is>
          <t>11.287.886/0001-12</t>
        </is>
      </c>
      <c r="J486" s="29" t="n">
        <v>4630.73</v>
      </c>
      <c r="K486" t="inlineStr">
        <is>
          <t>1.556</t>
        </is>
      </c>
      <c r="L486" t="inlineStr">
        <is>
          <t>Não</t>
        </is>
      </c>
      <c r="M486" t="inlineStr">
        <is>
          <t>Compra/outras</t>
        </is>
      </c>
    </row>
    <row r="487">
      <c r="A487" t="inlineStr">
        <is>
          <t>Remessa de mercadoria (categoria 2.01.84)</t>
        </is>
      </c>
      <c r="B487" t="inlineStr">
        <is>
          <t>2.01.84 Remessa de Mercadoria</t>
        </is>
      </c>
      <c r="C487" t="inlineStr">
        <is>
          <t>Antes de 2026</t>
        </is>
      </c>
      <c r="D487" t="inlineStr">
        <is>
          <t>Antes de 2026</t>
        </is>
      </c>
      <c r="E487" s="28" t="n">
        <v>45540</v>
      </c>
      <c r="F487" t="inlineStr">
        <is>
          <t>NF-e</t>
        </is>
      </c>
      <c r="G487" t="inlineStr">
        <is>
          <t>000286336</t>
        </is>
      </c>
      <c r="H487" t="inlineStr">
        <is>
          <t>GM COMERCIO DE PRODUTOS DE HIGIENIZACAO PROFISSIONAL LTDA</t>
        </is>
      </c>
      <c r="I487" t="inlineStr">
        <is>
          <t>11.287.886/0001-12</t>
        </is>
      </c>
      <c r="J487" s="29" t="n">
        <v>2002</v>
      </c>
      <c r="K487" t="inlineStr">
        <is>
          <t>1.556</t>
        </is>
      </c>
      <c r="L487" t="inlineStr">
        <is>
          <t>Não</t>
        </is>
      </c>
      <c r="M487" t="inlineStr">
        <is>
          <t>Compra/outras</t>
        </is>
      </c>
    </row>
    <row r="488">
      <c r="A488" t="inlineStr">
        <is>
          <t>Remessa de mercadoria (categoria 2.01.84)</t>
        </is>
      </c>
      <c r="B488" t="inlineStr">
        <is>
          <t>2.01.84 Remessa de Mercadoria</t>
        </is>
      </c>
      <c r="C488" t="inlineStr">
        <is>
          <t>Antes de 2026</t>
        </is>
      </c>
      <c r="D488" t="inlineStr">
        <is>
          <t>Antes de 2026</t>
        </is>
      </c>
      <c r="E488" s="28" t="n">
        <v>45520</v>
      </c>
      <c r="F488" t="inlineStr">
        <is>
          <t>NF-e</t>
        </is>
      </c>
      <c r="G488" t="inlineStr">
        <is>
          <t>000106214</t>
        </is>
      </c>
      <c r="H488" t="inlineStr">
        <is>
          <t>GRANFER - IMPORTADORA E DISTRIBUIDORA DE FERRAGENS LTDA</t>
        </is>
      </c>
      <c r="I488" t="inlineStr">
        <is>
          <t>11.358.671/0001-45</t>
        </is>
      </c>
      <c r="J488" s="29" t="n">
        <v>179</v>
      </c>
      <c r="K488" t="inlineStr">
        <is>
          <t>1.556</t>
        </is>
      </c>
      <c r="L488" t="inlineStr">
        <is>
          <t>Não</t>
        </is>
      </c>
      <c r="M488" t="inlineStr">
        <is>
          <t>Compra/outras</t>
        </is>
      </c>
    </row>
    <row r="489">
      <c r="A489" t="inlineStr">
        <is>
          <t>Remessa de mercadoria (categoria 2.01.84)</t>
        </is>
      </c>
      <c r="B489" t="inlineStr">
        <is>
          <t>2.01.84 Remessa de Mercadoria</t>
        </is>
      </c>
      <c r="C489" t="inlineStr">
        <is>
          <t>Antes de 2026</t>
        </is>
      </c>
      <c r="D489" t="inlineStr">
        <is>
          <t>Antes de 2026</t>
        </is>
      </c>
      <c r="E489" s="28" t="n">
        <v>45552</v>
      </c>
      <c r="F489" t="inlineStr">
        <is>
          <t>NF-e</t>
        </is>
      </c>
      <c r="G489" t="inlineStr">
        <is>
          <t>000106785</t>
        </is>
      </c>
      <c r="H489" t="inlineStr">
        <is>
          <t>GRANFER - IMPORTADORA E DISTRIBUIDORA DE FERRAGENS LTDA</t>
        </is>
      </c>
      <c r="I489" t="inlineStr">
        <is>
          <t>11.358.671/0001-45</t>
        </is>
      </c>
      <c r="J489" s="29" t="n">
        <v>2400</v>
      </c>
      <c r="K489" t="inlineStr">
        <is>
          <t>1.556</t>
        </is>
      </c>
      <c r="L489" t="inlineStr">
        <is>
          <t>Não</t>
        </is>
      </c>
      <c r="M489" t="inlineStr">
        <is>
          <t>Compra/outras</t>
        </is>
      </c>
    </row>
    <row r="490">
      <c r="A490" t="inlineStr">
        <is>
          <t>Remessa de mercadoria (categoria 2.01.84)</t>
        </is>
      </c>
      <c r="B490" t="inlineStr">
        <is>
          <t>2.01.84 Remessa de Mercadoria</t>
        </is>
      </c>
      <c r="C490" t="inlineStr">
        <is>
          <t>Antes de 2026</t>
        </is>
      </c>
      <c r="D490" t="inlineStr">
        <is>
          <t>Antes de 2026</t>
        </is>
      </c>
      <c r="E490" s="28" t="n">
        <v>45530</v>
      </c>
      <c r="F490" t="inlineStr">
        <is>
          <t>NF-e</t>
        </is>
      </c>
      <c r="G490" t="inlineStr">
        <is>
          <t>000013290</t>
        </is>
      </c>
      <c r="H490" t="inlineStr">
        <is>
          <t>GRANTUBOS - COMERCIO VAREJISTA DE TUBOS LTDA</t>
        </is>
      </c>
      <c r="I490" t="inlineStr">
        <is>
          <t>23.316.171/0001-20</t>
        </is>
      </c>
      <c r="J490" s="29" t="n">
        <v>1183.45</v>
      </c>
      <c r="K490" t="inlineStr">
        <is>
          <t>1.556</t>
        </is>
      </c>
      <c r="L490" t="inlineStr">
        <is>
          <t>Não</t>
        </is>
      </c>
      <c r="M490" t="inlineStr">
        <is>
          <t>Compra/outras</t>
        </is>
      </c>
    </row>
    <row r="491">
      <c r="A491" t="inlineStr">
        <is>
          <t>Remessa de mercadoria (categoria 2.01.84)</t>
        </is>
      </c>
      <c r="B491" t="inlineStr">
        <is>
          <t>2.01.84 Remessa de Mercadoria</t>
        </is>
      </c>
      <c r="C491" t="inlineStr">
        <is>
          <t>Antes de 2026</t>
        </is>
      </c>
      <c r="D491" t="inlineStr">
        <is>
          <t>Antes de 2026</t>
        </is>
      </c>
      <c r="E491" s="28" t="n">
        <v>45316</v>
      </c>
      <c r="F491" t="inlineStr">
        <is>
          <t>NF-e</t>
        </is>
      </c>
      <c r="G491" t="inlineStr">
        <is>
          <t>000053869</t>
        </is>
      </c>
      <c r="H491" t="inlineStr">
        <is>
          <t>H B COMERCIO DE EMBALAGENS LTDA</t>
        </is>
      </c>
      <c r="I491" t="inlineStr">
        <is>
          <t>05.488.166/0001-12</t>
        </is>
      </c>
      <c r="J491" s="29" t="n">
        <v>19621.1</v>
      </c>
      <c r="K491" t="inlineStr">
        <is>
          <t>1.556</t>
        </is>
      </c>
      <c r="L491" t="inlineStr">
        <is>
          <t>Não</t>
        </is>
      </c>
      <c r="M491" t="inlineStr">
        <is>
          <t>Compra/outras</t>
        </is>
      </c>
    </row>
    <row r="492">
      <c r="A492" t="inlineStr">
        <is>
          <t>Remessa de mercadoria (categoria 2.01.84)</t>
        </is>
      </c>
      <c r="B492" t="inlineStr">
        <is>
          <t>2.01.84 Remessa de Mercadoria</t>
        </is>
      </c>
      <c r="C492" t="inlineStr">
        <is>
          <t>Antes de 2026</t>
        </is>
      </c>
      <c r="D492" t="inlineStr">
        <is>
          <t>Antes de 2026</t>
        </is>
      </c>
      <c r="E492" s="28" t="n">
        <v>45363</v>
      </c>
      <c r="F492" t="inlineStr">
        <is>
          <t>NF-e</t>
        </is>
      </c>
      <c r="G492" t="inlineStr">
        <is>
          <t>000054599</t>
        </is>
      </c>
      <c r="H492" t="inlineStr">
        <is>
          <t>H B COMERCIO DE EMBALAGENS LTDA</t>
        </is>
      </c>
      <c r="I492" t="inlineStr">
        <is>
          <t>05.488.166/0001-12</t>
        </is>
      </c>
      <c r="J492" s="29" t="n">
        <v>1930.5</v>
      </c>
      <c r="K492" t="inlineStr">
        <is>
          <t>1.556</t>
        </is>
      </c>
      <c r="L492" t="inlineStr">
        <is>
          <t>Não</t>
        </is>
      </c>
      <c r="M492" t="inlineStr">
        <is>
          <t>Compra/outras</t>
        </is>
      </c>
    </row>
    <row r="493">
      <c r="A493" t="inlineStr">
        <is>
          <t>Remessa de mercadoria (categoria 2.01.84)</t>
        </is>
      </c>
      <c r="B493" t="inlineStr">
        <is>
          <t>2.01.84 Remessa de Mercadoria</t>
        </is>
      </c>
      <c r="C493" t="inlineStr">
        <is>
          <t>Antes de 2026</t>
        </is>
      </c>
      <c r="D493" t="inlineStr">
        <is>
          <t>Antes de 2026</t>
        </is>
      </c>
      <c r="E493" s="28" t="n">
        <v>45677</v>
      </c>
      <c r="F493" t="inlineStr">
        <is>
          <t>NF-e</t>
        </is>
      </c>
      <c r="G493" t="inlineStr">
        <is>
          <t>000059860</t>
        </is>
      </c>
      <c r="H493" t="inlineStr">
        <is>
          <t>H B COMERCIO DE EMBALAGENS LTDA</t>
        </is>
      </c>
      <c r="I493" t="inlineStr">
        <is>
          <t>05.488.166/0001-12</t>
        </is>
      </c>
      <c r="J493" s="29" t="n">
        <v>515.47</v>
      </c>
      <c r="K493" t="inlineStr">
        <is>
          <t>1.556</t>
        </is>
      </c>
      <c r="L493" t="inlineStr">
        <is>
          <t>Não</t>
        </is>
      </c>
      <c r="M493" t="inlineStr">
        <is>
          <t>Compra/outras</t>
        </is>
      </c>
    </row>
    <row r="494">
      <c r="A494" t="inlineStr">
        <is>
          <t>Remessa de mercadoria (categoria 2.01.84)</t>
        </is>
      </c>
      <c r="B494" t="inlineStr">
        <is>
          <t>2.01.84 Remessa de Mercadoria</t>
        </is>
      </c>
      <c r="C494" t="inlineStr">
        <is>
          <t>Antes de 2026</t>
        </is>
      </c>
      <c r="D494" t="inlineStr">
        <is>
          <t>Antes de 2026</t>
        </is>
      </c>
      <c r="E494" s="28" t="n">
        <v>45609</v>
      </c>
      <c r="F494" t="inlineStr">
        <is>
          <t>NF-e</t>
        </is>
      </c>
      <c r="G494" t="inlineStr">
        <is>
          <t>000000010</t>
        </is>
      </c>
      <c r="H494" t="inlineStr">
        <is>
          <t>HIFI AUDIO LTDA</t>
        </is>
      </c>
      <c r="I494" t="inlineStr">
        <is>
          <t>57.190.884/0001-01</t>
        </is>
      </c>
      <c r="J494" s="29" t="n">
        <v>34920</v>
      </c>
      <c r="K494" t="inlineStr">
        <is>
          <t>1.556</t>
        </is>
      </c>
      <c r="L494" t="inlineStr">
        <is>
          <t>Não</t>
        </is>
      </c>
      <c r="M494" t="inlineStr">
        <is>
          <t>Compra/outras</t>
        </is>
      </c>
    </row>
    <row r="495">
      <c r="A495" t="inlineStr">
        <is>
          <t>Remessa de mercadoria (categoria 2.01.84)</t>
        </is>
      </c>
      <c r="B495" t="inlineStr">
        <is>
          <t>2.01.84 Remessa de Mercadoria</t>
        </is>
      </c>
      <c r="C495" t="inlineStr">
        <is>
          <t>Antes de 2026</t>
        </is>
      </c>
      <c r="D495" t="inlineStr">
        <is>
          <t>Antes de 2026</t>
        </is>
      </c>
      <c r="E495" s="28" t="n">
        <v>45562</v>
      </c>
      <c r="F495" t="inlineStr">
        <is>
          <t>NF-e</t>
        </is>
      </c>
      <c r="G495" t="inlineStr">
        <is>
          <t>000054088</t>
        </is>
      </c>
      <c r="H495" t="inlineStr">
        <is>
          <t>HMPC SOLUCOES EM AUTOMACAO LTDA</t>
        </is>
      </c>
      <c r="I495" t="inlineStr">
        <is>
          <t>11.734.115/0001-26</t>
        </is>
      </c>
      <c r="J495" s="29" t="n">
        <v>852.66</v>
      </c>
      <c r="K495" t="inlineStr">
        <is>
          <t>1.556</t>
        </is>
      </c>
      <c r="L495" t="inlineStr">
        <is>
          <t>Não</t>
        </is>
      </c>
      <c r="M495" t="inlineStr">
        <is>
          <t>Compra/outras</t>
        </is>
      </c>
    </row>
    <row r="496">
      <c r="A496" t="inlineStr">
        <is>
          <t>Remessa de mercadoria (categoria 2.01.84)</t>
        </is>
      </c>
      <c r="B496" t="inlineStr">
        <is>
          <t>2.01.84 Remessa de Mercadoria</t>
        </is>
      </c>
      <c r="C496" t="inlineStr">
        <is>
          <t>Antes de 2026</t>
        </is>
      </c>
      <c r="D496" t="inlineStr">
        <is>
          <t>Antes de 2026</t>
        </is>
      </c>
      <c r="E496" s="28" t="n">
        <v>45533</v>
      </c>
      <c r="F496" t="inlineStr">
        <is>
          <t>NF-e</t>
        </is>
      </c>
      <c r="G496" t="inlineStr">
        <is>
          <t>000000234</t>
        </is>
      </c>
      <c r="H496" t="inlineStr">
        <is>
          <t>ICL CENTRO COMERCIAL DO MARCENEIRO LTDA</t>
        </is>
      </c>
      <c r="I496" t="inlineStr">
        <is>
          <t>45.808.747/0001-09</t>
        </is>
      </c>
      <c r="J496" s="29" t="n">
        <v>1298.91</v>
      </c>
      <c r="K496" t="inlineStr">
        <is>
          <t>1.556</t>
        </is>
      </c>
      <c r="L496" t="inlineStr">
        <is>
          <t>Não</t>
        </is>
      </c>
      <c r="M496" t="inlineStr">
        <is>
          <t>Compra/outras</t>
        </is>
      </c>
    </row>
    <row r="497">
      <c r="A497" t="inlineStr">
        <is>
          <t>Remessa de mercadoria (categoria 2.01.84)</t>
        </is>
      </c>
      <c r="B497" t="inlineStr">
        <is>
          <t>2.01.84 Remessa de Mercadoria</t>
        </is>
      </c>
      <c r="C497" t="inlineStr">
        <is>
          <t>Antes de 2026</t>
        </is>
      </c>
      <c r="D497" t="inlineStr">
        <is>
          <t>Antes de 2026</t>
        </is>
      </c>
      <c r="E497" s="28" t="n">
        <v>45533</v>
      </c>
      <c r="F497" t="inlineStr">
        <is>
          <t>NF-e</t>
        </is>
      </c>
      <c r="G497" t="inlineStr">
        <is>
          <t>000000096</t>
        </is>
      </c>
      <c r="H497" t="inlineStr">
        <is>
          <t>ICL CENTRO COMERCIAL DO MARCENEIRO LTDA</t>
        </is>
      </c>
      <c r="I497" t="inlineStr">
        <is>
          <t>45.808.747/0001-09</t>
        </is>
      </c>
      <c r="J497" s="29" t="n">
        <v>53.11</v>
      </c>
      <c r="K497" t="inlineStr">
        <is>
          <t>1.556</t>
        </is>
      </c>
      <c r="L497" t="inlineStr">
        <is>
          <t>Não</t>
        </is>
      </c>
      <c r="M497" t="inlineStr">
        <is>
          <t>Compra/outras</t>
        </is>
      </c>
    </row>
    <row r="498">
      <c r="A498" t="inlineStr">
        <is>
          <t>Remessa de mercadoria (categoria 2.01.84)</t>
        </is>
      </c>
      <c r="B498" t="inlineStr">
        <is>
          <t>2.01.84 Remessa de Mercadoria</t>
        </is>
      </c>
      <c r="C498" t="inlineStr">
        <is>
          <t>Antes de 2026</t>
        </is>
      </c>
      <c r="D498" t="inlineStr">
        <is>
          <t>Antes de 2026</t>
        </is>
      </c>
      <c r="E498" s="28" t="n">
        <v>45535</v>
      </c>
      <c r="F498" t="inlineStr">
        <is>
          <t>NF-e</t>
        </is>
      </c>
      <c r="G498" t="inlineStr">
        <is>
          <t>000000235</t>
        </is>
      </c>
      <c r="H498" t="inlineStr">
        <is>
          <t>ICL CENTRO COMERCIAL DO MARCENEIRO LTDA</t>
        </is>
      </c>
      <c r="I498" t="inlineStr">
        <is>
          <t>45.808.747/0001-09</t>
        </is>
      </c>
      <c r="J498" s="29" t="n">
        <v>1298.89</v>
      </c>
      <c r="K498" t="inlineStr">
        <is>
          <t>1.556</t>
        </is>
      </c>
      <c r="L498" t="inlineStr">
        <is>
          <t>Não</t>
        </is>
      </c>
      <c r="M498" t="inlineStr">
        <is>
          <t>Compra/outras</t>
        </is>
      </c>
    </row>
    <row r="499">
      <c r="A499" t="inlineStr">
        <is>
          <t>Remessa de mercadoria (categoria 2.01.84)</t>
        </is>
      </c>
      <c r="B499" t="inlineStr">
        <is>
          <t>2.01.84 Remessa de Mercadoria</t>
        </is>
      </c>
      <c r="C499" t="inlineStr">
        <is>
          <t>Antes de 2026</t>
        </is>
      </c>
      <c r="D499" t="inlineStr">
        <is>
          <t>Antes de 2026</t>
        </is>
      </c>
      <c r="E499" s="28" t="n">
        <v>45635</v>
      </c>
      <c r="F499" t="inlineStr">
        <is>
          <t>NF-e</t>
        </is>
      </c>
      <c r="G499" t="inlineStr">
        <is>
          <t>000312837</t>
        </is>
      </c>
      <c r="H499" t="inlineStr">
        <is>
          <t>IMPERADOR DISTRIBUIDOR DE EMBALAGENS LTDA</t>
        </is>
      </c>
      <c r="I499" t="inlineStr">
        <is>
          <t>10.575.734/0001-52</t>
        </is>
      </c>
      <c r="J499" s="29" t="n">
        <v>6.8</v>
      </c>
      <c r="K499" t="inlineStr">
        <is>
          <t>1.556</t>
        </is>
      </c>
      <c r="L499" t="inlineStr">
        <is>
          <t>Não</t>
        </is>
      </c>
      <c r="M499" t="inlineStr">
        <is>
          <t>Compra/outras</t>
        </is>
      </c>
    </row>
    <row r="500">
      <c r="A500" t="inlineStr">
        <is>
          <t>Remessa de mercadoria (categoria 2.01.84)</t>
        </is>
      </c>
      <c r="B500" t="inlineStr">
        <is>
          <t>2.01.84 Remessa de Mercadoria</t>
        </is>
      </c>
      <c r="C500" t="inlineStr">
        <is>
          <t>Antes de 2026</t>
        </is>
      </c>
      <c r="D500" t="inlineStr">
        <is>
          <t>Antes de 2026</t>
        </is>
      </c>
      <c r="E500" s="28" t="n">
        <v>45366</v>
      </c>
      <c r="F500" t="inlineStr">
        <is>
          <t>NF-e</t>
        </is>
      </c>
      <c r="G500" t="inlineStr">
        <is>
          <t>000000888</t>
        </is>
      </c>
      <c r="H500" t="inlineStr">
        <is>
          <t>IVAN DANTAS DE SOUSA</t>
        </is>
      </c>
      <c r="I500" t="inlineStr">
        <is>
          <t>24.810.388/0001-54</t>
        </is>
      </c>
      <c r="J500" s="29" t="n">
        <v>7500</v>
      </c>
      <c r="K500" t="inlineStr">
        <is>
          <t>1.556</t>
        </is>
      </c>
      <c r="L500" t="inlineStr">
        <is>
          <t>Não</t>
        </is>
      </c>
      <c r="M500" t="inlineStr">
        <is>
          <t>Compra/outras</t>
        </is>
      </c>
    </row>
    <row r="501">
      <c r="A501" t="inlineStr">
        <is>
          <t>Remessa de mercadoria (categoria 2.01.84)</t>
        </is>
      </c>
      <c r="B501" t="inlineStr">
        <is>
          <t>2.01.84 Remessa de Mercadoria</t>
        </is>
      </c>
      <c r="C501" t="inlineStr">
        <is>
          <t>Antes de 2026</t>
        </is>
      </c>
      <c r="D501" t="inlineStr">
        <is>
          <t>Antes de 2026</t>
        </is>
      </c>
      <c r="E501" s="28" t="n">
        <v>45607</v>
      </c>
      <c r="F501" t="inlineStr">
        <is>
          <t>NF-e</t>
        </is>
      </c>
      <c r="G501" t="inlineStr">
        <is>
          <t>000000935</t>
        </is>
      </c>
      <c r="H501" t="inlineStr">
        <is>
          <t>IVAN DANTAS DE SOUSA</t>
        </is>
      </c>
      <c r="I501" t="inlineStr">
        <is>
          <t>24.810.388/0001-54</t>
        </is>
      </c>
      <c r="J501" s="29" t="n">
        <v>6000</v>
      </c>
      <c r="K501" t="inlineStr">
        <is>
          <t>1.556</t>
        </is>
      </c>
      <c r="L501" t="inlineStr">
        <is>
          <t>Não</t>
        </is>
      </c>
      <c r="M501" t="inlineStr">
        <is>
          <t>Compra/outras</t>
        </is>
      </c>
    </row>
    <row r="502">
      <c r="A502" t="inlineStr">
        <is>
          <t>Remessa de mercadoria (categoria 2.01.84)</t>
        </is>
      </c>
      <c r="B502" t="inlineStr">
        <is>
          <t>2.01.84 Remessa de Mercadoria</t>
        </is>
      </c>
      <c r="C502" t="inlineStr">
        <is>
          <t>Antes de 2026</t>
        </is>
      </c>
      <c r="D502" t="inlineStr">
        <is>
          <t>Antes de 2026</t>
        </is>
      </c>
      <c r="E502" s="28" t="n">
        <v>45607</v>
      </c>
      <c r="F502" t="inlineStr">
        <is>
          <t>NF-e</t>
        </is>
      </c>
      <c r="G502" t="inlineStr">
        <is>
          <t>000000936</t>
        </is>
      </c>
      <c r="H502" t="inlineStr">
        <is>
          <t>IVAN DANTAS DE SOUSA</t>
        </is>
      </c>
      <c r="I502" t="inlineStr">
        <is>
          <t>24.810.388/0001-54</t>
        </is>
      </c>
      <c r="J502" s="29" t="n">
        <v>6000</v>
      </c>
      <c r="K502" t="inlineStr">
        <is>
          <t>1.556</t>
        </is>
      </c>
      <c r="L502" t="inlineStr">
        <is>
          <t>Não</t>
        </is>
      </c>
      <c r="M502" t="inlineStr">
        <is>
          <t>Compra/outras</t>
        </is>
      </c>
    </row>
    <row r="503">
      <c r="A503" t="inlineStr">
        <is>
          <t>Remessa de mercadoria (categoria 2.01.84)</t>
        </is>
      </c>
      <c r="B503" t="inlineStr">
        <is>
          <t>2.01.84 Remessa de Mercadoria</t>
        </is>
      </c>
      <c r="C503" t="inlineStr">
        <is>
          <t>Antes de 2026</t>
        </is>
      </c>
      <c r="D503" t="inlineStr">
        <is>
          <t>Antes de 2026</t>
        </is>
      </c>
      <c r="E503" s="28" t="n">
        <v>45597</v>
      </c>
      <c r="F503" t="inlineStr">
        <is>
          <t>NF-e</t>
        </is>
      </c>
      <c r="G503" t="inlineStr">
        <is>
          <t>000000216</t>
        </is>
      </c>
      <c r="H503" t="inlineStr">
        <is>
          <t>IVANILDO DOS SANTOS</t>
        </is>
      </c>
      <c r="I503" t="inlineStr">
        <is>
          <t>04.337.439/0001-65</t>
        </is>
      </c>
      <c r="J503" s="29" t="n">
        <v>10</v>
      </c>
      <c r="K503" t="inlineStr">
        <is>
          <t>1.556</t>
        </is>
      </c>
      <c r="L503" t="inlineStr">
        <is>
          <t>Não</t>
        </is>
      </c>
      <c r="M503" t="inlineStr">
        <is>
          <t>Compra/outras</t>
        </is>
      </c>
    </row>
    <row r="504">
      <c r="A504" t="inlineStr">
        <is>
          <t>Remessa de mercadoria (categoria 2.01.84)</t>
        </is>
      </c>
      <c r="B504" t="inlineStr">
        <is>
          <t>2.01.84 Remessa de Mercadoria</t>
        </is>
      </c>
      <c r="C504" t="inlineStr">
        <is>
          <t>Antes de 2026</t>
        </is>
      </c>
      <c r="D504" t="inlineStr">
        <is>
          <t>Antes de 2026</t>
        </is>
      </c>
      <c r="E504" s="28" t="n">
        <v>45322</v>
      </c>
      <c r="F504" t="inlineStr">
        <is>
          <t>NF-e</t>
        </is>
      </c>
      <c r="G504" t="inlineStr">
        <is>
          <t>000030001</t>
        </is>
      </c>
      <c r="H504" t="inlineStr">
        <is>
          <t>J CARLOS MOVEIS LTDA</t>
        </is>
      </c>
      <c r="I504" t="inlineStr">
        <is>
          <t>09.238.106/0001-00</t>
        </is>
      </c>
      <c r="J504" s="29" t="n">
        <v>8700</v>
      </c>
      <c r="K504" t="inlineStr">
        <is>
          <t>1.556</t>
        </is>
      </c>
      <c r="L504" t="inlineStr">
        <is>
          <t>Não</t>
        </is>
      </c>
      <c r="M504" t="inlineStr">
        <is>
          <t>Compra/outras</t>
        </is>
      </c>
    </row>
    <row r="505">
      <c r="A505" t="inlineStr">
        <is>
          <t>Remessa de mercadoria (categoria 2.01.84)</t>
        </is>
      </c>
      <c r="B505" t="inlineStr">
        <is>
          <t>2.01.84 Remessa de Mercadoria</t>
        </is>
      </c>
      <c r="C505" t="inlineStr">
        <is>
          <t>Antes de 2026</t>
        </is>
      </c>
      <c r="D505" t="inlineStr">
        <is>
          <t>Antes de 2026</t>
        </is>
      </c>
      <c r="E505" s="28" t="n">
        <v>45505</v>
      </c>
      <c r="F505" t="inlineStr">
        <is>
          <t>NF-e</t>
        </is>
      </c>
      <c r="G505" t="inlineStr">
        <is>
          <t>000001057</t>
        </is>
      </c>
      <c r="H505" t="inlineStr">
        <is>
          <t>J S IND DE EMBALAGENS E ETIQUETAS LTDA</t>
        </is>
      </c>
      <c r="I505" t="inlineStr">
        <is>
          <t>26.215.476/0001-33</t>
        </is>
      </c>
      <c r="J505" s="29" t="n">
        <v>3565.82</v>
      </c>
      <c r="K505" t="inlineStr">
        <is>
          <t>1.556</t>
        </is>
      </c>
      <c r="L505" t="inlineStr">
        <is>
          <t>Não</t>
        </is>
      </c>
      <c r="M505" t="inlineStr">
        <is>
          <t>Compra/outras</t>
        </is>
      </c>
    </row>
    <row r="506">
      <c r="A506" t="inlineStr">
        <is>
          <t>Remessa de mercadoria (categoria 2.01.84)</t>
        </is>
      </c>
      <c r="B506" t="inlineStr">
        <is>
          <t>2.01.84 Remessa de Mercadoria</t>
        </is>
      </c>
      <c r="C506" t="inlineStr">
        <is>
          <t>Antes de 2026</t>
        </is>
      </c>
      <c r="D506" t="inlineStr">
        <is>
          <t>Antes de 2026</t>
        </is>
      </c>
      <c r="E506" s="28" t="n">
        <v>45523</v>
      </c>
      <c r="F506" t="inlineStr">
        <is>
          <t>NF-e</t>
        </is>
      </c>
      <c r="G506" t="inlineStr">
        <is>
          <t>000001060</t>
        </is>
      </c>
      <c r="H506" t="inlineStr">
        <is>
          <t>J S IND DE EMBALAGENS E ETIQUETAS LTDA</t>
        </is>
      </c>
      <c r="I506" t="inlineStr">
        <is>
          <t>26.215.476/0001-33</t>
        </is>
      </c>
      <c r="J506" s="29" t="n">
        <v>816</v>
      </c>
      <c r="K506" t="inlineStr">
        <is>
          <t>1.556</t>
        </is>
      </c>
      <c r="L506" t="inlineStr">
        <is>
          <t>Não</t>
        </is>
      </c>
      <c r="M506" t="inlineStr">
        <is>
          <t>Compra/outras</t>
        </is>
      </c>
    </row>
    <row r="507">
      <c r="A507" t="inlineStr">
        <is>
          <t>Remessa de mercadoria (categoria 2.01.84)</t>
        </is>
      </c>
      <c r="B507" t="inlineStr">
        <is>
          <t>2.01.84 Remessa de Mercadoria</t>
        </is>
      </c>
      <c r="C507" t="inlineStr">
        <is>
          <t>Antes de 2026</t>
        </is>
      </c>
      <c r="D507" t="inlineStr">
        <is>
          <t>Antes de 2026</t>
        </is>
      </c>
      <c r="E507" s="28" t="n">
        <v>45544</v>
      </c>
      <c r="F507" t="inlineStr">
        <is>
          <t>NF-e</t>
        </is>
      </c>
      <c r="G507" t="inlineStr">
        <is>
          <t>000001062</t>
        </is>
      </c>
      <c r="H507" t="inlineStr">
        <is>
          <t>J S IND DE EMBALAGENS E ETIQUETAS LTDA</t>
        </is>
      </c>
      <c r="I507" t="inlineStr">
        <is>
          <t>26.215.476/0001-33</t>
        </is>
      </c>
      <c r="J507" s="29" t="n">
        <v>5250</v>
      </c>
      <c r="K507" t="inlineStr">
        <is>
          <t>1.556</t>
        </is>
      </c>
      <c r="L507" t="inlineStr">
        <is>
          <t>Não</t>
        </is>
      </c>
      <c r="M507" t="inlineStr">
        <is>
          <t>Compra/outras</t>
        </is>
      </c>
    </row>
    <row r="508">
      <c r="A508" t="inlineStr">
        <is>
          <t>Remessa de mercadoria (categoria 2.01.84)</t>
        </is>
      </c>
      <c r="B508" t="inlineStr">
        <is>
          <t>2.01.84 Remessa de Mercadoria</t>
        </is>
      </c>
      <c r="C508" t="inlineStr">
        <is>
          <t>Antes de 2026</t>
        </is>
      </c>
      <c r="D508" t="inlineStr">
        <is>
          <t>Antes de 2026</t>
        </is>
      </c>
      <c r="E508" s="28" t="n">
        <v>45567</v>
      </c>
      <c r="F508" t="inlineStr">
        <is>
          <t>NF-e</t>
        </is>
      </c>
      <c r="G508" t="inlineStr">
        <is>
          <t>000001066</t>
        </is>
      </c>
      <c r="H508" t="inlineStr">
        <is>
          <t>J S IND DE EMBALAGENS E ETIQUETAS LTDA</t>
        </is>
      </c>
      <c r="I508" t="inlineStr">
        <is>
          <t>26.215.476/0001-33</t>
        </is>
      </c>
      <c r="J508" s="29" t="n">
        <v>4981.26</v>
      </c>
      <c r="K508" t="inlineStr">
        <is>
          <t>1.556</t>
        </is>
      </c>
      <c r="L508" t="inlineStr">
        <is>
          <t>Não</t>
        </is>
      </c>
      <c r="M508" t="inlineStr">
        <is>
          <t>Compra/outras</t>
        </is>
      </c>
    </row>
    <row r="509">
      <c r="A509" t="inlineStr">
        <is>
          <t>Remessa de mercadoria (categoria 2.01.84)</t>
        </is>
      </c>
      <c r="B509" t="inlineStr">
        <is>
          <t>2.01.84 Remessa de Mercadoria</t>
        </is>
      </c>
      <c r="C509" t="inlineStr">
        <is>
          <t>Antes de 2026</t>
        </is>
      </c>
      <c r="D509" t="inlineStr">
        <is>
          <t>Antes de 2026</t>
        </is>
      </c>
      <c r="E509" s="28" t="n">
        <v>45670</v>
      </c>
      <c r="F509" t="inlineStr">
        <is>
          <t>NF-e</t>
        </is>
      </c>
      <c r="G509" t="inlineStr">
        <is>
          <t>000001091</t>
        </is>
      </c>
      <c r="H509" t="inlineStr">
        <is>
          <t>J S IND DE EMBALAGENS E ETIQUETAS LTDA</t>
        </is>
      </c>
      <c r="I509" t="inlineStr">
        <is>
          <t>26.215.476/0001-33</t>
        </is>
      </c>
      <c r="J509" s="29" t="n">
        <v>900</v>
      </c>
      <c r="K509" t="inlineStr">
        <is>
          <t>1.556</t>
        </is>
      </c>
      <c r="L509" t="inlineStr">
        <is>
          <t>Não</t>
        </is>
      </c>
      <c r="M509" t="inlineStr">
        <is>
          <t>Compra/outras</t>
        </is>
      </c>
    </row>
    <row r="510">
      <c r="A510" t="inlineStr">
        <is>
          <t>Remessa de mercadoria (categoria 2.01.84)</t>
        </is>
      </c>
      <c r="B510" t="inlineStr">
        <is>
          <t>2.01.84 Remessa de Mercadoria</t>
        </is>
      </c>
      <c r="C510" t="inlineStr">
        <is>
          <t>Antes de 2026</t>
        </is>
      </c>
      <c r="D510" t="inlineStr">
        <is>
          <t>Antes de 2026</t>
        </is>
      </c>
      <c r="E510" s="28" t="n">
        <v>45358</v>
      </c>
      <c r="F510" t="inlineStr">
        <is>
          <t>NF-e</t>
        </is>
      </c>
      <c r="G510" t="inlineStr">
        <is>
          <t>000001836</t>
        </is>
      </c>
      <c r="H510" t="inlineStr">
        <is>
          <t>JOAO PEDRO TRAVASSOS SALDANHA</t>
        </is>
      </c>
      <c r="I510" t="inlineStr">
        <is>
          <t>29.984.023/0001-60</t>
        </is>
      </c>
      <c r="J510" s="29" t="n">
        <v>2303</v>
      </c>
      <c r="K510" t="inlineStr">
        <is>
          <t>1.556</t>
        </is>
      </c>
      <c r="L510" t="inlineStr">
        <is>
          <t>Não</t>
        </is>
      </c>
      <c r="M510" t="inlineStr">
        <is>
          <t>Compra/outras</t>
        </is>
      </c>
    </row>
    <row r="511">
      <c r="A511" t="inlineStr">
        <is>
          <t>Remessa de mercadoria (categoria 2.01.84)</t>
        </is>
      </c>
      <c r="B511" t="inlineStr">
        <is>
          <t>2.01.84 Remessa de Mercadoria</t>
        </is>
      </c>
      <c r="C511" t="inlineStr">
        <is>
          <t>Antes de 2026</t>
        </is>
      </c>
      <c r="D511" t="inlineStr">
        <is>
          <t>Antes de 2026</t>
        </is>
      </c>
      <c r="E511" s="28" t="n">
        <v>45370</v>
      </c>
      <c r="F511" t="inlineStr">
        <is>
          <t>NF-e</t>
        </is>
      </c>
      <c r="G511" t="inlineStr">
        <is>
          <t>000000363</t>
        </is>
      </c>
      <c r="H511" t="inlineStr">
        <is>
          <t>JONIOR CANDIDO AMORIM</t>
        </is>
      </c>
      <c r="I511" t="inlineStr">
        <is>
          <t>36.330.870/0001-76</t>
        </is>
      </c>
      <c r="J511" s="29" t="n">
        <v>1350</v>
      </c>
      <c r="K511" t="inlineStr">
        <is>
          <t>1.556</t>
        </is>
      </c>
      <c r="L511" t="inlineStr">
        <is>
          <t>Não</t>
        </is>
      </c>
      <c r="M511" t="inlineStr">
        <is>
          <t>Compra/outras</t>
        </is>
      </c>
    </row>
    <row r="512">
      <c r="A512" t="inlineStr">
        <is>
          <t>Remessa de mercadoria (categoria 2.01.84)</t>
        </is>
      </c>
      <c r="B512" t="inlineStr">
        <is>
          <t>2.01.84 Remessa de Mercadoria</t>
        </is>
      </c>
      <c r="C512" t="inlineStr">
        <is>
          <t>Antes de 2026</t>
        </is>
      </c>
      <c r="D512" t="inlineStr">
        <is>
          <t>Antes de 2026</t>
        </is>
      </c>
      <c r="E512" s="28" t="n">
        <v>45347</v>
      </c>
      <c r="F512" t="inlineStr">
        <is>
          <t>NF-e</t>
        </is>
      </c>
      <c r="G512" t="inlineStr">
        <is>
          <t>000067328</t>
        </is>
      </c>
      <c r="H512" t="inlineStr">
        <is>
          <t>KALUNGA SA</t>
        </is>
      </c>
      <c r="I512" t="inlineStr">
        <is>
          <t>43.283.811/0198-45</t>
        </is>
      </c>
      <c r="J512" s="29" t="n">
        <v>348.58</v>
      </c>
      <c r="K512" t="inlineStr">
        <is>
          <t>1.556</t>
        </is>
      </c>
      <c r="L512" t="inlineStr">
        <is>
          <t>Não</t>
        </is>
      </c>
      <c r="M512" t="inlineStr">
        <is>
          <t>Compra/outras</t>
        </is>
      </c>
    </row>
    <row r="513">
      <c r="A513" t="inlineStr">
        <is>
          <t>Remessa de mercadoria (categoria 2.01.84)</t>
        </is>
      </c>
      <c r="B513" t="inlineStr">
        <is>
          <t>2.01.84 Remessa de Mercadoria</t>
        </is>
      </c>
      <c r="C513" t="inlineStr">
        <is>
          <t>Antes de 2026</t>
        </is>
      </c>
      <c r="D513" t="inlineStr">
        <is>
          <t>Antes de 2026</t>
        </is>
      </c>
      <c r="E513" s="28" t="n">
        <v>45525</v>
      </c>
      <c r="F513" t="inlineStr">
        <is>
          <t>NF-e</t>
        </is>
      </c>
      <c r="G513" t="inlineStr">
        <is>
          <t>000070753</t>
        </is>
      </c>
      <c r="H513" t="inlineStr">
        <is>
          <t>KALUNGA SA</t>
        </is>
      </c>
      <c r="I513" t="inlineStr">
        <is>
          <t>43.283.811/0198-45</t>
        </is>
      </c>
      <c r="J513" s="29" t="n">
        <v>68.5</v>
      </c>
      <c r="K513" t="inlineStr">
        <is>
          <t>1.556</t>
        </is>
      </c>
      <c r="L513" t="inlineStr">
        <is>
          <t>Não</t>
        </is>
      </c>
      <c r="M513" t="inlineStr">
        <is>
          <t>Compra/outras</t>
        </is>
      </c>
    </row>
    <row r="514">
      <c r="A514" t="inlineStr">
        <is>
          <t>Remessa de mercadoria (categoria 2.01.84)</t>
        </is>
      </c>
      <c r="B514" t="inlineStr">
        <is>
          <t>2.01.84 Remessa de Mercadoria</t>
        </is>
      </c>
      <c r="C514" t="inlineStr">
        <is>
          <t>Antes de 2026</t>
        </is>
      </c>
      <c r="D514" t="inlineStr">
        <is>
          <t>Antes de 2026</t>
        </is>
      </c>
      <c r="E514" s="28" t="n">
        <v>45600</v>
      </c>
      <c r="F514" t="inlineStr">
        <is>
          <t>NF-e</t>
        </is>
      </c>
      <c r="G514" t="inlineStr">
        <is>
          <t>000072227</t>
        </is>
      </c>
      <c r="H514" t="inlineStr">
        <is>
          <t>KALUNGA SA</t>
        </is>
      </c>
      <c r="I514" t="inlineStr">
        <is>
          <t>43.283.811/0198-45</t>
        </is>
      </c>
      <c r="J514" s="29" t="n">
        <v>1532.6</v>
      </c>
      <c r="K514" t="inlineStr">
        <is>
          <t>1.556</t>
        </is>
      </c>
      <c r="L514" t="inlineStr">
        <is>
          <t>Não</t>
        </is>
      </c>
      <c r="M514" t="inlineStr">
        <is>
          <t>Compra/outras</t>
        </is>
      </c>
    </row>
    <row r="515">
      <c r="A515" t="inlineStr">
        <is>
          <t>Remessa de mercadoria (categoria 2.01.84)</t>
        </is>
      </c>
      <c r="B515" t="inlineStr">
        <is>
          <t>2.01.84 Remessa de Mercadoria</t>
        </is>
      </c>
      <c r="C515" t="inlineStr">
        <is>
          <t>Antes de 2026</t>
        </is>
      </c>
      <c r="D515" t="inlineStr">
        <is>
          <t>Antes de 2026</t>
        </is>
      </c>
      <c r="E515" s="28" t="n">
        <v>45528</v>
      </c>
      <c r="F515" t="inlineStr">
        <is>
          <t>NF-e</t>
        </is>
      </c>
      <c r="G515" t="inlineStr">
        <is>
          <t>000029990</t>
        </is>
      </c>
      <c r="H515" t="inlineStr">
        <is>
          <t>KALUNGA SA</t>
        </is>
      </c>
      <c r="I515" t="inlineStr">
        <is>
          <t>43.283.811/0197-64</t>
        </is>
      </c>
      <c r="J515" s="29" t="n">
        <v>232.4</v>
      </c>
      <c r="K515" t="inlineStr">
        <is>
          <t>1.556</t>
        </is>
      </c>
      <c r="L515" t="inlineStr">
        <is>
          <t>Não</t>
        </is>
      </c>
      <c r="M515" t="inlineStr">
        <is>
          <t>Compra/outras</t>
        </is>
      </c>
    </row>
    <row r="516">
      <c r="A516" t="inlineStr">
        <is>
          <t>Remessa de mercadoria (categoria 2.01.84)</t>
        </is>
      </c>
      <c r="B516" t="inlineStr">
        <is>
          <t>2.01.84 Remessa de Mercadoria</t>
        </is>
      </c>
      <c r="C516" t="inlineStr">
        <is>
          <t>Antes de 2026</t>
        </is>
      </c>
      <c r="D516" t="inlineStr">
        <is>
          <t>Antes de 2026</t>
        </is>
      </c>
      <c r="E516" s="28" t="n">
        <v>45618</v>
      </c>
      <c r="F516" t="inlineStr">
        <is>
          <t>NF-e</t>
        </is>
      </c>
      <c r="G516" t="inlineStr">
        <is>
          <t>000000915</t>
        </is>
      </c>
      <c r="H516" t="inlineStr">
        <is>
          <t>KASSUA.COM.BR LTDA</t>
        </is>
      </c>
      <c r="I516" t="inlineStr">
        <is>
          <t>42.948.791/0001-26</t>
        </is>
      </c>
      <c r="J516" s="29" t="n">
        <v>18000</v>
      </c>
      <c r="K516" t="inlineStr">
        <is>
          <t>1.556</t>
        </is>
      </c>
      <c r="L516" t="inlineStr">
        <is>
          <t>Não</t>
        </is>
      </c>
      <c r="M516" t="inlineStr">
        <is>
          <t>Compra/outras</t>
        </is>
      </c>
    </row>
    <row r="517">
      <c r="A517" t="inlineStr">
        <is>
          <t>Remessa de mercadoria (categoria 2.01.84)</t>
        </is>
      </c>
      <c r="B517" t="inlineStr">
        <is>
          <t>2.01.84 Remessa de Mercadoria</t>
        </is>
      </c>
      <c r="C517" t="inlineStr">
        <is>
          <t>Antes de 2026</t>
        </is>
      </c>
      <c r="D517" t="inlineStr">
        <is>
          <t>Antes de 2026</t>
        </is>
      </c>
      <c r="E517" s="28" t="n">
        <v>45668</v>
      </c>
      <c r="F517" t="inlineStr">
        <is>
          <t>NF-e</t>
        </is>
      </c>
      <c r="G517" t="inlineStr">
        <is>
          <t>000001071</t>
        </is>
      </c>
      <c r="H517" t="inlineStr">
        <is>
          <t>KASSUA.COM.BR LTDA</t>
        </is>
      </c>
      <c r="I517" t="inlineStr">
        <is>
          <t>42.948.791/0001-26</t>
        </is>
      </c>
      <c r="J517" s="29" t="n">
        <v>149</v>
      </c>
      <c r="K517" t="inlineStr">
        <is>
          <t>1.556</t>
        </is>
      </c>
      <c r="L517" t="inlineStr">
        <is>
          <t>Não</t>
        </is>
      </c>
      <c r="M517" t="inlineStr">
        <is>
          <t>Compra/outras</t>
        </is>
      </c>
    </row>
    <row r="518">
      <c r="A518" t="inlineStr">
        <is>
          <t>Remessa de mercadoria (categoria 2.01.84)</t>
        </is>
      </c>
      <c r="B518" t="inlineStr">
        <is>
          <t>2.01.84 Remessa de Mercadoria</t>
        </is>
      </c>
      <c r="C518" t="inlineStr">
        <is>
          <t>Antes de 2026</t>
        </is>
      </c>
      <c r="D518" t="inlineStr">
        <is>
          <t>Antes de 2026</t>
        </is>
      </c>
      <c r="E518" s="28" t="n">
        <v>45581</v>
      </c>
      <c r="F518" t="inlineStr">
        <is>
          <t>NF-e</t>
        </is>
      </c>
      <c r="G518" t="inlineStr">
        <is>
          <t>000076282</t>
        </is>
      </c>
      <c r="H518" t="inlineStr">
        <is>
          <t>KINGPEC COMERCIAL LTDA</t>
        </is>
      </c>
      <c r="I518" t="inlineStr">
        <is>
          <t>38.116.764/0001-10</t>
        </is>
      </c>
      <c r="J518" s="29" t="n">
        <v>123.48</v>
      </c>
      <c r="K518" t="inlineStr">
        <is>
          <t>1.556</t>
        </is>
      </c>
      <c r="L518" t="inlineStr">
        <is>
          <t>Não</t>
        </is>
      </c>
      <c r="M518" t="inlineStr">
        <is>
          <t>Compra/outras</t>
        </is>
      </c>
    </row>
    <row r="519">
      <c r="A519" t="inlineStr">
        <is>
          <t>Remessa de mercadoria (categoria 2.01.84)</t>
        </is>
      </c>
      <c r="B519" t="inlineStr">
        <is>
          <t>2.01.84 Remessa de Mercadoria</t>
        </is>
      </c>
      <c r="C519" t="inlineStr">
        <is>
          <t>Antes de 2026</t>
        </is>
      </c>
      <c r="D519" t="inlineStr">
        <is>
          <t>Antes de 2026</t>
        </is>
      </c>
      <c r="E519" s="28" t="n">
        <v>45510</v>
      </c>
      <c r="F519" t="inlineStr">
        <is>
          <t>NF-e</t>
        </is>
      </c>
      <c r="G519" t="inlineStr">
        <is>
          <t>000000049</t>
        </is>
      </c>
      <c r="H519" t="inlineStr">
        <is>
          <t>LEANDRO BATISTA DO NASCIMENTO</t>
        </is>
      </c>
      <c r="I519" t="inlineStr">
        <is>
          <t>50.393.648/0001-43</t>
        </is>
      </c>
      <c r="J519" s="29" t="n">
        <v>2000</v>
      </c>
      <c r="K519" t="inlineStr">
        <is>
          <t>1.556</t>
        </is>
      </c>
      <c r="L519" t="inlineStr">
        <is>
          <t>Não</t>
        </is>
      </c>
      <c r="M519" t="inlineStr">
        <is>
          <t>Compra/outras</t>
        </is>
      </c>
    </row>
    <row r="520">
      <c r="A520" t="inlineStr">
        <is>
          <t>Remessa de mercadoria (categoria 2.01.84)</t>
        </is>
      </c>
      <c r="B520" t="inlineStr">
        <is>
          <t>2.01.84 Remessa de Mercadoria</t>
        </is>
      </c>
      <c r="C520" t="inlineStr">
        <is>
          <t>Antes de 2026</t>
        </is>
      </c>
      <c r="D520" t="inlineStr">
        <is>
          <t>Antes de 2026</t>
        </is>
      </c>
      <c r="E520" s="28" t="n">
        <v>45554</v>
      </c>
      <c r="F520" t="inlineStr">
        <is>
          <t>NF-e</t>
        </is>
      </c>
      <c r="G520" t="inlineStr">
        <is>
          <t>000000059</t>
        </is>
      </c>
      <c r="H520" t="inlineStr">
        <is>
          <t>LEANDRO BATISTA DO NASCIMENTO</t>
        </is>
      </c>
      <c r="I520" t="inlineStr">
        <is>
          <t>50.393.648/0001-43</t>
        </is>
      </c>
      <c r="J520" s="29" t="n">
        <v>7260</v>
      </c>
      <c r="K520" t="inlineStr">
        <is>
          <t>1.556</t>
        </is>
      </c>
      <c r="L520" t="inlineStr">
        <is>
          <t>Não</t>
        </is>
      </c>
      <c r="M520" t="inlineStr">
        <is>
          <t>Compra/outras</t>
        </is>
      </c>
    </row>
    <row r="521">
      <c r="A521" t="inlineStr">
        <is>
          <t>Remessa de mercadoria (categoria 2.01.84)</t>
        </is>
      </c>
      <c r="B521" t="inlineStr">
        <is>
          <t>2.01.84 Remessa de Mercadoria</t>
        </is>
      </c>
      <c r="C521" t="inlineStr">
        <is>
          <t>Antes de 2026</t>
        </is>
      </c>
      <c r="D521" t="inlineStr">
        <is>
          <t>Antes de 2026</t>
        </is>
      </c>
      <c r="E521" s="28" t="n">
        <v>45637</v>
      </c>
      <c r="F521" t="inlineStr">
        <is>
          <t>CT-e</t>
        </is>
      </c>
      <c r="G521" t="inlineStr">
        <is>
          <t>000089022</t>
        </is>
      </c>
      <c r="H521" t="inlineStr">
        <is>
          <t>LILOG TRANSPORTES RODO-AEREO LTDA</t>
        </is>
      </c>
      <c r="J521" s="29" t="n">
        <v>2294.81</v>
      </c>
      <c r="K521" t="inlineStr">
        <is>
          <t>1.556</t>
        </is>
      </c>
      <c r="L521" t="inlineStr">
        <is>
          <t>Não</t>
        </is>
      </c>
      <c r="N521" t="inlineStr">
        <is>
          <t>Modalidade: 1 - Por conta do destinatário | Parte: B. B. A. INDUSTRIA E COMERCIO IMPORTACAO E EXPORTACAO LTDA (25.247.287/0003-41)</t>
        </is>
      </c>
    </row>
    <row r="522">
      <c r="A522" t="inlineStr">
        <is>
          <t>Remessa de mercadoria (categoria 2.01.84)</t>
        </is>
      </c>
      <c r="B522" t="inlineStr">
        <is>
          <t>2.01.84 Remessa de Mercadoria</t>
        </is>
      </c>
      <c r="C522" t="inlineStr">
        <is>
          <t>Antes de 2026</t>
        </is>
      </c>
      <c r="D522" t="inlineStr">
        <is>
          <t>Antes de 2026</t>
        </is>
      </c>
      <c r="E522" s="28" t="n">
        <v>45642</v>
      </c>
      <c r="F522" t="inlineStr">
        <is>
          <t>NF-e</t>
        </is>
      </c>
      <c r="G522" t="inlineStr">
        <is>
          <t>000082870</t>
        </is>
      </c>
      <c r="H522" t="inlineStr">
        <is>
          <t>LOJA DOS PARAFUSOS LTDA</t>
        </is>
      </c>
      <c r="I522" t="inlineStr">
        <is>
          <t>09.137.613/0001-40</t>
        </is>
      </c>
      <c r="J522" s="29" t="n">
        <v>468.07</v>
      </c>
      <c r="K522" t="inlineStr">
        <is>
          <t>1.556</t>
        </is>
      </c>
      <c r="L522" t="inlineStr">
        <is>
          <t>Não</t>
        </is>
      </c>
      <c r="M522" t="inlineStr">
        <is>
          <t>Compra/outras</t>
        </is>
      </c>
    </row>
    <row r="523">
      <c r="A523" t="inlineStr">
        <is>
          <t>Remessa de mercadoria (categoria 2.01.84)</t>
        </is>
      </c>
      <c r="B523" t="inlineStr">
        <is>
          <t>2.01.84 Remessa de Mercadoria</t>
        </is>
      </c>
      <c r="C523" t="inlineStr">
        <is>
          <t>Antes de 2026</t>
        </is>
      </c>
      <c r="D523" t="inlineStr">
        <is>
          <t>Antes de 2026</t>
        </is>
      </c>
      <c r="E523" s="28" t="n">
        <v>45583</v>
      </c>
      <c r="F523" t="inlineStr">
        <is>
          <t>NF-e</t>
        </is>
      </c>
      <c r="G523" t="inlineStr">
        <is>
          <t>000071640</t>
        </is>
      </c>
      <c r="H523" t="inlineStr">
        <is>
          <t>LUBNORTE DISTRIBUIDOR DE LUBRIFICANTES LTDA</t>
        </is>
      </c>
      <c r="I523" t="inlineStr">
        <is>
          <t>06.280.265/0001-77</t>
        </is>
      </c>
      <c r="J523" s="29" t="n">
        <v>810</v>
      </c>
      <c r="K523" t="inlineStr">
        <is>
          <t>1.556</t>
        </is>
      </c>
      <c r="L523" t="inlineStr">
        <is>
          <t>Não</t>
        </is>
      </c>
      <c r="M523" t="inlineStr">
        <is>
          <t>Compra/outras</t>
        </is>
      </c>
    </row>
    <row r="524">
      <c r="A524" t="inlineStr">
        <is>
          <t>Remessa de mercadoria (categoria 2.01.84)</t>
        </is>
      </c>
      <c r="B524" t="inlineStr">
        <is>
          <t>2.01.84 Remessa de Mercadoria</t>
        </is>
      </c>
      <c r="C524" t="inlineStr">
        <is>
          <t>Antes de 2026</t>
        </is>
      </c>
      <c r="D524" t="inlineStr">
        <is>
          <t>Antes de 2026</t>
        </is>
      </c>
      <c r="E524" s="28" t="n">
        <v>45622</v>
      </c>
      <c r="F524" t="inlineStr">
        <is>
          <t>NF-e</t>
        </is>
      </c>
      <c r="G524" t="inlineStr">
        <is>
          <t>900331207</t>
        </is>
      </c>
      <c r="H524" t="inlineStr">
        <is>
          <t>LUCAS EMANUEL PAIVA DA COSTA 09724309460</t>
        </is>
      </c>
      <c r="I524" t="inlineStr">
        <is>
          <t>40.139.291/0001-18</t>
        </is>
      </c>
      <c r="J524" s="29" t="n">
        <v>300</v>
      </c>
      <c r="K524" t="inlineStr">
        <is>
          <t>1.556</t>
        </is>
      </c>
      <c r="L524" t="inlineStr">
        <is>
          <t>Não</t>
        </is>
      </c>
      <c r="M524" t="inlineStr">
        <is>
          <t>Compra/outras</t>
        </is>
      </c>
    </row>
    <row r="525">
      <c r="A525" t="inlineStr">
        <is>
          <t>Remessa de mercadoria (categoria 2.01.84)</t>
        </is>
      </c>
      <c r="B525" t="inlineStr">
        <is>
          <t>2.01.84 Remessa de Mercadoria</t>
        </is>
      </c>
      <c r="C525" t="inlineStr">
        <is>
          <t>Antes de 2026</t>
        </is>
      </c>
      <c r="D525" t="inlineStr">
        <is>
          <t>Antes de 2026</t>
        </is>
      </c>
      <c r="E525" s="28" t="n">
        <v>45360</v>
      </c>
      <c r="F525" t="inlineStr">
        <is>
          <t>NF-e</t>
        </is>
      </c>
      <c r="G525" t="inlineStr">
        <is>
          <t>000102346</t>
        </is>
      </c>
      <c r="H525" t="inlineStr">
        <is>
          <t>MAGAZINE LUIZA S/A</t>
        </is>
      </c>
      <c r="I525" t="inlineStr">
        <is>
          <t>47.960.950/0781-55</t>
        </is>
      </c>
      <c r="J525" s="29" t="n">
        <v>5798.9</v>
      </c>
      <c r="K525" t="inlineStr">
        <is>
          <t>1.556</t>
        </is>
      </c>
      <c r="L525" t="inlineStr">
        <is>
          <t>Não</t>
        </is>
      </c>
      <c r="M525" t="inlineStr">
        <is>
          <t>Venda à ordem (x.118 a x.120, x.923)</t>
        </is>
      </c>
    </row>
    <row r="526">
      <c r="A526" t="inlineStr">
        <is>
          <t>Remessa de mercadoria (categoria 2.01.84)</t>
        </is>
      </c>
      <c r="B526" t="inlineStr">
        <is>
          <t>2.01.84 Remessa de Mercadoria</t>
        </is>
      </c>
      <c r="C526" t="inlineStr">
        <is>
          <t>Antes de 2026</t>
        </is>
      </c>
      <c r="D526" t="inlineStr">
        <is>
          <t>Antes de 2026</t>
        </is>
      </c>
      <c r="E526" s="28" t="n">
        <v>45362</v>
      </c>
      <c r="F526" t="inlineStr">
        <is>
          <t>NF-e</t>
        </is>
      </c>
      <c r="G526" t="inlineStr">
        <is>
          <t>000119233</t>
        </is>
      </c>
      <c r="H526" t="inlineStr">
        <is>
          <t>MAGAZINE LUIZA S/A</t>
        </is>
      </c>
      <c r="I526" t="inlineStr">
        <is>
          <t>47.960.950/0757-25</t>
        </is>
      </c>
      <c r="J526" s="29" t="n">
        <v>5798.9</v>
      </c>
      <c r="K526" t="inlineStr">
        <is>
          <t>1.556</t>
        </is>
      </c>
      <c r="L526" t="inlineStr">
        <is>
          <t>Não</t>
        </is>
      </c>
      <c r="M526" t="inlineStr">
        <is>
          <t>Venda à ordem (x.118 a x.120, x.923)</t>
        </is>
      </c>
    </row>
    <row r="527">
      <c r="A527" t="inlineStr">
        <is>
          <t>Remessa de mercadoria (categoria 2.01.84)</t>
        </is>
      </c>
      <c r="B527" t="inlineStr">
        <is>
          <t>2.01.84 Remessa de Mercadoria</t>
        </is>
      </c>
      <c r="C527" t="inlineStr">
        <is>
          <t>Antes de 2026</t>
        </is>
      </c>
      <c r="D527" t="inlineStr">
        <is>
          <t>Antes de 2026</t>
        </is>
      </c>
      <c r="E527" s="28" t="n">
        <v>45342</v>
      </c>
      <c r="F527" t="inlineStr">
        <is>
          <t>NF-e</t>
        </is>
      </c>
      <c r="G527" t="inlineStr">
        <is>
          <t>000008757</t>
        </is>
      </c>
      <c r="H527" t="inlineStr">
        <is>
          <t>MAIN COMERCIO DE DESCARTAVEIS EIRELI</t>
        </is>
      </c>
      <c r="I527" t="inlineStr">
        <is>
          <t>32.422.584/0001-80</t>
        </is>
      </c>
      <c r="J527" s="29" t="n">
        <v>5327.08</v>
      </c>
      <c r="K527" t="inlineStr">
        <is>
          <t>1.556</t>
        </is>
      </c>
      <c r="L527" t="inlineStr">
        <is>
          <t>Não</t>
        </is>
      </c>
      <c r="M527" t="inlineStr">
        <is>
          <t>Compra/outras</t>
        </is>
      </c>
    </row>
    <row r="528">
      <c r="A528" t="inlineStr">
        <is>
          <t>Remessa de mercadoria (categoria 2.01.84)</t>
        </is>
      </c>
      <c r="B528" t="inlineStr">
        <is>
          <t>2.01.84 Remessa de Mercadoria</t>
        </is>
      </c>
      <c r="C528" t="inlineStr">
        <is>
          <t>Antes de 2026</t>
        </is>
      </c>
      <c r="D528" t="inlineStr">
        <is>
          <t>Antes de 2026</t>
        </is>
      </c>
      <c r="E528" s="28" t="n">
        <v>45492</v>
      </c>
      <c r="F528" t="inlineStr">
        <is>
          <t>NF-e</t>
        </is>
      </c>
      <c r="G528" t="inlineStr">
        <is>
          <t>000030453</t>
        </is>
      </c>
      <c r="H528" t="inlineStr">
        <is>
          <t>MAIN DESCARTAVEIS E BONBONNIERE</t>
        </is>
      </c>
      <c r="I528" t="inlineStr">
        <is>
          <t>40.959.553/0001-90</t>
        </is>
      </c>
      <c r="J528" s="29" t="n">
        <v>189.75</v>
      </c>
      <c r="K528" t="inlineStr">
        <is>
          <t>1.556</t>
        </is>
      </c>
      <c r="L528" t="inlineStr">
        <is>
          <t>Não</t>
        </is>
      </c>
      <c r="M528" t="inlineStr">
        <is>
          <t>Compra/outras</t>
        </is>
      </c>
    </row>
    <row r="529">
      <c r="A529" t="inlineStr">
        <is>
          <t>Remessa de mercadoria (categoria 2.01.84)</t>
        </is>
      </c>
      <c r="B529" t="inlineStr">
        <is>
          <t>2.01.84 Remessa de Mercadoria</t>
        </is>
      </c>
      <c r="C529" t="inlineStr">
        <is>
          <t>Antes de 2026</t>
        </is>
      </c>
      <c r="D529" t="inlineStr">
        <is>
          <t>Antes de 2026</t>
        </is>
      </c>
      <c r="E529" s="28" t="n">
        <v>45552</v>
      </c>
      <c r="F529" t="inlineStr">
        <is>
          <t>NF-e</t>
        </is>
      </c>
      <c r="G529" t="inlineStr">
        <is>
          <t>000030774</t>
        </is>
      </c>
      <c r="H529" t="inlineStr">
        <is>
          <t>MAIN DESCARTAVEIS E BONBONNIERE</t>
        </is>
      </c>
      <c r="I529" t="inlineStr">
        <is>
          <t>40.959.553/0001-90</t>
        </is>
      </c>
      <c r="J529" s="29" t="n">
        <v>423</v>
      </c>
      <c r="K529" t="inlineStr">
        <is>
          <t>1.556</t>
        </is>
      </c>
      <c r="L529" t="inlineStr">
        <is>
          <t>Não</t>
        </is>
      </c>
      <c r="M529" t="inlineStr">
        <is>
          <t>Compra/outras</t>
        </is>
      </c>
    </row>
    <row r="530">
      <c r="A530" t="inlineStr">
        <is>
          <t>Remessa de mercadoria (categoria 2.01.84)</t>
        </is>
      </c>
      <c r="B530" t="inlineStr">
        <is>
          <t>2.01.84 Remessa de Mercadoria</t>
        </is>
      </c>
      <c r="C530" t="inlineStr">
        <is>
          <t>Antes de 2026</t>
        </is>
      </c>
      <c r="D530" t="inlineStr">
        <is>
          <t>Antes de 2026</t>
        </is>
      </c>
      <c r="E530" s="28" t="n">
        <v>45608</v>
      </c>
      <c r="F530" t="inlineStr">
        <is>
          <t>NF-e</t>
        </is>
      </c>
      <c r="G530" t="inlineStr">
        <is>
          <t>000031092</t>
        </is>
      </c>
      <c r="H530" t="inlineStr">
        <is>
          <t>MAIN DESCARTAVEIS E BONBONNIERE</t>
        </is>
      </c>
      <c r="I530" t="inlineStr">
        <is>
          <t>40.959.553/0001-90</t>
        </is>
      </c>
      <c r="J530" s="29" t="n">
        <v>231</v>
      </c>
      <c r="K530" t="inlineStr">
        <is>
          <t>1.556</t>
        </is>
      </c>
      <c r="L530" t="inlineStr">
        <is>
          <t>Não</t>
        </is>
      </c>
      <c r="M530" t="inlineStr">
        <is>
          <t>Compra/outras</t>
        </is>
      </c>
    </row>
    <row r="531">
      <c r="A531" t="inlineStr">
        <is>
          <t>Remessa de mercadoria (categoria 2.01.84)</t>
        </is>
      </c>
      <c r="B531" t="inlineStr">
        <is>
          <t>2.01.84 Remessa de Mercadoria</t>
        </is>
      </c>
      <c r="C531" t="inlineStr">
        <is>
          <t>Antes de 2026</t>
        </is>
      </c>
      <c r="D531" t="inlineStr">
        <is>
          <t>Antes de 2026</t>
        </is>
      </c>
      <c r="E531" s="28" t="n">
        <v>45631</v>
      </c>
      <c r="F531" t="inlineStr">
        <is>
          <t>NF-e</t>
        </is>
      </c>
      <c r="G531" t="inlineStr">
        <is>
          <t>000031234</t>
        </is>
      </c>
      <c r="H531" t="inlineStr">
        <is>
          <t>MAIN DESCARTAVEIS E BONBONNIERE</t>
        </is>
      </c>
      <c r="I531" t="inlineStr">
        <is>
          <t>40.959.553/0001-90</t>
        </is>
      </c>
      <c r="J531" s="29" t="n">
        <v>1249.5</v>
      </c>
      <c r="K531" t="inlineStr">
        <is>
          <t>1.556</t>
        </is>
      </c>
      <c r="L531" t="inlineStr">
        <is>
          <t>Não</t>
        </is>
      </c>
      <c r="M531" t="inlineStr">
        <is>
          <t>Compra/outras</t>
        </is>
      </c>
    </row>
    <row r="532">
      <c r="A532" t="inlineStr">
        <is>
          <t>Remessa de mercadoria (categoria 2.01.84)</t>
        </is>
      </c>
      <c r="B532" t="inlineStr">
        <is>
          <t>2.01.84 Remessa de Mercadoria</t>
        </is>
      </c>
      <c r="C532" t="inlineStr">
        <is>
          <t>Antes de 2026</t>
        </is>
      </c>
      <c r="D532" t="inlineStr">
        <is>
          <t>Antes de 2026</t>
        </is>
      </c>
      <c r="E532" s="28" t="n">
        <v>45631</v>
      </c>
      <c r="F532" t="inlineStr">
        <is>
          <t>NF-e</t>
        </is>
      </c>
      <c r="G532" t="inlineStr">
        <is>
          <t>000031239</t>
        </is>
      </c>
      <c r="H532" t="inlineStr">
        <is>
          <t>MAIN DESCARTAVEIS E BONBONNIERE</t>
        </is>
      </c>
      <c r="I532" t="inlineStr">
        <is>
          <t>40.959.553/0001-90</t>
        </is>
      </c>
      <c r="J532" s="29" t="n">
        <v>1952.4</v>
      </c>
      <c r="K532" t="inlineStr">
        <is>
          <t>1.556</t>
        </is>
      </c>
      <c r="L532" t="inlineStr">
        <is>
          <t>Não</t>
        </is>
      </c>
      <c r="M532" t="inlineStr">
        <is>
          <t>Compra/outras</t>
        </is>
      </c>
    </row>
    <row r="533">
      <c r="A533" t="inlineStr">
        <is>
          <t>Remessa de mercadoria (categoria 2.01.84)</t>
        </is>
      </c>
      <c r="B533" t="inlineStr">
        <is>
          <t>2.01.84 Remessa de Mercadoria</t>
        </is>
      </c>
      <c r="C533" t="inlineStr">
        <is>
          <t>Antes de 2026</t>
        </is>
      </c>
      <c r="D533" t="inlineStr">
        <is>
          <t>Antes de 2026</t>
        </is>
      </c>
      <c r="E533" s="28" t="n">
        <v>45523</v>
      </c>
      <c r="F533" t="inlineStr">
        <is>
          <t>NF-e</t>
        </is>
      </c>
      <c r="G533" t="inlineStr">
        <is>
          <t>000029402</t>
        </is>
      </c>
      <c r="H533" t="inlineStr">
        <is>
          <t>MAINPLAST DESCARTAVEIS LTDA</t>
        </is>
      </c>
      <c r="I533" t="inlineStr">
        <is>
          <t>04.684.282/0001-44</t>
        </is>
      </c>
      <c r="J533" s="29" t="n">
        <v>287.4</v>
      </c>
      <c r="K533" t="inlineStr">
        <is>
          <t>1.556</t>
        </is>
      </c>
      <c r="L533" t="inlineStr">
        <is>
          <t>Não</t>
        </is>
      </c>
      <c r="M533" t="inlineStr">
        <is>
          <t>Compra/outras</t>
        </is>
      </c>
    </row>
    <row r="534">
      <c r="A534" t="inlineStr">
        <is>
          <t>Remessa de mercadoria (categoria 2.01.84)</t>
        </is>
      </c>
      <c r="B534" t="inlineStr">
        <is>
          <t>2.01.84 Remessa de Mercadoria</t>
        </is>
      </c>
      <c r="C534" t="inlineStr">
        <is>
          <t>Antes de 2026</t>
        </is>
      </c>
      <c r="D534" t="inlineStr">
        <is>
          <t>Antes de 2026</t>
        </is>
      </c>
      <c r="E534" s="28" t="n">
        <v>45568</v>
      </c>
      <c r="F534" t="inlineStr">
        <is>
          <t>NF-e</t>
        </is>
      </c>
      <c r="G534" t="inlineStr">
        <is>
          <t>000029837</t>
        </is>
      </c>
      <c r="H534" t="inlineStr">
        <is>
          <t>MAINPLAST DESCARTAVEIS LTDA</t>
        </is>
      </c>
      <c r="I534" t="inlineStr">
        <is>
          <t>04.684.282/0001-44</t>
        </is>
      </c>
      <c r="J534" s="29" t="n">
        <v>279.2</v>
      </c>
      <c r="K534" t="inlineStr">
        <is>
          <t>1.556</t>
        </is>
      </c>
      <c r="L534" t="inlineStr">
        <is>
          <t>Não</t>
        </is>
      </c>
      <c r="M534" t="inlineStr">
        <is>
          <t>Compra/outras</t>
        </is>
      </c>
    </row>
    <row r="535">
      <c r="A535" t="inlineStr">
        <is>
          <t>Remessa de mercadoria (categoria 2.01.84)</t>
        </is>
      </c>
      <c r="B535" t="inlineStr">
        <is>
          <t>2.01.84 Remessa de Mercadoria</t>
        </is>
      </c>
      <c r="C535" t="inlineStr">
        <is>
          <t>Antes de 2026</t>
        </is>
      </c>
      <c r="D535" t="inlineStr">
        <is>
          <t>Antes de 2026</t>
        </is>
      </c>
      <c r="E535" s="28" t="n">
        <v>45642</v>
      </c>
      <c r="F535" t="inlineStr">
        <is>
          <t>NF-e</t>
        </is>
      </c>
      <c r="G535" t="inlineStr">
        <is>
          <t>000030484</t>
        </is>
      </c>
      <c r="H535" t="inlineStr">
        <is>
          <t>MAINPLAST DESCARTAVEIS LTDA</t>
        </is>
      </c>
      <c r="I535" t="inlineStr">
        <is>
          <t>04.684.282/0001-44</t>
        </is>
      </c>
      <c r="J535" s="29" t="n">
        <v>286.45</v>
      </c>
      <c r="K535" t="inlineStr">
        <is>
          <t>1.556</t>
        </is>
      </c>
      <c r="L535" t="inlineStr">
        <is>
          <t>Não</t>
        </is>
      </c>
      <c r="M535" t="inlineStr">
        <is>
          <t>Compra/outras</t>
        </is>
      </c>
    </row>
    <row r="536">
      <c r="A536" t="inlineStr">
        <is>
          <t>Remessa de mercadoria (categoria 2.01.84)</t>
        </is>
      </c>
      <c r="B536" t="inlineStr">
        <is>
          <t>2.01.84 Remessa de Mercadoria</t>
        </is>
      </c>
      <c r="C536" t="inlineStr">
        <is>
          <t>Antes de 2026</t>
        </is>
      </c>
      <c r="D536" t="inlineStr">
        <is>
          <t>Antes de 2026</t>
        </is>
      </c>
      <c r="E536" s="28" t="n">
        <v>45644</v>
      </c>
      <c r="F536" t="inlineStr">
        <is>
          <t>NF-e</t>
        </is>
      </c>
      <c r="G536" t="inlineStr">
        <is>
          <t>000030387</t>
        </is>
      </c>
      <c r="H536" t="inlineStr">
        <is>
          <t>MAINPLAST DESCARTAVEIS LTDA</t>
        </is>
      </c>
      <c r="I536" t="inlineStr">
        <is>
          <t>04.684.282/0001-44</t>
        </is>
      </c>
      <c r="J536" s="29" t="n">
        <v>1224</v>
      </c>
      <c r="K536" t="inlineStr">
        <is>
          <t>1.556</t>
        </is>
      </c>
      <c r="L536" t="inlineStr">
        <is>
          <t>Não</t>
        </is>
      </c>
      <c r="M536" t="inlineStr">
        <is>
          <t>Compra/outras</t>
        </is>
      </c>
    </row>
    <row r="537">
      <c r="A537" t="inlineStr">
        <is>
          <t>Remessa de mercadoria (categoria 2.01.84)</t>
        </is>
      </c>
      <c r="B537" t="inlineStr">
        <is>
          <t>2.01.84 Remessa de Mercadoria</t>
        </is>
      </c>
      <c r="C537" t="inlineStr">
        <is>
          <t>Antes de 2026</t>
        </is>
      </c>
      <c r="D537" t="inlineStr">
        <is>
          <t>Antes de 2026</t>
        </is>
      </c>
      <c r="E537" s="28" t="n">
        <v>45644</v>
      </c>
      <c r="F537" t="inlineStr">
        <is>
          <t>NF-e</t>
        </is>
      </c>
      <c r="G537" t="inlineStr">
        <is>
          <t>000030388</t>
        </is>
      </c>
      <c r="H537" t="inlineStr">
        <is>
          <t>MAINPLAST DESCARTAVEIS LTDA</t>
        </is>
      </c>
      <c r="I537" t="inlineStr">
        <is>
          <t>04.684.282/0001-44</t>
        </is>
      </c>
      <c r="J537" s="29" t="n">
        <v>1532.48</v>
      </c>
      <c r="K537" t="inlineStr">
        <is>
          <t>1.556</t>
        </is>
      </c>
      <c r="L537" t="inlineStr">
        <is>
          <t>Não</t>
        </is>
      </c>
      <c r="M537" t="inlineStr">
        <is>
          <t>Compra/outras</t>
        </is>
      </c>
    </row>
    <row r="538">
      <c r="A538" t="inlineStr">
        <is>
          <t>Remessa de mercadoria (categoria 2.01.84)</t>
        </is>
      </c>
      <c r="B538" t="inlineStr">
        <is>
          <t>2.01.84 Remessa de Mercadoria</t>
        </is>
      </c>
      <c r="C538" t="inlineStr">
        <is>
          <t>Antes de 2026</t>
        </is>
      </c>
      <c r="D538" t="inlineStr">
        <is>
          <t>Antes de 2026</t>
        </is>
      </c>
      <c r="E538" s="28" t="n">
        <v>45590</v>
      </c>
      <c r="F538" t="inlineStr">
        <is>
          <t>NF-e</t>
        </is>
      </c>
      <c r="G538" t="inlineStr">
        <is>
          <t>000000264</t>
        </is>
      </c>
      <c r="H538" t="inlineStr">
        <is>
          <t>MARIA CELY DE SOUSA SILVA</t>
        </is>
      </c>
      <c r="I538" t="inlineStr">
        <is>
          <t>37.647.124/0001-73</t>
        </is>
      </c>
      <c r="J538" s="29" t="n">
        <v>150</v>
      </c>
      <c r="K538" t="inlineStr">
        <is>
          <t>1.556</t>
        </is>
      </c>
      <c r="L538" t="inlineStr">
        <is>
          <t>Não</t>
        </is>
      </c>
      <c r="M538" t="inlineStr">
        <is>
          <t>Compra/outras</t>
        </is>
      </c>
    </row>
    <row r="539">
      <c r="A539" t="inlineStr">
        <is>
          <t>Remessa de mercadoria (categoria 2.01.84)</t>
        </is>
      </c>
      <c r="B539" t="inlineStr">
        <is>
          <t>2.01.84 Remessa de Mercadoria</t>
        </is>
      </c>
      <c r="C539" t="inlineStr">
        <is>
          <t>Antes de 2026</t>
        </is>
      </c>
      <c r="D539" t="inlineStr">
        <is>
          <t>Antes de 2026</t>
        </is>
      </c>
      <c r="E539" s="28" t="n">
        <v>45638</v>
      </c>
      <c r="F539" t="inlineStr">
        <is>
          <t>NF-e</t>
        </is>
      </c>
      <c r="G539" t="inlineStr">
        <is>
          <t>000000299</t>
        </is>
      </c>
      <c r="H539" t="inlineStr">
        <is>
          <t>MARIA CELY DE SOUSA SILVA</t>
        </is>
      </c>
      <c r="I539" t="inlineStr">
        <is>
          <t>37.647.124/0001-73</t>
        </is>
      </c>
      <c r="J539" s="29" t="n">
        <v>135</v>
      </c>
      <c r="K539" t="inlineStr">
        <is>
          <t>1.556</t>
        </is>
      </c>
      <c r="L539" t="inlineStr">
        <is>
          <t>Não</t>
        </is>
      </c>
      <c r="M539" t="inlineStr">
        <is>
          <t>Compra/outras</t>
        </is>
      </c>
    </row>
    <row r="540">
      <c r="A540" t="inlineStr">
        <is>
          <t>Remessa de mercadoria (categoria 2.01.84)</t>
        </is>
      </c>
      <c r="B540" t="inlineStr">
        <is>
          <t>2.01.84 Remessa de Mercadoria</t>
        </is>
      </c>
      <c r="C540" t="inlineStr">
        <is>
          <t>Antes de 2026</t>
        </is>
      </c>
      <c r="D540" t="inlineStr">
        <is>
          <t>Antes de 2026</t>
        </is>
      </c>
      <c r="E540" s="28" t="n">
        <v>45646</v>
      </c>
      <c r="F540" t="inlineStr">
        <is>
          <t>NF-e</t>
        </is>
      </c>
      <c r="G540" t="inlineStr">
        <is>
          <t>000000303</t>
        </is>
      </c>
      <c r="H540" t="inlineStr">
        <is>
          <t>MARIA CELY DE SOUSA SILVA</t>
        </is>
      </c>
      <c r="I540" t="inlineStr">
        <is>
          <t>37.647.124/0001-73</t>
        </is>
      </c>
      <c r="J540" s="29" t="n">
        <v>135</v>
      </c>
      <c r="K540" t="inlineStr">
        <is>
          <t>1.556</t>
        </is>
      </c>
      <c r="L540" t="inlineStr">
        <is>
          <t>Não</t>
        </is>
      </c>
      <c r="M540" t="inlineStr">
        <is>
          <t>Compra/outras</t>
        </is>
      </c>
    </row>
    <row r="541">
      <c r="A541" t="inlineStr">
        <is>
          <t>Remessa de mercadoria (categoria 2.01.84)</t>
        </is>
      </c>
      <c r="B541" t="inlineStr">
        <is>
          <t>2.01.84 Remessa de Mercadoria</t>
        </is>
      </c>
      <c r="C541" t="inlineStr">
        <is>
          <t>Antes de 2026</t>
        </is>
      </c>
      <c r="D541" t="inlineStr">
        <is>
          <t>Antes de 2026</t>
        </is>
      </c>
      <c r="E541" s="28" t="n">
        <v>45629</v>
      </c>
      <c r="F541" t="inlineStr">
        <is>
          <t>NF-e</t>
        </is>
      </c>
      <c r="G541" t="inlineStr">
        <is>
          <t>000015721</t>
        </is>
      </c>
      <c r="H541" t="inlineStr">
        <is>
          <t>MATEUS SUPERMERCADOS S A MIX BAYEUX</t>
        </is>
      </c>
      <c r="I541" t="inlineStr">
        <is>
          <t>03.995.515/0275-29</t>
        </is>
      </c>
      <c r="J541" s="29" t="n">
        <v>399.93</v>
      </c>
      <c r="K541" t="inlineStr">
        <is>
          <t>1.556</t>
        </is>
      </c>
      <c r="L541" t="inlineStr">
        <is>
          <t>Não</t>
        </is>
      </c>
      <c r="M541" t="inlineStr">
        <is>
          <t>Compra/outras</t>
        </is>
      </c>
    </row>
    <row r="542">
      <c r="A542" t="inlineStr">
        <is>
          <t>Remessa de mercadoria (categoria 2.01.84)</t>
        </is>
      </c>
      <c r="B542" t="inlineStr">
        <is>
          <t>2.01.84 Remessa de Mercadoria</t>
        </is>
      </c>
      <c r="C542" t="inlineStr">
        <is>
          <t>Antes de 2026</t>
        </is>
      </c>
      <c r="D542" t="inlineStr">
        <is>
          <t>Antes de 2026</t>
        </is>
      </c>
      <c r="E542" s="28" t="n">
        <v>45293</v>
      </c>
      <c r="F542" t="inlineStr">
        <is>
          <t>NF-e</t>
        </is>
      </c>
      <c r="G542" t="inlineStr">
        <is>
          <t>001555623</t>
        </is>
      </c>
      <c r="H542" t="inlineStr">
        <is>
          <t>MERRITT MARCENARIA LTDA</t>
        </is>
      </c>
      <c r="I542" t="inlineStr">
        <is>
          <t>35.616.191/0001-03</t>
        </is>
      </c>
      <c r="J542" s="29" t="n">
        <v>33000</v>
      </c>
      <c r="K542" t="inlineStr">
        <is>
          <t>1.556</t>
        </is>
      </c>
      <c r="L542" t="inlineStr">
        <is>
          <t>Não</t>
        </is>
      </c>
      <c r="M542" t="inlineStr">
        <is>
          <t>Compra/outras</t>
        </is>
      </c>
    </row>
    <row r="543">
      <c r="A543" t="inlineStr">
        <is>
          <t>Remessa de mercadoria (categoria 2.01.84)</t>
        </is>
      </c>
      <c r="B543" t="inlineStr">
        <is>
          <t>2.01.84 Remessa de Mercadoria</t>
        </is>
      </c>
      <c r="C543" t="inlineStr">
        <is>
          <t>Antes de 2026</t>
        </is>
      </c>
      <c r="D543" t="inlineStr">
        <is>
          <t>Antes de 2026</t>
        </is>
      </c>
      <c r="E543" s="28" t="n">
        <v>45364</v>
      </c>
      <c r="F543" t="inlineStr">
        <is>
          <t>NF-e</t>
        </is>
      </c>
      <c r="G543" t="inlineStr">
        <is>
          <t>001555627</t>
        </is>
      </c>
      <c r="H543" t="inlineStr">
        <is>
          <t>MERRITT MARCENARIA LTDA</t>
        </is>
      </c>
      <c r="I543" t="inlineStr">
        <is>
          <t>35.616.191/0001-03</t>
        </is>
      </c>
      <c r="J543" s="29" t="n">
        <v>5600</v>
      </c>
      <c r="K543" t="inlineStr">
        <is>
          <t>1.556</t>
        </is>
      </c>
      <c r="L543" t="inlineStr">
        <is>
          <t>Não</t>
        </is>
      </c>
      <c r="M543" t="inlineStr">
        <is>
          <t>Compra/outras</t>
        </is>
      </c>
    </row>
    <row r="544">
      <c r="A544" t="inlineStr">
        <is>
          <t>Remessa de mercadoria (categoria 2.01.84)</t>
        </is>
      </c>
      <c r="B544" t="inlineStr">
        <is>
          <t>2.01.84 Remessa de Mercadoria</t>
        </is>
      </c>
      <c r="C544" t="inlineStr">
        <is>
          <t>Antes de 2026</t>
        </is>
      </c>
      <c r="D544" t="inlineStr">
        <is>
          <t>Antes de 2026</t>
        </is>
      </c>
      <c r="E544" s="28" t="n">
        <v>45545</v>
      </c>
      <c r="F544" t="inlineStr">
        <is>
          <t>NF-e</t>
        </is>
      </c>
      <c r="G544" t="inlineStr">
        <is>
          <t>000000296</t>
        </is>
      </c>
      <c r="H544" t="inlineStr">
        <is>
          <t>MFB MOVEIS PLANEJADOS LTDA</t>
        </is>
      </c>
      <c r="I544" t="inlineStr">
        <is>
          <t>54.825.184/0001-58</t>
        </is>
      </c>
      <c r="J544" s="29" t="n">
        <v>1632.6</v>
      </c>
      <c r="K544" t="inlineStr">
        <is>
          <t>1.556</t>
        </is>
      </c>
      <c r="L544" t="inlineStr">
        <is>
          <t>Não</t>
        </is>
      </c>
      <c r="M544" t="inlineStr">
        <is>
          <t>Compra/outras</t>
        </is>
      </c>
    </row>
    <row r="545">
      <c r="A545" t="inlineStr">
        <is>
          <t>Remessa de mercadoria (categoria 2.01.84)</t>
        </is>
      </c>
      <c r="B545" t="inlineStr">
        <is>
          <t>2.01.84 Remessa de Mercadoria</t>
        </is>
      </c>
      <c r="C545" t="inlineStr">
        <is>
          <t>Antes de 2026</t>
        </is>
      </c>
      <c r="D545" t="inlineStr">
        <is>
          <t>Antes de 2026</t>
        </is>
      </c>
      <c r="E545" s="28" t="n">
        <v>45309</v>
      </c>
      <c r="F545" t="inlineStr">
        <is>
          <t>NF-e</t>
        </is>
      </c>
      <c r="G545" t="inlineStr">
        <is>
          <t>000026931</t>
        </is>
      </c>
      <c r="H545" t="inlineStr">
        <is>
          <t>MIRANDA COMPUTACAO E COMERCIO LTDA</t>
        </is>
      </c>
      <c r="I545" t="inlineStr">
        <is>
          <t>11.982.113/0011-28</t>
        </is>
      </c>
      <c r="J545" s="29" t="n">
        <v>1998</v>
      </c>
      <c r="K545" t="inlineStr">
        <is>
          <t>1.556</t>
        </is>
      </c>
      <c r="L545" t="inlineStr">
        <is>
          <t>Não</t>
        </is>
      </c>
      <c r="M545" t="inlineStr">
        <is>
          <t>Simples faturamento (x.922)</t>
        </is>
      </c>
    </row>
    <row r="546">
      <c r="A546" t="inlineStr">
        <is>
          <t>Remessa de mercadoria (categoria 2.01.84)</t>
        </is>
      </c>
      <c r="B546" t="inlineStr">
        <is>
          <t>2.01.84 Remessa de Mercadoria</t>
        </is>
      </c>
      <c r="C546" t="inlineStr">
        <is>
          <t>Antes de 2026</t>
        </is>
      </c>
      <c r="D546" t="inlineStr">
        <is>
          <t>Antes de 2026</t>
        </is>
      </c>
      <c r="E546" s="28" t="n">
        <v>45310</v>
      </c>
      <c r="F546" t="inlineStr">
        <is>
          <t>NF-e</t>
        </is>
      </c>
      <c r="G546" t="inlineStr">
        <is>
          <t>000026947</t>
        </is>
      </c>
      <c r="H546" t="inlineStr">
        <is>
          <t>MIRANDA COMPUTACAO E COMERCIO LTDA</t>
        </is>
      </c>
      <c r="I546" t="inlineStr">
        <is>
          <t>11.982.113/0011-28</t>
        </is>
      </c>
      <c r="J546" s="29" t="n">
        <v>1998</v>
      </c>
      <c r="K546" t="inlineStr">
        <is>
          <t>1.556</t>
        </is>
      </c>
      <c r="L546" t="inlineStr">
        <is>
          <t>Não</t>
        </is>
      </c>
      <c r="M546" t="inlineStr">
        <is>
          <t>Entrega futura (x.116/x.117)</t>
        </is>
      </c>
    </row>
    <row r="547">
      <c r="A547" t="inlineStr">
        <is>
          <t>Remessa de mercadoria (categoria 2.01.84)</t>
        </is>
      </c>
      <c r="B547" t="inlineStr">
        <is>
          <t>2.01.84 Remessa de Mercadoria</t>
        </is>
      </c>
      <c r="C547" t="inlineStr">
        <is>
          <t>Antes de 2026</t>
        </is>
      </c>
      <c r="D547" t="inlineStr">
        <is>
          <t>Antes de 2026</t>
        </is>
      </c>
      <c r="E547" s="28" t="n">
        <v>45321</v>
      </c>
      <c r="F547" t="inlineStr">
        <is>
          <t>NF-e</t>
        </is>
      </c>
      <c r="G547" t="inlineStr">
        <is>
          <t>000027089</t>
        </is>
      </c>
      <c r="H547" t="inlineStr">
        <is>
          <t>MIRANDA COMPUTACAO E COMERCIO LTDA</t>
        </is>
      </c>
      <c r="I547" t="inlineStr">
        <is>
          <t>11.982.113/0011-28</t>
        </is>
      </c>
      <c r="J547" s="29" t="n">
        <v>9832</v>
      </c>
      <c r="K547" t="inlineStr">
        <is>
          <t>1.556</t>
        </is>
      </c>
      <c r="L547" t="inlineStr">
        <is>
          <t>Não</t>
        </is>
      </c>
      <c r="M547" t="inlineStr">
        <is>
          <t>Simples faturamento (x.922)</t>
        </is>
      </c>
    </row>
    <row r="548">
      <c r="A548" t="inlineStr">
        <is>
          <t>Remessa de mercadoria (categoria 2.01.84)</t>
        </is>
      </c>
      <c r="B548" t="inlineStr">
        <is>
          <t>2.01.84 Remessa de Mercadoria</t>
        </is>
      </c>
      <c r="C548" t="inlineStr">
        <is>
          <t>Antes de 2026</t>
        </is>
      </c>
      <c r="D548" t="inlineStr">
        <is>
          <t>Antes de 2026</t>
        </is>
      </c>
      <c r="E548" s="28" t="n">
        <v>45525</v>
      </c>
      <c r="F548" t="inlineStr">
        <is>
          <t>NF-e</t>
        </is>
      </c>
      <c r="G548" t="inlineStr">
        <is>
          <t>000031377</t>
        </is>
      </c>
      <c r="H548" t="inlineStr">
        <is>
          <t>MIRANDA COMPUTACAO E COMERCIO LTDA</t>
        </is>
      </c>
      <c r="I548" t="inlineStr">
        <is>
          <t>11.982.113/0011-28</t>
        </is>
      </c>
      <c r="J548" s="29" t="n">
        <v>3257</v>
      </c>
      <c r="K548" t="inlineStr">
        <is>
          <t>1.556</t>
        </is>
      </c>
      <c r="L548" t="inlineStr">
        <is>
          <t>Não</t>
        </is>
      </c>
      <c r="M548" t="inlineStr">
        <is>
          <t>Compra/outras</t>
        </is>
      </c>
    </row>
    <row r="549">
      <c r="A549" t="inlineStr">
        <is>
          <t>Remessa de mercadoria (categoria 2.01.84)</t>
        </is>
      </c>
      <c r="B549" t="inlineStr">
        <is>
          <t>2.01.84 Remessa de Mercadoria</t>
        </is>
      </c>
      <c r="C549" t="inlineStr">
        <is>
          <t>Antes de 2026</t>
        </is>
      </c>
      <c r="D549" t="inlineStr">
        <is>
          <t>Antes de 2026</t>
        </is>
      </c>
      <c r="E549" s="28" t="n">
        <v>45643</v>
      </c>
      <c r="F549" t="inlineStr">
        <is>
          <t>NF-e</t>
        </is>
      </c>
      <c r="G549" t="inlineStr">
        <is>
          <t>000000212</t>
        </is>
      </c>
      <c r="H549" t="inlineStr">
        <is>
          <t>MISS PERSONALIZADOS</t>
        </is>
      </c>
      <c r="I549" t="inlineStr">
        <is>
          <t>35.359.784/0001-23</t>
        </is>
      </c>
      <c r="J549" s="29" t="n">
        <v>500</v>
      </c>
      <c r="K549" t="inlineStr">
        <is>
          <t>1.556</t>
        </is>
      </c>
      <c r="L549" t="inlineStr">
        <is>
          <t>Não</t>
        </is>
      </c>
      <c r="M549" t="inlineStr">
        <is>
          <t>Compra/outras</t>
        </is>
      </c>
    </row>
    <row r="550">
      <c r="A550" t="inlineStr">
        <is>
          <t>Remessa de mercadoria (categoria 2.01.84)</t>
        </is>
      </c>
      <c r="B550" t="inlineStr">
        <is>
          <t>2.01.84 Remessa de Mercadoria</t>
        </is>
      </c>
      <c r="C550" t="inlineStr">
        <is>
          <t>Antes de 2026</t>
        </is>
      </c>
      <c r="D550" t="inlineStr">
        <is>
          <t>Antes de 2026</t>
        </is>
      </c>
      <c r="E550" s="28" t="n">
        <v>45338</v>
      </c>
      <c r="F550" t="inlineStr">
        <is>
          <t>NF-e</t>
        </is>
      </c>
      <c r="G550" t="inlineStr">
        <is>
          <t>000006243</t>
        </is>
      </c>
      <c r="H550" t="inlineStr">
        <is>
          <t>MS DISTRIBUIDORA EIRELI</t>
        </is>
      </c>
      <c r="I550" t="inlineStr">
        <is>
          <t>15.156.422/0004-70</t>
        </is>
      </c>
      <c r="J550" s="29" t="n">
        <v>17000</v>
      </c>
      <c r="K550" t="inlineStr">
        <is>
          <t>1.556</t>
        </is>
      </c>
      <c r="L550" t="inlineStr">
        <is>
          <t>Não</t>
        </is>
      </c>
      <c r="M550" t="inlineStr">
        <is>
          <t>Compra/outras</t>
        </is>
      </c>
    </row>
    <row r="551">
      <c r="A551" t="inlineStr">
        <is>
          <t>Remessa de mercadoria (categoria 2.01.84)</t>
        </is>
      </c>
      <c r="B551" t="inlineStr">
        <is>
          <t>2.01.84 Remessa de Mercadoria</t>
        </is>
      </c>
      <c r="C551" t="inlineStr">
        <is>
          <t>Antes de 2026</t>
        </is>
      </c>
      <c r="D551" t="inlineStr">
        <is>
          <t>Antes de 2026</t>
        </is>
      </c>
      <c r="E551" s="28" t="n">
        <v>45370</v>
      </c>
      <c r="F551" t="inlineStr">
        <is>
          <t>NF-e</t>
        </is>
      </c>
      <c r="G551" t="inlineStr">
        <is>
          <t>000001840</t>
        </is>
      </c>
      <c r="H551" t="inlineStr">
        <is>
          <t>MSF COMERCIO DE MADEIRAS E MATERIAIS DE CONSTRUCOES EIRELI</t>
        </is>
      </c>
      <c r="I551" t="inlineStr">
        <is>
          <t>22.659.313/0001-99</t>
        </is>
      </c>
      <c r="J551" s="29" t="n">
        <v>280</v>
      </c>
      <c r="K551" t="inlineStr">
        <is>
          <t>1.556</t>
        </is>
      </c>
      <c r="L551" t="inlineStr">
        <is>
          <t>Não</t>
        </is>
      </c>
      <c r="M551" t="inlineStr">
        <is>
          <t>Compra/outras</t>
        </is>
      </c>
    </row>
    <row r="552">
      <c r="A552" t="inlineStr">
        <is>
          <t>Remessa de mercadoria (categoria 2.01.84)</t>
        </is>
      </c>
      <c r="B552" t="inlineStr">
        <is>
          <t>2.01.84 Remessa de Mercadoria</t>
        </is>
      </c>
      <c r="C552" t="inlineStr">
        <is>
          <t>Antes de 2026</t>
        </is>
      </c>
      <c r="D552" t="inlineStr">
        <is>
          <t>Antes de 2026</t>
        </is>
      </c>
      <c r="E552" s="28" t="n">
        <v>45511</v>
      </c>
      <c r="F552" t="inlineStr">
        <is>
          <t>NF-e</t>
        </is>
      </c>
      <c r="G552" t="inlineStr">
        <is>
          <t>000243088</t>
        </is>
      </c>
      <c r="H552" t="inlineStr">
        <is>
          <t>MULTIPEL COMERCIO LTDA</t>
        </is>
      </c>
      <c r="I552" t="inlineStr">
        <is>
          <t>10.625.806/0001-29</t>
        </is>
      </c>
      <c r="J552" s="29" t="n">
        <v>518</v>
      </c>
      <c r="K552" t="inlineStr">
        <is>
          <t>1.556</t>
        </is>
      </c>
      <c r="L552" t="inlineStr">
        <is>
          <t>Não</t>
        </is>
      </c>
      <c r="M552" t="inlineStr">
        <is>
          <t>Compra/outras</t>
        </is>
      </c>
    </row>
    <row r="553">
      <c r="A553" t="inlineStr">
        <is>
          <t>Remessa de mercadoria (categoria 2.01.84)</t>
        </is>
      </c>
      <c r="B553" t="inlineStr">
        <is>
          <t>2.01.84 Remessa de Mercadoria</t>
        </is>
      </c>
      <c r="C553" t="inlineStr">
        <is>
          <t>Antes de 2026</t>
        </is>
      </c>
      <c r="D553" t="inlineStr">
        <is>
          <t>Antes de 2026</t>
        </is>
      </c>
      <c r="E553" s="28" t="n">
        <v>45538</v>
      </c>
      <c r="F553" t="inlineStr">
        <is>
          <t>NF-e</t>
        </is>
      </c>
      <c r="G553" t="inlineStr">
        <is>
          <t>000245112</t>
        </is>
      </c>
      <c r="H553" t="inlineStr">
        <is>
          <t>MULTIPEL COMERCIO LTDA</t>
        </is>
      </c>
      <c r="I553" t="inlineStr">
        <is>
          <t>10.625.806/0001-29</t>
        </is>
      </c>
      <c r="J553" s="29" t="n">
        <v>518</v>
      </c>
      <c r="K553" t="inlineStr">
        <is>
          <t>1.556</t>
        </is>
      </c>
      <c r="L553" t="inlineStr">
        <is>
          <t>Não</t>
        </is>
      </c>
      <c r="M553" t="inlineStr">
        <is>
          <t>Compra/outras</t>
        </is>
      </c>
    </row>
    <row r="554">
      <c r="A554" t="inlineStr">
        <is>
          <t>Remessa de mercadoria (categoria 2.01.84)</t>
        </is>
      </c>
      <c r="B554" t="inlineStr">
        <is>
          <t>2.01.84 Remessa de Mercadoria</t>
        </is>
      </c>
      <c r="C554" t="inlineStr">
        <is>
          <t>Antes de 2026</t>
        </is>
      </c>
      <c r="D554" t="inlineStr">
        <is>
          <t>Antes de 2026</t>
        </is>
      </c>
      <c r="E554" s="28" t="n">
        <v>45558</v>
      </c>
      <c r="F554" t="inlineStr">
        <is>
          <t>NF-e</t>
        </is>
      </c>
      <c r="G554" t="inlineStr">
        <is>
          <t>000246334</t>
        </is>
      </c>
      <c r="H554" t="inlineStr">
        <is>
          <t>MULTIPEL COMERCIO LTDA</t>
        </is>
      </c>
      <c r="I554" t="inlineStr">
        <is>
          <t>10.625.806/0001-29</t>
        </is>
      </c>
      <c r="J554" s="29" t="n">
        <v>777</v>
      </c>
      <c r="K554" t="inlineStr">
        <is>
          <t>1.556</t>
        </is>
      </c>
      <c r="L554" t="inlineStr">
        <is>
          <t>Não</t>
        </is>
      </c>
      <c r="M554" t="inlineStr">
        <is>
          <t>Compra/outras</t>
        </is>
      </c>
    </row>
    <row r="555">
      <c r="A555" t="inlineStr">
        <is>
          <t>Remessa de mercadoria (categoria 2.01.84)</t>
        </is>
      </c>
      <c r="B555" t="inlineStr">
        <is>
          <t>2.01.84 Remessa de Mercadoria</t>
        </is>
      </c>
      <c r="C555" t="inlineStr">
        <is>
          <t>Antes de 2026</t>
        </is>
      </c>
      <c r="D555" t="inlineStr">
        <is>
          <t>Antes de 2026</t>
        </is>
      </c>
      <c r="E555" s="28" t="n">
        <v>45568</v>
      </c>
      <c r="F555" t="inlineStr">
        <is>
          <t>NF-e</t>
        </is>
      </c>
      <c r="G555" t="inlineStr">
        <is>
          <t>000247154</t>
        </is>
      </c>
      <c r="H555" t="inlineStr">
        <is>
          <t>MULTIPEL COMERCIO LTDA</t>
        </is>
      </c>
      <c r="I555" t="inlineStr">
        <is>
          <t>10.625.806/0001-29</t>
        </is>
      </c>
      <c r="J555" s="29" t="n">
        <v>355.13</v>
      </c>
      <c r="K555" t="inlineStr">
        <is>
          <t>1.556</t>
        </is>
      </c>
      <c r="L555" t="inlineStr">
        <is>
          <t>Não</t>
        </is>
      </c>
      <c r="M555" t="inlineStr">
        <is>
          <t>Compra/outras</t>
        </is>
      </c>
    </row>
    <row r="556">
      <c r="A556" t="inlineStr">
        <is>
          <t>Remessa de mercadoria (categoria 2.01.84)</t>
        </is>
      </c>
      <c r="B556" t="inlineStr">
        <is>
          <t>2.01.84 Remessa de Mercadoria</t>
        </is>
      </c>
      <c r="C556" t="inlineStr">
        <is>
          <t>Antes de 2026</t>
        </is>
      </c>
      <c r="D556" t="inlineStr">
        <is>
          <t>Antes de 2026</t>
        </is>
      </c>
      <c r="E556" s="28" t="n">
        <v>45568</v>
      </c>
      <c r="F556" t="inlineStr">
        <is>
          <t>NF-e</t>
        </is>
      </c>
      <c r="G556" t="inlineStr">
        <is>
          <t>000600966</t>
        </is>
      </c>
      <c r="H556" t="inlineStr">
        <is>
          <t>NESTLE STORES LTDA</t>
        </is>
      </c>
      <c r="I556" t="inlineStr">
        <is>
          <t>39.802.712/0014-84</t>
        </is>
      </c>
      <c r="J556" s="29" t="n">
        <v>359</v>
      </c>
      <c r="K556" t="inlineStr">
        <is>
          <t>1.556</t>
        </is>
      </c>
      <c r="L556" t="inlineStr">
        <is>
          <t>Não</t>
        </is>
      </c>
      <c r="M556" t="inlineStr">
        <is>
          <t>Compra/outras</t>
        </is>
      </c>
    </row>
    <row r="557">
      <c r="A557" t="inlineStr">
        <is>
          <t>Remessa de mercadoria (categoria 2.01.84)</t>
        </is>
      </c>
      <c r="B557" t="inlineStr">
        <is>
          <t>2.01.84 Remessa de Mercadoria</t>
        </is>
      </c>
      <c r="C557" t="inlineStr">
        <is>
          <t>Antes de 2026</t>
        </is>
      </c>
      <c r="D557" t="inlineStr">
        <is>
          <t>Antes de 2026</t>
        </is>
      </c>
      <c r="E557" s="28" t="n">
        <v>45575</v>
      </c>
      <c r="F557" t="inlineStr">
        <is>
          <t>NF-e</t>
        </is>
      </c>
      <c r="G557" t="inlineStr">
        <is>
          <t>000030877</t>
        </is>
      </c>
      <c r="H557" t="inlineStr">
        <is>
          <t>NORDESTE ROLAMENTOS LTDA</t>
        </is>
      </c>
      <c r="I557" t="inlineStr">
        <is>
          <t>05.530.941/0001-50</t>
        </is>
      </c>
      <c r="J557" s="29" t="n">
        <v>3150</v>
      </c>
      <c r="K557" t="inlineStr">
        <is>
          <t>1.556</t>
        </is>
      </c>
      <c r="L557" t="inlineStr">
        <is>
          <t>Não</t>
        </is>
      </c>
      <c r="M557" t="inlineStr">
        <is>
          <t>Compra/outras</t>
        </is>
      </c>
    </row>
    <row r="558">
      <c r="A558" t="inlineStr">
        <is>
          <t>Remessa de mercadoria (categoria 2.01.84)</t>
        </is>
      </c>
      <c r="B558" t="inlineStr">
        <is>
          <t>2.01.84 Remessa de Mercadoria</t>
        </is>
      </c>
      <c r="C558" t="inlineStr">
        <is>
          <t>Antes de 2026</t>
        </is>
      </c>
      <c r="D558" t="inlineStr">
        <is>
          <t>Antes de 2026</t>
        </is>
      </c>
      <c r="E558" s="28" t="n">
        <v>45540</v>
      </c>
      <c r="F558" t="inlineStr">
        <is>
          <t>NF-e</t>
        </is>
      </c>
      <c r="G558" t="inlineStr">
        <is>
          <t>000220908</t>
        </is>
      </c>
      <c r="H558" t="inlineStr">
        <is>
          <t>NORDIFE MATERIAIS ELETRICOS LTDA</t>
        </is>
      </c>
      <c r="I558" t="inlineStr">
        <is>
          <t>35.589.365/0004-20</t>
        </is>
      </c>
      <c r="J558" s="29" t="n">
        <v>752.5599999999999</v>
      </c>
      <c r="K558" t="inlineStr">
        <is>
          <t>1.556</t>
        </is>
      </c>
      <c r="L558" t="inlineStr">
        <is>
          <t>Não</t>
        </is>
      </c>
      <c r="M558" t="inlineStr">
        <is>
          <t>Compra/outras</t>
        </is>
      </c>
    </row>
    <row r="559">
      <c r="A559" t="inlineStr">
        <is>
          <t>Remessa de mercadoria (categoria 2.01.84)</t>
        </is>
      </c>
      <c r="B559" t="inlineStr">
        <is>
          <t>2.01.84 Remessa de Mercadoria</t>
        </is>
      </c>
      <c r="C559" t="inlineStr">
        <is>
          <t>Antes de 2026</t>
        </is>
      </c>
      <c r="D559" t="inlineStr">
        <is>
          <t>Antes de 2026</t>
        </is>
      </c>
      <c r="E559" s="28" t="n">
        <v>45569</v>
      </c>
      <c r="F559" t="inlineStr">
        <is>
          <t>NF-e</t>
        </is>
      </c>
      <c r="G559" t="inlineStr">
        <is>
          <t>000221720</t>
        </is>
      </c>
      <c r="H559" t="inlineStr">
        <is>
          <t>NORDIFE MATERIAIS ELETRICOS LTDA</t>
        </is>
      </c>
      <c r="I559" t="inlineStr">
        <is>
          <t>35.589.365/0004-20</t>
        </is>
      </c>
      <c r="J559" s="29" t="n">
        <v>4380.38</v>
      </c>
      <c r="K559" t="inlineStr">
        <is>
          <t>1.556</t>
        </is>
      </c>
      <c r="L559" t="inlineStr">
        <is>
          <t>Não</t>
        </is>
      </c>
      <c r="M559" t="inlineStr">
        <is>
          <t>Compra/outras</t>
        </is>
      </c>
    </row>
    <row r="560">
      <c r="A560" t="inlineStr">
        <is>
          <t>Remessa de mercadoria (categoria 2.01.84)</t>
        </is>
      </c>
      <c r="B560" t="inlineStr">
        <is>
          <t>2.01.84 Remessa de Mercadoria</t>
        </is>
      </c>
      <c r="C560" t="inlineStr">
        <is>
          <t>Antes de 2026</t>
        </is>
      </c>
      <c r="D560" t="inlineStr">
        <is>
          <t>Antes de 2026</t>
        </is>
      </c>
      <c r="E560" s="28" t="n">
        <v>45575</v>
      </c>
      <c r="F560" t="inlineStr">
        <is>
          <t>NF-e</t>
        </is>
      </c>
      <c r="G560" t="inlineStr">
        <is>
          <t>000221954</t>
        </is>
      </c>
      <c r="H560" t="inlineStr">
        <is>
          <t>NORDIFE MATERIAIS ELETRICOS LTDA</t>
        </is>
      </c>
      <c r="I560" t="inlineStr">
        <is>
          <t>35.589.365/0004-20</t>
        </is>
      </c>
      <c r="J560" s="29" t="n">
        <v>103.9</v>
      </c>
      <c r="K560" t="inlineStr">
        <is>
          <t>1.556</t>
        </is>
      </c>
      <c r="L560" t="inlineStr">
        <is>
          <t>Não</t>
        </is>
      </c>
      <c r="M560" t="inlineStr">
        <is>
          <t>Compra/outras</t>
        </is>
      </c>
    </row>
    <row r="561">
      <c r="A561" t="inlineStr">
        <is>
          <t>Remessa de mercadoria (categoria 2.01.84)</t>
        </is>
      </c>
      <c r="B561" t="inlineStr">
        <is>
          <t>2.01.84 Remessa de Mercadoria</t>
        </is>
      </c>
      <c r="C561" t="inlineStr">
        <is>
          <t>Antes de 2026</t>
        </is>
      </c>
      <c r="D561" t="inlineStr">
        <is>
          <t>Antes de 2026</t>
        </is>
      </c>
      <c r="E561" s="28" t="n">
        <v>45509</v>
      </c>
      <c r="F561" t="inlineStr">
        <is>
          <t>NF-e</t>
        </is>
      </c>
      <c r="G561" t="inlineStr">
        <is>
          <t>000000028</t>
        </is>
      </c>
      <c r="H561" t="inlineStr">
        <is>
          <t>NOVA CONPEL COMPANHIA NORDESTINA DE PAPEL LTDA</t>
        </is>
      </c>
      <c r="I561" t="inlineStr">
        <is>
          <t>55.330.530/0001-90</t>
        </is>
      </c>
      <c r="J561" s="29" t="n">
        <v>14274.89</v>
      </c>
      <c r="K561" t="inlineStr">
        <is>
          <t>1.556</t>
        </is>
      </c>
      <c r="L561" t="inlineStr">
        <is>
          <t>Não</t>
        </is>
      </c>
      <c r="M561" t="inlineStr">
        <is>
          <t>Compra/outras</t>
        </is>
      </c>
    </row>
    <row r="562">
      <c r="A562" t="inlineStr">
        <is>
          <t>Remessa de mercadoria (categoria 2.01.84)</t>
        </is>
      </c>
      <c r="B562" t="inlineStr">
        <is>
          <t>2.01.84 Remessa de Mercadoria</t>
        </is>
      </c>
      <c r="C562" t="inlineStr">
        <is>
          <t>Antes de 2026</t>
        </is>
      </c>
      <c r="D562" t="inlineStr">
        <is>
          <t>Antes de 2026</t>
        </is>
      </c>
      <c r="E562" s="28" t="n">
        <v>45512</v>
      </c>
      <c r="F562" t="inlineStr">
        <is>
          <t>NF-e</t>
        </is>
      </c>
      <c r="G562" t="inlineStr">
        <is>
          <t>000000110</t>
        </is>
      </c>
      <c r="H562" t="inlineStr">
        <is>
          <t>NOVA CONPEL COMPANHIA NORDESTINA DE PAPEL LTDA</t>
        </is>
      </c>
      <c r="I562" t="inlineStr">
        <is>
          <t>55.330.530/0001-90</t>
        </is>
      </c>
      <c r="J562" s="29" t="n">
        <v>5313</v>
      </c>
      <c r="K562" t="inlineStr">
        <is>
          <t>1.556</t>
        </is>
      </c>
      <c r="L562" t="inlineStr">
        <is>
          <t>Não</t>
        </is>
      </c>
      <c r="M562" t="inlineStr">
        <is>
          <t>Compra/outras</t>
        </is>
      </c>
    </row>
    <row r="563">
      <c r="A563" t="inlineStr">
        <is>
          <t>Remessa de mercadoria (categoria 2.01.84)</t>
        </is>
      </c>
      <c r="B563" t="inlineStr">
        <is>
          <t>2.01.84 Remessa de Mercadoria</t>
        </is>
      </c>
      <c r="C563" t="inlineStr">
        <is>
          <t>Antes de 2026</t>
        </is>
      </c>
      <c r="D563" t="inlineStr">
        <is>
          <t>Antes de 2026</t>
        </is>
      </c>
      <c r="E563" s="28" t="n">
        <v>45525</v>
      </c>
      <c r="F563" t="inlineStr">
        <is>
          <t>NF-e</t>
        </is>
      </c>
      <c r="G563" t="inlineStr">
        <is>
          <t>000000342</t>
        </is>
      </c>
      <c r="H563" t="inlineStr">
        <is>
          <t>NOVA CONPEL COMPANHIA NORDESTINA DE PAPEL LTDA</t>
        </is>
      </c>
      <c r="I563" t="inlineStr">
        <is>
          <t>55.330.530/0001-90</t>
        </is>
      </c>
      <c r="J563" s="29" t="n">
        <v>7423.02</v>
      </c>
      <c r="K563" t="inlineStr">
        <is>
          <t>1.556</t>
        </is>
      </c>
      <c r="L563" t="inlineStr">
        <is>
          <t>Não</t>
        </is>
      </c>
      <c r="M563" t="inlineStr">
        <is>
          <t>Compra/outras</t>
        </is>
      </c>
    </row>
    <row r="564">
      <c r="A564" t="inlineStr">
        <is>
          <t>Remessa de mercadoria (categoria 2.01.84)</t>
        </is>
      </c>
      <c r="B564" t="inlineStr">
        <is>
          <t>2.01.84 Remessa de Mercadoria</t>
        </is>
      </c>
      <c r="C564" t="inlineStr">
        <is>
          <t>Antes de 2026</t>
        </is>
      </c>
      <c r="D564" t="inlineStr">
        <is>
          <t>Antes de 2026</t>
        </is>
      </c>
      <c r="E564" s="28" t="n">
        <v>45533</v>
      </c>
      <c r="F564" t="inlineStr">
        <is>
          <t>NF-e</t>
        </is>
      </c>
      <c r="G564" t="inlineStr">
        <is>
          <t>000000471</t>
        </is>
      </c>
      <c r="H564" t="inlineStr">
        <is>
          <t>NOVA CONPEL COMPANHIA NORDESTINA DE PAPEL LTDA</t>
        </is>
      </c>
      <c r="I564" t="inlineStr">
        <is>
          <t>55.330.530/0001-90</t>
        </is>
      </c>
      <c r="J564" s="29" t="n">
        <v>7590</v>
      </c>
      <c r="K564" t="inlineStr">
        <is>
          <t>1.556</t>
        </is>
      </c>
      <c r="L564" t="inlineStr">
        <is>
          <t>Não</t>
        </is>
      </c>
      <c r="M564" t="inlineStr">
        <is>
          <t>Compra/outras</t>
        </is>
      </c>
    </row>
    <row r="565">
      <c r="A565" t="inlineStr">
        <is>
          <t>Remessa de mercadoria (categoria 2.01.84)</t>
        </is>
      </c>
      <c r="B565" t="inlineStr">
        <is>
          <t>2.01.84 Remessa de Mercadoria</t>
        </is>
      </c>
      <c r="C565" t="inlineStr">
        <is>
          <t>Antes de 2026</t>
        </is>
      </c>
      <c r="D565" t="inlineStr">
        <is>
          <t>Antes de 2026</t>
        </is>
      </c>
      <c r="E565" s="28" t="n">
        <v>45546</v>
      </c>
      <c r="F565" t="inlineStr">
        <is>
          <t>NF-e</t>
        </is>
      </c>
      <c r="G565" t="inlineStr">
        <is>
          <t>000000697</t>
        </is>
      </c>
      <c r="H565" t="inlineStr">
        <is>
          <t>NOVA CONPEL COMPANHIA NORDESTINA DE PAPEL LTDA</t>
        </is>
      </c>
      <c r="I565" t="inlineStr">
        <is>
          <t>55.330.530/0001-90</t>
        </is>
      </c>
      <c r="J565" s="29" t="n">
        <v>25926.81</v>
      </c>
      <c r="K565" t="inlineStr">
        <is>
          <t>1.556</t>
        </is>
      </c>
      <c r="L565" t="inlineStr">
        <is>
          <t>Não</t>
        </is>
      </c>
      <c r="M565" t="inlineStr">
        <is>
          <t>Compra/outras</t>
        </is>
      </c>
    </row>
    <row r="566">
      <c r="A566" t="inlineStr">
        <is>
          <t>Remessa de mercadoria (categoria 2.01.84)</t>
        </is>
      </c>
      <c r="B566" t="inlineStr">
        <is>
          <t>2.01.84 Remessa de Mercadoria</t>
        </is>
      </c>
      <c r="C566" t="inlineStr">
        <is>
          <t>Antes de 2026</t>
        </is>
      </c>
      <c r="D566" t="inlineStr">
        <is>
          <t>Antes de 2026</t>
        </is>
      </c>
      <c r="E566" s="28" t="n">
        <v>45546</v>
      </c>
      <c r="F566" t="inlineStr">
        <is>
          <t>NF-e</t>
        </is>
      </c>
      <c r="G566" t="inlineStr">
        <is>
          <t>000000700</t>
        </is>
      </c>
      <c r="H566" t="inlineStr">
        <is>
          <t>NOVA CONPEL COMPANHIA NORDESTINA DE PAPEL LTDA</t>
        </is>
      </c>
      <c r="I566" t="inlineStr">
        <is>
          <t>55.330.530/0001-90</t>
        </is>
      </c>
      <c r="J566" s="29" t="n">
        <v>18136.3</v>
      </c>
      <c r="K566" t="inlineStr">
        <is>
          <t>1.556</t>
        </is>
      </c>
      <c r="L566" t="inlineStr">
        <is>
          <t>Não</t>
        </is>
      </c>
      <c r="M566" t="inlineStr">
        <is>
          <t>Compra/outras</t>
        </is>
      </c>
    </row>
    <row r="567">
      <c r="A567" t="inlineStr">
        <is>
          <t>Remessa de mercadoria (categoria 2.01.84)</t>
        </is>
      </c>
      <c r="B567" t="inlineStr">
        <is>
          <t>2.01.84 Remessa de Mercadoria</t>
        </is>
      </c>
      <c r="C567" t="inlineStr">
        <is>
          <t>Antes de 2026</t>
        </is>
      </c>
      <c r="D567" t="inlineStr">
        <is>
          <t>Antes de 2026</t>
        </is>
      </c>
      <c r="E567" s="28" t="n">
        <v>45554</v>
      </c>
      <c r="F567" t="inlineStr">
        <is>
          <t>NF-e</t>
        </is>
      </c>
      <c r="G567" t="inlineStr">
        <is>
          <t>000000871</t>
        </is>
      </c>
      <c r="H567" t="inlineStr">
        <is>
          <t>NOVA CONPEL COMPANHIA NORDESTINA DE PAPEL LTDA</t>
        </is>
      </c>
      <c r="I567" t="inlineStr">
        <is>
          <t>55.330.530/0001-90</t>
        </is>
      </c>
      <c r="J567" s="29" t="n">
        <v>19210.43</v>
      </c>
      <c r="K567" t="inlineStr">
        <is>
          <t>1.556</t>
        </is>
      </c>
      <c r="L567" t="inlineStr">
        <is>
          <t>Não</t>
        </is>
      </c>
      <c r="M567" t="inlineStr">
        <is>
          <t>Compra/outras</t>
        </is>
      </c>
    </row>
    <row r="568">
      <c r="A568" t="inlineStr">
        <is>
          <t>Remessa de mercadoria (categoria 2.01.84)</t>
        </is>
      </c>
      <c r="B568" t="inlineStr">
        <is>
          <t>2.01.84 Remessa de Mercadoria</t>
        </is>
      </c>
      <c r="C568" t="inlineStr">
        <is>
          <t>Antes de 2026</t>
        </is>
      </c>
      <c r="D568" t="inlineStr">
        <is>
          <t>Antes de 2026</t>
        </is>
      </c>
      <c r="E568" s="28" t="n">
        <v>45555</v>
      </c>
      <c r="F568" t="inlineStr">
        <is>
          <t>NF-e</t>
        </is>
      </c>
      <c r="G568" t="inlineStr">
        <is>
          <t>000000892</t>
        </is>
      </c>
      <c r="H568" t="inlineStr">
        <is>
          <t>NOVA CONPEL COMPANHIA NORDESTINA DE PAPEL LTDA</t>
        </is>
      </c>
      <c r="I568" t="inlineStr">
        <is>
          <t>55.330.530/0001-90</t>
        </is>
      </c>
      <c r="J568" s="29" t="n">
        <v>17890.32</v>
      </c>
      <c r="K568" t="inlineStr">
        <is>
          <t>1.556</t>
        </is>
      </c>
      <c r="L568" t="inlineStr">
        <is>
          <t>Não</t>
        </is>
      </c>
      <c r="M568" t="inlineStr">
        <is>
          <t>Compra/outras</t>
        </is>
      </c>
    </row>
    <row r="569">
      <c r="A569" t="inlineStr">
        <is>
          <t>Remessa de mercadoria (categoria 2.01.84)</t>
        </is>
      </c>
      <c r="B569" t="inlineStr">
        <is>
          <t>2.01.84 Remessa de Mercadoria</t>
        </is>
      </c>
      <c r="C569" t="inlineStr">
        <is>
          <t>Antes de 2026</t>
        </is>
      </c>
      <c r="D569" t="inlineStr">
        <is>
          <t>Antes de 2026</t>
        </is>
      </c>
      <c r="E569" s="28" t="n">
        <v>45569</v>
      </c>
      <c r="F569" t="inlineStr">
        <is>
          <t>NF-e</t>
        </is>
      </c>
      <c r="G569" t="inlineStr">
        <is>
          <t>000001163</t>
        </is>
      </c>
      <c r="H569" t="inlineStr">
        <is>
          <t>NOVA CONPEL COMPANHIA NORDESTINA DE PAPEL LTDA</t>
        </is>
      </c>
      <c r="I569" t="inlineStr">
        <is>
          <t>55.330.530/0001-90</t>
        </is>
      </c>
      <c r="J569" s="29" t="n">
        <v>8028.9</v>
      </c>
      <c r="K569" t="inlineStr">
        <is>
          <t>1.556</t>
        </is>
      </c>
      <c r="L569" t="inlineStr">
        <is>
          <t>Não</t>
        </is>
      </c>
      <c r="M569" t="inlineStr">
        <is>
          <t>Compra/outras</t>
        </is>
      </c>
    </row>
    <row r="570">
      <c r="A570" t="inlineStr">
        <is>
          <t>Remessa de mercadoria (categoria 2.01.84)</t>
        </is>
      </c>
      <c r="B570" t="inlineStr">
        <is>
          <t>2.01.84 Remessa de Mercadoria</t>
        </is>
      </c>
      <c r="C570" t="inlineStr">
        <is>
          <t>Antes de 2026</t>
        </is>
      </c>
      <c r="D570" t="inlineStr">
        <is>
          <t>Antes de 2026</t>
        </is>
      </c>
      <c r="E570" s="28" t="n">
        <v>45572</v>
      </c>
      <c r="F570" t="inlineStr">
        <is>
          <t>NF-e</t>
        </is>
      </c>
      <c r="G570" t="inlineStr">
        <is>
          <t>000001179</t>
        </is>
      </c>
      <c r="H570" t="inlineStr">
        <is>
          <t>NOVA CONPEL COMPANHIA NORDESTINA DE PAPEL LTDA</t>
        </is>
      </c>
      <c r="I570" t="inlineStr">
        <is>
          <t>55.330.530/0001-90</t>
        </is>
      </c>
      <c r="J570" s="29" t="n">
        <v>38541.1</v>
      </c>
      <c r="K570" t="inlineStr">
        <is>
          <t>1.556</t>
        </is>
      </c>
      <c r="L570" t="inlineStr">
        <is>
          <t>Não</t>
        </is>
      </c>
      <c r="M570" t="inlineStr">
        <is>
          <t>Compra/outras</t>
        </is>
      </c>
    </row>
    <row r="571">
      <c r="A571" t="inlineStr">
        <is>
          <t>Remessa de mercadoria (categoria 2.01.84)</t>
        </is>
      </c>
      <c r="B571" t="inlineStr">
        <is>
          <t>2.01.84 Remessa de Mercadoria</t>
        </is>
      </c>
      <c r="C571" t="inlineStr">
        <is>
          <t>Antes de 2026</t>
        </is>
      </c>
      <c r="D571" t="inlineStr">
        <is>
          <t>Antes de 2026</t>
        </is>
      </c>
      <c r="E571" s="28" t="n">
        <v>45572</v>
      </c>
      <c r="F571" t="inlineStr">
        <is>
          <t>NF-e</t>
        </is>
      </c>
      <c r="G571" t="inlineStr">
        <is>
          <t>000001193</t>
        </is>
      </c>
      <c r="H571" t="inlineStr">
        <is>
          <t>NOVA CONPEL COMPANHIA NORDESTINA DE PAPEL LTDA</t>
        </is>
      </c>
      <c r="I571" t="inlineStr">
        <is>
          <t>55.330.530/0001-90</t>
        </is>
      </c>
      <c r="J571" s="29" t="n">
        <v>23701.96</v>
      </c>
      <c r="K571" t="inlineStr">
        <is>
          <t>1.556</t>
        </is>
      </c>
      <c r="L571" t="inlineStr">
        <is>
          <t>Não</t>
        </is>
      </c>
      <c r="M571" t="inlineStr">
        <is>
          <t>Compra/outras</t>
        </is>
      </c>
    </row>
    <row r="572">
      <c r="A572" t="inlineStr">
        <is>
          <t>Remessa de mercadoria (categoria 2.01.84)</t>
        </is>
      </c>
      <c r="B572" t="inlineStr">
        <is>
          <t>2.01.84 Remessa de Mercadoria</t>
        </is>
      </c>
      <c r="C572" t="inlineStr">
        <is>
          <t>Antes de 2026</t>
        </is>
      </c>
      <c r="D572" t="inlineStr">
        <is>
          <t>Antes de 2026</t>
        </is>
      </c>
      <c r="E572" s="28" t="n">
        <v>45603</v>
      </c>
      <c r="F572" t="inlineStr">
        <is>
          <t>NF-e</t>
        </is>
      </c>
      <c r="G572" t="inlineStr">
        <is>
          <t>000001850</t>
        </is>
      </c>
      <c r="H572" t="inlineStr">
        <is>
          <t>NOVA CONPEL COMPANHIA NORDESTINA DE PAPEL LTDA</t>
        </is>
      </c>
      <c r="I572" t="inlineStr">
        <is>
          <t>55.330.530/0001-90</t>
        </is>
      </c>
      <c r="J572" s="29" t="n">
        <v>50160.99</v>
      </c>
      <c r="K572" t="inlineStr">
        <is>
          <t>1.556</t>
        </is>
      </c>
      <c r="L572" t="inlineStr">
        <is>
          <t>Não</t>
        </is>
      </c>
      <c r="M572" t="inlineStr">
        <is>
          <t>Compra/outras</t>
        </is>
      </c>
    </row>
    <row r="573">
      <c r="A573" t="inlineStr">
        <is>
          <t>Remessa de mercadoria (categoria 2.01.84)</t>
        </is>
      </c>
      <c r="B573" t="inlineStr">
        <is>
          <t>2.01.84 Remessa de Mercadoria</t>
        </is>
      </c>
      <c r="C573" t="inlineStr">
        <is>
          <t>Antes de 2026</t>
        </is>
      </c>
      <c r="D573" t="inlineStr">
        <is>
          <t>Antes de 2026</t>
        </is>
      </c>
      <c r="E573" s="28" t="n">
        <v>45604</v>
      </c>
      <c r="F573" t="inlineStr">
        <is>
          <t>NF-e</t>
        </is>
      </c>
      <c r="G573" t="inlineStr">
        <is>
          <t>000001865</t>
        </is>
      </c>
      <c r="H573" t="inlineStr">
        <is>
          <t>NOVA CONPEL COMPANHIA NORDESTINA DE PAPEL LTDA</t>
        </is>
      </c>
      <c r="I573" t="inlineStr">
        <is>
          <t>55.330.530/0001-90</t>
        </is>
      </c>
      <c r="J573" s="29" t="n">
        <v>29271.09</v>
      </c>
      <c r="K573" t="inlineStr">
        <is>
          <t>1.556</t>
        </is>
      </c>
      <c r="L573" t="inlineStr">
        <is>
          <t>Não</t>
        </is>
      </c>
      <c r="M573" t="inlineStr">
        <is>
          <t>Compra/outras</t>
        </is>
      </c>
    </row>
    <row r="574">
      <c r="A574" t="inlineStr">
        <is>
          <t>Remessa de mercadoria (categoria 2.01.84)</t>
        </is>
      </c>
      <c r="B574" t="inlineStr">
        <is>
          <t>2.01.84 Remessa de Mercadoria</t>
        </is>
      </c>
      <c r="C574" t="inlineStr">
        <is>
          <t>Antes de 2026</t>
        </is>
      </c>
      <c r="D574" t="inlineStr">
        <is>
          <t>Antes de 2026</t>
        </is>
      </c>
      <c r="E574" s="28" t="n">
        <v>45609</v>
      </c>
      <c r="F574" t="inlineStr">
        <is>
          <t>NF-e</t>
        </is>
      </c>
      <c r="G574" t="inlineStr">
        <is>
          <t>000001953</t>
        </is>
      </c>
      <c r="H574" t="inlineStr">
        <is>
          <t>NOVA CONPEL COMPANHIA NORDESTINA DE PAPEL LTDA</t>
        </is>
      </c>
      <c r="I574" t="inlineStr">
        <is>
          <t>55.330.530/0001-90</t>
        </is>
      </c>
      <c r="J574" s="29" t="n">
        <v>7370.35</v>
      </c>
      <c r="K574" t="inlineStr">
        <is>
          <t>1.556</t>
        </is>
      </c>
      <c r="L574" t="inlineStr">
        <is>
          <t>Não</t>
        </is>
      </c>
      <c r="M574" t="inlineStr">
        <is>
          <t>Compra/outras</t>
        </is>
      </c>
    </row>
    <row r="575">
      <c r="A575" t="inlineStr">
        <is>
          <t>Remessa de mercadoria (categoria 2.01.84)</t>
        </is>
      </c>
      <c r="B575" t="inlineStr">
        <is>
          <t>2.01.84 Remessa de Mercadoria</t>
        </is>
      </c>
      <c r="C575" t="inlineStr">
        <is>
          <t>Antes de 2026</t>
        </is>
      </c>
      <c r="D575" t="inlineStr">
        <is>
          <t>Antes de 2026</t>
        </is>
      </c>
      <c r="E575" s="28" t="n">
        <v>45610</v>
      </c>
      <c r="F575" t="inlineStr">
        <is>
          <t>NF-e</t>
        </is>
      </c>
      <c r="G575" t="inlineStr">
        <is>
          <t>000001996</t>
        </is>
      </c>
      <c r="H575" t="inlineStr">
        <is>
          <t>NOVA CONPEL COMPANHIA NORDESTINA DE PAPEL LTDA</t>
        </is>
      </c>
      <c r="I575" t="inlineStr">
        <is>
          <t>55.330.530/0001-90</t>
        </is>
      </c>
      <c r="J575" s="29" t="n">
        <v>6589.96</v>
      </c>
      <c r="K575" t="inlineStr">
        <is>
          <t>1.556</t>
        </is>
      </c>
      <c r="L575" t="inlineStr">
        <is>
          <t>Não</t>
        </is>
      </c>
      <c r="M575" t="inlineStr">
        <is>
          <t>Compra/outras</t>
        </is>
      </c>
    </row>
    <row r="576">
      <c r="A576" t="inlineStr">
        <is>
          <t>Remessa de mercadoria (categoria 2.01.84)</t>
        </is>
      </c>
      <c r="B576" t="inlineStr">
        <is>
          <t>2.01.84 Remessa de Mercadoria</t>
        </is>
      </c>
      <c r="C576" t="inlineStr">
        <is>
          <t>Antes de 2026</t>
        </is>
      </c>
      <c r="D576" t="inlineStr">
        <is>
          <t>Antes de 2026</t>
        </is>
      </c>
      <c r="E576" s="28" t="n">
        <v>45631</v>
      </c>
      <c r="F576" t="inlineStr">
        <is>
          <t>NF-e</t>
        </is>
      </c>
      <c r="G576" t="inlineStr">
        <is>
          <t>000002376</t>
        </is>
      </c>
      <c r="H576" t="inlineStr">
        <is>
          <t>NOVA CONPEL COMPANHIA NORDESTINA DE PAPEL LTDA</t>
        </is>
      </c>
      <c r="I576" t="inlineStr">
        <is>
          <t>55.330.530/0001-90</t>
        </is>
      </c>
      <c r="J576" s="29" t="n">
        <v>7616.28</v>
      </c>
      <c r="K576" t="inlineStr">
        <is>
          <t>1.556</t>
        </is>
      </c>
      <c r="L576" t="inlineStr">
        <is>
          <t>Não</t>
        </is>
      </c>
      <c r="M576" t="inlineStr">
        <is>
          <t>Compra/outras</t>
        </is>
      </c>
    </row>
    <row r="577">
      <c r="A577" t="inlineStr">
        <is>
          <t>Remessa de mercadoria (categoria 2.01.84)</t>
        </is>
      </c>
      <c r="B577" t="inlineStr">
        <is>
          <t>2.01.84 Remessa de Mercadoria</t>
        </is>
      </c>
      <c r="C577" t="inlineStr">
        <is>
          <t>Antes de 2026</t>
        </is>
      </c>
      <c r="D577" t="inlineStr">
        <is>
          <t>Antes de 2026</t>
        </is>
      </c>
      <c r="E577" s="28" t="n">
        <v>45632</v>
      </c>
      <c r="F577" t="inlineStr">
        <is>
          <t>NF-e</t>
        </is>
      </c>
      <c r="G577" t="inlineStr">
        <is>
          <t>000002395</t>
        </is>
      </c>
      <c r="H577" t="inlineStr">
        <is>
          <t>NOVA CONPEL COMPANHIA NORDESTINA DE PAPEL LTDA</t>
        </is>
      </c>
      <c r="I577" t="inlineStr">
        <is>
          <t>55.330.530/0001-90</t>
        </is>
      </c>
      <c r="J577" s="29" t="n">
        <v>7702.24</v>
      </c>
      <c r="K577" t="inlineStr">
        <is>
          <t>1.556</t>
        </is>
      </c>
      <c r="L577" t="inlineStr">
        <is>
          <t>Não</t>
        </is>
      </c>
      <c r="M577" t="inlineStr">
        <is>
          <t>Compra/outras</t>
        </is>
      </c>
    </row>
    <row r="578">
      <c r="A578" t="inlineStr">
        <is>
          <t>Remessa de mercadoria (categoria 2.01.84)</t>
        </is>
      </c>
      <c r="B578" t="inlineStr">
        <is>
          <t>2.01.84 Remessa de Mercadoria</t>
        </is>
      </c>
      <c r="C578" t="inlineStr">
        <is>
          <t>Antes de 2026</t>
        </is>
      </c>
      <c r="D578" t="inlineStr">
        <is>
          <t>Antes de 2026</t>
        </is>
      </c>
      <c r="E578" s="28" t="n">
        <v>45635</v>
      </c>
      <c r="F578" t="inlineStr">
        <is>
          <t>NF-e</t>
        </is>
      </c>
      <c r="G578" t="inlineStr">
        <is>
          <t>000002442</t>
        </is>
      </c>
      <c r="H578" t="inlineStr">
        <is>
          <t>NOVA CONPEL COMPANHIA NORDESTINA DE PAPEL LTDA</t>
        </is>
      </c>
      <c r="I578" t="inlineStr">
        <is>
          <t>55.330.530/0001-90</t>
        </is>
      </c>
      <c r="J578" s="29" t="n">
        <v>12647.7</v>
      </c>
      <c r="K578" t="inlineStr">
        <is>
          <t>1.556</t>
        </is>
      </c>
      <c r="L578" t="inlineStr">
        <is>
          <t>Não</t>
        </is>
      </c>
      <c r="M578" t="inlineStr">
        <is>
          <t>Compra/outras</t>
        </is>
      </c>
    </row>
    <row r="579">
      <c r="A579" t="inlineStr">
        <is>
          <t>Remessa de mercadoria (categoria 2.01.84)</t>
        </is>
      </c>
      <c r="B579" t="inlineStr">
        <is>
          <t>2.01.84 Remessa de Mercadoria</t>
        </is>
      </c>
      <c r="C579" t="inlineStr">
        <is>
          <t>Antes de 2026</t>
        </is>
      </c>
      <c r="D579" t="inlineStr">
        <is>
          <t>Antes de 2026</t>
        </is>
      </c>
      <c r="E579" s="28" t="n">
        <v>45637</v>
      </c>
      <c r="F579" t="inlineStr">
        <is>
          <t>NF-e</t>
        </is>
      </c>
      <c r="G579" t="inlineStr">
        <is>
          <t>000002479</t>
        </is>
      </c>
      <c r="H579" t="inlineStr">
        <is>
          <t>NOVA CONPEL COMPANHIA NORDESTINA DE PAPEL LTDA</t>
        </is>
      </c>
      <c r="I579" t="inlineStr">
        <is>
          <t>55.330.530/0001-90</t>
        </is>
      </c>
      <c r="J579" s="29" t="n">
        <v>20044.96</v>
      </c>
      <c r="K579" t="inlineStr">
        <is>
          <t>1.556</t>
        </is>
      </c>
      <c r="L579" t="inlineStr">
        <is>
          <t>Não</t>
        </is>
      </c>
      <c r="M579" t="inlineStr">
        <is>
          <t>Compra/outras</t>
        </is>
      </c>
    </row>
    <row r="580">
      <c r="A580" t="inlineStr">
        <is>
          <t>Remessa de mercadoria (categoria 2.01.84)</t>
        </is>
      </c>
      <c r="B580" t="inlineStr">
        <is>
          <t>2.01.84 Remessa de Mercadoria</t>
        </is>
      </c>
      <c r="C580" t="inlineStr">
        <is>
          <t>Antes de 2026</t>
        </is>
      </c>
      <c r="D580" t="inlineStr">
        <is>
          <t>Antes de 2026</t>
        </is>
      </c>
      <c r="E580" s="28" t="n">
        <v>45638</v>
      </c>
      <c r="F580" t="inlineStr">
        <is>
          <t>NF-e</t>
        </is>
      </c>
      <c r="G580" t="inlineStr">
        <is>
          <t>000002498</t>
        </is>
      </c>
      <c r="H580" t="inlineStr">
        <is>
          <t>NOVA CONPEL COMPANHIA NORDESTINA DE PAPEL LTDA</t>
        </is>
      </c>
      <c r="I580" t="inlineStr">
        <is>
          <t>55.330.530/0001-90</t>
        </is>
      </c>
      <c r="J580" s="29" t="n">
        <v>15480.73</v>
      </c>
      <c r="K580" t="inlineStr">
        <is>
          <t>1.556</t>
        </is>
      </c>
      <c r="L580" t="inlineStr">
        <is>
          <t>Não</t>
        </is>
      </c>
      <c r="M580" t="inlineStr">
        <is>
          <t>Compra/outras</t>
        </is>
      </c>
    </row>
    <row r="581">
      <c r="A581" t="inlineStr">
        <is>
          <t>Remessa de mercadoria (categoria 2.01.84)</t>
        </is>
      </c>
      <c r="B581" t="inlineStr">
        <is>
          <t>2.01.84 Remessa de Mercadoria</t>
        </is>
      </c>
      <c r="C581" t="inlineStr">
        <is>
          <t>Antes de 2026</t>
        </is>
      </c>
      <c r="D581" t="inlineStr">
        <is>
          <t>Antes de 2026</t>
        </is>
      </c>
      <c r="E581" s="28" t="n">
        <v>45665</v>
      </c>
      <c r="F581" t="inlineStr">
        <is>
          <t>NF-e</t>
        </is>
      </c>
      <c r="G581" t="inlineStr">
        <is>
          <t>000002911</t>
        </is>
      </c>
      <c r="H581" t="inlineStr">
        <is>
          <t>NOVA CONPEL COMPANHIA NORDESTINA DE PAPEL LTDA</t>
        </is>
      </c>
      <c r="I581" t="inlineStr">
        <is>
          <t>55.330.530/0001-90</t>
        </is>
      </c>
      <c r="J581" s="29" t="n">
        <v>5789.97</v>
      </c>
      <c r="K581" t="inlineStr">
        <is>
          <t>1.556</t>
        </is>
      </c>
      <c r="L581" t="inlineStr">
        <is>
          <t>Não</t>
        </is>
      </c>
      <c r="M581" t="inlineStr">
        <is>
          <t>Compra/outras</t>
        </is>
      </c>
    </row>
    <row r="582">
      <c r="A582" t="inlineStr">
        <is>
          <t>Remessa de mercadoria (categoria 2.01.84)</t>
        </is>
      </c>
      <c r="B582" t="inlineStr">
        <is>
          <t>2.01.84 Remessa de Mercadoria</t>
        </is>
      </c>
      <c r="C582" t="inlineStr">
        <is>
          <t>Antes de 2026</t>
        </is>
      </c>
      <c r="D582" t="inlineStr">
        <is>
          <t>Antes de 2026</t>
        </is>
      </c>
      <c r="E582" s="28" t="n">
        <v>45666</v>
      </c>
      <c r="F582" t="inlineStr">
        <is>
          <t>NF-e</t>
        </is>
      </c>
      <c r="G582" t="inlineStr">
        <is>
          <t>000002920</t>
        </is>
      </c>
      <c r="H582" t="inlineStr">
        <is>
          <t>NOVA CONPEL COMPANHIA NORDESTINA DE PAPEL LTDA</t>
        </is>
      </c>
      <c r="I582" t="inlineStr">
        <is>
          <t>55.330.530/0001-90</t>
        </is>
      </c>
      <c r="J582" s="29" t="n">
        <v>9007.82</v>
      </c>
      <c r="K582" t="inlineStr">
        <is>
          <t>1.556</t>
        </is>
      </c>
      <c r="L582" t="inlineStr">
        <is>
          <t>Não</t>
        </is>
      </c>
      <c r="M582" t="inlineStr">
        <is>
          <t>Compra/outras</t>
        </is>
      </c>
    </row>
    <row r="583">
      <c r="A583" t="inlineStr">
        <is>
          <t>Remessa de mercadoria (categoria 2.01.84)</t>
        </is>
      </c>
      <c r="B583" t="inlineStr">
        <is>
          <t>2.01.84 Remessa de Mercadoria</t>
        </is>
      </c>
      <c r="C583" t="inlineStr">
        <is>
          <t>Antes de 2026</t>
        </is>
      </c>
      <c r="D583" t="inlineStr">
        <is>
          <t>Antes de 2026</t>
        </is>
      </c>
      <c r="E583" s="28" t="n">
        <v>45938</v>
      </c>
      <c r="F583" t="inlineStr">
        <is>
          <t>NF-e</t>
        </is>
      </c>
      <c r="G583" t="inlineStr">
        <is>
          <t>000009254</t>
        </is>
      </c>
      <c r="H583" t="inlineStr">
        <is>
          <t>NOVA CONPEL COMPANHIA NORDESTINA DE PAPEL LTDA</t>
        </is>
      </c>
      <c r="I583" t="inlineStr">
        <is>
          <t>55.330.530/0001-90</t>
        </is>
      </c>
      <c r="J583" s="29" t="n">
        <v>71498.25</v>
      </c>
      <c r="K583" t="inlineStr">
        <is>
          <t>1.556</t>
        </is>
      </c>
      <c r="L583" t="inlineStr">
        <is>
          <t>Não</t>
        </is>
      </c>
      <c r="M583" t="inlineStr">
        <is>
          <t>Compra/outras</t>
        </is>
      </c>
    </row>
    <row r="584">
      <c r="A584" t="inlineStr">
        <is>
          <t>Remessa de mercadoria (categoria 2.01.84)</t>
        </is>
      </c>
      <c r="B584" t="inlineStr">
        <is>
          <t>2.01.84 Remessa de Mercadoria</t>
        </is>
      </c>
      <c r="C584" t="inlineStr">
        <is>
          <t>Antes de 2026</t>
        </is>
      </c>
      <c r="D584" t="inlineStr">
        <is>
          <t>Antes de 2026</t>
        </is>
      </c>
      <c r="E584" s="28" t="n">
        <v>45363</v>
      </c>
      <c r="F584" t="inlineStr">
        <is>
          <t>NF-e</t>
        </is>
      </c>
      <c r="G584" t="inlineStr">
        <is>
          <t>000075110</t>
        </is>
      </c>
      <c r="H584" t="inlineStr">
        <is>
          <t>NOVA EMBALAGEM LTDA</t>
        </is>
      </c>
      <c r="I584" t="inlineStr">
        <is>
          <t>02.595.624/0001-24</t>
        </is>
      </c>
      <c r="J584" s="29" t="n">
        <v>16914</v>
      </c>
      <c r="K584" t="inlineStr">
        <is>
          <t>1.556</t>
        </is>
      </c>
      <c r="L584" t="inlineStr">
        <is>
          <t>Não</t>
        </is>
      </c>
      <c r="M584" t="inlineStr">
        <is>
          <t>Compra/outras</t>
        </is>
      </c>
    </row>
    <row r="585">
      <c r="A585" t="inlineStr">
        <is>
          <t>Remessa de mercadoria (categoria 2.01.84)</t>
        </is>
      </c>
      <c r="B585" t="inlineStr">
        <is>
          <t>2.01.84 Remessa de Mercadoria</t>
        </is>
      </c>
      <c r="C585" t="inlineStr">
        <is>
          <t>Antes de 2026</t>
        </is>
      </c>
      <c r="D585" t="inlineStr">
        <is>
          <t>Antes de 2026</t>
        </is>
      </c>
      <c r="E585" s="28" t="n">
        <v>45316</v>
      </c>
      <c r="F585" t="inlineStr">
        <is>
          <t>NF-e</t>
        </is>
      </c>
      <c r="G585" t="inlineStr">
        <is>
          <t>000024178</t>
        </is>
      </c>
      <c r="H585" t="inlineStr">
        <is>
          <t>NOVA FENIX EMBALAGENS E MATERIAL LIMPEZA LTDA</t>
        </is>
      </c>
      <c r="I585" t="inlineStr">
        <is>
          <t>14.616.883/0001-73</t>
        </is>
      </c>
      <c r="J585" s="29" t="n">
        <v>18776</v>
      </c>
      <c r="K585" t="inlineStr">
        <is>
          <t>1.556</t>
        </is>
      </c>
      <c r="L585" t="inlineStr">
        <is>
          <t>Não</t>
        </is>
      </c>
      <c r="M585" t="inlineStr">
        <is>
          <t>Compra/outras</t>
        </is>
      </c>
    </row>
    <row r="586">
      <c r="A586" t="inlineStr">
        <is>
          <t>Remessa de mercadoria (categoria 2.01.84)</t>
        </is>
      </c>
      <c r="B586" t="inlineStr">
        <is>
          <t>2.01.84 Remessa de Mercadoria</t>
        </is>
      </c>
      <c r="C586" t="inlineStr">
        <is>
          <t>Antes de 2026</t>
        </is>
      </c>
      <c r="D586" t="inlineStr">
        <is>
          <t>Antes de 2026</t>
        </is>
      </c>
      <c r="E586" s="28" t="n">
        <v>45642</v>
      </c>
      <c r="F586" t="inlineStr">
        <is>
          <t>NF-e</t>
        </is>
      </c>
      <c r="G586" t="inlineStr">
        <is>
          <t>000018708</t>
        </is>
      </c>
      <c r="H586" t="inlineStr">
        <is>
          <t>O CESTAO COMERCIO VAREJISTA LTDA</t>
        </is>
      </c>
      <c r="I586" t="inlineStr">
        <is>
          <t>30.410.689/0001-93</t>
        </is>
      </c>
      <c r="J586" s="29" t="n">
        <v>59.7</v>
      </c>
      <c r="K586" t="inlineStr">
        <is>
          <t>1.556</t>
        </is>
      </c>
      <c r="L586" t="inlineStr">
        <is>
          <t>Não</t>
        </is>
      </c>
      <c r="M586" t="inlineStr">
        <is>
          <t>Compra/outras</t>
        </is>
      </c>
    </row>
    <row r="587">
      <c r="A587" t="inlineStr">
        <is>
          <t>Remessa de mercadoria (categoria 2.01.84)</t>
        </is>
      </c>
      <c r="B587" t="inlineStr">
        <is>
          <t>2.01.84 Remessa de Mercadoria</t>
        </is>
      </c>
      <c r="C587" t="inlineStr">
        <is>
          <t>Antes de 2026</t>
        </is>
      </c>
      <c r="D587" t="inlineStr">
        <is>
          <t>Antes de 2026</t>
        </is>
      </c>
      <c r="E587" s="28" t="n">
        <v>45510</v>
      </c>
      <c r="F587" t="inlineStr">
        <is>
          <t>NF-e</t>
        </is>
      </c>
      <c r="G587" t="inlineStr">
        <is>
          <t>000000134</t>
        </is>
      </c>
      <c r="H587" t="inlineStr">
        <is>
          <t>ODAFLEXO COMERCIO DE PRODUTOS FLEXOGRAFICOS LTDA</t>
        </is>
      </c>
      <c r="I587" t="inlineStr">
        <is>
          <t>50.859.160/0001-69</t>
        </is>
      </c>
      <c r="J587" s="29" t="n">
        <v>3150</v>
      </c>
      <c r="K587" t="inlineStr">
        <is>
          <t>1.556</t>
        </is>
      </c>
      <c r="L587" t="inlineStr">
        <is>
          <t>Não</t>
        </is>
      </c>
      <c r="M587" t="inlineStr">
        <is>
          <t>Compra/outras</t>
        </is>
      </c>
    </row>
    <row r="588">
      <c r="A588" t="inlineStr">
        <is>
          <t>Remessa de mercadoria (categoria 2.01.84)</t>
        </is>
      </c>
      <c r="B588" t="inlineStr">
        <is>
          <t>2.01.84 Remessa de Mercadoria</t>
        </is>
      </c>
      <c r="C588" t="inlineStr">
        <is>
          <t>Antes de 2026</t>
        </is>
      </c>
      <c r="D588" t="inlineStr">
        <is>
          <t>Antes de 2026</t>
        </is>
      </c>
      <c r="E588" s="28" t="n">
        <v>45534</v>
      </c>
      <c r="F588" t="inlineStr">
        <is>
          <t>NF-e</t>
        </is>
      </c>
      <c r="G588" t="inlineStr">
        <is>
          <t>000000602</t>
        </is>
      </c>
      <c r="H588" t="inlineStr">
        <is>
          <t>PALU COMERCIO DE VESTUARIOS E ACESSORIOS LTDA</t>
        </is>
      </c>
      <c r="I588" t="inlineStr">
        <is>
          <t>32.017.304/0004-09</t>
        </is>
      </c>
      <c r="J588" s="29" t="n">
        <v>1888.6</v>
      </c>
      <c r="K588" t="inlineStr">
        <is>
          <t>1.556</t>
        </is>
      </c>
      <c r="L588" t="inlineStr">
        <is>
          <t>Não</t>
        </is>
      </c>
      <c r="M588" t="inlineStr">
        <is>
          <t>Compra/outras</t>
        </is>
      </c>
    </row>
    <row r="589">
      <c r="A589" t="inlineStr">
        <is>
          <t>Remessa de mercadoria (categoria 2.01.84)</t>
        </is>
      </c>
      <c r="B589" t="inlineStr">
        <is>
          <t>2.01.84 Remessa de Mercadoria</t>
        </is>
      </c>
      <c r="C589" t="inlineStr">
        <is>
          <t>Antes de 2026</t>
        </is>
      </c>
      <c r="D589" t="inlineStr">
        <is>
          <t>Antes de 2026</t>
        </is>
      </c>
      <c r="E589" s="28" t="n">
        <v>45618</v>
      </c>
      <c r="F589" t="inlineStr">
        <is>
          <t>NF-e</t>
        </is>
      </c>
      <c r="G589" t="inlineStr">
        <is>
          <t>000000901</t>
        </is>
      </c>
      <c r="H589" t="inlineStr">
        <is>
          <t>PRIMER ESTAMPARIA E COMERCIO DE CONFECCAO LTDA</t>
        </is>
      </c>
      <c r="I589" t="inlineStr">
        <is>
          <t>37.676.116/0001-55</t>
        </is>
      </c>
      <c r="J589" s="29" t="n">
        <v>3410</v>
      </c>
      <c r="K589" t="inlineStr">
        <is>
          <t>1.556</t>
        </is>
      </c>
      <c r="L589" t="inlineStr">
        <is>
          <t>Não</t>
        </is>
      </c>
      <c r="M589" t="inlineStr">
        <is>
          <t>Compra/outras</t>
        </is>
      </c>
    </row>
    <row r="590">
      <c r="A590" t="inlineStr">
        <is>
          <t>Remessa de mercadoria (categoria 2.01.84)</t>
        </is>
      </c>
      <c r="B590" t="inlineStr">
        <is>
          <t>2.01.84 Remessa de Mercadoria</t>
        </is>
      </c>
      <c r="C590" t="inlineStr">
        <is>
          <t>Antes de 2026</t>
        </is>
      </c>
      <c r="D590" t="inlineStr">
        <is>
          <t>Antes de 2026</t>
        </is>
      </c>
      <c r="E590" s="28" t="n">
        <v>45294</v>
      </c>
      <c r="F590" t="inlineStr">
        <is>
          <t>NF-e</t>
        </is>
      </c>
      <c r="G590" t="inlineStr">
        <is>
          <t>000001702</t>
        </is>
      </c>
      <c r="H590" t="inlineStr">
        <is>
          <t>PRODUTOS, SERVICOS E TINTAS LATINOAMERICANOS PROYSA LTDA</t>
        </is>
      </c>
      <c r="I590" t="inlineStr">
        <is>
          <t>39.345.175/0001-76</t>
        </is>
      </c>
      <c r="J590" s="29" t="n">
        <v>14814</v>
      </c>
      <c r="K590" t="inlineStr">
        <is>
          <t>1.556</t>
        </is>
      </c>
      <c r="L590" t="inlineStr">
        <is>
          <t>Não</t>
        </is>
      </c>
      <c r="M590" t="inlineStr">
        <is>
          <t>Compra/outras</t>
        </is>
      </c>
    </row>
    <row r="591">
      <c r="A591" t="inlineStr">
        <is>
          <t>Remessa de mercadoria (categoria 2.01.84)</t>
        </is>
      </c>
      <c r="B591" t="inlineStr">
        <is>
          <t>2.01.84 Remessa de Mercadoria</t>
        </is>
      </c>
      <c r="C591" t="inlineStr">
        <is>
          <t>Antes de 2026</t>
        </is>
      </c>
      <c r="D591" t="inlineStr">
        <is>
          <t>Antes de 2026</t>
        </is>
      </c>
      <c r="E591" s="28" t="n">
        <v>45301</v>
      </c>
      <c r="F591" t="inlineStr">
        <is>
          <t>NF-e</t>
        </is>
      </c>
      <c r="G591" t="inlineStr">
        <is>
          <t>000001721</t>
        </is>
      </c>
      <c r="H591" t="inlineStr">
        <is>
          <t>PRODUTOS, SERVICOS E TINTAS LATINOAMERICANOS PROYSA LTDA</t>
        </is>
      </c>
      <c r="I591" t="inlineStr">
        <is>
          <t>39.345.175/0001-76</t>
        </is>
      </c>
      <c r="J591" s="29" t="n">
        <v>55790</v>
      </c>
      <c r="K591" t="inlineStr">
        <is>
          <t>1.556</t>
        </is>
      </c>
      <c r="L591" t="inlineStr">
        <is>
          <t>Não</t>
        </is>
      </c>
      <c r="M591" t="inlineStr">
        <is>
          <t>Compra/outras</t>
        </is>
      </c>
    </row>
    <row r="592">
      <c r="A592" t="inlineStr">
        <is>
          <t>Remessa de mercadoria (categoria 2.01.84)</t>
        </is>
      </c>
      <c r="B592" t="inlineStr">
        <is>
          <t>2.01.84 Remessa de Mercadoria</t>
        </is>
      </c>
      <c r="C592" t="inlineStr">
        <is>
          <t>Antes de 2026</t>
        </is>
      </c>
      <c r="D592" t="inlineStr">
        <is>
          <t>Antes de 2026</t>
        </is>
      </c>
      <c r="E592" s="28" t="n">
        <v>45317</v>
      </c>
      <c r="F592" t="inlineStr">
        <is>
          <t>NF-e</t>
        </is>
      </c>
      <c r="G592" t="inlineStr">
        <is>
          <t>000001748</t>
        </is>
      </c>
      <c r="H592" t="inlineStr">
        <is>
          <t>PRODUTOS, SERVICOS E TINTAS LATINOAMERICANOS PROYSA LTDA</t>
        </is>
      </c>
      <c r="I592" t="inlineStr">
        <is>
          <t>39.345.175/0001-76</t>
        </is>
      </c>
      <c r="J592" s="29" t="n">
        <v>4669.6</v>
      </c>
      <c r="K592" t="inlineStr">
        <is>
          <t>1.556</t>
        </is>
      </c>
      <c r="L592" t="inlineStr">
        <is>
          <t>Não</t>
        </is>
      </c>
      <c r="M592" t="inlineStr">
        <is>
          <t>Compra/outras</t>
        </is>
      </c>
    </row>
    <row r="593">
      <c r="A593" t="inlineStr">
        <is>
          <t>Remessa de mercadoria (categoria 2.01.84)</t>
        </is>
      </c>
      <c r="B593" t="inlineStr">
        <is>
          <t>2.01.84 Remessa de Mercadoria</t>
        </is>
      </c>
      <c r="C593" t="inlineStr">
        <is>
          <t>Antes de 2026</t>
        </is>
      </c>
      <c r="D593" t="inlineStr">
        <is>
          <t>Antes de 2026</t>
        </is>
      </c>
      <c r="E593" s="28" t="n">
        <v>45356</v>
      </c>
      <c r="F593" t="inlineStr">
        <is>
          <t>NF-e</t>
        </is>
      </c>
      <c r="G593" t="inlineStr">
        <is>
          <t>000001824</t>
        </is>
      </c>
      <c r="H593" t="inlineStr">
        <is>
          <t>PRODUTOS, SERVICOS E TINTAS LATINOAMERICANOS PROYSA LTDA</t>
        </is>
      </c>
      <c r="I593" t="inlineStr">
        <is>
          <t>39.345.175/0001-76</t>
        </is>
      </c>
      <c r="J593" s="29" t="n">
        <v>18722.8</v>
      </c>
      <c r="K593" t="inlineStr">
        <is>
          <t>1.556</t>
        </is>
      </c>
      <c r="L593" t="inlineStr">
        <is>
          <t>Não</t>
        </is>
      </c>
      <c r="M593" t="inlineStr">
        <is>
          <t>Compra/outras</t>
        </is>
      </c>
    </row>
    <row r="594">
      <c r="A594" t="inlineStr">
        <is>
          <t>Remessa de mercadoria (categoria 2.01.84)</t>
        </is>
      </c>
      <c r="B594" t="inlineStr">
        <is>
          <t>2.01.84 Remessa de Mercadoria</t>
        </is>
      </c>
      <c r="C594" t="inlineStr">
        <is>
          <t>Antes de 2026</t>
        </is>
      </c>
      <c r="D594" t="inlineStr">
        <is>
          <t>Antes de 2026</t>
        </is>
      </c>
      <c r="E594" s="28" t="n">
        <v>45495</v>
      </c>
      <c r="F594" t="inlineStr">
        <is>
          <t>NF-e</t>
        </is>
      </c>
      <c r="G594" t="inlineStr">
        <is>
          <t>000002076</t>
        </is>
      </c>
      <c r="H594" t="inlineStr">
        <is>
          <t>PRODUTOS, SERVICOS E TINTAS LATINOAMERICANOS PROYSA LTDA</t>
        </is>
      </c>
      <c r="I594" t="inlineStr">
        <is>
          <t>39.345.175/0001-76</t>
        </is>
      </c>
      <c r="J594" s="29" t="n">
        <v>1675</v>
      </c>
      <c r="K594" t="inlineStr">
        <is>
          <t>1.556</t>
        </is>
      </c>
      <c r="L594" t="inlineStr">
        <is>
          <t>Não</t>
        </is>
      </c>
      <c r="M594" t="inlineStr">
        <is>
          <t>Compra/outras</t>
        </is>
      </c>
    </row>
    <row r="595">
      <c r="A595" t="inlineStr">
        <is>
          <t>Remessa de mercadoria (categoria 2.01.84)</t>
        </is>
      </c>
      <c r="B595" t="inlineStr">
        <is>
          <t>2.01.84 Remessa de Mercadoria</t>
        </is>
      </c>
      <c r="C595" t="inlineStr">
        <is>
          <t>Antes de 2026</t>
        </is>
      </c>
      <c r="D595" t="inlineStr">
        <is>
          <t>Antes de 2026</t>
        </is>
      </c>
      <c r="E595" s="28" t="n">
        <v>45497</v>
      </c>
      <c r="F595" t="inlineStr">
        <is>
          <t>NF-e</t>
        </is>
      </c>
      <c r="G595" t="inlineStr">
        <is>
          <t>000002080</t>
        </is>
      </c>
      <c r="H595" t="inlineStr">
        <is>
          <t>PRODUTOS, SERVICOS E TINTAS LATINOAMERICANOS PROYSA LTDA</t>
        </is>
      </c>
      <c r="I595" t="inlineStr">
        <is>
          <t>39.345.175/0001-76</t>
        </is>
      </c>
      <c r="J595" s="29" t="n">
        <v>1675</v>
      </c>
      <c r="K595" t="inlineStr">
        <is>
          <t>1.556</t>
        </is>
      </c>
      <c r="L595" t="inlineStr">
        <is>
          <t>Não</t>
        </is>
      </c>
      <c r="M595" t="inlineStr">
        <is>
          <t>Compra/outras</t>
        </is>
      </c>
    </row>
    <row r="596">
      <c r="A596" t="inlineStr">
        <is>
          <t>Remessa de mercadoria (categoria 2.01.84)</t>
        </is>
      </c>
      <c r="B596" t="inlineStr">
        <is>
          <t>2.01.84 Remessa de Mercadoria</t>
        </is>
      </c>
      <c r="C596" t="inlineStr">
        <is>
          <t>Antes de 2026</t>
        </is>
      </c>
      <c r="D596" t="inlineStr">
        <is>
          <t>Antes de 2026</t>
        </is>
      </c>
      <c r="E596" s="28" t="n">
        <v>45505</v>
      </c>
      <c r="F596" t="inlineStr">
        <is>
          <t>NF-e</t>
        </is>
      </c>
      <c r="G596" t="inlineStr">
        <is>
          <t>000002092</t>
        </is>
      </c>
      <c r="H596" t="inlineStr">
        <is>
          <t>PRODUTOS, SERVICOS E TINTAS LATINOAMERICANOS PROYSA LTDA</t>
        </is>
      </c>
      <c r="I596" t="inlineStr">
        <is>
          <t>39.345.175/0001-76</t>
        </is>
      </c>
      <c r="J596" s="29" t="n">
        <v>10050</v>
      </c>
      <c r="K596" t="inlineStr">
        <is>
          <t>1.556</t>
        </is>
      </c>
      <c r="L596" t="inlineStr">
        <is>
          <t>Não</t>
        </is>
      </c>
      <c r="M596" t="inlineStr">
        <is>
          <t>Compra/outras</t>
        </is>
      </c>
    </row>
    <row r="597">
      <c r="A597" t="inlineStr">
        <is>
          <t>Remessa de mercadoria (categoria 2.01.84)</t>
        </is>
      </c>
      <c r="B597" t="inlineStr">
        <is>
          <t>2.01.84 Remessa de Mercadoria</t>
        </is>
      </c>
      <c r="C597" t="inlineStr">
        <is>
          <t>Antes de 2026</t>
        </is>
      </c>
      <c r="D597" t="inlineStr">
        <is>
          <t>Antes de 2026</t>
        </is>
      </c>
      <c r="E597" s="28" t="n">
        <v>45512</v>
      </c>
      <c r="F597" t="inlineStr">
        <is>
          <t>NF-e</t>
        </is>
      </c>
      <c r="G597" t="inlineStr">
        <is>
          <t>000002105</t>
        </is>
      </c>
      <c r="H597" t="inlineStr">
        <is>
          <t>PRODUTOS, SERVICOS E TINTAS LATINOAMERICANOS PROYSA LTDA</t>
        </is>
      </c>
      <c r="I597" t="inlineStr">
        <is>
          <t>39.345.175/0001-76</t>
        </is>
      </c>
      <c r="J597" s="29" t="n">
        <v>7052.6</v>
      </c>
      <c r="K597" t="inlineStr">
        <is>
          <t>1.556</t>
        </is>
      </c>
      <c r="L597" t="inlineStr">
        <is>
          <t>Não</t>
        </is>
      </c>
      <c r="M597" t="inlineStr">
        <is>
          <t>Compra/outras</t>
        </is>
      </c>
    </row>
    <row r="598">
      <c r="A598" t="inlineStr">
        <is>
          <t>Remessa de mercadoria (categoria 2.01.84)</t>
        </is>
      </c>
      <c r="B598" t="inlineStr">
        <is>
          <t>2.01.84 Remessa de Mercadoria</t>
        </is>
      </c>
      <c r="C598" t="inlineStr">
        <is>
          <t>Antes de 2026</t>
        </is>
      </c>
      <c r="D598" t="inlineStr">
        <is>
          <t>Antes de 2026</t>
        </is>
      </c>
      <c r="E598" s="28" t="n">
        <v>45530</v>
      </c>
      <c r="F598" t="inlineStr">
        <is>
          <t>NF-e</t>
        </is>
      </c>
      <c r="G598" t="inlineStr">
        <is>
          <t>000002140</t>
        </is>
      </c>
      <c r="H598" t="inlineStr">
        <is>
          <t>PRODUTOS, SERVICOS E TINTAS LATINOAMERICANOS PROYSA LTDA</t>
        </is>
      </c>
      <c r="I598" t="inlineStr">
        <is>
          <t>39.345.175/0001-76</t>
        </is>
      </c>
      <c r="J598" s="29" t="n">
        <v>12451.8</v>
      </c>
      <c r="K598" t="inlineStr">
        <is>
          <t>1.556</t>
        </is>
      </c>
      <c r="L598" t="inlineStr">
        <is>
          <t>Não</t>
        </is>
      </c>
      <c r="M598" t="inlineStr">
        <is>
          <t>Compra/outras</t>
        </is>
      </c>
    </row>
    <row r="599">
      <c r="A599" t="inlineStr">
        <is>
          <t>Remessa de mercadoria (categoria 2.01.84)</t>
        </is>
      </c>
      <c r="B599" t="inlineStr">
        <is>
          <t>2.01.84 Remessa de Mercadoria</t>
        </is>
      </c>
      <c r="C599" t="inlineStr">
        <is>
          <t>Antes de 2026</t>
        </is>
      </c>
      <c r="D599" t="inlineStr">
        <is>
          <t>Antes de 2026</t>
        </is>
      </c>
      <c r="E599" s="28" t="n">
        <v>45531</v>
      </c>
      <c r="F599" t="inlineStr">
        <is>
          <t>NF-e</t>
        </is>
      </c>
      <c r="G599" t="inlineStr">
        <is>
          <t>000002148</t>
        </is>
      </c>
      <c r="H599" t="inlineStr">
        <is>
          <t>PRODUTOS, SERVICOS E TINTAS LATINOAMERICANOS PROYSA LTDA</t>
        </is>
      </c>
      <c r="I599" t="inlineStr">
        <is>
          <t>39.345.175/0001-76</t>
        </is>
      </c>
      <c r="J599" s="29" t="n">
        <v>0.11</v>
      </c>
      <c r="K599" t="inlineStr">
        <is>
          <t>1.556</t>
        </is>
      </c>
      <c r="L599" t="inlineStr">
        <is>
          <t>Não</t>
        </is>
      </c>
      <c r="M599" t="inlineStr">
        <is>
          <t>Compra/outras</t>
        </is>
      </c>
    </row>
    <row r="600">
      <c r="A600" t="inlineStr">
        <is>
          <t>Remessa de mercadoria (categoria 2.01.84)</t>
        </is>
      </c>
      <c r="B600" t="inlineStr">
        <is>
          <t>2.01.84 Remessa de Mercadoria</t>
        </is>
      </c>
      <c r="C600" t="inlineStr">
        <is>
          <t>Antes de 2026</t>
        </is>
      </c>
      <c r="D600" t="inlineStr">
        <is>
          <t>Antes de 2026</t>
        </is>
      </c>
      <c r="E600" s="28" t="n">
        <v>45544</v>
      </c>
      <c r="F600" t="inlineStr">
        <is>
          <t>NF-e</t>
        </is>
      </c>
      <c r="G600" t="inlineStr">
        <is>
          <t>000002177</t>
        </is>
      </c>
      <c r="H600" t="inlineStr">
        <is>
          <t>PRODUTOS, SERVICOS E TINTAS LATINOAMERICANOS PROYSA LTDA</t>
        </is>
      </c>
      <c r="I600" t="inlineStr">
        <is>
          <t>39.345.175/0001-76</t>
        </is>
      </c>
      <c r="J600" s="29" t="n">
        <v>21050</v>
      </c>
      <c r="K600" t="inlineStr">
        <is>
          <t>1.556</t>
        </is>
      </c>
      <c r="L600" t="inlineStr">
        <is>
          <t>Não</t>
        </is>
      </c>
      <c r="M600" t="inlineStr">
        <is>
          <t>Compra/outras</t>
        </is>
      </c>
    </row>
    <row r="601">
      <c r="A601" t="inlineStr">
        <is>
          <t>Remessa de mercadoria (categoria 2.01.84)</t>
        </is>
      </c>
      <c r="B601" t="inlineStr">
        <is>
          <t>2.01.84 Remessa de Mercadoria</t>
        </is>
      </c>
      <c r="C601" t="inlineStr">
        <is>
          <t>Antes de 2026</t>
        </is>
      </c>
      <c r="D601" t="inlineStr">
        <is>
          <t>Antes de 2026</t>
        </is>
      </c>
      <c r="E601" s="28" t="n">
        <v>45503</v>
      </c>
      <c r="F601" t="inlineStr">
        <is>
          <t>CT-e</t>
        </is>
      </c>
      <c r="G601" t="inlineStr">
        <is>
          <t>000002394</t>
        </is>
      </c>
      <c r="H601" t="inlineStr">
        <is>
          <t>R&amp;R TRANSPORTE E LOGISTICA</t>
        </is>
      </c>
      <c r="J601" s="29" t="n">
        <v>100</v>
      </c>
      <c r="K601" t="inlineStr">
        <is>
          <t>1.556</t>
        </is>
      </c>
      <c r="L601" t="inlineStr">
        <is>
          <t>Não</t>
        </is>
      </c>
      <c r="N601" t="inlineStr">
        <is>
          <t>Transportadora de frete de venda, mas pela modalidade do frete a Vinco recebeu a carga | Modalidade: 2 - Por conta de terceiros | Parte: CONPEL COMPANHIA NORDESTINA DE PAPEL EM RECUPERACAO JUDICIAL (09.116.278/0001-01)</t>
        </is>
      </c>
    </row>
    <row r="602">
      <c r="A602" t="inlineStr">
        <is>
          <t>Remessa de mercadoria (categoria 2.01.84)</t>
        </is>
      </c>
      <c r="B602" t="inlineStr">
        <is>
          <t>2.01.84 Remessa de Mercadoria</t>
        </is>
      </c>
      <c r="C602" t="inlineStr">
        <is>
          <t>Antes de 2026</t>
        </is>
      </c>
      <c r="D602" t="inlineStr">
        <is>
          <t>Antes de 2026</t>
        </is>
      </c>
      <c r="E602" s="28" t="n">
        <v>45493</v>
      </c>
      <c r="F602" t="inlineStr">
        <is>
          <t>CT-e</t>
        </is>
      </c>
      <c r="G602" t="inlineStr">
        <is>
          <t>000002362</t>
        </is>
      </c>
      <c r="H602" t="inlineStr">
        <is>
          <t>R&amp;R TRANSPORTE E LOGISTICA</t>
        </is>
      </c>
      <c r="J602" s="29" t="n">
        <v>450</v>
      </c>
      <c r="K602" t="inlineStr">
        <is>
          <t>1.556</t>
        </is>
      </c>
      <c r="L602" t="inlineStr">
        <is>
          <t>Não</t>
        </is>
      </c>
      <c r="N602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</row>
    <row r="603">
      <c r="A603" t="inlineStr">
        <is>
          <t>Remessa de mercadoria (categoria 2.01.84)</t>
        </is>
      </c>
      <c r="B603" t="inlineStr">
        <is>
          <t>2.01.84 Remessa de Mercadoria</t>
        </is>
      </c>
      <c r="C603" t="inlineStr">
        <is>
          <t>Antes de 2026</t>
        </is>
      </c>
      <c r="D603" t="inlineStr">
        <is>
          <t>Antes de 2026</t>
        </is>
      </c>
      <c r="E603" s="28" t="n">
        <v>45507</v>
      </c>
      <c r="F603" t="inlineStr">
        <is>
          <t>CT-e</t>
        </is>
      </c>
      <c r="G603" t="inlineStr">
        <is>
          <t>000002427</t>
        </is>
      </c>
      <c r="H603" t="inlineStr">
        <is>
          <t>R&amp;R TRANSPORTE E LOGISTICA</t>
        </is>
      </c>
      <c r="J603" s="29" t="n">
        <v>500</v>
      </c>
      <c r="K603" t="inlineStr">
        <is>
          <t>1.556</t>
        </is>
      </c>
      <c r="L603" t="inlineStr">
        <is>
          <t>Não</t>
        </is>
      </c>
      <c r="N603" t="inlineStr">
        <is>
          <t>Transportadora de frete de venda, mas pela modalidade do frete a Vinco recebeu a carga | Modalidade: 1 - Por conta do destinatário | Parte: PRODUTOS, SERVICOS E TINTAS LATINOAMERICANOS PROYSA LTDA (39.345.175/0001-76)</t>
        </is>
      </c>
    </row>
    <row r="604">
      <c r="A604" t="inlineStr">
        <is>
          <t>Remessa de mercadoria (categoria 2.01.84)</t>
        </is>
      </c>
      <c r="B604" t="inlineStr">
        <is>
          <t>2.01.84 Remessa de Mercadoria</t>
        </is>
      </c>
      <c r="C604" t="inlineStr">
        <is>
          <t>Antes de 2026</t>
        </is>
      </c>
      <c r="D604" t="inlineStr">
        <is>
          <t>Antes de 2026</t>
        </is>
      </c>
      <c r="E604" s="28" t="n">
        <v>45656</v>
      </c>
      <c r="F604" t="inlineStr">
        <is>
          <t>NF-e</t>
        </is>
      </c>
      <c r="G604" t="inlineStr">
        <is>
          <t>000336835</t>
        </is>
      </c>
      <c r="H604" t="inlineStr">
        <is>
          <t>R3 SUPRIMENTOS CORPORATIVOS LTDA</t>
        </is>
      </c>
      <c r="I604" t="inlineStr">
        <is>
          <t>10.641.901/0001-16</t>
        </is>
      </c>
      <c r="J604" s="29" t="n">
        <v>235.41</v>
      </c>
      <c r="K604" t="inlineStr">
        <is>
          <t>1.556</t>
        </is>
      </c>
      <c r="L604" t="inlineStr">
        <is>
          <t>Não</t>
        </is>
      </c>
      <c r="M604" t="inlineStr">
        <is>
          <t>Compra/outras</t>
        </is>
      </c>
    </row>
    <row r="605">
      <c r="A605" t="inlineStr">
        <is>
          <t>Remessa de mercadoria (categoria 2.01.84)</t>
        </is>
      </c>
      <c r="B605" t="inlineStr">
        <is>
          <t>2.01.84 Remessa de Mercadoria</t>
        </is>
      </c>
      <c r="C605" t="inlineStr">
        <is>
          <t>Antes de 2026</t>
        </is>
      </c>
      <c r="D605" t="inlineStr">
        <is>
          <t>Antes de 2026</t>
        </is>
      </c>
      <c r="E605" s="28" t="n">
        <v>45659</v>
      </c>
      <c r="F605" t="inlineStr">
        <is>
          <t>NF-e</t>
        </is>
      </c>
      <c r="G605" t="inlineStr">
        <is>
          <t>000337054</t>
        </is>
      </c>
      <c r="H605" t="inlineStr">
        <is>
          <t>R3 SUPRIMENTOS CORPORATIVOS LTDA</t>
        </is>
      </c>
      <c r="I605" t="inlineStr">
        <is>
          <t>10.641.901/0001-16</t>
        </is>
      </c>
      <c r="J605" s="29" t="n">
        <v>235.41</v>
      </c>
      <c r="K605" t="inlineStr">
        <is>
          <t>1.556</t>
        </is>
      </c>
      <c r="L605" t="inlineStr">
        <is>
          <t>Não</t>
        </is>
      </c>
      <c r="M605" t="inlineStr">
        <is>
          <t>Compra/outras</t>
        </is>
      </c>
    </row>
    <row r="606">
      <c r="A606" t="inlineStr">
        <is>
          <t>Remessa de mercadoria (categoria 2.01.84)</t>
        </is>
      </c>
      <c r="B606" t="inlineStr">
        <is>
          <t>2.01.84 Remessa de Mercadoria</t>
        </is>
      </c>
      <c r="C606" t="inlineStr">
        <is>
          <t>Antes de 2026</t>
        </is>
      </c>
      <c r="D606" t="inlineStr">
        <is>
          <t>Antes de 2026</t>
        </is>
      </c>
      <c r="E606" s="28" t="n">
        <v>45296</v>
      </c>
      <c r="F606" t="inlineStr">
        <is>
          <t>NF-e</t>
        </is>
      </c>
      <c r="G606" t="inlineStr">
        <is>
          <t>000016369</t>
        </is>
      </c>
      <c r="H606" t="inlineStr">
        <is>
          <t>REQUIM PRODUTOS QUIMICOS LTDA</t>
        </is>
      </c>
      <c r="I606" t="inlineStr">
        <is>
          <t>06.935.804/0001-69</t>
        </is>
      </c>
      <c r="J606" s="29" t="n">
        <v>18000</v>
      </c>
      <c r="K606" t="inlineStr">
        <is>
          <t>1.556</t>
        </is>
      </c>
      <c r="L606" t="inlineStr">
        <is>
          <t>Não</t>
        </is>
      </c>
      <c r="M606" t="inlineStr">
        <is>
          <t>Compra/outras</t>
        </is>
      </c>
    </row>
    <row r="607">
      <c r="A607" t="inlineStr">
        <is>
          <t>Remessa de mercadoria (categoria 2.01.84)</t>
        </is>
      </c>
      <c r="B607" t="inlineStr">
        <is>
          <t>2.01.84 Remessa de Mercadoria</t>
        </is>
      </c>
      <c r="C607" t="inlineStr">
        <is>
          <t>Antes de 2026</t>
        </is>
      </c>
      <c r="D607" t="inlineStr">
        <is>
          <t>Antes de 2026</t>
        </is>
      </c>
      <c r="E607" s="28" t="n">
        <v>45320</v>
      </c>
      <c r="F607" t="inlineStr">
        <is>
          <t>NF-e</t>
        </is>
      </c>
      <c r="G607" t="inlineStr">
        <is>
          <t>000016500</t>
        </is>
      </c>
      <c r="H607" t="inlineStr">
        <is>
          <t>REQUIM PRODUTOS QUIMICOS LTDA</t>
        </is>
      </c>
      <c r="I607" t="inlineStr">
        <is>
          <t>06.935.804/0001-69</t>
        </is>
      </c>
      <c r="J607" s="29" t="n">
        <v>21600</v>
      </c>
      <c r="K607" t="inlineStr">
        <is>
          <t>1.556</t>
        </is>
      </c>
      <c r="L607" t="inlineStr">
        <is>
          <t>Não</t>
        </is>
      </c>
      <c r="M607" t="inlineStr">
        <is>
          <t>Compra/outras</t>
        </is>
      </c>
    </row>
    <row r="608">
      <c r="A608" t="inlineStr">
        <is>
          <t>Remessa de mercadoria (categoria 2.01.84)</t>
        </is>
      </c>
      <c r="B608" t="inlineStr">
        <is>
          <t>2.01.84 Remessa de Mercadoria</t>
        </is>
      </c>
      <c r="C608" t="inlineStr">
        <is>
          <t>Antes de 2026</t>
        </is>
      </c>
      <c r="D608" t="inlineStr">
        <is>
          <t>Antes de 2026</t>
        </is>
      </c>
      <c r="E608" s="28" t="n">
        <v>45355</v>
      </c>
      <c r="F608" t="inlineStr">
        <is>
          <t>NF-e</t>
        </is>
      </c>
      <c r="G608" t="inlineStr">
        <is>
          <t>000016738</t>
        </is>
      </c>
      <c r="H608" t="inlineStr">
        <is>
          <t>REQUIM PRODUTOS QUIMICOS LTDA</t>
        </is>
      </c>
      <c r="I608" t="inlineStr">
        <is>
          <t>06.935.804/0001-69</t>
        </is>
      </c>
      <c r="J608" s="29" t="n">
        <v>30600</v>
      </c>
      <c r="K608" t="inlineStr">
        <is>
          <t>1.556</t>
        </is>
      </c>
      <c r="L608" t="inlineStr">
        <is>
          <t>Não</t>
        </is>
      </c>
      <c r="M608" t="inlineStr">
        <is>
          <t>Compra/outras</t>
        </is>
      </c>
    </row>
    <row r="609">
      <c r="A609" t="inlineStr">
        <is>
          <t>Remessa de mercadoria (categoria 2.01.84)</t>
        </is>
      </c>
      <c r="B609" t="inlineStr">
        <is>
          <t>2.01.84 Remessa de Mercadoria</t>
        </is>
      </c>
      <c r="C609" t="inlineStr">
        <is>
          <t>Antes de 2026</t>
        </is>
      </c>
      <c r="D609" t="inlineStr">
        <is>
          <t>Antes de 2026</t>
        </is>
      </c>
      <c r="E609" s="28" t="n">
        <v>45511</v>
      </c>
      <c r="F609" t="inlineStr">
        <is>
          <t>NF-e</t>
        </is>
      </c>
      <c r="G609" t="inlineStr">
        <is>
          <t>000017766</t>
        </is>
      </c>
      <c r="H609" t="inlineStr">
        <is>
          <t>REQUIM PRODUTOS QUIMICOS LTDA</t>
        </is>
      </c>
      <c r="I609" t="inlineStr">
        <is>
          <t>06.935.804/0001-69</t>
        </is>
      </c>
      <c r="J609" s="29" t="n">
        <v>32900</v>
      </c>
      <c r="K609" t="inlineStr">
        <is>
          <t>1.556</t>
        </is>
      </c>
      <c r="L609" t="inlineStr">
        <is>
          <t>Não</t>
        </is>
      </c>
      <c r="M609" t="inlineStr">
        <is>
          <t>Compra/outras</t>
        </is>
      </c>
    </row>
    <row r="610">
      <c r="A610" t="inlineStr">
        <is>
          <t>Remessa de mercadoria (categoria 2.01.84)</t>
        </is>
      </c>
      <c r="B610" t="inlineStr">
        <is>
          <t>2.01.84 Remessa de Mercadoria</t>
        </is>
      </c>
      <c r="C610" t="inlineStr">
        <is>
          <t>Antes de 2026</t>
        </is>
      </c>
      <c r="D610" t="inlineStr">
        <is>
          <t>Antes de 2026</t>
        </is>
      </c>
      <c r="E610" s="28" t="n">
        <v>45504</v>
      </c>
      <c r="F610" t="inlineStr">
        <is>
          <t>NF-e</t>
        </is>
      </c>
      <c r="G610" t="inlineStr">
        <is>
          <t>000068413</t>
        </is>
      </c>
      <c r="H610" t="inlineStr">
        <is>
          <t>RFC COMERCIO DE MIUDEZAS LTDA</t>
        </is>
      </c>
      <c r="I610" t="inlineStr">
        <is>
          <t>26.514.797/0004-81</t>
        </is>
      </c>
      <c r="J610" s="29" t="n">
        <v>1040</v>
      </c>
      <c r="K610" t="inlineStr">
        <is>
          <t>1.556</t>
        </is>
      </c>
      <c r="L610" t="inlineStr">
        <is>
          <t>Não</t>
        </is>
      </c>
      <c r="M610" t="inlineStr">
        <is>
          <t>Compra/outras</t>
        </is>
      </c>
    </row>
    <row r="611">
      <c r="A611" t="inlineStr">
        <is>
          <t>Remessa de mercadoria (categoria 2.01.84)</t>
        </is>
      </c>
      <c r="B611" t="inlineStr">
        <is>
          <t>2.01.84 Remessa de Mercadoria</t>
        </is>
      </c>
      <c r="C611" t="inlineStr">
        <is>
          <t>Antes de 2026</t>
        </is>
      </c>
      <c r="D611" t="inlineStr">
        <is>
          <t>Antes de 2026</t>
        </is>
      </c>
      <c r="E611" s="28" t="n">
        <v>45561</v>
      </c>
      <c r="F611" t="inlineStr">
        <is>
          <t>NF-e</t>
        </is>
      </c>
      <c r="G611" t="inlineStr">
        <is>
          <t>000075530</t>
        </is>
      </c>
      <c r="H611" t="inlineStr">
        <is>
          <t>RFC COMERCIO DE MIUDEZAS LTDA</t>
        </is>
      </c>
      <c r="I611" t="inlineStr">
        <is>
          <t>26.514.797/0004-81</t>
        </is>
      </c>
      <c r="J611" s="29" t="n">
        <v>7389</v>
      </c>
      <c r="K611" t="inlineStr">
        <is>
          <t>1.556</t>
        </is>
      </c>
      <c r="L611" t="inlineStr">
        <is>
          <t>Não</t>
        </is>
      </c>
      <c r="M611" t="inlineStr">
        <is>
          <t>Compra/outras</t>
        </is>
      </c>
    </row>
    <row r="612">
      <c r="A612" t="inlineStr">
        <is>
          <t>Remessa de mercadoria (categoria 2.01.84)</t>
        </is>
      </c>
      <c r="B612" t="inlineStr">
        <is>
          <t>2.01.84 Remessa de Mercadoria</t>
        </is>
      </c>
      <c r="C612" t="inlineStr">
        <is>
          <t>Antes de 2026</t>
        </is>
      </c>
      <c r="D612" t="inlineStr">
        <is>
          <t>Antes de 2026</t>
        </is>
      </c>
      <c r="E612" s="28" t="n">
        <v>45561</v>
      </c>
      <c r="F612" t="inlineStr">
        <is>
          <t>NF-e</t>
        </is>
      </c>
      <c r="G612" t="inlineStr">
        <is>
          <t>000075539</t>
        </is>
      </c>
      <c r="H612" t="inlineStr">
        <is>
          <t>RFC COMERCIO DE MIUDEZAS LTDA</t>
        </is>
      </c>
      <c r="I612" t="inlineStr">
        <is>
          <t>26.514.797/0004-81</t>
        </is>
      </c>
      <c r="J612" s="29" t="n">
        <v>520</v>
      </c>
      <c r="K612" t="inlineStr">
        <is>
          <t>1.556</t>
        </is>
      </c>
      <c r="L612" t="inlineStr">
        <is>
          <t>Não</t>
        </is>
      </c>
      <c r="M612" t="inlineStr">
        <is>
          <t>Compra/outras</t>
        </is>
      </c>
    </row>
    <row r="613">
      <c r="A613" t="inlineStr">
        <is>
          <t>Remessa de mercadoria (categoria 2.01.84)</t>
        </is>
      </c>
      <c r="B613" t="inlineStr">
        <is>
          <t>2.01.84 Remessa de Mercadoria</t>
        </is>
      </c>
      <c r="C613" t="inlineStr">
        <is>
          <t>Antes de 2026</t>
        </is>
      </c>
      <c r="D613" t="inlineStr">
        <is>
          <t>Antes de 2026</t>
        </is>
      </c>
      <c r="E613" s="28" t="n">
        <v>45293</v>
      </c>
      <c r="F613" t="inlineStr">
        <is>
          <t>NF-e</t>
        </is>
      </c>
      <c r="G613" t="inlineStr">
        <is>
          <t>000000131</t>
        </is>
      </c>
      <c r="H613" t="inlineStr">
        <is>
          <t>RUAN REBERT CORDEIRO DA SILVA RESTAURANTE LTDA</t>
        </is>
      </c>
      <c r="I613" t="inlineStr">
        <is>
          <t>51.184.847/0001-04</t>
        </is>
      </c>
      <c r="J613" s="29" t="n">
        <v>732</v>
      </c>
      <c r="K613" t="inlineStr">
        <is>
          <t>1.556</t>
        </is>
      </c>
      <c r="L613" t="inlineStr">
        <is>
          <t>Não</t>
        </is>
      </c>
      <c r="M613" t="inlineStr">
        <is>
          <t>Compra/outras</t>
        </is>
      </c>
    </row>
    <row r="614">
      <c r="A614" t="inlineStr">
        <is>
          <t>Remessa de mercadoria (categoria 2.01.84)</t>
        </is>
      </c>
      <c r="B614" t="inlineStr">
        <is>
          <t>2.01.84 Remessa de Mercadoria</t>
        </is>
      </c>
      <c r="C614" t="inlineStr">
        <is>
          <t>Antes de 2026</t>
        </is>
      </c>
      <c r="D614" t="inlineStr">
        <is>
          <t>Antes de 2026</t>
        </is>
      </c>
      <c r="E614" s="28" t="n">
        <v>45295</v>
      </c>
      <c r="F614" t="inlineStr">
        <is>
          <t>NF-e</t>
        </is>
      </c>
      <c r="G614" t="inlineStr">
        <is>
          <t>000000132</t>
        </is>
      </c>
      <c r="H614" t="inlineStr">
        <is>
          <t>RUAN REBERT CORDEIRO DA SILVA RESTAURANTE LTDA</t>
        </is>
      </c>
      <c r="I614" t="inlineStr">
        <is>
          <t>51.184.847/0001-04</t>
        </is>
      </c>
      <c r="J614" s="29" t="n">
        <v>671</v>
      </c>
      <c r="K614" t="inlineStr">
        <is>
          <t>1.556</t>
        </is>
      </c>
      <c r="L614" t="inlineStr">
        <is>
          <t>Não</t>
        </is>
      </c>
      <c r="M614" t="inlineStr">
        <is>
          <t>Compra/outras</t>
        </is>
      </c>
    </row>
    <row r="615">
      <c r="A615" t="inlineStr">
        <is>
          <t>Remessa de mercadoria (categoria 2.01.84)</t>
        </is>
      </c>
      <c r="B615" t="inlineStr">
        <is>
          <t>2.01.84 Remessa de Mercadoria</t>
        </is>
      </c>
      <c r="C615" t="inlineStr">
        <is>
          <t>Antes de 2026</t>
        </is>
      </c>
      <c r="D615" t="inlineStr">
        <is>
          <t>Antes de 2026</t>
        </is>
      </c>
      <c r="E615" s="28" t="n">
        <v>45302</v>
      </c>
      <c r="F615" t="inlineStr">
        <is>
          <t>NF-e</t>
        </is>
      </c>
      <c r="G615" t="inlineStr">
        <is>
          <t>000000137</t>
        </is>
      </c>
      <c r="H615" t="inlineStr">
        <is>
          <t>RUAN REBERT CORDEIRO DA SILVA RESTAURANTE LTDA</t>
        </is>
      </c>
      <c r="I615" t="inlineStr">
        <is>
          <t>51.184.847/0001-04</t>
        </is>
      </c>
      <c r="J615" s="29" t="n">
        <v>774</v>
      </c>
      <c r="K615" t="inlineStr">
        <is>
          <t>1.556</t>
        </is>
      </c>
      <c r="L615" t="inlineStr">
        <is>
          <t>Não</t>
        </is>
      </c>
      <c r="M615" t="inlineStr">
        <is>
          <t>Compra/outras</t>
        </is>
      </c>
    </row>
    <row r="616">
      <c r="A616" t="inlineStr">
        <is>
          <t>Remessa de mercadoria (categoria 2.01.84)</t>
        </is>
      </c>
      <c r="B616" t="inlineStr">
        <is>
          <t>2.01.84 Remessa de Mercadoria</t>
        </is>
      </c>
      <c r="C616" t="inlineStr">
        <is>
          <t>Antes de 2026</t>
        </is>
      </c>
      <c r="D616" t="inlineStr">
        <is>
          <t>Antes de 2026</t>
        </is>
      </c>
      <c r="E616" s="28" t="n">
        <v>45309</v>
      </c>
      <c r="F616" t="inlineStr">
        <is>
          <t>NF-e</t>
        </is>
      </c>
      <c r="G616" t="inlineStr">
        <is>
          <t>000000147</t>
        </is>
      </c>
      <c r="H616" t="inlineStr">
        <is>
          <t>RUAN REBERT CORDEIRO DA SILVA RESTAURANTE LTDA</t>
        </is>
      </c>
      <c r="I616" t="inlineStr">
        <is>
          <t>51.184.847/0001-04</t>
        </is>
      </c>
      <c r="J616" s="29" t="n">
        <v>805</v>
      </c>
      <c r="K616" t="inlineStr">
        <is>
          <t>1.556</t>
        </is>
      </c>
      <c r="L616" t="inlineStr">
        <is>
          <t>Não</t>
        </is>
      </c>
      <c r="M616" t="inlineStr">
        <is>
          <t>Compra/outras</t>
        </is>
      </c>
    </row>
    <row r="617">
      <c r="A617" t="inlineStr">
        <is>
          <t>Remessa de mercadoria (categoria 2.01.84)</t>
        </is>
      </c>
      <c r="B617" t="inlineStr">
        <is>
          <t>2.01.84 Remessa de Mercadoria</t>
        </is>
      </c>
      <c r="C617" t="inlineStr">
        <is>
          <t>Antes de 2026</t>
        </is>
      </c>
      <c r="D617" t="inlineStr">
        <is>
          <t>Antes de 2026</t>
        </is>
      </c>
      <c r="E617" s="28" t="n">
        <v>45316</v>
      </c>
      <c r="F617" t="inlineStr">
        <is>
          <t>NF-e</t>
        </is>
      </c>
      <c r="G617" t="inlineStr">
        <is>
          <t>000000151</t>
        </is>
      </c>
      <c r="H617" t="inlineStr">
        <is>
          <t>RUAN REBERT CORDEIRO DA SILVA RESTAURANTE LTDA</t>
        </is>
      </c>
      <c r="I617" t="inlineStr">
        <is>
          <t>51.184.847/0001-04</t>
        </is>
      </c>
      <c r="J617" s="29" t="n">
        <v>1173</v>
      </c>
      <c r="K617" t="inlineStr">
        <is>
          <t>1.556</t>
        </is>
      </c>
      <c r="L617" t="inlineStr">
        <is>
          <t>Não</t>
        </is>
      </c>
      <c r="M617" t="inlineStr">
        <is>
          <t>Compra/outras</t>
        </is>
      </c>
    </row>
    <row r="618">
      <c r="A618" t="inlineStr">
        <is>
          <t>Remessa de mercadoria (categoria 2.01.84)</t>
        </is>
      </c>
      <c r="B618" t="inlineStr">
        <is>
          <t>2.01.84 Remessa de Mercadoria</t>
        </is>
      </c>
      <c r="C618" t="inlineStr">
        <is>
          <t>Antes de 2026</t>
        </is>
      </c>
      <c r="D618" t="inlineStr">
        <is>
          <t>Antes de 2026</t>
        </is>
      </c>
      <c r="E618" s="28" t="n">
        <v>45355</v>
      </c>
      <c r="F618" t="inlineStr">
        <is>
          <t>NF-e</t>
        </is>
      </c>
      <c r="G618" t="inlineStr">
        <is>
          <t>000000190</t>
        </is>
      </c>
      <c r="H618" t="inlineStr">
        <is>
          <t>RUAN REBERT CORDEIRO DA SILVA RESTAURANTE LTDA</t>
        </is>
      </c>
      <c r="I618" t="inlineStr">
        <is>
          <t>51.184.847/0001-04</t>
        </is>
      </c>
      <c r="J618" s="29" t="n">
        <v>369</v>
      </c>
      <c r="K618" t="inlineStr">
        <is>
          <t>1.556</t>
        </is>
      </c>
      <c r="L618" t="inlineStr">
        <is>
          <t>Não</t>
        </is>
      </c>
      <c r="M618" t="inlineStr">
        <is>
          <t>Compra/outras</t>
        </is>
      </c>
    </row>
    <row r="619">
      <c r="A619" t="inlineStr">
        <is>
          <t>Remessa de mercadoria (categoria 2.01.84)</t>
        </is>
      </c>
      <c r="B619" t="inlineStr">
        <is>
          <t>2.01.84 Remessa de Mercadoria</t>
        </is>
      </c>
      <c r="C619" t="inlineStr">
        <is>
          <t>Antes de 2026</t>
        </is>
      </c>
      <c r="D619" t="inlineStr">
        <is>
          <t>Antes de 2026</t>
        </is>
      </c>
      <c r="E619" s="28" t="n">
        <v>45362</v>
      </c>
      <c r="F619" t="inlineStr">
        <is>
          <t>NF-e</t>
        </is>
      </c>
      <c r="G619" t="inlineStr">
        <is>
          <t>000000194</t>
        </is>
      </c>
      <c r="H619" t="inlineStr">
        <is>
          <t>RUAN REBERT CORDEIRO DA SILVA RESTAURANTE LTDA</t>
        </is>
      </c>
      <c r="I619" t="inlineStr">
        <is>
          <t>51.184.847/0001-04</t>
        </is>
      </c>
      <c r="J619" s="29" t="n">
        <v>353</v>
      </c>
      <c r="K619" t="inlineStr">
        <is>
          <t>1.556</t>
        </is>
      </c>
      <c r="L619" t="inlineStr">
        <is>
          <t>Não</t>
        </is>
      </c>
      <c r="M619" t="inlineStr">
        <is>
          <t>Compra/outras</t>
        </is>
      </c>
    </row>
    <row r="620">
      <c r="A620" t="inlineStr">
        <is>
          <t>Remessa de mercadoria (categoria 2.01.84)</t>
        </is>
      </c>
      <c r="B620" t="inlineStr">
        <is>
          <t>2.01.84 Remessa de Mercadoria</t>
        </is>
      </c>
      <c r="C620" t="inlineStr">
        <is>
          <t>Antes de 2026</t>
        </is>
      </c>
      <c r="D620" t="inlineStr">
        <is>
          <t>Antes de 2026</t>
        </is>
      </c>
      <c r="E620" s="28" t="n">
        <v>45369</v>
      </c>
      <c r="F620" t="inlineStr">
        <is>
          <t>NF-e</t>
        </is>
      </c>
      <c r="G620" t="inlineStr">
        <is>
          <t>000000209</t>
        </is>
      </c>
      <c r="H620" t="inlineStr">
        <is>
          <t>RUAN REBERT CORDEIRO DA SILVA RESTAURANTE LTDA</t>
        </is>
      </c>
      <c r="I620" t="inlineStr">
        <is>
          <t>51.184.847/0001-04</t>
        </is>
      </c>
      <c r="J620" s="29" t="n">
        <v>244</v>
      </c>
      <c r="K620" t="inlineStr">
        <is>
          <t>1.556</t>
        </is>
      </c>
      <c r="L620" t="inlineStr">
        <is>
          <t>Não</t>
        </is>
      </c>
      <c r="M620" t="inlineStr">
        <is>
          <t>Compra/outras</t>
        </is>
      </c>
    </row>
    <row r="621">
      <c r="A621" t="inlineStr">
        <is>
          <t>Remessa de mercadoria (categoria 2.01.84)</t>
        </is>
      </c>
      <c r="B621" t="inlineStr">
        <is>
          <t>2.01.84 Remessa de Mercadoria</t>
        </is>
      </c>
      <c r="C621" t="inlineStr">
        <is>
          <t>Antes de 2026</t>
        </is>
      </c>
      <c r="D621" t="inlineStr">
        <is>
          <t>Antes de 2026</t>
        </is>
      </c>
      <c r="E621" s="28" t="n">
        <v>45495</v>
      </c>
      <c r="F621" t="inlineStr">
        <is>
          <t>NF-e</t>
        </is>
      </c>
      <c r="G621" t="inlineStr">
        <is>
          <t>000000318</t>
        </is>
      </c>
      <c r="H621" t="inlineStr">
        <is>
          <t>RUAN REBERT CORDEIRO DA SILVA RESTAURANTE LTDA</t>
        </is>
      </c>
      <c r="I621" t="inlineStr">
        <is>
          <t>51.184.847/0001-04</t>
        </is>
      </c>
      <c r="J621" s="29" t="n">
        <v>200</v>
      </c>
      <c r="K621" t="inlineStr">
        <is>
          <t>1.556</t>
        </is>
      </c>
      <c r="L621" t="inlineStr">
        <is>
          <t>Não</t>
        </is>
      </c>
      <c r="M621" t="inlineStr">
        <is>
          <t>Compra/outras</t>
        </is>
      </c>
    </row>
    <row r="622">
      <c r="A622" t="inlineStr">
        <is>
          <t>Remessa de mercadoria (categoria 2.01.84)</t>
        </is>
      </c>
      <c r="B622" t="inlineStr">
        <is>
          <t>2.01.84 Remessa de Mercadoria</t>
        </is>
      </c>
      <c r="C622" t="inlineStr">
        <is>
          <t>Antes de 2026</t>
        </is>
      </c>
      <c r="D622" t="inlineStr">
        <is>
          <t>Antes de 2026</t>
        </is>
      </c>
      <c r="E622" s="28" t="n">
        <v>45534</v>
      </c>
      <c r="F622" t="inlineStr">
        <is>
          <t>NF-e</t>
        </is>
      </c>
      <c r="G622" t="inlineStr">
        <is>
          <t>000002646</t>
        </is>
      </c>
      <c r="H622" t="inlineStr">
        <is>
          <t>RVDA COMERCIO E SERVICOS LTDA</t>
        </is>
      </c>
      <c r="I622" t="inlineStr">
        <is>
          <t>41.830.614/0001-88</t>
        </is>
      </c>
      <c r="J622" s="29" t="n">
        <v>1798.5</v>
      </c>
      <c r="K622" t="inlineStr">
        <is>
          <t>1.556</t>
        </is>
      </c>
      <c r="L622" t="inlineStr">
        <is>
          <t>Não</t>
        </is>
      </c>
      <c r="M622" t="inlineStr">
        <is>
          <t>Compra/outras</t>
        </is>
      </c>
    </row>
    <row r="623">
      <c r="A623" t="inlineStr">
        <is>
          <t>Remessa de mercadoria (categoria 2.01.84)</t>
        </is>
      </c>
      <c r="B623" t="inlineStr">
        <is>
          <t>2.01.84 Remessa de Mercadoria</t>
        </is>
      </c>
      <c r="C623" t="inlineStr">
        <is>
          <t>Antes de 2026</t>
        </is>
      </c>
      <c r="D623" t="inlineStr">
        <is>
          <t>Antes de 2026</t>
        </is>
      </c>
      <c r="E623" s="28" t="n">
        <v>45315</v>
      </c>
      <c r="F623" t="inlineStr">
        <is>
          <t>NF-e</t>
        </is>
      </c>
      <c r="G623" t="inlineStr">
        <is>
          <t>000157726</t>
        </is>
      </c>
      <c r="H623" t="inlineStr">
        <is>
          <t>SANTA MARIA CIA DE PAPEL E CELULOSE</t>
        </is>
      </c>
      <c r="I623" t="inlineStr">
        <is>
          <t>77.887.917/0001-84</t>
        </is>
      </c>
      <c r="J623" s="29" t="n">
        <v>47677.65</v>
      </c>
      <c r="K623" t="inlineStr">
        <is>
          <t>1.556</t>
        </is>
      </c>
      <c r="L623" t="inlineStr">
        <is>
          <t>Não</t>
        </is>
      </c>
      <c r="M623" t="inlineStr">
        <is>
          <t>Compra/outras</t>
        </is>
      </c>
    </row>
    <row r="624">
      <c r="A624" t="inlineStr">
        <is>
          <t>Remessa de mercadoria (categoria 2.01.84)</t>
        </is>
      </c>
      <c r="B624" t="inlineStr">
        <is>
          <t>2.01.84 Remessa de Mercadoria</t>
        </is>
      </c>
      <c r="C624" t="inlineStr">
        <is>
          <t>Antes de 2026</t>
        </is>
      </c>
      <c r="D624" t="inlineStr">
        <is>
          <t>Antes de 2026</t>
        </is>
      </c>
      <c r="E624" s="28" t="n">
        <v>45504</v>
      </c>
      <c r="F624" t="inlineStr">
        <is>
          <t>NF-e</t>
        </is>
      </c>
      <c r="G624" t="inlineStr">
        <is>
          <t>000162008</t>
        </is>
      </c>
      <c r="H624" t="inlineStr">
        <is>
          <t>SANTA MARIA CIA DE PAPEL E CELULOSE</t>
        </is>
      </c>
      <c r="I624" t="inlineStr">
        <is>
          <t>77.887.917/0001-84</t>
        </is>
      </c>
      <c r="J624" s="29" t="n">
        <v>303868.26</v>
      </c>
      <c r="K624" t="inlineStr">
        <is>
          <t>1.556</t>
        </is>
      </c>
      <c r="L624" t="inlineStr">
        <is>
          <t>Não</t>
        </is>
      </c>
      <c r="M624" t="inlineStr">
        <is>
          <t>Compra/outras</t>
        </is>
      </c>
    </row>
    <row r="625">
      <c r="A625" t="inlineStr">
        <is>
          <t>Remessa de mercadoria (categoria 2.01.84)</t>
        </is>
      </c>
      <c r="B625" t="inlineStr">
        <is>
          <t>2.01.84 Remessa de Mercadoria</t>
        </is>
      </c>
      <c r="C625" t="inlineStr">
        <is>
          <t>Antes de 2026</t>
        </is>
      </c>
      <c r="D625" t="inlineStr">
        <is>
          <t>Antes de 2026</t>
        </is>
      </c>
      <c r="E625" s="28" t="n">
        <v>45324</v>
      </c>
      <c r="F625" t="inlineStr">
        <is>
          <t>NF-e</t>
        </is>
      </c>
      <c r="G625" t="inlineStr">
        <is>
          <t>000092064</t>
        </is>
      </c>
      <c r="H625" t="inlineStr">
        <is>
          <t>SEGURA COM DE EQUP. DE PROTECAO LTDA</t>
        </is>
      </c>
      <c r="I625" t="inlineStr">
        <is>
          <t>13.326.462/0001-45</t>
        </is>
      </c>
      <c r="J625" s="29" t="n">
        <v>890.35</v>
      </c>
      <c r="K625" t="inlineStr">
        <is>
          <t>1.556</t>
        </is>
      </c>
      <c r="L625" t="inlineStr">
        <is>
          <t>Não</t>
        </is>
      </c>
      <c r="M625" t="inlineStr">
        <is>
          <t>Compra/outras</t>
        </is>
      </c>
    </row>
    <row r="626">
      <c r="A626" t="inlineStr">
        <is>
          <t>Remessa de mercadoria (categoria 2.01.84)</t>
        </is>
      </c>
      <c r="B626" t="inlineStr">
        <is>
          <t>2.01.84 Remessa de Mercadoria</t>
        </is>
      </c>
      <c r="C626" t="inlineStr">
        <is>
          <t>Antes de 2026</t>
        </is>
      </c>
      <c r="D626" t="inlineStr">
        <is>
          <t>Antes de 2026</t>
        </is>
      </c>
      <c r="E626" s="28" t="n">
        <v>45363</v>
      </c>
      <c r="F626" t="inlineStr">
        <is>
          <t>NF-e</t>
        </is>
      </c>
      <c r="G626" t="inlineStr">
        <is>
          <t>000093391</t>
        </is>
      </c>
      <c r="H626" t="inlineStr">
        <is>
          <t>SEGURA COM DE EQUP. DE PROTECAO LTDA</t>
        </is>
      </c>
      <c r="I626" t="inlineStr">
        <is>
          <t>13.326.462/0001-45</t>
        </is>
      </c>
      <c r="J626" s="29" t="n">
        <v>1227.4</v>
      </c>
      <c r="K626" t="inlineStr">
        <is>
          <t>1.556</t>
        </is>
      </c>
      <c r="L626" t="inlineStr">
        <is>
          <t>Não</t>
        </is>
      </c>
      <c r="M626" t="inlineStr">
        <is>
          <t>Compra/outras</t>
        </is>
      </c>
    </row>
    <row r="627">
      <c r="A627" t="inlineStr">
        <is>
          <t>Remessa de mercadoria (categoria 2.01.84)</t>
        </is>
      </c>
      <c r="B627" t="inlineStr">
        <is>
          <t>2.01.84 Remessa de Mercadoria</t>
        </is>
      </c>
      <c r="C627" t="inlineStr">
        <is>
          <t>Antes de 2026</t>
        </is>
      </c>
      <c r="D627" t="inlineStr">
        <is>
          <t>Antes de 2026</t>
        </is>
      </c>
      <c r="E627" s="28" t="n">
        <v>45369</v>
      </c>
      <c r="F627" t="inlineStr">
        <is>
          <t>NF-e</t>
        </is>
      </c>
      <c r="G627" t="inlineStr">
        <is>
          <t>000093606</t>
        </is>
      </c>
      <c r="H627" t="inlineStr">
        <is>
          <t>SEGURA COM DE EQUP. DE PROTECAO LTDA</t>
        </is>
      </c>
      <c r="I627" t="inlineStr">
        <is>
          <t>13.326.462/0001-45</t>
        </is>
      </c>
      <c r="J627" s="29" t="n">
        <v>808.65</v>
      </c>
      <c r="K627" t="inlineStr">
        <is>
          <t>1.556</t>
        </is>
      </c>
      <c r="L627" t="inlineStr">
        <is>
          <t>Não</t>
        </is>
      </c>
      <c r="M627" t="inlineStr">
        <is>
          <t>Compra/outras</t>
        </is>
      </c>
    </row>
    <row r="628">
      <c r="A628" t="inlineStr">
        <is>
          <t>Remessa de mercadoria (categoria 2.01.84)</t>
        </is>
      </c>
      <c r="B628" t="inlineStr">
        <is>
          <t>2.01.84 Remessa de Mercadoria</t>
        </is>
      </c>
      <c r="C628" t="inlineStr">
        <is>
          <t>Antes de 2026</t>
        </is>
      </c>
      <c r="D628" t="inlineStr">
        <is>
          <t>Antes de 2026</t>
        </is>
      </c>
      <c r="E628" s="28" t="n">
        <v>45496</v>
      </c>
      <c r="F628" t="inlineStr">
        <is>
          <t>NF-e</t>
        </is>
      </c>
      <c r="G628" t="inlineStr">
        <is>
          <t>000098197</t>
        </is>
      </c>
      <c r="H628" t="inlineStr">
        <is>
          <t>SEGURA COM DE EQUP. DE PROTECAO LTDA</t>
        </is>
      </c>
      <c r="I628" t="inlineStr">
        <is>
          <t>13.326.462/0001-45</t>
        </is>
      </c>
      <c r="J628" s="29" t="n">
        <v>1027.44</v>
      </c>
      <c r="K628" t="inlineStr">
        <is>
          <t>1.556</t>
        </is>
      </c>
      <c r="L628" t="inlineStr">
        <is>
          <t>Não</t>
        </is>
      </c>
      <c r="M628" t="inlineStr">
        <is>
          <t>Compra/outras</t>
        </is>
      </c>
    </row>
    <row r="629">
      <c r="A629" t="inlineStr">
        <is>
          <t>Remessa de mercadoria (categoria 2.01.84)</t>
        </is>
      </c>
      <c r="B629" t="inlineStr">
        <is>
          <t>2.01.84 Remessa de Mercadoria</t>
        </is>
      </c>
      <c r="C629" t="inlineStr">
        <is>
          <t>Antes de 2026</t>
        </is>
      </c>
      <c r="D629" t="inlineStr">
        <is>
          <t>Antes de 2026</t>
        </is>
      </c>
      <c r="E629" s="28" t="n">
        <v>45517</v>
      </c>
      <c r="F629" t="inlineStr">
        <is>
          <t>NF-e</t>
        </is>
      </c>
      <c r="G629" t="inlineStr">
        <is>
          <t>000098919</t>
        </is>
      </c>
      <c r="H629" t="inlineStr">
        <is>
          <t>SEGURA COM DE EQUP. DE PROTECAO LTDA</t>
        </is>
      </c>
      <c r="I629" t="inlineStr">
        <is>
          <t>13.326.462/0001-45</t>
        </is>
      </c>
      <c r="J629" s="29" t="n">
        <v>500</v>
      </c>
      <c r="K629" t="inlineStr">
        <is>
          <t>1.556</t>
        </is>
      </c>
      <c r="L629" t="inlineStr">
        <is>
          <t>Não</t>
        </is>
      </c>
      <c r="M629" t="inlineStr">
        <is>
          <t>Compra/outras</t>
        </is>
      </c>
    </row>
    <row r="630">
      <c r="A630" t="inlineStr">
        <is>
          <t>Remessa de mercadoria (categoria 2.01.84)</t>
        </is>
      </c>
      <c r="B630" t="inlineStr">
        <is>
          <t>2.01.84 Remessa de Mercadoria</t>
        </is>
      </c>
      <c r="C630" t="inlineStr">
        <is>
          <t>Antes de 2026</t>
        </is>
      </c>
      <c r="D630" t="inlineStr">
        <is>
          <t>Antes de 2026</t>
        </is>
      </c>
      <c r="E630" s="28" t="n">
        <v>45519</v>
      </c>
      <c r="F630" t="inlineStr">
        <is>
          <t>NF-e</t>
        </is>
      </c>
      <c r="G630" t="inlineStr">
        <is>
          <t>000099055</t>
        </is>
      </c>
      <c r="H630" t="inlineStr">
        <is>
          <t>SEGURA COM DE EQUP. DE PROTECAO LTDA</t>
        </is>
      </c>
      <c r="I630" t="inlineStr">
        <is>
          <t>13.326.462/0001-45</t>
        </is>
      </c>
      <c r="J630" s="29" t="n">
        <v>256.3</v>
      </c>
      <c r="K630" t="inlineStr">
        <is>
          <t>1.556</t>
        </is>
      </c>
      <c r="L630" t="inlineStr">
        <is>
          <t>Não</t>
        </is>
      </c>
      <c r="M630" t="inlineStr">
        <is>
          <t>Compra/outras</t>
        </is>
      </c>
    </row>
    <row r="631">
      <c r="A631" t="inlineStr">
        <is>
          <t>Remessa de mercadoria (categoria 2.01.84)</t>
        </is>
      </c>
      <c r="B631" t="inlineStr">
        <is>
          <t>2.01.84 Remessa de Mercadoria</t>
        </is>
      </c>
      <c r="C631" t="inlineStr">
        <is>
          <t>Antes de 2026</t>
        </is>
      </c>
      <c r="D631" t="inlineStr">
        <is>
          <t>Antes de 2026</t>
        </is>
      </c>
      <c r="E631" s="28" t="n">
        <v>45527</v>
      </c>
      <c r="F631" t="inlineStr">
        <is>
          <t>NF-e</t>
        </is>
      </c>
      <c r="G631" t="inlineStr">
        <is>
          <t>000099356</t>
        </is>
      </c>
      <c r="H631" t="inlineStr">
        <is>
          <t>SEGURA COM DE EQUP. DE PROTECAO LTDA</t>
        </is>
      </c>
      <c r="I631" t="inlineStr">
        <is>
          <t>13.326.462/0001-45</t>
        </is>
      </c>
      <c r="J631" s="29" t="n">
        <v>1125</v>
      </c>
      <c r="K631" t="inlineStr">
        <is>
          <t>1.556</t>
        </is>
      </c>
      <c r="L631" t="inlineStr">
        <is>
          <t>Não</t>
        </is>
      </c>
      <c r="M631" t="inlineStr">
        <is>
          <t>Compra/outras</t>
        </is>
      </c>
    </row>
    <row r="632">
      <c r="A632" t="inlineStr">
        <is>
          <t>Remessa de mercadoria (categoria 2.01.84)</t>
        </is>
      </c>
      <c r="B632" t="inlineStr">
        <is>
          <t>2.01.84 Remessa de Mercadoria</t>
        </is>
      </c>
      <c r="C632" t="inlineStr">
        <is>
          <t>Antes de 2026</t>
        </is>
      </c>
      <c r="D632" t="inlineStr">
        <is>
          <t>Antes de 2026</t>
        </is>
      </c>
      <c r="E632" s="28" t="n">
        <v>45537</v>
      </c>
      <c r="F632" t="inlineStr">
        <is>
          <t>NF-e</t>
        </is>
      </c>
      <c r="G632" t="inlineStr">
        <is>
          <t>000099754</t>
        </is>
      </c>
      <c r="H632" t="inlineStr">
        <is>
          <t>SEGURA COM DE EQUP. DE PROTECAO LTDA</t>
        </is>
      </c>
      <c r="I632" t="inlineStr">
        <is>
          <t>13.326.462/0001-45</t>
        </is>
      </c>
      <c r="J632" s="29" t="n">
        <v>1286.05</v>
      </c>
      <c r="K632" t="inlineStr">
        <is>
          <t>1.556</t>
        </is>
      </c>
      <c r="L632" t="inlineStr">
        <is>
          <t>Não</t>
        </is>
      </c>
      <c r="M632" t="inlineStr">
        <is>
          <t>Compra/outras</t>
        </is>
      </c>
    </row>
    <row r="633">
      <c r="A633" t="inlineStr">
        <is>
          <t>Remessa de mercadoria (categoria 2.01.84)</t>
        </is>
      </c>
      <c r="B633" t="inlineStr">
        <is>
          <t>2.01.84 Remessa de Mercadoria</t>
        </is>
      </c>
      <c r="C633" t="inlineStr">
        <is>
          <t>Antes de 2026</t>
        </is>
      </c>
      <c r="D633" t="inlineStr">
        <is>
          <t>Antes de 2026</t>
        </is>
      </c>
      <c r="E633" s="28" t="n">
        <v>45517</v>
      </c>
      <c r="F633" t="inlineStr">
        <is>
          <t>NF-e</t>
        </is>
      </c>
      <c r="G633" t="inlineStr">
        <is>
          <t>000088598</t>
        </is>
      </c>
      <c r="H633" t="inlineStr">
        <is>
          <t>SENGES PAPEL E CELULOSE LTDA</t>
        </is>
      </c>
      <c r="I633" t="inlineStr">
        <is>
          <t>43.014.521/0007-04</t>
        </is>
      </c>
      <c r="J633" s="29" t="n">
        <v>196128.8</v>
      </c>
      <c r="K633" t="inlineStr">
        <is>
          <t>1.556</t>
        </is>
      </c>
      <c r="L633" t="inlineStr">
        <is>
          <t>Não</t>
        </is>
      </c>
      <c r="M633" t="inlineStr">
        <is>
          <t>Compra/outras</t>
        </is>
      </c>
    </row>
    <row r="634">
      <c r="A634" t="inlineStr">
        <is>
          <t>Remessa de mercadoria (categoria 2.01.84)</t>
        </is>
      </c>
      <c r="B634" t="inlineStr">
        <is>
          <t>2.01.84 Remessa de Mercadoria</t>
        </is>
      </c>
      <c r="C634" t="inlineStr">
        <is>
          <t>Antes de 2026</t>
        </is>
      </c>
      <c r="D634" t="inlineStr">
        <is>
          <t>Antes de 2026</t>
        </is>
      </c>
      <c r="E634" s="28" t="n">
        <v>45534</v>
      </c>
      <c r="F634" t="inlineStr">
        <is>
          <t>NF-e</t>
        </is>
      </c>
      <c r="G634" t="inlineStr">
        <is>
          <t>000088968</t>
        </is>
      </c>
      <c r="H634" t="inlineStr">
        <is>
          <t>SENGES PAPEL E CELULOSE LTDA</t>
        </is>
      </c>
      <c r="I634" t="inlineStr">
        <is>
          <t>43.014.521/0007-04</t>
        </is>
      </c>
      <c r="J634" s="29" t="n">
        <v>199508.11</v>
      </c>
      <c r="K634" t="inlineStr">
        <is>
          <t>1.556</t>
        </is>
      </c>
      <c r="L634" t="inlineStr">
        <is>
          <t>Não</t>
        </is>
      </c>
      <c r="M634" t="inlineStr">
        <is>
          <t>Compra/outras</t>
        </is>
      </c>
    </row>
    <row r="635">
      <c r="A635" t="inlineStr">
        <is>
          <t>Remessa de mercadoria (categoria 2.01.84)</t>
        </is>
      </c>
      <c r="B635" t="inlineStr">
        <is>
          <t>2.01.84 Remessa de Mercadoria</t>
        </is>
      </c>
      <c r="C635" t="inlineStr">
        <is>
          <t>Antes de 2026</t>
        </is>
      </c>
      <c r="D635" t="inlineStr">
        <is>
          <t>Antes de 2026</t>
        </is>
      </c>
      <c r="E635" s="28" t="n">
        <v>45552</v>
      </c>
      <c r="F635" t="inlineStr">
        <is>
          <t>NF-e</t>
        </is>
      </c>
      <c r="G635" t="inlineStr">
        <is>
          <t>000000767</t>
        </is>
      </c>
      <c r="H635" t="inlineStr">
        <is>
          <t>SERTANEJA INDUSTRIA DE PREMOLDADO LTDA</t>
        </is>
      </c>
      <c r="I635" t="inlineStr">
        <is>
          <t>39.247.389/0001-00</t>
        </is>
      </c>
      <c r="J635" s="29" t="n">
        <v>3300</v>
      </c>
      <c r="K635" t="inlineStr">
        <is>
          <t>1.556</t>
        </is>
      </c>
      <c r="L635" t="inlineStr">
        <is>
          <t>Não</t>
        </is>
      </c>
      <c r="M635" t="inlineStr">
        <is>
          <t>Compra/outras</t>
        </is>
      </c>
    </row>
    <row r="636">
      <c r="A636" t="inlineStr">
        <is>
          <t>Remessa de mercadoria (categoria 2.01.84)</t>
        </is>
      </c>
      <c r="B636" t="inlineStr">
        <is>
          <t>2.01.84 Remessa de Mercadoria</t>
        </is>
      </c>
      <c r="C636" t="inlineStr">
        <is>
          <t>Antes de 2026</t>
        </is>
      </c>
      <c r="D636" t="inlineStr">
        <is>
          <t>Antes de 2026</t>
        </is>
      </c>
      <c r="E636" s="28" t="n">
        <v>45552</v>
      </c>
      <c r="F636" t="inlineStr">
        <is>
          <t>NF-e</t>
        </is>
      </c>
      <c r="G636" t="inlineStr">
        <is>
          <t>000000768</t>
        </is>
      </c>
      <c r="H636" t="inlineStr">
        <is>
          <t>SERTANEJA INDUSTRIA DE PREMOLDADO LTDA</t>
        </is>
      </c>
      <c r="I636" t="inlineStr">
        <is>
          <t>39.247.389/0001-00</t>
        </is>
      </c>
      <c r="J636" s="29" t="n">
        <v>4950</v>
      </c>
      <c r="K636" t="inlineStr">
        <is>
          <t>1.556</t>
        </is>
      </c>
      <c r="L636" t="inlineStr">
        <is>
          <t>Não</t>
        </is>
      </c>
      <c r="M636" t="inlineStr">
        <is>
          <t>Compra/outras</t>
        </is>
      </c>
    </row>
    <row r="637">
      <c r="A637" t="inlineStr">
        <is>
          <t>Remessa de mercadoria (categoria 2.01.84)</t>
        </is>
      </c>
      <c r="B637" t="inlineStr">
        <is>
          <t>2.01.84 Remessa de Mercadoria</t>
        </is>
      </c>
      <c r="C637" t="inlineStr">
        <is>
          <t>Antes de 2026</t>
        </is>
      </c>
      <c r="D637" t="inlineStr">
        <is>
          <t>Antes de 2026</t>
        </is>
      </c>
      <c r="E637" s="28" t="n">
        <v>45567</v>
      </c>
      <c r="F637" t="inlineStr">
        <is>
          <t>NF-e</t>
        </is>
      </c>
      <c r="G637" t="inlineStr">
        <is>
          <t>000000771</t>
        </is>
      </c>
      <c r="H637" t="inlineStr">
        <is>
          <t>SERTANEJA INDUSTRIA DE PREMOLDADO LTDA</t>
        </is>
      </c>
      <c r="I637" t="inlineStr">
        <is>
          <t>39.247.389/0001-00</t>
        </is>
      </c>
      <c r="J637" s="29" t="n">
        <v>3300</v>
      </c>
      <c r="K637" t="inlineStr">
        <is>
          <t>1.556</t>
        </is>
      </c>
      <c r="L637" t="inlineStr">
        <is>
          <t>Não</t>
        </is>
      </c>
      <c r="M637" t="inlineStr">
        <is>
          <t>Compra/outras</t>
        </is>
      </c>
    </row>
    <row r="638">
      <c r="A638" t="inlineStr">
        <is>
          <t>Remessa de mercadoria (categoria 2.01.84)</t>
        </is>
      </c>
      <c r="B638" t="inlineStr">
        <is>
          <t>2.01.84 Remessa de Mercadoria</t>
        </is>
      </c>
      <c r="C638" t="inlineStr">
        <is>
          <t>Antes de 2026</t>
        </is>
      </c>
      <c r="D638" t="inlineStr">
        <is>
          <t>Antes de 2026</t>
        </is>
      </c>
      <c r="E638" s="28" t="n">
        <v>45575</v>
      </c>
      <c r="F638" t="inlineStr">
        <is>
          <t>NF-e</t>
        </is>
      </c>
      <c r="G638" t="inlineStr">
        <is>
          <t>000000774</t>
        </is>
      </c>
      <c r="H638" t="inlineStr">
        <is>
          <t>SERTANEJA INDUSTRIA DE PREMOLDADO LTDA</t>
        </is>
      </c>
      <c r="I638" t="inlineStr">
        <is>
          <t>39.247.389/0001-00</t>
        </is>
      </c>
      <c r="J638" s="29" t="n">
        <v>4950</v>
      </c>
      <c r="K638" t="inlineStr">
        <is>
          <t>1.556</t>
        </is>
      </c>
      <c r="L638" t="inlineStr">
        <is>
          <t>Não</t>
        </is>
      </c>
      <c r="M638" t="inlineStr">
        <is>
          <t>Compra/outras</t>
        </is>
      </c>
    </row>
    <row r="639">
      <c r="A639" t="inlineStr">
        <is>
          <t>Remessa de mercadoria (categoria 2.01.84)</t>
        </is>
      </c>
      <c r="B639" t="inlineStr">
        <is>
          <t>2.01.84 Remessa de Mercadoria</t>
        </is>
      </c>
      <c r="C639" t="inlineStr">
        <is>
          <t>Antes de 2026</t>
        </is>
      </c>
      <c r="D639" t="inlineStr">
        <is>
          <t>Antes de 2026</t>
        </is>
      </c>
      <c r="E639" s="28" t="n">
        <v>45587</v>
      </c>
      <c r="F639" t="inlineStr">
        <is>
          <t>NF-e</t>
        </is>
      </c>
      <c r="G639" t="inlineStr">
        <is>
          <t>000000776</t>
        </is>
      </c>
      <c r="H639" t="inlineStr">
        <is>
          <t>SERTANEJA INDUSTRIA DE PREMOLDADO LTDA</t>
        </is>
      </c>
      <c r="I639" t="inlineStr">
        <is>
          <t>39.247.389/0001-00</t>
        </is>
      </c>
      <c r="J639" s="29" t="n">
        <v>4950</v>
      </c>
      <c r="K639" t="inlineStr">
        <is>
          <t>1.556</t>
        </is>
      </c>
      <c r="L639" t="inlineStr">
        <is>
          <t>Não</t>
        </is>
      </c>
      <c r="M639" t="inlineStr">
        <is>
          <t>Compra/outras</t>
        </is>
      </c>
    </row>
    <row r="640">
      <c r="A640" t="inlineStr">
        <is>
          <t>Remessa de mercadoria (categoria 2.01.84)</t>
        </is>
      </c>
      <c r="B640" t="inlineStr">
        <is>
          <t>2.01.84 Remessa de Mercadoria</t>
        </is>
      </c>
      <c r="C640" t="inlineStr">
        <is>
          <t>Antes de 2026</t>
        </is>
      </c>
      <c r="D640" t="inlineStr">
        <is>
          <t>Antes de 2026</t>
        </is>
      </c>
      <c r="E640" s="28" t="n">
        <v>45596</v>
      </c>
      <c r="F640" t="inlineStr">
        <is>
          <t>NF-e</t>
        </is>
      </c>
      <c r="G640" t="inlineStr">
        <is>
          <t>000000777</t>
        </is>
      </c>
      <c r="H640" t="inlineStr">
        <is>
          <t>SERTANEJA INDUSTRIA DE PREMOLDADO LTDA</t>
        </is>
      </c>
      <c r="I640" t="inlineStr">
        <is>
          <t>39.247.389/0001-00</t>
        </is>
      </c>
      <c r="J640" s="29" t="n">
        <v>4950</v>
      </c>
      <c r="K640" t="inlineStr">
        <is>
          <t>1.556</t>
        </is>
      </c>
      <c r="L640" t="inlineStr">
        <is>
          <t>Não</t>
        </is>
      </c>
      <c r="M640" t="inlineStr">
        <is>
          <t>Compra/outras</t>
        </is>
      </c>
    </row>
    <row r="641">
      <c r="A641" t="inlineStr">
        <is>
          <t>Remessa de mercadoria (categoria 2.01.84)</t>
        </is>
      </c>
      <c r="B641" t="inlineStr">
        <is>
          <t>2.01.84 Remessa de Mercadoria</t>
        </is>
      </c>
      <c r="C641" t="inlineStr">
        <is>
          <t>Antes de 2026</t>
        </is>
      </c>
      <c r="D641" t="inlineStr">
        <is>
          <t>Antes de 2026</t>
        </is>
      </c>
      <c r="E641" s="28" t="n">
        <v>45608</v>
      </c>
      <c r="F641" t="inlineStr">
        <is>
          <t>NF-e</t>
        </is>
      </c>
      <c r="G641" t="inlineStr">
        <is>
          <t>000000779</t>
        </is>
      </c>
      <c r="H641" t="inlineStr">
        <is>
          <t>SERTANEJA INDUSTRIA DE PREMOLDADO LTDA</t>
        </is>
      </c>
      <c r="I641" t="inlineStr">
        <is>
          <t>39.247.389/0001-00</t>
        </is>
      </c>
      <c r="J641" s="29" t="n">
        <v>4950</v>
      </c>
      <c r="K641" t="inlineStr">
        <is>
          <t>1.556</t>
        </is>
      </c>
      <c r="L641" t="inlineStr">
        <is>
          <t>Não</t>
        </is>
      </c>
      <c r="M641" t="inlineStr">
        <is>
          <t>Compra/outras</t>
        </is>
      </c>
    </row>
    <row r="642">
      <c r="A642" t="inlineStr">
        <is>
          <t>Remessa de mercadoria (categoria 2.01.84)</t>
        </is>
      </c>
      <c r="B642" t="inlineStr">
        <is>
          <t>2.01.84 Remessa de Mercadoria</t>
        </is>
      </c>
      <c r="C642" t="inlineStr">
        <is>
          <t>Antes de 2026</t>
        </is>
      </c>
      <c r="D642" t="inlineStr">
        <is>
          <t>Antes de 2026</t>
        </is>
      </c>
      <c r="E642" s="28" t="n">
        <v>45623</v>
      </c>
      <c r="F642" t="inlineStr">
        <is>
          <t>NF-e</t>
        </is>
      </c>
      <c r="G642" t="inlineStr">
        <is>
          <t>000000783</t>
        </is>
      </c>
      <c r="H642" t="inlineStr">
        <is>
          <t>SERTANEJA INDUSTRIA DE PREMOLDADO LTDA</t>
        </is>
      </c>
      <c r="I642" t="inlineStr">
        <is>
          <t>39.247.389/0001-00</t>
        </is>
      </c>
      <c r="J642" s="29" t="n">
        <v>4950</v>
      </c>
      <c r="K642" t="inlineStr">
        <is>
          <t>1.556</t>
        </is>
      </c>
      <c r="L642" t="inlineStr">
        <is>
          <t>Não</t>
        </is>
      </c>
      <c r="M642" t="inlineStr">
        <is>
          <t>Compra/outras</t>
        </is>
      </c>
    </row>
    <row r="643">
      <c r="A643" t="inlineStr">
        <is>
          <t>Remessa de mercadoria (categoria 2.01.84)</t>
        </is>
      </c>
      <c r="B643" t="inlineStr">
        <is>
          <t>2.01.84 Remessa de Mercadoria</t>
        </is>
      </c>
      <c r="C643" t="inlineStr">
        <is>
          <t>Antes de 2026</t>
        </is>
      </c>
      <c r="D643" t="inlineStr">
        <is>
          <t>Antes de 2026</t>
        </is>
      </c>
      <c r="E643" s="28" t="n">
        <v>45637</v>
      </c>
      <c r="F643" t="inlineStr">
        <is>
          <t>NF-e</t>
        </is>
      </c>
      <c r="G643" t="inlineStr">
        <is>
          <t>000001001</t>
        </is>
      </c>
      <c r="H643" t="inlineStr">
        <is>
          <t>SERTANEJA INDUSTRIA DE PREMOLDADO LTDA</t>
        </is>
      </c>
      <c r="I643" t="inlineStr">
        <is>
          <t>39.247.389/0001-00</t>
        </is>
      </c>
      <c r="J643" s="29" t="n">
        <v>4950</v>
      </c>
      <c r="K643" t="inlineStr">
        <is>
          <t>1.556</t>
        </is>
      </c>
      <c r="L643" t="inlineStr">
        <is>
          <t>Não</t>
        </is>
      </c>
      <c r="M643" t="inlineStr">
        <is>
          <t>Compra/outras</t>
        </is>
      </c>
    </row>
    <row r="644">
      <c r="A644" t="inlineStr">
        <is>
          <t>Remessa de mercadoria (categoria 2.01.84)</t>
        </is>
      </c>
      <c r="B644" t="inlineStr">
        <is>
          <t>2.01.84 Remessa de Mercadoria</t>
        </is>
      </c>
      <c r="C644" t="inlineStr">
        <is>
          <t>Antes de 2026</t>
        </is>
      </c>
      <c r="D644" t="inlineStr">
        <is>
          <t>Antes de 2026</t>
        </is>
      </c>
      <c r="E644" s="28" t="n">
        <v>45295</v>
      </c>
      <c r="F644" t="inlineStr">
        <is>
          <t>NF-e</t>
        </is>
      </c>
      <c r="G644" t="inlineStr">
        <is>
          <t>000001830</t>
        </is>
      </c>
      <c r="H644" t="inlineStr">
        <is>
          <t>STAMP DISTRIBUIDORA DE EMBALAGENS DE PAPEL E DESCARTAVEI...</t>
        </is>
      </c>
      <c r="I644" t="inlineStr">
        <is>
          <t>48.984.362/0001-90</t>
        </is>
      </c>
      <c r="J644" s="29" t="n">
        <v>5918.64</v>
      </c>
      <c r="K644" t="inlineStr">
        <is>
          <t>1.556</t>
        </is>
      </c>
      <c r="L644" t="inlineStr">
        <is>
          <t>Não</t>
        </is>
      </c>
      <c r="M644" t="inlineStr">
        <is>
          <t>Compra/outras</t>
        </is>
      </c>
    </row>
    <row r="645">
      <c r="A645" t="inlineStr">
        <is>
          <t>Remessa de mercadoria (categoria 2.01.84)</t>
        </is>
      </c>
      <c r="B645" t="inlineStr">
        <is>
          <t>2.01.84 Remessa de Mercadoria</t>
        </is>
      </c>
      <c r="C645" t="inlineStr">
        <is>
          <t>Antes de 2026</t>
        </is>
      </c>
      <c r="D645" t="inlineStr">
        <is>
          <t>Antes de 2026</t>
        </is>
      </c>
      <c r="E645" s="28" t="n">
        <v>45322</v>
      </c>
      <c r="F645" t="inlineStr">
        <is>
          <t>NF-e</t>
        </is>
      </c>
      <c r="G645" t="inlineStr">
        <is>
          <t>000002019</t>
        </is>
      </c>
      <c r="H645" t="inlineStr">
        <is>
          <t>STAMP DISTRIBUIDORA DE EMBALAGENS DE PAPEL E DESCARTAVEI...</t>
        </is>
      </c>
      <c r="I645" t="inlineStr">
        <is>
          <t>48.984.362/0001-90</t>
        </is>
      </c>
      <c r="J645" s="29" t="n">
        <v>1076.31</v>
      </c>
      <c r="K645" t="inlineStr">
        <is>
          <t>1.556</t>
        </is>
      </c>
      <c r="L645" t="inlineStr">
        <is>
          <t>Não</t>
        </is>
      </c>
      <c r="M645" t="inlineStr">
        <is>
          <t>Compra/outras</t>
        </is>
      </c>
    </row>
    <row r="646">
      <c r="A646" t="inlineStr">
        <is>
          <t>Remessa de mercadoria (categoria 2.01.84)</t>
        </is>
      </c>
      <c r="B646" t="inlineStr">
        <is>
          <t>2.01.84 Remessa de Mercadoria</t>
        </is>
      </c>
      <c r="C646" t="inlineStr">
        <is>
          <t>Antes de 2026</t>
        </is>
      </c>
      <c r="D646" t="inlineStr">
        <is>
          <t>Antes de 2026</t>
        </is>
      </c>
      <c r="E646" s="28" t="n">
        <v>45523</v>
      </c>
      <c r="F646" t="inlineStr">
        <is>
          <t>NF-e</t>
        </is>
      </c>
      <c r="G646" t="inlineStr">
        <is>
          <t>000003883</t>
        </is>
      </c>
      <c r="H646" t="inlineStr">
        <is>
          <t>STAMP DISTRIBUIDORA DE EMBALAGENS DE PAPEL E DESCARTAVEI...</t>
        </is>
      </c>
      <c r="I646" t="inlineStr">
        <is>
          <t>48.984.362/0001-90</t>
        </is>
      </c>
      <c r="J646" s="29" t="n">
        <v>2732.4</v>
      </c>
      <c r="K646" t="inlineStr">
        <is>
          <t>1.556</t>
        </is>
      </c>
      <c r="L646" t="inlineStr">
        <is>
          <t>Não</t>
        </is>
      </c>
      <c r="M646" t="inlineStr">
        <is>
          <t>Compra/outras</t>
        </is>
      </c>
    </row>
    <row r="647">
      <c r="A647" t="inlineStr">
        <is>
          <t>Remessa de mercadoria (categoria 2.01.84)</t>
        </is>
      </c>
      <c r="B647" t="inlineStr">
        <is>
          <t>2.01.84 Remessa de Mercadoria</t>
        </is>
      </c>
      <c r="C647" t="inlineStr">
        <is>
          <t>Antes de 2026</t>
        </is>
      </c>
      <c r="D647" t="inlineStr">
        <is>
          <t>Antes de 2026</t>
        </is>
      </c>
      <c r="E647" s="28" t="n">
        <v>45523</v>
      </c>
      <c r="F647" t="inlineStr">
        <is>
          <t>NF-e</t>
        </is>
      </c>
      <c r="G647" t="inlineStr">
        <is>
          <t>000003900</t>
        </is>
      </c>
      <c r="H647" t="inlineStr">
        <is>
          <t>STAMP DISTRIBUIDORA DE EMBALAGENS DE PAPEL E DESCARTAVEI...</t>
        </is>
      </c>
      <c r="I647" t="inlineStr">
        <is>
          <t>48.984.362/0001-90</t>
        </is>
      </c>
      <c r="J647" s="29" t="n">
        <v>704.96</v>
      </c>
      <c r="K647" t="inlineStr">
        <is>
          <t>1.556</t>
        </is>
      </c>
      <c r="L647" t="inlineStr">
        <is>
          <t>Não</t>
        </is>
      </c>
      <c r="M647" t="inlineStr">
        <is>
          <t>Compra/outras</t>
        </is>
      </c>
    </row>
    <row r="648">
      <c r="A648" t="inlineStr">
        <is>
          <t>Remessa de mercadoria (categoria 2.01.84)</t>
        </is>
      </c>
      <c r="B648" t="inlineStr">
        <is>
          <t>2.01.84 Remessa de Mercadoria</t>
        </is>
      </c>
      <c r="C648" t="inlineStr">
        <is>
          <t>Antes de 2026</t>
        </is>
      </c>
      <c r="D648" t="inlineStr">
        <is>
          <t>Antes de 2026</t>
        </is>
      </c>
      <c r="E648" s="28" t="n">
        <v>45576</v>
      </c>
      <c r="F648" t="inlineStr">
        <is>
          <t>NF-e</t>
        </is>
      </c>
      <c r="G648" t="inlineStr">
        <is>
          <t>000000960</t>
        </is>
      </c>
      <c r="H648" t="inlineStr">
        <is>
          <t>STAMP DISTRIBUIDORA DE EMBALAGENS DE PAPEL E DESCARTAVEIS LT</t>
        </is>
      </c>
      <c r="I648" t="inlineStr">
        <is>
          <t>27.707.575/0003-67</t>
        </is>
      </c>
      <c r="J648" s="29" t="n">
        <v>2522.38</v>
      </c>
      <c r="K648" t="inlineStr">
        <is>
          <t>1.556</t>
        </is>
      </c>
      <c r="L648" t="inlineStr">
        <is>
          <t>Não</t>
        </is>
      </c>
      <c r="M648" t="inlineStr">
        <is>
          <t>Compra/outras</t>
        </is>
      </c>
    </row>
    <row r="649">
      <c r="A649" t="inlineStr">
        <is>
          <t>Remessa de mercadoria (categoria 2.01.84)</t>
        </is>
      </c>
      <c r="B649" t="inlineStr">
        <is>
          <t>2.01.84 Remessa de Mercadoria</t>
        </is>
      </c>
      <c r="C649" t="inlineStr">
        <is>
          <t>Antes de 2026</t>
        </is>
      </c>
      <c r="D649" t="inlineStr">
        <is>
          <t>Antes de 2026</t>
        </is>
      </c>
      <c r="E649" s="28" t="n">
        <v>45576</v>
      </c>
      <c r="F649" t="inlineStr">
        <is>
          <t>NF-e</t>
        </is>
      </c>
      <c r="G649" t="inlineStr">
        <is>
          <t>000000961</t>
        </is>
      </c>
      <c r="H649" t="inlineStr">
        <is>
          <t>STAMP DISTRIBUIDORA DE EMBALAGENS DE PAPEL E DESCARTAVEIS LT</t>
        </is>
      </c>
      <c r="I649" t="inlineStr">
        <is>
          <t>27.707.575/0003-67</t>
        </is>
      </c>
      <c r="J649" s="29" t="n">
        <v>9883.120000000001</v>
      </c>
      <c r="K649" t="inlineStr">
        <is>
          <t>1.556</t>
        </is>
      </c>
      <c r="L649" t="inlineStr">
        <is>
          <t>Não</t>
        </is>
      </c>
      <c r="M649" t="inlineStr">
        <is>
          <t>Compra/outras</t>
        </is>
      </c>
    </row>
    <row r="650">
      <c r="A650" t="inlineStr">
        <is>
          <t>Remessa de mercadoria (categoria 2.01.84)</t>
        </is>
      </c>
      <c r="B650" t="inlineStr">
        <is>
          <t>2.01.84 Remessa de Mercadoria</t>
        </is>
      </c>
      <c r="C650" t="inlineStr">
        <is>
          <t>Antes de 2026</t>
        </is>
      </c>
      <c r="D650" t="inlineStr">
        <is>
          <t>Antes de 2026</t>
        </is>
      </c>
      <c r="E650" s="28" t="n">
        <v>45323</v>
      </c>
      <c r="F650" t="inlineStr">
        <is>
          <t>NF-e</t>
        </is>
      </c>
      <c r="G650" t="inlineStr">
        <is>
          <t>000046910</t>
        </is>
      </c>
      <c r="H650" t="inlineStr">
        <is>
          <t>STEEL KNIFE INDUSTRIA E COMERCIO LTDA</t>
        </is>
      </c>
      <c r="I650" t="inlineStr">
        <is>
          <t>56.922.354/0001-48</t>
        </is>
      </c>
      <c r="J650" s="29" t="n">
        <v>2874.95</v>
      </c>
      <c r="K650" t="inlineStr">
        <is>
          <t>1.556</t>
        </is>
      </c>
      <c r="L650" t="inlineStr">
        <is>
          <t>Não</t>
        </is>
      </c>
      <c r="M650" t="inlineStr">
        <is>
          <t>Compra/outras</t>
        </is>
      </c>
    </row>
    <row r="651">
      <c r="A651" t="inlineStr">
        <is>
          <t>Remessa de mercadoria (categoria 2.01.84)</t>
        </is>
      </c>
      <c r="B651" t="inlineStr">
        <is>
          <t>2.01.84 Remessa de Mercadoria</t>
        </is>
      </c>
      <c r="C651" t="inlineStr">
        <is>
          <t>Antes de 2026</t>
        </is>
      </c>
      <c r="D651" t="inlineStr">
        <is>
          <t>Antes de 2026</t>
        </is>
      </c>
      <c r="E651" s="28" t="n">
        <v>45341</v>
      </c>
      <c r="F651" t="inlineStr">
        <is>
          <t>NF-e</t>
        </is>
      </c>
      <c r="G651" t="inlineStr">
        <is>
          <t>000047067</t>
        </is>
      </c>
      <c r="H651" t="inlineStr">
        <is>
          <t>STEEL KNIFE INDUSTRIA E COMERCIO LTDA</t>
        </is>
      </c>
      <c r="I651" t="inlineStr">
        <is>
          <t>56.922.354/0001-48</t>
        </is>
      </c>
      <c r="J651" s="29" t="n">
        <v>3260</v>
      </c>
      <c r="K651" t="inlineStr">
        <is>
          <t>1.556</t>
        </is>
      </c>
      <c r="L651" t="inlineStr">
        <is>
          <t>Não</t>
        </is>
      </c>
      <c r="M651" t="inlineStr">
        <is>
          <t>Compra/outras</t>
        </is>
      </c>
    </row>
    <row r="652">
      <c r="A652" t="inlineStr">
        <is>
          <t>Remessa de mercadoria (categoria 2.01.84)</t>
        </is>
      </c>
      <c r="B652" t="inlineStr">
        <is>
          <t>2.01.84 Remessa de Mercadoria</t>
        </is>
      </c>
      <c r="C652" t="inlineStr">
        <is>
          <t>Antes de 2026</t>
        </is>
      </c>
      <c r="D652" t="inlineStr">
        <is>
          <t>Antes de 2026</t>
        </is>
      </c>
      <c r="E652" s="28" t="n">
        <v>45533</v>
      </c>
      <c r="F652" t="inlineStr">
        <is>
          <t>NF-e</t>
        </is>
      </c>
      <c r="G652" t="inlineStr">
        <is>
          <t>000000392</t>
        </is>
      </c>
      <c r="H652" t="inlineStr">
        <is>
          <t>SUZANNY SILVINO LEMOS</t>
        </is>
      </c>
      <c r="I652" t="inlineStr">
        <is>
          <t>31.533.886/0001-62</t>
        </is>
      </c>
      <c r="J652" s="29" t="n">
        <v>269.4</v>
      </c>
      <c r="K652" t="inlineStr">
        <is>
          <t>1.556</t>
        </is>
      </c>
      <c r="L652" t="inlineStr">
        <is>
          <t>Não</t>
        </is>
      </c>
      <c r="M652" t="inlineStr">
        <is>
          <t>Compra/outras</t>
        </is>
      </c>
    </row>
    <row r="653">
      <c r="A653" t="inlineStr">
        <is>
          <t>Remessa de mercadoria (categoria 2.01.84)</t>
        </is>
      </c>
      <c r="B653" t="inlineStr">
        <is>
          <t>2.01.84 Remessa de Mercadoria</t>
        </is>
      </c>
      <c r="C653" t="inlineStr">
        <is>
          <t>Antes de 2026</t>
        </is>
      </c>
      <c r="D653" t="inlineStr">
        <is>
          <t>Antes de 2026</t>
        </is>
      </c>
      <c r="E653" s="28" t="n">
        <v>45568</v>
      </c>
      <c r="F653" t="inlineStr">
        <is>
          <t>NF-e</t>
        </is>
      </c>
      <c r="G653" t="inlineStr">
        <is>
          <t>000000408</t>
        </is>
      </c>
      <c r="H653" t="inlineStr">
        <is>
          <t>SUZANNY SILVINO LEMOS</t>
        </is>
      </c>
      <c r="I653" t="inlineStr">
        <is>
          <t>31.533.886/0001-62</t>
        </is>
      </c>
      <c r="J653" s="29" t="n">
        <v>188</v>
      </c>
      <c r="K653" t="inlineStr">
        <is>
          <t>1.556</t>
        </is>
      </c>
      <c r="L653" t="inlineStr">
        <is>
          <t>Não</t>
        </is>
      </c>
      <c r="M653" t="inlineStr">
        <is>
          <t>Compra/outras</t>
        </is>
      </c>
    </row>
    <row r="654">
      <c r="A654" t="inlineStr">
        <is>
          <t>Remessa de mercadoria (categoria 2.01.84)</t>
        </is>
      </c>
      <c r="B654" t="inlineStr">
        <is>
          <t>2.01.84 Remessa de Mercadoria</t>
        </is>
      </c>
      <c r="C654" t="inlineStr">
        <is>
          <t>Antes de 2026</t>
        </is>
      </c>
      <c r="D654" t="inlineStr">
        <is>
          <t>Antes de 2026</t>
        </is>
      </c>
      <c r="E654" s="28" t="n">
        <v>45569</v>
      </c>
      <c r="F654" t="inlineStr">
        <is>
          <t>NF-e</t>
        </is>
      </c>
      <c r="G654" t="inlineStr">
        <is>
          <t>000156326</t>
        </is>
      </c>
      <c r="H654" t="inlineStr">
        <is>
          <t>SUZANO PAPEL E CELULOSE S.A.</t>
        </is>
      </c>
      <c r="I654" t="inlineStr">
        <is>
          <t>16.404.287/0290-56</t>
        </is>
      </c>
      <c r="J654" s="29" t="n">
        <v>5160.15</v>
      </c>
      <c r="K654" t="inlineStr">
        <is>
          <t>1.556</t>
        </is>
      </c>
      <c r="L654" t="inlineStr">
        <is>
          <t>Não</t>
        </is>
      </c>
      <c r="M654" t="inlineStr">
        <is>
          <t>Compra/outras</t>
        </is>
      </c>
    </row>
    <row r="655">
      <c r="A655" t="inlineStr">
        <is>
          <t>Remessa de mercadoria (categoria 2.01.84)</t>
        </is>
      </c>
      <c r="B655" t="inlineStr">
        <is>
          <t>2.01.84 Remessa de Mercadoria</t>
        </is>
      </c>
      <c r="C655" t="inlineStr">
        <is>
          <t>Antes de 2026</t>
        </is>
      </c>
      <c r="D655" t="inlineStr">
        <is>
          <t>Antes de 2026</t>
        </is>
      </c>
      <c r="E655" s="28" t="n">
        <v>45617</v>
      </c>
      <c r="F655" t="inlineStr">
        <is>
          <t>NF-e</t>
        </is>
      </c>
      <c r="G655" t="inlineStr">
        <is>
          <t>000158373</t>
        </is>
      </c>
      <c r="H655" t="inlineStr">
        <is>
          <t>SUZANO PAPEL E CELULOSE S.A.</t>
        </is>
      </c>
      <c r="I655" t="inlineStr">
        <is>
          <t>16.404.287/0290-56</t>
        </is>
      </c>
      <c r="J655" s="29" t="n">
        <v>2582.14</v>
      </c>
      <c r="K655" t="inlineStr">
        <is>
          <t>1.556</t>
        </is>
      </c>
      <c r="L655" t="inlineStr">
        <is>
          <t>Não</t>
        </is>
      </c>
      <c r="M655" t="inlineStr">
        <is>
          <t>Compra/outras</t>
        </is>
      </c>
    </row>
    <row r="656">
      <c r="A656" t="inlineStr">
        <is>
          <t>Remessa de mercadoria (categoria 2.01.84)</t>
        </is>
      </c>
      <c r="B656" t="inlineStr">
        <is>
          <t>2.01.84 Remessa de Mercadoria</t>
        </is>
      </c>
      <c r="C656" t="inlineStr">
        <is>
          <t>Antes de 2026</t>
        </is>
      </c>
      <c r="D656" t="inlineStr">
        <is>
          <t>Antes de 2026</t>
        </is>
      </c>
      <c r="E656" s="28" t="n">
        <v>45495</v>
      </c>
      <c r="F656" t="inlineStr">
        <is>
          <t>NF-e</t>
        </is>
      </c>
      <c r="G656" t="inlineStr">
        <is>
          <t>000001055</t>
        </is>
      </c>
      <c r="H656" t="inlineStr">
        <is>
          <t>SÃO JOSE DEPOSITO DE CIMENTO EIRELI</t>
        </is>
      </c>
      <c r="I656" t="inlineStr">
        <is>
          <t>22.638.708/0001-05</t>
        </is>
      </c>
      <c r="J656" s="29" t="n">
        <v>6600</v>
      </c>
      <c r="K656" t="inlineStr">
        <is>
          <t>1.556</t>
        </is>
      </c>
      <c r="L656" t="inlineStr">
        <is>
          <t>Não</t>
        </is>
      </c>
      <c r="M656" t="inlineStr">
        <is>
          <t>Compra/outras</t>
        </is>
      </c>
    </row>
    <row r="657">
      <c r="A657" t="inlineStr">
        <is>
          <t>Remessa de mercadoria (categoria 2.01.84)</t>
        </is>
      </c>
      <c r="B657" t="inlineStr">
        <is>
          <t>2.01.84 Remessa de Mercadoria</t>
        </is>
      </c>
      <c r="C657" t="inlineStr">
        <is>
          <t>Antes de 2026</t>
        </is>
      </c>
      <c r="D657" t="inlineStr">
        <is>
          <t>Antes de 2026</t>
        </is>
      </c>
      <c r="E657" s="28" t="n">
        <v>45498</v>
      </c>
      <c r="F657" t="inlineStr">
        <is>
          <t>NF-e</t>
        </is>
      </c>
      <c r="G657" t="inlineStr">
        <is>
          <t>000001056</t>
        </is>
      </c>
      <c r="H657" t="inlineStr">
        <is>
          <t>SÃO JOSE DEPOSITO DE CIMENTO EIRELI</t>
        </is>
      </c>
      <c r="I657" t="inlineStr">
        <is>
          <t>22.638.708/0001-05</t>
        </is>
      </c>
      <c r="J657" s="29" t="n">
        <v>1650</v>
      </c>
      <c r="K657" t="inlineStr">
        <is>
          <t>1.556</t>
        </is>
      </c>
      <c r="L657" t="inlineStr">
        <is>
          <t>Não</t>
        </is>
      </c>
      <c r="M657" t="inlineStr">
        <is>
          <t>Compra/outras</t>
        </is>
      </c>
    </row>
    <row r="658">
      <c r="A658" t="inlineStr">
        <is>
          <t>Remessa de mercadoria (categoria 2.01.84)</t>
        </is>
      </c>
      <c r="B658" t="inlineStr">
        <is>
          <t>2.01.84 Remessa de Mercadoria</t>
        </is>
      </c>
      <c r="C658" t="inlineStr">
        <is>
          <t>Antes de 2026</t>
        </is>
      </c>
      <c r="D658" t="inlineStr">
        <is>
          <t>Antes de 2026</t>
        </is>
      </c>
      <c r="E658" s="28" t="n">
        <v>45505</v>
      </c>
      <c r="F658" t="inlineStr">
        <is>
          <t>NF-e</t>
        </is>
      </c>
      <c r="G658" t="inlineStr">
        <is>
          <t>000001060</t>
        </is>
      </c>
      <c r="H658" t="inlineStr">
        <is>
          <t>SÃO JOSE DEPOSITO DE CIMENTO EIRELI</t>
        </is>
      </c>
      <c r="I658" t="inlineStr">
        <is>
          <t>22.638.708/0001-05</t>
        </is>
      </c>
      <c r="J658" s="29" t="n">
        <v>1650</v>
      </c>
      <c r="K658" t="inlineStr">
        <is>
          <t>1.556</t>
        </is>
      </c>
      <c r="L658" t="inlineStr">
        <is>
          <t>Não</t>
        </is>
      </c>
      <c r="M658" t="inlineStr">
        <is>
          <t>Compra/outras</t>
        </is>
      </c>
    </row>
    <row r="659">
      <c r="A659" t="inlineStr">
        <is>
          <t>Remessa de mercadoria (categoria 2.01.84)</t>
        </is>
      </c>
      <c r="B659" t="inlineStr">
        <is>
          <t>2.01.84 Remessa de Mercadoria</t>
        </is>
      </c>
      <c r="C659" t="inlineStr">
        <is>
          <t>Antes de 2026</t>
        </is>
      </c>
      <c r="D659" t="inlineStr">
        <is>
          <t>Antes de 2026</t>
        </is>
      </c>
      <c r="E659" s="28" t="n">
        <v>45531</v>
      </c>
      <c r="F659" t="inlineStr">
        <is>
          <t>NF-e</t>
        </is>
      </c>
      <c r="G659" t="inlineStr">
        <is>
          <t>000001064</t>
        </is>
      </c>
      <c r="H659" t="inlineStr">
        <is>
          <t>SÃO JOSE DEPOSITO DE CIMENTO EIRELI</t>
        </is>
      </c>
      <c r="I659" t="inlineStr">
        <is>
          <t>22.638.708/0001-05</t>
        </is>
      </c>
      <c r="J659" s="29" t="n">
        <v>1650</v>
      </c>
      <c r="K659" t="inlineStr">
        <is>
          <t>1.556</t>
        </is>
      </c>
      <c r="L659" t="inlineStr">
        <is>
          <t>Não</t>
        </is>
      </c>
      <c r="M659" t="inlineStr">
        <is>
          <t>Compra/outras</t>
        </is>
      </c>
    </row>
    <row r="660">
      <c r="A660" t="inlineStr">
        <is>
          <t>Remessa de mercadoria (categoria 2.01.84)</t>
        </is>
      </c>
      <c r="B660" t="inlineStr">
        <is>
          <t>2.01.84 Remessa de Mercadoria</t>
        </is>
      </c>
      <c r="C660" t="inlineStr">
        <is>
          <t>Antes de 2026</t>
        </is>
      </c>
      <c r="D660" t="inlineStr">
        <is>
          <t>Antes de 2026</t>
        </is>
      </c>
      <c r="E660" s="28" t="n">
        <v>45323</v>
      </c>
      <c r="F660" t="inlineStr">
        <is>
          <t>NF-e</t>
        </is>
      </c>
      <c r="G660" t="inlineStr">
        <is>
          <t>000055890</t>
        </is>
      </c>
      <c r="H660" t="inlineStr">
        <is>
          <t>TECFAG COMERCIO E IMPORTACAO DE MAQUINAS LTDA</t>
        </is>
      </c>
      <c r="I660" t="inlineStr">
        <is>
          <t>14.050.364/0001-90</t>
        </is>
      </c>
      <c r="J660" s="29" t="n">
        <v>795.8200000000001</v>
      </c>
      <c r="K660" t="inlineStr">
        <is>
          <t>1.556</t>
        </is>
      </c>
      <c r="L660" t="inlineStr">
        <is>
          <t>Não</t>
        </is>
      </c>
      <c r="M660" t="inlineStr">
        <is>
          <t>Compra/outras</t>
        </is>
      </c>
    </row>
    <row r="661">
      <c r="A661" t="inlineStr">
        <is>
          <t>Remessa de mercadoria (categoria 2.01.84)</t>
        </is>
      </c>
      <c r="B661" t="inlineStr">
        <is>
          <t>2.01.84 Remessa de Mercadoria</t>
        </is>
      </c>
      <c r="C661" t="inlineStr">
        <is>
          <t>Antes de 2026</t>
        </is>
      </c>
      <c r="D661" t="inlineStr">
        <is>
          <t>Antes de 2026</t>
        </is>
      </c>
      <c r="E661" s="28" t="n">
        <v>45362</v>
      </c>
      <c r="F661" t="inlineStr">
        <is>
          <t>NF-e</t>
        </is>
      </c>
      <c r="G661" t="inlineStr">
        <is>
          <t>000056799</t>
        </is>
      </c>
      <c r="H661" t="inlineStr">
        <is>
          <t>TECFAG COMERCIO E IMPORTACAO DE MAQUINAS LTDA</t>
        </is>
      </c>
      <c r="I661" t="inlineStr">
        <is>
          <t>14.050.364/0001-90</t>
        </is>
      </c>
      <c r="J661" s="29" t="n">
        <v>2480</v>
      </c>
      <c r="K661" t="inlineStr">
        <is>
          <t>1.556</t>
        </is>
      </c>
      <c r="L661" t="inlineStr">
        <is>
          <t>Não</t>
        </is>
      </c>
      <c r="M661" t="inlineStr">
        <is>
          <t>Compra/outras</t>
        </is>
      </c>
    </row>
    <row r="662">
      <c r="A662" t="inlineStr">
        <is>
          <t>Remessa de mercadoria (categoria 2.01.84)</t>
        </is>
      </c>
      <c r="B662" t="inlineStr">
        <is>
          <t>2.01.84 Remessa de Mercadoria</t>
        </is>
      </c>
      <c r="C662" t="inlineStr">
        <is>
          <t>Antes de 2026</t>
        </is>
      </c>
      <c r="D662" t="inlineStr">
        <is>
          <t>Antes de 2026</t>
        </is>
      </c>
      <c r="E662" s="28" t="n">
        <v>45575</v>
      </c>
      <c r="F662" t="inlineStr">
        <is>
          <t>NF-e</t>
        </is>
      </c>
      <c r="G662" t="inlineStr">
        <is>
          <t>000062097</t>
        </is>
      </c>
      <c r="H662" t="inlineStr">
        <is>
          <t>TECFAG COMERCIO E IMPORTACAO DE MAQUINAS LTDA</t>
        </is>
      </c>
      <c r="I662" t="inlineStr">
        <is>
          <t>14.050.364/0001-90</t>
        </is>
      </c>
      <c r="J662" s="29" t="n">
        <v>401.33</v>
      </c>
      <c r="K662" t="inlineStr">
        <is>
          <t>1.556</t>
        </is>
      </c>
      <c r="L662" t="inlineStr">
        <is>
          <t>Não</t>
        </is>
      </c>
      <c r="M662" t="inlineStr">
        <is>
          <t>Compra/outras</t>
        </is>
      </c>
    </row>
    <row r="663">
      <c r="A663" t="inlineStr">
        <is>
          <t>Remessa de mercadoria (categoria 2.01.84)</t>
        </is>
      </c>
      <c r="B663" t="inlineStr">
        <is>
          <t>2.01.84 Remessa de Mercadoria</t>
        </is>
      </c>
      <c r="C663" t="inlineStr">
        <is>
          <t>Antes de 2026</t>
        </is>
      </c>
      <c r="D663" t="inlineStr">
        <is>
          <t>Antes de 2026</t>
        </is>
      </c>
      <c r="E663" s="28" t="n">
        <v>45308</v>
      </c>
      <c r="F663" t="inlineStr">
        <is>
          <t>NF-e</t>
        </is>
      </c>
      <c r="G663" t="inlineStr">
        <is>
          <t>000002427</t>
        </is>
      </c>
      <c r="H663" t="inlineStr">
        <is>
          <t>TECHPRINT FACAS INDUSTRIAIS</t>
        </is>
      </c>
      <c r="I663" t="inlineStr">
        <is>
          <t>23.105.251/0001-36</t>
        </is>
      </c>
      <c r="J663" s="29" t="n">
        <v>1900</v>
      </c>
      <c r="K663" t="inlineStr">
        <is>
          <t>1.556</t>
        </is>
      </c>
      <c r="L663" t="inlineStr">
        <is>
          <t>Não</t>
        </is>
      </c>
      <c r="M663" t="inlineStr">
        <is>
          <t>Compra/outras</t>
        </is>
      </c>
    </row>
    <row r="664">
      <c r="A664" t="inlineStr">
        <is>
          <t>Remessa de mercadoria (categoria 2.01.84)</t>
        </is>
      </c>
      <c r="B664" t="inlineStr">
        <is>
          <t>2.01.84 Remessa de Mercadoria</t>
        </is>
      </c>
      <c r="C664" t="inlineStr">
        <is>
          <t>Antes de 2026</t>
        </is>
      </c>
      <c r="D664" t="inlineStr">
        <is>
          <t>Antes de 2026</t>
        </is>
      </c>
      <c r="E664" s="28" t="n">
        <v>45362</v>
      </c>
      <c r="F664" t="inlineStr">
        <is>
          <t>NF-e</t>
        </is>
      </c>
      <c r="G664" t="inlineStr">
        <is>
          <t>000002469</t>
        </is>
      </c>
      <c r="H664" t="inlineStr">
        <is>
          <t>TECHPRINT FACAS INDUSTRIAIS</t>
        </is>
      </c>
      <c r="I664" t="inlineStr">
        <is>
          <t>23.105.251/0001-36</t>
        </is>
      </c>
      <c r="J664" s="29" t="n">
        <v>3250</v>
      </c>
      <c r="K664" t="inlineStr">
        <is>
          <t>1.556</t>
        </is>
      </c>
      <c r="L664" t="inlineStr">
        <is>
          <t>Não</t>
        </is>
      </c>
      <c r="M664" t="inlineStr">
        <is>
          <t>Compra/outras</t>
        </is>
      </c>
    </row>
    <row r="665">
      <c r="A665" t="inlineStr">
        <is>
          <t>Remessa de mercadoria (categoria 2.01.84)</t>
        </is>
      </c>
      <c r="B665" t="inlineStr">
        <is>
          <t>2.01.84 Remessa de Mercadoria</t>
        </is>
      </c>
      <c r="C665" t="inlineStr">
        <is>
          <t>Antes de 2026</t>
        </is>
      </c>
      <c r="D665" t="inlineStr">
        <is>
          <t>Antes de 2026</t>
        </is>
      </c>
      <c r="E665" s="28" t="n">
        <v>45552</v>
      </c>
      <c r="F665" t="inlineStr">
        <is>
          <t>NF-e</t>
        </is>
      </c>
      <c r="G665" t="inlineStr">
        <is>
          <t>000008711</t>
        </is>
      </c>
      <c r="H665" t="inlineStr">
        <is>
          <t>TITANIUMLAB SUPRIMENTOS PARA LABORATORIOS LTDA</t>
        </is>
      </c>
      <c r="I665" t="inlineStr">
        <is>
          <t>41.023.396/0001-70</t>
        </is>
      </c>
      <c r="J665" s="29" t="n">
        <v>946.77</v>
      </c>
      <c r="K665" t="inlineStr">
        <is>
          <t>1.556</t>
        </is>
      </c>
      <c r="L665" t="inlineStr">
        <is>
          <t>Não</t>
        </is>
      </c>
      <c r="M665" t="inlineStr">
        <is>
          <t>Compra/outras</t>
        </is>
      </c>
    </row>
    <row r="666">
      <c r="A666" t="inlineStr">
        <is>
          <t>Remessa de mercadoria (categoria 2.01.84)</t>
        </is>
      </c>
      <c r="B666" t="inlineStr">
        <is>
          <t>2.01.84 Remessa de Mercadoria</t>
        </is>
      </c>
      <c r="C666" t="inlineStr">
        <is>
          <t>Antes de 2026</t>
        </is>
      </c>
      <c r="D666" t="inlineStr">
        <is>
          <t>Antes de 2026</t>
        </is>
      </c>
      <c r="E666" s="28" t="n">
        <v>45518</v>
      </c>
      <c r="F666" t="inlineStr">
        <is>
          <t>CT-e</t>
        </is>
      </c>
      <c r="G666" t="inlineStr">
        <is>
          <t>000001672</t>
        </is>
      </c>
      <c r="H666" t="inlineStr">
        <is>
          <t>TRANSPORTES DE MAQUINAS PLANETA AZUL LTDA</t>
        </is>
      </c>
      <c r="J666" s="29" t="n">
        <v>59363.88</v>
      </c>
      <c r="K666" t="inlineStr">
        <is>
          <t>1.556</t>
        </is>
      </c>
      <c r="L666" t="inlineStr">
        <is>
          <t>Não</t>
        </is>
      </c>
      <c r="N666" t="inlineStr">
        <is>
          <t>Modalidade: 1 - Por conta do destinatário | Parte: FURNAX COMERCIAL E IMPORTADORA EIRELI (00.144.257/0001-17)</t>
        </is>
      </c>
    </row>
    <row r="667">
      <c r="A667" t="inlineStr">
        <is>
          <t>Remessa de mercadoria (categoria 2.01.84)</t>
        </is>
      </c>
      <c r="B667" t="inlineStr">
        <is>
          <t>2.01.84 Remessa de Mercadoria</t>
        </is>
      </c>
      <c r="C667" t="inlineStr">
        <is>
          <t>Antes de 2026</t>
        </is>
      </c>
      <c r="D667" t="inlineStr">
        <is>
          <t>Antes de 2026</t>
        </is>
      </c>
      <c r="E667" s="28" t="n">
        <v>45537</v>
      </c>
      <c r="F667" t="inlineStr">
        <is>
          <t>NF-e</t>
        </is>
      </c>
      <c r="G667" t="inlineStr">
        <is>
          <t>000005774</t>
        </is>
      </c>
      <c r="H667" t="inlineStr">
        <is>
          <t>TREVENTOS COMERCIO DE EQUIPAMENTOS DE SEGURANCA LTDA.</t>
        </is>
      </c>
      <c r="I667" t="inlineStr">
        <is>
          <t>03.013.781/0003-09</t>
        </is>
      </c>
      <c r="J667" s="29" t="n">
        <v>270</v>
      </c>
      <c r="K667" t="inlineStr">
        <is>
          <t>1.556</t>
        </is>
      </c>
      <c r="L667" t="inlineStr">
        <is>
          <t>Não</t>
        </is>
      </c>
      <c r="M667" t="inlineStr">
        <is>
          <t>Compra/outras</t>
        </is>
      </c>
    </row>
    <row r="668">
      <c r="A668" t="inlineStr">
        <is>
          <t>Remessa de mercadoria (categoria 2.01.84)</t>
        </is>
      </c>
      <c r="B668" t="inlineStr">
        <is>
          <t>2.01.84 Remessa de Mercadoria</t>
        </is>
      </c>
      <c r="C668" t="inlineStr">
        <is>
          <t>Antes de 2026</t>
        </is>
      </c>
      <c r="D668" t="inlineStr">
        <is>
          <t>Antes de 2026</t>
        </is>
      </c>
      <c r="E668" s="28" t="n">
        <v>45540</v>
      </c>
      <c r="F668" t="inlineStr">
        <is>
          <t>NF-e</t>
        </is>
      </c>
      <c r="G668" t="inlineStr">
        <is>
          <t>000000001</t>
        </is>
      </c>
      <c r="H668" t="inlineStr">
        <is>
          <t>TREVO CIMENTO LTDA</t>
        </is>
      </c>
      <c r="I668" t="inlineStr">
        <is>
          <t>55.314.437/0001-91</t>
        </is>
      </c>
      <c r="J668" s="29" t="n">
        <v>3300</v>
      </c>
      <c r="K668" t="inlineStr">
        <is>
          <t>1.556</t>
        </is>
      </c>
      <c r="L668" t="inlineStr">
        <is>
          <t>Não</t>
        </is>
      </c>
      <c r="M668" t="inlineStr">
        <is>
          <t>Compra/outras</t>
        </is>
      </c>
    </row>
    <row r="669">
      <c r="A669" t="inlineStr">
        <is>
          <t>Remessa de mercadoria (categoria 2.01.84)</t>
        </is>
      </c>
      <c r="B669" t="inlineStr">
        <is>
          <t>2.01.84 Remessa de Mercadoria</t>
        </is>
      </c>
      <c r="C669" t="inlineStr">
        <is>
          <t>Antes de 2026</t>
        </is>
      </c>
      <c r="D669" t="inlineStr">
        <is>
          <t>Antes de 2026</t>
        </is>
      </c>
      <c r="E669" s="28" t="n">
        <v>45309</v>
      </c>
      <c r="F669" t="inlineStr">
        <is>
          <t>NF-e</t>
        </is>
      </c>
      <c r="G669" t="inlineStr">
        <is>
          <t>000039817</t>
        </is>
      </c>
      <c r="H669" t="inlineStr">
        <is>
          <t>TSA QUIMICA DO BRASIL LTDA</t>
        </is>
      </c>
      <c r="I669" t="inlineStr">
        <is>
          <t>73.767.394/0004-24</t>
        </is>
      </c>
      <c r="J669" s="29" t="n">
        <v>124.5</v>
      </c>
      <c r="K669" t="inlineStr">
        <is>
          <t>1.556</t>
        </is>
      </c>
      <c r="L669" t="inlineStr">
        <is>
          <t>Não</t>
        </is>
      </c>
      <c r="M669" t="inlineStr">
        <is>
          <t>Compra/outras</t>
        </is>
      </c>
    </row>
    <row r="670">
      <c r="A670" t="inlineStr">
        <is>
          <t>Remessa de mercadoria (categoria 2.01.84)</t>
        </is>
      </c>
      <c r="B670" t="inlineStr">
        <is>
          <t>2.01.84 Remessa de Mercadoria</t>
        </is>
      </c>
      <c r="C670" t="inlineStr">
        <is>
          <t>Antes de 2026</t>
        </is>
      </c>
      <c r="D670" t="inlineStr">
        <is>
          <t>Antes de 2026</t>
        </is>
      </c>
      <c r="E670" s="28" t="n">
        <v>45366</v>
      </c>
      <c r="F670" t="inlineStr">
        <is>
          <t>NF-e</t>
        </is>
      </c>
      <c r="G670" t="inlineStr">
        <is>
          <t>000040420</t>
        </is>
      </c>
      <c r="H670" t="inlineStr">
        <is>
          <t>TSA QUIMICA DO BRASIL LTDA</t>
        </is>
      </c>
      <c r="I670" t="inlineStr">
        <is>
          <t>73.767.394/0004-24</t>
        </is>
      </c>
      <c r="J670" s="29" t="n">
        <v>60</v>
      </c>
      <c r="K670" t="inlineStr">
        <is>
          <t>1.556</t>
        </is>
      </c>
      <c r="L670" t="inlineStr">
        <is>
          <t>Não</t>
        </is>
      </c>
      <c r="M670" t="inlineStr">
        <is>
          <t>Compra/outras</t>
        </is>
      </c>
    </row>
    <row r="671">
      <c r="A671" t="inlineStr">
        <is>
          <t>Remessa de mercadoria (categoria 2.01.84)</t>
        </is>
      </c>
      <c r="B671" t="inlineStr">
        <is>
          <t>2.01.84 Remessa de Mercadoria</t>
        </is>
      </c>
      <c r="C671" t="inlineStr">
        <is>
          <t>Antes de 2026</t>
        </is>
      </c>
      <c r="D671" t="inlineStr">
        <is>
          <t>Antes de 2026</t>
        </is>
      </c>
      <c r="E671" s="28" t="n">
        <v>45498</v>
      </c>
      <c r="F671" t="inlineStr">
        <is>
          <t>NF-e</t>
        </is>
      </c>
      <c r="G671" t="inlineStr">
        <is>
          <t>000042030</t>
        </is>
      </c>
      <c r="H671" t="inlineStr">
        <is>
          <t>TSA QUIMICA DO BRASIL LTDA</t>
        </is>
      </c>
      <c r="I671" t="inlineStr">
        <is>
          <t>73.767.394/0004-24</t>
        </is>
      </c>
      <c r="J671" s="29" t="n">
        <v>6176</v>
      </c>
      <c r="K671" t="inlineStr">
        <is>
          <t>1.556</t>
        </is>
      </c>
      <c r="L671" t="inlineStr">
        <is>
          <t>Não</t>
        </is>
      </c>
      <c r="M671" t="inlineStr">
        <is>
          <t>Compra/outras</t>
        </is>
      </c>
    </row>
    <row r="672">
      <c r="A672" t="inlineStr">
        <is>
          <t>Remessa de mercadoria (categoria 2.01.84)</t>
        </is>
      </c>
      <c r="B672" t="inlineStr">
        <is>
          <t>2.01.84 Remessa de Mercadoria</t>
        </is>
      </c>
      <c r="C672" t="inlineStr">
        <is>
          <t>Antes de 2026</t>
        </is>
      </c>
      <c r="D672" t="inlineStr">
        <is>
          <t>Antes de 2026</t>
        </is>
      </c>
      <c r="E672" s="28" t="n">
        <v>45359</v>
      </c>
      <c r="F672" t="inlineStr">
        <is>
          <t>NF-e</t>
        </is>
      </c>
      <c r="G672" t="inlineStr">
        <is>
          <t>000013042</t>
        </is>
      </c>
      <c r="H672" t="inlineStr">
        <is>
          <t>TURBO FREIO SERVICOS E COMERCIO AUTOMOTIVOS LTDA - ME</t>
        </is>
      </c>
      <c r="I672" t="inlineStr">
        <is>
          <t>03.424.615/0001-33</t>
        </is>
      </c>
      <c r="J672" s="29" t="n">
        <v>1615</v>
      </c>
      <c r="K672" t="inlineStr">
        <is>
          <t>1.556</t>
        </is>
      </c>
      <c r="L672" t="inlineStr">
        <is>
          <t>Não</t>
        </is>
      </c>
      <c r="M672" t="inlineStr">
        <is>
          <t>Compra/outras</t>
        </is>
      </c>
    </row>
    <row r="673">
      <c r="A673" t="inlineStr">
        <is>
          <t>Remessa de mercadoria (categoria 2.01.84)</t>
        </is>
      </c>
      <c r="B673" t="inlineStr">
        <is>
          <t>2.01.84 Remessa de Mercadoria</t>
        </is>
      </c>
      <c r="C673" t="inlineStr">
        <is>
          <t>Antes de 2026</t>
        </is>
      </c>
      <c r="D673" t="inlineStr">
        <is>
          <t>Antes de 2026</t>
        </is>
      </c>
      <c r="E673" s="28" t="n">
        <v>45555</v>
      </c>
      <c r="F673" t="inlineStr">
        <is>
          <t>NF-e</t>
        </is>
      </c>
      <c r="G673" t="inlineStr">
        <is>
          <t>000000867</t>
        </is>
      </c>
      <c r="H673" t="inlineStr">
        <is>
          <t>UP GIFTS PERSONALIZADOS LTDA</t>
        </is>
      </c>
      <c r="I673" t="inlineStr">
        <is>
          <t>46.230.617/0001-02</t>
        </is>
      </c>
      <c r="J673" s="29" t="n">
        <v>500</v>
      </c>
      <c r="K673" t="inlineStr">
        <is>
          <t>1.556</t>
        </is>
      </c>
      <c r="L673" t="inlineStr">
        <is>
          <t>Não</t>
        </is>
      </c>
      <c r="M673" t="inlineStr">
        <is>
          <t>Compra/outras</t>
        </is>
      </c>
    </row>
    <row r="674">
      <c r="A674" t="inlineStr">
        <is>
          <t>Remessa de mercadoria (categoria 2.01.84)</t>
        </is>
      </c>
      <c r="B674" t="inlineStr">
        <is>
          <t>2.01.84 Remessa de Mercadoria</t>
        </is>
      </c>
      <c r="C674" t="inlineStr">
        <is>
          <t>Antes de 2026</t>
        </is>
      </c>
      <c r="D674" t="inlineStr">
        <is>
          <t>Antes de 2026</t>
        </is>
      </c>
      <c r="E674" s="28" t="n">
        <v>45629</v>
      </c>
      <c r="F674" t="inlineStr">
        <is>
          <t>NF-e</t>
        </is>
      </c>
      <c r="G674" t="inlineStr">
        <is>
          <t>000001116</t>
        </is>
      </c>
      <c r="H674" t="inlineStr">
        <is>
          <t>UP GIFTS PERSONALIZADOS LTDA</t>
        </is>
      </c>
      <c r="I674" t="inlineStr">
        <is>
          <t>46.230.617/0001-02</t>
        </is>
      </c>
      <c r="J674" s="29" t="n">
        <v>240</v>
      </c>
      <c r="K674" t="inlineStr">
        <is>
          <t>1.556</t>
        </is>
      </c>
      <c r="L674" t="inlineStr">
        <is>
          <t>Não</t>
        </is>
      </c>
      <c r="M674" t="inlineStr">
        <is>
          <t>Compra/outras</t>
        </is>
      </c>
    </row>
    <row r="675">
      <c r="A675" t="inlineStr">
        <is>
          <t>Remessa de mercadoria (categoria 2.01.84)</t>
        </is>
      </c>
      <c r="B675" t="inlineStr">
        <is>
          <t>2.01.84 Remessa de Mercadoria</t>
        </is>
      </c>
      <c r="C675" t="inlineStr">
        <is>
          <t>Antes de 2026</t>
        </is>
      </c>
      <c r="D675" t="inlineStr">
        <is>
          <t>Antes de 2026</t>
        </is>
      </c>
      <c r="E675" s="28" t="n">
        <v>45295</v>
      </c>
      <c r="F675" t="inlineStr">
        <is>
          <t>NF-e</t>
        </is>
      </c>
      <c r="G675" t="inlineStr">
        <is>
          <t>000001008</t>
        </is>
      </c>
      <c r="H675" t="inlineStr">
        <is>
          <t>VINCO INDUSTRIA E DISTRIBUIDORA LTDA</t>
        </is>
      </c>
      <c r="I675" t="inlineStr">
        <is>
          <t>45.987.551/0001-29</t>
        </is>
      </c>
      <c r="J675" s="29" t="n">
        <v>114920.49</v>
      </c>
      <c r="K675" t="inlineStr">
        <is>
          <t>1.556</t>
        </is>
      </c>
      <c r="L675" t="inlineStr">
        <is>
          <t>Não</t>
        </is>
      </c>
      <c r="M675" t="inlineStr">
        <is>
          <t>Compra/outras</t>
        </is>
      </c>
    </row>
    <row r="676">
      <c r="A676" t="inlineStr">
        <is>
          <t>Remessa de mercadoria (categoria 2.01.84)</t>
        </is>
      </c>
      <c r="B676" t="inlineStr">
        <is>
          <t>2.01.84 Remessa de Mercadoria</t>
        </is>
      </c>
      <c r="C676" t="inlineStr">
        <is>
          <t>Antes de 2026</t>
        </is>
      </c>
      <c r="D676" t="inlineStr">
        <is>
          <t>Antes de 2026</t>
        </is>
      </c>
      <c r="E676" s="28" t="n">
        <v>45302</v>
      </c>
      <c r="F676" t="inlineStr">
        <is>
          <t>NF-e</t>
        </is>
      </c>
      <c r="G676" t="inlineStr">
        <is>
          <t>000001033</t>
        </is>
      </c>
      <c r="H676" t="inlineStr">
        <is>
          <t>VINCO INDUSTRIA E DISTRIBUIDORA LTDA</t>
        </is>
      </c>
      <c r="I676" t="inlineStr">
        <is>
          <t>45.987.551/0001-29</t>
        </is>
      </c>
      <c r="J676" s="29" t="n">
        <v>0</v>
      </c>
      <c r="K676" t="inlineStr">
        <is>
          <t>1.556</t>
        </is>
      </c>
      <c r="L676" t="inlineStr">
        <is>
          <t>Não</t>
        </is>
      </c>
      <c r="M676" t="inlineStr">
        <is>
          <t>Compra/outras</t>
        </is>
      </c>
    </row>
    <row r="677">
      <c r="A677" t="inlineStr">
        <is>
          <t>Remessa de mercadoria (categoria 2.01.84)</t>
        </is>
      </c>
      <c r="B677" t="inlineStr">
        <is>
          <t>2.01.84 Remessa de Mercadoria</t>
        </is>
      </c>
      <c r="C677" t="inlineStr">
        <is>
          <t>Antes de 2026</t>
        </is>
      </c>
      <c r="D677" t="inlineStr">
        <is>
          <t>Antes de 2026</t>
        </is>
      </c>
      <c r="E677" s="28" t="n">
        <v>45579</v>
      </c>
      <c r="F677" t="inlineStr">
        <is>
          <t>NF-e</t>
        </is>
      </c>
      <c r="G677" t="inlineStr">
        <is>
          <t>000007852</t>
        </is>
      </c>
      <c r="H677" t="inlineStr">
        <is>
          <t>VITOR HUGO GOMES LIMA</t>
        </is>
      </c>
      <c r="I677" t="inlineStr">
        <is>
          <t>08.968.419/0001-43</t>
        </is>
      </c>
      <c r="J677" s="29" t="n">
        <v>1393.88</v>
      </c>
      <c r="K677" t="inlineStr">
        <is>
          <t>1.556</t>
        </is>
      </c>
      <c r="L677" t="inlineStr">
        <is>
          <t>Não</t>
        </is>
      </c>
      <c r="M677" t="inlineStr">
        <is>
          <t>Compra/outras</t>
        </is>
      </c>
    </row>
    <row r="678">
      <c r="A678" t="inlineStr">
        <is>
          <t>Remessa de mercadoria (categoria 2.01.84)</t>
        </is>
      </c>
      <c r="B678" t="inlineStr">
        <is>
          <t>2.01.84 Remessa de Mercadoria</t>
        </is>
      </c>
      <c r="C678" t="inlineStr">
        <is>
          <t>Antes de 2026</t>
        </is>
      </c>
      <c r="D678" t="inlineStr">
        <is>
          <t>Antes de 2026</t>
        </is>
      </c>
      <c r="E678" s="28" t="n">
        <v>45510</v>
      </c>
      <c r="F678" t="inlineStr">
        <is>
          <t>NF-e</t>
        </is>
      </c>
      <c r="G678" t="inlineStr">
        <is>
          <t>000000891</t>
        </is>
      </c>
      <c r="H678" t="inlineStr">
        <is>
          <t>VLE COMERCIO DE EMBALAGENS E MATERIAL DE LIMPEZA LTDA</t>
        </is>
      </c>
      <c r="I678" t="inlineStr">
        <is>
          <t>52.682.999/0001-08</t>
        </is>
      </c>
      <c r="J678" s="29" t="n">
        <v>4188.6</v>
      </c>
      <c r="K678" t="inlineStr">
        <is>
          <t>1.556</t>
        </is>
      </c>
      <c r="L678" t="inlineStr">
        <is>
          <t>Não</t>
        </is>
      </c>
      <c r="M678" t="inlineStr">
        <is>
          <t>Compra/outras</t>
        </is>
      </c>
    </row>
    <row r="679">
      <c r="A679" t="inlineStr">
        <is>
          <t>Remessa de mercadoria (categoria 2.01.84)</t>
        </is>
      </c>
      <c r="B679" t="inlineStr">
        <is>
          <t>2.01.84 Remessa de Mercadoria</t>
        </is>
      </c>
      <c r="C679" t="inlineStr">
        <is>
          <t>Antes de 2026</t>
        </is>
      </c>
      <c r="D679" t="inlineStr">
        <is>
          <t>Antes de 2026</t>
        </is>
      </c>
      <c r="E679" s="28" t="n">
        <v>45548</v>
      </c>
      <c r="F679" t="inlineStr">
        <is>
          <t>NF-e</t>
        </is>
      </c>
      <c r="G679" t="inlineStr">
        <is>
          <t>000005631</t>
        </is>
      </c>
      <c r="H679" t="inlineStr">
        <is>
          <t>WARBEL DO BRASIL INDUSTRIA E COMERCIO LTDA</t>
        </is>
      </c>
      <c r="I679" t="inlineStr">
        <is>
          <t>03.320.489/0002-58</t>
        </is>
      </c>
      <c r="J679" s="29" t="n">
        <v>3131.1</v>
      </c>
      <c r="K679" t="inlineStr">
        <is>
          <t>1.556</t>
        </is>
      </c>
      <c r="L679" t="inlineStr">
        <is>
          <t>Não</t>
        </is>
      </c>
      <c r="M679" t="inlineStr">
        <is>
          <t>Compra/outras</t>
        </is>
      </c>
    </row>
    <row r="680">
      <c r="A680" t="inlineStr">
        <is>
          <t>Remessa de mercadoria (categoria 2.01.84)</t>
        </is>
      </c>
      <c r="B680" t="inlineStr">
        <is>
          <t>2.01.84 Remessa de Mercadoria</t>
        </is>
      </c>
      <c r="C680" t="inlineStr">
        <is>
          <t>Antes de 2026</t>
        </is>
      </c>
      <c r="D680" t="inlineStr">
        <is>
          <t>Antes de 2026</t>
        </is>
      </c>
      <c r="E680" s="28" t="n">
        <v>45560</v>
      </c>
      <c r="F680" t="inlineStr">
        <is>
          <t>NF-e</t>
        </is>
      </c>
      <c r="G680" t="inlineStr">
        <is>
          <t>000005664</t>
        </is>
      </c>
      <c r="H680" t="inlineStr">
        <is>
          <t>WARBEL DO BRASIL INDUSTRIA E COMERCIO LTDA</t>
        </is>
      </c>
      <c r="I680" t="inlineStr">
        <is>
          <t>03.320.489/0002-58</t>
        </is>
      </c>
      <c r="J680" s="29" t="n">
        <v>1331.25</v>
      </c>
      <c r="K680" t="inlineStr">
        <is>
          <t>1.556</t>
        </is>
      </c>
      <c r="L680" t="inlineStr">
        <is>
          <t>Não</t>
        </is>
      </c>
      <c r="M680" t="inlineStr">
        <is>
          <t>Compra/outras</t>
        </is>
      </c>
    </row>
    <row r="681">
      <c r="A681" t="inlineStr">
        <is>
          <t>Remessa de mercadoria (categoria 2.01.84)</t>
        </is>
      </c>
      <c r="B681" t="inlineStr">
        <is>
          <t>2.01.84 Remessa de Mercadoria</t>
        </is>
      </c>
      <c r="C681" s="30" t="n">
        <v>46023</v>
      </c>
      <c r="D681" t="inlineStr">
        <is>
          <t>Em 2026</t>
        </is>
      </c>
      <c r="E681" s="28" t="n">
        <v>46028</v>
      </c>
      <c r="F681" t="inlineStr">
        <is>
          <t>NF-e</t>
        </is>
      </c>
      <c r="G681" t="inlineStr">
        <is>
          <t>000036812</t>
        </is>
      </c>
      <c r="H681" t="inlineStr">
        <is>
          <t>DELINEAR BAHIA CLICHERIA LTDA</t>
        </is>
      </c>
      <c r="I681" t="inlineStr">
        <is>
          <t>10.566.633/0001-15</t>
        </is>
      </c>
      <c r="J681" s="29" t="n">
        <v>80</v>
      </c>
      <c r="K681" t="inlineStr">
        <is>
          <t>1.350</t>
        </is>
      </c>
      <c r="L681" t="inlineStr">
        <is>
          <t>Não</t>
        </is>
      </c>
      <c r="M681" t="inlineStr">
        <is>
          <t>Compra/outras</t>
        </is>
      </c>
    </row>
    <row r="682">
      <c r="A682" t="inlineStr">
        <is>
          <t>Remessa de mercadoria (categoria 2.01.84)</t>
        </is>
      </c>
      <c r="B682" t="inlineStr">
        <is>
          <t>2.01.84 Remessa de Mercadoria</t>
        </is>
      </c>
      <c r="C682" s="30" t="n">
        <v>46023</v>
      </c>
      <c r="D682" t="inlineStr">
        <is>
          <t>Em 2026</t>
        </is>
      </c>
      <c r="E682" s="28" t="n">
        <v>46041</v>
      </c>
      <c r="F682" t="inlineStr">
        <is>
          <t>NF-e</t>
        </is>
      </c>
      <c r="G682" t="inlineStr">
        <is>
          <t>000005636</t>
        </is>
      </c>
      <c r="H682" t="inlineStr">
        <is>
          <t>GDM INDUSTRIA E COMERCIO DE PLASTICOS LTDA.</t>
        </is>
      </c>
      <c r="I682" t="inlineStr">
        <is>
          <t>07.955.100/0004-63</t>
        </is>
      </c>
      <c r="J682" s="29" t="n">
        <v>5</v>
      </c>
      <c r="K682" t="inlineStr">
        <is>
          <t>1.556</t>
        </is>
      </c>
      <c r="L682" t="inlineStr">
        <is>
          <t>Não</t>
        </is>
      </c>
      <c r="M682" t="inlineStr">
        <is>
          <t>Compra/outras</t>
        </is>
      </c>
    </row>
    <row r="683">
      <c r="A683" t="inlineStr">
        <is>
          <t>Remessa de mercadoria (categoria 2.01.84)</t>
        </is>
      </c>
      <c r="B683" t="inlineStr">
        <is>
          <t>2.01.84 Remessa de Mercadoria</t>
        </is>
      </c>
      <c r="C683" s="30" t="n">
        <v>46023</v>
      </c>
      <c r="D683" t="inlineStr">
        <is>
          <t>Em 2026</t>
        </is>
      </c>
      <c r="E683" s="28" t="n">
        <v>46041</v>
      </c>
      <c r="F683" t="inlineStr">
        <is>
          <t>NF-e</t>
        </is>
      </c>
      <c r="G683" t="inlineStr">
        <is>
          <t>000012060</t>
        </is>
      </c>
      <c r="H683" t="inlineStr">
        <is>
          <t>NOVA CONPEL COMPANHIA NORDESTINA DE PAPEL LTDA</t>
        </is>
      </c>
      <c r="I683" t="inlineStr">
        <is>
          <t>55.330.530/0001-90</t>
        </is>
      </c>
      <c r="J683" s="29" t="n">
        <v>24257.99</v>
      </c>
      <c r="K683" t="inlineStr">
        <is>
          <t>1.556</t>
        </is>
      </c>
      <c r="L683" t="inlineStr">
        <is>
          <t>Não</t>
        </is>
      </c>
      <c r="M683" t="inlineStr">
        <is>
          <t>Entrega futura (x.116/x.117)</t>
        </is>
      </c>
    </row>
    <row r="684">
      <c r="A684" t="inlineStr">
        <is>
          <t>Remessa de mercadoria (categoria 2.01.84)</t>
        </is>
      </c>
      <c r="B684" t="inlineStr">
        <is>
          <t>2.01.84 Remessa de Mercadoria</t>
        </is>
      </c>
      <c r="C684" s="30" t="n">
        <v>46023</v>
      </c>
      <c r="D684" t="inlineStr">
        <is>
          <t>Em 2026</t>
        </is>
      </c>
      <c r="E684" s="28" t="n">
        <v>46042</v>
      </c>
      <c r="F684" t="inlineStr">
        <is>
          <t>NF-e</t>
        </is>
      </c>
      <c r="G684" t="inlineStr">
        <is>
          <t>000012119</t>
        </is>
      </c>
      <c r="H684" t="inlineStr">
        <is>
          <t>NOVA CONPEL COMPANHIA NORDESTINA DE PAPEL LTDA</t>
        </is>
      </c>
      <c r="I684" t="inlineStr">
        <is>
          <t>55.330.530/0001-90</t>
        </is>
      </c>
      <c r="J684" s="29" t="n">
        <v>6571.42</v>
      </c>
      <c r="K684" t="inlineStr">
        <is>
          <t>1.556</t>
        </is>
      </c>
      <c r="L684" t="inlineStr">
        <is>
          <t>Não</t>
        </is>
      </c>
      <c r="M684" t="inlineStr">
        <is>
          <t>Entrega futura (x.116/x.117)</t>
        </is>
      </c>
    </row>
    <row r="685">
      <c r="A685" t="inlineStr">
        <is>
          <t>Remessa de mercadoria (categoria 2.01.84)</t>
        </is>
      </c>
      <c r="B685" t="inlineStr">
        <is>
          <t>2.01.84 Remessa de Mercadoria</t>
        </is>
      </c>
      <c r="C685" s="30" t="n">
        <v>46023</v>
      </c>
      <c r="D685" t="inlineStr">
        <is>
          <t>Em 2026</t>
        </is>
      </c>
      <c r="E685" s="28" t="n">
        <v>46042</v>
      </c>
      <c r="F685" t="inlineStr">
        <is>
          <t>NF-e</t>
        </is>
      </c>
      <c r="G685" t="inlineStr">
        <is>
          <t>000009980</t>
        </is>
      </c>
      <c r="H685" t="inlineStr">
        <is>
          <t>STAMP DISTRIBUIDORA DE EMBALAGENS DE PAPEL E DESCARTAVEI...</t>
        </is>
      </c>
      <c r="I685" t="inlineStr">
        <is>
          <t>48.984.362/0001-90</t>
        </is>
      </c>
      <c r="J685" s="29" t="n">
        <v>754.65</v>
      </c>
      <c r="K685" t="inlineStr">
        <is>
          <t>1.556</t>
        </is>
      </c>
      <c r="L685" t="inlineStr">
        <is>
          <t>Não</t>
        </is>
      </c>
      <c r="M685" t="inlineStr">
        <is>
          <t>Compra/outras</t>
        </is>
      </c>
    </row>
    <row r="686">
      <c r="A686" t="inlineStr">
        <is>
          <t>Remessa de mercadoria (categoria 2.01.84)</t>
        </is>
      </c>
      <c r="B686" t="inlineStr">
        <is>
          <t>2.01.84 Remessa de Mercadoria</t>
        </is>
      </c>
      <c r="C686" s="30" t="n">
        <v>46054</v>
      </c>
      <c r="D686" t="inlineStr">
        <is>
          <t>Em 2026</t>
        </is>
      </c>
      <c r="E686" s="28" t="n">
        <v>46072</v>
      </c>
      <c r="F686" t="inlineStr">
        <is>
          <t>NF-e</t>
        </is>
      </c>
      <c r="G686" t="inlineStr">
        <is>
          <t>000012933</t>
        </is>
      </c>
      <c r="H686" t="inlineStr">
        <is>
          <t>NOVA CONPEL COMPANHIA NORDESTINA DE PAPEL LTDA</t>
        </is>
      </c>
      <c r="I686" t="inlineStr">
        <is>
          <t>55.330.530/0001-90</t>
        </is>
      </c>
      <c r="J686" s="29" t="n">
        <v>22179.66</v>
      </c>
      <c r="K686" t="inlineStr">
        <is>
          <t>1.556</t>
        </is>
      </c>
      <c r="L686" t="inlineStr">
        <is>
          <t>Não</t>
        </is>
      </c>
      <c r="M686" t="inlineStr">
        <is>
          <t>Entrega futura (x.116/x.117)</t>
        </is>
      </c>
    </row>
    <row r="687">
      <c r="A687" t="inlineStr">
        <is>
          <t>Remessa de mercadoria (categoria 2.01.84)</t>
        </is>
      </c>
      <c r="B687" t="inlineStr">
        <is>
          <t>2.01.84 Remessa de Mercadoria</t>
        </is>
      </c>
      <c r="C687" s="30" t="n">
        <v>46054</v>
      </c>
      <c r="D687" t="inlineStr">
        <is>
          <t>Em 2026</t>
        </is>
      </c>
      <c r="E687" s="28" t="n">
        <v>46080</v>
      </c>
      <c r="F687" t="inlineStr">
        <is>
          <t>NF-e</t>
        </is>
      </c>
      <c r="G687" t="inlineStr">
        <is>
          <t>000013183</t>
        </is>
      </c>
      <c r="H687" t="inlineStr">
        <is>
          <t>NOVA CONPEL COMPANHIA NORDESTINA DE PAPEL LTDA</t>
        </is>
      </c>
      <c r="I687" t="inlineStr">
        <is>
          <t>55.330.530/0001-90</t>
        </is>
      </c>
      <c r="J687" s="29" t="n">
        <v>7457.45</v>
      </c>
      <c r="K687" t="inlineStr">
        <is>
          <t>1.556</t>
        </is>
      </c>
      <c r="L687" t="inlineStr">
        <is>
          <t>Não</t>
        </is>
      </c>
      <c r="M687" t="inlineStr">
        <is>
          <t>Entrega futura (x.116/x.117)</t>
        </is>
      </c>
    </row>
    <row r="688">
      <c r="A688" t="inlineStr">
        <is>
          <t>Remessa de mercadoria (categoria 2.01.84)</t>
        </is>
      </c>
      <c r="B688" t="inlineStr">
        <is>
          <t>2.01.84 Remessa de Mercadoria</t>
        </is>
      </c>
      <c r="C688" s="30" t="n">
        <v>46082</v>
      </c>
      <c r="D688" t="inlineStr">
        <is>
          <t>Em 2026</t>
        </is>
      </c>
      <c r="E688" s="28" t="n">
        <v>46108</v>
      </c>
      <c r="F688" t="inlineStr">
        <is>
          <t>NF-e</t>
        </is>
      </c>
      <c r="G688" t="inlineStr">
        <is>
          <t>000006079</t>
        </is>
      </c>
      <c r="H688" t="inlineStr">
        <is>
          <t>GDM INDUSTRIA E COMERCIO DE PLASTICOS LTDA.</t>
        </is>
      </c>
      <c r="I688" t="inlineStr">
        <is>
          <t>07.955.100/0004-63</t>
        </is>
      </c>
      <c r="J688" s="29" t="n">
        <v>10</v>
      </c>
      <c r="K688" t="inlineStr">
        <is>
          <t>1.556</t>
        </is>
      </c>
      <c r="L688" t="inlineStr">
        <is>
          <t>Não</t>
        </is>
      </c>
      <c r="M688" t="inlineStr">
        <is>
          <t>Compra/outras</t>
        </is>
      </c>
    </row>
    <row r="689">
      <c r="A689" t="inlineStr">
        <is>
          <t>Remessa de mercadoria (categoria 2.01.84)</t>
        </is>
      </c>
      <c r="B689" t="inlineStr">
        <is>
          <t>2.01.84 Remessa de Mercadoria</t>
        </is>
      </c>
      <c r="C689" s="30" t="n">
        <v>46082</v>
      </c>
      <c r="D689" t="inlineStr">
        <is>
          <t>Em 2026</t>
        </is>
      </c>
      <c r="E689" s="28" t="n">
        <v>46083</v>
      </c>
      <c r="F689" t="inlineStr">
        <is>
          <t>NF-e</t>
        </is>
      </c>
      <c r="G689" t="inlineStr">
        <is>
          <t>000013250</t>
        </is>
      </c>
      <c r="H689" t="inlineStr">
        <is>
          <t>NOVA CONPEL COMPANHIA NORDESTINA DE PAPEL LTDA</t>
        </is>
      </c>
      <c r="I689" t="inlineStr">
        <is>
          <t>55.330.530/0001-90</t>
        </is>
      </c>
      <c r="J689" s="29" t="n">
        <v>2857.14</v>
      </c>
      <c r="K689" t="inlineStr">
        <is>
          <t>1.556</t>
        </is>
      </c>
      <c r="L689" t="inlineStr">
        <is>
          <t>Não</t>
        </is>
      </c>
      <c r="M689" t="inlineStr">
        <is>
          <t>Entrega futura (x.116/x.117)</t>
        </is>
      </c>
    </row>
    <row r="690">
      <c r="A690" t="inlineStr">
        <is>
          <t>Remessa de mercadoria (categoria 2.01.84)</t>
        </is>
      </c>
      <c r="B690" t="inlineStr">
        <is>
          <t>2.01.84 Remessa de Mercadoria</t>
        </is>
      </c>
      <c r="C690" s="30" t="n">
        <v>46082</v>
      </c>
      <c r="D690" t="inlineStr">
        <is>
          <t>Em 2026</t>
        </is>
      </c>
      <c r="E690" s="28" t="n">
        <v>46084</v>
      </c>
      <c r="F690" t="inlineStr">
        <is>
          <t>NF-e</t>
        </is>
      </c>
      <c r="G690" t="inlineStr">
        <is>
          <t>000013272</t>
        </is>
      </c>
      <c r="H690" t="inlineStr">
        <is>
          <t>NOVA CONPEL COMPANHIA NORDESTINA DE PAPEL LTDA</t>
        </is>
      </c>
      <c r="I690" t="inlineStr">
        <is>
          <t>55.330.530/0001-90</t>
        </is>
      </c>
      <c r="J690" s="29" t="n">
        <v>12874.29</v>
      </c>
      <c r="K690" t="inlineStr">
        <is>
          <t>1.556</t>
        </is>
      </c>
      <c r="L690" t="inlineStr">
        <is>
          <t>Não</t>
        </is>
      </c>
      <c r="M690" t="inlineStr">
        <is>
          <t>Entrega futura (x.116/x.117)</t>
        </is>
      </c>
    </row>
    <row r="691">
      <c r="A691" t="inlineStr">
        <is>
          <t>Remessa de mercadoria (categoria 2.01.84)</t>
        </is>
      </c>
      <c r="B691" t="inlineStr">
        <is>
          <t>2.01.84 Remessa de Mercadoria</t>
        </is>
      </c>
      <c r="C691" s="30" t="n">
        <v>46082</v>
      </c>
      <c r="D691" t="inlineStr">
        <is>
          <t>Em 2026</t>
        </is>
      </c>
      <c r="E691" s="28" t="n">
        <v>46087</v>
      </c>
      <c r="F691" t="inlineStr">
        <is>
          <t>NF-e</t>
        </is>
      </c>
      <c r="G691" t="inlineStr">
        <is>
          <t>000013368</t>
        </is>
      </c>
      <c r="H691" t="inlineStr">
        <is>
          <t>NOVA CONPEL COMPANHIA NORDESTINA DE PAPEL LTDA</t>
        </is>
      </c>
      <c r="I691" t="inlineStr">
        <is>
          <t>55.330.530/0001-90</t>
        </is>
      </c>
      <c r="J691" s="29" t="n">
        <v>19927.77</v>
      </c>
      <c r="K691" t="inlineStr">
        <is>
          <t>1.556</t>
        </is>
      </c>
      <c r="L691" t="inlineStr">
        <is>
          <t>Não</t>
        </is>
      </c>
      <c r="M691" t="inlineStr">
        <is>
          <t>Entrega futura (x.116/x.117)</t>
        </is>
      </c>
    </row>
    <row r="692">
      <c r="A692" t="inlineStr">
        <is>
          <t>Remessa de mercadoria (categoria 2.01.84)</t>
        </is>
      </c>
      <c r="B692" t="inlineStr">
        <is>
          <t>2.01.84 Remessa de Mercadoria</t>
        </is>
      </c>
      <c r="C692" s="30" t="n">
        <v>46082</v>
      </c>
      <c r="D692" t="inlineStr">
        <is>
          <t>Em 2026</t>
        </is>
      </c>
      <c r="E692" s="28" t="n">
        <v>46088</v>
      </c>
      <c r="F692" t="inlineStr">
        <is>
          <t>NF-e</t>
        </is>
      </c>
      <c r="G692" t="inlineStr">
        <is>
          <t>000013382</t>
        </is>
      </c>
      <c r="H692" t="inlineStr">
        <is>
          <t>NOVA CONPEL COMPANHIA NORDESTINA DE PAPEL LTDA</t>
        </is>
      </c>
      <c r="I692" t="inlineStr">
        <is>
          <t>55.330.530/0001-90</t>
        </is>
      </c>
      <c r="J692" s="29" t="n">
        <v>27969.86</v>
      </c>
      <c r="K692" t="inlineStr">
        <is>
          <t>1.556</t>
        </is>
      </c>
      <c r="L692" t="inlineStr">
        <is>
          <t>Não</t>
        </is>
      </c>
      <c r="M692" t="inlineStr">
        <is>
          <t>Entrega futura (x.116/x.117)</t>
        </is>
      </c>
    </row>
    <row r="693">
      <c r="A693" t="inlineStr">
        <is>
          <t>Remessa de mercadoria (categoria 2.01.84)</t>
        </is>
      </c>
      <c r="B693" t="inlineStr">
        <is>
          <t>2.01.84 Remessa de Mercadoria</t>
        </is>
      </c>
      <c r="C693" s="30" t="n">
        <v>46082</v>
      </c>
      <c r="D693" t="inlineStr">
        <is>
          <t>Em 2026</t>
        </is>
      </c>
      <c r="E693" s="28" t="n">
        <v>46091</v>
      </c>
      <c r="F693" t="inlineStr">
        <is>
          <t>NF-e</t>
        </is>
      </c>
      <c r="G693" t="inlineStr">
        <is>
          <t>000013419</t>
        </is>
      </c>
      <c r="H693" t="inlineStr">
        <is>
          <t>NOVA CONPEL COMPANHIA NORDESTINA DE PAPEL LTDA</t>
        </is>
      </c>
      <c r="I693" t="inlineStr">
        <is>
          <t>55.330.530/0001-90</t>
        </is>
      </c>
      <c r="J693" s="29" t="n">
        <v>13765.19</v>
      </c>
      <c r="K693" t="inlineStr">
        <is>
          <t>1.556</t>
        </is>
      </c>
      <c r="L693" t="inlineStr">
        <is>
          <t>Não</t>
        </is>
      </c>
      <c r="M693" t="inlineStr">
        <is>
          <t>Entrega futura (x.116/x.117)</t>
        </is>
      </c>
    </row>
    <row r="694">
      <c r="A694" t="inlineStr">
        <is>
          <t>Remessa de mercadoria (categoria 2.01.84)</t>
        </is>
      </c>
      <c r="B694" t="inlineStr">
        <is>
          <t>2.01.84 Remessa de Mercadoria</t>
        </is>
      </c>
      <c r="C694" s="30" t="n">
        <v>46082</v>
      </c>
      <c r="D694" t="inlineStr">
        <is>
          <t>Em 2026</t>
        </is>
      </c>
      <c r="E694" s="28" t="n">
        <v>46092</v>
      </c>
      <c r="F694" t="inlineStr">
        <is>
          <t>NF-e</t>
        </is>
      </c>
      <c r="G694" t="inlineStr">
        <is>
          <t>000013469</t>
        </is>
      </c>
      <c r="H694" t="inlineStr">
        <is>
          <t>NOVA CONPEL COMPANHIA NORDESTINA DE PAPEL LTDA</t>
        </is>
      </c>
      <c r="I694" t="inlineStr">
        <is>
          <t>55.330.530/0001-90</t>
        </is>
      </c>
      <c r="J694" s="29" t="n">
        <v>6226.22</v>
      </c>
      <c r="K694" t="inlineStr">
        <is>
          <t>1.556</t>
        </is>
      </c>
      <c r="L694" t="inlineStr">
        <is>
          <t>Não</t>
        </is>
      </c>
      <c r="M694" t="inlineStr">
        <is>
          <t>Entrega futura (x.116/x.117)</t>
        </is>
      </c>
    </row>
    <row r="695">
      <c r="A695" t="inlineStr">
        <is>
          <t>Remessa de mercadoria (categoria 2.01.84)</t>
        </is>
      </c>
      <c r="B695" t="inlineStr">
        <is>
          <t>2.01.84 Remessa de Mercadoria</t>
        </is>
      </c>
      <c r="C695" s="30" t="n">
        <v>46082</v>
      </c>
      <c r="D695" t="inlineStr">
        <is>
          <t>Em 2026</t>
        </is>
      </c>
      <c r="E695" s="28" t="n">
        <v>46093</v>
      </c>
      <c r="F695" t="inlineStr">
        <is>
          <t>NF-e</t>
        </is>
      </c>
      <c r="G695" t="inlineStr">
        <is>
          <t>000013501</t>
        </is>
      </c>
      <c r="H695" t="inlineStr">
        <is>
          <t>NOVA CONPEL COMPANHIA NORDESTINA DE PAPEL LTDA</t>
        </is>
      </c>
      <c r="I695" t="inlineStr">
        <is>
          <t>55.330.530/0001-90</t>
        </is>
      </c>
      <c r="J695" s="29" t="n">
        <v>6273.77</v>
      </c>
      <c r="K695" t="inlineStr">
        <is>
          <t>1.556</t>
        </is>
      </c>
      <c r="L695" t="inlineStr">
        <is>
          <t>Não</t>
        </is>
      </c>
      <c r="M695" t="inlineStr">
        <is>
          <t>Entrega futura (x.116/x.117)</t>
        </is>
      </c>
    </row>
    <row r="696">
      <c r="A696" t="inlineStr">
        <is>
          <t>Remessa de mercadoria (categoria 2.01.84)</t>
        </is>
      </c>
      <c r="B696" t="inlineStr">
        <is>
          <t>2.01.84 Remessa de Mercadoria</t>
        </is>
      </c>
      <c r="C696" s="30" t="n">
        <v>46082</v>
      </c>
      <c r="D696" t="inlineStr">
        <is>
          <t>Em 2026</t>
        </is>
      </c>
      <c r="E696" s="28" t="n">
        <v>46099</v>
      </c>
      <c r="F696" t="inlineStr">
        <is>
          <t>NF-e</t>
        </is>
      </c>
      <c r="G696" t="inlineStr">
        <is>
          <t>000013632</t>
        </is>
      </c>
      <c r="H696" t="inlineStr">
        <is>
          <t>NOVA CONPEL COMPANHIA NORDESTINA DE PAPEL LTDA</t>
        </is>
      </c>
      <c r="I696" t="inlineStr">
        <is>
          <t>55.330.530/0001-90</t>
        </is>
      </c>
      <c r="J696" s="29" t="n">
        <v>16206.01</v>
      </c>
      <c r="K696" t="inlineStr">
        <is>
          <t>1.556</t>
        </is>
      </c>
      <c r="L696" t="inlineStr">
        <is>
          <t>Não</t>
        </is>
      </c>
      <c r="M696" t="inlineStr">
        <is>
          <t>Entrega futura (x.116/x.117)</t>
        </is>
      </c>
    </row>
    <row r="697">
      <c r="A697" t="inlineStr">
        <is>
          <t>Remessa de mercadoria (categoria 2.01.84)</t>
        </is>
      </c>
      <c r="B697" t="inlineStr">
        <is>
          <t>2.01.84 Remessa de Mercadoria</t>
        </is>
      </c>
      <c r="C697" s="30" t="n">
        <v>46082</v>
      </c>
      <c r="D697" t="inlineStr">
        <is>
          <t>Em 2026</t>
        </is>
      </c>
      <c r="E697" s="28" t="n">
        <v>46104</v>
      </c>
      <c r="F697" t="inlineStr">
        <is>
          <t>NF-e</t>
        </is>
      </c>
      <c r="G697" t="inlineStr">
        <is>
          <t>000013740</t>
        </is>
      </c>
      <c r="H697" t="inlineStr">
        <is>
          <t>NOVA CONPEL COMPANHIA NORDESTINA DE PAPEL LTDA</t>
        </is>
      </c>
      <c r="I697" t="inlineStr">
        <is>
          <t>55.330.530/0001-90</t>
        </is>
      </c>
      <c r="J697" s="29" t="n">
        <v>3723.72</v>
      </c>
      <c r="K697" t="inlineStr">
        <is>
          <t>1.900</t>
        </is>
      </c>
      <c r="L697" t="inlineStr">
        <is>
          <t>Não</t>
        </is>
      </c>
      <c r="M697" t="inlineStr">
        <is>
          <t>Entrega futura (x.116/x.117)</t>
        </is>
      </c>
    </row>
    <row r="698">
      <c r="A698" t="inlineStr">
        <is>
          <t>Remessa de mercadoria (categoria 2.01.84)</t>
        </is>
      </c>
      <c r="B698" t="inlineStr">
        <is>
          <t>2.01.84 Remessa de Mercadoria</t>
        </is>
      </c>
      <c r="C698" s="30" t="n">
        <v>46082</v>
      </c>
      <c r="D698" t="inlineStr">
        <is>
          <t>Em 2026</t>
        </is>
      </c>
      <c r="E698" s="28" t="n">
        <v>46106</v>
      </c>
      <c r="F698" t="inlineStr">
        <is>
          <t>NF-e</t>
        </is>
      </c>
      <c r="G698" t="inlineStr">
        <is>
          <t>000013810</t>
        </is>
      </c>
      <c r="H698" t="inlineStr">
        <is>
          <t>NOVA CONPEL COMPANHIA NORDESTINA DE PAPEL LTDA</t>
        </is>
      </c>
      <c r="I698" t="inlineStr">
        <is>
          <t>55.330.530/0001-90</t>
        </is>
      </c>
      <c r="J698" s="29" t="n">
        <v>22642.62</v>
      </c>
      <c r="K698" t="inlineStr">
        <is>
          <t>1.900</t>
        </is>
      </c>
      <c r="L698" t="inlineStr">
        <is>
          <t>Não</t>
        </is>
      </c>
      <c r="M698" t="inlineStr">
        <is>
          <t>Entrega futura (x.116/x.117)</t>
        </is>
      </c>
    </row>
    <row r="699">
      <c r="A699" t="inlineStr">
        <is>
          <t>Remessa de mercadoria (categoria 2.01.84)</t>
        </is>
      </c>
      <c r="B699" t="inlineStr">
        <is>
          <t>2.01.84 Remessa de Mercadoria</t>
        </is>
      </c>
      <c r="C699" s="30" t="n">
        <v>46082</v>
      </c>
      <c r="D699" t="inlineStr">
        <is>
          <t>Em 2026</t>
        </is>
      </c>
      <c r="E699" s="28" t="n">
        <v>46111</v>
      </c>
      <c r="F699" t="inlineStr">
        <is>
          <t>NF-e</t>
        </is>
      </c>
      <c r="G699" t="inlineStr">
        <is>
          <t>000013927</t>
        </is>
      </c>
      <c r="H699" t="inlineStr">
        <is>
          <t>NOVA CONPEL COMPANHIA NORDESTINA DE PAPEL LTDA</t>
        </is>
      </c>
      <c r="I699" t="inlineStr">
        <is>
          <t>55.330.530/0001-90</t>
        </is>
      </c>
      <c r="J699" s="29" t="n">
        <v>16229.25</v>
      </c>
      <c r="K699" t="inlineStr">
        <is>
          <t>1.900</t>
        </is>
      </c>
      <c r="L699" t="inlineStr">
        <is>
          <t>Não</t>
        </is>
      </c>
      <c r="M699" t="inlineStr">
        <is>
          <t>Entrega futura (x.116/x.117)</t>
        </is>
      </c>
    </row>
    <row r="700">
      <c r="A700" t="inlineStr">
        <is>
          <t>Remessa de mercadoria (categoria 2.01.84)</t>
        </is>
      </c>
      <c r="B700" t="inlineStr">
        <is>
          <t>2.01.84 Remessa de Mercadoria</t>
        </is>
      </c>
      <c r="C700" s="30" t="n">
        <v>46082</v>
      </c>
      <c r="D700" t="inlineStr">
        <is>
          <t>Em 2026</t>
        </is>
      </c>
      <c r="E700" s="28" t="n">
        <v>46112</v>
      </c>
      <c r="F700" t="inlineStr">
        <is>
          <t>NF-e</t>
        </is>
      </c>
      <c r="G700" t="inlineStr">
        <is>
          <t>000013958</t>
        </is>
      </c>
      <c r="H700" t="inlineStr">
        <is>
          <t>NOVA CONPEL COMPANHIA NORDESTINA DE PAPEL LTDA</t>
        </is>
      </c>
      <c r="I700" t="inlineStr">
        <is>
          <t>55.330.530/0001-90</t>
        </is>
      </c>
      <c r="J700" s="29" t="n">
        <v>3750</v>
      </c>
      <c r="K700" t="inlineStr">
        <is>
          <t>1.900</t>
        </is>
      </c>
      <c r="L700" t="inlineStr">
        <is>
          <t>Não</t>
        </is>
      </c>
      <c r="M700" t="inlineStr">
        <is>
          <t>Entrega futura (x.116/x.117)</t>
        </is>
      </c>
    </row>
    <row r="701">
      <c r="A701" t="inlineStr">
        <is>
          <t>Remessa de mercadoria (categoria 2.01.84)</t>
        </is>
      </c>
      <c r="B701" t="inlineStr">
        <is>
          <t>2.01.84 Remessa de Mercadoria</t>
        </is>
      </c>
      <c r="C701" s="30" t="n">
        <v>46082</v>
      </c>
      <c r="D701" t="inlineStr">
        <is>
          <t>Em 2026</t>
        </is>
      </c>
      <c r="E701" s="28" t="n">
        <v>46106</v>
      </c>
      <c r="F701" t="inlineStr">
        <is>
          <t>NF-e</t>
        </is>
      </c>
      <c r="G701" t="inlineStr">
        <is>
          <t>000104883</t>
        </is>
      </c>
      <c r="H701" t="inlineStr">
        <is>
          <t>VIVACOR INDUSTRIA DE TINTAS E VERNIZES LTDA</t>
        </is>
      </c>
      <c r="I701" t="inlineStr">
        <is>
          <t>61.796.546/0001-95</t>
        </is>
      </c>
      <c r="J701" s="29" t="n">
        <v>61.2</v>
      </c>
      <c r="K701" t="inlineStr">
        <is>
          <t>2.911</t>
        </is>
      </c>
      <c r="L701" t="inlineStr">
        <is>
          <t>Não</t>
        </is>
      </c>
      <c r="M701" t="inlineStr">
        <is>
          <t>Compra/outras</t>
        </is>
      </c>
    </row>
    <row r="702">
      <c r="A702" t="inlineStr">
        <is>
          <t>Remessa de mercadoria (categoria 2.01.84)</t>
        </is>
      </c>
      <c r="B702" t="inlineStr">
        <is>
          <t>2.01.84 Remessa de Mercadoria</t>
        </is>
      </c>
      <c r="C702" s="30" t="n">
        <v>46113</v>
      </c>
      <c r="D702" t="inlineStr">
        <is>
          <t>Em 2026</t>
        </is>
      </c>
      <c r="E702" s="28" t="n">
        <v>46134</v>
      </c>
      <c r="F702" t="inlineStr">
        <is>
          <t>NF-e</t>
        </is>
      </c>
      <c r="G702" t="inlineStr">
        <is>
          <t>000006204</t>
        </is>
      </c>
      <c r="H702" t="inlineStr">
        <is>
          <t>GDM INDUSTRIA E COMERCIO DE PLASTICOS LTDA.</t>
        </is>
      </c>
      <c r="I702" t="inlineStr">
        <is>
          <t>07.955.100/0004-63</t>
        </is>
      </c>
      <c r="J702" s="29" t="n">
        <v>10</v>
      </c>
      <c r="K702" t="inlineStr">
        <is>
          <t>1.556</t>
        </is>
      </c>
      <c r="L702" t="inlineStr">
        <is>
          <t>Não</t>
        </is>
      </c>
      <c r="M702" t="inlineStr">
        <is>
          <t>Compra/outras</t>
        </is>
      </c>
    </row>
    <row r="703">
      <c r="A703" t="inlineStr">
        <is>
          <t>Remessa de mercadoria (categoria 2.01.84)</t>
        </is>
      </c>
      <c r="B703" t="inlineStr">
        <is>
          <t>2.01.84 Remessa de Mercadoria</t>
        </is>
      </c>
      <c r="C703" s="30" t="n">
        <v>46113</v>
      </c>
      <c r="D703" t="inlineStr">
        <is>
          <t>Em 2026</t>
        </is>
      </c>
      <c r="E703" s="28" t="n">
        <v>46114</v>
      </c>
      <c r="F703" t="inlineStr">
        <is>
          <t>NF-e</t>
        </is>
      </c>
      <c r="G703" t="inlineStr">
        <is>
          <t>000014012</t>
        </is>
      </c>
      <c r="H703" t="inlineStr">
        <is>
          <t>NOVA CONPEL COMPANHIA NORDESTINA DE PAPEL LTDA</t>
        </is>
      </c>
      <c r="I703" t="inlineStr">
        <is>
          <t>55.330.530/0001-90</t>
        </is>
      </c>
      <c r="J703" s="29" t="n">
        <v>24734.26</v>
      </c>
      <c r="K703" t="inlineStr">
        <is>
          <t>1.900</t>
        </is>
      </c>
      <c r="L703" t="inlineStr">
        <is>
          <t>Não</t>
        </is>
      </c>
      <c r="M703" t="inlineStr">
        <is>
          <t>Entrega futura (x.116/x.117)</t>
        </is>
      </c>
    </row>
    <row r="704">
      <c r="A704" t="inlineStr">
        <is>
          <t>Remessa de mercadoria (categoria 2.01.84)</t>
        </is>
      </c>
      <c r="B704" t="inlineStr">
        <is>
          <t>2.01.84 Remessa de Mercadoria</t>
        </is>
      </c>
      <c r="C704" s="30" t="n">
        <v>46113</v>
      </c>
      <c r="D704" t="inlineStr">
        <is>
          <t>Em 2026</t>
        </is>
      </c>
      <c r="E704" s="28" t="n">
        <v>46118</v>
      </c>
      <c r="F704" t="inlineStr">
        <is>
          <t>NF-e</t>
        </is>
      </c>
      <c r="G704" t="inlineStr">
        <is>
          <t>000014055</t>
        </is>
      </c>
      <c r="H704" t="inlineStr">
        <is>
          <t>NOVA CONPEL COMPANHIA NORDESTINA DE PAPEL LTDA</t>
        </is>
      </c>
      <c r="I704" t="inlineStr">
        <is>
          <t>55.330.530/0001-90</t>
        </is>
      </c>
      <c r="J704" s="29" t="n">
        <v>3134.56</v>
      </c>
      <c r="K704" t="inlineStr">
        <is>
          <t>1.900</t>
        </is>
      </c>
      <c r="L704" t="inlineStr">
        <is>
          <t>Não</t>
        </is>
      </c>
      <c r="M704" t="inlineStr">
        <is>
          <t>Entrega futura (x.116/x.117)</t>
        </is>
      </c>
    </row>
    <row r="705">
      <c r="A705" t="inlineStr">
        <is>
          <t>Remessa de mercadoria (categoria 2.01.84)</t>
        </is>
      </c>
      <c r="B705" t="inlineStr">
        <is>
          <t>2.01.84 Remessa de Mercadoria</t>
        </is>
      </c>
      <c r="C705" s="30" t="n">
        <v>46113</v>
      </c>
      <c r="D705" t="inlineStr">
        <is>
          <t>Em 2026</t>
        </is>
      </c>
      <c r="E705" s="28" t="n">
        <v>46120</v>
      </c>
      <c r="F705" t="inlineStr">
        <is>
          <t>NF-e</t>
        </is>
      </c>
      <c r="G705" t="inlineStr">
        <is>
          <t>000014107</t>
        </is>
      </c>
      <c r="H705" t="inlineStr">
        <is>
          <t>NOVA CONPEL COMPANHIA NORDESTINA DE PAPEL LTDA</t>
        </is>
      </c>
      <c r="I705" t="inlineStr">
        <is>
          <t>55.330.530/0001-90</t>
        </is>
      </c>
      <c r="J705" s="29" t="n">
        <v>2500</v>
      </c>
      <c r="K705" t="inlineStr">
        <is>
          <t>1.900</t>
        </is>
      </c>
      <c r="L705" t="inlineStr">
        <is>
          <t>Não</t>
        </is>
      </c>
      <c r="M705" t="inlineStr">
        <is>
          <t>Entrega futura (x.116/x.117)</t>
        </is>
      </c>
    </row>
    <row r="706">
      <c r="A706" t="inlineStr">
        <is>
          <t>Remessa de mercadoria (categoria 2.01.84)</t>
        </is>
      </c>
      <c r="B706" t="inlineStr">
        <is>
          <t>2.01.84 Remessa de Mercadoria</t>
        </is>
      </c>
      <c r="C706" s="30" t="n">
        <v>46113</v>
      </c>
      <c r="D706" t="inlineStr">
        <is>
          <t>Em 2026</t>
        </is>
      </c>
      <c r="E706" s="28" t="n">
        <v>46121</v>
      </c>
      <c r="F706" t="inlineStr">
        <is>
          <t>NF-e</t>
        </is>
      </c>
      <c r="G706" t="inlineStr">
        <is>
          <t>000014151</t>
        </is>
      </c>
      <c r="H706" t="inlineStr">
        <is>
          <t>NOVA CONPEL COMPANHIA NORDESTINA DE PAPEL LTDA</t>
        </is>
      </c>
      <c r="I706" t="inlineStr">
        <is>
          <t>55.330.530/0001-90</t>
        </is>
      </c>
      <c r="J706" s="29" t="n">
        <v>2500</v>
      </c>
      <c r="K706" t="inlineStr">
        <is>
          <t>1.900</t>
        </is>
      </c>
      <c r="L706" t="inlineStr">
        <is>
          <t>Não</t>
        </is>
      </c>
      <c r="M706" t="inlineStr">
        <is>
          <t>Entrega futura (x.116/x.117)</t>
        </is>
      </c>
    </row>
    <row r="707">
      <c r="A707" t="inlineStr">
        <is>
          <t>Remessa de mercadoria (categoria 2.01.84)</t>
        </is>
      </c>
      <c r="B707" t="inlineStr">
        <is>
          <t>2.01.84 Remessa de Mercadoria</t>
        </is>
      </c>
      <c r="C707" s="30" t="n">
        <v>46113</v>
      </c>
      <c r="D707" t="inlineStr">
        <is>
          <t>Em 2026</t>
        </is>
      </c>
      <c r="E707" s="28" t="n">
        <v>46121</v>
      </c>
      <c r="F707" t="inlineStr">
        <is>
          <t>NF-e</t>
        </is>
      </c>
      <c r="G707" t="inlineStr">
        <is>
          <t>000014160</t>
        </is>
      </c>
      <c r="H707" t="inlineStr">
        <is>
          <t>NOVA CONPEL COMPANHIA NORDESTINA DE PAPEL LTDA</t>
        </is>
      </c>
      <c r="I707" t="inlineStr">
        <is>
          <t>55.330.530/0001-90</t>
        </is>
      </c>
      <c r="J707" s="29" t="n">
        <v>5336.19</v>
      </c>
      <c r="K707" t="inlineStr">
        <is>
          <t>1.900</t>
        </is>
      </c>
      <c r="L707" t="inlineStr">
        <is>
          <t>Não</t>
        </is>
      </c>
      <c r="M707" t="inlineStr">
        <is>
          <t>Compra/outras</t>
        </is>
      </c>
    </row>
    <row r="708">
      <c r="A708" t="inlineStr">
        <is>
          <t>Remessa de mercadoria (categoria 2.01.84)</t>
        </is>
      </c>
      <c r="B708" t="inlineStr">
        <is>
          <t>2.01.84 Remessa de Mercadoria</t>
        </is>
      </c>
      <c r="C708" s="30" t="n">
        <v>46113</v>
      </c>
      <c r="D708" t="inlineStr">
        <is>
          <t>Em 2026</t>
        </is>
      </c>
      <c r="E708" s="28" t="n">
        <v>46125</v>
      </c>
      <c r="F708" t="inlineStr">
        <is>
          <t>NF-e</t>
        </is>
      </c>
      <c r="G708" t="inlineStr">
        <is>
          <t>000014219</t>
        </is>
      </c>
      <c r="H708" t="inlineStr">
        <is>
          <t>NOVA CONPEL COMPANHIA NORDESTINA DE PAPEL LTDA</t>
        </is>
      </c>
      <c r="I708" t="inlineStr">
        <is>
          <t>55.330.530/0001-90</t>
        </is>
      </c>
      <c r="J708" s="29" t="n">
        <v>24098.85</v>
      </c>
      <c r="K708" t="inlineStr">
        <is>
          <t>1.900</t>
        </is>
      </c>
      <c r="L708" t="inlineStr">
        <is>
          <t>Não</t>
        </is>
      </c>
      <c r="M708" t="inlineStr">
        <is>
          <t>Entrega futura (x.116/x.117)</t>
        </is>
      </c>
    </row>
    <row r="709">
      <c r="A709" t="inlineStr">
        <is>
          <t>Remessa de mercadoria (categoria 2.01.84)</t>
        </is>
      </c>
      <c r="B709" t="inlineStr">
        <is>
          <t>2.01.84 Remessa de Mercadoria</t>
        </is>
      </c>
      <c r="C709" s="30" t="n">
        <v>46113</v>
      </c>
      <c r="D709" t="inlineStr">
        <is>
          <t>Em 2026</t>
        </is>
      </c>
      <c r="E709" s="28" t="n">
        <v>46126</v>
      </c>
      <c r="F709" t="inlineStr">
        <is>
          <t>NF-e</t>
        </is>
      </c>
      <c r="G709" t="inlineStr">
        <is>
          <t>000014267</t>
        </is>
      </c>
      <c r="H709" t="inlineStr">
        <is>
          <t>NOVA CONPEL COMPANHIA NORDESTINA DE PAPEL LTDA</t>
        </is>
      </c>
      <c r="I709" t="inlineStr">
        <is>
          <t>55.330.530/0001-90</t>
        </is>
      </c>
      <c r="J709" s="29" t="n">
        <v>8526.379999999999</v>
      </c>
      <c r="K709" t="inlineStr">
        <is>
          <t>1.900</t>
        </is>
      </c>
      <c r="L709" t="inlineStr">
        <is>
          <t>Não</t>
        </is>
      </c>
      <c r="M709" t="inlineStr">
        <is>
          <t>Entrega futura (x.116/x.117)</t>
        </is>
      </c>
    </row>
    <row r="710">
      <c r="A710" t="inlineStr">
        <is>
          <t>Remessa de mercadoria (categoria 2.01.84)</t>
        </is>
      </c>
      <c r="B710" t="inlineStr">
        <is>
          <t>2.01.84 Remessa de Mercadoria</t>
        </is>
      </c>
      <c r="C710" s="30" t="n">
        <v>46113</v>
      </c>
      <c r="D710" t="inlineStr">
        <is>
          <t>Em 2026</t>
        </is>
      </c>
      <c r="E710" s="28" t="n">
        <v>46132</v>
      </c>
      <c r="F710" t="inlineStr">
        <is>
          <t>NF-e</t>
        </is>
      </c>
      <c r="G710" t="inlineStr">
        <is>
          <t>000014384</t>
        </is>
      </c>
      <c r="H710" t="inlineStr">
        <is>
          <t>NOVA CONPEL COMPANHIA NORDESTINA DE PAPEL LTDA</t>
        </is>
      </c>
      <c r="I710" t="inlineStr">
        <is>
          <t>55.330.530/0001-90</t>
        </is>
      </c>
      <c r="J710" s="29" t="n">
        <v>19290.34</v>
      </c>
      <c r="K710" t="inlineStr">
        <is>
          <t>1.556</t>
        </is>
      </c>
      <c r="L710" t="inlineStr">
        <is>
          <t>Não</t>
        </is>
      </c>
      <c r="M710" t="inlineStr">
        <is>
          <t>Entrega futura (x.116/x.117)</t>
        </is>
      </c>
    </row>
    <row r="711">
      <c r="A711" t="inlineStr">
        <is>
          <t>Remessa de mercadoria (categoria 2.01.84)</t>
        </is>
      </c>
      <c r="B711" t="inlineStr">
        <is>
          <t>2.01.84 Remessa de Mercadoria</t>
        </is>
      </c>
      <c r="C711" s="30" t="n">
        <v>46113</v>
      </c>
      <c r="D711" t="inlineStr">
        <is>
          <t>Em 2026</t>
        </is>
      </c>
      <c r="E711" s="28" t="n">
        <v>46133</v>
      </c>
      <c r="F711" t="inlineStr">
        <is>
          <t>NF-e</t>
        </is>
      </c>
      <c r="G711" t="inlineStr">
        <is>
          <t>000014437</t>
        </is>
      </c>
      <c r="H711" t="inlineStr">
        <is>
          <t>NOVA CONPEL COMPANHIA NORDESTINA DE PAPEL LTDA</t>
        </is>
      </c>
      <c r="I711" t="inlineStr">
        <is>
          <t>55.330.530/0001-90</t>
        </is>
      </c>
      <c r="J711" s="29" t="n">
        <v>3456.25</v>
      </c>
      <c r="K711" t="inlineStr">
        <is>
          <t>1.900</t>
        </is>
      </c>
      <c r="L711" t="inlineStr">
        <is>
          <t>Não</t>
        </is>
      </c>
      <c r="M711" t="inlineStr">
        <is>
          <t>Entrega futura (x.116/x.117)</t>
        </is>
      </c>
    </row>
    <row r="712">
      <c r="A712" t="inlineStr">
        <is>
          <t>Remessa de mercadoria (categoria 2.01.84)</t>
        </is>
      </c>
      <c r="B712" t="inlineStr">
        <is>
          <t>2.01.84 Remessa de Mercadoria</t>
        </is>
      </c>
      <c r="C712" s="30" t="n">
        <v>46113</v>
      </c>
      <c r="D712" t="inlineStr">
        <is>
          <t>Em 2026</t>
        </is>
      </c>
      <c r="E712" s="28" t="n">
        <v>46135</v>
      </c>
      <c r="F712" t="inlineStr">
        <is>
          <t>NF-e</t>
        </is>
      </c>
      <c r="G712" t="inlineStr">
        <is>
          <t>000014467</t>
        </is>
      </c>
      <c r="H712" t="inlineStr">
        <is>
          <t>NOVA CONPEL COMPANHIA NORDESTINA DE PAPEL LTDA</t>
        </is>
      </c>
      <c r="I712" t="inlineStr">
        <is>
          <t>55.330.530/0001-90</t>
        </is>
      </c>
      <c r="J712" s="29" t="n">
        <v>14728.5</v>
      </c>
      <c r="K712" t="inlineStr">
        <is>
          <t>1.556</t>
        </is>
      </c>
      <c r="L712" t="inlineStr">
        <is>
          <t>Não</t>
        </is>
      </c>
      <c r="M712" t="inlineStr">
        <is>
          <t>Compra/outras</t>
        </is>
      </c>
    </row>
    <row r="713">
      <c r="A713" t="inlineStr">
        <is>
          <t>Remessa de mercadoria (categoria 2.01.84)</t>
        </is>
      </c>
      <c r="B713" t="inlineStr">
        <is>
          <t>2.01.84 Remessa de Mercadoria</t>
        </is>
      </c>
      <c r="C713" s="30" t="n">
        <v>46113</v>
      </c>
      <c r="D713" t="inlineStr">
        <is>
          <t>Em 2026</t>
        </is>
      </c>
      <c r="E713" s="28" t="n">
        <v>46135</v>
      </c>
      <c r="F713" t="inlineStr">
        <is>
          <t>NF-e</t>
        </is>
      </c>
      <c r="G713" t="inlineStr">
        <is>
          <t>000014489</t>
        </is>
      </c>
      <c r="H713" t="inlineStr">
        <is>
          <t>NOVA CONPEL COMPANHIA NORDESTINA DE PAPEL LTDA</t>
        </is>
      </c>
      <c r="I713" t="inlineStr">
        <is>
          <t>55.330.530/0001-90</t>
        </is>
      </c>
      <c r="J713" s="29" t="n">
        <v>6701.54</v>
      </c>
      <c r="K713" t="inlineStr">
        <is>
          <t>1.556</t>
        </is>
      </c>
      <c r="L713" t="inlineStr">
        <is>
          <t>Não</t>
        </is>
      </c>
      <c r="M713" t="inlineStr">
        <is>
          <t>Entrega futura (x.116/x.117)</t>
        </is>
      </c>
    </row>
    <row r="714">
      <c r="A714" t="inlineStr">
        <is>
          <t>Remessa de mercadoria (categoria 2.01.84)</t>
        </is>
      </c>
      <c r="B714" t="inlineStr">
        <is>
          <t>2.01.84 Remessa de Mercadoria</t>
        </is>
      </c>
      <c r="C714" s="30" t="n">
        <v>46143</v>
      </c>
      <c r="D714" t="inlineStr">
        <is>
          <t>Em 2026</t>
        </is>
      </c>
      <c r="E714" s="28" t="n">
        <v>46171</v>
      </c>
      <c r="F714" t="inlineStr">
        <is>
          <t>NF-e</t>
        </is>
      </c>
      <c r="G714" t="inlineStr">
        <is>
          <t>000032120</t>
        </is>
      </c>
      <c r="H714" t="inlineStr">
        <is>
          <t>CLARO S.A</t>
        </is>
      </c>
      <c r="I714" t="inlineStr">
        <is>
          <t>40.432.544/0775-22</t>
        </is>
      </c>
      <c r="J714" s="29" t="n">
        <v>60</v>
      </c>
      <c r="K714" t="inlineStr">
        <is>
          <t>1.556</t>
        </is>
      </c>
      <c r="L714" t="inlineStr">
        <is>
          <t>Não</t>
        </is>
      </c>
      <c r="M714" t="inlineStr">
        <is>
          <t>Compra/outras</t>
        </is>
      </c>
    </row>
    <row r="715">
      <c r="A715" t="inlineStr">
        <is>
          <t>Remessa de mercadoria (categoria 2.01.84)</t>
        </is>
      </c>
      <c r="B715" t="inlineStr">
        <is>
          <t>2.01.84 Remessa de Mercadoria</t>
        </is>
      </c>
      <c r="C715" s="30" t="n">
        <v>46143</v>
      </c>
      <c r="D715" t="inlineStr">
        <is>
          <t>Em 2026</t>
        </is>
      </c>
      <c r="E715" s="28" t="n">
        <v>46169</v>
      </c>
      <c r="F715" t="inlineStr">
        <is>
          <t>NF-e</t>
        </is>
      </c>
      <c r="G715" t="inlineStr">
        <is>
          <t>000006361</t>
        </is>
      </c>
      <c r="H715" t="inlineStr">
        <is>
          <t>GDM INDUSTRIA E COMERCIO DE PLASTICOS LTDA.</t>
        </is>
      </c>
      <c r="I715" t="inlineStr">
        <is>
          <t>07.955.100/0004-63</t>
        </is>
      </c>
      <c r="J715" s="29" t="n">
        <v>15</v>
      </c>
      <c r="K715" t="inlineStr">
        <is>
          <t>2.936</t>
        </is>
      </c>
      <c r="L715" t="inlineStr">
        <is>
          <t>Não</t>
        </is>
      </c>
      <c r="M715" t="inlineStr">
        <is>
          <t>Compra/outras</t>
        </is>
      </c>
    </row>
    <row r="716">
      <c r="A716" t="inlineStr">
        <is>
          <t>Remessa de mercadoria (categoria 2.01.84)</t>
        </is>
      </c>
      <c r="B716" t="inlineStr">
        <is>
          <t>2.01.84 Remessa de Mercadoria</t>
        </is>
      </c>
      <c r="C716" s="30" t="n">
        <v>46143</v>
      </c>
      <c r="D716" t="inlineStr">
        <is>
          <t>Em 2026</t>
        </is>
      </c>
      <c r="E716" s="28" t="n">
        <v>46156</v>
      </c>
      <c r="F716" t="inlineStr">
        <is>
          <t>NF-e</t>
        </is>
      </c>
      <c r="G716" t="inlineStr">
        <is>
          <t>000015025</t>
        </is>
      </c>
      <c r="H716" t="inlineStr">
        <is>
          <t>NOVA CONPEL COMPANHIA NORDESTINA DE PAPEL LTDA</t>
        </is>
      </c>
      <c r="I716" t="inlineStr">
        <is>
          <t>55.330.530/0001-90</t>
        </is>
      </c>
      <c r="J716" s="29" t="n">
        <v>14209.56</v>
      </c>
      <c r="K716" t="inlineStr">
        <is>
          <t>1.556</t>
        </is>
      </c>
      <c r="L716" t="inlineStr">
        <is>
          <t>Não</t>
        </is>
      </c>
      <c r="M716" t="inlineStr">
        <is>
          <t>Compra/outras</t>
        </is>
      </c>
    </row>
    <row r="717">
      <c r="A717" t="inlineStr">
        <is>
          <t>Remessa de mercadoria (categoria 2.01.84)</t>
        </is>
      </c>
      <c r="B717" t="inlineStr">
        <is>
          <t>2.01.84 Remessa de Mercadoria</t>
        </is>
      </c>
      <c r="C717" s="30" t="n">
        <v>46174</v>
      </c>
      <c r="D717" t="inlineStr">
        <is>
          <t>Em 2026</t>
        </is>
      </c>
      <c r="E717" s="28" t="n">
        <v>46193</v>
      </c>
      <c r="F717" t="inlineStr">
        <is>
          <t>NF-e</t>
        </is>
      </c>
      <c r="G717" t="inlineStr">
        <is>
          <t>000015969</t>
        </is>
      </c>
      <c r="H717" t="inlineStr">
        <is>
          <t>NOVA CONPEL COMPANHIA NORDESTINA DE PAPEL LTDA</t>
        </is>
      </c>
      <c r="I717" t="inlineStr">
        <is>
          <t>55.330.530/0001-90</t>
        </is>
      </c>
      <c r="J717" s="29" t="n">
        <v>5241.94</v>
      </c>
      <c r="K717" t="inlineStr">
        <is>
          <t>1.556</t>
        </is>
      </c>
      <c r="L717" t="inlineStr">
        <is>
          <t>Não</t>
        </is>
      </c>
      <c r="M717" t="inlineStr">
        <is>
          <t>Compra/outras</t>
        </is>
      </c>
    </row>
    <row r="718">
      <c r="A718" t="inlineStr">
        <is>
          <t>Remessa de mercadoria (categoria 2.01.84)</t>
        </is>
      </c>
      <c r="B718" t="inlineStr">
        <is>
          <t>2.01.84 Remessa de Mercadoria</t>
        </is>
      </c>
      <c r="C718" s="30" t="n">
        <v>46204</v>
      </c>
      <c r="D718" t="inlineStr">
        <is>
          <t>Em 2026</t>
        </is>
      </c>
      <c r="E718" s="28" t="n">
        <v>46233</v>
      </c>
      <c r="F718" t="inlineStr">
        <is>
          <t>NF-e</t>
        </is>
      </c>
      <c r="G718" t="inlineStr">
        <is>
          <t>000006717</t>
        </is>
      </c>
      <c r="H718" t="inlineStr">
        <is>
          <t>GDM INDUSTRIA E COMERCIO DE PLASTICOS LTDA.</t>
        </is>
      </c>
      <c r="I718" t="inlineStr">
        <is>
          <t>07.955.100/0004-63</t>
        </is>
      </c>
      <c r="J718" s="29" t="n">
        <v>5</v>
      </c>
      <c r="K718" t="inlineStr">
        <is>
          <t>2.936</t>
        </is>
      </c>
      <c r="L718" t="inlineStr">
        <is>
          <t>Não</t>
        </is>
      </c>
      <c r="M718" t="inlineStr">
        <is>
          <t>Compra/outras</t>
        </is>
      </c>
    </row>
    <row r="719">
      <c r="A719" t="inlineStr">
        <is>
          <t>Remessa de mercadoria (categoria 2.01.84)</t>
        </is>
      </c>
      <c r="B719" t="inlineStr">
        <is>
          <t>2.01.84 Remessa de Mercadoria</t>
        </is>
      </c>
      <c r="C719" s="30" t="n">
        <v>46204</v>
      </c>
      <c r="D719" t="inlineStr">
        <is>
          <t>Em 2026</t>
        </is>
      </c>
      <c r="E719" s="28" t="n">
        <v>46233</v>
      </c>
      <c r="F719" t="inlineStr">
        <is>
          <t>NF-e</t>
        </is>
      </c>
      <c r="G719" t="inlineStr">
        <is>
          <t>000064317</t>
        </is>
      </c>
      <c r="H719" t="inlineStr">
        <is>
          <t>MAQ-LAREM MAQUINAS MOVEIS E EQUIPAMENTOS LTDA</t>
        </is>
      </c>
      <c r="I719" t="inlineStr">
        <is>
          <t>40.938.508/0001-50</t>
        </is>
      </c>
      <c r="J719" s="29" t="n">
        <v>980.0700000000001</v>
      </c>
      <c r="K719" t="inlineStr">
        <is>
          <t>1.908</t>
        </is>
      </c>
      <c r="L719" t="inlineStr">
        <is>
          <t>Não</t>
        </is>
      </c>
      <c r="M719" t="inlineStr">
        <is>
          <t>Compra/outras</t>
        </is>
      </c>
    </row>
    <row r="720">
      <c r="A720" t="inlineStr">
        <is>
          <t>Remessa de mercadoria (categoria 2.01.84)</t>
        </is>
      </c>
      <c r="B720" t="inlineStr">
        <is>
          <t>2.01.84 Remessa de Mercadoria</t>
        </is>
      </c>
      <c r="C720" s="30" t="n">
        <v>46204</v>
      </c>
      <c r="D720" t="inlineStr">
        <is>
          <t>Em 2026</t>
        </is>
      </c>
      <c r="E720" s="28" t="n">
        <v>46231</v>
      </c>
      <c r="F720" t="inlineStr">
        <is>
          <t>NF-e</t>
        </is>
      </c>
      <c r="G720" t="inlineStr">
        <is>
          <t>000234709</t>
        </is>
      </c>
      <c r="H720" t="inlineStr">
        <is>
          <t>PERNAMBUCO DIST ATACADISTA EPI</t>
        </is>
      </c>
      <c r="I720" t="inlineStr">
        <is>
          <t>02.155.469/0001-25</t>
        </is>
      </c>
      <c r="J720" s="29" t="n">
        <v>39584.48</v>
      </c>
      <c r="K720" t="inlineStr">
        <is>
          <t>2.908</t>
        </is>
      </c>
      <c r="L720" t="inlineStr">
        <is>
          <t>Não</t>
        </is>
      </c>
      <c r="M720" t="inlineStr">
        <is>
          <t>Compra/outras</t>
        </is>
      </c>
    </row>
    <row r="721">
      <c r="A721" t="inlineStr">
        <is>
          <t>Remessa de mercadoria (categoria 2.01.84)</t>
        </is>
      </c>
      <c r="B721" t="inlineStr">
        <is>
          <t>2.01.84 Remessa de Mercadoria</t>
        </is>
      </c>
      <c r="C721" s="30" t="n">
        <v>46204</v>
      </c>
      <c r="D721" t="inlineStr">
        <is>
          <t>Em 2026</t>
        </is>
      </c>
      <c r="E721" s="28" t="n">
        <v>46212</v>
      </c>
      <c r="F721" t="inlineStr">
        <is>
          <t>NF-e</t>
        </is>
      </c>
      <c r="G721" t="inlineStr">
        <is>
          <t>000104297</t>
        </is>
      </c>
      <c r="H721" t="inlineStr">
        <is>
          <t>PERNAMBUCO DISTRIBUIDORA ATAC EPIS, INS IND e MRO LTDA</t>
        </is>
      </c>
      <c r="I721" t="inlineStr">
        <is>
          <t>02.155.469/0009-82</t>
        </is>
      </c>
      <c r="J721" s="29" t="n">
        <v>19.22</v>
      </c>
      <c r="K721" t="inlineStr">
        <is>
          <t>1.556</t>
        </is>
      </c>
      <c r="L721" t="inlineStr">
        <is>
          <t>Não</t>
        </is>
      </c>
      <c r="M721" t="inlineStr">
        <is>
          <t>Compra/outras</t>
        </is>
      </c>
    </row>
    <row r="722">
      <c r="A722" t="inlineStr">
        <is>
          <t>Remessa de mercadoria (categoria 2.01.84)</t>
        </is>
      </c>
      <c r="B722" t="inlineStr">
        <is>
          <t>2.01.84 Remessa de Mercadoria</t>
        </is>
      </c>
      <c r="C722" s="30" t="n">
        <v>46204</v>
      </c>
      <c r="D722" t="inlineStr">
        <is>
          <t>Em 2026</t>
        </is>
      </c>
      <c r="E722" s="28" t="n">
        <v>46224</v>
      </c>
      <c r="F722" t="inlineStr">
        <is>
          <t>NF-e</t>
        </is>
      </c>
      <c r="G722" t="inlineStr">
        <is>
          <t>000000160</t>
        </is>
      </c>
      <c r="H722" t="inlineStr">
        <is>
          <t>TECNOLOGIA BORRACHAS LTDA</t>
        </is>
      </c>
      <c r="I722" t="inlineStr">
        <is>
          <t>40.369.849/0001-51</t>
        </is>
      </c>
      <c r="J722" s="29" t="n">
        <v>3500</v>
      </c>
      <c r="K722" t="inlineStr">
        <is>
          <t>2.916</t>
        </is>
      </c>
      <c r="L722" t="inlineStr">
        <is>
          <t>Não</t>
        </is>
      </c>
      <c r="M722" t="inlineStr">
        <is>
          <t>Compra/outras</t>
        </is>
      </c>
    </row>
    <row r="723">
      <c r="A723" t="inlineStr">
        <is>
          <t>Remessa de mercadoria (categoria 2.01.84)</t>
        </is>
      </c>
      <c r="B723" t="inlineStr">
        <is>
          <t>2.01.84 Remessa de Mercadoria</t>
        </is>
      </c>
      <c r="C723" s="30" t="n">
        <v>46235</v>
      </c>
      <c r="D723" t="inlineStr">
        <is>
          <t>Em 2026</t>
        </is>
      </c>
      <c r="E723" s="28" t="n">
        <v>46239</v>
      </c>
      <c r="F723" t="inlineStr">
        <is>
          <t>NF-e</t>
        </is>
      </c>
      <c r="G723" t="inlineStr">
        <is>
          <t>002468529</t>
        </is>
      </c>
      <c r="H723" t="inlineStr">
        <is>
          <t>MULTYLOG EMPILHADEIRAS LTDA</t>
        </is>
      </c>
      <c r="I723" t="inlineStr">
        <is>
          <t>05.102.150/0001-20</t>
        </is>
      </c>
      <c r="J723" s="29" t="n">
        <v>190889.4</v>
      </c>
      <c r="K723" t="inlineStr">
        <is>
          <t>2.915</t>
        </is>
      </c>
      <c r="L723" t="inlineStr">
        <is>
          <t>Não</t>
        </is>
      </c>
      <c r="M723" t="inlineStr">
        <is>
          <t>Compra/outras</t>
        </is>
      </c>
    </row>
    <row r="724">
      <c r="A724" t="inlineStr">
        <is>
          <t>Remessa de mercadoria (categoria 2.01.84)</t>
        </is>
      </c>
      <c r="B724" t="inlineStr">
        <is>
          <t>2.01.84 Remessa de Mercadoria</t>
        </is>
      </c>
      <c r="C724" s="30" t="n">
        <v>46235</v>
      </c>
      <c r="D724" t="inlineStr">
        <is>
          <t>Em 2026</t>
        </is>
      </c>
      <c r="E724" s="28" t="n">
        <v>46259</v>
      </c>
      <c r="F724" t="inlineStr">
        <is>
          <t>NF-e</t>
        </is>
      </c>
      <c r="G724" t="inlineStr">
        <is>
          <t>002486490</t>
        </is>
      </c>
      <c r="H724" t="inlineStr">
        <is>
          <t>MULTYLOG EMPILHADEIRAS LTDA</t>
        </is>
      </c>
      <c r="I724" t="inlineStr">
        <is>
          <t>05.102.150/0001-20</t>
        </is>
      </c>
      <c r="J724" s="29" t="n">
        <v>224512</v>
      </c>
      <c r="K724" t="inlineStr">
        <is>
          <t>2.915</t>
        </is>
      </c>
      <c r="L724" t="inlineStr">
        <is>
          <t>Não</t>
        </is>
      </c>
      <c r="M724" t="inlineStr">
        <is>
          <t>Compra/outras</t>
        </is>
      </c>
    </row>
    <row r="725">
      <c r="A725" t="inlineStr">
        <is>
          <t>Remessa de mercadoria (categoria 2.01.84)</t>
        </is>
      </c>
      <c r="B725" t="inlineStr">
        <is>
          <t>2.01.84 Remessa de Mercadoria</t>
        </is>
      </c>
      <c r="C725" s="30" t="n">
        <v>46235</v>
      </c>
      <c r="D725" t="inlineStr">
        <is>
          <t>Em 2026</t>
        </is>
      </c>
      <c r="E725" s="28" t="n">
        <v>46260</v>
      </c>
      <c r="F725" t="inlineStr">
        <is>
          <t>NF-e</t>
        </is>
      </c>
      <c r="G725" t="inlineStr">
        <is>
          <t>000107616</t>
        </is>
      </c>
      <c r="H725" t="inlineStr">
        <is>
          <t>PERNAMBUCO DISTRIBUIDORA ATAC EPIS, INS IND e MRO LTDA</t>
        </is>
      </c>
      <c r="I725" t="inlineStr">
        <is>
          <t>02.155.469/0009-82</t>
        </is>
      </c>
      <c r="J725" s="29" t="n">
        <v>42.22</v>
      </c>
      <c r="K725" t="inlineStr">
        <is>
          <t>2.556</t>
        </is>
      </c>
      <c r="L725" t="inlineStr">
        <is>
          <t>Não</t>
        </is>
      </c>
      <c r="M725" t="inlineStr">
        <is>
          <t>Compra/outras</t>
        </is>
      </c>
    </row>
    <row r="726">
      <c r="A726" t="inlineStr">
        <is>
          <t>Remessa de mercadoria (categoria 2.01.84)</t>
        </is>
      </c>
      <c r="B726" t="inlineStr">
        <is>
          <t>2.01.84 Remessa de Mercadoria</t>
        </is>
      </c>
      <c r="C726" s="30" t="n">
        <v>46266</v>
      </c>
      <c r="D726" t="inlineStr">
        <is>
          <t>Em 2026</t>
        </is>
      </c>
      <c r="E726" s="28" t="n">
        <v>46282</v>
      </c>
      <c r="F726" t="inlineStr">
        <is>
          <t>NF-e</t>
        </is>
      </c>
      <c r="G726" t="inlineStr">
        <is>
          <t>000016752</t>
        </is>
      </c>
      <c r="H726" t="inlineStr">
        <is>
          <t>FITTYCOR - INDUSTRIA E COMERCIO DE TINTAS ESPECIAIS LTDA</t>
        </is>
      </c>
      <c r="I726" t="inlineStr">
        <is>
          <t>53.071.692/0001-25</t>
        </is>
      </c>
      <c r="J726" s="29" t="n">
        <v>0.5</v>
      </c>
      <c r="K726" t="inlineStr">
        <is>
          <t>1.556</t>
        </is>
      </c>
      <c r="L726" t="inlineStr">
        <is>
          <t>Não</t>
        </is>
      </c>
      <c r="M726" t="inlineStr">
        <is>
          <t>Compra/outras</t>
        </is>
      </c>
    </row>
    <row r="727">
      <c r="A727" t="inlineStr">
        <is>
          <t>Simples faturamento (x.922) – duplica x.116/x.117</t>
        </is>
      </c>
      <c r="B727" t="inlineStr">
        <is>
          <t>2.01.02 Frete sobre Vendas</t>
        </is>
      </c>
      <c r="C727" s="30" t="n">
        <v>46054</v>
      </c>
      <c r="D727" t="inlineStr">
        <is>
          <t>Em 2026</t>
        </is>
      </c>
      <c r="E727" s="28" t="n">
        <v>46062</v>
      </c>
      <c r="F727" t="inlineStr">
        <is>
          <t>NF-e</t>
        </is>
      </c>
      <c r="G727" t="inlineStr">
        <is>
          <t>000043932</t>
        </is>
      </c>
      <c r="H727" t="inlineStr">
        <is>
          <t>MIRANDA COMPUTACAO E COMERCIO LTDA</t>
        </is>
      </c>
      <c r="I727" t="inlineStr">
        <is>
          <t>11.982.113/0011-28</t>
        </is>
      </c>
      <c r="J727" s="29" t="n">
        <v>4198</v>
      </c>
      <c r="K727" t="inlineStr">
        <is>
          <t>2.551</t>
        </is>
      </c>
      <c r="L727" t="inlineStr">
        <is>
          <t>Não</t>
        </is>
      </c>
      <c r="M727" t="inlineStr">
        <is>
          <t>Simples faturamento (x.922)</t>
        </is>
      </c>
    </row>
    <row r="728">
      <c r="A728" t="inlineStr">
        <is>
          <t>Simples faturamento (x.922) – duplica x.116/x.117</t>
        </is>
      </c>
      <c r="B728" t="inlineStr">
        <is>
          <t>2.01.02 Frete sobre Vendas</t>
        </is>
      </c>
      <c r="C728" s="30" t="n">
        <v>46054</v>
      </c>
      <c r="D728" t="inlineStr">
        <is>
          <t>Em 2026</t>
        </is>
      </c>
      <c r="E728" s="28" t="n">
        <v>46062</v>
      </c>
      <c r="F728" t="inlineStr">
        <is>
          <t>NF-e</t>
        </is>
      </c>
      <c r="G728" t="inlineStr">
        <is>
          <t>000043933</t>
        </is>
      </c>
      <c r="H728" t="inlineStr">
        <is>
          <t>MIRANDA COMPUTACAO E COMERCIO LTDA</t>
        </is>
      </c>
      <c r="I728" t="inlineStr">
        <is>
          <t>11.982.113/0011-28</t>
        </is>
      </c>
      <c r="J728" s="29" t="n">
        <v>8396</v>
      </c>
      <c r="K728" t="inlineStr">
        <is>
          <t>2.551</t>
        </is>
      </c>
      <c r="L728" t="inlineStr">
        <is>
          <t>Não</t>
        </is>
      </c>
      <c r="M728" t="inlineStr">
        <is>
          <t>Simples faturamento (x.922)</t>
        </is>
      </c>
    </row>
    <row r="729">
      <c r="A729" t="inlineStr">
        <is>
          <t>Simples faturamento (x.922) – duplica x.116/x.117</t>
        </is>
      </c>
      <c r="B729" t="inlineStr">
        <is>
          <t>2.07.04 Equipamentos de Informática</t>
        </is>
      </c>
      <c r="C729" s="30" t="n">
        <v>46054</v>
      </c>
      <c r="D729" t="inlineStr">
        <is>
          <t>Em 2026</t>
        </is>
      </c>
      <c r="E729" s="28" t="n">
        <v>46070</v>
      </c>
      <c r="F729" t="inlineStr">
        <is>
          <t>NF-e</t>
        </is>
      </c>
      <c r="G729" t="inlineStr">
        <is>
          <t>000044140</t>
        </is>
      </c>
      <c r="H729" t="inlineStr">
        <is>
          <t>MIRANDA COMPUTACAO E COMERCIO LTDA</t>
        </is>
      </c>
      <c r="I729" t="inlineStr">
        <is>
          <t>11.982.113/0011-28</t>
        </is>
      </c>
      <c r="J729" s="29" t="n">
        <v>4198</v>
      </c>
      <c r="K729" t="inlineStr">
        <is>
          <t>1.556</t>
        </is>
      </c>
      <c r="L729" t="inlineStr">
        <is>
          <t>Sim</t>
        </is>
      </c>
      <c r="M729" t="inlineStr">
        <is>
          <t>Simples faturamento (x.922)</t>
        </is>
      </c>
    </row>
    <row r="730">
      <c r="A730" t="inlineStr">
        <is>
          <t>Simples faturamento (x.922) – duplica x.116/x.117</t>
        </is>
      </c>
      <c r="B730" t="inlineStr">
        <is>
          <t>2.01.02 Frete sobre Vendas</t>
        </is>
      </c>
      <c r="C730" s="30" t="n">
        <v>46082</v>
      </c>
      <c r="D730" t="inlineStr">
        <is>
          <t>Em 2026</t>
        </is>
      </c>
      <c r="E730" s="28" t="n">
        <v>46087</v>
      </c>
      <c r="F730" t="inlineStr">
        <is>
          <t>NF-e</t>
        </is>
      </c>
      <c r="G730" t="inlineStr">
        <is>
          <t>000044577</t>
        </is>
      </c>
      <c r="H730" t="inlineStr">
        <is>
          <t>MIRANDA COMPUTACAO E COMERCIO LTDA</t>
        </is>
      </c>
      <c r="I730" t="inlineStr">
        <is>
          <t>11.982.113/0011-28</t>
        </is>
      </c>
      <c r="J730" s="29" t="n">
        <v>3598</v>
      </c>
      <c r="K730" t="inlineStr">
        <is>
          <t>2.551</t>
        </is>
      </c>
      <c r="L730" t="inlineStr">
        <is>
          <t>Não</t>
        </is>
      </c>
      <c r="M730" t="inlineStr">
        <is>
          <t>Simples faturamento (x.922)</t>
        </is>
      </c>
    </row>
    <row r="731">
      <c r="A731" t="inlineStr">
        <is>
          <t>Simples faturamento (x.922) – duplica x.116/x.117</t>
        </is>
      </c>
      <c r="B731" t="inlineStr">
        <is>
          <t>2.01.02 Frete sobre Vendas</t>
        </is>
      </c>
      <c r="C731" s="30" t="n">
        <v>46143</v>
      </c>
      <c r="D731" t="inlineStr">
        <is>
          <t>Em 2026</t>
        </is>
      </c>
      <c r="E731" s="28" t="n">
        <v>46169</v>
      </c>
      <c r="F731" t="inlineStr">
        <is>
          <t>NF-e</t>
        </is>
      </c>
      <c r="G731" t="inlineStr">
        <is>
          <t>000046636</t>
        </is>
      </c>
      <c r="H731" t="inlineStr">
        <is>
          <t>MIRANDA COMPUTACAO E COMERCIO LTDA</t>
        </is>
      </c>
      <c r="I731" t="inlineStr">
        <is>
          <t>11.982.113/0011-28</t>
        </is>
      </c>
      <c r="J731" s="29" t="n">
        <v>8596</v>
      </c>
      <c r="K731" t="inlineStr">
        <is>
          <t>2.551</t>
        </is>
      </c>
      <c r="L731" t="inlineStr">
        <is>
          <t>Não</t>
        </is>
      </c>
      <c r="M731" t="inlineStr">
        <is>
          <t>Simples faturamento (x.922)</t>
        </is>
      </c>
    </row>
    <row r="732">
      <c r="A732" t="inlineStr">
        <is>
          <t>Simples faturamento (x.922) – duplica x.116/x.117</t>
        </is>
      </c>
      <c r="B732" t="inlineStr">
        <is>
          <t>2.01.02 Frete sobre Vendas</t>
        </is>
      </c>
      <c r="C732" s="30" t="n">
        <v>46143</v>
      </c>
      <c r="D732" t="inlineStr">
        <is>
          <t>Em 2026</t>
        </is>
      </c>
      <c r="E732" s="28" t="n">
        <v>46169</v>
      </c>
      <c r="F732" t="inlineStr">
        <is>
          <t>NF-e</t>
        </is>
      </c>
      <c r="G732" t="inlineStr">
        <is>
          <t>000046635</t>
        </is>
      </c>
      <c r="H732" t="inlineStr">
        <is>
          <t>MIRANDA COMPUTACAO E COMERCIO LTDA</t>
        </is>
      </c>
      <c r="I732" t="inlineStr">
        <is>
          <t>11.982.113/0011-28</t>
        </is>
      </c>
      <c r="J732" s="29" t="n">
        <v>8596</v>
      </c>
      <c r="K732" t="inlineStr">
        <is>
          <t>2.551</t>
        </is>
      </c>
      <c r="L732" t="inlineStr">
        <is>
          <t>Não</t>
        </is>
      </c>
      <c r="M732" t="inlineStr">
        <is>
          <t>Simples faturamento (x.922)</t>
        </is>
      </c>
    </row>
    <row r="733">
      <c r="A733" t="inlineStr">
        <is>
          <t>Simples faturamento (x.922) – duplica x.116/x.117</t>
        </is>
      </c>
      <c r="B733" t="inlineStr">
        <is>
          <t>2.07.01 Máquinas e Equipamentos</t>
        </is>
      </c>
      <c r="C733" s="30" t="n">
        <v>46143</v>
      </c>
      <c r="D733" t="inlineStr">
        <is>
          <t>Em 2026</t>
        </is>
      </c>
      <c r="E733" s="28" t="n">
        <v>46169</v>
      </c>
      <c r="F733" t="inlineStr">
        <is>
          <t>NF-e</t>
        </is>
      </c>
      <c r="G733" t="inlineStr">
        <is>
          <t>000046634</t>
        </is>
      </c>
      <c r="H733" t="inlineStr">
        <is>
          <t>MIRANDA COMPUTACAO E COMERCIO LTDA</t>
        </is>
      </c>
      <c r="I733" t="inlineStr">
        <is>
          <t>11.982.113/0011-28</t>
        </is>
      </c>
      <c r="J733" s="29" t="n">
        <v>5097.5</v>
      </c>
      <c r="K733" t="inlineStr">
        <is>
          <t>2.556</t>
        </is>
      </c>
      <c r="L733" t="inlineStr">
        <is>
          <t>Não</t>
        </is>
      </c>
      <c r="M733" t="inlineStr">
        <is>
          <t>Simples faturamento (x.922)</t>
        </is>
      </c>
    </row>
    <row r="734">
      <c r="A734" t="inlineStr">
        <is>
          <t>Simples faturamento (x.922) – duplica x.116/x.117</t>
        </is>
      </c>
      <c r="B734" t="inlineStr">
        <is>
          <t>2.07.04 Equipamentos de Informática</t>
        </is>
      </c>
      <c r="C734" s="30" t="n">
        <v>46143</v>
      </c>
      <c r="D734" t="inlineStr">
        <is>
          <t>Em 2026</t>
        </is>
      </c>
      <c r="E734" s="28" t="n">
        <v>46167</v>
      </c>
      <c r="F734" t="inlineStr">
        <is>
          <t>NF-e</t>
        </is>
      </c>
      <c r="G734" t="inlineStr">
        <is>
          <t>000046588</t>
        </is>
      </c>
      <c r="H734" t="inlineStr">
        <is>
          <t>MIRANDA COMPUTACAO E COMERCIO LTDA</t>
        </is>
      </c>
      <c r="I734" t="inlineStr">
        <is>
          <t>11.982.113/0011-28</t>
        </is>
      </c>
      <c r="J734" s="29" t="n">
        <v>4298</v>
      </c>
      <c r="K734" t="inlineStr">
        <is>
          <t>1.551</t>
        </is>
      </c>
      <c r="L734" t="inlineStr">
        <is>
          <t>Não</t>
        </is>
      </c>
      <c r="M734" t="inlineStr">
        <is>
          <t>Simples faturamento (x.922)</t>
        </is>
      </c>
    </row>
    <row r="735">
      <c r="A735" t="inlineStr">
        <is>
          <t>Simples faturamento (x.922) – duplica x.116/x.117</t>
        </is>
      </c>
      <c r="B735" t="inlineStr">
        <is>
          <t>2.07.05 Compra de Móveis e Utensílios</t>
        </is>
      </c>
      <c r="C735" s="30" t="n">
        <v>46143</v>
      </c>
      <c r="D735" t="inlineStr">
        <is>
          <t>Em 2026</t>
        </is>
      </c>
      <c r="E735" s="28" t="n">
        <v>46153</v>
      </c>
      <c r="F735" t="inlineStr">
        <is>
          <t>NF-e</t>
        </is>
      </c>
      <c r="G735" t="inlineStr">
        <is>
          <t>000005560</t>
        </is>
      </c>
      <c r="H735" t="inlineStr">
        <is>
          <t>TOTAL SERVICE INDUSTRIA, COMERCIO E SERVICOS LTDA</t>
        </is>
      </c>
      <c r="I735" t="inlineStr">
        <is>
          <t>07.900.748/0001-90</t>
        </is>
      </c>
      <c r="J735" s="29" t="n">
        <v>5585.91</v>
      </c>
      <c r="K735" t="inlineStr">
        <is>
          <t>1.556</t>
        </is>
      </c>
      <c r="L735" t="inlineStr">
        <is>
          <t>Não</t>
        </is>
      </c>
      <c r="M735" t="inlineStr">
        <is>
          <t>Simples faturamento (x.922)</t>
        </is>
      </c>
    </row>
    <row r="736">
      <c r="A736" t="inlineStr">
        <is>
          <t>Simples faturamento (x.922) – duplica x.116/x.117</t>
        </is>
      </c>
      <c r="B736" t="inlineStr">
        <is>
          <t>2.01.02 Frete sobre Vendas</t>
        </is>
      </c>
      <c r="C736" s="30" t="n">
        <v>46174</v>
      </c>
      <c r="D736" t="inlineStr">
        <is>
          <t>Em 2026</t>
        </is>
      </c>
      <c r="E736" s="28" t="n">
        <v>46191</v>
      </c>
      <c r="F736" t="inlineStr">
        <is>
          <t>NF-e</t>
        </is>
      </c>
      <c r="G736" t="inlineStr">
        <is>
          <t>000047235</t>
        </is>
      </c>
      <c r="H736" t="inlineStr">
        <is>
          <t>MIRANDA COMPUTACAO E COMERCIO LTDA</t>
        </is>
      </c>
      <c r="I736" t="inlineStr">
        <is>
          <t>11.982.113/0011-28</t>
        </is>
      </c>
      <c r="J736" s="29" t="n">
        <v>4198</v>
      </c>
      <c r="K736" t="inlineStr">
        <is>
          <t>2.551</t>
        </is>
      </c>
      <c r="L736" t="inlineStr">
        <is>
          <t>Não</t>
        </is>
      </c>
      <c r="M736" t="inlineStr">
        <is>
          <t>Simples faturamento (x.922)</t>
        </is>
      </c>
    </row>
    <row r="737">
      <c r="A737" t="inlineStr">
        <is>
          <t>Simples faturamento (x.922) – duplica x.116/x.117</t>
        </is>
      </c>
      <c r="B737" t="inlineStr">
        <is>
          <t>2.01.02 Frete sobre Vendas</t>
        </is>
      </c>
      <c r="C737" s="30" t="n">
        <v>46174</v>
      </c>
      <c r="D737" t="inlineStr">
        <is>
          <t>Em 2026</t>
        </is>
      </c>
      <c r="E737" s="28" t="n">
        <v>46191</v>
      </c>
      <c r="F737" t="inlineStr">
        <is>
          <t>NF-e</t>
        </is>
      </c>
      <c r="G737" t="inlineStr">
        <is>
          <t>000047236</t>
        </is>
      </c>
      <c r="H737" t="inlineStr">
        <is>
          <t>MIRANDA COMPUTACAO E COMERCIO LTDA</t>
        </is>
      </c>
      <c r="I737" t="inlineStr">
        <is>
          <t>11.982.113/0011-28</t>
        </is>
      </c>
      <c r="J737" s="29" t="n">
        <v>8396</v>
      </c>
      <c r="K737" t="inlineStr">
        <is>
          <t>2.551</t>
        </is>
      </c>
      <c r="L737" t="inlineStr">
        <is>
          <t>Não</t>
        </is>
      </c>
      <c r="M737" t="inlineStr">
        <is>
          <t>Simples faturamento (x.922)</t>
        </is>
      </c>
    </row>
    <row r="738">
      <c r="A738" t="inlineStr">
        <is>
          <t>Simples faturamento (x.922) – duplica x.116/x.117</t>
        </is>
      </c>
      <c r="B738" t="inlineStr">
        <is>
          <t>2.07.05 Compra de Móveis e Utensílios</t>
        </is>
      </c>
      <c r="C738" s="30" t="n">
        <v>46174</v>
      </c>
      <c r="D738" t="inlineStr">
        <is>
          <t>Em 2026</t>
        </is>
      </c>
      <c r="E738" s="28" t="n">
        <v>46190</v>
      </c>
      <c r="F738" t="inlineStr">
        <is>
          <t>NF-e</t>
        </is>
      </c>
      <c r="G738" t="inlineStr">
        <is>
          <t>000001261</t>
        </is>
      </c>
      <c r="H738" t="inlineStr">
        <is>
          <t>STOCK SISTEMA DE ARMAZENAGEM E CONSTRUTIVOS METALICOS LTDA</t>
        </is>
      </c>
      <c r="I738" t="inlineStr">
        <is>
          <t>35.546.490/0001-00</t>
        </is>
      </c>
      <c r="J738" s="29" t="n">
        <v>107500</v>
      </c>
      <c r="K738" t="inlineStr">
        <is>
          <t>2.406</t>
        </is>
      </c>
      <c r="L738" t="inlineStr">
        <is>
          <t>Sim</t>
        </is>
      </c>
      <c r="M738" t="inlineStr">
        <is>
          <t>Simples faturamento (x.922)</t>
        </is>
      </c>
    </row>
    <row r="739">
      <c r="A739" t="inlineStr">
        <is>
          <t>Simples faturamento (x.922) – duplica x.116/x.117</t>
        </is>
      </c>
      <c r="B739" t="inlineStr">
        <is>
          <t>2.07.04 Equipamentos de Informática</t>
        </is>
      </c>
      <c r="C739" s="30" t="n">
        <v>46204</v>
      </c>
      <c r="D739" t="inlineStr">
        <is>
          <t>Em 2026</t>
        </is>
      </c>
      <c r="E739" s="28" t="n">
        <v>46210</v>
      </c>
      <c r="F739" t="inlineStr">
        <is>
          <t>NF-e</t>
        </is>
      </c>
      <c r="G739" t="inlineStr">
        <is>
          <t>000047624</t>
        </is>
      </c>
      <c r="H739" t="inlineStr">
        <is>
          <t>MIRANDA COMPUTACAO E COMERCIO LTDA</t>
        </is>
      </c>
      <c r="I739" t="inlineStr">
        <is>
          <t>11.982.113/0011-28</t>
        </is>
      </c>
      <c r="J739" s="29" t="n">
        <v>1776</v>
      </c>
      <c r="K739" t="inlineStr">
        <is>
          <t>1.556</t>
        </is>
      </c>
      <c r="L739" t="inlineStr">
        <is>
          <t>Sim</t>
        </is>
      </c>
      <c r="M739" t="inlineStr">
        <is>
          <t>Simples faturamento (x.922)</t>
        </is>
      </c>
    </row>
    <row r="740">
      <c r="A740" t="inlineStr">
        <is>
          <t>Simples faturamento (x.922) – duplica x.116/x.117</t>
        </is>
      </c>
      <c r="B740" t="inlineStr">
        <is>
          <t>2.07.01 Máquinas e Equipamentos</t>
        </is>
      </c>
      <c r="C740" s="30" t="n">
        <v>46235</v>
      </c>
      <c r="D740" t="inlineStr">
        <is>
          <t>Em 2026</t>
        </is>
      </c>
      <c r="E740" s="28" t="n">
        <v>46262</v>
      </c>
      <c r="F740" t="inlineStr">
        <is>
          <t>NF-e</t>
        </is>
      </c>
      <c r="G740" t="inlineStr">
        <is>
          <t>000049016</t>
        </is>
      </c>
      <c r="H740" t="inlineStr">
        <is>
          <t>MIRANDA COMPUTACAO E COMERCIO LTDA</t>
        </is>
      </c>
      <c r="I740" t="inlineStr">
        <is>
          <t>11.982.113/0011-28</t>
        </is>
      </c>
      <c r="J740" s="29" t="n">
        <v>4747.6</v>
      </c>
      <c r="K740" t="inlineStr">
        <is>
          <t>2.556</t>
        </is>
      </c>
      <c r="L740" t="inlineStr">
        <is>
          <t>Sim</t>
        </is>
      </c>
      <c r="M740" t="inlineStr">
        <is>
          <t>Simples faturamento (x.922)</t>
        </is>
      </c>
    </row>
    <row r="741">
      <c r="A741" t="inlineStr">
        <is>
          <t>Simples faturamento (x.922) – duplica x.116/x.117</t>
        </is>
      </c>
      <c r="B741" t="inlineStr">
        <is>
          <t>2.01.03 Compra de Matéria Prima (Papel)</t>
        </is>
      </c>
      <c r="C741" s="30" t="n">
        <v>46266</v>
      </c>
      <c r="D741" t="inlineStr">
        <is>
          <t>Em 2026</t>
        </is>
      </c>
      <c r="E741" s="28" t="n">
        <v>46287</v>
      </c>
      <c r="F741" t="inlineStr">
        <is>
          <t>NF-e</t>
        </is>
      </c>
      <c r="G741" t="inlineStr">
        <is>
          <t>000340181</t>
        </is>
      </c>
      <c r="H741" t="inlineStr">
        <is>
          <t>LOJAS EDMIL S/A</t>
        </is>
      </c>
      <c r="I741" t="inlineStr">
        <is>
          <t>21.545.371/0087-07</t>
        </is>
      </c>
      <c r="J741" s="29" t="n">
        <v>17501.8</v>
      </c>
      <c r="K741" t="inlineStr">
        <is>
          <t>1.556</t>
        </is>
      </c>
      <c r="L741" t="inlineStr">
        <is>
          <t>Não</t>
        </is>
      </c>
      <c r="M741" t="inlineStr">
        <is>
          <t>Simples faturamento (x.922)</t>
        </is>
      </c>
    </row>
    <row r="742">
      <c r="A742" t="inlineStr">
        <is>
          <t>Simples faturamento (x.922) – duplica x.116/x.117</t>
        </is>
      </c>
      <c r="B742" t="inlineStr">
        <is>
          <t>2.07.01 Máquinas e Equipamentos</t>
        </is>
      </c>
      <c r="C742" s="30" t="n">
        <v>46266</v>
      </c>
      <c r="D742" t="inlineStr">
        <is>
          <t>Em 2026</t>
        </is>
      </c>
      <c r="E742" s="28" t="n">
        <v>46279</v>
      </c>
      <c r="F742" t="inlineStr">
        <is>
          <t>NF-e</t>
        </is>
      </c>
      <c r="G742" t="inlineStr">
        <is>
          <t>000049368</t>
        </is>
      </c>
      <c r="H742" t="inlineStr">
        <is>
          <t>MIRANDA COMPUTACAO E COMERCIO LTDA</t>
        </is>
      </c>
      <c r="I742" t="inlineStr">
        <is>
          <t>11.982.113/0011-28</t>
        </is>
      </c>
      <c r="J742" s="29" t="n">
        <v>4298</v>
      </c>
      <c r="K742" t="inlineStr">
        <is>
          <t>2.350</t>
        </is>
      </c>
      <c r="L742" t="inlineStr">
        <is>
          <t>Não</t>
        </is>
      </c>
      <c r="M742" t="inlineStr">
        <is>
          <t>Simples faturamento (x.922)</t>
        </is>
      </c>
      <c r="N742" t="inlineStr">
        <is>
          <t>Valor rateado entre categorias, como no Omie | Impostos rateados proporcionalmente ao valor da categoria (documento com mais de uma categoria)</t>
        </is>
      </c>
    </row>
    <row r="743">
      <c r="A743" t="inlineStr">
        <is>
          <t>Simples faturamento (x.922) – duplica x.116/x.117</t>
        </is>
      </c>
      <c r="B743" t="inlineStr">
        <is>
          <t>2.07.04 Equipamentos de Informática</t>
        </is>
      </c>
      <c r="C743" s="30" t="n">
        <v>46266</v>
      </c>
      <c r="D743" t="inlineStr">
        <is>
          <t>Em 2026</t>
        </is>
      </c>
      <c r="E743" s="28" t="n">
        <v>46280</v>
      </c>
      <c r="F743" t="inlineStr">
        <is>
          <t>NF-e</t>
        </is>
      </c>
      <c r="G743" t="inlineStr">
        <is>
          <t>000049404</t>
        </is>
      </c>
      <c r="H743" t="inlineStr">
        <is>
          <t>MIRANDA COMPUTACAO E COMERCIO LTDA</t>
        </is>
      </c>
      <c r="I743" t="inlineStr">
        <is>
          <t>11.982.113/0011-28</t>
        </is>
      </c>
      <c r="J743" s="29" t="n">
        <v>5498</v>
      </c>
      <c r="K743" t="inlineStr">
        <is>
          <t>2.350</t>
        </is>
      </c>
      <c r="L743" t="inlineStr">
        <is>
          <t>Não</t>
        </is>
      </c>
      <c r="M743" t="inlineStr">
        <is>
          <t>Simples faturamento (x.922)</t>
        </is>
      </c>
    </row>
    <row r="744">
      <c r="A744" t="inlineStr">
        <is>
          <t>Simples faturamento (x.922) – duplica x.116/x.117</t>
        </is>
      </c>
      <c r="B744" t="inlineStr">
        <is>
          <t>2.07.04 Equipamentos de Informática</t>
        </is>
      </c>
      <c r="C744" s="30" t="n">
        <v>46266</v>
      </c>
      <c r="D744" t="inlineStr">
        <is>
          <t>Em 2026</t>
        </is>
      </c>
      <c r="E744" s="28" t="n">
        <v>46279</v>
      </c>
      <c r="F744" t="inlineStr">
        <is>
          <t>NF-e</t>
        </is>
      </c>
      <c r="G744" t="inlineStr">
        <is>
          <t>000049368</t>
        </is>
      </c>
      <c r="H744" t="inlineStr">
        <is>
          <t>MIRANDA COMPUTACAO E COMERCIO LTDA</t>
        </is>
      </c>
      <c r="I744" t="inlineStr">
        <is>
          <t>11.982.113/0011-28</t>
        </is>
      </c>
      <c r="J744" s="29" t="n">
        <v>5498</v>
      </c>
      <c r="K744" t="inlineStr">
        <is>
          <t>2.350</t>
        </is>
      </c>
      <c r="L744" t="inlineStr">
        <is>
          <t>Não</t>
        </is>
      </c>
      <c r="M744" t="inlineStr">
        <is>
          <t>Simples faturamento (x.922)</t>
        </is>
      </c>
      <c r="N744" t="inlineStr">
        <is>
          <t>Valor rateado entre categorias, como no Omie | Impostos rateados proporcionalmente ao valor da categoria (documento com mais de uma categoria)</t>
        </is>
      </c>
    </row>
    <row r="745">
      <c r="A745" t="inlineStr">
        <is>
          <t>Transferência (0.01)</t>
        </is>
      </c>
      <c r="B745" t="inlineStr">
        <is>
          <t>0.01.02 Saída de Transferência</t>
        </is>
      </c>
      <c r="C745" t="inlineStr">
        <is>
          <t>Antes de 2026</t>
        </is>
      </c>
      <c r="D745" t="inlineStr">
        <is>
          <t>Antes de 2026</t>
        </is>
      </c>
      <c r="E745" s="28" t="n">
        <v>45343</v>
      </c>
      <c r="F745" t="inlineStr">
        <is>
          <t>NF-e</t>
        </is>
      </c>
      <c r="G745" t="inlineStr">
        <is>
          <t>000000022</t>
        </is>
      </c>
      <c r="H745" t="inlineStr">
        <is>
          <t>28.770.521 EDJANE DA SILVA SOARES</t>
        </is>
      </c>
      <c r="I745" t="inlineStr">
        <is>
          <t>28.770.521/0001-47</t>
        </is>
      </c>
      <c r="J745" s="29" t="n">
        <v>2210</v>
      </c>
      <c r="K745" t="inlineStr">
        <is>
          <t>1.556</t>
        </is>
      </c>
      <c r="L745" t="inlineStr">
        <is>
          <t>Não</t>
        </is>
      </c>
      <c r="M745" t="inlineStr">
        <is>
          <t>Compra/outras</t>
        </is>
      </c>
    </row>
    <row r="746">
      <c r="A746" t="inlineStr">
        <is>
          <t>Transferência (0.01)</t>
        </is>
      </c>
      <c r="B746" t="inlineStr">
        <is>
          <t>0.01.02 Saída de Transferência</t>
        </is>
      </c>
      <c r="C746" t="inlineStr">
        <is>
          <t>Antes de 2026</t>
        </is>
      </c>
      <c r="D746" t="inlineStr">
        <is>
          <t>Antes de 2026</t>
        </is>
      </c>
      <c r="E746" s="28" t="n">
        <v>45351</v>
      </c>
      <c r="F746" t="inlineStr">
        <is>
          <t>NF-e</t>
        </is>
      </c>
      <c r="G746" t="inlineStr">
        <is>
          <t>000038385</t>
        </is>
      </c>
      <c r="H746" t="inlineStr">
        <is>
          <t>ADERE PRODUTOS AUTO ADESIVOS LTDA</t>
        </is>
      </c>
      <c r="I746" t="inlineStr">
        <is>
          <t>46.062.030/0005-57</t>
        </is>
      </c>
      <c r="J746" s="29" t="n">
        <v>1052.65</v>
      </c>
      <c r="K746" t="inlineStr">
        <is>
          <t>1.556</t>
        </is>
      </c>
      <c r="L746" t="inlineStr">
        <is>
          <t>Não</t>
        </is>
      </c>
      <c r="M746" t="inlineStr">
        <is>
          <t>Compra/outras</t>
        </is>
      </c>
    </row>
    <row r="747">
      <c r="A747" t="inlineStr">
        <is>
          <t>Transferência (0.01)</t>
        </is>
      </c>
      <c r="B747" t="inlineStr">
        <is>
          <t>0.01.02 Saída de Transferência</t>
        </is>
      </c>
      <c r="C747" t="inlineStr">
        <is>
          <t>Antes de 2026</t>
        </is>
      </c>
      <c r="D747" t="inlineStr">
        <is>
          <t>Antes de 2026</t>
        </is>
      </c>
      <c r="E747" s="28" t="n">
        <v>45349</v>
      </c>
      <c r="F747" t="inlineStr">
        <is>
          <t>NF-e</t>
        </is>
      </c>
      <c r="G747" t="inlineStr">
        <is>
          <t>000141039</t>
        </is>
      </c>
      <c r="H747" t="inlineStr">
        <is>
          <t>ATACADAO DOS PARAFUSOS LTDA</t>
        </is>
      </c>
      <c r="I747" t="inlineStr">
        <is>
          <t>41.138.298/0001-88</t>
        </is>
      </c>
      <c r="J747" s="29" t="n">
        <v>765</v>
      </c>
      <c r="K747" t="inlineStr">
        <is>
          <t>1.556</t>
        </is>
      </c>
      <c r="L747" t="inlineStr">
        <is>
          <t>Não</t>
        </is>
      </c>
      <c r="M747" t="inlineStr">
        <is>
          <t>Compra/outras</t>
        </is>
      </c>
    </row>
    <row r="748">
      <c r="A748" t="inlineStr">
        <is>
          <t>Transferência (0.01)</t>
        </is>
      </c>
      <c r="B748" t="inlineStr">
        <is>
          <t>0.01.02 Saída de Transferência</t>
        </is>
      </c>
      <c r="C748" t="inlineStr">
        <is>
          <t>Antes de 2026</t>
        </is>
      </c>
      <c r="D748" t="inlineStr">
        <is>
          <t>Antes de 2026</t>
        </is>
      </c>
      <c r="E748" s="28" t="n">
        <v>45301</v>
      </c>
      <c r="F748" t="inlineStr">
        <is>
          <t>NF-e</t>
        </is>
      </c>
      <c r="G748" t="inlineStr">
        <is>
          <t>000000915</t>
        </is>
      </c>
      <c r="H748" t="inlineStr">
        <is>
          <t>B. B. A. INDUSTRIA E COMERCIO IMPORTACAO E EXPORTACAO LTDA</t>
        </is>
      </c>
      <c r="I748" t="inlineStr">
        <is>
          <t>25.247.287/0001-80</t>
        </is>
      </c>
      <c r="J748" s="29" t="n">
        <v>39113.59</v>
      </c>
      <c r="K748" t="inlineStr">
        <is>
          <t>1.556</t>
        </is>
      </c>
      <c r="L748" t="inlineStr">
        <is>
          <t>Não</t>
        </is>
      </c>
      <c r="M748" t="inlineStr">
        <is>
          <t>Compra/outras</t>
        </is>
      </c>
    </row>
    <row r="749">
      <c r="A749" t="inlineStr">
        <is>
          <t>Transferência (0.01)</t>
        </is>
      </c>
      <c r="B749" t="inlineStr">
        <is>
          <t>0.01.01 Entrada de Transferência</t>
        </is>
      </c>
      <c r="C749" t="inlineStr">
        <is>
          <t>Antes de 2026</t>
        </is>
      </c>
      <c r="D749" t="inlineStr">
        <is>
          <t>Antes de 2026</t>
        </is>
      </c>
      <c r="E749" s="28" t="n">
        <v>45294</v>
      </c>
      <c r="F749" t="inlineStr">
        <is>
          <t>NF-e</t>
        </is>
      </c>
      <c r="G749" t="inlineStr">
        <is>
          <t>000001572</t>
        </is>
      </c>
      <c r="H749" t="inlineStr">
        <is>
          <t>BARBOSA e XAVIER LTDA</t>
        </is>
      </c>
      <c r="I749" t="inlineStr">
        <is>
          <t>03.704.646/0001-48</t>
        </is>
      </c>
      <c r="J749" s="29" t="n">
        <v>384</v>
      </c>
      <c r="K749" t="inlineStr">
        <is>
          <t>1.556</t>
        </is>
      </c>
      <c r="L749" t="inlineStr">
        <is>
          <t>Não</t>
        </is>
      </c>
      <c r="M749" t="inlineStr">
        <is>
          <t>Compra/outras</t>
        </is>
      </c>
    </row>
    <row r="750">
      <c r="A750" t="inlineStr">
        <is>
          <t>Transferência (0.01)</t>
        </is>
      </c>
      <c r="B750" t="inlineStr">
        <is>
          <t>0.01.01 Entrada de Transferência</t>
        </is>
      </c>
      <c r="C750" t="inlineStr">
        <is>
          <t>Antes de 2026</t>
        </is>
      </c>
      <c r="D750" t="inlineStr">
        <is>
          <t>Antes de 2026</t>
        </is>
      </c>
      <c r="E750" s="28" t="n">
        <v>45316</v>
      </c>
      <c r="F750" t="inlineStr">
        <is>
          <t>NF-e</t>
        </is>
      </c>
      <c r="G750" t="inlineStr">
        <is>
          <t>000008721</t>
        </is>
      </c>
      <c r="H750" t="inlineStr">
        <is>
          <t>BRAGA e BARCELOS LTDA</t>
        </is>
      </c>
      <c r="I750" t="inlineStr">
        <is>
          <t>11.109.167/0003-73</t>
        </is>
      </c>
      <c r="J750" s="29" t="n">
        <v>19453.83</v>
      </c>
      <c r="K750" t="inlineStr">
        <is>
          <t>1.556</t>
        </is>
      </c>
      <c r="L750" t="inlineStr">
        <is>
          <t>Não</t>
        </is>
      </c>
      <c r="M750" t="inlineStr">
        <is>
          <t>Compra/outras</t>
        </is>
      </c>
    </row>
    <row r="751">
      <c r="A751" t="inlineStr">
        <is>
          <t>Transferência (0.01)</t>
        </is>
      </c>
      <c r="B751" t="inlineStr">
        <is>
          <t>0.01.02 Saída de Transferência</t>
        </is>
      </c>
      <c r="C751" t="inlineStr">
        <is>
          <t>Antes de 2026</t>
        </is>
      </c>
      <c r="D751" t="inlineStr">
        <is>
          <t>Antes de 2026</t>
        </is>
      </c>
      <c r="E751" s="28" t="n">
        <v>45341</v>
      </c>
      <c r="F751" t="inlineStr">
        <is>
          <t>NF-e</t>
        </is>
      </c>
      <c r="G751" t="inlineStr">
        <is>
          <t>000216732</t>
        </is>
      </c>
      <c r="H751" t="inlineStr">
        <is>
          <t>CARAJAS MATERIAL DE CONSTRUCAO LTDA</t>
        </is>
      </c>
      <c r="I751" t="inlineStr">
        <is>
          <t>03.656.804/0008-08</t>
        </is>
      </c>
      <c r="J751" s="29" t="n">
        <v>1958.6</v>
      </c>
      <c r="K751" t="inlineStr">
        <is>
          <t>1.556</t>
        </is>
      </c>
      <c r="L751" t="inlineStr">
        <is>
          <t>Não</t>
        </is>
      </c>
      <c r="M751" t="inlineStr">
        <is>
          <t>Compra/outras</t>
        </is>
      </c>
    </row>
    <row r="752">
      <c r="A752" t="inlineStr">
        <is>
          <t>Transferência (0.01)</t>
        </is>
      </c>
      <c r="B752" t="inlineStr">
        <is>
          <t>0.01.02 Saída de Transferência</t>
        </is>
      </c>
      <c r="C752" t="inlineStr">
        <is>
          <t>Antes de 2026</t>
        </is>
      </c>
      <c r="D752" t="inlineStr">
        <is>
          <t>Antes de 2026</t>
        </is>
      </c>
      <c r="E752" s="28" t="n">
        <v>45344</v>
      </c>
      <c r="F752" t="inlineStr">
        <is>
          <t>NF-e</t>
        </is>
      </c>
      <c r="G752" t="inlineStr">
        <is>
          <t>000015131</t>
        </is>
      </c>
      <c r="H752" t="inlineStr">
        <is>
          <t>CARBON COMERCIO DE LUBRIFICANTES LTDA</t>
        </is>
      </c>
      <c r="I752" t="inlineStr">
        <is>
          <t>36.940.478/0001-49</t>
        </is>
      </c>
      <c r="J752" s="29" t="n">
        <v>652</v>
      </c>
      <c r="K752" t="inlineStr">
        <is>
          <t>1.556</t>
        </is>
      </c>
      <c r="L752" t="inlineStr">
        <is>
          <t>Não</t>
        </is>
      </c>
      <c r="M752" t="inlineStr">
        <is>
          <t>Compra/outras</t>
        </is>
      </c>
    </row>
    <row r="753">
      <c r="A753" t="inlineStr">
        <is>
          <t>Transferência (0.01)</t>
        </is>
      </c>
      <c r="B753" t="inlineStr">
        <is>
          <t>0.01.02 Saída de Transferência</t>
        </is>
      </c>
      <c r="C753" t="inlineStr">
        <is>
          <t>Antes de 2026</t>
        </is>
      </c>
      <c r="D753" t="inlineStr">
        <is>
          <t>Antes de 2026</t>
        </is>
      </c>
      <c r="E753" s="28" t="n">
        <v>45314</v>
      </c>
      <c r="F753" t="inlineStr">
        <is>
          <t>NF-e</t>
        </is>
      </c>
      <c r="G753" t="inlineStr">
        <is>
          <t>000085437</t>
        </is>
      </c>
      <c r="H753" t="inlineStr">
        <is>
          <t>COCELPA CIA DE CEL. E PAPEL DO PARANA SA</t>
        </is>
      </c>
      <c r="I753" t="inlineStr">
        <is>
          <t>76.487.651/0001-10</t>
        </is>
      </c>
      <c r="J753" s="29" t="n">
        <v>102604.69</v>
      </c>
      <c r="K753" t="inlineStr">
        <is>
          <t>1.556</t>
        </is>
      </c>
      <c r="L753" t="inlineStr">
        <is>
          <t>Não</t>
        </is>
      </c>
      <c r="M753" t="inlineStr">
        <is>
          <t>Compra/outras</t>
        </is>
      </c>
    </row>
    <row r="754">
      <c r="A754" t="inlineStr">
        <is>
          <t>Transferência (0.01)</t>
        </is>
      </c>
      <c r="B754" t="inlineStr">
        <is>
          <t>0.01.02 Saída de Transferência</t>
        </is>
      </c>
      <c r="C754" t="inlineStr">
        <is>
          <t>Antes de 2026</t>
        </is>
      </c>
      <c r="D754" t="inlineStr">
        <is>
          <t>Antes de 2026</t>
        </is>
      </c>
      <c r="E754" s="28" t="n">
        <v>45314</v>
      </c>
      <c r="F754" t="inlineStr">
        <is>
          <t>NF-e</t>
        </is>
      </c>
      <c r="G754" t="inlineStr">
        <is>
          <t>000085438</t>
        </is>
      </c>
      <c r="H754" t="inlineStr">
        <is>
          <t>COCELPA CIA DE CEL. E PAPEL DO PARANA SA</t>
        </is>
      </c>
      <c r="I754" t="inlineStr">
        <is>
          <t>76.487.651/0001-10</t>
        </is>
      </c>
      <c r="J754" s="29" t="n">
        <v>102604.69</v>
      </c>
      <c r="K754" t="inlineStr">
        <is>
          <t>1.556</t>
        </is>
      </c>
      <c r="L754" t="inlineStr">
        <is>
          <t>Não</t>
        </is>
      </c>
      <c r="M754" t="inlineStr">
        <is>
          <t>Compra/outras</t>
        </is>
      </c>
    </row>
    <row r="755">
      <c r="A755" t="inlineStr">
        <is>
          <t>Transferência (0.01)</t>
        </is>
      </c>
      <c r="B755" t="inlineStr">
        <is>
          <t>0.01.02 Saída de Transferência</t>
        </is>
      </c>
      <c r="C755" t="inlineStr">
        <is>
          <t>Antes de 2026</t>
        </is>
      </c>
      <c r="D755" t="inlineStr">
        <is>
          <t>Antes de 2026</t>
        </is>
      </c>
      <c r="E755" s="28" t="n">
        <v>45314</v>
      </c>
      <c r="F755" t="inlineStr">
        <is>
          <t>NF-e</t>
        </is>
      </c>
      <c r="G755" t="inlineStr">
        <is>
          <t>000085439</t>
        </is>
      </c>
      <c r="H755" t="inlineStr">
        <is>
          <t>COCELPA CIA DE CEL. E PAPEL DO PARANA SA</t>
        </is>
      </c>
      <c r="I755" t="inlineStr">
        <is>
          <t>76.487.651/0001-10</t>
        </is>
      </c>
      <c r="J755" s="29" t="n">
        <v>102604.69</v>
      </c>
      <c r="K755" t="inlineStr">
        <is>
          <t>1.556</t>
        </is>
      </c>
      <c r="L755" t="inlineStr">
        <is>
          <t>Não</t>
        </is>
      </c>
      <c r="M755" t="inlineStr">
        <is>
          <t>Compra/outras</t>
        </is>
      </c>
    </row>
    <row r="756">
      <c r="A756" t="inlineStr">
        <is>
          <t>Transferência (0.01)</t>
        </is>
      </c>
      <c r="B756" t="inlineStr">
        <is>
          <t>0.01.02 Saída de Transferência</t>
        </is>
      </c>
      <c r="C756" t="inlineStr">
        <is>
          <t>Antes de 2026</t>
        </is>
      </c>
      <c r="D756" t="inlineStr">
        <is>
          <t>Antes de 2026</t>
        </is>
      </c>
      <c r="E756" s="28" t="n">
        <v>45314</v>
      </c>
      <c r="F756" t="inlineStr">
        <is>
          <t>NF-e</t>
        </is>
      </c>
      <c r="G756" t="inlineStr">
        <is>
          <t>000085440</t>
        </is>
      </c>
      <c r="H756" t="inlineStr">
        <is>
          <t>COCELPA CIA DE CEL. E PAPEL DO PARANA SA</t>
        </is>
      </c>
      <c r="I756" t="inlineStr">
        <is>
          <t>76.487.651/0001-10</t>
        </is>
      </c>
      <c r="J756" s="29" t="n">
        <v>102604.69</v>
      </c>
      <c r="K756" t="inlineStr">
        <is>
          <t>1.556</t>
        </is>
      </c>
      <c r="L756" t="inlineStr">
        <is>
          <t>Não</t>
        </is>
      </c>
      <c r="M756" t="inlineStr">
        <is>
          <t>Compra/outras</t>
        </is>
      </c>
    </row>
    <row r="757">
      <c r="A757" t="inlineStr">
        <is>
          <t>Transferência (0.01)</t>
        </is>
      </c>
      <c r="B757" t="inlineStr">
        <is>
          <t>0.01.01 Entrada de Transferência</t>
        </is>
      </c>
      <c r="C757" t="inlineStr">
        <is>
          <t>Antes de 2026</t>
        </is>
      </c>
      <c r="D757" t="inlineStr">
        <is>
          <t>Antes de 2026</t>
        </is>
      </c>
      <c r="E757" s="28" t="n">
        <v>45348</v>
      </c>
      <c r="F757" t="inlineStr">
        <is>
          <t>NF-e</t>
        </is>
      </c>
      <c r="G757" t="inlineStr">
        <is>
          <t>001508946</t>
        </is>
      </c>
      <c r="H757" t="inlineStr">
        <is>
          <t>COMERCIAL DISKPAN LTDA</t>
        </is>
      </c>
      <c r="I757" t="inlineStr">
        <is>
          <t>02.691.482/0001-07</t>
        </is>
      </c>
      <c r="J757" s="29" t="n">
        <v>3509</v>
      </c>
      <c r="K757" t="inlineStr">
        <is>
          <t>1.556</t>
        </is>
      </c>
      <c r="L757" t="inlineStr">
        <is>
          <t>Não</t>
        </is>
      </c>
      <c r="M757" t="inlineStr">
        <is>
          <t>Compra/outras</t>
        </is>
      </c>
    </row>
    <row r="758">
      <c r="A758" t="inlineStr">
        <is>
          <t>Transferência (0.01)</t>
        </is>
      </c>
      <c r="B758" t="inlineStr">
        <is>
          <t>0.01.02 Saída de Transferência</t>
        </is>
      </c>
      <c r="C758" t="inlineStr">
        <is>
          <t>Antes de 2026</t>
        </is>
      </c>
      <c r="D758" t="inlineStr">
        <is>
          <t>Antes de 2026</t>
        </is>
      </c>
      <c r="E758" s="28" t="n">
        <v>45294</v>
      </c>
      <c r="F758" t="inlineStr">
        <is>
          <t>NF-e</t>
        </is>
      </c>
      <c r="G758" t="inlineStr">
        <is>
          <t>000093117</t>
        </is>
      </c>
      <c r="H758" t="inlineStr">
        <is>
          <t>CONPEL COMPANHIA NORDESTINA DE PAPEL EM RECUPERACAO JUDICIAL</t>
        </is>
      </c>
      <c r="I758" t="inlineStr">
        <is>
          <t>09.116.278/0001-01</t>
        </is>
      </c>
      <c r="J758" s="29" t="n">
        <v>29825.61</v>
      </c>
      <c r="K758" t="inlineStr">
        <is>
          <t>1.556</t>
        </is>
      </c>
      <c r="L758" t="inlineStr">
        <is>
          <t>Não</t>
        </is>
      </c>
      <c r="M758" t="inlineStr">
        <is>
          <t>Compra/outras</t>
        </is>
      </c>
    </row>
    <row r="759">
      <c r="A759" t="inlineStr">
        <is>
          <t>Transferência (0.01)</t>
        </is>
      </c>
      <c r="B759" t="inlineStr">
        <is>
          <t>0.01.02 Saída de Transferência</t>
        </is>
      </c>
      <c r="C759" t="inlineStr">
        <is>
          <t>Antes de 2026</t>
        </is>
      </c>
      <c r="D759" t="inlineStr">
        <is>
          <t>Antes de 2026</t>
        </is>
      </c>
      <c r="E759" s="28" t="n">
        <v>45320</v>
      </c>
      <c r="F759" t="inlineStr">
        <is>
          <t>NF-e</t>
        </is>
      </c>
      <c r="G759" t="inlineStr">
        <is>
          <t>000093534</t>
        </is>
      </c>
      <c r="H759" t="inlineStr">
        <is>
          <t>CONPEL COMPANHIA NORDESTINA DE PAPEL EM RECUPERACAO JUDICIAL</t>
        </is>
      </c>
      <c r="I759" t="inlineStr">
        <is>
          <t>09.116.278/0001-01</t>
        </is>
      </c>
      <c r="J759" s="29" t="n">
        <v>35277.53</v>
      </c>
      <c r="K759" t="inlineStr">
        <is>
          <t>1.556</t>
        </is>
      </c>
      <c r="L759" t="inlineStr">
        <is>
          <t>Não</t>
        </is>
      </c>
      <c r="M759" t="inlineStr">
        <is>
          <t>Compra/outras</t>
        </is>
      </c>
    </row>
    <row r="760">
      <c r="A760" t="inlineStr">
        <is>
          <t>Transferência (0.01)</t>
        </is>
      </c>
      <c r="B760" t="inlineStr">
        <is>
          <t>0.01.02 Saída de Transferência</t>
        </is>
      </c>
      <c r="C760" t="inlineStr">
        <is>
          <t>Antes de 2026</t>
        </is>
      </c>
      <c r="D760" t="inlineStr">
        <is>
          <t>Antes de 2026</t>
        </is>
      </c>
      <c r="E760" s="28" t="n">
        <v>45343</v>
      </c>
      <c r="F760" t="inlineStr">
        <is>
          <t>NF-e</t>
        </is>
      </c>
      <c r="G760" t="inlineStr">
        <is>
          <t>000019266</t>
        </is>
      </c>
      <c r="H760" t="inlineStr">
        <is>
          <t>DAPP COMERCIO DE PRODUTOS QUIMICOS LTDA.</t>
        </is>
      </c>
      <c r="I760" t="inlineStr">
        <is>
          <t>10.262.944/0001-90</t>
        </is>
      </c>
      <c r="J760" s="29" t="n">
        <v>80</v>
      </c>
      <c r="K760" t="inlineStr">
        <is>
          <t>1.556</t>
        </is>
      </c>
      <c r="L760" t="inlineStr">
        <is>
          <t>Não</t>
        </is>
      </c>
      <c r="M760" t="inlineStr">
        <is>
          <t>Compra/outras</t>
        </is>
      </c>
    </row>
    <row r="761">
      <c r="A761" t="inlineStr">
        <is>
          <t>Transferência (0.01)</t>
        </is>
      </c>
      <c r="B761" t="inlineStr">
        <is>
          <t>0.01.02 Saída de Transferência</t>
        </is>
      </c>
      <c r="C761" t="inlineStr">
        <is>
          <t>Antes de 2026</t>
        </is>
      </c>
      <c r="D761" t="inlineStr">
        <is>
          <t>Antes de 2026</t>
        </is>
      </c>
      <c r="E761" s="28" t="n">
        <v>45331</v>
      </c>
      <c r="F761" t="inlineStr">
        <is>
          <t>NF-e</t>
        </is>
      </c>
      <c r="G761" t="inlineStr">
        <is>
          <t>000031235</t>
        </is>
      </c>
      <c r="H761" t="inlineStr">
        <is>
          <t>DELINEAR BAHIA CLICHERIA LTDA</t>
        </is>
      </c>
      <c r="I761" t="inlineStr">
        <is>
          <t>10.566.633/0001-15</t>
        </is>
      </c>
      <c r="J761" s="29" t="n">
        <v>3931.35</v>
      </c>
      <c r="K761" t="inlineStr">
        <is>
          <t>1.556</t>
        </is>
      </c>
      <c r="L761" t="inlineStr">
        <is>
          <t>Não</t>
        </is>
      </c>
      <c r="M761" t="inlineStr">
        <is>
          <t>Compra/outras</t>
        </is>
      </c>
    </row>
    <row r="762">
      <c r="A762" t="inlineStr">
        <is>
          <t>Transferência (0.01)</t>
        </is>
      </c>
      <c r="B762" t="inlineStr">
        <is>
          <t>0.01.02 Saída de Transferência</t>
        </is>
      </c>
      <c r="C762" t="inlineStr">
        <is>
          <t>Antes de 2026</t>
        </is>
      </c>
      <c r="D762" t="inlineStr">
        <is>
          <t>Antes de 2026</t>
        </is>
      </c>
      <c r="E762" s="28" t="n">
        <v>45349</v>
      </c>
      <c r="F762" t="inlineStr">
        <is>
          <t>NF-e</t>
        </is>
      </c>
      <c r="G762" t="inlineStr">
        <is>
          <t>000031377</t>
        </is>
      </c>
      <c r="H762" t="inlineStr">
        <is>
          <t>DELINEAR BAHIA CLICHERIA LTDA</t>
        </is>
      </c>
      <c r="I762" t="inlineStr">
        <is>
          <t>10.566.633/0001-15</t>
        </is>
      </c>
      <c r="J762" s="29" t="n">
        <v>1007.7</v>
      </c>
      <c r="K762" t="inlineStr">
        <is>
          <t>1.556</t>
        </is>
      </c>
      <c r="L762" t="inlineStr">
        <is>
          <t>Não</t>
        </is>
      </c>
      <c r="M762" t="inlineStr">
        <is>
          <t>Compra/outras</t>
        </is>
      </c>
    </row>
    <row r="763">
      <c r="A763" t="inlineStr">
        <is>
          <t>Transferência (0.01)</t>
        </is>
      </c>
      <c r="B763" t="inlineStr">
        <is>
          <t>0.01.02 Saída de Transferência</t>
        </is>
      </c>
      <c r="C763" t="inlineStr">
        <is>
          <t>Antes de 2026</t>
        </is>
      </c>
      <c r="D763" t="inlineStr">
        <is>
          <t>Antes de 2026</t>
        </is>
      </c>
      <c r="E763" s="28" t="n">
        <v>45350</v>
      </c>
      <c r="F763" t="inlineStr">
        <is>
          <t>NF-e</t>
        </is>
      </c>
      <c r="G763" t="inlineStr">
        <is>
          <t>000031412</t>
        </is>
      </c>
      <c r="H763" t="inlineStr">
        <is>
          <t>DELINEAR BAHIA CLICHERIA LTDA</t>
        </is>
      </c>
      <c r="I763" t="inlineStr">
        <is>
          <t>10.566.633/0001-15</t>
        </is>
      </c>
      <c r="J763" s="29" t="n">
        <v>977.54</v>
      </c>
      <c r="K763" t="inlineStr">
        <is>
          <t>1.556</t>
        </is>
      </c>
      <c r="L763" t="inlineStr">
        <is>
          <t>Não</t>
        </is>
      </c>
      <c r="M763" t="inlineStr">
        <is>
          <t>Compra/outras</t>
        </is>
      </c>
    </row>
    <row r="764">
      <c r="A764" t="inlineStr">
        <is>
          <t>Transferência (0.01)</t>
        </is>
      </c>
      <c r="B764" t="inlineStr">
        <is>
          <t>0.01.01 Entrada de Transferência</t>
        </is>
      </c>
      <c r="C764" t="inlineStr">
        <is>
          <t>Antes de 2026</t>
        </is>
      </c>
      <c r="D764" t="inlineStr">
        <is>
          <t>Antes de 2026</t>
        </is>
      </c>
      <c r="E764" s="28" t="n">
        <v>45342</v>
      </c>
      <c r="F764" t="inlineStr">
        <is>
          <t>NF-e</t>
        </is>
      </c>
      <c r="G764" t="inlineStr">
        <is>
          <t>000226790</t>
        </is>
      </c>
      <c r="H764" t="inlineStr">
        <is>
          <t>DISTRIPACK DISTRIBUIDORA DE EMBALAGENS LTDA</t>
        </is>
      </c>
      <c r="I764" t="inlineStr">
        <is>
          <t>11.043.375/0003-17</t>
        </is>
      </c>
      <c r="J764" s="29" t="n">
        <v>14788.97</v>
      </c>
      <c r="K764" t="inlineStr">
        <is>
          <t>1.556</t>
        </is>
      </c>
      <c r="L764" t="inlineStr">
        <is>
          <t>Não</t>
        </is>
      </c>
      <c r="M764" t="inlineStr">
        <is>
          <t>Compra/outras</t>
        </is>
      </c>
    </row>
    <row r="765">
      <c r="A765" t="inlineStr">
        <is>
          <t>Transferência (0.01)</t>
        </is>
      </c>
      <c r="B765" t="inlineStr">
        <is>
          <t>0.01.01 Entrada de Transferência</t>
        </is>
      </c>
      <c r="C765" t="inlineStr">
        <is>
          <t>Antes de 2026</t>
        </is>
      </c>
      <c r="D765" t="inlineStr">
        <is>
          <t>Antes de 2026</t>
        </is>
      </c>
      <c r="E765" s="28" t="n">
        <v>45343</v>
      </c>
      <c r="F765" t="inlineStr">
        <is>
          <t>NF-e</t>
        </is>
      </c>
      <c r="G765" t="inlineStr">
        <is>
          <t>000226822</t>
        </is>
      </c>
      <c r="H765" t="inlineStr">
        <is>
          <t>DISTRIPACK DISTRIBUIDORA DE EMBALAGENS LTDA</t>
        </is>
      </c>
      <c r="I765" t="inlineStr">
        <is>
          <t>11.043.375/0003-17</t>
        </is>
      </c>
      <c r="J765" s="29" t="n">
        <v>1028.79</v>
      </c>
      <c r="K765" t="inlineStr">
        <is>
          <t>1.556</t>
        </is>
      </c>
      <c r="L765" t="inlineStr">
        <is>
          <t>Não</t>
        </is>
      </c>
      <c r="M765" t="inlineStr">
        <is>
          <t>Compra/outras</t>
        </is>
      </c>
    </row>
    <row r="766">
      <c r="A766" t="inlineStr">
        <is>
          <t>Transferência (0.01)</t>
        </is>
      </c>
      <c r="B766" t="inlineStr">
        <is>
          <t>0.01.01 Entrada de Transferência</t>
        </is>
      </c>
      <c r="C766" t="inlineStr">
        <is>
          <t>Antes de 2026</t>
        </is>
      </c>
      <c r="D766" t="inlineStr">
        <is>
          <t>Antes de 2026</t>
        </is>
      </c>
      <c r="E766" s="28" t="n">
        <v>45338</v>
      </c>
      <c r="F766" t="inlineStr">
        <is>
          <t>NF-e</t>
        </is>
      </c>
      <c r="G766" t="inlineStr">
        <is>
          <t>000439292</t>
        </is>
      </c>
      <c r="H766" t="inlineStr">
        <is>
          <t>DISTRIPACK DISTRIBUIDORA DE EMBALAGENS LTDA</t>
        </is>
      </c>
      <c r="I766" t="inlineStr">
        <is>
          <t>11.043.375/0002-36</t>
        </is>
      </c>
      <c r="J766" s="29" t="n">
        <v>2106.92</v>
      </c>
      <c r="K766" t="inlineStr">
        <is>
          <t>1.556</t>
        </is>
      </c>
      <c r="L766" t="inlineStr">
        <is>
          <t>Não</t>
        </is>
      </c>
      <c r="M766" t="inlineStr">
        <is>
          <t>Compra/outras</t>
        </is>
      </c>
    </row>
    <row r="767">
      <c r="A767" t="inlineStr">
        <is>
          <t>Transferência (0.01)</t>
        </is>
      </c>
      <c r="B767" t="inlineStr">
        <is>
          <t>0.01.02 Saída de Transferência</t>
        </is>
      </c>
      <c r="C767" t="inlineStr">
        <is>
          <t>Antes de 2026</t>
        </is>
      </c>
      <c r="D767" t="inlineStr">
        <is>
          <t>Antes de 2026</t>
        </is>
      </c>
      <c r="E767" s="28" t="n">
        <v>45328</v>
      </c>
      <c r="F767" t="inlineStr">
        <is>
          <t>NF-e</t>
        </is>
      </c>
      <c r="G767" t="inlineStr">
        <is>
          <t>000025588</t>
        </is>
      </c>
      <c r="H767" t="inlineStr">
        <is>
          <t>EUCLIDES JOAQUIM DE OLIVEIRA</t>
        </is>
      </c>
      <c r="I767" t="inlineStr">
        <is>
          <t>03.661.185/0001-73</t>
        </is>
      </c>
      <c r="J767" s="29" t="n">
        <v>2100</v>
      </c>
      <c r="K767" t="inlineStr">
        <is>
          <t>1.556</t>
        </is>
      </c>
      <c r="L767" t="inlineStr">
        <is>
          <t>Não</t>
        </is>
      </c>
      <c r="M767" t="inlineStr">
        <is>
          <t>Compra/outras</t>
        </is>
      </c>
    </row>
    <row r="768">
      <c r="A768" t="inlineStr">
        <is>
          <t>Transferência (0.01)</t>
        </is>
      </c>
      <c r="B768" t="inlineStr">
        <is>
          <t>0.01.02 Saída de Transferência</t>
        </is>
      </c>
      <c r="C768" t="inlineStr">
        <is>
          <t>Antes de 2026</t>
        </is>
      </c>
      <c r="D768" t="inlineStr">
        <is>
          <t>Antes de 2026</t>
        </is>
      </c>
      <c r="E768" s="28" t="n">
        <v>45341</v>
      </c>
      <c r="F768" t="inlineStr">
        <is>
          <t>NF-e</t>
        </is>
      </c>
      <c r="G768" t="inlineStr">
        <is>
          <t>000025765</t>
        </is>
      </c>
      <c r="H768" t="inlineStr">
        <is>
          <t>EUCLIDES JOAQUIM DE OLIVEIRA</t>
        </is>
      </c>
      <c r="I768" t="inlineStr">
        <is>
          <t>03.661.185/0001-73</t>
        </is>
      </c>
      <c r="J768" s="29" t="n">
        <v>2100</v>
      </c>
      <c r="K768" t="inlineStr">
        <is>
          <t>1.556</t>
        </is>
      </c>
      <c r="L768" t="inlineStr">
        <is>
          <t>Não</t>
        </is>
      </c>
      <c r="M768" t="inlineStr">
        <is>
          <t>Compra/outras</t>
        </is>
      </c>
    </row>
    <row r="769">
      <c r="A769" t="inlineStr">
        <is>
          <t>Transferência (0.01)</t>
        </is>
      </c>
      <c r="B769" t="inlineStr">
        <is>
          <t>0.01.02 Saída de Transferência</t>
        </is>
      </c>
      <c r="C769" t="inlineStr">
        <is>
          <t>Antes de 2026</t>
        </is>
      </c>
      <c r="D769" t="inlineStr">
        <is>
          <t>Antes de 2026</t>
        </is>
      </c>
      <c r="E769" s="28" t="n">
        <v>45302</v>
      </c>
      <c r="F769" t="inlineStr">
        <is>
          <t>NF-e</t>
        </is>
      </c>
      <c r="G769" t="inlineStr">
        <is>
          <t>000081015</t>
        </is>
      </c>
      <c r="H769" t="inlineStr">
        <is>
          <t>FERGE COMERCIO DE PRODUTOS INDUSTRIAIS LTDA</t>
        </is>
      </c>
      <c r="I769" t="inlineStr">
        <is>
          <t>09.057.961/0001-07</t>
        </is>
      </c>
      <c r="J769" s="29" t="n">
        <v>615</v>
      </c>
      <c r="K769" t="inlineStr">
        <is>
          <t>1.556</t>
        </is>
      </c>
      <c r="L769" t="inlineStr">
        <is>
          <t>Não</t>
        </is>
      </c>
      <c r="M769" t="inlineStr">
        <is>
          <t>Compra/outras</t>
        </is>
      </c>
    </row>
    <row r="770">
      <c r="A770" t="inlineStr">
        <is>
          <t>Transferência (0.01)</t>
        </is>
      </c>
      <c r="B770" t="inlineStr">
        <is>
          <t>0.01.02 Saída de Transferência</t>
        </is>
      </c>
      <c r="C770" t="inlineStr">
        <is>
          <t>Antes de 2026</t>
        </is>
      </c>
      <c r="D770" t="inlineStr">
        <is>
          <t>Antes de 2026</t>
        </is>
      </c>
      <c r="E770" s="28" t="n">
        <v>45341</v>
      </c>
      <c r="F770" t="inlineStr">
        <is>
          <t>NF-e</t>
        </is>
      </c>
      <c r="G770" t="inlineStr">
        <is>
          <t>000001872</t>
        </is>
      </c>
      <c r="H770" t="inlineStr">
        <is>
          <t>GDM INDUSTRIA E COMERCIO DE PLASTICOS LTDA.</t>
        </is>
      </c>
      <c r="I770" t="inlineStr">
        <is>
          <t>07.955.100/0004-63</t>
        </is>
      </c>
      <c r="J770" s="29" t="n">
        <v>5491.25</v>
      </c>
      <c r="K770" t="inlineStr">
        <is>
          <t>1.556</t>
        </is>
      </c>
      <c r="L770" t="inlineStr">
        <is>
          <t>Não</t>
        </is>
      </c>
      <c r="M770" t="inlineStr">
        <is>
          <t>Compra/outras</t>
        </is>
      </c>
    </row>
    <row r="771">
      <c r="A771" t="inlineStr">
        <is>
          <t>Transferência (0.01)</t>
        </is>
      </c>
      <c r="B771" t="inlineStr">
        <is>
          <t>0.01.02 Saída de Transferência</t>
        </is>
      </c>
      <c r="C771" t="inlineStr">
        <is>
          <t>Antes de 2026</t>
        </is>
      </c>
      <c r="D771" t="inlineStr">
        <is>
          <t>Antes de 2026</t>
        </is>
      </c>
      <c r="E771" s="28" t="n">
        <v>45324</v>
      </c>
      <c r="F771" t="inlineStr">
        <is>
          <t>NF-e</t>
        </is>
      </c>
      <c r="G771" t="inlineStr">
        <is>
          <t>000179033</t>
        </is>
      </c>
      <c r="H771" t="inlineStr">
        <is>
          <t>GM COMERCIO DE PRODUTOS DE HIGIENIZACAO PROFISSIONAL LTDA</t>
        </is>
      </c>
      <c r="I771" t="inlineStr">
        <is>
          <t>11.287.886/0001-12</t>
        </is>
      </c>
      <c r="J771" s="29" t="n">
        <v>1139.93</v>
      </c>
      <c r="K771" t="inlineStr">
        <is>
          <t>1.556</t>
        </is>
      </c>
      <c r="L771" t="inlineStr">
        <is>
          <t>Não</t>
        </is>
      </c>
      <c r="M771" t="inlineStr">
        <is>
          <t>Compra/outras</t>
        </is>
      </c>
    </row>
    <row r="772">
      <c r="A772" t="inlineStr">
        <is>
          <t>Transferência (0.01)</t>
        </is>
      </c>
      <c r="B772" t="inlineStr">
        <is>
          <t>0.01.02 Saída de Transferência</t>
        </is>
      </c>
      <c r="C772" t="inlineStr">
        <is>
          <t>Antes de 2026</t>
        </is>
      </c>
      <c r="D772" t="inlineStr">
        <is>
          <t>Antes de 2026</t>
        </is>
      </c>
      <c r="E772" s="28" t="n">
        <v>45342</v>
      </c>
      <c r="F772" t="inlineStr">
        <is>
          <t>NF-e</t>
        </is>
      </c>
      <c r="G772" t="inlineStr">
        <is>
          <t>000102936</t>
        </is>
      </c>
      <c r="H772" t="inlineStr">
        <is>
          <t>GRANFER - IMPORTADORA E DISTRIBUIDORA DE FERRAGENS LTDA</t>
        </is>
      </c>
      <c r="I772" t="inlineStr">
        <is>
          <t>11.358.671/0001-45</t>
        </is>
      </c>
      <c r="J772" s="29" t="n">
        <v>3356</v>
      </c>
      <c r="K772" t="inlineStr">
        <is>
          <t>1.556</t>
        </is>
      </c>
      <c r="L772" t="inlineStr">
        <is>
          <t>Não</t>
        </is>
      </c>
      <c r="M772" t="inlineStr">
        <is>
          <t>Compra/outras</t>
        </is>
      </c>
    </row>
    <row r="773">
      <c r="A773" t="inlineStr">
        <is>
          <t>Transferência (0.01)</t>
        </is>
      </c>
      <c r="B773" t="inlineStr">
        <is>
          <t>0.01.02 Saída de Transferência</t>
        </is>
      </c>
      <c r="C773" t="inlineStr">
        <is>
          <t>Antes de 2026</t>
        </is>
      </c>
      <c r="D773" t="inlineStr">
        <is>
          <t>Antes de 2026</t>
        </is>
      </c>
      <c r="E773" s="28" t="n">
        <v>45341</v>
      </c>
      <c r="F773" t="inlineStr">
        <is>
          <t>NF-e</t>
        </is>
      </c>
      <c r="G773" t="inlineStr">
        <is>
          <t>000001023</t>
        </is>
      </c>
      <c r="H773" t="inlineStr">
        <is>
          <t>J S IND DE EMBALAGENS E ETIQUETAS LTDA</t>
        </is>
      </c>
      <c r="I773" t="inlineStr">
        <is>
          <t>26.215.476/0001-33</t>
        </is>
      </c>
      <c r="J773" s="29" t="n">
        <v>5716.2</v>
      </c>
      <c r="K773" t="inlineStr">
        <is>
          <t>1.556</t>
        </is>
      </c>
      <c r="L773" t="inlineStr">
        <is>
          <t>Não</t>
        </is>
      </c>
      <c r="M773" t="inlineStr">
        <is>
          <t>Compra/outras</t>
        </is>
      </c>
    </row>
    <row r="774">
      <c r="A774" t="inlineStr">
        <is>
          <t>Transferência (0.01)</t>
        </is>
      </c>
      <c r="B774" t="inlineStr">
        <is>
          <t>0.01.02 Saída de Transferência</t>
        </is>
      </c>
      <c r="C774" t="inlineStr">
        <is>
          <t>Antes de 2026</t>
        </is>
      </c>
      <c r="D774" t="inlineStr">
        <is>
          <t>Antes de 2026</t>
        </is>
      </c>
      <c r="E774" s="28" t="n">
        <v>45341</v>
      </c>
      <c r="F774" t="inlineStr">
        <is>
          <t>NF-e</t>
        </is>
      </c>
      <c r="G774" t="inlineStr">
        <is>
          <t>000001024</t>
        </is>
      </c>
      <c r="H774" t="inlineStr">
        <is>
          <t>J S IND DE EMBALAGENS E ETIQUETAS LTDA</t>
        </is>
      </c>
      <c r="I774" t="inlineStr">
        <is>
          <t>26.215.476/0001-33</t>
        </is>
      </c>
      <c r="J774" s="29" t="n">
        <v>5856</v>
      </c>
      <c r="K774" t="inlineStr">
        <is>
          <t>1.556</t>
        </is>
      </c>
      <c r="L774" t="inlineStr">
        <is>
          <t>Não</t>
        </is>
      </c>
      <c r="M774" t="inlineStr">
        <is>
          <t>Compra/outras</t>
        </is>
      </c>
    </row>
    <row r="775">
      <c r="A775" t="inlineStr">
        <is>
          <t>Transferência (0.01)</t>
        </is>
      </c>
      <c r="B775" t="inlineStr">
        <is>
          <t>0.01.01 Entrada de Transferência</t>
        </is>
      </c>
      <c r="C775" t="inlineStr">
        <is>
          <t>Antes de 2026</t>
        </is>
      </c>
      <c r="D775" t="inlineStr">
        <is>
          <t>Antes de 2026</t>
        </is>
      </c>
      <c r="E775" s="28" t="n">
        <v>45342</v>
      </c>
      <c r="F775" t="inlineStr">
        <is>
          <t>NF-e</t>
        </is>
      </c>
      <c r="G775" t="inlineStr">
        <is>
          <t>000029602</t>
        </is>
      </c>
      <c r="H775" t="inlineStr">
        <is>
          <t>MAIN DESCARTAVEIS E BONBONNIERE</t>
        </is>
      </c>
      <c r="I775" t="inlineStr">
        <is>
          <t>40.959.553/0001-90</t>
        </is>
      </c>
      <c r="J775" s="29" t="n">
        <v>3097.5</v>
      </c>
      <c r="K775" t="inlineStr">
        <is>
          <t>1.556</t>
        </is>
      </c>
      <c r="L775" t="inlineStr">
        <is>
          <t>Não</t>
        </is>
      </c>
      <c r="M775" t="inlineStr">
        <is>
          <t>Compra/outras</t>
        </is>
      </c>
    </row>
    <row r="776">
      <c r="A776" t="inlineStr">
        <is>
          <t>Transferência (0.01)</t>
        </is>
      </c>
      <c r="B776" t="inlineStr">
        <is>
          <t>0.01.02 Saída de Transferência</t>
        </is>
      </c>
      <c r="C776" t="inlineStr">
        <is>
          <t>Antes de 2026</t>
        </is>
      </c>
      <c r="D776" t="inlineStr">
        <is>
          <t>Antes de 2026</t>
        </is>
      </c>
      <c r="E776" s="28" t="n">
        <v>45331</v>
      </c>
      <c r="F776" t="inlineStr">
        <is>
          <t>NF-e</t>
        </is>
      </c>
      <c r="G776" t="inlineStr">
        <is>
          <t>000029558</t>
        </is>
      </c>
      <c r="H776" t="inlineStr">
        <is>
          <t>MAIN DESCARTAVEIS E BONBONNIERE</t>
        </is>
      </c>
      <c r="I776" t="inlineStr">
        <is>
          <t>40.959.553/0001-90</t>
        </is>
      </c>
      <c r="J776" s="29" t="n">
        <v>75.90000000000001</v>
      </c>
      <c r="K776" t="inlineStr">
        <is>
          <t>1.556</t>
        </is>
      </c>
      <c r="L776" t="inlineStr">
        <is>
          <t>Não</t>
        </is>
      </c>
      <c r="M776" t="inlineStr">
        <is>
          <t>Compra/outras</t>
        </is>
      </c>
    </row>
    <row r="777">
      <c r="A777" t="inlineStr">
        <is>
          <t>Transferência (0.01)</t>
        </is>
      </c>
      <c r="B777" t="inlineStr">
        <is>
          <t>0.01.01 Entrada de Transferência</t>
        </is>
      </c>
      <c r="C777" t="inlineStr">
        <is>
          <t>Antes de 2026</t>
        </is>
      </c>
      <c r="D777" t="inlineStr">
        <is>
          <t>Antes de 2026</t>
        </is>
      </c>
      <c r="E777" s="28" t="n">
        <v>45342</v>
      </c>
      <c r="F777" t="inlineStr">
        <is>
          <t>NF-e</t>
        </is>
      </c>
      <c r="G777" t="inlineStr">
        <is>
          <t>000027808</t>
        </is>
      </c>
      <c r="H777" t="inlineStr">
        <is>
          <t>MAINPLAST DESCARTAVEIS LTDA</t>
        </is>
      </c>
      <c r="I777" t="inlineStr">
        <is>
          <t>04.684.282/0001-44</t>
        </is>
      </c>
      <c r="J777" s="29" t="n">
        <v>3118.15</v>
      </c>
      <c r="K777" t="inlineStr">
        <is>
          <t>1.556</t>
        </is>
      </c>
      <c r="L777" t="inlineStr">
        <is>
          <t>Não</t>
        </is>
      </c>
      <c r="M777" t="inlineStr">
        <is>
          <t>Compra/outras</t>
        </is>
      </c>
    </row>
    <row r="778">
      <c r="A778" t="inlineStr">
        <is>
          <t>Transferência (0.01)</t>
        </is>
      </c>
      <c r="B778" t="inlineStr">
        <is>
          <t>0.01.02 Saída de Transferência</t>
        </is>
      </c>
      <c r="C778" t="inlineStr">
        <is>
          <t>Antes de 2026</t>
        </is>
      </c>
      <c r="D778" t="inlineStr">
        <is>
          <t>Antes de 2026</t>
        </is>
      </c>
      <c r="E778" s="28" t="n">
        <v>45324</v>
      </c>
      <c r="F778" t="inlineStr">
        <is>
          <t>NF-e</t>
        </is>
      </c>
      <c r="G778" t="inlineStr">
        <is>
          <t>000027141</t>
        </is>
      </c>
      <c r="H778" t="inlineStr">
        <is>
          <t>MIRANDA COMPUTACAO E COMERCIO LTDA</t>
        </is>
      </c>
      <c r="I778" t="inlineStr">
        <is>
          <t>11.982.113/0011-28</t>
        </is>
      </c>
      <c r="J778" s="29" t="n">
        <v>9832</v>
      </c>
      <c r="K778" t="inlineStr">
        <is>
          <t>1.556</t>
        </is>
      </c>
      <c r="L778" t="inlineStr">
        <is>
          <t>Não</t>
        </is>
      </c>
      <c r="M778" t="inlineStr">
        <is>
          <t>Entrega futura (x.116/x.117)</t>
        </is>
      </c>
    </row>
    <row r="779">
      <c r="A779" t="inlineStr">
        <is>
          <t>Transferência (0.01)</t>
        </is>
      </c>
      <c r="B779" t="inlineStr">
        <is>
          <t>0.01.02 Saída de Transferência</t>
        </is>
      </c>
      <c r="C779" t="inlineStr">
        <is>
          <t>Antes de 2026</t>
        </is>
      </c>
      <c r="D779" t="inlineStr">
        <is>
          <t>Antes de 2026</t>
        </is>
      </c>
      <c r="E779" s="28" t="n">
        <v>45350</v>
      </c>
      <c r="F779" t="inlineStr">
        <is>
          <t>NF-e</t>
        </is>
      </c>
      <c r="G779" t="inlineStr">
        <is>
          <t>000027522</t>
        </is>
      </c>
      <c r="H779" t="inlineStr">
        <is>
          <t>MIRANDA COMPUTACAO E COMERCIO LTDA</t>
        </is>
      </c>
      <c r="I779" t="inlineStr">
        <is>
          <t>11.982.113/0011-28</t>
        </is>
      </c>
      <c r="J779" s="29" t="n">
        <v>472.31</v>
      </c>
      <c r="K779" t="inlineStr">
        <is>
          <t>1.556</t>
        </is>
      </c>
      <c r="L779" t="inlineStr">
        <is>
          <t>Não</t>
        </is>
      </c>
      <c r="M779" t="inlineStr">
        <is>
          <t>Compra/outras</t>
        </is>
      </c>
    </row>
    <row r="780">
      <c r="A780" t="inlineStr">
        <is>
          <t>Transferência (0.01)</t>
        </is>
      </c>
      <c r="B780" t="inlineStr">
        <is>
          <t>0.01.02 Saída de Transferência</t>
        </is>
      </c>
      <c r="C780" t="inlineStr">
        <is>
          <t>Antes de 2026</t>
        </is>
      </c>
      <c r="D780" t="inlineStr">
        <is>
          <t>Antes de 2026</t>
        </is>
      </c>
      <c r="E780" s="28" t="n">
        <v>45345</v>
      </c>
      <c r="F780" t="inlineStr">
        <is>
          <t>NF-e</t>
        </is>
      </c>
      <c r="G780" t="inlineStr">
        <is>
          <t>000214552</t>
        </is>
      </c>
      <c r="H780" t="inlineStr">
        <is>
          <t>NORDIFE MATERIAIS ELETRICOS LTDA</t>
        </is>
      </c>
      <c r="I780" t="inlineStr">
        <is>
          <t>35.589.365/0004-20</t>
        </is>
      </c>
      <c r="J780" s="29" t="n">
        <v>811.3</v>
      </c>
      <c r="K780" t="inlineStr">
        <is>
          <t>1.556</t>
        </is>
      </c>
      <c r="L780" t="inlineStr">
        <is>
          <t>Não</t>
        </is>
      </c>
      <c r="M780" t="inlineStr">
        <is>
          <t>Compra/outras</t>
        </is>
      </c>
    </row>
    <row r="781">
      <c r="A781" t="inlineStr">
        <is>
          <t>Transferência (0.01)</t>
        </is>
      </c>
      <c r="B781" t="inlineStr">
        <is>
          <t>0.01.02 Saída de Transferência</t>
        </is>
      </c>
      <c r="C781" t="inlineStr">
        <is>
          <t>Antes de 2026</t>
        </is>
      </c>
      <c r="D781" t="inlineStr">
        <is>
          <t>Antes de 2026</t>
        </is>
      </c>
      <c r="E781" s="28" t="n">
        <v>45349</v>
      </c>
      <c r="F781" t="inlineStr">
        <is>
          <t>NF-e</t>
        </is>
      </c>
      <c r="G781" t="inlineStr">
        <is>
          <t>000000330</t>
        </is>
      </c>
      <c r="H781" t="inlineStr">
        <is>
          <t>PB FERRAMENTAS SERVICOS E COMERCIO LTDA</t>
        </is>
      </c>
      <c r="I781" t="inlineStr">
        <is>
          <t>48.194.962/0001-55</t>
        </is>
      </c>
      <c r="J781" s="29" t="n">
        <v>2060</v>
      </c>
      <c r="K781" t="inlineStr">
        <is>
          <t>1.556</t>
        </is>
      </c>
      <c r="L781" t="inlineStr">
        <is>
          <t>Não</t>
        </is>
      </c>
      <c r="M781" t="inlineStr">
        <is>
          <t>Compra/outras</t>
        </is>
      </c>
    </row>
    <row r="782">
      <c r="A782" t="inlineStr">
        <is>
          <t>Transferência (0.01)</t>
        </is>
      </c>
      <c r="B782" t="inlineStr">
        <is>
          <t>0.01.02 Saída de Transferência</t>
        </is>
      </c>
      <c r="C782" t="inlineStr">
        <is>
          <t>Antes de 2026</t>
        </is>
      </c>
      <c r="D782" t="inlineStr">
        <is>
          <t>Antes de 2026</t>
        </is>
      </c>
      <c r="E782" s="28" t="n">
        <v>45328</v>
      </c>
      <c r="F782" t="inlineStr">
        <is>
          <t>NF-e</t>
        </is>
      </c>
      <c r="G782" t="inlineStr">
        <is>
          <t>000001771</t>
        </is>
      </c>
      <c r="H782" t="inlineStr">
        <is>
          <t>PRODUTOS, SERVICOS E TINTAS LATINOAMERICANOS PROYSA LTDA</t>
        </is>
      </c>
      <c r="I782" t="inlineStr">
        <is>
          <t>39.345.175/0001-76</t>
        </is>
      </c>
      <c r="J782" s="29" t="n">
        <v>39280.4</v>
      </c>
      <c r="K782" t="inlineStr">
        <is>
          <t>1.556</t>
        </is>
      </c>
      <c r="L782" t="inlineStr">
        <is>
          <t>Não</t>
        </is>
      </c>
      <c r="M782" t="inlineStr">
        <is>
          <t>Compra/outras</t>
        </is>
      </c>
    </row>
    <row r="783">
      <c r="A783" t="inlineStr">
        <is>
          <t>Transferência (0.01)</t>
        </is>
      </c>
      <c r="B783" t="inlineStr">
        <is>
          <t>0.01.02 Saída de Transferência</t>
        </is>
      </c>
      <c r="C783" t="inlineStr">
        <is>
          <t>Antes de 2026</t>
        </is>
      </c>
      <c r="D783" t="inlineStr">
        <is>
          <t>Antes de 2026</t>
        </is>
      </c>
      <c r="E783" s="28" t="n">
        <v>45329</v>
      </c>
      <c r="F783" t="inlineStr">
        <is>
          <t>NF-e</t>
        </is>
      </c>
      <c r="G783" t="inlineStr">
        <is>
          <t>000001779</t>
        </is>
      </c>
      <c r="H783" t="inlineStr">
        <is>
          <t>PRODUTOS, SERVICOS E TINTAS LATINOAMERICANOS PROYSA LTDA</t>
        </is>
      </c>
      <c r="I783" t="inlineStr">
        <is>
          <t>39.345.175/0001-76</t>
        </is>
      </c>
      <c r="J783" s="29" t="n">
        <v>39509.6</v>
      </c>
      <c r="K783" t="inlineStr">
        <is>
          <t>1.556</t>
        </is>
      </c>
      <c r="L783" t="inlineStr">
        <is>
          <t>Não</t>
        </is>
      </c>
      <c r="M783" t="inlineStr">
        <is>
          <t>Compra/outras</t>
        </is>
      </c>
    </row>
    <row r="784">
      <c r="A784" t="inlineStr">
        <is>
          <t>Transferência (0.01)</t>
        </is>
      </c>
      <c r="B784" t="inlineStr">
        <is>
          <t>0.01.02 Saída de Transferência</t>
        </is>
      </c>
      <c r="C784" t="inlineStr">
        <is>
          <t>Antes de 2026</t>
        </is>
      </c>
      <c r="D784" t="inlineStr">
        <is>
          <t>Antes de 2026</t>
        </is>
      </c>
      <c r="E784" s="28" t="n">
        <v>45345</v>
      </c>
      <c r="F784" t="inlineStr">
        <is>
          <t>NF-e</t>
        </is>
      </c>
      <c r="G784" t="inlineStr">
        <is>
          <t>000016701</t>
        </is>
      </c>
      <c r="H784" t="inlineStr">
        <is>
          <t>REQUIM PRODUTOS QUIMICOS LTDA</t>
        </is>
      </c>
      <c r="I784" t="inlineStr">
        <is>
          <t>06.935.804/0001-69</t>
        </is>
      </c>
      <c r="J784" s="29" t="n">
        <v>17491</v>
      </c>
      <c r="K784" t="inlineStr">
        <is>
          <t>1.556</t>
        </is>
      </c>
      <c r="L784" t="inlineStr">
        <is>
          <t>Não</t>
        </is>
      </c>
      <c r="M784" t="inlineStr">
        <is>
          <t>Compra/outras</t>
        </is>
      </c>
    </row>
    <row r="785">
      <c r="A785" t="inlineStr">
        <is>
          <t>Transferência (0.01)</t>
        </is>
      </c>
      <c r="B785" t="inlineStr">
        <is>
          <t>0.01.02 Saída de Transferência</t>
        </is>
      </c>
      <c r="C785" t="inlineStr">
        <is>
          <t>Antes de 2026</t>
        </is>
      </c>
      <c r="D785" t="inlineStr">
        <is>
          <t>Antes de 2026</t>
        </is>
      </c>
      <c r="E785" s="28" t="n">
        <v>45323</v>
      </c>
      <c r="F785" t="inlineStr">
        <is>
          <t>NF-e</t>
        </is>
      </c>
      <c r="G785" t="inlineStr">
        <is>
          <t>000000157</t>
        </is>
      </c>
      <c r="H785" t="inlineStr">
        <is>
          <t>RUAN REBERT CORDEIRO DA SILVA RESTAURANTE LTDA</t>
        </is>
      </c>
      <c r="I785" t="inlineStr">
        <is>
          <t>51.184.847/0001-04</t>
        </is>
      </c>
      <c r="J785" s="29" t="n">
        <v>958</v>
      </c>
      <c r="K785" t="inlineStr">
        <is>
          <t>1.556</t>
        </is>
      </c>
      <c r="L785" t="inlineStr">
        <is>
          <t>Não</t>
        </is>
      </c>
      <c r="M785" t="inlineStr">
        <is>
          <t>Compra/outras</t>
        </is>
      </c>
    </row>
    <row r="786">
      <c r="A786" t="inlineStr">
        <is>
          <t>Transferência (0.01)</t>
        </is>
      </c>
      <c r="B786" t="inlineStr">
        <is>
          <t>0.01.02 Saída de Transferência</t>
        </is>
      </c>
      <c r="C786" t="inlineStr">
        <is>
          <t>Antes de 2026</t>
        </is>
      </c>
      <c r="D786" t="inlineStr">
        <is>
          <t>Antes de 2026</t>
        </is>
      </c>
      <c r="E786" s="28" t="n">
        <v>45331</v>
      </c>
      <c r="F786" t="inlineStr">
        <is>
          <t>NF-e</t>
        </is>
      </c>
      <c r="G786" t="inlineStr">
        <is>
          <t>000000165</t>
        </is>
      </c>
      <c r="H786" t="inlineStr">
        <is>
          <t>RUAN REBERT CORDEIRO DA SILVA RESTAURANTE LTDA</t>
        </is>
      </c>
      <c r="I786" t="inlineStr">
        <is>
          <t>51.184.847/0001-04</t>
        </is>
      </c>
      <c r="J786" s="29" t="n">
        <v>933</v>
      </c>
      <c r="K786" t="inlineStr">
        <is>
          <t>1.556</t>
        </is>
      </c>
      <c r="L786" t="inlineStr">
        <is>
          <t>Não</t>
        </is>
      </c>
      <c r="M786" t="inlineStr">
        <is>
          <t>Compra/outras</t>
        </is>
      </c>
    </row>
    <row r="787">
      <c r="A787" t="inlineStr">
        <is>
          <t>Transferência (0.01)</t>
        </is>
      </c>
      <c r="B787" t="inlineStr">
        <is>
          <t>0.01.02 Saída de Transferência</t>
        </is>
      </c>
      <c r="C787" t="inlineStr">
        <is>
          <t>Antes de 2026</t>
        </is>
      </c>
      <c r="D787" t="inlineStr">
        <is>
          <t>Antes de 2026</t>
        </is>
      </c>
      <c r="E787" s="28" t="n">
        <v>45338</v>
      </c>
      <c r="F787" t="inlineStr">
        <is>
          <t>NF-e</t>
        </is>
      </c>
      <c r="G787" t="inlineStr">
        <is>
          <t>000000171</t>
        </is>
      </c>
      <c r="H787" t="inlineStr">
        <is>
          <t>RUAN REBERT CORDEIRO DA SILVA RESTAURANTE LTDA</t>
        </is>
      </c>
      <c r="I787" t="inlineStr">
        <is>
          <t>51.184.847/0001-04</t>
        </is>
      </c>
      <c r="J787" s="29" t="n">
        <v>51</v>
      </c>
      <c r="K787" t="inlineStr">
        <is>
          <t>1.556</t>
        </is>
      </c>
      <c r="L787" t="inlineStr">
        <is>
          <t>Não</t>
        </is>
      </c>
      <c r="M787" t="inlineStr">
        <is>
          <t>Compra/outras</t>
        </is>
      </c>
    </row>
    <row r="788">
      <c r="A788" t="inlineStr">
        <is>
          <t>Transferência (0.01)</t>
        </is>
      </c>
      <c r="B788" t="inlineStr">
        <is>
          <t>0.01.02 Saída de Transferência</t>
        </is>
      </c>
      <c r="C788" t="inlineStr">
        <is>
          <t>Antes de 2026</t>
        </is>
      </c>
      <c r="D788" t="inlineStr">
        <is>
          <t>Antes de 2026</t>
        </is>
      </c>
      <c r="E788" s="28" t="n">
        <v>45344</v>
      </c>
      <c r="F788" t="inlineStr">
        <is>
          <t>NF-e</t>
        </is>
      </c>
      <c r="G788" t="inlineStr">
        <is>
          <t>000000180</t>
        </is>
      </c>
      <c r="H788" t="inlineStr">
        <is>
          <t>RUAN REBERT CORDEIRO DA SILVA RESTAURANTE LTDA</t>
        </is>
      </c>
      <c r="I788" t="inlineStr">
        <is>
          <t>51.184.847/0001-04</t>
        </is>
      </c>
      <c r="J788" s="29" t="n">
        <v>456</v>
      </c>
      <c r="K788" t="inlineStr">
        <is>
          <t>1.556</t>
        </is>
      </c>
      <c r="L788" t="inlineStr">
        <is>
          <t>Não</t>
        </is>
      </c>
      <c r="M788" t="inlineStr">
        <is>
          <t>Compra/outras</t>
        </is>
      </c>
    </row>
    <row r="789">
      <c r="A789" t="inlineStr">
        <is>
          <t>Transferência (0.01)</t>
        </is>
      </c>
      <c r="B789" t="inlineStr">
        <is>
          <t>0.01.02 Saída de Transferência</t>
        </is>
      </c>
      <c r="C789" t="inlineStr">
        <is>
          <t>Antes de 2026</t>
        </is>
      </c>
      <c r="D789" t="inlineStr">
        <is>
          <t>Antes de 2026</t>
        </is>
      </c>
      <c r="E789" s="28" t="n">
        <v>45329</v>
      </c>
      <c r="F789" t="inlineStr">
        <is>
          <t>NF-e</t>
        </is>
      </c>
      <c r="G789" t="inlineStr">
        <is>
          <t>000001977</t>
        </is>
      </c>
      <c r="H789" t="inlineStr">
        <is>
          <t>RVDA COMERCIO E SERVICOS LTDA</t>
        </is>
      </c>
      <c r="I789" t="inlineStr">
        <is>
          <t>41.830.614/0001-88</t>
        </is>
      </c>
      <c r="J789" s="29" t="n">
        <v>211.3</v>
      </c>
      <c r="K789" t="inlineStr">
        <is>
          <t>1.556</t>
        </is>
      </c>
      <c r="L789" t="inlineStr">
        <is>
          <t>Não</t>
        </is>
      </c>
      <c r="M789" t="inlineStr">
        <is>
          <t>Compra/outras</t>
        </is>
      </c>
    </row>
    <row r="790">
      <c r="A790" t="inlineStr">
        <is>
          <t>Transferência (0.01)</t>
        </is>
      </c>
      <c r="B790" t="inlineStr">
        <is>
          <t>0.01.02 Saída de Transferência</t>
        </is>
      </c>
      <c r="C790" t="inlineStr">
        <is>
          <t>Antes de 2026</t>
        </is>
      </c>
      <c r="D790" t="inlineStr">
        <is>
          <t>Antes de 2026</t>
        </is>
      </c>
      <c r="E790" s="28" t="n">
        <v>45338</v>
      </c>
      <c r="F790" t="inlineStr">
        <is>
          <t>NF-e</t>
        </is>
      </c>
      <c r="G790" t="inlineStr">
        <is>
          <t>000002014</t>
        </is>
      </c>
      <c r="H790" t="inlineStr">
        <is>
          <t>RVDA COMERCIO E SERVICOS LTDA</t>
        </is>
      </c>
      <c r="I790" t="inlineStr">
        <is>
          <t>41.830.614/0001-88</t>
        </is>
      </c>
      <c r="J790" s="29" t="n">
        <v>135</v>
      </c>
      <c r="K790" t="inlineStr">
        <is>
          <t>1.556</t>
        </is>
      </c>
      <c r="L790" t="inlineStr">
        <is>
          <t>Não</t>
        </is>
      </c>
      <c r="M790" t="inlineStr">
        <is>
          <t>Compra/outras</t>
        </is>
      </c>
    </row>
    <row r="791">
      <c r="A791" t="inlineStr">
        <is>
          <t>Transferência (0.01)</t>
        </is>
      </c>
      <c r="B791" t="inlineStr">
        <is>
          <t>0.01.02 Saída de Transferência</t>
        </is>
      </c>
      <c r="C791" t="inlineStr">
        <is>
          <t>Antes de 2026</t>
        </is>
      </c>
      <c r="D791" t="inlineStr">
        <is>
          <t>Antes de 2026</t>
        </is>
      </c>
      <c r="E791" s="28" t="n">
        <v>45338</v>
      </c>
      <c r="F791" t="inlineStr">
        <is>
          <t>NF-e</t>
        </is>
      </c>
      <c r="G791" t="inlineStr">
        <is>
          <t>000158247</t>
        </is>
      </c>
      <c r="H791" t="inlineStr">
        <is>
          <t>SANTA MARIA CIA DE PAPEL E CELULOSE</t>
        </is>
      </c>
      <c r="I791" t="inlineStr">
        <is>
          <t>77.887.917/0001-84</t>
        </is>
      </c>
      <c r="J791" s="29" t="n">
        <v>293006.46</v>
      </c>
      <c r="K791" t="inlineStr">
        <is>
          <t>1.556</t>
        </is>
      </c>
      <c r="L791" t="inlineStr">
        <is>
          <t>Não</t>
        </is>
      </c>
      <c r="M791" t="inlineStr">
        <is>
          <t>Compra/outras</t>
        </is>
      </c>
    </row>
    <row r="792">
      <c r="A792" t="inlineStr">
        <is>
          <t>Transferência (0.01)</t>
        </is>
      </c>
      <c r="B792" t="inlineStr">
        <is>
          <t>0.01.01 Entrada de Transferência</t>
        </is>
      </c>
      <c r="C792" t="inlineStr">
        <is>
          <t>Antes de 2026</t>
        </is>
      </c>
      <c r="D792" t="inlineStr">
        <is>
          <t>Antes de 2026</t>
        </is>
      </c>
      <c r="E792" s="28" t="n">
        <v>45295</v>
      </c>
      <c r="F792" t="inlineStr">
        <is>
          <t>NF-e</t>
        </is>
      </c>
      <c r="G792" t="inlineStr">
        <is>
          <t>000001829</t>
        </is>
      </c>
      <c r="H792" t="inlineStr">
        <is>
          <t>STAMP DISTRIBUIDORA DE EMBALAGENS DE PAPEL E DESCARTAVEI...</t>
        </is>
      </c>
      <c r="I792" t="inlineStr">
        <is>
          <t>48.984.362/0001-90</t>
        </is>
      </c>
      <c r="J792" s="29" t="n">
        <v>4545.05</v>
      </c>
      <c r="K792" t="inlineStr">
        <is>
          <t>1.556</t>
        </is>
      </c>
      <c r="L792" t="inlineStr">
        <is>
          <t>Não</t>
        </is>
      </c>
      <c r="M792" t="inlineStr">
        <is>
          <t>Compra/outras</t>
        </is>
      </c>
    </row>
    <row r="793">
      <c r="A793" t="inlineStr">
        <is>
          <t>Transferência (0.01)</t>
        </is>
      </c>
      <c r="B793" t="inlineStr">
        <is>
          <t>0.01.02 Saída de Transferência</t>
        </is>
      </c>
      <c r="C793" t="inlineStr">
        <is>
          <t>Antes de 2026</t>
        </is>
      </c>
      <c r="D793" t="inlineStr">
        <is>
          <t>Antes de 2026</t>
        </is>
      </c>
      <c r="E793" s="28" t="n">
        <v>45345</v>
      </c>
      <c r="F793" t="inlineStr">
        <is>
          <t>NF-e</t>
        </is>
      </c>
      <c r="G793" t="inlineStr">
        <is>
          <t>000012970</t>
        </is>
      </c>
      <c r="H793" t="inlineStr">
        <is>
          <t>TURBO FREIO SERVICOS E COMERCIO AUTOMOTIVOS LTDA - ME</t>
        </is>
      </c>
      <c r="I793" t="inlineStr">
        <is>
          <t>03.424.615/0001-33</t>
        </is>
      </c>
      <c r="J793" s="29" t="n">
        <v>1330</v>
      </c>
      <c r="K793" t="inlineStr">
        <is>
          <t>1.556</t>
        </is>
      </c>
      <c r="L793" t="inlineStr">
        <is>
          <t>Não</t>
        </is>
      </c>
      <c r="M793" t="inlineStr">
        <is>
          <t>Compra/outras</t>
        </is>
      </c>
    </row>
    <row r="794">
      <c r="A794" t="inlineStr">
        <is>
          <t>Transferência (0.01)</t>
        </is>
      </c>
      <c r="B794" t="inlineStr">
        <is>
          <t>0.01.02 Saída de Transferência</t>
        </is>
      </c>
      <c r="C794" t="inlineStr">
        <is>
          <t>Antes de 2026</t>
        </is>
      </c>
      <c r="D794" t="inlineStr">
        <is>
          <t>Antes de 2026</t>
        </is>
      </c>
      <c r="E794" s="28" t="n">
        <v>45345</v>
      </c>
      <c r="F794" t="inlineStr">
        <is>
          <t>NF-e</t>
        </is>
      </c>
      <c r="G794" t="inlineStr">
        <is>
          <t>000012971</t>
        </is>
      </c>
      <c r="H794" t="inlineStr">
        <is>
          <t>TURBO FREIO SERVICOS E COMERCIO AUTOMOTIVOS LTDA - ME</t>
        </is>
      </c>
      <c r="I794" t="inlineStr">
        <is>
          <t>03.424.615/0001-33</t>
        </is>
      </c>
      <c r="J794" s="29" t="n">
        <v>125</v>
      </c>
      <c r="K794" t="inlineStr">
        <is>
          <t>1.556</t>
        </is>
      </c>
      <c r="L794" t="inlineStr">
        <is>
          <t>Não</t>
        </is>
      </c>
      <c r="M794" t="inlineStr">
        <is>
          <t>Compra/outras</t>
        </is>
      </c>
    </row>
  </sheetData>
  <autoFilter ref="A1:N7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7" customWidth="1" min="3" max="3"/>
    <col width="7" customWidth="1" min="4" max="4"/>
    <col width="7" customWidth="1" min="5" max="5"/>
    <col width="9" customWidth="1" min="6" max="6"/>
    <col width="14" customWidth="1" min="7" max="7"/>
    <col width="110" customWidth="1" min="8" max="8"/>
  </cols>
  <sheetData>
    <row r="1">
      <c r="A1" s="17" t="inlineStr">
        <is>
          <t>Premissas – créditos de impostos recuperáveis abatidos do custo</t>
        </is>
      </c>
    </row>
    <row r="2">
      <c r="A2" t="inlineStr">
        <is>
          <t>1 = abate o imposto destacado do custo; 0 = não abate. Células azuis são editáveis e recalculam Lançamentos, Resumo geral e abas de categoria. Chave = Categoria + Subcategoria da aba Lançamentos.</t>
        </is>
      </c>
    </row>
    <row r="3"/>
    <row r="4">
      <c r="A4" s="4" t="inlineStr">
        <is>
          <t>Categoria</t>
        </is>
      </c>
      <c r="B4" s="5" t="inlineStr">
        <is>
          <t>Subcategoria</t>
        </is>
      </c>
      <c r="C4" s="5" t="inlineStr">
        <is>
          <t>IPI</t>
        </is>
      </c>
      <c r="D4" s="5" t="inlineStr">
        <is>
          <t>ICMS</t>
        </is>
      </c>
      <c r="E4" s="5" t="inlineStr">
        <is>
          <t>PIS</t>
        </is>
      </c>
      <c r="F4" s="5" t="inlineStr">
        <is>
          <t>COFINS</t>
        </is>
      </c>
      <c r="G4" s="5" t="inlineStr">
        <is>
          <t>Nº lançamentos</t>
        </is>
      </c>
      <c r="H4" s="5" t="inlineStr">
        <is>
          <t>Justificativa fiscal</t>
        </is>
      </c>
    </row>
    <row r="5">
      <c r="A5" t="inlineStr">
        <is>
          <t>Insumos e papel</t>
        </is>
      </c>
      <c r="B5" t="inlineStr">
        <is>
          <t>2.01.03 Compra de Matéria Prima (Papel)</t>
        </is>
      </c>
      <c r="C5" s="31" t="n">
        <v>1</v>
      </c>
      <c r="D5" s="31" t="n">
        <v>1</v>
      </c>
      <c r="E5" s="31" t="n">
        <v>1</v>
      </c>
      <c r="F5" s="31" t="n">
        <v>1</v>
      </c>
      <c r="G5">
        <f>COUNTIFS('Lançamentos'!$A$2:$A$5010,$A5,'Lançamentos'!$B$2:$B$5010,$B5)</f>
        <v/>
      </c>
      <c r="H5" s="2" t="inlineStr">
        <is>
          <t>Insumo de produção (Lucro Real, não cumulativo): crédito de IPI, ICMS, PIS e COFINS destacados. Sem crédito de ICMS/IPI se o CFOP de entrada for x.556.</t>
        </is>
      </c>
    </row>
    <row r="6">
      <c r="A6" t="inlineStr">
        <is>
          <t>Insumos e papel</t>
        </is>
      </c>
      <c r="B6" t="inlineStr">
        <is>
          <t>2.01.79 Compra de Gás</t>
        </is>
      </c>
      <c r="C6" s="31" t="n">
        <v>1</v>
      </c>
      <c r="D6" s="31" t="n">
        <v>1</v>
      </c>
      <c r="E6" s="31" t="n">
        <v>1</v>
      </c>
      <c r="F6" s="31" t="n">
        <v>1</v>
      </c>
      <c r="G6">
        <f>COUNTIFS('Lançamentos'!$A$2:$A$5010,$A6,'Lançamentos'!$B$2:$B$5010,$B6)</f>
        <v/>
      </c>
      <c r="H6" s="2" t="inlineStr">
        <is>
          <t>Insumo de produção (Lucro Real, não cumulativo): crédito de IPI, ICMS, PIS e COFINS destacados. Sem crédito de ICMS/IPI se o CFOP de entrada for x.556.</t>
        </is>
      </c>
    </row>
    <row r="7">
      <c r="A7" t="inlineStr">
        <is>
          <t>Insumos e papel</t>
        </is>
      </c>
      <c r="B7" t="inlineStr">
        <is>
          <t>2.01.83 Compra de Etiqueta Personalizada</t>
        </is>
      </c>
      <c r="C7" s="31" t="n">
        <v>1</v>
      </c>
      <c r="D7" s="31" t="n">
        <v>1</v>
      </c>
      <c r="E7" s="31" t="n">
        <v>1</v>
      </c>
      <c r="F7" s="31" t="n">
        <v>1</v>
      </c>
      <c r="G7">
        <f>COUNTIFS('Lançamentos'!$A$2:$A$5010,$A7,'Lançamentos'!$B$2:$B$5010,$B7)</f>
        <v/>
      </c>
      <c r="H7" s="2" t="inlineStr">
        <is>
          <t>Insumo de produção (Lucro Real, não cumulativo): crédito de IPI, ICMS, PIS e COFINS destacados. Sem crédito de ICMS/IPI se o CFOP de entrada for x.556.</t>
        </is>
      </c>
    </row>
    <row r="8">
      <c r="A8" t="inlineStr">
        <is>
          <t>Insumos e papel</t>
        </is>
      </c>
      <c r="B8" t="inlineStr">
        <is>
          <t>2.01.89 Compra de Pallet</t>
        </is>
      </c>
      <c r="C8" s="31" t="n">
        <v>1</v>
      </c>
      <c r="D8" s="31" t="n">
        <v>1</v>
      </c>
      <c r="E8" s="31" t="n">
        <v>1</v>
      </c>
      <c r="F8" s="31" t="n">
        <v>1</v>
      </c>
      <c r="G8">
        <f>COUNTIFS('Lançamentos'!$A$2:$A$5010,$A8,'Lançamentos'!$B$2:$B$5010,$B8)</f>
        <v/>
      </c>
      <c r="H8" s="2" t="inlineStr">
        <is>
          <t>Insumo de produção (Lucro Real, não cumulativo): crédito de IPI, ICMS, PIS e COFINS destacados. Sem crédito de ICMS/IPI se o CFOP de entrada for x.556.</t>
        </is>
      </c>
    </row>
    <row r="9">
      <c r="A9" t="inlineStr">
        <is>
          <t>Insumos e papel</t>
        </is>
      </c>
      <c r="B9" t="inlineStr">
        <is>
          <t>2.01.91 Compra de Filme Strech</t>
        </is>
      </c>
      <c r="C9" s="31" t="n">
        <v>1</v>
      </c>
      <c r="D9" s="31" t="n">
        <v>1</v>
      </c>
      <c r="E9" s="31" t="n">
        <v>1</v>
      </c>
      <c r="F9" s="31" t="n">
        <v>1</v>
      </c>
      <c r="G9">
        <f>COUNTIFS('Lançamentos'!$A$2:$A$5010,$A9,'Lançamentos'!$B$2:$B$5010,$B9)</f>
        <v/>
      </c>
      <c r="H9" s="2" t="inlineStr">
        <is>
          <t>Insumo de produção (Lucro Real, não cumulativo): crédito de IPI, ICMS, PIS e COFINS destacados. Sem crédito de ICMS/IPI se o CFOP de entrada for x.556.</t>
        </is>
      </c>
    </row>
    <row r="10">
      <c r="A10" t="inlineStr">
        <is>
          <t>Insumos e papel</t>
        </is>
      </c>
      <c r="B10" t="inlineStr">
        <is>
          <t>2.01.92 Compra de Tinta</t>
        </is>
      </c>
      <c r="C10" s="31" t="n">
        <v>1</v>
      </c>
      <c r="D10" s="31" t="n">
        <v>1</v>
      </c>
      <c r="E10" s="31" t="n">
        <v>1</v>
      </c>
      <c r="F10" s="31" t="n">
        <v>1</v>
      </c>
      <c r="G10">
        <f>COUNTIFS('Lançamentos'!$A$2:$A$5010,$A10,'Lançamentos'!$B$2:$B$5010,$B10)</f>
        <v/>
      </c>
      <c r="H10" s="2" t="inlineStr">
        <is>
          <t>Insumo de produção (Lucro Real, não cumulativo): crédito de IPI, ICMS, PIS e COFINS destacados. Sem crédito de ICMS/IPI se o CFOP de entrada for x.556.</t>
        </is>
      </c>
    </row>
    <row r="11">
      <c r="A11" t="inlineStr">
        <is>
          <t>Insumos e papel</t>
        </is>
      </c>
      <c r="B11" t="inlineStr">
        <is>
          <t>2.01.93 Compra de Plástico Poliolefínico</t>
        </is>
      </c>
      <c r="C11" s="31" t="n">
        <v>1</v>
      </c>
      <c r="D11" s="31" t="n">
        <v>1</v>
      </c>
      <c r="E11" s="31" t="n">
        <v>1</v>
      </c>
      <c r="F11" s="31" t="n">
        <v>1</v>
      </c>
      <c r="G11">
        <f>COUNTIFS('Lançamentos'!$A$2:$A$5010,$A11,'Lançamentos'!$B$2:$B$5010,$B11)</f>
        <v/>
      </c>
      <c r="H11" s="2" t="inlineStr">
        <is>
          <t>Insumo de produção (Lucro Real, não cumulativo): crédito de IPI, ICMS, PIS e COFINS destacados. Sem crédito de ICMS/IPI se o CFOP de entrada for x.556.</t>
        </is>
      </c>
    </row>
    <row r="12">
      <c r="A12" t="inlineStr">
        <is>
          <t>Insumos e papel</t>
        </is>
      </c>
      <c r="B12" t="inlineStr">
        <is>
          <t>2.01.94 Compra de Fita Adesiva</t>
        </is>
      </c>
      <c r="C12" s="31" t="n">
        <v>1</v>
      </c>
      <c r="D12" s="31" t="n">
        <v>1</v>
      </c>
      <c r="E12" s="31" t="n">
        <v>1</v>
      </c>
      <c r="F12" s="31" t="n">
        <v>1</v>
      </c>
      <c r="G12">
        <f>COUNTIFS('Lançamentos'!$A$2:$A$5010,$A12,'Lançamentos'!$B$2:$B$5010,$B12)</f>
        <v/>
      </c>
      <c r="H12" s="2" t="inlineStr">
        <is>
          <t>Insumo de produção (Lucro Real, não cumulativo): crédito de IPI, ICMS, PIS e COFINS destacados. Sem crédito de ICMS/IPI se o CFOP de entrada for x.556.</t>
        </is>
      </c>
    </row>
    <row r="13">
      <c r="A13" t="inlineStr">
        <is>
          <t>Insumos e papel</t>
        </is>
      </c>
      <c r="B13" t="inlineStr">
        <is>
          <t>2.01.95 Compra de Etiqueta</t>
        </is>
      </c>
      <c r="C13" s="31" t="n">
        <v>1</v>
      </c>
      <c r="D13" s="31" t="n">
        <v>1</v>
      </c>
      <c r="E13" s="31" t="n">
        <v>1</v>
      </c>
      <c r="F13" s="31" t="n">
        <v>1</v>
      </c>
      <c r="G13">
        <f>COUNTIFS('Lançamentos'!$A$2:$A$5010,$A13,'Lançamentos'!$B$2:$B$5010,$B13)</f>
        <v/>
      </c>
      <c r="H13" s="2" t="inlineStr">
        <is>
          <t>Insumo de produção (Lucro Real, não cumulativo): crédito de IPI, ICMS, PIS e COFINS destacados. Sem crédito de ICMS/IPI se o CFOP de entrada for x.556.</t>
        </is>
      </c>
    </row>
    <row r="14">
      <c r="A14" t="inlineStr">
        <is>
          <t>Insumos e papel</t>
        </is>
      </c>
      <c r="B14" t="inlineStr">
        <is>
          <t>2.01.96 Compra de Cola</t>
        </is>
      </c>
      <c r="C14" s="31" t="n">
        <v>1</v>
      </c>
      <c r="D14" s="31" t="n">
        <v>1</v>
      </c>
      <c r="E14" s="31" t="n">
        <v>1</v>
      </c>
      <c r="F14" s="31" t="n">
        <v>1</v>
      </c>
      <c r="G14">
        <f>COUNTIFS('Lançamentos'!$A$2:$A$5010,$A14,'Lançamentos'!$B$2:$B$5010,$B14)</f>
        <v/>
      </c>
      <c r="H14" s="2" t="inlineStr">
        <is>
          <t>Insumo de produção (Lucro Real, não cumulativo): crédito de IPI, ICMS, PIS e COFINS destacados. Sem crédito de ICMS/IPI se o CFOP de entrada for x.556.</t>
        </is>
      </c>
    </row>
    <row r="15">
      <c r="A15" t="inlineStr">
        <is>
          <t>Insumos e papel</t>
        </is>
      </c>
      <c r="B15" t="inlineStr">
        <is>
          <t>2.01.97 Compra de Clichê</t>
        </is>
      </c>
      <c r="C15" s="31" t="n">
        <v>1</v>
      </c>
      <c r="D15" s="31" t="n">
        <v>1</v>
      </c>
      <c r="E15" s="31" t="n">
        <v>1</v>
      </c>
      <c r="F15" s="31" t="n">
        <v>1</v>
      </c>
      <c r="G15">
        <f>COUNTIFS('Lançamentos'!$A$2:$A$5010,$A15,'Lançamentos'!$B$2:$B$5010,$B15)</f>
        <v/>
      </c>
      <c r="H15" s="2" t="inlineStr">
        <is>
          <t>Insumo de produção (Lucro Real, não cumulativo): crédito de IPI, ICMS, PIS e COFINS destacados. Sem crédito de ICMS/IPI se o CFOP de entrada for x.556.</t>
        </is>
      </c>
    </row>
    <row r="16">
      <c r="A16" t="inlineStr">
        <is>
          <t>Insumos e papel</t>
        </is>
      </c>
      <c r="B16" t="inlineStr">
        <is>
          <t>2.01.99 Compra de Caixas</t>
        </is>
      </c>
      <c r="C16" s="31" t="n">
        <v>1</v>
      </c>
      <c r="D16" s="31" t="n">
        <v>1</v>
      </c>
      <c r="E16" s="31" t="n">
        <v>1</v>
      </c>
      <c r="F16" s="31" t="n">
        <v>1</v>
      </c>
      <c r="G16">
        <f>COUNTIFS('Lançamentos'!$A$2:$A$5010,$A16,'Lançamentos'!$B$2:$B$5010,$B16)</f>
        <v/>
      </c>
      <c r="H16" s="2" t="inlineStr">
        <is>
          <t>Insumo de produção (Lucro Real, não cumulativo): crédito de IPI, ICMS, PIS e COFINS destacados. Sem crédito de ICMS/IPI se o CFOP de entrada for x.556.</t>
        </is>
      </c>
    </row>
    <row r="17">
      <c r="A17" t="inlineStr">
        <is>
          <t>Uso e consumo</t>
        </is>
      </c>
      <c r="B17" t="inlineStr">
        <is>
          <t>2.01.85 Compra de Uso e Consumo</t>
        </is>
      </c>
      <c r="C17" s="31" t="n">
        <v>0</v>
      </c>
      <c r="D17" s="31" t="n">
        <v>0</v>
      </c>
      <c r="E17" s="31" t="n">
        <v>1</v>
      </c>
      <c r="F17" s="31" t="n">
        <v>1</v>
      </c>
      <c r="G17">
        <f>COUNTIFS('Lançamentos'!$A$2:$A$5010,$A17,'Lançamentos'!$B$2:$B$5010,$B17)</f>
        <v/>
      </c>
      <c r="H17" s="2" t="inlineStr">
        <is>
          <t>Uso e consumo: sem crédito de ICMS/IPI (x.556); crédito de PIS/COFINS destacado, por ser material aplicado na produção/manutenção (EPI: PN Cosit 5/2018).</t>
        </is>
      </c>
    </row>
    <row r="18">
      <c r="A18" t="inlineStr">
        <is>
          <t>Uso e consumo</t>
        </is>
      </c>
      <c r="B18" t="inlineStr">
        <is>
          <t>2.01.87 Compra de Peças de Máquinas</t>
        </is>
      </c>
      <c r="C18" s="31" t="n">
        <v>0</v>
      </c>
      <c r="D18" s="31" t="n">
        <v>0</v>
      </c>
      <c r="E18" s="31" t="n">
        <v>1</v>
      </c>
      <c r="F18" s="31" t="n">
        <v>1</v>
      </c>
      <c r="G18">
        <f>COUNTIFS('Lançamentos'!$A$2:$A$5010,$A18,'Lançamentos'!$B$2:$B$5010,$B18)</f>
        <v/>
      </c>
      <c r="H18" s="2" t="inlineStr">
        <is>
          <t>Uso e consumo: sem crédito de ICMS/IPI (x.556); crédito de PIS/COFINS destacado, por ser material aplicado na produção/manutenção (EPI: PN Cosit 5/2018).</t>
        </is>
      </c>
    </row>
    <row r="19">
      <c r="A19" t="inlineStr">
        <is>
          <t>Uso e consumo</t>
        </is>
      </c>
      <c r="B19" t="inlineStr">
        <is>
          <t>2.03.88 Compra de Fardamento</t>
        </is>
      </c>
      <c r="C19" s="31" t="n">
        <v>0</v>
      </c>
      <c r="D19" s="31" t="n">
        <v>0</v>
      </c>
      <c r="E19" s="31" t="n">
        <v>0</v>
      </c>
      <c r="F19" s="31" t="n">
        <v>0</v>
      </c>
      <c r="G19">
        <f>COUNTIFS('Lançamentos'!$A$2:$A$5010,$A19,'Lançamentos'!$B$2:$B$5010,$B19)</f>
        <v/>
      </c>
      <c r="H19" s="2" t="inlineStr">
        <is>
          <t>Fardamento: crédito de PIS/COFINS só é previsto (Lei 10.833, art. 3º, X) para prestadoras de serviço de limpeza/conservação; não é insumo para indústria (PN Cosit 5/2018, salvo exigência legal). Ajuste conservador – confirmar com o contador.</t>
        </is>
      </c>
    </row>
    <row r="20">
      <c r="A20" t="inlineStr">
        <is>
          <t>Uso e consumo</t>
        </is>
      </c>
      <c r="B20" t="inlineStr">
        <is>
          <t>2.03.90 Compra de EPI</t>
        </is>
      </c>
      <c r="C20" s="31" t="n">
        <v>0</v>
      </c>
      <c r="D20" s="31" t="n">
        <v>0</v>
      </c>
      <c r="E20" s="31" t="n">
        <v>1</v>
      </c>
      <c r="F20" s="31" t="n">
        <v>1</v>
      </c>
      <c r="G20">
        <f>COUNTIFS('Lançamentos'!$A$2:$A$5010,$A20,'Lançamentos'!$B$2:$B$5010,$B20)</f>
        <v/>
      </c>
      <c r="H20" s="2" t="inlineStr">
        <is>
          <t>Uso e consumo: sem crédito de ICMS/IPI (x.556); crédito de PIS/COFINS destacado, por ser material aplicado na produção/manutenção (EPI: PN Cosit 5/2018).</t>
        </is>
      </c>
    </row>
    <row r="21">
      <c r="A21" t="inlineStr">
        <is>
          <t>Uso e consumo</t>
        </is>
      </c>
      <c r="B21" t="inlineStr">
        <is>
          <t>2.04.06 Material de Escritório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>
        <f>COUNTIFS('Lançamentos'!$A$2:$A$5010,$A21,'Lançamentos'!$B$2:$B$5010,$B21)</f>
        <v/>
      </c>
      <c r="H21" s="2" t="inlineStr">
        <is>
          <t>Material de uso administrativo (escritório, copa, bens de pequeno valor): não é insumo da produção, sem crédito de PIS/COFINS. Ajuste conservador – confirmar com o contador.</t>
        </is>
      </c>
    </row>
    <row r="22">
      <c r="A22" t="inlineStr">
        <is>
          <t>Uso e consumo</t>
        </is>
      </c>
      <c r="B22" t="inlineStr">
        <is>
          <t>2.04.91 Compra de Material de Limpeza</t>
        </is>
      </c>
      <c r="C22" s="31" t="n">
        <v>0</v>
      </c>
      <c r="D22" s="31" t="n">
        <v>0</v>
      </c>
      <c r="E22" s="31" t="n">
        <v>1</v>
      </c>
      <c r="F22" s="31" t="n">
        <v>1</v>
      </c>
      <c r="G22">
        <f>COUNTIFS('Lançamentos'!$A$2:$A$5010,$A22,'Lançamentos'!$B$2:$B$5010,$B22)</f>
        <v/>
      </c>
      <c r="H22" s="2" t="inlineStr">
        <is>
          <t>Uso e consumo: sem crédito de ICMS/IPI (x.556); crédito de PIS/COFINS destacado, por ser material aplicado na produção/manutenção (EPI: PN Cosit 5/2018).</t>
        </is>
      </c>
    </row>
    <row r="23">
      <c r="A23" t="inlineStr">
        <is>
          <t>Uso e consumo</t>
        </is>
      </c>
      <c r="B23" t="inlineStr">
        <is>
          <t>2.04.95 Copa e Cozinha</t>
        </is>
      </c>
      <c r="C23" s="31" t="n">
        <v>0</v>
      </c>
      <c r="D23" s="31" t="n">
        <v>0</v>
      </c>
      <c r="E23" s="31" t="n">
        <v>0</v>
      </c>
      <c r="F23" s="31" t="n">
        <v>0</v>
      </c>
      <c r="G23">
        <f>COUNTIFS('Lançamentos'!$A$2:$A$5010,$A23,'Lançamentos'!$B$2:$B$5010,$B23)</f>
        <v/>
      </c>
      <c r="H23" s="2" t="inlineStr">
        <is>
          <t>Material de uso administrativo (escritório, copa, bens de pequeno valor): não é insumo da produção, sem crédito de PIS/COFINS. Ajuste conservador – confirmar com o contador.</t>
        </is>
      </c>
    </row>
    <row r="24">
      <c r="A24" t="inlineStr">
        <is>
          <t>Uso e consumo</t>
        </is>
      </c>
      <c r="B24" t="inlineStr">
        <is>
          <t>2.04.96 Bens de Pequeno Valor</t>
        </is>
      </c>
      <c r="C24" s="31" t="n">
        <v>0</v>
      </c>
      <c r="D24" s="31" t="n">
        <v>0</v>
      </c>
      <c r="E24" s="31" t="n">
        <v>0</v>
      </c>
      <c r="F24" s="31" t="n">
        <v>0</v>
      </c>
      <c r="G24">
        <f>COUNTIFS('Lançamentos'!$A$2:$A$5010,$A24,'Lançamentos'!$B$2:$B$5010,$B24)</f>
        <v/>
      </c>
      <c r="H24" s="2" t="inlineStr">
        <is>
          <t>Material de uso administrativo (escritório, copa, bens de pequeno valor): não é insumo da produção, sem crédito de PIS/COFINS. Ajuste conservador – confirmar com o contador.</t>
        </is>
      </c>
    </row>
    <row r="25">
      <c r="A25" t="inlineStr">
        <is>
          <t>Frete de compra</t>
        </is>
      </c>
      <c r="B25" t="inlineStr">
        <is>
          <t>1.01.01 Venda de Mercadoria Fabricadas</t>
        </is>
      </c>
      <c r="C25" s="31" t="n">
        <v>0</v>
      </c>
      <c r="D25" s="31" t="n">
        <v>1</v>
      </c>
      <c r="E25" s="31" t="n">
        <v>0</v>
      </c>
      <c r="F25" s="31" t="n">
        <v>0</v>
      </c>
      <c r="G25">
        <f>COUNTIFS('Lançamentos'!$A$2:$A$5010,$A25,'Lançamentos'!$B$2:$B$5010,$B25)</f>
        <v/>
      </c>
      <c r="H25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26">
      <c r="A26" t="inlineStr">
        <is>
          <t>Frete de compra</t>
        </is>
      </c>
      <c r="B26" t="inlineStr">
        <is>
          <t>2.01.01 Frete Galpão Produto Acabado</t>
        </is>
      </c>
      <c r="C26" s="31" t="n">
        <v>0</v>
      </c>
      <c r="D26" s="31" t="n">
        <v>1</v>
      </c>
      <c r="E26" s="31" t="n">
        <v>0</v>
      </c>
      <c r="F26" s="31" t="n">
        <v>0</v>
      </c>
      <c r="G26">
        <f>COUNTIFS('Lançamentos'!$A$2:$A$5010,$A26,'Lançamentos'!$B$2:$B$5010,$B26)</f>
        <v/>
      </c>
      <c r="H26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27">
      <c r="A27" t="inlineStr">
        <is>
          <t>Frete de compra</t>
        </is>
      </c>
      <c r="B27" t="inlineStr">
        <is>
          <t>2.01.02 Frete sobre Vendas</t>
        </is>
      </c>
      <c r="C27" s="31" t="n">
        <v>0</v>
      </c>
      <c r="D27" s="31" t="n">
        <v>1</v>
      </c>
      <c r="E27" s="31" t="n">
        <v>0</v>
      </c>
      <c r="F27" s="31" t="n">
        <v>0</v>
      </c>
      <c r="G27">
        <f>COUNTIFS('Lançamentos'!$A$2:$A$5010,$A27,'Lançamentos'!$B$2:$B$5010,$B27)</f>
        <v/>
      </c>
      <c r="H27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28">
      <c r="A28" t="inlineStr">
        <is>
          <t>Frete de compra</t>
        </is>
      </c>
      <c r="B28" t="inlineStr">
        <is>
          <t>2.01.82 Estadia - Cabotagem</t>
        </is>
      </c>
      <c r="C28" s="31" t="n">
        <v>0</v>
      </c>
      <c r="D28" s="31" t="n">
        <v>1</v>
      </c>
      <c r="E28" s="31" t="n">
        <v>0</v>
      </c>
      <c r="F28" s="31" t="n">
        <v>0</v>
      </c>
      <c r="G28">
        <f>COUNTIFS('Lançamentos'!$A$2:$A$5010,$A28,'Lançamentos'!$B$2:$B$5010,$B28)</f>
        <v/>
      </c>
      <c r="H28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29">
      <c r="A29" t="inlineStr">
        <is>
          <t>Frete de compra</t>
        </is>
      </c>
      <c r="B29" t="inlineStr">
        <is>
          <t>2.01.98 Frete Descarregamento</t>
        </is>
      </c>
      <c r="C29" s="31" t="n">
        <v>0</v>
      </c>
      <c r="D29" s="31" t="n">
        <v>1</v>
      </c>
      <c r="E29" s="31" t="n">
        <v>0</v>
      </c>
      <c r="F29" s="31" t="n">
        <v>0</v>
      </c>
      <c r="G29">
        <f>COUNTIFS('Lançamentos'!$A$2:$A$5010,$A29,'Lançamentos'!$B$2:$B$5010,$B29)</f>
        <v/>
      </c>
      <c r="H29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30">
      <c r="A30" t="inlineStr">
        <is>
          <t>Frete de compra</t>
        </is>
      </c>
      <c r="B30" t="inlineStr">
        <is>
          <t>2.02.93 Frete Amostras/Brindes</t>
        </is>
      </c>
      <c r="C30" s="31" t="n">
        <v>0</v>
      </c>
      <c r="D30" s="31" t="n">
        <v>1</v>
      </c>
      <c r="E30" s="31" t="n">
        <v>0</v>
      </c>
      <c r="F30" s="31" t="n">
        <v>0</v>
      </c>
      <c r="G30">
        <f>COUNTIFS('Lançamentos'!$A$2:$A$5010,$A30,'Lançamentos'!$B$2:$B$5010,$B30)</f>
        <v/>
      </c>
      <c r="H30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31">
      <c r="A31" t="inlineStr">
        <is>
          <t>Frete de compra</t>
        </is>
      </c>
      <c r="B31" t="inlineStr">
        <is>
          <t>2.04.87 Frete sobre Compra</t>
        </is>
      </c>
      <c r="C31" s="31" t="n">
        <v>0</v>
      </c>
      <c r="D31" s="31" t="n">
        <v>1</v>
      </c>
      <c r="E31" s="31" t="n">
        <v>0</v>
      </c>
      <c r="F31" s="31" t="n">
        <v>0</v>
      </c>
      <c r="G31">
        <f>COUNTIFS('Lançamentos'!$A$2:$A$5010,$A31,'Lançamentos'!$B$2:$B$5010,$B31)</f>
        <v/>
      </c>
      <c r="H31" s="2" t="inlineStr">
        <is>
          <t>Frete de compra de papel/bobina: só ICMS destacado no CT-e. PIS/COFINS de frete na aquisição de insumo é creditável em Lucro Real, mas o CT-e não destaca; não modelado (ver pendências).</t>
        </is>
      </c>
    </row>
    <row r="32">
      <c r="A32" t="inlineStr">
        <is>
          <t>Frete de venda</t>
        </is>
      </c>
      <c r="B32" t="inlineStr">
        <is>
          <t>1.01.01 Venda de Mercadoria Fabricadas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>
        <f>COUNTIFS('Lançamentos'!$A$2:$A$5010,$A32,'Lançamentos'!$B$2:$B$5010,$B32)</f>
        <v/>
      </c>
      <c r="H32" s="2" t="inlineStr">
        <is>
          <t>Frete de venda: sem crédito (regra decidida pelo usuário). Em Lucro Real PIS/COFINS (art. 3º, IX) e ICMS do frete CIF poderiam ser creditáveis (ver pendências).</t>
        </is>
      </c>
    </row>
    <row r="33">
      <c r="A33" t="inlineStr">
        <is>
          <t>Frete de venda</t>
        </is>
      </c>
      <c r="B33" t="inlineStr">
        <is>
          <t>2.01.01 Frete Galpão Produto Acabado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>
        <f>COUNTIFS('Lançamentos'!$A$2:$A$5010,$A33,'Lançamentos'!$B$2:$B$5010,$B33)</f>
        <v/>
      </c>
      <c r="H33" s="2" t="inlineStr">
        <is>
          <t>Frete de venda: sem crédito (regra decidida pelo usuário). Em Lucro Real PIS/COFINS (art. 3º, IX) e ICMS do frete CIF poderiam ser creditáveis (ver pendências).</t>
        </is>
      </c>
    </row>
    <row r="34">
      <c r="A34" t="inlineStr">
        <is>
          <t>Frete de venda</t>
        </is>
      </c>
      <c r="B34" t="inlineStr">
        <is>
          <t>2.01.02 Frete sobre Vendas</t>
        </is>
      </c>
      <c r="C34" s="31" t="n">
        <v>0</v>
      </c>
      <c r="D34" s="31" t="n">
        <v>0</v>
      </c>
      <c r="E34" s="31" t="n">
        <v>0</v>
      </c>
      <c r="F34" s="31" t="n">
        <v>0</v>
      </c>
      <c r="G34">
        <f>COUNTIFS('Lançamentos'!$A$2:$A$5010,$A34,'Lançamentos'!$B$2:$B$5010,$B34)</f>
        <v/>
      </c>
      <c r="H34" s="2" t="inlineStr">
        <is>
          <t>Frete de venda: sem crédito (regra decidida pelo usuário). Em Lucro Real PIS/COFINS (art. 3º, IX) e ICMS do frete CIF poderiam ser creditáveis (ver pendências).</t>
        </is>
      </c>
    </row>
    <row r="35">
      <c r="A35" t="inlineStr">
        <is>
          <t>Frete de venda</t>
        </is>
      </c>
      <c r="B35" t="inlineStr">
        <is>
          <t>2.01.84 Remessa de Mercadoria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>
        <f>COUNTIFS('Lançamentos'!$A$2:$A$5010,$A35,'Lançamentos'!$B$2:$B$5010,$B35)</f>
        <v/>
      </c>
      <c r="H35" s="2" t="inlineStr">
        <is>
          <t>Frete de venda: sem crédito (regra decidida pelo usuário). Em Lucro Real PIS/COFINS (art. 3º, IX) e ICMS do frete CIF poderiam ser creditáveis (ver pendências).</t>
        </is>
      </c>
    </row>
    <row r="36">
      <c r="A36" t="inlineStr">
        <is>
          <t>Frete de venda</t>
        </is>
      </c>
      <c r="B36" t="inlineStr">
        <is>
          <t>2.01.98 Frete Descarregamento</t>
        </is>
      </c>
      <c r="C36" s="31" t="n">
        <v>0</v>
      </c>
      <c r="D36" s="31" t="n">
        <v>0</v>
      </c>
      <c r="E36" s="31" t="n">
        <v>0</v>
      </c>
      <c r="F36" s="31" t="n">
        <v>0</v>
      </c>
      <c r="G36">
        <f>COUNTIFS('Lançamentos'!$A$2:$A$5010,$A36,'Lançamentos'!$B$2:$B$5010,$B36)</f>
        <v/>
      </c>
      <c r="H36" s="2" t="inlineStr">
        <is>
          <t>Frete de venda: sem crédito (regra decidida pelo usuário). Em Lucro Real PIS/COFINS (art. 3º, IX) e ICMS do frete CIF poderiam ser creditáveis (ver pendências).</t>
        </is>
      </c>
    </row>
    <row r="37">
      <c r="A37" t="inlineStr">
        <is>
          <t>Frete de venda</t>
        </is>
      </c>
      <c r="B37" t="inlineStr">
        <is>
          <t>2.04.87 Frete sobre Compra</t>
        </is>
      </c>
      <c r="C37" s="31" t="n">
        <v>0</v>
      </c>
      <c r="D37" s="31" t="n">
        <v>0</v>
      </c>
      <c r="E37" s="31" t="n">
        <v>0</v>
      </c>
      <c r="F37" s="31" t="n">
        <v>0</v>
      </c>
      <c r="G37">
        <f>COUNTIFS('Lançamentos'!$A$2:$A$5010,$A37,'Lançamentos'!$B$2:$B$5010,$B37)</f>
        <v/>
      </c>
      <c r="H37" s="2" t="inlineStr">
        <is>
          <t>Frete de venda: sem crédito (regra decidida pelo usuário). Em Lucro Real PIS/COFINS (art. 3º, IX) e ICMS do frete CIF poderiam ser creditáveis (ver pendências).</t>
        </is>
      </c>
    </row>
    <row r="38">
      <c r="A38" t="inlineStr">
        <is>
          <t>Outras despesas pagas</t>
        </is>
      </c>
      <c r="B38" t="inlineStr">
        <is>
          <t>Aluguel de contêiner</t>
        </is>
      </c>
      <c r="C38" s="31" t="n">
        <v>0</v>
      </c>
      <c r="D38" s="31" t="n">
        <v>0</v>
      </c>
      <c r="E38" s="31" t="n">
        <v>0</v>
      </c>
      <c r="F38" s="31" t="n">
        <v>0</v>
      </c>
      <c r="G38">
        <f>COUNTIFS('Lançamentos'!$A$2:$A$5010,$A38,'Lançamentos'!$B$2:$B$5010,$B38)</f>
        <v/>
      </c>
      <c r="H38" s="2" t="inlineStr">
        <is>
          <t>Fora do escopo de despesas operacionais: crédito não modelado (imobilizado: CIAP/PIS-COFINS em 1/48 fora desta planilha).</t>
        </is>
      </c>
    </row>
    <row r="39">
      <c r="A39" t="inlineStr">
        <is>
          <t>Outras despesas pagas</t>
        </is>
      </c>
      <c r="B39" t="inlineStr">
        <is>
          <t>Brindes, premiações e marketing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>
        <f>COUNTIFS('Lançamentos'!$A$2:$A$5010,$A39,'Lançamentos'!$B$2:$B$5010,$B39)</f>
        <v/>
      </c>
      <c r="H39" s="2" t="inlineStr">
        <is>
          <t>Fora do escopo de despesas operacionais: crédito não modelado (imobilizado: CIAP/PIS-COFINS em 1/48 fora desta planilha).</t>
        </is>
      </c>
    </row>
    <row r="40">
      <c r="A40" t="inlineStr">
        <is>
          <t>Outras despesas pagas</t>
        </is>
      </c>
      <c r="B40" t="inlineStr">
        <is>
          <t>Combustível</t>
        </is>
      </c>
      <c r="C40" s="31" t="n">
        <v>0</v>
      </c>
      <c r="D40" s="31" t="n">
        <v>0</v>
      </c>
      <c r="E40" s="31" t="n">
        <v>0</v>
      </c>
      <c r="F40" s="31" t="n">
        <v>0</v>
      </c>
      <c r="G40">
        <f>COUNTIFS('Lançamentos'!$A$2:$A$5010,$A40,'Lançamentos'!$B$2:$B$5010,$B40)</f>
        <v/>
      </c>
      <c r="H40" s="2" t="inlineStr">
        <is>
          <t>Fora do escopo de despesas operacionais: crédito não modelado (imobilizado: CIAP/PIS-COFINS em 1/48 fora desta planilha).</t>
        </is>
      </c>
    </row>
    <row r="41">
      <c r="A41" t="inlineStr">
        <is>
          <t>Outras despesas pagas</t>
        </is>
      </c>
      <c r="B41" t="inlineStr">
        <is>
          <t>Imobilizado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>
        <f>COUNTIFS('Lançamentos'!$A$2:$A$5010,$A41,'Lançamentos'!$B$2:$B$5010,$B41)</f>
        <v/>
      </c>
      <c r="H41" s="2" t="inlineStr">
        <is>
          <t>Fora do escopo de despesas operacionais: crédito não modelado (imobilizado: CIAP/PIS-COFINS em 1/48 fora desta planilha).</t>
        </is>
      </c>
    </row>
    <row r="42">
      <c r="A42" t="inlineStr">
        <is>
          <t>Outras despesas pagas</t>
        </is>
      </c>
      <c r="B42" t="inlineStr">
        <is>
          <t>Manutenção e serviços</t>
        </is>
      </c>
      <c r="C42" s="31" t="n">
        <v>0</v>
      </c>
      <c r="D42" s="31" t="n">
        <v>0</v>
      </c>
      <c r="E42" s="31" t="n">
        <v>0</v>
      </c>
      <c r="F42" s="31" t="n">
        <v>0</v>
      </c>
      <c r="G42">
        <f>COUNTIFS('Lançamentos'!$A$2:$A$5010,$A42,'Lançamentos'!$B$2:$B$5010,$B42)</f>
        <v/>
      </c>
      <c r="H42" s="2" t="inlineStr">
        <is>
          <t>Fora do escopo de despesas operacionais: crédito não modelado (imobilizado: CIAP/PIS-COFINS em 1/48 fora desta planilha).</t>
        </is>
      </c>
    </row>
    <row r="43">
      <c r="A43" t="inlineStr">
        <is>
          <t>Outras despesas pagas</t>
        </is>
      </c>
      <c r="B43" t="inlineStr">
        <is>
          <t>Outras (a classificar)</t>
        </is>
      </c>
      <c r="C43" s="31" t="n">
        <v>0</v>
      </c>
      <c r="D43" s="31" t="n">
        <v>0</v>
      </c>
      <c r="E43" s="31" t="n">
        <v>0</v>
      </c>
      <c r="F43" s="31" t="n">
        <v>0</v>
      </c>
      <c r="G43">
        <f>COUNTIFS('Lançamentos'!$A$2:$A$5010,$A43,'Lançamentos'!$B$2:$B$5010,$B43)</f>
        <v/>
      </c>
      <c r="H43" s="2" t="inlineStr">
        <is>
          <t>Fora do escopo de despesas operacionais: crédito não modelado (imobilizado: CIAP/PIS-COFINS em 1/48 fora desta planilha).</t>
        </is>
      </c>
    </row>
    <row r="44">
      <c r="A44" t="inlineStr">
        <is>
          <t>Outras despesas pagas</t>
        </is>
      </c>
      <c r="B44" t="inlineStr">
        <is>
          <t>Sede</t>
        </is>
      </c>
      <c r="C44" s="31" t="n">
        <v>0</v>
      </c>
      <c r="D44" s="31" t="n">
        <v>0</v>
      </c>
      <c r="E44" s="31" t="n">
        <v>0</v>
      </c>
      <c r="F44" s="31" t="n">
        <v>0</v>
      </c>
      <c r="G44">
        <f>COUNTIFS('Lançamentos'!$A$2:$A$5010,$A44,'Lançamentos'!$B$2:$B$5010,$B44)</f>
        <v/>
      </c>
      <c r="H44" s="2" t="inlineStr">
        <is>
          <t>Fora do escopo de despesas operacionais: crédito não modelado (imobilizado: CIAP/PIS-COFINS em 1/48 fora desta planilha).</t>
        </is>
      </c>
    </row>
    <row r="46">
      <c r="A46" s="6" t="inlineStr">
        <is>
          <t>Regras gerais:</t>
        </is>
      </c>
    </row>
    <row r="47">
      <c r="A47" s="32" t="inlineStr">
        <is>
          <t>a) Valores brutos e impostos vêm da aba Notas do arquivo entradas_conferidas_2026_ajustado_v3.xlsx (valor na categoria). Custo líquido = bruto − créditos marcados acima. ICMS-ST nunca é abatido (não é crédito; fica no custo).</t>
        </is>
      </c>
    </row>
    <row r="48">
      <c r="A48" s="32" t="inlineStr">
        <is>
          <t>b) CFOP de entrada x.556 (compra para uso e consumo): sem crédito de ICMS/IPI, em qualquer categoria. Documentos com vários CFOPs em que algum é x.556 são tratados como um todo (conservador), pois a base não traz o detalhe por item.</t>
        </is>
      </c>
    </row>
    <row r="49">
      <c r="A49" s="32" t="inlineStr">
        <is>
          <t>c) Só entra o efetivamente pago: NF-e com "Gerou título a pagar" = Sim; CT-e entram todos. Competência = mês de emissão; emitidos antes de 2026 aparecem como memo "Antes de 2026", fora do Total 2026.</t>
        </is>
      </c>
    </row>
    <row r="50">
      <c r="A50" s="32" t="inlineStr">
        <is>
          <t>d) Frete de compra = somente ALIANCA NAVEGACAO E LOGISTICA (com e sem ponto final, unificadas), STANCANELLI, GOL LINHAS AEREAS e TRANSPORTES DE MAQUINAS PLANETA AZUL; frete de venda = todas as demais transportadoras (inclui Cazan e RF BRA). Frete 2.01.84 (remessa) só entra se modalidade "0 - por conta do remetente".</t>
        </is>
      </c>
    </row>
    <row r="51">
      <c r="A51" s="32" t="inlineStr">
        <is>
          <t>e) Documentos rateados em mais de uma categoria (28 linhas em 14 documentos): IPI/ICMS/PIS/COFINS estavam só na 1ª linha; foram redistribuídos proporcionalmente ao valor de cada categoria.</t>
        </is>
      </c>
    </row>
    <row r="52">
      <c r="A52" s="32" t="inlineStr">
        <is>
          <t>f) Outras despesas pagas (imobilizado, manutenção, sede, brindes, combustível, aluguel de contêiner) aparecem para dar visão total do que foi pago, mas ficam fora do almoxarifado e do frete; sem crédito modelado.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2026-09-30T13:27:53Z</dcterms:created>
  <dcterms:modified xsi:type="dcterms:W3CDTF">2026-09-30T13:27:55Z</dcterms:modified>
</cp:coreProperties>
</file>